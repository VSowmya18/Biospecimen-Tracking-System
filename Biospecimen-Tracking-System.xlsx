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owmy\Downloads\"/>
    </mc:Choice>
  </mc:AlternateContent>
  <xr:revisionPtr revIDLastSave="0" documentId="8_{4BF5E951-72CB-4F87-BDAA-06C5A29F02B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ASE MASTER" sheetId="1" r:id="rId1"/>
    <sheet name="CONTROL MASTER" sheetId="2" r:id="rId2"/>
    <sheet name="Case CDI Plate" sheetId="3" r:id="rId3"/>
    <sheet name="Case NIH Plate" sheetId="4" r:id="rId4"/>
    <sheet name="Case MAX Planck Plate" sheetId="5" r:id="rId5"/>
    <sheet name="Cryovial Case Box" sheetId="6" r:id="rId6"/>
    <sheet name="Case WB Box" sheetId="7" r:id="rId7"/>
    <sheet name="Control CDI Plate" sheetId="8" r:id="rId8"/>
    <sheet name="Control NIH Plate" sheetId="9" r:id="rId9"/>
    <sheet name="Control MAX Planck Plate" sheetId="10" r:id="rId10"/>
    <sheet name="Cryovial Control Box" sheetId="11" r:id="rId11"/>
    <sheet name="Control WB Box" sheetId="12" r:id="rId12"/>
  </sheets>
  <calcPr calcId="191029" iterateDelta="1E-4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" i="1" l="1"/>
  <c r="AC495" i="2"/>
  <c r="AB495" i="2"/>
  <c r="AA495" i="2"/>
  <c r="Z495" i="2"/>
  <c r="X495" i="2"/>
  <c r="W495" i="2"/>
  <c r="V495" i="2"/>
  <c r="U495" i="2"/>
  <c r="T495" i="2"/>
  <c r="S495" i="2"/>
  <c r="R495" i="2"/>
  <c r="Q495" i="2"/>
  <c r="P495" i="2"/>
  <c r="O495" i="2"/>
  <c r="K495" i="2"/>
  <c r="J495" i="2"/>
  <c r="I495" i="2"/>
  <c r="H495" i="2"/>
  <c r="G495" i="2"/>
  <c r="E495" i="2"/>
  <c r="AC494" i="2"/>
  <c r="AB494" i="2"/>
  <c r="AA494" i="2"/>
  <c r="Z494" i="2"/>
  <c r="X494" i="2"/>
  <c r="W494" i="2"/>
  <c r="V494" i="2"/>
  <c r="U494" i="2"/>
  <c r="T494" i="2"/>
  <c r="S494" i="2"/>
  <c r="R494" i="2"/>
  <c r="Q494" i="2"/>
  <c r="P494" i="2"/>
  <c r="O494" i="2"/>
  <c r="K494" i="2"/>
  <c r="J494" i="2"/>
  <c r="I494" i="2"/>
  <c r="H494" i="2"/>
  <c r="G494" i="2"/>
  <c r="E494" i="2"/>
  <c r="AC493" i="2"/>
  <c r="AB493" i="2"/>
  <c r="AA493" i="2"/>
  <c r="Z493" i="2"/>
  <c r="X493" i="2"/>
  <c r="W493" i="2"/>
  <c r="V493" i="2"/>
  <c r="U493" i="2"/>
  <c r="T493" i="2"/>
  <c r="S493" i="2"/>
  <c r="R493" i="2"/>
  <c r="Q493" i="2"/>
  <c r="P493" i="2"/>
  <c r="O493" i="2"/>
  <c r="K493" i="2"/>
  <c r="J493" i="2"/>
  <c r="I493" i="2"/>
  <c r="H493" i="2"/>
  <c r="G493" i="2"/>
  <c r="E493" i="2"/>
  <c r="AC492" i="2"/>
  <c r="AB492" i="2"/>
  <c r="AA492" i="2"/>
  <c r="Z492" i="2"/>
  <c r="X492" i="2"/>
  <c r="W492" i="2"/>
  <c r="V492" i="2"/>
  <c r="U492" i="2"/>
  <c r="T492" i="2"/>
  <c r="S492" i="2"/>
  <c r="R492" i="2"/>
  <c r="Q492" i="2"/>
  <c r="P492" i="2"/>
  <c r="O492" i="2"/>
  <c r="K492" i="2"/>
  <c r="J492" i="2"/>
  <c r="I492" i="2"/>
  <c r="H492" i="2"/>
  <c r="G492" i="2"/>
  <c r="E492" i="2"/>
  <c r="AC491" i="2"/>
  <c r="AB491" i="2"/>
  <c r="AA491" i="2"/>
  <c r="Z491" i="2"/>
  <c r="X491" i="2"/>
  <c r="W491" i="2"/>
  <c r="V491" i="2"/>
  <c r="U491" i="2"/>
  <c r="T491" i="2"/>
  <c r="S491" i="2"/>
  <c r="R491" i="2"/>
  <c r="Q491" i="2"/>
  <c r="P491" i="2"/>
  <c r="O491" i="2"/>
  <c r="K491" i="2"/>
  <c r="J491" i="2"/>
  <c r="I491" i="2"/>
  <c r="H491" i="2"/>
  <c r="G491" i="2"/>
  <c r="E491" i="2"/>
  <c r="AC490" i="2"/>
  <c r="AB490" i="2"/>
  <c r="AA490" i="2"/>
  <c r="Z490" i="2"/>
  <c r="X490" i="2"/>
  <c r="W490" i="2"/>
  <c r="V490" i="2"/>
  <c r="U490" i="2"/>
  <c r="T490" i="2"/>
  <c r="S490" i="2"/>
  <c r="R490" i="2"/>
  <c r="Q490" i="2"/>
  <c r="P490" i="2"/>
  <c r="O490" i="2"/>
  <c r="K490" i="2"/>
  <c r="J490" i="2"/>
  <c r="I490" i="2"/>
  <c r="H490" i="2"/>
  <c r="G490" i="2"/>
  <c r="E490" i="2"/>
  <c r="AC489" i="2"/>
  <c r="AB489" i="2"/>
  <c r="AA489" i="2"/>
  <c r="Z489" i="2"/>
  <c r="X489" i="2"/>
  <c r="W489" i="2"/>
  <c r="V489" i="2"/>
  <c r="U489" i="2"/>
  <c r="T489" i="2"/>
  <c r="S489" i="2"/>
  <c r="R489" i="2"/>
  <c r="Q489" i="2"/>
  <c r="P489" i="2"/>
  <c r="O489" i="2"/>
  <c r="K489" i="2"/>
  <c r="J489" i="2"/>
  <c r="I489" i="2"/>
  <c r="H489" i="2"/>
  <c r="G489" i="2"/>
  <c r="E489" i="2"/>
  <c r="AC488" i="2"/>
  <c r="AB488" i="2"/>
  <c r="AA488" i="2"/>
  <c r="Z488" i="2"/>
  <c r="X488" i="2"/>
  <c r="W488" i="2"/>
  <c r="V488" i="2"/>
  <c r="U488" i="2"/>
  <c r="T488" i="2"/>
  <c r="S488" i="2"/>
  <c r="R488" i="2"/>
  <c r="Q488" i="2"/>
  <c r="P488" i="2"/>
  <c r="O488" i="2"/>
  <c r="K488" i="2"/>
  <c r="J488" i="2"/>
  <c r="I488" i="2"/>
  <c r="H488" i="2"/>
  <c r="G488" i="2"/>
  <c r="E488" i="2"/>
  <c r="AC487" i="2"/>
  <c r="AB487" i="2"/>
  <c r="AA487" i="2"/>
  <c r="Z487" i="2"/>
  <c r="X487" i="2"/>
  <c r="W487" i="2"/>
  <c r="V487" i="2"/>
  <c r="U487" i="2"/>
  <c r="T487" i="2"/>
  <c r="S487" i="2"/>
  <c r="R487" i="2"/>
  <c r="Q487" i="2"/>
  <c r="P487" i="2"/>
  <c r="O487" i="2"/>
  <c r="K487" i="2"/>
  <c r="J487" i="2"/>
  <c r="I487" i="2"/>
  <c r="H487" i="2"/>
  <c r="G487" i="2"/>
  <c r="E487" i="2"/>
  <c r="AC486" i="2"/>
  <c r="AB486" i="2"/>
  <c r="AA486" i="2"/>
  <c r="Z486" i="2"/>
  <c r="X486" i="2"/>
  <c r="W486" i="2"/>
  <c r="V486" i="2"/>
  <c r="U486" i="2"/>
  <c r="T486" i="2"/>
  <c r="S486" i="2"/>
  <c r="R486" i="2"/>
  <c r="Q486" i="2"/>
  <c r="P486" i="2"/>
  <c r="O486" i="2"/>
  <c r="K486" i="2"/>
  <c r="J486" i="2"/>
  <c r="I486" i="2"/>
  <c r="H486" i="2"/>
  <c r="G486" i="2"/>
  <c r="E486" i="2"/>
  <c r="AC485" i="2"/>
  <c r="AB485" i="2"/>
  <c r="AA485" i="2"/>
  <c r="Z485" i="2"/>
  <c r="X485" i="2"/>
  <c r="W485" i="2"/>
  <c r="V485" i="2"/>
  <c r="U485" i="2"/>
  <c r="T485" i="2"/>
  <c r="S485" i="2"/>
  <c r="R485" i="2"/>
  <c r="Q485" i="2"/>
  <c r="P485" i="2"/>
  <c r="O485" i="2"/>
  <c r="K485" i="2"/>
  <c r="J485" i="2"/>
  <c r="I485" i="2"/>
  <c r="H485" i="2"/>
  <c r="G485" i="2"/>
  <c r="E485" i="2"/>
  <c r="AC484" i="2"/>
  <c r="AB484" i="2"/>
  <c r="AA484" i="2"/>
  <c r="Z484" i="2"/>
  <c r="X484" i="2"/>
  <c r="W484" i="2"/>
  <c r="V484" i="2"/>
  <c r="U484" i="2"/>
  <c r="T484" i="2"/>
  <c r="S484" i="2"/>
  <c r="R484" i="2"/>
  <c r="Q484" i="2"/>
  <c r="P484" i="2"/>
  <c r="O484" i="2"/>
  <c r="K484" i="2"/>
  <c r="J484" i="2"/>
  <c r="I484" i="2"/>
  <c r="H484" i="2"/>
  <c r="G484" i="2"/>
  <c r="E484" i="2"/>
  <c r="AC483" i="2"/>
  <c r="AB483" i="2"/>
  <c r="AA483" i="2"/>
  <c r="Z483" i="2"/>
  <c r="X483" i="2"/>
  <c r="W483" i="2"/>
  <c r="V483" i="2"/>
  <c r="U483" i="2"/>
  <c r="T483" i="2"/>
  <c r="S483" i="2"/>
  <c r="R483" i="2"/>
  <c r="Q483" i="2"/>
  <c r="P483" i="2"/>
  <c r="O483" i="2"/>
  <c r="K483" i="2"/>
  <c r="J483" i="2"/>
  <c r="I483" i="2"/>
  <c r="H483" i="2"/>
  <c r="G483" i="2"/>
  <c r="E483" i="2"/>
  <c r="AC482" i="2"/>
  <c r="AB482" i="2"/>
  <c r="AA482" i="2"/>
  <c r="Z482" i="2"/>
  <c r="X482" i="2"/>
  <c r="W482" i="2"/>
  <c r="V482" i="2"/>
  <c r="U482" i="2"/>
  <c r="T482" i="2"/>
  <c r="S482" i="2"/>
  <c r="R482" i="2"/>
  <c r="Q482" i="2"/>
  <c r="P482" i="2"/>
  <c r="O482" i="2"/>
  <c r="K482" i="2"/>
  <c r="J482" i="2"/>
  <c r="I482" i="2"/>
  <c r="H482" i="2"/>
  <c r="G482" i="2"/>
  <c r="E482" i="2"/>
  <c r="AC481" i="2"/>
  <c r="AB481" i="2"/>
  <c r="AA481" i="2"/>
  <c r="Z481" i="2"/>
  <c r="X481" i="2"/>
  <c r="W481" i="2"/>
  <c r="V481" i="2"/>
  <c r="U481" i="2"/>
  <c r="T481" i="2"/>
  <c r="S481" i="2"/>
  <c r="R481" i="2"/>
  <c r="Q481" i="2"/>
  <c r="P481" i="2"/>
  <c r="O481" i="2"/>
  <c r="K481" i="2"/>
  <c r="J481" i="2"/>
  <c r="I481" i="2"/>
  <c r="H481" i="2"/>
  <c r="G481" i="2"/>
  <c r="E481" i="2"/>
  <c r="AC480" i="2"/>
  <c r="AB480" i="2"/>
  <c r="AA480" i="2"/>
  <c r="Z480" i="2"/>
  <c r="X480" i="2"/>
  <c r="W480" i="2"/>
  <c r="V480" i="2"/>
  <c r="U480" i="2"/>
  <c r="T480" i="2"/>
  <c r="S480" i="2"/>
  <c r="R480" i="2"/>
  <c r="Q480" i="2"/>
  <c r="P480" i="2"/>
  <c r="O480" i="2"/>
  <c r="K480" i="2"/>
  <c r="J480" i="2"/>
  <c r="I480" i="2"/>
  <c r="H480" i="2"/>
  <c r="G480" i="2"/>
  <c r="E480" i="2"/>
  <c r="AC479" i="2"/>
  <c r="AB479" i="2"/>
  <c r="AA479" i="2"/>
  <c r="Z479" i="2"/>
  <c r="X479" i="2"/>
  <c r="W479" i="2"/>
  <c r="V479" i="2"/>
  <c r="U479" i="2"/>
  <c r="T479" i="2"/>
  <c r="S479" i="2"/>
  <c r="R479" i="2"/>
  <c r="Q479" i="2"/>
  <c r="P479" i="2"/>
  <c r="O479" i="2"/>
  <c r="K479" i="2"/>
  <c r="J479" i="2"/>
  <c r="I479" i="2"/>
  <c r="H479" i="2"/>
  <c r="G479" i="2"/>
  <c r="E479" i="2"/>
  <c r="AC478" i="2"/>
  <c r="AB478" i="2"/>
  <c r="AA478" i="2"/>
  <c r="Z478" i="2"/>
  <c r="X478" i="2"/>
  <c r="W478" i="2"/>
  <c r="V478" i="2"/>
  <c r="U478" i="2"/>
  <c r="T478" i="2"/>
  <c r="S478" i="2"/>
  <c r="R478" i="2"/>
  <c r="Q478" i="2"/>
  <c r="P478" i="2"/>
  <c r="O478" i="2"/>
  <c r="K478" i="2"/>
  <c r="J478" i="2"/>
  <c r="I478" i="2"/>
  <c r="H478" i="2"/>
  <c r="G478" i="2"/>
  <c r="E478" i="2"/>
  <c r="AC477" i="2"/>
  <c r="AB477" i="2"/>
  <c r="AA477" i="2"/>
  <c r="Z477" i="2"/>
  <c r="X477" i="2"/>
  <c r="W477" i="2"/>
  <c r="V477" i="2"/>
  <c r="U477" i="2"/>
  <c r="T477" i="2"/>
  <c r="S477" i="2"/>
  <c r="R477" i="2"/>
  <c r="Q477" i="2"/>
  <c r="P477" i="2"/>
  <c r="O477" i="2"/>
  <c r="K477" i="2"/>
  <c r="J477" i="2"/>
  <c r="I477" i="2"/>
  <c r="H477" i="2"/>
  <c r="G477" i="2"/>
  <c r="E477" i="2"/>
  <c r="AC476" i="2"/>
  <c r="AB476" i="2"/>
  <c r="AA476" i="2"/>
  <c r="Z476" i="2"/>
  <c r="X476" i="2"/>
  <c r="W476" i="2"/>
  <c r="V476" i="2"/>
  <c r="U476" i="2"/>
  <c r="T476" i="2"/>
  <c r="S476" i="2"/>
  <c r="R476" i="2"/>
  <c r="Q476" i="2"/>
  <c r="P476" i="2"/>
  <c r="O476" i="2"/>
  <c r="K476" i="2"/>
  <c r="J476" i="2"/>
  <c r="I476" i="2"/>
  <c r="H476" i="2"/>
  <c r="G476" i="2"/>
  <c r="E476" i="2"/>
  <c r="AC475" i="2"/>
  <c r="AB475" i="2"/>
  <c r="AA475" i="2"/>
  <c r="Z475" i="2"/>
  <c r="X475" i="2"/>
  <c r="W475" i="2"/>
  <c r="V475" i="2"/>
  <c r="U475" i="2"/>
  <c r="T475" i="2"/>
  <c r="S475" i="2"/>
  <c r="R475" i="2"/>
  <c r="Q475" i="2"/>
  <c r="P475" i="2"/>
  <c r="O475" i="2"/>
  <c r="K475" i="2"/>
  <c r="J475" i="2"/>
  <c r="I475" i="2"/>
  <c r="H475" i="2"/>
  <c r="G475" i="2"/>
  <c r="E475" i="2"/>
  <c r="AC474" i="2"/>
  <c r="AB474" i="2"/>
  <c r="AA474" i="2"/>
  <c r="Z474" i="2"/>
  <c r="X474" i="2"/>
  <c r="W474" i="2"/>
  <c r="V474" i="2"/>
  <c r="U474" i="2"/>
  <c r="T474" i="2"/>
  <c r="S474" i="2"/>
  <c r="R474" i="2"/>
  <c r="Q474" i="2"/>
  <c r="P474" i="2"/>
  <c r="O474" i="2"/>
  <c r="K474" i="2"/>
  <c r="J474" i="2"/>
  <c r="I474" i="2"/>
  <c r="H474" i="2"/>
  <c r="G474" i="2"/>
  <c r="E474" i="2"/>
  <c r="AC473" i="2"/>
  <c r="AB473" i="2"/>
  <c r="AA473" i="2"/>
  <c r="Z473" i="2"/>
  <c r="X473" i="2"/>
  <c r="W473" i="2"/>
  <c r="V473" i="2"/>
  <c r="U473" i="2"/>
  <c r="T473" i="2"/>
  <c r="S473" i="2"/>
  <c r="R473" i="2"/>
  <c r="Q473" i="2"/>
  <c r="P473" i="2"/>
  <c r="O473" i="2"/>
  <c r="K473" i="2"/>
  <c r="J473" i="2"/>
  <c r="I473" i="2"/>
  <c r="H473" i="2"/>
  <c r="G473" i="2"/>
  <c r="E473" i="2"/>
  <c r="AC472" i="2"/>
  <c r="AB472" i="2"/>
  <c r="AA472" i="2"/>
  <c r="Z472" i="2"/>
  <c r="X472" i="2"/>
  <c r="W472" i="2"/>
  <c r="V472" i="2"/>
  <c r="U472" i="2"/>
  <c r="T472" i="2"/>
  <c r="S472" i="2"/>
  <c r="R472" i="2"/>
  <c r="Q472" i="2"/>
  <c r="P472" i="2"/>
  <c r="O472" i="2"/>
  <c r="K472" i="2"/>
  <c r="J472" i="2"/>
  <c r="I472" i="2"/>
  <c r="H472" i="2"/>
  <c r="G472" i="2"/>
  <c r="E472" i="2"/>
  <c r="AC471" i="2"/>
  <c r="AB471" i="2"/>
  <c r="AA471" i="2"/>
  <c r="Z471" i="2"/>
  <c r="X471" i="2"/>
  <c r="W471" i="2"/>
  <c r="V471" i="2"/>
  <c r="U471" i="2"/>
  <c r="T471" i="2"/>
  <c r="S471" i="2"/>
  <c r="R471" i="2"/>
  <c r="Q471" i="2"/>
  <c r="P471" i="2"/>
  <c r="O471" i="2"/>
  <c r="K471" i="2"/>
  <c r="J471" i="2"/>
  <c r="I471" i="2"/>
  <c r="H471" i="2"/>
  <c r="G471" i="2"/>
  <c r="E471" i="2"/>
  <c r="AC470" i="2"/>
  <c r="AB470" i="2"/>
  <c r="AA470" i="2"/>
  <c r="Z470" i="2"/>
  <c r="X470" i="2"/>
  <c r="W470" i="2"/>
  <c r="V470" i="2"/>
  <c r="U470" i="2"/>
  <c r="T470" i="2"/>
  <c r="S470" i="2"/>
  <c r="R470" i="2"/>
  <c r="Q470" i="2"/>
  <c r="P470" i="2"/>
  <c r="O470" i="2"/>
  <c r="K470" i="2"/>
  <c r="J470" i="2"/>
  <c r="I470" i="2"/>
  <c r="H470" i="2"/>
  <c r="G470" i="2"/>
  <c r="E470" i="2"/>
  <c r="AC469" i="2"/>
  <c r="AB469" i="2"/>
  <c r="AA469" i="2"/>
  <c r="Z469" i="2"/>
  <c r="X469" i="2"/>
  <c r="W469" i="2"/>
  <c r="V469" i="2"/>
  <c r="U469" i="2"/>
  <c r="T469" i="2"/>
  <c r="S469" i="2"/>
  <c r="R469" i="2"/>
  <c r="Q469" i="2"/>
  <c r="P469" i="2"/>
  <c r="O469" i="2"/>
  <c r="K469" i="2"/>
  <c r="J469" i="2"/>
  <c r="I469" i="2"/>
  <c r="H469" i="2"/>
  <c r="G469" i="2"/>
  <c r="E469" i="2"/>
  <c r="AC468" i="2"/>
  <c r="AB468" i="2"/>
  <c r="AA468" i="2"/>
  <c r="Z468" i="2"/>
  <c r="X468" i="2"/>
  <c r="W468" i="2"/>
  <c r="V468" i="2"/>
  <c r="U468" i="2"/>
  <c r="T468" i="2"/>
  <c r="S468" i="2"/>
  <c r="R468" i="2"/>
  <c r="Q468" i="2"/>
  <c r="P468" i="2"/>
  <c r="O468" i="2"/>
  <c r="K468" i="2"/>
  <c r="J468" i="2"/>
  <c r="I468" i="2"/>
  <c r="H468" i="2"/>
  <c r="G468" i="2"/>
  <c r="E468" i="2"/>
  <c r="AC467" i="2"/>
  <c r="AB467" i="2"/>
  <c r="AA467" i="2"/>
  <c r="Z467" i="2"/>
  <c r="X467" i="2"/>
  <c r="W467" i="2"/>
  <c r="V467" i="2"/>
  <c r="U467" i="2"/>
  <c r="T467" i="2"/>
  <c r="S467" i="2"/>
  <c r="R467" i="2"/>
  <c r="Q467" i="2"/>
  <c r="P467" i="2"/>
  <c r="O467" i="2"/>
  <c r="K467" i="2"/>
  <c r="J467" i="2"/>
  <c r="I467" i="2"/>
  <c r="H467" i="2"/>
  <c r="G467" i="2"/>
  <c r="E467" i="2"/>
  <c r="AC466" i="2"/>
  <c r="AB466" i="2"/>
  <c r="AA466" i="2"/>
  <c r="Z466" i="2"/>
  <c r="X466" i="2"/>
  <c r="W466" i="2"/>
  <c r="V466" i="2"/>
  <c r="U466" i="2"/>
  <c r="T466" i="2"/>
  <c r="S466" i="2"/>
  <c r="R466" i="2"/>
  <c r="Q466" i="2"/>
  <c r="P466" i="2"/>
  <c r="O466" i="2"/>
  <c r="K466" i="2"/>
  <c r="J466" i="2"/>
  <c r="I466" i="2"/>
  <c r="H466" i="2"/>
  <c r="G466" i="2"/>
  <c r="E466" i="2"/>
  <c r="AC465" i="2"/>
  <c r="AB465" i="2"/>
  <c r="AA465" i="2"/>
  <c r="Z465" i="2"/>
  <c r="X465" i="2"/>
  <c r="W465" i="2"/>
  <c r="V465" i="2"/>
  <c r="U465" i="2"/>
  <c r="T465" i="2"/>
  <c r="S465" i="2"/>
  <c r="R465" i="2"/>
  <c r="Q465" i="2"/>
  <c r="P465" i="2"/>
  <c r="O465" i="2"/>
  <c r="K465" i="2"/>
  <c r="J465" i="2"/>
  <c r="I465" i="2"/>
  <c r="H465" i="2"/>
  <c r="G465" i="2"/>
  <c r="E465" i="2"/>
  <c r="AC464" i="2"/>
  <c r="AB464" i="2"/>
  <c r="AA464" i="2"/>
  <c r="Z464" i="2"/>
  <c r="X464" i="2"/>
  <c r="W464" i="2"/>
  <c r="V464" i="2"/>
  <c r="U464" i="2"/>
  <c r="T464" i="2"/>
  <c r="S464" i="2"/>
  <c r="R464" i="2"/>
  <c r="Q464" i="2"/>
  <c r="P464" i="2"/>
  <c r="O464" i="2"/>
  <c r="K464" i="2"/>
  <c r="J464" i="2"/>
  <c r="I464" i="2"/>
  <c r="H464" i="2"/>
  <c r="G464" i="2"/>
  <c r="E464" i="2"/>
  <c r="AC463" i="2"/>
  <c r="AB463" i="2"/>
  <c r="AA463" i="2"/>
  <c r="Z463" i="2"/>
  <c r="X463" i="2"/>
  <c r="W463" i="2"/>
  <c r="V463" i="2"/>
  <c r="U463" i="2"/>
  <c r="T463" i="2"/>
  <c r="S463" i="2"/>
  <c r="R463" i="2"/>
  <c r="Q463" i="2"/>
  <c r="P463" i="2"/>
  <c r="O463" i="2"/>
  <c r="K463" i="2"/>
  <c r="J463" i="2"/>
  <c r="I463" i="2"/>
  <c r="H463" i="2"/>
  <c r="G463" i="2"/>
  <c r="E463" i="2"/>
  <c r="AC462" i="2"/>
  <c r="AB462" i="2"/>
  <c r="AA462" i="2"/>
  <c r="Z462" i="2"/>
  <c r="X462" i="2"/>
  <c r="W462" i="2"/>
  <c r="V462" i="2"/>
  <c r="U462" i="2"/>
  <c r="T462" i="2"/>
  <c r="S462" i="2"/>
  <c r="R462" i="2"/>
  <c r="Q462" i="2"/>
  <c r="P462" i="2"/>
  <c r="O462" i="2"/>
  <c r="K462" i="2"/>
  <c r="J462" i="2"/>
  <c r="I462" i="2"/>
  <c r="H462" i="2"/>
  <c r="G462" i="2"/>
  <c r="E462" i="2"/>
  <c r="AC461" i="2"/>
  <c r="AB461" i="2"/>
  <c r="AA461" i="2"/>
  <c r="Z461" i="2"/>
  <c r="X461" i="2"/>
  <c r="W461" i="2"/>
  <c r="V461" i="2"/>
  <c r="U461" i="2"/>
  <c r="T461" i="2"/>
  <c r="S461" i="2"/>
  <c r="R461" i="2"/>
  <c r="Q461" i="2"/>
  <c r="P461" i="2"/>
  <c r="O461" i="2"/>
  <c r="K461" i="2"/>
  <c r="J461" i="2"/>
  <c r="I461" i="2"/>
  <c r="H461" i="2"/>
  <c r="G461" i="2"/>
  <c r="E461" i="2"/>
  <c r="AC460" i="2"/>
  <c r="AB460" i="2"/>
  <c r="AA460" i="2"/>
  <c r="Z460" i="2"/>
  <c r="X460" i="2"/>
  <c r="W460" i="2"/>
  <c r="V460" i="2"/>
  <c r="U460" i="2"/>
  <c r="T460" i="2"/>
  <c r="S460" i="2"/>
  <c r="R460" i="2"/>
  <c r="Q460" i="2"/>
  <c r="P460" i="2"/>
  <c r="O460" i="2"/>
  <c r="K460" i="2"/>
  <c r="J460" i="2"/>
  <c r="I460" i="2"/>
  <c r="H460" i="2"/>
  <c r="G460" i="2"/>
  <c r="E460" i="2"/>
  <c r="AC459" i="2"/>
  <c r="AB459" i="2"/>
  <c r="AA459" i="2"/>
  <c r="Z459" i="2"/>
  <c r="X459" i="2"/>
  <c r="W459" i="2"/>
  <c r="V459" i="2"/>
  <c r="U459" i="2"/>
  <c r="T459" i="2"/>
  <c r="S459" i="2"/>
  <c r="R459" i="2"/>
  <c r="Q459" i="2"/>
  <c r="P459" i="2"/>
  <c r="O459" i="2"/>
  <c r="K459" i="2"/>
  <c r="J459" i="2"/>
  <c r="I459" i="2"/>
  <c r="H459" i="2"/>
  <c r="G459" i="2"/>
  <c r="E459" i="2"/>
  <c r="AC458" i="2"/>
  <c r="AB458" i="2"/>
  <c r="AA458" i="2"/>
  <c r="Z458" i="2"/>
  <c r="X458" i="2"/>
  <c r="W458" i="2"/>
  <c r="V458" i="2"/>
  <c r="U458" i="2"/>
  <c r="T458" i="2"/>
  <c r="S458" i="2"/>
  <c r="R458" i="2"/>
  <c r="Q458" i="2"/>
  <c r="P458" i="2"/>
  <c r="O458" i="2"/>
  <c r="K458" i="2"/>
  <c r="J458" i="2"/>
  <c r="I458" i="2"/>
  <c r="H458" i="2"/>
  <c r="G458" i="2"/>
  <c r="E458" i="2"/>
  <c r="AC457" i="2"/>
  <c r="AB457" i="2"/>
  <c r="AA457" i="2"/>
  <c r="Z457" i="2"/>
  <c r="X457" i="2"/>
  <c r="W457" i="2"/>
  <c r="V457" i="2"/>
  <c r="U457" i="2"/>
  <c r="T457" i="2"/>
  <c r="S457" i="2"/>
  <c r="R457" i="2"/>
  <c r="Q457" i="2"/>
  <c r="P457" i="2"/>
  <c r="O457" i="2"/>
  <c r="K457" i="2"/>
  <c r="J457" i="2"/>
  <c r="I457" i="2"/>
  <c r="H457" i="2"/>
  <c r="G457" i="2"/>
  <c r="E457" i="2"/>
  <c r="AC456" i="2"/>
  <c r="AB456" i="2"/>
  <c r="AA456" i="2"/>
  <c r="Z456" i="2"/>
  <c r="X456" i="2"/>
  <c r="W456" i="2"/>
  <c r="V456" i="2"/>
  <c r="U456" i="2"/>
  <c r="T456" i="2"/>
  <c r="S456" i="2"/>
  <c r="R456" i="2"/>
  <c r="Q456" i="2"/>
  <c r="P456" i="2"/>
  <c r="O456" i="2"/>
  <c r="K456" i="2"/>
  <c r="J456" i="2"/>
  <c r="I456" i="2"/>
  <c r="H456" i="2"/>
  <c r="G456" i="2"/>
  <c r="E456" i="2"/>
  <c r="AC455" i="2"/>
  <c r="AB455" i="2"/>
  <c r="AA455" i="2"/>
  <c r="Z455" i="2"/>
  <c r="X455" i="2"/>
  <c r="W455" i="2"/>
  <c r="V455" i="2"/>
  <c r="U455" i="2"/>
  <c r="T455" i="2"/>
  <c r="S455" i="2"/>
  <c r="R455" i="2"/>
  <c r="Q455" i="2"/>
  <c r="P455" i="2"/>
  <c r="O455" i="2"/>
  <c r="K455" i="2"/>
  <c r="J455" i="2"/>
  <c r="I455" i="2"/>
  <c r="H455" i="2"/>
  <c r="G455" i="2"/>
  <c r="E455" i="2"/>
  <c r="AC454" i="2"/>
  <c r="AB454" i="2"/>
  <c r="AA454" i="2"/>
  <c r="Z454" i="2"/>
  <c r="X454" i="2"/>
  <c r="W454" i="2"/>
  <c r="V454" i="2"/>
  <c r="U454" i="2"/>
  <c r="T454" i="2"/>
  <c r="S454" i="2"/>
  <c r="R454" i="2"/>
  <c r="Q454" i="2"/>
  <c r="P454" i="2"/>
  <c r="O454" i="2"/>
  <c r="K454" i="2"/>
  <c r="J454" i="2"/>
  <c r="I454" i="2"/>
  <c r="H454" i="2"/>
  <c r="G454" i="2"/>
  <c r="E454" i="2"/>
  <c r="AC453" i="2"/>
  <c r="AB453" i="2"/>
  <c r="AA453" i="2"/>
  <c r="Z453" i="2"/>
  <c r="X453" i="2"/>
  <c r="W453" i="2"/>
  <c r="V453" i="2"/>
  <c r="U453" i="2"/>
  <c r="T453" i="2"/>
  <c r="S453" i="2"/>
  <c r="R453" i="2"/>
  <c r="Q453" i="2"/>
  <c r="P453" i="2"/>
  <c r="O453" i="2"/>
  <c r="K453" i="2"/>
  <c r="J453" i="2"/>
  <c r="I453" i="2"/>
  <c r="H453" i="2"/>
  <c r="G453" i="2"/>
  <c r="E453" i="2"/>
  <c r="AC452" i="2"/>
  <c r="AB452" i="2"/>
  <c r="AA452" i="2"/>
  <c r="Z452" i="2"/>
  <c r="X452" i="2"/>
  <c r="W452" i="2"/>
  <c r="V452" i="2"/>
  <c r="U452" i="2"/>
  <c r="T452" i="2"/>
  <c r="S452" i="2"/>
  <c r="R452" i="2"/>
  <c r="Q452" i="2"/>
  <c r="P452" i="2"/>
  <c r="O452" i="2"/>
  <c r="K452" i="2"/>
  <c r="J452" i="2"/>
  <c r="I452" i="2"/>
  <c r="H452" i="2"/>
  <c r="G452" i="2"/>
  <c r="E452" i="2"/>
  <c r="AC451" i="2"/>
  <c r="AB451" i="2"/>
  <c r="AA451" i="2"/>
  <c r="Z451" i="2"/>
  <c r="X451" i="2"/>
  <c r="W451" i="2"/>
  <c r="V451" i="2"/>
  <c r="U451" i="2"/>
  <c r="T451" i="2"/>
  <c r="S451" i="2"/>
  <c r="R451" i="2"/>
  <c r="Q451" i="2"/>
  <c r="P451" i="2"/>
  <c r="O451" i="2"/>
  <c r="K451" i="2"/>
  <c r="J451" i="2"/>
  <c r="I451" i="2"/>
  <c r="H451" i="2"/>
  <c r="G451" i="2"/>
  <c r="E451" i="2"/>
  <c r="AC450" i="2"/>
  <c r="AB450" i="2"/>
  <c r="AA450" i="2"/>
  <c r="Z450" i="2"/>
  <c r="X450" i="2"/>
  <c r="W450" i="2"/>
  <c r="V450" i="2"/>
  <c r="U450" i="2"/>
  <c r="T450" i="2"/>
  <c r="S450" i="2"/>
  <c r="R450" i="2"/>
  <c r="Q450" i="2"/>
  <c r="P450" i="2"/>
  <c r="O450" i="2"/>
  <c r="K450" i="2"/>
  <c r="J450" i="2"/>
  <c r="I450" i="2"/>
  <c r="H450" i="2"/>
  <c r="G450" i="2"/>
  <c r="E450" i="2"/>
  <c r="AC449" i="2"/>
  <c r="AB449" i="2"/>
  <c r="AA449" i="2"/>
  <c r="Z449" i="2"/>
  <c r="X449" i="2"/>
  <c r="W449" i="2"/>
  <c r="V449" i="2"/>
  <c r="U449" i="2"/>
  <c r="T449" i="2"/>
  <c r="S449" i="2"/>
  <c r="R449" i="2"/>
  <c r="Q449" i="2"/>
  <c r="P449" i="2"/>
  <c r="O449" i="2"/>
  <c r="K449" i="2"/>
  <c r="J449" i="2"/>
  <c r="I449" i="2"/>
  <c r="H449" i="2"/>
  <c r="G449" i="2"/>
  <c r="E449" i="2"/>
  <c r="AC448" i="2"/>
  <c r="AB448" i="2"/>
  <c r="AA448" i="2"/>
  <c r="Z448" i="2"/>
  <c r="X448" i="2"/>
  <c r="W448" i="2"/>
  <c r="V448" i="2"/>
  <c r="U448" i="2"/>
  <c r="T448" i="2"/>
  <c r="S448" i="2"/>
  <c r="R448" i="2"/>
  <c r="Q448" i="2"/>
  <c r="P448" i="2"/>
  <c r="O448" i="2"/>
  <c r="K448" i="2"/>
  <c r="J448" i="2"/>
  <c r="I448" i="2"/>
  <c r="H448" i="2"/>
  <c r="G448" i="2"/>
  <c r="E448" i="2"/>
  <c r="AC447" i="2"/>
  <c r="AB447" i="2"/>
  <c r="AA447" i="2"/>
  <c r="Z447" i="2"/>
  <c r="X447" i="2"/>
  <c r="W447" i="2"/>
  <c r="V447" i="2"/>
  <c r="U447" i="2"/>
  <c r="T447" i="2"/>
  <c r="S447" i="2"/>
  <c r="R447" i="2"/>
  <c r="Q447" i="2"/>
  <c r="P447" i="2"/>
  <c r="O447" i="2"/>
  <c r="K447" i="2"/>
  <c r="J447" i="2"/>
  <c r="I447" i="2"/>
  <c r="H447" i="2"/>
  <c r="G447" i="2"/>
  <c r="E447" i="2"/>
  <c r="AC446" i="2"/>
  <c r="AB446" i="2"/>
  <c r="AA446" i="2"/>
  <c r="Z446" i="2"/>
  <c r="X446" i="2"/>
  <c r="W446" i="2"/>
  <c r="V446" i="2"/>
  <c r="U446" i="2"/>
  <c r="T446" i="2"/>
  <c r="S446" i="2"/>
  <c r="R446" i="2"/>
  <c r="Q446" i="2"/>
  <c r="P446" i="2"/>
  <c r="O446" i="2"/>
  <c r="K446" i="2"/>
  <c r="J446" i="2"/>
  <c r="I446" i="2"/>
  <c r="H446" i="2"/>
  <c r="G446" i="2"/>
  <c r="E446" i="2"/>
  <c r="AC445" i="2"/>
  <c r="AB445" i="2"/>
  <c r="AA445" i="2"/>
  <c r="Z445" i="2"/>
  <c r="X445" i="2"/>
  <c r="W445" i="2"/>
  <c r="V445" i="2"/>
  <c r="U445" i="2"/>
  <c r="T445" i="2"/>
  <c r="S445" i="2"/>
  <c r="R445" i="2"/>
  <c r="Q445" i="2"/>
  <c r="P445" i="2"/>
  <c r="O445" i="2"/>
  <c r="K445" i="2"/>
  <c r="J445" i="2"/>
  <c r="I445" i="2"/>
  <c r="H445" i="2"/>
  <c r="G445" i="2"/>
  <c r="E445" i="2"/>
  <c r="AC444" i="2"/>
  <c r="AB444" i="2"/>
  <c r="AA444" i="2"/>
  <c r="Z444" i="2"/>
  <c r="X444" i="2"/>
  <c r="W444" i="2"/>
  <c r="V444" i="2"/>
  <c r="U444" i="2"/>
  <c r="T444" i="2"/>
  <c r="S444" i="2"/>
  <c r="R444" i="2"/>
  <c r="Q444" i="2"/>
  <c r="P444" i="2"/>
  <c r="O444" i="2"/>
  <c r="K444" i="2"/>
  <c r="J444" i="2"/>
  <c r="I444" i="2"/>
  <c r="H444" i="2"/>
  <c r="G444" i="2"/>
  <c r="E444" i="2"/>
  <c r="AC443" i="2"/>
  <c r="AB443" i="2"/>
  <c r="AA443" i="2"/>
  <c r="Z443" i="2"/>
  <c r="X443" i="2"/>
  <c r="W443" i="2"/>
  <c r="V443" i="2"/>
  <c r="U443" i="2"/>
  <c r="T443" i="2"/>
  <c r="S443" i="2"/>
  <c r="R443" i="2"/>
  <c r="Q443" i="2"/>
  <c r="P443" i="2"/>
  <c r="O443" i="2"/>
  <c r="K443" i="2"/>
  <c r="J443" i="2"/>
  <c r="I443" i="2"/>
  <c r="H443" i="2"/>
  <c r="G443" i="2"/>
  <c r="E443" i="2"/>
  <c r="AC442" i="2"/>
  <c r="AB442" i="2"/>
  <c r="AA442" i="2"/>
  <c r="Z442" i="2"/>
  <c r="X442" i="2"/>
  <c r="W442" i="2"/>
  <c r="V442" i="2"/>
  <c r="U442" i="2"/>
  <c r="T442" i="2"/>
  <c r="S442" i="2"/>
  <c r="R442" i="2"/>
  <c r="Q442" i="2"/>
  <c r="P442" i="2"/>
  <c r="O442" i="2"/>
  <c r="K442" i="2"/>
  <c r="J442" i="2"/>
  <c r="I442" i="2"/>
  <c r="H442" i="2"/>
  <c r="G442" i="2"/>
  <c r="E442" i="2"/>
  <c r="AC441" i="2"/>
  <c r="AB441" i="2"/>
  <c r="AA441" i="2"/>
  <c r="Z441" i="2"/>
  <c r="X441" i="2"/>
  <c r="W441" i="2"/>
  <c r="V441" i="2"/>
  <c r="U441" i="2"/>
  <c r="T441" i="2"/>
  <c r="S441" i="2"/>
  <c r="R441" i="2"/>
  <c r="Q441" i="2"/>
  <c r="P441" i="2"/>
  <c r="O441" i="2"/>
  <c r="K441" i="2"/>
  <c r="J441" i="2"/>
  <c r="I441" i="2"/>
  <c r="H441" i="2"/>
  <c r="G441" i="2"/>
  <c r="E441" i="2"/>
  <c r="AC440" i="2"/>
  <c r="AB440" i="2"/>
  <c r="AA440" i="2"/>
  <c r="Z440" i="2"/>
  <c r="X440" i="2"/>
  <c r="W440" i="2"/>
  <c r="V440" i="2"/>
  <c r="U440" i="2"/>
  <c r="T440" i="2"/>
  <c r="S440" i="2"/>
  <c r="R440" i="2"/>
  <c r="Q440" i="2"/>
  <c r="P440" i="2"/>
  <c r="O440" i="2"/>
  <c r="K440" i="2"/>
  <c r="J440" i="2"/>
  <c r="I440" i="2"/>
  <c r="H440" i="2"/>
  <c r="G440" i="2"/>
  <c r="E440" i="2"/>
  <c r="AC439" i="2"/>
  <c r="AB439" i="2"/>
  <c r="AA439" i="2"/>
  <c r="Z439" i="2"/>
  <c r="X439" i="2"/>
  <c r="W439" i="2"/>
  <c r="V439" i="2"/>
  <c r="U439" i="2"/>
  <c r="T439" i="2"/>
  <c r="S439" i="2"/>
  <c r="R439" i="2"/>
  <c r="Q439" i="2"/>
  <c r="P439" i="2"/>
  <c r="O439" i="2"/>
  <c r="K439" i="2"/>
  <c r="J439" i="2"/>
  <c r="I439" i="2"/>
  <c r="H439" i="2"/>
  <c r="G439" i="2"/>
  <c r="E439" i="2"/>
  <c r="AC438" i="2"/>
  <c r="AB438" i="2"/>
  <c r="AA438" i="2"/>
  <c r="Z438" i="2"/>
  <c r="X438" i="2"/>
  <c r="W438" i="2"/>
  <c r="V438" i="2"/>
  <c r="U438" i="2"/>
  <c r="T438" i="2"/>
  <c r="S438" i="2"/>
  <c r="R438" i="2"/>
  <c r="Q438" i="2"/>
  <c r="P438" i="2"/>
  <c r="O438" i="2"/>
  <c r="K438" i="2"/>
  <c r="J438" i="2"/>
  <c r="I438" i="2"/>
  <c r="H438" i="2"/>
  <c r="G438" i="2"/>
  <c r="E438" i="2"/>
  <c r="AC437" i="2"/>
  <c r="AB437" i="2"/>
  <c r="AA437" i="2"/>
  <c r="Z437" i="2"/>
  <c r="X437" i="2"/>
  <c r="W437" i="2"/>
  <c r="V437" i="2"/>
  <c r="U437" i="2"/>
  <c r="T437" i="2"/>
  <c r="S437" i="2"/>
  <c r="R437" i="2"/>
  <c r="Q437" i="2"/>
  <c r="P437" i="2"/>
  <c r="O437" i="2"/>
  <c r="K437" i="2"/>
  <c r="J437" i="2"/>
  <c r="I437" i="2"/>
  <c r="H437" i="2"/>
  <c r="G437" i="2"/>
  <c r="E437" i="2"/>
  <c r="AC436" i="2"/>
  <c r="AB436" i="2"/>
  <c r="AA436" i="2"/>
  <c r="Z436" i="2"/>
  <c r="X436" i="2"/>
  <c r="W436" i="2"/>
  <c r="V436" i="2"/>
  <c r="U436" i="2"/>
  <c r="T436" i="2"/>
  <c r="S436" i="2"/>
  <c r="R436" i="2"/>
  <c r="Q436" i="2"/>
  <c r="P436" i="2"/>
  <c r="O436" i="2"/>
  <c r="K436" i="2"/>
  <c r="J436" i="2"/>
  <c r="I436" i="2"/>
  <c r="H436" i="2"/>
  <c r="G436" i="2"/>
  <c r="E436" i="2"/>
  <c r="AC435" i="2"/>
  <c r="AB435" i="2"/>
  <c r="AA435" i="2"/>
  <c r="Z435" i="2"/>
  <c r="X435" i="2"/>
  <c r="W435" i="2"/>
  <c r="V435" i="2"/>
  <c r="U435" i="2"/>
  <c r="T435" i="2"/>
  <c r="S435" i="2"/>
  <c r="R435" i="2"/>
  <c r="Q435" i="2"/>
  <c r="P435" i="2"/>
  <c r="O435" i="2"/>
  <c r="K435" i="2"/>
  <c r="J435" i="2"/>
  <c r="I435" i="2"/>
  <c r="H435" i="2"/>
  <c r="G435" i="2"/>
  <c r="E435" i="2"/>
  <c r="AC434" i="2"/>
  <c r="AB434" i="2"/>
  <c r="AA434" i="2"/>
  <c r="Z434" i="2"/>
  <c r="X434" i="2"/>
  <c r="W434" i="2"/>
  <c r="V434" i="2"/>
  <c r="U434" i="2"/>
  <c r="T434" i="2"/>
  <c r="S434" i="2"/>
  <c r="R434" i="2"/>
  <c r="Q434" i="2"/>
  <c r="P434" i="2"/>
  <c r="O434" i="2"/>
  <c r="K434" i="2"/>
  <c r="J434" i="2"/>
  <c r="I434" i="2"/>
  <c r="H434" i="2"/>
  <c r="G434" i="2"/>
  <c r="E434" i="2"/>
  <c r="AC433" i="2"/>
  <c r="AB433" i="2"/>
  <c r="AA433" i="2"/>
  <c r="Z433" i="2"/>
  <c r="X433" i="2"/>
  <c r="W433" i="2"/>
  <c r="V433" i="2"/>
  <c r="U433" i="2"/>
  <c r="T433" i="2"/>
  <c r="S433" i="2"/>
  <c r="R433" i="2"/>
  <c r="Q433" i="2"/>
  <c r="P433" i="2"/>
  <c r="O433" i="2"/>
  <c r="K433" i="2"/>
  <c r="J433" i="2"/>
  <c r="I433" i="2"/>
  <c r="H433" i="2"/>
  <c r="G433" i="2"/>
  <c r="E433" i="2"/>
  <c r="AC432" i="2"/>
  <c r="AB432" i="2"/>
  <c r="AA432" i="2"/>
  <c r="Z432" i="2"/>
  <c r="X432" i="2"/>
  <c r="W432" i="2"/>
  <c r="V432" i="2"/>
  <c r="U432" i="2"/>
  <c r="T432" i="2"/>
  <c r="S432" i="2"/>
  <c r="R432" i="2"/>
  <c r="Q432" i="2"/>
  <c r="P432" i="2"/>
  <c r="O432" i="2"/>
  <c r="K432" i="2"/>
  <c r="J432" i="2"/>
  <c r="I432" i="2"/>
  <c r="H432" i="2"/>
  <c r="G432" i="2"/>
  <c r="E432" i="2"/>
  <c r="AC431" i="2"/>
  <c r="AB431" i="2"/>
  <c r="AA431" i="2"/>
  <c r="Z431" i="2"/>
  <c r="X431" i="2"/>
  <c r="W431" i="2"/>
  <c r="V431" i="2"/>
  <c r="U431" i="2"/>
  <c r="T431" i="2"/>
  <c r="S431" i="2"/>
  <c r="R431" i="2"/>
  <c r="Q431" i="2"/>
  <c r="P431" i="2"/>
  <c r="O431" i="2"/>
  <c r="K431" i="2"/>
  <c r="J431" i="2"/>
  <c r="I431" i="2"/>
  <c r="H431" i="2"/>
  <c r="G431" i="2"/>
  <c r="E431" i="2"/>
  <c r="AC430" i="2"/>
  <c r="AB430" i="2"/>
  <c r="AA430" i="2"/>
  <c r="Z430" i="2"/>
  <c r="X430" i="2"/>
  <c r="W430" i="2"/>
  <c r="V430" i="2"/>
  <c r="U430" i="2"/>
  <c r="T430" i="2"/>
  <c r="S430" i="2"/>
  <c r="R430" i="2"/>
  <c r="Q430" i="2"/>
  <c r="P430" i="2"/>
  <c r="O430" i="2"/>
  <c r="K430" i="2"/>
  <c r="J430" i="2"/>
  <c r="I430" i="2"/>
  <c r="H430" i="2"/>
  <c r="G430" i="2"/>
  <c r="E430" i="2"/>
  <c r="AC429" i="2"/>
  <c r="AB429" i="2"/>
  <c r="AA429" i="2"/>
  <c r="Z429" i="2"/>
  <c r="X429" i="2"/>
  <c r="W429" i="2"/>
  <c r="V429" i="2"/>
  <c r="U429" i="2"/>
  <c r="T429" i="2"/>
  <c r="S429" i="2"/>
  <c r="R429" i="2"/>
  <c r="Q429" i="2"/>
  <c r="P429" i="2"/>
  <c r="O429" i="2"/>
  <c r="K429" i="2"/>
  <c r="J429" i="2"/>
  <c r="I429" i="2"/>
  <c r="H429" i="2"/>
  <c r="G429" i="2"/>
  <c r="E429" i="2"/>
  <c r="AC428" i="2"/>
  <c r="AB428" i="2"/>
  <c r="AA428" i="2"/>
  <c r="Z428" i="2"/>
  <c r="X428" i="2"/>
  <c r="W428" i="2"/>
  <c r="V428" i="2"/>
  <c r="U428" i="2"/>
  <c r="T428" i="2"/>
  <c r="S428" i="2"/>
  <c r="R428" i="2"/>
  <c r="Q428" i="2"/>
  <c r="P428" i="2"/>
  <c r="O428" i="2"/>
  <c r="K428" i="2"/>
  <c r="J428" i="2"/>
  <c r="I428" i="2"/>
  <c r="H428" i="2"/>
  <c r="G428" i="2"/>
  <c r="E428" i="2"/>
  <c r="AC427" i="2"/>
  <c r="AB427" i="2"/>
  <c r="AA427" i="2"/>
  <c r="Z427" i="2"/>
  <c r="X427" i="2"/>
  <c r="W427" i="2"/>
  <c r="V427" i="2"/>
  <c r="U427" i="2"/>
  <c r="T427" i="2"/>
  <c r="S427" i="2"/>
  <c r="R427" i="2"/>
  <c r="Q427" i="2"/>
  <c r="P427" i="2"/>
  <c r="O427" i="2"/>
  <c r="K427" i="2"/>
  <c r="J427" i="2"/>
  <c r="I427" i="2"/>
  <c r="H427" i="2"/>
  <c r="G427" i="2"/>
  <c r="E427" i="2"/>
  <c r="AC426" i="2"/>
  <c r="AB426" i="2"/>
  <c r="AA426" i="2"/>
  <c r="Z426" i="2"/>
  <c r="X426" i="2"/>
  <c r="W426" i="2"/>
  <c r="V426" i="2"/>
  <c r="U426" i="2"/>
  <c r="T426" i="2"/>
  <c r="S426" i="2"/>
  <c r="R426" i="2"/>
  <c r="Q426" i="2"/>
  <c r="P426" i="2"/>
  <c r="O426" i="2"/>
  <c r="K426" i="2"/>
  <c r="J426" i="2"/>
  <c r="I426" i="2"/>
  <c r="H426" i="2"/>
  <c r="G426" i="2"/>
  <c r="E426" i="2"/>
  <c r="AC425" i="2"/>
  <c r="AB425" i="2"/>
  <c r="AA425" i="2"/>
  <c r="Z425" i="2"/>
  <c r="X425" i="2"/>
  <c r="W425" i="2"/>
  <c r="V425" i="2"/>
  <c r="U425" i="2"/>
  <c r="T425" i="2"/>
  <c r="S425" i="2"/>
  <c r="R425" i="2"/>
  <c r="Q425" i="2"/>
  <c r="P425" i="2"/>
  <c r="O425" i="2"/>
  <c r="K425" i="2"/>
  <c r="J425" i="2"/>
  <c r="I425" i="2"/>
  <c r="H425" i="2"/>
  <c r="G425" i="2"/>
  <c r="E425" i="2"/>
  <c r="AC424" i="2"/>
  <c r="AB424" i="2"/>
  <c r="AA424" i="2"/>
  <c r="Z424" i="2"/>
  <c r="X424" i="2"/>
  <c r="W424" i="2"/>
  <c r="V424" i="2"/>
  <c r="U424" i="2"/>
  <c r="T424" i="2"/>
  <c r="S424" i="2"/>
  <c r="R424" i="2"/>
  <c r="Q424" i="2"/>
  <c r="P424" i="2"/>
  <c r="O424" i="2"/>
  <c r="K424" i="2"/>
  <c r="J424" i="2"/>
  <c r="I424" i="2"/>
  <c r="H424" i="2"/>
  <c r="G424" i="2"/>
  <c r="E424" i="2"/>
  <c r="AC423" i="2"/>
  <c r="AB423" i="2"/>
  <c r="AA423" i="2"/>
  <c r="Z423" i="2"/>
  <c r="X423" i="2"/>
  <c r="W423" i="2"/>
  <c r="V423" i="2"/>
  <c r="U423" i="2"/>
  <c r="T423" i="2"/>
  <c r="S423" i="2"/>
  <c r="R423" i="2"/>
  <c r="Q423" i="2"/>
  <c r="P423" i="2"/>
  <c r="O423" i="2"/>
  <c r="K423" i="2"/>
  <c r="J423" i="2"/>
  <c r="I423" i="2"/>
  <c r="H423" i="2"/>
  <c r="G423" i="2"/>
  <c r="E423" i="2"/>
  <c r="AC422" i="2"/>
  <c r="AB422" i="2"/>
  <c r="AA422" i="2"/>
  <c r="Z422" i="2"/>
  <c r="X422" i="2"/>
  <c r="W422" i="2"/>
  <c r="V422" i="2"/>
  <c r="U422" i="2"/>
  <c r="T422" i="2"/>
  <c r="S422" i="2"/>
  <c r="R422" i="2"/>
  <c r="Q422" i="2"/>
  <c r="P422" i="2"/>
  <c r="O422" i="2"/>
  <c r="K422" i="2"/>
  <c r="J422" i="2"/>
  <c r="I422" i="2"/>
  <c r="H422" i="2"/>
  <c r="G422" i="2"/>
  <c r="E422" i="2"/>
  <c r="AC421" i="2"/>
  <c r="AB421" i="2"/>
  <c r="AA421" i="2"/>
  <c r="Z421" i="2"/>
  <c r="X421" i="2"/>
  <c r="W421" i="2"/>
  <c r="V421" i="2"/>
  <c r="U421" i="2"/>
  <c r="T421" i="2"/>
  <c r="S421" i="2"/>
  <c r="R421" i="2"/>
  <c r="Q421" i="2"/>
  <c r="P421" i="2"/>
  <c r="O421" i="2"/>
  <c r="K421" i="2"/>
  <c r="J421" i="2"/>
  <c r="I421" i="2"/>
  <c r="H421" i="2"/>
  <c r="G421" i="2"/>
  <c r="E421" i="2"/>
  <c r="AC420" i="2"/>
  <c r="AB420" i="2"/>
  <c r="AA420" i="2"/>
  <c r="Z420" i="2"/>
  <c r="X420" i="2"/>
  <c r="W420" i="2"/>
  <c r="V420" i="2"/>
  <c r="U420" i="2"/>
  <c r="T420" i="2"/>
  <c r="S420" i="2"/>
  <c r="R420" i="2"/>
  <c r="Q420" i="2"/>
  <c r="P420" i="2"/>
  <c r="O420" i="2"/>
  <c r="K420" i="2"/>
  <c r="J420" i="2"/>
  <c r="I420" i="2"/>
  <c r="H420" i="2"/>
  <c r="G420" i="2"/>
  <c r="E420" i="2"/>
  <c r="AC419" i="2"/>
  <c r="AB419" i="2"/>
  <c r="AA419" i="2"/>
  <c r="Z419" i="2"/>
  <c r="X419" i="2"/>
  <c r="W419" i="2"/>
  <c r="V419" i="2"/>
  <c r="U419" i="2"/>
  <c r="T419" i="2"/>
  <c r="S419" i="2"/>
  <c r="R419" i="2"/>
  <c r="Q419" i="2"/>
  <c r="P419" i="2"/>
  <c r="O419" i="2"/>
  <c r="K419" i="2"/>
  <c r="J419" i="2"/>
  <c r="I419" i="2"/>
  <c r="H419" i="2"/>
  <c r="G419" i="2"/>
  <c r="E419" i="2"/>
  <c r="AC418" i="2"/>
  <c r="AB418" i="2"/>
  <c r="AA418" i="2"/>
  <c r="Z418" i="2"/>
  <c r="X418" i="2"/>
  <c r="W418" i="2"/>
  <c r="V418" i="2"/>
  <c r="U418" i="2"/>
  <c r="T418" i="2"/>
  <c r="S418" i="2"/>
  <c r="R418" i="2"/>
  <c r="Q418" i="2"/>
  <c r="P418" i="2"/>
  <c r="O418" i="2"/>
  <c r="K418" i="2"/>
  <c r="J418" i="2"/>
  <c r="I418" i="2"/>
  <c r="H418" i="2"/>
  <c r="G418" i="2"/>
  <c r="E418" i="2"/>
  <c r="AC417" i="2"/>
  <c r="AB417" i="2"/>
  <c r="AA417" i="2"/>
  <c r="Z417" i="2"/>
  <c r="X417" i="2"/>
  <c r="W417" i="2"/>
  <c r="V417" i="2"/>
  <c r="U417" i="2"/>
  <c r="T417" i="2"/>
  <c r="S417" i="2"/>
  <c r="R417" i="2"/>
  <c r="Q417" i="2"/>
  <c r="P417" i="2"/>
  <c r="O417" i="2"/>
  <c r="K417" i="2"/>
  <c r="J417" i="2"/>
  <c r="I417" i="2"/>
  <c r="H417" i="2"/>
  <c r="G417" i="2"/>
  <c r="E417" i="2"/>
  <c r="AC416" i="2"/>
  <c r="AB416" i="2"/>
  <c r="AA416" i="2"/>
  <c r="Z416" i="2"/>
  <c r="X416" i="2"/>
  <c r="W416" i="2"/>
  <c r="V416" i="2"/>
  <c r="U416" i="2"/>
  <c r="T416" i="2"/>
  <c r="S416" i="2"/>
  <c r="R416" i="2"/>
  <c r="Q416" i="2"/>
  <c r="P416" i="2"/>
  <c r="O416" i="2"/>
  <c r="K416" i="2"/>
  <c r="J416" i="2"/>
  <c r="I416" i="2"/>
  <c r="H416" i="2"/>
  <c r="G416" i="2"/>
  <c r="E416" i="2"/>
  <c r="AC415" i="2"/>
  <c r="AB415" i="2"/>
  <c r="AA415" i="2"/>
  <c r="Z415" i="2"/>
  <c r="X415" i="2"/>
  <c r="W415" i="2"/>
  <c r="V415" i="2"/>
  <c r="U415" i="2"/>
  <c r="T415" i="2"/>
  <c r="S415" i="2"/>
  <c r="R415" i="2"/>
  <c r="Q415" i="2"/>
  <c r="P415" i="2"/>
  <c r="O415" i="2"/>
  <c r="K415" i="2"/>
  <c r="J415" i="2"/>
  <c r="I415" i="2"/>
  <c r="H415" i="2"/>
  <c r="G415" i="2"/>
  <c r="E415" i="2"/>
  <c r="AC414" i="2"/>
  <c r="AB414" i="2"/>
  <c r="AA414" i="2"/>
  <c r="Z414" i="2"/>
  <c r="X414" i="2"/>
  <c r="W414" i="2"/>
  <c r="V414" i="2"/>
  <c r="U414" i="2"/>
  <c r="T414" i="2"/>
  <c r="S414" i="2"/>
  <c r="R414" i="2"/>
  <c r="Q414" i="2"/>
  <c r="P414" i="2"/>
  <c r="O414" i="2"/>
  <c r="K414" i="2"/>
  <c r="J414" i="2"/>
  <c r="I414" i="2"/>
  <c r="H414" i="2"/>
  <c r="G414" i="2"/>
  <c r="E414" i="2"/>
  <c r="AC413" i="2"/>
  <c r="AB413" i="2"/>
  <c r="AA413" i="2"/>
  <c r="Z413" i="2"/>
  <c r="X413" i="2"/>
  <c r="W413" i="2"/>
  <c r="V413" i="2"/>
  <c r="U413" i="2"/>
  <c r="T413" i="2"/>
  <c r="S413" i="2"/>
  <c r="R413" i="2"/>
  <c r="Q413" i="2"/>
  <c r="P413" i="2"/>
  <c r="O413" i="2"/>
  <c r="K413" i="2"/>
  <c r="J413" i="2"/>
  <c r="I413" i="2"/>
  <c r="H413" i="2"/>
  <c r="G413" i="2"/>
  <c r="E413" i="2"/>
  <c r="AC412" i="2"/>
  <c r="AB412" i="2"/>
  <c r="AA412" i="2"/>
  <c r="Z412" i="2"/>
  <c r="X412" i="2"/>
  <c r="W412" i="2"/>
  <c r="V412" i="2"/>
  <c r="U412" i="2"/>
  <c r="T412" i="2"/>
  <c r="S412" i="2"/>
  <c r="R412" i="2"/>
  <c r="Q412" i="2"/>
  <c r="P412" i="2"/>
  <c r="O412" i="2"/>
  <c r="K412" i="2"/>
  <c r="J412" i="2"/>
  <c r="I412" i="2"/>
  <c r="H412" i="2"/>
  <c r="G412" i="2"/>
  <c r="E412" i="2"/>
  <c r="AC411" i="2"/>
  <c r="AB411" i="2"/>
  <c r="AA411" i="2"/>
  <c r="Z411" i="2"/>
  <c r="X411" i="2"/>
  <c r="W411" i="2"/>
  <c r="V411" i="2"/>
  <c r="U411" i="2"/>
  <c r="T411" i="2"/>
  <c r="S411" i="2"/>
  <c r="R411" i="2"/>
  <c r="Q411" i="2"/>
  <c r="P411" i="2"/>
  <c r="O411" i="2"/>
  <c r="K411" i="2"/>
  <c r="J411" i="2"/>
  <c r="I411" i="2"/>
  <c r="H411" i="2"/>
  <c r="G411" i="2"/>
  <c r="E411" i="2"/>
  <c r="AC410" i="2"/>
  <c r="AB410" i="2"/>
  <c r="AA410" i="2"/>
  <c r="Z410" i="2"/>
  <c r="X410" i="2"/>
  <c r="W410" i="2"/>
  <c r="V410" i="2"/>
  <c r="U410" i="2"/>
  <c r="T410" i="2"/>
  <c r="S410" i="2"/>
  <c r="R410" i="2"/>
  <c r="Q410" i="2"/>
  <c r="P410" i="2"/>
  <c r="O410" i="2"/>
  <c r="K410" i="2"/>
  <c r="J410" i="2"/>
  <c r="I410" i="2"/>
  <c r="H410" i="2"/>
  <c r="G410" i="2"/>
  <c r="E410" i="2"/>
  <c r="AC409" i="2"/>
  <c r="AB409" i="2"/>
  <c r="AA409" i="2"/>
  <c r="Z409" i="2"/>
  <c r="X409" i="2"/>
  <c r="W409" i="2"/>
  <c r="V409" i="2"/>
  <c r="U409" i="2"/>
  <c r="T409" i="2"/>
  <c r="S409" i="2"/>
  <c r="R409" i="2"/>
  <c r="Q409" i="2"/>
  <c r="P409" i="2"/>
  <c r="O409" i="2"/>
  <c r="K409" i="2"/>
  <c r="J409" i="2"/>
  <c r="I409" i="2"/>
  <c r="H409" i="2"/>
  <c r="G409" i="2"/>
  <c r="E409" i="2"/>
  <c r="AC408" i="2"/>
  <c r="AB408" i="2"/>
  <c r="AA408" i="2"/>
  <c r="Z408" i="2"/>
  <c r="X408" i="2"/>
  <c r="W408" i="2"/>
  <c r="V408" i="2"/>
  <c r="U408" i="2"/>
  <c r="T408" i="2"/>
  <c r="S408" i="2"/>
  <c r="R408" i="2"/>
  <c r="Q408" i="2"/>
  <c r="P408" i="2"/>
  <c r="O408" i="2"/>
  <c r="K408" i="2"/>
  <c r="J408" i="2"/>
  <c r="I408" i="2"/>
  <c r="H408" i="2"/>
  <c r="G408" i="2"/>
  <c r="E408" i="2"/>
  <c r="AC407" i="2"/>
  <c r="AB407" i="2"/>
  <c r="AA407" i="2"/>
  <c r="Z407" i="2"/>
  <c r="X407" i="2"/>
  <c r="W407" i="2"/>
  <c r="V407" i="2"/>
  <c r="U407" i="2"/>
  <c r="T407" i="2"/>
  <c r="S407" i="2"/>
  <c r="R407" i="2"/>
  <c r="Q407" i="2"/>
  <c r="P407" i="2"/>
  <c r="O407" i="2"/>
  <c r="K407" i="2"/>
  <c r="J407" i="2"/>
  <c r="I407" i="2"/>
  <c r="H407" i="2"/>
  <c r="G407" i="2"/>
  <c r="E407" i="2"/>
  <c r="AC406" i="2"/>
  <c r="AB406" i="2"/>
  <c r="AA406" i="2"/>
  <c r="Z406" i="2"/>
  <c r="X406" i="2"/>
  <c r="W406" i="2"/>
  <c r="V406" i="2"/>
  <c r="U406" i="2"/>
  <c r="T406" i="2"/>
  <c r="S406" i="2"/>
  <c r="R406" i="2"/>
  <c r="Q406" i="2"/>
  <c r="P406" i="2"/>
  <c r="O406" i="2"/>
  <c r="K406" i="2"/>
  <c r="J406" i="2"/>
  <c r="I406" i="2"/>
  <c r="H406" i="2"/>
  <c r="G406" i="2"/>
  <c r="E406" i="2"/>
  <c r="AC405" i="2"/>
  <c r="AB405" i="2"/>
  <c r="AA405" i="2"/>
  <c r="Z405" i="2"/>
  <c r="X405" i="2"/>
  <c r="W405" i="2"/>
  <c r="V405" i="2"/>
  <c r="U405" i="2"/>
  <c r="T405" i="2"/>
  <c r="S405" i="2"/>
  <c r="R405" i="2"/>
  <c r="Q405" i="2"/>
  <c r="P405" i="2"/>
  <c r="O405" i="2"/>
  <c r="K405" i="2"/>
  <c r="J405" i="2"/>
  <c r="I405" i="2"/>
  <c r="H405" i="2"/>
  <c r="G405" i="2"/>
  <c r="E405" i="2"/>
  <c r="AC404" i="2"/>
  <c r="AB404" i="2"/>
  <c r="AA404" i="2"/>
  <c r="Z404" i="2"/>
  <c r="X404" i="2"/>
  <c r="W404" i="2"/>
  <c r="V404" i="2"/>
  <c r="U404" i="2"/>
  <c r="T404" i="2"/>
  <c r="S404" i="2"/>
  <c r="R404" i="2"/>
  <c r="Q404" i="2"/>
  <c r="P404" i="2"/>
  <c r="O404" i="2"/>
  <c r="K404" i="2"/>
  <c r="J404" i="2"/>
  <c r="I404" i="2"/>
  <c r="H404" i="2"/>
  <c r="G404" i="2"/>
  <c r="E404" i="2"/>
  <c r="AC403" i="2"/>
  <c r="AB403" i="2"/>
  <c r="AA403" i="2"/>
  <c r="Z403" i="2"/>
  <c r="X403" i="2"/>
  <c r="W403" i="2"/>
  <c r="V403" i="2"/>
  <c r="U403" i="2"/>
  <c r="T403" i="2"/>
  <c r="S403" i="2"/>
  <c r="R403" i="2"/>
  <c r="Q403" i="2"/>
  <c r="P403" i="2"/>
  <c r="O403" i="2"/>
  <c r="K403" i="2"/>
  <c r="J403" i="2"/>
  <c r="I403" i="2"/>
  <c r="H403" i="2"/>
  <c r="G403" i="2"/>
  <c r="E403" i="2"/>
  <c r="AC402" i="2"/>
  <c r="AB402" i="2"/>
  <c r="AA402" i="2"/>
  <c r="Z402" i="2"/>
  <c r="X402" i="2"/>
  <c r="W402" i="2"/>
  <c r="V402" i="2"/>
  <c r="U402" i="2"/>
  <c r="T402" i="2"/>
  <c r="S402" i="2"/>
  <c r="R402" i="2"/>
  <c r="Q402" i="2"/>
  <c r="P402" i="2"/>
  <c r="O402" i="2"/>
  <c r="K402" i="2"/>
  <c r="J402" i="2"/>
  <c r="I402" i="2"/>
  <c r="H402" i="2"/>
  <c r="G402" i="2"/>
  <c r="E402" i="2"/>
  <c r="AC401" i="2"/>
  <c r="AB401" i="2"/>
  <c r="AA401" i="2"/>
  <c r="Z401" i="2"/>
  <c r="X401" i="2"/>
  <c r="W401" i="2"/>
  <c r="V401" i="2"/>
  <c r="U401" i="2"/>
  <c r="T401" i="2"/>
  <c r="S401" i="2"/>
  <c r="R401" i="2"/>
  <c r="Q401" i="2"/>
  <c r="P401" i="2"/>
  <c r="O401" i="2"/>
  <c r="K401" i="2"/>
  <c r="J401" i="2"/>
  <c r="I401" i="2"/>
  <c r="H401" i="2"/>
  <c r="G401" i="2"/>
  <c r="E401" i="2"/>
  <c r="AC400" i="2"/>
  <c r="AB400" i="2"/>
  <c r="AA400" i="2"/>
  <c r="Z400" i="2"/>
  <c r="X400" i="2"/>
  <c r="W400" i="2"/>
  <c r="V400" i="2"/>
  <c r="U400" i="2"/>
  <c r="T400" i="2"/>
  <c r="S400" i="2"/>
  <c r="R400" i="2"/>
  <c r="Q400" i="2"/>
  <c r="P400" i="2"/>
  <c r="O400" i="2"/>
  <c r="K400" i="2"/>
  <c r="J400" i="2"/>
  <c r="I400" i="2"/>
  <c r="H400" i="2"/>
  <c r="G400" i="2"/>
  <c r="E400" i="2"/>
  <c r="AC399" i="2"/>
  <c r="AB399" i="2"/>
  <c r="AA399" i="2"/>
  <c r="Z399" i="2"/>
  <c r="X399" i="2"/>
  <c r="W399" i="2"/>
  <c r="V399" i="2"/>
  <c r="U399" i="2"/>
  <c r="T399" i="2"/>
  <c r="S399" i="2"/>
  <c r="R399" i="2"/>
  <c r="Q399" i="2"/>
  <c r="P399" i="2"/>
  <c r="O399" i="2"/>
  <c r="K399" i="2"/>
  <c r="J399" i="2"/>
  <c r="I399" i="2"/>
  <c r="H399" i="2"/>
  <c r="G399" i="2"/>
  <c r="E399" i="2"/>
  <c r="AC398" i="2"/>
  <c r="AB398" i="2"/>
  <c r="AA398" i="2"/>
  <c r="Z398" i="2"/>
  <c r="X398" i="2"/>
  <c r="W398" i="2"/>
  <c r="V398" i="2"/>
  <c r="U398" i="2"/>
  <c r="T398" i="2"/>
  <c r="S398" i="2"/>
  <c r="R398" i="2"/>
  <c r="Q398" i="2"/>
  <c r="P398" i="2"/>
  <c r="O398" i="2"/>
  <c r="K398" i="2"/>
  <c r="J398" i="2"/>
  <c r="I398" i="2"/>
  <c r="H398" i="2"/>
  <c r="G398" i="2"/>
  <c r="E398" i="2"/>
  <c r="AC397" i="2"/>
  <c r="AB397" i="2"/>
  <c r="AA397" i="2"/>
  <c r="Z397" i="2"/>
  <c r="X397" i="2"/>
  <c r="W397" i="2"/>
  <c r="V397" i="2"/>
  <c r="U397" i="2"/>
  <c r="T397" i="2"/>
  <c r="S397" i="2"/>
  <c r="R397" i="2"/>
  <c r="Q397" i="2"/>
  <c r="P397" i="2"/>
  <c r="O397" i="2"/>
  <c r="K397" i="2"/>
  <c r="J397" i="2"/>
  <c r="I397" i="2"/>
  <c r="H397" i="2"/>
  <c r="G397" i="2"/>
  <c r="E397" i="2"/>
  <c r="AC396" i="2"/>
  <c r="AB396" i="2"/>
  <c r="AA396" i="2"/>
  <c r="Z396" i="2"/>
  <c r="X396" i="2"/>
  <c r="W396" i="2"/>
  <c r="V396" i="2"/>
  <c r="U396" i="2"/>
  <c r="T396" i="2"/>
  <c r="S396" i="2"/>
  <c r="R396" i="2"/>
  <c r="Q396" i="2"/>
  <c r="P396" i="2"/>
  <c r="O396" i="2"/>
  <c r="K396" i="2"/>
  <c r="J396" i="2"/>
  <c r="I396" i="2"/>
  <c r="H396" i="2"/>
  <c r="G396" i="2"/>
  <c r="E396" i="2"/>
  <c r="AC395" i="2"/>
  <c r="AB395" i="2"/>
  <c r="AA395" i="2"/>
  <c r="Z395" i="2"/>
  <c r="X395" i="2"/>
  <c r="W395" i="2"/>
  <c r="V395" i="2"/>
  <c r="U395" i="2"/>
  <c r="T395" i="2"/>
  <c r="S395" i="2"/>
  <c r="R395" i="2"/>
  <c r="Q395" i="2"/>
  <c r="P395" i="2"/>
  <c r="O395" i="2"/>
  <c r="K395" i="2"/>
  <c r="J395" i="2"/>
  <c r="I395" i="2"/>
  <c r="H395" i="2"/>
  <c r="G395" i="2"/>
  <c r="E395" i="2"/>
  <c r="AC394" i="2"/>
  <c r="AB394" i="2"/>
  <c r="AA394" i="2"/>
  <c r="Z394" i="2"/>
  <c r="X394" i="2"/>
  <c r="W394" i="2"/>
  <c r="V394" i="2"/>
  <c r="U394" i="2"/>
  <c r="T394" i="2"/>
  <c r="S394" i="2"/>
  <c r="R394" i="2"/>
  <c r="Q394" i="2"/>
  <c r="P394" i="2"/>
  <c r="O394" i="2"/>
  <c r="K394" i="2"/>
  <c r="J394" i="2"/>
  <c r="I394" i="2"/>
  <c r="H394" i="2"/>
  <c r="G394" i="2"/>
  <c r="E394" i="2"/>
  <c r="AC393" i="2"/>
  <c r="AB393" i="2"/>
  <c r="AA393" i="2"/>
  <c r="Z393" i="2"/>
  <c r="X393" i="2"/>
  <c r="W393" i="2"/>
  <c r="V393" i="2"/>
  <c r="U393" i="2"/>
  <c r="T393" i="2"/>
  <c r="S393" i="2"/>
  <c r="R393" i="2"/>
  <c r="Q393" i="2"/>
  <c r="P393" i="2"/>
  <c r="O393" i="2"/>
  <c r="K393" i="2"/>
  <c r="J393" i="2"/>
  <c r="I393" i="2"/>
  <c r="H393" i="2"/>
  <c r="G393" i="2"/>
  <c r="E393" i="2"/>
  <c r="AC392" i="2"/>
  <c r="AB392" i="2"/>
  <c r="AA392" i="2"/>
  <c r="Z392" i="2"/>
  <c r="X392" i="2"/>
  <c r="W392" i="2"/>
  <c r="V392" i="2"/>
  <c r="U392" i="2"/>
  <c r="T392" i="2"/>
  <c r="S392" i="2"/>
  <c r="R392" i="2"/>
  <c r="Q392" i="2"/>
  <c r="P392" i="2"/>
  <c r="O392" i="2"/>
  <c r="K392" i="2"/>
  <c r="J392" i="2"/>
  <c r="I392" i="2"/>
  <c r="H392" i="2"/>
  <c r="G392" i="2"/>
  <c r="E392" i="2"/>
  <c r="AC391" i="2"/>
  <c r="AB391" i="2"/>
  <c r="AA391" i="2"/>
  <c r="Z391" i="2"/>
  <c r="X391" i="2"/>
  <c r="W391" i="2"/>
  <c r="V391" i="2"/>
  <c r="U391" i="2"/>
  <c r="T391" i="2"/>
  <c r="S391" i="2"/>
  <c r="R391" i="2"/>
  <c r="Q391" i="2"/>
  <c r="P391" i="2"/>
  <c r="O391" i="2"/>
  <c r="K391" i="2"/>
  <c r="J391" i="2"/>
  <c r="I391" i="2"/>
  <c r="H391" i="2"/>
  <c r="G391" i="2"/>
  <c r="E391" i="2"/>
  <c r="AC390" i="2"/>
  <c r="AB390" i="2"/>
  <c r="AA390" i="2"/>
  <c r="Z390" i="2"/>
  <c r="X390" i="2"/>
  <c r="W390" i="2"/>
  <c r="V390" i="2"/>
  <c r="U390" i="2"/>
  <c r="T390" i="2"/>
  <c r="S390" i="2"/>
  <c r="R390" i="2"/>
  <c r="Q390" i="2"/>
  <c r="P390" i="2"/>
  <c r="O390" i="2"/>
  <c r="K390" i="2"/>
  <c r="J390" i="2"/>
  <c r="I390" i="2"/>
  <c r="H390" i="2"/>
  <c r="G390" i="2"/>
  <c r="E390" i="2"/>
  <c r="AC389" i="2"/>
  <c r="AB389" i="2"/>
  <c r="AA389" i="2"/>
  <c r="Z389" i="2"/>
  <c r="X389" i="2"/>
  <c r="W389" i="2"/>
  <c r="V389" i="2"/>
  <c r="U389" i="2"/>
  <c r="T389" i="2"/>
  <c r="S389" i="2"/>
  <c r="R389" i="2"/>
  <c r="Q389" i="2"/>
  <c r="P389" i="2"/>
  <c r="O389" i="2"/>
  <c r="K389" i="2"/>
  <c r="J389" i="2"/>
  <c r="I389" i="2"/>
  <c r="H389" i="2"/>
  <c r="G389" i="2"/>
  <c r="E389" i="2"/>
  <c r="AC388" i="2"/>
  <c r="AB388" i="2"/>
  <c r="AA388" i="2"/>
  <c r="Z388" i="2"/>
  <c r="X388" i="2"/>
  <c r="W388" i="2"/>
  <c r="V388" i="2"/>
  <c r="U388" i="2"/>
  <c r="T388" i="2"/>
  <c r="S388" i="2"/>
  <c r="R388" i="2"/>
  <c r="Q388" i="2"/>
  <c r="P388" i="2"/>
  <c r="O388" i="2"/>
  <c r="K388" i="2"/>
  <c r="J388" i="2"/>
  <c r="I388" i="2"/>
  <c r="H388" i="2"/>
  <c r="G388" i="2"/>
  <c r="E388" i="2"/>
  <c r="AC387" i="2"/>
  <c r="AB387" i="2"/>
  <c r="AA387" i="2"/>
  <c r="Z387" i="2"/>
  <c r="X387" i="2"/>
  <c r="W387" i="2"/>
  <c r="V387" i="2"/>
  <c r="U387" i="2"/>
  <c r="T387" i="2"/>
  <c r="S387" i="2"/>
  <c r="R387" i="2"/>
  <c r="Q387" i="2"/>
  <c r="P387" i="2"/>
  <c r="O387" i="2"/>
  <c r="K387" i="2"/>
  <c r="J387" i="2"/>
  <c r="I387" i="2"/>
  <c r="H387" i="2"/>
  <c r="G387" i="2"/>
  <c r="E387" i="2"/>
  <c r="AC386" i="2"/>
  <c r="AB386" i="2"/>
  <c r="AA386" i="2"/>
  <c r="Z386" i="2"/>
  <c r="X386" i="2"/>
  <c r="W386" i="2"/>
  <c r="V386" i="2"/>
  <c r="U386" i="2"/>
  <c r="T386" i="2"/>
  <c r="S386" i="2"/>
  <c r="R386" i="2"/>
  <c r="Q386" i="2"/>
  <c r="P386" i="2"/>
  <c r="O386" i="2"/>
  <c r="K386" i="2"/>
  <c r="J386" i="2"/>
  <c r="I386" i="2"/>
  <c r="H386" i="2"/>
  <c r="G386" i="2"/>
  <c r="E386" i="2"/>
  <c r="AC385" i="2"/>
  <c r="AB385" i="2"/>
  <c r="AA385" i="2"/>
  <c r="Z385" i="2"/>
  <c r="X385" i="2"/>
  <c r="W385" i="2"/>
  <c r="V385" i="2"/>
  <c r="U385" i="2"/>
  <c r="T385" i="2"/>
  <c r="S385" i="2"/>
  <c r="R385" i="2"/>
  <c r="Q385" i="2"/>
  <c r="P385" i="2"/>
  <c r="O385" i="2"/>
  <c r="K385" i="2"/>
  <c r="J385" i="2"/>
  <c r="I385" i="2"/>
  <c r="H385" i="2"/>
  <c r="G385" i="2"/>
  <c r="E385" i="2"/>
  <c r="AC384" i="2"/>
  <c r="AB384" i="2"/>
  <c r="AA384" i="2"/>
  <c r="Z384" i="2"/>
  <c r="X384" i="2"/>
  <c r="W384" i="2"/>
  <c r="V384" i="2"/>
  <c r="U384" i="2"/>
  <c r="T384" i="2"/>
  <c r="S384" i="2"/>
  <c r="R384" i="2"/>
  <c r="Q384" i="2"/>
  <c r="P384" i="2"/>
  <c r="O384" i="2"/>
  <c r="K384" i="2"/>
  <c r="J384" i="2"/>
  <c r="I384" i="2"/>
  <c r="H384" i="2"/>
  <c r="G384" i="2"/>
  <c r="E384" i="2"/>
  <c r="AC383" i="2"/>
  <c r="AB383" i="2"/>
  <c r="AA383" i="2"/>
  <c r="Z383" i="2"/>
  <c r="X383" i="2"/>
  <c r="W383" i="2"/>
  <c r="V383" i="2"/>
  <c r="U383" i="2"/>
  <c r="T383" i="2"/>
  <c r="S383" i="2"/>
  <c r="R383" i="2"/>
  <c r="Q383" i="2"/>
  <c r="P383" i="2"/>
  <c r="O383" i="2"/>
  <c r="K383" i="2"/>
  <c r="J383" i="2"/>
  <c r="I383" i="2"/>
  <c r="H383" i="2"/>
  <c r="G383" i="2"/>
  <c r="E383" i="2"/>
  <c r="AC382" i="2"/>
  <c r="AB382" i="2"/>
  <c r="AA382" i="2"/>
  <c r="Z382" i="2"/>
  <c r="X382" i="2"/>
  <c r="W382" i="2"/>
  <c r="V382" i="2"/>
  <c r="U382" i="2"/>
  <c r="T382" i="2"/>
  <c r="S382" i="2"/>
  <c r="R382" i="2"/>
  <c r="Q382" i="2"/>
  <c r="P382" i="2"/>
  <c r="O382" i="2"/>
  <c r="K382" i="2"/>
  <c r="J382" i="2"/>
  <c r="I382" i="2"/>
  <c r="H382" i="2"/>
  <c r="G382" i="2"/>
  <c r="E382" i="2"/>
  <c r="AC381" i="2"/>
  <c r="AB381" i="2"/>
  <c r="AA381" i="2"/>
  <c r="Z381" i="2"/>
  <c r="X381" i="2"/>
  <c r="W381" i="2"/>
  <c r="V381" i="2"/>
  <c r="U381" i="2"/>
  <c r="T381" i="2"/>
  <c r="S381" i="2"/>
  <c r="R381" i="2"/>
  <c r="Q381" i="2"/>
  <c r="P381" i="2"/>
  <c r="O381" i="2"/>
  <c r="K381" i="2"/>
  <c r="J381" i="2"/>
  <c r="I381" i="2"/>
  <c r="H381" i="2"/>
  <c r="G381" i="2"/>
  <c r="E381" i="2"/>
  <c r="AC380" i="2"/>
  <c r="AB380" i="2"/>
  <c r="AA380" i="2"/>
  <c r="Z380" i="2"/>
  <c r="X380" i="2"/>
  <c r="W380" i="2"/>
  <c r="V380" i="2"/>
  <c r="U380" i="2"/>
  <c r="T380" i="2"/>
  <c r="S380" i="2"/>
  <c r="R380" i="2"/>
  <c r="Q380" i="2"/>
  <c r="P380" i="2"/>
  <c r="O380" i="2"/>
  <c r="K380" i="2"/>
  <c r="J380" i="2"/>
  <c r="I380" i="2"/>
  <c r="H380" i="2"/>
  <c r="G380" i="2"/>
  <c r="E380" i="2"/>
  <c r="AC379" i="2"/>
  <c r="AB379" i="2"/>
  <c r="AA379" i="2"/>
  <c r="Z379" i="2"/>
  <c r="X379" i="2"/>
  <c r="W379" i="2"/>
  <c r="V379" i="2"/>
  <c r="U379" i="2"/>
  <c r="T379" i="2"/>
  <c r="S379" i="2"/>
  <c r="R379" i="2"/>
  <c r="Q379" i="2"/>
  <c r="P379" i="2"/>
  <c r="O379" i="2"/>
  <c r="K379" i="2"/>
  <c r="J379" i="2"/>
  <c r="I379" i="2"/>
  <c r="H379" i="2"/>
  <c r="G379" i="2"/>
  <c r="E379" i="2"/>
  <c r="AC378" i="2"/>
  <c r="AB378" i="2"/>
  <c r="AA378" i="2"/>
  <c r="Z378" i="2"/>
  <c r="X378" i="2"/>
  <c r="W378" i="2"/>
  <c r="V378" i="2"/>
  <c r="U378" i="2"/>
  <c r="T378" i="2"/>
  <c r="S378" i="2"/>
  <c r="R378" i="2"/>
  <c r="Q378" i="2"/>
  <c r="P378" i="2"/>
  <c r="O378" i="2"/>
  <c r="K378" i="2"/>
  <c r="J378" i="2"/>
  <c r="I378" i="2"/>
  <c r="H378" i="2"/>
  <c r="G378" i="2"/>
  <c r="E378" i="2"/>
  <c r="AC377" i="2"/>
  <c r="AB377" i="2"/>
  <c r="AA377" i="2"/>
  <c r="Z377" i="2"/>
  <c r="X377" i="2"/>
  <c r="W377" i="2"/>
  <c r="V377" i="2"/>
  <c r="U377" i="2"/>
  <c r="T377" i="2"/>
  <c r="S377" i="2"/>
  <c r="R377" i="2"/>
  <c r="Q377" i="2"/>
  <c r="P377" i="2"/>
  <c r="O377" i="2"/>
  <c r="K377" i="2"/>
  <c r="J377" i="2"/>
  <c r="I377" i="2"/>
  <c r="H377" i="2"/>
  <c r="G377" i="2"/>
  <c r="E377" i="2"/>
  <c r="AC376" i="2"/>
  <c r="AB376" i="2"/>
  <c r="AA376" i="2"/>
  <c r="Z376" i="2"/>
  <c r="X376" i="2"/>
  <c r="W376" i="2"/>
  <c r="V376" i="2"/>
  <c r="U376" i="2"/>
  <c r="T376" i="2"/>
  <c r="S376" i="2"/>
  <c r="R376" i="2"/>
  <c r="Q376" i="2"/>
  <c r="P376" i="2"/>
  <c r="O376" i="2"/>
  <c r="K376" i="2"/>
  <c r="J376" i="2"/>
  <c r="I376" i="2"/>
  <c r="H376" i="2"/>
  <c r="G376" i="2"/>
  <c r="E376" i="2"/>
  <c r="AC375" i="2"/>
  <c r="AB375" i="2"/>
  <c r="AA375" i="2"/>
  <c r="Z375" i="2"/>
  <c r="X375" i="2"/>
  <c r="W375" i="2"/>
  <c r="V375" i="2"/>
  <c r="U375" i="2"/>
  <c r="T375" i="2"/>
  <c r="S375" i="2"/>
  <c r="R375" i="2"/>
  <c r="Q375" i="2"/>
  <c r="P375" i="2"/>
  <c r="O375" i="2"/>
  <c r="K375" i="2"/>
  <c r="J375" i="2"/>
  <c r="I375" i="2"/>
  <c r="H375" i="2"/>
  <c r="G375" i="2"/>
  <c r="E375" i="2"/>
  <c r="AC374" i="2"/>
  <c r="AB374" i="2"/>
  <c r="AA374" i="2"/>
  <c r="Z374" i="2"/>
  <c r="X374" i="2"/>
  <c r="W374" i="2"/>
  <c r="V374" i="2"/>
  <c r="U374" i="2"/>
  <c r="T374" i="2"/>
  <c r="S374" i="2"/>
  <c r="R374" i="2"/>
  <c r="Q374" i="2"/>
  <c r="P374" i="2"/>
  <c r="O374" i="2"/>
  <c r="K374" i="2"/>
  <c r="J374" i="2"/>
  <c r="I374" i="2"/>
  <c r="H374" i="2"/>
  <c r="G374" i="2"/>
  <c r="E374" i="2"/>
  <c r="AC373" i="2"/>
  <c r="AB373" i="2"/>
  <c r="AA373" i="2"/>
  <c r="Z373" i="2"/>
  <c r="X373" i="2"/>
  <c r="W373" i="2"/>
  <c r="V373" i="2"/>
  <c r="U373" i="2"/>
  <c r="T373" i="2"/>
  <c r="S373" i="2"/>
  <c r="R373" i="2"/>
  <c r="Q373" i="2"/>
  <c r="P373" i="2"/>
  <c r="O373" i="2"/>
  <c r="K373" i="2"/>
  <c r="J373" i="2"/>
  <c r="I373" i="2"/>
  <c r="H373" i="2"/>
  <c r="G373" i="2"/>
  <c r="E373" i="2"/>
  <c r="AC372" i="2"/>
  <c r="AB372" i="2"/>
  <c r="AA372" i="2"/>
  <c r="Z372" i="2"/>
  <c r="X372" i="2"/>
  <c r="W372" i="2"/>
  <c r="V372" i="2"/>
  <c r="U372" i="2"/>
  <c r="T372" i="2"/>
  <c r="S372" i="2"/>
  <c r="R372" i="2"/>
  <c r="Q372" i="2"/>
  <c r="P372" i="2"/>
  <c r="O372" i="2"/>
  <c r="K372" i="2"/>
  <c r="J372" i="2"/>
  <c r="I372" i="2"/>
  <c r="H372" i="2"/>
  <c r="G372" i="2"/>
  <c r="E372" i="2"/>
  <c r="AC371" i="2"/>
  <c r="AB371" i="2"/>
  <c r="AA371" i="2"/>
  <c r="Z371" i="2"/>
  <c r="X371" i="2"/>
  <c r="W371" i="2"/>
  <c r="V371" i="2"/>
  <c r="U371" i="2"/>
  <c r="T371" i="2"/>
  <c r="S371" i="2"/>
  <c r="R371" i="2"/>
  <c r="Q371" i="2"/>
  <c r="P371" i="2"/>
  <c r="O371" i="2"/>
  <c r="K371" i="2"/>
  <c r="J371" i="2"/>
  <c r="I371" i="2"/>
  <c r="H371" i="2"/>
  <c r="G371" i="2"/>
  <c r="E371" i="2"/>
  <c r="AC370" i="2"/>
  <c r="AB370" i="2"/>
  <c r="AA370" i="2"/>
  <c r="Z370" i="2"/>
  <c r="X370" i="2"/>
  <c r="W370" i="2"/>
  <c r="V370" i="2"/>
  <c r="U370" i="2"/>
  <c r="T370" i="2"/>
  <c r="S370" i="2"/>
  <c r="R370" i="2"/>
  <c r="Q370" i="2"/>
  <c r="P370" i="2"/>
  <c r="O370" i="2"/>
  <c r="K370" i="2"/>
  <c r="J370" i="2"/>
  <c r="I370" i="2"/>
  <c r="H370" i="2"/>
  <c r="G370" i="2"/>
  <c r="E370" i="2"/>
  <c r="AC369" i="2"/>
  <c r="AB369" i="2"/>
  <c r="AA369" i="2"/>
  <c r="Z369" i="2"/>
  <c r="X369" i="2"/>
  <c r="W369" i="2"/>
  <c r="V369" i="2"/>
  <c r="U369" i="2"/>
  <c r="T369" i="2"/>
  <c r="S369" i="2"/>
  <c r="R369" i="2"/>
  <c r="Q369" i="2"/>
  <c r="P369" i="2"/>
  <c r="O369" i="2"/>
  <c r="K369" i="2"/>
  <c r="J369" i="2"/>
  <c r="I369" i="2"/>
  <c r="H369" i="2"/>
  <c r="G369" i="2"/>
  <c r="E369" i="2"/>
  <c r="AC368" i="2"/>
  <c r="AB368" i="2"/>
  <c r="AA368" i="2"/>
  <c r="Z368" i="2"/>
  <c r="X368" i="2"/>
  <c r="W368" i="2"/>
  <c r="V368" i="2"/>
  <c r="U368" i="2"/>
  <c r="T368" i="2"/>
  <c r="S368" i="2"/>
  <c r="R368" i="2"/>
  <c r="Q368" i="2"/>
  <c r="P368" i="2"/>
  <c r="O368" i="2"/>
  <c r="K368" i="2"/>
  <c r="J368" i="2"/>
  <c r="I368" i="2"/>
  <c r="H368" i="2"/>
  <c r="G368" i="2"/>
  <c r="E368" i="2"/>
  <c r="AC367" i="2"/>
  <c r="AB367" i="2"/>
  <c r="AA367" i="2"/>
  <c r="Z367" i="2"/>
  <c r="X367" i="2"/>
  <c r="W367" i="2"/>
  <c r="V367" i="2"/>
  <c r="U367" i="2"/>
  <c r="T367" i="2"/>
  <c r="S367" i="2"/>
  <c r="R367" i="2"/>
  <c r="Q367" i="2"/>
  <c r="P367" i="2"/>
  <c r="O367" i="2"/>
  <c r="K367" i="2"/>
  <c r="J367" i="2"/>
  <c r="I367" i="2"/>
  <c r="H367" i="2"/>
  <c r="G367" i="2"/>
  <c r="E367" i="2"/>
  <c r="AC366" i="2"/>
  <c r="AB366" i="2"/>
  <c r="AA366" i="2"/>
  <c r="Z366" i="2"/>
  <c r="X366" i="2"/>
  <c r="W366" i="2"/>
  <c r="V366" i="2"/>
  <c r="U366" i="2"/>
  <c r="T366" i="2"/>
  <c r="S366" i="2"/>
  <c r="R366" i="2"/>
  <c r="Q366" i="2"/>
  <c r="P366" i="2"/>
  <c r="O366" i="2"/>
  <c r="K366" i="2"/>
  <c r="J366" i="2"/>
  <c r="I366" i="2"/>
  <c r="H366" i="2"/>
  <c r="G366" i="2"/>
  <c r="E366" i="2"/>
  <c r="AC365" i="2"/>
  <c r="AB365" i="2"/>
  <c r="AA365" i="2"/>
  <c r="Z365" i="2"/>
  <c r="X365" i="2"/>
  <c r="W365" i="2"/>
  <c r="V365" i="2"/>
  <c r="U365" i="2"/>
  <c r="T365" i="2"/>
  <c r="S365" i="2"/>
  <c r="R365" i="2"/>
  <c r="Q365" i="2"/>
  <c r="P365" i="2"/>
  <c r="O365" i="2"/>
  <c r="K365" i="2"/>
  <c r="J365" i="2"/>
  <c r="I365" i="2"/>
  <c r="H365" i="2"/>
  <c r="G365" i="2"/>
  <c r="E365" i="2"/>
  <c r="AC364" i="2"/>
  <c r="AB364" i="2"/>
  <c r="AA364" i="2"/>
  <c r="Z364" i="2"/>
  <c r="X364" i="2"/>
  <c r="W364" i="2"/>
  <c r="V364" i="2"/>
  <c r="U364" i="2"/>
  <c r="T364" i="2"/>
  <c r="S364" i="2"/>
  <c r="R364" i="2"/>
  <c r="Q364" i="2"/>
  <c r="P364" i="2"/>
  <c r="O364" i="2"/>
  <c r="K364" i="2"/>
  <c r="J364" i="2"/>
  <c r="I364" i="2"/>
  <c r="H364" i="2"/>
  <c r="G364" i="2"/>
  <c r="E364" i="2"/>
  <c r="AC363" i="2"/>
  <c r="AB363" i="2"/>
  <c r="AA363" i="2"/>
  <c r="Z363" i="2"/>
  <c r="X363" i="2"/>
  <c r="W363" i="2"/>
  <c r="V363" i="2"/>
  <c r="U363" i="2"/>
  <c r="T363" i="2"/>
  <c r="S363" i="2"/>
  <c r="R363" i="2"/>
  <c r="Q363" i="2"/>
  <c r="P363" i="2"/>
  <c r="O363" i="2"/>
  <c r="K363" i="2"/>
  <c r="J363" i="2"/>
  <c r="I363" i="2"/>
  <c r="H363" i="2"/>
  <c r="G363" i="2"/>
  <c r="E363" i="2"/>
  <c r="AC362" i="2"/>
  <c r="AB362" i="2"/>
  <c r="AA362" i="2"/>
  <c r="Z362" i="2"/>
  <c r="X362" i="2"/>
  <c r="W362" i="2"/>
  <c r="V362" i="2"/>
  <c r="U362" i="2"/>
  <c r="T362" i="2"/>
  <c r="S362" i="2"/>
  <c r="R362" i="2"/>
  <c r="Q362" i="2"/>
  <c r="P362" i="2"/>
  <c r="O362" i="2"/>
  <c r="K362" i="2"/>
  <c r="J362" i="2"/>
  <c r="I362" i="2"/>
  <c r="H362" i="2"/>
  <c r="G362" i="2"/>
  <c r="E362" i="2"/>
  <c r="AC361" i="2"/>
  <c r="AB361" i="2"/>
  <c r="AA361" i="2"/>
  <c r="Z361" i="2"/>
  <c r="X361" i="2"/>
  <c r="W361" i="2"/>
  <c r="V361" i="2"/>
  <c r="U361" i="2"/>
  <c r="T361" i="2"/>
  <c r="S361" i="2"/>
  <c r="R361" i="2"/>
  <c r="Q361" i="2"/>
  <c r="P361" i="2"/>
  <c r="O361" i="2"/>
  <c r="K361" i="2"/>
  <c r="J361" i="2"/>
  <c r="I361" i="2"/>
  <c r="H361" i="2"/>
  <c r="G361" i="2"/>
  <c r="E361" i="2"/>
  <c r="AC360" i="2"/>
  <c r="AB360" i="2"/>
  <c r="AA360" i="2"/>
  <c r="Z360" i="2"/>
  <c r="X360" i="2"/>
  <c r="W360" i="2"/>
  <c r="V360" i="2"/>
  <c r="U360" i="2"/>
  <c r="T360" i="2"/>
  <c r="S360" i="2"/>
  <c r="R360" i="2"/>
  <c r="Q360" i="2"/>
  <c r="P360" i="2"/>
  <c r="O360" i="2"/>
  <c r="K360" i="2"/>
  <c r="J360" i="2"/>
  <c r="I360" i="2"/>
  <c r="H360" i="2"/>
  <c r="G360" i="2"/>
  <c r="E360" i="2"/>
  <c r="AC359" i="2"/>
  <c r="AB359" i="2"/>
  <c r="AA359" i="2"/>
  <c r="Z359" i="2"/>
  <c r="X359" i="2"/>
  <c r="W359" i="2"/>
  <c r="V359" i="2"/>
  <c r="U359" i="2"/>
  <c r="T359" i="2"/>
  <c r="S359" i="2"/>
  <c r="R359" i="2"/>
  <c r="Q359" i="2"/>
  <c r="P359" i="2"/>
  <c r="O359" i="2"/>
  <c r="K359" i="2"/>
  <c r="J359" i="2"/>
  <c r="I359" i="2"/>
  <c r="H359" i="2"/>
  <c r="G359" i="2"/>
  <c r="E359" i="2"/>
  <c r="AC358" i="2"/>
  <c r="AB358" i="2"/>
  <c r="AA358" i="2"/>
  <c r="Z358" i="2"/>
  <c r="X358" i="2"/>
  <c r="W358" i="2"/>
  <c r="V358" i="2"/>
  <c r="U358" i="2"/>
  <c r="T358" i="2"/>
  <c r="S358" i="2"/>
  <c r="R358" i="2"/>
  <c r="Q358" i="2"/>
  <c r="P358" i="2"/>
  <c r="O358" i="2"/>
  <c r="K358" i="2"/>
  <c r="J358" i="2"/>
  <c r="I358" i="2"/>
  <c r="H358" i="2"/>
  <c r="G358" i="2"/>
  <c r="E358" i="2"/>
  <c r="AC357" i="2"/>
  <c r="AB357" i="2"/>
  <c r="AA357" i="2"/>
  <c r="Z357" i="2"/>
  <c r="X357" i="2"/>
  <c r="W357" i="2"/>
  <c r="V357" i="2"/>
  <c r="U357" i="2"/>
  <c r="T357" i="2"/>
  <c r="S357" i="2"/>
  <c r="R357" i="2"/>
  <c r="Q357" i="2"/>
  <c r="P357" i="2"/>
  <c r="O357" i="2"/>
  <c r="K357" i="2"/>
  <c r="J357" i="2"/>
  <c r="I357" i="2"/>
  <c r="H357" i="2"/>
  <c r="G357" i="2"/>
  <c r="E357" i="2"/>
  <c r="AC356" i="2"/>
  <c r="AB356" i="2"/>
  <c r="AA356" i="2"/>
  <c r="Z356" i="2"/>
  <c r="X356" i="2"/>
  <c r="W356" i="2"/>
  <c r="V356" i="2"/>
  <c r="U356" i="2"/>
  <c r="T356" i="2"/>
  <c r="S356" i="2"/>
  <c r="R356" i="2"/>
  <c r="Q356" i="2"/>
  <c r="P356" i="2"/>
  <c r="O356" i="2"/>
  <c r="K356" i="2"/>
  <c r="J356" i="2"/>
  <c r="I356" i="2"/>
  <c r="H356" i="2"/>
  <c r="G356" i="2"/>
  <c r="E356" i="2"/>
  <c r="AC355" i="2"/>
  <c r="AB355" i="2"/>
  <c r="AA355" i="2"/>
  <c r="Z355" i="2"/>
  <c r="X355" i="2"/>
  <c r="W355" i="2"/>
  <c r="V355" i="2"/>
  <c r="U355" i="2"/>
  <c r="T355" i="2"/>
  <c r="S355" i="2"/>
  <c r="R355" i="2"/>
  <c r="Q355" i="2"/>
  <c r="P355" i="2"/>
  <c r="O355" i="2"/>
  <c r="K355" i="2"/>
  <c r="J355" i="2"/>
  <c r="I355" i="2"/>
  <c r="H355" i="2"/>
  <c r="G355" i="2"/>
  <c r="E355" i="2"/>
  <c r="AC354" i="2"/>
  <c r="AB354" i="2"/>
  <c r="AA354" i="2"/>
  <c r="Z354" i="2"/>
  <c r="X354" i="2"/>
  <c r="W354" i="2"/>
  <c r="V354" i="2"/>
  <c r="U354" i="2"/>
  <c r="T354" i="2"/>
  <c r="S354" i="2"/>
  <c r="R354" i="2"/>
  <c r="Q354" i="2"/>
  <c r="P354" i="2"/>
  <c r="O354" i="2"/>
  <c r="K354" i="2"/>
  <c r="J354" i="2"/>
  <c r="I354" i="2"/>
  <c r="H354" i="2"/>
  <c r="G354" i="2"/>
  <c r="E354" i="2"/>
  <c r="AC353" i="2"/>
  <c r="AB353" i="2"/>
  <c r="AA353" i="2"/>
  <c r="Z353" i="2"/>
  <c r="X353" i="2"/>
  <c r="W353" i="2"/>
  <c r="V353" i="2"/>
  <c r="U353" i="2"/>
  <c r="T353" i="2"/>
  <c r="S353" i="2"/>
  <c r="R353" i="2"/>
  <c r="Q353" i="2"/>
  <c r="P353" i="2"/>
  <c r="O353" i="2"/>
  <c r="K353" i="2"/>
  <c r="J353" i="2"/>
  <c r="I353" i="2"/>
  <c r="H353" i="2"/>
  <c r="G353" i="2"/>
  <c r="E353" i="2"/>
  <c r="AC352" i="2"/>
  <c r="AB352" i="2"/>
  <c r="AA352" i="2"/>
  <c r="Z352" i="2"/>
  <c r="X352" i="2"/>
  <c r="W352" i="2"/>
  <c r="V352" i="2"/>
  <c r="U352" i="2"/>
  <c r="T352" i="2"/>
  <c r="S352" i="2"/>
  <c r="R352" i="2"/>
  <c r="Q352" i="2"/>
  <c r="P352" i="2"/>
  <c r="O352" i="2"/>
  <c r="K352" i="2"/>
  <c r="J352" i="2"/>
  <c r="I352" i="2"/>
  <c r="H352" i="2"/>
  <c r="G352" i="2"/>
  <c r="E352" i="2"/>
  <c r="AC351" i="2"/>
  <c r="AB351" i="2"/>
  <c r="AA351" i="2"/>
  <c r="Z351" i="2"/>
  <c r="X351" i="2"/>
  <c r="W351" i="2"/>
  <c r="V351" i="2"/>
  <c r="U351" i="2"/>
  <c r="T351" i="2"/>
  <c r="S351" i="2"/>
  <c r="R351" i="2"/>
  <c r="Q351" i="2"/>
  <c r="P351" i="2"/>
  <c r="O351" i="2"/>
  <c r="K351" i="2"/>
  <c r="J351" i="2"/>
  <c r="I351" i="2"/>
  <c r="H351" i="2"/>
  <c r="G351" i="2"/>
  <c r="E351" i="2"/>
  <c r="AC350" i="2"/>
  <c r="AB350" i="2"/>
  <c r="AA350" i="2"/>
  <c r="Z350" i="2"/>
  <c r="X350" i="2"/>
  <c r="W350" i="2"/>
  <c r="V350" i="2"/>
  <c r="U350" i="2"/>
  <c r="T350" i="2"/>
  <c r="S350" i="2"/>
  <c r="R350" i="2"/>
  <c r="Q350" i="2"/>
  <c r="P350" i="2"/>
  <c r="O350" i="2"/>
  <c r="K350" i="2"/>
  <c r="J350" i="2"/>
  <c r="I350" i="2"/>
  <c r="H350" i="2"/>
  <c r="G350" i="2"/>
  <c r="E350" i="2"/>
  <c r="AC349" i="2"/>
  <c r="AB349" i="2"/>
  <c r="AA349" i="2"/>
  <c r="Z349" i="2"/>
  <c r="X349" i="2"/>
  <c r="W349" i="2"/>
  <c r="V349" i="2"/>
  <c r="U349" i="2"/>
  <c r="T349" i="2"/>
  <c r="S349" i="2"/>
  <c r="R349" i="2"/>
  <c r="Q349" i="2"/>
  <c r="P349" i="2"/>
  <c r="O349" i="2"/>
  <c r="K349" i="2"/>
  <c r="J349" i="2"/>
  <c r="I349" i="2"/>
  <c r="H349" i="2"/>
  <c r="G349" i="2"/>
  <c r="E349" i="2"/>
  <c r="AC348" i="2"/>
  <c r="AB348" i="2"/>
  <c r="AA348" i="2"/>
  <c r="Z348" i="2"/>
  <c r="X348" i="2"/>
  <c r="W348" i="2"/>
  <c r="V348" i="2"/>
  <c r="U348" i="2"/>
  <c r="T348" i="2"/>
  <c r="S348" i="2"/>
  <c r="R348" i="2"/>
  <c r="Q348" i="2"/>
  <c r="P348" i="2"/>
  <c r="O348" i="2"/>
  <c r="K348" i="2"/>
  <c r="J348" i="2"/>
  <c r="I348" i="2"/>
  <c r="H348" i="2"/>
  <c r="G348" i="2"/>
  <c r="E348" i="2"/>
  <c r="AC347" i="2"/>
  <c r="AB347" i="2"/>
  <c r="AA347" i="2"/>
  <c r="Z347" i="2"/>
  <c r="X347" i="2"/>
  <c r="W347" i="2"/>
  <c r="V347" i="2"/>
  <c r="U347" i="2"/>
  <c r="T347" i="2"/>
  <c r="S347" i="2"/>
  <c r="R347" i="2"/>
  <c r="Q347" i="2"/>
  <c r="P347" i="2"/>
  <c r="O347" i="2"/>
  <c r="K347" i="2"/>
  <c r="J347" i="2"/>
  <c r="I347" i="2"/>
  <c r="H347" i="2"/>
  <c r="G347" i="2"/>
  <c r="E347" i="2"/>
  <c r="AC346" i="2"/>
  <c r="AB346" i="2"/>
  <c r="AA346" i="2"/>
  <c r="Z346" i="2"/>
  <c r="X346" i="2"/>
  <c r="W346" i="2"/>
  <c r="V346" i="2"/>
  <c r="U346" i="2"/>
  <c r="T346" i="2"/>
  <c r="S346" i="2"/>
  <c r="R346" i="2"/>
  <c r="Q346" i="2"/>
  <c r="P346" i="2"/>
  <c r="O346" i="2"/>
  <c r="K346" i="2"/>
  <c r="J346" i="2"/>
  <c r="I346" i="2"/>
  <c r="H346" i="2"/>
  <c r="G346" i="2"/>
  <c r="E346" i="2"/>
  <c r="AC345" i="2"/>
  <c r="AB345" i="2"/>
  <c r="AA345" i="2"/>
  <c r="Z345" i="2"/>
  <c r="X345" i="2"/>
  <c r="W345" i="2"/>
  <c r="V345" i="2"/>
  <c r="U345" i="2"/>
  <c r="T345" i="2"/>
  <c r="S345" i="2"/>
  <c r="R345" i="2"/>
  <c r="Q345" i="2"/>
  <c r="P345" i="2"/>
  <c r="O345" i="2"/>
  <c r="K345" i="2"/>
  <c r="J345" i="2"/>
  <c r="I345" i="2"/>
  <c r="H345" i="2"/>
  <c r="G345" i="2"/>
  <c r="E345" i="2"/>
  <c r="AC344" i="2"/>
  <c r="AB344" i="2"/>
  <c r="AA344" i="2"/>
  <c r="Z344" i="2"/>
  <c r="X344" i="2"/>
  <c r="W344" i="2"/>
  <c r="V344" i="2"/>
  <c r="U344" i="2"/>
  <c r="T344" i="2"/>
  <c r="S344" i="2"/>
  <c r="R344" i="2"/>
  <c r="Q344" i="2"/>
  <c r="P344" i="2"/>
  <c r="O344" i="2"/>
  <c r="K344" i="2"/>
  <c r="J344" i="2"/>
  <c r="I344" i="2"/>
  <c r="H344" i="2"/>
  <c r="G344" i="2"/>
  <c r="E344" i="2"/>
  <c r="AC343" i="2"/>
  <c r="AB343" i="2"/>
  <c r="AA343" i="2"/>
  <c r="Z343" i="2"/>
  <c r="X343" i="2"/>
  <c r="W343" i="2"/>
  <c r="V343" i="2"/>
  <c r="U343" i="2"/>
  <c r="T343" i="2"/>
  <c r="S343" i="2"/>
  <c r="R343" i="2"/>
  <c r="Q343" i="2"/>
  <c r="P343" i="2"/>
  <c r="O343" i="2"/>
  <c r="K343" i="2"/>
  <c r="J343" i="2"/>
  <c r="I343" i="2"/>
  <c r="H343" i="2"/>
  <c r="G343" i="2"/>
  <c r="E343" i="2"/>
  <c r="AC342" i="2"/>
  <c r="AB342" i="2"/>
  <c r="AA342" i="2"/>
  <c r="Z342" i="2"/>
  <c r="X342" i="2"/>
  <c r="W342" i="2"/>
  <c r="V342" i="2"/>
  <c r="U342" i="2"/>
  <c r="T342" i="2"/>
  <c r="S342" i="2"/>
  <c r="R342" i="2"/>
  <c r="Q342" i="2"/>
  <c r="P342" i="2"/>
  <c r="O342" i="2"/>
  <c r="K342" i="2"/>
  <c r="J342" i="2"/>
  <c r="I342" i="2"/>
  <c r="H342" i="2"/>
  <c r="G342" i="2"/>
  <c r="E342" i="2"/>
  <c r="AC341" i="2"/>
  <c r="AB341" i="2"/>
  <c r="AA341" i="2"/>
  <c r="Z341" i="2"/>
  <c r="X341" i="2"/>
  <c r="W341" i="2"/>
  <c r="V341" i="2"/>
  <c r="U341" i="2"/>
  <c r="T341" i="2"/>
  <c r="S341" i="2"/>
  <c r="R341" i="2"/>
  <c r="Q341" i="2"/>
  <c r="P341" i="2"/>
  <c r="O341" i="2"/>
  <c r="K341" i="2"/>
  <c r="J341" i="2"/>
  <c r="I341" i="2"/>
  <c r="H341" i="2"/>
  <c r="G341" i="2"/>
  <c r="E341" i="2"/>
  <c r="AC340" i="2"/>
  <c r="AB340" i="2"/>
  <c r="AA340" i="2"/>
  <c r="Z340" i="2"/>
  <c r="X340" i="2"/>
  <c r="W340" i="2"/>
  <c r="V340" i="2"/>
  <c r="U340" i="2"/>
  <c r="T340" i="2"/>
  <c r="S340" i="2"/>
  <c r="R340" i="2"/>
  <c r="Q340" i="2"/>
  <c r="P340" i="2"/>
  <c r="O340" i="2"/>
  <c r="K340" i="2"/>
  <c r="J340" i="2"/>
  <c r="I340" i="2"/>
  <c r="H340" i="2"/>
  <c r="G340" i="2"/>
  <c r="E340" i="2"/>
  <c r="AC339" i="2"/>
  <c r="AB339" i="2"/>
  <c r="AA339" i="2"/>
  <c r="Z339" i="2"/>
  <c r="X339" i="2"/>
  <c r="W339" i="2"/>
  <c r="V339" i="2"/>
  <c r="U339" i="2"/>
  <c r="T339" i="2"/>
  <c r="S339" i="2"/>
  <c r="R339" i="2"/>
  <c r="Q339" i="2"/>
  <c r="P339" i="2"/>
  <c r="O339" i="2"/>
  <c r="K339" i="2"/>
  <c r="J339" i="2"/>
  <c r="I339" i="2"/>
  <c r="H339" i="2"/>
  <c r="G339" i="2"/>
  <c r="E339" i="2"/>
  <c r="AC338" i="2"/>
  <c r="AB338" i="2"/>
  <c r="AA338" i="2"/>
  <c r="Z338" i="2"/>
  <c r="X338" i="2"/>
  <c r="W338" i="2"/>
  <c r="V338" i="2"/>
  <c r="U338" i="2"/>
  <c r="T338" i="2"/>
  <c r="S338" i="2"/>
  <c r="R338" i="2"/>
  <c r="Q338" i="2"/>
  <c r="P338" i="2"/>
  <c r="O338" i="2"/>
  <c r="K338" i="2"/>
  <c r="J338" i="2"/>
  <c r="I338" i="2"/>
  <c r="H338" i="2"/>
  <c r="G338" i="2"/>
  <c r="E338" i="2"/>
  <c r="AC337" i="2"/>
  <c r="AB337" i="2"/>
  <c r="AA337" i="2"/>
  <c r="Z337" i="2"/>
  <c r="X337" i="2"/>
  <c r="W337" i="2"/>
  <c r="V337" i="2"/>
  <c r="U337" i="2"/>
  <c r="T337" i="2"/>
  <c r="S337" i="2"/>
  <c r="R337" i="2"/>
  <c r="Q337" i="2"/>
  <c r="P337" i="2"/>
  <c r="O337" i="2"/>
  <c r="K337" i="2"/>
  <c r="J337" i="2"/>
  <c r="I337" i="2"/>
  <c r="H337" i="2"/>
  <c r="G337" i="2"/>
  <c r="E337" i="2"/>
  <c r="AC336" i="2"/>
  <c r="AB336" i="2"/>
  <c r="AA336" i="2"/>
  <c r="Z336" i="2"/>
  <c r="X336" i="2"/>
  <c r="W336" i="2"/>
  <c r="V336" i="2"/>
  <c r="U336" i="2"/>
  <c r="T336" i="2"/>
  <c r="S336" i="2"/>
  <c r="R336" i="2"/>
  <c r="Q336" i="2"/>
  <c r="P336" i="2"/>
  <c r="O336" i="2"/>
  <c r="K336" i="2"/>
  <c r="J336" i="2"/>
  <c r="I336" i="2"/>
  <c r="H336" i="2"/>
  <c r="G336" i="2"/>
  <c r="E336" i="2"/>
  <c r="AC335" i="2"/>
  <c r="AB335" i="2"/>
  <c r="AA335" i="2"/>
  <c r="Z335" i="2"/>
  <c r="X335" i="2"/>
  <c r="W335" i="2"/>
  <c r="V335" i="2"/>
  <c r="U335" i="2"/>
  <c r="T335" i="2"/>
  <c r="S335" i="2"/>
  <c r="R335" i="2"/>
  <c r="Q335" i="2"/>
  <c r="P335" i="2"/>
  <c r="O335" i="2"/>
  <c r="K335" i="2"/>
  <c r="J335" i="2"/>
  <c r="I335" i="2"/>
  <c r="H335" i="2"/>
  <c r="G335" i="2"/>
  <c r="E335" i="2"/>
  <c r="AC334" i="2"/>
  <c r="AB334" i="2"/>
  <c r="AA334" i="2"/>
  <c r="Z334" i="2"/>
  <c r="X334" i="2"/>
  <c r="W334" i="2"/>
  <c r="V334" i="2"/>
  <c r="U334" i="2"/>
  <c r="T334" i="2"/>
  <c r="S334" i="2"/>
  <c r="R334" i="2"/>
  <c r="Q334" i="2"/>
  <c r="P334" i="2"/>
  <c r="O334" i="2"/>
  <c r="K334" i="2"/>
  <c r="J334" i="2"/>
  <c r="I334" i="2"/>
  <c r="H334" i="2"/>
  <c r="G334" i="2"/>
  <c r="E334" i="2"/>
  <c r="AC333" i="2"/>
  <c r="AB333" i="2"/>
  <c r="AA333" i="2"/>
  <c r="Z333" i="2"/>
  <c r="X333" i="2"/>
  <c r="W333" i="2"/>
  <c r="V333" i="2"/>
  <c r="U333" i="2"/>
  <c r="T333" i="2"/>
  <c r="S333" i="2"/>
  <c r="R333" i="2"/>
  <c r="Q333" i="2"/>
  <c r="P333" i="2"/>
  <c r="O333" i="2"/>
  <c r="K333" i="2"/>
  <c r="J333" i="2"/>
  <c r="I333" i="2"/>
  <c r="H333" i="2"/>
  <c r="G333" i="2"/>
  <c r="E333" i="2"/>
  <c r="AC332" i="2"/>
  <c r="AB332" i="2"/>
  <c r="AA332" i="2"/>
  <c r="Z332" i="2"/>
  <c r="X332" i="2"/>
  <c r="W332" i="2"/>
  <c r="V332" i="2"/>
  <c r="U332" i="2"/>
  <c r="T332" i="2"/>
  <c r="S332" i="2"/>
  <c r="R332" i="2"/>
  <c r="Q332" i="2"/>
  <c r="P332" i="2"/>
  <c r="O332" i="2"/>
  <c r="K332" i="2"/>
  <c r="J332" i="2"/>
  <c r="I332" i="2"/>
  <c r="H332" i="2"/>
  <c r="G332" i="2"/>
  <c r="E332" i="2"/>
  <c r="AC331" i="2"/>
  <c r="AB331" i="2"/>
  <c r="AA331" i="2"/>
  <c r="Z331" i="2"/>
  <c r="X331" i="2"/>
  <c r="W331" i="2"/>
  <c r="V331" i="2"/>
  <c r="U331" i="2"/>
  <c r="T331" i="2"/>
  <c r="S331" i="2"/>
  <c r="R331" i="2"/>
  <c r="Q331" i="2"/>
  <c r="P331" i="2"/>
  <c r="O331" i="2"/>
  <c r="K331" i="2"/>
  <c r="J331" i="2"/>
  <c r="I331" i="2"/>
  <c r="H331" i="2"/>
  <c r="G331" i="2"/>
  <c r="E331" i="2"/>
  <c r="AC330" i="2"/>
  <c r="AB330" i="2"/>
  <c r="AA330" i="2"/>
  <c r="Z330" i="2"/>
  <c r="X330" i="2"/>
  <c r="W330" i="2"/>
  <c r="V330" i="2"/>
  <c r="U330" i="2"/>
  <c r="T330" i="2"/>
  <c r="S330" i="2"/>
  <c r="R330" i="2"/>
  <c r="Q330" i="2"/>
  <c r="P330" i="2"/>
  <c r="O330" i="2"/>
  <c r="K330" i="2"/>
  <c r="J330" i="2"/>
  <c r="I330" i="2"/>
  <c r="H330" i="2"/>
  <c r="G330" i="2"/>
  <c r="E330" i="2"/>
  <c r="AC329" i="2"/>
  <c r="AB329" i="2"/>
  <c r="AA329" i="2"/>
  <c r="Z329" i="2"/>
  <c r="X329" i="2"/>
  <c r="W329" i="2"/>
  <c r="V329" i="2"/>
  <c r="U329" i="2"/>
  <c r="T329" i="2"/>
  <c r="S329" i="2"/>
  <c r="R329" i="2"/>
  <c r="Q329" i="2"/>
  <c r="P329" i="2"/>
  <c r="O329" i="2"/>
  <c r="K329" i="2"/>
  <c r="J329" i="2"/>
  <c r="I329" i="2"/>
  <c r="H329" i="2"/>
  <c r="G329" i="2"/>
  <c r="E329" i="2"/>
  <c r="AC328" i="2"/>
  <c r="AB328" i="2"/>
  <c r="AA328" i="2"/>
  <c r="Z328" i="2"/>
  <c r="X328" i="2"/>
  <c r="W328" i="2"/>
  <c r="V328" i="2"/>
  <c r="U328" i="2"/>
  <c r="T328" i="2"/>
  <c r="S328" i="2"/>
  <c r="R328" i="2"/>
  <c r="Q328" i="2"/>
  <c r="P328" i="2"/>
  <c r="O328" i="2"/>
  <c r="K328" i="2"/>
  <c r="J328" i="2"/>
  <c r="I328" i="2"/>
  <c r="H328" i="2"/>
  <c r="G328" i="2"/>
  <c r="E328" i="2"/>
  <c r="AC327" i="2"/>
  <c r="AB327" i="2"/>
  <c r="AA327" i="2"/>
  <c r="Z327" i="2"/>
  <c r="X327" i="2"/>
  <c r="W327" i="2"/>
  <c r="V327" i="2"/>
  <c r="U327" i="2"/>
  <c r="T327" i="2"/>
  <c r="S327" i="2"/>
  <c r="R327" i="2"/>
  <c r="Q327" i="2"/>
  <c r="P327" i="2"/>
  <c r="O327" i="2"/>
  <c r="K327" i="2"/>
  <c r="J327" i="2"/>
  <c r="I327" i="2"/>
  <c r="H327" i="2"/>
  <c r="G327" i="2"/>
  <c r="E327" i="2"/>
  <c r="AC326" i="2"/>
  <c r="AB326" i="2"/>
  <c r="AA326" i="2"/>
  <c r="Z326" i="2"/>
  <c r="X326" i="2"/>
  <c r="W326" i="2"/>
  <c r="V326" i="2"/>
  <c r="U326" i="2"/>
  <c r="T326" i="2"/>
  <c r="S326" i="2"/>
  <c r="R326" i="2"/>
  <c r="Q326" i="2"/>
  <c r="P326" i="2"/>
  <c r="O326" i="2"/>
  <c r="K326" i="2"/>
  <c r="J326" i="2"/>
  <c r="I326" i="2"/>
  <c r="H326" i="2"/>
  <c r="G326" i="2"/>
  <c r="E326" i="2"/>
  <c r="AC325" i="2"/>
  <c r="AB325" i="2"/>
  <c r="AA325" i="2"/>
  <c r="Z325" i="2"/>
  <c r="X325" i="2"/>
  <c r="W325" i="2"/>
  <c r="V325" i="2"/>
  <c r="U325" i="2"/>
  <c r="T325" i="2"/>
  <c r="S325" i="2"/>
  <c r="R325" i="2"/>
  <c r="Q325" i="2"/>
  <c r="P325" i="2"/>
  <c r="O325" i="2"/>
  <c r="K325" i="2"/>
  <c r="J325" i="2"/>
  <c r="I325" i="2"/>
  <c r="H325" i="2"/>
  <c r="G325" i="2"/>
  <c r="E325" i="2"/>
  <c r="AC324" i="2"/>
  <c r="AB324" i="2"/>
  <c r="AA324" i="2"/>
  <c r="Z324" i="2"/>
  <c r="X324" i="2"/>
  <c r="W324" i="2"/>
  <c r="V324" i="2"/>
  <c r="U324" i="2"/>
  <c r="T324" i="2"/>
  <c r="S324" i="2"/>
  <c r="R324" i="2"/>
  <c r="Q324" i="2"/>
  <c r="P324" i="2"/>
  <c r="O324" i="2"/>
  <c r="K324" i="2"/>
  <c r="J324" i="2"/>
  <c r="I324" i="2"/>
  <c r="H324" i="2"/>
  <c r="G324" i="2"/>
  <c r="E324" i="2"/>
  <c r="AC323" i="2"/>
  <c r="AB323" i="2"/>
  <c r="AA323" i="2"/>
  <c r="Z323" i="2"/>
  <c r="X323" i="2"/>
  <c r="W323" i="2"/>
  <c r="V323" i="2"/>
  <c r="U323" i="2"/>
  <c r="T323" i="2"/>
  <c r="S323" i="2"/>
  <c r="R323" i="2"/>
  <c r="Q323" i="2"/>
  <c r="P323" i="2"/>
  <c r="O323" i="2"/>
  <c r="K323" i="2"/>
  <c r="J323" i="2"/>
  <c r="I323" i="2"/>
  <c r="H323" i="2"/>
  <c r="G323" i="2"/>
  <c r="E323" i="2"/>
  <c r="AC322" i="2"/>
  <c r="AB322" i="2"/>
  <c r="AA322" i="2"/>
  <c r="Z322" i="2"/>
  <c r="X322" i="2"/>
  <c r="W322" i="2"/>
  <c r="V322" i="2"/>
  <c r="U322" i="2"/>
  <c r="T322" i="2"/>
  <c r="S322" i="2"/>
  <c r="R322" i="2"/>
  <c r="Q322" i="2"/>
  <c r="P322" i="2"/>
  <c r="O322" i="2"/>
  <c r="K322" i="2"/>
  <c r="J322" i="2"/>
  <c r="I322" i="2"/>
  <c r="H322" i="2"/>
  <c r="G322" i="2"/>
  <c r="E322" i="2"/>
  <c r="AC321" i="2"/>
  <c r="AB321" i="2"/>
  <c r="AA321" i="2"/>
  <c r="Z321" i="2"/>
  <c r="X321" i="2"/>
  <c r="W321" i="2"/>
  <c r="V321" i="2"/>
  <c r="U321" i="2"/>
  <c r="T321" i="2"/>
  <c r="S321" i="2"/>
  <c r="R321" i="2"/>
  <c r="Q321" i="2"/>
  <c r="P321" i="2"/>
  <c r="O321" i="2"/>
  <c r="K321" i="2"/>
  <c r="J321" i="2"/>
  <c r="I321" i="2"/>
  <c r="H321" i="2"/>
  <c r="G321" i="2"/>
  <c r="E321" i="2"/>
  <c r="AC320" i="2"/>
  <c r="AB320" i="2"/>
  <c r="AA320" i="2"/>
  <c r="Z320" i="2"/>
  <c r="X320" i="2"/>
  <c r="W320" i="2"/>
  <c r="V320" i="2"/>
  <c r="U320" i="2"/>
  <c r="T320" i="2"/>
  <c r="S320" i="2"/>
  <c r="R320" i="2"/>
  <c r="Q320" i="2"/>
  <c r="P320" i="2"/>
  <c r="O320" i="2"/>
  <c r="K320" i="2"/>
  <c r="J320" i="2"/>
  <c r="I320" i="2"/>
  <c r="H320" i="2"/>
  <c r="G320" i="2"/>
  <c r="E320" i="2"/>
  <c r="AC319" i="2"/>
  <c r="AB319" i="2"/>
  <c r="AA319" i="2"/>
  <c r="Z319" i="2"/>
  <c r="X319" i="2"/>
  <c r="W319" i="2"/>
  <c r="V319" i="2"/>
  <c r="U319" i="2"/>
  <c r="T319" i="2"/>
  <c r="S319" i="2"/>
  <c r="R319" i="2"/>
  <c r="Q319" i="2"/>
  <c r="P319" i="2"/>
  <c r="O319" i="2"/>
  <c r="K319" i="2"/>
  <c r="J319" i="2"/>
  <c r="I319" i="2"/>
  <c r="H319" i="2"/>
  <c r="G319" i="2"/>
  <c r="E319" i="2"/>
  <c r="AC318" i="2"/>
  <c r="AB318" i="2"/>
  <c r="AA318" i="2"/>
  <c r="Z318" i="2"/>
  <c r="X318" i="2"/>
  <c r="W318" i="2"/>
  <c r="V318" i="2"/>
  <c r="U318" i="2"/>
  <c r="T318" i="2"/>
  <c r="S318" i="2"/>
  <c r="R318" i="2"/>
  <c r="Q318" i="2"/>
  <c r="P318" i="2"/>
  <c r="O318" i="2"/>
  <c r="K318" i="2"/>
  <c r="J318" i="2"/>
  <c r="I318" i="2"/>
  <c r="H318" i="2"/>
  <c r="G318" i="2"/>
  <c r="E318" i="2"/>
  <c r="AC317" i="2"/>
  <c r="AB317" i="2"/>
  <c r="AA317" i="2"/>
  <c r="Z317" i="2"/>
  <c r="X317" i="2"/>
  <c r="W317" i="2"/>
  <c r="V317" i="2"/>
  <c r="U317" i="2"/>
  <c r="T317" i="2"/>
  <c r="S317" i="2"/>
  <c r="R317" i="2"/>
  <c r="Q317" i="2"/>
  <c r="P317" i="2"/>
  <c r="O317" i="2"/>
  <c r="K317" i="2"/>
  <c r="J317" i="2"/>
  <c r="I317" i="2"/>
  <c r="H317" i="2"/>
  <c r="G317" i="2"/>
  <c r="E317" i="2"/>
  <c r="AC316" i="2"/>
  <c r="AB316" i="2"/>
  <c r="AA316" i="2"/>
  <c r="Z316" i="2"/>
  <c r="X316" i="2"/>
  <c r="W316" i="2"/>
  <c r="V316" i="2"/>
  <c r="U316" i="2"/>
  <c r="T316" i="2"/>
  <c r="S316" i="2"/>
  <c r="R316" i="2"/>
  <c r="Q316" i="2"/>
  <c r="P316" i="2"/>
  <c r="O316" i="2"/>
  <c r="K316" i="2"/>
  <c r="J316" i="2"/>
  <c r="I316" i="2"/>
  <c r="H316" i="2"/>
  <c r="G316" i="2"/>
  <c r="E316" i="2"/>
  <c r="AC315" i="2"/>
  <c r="AB315" i="2"/>
  <c r="AA315" i="2"/>
  <c r="Z315" i="2"/>
  <c r="X315" i="2"/>
  <c r="W315" i="2"/>
  <c r="V315" i="2"/>
  <c r="U315" i="2"/>
  <c r="T315" i="2"/>
  <c r="S315" i="2"/>
  <c r="R315" i="2"/>
  <c r="Q315" i="2"/>
  <c r="P315" i="2"/>
  <c r="O315" i="2"/>
  <c r="K315" i="2"/>
  <c r="J315" i="2"/>
  <c r="I315" i="2"/>
  <c r="H315" i="2"/>
  <c r="G315" i="2"/>
  <c r="E315" i="2"/>
  <c r="AC314" i="2"/>
  <c r="AB314" i="2"/>
  <c r="AA314" i="2"/>
  <c r="Z314" i="2"/>
  <c r="X314" i="2"/>
  <c r="W314" i="2"/>
  <c r="V314" i="2"/>
  <c r="U314" i="2"/>
  <c r="T314" i="2"/>
  <c r="S314" i="2"/>
  <c r="R314" i="2"/>
  <c r="Q314" i="2"/>
  <c r="P314" i="2"/>
  <c r="O314" i="2"/>
  <c r="K314" i="2"/>
  <c r="J314" i="2"/>
  <c r="I314" i="2"/>
  <c r="H314" i="2"/>
  <c r="G314" i="2"/>
  <c r="E314" i="2"/>
  <c r="AC313" i="2"/>
  <c r="AB313" i="2"/>
  <c r="AA313" i="2"/>
  <c r="Z313" i="2"/>
  <c r="X313" i="2"/>
  <c r="W313" i="2"/>
  <c r="V313" i="2"/>
  <c r="U313" i="2"/>
  <c r="T313" i="2"/>
  <c r="S313" i="2"/>
  <c r="R313" i="2"/>
  <c r="Q313" i="2"/>
  <c r="P313" i="2"/>
  <c r="O313" i="2"/>
  <c r="K313" i="2"/>
  <c r="J313" i="2"/>
  <c r="I313" i="2"/>
  <c r="H313" i="2"/>
  <c r="G313" i="2"/>
  <c r="E313" i="2"/>
  <c r="AC312" i="2"/>
  <c r="AB312" i="2"/>
  <c r="AA312" i="2"/>
  <c r="Z312" i="2"/>
  <c r="X312" i="2"/>
  <c r="W312" i="2"/>
  <c r="V312" i="2"/>
  <c r="U312" i="2"/>
  <c r="T312" i="2"/>
  <c r="S312" i="2"/>
  <c r="R312" i="2"/>
  <c r="Q312" i="2"/>
  <c r="P312" i="2"/>
  <c r="O312" i="2"/>
  <c r="K312" i="2"/>
  <c r="J312" i="2"/>
  <c r="I312" i="2"/>
  <c r="H312" i="2"/>
  <c r="G312" i="2"/>
  <c r="E312" i="2"/>
  <c r="AC311" i="2"/>
  <c r="AB311" i="2"/>
  <c r="AA311" i="2"/>
  <c r="Z311" i="2"/>
  <c r="X311" i="2"/>
  <c r="W311" i="2"/>
  <c r="V311" i="2"/>
  <c r="U311" i="2"/>
  <c r="T311" i="2"/>
  <c r="S311" i="2"/>
  <c r="R311" i="2"/>
  <c r="Q311" i="2"/>
  <c r="P311" i="2"/>
  <c r="O311" i="2"/>
  <c r="K311" i="2"/>
  <c r="J311" i="2"/>
  <c r="I311" i="2"/>
  <c r="H311" i="2"/>
  <c r="G311" i="2"/>
  <c r="E311" i="2"/>
  <c r="AC310" i="2"/>
  <c r="AB310" i="2"/>
  <c r="AA310" i="2"/>
  <c r="Z310" i="2"/>
  <c r="X310" i="2"/>
  <c r="W310" i="2"/>
  <c r="V310" i="2"/>
  <c r="U310" i="2"/>
  <c r="T310" i="2"/>
  <c r="S310" i="2"/>
  <c r="R310" i="2"/>
  <c r="Q310" i="2"/>
  <c r="P310" i="2"/>
  <c r="O310" i="2"/>
  <c r="K310" i="2"/>
  <c r="J310" i="2"/>
  <c r="I310" i="2"/>
  <c r="H310" i="2"/>
  <c r="G310" i="2"/>
  <c r="E310" i="2"/>
  <c r="AC309" i="2"/>
  <c r="AB309" i="2"/>
  <c r="AA309" i="2"/>
  <c r="Z309" i="2"/>
  <c r="X309" i="2"/>
  <c r="W309" i="2"/>
  <c r="V309" i="2"/>
  <c r="U309" i="2"/>
  <c r="T309" i="2"/>
  <c r="S309" i="2"/>
  <c r="R309" i="2"/>
  <c r="Q309" i="2"/>
  <c r="P309" i="2"/>
  <c r="O309" i="2"/>
  <c r="K309" i="2"/>
  <c r="J309" i="2"/>
  <c r="I309" i="2"/>
  <c r="H309" i="2"/>
  <c r="G309" i="2"/>
  <c r="E309" i="2"/>
  <c r="AC308" i="2"/>
  <c r="AB308" i="2"/>
  <c r="AA308" i="2"/>
  <c r="Z308" i="2"/>
  <c r="X308" i="2"/>
  <c r="W308" i="2"/>
  <c r="V308" i="2"/>
  <c r="U308" i="2"/>
  <c r="T308" i="2"/>
  <c r="S308" i="2"/>
  <c r="R308" i="2"/>
  <c r="Q308" i="2"/>
  <c r="P308" i="2"/>
  <c r="O308" i="2"/>
  <c r="K308" i="2"/>
  <c r="J308" i="2"/>
  <c r="I308" i="2"/>
  <c r="H308" i="2"/>
  <c r="G308" i="2"/>
  <c r="E308" i="2"/>
  <c r="AC307" i="2"/>
  <c r="AB307" i="2"/>
  <c r="AA307" i="2"/>
  <c r="Z307" i="2"/>
  <c r="X307" i="2"/>
  <c r="W307" i="2"/>
  <c r="V307" i="2"/>
  <c r="U307" i="2"/>
  <c r="T307" i="2"/>
  <c r="S307" i="2"/>
  <c r="R307" i="2"/>
  <c r="Q307" i="2"/>
  <c r="P307" i="2"/>
  <c r="O307" i="2"/>
  <c r="K307" i="2"/>
  <c r="J307" i="2"/>
  <c r="I307" i="2"/>
  <c r="H307" i="2"/>
  <c r="G307" i="2"/>
  <c r="E307" i="2"/>
  <c r="AC306" i="2"/>
  <c r="AB306" i="2"/>
  <c r="AA306" i="2"/>
  <c r="Z306" i="2"/>
  <c r="X306" i="2"/>
  <c r="W306" i="2"/>
  <c r="V306" i="2"/>
  <c r="U306" i="2"/>
  <c r="T306" i="2"/>
  <c r="S306" i="2"/>
  <c r="R306" i="2"/>
  <c r="Q306" i="2"/>
  <c r="P306" i="2"/>
  <c r="O306" i="2"/>
  <c r="K306" i="2"/>
  <c r="J306" i="2"/>
  <c r="I306" i="2"/>
  <c r="H306" i="2"/>
  <c r="G306" i="2"/>
  <c r="E306" i="2"/>
  <c r="AC305" i="2"/>
  <c r="AB305" i="2"/>
  <c r="AA305" i="2"/>
  <c r="Z305" i="2"/>
  <c r="X305" i="2"/>
  <c r="W305" i="2"/>
  <c r="V305" i="2"/>
  <c r="U305" i="2"/>
  <c r="T305" i="2"/>
  <c r="S305" i="2"/>
  <c r="R305" i="2"/>
  <c r="Q305" i="2"/>
  <c r="P305" i="2"/>
  <c r="O305" i="2"/>
  <c r="K305" i="2"/>
  <c r="J305" i="2"/>
  <c r="I305" i="2"/>
  <c r="H305" i="2"/>
  <c r="G305" i="2"/>
  <c r="E305" i="2"/>
  <c r="AC304" i="2"/>
  <c r="AB304" i="2"/>
  <c r="AA304" i="2"/>
  <c r="Z304" i="2"/>
  <c r="X304" i="2"/>
  <c r="W304" i="2"/>
  <c r="V304" i="2"/>
  <c r="U304" i="2"/>
  <c r="T304" i="2"/>
  <c r="S304" i="2"/>
  <c r="R304" i="2"/>
  <c r="Q304" i="2"/>
  <c r="P304" i="2"/>
  <c r="O304" i="2"/>
  <c r="K304" i="2"/>
  <c r="J304" i="2"/>
  <c r="I304" i="2"/>
  <c r="H304" i="2"/>
  <c r="G304" i="2"/>
  <c r="E304" i="2"/>
  <c r="AC303" i="2"/>
  <c r="AB303" i="2"/>
  <c r="AA303" i="2"/>
  <c r="Z303" i="2"/>
  <c r="X303" i="2"/>
  <c r="W303" i="2"/>
  <c r="V303" i="2"/>
  <c r="U303" i="2"/>
  <c r="T303" i="2"/>
  <c r="S303" i="2"/>
  <c r="R303" i="2"/>
  <c r="Q303" i="2"/>
  <c r="P303" i="2"/>
  <c r="O303" i="2"/>
  <c r="K303" i="2"/>
  <c r="J303" i="2"/>
  <c r="I303" i="2"/>
  <c r="H303" i="2"/>
  <c r="G303" i="2"/>
  <c r="E303" i="2"/>
  <c r="AC302" i="2"/>
  <c r="AB302" i="2"/>
  <c r="AA302" i="2"/>
  <c r="Z302" i="2"/>
  <c r="X302" i="2"/>
  <c r="W302" i="2"/>
  <c r="V302" i="2"/>
  <c r="U302" i="2"/>
  <c r="T302" i="2"/>
  <c r="S302" i="2"/>
  <c r="R302" i="2"/>
  <c r="Q302" i="2"/>
  <c r="P302" i="2"/>
  <c r="O302" i="2"/>
  <c r="K302" i="2"/>
  <c r="J302" i="2"/>
  <c r="I302" i="2"/>
  <c r="H302" i="2"/>
  <c r="G302" i="2"/>
  <c r="E302" i="2"/>
  <c r="AC301" i="2"/>
  <c r="AB301" i="2"/>
  <c r="AA301" i="2"/>
  <c r="Z301" i="2"/>
  <c r="X301" i="2"/>
  <c r="W301" i="2"/>
  <c r="V301" i="2"/>
  <c r="U301" i="2"/>
  <c r="T301" i="2"/>
  <c r="S301" i="2"/>
  <c r="R301" i="2"/>
  <c r="Q301" i="2"/>
  <c r="P301" i="2"/>
  <c r="O301" i="2"/>
  <c r="K301" i="2"/>
  <c r="J301" i="2"/>
  <c r="I301" i="2"/>
  <c r="H301" i="2"/>
  <c r="G301" i="2"/>
  <c r="E301" i="2"/>
  <c r="AC300" i="2"/>
  <c r="AB300" i="2"/>
  <c r="AA300" i="2"/>
  <c r="Z300" i="2"/>
  <c r="X300" i="2"/>
  <c r="W300" i="2"/>
  <c r="V300" i="2"/>
  <c r="U300" i="2"/>
  <c r="T300" i="2"/>
  <c r="S300" i="2"/>
  <c r="R300" i="2"/>
  <c r="Q300" i="2"/>
  <c r="P300" i="2"/>
  <c r="O300" i="2"/>
  <c r="K300" i="2"/>
  <c r="J300" i="2"/>
  <c r="I300" i="2"/>
  <c r="H300" i="2"/>
  <c r="G300" i="2"/>
  <c r="E300" i="2"/>
  <c r="AC299" i="2"/>
  <c r="AB299" i="2"/>
  <c r="AA299" i="2"/>
  <c r="Z299" i="2"/>
  <c r="X299" i="2"/>
  <c r="W299" i="2"/>
  <c r="V299" i="2"/>
  <c r="U299" i="2"/>
  <c r="T299" i="2"/>
  <c r="S299" i="2"/>
  <c r="R299" i="2"/>
  <c r="Q299" i="2"/>
  <c r="P299" i="2"/>
  <c r="O299" i="2"/>
  <c r="K299" i="2"/>
  <c r="J299" i="2"/>
  <c r="I299" i="2"/>
  <c r="H299" i="2"/>
  <c r="G299" i="2"/>
  <c r="E299" i="2"/>
  <c r="AC298" i="2"/>
  <c r="AB298" i="2"/>
  <c r="AA298" i="2"/>
  <c r="Z298" i="2"/>
  <c r="X298" i="2"/>
  <c r="W298" i="2"/>
  <c r="V298" i="2"/>
  <c r="U298" i="2"/>
  <c r="T298" i="2"/>
  <c r="S298" i="2"/>
  <c r="R298" i="2"/>
  <c r="Q298" i="2"/>
  <c r="P298" i="2"/>
  <c r="O298" i="2"/>
  <c r="K298" i="2"/>
  <c r="J298" i="2"/>
  <c r="I298" i="2"/>
  <c r="H298" i="2"/>
  <c r="G298" i="2"/>
  <c r="E298" i="2"/>
  <c r="AC297" i="2"/>
  <c r="AB297" i="2"/>
  <c r="AA297" i="2"/>
  <c r="Z297" i="2"/>
  <c r="X297" i="2"/>
  <c r="W297" i="2"/>
  <c r="V297" i="2"/>
  <c r="U297" i="2"/>
  <c r="T297" i="2"/>
  <c r="S297" i="2"/>
  <c r="R297" i="2"/>
  <c r="Q297" i="2"/>
  <c r="P297" i="2"/>
  <c r="O297" i="2"/>
  <c r="K297" i="2"/>
  <c r="J297" i="2"/>
  <c r="I297" i="2"/>
  <c r="H297" i="2"/>
  <c r="G297" i="2"/>
  <c r="E297" i="2"/>
  <c r="AC296" i="2"/>
  <c r="AB296" i="2"/>
  <c r="AA296" i="2"/>
  <c r="Z296" i="2"/>
  <c r="X296" i="2"/>
  <c r="W296" i="2"/>
  <c r="V296" i="2"/>
  <c r="U296" i="2"/>
  <c r="T296" i="2"/>
  <c r="S296" i="2"/>
  <c r="R296" i="2"/>
  <c r="Q296" i="2"/>
  <c r="P296" i="2"/>
  <c r="O296" i="2"/>
  <c r="K296" i="2"/>
  <c r="J296" i="2"/>
  <c r="I296" i="2"/>
  <c r="H296" i="2"/>
  <c r="G296" i="2"/>
  <c r="E296" i="2"/>
  <c r="AC295" i="2"/>
  <c r="AB295" i="2"/>
  <c r="AA295" i="2"/>
  <c r="Z295" i="2"/>
  <c r="X295" i="2"/>
  <c r="W295" i="2"/>
  <c r="V295" i="2"/>
  <c r="U295" i="2"/>
  <c r="T295" i="2"/>
  <c r="S295" i="2"/>
  <c r="R295" i="2"/>
  <c r="Q295" i="2"/>
  <c r="P295" i="2"/>
  <c r="O295" i="2"/>
  <c r="K295" i="2"/>
  <c r="J295" i="2"/>
  <c r="I295" i="2"/>
  <c r="H295" i="2"/>
  <c r="G295" i="2"/>
  <c r="E295" i="2"/>
  <c r="AC294" i="2"/>
  <c r="AB294" i="2"/>
  <c r="AA294" i="2"/>
  <c r="Z294" i="2"/>
  <c r="X294" i="2"/>
  <c r="W294" i="2"/>
  <c r="V294" i="2"/>
  <c r="U294" i="2"/>
  <c r="T294" i="2"/>
  <c r="S294" i="2"/>
  <c r="R294" i="2"/>
  <c r="Q294" i="2"/>
  <c r="P294" i="2"/>
  <c r="O294" i="2"/>
  <c r="K294" i="2"/>
  <c r="J294" i="2"/>
  <c r="I294" i="2"/>
  <c r="H294" i="2"/>
  <c r="G294" i="2"/>
  <c r="E294" i="2"/>
  <c r="AC293" i="2"/>
  <c r="AB293" i="2"/>
  <c r="AA293" i="2"/>
  <c r="Z293" i="2"/>
  <c r="X293" i="2"/>
  <c r="W293" i="2"/>
  <c r="V293" i="2"/>
  <c r="U293" i="2"/>
  <c r="T293" i="2"/>
  <c r="S293" i="2"/>
  <c r="R293" i="2"/>
  <c r="Q293" i="2"/>
  <c r="P293" i="2"/>
  <c r="O293" i="2"/>
  <c r="K293" i="2"/>
  <c r="J293" i="2"/>
  <c r="I293" i="2"/>
  <c r="H293" i="2"/>
  <c r="G293" i="2"/>
  <c r="E293" i="2"/>
  <c r="AC292" i="2"/>
  <c r="AB292" i="2"/>
  <c r="AA292" i="2"/>
  <c r="Z292" i="2"/>
  <c r="X292" i="2"/>
  <c r="W292" i="2"/>
  <c r="V292" i="2"/>
  <c r="U292" i="2"/>
  <c r="T292" i="2"/>
  <c r="S292" i="2"/>
  <c r="R292" i="2"/>
  <c r="Q292" i="2"/>
  <c r="P292" i="2"/>
  <c r="O292" i="2"/>
  <c r="K292" i="2"/>
  <c r="J292" i="2"/>
  <c r="I292" i="2"/>
  <c r="H292" i="2"/>
  <c r="G292" i="2"/>
  <c r="E292" i="2"/>
  <c r="AC291" i="2"/>
  <c r="AB291" i="2"/>
  <c r="AA291" i="2"/>
  <c r="Z291" i="2"/>
  <c r="X291" i="2"/>
  <c r="W291" i="2"/>
  <c r="V291" i="2"/>
  <c r="U291" i="2"/>
  <c r="T291" i="2"/>
  <c r="S291" i="2"/>
  <c r="R291" i="2"/>
  <c r="Q291" i="2"/>
  <c r="P291" i="2"/>
  <c r="O291" i="2"/>
  <c r="K291" i="2"/>
  <c r="J291" i="2"/>
  <c r="I291" i="2"/>
  <c r="H291" i="2"/>
  <c r="G291" i="2"/>
  <c r="E291" i="2"/>
  <c r="AC290" i="2"/>
  <c r="AB290" i="2"/>
  <c r="AA290" i="2"/>
  <c r="Z290" i="2"/>
  <c r="X290" i="2"/>
  <c r="W290" i="2"/>
  <c r="V290" i="2"/>
  <c r="U290" i="2"/>
  <c r="T290" i="2"/>
  <c r="S290" i="2"/>
  <c r="R290" i="2"/>
  <c r="Q290" i="2"/>
  <c r="P290" i="2"/>
  <c r="O290" i="2"/>
  <c r="K290" i="2"/>
  <c r="J290" i="2"/>
  <c r="I290" i="2"/>
  <c r="H290" i="2"/>
  <c r="G290" i="2"/>
  <c r="E290" i="2"/>
  <c r="AC289" i="2"/>
  <c r="AB289" i="2"/>
  <c r="AA289" i="2"/>
  <c r="Z289" i="2"/>
  <c r="X289" i="2"/>
  <c r="W289" i="2"/>
  <c r="V289" i="2"/>
  <c r="U289" i="2"/>
  <c r="T289" i="2"/>
  <c r="S289" i="2"/>
  <c r="R289" i="2"/>
  <c r="Q289" i="2"/>
  <c r="P289" i="2"/>
  <c r="O289" i="2"/>
  <c r="K289" i="2"/>
  <c r="J289" i="2"/>
  <c r="I289" i="2"/>
  <c r="H289" i="2"/>
  <c r="G289" i="2"/>
  <c r="E289" i="2"/>
  <c r="AC288" i="2"/>
  <c r="AB288" i="2"/>
  <c r="AA288" i="2"/>
  <c r="Z288" i="2"/>
  <c r="X288" i="2"/>
  <c r="W288" i="2"/>
  <c r="V288" i="2"/>
  <c r="U288" i="2"/>
  <c r="T288" i="2"/>
  <c r="S288" i="2"/>
  <c r="R288" i="2"/>
  <c r="Q288" i="2"/>
  <c r="P288" i="2"/>
  <c r="O288" i="2"/>
  <c r="K288" i="2"/>
  <c r="J288" i="2"/>
  <c r="I288" i="2"/>
  <c r="H288" i="2"/>
  <c r="G288" i="2"/>
  <c r="E288" i="2"/>
  <c r="AC287" i="2"/>
  <c r="AB287" i="2"/>
  <c r="AA287" i="2"/>
  <c r="Z287" i="2"/>
  <c r="X287" i="2"/>
  <c r="W287" i="2"/>
  <c r="V287" i="2"/>
  <c r="U287" i="2"/>
  <c r="T287" i="2"/>
  <c r="S287" i="2"/>
  <c r="R287" i="2"/>
  <c r="Q287" i="2"/>
  <c r="P287" i="2"/>
  <c r="O287" i="2"/>
  <c r="K287" i="2"/>
  <c r="J287" i="2"/>
  <c r="I287" i="2"/>
  <c r="H287" i="2"/>
  <c r="G287" i="2"/>
  <c r="E287" i="2"/>
  <c r="AC286" i="2"/>
  <c r="AB286" i="2"/>
  <c r="AA286" i="2"/>
  <c r="Z286" i="2"/>
  <c r="X286" i="2"/>
  <c r="W286" i="2"/>
  <c r="V286" i="2"/>
  <c r="U286" i="2"/>
  <c r="T286" i="2"/>
  <c r="S286" i="2"/>
  <c r="R286" i="2"/>
  <c r="Q286" i="2"/>
  <c r="P286" i="2"/>
  <c r="O286" i="2"/>
  <c r="K286" i="2"/>
  <c r="J286" i="2"/>
  <c r="I286" i="2"/>
  <c r="H286" i="2"/>
  <c r="G286" i="2"/>
  <c r="E286" i="2"/>
  <c r="AC285" i="2"/>
  <c r="AB285" i="2"/>
  <c r="AA285" i="2"/>
  <c r="Z285" i="2"/>
  <c r="X285" i="2"/>
  <c r="W285" i="2"/>
  <c r="V285" i="2"/>
  <c r="U285" i="2"/>
  <c r="T285" i="2"/>
  <c r="S285" i="2"/>
  <c r="R285" i="2"/>
  <c r="Q285" i="2"/>
  <c r="P285" i="2"/>
  <c r="O285" i="2"/>
  <c r="K285" i="2"/>
  <c r="J285" i="2"/>
  <c r="I285" i="2"/>
  <c r="H285" i="2"/>
  <c r="G285" i="2"/>
  <c r="E285" i="2"/>
  <c r="AC284" i="2"/>
  <c r="AB284" i="2"/>
  <c r="AA284" i="2"/>
  <c r="Z284" i="2"/>
  <c r="X284" i="2"/>
  <c r="W284" i="2"/>
  <c r="V284" i="2"/>
  <c r="U284" i="2"/>
  <c r="T284" i="2"/>
  <c r="S284" i="2"/>
  <c r="R284" i="2"/>
  <c r="Q284" i="2"/>
  <c r="P284" i="2"/>
  <c r="O284" i="2"/>
  <c r="K284" i="2"/>
  <c r="J284" i="2"/>
  <c r="I284" i="2"/>
  <c r="H284" i="2"/>
  <c r="G284" i="2"/>
  <c r="E284" i="2"/>
  <c r="AC283" i="2"/>
  <c r="AB283" i="2"/>
  <c r="AA283" i="2"/>
  <c r="Z283" i="2"/>
  <c r="X283" i="2"/>
  <c r="W283" i="2"/>
  <c r="V283" i="2"/>
  <c r="U283" i="2"/>
  <c r="T283" i="2"/>
  <c r="S283" i="2"/>
  <c r="R283" i="2"/>
  <c r="Q283" i="2"/>
  <c r="P283" i="2"/>
  <c r="O283" i="2"/>
  <c r="K283" i="2"/>
  <c r="J283" i="2"/>
  <c r="I283" i="2"/>
  <c r="H283" i="2"/>
  <c r="G283" i="2"/>
  <c r="E283" i="2"/>
  <c r="AC282" i="2"/>
  <c r="AB282" i="2"/>
  <c r="AA282" i="2"/>
  <c r="Z282" i="2"/>
  <c r="X282" i="2"/>
  <c r="W282" i="2"/>
  <c r="V282" i="2"/>
  <c r="U282" i="2"/>
  <c r="T282" i="2"/>
  <c r="S282" i="2"/>
  <c r="R282" i="2"/>
  <c r="Q282" i="2"/>
  <c r="P282" i="2"/>
  <c r="O282" i="2"/>
  <c r="K282" i="2"/>
  <c r="J282" i="2"/>
  <c r="I282" i="2"/>
  <c r="H282" i="2"/>
  <c r="G282" i="2"/>
  <c r="E282" i="2"/>
  <c r="AC281" i="2"/>
  <c r="AB281" i="2"/>
  <c r="AA281" i="2"/>
  <c r="Z281" i="2"/>
  <c r="X281" i="2"/>
  <c r="W281" i="2"/>
  <c r="V281" i="2"/>
  <c r="U281" i="2"/>
  <c r="T281" i="2"/>
  <c r="S281" i="2"/>
  <c r="R281" i="2"/>
  <c r="Q281" i="2"/>
  <c r="P281" i="2"/>
  <c r="O281" i="2"/>
  <c r="K281" i="2"/>
  <c r="J281" i="2"/>
  <c r="I281" i="2"/>
  <c r="H281" i="2"/>
  <c r="G281" i="2"/>
  <c r="E281" i="2"/>
  <c r="AC280" i="2"/>
  <c r="AB280" i="2"/>
  <c r="AA280" i="2"/>
  <c r="Z280" i="2"/>
  <c r="X280" i="2"/>
  <c r="W280" i="2"/>
  <c r="V280" i="2"/>
  <c r="U280" i="2"/>
  <c r="T280" i="2"/>
  <c r="S280" i="2"/>
  <c r="R280" i="2"/>
  <c r="Q280" i="2"/>
  <c r="P280" i="2"/>
  <c r="O280" i="2"/>
  <c r="K280" i="2"/>
  <c r="J280" i="2"/>
  <c r="I280" i="2"/>
  <c r="H280" i="2"/>
  <c r="G280" i="2"/>
  <c r="E280" i="2"/>
  <c r="AC279" i="2"/>
  <c r="AB279" i="2"/>
  <c r="AA279" i="2"/>
  <c r="Z279" i="2"/>
  <c r="X279" i="2"/>
  <c r="W279" i="2"/>
  <c r="V279" i="2"/>
  <c r="U279" i="2"/>
  <c r="T279" i="2"/>
  <c r="S279" i="2"/>
  <c r="R279" i="2"/>
  <c r="Q279" i="2"/>
  <c r="P279" i="2"/>
  <c r="O279" i="2"/>
  <c r="K279" i="2"/>
  <c r="J279" i="2"/>
  <c r="I279" i="2"/>
  <c r="H279" i="2"/>
  <c r="G279" i="2"/>
  <c r="E279" i="2"/>
  <c r="AC278" i="2"/>
  <c r="AB278" i="2"/>
  <c r="AA278" i="2"/>
  <c r="Z278" i="2"/>
  <c r="X278" i="2"/>
  <c r="W278" i="2"/>
  <c r="V278" i="2"/>
  <c r="U278" i="2"/>
  <c r="T278" i="2"/>
  <c r="S278" i="2"/>
  <c r="R278" i="2"/>
  <c r="Q278" i="2"/>
  <c r="P278" i="2"/>
  <c r="O278" i="2"/>
  <c r="K278" i="2"/>
  <c r="J278" i="2"/>
  <c r="I278" i="2"/>
  <c r="H278" i="2"/>
  <c r="G278" i="2"/>
  <c r="E278" i="2"/>
  <c r="AC277" i="2"/>
  <c r="AB277" i="2"/>
  <c r="AA277" i="2"/>
  <c r="Z277" i="2"/>
  <c r="X277" i="2"/>
  <c r="W277" i="2"/>
  <c r="V277" i="2"/>
  <c r="U277" i="2"/>
  <c r="T277" i="2"/>
  <c r="S277" i="2"/>
  <c r="R277" i="2"/>
  <c r="Q277" i="2"/>
  <c r="P277" i="2"/>
  <c r="O277" i="2"/>
  <c r="K277" i="2"/>
  <c r="J277" i="2"/>
  <c r="I277" i="2"/>
  <c r="H277" i="2"/>
  <c r="G277" i="2"/>
  <c r="E277" i="2"/>
  <c r="AC276" i="2"/>
  <c r="AB276" i="2"/>
  <c r="AA276" i="2"/>
  <c r="Z276" i="2"/>
  <c r="X276" i="2"/>
  <c r="W276" i="2"/>
  <c r="V276" i="2"/>
  <c r="U276" i="2"/>
  <c r="T276" i="2"/>
  <c r="S276" i="2"/>
  <c r="R276" i="2"/>
  <c r="Q276" i="2"/>
  <c r="P276" i="2"/>
  <c r="O276" i="2"/>
  <c r="K276" i="2"/>
  <c r="J276" i="2"/>
  <c r="I276" i="2"/>
  <c r="H276" i="2"/>
  <c r="G276" i="2"/>
  <c r="E276" i="2"/>
  <c r="AC275" i="2"/>
  <c r="AB275" i="2"/>
  <c r="AA275" i="2"/>
  <c r="Z275" i="2"/>
  <c r="X275" i="2"/>
  <c r="W275" i="2"/>
  <c r="V275" i="2"/>
  <c r="U275" i="2"/>
  <c r="T275" i="2"/>
  <c r="S275" i="2"/>
  <c r="R275" i="2"/>
  <c r="Q275" i="2"/>
  <c r="P275" i="2"/>
  <c r="O275" i="2"/>
  <c r="K275" i="2"/>
  <c r="J275" i="2"/>
  <c r="I275" i="2"/>
  <c r="H275" i="2"/>
  <c r="G275" i="2"/>
  <c r="E275" i="2"/>
  <c r="AC274" i="2"/>
  <c r="AB274" i="2"/>
  <c r="AA274" i="2"/>
  <c r="Z274" i="2"/>
  <c r="X274" i="2"/>
  <c r="W274" i="2"/>
  <c r="V274" i="2"/>
  <c r="U274" i="2"/>
  <c r="T274" i="2"/>
  <c r="S274" i="2"/>
  <c r="R274" i="2"/>
  <c r="Q274" i="2"/>
  <c r="P274" i="2"/>
  <c r="O274" i="2"/>
  <c r="K274" i="2"/>
  <c r="J274" i="2"/>
  <c r="I274" i="2"/>
  <c r="H274" i="2"/>
  <c r="G274" i="2"/>
  <c r="E274" i="2"/>
  <c r="AC273" i="2"/>
  <c r="AB273" i="2"/>
  <c r="AA273" i="2"/>
  <c r="Z273" i="2"/>
  <c r="X273" i="2"/>
  <c r="W273" i="2"/>
  <c r="V273" i="2"/>
  <c r="U273" i="2"/>
  <c r="T273" i="2"/>
  <c r="S273" i="2"/>
  <c r="R273" i="2"/>
  <c r="Q273" i="2"/>
  <c r="P273" i="2"/>
  <c r="O273" i="2"/>
  <c r="K273" i="2"/>
  <c r="J273" i="2"/>
  <c r="I273" i="2"/>
  <c r="H273" i="2"/>
  <c r="G273" i="2"/>
  <c r="E273" i="2"/>
  <c r="AC272" i="2"/>
  <c r="AB272" i="2"/>
  <c r="AA272" i="2"/>
  <c r="Z272" i="2"/>
  <c r="X272" i="2"/>
  <c r="W272" i="2"/>
  <c r="V272" i="2"/>
  <c r="U272" i="2"/>
  <c r="T272" i="2"/>
  <c r="S272" i="2"/>
  <c r="R272" i="2"/>
  <c r="Q272" i="2"/>
  <c r="P272" i="2"/>
  <c r="O272" i="2"/>
  <c r="K272" i="2"/>
  <c r="J272" i="2"/>
  <c r="I272" i="2"/>
  <c r="H272" i="2"/>
  <c r="G272" i="2"/>
  <c r="E272" i="2"/>
  <c r="AC271" i="2"/>
  <c r="AB271" i="2"/>
  <c r="AA271" i="2"/>
  <c r="Z271" i="2"/>
  <c r="X271" i="2"/>
  <c r="W271" i="2"/>
  <c r="V271" i="2"/>
  <c r="U271" i="2"/>
  <c r="T271" i="2"/>
  <c r="S271" i="2"/>
  <c r="R271" i="2"/>
  <c r="Q271" i="2"/>
  <c r="P271" i="2"/>
  <c r="O271" i="2"/>
  <c r="K271" i="2"/>
  <c r="J271" i="2"/>
  <c r="I271" i="2"/>
  <c r="H271" i="2"/>
  <c r="G271" i="2"/>
  <c r="E271" i="2"/>
  <c r="AC270" i="2"/>
  <c r="AB270" i="2"/>
  <c r="AA270" i="2"/>
  <c r="Z270" i="2"/>
  <c r="X270" i="2"/>
  <c r="W270" i="2"/>
  <c r="V270" i="2"/>
  <c r="U270" i="2"/>
  <c r="T270" i="2"/>
  <c r="S270" i="2"/>
  <c r="R270" i="2"/>
  <c r="Q270" i="2"/>
  <c r="P270" i="2"/>
  <c r="O270" i="2"/>
  <c r="K270" i="2"/>
  <c r="J270" i="2"/>
  <c r="I270" i="2"/>
  <c r="H270" i="2"/>
  <c r="G270" i="2"/>
  <c r="E270" i="2"/>
  <c r="AC269" i="2"/>
  <c r="AB269" i="2"/>
  <c r="AA269" i="2"/>
  <c r="Z269" i="2"/>
  <c r="X269" i="2"/>
  <c r="W269" i="2"/>
  <c r="V269" i="2"/>
  <c r="U269" i="2"/>
  <c r="T269" i="2"/>
  <c r="S269" i="2"/>
  <c r="R269" i="2"/>
  <c r="Q269" i="2"/>
  <c r="P269" i="2"/>
  <c r="O269" i="2"/>
  <c r="K269" i="2"/>
  <c r="J269" i="2"/>
  <c r="I269" i="2"/>
  <c r="H269" i="2"/>
  <c r="G269" i="2"/>
  <c r="E269" i="2"/>
  <c r="AC268" i="2"/>
  <c r="AB268" i="2"/>
  <c r="AA268" i="2"/>
  <c r="Z268" i="2"/>
  <c r="X268" i="2"/>
  <c r="W268" i="2"/>
  <c r="V268" i="2"/>
  <c r="U268" i="2"/>
  <c r="T268" i="2"/>
  <c r="S268" i="2"/>
  <c r="R268" i="2"/>
  <c r="Q268" i="2"/>
  <c r="P268" i="2"/>
  <c r="O268" i="2"/>
  <c r="K268" i="2"/>
  <c r="J268" i="2"/>
  <c r="I268" i="2"/>
  <c r="H268" i="2"/>
  <c r="G268" i="2"/>
  <c r="E268" i="2"/>
  <c r="AC267" i="2"/>
  <c r="AB267" i="2"/>
  <c r="AA267" i="2"/>
  <c r="Z267" i="2"/>
  <c r="X267" i="2"/>
  <c r="W267" i="2"/>
  <c r="V267" i="2"/>
  <c r="U267" i="2"/>
  <c r="T267" i="2"/>
  <c r="S267" i="2"/>
  <c r="R267" i="2"/>
  <c r="Q267" i="2"/>
  <c r="P267" i="2"/>
  <c r="O267" i="2"/>
  <c r="K267" i="2"/>
  <c r="J267" i="2"/>
  <c r="I267" i="2"/>
  <c r="H267" i="2"/>
  <c r="G267" i="2"/>
  <c r="E267" i="2"/>
  <c r="AC266" i="2"/>
  <c r="AB266" i="2"/>
  <c r="AA266" i="2"/>
  <c r="Z266" i="2"/>
  <c r="X266" i="2"/>
  <c r="W266" i="2"/>
  <c r="V266" i="2"/>
  <c r="U266" i="2"/>
  <c r="T266" i="2"/>
  <c r="S266" i="2"/>
  <c r="R266" i="2"/>
  <c r="Q266" i="2"/>
  <c r="P266" i="2"/>
  <c r="O266" i="2"/>
  <c r="K266" i="2"/>
  <c r="J266" i="2"/>
  <c r="I266" i="2"/>
  <c r="H266" i="2"/>
  <c r="G266" i="2"/>
  <c r="E266" i="2"/>
  <c r="AC265" i="2"/>
  <c r="AB265" i="2"/>
  <c r="AA265" i="2"/>
  <c r="Z265" i="2"/>
  <c r="X265" i="2"/>
  <c r="W265" i="2"/>
  <c r="V265" i="2"/>
  <c r="U265" i="2"/>
  <c r="T265" i="2"/>
  <c r="S265" i="2"/>
  <c r="R265" i="2"/>
  <c r="Q265" i="2"/>
  <c r="P265" i="2"/>
  <c r="O265" i="2"/>
  <c r="K265" i="2"/>
  <c r="J265" i="2"/>
  <c r="I265" i="2"/>
  <c r="H265" i="2"/>
  <c r="G265" i="2"/>
  <c r="E265" i="2"/>
  <c r="AC264" i="2"/>
  <c r="AB264" i="2"/>
  <c r="AA264" i="2"/>
  <c r="Z264" i="2"/>
  <c r="X264" i="2"/>
  <c r="W264" i="2"/>
  <c r="V264" i="2"/>
  <c r="U264" i="2"/>
  <c r="T264" i="2"/>
  <c r="S264" i="2"/>
  <c r="R264" i="2"/>
  <c r="Q264" i="2"/>
  <c r="P264" i="2"/>
  <c r="O264" i="2"/>
  <c r="K264" i="2"/>
  <c r="J264" i="2"/>
  <c r="I264" i="2"/>
  <c r="H264" i="2"/>
  <c r="G264" i="2"/>
  <c r="E264" i="2"/>
  <c r="AC263" i="2"/>
  <c r="AB263" i="2"/>
  <c r="AA263" i="2"/>
  <c r="Z263" i="2"/>
  <c r="X263" i="2"/>
  <c r="W263" i="2"/>
  <c r="V263" i="2"/>
  <c r="U263" i="2"/>
  <c r="T263" i="2"/>
  <c r="S263" i="2"/>
  <c r="R263" i="2"/>
  <c r="Q263" i="2"/>
  <c r="P263" i="2"/>
  <c r="O263" i="2"/>
  <c r="K263" i="2"/>
  <c r="J263" i="2"/>
  <c r="I263" i="2"/>
  <c r="H263" i="2"/>
  <c r="G263" i="2"/>
  <c r="E263" i="2"/>
  <c r="AC262" i="2"/>
  <c r="AB262" i="2"/>
  <c r="AA262" i="2"/>
  <c r="Z262" i="2"/>
  <c r="X262" i="2"/>
  <c r="W262" i="2"/>
  <c r="V262" i="2"/>
  <c r="U262" i="2"/>
  <c r="T262" i="2"/>
  <c r="S262" i="2"/>
  <c r="R262" i="2"/>
  <c r="Q262" i="2"/>
  <c r="P262" i="2"/>
  <c r="O262" i="2"/>
  <c r="K262" i="2"/>
  <c r="J262" i="2"/>
  <c r="I262" i="2"/>
  <c r="H262" i="2"/>
  <c r="G262" i="2"/>
  <c r="E262" i="2"/>
  <c r="AC261" i="2"/>
  <c r="AB261" i="2"/>
  <c r="AA261" i="2"/>
  <c r="Z261" i="2"/>
  <c r="X261" i="2"/>
  <c r="W261" i="2"/>
  <c r="V261" i="2"/>
  <c r="U261" i="2"/>
  <c r="T261" i="2"/>
  <c r="S261" i="2"/>
  <c r="R261" i="2"/>
  <c r="Q261" i="2"/>
  <c r="P261" i="2"/>
  <c r="O261" i="2"/>
  <c r="K261" i="2"/>
  <c r="J261" i="2"/>
  <c r="I261" i="2"/>
  <c r="H261" i="2"/>
  <c r="G261" i="2"/>
  <c r="E261" i="2"/>
  <c r="AC260" i="2"/>
  <c r="AB260" i="2"/>
  <c r="AA260" i="2"/>
  <c r="Z260" i="2"/>
  <c r="X260" i="2"/>
  <c r="W260" i="2"/>
  <c r="V260" i="2"/>
  <c r="U260" i="2"/>
  <c r="T260" i="2"/>
  <c r="S260" i="2"/>
  <c r="R260" i="2"/>
  <c r="Q260" i="2"/>
  <c r="P260" i="2"/>
  <c r="O260" i="2"/>
  <c r="K260" i="2"/>
  <c r="J260" i="2"/>
  <c r="I260" i="2"/>
  <c r="H260" i="2"/>
  <c r="G260" i="2"/>
  <c r="E260" i="2"/>
  <c r="AC259" i="2"/>
  <c r="AB259" i="2"/>
  <c r="AA259" i="2"/>
  <c r="Z259" i="2"/>
  <c r="X259" i="2"/>
  <c r="W259" i="2"/>
  <c r="V259" i="2"/>
  <c r="U259" i="2"/>
  <c r="T259" i="2"/>
  <c r="S259" i="2"/>
  <c r="R259" i="2"/>
  <c r="Q259" i="2"/>
  <c r="P259" i="2"/>
  <c r="O259" i="2"/>
  <c r="K259" i="2"/>
  <c r="J259" i="2"/>
  <c r="I259" i="2"/>
  <c r="H259" i="2"/>
  <c r="G259" i="2"/>
  <c r="E259" i="2"/>
  <c r="AC258" i="2"/>
  <c r="AB258" i="2"/>
  <c r="AA258" i="2"/>
  <c r="Z258" i="2"/>
  <c r="X258" i="2"/>
  <c r="W258" i="2"/>
  <c r="V258" i="2"/>
  <c r="U258" i="2"/>
  <c r="T258" i="2"/>
  <c r="S258" i="2"/>
  <c r="R258" i="2"/>
  <c r="Q258" i="2"/>
  <c r="P258" i="2"/>
  <c r="O258" i="2"/>
  <c r="K258" i="2"/>
  <c r="J258" i="2"/>
  <c r="I258" i="2"/>
  <c r="H258" i="2"/>
  <c r="G258" i="2"/>
  <c r="E258" i="2"/>
  <c r="AC257" i="2"/>
  <c r="AB257" i="2"/>
  <c r="AA257" i="2"/>
  <c r="Z257" i="2"/>
  <c r="X257" i="2"/>
  <c r="W257" i="2"/>
  <c r="V257" i="2"/>
  <c r="U257" i="2"/>
  <c r="T257" i="2"/>
  <c r="S257" i="2"/>
  <c r="R257" i="2"/>
  <c r="Q257" i="2"/>
  <c r="P257" i="2"/>
  <c r="O257" i="2"/>
  <c r="K257" i="2"/>
  <c r="J257" i="2"/>
  <c r="I257" i="2"/>
  <c r="H257" i="2"/>
  <c r="G257" i="2"/>
  <c r="E257" i="2"/>
  <c r="AC256" i="2"/>
  <c r="AB256" i="2"/>
  <c r="AA256" i="2"/>
  <c r="Z256" i="2"/>
  <c r="X256" i="2"/>
  <c r="W256" i="2"/>
  <c r="V256" i="2"/>
  <c r="U256" i="2"/>
  <c r="T256" i="2"/>
  <c r="S256" i="2"/>
  <c r="R256" i="2"/>
  <c r="Q256" i="2"/>
  <c r="P256" i="2"/>
  <c r="O256" i="2"/>
  <c r="K256" i="2"/>
  <c r="J256" i="2"/>
  <c r="I256" i="2"/>
  <c r="H256" i="2"/>
  <c r="G256" i="2"/>
  <c r="E256" i="2"/>
  <c r="AC255" i="2"/>
  <c r="AB255" i="2"/>
  <c r="AA255" i="2"/>
  <c r="Z255" i="2"/>
  <c r="X255" i="2"/>
  <c r="W255" i="2"/>
  <c r="V255" i="2"/>
  <c r="U255" i="2"/>
  <c r="T255" i="2"/>
  <c r="S255" i="2"/>
  <c r="R255" i="2"/>
  <c r="Q255" i="2"/>
  <c r="P255" i="2"/>
  <c r="O255" i="2"/>
  <c r="K255" i="2"/>
  <c r="J255" i="2"/>
  <c r="I255" i="2"/>
  <c r="H255" i="2"/>
  <c r="G255" i="2"/>
  <c r="E255" i="2"/>
  <c r="AC254" i="2"/>
  <c r="AB254" i="2"/>
  <c r="AA254" i="2"/>
  <c r="Z254" i="2"/>
  <c r="X254" i="2"/>
  <c r="W254" i="2"/>
  <c r="V254" i="2"/>
  <c r="U254" i="2"/>
  <c r="T254" i="2"/>
  <c r="S254" i="2"/>
  <c r="R254" i="2"/>
  <c r="Q254" i="2"/>
  <c r="P254" i="2"/>
  <c r="O254" i="2"/>
  <c r="K254" i="2"/>
  <c r="J254" i="2"/>
  <c r="I254" i="2"/>
  <c r="H254" i="2"/>
  <c r="G254" i="2"/>
  <c r="E254" i="2"/>
  <c r="AC253" i="2"/>
  <c r="AB253" i="2"/>
  <c r="AA253" i="2"/>
  <c r="Z253" i="2"/>
  <c r="X253" i="2"/>
  <c r="W253" i="2"/>
  <c r="V253" i="2"/>
  <c r="U253" i="2"/>
  <c r="T253" i="2"/>
  <c r="S253" i="2"/>
  <c r="R253" i="2"/>
  <c r="Q253" i="2"/>
  <c r="P253" i="2"/>
  <c r="O253" i="2"/>
  <c r="K253" i="2"/>
  <c r="J253" i="2"/>
  <c r="I253" i="2"/>
  <c r="H253" i="2"/>
  <c r="G253" i="2"/>
  <c r="E253" i="2"/>
  <c r="AC252" i="2"/>
  <c r="AB252" i="2"/>
  <c r="AA252" i="2"/>
  <c r="Z252" i="2"/>
  <c r="X252" i="2"/>
  <c r="W252" i="2"/>
  <c r="V252" i="2"/>
  <c r="U252" i="2"/>
  <c r="T252" i="2"/>
  <c r="S252" i="2"/>
  <c r="R252" i="2"/>
  <c r="Q252" i="2"/>
  <c r="P252" i="2"/>
  <c r="O252" i="2"/>
  <c r="K252" i="2"/>
  <c r="J252" i="2"/>
  <c r="I252" i="2"/>
  <c r="H252" i="2"/>
  <c r="G252" i="2"/>
  <c r="E252" i="2"/>
  <c r="AC251" i="2"/>
  <c r="AB251" i="2"/>
  <c r="AA251" i="2"/>
  <c r="Z251" i="2"/>
  <c r="X251" i="2"/>
  <c r="W251" i="2"/>
  <c r="V251" i="2"/>
  <c r="U251" i="2"/>
  <c r="T251" i="2"/>
  <c r="S251" i="2"/>
  <c r="R251" i="2"/>
  <c r="Q251" i="2"/>
  <c r="P251" i="2"/>
  <c r="O251" i="2"/>
  <c r="K251" i="2"/>
  <c r="J251" i="2"/>
  <c r="I251" i="2"/>
  <c r="H251" i="2"/>
  <c r="G251" i="2"/>
  <c r="E251" i="2"/>
  <c r="AC250" i="2"/>
  <c r="AB250" i="2"/>
  <c r="AA250" i="2"/>
  <c r="Z250" i="2"/>
  <c r="X250" i="2"/>
  <c r="W250" i="2"/>
  <c r="V250" i="2"/>
  <c r="U250" i="2"/>
  <c r="T250" i="2"/>
  <c r="S250" i="2"/>
  <c r="R250" i="2"/>
  <c r="Q250" i="2"/>
  <c r="P250" i="2"/>
  <c r="O250" i="2"/>
  <c r="K250" i="2"/>
  <c r="J250" i="2"/>
  <c r="I250" i="2"/>
  <c r="H250" i="2"/>
  <c r="G250" i="2"/>
  <c r="E250" i="2"/>
  <c r="AC249" i="2"/>
  <c r="AB249" i="2"/>
  <c r="AA249" i="2"/>
  <c r="Z249" i="2"/>
  <c r="X249" i="2"/>
  <c r="W249" i="2"/>
  <c r="V249" i="2"/>
  <c r="U249" i="2"/>
  <c r="T249" i="2"/>
  <c r="S249" i="2"/>
  <c r="R249" i="2"/>
  <c r="Q249" i="2"/>
  <c r="P249" i="2"/>
  <c r="O249" i="2"/>
  <c r="K249" i="2"/>
  <c r="J249" i="2"/>
  <c r="I249" i="2"/>
  <c r="H249" i="2"/>
  <c r="G249" i="2"/>
  <c r="E249" i="2"/>
  <c r="AC248" i="2"/>
  <c r="AB248" i="2"/>
  <c r="AA248" i="2"/>
  <c r="Z248" i="2"/>
  <c r="X248" i="2"/>
  <c r="W248" i="2"/>
  <c r="V248" i="2"/>
  <c r="U248" i="2"/>
  <c r="T248" i="2"/>
  <c r="S248" i="2"/>
  <c r="R248" i="2"/>
  <c r="Q248" i="2"/>
  <c r="P248" i="2"/>
  <c r="O248" i="2"/>
  <c r="K248" i="2"/>
  <c r="J248" i="2"/>
  <c r="I248" i="2"/>
  <c r="H248" i="2"/>
  <c r="G248" i="2"/>
  <c r="E248" i="2"/>
  <c r="AC247" i="2"/>
  <c r="AB247" i="2"/>
  <c r="AA247" i="2"/>
  <c r="Z247" i="2"/>
  <c r="X247" i="2"/>
  <c r="W247" i="2"/>
  <c r="V247" i="2"/>
  <c r="U247" i="2"/>
  <c r="T247" i="2"/>
  <c r="S247" i="2"/>
  <c r="R247" i="2"/>
  <c r="Q247" i="2"/>
  <c r="P247" i="2"/>
  <c r="O247" i="2"/>
  <c r="K247" i="2"/>
  <c r="J247" i="2"/>
  <c r="I247" i="2"/>
  <c r="H247" i="2"/>
  <c r="G247" i="2"/>
  <c r="E247" i="2"/>
  <c r="AC246" i="2"/>
  <c r="AB246" i="2"/>
  <c r="AA246" i="2"/>
  <c r="Z246" i="2"/>
  <c r="X246" i="2"/>
  <c r="W246" i="2"/>
  <c r="V246" i="2"/>
  <c r="U246" i="2"/>
  <c r="T246" i="2"/>
  <c r="S246" i="2"/>
  <c r="R246" i="2"/>
  <c r="Q246" i="2"/>
  <c r="P246" i="2"/>
  <c r="O246" i="2"/>
  <c r="K246" i="2"/>
  <c r="J246" i="2"/>
  <c r="I246" i="2"/>
  <c r="H246" i="2"/>
  <c r="G246" i="2"/>
  <c r="E246" i="2"/>
  <c r="AC245" i="2"/>
  <c r="AB245" i="2"/>
  <c r="AA245" i="2"/>
  <c r="Z245" i="2"/>
  <c r="X245" i="2"/>
  <c r="W245" i="2"/>
  <c r="V245" i="2"/>
  <c r="U245" i="2"/>
  <c r="T245" i="2"/>
  <c r="S245" i="2"/>
  <c r="R245" i="2"/>
  <c r="Q245" i="2"/>
  <c r="P245" i="2"/>
  <c r="O245" i="2"/>
  <c r="K245" i="2"/>
  <c r="J245" i="2"/>
  <c r="I245" i="2"/>
  <c r="H245" i="2"/>
  <c r="G245" i="2"/>
  <c r="E245" i="2"/>
  <c r="AC244" i="2"/>
  <c r="AB244" i="2"/>
  <c r="AA244" i="2"/>
  <c r="Z244" i="2"/>
  <c r="X244" i="2"/>
  <c r="W244" i="2"/>
  <c r="V244" i="2"/>
  <c r="U244" i="2"/>
  <c r="T244" i="2"/>
  <c r="S244" i="2"/>
  <c r="R244" i="2"/>
  <c r="Q244" i="2"/>
  <c r="P244" i="2"/>
  <c r="O244" i="2"/>
  <c r="K244" i="2"/>
  <c r="J244" i="2"/>
  <c r="I244" i="2"/>
  <c r="H244" i="2"/>
  <c r="G244" i="2"/>
  <c r="E244" i="2"/>
  <c r="AC243" i="2"/>
  <c r="AB243" i="2"/>
  <c r="AA243" i="2"/>
  <c r="Z243" i="2"/>
  <c r="X243" i="2"/>
  <c r="W243" i="2"/>
  <c r="V243" i="2"/>
  <c r="U243" i="2"/>
  <c r="T243" i="2"/>
  <c r="S243" i="2"/>
  <c r="R243" i="2"/>
  <c r="Q243" i="2"/>
  <c r="P243" i="2"/>
  <c r="O243" i="2"/>
  <c r="K243" i="2"/>
  <c r="J243" i="2"/>
  <c r="I243" i="2"/>
  <c r="H243" i="2"/>
  <c r="G243" i="2"/>
  <c r="E243" i="2"/>
  <c r="AC242" i="2"/>
  <c r="AB242" i="2"/>
  <c r="AA242" i="2"/>
  <c r="Z242" i="2"/>
  <c r="X242" i="2"/>
  <c r="W242" i="2"/>
  <c r="V242" i="2"/>
  <c r="U242" i="2"/>
  <c r="T242" i="2"/>
  <c r="S242" i="2"/>
  <c r="R242" i="2"/>
  <c r="Q242" i="2"/>
  <c r="P242" i="2"/>
  <c r="O242" i="2"/>
  <c r="K242" i="2"/>
  <c r="J242" i="2"/>
  <c r="I242" i="2"/>
  <c r="H242" i="2"/>
  <c r="G242" i="2"/>
  <c r="E242" i="2"/>
  <c r="AC241" i="2"/>
  <c r="AB241" i="2"/>
  <c r="AA241" i="2"/>
  <c r="Z241" i="2"/>
  <c r="X241" i="2"/>
  <c r="W241" i="2"/>
  <c r="V241" i="2"/>
  <c r="U241" i="2"/>
  <c r="T241" i="2"/>
  <c r="S241" i="2"/>
  <c r="R241" i="2"/>
  <c r="Q241" i="2"/>
  <c r="P241" i="2"/>
  <c r="O241" i="2"/>
  <c r="K241" i="2"/>
  <c r="J241" i="2"/>
  <c r="I241" i="2"/>
  <c r="H241" i="2"/>
  <c r="G241" i="2"/>
  <c r="E241" i="2"/>
  <c r="AC240" i="2"/>
  <c r="AB240" i="2"/>
  <c r="AA240" i="2"/>
  <c r="Z240" i="2"/>
  <c r="X240" i="2"/>
  <c r="W240" i="2"/>
  <c r="V240" i="2"/>
  <c r="U240" i="2"/>
  <c r="T240" i="2"/>
  <c r="S240" i="2"/>
  <c r="R240" i="2"/>
  <c r="Q240" i="2"/>
  <c r="P240" i="2"/>
  <c r="O240" i="2"/>
  <c r="K240" i="2"/>
  <c r="J240" i="2"/>
  <c r="I240" i="2"/>
  <c r="H240" i="2"/>
  <c r="G240" i="2"/>
  <c r="E240" i="2"/>
  <c r="AC239" i="2"/>
  <c r="AB239" i="2"/>
  <c r="AA239" i="2"/>
  <c r="Z239" i="2"/>
  <c r="X239" i="2"/>
  <c r="W239" i="2"/>
  <c r="V239" i="2"/>
  <c r="U239" i="2"/>
  <c r="T239" i="2"/>
  <c r="S239" i="2"/>
  <c r="R239" i="2"/>
  <c r="Q239" i="2"/>
  <c r="P239" i="2"/>
  <c r="O239" i="2"/>
  <c r="K239" i="2"/>
  <c r="J239" i="2"/>
  <c r="I239" i="2"/>
  <c r="H239" i="2"/>
  <c r="G239" i="2"/>
  <c r="E239" i="2"/>
  <c r="AC238" i="2"/>
  <c r="AB238" i="2"/>
  <c r="AA238" i="2"/>
  <c r="Z238" i="2"/>
  <c r="X238" i="2"/>
  <c r="W238" i="2"/>
  <c r="V238" i="2"/>
  <c r="U238" i="2"/>
  <c r="T238" i="2"/>
  <c r="S238" i="2"/>
  <c r="R238" i="2"/>
  <c r="Q238" i="2"/>
  <c r="P238" i="2"/>
  <c r="O238" i="2"/>
  <c r="K238" i="2"/>
  <c r="J238" i="2"/>
  <c r="I238" i="2"/>
  <c r="H238" i="2"/>
  <c r="G238" i="2"/>
  <c r="E238" i="2"/>
  <c r="AC237" i="2"/>
  <c r="AB237" i="2"/>
  <c r="AA237" i="2"/>
  <c r="Z237" i="2"/>
  <c r="X237" i="2"/>
  <c r="W237" i="2"/>
  <c r="V237" i="2"/>
  <c r="U237" i="2"/>
  <c r="T237" i="2"/>
  <c r="S237" i="2"/>
  <c r="R237" i="2"/>
  <c r="Q237" i="2"/>
  <c r="P237" i="2"/>
  <c r="O237" i="2"/>
  <c r="K237" i="2"/>
  <c r="J237" i="2"/>
  <c r="I237" i="2"/>
  <c r="H237" i="2"/>
  <c r="G237" i="2"/>
  <c r="E237" i="2"/>
  <c r="AC236" i="2"/>
  <c r="AB236" i="2"/>
  <c r="AA236" i="2"/>
  <c r="Z236" i="2"/>
  <c r="X236" i="2"/>
  <c r="W236" i="2"/>
  <c r="V236" i="2"/>
  <c r="U236" i="2"/>
  <c r="T236" i="2"/>
  <c r="S236" i="2"/>
  <c r="R236" i="2"/>
  <c r="Q236" i="2"/>
  <c r="P236" i="2"/>
  <c r="O236" i="2"/>
  <c r="K236" i="2"/>
  <c r="J236" i="2"/>
  <c r="I236" i="2"/>
  <c r="H236" i="2"/>
  <c r="G236" i="2"/>
  <c r="E236" i="2"/>
  <c r="AC235" i="2"/>
  <c r="AB235" i="2"/>
  <c r="AA235" i="2"/>
  <c r="Z235" i="2"/>
  <c r="X235" i="2"/>
  <c r="W235" i="2"/>
  <c r="V235" i="2"/>
  <c r="U235" i="2"/>
  <c r="T235" i="2"/>
  <c r="S235" i="2"/>
  <c r="R235" i="2"/>
  <c r="Q235" i="2"/>
  <c r="P235" i="2"/>
  <c r="O235" i="2"/>
  <c r="K235" i="2"/>
  <c r="J235" i="2"/>
  <c r="I235" i="2"/>
  <c r="H235" i="2"/>
  <c r="G235" i="2"/>
  <c r="E235" i="2"/>
  <c r="AC234" i="2"/>
  <c r="AB234" i="2"/>
  <c r="AA234" i="2"/>
  <c r="Z234" i="2"/>
  <c r="X234" i="2"/>
  <c r="W234" i="2"/>
  <c r="V234" i="2"/>
  <c r="U234" i="2"/>
  <c r="T234" i="2"/>
  <c r="S234" i="2"/>
  <c r="R234" i="2"/>
  <c r="Q234" i="2"/>
  <c r="P234" i="2"/>
  <c r="O234" i="2"/>
  <c r="K234" i="2"/>
  <c r="J234" i="2"/>
  <c r="I234" i="2"/>
  <c r="H234" i="2"/>
  <c r="G234" i="2"/>
  <c r="E234" i="2"/>
  <c r="AC233" i="2"/>
  <c r="AB233" i="2"/>
  <c r="AA233" i="2"/>
  <c r="Z233" i="2"/>
  <c r="X233" i="2"/>
  <c r="W233" i="2"/>
  <c r="V233" i="2"/>
  <c r="U233" i="2"/>
  <c r="T233" i="2"/>
  <c r="S233" i="2"/>
  <c r="R233" i="2"/>
  <c r="Q233" i="2"/>
  <c r="P233" i="2"/>
  <c r="O233" i="2"/>
  <c r="K233" i="2"/>
  <c r="J233" i="2"/>
  <c r="I233" i="2"/>
  <c r="H233" i="2"/>
  <c r="G233" i="2"/>
  <c r="E233" i="2"/>
  <c r="AC232" i="2"/>
  <c r="AB232" i="2"/>
  <c r="AA232" i="2"/>
  <c r="Z232" i="2"/>
  <c r="X232" i="2"/>
  <c r="W232" i="2"/>
  <c r="V232" i="2"/>
  <c r="U232" i="2"/>
  <c r="T232" i="2"/>
  <c r="S232" i="2"/>
  <c r="R232" i="2"/>
  <c r="Q232" i="2"/>
  <c r="P232" i="2"/>
  <c r="O232" i="2"/>
  <c r="K232" i="2"/>
  <c r="J232" i="2"/>
  <c r="I232" i="2"/>
  <c r="H232" i="2"/>
  <c r="G232" i="2"/>
  <c r="E232" i="2"/>
  <c r="AC231" i="2"/>
  <c r="AB231" i="2"/>
  <c r="AA231" i="2"/>
  <c r="Z231" i="2"/>
  <c r="X231" i="2"/>
  <c r="W231" i="2"/>
  <c r="V231" i="2"/>
  <c r="U231" i="2"/>
  <c r="T231" i="2"/>
  <c r="S231" i="2"/>
  <c r="R231" i="2"/>
  <c r="Q231" i="2"/>
  <c r="P231" i="2"/>
  <c r="O231" i="2"/>
  <c r="K231" i="2"/>
  <c r="J231" i="2"/>
  <c r="I231" i="2"/>
  <c r="H231" i="2"/>
  <c r="G231" i="2"/>
  <c r="E231" i="2"/>
  <c r="AC230" i="2"/>
  <c r="AB230" i="2"/>
  <c r="AA230" i="2"/>
  <c r="Z230" i="2"/>
  <c r="X230" i="2"/>
  <c r="W230" i="2"/>
  <c r="V230" i="2"/>
  <c r="U230" i="2"/>
  <c r="T230" i="2"/>
  <c r="S230" i="2"/>
  <c r="R230" i="2"/>
  <c r="Q230" i="2"/>
  <c r="P230" i="2"/>
  <c r="O230" i="2"/>
  <c r="K230" i="2"/>
  <c r="J230" i="2"/>
  <c r="I230" i="2"/>
  <c r="H230" i="2"/>
  <c r="G230" i="2"/>
  <c r="E230" i="2"/>
  <c r="AC229" i="2"/>
  <c r="AB229" i="2"/>
  <c r="AA229" i="2"/>
  <c r="Z229" i="2"/>
  <c r="X229" i="2"/>
  <c r="W229" i="2"/>
  <c r="V229" i="2"/>
  <c r="U229" i="2"/>
  <c r="T229" i="2"/>
  <c r="S229" i="2"/>
  <c r="R229" i="2"/>
  <c r="Q229" i="2"/>
  <c r="P229" i="2"/>
  <c r="O229" i="2"/>
  <c r="K229" i="2"/>
  <c r="J229" i="2"/>
  <c r="I229" i="2"/>
  <c r="H229" i="2"/>
  <c r="G229" i="2"/>
  <c r="E229" i="2"/>
  <c r="AC228" i="2"/>
  <c r="AB228" i="2"/>
  <c r="AA228" i="2"/>
  <c r="Z228" i="2"/>
  <c r="X228" i="2"/>
  <c r="W228" i="2"/>
  <c r="V228" i="2"/>
  <c r="U228" i="2"/>
  <c r="T228" i="2"/>
  <c r="S228" i="2"/>
  <c r="R228" i="2"/>
  <c r="Q228" i="2"/>
  <c r="P228" i="2"/>
  <c r="O228" i="2"/>
  <c r="K228" i="2"/>
  <c r="J228" i="2"/>
  <c r="I228" i="2"/>
  <c r="H228" i="2"/>
  <c r="G228" i="2"/>
  <c r="E228" i="2"/>
  <c r="AC227" i="2"/>
  <c r="AB227" i="2"/>
  <c r="AA227" i="2"/>
  <c r="Z227" i="2"/>
  <c r="X227" i="2"/>
  <c r="W227" i="2"/>
  <c r="V227" i="2"/>
  <c r="U227" i="2"/>
  <c r="T227" i="2"/>
  <c r="S227" i="2"/>
  <c r="R227" i="2"/>
  <c r="Q227" i="2"/>
  <c r="P227" i="2"/>
  <c r="O227" i="2"/>
  <c r="K227" i="2"/>
  <c r="J227" i="2"/>
  <c r="I227" i="2"/>
  <c r="H227" i="2"/>
  <c r="G227" i="2"/>
  <c r="E227" i="2"/>
  <c r="AC226" i="2"/>
  <c r="AB226" i="2"/>
  <c r="AA226" i="2"/>
  <c r="Z226" i="2"/>
  <c r="X226" i="2"/>
  <c r="W226" i="2"/>
  <c r="V226" i="2"/>
  <c r="U226" i="2"/>
  <c r="T226" i="2"/>
  <c r="S226" i="2"/>
  <c r="R226" i="2"/>
  <c r="Q226" i="2"/>
  <c r="P226" i="2"/>
  <c r="O226" i="2"/>
  <c r="K226" i="2"/>
  <c r="J226" i="2"/>
  <c r="I226" i="2"/>
  <c r="H226" i="2"/>
  <c r="G226" i="2"/>
  <c r="E226" i="2"/>
  <c r="AC225" i="2"/>
  <c r="AB225" i="2"/>
  <c r="AA225" i="2"/>
  <c r="Z225" i="2"/>
  <c r="X225" i="2"/>
  <c r="W225" i="2"/>
  <c r="V225" i="2"/>
  <c r="U225" i="2"/>
  <c r="T225" i="2"/>
  <c r="S225" i="2"/>
  <c r="R225" i="2"/>
  <c r="Q225" i="2"/>
  <c r="P225" i="2"/>
  <c r="O225" i="2"/>
  <c r="K225" i="2"/>
  <c r="J225" i="2"/>
  <c r="I225" i="2"/>
  <c r="H225" i="2"/>
  <c r="G225" i="2"/>
  <c r="E225" i="2"/>
  <c r="AC224" i="2"/>
  <c r="AB224" i="2"/>
  <c r="AA224" i="2"/>
  <c r="Z224" i="2"/>
  <c r="X224" i="2"/>
  <c r="W224" i="2"/>
  <c r="V224" i="2"/>
  <c r="U224" i="2"/>
  <c r="T224" i="2"/>
  <c r="S224" i="2"/>
  <c r="R224" i="2"/>
  <c r="Q224" i="2"/>
  <c r="P224" i="2"/>
  <c r="O224" i="2"/>
  <c r="K224" i="2"/>
  <c r="J224" i="2"/>
  <c r="I224" i="2"/>
  <c r="H224" i="2"/>
  <c r="G224" i="2"/>
  <c r="E224" i="2"/>
  <c r="AC223" i="2"/>
  <c r="AB223" i="2"/>
  <c r="AA223" i="2"/>
  <c r="Z223" i="2"/>
  <c r="X223" i="2"/>
  <c r="W223" i="2"/>
  <c r="V223" i="2"/>
  <c r="U223" i="2"/>
  <c r="T223" i="2"/>
  <c r="S223" i="2"/>
  <c r="R223" i="2"/>
  <c r="Q223" i="2"/>
  <c r="P223" i="2"/>
  <c r="O223" i="2"/>
  <c r="K223" i="2"/>
  <c r="J223" i="2"/>
  <c r="I223" i="2"/>
  <c r="H223" i="2"/>
  <c r="G223" i="2"/>
  <c r="E223" i="2"/>
  <c r="AC222" i="2"/>
  <c r="AB222" i="2"/>
  <c r="AA222" i="2"/>
  <c r="Z222" i="2"/>
  <c r="X222" i="2"/>
  <c r="W222" i="2"/>
  <c r="V222" i="2"/>
  <c r="U222" i="2"/>
  <c r="T222" i="2"/>
  <c r="S222" i="2"/>
  <c r="R222" i="2"/>
  <c r="Q222" i="2"/>
  <c r="P222" i="2"/>
  <c r="O222" i="2"/>
  <c r="K222" i="2"/>
  <c r="J222" i="2"/>
  <c r="I222" i="2"/>
  <c r="H222" i="2"/>
  <c r="G222" i="2"/>
  <c r="E222" i="2"/>
  <c r="AC221" i="2"/>
  <c r="AB221" i="2"/>
  <c r="AA221" i="2"/>
  <c r="Z221" i="2"/>
  <c r="X221" i="2"/>
  <c r="W221" i="2"/>
  <c r="V221" i="2"/>
  <c r="U221" i="2"/>
  <c r="T221" i="2"/>
  <c r="S221" i="2"/>
  <c r="R221" i="2"/>
  <c r="Q221" i="2"/>
  <c r="P221" i="2"/>
  <c r="O221" i="2"/>
  <c r="K221" i="2"/>
  <c r="J221" i="2"/>
  <c r="I221" i="2"/>
  <c r="H221" i="2"/>
  <c r="G221" i="2"/>
  <c r="E221" i="2"/>
  <c r="AC220" i="2"/>
  <c r="AB220" i="2"/>
  <c r="AA220" i="2"/>
  <c r="Z220" i="2"/>
  <c r="X220" i="2"/>
  <c r="W220" i="2"/>
  <c r="V220" i="2"/>
  <c r="U220" i="2"/>
  <c r="T220" i="2"/>
  <c r="S220" i="2"/>
  <c r="R220" i="2"/>
  <c r="Q220" i="2"/>
  <c r="P220" i="2"/>
  <c r="O220" i="2"/>
  <c r="K220" i="2"/>
  <c r="J220" i="2"/>
  <c r="I220" i="2"/>
  <c r="H220" i="2"/>
  <c r="G220" i="2"/>
  <c r="E220" i="2"/>
  <c r="AC219" i="2"/>
  <c r="AB219" i="2"/>
  <c r="AA219" i="2"/>
  <c r="Z219" i="2"/>
  <c r="X219" i="2"/>
  <c r="W219" i="2"/>
  <c r="V219" i="2"/>
  <c r="U219" i="2"/>
  <c r="T219" i="2"/>
  <c r="S219" i="2"/>
  <c r="R219" i="2"/>
  <c r="Q219" i="2"/>
  <c r="P219" i="2"/>
  <c r="O219" i="2"/>
  <c r="K219" i="2"/>
  <c r="J219" i="2"/>
  <c r="I219" i="2"/>
  <c r="H219" i="2"/>
  <c r="G219" i="2"/>
  <c r="E219" i="2"/>
  <c r="AC218" i="2"/>
  <c r="AB218" i="2"/>
  <c r="AA218" i="2"/>
  <c r="Z218" i="2"/>
  <c r="X218" i="2"/>
  <c r="W218" i="2"/>
  <c r="V218" i="2"/>
  <c r="U218" i="2"/>
  <c r="T218" i="2"/>
  <c r="S218" i="2"/>
  <c r="R218" i="2"/>
  <c r="Q218" i="2"/>
  <c r="P218" i="2"/>
  <c r="O218" i="2"/>
  <c r="K218" i="2"/>
  <c r="J218" i="2"/>
  <c r="I218" i="2"/>
  <c r="H218" i="2"/>
  <c r="G218" i="2"/>
  <c r="E218" i="2"/>
  <c r="AC217" i="2"/>
  <c r="AB217" i="2"/>
  <c r="AA217" i="2"/>
  <c r="Z217" i="2"/>
  <c r="X217" i="2"/>
  <c r="W217" i="2"/>
  <c r="V217" i="2"/>
  <c r="U217" i="2"/>
  <c r="T217" i="2"/>
  <c r="S217" i="2"/>
  <c r="R217" i="2"/>
  <c r="Q217" i="2"/>
  <c r="P217" i="2"/>
  <c r="O217" i="2"/>
  <c r="K217" i="2"/>
  <c r="J217" i="2"/>
  <c r="I217" i="2"/>
  <c r="H217" i="2"/>
  <c r="G217" i="2"/>
  <c r="E217" i="2"/>
  <c r="AC216" i="2"/>
  <c r="AB216" i="2"/>
  <c r="AA216" i="2"/>
  <c r="Z216" i="2"/>
  <c r="X216" i="2"/>
  <c r="W216" i="2"/>
  <c r="V216" i="2"/>
  <c r="U216" i="2"/>
  <c r="T216" i="2"/>
  <c r="S216" i="2"/>
  <c r="R216" i="2"/>
  <c r="Q216" i="2"/>
  <c r="P216" i="2"/>
  <c r="O216" i="2"/>
  <c r="K216" i="2"/>
  <c r="J216" i="2"/>
  <c r="I216" i="2"/>
  <c r="H216" i="2"/>
  <c r="G216" i="2"/>
  <c r="E216" i="2"/>
  <c r="AC215" i="2"/>
  <c r="AB215" i="2"/>
  <c r="AA215" i="2"/>
  <c r="Z215" i="2"/>
  <c r="X215" i="2"/>
  <c r="W215" i="2"/>
  <c r="V215" i="2"/>
  <c r="U215" i="2"/>
  <c r="T215" i="2"/>
  <c r="S215" i="2"/>
  <c r="R215" i="2"/>
  <c r="Q215" i="2"/>
  <c r="P215" i="2"/>
  <c r="O215" i="2"/>
  <c r="K215" i="2"/>
  <c r="J215" i="2"/>
  <c r="I215" i="2"/>
  <c r="H215" i="2"/>
  <c r="G215" i="2"/>
  <c r="E215" i="2"/>
  <c r="AC214" i="2"/>
  <c r="AB214" i="2"/>
  <c r="AA214" i="2"/>
  <c r="Z214" i="2"/>
  <c r="X214" i="2"/>
  <c r="W214" i="2"/>
  <c r="V214" i="2"/>
  <c r="U214" i="2"/>
  <c r="T214" i="2"/>
  <c r="S214" i="2"/>
  <c r="R214" i="2"/>
  <c r="Q214" i="2"/>
  <c r="P214" i="2"/>
  <c r="O214" i="2"/>
  <c r="K214" i="2"/>
  <c r="J214" i="2"/>
  <c r="I214" i="2"/>
  <c r="H214" i="2"/>
  <c r="G214" i="2"/>
  <c r="E214" i="2"/>
  <c r="AC213" i="2"/>
  <c r="AB213" i="2"/>
  <c r="AA213" i="2"/>
  <c r="Z213" i="2"/>
  <c r="X213" i="2"/>
  <c r="W213" i="2"/>
  <c r="V213" i="2"/>
  <c r="U213" i="2"/>
  <c r="T213" i="2"/>
  <c r="S213" i="2"/>
  <c r="R213" i="2"/>
  <c r="Q213" i="2"/>
  <c r="P213" i="2"/>
  <c r="O213" i="2"/>
  <c r="K213" i="2"/>
  <c r="J213" i="2"/>
  <c r="I213" i="2"/>
  <c r="H213" i="2"/>
  <c r="G213" i="2"/>
  <c r="E213" i="2"/>
  <c r="AC212" i="2"/>
  <c r="AB212" i="2"/>
  <c r="AA212" i="2"/>
  <c r="Z212" i="2"/>
  <c r="X212" i="2"/>
  <c r="W212" i="2"/>
  <c r="V212" i="2"/>
  <c r="U212" i="2"/>
  <c r="T212" i="2"/>
  <c r="S212" i="2"/>
  <c r="R212" i="2"/>
  <c r="Q212" i="2"/>
  <c r="P212" i="2"/>
  <c r="O212" i="2"/>
  <c r="K212" i="2"/>
  <c r="J212" i="2"/>
  <c r="I212" i="2"/>
  <c r="H212" i="2"/>
  <c r="G212" i="2"/>
  <c r="E212" i="2"/>
  <c r="AC211" i="2"/>
  <c r="AB211" i="2"/>
  <c r="AA211" i="2"/>
  <c r="Z211" i="2"/>
  <c r="X211" i="2"/>
  <c r="W211" i="2"/>
  <c r="V211" i="2"/>
  <c r="U211" i="2"/>
  <c r="T211" i="2"/>
  <c r="S211" i="2"/>
  <c r="R211" i="2"/>
  <c r="Q211" i="2"/>
  <c r="P211" i="2"/>
  <c r="O211" i="2"/>
  <c r="K211" i="2"/>
  <c r="J211" i="2"/>
  <c r="I211" i="2"/>
  <c r="H211" i="2"/>
  <c r="G211" i="2"/>
  <c r="E211" i="2"/>
  <c r="AC210" i="2"/>
  <c r="AB210" i="2"/>
  <c r="AA210" i="2"/>
  <c r="Z210" i="2"/>
  <c r="X210" i="2"/>
  <c r="W210" i="2"/>
  <c r="V210" i="2"/>
  <c r="U210" i="2"/>
  <c r="T210" i="2"/>
  <c r="S210" i="2"/>
  <c r="R210" i="2"/>
  <c r="Q210" i="2"/>
  <c r="P210" i="2"/>
  <c r="O210" i="2"/>
  <c r="K210" i="2"/>
  <c r="J210" i="2"/>
  <c r="I210" i="2"/>
  <c r="H210" i="2"/>
  <c r="G210" i="2"/>
  <c r="E210" i="2"/>
  <c r="AC209" i="2"/>
  <c r="AB209" i="2"/>
  <c r="AA209" i="2"/>
  <c r="Z209" i="2"/>
  <c r="X209" i="2"/>
  <c r="W209" i="2"/>
  <c r="V209" i="2"/>
  <c r="U209" i="2"/>
  <c r="T209" i="2"/>
  <c r="S209" i="2"/>
  <c r="R209" i="2"/>
  <c r="Q209" i="2"/>
  <c r="P209" i="2"/>
  <c r="O209" i="2"/>
  <c r="K209" i="2"/>
  <c r="J209" i="2"/>
  <c r="I209" i="2"/>
  <c r="H209" i="2"/>
  <c r="G209" i="2"/>
  <c r="E209" i="2"/>
  <c r="AC208" i="2"/>
  <c r="AB208" i="2"/>
  <c r="AA208" i="2"/>
  <c r="Z208" i="2"/>
  <c r="X208" i="2"/>
  <c r="W208" i="2"/>
  <c r="V208" i="2"/>
  <c r="U208" i="2"/>
  <c r="T208" i="2"/>
  <c r="S208" i="2"/>
  <c r="R208" i="2"/>
  <c r="Q208" i="2"/>
  <c r="P208" i="2"/>
  <c r="O208" i="2"/>
  <c r="K208" i="2"/>
  <c r="J208" i="2"/>
  <c r="I208" i="2"/>
  <c r="H208" i="2"/>
  <c r="G208" i="2"/>
  <c r="E208" i="2"/>
  <c r="AC207" i="2"/>
  <c r="AB207" i="2"/>
  <c r="AA207" i="2"/>
  <c r="Z207" i="2"/>
  <c r="X207" i="2"/>
  <c r="W207" i="2"/>
  <c r="V207" i="2"/>
  <c r="U207" i="2"/>
  <c r="T207" i="2"/>
  <c r="S207" i="2"/>
  <c r="R207" i="2"/>
  <c r="Q207" i="2"/>
  <c r="P207" i="2"/>
  <c r="O207" i="2"/>
  <c r="K207" i="2"/>
  <c r="J207" i="2"/>
  <c r="I207" i="2"/>
  <c r="H207" i="2"/>
  <c r="G207" i="2"/>
  <c r="E207" i="2"/>
  <c r="AC206" i="2"/>
  <c r="AB206" i="2"/>
  <c r="AA206" i="2"/>
  <c r="Z206" i="2"/>
  <c r="X206" i="2"/>
  <c r="W206" i="2"/>
  <c r="V206" i="2"/>
  <c r="U206" i="2"/>
  <c r="T206" i="2"/>
  <c r="S206" i="2"/>
  <c r="R206" i="2"/>
  <c r="Q206" i="2"/>
  <c r="P206" i="2"/>
  <c r="O206" i="2"/>
  <c r="K206" i="2"/>
  <c r="J206" i="2"/>
  <c r="I206" i="2"/>
  <c r="H206" i="2"/>
  <c r="G206" i="2"/>
  <c r="E206" i="2"/>
  <c r="AC205" i="2"/>
  <c r="AB205" i="2"/>
  <c r="AA205" i="2"/>
  <c r="Z205" i="2"/>
  <c r="X205" i="2"/>
  <c r="W205" i="2"/>
  <c r="V205" i="2"/>
  <c r="U205" i="2"/>
  <c r="T205" i="2"/>
  <c r="S205" i="2"/>
  <c r="R205" i="2"/>
  <c r="Q205" i="2"/>
  <c r="P205" i="2"/>
  <c r="O205" i="2"/>
  <c r="K205" i="2"/>
  <c r="J205" i="2"/>
  <c r="I205" i="2"/>
  <c r="H205" i="2"/>
  <c r="G205" i="2"/>
  <c r="E205" i="2"/>
  <c r="AC204" i="2"/>
  <c r="AB204" i="2"/>
  <c r="AA204" i="2"/>
  <c r="Z204" i="2"/>
  <c r="X204" i="2"/>
  <c r="W204" i="2"/>
  <c r="V204" i="2"/>
  <c r="U204" i="2"/>
  <c r="T204" i="2"/>
  <c r="S204" i="2"/>
  <c r="R204" i="2"/>
  <c r="Q204" i="2"/>
  <c r="P204" i="2"/>
  <c r="O204" i="2"/>
  <c r="K204" i="2"/>
  <c r="J204" i="2"/>
  <c r="I204" i="2"/>
  <c r="H204" i="2"/>
  <c r="G204" i="2"/>
  <c r="E204" i="2"/>
  <c r="AC203" i="2"/>
  <c r="AB203" i="2"/>
  <c r="AA203" i="2"/>
  <c r="Z203" i="2"/>
  <c r="X203" i="2"/>
  <c r="W203" i="2"/>
  <c r="V203" i="2"/>
  <c r="U203" i="2"/>
  <c r="T203" i="2"/>
  <c r="S203" i="2"/>
  <c r="R203" i="2"/>
  <c r="Q203" i="2"/>
  <c r="P203" i="2"/>
  <c r="O203" i="2"/>
  <c r="K203" i="2"/>
  <c r="J203" i="2"/>
  <c r="I203" i="2"/>
  <c r="H203" i="2"/>
  <c r="G203" i="2"/>
  <c r="E203" i="2"/>
  <c r="AC202" i="2"/>
  <c r="AB202" i="2"/>
  <c r="AA202" i="2"/>
  <c r="Z202" i="2"/>
  <c r="X202" i="2"/>
  <c r="W202" i="2"/>
  <c r="V202" i="2"/>
  <c r="U202" i="2"/>
  <c r="T202" i="2"/>
  <c r="S202" i="2"/>
  <c r="R202" i="2"/>
  <c r="Q202" i="2"/>
  <c r="P202" i="2"/>
  <c r="O202" i="2"/>
  <c r="K202" i="2"/>
  <c r="J202" i="2"/>
  <c r="I202" i="2"/>
  <c r="H202" i="2"/>
  <c r="G202" i="2"/>
  <c r="E202" i="2"/>
  <c r="AC201" i="2"/>
  <c r="AB201" i="2"/>
  <c r="AA201" i="2"/>
  <c r="Z201" i="2"/>
  <c r="X201" i="2"/>
  <c r="W201" i="2"/>
  <c r="V201" i="2"/>
  <c r="U201" i="2"/>
  <c r="T201" i="2"/>
  <c r="S201" i="2"/>
  <c r="R201" i="2"/>
  <c r="Q201" i="2"/>
  <c r="P201" i="2"/>
  <c r="O201" i="2"/>
  <c r="K201" i="2"/>
  <c r="J201" i="2"/>
  <c r="I201" i="2"/>
  <c r="H201" i="2"/>
  <c r="G201" i="2"/>
  <c r="E201" i="2"/>
  <c r="AC200" i="2"/>
  <c r="AB200" i="2"/>
  <c r="AA200" i="2"/>
  <c r="Z200" i="2"/>
  <c r="X200" i="2"/>
  <c r="W200" i="2"/>
  <c r="V200" i="2"/>
  <c r="U200" i="2"/>
  <c r="T200" i="2"/>
  <c r="S200" i="2"/>
  <c r="R200" i="2"/>
  <c r="Q200" i="2"/>
  <c r="P200" i="2"/>
  <c r="O200" i="2"/>
  <c r="K200" i="2"/>
  <c r="J200" i="2"/>
  <c r="I200" i="2"/>
  <c r="H200" i="2"/>
  <c r="G200" i="2"/>
  <c r="E200" i="2"/>
  <c r="AC199" i="2"/>
  <c r="AB199" i="2"/>
  <c r="AA199" i="2"/>
  <c r="Z199" i="2"/>
  <c r="X199" i="2"/>
  <c r="W199" i="2"/>
  <c r="V199" i="2"/>
  <c r="U199" i="2"/>
  <c r="T199" i="2"/>
  <c r="S199" i="2"/>
  <c r="R199" i="2"/>
  <c r="Q199" i="2"/>
  <c r="P199" i="2"/>
  <c r="O199" i="2"/>
  <c r="K199" i="2"/>
  <c r="J199" i="2"/>
  <c r="I199" i="2"/>
  <c r="H199" i="2"/>
  <c r="G199" i="2"/>
  <c r="E199" i="2"/>
  <c r="AC198" i="2"/>
  <c r="AB198" i="2"/>
  <c r="AA198" i="2"/>
  <c r="Z198" i="2"/>
  <c r="X198" i="2"/>
  <c r="W198" i="2"/>
  <c r="V198" i="2"/>
  <c r="U198" i="2"/>
  <c r="T198" i="2"/>
  <c r="S198" i="2"/>
  <c r="R198" i="2"/>
  <c r="Q198" i="2"/>
  <c r="P198" i="2"/>
  <c r="O198" i="2"/>
  <c r="K198" i="2"/>
  <c r="J198" i="2"/>
  <c r="I198" i="2"/>
  <c r="H198" i="2"/>
  <c r="G198" i="2"/>
  <c r="E198" i="2"/>
  <c r="AC197" i="2"/>
  <c r="AB197" i="2"/>
  <c r="AA197" i="2"/>
  <c r="Z197" i="2"/>
  <c r="X197" i="2"/>
  <c r="W197" i="2"/>
  <c r="V197" i="2"/>
  <c r="U197" i="2"/>
  <c r="T197" i="2"/>
  <c r="S197" i="2"/>
  <c r="R197" i="2"/>
  <c r="Q197" i="2"/>
  <c r="P197" i="2"/>
  <c r="O197" i="2"/>
  <c r="K197" i="2"/>
  <c r="J197" i="2"/>
  <c r="I197" i="2"/>
  <c r="H197" i="2"/>
  <c r="G197" i="2"/>
  <c r="E197" i="2"/>
  <c r="AC196" i="2"/>
  <c r="AB196" i="2"/>
  <c r="AA196" i="2"/>
  <c r="Z196" i="2"/>
  <c r="X196" i="2"/>
  <c r="W196" i="2"/>
  <c r="V196" i="2"/>
  <c r="U196" i="2"/>
  <c r="T196" i="2"/>
  <c r="S196" i="2"/>
  <c r="R196" i="2"/>
  <c r="Q196" i="2"/>
  <c r="P196" i="2"/>
  <c r="O196" i="2"/>
  <c r="K196" i="2"/>
  <c r="J196" i="2"/>
  <c r="I196" i="2"/>
  <c r="H196" i="2"/>
  <c r="G196" i="2"/>
  <c r="E196" i="2"/>
  <c r="AC195" i="2"/>
  <c r="AB195" i="2"/>
  <c r="AA195" i="2"/>
  <c r="Z195" i="2"/>
  <c r="X195" i="2"/>
  <c r="W195" i="2"/>
  <c r="V195" i="2"/>
  <c r="U195" i="2"/>
  <c r="T195" i="2"/>
  <c r="S195" i="2"/>
  <c r="R195" i="2"/>
  <c r="Q195" i="2"/>
  <c r="P195" i="2"/>
  <c r="O195" i="2"/>
  <c r="K195" i="2"/>
  <c r="J195" i="2"/>
  <c r="I195" i="2"/>
  <c r="H195" i="2"/>
  <c r="G195" i="2"/>
  <c r="E195" i="2"/>
  <c r="AC194" i="2"/>
  <c r="AB194" i="2"/>
  <c r="AA194" i="2"/>
  <c r="Z194" i="2"/>
  <c r="X194" i="2"/>
  <c r="W194" i="2"/>
  <c r="V194" i="2"/>
  <c r="U194" i="2"/>
  <c r="T194" i="2"/>
  <c r="S194" i="2"/>
  <c r="R194" i="2"/>
  <c r="Q194" i="2"/>
  <c r="P194" i="2"/>
  <c r="O194" i="2"/>
  <c r="K194" i="2"/>
  <c r="J194" i="2"/>
  <c r="I194" i="2"/>
  <c r="H194" i="2"/>
  <c r="G194" i="2"/>
  <c r="E194" i="2"/>
  <c r="AC193" i="2"/>
  <c r="AB193" i="2"/>
  <c r="AA193" i="2"/>
  <c r="Z193" i="2"/>
  <c r="X193" i="2"/>
  <c r="W193" i="2"/>
  <c r="V193" i="2"/>
  <c r="U193" i="2"/>
  <c r="T193" i="2"/>
  <c r="S193" i="2"/>
  <c r="R193" i="2"/>
  <c r="Q193" i="2"/>
  <c r="P193" i="2"/>
  <c r="O193" i="2"/>
  <c r="K193" i="2"/>
  <c r="J193" i="2"/>
  <c r="I193" i="2"/>
  <c r="H193" i="2"/>
  <c r="G193" i="2"/>
  <c r="E193" i="2"/>
  <c r="AC192" i="2"/>
  <c r="AB192" i="2"/>
  <c r="AA192" i="2"/>
  <c r="Z192" i="2"/>
  <c r="X192" i="2"/>
  <c r="W192" i="2"/>
  <c r="V192" i="2"/>
  <c r="U192" i="2"/>
  <c r="T192" i="2"/>
  <c r="S192" i="2"/>
  <c r="R192" i="2"/>
  <c r="Q192" i="2"/>
  <c r="P192" i="2"/>
  <c r="O192" i="2"/>
  <c r="K192" i="2"/>
  <c r="J192" i="2"/>
  <c r="I192" i="2"/>
  <c r="H192" i="2"/>
  <c r="G192" i="2"/>
  <c r="E192" i="2"/>
  <c r="AC191" i="2"/>
  <c r="AB191" i="2"/>
  <c r="AA191" i="2"/>
  <c r="Z191" i="2"/>
  <c r="X191" i="2"/>
  <c r="W191" i="2"/>
  <c r="V191" i="2"/>
  <c r="U191" i="2"/>
  <c r="T191" i="2"/>
  <c r="S191" i="2"/>
  <c r="R191" i="2"/>
  <c r="Q191" i="2"/>
  <c r="P191" i="2"/>
  <c r="O191" i="2"/>
  <c r="K191" i="2"/>
  <c r="J191" i="2"/>
  <c r="I191" i="2"/>
  <c r="H191" i="2"/>
  <c r="G191" i="2"/>
  <c r="E191" i="2"/>
  <c r="AC190" i="2"/>
  <c r="AB190" i="2"/>
  <c r="AA190" i="2"/>
  <c r="Z190" i="2"/>
  <c r="X190" i="2"/>
  <c r="W190" i="2"/>
  <c r="V190" i="2"/>
  <c r="U190" i="2"/>
  <c r="T190" i="2"/>
  <c r="S190" i="2"/>
  <c r="R190" i="2"/>
  <c r="Q190" i="2"/>
  <c r="P190" i="2"/>
  <c r="O190" i="2"/>
  <c r="K190" i="2"/>
  <c r="J190" i="2"/>
  <c r="I190" i="2"/>
  <c r="H190" i="2"/>
  <c r="G190" i="2"/>
  <c r="E190" i="2"/>
  <c r="AC189" i="2"/>
  <c r="AB189" i="2"/>
  <c r="AA189" i="2"/>
  <c r="Z189" i="2"/>
  <c r="X189" i="2"/>
  <c r="W189" i="2"/>
  <c r="V189" i="2"/>
  <c r="U189" i="2"/>
  <c r="T189" i="2"/>
  <c r="S189" i="2"/>
  <c r="R189" i="2"/>
  <c r="Q189" i="2"/>
  <c r="P189" i="2"/>
  <c r="O189" i="2"/>
  <c r="K189" i="2"/>
  <c r="J189" i="2"/>
  <c r="I189" i="2"/>
  <c r="H189" i="2"/>
  <c r="G189" i="2"/>
  <c r="E189" i="2"/>
  <c r="AC188" i="2"/>
  <c r="AB188" i="2"/>
  <c r="AA188" i="2"/>
  <c r="Z188" i="2"/>
  <c r="X188" i="2"/>
  <c r="W188" i="2"/>
  <c r="V188" i="2"/>
  <c r="U188" i="2"/>
  <c r="T188" i="2"/>
  <c r="S188" i="2"/>
  <c r="R188" i="2"/>
  <c r="Q188" i="2"/>
  <c r="P188" i="2"/>
  <c r="O188" i="2"/>
  <c r="K188" i="2"/>
  <c r="J188" i="2"/>
  <c r="I188" i="2"/>
  <c r="H188" i="2"/>
  <c r="G188" i="2"/>
  <c r="E188" i="2"/>
  <c r="AC187" i="2"/>
  <c r="AB187" i="2"/>
  <c r="AA187" i="2"/>
  <c r="Z187" i="2"/>
  <c r="X187" i="2"/>
  <c r="W187" i="2"/>
  <c r="V187" i="2"/>
  <c r="U187" i="2"/>
  <c r="T187" i="2"/>
  <c r="S187" i="2"/>
  <c r="R187" i="2"/>
  <c r="Q187" i="2"/>
  <c r="P187" i="2"/>
  <c r="O187" i="2"/>
  <c r="K187" i="2"/>
  <c r="J187" i="2"/>
  <c r="I187" i="2"/>
  <c r="H187" i="2"/>
  <c r="G187" i="2"/>
  <c r="E187" i="2"/>
  <c r="AC186" i="2"/>
  <c r="AB186" i="2"/>
  <c r="AA186" i="2"/>
  <c r="Z186" i="2"/>
  <c r="X186" i="2"/>
  <c r="W186" i="2"/>
  <c r="V186" i="2"/>
  <c r="U186" i="2"/>
  <c r="T186" i="2"/>
  <c r="S186" i="2"/>
  <c r="R186" i="2"/>
  <c r="Q186" i="2"/>
  <c r="P186" i="2"/>
  <c r="O186" i="2"/>
  <c r="K186" i="2"/>
  <c r="J186" i="2"/>
  <c r="I186" i="2"/>
  <c r="H186" i="2"/>
  <c r="G186" i="2"/>
  <c r="E186" i="2"/>
  <c r="AC185" i="2"/>
  <c r="AB185" i="2"/>
  <c r="AA185" i="2"/>
  <c r="Z185" i="2"/>
  <c r="X185" i="2"/>
  <c r="W185" i="2"/>
  <c r="V185" i="2"/>
  <c r="U185" i="2"/>
  <c r="T185" i="2"/>
  <c r="S185" i="2"/>
  <c r="R185" i="2"/>
  <c r="Q185" i="2"/>
  <c r="P185" i="2"/>
  <c r="O185" i="2"/>
  <c r="K185" i="2"/>
  <c r="J185" i="2"/>
  <c r="I185" i="2"/>
  <c r="H185" i="2"/>
  <c r="G185" i="2"/>
  <c r="E185" i="2"/>
  <c r="AC184" i="2"/>
  <c r="AB184" i="2"/>
  <c r="AA184" i="2"/>
  <c r="Z184" i="2"/>
  <c r="X184" i="2"/>
  <c r="W184" i="2"/>
  <c r="V184" i="2"/>
  <c r="U184" i="2"/>
  <c r="T184" i="2"/>
  <c r="S184" i="2"/>
  <c r="R184" i="2"/>
  <c r="Q184" i="2"/>
  <c r="P184" i="2"/>
  <c r="O184" i="2"/>
  <c r="K184" i="2"/>
  <c r="J184" i="2"/>
  <c r="I184" i="2"/>
  <c r="H184" i="2"/>
  <c r="G184" i="2"/>
  <c r="E184" i="2"/>
  <c r="AC183" i="2"/>
  <c r="AB183" i="2"/>
  <c r="AA183" i="2"/>
  <c r="Z183" i="2"/>
  <c r="X183" i="2"/>
  <c r="W183" i="2"/>
  <c r="V183" i="2"/>
  <c r="U183" i="2"/>
  <c r="T183" i="2"/>
  <c r="S183" i="2"/>
  <c r="R183" i="2"/>
  <c r="Q183" i="2"/>
  <c r="P183" i="2"/>
  <c r="O183" i="2"/>
  <c r="K183" i="2"/>
  <c r="J183" i="2"/>
  <c r="I183" i="2"/>
  <c r="H183" i="2"/>
  <c r="G183" i="2"/>
  <c r="E183" i="2"/>
  <c r="AC182" i="2"/>
  <c r="AB182" i="2"/>
  <c r="AA182" i="2"/>
  <c r="Z182" i="2"/>
  <c r="X182" i="2"/>
  <c r="W182" i="2"/>
  <c r="V182" i="2"/>
  <c r="U182" i="2"/>
  <c r="T182" i="2"/>
  <c r="S182" i="2"/>
  <c r="R182" i="2"/>
  <c r="Q182" i="2"/>
  <c r="P182" i="2"/>
  <c r="O182" i="2"/>
  <c r="K182" i="2"/>
  <c r="J182" i="2"/>
  <c r="I182" i="2"/>
  <c r="H182" i="2"/>
  <c r="G182" i="2"/>
  <c r="E182" i="2"/>
  <c r="AC181" i="2"/>
  <c r="AB181" i="2"/>
  <c r="AA181" i="2"/>
  <c r="Z181" i="2"/>
  <c r="X181" i="2"/>
  <c r="W181" i="2"/>
  <c r="V181" i="2"/>
  <c r="U181" i="2"/>
  <c r="T181" i="2"/>
  <c r="S181" i="2"/>
  <c r="R181" i="2"/>
  <c r="Q181" i="2"/>
  <c r="P181" i="2"/>
  <c r="O181" i="2"/>
  <c r="K181" i="2"/>
  <c r="J181" i="2"/>
  <c r="I181" i="2"/>
  <c r="H181" i="2"/>
  <c r="G181" i="2"/>
  <c r="E181" i="2"/>
  <c r="AC180" i="2"/>
  <c r="AB180" i="2"/>
  <c r="AA180" i="2"/>
  <c r="Z180" i="2"/>
  <c r="X180" i="2"/>
  <c r="W180" i="2"/>
  <c r="V180" i="2"/>
  <c r="U180" i="2"/>
  <c r="T180" i="2"/>
  <c r="S180" i="2"/>
  <c r="R180" i="2"/>
  <c r="Q180" i="2"/>
  <c r="P180" i="2"/>
  <c r="O180" i="2"/>
  <c r="K180" i="2"/>
  <c r="J180" i="2"/>
  <c r="I180" i="2"/>
  <c r="H180" i="2"/>
  <c r="G180" i="2"/>
  <c r="E180" i="2"/>
  <c r="AC179" i="2"/>
  <c r="AB179" i="2"/>
  <c r="AA179" i="2"/>
  <c r="Z179" i="2"/>
  <c r="X179" i="2"/>
  <c r="W179" i="2"/>
  <c r="V179" i="2"/>
  <c r="U179" i="2"/>
  <c r="T179" i="2"/>
  <c r="S179" i="2"/>
  <c r="R179" i="2"/>
  <c r="Q179" i="2"/>
  <c r="P179" i="2"/>
  <c r="O179" i="2"/>
  <c r="K179" i="2"/>
  <c r="J179" i="2"/>
  <c r="I179" i="2"/>
  <c r="H179" i="2"/>
  <c r="G179" i="2"/>
  <c r="E179" i="2"/>
  <c r="AC178" i="2"/>
  <c r="AB178" i="2"/>
  <c r="AA178" i="2"/>
  <c r="Z178" i="2"/>
  <c r="X178" i="2"/>
  <c r="W178" i="2"/>
  <c r="V178" i="2"/>
  <c r="U178" i="2"/>
  <c r="T178" i="2"/>
  <c r="S178" i="2"/>
  <c r="R178" i="2"/>
  <c r="Q178" i="2"/>
  <c r="P178" i="2"/>
  <c r="O178" i="2"/>
  <c r="K178" i="2"/>
  <c r="J178" i="2"/>
  <c r="I178" i="2"/>
  <c r="H178" i="2"/>
  <c r="G178" i="2"/>
  <c r="E178" i="2"/>
  <c r="AC177" i="2"/>
  <c r="AB177" i="2"/>
  <c r="AA177" i="2"/>
  <c r="Z177" i="2"/>
  <c r="X177" i="2"/>
  <c r="W177" i="2"/>
  <c r="V177" i="2"/>
  <c r="U177" i="2"/>
  <c r="T177" i="2"/>
  <c r="S177" i="2"/>
  <c r="R177" i="2"/>
  <c r="Q177" i="2"/>
  <c r="P177" i="2"/>
  <c r="O177" i="2"/>
  <c r="K177" i="2"/>
  <c r="J177" i="2"/>
  <c r="I177" i="2"/>
  <c r="H177" i="2"/>
  <c r="G177" i="2"/>
  <c r="E177" i="2"/>
  <c r="AC176" i="2"/>
  <c r="AB176" i="2"/>
  <c r="AA176" i="2"/>
  <c r="Z176" i="2"/>
  <c r="X176" i="2"/>
  <c r="W176" i="2"/>
  <c r="V176" i="2"/>
  <c r="U176" i="2"/>
  <c r="T176" i="2"/>
  <c r="S176" i="2"/>
  <c r="R176" i="2"/>
  <c r="Q176" i="2"/>
  <c r="P176" i="2"/>
  <c r="O176" i="2"/>
  <c r="K176" i="2"/>
  <c r="J176" i="2"/>
  <c r="I176" i="2"/>
  <c r="H176" i="2"/>
  <c r="G176" i="2"/>
  <c r="E176" i="2"/>
  <c r="AC175" i="2"/>
  <c r="AB175" i="2"/>
  <c r="AA175" i="2"/>
  <c r="Z175" i="2"/>
  <c r="X175" i="2"/>
  <c r="W175" i="2"/>
  <c r="V175" i="2"/>
  <c r="U175" i="2"/>
  <c r="T175" i="2"/>
  <c r="S175" i="2"/>
  <c r="R175" i="2"/>
  <c r="Q175" i="2"/>
  <c r="P175" i="2"/>
  <c r="O175" i="2"/>
  <c r="K175" i="2"/>
  <c r="J175" i="2"/>
  <c r="I175" i="2"/>
  <c r="H175" i="2"/>
  <c r="G175" i="2"/>
  <c r="E175" i="2"/>
  <c r="AC174" i="2"/>
  <c r="AB174" i="2"/>
  <c r="AA174" i="2"/>
  <c r="Z174" i="2"/>
  <c r="X174" i="2"/>
  <c r="W174" i="2"/>
  <c r="V174" i="2"/>
  <c r="U174" i="2"/>
  <c r="T174" i="2"/>
  <c r="S174" i="2"/>
  <c r="R174" i="2"/>
  <c r="Q174" i="2"/>
  <c r="P174" i="2"/>
  <c r="O174" i="2"/>
  <c r="K174" i="2"/>
  <c r="J174" i="2"/>
  <c r="I174" i="2"/>
  <c r="H174" i="2"/>
  <c r="G174" i="2"/>
  <c r="E174" i="2"/>
  <c r="AC173" i="2"/>
  <c r="AB173" i="2"/>
  <c r="AA173" i="2"/>
  <c r="Z173" i="2"/>
  <c r="X173" i="2"/>
  <c r="W173" i="2"/>
  <c r="V173" i="2"/>
  <c r="U173" i="2"/>
  <c r="T173" i="2"/>
  <c r="S173" i="2"/>
  <c r="R173" i="2"/>
  <c r="Q173" i="2"/>
  <c r="P173" i="2"/>
  <c r="O173" i="2"/>
  <c r="K173" i="2"/>
  <c r="J173" i="2"/>
  <c r="I173" i="2"/>
  <c r="H173" i="2"/>
  <c r="G173" i="2"/>
  <c r="E173" i="2"/>
  <c r="AC172" i="2"/>
  <c r="AB172" i="2"/>
  <c r="AA172" i="2"/>
  <c r="Z172" i="2"/>
  <c r="X172" i="2"/>
  <c r="W172" i="2"/>
  <c r="V172" i="2"/>
  <c r="U172" i="2"/>
  <c r="T172" i="2"/>
  <c r="S172" i="2"/>
  <c r="R172" i="2"/>
  <c r="Q172" i="2"/>
  <c r="P172" i="2"/>
  <c r="O172" i="2"/>
  <c r="K172" i="2"/>
  <c r="J172" i="2"/>
  <c r="I172" i="2"/>
  <c r="H172" i="2"/>
  <c r="G172" i="2"/>
  <c r="E172" i="2"/>
  <c r="AC171" i="2"/>
  <c r="AB171" i="2"/>
  <c r="AA171" i="2"/>
  <c r="Z171" i="2"/>
  <c r="X171" i="2"/>
  <c r="W171" i="2"/>
  <c r="V171" i="2"/>
  <c r="U171" i="2"/>
  <c r="T171" i="2"/>
  <c r="S171" i="2"/>
  <c r="R171" i="2"/>
  <c r="Q171" i="2"/>
  <c r="P171" i="2"/>
  <c r="O171" i="2"/>
  <c r="K171" i="2"/>
  <c r="J171" i="2"/>
  <c r="I171" i="2"/>
  <c r="H171" i="2"/>
  <c r="G171" i="2"/>
  <c r="E171" i="2"/>
  <c r="AC170" i="2"/>
  <c r="AB170" i="2"/>
  <c r="AA170" i="2"/>
  <c r="Z170" i="2"/>
  <c r="X170" i="2"/>
  <c r="W170" i="2"/>
  <c r="V170" i="2"/>
  <c r="U170" i="2"/>
  <c r="T170" i="2"/>
  <c r="S170" i="2"/>
  <c r="R170" i="2"/>
  <c r="Q170" i="2"/>
  <c r="P170" i="2"/>
  <c r="O170" i="2"/>
  <c r="K170" i="2"/>
  <c r="J170" i="2"/>
  <c r="I170" i="2"/>
  <c r="H170" i="2"/>
  <c r="G170" i="2"/>
  <c r="E170" i="2"/>
  <c r="AC169" i="2"/>
  <c r="AB169" i="2"/>
  <c r="AA169" i="2"/>
  <c r="Z169" i="2"/>
  <c r="X169" i="2"/>
  <c r="W169" i="2"/>
  <c r="V169" i="2"/>
  <c r="U169" i="2"/>
  <c r="T169" i="2"/>
  <c r="S169" i="2"/>
  <c r="R169" i="2"/>
  <c r="Q169" i="2"/>
  <c r="P169" i="2"/>
  <c r="O169" i="2"/>
  <c r="K169" i="2"/>
  <c r="J169" i="2"/>
  <c r="I169" i="2"/>
  <c r="H169" i="2"/>
  <c r="G169" i="2"/>
  <c r="E169" i="2"/>
  <c r="AC168" i="2"/>
  <c r="AB168" i="2"/>
  <c r="AA168" i="2"/>
  <c r="Z168" i="2"/>
  <c r="X168" i="2"/>
  <c r="W168" i="2"/>
  <c r="V168" i="2"/>
  <c r="U168" i="2"/>
  <c r="T168" i="2"/>
  <c r="S168" i="2"/>
  <c r="R168" i="2"/>
  <c r="Q168" i="2"/>
  <c r="P168" i="2"/>
  <c r="O168" i="2"/>
  <c r="K168" i="2"/>
  <c r="J168" i="2"/>
  <c r="I168" i="2"/>
  <c r="H168" i="2"/>
  <c r="G168" i="2"/>
  <c r="E168" i="2"/>
  <c r="AC167" i="2"/>
  <c r="AB167" i="2"/>
  <c r="AA167" i="2"/>
  <c r="Z167" i="2"/>
  <c r="X167" i="2"/>
  <c r="W167" i="2"/>
  <c r="V167" i="2"/>
  <c r="U167" i="2"/>
  <c r="T167" i="2"/>
  <c r="S167" i="2"/>
  <c r="R167" i="2"/>
  <c r="Q167" i="2"/>
  <c r="P167" i="2"/>
  <c r="O167" i="2"/>
  <c r="K167" i="2"/>
  <c r="J167" i="2"/>
  <c r="I167" i="2"/>
  <c r="H167" i="2"/>
  <c r="G167" i="2"/>
  <c r="E167" i="2"/>
  <c r="AC166" i="2"/>
  <c r="AB166" i="2"/>
  <c r="AA166" i="2"/>
  <c r="Z166" i="2"/>
  <c r="X166" i="2"/>
  <c r="W166" i="2"/>
  <c r="V166" i="2"/>
  <c r="U166" i="2"/>
  <c r="T166" i="2"/>
  <c r="S166" i="2"/>
  <c r="R166" i="2"/>
  <c r="Q166" i="2"/>
  <c r="P166" i="2"/>
  <c r="O166" i="2"/>
  <c r="K166" i="2"/>
  <c r="J166" i="2"/>
  <c r="I166" i="2"/>
  <c r="H166" i="2"/>
  <c r="G166" i="2"/>
  <c r="E166" i="2"/>
  <c r="AC165" i="2"/>
  <c r="AB165" i="2"/>
  <c r="AA165" i="2"/>
  <c r="Z165" i="2"/>
  <c r="X165" i="2"/>
  <c r="W165" i="2"/>
  <c r="V165" i="2"/>
  <c r="U165" i="2"/>
  <c r="T165" i="2"/>
  <c r="S165" i="2"/>
  <c r="R165" i="2"/>
  <c r="Q165" i="2"/>
  <c r="P165" i="2"/>
  <c r="O165" i="2"/>
  <c r="K165" i="2"/>
  <c r="J165" i="2"/>
  <c r="I165" i="2"/>
  <c r="H165" i="2"/>
  <c r="G165" i="2"/>
  <c r="E165" i="2"/>
  <c r="AC164" i="2"/>
  <c r="AB164" i="2"/>
  <c r="AA164" i="2"/>
  <c r="Z164" i="2"/>
  <c r="X164" i="2"/>
  <c r="W164" i="2"/>
  <c r="V164" i="2"/>
  <c r="U164" i="2"/>
  <c r="T164" i="2"/>
  <c r="S164" i="2"/>
  <c r="R164" i="2"/>
  <c r="Q164" i="2"/>
  <c r="P164" i="2"/>
  <c r="O164" i="2"/>
  <c r="K164" i="2"/>
  <c r="J164" i="2"/>
  <c r="I164" i="2"/>
  <c r="H164" i="2"/>
  <c r="G164" i="2"/>
  <c r="E164" i="2"/>
  <c r="AC163" i="2"/>
  <c r="AB163" i="2"/>
  <c r="AA163" i="2"/>
  <c r="Z163" i="2"/>
  <c r="X163" i="2"/>
  <c r="W163" i="2"/>
  <c r="V163" i="2"/>
  <c r="U163" i="2"/>
  <c r="T163" i="2"/>
  <c r="S163" i="2"/>
  <c r="R163" i="2"/>
  <c r="Q163" i="2"/>
  <c r="P163" i="2"/>
  <c r="O163" i="2"/>
  <c r="K163" i="2"/>
  <c r="J163" i="2"/>
  <c r="I163" i="2"/>
  <c r="H163" i="2"/>
  <c r="G163" i="2"/>
  <c r="E163" i="2"/>
  <c r="AC162" i="2"/>
  <c r="AB162" i="2"/>
  <c r="AA162" i="2"/>
  <c r="Z162" i="2"/>
  <c r="X162" i="2"/>
  <c r="W162" i="2"/>
  <c r="V162" i="2"/>
  <c r="U162" i="2"/>
  <c r="T162" i="2"/>
  <c r="S162" i="2"/>
  <c r="R162" i="2"/>
  <c r="Q162" i="2"/>
  <c r="P162" i="2"/>
  <c r="O162" i="2"/>
  <c r="K162" i="2"/>
  <c r="J162" i="2"/>
  <c r="I162" i="2"/>
  <c r="H162" i="2"/>
  <c r="G162" i="2"/>
  <c r="E162" i="2"/>
  <c r="AC161" i="2"/>
  <c r="AB161" i="2"/>
  <c r="AA161" i="2"/>
  <c r="Z161" i="2"/>
  <c r="X161" i="2"/>
  <c r="W161" i="2"/>
  <c r="V161" i="2"/>
  <c r="U161" i="2"/>
  <c r="T161" i="2"/>
  <c r="S161" i="2"/>
  <c r="R161" i="2"/>
  <c r="Q161" i="2"/>
  <c r="P161" i="2"/>
  <c r="O161" i="2"/>
  <c r="K161" i="2"/>
  <c r="J161" i="2"/>
  <c r="I161" i="2"/>
  <c r="H161" i="2"/>
  <c r="G161" i="2"/>
  <c r="E161" i="2"/>
  <c r="AC160" i="2"/>
  <c r="AB160" i="2"/>
  <c r="AA160" i="2"/>
  <c r="Z160" i="2"/>
  <c r="X160" i="2"/>
  <c r="W160" i="2"/>
  <c r="V160" i="2"/>
  <c r="U160" i="2"/>
  <c r="T160" i="2"/>
  <c r="S160" i="2"/>
  <c r="R160" i="2"/>
  <c r="Q160" i="2"/>
  <c r="P160" i="2"/>
  <c r="O160" i="2"/>
  <c r="K160" i="2"/>
  <c r="J160" i="2"/>
  <c r="I160" i="2"/>
  <c r="H160" i="2"/>
  <c r="G160" i="2"/>
  <c r="E160" i="2"/>
  <c r="AC159" i="2"/>
  <c r="AB159" i="2"/>
  <c r="AA159" i="2"/>
  <c r="Z159" i="2"/>
  <c r="X159" i="2"/>
  <c r="W159" i="2"/>
  <c r="V159" i="2"/>
  <c r="U159" i="2"/>
  <c r="T159" i="2"/>
  <c r="S159" i="2"/>
  <c r="R159" i="2"/>
  <c r="Q159" i="2"/>
  <c r="P159" i="2"/>
  <c r="O159" i="2"/>
  <c r="K159" i="2"/>
  <c r="J159" i="2"/>
  <c r="I159" i="2"/>
  <c r="H159" i="2"/>
  <c r="G159" i="2"/>
  <c r="E159" i="2"/>
  <c r="AC158" i="2"/>
  <c r="AB158" i="2"/>
  <c r="AA158" i="2"/>
  <c r="Z158" i="2"/>
  <c r="X158" i="2"/>
  <c r="W158" i="2"/>
  <c r="V158" i="2"/>
  <c r="U158" i="2"/>
  <c r="T158" i="2"/>
  <c r="S158" i="2"/>
  <c r="R158" i="2"/>
  <c r="Q158" i="2"/>
  <c r="P158" i="2"/>
  <c r="O158" i="2"/>
  <c r="K158" i="2"/>
  <c r="J158" i="2"/>
  <c r="I158" i="2"/>
  <c r="H158" i="2"/>
  <c r="G158" i="2"/>
  <c r="E158" i="2"/>
  <c r="AC157" i="2"/>
  <c r="AB157" i="2"/>
  <c r="AA157" i="2"/>
  <c r="Z157" i="2"/>
  <c r="X157" i="2"/>
  <c r="W157" i="2"/>
  <c r="V157" i="2"/>
  <c r="U157" i="2"/>
  <c r="T157" i="2"/>
  <c r="S157" i="2"/>
  <c r="R157" i="2"/>
  <c r="Q157" i="2"/>
  <c r="P157" i="2"/>
  <c r="O157" i="2"/>
  <c r="K157" i="2"/>
  <c r="J157" i="2"/>
  <c r="I157" i="2"/>
  <c r="H157" i="2"/>
  <c r="G157" i="2"/>
  <c r="E157" i="2"/>
  <c r="AC156" i="2"/>
  <c r="AB156" i="2"/>
  <c r="AA156" i="2"/>
  <c r="Z156" i="2"/>
  <c r="X156" i="2"/>
  <c r="W156" i="2"/>
  <c r="V156" i="2"/>
  <c r="U156" i="2"/>
  <c r="T156" i="2"/>
  <c r="S156" i="2"/>
  <c r="R156" i="2"/>
  <c r="Q156" i="2"/>
  <c r="P156" i="2"/>
  <c r="O156" i="2"/>
  <c r="K156" i="2"/>
  <c r="J156" i="2"/>
  <c r="I156" i="2"/>
  <c r="H156" i="2"/>
  <c r="G156" i="2"/>
  <c r="E156" i="2"/>
  <c r="AC155" i="2"/>
  <c r="AB155" i="2"/>
  <c r="AA155" i="2"/>
  <c r="Z155" i="2"/>
  <c r="X155" i="2"/>
  <c r="W155" i="2"/>
  <c r="V155" i="2"/>
  <c r="U155" i="2"/>
  <c r="T155" i="2"/>
  <c r="S155" i="2"/>
  <c r="R155" i="2"/>
  <c r="Q155" i="2"/>
  <c r="P155" i="2"/>
  <c r="O155" i="2"/>
  <c r="K155" i="2"/>
  <c r="J155" i="2"/>
  <c r="I155" i="2"/>
  <c r="H155" i="2"/>
  <c r="G155" i="2"/>
  <c r="E155" i="2"/>
  <c r="AC154" i="2"/>
  <c r="AB154" i="2"/>
  <c r="AA154" i="2"/>
  <c r="Z154" i="2"/>
  <c r="X154" i="2"/>
  <c r="W154" i="2"/>
  <c r="V154" i="2"/>
  <c r="U154" i="2"/>
  <c r="T154" i="2"/>
  <c r="S154" i="2"/>
  <c r="R154" i="2"/>
  <c r="Q154" i="2"/>
  <c r="P154" i="2"/>
  <c r="O154" i="2"/>
  <c r="K154" i="2"/>
  <c r="J154" i="2"/>
  <c r="I154" i="2"/>
  <c r="H154" i="2"/>
  <c r="G154" i="2"/>
  <c r="E154" i="2"/>
  <c r="AC153" i="2"/>
  <c r="AB153" i="2"/>
  <c r="AA153" i="2"/>
  <c r="Z153" i="2"/>
  <c r="X153" i="2"/>
  <c r="W153" i="2"/>
  <c r="V153" i="2"/>
  <c r="U153" i="2"/>
  <c r="T153" i="2"/>
  <c r="S153" i="2"/>
  <c r="R153" i="2"/>
  <c r="Q153" i="2"/>
  <c r="P153" i="2"/>
  <c r="O153" i="2"/>
  <c r="K153" i="2"/>
  <c r="J153" i="2"/>
  <c r="I153" i="2"/>
  <c r="H153" i="2"/>
  <c r="G153" i="2"/>
  <c r="E153" i="2"/>
  <c r="AC152" i="2"/>
  <c r="AB152" i="2"/>
  <c r="AA152" i="2"/>
  <c r="Z152" i="2"/>
  <c r="X152" i="2"/>
  <c r="W152" i="2"/>
  <c r="V152" i="2"/>
  <c r="U152" i="2"/>
  <c r="T152" i="2"/>
  <c r="S152" i="2"/>
  <c r="R152" i="2"/>
  <c r="Q152" i="2"/>
  <c r="P152" i="2"/>
  <c r="O152" i="2"/>
  <c r="K152" i="2"/>
  <c r="J152" i="2"/>
  <c r="I152" i="2"/>
  <c r="H152" i="2"/>
  <c r="G152" i="2"/>
  <c r="E152" i="2"/>
  <c r="AC151" i="2"/>
  <c r="AB151" i="2"/>
  <c r="AA151" i="2"/>
  <c r="Z151" i="2"/>
  <c r="X151" i="2"/>
  <c r="W151" i="2"/>
  <c r="V151" i="2"/>
  <c r="U151" i="2"/>
  <c r="T151" i="2"/>
  <c r="S151" i="2"/>
  <c r="R151" i="2"/>
  <c r="Q151" i="2"/>
  <c r="P151" i="2"/>
  <c r="O151" i="2"/>
  <c r="K151" i="2"/>
  <c r="J151" i="2"/>
  <c r="I151" i="2"/>
  <c r="H151" i="2"/>
  <c r="G151" i="2"/>
  <c r="E151" i="2"/>
  <c r="AC150" i="2"/>
  <c r="AB150" i="2"/>
  <c r="AA150" i="2"/>
  <c r="Z150" i="2"/>
  <c r="X150" i="2"/>
  <c r="W150" i="2"/>
  <c r="V150" i="2"/>
  <c r="U150" i="2"/>
  <c r="T150" i="2"/>
  <c r="S150" i="2"/>
  <c r="R150" i="2"/>
  <c r="Q150" i="2"/>
  <c r="P150" i="2"/>
  <c r="O150" i="2"/>
  <c r="K150" i="2"/>
  <c r="J150" i="2"/>
  <c r="I150" i="2"/>
  <c r="H150" i="2"/>
  <c r="G150" i="2"/>
  <c r="E150" i="2"/>
  <c r="AC149" i="2"/>
  <c r="AB149" i="2"/>
  <c r="AA149" i="2"/>
  <c r="Z149" i="2"/>
  <c r="X149" i="2"/>
  <c r="W149" i="2"/>
  <c r="V149" i="2"/>
  <c r="U149" i="2"/>
  <c r="T149" i="2"/>
  <c r="S149" i="2"/>
  <c r="R149" i="2"/>
  <c r="Q149" i="2"/>
  <c r="P149" i="2"/>
  <c r="O149" i="2"/>
  <c r="K149" i="2"/>
  <c r="J149" i="2"/>
  <c r="I149" i="2"/>
  <c r="H149" i="2"/>
  <c r="G149" i="2"/>
  <c r="E149" i="2"/>
  <c r="AC148" i="2"/>
  <c r="AB148" i="2"/>
  <c r="AA148" i="2"/>
  <c r="Z148" i="2"/>
  <c r="X148" i="2"/>
  <c r="W148" i="2"/>
  <c r="V148" i="2"/>
  <c r="U148" i="2"/>
  <c r="T148" i="2"/>
  <c r="S148" i="2"/>
  <c r="R148" i="2"/>
  <c r="Q148" i="2"/>
  <c r="P148" i="2"/>
  <c r="O148" i="2"/>
  <c r="K148" i="2"/>
  <c r="J148" i="2"/>
  <c r="I148" i="2"/>
  <c r="H148" i="2"/>
  <c r="G148" i="2"/>
  <c r="E148" i="2"/>
  <c r="AC147" i="2"/>
  <c r="AB147" i="2"/>
  <c r="AA147" i="2"/>
  <c r="Z147" i="2"/>
  <c r="X147" i="2"/>
  <c r="W147" i="2"/>
  <c r="V147" i="2"/>
  <c r="U147" i="2"/>
  <c r="T147" i="2"/>
  <c r="S147" i="2"/>
  <c r="R147" i="2"/>
  <c r="Q147" i="2"/>
  <c r="P147" i="2"/>
  <c r="O147" i="2"/>
  <c r="K147" i="2"/>
  <c r="J147" i="2"/>
  <c r="I147" i="2"/>
  <c r="H147" i="2"/>
  <c r="G147" i="2"/>
  <c r="E147" i="2"/>
  <c r="AC146" i="2"/>
  <c r="AB146" i="2"/>
  <c r="AA146" i="2"/>
  <c r="Z146" i="2"/>
  <c r="X146" i="2"/>
  <c r="W146" i="2"/>
  <c r="V146" i="2"/>
  <c r="U146" i="2"/>
  <c r="T146" i="2"/>
  <c r="S146" i="2"/>
  <c r="R146" i="2"/>
  <c r="Q146" i="2"/>
  <c r="P146" i="2"/>
  <c r="O146" i="2"/>
  <c r="K146" i="2"/>
  <c r="J146" i="2"/>
  <c r="I146" i="2"/>
  <c r="H146" i="2"/>
  <c r="G146" i="2"/>
  <c r="E146" i="2"/>
  <c r="AC145" i="2"/>
  <c r="AB145" i="2"/>
  <c r="AA145" i="2"/>
  <c r="Z145" i="2"/>
  <c r="X145" i="2"/>
  <c r="W145" i="2"/>
  <c r="V145" i="2"/>
  <c r="U145" i="2"/>
  <c r="T145" i="2"/>
  <c r="S145" i="2"/>
  <c r="R145" i="2"/>
  <c r="Q145" i="2"/>
  <c r="P145" i="2"/>
  <c r="O145" i="2"/>
  <c r="K145" i="2"/>
  <c r="J145" i="2"/>
  <c r="I145" i="2"/>
  <c r="H145" i="2"/>
  <c r="G145" i="2"/>
  <c r="E145" i="2"/>
  <c r="AC144" i="2"/>
  <c r="AB144" i="2"/>
  <c r="AA144" i="2"/>
  <c r="Z144" i="2"/>
  <c r="X144" i="2"/>
  <c r="W144" i="2"/>
  <c r="V144" i="2"/>
  <c r="U144" i="2"/>
  <c r="T144" i="2"/>
  <c r="S144" i="2"/>
  <c r="R144" i="2"/>
  <c r="Q144" i="2"/>
  <c r="P144" i="2"/>
  <c r="O144" i="2"/>
  <c r="K144" i="2"/>
  <c r="J144" i="2"/>
  <c r="I144" i="2"/>
  <c r="H144" i="2"/>
  <c r="G144" i="2"/>
  <c r="E144" i="2"/>
  <c r="AC143" i="2"/>
  <c r="AB143" i="2"/>
  <c r="AA143" i="2"/>
  <c r="Z143" i="2"/>
  <c r="X143" i="2"/>
  <c r="W143" i="2"/>
  <c r="V143" i="2"/>
  <c r="U143" i="2"/>
  <c r="T143" i="2"/>
  <c r="S143" i="2"/>
  <c r="R143" i="2"/>
  <c r="Q143" i="2"/>
  <c r="P143" i="2"/>
  <c r="O143" i="2"/>
  <c r="K143" i="2"/>
  <c r="J143" i="2"/>
  <c r="I143" i="2"/>
  <c r="H143" i="2"/>
  <c r="G143" i="2"/>
  <c r="E143" i="2"/>
  <c r="AC142" i="2"/>
  <c r="AB142" i="2"/>
  <c r="AA142" i="2"/>
  <c r="Z142" i="2"/>
  <c r="X142" i="2"/>
  <c r="W142" i="2"/>
  <c r="V142" i="2"/>
  <c r="U142" i="2"/>
  <c r="T142" i="2"/>
  <c r="S142" i="2"/>
  <c r="R142" i="2"/>
  <c r="Q142" i="2"/>
  <c r="P142" i="2"/>
  <c r="O142" i="2"/>
  <c r="K142" i="2"/>
  <c r="J142" i="2"/>
  <c r="I142" i="2"/>
  <c r="H142" i="2"/>
  <c r="G142" i="2"/>
  <c r="E142" i="2"/>
  <c r="AC141" i="2"/>
  <c r="AB141" i="2"/>
  <c r="AA141" i="2"/>
  <c r="Z141" i="2"/>
  <c r="X141" i="2"/>
  <c r="W141" i="2"/>
  <c r="V141" i="2"/>
  <c r="U141" i="2"/>
  <c r="T141" i="2"/>
  <c r="S141" i="2"/>
  <c r="R141" i="2"/>
  <c r="Q141" i="2"/>
  <c r="P141" i="2"/>
  <c r="O141" i="2"/>
  <c r="K141" i="2"/>
  <c r="J141" i="2"/>
  <c r="I141" i="2"/>
  <c r="H141" i="2"/>
  <c r="G141" i="2"/>
  <c r="E141" i="2"/>
  <c r="AC140" i="2"/>
  <c r="AB140" i="2"/>
  <c r="AA140" i="2"/>
  <c r="Z140" i="2"/>
  <c r="X140" i="2"/>
  <c r="W140" i="2"/>
  <c r="V140" i="2"/>
  <c r="U140" i="2"/>
  <c r="T140" i="2"/>
  <c r="S140" i="2"/>
  <c r="R140" i="2"/>
  <c r="Q140" i="2"/>
  <c r="P140" i="2"/>
  <c r="O140" i="2"/>
  <c r="K140" i="2"/>
  <c r="J140" i="2"/>
  <c r="I140" i="2"/>
  <c r="H140" i="2"/>
  <c r="G140" i="2"/>
  <c r="E140" i="2"/>
  <c r="AC139" i="2"/>
  <c r="AB139" i="2"/>
  <c r="AA139" i="2"/>
  <c r="Z139" i="2"/>
  <c r="X139" i="2"/>
  <c r="W139" i="2"/>
  <c r="V139" i="2"/>
  <c r="U139" i="2"/>
  <c r="T139" i="2"/>
  <c r="S139" i="2"/>
  <c r="R139" i="2"/>
  <c r="Q139" i="2"/>
  <c r="P139" i="2"/>
  <c r="O139" i="2"/>
  <c r="K139" i="2"/>
  <c r="J139" i="2"/>
  <c r="I139" i="2"/>
  <c r="H139" i="2"/>
  <c r="G139" i="2"/>
  <c r="E139" i="2"/>
  <c r="AC138" i="2"/>
  <c r="AB138" i="2"/>
  <c r="AA138" i="2"/>
  <c r="Z138" i="2"/>
  <c r="X138" i="2"/>
  <c r="W138" i="2"/>
  <c r="V138" i="2"/>
  <c r="U138" i="2"/>
  <c r="T138" i="2"/>
  <c r="S138" i="2"/>
  <c r="R138" i="2"/>
  <c r="Q138" i="2"/>
  <c r="P138" i="2"/>
  <c r="O138" i="2"/>
  <c r="K138" i="2"/>
  <c r="J138" i="2"/>
  <c r="I138" i="2"/>
  <c r="H138" i="2"/>
  <c r="G138" i="2"/>
  <c r="E138" i="2"/>
  <c r="AC137" i="2"/>
  <c r="AB137" i="2"/>
  <c r="AA137" i="2"/>
  <c r="Z137" i="2"/>
  <c r="X137" i="2"/>
  <c r="W137" i="2"/>
  <c r="V137" i="2"/>
  <c r="U137" i="2"/>
  <c r="T137" i="2"/>
  <c r="S137" i="2"/>
  <c r="R137" i="2"/>
  <c r="Q137" i="2"/>
  <c r="P137" i="2"/>
  <c r="O137" i="2"/>
  <c r="K137" i="2"/>
  <c r="J137" i="2"/>
  <c r="I137" i="2"/>
  <c r="H137" i="2"/>
  <c r="G137" i="2"/>
  <c r="E137" i="2"/>
  <c r="AC136" i="2"/>
  <c r="AB136" i="2"/>
  <c r="AA136" i="2"/>
  <c r="Z136" i="2"/>
  <c r="X136" i="2"/>
  <c r="W136" i="2"/>
  <c r="V136" i="2"/>
  <c r="U136" i="2"/>
  <c r="T136" i="2"/>
  <c r="S136" i="2"/>
  <c r="R136" i="2"/>
  <c r="Q136" i="2"/>
  <c r="P136" i="2"/>
  <c r="O136" i="2"/>
  <c r="K136" i="2"/>
  <c r="J136" i="2"/>
  <c r="I136" i="2"/>
  <c r="H136" i="2"/>
  <c r="G136" i="2"/>
  <c r="E136" i="2"/>
  <c r="AC135" i="2"/>
  <c r="AB135" i="2"/>
  <c r="AA135" i="2"/>
  <c r="Z135" i="2"/>
  <c r="X135" i="2"/>
  <c r="W135" i="2"/>
  <c r="V135" i="2"/>
  <c r="U135" i="2"/>
  <c r="T135" i="2"/>
  <c r="S135" i="2"/>
  <c r="R135" i="2"/>
  <c r="Q135" i="2"/>
  <c r="P135" i="2"/>
  <c r="O135" i="2"/>
  <c r="K135" i="2"/>
  <c r="J135" i="2"/>
  <c r="I135" i="2"/>
  <c r="H135" i="2"/>
  <c r="G135" i="2"/>
  <c r="E135" i="2"/>
  <c r="AC134" i="2"/>
  <c r="AB134" i="2"/>
  <c r="AA134" i="2"/>
  <c r="Z134" i="2"/>
  <c r="X134" i="2"/>
  <c r="W134" i="2"/>
  <c r="V134" i="2"/>
  <c r="U134" i="2"/>
  <c r="T134" i="2"/>
  <c r="S134" i="2"/>
  <c r="R134" i="2"/>
  <c r="Q134" i="2"/>
  <c r="P134" i="2"/>
  <c r="O134" i="2"/>
  <c r="K134" i="2"/>
  <c r="J134" i="2"/>
  <c r="I134" i="2"/>
  <c r="H134" i="2"/>
  <c r="G134" i="2"/>
  <c r="E134" i="2"/>
  <c r="AC133" i="2"/>
  <c r="AB133" i="2"/>
  <c r="AA133" i="2"/>
  <c r="Z133" i="2"/>
  <c r="X133" i="2"/>
  <c r="W133" i="2"/>
  <c r="V133" i="2"/>
  <c r="U133" i="2"/>
  <c r="T133" i="2"/>
  <c r="S133" i="2"/>
  <c r="R133" i="2"/>
  <c r="Q133" i="2"/>
  <c r="P133" i="2"/>
  <c r="O133" i="2"/>
  <c r="K133" i="2"/>
  <c r="J133" i="2"/>
  <c r="I133" i="2"/>
  <c r="H133" i="2"/>
  <c r="G133" i="2"/>
  <c r="E133" i="2"/>
  <c r="AC132" i="2"/>
  <c r="AB132" i="2"/>
  <c r="AA132" i="2"/>
  <c r="Z132" i="2"/>
  <c r="X132" i="2"/>
  <c r="W132" i="2"/>
  <c r="V132" i="2"/>
  <c r="U132" i="2"/>
  <c r="T132" i="2"/>
  <c r="S132" i="2"/>
  <c r="R132" i="2"/>
  <c r="Q132" i="2"/>
  <c r="P132" i="2"/>
  <c r="O132" i="2"/>
  <c r="K132" i="2"/>
  <c r="J132" i="2"/>
  <c r="I132" i="2"/>
  <c r="H132" i="2"/>
  <c r="G132" i="2"/>
  <c r="E132" i="2"/>
  <c r="AC131" i="2"/>
  <c r="AB131" i="2"/>
  <c r="AA131" i="2"/>
  <c r="Z131" i="2"/>
  <c r="X131" i="2"/>
  <c r="W131" i="2"/>
  <c r="V131" i="2"/>
  <c r="U131" i="2"/>
  <c r="T131" i="2"/>
  <c r="S131" i="2"/>
  <c r="R131" i="2"/>
  <c r="Q131" i="2"/>
  <c r="P131" i="2"/>
  <c r="O131" i="2"/>
  <c r="K131" i="2"/>
  <c r="J131" i="2"/>
  <c r="I131" i="2"/>
  <c r="H131" i="2"/>
  <c r="G131" i="2"/>
  <c r="E131" i="2"/>
  <c r="AC130" i="2"/>
  <c r="AB130" i="2"/>
  <c r="AA130" i="2"/>
  <c r="Z130" i="2"/>
  <c r="X130" i="2"/>
  <c r="W130" i="2"/>
  <c r="V130" i="2"/>
  <c r="U130" i="2"/>
  <c r="T130" i="2"/>
  <c r="S130" i="2"/>
  <c r="R130" i="2"/>
  <c r="Q130" i="2"/>
  <c r="P130" i="2"/>
  <c r="O130" i="2"/>
  <c r="K130" i="2"/>
  <c r="J130" i="2"/>
  <c r="I130" i="2"/>
  <c r="H130" i="2"/>
  <c r="G130" i="2"/>
  <c r="E130" i="2"/>
  <c r="AC129" i="2"/>
  <c r="AB129" i="2"/>
  <c r="AA129" i="2"/>
  <c r="Z129" i="2"/>
  <c r="X129" i="2"/>
  <c r="W129" i="2"/>
  <c r="V129" i="2"/>
  <c r="U129" i="2"/>
  <c r="T129" i="2"/>
  <c r="S129" i="2"/>
  <c r="R129" i="2"/>
  <c r="Q129" i="2"/>
  <c r="P129" i="2"/>
  <c r="O129" i="2"/>
  <c r="K129" i="2"/>
  <c r="J129" i="2"/>
  <c r="I129" i="2"/>
  <c r="H129" i="2"/>
  <c r="G129" i="2"/>
  <c r="E129" i="2"/>
  <c r="AC128" i="2"/>
  <c r="AB128" i="2"/>
  <c r="AA128" i="2"/>
  <c r="Z128" i="2"/>
  <c r="X128" i="2"/>
  <c r="W128" i="2"/>
  <c r="V128" i="2"/>
  <c r="U128" i="2"/>
  <c r="T128" i="2"/>
  <c r="S128" i="2"/>
  <c r="R128" i="2"/>
  <c r="Q128" i="2"/>
  <c r="P128" i="2"/>
  <c r="O128" i="2"/>
  <c r="K128" i="2"/>
  <c r="J128" i="2"/>
  <c r="I128" i="2"/>
  <c r="H128" i="2"/>
  <c r="G128" i="2"/>
  <c r="E128" i="2"/>
  <c r="AC127" i="2"/>
  <c r="AB127" i="2"/>
  <c r="AA127" i="2"/>
  <c r="Z127" i="2"/>
  <c r="X127" i="2"/>
  <c r="W127" i="2"/>
  <c r="V127" i="2"/>
  <c r="U127" i="2"/>
  <c r="T127" i="2"/>
  <c r="S127" i="2"/>
  <c r="R127" i="2"/>
  <c r="Q127" i="2"/>
  <c r="P127" i="2"/>
  <c r="O127" i="2"/>
  <c r="K127" i="2"/>
  <c r="J127" i="2"/>
  <c r="I127" i="2"/>
  <c r="H127" i="2"/>
  <c r="G127" i="2"/>
  <c r="E127" i="2"/>
  <c r="AC126" i="2"/>
  <c r="AB126" i="2"/>
  <c r="AA126" i="2"/>
  <c r="Z126" i="2"/>
  <c r="X126" i="2"/>
  <c r="W126" i="2"/>
  <c r="V126" i="2"/>
  <c r="U126" i="2"/>
  <c r="T126" i="2"/>
  <c r="S126" i="2"/>
  <c r="R126" i="2"/>
  <c r="Q126" i="2"/>
  <c r="P126" i="2"/>
  <c r="O126" i="2"/>
  <c r="K126" i="2"/>
  <c r="J126" i="2"/>
  <c r="I126" i="2"/>
  <c r="H126" i="2"/>
  <c r="G126" i="2"/>
  <c r="E126" i="2"/>
  <c r="AC125" i="2"/>
  <c r="AB125" i="2"/>
  <c r="AA125" i="2"/>
  <c r="Z125" i="2"/>
  <c r="X125" i="2"/>
  <c r="W125" i="2"/>
  <c r="V125" i="2"/>
  <c r="U125" i="2"/>
  <c r="T125" i="2"/>
  <c r="S125" i="2"/>
  <c r="R125" i="2"/>
  <c r="Q125" i="2"/>
  <c r="P125" i="2"/>
  <c r="O125" i="2"/>
  <c r="K125" i="2"/>
  <c r="J125" i="2"/>
  <c r="I125" i="2"/>
  <c r="H125" i="2"/>
  <c r="G125" i="2"/>
  <c r="E125" i="2"/>
  <c r="AC124" i="2"/>
  <c r="AB124" i="2"/>
  <c r="AA124" i="2"/>
  <c r="Z124" i="2"/>
  <c r="X124" i="2"/>
  <c r="W124" i="2"/>
  <c r="V124" i="2"/>
  <c r="U124" i="2"/>
  <c r="T124" i="2"/>
  <c r="S124" i="2"/>
  <c r="R124" i="2"/>
  <c r="Q124" i="2"/>
  <c r="P124" i="2"/>
  <c r="O124" i="2"/>
  <c r="K124" i="2"/>
  <c r="J124" i="2"/>
  <c r="I124" i="2"/>
  <c r="H124" i="2"/>
  <c r="G124" i="2"/>
  <c r="E124" i="2"/>
  <c r="AC123" i="2"/>
  <c r="AB123" i="2"/>
  <c r="AA123" i="2"/>
  <c r="Z123" i="2"/>
  <c r="X123" i="2"/>
  <c r="W123" i="2"/>
  <c r="V123" i="2"/>
  <c r="U123" i="2"/>
  <c r="T123" i="2"/>
  <c r="S123" i="2"/>
  <c r="R123" i="2"/>
  <c r="Q123" i="2"/>
  <c r="P123" i="2"/>
  <c r="O123" i="2"/>
  <c r="K123" i="2"/>
  <c r="J123" i="2"/>
  <c r="I123" i="2"/>
  <c r="H123" i="2"/>
  <c r="G123" i="2"/>
  <c r="E123" i="2"/>
  <c r="AC122" i="2"/>
  <c r="AB122" i="2"/>
  <c r="AA122" i="2"/>
  <c r="Z122" i="2"/>
  <c r="X122" i="2"/>
  <c r="W122" i="2"/>
  <c r="V122" i="2"/>
  <c r="U122" i="2"/>
  <c r="T122" i="2"/>
  <c r="S122" i="2"/>
  <c r="R122" i="2"/>
  <c r="Q122" i="2"/>
  <c r="P122" i="2"/>
  <c r="O122" i="2"/>
  <c r="K122" i="2"/>
  <c r="J122" i="2"/>
  <c r="I122" i="2"/>
  <c r="H122" i="2"/>
  <c r="G122" i="2"/>
  <c r="E122" i="2"/>
  <c r="AC121" i="2"/>
  <c r="AB121" i="2"/>
  <c r="AA121" i="2"/>
  <c r="Z121" i="2"/>
  <c r="X121" i="2"/>
  <c r="W121" i="2"/>
  <c r="V121" i="2"/>
  <c r="U121" i="2"/>
  <c r="T121" i="2"/>
  <c r="S121" i="2"/>
  <c r="R121" i="2"/>
  <c r="Q121" i="2"/>
  <c r="P121" i="2"/>
  <c r="O121" i="2"/>
  <c r="K121" i="2"/>
  <c r="J121" i="2"/>
  <c r="I121" i="2"/>
  <c r="H121" i="2"/>
  <c r="G121" i="2"/>
  <c r="E121" i="2"/>
  <c r="AC120" i="2"/>
  <c r="AB120" i="2"/>
  <c r="AA120" i="2"/>
  <c r="Z120" i="2"/>
  <c r="X120" i="2"/>
  <c r="W120" i="2"/>
  <c r="V120" i="2"/>
  <c r="U120" i="2"/>
  <c r="T120" i="2"/>
  <c r="S120" i="2"/>
  <c r="R120" i="2"/>
  <c r="Q120" i="2"/>
  <c r="P120" i="2"/>
  <c r="O120" i="2"/>
  <c r="K120" i="2"/>
  <c r="J120" i="2"/>
  <c r="I120" i="2"/>
  <c r="H120" i="2"/>
  <c r="G120" i="2"/>
  <c r="E120" i="2"/>
  <c r="AC119" i="2"/>
  <c r="AB119" i="2"/>
  <c r="AA119" i="2"/>
  <c r="Z119" i="2"/>
  <c r="X119" i="2"/>
  <c r="W119" i="2"/>
  <c r="V119" i="2"/>
  <c r="U119" i="2"/>
  <c r="T119" i="2"/>
  <c r="S119" i="2"/>
  <c r="R119" i="2"/>
  <c r="Q119" i="2"/>
  <c r="P119" i="2"/>
  <c r="O119" i="2"/>
  <c r="K119" i="2"/>
  <c r="J119" i="2"/>
  <c r="I119" i="2"/>
  <c r="H119" i="2"/>
  <c r="G119" i="2"/>
  <c r="E119" i="2"/>
  <c r="AC118" i="2"/>
  <c r="AB118" i="2"/>
  <c r="AA118" i="2"/>
  <c r="Z118" i="2"/>
  <c r="X118" i="2"/>
  <c r="W118" i="2"/>
  <c r="V118" i="2"/>
  <c r="U118" i="2"/>
  <c r="T118" i="2"/>
  <c r="S118" i="2"/>
  <c r="R118" i="2"/>
  <c r="Q118" i="2"/>
  <c r="P118" i="2"/>
  <c r="O118" i="2"/>
  <c r="K118" i="2"/>
  <c r="J118" i="2"/>
  <c r="I118" i="2"/>
  <c r="H118" i="2"/>
  <c r="G118" i="2"/>
  <c r="E118" i="2"/>
  <c r="AC117" i="2"/>
  <c r="AB117" i="2"/>
  <c r="AA117" i="2"/>
  <c r="Z117" i="2"/>
  <c r="X117" i="2"/>
  <c r="W117" i="2"/>
  <c r="V117" i="2"/>
  <c r="U117" i="2"/>
  <c r="T117" i="2"/>
  <c r="S117" i="2"/>
  <c r="R117" i="2"/>
  <c r="Q117" i="2"/>
  <c r="P117" i="2"/>
  <c r="O117" i="2"/>
  <c r="K117" i="2"/>
  <c r="J117" i="2"/>
  <c r="I117" i="2"/>
  <c r="H117" i="2"/>
  <c r="G117" i="2"/>
  <c r="E117" i="2"/>
  <c r="AC116" i="2"/>
  <c r="AB116" i="2"/>
  <c r="AA116" i="2"/>
  <c r="Z116" i="2"/>
  <c r="X116" i="2"/>
  <c r="W116" i="2"/>
  <c r="V116" i="2"/>
  <c r="U116" i="2"/>
  <c r="T116" i="2"/>
  <c r="S116" i="2"/>
  <c r="R116" i="2"/>
  <c r="Q116" i="2"/>
  <c r="P116" i="2"/>
  <c r="O116" i="2"/>
  <c r="K116" i="2"/>
  <c r="J116" i="2"/>
  <c r="I116" i="2"/>
  <c r="H116" i="2"/>
  <c r="G116" i="2"/>
  <c r="E116" i="2"/>
  <c r="AC115" i="2"/>
  <c r="AB115" i="2"/>
  <c r="AA115" i="2"/>
  <c r="Z115" i="2"/>
  <c r="X115" i="2"/>
  <c r="W115" i="2"/>
  <c r="V115" i="2"/>
  <c r="U115" i="2"/>
  <c r="T115" i="2"/>
  <c r="S115" i="2"/>
  <c r="R115" i="2"/>
  <c r="Q115" i="2"/>
  <c r="P115" i="2"/>
  <c r="O115" i="2"/>
  <c r="K115" i="2"/>
  <c r="J115" i="2"/>
  <c r="I115" i="2"/>
  <c r="H115" i="2"/>
  <c r="G115" i="2"/>
  <c r="E115" i="2"/>
  <c r="AC114" i="2"/>
  <c r="AB114" i="2"/>
  <c r="AA114" i="2"/>
  <c r="Z114" i="2"/>
  <c r="X114" i="2"/>
  <c r="W114" i="2"/>
  <c r="V114" i="2"/>
  <c r="U114" i="2"/>
  <c r="T114" i="2"/>
  <c r="S114" i="2"/>
  <c r="R114" i="2"/>
  <c r="Q114" i="2"/>
  <c r="P114" i="2"/>
  <c r="O114" i="2"/>
  <c r="K114" i="2"/>
  <c r="J114" i="2"/>
  <c r="I114" i="2"/>
  <c r="H114" i="2"/>
  <c r="G114" i="2"/>
  <c r="E114" i="2"/>
  <c r="AC113" i="2"/>
  <c r="AB113" i="2"/>
  <c r="AA113" i="2"/>
  <c r="Z113" i="2"/>
  <c r="X113" i="2"/>
  <c r="W113" i="2"/>
  <c r="V113" i="2"/>
  <c r="U113" i="2"/>
  <c r="T113" i="2"/>
  <c r="S113" i="2"/>
  <c r="R113" i="2"/>
  <c r="Q113" i="2"/>
  <c r="P113" i="2"/>
  <c r="O113" i="2"/>
  <c r="K113" i="2"/>
  <c r="J113" i="2"/>
  <c r="I113" i="2"/>
  <c r="H113" i="2"/>
  <c r="G113" i="2"/>
  <c r="E113" i="2"/>
  <c r="AC112" i="2"/>
  <c r="AB112" i="2"/>
  <c r="AA112" i="2"/>
  <c r="Z112" i="2"/>
  <c r="X112" i="2"/>
  <c r="W112" i="2"/>
  <c r="V112" i="2"/>
  <c r="U112" i="2"/>
  <c r="T112" i="2"/>
  <c r="S112" i="2"/>
  <c r="R112" i="2"/>
  <c r="Q112" i="2"/>
  <c r="P112" i="2"/>
  <c r="O112" i="2"/>
  <c r="K112" i="2"/>
  <c r="J112" i="2"/>
  <c r="I112" i="2"/>
  <c r="H112" i="2"/>
  <c r="G112" i="2"/>
  <c r="E112" i="2"/>
  <c r="AC111" i="2"/>
  <c r="AB111" i="2"/>
  <c r="AA111" i="2"/>
  <c r="Z111" i="2"/>
  <c r="X111" i="2"/>
  <c r="W111" i="2"/>
  <c r="V111" i="2"/>
  <c r="U111" i="2"/>
  <c r="T111" i="2"/>
  <c r="S111" i="2"/>
  <c r="R111" i="2"/>
  <c r="Q111" i="2"/>
  <c r="P111" i="2"/>
  <c r="O111" i="2"/>
  <c r="K111" i="2"/>
  <c r="J111" i="2"/>
  <c r="I111" i="2"/>
  <c r="H111" i="2"/>
  <c r="G111" i="2"/>
  <c r="E111" i="2"/>
  <c r="AC110" i="2"/>
  <c r="AB110" i="2"/>
  <c r="AA110" i="2"/>
  <c r="Z110" i="2"/>
  <c r="X110" i="2"/>
  <c r="W110" i="2"/>
  <c r="V110" i="2"/>
  <c r="U110" i="2"/>
  <c r="T110" i="2"/>
  <c r="S110" i="2"/>
  <c r="R110" i="2"/>
  <c r="Q110" i="2"/>
  <c r="P110" i="2"/>
  <c r="O110" i="2"/>
  <c r="K110" i="2"/>
  <c r="J110" i="2"/>
  <c r="I110" i="2"/>
  <c r="H110" i="2"/>
  <c r="G110" i="2"/>
  <c r="E110" i="2"/>
  <c r="AC109" i="2"/>
  <c r="AB109" i="2"/>
  <c r="AA109" i="2"/>
  <c r="Z109" i="2"/>
  <c r="X109" i="2"/>
  <c r="W109" i="2"/>
  <c r="V109" i="2"/>
  <c r="U109" i="2"/>
  <c r="T109" i="2"/>
  <c r="S109" i="2"/>
  <c r="R109" i="2"/>
  <c r="Q109" i="2"/>
  <c r="P109" i="2"/>
  <c r="O109" i="2"/>
  <c r="K109" i="2"/>
  <c r="J109" i="2"/>
  <c r="I109" i="2"/>
  <c r="H109" i="2"/>
  <c r="G109" i="2"/>
  <c r="E109" i="2"/>
  <c r="AC108" i="2"/>
  <c r="AB108" i="2"/>
  <c r="AA108" i="2"/>
  <c r="Z108" i="2"/>
  <c r="X108" i="2"/>
  <c r="W108" i="2"/>
  <c r="V108" i="2"/>
  <c r="U108" i="2"/>
  <c r="T108" i="2"/>
  <c r="S108" i="2"/>
  <c r="R108" i="2"/>
  <c r="Q108" i="2"/>
  <c r="P108" i="2"/>
  <c r="O108" i="2"/>
  <c r="K108" i="2"/>
  <c r="J108" i="2"/>
  <c r="I108" i="2"/>
  <c r="H108" i="2"/>
  <c r="G108" i="2"/>
  <c r="E108" i="2"/>
  <c r="AC107" i="2"/>
  <c r="AB107" i="2"/>
  <c r="AA107" i="2"/>
  <c r="Z107" i="2"/>
  <c r="X107" i="2"/>
  <c r="W107" i="2"/>
  <c r="V107" i="2"/>
  <c r="U107" i="2"/>
  <c r="T107" i="2"/>
  <c r="S107" i="2"/>
  <c r="R107" i="2"/>
  <c r="Q107" i="2"/>
  <c r="P107" i="2"/>
  <c r="O107" i="2"/>
  <c r="K107" i="2"/>
  <c r="J107" i="2"/>
  <c r="I107" i="2"/>
  <c r="H107" i="2"/>
  <c r="G107" i="2"/>
  <c r="E107" i="2"/>
  <c r="AC106" i="2"/>
  <c r="AB106" i="2"/>
  <c r="AA106" i="2"/>
  <c r="Z106" i="2"/>
  <c r="X106" i="2"/>
  <c r="W106" i="2"/>
  <c r="V106" i="2"/>
  <c r="U106" i="2"/>
  <c r="T106" i="2"/>
  <c r="S106" i="2"/>
  <c r="R106" i="2"/>
  <c r="Q106" i="2"/>
  <c r="P106" i="2"/>
  <c r="O106" i="2"/>
  <c r="K106" i="2"/>
  <c r="J106" i="2"/>
  <c r="I106" i="2"/>
  <c r="H106" i="2"/>
  <c r="G106" i="2"/>
  <c r="E106" i="2"/>
  <c r="AC105" i="2"/>
  <c r="AB105" i="2"/>
  <c r="AA105" i="2"/>
  <c r="Z105" i="2"/>
  <c r="X105" i="2"/>
  <c r="W105" i="2"/>
  <c r="V105" i="2"/>
  <c r="U105" i="2"/>
  <c r="T105" i="2"/>
  <c r="S105" i="2"/>
  <c r="R105" i="2"/>
  <c r="Q105" i="2"/>
  <c r="P105" i="2"/>
  <c r="O105" i="2"/>
  <c r="K105" i="2"/>
  <c r="J105" i="2"/>
  <c r="I105" i="2"/>
  <c r="H105" i="2"/>
  <c r="G105" i="2"/>
  <c r="E105" i="2"/>
  <c r="AC104" i="2"/>
  <c r="AB104" i="2"/>
  <c r="AA104" i="2"/>
  <c r="Z104" i="2"/>
  <c r="X104" i="2"/>
  <c r="W104" i="2"/>
  <c r="V104" i="2"/>
  <c r="U104" i="2"/>
  <c r="T104" i="2"/>
  <c r="S104" i="2"/>
  <c r="R104" i="2"/>
  <c r="Q104" i="2"/>
  <c r="P104" i="2"/>
  <c r="O104" i="2"/>
  <c r="K104" i="2"/>
  <c r="J104" i="2"/>
  <c r="I104" i="2"/>
  <c r="H104" i="2"/>
  <c r="G104" i="2"/>
  <c r="E104" i="2"/>
  <c r="AC103" i="2"/>
  <c r="AB103" i="2"/>
  <c r="AA103" i="2"/>
  <c r="Z103" i="2"/>
  <c r="X103" i="2"/>
  <c r="W103" i="2"/>
  <c r="V103" i="2"/>
  <c r="U103" i="2"/>
  <c r="T103" i="2"/>
  <c r="S103" i="2"/>
  <c r="R103" i="2"/>
  <c r="Q103" i="2"/>
  <c r="P103" i="2"/>
  <c r="O103" i="2"/>
  <c r="K103" i="2"/>
  <c r="J103" i="2"/>
  <c r="I103" i="2"/>
  <c r="H103" i="2"/>
  <c r="G103" i="2"/>
  <c r="E103" i="2"/>
  <c r="AC102" i="2"/>
  <c r="AB102" i="2"/>
  <c r="AA102" i="2"/>
  <c r="Z102" i="2"/>
  <c r="X102" i="2"/>
  <c r="W102" i="2"/>
  <c r="V102" i="2"/>
  <c r="U102" i="2"/>
  <c r="T102" i="2"/>
  <c r="S102" i="2"/>
  <c r="R102" i="2"/>
  <c r="Q102" i="2"/>
  <c r="P102" i="2"/>
  <c r="O102" i="2"/>
  <c r="K102" i="2"/>
  <c r="J102" i="2"/>
  <c r="I102" i="2"/>
  <c r="H102" i="2"/>
  <c r="G102" i="2"/>
  <c r="E102" i="2"/>
  <c r="AC101" i="2"/>
  <c r="AB101" i="2"/>
  <c r="AA101" i="2"/>
  <c r="Z101" i="2"/>
  <c r="X101" i="2"/>
  <c r="W101" i="2"/>
  <c r="V101" i="2"/>
  <c r="U101" i="2"/>
  <c r="T101" i="2"/>
  <c r="S101" i="2"/>
  <c r="R101" i="2"/>
  <c r="Q101" i="2"/>
  <c r="P101" i="2"/>
  <c r="O101" i="2"/>
  <c r="K101" i="2"/>
  <c r="J101" i="2"/>
  <c r="I101" i="2"/>
  <c r="H101" i="2"/>
  <c r="G101" i="2"/>
  <c r="E101" i="2"/>
  <c r="AC100" i="2"/>
  <c r="AB100" i="2"/>
  <c r="AA100" i="2"/>
  <c r="Z100" i="2"/>
  <c r="X100" i="2"/>
  <c r="W100" i="2"/>
  <c r="V100" i="2"/>
  <c r="U100" i="2"/>
  <c r="T100" i="2"/>
  <c r="S100" i="2"/>
  <c r="R100" i="2"/>
  <c r="Q100" i="2"/>
  <c r="P100" i="2"/>
  <c r="O100" i="2"/>
  <c r="K100" i="2"/>
  <c r="J100" i="2"/>
  <c r="I100" i="2"/>
  <c r="H100" i="2"/>
  <c r="G100" i="2"/>
  <c r="E100" i="2"/>
  <c r="AC99" i="2"/>
  <c r="AB99" i="2"/>
  <c r="AA99" i="2"/>
  <c r="Z99" i="2"/>
  <c r="X99" i="2"/>
  <c r="W99" i="2"/>
  <c r="V99" i="2"/>
  <c r="U99" i="2"/>
  <c r="T99" i="2"/>
  <c r="S99" i="2"/>
  <c r="R99" i="2"/>
  <c r="Q99" i="2"/>
  <c r="P99" i="2"/>
  <c r="O99" i="2"/>
  <c r="K99" i="2"/>
  <c r="J99" i="2"/>
  <c r="I99" i="2"/>
  <c r="H99" i="2"/>
  <c r="G99" i="2"/>
  <c r="E99" i="2"/>
  <c r="AC98" i="2"/>
  <c r="AB98" i="2"/>
  <c r="AA98" i="2"/>
  <c r="Z98" i="2"/>
  <c r="X98" i="2"/>
  <c r="W98" i="2"/>
  <c r="V98" i="2"/>
  <c r="U98" i="2"/>
  <c r="T98" i="2"/>
  <c r="S98" i="2"/>
  <c r="R98" i="2"/>
  <c r="Q98" i="2"/>
  <c r="P98" i="2"/>
  <c r="O98" i="2"/>
  <c r="K98" i="2"/>
  <c r="J98" i="2"/>
  <c r="I98" i="2"/>
  <c r="H98" i="2"/>
  <c r="G98" i="2"/>
  <c r="E98" i="2"/>
  <c r="AC97" i="2"/>
  <c r="AB97" i="2"/>
  <c r="AA97" i="2"/>
  <c r="Z97" i="2"/>
  <c r="X97" i="2"/>
  <c r="W97" i="2"/>
  <c r="V97" i="2"/>
  <c r="U97" i="2"/>
  <c r="T97" i="2"/>
  <c r="S97" i="2"/>
  <c r="R97" i="2"/>
  <c r="Q97" i="2"/>
  <c r="P97" i="2"/>
  <c r="O97" i="2"/>
  <c r="K97" i="2"/>
  <c r="J97" i="2"/>
  <c r="I97" i="2"/>
  <c r="H97" i="2"/>
  <c r="G97" i="2"/>
  <c r="E97" i="2"/>
  <c r="AC96" i="2"/>
  <c r="AB96" i="2"/>
  <c r="AA96" i="2"/>
  <c r="Z96" i="2"/>
  <c r="X96" i="2"/>
  <c r="W96" i="2"/>
  <c r="V96" i="2"/>
  <c r="U96" i="2"/>
  <c r="T96" i="2"/>
  <c r="S96" i="2"/>
  <c r="R96" i="2"/>
  <c r="Q96" i="2"/>
  <c r="P96" i="2"/>
  <c r="O96" i="2"/>
  <c r="K96" i="2"/>
  <c r="J96" i="2"/>
  <c r="I96" i="2"/>
  <c r="H96" i="2"/>
  <c r="G96" i="2"/>
  <c r="E96" i="2"/>
  <c r="AC95" i="2"/>
  <c r="AB95" i="2"/>
  <c r="AA95" i="2"/>
  <c r="Z95" i="2"/>
  <c r="X95" i="2"/>
  <c r="W95" i="2"/>
  <c r="V95" i="2"/>
  <c r="U95" i="2"/>
  <c r="T95" i="2"/>
  <c r="S95" i="2"/>
  <c r="R95" i="2"/>
  <c r="Q95" i="2"/>
  <c r="P95" i="2"/>
  <c r="O95" i="2"/>
  <c r="K95" i="2"/>
  <c r="J95" i="2"/>
  <c r="I95" i="2"/>
  <c r="H95" i="2"/>
  <c r="G95" i="2"/>
  <c r="E95" i="2"/>
  <c r="AC94" i="2"/>
  <c r="AB94" i="2"/>
  <c r="AA94" i="2"/>
  <c r="Z94" i="2"/>
  <c r="X94" i="2"/>
  <c r="W94" i="2"/>
  <c r="V94" i="2"/>
  <c r="U94" i="2"/>
  <c r="T94" i="2"/>
  <c r="S94" i="2"/>
  <c r="R94" i="2"/>
  <c r="Q94" i="2"/>
  <c r="P94" i="2"/>
  <c r="O94" i="2"/>
  <c r="K94" i="2"/>
  <c r="J94" i="2"/>
  <c r="I94" i="2"/>
  <c r="H94" i="2"/>
  <c r="G94" i="2"/>
  <c r="E94" i="2"/>
  <c r="AC93" i="2"/>
  <c r="AB93" i="2"/>
  <c r="AA93" i="2"/>
  <c r="Z93" i="2"/>
  <c r="X93" i="2"/>
  <c r="W93" i="2"/>
  <c r="V93" i="2"/>
  <c r="U93" i="2"/>
  <c r="T93" i="2"/>
  <c r="S93" i="2"/>
  <c r="R93" i="2"/>
  <c r="Q93" i="2"/>
  <c r="P93" i="2"/>
  <c r="O93" i="2"/>
  <c r="K93" i="2"/>
  <c r="J93" i="2"/>
  <c r="I93" i="2"/>
  <c r="H93" i="2"/>
  <c r="G93" i="2"/>
  <c r="E93" i="2"/>
  <c r="AC92" i="2"/>
  <c r="AB92" i="2"/>
  <c r="AA92" i="2"/>
  <c r="Z92" i="2"/>
  <c r="X92" i="2"/>
  <c r="W92" i="2"/>
  <c r="V92" i="2"/>
  <c r="U92" i="2"/>
  <c r="T92" i="2"/>
  <c r="S92" i="2"/>
  <c r="R92" i="2"/>
  <c r="Q92" i="2"/>
  <c r="P92" i="2"/>
  <c r="O92" i="2"/>
  <c r="K92" i="2"/>
  <c r="J92" i="2"/>
  <c r="I92" i="2"/>
  <c r="H92" i="2"/>
  <c r="G92" i="2"/>
  <c r="E92" i="2"/>
  <c r="AC91" i="2"/>
  <c r="AB91" i="2"/>
  <c r="AA91" i="2"/>
  <c r="Z91" i="2"/>
  <c r="X91" i="2"/>
  <c r="W91" i="2"/>
  <c r="V91" i="2"/>
  <c r="U91" i="2"/>
  <c r="T91" i="2"/>
  <c r="S91" i="2"/>
  <c r="R91" i="2"/>
  <c r="Q91" i="2"/>
  <c r="P91" i="2"/>
  <c r="O91" i="2"/>
  <c r="K91" i="2"/>
  <c r="J91" i="2"/>
  <c r="I91" i="2"/>
  <c r="H91" i="2"/>
  <c r="G91" i="2"/>
  <c r="E91" i="2"/>
  <c r="AC90" i="2"/>
  <c r="AB90" i="2"/>
  <c r="AA90" i="2"/>
  <c r="Z90" i="2"/>
  <c r="X90" i="2"/>
  <c r="W90" i="2"/>
  <c r="V90" i="2"/>
  <c r="U90" i="2"/>
  <c r="T90" i="2"/>
  <c r="S90" i="2"/>
  <c r="R90" i="2"/>
  <c r="Q90" i="2"/>
  <c r="P90" i="2"/>
  <c r="O90" i="2"/>
  <c r="K90" i="2"/>
  <c r="J90" i="2"/>
  <c r="I90" i="2"/>
  <c r="H90" i="2"/>
  <c r="G90" i="2"/>
  <c r="E90" i="2"/>
  <c r="AC89" i="2"/>
  <c r="AB89" i="2"/>
  <c r="AA89" i="2"/>
  <c r="Z89" i="2"/>
  <c r="X89" i="2"/>
  <c r="W89" i="2"/>
  <c r="V89" i="2"/>
  <c r="U89" i="2"/>
  <c r="T89" i="2"/>
  <c r="S89" i="2"/>
  <c r="R89" i="2"/>
  <c r="Q89" i="2"/>
  <c r="P89" i="2"/>
  <c r="O89" i="2"/>
  <c r="K89" i="2"/>
  <c r="J89" i="2"/>
  <c r="I89" i="2"/>
  <c r="H89" i="2"/>
  <c r="G89" i="2"/>
  <c r="E89" i="2"/>
  <c r="AC88" i="2"/>
  <c r="AB88" i="2"/>
  <c r="AA88" i="2"/>
  <c r="Z88" i="2"/>
  <c r="X88" i="2"/>
  <c r="W88" i="2"/>
  <c r="V88" i="2"/>
  <c r="U88" i="2"/>
  <c r="T88" i="2"/>
  <c r="S88" i="2"/>
  <c r="R88" i="2"/>
  <c r="Q88" i="2"/>
  <c r="P88" i="2"/>
  <c r="O88" i="2"/>
  <c r="K88" i="2"/>
  <c r="J88" i="2"/>
  <c r="I88" i="2"/>
  <c r="H88" i="2"/>
  <c r="G88" i="2"/>
  <c r="E88" i="2"/>
  <c r="AC87" i="2"/>
  <c r="AB87" i="2"/>
  <c r="AA87" i="2"/>
  <c r="Z87" i="2"/>
  <c r="X87" i="2"/>
  <c r="W87" i="2"/>
  <c r="V87" i="2"/>
  <c r="U87" i="2"/>
  <c r="T87" i="2"/>
  <c r="S87" i="2"/>
  <c r="R87" i="2"/>
  <c r="Q87" i="2"/>
  <c r="P87" i="2"/>
  <c r="O87" i="2"/>
  <c r="K87" i="2"/>
  <c r="J87" i="2"/>
  <c r="I87" i="2"/>
  <c r="H87" i="2"/>
  <c r="G87" i="2"/>
  <c r="E87" i="2"/>
  <c r="AC86" i="2"/>
  <c r="AB86" i="2"/>
  <c r="AA86" i="2"/>
  <c r="Z86" i="2"/>
  <c r="X86" i="2"/>
  <c r="W86" i="2"/>
  <c r="V86" i="2"/>
  <c r="U86" i="2"/>
  <c r="T86" i="2"/>
  <c r="S86" i="2"/>
  <c r="R86" i="2"/>
  <c r="Q86" i="2"/>
  <c r="P86" i="2"/>
  <c r="O86" i="2"/>
  <c r="K86" i="2"/>
  <c r="J86" i="2"/>
  <c r="I86" i="2"/>
  <c r="H86" i="2"/>
  <c r="G86" i="2"/>
  <c r="E86" i="2"/>
  <c r="AC85" i="2"/>
  <c r="AB85" i="2"/>
  <c r="AA85" i="2"/>
  <c r="Z85" i="2"/>
  <c r="X85" i="2"/>
  <c r="W85" i="2"/>
  <c r="V85" i="2"/>
  <c r="U85" i="2"/>
  <c r="T85" i="2"/>
  <c r="S85" i="2"/>
  <c r="R85" i="2"/>
  <c r="Q85" i="2"/>
  <c r="P85" i="2"/>
  <c r="O85" i="2"/>
  <c r="K85" i="2"/>
  <c r="J85" i="2"/>
  <c r="I85" i="2"/>
  <c r="H85" i="2"/>
  <c r="G85" i="2"/>
  <c r="E85" i="2"/>
  <c r="AC84" i="2"/>
  <c r="AB84" i="2"/>
  <c r="AA84" i="2"/>
  <c r="Z84" i="2"/>
  <c r="X84" i="2"/>
  <c r="W84" i="2"/>
  <c r="V84" i="2"/>
  <c r="U84" i="2"/>
  <c r="T84" i="2"/>
  <c r="S84" i="2"/>
  <c r="R84" i="2"/>
  <c r="Q84" i="2"/>
  <c r="P84" i="2"/>
  <c r="O84" i="2"/>
  <c r="K84" i="2"/>
  <c r="J84" i="2"/>
  <c r="I84" i="2"/>
  <c r="H84" i="2"/>
  <c r="G84" i="2"/>
  <c r="E84" i="2"/>
  <c r="AC83" i="2"/>
  <c r="AB83" i="2"/>
  <c r="AA83" i="2"/>
  <c r="Z83" i="2"/>
  <c r="X83" i="2"/>
  <c r="W83" i="2"/>
  <c r="V83" i="2"/>
  <c r="U83" i="2"/>
  <c r="T83" i="2"/>
  <c r="S83" i="2"/>
  <c r="R83" i="2"/>
  <c r="Q83" i="2"/>
  <c r="P83" i="2"/>
  <c r="O83" i="2"/>
  <c r="K83" i="2"/>
  <c r="J83" i="2"/>
  <c r="I83" i="2"/>
  <c r="H83" i="2"/>
  <c r="G83" i="2"/>
  <c r="E83" i="2"/>
  <c r="AC82" i="2"/>
  <c r="AB82" i="2"/>
  <c r="AA82" i="2"/>
  <c r="Z82" i="2"/>
  <c r="X82" i="2"/>
  <c r="W82" i="2"/>
  <c r="V82" i="2"/>
  <c r="U82" i="2"/>
  <c r="T82" i="2"/>
  <c r="S82" i="2"/>
  <c r="R82" i="2"/>
  <c r="Q82" i="2"/>
  <c r="P82" i="2"/>
  <c r="O82" i="2"/>
  <c r="K82" i="2"/>
  <c r="J82" i="2"/>
  <c r="I82" i="2"/>
  <c r="H82" i="2"/>
  <c r="G82" i="2"/>
  <c r="E82" i="2"/>
  <c r="AC81" i="2"/>
  <c r="AB81" i="2"/>
  <c r="AA81" i="2"/>
  <c r="Z81" i="2"/>
  <c r="X81" i="2"/>
  <c r="W81" i="2"/>
  <c r="V81" i="2"/>
  <c r="U81" i="2"/>
  <c r="T81" i="2"/>
  <c r="S81" i="2"/>
  <c r="R81" i="2"/>
  <c r="Q81" i="2"/>
  <c r="P81" i="2"/>
  <c r="O81" i="2"/>
  <c r="K81" i="2"/>
  <c r="J81" i="2"/>
  <c r="I81" i="2"/>
  <c r="H81" i="2"/>
  <c r="G81" i="2"/>
  <c r="E81" i="2"/>
  <c r="AC80" i="2"/>
  <c r="AB80" i="2"/>
  <c r="AA80" i="2"/>
  <c r="Z80" i="2"/>
  <c r="X80" i="2"/>
  <c r="W80" i="2"/>
  <c r="V80" i="2"/>
  <c r="U80" i="2"/>
  <c r="T80" i="2"/>
  <c r="S80" i="2"/>
  <c r="R80" i="2"/>
  <c r="Q80" i="2"/>
  <c r="P80" i="2"/>
  <c r="O80" i="2"/>
  <c r="K80" i="2"/>
  <c r="J80" i="2"/>
  <c r="I80" i="2"/>
  <c r="H80" i="2"/>
  <c r="G80" i="2"/>
  <c r="E80" i="2"/>
  <c r="AC79" i="2"/>
  <c r="AB79" i="2"/>
  <c r="AA79" i="2"/>
  <c r="Z79" i="2"/>
  <c r="X79" i="2"/>
  <c r="W79" i="2"/>
  <c r="V79" i="2"/>
  <c r="U79" i="2"/>
  <c r="T79" i="2"/>
  <c r="S79" i="2"/>
  <c r="R79" i="2"/>
  <c r="Q79" i="2"/>
  <c r="P79" i="2"/>
  <c r="O79" i="2"/>
  <c r="K79" i="2"/>
  <c r="J79" i="2"/>
  <c r="I79" i="2"/>
  <c r="H79" i="2"/>
  <c r="G79" i="2"/>
  <c r="E79" i="2"/>
  <c r="AC78" i="2"/>
  <c r="AB78" i="2"/>
  <c r="AA78" i="2"/>
  <c r="Z78" i="2"/>
  <c r="X78" i="2"/>
  <c r="W78" i="2"/>
  <c r="V78" i="2"/>
  <c r="U78" i="2"/>
  <c r="T78" i="2"/>
  <c r="S78" i="2"/>
  <c r="R78" i="2"/>
  <c r="Q78" i="2"/>
  <c r="P78" i="2"/>
  <c r="O78" i="2"/>
  <c r="K78" i="2"/>
  <c r="J78" i="2"/>
  <c r="I78" i="2"/>
  <c r="H78" i="2"/>
  <c r="G78" i="2"/>
  <c r="E78" i="2"/>
  <c r="AC77" i="2"/>
  <c r="AB77" i="2"/>
  <c r="AA77" i="2"/>
  <c r="Z77" i="2"/>
  <c r="X77" i="2"/>
  <c r="W77" i="2"/>
  <c r="V77" i="2"/>
  <c r="U77" i="2"/>
  <c r="T77" i="2"/>
  <c r="S77" i="2"/>
  <c r="R77" i="2"/>
  <c r="Q77" i="2"/>
  <c r="P77" i="2"/>
  <c r="O77" i="2"/>
  <c r="K77" i="2"/>
  <c r="J77" i="2"/>
  <c r="I77" i="2"/>
  <c r="H77" i="2"/>
  <c r="G77" i="2"/>
  <c r="E77" i="2"/>
  <c r="AC76" i="2"/>
  <c r="AB76" i="2"/>
  <c r="AA76" i="2"/>
  <c r="Z76" i="2"/>
  <c r="X76" i="2"/>
  <c r="W76" i="2"/>
  <c r="V76" i="2"/>
  <c r="U76" i="2"/>
  <c r="T76" i="2"/>
  <c r="S76" i="2"/>
  <c r="R76" i="2"/>
  <c r="Q76" i="2"/>
  <c r="P76" i="2"/>
  <c r="O76" i="2"/>
  <c r="K76" i="2"/>
  <c r="J76" i="2"/>
  <c r="I76" i="2"/>
  <c r="H76" i="2"/>
  <c r="G76" i="2"/>
  <c r="E76" i="2"/>
  <c r="AC75" i="2"/>
  <c r="AB75" i="2"/>
  <c r="AA75" i="2"/>
  <c r="Z75" i="2"/>
  <c r="X75" i="2"/>
  <c r="W75" i="2"/>
  <c r="V75" i="2"/>
  <c r="U75" i="2"/>
  <c r="T75" i="2"/>
  <c r="S75" i="2"/>
  <c r="R75" i="2"/>
  <c r="Q75" i="2"/>
  <c r="P75" i="2"/>
  <c r="O75" i="2"/>
  <c r="K75" i="2"/>
  <c r="J75" i="2"/>
  <c r="I75" i="2"/>
  <c r="H75" i="2"/>
  <c r="G75" i="2"/>
  <c r="E75" i="2"/>
  <c r="AC74" i="2"/>
  <c r="AB74" i="2"/>
  <c r="AA74" i="2"/>
  <c r="Z74" i="2"/>
  <c r="X74" i="2"/>
  <c r="W74" i="2"/>
  <c r="V74" i="2"/>
  <c r="U74" i="2"/>
  <c r="T74" i="2"/>
  <c r="S74" i="2"/>
  <c r="R74" i="2"/>
  <c r="Q74" i="2"/>
  <c r="P74" i="2"/>
  <c r="O74" i="2"/>
  <c r="K74" i="2"/>
  <c r="J74" i="2"/>
  <c r="I74" i="2"/>
  <c r="H74" i="2"/>
  <c r="G74" i="2"/>
  <c r="E74" i="2"/>
  <c r="AC73" i="2"/>
  <c r="AB73" i="2"/>
  <c r="AA73" i="2"/>
  <c r="Z73" i="2"/>
  <c r="X73" i="2"/>
  <c r="W73" i="2"/>
  <c r="V73" i="2"/>
  <c r="U73" i="2"/>
  <c r="T73" i="2"/>
  <c r="S73" i="2"/>
  <c r="R73" i="2"/>
  <c r="Q73" i="2"/>
  <c r="P73" i="2"/>
  <c r="O73" i="2"/>
  <c r="K73" i="2"/>
  <c r="J73" i="2"/>
  <c r="I73" i="2"/>
  <c r="H73" i="2"/>
  <c r="G73" i="2"/>
  <c r="E73" i="2"/>
  <c r="AC72" i="2"/>
  <c r="AB72" i="2"/>
  <c r="AA72" i="2"/>
  <c r="Z72" i="2"/>
  <c r="X72" i="2"/>
  <c r="W72" i="2"/>
  <c r="V72" i="2"/>
  <c r="U72" i="2"/>
  <c r="T72" i="2"/>
  <c r="S72" i="2"/>
  <c r="R72" i="2"/>
  <c r="Q72" i="2"/>
  <c r="P72" i="2"/>
  <c r="O72" i="2"/>
  <c r="K72" i="2"/>
  <c r="J72" i="2"/>
  <c r="I72" i="2"/>
  <c r="H72" i="2"/>
  <c r="G72" i="2"/>
  <c r="E72" i="2"/>
  <c r="AC71" i="2"/>
  <c r="AB71" i="2"/>
  <c r="AA71" i="2"/>
  <c r="Z71" i="2"/>
  <c r="X71" i="2"/>
  <c r="W71" i="2"/>
  <c r="V71" i="2"/>
  <c r="U71" i="2"/>
  <c r="T71" i="2"/>
  <c r="S71" i="2"/>
  <c r="R71" i="2"/>
  <c r="Q71" i="2"/>
  <c r="P71" i="2"/>
  <c r="O71" i="2"/>
  <c r="K71" i="2"/>
  <c r="J71" i="2"/>
  <c r="I71" i="2"/>
  <c r="H71" i="2"/>
  <c r="G71" i="2"/>
  <c r="E71" i="2"/>
  <c r="AC70" i="2"/>
  <c r="AB70" i="2"/>
  <c r="AA70" i="2"/>
  <c r="Z70" i="2"/>
  <c r="X70" i="2"/>
  <c r="W70" i="2"/>
  <c r="V70" i="2"/>
  <c r="U70" i="2"/>
  <c r="T70" i="2"/>
  <c r="S70" i="2"/>
  <c r="R70" i="2"/>
  <c r="Q70" i="2"/>
  <c r="P70" i="2"/>
  <c r="O70" i="2"/>
  <c r="K70" i="2"/>
  <c r="J70" i="2"/>
  <c r="I70" i="2"/>
  <c r="H70" i="2"/>
  <c r="G70" i="2"/>
  <c r="E70" i="2"/>
  <c r="AC69" i="2"/>
  <c r="AB69" i="2"/>
  <c r="AA69" i="2"/>
  <c r="Z69" i="2"/>
  <c r="X69" i="2"/>
  <c r="W69" i="2"/>
  <c r="V69" i="2"/>
  <c r="U69" i="2"/>
  <c r="T69" i="2"/>
  <c r="S69" i="2"/>
  <c r="R69" i="2"/>
  <c r="Q69" i="2"/>
  <c r="P69" i="2"/>
  <c r="O69" i="2"/>
  <c r="K69" i="2"/>
  <c r="J69" i="2"/>
  <c r="I69" i="2"/>
  <c r="H69" i="2"/>
  <c r="G69" i="2"/>
  <c r="E69" i="2"/>
  <c r="AC68" i="2"/>
  <c r="AB68" i="2"/>
  <c r="AA68" i="2"/>
  <c r="Z68" i="2"/>
  <c r="X68" i="2"/>
  <c r="W68" i="2"/>
  <c r="V68" i="2"/>
  <c r="U68" i="2"/>
  <c r="T68" i="2"/>
  <c r="S68" i="2"/>
  <c r="R68" i="2"/>
  <c r="Q68" i="2"/>
  <c r="P68" i="2"/>
  <c r="O68" i="2"/>
  <c r="K68" i="2"/>
  <c r="J68" i="2"/>
  <c r="I68" i="2"/>
  <c r="H68" i="2"/>
  <c r="G68" i="2"/>
  <c r="E68" i="2"/>
  <c r="AC67" i="2"/>
  <c r="AB67" i="2"/>
  <c r="AA67" i="2"/>
  <c r="Z67" i="2"/>
  <c r="X67" i="2"/>
  <c r="W67" i="2"/>
  <c r="V67" i="2"/>
  <c r="U67" i="2"/>
  <c r="T67" i="2"/>
  <c r="S67" i="2"/>
  <c r="R67" i="2"/>
  <c r="Q67" i="2"/>
  <c r="P67" i="2"/>
  <c r="O67" i="2"/>
  <c r="K67" i="2"/>
  <c r="J67" i="2"/>
  <c r="I67" i="2"/>
  <c r="H67" i="2"/>
  <c r="G67" i="2"/>
  <c r="E67" i="2"/>
  <c r="AC66" i="2"/>
  <c r="AB66" i="2"/>
  <c r="AA66" i="2"/>
  <c r="Z66" i="2"/>
  <c r="X66" i="2"/>
  <c r="W66" i="2"/>
  <c r="V66" i="2"/>
  <c r="U66" i="2"/>
  <c r="T66" i="2"/>
  <c r="S66" i="2"/>
  <c r="R66" i="2"/>
  <c r="Q66" i="2"/>
  <c r="P66" i="2"/>
  <c r="O66" i="2"/>
  <c r="K66" i="2"/>
  <c r="J66" i="2"/>
  <c r="I66" i="2"/>
  <c r="H66" i="2"/>
  <c r="G66" i="2"/>
  <c r="E66" i="2"/>
  <c r="AC65" i="2"/>
  <c r="AB65" i="2"/>
  <c r="AA65" i="2"/>
  <c r="Z65" i="2"/>
  <c r="X65" i="2"/>
  <c r="W65" i="2"/>
  <c r="V65" i="2"/>
  <c r="U65" i="2"/>
  <c r="T65" i="2"/>
  <c r="S65" i="2"/>
  <c r="R65" i="2"/>
  <c r="Q65" i="2"/>
  <c r="P65" i="2"/>
  <c r="O65" i="2"/>
  <c r="K65" i="2"/>
  <c r="J65" i="2"/>
  <c r="I65" i="2"/>
  <c r="H65" i="2"/>
  <c r="G65" i="2"/>
  <c r="E65" i="2"/>
  <c r="AC64" i="2"/>
  <c r="AB64" i="2"/>
  <c r="AA64" i="2"/>
  <c r="Z64" i="2"/>
  <c r="X64" i="2"/>
  <c r="W64" i="2"/>
  <c r="V64" i="2"/>
  <c r="U64" i="2"/>
  <c r="T64" i="2"/>
  <c r="S64" i="2"/>
  <c r="R64" i="2"/>
  <c r="Q64" i="2"/>
  <c r="P64" i="2"/>
  <c r="O64" i="2"/>
  <c r="K64" i="2"/>
  <c r="J64" i="2"/>
  <c r="I64" i="2"/>
  <c r="H64" i="2"/>
  <c r="G64" i="2"/>
  <c r="E64" i="2"/>
  <c r="AC63" i="2"/>
  <c r="AB63" i="2"/>
  <c r="AA63" i="2"/>
  <c r="Z63" i="2"/>
  <c r="X63" i="2"/>
  <c r="W63" i="2"/>
  <c r="V63" i="2"/>
  <c r="U63" i="2"/>
  <c r="T63" i="2"/>
  <c r="S63" i="2"/>
  <c r="R63" i="2"/>
  <c r="Q63" i="2"/>
  <c r="P63" i="2"/>
  <c r="O63" i="2"/>
  <c r="K63" i="2"/>
  <c r="J63" i="2"/>
  <c r="I63" i="2"/>
  <c r="H63" i="2"/>
  <c r="G63" i="2"/>
  <c r="E63" i="2"/>
  <c r="AC62" i="2"/>
  <c r="AB62" i="2"/>
  <c r="AA62" i="2"/>
  <c r="Z62" i="2"/>
  <c r="X62" i="2"/>
  <c r="W62" i="2"/>
  <c r="V62" i="2"/>
  <c r="U62" i="2"/>
  <c r="T62" i="2"/>
  <c r="S62" i="2"/>
  <c r="R62" i="2"/>
  <c r="Q62" i="2"/>
  <c r="P62" i="2"/>
  <c r="O62" i="2"/>
  <c r="K62" i="2"/>
  <c r="J62" i="2"/>
  <c r="I62" i="2"/>
  <c r="H62" i="2"/>
  <c r="G62" i="2"/>
  <c r="E62" i="2"/>
  <c r="AC61" i="2"/>
  <c r="AB61" i="2"/>
  <c r="AA61" i="2"/>
  <c r="Z61" i="2"/>
  <c r="X61" i="2"/>
  <c r="W61" i="2"/>
  <c r="V61" i="2"/>
  <c r="U61" i="2"/>
  <c r="T61" i="2"/>
  <c r="S61" i="2"/>
  <c r="R61" i="2"/>
  <c r="Q61" i="2"/>
  <c r="P61" i="2"/>
  <c r="O61" i="2"/>
  <c r="K61" i="2"/>
  <c r="J61" i="2"/>
  <c r="I61" i="2"/>
  <c r="H61" i="2"/>
  <c r="G61" i="2"/>
  <c r="E61" i="2"/>
  <c r="AC60" i="2"/>
  <c r="AB60" i="2"/>
  <c r="AA60" i="2"/>
  <c r="Z60" i="2"/>
  <c r="X60" i="2"/>
  <c r="W60" i="2"/>
  <c r="V60" i="2"/>
  <c r="U60" i="2"/>
  <c r="T60" i="2"/>
  <c r="S60" i="2"/>
  <c r="R60" i="2"/>
  <c r="Q60" i="2"/>
  <c r="P60" i="2"/>
  <c r="O60" i="2"/>
  <c r="K60" i="2"/>
  <c r="J60" i="2"/>
  <c r="I60" i="2"/>
  <c r="H60" i="2"/>
  <c r="G60" i="2"/>
  <c r="E60" i="2"/>
  <c r="AC59" i="2"/>
  <c r="AB59" i="2"/>
  <c r="AA59" i="2"/>
  <c r="Z59" i="2"/>
  <c r="X59" i="2"/>
  <c r="W59" i="2"/>
  <c r="V59" i="2"/>
  <c r="U59" i="2"/>
  <c r="T59" i="2"/>
  <c r="S59" i="2"/>
  <c r="R59" i="2"/>
  <c r="Q59" i="2"/>
  <c r="P59" i="2"/>
  <c r="O59" i="2"/>
  <c r="K59" i="2"/>
  <c r="J59" i="2"/>
  <c r="I59" i="2"/>
  <c r="H59" i="2"/>
  <c r="G59" i="2"/>
  <c r="E59" i="2"/>
  <c r="AC58" i="2"/>
  <c r="AB58" i="2"/>
  <c r="AA58" i="2"/>
  <c r="Z58" i="2"/>
  <c r="X58" i="2"/>
  <c r="W58" i="2"/>
  <c r="V58" i="2"/>
  <c r="U58" i="2"/>
  <c r="T58" i="2"/>
  <c r="S58" i="2"/>
  <c r="R58" i="2"/>
  <c r="Q58" i="2"/>
  <c r="P58" i="2"/>
  <c r="O58" i="2"/>
  <c r="K58" i="2"/>
  <c r="J58" i="2"/>
  <c r="I58" i="2"/>
  <c r="H58" i="2"/>
  <c r="G58" i="2"/>
  <c r="E58" i="2"/>
  <c r="AC57" i="2"/>
  <c r="AB57" i="2"/>
  <c r="AA57" i="2"/>
  <c r="Z57" i="2"/>
  <c r="X57" i="2"/>
  <c r="W57" i="2"/>
  <c r="V57" i="2"/>
  <c r="U57" i="2"/>
  <c r="T57" i="2"/>
  <c r="S57" i="2"/>
  <c r="R57" i="2"/>
  <c r="Q57" i="2"/>
  <c r="P57" i="2"/>
  <c r="O57" i="2"/>
  <c r="K57" i="2"/>
  <c r="J57" i="2"/>
  <c r="I57" i="2"/>
  <c r="H57" i="2"/>
  <c r="G57" i="2"/>
  <c r="E57" i="2"/>
  <c r="AC56" i="2"/>
  <c r="AB56" i="2"/>
  <c r="AA56" i="2"/>
  <c r="Z56" i="2"/>
  <c r="X56" i="2"/>
  <c r="W56" i="2"/>
  <c r="V56" i="2"/>
  <c r="U56" i="2"/>
  <c r="T56" i="2"/>
  <c r="S56" i="2"/>
  <c r="R56" i="2"/>
  <c r="Q56" i="2"/>
  <c r="P56" i="2"/>
  <c r="O56" i="2"/>
  <c r="K56" i="2"/>
  <c r="J56" i="2"/>
  <c r="I56" i="2"/>
  <c r="H56" i="2"/>
  <c r="G56" i="2"/>
  <c r="E56" i="2"/>
  <c r="AC55" i="2"/>
  <c r="AB55" i="2"/>
  <c r="AA55" i="2"/>
  <c r="Z55" i="2"/>
  <c r="X55" i="2"/>
  <c r="W55" i="2"/>
  <c r="V55" i="2"/>
  <c r="U55" i="2"/>
  <c r="T55" i="2"/>
  <c r="S55" i="2"/>
  <c r="R55" i="2"/>
  <c r="Q55" i="2"/>
  <c r="P55" i="2"/>
  <c r="O55" i="2"/>
  <c r="K55" i="2"/>
  <c r="J55" i="2"/>
  <c r="I55" i="2"/>
  <c r="H55" i="2"/>
  <c r="G55" i="2"/>
  <c r="E55" i="2"/>
  <c r="AC54" i="2"/>
  <c r="AB54" i="2"/>
  <c r="AA54" i="2"/>
  <c r="Z54" i="2"/>
  <c r="X54" i="2"/>
  <c r="W54" i="2"/>
  <c r="V54" i="2"/>
  <c r="U54" i="2"/>
  <c r="T54" i="2"/>
  <c r="S54" i="2"/>
  <c r="R54" i="2"/>
  <c r="Q54" i="2"/>
  <c r="P54" i="2"/>
  <c r="O54" i="2"/>
  <c r="K54" i="2"/>
  <c r="J54" i="2"/>
  <c r="I54" i="2"/>
  <c r="H54" i="2"/>
  <c r="G54" i="2"/>
  <c r="E54" i="2"/>
  <c r="AC53" i="2"/>
  <c r="AB53" i="2"/>
  <c r="AA53" i="2"/>
  <c r="Z53" i="2"/>
  <c r="X53" i="2"/>
  <c r="W53" i="2"/>
  <c r="V53" i="2"/>
  <c r="U53" i="2"/>
  <c r="T53" i="2"/>
  <c r="S53" i="2"/>
  <c r="R53" i="2"/>
  <c r="Q53" i="2"/>
  <c r="P53" i="2"/>
  <c r="O53" i="2"/>
  <c r="K53" i="2"/>
  <c r="J53" i="2"/>
  <c r="I53" i="2"/>
  <c r="H53" i="2"/>
  <c r="G53" i="2"/>
  <c r="E53" i="2"/>
  <c r="AC52" i="2"/>
  <c r="AB52" i="2"/>
  <c r="AA52" i="2"/>
  <c r="Z52" i="2"/>
  <c r="X52" i="2"/>
  <c r="W52" i="2"/>
  <c r="V52" i="2"/>
  <c r="U52" i="2"/>
  <c r="T52" i="2"/>
  <c r="S52" i="2"/>
  <c r="R52" i="2"/>
  <c r="Q52" i="2"/>
  <c r="P52" i="2"/>
  <c r="O52" i="2"/>
  <c r="K52" i="2"/>
  <c r="J52" i="2"/>
  <c r="I52" i="2"/>
  <c r="H52" i="2"/>
  <c r="G52" i="2"/>
  <c r="E52" i="2"/>
  <c r="AC51" i="2"/>
  <c r="AB51" i="2"/>
  <c r="AA51" i="2"/>
  <c r="Z51" i="2"/>
  <c r="X51" i="2"/>
  <c r="W51" i="2"/>
  <c r="V51" i="2"/>
  <c r="U51" i="2"/>
  <c r="T51" i="2"/>
  <c r="S51" i="2"/>
  <c r="R51" i="2"/>
  <c r="Q51" i="2"/>
  <c r="P51" i="2"/>
  <c r="O51" i="2"/>
  <c r="K51" i="2"/>
  <c r="J51" i="2"/>
  <c r="I51" i="2"/>
  <c r="H51" i="2"/>
  <c r="G51" i="2"/>
  <c r="E51" i="2"/>
  <c r="AC50" i="2"/>
  <c r="AB50" i="2"/>
  <c r="AA50" i="2"/>
  <c r="Z50" i="2"/>
  <c r="X50" i="2"/>
  <c r="W50" i="2"/>
  <c r="V50" i="2"/>
  <c r="U50" i="2"/>
  <c r="T50" i="2"/>
  <c r="S50" i="2"/>
  <c r="R50" i="2"/>
  <c r="Q50" i="2"/>
  <c r="P50" i="2"/>
  <c r="O50" i="2"/>
  <c r="K50" i="2"/>
  <c r="J50" i="2"/>
  <c r="I50" i="2"/>
  <c r="H50" i="2"/>
  <c r="G50" i="2"/>
  <c r="E50" i="2"/>
  <c r="AC49" i="2"/>
  <c r="AB49" i="2"/>
  <c r="AA49" i="2"/>
  <c r="Z49" i="2"/>
  <c r="X49" i="2"/>
  <c r="W49" i="2"/>
  <c r="V49" i="2"/>
  <c r="U49" i="2"/>
  <c r="T49" i="2"/>
  <c r="S49" i="2"/>
  <c r="R49" i="2"/>
  <c r="Q49" i="2"/>
  <c r="P49" i="2"/>
  <c r="O49" i="2"/>
  <c r="K49" i="2"/>
  <c r="J49" i="2"/>
  <c r="I49" i="2"/>
  <c r="H49" i="2"/>
  <c r="G49" i="2"/>
  <c r="E49" i="2"/>
  <c r="AC48" i="2"/>
  <c r="AB48" i="2"/>
  <c r="AA48" i="2"/>
  <c r="Z48" i="2"/>
  <c r="X48" i="2"/>
  <c r="W48" i="2"/>
  <c r="V48" i="2"/>
  <c r="U48" i="2"/>
  <c r="T48" i="2"/>
  <c r="S48" i="2"/>
  <c r="R48" i="2"/>
  <c r="Q48" i="2"/>
  <c r="P48" i="2"/>
  <c r="O48" i="2"/>
  <c r="K48" i="2"/>
  <c r="J48" i="2"/>
  <c r="I48" i="2"/>
  <c r="H48" i="2"/>
  <c r="G48" i="2"/>
  <c r="E48" i="2"/>
  <c r="AC47" i="2"/>
  <c r="AB47" i="2"/>
  <c r="AA47" i="2"/>
  <c r="Z47" i="2"/>
  <c r="X47" i="2"/>
  <c r="W47" i="2"/>
  <c r="V47" i="2"/>
  <c r="U47" i="2"/>
  <c r="T47" i="2"/>
  <c r="S47" i="2"/>
  <c r="R47" i="2"/>
  <c r="Q47" i="2"/>
  <c r="P47" i="2"/>
  <c r="O47" i="2"/>
  <c r="K47" i="2"/>
  <c r="J47" i="2"/>
  <c r="I47" i="2"/>
  <c r="H47" i="2"/>
  <c r="G47" i="2"/>
  <c r="E47" i="2"/>
  <c r="AC46" i="2"/>
  <c r="AB46" i="2"/>
  <c r="AA46" i="2"/>
  <c r="Z46" i="2"/>
  <c r="X46" i="2"/>
  <c r="W46" i="2"/>
  <c r="V46" i="2"/>
  <c r="U46" i="2"/>
  <c r="T46" i="2"/>
  <c r="S46" i="2"/>
  <c r="R46" i="2"/>
  <c r="Q46" i="2"/>
  <c r="P46" i="2"/>
  <c r="O46" i="2"/>
  <c r="K46" i="2"/>
  <c r="J46" i="2"/>
  <c r="I46" i="2"/>
  <c r="H46" i="2"/>
  <c r="G46" i="2"/>
  <c r="E46" i="2"/>
  <c r="AC45" i="2"/>
  <c r="AB45" i="2"/>
  <c r="AA45" i="2"/>
  <c r="Z45" i="2"/>
  <c r="X45" i="2"/>
  <c r="W45" i="2"/>
  <c r="V45" i="2"/>
  <c r="U45" i="2"/>
  <c r="T45" i="2"/>
  <c r="S45" i="2"/>
  <c r="R45" i="2"/>
  <c r="Q45" i="2"/>
  <c r="P45" i="2"/>
  <c r="O45" i="2"/>
  <c r="K45" i="2"/>
  <c r="J45" i="2"/>
  <c r="I45" i="2"/>
  <c r="H45" i="2"/>
  <c r="G45" i="2"/>
  <c r="E45" i="2"/>
  <c r="AC44" i="2"/>
  <c r="AB44" i="2"/>
  <c r="AA44" i="2"/>
  <c r="Z44" i="2"/>
  <c r="X44" i="2"/>
  <c r="W44" i="2"/>
  <c r="V44" i="2"/>
  <c r="U44" i="2"/>
  <c r="T44" i="2"/>
  <c r="S44" i="2"/>
  <c r="R44" i="2"/>
  <c r="Q44" i="2"/>
  <c r="P44" i="2"/>
  <c r="O44" i="2"/>
  <c r="K44" i="2"/>
  <c r="J44" i="2"/>
  <c r="I44" i="2"/>
  <c r="H44" i="2"/>
  <c r="G44" i="2"/>
  <c r="E44" i="2"/>
  <c r="AC43" i="2"/>
  <c r="AB43" i="2"/>
  <c r="AA43" i="2"/>
  <c r="Z43" i="2"/>
  <c r="X43" i="2"/>
  <c r="W43" i="2"/>
  <c r="V43" i="2"/>
  <c r="U43" i="2"/>
  <c r="T43" i="2"/>
  <c r="S43" i="2"/>
  <c r="R43" i="2"/>
  <c r="Q43" i="2"/>
  <c r="P43" i="2"/>
  <c r="O43" i="2"/>
  <c r="K43" i="2"/>
  <c r="J43" i="2"/>
  <c r="I43" i="2"/>
  <c r="H43" i="2"/>
  <c r="G43" i="2"/>
  <c r="E43" i="2"/>
  <c r="AC42" i="2"/>
  <c r="AB42" i="2"/>
  <c r="AA42" i="2"/>
  <c r="Z42" i="2"/>
  <c r="X42" i="2"/>
  <c r="W42" i="2"/>
  <c r="V42" i="2"/>
  <c r="U42" i="2"/>
  <c r="T42" i="2"/>
  <c r="S42" i="2"/>
  <c r="R42" i="2"/>
  <c r="Q42" i="2"/>
  <c r="P42" i="2"/>
  <c r="O42" i="2"/>
  <c r="K42" i="2"/>
  <c r="J42" i="2"/>
  <c r="I42" i="2"/>
  <c r="H42" i="2"/>
  <c r="G42" i="2"/>
  <c r="E42" i="2"/>
  <c r="AC41" i="2"/>
  <c r="AB41" i="2"/>
  <c r="AA41" i="2"/>
  <c r="Z41" i="2"/>
  <c r="X41" i="2"/>
  <c r="W41" i="2"/>
  <c r="V41" i="2"/>
  <c r="U41" i="2"/>
  <c r="T41" i="2"/>
  <c r="S41" i="2"/>
  <c r="R41" i="2"/>
  <c r="Q41" i="2"/>
  <c r="P41" i="2"/>
  <c r="O41" i="2"/>
  <c r="K41" i="2"/>
  <c r="J41" i="2"/>
  <c r="I41" i="2"/>
  <c r="H41" i="2"/>
  <c r="G41" i="2"/>
  <c r="E41" i="2"/>
  <c r="AC40" i="2"/>
  <c r="AB40" i="2"/>
  <c r="AA40" i="2"/>
  <c r="Z40" i="2"/>
  <c r="X40" i="2"/>
  <c r="W40" i="2"/>
  <c r="V40" i="2"/>
  <c r="U40" i="2"/>
  <c r="T40" i="2"/>
  <c r="S40" i="2"/>
  <c r="R40" i="2"/>
  <c r="Q40" i="2"/>
  <c r="P40" i="2"/>
  <c r="O40" i="2"/>
  <c r="K40" i="2"/>
  <c r="J40" i="2"/>
  <c r="I40" i="2"/>
  <c r="H40" i="2"/>
  <c r="G40" i="2"/>
  <c r="E40" i="2"/>
  <c r="AC39" i="2"/>
  <c r="AB39" i="2"/>
  <c r="AA39" i="2"/>
  <c r="Z39" i="2"/>
  <c r="X39" i="2"/>
  <c r="W39" i="2"/>
  <c r="V39" i="2"/>
  <c r="U39" i="2"/>
  <c r="T39" i="2"/>
  <c r="S39" i="2"/>
  <c r="R39" i="2"/>
  <c r="Q39" i="2"/>
  <c r="P39" i="2"/>
  <c r="O39" i="2"/>
  <c r="K39" i="2"/>
  <c r="J39" i="2"/>
  <c r="I39" i="2"/>
  <c r="H39" i="2"/>
  <c r="G39" i="2"/>
  <c r="E39" i="2"/>
  <c r="AC38" i="2"/>
  <c r="AB38" i="2"/>
  <c r="AA38" i="2"/>
  <c r="Z38" i="2"/>
  <c r="X38" i="2"/>
  <c r="W38" i="2"/>
  <c r="V38" i="2"/>
  <c r="U38" i="2"/>
  <c r="T38" i="2"/>
  <c r="S38" i="2"/>
  <c r="R38" i="2"/>
  <c r="Q38" i="2"/>
  <c r="P38" i="2"/>
  <c r="O38" i="2"/>
  <c r="K38" i="2"/>
  <c r="J38" i="2"/>
  <c r="I38" i="2"/>
  <c r="H38" i="2"/>
  <c r="G38" i="2"/>
  <c r="E38" i="2"/>
  <c r="AC37" i="2"/>
  <c r="AB37" i="2"/>
  <c r="AA37" i="2"/>
  <c r="Z37" i="2"/>
  <c r="X37" i="2"/>
  <c r="W37" i="2"/>
  <c r="V37" i="2"/>
  <c r="U37" i="2"/>
  <c r="T37" i="2"/>
  <c r="S37" i="2"/>
  <c r="R37" i="2"/>
  <c r="Q37" i="2"/>
  <c r="P37" i="2"/>
  <c r="O37" i="2"/>
  <c r="K37" i="2"/>
  <c r="J37" i="2"/>
  <c r="I37" i="2"/>
  <c r="H37" i="2"/>
  <c r="G37" i="2"/>
  <c r="E37" i="2"/>
  <c r="AC36" i="2"/>
  <c r="AB36" i="2"/>
  <c r="AA36" i="2"/>
  <c r="Z36" i="2"/>
  <c r="X36" i="2"/>
  <c r="W36" i="2"/>
  <c r="V36" i="2"/>
  <c r="U36" i="2"/>
  <c r="T36" i="2"/>
  <c r="S36" i="2"/>
  <c r="R36" i="2"/>
  <c r="Q36" i="2"/>
  <c r="P36" i="2"/>
  <c r="O36" i="2"/>
  <c r="K36" i="2"/>
  <c r="J36" i="2"/>
  <c r="I36" i="2"/>
  <c r="H36" i="2"/>
  <c r="G36" i="2"/>
  <c r="E36" i="2"/>
  <c r="AC35" i="2"/>
  <c r="AB35" i="2"/>
  <c r="AA35" i="2"/>
  <c r="Z35" i="2"/>
  <c r="X35" i="2"/>
  <c r="W35" i="2"/>
  <c r="V35" i="2"/>
  <c r="U35" i="2"/>
  <c r="T35" i="2"/>
  <c r="S35" i="2"/>
  <c r="R35" i="2"/>
  <c r="Q35" i="2"/>
  <c r="P35" i="2"/>
  <c r="O35" i="2"/>
  <c r="K35" i="2"/>
  <c r="J35" i="2"/>
  <c r="I35" i="2"/>
  <c r="H35" i="2"/>
  <c r="G35" i="2"/>
  <c r="E35" i="2"/>
  <c r="AC34" i="2"/>
  <c r="AB34" i="2"/>
  <c r="AA34" i="2"/>
  <c r="Z34" i="2"/>
  <c r="X34" i="2"/>
  <c r="W34" i="2"/>
  <c r="V34" i="2"/>
  <c r="U34" i="2"/>
  <c r="T34" i="2"/>
  <c r="S34" i="2"/>
  <c r="R34" i="2"/>
  <c r="Q34" i="2"/>
  <c r="P34" i="2"/>
  <c r="O34" i="2"/>
  <c r="K34" i="2"/>
  <c r="J34" i="2"/>
  <c r="I34" i="2"/>
  <c r="H34" i="2"/>
  <c r="G34" i="2"/>
  <c r="E34" i="2"/>
  <c r="AC33" i="2"/>
  <c r="AB33" i="2"/>
  <c r="AA33" i="2"/>
  <c r="Z33" i="2"/>
  <c r="X33" i="2"/>
  <c r="W33" i="2"/>
  <c r="V33" i="2"/>
  <c r="U33" i="2"/>
  <c r="T33" i="2"/>
  <c r="S33" i="2"/>
  <c r="R33" i="2"/>
  <c r="Q33" i="2"/>
  <c r="P33" i="2"/>
  <c r="O33" i="2"/>
  <c r="K33" i="2"/>
  <c r="J33" i="2"/>
  <c r="I33" i="2"/>
  <c r="H33" i="2"/>
  <c r="G33" i="2"/>
  <c r="E33" i="2"/>
  <c r="AC32" i="2"/>
  <c r="AB32" i="2"/>
  <c r="AA32" i="2"/>
  <c r="Z32" i="2"/>
  <c r="X32" i="2"/>
  <c r="W32" i="2"/>
  <c r="V32" i="2"/>
  <c r="U32" i="2"/>
  <c r="T32" i="2"/>
  <c r="S32" i="2"/>
  <c r="R32" i="2"/>
  <c r="Q32" i="2"/>
  <c r="P32" i="2"/>
  <c r="O32" i="2"/>
  <c r="K32" i="2"/>
  <c r="J32" i="2"/>
  <c r="I32" i="2"/>
  <c r="H32" i="2"/>
  <c r="G32" i="2"/>
  <c r="E32" i="2"/>
  <c r="AC31" i="2"/>
  <c r="AB31" i="2"/>
  <c r="AA31" i="2"/>
  <c r="Z31" i="2"/>
  <c r="X31" i="2"/>
  <c r="W31" i="2"/>
  <c r="V31" i="2"/>
  <c r="U31" i="2"/>
  <c r="T31" i="2"/>
  <c r="S31" i="2"/>
  <c r="R31" i="2"/>
  <c r="Q31" i="2"/>
  <c r="P31" i="2"/>
  <c r="O31" i="2"/>
  <c r="K31" i="2"/>
  <c r="J31" i="2"/>
  <c r="I31" i="2"/>
  <c r="H31" i="2"/>
  <c r="G31" i="2"/>
  <c r="E31" i="2"/>
  <c r="AC30" i="2"/>
  <c r="AB30" i="2"/>
  <c r="AA30" i="2"/>
  <c r="Z30" i="2"/>
  <c r="X30" i="2"/>
  <c r="W30" i="2"/>
  <c r="V30" i="2"/>
  <c r="U30" i="2"/>
  <c r="T30" i="2"/>
  <c r="S30" i="2"/>
  <c r="R30" i="2"/>
  <c r="Q30" i="2"/>
  <c r="P30" i="2"/>
  <c r="O30" i="2"/>
  <c r="K30" i="2"/>
  <c r="J30" i="2"/>
  <c r="I30" i="2"/>
  <c r="H30" i="2"/>
  <c r="G30" i="2"/>
  <c r="E30" i="2"/>
  <c r="AC29" i="2"/>
  <c r="AB29" i="2"/>
  <c r="AA29" i="2"/>
  <c r="Z29" i="2"/>
  <c r="X29" i="2"/>
  <c r="W29" i="2"/>
  <c r="V29" i="2"/>
  <c r="U29" i="2"/>
  <c r="T29" i="2"/>
  <c r="S29" i="2"/>
  <c r="R29" i="2"/>
  <c r="Q29" i="2"/>
  <c r="P29" i="2"/>
  <c r="O29" i="2"/>
  <c r="K29" i="2"/>
  <c r="J29" i="2"/>
  <c r="I29" i="2"/>
  <c r="H29" i="2"/>
  <c r="G29" i="2"/>
  <c r="E29" i="2"/>
  <c r="AC28" i="2"/>
  <c r="AB28" i="2"/>
  <c r="AA28" i="2"/>
  <c r="Z28" i="2"/>
  <c r="X28" i="2"/>
  <c r="W28" i="2"/>
  <c r="V28" i="2"/>
  <c r="U28" i="2"/>
  <c r="T28" i="2"/>
  <c r="S28" i="2"/>
  <c r="R28" i="2"/>
  <c r="Q28" i="2"/>
  <c r="P28" i="2"/>
  <c r="O28" i="2"/>
  <c r="K28" i="2"/>
  <c r="J28" i="2"/>
  <c r="I28" i="2"/>
  <c r="H28" i="2"/>
  <c r="G28" i="2"/>
  <c r="E28" i="2"/>
  <c r="AC27" i="2"/>
  <c r="AB27" i="2"/>
  <c r="AA27" i="2"/>
  <c r="Z27" i="2"/>
  <c r="X27" i="2"/>
  <c r="W27" i="2"/>
  <c r="V27" i="2"/>
  <c r="U27" i="2"/>
  <c r="T27" i="2"/>
  <c r="S27" i="2"/>
  <c r="R27" i="2"/>
  <c r="Q27" i="2"/>
  <c r="P27" i="2"/>
  <c r="O27" i="2"/>
  <c r="K27" i="2"/>
  <c r="J27" i="2"/>
  <c r="I27" i="2"/>
  <c r="H27" i="2"/>
  <c r="G27" i="2"/>
  <c r="E27" i="2"/>
  <c r="AC26" i="2"/>
  <c r="AB26" i="2"/>
  <c r="AA26" i="2"/>
  <c r="Z26" i="2"/>
  <c r="X26" i="2"/>
  <c r="W26" i="2"/>
  <c r="V26" i="2"/>
  <c r="U26" i="2"/>
  <c r="T26" i="2"/>
  <c r="S26" i="2"/>
  <c r="R26" i="2"/>
  <c r="Q26" i="2"/>
  <c r="P26" i="2"/>
  <c r="O26" i="2"/>
  <c r="K26" i="2"/>
  <c r="J26" i="2"/>
  <c r="I26" i="2"/>
  <c r="H26" i="2"/>
  <c r="G26" i="2"/>
  <c r="E26" i="2"/>
  <c r="AC25" i="2"/>
  <c r="AB25" i="2"/>
  <c r="AA25" i="2"/>
  <c r="Z25" i="2"/>
  <c r="X25" i="2"/>
  <c r="W25" i="2"/>
  <c r="V25" i="2"/>
  <c r="U25" i="2"/>
  <c r="T25" i="2"/>
  <c r="S25" i="2"/>
  <c r="R25" i="2"/>
  <c r="Q25" i="2"/>
  <c r="P25" i="2"/>
  <c r="O25" i="2"/>
  <c r="K25" i="2"/>
  <c r="J25" i="2"/>
  <c r="I25" i="2"/>
  <c r="H25" i="2"/>
  <c r="G25" i="2"/>
  <c r="E25" i="2"/>
  <c r="AC24" i="2"/>
  <c r="AB24" i="2"/>
  <c r="AA24" i="2"/>
  <c r="Z24" i="2"/>
  <c r="X24" i="2"/>
  <c r="W24" i="2"/>
  <c r="V24" i="2"/>
  <c r="U24" i="2"/>
  <c r="T24" i="2"/>
  <c r="S24" i="2"/>
  <c r="R24" i="2"/>
  <c r="Q24" i="2"/>
  <c r="P24" i="2"/>
  <c r="O24" i="2"/>
  <c r="K24" i="2"/>
  <c r="J24" i="2"/>
  <c r="I24" i="2"/>
  <c r="H24" i="2"/>
  <c r="G24" i="2"/>
  <c r="E24" i="2"/>
  <c r="AC23" i="2"/>
  <c r="AB23" i="2"/>
  <c r="AA23" i="2"/>
  <c r="Z23" i="2"/>
  <c r="X23" i="2"/>
  <c r="W23" i="2"/>
  <c r="V23" i="2"/>
  <c r="U23" i="2"/>
  <c r="T23" i="2"/>
  <c r="S23" i="2"/>
  <c r="R23" i="2"/>
  <c r="Q23" i="2"/>
  <c r="P23" i="2"/>
  <c r="O23" i="2"/>
  <c r="K23" i="2"/>
  <c r="J23" i="2"/>
  <c r="I23" i="2"/>
  <c r="H23" i="2"/>
  <c r="G23" i="2"/>
  <c r="E23" i="2"/>
  <c r="AC22" i="2"/>
  <c r="AB22" i="2"/>
  <c r="AA22" i="2"/>
  <c r="Z22" i="2"/>
  <c r="X22" i="2"/>
  <c r="W22" i="2"/>
  <c r="V22" i="2"/>
  <c r="U22" i="2"/>
  <c r="T22" i="2"/>
  <c r="S22" i="2"/>
  <c r="R22" i="2"/>
  <c r="Q22" i="2"/>
  <c r="P22" i="2"/>
  <c r="O22" i="2"/>
  <c r="K22" i="2"/>
  <c r="J22" i="2"/>
  <c r="I22" i="2"/>
  <c r="H22" i="2"/>
  <c r="G22" i="2"/>
  <c r="E22" i="2"/>
  <c r="AC21" i="2"/>
  <c r="AB21" i="2"/>
  <c r="AA21" i="2"/>
  <c r="Z21" i="2"/>
  <c r="X21" i="2"/>
  <c r="W21" i="2"/>
  <c r="V21" i="2"/>
  <c r="U21" i="2"/>
  <c r="T21" i="2"/>
  <c r="S21" i="2"/>
  <c r="R21" i="2"/>
  <c r="Q21" i="2"/>
  <c r="P21" i="2"/>
  <c r="O21" i="2"/>
  <c r="K21" i="2"/>
  <c r="J21" i="2"/>
  <c r="I21" i="2"/>
  <c r="H21" i="2"/>
  <c r="G21" i="2"/>
  <c r="E21" i="2"/>
  <c r="AC20" i="2"/>
  <c r="AB20" i="2"/>
  <c r="AA20" i="2"/>
  <c r="Z20" i="2"/>
  <c r="X20" i="2"/>
  <c r="W20" i="2"/>
  <c r="V20" i="2"/>
  <c r="U20" i="2"/>
  <c r="T20" i="2"/>
  <c r="S20" i="2"/>
  <c r="R20" i="2"/>
  <c r="Q20" i="2"/>
  <c r="P20" i="2"/>
  <c r="O20" i="2"/>
  <c r="K20" i="2"/>
  <c r="J20" i="2"/>
  <c r="I20" i="2"/>
  <c r="H20" i="2"/>
  <c r="G20" i="2"/>
  <c r="E20" i="2"/>
  <c r="AC19" i="2"/>
  <c r="AB19" i="2"/>
  <c r="AA19" i="2"/>
  <c r="Z19" i="2"/>
  <c r="X19" i="2"/>
  <c r="W19" i="2"/>
  <c r="V19" i="2"/>
  <c r="U19" i="2"/>
  <c r="T19" i="2"/>
  <c r="S19" i="2"/>
  <c r="R19" i="2"/>
  <c r="Q19" i="2"/>
  <c r="P19" i="2"/>
  <c r="O19" i="2"/>
  <c r="K19" i="2"/>
  <c r="J19" i="2"/>
  <c r="I19" i="2"/>
  <c r="H19" i="2"/>
  <c r="G19" i="2"/>
  <c r="E19" i="2"/>
  <c r="AC18" i="2"/>
  <c r="AB18" i="2"/>
  <c r="AA18" i="2"/>
  <c r="Z18" i="2"/>
  <c r="X18" i="2"/>
  <c r="W18" i="2"/>
  <c r="V18" i="2"/>
  <c r="U18" i="2"/>
  <c r="T18" i="2"/>
  <c r="S18" i="2"/>
  <c r="R18" i="2"/>
  <c r="Q18" i="2"/>
  <c r="P18" i="2"/>
  <c r="O18" i="2"/>
  <c r="K18" i="2"/>
  <c r="J18" i="2"/>
  <c r="I18" i="2"/>
  <c r="H18" i="2"/>
  <c r="G18" i="2"/>
  <c r="E18" i="2"/>
  <c r="AC17" i="2"/>
  <c r="AB17" i="2"/>
  <c r="AA17" i="2"/>
  <c r="Z17" i="2"/>
  <c r="X17" i="2"/>
  <c r="W17" i="2"/>
  <c r="V17" i="2"/>
  <c r="U17" i="2"/>
  <c r="T17" i="2"/>
  <c r="S17" i="2"/>
  <c r="R17" i="2"/>
  <c r="Q17" i="2"/>
  <c r="P17" i="2"/>
  <c r="O17" i="2"/>
  <c r="K17" i="2"/>
  <c r="J17" i="2"/>
  <c r="I17" i="2"/>
  <c r="H17" i="2"/>
  <c r="G17" i="2"/>
  <c r="E17" i="2"/>
  <c r="AC16" i="2"/>
  <c r="AB16" i="2"/>
  <c r="AA16" i="2"/>
  <c r="Z16" i="2"/>
  <c r="X16" i="2"/>
  <c r="W16" i="2"/>
  <c r="V16" i="2"/>
  <c r="U16" i="2"/>
  <c r="T16" i="2"/>
  <c r="S16" i="2"/>
  <c r="R16" i="2"/>
  <c r="Q16" i="2"/>
  <c r="P16" i="2"/>
  <c r="O16" i="2"/>
  <c r="K16" i="2"/>
  <c r="J16" i="2"/>
  <c r="I16" i="2"/>
  <c r="H16" i="2"/>
  <c r="G16" i="2"/>
  <c r="E16" i="2"/>
  <c r="AC15" i="2"/>
  <c r="AB15" i="2"/>
  <c r="AA15" i="2"/>
  <c r="Z15" i="2"/>
  <c r="X15" i="2"/>
  <c r="W15" i="2"/>
  <c r="V15" i="2"/>
  <c r="U15" i="2"/>
  <c r="T15" i="2"/>
  <c r="S15" i="2"/>
  <c r="R15" i="2"/>
  <c r="Q15" i="2"/>
  <c r="P15" i="2"/>
  <c r="O15" i="2"/>
  <c r="K15" i="2"/>
  <c r="J15" i="2"/>
  <c r="I15" i="2"/>
  <c r="H15" i="2"/>
  <c r="G15" i="2"/>
  <c r="E15" i="2"/>
  <c r="AC14" i="2"/>
  <c r="AB14" i="2"/>
  <c r="AA14" i="2"/>
  <c r="Z14" i="2"/>
  <c r="X14" i="2"/>
  <c r="W14" i="2"/>
  <c r="V14" i="2"/>
  <c r="U14" i="2"/>
  <c r="T14" i="2"/>
  <c r="S14" i="2"/>
  <c r="R14" i="2"/>
  <c r="Q14" i="2"/>
  <c r="P14" i="2"/>
  <c r="O14" i="2"/>
  <c r="K14" i="2"/>
  <c r="J14" i="2"/>
  <c r="I14" i="2"/>
  <c r="H14" i="2"/>
  <c r="G14" i="2"/>
  <c r="E14" i="2"/>
  <c r="AC13" i="2"/>
  <c r="AB13" i="2"/>
  <c r="AA13" i="2"/>
  <c r="Z13" i="2"/>
  <c r="X13" i="2"/>
  <c r="W13" i="2"/>
  <c r="V13" i="2"/>
  <c r="U13" i="2"/>
  <c r="T13" i="2"/>
  <c r="S13" i="2"/>
  <c r="R13" i="2"/>
  <c r="Q13" i="2"/>
  <c r="P13" i="2"/>
  <c r="O13" i="2"/>
  <c r="K13" i="2"/>
  <c r="J13" i="2"/>
  <c r="I13" i="2"/>
  <c r="H13" i="2"/>
  <c r="G13" i="2"/>
  <c r="E13" i="2"/>
  <c r="AC12" i="2"/>
  <c r="AB12" i="2"/>
  <c r="AA12" i="2"/>
  <c r="Z12" i="2"/>
  <c r="X12" i="2"/>
  <c r="W12" i="2"/>
  <c r="V12" i="2"/>
  <c r="U12" i="2"/>
  <c r="T12" i="2"/>
  <c r="S12" i="2"/>
  <c r="R12" i="2"/>
  <c r="Q12" i="2"/>
  <c r="P12" i="2"/>
  <c r="O12" i="2"/>
  <c r="K12" i="2"/>
  <c r="J12" i="2"/>
  <c r="I12" i="2"/>
  <c r="H12" i="2"/>
  <c r="G12" i="2"/>
  <c r="E12" i="2"/>
  <c r="AC11" i="2"/>
  <c r="AB11" i="2"/>
  <c r="AA11" i="2"/>
  <c r="Z11" i="2"/>
  <c r="X11" i="2"/>
  <c r="W11" i="2"/>
  <c r="V11" i="2"/>
  <c r="U11" i="2"/>
  <c r="T11" i="2"/>
  <c r="S11" i="2"/>
  <c r="R11" i="2"/>
  <c r="Q11" i="2"/>
  <c r="P11" i="2"/>
  <c r="O11" i="2"/>
  <c r="K11" i="2"/>
  <c r="J11" i="2"/>
  <c r="I11" i="2"/>
  <c r="H11" i="2"/>
  <c r="G11" i="2"/>
  <c r="E11" i="2"/>
  <c r="AC10" i="2"/>
  <c r="AB10" i="2"/>
  <c r="AA10" i="2"/>
  <c r="Z10" i="2"/>
  <c r="X10" i="2"/>
  <c r="W10" i="2"/>
  <c r="V10" i="2"/>
  <c r="U10" i="2"/>
  <c r="T10" i="2"/>
  <c r="S10" i="2"/>
  <c r="R10" i="2"/>
  <c r="Q10" i="2"/>
  <c r="P10" i="2"/>
  <c r="O10" i="2"/>
  <c r="K10" i="2"/>
  <c r="J10" i="2"/>
  <c r="I10" i="2"/>
  <c r="H10" i="2"/>
  <c r="G10" i="2"/>
  <c r="E10" i="2"/>
  <c r="AC9" i="2"/>
  <c r="AB9" i="2"/>
  <c r="AA9" i="2"/>
  <c r="Z9" i="2"/>
  <c r="X9" i="2"/>
  <c r="W9" i="2"/>
  <c r="V9" i="2"/>
  <c r="U9" i="2"/>
  <c r="T9" i="2"/>
  <c r="S9" i="2"/>
  <c r="R9" i="2"/>
  <c r="Q9" i="2"/>
  <c r="P9" i="2"/>
  <c r="O9" i="2"/>
  <c r="K9" i="2"/>
  <c r="J9" i="2"/>
  <c r="I9" i="2"/>
  <c r="H9" i="2"/>
  <c r="G9" i="2"/>
  <c r="E9" i="2"/>
  <c r="AC8" i="2"/>
  <c r="AB8" i="2"/>
  <c r="AA8" i="2"/>
  <c r="Z8" i="2"/>
  <c r="X8" i="2"/>
  <c r="W8" i="2"/>
  <c r="V8" i="2"/>
  <c r="U8" i="2"/>
  <c r="T8" i="2"/>
  <c r="S8" i="2"/>
  <c r="R8" i="2"/>
  <c r="Q8" i="2"/>
  <c r="P8" i="2"/>
  <c r="O8" i="2"/>
  <c r="K8" i="2"/>
  <c r="J8" i="2"/>
  <c r="I8" i="2"/>
  <c r="H8" i="2"/>
  <c r="G8" i="2"/>
  <c r="E8" i="2"/>
  <c r="AC7" i="2"/>
  <c r="AB7" i="2"/>
  <c r="AA7" i="2"/>
  <c r="Z7" i="2"/>
  <c r="X7" i="2"/>
  <c r="W7" i="2"/>
  <c r="V7" i="2"/>
  <c r="U7" i="2"/>
  <c r="T7" i="2"/>
  <c r="S7" i="2"/>
  <c r="R7" i="2"/>
  <c r="Q7" i="2"/>
  <c r="P7" i="2"/>
  <c r="O7" i="2"/>
  <c r="K7" i="2"/>
  <c r="J7" i="2"/>
  <c r="I7" i="2"/>
  <c r="H7" i="2"/>
  <c r="G7" i="2"/>
  <c r="E7" i="2"/>
  <c r="AC6" i="2"/>
  <c r="AB6" i="2"/>
  <c r="AA6" i="2"/>
  <c r="Z6" i="2"/>
  <c r="X6" i="2"/>
  <c r="W6" i="2"/>
  <c r="V6" i="2"/>
  <c r="U6" i="2"/>
  <c r="T6" i="2"/>
  <c r="S6" i="2"/>
  <c r="R6" i="2"/>
  <c r="Q6" i="2"/>
  <c r="P6" i="2"/>
  <c r="O6" i="2"/>
  <c r="K6" i="2"/>
  <c r="J6" i="2"/>
  <c r="I6" i="2"/>
  <c r="H6" i="2"/>
  <c r="G6" i="2"/>
  <c r="E6" i="2"/>
  <c r="AC5" i="2"/>
  <c r="AB5" i="2"/>
  <c r="AA5" i="2"/>
  <c r="Z5" i="2"/>
  <c r="X5" i="2"/>
  <c r="W5" i="2"/>
  <c r="V5" i="2"/>
  <c r="U5" i="2"/>
  <c r="T5" i="2"/>
  <c r="S5" i="2"/>
  <c r="R5" i="2"/>
  <c r="Q5" i="2"/>
  <c r="P5" i="2"/>
  <c r="O5" i="2"/>
  <c r="K5" i="2"/>
  <c r="J5" i="2"/>
  <c r="I5" i="2"/>
  <c r="H5" i="2"/>
  <c r="G5" i="2"/>
  <c r="E5" i="2"/>
  <c r="AC4" i="2"/>
  <c r="AB4" i="2"/>
  <c r="AA4" i="2"/>
  <c r="Z4" i="2"/>
  <c r="X4" i="2"/>
  <c r="W4" i="2"/>
  <c r="V4" i="2"/>
  <c r="U4" i="2"/>
  <c r="T4" i="2"/>
  <c r="S4" i="2"/>
  <c r="R4" i="2"/>
  <c r="Q4" i="2"/>
  <c r="P4" i="2"/>
  <c r="O4" i="2"/>
  <c r="K4" i="2"/>
  <c r="J4" i="2"/>
  <c r="I4" i="2"/>
  <c r="H4" i="2"/>
  <c r="G4" i="2"/>
  <c r="E4" i="2"/>
  <c r="AC3" i="2"/>
  <c r="AB3" i="2"/>
  <c r="AA3" i="2"/>
  <c r="Z3" i="2"/>
  <c r="X3" i="2"/>
  <c r="W3" i="2"/>
  <c r="V3" i="2"/>
  <c r="U3" i="2"/>
  <c r="T3" i="2"/>
  <c r="S3" i="2"/>
  <c r="R3" i="2"/>
  <c r="Q3" i="2"/>
  <c r="P3" i="2"/>
  <c r="O3" i="2"/>
  <c r="K3" i="2"/>
  <c r="J3" i="2"/>
  <c r="I3" i="2"/>
  <c r="H3" i="2"/>
  <c r="G3" i="2"/>
  <c r="E3" i="2"/>
  <c r="AC2" i="2"/>
  <c r="AB2" i="2"/>
  <c r="AA2" i="2"/>
  <c r="Z2" i="2"/>
  <c r="X2" i="2"/>
  <c r="W2" i="2"/>
  <c r="V2" i="2"/>
  <c r="U2" i="2"/>
  <c r="T2" i="2"/>
  <c r="S2" i="2"/>
  <c r="R2" i="2"/>
  <c r="Q2" i="2"/>
  <c r="P2" i="2"/>
  <c r="O2" i="2"/>
  <c r="K2" i="2"/>
  <c r="J2" i="2"/>
  <c r="I2" i="2"/>
  <c r="H2" i="2"/>
  <c r="G2" i="2"/>
  <c r="E2" i="2"/>
  <c r="AD495" i="1"/>
  <c r="AC495" i="1"/>
  <c r="AB495" i="1"/>
  <c r="AA495" i="1"/>
  <c r="Y495" i="1"/>
  <c r="X495" i="1"/>
  <c r="W495" i="1"/>
  <c r="V495" i="1"/>
  <c r="U495" i="1"/>
  <c r="T495" i="1"/>
  <c r="S495" i="1"/>
  <c r="R495" i="1"/>
  <c r="Q495" i="1"/>
  <c r="P495" i="1"/>
  <c r="L495" i="1"/>
  <c r="K495" i="1"/>
  <c r="J495" i="1"/>
  <c r="I495" i="1"/>
  <c r="H495" i="1"/>
  <c r="F495" i="1"/>
  <c r="AD494" i="1"/>
  <c r="AC494" i="1"/>
  <c r="AB494" i="1"/>
  <c r="AA494" i="1"/>
  <c r="Y494" i="1"/>
  <c r="X494" i="1"/>
  <c r="W494" i="1"/>
  <c r="V494" i="1"/>
  <c r="U494" i="1"/>
  <c r="T494" i="1"/>
  <c r="S494" i="1"/>
  <c r="R494" i="1"/>
  <c r="Q494" i="1"/>
  <c r="P494" i="1"/>
  <c r="L494" i="1"/>
  <c r="K494" i="1"/>
  <c r="J494" i="1"/>
  <c r="I494" i="1"/>
  <c r="H494" i="1"/>
  <c r="F494" i="1"/>
  <c r="AD493" i="1"/>
  <c r="AC493" i="1"/>
  <c r="AB493" i="1"/>
  <c r="AA493" i="1"/>
  <c r="Y493" i="1"/>
  <c r="X493" i="1"/>
  <c r="W493" i="1"/>
  <c r="V493" i="1"/>
  <c r="U493" i="1"/>
  <c r="T493" i="1"/>
  <c r="S493" i="1"/>
  <c r="R493" i="1"/>
  <c r="Q493" i="1"/>
  <c r="P493" i="1"/>
  <c r="L493" i="1"/>
  <c r="K493" i="1"/>
  <c r="J493" i="1"/>
  <c r="I493" i="1"/>
  <c r="H493" i="1"/>
  <c r="F493" i="1"/>
  <c r="AD492" i="1"/>
  <c r="AC492" i="1"/>
  <c r="AB492" i="1"/>
  <c r="AA492" i="1"/>
  <c r="Y492" i="1"/>
  <c r="X492" i="1"/>
  <c r="W492" i="1"/>
  <c r="V492" i="1"/>
  <c r="U492" i="1"/>
  <c r="T492" i="1"/>
  <c r="S492" i="1"/>
  <c r="R492" i="1"/>
  <c r="Q492" i="1"/>
  <c r="P492" i="1"/>
  <c r="L492" i="1"/>
  <c r="K492" i="1"/>
  <c r="J492" i="1"/>
  <c r="I492" i="1"/>
  <c r="H492" i="1"/>
  <c r="F492" i="1"/>
  <c r="AD491" i="1"/>
  <c r="AC491" i="1"/>
  <c r="AB491" i="1"/>
  <c r="AA491" i="1"/>
  <c r="Y491" i="1"/>
  <c r="X491" i="1"/>
  <c r="W491" i="1"/>
  <c r="V491" i="1"/>
  <c r="U491" i="1"/>
  <c r="T491" i="1"/>
  <c r="S491" i="1"/>
  <c r="R491" i="1"/>
  <c r="Q491" i="1"/>
  <c r="P491" i="1"/>
  <c r="L491" i="1"/>
  <c r="K491" i="1"/>
  <c r="J491" i="1"/>
  <c r="I491" i="1"/>
  <c r="H491" i="1"/>
  <c r="F491" i="1"/>
  <c r="AD490" i="1"/>
  <c r="AC490" i="1"/>
  <c r="AB490" i="1"/>
  <c r="AA490" i="1"/>
  <c r="Y490" i="1"/>
  <c r="X490" i="1"/>
  <c r="W490" i="1"/>
  <c r="V490" i="1"/>
  <c r="U490" i="1"/>
  <c r="T490" i="1"/>
  <c r="S490" i="1"/>
  <c r="R490" i="1"/>
  <c r="Q490" i="1"/>
  <c r="P490" i="1"/>
  <c r="L490" i="1"/>
  <c r="K490" i="1"/>
  <c r="J490" i="1"/>
  <c r="I490" i="1"/>
  <c r="H490" i="1"/>
  <c r="F490" i="1"/>
  <c r="AD489" i="1"/>
  <c r="AC489" i="1"/>
  <c r="AB489" i="1"/>
  <c r="AA489" i="1"/>
  <c r="Y489" i="1"/>
  <c r="X489" i="1"/>
  <c r="W489" i="1"/>
  <c r="V489" i="1"/>
  <c r="U489" i="1"/>
  <c r="T489" i="1"/>
  <c r="S489" i="1"/>
  <c r="R489" i="1"/>
  <c r="Q489" i="1"/>
  <c r="P489" i="1"/>
  <c r="L489" i="1"/>
  <c r="K489" i="1"/>
  <c r="J489" i="1"/>
  <c r="I489" i="1"/>
  <c r="H489" i="1"/>
  <c r="F489" i="1"/>
  <c r="AD488" i="1"/>
  <c r="AC488" i="1"/>
  <c r="AB488" i="1"/>
  <c r="AA488" i="1"/>
  <c r="Y488" i="1"/>
  <c r="X488" i="1"/>
  <c r="W488" i="1"/>
  <c r="V488" i="1"/>
  <c r="U488" i="1"/>
  <c r="T488" i="1"/>
  <c r="S488" i="1"/>
  <c r="R488" i="1"/>
  <c r="Q488" i="1"/>
  <c r="P488" i="1"/>
  <c r="L488" i="1"/>
  <c r="K488" i="1"/>
  <c r="J488" i="1"/>
  <c r="I488" i="1"/>
  <c r="H488" i="1"/>
  <c r="F488" i="1"/>
  <c r="AD487" i="1"/>
  <c r="AC487" i="1"/>
  <c r="AB487" i="1"/>
  <c r="AA487" i="1"/>
  <c r="Y487" i="1"/>
  <c r="X487" i="1"/>
  <c r="W487" i="1"/>
  <c r="V487" i="1"/>
  <c r="U487" i="1"/>
  <c r="T487" i="1"/>
  <c r="S487" i="1"/>
  <c r="R487" i="1"/>
  <c r="Q487" i="1"/>
  <c r="P487" i="1"/>
  <c r="L487" i="1"/>
  <c r="K487" i="1"/>
  <c r="J487" i="1"/>
  <c r="I487" i="1"/>
  <c r="H487" i="1"/>
  <c r="F487" i="1"/>
  <c r="AD486" i="1"/>
  <c r="AC486" i="1"/>
  <c r="AB486" i="1"/>
  <c r="AA486" i="1"/>
  <c r="Y486" i="1"/>
  <c r="X486" i="1"/>
  <c r="W486" i="1"/>
  <c r="V486" i="1"/>
  <c r="U486" i="1"/>
  <c r="T486" i="1"/>
  <c r="S486" i="1"/>
  <c r="R486" i="1"/>
  <c r="Q486" i="1"/>
  <c r="P486" i="1"/>
  <c r="L486" i="1"/>
  <c r="K486" i="1"/>
  <c r="J486" i="1"/>
  <c r="I486" i="1"/>
  <c r="H486" i="1"/>
  <c r="F486" i="1"/>
  <c r="AD485" i="1"/>
  <c r="AC485" i="1"/>
  <c r="AB485" i="1"/>
  <c r="AA485" i="1"/>
  <c r="Y485" i="1"/>
  <c r="X485" i="1"/>
  <c r="W485" i="1"/>
  <c r="V485" i="1"/>
  <c r="U485" i="1"/>
  <c r="T485" i="1"/>
  <c r="S485" i="1"/>
  <c r="R485" i="1"/>
  <c r="Q485" i="1"/>
  <c r="P485" i="1"/>
  <c r="L485" i="1"/>
  <c r="K485" i="1"/>
  <c r="J485" i="1"/>
  <c r="I485" i="1"/>
  <c r="H485" i="1"/>
  <c r="F485" i="1"/>
  <c r="AD484" i="1"/>
  <c r="AC484" i="1"/>
  <c r="AB484" i="1"/>
  <c r="AA484" i="1"/>
  <c r="Y484" i="1"/>
  <c r="X484" i="1"/>
  <c r="W484" i="1"/>
  <c r="V484" i="1"/>
  <c r="U484" i="1"/>
  <c r="T484" i="1"/>
  <c r="S484" i="1"/>
  <c r="R484" i="1"/>
  <c r="Q484" i="1"/>
  <c r="P484" i="1"/>
  <c r="L484" i="1"/>
  <c r="K484" i="1"/>
  <c r="J484" i="1"/>
  <c r="I484" i="1"/>
  <c r="H484" i="1"/>
  <c r="F484" i="1"/>
  <c r="AD483" i="1"/>
  <c r="AC483" i="1"/>
  <c r="AB483" i="1"/>
  <c r="AA483" i="1"/>
  <c r="Y483" i="1"/>
  <c r="X483" i="1"/>
  <c r="W483" i="1"/>
  <c r="V483" i="1"/>
  <c r="U483" i="1"/>
  <c r="T483" i="1"/>
  <c r="S483" i="1"/>
  <c r="R483" i="1"/>
  <c r="Q483" i="1"/>
  <c r="P483" i="1"/>
  <c r="L483" i="1"/>
  <c r="K483" i="1"/>
  <c r="J483" i="1"/>
  <c r="I483" i="1"/>
  <c r="H483" i="1"/>
  <c r="F483" i="1"/>
  <c r="AD482" i="1"/>
  <c r="AC482" i="1"/>
  <c r="AB482" i="1"/>
  <c r="AA482" i="1"/>
  <c r="Y482" i="1"/>
  <c r="X482" i="1"/>
  <c r="W482" i="1"/>
  <c r="V482" i="1"/>
  <c r="U482" i="1"/>
  <c r="T482" i="1"/>
  <c r="S482" i="1"/>
  <c r="R482" i="1"/>
  <c r="Q482" i="1"/>
  <c r="P482" i="1"/>
  <c r="L482" i="1"/>
  <c r="K482" i="1"/>
  <c r="J482" i="1"/>
  <c r="I482" i="1"/>
  <c r="H482" i="1"/>
  <c r="F482" i="1"/>
  <c r="AD481" i="1"/>
  <c r="AC481" i="1"/>
  <c r="AB481" i="1"/>
  <c r="AA481" i="1"/>
  <c r="Y481" i="1"/>
  <c r="X481" i="1"/>
  <c r="W481" i="1"/>
  <c r="V481" i="1"/>
  <c r="U481" i="1"/>
  <c r="T481" i="1"/>
  <c r="S481" i="1"/>
  <c r="R481" i="1"/>
  <c r="Q481" i="1"/>
  <c r="P481" i="1"/>
  <c r="L481" i="1"/>
  <c r="K481" i="1"/>
  <c r="J481" i="1"/>
  <c r="I481" i="1"/>
  <c r="H481" i="1"/>
  <c r="F481" i="1"/>
  <c r="AD480" i="1"/>
  <c r="AC480" i="1"/>
  <c r="AB480" i="1"/>
  <c r="AA480" i="1"/>
  <c r="Y480" i="1"/>
  <c r="X480" i="1"/>
  <c r="W480" i="1"/>
  <c r="V480" i="1"/>
  <c r="U480" i="1"/>
  <c r="T480" i="1"/>
  <c r="S480" i="1"/>
  <c r="R480" i="1"/>
  <c r="Q480" i="1"/>
  <c r="P480" i="1"/>
  <c r="L480" i="1"/>
  <c r="K480" i="1"/>
  <c r="J480" i="1"/>
  <c r="I480" i="1"/>
  <c r="H480" i="1"/>
  <c r="F480" i="1"/>
  <c r="AD479" i="1"/>
  <c r="AC479" i="1"/>
  <c r="AB479" i="1"/>
  <c r="AA479" i="1"/>
  <c r="Y479" i="1"/>
  <c r="X479" i="1"/>
  <c r="W479" i="1"/>
  <c r="V479" i="1"/>
  <c r="U479" i="1"/>
  <c r="T479" i="1"/>
  <c r="S479" i="1"/>
  <c r="R479" i="1"/>
  <c r="Q479" i="1"/>
  <c r="P479" i="1"/>
  <c r="L479" i="1"/>
  <c r="K479" i="1"/>
  <c r="J479" i="1"/>
  <c r="I479" i="1"/>
  <c r="H479" i="1"/>
  <c r="F479" i="1"/>
  <c r="AD478" i="1"/>
  <c r="AC478" i="1"/>
  <c r="AB478" i="1"/>
  <c r="AA478" i="1"/>
  <c r="Y478" i="1"/>
  <c r="X478" i="1"/>
  <c r="W478" i="1"/>
  <c r="V478" i="1"/>
  <c r="U478" i="1"/>
  <c r="T478" i="1"/>
  <c r="S478" i="1"/>
  <c r="R478" i="1"/>
  <c r="Q478" i="1"/>
  <c r="P478" i="1"/>
  <c r="L478" i="1"/>
  <c r="K478" i="1"/>
  <c r="J478" i="1"/>
  <c r="I478" i="1"/>
  <c r="H478" i="1"/>
  <c r="F478" i="1"/>
  <c r="AD477" i="1"/>
  <c r="AC477" i="1"/>
  <c r="AB477" i="1"/>
  <c r="AA477" i="1"/>
  <c r="Y477" i="1"/>
  <c r="X477" i="1"/>
  <c r="W477" i="1"/>
  <c r="V477" i="1"/>
  <c r="U477" i="1"/>
  <c r="T477" i="1"/>
  <c r="S477" i="1"/>
  <c r="R477" i="1"/>
  <c r="Q477" i="1"/>
  <c r="P477" i="1"/>
  <c r="L477" i="1"/>
  <c r="K477" i="1"/>
  <c r="J477" i="1"/>
  <c r="I477" i="1"/>
  <c r="H477" i="1"/>
  <c r="F477" i="1"/>
  <c r="AD476" i="1"/>
  <c r="AC476" i="1"/>
  <c r="AB476" i="1"/>
  <c r="AA476" i="1"/>
  <c r="Y476" i="1"/>
  <c r="X476" i="1"/>
  <c r="W476" i="1"/>
  <c r="V476" i="1"/>
  <c r="U476" i="1"/>
  <c r="T476" i="1"/>
  <c r="S476" i="1"/>
  <c r="R476" i="1"/>
  <c r="Q476" i="1"/>
  <c r="P476" i="1"/>
  <c r="L476" i="1"/>
  <c r="K476" i="1"/>
  <c r="J476" i="1"/>
  <c r="I476" i="1"/>
  <c r="H476" i="1"/>
  <c r="F476" i="1"/>
  <c r="AD475" i="1"/>
  <c r="AC475" i="1"/>
  <c r="AB475" i="1"/>
  <c r="AA475" i="1"/>
  <c r="Y475" i="1"/>
  <c r="X475" i="1"/>
  <c r="W475" i="1"/>
  <c r="V475" i="1"/>
  <c r="U475" i="1"/>
  <c r="T475" i="1"/>
  <c r="S475" i="1"/>
  <c r="R475" i="1"/>
  <c r="Q475" i="1"/>
  <c r="P475" i="1"/>
  <c r="L475" i="1"/>
  <c r="K475" i="1"/>
  <c r="J475" i="1"/>
  <c r="I475" i="1"/>
  <c r="H475" i="1"/>
  <c r="F475" i="1"/>
  <c r="AD474" i="1"/>
  <c r="AC474" i="1"/>
  <c r="AB474" i="1"/>
  <c r="AA474" i="1"/>
  <c r="Y474" i="1"/>
  <c r="X474" i="1"/>
  <c r="W474" i="1"/>
  <c r="V474" i="1"/>
  <c r="U474" i="1"/>
  <c r="T474" i="1"/>
  <c r="S474" i="1"/>
  <c r="R474" i="1"/>
  <c r="Q474" i="1"/>
  <c r="P474" i="1"/>
  <c r="L474" i="1"/>
  <c r="K474" i="1"/>
  <c r="J474" i="1"/>
  <c r="I474" i="1"/>
  <c r="H474" i="1"/>
  <c r="F474" i="1"/>
  <c r="AD473" i="1"/>
  <c r="AC473" i="1"/>
  <c r="AB473" i="1"/>
  <c r="AA473" i="1"/>
  <c r="Y473" i="1"/>
  <c r="X473" i="1"/>
  <c r="W473" i="1"/>
  <c r="V473" i="1"/>
  <c r="U473" i="1"/>
  <c r="T473" i="1"/>
  <c r="S473" i="1"/>
  <c r="R473" i="1"/>
  <c r="Q473" i="1"/>
  <c r="P473" i="1"/>
  <c r="L473" i="1"/>
  <c r="K473" i="1"/>
  <c r="J473" i="1"/>
  <c r="I473" i="1"/>
  <c r="H473" i="1"/>
  <c r="F473" i="1"/>
  <c r="AD472" i="1"/>
  <c r="AC472" i="1"/>
  <c r="AB472" i="1"/>
  <c r="AA472" i="1"/>
  <c r="Y472" i="1"/>
  <c r="X472" i="1"/>
  <c r="W472" i="1"/>
  <c r="V472" i="1"/>
  <c r="U472" i="1"/>
  <c r="T472" i="1"/>
  <c r="S472" i="1"/>
  <c r="R472" i="1"/>
  <c r="Q472" i="1"/>
  <c r="P472" i="1"/>
  <c r="L472" i="1"/>
  <c r="K472" i="1"/>
  <c r="J472" i="1"/>
  <c r="I472" i="1"/>
  <c r="H472" i="1"/>
  <c r="F472" i="1"/>
  <c r="AD471" i="1"/>
  <c r="AC471" i="1"/>
  <c r="AB471" i="1"/>
  <c r="AA471" i="1"/>
  <c r="Y471" i="1"/>
  <c r="X471" i="1"/>
  <c r="W471" i="1"/>
  <c r="V471" i="1"/>
  <c r="U471" i="1"/>
  <c r="T471" i="1"/>
  <c r="S471" i="1"/>
  <c r="R471" i="1"/>
  <c r="Q471" i="1"/>
  <c r="P471" i="1"/>
  <c r="L471" i="1"/>
  <c r="K471" i="1"/>
  <c r="J471" i="1"/>
  <c r="I471" i="1"/>
  <c r="H471" i="1"/>
  <c r="F471" i="1"/>
  <c r="AD470" i="1"/>
  <c r="AC470" i="1"/>
  <c r="AB470" i="1"/>
  <c r="AA470" i="1"/>
  <c r="Y470" i="1"/>
  <c r="X470" i="1"/>
  <c r="W470" i="1"/>
  <c r="V470" i="1"/>
  <c r="U470" i="1"/>
  <c r="T470" i="1"/>
  <c r="S470" i="1"/>
  <c r="R470" i="1"/>
  <c r="Q470" i="1"/>
  <c r="P470" i="1"/>
  <c r="L470" i="1"/>
  <c r="K470" i="1"/>
  <c r="J470" i="1"/>
  <c r="I470" i="1"/>
  <c r="H470" i="1"/>
  <c r="F470" i="1"/>
  <c r="AD469" i="1"/>
  <c r="AC469" i="1"/>
  <c r="AB469" i="1"/>
  <c r="AA469" i="1"/>
  <c r="Y469" i="1"/>
  <c r="X469" i="1"/>
  <c r="W469" i="1"/>
  <c r="V469" i="1"/>
  <c r="U469" i="1"/>
  <c r="T469" i="1"/>
  <c r="S469" i="1"/>
  <c r="R469" i="1"/>
  <c r="Q469" i="1"/>
  <c r="P469" i="1"/>
  <c r="L469" i="1"/>
  <c r="K469" i="1"/>
  <c r="J469" i="1"/>
  <c r="I469" i="1"/>
  <c r="H469" i="1"/>
  <c r="F469" i="1"/>
  <c r="AD468" i="1"/>
  <c r="AC468" i="1"/>
  <c r="AB468" i="1"/>
  <c r="AA468" i="1"/>
  <c r="Y468" i="1"/>
  <c r="X468" i="1"/>
  <c r="W468" i="1"/>
  <c r="V468" i="1"/>
  <c r="U468" i="1"/>
  <c r="T468" i="1"/>
  <c r="S468" i="1"/>
  <c r="R468" i="1"/>
  <c r="Q468" i="1"/>
  <c r="P468" i="1"/>
  <c r="L468" i="1"/>
  <c r="K468" i="1"/>
  <c r="J468" i="1"/>
  <c r="I468" i="1"/>
  <c r="H468" i="1"/>
  <c r="F468" i="1"/>
  <c r="AD467" i="1"/>
  <c r="AC467" i="1"/>
  <c r="AB467" i="1"/>
  <c r="AA467" i="1"/>
  <c r="Y467" i="1"/>
  <c r="X467" i="1"/>
  <c r="W467" i="1"/>
  <c r="V467" i="1"/>
  <c r="U467" i="1"/>
  <c r="T467" i="1"/>
  <c r="S467" i="1"/>
  <c r="R467" i="1"/>
  <c r="Q467" i="1"/>
  <c r="P467" i="1"/>
  <c r="L467" i="1"/>
  <c r="K467" i="1"/>
  <c r="J467" i="1"/>
  <c r="I467" i="1"/>
  <c r="H467" i="1"/>
  <c r="F467" i="1"/>
  <c r="AD466" i="1"/>
  <c r="AC466" i="1"/>
  <c r="AB466" i="1"/>
  <c r="AA466" i="1"/>
  <c r="Y466" i="1"/>
  <c r="X466" i="1"/>
  <c r="W466" i="1"/>
  <c r="V466" i="1"/>
  <c r="U466" i="1"/>
  <c r="T466" i="1"/>
  <c r="S466" i="1"/>
  <c r="R466" i="1"/>
  <c r="Q466" i="1"/>
  <c r="P466" i="1"/>
  <c r="L466" i="1"/>
  <c r="K466" i="1"/>
  <c r="J466" i="1"/>
  <c r="I466" i="1"/>
  <c r="H466" i="1"/>
  <c r="F466" i="1"/>
  <c r="AD465" i="1"/>
  <c r="AC465" i="1"/>
  <c r="AB465" i="1"/>
  <c r="AA465" i="1"/>
  <c r="Y465" i="1"/>
  <c r="X465" i="1"/>
  <c r="W465" i="1"/>
  <c r="V465" i="1"/>
  <c r="U465" i="1"/>
  <c r="T465" i="1"/>
  <c r="S465" i="1"/>
  <c r="R465" i="1"/>
  <c r="Q465" i="1"/>
  <c r="P465" i="1"/>
  <c r="L465" i="1"/>
  <c r="K465" i="1"/>
  <c r="J465" i="1"/>
  <c r="I465" i="1"/>
  <c r="H465" i="1"/>
  <c r="F465" i="1"/>
  <c r="AD464" i="1"/>
  <c r="AC464" i="1"/>
  <c r="AB464" i="1"/>
  <c r="AA464" i="1"/>
  <c r="Y464" i="1"/>
  <c r="X464" i="1"/>
  <c r="W464" i="1"/>
  <c r="V464" i="1"/>
  <c r="U464" i="1"/>
  <c r="T464" i="1"/>
  <c r="S464" i="1"/>
  <c r="R464" i="1"/>
  <c r="Q464" i="1"/>
  <c r="P464" i="1"/>
  <c r="L464" i="1"/>
  <c r="K464" i="1"/>
  <c r="J464" i="1"/>
  <c r="I464" i="1"/>
  <c r="H464" i="1"/>
  <c r="F464" i="1"/>
  <c r="AD463" i="1"/>
  <c r="AC463" i="1"/>
  <c r="AB463" i="1"/>
  <c r="AA463" i="1"/>
  <c r="Y463" i="1"/>
  <c r="X463" i="1"/>
  <c r="W463" i="1"/>
  <c r="V463" i="1"/>
  <c r="U463" i="1"/>
  <c r="T463" i="1"/>
  <c r="S463" i="1"/>
  <c r="R463" i="1"/>
  <c r="Q463" i="1"/>
  <c r="P463" i="1"/>
  <c r="L463" i="1"/>
  <c r="K463" i="1"/>
  <c r="J463" i="1"/>
  <c r="I463" i="1"/>
  <c r="H463" i="1"/>
  <c r="F463" i="1"/>
  <c r="AD462" i="1"/>
  <c r="AC462" i="1"/>
  <c r="AB462" i="1"/>
  <c r="AA462" i="1"/>
  <c r="Y462" i="1"/>
  <c r="X462" i="1"/>
  <c r="W462" i="1"/>
  <c r="V462" i="1"/>
  <c r="U462" i="1"/>
  <c r="T462" i="1"/>
  <c r="S462" i="1"/>
  <c r="R462" i="1"/>
  <c r="Q462" i="1"/>
  <c r="P462" i="1"/>
  <c r="L462" i="1"/>
  <c r="K462" i="1"/>
  <c r="J462" i="1"/>
  <c r="I462" i="1"/>
  <c r="H462" i="1"/>
  <c r="F462" i="1"/>
  <c r="AD461" i="1"/>
  <c r="AC461" i="1"/>
  <c r="AB461" i="1"/>
  <c r="AA461" i="1"/>
  <c r="Y461" i="1"/>
  <c r="X461" i="1"/>
  <c r="W461" i="1"/>
  <c r="V461" i="1"/>
  <c r="U461" i="1"/>
  <c r="T461" i="1"/>
  <c r="S461" i="1"/>
  <c r="R461" i="1"/>
  <c r="Q461" i="1"/>
  <c r="P461" i="1"/>
  <c r="L461" i="1"/>
  <c r="K461" i="1"/>
  <c r="J461" i="1"/>
  <c r="I461" i="1"/>
  <c r="H461" i="1"/>
  <c r="F461" i="1"/>
  <c r="AD460" i="1"/>
  <c r="AC460" i="1"/>
  <c r="AB460" i="1"/>
  <c r="AA460" i="1"/>
  <c r="Y460" i="1"/>
  <c r="X460" i="1"/>
  <c r="W460" i="1"/>
  <c r="V460" i="1"/>
  <c r="U460" i="1"/>
  <c r="T460" i="1"/>
  <c r="S460" i="1"/>
  <c r="R460" i="1"/>
  <c r="Q460" i="1"/>
  <c r="P460" i="1"/>
  <c r="L460" i="1"/>
  <c r="K460" i="1"/>
  <c r="J460" i="1"/>
  <c r="I460" i="1"/>
  <c r="H460" i="1"/>
  <c r="F460" i="1"/>
  <c r="AD459" i="1"/>
  <c r="AC459" i="1"/>
  <c r="AB459" i="1"/>
  <c r="AA459" i="1"/>
  <c r="Y459" i="1"/>
  <c r="X459" i="1"/>
  <c r="W459" i="1"/>
  <c r="V459" i="1"/>
  <c r="U459" i="1"/>
  <c r="T459" i="1"/>
  <c r="S459" i="1"/>
  <c r="R459" i="1"/>
  <c r="Q459" i="1"/>
  <c r="P459" i="1"/>
  <c r="L459" i="1"/>
  <c r="K459" i="1"/>
  <c r="J459" i="1"/>
  <c r="I459" i="1"/>
  <c r="H459" i="1"/>
  <c r="F459" i="1"/>
  <c r="AD458" i="1"/>
  <c r="AC458" i="1"/>
  <c r="AB458" i="1"/>
  <c r="AA458" i="1"/>
  <c r="Y458" i="1"/>
  <c r="X458" i="1"/>
  <c r="W458" i="1"/>
  <c r="V458" i="1"/>
  <c r="U458" i="1"/>
  <c r="T458" i="1"/>
  <c r="S458" i="1"/>
  <c r="R458" i="1"/>
  <c r="Q458" i="1"/>
  <c r="P458" i="1"/>
  <c r="L458" i="1"/>
  <c r="K458" i="1"/>
  <c r="J458" i="1"/>
  <c r="I458" i="1"/>
  <c r="H458" i="1"/>
  <c r="F458" i="1"/>
  <c r="AD457" i="1"/>
  <c r="AC457" i="1"/>
  <c r="AB457" i="1"/>
  <c r="AA457" i="1"/>
  <c r="Y457" i="1"/>
  <c r="X457" i="1"/>
  <c r="W457" i="1"/>
  <c r="V457" i="1"/>
  <c r="U457" i="1"/>
  <c r="T457" i="1"/>
  <c r="S457" i="1"/>
  <c r="R457" i="1"/>
  <c r="Q457" i="1"/>
  <c r="P457" i="1"/>
  <c r="L457" i="1"/>
  <c r="K457" i="1"/>
  <c r="J457" i="1"/>
  <c r="I457" i="1"/>
  <c r="H457" i="1"/>
  <c r="F457" i="1"/>
  <c r="AD456" i="1"/>
  <c r="AC456" i="1"/>
  <c r="AB456" i="1"/>
  <c r="AA456" i="1"/>
  <c r="Y456" i="1"/>
  <c r="X456" i="1"/>
  <c r="W456" i="1"/>
  <c r="V456" i="1"/>
  <c r="U456" i="1"/>
  <c r="T456" i="1"/>
  <c r="S456" i="1"/>
  <c r="R456" i="1"/>
  <c r="Q456" i="1"/>
  <c r="P456" i="1"/>
  <c r="L456" i="1"/>
  <c r="K456" i="1"/>
  <c r="J456" i="1"/>
  <c r="I456" i="1"/>
  <c r="H456" i="1"/>
  <c r="F456" i="1"/>
  <c r="AD455" i="1"/>
  <c r="AC455" i="1"/>
  <c r="AB455" i="1"/>
  <c r="AA455" i="1"/>
  <c r="Y455" i="1"/>
  <c r="X455" i="1"/>
  <c r="W455" i="1"/>
  <c r="V455" i="1"/>
  <c r="U455" i="1"/>
  <c r="T455" i="1"/>
  <c r="S455" i="1"/>
  <c r="R455" i="1"/>
  <c r="Q455" i="1"/>
  <c r="P455" i="1"/>
  <c r="L455" i="1"/>
  <c r="K455" i="1"/>
  <c r="J455" i="1"/>
  <c r="I455" i="1"/>
  <c r="H455" i="1"/>
  <c r="F455" i="1"/>
  <c r="AD454" i="1"/>
  <c r="AC454" i="1"/>
  <c r="AB454" i="1"/>
  <c r="AA454" i="1"/>
  <c r="Y454" i="1"/>
  <c r="X454" i="1"/>
  <c r="W454" i="1"/>
  <c r="V454" i="1"/>
  <c r="U454" i="1"/>
  <c r="T454" i="1"/>
  <c r="S454" i="1"/>
  <c r="R454" i="1"/>
  <c r="Q454" i="1"/>
  <c r="P454" i="1"/>
  <c r="L454" i="1"/>
  <c r="K454" i="1"/>
  <c r="J454" i="1"/>
  <c r="I454" i="1"/>
  <c r="H454" i="1"/>
  <c r="F454" i="1"/>
  <c r="AD453" i="1"/>
  <c r="AC453" i="1"/>
  <c r="AB453" i="1"/>
  <c r="AA453" i="1"/>
  <c r="Y453" i="1"/>
  <c r="X453" i="1"/>
  <c r="W453" i="1"/>
  <c r="V453" i="1"/>
  <c r="U453" i="1"/>
  <c r="T453" i="1"/>
  <c r="S453" i="1"/>
  <c r="R453" i="1"/>
  <c r="Q453" i="1"/>
  <c r="P453" i="1"/>
  <c r="L453" i="1"/>
  <c r="K453" i="1"/>
  <c r="J453" i="1"/>
  <c r="I453" i="1"/>
  <c r="H453" i="1"/>
  <c r="F453" i="1"/>
  <c r="AD452" i="1"/>
  <c r="AC452" i="1"/>
  <c r="AB452" i="1"/>
  <c r="AA452" i="1"/>
  <c r="Y452" i="1"/>
  <c r="X452" i="1"/>
  <c r="W452" i="1"/>
  <c r="V452" i="1"/>
  <c r="U452" i="1"/>
  <c r="T452" i="1"/>
  <c r="S452" i="1"/>
  <c r="R452" i="1"/>
  <c r="Q452" i="1"/>
  <c r="P452" i="1"/>
  <c r="L452" i="1"/>
  <c r="K452" i="1"/>
  <c r="J452" i="1"/>
  <c r="I452" i="1"/>
  <c r="H452" i="1"/>
  <c r="F452" i="1"/>
  <c r="AD451" i="1"/>
  <c r="AC451" i="1"/>
  <c r="AB451" i="1"/>
  <c r="AA451" i="1"/>
  <c r="Y451" i="1"/>
  <c r="X451" i="1"/>
  <c r="W451" i="1"/>
  <c r="V451" i="1"/>
  <c r="U451" i="1"/>
  <c r="T451" i="1"/>
  <c r="S451" i="1"/>
  <c r="R451" i="1"/>
  <c r="Q451" i="1"/>
  <c r="P451" i="1"/>
  <c r="L451" i="1"/>
  <c r="K451" i="1"/>
  <c r="J451" i="1"/>
  <c r="I451" i="1"/>
  <c r="H451" i="1"/>
  <c r="F451" i="1"/>
  <c r="AD450" i="1"/>
  <c r="AC450" i="1"/>
  <c r="AB450" i="1"/>
  <c r="AA450" i="1"/>
  <c r="Y450" i="1"/>
  <c r="X450" i="1"/>
  <c r="W450" i="1"/>
  <c r="V450" i="1"/>
  <c r="U450" i="1"/>
  <c r="T450" i="1"/>
  <c r="S450" i="1"/>
  <c r="R450" i="1"/>
  <c r="Q450" i="1"/>
  <c r="P450" i="1"/>
  <c r="L450" i="1"/>
  <c r="K450" i="1"/>
  <c r="J450" i="1"/>
  <c r="I450" i="1"/>
  <c r="H450" i="1"/>
  <c r="F450" i="1"/>
  <c r="AD449" i="1"/>
  <c r="AC449" i="1"/>
  <c r="AB449" i="1"/>
  <c r="AA449" i="1"/>
  <c r="Y449" i="1"/>
  <c r="X449" i="1"/>
  <c r="W449" i="1"/>
  <c r="V449" i="1"/>
  <c r="U449" i="1"/>
  <c r="T449" i="1"/>
  <c r="S449" i="1"/>
  <c r="R449" i="1"/>
  <c r="Q449" i="1"/>
  <c r="P449" i="1"/>
  <c r="L449" i="1"/>
  <c r="K449" i="1"/>
  <c r="J449" i="1"/>
  <c r="I449" i="1"/>
  <c r="H449" i="1"/>
  <c r="F449" i="1"/>
  <c r="AD448" i="1"/>
  <c r="AC448" i="1"/>
  <c r="AB448" i="1"/>
  <c r="AA448" i="1"/>
  <c r="Y448" i="1"/>
  <c r="X448" i="1"/>
  <c r="W448" i="1"/>
  <c r="V448" i="1"/>
  <c r="U448" i="1"/>
  <c r="T448" i="1"/>
  <c r="S448" i="1"/>
  <c r="R448" i="1"/>
  <c r="Q448" i="1"/>
  <c r="P448" i="1"/>
  <c r="L448" i="1"/>
  <c r="K448" i="1"/>
  <c r="J448" i="1"/>
  <c r="I448" i="1"/>
  <c r="H448" i="1"/>
  <c r="F448" i="1"/>
  <c r="AD447" i="1"/>
  <c r="AC447" i="1"/>
  <c r="AB447" i="1"/>
  <c r="AA447" i="1"/>
  <c r="Y447" i="1"/>
  <c r="X447" i="1"/>
  <c r="W447" i="1"/>
  <c r="V447" i="1"/>
  <c r="U447" i="1"/>
  <c r="T447" i="1"/>
  <c r="S447" i="1"/>
  <c r="R447" i="1"/>
  <c r="Q447" i="1"/>
  <c r="P447" i="1"/>
  <c r="L447" i="1"/>
  <c r="K447" i="1"/>
  <c r="J447" i="1"/>
  <c r="I447" i="1"/>
  <c r="H447" i="1"/>
  <c r="F447" i="1"/>
  <c r="AD446" i="1"/>
  <c r="AC446" i="1"/>
  <c r="AB446" i="1"/>
  <c r="AA446" i="1"/>
  <c r="Y446" i="1"/>
  <c r="X446" i="1"/>
  <c r="W446" i="1"/>
  <c r="V446" i="1"/>
  <c r="U446" i="1"/>
  <c r="T446" i="1"/>
  <c r="S446" i="1"/>
  <c r="R446" i="1"/>
  <c r="Q446" i="1"/>
  <c r="P446" i="1"/>
  <c r="L446" i="1"/>
  <c r="K446" i="1"/>
  <c r="J446" i="1"/>
  <c r="I446" i="1"/>
  <c r="H446" i="1"/>
  <c r="F446" i="1"/>
  <c r="AD445" i="1"/>
  <c r="AC445" i="1"/>
  <c r="AB445" i="1"/>
  <c r="AA445" i="1"/>
  <c r="Y445" i="1"/>
  <c r="X445" i="1"/>
  <c r="W445" i="1"/>
  <c r="V445" i="1"/>
  <c r="U445" i="1"/>
  <c r="T445" i="1"/>
  <c r="S445" i="1"/>
  <c r="R445" i="1"/>
  <c r="Q445" i="1"/>
  <c r="P445" i="1"/>
  <c r="L445" i="1"/>
  <c r="K445" i="1"/>
  <c r="J445" i="1"/>
  <c r="I445" i="1"/>
  <c r="H445" i="1"/>
  <c r="F445" i="1"/>
  <c r="AD444" i="1"/>
  <c r="AC444" i="1"/>
  <c r="AB444" i="1"/>
  <c r="AA444" i="1"/>
  <c r="Y444" i="1"/>
  <c r="X444" i="1"/>
  <c r="W444" i="1"/>
  <c r="V444" i="1"/>
  <c r="U444" i="1"/>
  <c r="T444" i="1"/>
  <c r="S444" i="1"/>
  <c r="R444" i="1"/>
  <c r="Q444" i="1"/>
  <c r="P444" i="1"/>
  <c r="L444" i="1"/>
  <c r="K444" i="1"/>
  <c r="J444" i="1"/>
  <c r="I444" i="1"/>
  <c r="H444" i="1"/>
  <c r="F444" i="1"/>
  <c r="AD443" i="1"/>
  <c r="AC443" i="1"/>
  <c r="AB443" i="1"/>
  <c r="AA443" i="1"/>
  <c r="Y443" i="1"/>
  <c r="X443" i="1"/>
  <c r="W443" i="1"/>
  <c r="V443" i="1"/>
  <c r="U443" i="1"/>
  <c r="T443" i="1"/>
  <c r="S443" i="1"/>
  <c r="R443" i="1"/>
  <c r="Q443" i="1"/>
  <c r="P443" i="1"/>
  <c r="L443" i="1"/>
  <c r="K443" i="1"/>
  <c r="J443" i="1"/>
  <c r="I443" i="1"/>
  <c r="H443" i="1"/>
  <c r="F443" i="1"/>
  <c r="AD442" i="1"/>
  <c r="AC442" i="1"/>
  <c r="AB442" i="1"/>
  <c r="AA442" i="1"/>
  <c r="Y442" i="1"/>
  <c r="X442" i="1"/>
  <c r="W442" i="1"/>
  <c r="V442" i="1"/>
  <c r="U442" i="1"/>
  <c r="T442" i="1"/>
  <c r="S442" i="1"/>
  <c r="R442" i="1"/>
  <c r="Q442" i="1"/>
  <c r="P442" i="1"/>
  <c r="L442" i="1"/>
  <c r="K442" i="1"/>
  <c r="J442" i="1"/>
  <c r="I442" i="1"/>
  <c r="H442" i="1"/>
  <c r="F442" i="1"/>
  <c r="AD441" i="1"/>
  <c r="AC441" i="1"/>
  <c r="AB441" i="1"/>
  <c r="AA441" i="1"/>
  <c r="Y441" i="1"/>
  <c r="X441" i="1"/>
  <c r="W441" i="1"/>
  <c r="V441" i="1"/>
  <c r="U441" i="1"/>
  <c r="T441" i="1"/>
  <c r="S441" i="1"/>
  <c r="R441" i="1"/>
  <c r="Q441" i="1"/>
  <c r="P441" i="1"/>
  <c r="L441" i="1"/>
  <c r="K441" i="1"/>
  <c r="J441" i="1"/>
  <c r="I441" i="1"/>
  <c r="H441" i="1"/>
  <c r="F441" i="1"/>
  <c r="AD440" i="1"/>
  <c r="AC440" i="1"/>
  <c r="AB440" i="1"/>
  <c r="AA440" i="1"/>
  <c r="Y440" i="1"/>
  <c r="X440" i="1"/>
  <c r="W440" i="1"/>
  <c r="V440" i="1"/>
  <c r="U440" i="1"/>
  <c r="T440" i="1"/>
  <c r="S440" i="1"/>
  <c r="R440" i="1"/>
  <c r="Q440" i="1"/>
  <c r="P440" i="1"/>
  <c r="L440" i="1"/>
  <c r="K440" i="1"/>
  <c r="J440" i="1"/>
  <c r="I440" i="1"/>
  <c r="H440" i="1"/>
  <c r="F440" i="1"/>
  <c r="AD439" i="1"/>
  <c r="AC439" i="1"/>
  <c r="AB439" i="1"/>
  <c r="AA439" i="1"/>
  <c r="Y439" i="1"/>
  <c r="X439" i="1"/>
  <c r="W439" i="1"/>
  <c r="V439" i="1"/>
  <c r="U439" i="1"/>
  <c r="T439" i="1"/>
  <c r="S439" i="1"/>
  <c r="R439" i="1"/>
  <c r="Q439" i="1"/>
  <c r="P439" i="1"/>
  <c r="L439" i="1"/>
  <c r="K439" i="1"/>
  <c r="J439" i="1"/>
  <c r="I439" i="1"/>
  <c r="H439" i="1"/>
  <c r="F439" i="1"/>
  <c r="AD438" i="1"/>
  <c r="AC438" i="1"/>
  <c r="AB438" i="1"/>
  <c r="AA438" i="1"/>
  <c r="Y438" i="1"/>
  <c r="X438" i="1"/>
  <c r="W438" i="1"/>
  <c r="V438" i="1"/>
  <c r="U438" i="1"/>
  <c r="T438" i="1"/>
  <c r="S438" i="1"/>
  <c r="R438" i="1"/>
  <c r="Q438" i="1"/>
  <c r="P438" i="1"/>
  <c r="L438" i="1"/>
  <c r="K438" i="1"/>
  <c r="J438" i="1"/>
  <c r="I438" i="1"/>
  <c r="H438" i="1"/>
  <c r="F438" i="1"/>
  <c r="AD437" i="1"/>
  <c r="AC437" i="1"/>
  <c r="AB437" i="1"/>
  <c r="AA437" i="1"/>
  <c r="Y437" i="1"/>
  <c r="X437" i="1"/>
  <c r="W437" i="1"/>
  <c r="V437" i="1"/>
  <c r="U437" i="1"/>
  <c r="T437" i="1"/>
  <c r="S437" i="1"/>
  <c r="R437" i="1"/>
  <c r="Q437" i="1"/>
  <c r="P437" i="1"/>
  <c r="L437" i="1"/>
  <c r="K437" i="1"/>
  <c r="J437" i="1"/>
  <c r="I437" i="1"/>
  <c r="H437" i="1"/>
  <c r="F437" i="1"/>
  <c r="AD436" i="1"/>
  <c r="AC436" i="1"/>
  <c r="AB436" i="1"/>
  <c r="AA436" i="1"/>
  <c r="Y436" i="1"/>
  <c r="X436" i="1"/>
  <c r="W436" i="1"/>
  <c r="V436" i="1"/>
  <c r="U436" i="1"/>
  <c r="T436" i="1"/>
  <c r="S436" i="1"/>
  <c r="R436" i="1"/>
  <c r="Q436" i="1"/>
  <c r="P436" i="1"/>
  <c r="L436" i="1"/>
  <c r="K436" i="1"/>
  <c r="J436" i="1"/>
  <c r="I436" i="1"/>
  <c r="H436" i="1"/>
  <c r="F436" i="1"/>
  <c r="AD435" i="1"/>
  <c r="AC435" i="1"/>
  <c r="AB435" i="1"/>
  <c r="AA435" i="1"/>
  <c r="Y435" i="1"/>
  <c r="X435" i="1"/>
  <c r="W435" i="1"/>
  <c r="V435" i="1"/>
  <c r="U435" i="1"/>
  <c r="T435" i="1"/>
  <c r="S435" i="1"/>
  <c r="R435" i="1"/>
  <c r="Q435" i="1"/>
  <c r="P435" i="1"/>
  <c r="L435" i="1"/>
  <c r="K435" i="1"/>
  <c r="J435" i="1"/>
  <c r="I435" i="1"/>
  <c r="H435" i="1"/>
  <c r="F435" i="1"/>
  <c r="AD434" i="1"/>
  <c r="AC434" i="1"/>
  <c r="AB434" i="1"/>
  <c r="AA434" i="1"/>
  <c r="Y434" i="1"/>
  <c r="X434" i="1"/>
  <c r="W434" i="1"/>
  <c r="V434" i="1"/>
  <c r="U434" i="1"/>
  <c r="T434" i="1"/>
  <c r="S434" i="1"/>
  <c r="R434" i="1"/>
  <c r="Q434" i="1"/>
  <c r="P434" i="1"/>
  <c r="L434" i="1"/>
  <c r="K434" i="1"/>
  <c r="J434" i="1"/>
  <c r="I434" i="1"/>
  <c r="H434" i="1"/>
  <c r="F434" i="1"/>
  <c r="AD433" i="1"/>
  <c r="AC433" i="1"/>
  <c r="AB433" i="1"/>
  <c r="AA433" i="1"/>
  <c r="Y433" i="1"/>
  <c r="X433" i="1"/>
  <c r="W433" i="1"/>
  <c r="V433" i="1"/>
  <c r="U433" i="1"/>
  <c r="T433" i="1"/>
  <c r="S433" i="1"/>
  <c r="R433" i="1"/>
  <c r="Q433" i="1"/>
  <c r="P433" i="1"/>
  <c r="L433" i="1"/>
  <c r="K433" i="1"/>
  <c r="J433" i="1"/>
  <c r="I433" i="1"/>
  <c r="H433" i="1"/>
  <c r="F433" i="1"/>
  <c r="AD432" i="1"/>
  <c r="AC432" i="1"/>
  <c r="AB432" i="1"/>
  <c r="AA432" i="1"/>
  <c r="Y432" i="1"/>
  <c r="X432" i="1"/>
  <c r="W432" i="1"/>
  <c r="V432" i="1"/>
  <c r="U432" i="1"/>
  <c r="T432" i="1"/>
  <c r="S432" i="1"/>
  <c r="R432" i="1"/>
  <c r="Q432" i="1"/>
  <c r="P432" i="1"/>
  <c r="L432" i="1"/>
  <c r="K432" i="1"/>
  <c r="J432" i="1"/>
  <c r="I432" i="1"/>
  <c r="H432" i="1"/>
  <c r="F432" i="1"/>
  <c r="AD431" i="1"/>
  <c r="AC431" i="1"/>
  <c r="AB431" i="1"/>
  <c r="AA431" i="1"/>
  <c r="Y431" i="1"/>
  <c r="X431" i="1"/>
  <c r="W431" i="1"/>
  <c r="V431" i="1"/>
  <c r="U431" i="1"/>
  <c r="T431" i="1"/>
  <c r="S431" i="1"/>
  <c r="R431" i="1"/>
  <c r="Q431" i="1"/>
  <c r="P431" i="1"/>
  <c r="L431" i="1"/>
  <c r="K431" i="1"/>
  <c r="J431" i="1"/>
  <c r="I431" i="1"/>
  <c r="H431" i="1"/>
  <c r="F431" i="1"/>
  <c r="AD430" i="1"/>
  <c r="AC430" i="1"/>
  <c r="AB430" i="1"/>
  <c r="AA430" i="1"/>
  <c r="Y430" i="1"/>
  <c r="X430" i="1"/>
  <c r="W430" i="1"/>
  <c r="V430" i="1"/>
  <c r="U430" i="1"/>
  <c r="T430" i="1"/>
  <c r="S430" i="1"/>
  <c r="R430" i="1"/>
  <c r="Q430" i="1"/>
  <c r="P430" i="1"/>
  <c r="L430" i="1"/>
  <c r="K430" i="1"/>
  <c r="J430" i="1"/>
  <c r="I430" i="1"/>
  <c r="H430" i="1"/>
  <c r="F430" i="1"/>
  <c r="AD429" i="1"/>
  <c r="AC429" i="1"/>
  <c r="AB429" i="1"/>
  <c r="AA429" i="1"/>
  <c r="Y429" i="1"/>
  <c r="X429" i="1"/>
  <c r="W429" i="1"/>
  <c r="V429" i="1"/>
  <c r="U429" i="1"/>
  <c r="T429" i="1"/>
  <c r="S429" i="1"/>
  <c r="R429" i="1"/>
  <c r="Q429" i="1"/>
  <c r="P429" i="1"/>
  <c r="L429" i="1"/>
  <c r="K429" i="1"/>
  <c r="J429" i="1"/>
  <c r="I429" i="1"/>
  <c r="H429" i="1"/>
  <c r="F429" i="1"/>
  <c r="AD428" i="1"/>
  <c r="AC428" i="1"/>
  <c r="AB428" i="1"/>
  <c r="AA428" i="1"/>
  <c r="Y428" i="1"/>
  <c r="X428" i="1"/>
  <c r="W428" i="1"/>
  <c r="V428" i="1"/>
  <c r="U428" i="1"/>
  <c r="T428" i="1"/>
  <c r="S428" i="1"/>
  <c r="R428" i="1"/>
  <c r="Q428" i="1"/>
  <c r="P428" i="1"/>
  <c r="L428" i="1"/>
  <c r="K428" i="1"/>
  <c r="J428" i="1"/>
  <c r="I428" i="1"/>
  <c r="H428" i="1"/>
  <c r="F428" i="1"/>
  <c r="AD427" i="1"/>
  <c r="AC427" i="1"/>
  <c r="AB427" i="1"/>
  <c r="AA427" i="1"/>
  <c r="Y427" i="1"/>
  <c r="X427" i="1"/>
  <c r="W427" i="1"/>
  <c r="V427" i="1"/>
  <c r="U427" i="1"/>
  <c r="T427" i="1"/>
  <c r="S427" i="1"/>
  <c r="R427" i="1"/>
  <c r="Q427" i="1"/>
  <c r="P427" i="1"/>
  <c r="L427" i="1"/>
  <c r="K427" i="1"/>
  <c r="J427" i="1"/>
  <c r="I427" i="1"/>
  <c r="H427" i="1"/>
  <c r="F427" i="1"/>
  <c r="AD426" i="1"/>
  <c r="AC426" i="1"/>
  <c r="AB426" i="1"/>
  <c r="AA426" i="1"/>
  <c r="Y426" i="1"/>
  <c r="X426" i="1"/>
  <c r="W426" i="1"/>
  <c r="V426" i="1"/>
  <c r="U426" i="1"/>
  <c r="T426" i="1"/>
  <c r="S426" i="1"/>
  <c r="R426" i="1"/>
  <c r="Q426" i="1"/>
  <c r="P426" i="1"/>
  <c r="L426" i="1"/>
  <c r="K426" i="1"/>
  <c r="J426" i="1"/>
  <c r="I426" i="1"/>
  <c r="H426" i="1"/>
  <c r="F426" i="1"/>
  <c r="AD425" i="1"/>
  <c r="AC425" i="1"/>
  <c r="AB425" i="1"/>
  <c r="AA425" i="1"/>
  <c r="Y425" i="1"/>
  <c r="X425" i="1"/>
  <c r="W425" i="1"/>
  <c r="V425" i="1"/>
  <c r="U425" i="1"/>
  <c r="T425" i="1"/>
  <c r="S425" i="1"/>
  <c r="R425" i="1"/>
  <c r="Q425" i="1"/>
  <c r="P425" i="1"/>
  <c r="L425" i="1"/>
  <c r="K425" i="1"/>
  <c r="J425" i="1"/>
  <c r="I425" i="1"/>
  <c r="H425" i="1"/>
  <c r="F425" i="1"/>
  <c r="AD424" i="1"/>
  <c r="AC424" i="1"/>
  <c r="AB424" i="1"/>
  <c r="AA424" i="1"/>
  <c r="Y424" i="1"/>
  <c r="X424" i="1"/>
  <c r="W424" i="1"/>
  <c r="V424" i="1"/>
  <c r="U424" i="1"/>
  <c r="T424" i="1"/>
  <c r="S424" i="1"/>
  <c r="R424" i="1"/>
  <c r="Q424" i="1"/>
  <c r="P424" i="1"/>
  <c r="L424" i="1"/>
  <c r="K424" i="1"/>
  <c r="J424" i="1"/>
  <c r="I424" i="1"/>
  <c r="H424" i="1"/>
  <c r="F424" i="1"/>
  <c r="AD423" i="1"/>
  <c r="AC423" i="1"/>
  <c r="AB423" i="1"/>
  <c r="AA423" i="1"/>
  <c r="Y423" i="1"/>
  <c r="X423" i="1"/>
  <c r="W423" i="1"/>
  <c r="V423" i="1"/>
  <c r="U423" i="1"/>
  <c r="T423" i="1"/>
  <c r="S423" i="1"/>
  <c r="R423" i="1"/>
  <c r="Q423" i="1"/>
  <c r="P423" i="1"/>
  <c r="L423" i="1"/>
  <c r="K423" i="1"/>
  <c r="J423" i="1"/>
  <c r="I423" i="1"/>
  <c r="H423" i="1"/>
  <c r="F423" i="1"/>
  <c r="AD422" i="1"/>
  <c r="AC422" i="1"/>
  <c r="AB422" i="1"/>
  <c r="AA422" i="1"/>
  <c r="Y422" i="1"/>
  <c r="X422" i="1"/>
  <c r="W422" i="1"/>
  <c r="V422" i="1"/>
  <c r="U422" i="1"/>
  <c r="T422" i="1"/>
  <c r="S422" i="1"/>
  <c r="R422" i="1"/>
  <c r="Q422" i="1"/>
  <c r="P422" i="1"/>
  <c r="L422" i="1"/>
  <c r="K422" i="1"/>
  <c r="J422" i="1"/>
  <c r="I422" i="1"/>
  <c r="H422" i="1"/>
  <c r="F422" i="1"/>
  <c r="AD421" i="1"/>
  <c r="AC421" i="1"/>
  <c r="AB421" i="1"/>
  <c r="AA421" i="1"/>
  <c r="Y421" i="1"/>
  <c r="X421" i="1"/>
  <c r="W421" i="1"/>
  <c r="V421" i="1"/>
  <c r="U421" i="1"/>
  <c r="T421" i="1"/>
  <c r="S421" i="1"/>
  <c r="R421" i="1"/>
  <c r="Q421" i="1"/>
  <c r="P421" i="1"/>
  <c r="L421" i="1"/>
  <c r="K421" i="1"/>
  <c r="J421" i="1"/>
  <c r="I421" i="1"/>
  <c r="H421" i="1"/>
  <c r="F421" i="1"/>
  <c r="AD420" i="1"/>
  <c r="AC420" i="1"/>
  <c r="AB420" i="1"/>
  <c r="AA420" i="1"/>
  <c r="Y420" i="1"/>
  <c r="X420" i="1"/>
  <c r="W420" i="1"/>
  <c r="V420" i="1"/>
  <c r="U420" i="1"/>
  <c r="T420" i="1"/>
  <c r="S420" i="1"/>
  <c r="R420" i="1"/>
  <c r="Q420" i="1"/>
  <c r="P420" i="1"/>
  <c r="L420" i="1"/>
  <c r="K420" i="1"/>
  <c r="J420" i="1"/>
  <c r="I420" i="1"/>
  <c r="H420" i="1"/>
  <c r="F420" i="1"/>
  <c r="AD419" i="1"/>
  <c r="AC419" i="1"/>
  <c r="AB419" i="1"/>
  <c r="AA419" i="1"/>
  <c r="Y419" i="1"/>
  <c r="X419" i="1"/>
  <c r="W419" i="1"/>
  <c r="V419" i="1"/>
  <c r="U419" i="1"/>
  <c r="T419" i="1"/>
  <c r="S419" i="1"/>
  <c r="R419" i="1"/>
  <c r="Q419" i="1"/>
  <c r="P419" i="1"/>
  <c r="L419" i="1"/>
  <c r="K419" i="1"/>
  <c r="J419" i="1"/>
  <c r="I419" i="1"/>
  <c r="H419" i="1"/>
  <c r="F419" i="1"/>
  <c r="AD418" i="1"/>
  <c r="AC418" i="1"/>
  <c r="AB418" i="1"/>
  <c r="AA418" i="1"/>
  <c r="Y418" i="1"/>
  <c r="X418" i="1"/>
  <c r="W418" i="1"/>
  <c r="V418" i="1"/>
  <c r="U418" i="1"/>
  <c r="T418" i="1"/>
  <c r="S418" i="1"/>
  <c r="R418" i="1"/>
  <c r="Q418" i="1"/>
  <c r="P418" i="1"/>
  <c r="L418" i="1"/>
  <c r="K418" i="1"/>
  <c r="J418" i="1"/>
  <c r="I418" i="1"/>
  <c r="H418" i="1"/>
  <c r="F418" i="1"/>
  <c r="AD417" i="1"/>
  <c r="AC417" i="1"/>
  <c r="AB417" i="1"/>
  <c r="AA417" i="1"/>
  <c r="Y417" i="1"/>
  <c r="X417" i="1"/>
  <c r="W417" i="1"/>
  <c r="V417" i="1"/>
  <c r="U417" i="1"/>
  <c r="T417" i="1"/>
  <c r="S417" i="1"/>
  <c r="R417" i="1"/>
  <c r="Q417" i="1"/>
  <c r="P417" i="1"/>
  <c r="L417" i="1"/>
  <c r="K417" i="1"/>
  <c r="J417" i="1"/>
  <c r="I417" i="1"/>
  <c r="H417" i="1"/>
  <c r="F417" i="1"/>
  <c r="AD416" i="1"/>
  <c r="AC416" i="1"/>
  <c r="AB416" i="1"/>
  <c r="AA416" i="1"/>
  <c r="Y416" i="1"/>
  <c r="X416" i="1"/>
  <c r="W416" i="1"/>
  <c r="V416" i="1"/>
  <c r="U416" i="1"/>
  <c r="T416" i="1"/>
  <c r="S416" i="1"/>
  <c r="R416" i="1"/>
  <c r="Q416" i="1"/>
  <c r="P416" i="1"/>
  <c r="L416" i="1"/>
  <c r="K416" i="1"/>
  <c r="J416" i="1"/>
  <c r="I416" i="1"/>
  <c r="H416" i="1"/>
  <c r="F416" i="1"/>
  <c r="AD415" i="1"/>
  <c r="AC415" i="1"/>
  <c r="AB415" i="1"/>
  <c r="AA415" i="1"/>
  <c r="Y415" i="1"/>
  <c r="X415" i="1"/>
  <c r="W415" i="1"/>
  <c r="V415" i="1"/>
  <c r="U415" i="1"/>
  <c r="T415" i="1"/>
  <c r="S415" i="1"/>
  <c r="R415" i="1"/>
  <c r="Q415" i="1"/>
  <c r="P415" i="1"/>
  <c r="L415" i="1"/>
  <c r="K415" i="1"/>
  <c r="J415" i="1"/>
  <c r="I415" i="1"/>
  <c r="H415" i="1"/>
  <c r="F415" i="1"/>
  <c r="AD414" i="1"/>
  <c r="AC414" i="1"/>
  <c r="AB414" i="1"/>
  <c r="AA414" i="1"/>
  <c r="Y414" i="1"/>
  <c r="X414" i="1"/>
  <c r="W414" i="1"/>
  <c r="V414" i="1"/>
  <c r="U414" i="1"/>
  <c r="T414" i="1"/>
  <c r="S414" i="1"/>
  <c r="R414" i="1"/>
  <c r="Q414" i="1"/>
  <c r="P414" i="1"/>
  <c r="L414" i="1"/>
  <c r="K414" i="1"/>
  <c r="J414" i="1"/>
  <c r="I414" i="1"/>
  <c r="H414" i="1"/>
  <c r="F414" i="1"/>
  <c r="AD413" i="1"/>
  <c r="AC413" i="1"/>
  <c r="AB413" i="1"/>
  <c r="AA413" i="1"/>
  <c r="Y413" i="1"/>
  <c r="X413" i="1"/>
  <c r="W413" i="1"/>
  <c r="V413" i="1"/>
  <c r="U413" i="1"/>
  <c r="T413" i="1"/>
  <c r="S413" i="1"/>
  <c r="R413" i="1"/>
  <c r="Q413" i="1"/>
  <c r="P413" i="1"/>
  <c r="L413" i="1"/>
  <c r="K413" i="1"/>
  <c r="J413" i="1"/>
  <c r="I413" i="1"/>
  <c r="H413" i="1"/>
  <c r="F413" i="1"/>
  <c r="AD412" i="1"/>
  <c r="AC412" i="1"/>
  <c r="AB412" i="1"/>
  <c r="AA412" i="1"/>
  <c r="Y412" i="1"/>
  <c r="X412" i="1"/>
  <c r="W412" i="1"/>
  <c r="V412" i="1"/>
  <c r="U412" i="1"/>
  <c r="T412" i="1"/>
  <c r="S412" i="1"/>
  <c r="R412" i="1"/>
  <c r="Q412" i="1"/>
  <c r="P412" i="1"/>
  <c r="L412" i="1"/>
  <c r="K412" i="1"/>
  <c r="J412" i="1"/>
  <c r="I412" i="1"/>
  <c r="H412" i="1"/>
  <c r="F412" i="1"/>
  <c r="AD411" i="1"/>
  <c r="AC411" i="1"/>
  <c r="AB411" i="1"/>
  <c r="AA411" i="1"/>
  <c r="Y411" i="1"/>
  <c r="X411" i="1"/>
  <c r="W411" i="1"/>
  <c r="V411" i="1"/>
  <c r="U411" i="1"/>
  <c r="T411" i="1"/>
  <c r="S411" i="1"/>
  <c r="R411" i="1"/>
  <c r="Q411" i="1"/>
  <c r="P411" i="1"/>
  <c r="L411" i="1"/>
  <c r="K411" i="1"/>
  <c r="J411" i="1"/>
  <c r="I411" i="1"/>
  <c r="H411" i="1"/>
  <c r="F411" i="1"/>
  <c r="AD410" i="1"/>
  <c r="AC410" i="1"/>
  <c r="AB410" i="1"/>
  <c r="AA410" i="1"/>
  <c r="Y410" i="1"/>
  <c r="X410" i="1"/>
  <c r="W410" i="1"/>
  <c r="V410" i="1"/>
  <c r="U410" i="1"/>
  <c r="T410" i="1"/>
  <c r="S410" i="1"/>
  <c r="R410" i="1"/>
  <c r="Q410" i="1"/>
  <c r="P410" i="1"/>
  <c r="L410" i="1"/>
  <c r="K410" i="1"/>
  <c r="J410" i="1"/>
  <c r="I410" i="1"/>
  <c r="H410" i="1"/>
  <c r="F410" i="1"/>
  <c r="AD409" i="1"/>
  <c r="AC409" i="1"/>
  <c r="AB409" i="1"/>
  <c r="AA409" i="1"/>
  <c r="Y409" i="1"/>
  <c r="X409" i="1"/>
  <c r="W409" i="1"/>
  <c r="V409" i="1"/>
  <c r="U409" i="1"/>
  <c r="T409" i="1"/>
  <c r="S409" i="1"/>
  <c r="R409" i="1"/>
  <c r="Q409" i="1"/>
  <c r="P409" i="1"/>
  <c r="L409" i="1"/>
  <c r="K409" i="1"/>
  <c r="J409" i="1"/>
  <c r="I409" i="1"/>
  <c r="H409" i="1"/>
  <c r="F409" i="1"/>
  <c r="AD408" i="1"/>
  <c r="AC408" i="1"/>
  <c r="AB408" i="1"/>
  <c r="AA408" i="1"/>
  <c r="Y408" i="1"/>
  <c r="X408" i="1"/>
  <c r="W408" i="1"/>
  <c r="V408" i="1"/>
  <c r="U408" i="1"/>
  <c r="T408" i="1"/>
  <c r="S408" i="1"/>
  <c r="R408" i="1"/>
  <c r="Q408" i="1"/>
  <c r="P408" i="1"/>
  <c r="L408" i="1"/>
  <c r="K408" i="1"/>
  <c r="J408" i="1"/>
  <c r="I408" i="1"/>
  <c r="H408" i="1"/>
  <c r="F408" i="1"/>
  <c r="AD407" i="1"/>
  <c r="AC407" i="1"/>
  <c r="AB407" i="1"/>
  <c r="AA407" i="1"/>
  <c r="Y407" i="1"/>
  <c r="X407" i="1"/>
  <c r="W407" i="1"/>
  <c r="V407" i="1"/>
  <c r="U407" i="1"/>
  <c r="T407" i="1"/>
  <c r="S407" i="1"/>
  <c r="R407" i="1"/>
  <c r="Q407" i="1"/>
  <c r="P407" i="1"/>
  <c r="L407" i="1"/>
  <c r="K407" i="1"/>
  <c r="J407" i="1"/>
  <c r="I407" i="1"/>
  <c r="H407" i="1"/>
  <c r="F407" i="1"/>
  <c r="AD406" i="1"/>
  <c r="AC406" i="1"/>
  <c r="AB406" i="1"/>
  <c r="AA406" i="1"/>
  <c r="Y406" i="1"/>
  <c r="X406" i="1"/>
  <c r="W406" i="1"/>
  <c r="V406" i="1"/>
  <c r="U406" i="1"/>
  <c r="T406" i="1"/>
  <c r="S406" i="1"/>
  <c r="R406" i="1"/>
  <c r="Q406" i="1"/>
  <c r="P406" i="1"/>
  <c r="L406" i="1"/>
  <c r="K406" i="1"/>
  <c r="J406" i="1"/>
  <c r="I406" i="1"/>
  <c r="H406" i="1"/>
  <c r="F406" i="1"/>
  <c r="AD405" i="1"/>
  <c r="AC405" i="1"/>
  <c r="AB405" i="1"/>
  <c r="AA405" i="1"/>
  <c r="Y405" i="1"/>
  <c r="X405" i="1"/>
  <c r="W405" i="1"/>
  <c r="V405" i="1"/>
  <c r="U405" i="1"/>
  <c r="T405" i="1"/>
  <c r="S405" i="1"/>
  <c r="R405" i="1"/>
  <c r="Q405" i="1"/>
  <c r="P405" i="1"/>
  <c r="L405" i="1"/>
  <c r="K405" i="1"/>
  <c r="J405" i="1"/>
  <c r="I405" i="1"/>
  <c r="H405" i="1"/>
  <c r="F405" i="1"/>
  <c r="AD404" i="1"/>
  <c r="AC404" i="1"/>
  <c r="AB404" i="1"/>
  <c r="AA404" i="1"/>
  <c r="Y404" i="1"/>
  <c r="X404" i="1"/>
  <c r="W404" i="1"/>
  <c r="V404" i="1"/>
  <c r="U404" i="1"/>
  <c r="T404" i="1"/>
  <c r="S404" i="1"/>
  <c r="R404" i="1"/>
  <c r="Q404" i="1"/>
  <c r="P404" i="1"/>
  <c r="L404" i="1"/>
  <c r="K404" i="1"/>
  <c r="J404" i="1"/>
  <c r="I404" i="1"/>
  <c r="H404" i="1"/>
  <c r="F404" i="1"/>
  <c r="AD403" i="1"/>
  <c r="AC403" i="1"/>
  <c r="AB403" i="1"/>
  <c r="AA403" i="1"/>
  <c r="Y403" i="1"/>
  <c r="X403" i="1"/>
  <c r="W403" i="1"/>
  <c r="V403" i="1"/>
  <c r="U403" i="1"/>
  <c r="T403" i="1"/>
  <c r="S403" i="1"/>
  <c r="R403" i="1"/>
  <c r="Q403" i="1"/>
  <c r="P403" i="1"/>
  <c r="L403" i="1"/>
  <c r="K403" i="1"/>
  <c r="J403" i="1"/>
  <c r="I403" i="1"/>
  <c r="H403" i="1"/>
  <c r="F403" i="1"/>
  <c r="AD402" i="1"/>
  <c r="AC402" i="1"/>
  <c r="AB402" i="1"/>
  <c r="AA402" i="1"/>
  <c r="Y402" i="1"/>
  <c r="X402" i="1"/>
  <c r="W402" i="1"/>
  <c r="V402" i="1"/>
  <c r="U402" i="1"/>
  <c r="T402" i="1"/>
  <c r="S402" i="1"/>
  <c r="R402" i="1"/>
  <c r="Q402" i="1"/>
  <c r="P402" i="1"/>
  <c r="L402" i="1"/>
  <c r="K402" i="1"/>
  <c r="J402" i="1"/>
  <c r="I402" i="1"/>
  <c r="H402" i="1"/>
  <c r="F402" i="1"/>
  <c r="AD401" i="1"/>
  <c r="AC401" i="1"/>
  <c r="AB401" i="1"/>
  <c r="AA401" i="1"/>
  <c r="Y401" i="1"/>
  <c r="X401" i="1"/>
  <c r="W401" i="1"/>
  <c r="V401" i="1"/>
  <c r="U401" i="1"/>
  <c r="T401" i="1"/>
  <c r="S401" i="1"/>
  <c r="R401" i="1"/>
  <c r="Q401" i="1"/>
  <c r="P401" i="1"/>
  <c r="L401" i="1"/>
  <c r="K401" i="1"/>
  <c r="J401" i="1"/>
  <c r="I401" i="1"/>
  <c r="H401" i="1"/>
  <c r="F401" i="1"/>
  <c r="AD400" i="1"/>
  <c r="AC400" i="1"/>
  <c r="AB400" i="1"/>
  <c r="AA400" i="1"/>
  <c r="Y400" i="1"/>
  <c r="X400" i="1"/>
  <c r="W400" i="1"/>
  <c r="V400" i="1"/>
  <c r="U400" i="1"/>
  <c r="T400" i="1"/>
  <c r="S400" i="1"/>
  <c r="R400" i="1"/>
  <c r="Q400" i="1"/>
  <c r="P400" i="1"/>
  <c r="L400" i="1"/>
  <c r="K400" i="1"/>
  <c r="J400" i="1"/>
  <c r="I400" i="1"/>
  <c r="H400" i="1"/>
  <c r="F400" i="1"/>
  <c r="AD399" i="1"/>
  <c r="AC399" i="1"/>
  <c r="AB399" i="1"/>
  <c r="AA399" i="1"/>
  <c r="Y399" i="1"/>
  <c r="X399" i="1"/>
  <c r="W399" i="1"/>
  <c r="V399" i="1"/>
  <c r="U399" i="1"/>
  <c r="T399" i="1"/>
  <c r="S399" i="1"/>
  <c r="R399" i="1"/>
  <c r="Q399" i="1"/>
  <c r="P399" i="1"/>
  <c r="L399" i="1"/>
  <c r="K399" i="1"/>
  <c r="J399" i="1"/>
  <c r="I399" i="1"/>
  <c r="H399" i="1"/>
  <c r="F399" i="1"/>
  <c r="AD398" i="1"/>
  <c r="AC398" i="1"/>
  <c r="AB398" i="1"/>
  <c r="AA398" i="1"/>
  <c r="Y398" i="1"/>
  <c r="X398" i="1"/>
  <c r="W398" i="1"/>
  <c r="V398" i="1"/>
  <c r="U398" i="1"/>
  <c r="T398" i="1"/>
  <c r="S398" i="1"/>
  <c r="R398" i="1"/>
  <c r="Q398" i="1"/>
  <c r="P398" i="1"/>
  <c r="L398" i="1"/>
  <c r="K398" i="1"/>
  <c r="J398" i="1"/>
  <c r="I398" i="1"/>
  <c r="H398" i="1"/>
  <c r="F398" i="1"/>
  <c r="AD397" i="1"/>
  <c r="AC397" i="1"/>
  <c r="AB397" i="1"/>
  <c r="AA397" i="1"/>
  <c r="Y397" i="1"/>
  <c r="X397" i="1"/>
  <c r="W397" i="1"/>
  <c r="V397" i="1"/>
  <c r="U397" i="1"/>
  <c r="T397" i="1"/>
  <c r="S397" i="1"/>
  <c r="R397" i="1"/>
  <c r="Q397" i="1"/>
  <c r="P397" i="1"/>
  <c r="L397" i="1"/>
  <c r="K397" i="1"/>
  <c r="J397" i="1"/>
  <c r="I397" i="1"/>
  <c r="H397" i="1"/>
  <c r="F397" i="1"/>
  <c r="AD396" i="1"/>
  <c r="AC396" i="1"/>
  <c r="AB396" i="1"/>
  <c r="AA396" i="1"/>
  <c r="Y396" i="1"/>
  <c r="X396" i="1"/>
  <c r="W396" i="1"/>
  <c r="V396" i="1"/>
  <c r="U396" i="1"/>
  <c r="T396" i="1"/>
  <c r="S396" i="1"/>
  <c r="R396" i="1"/>
  <c r="Q396" i="1"/>
  <c r="P396" i="1"/>
  <c r="L396" i="1"/>
  <c r="K396" i="1"/>
  <c r="J396" i="1"/>
  <c r="I396" i="1"/>
  <c r="H396" i="1"/>
  <c r="F396" i="1"/>
  <c r="AD395" i="1"/>
  <c r="AC395" i="1"/>
  <c r="AB395" i="1"/>
  <c r="AA395" i="1"/>
  <c r="Y395" i="1"/>
  <c r="X395" i="1"/>
  <c r="W395" i="1"/>
  <c r="V395" i="1"/>
  <c r="U395" i="1"/>
  <c r="T395" i="1"/>
  <c r="S395" i="1"/>
  <c r="R395" i="1"/>
  <c r="Q395" i="1"/>
  <c r="P395" i="1"/>
  <c r="L395" i="1"/>
  <c r="K395" i="1"/>
  <c r="J395" i="1"/>
  <c r="I395" i="1"/>
  <c r="H395" i="1"/>
  <c r="F395" i="1"/>
  <c r="AD394" i="1"/>
  <c r="AC394" i="1"/>
  <c r="AB394" i="1"/>
  <c r="AA394" i="1"/>
  <c r="Y394" i="1"/>
  <c r="X394" i="1"/>
  <c r="W394" i="1"/>
  <c r="V394" i="1"/>
  <c r="U394" i="1"/>
  <c r="T394" i="1"/>
  <c r="S394" i="1"/>
  <c r="R394" i="1"/>
  <c r="Q394" i="1"/>
  <c r="P394" i="1"/>
  <c r="L394" i="1"/>
  <c r="K394" i="1"/>
  <c r="J394" i="1"/>
  <c r="I394" i="1"/>
  <c r="H394" i="1"/>
  <c r="F394" i="1"/>
  <c r="AD393" i="1"/>
  <c r="AC393" i="1"/>
  <c r="AB393" i="1"/>
  <c r="AA393" i="1"/>
  <c r="Y393" i="1"/>
  <c r="X393" i="1"/>
  <c r="W393" i="1"/>
  <c r="V393" i="1"/>
  <c r="U393" i="1"/>
  <c r="T393" i="1"/>
  <c r="S393" i="1"/>
  <c r="R393" i="1"/>
  <c r="Q393" i="1"/>
  <c r="P393" i="1"/>
  <c r="L393" i="1"/>
  <c r="K393" i="1"/>
  <c r="J393" i="1"/>
  <c r="I393" i="1"/>
  <c r="H393" i="1"/>
  <c r="F393" i="1"/>
  <c r="AD392" i="1"/>
  <c r="AC392" i="1"/>
  <c r="AB392" i="1"/>
  <c r="AA392" i="1"/>
  <c r="Y392" i="1"/>
  <c r="X392" i="1"/>
  <c r="W392" i="1"/>
  <c r="V392" i="1"/>
  <c r="U392" i="1"/>
  <c r="T392" i="1"/>
  <c r="S392" i="1"/>
  <c r="R392" i="1"/>
  <c r="Q392" i="1"/>
  <c r="P392" i="1"/>
  <c r="L392" i="1"/>
  <c r="K392" i="1"/>
  <c r="J392" i="1"/>
  <c r="I392" i="1"/>
  <c r="H392" i="1"/>
  <c r="F392" i="1"/>
  <c r="AD391" i="1"/>
  <c r="AC391" i="1"/>
  <c r="AB391" i="1"/>
  <c r="AA391" i="1"/>
  <c r="Y391" i="1"/>
  <c r="X391" i="1"/>
  <c r="W391" i="1"/>
  <c r="V391" i="1"/>
  <c r="U391" i="1"/>
  <c r="T391" i="1"/>
  <c r="S391" i="1"/>
  <c r="R391" i="1"/>
  <c r="Q391" i="1"/>
  <c r="P391" i="1"/>
  <c r="L391" i="1"/>
  <c r="K391" i="1"/>
  <c r="J391" i="1"/>
  <c r="I391" i="1"/>
  <c r="H391" i="1"/>
  <c r="F391" i="1"/>
  <c r="AD390" i="1"/>
  <c r="AC390" i="1"/>
  <c r="AB390" i="1"/>
  <c r="AA390" i="1"/>
  <c r="Y390" i="1"/>
  <c r="X390" i="1"/>
  <c r="W390" i="1"/>
  <c r="V390" i="1"/>
  <c r="U390" i="1"/>
  <c r="T390" i="1"/>
  <c r="S390" i="1"/>
  <c r="R390" i="1"/>
  <c r="Q390" i="1"/>
  <c r="P390" i="1"/>
  <c r="L390" i="1"/>
  <c r="K390" i="1"/>
  <c r="J390" i="1"/>
  <c r="I390" i="1"/>
  <c r="H390" i="1"/>
  <c r="F390" i="1"/>
  <c r="AD389" i="1"/>
  <c r="AC389" i="1"/>
  <c r="AB389" i="1"/>
  <c r="AA389" i="1"/>
  <c r="Y389" i="1"/>
  <c r="X389" i="1"/>
  <c r="W389" i="1"/>
  <c r="V389" i="1"/>
  <c r="U389" i="1"/>
  <c r="T389" i="1"/>
  <c r="S389" i="1"/>
  <c r="R389" i="1"/>
  <c r="Q389" i="1"/>
  <c r="P389" i="1"/>
  <c r="L389" i="1"/>
  <c r="K389" i="1"/>
  <c r="J389" i="1"/>
  <c r="I389" i="1"/>
  <c r="H389" i="1"/>
  <c r="F389" i="1"/>
  <c r="AD388" i="1"/>
  <c r="AC388" i="1"/>
  <c r="AB388" i="1"/>
  <c r="AA388" i="1"/>
  <c r="Y388" i="1"/>
  <c r="X388" i="1"/>
  <c r="W388" i="1"/>
  <c r="V388" i="1"/>
  <c r="U388" i="1"/>
  <c r="T388" i="1"/>
  <c r="S388" i="1"/>
  <c r="R388" i="1"/>
  <c r="Q388" i="1"/>
  <c r="P388" i="1"/>
  <c r="L388" i="1"/>
  <c r="K388" i="1"/>
  <c r="J388" i="1"/>
  <c r="I388" i="1"/>
  <c r="H388" i="1"/>
  <c r="F388" i="1"/>
  <c r="AD387" i="1"/>
  <c r="AC387" i="1"/>
  <c r="AB387" i="1"/>
  <c r="AA387" i="1"/>
  <c r="Y387" i="1"/>
  <c r="X387" i="1"/>
  <c r="W387" i="1"/>
  <c r="V387" i="1"/>
  <c r="U387" i="1"/>
  <c r="T387" i="1"/>
  <c r="S387" i="1"/>
  <c r="R387" i="1"/>
  <c r="Q387" i="1"/>
  <c r="P387" i="1"/>
  <c r="L387" i="1"/>
  <c r="K387" i="1"/>
  <c r="J387" i="1"/>
  <c r="I387" i="1"/>
  <c r="H387" i="1"/>
  <c r="F387" i="1"/>
  <c r="AD386" i="1"/>
  <c r="AC386" i="1"/>
  <c r="AB386" i="1"/>
  <c r="AA386" i="1"/>
  <c r="Y386" i="1"/>
  <c r="X386" i="1"/>
  <c r="W386" i="1"/>
  <c r="V386" i="1"/>
  <c r="U386" i="1"/>
  <c r="T386" i="1"/>
  <c r="S386" i="1"/>
  <c r="R386" i="1"/>
  <c r="Q386" i="1"/>
  <c r="P386" i="1"/>
  <c r="L386" i="1"/>
  <c r="K386" i="1"/>
  <c r="J386" i="1"/>
  <c r="I386" i="1"/>
  <c r="H386" i="1"/>
  <c r="F386" i="1"/>
  <c r="AD385" i="1"/>
  <c r="AC385" i="1"/>
  <c r="AB385" i="1"/>
  <c r="AA385" i="1"/>
  <c r="Y385" i="1"/>
  <c r="X385" i="1"/>
  <c r="W385" i="1"/>
  <c r="V385" i="1"/>
  <c r="U385" i="1"/>
  <c r="T385" i="1"/>
  <c r="S385" i="1"/>
  <c r="R385" i="1"/>
  <c r="Q385" i="1"/>
  <c r="P385" i="1"/>
  <c r="L385" i="1"/>
  <c r="K385" i="1"/>
  <c r="J385" i="1"/>
  <c r="I385" i="1"/>
  <c r="H385" i="1"/>
  <c r="F385" i="1"/>
  <c r="AD384" i="1"/>
  <c r="AC384" i="1"/>
  <c r="AB384" i="1"/>
  <c r="AA384" i="1"/>
  <c r="Y384" i="1"/>
  <c r="X384" i="1"/>
  <c r="W384" i="1"/>
  <c r="V384" i="1"/>
  <c r="U384" i="1"/>
  <c r="T384" i="1"/>
  <c r="S384" i="1"/>
  <c r="R384" i="1"/>
  <c r="Q384" i="1"/>
  <c r="P384" i="1"/>
  <c r="L384" i="1"/>
  <c r="K384" i="1"/>
  <c r="J384" i="1"/>
  <c r="I384" i="1"/>
  <c r="H384" i="1"/>
  <c r="F384" i="1"/>
  <c r="AD383" i="1"/>
  <c r="AC383" i="1"/>
  <c r="AB383" i="1"/>
  <c r="AA383" i="1"/>
  <c r="Y383" i="1"/>
  <c r="X383" i="1"/>
  <c r="W383" i="1"/>
  <c r="V383" i="1"/>
  <c r="U383" i="1"/>
  <c r="T383" i="1"/>
  <c r="S383" i="1"/>
  <c r="R383" i="1"/>
  <c r="Q383" i="1"/>
  <c r="P383" i="1"/>
  <c r="L383" i="1"/>
  <c r="K383" i="1"/>
  <c r="J383" i="1"/>
  <c r="I383" i="1"/>
  <c r="H383" i="1"/>
  <c r="F383" i="1"/>
  <c r="AD382" i="1"/>
  <c r="AC382" i="1"/>
  <c r="AB382" i="1"/>
  <c r="AA382" i="1"/>
  <c r="Y382" i="1"/>
  <c r="X382" i="1"/>
  <c r="W382" i="1"/>
  <c r="V382" i="1"/>
  <c r="U382" i="1"/>
  <c r="T382" i="1"/>
  <c r="S382" i="1"/>
  <c r="R382" i="1"/>
  <c r="Q382" i="1"/>
  <c r="P382" i="1"/>
  <c r="L382" i="1"/>
  <c r="K382" i="1"/>
  <c r="J382" i="1"/>
  <c r="I382" i="1"/>
  <c r="H382" i="1"/>
  <c r="F382" i="1"/>
  <c r="AD381" i="1"/>
  <c r="AC381" i="1"/>
  <c r="AB381" i="1"/>
  <c r="AA381" i="1"/>
  <c r="Y381" i="1"/>
  <c r="X381" i="1"/>
  <c r="W381" i="1"/>
  <c r="V381" i="1"/>
  <c r="U381" i="1"/>
  <c r="T381" i="1"/>
  <c r="S381" i="1"/>
  <c r="R381" i="1"/>
  <c r="Q381" i="1"/>
  <c r="P381" i="1"/>
  <c r="L381" i="1"/>
  <c r="K381" i="1"/>
  <c r="J381" i="1"/>
  <c r="I381" i="1"/>
  <c r="H381" i="1"/>
  <c r="F381" i="1"/>
  <c r="AD380" i="1"/>
  <c r="AC380" i="1"/>
  <c r="AB380" i="1"/>
  <c r="AA380" i="1"/>
  <c r="Y380" i="1"/>
  <c r="X380" i="1"/>
  <c r="W380" i="1"/>
  <c r="V380" i="1"/>
  <c r="U380" i="1"/>
  <c r="T380" i="1"/>
  <c r="S380" i="1"/>
  <c r="R380" i="1"/>
  <c r="Q380" i="1"/>
  <c r="P380" i="1"/>
  <c r="L380" i="1"/>
  <c r="K380" i="1"/>
  <c r="J380" i="1"/>
  <c r="I380" i="1"/>
  <c r="H380" i="1"/>
  <c r="F380" i="1"/>
  <c r="AD379" i="1"/>
  <c r="AC379" i="1"/>
  <c r="AB379" i="1"/>
  <c r="AA379" i="1"/>
  <c r="Y379" i="1"/>
  <c r="X379" i="1"/>
  <c r="W379" i="1"/>
  <c r="V379" i="1"/>
  <c r="U379" i="1"/>
  <c r="T379" i="1"/>
  <c r="S379" i="1"/>
  <c r="R379" i="1"/>
  <c r="Q379" i="1"/>
  <c r="P379" i="1"/>
  <c r="L379" i="1"/>
  <c r="K379" i="1"/>
  <c r="J379" i="1"/>
  <c r="I379" i="1"/>
  <c r="H379" i="1"/>
  <c r="F379" i="1"/>
  <c r="AD378" i="1"/>
  <c r="AC378" i="1"/>
  <c r="AB378" i="1"/>
  <c r="AA378" i="1"/>
  <c r="Y378" i="1"/>
  <c r="X378" i="1"/>
  <c r="W378" i="1"/>
  <c r="V378" i="1"/>
  <c r="U378" i="1"/>
  <c r="T378" i="1"/>
  <c r="S378" i="1"/>
  <c r="R378" i="1"/>
  <c r="Q378" i="1"/>
  <c r="P378" i="1"/>
  <c r="L378" i="1"/>
  <c r="K378" i="1"/>
  <c r="J378" i="1"/>
  <c r="I378" i="1"/>
  <c r="H378" i="1"/>
  <c r="F378" i="1"/>
  <c r="AD377" i="1"/>
  <c r="AC377" i="1"/>
  <c r="AB377" i="1"/>
  <c r="AA377" i="1"/>
  <c r="Y377" i="1"/>
  <c r="X377" i="1"/>
  <c r="W377" i="1"/>
  <c r="V377" i="1"/>
  <c r="U377" i="1"/>
  <c r="T377" i="1"/>
  <c r="S377" i="1"/>
  <c r="R377" i="1"/>
  <c r="Q377" i="1"/>
  <c r="P377" i="1"/>
  <c r="L377" i="1"/>
  <c r="K377" i="1"/>
  <c r="J377" i="1"/>
  <c r="I377" i="1"/>
  <c r="H377" i="1"/>
  <c r="F377" i="1"/>
  <c r="AD376" i="1"/>
  <c r="AC376" i="1"/>
  <c r="AB376" i="1"/>
  <c r="AA376" i="1"/>
  <c r="Y376" i="1"/>
  <c r="X376" i="1"/>
  <c r="W376" i="1"/>
  <c r="V376" i="1"/>
  <c r="U376" i="1"/>
  <c r="T376" i="1"/>
  <c r="S376" i="1"/>
  <c r="R376" i="1"/>
  <c r="Q376" i="1"/>
  <c r="P376" i="1"/>
  <c r="L376" i="1"/>
  <c r="K376" i="1"/>
  <c r="J376" i="1"/>
  <c r="I376" i="1"/>
  <c r="H376" i="1"/>
  <c r="F376" i="1"/>
  <c r="AD375" i="1"/>
  <c r="AC375" i="1"/>
  <c r="AB375" i="1"/>
  <c r="AA375" i="1"/>
  <c r="Y375" i="1"/>
  <c r="X375" i="1"/>
  <c r="W375" i="1"/>
  <c r="V375" i="1"/>
  <c r="U375" i="1"/>
  <c r="T375" i="1"/>
  <c r="S375" i="1"/>
  <c r="R375" i="1"/>
  <c r="Q375" i="1"/>
  <c r="P375" i="1"/>
  <c r="L375" i="1"/>
  <c r="K375" i="1"/>
  <c r="J375" i="1"/>
  <c r="I375" i="1"/>
  <c r="H375" i="1"/>
  <c r="F375" i="1"/>
  <c r="AD374" i="1"/>
  <c r="AC374" i="1"/>
  <c r="AB374" i="1"/>
  <c r="AA374" i="1"/>
  <c r="Y374" i="1"/>
  <c r="X374" i="1"/>
  <c r="W374" i="1"/>
  <c r="V374" i="1"/>
  <c r="U374" i="1"/>
  <c r="T374" i="1"/>
  <c r="S374" i="1"/>
  <c r="R374" i="1"/>
  <c r="Q374" i="1"/>
  <c r="P374" i="1"/>
  <c r="L374" i="1"/>
  <c r="K374" i="1"/>
  <c r="J374" i="1"/>
  <c r="I374" i="1"/>
  <c r="H374" i="1"/>
  <c r="F374" i="1"/>
  <c r="AD373" i="1"/>
  <c r="AC373" i="1"/>
  <c r="AB373" i="1"/>
  <c r="AA373" i="1"/>
  <c r="Y373" i="1"/>
  <c r="X373" i="1"/>
  <c r="W373" i="1"/>
  <c r="V373" i="1"/>
  <c r="U373" i="1"/>
  <c r="T373" i="1"/>
  <c r="S373" i="1"/>
  <c r="R373" i="1"/>
  <c r="Q373" i="1"/>
  <c r="P373" i="1"/>
  <c r="L373" i="1"/>
  <c r="K373" i="1"/>
  <c r="J373" i="1"/>
  <c r="I373" i="1"/>
  <c r="H373" i="1"/>
  <c r="F373" i="1"/>
  <c r="AD372" i="1"/>
  <c r="AC372" i="1"/>
  <c r="AB372" i="1"/>
  <c r="AA372" i="1"/>
  <c r="Y372" i="1"/>
  <c r="X372" i="1"/>
  <c r="W372" i="1"/>
  <c r="V372" i="1"/>
  <c r="U372" i="1"/>
  <c r="T372" i="1"/>
  <c r="S372" i="1"/>
  <c r="R372" i="1"/>
  <c r="Q372" i="1"/>
  <c r="P372" i="1"/>
  <c r="L372" i="1"/>
  <c r="K372" i="1"/>
  <c r="J372" i="1"/>
  <c r="I372" i="1"/>
  <c r="H372" i="1"/>
  <c r="F372" i="1"/>
  <c r="AD371" i="1"/>
  <c r="AC371" i="1"/>
  <c r="AB371" i="1"/>
  <c r="AA371" i="1"/>
  <c r="Y371" i="1"/>
  <c r="X371" i="1"/>
  <c r="W371" i="1"/>
  <c r="V371" i="1"/>
  <c r="U371" i="1"/>
  <c r="T371" i="1"/>
  <c r="S371" i="1"/>
  <c r="R371" i="1"/>
  <c r="Q371" i="1"/>
  <c r="P371" i="1"/>
  <c r="L371" i="1"/>
  <c r="K371" i="1"/>
  <c r="J371" i="1"/>
  <c r="I371" i="1"/>
  <c r="H371" i="1"/>
  <c r="F371" i="1"/>
  <c r="AD370" i="1"/>
  <c r="AC370" i="1"/>
  <c r="AB370" i="1"/>
  <c r="AA370" i="1"/>
  <c r="Y370" i="1"/>
  <c r="X370" i="1"/>
  <c r="W370" i="1"/>
  <c r="V370" i="1"/>
  <c r="U370" i="1"/>
  <c r="T370" i="1"/>
  <c r="S370" i="1"/>
  <c r="R370" i="1"/>
  <c r="Q370" i="1"/>
  <c r="P370" i="1"/>
  <c r="L370" i="1"/>
  <c r="K370" i="1"/>
  <c r="J370" i="1"/>
  <c r="I370" i="1"/>
  <c r="H370" i="1"/>
  <c r="F370" i="1"/>
  <c r="AD369" i="1"/>
  <c r="AC369" i="1"/>
  <c r="AB369" i="1"/>
  <c r="AA369" i="1"/>
  <c r="Y369" i="1"/>
  <c r="X369" i="1"/>
  <c r="W369" i="1"/>
  <c r="V369" i="1"/>
  <c r="U369" i="1"/>
  <c r="T369" i="1"/>
  <c r="S369" i="1"/>
  <c r="R369" i="1"/>
  <c r="Q369" i="1"/>
  <c r="P369" i="1"/>
  <c r="L369" i="1"/>
  <c r="K369" i="1"/>
  <c r="J369" i="1"/>
  <c r="I369" i="1"/>
  <c r="H369" i="1"/>
  <c r="F369" i="1"/>
  <c r="AD368" i="1"/>
  <c r="AC368" i="1"/>
  <c r="AB368" i="1"/>
  <c r="AA368" i="1"/>
  <c r="Y368" i="1"/>
  <c r="X368" i="1"/>
  <c r="W368" i="1"/>
  <c r="V368" i="1"/>
  <c r="U368" i="1"/>
  <c r="T368" i="1"/>
  <c r="S368" i="1"/>
  <c r="R368" i="1"/>
  <c r="Q368" i="1"/>
  <c r="P368" i="1"/>
  <c r="L368" i="1"/>
  <c r="K368" i="1"/>
  <c r="J368" i="1"/>
  <c r="I368" i="1"/>
  <c r="H368" i="1"/>
  <c r="F368" i="1"/>
  <c r="AD367" i="1"/>
  <c r="AC367" i="1"/>
  <c r="AB367" i="1"/>
  <c r="AA367" i="1"/>
  <c r="Y367" i="1"/>
  <c r="X367" i="1"/>
  <c r="W367" i="1"/>
  <c r="V367" i="1"/>
  <c r="U367" i="1"/>
  <c r="T367" i="1"/>
  <c r="S367" i="1"/>
  <c r="R367" i="1"/>
  <c r="Q367" i="1"/>
  <c r="P367" i="1"/>
  <c r="L367" i="1"/>
  <c r="K367" i="1"/>
  <c r="J367" i="1"/>
  <c r="I367" i="1"/>
  <c r="H367" i="1"/>
  <c r="F367" i="1"/>
  <c r="AD366" i="1"/>
  <c r="AC366" i="1"/>
  <c r="AB366" i="1"/>
  <c r="AA366" i="1"/>
  <c r="Y366" i="1"/>
  <c r="X366" i="1"/>
  <c r="W366" i="1"/>
  <c r="V366" i="1"/>
  <c r="U366" i="1"/>
  <c r="T366" i="1"/>
  <c r="S366" i="1"/>
  <c r="R366" i="1"/>
  <c r="Q366" i="1"/>
  <c r="P366" i="1"/>
  <c r="L366" i="1"/>
  <c r="K366" i="1"/>
  <c r="J366" i="1"/>
  <c r="I366" i="1"/>
  <c r="H366" i="1"/>
  <c r="F366" i="1"/>
  <c r="AD365" i="1"/>
  <c r="AC365" i="1"/>
  <c r="AB365" i="1"/>
  <c r="AA365" i="1"/>
  <c r="Y365" i="1"/>
  <c r="X365" i="1"/>
  <c r="W365" i="1"/>
  <c r="V365" i="1"/>
  <c r="U365" i="1"/>
  <c r="T365" i="1"/>
  <c r="S365" i="1"/>
  <c r="R365" i="1"/>
  <c r="Q365" i="1"/>
  <c r="P365" i="1"/>
  <c r="L365" i="1"/>
  <c r="K365" i="1"/>
  <c r="J365" i="1"/>
  <c r="I365" i="1"/>
  <c r="H365" i="1"/>
  <c r="F365" i="1"/>
  <c r="AD364" i="1"/>
  <c r="AC364" i="1"/>
  <c r="AB364" i="1"/>
  <c r="AA364" i="1"/>
  <c r="Y364" i="1"/>
  <c r="X364" i="1"/>
  <c r="W364" i="1"/>
  <c r="V364" i="1"/>
  <c r="U364" i="1"/>
  <c r="T364" i="1"/>
  <c r="S364" i="1"/>
  <c r="R364" i="1"/>
  <c r="Q364" i="1"/>
  <c r="P364" i="1"/>
  <c r="L364" i="1"/>
  <c r="K364" i="1"/>
  <c r="J364" i="1"/>
  <c r="I364" i="1"/>
  <c r="H364" i="1"/>
  <c r="F364" i="1"/>
  <c r="AD363" i="1"/>
  <c r="AC363" i="1"/>
  <c r="AB363" i="1"/>
  <c r="AA363" i="1"/>
  <c r="Y363" i="1"/>
  <c r="X363" i="1"/>
  <c r="W363" i="1"/>
  <c r="V363" i="1"/>
  <c r="U363" i="1"/>
  <c r="T363" i="1"/>
  <c r="S363" i="1"/>
  <c r="R363" i="1"/>
  <c r="Q363" i="1"/>
  <c r="P363" i="1"/>
  <c r="L363" i="1"/>
  <c r="K363" i="1"/>
  <c r="J363" i="1"/>
  <c r="I363" i="1"/>
  <c r="H363" i="1"/>
  <c r="F363" i="1"/>
  <c r="AD362" i="1"/>
  <c r="AC362" i="1"/>
  <c r="AB362" i="1"/>
  <c r="AA362" i="1"/>
  <c r="Y362" i="1"/>
  <c r="X362" i="1"/>
  <c r="W362" i="1"/>
  <c r="V362" i="1"/>
  <c r="U362" i="1"/>
  <c r="T362" i="1"/>
  <c r="S362" i="1"/>
  <c r="R362" i="1"/>
  <c r="Q362" i="1"/>
  <c r="P362" i="1"/>
  <c r="L362" i="1"/>
  <c r="K362" i="1"/>
  <c r="J362" i="1"/>
  <c r="I362" i="1"/>
  <c r="H362" i="1"/>
  <c r="F362" i="1"/>
  <c r="AD361" i="1"/>
  <c r="AC361" i="1"/>
  <c r="AB361" i="1"/>
  <c r="AA361" i="1"/>
  <c r="Y361" i="1"/>
  <c r="X361" i="1"/>
  <c r="W361" i="1"/>
  <c r="V361" i="1"/>
  <c r="U361" i="1"/>
  <c r="T361" i="1"/>
  <c r="S361" i="1"/>
  <c r="R361" i="1"/>
  <c r="Q361" i="1"/>
  <c r="P361" i="1"/>
  <c r="L361" i="1"/>
  <c r="K361" i="1"/>
  <c r="J361" i="1"/>
  <c r="I361" i="1"/>
  <c r="H361" i="1"/>
  <c r="F361" i="1"/>
  <c r="AD360" i="1"/>
  <c r="AC360" i="1"/>
  <c r="AB360" i="1"/>
  <c r="AA360" i="1"/>
  <c r="Y360" i="1"/>
  <c r="X360" i="1"/>
  <c r="W360" i="1"/>
  <c r="V360" i="1"/>
  <c r="U360" i="1"/>
  <c r="T360" i="1"/>
  <c r="S360" i="1"/>
  <c r="R360" i="1"/>
  <c r="Q360" i="1"/>
  <c r="P360" i="1"/>
  <c r="L360" i="1"/>
  <c r="K360" i="1"/>
  <c r="J360" i="1"/>
  <c r="I360" i="1"/>
  <c r="H360" i="1"/>
  <c r="F360" i="1"/>
  <c r="AD359" i="1"/>
  <c r="AC359" i="1"/>
  <c r="AB359" i="1"/>
  <c r="AA359" i="1"/>
  <c r="Y359" i="1"/>
  <c r="X359" i="1"/>
  <c r="W359" i="1"/>
  <c r="V359" i="1"/>
  <c r="U359" i="1"/>
  <c r="T359" i="1"/>
  <c r="S359" i="1"/>
  <c r="R359" i="1"/>
  <c r="Q359" i="1"/>
  <c r="P359" i="1"/>
  <c r="L359" i="1"/>
  <c r="K359" i="1"/>
  <c r="J359" i="1"/>
  <c r="I359" i="1"/>
  <c r="H359" i="1"/>
  <c r="F359" i="1"/>
  <c r="AD358" i="1"/>
  <c r="AC358" i="1"/>
  <c r="AB358" i="1"/>
  <c r="AA358" i="1"/>
  <c r="Y358" i="1"/>
  <c r="X358" i="1"/>
  <c r="W358" i="1"/>
  <c r="V358" i="1"/>
  <c r="U358" i="1"/>
  <c r="T358" i="1"/>
  <c r="S358" i="1"/>
  <c r="R358" i="1"/>
  <c r="Q358" i="1"/>
  <c r="P358" i="1"/>
  <c r="L358" i="1"/>
  <c r="K358" i="1"/>
  <c r="J358" i="1"/>
  <c r="I358" i="1"/>
  <c r="H358" i="1"/>
  <c r="F358" i="1"/>
  <c r="AD357" i="1"/>
  <c r="AC357" i="1"/>
  <c r="AB357" i="1"/>
  <c r="AA357" i="1"/>
  <c r="Y357" i="1"/>
  <c r="X357" i="1"/>
  <c r="W357" i="1"/>
  <c r="V357" i="1"/>
  <c r="U357" i="1"/>
  <c r="T357" i="1"/>
  <c r="S357" i="1"/>
  <c r="R357" i="1"/>
  <c r="Q357" i="1"/>
  <c r="P357" i="1"/>
  <c r="L357" i="1"/>
  <c r="K357" i="1"/>
  <c r="J357" i="1"/>
  <c r="I357" i="1"/>
  <c r="H357" i="1"/>
  <c r="F357" i="1"/>
  <c r="AD356" i="1"/>
  <c r="AC356" i="1"/>
  <c r="AB356" i="1"/>
  <c r="AA356" i="1"/>
  <c r="Y356" i="1"/>
  <c r="X356" i="1"/>
  <c r="W356" i="1"/>
  <c r="V356" i="1"/>
  <c r="U356" i="1"/>
  <c r="T356" i="1"/>
  <c r="S356" i="1"/>
  <c r="R356" i="1"/>
  <c r="Q356" i="1"/>
  <c r="P356" i="1"/>
  <c r="L356" i="1"/>
  <c r="K356" i="1"/>
  <c r="J356" i="1"/>
  <c r="I356" i="1"/>
  <c r="H356" i="1"/>
  <c r="F356" i="1"/>
  <c r="AD355" i="1"/>
  <c r="AC355" i="1"/>
  <c r="AB355" i="1"/>
  <c r="AA355" i="1"/>
  <c r="Y355" i="1"/>
  <c r="X355" i="1"/>
  <c r="W355" i="1"/>
  <c r="V355" i="1"/>
  <c r="U355" i="1"/>
  <c r="T355" i="1"/>
  <c r="S355" i="1"/>
  <c r="R355" i="1"/>
  <c r="Q355" i="1"/>
  <c r="P355" i="1"/>
  <c r="L355" i="1"/>
  <c r="K355" i="1"/>
  <c r="J355" i="1"/>
  <c r="I355" i="1"/>
  <c r="H355" i="1"/>
  <c r="F355" i="1"/>
  <c r="AD354" i="1"/>
  <c r="AC354" i="1"/>
  <c r="AB354" i="1"/>
  <c r="AA354" i="1"/>
  <c r="Y354" i="1"/>
  <c r="X354" i="1"/>
  <c r="W354" i="1"/>
  <c r="V354" i="1"/>
  <c r="U354" i="1"/>
  <c r="T354" i="1"/>
  <c r="S354" i="1"/>
  <c r="R354" i="1"/>
  <c r="Q354" i="1"/>
  <c r="P354" i="1"/>
  <c r="L354" i="1"/>
  <c r="K354" i="1"/>
  <c r="J354" i="1"/>
  <c r="I354" i="1"/>
  <c r="H354" i="1"/>
  <c r="F354" i="1"/>
  <c r="AD353" i="1"/>
  <c r="AC353" i="1"/>
  <c r="AB353" i="1"/>
  <c r="AA353" i="1"/>
  <c r="Y353" i="1"/>
  <c r="X353" i="1"/>
  <c r="W353" i="1"/>
  <c r="V353" i="1"/>
  <c r="U353" i="1"/>
  <c r="T353" i="1"/>
  <c r="S353" i="1"/>
  <c r="R353" i="1"/>
  <c r="Q353" i="1"/>
  <c r="P353" i="1"/>
  <c r="L353" i="1"/>
  <c r="K353" i="1"/>
  <c r="J353" i="1"/>
  <c r="I353" i="1"/>
  <c r="H353" i="1"/>
  <c r="F353" i="1"/>
  <c r="AD352" i="1"/>
  <c r="AC352" i="1"/>
  <c r="AB352" i="1"/>
  <c r="AA352" i="1"/>
  <c r="Y352" i="1"/>
  <c r="X352" i="1"/>
  <c r="W352" i="1"/>
  <c r="V352" i="1"/>
  <c r="U352" i="1"/>
  <c r="T352" i="1"/>
  <c r="S352" i="1"/>
  <c r="R352" i="1"/>
  <c r="Q352" i="1"/>
  <c r="P352" i="1"/>
  <c r="L352" i="1"/>
  <c r="K352" i="1"/>
  <c r="J352" i="1"/>
  <c r="I352" i="1"/>
  <c r="H352" i="1"/>
  <c r="F352" i="1"/>
  <c r="AD351" i="1"/>
  <c r="AC351" i="1"/>
  <c r="AB351" i="1"/>
  <c r="AA351" i="1"/>
  <c r="Y351" i="1"/>
  <c r="X351" i="1"/>
  <c r="W351" i="1"/>
  <c r="V351" i="1"/>
  <c r="U351" i="1"/>
  <c r="T351" i="1"/>
  <c r="S351" i="1"/>
  <c r="R351" i="1"/>
  <c r="Q351" i="1"/>
  <c r="P351" i="1"/>
  <c r="L351" i="1"/>
  <c r="K351" i="1"/>
  <c r="J351" i="1"/>
  <c r="I351" i="1"/>
  <c r="H351" i="1"/>
  <c r="F351" i="1"/>
  <c r="AD350" i="1"/>
  <c r="AC350" i="1"/>
  <c r="AB350" i="1"/>
  <c r="AA350" i="1"/>
  <c r="Y350" i="1"/>
  <c r="X350" i="1"/>
  <c r="W350" i="1"/>
  <c r="V350" i="1"/>
  <c r="U350" i="1"/>
  <c r="T350" i="1"/>
  <c r="S350" i="1"/>
  <c r="R350" i="1"/>
  <c r="Q350" i="1"/>
  <c r="P350" i="1"/>
  <c r="L350" i="1"/>
  <c r="K350" i="1"/>
  <c r="J350" i="1"/>
  <c r="I350" i="1"/>
  <c r="H350" i="1"/>
  <c r="F350" i="1"/>
  <c r="AD349" i="1"/>
  <c r="AC349" i="1"/>
  <c r="AB349" i="1"/>
  <c r="AA349" i="1"/>
  <c r="Y349" i="1"/>
  <c r="X349" i="1"/>
  <c r="W349" i="1"/>
  <c r="V349" i="1"/>
  <c r="U349" i="1"/>
  <c r="T349" i="1"/>
  <c r="S349" i="1"/>
  <c r="R349" i="1"/>
  <c r="Q349" i="1"/>
  <c r="P349" i="1"/>
  <c r="L349" i="1"/>
  <c r="K349" i="1"/>
  <c r="J349" i="1"/>
  <c r="I349" i="1"/>
  <c r="H349" i="1"/>
  <c r="F349" i="1"/>
  <c r="AD348" i="1"/>
  <c r="AC348" i="1"/>
  <c r="AB348" i="1"/>
  <c r="AA348" i="1"/>
  <c r="Y348" i="1"/>
  <c r="X348" i="1"/>
  <c r="W348" i="1"/>
  <c r="V348" i="1"/>
  <c r="U348" i="1"/>
  <c r="T348" i="1"/>
  <c r="S348" i="1"/>
  <c r="R348" i="1"/>
  <c r="Q348" i="1"/>
  <c r="P348" i="1"/>
  <c r="L348" i="1"/>
  <c r="K348" i="1"/>
  <c r="J348" i="1"/>
  <c r="I348" i="1"/>
  <c r="H348" i="1"/>
  <c r="F348" i="1"/>
  <c r="AD347" i="1"/>
  <c r="AC347" i="1"/>
  <c r="AB347" i="1"/>
  <c r="AA347" i="1"/>
  <c r="Y347" i="1"/>
  <c r="X347" i="1"/>
  <c r="W347" i="1"/>
  <c r="V347" i="1"/>
  <c r="U347" i="1"/>
  <c r="T347" i="1"/>
  <c r="S347" i="1"/>
  <c r="R347" i="1"/>
  <c r="Q347" i="1"/>
  <c r="P347" i="1"/>
  <c r="L347" i="1"/>
  <c r="K347" i="1"/>
  <c r="J347" i="1"/>
  <c r="I347" i="1"/>
  <c r="H347" i="1"/>
  <c r="F347" i="1"/>
  <c r="AD346" i="1"/>
  <c r="AC346" i="1"/>
  <c r="AB346" i="1"/>
  <c r="AA346" i="1"/>
  <c r="Y346" i="1"/>
  <c r="X346" i="1"/>
  <c r="W346" i="1"/>
  <c r="V346" i="1"/>
  <c r="U346" i="1"/>
  <c r="T346" i="1"/>
  <c r="S346" i="1"/>
  <c r="R346" i="1"/>
  <c r="Q346" i="1"/>
  <c r="P346" i="1"/>
  <c r="L346" i="1"/>
  <c r="K346" i="1"/>
  <c r="J346" i="1"/>
  <c r="I346" i="1"/>
  <c r="H346" i="1"/>
  <c r="F346" i="1"/>
  <c r="AD345" i="1"/>
  <c r="AC345" i="1"/>
  <c r="AB345" i="1"/>
  <c r="AA345" i="1"/>
  <c r="Y345" i="1"/>
  <c r="X345" i="1"/>
  <c r="W345" i="1"/>
  <c r="V345" i="1"/>
  <c r="U345" i="1"/>
  <c r="T345" i="1"/>
  <c r="S345" i="1"/>
  <c r="R345" i="1"/>
  <c r="Q345" i="1"/>
  <c r="P345" i="1"/>
  <c r="L345" i="1"/>
  <c r="K345" i="1"/>
  <c r="J345" i="1"/>
  <c r="I345" i="1"/>
  <c r="H345" i="1"/>
  <c r="F345" i="1"/>
  <c r="AD344" i="1"/>
  <c r="AC344" i="1"/>
  <c r="AB344" i="1"/>
  <c r="AA344" i="1"/>
  <c r="Y344" i="1"/>
  <c r="X344" i="1"/>
  <c r="W344" i="1"/>
  <c r="V344" i="1"/>
  <c r="U344" i="1"/>
  <c r="T344" i="1"/>
  <c r="S344" i="1"/>
  <c r="R344" i="1"/>
  <c r="Q344" i="1"/>
  <c r="P344" i="1"/>
  <c r="L344" i="1"/>
  <c r="K344" i="1"/>
  <c r="J344" i="1"/>
  <c r="I344" i="1"/>
  <c r="H344" i="1"/>
  <c r="F344" i="1"/>
  <c r="AD343" i="1"/>
  <c r="AC343" i="1"/>
  <c r="AB343" i="1"/>
  <c r="AA343" i="1"/>
  <c r="Y343" i="1"/>
  <c r="X343" i="1"/>
  <c r="W343" i="1"/>
  <c r="V343" i="1"/>
  <c r="U343" i="1"/>
  <c r="T343" i="1"/>
  <c r="S343" i="1"/>
  <c r="R343" i="1"/>
  <c r="Q343" i="1"/>
  <c r="P343" i="1"/>
  <c r="L343" i="1"/>
  <c r="K343" i="1"/>
  <c r="J343" i="1"/>
  <c r="I343" i="1"/>
  <c r="H343" i="1"/>
  <c r="F343" i="1"/>
  <c r="AD342" i="1"/>
  <c r="AC342" i="1"/>
  <c r="AB342" i="1"/>
  <c r="AA342" i="1"/>
  <c r="Y342" i="1"/>
  <c r="X342" i="1"/>
  <c r="W342" i="1"/>
  <c r="V342" i="1"/>
  <c r="U342" i="1"/>
  <c r="T342" i="1"/>
  <c r="S342" i="1"/>
  <c r="R342" i="1"/>
  <c r="Q342" i="1"/>
  <c r="P342" i="1"/>
  <c r="L342" i="1"/>
  <c r="K342" i="1"/>
  <c r="J342" i="1"/>
  <c r="I342" i="1"/>
  <c r="H342" i="1"/>
  <c r="F342" i="1"/>
  <c r="AD341" i="1"/>
  <c r="AC341" i="1"/>
  <c r="AB341" i="1"/>
  <c r="AA341" i="1"/>
  <c r="Y341" i="1"/>
  <c r="X341" i="1"/>
  <c r="W341" i="1"/>
  <c r="V341" i="1"/>
  <c r="U341" i="1"/>
  <c r="T341" i="1"/>
  <c r="S341" i="1"/>
  <c r="R341" i="1"/>
  <c r="Q341" i="1"/>
  <c r="P341" i="1"/>
  <c r="L341" i="1"/>
  <c r="K341" i="1"/>
  <c r="J341" i="1"/>
  <c r="I341" i="1"/>
  <c r="H341" i="1"/>
  <c r="F341" i="1"/>
  <c r="AD340" i="1"/>
  <c r="AC340" i="1"/>
  <c r="AB340" i="1"/>
  <c r="AA340" i="1"/>
  <c r="Y340" i="1"/>
  <c r="X340" i="1"/>
  <c r="W340" i="1"/>
  <c r="V340" i="1"/>
  <c r="U340" i="1"/>
  <c r="T340" i="1"/>
  <c r="S340" i="1"/>
  <c r="R340" i="1"/>
  <c r="Q340" i="1"/>
  <c r="P340" i="1"/>
  <c r="L340" i="1"/>
  <c r="K340" i="1"/>
  <c r="J340" i="1"/>
  <c r="I340" i="1"/>
  <c r="H340" i="1"/>
  <c r="F340" i="1"/>
  <c r="AD339" i="1"/>
  <c r="AC339" i="1"/>
  <c r="AB339" i="1"/>
  <c r="AA339" i="1"/>
  <c r="Y339" i="1"/>
  <c r="X339" i="1"/>
  <c r="W339" i="1"/>
  <c r="V339" i="1"/>
  <c r="U339" i="1"/>
  <c r="T339" i="1"/>
  <c r="S339" i="1"/>
  <c r="R339" i="1"/>
  <c r="Q339" i="1"/>
  <c r="P339" i="1"/>
  <c r="L339" i="1"/>
  <c r="K339" i="1"/>
  <c r="J339" i="1"/>
  <c r="I339" i="1"/>
  <c r="H339" i="1"/>
  <c r="F339" i="1"/>
  <c r="AD338" i="1"/>
  <c r="AC338" i="1"/>
  <c r="AB338" i="1"/>
  <c r="AA338" i="1"/>
  <c r="Y338" i="1"/>
  <c r="X338" i="1"/>
  <c r="W338" i="1"/>
  <c r="V338" i="1"/>
  <c r="U338" i="1"/>
  <c r="T338" i="1"/>
  <c r="S338" i="1"/>
  <c r="R338" i="1"/>
  <c r="Q338" i="1"/>
  <c r="P338" i="1"/>
  <c r="L338" i="1"/>
  <c r="K338" i="1"/>
  <c r="J338" i="1"/>
  <c r="I338" i="1"/>
  <c r="H338" i="1"/>
  <c r="F338" i="1"/>
  <c r="AD337" i="1"/>
  <c r="AC337" i="1"/>
  <c r="AB337" i="1"/>
  <c r="AA337" i="1"/>
  <c r="Y337" i="1"/>
  <c r="X337" i="1"/>
  <c r="W337" i="1"/>
  <c r="V337" i="1"/>
  <c r="U337" i="1"/>
  <c r="T337" i="1"/>
  <c r="S337" i="1"/>
  <c r="R337" i="1"/>
  <c r="Q337" i="1"/>
  <c r="P337" i="1"/>
  <c r="L337" i="1"/>
  <c r="K337" i="1"/>
  <c r="J337" i="1"/>
  <c r="I337" i="1"/>
  <c r="H337" i="1"/>
  <c r="F337" i="1"/>
  <c r="AD336" i="1"/>
  <c r="AC336" i="1"/>
  <c r="AB336" i="1"/>
  <c r="AA336" i="1"/>
  <c r="Y336" i="1"/>
  <c r="X336" i="1"/>
  <c r="W336" i="1"/>
  <c r="V336" i="1"/>
  <c r="U336" i="1"/>
  <c r="T336" i="1"/>
  <c r="S336" i="1"/>
  <c r="R336" i="1"/>
  <c r="Q336" i="1"/>
  <c r="P336" i="1"/>
  <c r="L336" i="1"/>
  <c r="K336" i="1"/>
  <c r="J336" i="1"/>
  <c r="I336" i="1"/>
  <c r="H336" i="1"/>
  <c r="F336" i="1"/>
  <c r="AD335" i="1"/>
  <c r="AC335" i="1"/>
  <c r="AB335" i="1"/>
  <c r="AA335" i="1"/>
  <c r="Y335" i="1"/>
  <c r="X335" i="1"/>
  <c r="W335" i="1"/>
  <c r="V335" i="1"/>
  <c r="U335" i="1"/>
  <c r="T335" i="1"/>
  <c r="S335" i="1"/>
  <c r="R335" i="1"/>
  <c r="Q335" i="1"/>
  <c r="P335" i="1"/>
  <c r="L335" i="1"/>
  <c r="K335" i="1"/>
  <c r="J335" i="1"/>
  <c r="I335" i="1"/>
  <c r="H335" i="1"/>
  <c r="F335" i="1"/>
  <c r="AD334" i="1"/>
  <c r="AC334" i="1"/>
  <c r="AB334" i="1"/>
  <c r="AA334" i="1"/>
  <c r="Y334" i="1"/>
  <c r="X334" i="1"/>
  <c r="W334" i="1"/>
  <c r="V334" i="1"/>
  <c r="U334" i="1"/>
  <c r="T334" i="1"/>
  <c r="S334" i="1"/>
  <c r="R334" i="1"/>
  <c r="Q334" i="1"/>
  <c r="P334" i="1"/>
  <c r="L334" i="1"/>
  <c r="K334" i="1"/>
  <c r="J334" i="1"/>
  <c r="I334" i="1"/>
  <c r="H334" i="1"/>
  <c r="F334" i="1"/>
  <c r="AD333" i="1"/>
  <c r="AC333" i="1"/>
  <c r="AB333" i="1"/>
  <c r="AA333" i="1"/>
  <c r="Y333" i="1"/>
  <c r="X333" i="1"/>
  <c r="W333" i="1"/>
  <c r="V333" i="1"/>
  <c r="U333" i="1"/>
  <c r="T333" i="1"/>
  <c r="S333" i="1"/>
  <c r="R333" i="1"/>
  <c r="Q333" i="1"/>
  <c r="P333" i="1"/>
  <c r="L333" i="1"/>
  <c r="K333" i="1"/>
  <c r="J333" i="1"/>
  <c r="I333" i="1"/>
  <c r="H333" i="1"/>
  <c r="F333" i="1"/>
  <c r="AD332" i="1"/>
  <c r="AC332" i="1"/>
  <c r="AB332" i="1"/>
  <c r="AA332" i="1"/>
  <c r="Y332" i="1"/>
  <c r="X332" i="1"/>
  <c r="W332" i="1"/>
  <c r="V332" i="1"/>
  <c r="U332" i="1"/>
  <c r="T332" i="1"/>
  <c r="S332" i="1"/>
  <c r="R332" i="1"/>
  <c r="Q332" i="1"/>
  <c r="P332" i="1"/>
  <c r="L332" i="1"/>
  <c r="K332" i="1"/>
  <c r="J332" i="1"/>
  <c r="I332" i="1"/>
  <c r="H332" i="1"/>
  <c r="F332" i="1"/>
  <c r="AD331" i="1"/>
  <c r="AC331" i="1"/>
  <c r="AB331" i="1"/>
  <c r="AA331" i="1"/>
  <c r="Y331" i="1"/>
  <c r="X331" i="1"/>
  <c r="W331" i="1"/>
  <c r="V331" i="1"/>
  <c r="U331" i="1"/>
  <c r="T331" i="1"/>
  <c r="S331" i="1"/>
  <c r="R331" i="1"/>
  <c r="Q331" i="1"/>
  <c r="P331" i="1"/>
  <c r="L331" i="1"/>
  <c r="K331" i="1"/>
  <c r="J331" i="1"/>
  <c r="I331" i="1"/>
  <c r="H331" i="1"/>
  <c r="F331" i="1"/>
  <c r="AD330" i="1"/>
  <c r="AC330" i="1"/>
  <c r="AB330" i="1"/>
  <c r="AA330" i="1"/>
  <c r="Y330" i="1"/>
  <c r="X330" i="1"/>
  <c r="W330" i="1"/>
  <c r="V330" i="1"/>
  <c r="U330" i="1"/>
  <c r="T330" i="1"/>
  <c r="S330" i="1"/>
  <c r="R330" i="1"/>
  <c r="Q330" i="1"/>
  <c r="P330" i="1"/>
  <c r="L330" i="1"/>
  <c r="K330" i="1"/>
  <c r="J330" i="1"/>
  <c r="I330" i="1"/>
  <c r="H330" i="1"/>
  <c r="F330" i="1"/>
  <c r="AD329" i="1"/>
  <c r="AC329" i="1"/>
  <c r="AB329" i="1"/>
  <c r="AA329" i="1"/>
  <c r="Y329" i="1"/>
  <c r="X329" i="1"/>
  <c r="W329" i="1"/>
  <c r="V329" i="1"/>
  <c r="U329" i="1"/>
  <c r="T329" i="1"/>
  <c r="S329" i="1"/>
  <c r="R329" i="1"/>
  <c r="Q329" i="1"/>
  <c r="P329" i="1"/>
  <c r="L329" i="1"/>
  <c r="K329" i="1"/>
  <c r="J329" i="1"/>
  <c r="I329" i="1"/>
  <c r="H329" i="1"/>
  <c r="F329" i="1"/>
  <c r="AD328" i="1"/>
  <c r="AC328" i="1"/>
  <c r="AB328" i="1"/>
  <c r="AA328" i="1"/>
  <c r="Y328" i="1"/>
  <c r="X328" i="1"/>
  <c r="W328" i="1"/>
  <c r="V328" i="1"/>
  <c r="U328" i="1"/>
  <c r="T328" i="1"/>
  <c r="S328" i="1"/>
  <c r="R328" i="1"/>
  <c r="Q328" i="1"/>
  <c r="P328" i="1"/>
  <c r="L328" i="1"/>
  <c r="K328" i="1"/>
  <c r="J328" i="1"/>
  <c r="I328" i="1"/>
  <c r="H328" i="1"/>
  <c r="F328" i="1"/>
  <c r="AD327" i="1"/>
  <c r="AC327" i="1"/>
  <c r="AB327" i="1"/>
  <c r="AA327" i="1"/>
  <c r="Y327" i="1"/>
  <c r="X327" i="1"/>
  <c r="W327" i="1"/>
  <c r="V327" i="1"/>
  <c r="U327" i="1"/>
  <c r="T327" i="1"/>
  <c r="S327" i="1"/>
  <c r="R327" i="1"/>
  <c r="Q327" i="1"/>
  <c r="P327" i="1"/>
  <c r="L327" i="1"/>
  <c r="K327" i="1"/>
  <c r="J327" i="1"/>
  <c r="I327" i="1"/>
  <c r="H327" i="1"/>
  <c r="F327" i="1"/>
  <c r="AD326" i="1"/>
  <c r="AC326" i="1"/>
  <c r="AB326" i="1"/>
  <c r="AA326" i="1"/>
  <c r="Y326" i="1"/>
  <c r="X326" i="1"/>
  <c r="W326" i="1"/>
  <c r="V326" i="1"/>
  <c r="U326" i="1"/>
  <c r="T326" i="1"/>
  <c r="S326" i="1"/>
  <c r="R326" i="1"/>
  <c r="Q326" i="1"/>
  <c r="P326" i="1"/>
  <c r="L326" i="1"/>
  <c r="K326" i="1"/>
  <c r="J326" i="1"/>
  <c r="I326" i="1"/>
  <c r="H326" i="1"/>
  <c r="F326" i="1"/>
  <c r="AD325" i="1"/>
  <c r="AC325" i="1"/>
  <c r="AB325" i="1"/>
  <c r="AA325" i="1"/>
  <c r="Y325" i="1"/>
  <c r="X325" i="1"/>
  <c r="W325" i="1"/>
  <c r="V325" i="1"/>
  <c r="U325" i="1"/>
  <c r="T325" i="1"/>
  <c r="S325" i="1"/>
  <c r="R325" i="1"/>
  <c r="Q325" i="1"/>
  <c r="P325" i="1"/>
  <c r="L325" i="1"/>
  <c r="K325" i="1"/>
  <c r="J325" i="1"/>
  <c r="I325" i="1"/>
  <c r="H325" i="1"/>
  <c r="F325" i="1"/>
  <c r="AD324" i="1"/>
  <c r="AC324" i="1"/>
  <c r="AB324" i="1"/>
  <c r="AA324" i="1"/>
  <c r="Y324" i="1"/>
  <c r="X324" i="1"/>
  <c r="W324" i="1"/>
  <c r="V324" i="1"/>
  <c r="U324" i="1"/>
  <c r="T324" i="1"/>
  <c r="S324" i="1"/>
  <c r="R324" i="1"/>
  <c r="Q324" i="1"/>
  <c r="P324" i="1"/>
  <c r="L324" i="1"/>
  <c r="K324" i="1"/>
  <c r="J324" i="1"/>
  <c r="I324" i="1"/>
  <c r="H324" i="1"/>
  <c r="F324" i="1"/>
  <c r="AD323" i="1"/>
  <c r="AC323" i="1"/>
  <c r="AB323" i="1"/>
  <c r="AA323" i="1"/>
  <c r="Y323" i="1"/>
  <c r="X323" i="1"/>
  <c r="W323" i="1"/>
  <c r="V323" i="1"/>
  <c r="U323" i="1"/>
  <c r="T323" i="1"/>
  <c r="S323" i="1"/>
  <c r="R323" i="1"/>
  <c r="Q323" i="1"/>
  <c r="P323" i="1"/>
  <c r="L323" i="1"/>
  <c r="K323" i="1"/>
  <c r="J323" i="1"/>
  <c r="I323" i="1"/>
  <c r="H323" i="1"/>
  <c r="F323" i="1"/>
  <c r="AD322" i="1"/>
  <c r="AC322" i="1"/>
  <c r="AB322" i="1"/>
  <c r="AA322" i="1"/>
  <c r="Y322" i="1"/>
  <c r="X322" i="1"/>
  <c r="W322" i="1"/>
  <c r="V322" i="1"/>
  <c r="U322" i="1"/>
  <c r="T322" i="1"/>
  <c r="S322" i="1"/>
  <c r="R322" i="1"/>
  <c r="Q322" i="1"/>
  <c r="P322" i="1"/>
  <c r="L322" i="1"/>
  <c r="K322" i="1"/>
  <c r="J322" i="1"/>
  <c r="I322" i="1"/>
  <c r="H322" i="1"/>
  <c r="F322" i="1"/>
  <c r="AD321" i="1"/>
  <c r="AC321" i="1"/>
  <c r="AB321" i="1"/>
  <c r="AA321" i="1"/>
  <c r="Y321" i="1"/>
  <c r="X321" i="1"/>
  <c r="W321" i="1"/>
  <c r="V321" i="1"/>
  <c r="U321" i="1"/>
  <c r="T321" i="1"/>
  <c r="S321" i="1"/>
  <c r="R321" i="1"/>
  <c r="Q321" i="1"/>
  <c r="P321" i="1"/>
  <c r="L321" i="1"/>
  <c r="K321" i="1"/>
  <c r="J321" i="1"/>
  <c r="I321" i="1"/>
  <c r="H321" i="1"/>
  <c r="F321" i="1"/>
  <c r="AD320" i="1"/>
  <c r="AC320" i="1"/>
  <c r="AB320" i="1"/>
  <c r="AA320" i="1"/>
  <c r="Y320" i="1"/>
  <c r="X320" i="1"/>
  <c r="W320" i="1"/>
  <c r="V320" i="1"/>
  <c r="U320" i="1"/>
  <c r="T320" i="1"/>
  <c r="S320" i="1"/>
  <c r="R320" i="1"/>
  <c r="Q320" i="1"/>
  <c r="P320" i="1"/>
  <c r="L320" i="1"/>
  <c r="K320" i="1"/>
  <c r="J320" i="1"/>
  <c r="I320" i="1"/>
  <c r="H320" i="1"/>
  <c r="F320" i="1"/>
  <c r="AD319" i="1"/>
  <c r="AC319" i="1"/>
  <c r="AB319" i="1"/>
  <c r="AA319" i="1"/>
  <c r="Y319" i="1"/>
  <c r="X319" i="1"/>
  <c r="W319" i="1"/>
  <c r="V319" i="1"/>
  <c r="U319" i="1"/>
  <c r="T319" i="1"/>
  <c r="S319" i="1"/>
  <c r="R319" i="1"/>
  <c r="Q319" i="1"/>
  <c r="P319" i="1"/>
  <c r="L319" i="1"/>
  <c r="K319" i="1"/>
  <c r="J319" i="1"/>
  <c r="I319" i="1"/>
  <c r="H319" i="1"/>
  <c r="F319" i="1"/>
  <c r="AD318" i="1"/>
  <c r="AC318" i="1"/>
  <c r="AB318" i="1"/>
  <c r="AA318" i="1"/>
  <c r="Y318" i="1"/>
  <c r="X318" i="1"/>
  <c r="W318" i="1"/>
  <c r="V318" i="1"/>
  <c r="U318" i="1"/>
  <c r="T318" i="1"/>
  <c r="S318" i="1"/>
  <c r="R318" i="1"/>
  <c r="Q318" i="1"/>
  <c r="P318" i="1"/>
  <c r="L318" i="1"/>
  <c r="K318" i="1"/>
  <c r="J318" i="1"/>
  <c r="I318" i="1"/>
  <c r="H318" i="1"/>
  <c r="F318" i="1"/>
  <c r="AD317" i="1"/>
  <c r="AC317" i="1"/>
  <c r="AB317" i="1"/>
  <c r="AA317" i="1"/>
  <c r="Y317" i="1"/>
  <c r="X317" i="1"/>
  <c r="W317" i="1"/>
  <c r="V317" i="1"/>
  <c r="U317" i="1"/>
  <c r="T317" i="1"/>
  <c r="S317" i="1"/>
  <c r="R317" i="1"/>
  <c r="Q317" i="1"/>
  <c r="P317" i="1"/>
  <c r="L317" i="1"/>
  <c r="K317" i="1"/>
  <c r="J317" i="1"/>
  <c r="I317" i="1"/>
  <c r="H317" i="1"/>
  <c r="F317" i="1"/>
  <c r="AD316" i="1"/>
  <c r="AC316" i="1"/>
  <c r="AB316" i="1"/>
  <c r="AA316" i="1"/>
  <c r="Y316" i="1"/>
  <c r="X316" i="1"/>
  <c r="W316" i="1"/>
  <c r="V316" i="1"/>
  <c r="U316" i="1"/>
  <c r="T316" i="1"/>
  <c r="S316" i="1"/>
  <c r="R316" i="1"/>
  <c r="Q316" i="1"/>
  <c r="P316" i="1"/>
  <c r="L316" i="1"/>
  <c r="K316" i="1"/>
  <c r="J316" i="1"/>
  <c r="I316" i="1"/>
  <c r="H316" i="1"/>
  <c r="F316" i="1"/>
  <c r="AD315" i="1"/>
  <c r="AC315" i="1"/>
  <c r="AB315" i="1"/>
  <c r="AA315" i="1"/>
  <c r="Y315" i="1"/>
  <c r="X315" i="1"/>
  <c r="W315" i="1"/>
  <c r="V315" i="1"/>
  <c r="U315" i="1"/>
  <c r="T315" i="1"/>
  <c r="S315" i="1"/>
  <c r="R315" i="1"/>
  <c r="Q315" i="1"/>
  <c r="P315" i="1"/>
  <c r="L315" i="1"/>
  <c r="K315" i="1"/>
  <c r="J315" i="1"/>
  <c r="I315" i="1"/>
  <c r="H315" i="1"/>
  <c r="F315" i="1"/>
  <c r="AD314" i="1"/>
  <c r="AC314" i="1"/>
  <c r="AB314" i="1"/>
  <c r="AA314" i="1"/>
  <c r="Y314" i="1"/>
  <c r="X314" i="1"/>
  <c r="W314" i="1"/>
  <c r="V314" i="1"/>
  <c r="U314" i="1"/>
  <c r="T314" i="1"/>
  <c r="S314" i="1"/>
  <c r="R314" i="1"/>
  <c r="Q314" i="1"/>
  <c r="P314" i="1"/>
  <c r="L314" i="1"/>
  <c r="K314" i="1"/>
  <c r="J314" i="1"/>
  <c r="I314" i="1"/>
  <c r="H314" i="1"/>
  <c r="F314" i="1"/>
  <c r="AD313" i="1"/>
  <c r="AC313" i="1"/>
  <c r="AB313" i="1"/>
  <c r="AA313" i="1"/>
  <c r="Y313" i="1"/>
  <c r="X313" i="1"/>
  <c r="W313" i="1"/>
  <c r="V313" i="1"/>
  <c r="U313" i="1"/>
  <c r="T313" i="1"/>
  <c r="S313" i="1"/>
  <c r="R313" i="1"/>
  <c r="Q313" i="1"/>
  <c r="P313" i="1"/>
  <c r="L313" i="1"/>
  <c r="K313" i="1"/>
  <c r="J313" i="1"/>
  <c r="I313" i="1"/>
  <c r="H313" i="1"/>
  <c r="F313" i="1"/>
  <c r="AD312" i="1"/>
  <c r="AC312" i="1"/>
  <c r="AB312" i="1"/>
  <c r="AA312" i="1"/>
  <c r="Y312" i="1"/>
  <c r="X312" i="1"/>
  <c r="W312" i="1"/>
  <c r="V312" i="1"/>
  <c r="U312" i="1"/>
  <c r="T312" i="1"/>
  <c r="S312" i="1"/>
  <c r="R312" i="1"/>
  <c r="Q312" i="1"/>
  <c r="P312" i="1"/>
  <c r="L312" i="1"/>
  <c r="K312" i="1"/>
  <c r="J312" i="1"/>
  <c r="I312" i="1"/>
  <c r="H312" i="1"/>
  <c r="F312" i="1"/>
  <c r="AD311" i="1"/>
  <c r="AC311" i="1"/>
  <c r="AB311" i="1"/>
  <c r="AA311" i="1"/>
  <c r="Y311" i="1"/>
  <c r="X311" i="1"/>
  <c r="W311" i="1"/>
  <c r="V311" i="1"/>
  <c r="U311" i="1"/>
  <c r="T311" i="1"/>
  <c r="S311" i="1"/>
  <c r="R311" i="1"/>
  <c r="Q311" i="1"/>
  <c r="P311" i="1"/>
  <c r="L311" i="1"/>
  <c r="K311" i="1"/>
  <c r="J311" i="1"/>
  <c r="I311" i="1"/>
  <c r="H311" i="1"/>
  <c r="F311" i="1"/>
  <c r="AD310" i="1"/>
  <c r="AC310" i="1"/>
  <c r="AB310" i="1"/>
  <c r="AA310" i="1"/>
  <c r="Y310" i="1"/>
  <c r="X310" i="1"/>
  <c r="W310" i="1"/>
  <c r="V310" i="1"/>
  <c r="U310" i="1"/>
  <c r="T310" i="1"/>
  <c r="S310" i="1"/>
  <c r="R310" i="1"/>
  <c r="Q310" i="1"/>
  <c r="P310" i="1"/>
  <c r="L310" i="1"/>
  <c r="K310" i="1"/>
  <c r="J310" i="1"/>
  <c r="I310" i="1"/>
  <c r="H310" i="1"/>
  <c r="F310" i="1"/>
  <c r="AD309" i="1"/>
  <c r="AC309" i="1"/>
  <c r="AB309" i="1"/>
  <c r="AA309" i="1"/>
  <c r="Y309" i="1"/>
  <c r="X309" i="1"/>
  <c r="W309" i="1"/>
  <c r="V309" i="1"/>
  <c r="U309" i="1"/>
  <c r="T309" i="1"/>
  <c r="S309" i="1"/>
  <c r="R309" i="1"/>
  <c r="Q309" i="1"/>
  <c r="P309" i="1"/>
  <c r="L309" i="1"/>
  <c r="K309" i="1"/>
  <c r="J309" i="1"/>
  <c r="I309" i="1"/>
  <c r="H309" i="1"/>
  <c r="F309" i="1"/>
  <c r="AD308" i="1"/>
  <c r="AC308" i="1"/>
  <c r="AB308" i="1"/>
  <c r="AA308" i="1"/>
  <c r="Y308" i="1"/>
  <c r="X308" i="1"/>
  <c r="W308" i="1"/>
  <c r="V308" i="1"/>
  <c r="U308" i="1"/>
  <c r="T308" i="1"/>
  <c r="S308" i="1"/>
  <c r="R308" i="1"/>
  <c r="Q308" i="1"/>
  <c r="P308" i="1"/>
  <c r="L308" i="1"/>
  <c r="K308" i="1"/>
  <c r="J308" i="1"/>
  <c r="I308" i="1"/>
  <c r="H308" i="1"/>
  <c r="F308" i="1"/>
  <c r="AD307" i="1"/>
  <c r="AC307" i="1"/>
  <c r="AB307" i="1"/>
  <c r="AA307" i="1"/>
  <c r="Y307" i="1"/>
  <c r="X307" i="1"/>
  <c r="W307" i="1"/>
  <c r="V307" i="1"/>
  <c r="U307" i="1"/>
  <c r="T307" i="1"/>
  <c r="S307" i="1"/>
  <c r="R307" i="1"/>
  <c r="Q307" i="1"/>
  <c r="P307" i="1"/>
  <c r="L307" i="1"/>
  <c r="K307" i="1"/>
  <c r="J307" i="1"/>
  <c r="I307" i="1"/>
  <c r="H307" i="1"/>
  <c r="F307" i="1"/>
  <c r="AD306" i="1"/>
  <c r="AC306" i="1"/>
  <c r="AB306" i="1"/>
  <c r="AA306" i="1"/>
  <c r="Y306" i="1"/>
  <c r="X306" i="1"/>
  <c r="W306" i="1"/>
  <c r="V306" i="1"/>
  <c r="U306" i="1"/>
  <c r="T306" i="1"/>
  <c r="S306" i="1"/>
  <c r="R306" i="1"/>
  <c r="Q306" i="1"/>
  <c r="P306" i="1"/>
  <c r="L306" i="1"/>
  <c r="K306" i="1"/>
  <c r="J306" i="1"/>
  <c r="I306" i="1"/>
  <c r="H306" i="1"/>
  <c r="F306" i="1"/>
  <c r="AD305" i="1"/>
  <c r="AC305" i="1"/>
  <c r="AB305" i="1"/>
  <c r="AA305" i="1"/>
  <c r="Y305" i="1"/>
  <c r="X305" i="1"/>
  <c r="W305" i="1"/>
  <c r="V305" i="1"/>
  <c r="U305" i="1"/>
  <c r="T305" i="1"/>
  <c r="S305" i="1"/>
  <c r="R305" i="1"/>
  <c r="Q305" i="1"/>
  <c r="P305" i="1"/>
  <c r="L305" i="1"/>
  <c r="K305" i="1"/>
  <c r="J305" i="1"/>
  <c r="I305" i="1"/>
  <c r="H305" i="1"/>
  <c r="F305" i="1"/>
  <c r="AD304" i="1"/>
  <c r="AC304" i="1"/>
  <c r="AB304" i="1"/>
  <c r="AA304" i="1"/>
  <c r="Y304" i="1"/>
  <c r="X304" i="1"/>
  <c r="W304" i="1"/>
  <c r="V304" i="1"/>
  <c r="U304" i="1"/>
  <c r="T304" i="1"/>
  <c r="S304" i="1"/>
  <c r="R304" i="1"/>
  <c r="Q304" i="1"/>
  <c r="P304" i="1"/>
  <c r="L304" i="1"/>
  <c r="K304" i="1"/>
  <c r="J304" i="1"/>
  <c r="I304" i="1"/>
  <c r="H304" i="1"/>
  <c r="F304" i="1"/>
  <c r="AD303" i="1"/>
  <c r="AC303" i="1"/>
  <c r="AB303" i="1"/>
  <c r="AA303" i="1"/>
  <c r="Y303" i="1"/>
  <c r="X303" i="1"/>
  <c r="W303" i="1"/>
  <c r="V303" i="1"/>
  <c r="U303" i="1"/>
  <c r="T303" i="1"/>
  <c r="S303" i="1"/>
  <c r="R303" i="1"/>
  <c r="Q303" i="1"/>
  <c r="P303" i="1"/>
  <c r="L303" i="1"/>
  <c r="K303" i="1"/>
  <c r="J303" i="1"/>
  <c r="I303" i="1"/>
  <c r="H303" i="1"/>
  <c r="F303" i="1"/>
  <c r="AD302" i="1"/>
  <c r="AC302" i="1"/>
  <c r="AB302" i="1"/>
  <c r="AA302" i="1"/>
  <c r="Y302" i="1"/>
  <c r="X302" i="1"/>
  <c r="W302" i="1"/>
  <c r="V302" i="1"/>
  <c r="U302" i="1"/>
  <c r="T302" i="1"/>
  <c r="S302" i="1"/>
  <c r="R302" i="1"/>
  <c r="Q302" i="1"/>
  <c r="P302" i="1"/>
  <c r="L302" i="1"/>
  <c r="K302" i="1"/>
  <c r="J302" i="1"/>
  <c r="I302" i="1"/>
  <c r="H302" i="1"/>
  <c r="F302" i="1"/>
  <c r="AD301" i="1"/>
  <c r="AC301" i="1"/>
  <c r="AB301" i="1"/>
  <c r="AA301" i="1"/>
  <c r="Y301" i="1"/>
  <c r="X301" i="1"/>
  <c r="W301" i="1"/>
  <c r="V301" i="1"/>
  <c r="U301" i="1"/>
  <c r="T301" i="1"/>
  <c r="S301" i="1"/>
  <c r="R301" i="1"/>
  <c r="Q301" i="1"/>
  <c r="P301" i="1"/>
  <c r="L301" i="1"/>
  <c r="K301" i="1"/>
  <c r="J301" i="1"/>
  <c r="I301" i="1"/>
  <c r="H301" i="1"/>
  <c r="F301" i="1"/>
  <c r="AD300" i="1"/>
  <c r="AC300" i="1"/>
  <c r="AB300" i="1"/>
  <c r="AA300" i="1"/>
  <c r="Y300" i="1"/>
  <c r="X300" i="1"/>
  <c r="W300" i="1"/>
  <c r="V300" i="1"/>
  <c r="U300" i="1"/>
  <c r="T300" i="1"/>
  <c r="S300" i="1"/>
  <c r="R300" i="1"/>
  <c r="Q300" i="1"/>
  <c r="P300" i="1"/>
  <c r="L300" i="1"/>
  <c r="K300" i="1"/>
  <c r="J300" i="1"/>
  <c r="I300" i="1"/>
  <c r="H300" i="1"/>
  <c r="F300" i="1"/>
  <c r="AD299" i="1"/>
  <c r="AC299" i="1"/>
  <c r="AB299" i="1"/>
  <c r="AA299" i="1"/>
  <c r="Y299" i="1"/>
  <c r="X299" i="1"/>
  <c r="W299" i="1"/>
  <c r="V299" i="1"/>
  <c r="U299" i="1"/>
  <c r="T299" i="1"/>
  <c r="S299" i="1"/>
  <c r="R299" i="1"/>
  <c r="Q299" i="1"/>
  <c r="P299" i="1"/>
  <c r="L299" i="1"/>
  <c r="K299" i="1"/>
  <c r="J299" i="1"/>
  <c r="I299" i="1"/>
  <c r="H299" i="1"/>
  <c r="F299" i="1"/>
  <c r="AD298" i="1"/>
  <c r="AC298" i="1"/>
  <c r="AB298" i="1"/>
  <c r="AA298" i="1"/>
  <c r="Y298" i="1"/>
  <c r="X298" i="1"/>
  <c r="W298" i="1"/>
  <c r="V298" i="1"/>
  <c r="U298" i="1"/>
  <c r="T298" i="1"/>
  <c r="S298" i="1"/>
  <c r="R298" i="1"/>
  <c r="Q298" i="1"/>
  <c r="P298" i="1"/>
  <c r="L298" i="1"/>
  <c r="K298" i="1"/>
  <c r="J298" i="1"/>
  <c r="I298" i="1"/>
  <c r="H298" i="1"/>
  <c r="F298" i="1"/>
  <c r="AD297" i="1"/>
  <c r="AC297" i="1"/>
  <c r="AB297" i="1"/>
  <c r="AA297" i="1"/>
  <c r="Y297" i="1"/>
  <c r="X297" i="1"/>
  <c r="W297" i="1"/>
  <c r="V297" i="1"/>
  <c r="U297" i="1"/>
  <c r="T297" i="1"/>
  <c r="S297" i="1"/>
  <c r="R297" i="1"/>
  <c r="Q297" i="1"/>
  <c r="P297" i="1"/>
  <c r="L297" i="1"/>
  <c r="K297" i="1"/>
  <c r="J297" i="1"/>
  <c r="I297" i="1"/>
  <c r="H297" i="1"/>
  <c r="F297" i="1"/>
  <c r="AD296" i="1"/>
  <c r="AC296" i="1"/>
  <c r="AB296" i="1"/>
  <c r="AA296" i="1"/>
  <c r="Y296" i="1"/>
  <c r="X296" i="1"/>
  <c r="W296" i="1"/>
  <c r="V296" i="1"/>
  <c r="U296" i="1"/>
  <c r="T296" i="1"/>
  <c r="S296" i="1"/>
  <c r="R296" i="1"/>
  <c r="Q296" i="1"/>
  <c r="P296" i="1"/>
  <c r="L296" i="1"/>
  <c r="K296" i="1"/>
  <c r="J296" i="1"/>
  <c r="I296" i="1"/>
  <c r="H296" i="1"/>
  <c r="F296" i="1"/>
  <c r="AD295" i="1"/>
  <c r="AC295" i="1"/>
  <c r="AB295" i="1"/>
  <c r="AA295" i="1"/>
  <c r="Y295" i="1"/>
  <c r="X295" i="1"/>
  <c r="W295" i="1"/>
  <c r="V295" i="1"/>
  <c r="U295" i="1"/>
  <c r="T295" i="1"/>
  <c r="S295" i="1"/>
  <c r="R295" i="1"/>
  <c r="Q295" i="1"/>
  <c r="P295" i="1"/>
  <c r="L295" i="1"/>
  <c r="K295" i="1"/>
  <c r="J295" i="1"/>
  <c r="I295" i="1"/>
  <c r="H295" i="1"/>
  <c r="F295" i="1"/>
  <c r="AD294" i="1"/>
  <c r="AC294" i="1"/>
  <c r="AB294" i="1"/>
  <c r="AA294" i="1"/>
  <c r="Y294" i="1"/>
  <c r="X294" i="1"/>
  <c r="W294" i="1"/>
  <c r="V294" i="1"/>
  <c r="U294" i="1"/>
  <c r="T294" i="1"/>
  <c r="S294" i="1"/>
  <c r="R294" i="1"/>
  <c r="Q294" i="1"/>
  <c r="P294" i="1"/>
  <c r="L294" i="1"/>
  <c r="K294" i="1"/>
  <c r="J294" i="1"/>
  <c r="I294" i="1"/>
  <c r="H294" i="1"/>
  <c r="F294" i="1"/>
  <c r="AD293" i="1"/>
  <c r="AC293" i="1"/>
  <c r="AB293" i="1"/>
  <c r="AA293" i="1"/>
  <c r="Y293" i="1"/>
  <c r="X293" i="1"/>
  <c r="W293" i="1"/>
  <c r="V293" i="1"/>
  <c r="U293" i="1"/>
  <c r="T293" i="1"/>
  <c r="S293" i="1"/>
  <c r="R293" i="1"/>
  <c r="Q293" i="1"/>
  <c r="P293" i="1"/>
  <c r="L293" i="1"/>
  <c r="K293" i="1"/>
  <c r="J293" i="1"/>
  <c r="I293" i="1"/>
  <c r="H293" i="1"/>
  <c r="F293" i="1"/>
  <c r="AD292" i="1"/>
  <c r="AC292" i="1"/>
  <c r="AB292" i="1"/>
  <c r="AA292" i="1"/>
  <c r="Y292" i="1"/>
  <c r="X292" i="1"/>
  <c r="W292" i="1"/>
  <c r="V292" i="1"/>
  <c r="U292" i="1"/>
  <c r="T292" i="1"/>
  <c r="S292" i="1"/>
  <c r="R292" i="1"/>
  <c r="Q292" i="1"/>
  <c r="P292" i="1"/>
  <c r="L292" i="1"/>
  <c r="K292" i="1"/>
  <c r="J292" i="1"/>
  <c r="I292" i="1"/>
  <c r="H292" i="1"/>
  <c r="F292" i="1"/>
  <c r="AD291" i="1"/>
  <c r="AC291" i="1"/>
  <c r="AB291" i="1"/>
  <c r="AA291" i="1"/>
  <c r="Y291" i="1"/>
  <c r="X291" i="1"/>
  <c r="W291" i="1"/>
  <c r="V291" i="1"/>
  <c r="U291" i="1"/>
  <c r="T291" i="1"/>
  <c r="S291" i="1"/>
  <c r="R291" i="1"/>
  <c r="Q291" i="1"/>
  <c r="P291" i="1"/>
  <c r="L291" i="1"/>
  <c r="K291" i="1"/>
  <c r="J291" i="1"/>
  <c r="I291" i="1"/>
  <c r="H291" i="1"/>
  <c r="F291" i="1"/>
  <c r="AD290" i="1"/>
  <c r="AC290" i="1"/>
  <c r="AB290" i="1"/>
  <c r="AA290" i="1"/>
  <c r="Y290" i="1"/>
  <c r="X290" i="1"/>
  <c r="W290" i="1"/>
  <c r="V290" i="1"/>
  <c r="U290" i="1"/>
  <c r="T290" i="1"/>
  <c r="S290" i="1"/>
  <c r="R290" i="1"/>
  <c r="Q290" i="1"/>
  <c r="P290" i="1"/>
  <c r="L290" i="1"/>
  <c r="K290" i="1"/>
  <c r="J290" i="1"/>
  <c r="I290" i="1"/>
  <c r="H290" i="1"/>
  <c r="F290" i="1"/>
  <c r="AD289" i="1"/>
  <c r="AC289" i="1"/>
  <c r="AB289" i="1"/>
  <c r="AA289" i="1"/>
  <c r="Y289" i="1"/>
  <c r="X289" i="1"/>
  <c r="W289" i="1"/>
  <c r="V289" i="1"/>
  <c r="U289" i="1"/>
  <c r="T289" i="1"/>
  <c r="S289" i="1"/>
  <c r="R289" i="1"/>
  <c r="Q289" i="1"/>
  <c r="P289" i="1"/>
  <c r="L289" i="1"/>
  <c r="K289" i="1"/>
  <c r="J289" i="1"/>
  <c r="I289" i="1"/>
  <c r="H289" i="1"/>
  <c r="F289" i="1"/>
  <c r="AD288" i="1"/>
  <c r="AC288" i="1"/>
  <c r="AB288" i="1"/>
  <c r="AA288" i="1"/>
  <c r="Y288" i="1"/>
  <c r="X288" i="1"/>
  <c r="W288" i="1"/>
  <c r="V288" i="1"/>
  <c r="U288" i="1"/>
  <c r="T288" i="1"/>
  <c r="S288" i="1"/>
  <c r="R288" i="1"/>
  <c r="Q288" i="1"/>
  <c r="P288" i="1"/>
  <c r="L288" i="1"/>
  <c r="K288" i="1"/>
  <c r="J288" i="1"/>
  <c r="I288" i="1"/>
  <c r="H288" i="1"/>
  <c r="F288" i="1"/>
  <c r="AD287" i="1"/>
  <c r="AC287" i="1"/>
  <c r="AB287" i="1"/>
  <c r="AA287" i="1"/>
  <c r="Y287" i="1"/>
  <c r="X287" i="1"/>
  <c r="W287" i="1"/>
  <c r="V287" i="1"/>
  <c r="U287" i="1"/>
  <c r="T287" i="1"/>
  <c r="S287" i="1"/>
  <c r="R287" i="1"/>
  <c r="Q287" i="1"/>
  <c r="P287" i="1"/>
  <c r="L287" i="1"/>
  <c r="K287" i="1"/>
  <c r="J287" i="1"/>
  <c r="I287" i="1"/>
  <c r="H287" i="1"/>
  <c r="F287" i="1"/>
  <c r="AD286" i="1"/>
  <c r="AC286" i="1"/>
  <c r="AB286" i="1"/>
  <c r="AA286" i="1"/>
  <c r="Y286" i="1"/>
  <c r="X286" i="1"/>
  <c r="W286" i="1"/>
  <c r="V286" i="1"/>
  <c r="U286" i="1"/>
  <c r="T286" i="1"/>
  <c r="S286" i="1"/>
  <c r="R286" i="1"/>
  <c r="Q286" i="1"/>
  <c r="P286" i="1"/>
  <c r="L286" i="1"/>
  <c r="K286" i="1"/>
  <c r="J286" i="1"/>
  <c r="I286" i="1"/>
  <c r="H286" i="1"/>
  <c r="F286" i="1"/>
  <c r="AD285" i="1"/>
  <c r="AC285" i="1"/>
  <c r="AB285" i="1"/>
  <c r="AA285" i="1"/>
  <c r="Y285" i="1"/>
  <c r="X285" i="1"/>
  <c r="W285" i="1"/>
  <c r="V285" i="1"/>
  <c r="U285" i="1"/>
  <c r="T285" i="1"/>
  <c r="S285" i="1"/>
  <c r="R285" i="1"/>
  <c r="Q285" i="1"/>
  <c r="P285" i="1"/>
  <c r="L285" i="1"/>
  <c r="K285" i="1"/>
  <c r="J285" i="1"/>
  <c r="I285" i="1"/>
  <c r="H285" i="1"/>
  <c r="F285" i="1"/>
  <c r="AD284" i="1"/>
  <c r="AC284" i="1"/>
  <c r="AB284" i="1"/>
  <c r="AA284" i="1"/>
  <c r="Y284" i="1"/>
  <c r="X284" i="1"/>
  <c r="W284" i="1"/>
  <c r="V284" i="1"/>
  <c r="U284" i="1"/>
  <c r="T284" i="1"/>
  <c r="S284" i="1"/>
  <c r="R284" i="1"/>
  <c r="Q284" i="1"/>
  <c r="P284" i="1"/>
  <c r="L284" i="1"/>
  <c r="K284" i="1"/>
  <c r="J284" i="1"/>
  <c r="I284" i="1"/>
  <c r="H284" i="1"/>
  <c r="F284" i="1"/>
  <c r="AD283" i="1"/>
  <c r="AC283" i="1"/>
  <c r="AB283" i="1"/>
  <c r="AA283" i="1"/>
  <c r="Y283" i="1"/>
  <c r="X283" i="1"/>
  <c r="W283" i="1"/>
  <c r="V283" i="1"/>
  <c r="U283" i="1"/>
  <c r="T283" i="1"/>
  <c r="S283" i="1"/>
  <c r="R283" i="1"/>
  <c r="Q283" i="1"/>
  <c r="P283" i="1"/>
  <c r="L283" i="1"/>
  <c r="K283" i="1"/>
  <c r="J283" i="1"/>
  <c r="I283" i="1"/>
  <c r="H283" i="1"/>
  <c r="F283" i="1"/>
  <c r="AD282" i="1"/>
  <c r="AC282" i="1"/>
  <c r="AB282" i="1"/>
  <c r="AA282" i="1"/>
  <c r="Y282" i="1"/>
  <c r="X282" i="1"/>
  <c r="W282" i="1"/>
  <c r="V282" i="1"/>
  <c r="U282" i="1"/>
  <c r="T282" i="1"/>
  <c r="S282" i="1"/>
  <c r="R282" i="1"/>
  <c r="Q282" i="1"/>
  <c r="P282" i="1"/>
  <c r="L282" i="1"/>
  <c r="K282" i="1"/>
  <c r="J282" i="1"/>
  <c r="I282" i="1"/>
  <c r="H282" i="1"/>
  <c r="F282" i="1"/>
  <c r="AD281" i="1"/>
  <c r="AC281" i="1"/>
  <c r="AB281" i="1"/>
  <c r="AA281" i="1"/>
  <c r="Y281" i="1"/>
  <c r="X281" i="1"/>
  <c r="W281" i="1"/>
  <c r="V281" i="1"/>
  <c r="U281" i="1"/>
  <c r="T281" i="1"/>
  <c r="S281" i="1"/>
  <c r="R281" i="1"/>
  <c r="Q281" i="1"/>
  <c r="P281" i="1"/>
  <c r="L281" i="1"/>
  <c r="K281" i="1"/>
  <c r="J281" i="1"/>
  <c r="I281" i="1"/>
  <c r="H281" i="1"/>
  <c r="F281" i="1"/>
  <c r="AD280" i="1"/>
  <c r="AC280" i="1"/>
  <c r="AB280" i="1"/>
  <c r="AA280" i="1"/>
  <c r="Y280" i="1"/>
  <c r="X280" i="1"/>
  <c r="W280" i="1"/>
  <c r="V280" i="1"/>
  <c r="U280" i="1"/>
  <c r="T280" i="1"/>
  <c r="S280" i="1"/>
  <c r="R280" i="1"/>
  <c r="Q280" i="1"/>
  <c r="P280" i="1"/>
  <c r="L280" i="1"/>
  <c r="K280" i="1"/>
  <c r="J280" i="1"/>
  <c r="I280" i="1"/>
  <c r="H280" i="1"/>
  <c r="F280" i="1"/>
  <c r="AD279" i="1"/>
  <c r="AC279" i="1"/>
  <c r="AB279" i="1"/>
  <c r="AA279" i="1"/>
  <c r="Y279" i="1"/>
  <c r="X279" i="1"/>
  <c r="W279" i="1"/>
  <c r="V279" i="1"/>
  <c r="U279" i="1"/>
  <c r="T279" i="1"/>
  <c r="S279" i="1"/>
  <c r="R279" i="1"/>
  <c r="Q279" i="1"/>
  <c r="P279" i="1"/>
  <c r="L279" i="1"/>
  <c r="K279" i="1"/>
  <c r="J279" i="1"/>
  <c r="I279" i="1"/>
  <c r="H279" i="1"/>
  <c r="F279" i="1"/>
  <c r="AD278" i="1"/>
  <c r="AC278" i="1"/>
  <c r="AB278" i="1"/>
  <c r="AA278" i="1"/>
  <c r="Y278" i="1"/>
  <c r="X278" i="1"/>
  <c r="W278" i="1"/>
  <c r="V278" i="1"/>
  <c r="U278" i="1"/>
  <c r="T278" i="1"/>
  <c r="S278" i="1"/>
  <c r="R278" i="1"/>
  <c r="Q278" i="1"/>
  <c r="P278" i="1"/>
  <c r="L278" i="1"/>
  <c r="K278" i="1"/>
  <c r="J278" i="1"/>
  <c r="I278" i="1"/>
  <c r="H278" i="1"/>
  <c r="F278" i="1"/>
  <c r="AD277" i="1"/>
  <c r="AC277" i="1"/>
  <c r="AB277" i="1"/>
  <c r="AA277" i="1"/>
  <c r="Y277" i="1"/>
  <c r="X277" i="1"/>
  <c r="W277" i="1"/>
  <c r="V277" i="1"/>
  <c r="U277" i="1"/>
  <c r="T277" i="1"/>
  <c r="S277" i="1"/>
  <c r="R277" i="1"/>
  <c r="Q277" i="1"/>
  <c r="P277" i="1"/>
  <c r="L277" i="1"/>
  <c r="K277" i="1"/>
  <c r="J277" i="1"/>
  <c r="I277" i="1"/>
  <c r="H277" i="1"/>
  <c r="F277" i="1"/>
  <c r="AD276" i="1"/>
  <c r="AC276" i="1"/>
  <c r="AB276" i="1"/>
  <c r="AA276" i="1"/>
  <c r="Y276" i="1"/>
  <c r="X276" i="1"/>
  <c r="W276" i="1"/>
  <c r="V276" i="1"/>
  <c r="U276" i="1"/>
  <c r="T276" i="1"/>
  <c r="S276" i="1"/>
  <c r="R276" i="1"/>
  <c r="Q276" i="1"/>
  <c r="P276" i="1"/>
  <c r="L276" i="1"/>
  <c r="K276" i="1"/>
  <c r="J276" i="1"/>
  <c r="I276" i="1"/>
  <c r="H276" i="1"/>
  <c r="F276" i="1"/>
  <c r="AD275" i="1"/>
  <c r="AC275" i="1"/>
  <c r="AB275" i="1"/>
  <c r="AA275" i="1"/>
  <c r="Y275" i="1"/>
  <c r="X275" i="1"/>
  <c r="W275" i="1"/>
  <c r="V275" i="1"/>
  <c r="U275" i="1"/>
  <c r="T275" i="1"/>
  <c r="S275" i="1"/>
  <c r="R275" i="1"/>
  <c r="Q275" i="1"/>
  <c r="P275" i="1"/>
  <c r="L275" i="1"/>
  <c r="K275" i="1"/>
  <c r="J275" i="1"/>
  <c r="I275" i="1"/>
  <c r="H275" i="1"/>
  <c r="F275" i="1"/>
  <c r="AD274" i="1"/>
  <c r="AC274" i="1"/>
  <c r="AB274" i="1"/>
  <c r="AA274" i="1"/>
  <c r="Y274" i="1"/>
  <c r="X274" i="1"/>
  <c r="W274" i="1"/>
  <c r="V274" i="1"/>
  <c r="U274" i="1"/>
  <c r="T274" i="1"/>
  <c r="S274" i="1"/>
  <c r="R274" i="1"/>
  <c r="Q274" i="1"/>
  <c r="P274" i="1"/>
  <c r="L274" i="1"/>
  <c r="K274" i="1"/>
  <c r="J274" i="1"/>
  <c r="I274" i="1"/>
  <c r="H274" i="1"/>
  <c r="F274" i="1"/>
  <c r="AD273" i="1"/>
  <c r="AC273" i="1"/>
  <c r="AB273" i="1"/>
  <c r="AA273" i="1"/>
  <c r="Y273" i="1"/>
  <c r="X273" i="1"/>
  <c r="W273" i="1"/>
  <c r="V273" i="1"/>
  <c r="U273" i="1"/>
  <c r="T273" i="1"/>
  <c r="S273" i="1"/>
  <c r="R273" i="1"/>
  <c r="Q273" i="1"/>
  <c r="P273" i="1"/>
  <c r="L273" i="1"/>
  <c r="K273" i="1"/>
  <c r="J273" i="1"/>
  <c r="I273" i="1"/>
  <c r="H273" i="1"/>
  <c r="F273" i="1"/>
  <c r="AD272" i="1"/>
  <c r="AC272" i="1"/>
  <c r="AB272" i="1"/>
  <c r="AA272" i="1"/>
  <c r="Y272" i="1"/>
  <c r="X272" i="1"/>
  <c r="W272" i="1"/>
  <c r="V272" i="1"/>
  <c r="U272" i="1"/>
  <c r="T272" i="1"/>
  <c r="S272" i="1"/>
  <c r="R272" i="1"/>
  <c r="Q272" i="1"/>
  <c r="P272" i="1"/>
  <c r="L272" i="1"/>
  <c r="K272" i="1"/>
  <c r="J272" i="1"/>
  <c r="I272" i="1"/>
  <c r="H272" i="1"/>
  <c r="F272" i="1"/>
  <c r="AD271" i="1"/>
  <c r="AC271" i="1"/>
  <c r="AB271" i="1"/>
  <c r="AA271" i="1"/>
  <c r="Y271" i="1"/>
  <c r="X271" i="1"/>
  <c r="W271" i="1"/>
  <c r="V271" i="1"/>
  <c r="U271" i="1"/>
  <c r="T271" i="1"/>
  <c r="S271" i="1"/>
  <c r="R271" i="1"/>
  <c r="Q271" i="1"/>
  <c r="P271" i="1"/>
  <c r="L271" i="1"/>
  <c r="K271" i="1"/>
  <c r="J271" i="1"/>
  <c r="I271" i="1"/>
  <c r="H271" i="1"/>
  <c r="F271" i="1"/>
  <c r="AD270" i="1"/>
  <c r="AC270" i="1"/>
  <c r="AB270" i="1"/>
  <c r="AA270" i="1"/>
  <c r="Y270" i="1"/>
  <c r="X270" i="1"/>
  <c r="W270" i="1"/>
  <c r="V270" i="1"/>
  <c r="U270" i="1"/>
  <c r="T270" i="1"/>
  <c r="S270" i="1"/>
  <c r="R270" i="1"/>
  <c r="Q270" i="1"/>
  <c r="P270" i="1"/>
  <c r="L270" i="1"/>
  <c r="K270" i="1"/>
  <c r="J270" i="1"/>
  <c r="I270" i="1"/>
  <c r="H270" i="1"/>
  <c r="F270" i="1"/>
  <c r="AD269" i="1"/>
  <c r="AC269" i="1"/>
  <c r="AB269" i="1"/>
  <c r="AA269" i="1"/>
  <c r="Y269" i="1"/>
  <c r="X269" i="1"/>
  <c r="W269" i="1"/>
  <c r="V269" i="1"/>
  <c r="U269" i="1"/>
  <c r="T269" i="1"/>
  <c r="S269" i="1"/>
  <c r="R269" i="1"/>
  <c r="Q269" i="1"/>
  <c r="P269" i="1"/>
  <c r="L269" i="1"/>
  <c r="K269" i="1"/>
  <c r="J269" i="1"/>
  <c r="I269" i="1"/>
  <c r="H269" i="1"/>
  <c r="F269" i="1"/>
  <c r="AD268" i="1"/>
  <c r="AC268" i="1"/>
  <c r="AB268" i="1"/>
  <c r="AA268" i="1"/>
  <c r="Y268" i="1"/>
  <c r="X268" i="1"/>
  <c r="W268" i="1"/>
  <c r="V268" i="1"/>
  <c r="U268" i="1"/>
  <c r="T268" i="1"/>
  <c r="S268" i="1"/>
  <c r="R268" i="1"/>
  <c r="Q268" i="1"/>
  <c r="P268" i="1"/>
  <c r="L268" i="1"/>
  <c r="K268" i="1"/>
  <c r="J268" i="1"/>
  <c r="I268" i="1"/>
  <c r="H268" i="1"/>
  <c r="F268" i="1"/>
  <c r="AD267" i="1"/>
  <c r="AC267" i="1"/>
  <c r="AB267" i="1"/>
  <c r="AA267" i="1"/>
  <c r="Y267" i="1"/>
  <c r="X267" i="1"/>
  <c r="W267" i="1"/>
  <c r="V267" i="1"/>
  <c r="U267" i="1"/>
  <c r="T267" i="1"/>
  <c r="S267" i="1"/>
  <c r="R267" i="1"/>
  <c r="Q267" i="1"/>
  <c r="P267" i="1"/>
  <c r="L267" i="1"/>
  <c r="K267" i="1"/>
  <c r="J267" i="1"/>
  <c r="I267" i="1"/>
  <c r="H267" i="1"/>
  <c r="F267" i="1"/>
  <c r="AD266" i="1"/>
  <c r="AC266" i="1"/>
  <c r="AB266" i="1"/>
  <c r="AA266" i="1"/>
  <c r="Y266" i="1"/>
  <c r="X266" i="1"/>
  <c r="W266" i="1"/>
  <c r="V266" i="1"/>
  <c r="U266" i="1"/>
  <c r="T266" i="1"/>
  <c r="S266" i="1"/>
  <c r="R266" i="1"/>
  <c r="Q266" i="1"/>
  <c r="P266" i="1"/>
  <c r="L266" i="1"/>
  <c r="K266" i="1"/>
  <c r="J266" i="1"/>
  <c r="I266" i="1"/>
  <c r="H266" i="1"/>
  <c r="F266" i="1"/>
  <c r="AD265" i="1"/>
  <c r="AC265" i="1"/>
  <c r="AB265" i="1"/>
  <c r="AA265" i="1"/>
  <c r="Y265" i="1"/>
  <c r="X265" i="1"/>
  <c r="W265" i="1"/>
  <c r="V265" i="1"/>
  <c r="U265" i="1"/>
  <c r="T265" i="1"/>
  <c r="S265" i="1"/>
  <c r="R265" i="1"/>
  <c r="Q265" i="1"/>
  <c r="P265" i="1"/>
  <c r="L265" i="1"/>
  <c r="K265" i="1"/>
  <c r="J265" i="1"/>
  <c r="I265" i="1"/>
  <c r="H265" i="1"/>
  <c r="F265" i="1"/>
  <c r="AD264" i="1"/>
  <c r="AC264" i="1"/>
  <c r="AB264" i="1"/>
  <c r="AA264" i="1"/>
  <c r="Y264" i="1"/>
  <c r="X264" i="1"/>
  <c r="W264" i="1"/>
  <c r="V264" i="1"/>
  <c r="U264" i="1"/>
  <c r="T264" i="1"/>
  <c r="S264" i="1"/>
  <c r="R264" i="1"/>
  <c r="Q264" i="1"/>
  <c r="P264" i="1"/>
  <c r="L264" i="1"/>
  <c r="K264" i="1"/>
  <c r="J264" i="1"/>
  <c r="I264" i="1"/>
  <c r="H264" i="1"/>
  <c r="F264" i="1"/>
  <c r="AD263" i="1"/>
  <c r="AC263" i="1"/>
  <c r="AB263" i="1"/>
  <c r="AA263" i="1"/>
  <c r="Y263" i="1"/>
  <c r="X263" i="1"/>
  <c r="W263" i="1"/>
  <c r="V263" i="1"/>
  <c r="U263" i="1"/>
  <c r="T263" i="1"/>
  <c r="S263" i="1"/>
  <c r="R263" i="1"/>
  <c r="Q263" i="1"/>
  <c r="P263" i="1"/>
  <c r="L263" i="1"/>
  <c r="K263" i="1"/>
  <c r="J263" i="1"/>
  <c r="I263" i="1"/>
  <c r="H263" i="1"/>
  <c r="F263" i="1"/>
  <c r="AD262" i="1"/>
  <c r="AC262" i="1"/>
  <c r="AB262" i="1"/>
  <c r="AA262" i="1"/>
  <c r="Y262" i="1"/>
  <c r="X262" i="1"/>
  <c r="W262" i="1"/>
  <c r="V262" i="1"/>
  <c r="U262" i="1"/>
  <c r="T262" i="1"/>
  <c r="S262" i="1"/>
  <c r="R262" i="1"/>
  <c r="Q262" i="1"/>
  <c r="P262" i="1"/>
  <c r="L262" i="1"/>
  <c r="K262" i="1"/>
  <c r="J262" i="1"/>
  <c r="I262" i="1"/>
  <c r="H262" i="1"/>
  <c r="F262" i="1"/>
  <c r="AD261" i="1"/>
  <c r="AC261" i="1"/>
  <c r="AB261" i="1"/>
  <c r="AA261" i="1"/>
  <c r="Y261" i="1"/>
  <c r="X261" i="1"/>
  <c r="W261" i="1"/>
  <c r="V261" i="1"/>
  <c r="U261" i="1"/>
  <c r="T261" i="1"/>
  <c r="S261" i="1"/>
  <c r="R261" i="1"/>
  <c r="Q261" i="1"/>
  <c r="P261" i="1"/>
  <c r="L261" i="1"/>
  <c r="K261" i="1"/>
  <c r="J261" i="1"/>
  <c r="I261" i="1"/>
  <c r="H261" i="1"/>
  <c r="F261" i="1"/>
  <c r="AD260" i="1"/>
  <c r="AC260" i="1"/>
  <c r="AB260" i="1"/>
  <c r="AA260" i="1"/>
  <c r="Y260" i="1"/>
  <c r="X260" i="1"/>
  <c r="W260" i="1"/>
  <c r="V260" i="1"/>
  <c r="U260" i="1"/>
  <c r="T260" i="1"/>
  <c r="S260" i="1"/>
  <c r="R260" i="1"/>
  <c r="Q260" i="1"/>
  <c r="P260" i="1"/>
  <c r="L260" i="1"/>
  <c r="K260" i="1"/>
  <c r="J260" i="1"/>
  <c r="I260" i="1"/>
  <c r="H260" i="1"/>
  <c r="F260" i="1"/>
  <c r="AD259" i="1"/>
  <c r="AC259" i="1"/>
  <c r="AB259" i="1"/>
  <c r="AA259" i="1"/>
  <c r="Y259" i="1"/>
  <c r="X259" i="1"/>
  <c r="W259" i="1"/>
  <c r="V259" i="1"/>
  <c r="U259" i="1"/>
  <c r="T259" i="1"/>
  <c r="S259" i="1"/>
  <c r="R259" i="1"/>
  <c r="Q259" i="1"/>
  <c r="P259" i="1"/>
  <c r="L259" i="1"/>
  <c r="K259" i="1"/>
  <c r="J259" i="1"/>
  <c r="I259" i="1"/>
  <c r="H259" i="1"/>
  <c r="F259" i="1"/>
  <c r="AD258" i="1"/>
  <c r="AC258" i="1"/>
  <c r="AB258" i="1"/>
  <c r="AA258" i="1"/>
  <c r="Y258" i="1"/>
  <c r="X258" i="1"/>
  <c r="W258" i="1"/>
  <c r="V258" i="1"/>
  <c r="U258" i="1"/>
  <c r="T258" i="1"/>
  <c r="S258" i="1"/>
  <c r="R258" i="1"/>
  <c r="Q258" i="1"/>
  <c r="P258" i="1"/>
  <c r="L258" i="1"/>
  <c r="K258" i="1"/>
  <c r="J258" i="1"/>
  <c r="I258" i="1"/>
  <c r="H258" i="1"/>
  <c r="F258" i="1"/>
  <c r="AD257" i="1"/>
  <c r="AC257" i="1"/>
  <c r="AB257" i="1"/>
  <c r="AA257" i="1"/>
  <c r="Y257" i="1"/>
  <c r="X257" i="1"/>
  <c r="W257" i="1"/>
  <c r="V257" i="1"/>
  <c r="U257" i="1"/>
  <c r="T257" i="1"/>
  <c r="S257" i="1"/>
  <c r="R257" i="1"/>
  <c r="Q257" i="1"/>
  <c r="P257" i="1"/>
  <c r="L257" i="1"/>
  <c r="K257" i="1"/>
  <c r="J257" i="1"/>
  <c r="I257" i="1"/>
  <c r="H257" i="1"/>
  <c r="F257" i="1"/>
  <c r="AD256" i="1"/>
  <c r="AC256" i="1"/>
  <c r="AB256" i="1"/>
  <c r="AA256" i="1"/>
  <c r="Y256" i="1"/>
  <c r="X256" i="1"/>
  <c r="W256" i="1"/>
  <c r="V256" i="1"/>
  <c r="U256" i="1"/>
  <c r="T256" i="1"/>
  <c r="S256" i="1"/>
  <c r="R256" i="1"/>
  <c r="Q256" i="1"/>
  <c r="P256" i="1"/>
  <c r="L256" i="1"/>
  <c r="K256" i="1"/>
  <c r="J256" i="1"/>
  <c r="I256" i="1"/>
  <c r="H256" i="1"/>
  <c r="F256" i="1"/>
  <c r="AD255" i="1"/>
  <c r="AC255" i="1"/>
  <c r="AB255" i="1"/>
  <c r="AA255" i="1"/>
  <c r="Y255" i="1"/>
  <c r="X255" i="1"/>
  <c r="W255" i="1"/>
  <c r="V255" i="1"/>
  <c r="U255" i="1"/>
  <c r="T255" i="1"/>
  <c r="S255" i="1"/>
  <c r="R255" i="1"/>
  <c r="Q255" i="1"/>
  <c r="P255" i="1"/>
  <c r="L255" i="1"/>
  <c r="K255" i="1"/>
  <c r="J255" i="1"/>
  <c r="I255" i="1"/>
  <c r="H255" i="1"/>
  <c r="F255" i="1"/>
  <c r="AD254" i="1"/>
  <c r="AC254" i="1"/>
  <c r="AB254" i="1"/>
  <c r="AA254" i="1"/>
  <c r="Y254" i="1"/>
  <c r="X254" i="1"/>
  <c r="W254" i="1"/>
  <c r="V254" i="1"/>
  <c r="U254" i="1"/>
  <c r="T254" i="1"/>
  <c r="S254" i="1"/>
  <c r="R254" i="1"/>
  <c r="Q254" i="1"/>
  <c r="P254" i="1"/>
  <c r="L254" i="1"/>
  <c r="K254" i="1"/>
  <c r="J254" i="1"/>
  <c r="I254" i="1"/>
  <c r="H254" i="1"/>
  <c r="F254" i="1"/>
  <c r="AD253" i="1"/>
  <c r="AC253" i="1"/>
  <c r="AB253" i="1"/>
  <c r="AA253" i="1"/>
  <c r="Y253" i="1"/>
  <c r="X253" i="1"/>
  <c r="W253" i="1"/>
  <c r="V253" i="1"/>
  <c r="U253" i="1"/>
  <c r="T253" i="1"/>
  <c r="S253" i="1"/>
  <c r="R253" i="1"/>
  <c r="Q253" i="1"/>
  <c r="P253" i="1"/>
  <c r="L253" i="1"/>
  <c r="K253" i="1"/>
  <c r="J253" i="1"/>
  <c r="I253" i="1"/>
  <c r="H253" i="1"/>
  <c r="F253" i="1"/>
  <c r="AD252" i="1"/>
  <c r="AC252" i="1"/>
  <c r="AB252" i="1"/>
  <c r="AA252" i="1"/>
  <c r="Y252" i="1"/>
  <c r="X252" i="1"/>
  <c r="W252" i="1"/>
  <c r="V252" i="1"/>
  <c r="U252" i="1"/>
  <c r="T252" i="1"/>
  <c r="S252" i="1"/>
  <c r="R252" i="1"/>
  <c r="Q252" i="1"/>
  <c r="P252" i="1"/>
  <c r="L252" i="1"/>
  <c r="K252" i="1"/>
  <c r="J252" i="1"/>
  <c r="I252" i="1"/>
  <c r="H252" i="1"/>
  <c r="F252" i="1"/>
  <c r="AD251" i="1"/>
  <c r="AC251" i="1"/>
  <c r="AB251" i="1"/>
  <c r="AA251" i="1"/>
  <c r="Y251" i="1"/>
  <c r="X251" i="1"/>
  <c r="W251" i="1"/>
  <c r="V251" i="1"/>
  <c r="U251" i="1"/>
  <c r="T251" i="1"/>
  <c r="S251" i="1"/>
  <c r="R251" i="1"/>
  <c r="Q251" i="1"/>
  <c r="P251" i="1"/>
  <c r="L251" i="1"/>
  <c r="K251" i="1"/>
  <c r="J251" i="1"/>
  <c r="I251" i="1"/>
  <c r="H251" i="1"/>
  <c r="F251" i="1"/>
  <c r="AD250" i="1"/>
  <c r="AC250" i="1"/>
  <c r="AB250" i="1"/>
  <c r="AA250" i="1"/>
  <c r="Y250" i="1"/>
  <c r="X250" i="1"/>
  <c r="W250" i="1"/>
  <c r="V250" i="1"/>
  <c r="U250" i="1"/>
  <c r="T250" i="1"/>
  <c r="S250" i="1"/>
  <c r="R250" i="1"/>
  <c r="Q250" i="1"/>
  <c r="P250" i="1"/>
  <c r="L250" i="1"/>
  <c r="K250" i="1"/>
  <c r="J250" i="1"/>
  <c r="I250" i="1"/>
  <c r="H250" i="1"/>
  <c r="F250" i="1"/>
  <c r="AD249" i="1"/>
  <c r="AC249" i="1"/>
  <c r="AB249" i="1"/>
  <c r="AA249" i="1"/>
  <c r="Y249" i="1"/>
  <c r="X249" i="1"/>
  <c r="W249" i="1"/>
  <c r="V249" i="1"/>
  <c r="U249" i="1"/>
  <c r="T249" i="1"/>
  <c r="S249" i="1"/>
  <c r="R249" i="1"/>
  <c r="Q249" i="1"/>
  <c r="P249" i="1"/>
  <c r="L249" i="1"/>
  <c r="K249" i="1"/>
  <c r="J249" i="1"/>
  <c r="I249" i="1"/>
  <c r="H249" i="1"/>
  <c r="F249" i="1"/>
  <c r="AD248" i="1"/>
  <c r="AC248" i="1"/>
  <c r="AB248" i="1"/>
  <c r="AA248" i="1"/>
  <c r="Y248" i="1"/>
  <c r="X248" i="1"/>
  <c r="W248" i="1"/>
  <c r="V248" i="1"/>
  <c r="U248" i="1"/>
  <c r="T248" i="1"/>
  <c r="S248" i="1"/>
  <c r="R248" i="1"/>
  <c r="Q248" i="1"/>
  <c r="P248" i="1"/>
  <c r="L248" i="1"/>
  <c r="K248" i="1"/>
  <c r="J248" i="1"/>
  <c r="I248" i="1"/>
  <c r="H248" i="1"/>
  <c r="F248" i="1"/>
  <c r="AD247" i="1"/>
  <c r="AC247" i="1"/>
  <c r="AB247" i="1"/>
  <c r="AA247" i="1"/>
  <c r="Y247" i="1"/>
  <c r="X247" i="1"/>
  <c r="W247" i="1"/>
  <c r="V247" i="1"/>
  <c r="U247" i="1"/>
  <c r="T247" i="1"/>
  <c r="S247" i="1"/>
  <c r="R247" i="1"/>
  <c r="Q247" i="1"/>
  <c r="P247" i="1"/>
  <c r="L247" i="1"/>
  <c r="K247" i="1"/>
  <c r="J247" i="1"/>
  <c r="I247" i="1"/>
  <c r="H247" i="1"/>
  <c r="F247" i="1"/>
  <c r="AD246" i="1"/>
  <c r="AC246" i="1"/>
  <c r="AB246" i="1"/>
  <c r="AA246" i="1"/>
  <c r="Y246" i="1"/>
  <c r="X246" i="1"/>
  <c r="W246" i="1"/>
  <c r="V246" i="1"/>
  <c r="U246" i="1"/>
  <c r="T246" i="1"/>
  <c r="S246" i="1"/>
  <c r="R246" i="1"/>
  <c r="Q246" i="1"/>
  <c r="P246" i="1"/>
  <c r="L246" i="1"/>
  <c r="K246" i="1"/>
  <c r="J246" i="1"/>
  <c r="I246" i="1"/>
  <c r="H246" i="1"/>
  <c r="F246" i="1"/>
  <c r="AD245" i="1"/>
  <c r="AC245" i="1"/>
  <c r="AB245" i="1"/>
  <c r="AA245" i="1"/>
  <c r="Y245" i="1"/>
  <c r="X245" i="1"/>
  <c r="W245" i="1"/>
  <c r="V245" i="1"/>
  <c r="U245" i="1"/>
  <c r="T245" i="1"/>
  <c r="S245" i="1"/>
  <c r="R245" i="1"/>
  <c r="Q245" i="1"/>
  <c r="P245" i="1"/>
  <c r="L245" i="1"/>
  <c r="K245" i="1"/>
  <c r="J245" i="1"/>
  <c r="I245" i="1"/>
  <c r="H245" i="1"/>
  <c r="F245" i="1"/>
  <c r="AD244" i="1"/>
  <c r="AC244" i="1"/>
  <c r="AB244" i="1"/>
  <c r="AA244" i="1"/>
  <c r="Y244" i="1"/>
  <c r="X244" i="1"/>
  <c r="W244" i="1"/>
  <c r="V244" i="1"/>
  <c r="U244" i="1"/>
  <c r="T244" i="1"/>
  <c r="S244" i="1"/>
  <c r="R244" i="1"/>
  <c r="Q244" i="1"/>
  <c r="P244" i="1"/>
  <c r="L244" i="1"/>
  <c r="K244" i="1"/>
  <c r="J244" i="1"/>
  <c r="I244" i="1"/>
  <c r="H244" i="1"/>
  <c r="F244" i="1"/>
  <c r="AD243" i="1"/>
  <c r="AC243" i="1"/>
  <c r="AB243" i="1"/>
  <c r="AA243" i="1"/>
  <c r="Y243" i="1"/>
  <c r="X243" i="1"/>
  <c r="W243" i="1"/>
  <c r="V243" i="1"/>
  <c r="U243" i="1"/>
  <c r="T243" i="1"/>
  <c r="S243" i="1"/>
  <c r="R243" i="1"/>
  <c r="Q243" i="1"/>
  <c r="P243" i="1"/>
  <c r="L243" i="1"/>
  <c r="K243" i="1"/>
  <c r="J243" i="1"/>
  <c r="I243" i="1"/>
  <c r="H243" i="1"/>
  <c r="F243" i="1"/>
  <c r="AD242" i="1"/>
  <c r="AC242" i="1"/>
  <c r="AB242" i="1"/>
  <c r="AA242" i="1"/>
  <c r="Y242" i="1"/>
  <c r="X242" i="1"/>
  <c r="W242" i="1"/>
  <c r="V242" i="1"/>
  <c r="U242" i="1"/>
  <c r="T242" i="1"/>
  <c r="S242" i="1"/>
  <c r="R242" i="1"/>
  <c r="Q242" i="1"/>
  <c r="P242" i="1"/>
  <c r="L242" i="1"/>
  <c r="K242" i="1"/>
  <c r="J242" i="1"/>
  <c r="I242" i="1"/>
  <c r="H242" i="1"/>
  <c r="F242" i="1"/>
  <c r="AD241" i="1"/>
  <c r="AC241" i="1"/>
  <c r="AB241" i="1"/>
  <c r="AA241" i="1"/>
  <c r="Y241" i="1"/>
  <c r="X241" i="1"/>
  <c r="W241" i="1"/>
  <c r="V241" i="1"/>
  <c r="U241" i="1"/>
  <c r="T241" i="1"/>
  <c r="S241" i="1"/>
  <c r="R241" i="1"/>
  <c r="Q241" i="1"/>
  <c r="P241" i="1"/>
  <c r="L241" i="1"/>
  <c r="K241" i="1"/>
  <c r="J241" i="1"/>
  <c r="I241" i="1"/>
  <c r="H241" i="1"/>
  <c r="F241" i="1"/>
  <c r="AD240" i="1"/>
  <c r="AC240" i="1"/>
  <c r="AB240" i="1"/>
  <c r="AA240" i="1"/>
  <c r="Y240" i="1"/>
  <c r="X240" i="1"/>
  <c r="W240" i="1"/>
  <c r="V240" i="1"/>
  <c r="U240" i="1"/>
  <c r="T240" i="1"/>
  <c r="S240" i="1"/>
  <c r="R240" i="1"/>
  <c r="Q240" i="1"/>
  <c r="P240" i="1"/>
  <c r="L240" i="1"/>
  <c r="K240" i="1"/>
  <c r="J240" i="1"/>
  <c r="I240" i="1"/>
  <c r="H240" i="1"/>
  <c r="F240" i="1"/>
  <c r="AD239" i="1"/>
  <c r="AC239" i="1"/>
  <c r="AB239" i="1"/>
  <c r="AA239" i="1"/>
  <c r="Y239" i="1"/>
  <c r="X239" i="1"/>
  <c r="W239" i="1"/>
  <c r="V239" i="1"/>
  <c r="U239" i="1"/>
  <c r="T239" i="1"/>
  <c r="S239" i="1"/>
  <c r="R239" i="1"/>
  <c r="Q239" i="1"/>
  <c r="P239" i="1"/>
  <c r="L239" i="1"/>
  <c r="K239" i="1"/>
  <c r="J239" i="1"/>
  <c r="I239" i="1"/>
  <c r="H239" i="1"/>
  <c r="F239" i="1"/>
  <c r="AD238" i="1"/>
  <c r="AC238" i="1"/>
  <c r="AB238" i="1"/>
  <c r="AA238" i="1"/>
  <c r="Y238" i="1"/>
  <c r="X238" i="1"/>
  <c r="W238" i="1"/>
  <c r="V238" i="1"/>
  <c r="U238" i="1"/>
  <c r="T238" i="1"/>
  <c r="S238" i="1"/>
  <c r="R238" i="1"/>
  <c r="Q238" i="1"/>
  <c r="P238" i="1"/>
  <c r="L238" i="1"/>
  <c r="K238" i="1"/>
  <c r="J238" i="1"/>
  <c r="I238" i="1"/>
  <c r="H238" i="1"/>
  <c r="F238" i="1"/>
  <c r="AD237" i="1"/>
  <c r="AC237" i="1"/>
  <c r="AB237" i="1"/>
  <c r="AA237" i="1"/>
  <c r="Y237" i="1"/>
  <c r="X237" i="1"/>
  <c r="W237" i="1"/>
  <c r="V237" i="1"/>
  <c r="U237" i="1"/>
  <c r="T237" i="1"/>
  <c r="S237" i="1"/>
  <c r="R237" i="1"/>
  <c r="Q237" i="1"/>
  <c r="P237" i="1"/>
  <c r="L237" i="1"/>
  <c r="K237" i="1"/>
  <c r="J237" i="1"/>
  <c r="I237" i="1"/>
  <c r="H237" i="1"/>
  <c r="F237" i="1"/>
  <c r="AD236" i="1"/>
  <c r="AC236" i="1"/>
  <c r="AB236" i="1"/>
  <c r="AA236" i="1"/>
  <c r="Y236" i="1"/>
  <c r="X236" i="1"/>
  <c r="W236" i="1"/>
  <c r="V236" i="1"/>
  <c r="U236" i="1"/>
  <c r="T236" i="1"/>
  <c r="S236" i="1"/>
  <c r="R236" i="1"/>
  <c r="Q236" i="1"/>
  <c r="P236" i="1"/>
  <c r="L236" i="1"/>
  <c r="K236" i="1"/>
  <c r="J236" i="1"/>
  <c r="I236" i="1"/>
  <c r="H236" i="1"/>
  <c r="F236" i="1"/>
  <c r="AD235" i="1"/>
  <c r="AC235" i="1"/>
  <c r="AB235" i="1"/>
  <c r="AA235" i="1"/>
  <c r="Y235" i="1"/>
  <c r="X235" i="1"/>
  <c r="W235" i="1"/>
  <c r="V235" i="1"/>
  <c r="U235" i="1"/>
  <c r="T235" i="1"/>
  <c r="S235" i="1"/>
  <c r="R235" i="1"/>
  <c r="Q235" i="1"/>
  <c r="P235" i="1"/>
  <c r="L235" i="1"/>
  <c r="K235" i="1"/>
  <c r="J235" i="1"/>
  <c r="I235" i="1"/>
  <c r="H235" i="1"/>
  <c r="F235" i="1"/>
  <c r="AD234" i="1"/>
  <c r="AC234" i="1"/>
  <c r="AB234" i="1"/>
  <c r="AA234" i="1"/>
  <c r="Y234" i="1"/>
  <c r="X234" i="1"/>
  <c r="W234" i="1"/>
  <c r="V234" i="1"/>
  <c r="U234" i="1"/>
  <c r="T234" i="1"/>
  <c r="S234" i="1"/>
  <c r="R234" i="1"/>
  <c r="Q234" i="1"/>
  <c r="P234" i="1"/>
  <c r="L234" i="1"/>
  <c r="K234" i="1"/>
  <c r="J234" i="1"/>
  <c r="I234" i="1"/>
  <c r="H234" i="1"/>
  <c r="F234" i="1"/>
  <c r="AD233" i="1"/>
  <c r="AC233" i="1"/>
  <c r="AB233" i="1"/>
  <c r="AA233" i="1"/>
  <c r="Y233" i="1"/>
  <c r="X233" i="1"/>
  <c r="W233" i="1"/>
  <c r="V233" i="1"/>
  <c r="U233" i="1"/>
  <c r="T233" i="1"/>
  <c r="S233" i="1"/>
  <c r="R233" i="1"/>
  <c r="Q233" i="1"/>
  <c r="P233" i="1"/>
  <c r="L233" i="1"/>
  <c r="K233" i="1"/>
  <c r="J233" i="1"/>
  <c r="I233" i="1"/>
  <c r="H233" i="1"/>
  <c r="F233" i="1"/>
  <c r="AD232" i="1"/>
  <c r="AC232" i="1"/>
  <c r="AB232" i="1"/>
  <c r="AA232" i="1"/>
  <c r="Y232" i="1"/>
  <c r="X232" i="1"/>
  <c r="W232" i="1"/>
  <c r="V232" i="1"/>
  <c r="U232" i="1"/>
  <c r="T232" i="1"/>
  <c r="S232" i="1"/>
  <c r="R232" i="1"/>
  <c r="Q232" i="1"/>
  <c r="P232" i="1"/>
  <c r="L232" i="1"/>
  <c r="K232" i="1"/>
  <c r="J232" i="1"/>
  <c r="I232" i="1"/>
  <c r="H232" i="1"/>
  <c r="F232" i="1"/>
  <c r="AD231" i="1"/>
  <c r="AC231" i="1"/>
  <c r="AB231" i="1"/>
  <c r="AA231" i="1"/>
  <c r="Y231" i="1"/>
  <c r="X231" i="1"/>
  <c r="W231" i="1"/>
  <c r="V231" i="1"/>
  <c r="U231" i="1"/>
  <c r="T231" i="1"/>
  <c r="S231" i="1"/>
  <c r="R231" i="1"/>
  <c r="Q231" i="1"/>
  <c r="P231" i="1"/>
  <c r="L231" i="1"/>
  <c r="K231" i="1"/>
  <c r="J231" i="1"/>
  <c r="I231" i="1"/>
  <c r="H231" i="1"/>
  <c r="F231" i="1"/>
  <c r="AD230" i="1"/>
  <c r="AC230" i="1"/>
  <c r="AB230" i="1"/>
  <c r="AA230" i="1"/>
  <c r="Y230" i="1"/>
  <c r="X230" i="1"/>
  <c r="W230" i="1"/>
  <c r="V230" i="1"/>
  <c r="U230" i="1"/>
  <c r="T230" i="1"/>
  <c r="S230" i="1"/>
  <c r="R230" i="1"/>
  <c r="Q230" i="1"/>
  <c r="P230" i="1"/>
  <c r="L230" i="1"/>
  <c r="K230" i="1"/>
  <c r="J230" i="1"/>
  <c r="I230" i="1"/>
  <c r="H230" i="1"/>
  <c r="F230" i="1"/>
  <c r="AD229" i="1"/>
  <c r="AC229" i="1"/>
  <c r="AB229" i="1"/>
  <c r="AA229" i="1"/>
  <c r="Y229" i="1"/>
  <c r="X229" i="1"/>
  <c r="W229" i="1"/>
  <c r="V229" i="1"/>
  <c r="U229" i="1"/>
  <c r="T229" i="1"/>
  <c r="S229" i="1"/>
  <c r="R229" i="1"/>
  <c r="Q229" i="1"/>
  <c r="P229" i="1"/>
  <c r="L229" i="1"/>
  <c r="K229" i="1"/>
  <c r="J229" i="1"/>
  <c r="I229" i="1"/>
  <c r="H229" i="1"/>
  <c r="F229" i="1"/>
  <c r="AD228" i="1"/>
  <c r="AC228" i="1"/>
  <c r="AB228" i="1"/>
  <c r="AA228" i="1"/>
  <c r="Y228" i="1"/>
  <c r="X228" i="1"/>
  <c r="W228" i="1"/>
  <c r="V228" i="1"/>
  <c r="U228" i="1"/>
  <c r="T228" i="1"/>
  <c r="S228" i="1"/>
  <c r="R228" i="1"/>
  <c r="Q228" i="1"/>
  <c r="P228" i="1"/>
  <c r="L228" i="1"/>
  <c r="K228" i="1"/>
  <c r="J228" i="1"/>
  <c r="I228" i="1"/>
  <c r="H228" i="1"/>
  <c r="F228" i="1"/>
  <c r="AD227" i="1"/>
  <c r="AC227" i="1"/>
  <c r="AB227" i="1"/>
  <c r="AA227" i="1"/>
  <c r="Y227" i="1"/>
  <c r="X227" i="1"/>
  <c r="W227" i="1"/>
  <c r="V227" i="1"/>
  <c r="U227" i="1"/>
  <c r="T227" i="1"/>
  <c r="S227" i="1"/>
  <c r="R227" i="1"/>
  <c r="Q227" i="1"/>
  <c r="P227" i="1"/>
  <c r="L227" i="1"/>
  <c r="K227" i="1"/>
  <c r="J227" i="1"/>
  <c r="I227" i="1"/>
  <c r="H227" i="1"/>
  <c r="F227" i="1"/>
  <c r="AD226" i="1"/>
  <c r="AC226" i="1"/>
  <c r="AB226" i="1"/>
  <c r="AA226" i="1"/>
  <c r="Y226" i="1"/>
  <c r="X226" i="1"/>
  <c r="W226" i="1"/>
  <c r="V226" i="1"/>
  <c r="U226" i="1"/>
  <c r="T226" i="1"/>
  <c r="S226" i="1"/>
  <c r="R226" i="1"/>
  <c r="Q226" i="1"/>
  <c r="P226" i="1"/>
  <c r="L226" i="1"/>
  <c r="K226" i="1"/>
  <c r="J226" i="1"/>
  <c r="I226" i="1"/>
  <c r="H226" i="1"/>
  <c r="F226" i="1"/>
  <c r="AD225" i="1"/>
  <c r="AC225" i="1"/>
  <c r="AB225" i="1"/>
  <c r="AA225" i="1"/>
  <c r="Y225" i="1"/>
  <c r="X225" i="1"/>
  <c r="W225" i="1"/>
  <c r="V225" i="1"/>
  <c r="U225" i="1"/>
  <c r="T225" i="1"/>
  <c r="S225" i="1"/>
  <c r="R225" i="1"/>
  <c r="Q225" i="1"/>
  <c r="P225" i="1"/>
  <c r="L225" i="1"/>
  <c r="K225" i="1"/>
  <c r="J225" i="1"/>
  <c r="I225" i="1"/>
  <c r="H225" i="1"/>
  <c r="F225" i="1"/>
  <c r="AD224" i="1"/>
  <c r="AC224" i="1"/>
  <c r="AB224" i="1"/>
  <c r="AA224" i="1"/>
  <c r="Y224" i="1"/>
  <c r="X224" i="1"/>
  <c r="W224" i="1"/>
  <c r="V224" i="1"/>
  <c r="U224" i="1"/>
  <c r="T224" i="1"/>
  <c r="S224" i="1"/>
  <c r="R224" i="1"/>
  <c r="Q224" i="1"/>
  <c r="P224" i="1"/>
  <c r="L224" i="1"/>
  <c r="K224" i="1"/>
  <c r="J224" i="1"/>
  <c r="I224" i="1"/>
  <c r="H224" i="1"/>
  <c r="F224" i="1"/>
  <c r="AD223" i="1"/>
  <c r="AC223" i="1"/>
  <c r="AB223" i="1"/>
  <c r="AA223" i="1"/>
  <c r="Y223" i="1"/>
  <c r="X223" i="1"/>
  <c r="W223" i="1"/>
  <c r="V223" i="1"/>
  <c r="U223" i="1"/>
  <c r="T223" i="1"/>
  <c r="S223" i="1"/>
  <c r="R223" i="1"/>
  <c r="Q223" i="1"/>
  <c r="P223" i="1"/>
  <c r="L223" i="1"/>
  <c r="K223" i="1"/>
  <c r="J223" i="1"/>
  <c r="I223" i="1"/>
  <c r="H223" i="1"/>
  <c r="F223" i="1"/>
  <c r="AD222" i="1"/>
  <c r="AC222" i="1"/>
  <c r="AB222" i="1"/>
  <c r="AA222" i="1"/>
  <c r="Y222" i="1"/>
  <c r="X222" i="1"/>
  <c r="W222" i="1"/>
  <c r="V222" i="1"/>
  <c r="U222" i="1"/>
  <c r="T222" i="1"/>
  <c r="S222" i="1"/>
  <c r="R222" i="1"/>
  <c r="Q222" i="1"/>
  <c r="P222" i="1"/>
  <c r="L222" i="1"/>
  <c r="K222" i="1"/>
  <c r="J222" i="1"/>
  <c r="I222" i="1"/>
  <c r="H222" i="1"/>
  <c r="F222" i="1"/>
  <c r="AD221" i="1"/>
  <c r="AC221" i="1"/>
  <c r="AB221" i="1"/>
  <c r="AA221" i="1"/>
  <c r="Y221" i="1"/>
  <c r="X221" i="1"/>
  <c r="W221" i="1"/>
  <c r="V221" i="1"/>
  <c r="U221" i="1"/>
  <c r="T221" i="1"/>
  <c r="S221" i="1"/>
  <c r="R221" i="1"/>
  <c r="Q221" i="1"/>
  <c r="P221" i="1"/>
  <c r="L221" i="1"/>
  <c r="K221" i="1"/>
  <c r="J221" i="1"/>
  <c r="I221" i="1"/>
  <c r="H221" i="1"/>
  <c r="F221" i="1"/>
  <c r="AD220" i="1"/>
  <c r="AC220" i="1"/>
  <c r="AB220" i="1"/>
  <c r="AA220" i="1"/>
  <c r="Y220" i="1"/>
  <c r="X220" i="1"/>
  <c r="W220" i="1"/>
  <c r="V220" i="1"/>
  <c r="U220" i="1"/>
  <c r="T220" i="1"/>
  <c r="S220" i="1"/>
  <c r="R220" i="1"/>
  <c r="Q220" i="1"/>
  <c r="P220" i="1"/>
  <c r="L220" i="1"/>
  <c r="K220" i="1"/>
  <c r="J220" i="1"/>
  <c r="I220" i="1"/>
  <c r="H220" i="1"/>
  <c r="F220" i="1"/>
  <c r="AD219" i="1"/>
  <c r="AC219" i="1"/>
  <c r="AB219" i="1"/>
  <c r="AA219" i="1"/>
  <c r="Y219" i="1"/>
  <c r="X219" i="1"/>
  <c r="W219" i="1"/>
  <c r="V219" i="1"/>
  <c r="U219" i="1"/>
  <c r="T219" i="1"/>
  <c r="S219" i="1"/>
  <c r="R219" i="1"/>
  <c r="Q219" i="1"/>
  <c r="P219" i="1"/>
  <c r="L219" i="1"/>
  <c r="K219" i="1"/>
  <c r="J219" i="1"/>
  <c r="I219" i="1"/>
  <c r="H219" i="1"/>
  <c r="F219" i="1"/>
  <c r="AD218" i="1"/>
  <c r="AC218" i="1"/>
  <c r="AB218" i="1"/>
  <c r="AA218" i="1"/>
  <c r="Y218" i="1"/>
  <c r="X218" i="1"/>
  <c r="W218" i="1"/>
  <c r="V218" i="1"/>
  <c r="U218" i="1"/>
  <c r="T218" i="1"/>
  <c r="S218" i="1"/>
  <c r="R218" i="1"/>
  <c r="Q218" i="1"/>
  <c r="P218" i="1"/>
  <c r="L218" i="1"/>
  <c r="K218" i="1"/>
  <c r="J218" i="1"/>
  <c r="I218" i="1"/>
  <c r="H218" i="1"/>
  <c r="F218" i="1"/>
  <c r="AD217" i="1"/>
  <c r="AC217" i="1"/>
  <c r="AB217" i="1"/>
  <c r="AA217" i="1"/>
  <c r="Y217" i="1"/>
  <c r="X217" i="1"/>
  <c r="W217" i="1"/>
  <c r="V217" i="1"/>
  <c r="U217" i="1"/>
  <c r="T217" i="1"/>
  <c r="S217" i="1"/>
  <c r="R217" i="1"/>
  <c r="Q217" i="1"/>
  <c r="P217" i="1"/>
  <c r="L217" i="1"/>
  <c r="K217" i="1"/>
  <c r="J217" i="1"/>
  <c r="I217" i="1"/>
  <c r="H217" i="1"/>
  <c r="F217" i="1"/>
  <c r="AD216" i="1"/>
  <c r="AC216" i="1"/>
  <c r="AB216" i="1"/>
  <c r="AA216" i="1"/>
  <c r="Y216" i="1"/>
  <c r="X216" i="1"/>
  <c r="W216" i="1"/>
  <c r="V216" i="1"/>
  <c r="U216" i="1"/>
  <c r="T216" i="1"/>
  <c r="S216" i="1"/>
  <c r="R216" i="1"/>
  <c r="Q216" i="1"/>
  <c r="P216" i="1"/>
  <c r="L216" i="1"/>
  <c r="K216" i="1"/>
  <c r="J216" i="1"/>
  <c r="I216" i="1"/>
  <c r="H216" i="1"/>
  <c r="F216" i="1"/>
  <c r="AD215" i="1"/>
  <c r="AC215" i="1"/>
  <c r="AB215" i="1"/>
  <c r="AA215" i="1"/>
  <c r="Y215" i="1"/>
  <c r="X215" i="1"/>
  <c r="W215" i="1"/>
  <c r="V215" i="1"/>
  <c r="U215" i="1"/>
  <c r="T215" i="1"/>
  <c r="S215" i="1"/>
  <c r="R215" i="1"/>
  <c r="Q215" i="1"/>
  <c r="P215" i="1"/>
  <c r="L215" i="1"/>
  <c r="K215" i="1"/>
  <c r="J215" i="1"/>
  <c r="I215" i="1"/>
  <c r="H215" i="1"/>
  <c r="F215" i="1"/>
  <c r="AD214" i="1"/>
  <c r="AC214" i="1"/>
  <c r="AB214" i="1"/>
  <c r="AA214" i="1"/>
  <c r="Y214" i="1"/>
  <c r="X214" i="1"/>
  <c r="W214" i="1"/>
  <c r="V214" i="1"/>
  <c r="U214" i="1"/>
  <c r="T214" i="1"/>
  <c r="S214" i="1"/>
  <c r="R214" i="1"/>
  <c r="Q214" i="1"/>
  <c r="P214" i="1"/>
  <c r="L214" i="1"/>
  <c r="K214" i="1"/>
  <c r="J214" i="1"/>
  <c r="I214" i="1"/>
  <c r="H214" i="1"/>
  <c r="F214" i="1"/>
  <c r="AD213" i="1"/>
  <c r="AC213" i="1"/>
  <c r="AB213" i="1"/>
  <c r="AA213" i="1"/>
  <c r="Y213" i="1"/>
  <c r="X213" i="1"/>
  <c r="W213" i="1"/>
  <c r="V213" i="1"/>
  <c r="U213" i="1"/>
  <c r="T213" i="1"/>
  <c r="S213" i="1"/>
  <c r="R213" i="1"/>
  <c r="Q213" i="1"/>
  <c r="P213" i="1"/>
  <c r="L213" i="1"/>
  <c r="K213" i="1"/>
  <c r="J213" i="1"/>
  <c r="I213" i="1"/>
  <c r="H213" i="1"/>
  <c r="F213" i="1"/>
  <c r="AD212" i="1"/>
  <c r="AC212" i="1"/>
  <c r="AB212" i="1"/>
  <c r="AA212" i="1"/>
  <c r="Y212" i="1"/>
  <c r="X212" i="1"/>
  <c r="W212" i="1"/>
  <c r="V212" i="1"/>
  <c r="U212" i="1"/>
  <c r="T212" i="1"/>
  <c r="S212" i="1"/>
  <c r="R212" i="1"/>
  <c r="Q212" i="1"/>
  <c r="P212" i="1"/>
  <c r="L212" i="1"/>
  <c r="K212" i="1"/>
  <c r="J212" i="1"/>
  <c r="I212" i="1"/>
  <c r="H212" i="1"/>
  <c r="F212" i="1"/>
  <c r="AD211" i="1"/>
  <c r="AC211" i="1"/>
  <c r="AB211" i="1"/>
  <c r="AA211" i="1"/>
  <c r="Y211" i="1"/>
  <c r="X211" i="1"/>
  <c r="W211" i="1"/>
  <c r="V211" i="1"/>
  <c r="U211" i="1"/>
  <c r="T211" i="1"/>
  <c r="S211" i="1"/>
  <c r="R211" i="1"/>
  <c r="Q211" i="1"/>
  <c r="P211" i="1"/>
  <c r="L211" i="1"/>
  <c r="K211" i="1"/>
  <c r="J211" i="1"/>
  <c r="I211" i="1"/>
  <c r="H211" i="1"/>
  <c r="F211" i="1"/>
  <c r="AD210" i="1"/>
  <c r="AC210" i="1"/>
  <c r="AB210" i="1"/>
  <c r="AA210" i="1"/>
  <c r="Y210" i="1"/>
  <c r="X210" i="1"/>
  <c r="W210" i="1"/>
  <c r="V210" i="1"/>
  <c r="U210" i="1"/>
  <c r="T210" i="1"/>
  <c r="S210" i="1"/>
  <c r="R210" i="1"/>
  <c r="Q210" i="1"/>
  <c r="P210" i="1"/>
  <c r="L210" i="1"/>
  <c r="K210" i="1"/>
  <c r="J210" i="1"/>
  <c r="I210" i="1"/>
  <c r="H210" i="1"/>
  <c r="F210" i="1"/>
  <c r="AD209" i="1"/>
  <c r="AC209" i="1"/>
  <c r="AB209" i="1"/>
  <c r="AA209" i="1"/>
  <c r="Y209" i="1"/>
  <c r="X209" i="1"/>
  <c r="W209" i="1"/>
  <c r="V209" i="1"/>
  <c r="U209" i="1"/>
  <c r="T209" i="1"/>
  <c r="S209" i="1"/>
  <c r="R209" i="1"/>
  <c r="Q209" i="1"/>
  <c r="P209" i="1"/>
  <c r="L209" i="1"/>
  <c r="K209" i="1"/>
  <c r="J209" i="1"/>
  <c r="I209" i="1"/>
  <c r="H209" i="1"/>
  <c r="F209" i="1"/>
  <c r="AD208" i="1"/>
  <c r="AC208" i="1"/>
  <c r="AB208" i="1"/>
  <c r="AA208" i="1"/>
  <c r="Y208" i="1"/>
  <c r="X208" i="1"/>
  <c r="W208" i="1"/>
  <c r="V208" i="1"/>
  <c r="U208" i="1"/>
  <c r="T208" i="1"/>
  <c r="S208" i="1"/>
  <c r="R208" i="1"/>
  <c r="Q208" i="1"/>
  <c r="P208" i="1"/>
  <c r="L208" i="1"/>
  <c r="K208" i="1"/>
  <c r="J208" i="1"/>
  <c r="I208" i="1"/>
  <c r="H208" i="1"/>
  <c r="F208" i="1"/>
  <c r="AD207" i="1"/>
  <c r="AC207" i="1"/>
  <c r="AB207" i="1"/>
  <c r="AA207" i="1"/>
  <c r="Y207" i="1"/>
  <c r="X207" i="1"/>
  <c r="W207" i="1"/>
  <c r="V207" i="1"/>
  <c r="U207" i="1"/>
  <c r="T207" i="1"/>
  <c r="S207" i="1"/>
  <c r="R207" i="1"/>
  <c r="Q207" i="1"/>
  <c r="P207" i="1"/>
  <c r="L207" i="1"/>
  <c r="K207" i="1"/>
  <c r="J207" i="1"/>
  <c r="I207" i="1"/>
  <c r="H207" i="1"/>
  <c r="F207" i="1"/>
  <c r="AD206" i="1"/>
  <c r="AC206" i="1"/>
  <c r="AB206" i="1"/>
  <c r="AA206" i="1"/>
  <c r="Y206" i="1"/>
  <c r="X206" i="1"/>
  <c r="W206" i="1"/>
  <c r="V206" i="1"/>
  <c r="U206" i="1"/>
  <c r="T206" i="1"/>
  <c r="S206" i="1"/>
  <c r="R206" i="1"/>
  <c r="Q206" i="1"/>
  <c r="P206" i="1"/>
  <c r="L206" i="1"/>
  <c r="K206" i="1"/>
  <c r="J206" i="1"/>
  <c r="I206" i="1"/>
  <c r="H206" i="1"/>
  <c r="F206" i="1"/>
  <c r="AD205" i="1"/>
  <c r="AC205" i="1"/>
  <c r="AB205" i="1"/>
  <c r="AA205" i="1"/>
  <c r="Y205" i="1"/>
  <c r="X205" i="1"/>
  <c r="W205" i="1"/>
  <c r="V205" i="1"/>
  <c r="U205" i="1"/>
  <c r="T205" i="1"/>
  <c r="S205" i="1"/>
  <c r="R205" i="1"/>
  <c r="Q205" i="1"/>
  <c r="P205" i="1"/>
  <c r="L205" i="1"/>
  <c r="K205" i="1"/>
  <c r="J205" i="1"/>
  <c r="I205" i="1"/>
  <c r="H205" i="1"/>
  <c r="F205" i="1"/>
  <c r="AD204" i="1"/>
  <c r="AC204" i="1"/>
  <c r="AB204" i="1"/>
  <c r="AA204" i="1"/>
  <c r="Y204" i="1"/>
  <c r="X204" i="1"/>
  <c r="W204" i="1"/>
  <c r="V204" i="1"/>
  <c r="U204" i="1"/>
  <c r="T204" i="1"/>
  <c r="S204" i="1"/>
  <c r="R204" i="1"/>
  <c r="Q204" i="1"/>
  <c r="P204" i="1"/>
  <c r="L204" i="1"/>
  <c r="K204" i="1"/>
  <c r="J204" i="1"/>
  <c r="I204" i="1"/>
  <c r="H204" i="1"/>
  <c r="F204" i="1"/>
  <c r="AD203" i="1"/>
  <c r="AC203" i="1"/>
  <c r="AB203" i="1"/>
  <c r="AA203" i="1"/>
  <c r="Y203" i="1"/>
  <c r="X203" i="1"/>
  <c r="W203" i="1"/>
  <c r="V203" i="1"/>
  <c r="U203" i="1"/>
  <c r="T203" i="1"/>
  <c r="S203" i="1"/>
  <c r="R203" i="1"/>
  <c r="Q203" i="1"/>
  <c r="P203" i="1"/>
  <c r="L203" i="1"/>
  <c r="K203" i="1"/>
  <c r="J203" i="1"/>
  <c r="I203" i="1"/>
  <c r="H203" i="1"/>
  <c r="F203" i="1"/>
  <c r="AD202" i="1"/>
  <c r="AC202" i="1"/>
  <c r="AB202" i="1"/>
  <c r="AA202" i="1"/>
  <c r="Y202" i="1"/>
  <c r="X202" i="1"/>
  <c r="W202" i="1"/>
  <c r="V202" i="1"/>
  <c r="U202" i="1"/>
  <c r="T202" i="1"/>
  <c r="S202" i="1"/>
  <c r="R202" i="1"/>
  <c r="Q202" i="1"/>
  <c r="P202" i="1"/>
  <c r="L202" i="1"/>
  <c r="K202" i="1"/>
  <c r="J202" i="1"/>
  <c r="I202" i="1"/>
  <c r="H202" i="1"/>
  <c r="F202" i="1"/>
  <c r="AD201" i="1"/>
  <c r="AC201" i="1"/>
  <c r="AB201" i="1"/>
  <c r="AA201" i="1"/>
  <c r="Y201" i="1"/>
  <c r="X201" i="1"/>
  <c r="W201" i="1"/>
  <c r="V201" i="1"/>
  <c r="U201" i="1"/>
  <c r="T201" i="1"/>
  <c r="S201" i="1"/>
  <c r="R201" i="1"/>
  <c r="Q201" i="1"/>
  <c r="P201" i="1"/>
  <c r="L201" i="1"/>
  <c r="K201" i="1"/>
  <c r="J201" i="1"/>
  <c r="I201" i="1"/>
  <c r="H201" i="1"/>
  <c r="F201" i="1"/>
  <c r="AD200" i="1"/>
  <c r="AC200" i="1"/>
  <c r="AB200" i="1"/>
  <c r="AA200" i="1"/>
  <c r="Y200" i="1"/>
  <c r="X200" i="1"/>
  <c r="W200" i="1"/>
  <c r="V200" i="1"/>
  <c r="U200" i="1"/>
  <c r="T200" i="1"/>
  <c r="S200" i="1"/>
  <c r="R200" i="1"/>
  <c r="Q200" i="1"/>
  <c r="P200" i="1"/>
  <c r="L200" i="1"/>
  <c r="K200" i="1"/>
  <c r="J200" i="1"/>
  <c r="I200" i="1"/>
  <c r="H200" i="1"/>
  <c r="F200" i="1"/>
  <c r="AD199" i="1"/>
  <c r="AC199" i="1"/>
  <c r="AB199" i="1"/>
  <c r="AA199" i="1"/>
  <c r="Y199" i="1"/>
  <c r="X199" i="1"/>
  <c r="W199" i="1"/>
  <c r="V199" i="1"/>
  <c r="U199" i="1"/>
  <c r="T199" i="1"/>
  <c r="S199" i="1"/>
  <c r="R199" i="1"/>
  <c r="Q199" i="1"/>
  <c r="P199" i="1"/>
  <c r="L199" i="1"/>
  <c r="K199" i="1"/>
  <c r="J199" i="1"/>
  <c r="I199" i="1"/>
  <c r="H199" i="1"/>
  <c r="F199" i="1"/>
  <c r="AD198" i="1"/>
  <c r="AC198" i="1"/>
  <c r="AB198" i="1"/>
  <c r="AA198" i="1"/>
  <c r="Y198" i="1"/>
  <c r="X198" i="1"/>
  <c r="W198" i="1"/>
  <c r="V198" i="1"/>
  <c r="U198" i="1"/>
  <c r="T198" i="1"/>
  <c r="S198" i="1"/>
  <c r="R198" i="1"/>
  <c r="Q198" i="1"/>
  <c r="P198" i="1"/>
  <c r="L198" i="1"/>
  <c r="K198" i="1"/>
  <c r="J198" i="1"/>
  <c r="I198" i="1"/>
  <c r="H198" i="1"/>
  <c r="F198" i="1"/>
  <c r="AD197" i="1"/>
  <c r="AC197" i="1"/>
  <c r="AB197" i="1"/>
  <c r="AA197" i="1"/>
  <c r="Y197" i="1"/>
  <c r="X197" i="1"/>
  <c r="W197" i="1"/>
  <c r="V197" i="1"/>
  <c r="U197" i="1"/>
  <c r="T197" i="1"/>
  <c r="S197" i="1"/>
  <c r="R197" i="1"/>
  <c r="Q197" i="1"/>
  <c r="P197" i="1"/>
  <c r="L197" i="1"/>
  <c r="K197" i="1"/>
  <c r="J197" i="1"/>
  <c r="I197" i="1"/>
  <c r="H197" i="1"/>
  <c r="F197" i="1"/>
  <c r="AD196" i="1"/>
  <c r="AC196" i="1"/>
  <c r="AB196" i="1"/>
  <c r="AA196" i="1"/>
  <c r="Y196" i="1"/>
  <c r="X196" i="1"/>
  <c r="W196" i="1"/>
  <c r="V196" i="1"/>
  <c r="U196" i="1"/>
  <c r="T196" i="1"/>
  <c r="S196" i="1"/>
  <c r="R196" i="1"/>
  <c r="Q196" i="1"/>
  <c r="P196" i="1"/>
  <c r="L196" i="1"/>
  <c r="K196" i="1"/>
  <c r="J196" i="1"/>
  <c r="I196" i="1"/>
  <c r="H196" i="1"/>
  <c r="F196" i="1"/>
  <c r="AD195" i="1"/>
  <c r="AC195" i="1"/>
  <c r="AB195" i="1"/>
  <c r="AA195" i="1"/>
  <c r="Y195" i="1"/>
  <c r="X195" i="1"/>
  <c r="W195" i="1"/>
  <c r="V195" i="1"/>
  <c r="U195" i="1"/>
  <c r="T195" i="1"/>
  <c r="S195" i="1"/>
  <c r="R195" i="1"/>
  <c r="Q195" i="1"/>
  <c r="P195" i="1"/>
  <c r="L195" i="1"/>
  <c r="K195" i="1"/>
  <c r="J195" i="1"/>
  <c r="I195" i="1"/>
  <c r="H195" i="1"/>
  <c r="F195" i="1"/>
  <c r="AD194" i="1"/>
  <c r="AC194" i="1"/>
  <c r="AB194" i="1"/>
  <c r="AA194" i="1"/>
  <c r="Y194" i="1"/>
  <c r="X194" i="1"/>
  <c r="W194" i="1"/>
  <c r="V194" i="1"/>
  <c r="U194" i="1"/>
  <c r="T194" i="1"/>
  <c r="S194" i="1"/>
  <c r="R194" i="1"/>
  <c r="Q194" i="1"/>
  <c r="P194" i="1"/>
  <c r="L194" i="1"/>
  <c r="K194" i="1"/>
  <c r="J194" i="1"/>
  <c r="I194" i="1"/>
  <c r="H194" i="1"/>
  <c r="F194" i="1"/>
  <c r="AD193" i="1"/>
  <c r="AC193" i="1"/>
  <c r="AB193" i="1"/>
  <c r="AA193" i="1"/>
  <c r="Y193" i="1"/>
  <c r="X193" i="1"/>
  <c r="W193" i="1"/>
  <c r="V193" i="1"/>
  <c r="U193" i="1"/>
  <c r="T193" i="1"/>
  <c r="S193" i="1"/>
  <c r="R193" i="1"/>
  <c r="Q193" i="1"/>
  <c r="P193" i="1"/>
  <c r="L193" i="1"/>
  <c r="K193" i="1"/>
  <c r="J193" i="1"/>
  <c r="I193" i="1"/>
  <c r="H193" i="1"/>
  <c r="F193" i="1"/>
  <c r="AD192" i="1"/>
  <c r="AC192" i="1"/>
  <c r="AB192" i="1"/>
  <c r="AA192" i="1"/>
  <c r="Y192" i="1"/>
  <c r="X192" i="1"/>
  <c r="W192" i="1"/>
  <c r="V192" i="1"/>
  <c r="U192" i="1"/>
  <c r="T192" i="1"/>
  <c r="S192" i="1"/>
  <c r="R192" i="1"/>
  <c r="Q192" i="1"/>
  <c r="P192" i="1"/>
  <c r="L192" i="1"/>
  <c r="K192" i="1"/>
  <c r="J192" i="1"/>
  <c r="I192" i="1"/>
  <c r="H192" i="1"/>
  <c r="F192" i="1"/>
  <c r="AD191" i="1"/>
  <c r="AC191" i="1"/>
  <c r="AB191" i="1"/>
  <c r="AA191" i="1"/>
  <c r="Y191" i="1"/>
  <c r="X191" i="1"/>
  <c r="W191" i="1"/>
  <c r="V191" i="1"/>
  <c r="U191" i="1"/>
  <c r="T191" i="1"/>
  <c r="S191" i="1"/>
  <c r="R191" i="1"/>
  <c r="Q191" i="1"/>
  <c r="P191" i="1"/>
  <c r="L191" i="1"/>
  <c r="K191" i="1"/>
  <c r="J191" i="1"/>
  <c r="I191" i="1"/>
  <c r="H191" i="1"/>
  <c r="F191" i="1"/>
  <c r="AD190" i="1"/>
  <c r="AC190" i="1"/>
  <c r="AB190" i="1"/>
  <c r="AA190" i="1"/>
  <c r="Y190" i="1"/>
  <c r="X190" i="1"/>
  <c r="W190" i="1"/>
  <c r="V190" i="1"/>
  <c r="U190" i="1"/>
  <c r="T190" i="1"/>
  <c r="S190" i="1"/>
  <c r="R190" i="1"/>
  <c r="Q190" i="1"/>
  <c r="P190" i="1"/>
  <c r="L190" i="1"/>
  <c r="K190" i="1"/>
  <c r="J190" i="1"/>
  <c r="I190" i="1"/>
  <c r="H190" i="1"/>
  <c r="F190" i="1"/>
  <c r="AD189" i="1"/>
  <c r="AC189" i="1"/>
  <c r="AB189" i="1"/>
  <c r="AA189" i="1"/>
  <c r="Y189" i="1"/>
  <c r="X189" i="1"/>
  <c r="W189" i="1"/>
  <c r="V189" i="1"/>
  <c r="U189" i="1"/>
  <c r="T189" i="1"/>
  <c r="S189" i="1"/>
  <c r="R189" i="1"/>
  <c r="Q189" i="1"/>
  <c r="P189" i="1"/>
  <c r="L189" i="1"/>
  <c r="K189" i="1"/>
  <c r="J189" i="1"/>
  <c r="I189" i="1"/>
  <c r="H189" i="1"/>
  <c r="F189" i="1"/>
  <c r="AD188" i="1"/>
  <c r="AC188" i="1"/>
  <c r="AB188" i="1"/>
  <c r="AA188" i="1"/>
  <c r="Y188" i="1"/>
  <c r="X188" i="1"/>
  <c r="W188" i="1"/>
  <c r="V188" i="1"/>
  <c r="U188" i="1"/>
  <c r="T188" i="1"/>
  <c r="S188" i="1"/>
  <c r="R188" i="1"/>
  <c r="Q188" i="1"/>
  <c r="P188" i="1"/>
  <c r="L188" i="1"/>
  <c r="K188" i="1"/>
  <c r="J188" i="1"/>
  <c r="I188" i="1"/>
  <c r="H188" i="1"/>
  <c r="F188" i="1"/>
  <c r="AD187" i="1"/>
  <c r="AC187" i="1"/>
  <c r="AB187" i="1"/>
  <c r="AA187" i="1"/>
  <c r="Y187" i="1"/>
  <c r="X187" i="1"/>
  <c r="W187" i="1"/>
  <c r="V187" i="1"/>
  <c r="U187" i="1"/>
  <c r="T187" i="1"/>
  <c r="S187" i="1"/>
  <c r="R187" i="1"/>
  <c r="Q187" i="1"/>
  <c r="P187" i="1"/>
  <c r="L187" i="1"/>
  <c r="K187" i="1"/>
  <c r="J187" i="1"/>
  <c r="I187" i="1"/>
  <c r="H187" i="1"/>
  <c r="F187" i="1"/>
  <c r="AD186" i="1"/>
  <c r="AC186" i="1"/>
  <c r="AB186" i="1"/>
  <c r="AA186" i="1"/>
  <c r="Y186" i="1"/>
  <c r="X186" i="1"/>
  <c r="W186" i="1"/>
  <c r="V186" i="1"/>
  <c r="U186" i="1"/>
  <c r="T186" i="1"/>
  <c r="S186" i="1"/>
  <c r="R186" i="1"/>
  <c r="Q186" i="1"/>
  <c r="P186" i="1"/>
  <c r="L186" i="1"/>
  <c r="K186" i="1"/>
  <c r="J186" i="1"/>
  <c r="I186" i="1"/>
  <c r="H186" i="1"/>
  <c r="F186" i="1"/>
  <c r="AD185" i="1"/>
  <c r="AC185" i="1"/>
  <c r="AB185" i="1"/>
  <c r="AA185" i="1"/>
  <c r="Y185" i="1"/>
  <c r="X185" i="1"/>
  <c r="W185" i="1"/>
  <c r="V185" i="1"/>
  <c r="U185" i="1"/>
  <c r="T185" i="1"/>
  <c r="S185" i="1"/>
  <c r="R185" i="1"/>
  <c r="Q185" i="1"/>
  <c r="P185" i="1"/>
  <c r="L185" i="1"/>
  <c r="K185" i="1"/>
  <c r="J185" i="1"/>
  <c r="I185" i="1"/>
  <c r="H185" i="1"/>
  <c r="F185" i="1"/>
  <c r="AD184" i="1"/>
  <c r="AC184" i="1"/>
  <c r="AB184" i="1"/>
  <c r="AA184" i="1"/>
  <c r="Y184" i="1"/>
  <c r="X184" i="1"/>
  <c r="W184" i="1"/>
  <c r="V184" i="1"/>
  <c r="U184" i="1"/>
  <c r="T184" i="1"/>
  <c r="S184" i="1"/>
  <c r="R184" i="1"/>
  <c r="Q184" i="1"/>
  <c r="P184" i="1"/>
  <c r="L184" i="1"/>
  <c r="K184" i="1"/>
  <c r="J184" i="1"/>
  <c r="I184" i="1"/>
  <c r="H184" i="1"/>
  <c r="F184" i="1"/>
  <c r="AD183" i="1"/>
  <c r="AC183" i="1"/>
  <c r="AB183" i="1"/>
  <c r="AA183" i="1"/>
  <c r="Y183" i="1"/>
  <c r="X183" i="1"/>
  <c r="W183" i="1"/>
  <c r="V183" i="1"/>
  <c r="U183" i="1"/>
  <c r="T183" i="1"/>
  <c r="S183" i="1"/>
  <c r="R183" i="1"/>
  <c r="Q183" i="1"/>
  <c r="P183" i="1"/>
  <c r="L183" i="1"/>
  <c r="K183" i="1"/>
  <c r="J183" i="1"/>
  <c r="I183" i="1"/>
  <c r="H183" i="1"/>
  <c r="F183" i="1"/>
  <c r="AD182" i="1"/>
  <c r="AC182" i="1"/>
  <c r="AB182" i="1"/>
  <c r="AA182" i="1"/>
  <c r="Y182" i="1"/>
  <c r="X182" i="1"/>
  <c r="W182" i="1"/>
  <c r="V182" i="1"/>
  <c r="U182" i="1"/>
  <c r="T182" i="1"/>
  <c r="S182" i="1"/>
  <c r="R182" i="1"/>
  <c r="Q182" i="1"/>
  <c r="P182" i="1"/>
  <c r="L182" i="1"/>
  <c r="K182" i="1"/>
  <c r="J182" i="1"/>
  <c r="I182" i="1"/>
  <c r="H182" i="1"/>
  <c r="F182" i="1"/>
  <c r="AD181" i="1"/>
  <c r="AC181" i="1"/>
  <c r="AB181" i="1"/>
  <c r="AA181" i="1"/>
  <c r="Y181" i="1"/>
  <c r="X181" i="1"/>
  <c r="W181" i="1"/>
  <c r="V181" i="1"/>
  <c r="U181" i="1"/>
  <c r="T181" i="1"/>
  <c r="S181" i="1"/>
  <c r="R181" i="1"/>
  <c r="Q181" i="1"/>
  <c r="P181" i="1"/>
  <c r="L181" i="1"/>
  <c r="K181" i="1"/>
  <c r="J181" i="1"/>
  <c r="I181" i="1"/>
  <c r="H181" i="1"/>
  <c r="F181" i="1"/>
  <c r="AD180" i="1"/>
  <c r="AC180" i="1"/>
  <c r="AB180" i="1"/>
  <c r="AA180" i="1"/>
  <c r="Y180" i="1"/>
  <c r="X180" i="1"/>
  <c r="W180" i="1"/>
  <c r="V180" i="1"/>
  <c r="U180" i="1"/>
  <c r="T180" i="1"/>
  <c r="S180" i="1"/>
  <c r="R180" i="1"/>
  <c r="Q180" i="1"/>
  <c r="P180" i="1"/>
  <c r="L180" i="1"/>
  <c r="K180" i="1"/>
  <c r="J180" i="1"/>
  <c r="I180" i="1"/>
  <c r="H180" i="1"/>
  <c r="F180" i="1"/>
  <c r="AD179" i="1"/>
  <c r="AC179" i="1"/>
  <c r="AB179" i="1"/>
  <c r="AA179" i="1"/>
  <c r="Y179" i="1"/>
  <c r="X179" i="1"/>
  <c r="W179" i="1"/>
  <c r="V179" i="1"/>
  <c r="U179" i="1"/>
  <c r="T179" i="1"/>
  <c r="S179" i="1"/>
  <c r="R179" i="1"/>
  <c r="Q179" i="1"/>
  <c r="P179" i="1"/>
  <c r="L179" i="1"/>
  <c r="K179" i="1"/>
  <c r="J179" i="1"/>
  <c r="I179" i="1"/>
  <c r="H179" i="1"/>
  <c r="F179" i="1"/>
  <c r="AD178" i="1"/>
  <c r="AC178" i="1"/>
  <c r="AB178" i="1"/>
  <c r="AA178" i="1"/>
  <c r="Y178" i="1"/>
  <c r="X178" i="1"/>
  <c r="W178" i="1"/>
  <c r="V178" i="1"/>
  <c r="U178" i="1"/>
  <c r="T178" i="1"/>
  <c r="S178" i="1"/>
  <c r="R178" i="1"/>
  <c r="Q178" i="1"/>
  <c r="P178" i="1"/>
  <c r="L178" i="1"/>
  <c r="K178" i="1"/>
  <c r="J178" i="1"/>
  <c r="I178" i="1"/>
  <c r="H178" i="1"/>
  <c r="F178" i="1"/>
  <c r="AD177" i="1"/>
  <c r="AC177" i="1"/>
  <c r="AB177" i="1"/>
  <c r="AA177" i="1"/>
  <c r="Y177" i="1"/>
  <c r="X177" i="1"/>
  <c r="W177" i="1"/>
  <c r="V177" i="1"/>
  <c r="U177" i="1"/>
  <c r="T177" i="1"/>
  <c r="S177" i="1"/>
  <c r="R177" i="1"/>
  <c r="Q177" i="1"/>
  <c r="P177" i="1"/>
  <c r="L177" i="1"/>
  <c r="K177" i="1"/>
  <c r="J177" i="1"/>
  <c r="I177" i="1"/>
  <c r="H177" i="1"/>
  <c r="F177" i="1"/>
  <c r="AD176" i="1"/>
  <c r="AC176" i="1"/>
  <c r="AB176" i="1"/>
  <c r="AA176" i="1"/>
  <c r="Y176" i="1"/>
  <c r="X176" i="1"/>
  <c r="W176" i="1"/>
  <c r="V176" i="1"/>
  <c r="U176" i="1"/>
  <c r="T176" i="1"/>
  <c r="S176" i="1"/>
  <c r="R176" i="1"/>
  <c r="Q176" i="1"/>
  <c r="P176" i="1"/>
  <c r="L176" i="1"/>
  <c r="K176" i="1"/>
  <c r="J176" i="1"/>
  <c r="I176" i="1"/>
  <c r="H176" i="1"/>
  <c r="F176" i="1"/>
  <c r="AD175" i="1"/>
  <c r="AC175" i="1"/>
  <c r="AB175" i="1"/>
  <c r="AA175" i="1"/>
  <c r="Y175" i="1"/>
  <c r="X175" i="1"/>
  <c r="W175" i="1"/>
  <c r="V175" i="1"/>
  <c r="U175" i="1"/>
  <c r="T175" i="1"/>
  <c r="S175" i="1"/>
  <c r="R175" i="1"/>
  <c r="Q175" i="1"/>
  <c r="P175" i="1"/>
  <c r="L175" i="1"/>
  <c r="K175" i="1"/>
  <c r="J175" i="1"/>
  <c r="I175" i="1"/>
  <c r="H175" i="1"/>
  <c r="F175" i="1"/>
  <c r="AD174" i="1"/>
  <c r="AC174" i="1"/>
  <c r="AB174" i="1"/>
  <c r="AA174" i="1"/>
  <c r="Y174" i="1"/>
  <c r="X174" i="1"/>
  <c r="W174" i="1"/>
  <c r="V174" i="1"/>
  <c r="U174" i="1"/>
  <c r="T174" i="1"/>
  <c r="S174" i="1"/>
  <c r="R174" i="1"/>
  <c r="Q174" i="1"/>
  <c r="P174" i="1"/>
  <c r="L174" i="1"/>
  <c r="K174" i="1"/>
  <c r="J174" i="1"/>
  <c r="I174" i="1"/>
  <c r="H174" i="1"/>
  <c r="F174" i="1"/>
  <c r="AD173" i="1"/>
  <c r="AC173" i="1"/>
  <c r="AB173" i="1"/>
  <c r="AA173" i="1"/>
  <c r="Y173" i="1"/>
  <c r="X173" i="1"/>
  <c r="W173" i="1"/>
  <c r="V173" i="1"/>
  <c r="U173" i="1"/>
  <c r="T173" i="1"/>
  <c r="S173" i="1"/>
  <c r="R173" i="1"/>
  <c r="Q173" i="1"/>
  <c r="P173" i="1"/>
  <c r="L173" i="1"/>
  <c r="K173" i="1"/>
  <c r="J173" i="1"/>
  <c r="I173" i="1"/>
  <c r="H173" i="1"/>
  <c r="F173" i="1"/>
  <c r="AD172" i="1"/>
  <c r="AC172" i="1"/>
  <c r="AB172" i="1"/>
  <c r="AA172" i="1"/>
  <c r="Y172" i="1"/>
  <c r="X172" i="1"/>
  <c r="W172" i="1"/>
  <c r="V172" i="1"/>
  <c r="U172" i="1"/>
  <c r="T172" i="1"/>
  <c r="S172" i="1"/>
  <c r="R172" i="1"/>
  <c r="Q172" i="1"/>
  <c r="P172" i="1"/>
  <c r="L172" i="1"/>
  <c r="K172" i="1"/>
  <c r="J172" i="1"/>
  <c r="I172" i="1"/>
  <c r="H172" i="1"/>
  <c r="F172" i="1"/>
  <c r="AD171" i="1"/>
  <c r="AC171" i="1"/>
  <c r="AB171" i="1"/>
  <c r="AA171" i="1"/>
  <c r="Y171" i="1"/>
  <c r="X171" i="1"/>
  <c r="W171" i="1"/>
  <c r="V171" i="1"/>
  <c r="U171" i="1"/>
  <c r="T171" i="1"/>
  <c r="S171" i="1"/>
  <c r="R171" i="1"/>
  <c r="Q171" i="1"/>
  <c r="P171" i="1"/>
  <c r="L171" i="1"/>
  <c r="K171" i="1"/>
  <c r="J171" i="1"/>
  <c r="I171" i="1"/>
  <c r="H171" i="1"/>
  <c r="F171" i="1"/>
  <c r="AD170" i="1"/>
  <c r="AC170" i="1"/>
  <c r="AB170" i="1"/>
  <c r="AA170" i="1"/>
  <c r="Y170" i="1"/>
  <c r="X170" i="1"/>
  <c r="W170" i="1"/>
  <c r="V170" i="1"/>
  <c r="U170" i="1"/>
  <c r="T170" i="1"/>
  <c r="S170" i="1"/>
  <c r="R170" i="1"/>
  <c r="Q170" i="1"/>
  <c r="P170" i="1"/>
  <c r="L170" i="1"/>
  <c r="K170" i="1"/>
  <c r="J170" i="1"/>
  <c r="I170" i="1"/>
  <c r="H170" i="1"/>
  <c r="F170" i="1"/>
  <c r="AD169" i="1"/>
  <c r="AC169" i="1"/>
  <c r="AB169" i="1"/>
  <c r="AA169" i="1"/>
  <c r="Y169" i="1"/>
  <c r="X169" i="1"/>
  <c r="W169" i="1"/>
  <c r="V169" i="1"/>
  <c r="U169" i="1"/>
  <c r="T169" i="1"/>
  <c r="S169" i="1"/>
  <c r="R169" i="1"/>
  <c r="Q169" i="1"/>
  <c r="P169" i="1"/>
  <c r="L169" i="1"/>
  <c r="K169" i="1"/>
  <c r="J169" i="1"/>
  <c r="I169" i="1"/>
  <c r="H169" i="1"/>
  <c r="F169" i="1"/>
  <c r="AD168" i="1"/>
  <c r="AC168" i="1"/>
  <c r="AB168" i="1"/>
  <c r="AA168" i="1"/>
  <c r="Y168" i="1"/>
  <c r="X168" i="1"/>
  <c r="W168" i="1"/>
  <c r="V168" i="1"/>
  <c r="U168" i="1"/>
  <c r="T168" i="1"/>
  <c r="S168" i="1"/>
  <c r="R168" i="1"/>
  <c r="Q168" i="1"/>
  <c r="P168" i="1"/>
  <c r="L168" i="1"/>
  <c r="K168" i="1"/>
  <c r="J168" i="1"/>
  <c r="I168" i="1"/>
  <c r="H168" i="1"/>
  <c r="F168" i="1"/>
  <c r="AD167" i="1"/>
  <c r="AC167" i="1"/>
  <c r="AB167" i="1"/>
  <c r="AA167" i="1"/>
  <c r="Y167" i="1"/>
  <c r="X167" i="1"/>
  <c r="W167" i="1"/>
  <c r="V167" i="1"/>
  <c r="U167" i="1"/>
  <c r="T167" i="1"/>
  <c r="S167" i="1"/>
  <c r="R167" i="1"/>
  <c r="Q167" i="1"/>
  <c r="P167" i="1"/>
  <c r="L167" i="1"/>
  <c r="K167" i="1"/>
  <c r="J167" i="1"/>
  <c r="I167" i="1"/>
  <c r="H167" i="1"/>
  <c r="F167" i="1"/>
  <c r="AD166" i="1"/>
  <c r="AC166" i="1"/>
  <c r="AB166" i="1"/>
  <c r="AA166" i="1"/>
  <c r="Y166" i="1"/>
  <c r="X166" i="1"/>
  <c r="W166" i="1"/>
  <c r="V166" i="1"/>
  <c r="U166" i="1"/>
  <c r="T166" i="1"/>
  <c r="S166" i="1"/>
  <c r="R166" i="1"/>
  <c r="Q166" i="1"/>
  <c r="P166" i="1"/>
  <c r="L166" i="1"/>
  <c r="K166" i="1"/>
  <c r="J166" i="1"/>
  <c r="I166" i="1"/>
  <c r="H166" i="1"/>
  <c r="F166" i="1"/>
  <c r="AD165" i="1"/>
  <c r="AC165" i="1"/>
  <c r="AB165" i="1"/>
  <c r="AA165" i="1"/>
  <c r="Y165" i="1"/>
  <c r="X165" i="1"/>
  <c r="W165" i="1"/>
  <c r="V165" i="1"/>
  <c r="U165" i="1"/>
  <c r="T165" i="1"/>
  <c r="S165" i="1"/>
  <c r="R165" i="1"/>
  <c r="Q165" i="1"/>
  <c r="P165" i="1"/>
  <c r="L165" i="1"/>
  <c r="K165" i="1"/>
  <c r="J165" i="1"/>
  <c r="I165" i="1"/>
  <c r="H165" i="1"/>
  <c r="F165" i="1"/>
  <c r="AD164" i="1"/>
  <c r="AC164" i="1"/>
  <c r="AB164" i="1"/>
  <c r="AA164" i="1"/>
  <c r="Y164" i="1"/>
  <c r="X164" i="1"/>
  <c r="W164" i="1"/>
  <c r="V164" i="1"/>
  <c r="U164" i="1"/>
  <c r="T164" i="1"/>
  <c r="S164" i="1"/>
  <c r="R164" i="1"/>
  <c r="Q164" i="1"/>
  <c r="P164" i="1"/>
  <c r="L164" i="1"/>
  <c r="K164" i="1"/>
  <c r="J164" i="1"/>
  <c r="I164" i="1"/>
  <c r="H164" i="1"/>
  <c r="F164" i="1"/>
  <c r="AD163" i="1"/>
  <c r="AC163" i="1"/>
  <c r="AB163" i="1"/>
  <c r="AA163" i="1"/>
  <c r="Y163" i="1"/>
  <c r="X163" i="1"/>
  <c r="W163" i="1"/>
  <c r="V163" i="1"/>
  <c r="U163" i="1"/>
  <c r="T163" i="1"/>
  <c r="S163" i="1"/>
  <c r="R163" i="1"/>
  <c r="Q163" i="1"/>
  <c r="P163" i="1"/>
  <c r="L163" i="1"/>
  <c r="K163" i="1"/>
  <c r="J163" i="1"/>
  <c r="I163" i="1"/>
  <c r="H163" i="1"/>
  <c r="F163" i="1"/>
  <c r="AD162" i="1"/>
  <c r="AC162" i="1"/>
  <c r="AB162" i="1"/>
  <c r="AA162" i="1"/>
  <c r="Y162" i="1"/>
  <c r="X162" i="1"/>
  <c r="W162" i="1"/>
  <c r="V162" i="1"/>
  <c r="U162" i="1"/>
  <c r="T162" i="1"/>
  <c r="S162" i="1"/>
  <c r="R162" i="1"/>
  <c r="Q162" i="1"/>
  <c r="P162" i="1"/>
  <c r="L162" i="1"/>
  <c r="K162" i="1"/>
  <c r="J162" i="1"/>
  <c r="I162" i="1"/>
  <c r="H162" i="1"/>
  <c r="F162" i="1"/>
  <c r="AD161" i="1"/>
  <c r="AC161" i="1"/>
  <c r="AB161" i="1"/>
  <c r="AA161" i="1"/>
  <c r="Y161" i="1"/>
  <c r="X161" i="1"/>
  <c r="W161" i="1"/>
  <c r="V161" i="1"/>
  <c r="U161" i="1"/>
  <c r="T161" i="1"/>
  <c r="S161" i="1"/>
  <c r="R161" i="1"/>
  <c r="Q161" i="1"/>
  <c r="P161" i="1"/>
  <c r="L161" i="1"/>
  <c r="K161" i="1"/>
  <c r="J161" i="1"/>
  <c r="I161" i="1"/>
  <c r="H161" i="1"/>
  <c r="F161" i="1"/>
  <c r="AD160" i="1"/>
  <c r="AC160" i="1"/>
  <c r="AB160" i="1"/>
  <c r="AA160" i="1"/>
  <c r="Y160" i="1"/>
  <c r="X160" i="1"/>
  <c r="W160" i="1"/>
  <c r="V160" i="1"/>
  <c r="U160" i="1"/>
  <c r="T160" i="1"/>
  <c r="S160" i="1"/>
  <c r="R160" i="1"/>
  <c r="Q160" i="1"/>
  <c r="P160" i="1"/>
  <c r="L160" i="1"/>
  <c r="K160" i="1"/>
  <c r="J160" i="1"/>
  <c r="I160" i="1"/>
  <c r="H160" i="1"/>
  <c r="F160" i="1"/>
  <c r="AD159" i="1"/>
  <c r="AC159" i="1"/>
  <c r="AB159" i="1"/>
  <c r="AA159" i="1"/>
  <c r="Y159" i="1"/>
  <c r="X159" i="1"/>
  <c r="W159" i="1"/>
  <c r="V159" i="1"/>
  <c r="U159" i="1"/>
  <c r="T159" i="1"/>
  <c r="S159" i="1"/>
  <c r="R159" i="1"/>
  <c r="Q159" i="1"/>
  <c r="P159" i="1"/>
  <c r="L159" i="1"/>
  <c r="K159" i="1"/>
  <c r="J159" i="1"/>
  <c r="I159" i="1"/>
  <c r="H159" i="1"/>
  <c r="F159" i="1"/>
  <c r="AD158" i="1"/>
  <c r="AC158" i="1"/>
  <c r="AB158" i="1"/>
  <c r="AA158" i="1"/>
  <c r="Y158" i="1"/>
  <c r="X158" i="1"/>
  <c r="W158" i="1"/>
  <c r="V158" i="1"/>
  <c r="U158" i="1"/>
  <c r="T158" i="1"/>
  <c r="S158" i="1"/>
  <c r="R158" i="1"/>
  <c r="Q158" i="1"/>
  <c r="P158" i="1"/>
  <c r="L158" i="1"/>
  <c r="K158" i="1"/>
  <c r="J158" i="1"/>
  <c r="I158" i="1"/>
  <c r="H158" i="1"/>
  <c r="F158" i="1"/>
  <c r="AD157" i="1"/>
  <c r="AC157" i="1"/>
  <c r="AB157" i="1"/>
  <c r="AA157" i="1"/>
  <c r="Y157" i="1"/>
  <c r="X157" i="1"/>
  <c r="W157" i="1"/>
  <c r="V157" i="1"/>
  <c r="U157" i="1"/>
  <c r="T157" i="1"/>
  <c r="S157" i="1"/>
  <c r="R157" i="1"/>
  <c r="Q157" i="1"/>
  <c r="P157" i="1"/>
  <c r="L157" i="1"/>
  <c r="K157" i="1"/>
  <c r="J157" i="1"/>
  <c r="I157" i="1"/>
  <c r="H157" i="1"/>
  <c r="F157" i="1"/>
  <c r="AD156" i="1"/>
  <c r="AC156" i="1"/>
  <c r="AB156" i="1"/>
  <c r="AA156" i="1"/>
  <c r="Y156" i="1"/>
  <c r="X156" i="1"/>
  <c r="W156" i="1"/>
  <c r="V156" i="1"/>
  <c r="U156" i="1"/>
  <c r="T156" i="1"/>
  <c r="S156" i="1"/>
  <c r="R156" i="1"/>
  <c r="Q156" i="1"/>
  <c r="P156" i="1"/>
  <c r="L156" i="1"/>
  <c r="K156" i="1"/>
  <c r="J156" i="1"/>
  <c r="I156" i="1"/>
  <c r="H156" i="1"/>
  <c r="F156" i="1"/>
  <c r="AD155" i="1"/>
  <c r="AC155" i="1"/>
  <c r="AB155" i="1"/>
  <c r="AA155" i="1"/>
  <c r="Y155" i="1"/>
  <c r="X155" i="1"/>
  <c r="W155" i="1"/>
  <c r="V155" i="1"/>
  <c r="U155" i="1"/>
  <c r="T155" i="1"/>
  <c r="S155" i="1"/>
  <c r="R155" i="1"/>
  <c r="Q155" i="1"/>
  <c r="P155" i="1"/>
  <c r="L155" i="1"/>
  <c r="K155" i="1"/>
  <c r="J155" i="1"/>
  <c r="I155" i="1"/>
  <c r="H155" i="1"/>
  <c r="F155" i="1"/>
  <c r="AD154" i="1"/>
  <c r="AC154" i="1"/>
  <c r="AB154" i="1"/>
  <c r="AA154" i="1"/>
  <c r="Y154" i="1"/>
  <c r="X154" i="1"/>
  <c r="W154" i="1"/>
  <c r="V154" i="1"/>
  <c r="U154" i="1"/>
  <c r="T154" i="1"/>
  <c r="S154" i="1"/>
  <c r="R154" i="1"/>
  <c r="Q154" i="1"/>
  <c r="P154" i="1"/>
  <c r="L154" i="1"/>
  <c r="K154" i="1"/>
  <c r="J154" i="1"/>
  <c r="I154" i="1"/>
  <c r="H154" i="1"/>
  <c r="F154" i="1"/>
  <c r="AD153" i="1"/>
  <c r="AC153" i="1"/>
  <c r="AB153" i="1"/>
  <c r="AA153" i="1"/>
  <c r="Y153" i="1"/>
  <c r="X153" i="1"/>
  <c r="W153" i="1"/>
  <c r="V153" i="1"/>
  <c r="U153" i="1"/>
  <c r="T153" i="1"/>
  <c r="S153" i="1"/>
  <c r="R153" i="1"/>
  <c r="Q153" i="1"/>
  <c r="P153" i="1"/>
  <c r="L153" i="1"/>
  <c r="K153" i="1"/>
  <c r="J153" i="1"/>
  <c r="I153" i="1"/>
  <c r="H153" i="1"/>
  <c r="F153" i="1"/>
  <c r="AD152" i="1"/>
  <c r="AC152" i="1"/>
  <c r="AB152" i="1"/>
  <c r="AA152" i="1"/>
  <c r="Y152" i="1"/>
  <c r="X152" i="1"/>
  <c r="W152" i="1"/>
  <c r="V152" i="1"/>
  <c r="U152" i="1"/>
  <c r="T152" i="1"/>
  <c r="S152" i="1"/>
  <c r="R152" i="1"/>
  <c r="Q152" i="1"/>
  <c r="P152" i="1"/>
  <c r="L152" i="1"/>
  <c r="K152" i="1"/>
  <c r="J152" i="1"/>
  <c r="I152" i="1"/>
  <c r="H152" i="1"/>
  <c r="F152" i="1"/>
  <c r="AD151" i="1"/>
  <c r="AC151" i="1"/>
  <c r="AB151" i="1"/>
  <c r="AA151" i="1"/>
  <c r="Y151" i="1"/>
  <c r="X151" i="1"/>
  <c r="W151" i="1"/>
  <c r="V151" i="1"/>
  <c r="U151" i="1"/>
  <c r="T151" i="1"/>
  <c r="S151" i="1"/>
  <c r="R151" i="1"/>
  <c r="Q151" i="1"/>
  <c r="P151" i="1"/>
  <c r="L151" i="1"/>
  <c r="K151" i="1"/>
  <c r="J151" i="1"/>
  <c r="I151" i="1"/>
  <c r="H151" i="1"/>
  <c r="F151" i="1"/>
  <c r="AD150" i="1"/>
  <c r="AC150" i="1"/>
  <c r="AB150" i="1"/>
  <c r="AA150" i="1"/>
  <c r="Y150" i="1"/>
  <c r="X150" i="1"/>
  <c r="W150" i="1"/>
  <c r="V150" i="1"/>
  <c r="U150" i="1"/>
  <c r="T150" i="1"/>
  <c r="S150" i="1"/>
  <c r="R150" i="1"/>
  <c r="Q150" i="1"/>
  <c r="P150" i="1"/>
  <c r="L150" i="1"/>
  <c r="K150" i="1"/>
  <c r="J150" i="1"/>
  <c r="I150" i="1"/>
  <c r="H150" i="1"/>
  <c r="F150" i="1"/>
  <c r="AD149" i="1"/>
  <c r="AC149" i="1"/>
  <c r="AB149" i="1"/>
  <c r="AA149" i="1"/>
  <c r="Y149" i="1"/>
  <c r="X149" i="1"/>
  <c r="W149" i="1"/>
  <c r="V149" i="1"/>
  <c r="U149" i="1"/>
  <c r="T149" i="1"/>
  <c r="S149" i="1"/>
  <c r="R149" i="1"/>
  <c r="Q149" i="1"/>
  <c r="P149" i="1"/>
  <c r="L149" i="1"/>
  <c r="K149" i="1"/>
  <c r="J149" i="1"/>
  <c r="I149" i="1"/>
  <c r="H149" i="1"/>
  <c r="F149" i="1"/>
  <c r="AD148" i="1"/>
  <c r="AC148" i="1"/>
  <c r="AB148" i="1"/>
  <c r="AA148" i="1"/>
  <c r="Y148" i="1"/>
  <c r="X148" i="1"/>
  <c r="W148" i="1"/>
  <c r="V148" i="1"/>
  <c r="U148" i="1"/>
  <c r="T148" i="1"/>
  <c r="S148" i="1"/>
  <c r="R148" i="1"/>
  <c r="Q148" i="1"/>
  <c r="P148" i="1"/>
  <c r="L148" i="1"/>
  <c r="K148" i="1"/>
  <c r="J148" i="1"/>
  <c r="I148" i="1"/>
  <c r="H148" i="1"/>
  <c r="F148" i="1"/>
  <c r="AD147" i="1"/>
  <c r="AC147" i="1"/>
  <c r="AB147" i="1"/>
  <c r="AA147" i="1"/>
  <c r="Y147" i="1"/>
  <c r="X147" i="1"/>
  <c r="W147" i="1"/>
  <c r="V147" i="1"/>
  <c r="U147" i="1"/>
  <c r="T147" i="1"/>
  <c r="S147" i="1"/>
  <c r="R147" i="1"/>
  <c r="Q147" i="1"/>
  <c r="P147" i="1"/>
  <c r="L147" i="1"/>
  <c r="K147" i="1"/>
  <c r="J147" i="1"/>
  <c r="I147" i="1"/>
  <c r="H147" i="1"/>
  <c r="F147" i="1"/>
  <c r="AD146" i="1"/>
  <c r="AC146" i="1"/>
  <c r="AB146" i="1"/>
  <c r="AA146" i="1"/>
  <c r="Y146" i="1"/>
  <c r="X146" i="1"/>
  <c r="W146" i="1"/>
  <c r="V146" i="1"/>
  <c r="U146" i="1"/>
  <c r="T146" i="1"/>
  <c r="S146" i="1"/>
  <c r="R146" i="1"/>
  <c r="Q146" i="1"/>
  <c r="P146" i="1"/>
  <c r="L146" i="1"/>
  <c r="K146" i="1"/>
  <c r="J146" i="1"/>
  <c r="I146" i="1"/>
  <c r="H146" i="1"/>
  <c r="F146" i="1"/>
  <c r="AD145" i="1"/>
  <c r="AC145" i="1"/>
  <c r="AB145" i="1"/>
  <c r="AA145" i="1"/>
  <c r="Y145" i="1"/>
  <c r="X145" i="1"/>
  <c r="W145" i="1"/>
  <c r="V145" i="1"/>
  <c r="U145" i="1"/>
  <c r="T145" i="1"/>
  <c r="S145" i="1"/>
  <c r="R145" i="1"/>
  <c r="Q145" i="1"/>
  <c r="P145" i="1"/>
  <c r="L145" i="1"/>
  <c r="K145" i="1"/>
  <c r="J145" i="1"/>
  <c r="I145" i="1"/>
  <c r="H145" i="1"/>
  <c r="F145" i="1"/>
  <c r="AD144" i="1"/>
  <c r="AC144" i="1"/>
  <c r="AB144" i="1"/>
  <c r="AA144" i="1"/>
  <c r="Y144" i="1"/>
  <c r="X144" i="1"/>
  <c r="W144" i="1"/>
  <c r="V144" i="1"/>
  <c r="U144" i="1"/>
  <c r="T144" i="1"/>
  <c r="S144" i="1"/>
  <c r="R144" i="1"/>
  <c r="Q144" i="1"/>
  <c r="P144" i="1"/>
  <c r="L144" i="1"/>
  <c r="K144" i="1"/>
  <c r="J144" i="1"/>
  <c r="I144" i="1"/>
  <c r="H144" i="1"/>
  <c r="F144" i="1"/>
  <c r="AD143" i="1"/>
  <c r="AC143" i="1"/>
  <c r="AB143" i="1"/>
  <c r="AA143" i="1"/>
  <c r="Y143" i="1"/>
  <c r="X143" i="1"/>
  <c r="W143" i="1"/>
  <c r="V143" i="1"/>
  <c r="U143" i="1"/>
  <c r="T143" i="1"/>
  <c r="S143" i="1"/>
  <c r="R143" i="1"/>
  <c r="Q143" i="1"/>
  <c r="P143" i="1"/>
  <c r="L143" i="1"/>
  <c r="K143" i="1"/>
  <c r="J143" i="1"/>
  <c r="I143" i="1"/>
  <c r="H143" i="1"/>
  <c r="F143" i="1"/>
  <c r="AD142" i="1"/>
  <c r="AC142" i="1"/>
  <c r="AB142" i="1"/>
  <c r="AA142" i="1"/>
  <c r="Y142" i="1"/>
  <c r="X142" i="1"/>
  <c r="W142" i="1"/>
  <c r="V142" i="1"/>
  <c r="U142" i="1"/>
  <c r="T142" i="1"/>
  <c r="S142" i="1"/>
  <c r="R142" i="1"/>
  <c r="Q142" i="1"/>
  <c r="P142" i="1"/>
  <c r="L142" i="1"/>
  <c r="K142" i="1"/>
  <c r="J142" i="1"/>
  <c r="I142" i="1"/>
  <c r="H142" i="1"/>
  <c r="F142" i="1"/>
  <c r="AD141" i="1"/>
  <c r="AC141" i="1"/>
  <c r="AB141" i="1"/>
  <c r="AA141" i="1"/>
  <c r="Y141" i="1"/>
  <c r="X141" i="1"/>
  <c r="W141" i="1"/>
  <c r="V141" i="1"/>
  <c r="U141" i="1"/>
  <c r="T141" i="1"/>
  <c r="S141" i="1"/>
  <c r="R141" i="1"/>
  <c r="Q141" i="1"/>
  <c r="P141" i="1"/>
  <c r="L141" i="1"/>
  <c r="K141" i="1"/>
  <c r="J141" i="1"/>
  <c r="I141" i="1"/>
  <c r="H141" i="1"/>
  <c r="F141" i="1"/>
  <c r="AD140" i="1"/>
  <c r="AC140" i="1"/>
  <c r="AB140" i="1"/>
  <c r="AA140" i="1"/>
  <c r="Y140" i="1"/>
  <c r="X140" i="1"/>
  <c r="W140" i="1"/>
  <c r="V140" i="1"/>
  <c r="U140" i="1"/>
  <c r="T140" i="1"/>
  <c r="S140" i="1"/>
  <c r="R140" i="1"/>
  <c r="Q140" i="1"/>
  <c r="P140" i="1"/>
  <c r="L140" i="1"/>
  <c r="K140" i="1"/>
  <c r="J140" i="1"/>
  <c r="I140" i="1"/>
  <c r="H140" i="1"/>
  <c r="F140" i="1"/>
  <c r="AD139" i="1"/>
  <c r="AC139" i="1"/>
  <c r="AB139" i="1"/>
  <c r="AA139" i="1"/>
  <c r="Y139" i="1"/>
  <c r="X139" i="1"/>
  <c r="W139" i="1"/>
  <c r="V139" i="1"/>
  <c r="U139" i="1"/>
  <c r="T139" i="1"/>
  <c r="S139" i="1"/>
  <c r="R139" i="1"/>
  <c r="Q139" i="1"/>
  <c r="P139" i="1"/>
  <c r="L139" i="1"/>
  <c r="K139" i="1"/>
  <c r="J139" i="1"/>
  <c r="I139" i="1"/>
  <c r="H139" i="1"/>
  <c r="F139" i="1"/>
  <c r="AD138" i="1"/>
  <c r="AC138" i="1"/>
  <c r="AB138" i="1"/>
  <c r="AA138" i="1"/>
  <c r="Y138" i="1"/>
  <c r="X138" i="1"/>
  <c r="W138" i="1"/>
  <c r="V138" i="1"/>
  <c r="U138" i="1"/>
  <c r="T138" i="1"/>
  <c r="S138" i="1"/>
  <c r="R138" i="1"/>
  <c r="Q138" i="1"/>
  <c r="P138" i="1"/>
  <c r="L138" i="1"/>
  <c r="K138" i="1"/>
  <c r="J138" i="1"/>
  <c r="I138" i="1"/>
  <c r="H138" i="1"/>
  <c r="F138" i="1"/>
  <c r="AD137" i="1"/>
  <c r="AC137" i="1"/>
  <c r="AB137" i="1"/>
  <c r="AA137" i="1"/>
  <c r="Y137" i="1"/>
  <c r="X137" i="1"/>
  <c r="W137" i="1"/>
  <c r="V137" i="1"/>
  <c r="U137" i="1"/>
  <c r="T137" i="1"/>
  <c r="S137" i="1"/>
  <c r="R137" i="1"/>
  <c r="Q137" i="1"/>
  <c r="P137" i="1"/>
  <c r="L137" i="1"/>
  <c r="K137" i="1"/>
  <c r="J137" i="1"/>
  <c r="I137" i="1"/>
  <c r="H137" i="1"/>
  <c r="F137" i="1"/>
  <c r="AD136" i="1"/>
  <c r="AC136" i="1"/>
  <c r="AB136" i="1"/>
  <c r="AA136" i="1"/>
  <c r="Y136" i="1"/>
  <c r="X136" i="1"/>
  <c r="W136" i="1"/>
  <c r="V136" i="1"/>
  <c r="U136" i="1"/>
  <c r="T136" i="1"/>
  <c r="S136" i="1"/>
  <c r="R136" i="1"/>
  <c r="Q136" i="1"/>
  <c r="P136" i="1"/>
  <c r="L136" i="1"/>
  <c r="K136" i="1"/>
  <c r="J136" i="1"/>
  <c r="I136" i="1"/>
  <c r="H136" i="1"/>
  <c r="F136" i="1"/>
  <c r="AD135" i="1"/>
  <c r="AC135" i="1"/>
  <c r="AB135" i="1"/>
  <c r="AA135" i="1"/>
  <c r="Y135" i="1"/>
  <c r="X135" i="1"/>
  <c r="W135" i="1"/>
  <c r="V135" i="1"/>
  <c r="U135" i="1"/>
  <c r="T135" i="1"/>
  <c r="S135" i="1"/>
  <c r="R135" i="1"/>
  <c r="Q135" i="1"/>
  <c r="P135" i="1"/>
  <c r="L135" i="1"/>
  <c r="K135" i="1"/>
  <c r="J135" i="1"/>
  <c r="I135" i="1"/>
  <c r="H135" i="1"/>
  <c r="F135" i="1"/>
  <c r="AD134" i="1"/>
  <c r="AC134" i="1"/>
  <c r="AB134" i="1"/>
  <c r="AA134" i="1"/>
  <c r="Y134" i="1"/>
  <c r="X134" i="1"/>
  <c r="W134" i="1"/>
  <c r="V134" i="1"/>
  <c r="U134" i="1"/>
  <c r="T134" i="1"/>
  <c r="S134" i="1"/>
  <c r="R134" i="1"/>
  <c r="Q134" i="1"/>
  <c r="P134" i="1"/>
  <c r="L134" i="1"/>
  <c r="K134" i="1"/>
  <c r="J134" i="1"/>
  <c r="I134" i="1"/>
  <c r="H134" i="1"/>
  <c r="F134" i="1"/>
  <c r="AD133" i="1"/>
  <c r="AC133" i="1"/>
  <c r="AB133" i="1"/>
  <c r="AA133" i="1"/>
  <c r="Y133" i="1"/>
  <c r="X133" i="1"/>
  <c r="W133" i="1"/>
  <c r="V133" i="1"/>
  <c r="U133" i="1"/>
  <c r="T133" i="1"/>
  <c r="S133" i="1"/>
  <c r="R133" i="1"/>
  <c r="Q133" i="1"/>
  <c r="P133" i="1"/>
  <c r="L133" i="1"/>
  <c r="K133" i="1"/>
  <c r="J133" i="1"/>
  <c r="I133" i="1"/>
  <c r="H133" i="1"/>
  <c r="F133" i="1"/>
  <c r="AD132" i="1"/>
  <c r="AC132" i="1"/>
  <c r="AB132" i="1"/>
  <c r="AA132" i="1"/>
  <c r="Y132" i="1"/>
  <c r="X132" i="1"/>
  <c r="W132" i="1"/>
  <c r="V132" i="1"/>
  <c r="U132" i="1"/>
  <c r="T132" i="1"/>
  <c r="S132" i="1"/>
  <c r="R132" i="1"/>
  <c r="Q132" i="1"/>
  <c r="P132" i="1"/>
  <c r="L132" i="1"/>
  <c r="K132" i="1"/>
  <c r="J132" i="1"/>
  <c r="I132" i="1"/>
  <c r="H132" i="1"/>
  <c r="F132" i="1"/>
  <c r="AD131" i="1"/>
  <c r="AC131" i="1"/>
  <c r="AB131" i="1"/>
  <c r="AA131" i="1"/>
  <c r="Y131" i="1"/>
  <c r="X131" i="1"/>
  <c r="W131" i="1"/>
  <c r="V131" i="1"/>
  <c r="U131" i="1"/>
  <c r="T131" i="1"/>
  <c r="S131" i="1"/>
  <c r="R131" i="1"/>
  <c r="Q131" i="1"/>
  <c r="P131" i="1"/>
  <c r="L131" i="1"/>
  <c r="K131" i="1"/>
  <c r="J131" i="1"/>
  <c r="I131" i="1"/>
  <c r="H131" i="1"/>
  <c r="F131" i="1"/>
  <c r="AD130" i="1"/>
  <c r="AC130" i="1"/>
  <c r="AB130" i="1"/>
  <c r="AA130" i="1"/>
  <c r="Y130" i="1"/>
  <c r="X130" i="1"/>
  <c r="W130" i="1"/>
  <c r="V130" i="1"/>
  <c r="U130" i="1"/>
  <c r="T130" i="1"/>
  <c r="S130" i="1"/>
  <c r="R130" i="1"/>
  <c r="Q130" i="1"/>
  <c r="P130" i="1"/>
  <c r="L130" i="1"/>
  <c r="K130" i="1"/>
  <c r="J130" i="1"/>
  <c r="I130" i="1"/>
  <c r="H130" i="1"/>
  <c r="F130" i="1"/>
  <c r="AD129" i="1"/>
  <c r="AC129" i="1"/>
  <c r="AB129" i="1"/>
  <c r="AA129" i="1"/>
  <c r="Y129" i="1"/>
  <c r="X129" i="1"/>
  <c r="W129" i="1"/>
  <c r="V129" i="1"/>
  <c r="U129" i="1"/>
  <c r="T129" i="1"/>
  <c r="S129" i="1"/>
  <c r="R129" i="1"/>
  <c r="Q129" i="1"/>
  <c r="P129" i="1"/>
  <c r="L129" i="1"/>
  <c r="K129" i="1"/>
  <c r="J129" i="1"/>
  <c r="I129" i="1"/>
  <c r="H129" i="1"/>
  <c r="F129" i="1"/>
  <c r="AD128" i="1"/>
  <c r="AC128" i="1"/>
  <c r="AB128" i="1"/>
  <c r="AA128" i="1"/>
  <c r="Y128" i="1"/>
  <c r="X128" i="1"/>
  <c r="W128" i="1"/>
  <c r="V128" i="1"/>
  <c r="U128" i="1"/>
  <c r="T128" i="1"/>
  <c r="S128" i="1"/>
  <c r="R128" i="1"/>
  <c r="Q128" i="1"/>
  <c r="P128" i="1"/>
  <c r="L128" i="1"/>
  <c r="K128" i="1"/>
  <c r="J128" i="1"/>
  <c r="I128" i="1"/>
  <c r="H128" i="1"/>
  <c r="F128" i="1"/>
  <c r="AD127" i="1"/>
  <c r="AC127" i="1"/>
  <c r="AB127" i="1"/>
  <c r="AA127" i="1"/>
  <c r="Y127" i="1"/>
  <c r="X127" i="1"/>
  <c r="W127" i="1"/>
  <c r="V127" i="1"/>
  <c r="U127" i="1"/>
  <c r="T127" i="1"/>
  <c r="S127" i="1"/>
  <c r="R127" i="1"/>
  <c r="Q127" i="1"/>
  <c r="P127" i="1"/>
  <c r="L127" i="1"/>
  <c r="K127" i="1"/>
  <c r="J127" i="1"/>
  <c r="I127" i="1"/>
  <c r="H127" i="1"/>
  <c r="F127" i="1"/>
  <c r="AD126" i="1"/>
  <c r="AC126" i="1"/>
  <c r="AB126" i="1"/>
  <c r="AA126" i="1"/>
  <c r="Y126" i="1"/>
  <c r="X126" i="1"/>
  <c r="W126" i="1"/>
  <c r="V126" i="1"/>
  <c r="U126" i="1"/>
  <c r="T126" i="1"/>
  <c r="S126" i="1"/>
  <c r="R126" i="1"/>
  <c r="Q126" i="1"/>
  <c r="P126" i="1"/>
  <c r="L126" i="1"/>
  <c r="K126" i="1"/>
  <c r="J126" i="1"/>
  <c r="I126" i="1"/>
  <c r="H126" i="1"/>
  <c r="F126" i="1"/>
  <c r="AD125" i="1"/>
  <c r="AC125" i="1"/>
  <c r="AB125" i="1"/>
  <c r="AA125" i="1"/>
  <c r="Y125" i="1"/>
  <c r="X125" i="1"/>
  <c r="W125" i="1"/>
  <c r="V125" i="1"/>
  <c r="U125" i="1"/>
  <c r="T125" i="1"/>
  <c r="S125" i="1"/>
  <c r="R125" i="1"/>
  <c r="Q125" i="1"/>
  <c r="P125" i="1"/>
  <c r="L125" i="1"/>
  <c r="K125" i="1"/>
  <c r="J125" i="1"/>
  <c r="I125" i="1"/>
  <c r="H125" i="1"/>
  <c r="F125" i="1"/>
  <c r="AD124" i="1"/>
  <c r="AC124" i="1"/>
  <c r="AB124" i="1"/>
  <c r="AA124" i="1"/>
  <c r="Y124" i="1"/>
  <c r="X124" i="1"/>
  <c r="W124" i="1"/>
  <c r="V124" i="1"/>
  <c r="U124" i="1"/>
  <c r="T124" i="1"/>
  <c r="S124" i="1"/>
  <c r="R124" i="1"/>
  <c r="Q124" i="1"/>
  <c r="P124" i="1"/>
  <c r="L124" i="1"/>
  <c r="K124" i="1"/>
  <c r="J124" i="1"/>
  <c r="I124" i="1"/>
  <c r="H124" i="1"/>
  <c r="F124" i="1"/>
  <c r="AD123" i="1"/>
  <c r="AC123" i="1"/>
  <c r="AB123" i="1"/>
  <c r="AA123" i="1"/>
  <c r="Y123" i="1"/>
  <c r="X123" i="1"/>
  <c r="W123" i="1"/>
  <c r="V123" i="1"/>
  <c r="U123" i="1"/>
  <c r="T123" i="1"/>
  <c r="S123" i="1"/>
  <c r="R123" i="1"/>
  <c r="Q123" i="1"/>
  <c r="P123" i="1"/>
  <c r="L123" i="1"/>
  <c r="K123" i="1"/>
  <c r="J123" i="1"/>
  <c r="I123" i="1"/>
  <c r="H123" i="1"/>
  <c r="F123" i="1"/>
  <c r="AD122" i="1"/>
  <c r="AC122" i="1"/>
  <c r="AB122" i="1"/>
  <c r="AA122" i="1"/>
  <c r="Y122" i="1"/>
  <c r="X122" i="1"/>
  <c r="W122" i="1"/>
  <c r="V122" i="1"/>
  <c r="U122" i="1"/>
  <c r="T122" i="1"/>
  <c r="S122" i="1"/>
  <c r="R122" i="1"/>
  <c r="Q122" i="1"/>
  <c r="P122" i="1"/>
  <c r="L122" i="1"/>
  <c r="K122" i="1"/>
  <c r="J122" i="1"/>
  <c r="I122" i="1"/>
  <c r="H122" i="1"/>
  <c r="F122" i="1"/>
  <c r="AD121" i="1"/>
  <c r="AC121" i="1"/>
  <c r="AB121" i="1"/>
  <c r="AA121" i="1"/>
  <c r="Y121" i="1"/>
  <c r="X121" i="1"/>
  <c r="W121" i="1"/>
  <c r="V121" i="1"/>
  <c r="U121" i="1"/>
  <c r="T121" i="1"/>
  <c r="S121" i="1"/>
  <c r="R121" i="1"/>
  <c r="Q121" i="1"/>
  <c r="P121" i="1"/>
  <c r="L121" i="1"/>
  <c r="K121" i="1"/>
  <c r="J121" i="1"/>
  <c r="I121" i="1"/>
  <c r="H121" i="1"/>
  <c r="F121" i="1"/>
  <c r="AD120" i="1"/>
  <c r="AC120" i="1"/>
  <c r="AB120" i="1"/>
  <c r="AA120" i="1"/>
  <c r="Y120" i="1"/>
  <c r="X120" i="1"/>
  <c r="W120" i="1"/>
  <c r="V120" i="1"/>
  <c r="U120" i="1"/>
  <c r="T120" i="1"/>
  <c r="S120" i="1"/>
  <c r="R120" i="1"/>
  <c r="Q120" i="1"/>
  <c r="P120" i="1"/>
  <c r="L120" i="1"/>
  <c r="K120" i="1"/>
  <c r="J120" i="1"/>
  <c r="I120" i="1"/>
  <c r="H120" i="1"/>
  <c r="F120" i="1"/>
  <c r="AD119" i="1"/>
  <c r="AC119" i="1"/>
  <c r="AB119" i="1"/>
  <c r="AA119" i="1"/>
  <c r="Y119" i="1"/>
  <c r="X119" i="1"/>
  <c r="W119" i="1"/>
  <c r="V119" i="1"/>
  <c r="U119" i="1"/>
  <c r="T119" i="1"/>
  <c r="S119" i="1"/>
  <c r="R119" i="1"/>
  <c r="Q119" i="1"/>
  <c r="P119" i="1"/>
  <c r="L119" i="1"/>
  <c r="K119" i="1"/>
  <c r="J119" i="1"/>
  <c r="I119" i="1"/>
  <c r="H119" i="1"/>
  <c r="F119" i="1"/>
  <c r="AD118" i="1"/>
  <c r="AC118" i="1"/>
  <c r="AB118" i="1"/>
  <c r="AA118" i="1"/>
  <c r="Y118" i="1"/>
  <c r="X118" i="1"/>
  <c r="W118" i="1"/>
  <c r="V118" i="1"/>
  <c r="U118" i="1"/>
  <c r="T118" i="1"/>
  <c r="S118" i="1"/>
  <c r="R118" i="1"/>
  <c r="Q118" i="1"/>
  <c r="P118" i="1"/>
  <c r="L118" i="1"/>
  <c r="K118" i="1"/>
  <c r="J118" i="1"/>
  <c r="I118" i="1"/>
  <c r="H118" i="1"/>
  <c r="F118" i="1"/>
  <c r="AD117" i="1"/>
  <c r="AC117" i="1"/>
  <c r="AB117" i="1"/>
  <c r="AA117" i="1"/>
  <c r="Y117" i="1"/>
  <c r="X117" i="1"/>
  <c r="W117" i="1"/>
  <c r="V117" i="1"/>
  <c r="U117" i="1"/>
  <c r="T117" i="1"/>
  <c r="S117" i="1"/>
  <c r="R117" i="1"/>
  <c r="Q117" i="1"/>
  <c r="P117" i="1"/>
  <c r="L117" i="1"/>
  <c r="K117" i="1"/>
  <c r="J117" i="1"/>
  <c r="I117" i="1"/>
  <c r="H117" i="1"/>
  <c r="F117" i="1"/>
  <c r="AD116" i="1"/>
  <c r="AC116" i="1"/>
  <c r="AB116" i="1"/>
  <c r="AA116" i="1"/>
  <c r="Y116" i="1"/>
  <c r="X116" i="1"/>
  <c r="W116" i="1"/>
  <c r="V116" i="1"/>
  <c r="U116" i="1"/>
  <c r="T116" i="1"/>
  <c r="S116" i="1"/>
  <c r="R116" i="1"/>
  <c r="Q116" i="1"/>
  <c r="P116" i="1"/>
  <c r="L116" i="1"/>
  <c r="K116" i="1"/>
  <c r="J116" i="1"/>
  <c r="I116" i="1"/>
  <c r="H116" i="1"/>
  <c r="F116" i="1"/>
  <c r="AD115" i="1"/>
  <c r="AC115" i="1"/>
  <c r="AB115" i="1"/>
  <c r="AA115" i="1"/>
  <c r="Y115" i="1"/>
  <c r="X115" i="1"/>
  <c r="W115" i="1"/>
  <c r="V115" i="1"/>
  <c r="U115" i="1"/>
  <c r="T115" i="1"/>
  <c r="S115" i="1"/>
  <c r="R115" i="1"/>
  <c r="Q115" i="1"/>
  <c r="P115" i="1"/>
  <c r="L115" i="1"/>
  <c r="K115" i="1"/>
  <c r="J115" i="1"/>
  <c r="I115" i="1"/>
  <c r="H115" i="1"/>
  <c r="F115" i="1"/>
  <c r="AD114" i="1"/>
  <c r="AC114" i="1"/>
  <c r="AB114" i="1"/>
  <c r="AA114" i="1"/>
  <c r="Y114" i="1"/>
  <c r="X114" i="1"/>
  <c r="W114" i="1"/>
  <c r="V114" i="1"/>
  <c r="U114" i="1"/>
  <c r="T114" i="1"/>
  <c r="S114" i="1"/>
  <c r="R114" i="1"/>
  <c r="Q114" i="1"/>
  <c r="P114" i="1"/>
  <c r="L114" i="1"/>
  <c r="K114" i="1"/>
  <c r="J114" i="1"/>
  <c r="I114" i="1"/>
  <c r="H114" i="1"/>
  <c r="F114" i="1"/>
  <c r="AD113" i="1"/>
  <c r="AC113" i="1"/>
  <c r="AB113" i="1"/>
  <c r="AA113" i="1"/>
  <c r="Y113" i="1"/>
  <c r="X113" i="1"/>
  <c r="W113" i="1"/>
  <c r="V113" i="1"/>
  <c r="U113" i="1"/>
  <c r="T113" i="1"/>
  <c r="S113" i="1"/>
  <c r="R113" i="1"/>
  <c r="Q113" i="1"/>
  <c r="P113" i="1"/>
  <c r="L113" i="1"/>
  <c r="K113" i="1"/>
  <c r="J113" i="1"/>
  <c r="I113" i="1"/>
  <c r="H113" i="1"/>
  <c r="F113" i="1"/>
  <c r="AD112" i="1"/>
  <c r="AC112" i="1"/>
  <c r="AB112" i="1"/>
  <c r="AA112" i="1"/>
  <c r="Y112" i="1"/>
  <c r="X112" i="1"/>
  <c r="W112" i="1"/>
  <c r="V112" i="1"/>
  <c r="U112" i="1"/>
  <c r="T112" i="1"/>
  <c r="S112" i="1"/>
  <c r="R112" i="1"/>
  <c r="Q112" i="1"/>
  <c r="P112" i="1"/>
  <c r="L112" i="1"/>
  <c r="K112" i="1"/>
  <c r="J112" i="1"/>
  <c r="I112" i="1"/>
  <c r="H112" i="1"/>
  <c r="F112" i="1"/>
  <c r="AD111" i="1"/>
  <c r="AC111" i="1"/>
  <c r="AB111" i="1"/>
  <c r="AA111" i="1"/>
  <c r="Y111" i="1"/>
  <c r="X111" i="1"/>
  <c r="W111" i="1"/>
  <c r="V111" i="1"/>
  <c r="U111" i="1"/>
  <c r="T111" i="1"/>
  <c r="S111" i="1"/>
  <c r="R111" i="1"/>
  <c r="Q111" i="1"/>
  <c r="P111" i="1"/>
  <c r="L111" i="1"/>
  <c r="K111" i="1"/>
  <c r="J111" i="1"/>
  <c r="I111" i="1"/>
  <c r="H111" i="1"/>
  <c r="F111" i="1"/>
  <c r="AD110" i="1"/>
  <c r="AC110" i="1"/>
  <c r="AB110" i="1"/>
  <c r="AA110" i="1"/>
  <c r="Y110" i="1"/>
  <c r="X110" i="1"/>
  <c r="W110" i="1"/>
  <c r="V110" i="1"/>
  <c r="U110" i="1"/>
  <c r="T110" i="1"/>
  <c r="S110" i="1"/>
  <c r="R110" i="1"/>
  <c r="Q110" i="1"/>
  <c r="P110" i="1"/>
  <c r="L110" i="1"/>
  <c r="K110" i="1"/>
  <c r="J110" i="1"/>
  <c r="I110" i="1"/>
  <c r="H110" i="1"/>
  <c r="F110" i="1"/>
  <c r="AD109" i="1"/>
  <c r="AC109" i="1"/>
  <c r="AB109" i="1"/>
  <c r="AA109" i="1"/>
  <c r="Y109" i="1"/>
  <c r="X109" i="1"/>
  <c r="W109" i="1"/>
  <c r="V109" i="1"/>
  <c r="U109" i="1"/>
  <c r="T109" i="1"/>
  <c r="S109" i="1"/>
  <c r="R109" i="1"/>
  <c r="Q109" i="1"/>
  <c r="P109" i="1"/>
  <c r="L109" i="1"/>
  <c r="K109" i="1"/>
  <c r="J109" i="1"/>
  <c r="I109" i="1"/>
  <c r="H109" i="1"/>
  <c r="F109" i="1"/>
  <c r="AD108" i="1"/>
  <c r="AC108" i="1"/>
  <c r="AB108" i="1"/>
  <c r="AA108" i="1"/>
  <c r="Y108" i="1"/>
  <c r="X108" i="1"/>
  <c r="W108" i="1"/>
  <c r="V108" i="1"/>
  <c r="U108" i="1"/>
  <c r="T108" i="1"/>
  <c r="S108" i="1"/>
  <c r="R108" i="1"/>
  <c r="Q108" i="1"/>
  <c r="P108" i="1"/>
  <c r="L108" i="1"/>
  <c r="K108" i="1"/>
  <c r="J108" i="1"/>
  <c r="I108" i="1"/>
  <c r="H108" i="1"/>
  <c r="F108" i="1"/>
  <c r="AD107" i="1"/>
  <c r="AC107" i="1"/>
  <c r="AB107" i="1"/>
  <c r="AA107" i="1"/>
  <c r="Y107" i="1"/>
  <c r="X107" i="1"/>
  <c r="W107" i="1"/>
  <c r="V107" i="1"/>
  <c r="U107" i="1"/>
  <c r="T107" i="1"/>
  <c r="S107" i="1"/>
  <c r="R107" i="1"/>
  <c r="Q107" i="1"/>
  <c r="P107" i="1"/>
  <c r="L107" i="1"/>
  <c r="K107" i="1"/>
  <c r="J107" i="1"/>
  <c r="I107" i="1"/>
  <c r="H107" i="1"/>
  <c r="F107" i="1"/>
  <c r="AD106" i="1"/>
  <c r="AC106" i="1"/>
  <c r="AB106" i="1"/>
  <c r="AA106" i="1"/>
  <c r="Y106" i="1"/>
  <c r="X106" i="1"/>
  <c r="W106" i="1"/>
  <c r="V106" i="1"/>
  <c r="U106" i="1"/>
  <c r="T106" i="1"/>
  <c r="S106" i="1"/>
  <c r="R106" i="1"/>
  <c r="Q106" i="1"/>
  <c r="P106" i="1"/>
  <c r="L106" i="1"/>
  <c r="K106" i="1"/>
  <c r="J106" i="1"/>
  <c r="I106" i="1"/>
  <c r="H106" i="1"/>
  <c r="F106" i="1"/>
  <c r="AD105" i="1"/>
  <c r="AC105" i="1"/>
  <c r="AB105" i="1"/>
  <c r="AA105" i="1"/>
  <c r="Y105" i="1"/>
  <c r="X105" i="1"/>
  <c r="W105" i="1"/>
  <c r="V105" i="1"/>
  <c r="U105" i="1"/>
  <c r="T105" i="1"/>
  <c r="S105" i="1"/>
  <c r="R105" i="1"/>
  <c r="Q105" i="1"/>
  <c r="P105" i="1"/>
  <c r="L105" i="1"/>
  <c r="K105" i="1"/>
  <c r="J105" i="1"/>
  <c r="I105" i="1"/>
  <c r="H105" i="1"/>
  <c r="F105" i="1"/>
  <c r="AD104" i="1"/>
  <c r="AC104" i="1"/>
  <c r="AB104" i="1"/>
  <c r="AA104" i="1"/>
  <c r="Y104" i="1"/>
  <c r="X104" i="1"/>
  <c r="W104" i="1"/>
  <c r="V104" i="1"/>
  <c r="U104" i="1"/>
  <c r="T104" i="1"/>
  <c r="S104" i="1"/>
  <c r="R104" i="1"/>
  <c r="Q104" i="1"/>
  <c r="P104" i="1"/>
  <c r="L104" i="1"/>
  <c r="K104" i="1"/>
  <c r="J104" i="1"/>
  <c r="I104" i="1"/>
  <c r="H104" i="1"/>
  <c r="F104" i="1"/>
  <c r="AD103" i="1"/>
  <c r="AC103" i="1"/>
  <c r="AB103" i="1"/>
  <c r="AA103" i="1"/>
  <c r="Y103" i="1"/>
  <c r="X103" i="1"/>
  <c r="W103" i="1"/>
  <c r="V103" i="1"/>
  <c r="U103" i="1"/>
  <c r="T103" i="1"/>
  <c r="S103" i="1"/>
  <c r="R103" i="1"/>
  <c r="Q103" i="1"/>
  <c r="P103" i="1"/>
  <c r="L103" i="1"/>
  <c r="K103" i="1"/>
  <c r="J103" i="1"/>
  <c r="I103" i="1"/>
  <c r="H103" i="1"/>
  <c r="F103" i="1"/>
  <c r="AD102" i="1"/>
  <c r="AC102" i="1"/>
  <c r="AB102" i="1"/>
  <c r="AA102" i="1"/>
  <c r="Y102" i="1"/>
  <c r="X102" i="1"/>
  <c r="W102" i="1"/>
  <c r="V102" i="1"/>
  <c r="U102" i="1"/>
  <c r="T102" i="1"/>
  <c r="S102" i="1"/>
  <c r="R102" i="1"/>
  <c r="Q102" i="1"/>
  <c r="P102" i="1"/>
  <c r="L102" i="1"/>
  <c r="K102" i="1"/>
  <c r="J102" i="1"/>
  <c r="I102" i="1"/>
  <c r="H102" i="1"/>
  <c r="F102" i="1"/>
  <c r="AD101" i="1"/>
  <c r="AC101" i="1"/>
  <c r="AB101" i="1"/>
  <c r="AA101" i="1"/>
  <c r="Y101" i="1"/>
  <c r="X101" i="1"/>
  <c r="W101" i="1"/>
  <c r="V101" i="1"/>
  <c r="U101" i="1"/>
  <c r="T101" i="1"/>
  <c r="S101" i="1"/>
  <c r="R101" i="1"/>
  <c r="Q101" i="1"/>
  <c r="P101" i="1"/>
  <c r="L101" i="1"/>
  <c r="K101" i="1"/>
  <c r="J101" i="1"/>
  <c r="I101" i="1"/>
  <c r="H101" i="1"/>
  <c r="F101" i="1"/>
  <c r="AD100" i="1"/>
  <c r="AC100" i="1"/>
  <c r="AB100" i="1"/>
  <c r="AA100" i="1"/>
  <c r="Y100" i="1"/>
  <c r="X100" i="1"/>
  <c r="W100" i="1"/>
  <c r="V100" i="1"/>
  <c r="U100" i="1"/>
  <c r="T100" i="1"/>
  <c r="S100" i="1"/>
  <c r="R100" i="1"/>
  <c r="Q100" i="1"/>
  <c r="P100" i="1"/>
  <c r="L100" i="1"/>
  <c r="K100" i="1"/>
  <c r="J100" i="1"/>
  <c r="I100" i="1"/>
  <c r="H100" i="1"/>
  <c r="F100" i="1"/>
  <c r="AD99" i="1"/>
  <c r="AC99" i="1"/>
  <c r="AB99" i="1"/>
  <c r="AA99" i="1"/>
  <c r="Y99" i="1"/>
  <c r="X99" i="1"/>
  <c r="W99" i="1"/>
  <c r="V99" i="1"/>
  <c r="U99" i="1"/>
  <c r="T99" i="1"/>
  <c r="S99" i="1"/>
  <c r="R99" i="1"/>
  <c r="Q99" i="1"/>
  <c r="P99" i="1"/>
  <c r="L99" i="1"/>
  <c r="K99" i="1"/>
  <c r="J99" i="1"/>
  <c r="I99" i="1"/>
  <c r="H99" i="1"/>
  <c r="F99" i="1"/>
  <c r="AD98" i="1"/>
  <c r="AC98" i="1"/>
  <c r="AB98" i="1"/>
  <c r="AA98" i="1"/>
  <c r="Y98" i="1"/>
  <c r="X98" i="1"/>
  <c r="W98" i="1"/>
  <c r="V98" i="1"/>
  <c r="U98" i="1"/>
  <c r="T98" i="1"/>
  <c r="S98" i="1"/>
  <c r="R98" i="1"/>
  <c r="Q98" i="1"/>
  <c r="P98" i="1"/>
  <c r="L98" i="1"/>
  <c r="K98" i="1"/>
  <c r="J98" i="1"/>
  <c r="I98" i="1"/>
  <c r="H98" i="1"/>
  <c r="F98" i="1"/>
  <c r="AD97" i="1"/>
  <c r="AC97" i="1"/>
  <c r="AB97" i="1"/>
  <c r="AA97" i="1"/>
  <c r="Y97" i="1"/>
  <c r="X97" i="1"/>
  <c r="W97" i="1"/>
  <c r="V97" i="1"/>
  <c r="U97" i="1"/>
  <c r="T97" i="1"/>
  <c r="S97" i="1"/>
  <c r="R97" i="1"/>
  <c r="Q97" i="1"/>
  <c r="P97" i="1"/>
  <c r="L97" i="1"/>
  <c r="K97" i="1"/>
  <c r="J97" i="1"/>
  <c r="I97" i="1"/>
  <c r="H97" i="1"/>
  <c r="F97" i="1"/>
  <c r="AD96" i="1"/>
  <c r="AC96" i="1"/>
  <c r="AB96" i="1"/>
  <c r="AA96" i="1"/>
  <c r="Y96" i="1"/>
  <c r="X96" i="1"/>
  <c r="W96" i="1"/>
  <c r="V96" i="1"/>
  <c r="U96" i="1"/>
  <c r="T96" i="1"/>
  <c r="S96" i="1"/>
  <c r="R96" i="1"/>
  <c r="Q96" i="1"/>
  <c r="P96" i="1"/>
  <c r="L96" i="1"/>
  <c r="K96" i="1"/>
  <c r="J96" i="1"/>
  <c r="I96" i="1"/>
  <c r="H96" i="1"/>
  <c r="F96" i="1"/>
  <c r="AD95" i="1"/>
  <c r="AC95" i="1"/>
  <c r="AB95" i="1"/>
  <c r="AA95" i="1"/>
  <c r="Y95" i="1"/>
  <c r="X95" i="1"/>
  <c r="W95" i="1"/>
  <c r="V95" i="1"/>
  <c r="U95" i="1"/>
  <c r="T95" i="1"/>
  <c r="S95" i="1"/>
  <c r="R95" i="1"/>
  <c r="Q95" i="1"/>
  <c r="P95" i="1"/>
  <c r="L95" i="1"/>
  <c r="K95" i="1"/>
  <c r="J95" i="1"/>
  <c r="I95" i="1"/>
  <c r="H95" i="1"/>
  <c r="F95" i="1"/>
  <c r="AD94" i="1"/>
  <c r="AC94" i="1"/>
  <c r="AB94" i="1"/>
  <c r="AA94" i="1"/>
  <c r="Y94" i="1"/>
  <c r="X94" i="1"/>
  <c r="W94" i="1"/>
  <c r="V94" i="1"/>
  <c r="U94" i="1"/>
  <c r="T94" i="1"/>
  <c r="S94" i="1"/>
  <c r="R94" i="1"/>
  <c r="Q94" i="1"/>
  <c r="P94" i="1"/>
  <c r="L94" i="1"/>
  <c r="K94" i="1"/>
  <c r="J94" i="1"/>
  <c r="I94" i="1"/>
  <c r="H94" i="1"/>
  <c r="F94" i="1"/>
  <c r="AD93" i="1"/>
  <c r="AC93" i="1"/>
  <c r="AB93" i="1"/>
  <c r="AA93" i="1"/>
  <c r="Y93" i="1"/>
  <c r="X93" i="1"/>
  <c r="W93" i="1"/>
  <c r="V93" i="1"/>
  <c r="U93" i="1"/>
  <c r="T93" i="1"/>
  <c r="S93" i="1"/>
  <c r="R93" i="1"/>
  <c r="Q93" i="1"/>
  <c r="P93" i="1"/>
  <c r="L93" i="1"/>
  <c r="K93" i="1"/>
  <c r="J93" i="1"/>
  <c r="I93" i="1"/>
  <c r="H93" i="1"/>
  <c r="F93" i="1"/>
  <c r="AD92" i="1"/>
  <c r="AC92" i="1"/>
  <c r="AB92" i="1"/>
  <c r="AA92" i="1"/>
  <c r="Y92" i="1"/>
  <c r="X92" i="1"/>
  <c r="W92" i="1"/>
  <c r="V92" i="1"/>
  <c r="U92" i="1"/>
  <c r="T92" i="1"/>
  <c r="S92" i="1"/>
  <c r="R92" i="1"/>
  <c r="Q92" i="1"/>
  <c r="P92" i="1"/>
  <c r="L92" i="1"/>
  <c r="K92" i="1"/>
  <c r="J92" i="1"/>
  <c r="I92" i="1"/>
  <c r="H92" i="1"/>
  <c r="F92" i="1"/>
  <c r="AD91" i="1"/>
  <c r="AC91" i="1"/>
  <c r="AB91" i="1"/>
  <c r="AA91" i="1"/>
  <c r="Y91" i="1"/>
  <c r="X91" i="1"/>
  <c r="W91" i="1"/>
  <c r="V91" i="1"/>
  <c r="U91" i="1"/>
  <c r="T91" i="1"/>
  <c r="S91" i="1"/>
  <c r="R91" i="1"/>
  <c r="Q91" i="1"/>
  <c r="P91" i="1"/>
  <c r="L91" i="1"/>
  <c r="K91" i="1"/>
  <c r="J91" i="1"/>
  <c r="I91" i="1"/>
  <c r="H91" i="1"/>
  <c r="F91" i="1"/>
  <c r="AD90" i="1"/>
  <c r="AC90" i="1"/>
  <c r="AB90" i="1"/>
  <c r="AA90" i="1"/>
  <c r="Y90" i="1"/>
  <c r="X90" i="1"/>
  <c r="W90" i="1"/>
  <c r="V90" i="1"/>
  <c r="U90" i="1"/>
  <c r="T90" i="1"/>
  <c r="S90" i="1"/>
  <c r="R90" i="1"/>
  <c r="Q90" i="1"/>
  <c r="P90" i="1"/>
  <c r="L90" i="1"/>
  <c r="K90" i="1"/>
  <c r="J90" i="1"/>
  <c r="I90" i="1"/>
  <c r="H90" i="1"/>
  <c r="F90" i="1"/>
  <c r="AD89" i="1"/>
  <c r="AC89" i="1"/>
  <c r="AB89" i="1"/>
  <c r="AA89" i="1"/>
  <c r="Y89" i="1"/>
  <c r="X89" i="1"/>
  <c r="W89" i="1"/>
  <c r="V89" i="1"/>
  <c r="U89" i="1"/>
  <c r="T89" i="1"/>
  <c r="S89" i="1"/>
  <c r="R89" i="1"/>
  <c r="Q89" i="1"/>
  <c r="P89" i="1"/>
  <c r="L89" i="1"/>
  <c r="K89" i="1"/>
  <c r="J89" i="1"/>
  <c r="I89" i="1"/>
  <c r="H89" i="1"/>
  <c r="F89" i="1"/>
  <c r="AD88" i="1"/>
  <c r="AC88" i="1"/>
  <c r="AB88" i="1"/>
  <c r="AA88" i="1"/>
  <c r="Y88" i="1"/>
  <c r="X88" i="1"/>
  <c r="W88" i="1"/>
  <c r="V88" i="1"/>
  <c r="U88" i="1"/>
  <c r="T88" i="1"/>
  <c r="S88" i="1"/>
  <c r="R88" i="1"/>
  <c r="Q88" i="1"/>
  <c r="P88" i="1"/>
  <c r="L88" i="1"/>
  <c r="K88" i="1"/>
  <c r="J88" i="1"/>
  <c r="I88" i="1"/>
  <c r="H88" i="1"/>
  <c r="F88" i="1"/>
  <c r="AD87" i="1"/>
  <c r="AC87" i="1"/>
  <c r="AB87" i="1"/>
  <c r="AA87" i="1"/>
  <c r="Y87" i="1"/>
  <c r="X87" i="1"/>
  <c r="W87" i="1"/>
  <c r="V87" i="1"/>
  <c r="U87" i="1"/>
  <c r="T87" i="1"/>
  <c r="S87" i="1"/>
  <c r="R87" i="1"/>
  <c r="Q87" i="1"/>
  <c r="P87" i="1"/>
  <c r="L87" i="1"/>
  <c r="K87" i="1"/>
  <c r="J87" i="1"/>
  <c r="I87" i="1"/>
  <c r="H87" i="1"/>
  <c r="F87" i="1"/>
  <c r="AD86" i="1"/>
  <c r="AC86" i="1"/>
  <c r="AB86" i="1"/>
  <c r="AA86" i="1"/>
  <c r="Y86" i="1"/>
  <c r="X86" i="1"/>
  <c r="W86" i="1"/>
  <c r="V86" i="1"/>
  <c r="U86" i="1"/>
  <c r="T86" i="1"/>
  <c r="S86" i="1"/>
  <c r="R86" i="1"/>
  <c r="Q86" i="1"/>
  <c r="P86" i="1"/>
  <c r="L86" i="1"/>
  <c r="K86" i="1"/>
  <c r="J86" i="1"/>
  <c r="I86" i="1"/>
  <c r="H86" i="1"/>
  <c r="F86" i="1"/>
  <c r="AD85" i="1"/>
  <c r="AC85" i="1"/>
  <c r="AB85" i="1"/>
  <c r="AA85" i="1"/>
  <c r="Y85" i="1"/>
  <c r="X85" i="1"/>
  <c r="W85" i="1"/>
  <c r="V85" i="1"/>
  <c r="U85" i="1"/>
  <c r="T85" i="1"/>
  <c r="S85" i="1"/>
  <c r="R85" i="1"/>
  <c r="Q85" i="1"/>
  <c r="P85" i="1"/>
  <c r="L85" i="1"/>
  <c r="K85" i="1"/>
  <c r="J85" i="1"/>
  <c r="I85" i="1"/>
  <c r="H85" i="1"/>
  <c r="F85" i="1"/>
  <c r="AD84" i="1"/>
  <c r="AC84" i="1"/>
  <c r="AB84" i="1"/>
  <c r="AA84" i="1"/>
  <c r="Y84" i="1"/>
  <c r="X84" i="1"/>
  <c r="W84" i="1"/>
  <c r="V84" i="1"/>
  <c r="U84" i="1"/>
  <c r="T84" i="1"/>
  <c r="S84" i="1"/>
  <c r="R84" i="1"/>
  <c r="Q84" i="1"/>
  <c r="P84" i="1"/>
  <c r="L84" i="1"/>
  <c r="K84" i="1"/>
  <c r="J84" i="1"/>
  <c r="I84" i="1"/>
  <c r="H84" i="1"/>
  <c r="F84" i="1"/>
  <c r="AD83" i="1"/>
  <c r="AC83" i="1"/>
  <c r="AB83" i="1"/>
  <c r="AA83" i="1"/>
  <c r="Y83" i="1"/>
  <c r="X83" i="1"/>
  <c r="W83" i="1"/>
  <c r="V83" i="1"/>
  <c r="U83" i="1"/>
  <c r="T83" i="1"/>
  <c r="S83" i="1"/>
  <c r="R83" i="1"/>
  <c r="Q83" i="1"/>
  <c r="P83" i="1"/>
  <c r="L83" i="1"/>
  <c r="K83" i="1"/>
  <c r="J83" i="1"/>
  <c r="I83" i="1"/>
  <c r="H83" i="1"/>
  <c r="F83" i="1"/>
  <c r="AD82" i="1"/>
  <c r="AC82" i="1"/>
  <c r="AB82" i="1"/>
  <c r="AA82" i="1"/>
  <c r="Y82" i="1"/>
  <c r="X82" i="1"/>
  <c r="W82" i="1"/>
  <c r="V82" i="1"/>
  <c r="U82" i="1"/>
  <c r="T82" i="1"/>
  <c r="S82" i="1"/>
  <c r="R82" i="1"/>
  <c r="Q82" i="1"/>
  <c r="P82" i="1"/>
  <c r="L82" i="1"/>
  <c r="K82" i="1"/>
  <c r="J82" i="1"/>
  <c r="I82" i="1"/>
  <c r="H82" i="1"/>
  <c r="F82" i="1"/>
  <c r="AD81" i="1"/>
  <c r="AC81" i="1"/>
  <c r="AB81" i="1"/>
  <c r="AA81" i="1"/>
  <c r="Y81" i="1"/>
  <c r="X81" i="1"/>
  <c r="W81" i="1"/>
  <c r="V81" i="1"/>
  <c r="U81" i="1"/>
  <c r="T81" i="1"/>
  <c r="S81" i="1"/>
  <c r="R81" i="1"/>
  <c r="Q81" i="1"/>
  <c r="P81" i="1"/>
  <c r="L81" i="1"/>
  <c r="K81" i="1"/>
  <c r="J81" i="1"/>
  <c r="I81" i="1"/>
  <c r="H81" i="1"/>
  <c r="F81" i="1"/>
  <c r="AD80" i="1"/>
  <c r="AC80" i="1"/>
  <c r="AB80" i="1"/>
  <c r="AA80" i="1"/>
  <c r="Y80" i="1"/>
  <c r="X80" i="1"/>
  <c r="W80" i="1"/>
  <c r="V80" i="1"/>
  <c r="U80" i="1"/>
  <c r="T80" i="1"/>
  <c r="S80" i="1"/>
  <c r="R80" i="1"/>
  <c r="Q80" i="1"/>
  <c r="P80" i="1"/>
  <c r="L80" i="1"/>
  <c r="K80" i="1"/>
  <c r="J80" i="1"/>
  <c r="I80" i="1"/>
  <c r="H80" i="1"/>
  <c r="F80" i="1"/>
  <c r="AD79" i="1"/>
  <c r="AC79" i="1"/>
  <c r="AB79" i="1"/>
  <c r="AA79" i="1"/>
  <c r="Y79" i="1"/>
  <c r="X79" i="1"/>
  <c r="W79" i="1"/>
  <c r="V79" i="1"/>
  <c r="U79" i="1"/>
  <c r="T79" i="1"/>
  <c r="S79" i="1"/>
  <c r="R79" i="1"/>
  <c r="Q79" i="1"/>
  <c r="P79" i="1"/>
  <c r="L79" i="1"/>
  <c r="K79" i="1"/>
  <c r="J79" i="1"/>
  <c r="I79" i="1"/>
  <c r="H79" i="1"/>
  <c r="F79" i="1"/>
  <c r="AD78" i="1"/>
  <c r="AC78" i="1"/>
  <c r="AB78" i="1"/>
  <c r="AA78" i="1"/>
  <c r="Y78" i="1"/>
  <c r="X78" i="1"/>
  <c r="W78" i="1"/>
  <c r="V78" i="1"/>
  <c r="U78" i="1"/>
  <c r="T78" i="1"/>
  <c r="S78" i="1"/>
  <c r="R78" i="1"/>
  <c r="Q78" i="1"/>
  <c r="P78" i="1"/>
  <c r="L78" i="1"/>
  <c r="K78" i="1"/>
  <c r="J78" i="1"/>
  <c r="I78" i="1"/>
  <c r="H78" i="1"/>
  <c r="F78" i="1"/>
  <c r="AD77" i="1"/>
  <c r="AC77" i="1"/>
  <c r="AB77" i="1"/>
  <c r="AA77" i="1"/>
  <c r="Y77" i="1"/>
  <c r="X77" i="1"/>
  <c r="W77" i="1"/>
  <c r="V77" i="1"/>
  <c r="U77" i="1"/>
  <c r="T77" i="1"/>
  <c r="S77" i="1"/>
  <c r="R77" i="1"/>
  <c r="Q77" i="1"/>
  <c r="P77" i="1"/>
  <c r="L77" i="1"/>
  <c r="K77" i="1"/>
  <c r="J77" i="1"/>
  <c r="I77" i="1"/>
  <c r="H77" i="1"/>
  <c r="F77" i="1"/>
  <c r="AD76" i="1"/>
  <c r="AC76" i="1"/>
  <c r="AB76" i="1"/>
  <c r="AA76" i="1"/>
  <c r="Y76" i="1"/>
  <c r="X76" i="1"/>
  <c r="W76" i="1"/>
  <c r="V76" i="1"/>
  <c r="U76" i="1"/>
  <c r="T76" i="1"/>
  <c r="S76" i="1"/>
  <c r="R76" i="1"/>
  <c r="Q76" i="1"/>
  <c r="P76" i="1"/>
  <c r="L76" i="1"/>
  <c r="K76" i="1"/>
  <c r="J76" i="1"/>
  <c r="I76" i="1"/>
  <c r="H76" i="1"/>
  <c r="F76" i="1"/>
  <c r="AD75" i="1"/>
  <c r="AC75" i="1"/>
  <c r="AB75" i="1"/>
  <c r="AA75" i="1"/>
  <c r="Y75" i="1"/>
  <c r="X75" i="1"/>
  <c r="W75" i="1"/>
  <c r="V75" i="1"/>
  <c r="U75" i="1"/>
  <c r="T75" i="1"/>
  <c r="S75" i="1"/>
  <c r="R75" i="1"/>
  <c r="Q75" i="1"/>
  <c r="P75" i="1"/>
  <c r="L75" i="1"/>
  <c r="K75" i="1"/>
  <c r="J75" i="1"/>
  <c r="I75" i="1"/>
  <c r="H75" i="1"/>
  <c r="F75" i="1"/>
  <c r="AD74" i="1"/>
  <c r="AC74" i="1"/>
  <c r="AB74" i="1"/>
  <c r="AA74" i="1"/>
  <c r="Y74" i="1"/>
  <c r="X74" i="1"/>
  <c r="W74" i="1"/>
  <c r="V74" i="1"/>
  <c r="U74" i="1"/>
  <c r="T74" i="1"/>
  <c r="S74" i="1"/>
  <c r="R74" i="1"/>
  <c r="Q74" i="1"/>
  <c r="P74" i="1"/>
  <c r="L74" i="1"/>
  <c r="K74" i="1"/>
  <c r="J74" i="1"/>
  <c r="I74" i="1"/>
  <c r="H74" i="1"/>
  <c r="F74" i="1"/>
  <c r="AD73" i="1"/>
  <c r="AC73" i="1"/>
  <c r="AB73" i="1"/>
  <c r="AA73" i="1"/>
  <c r="Y73" i="1"/>
  <c r="X73" i="1"/>
  <c r="W73" i="1"/>
  <c r="V73" i="1"/>
  <c r="U73" i="1"/>
  <c r="T73" i="1"/>
  <c r="S73" i="1"/>
  <c r="R73" i="1"/>
  <c r="Q73" i="1"/>
  <c r="P73" i="1"/>
  <c r="L73" i="1"/>
  <c r="K73" i="1"/>
  <c r="J73" i="1"/>
  <c r="I73" i="1"/>
  <c r="H73" i="1"/>
  <c r="F73" i="1"/>
  <c r="AD72" i="1"/>
  <c r="AC72" i="1"/>
  <c r="AB72" i="1"/>
  <c r="AA72" i="1"/>
  <c r="Y72" i="1"/>
  <c r="X72" i="1"/>
  <c r="W72" i="1"/>
  <c r="V72" i="1"/>
  <c r="U72" i="1"/>
  <c r="T72" i="1"/>
  <c r="S72" i="1"/>
  <c r="R72" i="1"/>
  <c r="Q72" i="1"/>
  <c r="P72" i="1"/>
  <c r="L72" i="1"/>
  <c r="K72" i="1"/>
  <c r="J72" i="1"/>
  <c r="I72" i="1"/>
  <c r="H72" i="1"/>
  <c r="F72" i="1"/>
  <c r="AD71" i="1"/>
  <c r="AC71" i="1"/>
  <c r="AB71" i="1"/>
  <c r="AA71" i="1"/>
  <c r="Y71" i="1"/>
  <c r="X71" i="1"/>
  <c r="W71" i="1"/>
  <c r="V71" i="1"/>
  <c r="U71" i="1"/>
  <c r="T71" i="1"/>
  <c r="S71" i="1"/>
  <c r="R71" i="1"/>
  <c r="Q71" i="1"/>
  <c r="P71" i="1"/>
  <c r="L71" i="1"/>
  <c r="K71" i="1"/>
  <c r="J71" i="1"/>
  <c r="I71" i="1"/>
  <c r="H71" i="1"/>
  <c r="F71" i="1"/>
  <c r="AD70" i="1"/>
  <c r="AC70" i="1"/>
  <c r="AB70" i="1"/>
  <c r="AA70" i="1"/>
  <c r="Y70" i="1"/>
  <c r="X70" i="1"/>
  <c r="W70" i="1"/>
  <c r="V70" i="1"/>
  <c r="U70" i="1"/>
  <c r="T70" i="1"/>
  <c r="S70" i="1"/>
  <c r="R70" i="1"/>
  <c r="Q70" i="1"/>
  <c r="P70" i="1"/>
  <c r="L70" i="1"/>
  <c r="K70" i="1"/>
  <c r="J70" i="1"/>
  <c r="I70" i="1"/>
  <c r="H70" i="1"/>
  <c r="F70" i="1"/>
  <c r="AD69" i="1"/>
  <c r="AC69" i="1"/>
  <c r="AB69" i="1"/>
  <c r="AA69" i="1"/>
  <c r="Y69" i="1"/>
  <c r="X69" i="1"/>
  <c r="W69" i="1"/>
  <c r="V69" i="1"/>
  <c r="U69" i="1"/>
  <c r="T69" i="1"/>
  <c r="S69" i="1"/>
  <c r="R69" i="1"/>
  <c r="Q69" i="1"/>
  <c r="P69" i="1"/>
  <c r="L69" i="1"/>
  <c r="K69" i="1"/>
  <c r="J69" i="1"/>
  <c r="I69" i="1"/>
  <c r="H69" i="1"/>
  <c r="F69" i="1"/>
  <c r="AD68" i="1"/>
  <c r="AC68" i="1"/>
  <c r="AB68" i="1"/>
  <c r="AA68" i="1"/>
  <c r="Y68" i="1"/>
  <c r="X68" i="1"/>
  <c r="W68" i="1"/>
  <c r="V68" i="1"/>
  <c r="U68" i="1"/>
  <c r="T68" i="1"/>
  <c r="S68" i="1"/>
  <c r="R68" i="1"/>
  <c r="Q68" i="1"/>
  <c r="P68" i="1"/>
  <c r="L68" i="1"/>
  <c r="K68" i="1"/>
  <c r="J68" i="1"/>
  <c r="I68" i="1"/>
  <c r="H68" i="1"/>
  <c r="F68" i="1"/>
  <c r="AD67" i="1"/>
  <c r="AC67" i="1"/>
  <c r="AB67" i="1"/>
  <c r="AA67" i="1"/>
  <c r="Y67" i="1"/>
  <c r="X67" i="1"/>
  <c r="W67" i="1"/>
  <c r="V67" i="1"/>
  <c r="U67" i="1"/>
  <c r="T67" i="1"/>
  <c r="S67" i="1"/>
  <c r="R67" i="1"/>
  <c r="Q67" i="1"/>
  <c r="P67" i="1"/>
  <c r="L67" i="1"/>
  <c r="K67" i="1"/>
  <c r="J67" i="1"/>
  <c r="I67" i="1"/>
  <c r="H67" i="1"/>
  <c r="F67" i="1"/>
  <c r="AD66" i="1"/>
  <c r="AC66" i="1"/>
  <c r="AB66" i="1"/>
  <c r="AA66" i="1"/>
  <c r="Y66" i="1"/>
  <c r="X66" i="1"/>
  <c r="W66" i="1"/>
  <c r="V66" i="1"/>
  <c r="U66" i="1"/>
  <c r="T66" i="1"/>
  <c r="S66" i="1"/>
  <c r="R66" i="1"/>
  <c r="Q66" i="1"/>
  <c r="P66" i="1"/>
  <c r="L66" i="1"/>
  <c r="K66" i="1"/>
  <c r="J66" i="1"/>
  <c r="I66" i="1"/>
  <c r="H66" i="1"/>
  <c r="F66" i="1"/>
  <c r="AD65" i="1"/>
  <c r="AC65" i="1"/>
  <c r="AB65" i="1"/>
  <c r="AA65" i="1"/>
  <c r="Y65" i="1"/>
  <c r="X65" i="1"/>
  <c r="W65" i="1"/>
  <c r="V65" i="1"/>
  <c r="U65" i="1"/>
  <c r="T65" i="1"/>
  <c r="S65" i="1"/>
  <c r="R65" i="1"/>
  <c r="Q65" i="1"/>
  <c r="P65" i="1"/>
  <c r="L65" i="1"/>
  <c r="K65" i="1"/>
  <c r="J65" i="1"/>
  <c r="I65" i="1"/>
  <c r="H65" i="1"/>
  <c r="F65" i="1"/>
  <c r="AD64" i="1"/>
  <c r="AC64" i="1"/>
  <c r="AB64" i="1"/>
  <c r="AA64" i="1"/>
  <c r="Y64" i="1"/>
  <c r="X64" i="1"/>
  <c r="W64" i="1"/>
  <c r="V64" i="1"/>
  <c r="U64" i="1"/>
  <c r="T64" i="1"/>
  <c r="S64" i="1"/>
  <c r="R64" i="1"/>
  <c r="Q64" i="1"/>
  <c r="P64" i="1"/>
  <c r="L64" i="1"/>
  <c r="K64" i="1"/>
  <c r="J64" i="1"/>
  <c r="I64" i="1"/>
  <c r="H64" i="1"/>
  <c r="F64" i="1"/>
  <c r="AD63" i="1"/>
  <c r="AC63" i="1"/>
  <c r="AB63" i="1"/>
  <c r="AA63" i="1"/>
  <c r="Y63" i="1"/>
  <c r="X63" i="1"/>
  <c r="W63" i="1"/>
  <c r="V63" i="1"/>
  <c r="U63" i="1"/>
  <c r="T63" i="1"/>
  <c r="S63" i="1"/>
  <c r="R63" i="1"/>
  <c r="Q63" i="1"/>
  <c r="P63" i="1"/>
  <c r="L63" i="1"/>
  <c r="K63" i="1"/>
  <c r="J63" i="1"/>
  <c r="I63" i="1"/>
  <c r="H63" i="1"/>
  <c r="F63" i="1"/>
  <c r="AD62" i="1"/>
  <c r="AC62" i="1"/>
  <c r="AB62" i="1"/>
  <c r="AA62" i="1"/>
  <c r="Y62" i="1"/>
  <c r="X62" i="1"/>
  <c r="W62" i="1"/>
  <c r="V62" i="1"/>
  <c r="U62" i="1"/>
  <c r="T62" i="1"/>
  <c r="S62" i="1"/>
  <c r="R62" i="1"/>
  <c r="Q62" i="1"/>
  <c r="P62" i="1"/>
  <c r="L62" i="1"/>
  <c r="K62" i="1"/>
  <c r="J62" i="1"/>
  <c r="I62" i="1"/>
  <c r="H62" i="1"/>
  <c r="F62" i="1"/>
  <c r="AD61" i="1"/>
  <c r="AC61" i="1"/>
  <c r="AB61" i="1"/>
  <c r="AA61" i="1"/>
  <c r="Y61" i="1"/>
  <c r="X61" i="1"/>
  <c r="W61" i="1"/>
  <c r="V61" i="1"/>
  <c r="U61" i="1"/>
  <c r="T61" i="1"/>
  <c r="S61" i="1"/>
  <c r="R61" i="1"/>
  <c r="Q61" i="1"/>
  <c r="P61" i="1"/>
  <c r="L61" i="1"/>
  <c r="K61" i="1"/>
  <c r="J61" i="1"/>
  <c r="I61" i="1"/>
  <c r="H61" i="1"/>
  <c r="F61" i="1"/>
  <c r="AD60" i="1"/>
  <c r="AC60" i="1"/>
  <c r="AB60" i="1"/>
  <c r="AA60" i="1"/>
  <c r="Y60" i="1"/>
  <c r="X60" i="1"/>
  <c r="W60" i="1"/>
  <c r="V60" i="1"/>
  <c r="U60" i="1"/>
  <c r="T60" i="1"/>
  <c r="S60" i="1"/>
  <c r="R60" i="1"/>
  <c r="Q60" i="1"/>
  <c r="P60" i="1"/>
  <c r="L60" i="1"/>
  <c r="K60" i="1"/>
  <c r="J60" i="1"/>
  <c r="I60" i="1"/>
  <c r="H60" i="1"/>
  <c r="F60" i="1"/>
  <c r="AD59" i="1"/>
  <c r="AC59" i="1"/>
  <c r="AB59" i="1"/>
  <c r="AA59" i="1"/>
  <c r="Y59" i="1"/>
  <c r="X59" i="1"/>
  <c r="W59" i="1"/>
  <c r="V59" i="1"/>
  <c r="U59" i="1"/>
  <c r="T59" i="1"/>
  <c r="S59" i="1"/>
  <c r="R59" i="1"/>
  <c r="Q59" i="1"/>
  <c r="P59" i="1"/>
  <c r="L59" i="1"/>
  <c r="K59" i="1"/>
  <c r="J59" i="1"/>
  <c r="I59" i="1"/>
  <c r="H59" i="1"/>
  <c r="F59" i="1"/>
  <c r="AD58" i="1"/>
  <c r="AC58" i="1"/>
  <c r="AB58" i="1"/>
  <c r="AA58" i="1"/>
  <c r="Y58" i="1"/>
  <c r="X58" i="1"/>
  <c r="W58" i="1"/>
  <c r="V58" i="1"/>
  <c r="U58" i="1"/>
  <c r="T58" i="1"/>
  <c r="S58" i="1"/>
  <c r="R58" i="1"/>
  <c r="Q58" i="1"/>
  <c r="P58" i="1"/>
  <c r="L58" i="1"/>
  <c r="K58" i="1"/>
  <c r="J58" i="1"/>
  <c r="I58" i="1"/>
  <c r="H58" i="1"/>
  <c r="F58" i="1"/>
  <c r="AD57" i="1"/>
  <c r="AC57" i="1"/>
  <c r="AB57" i="1"/>
  <c r="AA57" i="1"/>
  <c r="Y57" i="1"/>
  <c r="X57" i="1"/>
  <c r="W57" i="1"/>
  <c r="V57" i="1"/>
  <c r="U57" i="1"/>
  <c r="T57" i="1"/>
  <c r="S57" i="1"/>
  <c r="R57" i="1"/>
  <c r="Q57" i="1"/>
  <c r="P57" i="1"/>
  <c r="L57" i="1"/>
  <c r="K57" i="1"/>
  <c r="J57" i="1"/>
  <c r="I57" i="1"/>
  <c r="H57" i="1"/>
  <c r="F57" i="1"/>
  <c r="AD56" i="1"/>
  <c r="AC56" i="1"/>
  <c r="AB56" i="1"/>
  <c r="AA56" i="1"/>
  <c r="Y56" i="1"/>
  <c r="X56" i="1"/>
  <c r="W56" i="1"/>
  <c r="V56" i="1"/>
  <c r="U56" i="1"/>
  <c r="T56" i="1"/>
  <c r="S56" i="1"/>
  <c r="R56" i="1"/>
  <c r="Q56" i="1"/>
  <c r="P56" i="1"/>
  <c r="L56" i="1"/>
  <c r="K56" i="1"/>
  <c r="J56" i="1"/>
  <c r="I56" i="1"/>
  <c r="H56" i="1"/>
  <c r="F56" i="1"/>
  <c r="AD55" i="1"/>
  <c r="AC55" i="1"/>
  <c r="AB55" i="1"/>
  <c r="AA55" i="1"/>
  <c r="Y55" i="1"/>
  <c r="X55" i="1"/>
  <c r="W55" i="1"/>
  <c r="V55" i="1"/>
  <c r="U55" i="1"/>
  <c r="T55" i="1"/>
  <c r="S55" i="1"/>
  <c r="R55" i="1"/>
  <c r="Q55" i="1"/>
  <c r="P55" i="1"/>
  <c r="L55" i="1"/>
  <c r="K55" i="1"/>
  <c r="J55" i="1"/>
  <c r="I55" i="1"/>
  <c r="H55" i="1"/>
  <c r="F55" i="1"/>
  <c r="AD54" i="1"/>
  <c r="AC54" i="1"/>
  <c r="AB54" i="1"/>
  <c r="AA54" i="1"/>
  <c r="Y54" i="1"/>
  <c r="X54" i="1"/>
  <c r="W54" i="1"/>
  <c r="V54" i="1"/>
  <c r="U54" i="1"/>
  <c r="T54" i="1"/>
  <c r="S54" i="1"/>
  <c r="R54" i="1"/>
  <c r="Q54" i="1"/>
  <c r="P54" i="1"/>
  <c r="L54" i="1"/>
  <c r="K54" i="1"/>
  <c r="J54" i="1"/>
  <c r="I54" i="1"/>
  <c r="H54" i="1"/>
  <c r="F54" i="1"/>
  <c r="AD53" i="1"/>
  <c r="AC53" i="1"/>
  <c r="AB53" i="1"/>
  <c r="AA53" i="1"/>
  <c r="Y53" i="1"/>
  <c r="X53" i="1"/>
  <c r="W53" i="1"/>
  <c r="V53" i="1"/>
  <c r="U53" i="1"/>
  <c r="T53" i="1"/>
  <c r="S53" i="1"/>
  <c r="R53" i="1"/>
  <c r="Q53" i="1"/>
  <c r="P53" i="1"/>
  <c r="L53" i="1"/>
  <c r="K53" i="1"/>
  <c r="J53" i="1"/>
  <c r="I53" i="1"/>
  <c r="H53" i="1"/>
  <c r="F53" i="1"/>
  <c r="AD52" i="1"/>
  <c r="AC52" i="1"/>
  <c r="AB52" i="1"/>
  <c r="AA52" i="1"/>
  <c r="Y52" i="1"/>
  <c r="X52" i="1"/>
  <c r="W52" i="1"/>
  <c r="V52" i="1"/>
  <c r="U52" i="1"/>
  <c r="T52" i="1"/>
  <c r="S52" i="1"/>
  <c r="R52" i="1"/>
  <c r="Q52" i="1"/>
  <c r="P52" i="1"/>
  <c r="L52" i="1"/>
  <c r="K52" i="1"/>
  <c r="J52" i="1"/>
  <c r="I52" i="1"/>
  <c r="H52" i="1"/>
  <c r="F52" i="1"/>
  <c r="AD51" i="1"/>
  <c r="AC51" i="1"/>
  <c r="AB51" i="1"/>
  <c r="AA51" i="1"/>
  <c r="Y51" i="1"/>
  <c r="X51" i="1"/>
  <c r="W51" i="1"/>
  <c r="V51" i="1"/>
  <c r="U51" i="1"/>
  <c r="T51" i="1"/>
  <c r="S51" i="1"/>
  <c r="R51" i="1"/>
  <c r="Q51" i="1"/>
  <c r="P51" i="1"/>
  <c r="L51" i="1"/>
  <c r="K51" i="1"/>
  <c r="J51" i="1"/>
  <c r="I51" i="1"/>
  <c r="H51" i="1"/>
  <c r="F51" i="1"/>
  <c r="AD50" i="1"/>
  <c r="AC50" i="1"/>
  <c r="AB50" i="1"/>
  <c r="AA50" i="1"/>
  <c r="Y50" i="1"/>
  <c r="X50" i="1"/>
  <c r="W50" i="1"/>
  <c r="V50" i="1"/>
  <c r="U50" i="1"/>
  <c r="T50" i="1"/>
  <c r="S50" i="1"/>
  <c r="R50" i="1"/>
  <c r="Q50" i="1"/>
  <c r="P50" i="1"/>
  <c r="L50" i="1"/>
  <c r="K50" i="1"/>
  <c r="J50" i="1"/>
  <c r="I50" i="1"/>
  <c r="H50" i="1"/>
  <c r="F50" i="1"/>
  <c r="AD49" i="1"/>
  <c r="AC49" i="1"/>
  <c r="AB49" i="1"/>
  <c r="AA49" i="1"/>
  <c r="Y49" i="1"/>
  <c r="X49" i="1"/>
  <c r="W49" i="1"/>
  <c r="V49" i="1"/>
  <c r="U49" i="1"/>
  <c r="T49" i="1"/>
  <c r="S49" i="1"/>
  <c r="R49" i="1"/>
  <c r="Q49" i="1"/>
  <c r="P49" i="1"/>
  <c r="L49" i="1"/>
  <c r="K49" i="1"/>
  <c r="J49" i="1"/>
  <c r="I49" i="1"/>
  <c r="H49" i="1"/>
  <c r="F49" i="1"/>
  <c r="AD48" i="1"/>
  <c r="AC48" i="1"/>
  <c r="AB48" i="1"/>
  <c r="AA48" i="1"/>
  <c r="Y48" i="1"/>
  <c r="X48" i="1"/>
  <c r="W48" i="1"/>
  <c r="V48" i="1"/>
  <c r="U48" i="1"/>
  <c r="T48" i="1"/>
  <c r="S48" i="1"/>
  <c r="R48" i="1"/>
  <c r="Q48" i="1"/>
  <c r="P48" i="1"/>
  <c r="L48" i="1"/>
  <c r="K48" i="1"/>
  <c r="J48" i="1"/>
  <c r="I48" i="1"/>
  <c r="H48" i="1"/>
  <c r="F48" i="1"/>
  <c r="AD47" i="1"/>
  <c r="AC47" i="1"/>
  <c r="AB47" i="1"/>
  <c r="AA47" i="1"/>
  <c r="Y47" i="1"/>
  <c r="X47" i="1"/>
  <c r="W47" i="1"/>
  <c r="V47" i="1"/>
  <c r="U47" i="1"/>
  <c r="T47" i="1"/>
  <c r="S47" i="1"/>
  <c r="R47" i="1"/>
  <c r="Q47" i="1"/>
  <c r="P47" i="1"/>
  <c r="L47" i="1"/>
  <c r="K47" i="1"/>
  <c r="J47" i="1"/>
  <c r="I47" i="1"/>
  <c r="H47" i="1"/>
  <c r="F47" i="1"/>
  <c r="AD46" i="1"/>
  <c r="AC46" i="1"/>
  <c r="AB46" i="1"/>
  <c r="AA46" i="1"/>
  <c r="Y46" i="1"/>
  <c r="X46" i="1"/>
  <c r="W46" i="1"/>
  <c r="V46" i="1"/>
  <c r="U46" i="1"/>
  <c r="T46" i="1"/>
  <c r="S46" i="1"/>
  <c r="R46" i="1"/>
  <c r="Q46" i="1"/>
  <c r="P46" i="1"/>
  <c r="L46" i="1"/>
  <c r="K46" i="1"/>
  <c r="J46" i="1"/>
  <c r="I46" i="1"/>
  <c r="H46" i="1"/>
  <c r="F46" i="1"/>
  <c r="AD45" i="1"/>
  <c r="AC45" i="1"/>
  <c r="AB45" i="1"/>
  <c r="AA45" i="1"/>
  <c r="Y45" i="1"/>
  <c r="X45" i="1"/>
  <c r="W45" i="1"/>
  <c r="V45" i="1"/>
  <c r="U45" i="1"/>
  <c r="T45" i="1"/>
  <c r="S45" i="1"/>
  <c r="R45" i="1"/>
  <c r="Q45" i="1"/>
  <c r="P45" i="1"/>
  <c r="L45" i="1"/>
  <c r="K45" i="1"/>
  <c r="J45" i="1"/>
  <c r="I45" i="1"/>
  <c r="H45" i="1"/>
  <c r="F45" i="1"/>
  <c r="AD44" i="1"/>
  <c r="AC44" i="1"/>
  <c r="AB44" i="1"/>
  <c r="AA44" i="1"/>
  <c r="Y44" i="1"/>
  <c r="X44" i="1"/>
  <c r="W44" i="1"/>
  <c r="V44" i="1"/>
  <c r="U44" i="1"/>
  <c r="T44" i="1"/>
  <c r="S44" i="1"/>
  <c r="R44" i="1"/>
  <c r="Q44" i="1"/>
  <c r="P44" i="1"/>
  <c r="L44" i="1"/>
  <c r="K44" i="1"/>
  <c r="J44" i="1"/>
  <c r="I44" i="1"/>
  <c r="H44" i="1"/>
  <c r="F44" i="1"/>
  <c r="AD43" i="1"/>
  <c r="AC43" i="1"/>
  <c r="AB43" i="1"/>
  <c r="AA43" i="1"/>
  <c r="Y43" i="1"/>
  <c r="X43" i="1"/>
  <c r="W43" i="1"/>
  <c r="V43" i="1"/>
  <c r="U43" i="1"/>
  <c r="T43" i="1"/>
  <c r="S43" i="1"/>
  <c r="R43" i="1"/>
  <c r="Q43" i="1"/>
  <c r="P43" i="1"/>
  <c r="L43" i="1"/>
  <c r="K43" i="1"/>
  <c r="J43" i="1"/>
  <c r="I43" i="1"/>
  <c r="H43" i="1"/>
  <c r="F43" i="1"/>
  <c r="AD42" i="1"/>
  <c r="AC42" i="1"/>
  <c r="AB42" i="1"/>
  <c r="AA42" i="1"/>
  <c r="Y42" i="1"/>
  <c r="X42" i="1"/>
  <c r="W42" i="1"/>
  <c r="V42" i="1"/>
  <c r="U42" i="1"/>
  <c r="T42" i="1"/>
  <c r="S42" i="1"/>
  <c r="R42" i="1"/>
  <c r="Q42" i="1"/>
  <c r="P42" i="1"/>
  <c r="L42" i="1"/>
  <c r="K42" i="1"/>
  <c r="J42" i="1"/>
  <c r="I42" i="1"/>
  <c r="H42" i="1"/>
  <c r="F42" i="1"/>
  <c r="AD41" i="1"/>
  <c r="AC41" i="1"/>
  <c r="AB41" i="1"/>
  <c r="AA41" i="1"/>
  <c r="Y41" i="1"/>
  <c r="X41" i="1"/>
  <c r="W41" i="1"/>
  <c r="V41" i="1"/>
  <c r="U41" i="1"/>
  <c r="T41" i="1"/>
  <c r="S41" i="1"/>
  <c r="R41" i="1"/>
  <c r="Q41" i="1"/>
  <c r="P41" i="1"/>
  <c r="L41" i="1"/>
  <c r="K41" i="1"/>
  <c r="J41" i="1"/>
  <c r="I41" i="1"/>
  <c r="H41" i="1"/>
  <c r="F41" i="1"/>
  <c r="AD40" i="1"/>
  <c r="AC40" i="1"/>
  <c r="AB40" i="1"/>
  <c r="AA40" i="1"/>
  <c r="Y40" i="1"/>
  <c r="X40" i="1"/>
  <c r="W40" i="1"/>
  <c r="V40" i="1"/>
  <c r="U40" i="1"/>
  <c r="T40" i="1"/>
  <c r="S40" i="1"/>
  <c r="R40" i="1"/>
  <c r="Q40" i="1"/>
  <c r="P40" i="1"/>
  <c r="L40" i="1"/>
  <c r="K40" i="1"/>
  <c r="J40" i="1"/>
  <c r="I40" i="1"/>
  <c r="H40" i="1"/>
  <c r="F40" i="1"/>
  <c r="AD39" i="1"/>
  <c r="AC39" i="1"/>
  <c r="AB39" i="1"/>
  <c r="AA39" i="1"/>
  <c r="Y39" i="1"/>
  <c r="X39" i="1"/>
  <c r="W39" i="1"/>
  <c r="V39" i="1"/>
  <c r="U39" i="1"/>
  <c r="T39" i="1"/>
  <c r="S39" i="1"/>
  <c r="R39" i="1"/>
  <c r="Q39" i="1"/>
  <c r="P39" i="1"/>
  <c r="L39" i="1"/>
  <c r="K39" i="1"/>
  <c r="J39" i="1"/>
  <c r="I39" i="1"/>
  <c r="H39" i="1"/>
  <c r="F39" i="1"/>
  <c r="AD38" i="1"/>
  <c r="AC38" i="1"/>
  <c r="AB38" i="1"/>
  <c r="AA38" i="1"/>
  <c r="Y38" i="1"/>
  <c r="X38" i="1"/>
  <c r="W38" i="1"/>
  <c r="V38" i="1"/>
  <c r="U38" i="1"/>
  <c r="T38" i="1"/>
  <c r="S38" i="1"/>
  <c r="R38" i="1"/>
  <c r="Q38" i="1"/>
  <c r="P38" i="1"/>
  <c r="L38" i="1"/>
  <c r="K38" i="1"/>
  <c r="J38" i="1"/>
  <c r="I38" i="1"/>
  <c r="H38" i="1"/>
  <c r="F38" i="1"/>
  <c r="AD37" i="1"/>
  <c r="AC37" i="1"/>
  <c r="AB37" i="1"/>
  <c r="AA37" i="1"/>
  <c r="Y37" i="1"/>
  <c r="X37" i="1"/>
  <c r="W37" i="1"/>
  <c r="V37" i="1"/>
  <c r="U37" i="1"/>
  <c r="T37" i="1"/>
  <c r="S37" i="1"/>
  <c r="R37" i="1"/>
  <c r="Q37" i="1"/>
  <c r="P37" i="1"/>
  <c r="L37" i="1"/>
  <c r="K37" i="1"/>
  <c r="J37" i="1"/>
  <c r="I37" i="1"/>
  <c r="H37" i="1"/>
  <c r="F37" i="1"/>
  <c r="AD36" i="1"/>
  <c r="AC36" i="1"/>
  <c r="AB36" i="1"/>
  <c r="AA36" i="1"/>
  <c r="Y36" i="1"/>
  <c r="X36" i="1"/>
  <c r="W36" i="1"/>
  <c r="V36" i="1"/>
  <c r="U36" i="1"/>
  <c r="T36" i="1"/>
  <c r="S36" i="1"/>
  <c r="R36" i="1"/>
  <c r="Q36" i="1"/>
  <c r="P36" i="1"/>
  <c r="L36" i="1"/>
  <c r="K36" i="1"/>
  <c r="J36" i="1"/>
  <c r="I36" i="1"/>
  <c r="H36" i="1"/>
  <c r="F36" i="1"/>
  <c r="AD35" i="1"/>
  <c r="AC35" i="1"/>
  <c r="AB35" i="1"/>
  <c r="AA35" i="1"/>
  <c r="Y35" i="1"/>
  <c r="X35" i="1"/>
  <c r="W35" i="1"/>
  <c r="V35" i="1"/>
  <c r="U35" i="1"/>
  <c r="T35" i="1"/>
  <c r="S35" i="1"/>
  <c r="R35" i="1"/>
  <c r="Q35" i="1"/>
  <c r="P35" i="1"/>
  <c r="L35" i="1"/>
  <c r="K35" i="1"/>
  <c r="J35" i="1"/>
  <c r="I35" i="1"/>
  <c r="H35" i="1"/>
  <c r="F35" i="1"/>
  <c r="AD34" i="1"/>
  <c r="AC34" i="1"/>
  <c r="AB34" i="1"/>
  <c r="AA34" i="1"/>
  <c r="Y34" i="1"/>
  <c r="X34" i="1"/>
  <c r="W34" i="1"/>
  <c r="V34" i="1"/>
  <c r="U34" i="1"/>
  <c r="T34" i="1"/>
  <c r="S34" i="1"/>
  <c r="R34" i="1"/>
  <c r="Q34" i="1"/>
  <c r="P34" i="1"/>
  <c r="L34" i="1"/>
  <c r="K34" i="1"/>
  <c r="J34" i="1"/>
  <c r="I34" i="1"/>
  <c r="H34" i="1"/>
  <c r="F34" i="1"/>
  <c r="AD33" i="1"/>
  <c r="AC33" i="1"/>
  <c r="AB33" i="1"/>
  <c r="AA33" i="1"/>
  <c r="Y33" i="1"/>
  <c r="X33" i="1"/>
  <c r="W33" i="1"/>
  <c r="V33" i="1"/>
  <c r="U33" i="1"/>
  <c r="T33" i="1"/>
  <c r="S33" i="1"/>
  <c r="R33" i="1"/>
  <c r="Q33" i="1"/>
  <c r="P33" i="1"/>
  <c r="L33" i="1"/>
  <c r="K33" i="1"/>
  <c r="J33" i="1"/>
  <c r="I33" i="1"/>
  <c r="H33" i="1"/>
  <c r="F33" i="1"/>
  <c r="AD32" i="1"/>
  <c r="AC32" i="1"/>
  <c r="AB32" i="1"/>
  <c r="AA32" i="1"/>
  <c r="Y32" i="1"/>
  <c r="X32" i="1"/>
  <c r="W32" i="1"/>
  <c r="V32" i="1"/>
  <c r="U32" i="1"/>
  <c r="T32" i="1"/>
  <c r="S32" i="1"/>
  <c r="R32" i="1"/>
  <c r="Q32" i="1"/>
  <c r="P32" i="1"/>
  <c r="L32" i="1"/>
  <c r="K32" i="1"/>
  <c r="J32" i="1"/>
  <c r="I32" i="1"/>
  <c r="H32" i="1"/>
  <c r="F32" i="1"/>
  <c r="AD31" i="1"/>
  <c r="AC31" i="1"/>
  <c r="AB31" i="1"/>
  <c r="AA31" i="1"/>
  <c r="Y31" i="1"/>
  <c r="X31" i="1"/>
  <c r="W31" i="1"/>
  <c r="V31" i="1"/>
  <c r="U31" i="1"/>
  <c r="T31" i="1"/>
  <c r="S31" i="1"/>
  <c r="R31" i="1"/>
  <c r="Q31" i="1"/>
  <c r="P31" i="1"/>
  <c r="L31" i="1"/>
  <c r="K31" i="1"/>
  <c r="J31" i="1"/>
  <c r="I31" i="1"/>
  <c r="H31" i="1"/>
  <c r="F31" i="1"/>
  <c r="AD30" i="1"/>
  <c r="AC30" i="1"/>
  <c r="AB30" i="1"/>
  <c r="AA30" i="1"/>
  <c r="Y30" i="1"/>
  <c r="X30" i="1"/>
  <c r="W30" i="1"/>
  <c r="V30" i="1"/>
  <c r="U30" i="1"/>
  <c r="T30" i="1"/>
  <c r="S30" i="1"/>
  <c r="R30" i="1"/>
  <c r="Q30" i="1"/>
  <c r="P30" i="1"/>
  <c r="L30" i="1"/>
  <c r="K30" i="1"/>
  <c r="J30" i="1"/>
  <c r="I30" i="1"/>
  <c r="H30" i="1"/>
  <c r="F30" i="1"/>
  <c r="AD29" i="1"/>
  <c r="AC29" i="1"/>
  <c r="AB29" i="1"/>
  <c r="AA29" i="1"/>
  <c r="Y29" i="1"/>
  <c r="X29" i="1"/>
  <c r="W29" i="1"/>
  <c r="V29" i="1"/>
  <c r="U29" i="1"/>
  <c r="T29" i="1"/>
  <c r="S29" i="1"/>
  <c r="R29" i="1"/>
  <c r="Q29" i="1"/>
  <c r="P29" i="1"/>
  <c r="L29" i="1"/>
  <c r="K29" i="1"/>
  <c r="J29" i="1"/>
  <c r="I29" i="1"/>
  <c r="H29" i="1"/>
  <c r="F29" i="1"/>
  <c r="AD28" i="1"/>
  <c r="AC28" i="1"/>
  <c r="AB28" i="1"/>
  <c r="AA28" i="1"/>
  <c r="Y28" i="1"/>
  <c r="X28" i="1"/>
  <c r="W28" i="1"/>
  <c r="V28" i="1"/>
  <c r="U28" i="1"/>
  <c r="T28" i="1"/>
  <c r="S28" i="1"/>
  <c r="R28" i="1"/>
  <c r="Q28" i="1"/>
  <c r="P28" i="1"/>
  <c r="L28" i="1"/>
  <c r="K28" i="1"/>
  <c r="J28" i="1"/>
  <c r="I28" i="1"/>
  <c r="H28" i="1"/>
  <c r="F28" i="1"/>
  <c r="AD27" i="1"/>
  <c r="AC27" i="1"/>
  <c r="AB27" i="1"/>
  <c r="AA27" i="1"/>
  <c r="Y27" i="1"/>
  <c r="X27" i="1"/>
  <c r="W27" i="1"/>
  <c r="V27" i="1"/>
  <c r="U27" i="1"/>
  <c r="T27" i="1"/>
  <c r="S27" i="1"/>
  <c r="R27" i="1"/>
  <c r="Q27" i="1"/>
  <c r="P27" i="1"/>
  <c r="L27" i="1"/>
  <c r="K27" i="1"/>
  <c r="J27" i="1"/>
  <c r="I27" i="1"/>
  <c r="H27" i="1"/>
  <c r="F27" i="1"/>
  <c r="AD26" i="1"/>
  <c r="AC26" i="1"/>
  <c r="AB26" i="1"/>
  <c r="AA26" i="1"/>
  <c r="Y26" i="1"/>
  <c r="X26" i="1"/>
  <c r="W26" i="1"/>
  <c r="V26" i="1"/>
  <c r="U26" i="1"/>
  <c r="T26" i="1"/>
  <c r="S26" i="1"/>
  <c r="R26" i="1"/>
  <c r="Q26" i="1"/>
  <c r="P26" i="1"/>
  <c r="L26" i="1"/>
  <c r="K26" i="1"/>
  <c r="J26" i="1"/>
  <c r="I26" i="1"/>
  <c r="H26" i="1"/>
  <c r="F26" i="1"/>
  <c r="AD25" i="1"/>
  <c r="AC25" i="1"/>
  <c r="AB25" i="1"/>
  <c r="AA25" i="1"/>
  <c r="Y25" i="1"/>
  <c r="X25" i="1"/>
  <c r="W25" i="1"/>
  <c r="V25" i="1"/>
  <c r="U25" i="1"/>
  <c r="T25" i="1"/>
  <c r="S25" i="1"/>
  <c r="R25" i="1"/>
  <c r="Q25" i="1"/>
  <c r="P25" i="1"/>
  <c r="L25" i="1"/>
  <c r="K25" i="1"/>
  <c r="J25" i="1"/>
  <c r="I25" i="1"/>
  <c r="H25" i="1"/>
  <c r="F25" i="1"/>
  <c r="AD24" i="1"/>
  <c r="AC24" i="1"/>
  <c r="AB24" i="1"/>
  <c r="AA24" i="1"/>
  <c r="Y24" i="1"/>
  <c r="X24" i="1"/>
  <c r="W24" i="1"/>
  <c r="V24" i="1"/>
  <c r="U24" i="1"/>
  <c r="T24" i="1"/>
  <c r="S24" i="1"/>
  <c r="R24" i="1"/>
  <c r="Q24" i="1"/>
  <c r="P24" i="1"/>
  <c r="L24" i="1"/>
  <c r="K24" i="1"/>
  <c r="J24" i="1"/>
  <c r="I24" i="1"/>
  <c r="H24" i="1"/>
  <c r="F24" i="1"/>
  <c r="AD23" i="1"/>
  <c r="AC23" i="1"/>
  <c r="AB23" i="1"/>
  <c r="AA23" i="1"/>
  <c r="Y23" i="1"/>
  <c r="X23" i="1"/>
  <c r="W23" i="1"/>
  <c r="V23" i="1"/>
  <c r="U23" i="1"/>
  <c r="T23" i="1"/>
  <c r="S23" i="1"/>
  <c r="R23" i="1"/>
  <c r="Q23" i="1"/>
  <c r="P23" i="1"/>
  <c r="L23" i="1"/>
  <c r="K23" i="1"/>
  <c r="J23" i="1"/>
  <c r="I23" i="1"/>
  <c r="H23" i="1"/>
  <c r="F23" i="1"/>
  <c r="AD22" i="1"/>
  <c r="AC22" i="1"/>
  <c r="AB22" i="1"/>
  <c r="AA22" i="1"/>
  <c r="Y22" i="1"/>
  <c r="X22" i="1"/>
  <c r="W22" i="1"/>
  <c r="V22" i="1"/>
  <c r="U22" i="1"/>
  <c r="T22" i="1"/>
  <c r="S22" i="1"/>
  <c r="R22" i="1"/>
  <c r="Q22" i="1"/>
  <c r="P22" i="1"/>
  <c r="L22" i="1"/>
  <c r="K22" i="1"/>
  <c r="J22" i="1"/>
  <c r="I22" i="1"/>
  <c r="H22" i="1"/>
  <c r="F22" i="1"/>
  <c r="AD21" i="1"/>
  <c r="AC21" i="1"/>
  <c r="AB21" i="1"/>
  <c r="AA21" i="1"/>
  <c r="Y21" i="1"/>
  <c r="X21" i="1"/>
  <c r="W21" i="1"/>
  <c r="V21" i="1"/>
  <c r="U21" i="1"/>
  <c r="T21" i="1"/>
  <c r="S21" i="1"/>
  <c r="R21" i="1"/>
  <c r="Q21" i="1"/>
  <c r="P21" i="1"/>
  <c r="L21" i="1"/>
  <c r="K21" i="1"/>
  <c r="J21" i="1"/>
  <c r="I21" i="1"/>
  <c r="H21" i="1"/>
  <c r="F21" i="1"/>
  <c r="AD20" i="1"/>
  <c r="AC20" i="1"/>
  <c r="AB20" i="1"/>
  <c r="AA20" i="1"/>
  <c r="Y20" i="1"/>
  <c r="X20" i="1"/>
  <c r="W20" i="1"/>
  <c r="V20" i="1"/>
  <c r="U20" i="1"/>
  <c r="T20" i="1"/>
  <c r="S20" i="1"/>
  <c r="R20" i="1"/>
  <c r="Q20" i="1"/>
  <c r="P20" i="1"/>
  <c r="L20" i="1"/>
  <c r="K20" i="1"/>
  <c r="J20" i="1"/>
  <c r="I20" i="1"/>
  <c r="H20" i="1"/>
  <c r="F20" i="1"/>
  <c r="AD19" i="1"/>
  <c r="AC19" i="1"/>
  <c r="AB19" i="1"/>
  <c r="AA19" i="1"/>
  <c r="Y19" i="1"/>
  <c r="X19" i="1"/>
  <c r="W19" i="1"/>
  <c r="V19" i="1"/>
  <c r="U19" i="1"/>
  <c r="T19" i="1"/>
  <c r="S19" i="1"/>
  <c r="R19" i="1"/>
  <c r="Q19" i="1"/>
  <c r="P19" i="1"/>
  <c r="L19" i="1"/>
  <c r="K19" i="1"/>
  <c r="J19" i="1"/>
  <c r="I19" i="1"/>
  <c r="H19" i="1"/>
  <c r="F19" i="1"/>
  <c r="AD18" i="1"/>
  <c r="AC18" i="1"/>
  <c r="AB18" i="1"/>
  <c r="AA18" i="1"/>
  <c r="Y18" i="1"/>
  <c r="X18" i="1"/>
  <c r="W18" i="1"/>
  <c r="V18" i="1"/>
  <c r="U18" i="1"/>
  <c r="T18" i="1"/>
  <c r="S18" i="1"/>
  <c r="R18" i="1"/>
  <c r="Q18" i="1"/>
  <c r="P18" i="1"/>
  <c r="L18" i="1"/>
  <c r="K18" i="1"/>
  <c r="J18" i="1"/>
  <c r="I18" i="1"/>
  <c r="H18" i="1"/>
  <c r="F18" i="1"/>
  <c r="AD17" i="1"/>
  <c r="AC17" i="1"/>
  <c r="AB17" i="1"/>
  <c r="AA17" i="1"/>
  <c r="Y17" i="1"/>
  <c r="X17" i="1"/>
  <c r="W17" i="1"/>
  <c r="V17" i="1"/>
  <c r="U17" i="1"/>
  <c r="T17" i="1"/>
  <c r="S17" i="1"/>
  <c r="R17" i="1"/>
  <c r="Q17" i="1"/>
  <c r="P17" i="1"/>
  <c r="L17" i="1"/>
  <c r="K17" i="1"/>
  <c r="J17" i="1"/>
  <c r="I17" i="1"/>
  <c r="H17" i="1"/>
  <c r="F17" i="1"/>
  <c r="AD16" i="1"/>
  <c r="AC16" i="1"/>
  <c r="AB16" i="1"/>
  <c r="AA16" i="1"/>
  <c r="Y16" i="1"/>
  <c r="X16" i="1"/>
  <c r="W16" i="1"/>
  <c r="V16" i="1"/>
  <c r="U16" i="1"/>
  <c r="T16" i="1"/>
  <c r="S16" i="1"/>
  <c r="R16" i="1"/>
  <c r="Q16" i="1"/>
  <c r="P16" i="1"/>
  <c r="L16" i="1"/>
  <c r="K16" i="1"/>
  <c r="J16" i="1"/>
  <c r="I16" i="1"/>
  <c r="H16" i="1"/>
  <c r="F16" i="1"/>
  <c r="AD15" i="1"/>
  <c r="AC15" i="1"/>
  <c r="AB15" i="1"/>
  <c r="AA15" i="1"/>
  <c r="Y15" i="1"/>
  <c r="X15" i="1"/>
  <c r="W15" i="1"/>
  <c r="V15" i="1"/>
  <c r="U15" i="1"/>
  <c r="T15" i="1"/>
  <c r="S15" i="1"/>
  <c r="R15" i="1"/>
  <c r="Q15" i="1"/>
  <c r="P15" i="1"/>
  <c r="L15" i="1"/>
  <c r="K15" i="1"/>
  <c r="J15" i="1"/>
  <c r="I15" i="1"/>
  <c r="H15" i="1"/>
  <c r="F15" i="1"/>
  <c r="AD14" i="1"/>
  <c r="AC14" i="1"/>
  <c r="AB14" i="1"/>
  <c r="AA14" i="1"/>
  <c r="Y14" i="1"/>
  <c r="X14" i="1"/>
  <c r="W14" i="1"/>
  <c r="V14" i="1"/>
  <c r="U14" i="1"/>
  <c r="T14" i="1"/>
  <c r="S14" i="1"/>
  <c r="R14" i="1"/>
  <c r="Q14" i="1"/>
  <c r="P14" i="1"/>
  <c r="L14" i="1"/>
  <c r="K14" i="1"/>
  <c r="J14" i="1"/>
  <c r="I14" i="1"/>
  <c r="H14" i="1"/>
  <c r="F14" i="1"/>
  <c r="AD13" i="1"/>
  <c r="AC13" i="1"/>
  <c r="AB13" i="1"/>
  <c r="AA13" i="1"/>
  <c r="Y13" i="1"/>
  <c r="X13" i="1"/>
  <c r="W13" i="1"/>
  <c r="V13" i="1"/>
  <c r="U13" i="1"/>
  <c r="T13" i="1"/>
  <c r="S13" i="1"/>
  <c r="R13" i="1"/>
  <c r="Q13" i="1"/>
  <c r="P13" i="1"/>
  <c r="L13" i="1"/>
  <c r="K13" i="1"/>
  <c r="J13" i="1"/>
  <c r="I13" i="1"/>
  <c r="H13" i="1"/>
  <c r="F13" i="1"/>
  <c r="AD12" i="1"/>
  <c r="AC12" i="1"/>
  <c r="AB12" i="1"/>
  <c r="AA12" i="1"/>
  <c r="Y12" i="1"/>
  <c r="X12" i="1"/>
  <c r="W12" i="1"/>
  <c r="V12" i="1"/>
  <c r="U12" i="1"/>
  <c r="T12" i="1"/>
  <c r="S12" i="1"/>
  <c r="R12" i="1"/>
  <c r="Q12" i="1"/>
  <c r="P12" i="1"/>
  <c r="L12" i="1"/>
  <c r="K12" i="1"/>
  <c r="J12" i="1"/>
  <c r="I12" i="1"/>
  <c r="H12" i="1"/>
  <c r="F12" i="1"/>
  <c r="AD11" i="1"/>
  <c r="AC11" i="1"/>
  <c r="AB11" i="1"/>
  <c r="AA11" i="1"/>
  <c r="Y11" i="1"/>
  <c r="X11" i="1"/>
  <c r="W11" i="1"/>
  <c r="V11" i="1"/>
  <c r="U11" i="1"/>
  <c r="T11" i="1"/>
  <c r="S11" i="1"/>
  <c r="R11" i="1"/>
  <c r="Q11" i="1"/>
  <c r="P11" i="1"/>
  <c r="L11" i="1"/>
  <c r="K11" i="1"/>
  <c r="J11" i="1"/>
  <c r="I11" i="1"/>
  <c r="H11" i="1"/>
  <c r="F11" i="1"/>
  <c r="AD10" i="1"/>
  <c r="AC10" i="1"/>
  <c r="AB10" i="1"/>
  <c r="AA10" i="1"/>
  <c r="Y10" i="1"/>
  <c r="X10" i="1"/>
  <c r="W10" i="1"/>
  <c r="V10" i="1"/>
  <c r="U10" i="1"/>
  <c r="T10" i="1"/>
  <c r="S10" i="1"/>
  <c r="R10" i="1"/>
  <c r="Q10" i="1"/>
  <c r="P10" i="1"/>
  <c r="L10" i="1"/>
  <c r="K10" i="1"/>
  <c r="J10" i="1"/>
  <c r="I10" i="1"/>
  <c r="H10" i="1"/>
  <c r="F10" i="1"/>
  <c r="AD9" i="1"/>
  <c r="AC9" i="1"/>
  <c r="AB9" i="1"/>
  <c r="AA9" i="1"/>
  <c r="Y9" i="1"/>
  <c r="X9" i="1"/>
  <c r="W9" i="1"/>
  <c r="V9" i="1"/>
  <c r="U9" i="1"/>
  <c r="T9" i="1"/>
  <c r="S9" i="1"/>
  <c r="R9" i="1"/>
  <c r="Q9" i="1"/>
  <c r="P9" i="1"/>
  <c r="L9" i="1"/>
  <c r="K9" i="1"/>
  <c r="J9" i="1"/>
  <c r="I9" i="1"/>
  <c r="H9" i="1"/>
  <c r="F9" i="1"/>
  <c r="AD8" i="1"/>
  <c r="AC8" i="1"/>
  <c r="AB8" i="1"/>
  <c r="AA8" i="1"/>
  <c r="Y8" i="1"/>
  <c r="X8" i="1"/>
  <c r="W8" i="1"/>
  <c r="V8" i="1"/>
  <c r="U8" i="1"/>
  <c r="T8" i="1"/>
  <c r="S8" i="1"/>
  <c r="R8" i="1"/>
  <c r="Q8" i="1"/>
  <c r="P8" i="1"/>
  <c r="K8" i="1"/>
  <c r="J8" i="1"/>
  <c r="I8" i="1"/>
  <c r="H8" i="1"/>
  <c r="F8" i="1"/>
  <c r="AD7" i="1"/>
  <c r="AC7" i="1"/>
  <c r="AB7" i="1"/>
  <c r="AA7" i="1"/>
  <c r="Y7" i="1"/>
  <c r="X7" i="1"/>
  <c r="W7" i="1"/>
  <c r="V7" i="1"/>
  <c r="U7" i="1"/>
  <c r="T7" i="1"/>
  <c r="S7" i="1"/>
  <c r="R7" i="1"/>
  <c r="Q7" i="1"/>
  <c r="P7" i="1"/>
  <c r="L7" i="1"/>
  <c r="K7" i="1"/>
  <c r="J7" i="1"/>
  <c r="I7" i="1"/>
  <c r="H7" i="1"/>
  <c r="F7" i="1"/>
  <c r="AD6" i="1"/>
  <c r="AC6" i="1"/>
  <c r="AB6" i="1"/>
  <c r="AA6" i="1"/>
  <c r="Y6" i="1"/>
  <c r="X6" i="1"/>
  <c r="W6" i="1"/>
  <c r="V6" i="1"/>
  <c r="U6" i="1"/>
  <c r="T6" i="1"/>
  <c r="S6" i="1"/>
  <c r="R6" i="1"/>
  <c r="Q6" i="1"/>
  <c r="P6" i="1"/>
  <c r="L6" i="1"/>
  <c r="K6" i="1"/>
  <c r="J6" i="1"/>
  <c r="I6" i="1"/>
  <c r="H6" i="1"/>
  <c r="F6" i="1"/>
  <c r="AD5" i="1"/>
  <c r="AC5" i="1"/>
  <c r="AB5" i="1"/>
  <c r="AA5" i="1"/>
  <c r="Y5" i="1"/>
  <c r="X5" i="1"/>
  <c r="W5" i="1"/>
  <c r="V5" i="1"/>
  <c r="U5" i="1"/>
  <c r="T5" i="1"/>
  <c r="S5" i="1"/>
  <c r="R5" i="1"/>
  <c r="Q5" i="1"/>
  <c r="P5" i="1"/>
  <c r="L5" i="1"/>
  <c r="K5" i="1"/>
  <c r="J5" i="1"/>
  <c r="I5" i="1"/>
  <c r="H5" i="1"/>
  <c r="F5" i="1"/>
  <c r="AD4" i="1"/>
  <c r="AC4" i="1"/>
  <c r="AB4" i="1"/>
  <c r="AA4" i="1"/>
  <c r="Y4" i="1"/>
  <c r="X4" i="1"/>
  <c r="W4" i="1"/>
  <c r="V4" i="1"/>
  <c r="U4" i="1"/>
  <c r="T4" i="1"/>
  <c r="S4" i="1"/>
  <c r="R4" i="1"/>
  <c r="Q4" i="1"/>
  <c r="P4" i="1"/>
  <c r="L4" i="1"/>
  <c r="K4" i="1"/>
  <c r="J4" i="1"/>
  <c r="I4" i="1"/>
  <c r="H4" i="1"/>
  <c r="F4" i="1"/>
  <c r="AD3" i="1"/>
  <c r="AC3" i="1"/>
  <c r="AB3" i="1"/>
  <c r="AA3" i="1"/>
  <c r="Y3" i="1"/>
  <c r="X3" i="1"/>
  <c r="W3" i="1"/>
  <c r="V3" i="1"/>
  <c r="U3" i="1"/>
  <c r="T3" i="1"/>
  <c r="S3" i="1"/>
  <c r="R3" i="1"/>
  <c r="Q3" i="1"/>
  <c r="P3" i="1"/>
  <c r="L3" i="1"/>
  <c r="K3" i="1"/>
  <c r="J3" i="1"/>
  <c r="I3" i="1"/>
  <c r="H3" i="1"/>
  <c r="F3" i="1"/>
  <c r="AD2" i="1"/>
  <c r="AC2" i="1"/>
  <c r="AB2" i="1"/>
  <c r="AA2" i="1"/>
  <c r="Y2" i="1"/>
  <c r="X2" i="1"/>
  <c r="W2" i="1"/>
  <c r="V2" i="1"/>
  <c r="U2" i="1"/>
  <c r="T2" i="1"/>
  <c r="S2" i="1"/>
  <c r="R2" i="1"/>
  <c r="Q2" i="1"/>
  <c r="P2" i="1"/>
  <c r="L2" i="1"/>
  <c r="K2" i="1"/>
  <c r="J2" i="1"/>
  <c r="I2" i="1"/>
  <c r="H2" i="1"/>
  <c r="F2" i="1"/>
  <c r="B8" i="6" l="1" a="1"/>
  <c r="B8" i="6" s="1"/>
  <c r="B3" i="12"/>
  <c r="B3" i="8"/>
  <c r="K34" i="6"/>
  <c r="J34" i="6"/>
  <c r="I34" i="6"/>
  <c r="H34" i="6"/>
  <c r="G34" i="6"/>
  <c r="F34" i="6"/>
  <c r="E34" i="6"/>
  <c r="D34" i="6"/>
  <c r="C34" i="6"/>
  <c r="B34" i="6"/>
  <c r="K33" i="6"/>
  <c r="J33" i="6"/>
  <c r="I33" i="6"/>
  <c r="H33" i="6"/>
  <c r="G33" i="6"/>
  <c r="F33" i="6"/>
  <c r="E33" i="6"/>
  <c r="D33" i="6"/>
  <c r="C33" i="6"/>
  <c r="B33" i="6"/>
  <c r="K32" i="6"/>
  <c r="J32" i="6"/>
  <c r="I32" i="6"/>
  <c r="H32" i="6"/>
  <c r="G32" i="6"/>
  <c r="F32" i="6"/>
  <c r="E32" i="6"/>
  <c r="D32" i="6"/>
  <c r="C32" i="6"/>
  <c r="B32" i="6"/>
  <c r="K31" i="6"/>
  <c r="J31" i="6"/>
  <c r="I31" i="6"/>
  <c r="H31" i="6"/>
  <c r="G31" i="6"/>
  <c r="F31" i="6"/>
  <c r="E31" i="6"/>
  <c r="D31" i="6"/>
  <c r="C31" i="6"/>
  <c r="B31" i="6"/>
  <c r="K26" i="6"/>
  <c r="J26" i="6"/>
  <c r="I26" i="6"/>
  <c r="H26" i="6"/>
  <c r="G26" i="6"/>
  <c r="F26" i="6"/>
  <c r="E26" i="6"/>
  <c r="D26" i="6"/>
  <c r="C26" i="6"/>
  <c r="B26" i="6"/>
  <c r="K25" i="6"/>
  <c r="J25" i="6"/>
  <c r="I25" i="6"/>
  <c r="H25" i="6"/>
  <c r="G25" i="6"/>
  <c r="F25" i="6"/>
  <c r="E25" i="6"/>
  <c r="D25" i="6"/>
  <c r="C25" i="6"/>
  <c r="B25" i="6"/>
  <c r="K24" i="6"/>
  <c r="J24" i="6"/>
  <c r="I24" i="6"/>
  <c r="H24" i="6"/>
  <c r="G24" i="6"/>
  <c r="F24" i="6"/>
  <c r="E24" i="6"/>
  <c r="D24" i="6"/>
  <c r="C24" i="6"/>
  <c r="B24" i="6"/>
  <c r="K23" i="6"/>
  <c r="J23" i="6"/>
  <c r="I23" i="6"/>
  <c r="H23" i="6"/>
  <c r="G23" i="6"/>
  <c r="F23" i="6"/>
  <c r="E23" i="6"/>
  <c r="D23" i="6"/>
  <c r="C23" i="6"/>
  <c r="B23" i="6"/>
  <c r="K22" i="6"/>
  <c r="J22" i="6"/>
  <c r="I22" i="6"/>
  <c r="H22" i="6"/>
  <c r="G22" i="6"/>
  <c r="F22" i="6"/>
  <c r="E22" i="6"/>
  <c r="D22" i="6"/>
  <c r="C22" i="6"/>
  <c r="B22" i="6"/>
  <c r="K21" i="6"/>
  <c r="J21" i="6"/>
  <c r="I21" i="6"/>
  <c r="H21" i="6"/>
  <c r="G21" i="6"/>
  <c r="F21" i="6"/>
  <c r="E21" i="6"/>
  <c r="D21" i="6"/>
  <c r="C21" i="6"/>
  <c r="B21" i="6"/>
  <c r="K20" i="6"/>
  <c r="J20" i="6"/>
  <c r="I20" i="6"/>
  <c r="H20" i="6"/>
  <c r="G20" i="6"/>
  <c r="F20" i="6"/>
  <c r="E20" i="6"/>
  <c r="D20" i="6"/>
  <c r="C20" i="6"/>
  <c r="B20" i="6"/>
  <c r="K19" i="6"/>
  <c r="J19" i="6"/>
  <c r="I19" i="6"/>
  <c r="H19" i="6"/>
  <c r="G19" i="6"/>
  <c r="F19" i="6"/>
  <c r="E19" i="6"/>
  <c r="D19" i="6"/>
  <c r="C19" i="6"/>
  <c r="B19" i="6"/>
  <c r="K18" i="6"/>
  <c r="J18" i="6"/>
  <c r="I18" i="6"/>
  <c r="H18" i="6"/>
  <c r="G18" i="6"/>
  <c r="F18" i="6"/>
  <c r="E18" i="6"/>
  <c r="D18" i="6"/>
  <c r="C18" i="6"/>
  <c r="B18" i="6"/>
  <c r="K17" i="6"/>
  <c r="J17" i="6"/>
  <c r="I17" i="6"/>
  <c r="H17" i="6"/>
  <c r="G17" i="6"/>
  <c r="F17" i="6"/>
  <c r="E17" i="6"/>
  <c r="D17" i="6"/>
  <c r="C17" i="6"/>
  <c r="B17" i="6"/>
  <c r="K12" i="6"/>
  <c r="J12" i="6"/>
  <c r="I12" i="6"/>
  <c r="H12" i="6"/>
  <c r="G12" i="6"/>
  <c r="F12" i="6"/>
  <c r="E12" i="6"/>
  <c r="D12" i="6"/>
  <c r="C12" i="6"/>
  <c r="B12" i="6"/>
  <c r="K11" i="6"/>
  <c r="J11" i="6"/>
  <c r="I11" i="6"/>
  <c r="H11" i="6"/>
  <c r="G11" i="6"/>
  <c r="F11" i="6"/>
  <c r="E11" i="6"/>
  <c r="D11" i="6"/>
  <c r="C11" i="6"/>
  <c r="B11" i="6"/>
  <c r="K10" i="6"/>
  <c r="J10" i="6"/>
  <c r="I10" i="6"/>
  <c r="H10" i="6"/>
  <c r="G10" i="6"/>
  <c r="F10" i="6"/>
  <c r="E10" i="6"/>
  <c r="D10" i="6"/>
  <c r="C10" i="6"/>
  <c r="B10" i="6"/>
  <c r="K9" i="6"/>
  <c r="J9" i="6"/>
  <c r="I9" i="6"/>
  <c r="H9" i="6"/>
  <c r="G9" i="6"/>
  <c r="F9" i="6"/>
  <c r="E9" i="6"/>
  <c r="D9" i="6"/>
  <c r="C35" i="6"/>
  <c r="B9" i="6"/>
  <c r="K8" i="6"/>
  <c r="J8" i="6"/>
  <c r="I8" i="6"/>
  <c r="H8" i="6"/>
  <c r="G8" i="6"/>
  <c r="F8" i="6"/>
  <c r="E8" i="6"/>
  <c r="D8" i="6"/>
  <c r="C8" i="6"/>
  <c r="K7" i="6"/>
  <c r="J7" i="6"/>
  <c r="I7" i="6"/>
  <c r="H7" i="6"/>
  <c r="G7" i="6"/>
  <c r="F7" i="6"/>
  <c r="E7" i="6"/>
  <c r="D7" i="6"/>
  <c r="C7" i="6"/>
  <c r="B7" i="6"/>
  <c r="K6" i="6"/>
  <c r="J6" i="6"/>
  <c r="I6" i="6"/>
  <c r="H6" i="6"/>
  <c r="G6" i="6"/>
  <c r="F6" i="6"/>
  <c r="E6" i="6"/>
  <c r="D6" i="6"/>
  <c r="C9" i="6"/>
  <c r="B6" i="6"/>
  <c r="K5" i="6"/>
  <c r="J5" i="6"/>
  <c r="I5" i="6"/>
  <c r="H5" i="6"/>
  <c r="G5" i="6"/>
  <c r="F5" i="6"/>
  <c r="E5" i="6"/>
  <c r="D5" i="6"/>
  <c r="C5" i="6"/>
  <c r="B5" i="6"/>
  <c r="K4" i="6"/>
  <c r="J4" i="6"/>
  <c r="I4" i="6"/>
  <c r="H4" i="6"/>
  <c r="G4" i="6"/>
  <c r="F4" i="6"/>
  <c r="E4" i="6"/>
  <c r="D4" i="6"/>
  <c r="K3" i="6"/>
  <c r="J3" i="6"/>
  <c r="I3" i="6"/>
  <c r="H3" i="6"/>
  <c r="G3" i="6"/>
  <c r="F3" i="6"/>
  <c r="E3" i="6"/>
  <c r="B35" i="6"/>
  <c r="C6" i="6"/>
  <c r="K178" i="5"/>
  <c r="J178" i="5"/>
  <c r="I178" i="5"/>
  <c r="H178" i="5"/>
  <c r="G178" i="5"/>
  <c r="F178" i="5"/>
  <c r="E178" i="5"/>
  <c r="D178" i="5"/>
  <c r="C178" i="5"/>
  <c r="B178" i="5"/>
  <c r="M177" i="5"/>
  <c r="L177" i="5"/>
  <c r="K177" i="5"/>
  <c r="J177" i="5"/>
  <c r="I177" i="5"/>
  <c r="H177" i="5"/>
  <c r="G177" i="5"/>
  <c r="F177" i="5"/>
  <c r="E177" i="5"/>
  <c r="D177" i="5"/>
  <c r="C177" i="5"/>
  <c r="B177" i="5"/>
  <c r="M176" i="5"/>
  <c r="L176" i="5"/>
  <c r="K176" i="5"/>
  <c r="J176" i="5"/>
  <c r="I176" i="5"/>
  <c r="H176" i="5"/>
  <c r="G176" i="5"/>
  <c r="F176" i="5"/>
  <c r="E176" i="5"/>
  <c r="D176" i="5"/>
  <c r="C176" i="5"/>
  <c r="B176" i="5"/>
  <c r="M175" i="5"/>
  <c r="L175" i="5"/>
  <c r="K175" i="5"/>
  <c r="J175" i="5"/>
  <c r="I175" i="5"/>
  <c r="H175" i="5"/>
  <c r="G175" i="5"/>
  <c r="F175" i="5"/>
  <c r="E175" i="5"/>
  <c r="D175" i="5"/>
  <c r="C175" i="5"/>
  <c r="B175" i="5"/>
  <c r="M174" i="5"/>
  <c r="L174" i="5"/>
  <c r="K174" i="5"/>
  <c r="J174" i="5"/>
  <c r="I174" i="5"/>
  <c r="H174" i="5"/>
  <c r="G174" i="5"/>
  <c r="F174" i="5"/>
  <c r="E174" i="5"/>
  <c r="D174" i="5"/>
  <c r="C174" i="5"/>
  <c r="B174" i="5"/>
  <c r="M173" i="5"/>
  <c r="L173" i="5"/>
  <c r="K173" i="5"/>
  <c r="J173" i="5"/>
  <c r="I173" i="5"/>
  <c r="H173" i="5"/>
  <c r="G173" i="5"/>
  <c r="F173" i="5"/>
  <c r="E173" i="5"/>
  <c r="D173" i="5"/>
  <c r="C173" i="5"/>
  <c r="B173" i="5"/>
  <c r="M172" i="5"/>
  <c r="L172" i="5"/>
  <c r="K172" i="5"/>
  <c r="J172" i="5"/>
  <c r="I172" i="5"/>
  <c r="H172" i="5"/>
  <c r="G172" i="5"/>
  <c r="F172" i="5"/>
  <c r="E172" i="5"/>
  <c r="D172" i="5"/>
  <c r="C172" i="5"/>
  <c r="B172" i="5"/>
  <c r="M171" i="5"/>
  <c r="L171" i="5"/>
  <c r="K171" i="5"/>
  <c r="J171" i="5"/>
  <c r="I171" i="5"/>
  <c r="H171" i="5"/>
  <c r="G171" i="5"/>
  <c r="F171" i="5"/>
  <c r="E171" i="5"/>
  <c r="D171" i="5"/>
  <c r="C171" i="5"/>
  <c r="B171" i="5"/>
  <c r="M166" i="5"/>
  <c r="L166" i="5"/>
  <c r="K166" i="5"/>
  <c r="J166" i="5"/>
  <c r="I166" i="5"/>
  <c r="H166" i="5"/>
  <c r="G166" i="5"/>
  <c r="F166" i="5"/>
  <c r="E166" i="5"/>
  <c r="D166" i="5"/>
  <c r="C166" i="5"/>
  <c r="B166" i="5"/>
  <c r="M165" i="5"/>
  <c r="L165" i="5"/>
  <c r="K165" i="5"/>
  <c r="J165" i="5"/>
  <c r="I165" i="5"/>
  <c r="H165" i="5"/>
  <c r="G165" i="5"/>
  <c r="F165" i="5"/>
  <c r="E165" i="5"/>
  <c r="D165" i="5"/>
  <c r="C165" i="5"/>
  <c r="B165" i="5"/>
  <c r="M164" i="5"/>
  <c r="L164" i="5"/>
  <c r="K164" i="5"/>
  <c r="J164" i="5"/>
  <c r="I164" i="5"/>
  <c r="H164" i="5"/>
  <c r="G164" i="5"/>
  <c r="F164" i="5"/>
  <c r="E164" i="5"/>
  <c r="D164" i="5"/>
  <c r="C164" i="5"/>
  <c r="B164" i="5"/>
  <c r="M163" i="5"/>
  <c r="L163" i="5"/>
  <c r="K163" i="5"/>
  <c r="J163" i="5"/>
  <c r="I163" i="5"/>
  <c r="H163" i="5"/>
  <c r="G163" i="5"/>
  <c r="F163" i="5"/>
  <c r="E163" i="5"/>
  <c r="D163" i="5"/>
  <c r="C163" i="5"/>
  <c r="B163" i="5"/>
  <c r="M162" i="5"/>
  <c r="L162" i="5"/>
  <c r="K162" i="5"/>
  <c r="J162" i="5"/>
  <c r="I162" i="5"/>
  <c r="H162" i="5"/>
  <c r="G162" i="5"/>
  <c r="F162" i="5"/>
  <c r="E162" i="5"/>
  <c r="D162" i="5"/>
  <c r="C162" i="5"/>
  <c r="B162" i="5"/>
  <c r="M161" i="5"/>
  <c r="L161" i="5"/>
  <c r="K161" i="5"/>
  <c r="J161" i="5"/>
  <c r="I161" i="5"/>
  <c r="H161" i="5"/>
  <c r="G161" i="5"/>
  <c r="F161" i="5"/>
  <c r="E161" i="5"/>
  <c r="D161" i="5"/>
  <c r="C161" i="5"/>
  <c r="B161" i="5"/>
  <c r="M160" i="5"/>
  <c r="L160" i="5"/>
  <c r="K160" i="5"/>
  <c r="J160" i="5"/>
  <c r="I160" i="5"/>
  <c r="H160" i="5"/>
  <c r="G160" i="5"/>
  <c r="F160" i="5"/>
  <c r="E160" i="5"/>
  <c r="D160" i="5"/>
  <c r="C160" i="5"/>
  <c r="B160" i="5"/>
  <c r="M159" i="5"/>
  <c r="L159" i="5"/>
  <c r="K159" i="5"/>
  <c r="J159" i="5"/>
  <c r="I159" i="5"/>
  <c r="H159" i="5"/>
  <c r="G159" i="5"/>
  <c r="F159" i="5"/>
  <c r="E159" i="5"/>
  <c r="D159" i="5"/>
  <c r="C159" i="5"/>
  <c r="B159" i="5"/>
  <c r="M154" i="5"/>
  <c r="L154" i="5"/>
  <c r="K154" i="5"/>
  <c r="J154" i="5"/>
  <c r="I154" i="5"/>
  <c r="H154" i="5"/>
  <c r="G154" i="5"/>
  <c r="F154" i="5"/>
  <c r="E154" i="5"/>
  <c r="D154" i="5"/>
  <c r="C154" i="5"/>
  <c r="B154" i="5"/>
  <c r="M153" i="5"/>
  <c r="L153" i="5"/>
  <c r="K153" i="5"/>
  <c r="J153" i="5"/>
  <c r="I153" i="5"/>
  <c r="H153" i="5"/>
  <c r="G153" i="5"/>
  <c r="F153" i="5"/>
  <c r="E153" i="5"/>
  <c r="D153" i="5"/>
  <c r="C153" i="5"/>
  <c r="B153" i="5"/>
  <c r="M152" i="5"/>
  <c r="L152" i="5"/>
  <c r="K152" i="5"/>
  <c r="J152" i="5"/>
  <c r="I152" i="5"/>
  <c r="H152" i="5"/>
  <c r="G152" i="5"/>
  <c r="F152" i="5"/>
  <c r="E152" i="5"/>
  <c r="D152" i="5"/>
  <c r="C152" i="5"/>
  <c r="B152" i="5"/>
  <c r="M151" i="5"/>
  <c r="L151" i="5"/>
  <c r="K151" i="5"/>
  <c r="J151" i="5"/>
  <c r="I151" i="5"/>
  <c r="H151" i="5"/>
  <c r="G151" i="5"/>
  <c r="F151" i="5"/>
  <c r="E151" i="5"/>
  <c r="D151" i="5"/>
  <c r="C151" i="5"/>
  <c r="B151" i="5"/>
  <c r="M150" i="5"/>
  <c r="L150" i="5"/>
  <c r="K150" i="5"/>
  <c r="J150" i="5"/>
  <c r="I150" i="5"/>
  <c r="H150" i="5"/>
  <c r="G150" i="5"/>
  <c r="F150" i="5"/>
  <c r="E150" i="5"/>
  <c r="D150" i="5"/>
  <c r="C150" i="5"/>
  <c r="B150" i="5"/>
  <c r="M149" i="5"/>
  <c r="L149" i="5"/>
  <c r="K149" i="5"/>
  <c r="J149" i="5"/>
  <c r="I149" i="5"/>
  <c r="H149" i="5"/>
  <c r="G149" i="5"/>
  <c r="F149" i="5"/>
  <c r="E149" i="5"/>
  <c r="D149" i="5"/>
  <c r="C149" i="5"/>
  <c r="B149" i="5"/>
  <c r="M148" i="5"/>
  <c r="L148" i="5"/>
  <c r="K148" i="5"/>
  <c r="J148" i="5"/>
  <c r="I148" i="5"/>
  <c r="H148" i="5"/>
  <c r="G148" i="5"/>
  <c r="F148" i="5"/>
  <c r="E148" i="5"/>
  <c r="D148" i="5"/>
  <c r="C148" i="5"/>
  <c r="B148" i="5"/>
  <c r="M147" i="5"/>
  <c r="L147" i="5"/>
  <c r="K147" i="5"/>
  <c r="J147" i="5"/>
  <c r="I147" i="5"/>
  <c r="H147" i="5"/>
  <c r="G147" i="5"/>
  <c r="F147" i="5"/>
  <c r="E147" i="5"/>
  <c r="D147" i="5"/>
  <c r="C147" i="5"/>
  <c r="B147" i="5"/>
  <c r="M142" i="5"/>
  <c r="L142" i="5"/>
  <c r="K142" i="5"/>
  <c r="J142" i="5"/>
  <c r="I142" i="5"/>
  <c r="H142" i="5"/>
  <c r="G142" i="5"/>
  <c r="F142" i="5"/>
  <c r="E142" i="5"/>
  <c r="D142" i="5"/>
  <c r="C142" i="5"/>
  <c r="B142" i="5"/>
  <c r="M141" i="5"/>
  <c r="L141" i="5"/>
  <c r="K141" i="5"/>
  <c r="J141" i="5"/>
  <c r="I141" i="5"/>
  <c r="H141" i="5"/>
  <c r="G141" i="5"/>
  <c r="F141" i="5"/>
  <c r="E141" i="5"/>
  <c r="D141" i="5"/>
  <c r="C141" i="5"/>
  <c r="B141" i="5"/>
  <c r="M140" i="5"/>
  <c r="L140" i="5"/>
  <c r="K140" i="5"/>
  <c r="J140" i="5"/>
  <c r="I140" i="5"/>
  <c r="H140" i="5"/>
  <c r="G140" i="5"/>
  <c r="F140" i="5"/>
  <c r="E140" i="5"/>
  <c r="D140" i="5"/>
  <c r="C140" i="5"/>
  <c r="B140" i="5"/>
  <c r="M139" i="5"/>
  <c r="L139" i="5"/>
  <c r="K139" i="5"/>
  <c r="J139" i="5"/>
  <c r="I139" i="5"/>
  <c r="H139" i="5"/>
  <c r="G139" i="5"/>
  <c r="F139" i="5"/>
  <c r="E139" i="5"/>
  <c r="D139" i="5"/>
  <c r="C139" i="5"/>
  <c r="B139" i="5"/>
  <c r="M138" i="5"/>
  <c r="L138" i="5"/>
  <c r="K138" i="5"/>
  <c r="J138" i="5"/>
  <c r="I138" i="5"/>
  <c r="H138" i="5"/>
  <c r="G138" i="5"/>
  <c r="F138" i="5"/>
  <c r="E138" i="5"/>
  <c r="D138" i="5"/>
  <c r="C138" i="5"/>
  <c r="B138" i="5"/>
  <c r="M137" i="5"/>
  <c r="L137" i="5"/>
  <c r="K137" i="5"/>
  <c r="J137" i="5"/>
  <c r="I137" i="5"/>
  <c r="H137" i="5"/>
  <c r="G137" i="5"/>
  <c r="F137" i="5"/>
  <c r="E137" i="5"/>
  <c r="D137" i="5"/>
  <c r="C137" i="5"/>
  <c r="B137" i="5"/>
  <c r="M136" i="5"/>
  <c r="L136" i="5"/>
  <c r="K136" i="5"/>
  <c r="J136" i="5"/>
  <c r="I136" i="5"/>
  <c r="H136" i="5"/>
  <c r="G136" i="5"/>
  <c r="F136" i="5"/>
  <c r="E136" i="5"/>
  <c r="D136" i="5"/>
  <c r="C136" i="5"/>
  <c r="B136" i="5"/>
  <c r="M135" i="5"/>
  <c r="L135" i="5"/>
  <c r="K135" i="5"/>
  <c r="J135" i="5"/>
  <c r="I135" i="5"/>
  <c r="H135" i="5"/>
  <c r="G135" i="5"/>
  <c r="F135" i="5"/>
  <c r="E135" i="5"/>
  <c r="D135" i="5"/>
  <c r="C135" i="5"/>
  <c r="B135" i="5"/>
  <c r="M130" i="5"/>
  <c r="L130" i="5"/>
  <c r="K130" i="5"/>
  <c r="J130" i="5"/>
  <c r="I130" i="5"/>
  <c r="H130" i="5"/>
  <c r="G130" i="5"/>
  <c r="F130" i="5"/>
  <c r="E130" i="5"/>
  <c r="D130" i="5"/>
  <c r="C130" i="5"/>
  <c r="B130" i="5"/>
  <c r="M129" i="5"/>
  <c r="L129" i="5"/>
  <c r="K129" i="5"/>
  <c r="J129" i="5"/>
  <c r="I129" i="5"/>
  <c r="H129" i="5"/>
  <c r="G129" i="5"/>
  <c r="F129" i="5"/>
  <c r="E129" i="5"/>
  <c r="D129" i="5"/>
  <c r="C129" i="5"/>
  <c r="B129" i="5"/>
  <c r="M128" i="5"/>
  <c r="L128" i="5"/>
  <c r="K128" i="5"/>
  <c r="J128" i="5"/>
  <c r="I128" i="5"/>
  <c r="H128" i="5"/>
  <c r="G128" i="5"/>
  <c r="F128" i="5"/>
  <c r="E128" i="5"/>
  <c r="D128" i="5"/>
  <c r="C128" i="5"/>
  <c r="B128" i="5"/>
  <c r="M127" i="5"/>
  <c r="L127" i="5"/>
  <c r="K127" i="5"/>
  <c r="J127" i="5"/>
  <c r="I127" i="5"/>
  <c r="H127" i="5"/>
  <c r="G127" i="5"/>
  <c r="F127" i="5"/>
  <c r="E127" i="5"/>
  <c r="D127" i="5"/>
  <c r="C127" i="5"/>
  <c r="B127" i="5"/>
  <c r="M126" i="5"/>
  <c r="L126" i="5"/>
  <c r="K126" i="5"/>
  <c r="J126" i="5"/>
  <c r="I126" i="5"/>
  <c r="H126" i="5"/>
  <c r="G126" i="5"/>
  <c r="F126" i="5"/>
  <c r="E126" i="5"/>
  <c r="D126" i="5"/>
  <c r="C126" i="5"/>
  <c r="B126" i="5"/>
  <c r="M125" i="5"/>
  <c r="L125" i="5"/>
  <c r="K125" i="5"/>
  <c r="J125" i="5"/>
  <c r="I125" i="5"/>
  <c r="H125" i="5"/>
  <c r="G125" i="5"/>
  <c r="F125" i="5"/>
  <c r="E125" i="5"/>
  <c r="D125" i="5"/>
  <c r="C125" i="5"/>
  <c r="B125" i="5"/>
  <c r="M124" i="5"/>
  <c r="L124" i="5"/>
  <c r="K124" i="5"/>
  <c r="J124" i="5"/>
  <c r="I124" i="5"/>
  <c r="H124" i="5"/>
  <c r="G124" i="5"/>
  <c r="F124" i="5"/>
  <c r="E124" i="5"/>
  <c r="D124" i="5"/>
  <c r="C124" i="5"/>
  <c r="B124" i="5"/>
  <c r="M123" i="5"/>
  <c r="L123" i="5"/>
  <c r="K123" i="5"/>
  <c r="J123" i="5"/>
  <c r="I123" i="5"/>
  <c r="H123" i="5"/>
  <c r="G123" i="5"/>
  <c r="F123" i="5"/>
  <c r="E123" i="5"/>
  <c r="D123" i="5"/>
  <c r="C123" i="5"/>
  <c r="B123" i="5"/>
  <c r="M118" i="5"/>
  <c r="L118" i="5"/>
  <c r="K118" i="5"/>
  <c r="J118" i="5"/>
  <c r="I118" i="5"/>
  <c r="H118" i="5"/>
  <c r="G118" i="5"/>
  <c r="F118" i="5"/>
  <c r="E118" i="5"/>
  <c r="D118" i="5"/>
  <c r="C118" i="5"/>
  <c r="B118" i="5"/>
  <c r="M117" i="5"/>
  <c r="L117" i="5"/>
  <c r="K117" i="5"/>
  <c r="J117" i="5"/>
  <c r="I117" i="5"/>
  <c r="H117" i="5"/>
  <c r="G117" i="5"/>
  <c r="F117" i="5"/>
  <c r="E117" i="5"/>
  <c r="D117" i="5"/>
  <c r="C117" i="5"/>
  <c r="B117" i="5"/>
  <c r="M116" i="5"/>
  <c r="L116" i="5"/>
  <c r="K116" i="5"/>
  <c r="J116" i="5"/>
  <c r="I116" i="5"/>
  <c r="H116" i="5"/>
  <c r="G116" i="5"/>
  <c r="F116" i="5"/>
  <c r="E116" i="5"/>
  <c r="D116" i="5"/>
  <c r="C116" i="5"/>
  <c r="B116" i="5"/>
  <c r="M115" i="5"/>
  <c r="M178" i="5"/>
  <c r="K115" i="5"/>
  <c r="J115" i="5"/>
  <c r="I115" i="5"/>
  <c r="H115" i="5"/>
  <c r="G115" i="5"/>
  <c r="F115" i="5"/>
  <c r="E115" i="5"/>
  <c r="D115" i="5"/>
  <c r="C115" i="5"/>
  <c r="B115" i="5"/>
  <c r="M114" i="5"/>
  <c r="L114" i="5"/>
  <c r="K114" i="5"/>
  <c r="J114" i="5"/>
  <c r="I114" i="5"/>
  <c r="H114" i="5"/>
  <c r="G114" i="5"/>
  <c r="F114" i="5"/>
  <c r="E114" i="5"/>
  <c r="D114" i="5"/>
  <c r="C114" i="5"/>
  <c r="B114" i="5"/>
  <c r="M113" i="5"/>
  <c r="L113" i="5"/>
  <c r="K113" i="5"/>
  <c r="J113" i="5"/>
  <c r="I113" i="5"/>
  <c r="H113" i="5"/>
  <c r="G113" i="5"/>
  <c r="F113" i="5"/>
  <c r="E113" i="5"/>
  <c r="D113" i="5"/>
  <c r="C113" i="5"/>
  <c r="B113" i="5"/>
  <c r="M112" i="5"/>
  <c r="L112" i="5"/>
  <c r="K112" i="5"/>
  <c r="J112" i="5"/>
  <c r="I112" i="5"/>
  <c r="H112" i="5"/>
  <c r="G112" i="5"/>
  <c r="F112" i="5"/>
  <c r="E112" i="5"/>
  <c r="D112" i="5"/>
  <c r="C112" i="5"/>
  <c r="B112" i="5"/>
  <c r="M111" i="5"/>
  <c r="L111" i="5"/>
  <c r="K111" i="5"/>
  <c r="J111" i="5"/>
  <c r="I111" i="5"/>
  <c r="H111" i="5"/>
  <c r="G111" i="5"/>
  <c r="F111" i="5"/>
  <c r="E111" i="5"/>
  <c r="D111" i="5"/>
  <c r="C111" i="5"/>
  <c r="B111" i="5"/>
  <c r="M106" i="5"/>
  <c r="L106" i="5"/>
  <c r="K106" i="5"/>
  <c r="J106" i="5"/>
  <c r="I106" i="5"/>
  <c r="H106" i="5"/>
  <c r="G106" i="5"/>
  <c r="F106" i="5"/>
  <c r="E106" i="5"/>
  <c r="D106" i="5"/>
  <c r="C106" i="5"/>
  <c r="B106" i="5"/>
  <c r="M105" i="5"/>
  <c r="L105" i="5"/>
  <c r="K105" i="5"/>
  <c r="J105" i="5"/>
  <c r="I105" i="5"/>
  <c r="H105" i="5"/>
  <c r="G105" i="5"/>
  <c r="F105" i="5"/>
  <c r="E105" i="5"/>
  <c r="D105" i="5"/>
  <c r="C105" i="5"/>
  <c r="B105" i="5"/>
  <c r="M104" i="5"/>
  <c r="L104" i="5"/>
  <c r="K104" i="5"/>
  <c r="J104" i="5"/>
  <c r="I104" i="5"/>
  <c r="H104" i="5"/>
  <c r="G104" i="5"/>
  <c r="F104" i="5"/>
  <c r="E104" i="5"/>
  <c r="D104" i="5"/>
  <c r="C104" i="5"/>
  <c r="B104" i="5"/>
  <c r="M103" i="5"/>
  <c r="L103" i="5"/>
  <c r="K103" i="5"/>
  <c r="J103" i="5"/>
  <c r="I103" i="5"/>
  <c r="H103" i="5"/>
  <c r="G103" i="5"/>
  <c r="F103" i="5"/>
  <c r="E103" i="5"/>
  <c r="D103" i="5"/>
  <c r="C103" i="5"/>
  <c r="B103" i="5"/>
  <c r="M102" i="5"/>
  <c r="L102" i="5"/>
  <c r="K102" i="5"/>
  <c r="J102" i="5"/>
  <c r="I102" i="5"/>
  <c r="H102" i="5"/>
  <c r="G102" i="5"/>
  <c r="F102" i="5"/>
  <c r="E102" i="5"/>
  <c r="D102" i="5"/>
  <c r="C102" i="5"/>
  <c r="B102" i="5"/>
  <c r="M101" i="5"/>
  <c r="L101" i="5"/>
  <c r="K101" i="5"/>
  <c r="J101" i="5"/>
  <c r="I101" i="5"/>
  <c r="H101" i="5"/>
  <c r="L115" i="5"/>
  <c r="F101" i="5"/>
  <c r="E101" i="5"/>
  <c r="D101" i="5"/>
  <c r="C101" i="5"/>
  <c r="B101" i="5"/>
  <c r="M100" i="5"/>
  <c r="L100" i="5"/>
  <c r="K100" i="5"/>
  <c r="J100" i="5"/>
  <c r="I100" i="5"/>
  <c r="H100" i="5"/>
  <c r="G100" i="5"/>
  <c r="F100" i="5"/>
  <c r="E100" i="5"/>
  <c r="D100" i="5"/>
  <c r="C100" i="5"/>
  <c r="B100" i="5"/>
  <c r="M99" i="5"/>
  <c r="L99" i="5"/>
  <c r="K99" i="5"/>
  <c r="J99" i="5"/>
  <c r="I99" i="5"/>
  <c r="H99" i="5"/>
  <c r="G99" i="5"/>
  <c r="F99" i="5"/>
  <c r="E99" i="5"/>
  <c r="D99" i="5"/>
  <c r="C99" i="5"/>
  <c r="B99" i="5"/>
  <c r="M94" i="5"/>
  <c r="L94" i="5"/>
  <c r="K94" i="5"/>
  <c r="J94" i="5"/>
  <c r="I94" i="5"/>
  <c r="H94" i="5"/>
  <c r="G94" i="5"/>
  <c r="F94" i="5"/>
  <c r="E94" i="5"/>
  <c r="D94" i="5"/>
  <c r="C94" i="5"/>
  <c r="B94" i="5"/>
  <c r="M93" i="5"/>
  <c r="L93" i="5"/>
  <c r="K93" i="5"/>
  <c r="J93" i="5"/>
  <c r="I93" i="5"/>
  <c r="H93" i="5"/>
  <c r="G93" i="5"/>
  <c r="F93" i="5"/>
  <c r="E93" i="5"/>
  <c r="D93" i="5"/>
  <c r="C93" i="5"/>
  <c r="B93" i="5"/>
  <c r="M92" i="5"/>
  <c r="L92" i="5"/>
  <c r="K92" i="5"/>
  <c r="J92" i="5"/>
  <c r="I92" i="5"/>
  <c r="H92" i="5"/>
  <c r="G92" i="5"/>
  <c r="F92" i="5"/>
  <c r="E92" i="5"/>
  <c r="D92" i="5"/>
  <c r="C92" i="5"/>
  <c r="B92" i="5"/>
  <c r="M91" i="5"/>
  <c r="L91" i="5"/>
  <c r="K91" i="5"/>
  <c r="J91" i="5"/>
  <c r="I91" i="5"/>
  <c r="H91" i="5"/>
  <c r="G91" i="5"/>
  <c r="F91" i="5"/>
  <c r="E91" i="5"/>
  <c r="D91" i="5"/>
  <c r="C91" i="5"/>
  <c r="B91" i="5"/>
  <c r="M90" i="5"/>
  <c r="L90" i="5"/>
  <c r="K90" i="5"/>
  <c r="J90" i="5"/>
  <c r="I90" i="5"/>
  <c r="H90" i="5"/>
  <c r="G90" i="5"/>
  <c r="F90" i="5"/>
  <c r="E90" i="5"/>
  <c r="D90" i="5"/>
  <c r="C90" i="5"/>
  <c r="B90" i="5"/>
  <c r="M89" i="5"/>
  <c r="L89" i="5"/>
  <c r="K89" i="5"/>
  <c r="J89" i="5"/>
  <c r="I89" i="5"/>
  <c r="H89" i="5"/>
  <c r="G89" i="5"/>
  <c r="F89" i="5"/>
  <c r="E89" i="5"/>
  <c r="D89" i="5"/>
  <c r="C89" i="5"/>
  <c r="B89" i="5"/>
  <c r="M88" i="5"/>
  <c r="L88" i="5"/>
  <c r="K88" i="5"/>
  <c r="J88" i="5"/>
  <c r="I88" i="5"/>
  <c r="H88" i="5"/>
  <c r="G88" i="5"/>
  <c r="F88" i="5"/>
  <c r="E88" i="5"/>
  <c r="D88" i="5"/>
  <c r="C88" i="5"/>
  <c r="B88" i="5"/>
  <c r="M87" i="5"/>
  <c r="L87" i="5"/>
  <c r="K87" i="5"/>
  <c r="J87" i="5"/>
  <c r="I87" i="5"/>
  <c r="H87" i="5"/>
  <c r="G87" i="5"/>
  <c r="F87" i="5"/>
  <c r="E87" i="5"/>
  <c r="D87" i="5"/>
  <c r="L178" i="5"/>
  <c r="G101" i="5"/>
  <c r="F35" i="6"/>
  <c r="G35" i="6"/>
  <c r="H36" i="6"/>
  <c r="C36" i="6"/>
  <c r="B37" i="6"/>
  <c r="I36" i="6"/>
  <c r="D36" i="6"/>
  <c r="I35" i="6"/>
  <c r="E35" i="6"/>
  <c r="K36" i="6"/>
  <c r="F36" i="6"/>
  <c r="J35" i="6"/>
  <c r="D35" i="6"/>
  <c r="G36" i="6"/>
  <c r="B36" i="6"/>
  <c r="J36" i="6"/>
  <c r="E36" i="6"/>
  <c r="K35" i="6"/>
  <c r="H35" i="6"/>
  <c r="H37" i="6"/>
  <c r="D37" i="6"/>
  <c r="F37" i="6"/>
  <c r="C37" i="6"/>
  <c r="G37" i="6"/>
  <c r="E37" i="6"/>
  <c r="K37" i="6"/>
  <c r="J39" i="6"/>
  <c r="I37" i="6"/>
  <c r="F40" i="6"/>
  <c r="E40" i="6"/>
  <c r="D40" i="6"/>
  <c r="C40" i="6"/>
  <c r="J37" i="6"/>
  <c r="B40" i="6"/>
  <c r="K39" i="6"/>
  <c r="I39" i="6"/>
  <c r="H39" i="6"/>
  <c r="G39" i="6"/>
  <c r="F39" i="6"/>
  <c r="E39" i="6"/>
  <c r="D39" i="6"/>
  <c r="C39" i="6"/>
  <c r="B39" i="6"/>
  <c r="K38" i="6"/>
  <c r="J38" i="6"/>
  <c r="I38" i="6"/>
  <c r="F38" i="6"/>
  <c r="H38" i="6"/>
  <c r="G38" i="6"/>
  <c r="E38" i="6"/>
  <c r="D38" i="6"/>
  <c r="C38" i="6"/>
  <c r="B38" i="6"/>
  <c r="D49" i="6"/>
  <c r="C49" i="6"/>
  <c r="B49" i="6"/>
  <c r="K48" i="6"/>
  <c r="J48" i="6"/>
  <c r="I48" i="6"/>
  <c r="H48" i="6"/>
  <c r="G48" i="6"/>
  <c r="F48" i="6"/>
  <c r="E48" i="6"/>
  <c r="D48" i="6"/>
  <c r="C48" i="6"/>
  <c r="B48" i="6"/>
  <c r="K47" i="6"/>
  <c r="J47" i="6"/>
  <c r="I47" i="6"/>
  <c r="H47" i="6"/>
  <c r="G47" i="6"/>
  <c r="F47" i="6"/>
  <c r="E47" i="6"/>
  <c r="D47" i="6"/>
  <c r="C47" i="6"/>
  <c r="B47" i="6"/>
  <c r="K46" i="6"/>
  <c r="J46" i="6"/>
  <c r="I46" i="6"/>
  <c r="H46" i="6"/>
  <c r="G46" i="6"/>
  <c r="F46" i="6"/>
  <c r="E46" i="6"/>
  <c r="D46" i="6"/>
  <c r="C46" i="6"/>
  <c r="B46" i="6"/>
  <c r="K45" i="6"/>
  <c r="J45" i="6"/>
  <c r="I45" i="6"/>
  <c r="H45" i="6"/>
  <c r="G45" i="6"/>
  <c r="F45" i="6"/>
  <c r="E45" i="6"/>
  <c r="D45" i="6"/>
  <c r="C45" i="6"/>
  <c r="B45" i="6"/>
  <c r="K40" i="6"/>
  <c r="J40" i="6"/>
  <c r="I40" i="6"/>
  <c r="H40" i="6"/>
  <c r="G40" i="6"/>
  <c r="K64" i="6"/>
  <c r="E49" i="6"/>
  <c r="F49" i="6"/>
  <c r="G49" i="6"/>
  <c r="G54" i="6"/>
  <c r="F54" i="6"/>
  <c r="E54" i="6"/>
  <c r="D54" i="6"/>
  <c r="C54" i="6"/>
  <c r="B54" i="6"/>
  <c r="K53" i="6"/>
  <c r="J53" i="6"/>
  <c r="I53" i="6"/>
  <c r="H53" i="6"/>
  <c r="G53" i="6"/>
  <c r="F53" i="6"/>
  <c r="E53" i="6"/>
  <c r="D53" i="6"/>
  <c r="C53" i="6"/>
  <c r="B53" i="6"/>
  <c r="K52" i="6"/>
  <c r="J52" i="6"/>
  <c r="I52" i="6"/>
  <c r="H52" i="6"/>
  <c r="G52" i="6"/>
  <c r="F52" i="6"/>
  <c r="E52" i="6"/>
  <c r="D52" i="6"/>
  <c r="C52" i="6"/>
  <c r="B52" i="6"/>
  <c r="K51" i="6"/>
  <c r="J51" i="6"/>
  <c r="I51" i="6"/>
  <c r="H51" i="6"/>
  <c r="G51" i="6"/>
  <c r="F51" i="6"/>
  <c r="E51" i="6"/>
  <c r="D51" i="6"/>
  <c r="C51" i="6"/>
  <c r="B51" i="6"/>
  <c r="K50" i="6"/>
  <c r="J50" i="6"/>
  <c r="J54" i="6"/>
  <c r="H50" i="6"/>
  <c r="G50" i="6"/>
  <c r="F50" i="6"/>
  <c r="E50" i="6"/>
  <c r="D50" i="6"/>
  <c r="C50" i="6"/>
  <c r="I50" i="6"/>
  <c r="K49" i="6"/>
  <c r="J49" i="6"/>
  <c r="I49" i="6"/>
  <c r="H49" i="6"/>
  <c r="I54" i="6"/>
  <c r="H54" i="6"/>
  <c r="B50" i="6"/>
  <c r="D79" i="6"/>
  <c r="D63" i="6"/>
  <c r="J62" i="6"/>
  <c r="I62" i="6"/>
  <c r="H62" i="6"/>
  <c r="G62" i="6"/>
  <c r="F62" i="6"/>
  <c r="E62" i="6"/>
  <c r="D62" i="6"/>
  <c r="C62" i="6"/>
  <c r="B62" i="6"/>
  <c r="K61" i="6"/>
  <c r="J61" i="6"/>
  <c r="I61" i="6"/>
  <c r="H61" i="6"/>
  <c r="G61" i="6"/>
  <c r="F61" i="6"/>
  <c r="E61" i="6"/>
  <c r="D61" i="6"/>
  <c r="C61" i="6"/>
  <c r="B61" i="6"/>
  <c r="K60" i="6"/>
  <c r="J60" i="6"/>
  <c r="I60" i="6"/>
  <c r="H60" i="6"/>
  <c r="G60" i="6"/>
  <c r="F60" i="6"/>
  <c r="E60" i="6"/>
  <c r="D60" i="6"/>
  <c r="C60" i="6"/>
  <c r="B60" i="6"/>
  <c r="K59" i="6"/>
  <c r="J59" i="6"/>
  <c r="I59" i="6"/>
  <c r="H59" i="6"/>
  <c r="G59" i="6"/>
  <c r="F59" i="6"/>
  <c r="E59" i="6"/>
  <c r="D59" i="6"/>
  <c r="C59" i="6"/>
  <c r="B59" i="6"/>
  <c r="K54" i="6"/>
  <c r="H185" i="6"/>
  <c r="D64" i="6"/>
  <c r="G63" i="6"/>
  <c r="F63" i="6"/>
  <c r="I63" i="6"/>
  <c r="C64" i="6"/>
  <c r="E63" i="6"/>
  <c r="C63" i="6"/>
  <c r="J63" i="6"/>
  <c r="K62" i="6"/>
  <c r="B64" i="6"/>
  <c r="E64" i="6"/>
  <c r="K63" i="6"/>
  <c r="H63" i="6"/>
  <c r="B63" i="6"/>
  <c r="J64" i="6"/>
  <c r="F64" i="6"/>
  <c r="H64" i="6"/>
  <c r="I64" i="6"/>
  <c r="G64" i="6"/>
  <c r="H78" i="6"/>
  <c r="G78" i="6"/>
  <c r="F78" i="6"/>
  <c r="E78" i="6"/>
  <c r="C78" i="6"/>
  <c r="B78" i="6"/>
  <c r="K77" i="6"/>
  <c r="J77" i="6"/>
  <c r="I77" i="6"/>
  <c r="H77" i="6"/>
  <c r="G77" i="6"/>
  <c r="F77" i="6"/>
  <c r="E77" i="6"/>
  <c r="D77" i="6"/>
  <c r="C77" i="6"/>
  <c r="B77" i="6"/>
  <c r="K76" i="6"/>
  <c r="J76" i="6"/>
  <c r="I76" i="6"/>
  <c r="H76" i="6"/>
  <c r="G76" i="6"/>
  <c r="F76" i="6"/>
  <c r="E76" i="6"/>
  <c r="D76" i="6"/>
  <c r="C76" i="6"/>
  <c r="B76" i="6"/>
  <c r="K75" i="6"/>
  <c r="J75" i="6"/>
  <c r="I75" i="6"/>
  <c r="H75" i="6"/>
  <c r="G75" i="6"/>
  <c r="F75" i="6"/>
  <c r="E75" i="6"/>
  <c r="D75" i="6"/>
  <c r="K74" i="6"/>
  <c r="G73" i="6"/>
  <c r="K68" i="6"/>
  <c r="E68" i="6"/>
  <c r="J67" i="6"/>
  <c r="E67" i="6"/>
  <c r="H66" i="6"/>
  <c r="C66" i="6"/>
  <c r="F65" i="6"/>
  <c r="D78" i="6"/>
  <c r="J79" i="6"/>
  <c r="I79" i="6"/>
  <c r="H79" i="6"/>
  <c r="G79" i="6"/>
  <c r="F79" i="6"/>
  <c r="C75" i="6"/>
  <c r="I74" i="6"/>
  <c r="G74" i="6"/>
  <c r="E74" i="6"/>
  <c r="B74" i="6"/>
  <c r="J73" i="6"/>
  <c r="H73" i="6"/>
  <c r="E73" i="6"/>
  <c r="C73" i="6"/>
  <c r="J68" i="6"/>
  <c r="H68" i="6"/>
  <c r="F68" i="6"/>
  <c r="C68" i="6"/>
  <c r="K67" i="6"/>
  <c r="H67" i="6"/>
  <c r="F67" i="6"/>
  <c r="C67" i="6"/>
  <c r="K66" i="6"/>
  <c r="J66" i="6"/>
  <c r="G66" i="6"/>
  <c r="E66" i="6"/>
  <c r="B66" i="6"/>
  <c r="I65" i="6"/>
  <c r="G65" i="6"/>
  <c r="E65" i="6"/>
  <c r="C65" i="6"/>
  <c r="E79" i="6"/>
  <c r="C79" i="6"/>
  <c r="B79" i="6"/>
  <c r="B75" i="6"/>
  <c r="J74" i="6"/>
  <c r="H74" i="6"/>
  <c r="F74" i="6"/>
  <c r="C74" i="6"/>
  <c r="K73" i="6"/>
  <c r="I73" i="6"/>
  <c r="F73" i="6"/>
  <c r="D73" i="6"/>
  <c r="B73" i="6"/>
  <c r="I68" i="6"/>
  <c r="G68" i="6"/>
  <c r="D68" i="6"/>
  <c r="D74" i="6"/>
  <c r="I67" i="6"/>
  <c r="G67" i="6"/>
  <c r="D67" i="6"/>
  <c r="B67" i="6"/>
  <c r="I66" i="6"/>
  <c r="F66" i="6"/>
  <c r="D66" i="6"/>
  <c r="K65" i="6"/>
  <c r="J65" i="6"/>
  <c r="H65" i="6"/>
  <c r="D65" i="6"/>
  <c r="B65" i="6"/>
  <c r="K78" i="6"/>
  <c r="J78" i="6"/>
  <c r="I78" i="6"/>
  <c r="B68" i="6"/>
  <c r="B80" i="6"/>
  <c r="H80" i="6"/>
  <c r="E80" i="6"/>
  <c r="D80" i="6"/>
  <c r="C80" i="6"/>
  <c r="F80" i="6"/>
  <c r="K79" i="6"/>
  <c r="I80" i="6"/>
  <c r="G80" i="6"/>
  <c r="C89" i="6"/>
  <c r="B89" i="6"/>
  <c r="K88" i="6"/>
  <c r="J88" i="6"/>
  <c r="I88" i="6"/>
  <c r="H88" i="6"/>
  <c r="G88" i="6"/>
  <c r="F88" i="6"/>
  <c r="E88" i="6"/>
  <c r="D88" i="6"/>
  <c r="C88" i="6"/>
  <c r="B88" i="6"/>
  <c r="K87" i="6"/>
  <c r="J87" i="6"/>
  <c r="I87" i="6"/>
  <c r="H87" i="6"/>
  <c r="G87" i="6"/>
  <c r="F87" i="6"/>
  <c r="E87" i="6"/>
  <c r="D87" i="6"/>
  <c r="C87" i="6"/>
  <c r="B87" i="6"/>
  <c r="E89" i="6"/>
  <c r="J82" i="6"/>
  <c r="I82" i="6"/>
  <c r="H82" i="6"/>
  <c r="G82" i="6"/>
  <c r="F82" i="6"/>
  <c r="E82" i="6"/>
  <c r="D82" i="6"/>
  <c r="C82" i="6"/>
  <c r="B82" i="6"/>
  <c r="K81" i="6"/>
  <c r="J81" i="6"/>
  <c r="I81" i="6"/>
  <c r="H81" i="6"/>
  <c r="G81" i="6"/>
  <c r="F81" i="6"/>
  <c r="B90" i="6"/>
  <c r="D81" i="6"/>
  <c r="C81" i="6"/>
  <c r="B81" i="6"/>
  <c r="K80" i="6"/>
  <c r="J80" i="6"/>
  <c r="K89" i="6"/>
  <c r="K82" i="6"/>
  <c r="J89" i="6"/>
  <c r="I89" i="6"/>
  <c r="H89" i="6"/>
  <c r="G89" i="6"/>
  <c r="F89" i="6"/>
  <c r="D89" i="6"/>
  <c r="E81" i="6"/>
  <c r="F110" i="6"/>
  <c r="E110" i="6"/>
  <c r="D110" i="6"/>
  <c r="C110" i="6"/>
  <c r="B110" i="6"/>
  <c r="K109" i="6"/>
  <c r="J109" i="6"/>
  <c r="I109" i="6"/>
  <c r="H109" i="6"/>
  <c r="G109" i="6"/>
  <c r="F109" i="6"/>
  <c r="E109" i="6"/>
  <c r="D109" i="6"/>
  <c r="C109" i="6"/>
  <c r="B109" i="6"/>
  <c r="K108" i="6"/>
  <c r="J108" i="6"/>
  <c r="I108" i="6"/>
  <c r="H108" i="6"/>
  <c r="G108" i="6"/>
  <c r="F108" i="6"/>
  <c r="E108" i="6"/>
  <c r="D108" i="6"/>
  <c r="C108" i="6"/>
  <c r="B108" i="6"/>
  <c r="K107" i="6"/>
  <c r="J107" i="6"/>
  <c r="I107" i="6"/>
  <c r="H107" i="6"/>
  <c r="G107" i="6"/>
  <c r="F107" i="6"/>
  <c r="E107" i="6"/>
  <c r="D107" i="6"/>
  <c r="C107" i="6"/>
  <c r="B107" i="6"/>
  <c r="K106" i="6"/>
  <c r="J106" i="6"/>
  <c r="I106" i="6"/>
  <c r="H106" i="6"/>
  <c r="G106" i="6"/>
  <c r="F106" i="6"/>
  <c r="E106" i="6"/>
  <c r="D106" i="6"/>
  <c r="C106" i="6"/>
  <c r="B106" i="6"/>
  <c r="K105" i="6"/>
  <c r="J105" i="6"/>
  <c r="I105" i="6"/>
  <c r="H105" i="6"/>
  <c r="G105" i="6"/>
  <c r="F105" i="6"/>
  <c r="H90" i="6"/>
  <c r="G90" i="6"/>
  <c r="F90" i="6"/>
  <c r="E90" i="6"/>
  <c r="D90" i="6"/>
  <c r="C90" i="6"/>
  <c r="G177" i="6"/>
  <c r="F177" i="6"/>
  <c r="E177" i="6"/>
  <c r="D177" i="6"/>
  <c r="C177" i="6"/>
  <c r="B177" i="6"/>
  <c r="K176" i="6"/>
  <c r="J176" i="6"/>
  <c r="I176" i="6"/>
  <c r="H176" i="6"/>
  <c r="G176" i="6"/>
  <c r="F176" i="6"/>
  <c r="E176" i="6"/>
  <c r="D176" i="6"/>
  <c r="C176" i="6"/>
  <c r="B176" i="6"/>
  <c r="K175" i="6"/>
  <c r="J175" i="6"/>
  <c r="I175" i="6"/>
  <c r="H175" i="6"/>
  <c r="G175" i="6"/>
  <c r="F175" i="6"/>
  <c r="E175" i="6"/>
  <c r="D175" i="6"/>
  <c r="C175" i="6"/>
  <c r="B175" i="6"/>
  <c r="K174" i="6"/>
  <c r="J174" i="6"/>
  <c r="I174" i="6"/>
  <c r="H174" i="6"/>
  <c r="G174" i="6"/>
  <c r="F174" i="6"/>
  <c r="E174" i="6"/>
  <c r="D174" i="6"/>
  <c r="C174" i="6"/>
  <c r="B174" i="6"/>
  <c r="K173" i="6"/>
  <c r="J173" i="6"/>
  <c r="I173" i="6"/>
  <c r="H173" i="6"/>
  <c r="G173" i="6"/>
  <c r="F173" i="6"/>
  <c r="E173" i="6"/>
  <c r="D173" i="6"/>
  <c r="C173" i="6"/>
  <c r="B173" i="6"/>
  <c r="K172" i="6"/>
  <c r="J172" i="6"/>
  <c r="I172" i="6"/>
  <c r="H172" i="6"/>
  <c r="G172" i="6"/>
  <c r="F172" i="6"/>
  <c r="E172" i="6"/>
  <c r="D172" i="6"/>
  <c r="C172" i="6"/>
  <c r="B172" i="6"/>
  <c r="K171" i="6"/>
  <c r="J171" i="6"/>
  <c r="I171" i="6"/>
  <c r="H171" i="6"/>
  <c r="G171" i="6"/>
  <c r="F171" i="6"/>
  <c r="E171" i="6"/>
  <c r="D171" i="6"/>
  <c r="C171" i="6"/>
  <c r="B171" i="6"/>
  <c r="K166" i="6"/>
  <c r="J166" i="6"/>
  <c r="I166" i="6"/>
  <c r="H166" i="6"/>
  <c r="G166" i="6"/>
  <c r="F166" i="6"/>
  <c r="E166" i="6"/>
  <c r="D166" i="6"/>
  <c r="C166" i="6"/>
  <c r="B166" i="6"/>
  <c r="K165" i="6"/>
  <c r="J165" i="6"/>
  <c r="I165" i="6"/>
  <c r="H165" i="6"/>
  <c r="G165" i="6"/>
  <c r="F165" i="6"/>
  <c r="E165" i="6"/>
  <c r="D165" i="6"/>
  <c r="C165" i="6"/>
  <c r="B165" i="6"/>
  <c r="D121" i="6"/>
  <c r="C121" i="6"/>
  <c r="B121" i="6"/>
  <c r="K120" i="6"/>
  <c r="J120" i="6"/>
  <c r="I120" i="6"/>
  <c r="H120" i="6"/>
  <c r="G120" i="6"/>
  <c r="F120" i="6"/>
  <c r="E120" i="6"/>
  <c r="D120" i="6"/>
  <c r="C120" i="6"/>
  <c r="B120" i="6"/>
  <c r="K119" i="6"/>
  <c r="J119" i="6"/>
  <c r="I119" i="6"/>
  <c r="H119" i="6"/>
  <c r="G119" i="6"/>
  <c r="F119" i="6"/>
  <c r="E119" i="6"/>
  <c r="D119" i="6"/>
  <c r="C119" i="6"/>
  <c r="B119" i="6"/>
  <c r="K118" i="6"/>
  <c r="J118" i="6"/>
  <c r="I118" i="6"/>
  <c r="H118" i="6"/>
  <c r="G118" i="6"/>
  <c r="F118" i="6"/>
  <c r="E118" i="6"/>
  <c r="D118" i="6"/>
  <c r="C118" i="6"/>
  <c r="B118" i="6"/>
  <c r="K117" i="6"/>
  <c r="J117" i="6"/>
  <c r="I117" i="6"/>
  <c r="H117" i="6"/>
  <c r="G117" i="6"/>
  <c r="F117" i="6"/>
  <c r="E117" i="6"/>
  <c r="D117" i="6"/>
  <c r="C117" i="6"/>
  <c r="B117" i="6"/>
  <c r="K116" i="6"/>
  <c r="J116" i="6"/>
  <c r="I116" i="6"/>
  <c r="H116" i="6"/>
  <c r="G116" i="6"/>
  <c r="F116" i="6"/>
  <c r="E116" i="6"/>
  <c r="D116" i="6"/>
  <c r="C116" i="6"/>
  <c r="B116" i="6"/>
  <c r="K115" i="6"/>
  <c r="J115" i="6"/>
  <c r="I115" i="6"/>
  <c r="H115" i="6"/>
  <c r="G115" i="6"/>
  <c r="F115" i="6"/>
  <c r="E115" i="6"/>
  <c r="D115" i="6"/>
  <c r="C115" i="6"/>
  <c r="B115" i="6"/>
  <c r="K110" i="6"/>
  <c r="J110" i="6"/>
  <c r="I110" i="6"/>
  <c r="H110" i="6"/>
  <c r="G110" i="6"/>
  <c r="I187" i="6"/>
  <c r="H187" i="6"/>
  <c r="G187" i="6"/>
  <c r="F187" i="6"/>
  <c r="E187" i="6"/>
  <c r="D187" i="6"/>
  <c r="C187" i="6"/>
  <c r="B187" i="6"/>
  <c r="K186" i="6"/>
  <c r="J186" i="6"/>
  <c r="I186" i="6"/>
  <c r="H186" i="6"/>
  <c r="G186" i="6"/>
  <c r="F186" i="6"/>
  <c r="E186" i="6"/>
  <c r="D186" i="6"/>
  <c r="C186" i="6"/>
  <c r="B186" i="6"/>
  <c r="K185" i="6"/>
  <c r="J185" i="6"/>
  <c r="I185" i="6"/>
  <c r="G185" i="6"/>
  <c r="F185" i="6"/>
  <c r="E185" i="6"/>
  <c r="D185" i="6"/>
  <c r="C185" i="6"/>
  <c r="B185" i="6"/>
  <c r="K180" i="6"/>
  <c r="J180" i="6"/>
  <c r="I180" i="6"/>
  <c r="H180" i="6"/>
  <c r="G180" i="6"/>
  <c r="F180" i="6"/>
  <c r="E180" i="6"/>
  <c r="D180" i="6"/>
  <c r="C180" i="6"/>
  <c r="B180" i="6"/>
  <c r="K179" i="6"/>
  <c r="J179" i="6"/>
  <c r="I179" i="6"/>
  <c r="H179" i="6"/>
  <c r="G179" i="6"/>
  <c r="F179" i="6"/>
  <c r="E179" i="6"/>
  <c r="D179" i="6"/>
  <c r="C179" i="6"/>
  <c r="B179" i="6"/>
  <c r="K178" i="6"/>
  <c r="J178" i="6"/>
  <c r="I178" i="6"/>
  <c r="H178" i="6"/>
  <c r="G178" i="6"/>
  <c r="F178" i="6"/>
  <c r="E178" i="6"/>
  <c r="D178" i="6"/>
  <c r="C178" i="6"/>
  <c r="B178" i="6"/>
  <c r="K177" i="6"/>
  <c r="J177" i="6"/>
  <c r="I177" i="6"/>
  <c r="H177" i="6"/>
  <c r="B3" i="5"/>
  <c r="Z2" i="1"/>
  <c r="J194" i="6"/>
  <c r="I194" i="6"/>
  <c r="H194" i="6"/>
  <c r="G194" i="6"/>
  <c r="F194" i="6"/>
  <c r="E194" i="6"/>
  <c r="D194" i="6"/>
  <c r="C194" i="6"/>
  <c r="B194" i="6"/>
  <c r="K193" i="6"/>
  <c r="J193" i="6"/>
  <c r="I193" i="6"/>
  <c r="H193" i="6"/>
  <c r="G193" i="6"/>
  <c r="F193" i="6"/>
  <c r="E193" i="6"/>
  <c r="D193" i="6"/>
  <c r="C193" i="6"/>
  <c r="B193" i="6"/>
  <c r="K192" i="6"/>
  <c r="J192" i="6"/>
  <c r="I192" i="6"/>
  <c r="H192" i="6"/>
  <c r="G192" i="6"/>
  <c r="F192" i="6"/>
  <c r="E192" i="6"/>
  <c r="D192" i="6"/>
  <c r="C192" i="6"/>
  <c r="B192" i="6"/>
  <c r="K191" i="6"/>
  <c r="J191" i="6"/>
  <c r="I191" i="6"/>
  <c r="H191" i="6"/>
  <c r="G191" i="6"/>
  <c r="F191" i="6"/>
  <c r="E191" i="6"/>
  <c r="D191" i="6"/>
  <c r="C191" i="6"/>
  <c r="B191" i="6"/>
  <c r="K190" i="6"/>
  <c r="J190" i="6"/>
  <c r="I190" i="6"/>
  <c r="H190" i="6"/>
  <c r="G190" i="6"/>
  <c r="F190" i="6"/>
  <c r="E190" i="6"/>
  <c r="D190" i="6"/>
  <c r="C190" i="6"/>
  <c r="B190" i="6"/>
  <c r="K189" i="6"/>
  <c r="J189" i="6"/>
  <c r="I189" i="6"/>
  <c r="H189" i="6"/>
  <c r="G189" i="6"/>
  <c r="F189" i="6"/>
  <c r="E189" i="6"/>
  <c r="D189" i="6"/>
  <c r="C189" i="6"/>
  <c r="B189" i="6"/>
  <c r="K188" i="6"/>
  <c r="J188" i="6"/>
  <c r="I188" i="6"/>
  <c r="H188" i="6"/>
  <c r="G188" i="6"/>
  <c r="F188" i="6"/>
  <c r="E188" i="6"/>
  <c r="D188" i="6"/>
  <c r="C188" i="6"/>
  <c r="B188" i="6"/>
  <c r="K187" i="6"/>
  <c r="J187" i="6"/>
  <c r="AE33" i="1"/>
  <c r="AE31" i="1"/>
  <c r="AE30" i="1"/>
  <c r="AE28" i="1"/>
  <c r="Z28" i="1"/>
  <c r="Z26" i="1"/>
  <c r="AE24" i="1"/>
  <c r="AE22" i="1"/>
  <c r="Z20" i="1"/>
  <c r="AE17" i="1"/>
  <c r="Z17" i="1"/>
  <c r="Z15" i="1"/>
  <c r="Z14" i="1"/>
  <c r="AE13" i="1"/>
  <c r="AE10" i="1"/>
  <c r="Z10" i="1"/>
  <c r="AE9" i="1"/>
  <c r="Z7" i="1"/>
  <c r="AE6" i="1"/>
  <c r="Z6" i="1"/>
  <c r="AE5" i="1"/>
  <c r="Z5" i="1"/>
  <c r="AE4" i="1"/>
  <c r="AE3" i="1"/>
  <c r="AE2" i="1"/>
  <c r="I208" i="6"/>
  <c r="H208" i="6"/>
  <c r="G208" i="6"/>
  <c r="F208" i="6"/>
  <c r="E208" i="6"/>
  <c r="D208" i="6"/>
  <c r="C208" i="6"/>
  <c r="B208" i="6"/>
  <c r="K207" i="6"/>
  <c r="J207" i="6"/>
  <c r="I207" i="6"/>
  <c r="H207" i="6"/>
  <c r="G207" i="6"/>
  <c r="F207" i="6"/>
  <c r="E207" i="6"/>
  <c r="D207" i="6"/>
  <c r="C207" i="6"/>
  <c r="B207" i="6"/>
  <c r="K206" i="6"/>
  <c r="J206" i="6"/>
  <c r="I206" i="6"/>
  <c r="H206" i="6"/>
  <c r="G206" i="6"/>
  <c r="F206" i="6"/>
  <c r="E206" i="6"/>
  <c r="D206" i="6"/>
  <c r="C206" i="6"/>
  <c r="B206" i="6"/>
  <c r="K205" i="6"/>
  <c r="J205" i="6"/>
  <c r="I205" i="6"/>
  <c r="H205" i="6"/>
  <c r="G205" i="6"/>
  <c r="F205" i="6"/>
  <c r="E205" i="6"/>
  <c r="D205" i="6"/>
  <c r="C205" i="6"/>
  <c r="B205" i="6"/>
  <c r="K204" i="6"/>
  <c r="J204" i="6"/>
  <c r="I204" i="6"/>
  <c r="H204" i="6"/>
  <c r="G204" i="6"/>
  <c r="F204" i="6"/>
  <c r="E204" i="6"/>
  <c r="D204" i="6"/>
  <c r="C204" i="6"/>
  <c r="B204" i="6"/>
  <c r="K203" i="6"/>
  <c r="J203" i="6"/>
  <c r="I203" i="6"/>
  <c r="H203" i="6"/>
  <c r="G203" i="6"/>
  <c r="F203" i="6"/>
  <c r="E203" i="6"/>
  <c r="D203" i="6"/>
  <c r="C203" i="6"/>
  <c r="B203" i="6"/>
  <c r="K202" i="6"/>
  <c r="J202" i="6"/>
  <c r="I202" i="6"/>
  <c r="H202" i="6"/>
  <c r="G202" i="6"/>
  <c r="F202" i="6"/>
  <c r="E202" i="6"/>
  <c r="D202" i="6"/>
  <c r="C202" i="6"/>
  <c r="B202" i="6"/>
  <c r="K201" i="6"/>
  <c r="J201" i="6"/>
  <c r="I201" i="6"/>
  <c r="H201" i="6"/>
  <c r="G201" i="6"/>
  <c r="F201" i="6"/>
  <c r="E201" i="6"/>
  <c r="D201" i="6"/>
  <c r="C201" i="6"/>
  <c r="B201" i="6"/>
  <c r="K200" i="6"/>
  <c r="J200" i="6"/>
  <c r="I200" i="6"/>
  <c r="H200" i="6"/>
  <c r="G200" i="6"/>
  <c r="F200" i="6"/>
  <c r="E200" i="6"/>
  <c r="D200" i="6"/>
  <c r="C200" i="6"/>
  <c r="B200" i="6"/>
  <c r="K199" i="6"/>
  <c r="J199" i="6"/>
  <c r="I199" i="6"/>
  <c r="H199" i="6"/>
  <c r="G199" i="6"/>
  <c r="F199" i="6"/>
  <c r="E199" i="6"/>
  <c r="D199" i="6"/>
  <c r="C199" i="6"/>
  <c r="B199" i="6"/>
  <c r="K194" i="6"/>
  <c r="C87" i="5"/>
  <c r="B87" i="5"/>
  <c r="M82" i="5"/>
  <c r="L82" i="5"/>
  <c r="K82" i="5"/>
  <c r="J82" i="5"/>
  <c r="I82" i="5"/>
  <c r="H82" i="5"/>
  <c r="G82" i="5"/>
  <c r="F82" i="5"/>
  <c r="E82" i="5"/>
  <c r="D82" i="5"/>
  <c r="C82" i="5"/>
  <c r="B82" i="5"/>
  <c r="M81" i="5"/>
  <c r="L81" i="5"/>
  <c r="K81" i="5"/>
  <c r="J81" i="5"/>
  <c r="I81" i="5"/>
  <c r="H81" i="5"/>
  <c r="G81" i="5"/>
  <c r="F81" i="5"/>
  <c r="E81" i="5"/>
  <c r="D81" i="5"/>
  <c r="C81" i="5"/>
  <c r="B81" i="5"/>
  <c r="M80" i="5"/>
  <c r="L80" i="5"/>
  <c r="K80" i="5"/>
  <c r="J80" i="5"/>
  <c r="I80" i="5"/>
  <c r="H80" i="5"/>
  <c r="G80" i="5"/>
  <c r="F80" i="5"/>
  <c r="E80" i="5"/>
  <c r="D80" i="5"/>
  <c r="C80" i="5"/>
  <c r="B80" i="5"/>
  <c r="M79" i="5"/>
  <c r="L79" i="5"/>
  <c r="K79" i="5"/>
  <c r="J79" i="5"/>
  <c r="I79" i="5"/>
  <c r="H79" i="5"/>
  <c r="G79" i="5"/>
  <c r="F79" i="5"/>
  <c r="E79" i="5"/>
  <c r="D79" i="5"/>
  <c r="C79" i="5"/>
  <c r="B79" i="5"/>
  <c r="M78" i="5"/>
  <c r="L78" i="5"/>
  <c r="K78" i="5"/>
  <c r="J78" i="5"/>
  <c r="I78" i="5"/>
  <c r="H78" i="5"/>
  <c r="G78" i="5"/>
  <c r="F78" i="5"/>
  <c r="E78" i="5"/>
  <c r="D78" i="5"/>
  <c r="C78" i="5"/>
  <c r="B78" i="5"/>
  <c r="M77" i="5"/>
  <c r="L77" i="5"/>
  <c r="K77" i="5"/>
  <c r="J77" i="5"/>
  <c r="I77" i="5"/>
  <c r="H77" i="5"/>
  <c r="G77" i="5"/>
  <c r="F77" i="5"/>
  <c r="E77" i="5"/>
  <c r="D77" i="5"/>
  <c r="C77" i="5"/>
  <c r="B77" i="5"/>
  <c r="M76" i="5"/>
  <c r="L76" i="5"/>
  <c r="K76" i="5"/>
  <c r="J76" i="5"/>
  <c r="I76" i="5"/>
  <c r="H76" i="5"/>
  <c r="G76" i="5"/>
  <c r="F76" i="5"/>
  <c r="E76" i="5"/>
  <c r="D76" i="5"/>
  <c r="C76" i="5"/>
  <c r="B76" i="5"/>
  <c r="M75" i="5"/>
  <c r="L75" i="5"/>
  <c r="K75" i="5"/>
  <c r="J75" i="5"/>
  <c r="I75" i="5"/>
  <c r="H75" i="5"/>
  <c r="G75" i="5"/>
  <c r="F75" i="5"/>
  <c r="E75" i="5"/>
  <c r="D75" i="5"/>
  <c r="C75" i="5"/>
  <c r="B75" i="5"/>
  <c r="M70" i="5"/>
  <c r="L70" i="5"/>
  <c r="K70" i="5"/>
  <c r="J70" i="5"/>
  <c r="I70" i="5"/>
  <c r="H70" i="5"/>
  <c r="G70" i="5"/>
  <c r="F70" i="5"/>
  <c r="E70" i="5"/>
  <c r="D70" i="5"/>
  <c r="C70" i="5"/>
  <c r="B70" i="5"/>
  <c r="M69" i="5"/>
  <c r="L69" i="5"/>
  <c r="K69" i="5"/>
  <c r="J69" i="5"/>
  <c r="I69" i="5"/>
  <c r="H69" i="5"/>
  <c r="G69" i="5"/>
  <c r="F69" i="5"/>
  <c r="E69" i="5"/>
  <c r="D69" i="5"/>
  <c r="C69" i="5"/>
  <c r="B69" i="5"/>
  <c r="M68" i="5"/>
  <c r="L68" i="5"/>
  <c r="K68" i="5"/>
  <c r="J68" i="5"/>
  <c r="I68" i="5"/>
  <c r="H68" i="5"/>
  <c r="G68" i="5"/>
  <c r="F68" i="5"/>
  <c r="E68" i="5"/>
  <c r="D68" i="5"/>
  <c r="C68" i="5"/>
  <c r="B68" i="5"/>
  <c r="M67" i="5"/>
  <c r="L67" i="5"/>
  <c r="K67" i="5"/>
  <c r="J67" i="5"/>
  <c r="I67" i="5"/>
  <c r="H67" i="5"/>
  <c r="G67" i="5"/>
  <c r="F67" i="5"/>
  <c r="E67" i="5"/>
  <c r="D67" i="5"/>
  <c r="C67" i="5"/>
  <c r="B67" i="5"/>
  <c r="M66" i="5"/>
  <c r="L66" i="5"/>
  <c r="K66" i="5"/>
  <c r="J66" i="5"/>
  <c r="I66" i="5"/>
  <c r="H66" i="5"/>
  <c r="G66" i="5"/>
  <c r="F66" i="5"/>
  <c r="E66" i="5"/>
  <c r="D66" i="5"/>
  <c r="C66" i="5"/>
  <c r="B66" i="5"/>
  <c r="M65" i="5"/>
  <c r="L65" i="5"/>
  <c r="K65" i="5"/>
  <c r="J65" i="5"/>
  <c r="I65" i="5"/>
  <c r="H65" i="5"/>
  <c r="G65" i="5"/>
  <c r="F65" i="5"/>
  <c r="E65" i="5"/>
  <c r="D65" i="5"/>
  <c r="C65" i="5"/>
  <c r="B65" i="5"/>
  <c r="M64" i="5"/>
  <c r="L64" i="5"/>
  <c r="K64" i="5"/>
  <c r="J64" i="5"/>
  <c r="I64" i="5"/>
  <c r="H64" i="5"/>
  <c r="G64" i="5"/>
  <c r="F64" i="5"/>
  <c r="E64" i="5"/>
  <c r="D64" i="5"/>
  <c r="C64" i="5"/>
  <c r="B64" i="5"/>
  <c r="M63" i="5"/>
  <c r="L63" i="5"/>
  <c r="K63" i="5"/>
  <c r="J63" i="5"/>
  <c r="I63" i="5"/>
  <c r="H63" i="5"/>
  <c r="G63" i="5"/>
  <c r="F63" i="5"/>
  <c r="E63" i="5"/>
  <c r="D63" i="5"/>
  <c r="C63" i="5"/>
  <c r="B63" i="5"/>
  <c r="M58" i="5"/>
  <c r="L58" i="5"/>
  <c r="K58" i="5"/>
  <c r="J58" i="5"/>
  <c r="I58" i="5"/>
  <c r="H58" i="5"/>
  <c r="G58" i="5"/>
  <c r="F58" i="5"/>
  <c r="E58" i="5"/>
  <c r="D58" i="5"/>
  <c r="C58" i="5"/>
  <c r="B58" i="5"/>
  <c r="M57" i="5"/>
  <c r="L57" i="5"/>
  <c r="K57" i="5"/>
  <c r="J57" i="5"/>
  <c r="I57" i="5"/>
  <c r="H57" i="5"/>
  <c r="G57" i="5"/>
  <c r="F57" i="5"/>
  <c r="E57" i="5"/>
  <c r="D57" i="5"/>
  <c r="C57" i="5"/>
  <c r="B57" i="5"/>
  <c r="M56" i="5"/>
  <c r="L56" i="5"/>
  <c r="K56" i="5"/>
  <c r="J56" i="5"/>
  <c r="I56" i="5"/>
  <c r="H56" i="5"/>
  <c r="G56" i="5"/>
  <c r="F56" i="5"/>
  <c r="E56" i="5"/>
  <c r="D56" i="5"/>
  <c r="C56" i="5"/>
  <c r="B56" i="5"/>
  <c r="M55" i="5"/>
  <c r="L55" i="5"/>
  <c r="K55" i="5"/>
  <c r="J55" i="5"/>
  <c r="I55" i="5"/>
  <c r="H55" i="5"/>
  <c r="G55" i="5"/>
  <c r="F55" i="5"/>
  <c r="E55" i="5"/>
  <c r="D55" i="5"/>
  <c r="C55" i="5"/>
  <c r="B55" i="5"/>
  <c r="M54" i="5"/>
  <c r="L54" i="5"/>
  <c r="K54" i="5"/>
  <c r="J54" i="5"/>
  <c r="I54" i="5"/>
  <c r="H54" i="5"/>
  <c r="G54" i="5"/>
  <c r="AE15" i="1"/>
  <c r="Z32" i="1"/>
  <c r="AE12" i="1"/>
  <c r="AE7" i="1"/>
  <c r="G22" i="11"/>
  <c r="J50" i="11"/>
  <c r="D52" i="11"/>
  <c r="D53" i="11"/>
  <c r="H54" i="11"/>
  <c r="I59" i="11"/>
  <c r="B61" i="11"/>
  <c r="D62" i="11"/>
  <c r="G63" i="11"/>
  <c r="H64" i="11"/>
  <c r="I65" i="11"/>
  <c r="G66" i="11"/>
  <c r="D67" i="11"/>
  <c r="B68" i="11"/>
  <c r="J68" i="11"/>
  <c r="J73" i="11"/>
  <c r="J74" i="11"/>
  <c r="B76" i="11"/>
  <c r="B77" i="11"/>
  <c r="B78" i="11"/>
  <c r="B79" i="11"/>
  <c r="K79" i="11"/>
  <c r="K80" i="11"/>
  <c r="J81" i="11"/>
  <c r="K82" i="11"/>
  <c r="J87" i="11"/>
  <c r="I88" i="11"/>
  <c r="I89" i="11"/>
  <c r="J90" i="11"/>
  <c r="J91" i="11"/>
  <c r="J92" i="11"/>
  <c r="K93" i="11"/>
  <c r="K94" i="11"/>
  <c r="J95" i="11"/>
  <c r="K96" i="11"/>
  <c r="B102" i="11"/>
  <c r="B103" i="11"/>
  <c r="B104" i="11"/>
  <c r="G105" i="11"/>
  <c r="I106" i="11"/>
  <c r="I107" i="11"/>
  <c r="J108" i="11"/>
  <c r="K109" i="11"/>
  <c r="C115" i="11"/>
  <c r="D116" i="11"/>
  <c r="F79" i="11"/>
  <c r="H78" i="11"/>
  <c r="E78" i="11"/>
  <c r="F77" i="11"/>
  <c r="K76" i="11"/>
  <c r="E76" i="11"/>
  <c r="G75" i="11"/>
  <c r="C75" i="11"/>
  <c r="G74" i="11"/>
  <c r="C74" i="11"/>
  <c r="E73" i="11"/>
  <c r="D66" i="11"/>
  <c r="H65" i="11"/>
  <c r="C65" i="11"/>
  <c r="E64" i="11"/>
  <c r="E63" i="11"/>
  <c r="J62" i="11"/>
  <c r="J61" i="11"/>
  <c r="K60" i="11"/>
  <c r="C60" i="11"/>
  <c r="E59" i="11"/>
  <c r="F54" i="11"/>
  <c r="K53" i="11"/>
  <c r="H3" i="11"/>
  <c r="B5" i="11"/>
  <c r="C6" i="11"/>
  <c r="F7" i="11"/>
  <c r="H8" i="11"/>
  <c r="K9" i="11"/>
  <c r="C11" i="11"/>
  <c r="F12" i="11"/>
  <c r="H17" i="11"/>
  <c r="K18" i="11"/>
  <c r="B20" i="11"/>
  <c r="D21" i="11"/>
  <c r="D22" i="11"/>
  <c r="I108" i="11"/>
  <c r="D108" i="11"/>
  <c r="D107" i="11"/>
  <c r="F106" i="11"/>
  <c r="B106" i="11"/>
  <c r="C105" i="11"/>
  <c r="G104" i="11"/>
  <c r="C101" i="11"/>
  <c r="G96" i="11"/>
  <c r="F93" i="11"/>
  <c r="H87" i="11"/>
  <c r="H75" i="11"/>
  <c r="F64" i="11"/>
  <c r="F63" i="11"/>
  <c r="B63" i="11"/>
  <c r="B62" i="11"/>
  <c r="F61" i="11"/>
  <c r="H60" i="11"/>
  <c r="H59" i="11"/>
  <c r="C59" i="11"/>
  <c r="D54" i="11"/>
  <c r="E53" i="11"/>
  <c r="J52" i="11"/>
  <c r="B52" i="11"/>
  <c r="F51" i="11"/>
  <c r="G50" i="11"/>
  <c r="H49" i="11"/>
  <c r="G48" i="11"/>
  <c r="J47" i="11"/>
  <c r="I46" i="11"/>
  <c r="J45" i="11"/>
  <c r="D45" i="11"/>
  <c r="D40" i="11"/>
  <c r="E39" i="11"/>
  <c r="F38" i="11"/>
  <c r="H37" i="11"/>
  <c r="I36" i="11"/>
  <c r="I35" i="11"/>
  <c r="C35" i="11"/>
  <c r="D34" i="11"/>
  <c r="D33" i="11"/>
  <c r="G32" i="11"/>
  <c r="I31" i="11"/>
  <c r="H26" i="11"/>
  <c r="I25" i="11"/>
  <c r="J24" i="11"/>
  <c r="B24" i="11"/>
  <c r="C23" i="11"/>
  <c r="E22" i="11"/>
  <c r="F21" i="11"/>
  <c r="H20" i="11"/>
  <c r="K19" i="11"/>
  <c r="C19" i="11"/>
  <c r="D18" i="11"/>
  <c r="F17" i="11"/>
  <c r="H12" i="11"/>
  <c r="H11" i="11"/>
  <c r="I10" i="11"/>
  <c r="B10" i="11"/>
  <c r="C9" i="11"/>
  <c r="D8" i="11"/>
  <c r="G7" i="11"/>
  <c r="G6" i="11"/>
  <c r="H5" i="11"/>
  <c r="K4" i="11"/>
  <c r="B116" i="11"/>
  <c r="D115" i="11"/>
  <c r="H110" i="11"/>
  <c r="I109" i="11"/>
  <c r="K108" i="11"/>
  <c r="E108" i="11"/>
  <c r="E107" i="11"/>
  <c r="H106" i="11"/>
  <c r="C106" i="11"/>
  <c r="D105" i="11"/>
  <c r="H104" i="11"/>
  <c r="J103" i="11"/>
  <c r="C103" i="11"/>
  <c r="H102" i="11"/>
  <c r="J101" i="11"/>
  <c r="B101" i="11"/>
  <c r="F96" i="11"/>
  <c r="H95" i="11"/>
  <c r="B95" i="11"/>
  <c r="F94" i="11"/>
  <c r="G93" i="11"/>
  <c r="I92" i="11"/>
  <c r="E92" i="11"/>
  <c r="F91" i="11"/>
  <c r="I90" i="11"/>
  <c r="C90" i="11"/>
  <c r="F89" i="11"/>
  <c r="H88" i="11"/>
  <c r="D88" i="11"/>
  <c r="F87" i="11"/>
  <c r="I82" i="11"/>
  <c r="B82" i="11"/>
  <c r="F81" i="11"/>
  <c r="H80" i="11"/>
  <c r="C80" i="11"/>
  <c r="E79" i="11"/>
  <c r="G78" i="11"/>
  <c r="J77" i="11"/>
  <c r="E77" i="11"/>
  <c r="F76" i="11"/>
  <c r="J75" i="11"/>
  <c r="D75" i="11"/>
  <c r="E74" i="11"/>
  <c r="G73" i="11"/>
  <c r="C73" i="11"/>
  <c r="F68" i="11"/>
  <c r="K67" i="11"/>
  <c r="H67" i="11"/>
  <c r="C67" i="11"/>
  <c r="H66" i="11"/>
  <c r="C66" i="11"/>
  <c r="G65" i="11"/>
  <c r="B65" i="11"/>
  <c r="D64" i="11"/>
  <c r="D63" i="11"/>
  <c r="H62" i="11"/>
  <c r="I61" i="11"/>
  <c r="J60" i="11"/>
  <c r="D60" i="11"/>
  <c r="F59" i="11"/>
  <c r="G54" i="11"/>
  <c r="G53" i="11"/>
  <c r="K52" i="11"/>
  <c r="K51" i="11"/>
  <c r="C51" i="11"/>
  <c r="F50" i="11"/>
  <c r="G49" i="11"/>
  <c r="H48" i="11"/>
  <c r="K47" i="11"/>
  <c r="B47" i="11"/>
  <c r="E46" i="11"/>
  <c r="F45" i="11"/>
  <c r="G40" i="11"/>
  <c r="K39" i="11"/>
  <c r="C39" i="11"/>
  <c r="B38" i="11"/>
  <c r="E37" i="11"/>
  <c r="G36" i="11"/>
  <c r="G35" i="11"/>
  <c r="J34" i="11"/>
  <c r="C34" i="11"/>
  <c r="C33" i="11"/>
  <c r="E32" i="11"/>
  <c r="H31" i="11"/>
  <c r="G26" i="11"/>
  <c r="J25" i="11"/>
  <c r="K24" i="11"/>
  <c r="C24" i="11"/>
  <c r="F23" i="11"/>
  <c r="B53" i="11"/>
  <c r="I21" i="11"/>
  <c r="K20" i="11"/>
  <c r="C20" i="11"/>
  <c r="E19" i="11"/>
  <c r="H18" i="11"/>
  <c r="K17" i="11"/>
  <c r="K12" i="11"/>
  <c r="D12" i="11"/>
  <c r="E11" i="11"/>
  <c r="E10" i="11"/>
  <c r="F9" i="11"/>
  <c r="I8" i="11"/>
  <c r="K7" i="11"/>
  <c r="B7" i="11"/>
  <c r="E6" i="11"/>
  <c r="F5" i="11"/>
  <c r="F4" i="11"/>
  <c r="I3" i="11"/>
  <c r="C52" i="11"/>
  <c r="G51" i="11"/>
  <c r="E50" i="11"/>
  <c r="F49" i="11"/>
  <c r="J48" i="11"/>
  <c r="B48" i="11"/>
  <c r="C47" i="11"/>
  <c r="F46" i="11"/>
  <c r="G45" i="11"/>
  <c r="H40" i="11"/>
  <c r="J39" i="11"/>
  <c r="B39" i="11"/>
  <c r="C38" i="11"/>
  <c r="F37" i="11"/>
  <c r="H36" i="11"/>
  <c r="H35" i="11"/>
  <c r="K34" i="11"/>
  <c r="B34" i="11"/>
  <c r="B33" i="11"/>
  <c r="D32" i="11"/>
  <c r="F31" i="11"/>
  <c r="I26" i="11"/>
  <c r="B26" i="11"/>
  <c r="C25" i="11"/>
  <c r="D24" i="11"/>
  <c r="E23" i="11"/>
  <c r="F22" i="11"/>
  <c r="H21" i="11"/>
  <c r="C21" i="11"/>
  <c r="D20" i="11"/>
  <c r="F19" i="11"/>
  <c r="I18" i="11"/>
  <c r="I17" i="11"/>
  <c r="J12" i="11"/>
  <c r="B12" i="11"/>
  <c r="D11" i="11"/>
  <c r="F10" i="11"/>
  <c r="G9" i="11"/>
  <c r="J8" i="11"/>
  <c r="J7" i="11"/>
  <c r="K6" i="11"/>
  <c r="D6" i="11"/>
  <c r="E5" i="11"/>
  <c r="G4" i="11"/>
  <c r="J3" i="11"/>
  <c r="H115" i="11"/>
  <c r="H23" i="11"/>
  <c r="I24" i="11"/>
  <c r="C26" i="11"/>
  <c r="D31" i="11"/>
  <c r="H32" i="11"/>
  <c r="I33" i="11"/>
  <c r="B35" i="11"/>
  <c r="D36" i="11"/>
  <c r="G37" i="11"/>
  <c r="I38" i="11"/>
  <c r="B40" i="11"/>
  <c r="C45" i="11"/>
  <c r="G46" i="11"/>
  <c r="H47" i="11"/>
  <c r="I48" i="11"/>
  <c r="K49" i="11"/>
  <c r="B51" i="11"/>
  <c r="F52" i="11"/>
  <c r="F53" i="11"/>
  <c r="I54" i="11"/>
  <c r="J59" i="11"/>
  <c r="C61" i="11"/>
  <c r="E62" i="11"/>
  <c r="I63" i="11"/>
  <c r="J64" i="11"/>
  <c r="H68" i="11"/>
  <c r="H73" i="11"/>
  <c r="H74" i="11"/>
  <c r="I75" i="11"/>
  <c r="I76" i="11"/>
  <c r="I77" i="11"/>
  <c r="J78" i="11"/>
  <c r="J79" i="11"/>
  <c r="I80" i="11"/>
  <c r="I81" i="11"/>
  <c r="J82" i="11"/>
  <c r="E88" i="11"/>
  <c r="D89" i="11"/>
  <c r="E90" i="11"/>
  <c r="D91" i="11"/>
  <c r="D92" i="11"/>
  <c r="E93" i="11"/>
  <c r="E94" i="11"/>
  <c r="F95" i="11"/>
  <c r="H96" i="11"/>
  <c r="K101" i="11"/>
  <c r="K102" i="11"/>
  <c r="I104" i="11"/>
  <c r="I105" i="11"/>
  <c r="K106" i="11"/>
  <c r="K107" i="11"/>
  <c r="E109" i="11"/>
  <c r="C110" i="11"/>
  <c r="G115" i="11"/>
  <c r="E110" i="11"/>
  <c r="B109" i="11"/>
  <c r="H107" i="11"/>
  <c r="D104" i="11"/>
  <c r="E103" i="11"/>
  <c r="F102" i="11"/>
  <c r="F101" i="11"/>
  <c r="D96" i="11"/>
  <c r="D95" i="11"/>
  <c r="C94" i="11"/>
  <c r="C93" i="11"/>
  <c r="B92" i="11"/>
  <c r="C91" i="11"/>
  <c r="K89" i="11"/>
  <c r="C89" i="11"/>
  <c r="C88" i="11"/>
  <c r="C87" i="11"/>
  <c r="D82" i="11"/>
  <c r="D81" i="11"/>
  <c r="E3" i="11"/>
  <c r="H4" i="11"/>
  <c r="K5" i="11"/>
  <c r="D7" i="11"/>
  <c r="F8" i="11"/>
  <c r="H9" i="11"/>
  <c r="J10" i="11"/>
  <c r="C12" i="11"/>
  <c r="E17" i="11"/>
  <c r="G18" i="11"/>
  <c r="J19" i="11"/>
  <c r="B21" i="11"/>
  <c r="C22" i="11"/>
  <c r="G23" i="11"/>
  <c r="H24" i="11"/>
  <c r="K25" i="11"/>
  <c r="C31" i="11"/>
  <c r="F32" i="11"/>
  <c r="H33" i="11"/>
  <c r="I34" i="11"/>
  <c r="C36" i="11"/>
  <c r="D37" i="11"/>
  <c r="H38" i="11"/>
  <c r="I39" i="11"/>
  <c r="K40" i="11"/>
  <c r="D46" i="11"/>
  <c r="G47" i="11"/>
  <c r="B49" i="11"/>
  <c r="C50" i="11"/>
  <c r="D51" i="11"/>
  <c r="H52" i="11"/>
  <c r="J53" i="11"/>
  <c r="K54" i="11"/>
  <c r="B60" i="11"/>
  <c r="E61" i="11"/>
  <c r="G62" i="11"/>
  <c r="H63" i="11"/>
  <c r="K64" i="11"/>
  <c r="K65" i="11"/>
  <c r="J66" i="11"/>
  <c r="F67" i="11"/>
  <c r="C68" i="11"/>
  <c r="B73" i="11"/>
  <c r="B74" i="11"/>
  <c r="K74" i="11"/>
  <c r="D76" i="11"/>
  <c r="C77" i="11"/>
  <c r="C78" i="11"/>
  <c r="D79" i="11"/>
  <c r="E80" i="11"/>
  <c r="E81" i="11"/>
  <c r="C82" i="11"/>
  <c r="D87" i="11"/>
  <c r="B88" i="11"/>
  <c r="B89" i="11"/>
  <c r="B90" i="11"/>
  <c r="B91" i="11"/>
  <c r="C92" i="11"/>
  <c r="D93" i="11"/>
  <c r="D94" i="11"/>
  <c r="E95" i="11"/>
  <c r="C96" i="11"/>
  <c r="E101" i="11"/>
  <c r="E102" i="11"/>
  <c r="F103" i="11"/>
  <c r="C104" i="11"/>
  <c r="E105" i="11"/>
  <c r="D106" i="11"/>
  <c r="F107" i="11"/>
  <c r="F108" i="11"/>
  <c r="H109" i="11"/>
  <c r="I110" i="11"/>
  <c r="K115" i="11"/>
  <c r="D80" i="11"/>
  <c r="C79" i="11"/>
  <c r="D78" i="11"/>
  <c r="D77" i="11"/>
  <c r="C76" i="11"/>
  <c r="B75" i="11"/>
  <c r="K73" i="11"/>
  <c r="K68" i="11"/>
  <c r="D68" i="11"/>
  <c r="E67" i="11"/>
  <c r="I66" i="11"/>
  <c r="J65" i="11"/>
  <c r="I64" i="11"/>
  <c r="J63" i="11"/>
  <c r="F62" i="11"/>
  <c r="D61" i="11"/>
  <c r="K59" i="11"/>
  <c r="J54" i="11"/>
  <c r="I53" i="11"/>
  <c r="G3" i="11"/>
  <c r="J4" i="11"/>
  <c r="B6" i="11"/>
  <c r="E7" i="11"/>
  <c r="G8" i="11"/>
  <c r="J9" i="11"/>
  <c r="B11" i="11"/>
  <c r="E12" i="11"/>
  <c r="G17" i="11"/>
  <c r="J18" i="11"/>
  <c r="I22" i="11"/>
  <c r="J23" i="11"/>
  <c r="D25" i="11"/>
  <c r="E26" i="11"/>
  <c r="G31" i="11"/>
  <c r="J32" i="11"/>
  <c r="K33" i="11"/>
  <c r="E35" i="11"/>
  <c r="F36" i="11"/>
  <c r="J37" i="11"/>
  <c r="K38" i="11"/>
  <c r="F40" i="11"/>
  <c r="I45" i="11"/>
  <c r="K46" i="11"/>
  <c r="D48" i="11"/>
  <c r="E49" i="11"/>
  <c r="I50" i="11"/>
  <c r="J51" i="11"/>
  <c r="C54" i="11"/>
  <c r="G60" i="11"/>
  <c r="C62" i="11"/>
  <c r="K63" i="11"/>
  <c r="E96" i="11"/>
  <c r="G101" i="11"/>
  <c r="G102" i="11"/>
  <c r="G103" i="11"/>
  <c r="E104" i="11"/>
  <c r="F105" i="11"/>
  <c r="E106" i="11"/>
  <c r="G107" i="11"/>
  <c r="G108" i="11"/>
  <c r="J109" i="11"/>
  <c r="J110" i="11"/>
  <c r="C116" i="11"/>
  <c r="C3" i="11"/>
  <c r="E52" i="11"/>
  <c r="K50" i="11"/>
  <c r="J49" i="11"/>
  <c r="F48" i="11"/>
  <c r="E47" i="11"/>
  <c r="B46" i="11"/>
  <c r="J40" i="11"/>
  <c r="G39" i="11"/>
  <c r="E38" i="11"/>
  <c r="B37" i="11"/>
  <c r="K35" i="11"/>
  <c r="G34" i="11"/>
  <c r="F33" i="11"/>
  <c r="B32" i="11"/>
  <c r="K26" i="11"/>
  <c r="G25" i="11"/>
  <c r="F24" i="11"/>
  <c r="B23" i="11"/>
  <c r="K21" i="11"/>
  <c r="J20" i="11"/>
  <c r="I19" i="11"/>
  <c r="F18" i="11"/>
  <c r="D17" i="11"/>
  <c r="K11" i="11"/>
  <c r="K10" i="11"/>
  <c r="I9" i="11"/>
  <c r="E8" i="11"/>
  <c r="C7" i="11"/>
  <c r="J5" i="11"/>
  <c r="I4" i="11"/>
  <c r="F3" i="11"/>
  <c r="G52" i="11"/>
  <c r="E51" i="11"/>
  <c r="B50" i="11"/>
  <c r="K48" i="11"/>
  <c r="F47" i="11"/>
  <c r="C46" i="11"/>
  <c r="B45" i="11"/>
  <c r="H39" i="11"/>
  <c r="G38" i="11"/>
  <c r="C37" i="11"/>
  <c r="B36" i="11"/>
  <c r="H34" i="11"/>
  <c r="G33" i="11"/>
  <c r="E116" i="11"/>
  <c r="I103" i="11"/>
  <c r="J102" i="11"/>
  <c r="I101" i="11"/>
  <c r="J96" i="11"/>
  <c r="I95" i="11"/>
  <c r="H94" i="11"/>
  <c r="H93" i="11"/>
  <c r="H92" i="11"/>
  <c r="H91" i="11"/>
  <c r="G90" i="11"/>
  <c r="G89" i="11"/>
  <c r="G88" i="11"/>
  <c r="G87" i="11"/>
  <c r="G82" i="11"/>
  <c r="H81" i="11"/>
  <c r="G80" i="11"/>
  <c r="G79" i="11"/>
  <c r="F78" i="11"/>
  <c r="G77" i="11"/>
  <c r="G76" i="11"/>
  <c r="F75" i="11"/>
  <c r="F74" i="11"/>
  <c r="F73" i="11"/>
  <c r="G68" i="11"/>
  <c r="I67" i="11"/>
  <c r="B67" i="11"/>
  <c r="E66" i="11"/>
  <c r="F65" i="11"/>
  <c r="G64" i="11"/>
  <c r="C63" i="11"/>
  <c r="K61" i="11"/>
  <c r="I60" i="11"/>
  <c r="G59" i="11"/>
  <c r="E54" i="11"/>
  <c r="C53" i="11"/>
  <c r="I51" i="11"/>
  <c r="H50" i="11"/>
  <c r="D49" i="11"/>
  <c r="C48" i="11"/>
  <c r="J46" i="11"/>
  <c r="H45" i="11"/>
  <c r="E40" i="11"/>
  <c r="D39" i="11"/>
  <c r="K37" i="11"/>
  <c r="J36" i="11"/>
  <c r="F35" i="11"/>
  <c r="E34" i="11"/>
  <c r="K32" i="11"/>
  <c r="J31" i="11"/>
  <c r="F26" i="11"/>
  <c r="E25" i="11"/>
  <c r="K23" i="11"/>
  <c r="J22" i="11"/>
  <c r="G21" i="11"/>
  <c r="F20" i="11"/>
  <c r="D19" i="11"/>
  <c r="B18" i="11"/>
  <c r="I12" i="11"/>
  <c r="G11" i="11"/>
  <c r="D10" i="11"/>
  <c r="B9" i="11"/>
  <c r="I7" i="11"/>
  <c r="H6" i="11"/>
  <c r="D5" i="11"/>
  <c r="C4" i="11"/>
  <c r="C32" i="11"/>
  <c r="B31" i="11"/>
  <c r="H25" i="11"/>
  <c r="G24" i="11"/>
  <c r="D23" i="11"/>
  <c r="B22" i="11"/>
  <c r="G20" i="11"/>
  <c r="G19" i="11"/>
  <c r="C18" i="11"/>
  <c r="B17" i="11"/>
  <c r="I11" i="11"/>
  <c r="G10" i="11"/>
  <c r="D9" i="11"/>
  <c r="B8" i="11"/>
  <c r="I6" i="11"/>
  <c r="G5" i="11"/>
  <c r="D4" i="11"/>
  <c r="B3" i="11"/>
  <c r="F116" i="11"/>
  <c r="E115" i="11"/>
  <c r="B110" i="11"/>
  <c r="C109" i="11"/>
  <c r="J107" i="11"/>
  <c r="J106" i="11"/>
  <c r="H105" i="11"/>
  <c r="K104" i="11"/>
  <c r="I94" i="11"/>
  <c r="J93" i="11"/>
  <c r="G92" i="11"/>
  <c r="G91" i="11"/>
  <c r="F90" i="11"/>
  <c r="E89" i="11"/>
  <c r="F82" i="11"/>
  <c r="J80" i="11"/>
  <c r="H79" i="11"/>
  <c r="I78" i="11"/>
  <c r="H77" i="11"/>
  <c r="H76" i="11"/>
  <c r="E75" i="11"/>
  <c r="D74" i="11"/>
  <c r="D73" i="11"/>
  <c r="E68" i="11"/>
  <c r="G67" i="11"/>
  <c r="K66" i="11"/>
  <c r="B66" i="11"/>
  <c r="D65" i="11"/>
  <c r="B64" i="11"/>
  <c r="I62" i="11"/>
  <c r="G61" i="11"/>
  <c r="E60" i="11"/>
  <c r="B59" i="11"/>
  <c r="H53" i="11"/>
  <c r="I115" i="11"/>
  <c r="B115" i="11"/>
  <c r="G110" i="11"/>
  <c r="G109" i="11"/>
  <c r="I49" i="11"/>
  <c r="E48" i="11"/>
  <c r="D47" i="11"/>
  <c r="K45" i="11"/>
  <c r="I40" i="11"/>
  <c r="F39" i="11"/>
  <c r="D38" i="11"/>
  <c r="K36" i="11"/>
  <c r="J35" i="11"/>
  <c r="F34" i="11"/>
  <c r="E33" i="11"/>
  <c r="K31" i="11"/>
  <c r="J26" i="11"/>
  <c r="F25" i="11"/>
  <c r="E24" i="11"/>
  <c r="K22" i="11"/>
  <c r="J21" i="11"/>
  <c r="I20" i="11"/>
  <c r="H19" i="11"/>
  <c r="E18" i="11"/>
  <c r="C17" i="11"/>
  <c r="J11" i="11"/>
  <c r="H10" i="11"/>
  <c r="E9" i="11"/>
  <c r="C8" i="11"/>
  <c r="J6" i="11"/>
  <c r="I5" i="11"/>
  <c r="E4" i="11"/>
  <c r="D3" i="11"/>
  <c r="I79" i="11"/>
  <c r="F115" i="11"/>
  <c r="D110" i="11"/>
  <c r="D109" i="11"/>
  <c r="B108" i="11"/>
  <c r="B107" i="11"/>
  <c r="J105" i="11"/>
  <c r="J104" i="11"/>
  <c r="D103" i="11"/>
  <c r="D102" i="11"/>
  <c r="D101" i="11"/>
  <c r="B96" i="11"/>
  <c r="C95" i="11"/>
  <c r="B94" i="11"/>
  <c r="K92" i="11"/>
  <c r="K91" i="11"/>
  <c r="K90" i="11"/>
  <c r="J89" i="11"/>
  <c r="J88" i="11"/>
  <c r="K87" i="11"/>
  <c r="B87" i="11"/>
  <c r="K81" i="11"/>
  <c r="B81" i="11"/>
  <c r="B80" i="11"/>
  <c r="K78" i="11"/>
  <c r="K77" i="11"/>
  <c r="J76" i="11"/>
  <c r="K75" i="11"/>
  <c r="I74" i="11"/>
  <c r="I73" i="11"/>
  <c r="I68" i="11"/>
  <c r="J67" i="11"/>
  <c r="F66" i="11"/>
  <c r="E65" i="11"/>
  <c r="C64" i="11"/>
  <c r="K62" i="11"/>
  <c r="H61" i="11"/>
  <c r="F60" i="11"/>
  <c r="D59" i="11"/>
  <c r="B54" i="11"/>
  <c r="I52" i="11"/>
  <c r="H51" i="11"/>
  <c r="D50" i="11"/>
  <c r="C49" i="11"/>
  <c r="I47" i="11"/>
  <c r="H46" i="11"/>
  <c r="E45" i="11"/>
  <c r="C40" i="11"/>
  <c r="J38" i="11"/>
  <c r="I37" i="11"/>
  <c r="E36" i="11"/>
  <c r="D35" i="11"/>
  <c r="J33" i="11"/>
  <c r="I32" i="11"/>
  <c r="E31" i="11"/>
  <c r="D26" i="11"/>
  <c r="B25" i="11"/>
  <c r="I23" i="11"/>
  <c r="H22" i="11"/>
  <c r="E21" i="11"/>
  <c r="E20" i="11"/>
  <c r="B19" i="11"/>
  <c r="J17" i="11"/>
  <c r="G12" i="11"/>
  <c r="F11" i="11"/>
  <c r="C10" i="11"/>
  <c r="K8" i="11"/>
  <c r="H7" i="11"/>
  <c r="F6" i="11"/>
  <c r="C5" i="11"/>
  <c r="K3" i="11"/>
  <c r="J115" i="11"/>
  <c r="K110" i="11"/>
  <c r="F110" i="11"/>
  <c r="F109" i="11"/>
  <c r="H108" i="11"/>
  <c r="C108" i="11"/>
  <c r="C107" i="11"/>
  <c r="G106" i="11"/>
  <c r="K105" i="11"/>
  <c r="B105" i="11"/>
  <c r="F104" i="11"/>
  <c r="K103" i="11"/>
  <c r="H103" i="11"/>
  <c r="I102" i="11"/>
  <c r="C102" i="11"/>
  <c r="H101" i="11"/>
  <c r="I96" i="11"/>
  <c r="K95" i="11"/>
  <c r="G95" i="11"/>
  <c r="J94" i="11"/>
  <c r="G94" i="11"/>
  <c r="I93" i="11"/>
  <c r="B93" i="11"/>
  <c r="F92" i="11"/>
  <c r="I91" i="11"/>
  <c r="E91" i="11"/>
  <c r="H90" i="11"/>
  <c r="D90" i="11"/>
  <c r="H89" i="11"/>
  <c r="K88" i="11"/>
  <c r="F88" i="11"/>
  <c r="I87" i="11"/>
  <c r="E87" i="11"/>
  <c r="H82" i="11"/>
  <c r="E82" i="11"/>
  <c r="G81" i="11"/>
  <c r="C81" i="11"/>
  <c r="F80" i="11"/>
  <c r="D147" i="10"/>
  <c r="E148" i="10"/>
  <c r="F149" i="10"/>
  <c r="F150" i="10"/>
  <c r="G151" i="10"/>
  <c r="G152" i="10"/>
  <c r="I153" i="10"/>
  <c r="F154" i="10"/>
  <c r="H159" i="10"/>
  <c r="I160" i="10"/>
  <c r="I161" i="10"/>
  <c r="J162" i="10"/>
  <c r="L163" i="10"/>
  <c r="L164" i="10"/>
  <c r="M165" i="10"/>
  <c r="L166" i="10"/>
  <c r="L171" i="10"/>
  <c r="M172" i="10"/>
  <c r="J173" i="10"/>
  <c r="I174" i="10"/>
  <c r="F175" i="10"/>
  <c r="M175" i="10"/>
  <c r="I176" i="10"/>
  <c r="F147" i="10"/>
  <c r="M178" i="10"/>
  <c r="J178" i="10"/>
  <c r="H178" i="10"/>
  <c r="D178" i="10"/>
  <c r="B178" i="10"/>
  <c r="K177" i="10"/>
  <c r="I177" i="10"/>
  <c r="E177" i="10"/>
  <c r="B177" i="10"/>
  <c r="K176" i="10"/>
  <c r="G176" i="10"/>
  <c r="C176" i="10"/>
  <c r="K175" i="10"/>
  <c r="I175" i="10"/>
  <c r="B175" i="10"/>
  <c r="G174" i="10"/>
  <c r="B174" i="10"/>
  <c r="G173" i="10"/>
  <c r="K172" i="10"/>
  <c r="E172" i="10"/>
  <c r="J171" i="10"/>
  <c r="C171" i="10"/>
  <c r="H166" i="10"/>
  <c r="J165" i="10"/>
  <c r="D165" i="10"/>
  <c r="G164" i="10"/>
  <c r="K163" i="10"/>
  <c r="D163" i="10"/>
  <c r="I162" i="10"/>
  <c r="L161" i="10"/>
  <c r="C161" i="10"/>
  <c r="G160" i="10"/>
  <c r="L159" i="10"/>
  <c r="E159" i="10"/>
  <c r="H154" i="10"/>
  <c r="M153" i="10"/>
  <c r="E153" i="10"/>
  <c r="J152" i="10"/>
  <c r="B152" i="10"/>
  <c r="E151" i="10"/>
  <c r="J150" i="10"/>
  <c r="C150" i="10"/>
  <c r="E149" i="10"/>
  <c r="K148" i="10"/>
  <c r="B148" i="10"/>
  <c r="G147" i="10"/>
  <c r="C148" i="10"/>
  <c r="C149" i="10"/>
  <c r="E150" i="10"/>
  <c r="D151" i="10"/>
  <c r="F152" i="10"/>
  <c r="G153" i="10"/>
  <c r="I154" i="10"/>
  <c r="J159" i="10"/>
  <c r="L160" i="10"/>
  <c r="B162" i="10"/>
  <c r="B163" i="10"/>
  <c r="C164" i="10"/>
  <c r="C165" i="10"/>
  <c r="D166" i="10"/>
  <c r="E171" i="10"/>
  <c r="C172" i="10"/>
  <c r="D173" i="10"/>
  <c r="M173" i="10"/>
  <c r="C175" i="10"/>
  <c r="I147" i="10"/>
  <c r="I148" i="10"/>
  <c r="K149" i="10"/>
  <c r="L150" i="10"/>
  <c r="L151" i="10"/>
  <c r="C153" i="10"/>
  <c r="D154" i="10"/>
  <c r="C159" i="10"/>
  <c r="E160" i="10"/>
  <c r="G161" i="10"/>
  <c r="F162" i="10"/>
  <c r="I163" i="10"/>
  <c r="J164" i="10"/>
  <c r="I165" i="10"/>
  <c r="J166" i="10"/>
  <c r="K171" i="10"/>
  <c r="I172" i="10"/>
  <c r="I173" i="10"/>
  <c r="K174" i="10"/>
  <c r="E175" i="10"/>
  <c r="H174" i="10"/>
  <c r="D174" i="10"/>
  <c r="E173" i="10"/>
  <c r="J172" i="10"/>
  <c r="D172" i="10"/>
  <c r="G171" i="10"/>
  <c r="K166" i="10"/>
  <c r="E166" i="10"/>
  <c r="G165" i="10"/>
  <c r="K164" i="10"/>
  <c r="D164" i="10"/>
  <c r="G163" i="10"/>
  <c r="K162" i="10"/>
  <c r="C162" i="10"/>
  <c r="H161" i="10"/>
  <c r="K160" i="10"/>
  <c r="B160" i="10"/>
  <c r="G159" i="10"/>
  <c r="L154" i="10"/>
  <c r="B154" i="10"/>
  <c r="F153" i="10"/>
  <c r="K152" i="10"/>
  <c r="D152" i="10"/>
  <c r="F151" i="10"/>
  <c r="I150" i="10"/>
  <c r="B150" i="10"/>
  <c r="D149" i="10"/>
  <c r="H148" i="10"/>
  <c r="M147" i="10"/>
  <c r="C147" i="10"/>
  <c r="B153" i="10"/>
  <c r="M151" i="10"/>
  <c r="M150" i="10"/>
  <c r="J149" i="10"/>
  <c r="J148" i="10"/>
  <c r="J147" i="10"/>
  <c r="K178" i="10"/>
  <c r="F178" i="10"/>
  <c r="M177" i="10"/>
  <c r="J177" i="10"/>
  <c r="D177" i="10"/>
  <c r="J176" i="10"/>
  <c r="E176" i="10"/>
  <c r="J175" i="10"/>
  <c r="L178" i="10"/>
  <c r="I178" i="10"/>
  <c r="G178" i="10"/>
  <c r="E178" i="10"/>
  <c r="C178" i="10"/>
  <c r="L177" i="10"/>
  <c r="H177" i="10"/>
  <c r="F177" i="10"/>
  <c r="C177" i="10"/>
  <c r="L176" i="10"/>
  <c r="F176" i="10"/>
  <c r="D176" i="10"/>
  <c r="L175" i="10"/>
  <c r="G175" i="10"/>
  <c r="M174" i="10"/>
  <c r="F174" i="10"/>
  <c r="C174" i="10"/>
  <c r="F173" i="10"/>
  <c r="L172" i="10"/>
  <c r="F172" i="10"/>
  <c r="I171" i="10"/>
  <c r="D171" i="10"/>
  <c r="F166" i="10"/>
  <c r="K165" i="10"/>
  <c r="E165" i="10"/>
  <c r="H164" i="10"/>
  <c r="J163" i="10"/>
  <c r="C163" i="10"/>
  <c r="H162" i="10"/>
  <c r="K161" i="10"/>
  <c r="D161" i="10"/>
  <c r="H160" i="10"/>
  <c r="M159" i="10"/>
  <c r="F159" i="10"/>
  <c r="G154" i="10"/>
  <c r="H153" i="10"/>
  <c r="L152" i="10"/>
  <c r="E152" i="10"/>
  <c r="J151" i="10"/>
  <c r="B151" i="10"/>
  <c r="D150" i="10"/>
  <c r="I149" i="10"/>
  <c r="B149" i="10"/>
  <c r="D148" i="10"/>
  <c r="H147" i="10"/>
  <c r="D175" i="10"/>
  <c r="E174" i="10"/>
  <c r="H173" i="10"/>
  <c r="G172" i="10"/>
  <c r="H171" i="10"/>
  <c r="I166" i="10"/>
  <c r="H165" i="10"/>
  <c r="H172" i="10"/>
  <c r="F171" i="10"/>
  <c r="G166" i="10"/>
  <c r="F165" i="10"/>
  <c r="E164" i="10"/>
  <c r="E163" i="10"/>
  <c r="D162" i="10"/>
  <c r="B161" i="10"/>
  <c r="C160" i="10"/>
  <c r="M154" i="10"/>
  <c r="L153" i="10"/>
  <c r="M152" i="10"/>
  <c r="K151" i="10"/>
  <c r="K150" i="10"/>
  <c r="L149" i="10"/>
  <c r="L148" i="10"/>
  <c r="K147" i="10"/>
  <c r="I164" i="10"/>
  <c r="H163" i="10"/>
  <c r="G162" i="10"/>
  <c r="L165" i="10"/>
  <c r="F164" i="10"/>
  <c r="F163" i="10"/>
  <c r="E162" i="10"/>
  <c r="E161" i="10"/>
  <c r="D160" i="10"/>
  <c r="B159" i="10"/>
  <c r="C154" i="10"/>
  <c r="D153" i="10"/>
  <c r="G177" i="10"/>
  <c r="M176" i="10"/>
  <c r="H176" i="10"/>
  <c r="B176" i="10"/>
  <c r="H175" i="10"/>
  <c r="J174" i="10"/>
  <c r="L173" i="10"/>
  <c r="C173" i="10"/>
  <c r="M171" i="10"/>
  <c r="M166" i="10"/>
  <c r="B166" i="10"/>
  <c r="M164" i="10"/>
  <c r="M163" i="10"/>
  <c r="L162" i="10"/>
  <c r="J161" i="10"/>
  <c r="J160" i="10"/>
  <c r="I159" i="10"/>
  <c r="K154" i="10"/>
  <c r="K153" i="10"/>
  <c r="I152" i="10"/>
  <c r="I151" i="10"/>
  <c r="H150" i="10"/>
  <c r="H149" i="10"/>
  <c r="G148" i="10"/>
  <c r="E147" i="10"/>
  <c r="C152" i="10"/>
  <c r="C151" i="10"/>
  <c r="M149" i="10"/>
  <c r="M148" i="10"/>
  <c r="L147" i="10"/>
  <c r="F161" i="10"/>
  <c r="F160" i="10"/>
  <c r="D159" i="10"/>
  <c r="E154" i="10"/>
  <c r="L174" i="10"/>
  <c r="K173" i="10"/>
  <c r="B173" i="10"/>
  <c r="B172" i="10"/>
  <c r="B171" i="10"/>
  <c r="C166" i="10"/>
  <c r="B165" i="10"/>
  <c r="B164" i="10"/>
  <c r="M162" i="10"/>
  <c r="M161" i="10"/>
  <c r="M160" i="10"/>
  <c r="K159" i="10"/>
  <c r="J154" i="10"/>
  <c r="J153" i="10"/>
  <c r="H152" i="10"/>
  <c r="H151" i="10"/>
  <c r="G150" i="10"/>
  <c r="G149" i="10"/>
  <c r="F148" i="10"/>
  <c r="E152" i="11"/>
  <c r="G151" i="11"/>
  <c r="J150" i="11"/>
  <c r="K149" i="11"/>
  <c r="B149" i="11"/>
  <c r="I148" i="11"/>
  <c r="J147" i="11"/>
  <c r="B147" i="11"/>
  <c r="G146" i="11"/>
  <c r="H145" i="11"/>
  <c r="H144" i="11"/>
  <c r="B144" i="11"/>
  <c r="E143" i="11"/>
  <c r="E138" i="11"/>
  <c r="H137" i="11"/>
  <c r="B137" i="11"/>
  <c r="C136" i="11"/>
  <c r="F185" i="11"/>
  <c r="D180" i="11"/>
  <c r="B179" i="11"/>
  <c r="J177" i="11"/>
  <c r="I176" i="11"/>
  <c r="I175" i="11"/>
  <c r="G174" i="11"/>
  <c r="F135" i="11"/>
  <c r="D172" i="11"/>
  <c r="D171" i="11"/>
  <c r="J165" i="11"/>
  <c r="K164" i="11"/>
  <c r="I163" i="11"/>
  <c r="H162" i="11"/>
  <c r="F161" i="11"/>
  <c r="E160" i="11"/>
  <c r="C159" i="11"/>
  <c r="E158" i="11"/>
  <c r="K152" i="11"/>
  <c r="K151" i="11"/>
  <c r="H150" i="11"/>
  <c r="J149" i="11"/>
  <c r="E148" i="11"/>
  <c r="F147" i="11"/>
  <c r="B146" i="11"/>
  <c r="B145" i="11"/>
  <c r="I143" i="11"/>
  <c r="J138" i="11"/>
  <c r="F137" i="11"/>
  <c r="H136" i="11"/>
  <c r="D135" i="11"/>
  <c r="C134" i="11"/>
  <c r="K132" i="11"/>
  <c r="B132" i="11"/>
  <c r="I130" i="11"/>
  <c r="I129" i="11"/>
  <c r="H124" i="11"/>
  <c r="E123" i="11"/>
  <c r="E122" i="11"/>
  <c r="B121" i="11"/>
  <c r="B120" i="11"/>
  <c r="K118" i="11"/>
  <c r="J117" i="11"/>
  <c r="G116" i="11"/>
  <c r="I134" i="11"/>
  <c r="J133" i="11"/>
  <c r="C133" i="11"/>
  <c r="D132" i="11"/>
  <c r="G131" i="11"/>
  <c r="H130" i="11"/>
  <c r="K129" i="11"/>
  <c r="E129" i="11"/>
  <c r="I124" i="11"/>
  <c r="I123" i="11"/>
  <c r="B123" i="11"/>
  <c r="F122" i="11"/>
  <c r="F121" i="11"/>
  <c r="G120" i="11"/>
  <c r="K119" i="11"/>
  <c r="D119" i="11"/>
  <c r="E118" i="11"/>
  <c r="K117" i="11"/>
  <c r="B117" i="11"/>
  <c r="C185" i="11"/>
  <c r="F180" i="11"/>
  <c r="G179" i="11"/>
  <c r="E178" i="11"/>
  <c r="B177" i="11"/>
  <c r="B176" i="11"/>
  <c r="B175" i="11"/>
  <c r="J173" i="11"/>
  <c r="I172" i="11"/>
  <c r="F171" i="11"/>
  <c r="F166" i="11"/>
  <c r="G165" i="11"/>
  <c r="F164" i="11"/>
  <c r="E163" i="11"/>
  <c r="B162" i="11"/>
  <c r="B161" i="11"/>
  <c r="I159" i="11"/>
  <c r="K158" i="11"/>
  <c r="H157" i="11"/>
  <c r="I152" i="11"/>
  <c r="H151" i="11"/>
  <c r="F150" i="11"/>
  <c r="H149" i="11"/>
  <c r="H148" i="11"/>
  <c r="H147" i="11"/>
  <c r="E146" i="11"/>
  <c r="E145" i="11"/>
  <c r="D144" i="11"/>
  <c r="B143" i="11"/>
  <c r="J137" i="11"/>
  <c r="J136" i="11"/>
  <c r="K135" i="11"/>
  <c r="J134" i="11"/>
  <c r="I133" i="11"/>
  <c r="G132" i="11"/>
  <c r="F131" i="11"/>
  <c r="D130" i="11"/>
  <c r="D129" i="11"/>
  <c r="B124" i="11"/>
  <c r="K122" i="11"/>
  <c r="K121" i="11"/>
  <c r="H120" i="11"/>
  <c r="H119" i="11"/>
  <c r="I118" i="11"/>
  <c r="H117" i="11"/>
  <c r="J185" i="11"/>
  <c r="I180" i="11"/>
  <c r="J179" i="11"/>
  <c r="C179" i="11"/>
  <c r="F178" i="11"/>
  <c r="F177" i="11"/>
  <c r="K176" i="11"/>
  <c r="E176" i="11"/>
  <c r="F175" i="11"/>
  <c r="I174" i="11"/>
  <c r="B174" i="11"/>
  <c r="C173" i="11"/>
  <c r="E172" i="11"/>
  <c r="G171" i="11"/>
  <c r="J166" i="11"/>
  <c r="C166" i="11"/>
  <c r="E165" i="11"/>
  <c r="G164" i="11"/>
  <c r="K163" i="11"/>
  <c r="K162" i="11"/>
  <c r="D162" i="11"/>
  <c r="H161" i="11"/>
  <c r="I160" i="11"/>
  <c r="B160" i="11"/>
  <c r="F159" i="11"/>
  <c r="G158" i="11"/>
  <c r="K157" i="11"/>
  <c r="C157" i="11"/>
  <c r="C152" i="11"/>
  <c r="F151" i="11"/>
  <c r="B151" i="11"/>
  <c r="I185" i="11"/>
  <c r="J180" i="11"/>
  <c r="I179" i="11"/>
  <c r="D179" i="11"/>
  <c r="G178" i="11"/>
  <c r="G177" i="11"/>
  <c r="J176" i="11"/>
  <c r="D176" i="11"/>
  <c r="E175" i="11"/>
  <c r="H174" i="11"/>
  <c r="K173" i="11"/>
  <c r="B173" i="11"/>
  <c r="F172" i="11"/>
  <c r="H171" i="11"/>
  <c r="I166" i="11"/>
  <c r="B166" i="11"/>
  <c r="D165" i="11"/>
  <c r="H164" i="11"/>
  <c r="J163" i="11"/>
  <c r="B163" i="11"/>
  <c r="E162" i="11"/>
  <c r="G161" i="11"/>
  <c r="H160" i="11"/>
  <c r="K159" i="11"/>
  <c r="E159" i="11"/>
  <c r="F158" i="11"/>
  <c r="J157" i="11"/>
  <c r="D157" i="11"/>
  <c r="D152" i="11"/>
  <c r="E151" i="11"/>
  <c r="K150" i="11"/>
  <c r="B150" i="11"/>
  <c r="C149" i="11"/>
  <c r="K148" i="11"/>
  <c r="K147" i="11"/>
  <c r="D147" i="11"/>
  <c r="H146" i="11"/>
  <c r="I145" i="11"/>
  <c r="J144" i="11"/>
  <c r="E144" i="11"/>
  <c r="F143" i="11"/>
  <c r="G138" i="11"/>
  <c r="B138" i="11"/>
  <c r="D137" i="11"/>
  <c r="E136" i="11"/>
  <c r="I135" i="11"/>
  <c r="K134" i="11"/>
  <c r="B134" i="11"/>
  <c r="E133" i="11"/>
  <c r="H132" i="11"/>
  <c r="J131" i="11"/>
  <c r="B131" i="11"/>
  <c r="E130" i="11"/>
  <c r="G129" i="11"/>
  <c r="J124" i="11"/>
  <c r="C124" i="11"/>
  <c r="G123" i="11"/>
  <c r="G122" i="11"/>
  <c r="J121" i="11"/>
  <c r="D121" i="11"/>
  <c r="D120" i="11"/>
  <c r="F119" i="11"/>
  <c r="B119" i="11"/>
  <c r="C118" i="11"/>
  <c r="E117" i="11"/>
  <c r="J116" i="11"/>
  <c r="C150" i="11"/>
  <c r="D149" i="11"/>
  <c r="J148" i="11"/>
  <c r="B148" i="11"/>
  <c r="C147" i="11"/>
  <c r="I146" i="11"/>
  <c r="J145" i="11"/>
  <c r="K144" i="11"/>
  <c r="F144" i="11"/>
  <c r="G143" i="11"/>
  <c r="H138" i="11"/>
  <c r="C138" i="11"/>
  <c r="C137" i="11"/>
  <c r="F136" i="11"/>
  <c r="J135" i="11"/>
  <c r="B135" i="11"/>
  <c r="E134" i="11"/>
  <c r="G133" i="11"/>
  <c r="I132" i="11"/>
  <c r="I131" i="11"/>
  <c r="C131" i="11"/>
  <c r="F130" i="11"/>
  <c r="J129" i="11"/>
  <c r="K124" i="11"/>
  <c r="D124" i="11"/>
  <c r="H123" i="11"/>
  <c r="H122" i="11"/>
  <c r="I121" i="11"/>
  <c r="E121" i="11"/>
  <c r="E120" i="11"/>
  <c r="G119" i="11"/>
  <c r="C119" i="11"/>
  <c r="D118" i="11"/>
  <c r="F117" i="11"/>
  <c r="I116" i="11"/>
  <c r="G185" i="11"/>
  <c r="E180" i="11"/>
  <c r="F179" i="11"/>
  <c r="C178" i="11"/>
  <c r="D177" i="11"/>
  <c r="C176" i="11"/>
  <c r="K174" i="11"/>
  <c r="I173" i="11"/>
  <c r="H172" i="11"/>
  <c r="I171" i="11"/>
  <c r="G166" i="11"/>
  <c r="F165" i="11"/>
  <c r="E164" i="11"/>
  <c r="D163" i="11"/>
  <c r="C162" i="11"/>
  <c r="C161" i="11"/>
  <c r="J159" i="11"/>
  <c r="J158" i="11"/>
  <c r="I157" i="11"/>
  <c r="H152" i="11"/>
  <c r="I151" i="11"/>
  <c r="G150" i="11"/>
  <c r="G149" i="11"/>
  <c r="G148" i="11"/>
  <c r="I147" i="11"/>
  <c r="F146" i="11"/>
  <c r="F145" i="11"/>
  <c r="C144" i="11"/>
  <c r="C143" i="11"/>
  <c r="K137" i="11"/>
  <c r="K136" i="11"/>
  <c r="B136" i="11"/>
  <c r="H134" i="11"/>
  <c r="H133" i="11"/>
  <c r="F132" i="11"/>
  <c r="E131" i="11"/>
  <c r="C130" i="11"/>
  <c r="C129" i="11"/>
  <c r="K123" i="11"/>
  <c r="J122" i="11"/>
  <c r="H121" i="11"/>
  <c r="I120" i="11"/>
  <c r="I119" i="11"/>
  <c r="H118" i="11"/>
  <c r="G117" i="11"/>
  <c r="H185" i="11"/>
  <c r="B180" i="11"/>
  <c r="J178" i="11"/>
  <c r="I177" i="11"/>
  <c r="H176" i="11"/>
  <c r="G175" i="11"/>
  <c r="E174" i="11"/>
  <c r="D173" i="11"/>
  <c r="B172" i="11"/>
  <c r="K166" i="11"/>
  <c r="I165" i="11"/>
  <c r="I164" i="11"/>
  <c r="G163" i="11"/>
  <c r="F162" i="11"/>
  <c r="D161" i="11"/>
  <c r="C160" i="11"/>
  <c r="B159" i="11"/>
  <c r="B158" i="11"/>
  <c r="J152" i="11"/>
  <c r="J151" i="11"/>
  <c r="E150" i="11"/>
  <c r="F149" i="11"/>
  <c r="C148" i="11"/>
  <c r="K146" i="11"/>
  <c r="K145" i="11"/>
  <c r="I144" i="11"/>
  <c r="H143" i="11"/>
  <c r="F138" i="11"/>
  <c r="E137" i="11"/>
  <c r="D136" i="11"/>
  <c r="C135" i="11"/>
  <c r="K133" i="11"/>
  <c r="J132" i="11"/>
  <c r="H131" i="11"/>
  <c r="G130" i="11"/>
  <c r="F129" i="11"/>
  <c r="F124" i="11"/>
  <c r="D123" i="11"/>
  <c r="C122" i="11"/>
  <c r="K120" i="11"/>
  <c r="J119" i="11"/>
  <c r="F118" i="11"/>
  <c r="C117" i="11"/>
  <c r="E185" i="11"/>
  <c r="K179" i="11"/>
  <c r="I178" i="11"/>
  <c r="H177" i="11"/>
  <c r="G176" i="11"/>
  <c r="H175" i="11"/>
  <c r="F174" i="11"/>
  <c r="E173" i="11"/>
  <c r="C172" i="11"/>
  <c r="C171" i="11"/>
  <c r="K165" i="11"/>
  <c r="J164" i="11"/>
  <c r="H163" i="11"/>
  <c r="I162" i="11"/>
  <c r="E161" i="11"/>
  <c r="F160" i="11"/>
  <c r="D159" i="11"/>
  <c r="D158" i="11"/>
  <c r="B157" i="11"/>
  <c r="B152" i="11"/>
  <c r="I150" i="11"/>
  <c r="I149" i="11"/>
  <c r="F148" i="11"/>
  <c r="G147" i="11"/>
  <c r="C146" i="11"/>
  <c r="C145" i="11"/>
  <c r="J143" i="11"/>
  <c r="I138" i="11"/>
  <c r="G137" i="11"/>
  <c r="B185" i="11"/>
  <c r="C180" i="11"/>
  <c r="K178" i="11"/>
  <c r="K177" i="11"/>
  <c r="D175" i="11"/>
  <c r="C174" i="11"/>
  <c r="K172" i="11"/>
  <c r="J171" i="11"/>
  <c r="H166" i="11"/>
  <c r="B164" i="11"/>
  <c r="J162" i="11"/>
  <c r="I161" i="11"/>
  <c r="G160" i="11"/>
  <c r="G157" i="11"/>
  <c r="G152" i="11"/>
  <c r="C151" i="11"/>
  <c r="J146" i="11"/>
  <c r="G145" i="11"/>
  <c r="G144" i="11"/>
  <c r="D143" i="11"/>
  <c r="D138" i="11"/>
  <c r="G135" i="11"/>
  <c r="F134" i="11"/>
  <c r="D133" i="11"/>
  <c r="C132" i="11"/>
  <c r="K130" i="11"/>
  <c r="E124" i="11"/>
  <c r="C123" i="11"/>
  <c r="B122" i="11"/>
  <c r="J120" i="11"/>
  <c r="B118" i="11"/>
  <c r="K116" i="11"/>
  <c r="G136" i="11"/>
  <c r="E135" i="11"/>
  <c r="D134" i="11"/>
  <c r="B133" i="11"/>
  <c r="K131" i="11"/>
  <c r="J130" i="11"/>
  <c r="H129" i="11"/>
  <c r="G124" i="11"/>
  <c r="F123" i="11"/>
  <c r="D122" i="11"/>
  <c r="C121" i="11"/>
  <c r="C120" i="11"/>
  <c r="J118" i="11"/>
  <c r="I117" i="11"/>
  <c r="H116" i="11"/>
  <c r="D185" i="11"/>
  <c r="G180" i="11"/>
  <c r="E179" i="11"/>
  <c r="B178" i="11"/>
  <c r="C177" i="11"/>
  <c r="K175" i="11"/>
  <c r="J174" i="11"/>
  <c r="H173" i="11"/>
  <c r="G172" i="11"/>
  <c r="E171" i="11"/>
  <c r="E166" i="11"/>
  <c r="C165" i="11"/>
  <c r="D164" i="11"/>
  <c r="C163" i="11"/>
  <c r="K161" i="11"/>
  <c r="K160" i="11"/>
  <c r="H159" i="11"/>
  <c r="I158" i="11"/>
  <c r="F157" i="11"/>
  <c r="F152" i="11"/>
  <c r="D151" i="11"/>
  <c r="D150" i="11"/>
  <c r="E149" i="11"/>
  <c r="D148" i="11"/>
  <c r="E147" i="11"/>
  <c r="D146" i="11"/>
  <c r="D145" i="11"/>
  <c r="K143" i="11"/>
  <c r="K138" i="11"/>
  <c r="I137" i="11"/>
  <c r="I136" i="11"/>
  <c r="H135" i="11"/>
  <c r="G134" i="11"/>
  <c r="F133" i="11"/>
  <c r="E132" i="11"/>
  <c r="D131" i="11"/>
  <c r="B130" i="11"/>
  <c r="B129" i="11"/>
  <c r="J123" i="11"/>
  <c r="I122" i="11"/>
  <c r="G121" i="11"/>
  <c r="F120" i="11"/>
  <c r="E119" i="11"/>
  <c r="G118" i="11"/>
  <c r="D117" i="11"/>
  <c r="B186" i="11"/>
  <c r="K185" i="11"/>
  <c r="K180" i="11"/>
  <c r="H180" i="11"/>
  <c r="H179" i="11"/>
  <c r="H178" i="11"/>
  <c r="D178" i="11"/>
  <c r="E177" i="11"/>
  <c r="F176" i="11"/>
  <c r="J175" i="11"/>
  <c r="C175" i="11"/>
  <c r="D174" i="11"/>
  <c r="G173" i="11"/>
  <c r="J172" i="11"/>
  <c r="K171" i="11"/>
  <c r="B171" i="11"/>
  <c r="D166" i="11"/>
  <c r="H165" i="11"/>
  <c r="B165" i="11"/>
  <c r="C164" i="11"/>
  <c r="F163" i="11"/>
  <c r="G162" i="11"/>
  <c r="J161" i="11"/>
  <c r="J160" i="11"/>
  <c r="D160" i="11"/>
  <c r="G159" i="11"/>
  <c r="H158" i="11"/>
  <c r="C158" i="11"/>
  <c r="E157" i="11"/>
  <c r="F173" i="11"/>
  <c r="F192" i="11"/>
  <c r="E193" i="11"/>
  <c r="F193" i="11"/>
  <c r="G193" i="11"/>
  <c r="H193" i="11"/>
  <c r="I193" i="11"/>
  <c r="J193" i="11"/>
  <c r="K193" i="11"/>
  <c r="B194" i="11"/>
  <c r="I189" i="11"/>
  <c r="J189" i="11"/>
  <c r="K189" i="11"/>
  <c r="B190" i="11"/>
  <c r="C190" i="11"/>
  <c r="D190" i="11"/>
  <c r="E190" i="11"/>
  <c r="F190" i="11"/>
  <c r="G190" i="11"/>
  <c r="H190" i="11"/>
  <c r="I190" i="11"/>
  <c r="J190" i="11"/>
  <c r="K190" i="11"/>
  <c r="B191" i="11"/>
  <c r="C191" i="11"/>
  <c r="D191" i="11"/>
  <c r="E191" i="11"/>
  <c r="F191" i="11"/>
  <c r="G191" i="11"/>
  <c r="H191" i="11"/>
  <c r="I191" i="11"/>
  <c r="J191" i="11"/>
  <c r="K191" i="11"/>
  <c r="B192" i="11"/>
  <c r="C192" i="11"/>
  <c r="D192" i="11"/>
  <c r="E192" i="11"/>
  <c r="C194" i="11"/>
  <c r="G192" i="11"/>
  <c r="H192" i="11"/>
  <c r="I192" i="11"/>
  <c r="J192" i="11"/>
  <c r="K192" i="11"/>
  <c r="B193" i="11"/>
  <c r="C193" i="11"/>
  <c r="D193" i="11"/>
  <c r="H189" i="11"/>
  <c r="C186" i="11"/>
  <c r="D186" i="11"/>
  <c r="E186" i="11"/>
  <c r="F186" i="11"/>
  <c r="G186" i="11"/>
  <c r="H186" i="11"/>
  <c r="I186" i="11"/>
  <c r="J186" i="11"/>
  <c r="K186" i="11"/>
  <c r="B187" i="11"/>
  <c r="C187" i="11"/>
  <c r="D187" i="11"/>
  <c r="E187" i="11"/>
  <c r="F187" i="11"/>
  <c r="G187" i="11"/>
  <c r="H187" i="11"/>
  <c r="I187" i="11"/>
  <c r="J187" i="11"/>
  <c r="K187" i="11"/>
  <c r="B188" i="11"/>
  <c r="C188" i="11"/>
  <c r="D188" i="11"/>
  <c r="E188" i="11"/>
  <c r="F188" i="11"/>
  <c r="G188" i="11"/>
  <c r="H188" i="11"/>
  <c r="I188" i="11"/>
  <c r="J188" i="11"/>
  <c r="K188" i="11"/>
  <c r="B189" i="11"/>
  <c r="C189" i="11"/>
  <c r="D189" i="11"/>
  <c r="E189" i="11"/>
  <c r="F189" i="11"/>
  <c r="G189" i="11"/>
  <c r="H145" i="6"/>
  <c r="I145" i="6"/>
  <c r="J145" i="6"/>
  <c r="K145" i="6"/>
  <c r="B146" i="6"/>
  <c r="C146" i="6"/>
  <c r="D146" i="6"/>
  <c r="E146" i="6"/>
  <c r="F146" i="6"/>
  <c r="G146" i="6"/>
  <c r="H146" i="6"/>
  <c r="I146" i="6"/>
  <c r="J146" i="6"/>
  <c r="K146" i="6"/>
  <c r="B147" i="6"/>
  <c r="C147" i="6"/>
  <c r="D147" i="6"/>
  <c r="E147" i="6"/>
  <c r="F147" i="6"/>
  <c r="G147" i="6"/>
  <c r="H147" i="6"/>
  <c r="I147" i="6"/>
  <c r="J147" i="6"/>
  <c r="K147" i="6"/>
  <c r="B148" i="6"/>
  <c r="C148" i="6"/>
  <c r="D148" i="6"/>
  <c r="E148" i="6"/>
  <c r="F148" i="6"/>
  <c r="G148" i="6"/>
  <c r="H148" i="6"/>
  <c r="I148" i="6"/>
  <c r="J148" i="6"/>
  <c r="K148" i="6"/>
  <c r="B149" i="6"/>
  <c r="C149" i="6"/>
  <c r="D149" i="6"/>
  <c r="E149" i="6"/>
  <c r="F149" i="6"/>
  <c r="E121" i="6"/>
  <c r="F121" i="6"/>
  <c r="G121" i="6"/>
  <c r="H121" i="6"/>
  <c r="I121" i="6"/>
  <c r="J121" i="6"/>
  <c r="K121" i="6"/>
  <c r="B122" i="6"/>
  <c r="C122" i="6"/>
  <c r="D122" i="6"/>
  <c r="E122" i="6"/>
  <c r="F122" i="6"/>
  <c r="G122" i="6"/>
  <c r="H122" i="6"/>
  <c r="I122" i="6"/>
  <c r="J122" i="6"/>
  <c r="K122" i="6"/>
  <c r="B123" i="6"/>
  <c r="C123" i="6"/>
  <c r="D123" i="6"/>
  <c r="E123" i="6"/>
  <c r="F123" i="6"/>
  <c r="G123" i="6"/>
  <c r="H123" i="6"/>
  <c r="I123" i="6"/>
  <c r="J123" i="6"/>
  <c r="K123" i="6"/>
  <c r="B124" i="6"/>
  <c r="C124" i="6"/>
  <c r="D124" i="6"/>
  <c r="E124" i="6"/>
  <c r="F124" i="6"/>
  <c r="G124" i="6"/>
  <c r="H124" i="6"/>
  <c r="I124" i="6"/>
  <c r="J124" i="6"/>
  <c r="K124" i="6"/>
  <c r="B129" i="6"/>
  <c r="C129" i="6"/>
  <c r="D129" i="6"/>
  <c r="E129" i="6"/>
  <c r="F129" i="6"/>
  <c r="G129" i="6"/>
  <c r="H129" i="6"/>
  <c r="G149" i="6"/>
  <c r="H149" i="6"/>
  <c r="I149" i="6"/>
  <c r="J149" i="6"/>
  <c r="K149" i="6"/>
  <c r="B150" i="6"/>
  <c r="C150" i="6"/>
  <c r="D150" i="6"/>
  <c r="E150" i="6"/>
  <c r="F150" i="6"/>
  <c r="G150" i="6"/>
  <c r="H150" i="6"/>
  <c r="I150" i="6"/>
  <c r="J150" i="6"/>
  <c r="K150" i="6"/>
  <c r="B151" i="6"/>
  <c r="C151" i="6"/>
  <c r="D151" i="6"/>
  <c r="E151" i="6"/>
  <c r="F151" i="6"/>
  <c r="G151" i="6"/>
  <c r="H151" i="6"/>
  <c r="I151" i="6"/>
  <c r="J151" i="6"/>
  <c r="K151" i="6"/>
  <c r="B152" i="6"/>
  <c r="C152" i="6"/>
  <c r="D152" i="6"/>
  <c r="E152" i="6"/>
  <c r="F152" i="6"/>
  <c r="G152" i="6"/>
  <c r="H152" i="6"/>
  <c r="I152" i="6"/>
  <c r="J152" i="6"/>
  <c r="K152" i="6"/>
  <c r="B157" i="6"/>
  <c r="C157" i="6"/>
  <c r="D157" i="6"/>
  <c r="E157" i="6"/>
  <c r="F157" i="6"/>
  <c r="G157" i="6"/>
  <c r="H157" i="6"/>
  <c r="I157" i="6"/>
  <c r="J157" i="6"/>
  <c r="K157" i="6"/>
  <c r="B158" i="6"/>
  <c r="C158" i="6"/>
  <c r="D158" i="6"/>
  <c r="E158" i="6"/>
  <c r="F158" i="6"/>
  <c r="G158" i="6"/>
  <c r="H158" i="6"/>
  <c r="J164" i="6"/>
  <c r="F133" i="6"/>
  <c r="G133" i="6"/>
  <c r="H133" i="6"/>
  <c r="I133" i="6"/>
  <c r="J133" i="6"/>
  <c r="K133" i="6"/>
  <c r="B134" i="6"/>
  <c r="C134" i="6"/>
  <c r="E133" i="6"/>
  <c r="D134" i="6"/>
  <c r="E134" i="6"/>
  <c r="F134" i="6"/>
  <c r="D143" i="6"/>
  <c r="E143" i="6"/>
  <c r="F143" i="6"/>
  <c r="G143" i="6"/>
  <c r="H143" i="6"/>
  <c r="I143" i="6"/>
  <c r="J143" i="6"/>
  <c r="K143" i="6"/>
  <c r="B144" i="6"/>
  <c r="C144" i="6"/>
  <c r="D144" i="6"/>
  <c r="E144" i="6"/>
  <c r="F144" i="6"/>
  <c r="G144" i="6"/>
  <c r="H144" i="6"/>
  <c r="I144" i="6"/>
  <c r="J144" i="6"/>
  <c r="K144" i="6"/>
  <c r="B145" i="6"/>
  <c r="C145" i="6"/>
  <c r="D145" i="6"/>
  <c r="E145" i="6"/>
  <c r="F145" i="6"/>
  <c r="G145" i="6"/>
  <c r="K164" i="6"/>
  <c r="I129" i="6"/>
  <c r="J129" i="6"/>
  <c r="K129" i="6"/>
  <c r="B130" i="6"/>
  <c r="C130" i="6"/>
  <c r="D130" i="6"/>
  <c r="E130" i="6"/>
  <c r="F130" i="6"/>
  <c r="G130" i="6"/>
  <c r="H130" i="6"/>
  <c r="I130" i="6"/>
  <c r="J130" i="6"/>
  <c r="K130" i="6"/>
  <c r="B131" i="6"/>
  <c r="C131" i="6"/>
  <c r="D131" i="6"/>
  <c r="E131" i="6"/>
  <c r="F131" i="6"/>
  <c r="G131" i="6"/>
  <c r="H131" i="6"/>
  <c r="I131" i="6"/>
  <c r="J131" i="6"/>
  <c r="K131" i="6"/>
  <c r="B132" i="6"/>
  <c r="C132" i="6"/>
  <c r="D132" i="6"/>
  <c r="E132" i="6"/>
  <c r="F132" i="6"/>
  <c r="G132" i="6"/>
  <c r="H132" i="6"/>
  <c r="I132" i="6"/>
  <c r="J132" i="6"/>
  <c r="K132" i="6"/>
  <c r="B133" i="6"/>
  <c r="C133" i="6"/>
  <c r="D133" i="6"/>
  <c r="Z22" i="1"/>
  <c r="Z9" i="1"/>
  <c r="Z19" i="1"/>
  <c r="AE8" i="1"/>
  <c r="AE25" i="1"/>
  <c r="Z24" i="1"/>
  <c r="Z11" i="1"/>
  <c r="Z421" i="1"/>
  <c r="AE419" i="1"/>
  <c r="AE418" i="1"/>
  <c r="AE417" i="1"/>
  <c r="AE416" i="1"/>
  <c r="AE415" i="1"/>
  <c r="Z415" i="1"/>
  <c r="AE414" i="1"/>
  <c r="AE413" i="1"/>
  <c r="AE412" i="1"/>
  <c r="Z412" i="1"/>
  <c r="C4" i="6"/>
  <c r="AE269" i="1"/>
  <c r="Z204" i="1"/>
  <c r="Z13" i="1"/>
  <c r="Z3" i="1"/>
  <c r="D194" i="11"/>
  <c r="E194" i="11"/>
  <c r="F194" i="11"/>
  <c r="C200" i="11"/>
  <c r="I201" i="11"/>
  <c r="H201" i="11"/>
  <c r="G201" i="11"/>
  <c r="F201" i="11"/>
  <c r="E201" i="11"/>
  <c r="D201" i="11"/>
  <c r="C201" i="11"/>
  <c r="B201" i="11"/>
  <c r="I199" i="11"/>
  <c r="J200" i="11"/>
  <c r="I200" i="11"/>
  <c r="H200" i="11"/>
  <c r="G200" i="11"/>
  <c r="F200" i="11"/>
  <c r="E200" i="11"/>
  <c r="D200" i="11"/>
  <c r="K200" i="11"/>
  <c r="B200" i="11"/>
  <c r="K199" i="11"/>
  <c r="J199" i="11"/>
  <c r="H199" i="11"/>
  <c r="G199" i="11"/>
  <c r="F199" i="11"/>
  <c r="E199" i="11"/>
  <c r="D199" i="11"/>
  <c r="C199" i="11"/>
  <c r="B199" i="11"/>
  <c r="K194" i="11"/>
  <c r="J194" i="11"/>
  <c r="I194" i="11"/>
  <c r="H194" i="11"/>
  <c r="G194" i="11"/>
  <c r="B202" i="11"/>
  <c r="K201" i="11"/>
  <c r="J201" i="11"/>
  <c r="C202" i="11"/>
  <c r="I164" i="6"/>
  <c r="H164" i="6"/>
  <c r="G164" i="6"/>
  <c r="F164" i="6"/>
  <c r="E164" i="6"/>
  <c r="D164" i="6"/>
  <c r="C164" i="6"/>
  <c r="B164" i="6"/>
  <c r="K163" i="6"/>
  <c r="J163" i="6"/>
  <c r="I163" i="6"/>
  <c r="H163" i="6"/>
  <c r="G163" i="6"/>
  <c r="F163" i="6"/>
  <c r="E163" i="6"/>
  <c r="D163" i="6"/>
  <c r="C163" i="6"/>
  <c r="B163" i="6"/>
  <c r="K162" i="6"/>
  <c r="J162" i="6"/>
  <c r="I162" i="6"/>
  <c r="H162" i="6"/>
  <c r="G162" i="6"/>
  <c r="F162" i="6"/>
  <c r="E162" i="6"/>
  <c r="D162" i="6"/>
  <c r="C162" i="6"/>
  <c r="B162" i="6"/>
  <c r="K161" i="6"/>
  <c r="J161" i="6"/>
  <c r="I161" i="6"/>
  <c r="H161" i="6"/>
  <c r="G161" i="6"/>
  <c r="F161" i="6"/>
  <c r="E161" i="6"/>
  <c r="D161" i="6"/>
  <c r="C161" i="6"/>
  <c r="B161" i="6"/>
  <c r="K160" i="6"/>
  <c r="J160" i="6"/>
  <c r="I160" i="6"/>
  <c r="H160" i="6"/>
  <c r="G160" i="6"/>
  <c r="F160" i="6"/>
  <c r="E160" i="6"/>
  <c r="D160" i="6"/>
  <c r="C160" i="6"/>
  <c r="B160" i="6"/>
  <c r="K159" i="6"/>
  <c r="J159" i="6"/>
  <c r="I159" i="6"/>
  <c r="H159" i="6"/>
  <c r="G159" i="6"/>
  <c r="F159" i="6"/>
  <c r="E159" i="6"/>
  <c r="D159" i="6"/>
  <c r="C159" i="6"/>
  <c r="B159" i="6"/>
  <c r="K158" i="6"/>
  <c r="J158" i="6"/>
  <c r="I158" i="6"/>
  <c r="F54" i="5"/>
  <c r="E54" i="5"/>
  <c r="D54" i="5"/>
  <c r="C54" i="5"/>
  <c r="B54" i="5"/>
  <c r="M53" i="5"/>
  <c r="L53" i="5"/>
  <c r="K53" i="5"/>
  <c r="J53" i="5"/>
  <c r="I53" i="5"/>
  <c r="H53" i="5"/>
  <c r="G53" i="5"/>
  <c r="F53" i="5"/>
  <c r="E53" i="5"/>
  <c r="D53" i="5"/>
  <c r="C53" i="5"/>
  <c r="B53" i="5"/>
  <c r="M52" i="5"/>
  <c r="L52" i="5"/>
  <c r="K52" i="5"/>
  <c r="J52" i="5"/>
  <c r="I52" i="5"/>
  <c r="H52" i="5"/>
  <c r="G52" i="5"/>
  <c r="F52" i="5"/>
  <c r="E52" i="5"/>
  <c r="D52" i="5"/>
  <c r="C52" i="5"/>
  <c r="B52" i="5"/>
  <c r="M51" i="5"/>
  <c r="L51" i="5"/>
  <c r="K51" i="5"/>
  <c r="J51" i="5"/>
  <c r="I51" i="5"/>
  <c r="H51" i="5"/>
  <c r="G51" i="5"/>
  <c r="F51" i="5"/>
  <c r="E51" i="5"/>
  <c r="D51" i="5"/>
  <c r="C51" i="5"/>
  <c r="B51" i="5"/>
  <c r="M46" i="5"/>
  <c r="L46" i="5"/>
  <c r="K46" i="5"/>
  <c r="J46" i="5"/>
  <c r="I46" i="5"/>
  <c r="H46" i="5"/>
  <c r="G46" i="5"/>
  <c r="F46" i="5"/>
  <c r="E46" i="5"/>
  <c r="D46" i="5"/>
  <c r="C46" i="5"/>
  <c r="B46" i="5"/>
  <c r="M45" i="5"/>
  <c r="L45" i="5"/>
  <c r="K45" i="5"/>
  <c r="J45" i="5"/>
  <c r="I45" i="5"/>
  <c r="H45" i="5"/>
  <c r="G45" i="5"/>
  <c r="F45" i="5"/>
  <c r="E45" i="5"/>
  <c r="D45" i="5"/>
  <c r="C45" i="5"/>
  <c r="B45" i="5"/>
  <c r="M44" i="5"/>
  <c r="L44" i="5"/>
  <c r="K44" i="5"/>
  <c r="J44" i="5"/>
  <c r="I44" i="5"/>
  <c r="H44" i="5"/>
  <c r="G44" i="5"/>
  <c r="F44" i="5"/>
  <c r="E44" i="5"/>
  <c r="D44" i="5"/>
  <c r="C44" i="5"/>
  <c r="B44" i="5"/>
  <c r="M43" i="5"/>
  <c r="L43" i="5"/>
  <c r="K43" i="5"/>
  <c r="J43" i="5"/>
  <c r="I43" i="5"/>
  <c r="H43" i="5"/>
  <c r="G43" i="5"/>
  <c r="F43" i="5"/>
  <c r="E43" i="5"/>
  <c r="D43" i="5"/>
  <c r="C43" i="5"/>
  <c r="B43" i="5"/>
  <c r="M42" i="5"/>
  <c r="L42" i="5"/>
  <c r="K42" i="5"/>
  <c r="J42" i="5"/>
  <c r="I42" i="5"/>
  <c r="H42" i="5"/>
  <c r="G42" i="5"/>
  <c r="F42" i="5"/>
  <c r="E42" i="5"/>
  <c r="D42" i="5"/>
  <c r="C42" i="5"/>
  <c r="B42" i="5"/>
  <c r="M41" i="5"/>
  <c r="L41" i="5"/>
  <c r="K41" i="5"/>
  <c r="J41" i="5"/>
  <c r="I41" i="5"/>
  <c r="H41" i="5"/>
  <c r="G41" i="5"/>
  <c r="F41" i="5"/>
  <c r="E41" i="5"/>
  <c r="D41" i="5"/>
  <c r="C41" i="5"/>
  <c r="B41" i="5"/>
  <c r="M40" i="5"/>
  <c r="L40" i="5"/>
  <c r="K40" i="5"/>
  <c r="J40" i="5"/>
  <c r="I40" i="5"/>
  <c r="H40" i="5"/>
  <c r="G40" i="5"/>
  <c r="F40" i="5"/>
  <c r="E40" i="5"/>
  <c r="D40" i="5"/>
  <c r="C40" i="5"/>
  <c r="B40" i="5"/>
  <c r="M39" i="5"/>
  <c r="L39" i="5"/>
  <c r="K39" i="5"/>
  <c r="J39" i="5"/>
  <c r="I39" i="5"/>
  <c r="H39" i="5"/>
  <c r="G39" i="5"/>
  <c r="F39" i="5"/>
  <c r="E39" i="5"/>
  <c r="D39" i="5"/>
  <c r="C39" i="5"/>
  <c r="B39" i="5"/>
  <c r="M34" i="5"/>
  <c r="L34" i="5"/>
  <c r="K34" i="5"/>
  <c r="J34" i="5"/>
  <c r="I34" i="5"/>
  <c r="H34" i="5"/>
  <c r="G34" i="5"/>
  <c r="F34" i="5"/>
  <c r="E34" i="5"/>
  <c r="D34" i="5"/>
  <c r="C34" i="5"/>
  <c r="B34" i="5"/>
  <c r="M33" i="5"/>
  <c r="L33" i="5"/>
  <c r="K33" i="5"/>
  <c r="J33" i="5"/>
  <c r="I33" i="5"/>
  <c r="H33" i="5"/>
  <c r="G33" i="5"/>
  <c r="F33" i="5"/>
  <c r="E33" i="5"/>
  <c r="D33" i="5"/>
  <c r="C33" i="5"/>
  <c r="B33" i="5"/>
  <c r="M32" i="5"/>
  <c r="L32" i="5"/>
  <c r="K32" i="5"/>
  <c r="J32" i="5"/>
  <c r="I32" i="5"/>
  <c r="H32" i="5"/>
  <c r="G32" i="5"/>
  <c r="F32" i="5"/>
  <c r="E32" i="5"/>
  <c r="D32" i="5"/>
  <c r="C32" i="5"/>
  <c r="B32" i="5"/>
  <c r="M31" i="5"/>
  <c r="L31" i="5"/>
  <c r="K31" i="5"/>
  <c r="J31" i="5"/>
  <c r="I31" i="5"/>
  <c r="H31" i="5"/>
  <c r="G31" i="5"/>
  <c r="F31" i="5"/>
  <c r="E31" i="5"/>
  <c r="D31" i="5"/>
  <c r="C31" i="5"/>
  <c r="B31" i="5"/>
  <c r="M30" i="5"/>
  <c r="L30" i="5"/>
  <c r="K30" i="5"/>
  <c r="J30" i="5"/>
  <c r="I30" i="5"/>
  <c r="H30" i="5"/>
  <c r="G30" i="5"/>
  <c r="F30" i="5"/>
  <c r="E30" i="5"/>
  <c r="D30" i="5"/>
  <c r="C30" i="5"/>
  <c r="B30" i="5"/>
  <c r="M29" i="5"/>
  <c r="L29" i="5"/>
  <c r="K29" i="5"/>
  <c r="J29" i="5"/>
  <c r="I29" i="5"/>
  <c r="H29" i="5"/>
  <c r="G29" i="5"/>
  <c r="F29" i="5"/>
  <c r="E29" i="5"/>
  <c r="D29" i="5"/>
  <c r="C29" i="5"/>
  <c r="B29" i="5"/>
  <c r="M28" i="5"/>
  <c r="L28" i="5"/>
  <c r="K28" i="5"/>
  <c r="J28" i="5"/>
  <c r="I28" i="5"/>
  <c r="H28" i="5"/>
  <c r="G28" i="5"/>
  <c r="F28" i="5"/>
  <c r="E28" i="5"/>
  <c r="D28" i="5"/>
  <c r="C28" i="5"/>
  <c r="B28" i="5"/>
  <c r="M27" i="5"/>
  <c r="L27" i="5"/>
  <c r="K27" i="5"/>
  <c r="J27" i="5"/>
  <c r="I27" i="5"/>
  <c r="H27" i="5"/>
  <c r="G27" i="5"/>
  <c r="F27" i="5"/>
  <c r="E27" i="5"/>
  <c r="D27" i="5"/>
  <c r="C27" i="5"/>
  <c r="B27" i="5"/>
  <c r="M22" i="5"/>
  <c r="L22" i="5"/>
  <c r="K22" i="5"/>
  <c r="J22" i="5"/>
  <c r="I22" i="5"/>
  <c r="H22" i="5"/>
  <c r="G22" i="5"/>
  <c r="F22" i="5"/>
  <c r="E22" i="5"/>
  <c r="D22" i="5"/>
  <c r="C22" i="5"/>
  <c r="B22" i="5"/>
  <c r="M21" i="5"/>
  <c r="L21" i="5"/>
  <c r="K21" i="5"/>
  <c r="J21" i="5"/>
  <c r="I21" i="5"/>
  <c r="H21" i="5"/>
  <c r="G21" i="5"/>
  <c r="F21" i="5"/>
  <c r="E21" i="5"/>
  <c r="D21" i="5"/>
  <c r="C21" i="5"/>
  <c r="B21" i="5"/>
  <c r="M20" i="5"/>
  <c r="L20" i="5"/>
  <c r="K20" i="5"/>
  <c r="J20" i="5"/>
  <c r="I20" i="5"/>
  <c r="H20" i="5"/>
  <c r="G20" i="5"/>
  <c r="F20" i="5"/>
  <c r="E20" i="5"/>
  <c r="D20" i="5"/>
  <c r="C20" i="5"/>
  <c r="B20" i="5"/>
  <c r="M19" i="5"/>
  <c r="L19" i="5"/>
  <c r="K19" i="5"/>
  <c r="J19" i="5"/>
  <c r="I19" i="5"/>
  <c r="H19" i="5"/>
  <c r="G19" i="5"/>
  <c r="F19" i="5"/>
  <c r="E19" i="5"/>
  <c r="D19" i="5"/>
  <c r="C19" i="5"/>
  <c r="B19" i="5"/>
  <c r="M18" i="5"/>
  <c r="L18" i="5"/>
  <c r="K18" i="5"/>
  <c r="J18" i="5"/>
  <c r="I18" i="5"/>
  <c r="H18" i="5"/>
  <c r="G18" i="5"/>
  <c r="F18" i="5"/>
  <c r="E18" i="5"/>
  <c r="D18" i="5"/>
  <c r="C18" i="5"/>
  <c r="B18" i="5"/>
  <c r="M17" i="5"/>
  <c r="L17" i="5"/>
  <c r="K17" i="5"/>
  <c r="J17" i="5"/>
  <c r="I17" i="5"/>
  <c r="H17" i="5"/>
  <c r="G17" i="5"/>
  <c r="F17" i="5"/>
  <c r="E17" i="5"/>
  <c r="D17" i="5"/>
  <c r="C17" i="5"/>
  <c r="B17" i="5"/>
  <c r="M16" i="5"/>
  <c r="L16" i="5"/>
  <c r="K16" i="5"/>
  <c r="J16" i="5"/>
  <c r="I16" i="5"/>
  <c r="H16" i="5"/>
  <c r="G16" i="5"/>
  <c r="F16" i="5"/>
  <c r="E16" i="5"/>
  <c r="D16" i="5"/>
  <c r="C16" i="5"/>
  <c r="B16" i="5"/>
  <c r="M15" i="5"/>
  <c r="L15" i="5"/>
  <c r="K15" i="5"/>
  <c r="J15" i="5"/>
  <c r="I15" i="5"/>
  <c r="H15" i="5"/>
  <c r="G15" i="5"/>
  <c r="F15" i="5"/>
  <c r="E15" i="5"/>
  <c r="D15" i="5"/>
  <c r="C15" i="5"/>
  <c r="B15" i="5"/>
  <c r="M10" i="5"/>
  <c r="L10" i="5"/>
  <c r="K10" i="5"/>
  <c r="J10" i="5"/>
  <c r="I10" i="5"/>
  <c r="H10" i="5"/>
  <c r="G10" i="5"/>
  <c r="F10" i="5"/>
  <c r="E10" i="5"/>
  <c r="D10" i="5"/>
  <c r="C10" i="5"/>
  <c r="B10" i="5"/>
  <c r="M9" i="5"/>
  <c r="L9" i="5"/>
  <c r="K9" i="5"/>
  <c r="J9" i="5"/>
  <c r="I9" i="5"/>
  <c r="H9" i="5"/>
  <c r="G9" i="5"/>
  <c r="F9" i="5"/>
  <c r="E9" i="5"/>
  <c r="D9" i="5"/>
  <c r="C9" i="5"/>
  <c r="B9" i="5"/>
  <c r="M8" i="5"/>
  <c r="L8" i="5"/>
  <c r="K8" i="5"/>
  <c r="J8" i="5"/>
  <c r="I8" i="5"/>
  <c r="H8" i="5"/>
  <c r="G8" i="5"/>
  <c r="F8" i="5"/>
  <c r="E8" i="5"/>
  <c r="D8" i="5"/>
  <c r="C8" i="5"/>
  <c r="B8" i="5"/>
  <c r="M7" i="5"/>
  <c r="L7" i="5"/>
  <c r="K7" i="5"/>
  <c r="J7" i="5"/>
  <c r="I7" i="5"/>
  <c r="H7" i="5"/>
  <c r="G7" i="5"/>
  <c r="F7" i="5"/>
  <c r="AD495" i="2"/>
  <c r="Y495" i="2"/>
  <c r="AD494" i="2"/>
  <c r="Y494" i="2"/>
  <c r="AD493" i="2"/>
  <c r="Y493" i="2"/>
  <c r="AD492" i="2"/>
  <c r="Y492" i="2"/>
  <c r="AD491" i="2"/>
  <c r="Y491" i="2"/>
  <c r="AD490" i="2"/>
  <c r="Y490" i="2"/>
  <c r="AD489" i="2"/>
  <c r="Y489" i="2"/>
  <c r="AD488" i="2"/>
  <c r="Y488" i="2"/>
  <c r="AD487" i="2"/>
  <c r="Y487" i="2"/>
  <c r="AD486" i="2"/>
  <c r="Y486" i="2"/>
  <c r="AD485" i="2"/>
  <c r="Y485" i="2"/>
  <c r="AD484" i="2"/>
  <c r="Y484" i="2"/>
  <c r="AD483" i="2"/>
  <c r="Y483" i="2"/>
  <c r="AD482" i="2"/>
  <c r="Y482" i="2"/>
  <c r="AD481" i="2"/>
  <c r="Y481" i="2"/>
  <c r="AD480" i="2"/>
  <c r="Y480" i="2"/>
  <c r="AD479" i="2"/>
  <c r="Y479" i="2"/>
  <c r="AD478" i="2"/>
  <c r="Y478" i="2"/>
  <c r="AD477" i="2"/>
  <c r="Y477" i="2"/>
  <c r="AD476" i="2"/>
  <c r="Y476" i="2"/>
  <c r="AD475" i="2"/>
  <c r="Y475" i="2"/>
  <c r="AD474" i="2"/>
  <c r="Y474" i="2"/>
  <c r="AD473" i="2"/>
  <c r="Y473" i="2"/>
  <c r="AD472" i="2"/>
  <c r="Y472" i="2"/>
  <c r="AD471" i="2"/>
  <c r="Y471" i="2"/>
  <c r="AD470" i="2"/>
  <c r="Y470" i="2"/>
  <c r="AD469" i="2"/>
  <c r="Y469" i="2"/>
  <c r="AD468" i="2"/>
  <c r="Y468" i="2"/>
  <c r="AD467" i="2"/>
  <c r="Y467" i="2"/>
  <c r="AD466" i="2"/>
  <c r="Y466" i="2"/>
  <c r="AD465" i="2"/>
  <c r="Y465" i="2"/>
  <c r="AD464" i="2"/>
  <c r="Y464" i="2"/>
  <c r="AD463" i="2"/>
  <c r="Y463" i="2"/>
  <c r="AD462" i="2"/>
  <c r="Y462" i="2"/>
  <c r="AD461" i="2"/>
  <c r="Y461" i="2"/>
  <c r="AD460" i="2"/>
  <c r="Y460" i="2"/>
  <c r="AD459" i="2"/>
  <c r="Y459" i="2"/>
  <c r="AD458" i="2"/>
  <c r="Y458" i="2"/>
  <c r="AD457" i="2"/>
  <c r="Y457" i="2"/>
  <c r="AD456" i="2"/>
  <c r="Y456" i="2"/>
  <c r="AD455" i="2"/>
  <c r="Y455" i="2"/>
  <c r="AD454" i="2"/>
  <c r="Y454" i="2"/>
  <c r="AD453" i="2"/>
  <c r="Y453" i="2"/>
  <c r="AD452" i="2"/>
  <c r="Y452" i="2"/>
  <c r="AD451" i="2"/>
  <c r="Y451" i="2"/>
  <c r="AD450" i="2"/>
  <c r="Y450" i="2"/>
  <c r="AD449" i="2"/>
  <c r="Y449" i="2"/>
  <c r="AD448" i="2"/>
  <c r="Y448" i="2"/>
  <c r="AD447" i="2"/>
  <c r="Y447" i="2"/>
  <c r="AD446" i="2"/>
  <c r="Y446" i="2"/>
  <c r="AD445" i="2"/>
  <c r="Y445" i="2"/>
  <c r="AD444" i="2"/>
  <c r="Y444" i="2"/>
  <c r="AD443" i="2"/>
  <c r="Y443" i="2"/>
  <c r="AD442" i="2"/>
  <c r="Y442" i="2"/>
  <c r="AD441" i="2"/>
  <c r="Y441" i="2"/>
  <c r="AD440" i="2"/>
  <c r="Y440" i="2"/>
  <c r="AD439" i="2"/>
  <c r="Y439" i="2"/>
  <c r="AD438" i="2"/>
  <c r="Y438" i="2"/>
  <c r="AD437" i="2"/>
  <c r="Y437" i="2"/>
  <c r="AD436" i="2"/>
  <c r="Y436" i="2"/>
  <c r="AD435" i="2"/>
  <c r="Y435" i="2"/>
  <c r="AD434" i="2"/>
  <c r="Y434" i="2"/>
  <c r="AD433" i="2"/>
  <c r="Y433" i="2"/>
  <c r="AD432" i="2"/>
  <c r="Y432" i="2"/>
  <c r="AD431" i="2"/>
  <c r="AD361" i="2"/>
  <c r="AD357" i="2"/>
  <c r="AD356" i="2"/>
  <c r="Y354" i="2"/>
  <c r="AD353" i="2"/>
  <c r="AD350" i="2"/>
  <c r="AD349" i="2"/>
  <c r="AD346" i="2"/>
  <c r="Y344" i="2"/>
  <c r="AD343" i="2"/>
  <c r="AD342" i="2"/>
  <c r="Y342" i="2"/>
  <c r="AD341" i="2"/>
  <c r="Y341" i="2"/>
  <c r="AD338" i="2"/>
  <c r="Y338" i="2"/>
  <c r="AD337" i="2"/>
  <c r="AD334" i="2"/>
  <c r="AD333" i="2"/>
  <c r="AD332" i="2"/>
  <c r="Y330" i="2"/>
  <c r="AD329" i="2"/>
  <c r="Y329" i="2"/>
  <c r="Y328" i="2"/>
  <c r="Y431" i="2"/>
  <c r="AD430" i="2"/>
  <c r="Y430" i="2"/>
  <c r="AD429" i="2"/>
  <c r="Y429" i="2"/>
  <c r="AD428" i="2"/>
  <c r="Y428" i="2"/>
  <c r="AD427" i="2"/>
  <c r="Y427" i="2"/>
  <c r="AD426" i="2"/>
  <c r="Y426" i="2"/>
  <c r="AD425" i="2"/>
  <c r="Y425" i="2"/>
  <c r="AD424" i="2"/>
  <c r="Y424" i="2"/>
  <c r="AD423" i="2"/>
  <c r="Y423" i="2"/>
  <c r="AD422" i="2"/>
  <c r="Y422" i="2"/>
  <c r="AD421" i="2"/>
  <c r="Y421" i="2"/>
  <c r="AD420" i="2"/>
  <c r="Y420" i="2"/>
  <c r="AD419" i="2"/>
  <c r="Y419" i="2"/>
  <c r="AD418" i="2"/>
  <c r="Y418" i="2"/>
  <c r="AD417" i="2"/>
  <c r="Y417" i="2"/>
  <c r="AD416" i="2"/>
  <c r="Y416" i="2"/>
  <c r="AD415" i="2"/>
  <c r="Y415" i="2"/>
  <c r="AD414" i="2"/>
  <c r="Y414" i="2"/>
  <c r="AD413" i="2"/>
  <c r="Y413" i="2"/>
  <c r="AD412" i="2"/>
  <c r="Y412" i="2"/>
  <c r="AD411" i="2"/>
  <c r="Y411" i="2"/>
  <c r="AD410" i="2"/>
  <c r="Y410" i="2"/>
  <c r="AD409" i="2"/>
  <c r="Y409" i="2"/>
  <c r="AD408" i="2"/>
  <c r="Y408" i="2"/>
  <c r="AD407" i="2"/>
  <c r="Y407" i="2"/>
  <c r="AD406" i="2"/>
  <c r="Y406" i="2"/>
  <c r="AD405" i="2"/>
  <c r="Y405" i="2"/>
  <c r="AD404" i="2"/>
  <c r="Y404" i="2"/>
  <c r="AD403" i="2"/>
  <c r="Y403" i="2"/>
  <c r="AD402" i="2"/>
  <c r="Y402" i="2"/>
  <c r="AD401" i="2"/>
  <c r="Y401" i="2"/>
  <c r="AD400" i="2"/>
  <c r="Y400" i="2"/>
  <c r="AD399" i="2"/>
  <c r="Y399" i="2"/>
  <c r="AD398" i="2"/>
  <c r="Y398" i="2"/>
  <c r="AD397" i="2"/>
  <c r="Y397" i="2"/>
  <c r="AD396" i="2"/>
  <c r="Y396" i="2"/>
  <c r="AD395" i="2"/>
  <c r="Y395" i="2"/>
  <c r="AD394" i="2"/>
  <c r="Y394" i="2"/>
  <c r="AD393" i="2"/>
  <c r="Y393" i="2"/>
  <c r="AD392" i="2"/>
  <c r="Y392" i="2"/>
  <c r="AD391" i="2"/>
  <c r="Y391" i="2"/>
  <c r="AD390" i="2"/>
  <c r="Y390" i="2"/>
  <c r="AD389" i="2"/>
  <c r="Y389" i="2"/>
  <c r="AD388" i="2"/>
  <c r="Y388" i="2"/>
  <c r="AD387" i="2"/>
  <c r="Y387" i="2"/>
  <c r="AD386" i="2"/>
  <c r="Y386" i="2"/>
  <c r="AD385" i="2"/>
  <c r="Y385" i="2"/>
  <c r="AD384" i="2"/>
  <c r="Y384" i="2"/>
  <c r="AD383" i="2"/>
  <c r="Y383" i="2"/>
  <c r="AD382" i="2"/>
  <c r="Y382" i="2"/>
  <c r="AD381" i="2"/>
  <c r="Y381" i="2"/>
  <c r="AD380" i="2"/>
  <c r="Y380" i="2"/>
  <c r="AD379" i="2"/>
  <c r="Y379" i="2"/>
  <c r="AD378" i="2"/>
  <c r="Y378" i="2"/>
  <c r="AD377" i="2"/>
  <c r="Y377" i="2"/>
  <c r="AD376" i="2"/>
  <c r="Y376" i="2"/>
  <c r="AD375" i="2"/>
  <c r="Y375" i="2"/>
  <c r="AD374" i="2"/>
  <c r="Y374" i="2"/>
  <c r="AD373" i="2"/>
  <c r="Y373" i="2"/>
  <c r="AD372" i="2"/>
  <c r="Y372" i="2"/>
  <c r="AD371" i="2"/>
  <c r="Y371" i="2"/>
  <c r="AD370" i="2"/>
  <c r="Y370" i="2"/>
  <c r="AD369" i="2"/>
  <c r="Y369" i="2"/>
  <c r="AD368" i="2"/>
  <c r="Y368" i="2"/>
  <c r="AD367" i="2"/>
  <c r="Y367" i="2"/>
  <c r="AD366" i="2"/>
  <c r="Y366" i="2"/>
  <c r="AD365" i="2"/>
  <c r="Y365" i="2"/>
  <c r="AD364" i="2"/>
  <c r="Y364" i="2"/>
  <c r="AD363" i="2"/>
  <c r="Y363" i="2"/>
  <c r="AD362" i="2"/>
  <c r="Y362" i="2"/>
  <c r="Y361" i="2"/>
  <c r="AD360" i="2"/>
  <c r="Y360" i="2"/>
  <c r="AD359" i="2"/>
  <c r="Y359" i="2"/>
  <c r="AD358" i="2"/>
  <c r="Y358" i="2"/>
  <c r="Y357" i="2"/>
  <c r="Y356" i="2"/>
  <c r="AD355" i="2"/>
  <c r="Y355" i="2"/>
  <c r="AD354" i="2"/>
  <c r="Y353" i="2"/>
  <c r="AD352" i="2"/>
  <c r="Y352" i="2"/>
  <c r="AD351" i="2"/>
  <c r="Y351" i="2"/>
  <c r="Y350" i="2"/>
  <c r="Y349" i="2"/>
  <c r="AD348" i="2"/>
  <c r="Y348" i="2"/>
  <c r="AD347" i="2"/>
  <c r="Y347" i="2"/>
  <c r="Y346" i="2"/>
  <c r="AD345" i="2"/>
  <c r="Y345" i="2"/>
  <c r="AD344" i="2"/>
  <c r="Y343" i="2"/>
  <c r="AD340" i="2"/>
  <c r="Y340" i="2"/>
  <c r="AD339" i="2"/>
  <c r="Y339" i="2"/>
  <c r="Y337" i="2"/>
  <c r="AD336" i="2"/>
  <c r="Y336" i="2"/>
  <c r="AD335" i="2"/>
  <c r="Y335" i="2"/>
  <c r="Y334" i="2"/>
  <c r="Y333" i="2"/>
  <c r="Y332" i="2"/>
  <c r="AD331" i="2"/>
  <c r="Y331" i="2"/>
  <c r="AD330" i="2"/>
  <c r="AD328" i="2"/>
  <c r="AD327" i="2"/>
  <c r="Y327" i="2"/>
  <c r="AD326" i="2"/>
  <c r="Y326" i="2"/>
  <c r="AD325" i="2"/>
  <c r="Y325" i="2"/>
  <c r="AD324" i="2"/>
  <c r="Y324" i="2"/>
  <c r="AD323" i="2"/>
  <c r="Y323" i="2"/>
  <c r="AD322" i="2"/>
  <c r="Y322" i="2"/>
  <c r="AD321" i="2"/>
  <c r="Y321" i="2"/>
  <c r="AD320" i="2"/>
  <c r="Y320" i="2"/>
  <c r="AD319" i="2"/>
  <c r="Y319" i="2"/>
  <c r="AD318" i="2"/>
  <c r="Y318" i="2"/>
  <c r="AD317" i="2"/>
  <c r="Y317" i="2"/>
  <c r="AD316" i="2"/>
  <c r="Y316" i="2"/>
  <c r="AD315" i="2"/>
  <c r="Y315" i="2"/>
  <c r="AD314" i="2"/>
  <c r="Y314" i="2"/>
  <c r="AD313" i="2"/>
  <c r="Y313" i="2"/>
  <c r="AD312" i="2"/>
  <c r="Y312" i="2"/>
  <c r="AD311" i="2"/>
  <c r="Y311" i="2"/>
  <c r="AD310" i="2"/>
  <c r="Y310" i="2"/>
  <c r="AD309" i="2"/>
  <c r="Y309" i="2"/>
  <c r="AD308" i="2"/>
  <c r="Y308" i="2"/>
  <c r="AD307" i="2"/>
  <c r="Y307" i="2"/>
  <c r="AD306" i="2"/>
  <c r="Y306" i="2"/>
  <c r="AD305" i="2"/>
  <c r="Y305" i="2"/>
  <c r="AD304" i="2"/>
  <c r="Y304" i="2"/>
  <c r="AD303" i="2"/>
  <c r="Y303" i="2"/>
  <c r="AD302" i="2"/>
  <c r="Y302" i="2"/>
  <c r="AD301" i="2"/>
  <c r="Y301" i="2"/>
  <c r="AD300" i="2"/>
  <c r="Y300" i="2"/>
  <c r="AD299" i="2"/>
  <c r="Y299" i="2"/>
  <c r="AD298" i="2"/>
  <c r="Y298" i="2"/>
  <c r="AD297" i="2"/>
  <c r="Y297" i="2"/>
  <c r="AD296" i="2"/>
  <c r="Y296" i="2"/>
  <c r="AD295" i="2"/>
  <c r="Y295" i="2"/>
  <c r="AD294" i="2"/>
  <c r="Y294" i="2"/>
  <c r="AD293" i="2"/>
  <c r="Y293" i="2"/>
  <c r="AD292" i="2"/>
  <c r="Y292" i="2"/>
  <c r="AD291" i="2"/>
  <c r="Y291" i="2"/>
  <c r="AD290" i="2"/>
  <c r="Y290" i="2"/>
  <c r="AD289" i="2"/>
  <c r="Y289" i="2"/>
  <c r="AD288" i="2"/>
  <c r="Y288" i="2"/>
  <c r="AD287" i="2"/>
  <c r="Y287" i="2"/>
  <c r="AD286" i="2"/>
  <c r="Y286" i="2"/>
  <c r="AD285" i="2"/>
  <c r="Y285" i="2"/>
  <c r="AD284" i="2"/>
  <c r="Y284" i="2"/>
  <c r="AD283" i="2"/>
  <c r="Y283" i="2"/>
  <c r="AD282" i="2"/>
  <c r="Y282" i="2"/>
  <c r="AD281" i="2"/>
  <c r="Y281" i="2"/>
  <c r="AD280" i="2"/>
  <c r="Y280" i="2"/>
  <c r="AD279" i="2"/>
  <c r="Y279" i="2"/>
  <c r="AD278" i="2"/>
  <c r="Y278" i="2"/>
  <c r="AD277" i="2"/>
  <c r="Y277" i="2"/>
  <c r="AD276" i="2"/>
  <c r="Y276" i="2"/>
  <c r="AD275" i="2"/>
  <c r="Y275" i="2"/>
  <c r="AD274" i="2"/>
  <c r="Y274" i="2"/>
  <c r="AD273" i="2"/>
  <c r="Y273" i="2"/>
  <c r="AD272" i="2"/>
  <c r="Y272" i="2"/>
  <c r="AD271" i="2"/>
  <c r="Y271" i="2"/>
  <c r="AD270" i="2"/>
  <c r="Y270" i="2"/>
  <c r="AD269" i="2"/>
  <c r="Y269" i="2"/>
  <c r="AD268" i="2"/>
  <c r="Y268" i="2"/>
  <c r="AD267" i="2"/>
  <c r="Y267" i="2"/>
  <c r="AD266" i="2"/>
  <c r="Y266" i="2"/>
  <c r="AD265" i="2"/>
  <c r="Y265" i="2"/>
  <c r="AD264" i="2"/>
  <c r="Y264" i="2"/>
  <c r="AD263" i="2"/>
  <c r="Y263" i="2"/>
  <c r="AD262" i="2"/>
  <c r="Y262" i="2"/>
  <c r="AD261" i="2"/>
  <c r="Y261" i="2"/>
  <c r="AD260" i="2"/>
  <c r="Y260" i="2"/>
  <c r="AD259" i="2"/>
  <c r="Y259" i="2"/>
  <c r="AD258" i="2"/>
  <c r="Y258" i="2"/>
  <c r="AD257" i="2"/>
  <c r="Y257" i="2"/>
  <c r="AD256" i="2"/>
  <c r="Y256" i="2"/>
  <c r="AD255" i="2"/>
  <c r="Y255" i="2"/>
  <c r="AD254" i="2"/>
  <c r="Y254" i="2"/>
  <c r="AD253" i="2"/>
  <c r="Y253" i="2"/>
  <c r="AD252" i="2"/>
  <c r="Y252" i="2"/>
  <c r="AD251" i="2"/>
  <c r="Y251" i="2"/>
  <c r="AD250" i="2"/>
  <c r="Y250" i="2"/>
  <c r="AD249" i="2"/>
  <c r="Y249" i="2"/>
  <c r="AD248" i="2"/>
  <c r="Y248" i="2"/>
  <c r="AD247" i="2"/>
  <c r="Y247" i="2"/>
  <c r="AD246" i="2"/>
  <c r="Y246" i="2"/>
  <c r="AD245" i="2"/>
  <c r="Y245" i="2"/>
  <c r="AD244" i="2"/>
  <c r="Y244" i="2"/>
  <c r="AD243" i="2"/>
  <c r="Y243" i="2"/>
  <c r="AD242" i="2"/>
  <c r="Y242" i="2"/>
  <c r="AD241" i="2"/>
  <c r="Y241" i="2"/>
  <c r="AD240" i="2"/>
  <c r="Y240" i="2"/>
  <c r="AD239" i="2"/>
  <c r="Y239" i="2"/>
  <c r="AD238" i="2"/>
  <c r="Y238" i="2"/>
  <c r="AD237" i="2"/>
  <c r="Y237" i="2"/>
  <c r="AD236" i="2"/>
  <c r="Y236" i="2"/>
  <c r="AD235" i="2"/>
  <c r="Y235" i="2"/>
  <c r="AD234" i="2"/>
  <c r="Y234" i="2"/>
  <c r="AD233" i="2"/>
  <c r="Y233" i="2"/>
  <c r="AD232" i="2"/>
  <c r="Y232" i="2"/>
  <c r="AD231" i="2"/>
  <c r="Y231" i="2"/>
  <c r="AD230" i="2"/>
  <c r="Y230" i="2"/>
  <c r="AD229" i="2"/>
  <c r="Y229" i="2"/>
  <c r="AD228" i="2"/>
  <c r="Y228" i="2"/>
  <c r="AD227" i="2"/>
  <c r="Y227" i="2"/>
  <c r="AD226" i="2"/>
  <c r="Y226" i="2"/>
  <c r="AD225" i="2"/>
  <c r="Y225" i="2"/>
  <c r="AD224" i="2"/>
  <c r="Y224" i="2"/>
  <c r="Y132" i="2"/>
  <c r="AD131" i="2"/>
  <c r="AD130" i="2"/>
  <c r="AD129" i="2"/>
  <c r="AD126" i="2"/>
  <c r="AD124" i="2"/>
  <c r="AD123" i="2"/>
  <c r="AD122" i="2"/>
  <c r="AD121" i="2"/>
  <c r="Y121" i="2"/>
  <c r="Z413" i="1"/>
  <c r="AD223" i="2"/>
  <c r="Y223" i="2"/>
  <c r="AD222" i="2"/>
  <c r="Y222" i="2"/>
  <c r="AD221" i="2"/>
  <c r="Y221" i="2"/>
  <c r="AD220" i="2"/>
  <c r="Y220" i="2"/>
  <c r="AD219" i="2"/>
  <c r="Y219" i="2"/>
  <c r="AD218" i="2"/>
  <c r="Y218" i="2"/>
  <c r="AD217" i="2"/>
  <c r="Y217" i="2"/>
  <c r="AD216" i="2"/>
  <c r="Y216" i="2"/>
  <c r="AD215" i="2"/>
  <c r="Y215" i="2"/>
  <c r="AD214" i="2"/>
  <c r="Y214" i="2"/>
  <c r="AD213" i="2"/>
  <c r="Y213" i="2"/>
  <c r="AD212" i="2"/>
  <c r="Y212" i="2"/>
  <c r="AD211" i="2"/>
  <c r="Y211" i="2"/>
  <c r="AD210" i="2"/>
  <c r="Y210" i="2"/>
  <c r="AD209" i="2"/>
  <c r="Y209" i="2"/>
  <c r="AD208" i="2"/>
  <c r="Y208" i="2"/>
  <c r="AD207" i="2"/>
  <c r="Y207" i="2"/>
  <c r="AD206" i="2"/>
  <c r="Y206" i="2"/>
  <c r="AD205" i="2"/>
  <c r="Y205" i="2"/>
  <c r="AD204" i="2"/>
  <c r="Y204" i="2"/>
  <c r="AD203" i="2"/>
  <c r="Y203" i="2"/>
  <c r="AD202" i="2"/>
  <c r="Y202" i="2"/>
  <c r="AD201" i="2"/>
  <c r="Y201" i="2"/>
  <c r="AD200" i="2"/>
  <c r="Y200" i="2"/>
  <c r="AD199" i="2"/>
  <c r="Y199" i="2"/>
  <c r="AD198" i="2"/>
  <c r="Y198" i="2"/>
  <c r="AD197" i="2"/>
  <c r="Y197" i="2"/>
  <c r="AD196" i="2"/>
  <c r="Y196" i="2"/>
  <c r="AD195" i="2"/>
  <c r="Y195" i="2"/>
  <c r="AD194" i="2"/>
  <c r="Y194" i="2"/>
  <c r="AD193" i="2"/>
  <c r="Y193" i="2"/>
  <c r="AD192" i="2"/>
  <c r="Y192" i="2"/>
  <c r="AD191" i="2"/>
  <c r="Y191" i="2"/>
  <c r="AD190" i="2"/>
  <c r="Y190" i="2"/>
  <c r="AD189" i="2"/>
  <c r="Y189" i="2"/>
  <c r="AD188" i="2"/>
  <c r="Y188" i="2"/>
  <c r="AD187" i="2"/>
  <c r="Y187" i="2"/>
  <c r="AD186" i="2"/>
  <c r="Y186" i="2"/>
  <c r="AD185" i="2"/>
  <c r="Y185" i="2"/>
  <c r="AD184" i="2"/>
  <c r="Y184" i="2"/>
  <c r="AD183" i="2"/>
  <c r="Y183" i="2"/>
  <c r="AD182" i="2"/>
  <c r="Y182" i="2"/>
  <c r="AD181" i="2"/>
  <c r="Y181" i="2"/>
  <c r="AD180" i="2"/>
  <c r="Y180" i="2"/>
  <c r="AD179" i="2"/>
  <c r="Y179" i="2"/>
  <c r="AD178" i="2"/>
  <c r="Y178" i="2"/>
  <c r="AD177" i="2"/>
  <c r="Y177" i="2"/>
  <c r="AD176" i="2"/>
  <c r="Y176" i="2"/>
  <c r="AD175" i="2"/>
  <c r="Y175" i="2"/>
  <c r="AD174" i="2"/>
  <c r="Y174" i="2"/>
  <c r="AD173" i="2"/>
  <c r="Y173" i="2"/>
  <c r="AD172" i="2"/>
  <c r="Y172" i="2"/>
  <c r="AD171" i="2"/>
  <c r="Y171" i="2"/>
  <c r="AD170" i="2"/>
  <c r="Y170" i="2"/>
  <c r="AD169" i="2"/>
  <c r="Y169" i="2"/>
  <c r="AD168" i="2"/>
  <c r="Y168" i="2"/>
  <c r="AD167" i="2"/>
  <c r="Y167" i="2"/>
  <c r="AD166" i="2"/>
  <c r="Y166" i="2"/>
  <c r="AD165" i="2"/>
  <c r="Y165" i="2"/>
  <c r="AD164" i="2"/>
  <c r="Y164" i="2"/>
  <c r="AD163" i="2"/>
  <c r="Y163" i="2"/>
  <c r="AD162" i="2"/>
  <c r="Y162" i="2"/>
  <c r="AD161" i="2"/>
  <c r="Y161" i="2"/>
  <c r="AD160" i="2"/>
  <c r="Y160" i="2"/>
  <c r="AD159" i="2"/>
  <c r="Y159" i="2"/>
  <c r="AD158" i="2"/>
  <c r="Y158" i="2"/>
  <c r="AD157" i="2"/>
  <c r="Y157" i="2"/>
  <c r="AD156" i="2"/>
  <c r="Y156" i="2"/>
  <c r="AD155" i="2"/>
  <c r="Y155" i="2"/>
  <c r="AD154" i="2"/>
  <c r="Y154" i="2"/>
  <c r="AD153" i="2"/>
  <c r="Y153" i="2"/>
  <c r="AD152" i="2"/>
  <c r="Y152" i="2"/>
  <c r="AD151" i="2"/>
  <c r="Y151" i="2"/>
  <c r="AD150" i="2"/>
  <c r="Y150" i="2"/>
  <c r="AD149" i="2"/>
  <c r="Y149" i="2"/>
  <c r="AD148" i="2"/>
  <c r="Y148" i="2"/>
  <c r="AD147" i="2"/>
  <c r="Y147" i="2"/>
  <c r="AD146" i="2"/>
  <c r="Y146" i="2"/>
  <c r="AD145" i="2"/>
  <c r="Y145" i="2"/>
  <c r="AD144" i="2"/>
  <c r="Y144" i="2"/>
  <c r="AD143" i="2"/>
  <c r="Y143" i="2"/>
  <c r="AD142" i="2"/>
  <c r="Y142" i="2"/>
  <c r="AD141" i="2"/>
  <c r="Y141" i="2"/>
  <c r="AD140" i="2"/>
  <c r="Y140" i="2"/>
  <c r="AD139" i="2"/>
  <c r="Y139" i="2"/>
  <c r="AD138" i="2"/>
  <c r="Y138" i="2"/>
  <c r="AD137" i="2"/>
  <c r="Y137" i="2"/>
  <c r="AD136" i="2"/>
  <c r="Y136" i="2"/>
  <c r="AD135" i="2"/>
  <c r="Y135" i="2"/>
  <c r="AD134" i="2"/>
  <c r="Y134" i="2"/>
  <c r="AD133" i="2"/>
  <c r="Y133" i="2"/>
  <c r="AD132" i="2"/>
  <c r="Y131" i="2"/>
  <c r="Y130" i="2"/>
  <c r="Y129" i="2"/>
  <c r="AD128" i="2"/>
  <c r="Y128" i="2"/>
  <c r="AD127" i="2"/>
  <c r="Y127" i="2"/>
  <c r="Y126" i="2"/>
  <c r="AD125" i="2"/>
  <c r="Y125" i="2"/>
  <c r="Y124" i="2"/>
  <c r="Y123" i="2"/>
  <c r="Y122" i="2"/>
  <c r="AD120" i="2"/>
  <c r="Y120" i="2"/>
  <c r="Z417" i="1"/>
  <c r="Z414" i="1"/>
  <c r="Z8" i="1"/>
  <c r="AD119" i="2"/>
  <c r="Y119" i="2"/>
  <c r="AD118" i="2"/>
  <c r="Y118" i="2"/>
  <c r="AD117" i="2"/>
  <c r="Y117" i="2"/>
  <c r="AD116" i="2"/>
  <c r="Y116" i="2"/>
  <c r="AD115" i="2"/>
  <c r="Y115" i="2"/>
  <c r="AD114" i="2"/>
  <c r="Y114" i="2"/>
  <c r="AD113" i="2"/>
  <c r="Y113" i="2"/>
  <c r="AD112" i="2"/>
  <c r="Y112" i="2"/>
  <c r="AD111" i="2"/>
  <c r="Y111" i="2"/>
  <c r="AD110" i="2"/>
  <c r="Y110" i="2"/>
  <c r="AD109" i="2"/>
  <c r="Y109" i="2"/>
  <c r="AD108" i="2"/>
  <c r="Y108" i="2"/>
  <c r="AD107" i="2"/>
  <c r="Y107" i="2"/>
  <c r="AD106" i="2"/>
  <c r="Y106" i="2"/>
  <c r="AD105" i="2"/>
  <c r="Y105" i="2"/>
  <c r="AD104" i="2"/>
  <c r="Y104" i="2"/>
  <c r="AD103" i="2"/>
  <c r="Y103" i="2"/>
  <c r="AD102" i="2"/>
  <c r="Y102" i="2"/>
  <c r="AD101" i="2"/>
  <c r="Y101" i="2"/>
  <c r="AD100" i="2"/>
  <c r="Y100" i="2"/>
  <c r="AD99" i="2"/>
  <c r="Y99" i="2"/>
  <c r="AD98" i="2"/>
  <c r="Y98" i="2"/>
  <c r="AD97" i="2"/>
  <c r="Y97" i="2"/>
  <c r="AD96" i="2"/>
  <c r="Y96" i="2"/>
  <c r="AD95" i="2"/>
  <c r="Y95" i="2"/>
  <c r="AD94" i="2"/>
  <c r="Y94" i="2"/>
  <c r="AD93" i="2"/>
  <c r="Y93" i="2"/>
  <c r="AD92" i="2"/>
  <c r="Y92" i="2"/>
  <c r="AD91" i="2"/>
  <c r="Y91" i="2"/>
  <c r="AD90" i="2"/>
  <c r="Y90" i="2"/>
  <c r="AD89" i="2"/>
  <c r="Y89" i="2"/>
  <c r="AD88" i="2"/>
  <c r="Y88" i="2"/>
  <c r="AD87" i="2"/>
  <c r="Y87" i="2"/>
  <c r="AD86" i="2"/>
  <c r="Y86" i="2"/>
  <c r="AD85" i="2"/>
  <c r="Y85" i="2"/>
  <c r="AD84" i="2"/>
  <c r="Y84" i="2"/>
  <c r="AD83" i="2"/>
  <c r="Y83" i="2"/>
  <c r="AD82" i="2"/>
  <c r="Y82" i="2"/>
  <c r="AD81" i="2"/>
  <c r="Y81" i="2"/>
  <c r="AD80" i="2"/>
  <c r="Y80" i="2"/>
  <c r="AD79" i="2"/>
  <c r="Y79" i="2"/>
  <c r="AD78" i="2"/>
  <c r="Y78" i="2"/>
  <c r="AD77" i="2"/>
  <c r="Y77" i="2"/>
  <c r="AD76" i="2"/>
  <c r="Y76" i="2"/>
  <c r="AD75" i="2"/>
  <c r="Y75" i="2"/>
  <c r="AD74" i="2"/>
  <c r="Y74" i="2"/>
  <c r="AD73" i="2"/>
  <c r="Y73" i="2"/>
  <c r="AD72" i="2"/>
  <c r="Y72" i="2"/>
  <c r="AD71" i="2"/>
  <c r="Y71" i="2"/>
  <c r="AD70" i="2"/>
  <c r="Y70" i="2"/>
  <c r="AD69" i="2"/>
  <c r="Y69" i="2"/>
  <c r="AD68" i="2"/>
  <c r="Y68" i="2"/>
  <c r="AD67" i="2"/>
  <c r="Y67" i="2"/>
  <c r="AD66" i="2"/>
  <c r="Y66" i="2"/>
  <c r="AD65" i="2"/>
  <c r="Y65" i="2"/>
  <c r="AD64" i="2"/>
  <c r="Y64" i="2"/>
  <c r="AD63" i="2"/>
  <c r="Y63" i="2"/>
  <c r="AD62" i="2"/>
  <c r="Y62" i="2"/>
  <c r="AD61" i="2"/>
  <c r="Y61" i="2"/>
  <c r="AD60" i="2"/>
  <c r="Y60" i="2"/>
  <c r="AD59" i="2"/>
  <c r="Y59" i="2"/>
  <c r="AD58" i="2"/>
  <c r="Y58" i="2"/>
  <c r="AD57" i="2"/>
  <c r="Y57" i="2"/>
  <c r="AD56" i="2"/>
  <c r="Y56" i="2"/>
  <c r="AD55" i="2"/>
  <c r="Y55" i="2"/>
  <c r="AD54" i="2"/>
  <c r="Y54" i="2"/>
  <c r="AD53" i="2"/>
  <c r="Y53" i="2"/>
  <c r="AD52" i="2"/>
  <c r="Y52" i="2"/>
  <c r="AD51" i="2"/>
  <c r="Y51" i="2"/>
  <c r="AD50" i="2"/>
  <c r="Y50" i="2"/>
  <c r="AD49" i="2"/>
  <c r="Y49" i="2"/>
  <c r="AD48" i="2"/>
  <c r="Y48" i="2"/>
  <c r="AD47" i="2"/>
  <c r="Y47" i="2"/>
  <c r="AD46" i="2"/>
  <c r="Y46" i="2"/>
  <c r="AD45" i="2"/>
  <c r="Y45" i="2"/>
  <c r="AD44" i="2"/>
  <c r="Y44" i="2"/>
  <c r="AD43" i="2"/>
  <c r="Y43" i="2"/>
  <c r="AD42" i="2"/>
  <c r="Y42" i="2"/>
  <c r="AD41" i="2"/>
  <c r="Y41" i="2"/>
  <c r="AD40" i="2"/>
  <c r="Y40" i="2"/>
  <c r="AD39" i="2"/>
  <c r="Y39" i="2"/>
  <c r="AD38" i="2"/>
  <c r="Y38" i="2"/>
  <c r="AD37" i="2"/>
  <c r="Y37" i="2"/>
  <c r="AD36" i="2"/>
  <c r="Y36" i="2"/>
  <c r="AD35" i="2"/>
  <c r="Y35" i="2"/>
  <c r="AD34" i="2"/>
  <c r="Y34" i="2"/>
  <c r="AD33" i="2"/>
  <c r="Y33" i="2"/>
  <c r="AD32" i="2"/>
  <c r="Y32" i="2"/>
  <c r="AD31" i="2"/>
  <c r="Y31" i="2"/>
  <c r="AD30" i="2"/>
  <c r="Y30" i="2"/>
  <c r="AD29" i="2"/>
  <c r="Y29" i="2"/>
  <c r="AD28" i="2"/>
  <c r="Y28" i="2"/>
  <c r="AD27" i="2"/>
  <c r="Y27" i="2"/>
  <c r="AD26" i="2"/>
  <c r="Y26" i="2"/>
  <c r="AD25" i="2"/>
  <c r="Y25" i="2"/>
  <c r="AD24" i="2"/>
  <c r="Y24" i="2"/>
  <c r="AD23" i="2"/>
  <c r="Y23" i="2"/>
  <c r="AD22" i="2"/>
  <c r="Y22" i="2"/>
  <c r="AD21" i="2"/>
  <c r="Y21" i="2"/>
  <c r="AD20" i="2"/>
  <c r="Y20" i="2"/>
  <c r="AD19" i="2"/>
  <c r="Y19" i="2"/>
  <c r="AD18" i="2"/>
  <c r="Y18" i="2"/>
  <c r="AD17" i="2"/>
  <c r="Y17" i="2"/>
  <c r="AD16" i="2"/>
  <c r="Z433" i="1"/>
  <c r="AE432" i="1"/>
  <c r="AE429" i="1"/>
  <c r="Z429" i="1"/>
  <c r="AE426" i="1"/>
  <c r="Z426" i="1"/>
  <c r="AE421" i="1"/>
  <c r="AE420" i="1"/>
  <c r="Z420" i="1"/>
  <c r="AE14" i="1"/>
  <c r="Y16" i="2"/>
  <c r="AD15" i="2"/>
  <c r="Y15" i="2"/>
  <c r="AD14" i="2"/>
  <c r="Y14" i="2"/>
  <c r="AD13" i="2"/>
  <c r="Y13" i="2"/>
  <c r="AD12" i="2"/>
  <c r="Y12" i="2"/>
  <c r="AD11" i="2"/>
  <c r="Y11" i="2"/>
  <c r="AD10" i="2"/>
  <c r="Y10" i="2"/>
  <c r="AD9" i="2"/>
  <c r="Y9" i="2"/>
  <c r="AD8" i="2"/>
  <c r="Y8" i="2"/>
  <c r="AD7" i="2"/>
  <c r="Y7" i="2"/>
  <c r="AD6" i="2"/>
  <c r="Y6" i="2"/>
  <c r="AD5" i="2"/>
  <c r="Y5" i="2"/>
  <c r="AD4" i="2"/>
  <c r="Y4" i="2"/>
  <c r="AD3" i="2"/>
  <c r="Y3" i="2"/>
  <c r="AD2" i="2"/>
  <c r="Y2" i="2"/>
  <c r="B4" i="11"/>
  <c r="K208" i="11"/>
  <c r="AE495" i="1"/>
  <c r="Z495" i="1"/>
  <c r="AE494" i="1"/>
  <c r="Z494" i="1"/>
  <c r="AE493" i="1"/>
  <c r="Z493" i="1"/>
  <c r="AE492" i="1"/>
  <c r="Z492" i="1"/>
  <c r="AE491" i="1"/>
  <c r="Z491" i="1"/>
  <c r="AE490" i="1"/>
  <c r="Z490" i="1"/>
  <c r="AE489" i="1"/>
  <c r="Z489" i="1"/>
  <c r="AE488" i="1"/>
  <c r="Z488" i="1"/>
  <c r="AE487" i="1"/>
  <c r="Z487" i="1"/>
  <c r="AE486" i="1"/>
  <c r="Z486" i="1"/>
  <c r="AE485" i="1"/>
  <c r="Z485" i="1"/>
  <c r="AE484" i="1"/>
  <c r="Z484" i="1"/>
  <c r="AE483" i="1"/>
  <c r="Z483" i="1"/>
  <c r="AE482" i="1"/>
  <c r="Z482" i="1"/>
  <c r="AE481" i="1"/>
  <c r="Z481" i="1"/>
  <c r="AE480" i="1"/>
  <c r="Z480" i="1"/>
  <c r="AE479" i="1"/>
  <c r="Z479" i="1"/>
  <c r="AE478" i="1"/>
  <c r="Z478" i="1"/>
  <c r="AE477" i="1"/>
  <c r="Z477" i="1"/>
  <c r="AE476" i="1"/>
  <c r="Z476" i="1"/>
  <c r="AE475" i="1"/>
  <c r="Z475" i="1"/>
  <c r="AE474" i="1"/>
  <c r="Z474" i="1"/>
  <c r="AE473" i="1"/>
  <c r="Z473" i="1"/>
  <c r="AE472" i="1"/>
  <c r="Z472" i="1"/>
  <c r="AE471" i="1"/>
  <c r="Z471" i="1"/>
  <c r="AE470" i="1"/>
  <c r="Z470" i="1"/>
  <c r="AE469" i="1"/>
  <c r="Z469" i="1"/>
  <c r="AE468" i="1"/>
  <c r="Z468" i="1"/>
  <c r="AE467" i="1"/>
  <c r="Z467" i="1"/>
  <c r="AE466" i="1"/>
  <c r="Z466" i="1"/>
  <c r="AE465" i="1"/>
  <c r="Z465" i="1"/>
  <c r="AE464" i="1"/>
  <c r="Z464" i="1"/>
  <c r="AE463" i="1"/>
  <c r="Z463" i="1"/>
  <c r="AE462" i="1"/>
  <c r="Z462" i="1"/>
  <c r="AE461" i="1"/>
  <c r="Z461" i="1"/>
  <c r="AE460" i="1"/>
  <c r="Z460" i="1"/>
  <c r="AE459" i="1"/>
  <c r="Z459" i="1"/>
  <c r="AE458" i="1"/>
  <c r="Z458" i="1"/>
  <c r="AE457" i="1"/>
  <c r="Z457" i="1"/>
  <c r="AE456" i="1"/>
  <c r="Z456" i="1"/>
  <c r="AE455" i="1"/>
  <c r="Z455" i="1"/>
  <c r="AE454" i="1"/>
  <c r="Z454" i="1"/>
  <c r="AE453" i="1"/>
  <c r="Z453" i="1"/>
  <c r="AE452" i="1"/>
  <c r="Z452" i="1"/>
  <c r="AE451" i="1"/>
  <c r="Z451" i="1"/>
  <c r="AE450" i="1"/>
  <c r="Z450" i="1"/>
  <c r="AE449" i="1"/>
  <c r="Z449" i="1"/>
  <c r="AE448" i="1"/>
  <c r="Z448" i="1"/>
  <c r="AE447" i="1"/>
  <c r="Z447" i="1"/>
  <c r="AE446" i="1"/>
  <c r="Z446" i="1"/>
  <c r="AE445" i="1"/>
  <c r="Z445" i="1"/>
  <c r="AE444" i="1"/>
  <c r="Z444" i="1"/>
  <c r="AE443" i="1"/>
  <c r="Z443" i="1"/>
  <c r="AE442" i="1"/>
  <c r="Z442" i="1"/>
  <c r="AE441" i="1"/>
  <c r="Z441" i="1"/>
  <c r="AE440" i="1"/>
  <c r="Z440" i="1"/>
  <c r="AE439" i="1"/>
  <c r="Z439" i="1"/>
  <c r="AE438" i="1"/>
  <c r="Z438" i="1"/>
  <c r="AE437" i="1"/>
  <c r="Z437" i="1"/>
  <c r="AE436" i="1"/>
  <c r="Z436" i="1"/>
  <c r="AE435" i="1"/>
  <c r="Z435" i="1"/>
  <c r="AE434" i="1"/>
  <c r="Z434" i="1"/>
  <c r="AE433" i="1"/>
  <c r="Z432" i="1"/>
  <c r="AE431" i="1"/>
  <c r="Z431" i="1"/>
  <c r="AE430" i="1"/>
  <c r="Z430" i="1"/>
  <c r="AE428" i="1"/>
  <c r="Z428" i="1"/>
  <c r="AE427" i="1"/>
  <c r="Z427" i="1"/>
  <c r="AE425" i="1"/>
  <c r="Z425" i="1"/>
  <c r="AE424" i="1"/>
  <c r="Z424" i="1"/>
  <c r="AE423" i="1"/>
  <c r="Z423" i="1"/>
  <c r="AE422" i="1"/>
  <c r="Z422" i="1"/>
  <c r="Z419" i="1"/>
  <c r="Z418" i="1"/>
  <c r="Z416" i="1"/>
  <c r="Z12" i="1"/>
  <c r="AE411" i="1"/>
  <c r="Z411" i="1"/>
  <c r="AE410" i="1"/>
  <c r="Z410" i="1"/>
  <c r="AE409" i="1"/>
  <c r="Z409" i="1"/>
  <c r="AE408" i="1"/>
  <c r="Z408" i="1"/>
  <c r="AE407" i="1"/>
  <c r="Z407" i="1"/>
  <c r="AE406" i="1"/>
  <c r="Z406" i="1"/>
  <c r="AE405" i="1"/>
  <c r="Z405" i="1"/>
  <c r="AE404" i="1"/>
  <c r="Z404" i="1"/>
  <c r="AE403" i="1"/>
  <c r="Z403" i="1"/>
  <c r="AE402" i="1"/>
  <c r="Z402" i="1"/>
  <c r="AE401" i="1"/>
  <c r="Z401" i="1"/>
  <c r="AE400" i="1"/>
  <c r="Z400" i="1"/>
  <c r="AE399" i="1"/>
  <c r="Z399" i="1"/>
  <c r="AE398" i="1"/>
  <c r="Z398" i="1"/>
  <c r="AE397" i="1"/>
  <c r="Z397" i="1"/>
  <c r="AE396" i="1"/>
  <c r="Z396" i="1"/>
  <c r="AE395" i="1"/>
  <c r="Z395" i="1"/>
  <c r="AE394" i="1"/>
  <c r="Z394" i="1"/>
  <c r="AE393" i="1"/>
  <c r="Z393" i="1"/>
  <c r="AE392" i="1"/>
  <c r="Z392" i="1"/>
  <c r="AE391" i="1"/>
  <c r="Z391" i="1"/>
  <c r="AE390" i="1"/>
  <c r="Z390" i="1"/>
  <c r="AE389" i="1"/>
  <c r="Z389" i="1"/>
  <c r="AE388" i="1"/>
  <c r="Z388" i="1"/>
  <c r="AE387" i="1"/>
  <c r="Z387" i="1"/>
  <c r="AE386" i="1"/>
  <c r="Z386" i="1"/>
  <c r="AE385" i="1"/>
  <c r="Z385" i="1"/>
  <c r="AE384" i="1"/>
  <c r="Z384" i="1"/>
  <c r="AE383" i="1"/>
  <c r="Z383" i="1"/>
  <c r="AE382" i="1"/>
  <c r="Z382" i="1"/>
  <c r="AE381" i="1"/>
  <c r="Z381" i="1"/>
  <c r="AE380" i="1"/>
  <c r="Z380" i="1"/>
  <c r="AE379" i="1"/>
  <c r="Z379" i="1"/>
  <c r="AE378" i="1"/>
  <c r="Z378" i="1"/>
  <c r="AE377" i="1"/>
  <c r="Z377" i="1"/>
  <c r="AE376" i="1"/>
  <c r="Z376" i="1"/>
  <c r="AE375" i="1"/>
  <c r="Z375" i="1"/>
  <c r="AE374" i="1"/>
  <c r="Z374" i="1"/>
  <c r="AE373" i="1"/>
  <c r="Z373" i="1"/>
  <c r="AE372" i="1"/>
  <c r="Z372" i="1"/>
  <c r="AE371" i="1"/>
  <c r="Z371" i="1"/>
  <c r="AE370" i="1"/>
  <c r="Z370" i="1"/>
  <c r="AE369" i="1"/>
  <c r="Z369" i="1"/>
  <c r="AE368" i="1"/>
  <c r="Z368" i="1"/>
  <c r="AE367" i="1"/>
  <c r="Z367" i="1"/>
  <c r="AE366" i="1"/>
  <c r="Z366" i="1"/>
  <c r="AE365" i="1"/>
  <c r="Z365" i="1"/>
  <c r="AE364" i="1"/>
  <c r="Z364" i="1"/>
  <c r="AE363" i="1"/>
  <c r="Z363" i="1"/>
  <c r="AE362" i="1"/>
  <c r="Z362" i="1"/>
  <c r="AE361" i="1"/>
  <c r="Z361" i="1"/>
  <c r="AE360" i="1"/>
  <c r="Z360" i="1"/>
  <c r="AE359" i="1"/>
  <c r="Z359" i="1"/>
  <c r="AE358" i="1"/>
  <c r="Z358" i="1"/>
  <c r="AE357" i="1"/>
  <c r="Z357" i="1"/>
  <c r="AE356" i="1"/>
  <c r="Z356" i="1"/>
  <c r="AE355" i="1"/>
  <c r="Z355" i="1"/>
  <c r="AE354" i="1"/>
  <c r="Z354" i="1"/>
  <c r="AE353" i="1"/>
  <c r="Z353" i="1"/>
  <c r="AE352" i="1"/>
  <c r="Z352" i="1"/>
  <c r="AE351" i="1"/>
  <c r="Z351" i="1"/>
  <c r="AE350" i="1"/>
  <c r="Z350" i="1"/>
  <c r="AE349" i="1"/>
  <c r="Z349" i="1"/>
  <c r="AE348" i="1"/>
  <c r="Z348" i="1"/>
  <c r="AE347" i="1"/>
  <c r="Z347" i="1"/>
  <c r="AE346" i="1"/>
  <c r="Z346" i="1"/>
  <c r="AE345" i="1"/>
  <c r="Z345" i="1"/>
  <c r="AE344" i="1"/>
  <c r="Z344" i="1"/>
  <c r="AE343" i="1"/>
  <c r="Z343" i="1"/>
  <c r="AE342" i="1"/>
  <c r="Z342" i="1"/>
  <c r="AE341" i="1"/>
  <c r="Z341" i="1"/>
  <c r="AE340" i="1"/>
  <c r="Z340" i="1"/>
  <c r="AE339" i="1"/>
  <c r="Z339" i="1"/>
  <c r="AE338" i="1"/>
  <c r="Z338" i="1"/>
  <c r="AE337" i="1"/>
  <c r="Z337" i="1"/>
  <c r="AE336" i="1"/>
  <c r="Z336" i="1"/>
  <c r="AE335" i="1"/>
  <c r="Z335" i="1"/>
  <c r="AE334" i="1"/>
  <c r="Z334" i="1"/>
  <c r="AE333" i="1"/>
  <c r="Z333" i="1"/>
  <c r="AE332" i="1"/>
  <c r="Z332" i="1"/>
  <c r="AE331" i="1"/>
  <c r="Z331" i="1"/>
  <c r="AE330" i="1"/>
  <c r="Z330" i="1"/>
  <c r="AE329" i="1"/>
  <c r="Z329" i="1"/>
  <c r="AE328" i="1"/>
  <c r="Z328" i="1"/>
  <c r="AE327" i="1"/>
  <c r="Z327" i="1"/>
  <c r="AE326" i="1"/>
  <c r="Z326" i="1"/>
  <c r="AE325" i="1"/>
  <c r="Z325" i="1"/>
  <c r="AE324" i="1"/>
  <c r="Z324" i="1"/>
  <c r="AE323" i="1"/>
  <c r="Z323" i="1"/>
  <c r="AE322" i="1"/>
  <c r="Z322" i="1"/>
  <c r="AE321" i="1"/>
  <c r="Z321" i="1"/>
  <c r="AE320" i="1"/>
  <c r="Z320" i="1"/>
  <c r="AE319" i="1"/>
  <c r="Z319" i="1"/>
  <c r="AE318" i="1"/>
  <c r="Z318" i="1"/>
  <c r="AE317" i="1"/>
  <c r="Z317" i="1"/>
  <c r="AE316" i="1"/>
  <c r="Z316" i="1"/>
  <c r="AE315" i="1"/>
  <c r="Z315" i="1"/>
  <c r="AE314" i="1"/>
  <c r="Z314" i="1"/>
  <c r="AE313" i="1"/>
  <c r="Z313" i="1"/>
  <c r="AE312" i="1"/>
  <c r="Z312" i="1"/>
  <c r="AE311" i="1"/>
  <c r="Z311" i="1"/>
  <c r="AE310" i="1"/>
  <c r="Z310" i="1"/>
  <c r="AE309" i="1"/>
  <c r="Z309" i="1"/>
  <c r="AE308" i="1"/>
  <c r="Z308" i="1"/>
  <c r="Z210" i="1"/>
  <c r="AE208" i="1"/>
  <c r="AE206" i="1"/>
  <c r="AE204" i="1"/>
  <c r="Z30" i="1"/>
  <c r="Z29" i="1"/>
  <c r="AE26" i="1"/>
  <c r="Z25" i="1"/>
  <c r="Z23" i="1"/>
  <c r="AE21" i="1"/>
  <c r="Z21" i="1"/>
  <c r="AE20" i="1"/>
  <c r="AE18" i="1"/>
  <c r="AE16" i="1"/>
  <c r="AE11" i="1"/>
  <c r="Z4" i="1"/>
  <c r="AE307" i="1"/>
  <c r="Z307" i="1"/>
  <c r="AE306" i="1"/>
  <c r="Z306" i="1"/>
  <c r="AE305" i="1"/>
  <c r="Z305" i="1"/>
  <c r="AE304" i="1"/>
  <c r="Z304" i="1"/>
  <c r="AE303" i="1"/>
  <c r="Z303" i="1"/>
  <c r="AE302" i="1"/>
  <c r="Z302" i="1"/>
  <c r="AE301" i="1"/>
  <c r="Z301" i="1"/>
  <c r="AE300" i="1"/>
  <c r="Z300" i="1"/>
  <c r="AE299" i="1"/>
  <c r="Z299" i="1"/>
  <c r="AE298" i="1"/>
  <c r="Z298" i="1"/>
  <c r="AE297" i="1"/>
  <c r="Z297" i="1"/>
  <c r="AE296" i="1"/>
  <c r="Z296" i="1"/>
  <c r="AE295" i="1"/>
  <c r="Z295" i="1"/>
  <c r="AE294" i="1"/>
  <c r="Z294" i="1"/>
  <c r="AE293" i="1"/>
  <c r="Z293" i="1"/>
  <c r="AE292" i="1"/>
  <c r="Z292" i="1"/>
  <c r="AE291" i="1"/>
  <c r="Z291" i="1"/>
  <c r="AE290" i="1"/>
  <c r="Z290" i="1"/>
  <c r="AE289" i="1"/>
  <c r="Z289" i="1"/>
  <c r="AE288" i="1"/>
  <c r="Z288" i="1"/>
  <c r="AE287" i="1"/>
  <c r="Z287" i="1"/>
  <c r="AE286" i="1"/>
  <c r="Z286" i="1"/>
  <c r="AE285" i="1"/>
  <c r="Z285" i="1"/>
  <c r="AE284" i="1"/>
  <c r="Z284" i="1"/>
  <c r="AE283" i="1"/>
  <c r="Z283" i="1"/>
  <c r="AE282" i="1"/>
  <c r="Z282" i="1"/>
  <c r="AE281" i="1"/>
  <c r="Z281" i="1"/>
  <c r="AE280" i="1"/>
  <c r="Z280" i="1"/>
  <c r="AE279" i="1"/>
  <c r="Z279" i="1"/>
  <c r="AE278" i="1"/>
  <c r="Z278" i="1"/>
  <c r="AE277" i="1"/>
  <c r="Z277" i="1"/>
  <c r="AE276" i="1"/>
  <c r="Z276" i="1"/>
  <c r="AE275" i="1"/>
  <c r="Z275" i="1"/>
  <c r="AE274" i="1"/>
  <c r="Z274" i="1"/>
  <c r="AE273" i="1"/>
  <c r="Z273" i="1"/>
  <c r="AE272" i="1"/>
  <c r="Z272" i="1"/>
  <c r="AE271" i="1"/>
  <c r="Z271" i="1"/>
  <c r="AE270" i="1"/>
  <c r="Z270" i="1"/>
  <c r="Z269" i="1"/>
  <c r="AE268" i="1"/>
  <c r="Z268" i="1"/>
  <c r="AE267" i="1"/>
  <c r="Z267" i="1"/>
  <c r="AE266" i="1"/>
  <c r="Z266" i="1"/>
  <c r="AE265" i="1"/>
  <c r="Z265" i="1"/>
  <c r="AE264" i="1"/>
  <c r="Z264" i="1"/>
  <c r="AE263" i="1"/>
  <c r="Z263" i="1"/>
  <c r="AE262" i="1"/>
  <c r="Z262" i="1"/>
  <c r="AE261" i="1"/>
  <c r="Z261" i="1"/>
  <c r="AE260" i="1"/>
  <c r="Z260" i="1"/>
  <c r="AE259" i="1"/>
  <c r="Z259" i="1"/>
  <c r="AE258" i="1"/>
  <c r="Z258" i="1"/>
  <c r="AE257" i="1"/>
  <c r="Z257" i="1"/>
  <c r="AE256" i="1"/>
  <c r="Z256" i="1"/>
  <c r="AE255" i="1"/>
  <c r="Z255" i="1"/>
  <c r="AE254" i="1"/>
  <c r="Z254" i="1"/>
  <c r="AE253" i="1"/>
  <c r="Z253" i="1"/>
  <c r="AE252" i="1"/>
  <c r="Z252" i="1"/>
  <c r="AE251" i="1"/>
  <c r="Z251" i="1"/>
  <c r="AE250" i="1"/>
  <c r="Z250" i="1"/>
  <c r="AE249" i="1"/>
  <c r="Z249" i="1"/>
  <c r="AE248" i="1"/>
  <c r="Z248" i="1"/>
  <c r="AE247" i="1"/>
  <c r="Z247" i="1"/>
  <c r="AE246" i="1"/>
  <c r="Z246" i="1"/>
  <c r="AE245" i="1"/>
  <c r="Z245" i="1"/>
  <c r="AE244" i="1"/>
  <c r="Z244" i="1"/>
  <c r="AE243" i="1"/>
  <c r="Z243" i="1"/>
  <c r="AE242" i="1"/>
  <c r="Z242" i="1"/>
  <c r="AE241" i="1"/>
  <c r="Z241" i="1"/>
  <c r="AE240" i="1"/>
  <c r="Z240" i="1"/>
  <c r="AE239" i="1"/>
  <c r="Z239" i="1"/>
  <c r="AE238" i="1"/>
  <c r="Z238" i="1"/>
  <c r="AE237" i="1"/>
  <c r="Z237" i="1"/>
  <c r="AE236" i="1"/>
  <c r="Z236" i="1"/>
  <c r="AE235" i="1"/>
  <c r="Z235" i="1"/>
  <c r="AE234" i="1"/>
  <c r="Z234" i="1"/>
  <c r="AE233" i="1"/>
  <c r="Z233" i="1"/>
  <c r="AE232" i="1"/>
  <c r="Z232" i="1"/>
  <c r="AE231" i="1"/>
  <c r="Z231" i="1"/>
  <c r="AE230" i="1"/>
  <c r="Z230" i="1"/>
  <c r="AE229" i="1"/>
  <c r="Z229" i="1"/>
  <c r="AE228" i="1"/>
  <c r="Z228" i="1"/>
  <c r="AE227" i="1"/>
  <c r="Z227" i="1"/>
  <c r="AE226" i="1"/>
  <c r="Z226" i="1"/>
  <c r="AE225" i="1"/>
  <c r="Z225" i="1"/>
  <c r="AE224" i="1"/>
  <c r="Z224" i="1"/>
  <c r="AE223" i="1"/>
  <c r="Z223" i="1"/>
  <c r="AE222" i="1"/>
  <c r="Z222" i="1"/>
  <c r="AE221" i="1"/>
  <c r="Z221" i="1"/>
  <c r="AE220" i="1"/>
  <c r="Z220" i="1"/>
  <c r="AE219" i="1"/>
  <c r="Z219" i="1"/>
  <c r="AE218" i="1"/>
  <c r="Z218" i="1"/>
  <c r="AE217" i="1"/>
  <c r="Z217" i="1"/>
  <c r="AE216" i="1"/>
  <c r="Z216" i="1"/>
  <c r="AE215" i="1"/>
  <c r="Z215" i="1"/>
  <c r="AE214" i="1"/>
  <c r="Z214" i="1"/>
  <c r="AE213" i="1"/>
  <c r="Z213" i="1"/>
  <c r="AE212" i="1"/>
  <c r="Z212" i="1"/>
  <c r="AE211" i="1"/>
  <c r="Z211" i="1"/>
  <c r="AE210" i="1"/>
  <c r="AE209" i="1"/>
  <c r="Z209" i="1"/>
  <c r="Z208" i="1"/>
  <c r="AE207" i="1"/>
  <c r="Z207" i="1"/>
  <c r="Z206" i="1"/>
  <c r="AE205" i="1"/>
  <c r="Z205" i="1"/>
  <c r="AE29" i="1"/>
  <c r="AE203" i="1"/>
  <c r="Z203" i="1"/>
  <c r="AE202" i="1"/>
  <c r="Z202" i="1"/>
  <c r="AE201" i="1"/>
  <c r="Z201" i="1"/>
  <c r="AE200" i="1"/>
  <c r="Z200" i="1"/>
  <c r="AE199" i="1"/>
  <c r="Z199" i="1"/>
  <c r="AE198" i="1"/>
  <c r="Z198" i="1"/>
  <c r="AE197" i="1"/>
  <c r="Z197" i="1"/>
  <c r="AE196" i="1"/>
  <c r="Z196" i="1"/>
  <c r="AE195" i="1"/>
  <c r="Z195" i="1"/>
  <c r="AE194" i="1"/>
  <c r="Z194" i="1"/>
  <c r="AE193" i="1"/>
  <c r="Z193" i="1"/>
  <c r="AE192" i="1"/>
  <c r="Z192" i="1"/>
  <c r="AE191" i="1"/>
  <c r="Z191" i="1"/>
  <c r="AE190" i="1"/>
  <c r="Z190" i="1"/>
  <c r="AE189" i="1"/>
  <c r="Z189" i="1"/>
  <c r="AE188" i="1"/>
  <c r="Z188" i="1"/>
  <c r="AE187" i="1"/>
  <c r="Z187" i="1"/>
  <c r="AE186" i="1"/>
  <c r="Z186" i="1"/>
  <c r="AE185" i="1"/>
  <c r="Z185" i="1"/>
  <c r="AE184" i="1"/>
  <c r="Z184" i="1"/>
  <c r="AE183" i="1"/>
  <c r="Z183" i="1"/>
  <c r="AE182" i="1"/>
  <c r="Z182" i="1"/>
  <c r="AE181" i="1"/>
  <c r="Z181" i="1"/>
  <c r="AE180" i="1"/>
  <c r="Z180" i="1"/>
  <c r="AE179" i="1"/>
  <c r="Z179" i="1"/>
  <c r="AE178" i="1"/>
  <c r="Z178" i="1"/>
  <c r="AE177" i="1"/>
  <c r="Z177" i="1"/>
  <c r="AE176" i="1"/>
  <c r="Z176" i="1"/>
  <c r="AE175" i="1"/>
  <c r="Z175" i="1"/>
  <c r="AE174" i="1"/>
  <c r="Z174" i="1"/>
  <c r="AE173" i="1"/>
  <c r="Z173" i="1"/>
  <c r="AE172" i="1"/>
  <c r="Z172" i="1"/>
  <c r="AE171" i="1"/>
  <c r="Z171" i="1"/>
  <c r="AE170" i="1"/>
  <c r="Z170" i="1"/>
  <c r="AE169" i="1"/>
  <c r="Z169" i="1"/>
  <c r="AE168" i="1"/>
  <c r="Z168" i="1"/>
  <c r="AE167" i="1"/>
  <c r="Z167" i="1"/>
  <c r="AE166" i="1"/>
  <c r="Z166" i="1"/>
  <c r="AE165" i="1"/>
  <c r="Z165" i="1"/>
  <c r="AE164" i="1"/>
  <c r="Z164" i="1"/>
  <c r="AE163" i="1"/>
  <c r="Z163" i="1"/>
  <c r="AE162" i="1"/>
  <c r="Z162" i="1"/>
  <c r="AE161" i="1"/>
  <c r="Z161" i="1"/>
  <c r="AE160" i="1"/>
  <c r="Z160" i="1"/>
  <c r="AE159" i="1"/>
  <c r="Z159" i="1"/>
  <c r="AE158" i="1"/>
  <c r="Z158" i="1"/>
  <c r="AE157" i="1"/>
  <c r="Z157" i="1"/>
  <c r="AE156" i="1"/>
  <c r="Z156" i="1"/>
  <c r="AE155" i="1"/>
  <c r="Z155" i="1"/>
  <c r="AE154" i="1"/>
  <c r="Z154" i="1"/>
  <c r="AE153" i="1"/>
  <c r="Z153" i="1"/>
  <c r="AE152" i="1"/>
  <c r="Z152" i="1"/>
  <c r="AE151" i="1"/>
  <c r="Z151" i="1"/>
  <c r="AE150" i="1"/>
  <c r="Z150" i="1"/>
  <c r="AE149" i="1"/>
  <c r="Z149" i="1"/>
  <c r="AE148" i="1"/>
  <c r="Z148" i="1"/>
  <c r="AE147" i="1"/>
  <c r="Z147" i="1"/>
  <c r="AE146" i="1"/>
  <c r="Z146" i="1"/>
  <c r="AE145" i="1"/>
  <c r="Z145" i="1"/>
  <c r="AE144" i="1"/>
  <c r="Z144" i="1"/>
  <c r="AE143" i="1"/>
  <c r="Z143" i="1"/>
  <c r="AE142" i="1"/>
  <c r="Z142" i="1"/>
  <c r="AE141" i="1"/>
  <c r="Z141" i="1"/>
  <c r="AE140" i="1"/>
  <c r="Z140" i="1"/>
  <c r="AE139" i="1"/>
  <c r="Z139" i="1"/>
  <c r="AE138" i="1"/>
  <c r="Z138" i="1"/>
  <c r="AE137" i="1"/>
  <c r="Z137" i="1"/>
  <c r="AE136" i="1"/>
  <c r="Z136" i="1"/>
  <c r="AE135" i="1"/>
  <c r="Z135" i="1"/>
  <c r="AE134" i="1"/>
  <c r="Z134" i="1"/>
  <c r="AE133" i="1"/>
  <c r="Z133" i="1"/>
  <c r="AE132" i="1"/>
  <c r="Z132" i="1"/>
  <c r="AE131" i="1"/>
  <c r="Z131" i="1"/>
  <c r="AE130" i="1"/>
  <c r="Z130" i="1"/>
  <c r="AE129" i="1"/>
  <c r="Z129" i="1"/>
  <c r="AE128" i="1"/>
  <c r="Z128" i="1"/>
  <c r="AE127" i="1"/>
  <c r="Z127" i="1"/>
  <c r="AE126" i="1"/>
  <c r="Z126" i="1"/>
  <c r="AE125" i="1"/>
  <c r="Z125" i="1"/>
  <c r="AE124" i="1"/>
  <c r="Z124" i="1"/>
  <c r="AE123" i="1"/>
  <c r="Z123" i="1"/>
  <c r="AE122" i="1"/>
  <c r="Z122" i="1"/>
  <c r="AE121" i="1"/>
  <c r="Z121" i="1"/>
  <c r="AE120" i="1"/>
  <c r="Z120" i="1"/>
  <c r="AE119" i="1"/>
  <c r="Z119" i="1"/>
  <c r="AE118" i="1"/>
  <c r="Z118" i="1"/>
  <c r="AE117" i="1"/>
  <c r="Z117" i="1"/>
  <c r="AE116" i="1"/>
  <c r="Z116" i="1"/>
  <c r="AE115" i="1"/>
  <c r="Z115" i="1"/>
  <c r="AE114" i="1"/>
  <c r="Z114" i="1"/>
  <c r="AE113" i="1"/>
  <c r="Z113" i="1"/>
  <c r="AE112" i="1"/>
  <c r="Z112" i="1"/>
  <c r="AE111" i="1"/>
  <c r="Z111" i="1"/>
  <c r="AE110" i="1"/>
  <c r="Z110" i="1"/>
  <c r="AE109" i="1"/>
  <c r="Z109" i="1"/>
  <c r="AE108" i="1"/>
  <c r="Z108" i="1"/>
  <c r="AE107" i="1"/>
  <c r="Z107" i="1"/>
  <c r="AE106" i="1"/>
  <c r="Z106" i="1"/>
  <c r="AE105" i="1"/>
  <c r="Z105" i="1"/>
  <c r="AE104" i="1"/>
  <c r="Z104" i="1"/>
  <c r="AE103" i="1"/>
  <c r="Z103" i="1"/>
  <c r="AE102" i="1"/>
  <c r="Z102" i="1"/>
  <c r="AE101" i="1"/>
  <c r="Z101" i="1"/>
  <c r="AE100" i="1"/>
  <c r="AE37" i="1"/>
  <c r="AE36" i="1"/>
  <c r="Z33" i="1"/>
  <c r="Z31" i="1"/>
  <c r="AE27" i="1"/>
  <c r="Z27" i="1"/>
  <c r="AE23" i="1"/>
  <c r="AE19" i="1"/>
  <c r="Z18" i="1"/>
  <c r="Z16" i="1"/>
  <c r="Z100" i="1"/>
  <c r="AE99" i="1"/>
  <c r="Z99" i="1"/>
  <c r="AE98" i="1"/>
  <c r="Z98" i="1"/>
  <c r="AE97" i="1"/>
  <c r="Z97" i="1"/>
  <c r="AE96" i="1"/>
  <c r="Z96" i="1"/>
  <c r="AE95" i="1"/>
  <c r="Z95" i="1"/>
  <c r="AE94" i="1"/>
  <c r="Z94" i="1"/>
  <c r="AE93" i="1"/>
  <c r="Z93" i="1"/>
  <c r="AE92" i="1"/>
  <c r="Z92" i="1"/>
  <c r="AE91" i="1"/>
  <c r="Z91" i="1"/>
  <c r="AE90" i="1"/>
  <c r="Z90" i="1"/>
  <c r="AE89" i="1"/>
  <c r="Z89" i="1"/>
  <c r="AE88" i="1"/>
  <c r="Z88" i="1"/>
  <c r="AE87" i="1"/>
  <c r="Z87" i="1"/>
  <c r="AE86" i="1"/>
  <c r="Z86" i="1"/>
  <c r="AE85" i="1"/>
  <c r="Z85" i="1"/>
  <c r="AE84" i="1"/>
  <c r="Z84" i="1"/>
  <c r="AE83" i="1"/>
  <c r="Z83" i="1"/>
  <c r="AE82" i="1"/>
  <c r="Z82" i="1"/>
  <c r="AE81" i="1"/>
  <c r="Z81" i="1"/>
  <c r="AE80" i="1"/>
  <c r="Z80" i="1"/>
  <c r="AE79" i="1"/>
  <c r="Z79" i="1"/>
  <c r="AE78" i="1"/>
  <c r="Z78" i="1"/>
  <c r="AE77" i="1"/>
  <c r="Z77" i="1"/>
  <c r="AE76" i="1"/>
  <c r="Z76" i="1"/>
  <c r="AE75" i="1"/>
  <c r="Z75" i="1"/>
  <c r="AE74" i="1"/>
  <c r="Z74" i="1"/>
  <c r="AE73" i="1"/>
  <c r="Z73" i="1"/>
  <c r="AE72" i="1"/>
  <c r="Z72" i="1"/>
  <c r="AE71" i="1"/>
  <c r="Z71" i="1"/>
  <c r="AE70" i="1"/>
  <c r="Z70" i="1"/>
  <c r="AE69" i="1"/>
  <c r="Z69" i="1"/>
  <c r="AE68" i="1"/>
  <c r="Z68" i="1"/>
  <c r="AE67" i="1"/>
  <c r="Z67" i="1"/>
  <c r="AE66" i="1"/>
  <c r="Z66" i="1"/>
  <c r="AE65" i="1"/>
  <c r="Z65" i="1"/>
  <c r="AE64" i="1"/>
  <c r="Z64" i="1"/>
  <c r="AE63" i="1"/>
  <c r="Z63" i="1"/>
  <c r="AE62" i="1"/>
  <c r="Z62" i="1"/>
  <c r="AE61" i="1"/>
  <c r="Z61" i="1"/>
  <c r="AE60" i="1"/>
  <c r="Z60" i="1"/>
  <c r="AE59" i="1"/>
  <c r="Z59" i="1"/>
  <c r="AE58" i="1"/>
  <c r="Z58" i="1"/>
  <c r="AE57" i="1"/>
  <c r="Z57" i="1"/>
  <c r="AE56" i="1"/>
  <c r="Z56" i="1"/>
  <c r="AE55" i="1"/>
  <c r="Z55" i="1"/>
  <c r="AE54" i="1"/>
  <c r="Z54" i="1"/>
  <c r="AE53" i="1"/>
  <c r="Z53" i="1"/>
  <c r="AE52" i="1"/>
  <c r="Z52" i="1"/>
  <c r="AE51" i="1"/>
  <c r="Z51" i="1"/>
  <c r="AE50" i="1"/>
  <c r="Z50" i="1"/>
  <c r="AE49" i="1"/>
  <c r="Z49" i="1"/>
  <c r="AE48" i="1"/>
  <c r="Z48" i="1"/>
  <c r="AE47" i="1"/>
  <c r="Z47" i="1"/>
  <c r="AE46" i="1"/>
  <c r="Z46" i="1"/>
  <c r="AE45" i="1"/>
  <c r="Z45" i="1"/>
  <c r="AE44" i="1"/>
  <c r="Z44" i="1"/>
  <c r="AE43" i="1"/>
  <c r="Z43" i="1"/>
  <c r="AE42" i="1"/>
  <c r="Z42" i="1"/>
  <c r="AE41" i="1"/>
  <c r="Z41" i="1"/>
  <c r="AE40" i="1"/>
  <c r="Z40" i="1"/>
  <c r="AE39" i="1"/>
  <c r="Z39" i="1"/>
  <c r="AE38" i="1"/>
  <c r="Z38" i="1"/>
  <c r="Z37" i="1"/>
  <c r="Z36" i="1"/>
  <c r="AE35" i="1"/>
  <c r="Z35" i="1"/>
  <c r="AE34" i="1"/>
  <c r="Z34" i="1"/>
  <c r="AE32" i="1"/>
  <c r="J204" i="11"/>
  <c r="D202" i="11"/>
  <c r="F204" i="11"/>
  <c r="B204" i="11"/>
  <c r="H202" i="11"/>
  <c r="E203" i="11"/>
  <c r="D204" i="11"/>
  <c r="F202" i="11"/>
  <c r="K204" i="11"/>
  <c r="D203" i="11"/>
  <c r="K203" i="11"/>
  <c r="B203" i="11"/>
  <c r="C204" i="11"/>
  <c r="G202" i="11"/>
  <c r="G203" i="11"/>
  <c r="E204" i="11"/>
  <c r="E202" i="11"/>
  <c r="F203" i="11"/>
  <c r="C203" i="11"/>
  <c r="G204" i="11"/>
  <c r="J202" i="11"/>
  <c r="I203" i="11"/>
  <c r="H204" i="11"/>
  <c r="I202" i="11"/>
  <c r="J203" i="11"/>
  <c r="K202" i="11"/>
  <c r="H203" i="11"/>
  <c r="I204" i="11"/>
  <c r="C205" i="11"/>
  <c r="B205" i="11"/>
  <c r="B206" i="11"/>
  <c r="K205" i="11"/>
  <c r="J205" i="11"/>
  <c r="I205" i="11"/>
  <c r="H205" i="11"/>
  <c r="G205" i="11"/>
  <c r="F205" i="11"/>
  <c r="E205" i="11"/>
  <c r="D205" i="11"/>
  <c r="J206" i="11"/>
  <c r="I207" i="11"/>
  <c r="H207" i="11"/>
  <c r="G207" i="11"/>
  <c r="F207" i="11"/>
  <c r="E207" i="11"/>
  <c r="D207" i="11"/>
  <c r="C207" i="11"/>
  <c r="B207" i="11"/>
  <c r="K206" i="11"/>
  <c r="I206" i="11"/>
  <c r="H206" i="11"/>
  <c r="G206" i="11"/>
  <c r="F206" i="11"/>
  <c r="E206" i="11"/>
  <c r="D206" i="11"/>
  <c r="C206" i="11"/>
  <c r="I208" i="11"/>
  <c r="H208" i="11"/>
  <c r="G208" i="11"/>
  <c r="F208" i="11"/>
  <c r="E208" i="11"/>
  <c r="D208" i="11"/>
  <c r="C208" i="11"/>
  <c r="B208" i="11"/>
  <c r="K207" i="11"/>
  <c r="J207" i="11"/>
  <c r="J208" i="11"/>
  <c r="B143" i="6"/>
  <c r="K138" i="6"/>
  <c r="J138" i="6"/>
  <c r="I138" i="6"/>
  <c r="H138" i="6"/>
  <c r="G138" i="6"/>
  <c r="F138" i="6"/>
  <c r="E138" i="6"/>
  <c r="D138" i="6"/>
  <c r="C138" i="6"/>
  <c r="B138" i="6"/>
  <c r="K137" i="6"/>
  <c r="J137" i="6"/>
  <c r="I137" i="6"/>
  <c r="H137" i="6"/>
  <c r="G137" i="6"/>
  <c r="B135" i="6"/>
  <c r="K134" i="6"/>
  <c r="J134" i="6"/>
  <c r="I134" i="6"/>
  <c r="H134" i="6"/>
  <c r="G134" i="6"/>
  <c r="D135" i="6"/>
  <c r="E136" i="6"/>
  <c r="E135" i="6"/>
  <c r="F135" i="6"/>
  <c r="G135" i="6"/>
  <c r="H135" i="6"/>
  <c r="C135" i="6"/>
  <c r="I135" i="6"/>
  <c r="J135" i="6"/>
  <c r="K135" i="6"/>
  <c r="C143" i="6"/>
  <c r="C136" i="6"/>
  <c r="D136" i="6"/>
  <c r="F136" i="6"/>
  <c r="G136" i="6"/>
  <c r="H136" i="6"/>
  <c r="I136" i="6"/>
  <c r="B136" i="6"/>
  <c r="J136" i="6"/>
  <c r="K136" i="6"/>
  <c r="B137" i="6"/>
  <c r="C137" i="6"/>
  <c r="D137" i="6"/>
  <c r="E137" i="6"/>
  <c r="F137" i="6"/>
  <c r="D5" i="5"/>
  <c r="C5" i="5"/>
  <c r="B5" i="5"/>
  <c r="M4" i="5"/>
  <c r="L4" i="5"/>
  <c r="K4" i="5"/>
  <c r="J4" i="5"/>
  <c r="I4" i="5"/>
  <c r="H4" i="5"/>
  <c r="G4" i="5"/>
  <c r="F4" i="5"/>
  <c r="E7" i="5"/>
  <c r="D4" i="5"/>
  <c r="C4" i="5"/>
  <c r="B4" i="5"/>
  <c r="M3" i="5"/>
  <c r="L3" i="5"/>
  <c r="K3" i="5"/>
  <c r="J3" i="5"/>
  <c r="I3" i="5"/>
  <c r="H3" i="5"/>
  <c r="G3" i="5"/>
  <c r="F3" i="5"/>
  <c r="E3" i="5"/>
  <c r="D3" i="5"/>
  <c r="D7" i="5"/>
  <c r="C7" i="5"/>
  <c r="B7" i="5"/>
  <c r="M6" i="5"/>
  <c r="L6" i="5"/>
  <c r="K6" i="5"/>
  <c r="J6" i="5"/>
  <c r="I6" i="5"/>
  <c r="H6" i="5"/>
  <c r="G6" i="5"/>
  <c r="F6" i="5"/>
  <c r="E6" i="5"/>
  <c r="C3" i="5"/>
  <c r="D6" i="5"/>
  <c r="C6" i="5"/>
  <c r="B6" i="5"/>
  <c r="M5" i="5"/>
  <c r="L5" i="5"/>
  <c r="K5" i="5"/>
  <c r="J5" i="5"/>
  <c r="I5" i="5"/>
  <c r="H5" i="5"/>
  <c r="G5" i="5"/>
  <c r="F5" i="5"/>
  <c r="E5" i="5"/>
  <c r="E4" i="5"/>
  <c r="L176" i="4"/>
  <c r="K176" i="4"/>
  <c r="J176" i="4"/>
  <c r="I176" i="4"/>
  <c r="H176" i="4"/>
  <c r="G176" i="4"/>
  <c r="F176" i="4"/>
  <c r="E176" i="4"/>
  <c r="D176" i="4"/>
  <c r="C176" i="4"/>
  <c r="B176" i="4"/>
  <c r="M175" i="4"/>
  <c r="L175" i="4"/>
  <c r="K175" i="4"/>
  <c r="J175" i="4"/>
  <c r="I175" i="4"/>
  <c r="H175" i="4"/>
  <c r="G175" i="4"/>
  <c r="F175" i="4"/>
  <c r="E175" i="4"/>
  <c r="D175" i="4"/>
  <c r="C175" i="4"/>
  <c r="B175" i="4"/>
  <c r="M174" i="4"/>
  <c r="L174" i="4"/>
  <c r="K174" i="4"/>
  <c r="J174" i="4"/>
  <c r="I174" i="4"/>
  <c r="H174" i="4"/>
  <c r="G174" i="4"/>
  <c r="F174" i="4"/>
  <c r="E174" i="4"/>
  <c r="D174" i="4"/>
  <c r="C174" i="4"/>
  <c r="B174" i="4"/>
  <c r="M173" i="4"/>
  <c r="L173" i="4"/>
  <c r="K173" i="4"/>
  <c r="J173" i="4"/>
  <c r="I173" i="4"/>
  <c r="H173" i="4"/>
  <c r="G173" i="4"/>
  <c r="F173" i="4"/>
  <c r="E173" i="4"/>
  <c r="D173" i="4"/>
  <c r="C173" i="4"/>
  <c r="B173" i="4"/>
  <c r="M172" i="4"/>
  <c r="L172" i="4"/>
  <c r="K172" i="4"/>
  <c r="J172" i="4"/>
  <c r="I172" i="4"/>
  <c r="H172" i="4"/>
  <c r="G172" i="4"/>
  <c r="F172" i="4"/>
  <c r="E172" i="4"/>
  <c r="D172" i="4"/>
  <c r="C172" i="4"/>
  <c r="B172" i="4"/>
  <c r="M171" i="4"/>
  <c r="L171" i="4"/>
  <c r="K171" i="4"/>
  <c r="J171" i="4"/>
  <c r="I171" i="4"/>
  <c r="H171" i="4"/>
  <c r="G171" i="4"/>
  <c r="F171" i="4"/>
  <c r="E171" i="4"/>
  <c r="D171" i="4"/>
  <c r="C171" i="4"/>
  <c r="B171" i="4"/>
  <c r="M166" i="4"/>
  <c r="L166" i="4"/>
  <c r="K166" i="4"/>
  <c r="J166" i="4"/>
  <c r="I166" i="4"/>
  <c r="H166" i="4"/>
  <c r="G166" i="4"/>
  <c r="F166" i="4"/>
  <c r="E166" i="4"/>
  <c r="D166" i="4"/>
  <c r="C166" i="4"/>
  <c r="B166" i="4"/>
  <c r="M165" i="4"/>
  <c r="L165" i="4"/>
  <c r="K165" i="4"/>
  <c r="J165" i="4"/>
  <c r="I165" i="4"/>
  <c r="H165" i="4"/>
  <c r="G165" i="4"/>
  <c r="F165" i="4"/>
  <c r="E165" i="4"/>
  <c r="D165" i="4"/>
  <c r="C165" i="4"/>
  <c r="B165" i="4"/>
  <c r="M164" i="4"/>
  <c r="L164" i="4"/>
  <c r="K164" i="4"/>
  <c r="J164" i="4"/>
  <c r="I164" i="4"/>
  <c r="H164" i="4"/>
  <c r="G164" i="4"/>
  <c r="F164" i="4"/>
  <c r="E164" i="4"/>
  <c r="D164" i="4"/>
  <c r="C164" i="4"/>
  <c r="B164" i="4"/>
  <c r="M163" i="4"/>
  <c r="L163" i="4"/>
  <c r="K163" i="4"/>
  <c r="J163" i="4"/>
  <c r="I163" i="4"/>
  <c r="H163" i="4"/>
  <c r="G163" i="4"/>
  <c r="F163" i="4"/>
  <c r="E163" i="4"/>
  <c r="D163" i="4"/>
  <c r="C163" i="4"/>
  <c r="B163" i="4"/>
  <c r="M162" i="4"/>
  <c r="L162" i="4"/>
  <c r="K162" i="4"/>
  <c r="J162" i="4"/>
  <c r="I162" i="4"/>
  <c r="H162" i="4"/>
  <c r="G162" i="4"/>
  <c r="F162" i="4"/>
  <c r="E162" i="4"/>
  <c r="D162" i="4"/>
  <c r="C162" i="4"/>
  <c r="B162" i="4"/>
  <c r="M161" i="4"/>
  <c r="L161" i="4"/>
  <c r="K161" i="4"/>
  <c r="J161" i="4"/>
  <c r="I161" i="4"/>
  <c r="H161" i="4"/>
  <c r="G161" i="4"/>
  <c r="F161" i="4"/>
  <c r="E161" i="4"/>
  <c r="D161" i="4"/>
  <c r="C161" i="4"/>
  <c r="B161" i="4"/>
  <c r="M160" i="4"/>
  <c r="L160" i="4"/>
  <c r="K160" i="4"/>
  <c r="J160" i="4"/>
  <c r="I160" i="4"/>
  <c r="H160" i="4"/>
  <c r="G160" i="4"/>
  <c r="F160" i="4"/>
  <c r="E160" i="4"/>
  <c r="D160" i="4"/>
  <c r="C160" i="4"/>
  <c r="B160" i="4"/>
  <c r="M159" i="4"/>
  <c r="L159" i="4"/>
  <c r="K159" i="4"/>
  <c r="J159" i="4"/>
  <c r="I159" i="4"/>
  <c r="H159" i="4"/>
  <c r="G159" i="4"/>
  <c r="F159" i="4"/>
  <c r="E159" i="4"/>
  <c r="D159" i="4"/>
  <c r="C159" i="4"/>
  <c r="B159" i="4"/>
  <c r="M154" i="4"/>
  <c r="L154" i="4"/>
  <c r="K154" i="4"/>
  <c r="J154" i="4"/>
  <c r="I154" i="4"/>
  <c r="H154" i="4"/>
  <c r="G154" i="4"/>
  <c r="F154" i="4"/>
  <c r="E154" i="4"/>
  <c r="D154" i="4"/>
  <c r="C154" i="4"/>
  <c r="B154" i="4"/>
  <c r="M153" i="4"/>
  <c r="L153" i="4"/>
  <c r="K153" i="4"/>
  <c r="J153" i="4"/>
  <c r="I153" i="4"/>
  <c r="H153" i="4"/>
  <c r="G153" i="4"/>
  <c r="F153" i="4"/>
  <c r="E153" i="4"/>
  <c r="D153" i="4"/>
  <c r="C153" i="4"/>
  <c r="B153" i="4"/>
  <c r="M152" i="4"/>
  <c r="L152" i="4"/>
  <c r="K152" i="4"/>
  <c r="J152" i="4"/>
  <c r="I152" i="4"/>
  <c r="H152" i="4"/>
  <c r="G152" i="4"/>
  <c r="F152" i="4"/>
  <c r="E152" i="4"/>
  <c r="D152" i="4"/>
  <c r="C152" i="4"/>
  <c r="B152" i="4"/>
  <c r="M151" i="4"/>
  <c r="L151" i="4"/>
  <c r="K151" i="4"/>
  <c r="J151" i="4"/>
  <c r="I151" i="4"/>
  <c r="H151" i="4"/>
  <c r="G151" i="4"/>
  <c r="F151" i="4"/>
  <c r="E151" i="4"/>
  <c r="D151" i="4"/>
  <c r="C151" i="4"/>
  <c r="B151" i="4"/>
  <c r="M150" i="4"/>
  <c r="L150" i="4"/>
  <c r="K150" i="4"/>
  <c r="J150" i="4"/>
  <c r="I150" i="4"/>
  <c r="H150" i="4"/>
  <c r="G150" i="4"/>
  <c r="F150" i="4"/>
  <c r="E150" i="4"/>
  <c r="D150" i="4"/>
  <c r="C150" i="4"/>
  <c r="B150" i="4"/>
  <c r="M149" i="4"/>
  <c r="L149" i="4"/>
  <c r="K149" i="4"/>
  <c r="J149" i="4"/>
  <c r="I149" i="4"/>
  <c r="H149" i="4"/>
  <c r="G149" i="4"/>
  <c r="F149" i="4"/>
  <c r="E149" i="4"/>
  <c r="D149" i="4"/>
  <c r="C149" i="4"/>
  <c r="B149" i="4"/>
  <c r="M148" i="4"/>
  <c r="L148" i="4"/>
  <c r="K148" i="4"/>
  <c r="J148" i="4"/>
  <c r="I148" i="4"/>
  <c r="H148" i="4"/>
  <c r="G148" i="4"/>
  <c r="F148" i="4"/>
  <c r="E148" i="4"/>
  <c r="D148" i="4"/>
  <c r="C148" i="4"/>
  <c r="B148" i="4"/>
  <c r="M147" i="4"/>
  <c r="L147" i="4"/>
  <c r="K147" i="4"/>
  <c r="J147" i="4"/>
  <c r="I147" i="4"/>
  <c r="H147" i="4"/>
  <c r="G147" i="4"/>
  <c r="F147" i="4"/>
  <c r="E147" i="4"/>
  <c r="D147" i="4"/>
  <c r="C147" i="4"/>
  <c r="B147" i="4"/>
  <c r="M142" i="4"/>
  <c r="L142" i="4"/>
  <c r="K142" i="4"/>
  <c r="J142" i="4"/>
  <c r="I142" i="4"/>
  <c r="H142" i="4"/>
  <c r="G142" i="4"/>
  <c r="F142" i="4"/>
  <c r="E142" i="4"/>
  <c r="D142" i="4"/>
  <c r="C142" i="4"/>
  <c r="B142" i="4"/>
  <c r="M141" i="4"/>
  <c r="L141" i="4"/>
  <c r="K141" i="4"/>
  <c r="J141" i="4"/>
  <c r="I141" i="4"/>
  <c r="H141" i="4"/>
  <c r="G141" i="4"/>
  <c r="F141" i="4"/>
  <c r="E141" i="4"/>
  <c r="D141" i="4"/>
  <c r="C141" i="4"/>
  <c r="B141" i="4"/>
  <c r="M140" i="4"/>
  <c r="L140" i="4"/>
  <c r="K140" i="4"/>
  <c r="J140" i="4"/>
  <c r="I140" i="4"/>
  <c r="H140" i="4"/>
  <c r="G140" i="4"/>
  <c r="F140" i="4"/>
  <c r="E140" i="4"/>
  <c r="D140" i="4"/>
  <c r="C140" i="4"/>
  <c r="B140" i="4"/>
  <c r="M139" i="4"/>
  <c r="L139" i="4"/>
  <c r="K139" i="4"/>
  <c r="J139" i="4"/>
  <c r="I139" i="4"/>
  <c r="H139" i="4"/>
  <c r="G139" i="4"/>
  <c r="F139" i="4"/>
  <c r="E139" i="4"/>
  <c r="D139" i="4"/>
  <c r="C139" i="4"/>
  <c r="B139" i="4"/>
  <c r="M138" i="4"/>
  <c r="L138" i="4"/>
  <c r="K138" i="4"/>
  <c r="J138" i="4"/>
  <c r="I138" i="4"/>
  <c r="H138" i="4"/>
  <c r="G138" i="4"/>
  <c r="F138" i="4"/>
  <c r="E138" i="4"/>
  <c r="D138" i="4"/>
  <c r="C138" i="4"/>
  <c r="B138" i="4"/>
  <c r="M137" i="4"/>
  <c r="L137" i="4"/>
  <c r="K137" i="4"/>
  <c r="J137" i="4"/>
  <c r="I137" i="4"/>
  <c r="H137" i="4"/>
  <c r="G137" i="4"/>
  <c r="F137" i="4"/>
  <c r="E137" i="4"/>
  <c r="D137" i="4"/>
  <c r="C137" i="4"/>
  <c r="B137" i="4"/>
  <c r="M136" i="4"/>
  <c r="L136" i="4"/>
  <c r="K136" i="4"/>
  <c r="J136" i="4"/>
  <c r="I136" i="4"/>
  <c r="H136" i="4"/>
  <c r="G136" i="4"/>
  <c r="F136" i="4"/>
  <c r="E136" i="4"/>
  <c r="D136" i="4"/>
  <c r="C136" i="4"/>
  <c r="B136" i="4"/>
  <c r="M135" i="4"/>
  <c r="L135" i="4"/>
  <c r="K135" i="4"/>
  <c r="J135" i="4"/>
  <c r="I135" i="4"/>
  <c r="H135" i="4"/>
  <c r="G135" i="4"/>
  <c r="F135" i="4"/>
  <c r="E135" i="4"/>
  <c r="D135" i="4"/>
  <c r="C135" i="4"/>
  <c r="B135" i="4"/>
  <c r="M130" i="4"/>
  <c r="L130" i="4"/>
  <c r="K130" i="4"/>
  <c r="J130" i="4"/>
  <c r="I130" i="4"/>
  <c r="H130" i="4"/>
  <c r="G130" i="4"/>
  <c r="F130" i="4"/>
  <c r="E130" i="4"/>
  <c r="D130" i="4"/>
  <c r="C130" i="4"/>
  <c r="B130" i="4"/>
  <c r="M129" i="4"/>
  <c r="L129" i="4"/>
  <c r="K129" i="4"/>
  <c r="J129" i="4"/>
  <c r="I129" i="4"/>
  <c r="H129" i="4"/>
  <c r="G129" i="4"/>
  <c r="F129" i="4"/>
  <c r="E129" i="4"/>
  <c r="D129" i="4"/>
  <c r="C129" i="4"/>
  <c r="B129" i="4"/>
  <c r="M128" i="4"/>
  <c r="L128" i="4"/>
  <c r="K128" i="4"/>
  <c r="J128" i="4"/>
  <c r="I128" i="4"/>
  <c r="H128" i="4"/>
  <c r="G128" i="4"/>
  <c r="F128" i="4"/>
  <c r="E128" i="4"/>
  <c r="D128" i="4"/>
  <c r="C128" i="4"/>
  <c r="B128" i="4"/>
  <c r="M127" i="4"/>
  <c r="L127" i="4"/>
  <c r="K127" i="4"/>
  <c r="J127" i="4"/>
  <c r="I127" i="4"/>
  <c r="H127" i="4"/>
  <c r="G127" i="4"/>
  <c r="F127" i="4"/>
  <c r="E127" i="4"/>
  <c r="D127" i="4"/>
  <c r="C127" i="4"/>
  <c r="B127" i="4"/>
  <c r="M126" i="4"/>
  <c r="L126" i="4"/>
  <c r="K126" i="4"/>
  <c r="J126" i="4"/>
  <c r="I126" i="4"/>
  <c r="H126" i="4"/>
  <c r="G126" i="4"/>
  <c r="F126" i="4"/>
  <c r="E126" i="4"/>
  <c r="D126" i="4"/>
  <c r="C126" i="4"/>
  <c r="B126" i="4"/>
  <c r="M125" i="4"/>
  <c r="L125" i="4"/>
  <c r="K125" i="4"/>
  <c r="J125" i="4"/>
  <c r="I125" i="4"/>
  <c r="H125" i="4"/>
  <c r="G125" i="4"/>
  <c r="F125" i="4"/>
  <c r="E125" i="4"/>
  <c r="D125" i="4"/>
  <c r="C125" i="4"/>
  <c r="B125" i="4"/>
  <c r="M124" i="4"/>
  <c r="L124" i="4"/>
  <c r="K124" i="4"/>
  <c r="J124" i="4"/>
  <c r="I124" i="4"/>
  <c r="H124" i="4"/>
  <c r="G124" i="4"/>
  <c r="F124" i="4"/>
  <c r="E124" i="4"/>
  <c r="D124" i="4"/>
  <c r="C124" i="4"/>
  <c r="B124" i="4"/>
  <c r="M123" i="4"/>
  <c r="L123" i="4"/>
  <c r="K123" i="4"/>
  <c r="J123" i="4"/>
  <c r="I123" i="4"/>
  <c r="H123" i="4"/>
  <c r="G123" i="4"/>
  <c r="F123" i="4"/>
  <c r="E123" i="4"/>
  <c r="D123" i="4"/>
  <c r="C123" i="4"/>
  <c r="B123" i="4"/>
  <c r="M118" i="4"/>
  <c r="L118" i="4"/>
  <c r="K118" i="4"/>
  <c r="J118" i="4"/>
  <c r="I118" i="4"/>
  <c r="H118" i="4"/>
  <c r="G118" i="4"/>
  <c r="F118" i="4"/>
  <c r="E118" i="4"/>
  <c r="D118" i="4"/>
  <c r="C118" i="4"/>
  <c r="B118" i="4"/>
  <c r="M117" i="4"/>
  <c r="L117" i="4"/>
  <c r="K117" i="4"/>
  <c r="J117" i="4"/>
  <c r="I117" i="4"/>
  <c r="H117" i="4"/>
  <c r="G117" i="4"/>
  <c r="F117" i="4"/>
  <c r="E117" i="4"/>
  <c r="D117" i="4"/>
  <c r="C117" i="4"/>
  <c r="B117" i="4"/>
  <c r="M116" i="4"/>
  <c r="L116" i="4"/>
  <c r="K116" i="4"/>
  <c r="J116" i="4"/>
  <c r="I116" i="4"/>
  <c r="H116" i="4"/>
  <c r="G116" i="4"/>
  <c r="F116" i="4"/>
  <c r="E116" i="4"/>
  <c r="D116" i="4"/>
  <c r="C116" i="4"/>
  <c r="B116" i="4"/>
  <c r="M115" i="4"/>
  <c r="L115" i="4"/>
  <c r="K115" i="4"/>
  <c r="J115" i="4"/>
  <c r="I115" i="4"/>
  <c r="H115" i="4"/>
  <c r="G115" i="4"/>
  <c r="F115" i="4"/>
  <c r="E115" i="4"/>
  <c r="D115" i="4"/>
  <c r="C115" i="4"/>
  <c r="B115" i="4"/>
  <c r="M114" i="4"/>
  <c r="L114" i="4"/>
  <c r="K114" i="4"/>
  <c r="J114" i="4"/>
  <c r="I114" i="4"/>
  <c r="H114" i="4"/>
  <c r="G114" i="4"/>
  <c r="F114" i="4"/>
  <c r="E114" i="4"/>
  <c r="D114" i="4"/>
  <c r="C114" i="4"/>
  <c r="B114" i="4"/>
  <c r="M113" i="4"/>
  <c r="L113" i="4"/>
  <c r="K113" i="4"/>
  <c r="J113" i="4"/>
  <c r="I113" i="4"/>
  <c r="H113" i="4"/>
  <c r="G113" i="4"/>
  <c r="F113" i="4"/>
  <c r="E113" i="4"/>
  <c r="D113" i="4"/>
  <c r="C113" i="4"/>
  <c r="B113" i="4"/>
  <c r="M112" i="4"/>
  <c r="L112" i="4"/>
  <c r="K112" i="4"/>
  <c r="J112" i="4"/>
  <c r="I112" i="4"/>
  <c r="H112" i="4"/>
  <c r="G112" i="4"/>
  <c r="F112" i="4"/>
  <c r="E112" i="4"/>
  <c r="D112" i="4"/>
  <c r="C112" i="4"/>
  <c r="B112" i="4"/>
  <c r="M111" i="4"/>
  <c r="L111" i="4"/>
  <c r="K111" i="4"/>
  <c r="J111" i="4"/>
  <c r="I111" i="4"/>
  <c r="H111" i="4"/>
  <c r="G111" i="4"/>
  <c r="F111" i="4"/>
  <c r="E111" i="4"/>
  <c r="D111" i="4"/>
  <c r="C111" i="4"/>
  <c r="B111" i="4"/>
  <c r="M106" i="4"/>
  <c r="L106" i="4"/>
  <c r="K106" i="4"/>
  <c r="J106" i="4"/>
  <c r="I106" i="4"/>
  <c r="H106" i="4"/>
  <c r="G106" i="4"/>
  <c r="F106" i="4"/>
  <c r="E106" i="4"/>
  <c r="D106" i="4"/>
  <c r="C106" i="4"/>
  <c r="B106" i="4"/>
  <c r="M105" i="4"/>
  <c r="L105" i="4"/>
  <c r="K105" i="4"/>
  <c r="J105" i="4"/>
  <c r="I105" i="4"/>
  <c r="H105" i="4"/>
  <c r="G105" i="4"/>
  <c r="F105" i="4"/>
  <c r="M178" i="4"/>
  <c r="D105" i="4"/>
  <c r="C105" i="4"/>
  <c r="B105" i="4"/>
  <c r="M104" i="4"/>
  <c r="L104" i="4"/>
  <c r="K104" i="4"/>
  <c r="J104" i="4"/>
  <c r="I104" i="4"/>
  <c r="H104" i="4"/>
  <c r="G104" i="4"/>
  <c r="F104" i="4"/>
  <c r="E104" i="4"/>
  <c r="D104" i="4"/>
  <c r="C104" i="4"/>
  <c r="B104" i="4"/>
  <c r="M103" i="4"/>
  <c r="L103" i="4"/>
  <c r="K103" i="4"/>
  <c r="J103" i="4"/>
  <c r="I103" i="4"/>
  <c r="H103" i="4"/>
  <c r="G103" i="4"/>
  <c r="F103" i="4"/>
  <c r="E103" i="4"/>
  <c r="D103" i="4"/>
  <c r="C103" i="4"/>
  <c r="B103" i="4"/>
  <c r="M102" i="4"/>
  <c r="L102" i="4"/>
  <c r="K102" i="4"/>
  <c r="J102" i="4"/>
  <c r="I102" i="4"/>
  <c r="H102" i="4"/>
  <c r="G102" i="4"/>
  <c r="F102" i="4"/>
  <c r="E102" i="4"/>
  <c r="D102" i="4"/>
  <c r="C102" i="4"/>
  <c r="B102" i="4"/>
  <c r="M101" i="4"/>
  <c r="L101" i="4"/>
  <c r="K101" i="4"/>
  <c r="J101" i="4"/>
  <c r="I101" i="4"/>
  <c r="H101" i="4"/>
  <c r="G101" i="4"/>
  <c r="F101" i="4"/>
  <c r="E101" i="4"/>
  <c r="D101" i="4"/>
  <c r="C101" i="4"/>
  <c r="B101" i="4"/>
  <c r="M100" i="4"/>
  <c r="L100" i="4"/>
  <c r="K100" i="4"/>
  <c r="J100" i="4"/>
  <c r="I100" i="4"/>
  <c r="H100" i="4"/>
  <c r="G100" i="4"/>
  <c r="F100" i="4"/>
  <c r="E100" i="4"/>
  <c r="D100" i="4"/>
  <c r="C100" i="4"/>
  <c r="B100" i="4"/>
  <c r="M99" i="4"/>
  <c r="L99" i="4"/>
  <c r="K99" i="4"/>
  <c r="J99" i="4"/>
  <c r="I99" i="4"/>
  <c r="H99" i="4"/>
  <c r="G99" i="4"/>
  <c r="F99" i="4"/>
  <c r="E99" i="4"/>
  <c r="D99" i="4"/>
  <c r="C99" i="4"/>
  <c r="B99" i="4"/>
  <c r="M94" i="4"/>
  <c r="L94" i="4"/>
  <c r="K94" i="4"/>
  <c r="J94" i="4"/>
  <c r="I94" i="4"/>
  <c r="H94" i="4"/>
  <c r="G94" i="4"/>
  <c r="F94" i="4"/>
  <c r="E94" i="4"/>
  <c r="D94" i="4"/>
  <c r="C94" i="4"/>
  <c r="B94" i="4"/>
  <c r="M93" i="4"/>
  <c r="L93" i="4"/>
  <c r="K93" i="4"/>
  <c r="J93" i="4"/>
  <c r="I93" i="4"/>
  <c r="H93" i="4"/>
  <c r="G93" i="4"/>
  <c r="F93" i="4"/>
  <c r="E93" i="4"/>
  <c r="D93" i="4"/>
  <c r="C93" i="4"/>
  <c r="B93" i="4"/>
  <c r="M92" i="4"/>
  <c r="L92" i="4"/>
  <c r="K92" i="4"/>
  <c r="J92" i="4"/>
  <c r="I92" i="4"/>
  <c r="H92" i="4"/>
  <c r="G92" i="4"/>
  <c r="F92" i="4"/>
  <c r="E92" i="4"/>
  <c r="D92" i="4"/>
  <c r="C92" i="4"/>
  <c r="B92" i="4"/>
  <c r="M91" i="4"/>
  <c r="L91" i="4"/>
  <c r="K91" i="4"/>
  <c r="J91" i="4"/>
  <c r="I91" i="4"/>
  <c r="H91" i="4"/>
  <c r="G91" i="4"/>
  <c r="F91" i="4"/>
  <c r="E91" i="4"/>
  <c r="D91" i="4"/>
  <c r="C91" i="4"/>
  <c r="E105" i="4"/>
  <c r="M90" i="4"/>
  <c r="L90" i="4"/>
  <c r="K90" i="4"/>
  <c r="J90" i="4"/>
  <c r="I90" i="4"/>
  <c r="H90" i="4"/>
  <c r="G90" i="4"/>
  <c r="F90" i="4"/>
  <c r="E90" i="4"/>
  <c r="D90" i="4"/>
  <c r="C90" i="4"/>
  <c r="B90" i="4"/>
  <c r="M89" i="4"/>
  <c r="L89" i="4"/>
  <c r="K89" i="4"/>
  <c r="J89" i="4"/>
  <c r="I89" i="4"/>
  <c r="H89" i="4"/>
  <c r="G89" i="4"/>
  <c r="F89" i="4"/>
  <c r="E89" i="4"/>
  <c r="D89" i="4"/>
  <c r="C89" i="4"/>
  <c r="B89" i="4"/>
  <c r="M88" i="4"/>
  <c r="L88" i="4"/>
  <c r="K88" i="4"/>
  <c r="J88" i="4"/>
  <c r="I88" i="4"/>
  <c r="H88" i="4"/>
  <c r="G88" i="4"/>
  <c r="F88" i="4"/>
  <c r="E88" i="4"/>
  <c r="D88" i="4"/>
  <c r="C88" i="4"/>
  <c r="B88" i="4"/>
  <c r="M87" i="4"/>
  <c r="L87" i="4"/>
  <c r="K87" i="4"/>
  <c r="J87" i="4"/>
  <c r="I87" i="4"/>
  <c r="H87" i="4"/>
  <c r="G87" i="4"/>
  <c r="F87" i="4"/>
  <c r="E87" i="4"/>
  <c r="D87" i="4"/>
  <c r="C87" i="4"/>
  <c r="B87" i="4"/>
  <c r="M82" i="4"/>
  <c r="L82" i="4"/>
  <c r="K82" i="4"/>
  <c r="J82" i="4"/>
  <c r="I82" i="4"/>
  <c r="H82" i="4"/>
  <c r="G82" i="4"/>
  <c r="F82" i="4"/>
  <c r="E82" i="4"/>
  <c r="D82" i="4"/>
  <c r="C82" i="4"/>
  <c r="B82" i="4"/>
  <c r="M81" i="4"/>
  <c r="L81" i="4"/>
  <c r="K81" i="4"/>
  <c r="J81" i="4"/>
  <c r="I81" i="4"/>
  <c r="H81" i="4"/>
  <c r="G81" i="4"/>
  <c r="F81" i="4"/>
  <c r="E81" i="4"/>
  <c r="D81" i="4"/>
  <c r="C81" i="4"/>
  <c r="B81" i="4"/>
  <c r="M80" i="4"/>
  <c r="L80" i="4"/>
  <c r="K80" i="4"/>
  <c r="J80" i="4"/>
  <c r="I80" i="4"/>
  <c r="H80" i="4"/>
  <c r="G80" i="4"/>
  <c r="F80" i="4"/>
  <c r="E80" i="4"/>
  <c r="D80" i="4"/>
  <c r="C80" i="4"/>
  <c r="B80" i="4"/>
  <c r="M79" i="4"/>
  <c r="L79" i="4"/>
  <c r="K79" i="4"/>
  <c r="J79" i="4"/>
  <c r="I79" i="4"/>
  <c r="H79" i="4"/>
  <c r="G79" i="4"/>
  <c r="F79" i="4"/>
  <c r="E79" i="4"/>
  <c r="D79" i="4"/>
  <c r="C79" i="4"/>
  <c r="B79" i="4"/>
  <c r="M78" i="4"/>
  <c r="L78" i="4"/>
  <c r="L178" i="4"/>
  <c r="K178" i="4"/>
  <c r="J178" i="4"/>
  <c r="I178" i="4"/>
  <c r="H178" i="4"/>
  <c r="G178" i="4"/>
  <c r="F178" i="4"/>
  <c r="E178" i="4"/>
  <c r="D178" i="4"/>
  <c r="C178" i="4"/>
  <c r="B178" i="4"/>
  <c r="M177" i="4"/>
  <c r="L177" i="4"/>
  <c r="K177" i="4"/>
  <c r="J177" i="4"/>
  <c r="I177" i="4"/>
  <c r="H177" i="4"/>
  <c r="G177" i="4"/>
  <c r="F177" i="4"/>
  <c r="E177" i="4"/>
  <c r="D177" i="4"/>
  <c r="C177" i="4"/>
  <c r="B177" i="4"/>
  <c r="M176" i="4"/>
  <c r="B91" i="4"/>
  <c r="J193" i="12"/>
  <c r="I193" i="12"/>
  <c r="H193" i="12"/>
  <c r="G193" i="12"/>
  <c r="F193" i="12"/>
  <c r="E193" i="12"/>
  <c r="D193" i="12"/>
  <c r="C193" i="12"/>
  <c r="B193" i="12"/>
  <c r="J192" i="12"/>
  <c r="I192" i="12"/>
  <c r="H192" i="12"/>
  <c r="G192" i="12"/>
  <c r="F192" i="12"/>
  <c r="E192" i="12"/>
  <c r="D192" i="12"/>
  <c r="C192" i="12"/>
  <c r="B192" i="12"/>
  <c r="J191" i="12"/>
  <c r="I191" i="12"/>
  <c r="H191" i="12"/>
  <c r="G191" i="12"/>
  <c r="F191" i="12"/>
  <c r="E191" i="12"/>
  <c r="D191" i="12"/>
  <c r="C191" i="12"/>
  <c r="B191" i="12"/>
  <c r="J190" i="12"/>
  <c r="I190" i="12"/>
  <c r="H190" i="12"/>
  <c r="G190" i="12"/>
  <c r="F190" i="12"/>
  <c r="E190" i="12"/>
  <c r="D190" i="12"/>
  <c r="C190" i="12"/>
  <c r="B190" i="12"/>
  <c r="J189" i="12"/>
  <c r="I189" i="12"/>
  <c r="H189" i="12"/>
  <c r="G189" i="12"/>
  <c r="F189" i="12"/>
  <c r="E189" i="12"/>
  <c r="D189" i="12"/>
  <c r="C189" i="12"/>
  <c r="B189" i="12"/>
  <c r="J188" i="12"/>
  <c r="I188" i="12"/>
  <c r="H188" i="12"/>
  <c r="G188" i="12"/>
  <c r="F188" i="12"/>
  <c r="E188" i="12"/>
  <c r="D188" i="12"/>
  <c r="C188" i="12"/>
  <c r="B188" i="12"/>
  <c r="J187" i="12"/>
  <c r="I187" i="12"/>
  <c r="H187" i="12"/>
  <c r="G187" i="12"/>
  <c r="F187" i="12"/>
  <c r="E187" i="12"/>
  <c r="D187" i="12"/>
  <c r="C187" i="12"/>
  <c r="B187" i="12"/>
  <c r="J186" i="12"/>
  <c r="I186" i="12"/>
  <c r="H186" i="12"/>
  <c r="G186" i="12"/>
  <c r="F186" i="12"/>
  <c r="E186" i="12"/>
  <c r="D186" i="12"/>
  <c r="C186" i="12"/>
  <c r="B186" i="12"/>
  <c r="J185" i="12"/>
  <c r="I185" i="12"/>
  <c r="H185" i="12"/>
  <c r="G185" i="12"/>
  <c r="F185" i="12"/>
  <c r="E185" i="12"/>
  <c r="D185" i="12"/>
  <c r="C185" i="12"/>
  <c r="B185" i="12"/>
  <c r="J180" i="12"/>
  <c r="I180" i="12"/>
  <c r="H180" i="12"/>
  <c r="G180" i="12"/>
  <c r="F180" i="12"/>
  <c r="E180" i="12"/>
  <c r="D180" i="12"/>
  <c r="C180" i="12"/>
  <c r="B180" i="12"/>
  <c r="J179" i="12"/>
  <c r="I179" i="12"/>
  <c r="H179" i="12"/>
  <c r="G179" i="12"/>
  <c r="F179" i="12"/>
  <c r="E179" i="12"/>
  <c r="D179" i="12"/>
  <c r="C179" i="12"/>
  <c r="B179" i="12"/>
  <c r="J178" i="12"/>
  <c r="I178" i="12"/>
  <c r="H178" i="12"/>
  <c r="G178" i="12"/>
  <c r="F178" i="12"/>
  <c r="E178" i="12"/>
  <c r="D178" i="12"/>
  <c r="C178" i="12"/>
  <c r="B178" i="12"/>
  <c r="J177" i="12"/>
  <c r="I177" i="12"/>
  <c r="H177" i="12"/>
  <c r="G177" i="12"/>
  <c r="F177" i="12"/>
  <c r="E177" i="12"/>
  <c r="D177" i="12"/>
  <c r="C177" i="12"/>
  <c r="B177" i="12"/>
  <c r="J176" i="12"/>
  <c r="I176" i="12"/>
  <c r="H176" i="12"/>
  <c r="G176" i="12"/>
  <c r="F176" i="12"/>
  <c r="E176" i="12"/>
  <c r="D176" i="12"/>
  <c r="C176" i="12"/>
  <c r="B176" i="12"/>
  <c r="J175" i="12"/>
  <c r="I175" i="12"/>
  <c r="H175" i="12"/>
  <c r="G175" i="12"/>
  <c r="F175" i="12"/>
  <c r="E175" i="12"/>
  <c r="D175" i="12"/>
  <c r="C175" i="12"/>
  <c r="B175" i="12"/>
  <c r="J174" i="12"/>
  <c r="I174" i="12"/>
  <c r="H174" i="12"/>
  <c r="G174" i="12"/>
  <c r="F174" i="12"/>
  <c r="E174" i="12"/>
  <c r="D174" i="12"/>
  <c r="C174" i="12"/>
  <c r="B174" i="12"/>
  <c r="J173" i="12"/>
  <c r="I173" i="12"/>
  <c r="H173" i="12"/>
  <c r="G173" i="12"/>
  <c r="F173" i="12"/>
  <c r="E173" i="12"/>
  <c r="D173" i="12"/>
  <c r="C173" i="12"/>
  <c r="B173" i="12"/>
  <c r="J172" i="12"/>
  <c r="I172" i="12"/>
  <c r="H172" i="12"/>
  <c r="G172" i="12"/>
  <c r="F172" i="12"/>
  <c r="E172" i="12"/>
  <c r="D172" i="12"/>
  <c r="C172" i="12"/>
  <c r="B172" i="12"/>
  <c r="J167" i="12"/>
  <c r="I167" i="12"/>
  <c r="H167" i="12"/>
  <c r="G167" i="12"/>
  <c r="F167" i="12"/>
  <c r="E167" i="12"/>
  <c r="D167" i="12"/>
  <c r="C167" i="12"/>
  <c r="B167" i="12"/>
  <c r="J166" i="12"/>
  <c r="I166" i="12"/>
  <c r="H166" i="12"/>
  <c r="G166" i="12"/>
  <c r="F166" i="12"/>
  <c r="E166" i="12"/>
  <c r="D166" i="12"/>
  <c r="C166" i="12"/>
  <c r="B166" i="12"/>
  <c r="J165" i="12"/>
  <c r="I165" i="12"/>
  <c r="H165" i="12"/>
  <c r="G165" i="12"/>
  <c r="F165" i="12"/>
  <c r="E165" i="12"/>
  <c r="D165" i="12"/>
  <c r="C165" i="12"/>
  <c r="B165" i="12"/>
  <c r="J164" i="12"/>
  <c r="I164" i="12"/>
  <c r="H164" i="12"/>
  <c r="G164" i="12"/>
  <c r="F164" i="12"/>
  <c r="E164" i="12"/>
  <c r="D164" i="12"/>
  <c r="C164" i="12"/>
  <c r="B164" i="12"/>
  <c r="J163" i="12"/>
  <c r="I163" i="12"/>
  <c r="H163" i="12"/>
  <c r="G163" i="12"/>
  <c r="F163" i="12"/>
  <c r="E163" i="12"/>
  <c r="D163" i="12"/>
  <c r="C163" i="12"/>
  <c r="B163" i="12"/>
  <c r="J162" i="12"/>
  <c r="I162" i="12"/>
  <c r="H162" i="12"/>
  <c r="G162" i="12"/>
  <c r="F162" i="12"/>
  <c r="E162" i="12"/>
  <c r="D162" i="12"/>
  <c r="C162" i="12"/>
  <c r="B162" i="12"/>
  <c r="J161" i="12"/>
  <c r="I161" i="12"/>
  <c r="H161" i="12"/>
  <c r="G161" i="12"/>
  <c r="F161" i="12"/>
  <c r="E161" i="12"/>
  <c r="D161" i="12"/>
  <c r="C161" i="12"/>
  <c r="B161" i="12"/>
  <c r="J160" i="12"/>
  <c r="I160" i="12"/>
  <c r="H160" i="12"/>
  <c r="G160" i="12"/>
  <c r="F160" i="12"/>
  <c r="E160" i="12"/>
  <c r="D160" i="12"/>
  <c r="C160" i="12"/>
  <c r="B160" i="12"/>
  <c r="J159" i="12"/>
  <c r="I159" i="12"/>
  <c r="H159" i="12"/>
  <c r="G159" i="12"/>
  <c r="F159" i="12"/>
  <c r="E159" i="12"/>
  <c r="D159" i="12"/>
  <c r="C159" i="12"/>
  <c r="B159" i="12"/>
  <c r="J154" i="12"/>
  <c r="I154" i="12"/>
  <c r="H154" i="12"/>
  <c r="G154" i="12"/>
  <c r="F154" i="12"/>
  <c r="E154" i="12"/>
  <c r="D154" i="12"/>
  <c r="C154" i="12"/>
  <c r="B154" i="12"/>
  <c r="J153" i="12"/>
  <c r="I153" i="12"/>
  <c r="H153" i="12"/>
  <c r="G153" i="12"/>
  <c r="F153" i="12"/>
  <c r="E153" i="12"/>
  <c r="D153" i="12"/>
  <c r="C153" i="12"/>
  <c r="B153" i="12"/>
  <c r="J152" i="12"/>
  <c r="I152" i="12"/>
  <c r="H152" i="12"/>
  <c r="G152" i="12"/>
  <c r="F152" i="12"/>
  <c r="E152" i="12"/>
  <c r="D152" i="12"/>
  <c r="C152" i="12"/>
  <c r="B152" i="12"/>
  <c r="J151" i="12"/>
  <c r="I151" i="12"/>
  <c r="H151" i="12"/>
  <c r="G151" i="12"/>
  <c r="F151" i="12"/>
  <c r="E151" i="12"/>
  <c r="D151" i="12"/>
  <c r="C151" i="12"/>
  <c r="B151" i="12"/>
  <c r="J150" i="12"/>
  <c r="I150" i="12"/>
  <c r="H150" i="12"/>
  <c r="G150" i="12"/>
  <c r="F150" i="12"/>
  <c r="E150" i="12"/>
  <c r="D150" i="12"/>
  <c r="C150" i="12"/>
  <c r="B150" i="12"/>
  <c r="J149" i="12"/>
  <c r="I149" i="12"/>
  <c r="H149" i="12"/>
  <c r="G149" i="12"/>
  <c r="F149" i="12"/>
  <c r="E149" i="12"/>
  <c r="D149" i="12"/>
  <c r="C149" i="12"/>
  <c r="B149" i="12"/>
  <c r="J148" i="12"/>
  <c r="I148" i="12"/>
  <c r="H148" i="12"/>
  <c r="G148" i="12"/>
  <c r="F148" i="12"/>
  <c r="E148" i="12"/>
  <c r="D148" i="12"/>
  <c r="C148" i="12"/>
  <c r="B148" i="12"/>
  <c r="J147" i="12"/>
  <c r="I147" i="12"/>
  <c r="H147" i="12"/>
  <c r="G147" i="12"/>
  <c r="F147" i="12"/>
  <c r="E147" i="12"/>
  <c r="D147" i="12"/>
  <c r="C147" i="12"/>
  <c r="B147" i="12"/>
  <c r="J146" i="12"/>
  <c r="I146" i="12"/>
  <c r="H146" i="12"/>
  <c r="G146" i="12"/>
  <c r="F146" i="12"/>
  <c r="E146" i="12"/>
  <c r="D146" i="12"/>
  <c r="C146" i="12"/>
  <c r="B146" i="12"/>
  <c r="J141" i="12"/>
  <c r="I141" i="12"/>
  <c r="H141" i="12"/>
  <c r="G141" i="12"/>
  <c r="F141" i="12"/>
  <c r="E141" i="12"/>
  <c r="D141" i="12"/>
  <c r="C141" i="12"/>
  <c r="B141" i="12"/>
  <c r="J140" i="12"/>
  <c r="I140" i="12"/>
  <c r="H140" i="12"/>
  <c r="G140" i="12"/>
  <c r="F140" i="12"/>
  <c r="E140" i="12"/>
  <c r="D140" i="12"/>
  <c r="C140" i="12"/>
  <c r="B140" i="12"/>
  <c r="J139" i="12"/>
  <c r="I139" i="12"/>
  <c r="H139" i="12"/>
  <c r="G139" i="12"/>
  <c r="F139" i="12"/>
  <c r="E139" i="12"/>
  <c r="D139" i="12"/>
  <c r="C139" i="12"/>
  <c r="B139" i="12"/>
  <c r="J138" i="12"/>
  <c r="I138" i="12"/>
  <c r="H138" i="12"/>
  <c r="G138" i="12"/>
  <c r="F138" i="12"/>
  <c r="E138" i="12"/>
  <c r="D138" i="12"/>
  <c r="C138" i="12"/>
  <c r="B138" i="12"/>
  <c r="J137" i="12"/>
  <c r="I137" i="12"/>
  <c r="H137" i="12"/>
  <c r="G137" i="12"/>
  <c r="F137" i="12"/>
  <c r="E137" i="12"/>
  <c r="D137" i="12"/>
  <c r="C137" i="12"/>
  <c r="B137" i="12"/>
  <c r="J136" i="12"/>
  <c r="I136" i="12"/>
  <c r="H136" i="12"/>
  <c r="G136" i="12"/>
  <c r="F136" i="12"/>
  <c r="E136" i="12"/>
  <c r="D136" i="12"/>
  <c r="C136" i="12"/>
  <c r="B136" i="12"/>
  <c r="J135" i="12"/>
  <c r="I135" i="12"/>
  <c r="H135" i="12"/>
  <c r="G135" i="12"/>
  <c r="F135" i="12"/>
  <c r="E135" i="12"/>
  <c r="D135" i="12"/>
  <c r="C135" i="12"/>
  <c r="B135" i="12"/>
  <c r="J134" i="12"/>
  <c r="I134" i="12"/>
  <c r="H134" i="12"/>
  <c r="G134" i="12"/>
  <c r="F134" i="12"/>
  <c r="E134" i="12"/>
  <c r="D134" i="12"/>
  <c r="C134" i="12"/>
  <c r="B134" i="12"/>
  <c r="J133" i="12"/>
  <c r="I133" i="12"/>
  <c r="H133" i="12"/>
  <c r="G133" i="12"/>
  <c r="F133" i="12"/>
  <c r="E133" i="12"/>
  <c r="D133" i="12"/>
  <c r="C133" i="12"/>
  <c r="B133" i="12"/>
  <c r="J128" i="12"/>
  <c r="I128" i="12"/>
  <c r="H128" i="12"/>
  <c r="G128" i="12"/>
  <c r="F128" i="12"/>
  <c r="E128" i="12"/>
  <c r="D128" i="12"/>
  <c r="C128" i="12"/>
  <c r="B128" i="12"/>
  <c r="J127" i="12"/>
  <c r="I127" i="12"/>
  <c r="H127" i="12"/>
  <c r="G127" i="12"/>
  <c r="F127" i="12"/>
  <c r="E127" i="12"/>
  <c r="D127" i="12"/>
  <c r="C127" i="12"/>
  <c r="B127" i="12"/>
  <c r="J126" i="12"/>
  <c r="I126" i="12"/>
  <c r="H126" i="12"/>
  <c r="G126" i="12"/>
  <c r="F126" i="12"/>
  <c r="E126" i="12"/>
  <c r="D126" i="12"/>
  <c r="C126" i="12"/>
  <c r="B126" i="12"/>
  <c r="J125" i="12"/>
  <c r="I125" i="12"/>
  <c r="H125" i="12"/>
  <c r="G125" i="12"/>
  <c r="F125" i="12"/>
  <c r="E125" i="12"/>
  <c r="D125" i="12"/>
  <c r="C125" i="12"/>
  <c r="B125" i="12"/>
  <c r="J124" i="12"/>
  <c r="I124" i="12"/>
  <c r="H124" i="12"/>
  <c r="G124" i="12"/>
  <c r="F124" i="12"/>
  <c r="E124" i="12"/>
  <c r="D124" i="12"/>
  <c r="C124" i="12"/>
  <c r="B124" i="12"/>
  <c r="J123" i="12"/>
  <c r="I123" i="12"/>
  <c r="H123" i="12"/>
  <c r="G123" i="12"/>
  <c r="F123" i="12"/>
  <c r="E123" i="12"/>
  <c r="D123" i="12"/>
  <c r="C123" i="12"/>
  <c r="B123" i="12"/>
  <c r="J122" i="12"/>
  <c r="I122" i="12"/>
  <c r="H122" i="12"/>
  <c r="G122" i="12"/>
  <c r="F122" i="12"/>
  <c r="E122" i="12"/>
  <c r="D122" i="12"/>
  <c r="C122" i="12"/>
  <c r="B122" i="12"/>
  <c r="J121" i="12"/>
  <c r="I121" i="12"/>
  <c r="H121" i="12"/>
  <c r="G121" i="12"/>
  <c r="F121" i="12"/>
  <c r="E121" i="12"/>
  <c r="D121" i="12"/>
  <c r="C121" i="12"/>
  <c r="B121" i="12"/>
  <c r="J120" i="12"/>
  <c r="I120" i="12"/>
  <c r="H120" i="12"/>
  <c r="G120" i="12"/>
  <c r="F120" i="12"/>
  <c r="E120" i="12"/>
  <c r="D120" i="12"/>
  <c r="C120" i="12"/>
  <c r="B120" i="12"/>
  <c r="J115" i="12"/>
  <c r="I115" i="12"/>
  <c r="H115" i="12"/>
  <c r="G115" i="12"/>
  <c r="F115" i="12"/>
  <c r="E115" i="12"/>
  <c r="D115" i="12"/>
  <c r="C115" i="12"/>
  <c r="B115" i="12"/>
  <c r="J114" i="12"/>
  <c r="I114" i="12"/>
  <c r="H114" i="12"/>
  <c r="G114" i="12"/>
  <c r="F114" i="12"/>
  <c r="E114" i="12"/>
  <c r="D114" i="12"/>
  <c r="C114" i="12"/>
  <c r="B114" i="12"/>
  <c r="J113" i="12"/>
  <c r="I113" i="12"/>
  <c r="H113" i="12"/>
  <c r="G113" i="12"/>
  <c r="F113" i="12"/>
  <c r="E113" i="12"/>
  <c r="D113" i="12"/>
  <c r="C113" i="12"/>
  <c r="B113" i="12"/>
  <c r="J112" i="12"/>
  <c r="I112" i="12"/>
  <c r="H112" i="12"/>
  <c r="G112" i="12"/>
  <c r="F112" i="12"/>
  <c r="E112" i="12"/>
  <c r="D112" i="12"/>
  <c r="C112" i="12"/>
  <c r="B112" i="12"/>
  <c r="J111" i="12"/>
  <c r="I111" i="12"/>
  <c r="H111" i="12"/>
  <c r="G111" i="12"/>
  <c r="F111" i="12"/>
  <c r="E111" i="12"/>
  <c r="D111" i="12"/>
  <c r="C111" i="12"/>
  <c r="B111" i="12"/>
  <c r="J110" i="12"/>
  <c r="I110" i="12"/>
  <c r="H110" i="12"/>
  <c r="G110" i="12"/>
  <c r="F110" i="12"/>
  <c r="E110" i="12"/>
  <c r="D110" i="12"/>
  <c r="C110" i="12"/>
  <c r="B110" i="12"/>
  <c r="J109" i="12"/>
  <c r="I109" i="12"/>
  <c r="H109" i="12"/>
  <c r="G109" i="12"/>
  <c r="F109" i="12"/>
  <c r="E109" i="12"/>
  <c r="D109" i="12"/>
  <c r="C109" i="12"/>
  <c r="B109" i="12"/>
  <c r="J108" i="12"/>
  <c r="I108" i="12"/>
  <c r="H108" i="12"/>
  <c r="G108" i="12"/>
  <c r="F108" i="12"/>
  <c r="E108" i="12"/>
  <c r="D108" i="12"/>
  <c r="C108" i="12"/>
  <c r="B108" i="12"/>
  <c r="J107" i="12"/>
  <c r="I107" i="12"/>
  <c r="H107" i="12"/>
  <c r="G107" i="12"/>
  <c r="F107" i="12"/>
  <c r="E107" i="12"/>
  <c r="D107" i="12"/>
  <c r="C107" i="12"/>
  <c r="B107" i="12"/>
  <c r="J102" i="12"/>
  <c r="I102" i="12"/>
  <c r="H102" i="12"/>
  <c r="G102" i="12"/>
  <c r="F102" i="12"/>
  <c r="E102" i="12"/>
  <c r="D102" i="12"/>
  <c r="C102" i="12"/>
  <c r="B102" i="12"/>
  <c r="J101" i="12"/>
  <c r="I101" i="12"/>
  <c r="H101" i="12"/>
  <c r="G101" i="12"/>
  <c r="F101" i="12"/>
  <c r="E101" i="12"/>
  <c r="D101" i="12"/>
  <c r="C101" i="12"/>
  <c r="B101" i="12"/>
  <c r="J100" i="12"/>
  <c r="I100" i="12"/>
  <c r="H100" i="12"/>
  <c r="G100" i="12"/>
  <c r="F100" i="12"/>
  <c r="E100" i="12"/>
  <c r="D100" i="12"/>
  <c r="C100" i="12"/>
  <c r="B100" i="12"/>
  <c r="J99" i="12"/>
  <c r="I99" i="12"/>
  <c r="H99" i="12"/>
  <c r="G99" i="12"/>
  <c r="F99" i="12"/>
  <c r="E99" i="12"/>
  <c r="D99" i="12"/>
  <c r="C99" i="12"/>
  <c r="B99" i="12"/>
  <c r="J98" i="12"/>
  <c r="I98" i="12"/>
  <c r="H98" i="12"/>
  <c r="G98" i="12"/>
  <c r="F98" i="12"/>
  <c r="E98" i="12"/>
  <c r="D98" i="12"/>
  <c r="C98" i="12"/>
  <c r="B98" i="12"/>
  <c r="J97" i="12"/>
  <c r="I97" i="12"/>
  <c r="H97" i="12"/>
  <c r="G97" i="12"/>
  <c r="F97" i="12"/>
  <c r="E97" i="12"/>
  <c r="D97" i="12"/>
  <c r="C97" i="12"/>
  <c r="B97" i="12"/>
  <c r="J96" i="12"/>
  <c r="I96" i="12"/>
  <c r="H96" i="12"/>
  <c r="G96" i="12"/>
  <c r="F96" i="12"/>
  <c r="E96" i="12"/>
  <c r="D96" i="12"/>
  <c r="C96" i="12"/>
  <c r="B96" i="12"/>
  <c r="J95" i="12"/>
  <c r="I95" i="12"/>
  <c r="H95" i="12"/>
  <c r="G95" i="12"/>
  <c r="F95" i="12"/>
  <c r="E95" i="12"/>
  <c r="D95" i="12"/>
  <c r="C95" i="12"/>
  <c r="B95" i="12"/>
  <c r="J94" i="12"/>
  <c r="I94" i="12"/>
  <c r="H94" i="12"/>
  <c r="G94" i="12"/>
  <c r="F94" i="12"/>
  <c r="E94" i="12"/>
  <c r="D94" i="12"/>
  <c r="C94" i="12"/>
  <c r="B94" i="12"/>
  <c r="J89" i="12"/>
  <c r="I89" i="12"/>
  <c r="H89" i="12"/>
  <c r="G89" i="12"/>
  <c r="F89" i="12"/>
  <c r="E89" i="12"/>
  <c r="D89" i="12"/>
  <c r="C89" i="12"/>
  <c r="B89" i="12"/>
  <c r="J88" i="12"/>
  <c r="I88" i="12"/>
  <c r="H88" i="12"/>
  <c r="G88" i="12"/>
  <c r="F88" i="12"/>
  <c r="E88" i="12"/>
  <c r="D88" i="12"/>
  <c r="C88" i="12"/>
  <c r="B88" i="12"/>
  <c r="J87" i="12"/>
  <c r="I87" i="12"/>
  <c r="H87" i="12"/>
  <c r="G87" i="12"/>
  <c r="F87" i="12"/>
  <c r="E87" i="12"/>
  <c r="D87" i="12"/>
  <c r="C87" i="12"/>
  <c r="B87" i="12"/>
  <c r="J86" i="12"/>
  <c r="I86" i="12"/>
  <c r="H86" i="12"/>
  <c r="G86" i="12"/>
  <c r="F86" i="12"/>
  <c r="E86" i="12"/>
  <c r="D86" i="12"/>
  <c r="C86" i="12"/>
  <c r="B86" i="12"/>
  <c r="J85" i="12"/>
  <c r="I85" i="12"/>
  <c r="H85" i="12"/>
  <c r="G85" i="12"/>
  <c r="F85" i="12"/>
  <c r="E85" i="12"/>
  <c r="D85" i="12"/>
  <c r="C85" i="12"/>
  <c r="B85" i="12"/>
  <c r="J84" i="12"/>
  <c r="I84" i="12"/>
  <c r="H84" i="12"/>
  <c r="G84" i="12"/>
  <c r="F84" i="12"/>
  <c r="E84" i="12"/>
  <c r="D84" i="12"/>
  <c r="C84" i="12"/>
  <c r="B84" i="12"/>
  <c r="J83" i="12"/>
  <c r="I83" i="12"/>
  <c r="H83" i="12"/>
  <c r="G83" i="12"/>
  <c r="F83" i="12"/>
  <c r="E83" i="12"/>
  <c r="D83" i="12"/>
  <c r="C83" i="12"/>
  <c r="B83" i="12"/>
  <c r="J82" i="12"/>
  <c r="I82" i="12"/>
  <c r="H82" i="12"/>
  <c r="G82" i="12"/>
  <c r="F82" i="12"/>
  <c r="E82" i="12"/>
  <c r="D82" i="12"/>
  <c r="C82" i="12"/>
  <c r="B82" i="12"/>
  <c r="J81" i="12"/>
  <c r="I81" i="12"/>
  <c r="H81" i="12"/>
  <c r="G81" i="12"/>
  <c r="F81" i="12"/>
  <c r="E81" i="12"/>
  <c r="D81" i="12"/>
  <c r="C81" i="12"/>
  <c r="B81" i="12"/>
  <c r="J76" i="12"/>
  <c r="I76" i="12"/>
  <c r="H76" i="12"/>
  <c r="G76" i="12"/>
  <c r="F76" i="12"/>
  <c r="E76" i="12"/>
  <c r="D76" i="12"/>
  <c r="C76" i="12"/>
  <c r="B76" i="12"/>
  <c r="J75" i="12"/>
  <c r="I75" i="12"/>
  <c r="H75" i="12"/>
  <c r="G75" i="12"/>
  <c r="F75" i="12"/>
  <c r="E75" i="12"/>
  <c r="D75" i="12"/>
  <c r="C75" i="12"/>
  <c r="B75" i="12"/>
  <c r="J74" i="12"/>
  <c r="I74" i="12"/>
  <c r="H74" i="12"/>
  <c r="G74" i="12"/>
  <c r="F74" i="12"/>
  <c r="E74" i="12"/>
  <c r="D74" i="12"/>
  <c r="C74" i="12"/>
  <c r="B74" i="12"/>
  <c r="J73" i="12"/>
  <c r="I73" i="12"/>
  <c r="H73" i="12"/>
  <c r="G73" i="12"/>
  <c r="F73" i="12"/>
  <c r="E73" i="12"/>
  <c r="D73" i="12"/>
  <c r="C73" i="12"/>
  <c r="B73" i="12"/>
  <c r="J72" i="12"/>
  <c r="I72" i="12"/>
  <c r="H72" i="12"/>
  <c r="G72" i="12"/>
  <c r="F72" i="12"/>
  <c r="E72" i="12"/>
  <c r="D72" i="12"/>
  <c r="C72" i="12"/>
  <c r="B72" i="12"/>
  <c r="J71" i="12"/>
  <c r="I71" i="12"/>
  <c r="H71" i="12"/>
  <c r="G71" i="12"/>
  <c r="F71" i="12"/>
  <c r="E71" i="12"/>
  <c r="D71" i="12"/>
  <c r="C71" i="12"/>
  <c r="B71" i="12"/>
  <c r="J70" i="12"/>
  <c r="I70" i="12"/>
  <c r="H70" i="12"/>
  <c r="G70" i="12"/>
  <c r="F70" i="12"/>
  <c r="E70" i="12"/>
  <c r="D70" i="12"/>
  <c r="C70" i="12"/>
  <c r="B70" i="12"/>
  <c r="J69" i="12"/>
  <c r="I69" i="12"/>
  <c r="H69" i="12"/>
  <c r="G69" i="12"/>
  <c r="F69" i="12"/>
  <c r="E69" i="12"/>
  <c r="D69" i="12"/>
  <c r="C69" i="12"/>
  <c r="B69" i="12"/>
  <c r="J68" i="12"/>
  <c r="I68" i="12"/>
  <c r="H68" i="12"/>
  <c r="G68" i="12"/>
  <c r="F68" i="12"/>
  <c r="E68" i="12"/>
  <c r="D68" i="12"/>
  <c r="C68" i="12"/>
  <c r="B68" i="12"/>
  <c r="J63" i="12"/>
  <c r="I63" i="12"/>
  <c r="H63" i="12"/>
  <c r="G63" i="12"/>
  <c r="F63" i="12"/>
  <c r="E63" i="12"/>
  <c r="D63" i="12"/>
  <c r="C63" i="12"/>
  <c r="B63" i="12"/>
  <c r="J62" i="12"/>
  <c r="I62" i="12"/>
  <c r="H62" i="12"/>
  <c r="G62" i="12"/>
  <c r="F62" i="12"/>
  <c r="E62" i="12"/>
  <c r="D62" i="12"/>
  <c r="C62" i="12"/>
  <c r="B62" i="12"/>
  <c r="J61" i="12"/>
  <c r="I61" i="12"/>
  <c r="H61" i="12"/>
  <c r="G61" i="12"/>
  <c r="F61" i="12"/>
  <c r="E61" i="12"/>
  <c r="D61" i="12"/>
  <c r="C61" i="12"/>
  <c r="B61" i="12"/>
  <c r="J60" i="12"/>
  <c r="I60" i="12"/>
  <c r="H60" i="12"/>
  <c r="G60" i="12"/>
  <c r="F60" i="12"/>
  <c r="E60" i="12"/>
  <c r="D60" i="12"/>
  <c r="C60" i="12"/>
  <c r="B60" i="12"/>
  <c r="J59" i="12"/>
  <c r="I59" i="12"/>
  <c r="H59" i="12"/>
  <c r="G59" i="12"/>
  <c r="F59" i="12"/>
  <c r="E59" i="12"/>
  <c r="D59" i="12"/>
  <c r="C59" i="12"/>
  <c r="B59" i="12"/>
  <c r="J58" i="12"/>
  <c r="I58" i="12"/>
  <c r="H58" i="12"/>
  <c r="G58" i="12"/>
  <c r="F58" i="12"/>
  <c r="E58" i="12"/>
  <c r="D58" i="12"/>
  <c r="C58" i="12"/>
  <c r="B58" i="12"/>
  <c r="J57" i="12"/>
  <c r="I57" i="12"/>
  <c r="H57" i="12"/>
  <c r="G57" i="12"/>
  <c r="F57" i="12"/>
  <c r="E57" i="12"/>
  <c r="D57" i="12"/>
  <c r="C57" i="12"/>
  <c r="B57" i="12"/>
  <c r="J56" i="12"/>
  <c r="I56" i="12"/>
  <c r="H56" i="12"/>
  <c r="G56" i="12"/>
  <c r="F56" i="12"/>
  <c r="E56" i="12"/>
  <c r="D56" i="12"/>
  <c r="C56" i="12"/>
  <c r="B56" i="12"/>
  <c r="J55" i="12"/>
  <c r="I55" i="12"/>
  <c r="H55" i="12"/>
  <c r="G55" i="12"/>
  <c r="F55" i="12"/>
  <c r="E55" i="12"/>
  <c r="D55" i="12"/>
  <c r="C55" i="12"/>
  <c r="B55" i="12"/>
  <c r="J50" i="12"/>
  <c r="I50" i="12"/>
  <c r="H50" i="12"/>
  <c r="G50" i="12"/>
  <c r="F50" i="12"/>
  <c r="E50" i="12"/>
  <c r="D50" i="12"/>
  <c r="C50" i="12"/>
  <c r="B50" i="12"/>
  <c r="J49" i="12"/>
  <c r="I49" i="12"/>
  <c r="H49" i="12"/>
  <c r="G49" i="12"/>
  <c r="F49" i="12"/>
  <c r="D49" i="12"/>
  <c r="C49" i="12"/>
  <c r="B49" i="12"/>
  <c r="J48" i="12"/>
  <c r="I48" i="12"/>
  <c r="H48" i="12"/>
  <c r="G48" i="12"/>
  <c r="F48" i="12"/>
  <c r="E48" i="12"/>
  <c r="D48" i="12"/>
  <c r="C48" i="12"/>
  <c r="B48" i="12"/>
  <c r="J47" i="12"/>
  <c r="I47" i="12"/>
  <c r="H47" i="12"/>
  <c r="G47" i="12"/>
  <c r="F47" i="12"/>
  <c r="E47" i="12"/>
  <c r="D47" i="12"/>
  <c r="C47" i="12"/>
  <c r="B47" i="12"/>
  <c r="J46" i="12"/>
  <c r="I46" i="12"/>
  <c r="H46" i="12"/>
  <c r="G46" i="12"/>
  <c r="F46" i="12"/>
  <c r="E46" i="12"/>
  <c r="D46" i="12"/>
  <c r="C46" i="12"/>
  <c r="B46" i="12"/>
  <c r="J45" i="12"/>
  <c r="I45" i="12"/>
  <c r="H45" i="12"/>
  <c r="G45" i="12"/>
  <c r="F45" i="12"/>
  <c r="E45" i="12"/>
  <c r="D45" i="12"/>
  <c r="C45" i="12"/>
  <c r="B45" i="12"/>
  <c r="J44" i="12"/>
  <c r="I44" i="12"/>
  <c r="H44" i="12"/>
  <c r="G44" i="12"/>
  <c r="F44" i="12"/>
  <c r="E44" i="12"/>
  <c r="D44" i="12"/>
  <c r="C44" i="12"/>
  <c r="B44" i="12"/>
  <c r="J43" i="12"/>
  <c r="I43" i="12"/>
  <c r="H43" i="12"/>
  <c r="G43" i="12"/>
  <c r="F43" i="12"/>
  <c r="E43" i="12"/>
  <c r="D43" i="12"/>
  <c r="C43" i="12"/>
  <c r="B43" i="12"/>
  <c r="J42" i="12"/>
  <c r="I42" i="12"/>
  <c r="H42" i="12"/>
  <c r="G42" i="12"/>
  <c r="F42" i="12"/>
  <c r="E42" i="12"/>
  <c r="D42" i="12"/>
  <c r="C42" i="12"/>
  <c r="B42" i="12"/>
  <c r="J37" i="12"/>
  <c r="I37" i="12"/>
  <c r="H37" i="12"/>
  <c r="G37" i="12"/>
  <c r="F37" i="12"/>
  <c r="E37" i="12"/>
  <c r="D37" i="12"/>
  <c r="C37" i="12"/>
  <c r="B37" i="12"/>
  <c r="J36" i="12"/>
  <c r="I36" i="12"/>
  <c r="H36" i="12"/>
  <c r="G36" i="12"/>
  <c r="F36" i="12"/>
  <c r="E36" i="12"/>
  <c r="D36" i="12"/>
  <c r="C36" i="12"/>
  <c r="B36" i="12"/>
  <c r="J35" i="12"/>
  <c r="I35" i="12"/>
  <c r="H35" i="12"/>
  <c r="G35" i="12"/>
  <c r="F35" i="12"/>
  <c r="E35" i="12"/>
  <c r="D35" i="12"/>
  <c r="C35" i="12"/>
  <c r="B35" i="12"/>
  <c r="J34" i="12"/>
  <c r="I34" i="12"/>
  <c r="H34" i="12"/>
  <c r="G34" i="12"/>
  <c r="F34" i="12"/>
  <c r="E34" i="12"/>
  <c r="D34" i="12"/>
  <c r="C34" i="12"/>
  <c r="B34" i="12"/>
  <c r="J33" i="12"/>
  <c r="I33" i="12"/>
  <c r="H33" i="12"/>
  <c r="G33" i="12"/>
  <c r="F33" i="12"/>
  <c r="E33" i="12"/>
  <c r="D33" i="12"/>
  <c r="C33" i="12"/>
  <c r="B33" i="12"/>
  <c r="J32" i="12"/>
  <c r="I32" i="12"/>
  <c r="H32" i="12"/>
  <c r="G32" i="12"/>
  <c r="F32" i="12"/>
  <c r="E32" i="12"/>
  <c r="D32" i="12"/>
  <c r="C32" i="12"/>
  <c r="B32" i="12"/>
  <c r="J31" i="12"/>
  <c r="I31" i="12"/>
  <c r="H31" i="12"/>
  <c r="G31" i="12"/>
  <c r="F31" i="12"/>
  <c r="E31" i="12"/>
  <c r="D31" i="12"/>
  <c r="C31" i="12"/>
  <c r="B31" i="12"/>
  <c r="J30" i="12"/>
  <c r="I30" i="12"/>
  <c r="H30" i="12"/>
  <c r="G30" i="12"/>
  <c r="F30" i="12"/>
  <c r="E30" i="12"/>
  <c r="D30" i="12"/>
  <c r="C30" i="12"/>
  <c r="B30" i="12"/>
  <c r="J29" i="12"/>
  <c r="I29" i="12"/>
  <c r="H29" i="12"/>
  <c r="G29" i="12"/>
  <c r="F29" i="12"/>
  <c r="E29" i="12"/>
  <c r="D29" i="12"/>
  <c r="C29" i="12"/>
  <c r="B29" i="12"/>
  <c r="J24" i="12"/>
  <c r="I24" i="12"/>
  <c r="H24" i="12"/>
  <c r="G24" i="12"/>
  <c r="F24" i="12"/>
  <c r="E24" i="12"/>
  <c r="D24" i="12"/>
  <c r="C24" i="12"/>
  <c r="B24" i="12"/>
  <c r="J23" i="12"/>
  <c r="I23" i="12"/>
  <c r="H23" i="12"/>
  <c r="G23" i="12"/>
  <c r="F23" i="12"/>
  <c r="E23" i="12"/>
  <c r="D23" i="12"/>
  <c r="C23" i="12"/>
  <c r="B23" i="12"/>
  <c r="J22" i="12"/>
  <c r="I22" i="12"/>
  <c r="H22" i="12"/>
  <c r="G22" i="12"/>
  <c r="F22" i="12"/>
  <c r="E22" i="12"/>
  <c r="D22" i="12"/>
  <c r="C22" i="12"/>
  <c r="B22" i="12"/>
  <c r="J21" i="12"/>
  <c r="I21" i="12"/>
  <c r="H21" i="12"/>
  <c r="G21" i="12"/>
  <c r="F21" i="12"/>
  <c r="E21" i="12"/>
  <c r="D21" i="12"/>
  <c r="C21" i="12"/>
  <c r="B21" i="12"/>
  <c r="J20" i="12"/>
  <c r="I20" i="12"/>
  <c r="H20" i="12"/>
  <c r="G20" i="12"/>
  <c r="F20" i="12"/>
  <c r="E20" i="12"/>
  <c r="D20" i="12"/>
  <c r="C20" i="12"/>
  <c r="B20" i="12"/>
  <c r="J19" i="12"/>
  <c r="I19" i="12"/>
  <c r="H19" i="12"/>
  <c r="G19" i="12"/>
  <c r="F19" i="12"/>
  <c r="E19" i="12"/>
  <c r="D19" i="12"/>
  <c r="C19" i="12"/>
  <c r="B19" i="12"/>
  <c r="J18" i="12"/>
  <c r="I18" i="12"/>
  <c r="H18" i="12"/>
  <c r="G18" i="12"/>
  <c r="F18" i="12"/>
  <c r="E18" i="12"/>
  <c r="D18" i="12"/>
  <c r="C18" i="12"/>
  <c r="B18" i="12"/>
  <c r="J17" i="12"/>
  <c r="I17" i="12"/>
  <c r="H17" i="12"/>
  <c r="G17" i="12"/>
  <c r="F17" i="12"/>
  <c r="E17" i="12"/>
  <c r="D17" i="12"/>
  <c r="C17" i="12"/>
  <c r="B17" i="12"/>
  <c r="J16" i="12"/>
  <c r="I16" i="12"/>
  <c r="H16" i="12"/>
  <c r="G16" i="12"/>
  <c r="F16" i="12"/>
  <c r="E16" i="12"/>
  <c r="D16" i="12"/>
  <c r="C16" i="12"/>
  <c r="B16" i="12"/>
  <c r="J11" i="12"/>
  <c r="I11" i="12"/>
  <c r="H11" i="12"/>
  <c r="G11" i="12"/>
  <c r="F11" i="12"/>
  <c r="E11" i="12"/>
  <c r="D11" i="12"/>
  <c r="C11" i="12"/>
  <c r="B11" i="12"/>
  <c r="J10" i="12"/>
  <c r="I10" i="12"/>
  <c r="H10" i="12"/>
  <c r="G10" i="12"/>
  <c r="F10" i="12"/>
  <c r="E10" i="12"/>
  <c r="D10" i="12"/>
  <c r="C10" i="12"/>
  <c r="B10" i="12"/>
  <c r="J9" i="12"/>
  <c r="I9" i="12"/>
  <c r="H9" i="12"/>
  <c r="G9" i="12"/>
  <c r="F9" i="12"/>
  <c r="E9" i="12"/>
  <c r="D9" i="12"/>
  <c r="C9" i="12"/>
  <c r="B9" i="12"/>
  <c r="J8" i="12"/>
  <c r="I8" i="12"/>
  <c r="H8" i="12"/>
  <c r="G8" i="12"/>
  <c r="F8" i="12"/>
  <c r="E8" i="12"/>
  <c r="D8" i="12"/>
  <c r="C8" i="12"/>
  <c r="B8" i="12"/>
  <c r="J7" i="12"/>
  <c r="I7" i="12"/>
  <c r="H7" i="12"/>
  <c r="G7" i="12"/>
  <c r="F7" i="12"/>
  <c r="E7" i="12"/>
  <c r="D7" i="12"/>
  <c r="C7" i="12"/>
  <c r="B7" i="12"/>
  <c r="J6" i="12"/>
  <c r="I6" i="12"/>
  <c r="H6" i="12"/>
  <c r="G6" i="12"/>
  <c r="F6" i="12"/>
  <c r="E6" i="12"/>
  <c r="D6" i="12"/>
  <c r="C6" i="12"/>
  <c r="B6" i="12"/>
  <c r="J5" i="12"/>
  <c r="I5" i="12"/>
  <c r="H5" i="12"/>
  <c r="G5" i="12"/>
  <c r="F5" i="12"/>
  <c r="E5" i="12"/>
  <c r="D5" i="12"/>
  <c r="C5" i="12"/>
  <c r="B5" i="12"/>
  <c r="J4" i="12"/>
  <c r="I4" i="12"/>
  <c r="H4" i="12"/>
  <c r="G4" i="12"/>
  <c r="F4" i="12"/>
  <c r="E4" i="12"/>
  <c r="D4" i="12"/>
  <c r="C4" i="12"/>
  <c r="B4" i="12"/>
  <c r="J3" i="12"/>
  <c r="I3" i="12"/>
  <c r="H3" i="12"/>
  <c r="G3" i="12"/>
  <c r="F3" i="12"/>
  <c r="E3" i="12"/>
  <c r="D3" i="12"/>
  <c r="C3" i="12"/>
  <c r="E49" i="12"/>
  <c r="B147" i="10"/>
  <c r="M142" i="10"/>
  <c r="L142" i="10"/>
  <c r="K142" i="10"/>
  <c r="J142" i="10"/>
  <c r="I142" i="10"/>
  <c r="H142" i="10"/>
  <c r="G142" i="10"/>
  <c r="F142" i="10"/>
  <c r="E142" i="10"/>
  <c r="D142" i="10"/>
  <c r="C142" i="10"/>
  <c r="B142" i="10"/>
  <c r="M141" i="10"/>
  <c r="L141" i="10"/>
  <c r="K141" i="10"/>
  <c r="J141" i="10"/>
  <c r="I141" i="10"/>
  <c r="H141" i="10"/>
  <c r="G141" i="10"/>
  <c r="F141" i="10"/>
  <c r="E141" i="10"/>
  <c r="D141" i="10"/>
  <c r="C141" i="10"/>
  <c r="B141" i="10"/>
  <c r="M140" i="10"/>
  <c r="L140" i="10"/>
  <c r="K140" i="10"/>
  <c r="J140" i="10"/>
  <c r="I140" i="10"/>
  <c r="H140" i="10"/>
  <c r="G140" i="10"/>
  <c r="F140" i="10"/>
  <c r="E140" i="10"/>
  <c r="D140" i="10"/>
  <c r="C140" i="10"/>
  <c r="B140" i="10"/>
  <c r="M139" i="10"/>
  <c r="L139" i="10"/>
  <c r="K139" i="10"/>
  <c r="J139" i="10"/>
  <c r="I139" i="10"/>
  <c r="H139" i="10"/>
  <c r="G139" i="10"/>
  <c r="F139" i="10"/>
  <c r="E139" i="10"/>
  <c r="D139" i="10"/>
  <c r="C139" i="10"/>
  <c r="B139" i="10"/>
  <c r="M138" i="10"/>
  <c r="L138" i="10"/>
  <c r="K138" i="10"/>
  <c r="J138" i="10"/>
  <c r="I138" i="10"/>
  <c r="H138" i="10"/>
  <c r="G138" i="10"/>
  <c r="F138" i="10"/>
  <c r="E138" i="10"/>
  <c r="D138" i="10"/>
  <c r="C138" i="10"/>
  <c r="B138" i="10"/>
  <c r="M137" i="10"/>
  <c r="L137" i="10"/>
  <c r="K137" i="10"/>
  <c r="J137" i="10"/>
  <c r="I137" i="10"/>
  <c r="H137" i="10"/>
  <c r="G137" i="10"/>
  <c r="F137" i="10"/>
  <c r="E137" i="10"/>
  <c r="D137" i="10"/>
  <c r="C137" i="10"/>
  <c r="B137" i="10"/>
  <c r="M136" i="10"/>
  <c r="L136" i="10"/>
  <c r="K136" i="10"/>
  <c r="J136" i="10"/>
  <c r="I136" i="10"/>
  <c r="H136" i="10"/>
  <c r="G136" i="10"/>
  <c r="F136" i="10"/>
  <c r="E136" i="10"/>
  <c r="D136" i="10"/>
  <c r="C136" i="10"/>
  <c r="B136" i="10"/>
  <c r="M135" i="10"/>
  <c r="L135" i="10"/>
  <c r="K135" i="10"/>
  <c r="J135" i="10"/>
  <c r="I135" i="10"/>
  <c r="H135" i="10"/>
  <c r="G135" i="10"/>
  <c r="F135" i="10"/>
  <c r="E135" i="10"/>
  <c r="D135" i="10"/>
  <c r="C135" i="10"/>
  <c r="B135" i="10"/>
  <c r="M130" i="10"/>
  <c r="L130" i="10"/>
  <c r="K130" i="10"/>
  <c r="J130" i="10"/>
  <c r="I130" i="10"/>
  <c r="H130" i="10"/>
  <c r="G130" i="10"/>
  <c r="F130" i="10"/>
  <c r="E130" i="10"/>
  <c r="D130" i="10"/>
  <c r="C130" i="10"/>
  <c r="B130" i="10"/>
  <c r="M129" i="10"/>
  <c r="L129" i="10"/>
  <c r="K129" i="10"/>
  <c r="J129" i="10"/>
  <c r="I129" i="10"/>
  <c r="H129" i="10"/>
  <c r="G129" i="10"/>
  <c r="F129" i="10"/>
  <c r="E129" i="10"/>
  <c r="D129" i="10"/>
  <c r="C129" i="10"/>
  <c r="B129" i="10"/>
  <c r="M128" i="10"/>
  <c r="L128" i="10"/>
  <c r="K128" i="10"/>
  <c r="J128" i="10"/>
  <c r="I128" i="10"/>
  <c r="H128" i="10"/>
  <c r="G128" i="10"/>
  <c r="F128" i="10"/>
  <c r="E128" i="10"/>
  <c r="D128" i="10"/>
  <c r="C128" i="10"/>
  <c r="B128" i="10"/>
  <c r="M127" i="10"/>
  <c r="L127" i="10"/>
  <c r="K127" i="10"/>
  <c r="J127" i="10"/>
  <c r="I127" i="10"/>
  <c r="H127" i="10"/>
  <c r="G127" i="10"/>
  <c r="F127" i="10"/>
  <c r="E127" i="10"/>
  <c r="D127" i="10"/>
  <c r="C127" i="10"/>
  <c r="B127" i="10"/>
  <c r="M126" i="10"/>
  <c r="L126" i="10"/>
  <c r="K126" i="10"/>
  <c r="J126" i="10"/>
  <c r="I126" i="10"/>
  <c r="H126" i="10"/>
  <c r="G126" i="10"/>
  <c r="F126" i="10"/>
  <c r="E126" i="10"/>
  <c r="D126" i="10"/>
  <c r="C126" i="10"/>
  <c r="B126" i="10"/>
  <c r="M125" i="10"/>
  <c r="L125" i="10"/>
  <c r="K125" i="10"/>
  <c r="J125" i="10"/>
  <c r="I125" i="10"/>
  <c r="H125" i="10"/>
  <c r="G125" i="10"/>
  <c r="F125" i="10"/>
  <c r="E125" i="10"/>
  <c r="D125" i="10"/>
  <c r="C125" i="10"/>
  <c r="B125" i="10"/>
  <c r="M124" i="10"/>
  <c r="L124" i="10"/>
  <c r="K124" i="10"/>
  <c r="J124" i="10"/>
  <c r="I124" i="10"/>
  <c r="H124" i="10"/>
  <c r="G124" i="10"/>
  <c r="F124" i="10"/>
  <c r="E124" i="10"/>
  <c r="D124" i="10"/>
  <c r="C124" i="10"/>
  <c r="B124" i="10"/>
  <c r="M123" i="10"/>
  <c r="L123" i="10"/>
  <c r="K123" i="10"/>
  <c r="J123" i="10"/>
  <c r="I123" i="10"/>
  <c r="H123" i="10"/>
  <c r="G123" i="10"/>
  <c r="F123" i="10"/>
  <c r="E123" i="10"/>
  <c r="D123" i="10"/>
  <c r="C123" i="10"/>
  <c r="B123" i="10"/>
  <c r="M118" i="10"/>
  <c r="L118" i="10"/>
  <c r="K118" i="10"/>
  <c r="J118" i="10"/>
  <c r="I118" i="10"/>
  <c r="H118" i="10"/>
  <c r="G118" i="10"/>
  <c r="F118" i="10"/>
  <c r="E118" i="10"/>
  <c r="D118" i="10"/>
  <c r="C118" i="10"/>
  <c r="B118" i="10"/>
  <c r="M117" i="10"/>
  <c r="L117" i="10"/>
  <c r="K117" i="10"/>
  <c r="J117" i="10"/>
  <c r="I117" i="10"/>
  <c r="H117" i="10"/>
  <c r="G117" i="10"/>
  <c r="F117" i="10"/>
  <c r="E117" i="10"/>
  <c r="D117" i="10"/>
  <c r="C117" i="10"/>
  <c r="B117" i="10"/>
  <c r="M116" i="10"/>
  <c r="L116" i="10"/>
  <c r="K116" i="10"/>
  <c r="J116" i="10"/>
  <c r="I116" i="10"/>
  <c r="H116" i="10"/>
  <c r="G116" i="10"/>
  <c r="F116" i="10"/>
  <c r="E116" i="10"/>
  <c r="D116" i="10"/>
  <c r="C116" i="10"/>
  <c r="B116" i="10"/>
  <c r="M115" i="10"/>
  <c r="L115" i="10"/>
  <c r="K115" i="10"/>
  <c r="J115" i="10"/>
  <c r="I115" i="10"/>
  <c r="H115" i="10"/>
  <c r="G115" i="10"/>
  <c r="F115" i="10"/>
  <c r="E115" i="10"/>
  <c r="D115" i="10"/>
  <c r="C115" i="10"/>
  <c r="B115" i="10"/>
  <c r="M114" i="10"/>
  <c r="L114" i="10"/>
  <c r="K114" i="10"/>
  <c r="J114" i="10"/>
  <c r="I114" i="10"/>
  <c r="H114" i="10"/>
  <c r="G114" i="10"/>
  <c r="F114" i="10"/>
  <c r="E114" i="10"/>
  <c r="D114" i="10"/>
  <c r="C114" i="10"/>
  <c r="B114" i="10"/>
  <c r="M113" i="10"/>
  <c r="L113" i="10"/>
  <c r="K113" i="10"/>
  <c r="J113" i="10"/>
  <c r="I113" i="10"/>
  <c r="H113" i="10"/>
  <c r="G113" i="10"/>
  <c r="F113" i="10"/>
  <c r="E113" i="10"/>
  <c r="D113" i="10"/>
  <c r="C113" i="10"/>
  <c r="B113" i="10"/>
  <c r="M112" i="10"/>
  <c r="L112" i="10"/>
  <c r="K112" i="10"/>
  <c r="J112" i="10"/>
  <c r="I112" i="10"/>
  <c r="H112" i="10"/>
  <c r="G112" i="10"/>
  <c r="F112" i="10"/>
  <c r="E112" i="10"/>
  <c r="D112" i="10"/>
  <c r="C112" i="10"/>
  <c r="B112" i="10"/>
  <c r="M111" i="10"/>
  <c r="L111" i="10"/>
  <c r="K111" i="10"/>
  <c r="J111" i="10"/>
  <c r="I111" i="10"/>
  <c r="H111" i="10"/>
  <c r="G111" i="10"/>
  <c r="F111" i="10"/>
  <c r="E111" i="10"/>
  <c r="D111" i="10"/>
  <c r="C111" i="10"/>
  <c r="B111" i="10"/>
  <c r="M106" i="10"/>
  <c r="L106" i="10"/>
  <c r="K106" i="10"/>
  <c r="J106" i="10"/>
  <c r="I106" i="10"/>
  <c r="H106" i="10"/>
  <c r="G106" i="10"/>
  <c r="F106" i="10"/>
  <c r="E106" i="10"/>
  <c r="D106" i="10"/>
  <c r="C106" i="10"/>
  <c r="B106" i="10"/>
  <c r="M105" i="10"/>
  <c r="L105" i="10"/>
  <c r="K105" i="10"/>
  <c r="J105" i="10"/>
  <c r="I105" i="10"/>
  <c r="H105" i="10"/>
  <c r="G105" i="10"/>
  <c r="F105" i="10"/>
  <c r="E105" i="10"/>
  <c r="D105" i="10"/>
  <c r="C105" i="10"/>
  <c r="B105" i="10"/>
  <c r="M104" i="10"/>
  <c r="L104" i="10"/>
  <c r="K104" i="10"/>
  <c r="J104" i="10"/>
  <c r="I104" i="10"/>
  <c r="H104" i="10"/>
  <c r="G104" i="10"/>
  <c r="F104" i="10"/>
  <c r="E104" i="10"/>
  <c r="D104" i="10"/>
  <c r="C104" i="10"/>
  <c r="B104" i="10"/>
  <c r="M103" i="10"/>
  <c r="L103" i="10"/>
  <c r="K103" i="10"/>
  <c r="J103" i="10"/>
  <c r="I103" i="10"/>
  <c r="H103" i="10"/>
  <c r="G103" i="10"/>
  <c r="F103" i="10"/>
  <c r="E103" i="10"/>
  <c r="D103" i="10"/>
  <c r="C103" i="10"/>
  <c r="B103" i="10"/>
  <c r="M102" i="10"/>
  <c r="L102" i="10"/>
  <c r="K102" i="10"/>
  <c r="J102" i="10"/>
  <c r="I102" i="10"/>
  <c r="H102" i="10"/>
  <c r="G102" i="10"/>
  <c r="F102" i="10"/>
  <c r="E102" i="10"/>
  <c r="D102" i="10"/>
  <c r="C102" i="10"/>
  <c r="B102" i="10"/>
  <c r="M101" i="10"/>
  <c r="L101" i="10"/>
  <c r="K101" i="10"/>
  <c r="J101" i="10"/>
  <c r="I101" i="10"/>
  <c r="H101" i="10"/>
  <c r="G101" i="10"/>
  <c r="F101" i="10"/>
  <c r="E101" i="10"/>
  <c r="D101" i="10"/>
  <c r="C101" i="10"/>
  <c r="B101" i="10"/>
  <c r="M100" i="10"/>
  <c r="L100" i="10"/>
  <c r="K100" i="10"/>
  <c r="J100" i="10"/>
  <c r="I100" i="10"/>
  <c r="H100" i="10"/>
  <c r="G100" i="10"/>
  <c r="F100" i="10"/>
  <c r="E100" i="10"/>
  <c r="D100" i="10"/>
  <c r="C100" i="10"/>
  <c r="B100" i="10"/>
  <c r="M99" i="10"/>
  <c r="L99" i="10"/>
  <c r="K99" i="10"/>
  <c r="J99" i="10"/>
  <c r="I99" i="10"/>
  <c r="H99" i="10"/>
  <c r="G99" i="10"/>
  <c r="F99" i="10"/>
  <c r="E99" i="10"/>
  <c r="D99" i="10"/>
  <c r="C99" i="10"/>
  <c r="B99" i="10"/>
  <c r="M94" i="10"/>
  <c r="L94" i="10"/>
  <c r="K94" i="10"/>
  <c r="J94" i="10"/>
  <c r="I94" i="10"/>
  <c r="H94" i="10"/>
  <c r="G94" i="10"/>
  <c r="F94" i="10"/>
  <c r="E94" i="10"/>
  <c r="D94" i="10"/>
  <c r="C94" i="10"/>
  <c r="B94" i="10"/>
  <c r="M93" i="10"/>
  <c r="L93" i="10"/>
  <c r="K93" i="10"/>
  <c r="J93" i="10"/>
  <c r="I93" i="10"/>
  <c r="H93" i="10"/>
  <c r="G93" i="10"/>
  <c r="F93" i="10"/>
  <c r="E93" i="10"/>
  <c r="D93" i="10"/>
  <c r="C93" i="10"/>
  <c r="B93" i="10"/>
  <c r="M92" i="10"/>
  <c r="L92" i="10"/>
  <c r="K92" i="10"/>
  <c r="J92" i="10"/>
  <c r="I92" i="10"/>
  <c r="H92" i="10"/>
  <c r="G92" i="10"/>
  <c r="F92" i="10"/>
  <c r="E92" i="10"/>
  <c r="D92" i="10"/>
  <c r="C92" i="10"/>
  <c r="B92" i="10"/>
  <c r="M91" i="10"/>
  <c r="L91" i="10"/>
  <c r="K91" i="10"/>
  <c r="J91" i="10"/>
  <c r="I91" i="10"/>
  <c r="H91" i="10"/>
  <c r="G91" i="10"/>
  <c r="F91" i="10"/>
  <c r="E91" i="10"/>
  <c r="D91" i="10"/>
  <c r="C91" i="10"/>
  <c r="B91" i="10"/>
  <c r="M90" i="10"/>
  <c r="L90" i="10"/>
  <c r="K90" i="10"/>
  <c r="J90" i="10"/>
  <c r="I90" i="10"/>
  <c r="H90" i="10"/>
  <c r="G90" i="10"/>
  <c r="F90" i="10"/>
  <c r="E90" i="10"/>
  <c r="D90" i="10"/>
  <c r="C90" i="10"/>
  <c r="B90" i="10"/>
  <c r="M89" i="10"/>
  <c r="L89" i="10"/>
  <c r="K89" i="10"/>
  <c r="J89" i="10"/>
  <c r="I89" i="10"/>
  <c r="H89" i="10"/>
  <c r="G89" i="10"/>
  <c r="F89" i="10"/>
  <c r="E89" i="10"/>
  <c r="D89" i="10"/>
  <c r="C89" i="10"/>
  <c r="B89" i="10"/>
  <c r="M88" i="10"/>
  <c r="L88" i="10"/>
  <c r="K88" i="10"/>
  <c r="J88" i="10"/>
  <c r="I88" i="10"/>
  <c r="H88" i="10"/>
  <c r="G88" i="10"/>
  <c r="F88" i="10"/>
  <c r="E88" i="10"/>
  <c r="D88" i="10"/>
  <c r="C88" i="10"/>
  <c r="B88" i="10"/>
  <c r="M87" i="10"/>
  <c r="L87" i="10"/>
  <c r="K87" i="10"/>
  <c r="J87" i="10"/>
  <c r="I87" i="10"/>
  <c r="H87" i="10"/>
  <c r="G87" i="10"/>
  <c r="F87" i="10"/>
  <c r="E87" i="10"/>
  <c r="D87" i="10"/>
  <c r="C87" i="10"/>
  <c r="B87" i="10"/>
  <c r="M82" i="10"/>
  <c r="L82" i="10"/>
  <c r="K82" i="10"/>
  <c r="J82" i="10"/>
  <c r="I82" i="10"/>
  <c r="H82" i="10"/>
  <c r="G82" i="10"/>
  <c r="F82" i="10"/>
  <c r="E82" i="10"/>
  <c r="D82" i="10"/>
  <c r="C82" i="10"/>
  <c r="B82" i="10"/>
  <c r="M81" i="10"/>
  <c r="L81" i="10"/>
  <c r="K81" i="10"/>
  <c r="J81" i="10"/>
  <c r="I81" i="10"/>
  <c r="H81" i="10"/>
  <c r="G81" i="10"/>
  <c r="F81" i="10"/>
  <c r="E81" i="10"/>
  <c r="D81" i="10"/>
  <c r="C81" i="10"/>
  <c r="B81" i="10"/>
  <c r="M80" i="10"/>
  <c r="L80" i="10"/>
  <c r="K80" i="10"/>
  <c r="J80" i="10"/>
  <c r="I80" i="10"/>
  <c r="H80" i="10"/>
  <c r="G80" i="10"/>
  <c r="F80" i="10"/>
  <c r="E80" i="10"/>
  <c r="D80" i="10"/>
  <c r="C80" i="10"/>
  <c r="B80" i="10"/>
  <c r="M79" i="10"/>
  <c r="L79" i="10"/>
  <c r="K79" i="10"/>
  <c r="J79" i="10"/>
  <c r="I79" i="10"/>
  <c r="H79" i="10"/>
  <c r="G79" i="10"/>
  <c r="F79" i="10"/>
  <c r="E79" i="10"/>
  <c r="D79" i="10"/>
  <c r="C79" i="10"/>
  <c r="B79" i="10"/>
  <c r="M78" i="10"/>
  <c r="L78" i="10"/>
  <c r="K78" i="10"/>
  <c r="J78" i="10"/>
  <c r="I78" i="10"/>
  <c r="H78" i="10"/>
  <c r="G78" i="10"/>
  <c r="F78" i="10"/>
  <c r="E78" i="10"/>
  <c r="D78" i="10"/>
  <c r="C78" i="10"/>
  <c r="B78" i="10"/>
  <c r="M77" i="10"/>
  <c r="L77" i="10"/>
  <c r="K77" i="10"/>
  <c r="J77" i="10"/>
  <c r="I77" i="10"/>
  <c r="H77" i="10"/>
  <c r="G77" i="10"/>
  <c r="F77" i="10"/>
  <c r="E77" i="10"/>
  <c r="D77" i="10"/>
  <c r="C77" i="10"/>
  <c r="B77" i="10"/>
  <c r="M76" i="10"/>
  <c r="L76" i="10"/>
  <c r="K76" i="10"/>
  <c r="J76" i="10"/>
  <c r="I76" i="10"/>
  <c r="H76" i="10"/>
  <c r="G76" i="10"/>
  <c r="F76" i="10"/>
  <c r="E76" i="10"/>
  <c r="D76" i="10"/>
  <c r="C76" i="10"/>
  <c r="B76" i="10"/>
  <c r="M75" i="10"/>
  <c r="L75" i="10"/>
  <c r="K75" i="10"/>
  <c r="J75" i="10"/>
  <c r="I75" i="10"/>
  <c r="H75" i="10"/>
  <c r="G75" i="10"/>
  <c r="F75" i="10"/>
  <c r="E75" i="10"/>
  <c r="D75" i="10"/>
  <c r="C75" i="10"/>
  <c r="B75" i="10"/>
  <c r="M70" i="10"/>
  <c r="L70" i="10"/>
  <c r="K70" i="10"/>
  <c r="J70" i="10"/>
  <c r="I70" i="10"/>
  <c r="H70" i="10"/>
  <c r="G70" i="10"/>
  <c r="F70" i="10"/>
  <c r="E70" i="10"/>
  <c r="D70" i="10"/>
  <c r="C70" i="10"/>
  <c r="B70" i="10"/>
  <c r="M69" i="10"/>
  <c r="L69" i="10"/>
  <c r="K69" i="10"/>
  <c r="J69" i="10"/>
  <c r="I69" i="10"/>
  <c r="H69" i="10"/>
  <c r="G69" i="10"/>
  <c r="F69" i="10"/>
  <c r="E69" i="10"/>
  <c r="D69" i="10"/>
  <c r="C69" i="10"/>
  <c r="B69" i="10"/>
  <c r="M68" i="10"/>
  <c r="L68" i="10"/>
  <c r="K68" i="10"/>
  <c r="J68" i="10"/>
  <c r="I68" i="10"/>
  <c r="H68" i="10"/>
  <c r="G68" i="10"/>
  <c r="F68" i="10"/>
  <c r="E68" i="10"/>
  <c r="D68" i="10"/>
  <c r="C68" i="10"/>
  <c r="B68" i="10"/>
  <c r="M67" i="10"/>
  <c r="L67" i="10"/>
  <c r="K67" i="10"/>
  <c r="J67" i="10"/>
  <c r="I67" i="10"/>
  <c r="H67" i="10"/>
  <c r="G67" i="10"/>
  <c r="F67" i="10"/>
  <c r="E67" i="10"/>
  <c r="D67" i="10"/>
  <c r="C67" i="10"/>
  <c r="B67" i="10"/>
  <c r="M66" i="10"/>
  <c r="L66" i="10"/>
  <c r="K66" i="10"/>
  <c r="J66" i="10"/>
  <c r="I66" i="10"/>
  <c r="H66" i="10"/>
  <c r="G66" i="10"/>
  <c r="F66" i="10"/>
  <c r="E66" i="10"/>
  <c r="D66" i="10"/>
  <c r="C66" i="10"/>
  <c r="B66" i="10"/>
  <c r="M65" i="10"/>
  <c r="L65" i="10"/>
  <c r="K65" i="10"/>
  <c r="J65" i="10"/>
  <c r="I65" i="10"/>
  <c r="H65" i="10"/>
  <c r="G65" i="10"/>
  <c r="F65" i="10"/>
  <c r="E65" i="10"/>
  <c r="D65" i="10"/>
  <c r="C65" i="10"/>
  <c r="B65" i="10"/>
  <c r="M64" i="10"/>
  <c r="L64" i="10"/>
  <c r="K64" i="10"/>
  <c r="J64" i="10"/>
  <c r="I64" i="10"/>
  <c r="H64" i="10"/>
  <c r="G64" i="10"/>
  <c r="F64" i="10"/>
  <c r="E64" i="10"/>
  <c r="D64" i="10"/>
  <c r="C64" i="10"/>
  <c r="B64" i="10"/>
  <c r="M63" i="10"/>
  <c r="L63" i="10"/>
  <c r="K63" i="10"/>
  <c r="J63" i="10"/>
  <c r="I63" i="10"/>
  <c r="H63" i="10"/>
  <c r="G63" i="10"/>
  <c r="F63" i="10"/>
  <c r="E63" i="10"/>
  <c r="D63" i="10"/>
  <c r="C63" i="10"/>
  <c r="B63" i="10"/>
  <c r="M58" i="10"/>
  <c r="L58" i="10"/>
  <c r="K58" i="10"/>
  <c r="J58" i="10"/>
  <c r="I58" i="10"/>
  <c r="H58" i="10"/>
  <c r="G58" i="10"/>
  <c r="F58" i="10"/>
  <c r="E58" i="10"/>
  <c r="D58" i="10"/>
  <c r="C58" i="10"/>
  <c r="B58" i="10"/>
  <c r="M57" i="10"/>
  <c r="L57" i="10"/>
  <c r="K57" i="10"/>
  <c r="J57" i="10"/>
  <c r="I57" i="10"/>
  <c r="H57" i="10"/>
  <c r="G57" i="10"/>
  <c r="F57" i="10"/>
  <c r="E57" i="10"/>
  <c r="D57" i="10"/>
  <c r="C57" i="10"/>
  <c r="B57" i="10"/>
  <c r="M56" i="10"/>
  <c r="L56" i="10"/>
  <c r="K56" i="10"/>
  <c r="J56" i="10"/>
  <c r="I56" i="10"/>
  <c r="H56" i="10"/>
  <c r="G56" i="10"/>
  <c r="F56" i="10"/>
  <c r="E56" i="10"/>
  <c r="D56" i="10"/>
  <c r="C56" i="10"/>
  <c r="B56" i="10"/>
  <c r="M55" i="10"/>
  <c r="L55" i="10"/>
  <c r="K55" i="10"/>
  <c r="J55" i="10"/>
  <c r="I55" i="10"/>
  <c r="H55" i="10"/>
  <c r="G55" i="10"/>
  <c r="F55" i="10"/>
  <c r="E55" i="10"/>
  <c r="D55" i="10"/>
  <c r="C55" i="10"/>
  <c r="B55" i="10"/>
  <c r="M54" i="10"/>
  <c r="L54" i="10"/>
  <c r="K54" i="10"/>
  <c r="J54" i="10"/>
  <c r="I54" i="10"/>
  <c r="H54" i="10"/>
  <c r="G54" i="10"/>
  <c r="F54" i="10"/>
  <c r="E54" i="10"/>
  <c r="D54" i="10"/>
  <c r="C54" i="10"/>
  <c r="B54" i="10"/>
  <c r="M53" i="10"/>
  <c r="L53" i="10"/>
  <c r="K53" i="10"/>
  <c r="J53" i="10"/>
  <c r="I53" i="10"/>
  <c r="H53" i="10"/>
  <c r="G53" i="10"/>
  <c r="F53" i="10"/>
  <c r="E53" i="10"/>
  <c r="D53" i="10"/>
  <c r="C53" i="10"/>
  <c r="B53" i="10"/>
  <c r="M52" i="10"/>
  <c r="L52" i="10"/>
  <c r="K52" i="10"/>
  <c r="J52" i="10"/>
  <c r="I52" i="10"/>
  <c r="H52" i="10"/>
  <c r="G52" i="10"/>
  <c r="F52" i="10"/>
  <c r="E52" i="10"/>
  <c r="D52" i="10"/>
  <c r="C52" i="10"/>
  <c r="B52" i="10"/>
  <c r="M51" i="10"/>
  <c r="L51" i="10"/>
  <c r="K51" i="10"/>
  <c r="J51" i="10"/>
  <c r="I51" i="10"/>
  <c r="H51" i="10"/>
  <c r="G51" i="10"/>
  <c r="F51" i="10"/>
  <c r="E51" i="10"/>
  <c r="D51" i="10"/>
  <c r="C51" i="10"/>
  <c r="B51" i="10"/>
  <c r="M46" i="10"/>
  <c r="L46" i="10"/>
  <c r="K46" i="10"/>
  <c r="J46" i="10"/>
  <c r="I46" i="10"/>
  <c r="H46" i="10"/>
  <c r="G46" i="10"/>
  <c r="F46" i="10"/>
  <c r="E46" i="10"/>
  <c r="D46" i="10"/>
  <c r="C46" i="10"/>
  <c r="B46" i="10"/>
  <c r="M45" i="10"/>
  <c r="L45" i="10"/>
  <c r="K45" i="10"/>
  <c r="J45" i="10"/>
  <c r="I45" i="10"/>
  <c r="H45" i="10"/>
  <c r="G45" i="10"/>
  <c r="F45" i="10"/>
  <c r="E45" i="10"/>
  <c r="D45" i="10"/>
  <c r="C45" i="10"/>
  <c r="B45" i="10"/>
  <c r="M44" i="10"/>
  <c r="L44" i="10"/>
  <c r="K44" i="10"/>
  <c r="J44" i="10"/>
  <c r="I44" i="10"/>
  <c r="H44" i="10"/>
  <c r="G44" i="10"/>
  <c r="F44" i="10"/>
  <c r="E44" i="10"/>
  <c r="D44" i="10"/>
  <c r="C44" i="10"/>
  <c r="B44" i="10"/>
  <c r="M43" i="10"/>
  <c r="L43" i="10"/>
  <c r="K43" i="10"/>
  <c r="J43" i="10"/>
  <c r="I43" i="10"/>
  <c r="H43" i="10"/>
  <c r="G43" i="10"/>
  <c r="F43" i="10"/>
  <c r="E43" i="10"/>
  <c r="D43" i="10"/>
  <c r="C43" i="10"/>
  <c r="B43" i="10"/>
  <c r="M42" i="10"/>
  <c r="L42" i="10"/>
  <c r="K42" i="10"/>
  <c r="J42" i="10"/>
  <c r="I42" i="10"/>
  <c r="H42" i="10"/>
  <c r="G42" i="10"/>
  <c r="F42" i="10"/>
  <c r="E42" i="10"/>
  <c r="D42" i="10"/>
  <c r="C42" i="10"/>
  <c r="B42" i="10"/>
  <c r="M41" i="10"/>
  <c r="L41" i="10"/>
  <c r="K41" i="10"/>
  <c r="J41" i="10"/>
  <c r="I41" i="10"/>
  <c r="H41" i="10"/>
  <c r="G41" i="10"/>
  <c r="F41" i="10"/>
  <c r="E41" i="10"/>
  <c r="D41" i="10"/>
  <c r="C41" i="10"/>
  <c r="B41" i="10"/>
  <c r="M40" i="10"/>
  <c r="L40" i="10"/>
  <c r="K40" i="10"/>
  <c r="J40" i="10"/>
  <c r="I40" i="10"/>
  <c r="H40" i="10"/>
  <c r="G40" i="10"/>
  <c r="F40" i="10"/>
  <c r="E40" i="10"/>
  <c r="D40" i="10"/>
  <c r="C40" i="10"/>
  <c r="B40" i="10"/>
  <c r="M39" i="10"/>
  <c r="L39" i="10"/>
  <c r="K39" i="10"/>
  <c r="J39" i="10"/>
  <c r="I39" i="10"/>
  <c r="H39" i="10"/>
  <c r="G39" i="10"/>
  <c r="F39" i="10"/>
  <c r="E39" i="10"/>
  <c r="D39" i="10"/>
  <c r="C39" i="10"/>
  <c r="B39" i="10"/>
  <c r="M34" i="10"/>
  <c r="L34" i="10"/>
  <c r="K34" i="10"/>
  <c r="J34" i="10"/>
  <c r="I34" i="10"/>
  <c r="H34" i="10"/>
  <c r="G34" i="10"/>
  <c r="F34" i="10"/>
  <c r="E34" i="10"/>
  <c r="D34" i="10"/>
  <c r="C34" i="10"/>
  <c r="B34" i="10"/>
  <c r="M33" i="10"/>
  <c r="L33" i="10"/>
  <c r="K33" i="10"/>
  <c r="J33" i="10"/>
  <c r="I33" i="10"/>
  <c r="H33" i="10"/>
  <c r="G33" i="10"/>
  <c r="F33" i="10"/>
  <c r="E33" i="10"/>
  <c r="D33" i="10"/>
  <c r="C33" i="10"/>
  <c r="B33" i="10"/>
  <c r="M32" i="10"/>
  <c r="L32" i="10"/>
  <c r="K32" i="10"/>
  <c r="J32" i="10"/>
  <c r="I32" i="10"/>
  <c r="H32" i="10"/>
  <c r="G32" i="10"/>
  <c r="F32" i="10"/>
  <c r="E32" i="10"/>
  <c r="D32" i="10"/>
  <c r="C32" i="10"/>
  <c r="B32" i="10"/>
  <c r="M31" i="10"/>
  <c r="L31" i="10"/>
  <c r="K31" i="10"/>
  <c r="J31" i="10"/>
  <c r="I31" i="10"/>
  <c r="H31" i="10"/>
  <c r="G31" i="10"/>
  <c r="F31" i="10"/>
  <c r="E31" i="10"/>
  <c r="D31" i="10"/>
  <c r="C31" i="10"/>
  <c r="B31" i="10"/>
  <c r="M30" i="10"/>
  <c r="L30" i="10"/>
  <c r="K30" i="10"/>
  <c r="J30" i="10"/>
  <c r="I30" i="10"/>
  <c r="H30" i="10"/>
  <c r="G30" i="10"/>
  <c r="F30" i="10"/>
  <c r="E30" i="10"/>
  <c r="D30" i="10"/>
  <c r="C30" i="10"/>
  <c r="B30" i="10"/>
  <c r="M29" i="10"/>
  <c r="L29" i="10"/>
  <c r="K29" i="10"/>
  <c r="J29" i="10"/>
  <c r="I29" i="10"/>
  <c r="H29" i="10"/>
  <c r="G29" i="10"/>
  <c r="F29" i="10"/>
  <c r="E29" i="10"/>
  <c r="D29" i="10"/>
  <c r="C29" i="10"/>
  <c r="B29" i="10"/>
  <c r="M28" i="10"/>
  <c r="L28" i="10"/>
  <c r="K28" i="10"/>
  <c r="J28" i="10"/>
  <c r="I28" i="10"/>
  <c r="H28" i="10"/>
  <c r="G28" i="10"/>
  <c r="F28" i="10"/>
  <c r="E28" i="10"/>
  <c r="D28" i="10"/>
  <c r="C28" i="10"/>
  <c r="B28" i="10"/>
  <c r="M27" i="10"/>
  <c r="L27" i="10"/>
  <c r="K27" i="10"/>
  <c r="J27" i="10"/>
  <c r="I27" i="10"/>
  <c r="H27" i="10"/>
  <c r="G27" i="10"/>
  <c r="F27" i="10"/>
  <c r="E27" i="10"/>
  <c r="D27" i="10"/>
  <c r="C27" i="10"/>
  <c r="B27" i="10"/>
  <c r="M22" i="10"/>
  <c r="L22" i="10"/>
  <c r="K22" i="10"/>
  <c r="J22" i="10"/>
  <c r="I22" i="10"/>
  <c r="H22" i="10"/>
  <c r="G22" i="10"/>
  <c r="F22" i="10"/>
  <c r="E22" i="10"/>
  <c r="D22" i="10"/>
  <c r="C22" i="10"/>
  <c r="B22" i="10"/>
  <c r="M21" i="10"/>
  <c r="L21" i="10"/>
  <c r="K21" i="10"/>
  <c r="J21" i="10"/>
  <c r="I21" i="10"/>
  <c r="H21" i="10"/>
  <c r="G21" i="10"/>
  <c r="F21" i="10"/>
  <c r="E21" i="10"/>
  <c r="D21" i="10"/>
  <c r="C21" i="10"/>
  <c r="B21" i="10"/>
  <c r="M20" i="10"/>
  <c r="L20" i="10"/>
  <c r="K20" i="10"/>
  <c r="J20" i="10"/>
  <c r="I20" i="10"/>
  <c r="H20" i="10"/>
  <c r="G20" i="10"/>
  <c r="F20" i="10"/>
  <c r="E20" i="10"/>
  <c r="D20" i="10"/>
  <c r="C20" i="10"/>
  <c r="B20" i="10"/>
  <c r="M19" i="10"/>
  <c r="L19" i="10"/>
  <c r="K19" i="10"/>
  <c r="J19" i="10"/>
  <c r="I19" i="10"/>
  <c r="H19" i="10"/>
  <c r="G19" i="10"/>
  <c r="F19" i="10"/>
  <c r="E19" i="10"/>
  <c r="D19" i="10"/>
  <c r="C19" i="10"/>
  <c r="B19" i="10"/>
  <c r="M18" i="10"/>
  <c r="L18" i="10"/>
  <c r="K18" i="10"/>
  <c r="J18" i="10"/>
  <c r="I18" i="10"/>
  <c r="H18" i="10"/>
  <c r="G18" i="10"/>
  <c r="F18" i="10"/>
  <c r="E18" i="10"/>
  <c r="D18" i="10"/>
  <c r="C18" i="10"/>
  <c r="B18" i="10"/>
  <c r="M17" i="10"/>
  <c r="L17" i="10"/>
  <c r="K17" i="10"/>
  <c r="J17" i="10"/>
  <c r="I17" i="10"/>
  <c r="H17" i="10"/>
  <c r="G17" i="10"/>
  <c r="F17" i="10"/>
  <c r="E17" i="10"/>
  <c r="D17" i="10"/>
  <c r="C17" i="10"/>
  <c r="B17" i="10"/>
  <c r="M16" i="10"/>
  <c r="L16" i="10"/>
  <c r="K16" i="10"/>
  <c r="J16" i="10"/>
  <c r="I16" i="10"/>
  <c r="H16" i="10"/>
  <c r="G16" i="10"/>
  <c r="F16" i="10"/>
  <c r="E16" i="10"/>
  <c r="D16" i="10"/>
  <c r="C16" i="10"/>
  <c r="B16" i="10"/>
  <c r="M15" i="10"/>
  <c r="L15" i="10"/>
  <c r="K15" i="10"/>
  <c r="J15" i="10"/>
  <c r="I15" i="10"/>
  <c r="H15" i="10"/>
  <c r="G15" i="10"/>
  <c r="F15" i="10"/>
  <c r="E15" i="10"/>
  <c r="D15" i="10"/>
  <c r="C15" i="10"/>
  <c r="B15" i="10"/>
  <c r="M10" i="10"/>
  <c r="L10" i="10"/>
  <c r="K10" i="10"/>
  <c r="J10" i="10"/>
  <c r="I10" i="10"/>
  <c r="H10" i="10"/>
  <c r="G10" i="10"/>
  <c r="F10" i="10"/>
  <c r="E10" i="10"/>
  <c r="D10" i="10"/>
  <c r="C10" i="10"/>
  <c r="B10" i="10"/>
  <c r="M9" i="10"/>
  <c r="L9" i="10"/>
  <c r="K9" i="10"/>
  <c r="J9" i="10"/>
  <c r="I9" i="10"/>
  <c r="H9" i="10"/>
  <c r="G9" i="10"/>
  <c r="F9" i="10"/>
  <c r="E9" i="10"/>
  <c r="D9" i="10"/>
  <c r="C9" i="10"/>
  <c r="B9" i="10"/>
  <c r="M8" i="10"/>
  <c r="L8" i="10"/>
  <c r="K8" i="10"/>
  <c r="J8" i="10"/>
  <c r="I8" i="10"/>
  <c r="H8" i="10"/>
  <c r="G8" i="10"/>
  <c r="F8" i="10"/>
  <c r="E8" i="10"/>
  <c r="D8" i="10"/>
  <c r="C8" i="10"/>
  <c r="B8" i="10"/>
  <c r="M7" i="10"/>
  <c r="L7" i="10"/>
  <c r="K7" i="10"/>
  <c r="J7" i="10"/>
  <c r="I7" i="10"/>
  <c r="H7" i="10"/>
  <c r="G7" i="10"/>
  <c r="F7" i="10"/>
  <c r="E7" i="10"/>
  <c r="D7" i="10"/>
  <c r="C7" i="10"/>
  <c r="B7" i="10"/>
  <c r="M6" i="10"/>
  <c r="L6" i="10"/>
  <c r="K6" i="10"/>
  <c r="J6" i="10"/>
  <c r="I6" i="10"/>
  <c r="H6" i="10"/>
  <c r="G6" i="10"/>
  <c r="F6" i="10"/>
  <c r="E6" i="10"/>
  <c r="D6" i="10"/>
  <c r="C6" i="10"/>
  <c r="B6" i="10"/>
  <c r="M5" i="10"/>
  <c r="L5" i="10"/>
  <c r="K5" i="10"/>
  <c r="J5" i="10"/>
  <c r="I5" i="10"/>
  <c r="H5" i="10"/>
  <c r="G5" i="10"/>
  <c r="F5" i="10"/>
  <c r="E5" i="10"/>
  <c r="D5" i="10"/>
  <c r="C5" i="10"/>
  <c r="B5" i="10"/>
  <c r="M4" i="10"/>
  <c r="L4" i="10"/>
  <c r="K4" i="10"/>
  <c r="J4" i="10"/>
  <c r="I4" i="10"/>
  <c r="H4" i="10"/>
  <c r="G4" i="10"/>
  <c r="F4" i="10"/>
  <c r="E4" i="10"/>
  <c r="D4" i="10"/>
  <c r="C4" i="10"/>
  <c r="B4" i="10"/>
  <c r="M3" i="10"/>
  <c r="L3" i="10"/>
  <c r="K3" i="10"/>
  <c r="J3" i="10"/>
  <c r="I3" i="10"/>
  <c r="H3" i="10"/>
  <c r="G3" i="10"/>
  <c r="F3" i="10"/>
  <c r="E3" i="10"/>
  <c r="D3" i="10"/>
  <c r="C3" i="10"/>
  <c r="M178" i="9"/>
  <c r="L178" i="9"/>
  <c r="K178" i="9"/>
  <c r="J178" i="9"/>
  <c r="I178" i="9"/>
  <c r="H178" i="9"/>
  <c r="G178" i="9"/>
  <c r="F178" i="9"/>
  <c r="E178" i="9"/>
  <c r="D178" i="9"/>
  <c r="C178" i="9"/>
  <c r="B178" i="9"/>
  <c r="M177" i="9"/>
  <c r="L177" i="9"/>
  <c r="K177" i="9"/>
  <c r="J177" i="9"/>
  <c r="I177" i="9"/>
  <c r="H177" i="9"/>
  <c r="G177" i="9"/>
  <c r="F177" i="9"/>
  <c r="E177" i="9"/>
  <c r="D177" i="9"/>
  <c r="C177" i="9"/>
  <c r="B177" i="9"/>
  <c r="M176" i="9"/>
  <c r="L176" i="9"/>
  <c r="K176" i="9"/>
  <c r="J176" i="9"/>
  <c r="I176" i="9"/>
  <c r="H176" i="9"/>
  <c r="G176" i="9"/>
  <c r="F176" i="9"/>
  <c r="E176" i="9"/>
  <c r="D176" i="9"/>
  <c r="C176" i="9"/>
  <c r="B176" i="9"/>
  <c r="M175" i="9"/>
  <c r="L175" i="9"/>
  <c r="K175" i="9"/>
  <c r="J175" i="9"/>
  <c r="I175" i="9"/>
  <c r="H175" i="9"/>
  <c r="G175" i="9"/>
  <c r="F175" i="9"/>
  <c r="E175" i="9"/>
  <c r="D175" i="9"/>
  <c r="C175" i="9"/>
  <c r="B175" i="9"/>
  <c r="M174" i="9"/>
  <c r="L174" i="9"/>
  <c r="K174" i="9"/>
  <c r="J174" i="9"/>
  <c r="I174" i="9"/>
  <c r="H174" i="9"/>
  <c r="G174" i="9"/>
  <c r="F174" i="9"/>
  <c r="E174" i="9"/>
  <c r="D174" i="9"/>
  <c r="C174" i="9"/>
  <c r="B174" i="9"/>
  <c r="M173" i="9"/>
  <c r="L173" i="9"/>
  <c r="K173" i="9"/>
  <c r="J173" i="9"/>
  <c r="I173" i="9"/>
  <c r="H173" i="9"/>
  <c r="G173" i="9"/>
  <c r="F173" i="9"/>
  <c r="E173" i="9"/>
  <c r="D173" i="9"/>
  <c r="C173" i="9"/>
  <c r="B173" i="9"/>
  <c r="M172" i="9"/>
  <c r="L172" i="9"/>
  <c r="K172" i="9"/>
  <c r="J172" i="9"/>
  <c r="I172" i="9"/>
  <c r="H172" i="9"/>
  <c r="G172" i="9"/>
  <c r="F172" i="9"/>
  <c r="E172" i="9"/>
  <c r="D172" i="9"/>
  <c r="C172" i="9"/>
  <c r="B172" i="9"/>
  <c r="M171" i="9"/>
  <c r="L171" i="9"/>
  <c r="K171" i="9"/>
  <c r="J171" i="9"/>
  <c r="I171" i="9"/>
  <c r="H171" i="9"/>
  <c r="G171" i="9"/>
  <c r="F171" i="9"/>
  <c r="E171" i="9"/>
  <c r="D171" i="9"/>
  <c r="C171" i="9"/>
  <c r="B171" i="9"/>
  <c r="M166" i="9"/>
  <c r="L166" i="9"/>
  <c r="K166" i="9"/>
  <c r="J166" i="9"/>
  <c r="I166" i="9"/>
  <c r="H166" i="9"/>
  <c r="G166" i="9"/>
  <c r="F166" i="9"/>
  <c r="E166" i="9"/>
  <c r="D166" i="9"/>
  <c r="C166" i="9"/>
  <c r="B166" i="9"/>
  <c r="M165" i="9"/>
  <c r="L165" i="9"/>
  <c r="K165" i="9"/>
  <c r="J165" i="9"/>
  <c r="I165" i="9"/>
  <c r="H165" i="9"/>
  <c r="G165" i="9"/>
  <c r="F165" i="9"/>
  <c r="E165" i="9"/>
  <c r="D165" i="9"/>
  <c r="C165" i="9"/>
  <c r="B165" i="9"/>
  <c r="M164" i="9"/>
  <c r="L164" i="9"/>
  <c r="K164" i="9"/>
  <c r="J164" i="9"/>
  <c r="I164" i="9"/>
  <c r="H164" i="9"/>
  <c r="G164" i="9"/>
  <c r="F164" i="9"/>
  <c r="E164" i="9"/>
  <c r="D164" i="9"/>
  <c r="C164" i="9"/>
  <c r="B164" i="9"/>
  <c r="M163" i="9"/>
  <c r="L163" i="9"/>
  <c r="K163" i="9"/>
  <c r="J163" i="9"/>
  <c r="I163" i="9"/>
  <c r="H163" i="9"/>
  <c r="G163" i="9"/>
  <c r="F163" i="9"/>
  <c r="E163" i="9"/>
  <c r="D163" i="9"/>
  <c r="C163" i="9"/>
  <c r="B163" i="9"/>
  <c r="M162" i="9"/>
  <c r="L162" i="9"/>
  <c r="K162" i="9"/>
  <c r="J162" i="9"/>
  <c r="I162" i="9"/>
  <c r="H162" i="9"/>
  <c r="G162" i="9"/>
  <c r="F162" i="9"/>
  <c r="E162" i="9"/>
  <c r="D162" i="9"/>
  <c r="C162" i="9"/>
  <c r="B162" i="9"/>
  <c r="M161" i="9"/>
  <c r="L161" i="9"/>
  <c r="K161" i="9"/>
  <c r="J161" i="9"/>
  <c r="I161" i="9"/>
  <c r="H161" i="9"/>
  <c r="G161" i="9"/>
  <c r="F161" i="9"/>
  <c r="E161" i="9"/>
  <c r="D161" i="9"/>
  <c r="C161" i="9"/>
  <c r="B161" i="9"/>
  <c r="M160" i="9"/>
  <c r="L160" i="9"/>
  <c r="K160" i="9"/>
  <c r="J160" i="9"/>
  <c r="I160" i="9"/>
  <c r="H160" i="9"/>
  <c r="G160" i="9"/>
  <c r="F160" i="9"/>
  <c r="E160" i="9"/>
  <c r="D160" i="9"/>
  <c r="C160" i="9"/>
  <c r="B160" i="9"/>
  <c r="M159" i="9"/>
  <c r="L159" i="9"/>
  <c r="K159" i="9"/>
  <c r="J159" i="9"/>
  <c r="I159" i="9"/>
  <c r="H159" i="9"/>
  <c r="G159" i="9"/>
  <c r="F159" i="9"/>
  <c r="E159" i="9"/>
  <c r="D159" i="9"/>
  <c r="C159" i="9"/>
  <c r="B159" i="9"/>
  <c r="M154" i="9"/>
  <c r="L154" i="9"/>
  <c r="K154" i="9"/>
  <c r="J154" i="9"/>
  <c r="I154" i="9"/>
  <c r="H154" i="9"/>
  <c r="G154" i="9"/>
  <c r="F154" i="9"/>
  <c r="E154" i="9"/>
  <c r="D154" i="9"/>
  <c r="C154" i="9"/>
  <c r="B154" i="9"/>
  <c r="M153" i="9"/>
  <c r="L153" i="9"/>
  <c r="K153" i="9"/>
  <c r="J153" i="9"/>
  <c r="I153" i="9"/>
  <c r="H153" i="9"/>
  <c r="G153" i="9"/>
  <c r="F153" i="9"/>
  <c r="E153" i="9"/>
  <c r="D153" i="9"/>
  <c r="C153" i="9"/>
  <c r="B153" i="9"/>
  <c r="M152" i="9"/>
  <c r="L152" i="9"/>
  <c r="K152" i="9"/>
  <c r="J152" i="9"/>
  <c r="I152" i="9"/>
  <c r="H152" i="9"/>
  <c r="G152" i="9"/>
  <c r="F152" i="9"/>
  <c r="E152" i="9"/>
  <c r="D152" i="9"/>
  <c r="C152" i="9"/>
  <c r="B152" i="9"/>
  <c r="M151" i="9"/>
  <c r="L151" i="9"/>
  <c r="K151" i="9"/>
  <c r="J151" i="9"/>
  <c r="I151" i="9"/>
  <c r="H151" i="9"/>
  <c r="G151" i="9"/>
  <c r="F151" i="9"/>
  <c r="E151" i="9"/>
  <c r="D151" i="9"/>
  <c r="C151" i="9"/>
  <c r="B151" i="9"/>
  <c r="M150" i="9"/>
  <c r="L150" i="9"/>
  <c r="K150" i="9"/>
  <c r="J150" i="9"/>
  <c r="I150" i="9"/>
  <c r="H150" i="9"/>
  <c r="G150" i="9"/>
  <c r="F150" i="9"/>
  <c r="E150" i="9"/>
  <c r="D150" i="9"/>
  <c r="C150" i="9"/>
  <c r="B150" i="9"/>
  <c r="M149" i="9"/>
  <c r="L149" i="9"/>
  <c r="I22" i="9"/>
  <c r="H22" i="9"/>
  <c r="G22" i="9"/>
  <c r="F22" i="9"/>
  <c r="E22" i="9"/>
  <c r="D22" i="9"/>
  <c r="C22" i="9"/>
  <c r="B22" i="9"/>
  <c r="M21" i="9"/>
  <c r="L21" i="9"/>
  <c r="K21" i="9"/>
  <c r="J21" i="9"/>
  <c r="I21" i="9"/>
  <c r="H21" i="9"/>
  <c r="G21" i="9"/>
  <c r="F21" i="9"/>
  <c r="E21" i="9"/>
  <c r="D21" i="9"/>
  <c r="C21" i="9"/>
  <c r="B21" i="9"/>
  <c r="M20" i="9"/>
  <c r="L20" i="9"/>
  <c r="K20" i="9"/>
  <c r="J20" i="9"/>
  <c r="I20" i="9"/>
  <c r="H20" i="9"/>
  <c r="G20" i="9"/>
  <c r="F20" i="9"/>
  <c r="E20" i="9"/>
  <c r="D20" i="9"/>
  <c r="C20" i="9"/>
  <c r="B20" i="9"/>
  <c r="M19" i="9"/>
  <c r="L19" i="9"/>
  <c r="K19" i="9"/>
  <c r="J19" i="9"/>
  <c r="I19" i="9"/>
  <c r="H19" i="9"/>
  <c r="G19" i="9"/>
  <c r="F19" i="9"/>
  <c r="E19" i="9"/>
  <c r="D19" i="9"/>
  <c r="C19" i="9"/>
  <c r="B19" i="9"/>
  <c r="M18" i="9"/>
  <c r="L18" i="9"/>
  <c r="K18" i="9"/>
  <c r="J18" i="9"/>
  <c r="I18" i="9"/>
  <c r="H18" i="9"/>
  <c r="G18" i="9"/>
  <c r="F18" i="9"/>
  <c r="E18" i="9"/>
  <c r="D18" i="9"/>
  <c r="C18" i="9"/>
  <c r="B18" i="9"/>
  <c r="M17" i="9"/>
  <c r="L17" i="9"/>
  <c r="K17" i="9"/>
  <c r="J17" i="9"/>
  <c r="I17" i="9"/>
  <c r="H17" i="9"/>
  <c r="G17" i="9"/>
  <c r="F17" i="9"/>
  <c r="E17" i="9"/>
  <c r="D17" i="9"/>
  <c r="C17" i="9"/>
  <c r="B17" i="9"/>
  <c r="M16" i="9"/>
  <c r="L16" i="9"/>
  <c r="K16" i="9"/>
  <c r="J16" i="9"/>
  <c r="I16" i="9"/>
  <c r="H16" i="9"/>
  <c r="G16" i="9"/>
  <c r="F16" i="9"/>
  <c r="E16" i="9"/>
  <c r="D16" i="9"/>
  <c r="C16" i="9"/>
  <c r="B16" i="9"/>
  <c r="M15" i="9"/>
  <c r="L15" i="9"/>
  <c r="K15" i="9"/>
  <c r="J15" i="9"/>
  <c r="I15" i="9"/>
  <c r="H15" i="9"/>
  <c r="G15" i="9"/>
  <c r="F15" i="9"/>
  <c r="E15" i="9"/>
  <c r="D15" i="9"/>
  <c r="C15" i="9"/>
  <c r="B15" i="9"/>
  <c r="M10" i="9"/>
  <c r="L10" i="9"/>
  <c r="K10" i="9"/>
  <c r="J10" i="9"/>
  <c r="I10" i="9"/>
  <c r="H10" i="9"/>
  <c r="G10" i="9"/>
  <c r="F10" i="9"/>
  <c r="E10" i="9"/>
  <c r="D10" i="9"/>
  <c r="C10" i="9"/>
  <c r="B10" i="9"/>
  <c r="M9" i="9"/>
  <c r="L9" i="9"/>
  <c r="K9" i="9"/>
  <c r="J9" i="9"/>
  <c r="I9" i="9"/>
  <c r="H9" i="9"/>
  <c r="G9" i="9"/>
  <c r="F9" i="9"/>
  <c r="E9" i="9"/>
  <c r="D9" i="9"/>
  <c r="C9" i="9"/>
  <c r="B9" i="9"/>
  <c r="M8" i="9"/>
  <c r="L8" i="9"/>
  <c r="K8" i="9"/>
  <c r="J8" i="9"/>
  <c r="I8" i="9"/>
  <c r="H8" i="9"/>
  <c r="G8" i="9"/>
  <c r="F8" i="9"/>
  <c r="E8" i="9"/>
  <c r="D8" i="9"/>
  <c r="C8" i="9"/>
  <c r="B8" i="9"/>
  <c r="M7" i="9"/>
  <c r="L7" i="9"/>
  <c r="K7" i="9"/>
  <c r="J7" i="9"/>
  <c r="I7" i="9"/>
  <c r="H7" i="9"/>
  <c r="G7" i="9"/>
  <c r="F7" i="9"/>
  <c r="E7" i="9"/>
  <c r="D7" i="9"/>
  <c r="C7" i="9"/>
  <c r="B7" i="9"/>
  <c r="M6" i="9"/>
  <c r="L6" i="9"/>
  <c r="K6" i="9"/>
  <c r="J6" i="9"/>
  <c r="I6" i="9"/>
  <c r="H6" i="9"/>
  <c r="G6" i="9"/>
  <c r="F6" i="9"/>
  <c r="E6" i="9"/>
  <c r="D6" i="9"/>
  <c r="C6" i="9"/>
  <c r="B6" i="9"/>
  <c r="M5" i="9"/>
  <c r="L5" i="9"/>
  <c r="K5" i="9"/>
  <c r="J5" i="9"/>
  <c r="I5" i="9"/>
  <c r="H5" i="9"/>
  <c r="G5" i="9"/>
  <c r="F5" i="9"/>
  <c r="E5" i="9"/>
  <c r="D5" i="9"/>
  <c r="C5" i="9"/>
  <c r="B5" i="9"/>
  <c r="M4" i="9"/>
  <c r="L4" i="9"/>
  <c r="K4" i="9"/>
  <c r="J4" i="9"/>
  <c r="I4" i="9"/>
  <c r="H4" i="9"/>
  <c r="G4" i="9"/>
  <c r="F4" i="9"/>
  <c r="E4" i="9"/>
  <c r="D4" i="9"/>
  <c r="C4" i="9"/>
  <c r="B4" i="9"/>
  <c r="M3" i="9"/>
  <c r="L3" i="9"/>
  <c r="K3" i="9"/>
  <c r="J3" i="9"/>
  <c r="I3" i="9"/>
  <c r="H3" i="9"/>
  <c r="G3" i="9"/>
  <c r="F3" i="9"/>
  <c r="E3" i="9"/>
  <c r="D3" i="9"/>
  <c r="I39" i="9"/>
  <c r="K22" i="9"/>
  <c r="L22" i="9"/>
  <c r="M22" i="9"/>
  <c r="B27" i="9"/>
  <c r="C27" i="9"/>
  <c r="D27" i="9"/>
  <c r="E27" i="9"/>
  <c r="F27" i="9"/>
  <c r="G27" i="9"/>
  <c r="H27" i="9"/>
  <c r="I27" i="9"/>
  <c r="J27" i="9"/>
  <c r="K27" i="9"/>
  <c r="L27" i="9"/>
  <c r="M27" i="9"/>
  <c r="B28" i="9"/>
  <c r="C28" i="9"/>
  <c r="D28" i="9"/>
  <c r="E28" i="9"/>
  <c r="F28" i="9"/>
  <c r="G28" i="9"/>
  <c r="H28" i="9"/>
  <c r="I28" i="9"/>
  <c r="J28" i="9"/>
  <c r="K28" i="9"/>
  <c r="L28" i="9"/>
  <c r="M28" i="9"/>
  <c r="B29" i="9"/>
  <c r="C29" i="9"/>
  <c r="D29" i="9"/>
  <c r="E29" i="9"/>
  <c r="F29" i="9"/>
  <c r="G29" i="9"/>
  <c r="H29" i="9"/>
  <c r="I29" i="9"/>
  <c r="J29" i="9"/>
  <c r="K29" i="9"/>
  <c r="L29" i="9"/>
  <c r="M29" i="9"/>
  <c r="B30" i="9"/>
  <c r="C30" i="9"/>
  <c r="D30" i="9"/>
  <c r="E30" i="9"/>
  <c r="F30" i="9"/>
  <c r="G30" i="9"/>
  <c r="H30" i="9"/>
  <c r="I30" i="9"/>
  <c r="J30" i="9"/>
  <c r="K30" i="9"/>
  <c r="L30" i="9"/>
  <c r="M30" i="9"/>
  <c r="B31" i="9"/>
  <c r="C31" i="9"/>
  <c r="D31" i="9"/>
  <c r="E31" i="9"/>
  <c r="F31" i="9"/>
  <c r="G31" i="9"/>
  <c r="H31" i="9"/>
  <c r="I31" i="9"/>
  <c r="J31" i="9"/>
  <c r="K31" i="9"/>
  <c r="L31" i="9"/>
  <c r="M31" i="9"/>
  <c r="B32" i="9"/>
  <c r="C32" i="9"/>
  <c r="D32" i="9"/>
  <c r="E32" i="9"/>
  <c r="F32" i="9"/>
  <c r="G32" i="9"/>
  <c r="H32" i="9"/>
  <c r="I32" i="9"/>
  <c r="J32" i="9"/>
  <c r="K32" i="9"/>
  <c r="L32" i="9"/>
  <c r="M32" i="9"/>
  <c r="B33" i="9"/>
  <c r="C33" i="9"/>
  <c r="D33" i="9"/>
  <c r="E33" i="9"/>
  <c r="F33" i="9"/>
  <c r="G33" i="9"/>
  <c r="H33" i="9"/>
  <c r="I33" i="9"/>
  <c r="J33" i="9"/>
  <c r="K33" i="9"/>
  <c r="L33" i="9"/>
  <c r="M33" i="9"/>
  <c r="B34" i="9"/>
  <c r="C34" i="9"/>
  <c r="D34" i="9"/>
  <c r="E34" i="9"/>
  <c r="F34" i="9"/>
  <c r="G34" i="9"/>
  <c r="H34" i="9"/>
  <c r="I34" i="9"/>
  <c r="J34" i="9"/>
  <c r="K34" i="9"/>
  <c r="L34" i="9"/>
  <c r="M34" i="9"/>
  <c r="B39" i="9"/>
  <c r="C39" i="9"/>
  <c r="D39" i="9"/>
  <c r="E39" i="9"/>
  <c r="F39" i="9"/>
  <c r="G39" i="9"/>
  <c r="H39" i="9"/>
  <c r="J39" i="9"/>
  <c r="K39" i="9"/>
  <c r="L39" i="9"/>
  <c r="M39" i="9"/>
  <c r="B40" i="9"/>
  <c r="C40" i="9"/>
  <c r="D40" i="9"/>
  <c r="E40" i="9"/>
  <c r="F40" i="9"/>
  <c r="G40" i="9"/>
  <c r="H40" i="9"/>
  <c r="I40" i="9"/>
  <c r="J40" i="9"/>
  <c r="K40" i="9"/>
  <c r="L40" i="9"/>
  <c r="M40" i="9"/>
  <c r="B41" i="9"/>
  <c r="C41" i="9"/>
  <c r="D41" i="9"/>
  <c r="E41" i="9"/>
  <c r="F41" i="9"/>
  <c r="G41" i="9"/>
  <c r="H41" i="9"/>
  <c r="I41" i="9"/>
  <c r="J41" i="9"/>
  <c r="K41" i="9"/>
  <c r="L41" i="9"/>
  <c r="M41" i="9"/>
  <c r="B42" i="9"/>
  <c r="C42" i="9"/>
  <c r="D42" i="9"/>
  <c r="E42" i="9"/>
  <c r="F42" i="9"/>
  <c r="G42" i="9"/>
  <c r="H42" i="9"/>
  <c r="I42" i="9"/>
  <c r="J42" i="9"/>
  <c r="K42" i="9"/>
  <c r="L42" i="9"/>
  <c r="M42" i="9"/>
  <c r="B43" i="9"/>
  <c r="C43" i="9"/>
  <c r="D43" i="9"/>
  <c r="E43" i="9"/>
  <c r="F43" i="9"/>
  <c r="G43" i="9"/>
  <c r="H43" i="9"/>
  <c r="I43" i="9"/>
  <c r="J43" i="9"/>
  <c r="K43" i="9"/>
  <c r="L43" i="9"/>
  <c r="M43" i="9"/>
  <c r="B44" i="9"/>
  <c r="C44" i="9"/>
  <c r="D44" i="9"/>
  <c r="E44" i="9"/>
  <c r="F44" i="9"/>
  <c r="G44" i="9"/>
  <c r="H44" i="9"/>
  <c r="I44" i="9"/>
  <c r="J44" i="9"/>
  <c r="K44" i="9"/>
  <c r="L44" i="9"/>
  <c r="M44" i="9"/>
  <c r="B45" i="9"/>
  <c r="C45" i="9"/>
  <c r="D45" i="9"/>
  <c r="E45" i="9"/>
  <c r="F45" i="9"/>
  <c r="G45" i="9"/>
  <c r="H45" i="9"/>
  <c r="I45" i="9"/>
  <c r="J45" i="9"/>
  <c r="K45" i="9"/>
  <c r="L45" i="9"/>
  <c r="M45" i="9"/>
  <c r="B46" i="9"/>
  <c r="C46" i="9"/>
  <c r="D46" i="9"/>
  <c r="E46" i="9"/>
  <c r="F46" i="9"/>
  <c r="G46" i="9"/>
  <c r="H46" i="9"/>
  <c r="I46" i="9"/>
  <c r="J46" i="9"/>
  <c r="K46" i="9"/>
  <c r="L46" i="9"/>
  <c r="M46" i="9"/>
  <c r="B51" i="9"/>
  <c r="C51" i="9"/>
  <c r="D51" i="9"/>
  <c r="E51" i="9"/>
  <c r="F51" i="9"/>
  <c r="G51" i="9"/>
  <c r="H51" i="9"/>
  <c r="I51" i="9"/>
  <c r="J51" i="9"/>
  <c r="K51" i="9"/>
  <c r="L51" i="9"/>
  <c r="M51" i="9"/>
  <c r="B52" i="9"/>
  <c r="C52" i="9"/>
  <c r="D52" i="9"/>
  <c r="E52" i="9"/>
  <c r="F52" i="9"/>
  <c r="G52" i="9"/>
  <c r="H52" i="9"/>
  <c r="I52" i="9"/>
  <c r="J52" i="9"/>
  <c r="K52" i="9"/>
  <c r="L52" i="9"/>
  <c r="M52" i="9"/>
  <c r="B53" i="9"/>
  <c r="C53" i="9"/>
  <c r="D53" i="9"/>
  <c r="E53" i="9"/>
  <c r="F53" i="9"/>
  <c r="G53" i="9"/>
  <c r="H53" i="9"/>
  <c r="I53" i="9"/>
  <c r="J53" i="9"/>
  <c r="K53" i="9"/>
  <c r="L53" i="9"/>
  <c r="M53" i="9"/>
  <c r="B54" i="9"/>
  <c r="C54" i="9"/>
  <c r="D54" i="9"/>
  <c r="E54" i="9"/>
  <c r="F54" i="9"/>
  <c r="G54" i="9"/>
  <c r="H54" i="9"/>
  <c r="I54" i="9"/>
  <c r="J54" i="9"/>
  <c r="K54" i="9"/>
  <c r="L54" i="9"/>
  <c r="M54" i="9"/>
  <c r="B55" i="9"/>
  <c r="C55" i="9"/>
  <c r="D55" i="9"/>
  <c r="E55" i="9"/>
  <c r="F55" i="9"/>
  <c r="G55" i="9"/>
  <c r="H55" i="9"/>
  <c r="I55" i="9"/>
  <c r="J55" i="9"/>
  <c r="K55" i="9"/>
  <c r="L55" i="9"/>
  <c r="M55" i="9"/>
  <c r="B56" i="9"/>
  <c r="C56" i="9"/>
  <c r="D56" i="9"/>
  <c r="E56" i="9"/>
  <c r="F56" i="9"/>
  <c r="G56" i="9"/>
  <c r="H56" i="9"/>
  <c r="I56" i="9"/>
  <c r="J56" i="9"/>
  <c r="K56" i="9"/>
  <c r="L56" i="9"/>
  <c r="M56" i="9"/>
  <c r="B57" i="9"/>
  <c r="C57" i="9"/>
  <c r="D57" i="9"/>
  <c r="E57" i="9"/>
  <c r="F57" i="9"/>
  <c r="G57" i="9"/>
  <c r="H57" i="9"/>
  <c r="I57" i="9"/>
  <c r="J57" i="9"/>
  <c r="K57" i="9"/>
  <c r="L57" i="9"/>
  <c r="M57" i="9"/>
  <c r="B58" i="9"/>
  <c r="C58" i="9"/>
  <c r="D58" i="9"/>
  <c r="E58" i="9"/>
  <c r="F58" i="9"/>
  <c r="G58" i="9"/>
  <c r="H58" i="9"/>
  <c r="I58" i="9"/>
  <c r="J58" i="9"/>
  <c r="K58" i="9"/>
  <c r="L58" i="9"/>
  <c r="M58" i="9"/>
  <c r="B63" i="9"/>
  <c r="C63" i="9"/>
  <c r="D63" i="9"/>
  <c r="E63" i="9"/>
  <c r="F63" i="9"/>
  <c r="G63" i="9"/>
  <c r="H63" i="9"/>
  <c r="I63" i="9"/>
  <c r="J63" i="9"/>
  <c r="K63" i="9"/>
  <c r="L63" i="9"/>
  <c r="M63" i="9"/>
  <c r="B64" i="9"/>
  <c r="C64" i="9"/>
  <c r="D64" i="9"/>
  <c r="E64" i="9"/>
  <c r="F64" i="9"/>
  <c r="G64" i="9"/>
  <c r="H64" i="9"/>
  <c r="I64" i="9"/>
  <c r="J64" i="9"/>
  <c r="K64" i="9"/>
  <c r="L64" i="9"/>
  <c r="M64" i="9"/>
  <c r="B65" i="9"/>
  <c r="C65" i="9"/>
  <c r="D65" i="9"/>
  <c r="E65" i="9"/>
  <c r="F65" i="9"/>
  <c r="G65" i="9"/>
  <c r="H65" i="9"/>
  <c r="I65" i="9"/>
  <c r="J65" i="9"/>
  <c r="K65" i="9"/>
  <c r="L65" i="9"/>
  <c r="M65" i="9"/>
  <c r="B66" i="9"/>
  <c r="C66" i="9"/>
  <c r="D66" i="9"/>
  <c r="E66" i="9"/>
  <c r="F66" i="9"/>
  <c r="G66" i="9"/>
  <c r="H66" i="9"/>
  <c r="I66" i="9"/>
  <c r="J66" i="9"/>
  <c r="K66" i="9"/>
  <c r="L66" i="9"/>
  <c r="M66" i="9"/>
  <c r="B67" i="9"/>
  <c r="C67" i="9"/>
  <c r="D67" i="9"/>
  <c r="E67" i="9"/>
  <c r="F67" i="9"/>
  <c r="G67" i="9"/>
  <c r="H67" i="9"/>
  <c r="I67" i="9"/>
  <c r="J67" i="9"/>
  <c r="K67" i="9"/>
  <c r="L67" i="9"/>
  <c r="M67" i="9"/>
  <c r="B68" i="9"/>
  <c r="C68" i="9"/>
  <c r="D68" i="9"/>
  <c r="E68" i="9"/>
  <c r="F68" i="9"/>
  <c r="G68" i="9"/>
  <c r="H68" i="9"/>
  <c r="I68" i="9"/>
  <c r="J68" i="9"/>
  <c r="K68" i="9"/>
  <c r="L68" i="9"/>
  <c r="M68" i="9"/>
  <c r="B69" i="9"/>
  <c r="C69" i="9"/>
  <c r="D69" i="9"/>
  <c r="E69" i="9"/>
  <c r="F69" i="9"/>
  <c r="G69" i="9"/>
  <c r="H69" i="9"/>
  <c r="I69" i="9"/>
  <c r="J69" i="9"/>
  <c r="K69" i="9"/>
  <c r="L69" i="9"/>
  <c r="M69" i="9"/>
  <c r="B70" i="9"/>
  <c r="C70" i="9"/>
  <c r="D70" i="9"/>
  <c r="E70" i="9"/>
  <c r="F70" i="9"/>
  <c r="G70" i="9"/>
  <c r="H70" i="9"/>
  <c r="I70" i="9"/>
  <c r="J70" i="9"/>
  <c r="K70" i="9"/>
  <c r="L70" i="9"/>
  <c r="M70" i="9"/>
  <c r="B75" i="9"/>
  <c r="C75" i="9"/>
  <c r="D75" i="9"/>
  <c r="E75" i="9"/>
  <c r="F75" i="9"/>
  <c r="G75" i="9"/>
  <c r="H75" i="9"/>
  <c r="I75" i="9"/>
  <c r="J75" i="9"/>
  <c r="K75" i="9"/>
  <c r="L75" i="9"/>
  <c r="M75" i="9"/>
  <c r="B76" i="9"/>
  <c r="C76" i="9"/>
  <c r="D76" i="9"/>
  <c r="E76" i="9"/>
  <c r="F76" i="9"/>
  <c r="G76" i="9"/>
  <c r="H76" i="9"/>
  <c r="I76" i="9"/>
  <c r="J76" i="9"/>
  <c r="K76" i="9"/>
  <c r="L76" i="9"/>
  <c r="M76" i="9"/>
  <c r="B77" i="9"/>
  <c r="C77" i="9"/>
  <c r="D77" i="9"/>
  <c r="E77" i="9"/>
  <c r="F77" i="9"/>
  <c r="G77" i="9"/>
  <c r="H77" i="9"/>
  <c r="I77" i="9"/>
  <c r="J77" i="9"/>
  <c r="K77" i="9"/>
  <c r="L77" i="9"/>
  <c r="M77" i="9"/>
  <c r="B78" i="9"/>
  <c r="C78" i="9"/>
  <c r="D78" i="9"/>
  <c r="E78" i="9"/>
  <c r="F78" i="9"/>
  <c r="G78" i="9"/>
  <c r="H78" i="9"/>
  <c r="I78" i="9"/>
  <c r="J78" i="9"/>
  <c r="K78" i="9"/>
  <c r="L78" i="9"/>
  <c r="M78" i="9"/>
  <c r="B79" i="9"/>
  <c r="C79" i="9"/>
  <c r="D79" i="9"/>
  <c r="E79" i="9"/>
  <c r="F79" i="9"/>
  <c r="G79" i="9"/>
  <c r="H79" i="9"/>
  <c r="I79" i="9"/>
  <c r="J79" i="9"/>
  <c r="K79" i="9"/>
  <c r="L79" i="9"/>
  <c r="M79" i="9"/>
  <c r="B80" i="9"/>
  <c r="C80" i="9"/>
  <c r="D80" i="9"/>
  <c r="E80" i="9"/>
  <c r="F80" i="9"/>
  <c r="G80" i="9"/>
  <c r="H80" i="9"/>
  <c r="I80" i="9"/>
  <c r="J80" i="9"/>
  <c r="K80" i="9"/>
  <c r="L80" i="9"/>
  <c r="M80" i="9"/>
  <c r="B81" i="9"/>
  <c r="C81" i="9"/>
  <c r="D81" i="9"/>
  <c r="E81" i="9"/>
  <c r="F81" i="9"/>
  <c r="G81" i="9"/>
  <c r="H81" i="9"/>
  <c r="I81" i="9"/>
  <c r="J81" i="9"/>
  <c r="K81" i="9"/>
  <c r="L81" i="9"/>
  <c r="M81" i="9"/>
  <c r="B82" i="9"/>
  <c r="C82" i="9"/>
  <c r="D82" i="9"/>
  <c r="E82" i="9"/>
  <c r="F82" i="9"/>
  <c r="G82" i="9"/>
  <c r="H82" i="9"/>
  <c r="I82" i="9"/>
  <c r="J82" i="9"/>
  <c r="K82" i="9"/>
  <c r="L82" i="9"/>
  <c r="M82" i="9"/>
  <c r="B87" i="9"/>
  <c r="C87" i="9"/>
  <c r="D87" i="9"/>
  <c r="E87" i="9"/>
  <c r="F87" i="9"/>
  <c r="G87" i="9"/>
  <c r="H87" i="9"/>
  <c r="I87" i="9"/>
  <c r="J87" i="9"/>
  <c r="K87" i="9"/>
  <c r="L87" i="9"/>
  <c r="M87" i="9"/>
  <c r="B88" i="9"/>
  <c r="C88" i="9"/>
  <c r="D88" i="9"/>
  <c r="E88" i="9"/>
  <c r="F88" i="9"/>
  <c r="G88" i="9"/>
  <c r="H88" i="9"/>
  <c r="I88" i="9"/>
  <c r="J88" i="9"/>
  <c r="K88" i="9"/>
  <c r="L88" i="9"/>
  <c r="M88" i="9"/>
  <c r="B89" i="9"/>
  <c r="C89" i="9"/>
  <c r="D89" i="9"/>
  <c r="E89" i="9"/>
  <c r="F89" i="9"/>
  <c r="G89" i="9"/>
  <c r="H89" i="9"/>
  <c r="I89" i="9"/>
  <c r="J89" i="9"/>
  <c r="K89" i="9"/>
  <c r="L89" i="9"/>
  <c r="M89" i="9"/>
  <c r="B90" i="9"/>
  <c r="C90" i="9"/>
  <c r="D90" i="9"/>
  <c r="E90" i="9"/>
  <c r="F90" i="9"/>
  <c r="G90" i="9"/>
  <c r="H90" i="9"/>
  <c r="I90" i="9"/>
  <c r="J90" i="9"/>
  <c r="K90" i="9"/>
  <c r="L90" i="9"/>
  <c r="M90" i="9"/>
  <c r="B91" i="9"/>
  <c r="C91" i="9"/>
  <c r="D91" i="9"/>
  <c r="E91" i="9"/>
  <c r="F91" i="9"/>
  <c r="G91" i="9"/>
  <c r="H91" i="9"/>
  <c r="I91" i="9"/>
  <c r="J91" i="9"/>
  <c r="K91" i="9"/>
  <c r="L91" i="9"/>
  <c r="M91" i="9"/>
  <c r="B92" i="9"/>
  <c r="C92" i="9"/>
  <c r="D92" i="9"/>
  <c r="E92" i="9"/>
  <c r="F92" i="9"/>
  <c r="G92" i="9"/>
  <c r="H92" i="9"/>
  <c r="I92" i="9"/>
  <c r="J92" i="9"/>
  <c r="K92" i="9"/>
  <c r="L92" i="9"/>
  <c r="M92" i="9"/>
  <c r="B93" i="9"/>
  <c r="C93" i="9"/>
  <c r="D93" i="9"/>
  <c r="E93" i="9"/>
  <c r="F93" i="9"/>
  <c r="G93" i="9"/>
  <c r="H93" i="9"/>
  <c r="I93" i="9"/>
  <c r="J93" i="9"/>
  <c r="K93" i="9"/>
  <c r="L93" i="9"/>
  <c r="M93" i="9"/>
  <c r="B94" i="9"/>
  <c r="C94" i="9"/>
  <c r="D94" i="9"/>
  <c r="E94" i="9"/>
  <c r="F94" i="9"/>
  <c r="G94" i="9"/>
  <c r="H94" i="9"/>
  <c r="I94" i="9"/>
  <c r="J94" i="9"/>
  <c r="K94" i="9"/>
  <c r="L94" i="9"/>
  <c r="M94" i="9"/>
  <c r="B99" i="9"/>
  <c r="C99" i="9"/>
  <c r="D99" i="9"/>
  <c r="E99" i="9"/>
  <c r="F99" i="9"/>
  <c r="G99" i="9"/>
  <c r="H99" i="9"/>
  <c r="I99" i="9"/>
  <c r="J99" i="9"/>
  <c r="K99" i="9"/>
  <c r="L99" i="9"/>
  <c r="M99" i="9"/>
  <c r="B100" i="9"/>
  <c r="C100" i="9"/>
  <c r="D100" i="9"/>
  <c r="E100" i="9"/>
  <c r="F100" i="9"/>
  <c r="G100" i="9"/>
  <c r="H100" i="9"/>
  <c r="I100" i="9"/>
  <c r="J100" i="9"/>
  <c r="K100" i="9"/>
  <c r="L100" i="9"/>
  <c r="M100" i="9"/>
  <c r="B101" i="9"/>
  <c r="C101" i="9"/>
  <c r="D101" i="9"/>
  <c r="E101" i="9"/>
  <c r="F101" i="9"/>
  <c r="G101" i="9"/>
  <c r="H101" i="9"/>
  <c r="I101" i="9"/>
  <c r="J101" i="9"/>
  <c r="K101" i="9"/>
  <c r="L101" i="9"/>
  <c r="M101" i="9"/>
  <c r="B102" i="9"/>
  <c r="C102" i="9"/>
  <c r="D102" i="9"/>
  <c r="E102" i="9"/>
  <c r="F102" i="9"/>
  <c r="G102" i="9"/>
  <c r="H102" i="9"/>
  <c r="I102" i="9"/>
  <c r="J102" i="9"/>
  <c r="K102" i="9"/>
  <c r="L102" i="9"/>
  <c r="M102" i="9"/>
  <c r="B103" i="9"/>
  <c r="C103" i="9"/>
  <c r="D103" i="9"/>
  <c r="E103" i="9"/>
  <c r="F103" i="9"/>
  <c r="G103" i="9"/>
  <c r="H103" i="9"/>
  <c r="I103" i="9"/>
  <c r="J103" i="9"/>
  <c r="K103" i="9"/>
  <c r="L103" i="9"/>
  <c r="M103" i="9"/>
  <c r="B104" i="9"/>
  <c r="C104" i="9"/>
  <c r="D104" i="9"/>
  <c r="E104" i="9"/>
  <c r="F104" i="9"/>
  <c r="G104" i="9"/>
  <c r="H104" i="9"/>
  <c r="I104" i="9"/>
  <c r="J104" i="9"/>
  <c r="K104" i="9"/>
  <c r="L104" i="9"/>
  <c r="M104" i="9"/>
  <c r="B105" i="9"/>
  <c r="C105" i="9"/>
  <c r="D105" i="9"/>
  <c r="E105" i="9"/>
  <c r="F105" i="9"/>
  <c r="G105" i="9"/>
  <c r="H105" i="9"/>
  <c r="I105" i="9"/>
  <c r="J105" i="9"/>
  <c r="K105" i="9"/>
  <c r="L105" i="9"/>
  <c r="M105" i="9"/>
  <c r="B106" i="9"/>
  <c r="C106" i="9"/>
  <c r="D106" i="9"/>
  <c r="E106" i="9"/>
  <c r="F106" i="9"/>
  <c r="G106" i="9"/>
  <c r="H106" i="9"/>
  <c r="I106" i="9"/>
  <c r="J106" i="9"/>
  <c r="K106" i="9"/>
  <c r="L106" i="9"/>
  <c r="M106" i="9"/>
  <c r="B111" i="9"/>
  <c r="C111" i="9"/>
  <c r="D111" i="9"/>
  <c r="E111" i="9"/>
  <c r="F111" i="9"/>
  <c r="G111" i="9"/>
  <c r="H111" i="9"/>
  <c r="I111" i="9"/>
  <c r="J111" i="9"/>
  <c r="K111" i="9"/>
  <c r="L111" i="9"/>
  <c r="M111" i="9"/>
  <c r="B112" i="9"/>
  <c r="C112" i="9"/>
  <c r="D112" i="9"/>
  <c r="E112" i="9"/>
  <c r="F112" i="9"/>
  <c r="G112" i="9"/>
  <c r="H112" i="9"/>
  <c r="I112" i="9"/>
  <c r="J112" i="9"/>
  <c r="K112" i="9"/>
  <c r="L112" i="9"/>
  <c r="M112" i="9"/>
  <c r="B113" i="9"/>
  <c r="C113" i="9"/>
  <c r="D113" i="9"/>
  <c r="E113" i="9"/>
  <c r="F113" i="9"/>
  <c r="G113" i="9"/>
  <c r="H113" i="9"/>
  <c r="I113" i="9"/>
  <c r="J113" i="9"/>
  <c r="K113" i="9"/>
  <c r="L113" i="9"/>
  <c r="M113" i="9"/>
  <c r="B114" i="9"/>
  <c r="C114" i="9"/>
  <c r="D114" i="9"/>
  <c r="E114" i="9"/>
  <c r="F114" i="9"/>
  <c r="G114" i="9"/>
  <c r="H114" i="9"/>
  <c r="I114" i="9"/>
  <c r="J114" i="9"/>
  <c r="K114" i="9"/>
  <c r="L114" i="9"/>
  <c r="M114" i="9"/>
  <c r="B115" i="9"/>
  <c r="C115" i="9"/>
  <c r="D115" i="9"/>
  <c r="E115" i="9"/>
  <c r="F115" i="9"/>
  <c r="G115" i="9"/>
  <c r="H115" i="9"/>
  <c r="I115" i="9"/>
  <c r="J115" i="9"/>
  <c r="K115" i="9"/>
  <c r="L115" i="9"/>
  <c r="M115" i="9"/>
  <c r="B116" i="9"/>
  <c r="C116" i="9"/>
  <c r="D116" i="9"/>
  <c r="E116" i="9"/>
  <c r="F116" i="9"/>
  <c r="G116" i="9"/>
  <c r="H116" i="9"/>
  <c r="I116" i="9"/>
  <c r="J116" i="9"/>
  <c r="K116" i="9"/>
  <c r="L116" i="9"/>
  <c r="M116" i="9"/>
  <c r="B117" i="9"/>
  <c r="C117" i="9"/>
  <c r="D117" i="9"/>
  <c r="E117" i="9"/>
  <c r="F117" i="9"/>
  <c r="G117" i="9"/>
  <c r="H117" i="9"/>
  <c r="I117" i="9"/>
  <c r="J117" i="9"/>
  <c r="K117" i="9"/>
  <c r="L117" i="9"/>
  <c r="M117" i="9"/>
  <c r="B118" i="9"/>
  <c r="C118" i="9"/>
  <c r="D118" i="9"/>
  <c r="E118" i="9"/>
  <c r="F118" i="9"/>
  <c r="G118" i="9"/>
  <c r="H118" i="9"/>
  <c r="I118" i="9"/>
  <c r="J118" i="9"/>
  <c r="K118" i="9"/>
  <c r="L118" i="9"/>
  <c r="M118" i="9"/>
  <c r="B123" i="9"/>
  <c r="C123" i="9"/>
  <c r="D123" i="9"/>
  <c r="E123" i="9"/>
  <c r="F123" i="9"/>
  <c r="G123" i="9"/>
  <c r="H123" i="9"/>
  <c r="I123" i="9"/>
  <c r="J123" i="9"/>
  <c r="K123" i="9"/>
  <c r="L123" i="9"/>
  <c r="M123" i="9"/>
  <c r="B124" i="9"/>
  <c r="C124" i="9"/>
  <c r="D124" i="9"/>
  <c r="E124" i="9"/>
  <c r="F124" i="9"/>
  <c r="G124" i="9"/>
  <c r="H124" i="9"/>
  <c r="I124" i="9"/>
  <c r="J124" i="9"/>
  <c r="K124" i="9"/>
  <c r="L124" i="9"/>
  <c r="M124" i="9"/>
  <c r="B125" i="9"/>
  <c r="C125" i="9"/>
  <c r="D125" i="9"/>
  <c r="E125" i="9"/>
  <c r="F125" i="9"/>
  <c r="G125" i="9"/>
  <c r="H125" i="9"/>
  <c r="I125" i="9"/>
  <c r="J125" i="9"/>
  <c r="K125" i="9"/>
  <c r="L125" i="9"/>
  <c r="M125" i="9"/>
  <c r="B126" i="9"/>
  <c r="C126" i="9"/>
  <c r="D126" i="9"/>
  <c r="E126" i="9"/>
  <c r="F126" i="9"/>
  <c r="G126" i="9"/>
  <c r="H126" i="9"/>
  <c r="I126" i="9"/>
  <c r="J126" i="9"/>
  <c r="K126" i="9"/>
  <c r="L126" i="9"/>
  <c r="M126" i="9"/>
  <c r="B127" i="9"/>
  <c r="C127" i="9"/>
  <c r="D127" i="9"/>
  <c r="E127" i="9"/>
  <c r="F127" i="9"/>
  <c r="G127" i="9"/>
  <c r="H127" i="9"/>
  <c r="I127" i="9"/>
  <c r="J127" i="9"/>
  <c r="K127" i="9"/>
  <c r="L127" i="9"/>
  <c r="M127" i="9"/>
  <c r="B128" i="9"/>
  <c r="C128" i="9"/>
  <c r="D128" i="9"/>
  <c r="E128" i="9"/>
  <c r="F128" i="9"/>
  <c r="G128" i="9"/>
  <c r="H128" i="9"/>
  <c r="I128" i="9"/>
  <c r="J128" i="9"/>
  <c r="K128" i="9"/>
  <c r="L128" i="9"/>
  <c r="M128" i="9"/>
  <c r="B129" i="9"/>
  <c r="C129" i="9"/>
  <c r="D129" i="9"/>
  <c r="E129" i="9"/>
  <c r="F129" i="9"/>
  <c r="G129" i="9"/>
  <c r="H129" i="9"/>
  <c r="I129" i="9"/>
  <c r="J129" i="9"/>
  <c r="K129" i="9"/>
  <c r="L129" i="9"/>
  <c r="M129" i="9"/>
  <c r="B130" i="9"/>
  <c r="C130" i="9"/>
  <c r="D130" i="9"/>
  <c r="E130" i="9"/>
  <c r="F130" i="9"/>
  <c r="G130" i="9"/>
  <c r="H130" i="9"/>
  <c r="I130" i="9"/>
  <c r="J130" i="9"/>
  <c r="K130" i="9"/>
  <c r="L130" i="9"/>
  <c r="M130" i="9"/>
  <c r="B135" i="9"/>
  <c r="C135" i="9"/>
  <c r="D135" i="9"/>
  <c r="E135" i="9"/>
  <c r="F135" i="9"/>
  <c r="G135" i="9"/>
  <c r="H135" i="9"/>
  <c r="I135" i="9"/>
  <c r="J135" i="9"/>
  <c r="K135" i="9"/>
  <c r="L135" i="9"/>
  <c r="M135" i="9"/>
  <c r="B136" i="9"/>
  <c r="C136" i="9"/>
  <c r="D136" i="9"/>
  <c r="E136" i="9"/>
  <c r="F136" i="9"/>
  <c r="G136" i="9"/>
  <c r="H136" i="9"/>
  <c r="I136" i="9"/>
  <c r="J136" i="9"/>
  <c r="K136" i="9"/>
  <c r="L136" i="9"/>
  <c r="M136" i="9"/>
  <c r="B137" i="9"/>
  <c r="C137" i="9"/>
  <c r="D137" i="9"/>
  <c r="E137" i="9"/>
  <c r="F137" i="9"/>
  <c r="G137" i="9"/>
  <c r="H137" i="9"/>
  <c r="I137" i="9"/>
  <c r="J137" i="9"/>
  <c r="K137" i="9"/>
  <c r="L137" i="9"/>
  <c r="M137" i="9"/>
  <c r="B138" i="9"/>
  <c r="C138" i="9"/>
  <c r="D138" i="9"/>
  <c r="E138" i="9"/>
  <c r="F138" i="9"/>
  <c r="G138" i="9"/>
  <c r="H138" i="9"/>
  <c r="I138" i="9"/>
  <c r="J138" i="9"/>
  <c r="K138" i="9"/>
  <c r="L138" i="9"/>
  <c r="M138" i="9"/>
  <c r="B139" i="9"/>
  <c r="C139" i="9"/>
  <c r="D139" i="9"/>
  <c r="E139" i="9"/>
  <c r="F139" i="9"/>
  <c r="G139" i="9"/>
  <c r="H139" i="9"/>
  <c r="I139" i="9"/>
  <c r="J139" i="9"/>
  <c r="K139" i="9"/>
  <c r="L139" i="9"/>
  <c r="M139" i="9"/>
  <c r="B140" i="9"/>
  <c r="C140" i="9"/>
  <c r="D140" i="9"/>
  <c r="E140" i="9"/>
  <c r="F140" i="9"/>
  <c r="G140" i="9"/>
  <c r="H140" i="9"/>
  <c r="I140" i="9"/>
  <c r="J140" i="9"/>
  <c r="K140" i="9"/>
  <c r="L140" i="9"/>
  <c r="M140" i="9"/>
  <c r="B141" i="9"/>
  <c r="C141" i="9"/>
  <c r="D141" i="9"/>
  <c r="E141" i="9"/>
  <c r="F141" i="9"/>
  <c r="G141" i="9"/>
  <c r="H141" i="9"/>
  <c r="I141" i="9"/>
  <c r="J141" i="9"/>
  <c r="K141" i="9"/>
  <c r="L141" i="9"/>
  <c r="M141" i="9"/>
  <c r="B142" i="9"/>
  <c r="C142" i="9"/>
  <c r="D142" i="9"/>
  <c r="J22" i="9"/>
  <c r="E142" i="9"/>
  <c r="F142" i="9"/>
  <c r="G142" i="9"/>
  <c r="H142" i="9"/>
  <c r="I142" i="9"/>
  <c r="J142" i="9"/>
  <c r="K142" i="9"/>
  <c r="L142" i="9"/>
  <c r="M142" i="9"/>
  <c r="B147" i="9"/>
  <c r="C147" i="9"/>
  <c r="D147" i="9"/>
  <c r="E147" i="9"/>
  <c r="F147" i="9"/>
  <c r="G147" i="9"/>
  <c r="H147" i="9"/>
  <c r="I147" i="9"/>
  <c r="J147" i="9"/>
  <c r="K147" i="9"/>
  <c r="L147" i="9"/>
  <c r="M147" i="9"/>
  <c r="B148" i="9"/>
  <c r="C148" i="9"/>
  <c r="D148" i="9"/>
  <c r="E148" i="9"/>
  <c r="F148" i="9"/>
  <c r="G148" i="9"/>
  <c r="H148" i="9"/>
  <c r="I148" i="9"/>
  <c r="J148" i="9"/>
  <c r="K148" i="9"/>
  <c r="L148" i="9"/>
  <c r="M148" i="9"/>
  <c r="B149" i="9"/>
  <c r="C149" i="9"/>
  <c r="D149" i="9"/>
  <c r="E149" i="9"/>
  <c r="F149" i="9"/>
  <c r="G149" i="9"/>
  <c r="H149" i="9"/>
  <c r="I149" i="9"/>
  <c r="J149" i="9"/>
  <c r="K149" i="9"/>
  <c r="L55" i="8"/>
  <c r="K55" i="8"/>
  <c r="J55" i="8"/>
  <c r="I55" i="8"/>
  <c r="H55" i="8"/>
  <c r="G55" i="8"/>
  <c r="F55" i="8"/>
  <c r="E55" i="8"/>
  <c r="D55" i="8"/>
  <c r="C55" i="8"/>
  <c r="B55" i="8"/>
  <c r="M54" i="8"/>
  <c r="L54" i="8"/>
  <c r="K54" i="8"/>
  <c r="J54" i="8"/>
  <c r="I54" i="8"/>
  <c r="H54" i="8"/>
  <c r="G54" i="8"/>
  <c r="F54" i="8"/>
  <c r="E54" i="8"/>
  <c r="D54" i="8"/>
  <c r="C54" i="8"/>
  <c r="B54" i="8"/>
  <c r="M53" i="8"/>
  <c r="L53" i="8"/>
  <c r="K53" i="8"/>
  <c r="J53" i="8"/>
  <c r="I53" i="8"/>
  <c r="H53" i="8"/>
  <c r="G53" i="8"/>
  <c r="F53" i="8"/>
  <c r="E53" i="8"/>
  <c r="D53" i="8"/>
  <c r="C53" i="8"/>
  <c r="B53" i="8"/>
  <c r="M52" i="8"/>
  <c r="L52" i="8"/>
  <c r="K52" i="8"/>
  <c r="J52" i="8"/>
  <c r="I52" i="8"/>
  <c r="H52" i="8"/>
  <c r="G52" i="8"/>
  <c r="F52" i="8"/>
  <c r="E52" i="8"/>
  <c r="D52" i="8"/>
  <c r="C52" i="8"/>
  <c r="B52" i="8"/>
  <c r="M51" i="8"/>
  <c r="L51" i="8"/>
  <c r="K51" i="8"/>
  <c r="J51" i="8"/>
  <c r="I51" i="8"/>
  <c r="H51" i="8"/>
  <c r="G51" i="8"/>
  <c r="F51" i="8"/>
  <c r="E51" i="8"/>
  <c r="D51" i="8"/>
  <c r="C51" i="8"/>
  <c r="B51" i="8"/>
  <c r="M46" i="8"/>
  <c r="L46" i="8"/>
  <c r="K46" i="8"/>
  <c r="J46" i="8"/>
  <c r="I46" i="8"/>
  <c r="H46" i="8"/>
  <c r="G46" i="8"/>
  <c r="F46" i="8"/>
  <c r="E46" i="8"/>
  <c r="D46" i="8"/>
  <c r="C46" i="8"/>
  <c r="B46" i="8"/>
  <c r="M45" i="8"/>
  <c r="L45" i="8"/>
  <c r="K45" i="8"/>
  <c r="J45" i="8"/>
  <c r="I45" i="8"/>
  <c r="H45" i="8"/>
  <c r="G45" i="8"/>
  <c r="F45" i="8"/>
  <c r="E45" i="8"/>
  <c r="D45" i="8"/>
  <c r="C45" i="8"/>
  <c r="B45" i="8"/>
  <c r="M44" i="8"/>
  <c r="L44" i="8"/>
  <c r="K44" i="8"/>
  <c r="J44" i="8"/>
  <c r="I44" i="8"/>
  <c r="H44" i="8"/>
  <c r="G44" i="8"/>
  <c r="F44" i="8"/>
  <c r="E44" i="8"/>
  <c r="D44" i="8"/>
  <c r="C44" i="8"/>
  <c r="B44" i="8"/>
  <c r="M43" i="8"/>
  <c r="L43" i="8"/>
  <c r="K43" i="8"/>
  <c r="J43" i="8"/>
  <c r="I43" i="8"/>
  <c r="H43" i="8"/>
  <c r="G43" i="8"/>
  <c r="F43" i="8"/>
  <c r="E43" i="8"/>
  <c r="D43" i="8"/>
  <c r="C43" i="8"/>
  <c r="B43" i="8"/>
  <c r="M42" i="8"/>
  <c r="L42" i="8"/>
  <c r="K42" i="8"/>
  <c r="J42" i="8"/>
  <c r="I42" i="8"/>
  <c r="H42" i="8"/>
  <c r="G42" i="8"/>
  <c r="F42" i="8"/>
  <c r="E42" i="8"/>
  <c r="D42" i="8"/>
  <c r="C42" i="8"/>
  <c r="B42" i="8"/>
  <c r="M41" i="8"/>
  <c r="L41" i="8"/>
  <c r="K41" i="8"/>
  <c r="J41" i="8"/>
  <c r="I41" i="8"/>
  <c r="H41" i="8"/>
  <c r="G41" i="8"/>
  <c r="F41" i="8"/>
  <c r="E41" i="8"/>
  <c r="D41" i="8"/>
  <c r="C41" i="8"/>
  <c r="B41" i="8"/>
  <c r="M40" i="8"/>
  <c r="L40" i="8"/>
  <c r="K40" i="8"/>
  <c r="J40" i="8"/>
  <c r="I40" i="8"/>
  <c r="H40" i="8"/>
  <c r="G40" i="8"/>
  <c r="F40" i="8"/>
  <c r="E40" i="8"/>
  <c r="D40" i="8"/>
  <c r="C40" i="8"/>
  <c r="B40" i="8"/>
  <c r="M39" i="8"/>
  <c r="L39" i="8"/>
  <c r="K39" i="8"/>
  <c r="J39" i="8"/>
  <c r="I39" i="8"/>
  <c r="H39" i="8"/>
  <c r="G39" i="8"/>
  <c r="F39" i="8"/>
  <c r="E39" i="8"/>
  <c r="D39" i="8"/>
  <c r="C39" i="8"/>
  <c r="B39" i="8"/>
  <c r="M34" i="8"/>
  <c r="L34" i="8"/>
  <c r="K34" i="8"/>
  <c r="J34" i="8"/>
  <c r="I34" i="8"/>
  <c r="H34" i="8"/>
  <c r="G34" i="8"/>
  <c r="F34" i="8"/>
  <c r="E34" i="8"/>
  <c r="D34" i="8"/>
  <c r="C34" i="8"/>
  <c r="B34" i="8"/>
  <c r="M33" i="8"/>
  <c r="L33" i="8"/>
  <c r="K33" i="8"/>
  <c r="J33" i="8"/>
  <c r="I33" i="8"/>
  <c r="H33" i="8"/>
  <c r="G33" i="8"/>
  <c r="F33" i="8"/>
  <c r="E33" i="8"/>
  <c r="D33" i="8"/>
  <c r="C33" i="8"/>
  <c r="B33" i="8"/>
  <c r="M32" i="8"/>
  <c r="L32" i="8"/>
  <c r="K32" i="8"/>
  <c r="J32" i="8"/>
  <c r="I32" i="8"/>
  <c r="H32" i="8"/>
  <c r="G32" i="8"/>
  <c r="F32" i="8"/>
  <c r="E32" i="8"/>
  <c r="D32" i="8"/>
  <c r="C32" i="8"/>
  <c r="B32" i="8"/>
  <c r="M31" i="8"/>
  <c r="L31" i="8"/>
  <c r="K31" i="8"/>
  <c r="J31" i="8"/>
  <c r="I31" i="8"/>
  <c r="H31" i="8"/>
  <c r="G31" i="8"/>
  <c r="F31" i="8"/>
  <c r="E31" i="8"/>
  <c r="D31" i="8"/>
  <c r="C31" i="8"/>
  <c r="B31" i="8"/>
  <c r="M30" i="8"/>
  <c r="L30" i="8"/>
  <c r="K30" i="8"/>
  <c r="J30" i="8"/>
  <c r="I30" i="8"/>
  <c r="H30" i="8"/>
  <c r="G30" i="8"/>
  <c r="F30" i="8"/>
  <c r="E30" i="8"/>
  <c r="D30" i="8"/>
  <c r="C30" i="8"/>
  <c r="B30" i="8"/>
  <c r="M29" i="8"/>
  <c r="L29" i="8"/>
  <c r="K29" i="8"/>
  <c r="J29" i="8"/>
  <c r="I29" i="8"/>
  <c r="H29" i="8"/>
  <c r="G29" i="8"/>
  <c r="F29" i="8"/>
  <c r="E29" i="8"/>
  <c r="D29" i="8"/>
  <c r="C29" i="8"/>
  <c r="B29" i="8"/>
  <c r="M28" i="8"/>
  <c r="L28" i="8"/>
  <c r="K28" i="8"/>
  <c r="J28" i="8"/>
  <c r="I28" i="8"/>
  <c r="H28" i="8"/>
  <c r="G28" i="8"/>
  <c r="F28" i="8"/>
  <c r="E28" i="8"/>
  <c r="D28" i="8"/>
  <c r="C28" i="8"/>
  <c r="B28" i="8"/>
  <c r="M27" i="8"/>
  <c r="L27" i="8"/>
  <c r="K27" i="8"/>
  <c r="J27" i="8"/>
  <c r="I27" i="8"/>
  <c r="H27" i="8"/>
  <c r="G27" i="8"/>
  <c r="F27" i="8"/>
  <c r="E27" i="8"/>
  <c r="D27" i="8"/>
  <c r="C27" i="8"/>
  <c r="B27" i="8"/>
  <c r="M22" i="8"/>
  <c r="L22" i="8"/>
  <c r="K22" i="8"/>
  <c r="J22" i="8"/>
  <c r="I22" i="8"/>
  <c r="H22" i="8"/>
  <c r="G22" i="8"/>
  <c r="F22" i="8"/>
  <c r="E22" i="8"/>
  <c r="D22" i="8"/>
  <c r="C22" i="8"/>
  <c r="B22" i="8"/>
  <c r="M21" i="8"/>
  <c r="L21" i="8"/>
  <c r="K21" i="8"/>
  <c r="J21" i="8"/>
  <c r="I21" i="8"/>
  <c r="H21" i="8"/>
  <c r="G21" i="8"/>
  <c r="F21" i="8"/>
  <c r="E21" i="8"/>
  <c r="D21" i="8"/>
  <c r="C21" i="8"/>
  <c r="B21" i="8"/>
  <c r="M20" i="8"/>
  <c r="L20" i="8"/>
  <c r="K20" i="8"/>
  <c r="J20" i="8"/>
  <c r="I20" i="8"/>
  <c r="H20" i="8"/>
  <c r="G20" i="8"/>
  <c r="F20" i="8"/>
  <c r="E20" i="8"/>
  <c r="D20" i="8"/>
  <c r="C20" i="8"/>
  <c r="B20" i="8"/>
  <c r="M19" i="8"/>
  <c r="L19" i="8"/>
  <c r="K19" i="8"/>
  <c r="J19" i="8"/>
  <c r="I19" i="8"/>
  <c r="H19" i="8"/>
  <c r="G19" i="8"/>
  <c r="F19" i="8"/>
  <c r="E19" i="8"/>
  <c r="D19" i="8"/>
  <c r="C19" i="8"/>
  <c r="B19" i="8"/>
  <c r="M18" i="8"/>
  <c r="L18" i="8"/>
  <c r="K18" i="8"/>
  <c r="J18" i="8"/>
  <c r="I18" i="8"/>
  <c r="H18" i="8"/>
  <c r="G18" i="8"/>
  <c r="F18" i="8"/>
  <c r="E18" i="8"/>
  <c r="D18" i="8"/>
  <c r="C18" i="8"/>
  <c r="B18" i="8"/>
  <c r="M17" i="8"/>
  <c r="L17" i="8"/>
  <c r="K17" i="8"/>
  <c r="J17" i="8"/>
  <c r="I17" i="8"/>
  <c r="H17" i="8"/>
  <c r="G17" i="8"/>
  <c r="F17" i="8"/>
  <c r="E17" i="8"/>
  <c r="D17" i="8"/>
  <c r="C17" i="8"/>
  <c r="B17" i="8"/>
  <c r="M16" i="8"/>
  <c r="L16" i="8"/>
  <c r="K16" i="8"/>
  <c r="J16" i="8"/>
  <c r="I16" i="8"/>
  <c r="H16" i="8"/>
  <c r="G16" i="8"/>
  <c r="F16" i="8"/>
  <c r="E16" i="8"/>
  <c r="D16" i="8"/>
  <c r="C16" i="8"/>
  <c r="B16" i="8"/>
  <c r="M15" i="8"/>
  <c r="L15" i="8"/>
  <c r="K15" i="8"/>
  <c r="J15" i="8"/>
  <c r="I15" i="8"/>
  <c r="H15" i="8"/>
  <c r="G15" i="8"/>
  <c r="F15" i="8"/>
  <c r="E15" i="8"/>
  <c r="D15" i="8"/>
  <c r="C15" i="8"/>
  <c r="B15" i="8"/>
  <c r="M10" i="8"/>
  <c r="L10" i="8"/>
  <c r="K10" i="8"/>
  <c r="J10" i="8"/>
  <c r="I10" i="8"/>
  <c r="H10" i="8"/>
  <c r="G10" i="8"/>
  <c r="F10" i="8"/>
  <c r="E10" i="8"/>
  <c r="D10" i="8"/>
  <c r="C10" i="8"/>
  <c r="B10" i="8"/>
  <c r="M9" i="8"/>
  <c r="L9" i="8"/>
  <c r="K9" i="8"/>
  <c r="J9" i="8"/>
  <c r="I9" i="8"/>
  <c r="H9" i="8"/>
  <c r="G9" i="8"/>
  <c r="F9" i="8"/>
  <c r="E9" i="8"/>
  <c r="D9" i="8"/>
  <c r="C9" i="8"/>
  <c r="B9" i="8"/>
  <c r="M8" i="8"/>
  <c r="L8" i="8"/>
  <c r="K8" i="8"/>
  <c r="J8" i="8"/>
  <c r="I8" i="8"/>
  <c r="H8" i="8"/>
  <c r="G8" i="8"/>
  <c r="F8" i="8"/>
  <c r="E8" i="8"/>
  <c r="D8" i="8"/>
  <c r="C8" i="8"/>
  <c r="B8" i="8"/>
  <c r="M7" i="8"/>
  <c r="L7" i="8"/>
  <c r="K7" i="8"/>
  <c r="J7" i="8"/>
  <c r="I7" i="8"/>
  <c r="H7" i="8"/>
  <c r="G7" i="8"/>
  <c r="F7" i="8"/>
  <c r="E7" i="8"/>
  <c r="D7" i="8"/>
  <c r="C7" i="8"/>
  <c r="B7" i="8"/>
  <c r="M6" i="8"/>
  <c r="L6" i="8"/>
  <c r="K6" i="8"/>
  <c r="J6" i="8"/>
  <c r="I6" i="8"/>
  <c r="H6" i="8"/>
  <c r="G6" i="8"/>
  <c r="F6" i="8"/>
  <c r="E6" i="8"/>
  <c r="D6" i="8"/>
  <c r="C6" i="8"/>
  <c r="B6" i="8"/>
  <c r="M5" i="8"/>
  <c r="L5" i="8"/>
  <c r="K5" i="8"/>
  <c r="J5" i="8"/>
  <c r="I5" i="8"/>
  <c r="H5" i="8"/>
  <c r="G5" i="8"/>
  <c r="F5" i="8"/>
  <c r="E5" i="8"/>
  <c r="D5" i="8"/>
  <c r="C5" i="8"/>
  <c r="B5" i="8"/>
  <c r="M4" i="8"/>
  <c r="L4" i="8"/>
  <c r="K4" i="8"/>
  <c r="J4" i="8"/>
  <c r="I4" i="8"/>
  <c r="H4" i="8"/>
  <c r="G4" i="8"/>
  <c r="F4" i="8"/>
  <c r="E4" i="8"/>
  <c r="D4" i="8"/>
  <c r="C4" i="8"/>
  <c r="B4" i="8"/>
  <c r="M3" i="8"/>
  <c r="L3" i="8"/>
  <c r="K3" i="8"/>
  <c r="J3" i="8"/>
  <c r="I3" i="8"/>
  <c r="H3" i="8"/>
  <c r="G3" i="8"/>
  <c r="F3" i="8"/>
  <c r="E3" i="8"/>
  <c r="D3" i="8"/>
  <c r="M178" i="8"/>
  <c r="L178" i="8"/>
  <c r="K178" i="8"/>
  <c r="J178" i="8"/>
  <c r="I178" i="8"/>
  <c r="H178" i="8"/>
  <c r="G178" i="8"/>
  <c r="F178" i="8"/>
  <c r="E178" i="8"/>
  <c r="D178" i="8"/>
  <c r="C178" i="8"/>
  <c r="B178" i="8"/>
  <c r="M177" i="8"/>
  <c r="L177" i="8"/>
  <c r="K177" i="8"/>
  <c r="J177" i="8"/>
  <c r="I177" i="8"/>
  <c r="H177" i="8"/>
  <c r="G177" i="8"/>
  <c r="F177" i="8"/>
  <c r="E177" i="8"/>
  <c r="D177" i="8"/>
  <c r="C177" i="8"/>
  <c r="B177" i="8"/>
  <c r="M176" i="8"/>
  <c r="L176" i="8"/>
  <c r="K176" i="8"/>
  <c r="J176" i="8"/>
  <c r="I176" i="8"/>
  <c r="H176" i="8"/>
  <c r="G176" i="8"/>
  <c r="F176" i="8"/>
  <c r="E176" i="8"/>
  <c r="D176" i="8"/>
  <c r="C176" i="8"/>
  <c r="B176" i="8"/>
  <c r="M175" i="8"/>
  <c r="L175" i="8"/>
  <c r="K175" i="8"/>
  <c r="J175" i="8"/>
  <c r="I175" i="8"/>
  <c r="H175" i="8"/>
  <c r="G175" i="8"/>
  <c r="F175" i="8"/>
  <c r="E175" i="8"/>
  <c r="D175" i="8"/>
  <c r="C175" i="8"/>
  <c r="B175" i="8"/>
  <c r="M174" i="8"/>
  <c r="L174" i="8"/>
  <c r="K174" i="8"/>
  <c r="J174" i="8"/>
  <c r="I174" i="8"/>
  <c r="H174" i="8"/>
  <c r="G174" i="8"/>
  <c r="F174" i="8"/>
  <c r="E174" i="8"/>
  <c r="D174" i="8"/>
  <c r="C174" i="8"/>
  <c r="B174" i="8"/>
  <c r="M173" i="8"/>
  <c r="L173" i="8"/>
  <c r="K173" i="8"/>
  <c r="J173" i="8"/>
  <c r="I173" i="8"/>
  <c r="H173" i="8"/>
  <c r="G173" i="8"/>
  <c r="F173" i="8"/>
  <c r="E173" i="8"/>
  <c r="D173" i="8"/>
  <c r="C173" i="8"/>
  <c r="B173" i="8"/>
  <c r="M172" i="8"/>
  <c r="L172" i="8"/>
  <c r="K172" i="8"/>
  <c r="J172" i="8"/>
  <c r="I172" i="8"/>
  <c r="H172" i="8"/>
  <c r="G172" i="8"/>
  <c r="F172" i="8"/>
  <c r="E172" i="8"/>
  <c r="D172" i="8"/>
  <c r="C172" i="8"/>
  <c r="B172" i="8"/>
  <c r="M171" i="8"/>
  <c r="L171" i="8"/>
  <c r="K171" i="8"/>
  <c r="J171" i="8"/>
  <c r="I171" i="8"/>
  <c r="H171" i="8"/>
  <c r="G171" i="8"/>
  <c r="F171" i="8"/>
  <c r="E171" i="8"/>
  <c r="D171" i="8"/>
  <c r="C171" i="8"/>
  <c r="B171" i="8"/>
  <c r="M166" i="8"/>
  <c r="L166" i="8"/>
  <c r="K166" i="8"/>
  <c r="J166" i="8"/>
  <c r="I166" i="8"/>
  <c r="H166" i="8"/>
  <c r="G166" i="8"/>
  <c r="F166" i="8"/>
  <c r="E166" i="8"/>
  <c r="H66" i="8"/>
  <c r="D166" i="8"/>
  <c r="C166" i="8"/>
  <c r="B166" i="8"/>
  <c r="M165" i="8"/>
  <c r="L165" i="8"/>
  <c r="K165" i="8"/>
  <c r="J165" i="8"/>
  <c r="I165" i="8"/>
  <c r="H165" i="8"/>
  <c r="G165" i="8"/>
  <c r="F165" i="8"/>
  <c r="E165" i="8"/>
  <c r="D165" i="8"/>
  <c r="C165" i="8"/>
  <c r="B165" i="8"/>
  <c r="M164" i="8"/>
  <c r="L164" i="8"/>
  <c r="K164" i="8"/>
  <c r="J164" i="8"/>
  <c r="I164" i="8"/>
  <c r="H164" i="8"/>
  <c r="G164" i="8"/>
  <c r="F164" i="8"/>
  <c r="E164" i="8"/>
  <c r="D164" i="8"/>
  <c r="C164" i="8"/>
  <c r="B164" i="8"/>
  <c r="M163" i="8"/>
  <c r="L163" i="8"/>
  <c r="K163" i="8"/>
  <c r="J163" i="8"/>
  <c r="I163" i="8"/>
  <c r="H163" i="8"/>
  <c r="G163" i="8"/>
  <c r="F163" i="8"/>
  <c r="E163" i="8"/>
  <c r="D163" i="8"/>
  <c r="C163" i="8"/>
  <c r="B163" i="8"/>
  <c r="M162" i="8"/>
  <c r="L162" i="8"/>
  <c r="K162" i="8"/>
  <c r="J162" i="8"/>
  <c r="I162" i="8"/>
  <c r="H162" i="8"/>
  <c r="G162" i="8"/>
  <c r="F162" i="8"/>
  <c r="E162" i="8"/>
  <c r="D162" i="8"/>
  <c r="C162" i="8"/>
  <c r="B162" i="8"/>
  <c r="M161" i="8"/>
  <c r="L161" i="8"/>
  <c r="K161" i="8"/>
  <c r="J161" i="8"/>
  <c r="I161" i="8"/>
  <c r="H161" i="8"/>
  <c r="G161" i="8"/>
  <c r="F161" i="8"/>
  <c r="E161" i="8"/>
  <c r="D161" i="8"/>
  <c r="C161" i="8"/>
  <c r="B161" i="8"/>
  <c r="M160" i="8"/>
  <c r="L160" i="8"/>
  <c r="K160" i="8"/>
  <c r="J160" i="8"/>
  <c r="I160" i="8"/>
  <c r="H160" i="8"/>
  <c r="G160" i="8"/>
  <c r="F160" i="8"/>
  <c r="E160" i="8"/>
  <c r="D160" i="8"/>
  <c r="C160" i="8"/>
  <c r="B160" i="8"/>
  <c r="M159" i="8"/>
  <c r="L159" i="8"/>
  <c r="K159" i="8"/>
  <c r="J159" i="8"/>
  <c r="I159" i="8"/>
  <c r="H159" i="8"/>
  <c r="G159" i="8"/>
  <c r="F159" i="8"/>
  <c r="E159" i="8"/>
  <c r="D159" i="8"/>
  <c r="C159" i="8"/>
  <c r="B159" i="8"/>
  <c r="M154" i="8"/>
  <c r="L154" i="8"/>
  <c r="K154" i="8"/>
  <c r="J154" i="8"/>
  <c r="I154" i="8"/>
  <c r="H154" i="8"/>
  <c r="G154" i="8"/>
  <c r="F154" i="8"/>
  <c r="E154" i="8"/>
  <c r="D154" i="8"/>
  <c r="C154" i="8"/>
  <c r="B154" i="8"/>
  <c r="M153" i="8"/>
  <c r="L153" i="8"/>
  <c r="K153" i="8"/>
  <c r="J153" i="8"/>
  <c r="I153" i="8"/>
  <c r="H153" i="8"/>
  <c r="G153" i="8"/>
  <c r="F153" i="8"/>
  <c r="E153" i="8"/>
  <c r="D153" i="8"/>
  <c r="C153" i="8"/>
  <c r="B153" i="8"/>
  <c r="M152" i="8"/>
  <c r="L152" i="8"/>
  <c r="K152" i="8"/>
  <c r="J152" i="8"/>
  <c r="I152" i="8"/>
  <c r="H152" i="8"/>
  <c r="G152" i="8"/>
  <c r="F152" i="8"/>
  <c r="E152" i="8"/>
  <c r="D152" i="8"/>
  <c r="C152" i="8"/>
  <c r="B152" i="8"/>
  <c r="M151" i="8"/>
  <c r="L151" i="8"/>
  <c r="K151" i="8"/>
  <c r="J151" i="8"/>
  <c r="I151" i="8"/>
  <c r="H151" i="8"/>
  <c r="G151" i="8"/>
  <c r="F151" i="8"/>
  <c r="E151" i="8"/>
  <c r="D151" i="8"/>
  <c r="C151" i="8"/>
  <c r="B151" i="8"/>
  <c r="M150" i="8"/>
  <c r="L150" i="8"/>
  <c r="K150" i="8"/>
  <c r="J150" i="8"/>
  <c r="I150" i="8"/>
  <c r="H150" i="8"/>
  <c r="G150" i="8"/>
  <c r="F150" i="8"/>
  <c r="E150" i="8"/>
  <c r="D150" i="8"/>
  <c r="C150" i="8"/>
  <c r="B150" i="8"/>
  <c r="M149" i="8"/>
  <c r="L149" i="8"/>
  <c r="K149" i="8"/>
  <c r="J149" i="8"/>
  <c r="I149" i="8"/>
  <c r="H149" i="8"/>
  <c r="G149" i="8"/>
  <c r="F149" i="8"/>
  <c r="E149" i="8"/>
  <c r="D149" i="8"/>
  <c r="C149" i="8"/>
  <c r="B149" i="8"/>
  <c r="M148" i="8"/>
  <c r="L148" i="8"/>
  <c r="K148" i="8"/>
  <c r="J148" i="8"/>
  <c r="I148" i="8"/>
  <c r="H148" i="8"/>
  <c r="G148" i="8"/>
  <c r="F148" i="8"/>
  <c r="E148" i="8"/>
  <c r="D148" i="8"/>
  <c r="C148" i="8"/>
  <c r="B148" i="8"/>
  <c r="M147" i="8"/>
  <c r="L147" i="8"/>
  <c r="K147" i="8"/>
  <c r="J147" i="8"/>
  <c r="I147" i="8"/>
  <c r="H147" i="8"/>
  <c r="G147" i="8"/>
  <c r="F147" i="8"/>
  <c r="E147" i="8"/>
  <c r="D147" i="8"/>
  <c r="C147" i="8"/>
  <c r="B147" i="8"/>
  <c r="M142" i="8"/>
  <c r="L142" i="8"/>
  <c r="J142" i="8"/>
  <c r="I142" i="8"/>
  <c r="H142" i="8"/>
  <c r="G142" i="8"/>
  <c r="F142" i="8"/>
  <c r="E142" i="8"/>
  <c r="D142" i="8"/>
  <c r="C142" i="8"/>
  <c r="B142" i="8"/>
  <c r="M141" i="8"/>
  <c r="L141" i="8"/>
  <c r="K141" i="8"/>
  <c r="J141" i="8"/>
  <c r="I141" i="8"/>
  <c r="H141" i="8"/>
  <c r="G141" i="8"/>
  <c r="F141" i="8"/>
  <c r="E141" i="8"/>
  <c r="D141" i="8"/>
  <c r="C141" i="8"/>
  <c r="B141" i="8"/>
  <c r="M140" i="8"/>
  <c r="L140" i="8"/>
  <c r="K140" i="8"/>
  <c r="J140" i="8"/>
  <c r="I140" i="8"/>
  <c r="H140" i="8"/>
  <c r="G140" i="8"/>
  <c r="F140" i="8"/>
  <c r="E140" i="8"/>
  <c r="D140" i="8"/>
  <c r="C140" i="8"/>
  <c r="B140" i="8"/>
  <c r="M139" i="8"/>
  <c r="L139" i="8"/>
  <c r="K139" i="8"/>
  <c r="J139" i="8"/>
  <c r="I139" i="8"/>
  <c r="H139" i="8"/>
  <c r="G139" i="8"/>
  <c r="F139" i="8"/>
  <c r="E139" i="8"/>
  <c r="D139" i="8"/>
  <c r="C139" i="8"/>
  <c r="B139" i="8"/>
  <c r="M138" i="8"/>
  <c r="L138" i="8"/>
  <c r="K138" i="8"/>
  <c r="J138" i="8"/>
  <c r="I138" i="8"/>
  <c r="H138" i="8"/>
  <c r="G138" i="8"/>
  <c r="F138" i="8"/>
  <c r="E138" i="8"/>
  <c r="D138" i="8"/>
  <c r="C138" i="8"/>
  <c r="B138" i="8"/>
  <c r="M137" i="8"/>
  <c r="L137" i="8"/>
  <c r="K137" i="8"/>
  <c r="J137" i="8"/>
  <c r="I137" i="8"/>
  <c r="H137" i="8"/>
  <c r="G137" i="8"/>
  <c r="F137" i="8"/>
  <c r="E137" i="8"/>
  <c r="D137" i="8"/>
  <c r="C137" i="8"/>
  <c r="B137" i="8"/>
  <c r="M136" i="8"/>
  <c r="L136" i="8"/>
  <c r="K136" i="8"/>
  <c r="J136" i="8"/>
  <c r="I136" i="8"/>
  <c r="H136" i="8"/>
  <c r="G136" i="8"/>
  <c r="F136" i="8"/>
  <c r="E136" i="8"/>
  <c r="D136" i="8"/>
  <c r="C136" i="8"/>
  <c r="B136" i="8"/>
  <c r="M135" i="8"/>
  <c r="L135" i="8"/>
  <c r="K135" i="8"/>
  <c r="J135" i="8"/>
  <c r="I135" i="8"/>
  <c r="H135" i="8"/>
  <c r="G135" i="8"/>
  <c r="F135" i="8"/>
  <c r="E135" i="8"/>
  <c r="D135" i="8"/>
  <c r="C135" i="8"/>
  <c r="B135" i="8"/>
  <c r="M130" i="8"/>
  <c r="L130" i="8"/>
  <c r="K130" i="8"/>
  <c r="J130" i="8"/>
  <c r="I130" i="8"/>
  <c r="H130" i="8"/>
  <c r="G130" i="8"/>
  <c r="F130" i="8"/>
  <c r="E130" i="8"/>
  <c r="D130" i="8"/>
  <c r="C130" i="8"/>
  <c r="B130" i="8"/>
  <c r="M129" i="8"/>
  <c r="L129" i="8"/>
  <c r="K129" i="8"/>
  <c r="J129" i="8"/>
  <c r="I129" i="8"/>
  <c r="H129" i="8"/>
  <c r="G129" i="8"/>
  <c r="F129" i="8"/>
  <c r="E129" i="8"/>
  <c r="D129" i="8"/>
  <c r="C129" i="8"/>
  <c r="B129" i="8"/>
  <c r="M128" i="8"/>
  <c r="L128" i="8"/>
  <c r="K128" i="8"/>
  <c r="J128" i="8"/>
  <c r="I128" i="8"/>
  <c r="H128" i="8"/>
  <c r="G128" i="8"/>
  <c r="F128" i="8"/>
  <c r="E128" i="8"/>
  <c r="D128" i="8"/>
  <c r="C128" i="8"/>
  <c r="B128" i="8"/>
  <c r="M127" i="8"/>
  <c r="L127" i="8"/>
  <c r="K127" i="8"/>
  <c r="J127" i="8"/>
  <c r="I127" i="8"/>
  <c r="H127" i="8"/>
  <c r="G127" i="8"/>
  <c r="F127" i="8"/>
  <c r="E127" i="8"/>
  <c r="D127" i="8"/>
  <c r="C127" i="8"/>
  <c r="B127" i="8"/>
  <c r="M126" i="8"/>
  <c r="L126" i="8"/>
  <c r="K126" i="8"/>
  <c r="J126" i="8"/>
  <c r="I126" i="8"/>
  <c r="H126" i="8"/>
  <c r="G126" i="8"/>
  <c r="F126" i="8"/>
  <c r="E126" i="8"/>
  <c r="D126" i="8"/>
  <c r="C126" i="8"/>
  <c r="B126" i="8"/>
  <c r="M125" i="8"/>
  <c r="L125" i="8"/>
  <c r="K125" i="8"/>
  <c r="J125" i="8"/>
  <c r="I125" i="8"/>
  <c r="H125" i="8"/>
  <c r="G125" i="8"/>
  <c r="F125" i="8"/>
  <c r="E125" i="8"/>
  <c r="D125" i="8"/>
  <c r="C125" i="8"/>
  <c r="B125" i="8"/>
  <c r="M124" i="8"/>
  <c r="L124" i="8"/>
  <c r="K124" i="8"/>
  <c r="J124" i="8"/>
  <c r="I124" i="8"/>
  <c r="H124" i="8"/>
  <c r="G124" i="8"/>
  <c r="F124" i="8"/>
  <c r="E124" i="8"/>
  <c r="D124" i="8"/>
  <c r="C124" i="8"/>
  <c r="B124" i="8"/>
  <c r="M123" i="8"/>
  <c r="L123" i="8"/>
  <c r="K123" i="8"/>
  <c r="J123" i="8"/>
  <c r="I123" i="8"/>
  <c r="H123" i="8"/>
  <c r="G123" i="8"/>
  <c r="F123" i="8"/>
  <c r="E123" i="8"/>
  <c r="D123" i="8"/>
  <c r="C123" i="8"/>
  <c r="B123" i="8"/>
  <c r="M118" i="8"/>
  <c r="L118" i="8"/>
  <c r="K118" i="8"/>
  <c r="J118" i="8"/>
  <c r="I118" i="8"/>
  <c r="H118" i="8"/>
  <c r="G118" i="8"/>
  <c r="F118" i="8"/>
  <c r="E118" i="8"/>
  <c r="D118" i="8"/>
  <c r="C118" i="8"/>
  <c r="B118" i="8"/>
  <c r="M117" i="8"/>
  <c r="L117" i="8"/>
  <c r="K117" i="8"/>
  <c r="J117" i="8"/>
  <c r="I117" i="8"/>
  <c r="H117" i="8"/>
  <c r="G117" i="8"/>
  <c r="F117" i="8"/>
  <c r="E117" i="8"/>
  <c r="D117" i="8"/>
  <c r="C117" i="8"/>
  <c r="B117" i="8"/>
  <c r="M116" i="8"/>
  <c r="L116" i="8"/>
  <c r="K116" i="8"/>
  <c r="J116" i="8"/>
  <c r="I116" i="8"/>
  <c r="H116" i="8"/>
  <c r="G116" i="8"/>
  <c r="F116" i="8"/>
  <c r="E116" i="8"/>
  <c r="D116" i="8"/>
  <c r="C116" i="8"/>
  <c r="B116" i="8"/>
  <c r="M115" i="8"/>
  <c r="L115" i="8"/>
  <c r="K115" i="8"/>
  <c r="J115" i="8"/>
  <c r="I115" i="8"/>
  <c r="H115" i="8"/>
  <c r="G115" i="8"/>
  <c r="F115" i="8"/>
  <c r="E115" i="8"/>
  <c r="D115" i="8"/>
  <c r="C115" i="8"/>
  <c r="B115" i="8"/>
  <c r="M114" i="8"/>
  <c r="L114" i="8"/>
  <c r="K114" i="8"/>
  <c r="J114" i="8"/>
  <c r="I114" i="8"/>
  <c r="H114" i="8"/>
  <c r="G114" i="8"/>
  <c r="F114" i="8"/>
  <c r="E114" i="8"/>
  <c r="D114" i="8"/>
  <c r="C114" i="8"/>
  <c r="B114" i="8"/>
  <c r="M113" i="8"/>
  <c r="L113" i="8"/>
  <c r="K113" i="8"/>
  <c r="J113" i="8"/>
  <c r="I113" i="8"/>
  <c r="H113" i="8"/>
  <c r="G113" i="8"/>
  <c r="F113" i="8"/>
  <c r="E113" i="8"/>
  <c r="D113" i="8"/>
  <c r="C113" i="8"/>
  <c r="B113" i="8"/>
  <c r="M112" i="8"/>
  <c r="L112" i="8"/>
  <c r="K112" i="8"/>
  <c r="J112" i="8"/>
  <c r="I112" i="8"/>
  <c r="H112" i="8"/>
  <c r="G112" i="8"/>
  <c r="F112" i="8"/>
  <c r="E112" i="8"/>
  <c r="D112" i="8"/>
  <c r="C112" i="8"/>
  <c r="B112" i="8"/>
  <c r="M111" i="8"/>
  <c r="L111" i="8"/>
  <c r="K111" i="8"/>
  <c r="J111" i="8"/>
  <c r="I111" i="8"/>
  <c r="H111" i="8"/>
  <c r="G111" i="8"/>
  <c r="F111" i="8"/>
  <c r="E111" i="8"/>
  <c r="D111" i="8"/>
  <c r="C111" i="8"/>
  <c r="B111" i="8"/>
  <c r="M106" i="8"/>
  <c r="L106" i="8"/>
  <c r="K106" i="8"/>
  <c r="J106" i="8"/>
  <c r="I106" i="8"/>
  <c r="H106" i="8"/>
  <c r="G106" i="8"/>
  <c r="F106" i="8"/>
  <c r="E106" i="8"/>
  <c r="D106" i="8"/>
  <c r="C106" i="8"/>
  <c r="B106" i="8"/>
  <c r="M105" i="8"/>
  <c r="L105" i="8"/>
  <c r="K105" i="8"/>
  <c r="J105" i="8"/>
  <c r="I105" i="8"/>
  <c r="H105" i="8"/>
  <c r="G105" i="8"/>
  <c r="F105" i="8"/>
  <c r="E105" i="8"/>
  <c r="D105" i="8"/>
  <c r="C105" i="8"/>
  <c r="B105" i="8"/>
  <c r="M104" i="8"/>
  <c r="L104" i="8"/>
  <c r="K104" i="8"/>
  <c r="J104" i="8"/>
  <c r="I104" i="8"/>
  <c r="H104" i="8"/>
  <c r="G104" i="8"/>
  <c r="F104" i="8"/>
  <c r="E104" i="8"/>
  <c r="D104" i="8"/>
  <c r="C104" i="8"/>
  <c r="B104" i="8"/>
  <c r="M103" i="8"/>
  <c r="L103" i="8"/>
  <c r="K103" i="8"/>
  <c r="J103" i="8"/>
  <c r="I103" i="8"/>
  <c r="H103" i="8"/>
  <c r="G103" i="8"/>
  <c r="F103" i="8"/>
  <c r="E103" i="8"/>
  <c r="D103" i="8"/>
  <c r="C103" i="8"/>
  <c r="B103" i="8"/>
  <c r="M102" i="8"/>
  <c r="L102" i="8"/>
  <c r="K102" i="8"/>
  <c r="J102" i="8"/>
  <c r="I102" i="8"/>
  <c r="H102" i="8"/>
  <c r="G102" i="8"/>
  <c r="F102" i="8"/>
  <c r="E102" i="8"/>
  <c r="D102" i="8"/>
  <c r="C102" i="8"/>
  <c r="B102" i="8"/>
  <c r="M101" i="8"/>
  <c r="L101" i="8"/>
  <c r="K101" i="8"/>
  <c r="J101" i="8"/>
  <c r="I101" i="8"/>
  <c r="H101" i="8"/>
  <c r="G101" i="8"/>
  <c r="F101" i="8"/>
  <c r="E101" i="8"/>
  <c r="D101" i="8"/>
  <c r="C101" i="8"/>
  <c r="B101" i="8"/>
  <c r="M100" i="8"/>
  <c r="L100" i="8"/>
  <c r="K100" i="8"/>
  <c r="J100" i="8"/>
  <c r="I100" i="8"/>
  <c r="H100" i="8"/>
  <c r="G100" i="8"/>
  <c r="F100" i="8"/>
  <c r="E100" i="8"/>
  <c r="D100" i="8"/>
  <c r="C100" i="8"/>
  <c r="B100" i="8"/>
  <c r="M99" i="8"/>
  <c r="L99" i="8"/>
  <c r="K99" i="8"/>
  <c r="J99" i="8"/>
  <c r="I99" i="8"/>
  <c r="H99" i="8"/>
  <c r="G99" i="8"/>
  <c r="F99" i="8"/>
  <c r="E99" i="8"/>
  <c r="D99" i="8"/>
  <c r="C99" i="8"/>
  <c r="B99" i="8"/>
  <c r="M94" i="8"/>
  <c r="L94" i="8"/>
  <c r="K94" i="8"/>
  <c r="J94" i="8"/>
  <c r="I94" i="8"/>
  <c r="H94" i="8"/>
  <c r="G94" i="8"/>
  <c r="F94" i="8"/>
  <c r="E94" i="8"/>
  <c r="D94" i="8"/>
  <c r="C94" i="8"/>
  <c r="B94" i="8"/>
  <c r="M93" i="8"/>
  <c r="L93" i="8"/>
  <c r="K93" i="8"/>
  <c r="J93" i="8"/>
  <c r="I93" i="8"/>
  <c r="H93" i="8"/>
  <c r="G93" i="8"/>
  <c r="F93" i="8"/>
  <c r="E93" i="8"/>
  <c r="D93" i="8"/>
  <c r="C93" i="8"/>
  <c r="B93" i="8"/>
  <c r="M92" i="8"/>
  <c r="L92" i="8"/>
  <c r="K92" i="8"/>
  <c r="J92" i="8"/>
  <c r="I92" i="8"/>
  <c r="H92" i="8"/>
  <c r="G92" i="8"/>
  <c r="F92" i="8"/>
  <c r="E92" i="8"/>
  <c r="D92" i="8"/>
  <c r="C92" i="8"/>
  <c r="B92" i="8"/>
  <c r="M91" i="8"/>
  <c r="L91" i="8"/>
  <c r="K91" i="8"/>
  <c r="J91" i="8"/>
  <c r="I91" i="8"/>
  <c r="H91" i="8"/>
  <c r="G91" i="8"/>
  <c r="F91" i="8"/>
  <c r="E91" i="8"/>
  <c r="D91" i="8"/>
  <c r="C91" i="8"/>
  <c r="B91" i="8"/>
  <c r="M90" i="8"/>
  <c r="L90" i="8"/>
  <c r="K90" i="8"/>
  <c r="J90" i="8"/>
  <c r="I90" i="8"/>
  <c r="H90" i="8"/>
  <c r="G90" i="8"/>
  <c r="F90" i="8"/>
  <c r="E90" i="8"/>
  <c r="D90" i="8"/>
  <c r="C90" i="8"/>
  <c r="B90" i="8"/>
  <c r="M89" i="8"/>
  <c r="L89" i="8"/>
  <c r="K89" i="8"/>
  <c r="J89" i="8"/>
  <c r="I89" i="8"/>
  <c r="H89" i="8"/>
  <c r="G89" i="8"/>
  <c r="F89" i="8"/>
  <c r="E89" i="8"/>
  <c r="D89" i="8"/>
  <c r="C89" i="8"/>
  <c r="B89" i="8"/>
  <c r="M88" i="8"/>
  <c r="L88" i="8"/>
  <c r="K88" i="8"/>
  <c r="J88" i="8"/>
  <c r="I88" i="8"/>
  <c r="H88" i="8"/>
  <c r="G88" i="8"/>
  <c r="F88" i="8"/>
  <c r="E88" i="8"/>
  <c r="D88" i="8"/>
  <c r="C88" i="8"/>
  <c r="B88" i="8"/>
  <c r="M87" i="8"/>
  <c r="L87" i="8"/>
  <c r="K87" i="8"/>
  <c r="J87" i="8"/>
  <c r="I87" i="8"/>
  <c r="H87" i="8"/>
  <c r="G87" i="8"/>
  <c r="F87" i="8"/>
  <c r="E87" i="8"/>
  <c r="D87" i="8"/>
  <c r="C87" i="8"/>
  <c r="B87" i="8"/>
  <c r="M82" i="8"/>
  <c r="L82" i="8"/>
  <c r="K82" i="8"/>
  <c r="J82" i="8"/>
  <c r="I82" i="8"/>
  <c r="H82" i="8"/>
  <c r="G82" i="8"/>
  <c r="F82" i="8"/>
  <c r="E82" i="8"/>
  <c r="D82" i="8"/>
  <c r="C82" i="8"/>
  <c r="B82" i="8"/>
  <c r="M81" i="8"/>
  <c r="L81" i="8"/>
  <c r="K81" i="8"/>
  <c r="J81" i="8"/>
  <c r="I81" i="8"/>
  <c r="H81" i="8"/>
  <c r="G81" i="8"/>
  <c r="F81" i="8"/>
  <c r="E81" i="8"/>
  <c r="D81" i="8"/>
  <c r="C81" i="8"/>
  <c r="B81" i="8"/>
  <c r="M80" i="8"/>
  <c r="L80" i="8"/>
  <c r="K80" i="8"/>
  <c r="J80" i="8"/>
  <c r="I80" i="8"/>
  <c r="H80" i="8"/>
  <c r="G80" i="8"/>
  <c r="F80" i="8"/>
  <c r="E80" i="8"/>
  <c r="D80" i="8"/>
  <c r="C80" i="8"/>
  <c r="B80" i="8"/>
  <c r="M79" i="8"/>
  <c r="L79" i="8"/>
  <c r="K79" i="8"/>
  <c r="J79" i="8"/>
  <c r="I79" i="8"/>
  <c r="H79" i="8"/>
  <c r="G79" i="8"/>
  <c r="F79" i="8"/>
  <c r="E79" i="8"/>
  <c r="D79" i="8"/>
  <c r="C79" i="8"/>
  <c r="B79" i="8"/>
  <c r="M78" i="8"/>
  <c r="L78" i="8"/>
  <c r="K78" i="8"/>
  <c r="J78" i="8"/>
  <c r="I78" i="8"/>
  <c r="H78" i="8"/>
  <c r="G78" i="8"/>
  <c r="F78" i="8"/>
  <c r="E78" i="8"/>
  <c r="D78" i="8"/>
  <c r="C78" i="8"/>
  <c r="B78" i="8"/>
  <c r="M77" i="8"/>
  <c r="L77" i="8"/>
  <c r="K77" i="8"/>
  <c r="J77" i="8"/>
  <c r="I77" i="8"/>
  <c r="H77" i="8"/>
  <c r="G77" i="8"/>
  <c r="F77" i="8"/>
  <c r="E77" i="8"/>
  <c r="D77" i="8"/>
  <c r="C77" i="8"/>
  <c r="B77" i="8"/>
  <c r="M76" i="8"/>
  <c r="L76" i="8"/>
  <c r="K76" i="8"/>
  <c r="J76" i="8"/>
  <c r="I76" i="8"/>
  <c r="H76" i="8"/>
  <c r="G76" i="8"/>
  <c r="F76" i="8"/>
  <c r="E76" i="8"/>
  <c r="D76" i="8"/>
  <c r="C76" i="8"/>
  <c r="B76" i="8"/>
  <c r="M75" i="8"/>
  <c r="L75" i="8"/>
  <c r="K75" i="8"/>
  <c r="J75" i="8"/>
  <c r="I75" i="8"/>
  <c r="H75" i="8"/>
  <c r="G75" i="8"/>
  <c r="F75" i="8"/>
  <c r="E75" i="8"/>
  <c r="D75" i="8"/>
  <c r="C75" i="8"/>
  <c r="B75" i="8"/>
  <c r="M70" i="8"/>
  <c r="L70" i="8"/>
  <c r="K70" i="8"/>
  <c r="J70" i="8"/>
  <c r="I70" i="8"/>
  <c r="H70" i="8"/>
  <c r="G70" i="8"/>
  <c r="F70" i="8"/>
  <c r="E70" i="8"/>
  <c r="D70" i="8"/>
  <c r="C70" i="8"/>
  <c r="B70" i="8"/>
  <c r="M69" i="8"/>
  <c r="L69" i="8"/>
  <c r="K69" i="8"/>
  <c r="J69" i="8"/>
  <c r="I69" i="8"/>
  <c r="H69" i="8"/>
  <c r="G69" i="8"/>
  <c r="F69" i="8"/>
  <c r="E69" i="8"/>
  <c r="D69" i="8"/>
  <c r="C69" i="8"/>
  <c r="B69" i="8"/>
  <c r="M68" i="8"/>
  <c r="L68" i="8"/>
  <c r="K68" i="8"/>
  <c r="J68" i="8"/>
  <c r="I68" i="8"/>
  <c r="H68" i="8"/>
  <c r="G68" i="8"/>
  <c r="F68" i="8"/>
  <c r="E68" i="8"/>
  <c r="D68" i="8"/>
  <c r="C68" i="8"/>
  <c r="B68" i="8"/>
  <c r="M67" i="8"/>
  <c r="L67" i="8"/>
  <c r="K67" i="8"/>
  <c r="J67" i="8"/>
  <c r="I67" i="8"/>
  <c r="H67" i="8"/>
  <c r="G67" i="8"/>
  <c r="F67" i="8"/>
  <c r="E67" i="8"/>
  <c r="D67" i="8"/>
  <c r="C67" i="8"/>
  <c r="B67" i="8"/>
  <c r="M66" i="8"/>
  <c r="L66" i="8"/>
  <c r="K66" i="8"/>
  <c r="J66" i="8"/>
  <c r="I66" i="8"/>
  <c r="K142" i="8"/>
  <c r="G66" i="8"/>
  <c r="F66" i="8"/>
  <c r="E66" i="8"/>
  <c r="D66" i="8"/>
  <c r="C66" i="8"/>
  <c r="B66" i="8"/>
  <c r="M65" i="8"/>
  <c r="L65" i="8"/>
  <c r="K65" i="8"/>
  <c r="J65" i="8"/>
  <c r="I65" i="8"/>
  <c r="H65" i="8"/>
  <c r="G65" i="8"/>
  <c r="F65" i="8"/>
  <c r="E65" i="8"/>
  <c r="D65" i="8"/>
  <c r="C65" i="8"/>
  <c r="B65" i="8"/>
  <c r="M64" i="8"/>
  <c r="L64" i="8"/>
  <c r="K64" i="8"/>
  <c r="J64" i="8"/>
  <c r="I64" i="8"/>
  <c r="H64" i="8"/>
  <c r="G64" i="8"/>
  <c r="F64" i="8"/>
  <c r="E64" i="8"/>
  <c r="D64" i="8"/>
  <c r="C64" i="8"/>
  <c r="B64" i="8"/>
  <c r="M63" i="8"/>
  <c r="L63" i="8"/>
  <c r="K63" i="8"/>
  <c r="J63" i="8"/>
  <c r="I63" i="8"/>
  <c r="H63" i="8"/>
  <c r="G63" i="8"/>
  <c r="F63" i="8"/>
  <c r="E63" i="8"/>
  <c r="D63" i="8"/>
  <c r="C63" i="8"/>
  <c r="B63" i="8"/>
  <c r="M58" i="8"/>
  <c r="L58" i="8"/>
  <c r="K58" i="8"/>
  <c r="J58" i="8"/>
  <c r="I58" i="8"/>
  <c r="H58" i="8"/>
  <c r="G58" i="8"/>
  <c r="F58" i="8"/>
  <c r="E58" i="8"/>
  <c r="D58" i="8"/>
  <c r="C58" i="8"/>
  <c r="B58" i="8"/>
  <c r="M57" i="8"/>
  <c r="L57" i="8"/>
  <c r="K57" i="8"/>
  <c r="J57" i="8"/>
  <c r="I57" i="8"/>
  <c r="H57" i="8"/>
  <c r="G57" i="8"/>
  <c r="F57" i="8"/>
  <c r="E57" i="8"/>
  <c r="D57" i="8"/>
  <c r="C57" i="8"/>
  <c r="B57" i="8"/>
  <c r="M56" i="8"/>
  <c r="L56" i="8"/>
  <c r="K56" i="8"/>
  <c r="J56" i="8"/>
  <c r="I56" i="8"/>
  <c r="H56" i="8"/>
  <c r="G56" i="8"/>
  <c r="F56" i="8"/>
  <c r="E56" i="8"/>
  <c r="D56" i="8"/>
  <c r="C56" i="8"/>
  <c r="B56" i="8"/>
  <c r="M55" i="8"/>
  <c r="I101" i="6"/>
  <c r="J101" i="6"/>
  <c r="K101" i="6"/>
  <c r="B102" i="6"/>
  <c r="E94" i="6"/>
  <c r="F94" i="6"/>
  <c r="G94" i="6"/>
  <c r="H94" i="6"/>
  <c r="I94" i="6"/>
  <c r="J94" i="6"/>
  <c r="K94" i="6"/>
  <c r="B95" i="6"/>
  <c r="D95" i="6"/>
  <c r="E95" i="6"/>
  <c r="F92" i="6"/>
  <c r="F95" i="6"/>
  <c r="G95" i="6"/>
  <c r="H95" i="6"/>
  <c r="I95" i="6"/>
  <c r="J95" i="6"/>
  <c r="K95" i="6"/>
  <c r="B96" i="6"/>
  <c r="C96" i="6"/>
  <c r="D96" i="6"/>
  <c r="E96" i="6"/>
  <c r="G96" i="6"/>
  <c r="H96" i="6"/>
  <c r="I96" i="6"/>
  <c r="J96" i="6"/>
  <c r="K96" i="6"/>
  <c r="B101" i="6"/>
  <c r="C101" i="6"/>
  <c r="D101" i="6"/>
  <c r="E101" i="6"/>
  <c r="F101" i="6"/>
  <c r="G101" i="6"/>
  <c r="H101" i="6"/>
  <c r="F96" i="6"/>
  <c r="K90" i="6"/>
  <c r="B91" i="6"/>
  <c r="C91" i="6"/>
  <c r="D91" i="6"/>
  <c r="E91" i="6"/>
  <c r="F91" i="6"/>
  <c r="G91" i="6"/>
  <c r="H91" i="6"/>
  <c r="I91" i="6"/>
  <c r="J91" i="6"/>
  <c r="K91" i="6"/>
  <c r="B92" i="6"/>
  <c r="C92" i="6"/>
  <c r="D92" i="6"/>
  <c r="E92" i="6"/>
  <c r="C95" i="6"/>
  <c r="G92" i="6"/>
  <c r="H92" i="6"/>
  <c r="I92" i="6"/>
  <c r="J92" i="6"/>
  <c r="K92" i="6"/>
  <c r="B93" i="6"/>
  <c r="C93" i="6"/>
  <c r="D93" i="6"/>
  <c r="E93" i="6"/>
  <c r="F93" i="6"/>
  <c r="G93" i="6"/>
  <c r="H93" i="6"/>
  <c r="I93" i="6"/>
  <c r="J93" i="6"/>
  <c r="K93" i="6"/>
  <c r="B94" i="6"/>
  <c r="C94" i="6"/>
  <c r="D94" i="6"/>
  <c r="C102" i="6"/>
  <c r="D102" i="6"/>
  <c r="E102" i="6"/>
  <c r="F102" i="6"/>
  <c r="G102" i="6"/>
  <c r="H102" i="6"/>
  <c r="I102" i="6"/>
  <c r="J102" i="6"/>
  <c r="K102" i="6"/>
  <c r="B103" i="6"/>
  <c r="D103" i="6"/>
  <c r="E103" i="6"/>
  <c r="F103" i="6"/>
  <c r="G103" i="6"/>
  <c r="H103" i="6"/>
  <c r="I103" i="6"/>
  <c r="J208" i="6"/>
  <c r="J103" i="6"/>
  <c r="K103" i="6"/>
  <c r="B104" i="6"/>
  <c r="C104" i="6"/>
  <c r="D104" i="6"/>
  <c r="E104" i="6"/>
  <c r="F104" i="6"/>
  <c r="G104" i="6"/>
  <c r="H104" i="6"/>
  <c r="I104" i="6"/>
  <c r="J104" i="6"/>
  <c r="K104" i="6"/>
  <c r="B105" i="6"/>
  <c r="C105" i="6"/>
  <c r="D105" i="6"/>
  <c r="E105" i="6"/>
  <c r="J90" i="6"/>
  <c r="C103" i="6"/>
  <c r="K208" i="6"/>
  <c r="I90" i="6"/>
  <c r="D137" i="7"/>
  <c r="E137" i="7"/>
  <c r="F137" i="7"/>
  <c r="G137" i="7"/>
  <c r="H137" i="7"/>
  <c r="I137" i="7"/>
  <c r="J137" i="7"/>
  <c r="B138" i="7"/>
  <c r="C138" i="7"/>
  <c r="D138" i="7"/>
  <c r="E138" i="7"/>
  <c r="F138" i="7"/>
  <c r="G138" i="7"/>
  <c r="H138" i="7"/>
  <c r="I138" i="7"/>
  <c r="J138" i="7"/>
  <c r="B139" i="7"/>
  <c r="C139" i="7"/>
  <c r="D139" i="7"/>
  <c r="E139" i="7"/>
  <c r="F139" i="7"/>
  <c r="G139" i="7"/>
  <c r="H139" i="7"/>
  <c r="I139" i="7"/>
  <c r="J139" i="7"/>
  <c r="B140" i="7"/>
  <c r="C140" i="7"/>
  <c r="D140" i="7"/>
  <c r="E140" i="7"/>
  <c r="F140" i="7"/>
  <c r="G140" i="7"/>
  <c r="H140" i="7"/>
  <c r="I140" i="7"/>
  <c r="J140" i="7"/>
  <c r="B141" i="7"/>
  <c r="C141" i="7"/>
  <c r="D141" i="7"/>
  <c r="E141" i="7"/>
  <c r="F141" i="7"/>
  <c r="G141" i="7"/>
  <c r="H141" i="7"/>
  <c r="I141" i="7"/>
  <c r="J141" i="7"/>
  <c r="B146" i="7"/>
  <c r="C146" i="7"/>
  <c r="D146" i="7"/>
  <c r="E146" i="7"/>
  <c r="F146" i="7"/>
  <c r="G146" i="7"/>
  <c r="H146" i="7"/>
  <c r="I146" i="7"/>
  <c r="J146" i="7"/>
  <c r="B147" i="7"/>
  <c r="C147" i="7"/>
  <c r="D147" i="7"/>
  <c r="E147" i="7"/>
  <c r="F147" i="7"/>
  <c r="G147" i="7"/>
  <c r="H147" i="7"/>
  <c r="I147" i="7"/>
  <c r="J147" i="7"/>
  <c r="B148" i="7"/>
  <c r="C148" i="7"/>
  <c r="D148" i="7"/>
  <c r="E148" i="7"/>
  <c r="J186" i="7"/>
  <c r="B187" i="7"/>
  <c r="C187" i="7"/>
  <c r="D187" i="7"/>
  <c r="E187" i="7"/>
  <c r="F187" i="7"/>
  <c r="G187" i="7"/>
  <c r="H187" i="7"/>
  <c r="I187" i="7"/>
  <c r="J187" i="7"/>
  <c r="B188" i="7"/>
  <c r="C188" i="7"/>
  <c r="D188" i="7"/>
  <c r="E188" i="7"/>
  <c r="F188" i="7"/>
  <c r="G188" i="7"/>
  <c r="H188" i="7"/>
  <c r="I188" i="7"/>
  <c r="J188" i="7"/>
  <c r="B189" i="7"/>
  <c r="C189" i="7"/>
  <c r="D189" i="7"/>
  <c r="E189" i="7"/>
  <c r="F189" i="7"/>
  <c r="G189" i="7"/>
  <c r="H189" i="7"/>
  <c r="I189" i="7"/>
  <c r="J189" i="7"/>
  <c r="B190" i="7"/>
  <c r="C190" i="7"/>
  <c r="D190" i="7"/>
  <c r="E190" i="7"/>
  <c r="F190" i="7"/>
  <c r="G190" i="7"/>
  <c r="H190" i="7"/>
  <c r="I190" i="7"/>
  <c r="J190" i="7"/>
  <c r="B191" i="7"/>
  <c r="C191" i="7"/>
  <c r="D191" i="7"/>
  <c r="E191" i="7"/>
  <c r="F191" i="7"/>
  <c r="G191" i="7"/>
  <c r="H191" i="7"/>
  <c r="I191" i="7"/>
  <c r="J191" i="7"/>
  <c r="B192" i="7"/>
  <c r="C192" i="7"/>
  <c r="D192" i="7"/>
  <c r="E192" i="7"/>
  <c r="F192" i="7"/>
  <c r="G192" i="7"/>
  <c r="H192" i="7"/>
  <c r="I192" i="7"/>
  <c r="J192" i="7"/>
  <c r="B193" i="7"/>
  <c r="C193" i="7"/>
  <c r="D193" i="7"/>
  <c r="E193" i="7"/>
  <c r="F193" i="7"/>
  <c r="G193" i="7"/>
  <c r="H193" i="7"/>
  <c r="I193" i="7"/>
  <c r="J193" i="7"/>
  <c r="G186" i="7"/>
  <c r="F186" i="7"/>
  <c r="E186" i="7"/>
  <c r="D186" i="7"/>
  <c r="C186" i="7"/>
  <c r="B186" i="7"/>
  <c r="J185" i="7"/>
  <c r="I185" i="7"/>
  <c r="H185" i="7"/>
  <c r="G185" i="7"/>
  <c r="F185" i="7"/>
  <c r="E185" i="7"/>
  <c r="D185" i="7"/>
  <c r="C185" i="7"/>
  <c r="B185" i="7"/>
  <c r="J180" i="7"/>
  <c r="I180" i="7"/>
  <c r="H180" i="7"/>
  <c r="G180" i="7"/>
  <c r="F180" i="7"/>
  <c r="E180" i="7"/>
  <c r="D180" i="7"/>
  <c r="C180" i="7"/>
  <c r="B180" i="7"/>
  <c r="J179" i="7"/>
  <c r="I179" i="7"/>
  <c r="H179" i="7"/>
  <c r="G179" i="7"/>
  <c r="F179" i="7"/>
  <c r="E179" i="7"/>
  <c r="D179" i="7"/>
  <c r="C179" i="7"/>
  <c r="B179" i="7"/>
  <c r="J178" i="7"/>
  <c r="I178" i="7"/>
  <c r="H178" i="7"/>
  <c r="G178" i="7"/>
  <c r="F178" i="7"/>
  <c r="E178" i="7"/>
  <c r="D178" i="7"/>
  <c r="C178" i="7"/>
  <c r="B178" i="7"/>
  <c r="J177" i="7"/>
  <c r="I177" i="7"/>
  <c r="H177" i="7"/>
  <c r="G177" i="7"/>
  <c r="F177" i="7"/>
  <c r="E177" i="7"/>
  <c r="D177" i="7"/>
  <c r="C177" i="7"/>
  <c r="B177" i="7"/>
  <c r="J176" i="7"/>
  <c r="I176" i="7"/>
  <c r="H176" i="7"/>
  <c r="G176" i="7"/>
  <c r="F176" i="7"/>
  <c r="E176" i="7"/>
  <c r="D176" i="7"/>
  <c r="C176" i="7"/>
  <c r="B176" i="7"/>
  <c r="J175" i="7"/>
  <c r="I175" i="7"/>
  <c r="H175" i="7"/>
  <c r="G175" i="7"/>
  <c r="F175" i="7"/>
  <c r="E175" i="7"/>
  <c r="D175" i="7"/>
  <c r="C175" i="7"/>
  <c r="B175" i="7"/>
  <c r="J174" i="7"/>
  <c r="I174" i="7"/>
  <c r="H174" i="7"/>
  <c r="G174" i="7"/>
  <c r="F174" i="7"/>
  <c r="E174" i="7"/>
  <c r="D174" i="7"/>
  <c r="C174" i="7"/>
  <c r="B174" i="7"/>
  <c r="J173" i="7"/>
  <c r="I173" i="7"/>
  <c r="H173" i="7"/>
  <c r="G173" i="7"/>
  <c r="F173" i="7"/>
  <c r="E173" i="7"/>
  <c r="D173" i="7"/>
  <c r="C173" i="7"/>
  <c r="B173" i="7"/>
  <c r="J172" i="7"/>
  <c r="I172" i="7"/>
  <c r="H172" i="7"/>
  <c r="G172" i="7"/>
  <c r="F172" i="7"/>
  <c r="E172" i="7"/>
  <c r="D172" i="7"/>
  <c r="C172" i="7"/>
  <c r="B172" i="7"/>
  <c r="J167" i="7"/>
  <c r="I167" i="7"/>
  <c r="H167" i="7"/>
  <c r="G167" i="7"/>
  <c r="F167" i="7"/>
  <c r="E167" i="7"/>
  <c r="D167" i="7"/>
  <c r="C167" i="7"/>
  <c r="B167" i="7"/>
  <c r="J166" i="7"/>
  <c r="I166" i="7"/>
  <c r="H166" i="7"/>
  <c r="G166" i="7"/>
  <c r="F166" i="7"/>
  <c r="E166" i="7"/>
  <c r="D166" i="7"/>
  <c r="C166" i="7"/>
  <c r="B166" i="7"/>
  <c r="J165" i="7"/>
  <c r="I165" i="7"/>
  <c r="H165" i="7"/>
  <c r="G165" i="7"/>
  <c r="F165" i="7"/>
  <c r="E165" i="7"/>
  <c r="D165" i="7"/>
  <c r="C165" i="7"/>
  <c r="B165" i="7"/>
  <c r="J164" i="7"/>
  <c r="I164" i="7"/>
  <c r="H164" i="7"/>
  <c r="G164" i="7"/>
  <c r="F164" i="7"/>
  <c r="E164" i="7"/>
  <c r="D164" i="7"/>
  <c r="C164" i="7"/>
  <c r="B164" i="7"/>
  <c r="J163" i="7"/>
  <c r="I163" i="7"/>
  <c r="H163" i="7"/>
  <c r="G163" i="7"/>
  <c r="F163" i="7"/>
  <c r="E163" i="7"/>
  <c r="D163" i="7"/>
  <c r="C163" i="7"/>
  <c r="B163" i="7"/>
  <c r="J162" i="7"/>
  <c r="I162" i="7"/>
  <c r="H162" i="7"/>
  <c r="G162" i="7"/>
  <c r="F162" i="7"/>
  <c r="E162" i="7"/>
  <c r="D162" i="7"/>
  <c r="C162" i="7"/>
  <c r="B162" i="7"/>
  <c r="J161" i="7"/>
  <c r="I161" i="7"/>
  <c r="H161" i="7"/>
  <c r="G161" i="7"/>
  <c r="F161" i="7"/>
  <c r="E161" i="7"/>
  <c r="D161" i="7"/>
  <c r="C161" i="7"/>
  <c r="B161" i="7"/>
  <c r="J160" i="7"/>
  <c r="I160" i="7"/>
  <c r="H160" i="7"/>
  <c r="G160" i="7"/>
  <c r="F160" i="7"/>
  <c r="E160" i="7"/>
  <c r="D160" i="7"/>
  <c r="C160" i="7"/>
  <c r="B160" i="7"/>
  <c r="J159" i="7"/>
  <c r="I159" i="7"/>
  <c r="H159" i="7"/>
  <c r="G159" i="7"/>
  <c r="F159" i="7"/>
  <c r="E159" i="7"/>
  <c r="D159" i="7"/>
  <c r="C159" i="7"/>
  <c r="B159" i="7"/>
  <c r="J154" i="7"/>
  <c r="I154" i="7"/>
  <c r="H154" i="7"/>
  <c r="G154" i="7"/>
  <c r="F154" i="7"/>
  <c r="E154" i="7"/>
  <c r="D154" i="7"/>
  <c r="C154" i="7"/>
  <c r="B154" i="7"/>
  <c r="J153" i="7"/>
  <c r="I153" i="7"/>
  <c r="H153" i="7"/>
  <c r="G153" i="7"/>
  <c r="F153" i="7"/>
  <c r="E153" i="7"/>
  <c r="D153" i="7"/>
  <c r="C153" i="7"/>
  <c r="B153" i="7"/>
  <c r="J152" i="7"/>
  <c r="I152" i="7"/>
  <c r="H152" i="7"/>
  <c r="G152" i="7"/>
  <c r="F152" i="7"/>
  <c r="E152" i="7"/>
  <c r="D152" i="7"/>
  <c r="C152" i="7"/>
  <c r="B152" i="7"/>
  <c r="J151" i="7"/>
  <c r="I151" i="7"/>
  <c r="H151" i="7"/>
  <c r="G151" i="7"/>
  <c r="F151" i="7"/>
  <c r="E151" i="7"/>
  <c r="D151" i="7"/>
  <c r="C151" i="7"/>
  <c r="B151" i="7"/>
  <c r="J150" i="7"/>
  <c r="I150" i="7"/>
  <c r="H150" i="7"/>
  <c r="G150" i="7"/>
  <c r="F150" i="7"/>
  <c r="E150" i="7"/>
  <c r="D150" i="7"/>
  <c r="C150" i="7"/>
  <c r="B150" i="7"/>
  <c r="J149" i="7"/>
  <c r="I149" i="7"/>
  <c r="H149" i="7"/>
  <c r="G149" i="7"/>
  <c r="F149" i="7"/>
  <c r="E149" i="7"/>
  <c r="D149" i="7"/>
  <c r="C149" i="7"/>
  <c r="B149" i="7"/>
  <c r="J148" i="7"/>
  <c r="I148" i="7"/>
  <c r="H148" i="7"/>
  <c r="G148" i="7"/>
  <c r="H81" i="7"/>
  <c r="B3" i="7"/>
  <c r="C3" i="7"/>
  <c r="D3" i="7"/>
  <c r="E3" i="7"/>
  <c r="F3" i="7"/>
  <c r="G3" i="7"/>
  <c r="H3" i="7"/>
  <c r="I3" i="7"/>
  <c r="J3" i="7"/>
  <c r="B4" i="7"/>
  <c r="C4" i="7"/>
  <c r="D4" i="7"/>
  <c r="E4" i="7"/>
  <c r="F4" i="7"/>
  <c r="G4" i="7"/>
  <c r="H4" i="7"/>
  <c r="I4" i="7"/>
  <c r="J4" i="7"/>
  <c r="B5" i="7"/>
  <c r="C5" i="7"/>
  <c r="D5" i="7"/>
  <c r="E5" i="7"/>
  <c r="F5" i="7"/>
  <c r="G5" i="7"/>
  <c r="H5" i="7"/>
  <c r="I5" i="7"/>
  <c r="J5" i="7"/>
  <c r="B6" i="7"/>
  <c r="C6" i="7"/>
  <c r="D6" i="7"/>
  <c r="E6" i="7"/>
  <c r="F6" i="7"/>
  <c r="G6" i="7"/>
  <c r="H6" i="7"/>
  <c r="I6" i="7"/>
  <c r="J6" i="7"/>
  <c r="B7" i="7"/>
  <c r="C7" i="7"/>
  <c r="D7" i="7"/>
  <c r="E7" i="7"/>
  <c r="F7" i="7"/>
  <c r="G7" i="7"/>
  <c r="H7" i="7"/>
  <c r="I7" i="7"/>
  <c r="J7" i="7"/>
  <c r="B8" i="7"/>
  <c r="C8" i="7"/>
  <c r="D8" i="7"/>
  <c r="E8" i="7"/>
  <c r="F8" i="7"/>
  <c r="G8" i="7"/>
  <c r="H8" i="7"/>
  <c r="I8" i="7"/>
  <c r="J8" i="7"/>
  <c r="B9" i="7"/>
  <c r="C9" i="7"/>
  <c r="D9" i="7"/>
  <c r="E9" i="7"/>
  <c r="F9" i="7"/>
  <c r="G9" i="7"/>
  <c r="H9" i="7"/>
  <c r="I9" i="7"/>
  <c r="J9" i="7"/>
  <c r="B10" i="7"/>
  <c r="C10" i="7"/>
  <c r="D10" i="7"/>
  <c r="E10" i="7"/>
  <c r="F10" i="7"/>
  <c r="G10" i="7"/>
  <c r="H10" i="7"/>
  <c r="I10" i="7"/>
  <c r="J10" i="7"/>
  <c r="B11" i="7"/>
  <c r="C11" i="7"/>
  <c r="D11" i="7"/>
  <c r="E11" i="7"/>
  <c r="F11" i="7"/>
  <c r="G11" i="7"/>
  <c r="H11" i="7"/>
  <c r="I11" i="7"/>
  <c r="J11" i="7"/>
  <c r="B16" i="7"/>
  <c r="C16" i="7"/>
  <c r="D16" i="7"/>
  <c r="E16" i="7"/>
  <c r="F16" i="7"/>
  <c r="G16" i="7"/>
  <c r="H16" i="7"/>
  <c r="I16" i="7"/>
  <c r="J16" i="7"/>
  <c r="B17" i="7"/>
  <c r="C17" i="7"/>
  <c r="D17" i="7"/>
  <c r="E17" i="7"/>
  <c r="F17" i="7"/>
  <c r="G17" i="7"/>
  <c r="H17" i="7"/>
  <c r="I17" i="7"/>
  <c r="J17" i="7"/>
  <c r="B18" i="7"/>
  <c r="C18" i="7"/>
  <c r="D18" i="7"/>
  <c r="E18" i="7"/>
  <c r="F18" i="7"/>
  <c r="G18" i="7"/>
  <c r="H18" i="7"/>
  <c r="I18" i="7"/>
  <c r="J18" i="7"/>
  <c r="B19" i="7"/>
  <c r="C19" i="7"/>
  <c r="D19" i="7"/>
  <c r="E19" i="7"/>
  <c r="F19" i="7"/>
  <c r="G19" i="7"/>
  <c r="H19" i="7"/>
  <c r="I19" i="7"/>
  <c r="J19" i="7"/>
  <c r="B20" i="7"/>
  <c r="C20" i="7"/>
  <c r="D20" i="7"/>
  <c r="E20" i="7"/>
  <c r="F20" i="7"/>
  <c r="G20" i="7"/>
  <c r="H20" i="7"/>
  <c r="I20" i="7"/>
  <c r="J20" i="7"/>
  <c r="B21" i="7"/>
  <c r="C21" i="7"/>
  <c r="D21" i="7"/>
  <c r="E21" i="7"/>
  <c r="F21" i="7"/>
  <c r="G21" i="7"/>
  <c r="H21" i="7"/>
  <c r="I21" i="7"/>
  <c r="J21" i="7"/>
  <c r="B22" i="7"/>
  <c r="C22" i="7"/>
  <c r="D22" i="7"/>
  <c r="E22" i="7"/>
  <c r="F22" i="7"/>
  <c r="G22" i="7"/>
  <c r="H22" i="7"/>
  <c r="I22" i="7"/>
  <c r="J22" i="7"/>
  <c r="B23" i="7"/>
  <c r="C23" i="7"/>
  <c r="D23" i="7"/>
  <c r="E23" i="7"/>
  <c r="F23" i="7"/>
  <c r="G23" i="7"/>
  <c r="H23" i="7"/>
  <c r="I23" i="7"/>
  <c r="J23" i="7"/>
  <c r="B24" i="7"/>
  <c r="C24" i="7"/>
  <c r="D24" i="7"/>
  <c r="E24" i="7"/>
  <c r="F24" i="7"/>
  <c r="G24" i="7"/>
  <c r="H24" i="7"/>
  <c r="I24" i="7"/>
  <c r="J24" i="7"/>
  <c r="B29" i="7"/>
  <c r="C29" i="7"/>
  <c r="D29" i="7"/>
  <c r="E29" i="7"/>
  <c r="F29" i="7"/>
  <c r="G29" i="7"/>
  <c r="H29" i="7"/>
  <c r="I29" i="7"/>
  <c r="J29" i="7"/>
  <c r="B30" i="7"/>
  <c r="C30" i="7"/>
  <c r="D30" i="7"/>
  <c r="E30" i="7"/>
  <c r="F30" i="7"/>
  <c r="G30" i="7"/>
  <c r="H30" i="7"/>
  <c r="I30" i="7"/>
  <c r="J30" i="7"/>
  <c r="B31" i="7"/>
  <c r="C31" i="7"/>
  <c r="D31" i="7"/>
  <c r="E31" i="7"/>
  <c r="F31" i="7"/>
  <c r="G31" i="7"/>
  <c r="H31" i="7"/>
  <c r="I31" i="7"/>
  <c r="J31" i="7"/>
  <c r="B32" i="7"/>
  <c r="C32" i="7"/>
  <c r="D32" i="7"/>
  <c r="E32" i="7"/>
  <c r="F32" i="7"/>
  <c r="G32" i="7"/>
  <c r="H32" i="7"/>
  <c r="I32" i="7"/>
  <c r="J32" i="7"/>
  <c r="B33" i="7"/>
  <c r="C33" i="7"/>
  <c r="D33" i="7"/>
  <c r="E33" i="7"/>
  <c r="F33" i="7"/>
  <c r="G33" i="7"/>
  <c r="H33" i="7"/>
  <c r="I33" i="7"/>
  <c r="J33" i="7"/>
  <c r="B34" i="7"/>
  <c r="C34" i="7"/>
  <c r="D34" i="7"/>
  <c r="E34" i="7"/>
  <c r="F34" i="7"/>
  <c r="G34" i="7"/>
  <c r="H34" i="7"/>
  <c r="I34" i="7"/>
  <c r="J34" i="7"/>
  <c r="B35" i="7"/>
  <c r="C35" i="7"/>
  <c r="D35" i="7"/>
  <c r="E35" i="7"/>
  <c r="F35" i="7"/>
  <c r="G35" i="7"/>
  <c r="H35" i="7"/>
  <c r="I35" i="7"/>
  <c r="J35" i="7"/>
  <c r="B36" i="7"/>
  <c r="C36" i="7"/>
  <c r="D36" i="7"/>
  <c r="E36" i="7"/>
  <c r="F36" i="7"/>
  <c r="G36" i="7"/>
  <c r="H36" i="7"/>
  <c r="I36" i="7"/>
  <c r="J36" i="7"/>
  <c r="B37" i="7"/>
  <c r="C37" i="7"/>
  <c r="D37" i="7"/>
  <c r="E37" i="7"/>
  <c r="F37" i="7"/>
  <c r="G37" i="7"/>
  <c r="H37" i="7"/>
  <c r="I37" i="7"/>
  <c r="J37" i="7"/>
  <c r="B42" i="7"/>
  <c r="C42" i="7"/>
  <c r="D42" i="7"/>
  <c r="E42" i="7"/>
  <c r="F42" i="7"/>
  <c r="G42" i="7"/>
  <c r="H42" i="7"/>
  <c r="I42" i="7"/>
  <c r="J42" i="7"/>
  <c r="B43" i="7"/>
  <c r="C43" i="7"/>
  <c r="D43" i="7"/>
  <c r="I186" i="7"/>
  <c r="E43" i="7"/>
  <c r="F43" i="7"/>
  <c r="G43" i="7"/>
  <c r="H43" i="7"/>
  <c r="I43" i="7"/>
  <c r="J43" i="7"/>
  <c r="B44" i="7"/>
  <c r="C44" i="7"/>
  <c r="D44" i="7"/>
  <c r="E44" i="7"/>
  <c r="F44" i="7"/>
  <c r="G44" i="7"/>
  <c r="H44" i="7"/>
  <c r="I44" i="7"/>
  <c r="J44" i="7"/>
  <c r="B45" i="7"/>
  <c r="C45" i="7"/>
  <c r="D45" i="7"/>
  <c r="E45" i="7"/>
  <c r="F45" i="7"/>
  <c r="G45" i="7"/>
  <c r="H45" i="7"/>
  <c r="I45" i="7"/>
  <c r="J45" i="7"/>
  <c r="B46" i="7"/>
  <c r="C46" i="7"/>
  <c r="D46" i="7"/>
  <c r="E46" i="7"/>
  <c r="F46" i="7"/>
  <c r="G46" i="7"/>
  <c r="H46" i="7"/>
  <c r="I46" i="7"/>
  <c r="J46" i="7"/>
  <c r="B47" i="7"/>
  <c r="C47" i="7"/>
  <c r="D47" i="7"/>
  <c r="E47" i="7"/>
  <c r="F47" i="7"/>
  <c r="G47" i="7"/>
  <c r="H47" i="7"/>
  <c r="I47" i="7"/>
  <c r="J47" i="7"/>
  <c r="B48" i="7"/>
  <c r="C48" i="7"/>
  <c r="D48" i="7"/>
  <c r="E48" i="7"/>
  <c r="F48" i="7"/>
  <c r="G48" i="7"/>
  <c r="H48" i="7"/>
  <c r="I48" i="7"/>
  <c r="J48" i="7"/>
  <c r="B49" i="7"/>
  <c r="C49" i="7"/>
  <c r="D49" i="7"/>
  <c r="E49" i="7"/>
  <c r="F49" i="7"/>
  <c r="G49" i="7"/>
  <c r="H49" i="7"/>
  <c r="I49" i="7"/>
  <c r="J49" i="7"/>
  <c r="B50" i="7"/>
  <c r="C50" i="7"/>
  <c r="D50" i="7"/>
  <c r="E50" i="7"/>
  <c r="F50" i="7"/>
  <c r="G50" i="7"/>
  <c r="H50" i="7"/>
  <c r="I50" i="7"/>
  <c r="J50" i="7"/>
  <c r="B55" i="7"/>
  <c r="C55" i="7"/>
  <c r="D55" i="7"/>
  <c r="E55" i="7"/>
  <c r="F55" i="7"/>
  <c r="G55" i="7"/>
  <c r="H55" i="7"/>
  <c r="I55" i="7"/>
  <c r="J55" i="7"/>
  <c r="B56" i="7"/>
  <c r="C56" i="7"/>
  <c r="D56" i="7"/>
  <c r="E56" i="7"/>
  <c r="F56" i="7"/>
  <c r="G56" i="7"/>
  <c r="H56" i="7"/>
  <c r="I56" i="7"/>
  <c r="J56" i="7"/>
  <c r="B57" i="7"/>
  <c r="C57" i="7"/>
  <c r="D57" i="7"/>
  <c r="E57" i="7"/>
  <c r="F57" i="7"/>
  <c r="G57" i="7"/>
  <c r="H57" i="7"/>
  <c r="I57" i="7"/>
  <c r="J57" i="7"/>
  <c r="B58" i="7"/>
  <c r="B137" i="7"/>
  <c r="C58" i="7"/>
  <c r="D58" i="7"/>
  <c r="E58" i="7"/>
  <c r="F58" i="7"/>
  <c r="G58" i="7"/>
  <c r="H58" i="7"/>
  <c r="I58" i="7"/>
  <c r="J58" i="7"/>
  <c r="B59" i="7"/>
  <c r="C59" i="7"/>
  <c r="D59" i="7"/>
  <c r="E59" i="7"/>
  <c r="F59" i="7"/>
  <c r="G59" i="7"/>
  <c r="H59" i="7"/>
  <c r="I59" i="7"/>
  <c r="J59" i="7"/>
  <c r="B60" i="7"/>
  <c r="C60" i="7"/>
  <c r="D60" i="7"/>
  <c r="E60" i="7"/>
  <c r="F60" i="7"/>
  <c r="G60" i="7"/>
  <c r="H60" i="7"/>
  <c r="I60" i="7"/>
  <c r="J60" i="7"/>
  <c r="B61" i="7"/>
  <c r="C61" i="7"/>
  <c r="D61" i="7"/>
  <c r="E61" i="7"/>
  <c r="F61" i="7"/>
  <c r="G61" i="7"/>
  <c r="H61" i="7"/>
  <c r="I61" i="7"/>
  <c r="J61" i="7"/>
  <c r="B62" i="7"/>
  <c r="C62" i="7"/>
  <c r="D62" i="7"/>
  <c r="E62" i="7"/>
  <c r="F62" i="7"/>
  <c r="G62" i="7"/>
  <c r="H62" i="7"/>
  <c r="I62" i="7"/>
  <c r="J62" i="7"/>
  <c r="B63" i="7"/>
  <c r="C63" i="7"/>
  <c r="D63" i="7"/>
  <c r="E63" i="7"/>
  <c r="F63" i="7"/>
  <c r="G63" i="7"/>
  <c r="H63" i="7"/>
  <c r="I63" i="7"/>
  <c r="J63" i="7"/>
  <c r="B68" i="7"/>
  <c r="C68" i="7"/>
  <c r="D68" i="7"/>
  <c r="E68" i="7"/>
  <c r="F68" i="7"/>
  <c r="G68" i="7"/>
  <c r="H68" i="7"/>
  <c r="I68" i="7"/>
  <c r="J68" i="7"/>
  <c r="B69" i="7"/>
  <c r="C69" i="7"/>
  <c r="D69" i="7"/>
  <c r="E69" i="7"/>
  <c r="F69" i="7"/>
  <c r="G69" i="7"/>
  <c r="H69" i="7"/>
  <c r="I69" i="7"/>
  <c r="J69" i="7"/>
  <c r="B70" i="7"/>
  <c r="C70" i="7"/>
  <c r="D70" i="7"/>
  <c r="E70" i="7"/>
  <c r="F70" i="7"/>
  <c r="G70" i="7"/>
  <c r="H70" i="7"/>
  <c r="I70" i="7"/>
  <c r="J70" i="7"/>
  <c r="B71" i="7"/>
  <c r="C71" i="7"/>
  <c r="D71" i="7"/>
  <c r="E71" i="7"/>
  <c r="F71" i="7"/>
  <c r="G71" i="7"/>
  <c r="H71" i="7"/>
  <c r="I71" i="7"/>
  <c r="J71" i="7"/>
  <c r="B72" i="7"/>
  <c r="C72" i="7"/>
  <c r="D72" i="7"/>
  <c r="E72" i="7"/>
  <c r="F72" i="7"/>
  <c r="G72" i="7"/>
  <c r="H72" i="7"/>
  <c r="I72" i="7"/>
  <c r="J72" i="7"/>
  <c r="B73" i="7"/>
  <c r="C73" i="7"/>
  <c r="D73" i="7"/>
  <c r="E73" i="7"/>
  <c r="F73" i="7"/>
  <c r="G73" i="7"/>
  <c r="H73" i="7"/>
  <c r="I73" i="7"/>
  <c r="J73" i="7"/>
  <c r="B74" i="7"/>
  <c r="C74" i="7"/>
  <c r="D74" i="7"/>
  <c r="E74" i="7"/>
  <c r="F74" i="7"/>
  <c r="G74" i="7"/>
  <c r="H74" i="7"/>
  <c r="I74" i="7"/>
  <c r="J74" i="7"/>
  <c r="B75" i="7"/>
  <c r="C75" i="7"/>
  <c r="D75" i="7"/>
  <c r="E75" i="7"/>
  <c r="F75" i="7"/>
  <c r="G75" i="7"/>
  <c r="H75" i="7"/>
  <c r="I75" i="7"/>
  <c r="J75" i="7"/>
  <c r="B76" i="7"/>
  <c r="C76" i="7"/>
  <c r="D76" i="7"/>
  <c r="E76" i="7"/>
  <c r="F76" i="7"/>
  <c r="G76" i="7"/>
  <c r="H76" i="7"/>
  <c r="I76" i="7"/>
  <c r="J76" i="7"/>
  <c r="B81" i="7"/>
  <c r="C81" i="7"/>
  <c r="D81" i="7"/>
  <c r="E81" i="7"/>
  <c r="F81" i="7"/>
  <c r="G81" i="7"/>
  <c r="I81" i="7"/>
  <c r="J81" i="7"/>
  <c r="B82" i="7"/>
  <c r="C82" i="7"/>
  <c r="D82" i="7"/>
  <c r="E82" i="7"/>
  <c r="F82" i="7"/>
  <c r="G82" i="7"/>
  <c r="H82" i="7"/>
  <c r="I82" i="7"/>
  <c r="J82" i="7"/>
  <c r="B83" i="7"/>
  <c r="C83" i="7"/>
  <c r="D83" i="7"/>
  <c r="E83" i="7"/>
  <c r="F83" i="7"/>
  <c r="G83" i="7"/>
  <c r="H83" i="7"/>
  <c r="I83" i="7"/>
  <c r="J83" i="7"/>
  <c r="B84" i="7"/>
  <c r="C84" i="7"/>
  <c r="D84" i="7"/>
  <c r="E84" i="7"/>
  <c r="F84" i="7"/>
  <c r="G84" i="7"/>
  <c r="H84" i="7"/>
  <c r="I84" i="7"/>
  <c r="J84" i="7"/>
  <c r="B85" i="7"/>
  <c r="C85" i="7"/>
  <c r="D85" i="7"/>
  <c r="E85" i="7"/>
  <c r="F85" i="7"/>
  <c r="G85" i="7"/>
  <c r="H85" i="7"/>
  <c r="I85" i="7"/>
  <c r="J85" i="7"/>
  <c r="B86" i="7"/>
  <c r="C86" i="7"/>
  <c r="D86" i="7"/>
  <c r="E86" i="7"/>
  <c r="F86" i="7"/>
  <c r="G86" i="7"/>
  <c r="H86" i="7"/>
  <c r="I86" i="7"/>
  <c r="J86" i="7"/>
  <c r="B87" i="7"/>
  <c r="C87" i="7"/>
  <c r="D87" i="7"/>
  <c r="E87" i="7"/>
  <c r="F87" i="7"/>
  <c r="G87" i="7"/>
  <c r="H87" i="7"/>
  <c r="I87" i="7"/>
  <c r="J87" i="7"/>
  <c r="H186" i="7"/>
  <c r="B88" i="7"/>
  <c r="C88" i="7"/>
  <c r="D88" i="7"/>
  <c r="E88" i="7"/>
  <c r="F88" i="7"/>
  <c r="G88" i="7"/>
  <c r="H88" i="7"/>
  <c r="I88" i="7"/>
  <c r="J88" i="7"/>
  <c r="B89" i="7"/>
  <c r="C89" i="7"/>
  <c r="D89" i="7"/>
  <c r="E89" i="7"/>
  <c r="F89" i="7"/>
  <c r="G89" i="7"/>
  <c r="H89" i="7"/>
  <c r="I89" i="7"/>
  <c r="J89" i="7"/>
  <c r="B94" i="7"/>
  <c r="C94" i="7"/>
  <c r="D94" i="7"/>
  <c r="E94" i="7"/>
  <c r="F94" i="7"/>
  <c r="G94" i="7"/>
  <c r="C137" i="7"/>
  <c r="H94" i="7"/>
  <c r="I94" i="7"/>
  <c r="J94" i="7"/>
  <c r="B95" i="7"/>
  <c r="C95" i="7"/>
  <c r="D95" i="7"/>
  <c r="E95" i="7"/>
  <c r="F95" i="7"/>
  <c r="G95" i="7"/>
  <c r="H95" i="7"/>
  <c r="I95" i="7"/>
  <c r="J95" i="7"/>
  <c r="B96" i="7"/>
  <c r="C96" i="7"/>
  <c r="D96" i="7"/>
  <c r="E96" i="7"/>
  <c r="F96" i="7"/>
  <c r="G96" i="7"/>
  <c r="H96" i="7"/>
  <c r="I96" i="7"/>
  <c r="J96" i="7"/>
  <c r="B97" i="7"/>
  <c r="C97" i="7"/>
  <c r="D97" i="7"/>
  <c r="E97" i="7"/>
  <c r="F97" i="7"/>
  <c r="G97" i="7"/>
  <c r="H97" i="7"/>
  <c r="I97" i="7"/>
  <c r="J97" i="7"/>
  <c r="B98" i="7"/>
  <c r="C98" i="7"/>
  <c r="D98" i="7"/>
  <c r="E98" i="7"/>
  <c r="F98" i="7"/>
  <c r="G98" i="7"/>
  <c r="H98" i="7"/>
  <c r="I98" i="7"/>
  <c r="J98" i="7"/>
  <c r="B99" i="7"/>
  <c r="C99" i="7"/>
  <c r="D99" i="7"/>
  <c r="E99" i="7"/>
  <c r="F99" i="7"/>
  <c r="G99" i="7"/>
  <c r="H99" i="7"/>
  <c r="I99" i="7"/>
  <c r="J99" i="7"/>
  <c r="B100" i="7"/>
  <c r="C100" i="7"/>
  <c r="D100" i="7"/>
  <c r="E100" i="7"/>
  <c r="F100" i="7"/>
  <c r="G100" i="7"/>
  <c r="H100" i="7"/>
  <c r="I100" i="7"/>
  <c r="J100" i="7"/>
  <c r="B101" i="7"/>
  <c r="C101" i="7"/>
  <c r="D101" i="7"/>
  <c r="E101" i="7"/>
  <c r="F101" i="7"/>
  <c r="G101" i="7"/>
  <c r="H101" i="7"/>
  <c r="I101" i="7"/>
  <c r="J101" i="7"/>
  <c r="B102" i="7"/>
  <c r="C102" i="7"/>
  <c r="D102" i="7"/>
  <c r="E102" i="7"/>
  <c r="F102" i="7"/>
  <c r="G102" i="7"/>
  <c r="H102" i="7"/>
  <c r="I102" i="7"/>
  <c r="J102" i="7"/>
  <c r="B107" i="7"/>
  <c r="C107" i="7"/>
  <c r="D107" i="7"/>
  <c r="E107" i="7"/>
  <c r="F107" i="7"/>
  <c r="G107" i="7"/>
  <c r="H107" i="7"/>
  <c r="I107" i="7"/>
  <c r="J107" i="7"/>
  <c r="B108" i="7"/>
  <c r="C108" i="7"/>
  <c r="D108" i="7"/>
  <c r="E108" i="7"/>
  <c r="F108" i="7"/>
  <c r="G108" i="7"/>
  <c r="H108" i="7"/>
  <c r="I108" i="7"/>
  <c r="J108" i="7"/>
  <c r="B109" i="7"/>
  <c r="C109" i="7"/>
  <c r="D109" i="7"/>
  <c r="E109" i="7"/>
  <c r="F109" i="7"/>
  <c r="G109" i="7"/>
  <c r="H109" i="7"/>
  <c r="I109" i="7"/>
  <c r="J109" i="7"/>
  <c r="B110" i="7"/>
  <c r="C110" i="7"/>
  <c r="D110" i="7"/>
  <c r="E110" i="7"/>
  <c r="F110" i="7"/>
  <c r="G110" i="7"/>
  <c r="H110" i="7"/>
  <c r="I110" i="7"/>
  <c r="J110" i="7"/>
  <c r="B111" i="7"/>
  <c r="C111" i="7"/>
  <c r="D111" i="7"/>
  <c r="E111" i="7"/>
  <c r="F111" i="7"/>
  <c r="G111" i="7"/>
  <c r="H111" i="7"/>
  <c r="I111" i="7"/>
  <c r="J111" i="7"/>
  <c r="B112" i="7"/>
  <c r="C112" i="7"/>
  <c r="D112" i="7"/>
  <c r="E112" i="7"/>
  <c r="F112" i="7"/>
  <c r="G112" i="7"/>
  <c r="H112" i="7"/>
  <c r="I112" i="7"/>
  <c r="J112" i="7"/>
  <c r="B113" i="7"/>
  <c r="C113" i="7"/>
  <c r="D113" i="7"/>
  <c r="E113" i="7"/>
  <c r="F113" i="7"/>
  <c r="G113" i="7"/>
  <c r="H113" i="7"/>
  <c r="I113" i="7"/>
  <c r="J113" i="7"/>
  <c r="B114" i="7"/>
  <c r="C114" i="7"/>
  <c r="D114" i="7"/>
  <c r="E114" i="7"/>
  <c r="F114" i="7"/>
  <c r="G114" i="7"/>
  <c r="H114" i="7"/>
  <c r="I114" i="7"/>
  <c r="J114" i="7"/>
  <c r="B115" i="7"/>
  <c r="C115" i="7"/>
  <c r="D115" i="7"/>
  <c r="E115" i="7"/>
  <c r="F115" i="7"/>
  <c r="G115" i="7"/>
  <c r="H115" i="7"/>
  <c r="I115" i="7"/>
  <c r="J115" i="7"/>
  <c r="B120" i="7"/>
  <c r="C120" i="7"/>
  <c r="D120" i="7"/>
  <c r="E120" i="7"/>
  <c r="F120" i="7"/>
  <c r="G120" i="7"/>
  <c r="H120" i="7"/>
  <c r="I120" i="7"/>
  <c r="J120" i="7"/>
  <c r="B121" i="7"/>
  <c r="C121" i="7"/>
  <c r="D121" i="7"/>
  <c r="E121" i="7"/>
  <c r="F121" i="7"/>
  <c r="G121" i="7"/>
  <c r="H121" i="7"/>
  <c r="I121" i="7"/>
  <c r="J121" i="7"/>
  <c r="B122" i="7"/>
  <c r="C122" i="7"/>
  <c r="D122" i="7"/>
  <c r="E122" i="7"/>
  <c r="F122" i="7"/>
  <c r="G122" i="7"/>
  <c r="H122" i="7"/>
  <c r="I122" i="7"/>
  <c r="J122" i="7"/>
  <c r="B123" i="7"/>
  <c r="C123" i="7"/>
  <c r="D123" i="7"/>
  <c r="E123" i="7"/>
  <c r="F123" i="7"/>
  <c r="G123" i="7"/>
  <c r="H123" i="7"/>
  <c r="I123" i="7"/>
  <c r="J123" i="7"/>
  <c r="B124" i="7"/>
  <c r="C124" i="7"/>
  <c r="D124" i="7"/>
  <c r="E124" i="7"/>
  <c r="F124" i="7"/>
  <c r="G124" i="7"/>
  <c r="H124" i="7"/>
  <c r="I124" i="7"/>
  <c r="J124" i="7"/>
  <c r="B125" i="7"/>
  <c r="C125" i="7"/>
  <c r="D125" i="7"/>
  <c r="E125" i="7"/>
  <c r="F125" i="7"/>
  <c r="G125" i="7"/>
  <c r="H125" i="7"/>
  <c r="I125" i="7"/>
  <c r="J125" i="7"/>
  <c r="B126" i="7"/>
  <c r="C126" i="7"/>
  <c r="D126" i="7"/>
  <c r="E126" i="7"/>
  <c r="F126" i="7"/>
  <c r="G126" i="7"/>
  <c r="H126" i="7"/>
  <c r="I126" i="7"/>
  <c r="F148" i="7"/>
  <c r="J126" i="7"/>
  <c r="B127" i="7"/>
  <c r="C127" i="7"/>
  <c r="D127" i="7"/>
  <c r="E127" i="7"/>
  <c r="F127" i="7"/>
  <c r="G127" i="7"/>
  <c r="H127" i="7"/>
  <c r="I127" i="7"/>
  <c r="J127" i="7"/>
  <c r="B128" i="7"/>
  <c r="C128" i="7"/>
  <c r="D128" i="7"/>
  <c r="E128" i="7"/>
  <c r="F128" i="7"/>
  <c r="G128" i="7"/>
  <c r="H128" i="7"/>
  <c r="I128" i="7"/>
  <c r="J128" i="7"/>
  <c r="B133" i="7"/>
  <c r="C133" i="7"/>
  <c r="D133" i="7"/>
  <c r="E133" i="7"/>
  <c r="F133" i="7"/>
  <c r="G133" i="7"/>
  <c r="H133" i="7"/>
  <c r="I133" i="7"/>
  <c r="J133" i="7"/>
  <c r="B134" i="7"/>
  <c r="C134" i="7"/>
  <c r="D134" i="7"/>
  <c r="E134" i="7"/>
  <c r="F134" i="7"/>
  <c r="G134" i="7"/>
  <c r="H134" i="7"/>
  <c r="I134" i="7"/>
  <c r="J134" i="7"/>
  <c r="B135" i="7"/>
  <c r="C135" i="7"/>
  <c r="D135" i="7"/>
  <c r="E135" i="7"/>
  <c r="F135" i="7"/>
  <c r="G135" i="7"/>
  <c r="H135" i="7"/>
  <c r="I135" i="7"/>
  <c r="J135" i="7"/>
  <c r="B136" i="7"/>
  <c r="C136" i="7"/>
  <c r="D136" i="7"/>
  <c r="E136" i="7"/>
  <c r="F136" i="7"/>
  <c r="G136" i="7"/>
  <c r="H136" i="7"/>
  <c r="I136" i="7"/>
  <c r="J136" i="7"/>
  <c r="H45" i="4"/>
  <c r="G45" i="4"/>
  <c r="F45" i="4"/>
  <c r="E45" i="4"/>
  <c r="D45" i="4"/>
  <c r="C45" i="4"/>
  <c r="B45" i="4"/>
  <c r="M44" i="4"/>
  <c r="L44" i="4"/>
  <c r="K44" i="4"/>
  <c r="J44" i="4"/>
  <c r="I44" i="4"/>
  <c r="H44" i="4"/>
  <c r="G44" i="4"/>
  <c r="F44" i="4"/>
  <c r="E44" i="4"/>
  <c r="D44" i="4"/>
  <c r="C44" i="4"/>
  <c r="B44" i="4"/>
  <c r="M43" i="4"/>
  <c r="L43" i="4"/>
  <c r="K43" i="4"/>
  <c r="J43" i="4"/>
  <c r="I43" i="4"/>
  <c r="H43" i="4"/>
  <c r="G43" i="4"/>
  <c r="F43" i="4"/>
  <c r="E43" i="4"/>
  <c r="D43" i="4"/>
  <c r="C43" i="4"/>
  <c r="B43" i="4"/>
  <c r="M42" i="4"/>
  <c r="L42" i="4"/>
  <c r="K42" i="4"/>
  <c r="J42" i="4"/>
  <c r="I42" i="4"/>
  <c r="H42" i="4"/>
  <c r="G42" i="4"/>
  <c r="F42" i="4"/>
  <c r="E42" i="4"/>
  <c r="D42" i="4"/>
  <c r="C42" i="4"/>
  <c r="B42" i="4"/>
  <c r="M41" i="4"/>
  <c r="L41" i="4"/>
  <c r="K41" i="4"/>
  <c r="J41" i="4"/>
  <c r="I41" i="4"/>
  <c r="H41" i="4"/>
  <c r="G41" i="4"/>
  <c r="F41" i="4"/>
  <c r="E41" i="4"/>
  <c r="D41" i="4"/>
  <c r="C41" i="4"/>
  <c r="B41" i="4"/>
  <c r="M40" i="4"/>
  <c r="L40" i="4"/>
  <c r="K40" i="4"/>
  <c r="J40" i="4"/>
  <c r="I40" i="4"/>
  <c r="H40" i="4"/>
  <c r="G40" i="4"/>
  <c r="F40" i="4"/>
  <c r="E40" i="4"/>
  <c r="D40" i="4"/>
  <c r="C40" i="4"/>
  <c r="B40" i="4"/>
  <c r="M39" i="4"/>
  <c r="L39" i="4"/>
  <c r="K39" i="4"/>
  <c r="J39" i="4"/>
  <c r="I39" i="4"/>
  <c r="H39" i="4"/>
  <c r="G39" i="4"/>
  <c r="F39" i="4"/>
  <c r="E39" i="4"/>
  <c r="D39" i="4"/>
  <c r="C39" i="4"/>
  <c r="B39" i="4"/>
  <c r="M34" i="4"/>
  <c r="L34" i="4"/>
  <c r="K34" i="4"/>
  <c r="J34" i="4"/>
  <c r="I34" i="4"/>
  <c r="H34" i="4"/>
  <c r="G34" i="4"/>
  <c r="F34" i="4"/>
  <c r="E34" i="4"/>
  <c r="D34" i="4"/>
  <c r="C34" i="4"/>
  <c r="B34" i="4"/>
  <c r="M33" i="4"/>
  <c r="L33" i="4"/>
  <c r="K33" i="4"/>
  <c r="J33" i="4"/>
  <c r="I33" i="4"/>
  <c r="H33" i="4"/>
  <c r="G33" i="4"/>
  <c r="F33" i="4"/>
  <c r="E33" i="4"/>
  <c r="D33" i="4"/>
  <c r="C33" i="4"/>
  <c r="B33" i="4"/>
  <c r="M32" i="4"/>
  <c r="L32" i="4"/>
  <c r="K32" i="4"/>
  <c r="J32" i="4"/>
  <c r="I32" i="4"/>
  <c r="H32" i="4"/>
  <c r="G32" i="4"/>
  <c r="F32" i="4"/>
  <c r="E32" i="4"/>
  <c r="D32" i="4"/>
  <c r="C32" i="4"/>
  <c r="B32" i="4"/>
  <c r="M31" i="4"/>
  <c r="L31" i="4"/>
  <c r="K31" i="4"/>
  <c r="J31" i="4"/>
  <c r="I31" i="4"/>
  <c r="H31" i="4"/>
  <c r="G31" i="4"/>
  <c r="F31" i="4"/>
  <c r="E31" i="4"/>
  <c r="D31" i="4"/>
  <c r="C31" i="4"/>
  <c r="B31" i="4"/>
  <c r="M30" i="4"/>
  <c r="L30" i="4"/>
  <c r="K30" i="4"/>
  <c r="J30" i="4"/>
  <c r="I30" i="4"/>
  <c r="H30" i="4"/>
  <c r="G30" i="4"/>
  <c r="F30" i="4"/>
  <c r="E30" i="4"/>
  <c r="D30" i="4"/>
  <c r="C30" i="4"/>
  <c r="B30" i="4"/>
  <c r="M29" i="4"/>
  <c r="L29" i="4"/>
  <c r="K29" i="4"/>
  <c r="J29" i="4"/>
  <c r="I29" i="4"/>
  <c r="H29" i="4"/>
  <c r="G29" i="4"/>
  <c r="F29" i="4"/>
  <c r="E29" i="4"/>
  <c r="D29" i="4"/>
  <c r="C29" i="4"/>
  <c r="B29" i="4"/>
  <c r="M28" i="4"/>
  <c r="L28" i="4"/>
  <c r="K28" i="4"/>
  <c r="J28" i="4"/>
  <c r="I28" i="4"/>
  <c r="H28" i="4"/>
  <c r="G28" i="4"/>
  <c r="F28" i="4"/>
  <c r="E28" i="4"/>
  <c r="D28" i="4"/>
  <c r="C28" i="4"/>
  <c r="B28" i="4"/>
  <c r="M27" i="4"/>
  <c r="L27" i="4"/>
  <c r="K27" i="4"/>
  <c r="J27" i="4"/>
  <c r="I27" i="4"/>
  <c r="H27" i="4"/>
  <c r="G27" i="4"/>
  <c r="F27" i="4"/>
  <c r="E27" i="4"/>
  <c r="D27" i="4"/>
  <c r="C27" i="4"/>
  <c r="B27" i="4"/>
  <c r="M22" i="4"/>
  <c r="L22" i="4"/>
  <c r="K22" i="4"/>
  <c r="J22" i="4"/>
  <c r="I22" i="4"/>
  <c r="H22" i="4"/>
  <c r="G22" i="4"/>
  <c r="F22" i="4"/>
  <c r="E22" i="4"/>
  <c r="D22" i="4"/>
  <c r="C22" i="4"/>
  <c r="B22" i="4"/>
  <c r="M21" i="4"/>
  <c r="L21" i="4"/>
  <c r="K21" i="4"/>
  <c r="J21" i="4"/>
  <c r="I21" i="4"/>
  <c r="H21" i="4"/>
  <c r="G21" i="4"/>
  <c r="F21" i="4"/>
  <c r="E21" i="4"/>
  <c r="D21" i="4"/>
  <c r="C21" i="4"/>
  <c r="B21" i="4"/>
  <c r="M20" i="4"/>
  <c r="L20" i="4"/>
  <c r="K20" i="4"/>
  <c r="J20" i="4"/>
  <c r="I20" i="4"/>
  <c r="H20" i="4"/>
  <c r="G20" i="4"/>
  <c r="F20" i="4"/>
  <c r="E20" i="4"/>
  <c r="D20" i="4"/>
  <c r="C20" i="4"/>
  <c r="B20" i="4"/>
  <c r="M19" i="4"/>
  <c r="L19" i="4"/>
  <c r="K19" i="4"/>
  <c r="J19" i="4"/>
  <c r="I19" i="4"/>
  <c r="H19" i="4"/>
  <c r="G19" i="4"/>
  <c r="F19" i="4"/>
  <c r="E19" i="4"/>
  <c r="D19" i="4"/>
  <c r="C19" i="4"/>
  <c r="B19" i="4"/>
  <c r="M18" i="4"/>
  <c r="L18" i="4"/>
  <c r="K18" i="4"/>
  <c r="J18" i="4"/>
  <c r="I18" i="4"/>
  <c r="H18" i="4"/>
  <c r="G18" i="4"/>
  <c r="F18" i="4"/>
  <c r="E18" i="4"/>
  <c r="D18" i="4"/>
  <c r="C18" i="4"/>
  <c r="B18" i="4"/>
  <c r="M17" i="4"/>
  <c r="L17" i="4"/>
  <c r="K17" i="4"/>
  <c r="J17" i="4"/>
  <c r="I17" i="4"/>
  <c r="H17" i="4"/>
  <c r="G17" i="4"/>
  <c r="F17" i="4"/>
  <c r="E17" i="4"/>
  <c r="D17" i="4"/>
  <c r="C17" i="4"/>
  <c r="B17" i="4"/>
  <c r="M16" i="4"/>
  <c r="L16" i="4"/>
  <c r="K16" i="4"/>
  <c r="J16" i="4"/>
  <c r="I16" i="4"/>
  <c r="H16" i="4"/>
  <c r="G16" i="4"/>
  <c r="F16" i="4"/>
  <c r="E16" i="4"/>
  <c r="D16" i="4"/>
  <c r="C16" i="4"/>
  <c r="B16" i="4"/>
  <c r="M15" i="4"/>
  <c r="L15" i="4"/>
  <c r="K15" i="4"/>
  <c r="J15" i="4"/>
  <c r="I15" i="4"/>
  <c r="H15" i="4"/>
  <c r="G15" i="4"/>
  <c r="F15" i="4"/>
  <c r="E15" i="4"/>
  <c r="D15" i="4"/>
  <c r="C15" i="4"/>
  <c r="B15" i="4"/>
  <c r="M10" i="4"/>
  <c r="L10" i="4"/>
  <c r="K10" i="4"/>
  <c r="J10" i="4"/>
  <c r="I10" i="4"/>
  <c r="H10" i="4"/>
  <c r="G10" i="4"/>
  <c r="F10" i="4"/>
  <c r="E10" i="4"/>
  <c r="D10" i="4"/>
  <c r="C10" i="4"/>
  <c r="B10" i="4"/>
  <c r="M9" i="4"/>
  <c r="L9" i="4"/>
  <c r="K9" i="4"/>
  <c r="J9" i="4"/>
  <c r="I9" i="4"/>
  <c r="H9" i="4"/>
  <c r="G9" i="4"/>
  <c r="F9" i="4"/>
  <c r="E9" i="4"/>
  <c r="D9" i="4"/>
  <c r="C9" i="4"/>
  <c r="B9" i="4"/>
  <c r="M8" i="4"/>
  <c r="L8" i="4"/>
  <c r="K8" i="4"/>
  <c r="J8" i="4"/>
  <c r="I8" i="4"/>
  <c r="H8" i="4"/>
  <c r="G8" i="4"/>
  <c r="F8" i="4"/>
  <c r="E8" i="4"/>
  <c r="D8" i="4"/>
  <c r="C8" i="4"/>
  <c r="B8" i="4"/>
  <c r="M7" i="4"/>
  <c r="L7" i="4"/>
  <c r="K7" i="4"/>
  <c r="J7" i="4"/>
  <c r="I7" i="4"/>
  <c r="H7" i="4"/>
  <c r="G7" i="4"/>
  <c r="F7" i="4"/>
  <c r="E7" i="4"/>
  <c r="D7" i="4"/>
  <c r="C7" i="4"/>
  <c r="B7" i="4"/>
  <c r="M6" i="4"/>
  <c r="L6" i="4"/>
  <c r="K6" i="4"/>
  <c r="J6" i="4"/>
  <c r="I6" i="4"/>
  <c r="H6" i="4"/>
  <c r="G6" i="4"/>
  <c r="F6" i="4"/>
  <c r="E6" i="4"/>
  <c r="D6" i="4"/>
  <c r="C6" i="4"/>
  <c r="B6" i="4"/>
  <c r="M5" i="4"/>
  <c r="L5" i="4"/>
  <c r="K5" i="4"/>
  <c r="J5" i="4"/>
  <c r="I5" i="4"/>
  <c r="H5" i="4"/>
  <c r="G5" i="4"/>
  <c r="F5" i="4"/>
  <c r="E5" i="4"/>
  <c r="D5" i="4"/>
  <c r="C5" i="4"/>
  <c r="B5" i="4"/>
  <c r="M4" i="4"/>
  <c r="L4" i="4"/>
  <c r="K4" i="4"/>
  <c r="J4" i="4"/>
  <c r="I4" i="4"/>
  <c r="H4" i="4"/>
  <c r="G4" i="4"/>
  <c r="F4" i="4"/>
  <c r="E4" i="4"/>
  <c r="D4" i="4"/>
  <c r="C4" i="4"/>
  <c r="B4" i="4"/>
  <c r="M3" i="4"/>
  <c r="L3" i="4"/>
  <c r="K3" i="4"/>
  <c r="J3" i="4"/>
  <c r="I3" i="4"/>
  <c r="H3" i="4"/>
  <c r="G3" i="4"/>
  <c r="F3" i="4"/>
  <c r="E3" i="4"/>
  <c r="F46" i="4"/>
  <c r="K78" i="4"/>
  <c r="J78" i="4"/>
  <c r="I78" i="4"/>
  <c r="H78" i="4"/>
  <c r="G78" i="4"/>
  <c r="F78" i="4"/>
  <c r="E78" i="4"/>
  <c r="D78" i="4"/>
  <c r="C78" i="4"/>
  <c r="B78" i="4"/>
  <c r="M77" i="4"/>
  <c r="L77" i="4"/>
  <c r="K77" i="4"/>
  <c r="J77" i="4"/>
  <c r="I77" i="4"/>
  <c r="H77" i="4"/>
  <c r="G77" i="4"/>
  <c r="F77" i="4"/>
  <c r="E77" i="4"/>
  <c r="D77" i="4"/>
  <c r="C77" i="4"/>
  <c r="B77" i="4"/>
  <c r="M76" i="4"/>
  <c r="L76" i="4"/>
  <c r="K76" i="4"/>
  <c r="J76" i="4"/>
  <c r="I76" i="4"/>
  <c r="H76" i="4"/>
  <c r="G76" i="4"/>
  <c r="F76" i="4"/>
  <c r="E76" i="4"/>
  <c r="D76" i="4"/>
  <c r="C76" i="4"/>
  <c r="B76" i="4"/>
  <c r="M75" i="4"/>
  <c r="L75" i="4"/>
  <c r="K75" i="4"/>
  <c r="J75" i="4"/>
  <c r="I75" i="4"/>
  <c r="H75" i="4"/>
  <c r="G75" i="4"/>
  <c r="F75" i="4"/>
  <c r="E75" i="4"/>
  <c r="D75" i="4"/>
  <c r="C75" i="4"/>
  <c r="B75" i="4"/>
  <c r="M70" i="4"/>
  <c r="L70" i="4"/>
  <c r="K70" i="4"/>
  <c r="J70" i="4"/>
  <c r="I70" i="4"/>
  <c r="H70" i="4"/>
  <c r="G70" i="4"/>
  <c r="F70" i="4"/>
  <c r="E70" i="4"/>
  <c r="D70" i="4"/>
  <c r="C70" i="4"/>
  <c r="B70" i="4"/>
  <c r="M69" i="4"/>
  <c r="L69" i="4"/>
  <c r="K69" i="4"/>
  <c r="J69" i="4"/>
  <c r="I69" i="4"/>
  <c r="H69" i="4"/>
  <c r="G69" i="4"/>
  <c r="F69" i="4"/>
  <c r="E69" i="4"/>
  <c r="D69" i="4"/>
  <c r="C69" i="4"/>
  <c r="B69" i="4"/>
  <c r="M68" i="4"/>
  <c r="L68" i="4"/>
  <c r="K68" i="4"/>
  <c r="J68" i="4"/>
  <c r="I68" i="4"/>
  <c r="H68" i="4"/>
  <c r="G68" i="4"/>
  <c r="F68" i="4"/>
  <c r="E68" i="4"/>
  <c r="D68" i="4"/>
  <c r="C68" i="4"/>
  <c r="B68" i="4"/>
  <c r="M67" i="4"/>
  <c r="L67" i="4"/>
  <c r="K67" i="4"/>
  <c r="J67" i="4"/>
  <c r="I67" i="4"/>
  <c r="H67" i="4"/>
  <c r="G67" i="4"/>
  <c r="F67" i="4"/>
  <c r="E67" i="4"/>
  <c r="D67" i="4"/>
  <c r="C67" i="4"/>
  <c r="B67" i="4"/>
  <c r="M66" i="4"/>
  <c r="L66" i="4"/>
  <c r="K66" i="4"/>
  <c r="J66" i="4"/>
  <c r="I66" i="4"/>
  <c r="H66" i="4"/>
  <c r="G66" i="4"/>
  <c r="F66" i="4"/>
  <c r="E66" i="4"/>
  <c r="D66" i="4"/>
  <c r="C66" i="4"/>
  <c r="B66" i="4"/>
  <c r="M65" i="4"/>
  <c r="L65" i="4"/>
  <c r="K65" i="4"/>
  <c r="J65" i="4"/>
  <c r="I65" i="4"/>
  <c r="H65" i="4"/>
  <c r="G65" i="4"/>
  <c r="F65" i="4"/>
  <c r="E65" i="4"/>
  <c r="D65" i="4"/>
  <c r="C65" i="4"/>
  <c r="B65" i="4"/>
  <c r="M64" i="4"/>
  <c r="L64" i="4"/>
  <c r="K64" i="4"/>
  <c r="J64" i="4"/>
  <c r="I64" i="4"/>
  <c r="H64" i="4"/>
  <c r="G64" i="4"/>
  <c r="F64" i="4"/>
  <c r="E64" i="4"/>
  <c r="D64" i="4"/>
  <c r="C64" i="4"/>
  <c r="B64" i="4"/>
  <c r="M63" i="4"/>
  <c r="L63" i="4"/>
  <c r="K63" i="4"/>
  <c r="J63" i="4"/>
  <c r="I63" i="4"/>
  <c r="H63" i="4"/>
  <c r="G63" i="4"/>
  <c r="F63" i="4"/>
  <c r="E63" i="4"/>
  <c r="D63" i="4"/>
  <c r="C63" i="4"/>
  <c r="B63" i="4"/>
  <c r="M58" i="4"/>
  <c r="L58" i="4"/>
  <c r="K58" i="4"/>
  <c r="J58" i="4"/>
  <c r="I58" i="4"/>
  <c r="H58" i="4"/>
  <c r="G58" i="4"/>
  <c r="F58" i="4"/>
  <c r="E58" i="4"/>
  <c r="D58" i="4"/>
  <c r="C58" i="4"/>
  <c r="B58" i="4"/>
  <c r="M57" i="4"/>
  <c r="L57" i="4"/>
  <c r="K57" i="4"/>
  <c r="J57" i="4"/>
  <c r="I57" i="4"/>
  <c r="H57" i="4"/>
  <c r="G57" i="4"/>
  <c r="F57" i="4"/>
  <c r="E57" i="4"/>
  <c r="D57" i="4"/>
  <c r="C57" i="4"/>
  <c r="B57" i="4"/>
  <c r="M56" i="4"/>
  <c r="L56" i="4"/>
  <c r="K56" i="4"/>
  <c r="J56" i="4"/>
  <c r="I56" i="4"/>
  <c r="H56" i="4"/>
  <c r="G56" i="4"/>
  <c r="F56" i="4"/>
  <c r="E56" i="4"/>
  <c r="D56" i="4"/>
  <c r="C56" i="4"/>
  <c r="B56" i="4"/>
  <c r="M55" i="4"/>
  <c r="L55" i="4"/>
  <c r="K55" i="4"/>
  <c r="J55" i="4"/>
  <c r="I55" i="4"/>
  <c r="H55" i="4"/>
  <c r="G55" i="4"/>
  <c r="F55" i="4"/>
  <c r="E55" i="4"/>
  <c r="D55" i="4"/>
  <c r="C55" i="4"/>
  <c r="B55" i="4"/>
  <c r="M54" i="4"/>
  <c r="L54" i="4"/>
  <c r="K54" i="4"/>
  <c r="J54" i="4"/>
  <c r="I54" i="4"/>
  <c r="H54" i="4"/>
  <c r="G54" i="4"/>
  <c r="F54" i="4"/>
  <c r="E54" i="4"/>
  <c r="D54" i="4"/>
  <c r="C54" i="4"/>
  <c r="B54" i="4"/>
  <c r="M53" i="4"/>
  <c r="L53" i="4"/>
  <c r="K53" i="4"/>
  <c r="J53" i="4"/>
  <c r="I53" i="4"/>
  <c r="H53" i="4"/>
  <c r="G53" i="4"/>
  <c r="F53" i="4"/>
  <c r="E53" i="4"/>
  <c r="D53" i="4"/>
  <c r="C53" i="4"/>
  <c r="B53" i="4"/>
  <c r="M52" i="4"/>
  <c r="L52" i="4"/>
  <c r="K52" i="4"/>
  <c r="J52" i="4"/>
  <c r="I52" i="4"/>
  <c r="H52" i="4"/>
  <c r="G52" i="4"/>
  <c r="F52" i="4"/>
  <c r="E52" i="4"/>
  <c r="D52" i="4"/>
  <c r="C52" i="4"/>
  <c r="B52" i="4"/>
  <c r="M51" i="4"/>
  <c r="L51" i="4"/>
  <c r="K51" i="4"/>
  <c r="J51" i="4"/>
  <c r="I51" i="4"/>
  <c r="H51" i="4"/>
  <c r="G51" i="4"/>
  <c r="F51" i="4"/>
  <c r="E51" i="4"/>
  <c r="D51" i="4"/>
  <c r="C51" i="4"/>
  <c r="B51" i="4"/>
  <c r="M46" i="4"/>
  <c r="L46" i="4"/>
  <c r="K46" i="4"/>
  <c r="J46" i="4"/>
  <c r="I46" i="4"/>
  <c r="H46" i="4"/>
  <c r="G46" i="4"/>
  <c r="E46" i="4"/>
  <c r="D46" i="4"/>
  <c r="C46" i="4"/>
  <c r="B46" i="4"/>
  <c r="M45" i="4"/>
  <c r="L45" i="4"/>
  <c r="K45" i="4"/>
  <c r="J45" i="4"/>
  <c r="I45" i="4"/>
  <c r="C175" i="3"/>
  <c r="B175" i="3"/>
  <c r="M174" i="3"/>
  <c r="L174" i="3"/>
  <c r="K174" i="3"/>
  <c r="J174" i="3"/>
  <c r="I174" i="3"/>
  <c r="H174" i="3"/>
  <c r="G174" i="3"/>
  <c r="F174" i="3"/>
  <c r="E174" i="3"/>
  <c r="D174" i="3"/>
  <c r="C174" i="3"/>
  <c r="B174" i="3"/>
  <c r="M173" i="3"/>
  <c r="L173" i="3"/>
  <c r="K173" i="3"/>
  <c r="J173" i="3"/>
  <c r="I173" i="3"/>
  <c r="H173" i="3"/>
  <c r="G173" i="3"/>
  <c r="F173" i="3"/>
  <c r="E173" i="3"/>
  <c r="D173" i="3"/>
  <c r="C173" i="3"/>
  <c r="B173" i="3"/>
  <c r="M172" i="3"/>
  <c r="L172" i="3"/>
  <c r="K172" i="3"/>
  <c r="J172" i="3"/>
  <c r="I172" i="3"/>
  <c r="H172" i="3"/>
  <c r="G172" i="3"/>
  <c r="F172" i="3"/>
  <c r="E172" i="3"/>
  <c r="D172" i="3"/>
  <c r="C172" i="3"/>
  <c r="B172" i="3"/>
  <c r="M171" i="3"/>
  <c r="L171" i="3"/>
  <c r="K171" i="3"/>
  <c r="J171" i="3"/>
  <c r="I171" i="3"/>
  <c r="H171" i="3"/>
  <c r="G171" i="3"/>
  <c r="F171" i="3"/>
  <c r="E171" i="3"/>
  <c r="D171" i="3"/>
  <c r="C171" i="3"/>
  <c r="B171" i="3"/>
  <c r="M166" i="3"/>
  <c r="L166" i="3"/>
  <c r="K166" i="3"/>
  <c r="J166" i="3"/>
  <c r="I166" i="3"/>
  <c r="H166" i="3"/>
  <c r="G166" i="3"/>
  <c r="F166" i="3"/>
  <c r="E166" i="3"/>
  <c r="D166" i="3"/>
  <c r="C166" i="3"/>
  <c r="B166" i="3"/>
  <c r="M165" i="3"/>
  <c r="L165" i="3"/>
  <c r="K165" i="3"/>
  <c r="J165" i="3"/>
  <c r="I165" i="3"/>
  <c r="H165" i="3"/>
  <c r="G165" i="3"/>
  <c r="F165" i="3"/>
  <c r="E165" i="3"/>
  <c r="D165" i="3"/>
  <c r="C165" i="3"/>
  <c r="B165" i="3"/>
  <c r="M164" i="3"/>
  <c r="L164" i="3"/>
  <c r="K164" i="3"/>
  <c r="J164" i="3"/>
  <c r="I164" i="3"/>
  <c r="H164" i="3"/>
  <c r="G164" i="3"/>
  <c r="F164" i="3"/>
  <c r="E164" i="3"/>
  <c r="D164" i="3"/>
  <c r="C164" i="3"/>
  <c r="B164" i="3"/>
  <c r="M163" i="3"/>
  <c r="L163" i="3"/>
  <c r="K163" i="3"/>
  <c r="J163" i="3"/>
  <c r="I163" i="3"/>
  <c r="H163" i="3"/>
  <c r="G163" i="3"/>
  <c r="F163" i="3"/>
  <c r="E163" i="3"/>
  <c r="D163" i="3"/>
  <c r="C163" i="3"/>
  <c r="B163" i="3"/>
  <c r="M162" i="3"/>
  <c r="L162" i="3"/>
  <c r="K162" i="3"/>
  <c r="J162" i="3"/>
  <c r="I162" i="3"/>
  <c r="H162" i="3"/>
  <c r="G162" i="3"/>
  <c r="F162" i="3"/>
  <c r="E162" i="3"/>
  <c r="D162" i="3"/>
  <c r="C162" i="3"/>
  <c r="B162" i="3"/>
  <c r="M161" i="3"/>
  <c r="L161" i="3"/>
  <c r="K161" i="3"/>
  <c r="J161" i="3"/>
  <c r="I161" i="3"/>
  <c r="H161" i="3"/>
  <c r="G161" i="3"/>
  <c r="F161" i="3"/>
  <c r="E161" i="3"/>
  <c r="D161" i="3"/>
  <c r="C161" i="3"/>
  <c r="B161" i="3"/>
  <c r="M160" i="3"/>
  <c r="L160" i="3"/>
  <c r="K160" i="3"/>
  <c r="J160" i="3"/>
  <c r="I160" i="3"/>
  <c r="H160" i="3"/>
  <c r="G160" i="3"/>
  <c r="F160" i="3"/>
  <c r="E160" i="3"/>
  <c r="D160" i="3"/>
  <c r="C160" i="3"/>
  <c r="B160" i="3"/>
  <c r="M159" i="3"/>
  <c r="L159" i="3"/>
  <c r="K159" i="3"/>
  <c r="J159" i="3"/>
  <c r="I159" i="3"/>
  <c r="H159" i="3"/>
  <c r="G159" i="3"/>
  <c r="F159" i="3"/>
  <c r="E159" i="3"/>
  <c r="D159" i="3"/>
  <c r="C159" i="3"/>
  <c r="B159" i="3"/>
  <c r="M154" i="3"/>
  <c r="L154" i="3"/>
  <c r="K154" i="3"/>
  <c r="J154" i="3"/>
  <c r="I154" i="3"/>
  <c r="H154" i="3"/>
  <c r="G154" i="3"/>
  <c r="F154" i="3"/>
  <c r="E154" i="3"/>
  <c r="D154" i="3"/>
  <c r="C154" i="3"/>
  <c r="B154" i="3"/>
  <c r="M153" i="3"/>
  <c r="L153" i="3"/>
  <c r="K153" i="3"/>
  <c r="J153" i="3"/>
  <c r="I153" i="3"/>
  <c r="H153" i="3"/>
  <c r="G153" i="3"/>
  <c r="F153" i="3"/>
  <c r="E153" i="3"/>
  <c r="D153" i="3"/>
  <c r="C153" i="3"/>
  <c r="B153" i="3"/>
  <c r="M152" i="3"/>
  <c r="L152" i="3"/>
  <c r="K152" i="3"/>
  <c r="J152" i="3"/>
  <c r="I152" i="3"/>
  <c r="H152" i="3"/>
  <c r="G152" i="3"/>
  <c r="F152" i="3"/>
  <c r="E152" i="3"/>
  <c r="D152" i="3"/>
  <c r="C152" i="3"/>
  <c r="B152" i="3"/>
  <c r="M151" i="3"/>
  <c r="L151" i="3"/>
  <c r="K151" i="3"/>
  <c r="J151" i="3"/>
  <c r="I151" i="3"/>
  <c r="H151" i="3"/>
  <c r="G151" i="3"/>
  <c r="F151" i="3"/>
  <c r="E151" i="3"/>
  <c r="D151" i="3"/>
  <c r="C151" i="3"/>
  <c r="B151" i="3"/>
  <c r="M150" i="3"/>
  <c r="L150" i="3"/>
  <c r="K150" i="3"/>
  <c r="J150" i="3"/>
  <c r="I150" i="3"/>
  <c r="H150" i="3"/>
  <c r="G150" i="3"/>
  <c r="F150" i="3"/>
  <c r="E150" i="3"/>
  <c r="D150" i="3"/>
  <c r="C150" i="3"/>
  <c r="B150" i="3"/>
  <c r="M149" i="3"/>
  <c r="L149" i="3"/>
  <c r="K149" i="3"/>
  <c r="J149" i="3"/>
  <c r="I149" i="3"/>
  <c r="H149" i="3"/>
  <c r="G149" i="3"/>
  <c r="F149" i="3"/>
  <c r="E149" i="3"/>
  <c r="D149" i="3"/>
  <c r="C149" i="3"/>
  <c r="B149" i="3"/>
  <c r="M148" i="3"/>
  <c r="L148" i="3"/>
  <c r="K148" i="3"/>
  <c r="J148" i="3"/>
  <c r="I148" i="3"/>
  <c r="H148" i="3"/>
  <c r="G148" i="3"/>
  <c r="F148" i="3"/>
  <c r="E148" i="3"/>
  <c r="D148" i="3"/>
  <c r="C148" i="3"/>
  <c r="B148" i="3"/>
  <c r="M147" i="3"/>
  <c r="L147" i="3"/>
  <c r="K147" i="3"/>
  <c r="J147" i="3"/>
  <c r="I147" i="3"/>
  <c r="H147" i="3"/>
  <c r="G147" i="3"/>
  <c r="F147" i="3"/>
  <c r="E147" i="3"/>
  <c r="D147" i="3"/>
  <c r="C147" i="3"/>
  <c r="B147" i="3"/>
  <c r="M142" i="3"/>
  <c r="L142" i="3"/>
  <c r="K142" i="3"/>
  <c r="J142" i="3"/>
  <c r="I142" i="3"/>
  <c r="H142" i="3"/>
  <c r="G142" i="3"/>
  <c r="F142" i="3"/>
  <c r="E142" i="3"/>
  <c r="D142" i="3"/>
  <c r="C142" i="3"/>
  <c r="B142" i="3"/>
  <c r="M141" i="3"/>
  <c r="L141" i="3"/>
  <c r="K141" i="3"/>
  <c r="J141" i="3"/>
  <c r="I141" i="3"/>
  <c r="H141" i="3"/>
  <c r="G141" i="3"/>
  <c r="F141" i="3"/>
  <c r="E141" i="3"/>
  <c r="D141" i="3"/>
  <c r="C141" i="3"/>
  <c r="B141" i="3"/>
  <c r="M140" i="3"/>
  <c r="L140" i="3"/>
  <c r="K140" i="3"/>
  <c r="J140" i="3"/>
  <c r="I140" i="3"/>
  <c r="H140" i="3"/>
  <c r="G140" i="3"/>
  <c r="F140" i="3"/>
  <c r="E140" i="3"/>
  <c r="D140" i="3"/>
  <c r="C140" i="3"/>
  <c r="B140" i="3"/>
  <c r="M139" i="3"/>
  <c r="L139" i="3"/>
  <c r="K139" i="3"/>
  <c r="J139" i="3"/>
  <c r="I139" i="3"/>
  <c r="H139" i="3"/>
  <c r="G139" i="3"/>
  <c r="F139" i="3"/>
  <c r="E139" i="3"/>
  <c r="D139" i="3"/>
  <c r="C139" i="3"/>
  <c r="B139" i="3"/>
  <c r="M138" i="3"/>
  <c r="L138" i="3"/>
  <c r="K138" i="3"/>
  <c r="J138" i="3"/>
  <c r="I138" i="3"/>
  <c r="H138" i="3"/>
  <c r="G138" i="3"/>
  <c r="F138" i="3"/>
  <c r="E138" i="3"/>
  <c r="D138" i="3"/>
  <c r="C138" i="3"/>
  <c r="B138" i="3"/>
  <c r="M137" i="3"/>
  <c r="L137" i="3"/>
  <c r="K137" i="3"/>
  <c r="J137" i="3"/>
  <c r="I137" i="3"/>
  <c r="H137" i="3"/>
  <c r="G137" i="3"/>
  <c r="F137" i="3"/>
  <c r="E137" i="3"/>
  <c r="D137" i="3"/>
  <c r="C137" i="3"/>
  <c r="B137" i="3"/>
  <c r="M136" i="3"/>
  <c r="L136" i="3"/>
  <c r="K136" i="3"/>
  <c r="J136" i="3"/>
  <c r="I136" i="3"/>
  <c r="H136" i="3"/>
  <c r="G136" i="3"/>
  <c r="F136" i="3"/>
  <c r="E136" i="3"/>
  <c r="D136" i="3"/>
  <c r="C136" i="3"/>
  <c r="B136" i="3"/>
  <c r="M135" i="3"/>
  <c r="L135" i="3"/>
  <c r="K135" i="3"/>
  <c r="J135" i="3"/>
  <c r="I135" i="3"/>
  <c r="H135" i="3"/>
  <c r="G135" i="3"/>
  <c r="F135" i="3"/>
  <c r="E135" i="3"/>
  <c r="D135" i="3"/>
  <c r="C135" i="3"/>
  <c r="B135" i="3"/>
  <c r="M130" i="3"/>
  <c r="L130" i="3"/>
  <c r="K130" i="3"/>
  <c r="J130" i="3"/>
  <c r="I130" i="3"/>
  <c r="H130" i="3"/>
  <c r="G130" i="3"/>
  <c r="F130" i="3"/>
  <c r="E130" i="3"/>
  <c r="D130" i="3"/>
  <c r="C130" i="3"/>
  <c r="B130" i="3"/>
  <c r="M129" i="3"/>
  <c r="L129" i="3"/>
  <c r="K129" i="3"/>
  <c r="J129" i="3"/>
  <c r="I129" i="3"/>
  <c r="H129" i="3"/>
  <c r="G129" i="3"/>
  <c r="F129" i="3"/>
  <c r="E129" i="3"/>
  <c r="D129" i="3"/>
  <c r="C129" i="3"/>
  <c r="B129" i="3"/>
  <c r="M128" i="3"/>
  <c r="L128" i="3"/>
  <c r="K128" i="3"/>
  <c r="J128" i="3"/>
  <c r="I128" i="3"/>
  <c r="K78" i="3"/>
  <c r="L78" i="3"/>
  <c r="M78" i="3"/>
  <c r="B79" i="3"/>
  <c r="C79" i="3"/>
  <c r="D79" i="3"/>
  <c r="E79" i="3"/>
  <c r="F79" i="3"/>
  <c r="G79" i="3"/>
  <c r="H79" i="3"/>
  <c r="I79" i="3"/>
  <c r="J79" i="3"/>
  <c r="K79" i="3"/>
  <c r="L79" i="3"/>
  <c r="M79" i="3"/>
  <c r="B80" i="3"/>
  <c r="C80" i="3"/>
  <c r="D80" i="3"/>
  <c r="E80" i="3"/>
  <c r="F80" i="3"/>
  <c r="G80" i="3"/>
  <c r="H80" i="3"/>
  <c r="I80" i="3"/>
  <c r="J80" i="3"/>
  <c r="K80" i="3"/>
  <c r="L80" i="3"/>
  <c r="M80" i="3"/>
  <c r="B81" i="3"/>
  <c r="C81" i="3"/>
  <c r="D81" i="3"/>
  <c r="E81" i="3"/>
  <c r="F81" i="3"/>
  <c r="G81" i="3"/>
  <c r="H81" i="3"/>
  <c r="I81" i="3"/>
  <c r="J81" i="3"/>
  <c r="K81" i="3"/>
  <c r="L81" i="3"/>
  <c r="M81" i="3"/>
  <c r="B82" i="3"/>
  <c r="D82" i="3"/>
  <c r="E82" i="3"/>
  <c r="F82" i="3"/>
  <c r="G82" i="3"/>
  <c r="H82" i="3"/>
  <c r="I82" i="3"/>
  <c r="J82" i="3"/>
  <c r="K82" i="3"/>
  <c r="L82" i="3"/>
  <c r="M82" i="3"/>
  <c r="B87" i="3"/>
  <c r="C87" i="3"/>
  <c r="D87" i="3"/>
  <c r="E87" i="3"/>
  <c r="F87" i="3"/>
  <c r="G87" i="3"/>
  <c r="H87" i="3"/>
  <c r="I87" i="3"/>
  <c r="J87" i="3"/>
  <c r="K87" i="3"/>
  <c r="L87" i="3"/>
  <c r="M87" i="3"/>
  <c r="B88" i="3"/>
  <c r="C88" i="3"/>
  <c r="D88" i="3"/>
  <c r="E88" i="3"/>
  <c r="F88" i="3"/>
  <c r="G88" i="3"/>
  <c r="H88" i="3"/>
  <c r="I88" i="3"/>
  <c r="J88" i="3"/>
  <c r="K88" i="3"/>
  <c r="L88" i="3"/>
  <c r="M88" i="3"/>
  <c r="B89" i="3"/>
  <c r="C89" i="3"/>
  <c r="D89" i="3"/>
  <c r="E89" i="3"/>
  <c r="F89" i="3"/>
  <c r="G89" i="3"/>
  <c r="H89" i="3"/>
  <c r="I89" i="3"/>
  <c r="J89" i="3"/>
  <c r="K89" i="3"/>
  <c r="L89" i="3"/>
  <c r="M89" i="3"/>
  <c r="B90" i="3"/>
  <c r="C90" i="3"/>
  <c r="D90" i="3"/>
  <c r="E90" i="3"/>
  <c r="F90" i="3"/>
  <c r="G90" i="3"/>
  <c r="H90" i="3"/>
  <c r="I90" i="3"/>
  <c r="J90" i="3"/>
  <c r="K90" i="3"/>
  <c r="L90" i="3"/>
  <c r="M90" i="3"/>
  <c r="B91" i="3"/>
  <c r="C91" i="3"/>
  <c r="D91" i="3"/>
  <c r="E91" i="3"/>
  <c r="F91" i="3"/>
  <c r="G91" i="3"/>
  <c r="H91" i="3"/>
  <c r="I91" i="3"/>
  <c r="J91" i="3"/>
  <c r="K91" i="3"/>
  <c r="L91" i="3"/>
  <c r="M91" i="3"/>
  <c r="B92" i="3"/>
  <c r="C92" i="3"/>
  <c r="D92" i="3"/>
  <c r="E92" i="3"/>
  <c r="F92" i="3"/>
  <c r="G92" i="3"/>
  <c r="H92" i="3"/>
  <c r="I92" i="3"/>
  <c r="J92" i="3"/>
  <c r="K92" i="3"/>
  <c r="L92" i="3"/>
  <c r="M92" i="3"/>
  <c r="B93" i="3"/>
  <c r="C93" i="3"/>
  <c r="D93" i="3"/>
  <c r="E93" i="3"/>
  <c r="F93" i="3"/>
  <c r="G93" i="3"/>
  <c r="H93" i="3"/>
  <c r="I93" i="3"/>
  <c r="J93" i="3"/>
  <c r="K93" i="3"/>
  <c r="L93" i="3"/>
  <c r="M93" i="3"/>
  <c r="B94" i="3"/>
  <c r="C94" i="3"/>
  <c r="D94" i="3"/>
  <c r="E94" i="3"/>
  <c r="F94" i="3"/>
  <c r="G94" i="3"/>
  <c r="H94" i="3"/>
  <c r="I94" i="3"/>
  <c r="J94" i="3"/>
  <c r="K94" i="3"/>
  <c r="L94" i="3"/>
  <c r="M94" i="3"/>
  <c r="B99" i="3"/>
  <c r="C99" i="3"/>
  <c r="D99" i="3"/>
  <c r="E99" i="3"/>
  <c r="F99" i="3"/>
  <c r="G99" i="3"/>
  <c r="H99" i="3"/>
  <c r="I99" i="3"/>
  <c r="J99" i="3"/>
  <c r="K99" i="3"/>
  <c r="L99" i="3"/>
  <c r="M99" i="3"/>
  <c r="B100" i="3"/>
  <c r="C100" i="3"/>
  <c r="D100" i="3"/>
  <c r="E100" i="3"/>
  <c r="F100" i="3"/>
  <c r="G100" i="3"/>
  <c r="H100" i="3"/>
  <c r="I100" i="3"/>
  <c r="J100" i="3"/>
  <c r="K100" i="3"/>
  <c r="L100" i="3"/>
  <c r="M100" i="3"/>
  <c r="B101" i="3"/>
  <c r="C101" i="3"/>
  <c r="D101" i="3"/>
  <c r="E101" i="3"/>
  <c r="F101" i="3"/>
  <c r="G101" i="3"/>
  <c r="H101" i="3"/>
  <c r="I101" i="3"/>
  <c r="J101" i="3"/>
  <c r="K101" i="3"/>
  <c r="L101" i="3"/>
  <c r="M101" i="3"/>
  <c r="B102" i="3"/>
  <c r="C102" i="3"/>
  <c r="D102" i="3"/>
  <c r="E102" i="3"/>
  <c r="F102" i="3"/>
  <c r="G102" i="3"/>
  <c r="H102" i="3"/>
  <c r="I102" i="3"/>
  <c r="J102" i="3"/>
  <c r="K102" i="3"/>
  <c r="L102" i="3"/>
  <c r="M102" i="3"/>
  <c r="B103" i="3"/>
  <c r="C103" i="3"/>
  <c r="D103" i="3"/>
  <c r="E103" i="3"/>
  <c r="F103" i="3"/>
  <c r="G103" i="3"/>
  <c r="H103" i="3"/>
  <c r="I103" i="3"/>
  <c r="J103" i="3"/>
  <c r="K103" i="3"/>
  <c r="L103" i="3"/>
  <c r="M103" i="3"/>
  <c r="B104" i="3"/>
  <c r="C104" i="3"/>
  <c r="D104" i="3"/>
  <c r="E104" i="3"/>
  <c r="F104" i="3"/>
  <c r="G104" i="3"/>
  <c r="H104" i="3"/>
  <c r="I104" i="3"/>
  <c r="J104" i="3"/>
  <c r="K104" i="3"/>
  <c r="L104" i="3"/>
  <c r="M104" i="3"/>
  <c r="B105" i="3"/>
  <c r="C105" i="3"/>
  <c r="D105" i="3"/>
  <c r="E105" i="3"/>
  <c r="F105" i="3"/>
  <c r="G105" i="3"/>
  <c r="H105" i="3"/>
  <c r="I105" i="3"/>
  <c r="J105" i="3"/>
  <c r="K105" i="3"/>
  <c r="L105" i="3"/>
  <c r="M105" i="3"/>
  <c r="B106" i="3"/>
  <c r="C106" i="3"/>
  <c r="D106" i="3"/>
  <c r="E106" i="3"/>
  <c r="F106" i="3"/>
  <c r="G106" i="3"/>
  <c r="H106" i="3"/>
  <c r="I106" i="3"/>
  <c r="J106" i="3"/>
  <c r="K106" i="3"/>
  <c r="L106" i="3"/>
  <c r="M106" i="3"/>
  <c r="B111" i="3"/>
  <c r="C111" i="3"/>
  <c r="D111" i="3"/>
  <c r="E111" i="3"/>
  <c r="F111" i="3"/>
  <c r="G111" i="3"/>
  <c r="H111" i="3"/>
  <c r="I111" i="3"/>
  <c r="J111" i="3"/>
  <c r="K111" i="3"/>
  <c r="L111" i="3"/>
  <c r="M111" i="3"/>
  <c r="B112" i="3"/>
  <c r="C112" i="3"/>
  <c r="D112" i="3"/>
  <c r="E112" i="3"/>
  <c r="F112" i="3"/>
  <c r="G112" i="3"/>
  <c r="H112" i="3"/>
  <c r="I112" i="3"/>
  <c r="J112" i="3"/>
  <c r="K112" i="3"/>
  <c r="L112" i="3"/>
  <c r="M112" i="3"/>
  <c r="B113" i="3"/>
  <c r="C113" i="3"/>
  <c r="D113" i="3"/>
  <c r="E113" i="3"/>
  <c r="F113" i="3"/>
  <c r="G113" i="3"/>
  <c r="H113" i="3"/>
  <c r="I113" i="3"/>
  <c r="J113" i="3"/>
  <c r="K113" i="3"/>
  <c r="L113" i="3"/>
  <c r="M113" i="3"/>
  <c r="B114" i="3"/>
  <c r="C114" i="3"/>
  <c r="D114" i="3"/>
  <c r="E114" i="3"/>
  <c r="F114" i="3"/>
  <c r="G114" i="3"/>
  <c r="H114" i="3"/>
  <c r="I114" i="3"/>
  <c r="J114" i="3"/>
  <c r="K114" i="3"/>
  <c r="L114" i="3"/>
  <c r="M114" i="3"/>
  <c r="B115" i="3"/>
  <c r="C115" i="3"/>
  <c r="D115" i="3"/>
  <c r="E115" i="3"/>
  <c r="F115" i="3"/>
  <c r="G115" i="3"/>
  <c r="H115" i="3"/>
  <c r="I115" i="3"/>
  <c r="J115" i="3"/>
  <c r="K115" i="3"/>
  <c r="L115" i="3"/>
  <c r="M115" i="3"/>
  <c r="B116" i="3"/>
  <c r="C116" i="3"/>
  <c r="D116" i="3"/>
  <c r="E116" i="3"/>
  <c r="F116" i="3"/>
  <c r="G116" i="3"/>
  <c r="H116" i="3"/>
  <c r="I116" i="3"/>
  <c r="J116" i="3"/>
  <c r="K116" i="3"/>
  <c r="L116" i="3"/>
  <c r="M116" i="3"/>
  <c r="B117" i="3"/>
  <c r="C117" i="3"/>
  <c r="D117" i="3"/>
  <c r="E117" i="3"/>
  <c r="F117" i="3"/>
  <c r="G117" i="3"/>
  <c r="H117" i="3"/>
  <c r="I117" i="3"/>
  <c r="J117" i="3"/>
  <c r="K117" i="3"/>
  <c r="L117" i="3"/>
  <c r="M117" i="3"/>
  <c r="B118" i="3"/>
  <c r="C118" i="3"/>
  <c r="D118" i="3"/>
  <c r="E118" i="3"/>
  <c r="F118" i="3"/>
  <c r="G118" i="3"/>
  <c r="H118" i="3"/>
  <c r="I118" i="3"/>
  <c r="J118" i="3"/>
  <c r="K118" i="3"/>
  <c r="L118" i="3"/>
  <c r="M118" i="3"/>
  <c r="B123" i="3"/>
  <c r="C123" i="3"/>
  <c r="D123" i="3"/>
  <c r="E123" i="3"/>
  <c r="F123" i="3"/>
  <c r="G123" i="3"/>
  <c r="H123" i="3"/>
  <c r="I123" i="3"/>
  <c r="J123" i="3"/>
  <c r="K123" i="3"/>
  <c r="M123" i="3"/>
  <c r="B124" i="3"/>
  <c r="C124" i="3"/>
  <c r="D124" i="3"/>
  <c r="E124" i="3"/>
  <c r="F124" i="3"/>
  <c r="G124" i="3"/>
  <c r="H124" i="3"/>
  <c r="I124" i="3"/>
  <c r="J124" i="3"/>
  <c r="K124" i="3"/>
  <c r="L124" i="3"/>
  <c r="M124" i="3"/>
  <c r="B125" i="3"/>
  <c r="C125" i="3"/>
  <c r="D125" i="3"/>
  <c r="E125" i="3"/>
  <c r="F125" i="3"/>
  <c r="G125" i="3"/>
  <c r="H125" i="3"/>
  <c r="I125" i="3"/>
  <c r="J125" i="3"/>
  <c r="K125" i="3"/>
  <c r="L125" i="3"/>
  <c r="M125" i="3"/>
  <c r="B126" i="3"/>
  <c r="C126" i="3"/>
  <c r="D126" i="3"/>
  <c r="E126" i="3"/>
  <c r="F126" i="3"/>
  <c r="G126" i="3"/>
  <c r="H126" i="3"/>
  <c r="I126" i="3"/>
  <c r="J126" i="3"/>
  <c r="K126" i="3"/>
  <c r="L126" i="3"/>
  <c r="M126" i="3"/>
  <c r="B127" i="3"/>
  <c r="C127" i="3"/>
  <c r="D127" i="3"/>
  <c r="E127" i="3"/>
  <c r="F127" i="3"/>
  <c r="G127" i="3"/>
  <c r="H127" i="3"/>
  <c r="I127" i="3"/>
  <c r="J127" i="3"/>
  <c r="K127" i="3"/>
  <c r="L127" i="3"/>
  <c r="M127" i="3"/>
  <c r="B128" i="3"/>
  <c r="C128" i="3"/>
  <c r="D128" i="3"/>
  <c r="E128" i="3"/>
  <c r="F128" i="3"/>
  <c r="G128" i="3"/>
  <c r="H128" i="3"/>
  <c r="E3" i="3"/>
  <c r="F3" i="3"/>
  <c r="G3" i="3"/>
  <c r="H3" i="3"/>
  <c r="I3" i="3"/>
  <c r="J3" i="3"/>
  <c r="K3" i="3"/>
  <c r="L3" i="3"/>
  <c r="M3" i="3"/>
  <c r="B4" i="3"/>
  <c r="C4" i="3"/>
  <c r="D4" i="3"/>
  <c r="E4" i="3"/>
  <c r="F4" i="3"/>
  <c r="G4" i="3"/>
  <c r="H4" i="3"/>
  <c r="I4" i="3"/>
  <c r="J4" i="3"/>
  <c r="K4" i="3"/>
  <c r="L4" i="3"/>
  <c r="M4" i="3"/>
  <c r="B5" i="3"/>
  <c r="C5" i="3"/>
  <c r="D5" i="3"/>
  <c r="E5" i="3"/>
  <c r="F5" i="3"/>
  <c r="G5" i="3"/>
  <c r="H5" i="3"/>
  <c r="I5" i="3"/>
  <c r="J5" i="3"/>
  <c r="K5" i="3"/>
  <c r="L5" i="3"/>
  <c r="M5" i="3"/>
  <c r="B6" i="3"/>
  <c r="C6" i="3"/>
  <c r="D6" i="3"/>
  <c r="E6" i="3"/>
  <c r="F6" i="3"/>
  <c r="G6" i="3"/>
  <c r="H6" i="3"/>
  <c r="I6" i="3"/>
  <c r="J6" i="3"/>
  <c r="K6" i="3"/>
  <c r="L6" i="3"/>
  <c r="M6" i="3"/>
  <c r="B7" i="3"/>
  <c r="C7" i="3"/>
  <c r="D7" i="3"/>
  <c r="E7" i="3"/>
  <c r="F7" i="3"/>
  <c r="G7" i="3"/>
  <c r="H7" i="3"/>
  <c r="I7" i="3"/>
  <c r="J7" i="3"/>
  <c r="K7" i="3"/>
  <c r="L7" i="3"/>
  <c r="M7" i="3"/>
  <c r="B8" i="3"/>
  <c r="C8" i="3"/>
  <c r="D8" i="3"/>
  <c r="E8" i="3"/>
  <c r="F8" i="3"/>
  <c r="G8" i="3"/>
  <c r="H8" i="3"/>
  <c r="I8" i="3"/>
  <c r="J8" i="3"/>
  <c r="K8" i="3"/>
  <c r="L8" i="3"/>
  <c r="M8" i="3"/>
  <c r="B9" i="3"/>
  <c r="C9" i="3"/>
  <c r="D9" i="3"/>
  <c r="E9" i="3"/>
  <c r="F9" i="3"/>
  <c r="G9" i="3"/>
  <c r="H9" i="3"/>
  <c r="I9" i="3"/>
  <c r="J9" i="3"/>
  <c r="K9" i="3"/>
  <c r="L9" i="3"/>
  <c r="M9" i="3"/>
  <c r="B10" i="3"/>
  <c r="C10" i="3"/>
  <c r="D10" i="3"/>
  <c r="E10" i="3"/>
  <c r="F10" i="3"/>
  <c r="G10" i="3"/>
  <c r="H10" i="3"/>
  <c r="I10" i="3"/>
  <c r="J10" i="3"/>
  <c r="K10" i="3"/>
  <c r="L10" i="3"/>
  <c r="M10" i="3"/>
  <c r="B15" i="3"/>
  <c r="C15" i="3"/>
  <c r="D15" i="3"/>
  <c r="E15" i="3"/>
  <c r="F15" i="3"/>
  <c r="G15" i="3"/>
  <c r="H15" i="3"/>
  <c r="I15" i="3"/>
  <c r="J15" i="3"/>
  <c r="K15" i="3"/>
  <c r="L15" i="3"/>
  <c r="M15" i="3"/>
  <c r="B16" i="3"/>
  <c r="C16" i="3"/>
  <c r="D16" i="3"/>
  <c r="E16" i="3"/>
  <c r="F16" i="3"/>
  <c r="G16" i="3"/>
  <c r="H16" i="3"/>
  <c r="I16" i="3"/>
  <c r="J16" i="3"/>
  <c r="K16" i="3"/>
  <c r="L16" i="3"/>
  <c r="M16" i="3"/>
  <c r="B17" i="3"/>
  <c r="C17" i="3"/>
  <c r="E17" i="3"/>
  <c r="F17" i="3"/>
  <c r="G17" i="3"/>
  <c r="H17" i="3"/>
  <c r="I17" i="3"/>
  <c r="J17" i="3"/>
  <c r="K17" i="3"/>
  <c r="L17" i="3"/>
  <c r="M17" i="3"/>
  <c r="B18" i="3"/>
  <c r="C18" i="3"/>
  <c r="D18" i="3"/>
  <c r="E18" i="3"/>
  <c r="F18" i="3"/>
  <c r="G18" i="3"/>
  <c r="H18" i="3"/>
  <c r="I18" i="3"/>
  <c r="J18" i="3"/>
  <c r="K18" i="3"/>
  <c r="L18" i="3"/>
  <c r="M18" i="3"/>
  <c r="B19" i="3"/>
  <c r="C19" i="3"/>
  <c r="D19" i="3"/>
  <c r="E19" i="3"/>
  <c r="F19" i="3"/>
  <c r="G19" i="3"/>
  <c r="H19" i="3"/>
  <c r="I19" i="3"/>
  <c r="J19" i="3"/>
  <c r="K19" i="3"/>
  <c r="L19" i="3"/>
  <c r="M19" i="3"/>
  <c r="B20" i="3"/>
  <c r="C20" i="3"/>
  <c r="D20" i="3"/>
  <c r="E20" i="3"/>
  <c r="F20" i="3"/>
  <c r="G20" i="3"/>
  <c r="H20" i="3"/>
  <c r="I20" i="3"/>
  <c r="J20" i="3"/>
  <c r="K20" i="3"/>
  <c r="L20" i="3"/>
  <c r="M20" i="3"/>
  <c r="B21" i="3"/>
  <c r="C21" i="3"/>
  <c r="D21" i="3"/>
  <c r="E21" i="3"/>
  <c r="F21" i="3"/>
  <c r="G21" i="3"/>
  <c r="H21" i="3"/>
  <c r="I21" i="3"/>
  <c r="J21" i="3"/>
  <c r="K21" i="3"/>
  <c r="L21" i="3"/>
  <c r="M21" i="3"/>
  <c r="B22" i="3"/>
  <c r="C22" i="3"/>
  <c r="D22" i="3"/>
  <c r="E22" i="3"/>
  <c r="F22" i="3"/>
  <c r="G22" i="3"/>
  <c r="H22" i="3"/>
  <c r="I22" i="3"/>
  <c r="J22" i="3"/>
  <c r="K22" i="3"/>
  <c r="L22" i="3"/>
  <c r="M22" i="3"/>
  <c r="B27" i="3"/>
  <c r="C27" i="3"/>
  <c r="D27" i="3"/>
  <c r="E27" i="3"/>
  <c r="F27" i="3"/>
  <c r="G27" i="3"/>
  <c r="H27" i="3"/>
  <c r="I27" i="3"/>
  <c r="J27" i="3"/>
  <c r="K27" i="3"/>
  <c r="L27" i="3"/>
  <c r="M27" i="3"/>
  <c r="B28" i="3"/>
  <c r="C28" i="3"/>
  <c r="D28" i="3"/>
  <c r="E28" i="3"/>
  <c r="F28" i="3"/>
  <c r="G28" i="3"/>
  <c r="H28" i="3"/>
  <c r="I28" i="3"/>
  <c r="J28" i="3"/>
  <c r="K28" i="3"/>
  <c r="L28" i="3"/>
  <c r="M28" i="3"/>
  <c r="B29" i="3"/>
  <c r="C29" i="3"/>
  <c r="D29" i="3"/>
  <c r="E29" i="3"/>
  <c r="F29" i="3"/>
  <c r="G29" i="3"/>
  <c r="H29" i="3"/>
  <c r="I29" i="3"/>
  <c r="J29" i="3"/>
  <c r="K29" i="3"/>
  <c r="L29" i="3"/>
  <c r="M29" i="3"/>
  <c r="B30" i="3"/>
  <c r="C30" i="3"/>
  <c r="D30" i="3"/>
  <c r="E30" i="3"/>
  <c r="F30" i="3"/>
  <c r="G30" i="3"/>
  <c r="H30" i="3"/>
  <c r="I30" i="3"/>
  <c r="J30" i="3"/>
  <c r="K30" i="3"/>
  <c r="L30" i="3"/>
  <c r="M30" i="3"/>
  <c r="B31" i="3"/>
  <c r="C31" i="3"/>
  <c r="D31" i="3"/>
  <c r="E31" i="3"/>
  <c r="F31" i="3"/>
  <c r="G31" i="3"/>
  <c r="L123" i="3"/>
  <c r="H31" i="3"/>
  <c r="I31" i="3"/>
  <c r="J31" i="3"/>
  <c r="K31" i="3"/>
  <c r="L31" i="3"/>
  <c r="M31" i="3"/>
  <c r="B32" i="3"/>
  <c r="C32" i="3"/>
  <c r="D32" i="3"/>
  <c r="E32" i="3"/>
  <c r="F32" i="3"/>
  <c r="G32" i="3"/>
  <c r="H32" i="3"/>
  <c r="I32" i="3"/>
  <c r="J32" i="3"/>
  <c r="K32" i="3"/>
  <c r="L32" i="3"/>
  <c r="M32" i="3"/>
  <c r="B33" i="3"/>
  <c r="C33" i="3"/>
  <c r="D33" i="3"/>
  <c r="E33" i="3"/>
  <c r="F33" i="3"/>
  <c r="G33" i="3"/>
  <c r="H33" i="3"/>
  <c r="I33" i="3"/>
  <c r="J33" i="3"/>
  <c r="K33" i="3"/>
  <c r="L33" i="3"/>
  <c r="M33" i="3"/>
  <c r="B34" i="3"/>
  <c r="C34" i="3"/>
  <c r="D34" i="3"/>
  <c r="E34" i="3"/>
  <c r="F34" i="3"/>
  <c r="G34" i="3"/>
  <c r="H34" i="3"/>
  <c r="I34" i="3"/>
  <c r="J34" i="3"/>
  <c r="K34" i="3"/>
  <c r="L34" i="3"/>
  <c r="M34" i="3"/>
  <c r="B39" i="3"/>
  <c r="C39" i="3"/>
  <c r="D39" i="3"/>
  <c r="E39" i="3"/>
  <c r="F39" i="3"/>
  <c r="G39" i="3"/>
  <c r="H39" i="3"/>
  <c r="I39" i="3"/>
  <c r="J39" i="3"/>
  <c r="K39" i="3"/>
  <c r="L39" i="3"/>
  <c r="M39" i="3"/>
  <c r="B40" i="3"/>
  <c r="C40" i="3"/>
  <c r="D40" i="3"/>
  <c r="E40" i="3"/>
  <c r="F40" i="3"/>
  <c r="G40" i="3"/>
  <c r="H40" i="3"/>
  <c r="I40" i="3"/>
  <c r="J40" i="3"/>
  <c r="K40" i="3"/>
  <c r="L40" i="3"/>
  <c r="M40" i="3"/>
  <c r="B41" i="3"/>
  <c r="C41" i="3"/>
  <c r="D41" i="3"/>
  <c r="E41" i="3"/>
  <c r="F41" i="3"/>
  <c r="G41" i="3"/>
  <c r="H41" i="3"/>
  <c r="I41" i="3"/>
  <c r="J41" i="3"/>
  <c r="K41" i="3"/>
  <c r="L41" i="3"/>
  <c r="M41" i="3"/>
  <c r="B42" i="3"/>
  <c r="C42" i="3"/>
  <c r="D42" i="3"/>
  <c r="E42" i="3"/>
  <c r="F42" i="3"/>
  <c r="G42" i="3"/>
  <c r="H42" i="3"/>
  <c r="I42" i="3"/>
  <c r="J42" i="3"/>
  <c r="K42" i="3"/>
  <c r="L42" i="3"/>
  <c r="M42" i="3"/>
  <c r="B43" i="3"/>
  <c r="C43" i="3"/>
  <c r="D43" i="3"/>
  <c r="E43" i="3"/>
  <c r="F43" i="3"/>
  <c r="G43" i="3"/>
  <c r="H43" i="3"/>
  <c r="I43" i="3"/>
  <c r="J43" i="3"/>
  <c r="K43" i="3"/>
  <c r="L43" i="3"/>
  <c r="M43" i="3"/>
  <c r="B44" i="3"/>
  <c r="C44" i="3"/>
  <c r="D44" i="3"/>
  <c r="E44" i="3"/>
  <c r="F44" i="3"/>
  <c r="G44" i="3"/>
  <c r="H44" i="3"/>
  <c r="I44" i="3"/>
  <c r="J44" i="3"/>
  <c r="K44" i="3"/>
  <c r="L44" i="3"/>
  <c r="M44" i="3"/>
  <c r="B45" i="3"/>
  <c r="C45" i="3"/>
  <c r="D45" i="3"/>
  <c r="E45" i="3"/>
  <c r="F45" i="3"/>
  <c r="G45" i="3"/>
  <c r="H45" i="3"/>
  <c r="I45" i="3"/>
  <c r="J45" i="3"/>
  <c r="K45" i="3"/>
  <c r="L45" i="3"/>
  <c r="M45" i="3"/>
  <c r="B46" i="3"/>
  <c r="C46" i="3"/>
  <c r="D46" i="3"/>
  <c r="E46" i="3"/>
  <c r="F46" i="3"/>
  <c r="G46" i="3"/>
  <c r="H46" i="3"/>
  <c r="I46" i="3"/>
  <c r="J46" i="3"/>
  <c r="K46" i="3"/>
  <c r="L46" i="3"/>
  <c r="M46" i="3"/>
  <c r="B51" i="3"/>
  <c r="C51" i="3"/>
  <c r="D51" i="3"/>
  <c r="E51" i="3"/>
  <c r="F51" i="3"/>
  <c r="G51" i="3"/>
  <c r="H51" i="3"/>
  <c r="I51" i="3"/>
  <c r="J51" i="3"/>
  <c r="K51" i="3"/>
  <c r="L51" i="3"/>
  <c r="M51" i="3"/>
  <c r="B52" i="3"/>
  <c r="C52" i="3"/>
  <c r="D52" i="3"/>
  <c r="E52" i="3"/>
  <c r="F52" i="3"/>
  <c r="G52" i="3"/>
  <c r="H52" i="3"/>
  <c r="I52" i="3"/>
  <c r="J52" i="3"/>
  <c r="K52" i="3"/>
  <c r="L52" i="3"/>
  <c r="M52" i="3"/>
  <c r="B53" i="3"/>
  <c r="C53" i="3"/>
  <c r="D53" i="3"/>
  <c r="E53" i="3"/>
  <c r="F53" i="3"/>
  <c r="G53" i="3"/>
  <c r="H53" i="3"/>
  <c r="I53" i="3"/>
  <c r="J53" i="3"/>
  <c r="K53" i="3"/>
  <c r="L53" i="3"/>
  <c r="M53" i="3"/>
  <c r="B54" i="3"/>
  <c r="C54" i="3"/>
  <c r="D54" i="3"/>
  <c r="D17" i="3"/>
  <c r="E54" i="3"/>
  <c r="F54" i="3"/>
  <c r="G54" i="3"/>
  <c r="H54" i="3"/>
  <c r="I54" i="3"/>
  <c r="J54" i="3"/>
  <c r="K54" i="3"/>
  <c r="L54" i="3"/>
  <c r="M54" i="3"/>
  <c r="B55" i="3"/>
  <c r="C55" i="3"/>
  <c r="D55" i="3"/>
  <c r="E55" i="3"/>
  <c r="F55" i="3"/>
  <c r="G55" i="3"/>
  <c r="H55" i="3"/>
  <c r="I55" i="3"/>
  <c r="J55" i="3"/>
  <c r="K55" i="3"/>
  <c r="L55" i="3"/>
  <c r="M55" i="3"/>
  <c r="B56" i="3"/>
  <c r="C56" i="3"/>
  <c r="D56" i="3"/>
  <c r="E56" i="3"/>
  <c r="F56" i="3"/>
  <c r="G56" i="3"/>
  <c r="H56" i="3"/>
  <c r="I56" i="3"/>
  <c r="J56" i="3"/>
  <c r="K56" i="3"/>
  <c r="L56" i="3"/>
  <c r="M56" i="3"/>
  <c r="B57" i="3"/>
  <c r="C57" i="3"/>
  <c r="D57" i="3"/>
  <c r="E57" i="3"/>
  <c r="F57" i="3"/>
  <c r="G57" i="3"/>
  <c r="H57" i="3"/>
  <c r="I57" i="3"/>
  <c r="J57" i="3"/>
  <c r="K57" i="3"/>
  <c r="L57" i="3"/>
  <c r="M57" i="3"/>
  <c r="B58" i="3"/>
  <c r="C58" i="3"/>
  <c r="D58" i="3"/>
  <c r="E58" i="3"/>
  <c r="F58" i="3"/>
  <c r="G58" i="3"/>
  <c r="H58" i="3"/>
  <c r="I58" i="3"/>
  <c r="J58" i="3"/>
  <c r="K58" i="3"/>
  <c r="L58" i="3"/>
  <c r="M58" i="3"/>
  <c r="B63" i="3"/>
  <c r="C63" i="3"/>
  <c r="D63" i="3"/>
  <c r="E63" i="3"/>
  <c r="F63" i="3"/>
  <c r="G63" i="3"/>
  <c r="H63" i="3"/>
  <c r="I63" i="3"/>
  <c r="J63" i="3"/>
  <c r="K63" i="3"/>
  <c r="L63" i="3"/>
  <c r="M63" i="3"/>
  <c r="B64" i="3"/>
  <c r="C64" i="3"/>
  <c r="D64" i="3"/>
  <c r="E64" i="3"/>
  <c r="F64" i="3"/>
  <c r="G64" i="3"/>
  <c r="H64" i="3"/>
  <c r="I64" i="3"/>
  <c r="J64" i="3"/>
  <c r="K64" i="3"/>
  <c r="L64" i="3"/>
  <c r="M64" i="3"/>
  <c r="B65" i="3"/>
  <c r="C65" i="3"/>
  <c r="D65" i="3"/>
  <c r="E65" i="3"/>
  <c r="F65" i="3"/>
  <c r="G65" i="3"/>
  <c r="H65" i="3"/>
  <c r="I65" i="3"/>
  <c r="J65" i="3"/>
  <c r="K65" i="3"/>
  <c r="L65" i="3"/>
  <c r="M65" i="3"/>
  <c r="B66" i="3"/>
  <c r="C66" i="3"/>
  <c r="D66" i="3"/>
  <c r="E66" i="3"/>
  <c r="F66" i="3"/>
  <c r="G66" i="3"/>
  <c r="H66" i="3"/>
  <c r="I66" i="3"/>
  <c r="J66" i="3"/>
  <c r="K66" i="3"/>
  <c r="L66" i="3"/>
  <c r="M66" i="3"/>
  <c r="B67" i="3"/>
  <c r="C67" i="3"/>
  <c r="D67" i="3"/>
  <c r="E67" i="3"/>
  <c r="F67" i="3"/>
  <c r="G67" i="3"/>
  <c r="H67" i="3"/>
  <c r="I67" i="3"/>
  <c r="J67" i="3"/>
  <c r="K67" i="3"/>
  <c r="L67" i="3"/>
  <c r="M67" i="3"/>
  <c r="B68" i="3"/>
  <c r="C68" i="3"/>
  <c r="D68" i="3"/>
  <c r="E68" i="3"/>
  <c r="F68" i="3"/>
  <c r="G68" i="3"/>
  <c r="H68" i="3"/>
  <c r="I68" i="3"/>
  <c r="J68" i="3"/>
  <c r="K68" i="3"/>
  <c r="L68" i="3"/>
  <c r="M68" i="3"/>
  <c r="B69" i="3"/>
  <c r="C69" i="3"/>
  <c r="D69" i="3"/>
  <c r="E69" i="3"/>
  <c r="F69" i="3"/>
  <c r="G69" i="3"/>
  <c r="H69" i="3"/>
  <c r="I69" i="3"/>
  <c r="J69" i="3"/>
  <c r="K69" i="3"/>
  <c r="L69" i="3"/>
  <c r="M69" i="3"/>
  <c r="B70" i="3"/>
  <c r="C70" i="3"/>
  <c r="D70" i="3"/>
  <c r="E70" i="3"/>
  <c r="F70" i="3"/>
  <c r="G70" i="3"/>
  <c r="H70" i="3"/>
  <c r="I70" i="3"/>
  <c r="J70" i="3"/>
  <c r="K70" i="3"/>
  <c r="L70" i="3"/>
  <c r="M70" i="3"/>
  <c r="B75" i="3"/>
  <c r="C75" i="3"/>
  <c r="D75" i="3"/>
  <c r="E75" i="3"/>
  <c r="F75" i="3"/>
  <c r="G75" i="3"/>
  <c r="H75" i="3"/>
  <c r="I75" i="3"/>
  <c r="J75" i="3"/>
  <c r="K75" i="3"/>
  <c r="L75" i="3"/>
  <c r="M75" i="3"/>
  <c r="B76" i="3"/>
  <c r="C76" i="3"/>
  <c r="D76" i="3"/>
  <c r="E76" i="3"/>
  <c r="F76" i="3"/>
  <c r="G76" i="3"/>
  <c r="H76" i="3"/>
  <c r="I76" i="3"/>
  <c r="J76" i="3"/>
  <c r="K76" i="3"/>
  <c r="L76" i="3"/>
  <c r="M76" i="3"/>
  <c r="B77" i="3"/>
  <c r="C77" i="3"/>
  <c r="D77" i="3"/>
  <c r="E77" i="3"/>
  <c r="F77" i="3"/>
  <c r="G77" i="3"/>
  <c r="H77" i="3"/>
  <c r="I77" i="3"/>
  <c r="J77" i="3"/>
  <c r="K77" i="3"/>
  <c r="L77" i="3"/>
  <c r="M77" i="3"/>
  <c r="B78" i="3"/>
  <c r="C78" i="3"/>
  <c r="D78" i="3"/>
  <c r="E78" i="3"/>
  <c r="F78" i="3"/>
  <c r="G78" i="3"/>
  <c r="H78" i="3"/>
  <c r="I78" i="3"/>
  <c r="J78" i="3"/>
  <c r="M178" i="3"/>
  <c r="L178" i="3"/>
  <c r="K178" i="3"/>
  <c r="J178" i="3"/>
  <c r="I178" i="3"/>
  <c r="H178" i="3"/>
  <c r="G178" i="3"/>
  <c r="F178" i="3"/>
  <c r="E178" i="3"/>
  <c r="D178" i="3"/>
  <c r="C178" i="3"/>
  <c r="B178" i="3"/>
  <c r="M177" i="3"/>
  <c r="L177" i="3"/>
  <c r="K177" i="3"/>
  <c r="J177" i="3"/>
  <c r="I177" i="3"/>
  <c r="H177" i="3"/>
  <c r="G177" i="3"/>
  <c r="F177" i="3"/>
  <c r="E177" i="3"/>
  <c r="D177" i="3"/>
  <c r="C177" i="3"/>
  <c r="B177" i="3"/>
  <c r="M176" i="3"/>
  <c r="L176" i="3"/>
  <c r="K176" i="3"/>
  <c r="J176" i="3"/>
  <c r="I176" i="3"/>
  <c r="H176" i="3"/>
  <c r="G176" i="3"/>
  <c r="F176" i="3"/>
  <c r="E176" i="3"/>
  <c r="D176" i="3"/>
  <c r="C176" i="3"/>
  <c r="B176" i="3"/>
  <c r="M175" i="3"/>
  <c r="L175" i="3"/>
  <c r="K175" i="3"/>
  <c r="J175" i="3"/>
  <c r="I175" i="3"/>
  <c r="H175" i="3"/>
  <c r="G175" i="3"/>
  <c r="F175" i="3"/>
  <c r="E175" i="3"/>
  <c r="D175" i="3"/>
  <c r="C82" i="3"/>
  <c r="B4" i="6" l="1"/>
  <c r="D3" i="3"/>
  <c r="D3" i="4"/>
  <c r="C3" i="9"/>
  <c r="C3" i="8"/>
  <c r="B3" i="10"/>
  <c r="B3" i="9"/>
  <c r="C3" i="4"/>
  <c r="C3" i="3"/>
  <c r="C3" i="6"/>
  <c r="B3" i="6"/>
  <c r="D3" i="6"/>
  <c r="B3" i="4"/>
  <c r="B3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<sst xmlns="http://schemas.openxmlformats.org/spreadsheetml/2006/main" count="1501" uniqueCount="191">
  <si>
    <t>Sample
Status (s/i)</t>
  </si>
  <si>
    <t>Sample
Type</t>
  </si>
  <si>
    <t>Date of
Collection</t>
  </si>
  <si>
    <t>Time of
Collection</t>
  </si>
  <si>
    <t>CDI Location</t>
  </si>
  <si>
    <t>NIH Location</t>
  </si>
  <si>
    <t>MAX Planck Location</t>
  </si>
  <si>
    <t>WB Location</t>
  </si>
  <si>
    <t>Cryovial Tubes
(Yes/No)</t>
  </si>
  <si>
    <t>Cryovial Location</t>
  </si>
  <si>
    <t>Cryovial Volumes</t>
  </si>
  <si>
    <t>Participant Helper</t>
  </si>
  <si>
    <t>DateCode Helper</t>
  </si>
  <si>
    <t>Matrix Code Helper</t>
  </si>
  <si>
    <t>WB Code Helper</t>
  </si>
  <si>
    <t>Cryo Box Helper</t>
  </si>
  <si>
    <t>Cryo Start Row 1</t>
  </si>
  <si>
    <t>Cryo Start Col 1</t>
  </si>
  <si>
    <t>Cryo End Row 1</t>
  </si>
  <si>
    <t>Cryo End Col 1</t>
  </si>
  <si>
    <t>Cryo Prefix Helper</t>
  </si>
  <si>
    <t>Cryo Count 1</t>
  </si>
  <si>
    <t>Cryo Start Row 2</t>
  </si>
  <si>
    <t>Cryo Start Col 2</t>
  </si>
  <si>
    <t>Cryo End Row 2</t>
  </si>
  <si>
    <t>Cryo End Col 2</t>
  </si>
  <si>
    <t>Cryo Count 2</t>
  </si>
  <si>
    <t>Case CDI Plate 1</t>
  </si>
  <si>
    <t>A</t>
  </si>
  <si>
    <t>B</t>
  </si>
  <si>
    <t>C</t>
  </si>
  <si>
    <t>D</t>
  </si>
  <si>
    <t>E</t>
  </si>
  <si>
    <t>F</t>
  </si>
  <si>
    <t>G</t>
  </si>
  <si>
    <t>H</t>
  </si>
  <si>
    <t>Case CDI Plate 2</t>
  </si>
  <si>
    <t>Case CDI Plate 3</t>
  </si>
  <si>
    <t>Case CDI Plate 4</t>
  </si>
  <si>
    <t>Case CDI Plate 5</t>
  </si>
  <si>
    <t>Case CDI Plate 6</t>
  </si>
  <si>
    <t>Case CDI Plate 7</t>
  </si>
  <si>
    <t>Case CDI Plate 8</t>
  </si>
  <si>
    <t>Case CDI Plate 9</t>
  </si>
  <si>
    <t>Case CDI Plate 10</t>
  </si>
  <si>
    <t>Case CDI Plate 11</t>
  </si>
  <si>
    <t>Case CDI Plate 12</t>
  </si>
  <si>
    <t>Case CDI Plate 13</t>
  </si>
  <si>
    <t>Case CDI Plate 14</t>
  </si>
  <si>
    <t>Case CDI Plate 15</t>
  </si>
  <si>
    <t>Case NIH Plate 1</t>
  </si>
  <si>
    <t>Case NIH Plate 2</t>
  </si>
  <si>
    <t>Case NIH Plate 3</t>
  </si>
  <si>
    <t>Case NIH Plate 4</t>
  </si>
  <si>
    <t>Case NIH Plate 5</t>
  </si>
  <si>
    <t>Case NIH Plate 6</t>
  </si>
  <si>
    <t>Case NIH Plate 7</t>
  </si>
  <si>
    <t>Case NIH Plate 8</t>
  </si>
  <si>
    <t>Case NIH Plate 9</t>
  </si>
  <si>
    <t>Case NIH Plate 10</t>
  </si>
  <si>
    <t>Case NIH Plate 11</t>
  </si>
  <si>
    <t>Case NIH Plate 12</t>
  </si>
  <si>
    <t>Case NIH Plate 13</t>
  </si>
  <si>
    <t>Case NIH Plate 14</t>
  </si>
  <si>
    <t>Case NIH Plate 15</t>
  </si>
  <si>
    <t>Case MAX Planck Plate 1</t>
  </si>
  <si>
    <t>Case MAX Planck Plate 2</t>
  </si>
  <si>
    <t>Case MAX Planck Plate 3</t>
  </si>
  <si>
    <t>Case MAX Planck Plate 4</t>
  </si>
  <si>
    <t>Case MAX Planck Plate 5</t>
  </si>
  <si>
    <t>Case MAX Planck Plate 6</t>
  </si>
  <si>
    <t>Case MAX Planck Plate 7</t>
  </si>
  <si>
    <t>Case MAX Planck Plate 8</t>
  </si>
  <si>
    <t>Case MAX Planck Plate 9</t>
  </si>
  <si>
    <t>Case MAX Planck Plate 10</t>
  </si>
  <si>
    <t>Case MAX Planck Plate 11</t>
  </si>
  <si>
    <t>Case MAX Planck Plate 12</t>
  </si>
  <si>
    <t>Case MAX Planck Plate 13</t>
  </si>
  <si>
    <t>Case MAX Planck Plate 14</t>
  </si>
  <si>
    <t>Case MAX Planck Plate 15</t>
  </si>
  <si>
    <t>Case Box 1</t>
  </si>
  <si>
    <t>I</t>
  </si>
  <si>
    <t>J</t>
  </si>
  <si>
    <t>Case Box 2</t>
  </si>
  <si>
    <t>Case Box 3</t>
  </si>
  <si>
    <t>Case Box 4</t>
  </si>
  <si>
    <t>Case Box 5</t>
  </si>
  <si>
    <t>Case Box 6</t>
  </si>
  <si>
    <t>Case Box 7</t>
  </si>
  <si>
    <t>Case Box 8</t>
  </si>
  <si>
    <t>Case Box 9</t>
  </si>
  <si>
    <t>Case Box 10</t>
  </si>
  <si>
    <t>Case Box 11</t>
  </si>
  <si>
    <t>Case Box 12</t>
  </si>
  <si>
    <t>Case Box 13</t>
  </si>
  <si>
    <t>Case Box 14</t>
  </si>
  <si>
    <t>Case Box 15</t>
  </si>
  <si>
    <t>Case WB Box 1</t>
  </si>
  <si>
    <t>Case WB Box 2</t>
  </si>
  <si>
    <t>Case WB Box 3</t>
  </si>
  <si>
    <t>Case WB Box 4</t>
  </si>
  <si>
    <t>Case WB Box 5</t>
  </si>
  <si>
    <t>Case WB Box 6</t>
  </si>
  <si>
    <t>Case WB Box 7</t>
  </si>
  <si>
    <t>Case WB Box 8</t>
  </si>
  <si>
    <t>Case WB Box 9</t>
  </si>
  <si>
    <t>Case WB Box 10</t>
  </si>
  <si>
    <t>Case WB Box 11</t>
  </si>
  <si>
    <t>Case WB Box 12</t>
  </si>
  <si>
    <t>Case WB Box 13</t>
  </si>
  <si>
    <t>Case WB Box 14</t>
  </si>
  <si>
    <t>Case WB Box 15</t>
  </si>
  <si>
    <t>Control CDI Plate 1</t>
  </si>
  <si>
    <t>Control CDI Plate 2</t>
  </si>
  <si>
    <t>Control CDI Plate 3</t>
  </si>
  <si>
    <t>Control CDI Plate 4</t>
  </si>
  <si>
    <t>Control CDI Plate 5</t>
  </si>
  <si>
    <t>Control CDI Plate 6</t>
  </si>
  <si>
    <t>Control CDI Plate 7</t>
  </si>
  <si>
    <t>Control CDI Plate 8</t>
  </si>
  <si>
    <t>Control CDI Plate 9</t>
  </si>
  <si>
    <t>Control CDI Plate 10</t>
  </si>
  <si>
    <t>Control CDI Plate 11</t>
  </si>
  <si>
    <t>Control CDI Plate 12</t>
  </si>
  <si>
    <t>Control CDI Plate 13</t>
  </si>
  <si>
    <t>Control CDI Plate 14</t>
  </si>
  <si>
    <t>Control CDI Plate 15</t>
  </si>
  <si>
    <t>Control NIH Plate 1</t>
  </si>
  <si>
    <t>Control NIH Plate 2</t>
  </si>
  <si>
    <t>Control NIH Plate 3</t>
  </si>
  <si>
    <t>Control NIH Plate 4</t>
  </si>
  <si>
    <t>Control NIH Plate 5</t>
  </si>
  <si>
    <t>Control NIH Plate 6</t>
  </si>
  <si>
    <t>Control NIH Plate 7</t>
  </si>
  <si>
    <t>Control NIH Plate 8</t>
  </si>
  <si>
    <t>Control NIH Plate 9</t>
  </si>
  <si>
    <t>Control NIH Plate 10</t>
  </si>
  <si>
    <t>Control NIH Plate 11</t>
  </si>
  <si>
    <t>Control NIH Plate 12</t>
  </si>
  <si>
    <t>Control NIH Plate 13</t>
  </si>
  <si>
    <t>Control NIH Plate 14</t>
  </si>
  <si>
    <t>Control NIH Plate 15</t>
  </si>
  <si>
    <t>Control MAX Planck Plate 1</t>
  </si>
  <si>
    <t>Control MAX Planck Plate 2</t>
  </si>
  <si>
    <t>Control MAX Planck Plate 3</t>
  </si>
  <si>
    <t>Control MAX Planck Plate 4</t>
  </si>
  <si>
    <t>Control MAX Planck Plate 5</t>
  </si>
  <si>
    <t>Control MAX Planck Plate 6</t>
  </si>
  <si>
    <t>Control MAX Planck Plate 7</t>
  </si>
  <si>
    <t>Control MAX Planck Plate 8</t>
  </si>
  <si>
    <t>Control MAX Planck Plate 9</t>
  </si>
  <si>
    <t>Control MAX Planck Plate 10</t>
  </si>
  <si>
    <t>Control MAX Planck Plate 11</t>
  </si>
  <si>
    <t>Control MAX Planck Plate 12</t>
  </si>
  <si>
    <t>Control MAX Planck Plate 13</t>
  </si>
  <si>
    <t>Control MAX Planck Plate 14</t>
  </si>
  <si>
    <t>Control MAX Planck Plate 15</t>
  </si>
  <si>
    <t>Control Box 1</t>
  </si>
  <si>
    <t>Control Box 2</t>
  </si>
  <si>
    <t>Control Box 3</t>
  </si>
  <si>
    <t>Control Box 4</t>
  </si>
  <si>
    <t>Control Box 5</t>
  </si>
  <si>
    <t>Control Box 6</t>
  </si>
  <si>
    <t>Control Box 7</t>
  </si>
  <si>
    <t>Control Box 8</t>
  </si>
  <si>
    <t>Control Box 9</t>
  </si>
  <si>
    <t>Control Box 10</t>
  </si>
  <si>
    <t>Control Box 11</t>
  </si>
  <si>
    <t>Control Box 12</t>
  </si>
  <si>
    <t>Control Box 13</t>
  </si>
  <si>
    <t>Control Box 14</t>
  </si>
  <si>
    <t>Control Box 15</t>
  </si>
  <si>
    <t>Control WB Box 1</t>
  </si>
  <si>
    <t>Control WB Box 2</t>
  </si>
  <si>
    <t>Control WB Box 3</t>
  </si>
  <si>
    <t>Control WB Box 4</t>
  </si>
  <si>
    <t>Control WB Box 5</t>
  </si>
  <si>
    <t>Control WB Box 6</t>
  </si>
  <si>
    <t>Control WB Box 7</t>
  </si>
  <si>
    <t>Control WB Box 8</t>
  </si>
  <si>
    <t>Control WB Box 9</t>
  </si>
  <si>
    <t>Control WB Box 10</t>
  </si>
  <si>
    <t>Control WB Box 11</t>
  </si>
  <si>
    <t>Control WB Box 12</t>
  </si>
  <si>
    <t>Control WB Box 13</t>
  </si>
  <si>
    <t>Control WB Box 14</t>
  </si>
  <si>
    <t>Control WB Box 15</t>
  </si>
  <si>
    <t>Study Code</t>
  </si>
  <si>
    <t>Freeze Date</t>
  </si>
  <si>
    <t>Freeze Time</t>
  </si>
  <si>
    <t>Additional Notes (If any)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</si>
</sst>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"/>
    <numFmt numFmtId="165" formatCode="m/d/yy"/>
  </numFmts>
  <fonts count="3" x14ac:knownFonts="1">
    <font>
      <sz val="11"/>
      <color theme="1"/>
      <name val="Calibri"/>
      <family val="2"/>
      <charset val="1"/>
    </font>
    <font>
      <b/>
      <sz val="11"/>
      <color rgb="FFFFFFFF"/>
      <name val="Cambria"/>
      <charset val="1"/>
    </font>
    <font>
      <b/>
      <sz val="11"/>
      <name val="Cambria"/>
      <charset val="1"/>
    </font>
  </fonts>
  <fills count="7">
    <fill>
      <patternFill patternType="none"/>
    </fill>
    <fill>
      <patternFill patternType="gray125"/>
    </fill>
    <fill>
      <patternFill patternType="solid">
        <fgColor rgb="FF0F4C81"/>
        <bgColor rgb="FF333399"/>
      </patternFill>
    </fill>
    <fill>
      <patternFill patternType="solid">
        <fgColor rgb="FFFFFDE7"/>
        <bgColor rgb="FFFFFFFF"/>
      </patternFill>
    </fill>
    <fill>
      <patternFill patternType="solid">
        <fgColor rgb="FFEAF3F8"/>
        <bgColor rgb="FFD9EAF7"/>
      </patternFill>
    </fill>
    <fill>
      <patternFill patternType="solid">
        <fgColor rgb="FFD9EAF7"/>
        <bgColor rgb="FFD9E2F3"/>
      </patternFill>
    </fill>
    <fill>
      <patternFill patternType="solid">
        <fgColor rgb="FFFFFFFF"/>
        <bgColor rgb="FFFFFDE7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164" fontId="0" fillId="3" borderId="1" xfId="0" applyNumberFormat="1" applyFill="1" applyBorder="1" applyAlignment="1">
      <alignment horizontal="center" vertical="center" wrapText="1"/>
    </xf>
    <xf numFmtId="18" fontId="0" fillId="3" borderId="1" xfId="0" applyNumberForma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5" fontId="0" fillId="4" borderId="1" xfId="0" applyNumberForma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2">
    <dxf>
      <fill>
        <patternFill>
          <bgColor rgb="FFE7E6E6"/>
        </patternFill>
      </fill>
    </dxf>
    <dxf>
      <fill>
        <patternFill>
          <bgColor rgb="FFE7E6E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5B9BD5"/>
      <rgbColor rgb="FF7030A0"/>
      <rgbColor rgb="FFFFFDE7"/>
      <rgbColor rgb="FFD9EAF7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3F8"/>
      <rgbColor rgb="FFE7E6E6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0AD47"/>
      <rgbColor rgb="FF0F4C81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AE495"/>
  <sheetViews>
    <sheetView showGridLines="0" tabSelected="1" zoomScaleNormal="100" workbookViewId="0">
      <pane ySplit="1" topLeftCell="A2" activePane="bottomLeft" state="frozen"/>
      <selection pane="bottomLeft" activeCell="A2" sqref="A2:XFD6"/>
    </sheetView>
  </sheetViews>
  <sheetFormatPr defaultColWidth="8.6328125" defaultRowHeight="15" customHeight="1" x14ac:dyDescent="0.35"/>
  <cols>
    <col min="1" max="1" width="16.26953125" customWidth="1"/>
    <col min="2" max="2" width="12.453125" customWidth="1"/>
    <col min="3" max="3" width="13" customWidth="1"/>
    <col min="4" max="4" width="15" customWidth="1"/>
    <col min="5" max="5" width="16" customWidth="1"/>
    <col min="6" max="6" width="15" customWidth="1"/>
    <col min="7" max="7" width="14" customWidth="1"/>
    <col min="8" max="9" width="24" customWidth="1"/>
    <col min="10" max="10" width="28" customWidth="1"/>
    <col min="11" max="11" width="24" customWidth="1"/>
    <col min="12" max="12" width="17" customWidth="1"/>
    <col min="13" max="13" width="26" customWidth="1"/>
    <col min="14" max="14" width="30" customWidth="1"/>
    <col min="15" max="15" width="27.26953125" customWidth="1"/>
    <col min="16" max="29" width="13" hidden="1" customWidth="1"/>
    <col min="30" max="30" width="48.90625" hidden="1" customWidth="1"/>
    <col min="31" max="31" width="9.08984375" hidden="1" customWidth="1"/>
  </cols>
  <sheetData>
    <row r="1" spans="1:31" ht="28.4" customHeight="1" x14ac:dyDescent="0.35">
      <c r="A1" s="1" t="s">
        <v>187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188</v>
      </c>
      <c r="G1" s="1" t="s">
        <v>189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190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</row>
    <row r="2" spans="1:31" ht="15" customHeight="1" x14ac:dyDescent="0.35">
      <c r="A2" s="2"/>
      <c r="B2" s="3"/>
      <c r="C2" s="3"/>
      <c r="D2" s="4"/>
      <c r="E2" s="5"/>
      <c r="F2" s="11" t="str">
        <f t="shared" ref="F2:F60" ca="1" si="0">IF(AND($A2&lt;&gt;"",$B2&lt;&gt;"",$C2&lt;&gt;"",$D2&lt;&gt;"",$E2&lt;&gt;""),TODAY(),"")</f>
        <v/>
      </c>
      <c r="G2" s="5"/>
      <c r="H2" s="6" t="str">
        <f>IF(AND($A2&lt;&gt;"",$B2&lt;&gt;"",$C2&lt;&gt;"",$D2&lt;&gt;"",$E2&lt;&gt;""),IF(AND($B2="s",OR($C2="SER",$C2="PLH",$C2="CSF")),"Case CDI Plate "&amp;(INT(((COUNTIFS($B$2:$B2,"s",$C$2:$C2,"SER")+COUNTIFS($B$2:$B2,"s",$C$2:$C2,"PLH")+COUNTIFS($B$2:$B2,"s",$C$2:$C2,"CSF"))-1)/96)+1)&amp;": "&amp;CHAR(65+INT(MOD((COUNTIFS($B$2:$B2,"s",$C$2:$C2,"SER")+COUNTIFS($B$2:$B2,"s",$C$2:$C2,"PLH")+COUNTIFS($B$2:$B2,"s",$C$2:$C2,"CSF"))-1,96)/12))&amp;(MOD((COUNTIFS($B$2:$B2,"s",$C$2:$C2,"SER")+COUNTIFS($B$2:$B2,"s",$C$2:$C2,"PLH")+COUNTIFS($B$2:$B2,"s",$C$2:$C2,"CSF"))-1,12)+1),"N/A"),"")</f>
        <v/>
      </c>
      <c r="I2" s="6" t="str">
        <f>IF(AND($A2&lt;&gt;"",$B2&lt;&gt;"",$C2&lt;&gt;"",$D2&lt;&gt;"",$E2&lt;&gt;""),IF(AND($B2="s",OR($C2="SER",$C2="PLH",$C2="CSF")),"Case NIH Plate "&amp;(INT(((COUNTIFS($B$2:$B2,"s",$C$2:$C2,"SER")+COUNTIFS($B$2:$B2,"s",$C$2:$C2,"PLH")+COUNTIFS($B$2:$B2,"s",$C$2:$C2,"CSF"))-1)/96)+1)&amp;": "&amp;CHAR(65+INT(MOD((COUNTIFS($B$2:$B2,"s",$C$2:$C2,"SER")+COUNTIFS($B$2:$B2,"s",$C$2:$C2,"PLH")+COUNTIFS($B$2:$B2,"s",$C$2:$C2,"CSF"))-1,96)/12))&amp;(MOD((COUNTIFS($B$2:$B2,"s",$C$2:$C2,"SER")+COUNTIFS($B$2:$B2,"s",$C$2:$C2,"PLH")+COUNTIFS($B$2:$B2,"s",$C$2:$C2,"CSF"))-1,12)+1),"N/A"),"")</f>
        <v/>
      </c>
      <c r="J2" s="6" t="str">
        <f>IF(AND($A2&lt;&gt;"",$B2&lt;&gt;"",$C2&lt;&gt;"",$D2&lt;&gt;"",$E2&lt;&gt;""),IF(AND($B2="s",OR($C2="SER",$C2="PLH")),"Case MAX Planck Plate "&amp;(INT(((COUNTIFS($B$2:$B2,"s",$C$2:$C2,"SER")+COUNTIFS($B$2:$B2,"s",$C$2:$C2,"PLH"))-1)/96)+1)&amp;": "&amp;CHAR(65+INT(MOD((COUNTIFS($B$2:$B2,"s",$C$2:$C2,"SER")+COUNTIFS($B$2:$B2,"s",$C$2:$C2,"PLH"))-1,96)/12))&amp;(MOD((COUNTIFS($B$2:$B2,"s",$C$2:$C2,"SER")+COUNTIFS($B$2:$B2,"s",$C$2:$C2,"PLH"))-1,12)+1),"N/A"),"")</f>
        <v/>
      </c>
      <c r="K2" s="6" t="str">
        <f>IF(AND($A2&lt;&gt;"",$B2&lt;&gt;"",$C2&lt;&gt;"",$D2&lt;&gt;"",$E2&lt;&gt;""),IF($C2="WB","Case WB Box "&amp;(INT((COUNTIFS($C$2:$C2,"WB")-1)/81)+1)&amp;": "&amp;CHAR(65+INT(MOD(COUNTIFS($C$2:$C2,"WB")-1,81)/9))&amp;(MOD(COUNTIFS($C$2:$C2,"WB")-1,9)+1),"N/A"),"")</f>
        <v/>
      </c>
      <c r="L2" s="2" t="str">
        <f t="shared" ref="L2:L60" si="1">IF(AND($A2&lt;&gt;"",$B2&lt;&gt;"",$C2&lt;&gt;"",$D2&lt;&gt;"",$E2&lt;&gt;""),IF($C2="WB","No",IF($B2="i","Yes","")),"")</f>
        <v/>
      </c>
      <c r="M2" s="2"/>
      <c r="N2" s="2"/>
      <c r="O2" s="2"/>
      <c r="P2" s="7" t="str">
        <f t="shared" ref="P2:P60" si="2">IF($A2&lt;&gt;"",MID($A2,5,4),"")</f>
        <v/>
      </c>
      <c r="Q2" s="7" t="str">
        <f t="shared" ref="Q2:Q60" si="3">IF($D2&lt;&gt;"",TEXT($D2,"mmddyy"),"")</f>
        <v/>
      </c>
      <c r="R2" s="7" t="str">
        <f t="shared" ref="R2:R60" si="4">IF(AND($A2&lt;&gt;"",$B2&lt;&gt;"",$C2&lt;&gt;"",$D2&lt;&gt;""),IF($C2="WB","cs_"&amp;$P2&amp;"_"&amp;$B2&amp;"_wb_"&amp;$Q2,"cs_"&amp;$P2&amp;"_"&amp;$B2&amp;"_"&amp;LOWER($C2)&amp;"_"&amp;IF($C2="CSF","0.50","0.20")&amp;"_"&amp;$Q2),"")</f>
        <v/>
      </c>
      <c r="S2" s="7" t="str">
        <f t="shared" ref="S2:S60" si="5">IF(AND($A2&lt;&gt;"",$B2&lt;&gt;"",$C2="WB",$D2&lt;&gt;""),"cs_"&amp;$P2&amp;"_"&amp;$B2&amp;"_wb_"&amp;$Q2,"")</f>
        <v/>
      </c>
      <c r="T2" s="7" t="str">
        <f t="shared" ref="T2:T60" si="6">IFERROR(VALUE(MID($M2,FIND("Box ",$M2)+4,FIND(":",$M2)-FIND("Box ",$M2)-4)),"")</f>
        <v/>
      </c>
      <c r="U2" s="7" t="str">
        <f t="shared" ref="U2:U60" si="7">IFERROR(CODE(UPPER(LEFT(LEFT(TRIM(MID(SUBSTITUTE(TRIM(MID($M2,FIND(":",$M2)+1,200)),",",REPT(" ",60)),1,60)),IFERROR(FIND("-",TRIM(MID(SUBSTITUTE(TRIM(MID($M2,FIND(":",$M2)+1,200)),",",REPT(" ",60)),1,60)))-1,LEN(TRIM(MID(SUBSTITUTE(TRIM(MID($M2,FIND(":",$M2)+1,200)),",",REPT(" ",60)),1,60))))),1)))-64,"")</f>
        <v/>
      </c>
      <c r="V2" s="7" t="str">
        <f t="shared" ref="V2:V60" si="8">IFERROR(VALUE(MID(LEFT(TRIM(MID(SUBSTITUTE(TRIM(MID($M2,FIND(":",$M2)+1,200)),",",REPT(" ",60)),1,60)),IFERROR(FIND("-",TRIM(MID(SUBSTITUTE(TRIM(MID($M2,FIND(":",$M2)+1,200)),",",REPT(" ",60)),1,60)))-1,LEN(TRIM(MID(SUBSTITUTE(TRIM(MID($M2,FIND(":",$M2)+1,200)),",",REPT(" ",60)),1,60))))),2,3)),"")</f>
        <v/>
      </c>
      <c r="W2" s="7" t="str">
        <f t="shared" ref="W2:W60" si="9">IFERROR(CODE(UPPER(LEFT(IFERROR(MID(TRIM(MID(SUBSTITUTE(TRIM(MID($M2,FIND(":",$M2)+1,200)),",",REPT(" ",60)),1,60)),FIND("-",TRIM(MID(SUBSTITUTE(TRIM(MID($M2,FIND(":",$M2)+1,200)),",",REPT(" ",60)),1,60)))+1,99),LEFT(TRIM(MID(SUBSTITUTE(TRIM(MID($M2,FIND(":",$M2)+1,200)),",",REPT(" ",60)),1,60)),IFERROR(FIND("-",TRIM(MID(SUBSTITUTE(TRIM(MID($M2,FIND(":",$M2)+1,200)),",",REPT(" ",60)),1,60)))-1,LEN(TRIM(MID(SUBSTITUTE(TRIM(MID($M2,FIND(":",$M2)+1,200)),",",REPT(" ",60)),1,60)))))),1)))-64,"")</f>
        <v/>
      </c>
      <c r="X2" s="7" t="str">
        <f t="shared" ref="X2:X60" si="10">IFERROR(VALUE(MID(IFERROR(MID(TRIM(MID(SUBSTITUTE(TRIM(MID($M2,FIND(":",$M2)+1,200)),",",REPT(" ",60)),1,60)),FIND("-",TRIM(MID(SUBSTITUTE(TRIM(MID($M2,FIND(":",$M2)+1,200)),",",REPT(" ",60)),1,60)))+1,99),LEFT(TRIM(MID(SUBSTITUTE(TRIM(MID($M2,FIND(":",$M2)+1,200)),",",REPT(" ",60)),1,60)),IFERROR(FIND("-",TRIM(MID(SUBSTITUTE(TRIM(MID($M2,FIND(":",$M2)+1,200)),",",REPT(" ",60)),1,60)))-1,LEN(TRIM(MID(SUBSTITUTE(TRIM(MID($M2,FIND(":",$M2)+1,200)),",",REPT(" ",60)),1,60)))))),2,3)),"")</f>
        <v/>
      </c>
      <c r="Y2" s="7" t="str">
        <f t="shared" ref="Y2:Y60" si="11">IF(AND($A2&lt;&gt;"",$B2&lt;&gt;"",$C2&lt;&gt;"",$D2&lt;&gt;""),"cs_"&amp;$P2&amp;"_"&amp;$B2&amp;"_"&amp;LOWER($C2)&amp;"_","")</f>
        <v/>
      </c>
      <c r="Z2">
        <f t="shared" ref="Z2:Z60" si="12">IFERROR(($W2-$U2+1)*($X2-$V2+1),0)</f>
        <v>0</v>
      </c>
      <c r="AA2" t="str">
        <f t="shared" ref="AA2:AA60" si="13">IFERROR(CODE(UPPER(LEFT(LEFT(TRIM(MID(SUBSTITUTE(TRIM(MID($M2,FIND(":",$M2)+1,200)),",",REPT(" ",60)),61,60)),IFERROR(FIND("-",TRIM(MID(SUBSTITUTE(TRIM(MID($M2,FIND(":",$M2)+1,200)),",",REPT(" ",60)),61,60)))-1,LEN(TRIM(MID(SUBSTITUTE(TRIM(MID($M2,FIND(":",$M2)+1,200)),",",REPT(" ",60)),61,60))))),1)))-64,"")</f>
        <v/>
      </c>
      <c r="AB2" t="str">
        <f t="shared" ref="AB2:AB60" si="14">IFERROR(VALUE(MID(LEFT(TRIM(MID(SUBSTITUTE(TRIM(MID($M2,FIND(":",$M2)+1,200)),",",REPT(" ",60)),61,60)),IFERROR(FIND("-",TRIM(MID(SUBSTITUTE(TRIM(MID($M2,FIND(":",$M2)+1,200)),",",REPT(" ",60)),61,60)))-1,LEN(TRIM(MID(SUBSTITUTE(TRIM(MID($M2,FIND(":",$M2)+1,200)),",",REPT(" ",60)),61,60))))),2,3)),"")</f>
        <v/>
      </c>
      <c r="AC2" t="str">
        <f t="shared" ref="AC2:AC60" si="15">IFERROR(CODE(UPPER(LEFT(IFERROR(MID(TRIM(MID(SUBSTITUTE(TRIM(MID($M2,FIND(":",$M2)+1,200)),",",REPT(" ",60)),61,60)),FIND("-",TRIM(MID(SUBSTITUTE(TRIM(MID($M2,FIND(":",$M2)+1,200)),",",REPT(" ",60)),61,60)))+1,99),LEFT(TRIM(MID(SUBSTITUTE(TRIM(MID($M2,FIND(":",$M2)+1,200)),",",REPT(" ",60)),61,60)),IFERROR(FIND("-",TRIM(MID(SUBSTITUTE(TRIM(MID($M2,FIND(":",$M2)+1,200)),",",REPT(" ",60)),61,60)))-1,LEN(TRIM(MID(SUBSTITUTE(TRIM(MID($M2,FIND(":",$M2)+1,200)),",",REPT(" ",60)),61,60)))))),1)))-64,"")</f>
        <v/>
      </c>
      <c r="AD2" t="str">
        <f t="shared" ref="AD2:AD60" si="16">IFERROR(VALUE(MID(IFERROR(MID(TRIM(MID(SUBSTITUTE(TRIM(MID($M2,FIND(":",$M2)+1,200)),",",REPT(" ",60)),61,60)),FIND("-",TRIM(MID(SUBSTITUTE(TRIM(MID($M2,FIND(":",$M2)+1,200)),",",REPT(" ",60)),61,60)))+1,99),LEFT(TRIM(MID(SUBSTITUTE(TRIM(MID($M2,FIND(":",$M2)+1,200)),",",REPT(" ",60)),61,60)),IFERROR(FIND("-",TRIM(MID(SUBSTITUTE(TRIM(MID($M2,FIND(":",$M2)+1,200)),",",REPT(" ",60)),61,60)))-1,LEN(TRIM(MID(SUBSTITUTE(TRIM(MID($M2,FIND(":",$M2)+1,200)),",",REPT(" ",60)),61,60)))))),2,3)),"")</f>
        <v/>
      </c>
      <c r="AE2">
        <f t="shared" ref="AE2:AE60" si="17">IFERROR(($AC2-$AA2+1)*($AD2-$AB2+1),0)</f>
        <v>0</v>
      </c>
    </row>
    <row r="3" spans="1:31" ht="15" customHeight="1" x14ac:dyDescent="0.35">
      <c r="A3" s="2"/>
      <c r="B3" s="3"/>
      <c r="C3" s="3"/>
      <c r="D3" s="4"/>
      <c r="E3" s="5"/>
      <c r="F3" s="11" t="str">
        <f t="shared" ca="1" si="0"/>
        <v/>
      </c>
      <c r="G3" s="5"/>
      <c r="H3" s="6" t="str">
        <f>IF(AND($A3&lt;&gt;"",$B3&lt;&gt;"",$C3&lt;&gt;"",$D3&lt;&gt;"",$E3&lt;&gt;""),IF(AND($B3="s",OR($C3="SER",$C3="PLH",$C3="CSF")),"Case CDI Plate "&amp;(INT(((COUNTIFS($B$2:$B3,"s",$C$2:$C3,"SER")+COUNTIFS($B$2:$B3,"s",$C$2:$C3,"PLH")+COUNTIFS($B$2:$B3,"s",$C$2:$C3,"CSF"))-1)/96)+1)&amp;": "&amp;CHAR(65+INT(MOD((COUNTIFS($B$2:$B3,"s",$C$2:$C3,"SER")+COUNTIFS($B$2:$B3,"s",$C$2:$C3,"PLH")+COUNTIFS($B$2:$B3,"s",$C$2:$C3,"CSF"))-1,96)/12))&amp;(MOD((COUNTIFS($B$2:$B3,"s",$C$2:$C3,"SER")+COUNTIFS($B$2:$B3,"s",$C$2:$C3,"PLH")+COUNTIFS($B$2:$B3,"s",$C$2:$C3,"CSF"))-1,12)+1),"N/A"),"")</f>
        <v/>
      </c>
      <c r="I3" s="6" t="str">
        <f>IF(AND($A3&lt;&gt;"",$B3&lt;&gt;"",$C3&lt;&gt;"",$D3&lt;&gt;"",$E3&lt;&gt;""),IF(AND($B3="s",OR($C3="SER",$C3="PLH",$C3="CSF")),"Case NIH Plate "&amp;(INT(((COUNTIFS($B$2:$B3,"s",$C$2:$C3,"SER")+COUNTIFS($B$2:$B3,"s",$C$2:$C3,"PLH")+COUNTIFS($B$2:$B3,"s",$C$2:$C3,"CSF"))-1)/96)+1)&amp;": "&amp;CHAR(65+INT(MOD((COUNTIFS($B$2:$B3,"s",$C$2:$C3,"SER")+COUNTIFS($B$2:$B3,"s",$C$2:$C3,"PLH")+COUNTIFS($B$2:$B3,"s",$C$2:$C3,"CSF"))-1,96)/12))&amp;(MOD((COUNTIFS($B$2:$B3,"s",$C$2:$C3,"SER")+COUNTIFS($B$2:$B3,"s",$C$2:$C3,"PLH")+COUNTIFS($B$2:$B3,"s",$C$2:$C3,"CSF"))-1,12)+1),"N/A"),"")</f>
        <v/>
      </c>
      <c r="J3" s="6" t="str">
        <f>IF(AND($A3&lt;&gt;"",$B3&lt;&gt;"",$C3&lt;&gt;"",$D3&lt;&gt;"",$E3&lt;&gt;""),IF(AND($B3="s",OR($C3="SER",$C3="PLH")),"Case MAX Planck Plate "&amp;(INT(((COUNTIFS($B$2:$B3,"s",$C$2:$C3,"SER")+COUNTIFS($B$2:$B3,"s",$C$2:$C3,"PLH"))-1)/96)+1)&amp;": "&amp;CHAR(65+INT(MOD((COUNTIFS($B$2:$B3,"s",$C$2:$C3,"SER")+COUNTIFS($B$2:$B3,"s",$C$2:$C3,"PLH"))-1,96)/12))&amp;(MOD((COUNTIFS($B$2:$B3,"s",$C$2:$C3,"SER")+COUNTIFS($B$2:$B3,"s",$C$2:$C3,"PLH"))-1,12)+1),"N/A"),"")</f>
        <v/>
      </c>
      <c r="K3" s="6" t="str">
        <f>IF(AND($A3&lt;&gt;"",$B3&lt;&gt;"",$C3&lt;&gt;"",$D3&lt;&gt;"",$E3&lt;&gt;""),IF($C3="WB","Case WB Box "&amp;(INT((COUNTIFS($C$2:$C3,"WB")-1)/81)+1)&amp;": "&amp;CHAR(65+INT(MOD(COUNTIFS($C$2:$C3,"WB")-1,81)/9))&amp;(MOD(COUNTIFS($C$2:$C3,"WB")-1,9)+1),"N/A"),"")</f>
        <v/>
      </c>
      <c r="L3" s="2" t="str">
        <f t="shared" si="1"/>
        <v/>
      </c>
      <c r="M3" s="2"/>
      <c r="N3" s="2"/>
      <c r="O3" s="2"/>
      <c r="P3" s="7" t="str">
        <f t="shared" si="2"/>
        <v/>
      </c>
      <c r="Q3" s="7" t="str">
        <f t="shared" si="3"/>
        <v/>
      </c>
      <c r="R3" s="7" t="str">
        <f t="shared" si="4"/>
        <v/>
      </c>
      <c r="S3" s="7" t="str">
        <f t="shared" si="5"/>
        <v/>
      </c>
      <c r="T3" s="7" t="str">
        <f t="shared" si="6"/>
        <v/>
      </c>
      <c r="U3" s="7" t="str">
        <f t="shared" si="7"/>
        <v/>
      </c>
      <c r="V3" s="7" t="str">
        <f t="shared" si="8"/>
        <v/>
      </c>
      <c r="W3" s="7" t="str">
        <f t="shared" si="9"/>
        <v/>
      </c>
      <c r="X3" s="7" t="str">
        <f t="shared" si="10"/>
        <v/>
      </c>
      <c r="Y3" s="7" t="str">
        <f t="shared" si="11"/>
        <v/>
      </c>
      <c r="Z3">
        <f t="shared" si="12"/>
        <v>0</v>
      </c>
      <c r="AA3" t="str">
        <f t="shared" si="13"/>
        <v/>
      </c>
      <c r="AB3" t="str">
        <f t="shared" si="14"/>
        <v/>
      </c>
      <c r="AC3" t="str">
        <f t="shared" si="15"/>
        <v/>
      </c>
      <c r="AD3" t="str">
        <f t="shared" si="16"/>
        <v/>
      </c>
      <c r="AE3">
        <f t="shared" si="17"/>
        <v>0</v>
      </c>
    </row>
    <row r="4" spans="1:31" ht="15" customHeight="1" x14ac:dyDescent="0.35">
      <c r="A4" s="2"/>
      <c r="B4" s="3"/>
      <c r="C4" s="3"/>
      <c r="D4" s="4"/>
      <c r="E4" s="5"/>
      <c r="F4" s="11" t="str">
        <f t="shared" ca="1" si="0"/>
        <v/>
      </c>
      <c r="G4" s="5"/>
      <c r="H4" s="6" t="str">
        <f>IF(AND($A4&lt;&gt;"",$B4&lt;&gt;"",$C4&lt;&gt;"",$D4&lt;&gt;"",$E4&lt;&gt;""),IF(AND($B4="s",OR($C4="SER",$C4="PLH",$C4="CSF")),"Case CDI Plate "&amp;(INT(((COUNTIFS($B$2:$B4,"s",$C$2:$C4,"SER")+COUNTIFS($B$2:$B4,"s",$C$2:$C4,"PLH")+COUNTIFS($B$2:$B4,"s",$C$2:$C4,"CSF"))-1)/96)+1)&amp;": "&amp;CHAR(65+INT(MOD((COUNTIFS($B$2:$B4,"s",$C$2:$C4,"SER")+COUNTIFS($B$2:$B4,"s",$C$2:$C4,"PLH")+COUNTIFS($B$2:$B4,"s",$C$2:$C4,"CSF"))-1,96)/12))&amp;(MOD((COUNTIFS($B$2:$B4,"s",$C$2:$C4,"SER")+COUNTIFS($B$2:$B4,"s",$C$2:$C4,"PLH")+COUNTIFS($B$2:$B4,"s",$C$2:$C4,"CSF"))-1,12)+1),"N/A"),"")</f>
        <v/>
      </c>
      <c r="I4" s="6" t="str">
        <f>IF(AND($A4&lt;&gt;"",$B4&lt;&gt;"",$C4&lt;&gt;"",$D4&lt;&gt;"",$E4&lt;&gt;""),IF(AND($B4="s",OR($C4="SER",$C4="PLH",$C4="CSF")),"Case NIH Plate "&amp;(INT(((COUNTIFS($B$2:$B4,"s",$C$2:$C4,"SER")+COUNTIFS($B$2:$B4,"s",$C$2:$C4,"PLH")+COUNTIFS($B$2:$B4,"s",$C$2:$C4,"CSF"))-1)/96)+1)&amp;": "&amp;CHAR(65+INT(MOD((COUNTIFS($B$2:$B4,"s",$C$2:$C4,"SER")+COUNTIFS($B$2:$B4,"s",$C$2:$C4,"PLH")+COUNTIFS($B$2:$B4,"s",$C$2:$C4,"CSF"))-1,96)/12))&amp;(MOD((COUNTIFS($B$2:$B4,"s",$C$2:$C4,"SER")+COUNTIFS($B$2:$B4,"s",$C$2:$C4,"PLH")+COUNTIFS($B$2:$B4,"s",$C$2:$C4,"CSF"))-1,12)+1),"N/A"),"")</f>
        <v/>
      </c>
      <c r="J4" s="6" t="str">
        <f>IF(AND($A4&lt;&gt;"",$B4&lt;&gt;"",$C4&lt;&gt;"",$D4&lt;&gt;"",$E4&lt;&gt;""),IF(AND($B4="s",OR($C4="SER",$C4="PLH")),"Case MAX Planck Plate "&amp;(INT(((COUNTIFS($B$2:$B4,"s",$C$2:$C4,"SER")+COUNTIFS($B$2:$B4,"s",$C$2:$C4,"PLH"))-1)/96)+1)&amp;": "&amp;CHAR(65+INT(MOD((COUNTIFS($B$2:$B4,"s",$C$2:$C4,"SER")+COUNTIFS($B$2:$B4,"s",$C$2:$C4,"PLH"))-1,96)/12))&amp;(MOD((COUNTIFS($B$2:$B4,"s",$C$2:$C4,"SER")+COUNTIFS($B$2:$B4,"s",$C$2:$C4,"PLH"))-1,12)+1),"N/A"),"")</f>
        <v/>
      </c>
      <c r="K4" s="6" t="str">
        <f>IF(AND($A4&lt;&gt;"",$B4&lt;&gt;"",$C4&lt;&gt;"",$D4&lt;&gt;"",$E4&lt;&gt;""),IF($C4="WB","Case WB Box "&amp;(INT((COUNTIFS($C$2:$C4,"WB")-1)/81)+1)&amp;": "&amp;CHAR(65+INT(MOD(COUNTIFS($C$2:$C4,"WB")-1,81)/9))&amp;(MOD(COUNTIFS($C$2:$C4,"WB")-1,9)+1),"N/A"),"")</f>
        <v/>
      </c>
      <c r="L4" s="2" t="str">
        <f t="shared" si="1"/>
        <v/>
      </c>
      <c r="M4" s="2"/>
      <c r="N4" s="2"/>
      <c r="O4" s="2"/>
      <c r="P4" s="7" t="str">
        <f t="shared" si="2"/>
        <v/>
      </c>
      <c r="Q4" s="7" t="str">
        <f t="shared" si="3"/>
        <v/>
      </c>
      <c r="R4" s="7" t="str">
        <f t="shared" si="4"/>
        <v/>
      </c>
      <c r="S4" s="7" t="str">
        <f t="shared" si="5"/>
        <v/>
      </c>
      <c r="T4" s="7" t="str">
        <f t="shared" si="6"/>
        <v/>
      </c>
      <c r="U4" s="7" t="str">
        <f t="shared" si="7"/>
        <v/>
      </c>
      <c r="V4" s="7" t="str">
        <f t="shared" si="8"/>
        <v/>
      </c>
      <c r="W4" s="7" t="str">
        <f t="shared" si="9"/>
        <v/>
      </c>
      <c r="X4" s="7" t="str">
        <f t="shared" si="10"/>
        <v/>
      </c>
      <c r="Y4" s="7" t="str">
        <f t="shared" si="11"/>
        <v/>
      </c>
      <c r="Z4">
        <f t="shared" si="12"/>
        <v>0</v>
      </c>
      <c r="AA4" t="str">
        <f t="shared" si="13"/>
        <v/>
      </c>
      <c r="AB4" t="str">
        <f t="shared" si="14"/>
        <v/>
      </c>
      <c r="AC4" t="str">
        <f t="shared" si="15"/>
        <v/>
      </c>
      <c r="AD4" t="str">
        <f t="shared" si="16"/>
        <v/>
      </c>
      <c r="AE4">
        <f t="shared" si="17"/>
        <v>0</v>
      </c>
    </row>
    <row r="5" spans="1:31" ht="15" customHeight="1" x14ac:dyDescent="0.35">
      <c r="A5" s="2"/>
      <c r="B5" s="3"/>
      <c r="C5" s="3"/>
      <c r="D5" s="4"/>
      <c r="E5" s="5"/>
      <c r="F5" s="11" t="str">
        <f t="shared" ca="1" si="0"/>
        <v/>
      </c>
      <c r="G5" s="5"/>
      <c r="H5" s="6" t="str">
        <f>IF(AND($A5&lt;&gt;"",$B5&lt;&gt;"",$C5&lt;&gt;"",$D5&lt;&gt;"",$E5&lt;&gt;""),IF(AND($B5="s",OR($C5="SER",$C5="PLH",$C5="CSF")),"Case CDI Plate "&amp;(INT(((COUNTIFS($B$2:$B5,"s",$C$2:$C5,"SER")+COUNTIFS($B$2:$B5,"s",$C$2:$C5,"PLH")+COUNTIFS($B$2:$B5,"s",$C$2:$C5,"CSF"))-1)/96)+1)&amp;": "&amp;CHAR(65+INT(MOD((COUNTIFS($B$2:$B5,"s",$C$2:$C5,"SER")+COUNTIFS($B$2:$B5,"s",$C$2:$C5,"PLH")+COUNTIFS($B$2:$B5,"s",$C$2:$C5,"CSF"))-1,96)/12))&amp;(MOD((COUNTIFS($B$2:$B5,"s",$C$2:$C5,"SER")+COUNTIFS($B$2:$B5,"s",$C$2:$C5,"PLH")+COUNTIFS($B$2:$B5,"s",$C$2:$C5,"CSF"))-1,12)+1),"N/A"),"")</f>
        <v/>
      </c>
      <c r="I5" s="6" t="str">
        <f>IF(AND($A5&lt;&gt;"",$B5&lt;&gt;"",$C5&lt;&gt;"",$D5&lt;&gt;"",$E5&lt;&gt;""),IF(AND($B5="s",OR($C5="SER",$C5="PLH",$C5="CSF")),"Case NIH Plate "&amp;(INT(((COUNTIFS($B$2:$B5,"s",$C$2:$C5,"SER")+COUNTIFS($B$2:$B5,"s",$C$2:$C5,"PLH")+COUNTIFS($B$2:$B5,"s",$C$2:$C5,"CSF"))-1)/96)+1)&amp;": "&amp;CHAR(65+INT(MOD((COUNTIFS($B$2:$B5,"s",$C$2:$C5,"SER")+COUNTIFS($B$2:$B5,"s",$C$2:$C5,"PLH")+COUNTIFS($B$2:$B5,"s",$C$2:$C5,"CSF"))-1,96)/12))&amp;(MOD((COUNTIFS($B$2:$B5,"s",$C$2:$C5,"SER")+COUNTIFS($B$2:$B5,"s",$C$2:$C5,"PLH")+COUNTIFS($B$2:$B5,"s",$C$2:$C5,"CSF"))-1,12)+1),"N/A"),"")</f>
        <v/>
      </c>
      <c r="J5" s="6" t="str">
        <f>IF(AND($A5&lt;&gt;"",$B5&lt;&gt;"",$C5&lt;&gt;"",$D5&lt;&gt;"",$E5&lt;&gt;""),IF(AND($B5="s",OR($C5="SER",$C5="PLH")),"Case MAX Planck Plate "&amp;(INT(((COUNTIFS($B$2:$B5,"s",$C$2:$C5,"SER")+COUNTIFS($B$2:$B5,"s",$C$2:$C5,"PLH"))-1)/96)+1)&amp;": "&amp;CHAR(65+INT(MOD((COUNTIFS($B$2:$B5,"s",$C$2:$C5,"SER")+COUNTIFS($B$2:$B5,"s",$C$2:$C5,"PLH"))-1,96)/12))&amp;(MOD((COUNTIFS($B$2:$B5,"s",$C$2:$C5,"SER")+COUNTIFS($B$2:$B5,"s",$C$2:$C5,"PLH"))-1,12)+1),"N/A"),"")</f>
        <v/>
      </c>
      <c r="K5" s="6" t="str">
        <f>IF(AND($A5&lt;&gt;"",$B5&lt;&gt;"",$C5&lt;&gt;"",$D5&lt;&gt;"",$E5&lt;&gt;""),IF($C5="WB","Case WB Box "&amp;(INT((COUNTIFS($C$2:$C5,"WB")-1)/81)+1)&amp;": "&amp;CHAR(65+INT(MOD(COUNTIFS($C$2:$C5,"WB")-1,81)/9))&amp;(MOD(COUNTIFS($C$2:$C5,"WB")-1,9)+1),"N/A"),"")</f>
        <v/>
      </c>
      <c r="L5" s="2" t="str">
        <f t="shared" si="1"/>
        <v/>
      </c>
      <c r="M5" s="2"/>
      <c r="N5" s="2"/>
      <c r="O5" s="2"/>
      <c r="P5" s="7" t="str">
        <f t="shared" si="2"/>
        <v/>
      </c>
      <c r="Q5" s="7" t="str">
        <f t="shared" si="3"/>
        <v/>
      </c>
      <c r="R5" s="7" t="str">
        <f t="shared" si="4"/>
        <v/>
      </c>
      <c r="S5" s="7" t="str">
        <f t="shared" si="5"/>
        <v/>
      </c>
      <c r="T5" s="7" t="str">
        <f t="shared" si="6"/>
        <v/>
      </c>
      <c r="U5" s="7" t="str">
        <f t="shared" si="7"/>
        <v/>
      </c>
      <c r="V5" s="7" t="str">
        <f t="shared" si="8"/>
        <v/>
      </c>
      <c r="W5" s="7" t="str">
        <f t="shared" si="9"/>
        <v/>
      </c>
      <c r="X5" s="7" t="str">
        <f t="shared" si="10"/>
        <v/>
      </c>
      <c r="Y5" s="7" t="str">
        <f t="shared" si="11"/>
        <v/>
      </c>
      <c r="Z5">
        <f t="shared" si="12"/>
        <v>0</v>
      </c>
      <c r="AA5" t="str">
        <f t="shared" si="13"/>
        <v/>
      </c>
      <c r="AB5" t="str">
        <f t="shared" si="14"/>
        <v/>
      </c>
      <c r="AC5" t="str">
        <f t="shared" si="15"/>
        <v/>
      </c>
      <c r="AD5" t="str">
        <f t="shared" si="16"/>
        <v/>
      </c>
      <c r="AE5">
        <f t="shared" si="17"/>
        <v>0</v>
      </c>
    </row>
    <row r="6" spans="1:31" ht="15" customHeight="1" x14ac:dyDescent="0.35">
      <c r="A6" s="2"/>
      <c r="B6" s="3"/>
      <c r="C6" s="3"/>
      <c r="D6" s="4"/>
      <c r="E6" s="5"/>
      <c r="F6" s="11" t="str">
        <f t="shared" ca="1" si="0"/>
        <v/>
      </c>
      <c r="G6" s="5"/>
      <c r="H6" s="6" t="str">
        <f>IF(AND($A6&lt;&gt;"",$B6&lt;&gt;"",$C6&lt;&gt;"",$D6&lt;&gt;"",$E6&lt;&gt;""),IF(AND($B6="s",OR($C6="SER",$C6="PLH",$C6="CSF")),"Case CDI Plate "&amp;(INT(((COUNTIFS($B$2:$B6,"s",$C$2:$C6,"SER")+COUNTIFS($B$2:$B6,"s",$C$2:$C6,"PLH")+COUNTIFS($B$2:$B6,"s",$C$2:$C6,"CSF"))-1)/96)+1)&amp;": "&amp;CHAR(65+INT(MOD((COUNTIFS($B$2:$B6,"s",$C$2:$C6,"SER")+COUNTIFS($B$2:$B6,"s",$C$2:$C6,"PLH")+COUNTIFS($B$2:$B6,"s",$C$2:$C6,"CSF"))-1,96)/12))&amp;(MOD((COUNTIFS($B$2:$B6,"s",$C$2:$C6,"SER")+COUNTIFS($B$2:$B6,"s",$C$2:$C6,"PLH")+COUNTIFS($B$2:$B6,"s",$C$2:$C6,"CSF"))-1,12)+1),"N/A"),"")</f>
        <v/>
      </c>
      <c r="I6" s="6" t="str">
        <f>IF(AND($A6&lt;&gt;"",$B6&lt;&gt;"",$C6&lt;&gt;"",$D6&lt;&gt;"",$E6&lt;&gt;""),IF(AND($B6="s",OR($C6="SER",$C6="PLH",$C6="CSF")),"Case NIH Plate "&amp;(INT(((COUNTIFS($B$2:$B6,"s",$C$2:$C6,"SER")+COUNTIFS($B$2:$B6,"s",$C$2:$C6,"PLH")+COUNTIFS($B$2:$B6,"s",$C$2:$C6,"CSF"))-1)/96)+1)&amp;": "&amp;CHAR(65+INT(MOD((COUNTIFS($B$2:$B6,"s",$C$2:$C6,"SER")+COUNTIFS($B$2:$B6,"s",$C$2:$C6,"PLH")+COUNTIFS($B$2:$B6,"s",$C$2:$C6,"CSF"))-1,96)/12))&amp;(MOD((COUNTIFS($B$2:$B6,"s",$C$2:$C6,"SER")+COUNTIFS($B$2:$B6,"s",$C$2:$C6,"PLH")+COUNTIFS($B$2:$B6,"s",$C$2:$C6,"CSF"))-1,12)+1),"N/A"),"")</f>
        <v/>
      </c>
      <c r="J6" s="6" t="str">
        <f>IF(AND($A6&lt;&gt;"",$B6&lt;&gt;"",$C6&lt;&gt;"",$D6&lt;&gt;"",$E6&lt;&gt;""),IF(AND($B6="s",OR($C6="SER",$C6="PLH")),"Case MAX Planck Plate "&amp;(INT(((COUNTIFS($B$2:$B6,"s",$C$2:$C6,"SER")+COUNTIFS($B$2:$B6,"s",$C$2:$C6,"PLH"))-1)/96)+1)&amp;": "&amp;CHAR(65+INT(MOD((COUNTIFS($B$2:$B6,"s",$C$2:$C6,"SER")+COUNTIFS($B$2:$B6,"s",$C$2:$C6,"PLH"))-1,96)/12))&amp;(MOD((COUNTIFS($B$2:$B6,"s",$C$2:$C6,"SER")+COUNTIFS($B$2:$B6,"s",$C$2:$C6,"PLH"))-1,12)+1),"N/A"),"")</f>
        <v/>
      </c>
      <c r="K6" s="6" t="str">
        <f>IF(AND($A6&lt;&gt;"",$B6&lt;&gt;"",$C6&lt;&gt;"",$D6&lt;&gt;"",$E6&lt;&gt;""),IF($C6="WB","Case WB Box "&amp;(INT((COUNTIFS($C$2:$C6,"WB")-1)/81)+1)&amp;": "&amp;CHAR(65+INT(MOD(COUNTIFS($C$2:$C6,"WB")-1,81)/9))&amp;(MOD(COUNTIFS($C$2:$C6,"WB")-1,9)+1),"N/A"),"")</f>
        <v/>
      </c>
      <c r="L6" s="2" t="str">
        <f t="shared" si="1"/>
        <v/>
      </c>
      <c r="M6" s="2"/>
      <c r="N6" s="2"/>
      <c r="O6" s="2"/>
      <c r="P6" s="7" t="str">
        <f t="shared" si="2"/>
        <v/>
      </c>
      <c r="Q6" s="7" t="str">
        <f t="shared" si="3"/>
        <v/>
      </c>
      <c r="R6" s="7" t="str">
        <f t="shared" si="4"/>
        <v/>
      </c>
      <c r="S6" s="7" t="str">
        <f t="shared" si="5"/>
        <v/>
      </c>
      <c r="T6" s="7" t="str">
        <f t="shared" si="6"/>
        <v/>
      </c>
      <c r="U6" s="7" t="str">
        <f t="shared" si="7"/>
        <v/>
      </c>
      <c r="V6" s="7" t="str">
        <f t="shared" si="8"/>
        <v/>
      </c>
      <c r="W6" s="7" t="str">
        <f t="shared" si="9"/>
        <v/>
      </c>
      <c r="X6" s="7" t="str">
        <f t="shared" si="10"/>
        <v/>
      </c>
      <c r="Y6" s="7" t="str">
        <f t="shared" si="11"/>
        <v/>
      </c>
      <c r="Z6">
        <f t="shared" si="12"/>
        <v>0</v>
      </c>
      <c r="AA6" t="str">
        <f t="shared" si="13"/>
        <v/>
      </c>
      <c r="AB6" t="str">
        <f t="shared" si="14"/>
        <v/>
      </c>
      <c r="AC6" t="str">
        <f t="shared" si="15"/>
        <v/>
      </c>
      <c r="AD6" t="str">
        <f t="shared" si="16"/>
        <v/>
      </c>
      <c r="AE6">
        <f t="shared" si="17"/>
        <v>0</v>
      </c>
    </row>
    <row r="7" spans="1:31" ht="15" customHeight="1" x14ac:dyDescent="0.35">
      <c r="A7" s="2"/>
      <c r="B7" s="3"/>
      <c r="C7" s="3"/>
      <c r="D7" s="4"/>
      <c r="E7" s="5"/>
      <c r="F7" s="11" t="str">
        <f t="shared" ca="1" si="0"/>
        <v/>
      </c>
      <c r="G7" s="5"/>
      <c r="H7" s="6" t="str">
        <f>IF(AND($A7&lt;&gt;"",$B7&lt;&gt;"",$C7&lt;&gt;"",$D7&lt;&gt;"",$E7&lt;&gt;""),IF(AND($B7="s",OR($C7="SER",$C7="PLH",$C7="CSF")),"Case CDI Plate "&amp;(INT(((COUNTIFS($B$2:$B7,"s",$C$2:$C7,"SER")+COUNTIFS($B$2:$B7,"s",$C$2:$C7,"PLH")+COUNTIFS($B$2:$B7,"s",$C$2:$C7,"CSF"))-1)/96)+1)&amp;": "&amp;CHAR(65+INT(MOD((COUNTIFS($B$2:$B7,"s",$C$2:$C7,"SER")+COUNTIFS($B$2:$B7,"s",$C$2:$C7,"PLH")+COUNTIFS($B$2:$B7,"s",$C$2:$C7,"CSF"))-1,96)/12))&amp;(MOD((COUNTIFS($B$2:$B7,"s",$C$2:$C7,"SER")+COUNTIFS($B$2:$B7,"s",$C$2:$C7,"PLH")+COUNTIFS($B$2:$B7,"s",$C$2:$C7,"CSF"))-1,12)+1),"N/A"),"")</f>
        <v/>
      </c>
      <c r="I7" s="6" t="str">
        <f>IF(AND($A7&lt;&gt;"",$B7&lt;&gt;"",$C7&lt;&gt;"",$D7&lt;&gt;"",$E7&lt;&gt;""),IF(AND($B7="s",OR($C7="SER",$C7="PLH",$C7="CSF")),"Case NIH Plate "&amp;(INT(((COUNTIFS($B$2:$B7,"s",$C$2:$C7,"SER")+COUNTIFS($B$2:$B7,"s",$C$2:$C7,"PLH")+COUNTIFS($B$2:$B7,"s",$C$2:$C7,"CSF"))-1)/96)+1)&amp;": "&amp;CHAR(65+INT(MOD((COUNTIFS($B$2:$B7,"s",$C$2:$C7,"SER")+COUNTIFS($B$2:$B7,"s",$C$2:$C7,"PLH")+COUNTIFS($B$2:$B7,"s",$C$2:$C7,"CSF"))-1,96)/12))&amp;(MOD((COUNTIFS($B$2:$B7,"s",$C$2:$C7,"SER")+COUNTIFS($B$2:$B7,"s",$C$2:$C7,"PLH")+COUNTIFS($B$2:$B7,"s",$C$2:$C7,"CSF"))-1,12)+1),"N/A"),"")</f>
        <v/>
      </c>
      <c r="J7" s="6" t="str">
        <f>IF(AND($A7&lt;&gt;"",$B7&lt;&gt;"",$C7&lt;&gt;"",$D7&lt;&gt;"",$E7&lt;&gt;""),IF(AND($B7="s",OR($C7="SER",$C7="PLH")),"Case MAX Planck Plate "&amp;(INT(((COUNTIFS($B$2:$B7,"s",$C$2:$C7,"SER")+COUNTIFS($B$2:$B7,"s",$C$2:$C7,"PLH"))-1)/96)+1)&amp;": "&amp;CHAR(65+INT(MOD((COUNTIFS($B$2:$B7,"s",$C$2:$C7,"SER")+COUNTIFS($B$2:$B7,"s",$C$2:$C7,"PLH"))-1,96)/12))&amp;(MOD((COUNTIFS($B$2:$B7,"s",$C$2:$C7,"SER")+COUNTIFS($B$2:$B7,"s",$C$2:$C7,"PLH"))-1,12)+1),"N/A"),"")</f>
        <v/>
      </c>
      <c r="K7" s="6" t="str">
        <f>IF(AND($A7&lt;&gt;"",$B7&lt;&gt;"",$C7&lt;&gt;"",$D7&lt;&gt;"",$E7&lt;&gt;""),IF($C7="WB","Case WB Box "&amp;(INT((COUNTIFS($C$2:$C7,"WB")-1)/81)+1)&amp;": "&amp;CHAR(65+INT(MOD(COUNTIFS($C$2:$C7,"WB")-1,81)/9))&amp;(MOD(COUNTIFS($C$2:$C7,"WB")-1,9)+1),"N/A"),"")</f>
        <v/>
      </c>
      <c r="L7" s="2" t="str">
        <f t="shared" si="1"/>
        <v/>
      </c>
      <c r="M7" s="2"/>
      <c r="N7" s="2"/>
      <c r="O7" s="2"/>
      <c r="P7" s="7" t="str">
        <f t="shared" si="2"/>
        <v/>
      </c>
      <c r="Q7" s="7" t="str">
        <f t="shared" si="3"/>
        <v/>
      </c>
      <c r="R7" s="7" t="str">
        <f t="shared" si="4"/>
        <v/>
      </c>
      <c r="S7" s="7" t="str">
        <f t="shared" si="5"/>
        <v/>
      </c>
      <c r="T7" s="7" t="str">
        <f t="shared" si="6"/>
        <v/>
      </c>
      <c r="U7" s="7" t="str">
        <f t="shared" si="7"/>
        <v/>
      </c>
      <c r="V7" s="7" t="str">
        <f t="shared" si="8"/>
        <v/>
      </c>
      <c r="W7" s="7" t="str">
        <f t="shared" si="9"/>
        <v/>
      </c>
      <c r="X7" s="7" t="str">
        <f t="shared" si="10"/>
        <v/>
      </c>
      <c r="Y7" s="7" t="str">
        <f t="shared" si="11"/>
        <v/>
      </c>
      <c r="Z7">
        <f t="shared" si="12"/>
        <v>0</v>
      </c>
      <c r="AA7" t="str">
        <f t="shared" si="13"/>
        <v/>
      </c>
      <c r="AB7" t="str">
        <f t="shared" si="14"/>
        <v/>
      </c>
      <c r="AC7" t="str">
        <f t="shared" si="15"/>
        <v/>
      </c>
      <c r="AD7" t="str">
        <f t="shared" si="16"/>
        <v/>
      </c>
      <c r="AE7">
        <f t="shared" si="17"/>
        <v>0</v>
      </c>
    </row>
    <row r="8" spans="1:31" ht="15" customHeight="1" x14ac:dyDescent="0.35">
      <c r="A8" s="2"/>
      <c r="B8" s="3"/>
      <c r="C8" s="3"/>
      <c r="D8" s="4"/>
      <c r="E8" s="5"/>
      <c r="F8" s="11" t="str">
        <f t="shared" ca="1" si="0"/>
        <v/>
      </c>
      <c r="G8" s="5"/>
      <c r="H8" s="6" t="str">
        <f>IF(AND($A8&lt;&gt;"",$B8&lt;&gt;"",$C8&lt;&gt;"",$D8&lt;&gt;"",$E8&lt;&gt;""),IF(AND($B8="s",OR($C8="SER",$C8="PLH",$C8="CSF")),"Case CDI Plate "&amp;(INT(((COUNTIFS($B$2:$B8,"s",$C$2:$C8,"SER")+COUNTIFS($B$2:$B8,"s",$C$2:$C8,"PLH")+COUNTIFS($B$2:$B8,"s",$C$2:$C8,"CSF"))-1)/96)+1)&amp;": "&amp;CHAR(65+INT(MOD((COUNTIFS($B$2:$B8,"s",$C$2:$C8,"SER")+COUNTIFS($B$2:$B8,"s",$C$2:$C8,"PLH")+COUNTIFS($B$2:$B8,"s",$C$2:$C8,"CSF"))-1,96)/12))&amp;(MOD((COUNTIFS($B$2:$B8,"s",$C$2:$C8,"SER")+COUNTIFS($B$2:$B8,"s",$C$2:$C8,"PLH")+COUNTIFS($B$2:$B8,"s",$C$2:$C8,"CSF"))-1,12)+1),"N/A"),"")</f>
        <v/>
      </c>
      <c r="I8" s="6" t="str">
        <f>IF(AND($A8&lt;&gt;"",$B8&lt;&gt;"",$C8&lt;&gt;"",$D8&lt;&gt;"",$E8&lt;&gt;""),IF(AND($B8="s",OR($C8="SER",$C8="PLH",$C8="CSF")),"Case NIH Plate "&amp;(INT(((COUNTIFS($B$2:$B8,"s",$C$2:$C8,"SER")+COUNTIFS($B$2:$B8,"s",$C$2:$C8,"PLH")+COUNTIFS($B$2:$B8,"s",$C$2:$C8,"CSF"))-1)/96)+1)&amp;": "&amp;CHAR(65+INT(MOD((COUNTIFS($B$2:$B8,"s",$C$2:$C8,"SER")+COUNTIFS($B$2:$B8,"s",$C$2:$C8,"PLH")+COUNTIFS($B$2:$B8,"s",$C$2:$C8,"CSF"))-1,96)/12))&amp;(MOD((COUNTIFS($B$2:$B8,"s",$C$2:$C8,"SER")+COUNTIFS($B$2:$B8,"s",$C$2:$C8,"PLH")+COUNTIFS($B$2:$B8,"s",$C$2:$C8,"CSF"))-1,12)+1),"N/A"),"")</f>
        <v/>
      </c>
      <c r="J8" s="6" t="str">
        <f>IF(AND($A8&lt;&gt;"",$B8&lt;&gt;"",$C8&lt;&gt;"",$D8&lt;&gt;"",$E8&lt;&gt;""),IF(AND($B8="s",OR($C8="SER",$C8="PLH")),"Case MAX Planck Plate "&amp;(INT(((COUNTIFS($B$2:$B8,"s",$C$2:$C8,"SER")+COUNTIFS($B$2:$B8,"s",$C$2:$C8,"PLH"))-1)/96)+1)&amp;": "&amp;CHAR(65+INT(MOD((COUNTIFS($B$2:$B8,"s",$C$2:$C8,"SER")+COUNTIFS($B$2:$B8,"s",$C$2:$C8,"PLH"))-1,96)/12))&amp;(MOD((COUNTIFS($B$2:$B8,"s",$C$2:$C8,"SER")+COUNTIFS($B$2:$B8,"s",$C$2:$C8,"PLH"))-1,12)+1),"N/A"),"")</f>
        <v/>
      </c>
      <c r="K8" s="6" t="str">
        <f>IF(AND($A8&lt;&gt;"",$B8&lt;&gt;"",$C8&lt;&gt;"",$D8&lt;&gt;"",$E8&lt;&gt;""),IF($C8="WB","Case WB Box "&amp;(INT((COUNTIFS($C$2:$C8,"WB")-1)/81)+1)&amp;": "&amp;CHAR(65+INT(MOD(COUNTIFS($C$2:$C8,"WB")-1,81)/9))&amp;(MOD(COUNTIFS($C$2:$C8,"WB")-1,9)+1),"N/A"),"")</f>
        <v/>
      </c>
      <c r="L8" s="2" t="str">
        <f>IF(AND($A8&lt;&gt;"",$B8&lt;&gt;"",$C8&lt;&gt;"",$D8&lt;&gt;"",$E8&lt;&gt;""),IF($C8="WB","No",IF($B8="i","Yes","")),"")</f>
        <v/>
      </c>
      <c r="M8" s="2"/>
      <c r="N8" s="2"/>
      <c r="O8" s="2"/>
      <c r="P8" s="7" t="str">
        <f t="shared" si="2"/>
        <v/>
      </c>
      <c r="Q8" s="7" t="str">
        <f t="shared" si="3"/>
        <v/>
      </c>
      <c r="R8" s="7" t="str">
        <f t="shared" si="4"/>
        <v/>
      </c>
      <c r="S8" s="7" t="str">
        <f t="shared" si="5"/>
        <v/>
      </c>
      <c r="T8" s="7" t="str">
        <f t="shared" si="6"/>
        <v/>
      </c>
      <c r="U8" s="7" t="str">
        <f t="shared" si="7"/>
        <v/>
      </c>
      <c r="V8" s="7" t="str">
        <f t="shared" si="8"/>
        <v/>
      </c>
      <c r="W8" s="7" t="str">
        <f t="shared" si="9"/>
        <v/>
      </c>
      <c r="X8" s="7" t="str">
        <f t="shared" si="10"/>
        <v/>
      </c>
      <c r="Y8" s="7" t="str">
        <f t="shared" si="11"/>
        <v/>
      </c>
      <c r="Z8">
        <f t="shared" si="12"/>
        <v>0</v>
      </c>
      <c r="AA8" t="str">
        <f t="shared" si="13"/>
        <v/>
      </c>
      <c r="AB8" t="str">
        <f t="shared" si="14"/>
        <v/>
      </c>
      <c r="AC8" t="str">
        <f t="shared" si="15"/>
        <v/>
      </c>
      <c r="AD8" t="str">
        <f t="shared" si="16"/>
        <v/>
      </c>
      <c r="AE8">
        <f t="shared" si="17"/>
        <v>0</v>
      </c>
    </row>
    <row r="9" spans="1:31" ht="15" customHeight="1" x14ac:dyDescent="0.35">
      <c r="A9" s="2"/>
      <c r="B9" s="3"/>
      <c r="C9" s="3"/>
      <c r="D9" s="4"/>
      <c r="E9" s="5"/>
      <c r="F9" s="11" t="str">
        <f t="shared" ca="1" si="0"/>
        <v/>
      </c>
      <c r="G9" s="5"/>
      <c r="H9" s="6" t="str">
        <f>IF(AND($A9&lt;&gt;"",$B9&lt;&gt;"",$C9&lt;&gt;"",$D9&lt;&gt;"",$E9&lt;&gt;""),IF(AND($B9="s",OR($C9="SER",$C9="PLH",$C9="CSF")),"Case CDI Plate "&amp;(INT(((COUNTIFS($B$2:$B9,"s",$C$2:$C9,"SER")+COUNTIFS($B$2:$B9,"s",$C$2:$C9,"PLH")+COUNTIFS($B$2:$B9,"s",$C$2:$C9,"CSF"))-1)/96)+1)&amp;": "&amp;CHAR(65+INT(MOD((COUNTIFS($B$2:$B9,"s",$C$2:$C9,"SER")+COUNTIFS($B$2:$B9,"s",$C$2:$C9,"PLH")+COUNTIFS($B$2:$B9,"s",$C$2:$C9,"CSF"))-1,96)/12))&amp;(MOD((COUNTIFS($B$2:$B9,"s",$C$2:$C9,"SER")+COUNTIFS($B$2:$B9,"s",$C$2:$C9,"PLH")+COUNTIFS($B$2:$B9,"s",$C$2:$C9,"CSF"))-1,12)+1),"N/A"),"")</f>
        <v/>
      </c>
      <c r="I9" s="6" t="str">
        <f>IF(AND($A9&lt;&gt;"",$B9&lt;&gt;"",$C9&lt;&gt;"",$D9&lt;&gt;"",$E9&lt;&gt;""),IF(AND($B9="s",OR($C9="SER",$C9="PLH",$C9="CSF")),"Case NIH Plate "&amp;(INT(((COUNTIFS($B$2:$B9,"s",$C$2:$C9,"SER")+COUNTIFS($B$2:$B9,"s",$C$2:$C9,"PLH")+COUNTIFS($B$2:$B9,"s",$C$2:$C9,"CSF"))-1)/96)+1)&amp;": "&amp;CHAR(65+INT(MOD((COUNTIFS($B$2:$B9,"s",$C$2:$C9,"SER")+COUNTIFS($B$2:$B9,"s",$C$2:$C9,"PLH")+COUNTIFS($B$2:$B9,"s",$C$2:$C9,"CSF"))-1,96)/12))&amp;(MOD((COUNTIFS($B$2:$B9,"s",$C$2:$C9,"SER")+COUNTIFS($B$2:$B9,"s",$C$2:$C9,"PLH")+COUNTIFS($B$2:$B9,"s",$C$2:$C9,"CSF"))-1,12)+1),"N/A"),"")</f>
        <v/>
      </c>
      <c r="J9" s="6" t="str">
        <f>IF(AND($A9&lt;&gt;"",$B9&lt;&gt;"",$C9&lt;&gt;"",$D9&lt;&gt;"",$E9&lt;&gt;""),IF(AND($B9="s",OR($C9="SER",$C9="PLH")),"Case MAX Planck Plate "&amp;(INT(((COUNTIFS($B$2:$B9,"s",$C$2:$C9,"SER")+COUNTIFS($B$2:$B9,"s",$C$2:$C9,"PLH"))-1)/96)+1)&amp;": "&amp;CHAR(65+INT(MOD((COUNTIFS($B$2:$B9,"s",$C$2:$C9,"SER")+COUNTIFS($B$2:$B9,"s",$C$2:$C9,"PLH"))-1,96)/12))&amp;(MOD((COUNTIFS($B$2:$B9,"s",$C$2:$C9,"SER")+COUNTIFS($B$2:$B9,"s",$C$2:$C9,"PLH"))-1,12)+1),"N/A"),"")</f>
        <v/>
      </c>
      <c r="K9" s="6" t="str">
        <f>IF(AND($A9&lt;&gt;"",$B9&lt;&gt;"",$C9&lt;&gt;"",$D9&lt;&gt;"",$E9&lt;&gt;""),IF($C9="WB","Case WB Box "&amp;(INT((COUNTIFS($C$2:$C9,"WB")-1)/81)+1)&amp;": "&amp;CHAR(65+INT(MOD(COUNTIFS($C$2:$C9,"WB")-1,81)/9))&amp;(MOD(COUNTIFS($C$2:$C9,"WB")-1,9)+1),"N/A"),"")</f>
        <v/>
      </c>
      <c r="L9" s="2" t="str">
        <f t="shared" si="1"/>
        <v/>
      </c>
      <c r="M9" s="2"/>
      <c r="N9" s="2"/>
      <c r="O9" s="2"/>
      <c r="P9" s="7" t="str">
        <f t="shared" si="2"/>
        <v/>
      </c>
      <c r="Q9" s="7" t="str">
        <f t="shared" si="3"/>
        <v/>
      </c>
      <c r="R9" s="7" t="str">
        <f t="shared" si="4"/>
        <v/>
      </c>
      <c r="S9" s="7" t="str">
        <f t="shared" si="5"/>
        <v/>
      </c>
      <c r="T9" s="7" t="str">
        <f t="shared" si="6"/>
        <v/>
      </c>
      <c r="U9" s="7" t="str">
        <f t="shared" si="7"/>
        <v/>
      </c>
      <c r="V9" s="7" t="str">
        <f t="shared" si="8"/>
        <v/>
      </c>
      <c r="W9" s="7" t="str">
        <f t="shared" si="9"/>
        <v/>
      </c>
      <c r="X9" s="7" t="str">
        <f t="shared" si="10"/>
        <v/>
      </c>
      <c r="Y9" s="7" t="str">
        <f t="shared" si="11"/>
        <v/>
      </c>
      <c r="Z9">
        <f t="shared" si="12"/>
        <v>0</v>
      </c>
      <c r="AA9" t="str">
        <f t="shared" si="13"/>
        <v/>
      </c>
      <c r="AB9" t="str">
        <f t="shared" si="14"/>
        <v/>
      </c>
      <c r="AC9" t="str">
        <f t="shared" si="15"/>
        <v/>
      </c>
      <c r="AD9" t="str">
        <f t="shared" si="16"/>
        <v/>
      </c>
      <c r="AE9">
        <f t="shared" si="17"/>
        <v>0</v>
      </c>
    </row>
    <row r="10" spans="1:31" ht="15" customHeight="1" x14ac:dyDescent="0.35">
      <c r="A10" s="2"/>
      <c r="B10" s="3"/>
      <c r="C10" s="3"/>
      <c r="D10" s="4"/>
      <c r="E10" s="5"/>
      <c r="F10" s="11" t="str">
        <f t="shared" ca="1" si="0"/>
        <v/>
      </c>
      <c r="G10" s="5"/>
      <c r="H10" s="6" t="str">
        <f>IF(AND($A10&lt;&gt;"",$B10&lt;&gt;"",$C10&lt;&gt;"",$D10&lt;&gt;"",$E10&lt;&gt;""),IF(AND($B10="s",OR($C10="SER",$C10="PLH",$C10="CSF")),"Case CDI Plate "&amp;(INT(((COUNTIFS($B$2:$B10,"s",$C$2:$C10,"SER")+COUNTIFS($B$2:$B10,"s",$C$2:$C10,"PLH")+COUNTIFS($B$2:$B10,"s",$C$2:$C10,"CSF"))-1)/96)+1)&amp;": "&amp;CHAR(65+INT(MOD((COUNTIFS($B$2:$B10,"s",$C$2:$C10,"SER")+COUNTIFS($B$2:$B10,"s",$C$2:$C10,"PLH")+COUNTIFS($B$2:$B10,"s",$C$2:$C10,"CSF"))-1,96)/12))&amp;(MOD((COUNTIFS($B$2:$B10,"s",$C$2:$C10,"SER")+COUNTIFS($B$2:$B10,"s",$C$2:$C10,"PLH")+COUNTIFS($B$2:$B10,"s",$C$2:$C10,"CSF"))-1,12)+1),"N/A"),"")</f>
        <v/>
      </c>
      <c r="I10" s="6" t="str">
        <f>IF(AND($A10&lt;&gt;"",$B10&lt;&gt;"",$C10&lt;&gt;"",$D10&lt;&gt;"",$E10&lt;&gt;""),IF(AND($B10="s",OR($C10="SER",$C10="PLH",$C10="CSF")),"Case NIH Plate "&amp;(INT(((COUNTIFS($B$2:$B10,"s",$C$2:$C10,"SER")+COUNTIFS($B$2:$B10,"s",$C$2:$C10,"PLH")+COUNTIFS($B$2:$B10,"s",$C$2:$C10,"CSF"))-1)/96)+1)&amp;": "&amp;CHAR(65+INT(MOD((COUNTIFS($B$2:$B10,"s",$C$2:$C10,"SER")+COUNTIFS($B$2:$B10,"s",$C$2:$C10,"PLH")+COUNTIFS($B$2:$B10,"s",$C$2:$C10,"CSF"))-1,96)/12))&amp;(MOD((COUNTIFS($B$2:$B10,"s",$C$2:$C10,"SER")+COUNTIFS($B$2:$B10,"s",$C$2:$C10,"PLH")+COUNTIFS($B$2:$B10,"s",$C$2:$C10,"CSF"))-1,12)+1),"N/A"),"")</f>
        <v/>
      </c>
      <c r="J10" s="6" t="str">
        <f>IF(AND($A10&lt;&gt;"",$B10&lt;&gt;"",$C10&lt;&gt;"",$D10&lt;&gt;"",$E10&lt;&gt;""),IF(AND($B10="s",OR($C10="SER",$C10="PLH")),"Case MAX Planck Plate "&amp;(INT(((COUNTIFS($B$2:$B10,"s",$C$2:$C10,"SER")+COUNTIFS($B$2:$B10,"s",$C$2:$C10,"PLH"))-1)/96)+1)&amp;": "&amp;CHAR(65+INT(MOD((COUNTIFS($B$2:$B10,"s",$C$2:$C10,"SER")+COUNTIFS($B$2:$B10,"s",$C$2:$C10,"PLH"))-1,96)/12))&amp;(MOD((COUNTIFS($B$2:$B10,"s",$C$2:$C10,"SER")+COUNTIFS($B$2:$B10,"s",$C$2:$C10,"PLH"))-1,12)+1),"N/A"),"")</f>
        <v/>
      </c>
      <c r="K10" s="6" t="str">
        <f>IF(AND($A10&lt;&gt;"",$B10&lt;&gt;"",$C10&lt;&gt;"",$D10&lt;&gt;"",$E10&lt;&gt;""),IF($C10="WB","Case WB Box "&amp;(INT((COUNTIFS($C$2:$C10,"WB")-1)/81)+1)&amp;": "&amp;CHAR(65+INT(MOD(COUNTIFS($C$2:$C10,"WB")-1,81)/9))&amp;(MOD(COUNTIFS($C$2:$C10,"WB")-1,9)+1),"N/A"),"")</f>
        <v/>
      </c>
      <c r="L10" s="2" t="str">
        <f t="shared" si="1"/>
        <v/>
      </c>
      <c r="M10" s="2"/>
      <c r="N10" s="2"/>
      <c r="O10" s="2"/>
      <c r="P10" s="7" t="str">
        <f t="shared" si="2"/>
        <v/>
      </c>
      <c r="Q10" s="7" t="str">
        <f t="shared" si="3"/>
        <v/>
      </c>
      <c r="R10" s="7" t="str">
        <f t="shared" si="4"/>
        <v/>
      </c>
      <c r="S10" s="7" t="str">
        <f t="shared" si="5"/>
        <v/>
      </c>
      <c r="T10" s="7" t="str">
        <f t="shared" si="6"/>
        <v/>
      </c>
      <c r="U10" s="7" t="str">
        <f t="shared" si="7"/>
        <v/>
      </c>
      <c r="V10" s="7" t="str">
        <f t="shared" si="8"/>
        <v/>
      </c>
      <c r="W10" s="7" t="str">
        <f t="shared" si="9"/>
        <v/>
      </c>
      <c r="X10" s="7" t="str">
        <f t="shared" si="10"/>
        <v/>
      </c>
      <c r="Y10" s="7" t="str">
        <f t="shared" si="11"/>
        <v/>
      </c>
      <c r="Z10">
        <f t="shared" si="12"/>
        <v>0</v>
      </c>
      <c r="AA10" t="str">
        <f t="shared" si="13"/>
        <v/>
      </c>
      <c r="AB10" t="str">
        <f t="shared" si="14"/>
        <v/>
      </c>
      <c r="AC10" t="str">
        <f t="shared" si="15"/>
        <v/>
      </c>
      <c r="AD10" t="str">
        <f t="shared" si="16"/>
        <v/>
      </c>
      <c r="AE10">
        <f t="shared" si="17"/>
        <v>0</v>
      </c>
    </row>
    <row r="11" spans="1:31" ht="15" customHeight="1" x14ac:dyDescent="0.35">
      <c r="A11" s="2"/>
      <c r="B11" s="3"/>
      <c r="C11" s="3"/>
      <c r="D11" s="4"/>
      <c r="E11" s="5"/>
      <c r="F11" s="11" t="str">
        <f t="shared" ca="1" si="0"/>
        <v/>
      </c>
      <c r="G11" s="5"/>
      <c r="H11" s="6" t="str">
        <f>IF(AND($A11&lt;&gt;"",$B11&lt;&gt;"",$C11&lt;&gt;"",$D11&lt;&gt;"",$E11&lt;&gt;""),IF(AND($B11="s",OR($C11="SER",$C11="PLH",$C11="CSF")),"Case CDI Plate "&amp;(INT(((COUNTIFS($B$2:$B11,"s",$C$2:$C11,"SER")+COUNTIFS($B$2:$B11,"s",$C$2:$C11,"PLH")+COUNTIFS($B$2:$B11,"s",$C$2:$C11,"CSF"))-1)/96)+1)&amp;": "&amp;CHAR(65+INT(MOD((COUNTIFS($B$2:$B11,"s",$C$2:$C11,"SER")+COUNTIFS($B$2:$B11,"s",$C$2:$C11,"PLH")+COUNTIFS($B$2:$B11,"s",$C$2:$C11,"CSF"))-1,96)/12))&amp;(MOD((COUNTIFS($B$2:$B11,"s",$C$2:$C11,"SER")+COUNTIFS($B$2:$B11,"s",$C$2:$C11,"PLH")+COUNTIFS($B$2:$B11,"s",$C$2:$C11,"CSF"))-1,12)+1),"N/A"),"")</f>
        <v/>
      </c>
      <c r="I11" s="6" t="str">
        <f>IF(AND($A11&lt;&gt;"",$B11&lt;&gt;"",$C11&lt;&gt;"",$D11&lt;&gt;"",$E11&lt;&gt;""),IF(AND($B11="s",OR($C11="SER",$C11="PLH",$C11="CSF")),"Case NIH Plate "&amp;(INT(((COUNTIFS($B$2:$B11,"s",$C$2:$C11,"SER")+COUNTIFS($B$2:$B11,"s",$C$2:$C11,"PLH")+COUNTIFS($B$2:$B11,"s",$C$2:$C11,"CSF"))-1)/96)+1)&amp;": "&amp;CHAR(65+INT(MOD((COUNTIFS($B$2:$B11,"s",$C$2:$C11,"SER")+COUNTIFS($B$2:$B11,"s",$C$2:$C11,"PLH")+COUNTIFS($B$2:$B11,"s",$C$2:$C11,"CSF"))-1,96)/12))&amp;(MOD((COUNTIFS($B$2:$B11,"s",$C$2:$C11,"SER")+COUNTIFS($B$2:$B11,"s",$C$2:$C11,"PLH")+COUNTIFS($B$2:$B11,"s",$C$2:$C11,"CSF"))-1,12)+1),"N/A"),"")</f>
        <v/>
      </c>
      <c r="J11" s="6" t="str">
        <f>IF(AND($A11&lt;&gt;"",$B11&lt;&gt;"",$C11&lt;&gt;"",$D11&lt;&gt;"",$E11&lt;&gt;""),IF(AND($B11="s",OR($C11="SER",$C11="PLH")),"Case MAX Planck Plate "&amp;(INT(((COUNTIFS($B$2:$B11,"s",$C$2:$C11,"SER")+COUNTIFS($B$2:$B11,"s",$C$2:$C11,"PLH"))-1)/96)+1)&amp;": "&amp;CHAR(65+INT(MOD((COUNTIFS($B$2:$B11,"s",$C$2:$C11,"SER")+COUNTIFS($B$2:$B11,"s",$C$2:$C11,"PLH"))-1,96)/12))&amp;(MOD((COUNTIFS($B$2:$B11,"s",$C$2:$C11,"SER")+COUNTIFS($B$2:$B11,"s",$C$2:$C11,"PLH"))-1,12)+1),"N/A"),"")</f>
        <v/>
      </c>
      <c r="K11" s="6" t="str">
        <f>IF(AND($A11&lt;&gt;"",$B11&lt;&gt;"",$C11&lt;&gt;"",$D11&lt;&gt;"",$E11&lt;&gt;""),IF($C11="WB","Case WB Box "&amp;(INT((COUNTIFS($C$2:$C11,"WB")-1)/81)+1)&amp;": "&amp;CHAR(65+INT(MOD(COUNTIFS($C$2:$C11,"WB")-1,81)/9))&amp;(MOD(COUNTIFS($C$2:$C11,"WB")-1,9)+1),"N/A"),"")</f>
        <v/>
      </c>
      <c r="L11" s="2" t="str">
        <f t="shared" si="1"/>
        <v/>
      </c>
      <c r="M11" s="2"/>
      <c r="N11" s="2"/>
      <c r="O11" s="2"/>
      <c r="P11" s="7" t="str">
        <f t="shared" si="2"/>
        <v/>
      </c>
      <c r="Q11" s="7" t="str">
        <f t="shared" si="3"/>
        <v/>
      </c>
      <c r="R11" s="7" t="str">
        <f t="shared" si="4"/>
        <v/>
      </c>
      <c r="S11" s="7" t="str">
        <f t="shared" si="5"/>
        <v/>
      </c>
      <c r="T11" s="7" t="str">
        <f t="shared" si="6"/>
        <v/>
      </c>
      <c r="U11" s="7" t="str">
        <f t="shared" si="7"/>
        <v/>
      </c>
      <c r="V11" s="7" t="str">
        <f t="shared" si="8"/>
        <v/>
      </c>
      <c r="W11" s="7" t="str">
        <f t="shared" si="9"/>
        <v/>
      </c>
      <c r="X11" s="7" t="str">
        <f t="shared" si="10"/>
        <v/>
      </c>
      <c r="Y11" s="7" t="str">
        <f t="shared" si="11"/>
        <v/>
      </c>
      <c r="Z11">
        <f t="shared" si="12"/>
        <v>0</v>
      </c>
      <c r="AA11" t="str">
        <f t="shared" si="13"/>
        <v/>
      </c>
      <c r="AB11" t="str">
        <f t="shared" si="14"/>
        <v/>
      </c>
      <c r="AC11" t="str">
        <f t="shared" si="15"/>
        <v/>
      </c>
      <c r="AD11" t="str">
        <f t="shared" si="16"/>
        <v/>
      </c>
      <c r="AE11">
        <f t="shared" si="17"/>
        <v>0</v>
      </c>
    </row>
    <row r="12" spans="1:31" ht="15" customHeight="1" x14ac:dyDescent="0.35">
      <c r="A12" s="2"/>
      <c r="B12" s="3"/>
      <c r="C12" s="3"/>
      <c r="D12" s="4"/>
      <c r="E12" s="5"/>
      <c r="F12" s="11" t="str">
        <f t="shared" ca="1" si="0"/>
        <v/>
      </c>
      <c r="G12" s="5"/>
      <c r="H12" s="6" t="str">
        <f>IF(AND($A12&lt;&gt;"",$B12&lt;&gt;"",$C12&lt;&gt;"",$D12&lt;&gt;"",$E12&lt;&gt;""),IF(AND($B12="s",OR($C12="SER",$C12="PLH",$C12="CSF")),"Case CDI Plate "&amp;(INT(((COUNTIFS($B$2:$B12,"s",$C$2:$C12,"SER")+COUNTIFS($B$2:$B12,"s",$C$2:$C12,"PLH")+COUNTIFS($B$2:$B12,"s",$C$2:$C12,"CSF"))-1)/96)+1)&amp;": "&amp;CHAR(65+INT(MOD((COUNTIFS($B$2:$B12,"s",$C$2:$C12,"SER")+COUNTIFS($B$2:$B12,"s",$C$2:$C12,"PLH")+COUNTIFS($B$2:$B12,"s",$C$2:$C12,"CSF"))-1,96)/12))&amp;(MOD((COUNTIFS($B$2:$B12,"s",$C$2:$C12,"SER")+COUNTIFS($B$2:$B12,"s",$C$2:$C12,"PLH")+COUNTIFS($B$2:$B12,"s",$C$2:$C12,"CSF"))-1,12)+1),"N/A"),"")</f>
        <v/>
      </c>
      <c r="I12" s="6" t="str">
        <f>IF(AND($A12&lt;&gt;"",$B12&lt;&gt;"",$C12&lt;&gt;"",$D12&lt;&gt;"",$E12&lt;&gt;""),IF(AND($B12="s",OR($C12="SER",$C12="PLH",$C12="CSF")),"Case NIH Plate "&amp;(INT(((COUNTIFS($B$2:$B12,"s",$C$2:$C12,"SER")+COUNTIFS($B$2:$B12,"s",$C$2:$C12,"PLH")+COUNTIFS($B$2:$B12,"s",$C$2:$C12,"CSF"))-1)/96)+1)&amp;": "&amp;CHAR(65+INT(MOD((COUNTIFS($B$2:$B12,"s",$C$2:$C12,"SER")+COUNTIFS($B$2:$B12,"s",$C$2:$C12,"PLH")+COUNTIFS($B$2:$B12,"s",$C$2:$C12,"CSF"))-1,96)/12))&amp;(MOD((COUNTIFS($B$2:$B12,"s",$C$2:$C12,"SER")+COUNTIFS($B$2:$B12,"s",$C$2:$C12,"PLH")+COUNTIFS($B$2:$B12,"s",$C$2:$C12,"CSF"))-1,12)+1),"N/A"),"")</f>
        <v/>
      </c>
      <c r="J12" s="6" t="str">
        <f>IF(AND($A12&lt;&gt;"",$B12&lt;&gt;"",$C12&lt;&gt;"",$D12&lt;&gt;"",$E12&lt;&gt;""),IF(AND($B12="s",OR($C12="SER",$C12="PLH")),"Case MAX Planck Plate "&amp;(INT(((COUNTIFS($B$2:$B12,"s",$C$2:$C12,"SER")+COUNTIFS($B$2:$B12,"s",$C$2:$C12,"PLH"))-1)/96)+1)&amp;": "&amp;CHAR(65+INT(MOD((COUNTIFS($B$2:$B12,"s",$C$2:$C12,"SER")+COUNTIFS($B$2:$B12,"s",$C$2:$C12,"PLH"))-1,96)/12))&amp;(MOD((COUNTIFS($B$2:$B12,"s",$C$2:$C12,"SER")+COUNTIFS($B$2:$B12,"s",$C$2:$C12,"PLH"))-1,12)+1),"N/A"),"")</f>
        <v/>
      </c>
      <c r="K12" s="6" t="str">
        <f>IF(AND($A12&lt;&gt;"",$B12&lt;&gt;"",$C12&lt;&gt;"",$D12&lt;&gt;"",$E12&lt;&gt;""),IF($C12="WB","Case WB Box "&amp;(INT((COUNTIFS($C$2:$C12,"WB")-1)/81)+1)&amp;": "&amp;CHAR(65+INT(MOD(COUNTIFS($C$2:$C12,"WB")-1,81)/9))&amp;(MOD(COUNTIFS($C$2:$C12,"WB")-1,9)+1),"N/A"),"")</f>
        <v/>
      </c>
      <c r="L12" s="2" t="str">
        <f t="shared" si="1"/>
        <v/>
      </c>
      <c r="M12" s="2"/>
      <c r="N12" s="2"/>
      <c r="O12" s="2"/>
      <c r="P12" s="7" t="str">
        <f t="shared" si="2"/>
        <v/>
      </c>
      <c r="Q12" s="7" t="str">
        <f t="shared" si="3"/>
        <v/>
      </c>
      <c r="R12" s="7" t="str">
        <f t="shared" si="4"/>
        <v/>
      </c>
      <c r="S12" s="7" t="str">
        <f t="shared" si="5"/>
        <v/>
      </c>
      <c r="T12" s="7" t="str">
        <f t="shared" si="6"/>
        <v/>
      </c>
      <c r="U12" s="7" t="str">
        <f t="shared" si="7"/>
        <v/>
      </c>
      <c r="V12" s="7" t="str">
        <f t="shared" si="8"/>
        <v/>
      </c>
      <c r="W12" s="7" t="str">
        <f t="shared" si="9"/>
        <v/>
      </c>
      <c r="X12" s="7" t="str">
        <f t="shared" si="10"/>
        <v/>
      </c>
      <c r="Y12" s="7" t="str">
        <f t="shared" si="11"/>
        <v/>
      </c>
      <c r="Z12">
        <f t="shared" si="12"/>
        <v>0</v>
      </c>
      <c r="AA12" t="str">
        <f t="shared" si="13"/>
        <v/>
      </c>
      <c r="AB12" t="str">
        <f t="shared" si="14"/>
        <v/>
      </c>
      <c r="AC12" t="str">
        <f t="shared" si="15"/>
        <v/>
      </c>
      <c r="AD12" t="str">
        <f t="shared" si="16"/>
        <v/>
      </c>
      <c r="AE12">
        <f t="shared" si="17"/>
        <v>0</v>
      </c>
    </row>
    <row r="13" spans="1:31" ht="15" customHeight="1" x14ac:dyDescent="0.35">
      <c r="A13" s="2"/>
      <c r="B13" s="3"/>
      <c r="C13" s="3"/>
      <c r="D13" s="4"/>
      <c r="E13" s="5"/>
      <c r="F13" s="11" t="str">
        <f t="shared" ca="1" si="0"/>
        <v/>
      </c>
      <c r="G13" s="5"/>
      <c r="H13" s="6" t="str">
        <f>IF(AND($A13&lt;&gt;"",$B13&lt;&gt;"",$C13&lt;&gt;"",$D13&lt;&gt;"",$E13&lt;&gt;""),IF(AND($B13="s",OR($C13="SER",$C13="PLH",$C13="CSF")),"Case CDI Plate "&amp;(INT(((COUNTIFS($B$2:$B13,"s",$C$2:$C13,"SER")+COUNTIFS($B$2:$B13,"s",$C$2:$C13,"PLH")+COUNTIFS($B$2:$B13,"s",$C$2:$C13,"CSF"))-1)/96)+1)&amp;": "&amp;CHAR(65+INT(MOD((COUNTIFS($B$2:$B13,"s",$C$2:$C13,"SER")+COUNTIFS($B$2:$B13,"s",$C$2:$C13,"PLH")+COUNTIFS($B$2:$B13,"s",$C$2:$C13,"CSF"))-1,96)/12))&amp;(MOD((COUNTIFS($B$2:$B13,"s",$C$2:$C13,"SER")+COUNTIFS($B$2:$B13,"s",$C$2:$C13,"PLH")+COUNTIFS($B$2:$B13,"s",$C$2:$C13,"CSF"))-1,12)+1),"N/A"),"")</f>
        <v/>
      </c>
      <c r="I13" s="6" t="str">
        <f>IF(AND($A13&lt;&gt;"",$B13&lt;&gt;"",$C13&lt;&gt;"",$D13&lt;&gt;"",$E13&lt;&gt;""),IF(AND($B13="s",OR($C13="SER",$C13="PLH",$C13="CSF")),"Case NIH Plate "&amp;(INT(((COUNTIFS($B$2:$B13,"s",$C$2:$C13,"SER")+COUNTIFS($B$2:$B13,"s",$C$2:$C13,"PLH")+COUNTIFS($B$2:$B13,"s",$C$2:$C13,"CSF"))-1)/96)+1)&amp;": "&amp;CHAR(65+INT(MOD((COUNTIFS($B$2:$B13,"s",$C$2:$C13,"SER")+COUNTIFS($B$2:$B13,"s",$C$2:$C13,"PLH")+COUNTIFS($B$2:$B13,"s",$C$2:$C13,"CSF"))-1,96)/12))&amp;(MOD((COUNTIFS($B$2:$B13,"s",$C$2:$C13,"SER")+COUNTIFS($B$2:$B13,"s",$C$2:$C13,"PLH")+COUNTIFS($B$2:$B13,"s",$C$2:$C13,"CSF"))-1,12)+1),"N/A"),"")</f>
        <v/>
      </c>
      <c r="J13" s="6" t="str">
        <f>IF(AND($A13&lt;&gt;"",$B13&lt;&gt;"",$C13&lt;&gt;"",$D13&lt;&gt;"",$E13&lt;&gt;""),IF(AND($B13="s",OR($C13="SER",$C13="PLH")),"Case MAX Planck Plate "&amp;(INT(((COUNTIFS($B$2:$B13,"s",$C$2:$C13,"SER")+COUNTIFS($B$2:$B13,"s",$C$2:$C13,"PLH"))-1)/96)+1)&amp;": "&amp;CHAR(65+INT(MOD((COUNTIFS($B$2:$B13,"s",$C$2:$C13,"SER")+COUNTIFS($B$2:$B13,"s",$C$2:$C13,"PLH"))-1,96)/12))&amp;(MOD((COUNTIFS($B$2:$B13,"s",$C$2:$C13,"SER")+COUNTIFS($B$2:$B13,"s",$C$2:$C13,"PLH"))-1,12)+1),"N/A"),"")</f>
        <v/>
      </c>
      <c r="K13" s="6" t="str">
        <f>IF(AND($A13&lt;&gt;"",$B13&lt;&gt;"",$C13&lt;&gt;"",$D13&lt;&gt;"",$E13&lt;&gt;""),IF($C13="WB","Case WB Box "&amp;(INT((COUNTIFS($C$2:$C13,"WB")-1)/81)+1)&amp;": "&amp;CHAR(65+INT(MOD(COUNTIFS($C$2:$C13,"WB")-1,81)/9))&amp;(MOD(COUNTIFS($C$2:$C13,"WB")-1,9)+1),"N/A"),"")</f>
        <v/>
      </c>
      <c r="L13" s="2" t="str">
        <f t="shared" si="1"/>
        <v/>
      </c>
      <c r="M13" s="2"/>
      <c r="N13" s="2"/>
      <c r="O13" s="2"/>
      <c r="P13" s="7" t="str">
        <f t="shared" si="2"/>
        <v/>
      </c>
      <c r="Q13" s="7" t="str">
        <f t="shared" si="3"/>
        <v/>
      </c>
      <c r="R13" s="7" t="str">
        <f t="shared" si="4"/>
        <v/>
      </c>
      <c r="S13" s="7" t="str">
        <f t="shared" si="5"/>
        <v/>
      </c>
      <c r="T13" s="7" t="str">
        <f t="shared" si="6"/>
        <v/>
      </c>
      <c r="U13" s="7" t="str">
        <f t="shared" si="7"/>
        <v/>
      </c>
      <c r="V13" s="7" t="str">
        <f t="shared" si="8"/>
        <v/>
      </c>
      <c r="W13" s="7" t="str">
        <f t="shared" si="9"/>
        <v/>
      </c>
      <c r="X13" s="7" t="str">
        <f t="shared" si="10"/>
        <v/>
      </c>
      <c r="Y13" s="7" t="str">
        <f t="shared" si="11"/>
        <v/>
      </c>
      <c r="Z13">
        <f t="shared" si="12"/>
        <v>0</v>
      </c>
      <c r="AA13" t="str">
        <f t="shared" si="13"/>
        <v/>
      </c>
      <c r="AB13" t="str">
        <f t="shared" si="14"/>
        <v/>
      </c>
      <c r="AC13" t="str">
        <f t="shared" si="15"/>
        <v/>
      </c>
      <c r="AD13" t="str">
        <f t="shared" si="16"/>
        <v/>
      </c>
      <c r="AE13">
        <f t="shared" si="17"/>
        <v>0</v>
      </c>
    </row>
    <row r="14" spans="1:31" ht="15" customHeight="1" x14ac:dyDescent="0.35">
      <c r="A14" s="2"/>
      <c r="B14" s="3"/>
      <c r="C14" s="3"/>
      <c r="D14" s="4"/>
      <c r="E14" s="5"/>
      <c r="F14" s="11" t="str">
        <f t="shared" ca="1" si="0"/>
        <v/>
      </c>
      <c r="G14" s="5"/>
      <c r="H14" s="6" t="str">
        <f>IF(AND($A14&lt;&gt;"",$B14&lt;&gt;"",$C14&lt;&gt;"",$D14&lt;&gt;"",$E14&lt;&gt;""),IF(AND($B14="s",OR($C14="SER",$C14="PLH",$C14="CSF")),"Case CDI Plate "&amp;(INT(((COUNTIFS($B$2:$B14,"s",$C$2:$C14,"SER")+COUNTIFS($B$2:$B14,"s",$C$2:$C14,"PLH")+COUNTIFS($B$2:$B14,"s",$C$2:$C14,"CSF"))-1)/96)+1)&amp;": "&amp;CHAR(65+INT(MOD((COUNTIFS($B$2:$B14,"s",$C$2:$C14,"SER")+COUNTIFS($B$2:$B14,"s",$C$2:$C14,"PLH")+COUNTIFS($B$2:$B14,"s",$C$2:$C14,"CSF"))-1,96)/12))&amp;(MOD((COUNTIFS($B$2:$B14,"s",$C$2:$C14,"SER")+COUNTIFS($B$2:$B14,"s",$C$2:$C14,"PLH")+COUNTIFS($B$2:$B14,"s",$C$2:$C14,"CSF"))-1,12)+1),"N/A"),"")</f>
        <v/>
      </c>
      <c r="I14" s="6" t="str">
        <f>IF(AND($A14&lt;&gt;"",$B14&lt;&gt;"",$C14&lt;&gt;"",$D14&lt;&gt;"",$E14&lt;&gt;""),IF(AND($B14="s",OR($C14="SER",$C14="PLH",$C14="CSF")),"Case NIH Plate "&amp;(INT(((COUNTIFS($B$2:$B14,"s",$C$2:$C14,"SER")+COUNTIFS($B$2:$B14,"s",$C$2:$C14,"PLH")+COUNTIFS($B$2:$B14,"s",$C$2:$C14,"CSF"))-1)/96)+1)&amp;": "&amp;CHAR(65+INT(MOD((COUNTIFS($B$2:$B14,"s",$C$2:$C14,"SER")+COUNTIFS($B$2:$B14,"s",$C$2:$C14,"PLH")+COUNTIFS($B$2:$B14,"s",$C$2:$C14,"CSF"))-1,96)/12))&amp;(MOD((COUNTIFS($B$2:$B14,"s",$C$2:$C14,"SER")+COUNTIFS($B$2:$B14,"s",$C$2:$C14,"PLH")+COUNTIFS($B$2:$B14,"s",$C$2:$C14,"CSF"))-1,12)+1),"N/A"),"")</f>
        <v/>
      </c>
      <c r="J14" s="6" t="str">
        <f>IF(AND($A14&lt;&gt;"",$B14&lt;&gt;"",$C14&lt;&gt;"",$D14&lt;&gt;"",$E14&lt;&gt;""),IF(AND($B14="s",OR($C14="SER",$C14="PLH")),"Case MAX Planck Plate "&amp;(INT(((COUNTIFS($B$2:$B14,"s",$C$2:$C14,"SER")+COUNTIFS($B$2:$B14,"s",$C$2:$C14,"PLH"))-1)/96)+1)&amp;": "&amp;CHAR(65+INT(MOD((COUNTIFS($B$2:$B14,"s",$C$2:$C14,"SER")+COUNTIFS($B$2:$B14,"s",$C$2:$C14,"PLH"))-1,96)/12))&amp;(MOD((COUNTIFS($B$2:$B14,"s",$C$2:$C14,"SER")+COUNTIFS($B$2:$B14,"s",$C$2:$C14,"PLH"))-1,12)+1),"N/A"),"")</f>
        <v/>
      </c>
      <c r="K14" s="6" t="str">
        <f>IF(AND($A14&lt;&gt;"",$B14&lt;&gt;"",$C14&lt;&gt;"",$D14&lt;&gt;"",$E14&lt;&gt;""),IF($C14="WB","Case WB Box "&amp;(INT((COUNTIFS($C$2:$C14,"WB")-1)/81)+1)&amp;": "&amp;CHAR(65+INT(MOD(COUNTIFS($C$2:$C14,"WB")-1,81)/9))&amp;(MOD(COUNTIFS($C$2:$C14,"WB")-1,9)+1),"N/A"),"")</f>
        <v/>
      </c>
      <c r="L14" s="2" t="str">
        <f t="shared" si="1"/>
        <v/>
      </c>
      <c r="M14" s="2"/>
      <c r="N14" s="2"/>
      <c r="O14" s="2"/>
      <c r="P14" s="7" t="str">
        <f t="shared" si="2"/>
        <v/>
      </c>
      <c r="Q14" s="7" t="str">
        <f t="shared" si="3"/>
        <v/>
      </c>
      <c r="R14" s="7" t="str">
        <f t="shared" si="4"/>
        <v/>
      </c>
      <c r="S14" s="7" t="str">
        <f t="shared" si="5"/>
        <v/>
      </c>
      <c r="T14" s="7" t="str">
        <f t="shared" si="6"/>
        <v/>
      </c>
      <c r="U14" s="7" t="str">
        <f t="shared" si="7"/>
        <v/>
      </c>
      <c r="V14" s="7" t="str">
        <f t="shared" si="8"/>
        <v/>
      </c>
      <c r="W14" s="7" t="str">
        <f t="shared" si="9"/>
        <v/>
      </c>
      <c r="X14" s="7" t="str">
        <f t="shared" si="10"/>
        <v/>
      </c>
      <c r="Y14" s="7" t="str">
        <f t="shared" si="11"/>
        <v/>
      </c>
      <c r="Z14">
        <f t="shared" si="12"/>
        <v>0</v>
      </c>
      <c r="AA14" t="str">
        <f t="shared" si="13"/>
        <v/>
      </c>
      <c r="AB14" t="str">
        <f t="shared" si="14"/>
        <v/>
      </c>
      <c r="AC14" t="str">
        <f t="shared" si="15"/>
        <v/>
      </c>
      <c r="AD14" t="str">
        <f t="shared" si="16"/>
        <v/>
      </c>
      <c r="AE14">
        <f t="shared" si="17"/>
        <v>0</v>
      </c>
    </row>
    <row r="15" spans="1:31" ht="15" customHeight="1" x14ac:dyDescent="0.35">
      <c r="A15" s="2"/>
      <c r="B15" s="3"/>
      <c r="C15" s="3"/>
      <c r="D15" s="4"/>
      <c r="E15" s="5"/>
      <c r="F15" s="11" t="str">
        <f t="shared" ca="1" si="0"/>
        <v/>
      </c>
      <c r="G15" s="5"/>
      <c r="H15" s="6" t="str">
        <f>IF(AND($A15&lt;&gt;"",$B15&lt;&gt;"",$C15&lt;&gt;"",$D15&lt;&gt;"",$E15&lt;&gt;""),IF(AND($B15="s",OR($C15="SER",$C15="PLH",$C15="CSF")),"Case CDI Plate "&amp;(INT(((COUNTIFS($B$2:$B15,"s",$C$2:$C15,"SER")+COUNTIFS($B$2:$B15,"s",$C$2:$C15,"PLH")+COUNTIFS($B$2:$B15,"s",$C$2:$C15,"CSF"))-1)/96)+1)&amp;": "&amp;CHAR(65+INT(MOD((COUNTIFS($B$2:$B15,"s",$C$2:$C15,"SER")+COUNTIFS($B$2:$B15,"s",$C$2:$C15,"PLH")+COUNTIFS($B$2:$B15,"s",$C$2:$C15,"CSF"))-1,96)/12))&amp;(MOD((COUNTIFS($B$2:$B15,"s",$C$2:$C15,"SER")+COUNTIFS($B$2:$B15,"s",$C$2:$C15,"PLH")+COUNTIFS($B$2:$B15,"s",$C$2:$C15,"CSF"))-1,12)+1),"N/A"),"")</f>
        <v/>
      </c>
      <c r="I15" s="6" t="str">
        <f>IF(AND($A15&lt;&gt;"",$B15&lt;&gt;"",$C15&lt;&gt;"",$D15&lt;&gt;"",$E15&lt;&gt;""),IF(AND($B15="s",OR($C15="SER",$C15="PLH",$C15="CSF")),"Case NIH Plate "&amp;(INT(((COUNTIFS($B$2:$B15,"s",$C$2:$C15,"SER")+COUNTIFS($B$2:$B15,"s",$C$2:$C15,"PLH")+COUNTIFS($B$2:$B15,"s",$C$2:$C15,"CSF"))-1)/96)+1)&amp;": "&amp;CHAR(65+INT(MOD((COUNTIFS($B$2:$B15,"s",$C$2:$C15,"SER")+COUNTIFS($B$2:$B15,"s",$C$2:$C15,"PLH")+COUNTIFS($B$2:$B15,"s",$C$2:$C15,"CSF"))-1,96)/12))&amp;(MOD((COUNTIFS($B$2:$B15,"s",$C$2:$C15,"SER")+COUNTIFS($B$2:$B15,"s",$C$2:$C15,"PLH")+COUNTIFS($B$2:$B15,"s",$C$2:$C15,"CSF"))-1,12)+1),"N/A"),"")</f>
        <v/>
      </c>
      <c r="J15" s="6" t="str">
        <f>IF(AND($A15&lt;&gt;"",$B15&lt;&gt;"",$C15&lt;&gt;"",$D15&lt;&gt;"",$E15&lt;&gt;""),IF(AND($B15="s",OR($C15="SER",$C15="PLH")),"Case MAX Planck Plate "&amp;(INT(((COUNTIFS($B$2:$B15,"s",$C$2:$C15,"SER")+COUNTIFS($B$2:$B15,"s",$C$2:$C15,"PLH"))-1)/96)+1)&amp;": "&amp;CHAR(65+INT(MOD((COUNTIFS($B$2:$B15,"s",$C$2:$C15,"SER")+COUNTIFS($B$2:$B15,"s",$C$2:$C15,"PLH"))-1,96)/12))&amp;(MOD((COUNTIFS($B$2:$B15,"s",$C$2:$C15,"SER")+COUNTIFS($B$2:$B15,"s",$C$2:$C15,"PLH"))-1,12)+1),"N/A"),"")</f>
        <v/>
      </c>
      <c r="K15" s="6" t="str">
        <f>IF(AND($A15&lt;&gt;"",$B15&lt;&gt;"",$C15&lt;&gt;"",$D15&lt;&gt;"",$E15&lt;&gt;""),IF($C15="WB","Case WB Box "&amp;(INT((COUNTIFS($C$2:$C15,"WB")-1)/81)+1)&amp;": "&amp;CHAR(65+INT(MOD(COUNTIFS($C$2:$C15,"WB")-1,81)/9))&amp;(MOD(COUNTIFS($C$2:$C15,"WB")-1,9)+1),"N/A"),"")</f>
        <v/>
      </c>
      <c r="L15" s="2" t="str">
        <f t="shared" si="1"/>
        <v/>
      </c>
      <c r="M15" s="2"/>
      <c r="N15" s="2"/>
      <c r="O15" s="2"/>
      <c r="P15" s="7" t="str">
        <f t="shared" si="2"/>
        <v/>
      </c>
      <c r="Q15" s="7" t="str">
        <f t="shared" si="3"/>
        <v/>
      </c>
      <c r="R15" s="7" t="str">
        <f t="shared" si="4"/>
        <v/>
      </c>
      <c r="S15" s="7" t="str">
        <f t="shared" si="5"/>
        <v/>
      </c>
      <c r="T15" s="7" t="str">
        <f t="shared" si="6"/>
        <v/>
      </c>
      <c r="U15" s="7" t="str">
        <f t="shared" si="7"/>
        <v/>
      </c>
      <c r="V15" s="7" t="str">
        <f t="shared" si="8"/>
        <v/>
      </c>
      <c r="W15" s="7" t="str">
        <f t="shared" si="9"/>
        <v/>
      </c>
      <c r="X15" s="7" t="str">
        <f t="shared" si="10"/>
        <v/>
      </c>
      <c r="Y15" s="7" t="str">
        <f t="shared" si="11"/>
        <v/>
      </c>
      <c r="Z15">
        <f t="shared" si="12"/>
        <v>0</v>
      </c>
      <c r="AA15" t="str">
        <f t="shared" si="13"/>
        <v/>
      </c>
      <c r="AB15" t="str">
        <f t="shared" si="14"/>
        <v/>
      </c>
      <c r="AC15" t="str">
        <f t="shared" si="15"/>
        <v/>
      </c>
      <c r="AD15" t="str">
        <f t="shared" si="16"/>
        <v/>
      </c>
      <c r="AE15">
        <f t="shared" si="17"/>
        <v>0</v>
      </c>
    </row>
    <row r="16" spans="1:31" ht="15" customHeight="1" x14ac:dyDescent="0.35">
      <c r="A16" s="2"/>
      <c r="B16" s="3"/>
      <c r="C16" s="3"/>
      <c r="D16" s="4"/>
      <c r="E16" s="5"/>
      <c r="F16" s="11" t="str">
        <f t="shared" ca="1" si="0"/>
        <v/>
      </c>
      <c r="G16" s="5"/>
      <c r="H16" s="6" t="str">
        <f>IF(AND($A16&lt;&gt;"",$B16&lt;&gt;"",$C16&lt;&gt;"",$D16&lt;&gt;"",$E16&lt;&gt;""),IF(AND($B16="s",OR($C16="SER",$C16="PLH",$C16="CSF")),"Case CDI Plate "&amp;(INT(((COUNTIFS($B$2:$B16,"s",$C$2:$C16,"SER")+COUNTIFS($B$2:$B16,"s",$C$2:$C16,"PLH")+COUNTIFS($B$2:$B16,"s",$C$2:$C16,"CSF"))-1)/96)+1)&amp;": "&amp;CHAR(65+INT(MOD((COUNTIFS($B$2:$B16,"s",$C$2:$C16,"SER")+COUNTIFS($B$2:$B16,"s",$C$2:$C16,"PLH")+COUNTIFS($B$2:$B16,"s",$C$2:$C16,"CSF"))-1,96)/12))&amp;(MOD((COUNTIFS($B$2:$B16,"s",$C$2:$C16,"SER")+COUNTIFS($B$2:$B16,"s",$C$2:$C16,"PLH")+COUNTIFS($B$2:$B16,"s",$C$2:$C16,"CSF"))-1,12)+1),"N/A"),"")</f>
        <v/>
      </c>
      <c r="I16" s="6" t="str">
        <f>IF(AND($A16&lt;&gt;"",$B16&lt;&gt;"",$C16&lt;&gt;"",$D16&lt;&gt;"",$E16&lt;&gt;""),IF(AND($B16="s",OR($C16="SER",$C16="PLH",$C16="CSF")),"Case NIH Plate "&amp;(INT(((COUNTIFS($B$2:$B16,"s",$C$2:$C16,"SER")+COUNTIFS($B$2:$B16,"s",$C$2:$C16,"PLH")+COUNTIFS($B$2:$B16,"s",$C$2:$C16,"CSF"))-1)/96)+1)&amp;": "&amp;CHAR(65+INT(MOD((COUNTIFS($B$2:$B16,"s",$C$2:$C16,"SER")+COUNTIFS($B$2:$B16,"s",$C$2:$C16,"PLH")+COUNTIFS($B$2:$B16,"s",$C$2:$C16,"CSF"))-1,96)/12))&amp;(MOD((COUNTIFS($B$2:$B16,"s",$C$2:$C16,"SER")+COUNTIFS($B$2:$B16,"s",$C$2:$C16,"PLH")+COUNTIFS($B$2:$B16,"s",$C$2:$C16,"CSF"))-1,12)+1),"N/A"),"")</f>
        <v/>
      </c>
      <c r="J16" s="6" t="str">
        <f>IF(AND($A16&lt;&gt;"",$B16&lt;&gt;"",$C16&lt;&gt;"",$D16&lt;&gt;"",$E16&lt;&gt;""),IF(AND($B16="s",OR($C16="SER",$C16="PLH")),"Case MAX Planck Plate "&amp;(INT(((COUNTIFS($B$2:$B16,"s",$C$2:$C16,"SER")+COUNTIFS($B$2:$B16,"s",$C$2:$C16,"PLH"))-1)/96)+1)&amp;": "&amp;CHAR(65+INT(MOD((COUNTIFS($B$2:$B16,"s",$C$2:$C16,"SER")+COUNTIFS($B$2:$B16,"s",$C$2:$C16,"PLH"))-1,96)/12))&amp;(MOD((COUNTIFS($B$2:$B16,"s",$C$2:$C16,"SER")+COUNTIFS($B$2:$B16,"s",$C$2:$C16,"PLH"))-1,12)+1),"N/A"),"")</f>
        <v/>
      </c>
      <c r="K16" s="6" t="str">
        <f>IF(AND($A16&lt;&gt;"",$B16&lt;&gt;"",$C16&lt;&gt;"",$D16&lt;&gt;"",$E16&lt;&gt;""),IF($C16="WB","Case WB Box "&amp;(INT((COUNTIFS($C$2:$C16,"WB")-1)/81)+1)&amp;": "&amp;CHAR(65+INT(MOD(COUNTIFS($C$2:$C16,"WB")-1,81)/9))&amp;(MOD(COUNTIFS($C$2:$C16,"WB")-1,9)+1),"N/A"),"")</f>
        <v/>
      </c>
      <c r="L16" s="2" t="str">
        <f t="shared" si="1"/>
        <v/>
      </c>
      <c r="M16" s="2"/>
      <c r="N16" s="2"/>
      <c r="O16" s="2"/>
      <c r="P16" s="7" t="str">
        <f t="shared" si="2"/>
        <v/>
      </c>
      <c r="Q16" s="7" t="str">
        <f t="shared" si="3"/>
        <v/>
      </c>
      <c r="R16" s="7" t="str">
        <f t="shared" si="4"/>
        <v/>
      </c>
      <c r="S16" s="7" t="str">
        <f t="shared" si="5"/>
        <v/>
      </c>
      <c r="T16" s="7" t="str">
        <f t="shared" si="6"/>
        <v/>
      </c>
      <c r="U16" s="7" t="str">
        <f t="shared" si="7"/>
        <v/>
      </c>
      <c r="V16" s="7" t="str">
        <f t="shared" si="8"/>
        <v/>
      </c>
      <c r="W16" s="7" t="str">
        <f t="shared" si="9"/>
        <v/>
      </c>
      <c r="X16" s="7" t="str">
        <f t="shared" si="10"/>
        <v/>
      </c>
      <c r="Y16" s="7" t="str">
        <f t="shared" si="11"/>
        <v/>
      </c>
      <c r="Z16">
        <f t="shared" si="12"/>
        <v>0</v>
      </c>
      <c r="AA16" t="str">
        <f t="shared" si="13"/>
        <v/>
      </c>
      <c r="AB16" t="str">
        <f t="shared" si="14"/>
        <v/>
      </c>
      <c r="AC16" t="str">
        <f t="shared" si="15"/>
        <v/>
      </c>
      <c r="AD16" t="str">
        <f t="shared" si="16"/>
        <v/>
      </c>
      <c r="AE16">
        <f t="shared" si="17"/>
        <v>0</v>
      </c>
    </row>
    <row r="17" spans="1:31" ht="15" customHeight="1" x14ac:dyDescent="0.35">
      <c r="A17" s="2"/>
      <c r="B17" s="3"/>
      <c r="C17" s="3"/>
      <c r="D17" s="4"/>
      <c r="E17" s="5"/>
      <c r="F17" s="11" t="str">
        <f t="shared" ca="1" si="0"/>
        <v/>
      </c>
      <c r="G17" s="5"/>
      <c r="H17" s="6" t="str">
        <f>IF(AND($A17&lt;&gt;"",$B17&lt;&gt;"",$C17&lt;&gt;"",$D17&lt;&gt;"",$E17&lt;&gt;""),IF(AND($B17="s",OR($C17="SER",$C17="PLH",$C17="CSF")),"Case CDI Plate "&amp;(INT(((COUNTIFS($B$2:$B17,"s",$C$2:$C17,"SER")+COUNTIFS($B$2:$B17,"s",$C$2:$C17,"PLH")+COUNTIFS($B$2:$B17,"s",$C$2:$C17,"CSF"))-1)/96)+1)&amp;": "&amp;CHAR(65+INT(MOD((COUNTIFS($B$2:$B17,"s",$C$2:$C17,"SER")+COUNTIFS($B$2:$B17,"s",$C$2:$C17,"PLH")+COUNTIFS($B$2:$B17,"s",$C$2:$C17,"CSF"))-1,96)/12))&amp;(MOD((COUNTIFS($B$2:$B17,"s",$C$2:$C17,"SER")+COUNTIFS($B$2:$B17,"s",$C$2:$C17,"PLH")+COUNTIFS($B$2:$B17,"s",$C$2:$C17,"CSF"))-1,12)+1),"N/A"),"")</f>
        <v/>
      </c>
      <c r="I17" s="6" t="str">
        <f>IF(AND($A17&lt;&gt;"",$B17&lt;&gt;"",$C17&lt;&gt;"",$D17&lt;&gt;"",$E17&lt;&gt;""),IF(AND($B17="s",OR($C17="SER",$C17="PLH",$C17="CSF")),"Case NIH Plate "&amp;(INT(((COUNTIFS($B$2:$B17,"s",$C$2:$C17,"SER")+COUNTIFS($B$2:$B17,"s",$C$2:$C17,"PLH")+COUNTIFS($B$2:$B17,"s",$C$2:$C17,"CSF"))-1)/96)+1)&amp;": "&amp;CHAR(65+INT(MOD((COUNTIFS($B$2:$B17,"s",$C$2:$C17,"SER")+COUNTIFS($B$2:$B17,"s",$C$2:$C17,"PLH")+COUNTIFS($B$2:$B17,"s",$C$2:$C17,"CSF"))-1,96)/12))&amp;(MOD((COUNTIFS($B$2:$B17,"s",$C$2:$C17,"SER")+COUNTIFS($B$2:$B17,"s",$C$2:$C17,"PLH")+COUNTIFS($B$2:$B17,"s",$C$2:$C17,"CSF"))-1,12)+1),"N/A"),"")</f>
        <v/>
      </c>
      <c r="J17" s="6" t="str">
        <f>IF(AND($A17&lt;&gt;"",$B17&lt;&gt;"",$C17&lt;&gt;"",$D17&lt;&gt;"",$E17&lt;&gt;""),IF(AND($B17="s",OR($C17="SER",$C17="PLH")),"Case MAX Planck Plate "&amp;(INT(((COUNTIFS($B$2:$B17,"s",$C$2:$C17,"SER")+COUNTIFS($B$2:$B17,"s",$C$2:$C17,"PLH"))-1)/96)+1)&amp;": "&amp;CHAR(65+INT(MOD((COUNTIFS($B$2:$B17,"s",$C$2:$C17,"SER")+COUNTIFS($B$2:$B17,"s",$C$2:$C17,"PLH"))-1,96)/12))&amp;(MOD((COUNTIFS($B$2:$B17,"s",$C$2:$C17,"SER")+COUNTIFS($B$2:$B17,"s",$C$2:$C17,"PLH"))-1,12)+1),"N/A"),"")</f>
        <v/>
      </c>
      <c r="K17" s="6" t="str">
        <f>IF(AND($A17&lt;&gt;"",$B17&lt;&gt;"",$C17&lt;&gt;"",$D17&lt;&gt;"",$E17&lt;&gt;""),IF($C17="WB","Case WB Box "&amp;(INT((COUNTIFS($C$2:$C17,"WB")-1)/81)+1)&amp;": "&amp;CHAR(65+INT(MOD(COUNTIFS($C$2:$C17,"WB")-1,81)/9))&amp;(MOD(COUNTIFS($C$2:$C17,"WB")-1,9)+1),"N/A"),"")</f>
        <v/>
      </c>
      <c r="L17" s="2" t="str">
        <f t="shared" si="1"/>
        <v/>
      </c>
      <c r="M17" s="2"/>
      <c r="N17" s="2"/>
      <c r="O17" s="2"/>
      <c r="P17" s="7" t="str">
        <f t="shared" si="2"/>
        <v/>
      </c>
      <c r="Q17" s="7" t="str">
        <f t="shared" si="3"/>
        <v/>
      </c>
      <c r="R17" s="7" t="str">
        <f t="shared" si="4"/>
        <v/>
      </c>
      <c r="S17" s="7" t="str">
        <f t="shared" si="5"/>
        <v/>
      </c>
      <c r="T17" s="7" t="str">
        <f t="shared" si="6"/>
        <v/>
      </c>
      <c r="U17" s="7" t="str">
        <f t="shared" si="7"/>
        <v/>
      </c>
      <c r="V17" s="7" t="str">
        <f t="shared" si="8"/>
        <v/>
      </c>
      <c r="W17" s="7" t="str">
        <f t="shared" si="9"/>
        <v/>
      </c>
      <c r="X17" s="7" t="str">
        <f t="shared" si="10"/>
        <v/>
      </c>
      <c r="Y17" s="7" t="str">
        <f t="shared" si="11"/>
        <v/>
      </c>
      <c r="Z17">
        <f t="shared" si="12"/>
        <v>0</v>
      </c>
      <c r="AA17" t="str">
        <f t="shared" si="13"/>
        <v/>
      </c>
      <c r="AB17" t="str">
        <f t="shared" si="14"/>
        <v/>
      </c>
      <c r="AC17" t="str">
        <f t="shared" si="15"/>
        <v/>
      </c>
      <c r="AD17" t="str">
        <f t="shared" si="16"/>
        <v/>
      </c>
      <c r="AE17">
        <f t="shared" si="17"/>
        <v>0</v>
      </c>
    </row>
    <row r="18" spans="1:31" ht="15" customHeight="1" x14ac:dyDescent="0.35">
      <c r="A18" s="2"/>
      <c r="B18" s="3"/>
      <c r="C18" s="3"/>
      <c r="D18" s="4"/>
      <c r="E18" s="5"/>
      <c r="F18" s="11" t="str">
        <f t="shared" ca="1" si="0"/>
        <v/>
      </c>
      <c r="G18" s="5"/>
      <c r="H18" s="6" t="str">
        <f>IF(AND($A18&lt;&gt;"",$B18&lt;&gt;"",$C18&lt;&gt;"",$D18&lt;&gt;"",$E18&lt;&gt;""),IF(AND($B18="s",OR($C18="SER",$C18="PLH",$C18="CSF")),"Case CDI Plate "&amp;(INT(((COUNTIFS($B$2:$B18,"s",$C$2:$C18,"SER")+COUNTIFS($B$2:$B18,"s",$C$2:$C18,"PLH")+COUNTIFS($B$2:$B18,"s",$C$2:$C18,"CSF"))-1)/96)+1)&amp;": "&amp;CHAR(65+INT(MOD((COUNTIFS($B$2:$B18,"s",$C$2:$C18,"SER")+COUNTIFS($B$2:$B18,"s",$C$2:$C18,"PLH")+COUNTIFS($B$2:$B18,"s",$C$2:$C18,"CSF"))-1,96)/12))&amp;(MOD((COUNTIFS($B$2:$B18,"s",$C$2:$C18,"SER")+COUNTIFS($B$2:$B18,"s",$C$2:$C18,"PLH")+COUNTIFS($B$2:$B18,"s",$C$2:$C18,"CSF"))-1,12)+1),"N/A"),"")</f>
        <v/>
      </c>
      <c r="I18" s="6" t="str">
        <f>IF(AND($A18&lt;&gt;"",$B18&lt;&gt;"",$C18&lt;&gt;"",$D18&lt;&gt;"",$E18&lt;&gt;""),IF(AND($B18="s",OR($C18="SER",$C18="PLH",$C18="CSF")),"Case NIH Plate "&amp;(INT(((COUNTIFS($B$2:$B18,"s",$C$2:$C18,"SER")+COUNTIFS($B$2:$B18,"s",$C$2:$C18,"PLH")+COUNTIFS($B$2:$B18,"s",$C$2:$C18,"CSF"))-1)/96)+1)&amp;": "&amp;CHAR(65+INT(MOD((COUNTIFS($B$2:$B18,"s",$C$2:$C18,"SER")+COUNTIFS($B$2:$B18,"s",$C$2:$C18,"PLH")+COUNTIFS($B$2:$B18,"s",$C$2:$C18,"CSF"))-1,96)/12))&amp;(MOD((COUNTIFS($B$2:$B18,"s",$C$2:$C18,"SER")+COUNTIFS($B$2:$B18,"s",$C$2:$C18,"PLH")+COUNTIFS($B$2:$B18,"s",$C$2:$C18,"CSF"))-1,12)+1),"N/A"),"")</f>
        <v/>
      </c>
      <c r="J18" s="6" t="str">
        <f>IF(AND($A18&lt;&gt;"",$B18&lt;&gt;"",$C18&lt;&gt;"",$D18&lt;&gt;"",$E18&lt;&gt;""),IF(AND($B18="s",OR($C18="SER",$C18="PLH")),"Case MAX Planck Plate "&amp;(INT(((COUNTIFS($B$2:$B18,"s",$C$2:$C18,"SER")+COUNTIFS($B$2:$B18,"s",$C$2:$C18,"PLH"))-1)/96)+1)&amp;": "&amp;CHAR(65+INT(MOD((COUNTIFS($B$2:$B18,"s",$C$2:$C18,"SER")+COUNTIFS($B$2:$B18,"s",$C$2:$C18,"PLH"))-1,96)/12))&amp;(MOD((COUNTIFS($B$2:$B18,"s",$C$2:$C18,"SER")+COUNTIFS($B$2:$B18,"s",$C$2:$C18,"PLH"))-1,12)+1),"N/A"),"")</f>
        <v/>
      </c>
      <c r="K18" s="6" t="str">
        <f>IF(AND($A18&lt;&gt;"",$B18&lt;&gt;"",$C18&lt;&gt;"",$D18&lt;&gt;"",$E18&lt;&gt;""),IF($C18="WB","Case WB Box "&amp;(INT((COUNTIFS($C$2:$C18,"WB")-1)/81)+1)&amp;": "&amp;CHAR(65+INT(MOD(COUNTIFS($C$2:$C18,"WB")-1,81)/9))&amp;(MOD(COUNTIFS($C$2:$C18,"WB")-1,9)+1),"N/A"),"")</f>
        <v/>
      </c>
      <c r="L18" s="2" t="str">
        <f t="shared" si="1"/>
        <v/>
      </c>
      <c r="M18" s="2"/>
      <c r="N18" s="2"/>
      <c r="O18" s="2"/>
      <c r="P18" s="7" t="str">
        <f t="shared" si="2"/>
        <v/>
      </c>
      <c r="Q18" s="7" t="str">
        <f t="shared" si="3"/>
        <v/>
      </c>
      <c r="R18" s="7" t="str">
        <f t="shared" si="4"/>
        <v/>
      </c>
      <c r="S18" s="7" t="str">
        <f t="shared" si="5"/>
        <v/>
      </c>
      <c r="T18" s="7" t="str">
        <f t="shared" si="6"/>
        <v/>
      </c>
      <c r="U18" s="7" t="str">
        <f t="shared" si="7"/>
        <v/>
      </c>
      <c r="V18" s="7" t="str">
        <f t="shared" si="8"/>
        <v/>
      </c>
      <c r="W18" s="7" t="str">
        <f t="shared" si="9"/>
        <v/>
      </c>
      <c r="X18" s="7" t="str">
        <f t="shared" si="10"/>
        <v/>
      </c>
      <c r="Y18" s="7" t="str">
        <f t="shared" si="11"/>
        <v/>
      </c>
      <c r="Z18">
        <f t="shared" si="12"/>
        <v>0</v>
      </c>
      <c r="AA18" t="str">
        <f t="shared" si="13"/>
        <v/>
      </c>
      <c r="AB18" t="str">
        <f t="shared" si="14"/>
        <v/>
      </c>
      <c r="AC18" t="str">
        <f t="shared" si="15"/>
        <v/>
      </c>
      <c r="AD18" t="str">
        <f t="shared" si="16"/>
        <v/>
      </c>
      <c r="AE18">
        <f t="shared" si="17"/>
        <v>0</v>
      </c>
    </row>
    <row r="19" spans="1:31" ht="15" customHeight="1" x14ac:dyDescent="0.35">
      <c r="A19" s="2"/>
      <c r="B19" s="3"/>
      <c r="C19" s="3"/>
      <c r="D19" s="4"/>
      <c r="E19" s="5"/>
      <c r="F19" s="11" t="str">
        <f t="shared" ca="1" si="0"/>
        <v/>
      </c>
      <c r="G19" s="5"/>
      <c r="H19" s="6" t="str">
        <f>IF(AND($A19&lt;&gt;"",$B19&lt;&gt;"",$C19&lt;&gt;"",$D19&lt;&gt;"",$E19&lt;&gt;""),IF(AND($B19="s",OR($C19="SER",$C19="PLH",$C19="CSF")),"Case CDI Plate "&amp;(INT(((COUNTIFS($B$2:$B19,"s",$C$2:$C19,"SER")+COUNTIFS($B$2:$B19,"s",$C$2:$C19,"PLH")+COUNTIFS($B$2:$B19,"s",$C$2:$C19,"CSF"))-1)/96)+1)&amp;": "&amp;CHAR(65+INT(MOD((COUNTIFS($B$2:$B19,"s",$C$2:$C19,"SER")+COUNTIFS($B$2:$B19,"s",$C$2:$C19,"PLH")+COUNTIFS($B$2:$B19,"s",$C$2:$C19,"CSF"))-1,96)/12))&amp;(MOD((COUNTIFS($B$2:$B19,"s",$C$2:$C19,"SER")+COUNTIFS($B$2:$B19,"s",$C$2:$C19,"PLH")+COUNTIFS($B$2:$B19,"s",$C$2:$C19,"CSF"))-1,12)+1),"N/A"),"")</f>
        <v/>
      </c>
      <c r="I19" s="6" t="str">
        <f>IF(AND($A19&lt;&gt;"",$B19&lt;&gt;"",$C19&lt;&gt;"",$D19&lt;&gt;"",$E19&lt;&gt;""),IF(AND($B19="s",OR($C19="SER",$C19="PLH",$C19="CSF")),"Case NIH Plate "&amp;(INT(((COUNTIFS($B$2:$B19,"s",$C$2:$C19,"SER")+COUNTIFS($B$2:$B19,"s",$C$2:$C19,"PLH")+COUNTIFS($B$2:$B19,"s",$C$2:$C19,"CSF"))-1)/96)+1)&amp;": "&amp;CHAR(65+INT(MOD((COUNTIFS($B$2:$B19,"s",$C$2:$C19,"SER")+COUNTIFS($B$2:$B19,"s",$C$2:$C19,"PLH")+COUNTIFS($B$2:$B19,"s",$C$2:$C19,"CSF"))-1,96)/12))&amp;(MOD((COUNTIFS($B$2:$B19,"s",$C$2:$C19,"SER")+COUNTIFS($B$2:$B19,"s",$C$2:$C19,"PLH")+COUNTIFS($B$2:$B19,"s",$C$2:$C19,"CSF"))-1,12)+1),"N/A"),"")</f>
        <v/>
      </c>
      <c r="J19" s="6" t="str">
        <f>IF(AND($A19&lt;&gt;"",$B19&lt;&gt;"",$C19&lt;&gt;"",$D19&lt;&gt;"",$E19&lt;&gt;""),IF(AND($B19="s",OR($C19="SER",$C19="PLH")),"Case MAX Planck Plate "&amp;(INT(((COUNTIFS($B$2:$B19,"s",$C$2:$C19,"SER")+COUNTIFS($B$2:$B19,"s",$C$2:$C19,"PLH"))-1)/96)+1)&amp;": "&amp;CHAR(65+INT(MOD((COUNTIFS($B$2:$B19,"s",$C$2:$C19,"SER")+COUNTIFS($B$2:$B19,"s",$C$2:$C19,"PLH"))-1,96)/12))&amp;(MOD((COUNTIFS($B$2:$B19,"s",$C$2:$C19,"SER")+COUNTIFS($B$2:$B19,"s",$C$2:$C19,"PLH"))-1,12)+1),"N/A"),"")</f>
        <v/>
      </c>
      <c r="K19" s="6" t="str">
        <f>IF(AND($A19&lt;&gt;"",$B19&lt;&gt;"",$C19&lt;&gt;"",$D19&lt;&gt;"",$E19&lt;&gt;""),IF($C19="WB","Case WB Box "&amp;(INT((COUNTIFS($C$2:$C19,"WB")-1)/81)+1)&amp;": "&amp;CHAR(65+INT(MOD(COUNTIFS($C$2:$C19,"WB")-1,81)/9))&amp;(MOD(COUNTIFS($C$2:$C19,"WB")-1,9)+1),"N/A"),"")</f>
        <v/>
      </c>
      <c r="L19" s="2" t="str">
        <f t="shared" si="1"/>
        <v/>
      </c>
      <c r="M19" s="2"/>
      <c r="N19" s="2"/>
      <c r="O19" s="2"/>
      <c r="P19" s="7" t="str">
        <f t="shared" si="2"/>
        <v/>
      </c>
      <c r="Q19" s="7" t="str">
        <f t="shared" si="3"/>
        <v/>
      </c>
      <c r="R19" s="7" t="str">
        <f t="shared" si="4"/>
        <v/>
      </c>
      <c r="S19" s="7" t="str">
        <f t="shared" si="5"/>
        <v/>
      </c>
      <c r="T19" s="7" t="str">
        <f t="shared" si="6"/>
        <v/>
      </c>
      <c r="U19" s="7" t="str">
        <f t="shared" si="7"/>
        <v/>
      </c>
      <c r="V19" s="7" t="str">
        <f t="shared" si="8"/>
        <v/>
      </c>
      <c r="W19" s="7" t="str">
        <f t="shared" si="9"/>
        <v/>
      </c>
      <c r="X19" s="7" t="str">
        <f t="shared" si="10"/>
        <v/>
      </c>
      <c r="Y19" s="7" t="str">
        <f t="shared" si="11"/>
        <v/>
      </c>
      <c r="Z19">
        <f t="shared" si="12"/>
        <v>0</v>
      </c>
      <c r="AA19" t="str">
        <f t="shared" si="13"/>
        <v/>
      </c>
      <c r="AB19" t="str">
        <f t="shared" si="14"/>
        <v/>
      </c>
      <c r="AC19" t="str">
        <f t="shared" si="15"/>
        <v/>
      </c>
      <c r="AD19" t="str">
        <f t="shared" si="16"/>
        <v/>
      </c>
      <c r="AE19">
        <f t="shared" si="17"/>
        <v>0</v>
      </c>
    </row>
    <row r="20" spans="1:31" ht="15" customHeight="1" x14ac:dyDescent="0.35">
      <c r="A20" s="2"/>
      <c r="B20" s="3"/>
      <c r="C20" s="3"/>
      <c r="D20" s="4"/>
      <c r="E20" s="5"/>
      <c r="F20" s="11" t="str">
        <f t="shared" ca="1" si="0"/>
        <v/>
      </c>
      <c r="G20" s="5"/>
      <c r="H20" s="6" t="str">
        <f>IF(AND($A20&lt;&gt;"",$B20&lt;&gt;"",$C20&lt;&gt;"",$D20&lt;&gt;"",$E20&lt;&gt;""),IF(AND($B20="s",OR($C20="SER",$C20="PLH",$C20="CSF")),"Case CDI Plate "&amp;(INT(((COUNTIFS($B$2:$B20,"s",$C$2:$C20,"SER")+COUNTIFS($B$2:$B20,"s",$C$2:$C20,"PLH")+COUNTIFS($B$2:$B20,"s",$C$2:$C20,"CSF"))-1)/96)+1)&amp;": "&amp;CHAR(65+INT(MOD((COUNTIFS($B$2:$B20,"s",$C$2:$C20,"SER")+COUNTIFS($B$2:$B20,"s",$C$2:$C20,"PLH")+COUNTIFS($B$2:$B20,"s",$C$2:$C20,"CSF"))-1,96)/12))&amp;(MOD((COUNTIFS($B$2:$B20,"s",$C$2:$C20,"SER")+COUNTIFS($B$2:$B20,"s",$C$2:$C20,"PLH")+COUNTIFS($B$2:$B20,"s",$C$2:$C20,"CSF"))-1,12)+1),"N/A"),"")</f>
        <v/>
      </c>
      <c r="I20" s="6" t="str">
        <f>IF(AND($A20&lt;&gt;"",$B20&lt;&gt;"",$C20&lt;&gt;"",$D20&lt;&gt;"",$E20&lt;&gt;""),IF(AND($B20="s",OR($C20="SER",$C20="PLH",$C20="CSF")),"Case NIH Plate "&amp;(INT(((COUNTIFS($B$2:$B20,"s",$C$2:$C20,"SER")+COUNTIFS($B$2:$B20,"s",$C$2:$C20,"PLH")+COUNTIFS($B$2:$B20,"s",$C$2:$C20,"CSF"))-1)/96)+1)&amp;": "&amp;CHAR(65+INT(MOD((COUNTIFS($B$2:$B20,"s",$C$2:$C20,"SER")+COUNTIFS($B$2:$B20,"s",$C$2:$C20,"PLH")+COUNTIFS($B$2:$B20,"s",$C$2:$C20,"CSF"))-1,96)/12))&amp;(MOD((COUNTIFS($B$2:$B20,"s",$C$2:$C20,"SER")+COUNTIFS($B$2:$B20,"s",$C$2:$C20,"PLH")+COUNTIFS($B$2:$B20,"s",$C$2:$C20,"CSF"))-1,12)+1),"N/A"),"")</f>
        <v/>
      </c>
      <c r="J20" s="6" t="str">
        <f>IF(AND($A20&lt;&gt;"",$B20&lt;&gt;"",$C20&lt;&gt;"",$D20&lt;&gt;"",$E20&lt;&gt;""),IF(AND($B20="s",OR($C20="SER",$C20="PLH")),"Case MAX Planck Plate "&amp;(INT(((COUNTIFS($B$2:$B20,"s",$C$2:$C20,"SER")+COUNTIFS($B$2:$B20,"s",$C$2:$C20,"PLH"))-1)/96)+1)&amp;": "&amp;CHAR(65+INT(MOD((COUNTIFS($B$2:$B20,"s",$C$2:$C20,"SER")+COUNTIFS($B$2:$B20,"s",$C$2:$C20,"PLH"))-1,96)/12))&amp;(MOD((COUNTIFS($B$2:$B20,"s",$C$2:$C20,"SER")+COUNTIFS($B$2:$B20,"s",$C$2:$C20,"PLH"))-1,12)+1),"N/A"),"")</f>
        <v/>
      </c>
      <c r="K20" s="6" t="str">
        <f>IF(AND($A20&lt;&gt;"",$B20&lt;&gt;"",$C20&lt;&gt;"",$D20&lt;&gt;"",$E20&lt;&gt;""),IF($C20="WB","Case WB Box "&amp;(INT((COUNTIFS($C$2:$C20,"WB")-1)/81)+1)&amp;": "&amp;CHAR(65+INT(MOD(COUNTIFS($C$2:$C20,"WB")-1,81)/9))&amp;(MOD(COUNTIFS($C$2:$C20,"WB")-1,9)+1),"N/A"),"")</f>
        <v/>
      </c>
      <c r="L20" s="2" t="str">
        <f t="shared" si="1"/>
        <v/>
      </c>
      <c r="M20" s="2"/>
      <c r="N20" s="2"/>
      <c r="O20" s="2"/>
      <c r="P20" s="7" t="str">
        <f t="shared" si="2"/>
        <v/>
      </c>
      <c r="Q20" s="7" t="str">
        <f t="shared" si="3"/>
        <v/>
      </c>
      <c r="R20" s="7" t="str">
        <f t="shared" si="4"/>
        <v/>
      </c>
      <c r="S20" s="7" t="str">
        <f t="shared" si="5"/>
        <v/>
      </c>
      <c r="T20" s="7" t="str">
        <f t="shared" si="6"/>
        <v/>
      </c>
      <c r="U20" s="7" t="str">
        <f t="shared" si="7"/>
        <v/>
      </c>
      <c r="V20" s="7" t="str">
        <f t="shared" si="8"/>
        <v/>
      </c>
      <c r="W20" s="7" t="str">
        <f t="shared" si="9"/>
        <v/>
      </c>
      <c r="X20" s="7" t="str">
        <f t="shared" si="10"/>
        <v/>
      </c>
      <c r="Y20" s="7" t="str">
        <f t="shared" si="11"/>
        <v/>
      </c>
      <c r="Z20">
        <f t="shared" si="12"/>
        <v>0</v>
      </c>
      <c r="AA20" t="str">
        <f t="shared" si="13"/>
        <v/>
      </c>
      <c r="AB20" t="str">
        <f t="shared" si="14"/>
        <v/>
      </c>
      <c r="AC20" t="str">
        <f t="shared" si="15"/>
        <v/>
      </c>
      <c r="AD20" t="str">
        <f t="shared" si="16"/>
        <v/>
      </c>
      <c r="AE20">
        <f t="shared" si="17"/>
        <v>0</v>
      </c>
    </row>
    <row r="21" spans="1:31" ht="15" customHeight="1" x14ac:dyDescent="0.35">
      <c r="A21" s="2"/>
      <c r="B21" s="3"/>
      <c r="C21" s="3"/>
      <c r="D21" s="4"/>
      <c r="E21" s="5"/>
      <c r="F21" s="11" t="str">
        <f t="shared" ca="1" si="0"/>
        <v/>
      </c>
      <c r="G21" s="5"/>
      <c r="H21" s="6" t="str">
        <f>IF(AND($A21&lt;&gt;"",$B21&lt;&gt;"",$C21&lt;&gt;"",$D21&lt;&gt;"",$E21&lt;&gt;""),IF(AND($B21="s",OR($C21="SER",$C21="PLH",$C21="CSF")),"Case CDI Plate "&amp;(INT(((COUNTIFS($B$2:$B21,"s",$C$2:$C21,"SER")+COUNTIFS($B$2:$B21,"s",$C$2:$C21,"PLH")+COUNTIFS($B$2:$B21,"s",$C$2:$C21,"CSF"))-1)/96)+1)&amp;": "&amp;CHAR(65+INT(MOD((COUNTIFS($B$2:$B21,"s",$C$2:$C21,"SER")+COUNTIFS($B$2:$B21,"s",$C$2:$C21,"PLH")+COUNTIFS($B$2:$B21,"s",$C$2:$C21,"CSF"))-1,96)/12))&amp;(MOD((COUNTIFS($B$2:$B21,"s",$C$2:$C21,"SER")+COUNTIFS($B$2:$B21,"s",$C$2:$C21,"PLH")+COUNTIFS($B$2:$B21,"s",$C$2:$C21,"CSF"))-1,12)+1),"N/A"),"")</f>
        <v/>
      </c>
      <c r="I21" s="6" t="str">
        <f>IF(AND($A21&lt;&gt;"",$B21&lt;&gt;"",$C21&lt;&gt;"",$D21&lt;&gt;"",$E21&lt;&gt;""),IF(AND($B21="s",OR($C21="SER",$C21="PLH",$C21="CSF")),"Case NIH Plate "&amp;(INT(((COUNTIFS($B$2:$B21,"s",$C$2:$C21,"SER")+COUNTIFS($B$2:$B21,"s",$C$2:$C21,"PLH")+COUNTIFS($B$2:$B21,"s",$C$2:$C21,"CSF"))-1)/96)+1)&amp;": "&amp;CHAR(65+INT(MOD((COUNTIFS($B$2:$B21,"s",$C$2:$C21,"SER")+COUNTIFS($B$2:$B21,"s",$C$2:$C21,"PLH")+COUNTIFS($B$2:$B21,"s",$C$2:$C21,"CSF"))-1,96)/12))&amp;(MOD((COUNTIFS($B$2:$B21,"s",$C$2:$C21,"SER")+COUNTIFS($B$2:$B21,"s",$C$2:$C21,"PLH")+COUNTIFS($B$2:$B21,"s",$C$2:$C21,"CSF"))-1,12)+1),"N/A"),"")</f>
        <v/>
      </c>
      <c r="J21" s="6" t="str">
        <f>IF(AND($A21&lt;&gt;"",$B21&lt;&gt;"",$C21&lt;&gt;"",$D21&lt;&gt;"",$E21&lt;&gt;""),IF(AND($B21="s",OR($C21="SER",$C21="PLH")),"Case MAX Planck Plate "&amp;(INT(((COUNTIFS($B$2:$B21,"s",$C$2:$C21,"SER")+COUNTIFS($B$2:$B21,"s",$C$2:$C21,"PLH"))-1)/96)+1)&amp;": "&amp;CHAR(65+INT(MOD((COUNTIFS($B$2:$B21,"s",$C$2:$C21,"SER")+COUNTIFS($B$2:$B21,"s",$C$2:$C21,"PLH"))-1,96)/12))&amp;(MOD((COUNTIFS($B$2:$B21,"s",$C$2:$C21,"SER")+COUNTIFS($B$2:$B21,"s",$C$2:$C21,"PLH"))-1,12)+1),"N/A"),"")</f>
        <v/>
      </c>
      <c r="K21" s="6" t="str">
        <f>IF(AND($A21&lt;&gt;"",$B21&lt;&gt;"",$C21&lt;&gt;"",$D21&lt;&gt;"",$E21&lt;&gt;""),IF($C21="WB","Case WB Box "&amp;(INT((COUNTIFS($C$2:$C21,"WB")-1)/81)+1)&amp;": "&amp;CHAR(65+INT(MOD(COUNTIFS($C$2:$C21,"WB")-1,81)/9))&amp;(MOD(COUNTIFS($C$2:$C21,"WB")-1,9)+1),"N/A"),"")</f>
        <v/>
      </c>
      <c r="L21" s="2" t="str">
        <f t="shared" si="1"/>
        <v/>
      </c>
      <c r="M21" s="2"/>
      <c r="N21" s="2"/>
      <c r="O21" s="2"/>
      <c r="P21" s="7" t="str">
        <f t="shared" si="2"/>
        <v/>
      </c>
      <c r="Q21" s="7" t="str">
        <f t="shared" si="3"/>
        <v/>
      </c>
      <c r="R21" s="7" t="str">
        <f t="shared" si="4"/>
        <v/>
      </c>
      <c r="S21" s="7" t="str">
        <f t="shared" si="5"/>
        <v/>
      </c>
      <c r="T21" s="7" t="str">
        <f t="shared" si="6"/>
        <v/>
      </c>
      <c r="U21" s="7" t="str">
        <f t="shared" si="7"/>
        <v/>
      </c>
      <c r="V21" s="7" t="str">
        <f t="shared" si="8"/>
        <v/>
      </c>
      <c r="W21" s="7" t="str">
        <f t="shared" si="9"/>
        <v/>
      </c>
      <c r="X21" s="7" t="str">
        <f t="shared" si="10"/>
        <v/>
      </c>
      <c r="Y21" s="7" t="str">
        <f t="shared" si="11"/>
        <v/>
      </c>
      <c r="Z21">
        <f t="shared" si="12"/>
        <v>0</v>
      </c>
      <c r="AA21" t="str">
        <f t="shared" si="13"/>
        <v/>
      </c>
      <c r="AB21" t="str">
        <f t="shared" si="14"/>
        <v/>
      </c>
      <c r="AC21" t="str">
        <f t="shared" si="15"/>
        <v/>
      </c>
      <c r="AD21" t="str">
        <f t="shared" si="16"/>
        <v/>
      </c>
      <c r="AE21">
        <f t="shared" si="17"/>
        <v>0</v>
      </c>
    </row>
    <row r="22" spans="1:31" ht="15" customHeight="1" x14ac:dyDescent="0.35">
      <c r="A22" s="2"/>
      <c r="B22" s="3"/>
      <c r="C22" s="3"/>
      <c r="D22" s="4"/>
      <c r="E22" s="5"/>
      <c r="F22" s="11" t="str">
        <f t="shared" ca="1" si="0"/>
        <v/>
      </c>
      <c r="G22" s="5"/>
      <c r="H22" s="6" t="str">
        <f>IF(AND($A22&lt;&gt;"",$B22&lt;&gt;"",$C22&lt;&gt;"",$D22&lt;&gt;"",$E22&lt;&gt;""),IF(AND($B22="s",OR($C22="SER",$C22="PLH",$C22="CSF")),"Case CDI Plate "&amp;(INT(((COUNTIFS($B$2:$B22,"s",$C$2:$C22,"SER")+COUNTIFS($B$2:$B22,"s",$C$2:$C22,"PLH")+COUNTIFS($B$2:$B22,"s",$C$2:$C22,"CSF"))-1)/96)+1)&amp;": "&amp;CHAR(65+INT(MOD((COUNTIFS($B$2:$B22,"s",$C$2:$C22,"SER")+COUNTIFS($B$2:$B22,"s",$C$2:$C22,"PLH")+COUNTIFS($B$2:$B22,"s",$C$2:$C22,"CSF"))-1,96)/12))&amp;(MOD((COUNTIFS($B$2:$B22,"s",$C$2:$C22,"SER")+COUNTIFS($B$2:$B22,"s",$C$2:$C22,"PLH")+COUNTIFS($B$2:$B22,"s",$C$2:$C22,"CSF"))-1,12)+1),"N/A"),"")</f>
        <v/>
      </c>
      <c r="I22" s="6" t="str">
        <f>IF(AND($A22&lt;&gt;"",$B22&lt;&gt;"",$C22&lt;&gt;"",$D22&lt;&gt;"",$E22&lt;&gt;""),IF(AND($B22="s",OR($C22="SER",$C22="PLH",$C22="CSF")),"Case NIH Plate "&amp;(INT(((COUNTIFS($B$2:$B22,"s",$C$2:$C22,"SER")+COUNTIFS($B$2:$B22,"s",$C$2:$C22,"PLH")+COUNTIFS($B$2:$B22,"s",$C$2:$C22,"CSF"))-1)/96)+1)&amp;": "&amp;CHAR(65+INT(MOD((COUNTIFS($B$2:$B22,"s",$C$2:$C22,"SER")+COUNTIFS($B$2:$B22,"s",$C$2:$C22,"PLH")+COUNTIFS($B$2:$B22,"s",$C$2:$C22,"CSF"))-1,96)/12))&amp;(MOD((COUNTIFS($B$2:$B22,"s",$C$2:$C22,"SER")+COUNTIFS($B$2:$B22,"s",$C$2:$C22,"PLH")+COUNTIFS($B$2:$B22,"s",$C$2:$C22,"CSF"))-1,12)+1),"N/A"),"")</f>
        <v/>
      </c>
      <c r="J22" s="6" t="str">
        <f>IF(AND($A22&lt;&gt;"",$B22&lt;&gt;"",$C22&lt;&gt;"",$D22&lt;&gt;"",$E22&lt;&gt;""),IF(AND($B22="s",OR($C22="SER",$C22="PLH")),"Case MAX Planck Plate "&amp;(INT(((COUNTIFS($B$2:$B22,"s",$C$2:$C22,"SER")+COUNTIFS($B$2:$B22,"s",$C$2:$C22,"PLH"))-1)/96)+1)&amp;": "&amp;CHAR(65+INT(MOD((COUNTIFS($B$2:$B22,"s",$C$2:$C22,"SER")+COUNTIFS($B$2:$B22,"s",$C$2:$C22,"PLH"))-1,96)/12))&amp;(MOD((COUNTIFS($B$2:$B22,"s",$C$2:$C22,"SER")+COUNTIFS($B$2:$B22,"s",$C$2:$C22,"PLH"))-1,12)+1),"N/A"),"")</f>
        <v/>
      </c>
      <c r="K22" s="6" t="str">
        <f>IF(AND($A22&lt;&gt;"",$B22&lt;&gt;"",$C22&lt;&gt;"",$D22&lt;&gt;"",$E22&lt;&gt;""),IF($C22="WB","Case WB Box "&amp;(INT((COUNTIFS($C$2:$C22,"WB")-1)/81)+1)&amp;": "&amp;CHAR(65+INT(MOD(COUNTIFS($C$2:$C22,"WB")-1,81)/9))&amp;(MOD(COUNTIFS($C$2:$C22,"WB")-1,9)+1),"N/A"),"")</f>
        <v/>
      </c>
      <c r="L22" s="2" t="str">
        <f t="shared" si="1"/>
        <v/>
      </c>
      <c r="M22" s="2"/>
      <c r="N22" s="2"/>
      <c r="O22" s="2"/>
      <c r="P22" s="7" t="str">
        <f t="shared" si="2"/>
        <v/>
      </c>
      <c r="Q22" s="7" t="str">
        <f t="shared" si="3"/>
        <v/>
      </c>
      <c r="R22" s="7" t="str">
        <f t="shared" si="4"/>
        <v/>
      </c>
      <c r="S22" s="7" t="str">
        <f t="shared" si="5"/>
        <v/>
      </c>
      <c r="T22" s="7" t="str">
        <f t="shared" si="6"/>
        <v/>
      </c>
      <c r="U22" s="7" t="str">
        <f t="shared" si="7"/>
        <v/>
      </c>
      <c r="V22" s="7" t="str">
        <f t="shared" si="8"/>
        <v/>
      </c>
      <c r="W22" s="7" t="str">
        <f t="shared" si="9"/>
        <v/>
      </c>
      <c r="X22" s="7" t="str">
        <f t="shared" si="10"/>
        <v/>
      </c>
      <c r="Y22" s="7" t="str">
        <f t="shared" si="11"/>
        <v/>
      </c>
      <c r="Z22">
        <f t="shared" si="12"/>
        <v>0</v>
      </c>
      <c r="AA22" t="str">
        <f t="shared" si="13"/>
        <v/>
      </c>
      <c r="AB22" t="str">
        <f t="shared" si="14"/>
        <v/>
      </c>
      <c r="AC22" t="str">
        <f t="shared" si="15"/>
        <v/>
      </c>
      <c r="AD22" t="str">
        <f t="shared" si="16"/>
        <v/>
      </c>
      <c r="AE22">
        <f t="shared" si="17"/>
        <v>0</v>
      </c>
    </row>
    <row r="23" spans="1:31" ht="15" customHeight="1" x14ac:dyDescent="0.35">
      <c r="A23" s="2"/>
      <c r="B23" s="3"/>
      <c r="C23" s="3"/>
      <c r="D23" s="4"/>
      <c r="E23" s="5"/>
      <c r="F23" s="11" t="str">
        <f t="shared" ca="1" si="0"/>
        <v/>
      </c>
      <c r="G23" s="5"/>
      <c r="H23" s="6" t="str">
        <f>IF(AND($A23&lt;&gt;"",$B23&lt;&gt;"",$C23&lt;&gt;"",$D23&lt;&gt;"",$E23&lt;&gt;""),IF(AND($B23="s",OR($C23="SER",$C23="PLH",$C23="CSF")),"Case CDI Plate "&amp;(INT(((COUNTIFS($B$2:$B23,"s",$C$2:$C23,"SER")+COUNTIFS($B$2:$B23,"s",$C$2:$C23,"PLH")+COUNTIFS($B$2:$B23,"s",$C$2:$C23,"CSF"))-1)/96)+1)&amp;": "&amp;CHAR(65+INT(MOD((COUNTIFS($B$2:$B23,"s",$C$2:$C23,"SER")+COUNTIFS($B$2:$B23,"s",$C$2:$C23,"PLH")+COUNTIFS($B$2:$B23,"s",$C$2:$C23,"CSF"))-1,96)/12))&amp;(MOD((COUNTIFS($B$2:$B23,"s",$C$2:$C23,"SER")+COUNTIFS($B$2:$B23,"s",$C$2:$C23,"PLH")+COUNTIFS($B$2:$B23,"s",$C$2:$C23,"CSF"))-1,12)+1),"N/A"),"")</f>
        <v/>
      </c>
      <c r="I23" s="6" t="str">
        <f>IF(AND($A23&lt;&gt;"",$B23&lt;&gt;"",$C23&lt;&gt;"",$D23&lt;&gt;"",$E23&lt;&gt;""),IF(AND($B23="s",OR($C23="SER",$C23="PLH",$C23="CSF")),"Case NIH Plate "&amp;(INT(((COUNTIFS($B$2:$B23,"s",$C$2:$C23,"SER")+COUNTIFS($B$2:$B23,"s",$C$2:$C23,"PLH")+COUNTIFS($B$2:$B23,"s",$C$2:$C23,"CSF"))-1)/96)+1)&amp;": "&amp;CHAR(65+INT(MOD((COUNTIFS($B$2:$B23,"s",$C$2:$C23,"SER")+COUNTIFS($B$2:$B23,"s",$C$2:$C23,"PLH")+COUNTIFS($B$2:$B23,"s",$C$2:$C23,"CSF"))-1,96)/12))&amp;(MOD((COUNTIFS($B$2:$B23,"s",$C$2:$C23,"SER")+COUNTIFS($B$2:$B23,"s",$C$2:$C23,"PLH")+COUNTIFS($B$2:$B23,"s",$C$2:$C23,"CSF"))-1,12)+1),"N/A"),"")</f>
        <v/>
      </c>
      <c r="J23" s="6" t="str">
        <f>IF(AND($A23&lt;&gt;"",$B23&lt;&gt;"",$C23&lt;&gt;"",$D23&lt;&gt;"",$E23&lt;&gt;""),IF(AND($B23="s",OR($C23="SER",$C23="PLH")),"Case MAX Planck Plate "&amp;(INT(((COUNTIFS($B$2:$B23,"s",$C$2:$C23,"SER")+COUNTIFS($B$2:$B23,"s",$C$2:$C23,"PLH"))-1)/96)+1)&amp;": "&amp;CHAR(65+INT(MOD((COUNTIFS($B$2:$B23,"s",$C$2:$C23,"SER")+COUNTIFS($B$2:$B23,"s",$C$2:$C23,"PLH"))-1,96)/12))&amp;(MOD((COUNTIFS($B$2:$B23,"s",$C$2:$C23,"SER")+COUNTIFS($B$2:$B23,"s",$C$2:$C23,"PLH"))-1,12)+1),"N/A"),"")</f>
        <v/>
      </c>
      <c r="K23" s="6" t="str">
        <f>IF(AND($A23&lt;&gt;"",$B23&lt;&gt;"",$C23&lt;&gt;"",$D23&lt;&gt;"",$E23&lt;&gt;""),IF($C23="WB","Case WB Box "&amp;(INT((COUNTIFS($C$2:$C23,"WB")-1)/81)+1)&amp;": "&amp;CHAR(65+INT(MOD(COUNTIFS($C$2:$C23,"WB")-1,81)/9))&amp;(MOD(COUNTIFS($C$2:$C23,"WB")-1,9)+1),"N/A"),"")</f>
        <v/>
      </c>
      <c r="L23" s="2" t="str">
        <f t="shared" si="1"/>
        <v/>
      </c>
      <c r="M23" s="2"/>
      <c r="N23" s="2"/>
      <c r="O23" s="2"/>
      <c r="P23" s="7" t="str">
        <f t="shared" si="2"/>
        <v/>
      </c>
      <c r="Q23" s="7" t="str">
        <f t="shared" si="3"/>
        <v/>
      </c>
      <c r="R23" s="7" t="str">
        <f t="shared" si="4"/>
        <v/>
      </c>
      <c r="S23" s="7" t="str">
        <f t="shared" si="5"/>
        <v/>
      </c>
      <c r="T23" s="7" t="str">
        <f t="shared" si="6"/>
        <v/>
      </c>
      <c r="U23" s="7" t="str">
        <f t="shared" si="7"/>
        <v/>
      </c>
      <c r="V23" s="7" t="str">
        <f t="shared" si="8"/>
        <v/>
      </c>
      <c r="W23" s="7" t="str">
        <f t="shared" si="9"/>
        <v/>
      </c>
      <c r="X23" s="7" t="str">
        <f t="shared" si="10"/>
        <v/>
      </c>
      <c r="Y23" s="7" t="str">
        <f t="shared" si="11"/>
        <v/>
      </c>
      <c r="Z23">
        <f t="shared" si="12"/>
        <v>0</v>
      </c>
      <c r="AA23" t="str">
        <f t="shared" si="13"/>
        <v/>
      </c>
      <c r="AB23" t="str">
        <f t="shared" si="14"/>
        <v/>
      </c>
      <c r="AC23" t="str">
        <f t="shared" si="15"/>
        <v/>
      </c>
      <c r="AD23" t="str">
        <f t="shared" si="16"/>
        <v/>
      </c>
      <c r="AE23">
        <f t="shared" si="17"/>
        <v>0</v>
      </c>
    </row>
    <row r="24" spans="1:31" ht="15" customHeight="1" x14ac:dyDescent="0.35">
      <c r="A24" s="2"/>
      <c r="B24" s="3"/>
      <c r="C24" s="3"/>
      <c r="D24" s="4"/>
      <c r="E24" s="5"/>
      <c r="F24" s="11" t="str">
        <f t="shared" ca="1" si="0"/>
        <v/>
      </c>
      <c r="G24" s="5"/>
      <c r="H24" s="6" t="str">
        <f>IF(AND($A24&lt;&gt;"",$B24&lt;&gt;"",$C24&lt;&gt;"",$D24&lt;&gt;"",$E24&lt;&gt;""),IF(AND($B24="s",OR($C24="SER",$C24="PLH",$C24="CSF")),"Case CDI Plate "&amp;(INT(((COUNTIFS($B$2:$B24,"s",$C$2:$C24,"SER")+COUNTIFS($B$2:$B24,"s",$C$2:$C24,"PLH")+COUNTIFS($B$2:$B24,"s",$C$2:$C24,"CSF"))-1)/96)+1)&amp;": "&amp;CHAR(65+INT(MOD((COUNTIFS($B$2:$B24,"s",$C$2:$C24,"SER")+COUNTIFS($B$2:$B24,"s",$C$2:$C24,"PLH")+COUNTIFS($B$2:$B24,"s",$C$2:$C24,"CSF"))-1,96)/12))&amp;(MOD((COUNTIFS($B$2:$B24,"s",$C$2:$C24,"SER")+COUNTIFS($B$2:$B24,"s",$C$2:$C24,"PLH")+COUNTIFS($B$2:$B24,"s",$C$2:$C24,"CSF"))-1,12)+1),"N/A"),"")</f>
        <v/>
      </c>
      <c r="I24" s="6" t="str">
        <f>IF(AND($A24&lt;&gt;"",$B24&lt;&gt;"",$C24&lt;&gt;"",$D24&lt;&gt;"",$E24&lt;&gt;""),IF(AND($B24="s",OR($C24="SER",$C24="PLH",$C24="CSF")),"Case NIH Plate "&amp;(INT(((COUNTIFS($B$2:$B24,"s",$C$2:$C24,"SER")+COUNTIFS($B$2:$B24,"s",$C$2:$C24,"PLH")+COUNTIFS($B$2:$B24,"s",$C$2:$C24,"CSF"))-1)/96)+1)&amp;": "&amp;CHAR(65+INT(MOD((COUNTIFS($B$2:$B24,"s",$C$2:$C24,"SER")+COUNTIFS($B$2:$B24,"s",$C$2:$C24,"PLH")+COUNTIFS($B$2:$B24,"s",$C$2:$C24,"CSF"))-1,96)/12))&amp;(MOD((COUNTIFS($B$2:$B24,"s",$C$2:$C24,"SER")+COUNTIFS($B$2:$B24,"s",$C$2:$C24,"PLH")+COUNTIFS($B$2:$B24,"s",$C$2:$C24,"CSF"))-1,12)+1),"N/A"),"")</f>
        <v/>
      </c>
      <c r="J24" s="6" t="str">
        <f>IF(AND($A24&lt;&gt;"",$B24&lt;&gt;"",$C24&lt;&gt;"",$D24&lt;&gt;"",$E24&lt;&gt;""),IF(AND($B24="s",OR($C24="SER",$C24="PLH")),"Case MAX Planck Plate "&amp;(INT(((COUNTIFS($B$2:$B24,"s",$C$2:$C24,"SER")+COUNTIFS($B$2:$B24,"s",$C$2:$C24,"PLH"))-1)/96)+1)&amp;": "&amp;CHAR(65+INT(MOD((COUNTIFS($B$2:$B24,"s",$C$2:$C24,"SER")+COUNTIFS($B$2:$B24,"s",$C$2:$C24,"PLH"))-1,96)/12))&amp;(MOD((COUNTIFS($B$2:$B24,"s",$C$2:$C24,"SER")+COUNTIFS($B$2:$B24,"s",$C$2:$C24,"PLH"))-1,12)+1),"N/A"),"")</f>
        <v/>
      </c>
      <c r="K24" s="6" t="str">
        <f>IF(AND($A24&lt;&gt;"",$B24&lt;&gt;"",$C24&lt;&gt;"",$D24&lt;&gt;"",$E24&lt;&gt;""),IF($C24="WB","Case WB Box "&amp;(INT((COUNTIFS($C$2:$C24,"WB")-1)/81)+1)&amp;": "&amp;CHAR(65+INT(MOD(COUNTIFS($C$2:$C24,"WB")-1,81)/9))&amp;(MOD(COUNTIFS($C$2:$C24,"WB")-1,9)+1),"N/A"),"")</f>
        <v/>
      </c>
      <c r="L24" s="2" t="str">
        <f t="shared" si="1"/>
        <v/>
      </c>
      <c r="M24" s="2"/>
      <c r="N24" s="2"/>
      <c r="O24" s="2"/>
      <c r="P24" s="7" t="str">
        <f t="shared" si="2"/>
        <v/>
      </c>
      <c r="Q24" s="7" t="str">
        <f t="shared" si="3"/>
        <v/>
      </c>
      <c r="R24" s="7" t="str">
        <f t="shared" si="4"/>
        <v/>
      </c>
      <c r="S24" s="7" t="str">
        <f t="shared" si="5"/>
        <v/>
      </c>
      <c r="T24" s="7" t="str">
        <f t="shared" si="6"/>
        <v/>
      </c>
      <c r="U24" s="7" t="str">
        <f t="shared" si="7"/>
        <v/>
      </c>
      <c r="V24" s="7" t="str">
        <f t="shared" si="8"/>
        <v/>
      </c>
      <c r="W24" s="7" t="str">
        <f t="shared" si="9"/>
        <v/>
      </c>
      <c r="X24" s="7" t="str">
        <f t="shared" si="10"/>
        <v/>
      </c>
      <c r="Y24" s="7" t="str">
        <f t="shared" si="11"/>
        <v/>
      </c>
      <c r="Z24">
        <f t="shared" si="12"/>
        <v>0</v>
      </c>
      <c r="AA24" t="str">
        <f t="shared" si="13"/>
        <v/>
      </c>
      <c r="AB24" t="str">
        <f t="shared" si="14"/>
        <v/>
      </c>
      <c r="AC24" t="str">
        <f t="shared" si="15"/>
        <v/>
      </c>
      <c r="AD24" t="str">
        <f t="shared" si="16"/>
        <v/>
      </c>
      <c r="AE24">
        <f t="shared" si="17"/>
        <v>0</v>
      </c>
    </row>
    <row r="25" spans="1:31" ht="15" customHeight="1" x14ac:dyDescent="0.35">
      <c r="A25" s="2"/>
      <c r="B25" s="3"/>
      <c r="C25" s="3"/>
      <c r="D25" s="4"/>
      <c r="E25" s="5"/>
      <c r="F25" s="11" t="str">
        <f t="shared" ca="1" si="0"/>
        <v/>
      </c>
      <c r="G25" s="5"/>
      <c r="H25" s="6" t="str">
        <f>IF(AND($A25&lt;&gt;"",$B25&lt;&gt;"",$C25&lt;&gt;"",$D25&lt;&gt;"",$E25&lt;&gt;""),IF(AND($B25="s",OR($C25="SER",$C25="PLH",$C25="CSF")),"Case CDI Plate "&amp;(INT(((COUNTIFS($B$2:$B25,"s",$C$2:$C25,"SER")+COUNTIFS($B$2:$B25,"s",$C$2:$C25,"PLH")+COUNTIFS($B$2:$B25,"s",$C$2:$C25,"CSF"))-1)/96)+1)&amp;": "&amp;CHAR(65+INT(MOD((COUNTIFS($B$2:$B25,"s",$C$2:$C25,"SER")+COUNTIFS($B$2:$B25,"s",$C$2:$C25,"PLH")+COUNTIFS($B$2:$B25,"s",$C$2:$C25,"CSF"))-1,96)/12))&amp;(MOD((COUNTIFS($B$2:$B25,"s",$C$2:$C25,"SER")+COUNTIFS($B$2:$B25,"s",$C$2:$C25,"PLH")+COUNTIFS($B$2:$B25,"s",$C$2:$C25,"CSF"))-1,12)+1),"N/A"),"")</f>
        <v/>
      </c>
      <c r="I25" s="6" t="str">
        <f>IF(AND($A25&lt;&gt;"",$B25&lt;&gt;"",$C25&lt;&gt;"",$D25&lt;&gt;"",$E25&lt;&gt;""),IF(AND($B25="s",OR($C25="SER",$C25="PLH",$C25="CSF")),"Case NIH Plate "&amp;(INT(((COUNTIFS($B$2:$B25,"s",$C$2:$C25,"SER")+COUNTIFS($B$2:$B25,"s",$C$2:$C25,"PLH")+COUNTIFS($B$2:$B25,"s",$C$2:$C25,"CSF"))-1)/96)+1)&amp;": "&amp;CHAR(65+INT(MOD((COUNTIFS($B$2:$B25,"s",$C$2:$C25,"SER")+COUNTIFS($B$2:$B25,"s",$C$2:$C25,"PLH")+COUNTIFS($B$2:$B25,"s",$C$2:$C25,"CSF"))-1,96)/12))&amp;(MOD((COUNTIFS($B$2:$B25,"s",$C$2:$C25,"SER")+COUNTIFS($B$2:$B25,"s",$C$2:$C25,"PLH")+COUNTIFS($B$2:$B25,"s",$C$2:$C25,"CSF"))-1,12)+1),"N/A"),"")</f>
        <v/>
      </c>
      <c r="J25" s="6" t="str">
        <f>IF(AND($A25&lt;&gt;"",$B25&lt;&gt;"",$C25&lt;&gt;"",$D25&lt;&gt;"",$E25&lt;&gt;""),IF(AND($B25="s",OR($C25="SER",$C25="PLH")),"Case MAX Planck Plate "&amp;(INT(((COUNTIFS($B$2:$B25,"s",$C$2:$C25,"SER")+COUNTIFS($B$2:$B25,"s",$C$2:$C25,"PLH"))-1)/96)+1)&amp;": "&amp;CHAR(65+INT(MOD((COUNTIFS($B$2:$B25,"s",$C$2:$C25,"SER")+COUNTIFS($B$2:$B25,"s",$C$2:$C25,"PLH"))-1,96)/12))&amp;(MOD((COUNTIFS($B$2:$B25,"s",$C$2:$C25,"SER")+COUNTIFS($B$2:$B25,"s",$C$2:$C25,"PLH"))-1,12)+1),"N/A"),"")</f>
        <v/>
      </c>
      <c r="K25" s="6" t="str">
        <f>IF(AND($A25&lt;&gt;"",$B25&lt;&gt;"",$C25&lt;&gt;"",$D25&lt;&gt;"",$E25&lt;&gt;""),IF($C25="WB","Case WB Box "&amp;(INT((COUNTIFS($C$2:$C25,"WB")-1)/81)+1)&amp;": "&amp;CHAR(65+INT(MOD(COUNTIFS($C$2:$C25,"WB")-1,81)/9))&amp;(MOD(COUNTIFS($C$2:$C25,"WB")-1,9)+1),"N/A"),"")</f>
        <v/>
      </c>
      <c r="L25" s="2" t="str">
        <f t="shared" si="1"/>
        <v/>
      </c>
      <c r="M25" s="2"/>
      <c r="N25" s="2"/>
      <c r="O25" s="2"/>
      <c r="P25" s="7" t="str">
        <f t="shared" si="2"/>
        <v/>
      </c>
      <c r="Q25" s="7" t="str">
        <f t="shared" si="3"/>
        <v/>
      </c>
      <c r="R25" s="7" t="str">
        <f t="shared" si="4"/>
        <v/>
      </c>
      <c r="S25" s="7" t="str">
        <f t="shared" si="5"/>
        <v/>
      </c>
      <c r="T25" s="7" t="str">
        <f t="shared" si="6"/>
        <v/>
      </c>
      <c r="U25" s="7" t="str">
        <f t="shared" si="7"/>
        <v/>
      </c>
      <c r="V25" s="7" t="str">
        <f t="shared" si="8"/>
        <v/>
      </c>
      <c r="W25" s="7" t="str">
        <f t="shared" si="9"/>
        <v/>
      </c>
      <c r="X25" s="7" t="str">
        <f t="shared" si="10"/>
        <v/>
      </c>
      <c r="Y25" s="7" t="str">
        <f t="shared" si="11"/>
        <v/>
      </c>
      <c r="Z25">
        <f t="shared" si="12"/>
        <v>0</v>
      </c>
      <c r="AA25" t="str">
        <f t="shared" si="13"/>
        <v/>
      </c>
      <c r="AB25" t="str">
        <f t="shared" si="14"/>
        <v/>
      </c>
      <c r="AC25" t="str">
        <f t="shared" si="15"/>
        <v/>
      </c>
      <c r="AD25" t="str">
        <f t="shared" si="16"/>
        <v/>
      </c>
      <c r="AE25">
        <f t="shared" si="17"/>
        <v>0</v>
      </c>
    </row>
    <row r="26" spans="1:31" ht="15" customHeight="1" x14ac:dyDescent="0.35">
      <c r="A26" s="2"/>
      <c r="B26" s="3"/>
      <c r="C26" s="3"/>
      <c r="D26" s="4"/>
      <c r="E26" s="5"/>
      <c r="F26" s="11" t="str">
        <f t="shared" ca="1" si="0"/>
        <v/>
      </c>
      <c r="G26" s="5"/>
      <c r="H26" s="6" t="str">
        <f>IF(AND($A26&lt;&gt;"",$B26&lt;&gt;"",$C26&lt;&gt;"",$D26&lt;&gt;"",$E26&lt;&gt;""),IF(AND($B26="s",OR($C26="SER",$C26="PLH",$C26="CSF")),"Case CDI Plate "&amp;(INT(((COUNTIFS($B$2:$B26,"s",$C$2:$C26,"SER")+COUNTIFS($B$2:$B26,"s",$C$2:$C26,"PLH")+COUNTIFS($B$2:$B26,"s",$C$2:$C26,"CSF"))-1)/96)+1)&amp;": "&amp;CHAR(65+INT(MOD((COUNTIFS($B$2:$B26,"s",$C$2:$C26,"SER")+COUNTIFS($B$2:$B26,"s",$C$2:$C26,"PLH")+COUNTIFS($B$2:$B26,"s",$C$2:$C26,"CSF"))-1,96)/12))&amp;(MOD((COUNTIFS($B$2:$B26,"s",$C$2:$C26,"SER")+COUNTIFS($B$2:$B26,"s",$C$2:$C26,"PLH")+COUNTIFS($B$2:$B26,"s",$C$2:$C26,"CSF"))-1,12)+1),"N/A"),"")</f>
        <v/>
      </c>
      <c r="I26" s="6" t="str">
        <f>IF(AND($A26&lt;&gt;"",$B26&lt;&gt;"",$C26&lt;&gt;"",$D26&lt;&gt;"",$E26&lt;&gt;""),IF(AND($B26="s",OR($C26="SER",$C26="PLH",$C26="CSF")),"Case NIH Plate "&amp;(INT(((COUNTIFS($B$2:$B26,"s",$C$2:$C26,"SER")+COUNTIFS($B$2:$B26,"s",$C$2:$C26,"PLH")+COUNTIFS($B$2:$B26,"s",$C$2:$C26,"CSF"))-1)/96)+1)&amp;": "&amp;CHAR(65+INT(MOD((COUNTIFS($B$2:$B26,"s",$C$2:$C26,"SER")+COUNTIFS($B$2:$B26,"s",$C$2:$C26,"PLH")+COUNTIFS($B$2:$B26,"s",$C$2:$C26,"CSF"))-1,96)/12))&amp;(MOD((COUNTIFS($B$2:$B26,"s",$C$2:$C26,"SER")+COUNTIFS($B$2:$B26,"s",$C$2:$C26,"PLH")+COUNTIFS($B$2:$B26,"s",$C$2:$C26,"CSF"))-1,12)+1),"N/A"),"")</f>
        <v/>
      </c>
      <c r="J26" s="6" t="str">
        <f>IF(AND($A26&lt;&gt;"",$B26&lt;&gt;"",$C26&lt;&gt;"",$D26&lt;&gt;"",$E26&lt;&gt;""),IF(AND($B26="s",OR($C26="SER",$C26="PLH")),"Case MAX Planck Plate "&amp;(INT(((COUNTIFS($B$2:$B26,"s",$C$2:$C26,"SER")+COUNTIFS($B$2:$B26,"s",$C$2:$C26,"PLH"))-1)/96)+1)&amp;": "&amp;CHAR(65+INT(MOD((COUNTIFS($B$2:$B26,"s",$C$2:$C26,"SER")+COUNTIFS($B$2:$B26,"s",$C$2:$C26,"PLH"))-1,96)/12))&amp;(MOD((COUNTIFS($B$2:$B26,"s",$C$2:$C26,"SER")+COUNTIFS($B$2:$B26,"s",$C$2:$C26,"PLH"))-1,12)+1),"N/A"),"")</f>
        <v/>
      </c>
      <c r="K26" s="6" t="str">
        <f>IF(AND($A26&lt;&gt;"",$B26&lt;&gt;"",$C26&lt;&gt;"",$D26&lt;&gt;"",$E26&lt;&gt;""),IF($C26="WB","Case WB Box "&amp;(INT((COUNTIFS($C$2:$C26,"WB")-1)/81)+1)&amp;": "&amp;CHAR(65+INT(MOD(COUNTIFS($C$2:$C26,"WB")-1,81)/9))&amp;(MOD(COUNTIFS($C$2:$C26,"WB")-1,9)+1),"N/A"),"")</f>
        <v/>
      </c>
      <c r="L26" s="2" t="str">
        <f t="shared" si="1"/>
        <v/>
      </c>
      <c r="M26" s="2"/>
      <c r="N26" s="2"/>
      <c r="O26" s="2"/>
      <c r="P26" s="7" t="str">
        <f t="shared" si="2"/>
        <v/>
      </c>
      <c r="Q26" s="7" t="str">
        <f t="shared" si="3"/>
        <v/>
      </c>
      <c r="R26" s="7" t="str">
        <f t="shared" si="4"/>
        <v/>
      </c>
      <c r="S26" s="7" t="str">
        <f t="shared" si="5"/>
        <v/>
      </c>
      <c r="T26" s="7" t="str">
        <f t="shared" si="6"/>
        <v/>
      </c>
      <c r="U26" s="7" t="str">
        <f t="shared" si="7"/>
        <v/>
      </c>
      <c r="V26" s="7" t="str">
        <f t="shared" si="8"/>
        <v/>
      </c>
      <c r="W26" s="7" t="str">
        <f t="shared" si="9"/>
        <v/>
      </c>
      <c r="X26" s="7" t="str">
        <f t="shared" si="10"/>
        <v/>
      </c>
      <c r="Y26" s="7" t="str">
        <f t="shared" si="11"/>
        <v/>
      </c>
      <c r="Z26">
        <f t="shared" si="12"/>
        <v>0</v>
      </c>
      <c r="AA26" t="str">
        <f t="shared" si="13"/>
        <v/>
      </c>
      <c r="AB26" t="str">
        <f t="shared" si="14"/>
        <v/>
      </c>
      <c r="AC26" t="str">
        <f t="shared" si="15"/>
        <v/>
      </c>
      <c r="AD26" t="str">
        <f t="shared" si="16"/>
        <v/>
      </c>
      <c r="AE26">
        <f t="shared" si="17"/>
        <v>0</v>
      </c>
    </row>
    <row r="27" spans="1:31" ht="15" customHeight="1" x14ac:dyDescent="0.35">
      <c r="A27" s="2"/>
      <c r="B27" s="3"/>
      <c r="C27" s="3"/>
      <c r="D27" s="4"/>
      <c r="E27" s="5"/>
      <c r="F27" s="11" t="str">
        <f t="shared" ca="1" si="0"/>
        <v/>
      </c>
      <c r="G27" s="5"/>
      <c r="H27" s="6" t="str">
        <f>IF(AND($A27&lt;&gt;"",$B27&lt;&gt;"",$C27&lt;&gt;"",$D27&lt;&gt;"",$E27&lt;&gt;""),IF(AND($B27="s",OR($C27="SER",$C27="PLH",$C27="CSF")),"Case CDI Plate "&amp;(INT(((COUNTIFS($B$2:$B27,"s",$C$2:$C27,"SER")+COUNTIFS($B$2:$B27,"s",$C$2:$C27,"PLH")+COUNTIFS($B$2:$B27,"s",$C$2:$C27,"CSF"))-1)/96)+1)&amp;": "&amp;CHAR(65+INT(MOD((COUNTIFS($B$2:$B27,"s",$C$2:$C27,"SER")+COUNTIFS($B$2:$B27,"s",$C$2:$C27,"PLH")+COUNTIFS($B$2:$B27,"s",$C$2:$C27,"CSF"))-1,96)/12))&amp;(MOD((COUNTIFS($B$2:$B27,"s",$C$2:$C27,"SER")+COUNTIFS($B$2:$B27,"s",$C$2:$C27,"PLH")+COUNTIFS($B$2:$B27,"s",$C$2:$C27,"CSF"))-1,12)+1),"N/A"),"")</f>
        <v/>
      </c>
      <c r="I27" s="6" t="str">
        <f>IF(AND($A27&lt;&gt;"",$B27&lt;&gt;"",$C27&lt;&gt;"",$D27&lt;&gt;"",$E27&lt;&gt;""),IF(AND($B27="s",OR($C27="SER",$C27="PLH",$C27="CSF")),"Case NIH Plate "&amp;(INT(((COUNTIFS($B$2:$B27,"s",$C$2:$C27,"SER")+COUNTIFS($B$2:$B27,"s",$C$2:$C27,"PLH")+COUNTIFS($B$2:$B27,"s",$C$2:$C27,"CSF"))-1)/96)+1)&amp;": "&amp;CHAR(65+INT(MOD((COUNTIFS($B$2:$B27,"s",$C$2:$C27,"SER")+COUNTIFS($B$2:$B27,"s",$C$2:$C27,"PLH")+COUNTIFS($B$2:$B27,"s",$C$2:$C27,"CSF"))-1,96)/12))&amp;(MOD((COUNTIFS($B$2:$B27,"s",$C$2:$C27,"SER")+COUNTIFS($B$2:$B27,"s",$C$2:$C27,"PLH")+COUNTIFS($B$2:$B27,"s",$C$2:$C27,"CSF"))-1,12)+1),"N/A"),"")</f>
        <v/>
      </c>
      <c r="J27" s="6" t="str">
        <f>IF(AND($A27&lt;&gt;"",$B27&lt;&gt;"",$C27&lt;&gt;"",$D27&lt;&gt;"",$E27&lt;&gt;""),IF(AND($B27="s",OR($C27="SER",$C27="PLH")),"Case MAX Planck Plate "&amp;(INT(((COUNTIFS($B$2:$B27,"s",$C$2:$C27,"SER")+COUNTIFS($B$2:$B27,"s",$C$2:$C27,"PLH"))-1)/96)+1)&amp;": "&amp;CHAR(65+INT(MOD((COUNTIFS($B$2:$B27,"s",$C$2:$C27,"SER")+COUNTIFS($B$2:$B27,"s",$C$2:$C27,"PLH"))-1,96)/12))&amp;(MOD((COUNTIFS($B$2:$B27,"s",$C$2:$C27,"SER")+COUNTIFS($B$2:$B27,"s",$C$2:$C27,"PLH"))-1,12)+1),"N/A"),"")</f>
        <v/>
      </c>
      <c r="K27" s="6" t="str">
        <f>IF(AND($A27&lt;&gt;"",$B27&lt;&gt;"",$C27&lt;&gt;"",$D27&lt;&gt;"",$E27&lt;&gt;""),IF($C27="WB","Case WB Box "&amp;(INT((COUNTIFS($C$2:$C27,"WB")-1)/81)+1)&amp;": "&amp;CHAR(65+INT(MOD(COUNTIFS($C$2:$C27,"WB")-1,81)/9))&amp;(MOD(COUNTIFS($C$2:$C27,"WB")-1,9)+1),"N/A"),"")</f>
        <v/>
      </c>
      <c r="L27" s="2" t="str">
        <f t="shared" si="1"/>
        <v/>
      </c>
      <c r="M27" s="2"/>
      <c r="N27" s="2"/>
      <c r="O27" s="2"/>
      <c r="P27" s="7" t="str">
        <f t="shared" si="2"/>
        <v/>
      </c>
      <c r="Q27" s="7" t="str">
        <f t="shared" si="3"/>
        <v/>
      </c>
      <c r="R27" s="7" t="str">
        <f t="shared" si="4"/>
        <v/>
      </c>
      <c r="S27" s="7" t="str">
        <f t="shared" si="5"/>
        <v/>
      </c>
      <c r="T27" s="7" t="str">
        <f t="shared" si="6"/>
        <v/>
      </c>
      <c r="U27" s="7" t="str">
        <f t="shared" si="7"/>
        <v/>
      </c>
      <c r="V27" s="7" t="str">
        <f t="shared" si="8"/>
        <v/>
      </c>
      <c r="W27" s="7" t="str">
        <f t="shared" si="9"/>
        <v/>
      </c>
      <c r="X27" s="7" t="str">
        <f t="shared" si="10"/>
        <v/>
      </c>
      <c r="Y27" s="7" t="str">
        <f t="shared" si="11"/>
        <v/>
      </c>
      <c r="Z27">
        <f t="shared" si="12"/>
        <v>0</v>
      </c>
      <c r="AA27" t="str">
        <f t="shared" si="13"/>
        <v/>
      </c>
      <c r="AB27" t="str">
        <f t="shared" si="14"/>
        <v/>
      </c>
      <c r="AC27" t="str">
        <f t="shared" si="15"/>
        <v/>
      </c>
      <c r="AD27" t="str">
        <f t="shared" si="16"/>
        <v/>
      </c>
      <c r="AE27">
        <f t="shared" si="17"/>
        <v>0</v>
      </c>
    </row>
    <row r="28" spans="1:31" ht="15" customHeight="1" x14ac:dyDescent="0.35">
      <c r="A28" s="2"/>
      <c r="B28" s="3"/>
      <c r="C28" s="3"/>
      <c r="D28" s="4"/>
      <c r="E28" s="5"/>
      <c r="F28" s="11" t="str">
        <f t="shared" ca="1" si="0"/>
        <v/>
      </c>
      <c r="G28" s="5"/>
      <c r="H28" s="6" t="str">
        <f>IF(AND($A28&lt;&gt;"",$B28&lt;&gt;"",$C28&lt;&gt;"",$D28&lt;&gt;"",$E28&lt;&gt;""),IF(AND($B28="s",OR($C28="SER",$C28="PLH",$C28="CSF")),"Case CDI Plate "&amp;(INT(((COUNTIFS($B$2:$B28,"s",$C$2:$C28,"SER")+COUNTIFS($B$2:$B28,"s",$C$2:$C28,"PLH")+COUNTIFS($B$2:$B28,"s",$C$2:$C28,"CSF"))-1)/96)+1)&amp;": "&amp;CHAR(65+INT(MOD((COUNTIFS($B$2:$B28,"s",$C$2:$C28,"SER")+COUNTIFS($B$2:$B28,"s",$C$2:$C28,"PLH")+COUNTIFS($B$2:$B28,"s",$C$2:$C28,"CSF"))-1,96)/12))&amp;(MOD((COUNTIFS($B$2:$B28,"s",$C$2:$C28,"SER")+COUNTIFS($B$2:$B28,"s",$C$2:$C28,"PLH")+COUNTIFS($B$2:$B28,"s",$C$2:$C28,"CSF"))-1,12)+1),"N/A"),"")</f>
        <v/>
      </c>
      <c r="I28" s="6" t="str">
        <f>IF(AND($A28&lt;&gt;"",$B28&lt;&gt;"",$C28&lt;&gt;"",$D28&lt;&gt;"",$E28&lt;&gt;""),IF(AND($B28="s",OR($C28="SER",$C28="PLH",$C28="CSF")),"Case NIH Plate "&amp;(INT(((COUNTIFS($B$2:$B28,"s",$C$2:$C28,"SER")+COUNTIFS($B$2:$B28,"s",$C$2:$C28,"PLH")+COUNTIFS($B$2:$B28,"s",$C$2:$C28,"CSF"))-1)/96)+1)&amp;": "&amp;CHAR(65+INT(MOD((COUNTIFS($B$2:$B28,"s",$C$2:$C28,"SER")+COUNTIFS($B$2:$B28,"s",$C$2:$C28,"PLH")+COUNTIFS($B$2:$B28,"s",$C$2:$C28,"CSF"))-1,96)/12))&amp;(MOD((COUNTIFS($B$2:$B28,"s",$C$2:$C28,"SER")+COUNTIFS($B$2:$B28,"s",$C$2:$C28,"PLH")+COUNTIFS($B$2:$B28,"s",$C$2:$C28,"CSF"))-1,12)+1),"N/A"),"")</f>
        <v/>
      </c>
      <c r="J28" s="6" t="str">
        <f>IF(AND($A28&lt;&gt;"",$B28&lt;&gt;"",$C28&lt;&gt;"",$D28&lt;&gt;"",$E28&lt;&gt;""),IF(AND($B28="s",OR($C28="SER",$C28="PLH")),"Case MAX Planck Plate "&amp;(INT(((COUNTIFS($B$2:$B28,"s",$C$2:$C28,"SER")+COUNTIFS($B$2:$B28,"s",$C$2:$C28,"PLH"))-1)/96)+1)&amp;": "&amp;CHAR(65+INT(MOD((COUNTIFS($B$2:$B28,"s",$C$2:$C28,"SER")+COUNTIFS($B$2:$B28,"s",$C$2:$C28,"PLH"))-1,96)/12))&amp;(MOD((COUNTIFS($B$2:$B28,"s",$C$2:$C28,"SER")+COUNTIFS($B$2:$B28,"s",$C$2:$C28,"PLH"))-1,12)+1),"N/A"),"")</f>
        <v/>
      </c>
      <c r="K28" s="6" t="str">
        <f>IF(AND($A28&lt;&gt;"",$B28&lt;&gt;"",$C28&lt;&gt;"",$D28&lt;&gt;"",$E28&lt;&gt;""),IF($C28="WB","Case WB Box "&amp;(INT((COUNTIFS($C$2:$C28,"WB")-1)/81)+1)&amp;": "&amp;CHAR(65+INT(MOD(COUNTIFS($C$2:$C28,"WB")-1,81)/9))&amp;(MOD(COUNTIFS($C$2:$C28,"WB")-1,9)+1),"N/A"),"")</f>
        <v/>
      </c>
      <c r="L28" s="2" t="str">
        <f t="shared" si="1"/>
        <v/>
      </c>
      <c r="M28" s="2"/>
      <c r="N28" s="2"/>
      <c r="O28" s="2"/>
      <c r="P28" s="7" t="str">
        <f t="shared" si="2"/>
        <v/>
      </c>
      <c r="Q28" s="7" t="str">
        <f t="shared" si="3"/>
        <v/>
      </c>
      <c r="R28" s="7" t="str">
        <f t="shared" si="4"/>
        <v/>
      </c>
      <c r="S28" s="7" t="str">
        <f t="shared" si="5"/>
        <v/>
      </c>
      <c r="T28" s="7" t="str">
        <f t="shared" si="6"/>
        <v/>
      </c>
      <c r="U28" s="7" t="str">
        <f t="shared" si="7"/>
        <v/>
      </c>
      <c r="V28" s="7" t="str">
        <f t="shared" si="8"/>
        <v/>
      </c>
      <c r="W28" s="7" t="str">
        <f t="shared" si="9"/>
        <v/>
      </c>
      <c r="X28" s="7" t="str">
        <f t="shared" si="10"/>
        <v/>
      </c>
      <c r="Y28" s="7" t="str">
        <f t="shared" si="11"/>
        <v/>
      </c>
      <c r="Z28">
        <f t="shared" si="12"/>
        <v>0</v>
      </c>
      <c r="AA28" t="str">
        <f t="shared" si="13"/>
        <v/>
      </c>
      <c r="AB28" t="str">
        <f t="shared" si="14"/>
        <v/>
      </c>
      <c r="AC28" t="str">
        <f t="shared" si="15"/>
        <v/>
      </c>
      <c r="AD28" t="str">
        <f t="shared" si="16"/>
        <v/>
      </c>
      <c r="AE28">
        <f t="shared" si="17"/>
        <v>0</v>
      </c>
    </row>
    <row r="29" spans="1:31" ht="15" customHeight="1" x14ac:dyDescent="0.35">
      <c r="A29" s="2"/>
      <c r="B29" s="3"/>
      <c r="C29" s="3"/>
      <c r="D29" s="4"/>
      <c r="E29" s="5"/>
      <c r="F29" s="11" t="str">
        <f t="shared" ca="1" si="0"/>
        <v/>
      </c>
      <c r="G29" s="5"/>
      <c r="H29" s="6" t="str">
        <f>IF(AND($A29&lt;&gt;"",$B29&lt;&gt;"",$C29&lt;&gt;"",$D29&lt;&gt;"",$E29&lt;&gt;""),IF(AND($B29="s",OR($C29="SER",$C29="PLH",$C29="CSF")),"Case CDI Plate "&amp;(INT(((COUNTIFS($B$2:$B29,"s",$C$2:$C29,"SER")+COUNTIFS($B$2:$B29,"s",$C$2:$C29,"PLH")+COUNTIFS($B$2:$B29,"s",$C$2:$C29,"CSF"))-1)/96)+1)&amp;": "&amp;CHAR(65+INT(MOD((COUNTIFS($B$2:$B29,"s",$C$2:$C29,"SER")+COUNTIFS($B$2:$B29,"s",$C$2:$C29,"PLH")+COUNTIFS($B$2:$B29,"s",$C$2:$C29,"CSF"))-1,96)/12))&amp;(MOD((COUNTIFS($B$2:$B29,"s",$C$2:$C29,"SER")+COUNTIFS($B$2:$B29,"s",$C$2:$C29,"PLH")+COUNTIFS($B$2:$B29,"s",$C$2:$C29,"CSF"))-1,12)+1),"N/A"),"")</f>
        <v/>
      </c>
      <c r="I29" s="6" t="str">
        <f>IF(AND($A29&lt;&gt;"",$B29&lt;&gt;"",$C29&lt;&gt;"",$D29&lt;&gt;"",$E29&lt;&gt;""),IF(AND($B29="s",OR($C29="SER",$C29="PLH",$C29="CSF")),"Case NIH Plate "&amp;(INT(((COUNTIFS($B$2:$B29,"s",$C$2:$C29,"SER")+COUNTIFS($B$2:$B29,"s",$C$2:$C29,"PLH")+COUNTIFS($B$2:$B29,"s",$C$2:$C29,"CSF"))-1)/96)+1)&amp;": "&amp;CHAR(65+INT(MOD((COUNTIFS($B$2:$B29,"s",$C$2:$C29,"SER")+COUNTIFS($B$2:$B29,"s",$C$2:$C29,"PLH")+COUNTIFS($B$2:$B29,"s",$C$2:$C29,"CSF"))-1,96)/12))&amp;(MOD((COUNTIFS($B$2:$B29,"s",$C$2:$C29,"SER")+COUNTIFS($B$2:$B29,"s",$C$2:$C29,"PLH")+COUNTIFS($B$2:$B29,"s",$C$2:$C29,"CSF"))-1,12)+1),"N/A"),"")</f>
        <v/>
      </c>
      <c r="J29" s="6" t="str">
        <f>IF(AND($A29&lt;&gt;"",$B29&lt;&gt;"",$C29&lt;&gt;"",$D29&lt;&gt;"",$E29&lt;&gt;""),IF(AND($B29="s",OR($C29="SER",$C29="PLH")),"Case MAX Planck Plate "&amp;(INT(((COUNTIFS($B$2:$B29,"s",$C$2:$C29,"SER")+COUNTIFS($B$2:$B29,"s",$C$2:$C29,"PLH"))-1)/96)+1)&amp;": "&amp;CHAR(65+INT(MOD((COUNTIFS($B$2:$B29,"s",$C$2:$C29,"SER")+COUNTIFS($B$2:$B29,"s",$C$2:$C29,"PLH"))-1,96)/12))&amp;(MOD((COUNTIFS($B$2:$B29,"s",$C$2:$C29,"SER")+COUNTIFS($B$2:$B29,"s",$C$2:$C29,"PLH"))-1,12)+1),"N/A"),"")</f>
        <v/>
      </c>
      <c r="K29" s="6" t="str">
        <f>IF(AND($A29&lt;&gt;"",$B29&lt;&gt;"",$C29&lt;&gt;"",$D29&lt;&gt;"",$E29&lt;&gt;""),IF($C29="WB","Case WB Box "&amp;(INT((COUNTIFS($C$2:$C29,"WB")-1)/81)+1)&amp;": "&amp;CHAR(65+INT(MOD(COUNTIFS($C$2:$C29,"WB")-1,81)/9))&amp;(MOD(COUNTIFS($C$2:$C29,"WB")-1,9)+1),"N/A"),"")</f>
        <v/>
      </c>
      <c r="L29" s="2" t="str">
        <f t="shared" si="1"/>
        <v/>
      </c>
      <c r="M29" s="2"/>
      <c r="N29" s="2"/>
      <c r="O29" s="2"/>
      <c r="P29" s="7" t="str">
        <f t="shared" si="2"/>
        <v/>
      </c>
      <c r="Q29" s="7" t="str">
        <f t="shared" si="3"/>
        <v/>
      </c>
      <c r="R29" s="7" t="str">
        <f t="shared" si="4"/>
        <v/>
      </c>
      <c r="S29" s="7" t="str">
        <f t="shared" si="5"/>
        <v/>
      </c>
      <c r="T29" s="7" t="str">
        <f t="shared" si="6"/>
        <v/>
      </c>
      <c r="U29" s="7" t="str">
        <f t="shared" si="7"/>
        <v/>
      </c>
      <c r="V29" s="7" t="str">
        <f t="shared" si="8"/>
        <v/>
      </c>
      <c r="W29" s="7" t="str">
        <f t="shared" si="9"/>
        <v/>
      </c>
      <c r="X29" s="7" t="str">
        <f t="shared" si="10"/>
        <v/>
      </c>
      <c r="Y29" s="7" t="str">
        <f t="shared" si="11"/>
        <v/>
      </c>
      <c r="Z29">
        <f t="shared" si="12"/>
        <v>0</v>
      </c>
      <c r="AA29" t="str">
        <f t="shared" si="13"/>
        <v/>
      </c>
      <c r="AB29" t="str">
        <f t="shared" si="14"/>
        <v/>
      </c>
      <c r="AC29" t="str">
        <f t="shared" si="15"/>
        <v/>
      </c>
      <c r="AD29" t="str">
        <f t="shared" si="16"/>
        <v/>
      </c>
      <c r="AE29">
        <f t="shared" si="17"/>
        <v>0</v>
      </c>
    </row>
    <row r="30" spans="1:31" ht="15" customHeight="1" x14ac:dyDescent="0.35">
      <c r="A30" s="2"/>
      <c r="B30" s="3"/>
      <c r="C30" s="3"/>
      <c r="D30" s="4"/>
      <c r="E30" s="5"/>
      <c r="F30" s="11" t="str">
        <f t="shared" ca="1" si="0"/>
        <v/>
      </c>
      <c r="G30" s="5"/>
      <c r="H30" s="6" t="str">
        <f>IF(AND($A30&lt;&gt;"",$B30&lt;&gt;"",$C30&lt;&gt;"",$D30&lt;&gt;"",$E30&lt;&gt;""),IF(AND($B30="s",OR($C30="SER",$C30="PLH",$C30="CSF")),"Case CDI Plate "&amp;(INT(((COUNTIFS($B$2:$B30,"s",$C$2:$C30,"SER")+COUNTIFS($B$2:$B30,"s",$C$2:$C30,"PLH")+COUNTIFS($B$2:$B30,"s",$C$2:$C30,"CSF"))-1)/96)+1)&amp;": "&amp;CHAR(65+INT(MOD((COUNTIFS($B$2:$B30,"s",$C$2:$C30,"SER")+COUNTIFS($B$2:$B30,"s",$C$2:$C30,"PLH")+COUNTIFS($B$2:$B30,"s",$C$2:$C30,"CSF"))-1,96)/12))&amp;(MOD((COUNTIFS($B$2:$B30,"s",$C$2:$C30,"SER")+COUNTIFS($B$2:$B30,"s",$C$2:$C30,"PLH")+COUNTIFS($B$2:$B30,"s",$C$2:$C30,"CSF"))-1,12)+1),"N/A"),"")</f>
        <v/>
      </c>
      <c r="I30" s="6" t="str">
        <f>IF(AND($A30&lt;&gt;"",$B30&lt;&gt;"",$C30&lt;&gt;"",$D30&lt;&gt;"",$E30&lt;&gt;""),IF(AND($B30="s",OR($C30="SER",$C30="PLH",$C30="CSF")),"Case NIH Plate "&amp;(INT(((COUNTIFS($B$2:$B30,"s",$C$2:$C30,"SER")+COUNTIFS($B$2:$B30,"s",$C$2:$C30,"PLH")+COUNTIFS($B$2:$B30,"s",$C$2:$C30,"CSF"))-1)/96)+1)&amp;": "&amp;CHAR(65+INT(MOD((COUNTIFS($B$2:$B30,"s",$C$2:$C30,"SER")+COUNTIFS($B$2:$B30,"s",$C$2:$C30,"PLH")+COUNTIFS($B$2:$B30,"s",$C$2:$C30,"CSF"))-1,96)/12))&amp;(MOD((COUNTIFS($B$2:$B30,"s",$C$2:$C30,"SER")+COUNTIFS($B$2:$B30,"s",$C$2:$C30,"PLH")+COUNTIFS($B$2:$B30,"s",$C$2:$C30,"CSF"))-1,12)+1),"N/A"),"")</f>
        <v/>
      </c>
      <c r="J30" s="6" t="str">
        <f>IF(AND($A30&lt;&gt;"",$B30&lt;&gt;"",$C30&lt;&gt;"",$D30&lt;&gt;"",$E30&lt;&gt;""),IF(AND($B30="s",OR($C30="SER",$C30="PLH")),"Case MAX Planck Plate "&amp;(INT(((COUNTIFS($B$2:$B30,"s",$C$2:$C30,"SER")+COUNTIFS($B$2:$B30,"s",$C$2:$C30,"PLH"))-1)/96)+1)&amp;": "&amp;CHAR(65+INT(MOD((COUNTIFS($B$2:$B30,"s",$C$2:$C30,"SER")+COUNTIFS($B$2:$B30,"s",$C$2:$C30,"PLH"))-1,96)/12))&amp;(MOD((COUNTIFS($B$2:$B30,"s",$C$2:$C30,"SER")+COUNTIFS($B$2:$B30,"s",$C$2:$C30,"PLH"))-1,12)+1),"N/A"),"")</f>
        <v/>
      </c>
      <c r="K30" s="6" t="str">
        <f>IF(AND($A30&lt;&gt;"",$B30&lt;&gt;"",$C30&lt;&gt;"",$D30&lt;&gt;"",$E30&lt;&gt;""),IF($C30="WB","Case WB Box "&amp;(INT((COUNTIFS($C$2:$C30,"WB")-1)/81)+1)&amp;": "&amp;CHAR(65+INT(MOD(COUNTIFS($C$2:$C30,"WB")-1,81)/9))&amp;(MOD(COUNTIFS($C$2:$C30,"WB")-1,9)+1),"N/A"),"")</f>
        <v/>
      </c>
      <c r="L30" s="2" t="str">
        <f t="shared" si="1"/>
        <v/>
      </c>
      <c r="M30" s="2"/>
      <c r="N30" s="2"/>
      <c r="O30" s="2"/>
      <c r="P30" s="7" t="str">
        <f t="shared" si="2"/>
        <v/>
      </c>
      <c r="Q30" s="7" t="str">
        <f t="shared" si="3"/>
        <v/>
      </c>
      <c r="R30" s="7" t="str">
        <f t="shared" si="4"/>
        <v/>
      </c>
      <c r="S30" s="7" t="str">
        <f t="shared" si="5"/>
        <v/>
      </c>
      <c r="T30" s="7" t="str">
        <f t="shared" si="6"/>
        <v/>
      </c>
      <c r="U30" s="7" t="str">
        <f t="shared" si="7"/>
        <v/>
      </c>
      <c r="V30" s="7" t="str">
        <f t="shared" si="8"/>
        <v/>
      </c>
      <c r="W30" s="7" t="str">
        <f t="shared" si="9"/>
        <v/>
      </c>
      <c r="X30" s="7" t="str">
        <f t="shared" si="10"/>
        <v/>
      </c>
      <c r="Y30" s="7" t="str">
        <f t="shared" si="11"/>
        <v/>
      </c>
      <c r="Z30">
        <f t="shared" si="12"/>
        <v>0</v>
      </c>
      <c r="AA30" t="str">
        <f t="shared" si="13"/>
        <v/>
      </c>
      <c r="AB30" t="str">
        <f t="shared" si="14"/>
        <v/>
      </c>
      <c r="AC30" t="str">
        <f t="shared" si="15"/>
        <v/>
      </c>
      <c r="AD30" t="str">
        <f t="shared" si="16"/>
        <v/>
      </c>
      <c r="AE30">
        <f t="shared" si="17"/>
        <v>0</v>
      </c>
    </row>
    <row r="31" spans="1:31" ht="15" customHeight="1" x14ac:dyDescent="0.35">
      <c r="A31" s="2"/>
      <c r="B31" s="3"/>
      <c r="C31" s="3"/>
      <c r="D31" s="4"/>
      <c r="E31" s="5"/>
      <c r="F31" s="11" t="str">
        <f t="shared" ca="1" si="0"/>
        <v/>
      </c>
      <c r="G31" s="5"/>
      <c r="H31" s="6" t="str">
        <f>IF(AND($A31&lt;&gt;"",$B31&lt;&gt;"",$C31&lt;&gt;"",$D31&lt;&gt;"",$E31&lt;&gt;""),IF(AND($B31="s",OR($C31="SER",$C31="PLH",$C31="CSF")),"Case CDI Plate "&amp;(INT(((COUNTIFS($B$2:$B31,"s",$C$2:$C31,"SER")+COUNTIFS($B$2:$B31,"s",$C$2:$C31,"PLH")+COUNTIFS($B$2:$B31,"s",$C$2:$C31,"CSF"))-1)/96)+1)&amp;": "&amp;CHAR(65+INT(MOD((COUNTIFS($B$2:$B31,"s",$C$2:$C31,"SER")+COUNTIFS($B$2:$B31,"s",$C$2:$C31,"PLH")+COUNTIFS($B$2:$B31,"s",$C$2:$C31,"CSF"))-1,96)/12))&amp;(MOD((COUNTIFS($B$2:$B31,"s",$C$2:$C31,"SER")+COUNTIFS($B$2:$B31,"s",$C$2:$C31,"PLH")+COUNTIFS($B$2:$B31,"s",$C$2:$C31,"CSF"))-1,12)+1),"N/A"),"")</f>
        <v/>
      </c>
      <c r="I31" s="6" t="str">
        <f>IF(AND($A31&lt;&gt;"",$B31&lt;&gt;"",$C31&lt;&gt;"",$D31&lt;&gt;"",$E31&lt;&gt;""),IF(AND($B31="s",OR($C31="SER",$C31="PLH",$C31="CSF")),"Case NIH Plate "&amp;(INT(((COUNTIFS($B$2:$B31,"s",$C$2:$C31,"SER")+COUNTIFS($B$2:$B31,"s",$C$2:$C31,"PLH")+COUNTIFS($B$2:$B31,"s",$C$2:$C31,"CSF"))-1)/96)+1)&amp;": "&amp;CHAR(65+INT(MOD((COUNTIFS($B$2:$B31,"s",$C$2:$C31,"SER")+COUNTIFS($B$2:$B31,"s",$C$2:$C31,"PLH")+COUNTIFS($B$2:$B31,"s",$C$2:$C31,"CSF"))-1,96)/12))&amp;(MOD((COUNTIFS($B$2:$B31,"s",$C$2:$C31,"SER")+COUNTIFS($B$2:$B31,"s",$C$2:$C31,"PLH")+COUNTIFS($B$2:$B31,"s",$C$2:$C31,"CSF"))-1,12)+1),"N/A"),"")</f>
        <v/>
      </c>
      <c r="J31" s="6" t="str">
        <f>IF(AND($A31&lt;&gt;"",$B31&lt;&gt;"",$C31&lt;&gt;"",$D31&lt;&gt;"",$E31&lt;&gt;""),IF(AND($B31="s",OR($C31="SER",$C31="PLH")),"Case MAX Planck Plate "&amp;(INT(((COUNTIFS($B$2:$B31,"s",$C$2:$C31,"SER")+COUNTIFS($B$2:$B31,"s",$C$2:$C31,"PLH"))-1)/96)+1)&amp;": "&amp;CHAR(65+INT(MOD((COUNTIFS($B$2:$B31,"s",$C$2:$C31,"SER")+COUNTIFS($B$2:$B31,"s",$C$2:$C31,"PLH"))-1,96)/12))&amp;(MOD((COUNTIFS($B$2:$B31,"s",$C$2:$C31,"SER")+COUNTIFS($B$2:$B31,"s",$C$2:$C31,"PLH"))-1,12)+1),"N/A"),"")</f>
        <v/>
      </c>
      <c r="K31" s="6" t="str">
        <f>IF(AND($A31&lt;&gt;"",$B31&lt;&gt;"",$C31&lt;&gt;"",$D31&lt;&gt;"",$E31&lt;&gt;""),IF($C31="WB","Case WB Box "&amp;(INT((COUNTIFS($C$2:$C31,"WB")-1)/81)+1)&amp;": "&amp;CHAR(65+INT(MOD(COUNTIFS($C$2:$C31,"WB")-1,81)/9))&amp;(MOD(COUNTIFS($C$2:$C31,"WB")-1,9)+1),"N/A"),"")</f>
        <v/>
      </c>
      <c r="L31" s="2" t="str">
        <f t="shared" si="1"/>
        <v/>
      </c>
      <c r="M31" s="2"/>
      <c r="N31" s="2"/>
      <c r="O31" s="2"/>
      <c r="P31" s="7" t="str">
        <f t="shared" si="2"/>
        <v/>
      </c>
      <c r="Q31" s="7" t="str">
        <f t="shared" si="3"/>
        <v/>
      </c>
      <c r="R31" s="7" t="str">
        <f t="shared" si="4"/>
        <v/>
      </c>
      <c r="S31" s="7" t="str">
        <f t="shared" si="5"/>
        <v/>
      </c>
      <c r="T31" s="7" t="str">
        <f t="shared" si="6"/>
        <v/>
      </c>
      <c r="U31" s="7" t="str">
        <f t="shared" si="7"/>
        <v/>
      </c>
      <c r="V31" s="7" t="str">
        <f t="shared" si="8"/>
        <v/>
      </c>
      <c r="W31" s="7" t="str">
        <f t="shared" si="9"/>
        <v/>
      </c>
      <c r="X31" s="7" t="str">
        <f t="shared" si="10"/>
        <v/>
      </c>
      <c r="Y31" s="7" t="str">
        <f t="shared" si="11"/>
        <v/>
      </c>
      <c r="Z31">
        <f t="shared" si="12"/>
        <v>0</v>
      </c>
      <c r="AA31" t="str">
        <f t="shared" si="13"/>
        <v/>
      </c>
      <c r="AB31" t="str">
        <f t="shared" si="14"/>
        <v/>
      </c>
      <c r="AC31" t="str">
        <f t="shared" si="15"/>
        <v/>
      </c>
      <c r="AD31" t="str">
        <f t="shared" si="16"/>
        <v/>
      </c>
      <c r="AE31">
        <f t="shared" si="17"/>
        <v>0</v>
      </c>
    </row>
    <row r="32" spans="1:31" ht="15" customHeight="1" x14ac:dyDescent="0.35">
      <c r="A32" s="2"/>
      <c r="B32" s="3"/>
      <c r="C32" s="3"/>
      <c r="D32" s="4"/>
      <c r="E32" s="5"/>
      <c r="F32" s="11" t="str">
        <f t="shared" ca="1" si="0"/>
        <v/>
      </c>
      <c r="G32" s="5"/>
      <c r="H32" s="6" t="str">
        <f>IF(AND($A32&lt;&gt;"",$B32&lt;&gt;"",$C32&lt;&gt;"",$D32&lt;&gt;"",$E32&lt;&gt;""),IF(AND($B32="s",OR($C32="SER",$C32="PLH",$C32="CSF")),"Case CDI Plate "&amp;(INT(((COUNTIFS($B$2:$B32,"s",$C$2:$C32,"SER")+COUNTIFS($B$2:$B32,"s",$C$2:$C32,"PLH")+COUNTIFS($B$2:$B32,"s",$C$2:$C32,"CSF"))-1)/96)+1)&amp;": "&amp;CHAR(65+INT(MOD((COUNTIFS($B$2:$B32,"s",$C$2:$C32,"SER")+COUNTIFS($B$2:$B32,"s",$C$2:$C32,"PLH")+COUNTIFS($B$2:$B32,"s",$C$2:$C32,"CSF"))-1,96)/12))&amp;(MOD((COUNTIFS($B$2:$B32,"s",$C$2:$C32,"SER")+COUNTIFS($B$2:$B32,"s",$C$2:$C32,"PLH")+COUNTIFS($B$2:$B32,"s",$C$2:$C32,"CSF"))-1,12)+1),"N/A"),"")</f>
        <v/>
      </c>
      <c r="I32" s="6" t="str">
        <f>IF(AND($A32&lt;&gt;"",$B32&lt;&gt;"",$C32&lt;&gt;"",$D32&lt;&gt;"",$E32&lt;&gt;""),IF(AND($B32="s",OR($C32="SER",$C32="PLH",$C32="CSF")),"Case NIH Plate "&amp;(INT(((COUNTIFS($B$2:$B32,"s",$C$2:$C32,"SER")+COUNTIFS($B$2:$B32,"s",$C$2:$C32,"PLH")+COUNTIFS($B$2:$B32,"s",$C$2:$C32,"CSF"))-1)/96)+1)&amp;": "&amp;CHAR(65+INT(MOD((COUNTIFS($B$2:$B32,"s",$C$2:$C32,"SER")+COUNTIFS($B$2:$B32,"s",$C$2:$C32,"PLH")+COUNTIFS($B$2:$B32,"s",$C$2:$C32,"CSF"))-1,96)/12))&amp;(MOD((COUNTIFS($B$2:$B32,"s",$C$2:$C32,"SER")+COUNTIFS($B$2:$B32,"s",$C$2:$C32,"PLH")+COUNTIFS($B$2:$B32,"s",$C$2:$C32,"CSF"))-1,12)+1),"N/A"),"")</f>
        <v/>
      </c>
      <c r="J32" s="6" t="str">
        <f>IF(AND($A32&lt;&gt;"",$B32&lt;&gt;"",$C32&lt;&gt;"",$D32&lt;&gt;"",$E32&lt;&gt;""),IF(AND($B32="s",OR($C32="SER",$C32="PLH")),"Case MAX Planck Plate "&amp;(INT(((COUNTIFS($B$2:$B32,"s",$C$2:$C32,"SER")+COUNTIFS($B$2:$B32,"s",$C$2:$C32,"PLH"))-1)/96)+1)&amp;": "&amp;CHAR(65+INT(MOD((COUNTIFS($B$2:$B32,"s",$C$2:$C32,"SER")+COUNTIFS($B$2:$B32,"s",$C$2:$C32,"PLH"))-1,96)/12))&amp;(MOD((COUNTIFS($B$2:$B32,"s",$C$2:$C32,"SER")+COUNTIFS($B$2:$B32,"s",$C$2:$C32,"PLH"))-1,12)+1),"N/A"),"")</f>
        <v/>
      </c>
      <c r="K32" s="6" t="str">
        <f>IF(AND($A32&lt;&gt;"",$B32&lt;&gt;"",$C32&lt;&gt;"",$D32&lt;&gt;"",$E32&lt;&gt;""),IF($C32="WB","Case WB Box "&amp;(INT((COUNTIFS($C$2:$C32,"WB")-1)/81)+1)&amp;": "&amp;CHAR(65+INT(MOD(COUNTIFS($C$2:$C32,"WB")-1,81)/9))&amp;(MOD(COUNTIFS($C$2:$C32,"WB")-1,9)+1),"N/A"),"")</f>
        <v/>
      </c>
      <c r="L32" s="2" t="str">
        <f t="shared" si="1"/>
        <v/>
      </c>
      <c r="M32" s="2"/>
      <c r="N32" s="2"/>
      <c r="O32" s="2"/>
      <c r="P32" s="7" t="str">
        <f t="shared" si="2"/>
        <v/>
      </c>
      <c r="Q32" s="7" t="str">
        <f t="shared" si="3"/>
        <v/>
      </c>
      <c r="R32" s="7" t="str">
        <f t="shared" si="4"/>
        <v/>
      </c>
      <c r="S32" s="7" t="str">
        <f t="shared" si="5"/>
        <v/>
      </c>
      <c r="T32" s="7" t="str">
        <f t="shared" si="6"/>
        <v/>
      </c>
      <c r="U32" s="7" t="str">
        <f t="shared" si="7"/>
        <v/>
      </c>
      <c r="V32" s="7" t="str">
        <f t="shared" si="8"/>
        <v/>
      </c>
      <c r="W32" s="7" t="str">
        <f t="shared" si="9"/>
        <v/>
      </c>
      <c r="X32" s="7" t="str">
        <f t="shared" si="10"/>
        <v/>
      </c>
      <c r="Y32" s="7" t="str">
        <f t="shared" si="11"/>
        <v/>
      </c>
      <c r="Z32">
        <f t="shared" si="12"/>
        <v>0</v>
      </c>
      <c r="AA32" t="str">
        <f t="shared" si="13"/>
        <v/>
      </c>
      <c r="AB32" t="str">
        <f t="shared" si="14"/>
        <v/>
      </c>
      <c r="AC32" t="str">
        <f t="shared" si="15"/>
        <v/>
      </c>
      <c r="AD32" t="str">
        <f t="shared" si="16"/>
        <v/>
      </c>
      <c r="AE32">
        <f t="shared" si="17"/>
        <v>0</v>
      </c>
    </row>
    <row r="33" spans="1:31" ht="15" customHeight="1" x14ac:dyDescent="0.35">
      <c r="A33" s="2"/>
      <c r="B33" s="3"/>
      <c r="C33" s="3"/>
      <c r="D33" s="4"/>
      <c r="E33" s="5"/>
      <c r="F33" s="11" t="str">
        <f t="shared" ca="1" si="0"/>
        <v/>
      </c>
      <c r="G33" s="5"/>
      <c r="H33" s="6" t="str">
        <f>IF(AND($A33&lt;&gt;"",$B33&lt;&gt;"",$C33&lt;&gt;"",$D33&lt;&gt;"",$E33&lt;&gt;""),IF(AND($B33="s",OR($C33="SER",$C33="PLH",$C33="CSF")),"Case CDI Plate "&amp;(INT(((COUNTIFS($B$2:$B33,"s",$C$2:$C33,"SER")+COUNTIFS($B$2:$B33,"s",$C$2:$C33,"PLH")+COUNTIFS($B$2:$B33,"s",$C$2:$C33,"CSF"))-1)/96)+1)&amp;": "&amp;CHAR(65+INT(MOD((COUNTIFS($B$2:$B33,"s",$C$2:$C33,"SER")+COUNTIFS($B$2:$B33,"s",$C$2:$C33,"PLH")+COUNTIFS($B$2:$B33,"s",$C$2:$C33,"CSF"))-1,96)/12))&amp;(MOD((COUNTIFS($B$2:$B33,"s",$C$2:$C33,"SER")+COUNTIFS($B$2:$B33,"s",$C$2:$C33,"PLH")+COUNTIFS($B$2:$B33,"s",$C$2:$C33,"CSF"))-1,12)+1),"N/A"),"")</f>
        <v/>
      </c>
      <c r="I33" s="6" t="str">
        <f>IF(AND($A33&lt;&gt;"",$B33&lt;&gt;"",$C33&lt;&gt;"",$D33&lt;&gt;"",$E33&lt;&gt;""),IF(AND($B33="s",OR($C33="SER",$C33="PLH",$C33="CSF")),"Case NIH Plate "&amp;(INT(((COUNTIFS($B$2:$B33,"s",$C$2:$C33,"SER")+COUNTIFS($B$2:$B33,"s",$C$2:$C33,"PLH")+COUNTIFS($B$2:$B33,"s",$C$2:$C33,"CSF"))-1)/96)+1)&amp;": "&amp;CHAR(65+INT(MOD((COUNTIFS($B$2:$B33,"s",$C$2:$C33,"SER")+COUNTIFS($B$2:$B33,"s",$C$2:$C33,"PLH")+COUNTIFS($B$2:$B33,"s",$C$2:$C33,"CSF"))-1,96)/12))&amp;(MOD((COUNTIFS($B$2:$B33,"s",$C$2:$C33,"SER")+COUNTIFS($B$2:$B33,"s",$C$2:$C33,"PLH")+COUNTIFS($B$2:$B33,"s",$C$2:$C33,"CSF"))-1,12)+1),"N/A"),"")</f>
        <v/>
      </c>
      <c r="J33" s="6" t="str">
        <f>IF(AND($A33&lt;&gt;"",$B33&lt;&gt;"",$C33&lt;&gt;"",$D33&lt;&gt;"",$E33&lt;&gt;""),IF(AND($B33="s",OR($C33="SER",$C33="PLH")),"Case MAX Planck Plate "&amp;(INT(((COUNTIFS($B$2:$B33,"s",$C$2:$C33,"SER")+COUNTIFS($B$2:$B33,"s",$C$2:$C33,"PLH"))-1)/96)+1)&amp;": "&amp;CHAR(65+INT(MOD((COUNTIFS($B$2:$B33,"s",$C$2:$C33,"SER")+COUNTIFS($B$2:$B33,"s",$C$2:$C33,"PLH"))-1,96)/12))&amp;(MOD((COUNTIFS($B$2:$B33,"s",$C$2:$C33,"SER")+COUNTIFS($B$2:$B33,"s",$C$2:$C33,"PLH"))-1,12)+1),"N/A"),"")</f>
        <v/>
      </c>
      <c r="K33" s="6" t="str">
        <f>IF(AND($A33&lt;&gt;"",$B33&lt;&gt;"",$C33&lt;&gt;"",$D33&lt;&gt;"",$E33&lt;&gt;""),IF($C33="WB","Case WB Box "&amp;(INT((COUNTIFS($C$2:$C33,"WB")-1)/81)+1)&amp;": "&amp;CHAR(65+INT(MOD(COUNTIFS($C$2:$C33,"WB")-1,81)/9))&amp;(MOD(COUNTIFS($C$2:$C33,"WB")-1,9)+1),"N/A"),"")</f>
        <v/>
      </c>
      <c r="L33" s="2" t="str">
        <f t="shared" si="1"/>
        <v/>
      </c>
      <c r="M33" s="2"/>
      <c r="N33" s="2"/>
      <c r="O33" s="2"/>
      <c r="P33" s="7" t="str">
        <f t="shared" si="2"/>
        <v/>
      </c>
      <c r="Q33" s="7" t="str">
        <f t="shared" si="3"/>
        <v/>
      </c>
      <c r="R33" s="7" t="str">
        <f t="shared" si="4"/>
        <v/>
      </c>
      <c r="S33" s="7" t="str">
        <f t="shared" si="5"/>
        <v/>
      </c>
      <c r="T33" s="7" t="str">
        <f t="shared" si="6"/>
        <v/>
      </c>
      <c r="U33" s="7" t="str">
        <f t="shared" si="7"/>
        <v/>
      </c>
      <c r="V33" s="7" t="str">
        <f t="shared" si="8"/>
        <v/>
      </c>
      <c r="W33" s="7" t="str">
        <f t="shared" si="9"/>
        <v/>
      </c>
      <c r="X33" s="7" t="str">
        <f t="shared" si="10"/>
        <v/>
      </c>
      <c r="Y33" s="7" t="str">
        <f t="shared" si="11"/>
        <v/>
      </c>
      <c r="Z33">
        <f t="shared" si="12"/>
        <v>0</v>
      </c>
      <c r="AA33" t="str">
        <f t="shared" si="13"/>
        <v/>
      </c>
      <c r="AB33" t="str">
        <f t="shared" si="14"/>
        <v/>
      </c>
      <c r="AC33" t="str">
        <f t="shared" si="15"/>
        <v/>
      </c>
      <c r="AD33" t="str">
        <f t="shared" si="16"/>
        <v/>
      </c>
      <c r="AE33">
        <f t="shared" si="17"/>
        <v>0</v>
      </c>
    </row>
    <row r="34" spans="1:31" ht="15" customHeight="1" x14ac:dyDescent="0.35">
      <c r="A34" s="2"/>
      <c r="B34" s="3"/>
      <c r="C34" s="3"/>
      <c r="D34" s="4"/>
      <c r="E34" s="5"/>
      <c r="F34" s="11" t="str">
        <f t="shared" ca="1" si="0"/>
        <v/>
      </c>
      <c r="G34" s="5"/>
      <c r="H34" s="6" t="str">
        <f>IF(AND($A34&lt;&gt;"",$B34&lt;&gt;"",$C34&lt;&gt;"",$D34&lt;&gt;"",$E34&lt;&gt;""),IF(AND($B34="s",OR($C34="SER",$C34="PLH",$C34="CSF")),"Case CDI Plate "&amp;(INT(((COUNTIFS($B$2:$B34,"s",$C$2:$C34,"SER")+COUNTIFS($B$2:$B34,"s",$C$2:$C34,"PLH")+COUNTIFS($B$2:$B34,"s",$C$2:$C34,"CSF"))-1)/96)+1)&amp;": "&amp;CHAR(65+INT(MOD((COUNTIFS($B$2:$B34,"s",$C$2:$C34,"SER")+COUNTIFS($B$2:$B34,"s",$C$2:$C34,"PLH")+COUNTIFS($B$2:$B34,"s",$C$2:$C34,"CSF"))-1,96)/12))&amp;(MOD((COUNTIFS($B$2:$B34,"s",$C$2:$C34,"SER")+COUNTIFS($B$2:$B34,"s",$C$2:$C34,"PLH")+COUNTIFS($B$2:$B34,"s",$C$2:$C34,"CSF"))-1,12)+1),"N/A"),"")</f>
        <v/>
      </c>
      <c r="I34" s="6" t="str">
        <f>IF(AND($A34&lt;&gt;"",$B34&lt;&gt;"",$C34&lt;&gt;"",$D34&lt;&gt;"",$E34&lt;&gt;""),IF(AND($B34="s",OR($C34="SER",$C34="PLH",$C34="CSF")),"Case NIH Plate "&amp;(INT(((COUNTIFS($B$2:$B34,"s",$C$2:$C34,"SER")+COUNTIFS($B$2:$B34,"s",$C$2:$C34,"PLH")+COUNTIFS($B$2:$B34,"s",$C$2:$C34,"CSF"))-1)/96)+1)&amp;": "&amp;CHAR(65+INT(MOD((COUNTIFS($B$2:$B34,"s",$C$2:$C34,"SER")+COUNTIFS($B$2:$B34,"s",$C$2:$C34,"PLH")+COUNTIFS($B$2:$B34,"s",$C$2:$C34,"CSF"))-1,96)/12))&amp;(MOD((COUNTIFS($B$2:$B34,"s",$C$2:$C34,"SER")+COUNTIFS($B$2:$B34,"s",$C$2:$C34,"PLH")+COUNTIFS($B$2:$B34,"s",$C$2:$C34,"CSF"))-1,12)+1),"N/A"),"")</f>
        <v/>
      </c>
      <c r="J34" s="6" t="str">
        <f>IF(AND($A34&lt;&gt;"",$B34&lt;&gt;"",$C34&lt;&gt;"",$D34&lt;&gt;"",$E34&lt;&gt;""),IF(AND($B34="s",OR($C34="SER",$C34="PLH")),"Case MAX Planck Plate "&amp;(INT(((COUNTIFS($B$2:$B34,"s",$C$2:$C34,"SER")+COUNTIFS($B$2:$B34,"s",$C$2:$C34,"PLH"))-1)/96)+1)&amp;": "&amp;CHAR(65+INT(MOD((COUNTIFS($B$2:$B34,"s",$C$2:$C34,"SER")+COUNTIFS($B$2:$B34,"s",$C$2:$C34,"PLH"))-1,96)/12))&amp;(MOD((COUNTIFS($B$2:$B34,"s",$C$2:$C34,"SER")+COUNTIFS($B$2:$B34,"s",$C$2:$C34,"PLH"))-1,12)+1),"N/A"),"")</f>
        <v/>
      </c>
      <c r="K34" s="6" t="str">
        <f>IF(AND($A34&lt;&gt;"",$B34&lt;&gt;"",$C34&lt;&gt;"",$D34&lt;&gt;"",$E34&lt;&gt;""),IF($C34="WB","Case WB Box "&amp;(INT((COUNTIFS($C$2:$C34,"WB")-1)/81)+1)&amp;": "&amp;CHAR(65+INT(MOD(COUNTIFS($C$2:$C34,"WB")-1,81)/9))&amp;(MOD(COUNTIFS($C$2:$C34,"WB")-1,9)+1),"N/A"),"")</f>
        <v/>
      </c>
      <c r="L34" s="2" t="str">
        <f t="shared" si="1"/>
        <v/>
      </c>
      <c r="M34" s="2"/>
      <c r="N34" s="2"/>
      <c r="O34" s="2"/>
      <c r="P34" s="7" t="str">
        <f t="shared" si="2"/>
        <v/>
      </c>
      <c r="Q34" s="7" t="str">
        <f t="shared" si="3"/>
        <v/>
      </c>
      <c r="R34" s="7" t="str">
        <f t="shared" si="4"/>
        <v/>
      </c>
      <c r="S34" s="7" t="str">
        <f t="shared" si="5"/>
        <v/>
      </c>
      <c r="T34" s="7" t="str">
        <f t="shared" si="6"/>
        <v/>
      </c>
      <c r="U34" s="7" t="str">
        <f t="shared" si="7"/>
        <v/>
      </c>
      <c r="V34" s="7" t="str">
        <f t="shared" si="8"/>
        <v/>
      </c>
      <c r="W34" s="7" t="str">
        <f t="shared" si="9"/>
        <v/>
      </c>
      <c r="X34" s="7" t="str">
        <f t="shared" si="10"/>
        <v/>
      </c>
      <c r="Y34" s="7" t="str">
        <f t="shared" si="11"/>
        <v/>
      </c>
      <c r="Z34">
        <f t="shared" si="12"/>
        <v>0</v>
      </c>
      <c r="AA34" t="str">
        <f t="shared" si="13"/>
        <v/>
      </c>
      <c r="AB34" t="str">
        <f t="shared" si="14"/>
        <v/>
      </c>
      <c r="AC34" t="str">
        <f t="shared" si="15"/>
        <v/>
      </c>
      <c r="AD34" t="str">
        <f t="shared" si="16"/>
        <v/>
      </c>
      <c r="AE34">
        <f t="shared" si="17"/>
        <v>0</v>
      </c>
    </row>
    <row r="35" spans="1:31" ht="15" customHeight="1" x14ac:dyDescent="0.35">
      <c r="A35" s="2"/>
      <c r="B35" s="3"/>
      <c r="C35" s="3"/>
      <c r="D35" s="4"/>
      <c r="E35" s="5"/>
      <c r="F35" s="11" t="str">
        <f t="shared" ca="1" si="0"/>
        <v/>
      </c>
      <c r="G35" s="5"/>
      <c r="H35" s="6" t="str">
        <f>IF(AND($A35&lt;&gt;"",$B35&lt;&gt;"",$C35&lt;&gt;"",$D35&lt;&gt;"",$E35&lt;&gt;""),IF(AND($B35="s",OR($C35="SER",$C35="PLH",$C35="CSF")),"Case CDI Plate "&amp;(INT(((COUNTIFS($B$2:$B35,"s",$C$2:$C35,"SER")+COUNTIFS($B$2:$B35,"s",$C$2:$C35,"PLH")+COUNTIFS($B$2:$B35,"s",$C$2:$C35,"CSF"))-1)/96)+1)&amp;": "&amp;CHAR(65+INT(MOD((COUNTIFS($B$2:$B35,"s",$C$2:$C35,"SER")+COUNTIFS($B$2:$B35,"s",$C$2:$C35,"PLH")+COUNTIFS($B$2:$B35,"s",$C$2:$C35,"CSF"))-1,96)/12))&amp;(MOD((COUNTIFS($B$2:$B35,"s",$C$2:$C35,"SER")+COUNTIFS($B$2:$B35,"s",$C$2:$C35,"PLH")+COUNTIFS($B$2:$B35,"s",$C$2:$C35,"CSF"))-1,12)+1),"N/A"),"")</f>
        <v/>
      </c>
      <c r="I35" s="6" t="str">
        <f>IF(AND($A35&lt;&gt;"",$B35&lt;&gt;"",$C35&lt;&gt;"",$D35&lt;&gt;"",$E35&lt;&gt;""),IF(AND($B35="s",OR($C35="SER",$C35="PLH",$C35="CSF")),"Case NIH Plate "&amp;(INT(((COUNTIFS($B$2:$B35,"s",$C$2:$C35,"SER")+COUNTIFS($B$2:$B35,"s",$C$2:$C35,"PLH")+COUNTIFS($B$2:$B35,"s",$C$2:$C35,"CSF"))-1)/96)+1)&amp;": "&amp;CHAR(65+INT(MOD((COUNTIFS($B$2:$B35,"s",$C$2:$C35,"SER")+COUNTIFS($B$2:$B35,"s",$C$2:$C35,"PLH")+COUNTIFS($B$2:$B35,"s",$C$2:$C35,"CSF"))-1,96)/12))&amp;(MOD((COUNTIFS($B$2:$B35,"s",$C$2:$C35,"SER")+COUNTIFS($B$2:$B35,"s",$C$2:$C35,"PLH")+COUNTIFS($B$2:$B35,"s",$C$2:$C35,"CSF"))-1,12)+1),"N/A"),"")</f>
        <v/>
      </c>
      <c r="J35" s="6" t="str">
        <f>IF(AND($A35&lt;&gt;"",$B35&lt;&gt;"",$C35&lt;&gt;"",$D35&lt;&gt;"",$E35&lt;&gt;""),IF(AND($B35="s",OR($C35="SER",$C35="PLH")),"Case MAX Planck Plate "&amp;(INT(((COUNTIFS($B$2:$B35,"s",$C$2:$C35,"SER")+COUNTIFS($B$2:$B35,"s",$C$2:$C35,"PLH"))-1)/96)+1)&amp;": "&amp;CHAR(65+INT(MOD((COUNTIFS($B$2:$B35,"s",$C$2:$C35,"SER")+COUNTIFS($B$2:$B35,"s",$C$2:$C35,"PLH"))-1,96)/12))&amp;(MOD((COUNTIFS($B$2:$B35,"s",$C$2:$C35,"SER")+COUNTIFS($B$2:$B35,"s",$C$2:$C35,"PLH"))-1,12)+1),"N/A"),"")</f>
        <v/>
      </c>
      <c r="K35" s="6" t="str">
        <f>IF(AND($A35&lt;&gt;"",$B35&lt;&gt;"",$C35&lt;&gt;"",$D35&lt;&gt;"",$E35&lt;&gt;""),IF($C35="WB","Case WB Box "&amp;(INT((COUNTIFS($C$2:$C35,"WB")-1)/81)+1)&amp;": "&amp;CHAR(65+INT(MOD(COUNTIFS($C$2:$C35,"WB")-1,81)/9))&amp;(MOD(COUNTIFS($C$2:$C35,"WB")-1,9)+1),"N/A"),"")</f>
        <v/>
      </c>
      <c r="L35" s="2" t="str">
        <f t="shared" si="1"/>
        <v/>
      </c>
      <c r="M35" s="2"/>
      <c r="N35" s="2"/>
      <c r="O35" s="2"/>
      <c r="P35" s="7" t="str">
        <f t="shared" si="2"/>
        <v/>
      </c>
      <c r="Q35" s="7" t="str">
        <f t="shared" si="3"/>
        <v/>
      </c>
      <c r="R35" s="7" t="str">
        <f t="shared" si="4"/>
        <v/>
      </c>
      <c r="S35" s="7" t="str">
        <f t="shared" si="5"/>
        <v/>
      </c>
      <c r="T35" s="7" t="str">
        <f t="shared" si="6"/>
        <v/>
      </c>
      <c r="U35" s="7" t="str">
        <f t="shared" si="7"/>
        <v/>
      </c>
      <c r="V35" s="7" t="str">
        <f t="shared" si="8"/>
        <v/>
      </c>
      <c r="W35" s="7" t="str">
        <f t="shared" si="9"/>
        <v/>
      </c>
      <c r="X35" s="7" t="str">
        <f t="shared" si="10"/>
        <v/>
      </c>
      <c r="Y35" s="7" t="str">
        <f t="shared" si="11"/>
        <v/>
      </c>
      <c r="Z35">
        <f t="shared" si="12"/>
        <v>0</v>
      </c>
      <c r="AA35" t="str">
        <f t="shared" si="13"/>
        <v/>
      </c>
      <c r="AB35" t="str">
        <f t="shared" si="14"/>
        <v/>
      </c>
      <c r="AC35" t="str">
        <f t="shared" si="15"/>
        <v/>
      </c>
      <c r="AD35" t="str">
        <f t="shared" si="16"/>
        <v/>
      </c>
      <c r="AE35">
        <f t="shared" si="17"/>
        <v>0</v>
      </c>
    </row>
    <row r="36" spans="1:31" ht="15" customHeight="1" x14ac:dyDescent="0.35">
      <c r="A36" s="2"/>
      <c r="B36" s="3"/>
      <c r="C36" s="3"/>
      <c r="D36" s="4"/>
      <c r="E36" s="5"/>
      <c r="F36" s="11" t="str">
        <f t="shared" ca="1" si="0"/>
        <v/>
      </c>
      <c r="G36" s="5"/>
      <c r="H36" s="6" t="str">
        <f>IF(AND($A36&lt;&gt;"",$B36&lt;&gt;"",$C36&lt;&gt;"",$D36&lt;&gt;"",$E36&lt;&gt;""),IF(AND($B36="s",OR($C36="SER",$C36="PLH",$C36="CSF")),"Case CDI Plate "&amp;(INT(((COUNTIFS($B$2:$B36,"s",$C$2:$C36,"SER")+COUNTIFS($B$2:$B36,"s",$C$2:$C36,"PLH")+COUNTIFS($B$2:$B36,"s",$C$2:$C36,"CSF"))-1)/96)+1)&amp;": "&amp;CHAR(65+INT(MOD((COUNTIFS($B$2:$B36,"s",$C$2:$C36,"SER")+COUNTIFS($B$2:$B36,"s",$C$2:$C36,"PLH")+COUNTIFS($B$2:$B36,"s",$C$2:$C36,"CSF"))-1,96)/12))&amp;(MOD((COUNTIFS($B$2:$B36,"s",$C$2:$C36,"SER")+COUNTIFS($B$2:$B36,"s",$C$2:$C36,"PLH")+COUNTIFS($B$2:$B36,"s",$C$2:$C36,"CSF"))-1,12)+1),"N/A"),"")</f>
        <v/>
      </c>
      <c r="I36" s="6" t="str">
        <f>IF(AND($A36&lt;&gt;"",$B36&lt;&gt;"",$C36&lt;&gt;"",$D36&lt;&gt;"",$E36&lt;&gt;""),IF(AND($B36="s",OR($C36="SER",$C36="PLH",$C36="CSF")),"Case NIH Plate "&amp;(INT(((COUNTIFS($B$2:$B36,"s",$C$2:$C36,"SER")+COUNTIFS($B$2:$B36,"s",$C$2:$C36,"PLH")+COUNTIFS($B$2:$B36,"s",$C$2:$C36,"CSF"))-1)/96)+1)&amp;": "&amp;CHAR(65+INT(MOD((COUNTIFS($B$2:$B36,"s",$C$2:$C36,"SER")+COUNTIFS($B$2:$B36,"s",$C$2:$C36,"PLH")+COUNTIFS($B$2:$B36,"s",$C$2:$C36,"CSF"))-1,96)/12))&amp;(MOD((COUNTIFS($B$2:$B36,"s",$C$2:$C36,"SER")+COUNTIFS($B$2:$B36,"s",$C$2:$C36,"PLH")+COUNTIFS($B$2:$B36,"s",$C$2:$C36,"CSF"))-1,12)+1),"N/A"),"")</f>
        <v/>
      </c>
      <c r="J36" s="6" t="str">
        <f>IF(AND($A36&lt;&gt;"",$B36&lt;&gt;"",$C36&lt;&gt;"",$D36&lt;&gt;"",$E36&lt;&gt;""),IF(AND($B36="s",OR($C36="SER",$C36="PLH")),"Case MAX Planck Plate "&amp;(INT(((COUNTIFS($B$2:$B36,"s",$C$2:$C36,"SER")+COUNTIFS($B$2:$B36,"s",$C$2:$C36,"PLH"))-1)/96)+1)&amp;": "&amp;CHAR(65+INT(MOD((COUNTIFS($B$2:$B36,"s",$C$2:$C36,"SER")+COUNTIFS($B$2:$B36,"s",$C$2:$C36,"PLH"))-1,96)/12))&amp;(MOD((COUNTIFS($B$2:$B36,"s",$C$2:$C36,"SER")+COUNTIFS($B$2:$B36,"s",$C$2:$C36,"PLH"))-1,12)+1),"N/A"),"")</f>
        <v/>
      </c>
      <c r="K36" s="6" t="str">
        <f>IF(AND($A36&lt;&gt;"",$B36&lt;&gt;"",$C36&lt;&gt;"",$D36&lt;&gt;"",$E36&lt;&gt;""),IF($C36="WB","Case WB Box "&amp;(INT((COUNTIFS($C$2:$C36,"WB")-1)/81)+1)&amp;": "&amp;CHAR(65+INT(MOD(COUNTIFS($C$2:$C36,"WB")-1,81)/9))&amp;(MOD(COUNTIFS($C$2:$C36,"WB")-1,9)+1),"N/A"),"")</f>
        <v/>
      </c>
      <c r="L36" s="2" t="str">
        <f t="shared" si="1"/>
        <v/>
      </c>
      <c r="M36" s="2"/>
      <c r="N36" s="2"/>
      <c r="O36" s="2"/>
      <c r="P36" s="7" t="str">
        <f t="shared" si="2"/>
        <v/>
      </c>
      <c r="Q36" s="7" t="str">
        <f t="shared" si="3"/>
        <v/>
      </c>
      <c r="R36" s="7" t="str">
        <f t="shared" si="4"/>
        <v/>
      </c>
      <c r="S36" s="7" t="str">
        <f t="shared" si="5"/>
        <v/>
      </c>
      <c r="T36" s="7" t="str">
        <f t="shared" si="6"/>
        <v/>
      </c>
      <c r="U36" s="7" t="str">
        <f t="shared" si="7"/>
        <v/>
      </c>
      <c r="V36" s="7" t="str">
        <f t="shared" si="8"/>
        <v/>
      </c>
      <c r="W36" s="7" t="str">
        <f t="shared" si="9"/>
        <v/>
      </c>
      <c r="X36" s="7" t="str">
        <f t="shared" si="10"/>
        <v/>
      </c>
      <c r="Y36" s="7" t="str">
        <f t="shared" si="11"/>
        <v/>
      </c>
      <c r="Z36">
        <f t="shared" si="12"/>
        <v>0</v>
      </c>
      <c r="AA36" t="str">
        <f t="shared" si="13"/>
        <v/>
      </c>
      <c r="AB36" t="str">
        <f t="shared" si="14"/>
        <v/>
      </c>
      <c r="AC36" t="str">
        <f t="shared" si="15"/>
        <v/>
      </c>
      <c r="AD36" t="str">
        <f t="shared" si="16"/>
        <v/>
      </c>
      <c r="AE36">
        <f t="shared" si="17"/>
        <v>0</v>
      </c>
    </row>
    <row r="37" spans="1:31" ht="15" customHeight="1" x14ac:dyDescent="0.35">
      <c r="A37" s="2"/>
      <c r="B37" s="3"/>
      <c r="C37" s="3"/>
      <c r="D37" s="4"/>
      <c r="E37" s="5"/>
      <c r="F37" s="11" t="str">
        <f t="shared" ca="1" si="0"/>
        <v/>
      </c>
      <c r="G37" s="5"/>
      <c r="H37" s="6" t="str">
        <f>IF(AND($A37&lt;&gt;"",$B37&lt;&gt;"",$C37&lt;&gt;"",$D37&lt;&gt;"",$E37&lt;&gt;""),IF(AND($B37="s",OR($C37="SER",$C37="PLH",$C37="CSF")),"Case CDI Plate "&amp;(INT(((COUNTIFS($B$2:$B37,"s",$C$2:$C37,"SER")+COUNTIFS($B$2:$B37,"s",$C$2:$C37,"PLH")+COUNTIFS($B$2:$B37,"s",$C$2:$C37,"CSF"))-1)/96)+1)&amp;": "&amp;CHAR(65+INT(MOD((COUNTIFS($B$2:$B37,"s",$C$2:$C37,"SER")+COUNTIFS($B$2:$B37,"s",$C$2:$C37,"PLH")+COUNTIFS($B$2:$B37,"s",$C$2:$C37,"CSF"))-1,96)/12))&amp;(MOD((COUNTIFS($B$2:$B37,"s",$C$2:$C37,"SER")+COUNTIFS($B$2:$B37,"s",$C$2:$C37,"PLH")+COUNTIFS($B$2:$B37,"s",$C$2:$C37,"CSF"))-1,12)+1),"N/A"),"")</f>
        <v/>
      </c>
      <c r="I37" s="6" t="str">
        <f>IF(AND($A37&lt;&gt;"",$B37&lt;&gt;"",$C37&lt;&gt;"",$D37&lt;&gt;"",$E37&lt;&gt;""),IF(AND($B37="s",OR($C37="SER",$C37="PLH",$C37="CSF")),"Case NIH Plate "&amp;(INT(((COUNTIFS($B$2:$B37,"s",$C$2:$C37,"SER")+COUNTIFS($B$2:$B37,"s",$C$2:$C37,"PLH")+COUNTIFS($B$2:$B37,"s",$C$2:$C37,"CSF"))-1)/96)+1)&amp;": "&amp;CHAR(65+INT(MOD((COUNTIFS($B$2:$B37,"s",$C$2:$C37,"SER")+COUNTIFS($B$2:$B37,"s",$C$2:$C37,"PLH")+COUNTIFS($B$2:$B37,"s",$C$2:$C37,"CSF"))-1,96)/12))&amp;(MOD((COUNTIFS($B$2:$B37,"s",$C$2:$C37,"SER")+COUNTIFS($B$2:$B37,"s",$C$2:$C37,"PLH")+COUNTIFS($B$2:$B37,"s",$C$2:$C37,"CSF"))-1,12)+1),"N/A"),"")</f>
        <v/>
      </c>
      <c r="J37" s="6" t="str">
        <f>IF(AND($A37&lt;&gt;"",$B37&lt;&gt;"",$C37&lt;&gt;"",$D37&lt;&gt;"",$E37&lt;&gt;""),IF(AND($B37="s",OR($C37="SER",$C37="PLH")),"Case MAX Planck Plate "&amp;(INT(((COUNTIFS($B$2:$B37,"s",$C$2:$C37,"SER")+COUNTIFS($B$2:$B37,"s",$C$2:$C37,"PLH"))-1)/96)+1)&amp;": "&amp;CHAR(65+INT(MOD((COUNTIFS($B$2:$B37,"s",$C$2:$C37,"SER")+COUNTIFS($B$2:$B37,"s",$C$2:$C37,"PLH"))-1,96)/12))&amp;(MOD((COUNTIFS($B$2:$B37,"s",$C$2:$C37,"SER")+COUNTIFS($B$2:$B37,"s",$C$2:$C37,"PLH"))-1,12)+1),"N/A"),"")</f>
        <v/>
      </c>
      <c r="K37" s="6" t="str">
        <f>IF(AND($A37&lt;&gt;"",$B37&lt;&gt;"",$C37&lt;&gt;"",$D37&lt;&gt;"",$E37&lt;&gt;""),IF($C37="WB","Case WB Box "&amp;(INT((COUNTIFS($C$2:$C37,"WB")-1)/81)+1)&amp;": "&amp;CHAR(65+INT(MOD(COUNTIFS($C$2:$C37,"WB")-1,81)/9))&amp;(MOD(COUNTIFS($C$2:$C37,"WB")-1,9)+1),"N/A"),"")</f>
        <v/>
      </c>
      <c r="L37" s="2" t="str">
        <f t="shared" si="1"/>
        <v/>
      </c>
      <c r="M37" s="2"/>
      <c r="N37" s="2"/>
      <c r="O37" s="2"/>
      <c r="P37" s="7" t="str">
        <f t="shared" si="2"/>
        <v/>
      </c>
      <c r="Q37" s="7" t="str">
        <f t="shared" si="3"/>
        <v/>
      </c>
      <c r="R37" s="7" t="str">
        <f t="shared" si="4"/>
        <v/>
      </c>
      <c r="S37" s="7" t="str">
        <f t="shared" si="5"/>
        <v/>
      </c>
      <c r="T37" s="7" t="str">
        <f t="shared" si="6"/>
        <v/>
      </c>
      <c r="U37" s="7" t="str">
        <f t="shared" si="7"/>
        <v/>
      </c>
      <c r="V37" s="7" t="str">
        <f t="shared" si="8"/>
        <v/>
      </c>
      <c r="W37" s="7" t="str">
        <f t="shared" si="9"/>
        <v/>
      </c>
      <c r="X37" s="7" t="str">
        <f t="shared" si="10"/>
        <v/>
      </c>
      <c r="Y37" s="7" t="str">
        <f t="shared" si="11"/>
        <v/>
      </c>
      <c r="Z37">
        <f t="shared" si="12"/>
        <v>0</v>
      </c>
      <c r="AA37" t="str">
        <f t="shared" si="13"/>
        <v/>
      </c>
      <c r="AB37" t="str">
        <f t="shared" si="14"/>
        <v/>
      </c>
      <c r="AC37" t="str">
        <f t="shared" si="15"/>
        <v/>
      </c>
      <c r="AD37" t="str">
        <f t="shared" si="16"/>
        <v/>
      </c>
      <c r="AE37">
        <f t="shared" si="17"/>
        <v>0</v>
      </c>
    </row>
    <row r="38" spans="1:31" ht="15" customHeight="1" x14ac:dyDescent="0.35">
      <c r="A38" s="2"/>
      <c r="B38" s="3"/>
      <c r="C38" s="3"/>
      <c r="D38" s="4"/>
      <c r="E38" s="5"/>
      <c r="F38" s="11" t="str">
        <f t="shared" ca="1" si="0"/>
        <v/>
      </c>
      <c r="G38" s="5"/>
      <c r="H38" s="6" t="str">
        <f>IF(AND($A38&lt;&gt;"",$B38&lt;&gt;"",$C38&lt;&gt;"",$D38&lt;&gt;"",$E38&lt;&gt;""),IF(AND($B38="s",OR($C38="SER",$C38="PLH",$C38="CSF")),"Case CDI Plate "&amp;(INT(((COUNTIFS($B$2:$B38,"s",$C$2:$C38,"SER")+COUNTIFS($B$2:$B38,"s",$C$2:$C38,"PLH")+COUNTIFS($B$2:$B38,"s",$C$2:$C38,"CSF"))-1)/96)+1)&amp;": "&amp;CHAR(65+INT(MOD((COUNTIFS($B$2:$B38,"s",$C$2:$C38,"SER")+COUNTIFS($B$2:$B38,"s",$C$2:$C38,"PLH")+COUNTIFS($B$2:$B38,"s",$C$2:$C38,"CSF"))-1,96)/12))&amp;(MOD((COUNTIFS($B$2:$B38,"s",$C$2:$C38,"SER")+COUNTIFS($B$2:$B38,"s",$C$2:$C38,"PLH")+COUNTIFS($B$2:$B38,"s",$C$2:$C38,"CSF"))-1,12)+1),"N/A"),"")</f>
        <v/>
      </c>
      <c r="I38" s="6" t="str">
        <f>IF(AND($A38&lt;&gt;"",$B38&lt;&gt;"",$C38&lt;&gt;"",$D38&lt;&gt;"",$E38&lt;&gt;""),IF(AND($B38="s",OR($C38="SER",$C38="PLH",$C38="CSF")),"Case NIH Plate "&amp;(INT(((COUNTIFS($B$2:$B38,"s",$C$2:$C38,"SER")+COUNTIFS($B$2:$B38,"s",$C$2:$C38,"PLH")+COUNTIFS($B$2:$B38,"s",$C$2:$C38,"CSF"))-1)/96)+1)&amp;": "&amp;CHAR(65+INT(MOD((COUNTIFS($B$2:$B38,"s",$C$2:$C38,"SER")+COUNTIFS($B$2:$B38,"s",$C$2:$C38,"PLH")+COUNTIFS($B$2:$B38,"s",$C$2:$C38,"CSF"))-1,96)/12))&amp;(MOD((COUNTIFS($B$2:$B38,"s",$C$2:$C38,"SER")+COUNTIFS($B$2:$B38,"s",$C$2:$C38,"PLH")+COUNTIFS($B$2:$B38,"s",$C$2:$C38,"CSF"))-1,12)+1),"N/A"),"")</f>
        <v/>
      </c>
      <c r="J38" s="6" t="str">
        <f>IF(AND($A38&lt;&gt;"",$B38&lt;&gt;"",$C38&lt;&gt;"",$D38&lt;&gt;"",$E38&lt;&gt;""),IF(AND($B38="s",OR($C38="SER",$C38="PLH")),"Case MAX Planck Plate "&amp;(INT(((COUNTIFS($B$2:$B38,"s",$C$2:$C38,"SER")+COUNTIFS($B$2:$B38,"s",$C$2:$C38,"PLH"))-1)/96)+1)&amp;": "&amp;CHAR(65+INT(MOD((COUNTIFS($B$2:$B38,"s",$C$2:$C38,"SER")+COUNTIFS($B$2:$B38,"s",$C$2:$C38,"PLH"))-1,96)/12))&amp;(MOD((COUNTIFS($B$2:$B38,"s",$C$2:$C38,"SER")+COUNTIFS($B$2:$B38,"s",$C$2:$C38,"PLH"))-1,12)+1),"N/A"),"")</f>
        <v/>
      </c>
      <c r="K38" s="6" t="str">
        <f>IF(AND($A38&lt;&gt;"",$B38&lt;&gt;"",$C38&lt;&gt;"",$D38&lt;&gt;"",$E38&lt;&gt;""),IF($C38="WB","Case WB Box "&amp;(INT((COUNTIFS($C$2:$C38,"WB")-1)/81)+1)&amp;": "&amp;CHAR(65+INT(MOD(COUNTIFS($C$2:$C38,"WB")-1,81)/9))&amp;(MOD(COUNTIFS($C$2:$C38,"WB")-1,9)+1),"N/A"),"")</f>
        <v/>
      </c>
      <c r="L38" s="2" t="str">
        <f t="shared" si="1"/>
        <v/>
      </c>
      <c r="M38" s="2"/>
      <c r="N38" s="2"/>
      <c r="O38" s="2"/>
      <c r="P38" s="7" t="str">
        <f t="shared" si="2"/>
        <v/>
      </c>
      <c r="Q38" s="7" t="str">
        <f t="shared" si="3"/>
        <v/>
      </c>
      <c r="R38" s="7" t="str">
        <f t="shared" si="4"/>
        <v/>
      </c>
      <c r="S38" s="7" t="str">
        <f t="shared" si="5"/>
        <v/>
      </c>
      <c r="T38" s="7" t="str">
        <f t="shared" si="6"/>
        <v/>
      </c>
      <c r="U38" s="7" t="str">
        <f t="shared" si="7"/>
        <v/>
      </c>
      <c r="V38" s="7" t="str">
        <f t="shared" si="8"/>
        <v/>
      </c>
      <c r="W38" s="7" t="str">
        <f t="shared" si="9"/>
        <v/>
      </c>
      <c r="X38" s="7" t="str">
        <f t="shared" si="10"/>
        <v/>
      </c>
      <c r="Y38" s="7" t="str">
        <f t="shared" si="11"/>
        <v/>
      </c>
      <c r="Z38">
        <f t="shared" si="12"/>
        <v>0</v>
      </c>
      <c r="AA38" t="str">
        <f t="shared" si="13"/>
        <v/>
      </c>
      <c r="AB38" t="str">
        <f t="shared" si="14"/>
        <v/>
      </c>
      <c r="AC38" t="str">
        <f t="shared" si="15"/>
        <v/>
      </c>
      <c r="AD38" t="str">
        <f t="shared" si="16"/>
        <v/>
      </c>
      <c r="AE38">
        <f t="shared" si="17"/>
        <v>0</v>
      </c>
    </row>
    <row r="39" spans="1:31" ht="15" customHeight="1" x14ac:dyDescent="0.35">
      <c r="A39" s="2"/>
      <c r="B39" s="3"/>
      <c r="C39" s="3"/>
      <c r="D39" s="4"/>
      <c r="E39" s="5"/>
      <c r="F39" s="11" t="str">
        <f t="shared" ca="1" si="0"/>
        <v/>
      </c>
      <c r="G39" s="5"/>
      <c r="H39" s="6" t="str">
        <f>IF(AND($A39&lt;&gt;"",$B39&lt;&gt;"",$C39&lt;&gt;"",$D39&lt;&gt;"",$E39&lt;&gt;""),IF(AND($B39="s",OR($C39="SER",$C39="PLH",$C39="CSF")),"Case CDI Plate "&amp;(INT(((COUNTIFS($B$2:$B39,"s",$C$2:$C39,"SER")+COUNTIFS($B$2:$B39,"s",$C$2:$C39,"PLH")+COUNTIFS($B$2:$B39,"s",$C$2:$C39,"CSF"))-1)/96)+1)&amp;": "&amp;CHAR(65+INT(MOD((COUNTIFS($B$2:$B39,"s",$C$2:$C39,"SER")+COUNTIFS($B$2:$B39,"s",$C$2:$C39,"PLH")+COUNTIFS($B$2:$B39,"s",$C$2:$C39,"CSF"))-1,96)/12))&amp;(MOD((COUNTIFS($B$2:$B39,"s",$C$2:$C39,"SER")+COUNTIFS($B$2:$B39,"s",$C$2:$C39,"PLH")+COUNTIFS($B$2:$B39,"s",$C$2:$C39,"CSF"))-1,12)+1),"N/A"),"")</f>
        <v/>
      </c>
      <c r="I39" s="6" t="str">
        <f>IF(AND($A39&lt;&gt;"",$B39&lt;&gt;"",$C39&lt;&gt;"",$D39&lt;&gt;"",$E39&lt;&gt;""),IF(AND($B39="s",OR($C39="SER",$C39="PLH",$C39="CSF")),"Case NIH Plate "&amp;(INT(((COUNTIFS($B$2:$B39,"s",$C$2:$C39,"SER")+COUNTIFS($B$2:$B39,"s",$C$2:$C39,"PLH")+COUNTIFS($B$2:$B39,"s",$C$2:$C39,"CSF"))-1)/96)+1)&amp;": "&amp;CHAR(65+INT(MOD((COUNTIFS($B$2:$B39,"s",$C$2:$C39,"SER")+COUNTIFS($B$2:$B39,"s",$C$2:$C39,"PLH")+COUNTIFS($B$2:$B39,"s",$C$2:$C39,"CSF"))-1,96)/12))&amp;(MOD((COUNTIFS($B$2:$B39,"s",$C$2:$C39,"SER")+COUNTIFS($B$2:$B39,"s",$C$2:$C39,"PLH")+COUNTIFS($B$2:$B39,"s",$C$2:$C39,"CSF"))-1,12)+1),"N/A"),"")</f>
        <v/>
      </c>
      <c r="J39" s="6" t="str">
        <f>IF(AND($A39&lt;&gt;"",$B39&lt;&gt;"",$C39&lt;&gt;"",$D39&lt;&gt;"",$E39&lt;&gt;""),IF(AND($B39="s",OR($C39="SER",$C39="PLH")),"Case MAX Planck Plate "&amp;(INT(((COUNTIFS($B$2:$B39,"s",$C$2:$C39,"SER")+COUNTIFS($B$2:$B39,"s",$C$2:$C39,"PLH"))-1)/96)+1)&amp;": "&amp;CHAR(65+INT(MOD((COUNTIFS($B$2:$B39,"s",$C$2:$C39,"SER")+COUNTIFS($B$2:$B39,"s",$C$2:$C39,"PLH"))-1,96)/12))&amp;(MOD((COUNTIFS($B$2:$B39,"s",$C$2:$C39,"SER")+COUNTIFS($B$2:$B39,"s",$C$2:$C39,"PLH"))-1,12)+1),"N/A"),"")</f>
        <v/>
      </c>
      <c r="K39" s="6" t="str">
        <f>IF(AND($A39&lt;&gt;"",$B39&lt;&gt;"",$C39&lt;&gt;"",$D39&lt;&gt;"",$E39&lt;&gt;""),IF($C39="WB","Case WB Box "&amp;(INT((COUNTIFS($C$2:$C39,"WB")-1)/81)+1)&amp;": "&amp;CHAR(65+INT(MOD(COUNTIFS($C$2:$C39,"WB")-1,81)/9))&amp;(MOD(COUNTIFS($C$2:$C39,"WB")-1,9)+1),"N/A"),"")</f>
        <v/>
      </c>
      <c r="L39" s="2" t="str">
        <f t="shared" si="1"/>
        <v/>
      </c>
      <c r="M39" s="2"/>
      <c r="N39" s="2"/>
      <c r="O39" s="2"/>
      <c r="P39" s="7" t="str">
        <f t="shared" si="2"/>
        <v/>
      </c>
      <c r="Q39" s="7" t="str">
        <f t="shared" si="3"/>
        <v/>
      </c>
      <c r="R39" s="7" t="str">
        <f t="shared" si="4"/>
        <v/>
      </c>
      <c r="S39" s="7" t="str">
        <f t="shared" si="5"/>
        <v/>
      </c>
      <c r="T39" s="7" t="str">
        <f t="shared" si="6"/>
        <v/>
      </c>
      <c r="U39" s="7" t="str">
        <f t="shared" si="7"/>
        <v/>
      </c>
      <c r="V39" s="7" t="str">
        <f t="shared" si="8"/>
        <v/>
      </c>
      <c r="W39" s="7" t="str">
        <f t="shared" si="9"/>
        <v/>
      </c>
      <c r="X39" s="7" t="str">
        <f t="shared" si="10"/>
        <v/>
      </c>
      <c r="Y39" s="7" t="str">
        <f t="shared" si="11"/>
        <v/>
      </c>
      <c r="Z39">
        <f t="shared" si="12"/>
        <v>0</v>
      </c>
      <c r="AA39" t="str">
        <f t="shared" si="13"/>
        <v/>
      </c>
      <c r="AB39" t="str">
        <f t="shared" si="14"/>
        <v/>
      </c>
      <c r="AC39" t="str">
        <f t="shared" si="15"/>
        <v/>
      </c>
      <c r="AD39" t="str">
        <f t="shared" si="16"/>
        <v/>
      </c>
      <c r="AE39">
        <f t="shared" si="17"/>
        <v>0</v>
      </c>
    </row>
    <row r="40" spans="1:31" ht="15" customHeight="1" x14ac:dyDescent="0.35">
      <c r="A40" s="2"/>
      <c r="B40" s="3"/>
      <c r="C40" s="3"/>
      <c r="D40" s="4"/>
      <c r="E40" s="5"/>
      <c r="F40" s="11" t="str">
        <f t="shared" ca="1" si="0"/>
        <v/>
      </c>
      <c r="G40" s="5"/>
      <c r="H40" s="6" t="str">
        <f>IF(AND($A40&lt;&gt;"",$B40&lt;&gt;"",$C40&lt;&gt;"",$D40&lt;&gt;"",$E40&lt;&gt;""),IF(AND($B40="s",OR($C40="SER",$C40="PLH",$C40="CSF")),"Case CDI Plate "&amp;(INT(((COUNTIFS($B$2:$B40,"s",$C$2:$C40,"SER")+COUNTIFS($B$2:$B40,"s",$C$2:$C40,"PLH")+COUNTIFS($B$2:$B40,"s",$C$2:$C40,"CSF"))-1)/96)+1)&amp;": "&amp;CHAR(65+INT(MOD((COUNTIFS($B$2:$B40,"s",$C$2:$C40,"SER")+COUNTIFS($B$2:$B40,"s",$C$2:$C40,"PLH")+COUNTIFS($B$2:$B40,"s",$C$2:$C40,"CSF"))-1,96)/12))&amp;(MOD((COUNTIFS($B$2:$B40,"s",$C$2:$C40,"SER")+COUNTIFS($B$2:$B40,"s",$C$2:$C40,"PLH")+COUNTIFS($B$2:$B40,"s",$C$2:$C40,"CSF"))-1,12)+1),"N/A"),"")</f>
        <v/>
      </c>
      <c r="I40" s="6" t="str">
        <f>IF(AND($A40&lt;&gt;"",$B40&lt;&gt;"",$C40&lt;&gt;"",$D40&lt;&gt;"",$E40&lt;&gt;""),IF(AND($B40="s",OR($C40="SER",$C40="PLH",$C40="CSF")),"Case NIH Plate "&amp;(INT(((COUNTIFS($B$2:$B40,"s",$C$2:$C40,"SER")+COUNTIFS($B$2:$B40,"s",$C$2:$C40,"PLH")+COUNTIFS($B$2:$B40,"s",$C$2:$C40,"CSF"))-1)/96)+1)&amp;": "&amp;CHAR(65+INT(MOD((COUNTIFS($B$2:$B40,"s",$C$2:$C40,"SER")+COUNTIFS($B$2:$B40,"s",$C$2:$C40,"PLH")+COUNTIFS($B$2:$B40,"s",$C$2:$C40,"CSF"))-1,96)/12))&amp;(MOD((COUNTIFS($B$2:$B40,"s",$C$2:$C40,"SER")+COUNTIFS($B$2:$B40,"s",$C$2:$C40,"PLH")+COUNTIFS($B$2:$B40,"s",$C$2:$C40,"CSF"))-1,12)+1),"N/A"),"")</f>
        <v/>
      </c>
      <c r="J40" s="6" t="str">
        <f>IF(AND($A40&lt;&gt;"",$B40&lt;&gt;"",$C40&lt;&gt;"",$D40&lt;&gt;"",$E40&lt;&gt;""),IF(AND($B40="s",OR($C40="SER",$C40="PLH")),"Case MAX Planck Plate "&amp;(INT(((COUNTIFS($B$2:$B40,"s",$C$2:$C40,"SER")+COUNTIFS($B$2:$B40,"s",$C$2:$C40,"PLH"))-1)/96)+1)&amp;": "&amp;CHAR(65+INT(MOD((COUNTIFS($B$2:$B40,"s",$C$2:$C40,"SER")+COUNTIFS($B$2:$B40,"s",$C$2:$C40,"PLH"))-1,96)/12))&amp;(MOD((COUNTIFS($B$2:$B40,"s",$C$2:$C40,"SER")+COUNTIFS($B$2:$B40,"s",$C$2:$C40,"PLH"))-1,12)+1),"N/A"),"")</f>
        <v/>
      </c>
      <c r="K40" s="6" t="str">
        <f>IF(AND($A40&lt;&gt;"",$B40&lt;&gt;"",$C40&lt;&gt;"",$D40&lt;&gt;"",$E40&lt;&gt;""),IF($C40="WB","Case WB Box "&amp;(INT((COUNTIFS($C$2:$C40,"WB")-1)/81)+1)&amp;": "&amp;CHAR(65+INT(MOD(COUNTIFS($C$2:$C40,"WB")-1,81)/9))&amp;(MOD(COUNTIFS($C$2:$C40,"WB")-1,9)+1),"N/A"),"")</f>
        <v/>
      </c>
      <c r="L40" s="2" t="str">
        <f t="shared" si="1"/>
        <v/>
      </c>
      <c r="M40" s="2"/>
      <c r="N40" s="2"/>
      <c r="O40" s="2"/>
      <c r="P40" s="7" t="str">
        <f t="shared" si="2"/>
        <v/>
      </c>
      <c r="Q40" s="7" t="str">
        <f t="shared" si="3"/>
        <v/>
      </c>
      <c r="R40" s="7" t="str">
        <f t="shared" si="4"/>
        <v/>
      </c>
      <c r="S40" s="7" t="str">
        <f t="shared" si="5"/>
        <v/>
      </c>
      <c r="T40" s="7" t="str">
        <f t="shared" si="6"/>
        <v/>
      </c>
      <c r="U40" s="7" t="str">
        <f t="shared" si="7"/>
        <v/>
      </c>
      <c r="V40" s="7" t="str">
        <f t="shared" si="8"/>
        <v/>
      </c>
      <c r="W40" s="7" t="str">
        <f t="shared" si="9"/>
        <v/>
      </c>
      <c r="X40" s="7" t="str">
        <f t="shared" si="10"/>
        <v/>
      </c>
      <c r="Y40" s="7" t="str">
        <f t="shared" si="11"/>
        <v/>
      </c>
      <c r="Z40">
        <f t="shared" si="12"/>
        <v>0</v>
      </c>
      <c r="AA40" t="str">
        <f t="shared" si="13"/>
        <v/>
      </c>
      <c r="AB40" t="str">
        <f t="shared" si="14"/>
        <v/>
      </c>
      <c r="AC40" t="str">
        <f t="shared" si="15"/>
        <v/>
      </c>
      <c r="AD40" t="str">
        <f t="shared" si="16"/>
        <v/>
      </c>
      <c r="AE40">
        <f t="shared" si="17"/>
        <v>0</v>
      </c>
    </row>
    <row r="41" spans="1:31" ht="15" customHeight="1" x14ac:dyDescent="0.35">
      <c r="A41" s="2"/>
      <c r="B41" s="3"/>
      <c r="C41" s="3"/>
      <c r="D41" s="4"/>
      <c r="E41" s="5"/>
      <c r="F41" s="11" t="str">
        <f t="shared" ca="1" si="0"/>
        <v/>
      </c>
      <c r="G41" s="5"/>
      <c r="H41" s="6" t="str">
        <f>IF(AND($A41&lt;&gt;"",$B41&lt;&gt;"",$C41&lt;&gt;"",$D41&lt;&gt;"",$E41&lt;&gt;""),IF(AND($B41="s",OR($C41="SER",$C41="PLH",$C41="CSF")),"Case CDI Plate "&amp;(INT(((COUNTIFS($B$2:$B41,"s",$C$2:$C41,"SER")+COUNTIFS($B$2:$B41,"s",$C$2:$C41,"PLH")+COUNTIFS($B$2:$B41,"s",$C$2:$C41,"CSF"))-1)/96)+1)&amp;": "&amp;CHAR(65+INT(MOD((COUNTIFS($B$2:$B41,"s",$C$2:$C41,"SER")+COUNTIFS($B$2:$B41,"s",$C$2:$C41,"PLH")+COUNTIFS($B$2:$B41,"s",$C$2:$C41,"CSF"))-1,96)/12))&amp;(MOD((COUNTIFS($B$2:$B41,"s",$C$2:$C41,"SER")+COUNTIFS($B$2:$B41,"s",$C$2:$C41,"PLH")+COUNTIFS($B$2:$B41,"s",$C$2:$C41,"CSF"))-1,12)+1),"N/A"),"")</f>
        <v/>
      </c>
      <c r="I41" s="6" t="str">
        <f>IF(AND($A41&lt;&gt;"",$B41&lt;&gt;"",$C41&lt;&gt;"",$D41&lt;&gt;"",$E41&lt;&gt;""),IF(AND($B41="s",OR($C41="SER",$C41="PLH",$C41="CSF")),"Case NIH Plate "&amp;(INT(((COUNTIFS($B$2:$B41,"s",$C$2:$C41,"SER")+COUNTIFS($B$2:$B41,"s",$C$2:$C41,"PLH")+COUNTIFS($B$2:$B41,"s",$C$2:$C41,"CSF"))-1)/96)+1)&amp;": "&amp;CHAR(65+INT(MOD((COUNTIFS($B$2:$B41,"s",$C$2:$C41,"SER")+COUNTIFS($B$2:$B41,"s",$C$2:$C41,"PLH")+COUNTIFS($B$2:$B41,"s",$C$2:$C41,"CSF"))-1,96)/12))&amp;(MOD((COUNTIFS($B$2:$B41,"s",$C$2:$C41,"SER")+COUNTIFS($B$2:$B41,"s",$C$2:$C41,"PLH")+COUNTIFS($B$2:$B41,"s",$C$2:$C41,"CSF"))-1,12)+1),"N/A"),"")</f>
        <v/>
      </c>
      <c r="J41" s="6" t="str">
        <f>IF(AND($A41&lt;&gt;"",$B41&lt;&gt;"",$C41&lt;&gt;"",$D41&lt;&gt;"",$E41&lt;&gt;""),IF(AND($B41="s",OR($C41="SER",$C41="PLH")),"Case MAX Planck Plate "&amp;(INT(((COUNTIFS($B$2:$B41,"s",$C$2:$C41,"SER")+COUNTIFS($B$2:$B41,"s",$C$2:$C41,"PLH"))-1)/96)+1)&amp;": "&amp;CHAR(65+INT(MOD((COUNTIFS($B$2:$B41,"s",$C$2:$C41,"SER")+COUNTIFS($B$2:$B41,"s",$C$2:$C41,"PLH"))-1,96)/12))&amp;(MOD((COUNTIFS($B$2:$B41,"s",$C$2:$C41,"SER")+COUNTIFS($B$2:$B41,"s",$C$2:$C41,"PLH"))-1,12)+1),"N/A"),"")</f>
        <v/>
      </c>
      <c r="K41" s="6" t="str">
        <f>IF(AND($A41&lt;&gt;"",$B41&lt;&gt;"",$C41&lt;&gt;"",$D41&lt;&gt;"",$E41&lt;&gt;""),IF($C41="WB","Case WB Box "&amp;(INT((COUNTIFS($C$2:$C41,"WB")-1)/81)+1)&amp;": "&amp;CHAR(65+INT(MOD(COUNTIFS($C$2:$C41,"WB")-1,81)/9))&amp;(MOD(COUNTIFS($C$2:$C41,"WB")-1,9)+1),"N/A"),"")</f>
        <v/>
      </c>
      <c r="L41" s="2" t="str">
        <f t="shared" si="1"/>
        <v/>
      </c>
      <c r="M41" s="2"/>
      <c r="N41" s="2"/>
      <c r="O41" s="2"/>
      <c r="P41" s="7" t="str">
        <f t="shared" si="2"/>
        <v/>
      </c>
      <c r="Q41" s="7" t="str">
        <f t="shared" si="3"/>
        <v/>
      </c>
      <c r="R41" s="7" t="str">
        <f t="shared" si="4"/>
        <v/>
      </c>
      <c r="S41" s="7" t="str">
        <f t="shared" si="5"/>
        <v/>
      </c>
      <c r="T41" s="7" t="str">
        <f t="shared" si="6"/>
        <v/>
      </c>
      <c r="U41" s="7" t="str">
        <f t="shared" si="7"/>
        <v/>
      </c>
      <c r="V41" s="7" t="str">
        <f t="shared" si="8"/>
        <v/>
      </c>
      <c r="W41" s="7" t="str">
        <f t="shared" si="9"/>
        <v/>
      </c>
      <c r="X41" s="7" t="str">
        <f t="shared" si="10"/>
        <v/>
      </c>
      <c r="Y41" s="7" t="str">
        <f t="shared" si="11"/>
        <v/>
      </c>
      <c r="Z41">
        <f t="shared" si="12"/>
        <v>0</v>
      </c>
      <c r="AA41" t="str">
        <f t="shared" si="13"/>
        <v/>
      </c>
      <c r="AB41" t="str">
        <f t="shared" si="14"/>
        <v/>
      </c>
      <c r="AC41" t="str">
        <f t="shared" si="15"/>
        <v/>
      </c>
      <c r="AD41" t="str">
        <f t="shared" si="16"/>
        <v/>
      </c>
      <c r="AE41">
        <f t="shared" si="17"/>
        <v>0</v>
      </c>
    </row>
    <row r="42" spans="1:31" ht="15" customHeight="1" x14ac:dyDescent="0.35">
      <c r="A42" s="2"/>
      <c r="B42" s="3"/>
      <c r="C42" s="3"/>
      <c r="D42" s="4"/>
      <c r="E42" s="5"/>
      <c r="F42" s="11" t="str">
        <f t="shared" ca="1" si="0"/>
        <v/>
      </c>
      <c r="G42" s="5"/>
      <c r="H42" s="6" t="str">
        <f>IF(AND($A42&lt;&gt;"",$B42&lt;&gt;"",$C42&lt;&gt;"",$D42&lt;&gt;"",$E42&lt;&gt;""),IF(AND($B42="s",OR($C42="SER",$C42="PLH",$C42="CSF")),"Case CDI Plate "&amp;(INT(((COUNTIFS($B$2:$B42,"s",$C$2:$C42,"SER")+COUNTIFS($B$2:$B42,"s",$C$2:$C42,"PLH")+COUNTIFS($B$2:$B42,"s",$C$2:$C42,"CSF"))-1)/96)+1)&amp;": "&amp;CHAR(65+INT(MOD((COUNTIFS($B$2:$B42,"s",$C$2:$C42,"SER")+COUNTIFS($B$2:$B42,"s",$C$2:$C42,"PLH")+COUNTIFS($B$2:$B42,"s",$C$2:$C42,"CSF"))-1,96)/12))&amp;(MOD((COUNTIFS($B$2:$B42,"s",$C$2:$C42,"SER")+COUNTIFS($B$2:$B42,"s",$C$2:$C42,"PLH")+COUNTIFS($B$2:$B42,"s",$C$2:$C42,"CSF"))-1,12)+1),"N/A"),"")</f>
        <v/>
      </c>
      <c r="I42" s="6" t="str">
        <f>IF(AND($A42&lt;&gt;"",$B42&lt;&gt;"",$C42&lt;&gt;"",$D42&lt;&gt;"",$E42&lt;&gt;""),IF(AND($B42="s",OR($C42="SER",$C42="PLH",$C42="CSF")),"Case NIH Plate "&amp;(INT(((COUNTIFS($B$2:$B42,"s",$C$2:$C42,"SER")+COUNTIFS($B$2:$B42,"s",$C$2:$C42,"PLH")+COUNTIFS($B$2:$B42,"s",$C$2:$C42,"CSF"))-1)/96)+1)&amp;": "&amp;CHAR(65+INT(MOD((COUNTIFS($B$2:$B42,"s",$C$2:$C42,"SER")+COUNTIFS($B$2:$B42,"s",$C$2:$C42,"PLH")+COUNTIFS($B$2:$B42,"s",$C$2:$C42,"CSF"))-1,96)/12))&amp;(MOD((COUNTIFS($B$2:$B42,"s",$C$2:$C42,"SER")+COUNTIFS($B$2:$B42,"s",$C$2:$C42,"PLH")+COUNTIFS($B$2:$B42,"s",$C$2:$C42,"CSF"))-1,12)+1),"N/A"),"")</f>
        <v/>
      </c>
      <c r="J42" s="6" t="str">
        <f>IF(AND($A42&lt;&gt;"",$B42&lt;&gt;"",$C42&lt;&gt;"",$D42&lt;&gt;"",$E42&lt;&gt;""),IF(AND($B42="s",OR($C42="SER",$C42="PLH")),"Case MAX Planck Plate "&amp;(INT(((COUNTIFS($B$2:$B42,"s",$C$2:$C42,"SER")+COUNTIFS($B$2:$B42,"s",$C$2:$C42,"PLH"))-1)/96)+1)&amp;": "&amp;CHAR(65+INT(MOD((COUNTIFS($B$2:$B42,"s",$C$2:$C42,"SER")+COUNTIFS($B$2:$B42,"s",$C$2:$C42,"PLH"))-1,96)/12))&amp;(MOD((COUNTIFS($B$2:$B42,"s",$C$2:$C42,"SER")+COUNTIFS($B$2:$B42,"s",$C$2:$C42,"PLH"))-1,12)+1),"N/A"),"")</f>
        <v/>
      </c>
      <c r="K42" s="6" t="str">
        <f>IF(AND($A42&lt;&gt;"",$B42&lt;&gt;"",$C42&lt;&gt;"",$D42&lt;&gt;"",$E42&lt;&gt;""),IF($C42="WB","Case WB Box "&amp;(INT((COUNTIFS($C$2:$C42,"WB")-1)/81)+1)&amp;": "&amp;CHAR(65+INT(MOD(COUNTIFS($C$2:$C42,"WB")-1,81)/9))&amp;(MOD(COUNTIFS($C$2:$C42,"WB")-1,9)+1),"N/A"),"")</f>
        <v/>
      </c>
      <c r="L42" s="2" t="str">
        <f t="shared" si="1"/>
        <v/>
      </c>
      <c r="M42" s="2"/>
      <c r="N42" s="2"/>
      <c r="O42" s="2"/>
      <c r="P42" s="7" t="str">
        <f t="shared" si="2"/>
        <v/>
      </c>
      <c r="Q42" s="7" t="str">
        <f t="shared" si="3"/>
        <v/>
      </c>
      <c r="R42" s="7" t="str">
        <f t="shared" si="4"/>
        <v/>
      </c>
      <c r="S42" s="7" t="str">
        <f t="shared" si="5"/>
        <v/>
      </c>
      <c r="T42" s="7" t="str">
        <f t="shared" si="6"/>
        <v/>
      </c>
      <c r="U42" s="7" t="str">
        <f t="shared" si="7"/>
        <v/>
      </c>
      <c r="V42" s="7" t="str">
        <f t="shared" si="8"/>
        <v/>
      </c>
      <c r="W42" s="7" t="str">
        <f t="shared" si="9"/>
        <v/>
      </c>
      <c r="X42" s="7" t="str">
        <f t="shared" si="10"/>
        <v/>
      </c>
      <c r="Y42" s="7" t="str">
        <f t="shared" si="11"/>
        <v/>
      </c>
      <c r="Z42">
        <f t="shared" si="12"/>
        <v>0</v>
      </c>
      <c r="AA42" t="str">
        <f t="shared" si="13"/>
        <v/>
      </c>
      <c r="AB42" t="str">
        <f t="shared" si="14"/>
        <v/>
      </c>
      <c r="AC42" t="str">
        <f t="shared" si="15"/>
        <v/>
      </c>
      <c r="AD42" t="str">
        <f t="shared" si="16"/>
        <v/>
      </c>
      <c r="AE42">
        <f t="shared" si="17"/>
        <v>0</v>
      </c>
    </row>
    <row r="43" spans="1:31" ht="15" customHeight="1" x14ac:dyDescent="0.35">
      <c r="A43" s="2"/>
      <c r="B43" s="3"/>
      <c r="C43" s="3"/>
      <c r="D43" s="4"/>
      <c r="E43" s="5"/>
      <c r="F43" s="11" t="str">
        <f t="shared" ca="1" si="0"/>
        <v/>
      </c>
      <c r="G43" s="5"/>
      <c r="H43" s="6" t="str">
        <f>IF(AND($A43&lt;&gt;"",$B43&lt;&gt;"",$C43&lt;&gt;"",$D43&lt;&gt;"",$E43&lt;&gt;""),IF(AND($B43="s",OR($C43="SER",$C43="PLH",$C43="CSF")),"Case CDI Plate "&amp;(INT(((COUNTIFS($B$2:$B43,"s",$C$2:$C43,"SER")+COUNTIFS($B$2:$B43,"s",$C$2:$C43,"PLH")+COUNTIFS($B$2:$B43,"s",$C$2:$C43,"CSF"))-1)/96)+1)&amp;": "&amp;CHAR(65+INT(MOD((COUNTIFS($B$2:$B43,"s",$C$2:$C43,"SER")+COUNTIFS($B$2:$B43,"s",$C$2:$C43,"PLH")+COUNTIFS($B$2:$B43,"s",$C$2:$C43,"CSF"))-1,96)/12))&amp;(MOD((COUNTIFS($B$2:$B43,"s",$C$2:$C43,"SER")+COUNTIFS($B$2:$B43,"s",$C$2:$C43,"PLH")+COUNTIFS($B$2:$B43,"s",$C$2:$C43,"CSF"))-1,12)+1),"N/A"),"")</f>
        <v/>
      </c>
      <c r="I43" s="6" t="str">
        <f>IF(AND($A43&lt;&gt;"",$B43&lt;&gt;"",$C43&lt;&gt;"",$D43&lt;&gt;"",$E43&lt;&gt;""),IF(AND($B43="s",OR($C43="SER",$C43="PLH",$C43="CSF")),"Case NIH Plate "&amp;(INT(((COUNTIFS($B$2:$B43,"s",$C$2:$C43,"SER")+COUNTIFS($B$2:$B43,"s",$C$2:$C43,"PLH")+COUNTIFS($B$2:$B43,"s",$C$2:$C43,"CSF"))-1)/96)+1)&amp;": "&amp;CHAR(65+INT(MOD((COUNTIFS($B$2:$B43,"s",$C$2:$C43,"SER")+COUNTIFS($B$2:$B43,"s",$C$2:$C43,"PLH")+COUNTIFS($B$2:$B43,"s",$C$2:$C43,"CSF"))-1,96)/12))&amp;(MOD((COUNTIFS($B$2:$B43,"s",$C$2:$C43,"SER")+COUNTIFS($B$2:$B43,"s",$C$2:$C43,"PLH")+COUNTIFS($B$2:$B43,"s",$C$2:$C43,"CSF"))-1,12)+1),"N/A"),"")</f>
        <v/>
      </c>
      <c r="J43" s="6" t="str">
        <f>IF(AND($A43&lt;&gt;"",$B43&lt;&gt;"",$C43&lt;&gt;"",$D43&lt;&gt;"",$E43&lt;&gt;""),IF(AND($B43="s",OR($C43="SER",$C43="PLH")),"Case MAX Planck Plate "&amp;(INT(((COUNTIFS($B$2:$B43,"s",$C$2:$C43,"SER")+COUNTIFS($B$2:$B43,"s",$C$2:$C43,"PLH"))-1)/96)+1)&amp;": "&amp;CHAR(65+INT(MOD((COUNTIFS($B$2:$B43,"s",$C$2:$C43,"SER")+COUNTIFS($B$2:$B43,"s",$C$2:$C43,"PLH"))-1,96)/12))&amp;(MOD((COUNTIFS($B$2:$B43,"s",$C$2:$C43,"SER")+COUNTIFS($B$2:$B43,"s",$C$2:$C43,"PLH"))-1,12)+1),"N/A"),"")</f>
        <v/>
      </c>
      <c r="K43" s="6" t="str">
        <f>IF(AND($A43&lt;&gt;"",$B43&lt;&gt;"",$C43&lt;&gt;"",$D43&lt;&gt;"",$E43&lt;&gt;""),IF($C43="WB","Case WB Box "&amp;(INT((COUNTIFS($C$2:$C43,"WB")-1)/81)+1)&amp;": "&amp;CHAR(65+INT(MOD(COUNTIFS($C$2:$C43,"WB")-1,81)/9))&amp;(MOD(COUNTIFS($C$2:$C43,"WB")-1,9)+1),"N/A"),"")</f>
        <v/>
      </c>
      <c r="L43" s="2" t="str">
        <f t="shared" si="1"/>
        <v/>
      </c>
      <c r="M43" s="2"/>
      <c r="N43" s="2"/>
      <c r="O43" s="2"/>
      <c r="P43" s="7" t="str">
        <f t="shared" si="2"/>
        <v/>
      </c>
      <c r="Q43" s="7" t="str">
        <f t="shared" si="3"/>
        <v/>
      </c>
      <c r="R43" s="7" t="str">
        <f t="shared" si="4"/>
        <v/>
      </c>
      <c r="S43" s="7" t="str">
        <f t="shared" si="5"/>
        <v/>
      </c>
      <c r="T43" s="7" t="str">
        <f t="shared" si="6"/>
        <v/>
      </c>
      <c r="U43" s="7" t="str">
        <f t="shared" si="7"/>
        <v/>
      </c>
      <c r="V43" s="7" t="str">
        <f t="shared" si="8"/>
        <v/>
      </c>
      <c r="W43" s="7" t="str">
        <f t="shared" si="9"/>
        <v/>
      </c>
      <c r="X43" s="7" t="str">
        <f t="shared" si="10"/>
        <v/>
      </c>
      <c r="Y43" s="7" t="str">
        <f t="shared" si="11"/>
        <v/>
      </c>
      <c r="Z43">
        <f t="shared" si="12"/>
        <v>0</v>
      </c>
      <c r="AA43" t="str">
        <f t="shared" si="13"/>
        <v/>
      </c>
      <c r="AB43" t="str">
        <f t="shared" si="14"/>
        <v/>
      </c>
      <c r="AC43" t="str">
        <f t="shared" si="15"/>
        <v/>
      </c>
      <c r="AD43" t="str">
        <f t="shared" si="16"/>
        <v/>
      </c>
      <c r="AE43">
        <f t="shared" si="17"/>
        <v>0</v>
      </c>
    </row>
    <row r="44" spans="1:31" ht="15" customHeight="1" x14ac:dyDescent="0.35">
      <c r="A44" s="2"/>
      <c r="B44" s="3"/>
      <c r="C44" s="3"/>
      <c r="D44" s="4"/>
      <c r="E44" s="5"/>
      <c r="F44" s="11" t="str">
        <f t="shared" ca="1" si="0"/>
        <v/>
      </c>
      <c r="G44" s="5"/>
      <c r="H44" s="6" t="str">
        <f>IF(AND($A44&lt;&gt;"",$B44&lt;&gt;"",$C44&lt;&gt;"",$D44&lt;&gt;"",$E44&lt;&gt;""),IF(AND($B44="s",OR($C44="SER",$C44="PLH",$C44="CSF")),"Case CDI Plate "&amp;(INT(((COUNTIFS($B$2:$B44,"s",$C$2:$C44,"SER")+COUNTIFS($B$2:$B44,"s",$C$2:$C44,"PLH")+COUNTIFS($B$2:$B44,"s",$C$2:$C44,"CSF"))-1)/96)+1)&amp;": "&amp;CHAR(65+INT(MOD((COUNTIFS($B$2:$B44,"s",$C$2:$C44,"SER")+COUNTIFS($B$2:$B44,"s",$C$2:$C44,"PLH")+COUNTIFS($B$2:$B44,"s",$C$2:$C44,"CSF"))-1,96)/12))&amp;(MOD((COUNTIFS($B$2:$B44,"s",$C$2:$C44,"SER")+COUNTIFS($B$2:$B44,"s",$C$2:$C44,"PLH")+COUNTIFS($B$2:$B44,"s",$C$2:$C44,"CSF"))-1,12)+1),"N/A"),"")</f>
        <v/>
      </c>
      <c r="I44" s="6" t="str">
        <f>IF(AND($A44&lt;&gt;"",$B44&lt;&gt;"",$C44&lt;&gt;"",$D44&lt;&gt;"",$E44&lt;&gt;""),IF(AND($B44="s",OR($C44="SER",$C44="PLH",$C44="CSF")),"Case NIH Plate "&amp;(INT(((COUNTIFS($B$2:$B44,"s",$C$2:$C44,"SER")+COUNTIFS($B$2:$B44,"s",$C$2:$C44,"PLH")+COUNTIFS($B$2:$B44,"s",$C$2:$C44,"CSF"))-1)/96)+1)&amp;": "&amp;CHAR(65+INT(MOD((COUNTIFS($B$2:$B44,"s",$C$2:$C44,"SER")+COUNTIFS($B$2:$B44,"s",$C$2:$C44,"PLH")+COUNTIFS($B$2:$B44,"s",$C$2:$C44,"CSF"))-1,96)/12))&amp;(MOD((COUNTIFS($B$2:$B44,"s",$C$2:$C44,"SER")+COUNTIFS($B$2:$B44,"s",$C$2:$C44,"PLH")+COUNTIFS($B$2:$B44,"s",$C$2:$C44,"CSF"))-1,12)+1),"N/A"),"")</f>
        <v/>
      </c>
      <c r="J44" s="6" t="str">
        <f>IF(AND($A44&lt;&gt;"",$B44&lt;&gt;"",$C44&lt;&gt;"",$D44&lt;&gt;"",$E44&lt;&gt;""),IF(AND($B44="s",OR($C44="SER",$C44="PLH")),"Case MAX Planck Plate "&amp;(INT(((COUNTIFS($B$2:$B44,"s",$C$2:$C44,"SER")+COUNTIFS($B$2:$B44,"s",$C$2:$C44,"PLH"))-1)/96)+1)&amp;": "&amp;CHAR(65+INT(MOD((COUNTIFS($B$2:$B44,"s",$C$2:$C44,"SER")+COUNTIFS($B$2:$B44,"s",$C$2:$C44,"PLH"))-1,96)/12))&amp;(MOD((COUNTIFS($B$2:$B44,"s",$C$2:$C44,"SER")+COUNTIFS($B$2:$B44,"s",$C$2:$C44,"PLH"))-1,12)+1),"N/A"),"")</f>
        <v/>
      </c>
      <c r="K44" s="6" t="str">
        <f>IF(AND($A44&lt;&gt;"",$B44&lt;&gt;"",$C44&lt;&gt;"",$D44&lt;&gt;"",$E44&lt;&gt;""),IF($C44="WB","Case WB Box "&amp;(INT((COUNTIFS($C$2:$C44,"WB")-1)/81)+1)&amp;": "&amp;CHAR(65+INT(MOD(COUNTIFS($C$2:$C44,"WB")-1,81)/9))&amp;(MOD(COUNTIFS($C$2:$C44,"WB")-1,9)+1),"N/A"),"")</f>
        <v/>
      </c>
      <c r="L44" s="2" t="str">
        <f t="shared" si="1"/>
        <v/>
      </c>
      <c r="M44" s="2"/>
      <c r="N44" s="2"/>
      <c r="O44" s="2"/>
      <c r="P44" s="7" t="str">
        <f t="shared" si="2"/>
        <v/>
      </c>
      <c r="Q44" s="7" t="str">
        <f t="shared" si="3"/>
        <v/>
      </c>
      <c r="R44" s="7" t="str">
        <f t="shared" si="4"/>
        <v/>
      </c>
      <c r="S44" s="7" t="str">
        <f t="shared" si="5"/>
        <v/>
      </c>
      <c r="T44" s="7" t="str">
        <f t="shared" si="6"/>
        <v/>
      </c>
      <c r="U44" s="7" t="str">
        <f t="shared" si="7"/>
        <v/>
      </c>
      <c r="V44" s="7" t="str">
        <f t="shared" si="8"/>
        <v/>
      </c>
      <c r="W44" s="7" t="str">
        <f t="shared" si="9"/>
        <v/>
      </c>
      <c r="X44" s="7" t="str">
        <f t="shared" si="10"/>
        <v/>
      </c>
      <c r="Y44" s="7" t="str">
        <f t="shared" si="11"/>
        <v/>
      </c>
      <c r="Z44">
        <f t="shared" si="12"/>
        <v>0</v>
      </c>
      <c r="AA44" t="str">
        <f t="shared" si="13"/>
        <v/>
      </c>
      <c r="AB44" t="str">
        <f t="shared" si="14"/>
        <v/>
      </c>
      <c r="AC44" t="str">
        <f t="shared" si="15"/>
        <v/>
      </c>
      <c r="AD44" t="str">
        <f t="shared" si="16"/>
        <v/>
      </c>
      <c r="AE44">
        <f t="shared" si="17"/>
        <v>0</v>
      </c>
    </row>
    <row r="45" spans="1:31" ht="15" customHeight="1" x14ac:dyDescent="0.35">
      <c r="A45" s="2"/>
      <c r="B45" s="3"/>
      <c r="C45" s="3"/>
      <c r="D45" s="4"/>
      <c r="E45" s="5"/>
      <c r="F45" s="11" t="str">
        <f t="shared" ca="1" si="0"/>
        <v/>
      </c>
      <c r="G45" s="5"/>
      <c r="H45" s="6" t="str">
        <f>IF(AND($A45&lt;&gt;"",$B45&lt;&gt;"",$C45&lt;&gt;"",$D45&lt;&gt;"",$E45&lt;&gt;""),IF(AND($B45="s",OR($C45="SER",$C45="PLH",$C45="CSF")),"Case CDI Plate "&amp;(INT(((COUNTIFS($B$2:$B45,"s",$C$2:$C45,"SER")+COUNTIFS($B$2:$B45,"s",$C$2:$C45,"PLH")+COUNTIFS($B$2:$B45,"s",$C$2:$C45,"CSF"))-1)/96)+1)&amp;": "&amp;CHAR(65+INT(MOD((COUNTIFS($B$2:$B45,"s",$C$2:$C45,"SER")+COUNTIFS($B$2:$B45,"s",$C$2:$C45,"PLH")+COUNTIFS($B$2:$B45,"s",$C$2:$C45,"CSF"))-1,96)/12))&amp;(MOD((COUNTIFS($B$2:$B45,"s",$C$2:$C45,"SER")+COUNTIFS($B$2:$B45,"s",$C$2:$C45,"PLH")+COUNTIFS($B$2:$B45,"s",$C$2:$C45,"CSF"))-1,12)+1),"N/A"),"")</f>
        <v/>
      </c>
      <c r="I45" s="6" t="str">
        <f>IF(AND($A45&lt;&gt;"",$B45&lt;&gt;"",$C45&lt;&gt;"",$D45&lt;&gt;"",$E45&lt;&gt;""),IF(AND($B45="s",OR($C45="SER",$C45="PLH",$C45="CSF")),"Case NIH Plate "&amp;(INT(((COUNTIFS($B$2:$B45,"s",$C$2:$C45,"SER")+COUNTIFS($B$2:$B45,"s",$C$2:$C45,"PLH")+COUNTIFS($B$2:$B45,"s",$C$2:$C45,"CSF"))-1)/96)+1)&amp;": "&amp;CHAR(65+INT(MOD((COUNTIFS($B$2:$B45,"s",$C$2:$C45,"SER")+COUNTIFS($B$2:$B45,"s",$C$2:$C45,"PLH")+COUNTIFS($B$2:$B45,"s",$C$2:$C45,"CSF"))-1,96)/12))&amp;(MOD((COUNTIFS($B$2:$B45,"s",$C$2:$C45,"SER")+COUNTIFS($B$2:$B45,"s",$C$2:$C45,"PLH")+COUNTIFS($B$2:$B45,"s",$C$2:$C45,"CSF"))-1,12)+1),"N/A"),"")</f>
        <v/>
      </c>
      <c r="J45" s="6" t="str">
        <f>IF(AND($A45&lt;&gt;"",$B45&lt;&gt;"",$C45&lt;&gt;"",$D45&lt;&gt;"",$E45&lt;&gt;""),IF(AND($B45="s",OR($C45="SER",$C45="PLH")),"Case MAX Planck Plate "&amp;(INT(((COUNTIFS($B$2:$B45,"s",$C$2:$C45,"SER")+COUNTIFS($B$2:$B45,"s",$C$2:$C45,"PLH"))-1)/96)+1)&amp;": "&amp;CHAR(65+INT(MOD((COUNTIFS($B$2:$B45,"s",$C$2:$C45,"SER")+COUNTIFS($B$2:$B45,"s",$C$2:$C45,"PLH"))-1,96)/12))&amp;(MOD((COUNTIFS($B$2:$B45,"s",$C$2:$C45,"SER")+COUNTIFS($B$2:$B45,"s",$C$2:$C45,"PLH"))-1,12)+1),"N/A"),"")</f>
        <v/>
      </c>
      <c r="K45" s="6" t="str">
        <f>IF(AND($A45&lt;&gt;"",$B45&lt;&gt;"",$C45&lt;&gt;"",$D45&lt;&gt;"",$E45&lt;&gt;""),IF($C45="WB","Case WB Box "&amp;(INT((COUNTIFS($C$2:$C45,"WB")-1)/81)+1)&amp;": "&amp;CHAR(65+INT(MOD(COUNTIFS($C$2:$C45,"WB")-1,81)/9))&amp;(MOD(COUNTIFS($C$2:$C45,"WB")-1,9)+1),"N/A"),"")</f>
        <v/>
      </c>
      <c r="L45" s="2" t="str">
        <f t="shared" si="1"/>
        <v/>
      </c>
      <c r="M45" s="2"/>
      <c r="N45" s="2"/>
      <c r="O45" s="2"/>
      <c r="P45" s="7" t="str">
        <f t="shared" si="2"/>
        <v/>
      </c>
      <c r="Q45" s="7" t="str">
        <f t="shared" si="3"/>
        <v/>
      </c>
      <c r="R45" s="7" t="str">
        <f t="shared" si="4"/>
        <v/>
      </c>
      <c r="S45" s="7" t="str">
        <f t="shared" si="5"/>
        <v/>
      </c>
      <c r="T45" s="7" t="str">
        <f t="shared" si="6"/>
        <v/>
      </c>
      <c r="U45" s="7" t="str">
        <f t="shared" si="7"/>
        <v/>
      </c>
      <c r="V45" s="7" t="str">
        <f t="shared" si="8"/>
        <v/>
      </c>
      <c r="W45" s="7" t="str">
        <f t="shared" si="9"/>
        <v/>
      </c>
      <c r="X45" s="7" t="str">
        <f t="shared" si="10"/>
        <v/>
      </c>
      <c r="Y45" s="7" t="str">
        <f t="shared" si="11"/>
        <v/>
      </c>
      <c r="Z45">
        <f t="shared" si="12"/>
        <v>0</v>
      </c>
      <c r="AA45" t="str">
        <f t="shared" si="13"/>
        <v/>
      </c>
      <c r="AB45" t="str">
        <f t="shared" si="14"/>
        <v/>
      </c>
      <c r="AC45" t="str">
        <f t="shared" si="15"/>
        <v/>
      </c>
      <c r="AD45" t="str">
        <f t="shared" si="16"/>
        <v/>
      </c>
      <c r="AE45">
        <f t="shared" si="17"/>
        <v>0</v>
      </c>
    </row>
    <row r="46" spans="1:31" ht="15" customHeight="1" x14ac:dyDescent="0.35">
      <c r="A46" s="2"/>
      <c r="B46" s="3"/>
      <c r="C46" s="3"/>
      <c r="D46" s="4"/>
      <c r="E46" s="5"/>
      <c r="F46" s="11" t="str">
        <f t="shared" ca="1" si="0"/>
        <v/>
      </c>
      <c r="G46" s="5"/>
      <c r="H46" s="6" t="str">
        <f>IF(AND($A46&lt;&gt;"",$B46&lt;&gt;"",$C46&lt;&gt;"",$D46&lt;&gt;"",$E46&lt;&gt;""),IF(AND($B46="s",OR($C46="SER",$C46="PLH",$C46="CSF")),"Case CDI Plate "&amp;(INT(((COUNTIFS($B$2:$B46,"s",$C$2:$C46,"SER")+COUNTIFS($B$2:$B46,"s",$C$2:$C46,"PLH")+COUNTIFS($B$2:$B46,"s",$C$2:$C46,"CSF"))-1)/96)+1)&amp;": "&amp;CHAR(65+INT(MOD((COUNTIFS($B$2:$B46,"s",$C$2:$C46,"SER")+COUNTIFS($B$2:$B46,"s",$C$2:$C46,"PLH")+COUNTIFS($B$2:$B46,"s",$C$2:$C46,"CSF"))-1,96)/12))&amp;(MOD((COUNTIFS($B$2:$B46,"s",$C$2:$C46,"SER")+COUNTIFS($B$2:$B46,"s",$C$2:$C46,"PLH")+COUNTIFS($B$2:$B46,"s",$C$2:$C46,"CSF"))-1,12)+1),"N/A"),"")</f>
        <v/>
      </c>
      <c r="I46" s="6" t="str">
        <f>IF(AND($A46&lt;&gt;"",$B46&lt;&gt;"",$C46&lt;&gt;"",$D46&lt;&gt;"",$E46&lt;&gt;""),IF(AND($B46="s",OR($C46="SER",$C46="PLH",$C46="CSF")),"Case NIH Plate "&amp;(INT(((COUNTIFS($B$2:$B46,"s",$C$2:$C46,"SER")+COUNTIFS($B$2:$B46,"s",$C$2:$C46,"PLH")+COUNTIFS($B$2:$B46,"s",$C$2:$C46,"CSF"))-1)/96)+1)&amp;": "&amp;CHAR(65+INT(MOD((COUNTIFS($B$2:$B46,"s",$C$2:$C46,"SER")+COUNTIFS($B$2:$B46,"s",$C$2:$C46,"PLH")+COUNTIFS($B$2:$B46,"s",$C$2:$C46,"CSF"))-1,96)/12))&amp;(MOD((COUNTIFS($B$2:$B46,"s",$C$2:$C46,"SER")+COUNTIFS($B$2:$B46,"s",$C$2:$C46,"PLH")+COUNTIFS($B$2:$B46,"s",$C$2:$C46,"CSF"))-1,12)+1),"N/A"),"")</f>
        <v/>
      </c>
      <c r="J46" s="6" t="str">
        <f>IF(AND($A46&lt;&gt;"",$B46&lt;&gt;"",$C46&lt;&gt;"",$D46&lt;&gt;"",$E46&lt;&gt;""),IF(AND($B46="s",OR($C46="SER",$C46="PLH")),"Case MAX Planck Plate "&amp;(INT(((COUNTIFS($B$2:$B46,"s",$C$2:$C46,"SER")+COUNTIFS($B$2:$B46,"s",$C$2:$C46,"PLH"))-1)/96)+1)&amp;": "&amp;CHAR(65+INT(MOD((COUNTIFS($B$2:$B46,"s",$C$2:$C46,"SER")+COUNTIFS($B$2:$B46,"s",$C$2:$C46,"PLH"))-1,96)/12))&amp;(MOD((COUNTIFS($B$2:$B46,"s",$C$2:$C46,"SER")+COUNTIFS($B$2:$B46,"s",$C$2:$C46,"PLH"))-1,12)+1),"N/A"),"")</f>
        <v/>
      </c>
      <c r="K46" s="6" t="str">
        <f>IF(AND($A46&lt;&gt;"",$B46&lt;&gt;"",$C46&lt;&gt;"",$D46&lt;&gt;"",$E46&lt;&gt;""),IF($C46="WB","Case WB Box "&amp;(INT((COUNTIFS($C$2:$C46,"WB")-1)/81)+1)&amp;": "&amp;CHAR(65+INT(MOD(COUNTIFS($C$2:$C46,"WB")-1,81)/9))&amp;(MOD(COUNTIFS($C$2:$C46,"WB")-1,9)+1),"N/A"),"")</f>
        <v/>
      </c>
      <c r="L46" s="2" t="str">
        <f t="shared" si="1"/>
        <v/>
      </c>
      <c r="M46" s="2"/>
      <c r="N46" s="2"/>
      <c r="O46" s="2"/>
      <c r="P46" s="7" t="str">
        <f t="shared" si="2"/>
        <v/>
      </c>
      <c r="Q46" s="7" t="str">
        <f t="shared" si="3"/>
        <v/>
      </c>
      <c r="R46" s="7" t="str">
        <f t="shared" si="4"/>
        <v/>
      </c>
      <c r="S46" s="7" t="str">
        <f t="shared" si="5"/>
        <v/>
      </c>
      <c r="T46" s="7" t="str">
        <f t="shared" si="6"/>
        <v/>
      </c>
      <c r="U46" s="7" t="str">
        <f t="shared" si="7"/>
        <v/>
      </c>
      <c r="V46" s="7" t="str">
        <f t="shared" si="8"/>
        <v/>
      </c>
      <c r="W46" s="7" t="str">
        <f t="shared" si="9"/>
        <v/>
      </c>
      <c r="X46" s="7" t="str">
        <f t="shared" si="10"/>
        <v/>
      </c>
      <c r="Y46" s="7" t="str">
        <f t="shared" si="11"/>
        <v/>
      </c>
      <c r="Z46">
        <f t="shared" si="12"/>
        <v>0</v>
      </c>
      <c r="AA46" t="str">
        <f t="shared" si="13"/>
        <v/>
      </c>
      <c r="AB46" t="str">
        <f t="shared" si="14"/>
        <v/>
      </c>
      <c r="AC46" t="str">
        <f t="shared" si="15"/>
        <v/>
      </c>
      <c r="AD46" t="str">
        <f t="shared" si="16"/>
        <v/>
      </c>
      <c r="AE46">
        <f t="shared" si="17"/>
        <v>0</v>
      </c>
    </row>
    <row r="47" spans="1:31" ht="15" customHeight="1" x14ac:dyDescent="0.35">
      <c r="A47" s="2"/>
      <c r="B47" s="3"/>
      <c r="C47" s="3"/>
      <c r="D47" s="4"/>
      <c r="E47" s="5"/>
      <c r="F47" s="11" t="str">
        <f t="shared" ca="1" si="0"/>
        <v/>
      </c>
      <c r="G47" s="5"/>
      <c r="H47" s="6" t="str">
        <f>IF(AND($A47&lt;&gt;"",$B47&lt;&gt;"",$C47&lt;&gt;"",$D47&lt;&gt;"",$E47&lt;&gt;""),IF(AND($B47="s",OR($C47="SER",$C47="PLH",$C47="CSF")),"Case CDI Plate "&amp;(INT(((COUNTIFS($B$2:$B47,"s",$C$2:$C47,"SER")+COUNTIFS($B$2:$B47,"s",$C$2:$C47,"PLH")+COUNTIFS($B$2:$B47,"s",$C$2:$C47,"CSF"))-1)/96)+1)&amp;": "&amp;CHAR(65+INT(MOD((COUNTIFS($B$2:$B47,"s",$C$2:$C47,"SER")+COUNTIFS($B$2:$B47,"s",$C$2:$C47,"PLH")+COUNTIFS($B$2:$B47,"s",$C$2:$C47,"CSF"))-1,96)/12))&amp;(MOD((COUNTIFS($B$2:$B47,"s",$C$2:$C47,"SER")+COUNTIFS($B$2:$B47,"s",$C$2:$C47,"PLH")+COUNTIFS($B$2:$B47,"s",$C$2:$C47,"CSF"))-1,12)+1),"N/A"),"")</f>
        <v/>
      </c>
      <c r="I47" s="6" t="str">
        <f>IF(AND($A47&lt;&gt;"",$B47&lt;&gt;"",$C47&lt;&gt;"",$D47&lt;&gt;"",$E47&lt;&gt;""),IF(AND($B47="s",OR($C47="SER",$C47="PLH",$C47="CSF")),"Case NIH Plate "&amp;(INT(((COUNTIFS($B$2:$B47,"s",$C$2:$C47,"SER")+COUNTIFS($B$2:$B47,"s",$C$2:$C47,"PLH")+COUNTIFS($B$2:$B47,"s",$C$2:$C47,"CSF"))-1)/96)+1)&amp;": "&amp;CHAR(65+INT(MOD((COUNTIFS($B$2:$B47,"s",$C$2:$C47,"SER")+COUNTIFS($B$2:$B47,"s",$C$2:$C47,"PLH")+COUNTIFS($B$2:$B47,"s",$C$2:$C47,"CSF"))-1,96)/12))&amp;(MOD((COUNTIFS($B$2:$B47,"s",$C$2:$C47,"SER")+COUNTIFS($B$2:$B47,"s",$C$2:$C47,"PLH")+COUNTIFS($B$2:$B47,"s",$C$2:$C47,"CSF"))-1,12)+1),"N/A"),"")</f>
        <v/>
      </c>
      <c r="J47" s="6" t="str">
        <f>IF(AND($A47&lt;&gt;"",$B47&lt;&gt;"",$C47&lt;&gt;"",$D47&lt;&gt;"",$E47&lt;&gt;""),IF(AND($B47="s",OR($C47="SER",$C47="PLH")),"Case MAX Planck Plate "&amp;(INT(((COUNTIFS($B$2:$B47,"s",$C$2:$C47,"SER")+COUNTIFS($B$2:$B47,"s",$C$2:$C47,"PLH"))-1)/96)+1)&amp;": "&amp;CHAR(65+INT(MOD((COUNTIFS($B$2:$B47,"s",$C$2:$C47,"SER")+COUNTIFS($B$2:$B47,"s",$C$2:$C47,"PLH"))-1,96)/12))&amp;(MOD((COUNTIFS($B$2:$B47,"s",$C$2:$C47,"SER")+COUNTIFS($B$2:$B47,"s",$C$2:$C47,"PLH"))-1,12)+1),"N/A"),"")</f>
        <v/>
      </c>
      <c r="K47" s="6" t="str">
        <f>IF(AND($A47&lt;&gt;"",$B47&lt;&gt;"",$C47&lt;&gt;"",$D47&lt;&gt;"",$E47&lt;&gt;""),IF($C47="WB","Case WB Box "&amp;(INT((COUNTIFS($C$2:$C47,"WB")-1)/81)+1)&amp;": "&amp;CHAR(65+INT(MOD(COUNTIFS($C$2:$C47,"WB")-1,81)/9))&amp;(MOD(COUNTIFS($C$2:$C47,"WB")-1,9)+1),"N/A"),"")</f>
        <v/>
      </c>
      <c r="L47" s="2" t="str">
        <f t="shared" si="1"/>
        <v/>
      </c>
      <c r="M47" s="2"/>
      <c r="N47" s="2"/>
      <c r="O47" s="2"/>
      <c r="P47" s="7" t="str">
        <f t="shared" si="2"/>
        <v/>
      </c>
      <c r="Q47" s="7" t="str">
        <f t="shared" si="3"/>
        <v/>
      </c>
      <c r="R47" s="7" t="str">
        <f t="shared" si="4"/>
        <v/>
      </c>
      <c r="S47" s="7" t="str">
        <f t="shared" si="5"/>
        <v/>
      </c>
      <c r="T47" s="7" t="str">
        <f t="shared" si="6"/>
        <v/>
      </c>
      <c r="U47" s="7" t="str">
        <f t="shared" si="7"/>
        <v/>
      </c>
      <c r="V47" s="7" t="str">
        <f t="shared" si="8"/>
        <v/>
      </c>
      <c r="W47" s="7" t="str">
        <f t="shared" si="9"/>
        <v/>
      </c>
      <c r="X47" s="7" t="str">
        <f t="shared" si="10"/>
        <v/>
      </c>
      <c r="Y47" s="7" t="str">
        <f t="shared" si="11"/>
        <v/>
      </c>
      <c r="Z47">
        <f t="shared" si="12"/>
        <v>0</v>
      </c>
      <c r="AA47" t="str">
        <f t="shared" si="13"/>
        <v/>
      </c>
      <c r="AB47" t="str">
        <f t="shared" si="14"/>
        <v/>
      </c>
      <c r="AC47" t="str">
        <f t="shared" si="15"/>
        <v/>
      </c>
      <c r="AD47" t="str">
        <f t="shared" si="16"/>
        <v/>
      </c>
      <c r="AE47">
        <f t="shared" si="17"/>
        <v>0</v>
      </c>
    </row>
    <row r="48" spans="1:31" ht="15" customHeight="1" x14ac:dyDescent="0.35">
      <c r="A48" s="2"/>
      <c r="B48" s="3"/>
      <c r="C48" s="3"/>
      <c r="D48" s="4"/>
      <c r="E48" s="5"/>
      <c r="F48" s="11" t="str">
        <f t="shared" ca="1" si="0"/>
        <v/>
      </c>
      <c r="G48" s="5"/>
      <c r="H48" s="6" t="str">
        <f>IF(AND($A48&lt;&gt;"",$B48&lt;&gt;"",$C48&lt;&gt;"",$D48&lt;&gt;"",$E48&lt;&gt;""),IF(AND($B48="s",OR($C48="SER",$C48="PLH",$C48="CSF")),"Case CDI Plate "&amp;(INT(((COUNTIFS($B$2:$B48,"s",$C$2:$C48,"SER")+COUNTIFS($B$2:$B48,"s",$C$2:$C48,"PLH")+COUNTIFS($B$2:$B48,"s",$C$2:$C48,"CSF"))-1)/96)+1)&amp;": "&amp;CHAR(65+INT(MOD((COUNTIFS($B$2:$B48,"s",$C$2:$C48,"SER")+COUNTIFS($B$2:$B48,"s",$C$2:$C48,"PLH")+COUNTIFS($B$2:$B48,"s",$C$2:$C48,"CSF"))-1,96)/12))&amp;(MOD((COUNTIFS($B$2:$B48,"s",$C$2:$C48,"SER")+COUNTIFS($B$2:$B48,"s",$C$2:$C48,"PLH")+COUNTIFS($B$2:$B48,"s",$C$2:$C48,"CSF"))-1,12)+1),"N/A"),"")</f>
        <v/>
      </c>
      <c r="I48" s="6" t="str">
        <f>IF(AND($A48&lt;&gt;"",$B48&lt;&gt;"",$C48&lt;&gt;"",$D48&lt;&gt;"",$E48&lt;&gt;""),IF(AND($B48="s",OR($C48="SER",$C48="PLH",$C48="CSF")),"Case NIH Plate "&amp;(INT(((COUNTIFS($B$2:$B48,"s",$C$2:$C48,"SER")+COUNTIFS($B$2:$B48,"s",$C$2:$C48,"PLH")+COUNTIFS($B$2:$B48,"s",$C$2:$C48,"CSF"))-1)/96)+1)&amp;": "&amp;CHAR(65+INT(MOD((COUNTIFS($B$2:$B48,"s",$C$2:$C48,"SER")+COUNTIFS($B$2:$B48,"s",$C$2:$C48,"PLH")+COUNTIFS($B$2:$B48,"s",$C$2:$C48,"CSF"))-1,96)/12))&amp;(MOD((COUNTIFS($B$2:$B48,"s",$C$2:$C48,"SER")+COUNTIFS($B$2:$B48,"s",$C$2:$C48,"PLH")+COUNTIFS($B$2:$B48,"s",$C$2:$C48,"CSF"))-1,12)+1),"N/A"),"")</f>
        <v/>
      </c>
      <c r="J48" s="6" t="str">
        <f>IF(AND($A48&lt;&gt;"",$B48&lt;&gt;"",$C48&lt;&gt;"",$D48&lt;&gt;"",$E48&lt;&gt;""),IF(AND($B48="s",OR($C48="SER",$C48="PLH")),"Case MAX Planck Plate "&amp;(INT(((COUNTIFS($B$2:$B48,"s",$C$2:$C48,"SER")+COUNTIFS($B$2:$B48,"s",$C$2:$C48,"PLH"))-1)/96)+1)&amp;": "&amp;CHAR(65+INT(MOD((COUNTIFS($B$2:$B48,"s",$C$2:$C48,"SER")+COUNTIFS($B$2:$B48,"s",$C$2:$C48,"PLH"))-1,96)/12))&amp;(MOD((COUNTIFS($B$2:$B48,"s",$C$2:$C48,"SER")+COUNTIFS($B$2:$B48,"s",$C$2:$C48,"PLH"))-1,12)+1),"N/A"),"")</f>
        <v/>
      </c>
      <c r="K48" s="6" t="str">
        <f>IF(AND($A48&lt;&gt;"",$B48&lt;&gt;"",$C48&lt;&gt;"",$D48&lt;&gt;"",$E48&lt;&gt;""),IF($C48="WB","Case WB Box "&amp;(INT((COUNTIFS($C$2:$C48,"WB")-1)/81)+1)&amp;": "&amp;CHAR(65+INT(MOD(COUNTIFS($C$2:$C48,"WB")-1,81)/9))&amp;(MOD(COUNTIFS($C$2:$C48,"WB")-1,9)+1),"N/A"),"")</f>
        <v/>
      </c>
      <c r="L48" s="2" t="str">
        <f t="shared" si="1"/>
        <v/>
      </c>
      <c r="M48" s="2"/>
      <c r="N48" s="2"/>
      <c r="O48" s="2"/>
      <c r="P48" s="7" t="str">
        <f t="shared" si="2"/>
        <v/>
      </c>
      <c r="Q48" s="7" t="str">
        <f t="shared" si="3"/>
        <v/>
      </c>
      <c r="R48" s="7" t="str">
        <f t="shared" si="4"/>
        <v/>
      </c>
      <c r="S48" s="7" t="str">
        <f t="shared" si="5"/>
        <v/>
      </c>
      <c r="T48" s="7" t="str">
        <f t="shared" si="6"/>
        <v/>
      </c>
      <c r="U48" s="7" t="str">
        <f t="shared" si="7"/>
        <v/>
      </c>
      <c r="V48" s="7" t="str">
        <f t="shared" si="8"/>
        <v/>
      </c>
      <c r="W48" s="7" t="str">
        <f t="shared" si="9"/>
        <v/>
      </c>
      <c r="X48" s="7" t="str">
        <f t="shared" si="10"/>
        <v/>
      </c>
      <c r="Y48" s="7" t="str">
        <f t="shared" si="11"/>
        <v/>
      </c>
      <c r="Z48">
        <f t="shared" si="12"/>
        <v>0</v>
      </c>
      <c r="AA48" t="str">
        <f t="shared" si="13"/>
        <v/>
      </c>
      <c r="AB48" t="str">
        <f t="shared" si="14"/>
        <v/>
      </c>
      <c r="AC48" t="str">
        <f t="shared" si="15"/>
        <v/>
      </c>
      <c r="AD48" t="str">
        <f t="shared" si="16"/>
        <v/>
      </c>
      <c r="AE48">
        <f t="shared" si="17"/>
        <v>0</v>
      </c>
    </row>
    <row r="49" spans="1:31" ht="15" customHeight="1" x14ac:dyDescent="0.35">
      <c r="A49" s="2"/>
      <c r="B49" s="3"/>
      <c r="C49" s="3"/>
      <c r="D49" s="4"/>
      <c r="E49" s="5"/>
      <c r="F49" s="11" t="str">
        <f t="shared" ca="1" si="0"/>
        <v/>
      </c>
      <c r="G49" s="5"/>
      <c r="H49" s="6" t="str">
        <f>IF(AND($A49&lt;&gt;"",$B49&lt;&gt;"",$C49&lt;&gt;"",$D49&lt;&gt;"",$E49&lt;&gt;""),IF(AND($B49="s",OR($C49="SER",$C49="PLH",$C49="CSF")),"Case CDI Plate "&amp;(INT(((COUNTIFS($B$2:$B49,"s",$C$2:$C49,"SER")+COUNTIFS($B$2:$B49,"s",$C$2:$C49,"PLH")+COUNTIFS($B$2:$B49,"s",$C$2:$C49,"CSF"))-1)/96)+1)&amp;": "&amp;CHAR(65+INT(MOD((COUNTIFS($B$2:$B49,"s",$C$2:$C49,"SER")+COUNTIFS($B$2:$B49,"s",$C$2:$C49,"PLH")+COUNTIFS($B$2:$B49,"s",$C$2:$C49,"CSF"))-1,96)/12))&amp;(MOD((COUNTIFS($B$2:$B49,"s",$C$2:$C49,"SER")+COUNTIFS($B$2:$B49,"s",$C$2:$C49,"PLH")+COUNTIFS($B$2:$B49,"s",$C$2:$C49,"CSF"))-1,12)+1),"N/A"),"")</f>
        <v/>
      </c>
      <c r="I49" s="6" t="str">
        <f>IF(AND($A49&lt;&gt;"",$B49&lt;&gt;"",$C49&lt;&gt;"",$D49&lt;&gt;"",$E49&lt;&gt;""),IF(AND($B49="s",OR($C49="SER",$C49="PLH",$C49="CSF")),"Case NIH Plate "&amp;(INT(((COUNTIFS($B$2:$B49,"s",$C$2:$C49,"SER")+COUNTIFS($B$2:$B49,"s",$C$2:$C49,"PLH")+COUNTIFS($B$2:$B49,"s",$C$2:$C49,"CSF"))-1)/96)+1)&amp;": "&amp;CHAR(65+INT(MOD((COUNTIFS($B$2:$B49,"s",$C$2:$C49,"SER")+COUNTIFS($B$2:$B49,"s",$C$2:$C49,"PLH")+COUNTIFS($B$2:$B49,"s",$C$2:$C49,"CSF"))-1,96)/12))&amp;(MOD((COUNTIFS($B$2:$B49,"s",$C$2:$C49,"SER")+COUNTIFS($B$2:$B49,"s",$C$2:$C49,"PLH")+COUNTIFS($B$2:$B49,"s",$C$2:$C49,"CSF"))-1,12)+1),"N/A"),"")</f>
        <v/>
      </c>
      <c r="J49" s="6" t="str">
        <f>IF(AND($A49&lt;&gt;"",$B49&lt;&gt;"",$C49&lt;&gt;"",$D49&lt;&gt;"",$E49&lt;&gt;""),IF(AND($B49="s",OR($C49="SER",$C49="PLH")),"Case MAX Planck Plate "&amp;(INT(((COUNTIFS($B$2:$B49,"s",$C$2:$C49,"SER")+COUNTIFS($B$2:$B49,"s",$C$2:$C49,"PLH"))-1)/96)+1)&amp;": "&amp;CHAR(65+INT(MOD((COUNTIFS($B$2:$B49,"s",$C$2:$C49,"SER")+COUNTIFS($B$2:$B49,"s",$C$2:$C49,"PLH"))-1,96)/12))&amp;(MOD((COUNTIFS($B$2:$B49,"s",$C$2:$C49,"SER")+COUNTIFS($B$2:$B49,"s",$C$2:$C49,"PLH"))-1,12)+1),"N/A"),"")</f>
        <v/>
      </c>
      <c r="K49" s="6" t="str">
        <f>IF(AND($A49&lt;&gt;"",$B49&lt;&gt;"",$C49&lt;&gt;"",$D49&lt;&gt;"",$E49&lt;&gt;""),IF($C49="WB","Case WB Box "&amp;(INT((COUNTIFS($C$2:$C49,"WB")-1)/81)+1)&amp;": "&amp;CHAR(65+INT(MOD(COUNTIFS($C$2:$C49,"WB")-1,81)/9))&amp;(MOD(COUNTIFS($C$2:$C49,"WB")-1,9)+1),"N/A"),"")</f>
        <v/>
      </c>
      <c r="L49" s="2" t="str">
        <f t="shared" si="1"/>
        <v/>
      </c>
      <c r="M49" s="2"/>
      <c r="N49" s="2"/>
      <c r="O49" s="2"/>
      <c r="P49" s="7" t="str">
        <f t="shared" si="2"/>
        <v/>
      </c>
      <c r="Q49" s="7" t="str">
        <f t="shared" si="3"/>
        <v/>
      </c>
      <c r="R49" s="7" t="str">
        <f t="shared" si="4"/>
        <v/>
      </c>
      <c r="S49" s="7" t="str">
        <f t="shared" si="5"/>
        <v/>
      </c>
      <c r="T49" s="7" t="str">
        <f t="shared" si="6"/>
        <v/>
      </c>
      <c r="U49" s="7" t="str">
        <f t="shared" si="7"/>
        <v/>
      </c>
      <c r="V49" s="7" t="str">
        <f t="shared" si="8"/>
        <v/>
      </c>
      <c r="W49" s="7" t="str">
        <f t="shared" si="9"/>
        <v/>
      </c>
      <c r="X49" s="7" t="str">
        <f t="shared" si="10"/>
        <v/>
      </c>
      <c r="Y49" s="7" t="str">
        <f t="shared" si="11"/>
        <v/>
      </c>
      <c r="Z49">
        <f t="shared" si="12"/>
        <v>0</v>
      </c>
      <c r="AA49" t="str">
        <f t="shared" si="13"/>
        <v/>
      </c>
      <c r="AB49" t="str">
        <f t="shared" si="14"/>
        <v/>
      </c>
      <c r="AC49" t="str">
        <f t="shared" si="15"/>
        <v/>
      </c>
      <c r="AD49" t="str">
        <f t="shared" si="16"/>
        <v/>
      </c>
      <c r="AE49">
        <f t="shared" si="17"/>
        <v>0</v>
      </c>
    </row>
    <row r="50" spans="1:31" ht="15" customHeight="1" x14ac:dyDescent="0.35">
      <c r="A50" s="2"/>
      <c r="B50" s="3"/>
      <c r="C50" s="3"/>
      <c r="D50" s="4"/>
      <c r="E50" s="5"/>
      <c r="F50" s="11" t="str">
        <f t="shared" ca="1" si="0"/>
        <v/>
      </c>
      <c r="G50" s="5"/>
      <c r="H50" s="6" t="str">
        <f>IF(AND($A50&lt;&gt;"",$B50&lt;&gt;"",$C50&lt;&gt;"",$D50&lt;&gt;"",$E50&lt;&gt;""),IF(AND($B50="s",OR($C50="SER",$C50="PLH",$C50="CSF")),"Case CDI Plate "&amp;(INT(((COUNTIFS($B$2:$B50,"s",$C$2:$C50,"SER")+COUNTIFS($B$2:$B50,"s",$C$2:$C50,"PLH")+COUNTIFS($B$2:$B50,"s",$C$2:$C50,"CSF"))-1)/96)+1)&amp;": "&amp;CHAR(65+INT(MOD((COUNTIFS($B$2:$B50,"s",$C$2:$C50,"SER")+COUNTIFS($B$2:$B50,"s",$C$2:$C50,"PLH")+COUNTIFS($B$2:$B50,"s",$C$2:$C50,"CSF"))-1,96)/12))&amp;(MOD((COUNTIFS($B$2:$B50,"s",$C$2:$C50,"SER")+COUNTIFS($B$2:$B50,"s",$C$2:$C50,"PLH")+COUNTIFS($B$2:$B50,"s",$C$2:$C50,"CSF"))-1,12)+1),"N/A"),"")</f>
        <v/>
      </c>
      <c r="I50" s="6" t="str">
        <f>IF(AND($A50&lt;&gt;"",$B50&lt;&gt;"",$C50&lt;&gt;"",$D50&lt;&gt;"",$E50&lt;&gt;""),IF(AND($B50="s",OR($C50="SER",$C50="PLH",$C50="CSF")),"Case NIH Plate "&amp;(INT(((COUNTIFS($B$2:$B50,"s",$C$2:$C50,"SER")+COUNTIFS($B$2:$B50,"s",$C$2:$C50,"PLH")+COUNTIFS($B$2:$B50,"s",$C$2:$C50,"CSF"))-1)/96)+1)&amp;": "&amp;CHAR(65+INT(MOD((COUNTIFS($B$2:$B50,"s",$C$2:$C50,"SER")+COUNTIFS($B$2:$B50,"s",$C$2:$C50,"PLH")+COUNTIFS($B$2:$B50,"s",$C$2:$C50,"CSF"))-1,96)/12))&amp;(MOD((COUNTIFS($B$2:$B50,"s",$C$2:$C50,"SER")+COUNTIFS($B$2:$B50,"s",$C$2:$C50,"PLH")+COUNTIFS($B$2:$B50,"s",$C$2:$C50,"CSF"))-1,12)+1),"N/A"),"")</f>
        <v/>
      </c>
      <c r="J50" s="6" t="str">
        <f>IF(AND($A50&lt;&gt;"",$B50&lt;&gt;"",$C50&lt;&gt;"",$D50&lt;&gt;"",$E50&lt;&gt;""),IF(AND($B50="s",OR($C50="SER",$C50="PLH")),"Case MAX Planck Plate "&amp;(INT(((COUNTIFS($B$2:$B50,"s",$C$2:$C50,"SER")+COUNTIFS($B$2:$B50,"s",$C$2:$C50,"PLH"))-1)/96)+1)&amp;": "&amp;CHAR(65+INT(MOD((COUNTIFS($B$2:$B50,"s",$C$2:$C50,"SER")+COUNTIFS($B$2:$B50,"s",$C$2:$C50,"PLH"))-1,96)/12))&amp;(MOD((COUNTIFS($B$2:$B50,"s",$C$2:$C50,"SER")+COUNTIFS($B$2:$B50,"s",$C$2:$C50,"PLH"))-1,12)+1),"N/A"),"")</f>
        <v/>
      </c>
      <c r="K50" s="6" t="str">
        <f>IF(AND($A50&lt;&gt;"",$B50&lt;&gt;"",$C50&lt;&gt;"",$D50&lt;&gt;"",$E50&lt;&gt;""),IF($C50="WB","Case WB Box "&amp;(INT((COUNTIFS($C$2:$C50,"WB")-1)/81)+1)&amp;": "&amp;CHAR(65+INT(MOD(COUNTIFS($C$2:$C50,"WB")-1,81)/9))&amp;(MOD(COUNTIFS($C$2:$C50,"WB")-1,9)+1),"N/A"),"")</f>
        <v/>
      </c>
      <c r="L50" s="2" t="str">
        <f t="shared" si="1"/>
        <v/>
      </c>
      <c r="M50" s="2"/>
      <c r="N50" s="2"/>
      <c r="O50" s="2"/>
      <c r="P50" s="7" t="str">
        <f t="shared" si="2"/>
        <v/>
      </c>
      <c r="Q50" s="7" t="str">
        <f t="shared" si="3"/>
        <v/>
      </c>
      <c r="R50" s="7" t="str">
        <f t="shared" si="4"/>
        <v/>
      </c>
      <c r="S50" s="7" t="str">
        <f t="shared" si="5"/>
        <v/>
      </c>
      <c r="T50" s="7" t="str">
        <f t="shared" si="6"/>
        <v/>
      </c>
      <c r="U50" s="7" t="str">
        <f t="shared" si="7"/>
        <v/>
      </c>
      <c r="V50" s="7" t="str">
        <f t="shared" si="8"/>
        <v/>
      </c>
      <c r="W50" s="7" t="str">
        <f t="shared" si="9"/>
        <v/>
      </c>
      <c r="X50" s="7" t="str">
        <f t="shared" si="10"/>
        <v/>
      </c>
      <c r="Y50" s="7" t="str">
        <f t="shared" si="11"/>
        <v/>
      </c>
      <c r="Z50">
        <f t="shared" si="12"/>
        <v>0</v>
      </c>
      <c r="AA50" t="str">
        <f t="shared" si="13"/>
        <v/>
      </c>
      <c r="AB50" t="str">
        <f t="shared" si="14"/>
        <v/>
      </c>
      <c r="AC50" t="str">
        <f t="shared" si="15"/>
        <v/>
      </c>
      <c r="AD50" t="str">
        <f t="shared" si="16"/>
        <v/>
      </c>
      <c r="AE50">
        <f t="shared" si="17"/>
        <v>0</v>
      </c>
    </row>
    <row r="51" spans="1:31" ht="15" customHeight="1" x14ac:dyDescent="0.35">
      <c r="A51" s="2"/>
      <c r="B51" s="3"/>
      <c r="C51" s="3"/>
      <c r="D51" s="4"/>
      <c r="E51" s="5"/>
      <c r="F51" s="11" t="str">
        <f t="shared" ca="1" si="0"/>
        <v/>
      </c>
      <c r="G51" s="5"/>
      <c r="H51" s="6" t="str">
        <f>IF(AND($A51&lt;&gt;"",$B51&lt;&gt;"",$C51&lt;&gt;"",$D51&lt;&gt;"",$E51&lt;&gt;""),IF(AND($B51="s",OR($C51="SER",$C51="PLH",$C51="CSF")),"Case CDI Plate "&amp;(INT(((COUNTIFS($B$2:$B51,"s",$C$2:$C51,"SER")+COUNTIFS($B$2:$B51,"s",$C$2:$C51,"PLH")+COUNTIFS($B$2:$B51,"s",$C$2:$C51,"CSF"))-1)/96)+1)&amp;": "&amp;CHAR(65+INT(MOD((COUNTIFS($B$2:$B51,"s",$C$2:$C51,"SER")+COUNTIFS($B$2:$B51,"s",$C$2:$C51,"PLH")+COUNTIFS($B$2:$B51,"s",$C$2:$C51,"CSF"))-1,96)/12))&amp;(MOD((COUNTIFS($B$2:$B51,"s",$C$2:$C51,"SER")+COUNTIFS($B$2:$B51,"s",$C$2:$C51,"PLH")+COUNTIFS($B$2:$B51,"s",$C$2:$C51,"CSF"))-1,12)+1),"N/A"),"")</f>
        <v/>
      </c>
      <c r="I51" s="6" t="str">
        <f>IF(AND($A51&lt;&gt;"",$B51&lt;&gt;"",$C51&lt;&gt;"",$D51&lt;&gt;"",$E51&lt;&gt;""),IF(AND($B51="s",OR($C51="SER",$C51="PLH",$C51="CSF")),"Case NIH Plate "&amp;(INT(((COUNTIFS($B$2:$B51,"s",$C$2:$C51,"SER")+COUNTIFS($B$2:$B51,"s",$C$2:$C51,"PLH")+COUNTIFS($B$2:$B51,"s",$C$2:$C51,"CSF"))-1)/96)+1)&amp;": "&amp;CHAR(65+INT(MOD((COUNTIFS($B$2:$B51,"s",$C$2:$C51,"SER")+COUNTIFS($B$2:$B51,"s",$C$2:$C51,"PLH")+COUNTIFS($B$2:$B51,"s",$C$2:$C51,"CSF"))-1,96)/12))&amp;(MOD((COUNTIFS($B$2:$B51,"s",$C$2:$C51,"SER")+COUNTIFS($B$2:$B51,"s",$C$2:$C51,"PLH")+COUNTIFS($B$2:$B51,"s",$C$2:$C51,"CSF"))-1,12)+1),"N/A"),"")</f>
        <v/>
      </c>
      <c r="J51" s="6" t="str">
        <f>IF(AND($A51&lt;&gt;"",$B51&lt;&gt;"",$C51&lt;&gt;"",$D51&lt;&gt;"",$E51&lt;&gt;""),IF(AND($B51="s",OR($C51="SER",$C51="PLH")),"Case MAX Planck Plate "&amp;(INT(((COUNTIFS($B$2:$B51,"s",$C$2:$C51,"SER")+COUNTIFS($B$2:$B51,"s",$C$2:$C51,"PLH"))-1)/96)+1)&amp;": "&amp;CHAR(65+INT(MOD((COUNTIFS($B$2:$B51,"s",$C$2:$C51,"SER")+COUNTIFS($B$2:$B51,"s",$C$2:$C51,"PLH"))-1,96)/12))&amp;(MOD((COUNTIFS($B$2:$B51,"s",$C$2:$C51,"SER")+COUNTIFS($B$2:$B51,"s",$C$2:$C51,"PLH"))-1,12)+1),"N/A"),"")</f>
        <v/>
      </c>
      <c r="K51" s="6" t="str">
        <f>IF(AND($A51&lt;&gt;"",$B51&lt;&gt;"",$C51&lt;&gt;"",$D51&lt;&gt;"",$E51&lt;&gt;""),IF($C51="WB","Case WB Box "&amp;(INT((COUNTIFS($C$2:$C51,"WB")-1)/81)+1)&amp;": "&amp;CHAR(65+INT(MOD(COUNTIFS($C$2:$C51,"WB")-1,81)/9))&amp;(MOD(COUNTIFS($C$2:$C51,"WB")-1,9)+1),"N/A"),"")</f>
        <v/>
      </c>
      <c r="L51" s="2" t="str">
        <f t="shared" si="1"/>
        <v/>
      </c>
      <c r="M51" s="2"/>
      <c r="N51" s="2"/>
      <c r="O51" s="2"/>
      <c r="P51" s="7" t="str">
        <f t="shared" si="2"/>
        <v/>
      </c>
      <c r="Q51" s="7" t="str">
        <f t="shared" si="3"/>
        <v/>
      </c>
      <c r="R51" s="7" t="str">
        <f t="shared" si="4"/>
        <v/>
      </c>
      <c r="S51" s="7" t="str">
        <f t="shared" si="5"/>
        <v/>
      </c>
      <c r="T51" s="7" t="str">
        <f t="shared" si="6"/>
        <v/>
      </c>
      <c r="U51" s="7" t="str">
        <f t="shared" si="7"/>
        <v/>
      </c>
      <c r="V51" s="7" t="str">
        <f t="shared" si="8"/>
        <v/>
      </c>
      <c r="W51" s="7" t="str">
        <f t="shared" si="9"/>
        <v/>
      </c>
      <c r="X51" s="7" t="str">
        <f t="shared" si="10"/>
        <v/>
      </c>
      <c r="Y51" s="7" t="str">
        <f t="shared" si="11"/>
        <v/>
      </c>
      <c r="Z51">
        <f t="shared" si="12"/>
        <v>0</v>
      </c>
      <c r="AA51" t="str">
        <f t="shared" si="13"/>
        <v/>
      </c>
      <c r="AB51" t="str">
        <f t="shared" si="14"/>
        <v/>
      </c>
      <c r="AC51" t="str">
        <f t="shared" si="15"/>
        <v/>
      </c>
      <c r="AD51" t="str">
        <f t="shared" si="16"/>
        <v/>
      </c>
      <c r="AE51">
        <f t="shared" si="17"/>
        <v>0</v>
      </c>
    </row>
    <row r="52" spans="1:31" ht="15" customHeight="1" x14ac:dyDescent="0.35">
      <c r="A52" s="2"/>
      <c r="B52" s="3"/>
      <c r="C52" s="3"/>
      <c r="D52" s="4"/>
      <c r="E52" s="5"/>
      <c r="F52" s="11" t="str">
        <f t="shared" ca="1" si="0"/>
        <v/>
      </c>
      <c r="G52" s="5"/>
      <c r="H52" s="6" t="str">
        <f>IF(AND($A52&lt;&gt;"",$B52&lt;&gt;"",$C52&lt;&gt;"",$D52&lt;&gt;"",$E52&lt;&gt;""),IF(AND($B52="s",OR($C52="SER",$C52="PLH",$C52="CSF")),"Case CDI Plate "&amp;(INT(((COUNTIFS($B$2:$B52,"s",$C$2:$C52,"SER")+COUNTIFS($B$2:$B52,"s",$C$2:$C52,"PLH")+COUNTIFS($B$2:$B52,"s",$C$2:$C52,"CSF"))-1)/96)+1)&amp;": "&amp;CHAR(65+INT(MOD((COUNTIFS($B$2:$B52,"s",$C$2:$C52,"SER")+COUNTIFS($B$2:$B52,"s",$C$2:$C52,"PLH")+COUNTIFS($B$2:$B52,"s",$C$2:$C52,"CSF"))-1,96)/12))&amp;(MOD((COUNTIFS($B$2:$B52,"s",$C$2:$C52,"SER")+COUNTIFS($B$2:$B52,"s",$C$2:$C52,"PLH")+COUNTIFS($B$2:$B52,"s",$C$2:$C52,"CSF"))-1,12)+1),"N/A"),"")</f>
        <v/>
      </c>
      <c r="I52" s="6" t="str">
        <f>IF(AND($A52&lt;&gt;"",$B52&lt;&gt;"",$C52&lt;&gt;"",$D52&lt;&gt;"",$E52&lt;&gt;""),IF(AND($B52="s",OR($C52="SER",$C52="PLH",$C52="CSF")),"Case NIH Plate "&amp;(INT(((COUNTIFS($B$2:$B52,"s",$C$2:$C52,"SER")+COUNTIFS($B$2:$B52,"s",$C$2:$C52,"PLH")+COUNTIFS($B$2:$B52,"s",$C$2:$C52,"CSF"))-1)/96)+1)&amp;": "&amp;CHAR(65+INT(MOD((COUNTIFS($B$2:$B52,"s",$C$2:$C52,"SER")+COUNTIFS($B$2:$B52,"s",$C$2:$C52,"PLH")+COUNTIFS($B$2:$B52,"s",$C$2:$C52,"CSF"))-1,96)/12))&amp;(MOD((COUNTIFS($B$2:$B52,"s",$C$2:$C52,"SER")+COUNTIFS($B$2:$B52,"s",$C$2:$C52,"PLH")+COUNTIFS($B$2:$B52,"s",$C$2:$C52,"CSF"))-1,12)+1),"N/A"),"")</f>
        <v/>
      </c>
      <c r="J52" s="6" t="str">
        <f>IF(AND($A52&lt;&gt;"",$B52&lt;&gt;"",$C52&lt;&gt;"",$D52&lt;&gt;"",$E52&lt;&gt;""),IF(AND($B52="s",OR($C52="SER",$C52="PLH")),"Case MAX Planck Plate "&amp;(INT(((COUNTIFS($B$2:$B52,"s",$C$2:$C52,"SER")+COUNTIFS($B$2:$B52,"s",$C$2:$C52,"PLH"))-1)/96)+1)&amp;": "&amp;CHAR(65+INT(MOD((COUNTIFS($B$2:$B52,"s",$C$2:$C52,"SER")+COUNTIFS($B$2:$B52,"s",$C$2:$C52,"PLH"))-1,96)/12))&amp;(MOD((COUNTIFS($B$2:$B52,"s",$C$2:$C52,"SER")+COUNTIFS($B$2:$B52,"s",$C$2:$C52,"PLH"))-1,12)+1),"N/A"),"")</f>
        <v/>
      </c>
      <c r="K52" s="6" t="str">
        <f>IF(AND($A52&lt;&gt;"",$B52&lt;&gt;"",$C52&lt;&gt;"",$D52&lt;&gt;"",$E52&lt;&gt;""),IF($C52="WB","Case WB Box "&amp;(INT((COUNTIFS($C$2:$C52,"WB")-1)/81)+1)&amp;": "&amp;CHAR(65+INT(MOD(COUNTIFS($C$2:$C52,"WB")-1,81)/9))&amp;(MOD(COUNTIFS($C$2:$C52,"WB")-1,9)+1),"N/A"),"")</f>
        <v/>
      </c>
      <c r="L52" s="2" t="str">
        <f t="shared" si="1"/>
        <v/>
      </c>
      <c r="M52" s="2"/>
      <c r="N52" s="2"/>
      <c r="O52" s="2"/>
      <c r="P52" s="7" t="str">
        <f t="shared" si="2"/>
        <v/>
      </c>
      <c r="Q52" s="7" t="str">
        <f t="shared" si="3"/>
        <v/>
      </c>
      <c r="R52" s="7" t="str">
        <f t="shared" si="4"/>
        <v/>
      </c>
      <c r="S52" s="7" t="str">
        <f t="shared" si="5"/>
        <v/>
      </c>
      <c r="T52" s="7" t="str">
        <f t="shared" si="6"/>
        <v/>
      </c>
      <c r="U52" s="7" t="str">
        <f t="shared" si="7"/>
        <v/>
      </c>
      <c r="V52" s="7" t="str">
        <f t="shared" si="8"/>
        <v/>
      </c>
      <c r="W52" s="7" t="str">
        <f t="shared" si="9"/>
        <v/>
      </c>
      <c r="X52" s="7" t="str">
        <f t="shared" si="10"/>
        <v/>
      </c>
      <c r="Y52" s="7" t="str">
        <f t="shared" si="11"/>
        <v/>
      </c>
      <c r="Z52">
        <f t="shared" si="12"/>
        <v>0</v>
      </c>
      <c r="AA52" t="str">
        <f t="shared" si="13"/>
        <v/>
      </c>
      <c r="AB52" t="str">
        <f t="shared" si="14"/>
        <v/>
      </c>
      <c r="AC52" t="str">
        <f t="shared" si="15"/>
        <v/>
      </c>
      <c r="AD52" t="str">
        <f t="shared" si="16"/>
        <v/>
      </c>
      <c r="AE52">
        <f t="shared" si="17"/>
        <v>0</v>
      </c>
    </row>
    <row r="53" spans="1:31" ht="15" customHeight="1" x14ac:dyDescent="0.35">
      <c r="A53" s="2"/>
      <c r="B53" s="3"/>
      <c r="C53" s="3"/>
      <c r="D53" s="4"/>
      <c r="E53" s="5"/>
      <c r="F53" s="11" t="str">
        <f t="shared" ca="1" si="0"/>
        <v/>
      </c>
      <c r="G53" s="5"/>
      <c r="H53" s="6" t="str">
        <f>IF(AND($A53&lt;&gt;"",$B53&lt;&gt;"",$C53&lt;&gt;"",$D53&lt;&gt;"",$E53&lt;&gt;""),IF(AND($B53="s",OR($C53="SER",$C53="PLH",$C53="CSF")),"Case CDI Plate "&amp;(INT(((COUNTIFS($B$2:$B53,"s",$C$2:$C53,"SER")+COUNTIFS($B$2:$B53,"s",$C$2:$C53,"PLH")+COUNTIFS($B$2:$B53,"s",$C$2:$C53,"CSF"))-1)/96)+1)&amp;": "&amp;CHAR(65+INT(MOD((COUNTIFS($B$2:$B53,"s",$C$2:$C53,"SER")+COUNTIFS($B$2:$B53,"s",$C$2:$C53,"PLH")+COUNTIFS($B$2:$B53,"s",$C$2:$C53,"CSF"))-1,96)/12))&amp;(MOD((COUNTIFS($B$2:$B53,"s",$C$2:$C53,"SER")+COUNTIFS($B$2:$B53,"s",$C$2:$C53,"PLH")+COUNTIFS($B$2:$B53,"s",$C$2:$C53,"CSF"))-1,12)+1),"N/A"),"")</f>
        <v/>
      </c>
      <c r="I53" s="6" t="str">
        <f>IF(AND($A53&lt;&gt;"",$B53&lt;&gt;"",$C53&lt;&gt;"",$D53&lt;&gt;"",$E53&lt;&gt;""),IF(AND($B53="s",OR($C53="SER",$C53="PLH",$C53="CSF")),"Case NIH Plate "&amp;(INT(((COUNTIFS($B$2:$B53,"s",$C$2:$C53,"SER")+COUNTIFS($B$2:$B53,"s",$C$2:$C53,"PLH")+COUNTIFS($B$2:$B53,"s",$C$2:$C53,"CSF"))-1)/96)+1)&amp;": "&amp;CHAR(65+INT(MOD((COUNTIFS($B$2:$B53,"s",$C$2:$C53,"SER")+COUNTIFS($B$2:$B53,"s",$C$2:$C53,"PLH")+COUNTIFS($B$2:$B53,"s",$C$2:$C53,"CSF"))-1,96)/12))&amp;(MOD((COUNTIFS($B$2:$B53,"s",$C$2:$C53,"SER")+COUNTIFS($B$2:$B53,"s",$C$2:$C53,"PLH")+COUNTIFS($B$2:$B53,"s",$C$2:$C53,"CSF"))-1,12)+1),"N/A"),"")</f>
        <v/>
      </c>
      <c r="J53" s="6" t="str">
        <f>IF(AND($A53&lt;&gt;"",$B53&lt;&gt;"",$C53&lt;&gt;"",$D53&lt;&gt;"",$E53&lt;&gt;""),IF(AND($B53="s",OR($C53="SER",$C53="PLH")),"Case MAX Planck Plate "&amp;(INT(((COUNTIFS($B$2:$B53,"s",$C$2:$C53,"SER")+COUNTIFS($B$2:$B53,"s",$C$2:$C53,"PLH"))-1)/96)+1)&amp;": "&amp;CHAR(65+INT(MOD((COUNTIFS($B$2:$B53,"s",$C$2:$C53,"SER")+COUNTIFS($B$2:$B53,"s",$C$2:$C53,"PLH"))-1,96)/12))&amp;(MOD((COUNTIFS($B$2:$B53,"s",$C$2:$C53,"SER")+COUNTIFS($B$2:$B53,"s",$C$2:$C53,"PLH"))-1,12)+1),"N/A"),"")</f>
        <v/>
      </c>
      <c r="K53" s="6" t="str">
        <f>IF(AND($A53&lt;&gt;"",$B53&lt;&gt;"",$C53&lt;&gt;"",$D53&lt;&gt;"",$E53&lt;&gt;""),IF($C53="WB","Case WB Box "&amp;(INT((COUNTIFS($C$2:$C53,"WB")-1)/81)+1)&amp;": "&amp;CHAR(65+INT(MOD(COUNTIFS($C$2:$C53,"WB")-1,81)/9))&amp;(MOD(COUNTIFS($C$2:$C53,"WB")-1,9)+1),"N/A"),"")</f>
        <v/>
      </c>
      <c r="L53" s="2" t="str">
        <f t="shared" si="1"/>
        <v/>
      </c>
      <c r="M53" s="2"/>
      <c r="N53" s="2"/>
      <c r="O53" s="2"/>
      <c r="P53" s="7" t="str">
        <f t="shared" si="2"/>
        <v/>
      </c>
      <c r="Q53" s="7" t="str">
        <f t="shared" si="3"/>
        <v/>
      </c>
      <c r="R53" s="7" t="str">
        <f t="shared" si="4"/>
        <v/>
      </c>
      <c r="S53" s="7" t="str">
        <f t="shared" si="5"/>
        <v/>
      </c>
      <c r="T53" s="7" t="str">
        <f t="shared" si="6"/>
        <v/>
      </c>
      <c r="U53" s="7" t="str">
        <f t="shared" si="7"/>
        <v/>
      </c>
      <c r="V53" s="7" t="str">
        <f t="shared" si="8"/>
        <v/>
      </c>
      <c r="W53" s="7" t="str">
        <f t="shared" si="9"/>
        <v/>
      </c>
      <c r="X53" s="7" t="str">
        <f t="shared" si="10"/>
        <v/>
      </c>
      <c r="Y53" s="7" t="str">
        <f t="shared" si="11"/>
        <v/>
      </c>
      <c r="Z53">
        <f t="shared" si="12"/>
        <v>0</v>
      </c>
      <c r="AA53" t="str">
        <f t="shared" si="13"/>
        <v/>
      </c>
      <c r="AB53" t="str">
        <f t="shared" si="14"/>
        <v/>
      </c>
      <c r="AC53" t="str">
        <f t="shared" si="15"/>
        <v/>
      </c>
      <c r="AD53" t="str">
        <f t="shared" si="16"/>
        <v/>
      </c>
      <c r="AE53">
        <f t="shared" si="17"/>
        <v>0</v>
      </c>
    </row>
    <row r="54" spans="1:31" ht="15" customHeight="1" x14ac:dyDescent="0.35">
      <c r="A54" s="2"/>
      <c r="B54" s="3"/>
      <c r="C54" s="3"/>
      <c r="D54" s="4"/>
      <c r="E54" s="5"/>
      <c r="F54" s="11" t="str">
        <f t="shared" ca="1" si="0"/>
        <v/>
      </c>
      <c r="G54" s="5"/>
      <c r="H54" s="6" t="str">
        <f>IF(AND($A54&lt;&gt;"",$B54&lt;&gt;"",$C54&lt;&gt;"",$D54&lt;&gt;"",$E54&lt;&gt;""),IF(AND($B54="s",OR($C54="SER",$C54="PLH",$C54="CSF")),"Case CDI Plate "&amp;(INT(((COUNTIFS($B$2:$B54,"s",$C$2:$C54,"SER")+COUNTIFS($B$2:$B54,"s",$C$2:$C54,"PLH")+COUNTIFS($B$2:$B54,"s",$C$2:$C54,"CSF"))-1)/96)+1)&amp;": "&amp;CHAR(65+INT(MOD((COUNTIFS($B$2:$B54,"s",$C$2:$C54,"SER")+COUNTIFS($B$2:$B54,"s",$C$2:$C54,"PLH")+COUNTIFS($B$2:$B54,"s",$C$2:$C54,"CSF"))-1,96)/12))&amp;(MOD((COUNTIFS($B$2:$B54,"s",$C$2:$C54,"SER")+COUNTIFS($B$2:$B54,"s",$C$2:$C54,"PLH")+COUNTIFS($B$2:$B54,"s",$C$2:$C54,"CSF"))-1,12)+1),"N/A"),"")</f>
        <v/>
      </c>
      <c r="I54" s="6" t="str">
        <f>IF(AND($A54&lt;&gt;"",$B54&lt;&gt;"",$C54&lt;&gt;"",$D54&lt;&gt;"",$E54&lt;&gt;""),IF(AND($B54="s",OR($C54="SER",$C54="PLH",$C54="CSF")),"Case NIH Plate "&amp;(INT(((COUNTIFS($B$2:$B54,"s",$C$2:$C54,"SER")+COUNTIFS($B$2:$B54,"s",$C$2:$C54,"PLH")+COUNTIFS($B$2:$B54,"s",$C$2:$C54,"CSF"))-1)/96)+1)&amp;": "&amp;CHAR(65+INT(MOD((COUNTIFS($B$2:$B54,"s",$C$2:$C54,"SER")+COUNTIFS($B$2:$B54,"s",$C$2:$C54,"PLH")+COUNTIFS($B$2:$B54,"s",$C$2:$C54,"CSF"))-1,96)/12))&amp;(MOD((COUNTIFS($B$2:$B54,"s",$C$2:$C54,"SER")+COUNTIFS($B$2:$B54,"s",$C$2:$C54,"PLH")+COUNTIFS($B$2:$B54,"s",$C$2:$C54,"CSF"))-1,12)+1),"N/A"),"")</f>
        <v/>
      </c>
      <c r="J54" s="6" t="str">
        <f>IF(AND($A54&lt;&gt;"",$B54&lt;&gt;"",$C54&lt;&gt;"",$D54&lt;&gt;"",$E54&lt;&gt;""),IF(AND($B54="s",OR($C54="SER",$C54="PLH")),"Case MAX Planck Plate "&amp;(INT(((COUNTIFS($B$2:$B54,"s",$C$2:$C54,"SER")+COUNTIFS($B$2:$B54,"s",$C$2:$C54,"PLH"))-1)/96)+1)&amp;": "&amp;CHAR(65+INT(MOD((COUNTIFS($B$2:$B54,"s",$C$2:$C54,"SER")+COUNTIFS($B$2:$B54,"s",$C$2:$C54,"PLH"))-1,96)/12))&amp;(MOD((COUNTIFS($B$2:$B54,"s",$C$2:$C54,"SER")+COUNTIFS($B$2:$B54,"s",$C$2:$C54,"PLH"))-1,12)+1),"N/A"),"")</f>
        <v/>
      </c>
      <c r="K54" s="6" t="str">
        <f>IF(AND($A54&lt;&gt;"",$B54&lt;&gt;"",$C54&lt;&gt;"",$D54&lt;&gt;"",$E54&lt;&gt;""),IF($C54="WB","Case WB Box "&amp;(INT((COUNTIFS($C$2:$C54,"WB")-1)/81)+1)&amp;": "&amp;CHAR(65+INT(MOD(COUNTIFS($C$2:$C54,"WB")-1,81)/9))&amp;(MOD(COUNTIFS($C$2:$C54,"WB")-1,9)+1),"N/A"),"")</f>
        <v/>
      </c>
      <c r="L54" s="2" t="str">
        <f t="shared" si="1"/>
        <v/>
      </c>
      <c r="M54" s="2"/>
      <c r="N54" s="2"/>
      <c r="O54" s="2"/>
      <c r="P54" s="7" t="str">
        <f t="shared" si="2"/>
        <v/>
      </c>
      <c r="Q54" s="7" t="str">
        <f t="shared" si="3"/>
        <v/>
      </c>
      <c r="R54" s="7" t="str">
        <f t="shared" si="4"/>
        <v/>
      </c>
      <c r="S54" s="7" t="str">
        <f t="shared" si="5"/>
        <v/>
      </c>
      <c r="T54" s="7" t="str">
        <f t="shared" si="6"/>
        <v/>
      </c>
      <c r="U54" s="7" t="str">
        <f t="shared" si="7"/>
        <v/>
      </c>
      <c r="V54" s="7" t="str">
        <f t="shared" si="8"/>
        <v/>
      </c>
      <c r="W54" s="7" t="str">
        <f t="shared" si="9"/>
        <v/>
      </c>
      <c r="X54" s="7" t="str">
        <f t="shared" si="10"/>
        <v/>
      </c>
      <c r="Y54" s="7" t="str">
        <f t="shared" si="11"/>
        <v/>
      </c>
      <c r="Z54">
        <f t="shared" si="12"/>
        <v>0</v>
      </c>
      <c r="AA54" t="str">
        <f t="shared" si="13"/>
        <v/>
      </c>
      <c r="AB54" t="str">
        <f t="shared" si="14"/>
        <v/>
      </c>
      <c r="AC54" t="str">
        <f t="shared" si="15"/>
        <v/>
      </c>
      <c r="AD54" t="str">
        <f t="shared" si="16"/>
        <v/>
      </c>
      <c r="AE54">
        <f t="shared" si="17"/>
        <v>0</v>
      </c>
    </row>
    <row r="55" spans="1:31" ht="15" customHeight="1" x14ac:dyDescent="0.35">
      <c r="A55" s="2"/>
      <c r="B55" s="3"/>
      <c r="C55" s="3"/>
      <c r="D55" s="4"/>
      <c r="E55" s="5"/>
      <c r="F55" s="11" t="str">
        <f t="shared" ca="1" si="0"/>
        <v/>
      </c>
      <c r="G55" s="5"/>
      <c r="H55" s="6" t="str">
        <f>IF(AND($A55&lt;&gt;"",$B55&lt;&gt;"",$C55&lt;&gt;"",$D55&lt;&gt;"",$E55&lt;&gt;""),IF(AND($B55="s",OR($C55="SER",$C55="PLH",$C55="CSF")),"Case CDI Plate "&amp;(INT(((COUNTIFS($B$2:$B55,"s",$C$2:$C55,"SER")+COUNTIFS($B$2:$B55,"s",$C$2:$C55,"PLH")+COUNTIFS($B$2:$B55,"s",$C$2:$C55,"CSF"))-1)/96)+1)&amp;": "&amp;CHAR(65+INT(MOD((COUNTIFS($B$2:$B55,"s",$C$2:$C55,"SER")+COUNTIFS($B$2:$B55,"s",$C$2:$C55,"PLH")+COUNTIFS($B$2:$B55,"s",$C$2:$C55,"CSF"))-1,96)/12))&amp;(MOD((COUNTIFS($B$2:$B55,"s",$C$2:$C55,"SER")+COUNTIFS($B$2:$B55,"s",$C$2:$C55,"PLH")+COUNTIFS($B$2:$B55,"s",$C$2:$C55,"CSF"))-1,12)+1),"N/A"),"")</f>
        <v/>
      </c>
      <c r="I55" s="6" t="str">
        <f>IF(AND($A55&lt;&gt;"",$B55&lt;&gt;"",$C55&lt;&gt;"",$D55&lt;&gt;"",$E55&lt;&gt;""),IF(AND($B55="s",OR($C55="SER",$C55="PLH",$C55="CSF")),"Case NIH Plate "&amp;(INT(((COUNTIFS($B$2:$B55,"s",$C$2:$C55,"SER")+COUNTIFS($B$2:$B55,"s",$C$2:$C55,"PLH")+COUNTIFS($B$2:$B55,"s",$C$2:$C55,"CSF"))-1)/96)+1)&amp;": "&amp;CHAR(65+INT(MOD((COUNTIFS($B$2:$B55,"s",$C$2:$C55,"SER")+COUNTIFS($B$2:$B55,"s",$C$2:$C55,"PLH")+COUNTIFS($B$2:$B55,"s",$C$2:$C55,"CSF"))-1,96)/12))&amp;(MOD((COUNTIFS($B$2:$B55,"s",$C$2:$C55,"SER")+COUNTIFS($B$2:$B55,"s",$C$2:$C55,"PLH")+COUNTIFS($B$2:$B55,"s",$C$2:$C55,"CSF"))-1,12)+1),"N/A"),"")</f>
        <v/>
      </c>
      <c r="J55" s="6" t="str">
        <f>IF(AND($A55&lt;&gt;"",$B55&lt;&gt;"",$C55&lt;&gt;"",$D55&lt;&gt;"",$E55&lt;&gt;""),IF(AND($B55="s",OR($C55="SER",$C55="PLH")),"Case MAX Planck Plate "&amp;(INT(((COUNTIFS($B$2:$B55,"s",$C$2:$C55,"SER")+COUNTIFS($B$2:$B55,"s",$C$2:$C55,"PLH"))-1)/96)+1)&amp;": "&amp;CHAR(65+INT(MOD((COUNTIFS($B$2:$B55,"s",$C$2:$C55,"SER")+COUNTIFS($B$2:$B55,"s",$C$2:$C55,"PLH"))-1,96)/12))&amp;(MOD((COUNTIFS($B$2:$B55,"s",$C$2:$C55,"SER")+COUNTIFS($B$2:$B55,"s",$C$2:$C55,"PLH"))-1,12)+1),"N/A"),"")</f>
        <v/>
      </c>
      <c r="K55" s="6" t="str">
        <f>IF(AND($A55&lt;&gt;"",$B55&lt;&gt;"",$C55&lt;&gt;"",$D55&lt;&gt;"",$E55&lt;&gt;""),IF($C55="WB","Case WB Box "&amp;(INT((COUNTIFS($C$2:$C55,"WB")-1)/81)+1)&amp;": "&amp;CHAR(65+INT(MOD(COUNTIFS($C$2:$C55,"WB")-1,81)/9))&amp;(MOD(COUNTIFS($C$2:$C55,"WB")-1,9)+1),"N/A"),"")</f>
        <v/>
      </c>
      <c r="L55" s="2" t="str">
        <f t="shared" si="1"/>
        <v/>
      </c>
      <c r="M55" s="2"/>
      <c r="N55" s="2"/>
      <c r="O55" s="2"/>
      <c r="P55" s="7" t="str">
        <f t="shared" si="2"/>
        <v/>
      </c>
      <c r="Q55" s="7" t="str">
        <f t="shared" si="3"/>
        <v/>
      </c>
      <c r="R55" s="7" t="str">
        <f t="shared" si="4"/>
        <v/>
      </c>
      <c r="S55" s="7" t="str">
        <f t="shared" si="5"/>
        <v/>
      </c>
      <c r="T55" s="7" t="str">
        <f t="shared" si="6"/>
        <v/>
      </c>
      <c r="U55" s="7" t="str">
        <f t="shared" si="7"/>
        <v/>
      </c>
      <c r="V55" s="7" t="str">
        <f t="shared" si="8"/>
        <v/>
      </c>
      <c r="W55" s="7" t="str">
        <f t="shared" si="9"/>
        <v/>
      </c>
      <c r="X55" s="7" t="str">
        <f t="shared" si="10"/>
        <v/>
      </c>
      <c r="Y55" s="7" t="str">
        <f t="shared" si="11"/>
        <v/>
      </c>
      <c r="Z55">
        <f t="shared" si="12"/>
        <v>0</v>
      </c>
      <c r="AA55" t="str">
        <f t="shared" si="13"/>
        <v/>
      </c>
      <c r="AB55" t="str">
        <f t="shared" si="14"/>
        <v/>
      </c>
      <c r="AC55" t="str">
        <f t="shared" si="15"/>
        <v/>
      </c>
      <c r="AD55" t="str">
        <f t="shared" si="16"/>
        <v/>
      </c>
      <c r="AE55">
        <f t="shared" si="17"/>
        <v>0</v>
      </c>
    </row>
    <row r="56" spans="1:31" ht="15" customHeight="1" x14ac:dyDescent="0.35">
      <c r="A56" s="2"/>
      <c r="B56" s="3"/>
      <c r="C56" s="3"/>
      <c r="D56" s="4"/>
      <c r="E56" s="5"/>
      <c r="F56" s="11" t="str">
        <f t="shared" ca="1" si="0"/>
        <v/>
      </c>
      <c r="G56" s="5"/>
      <c r="H56" s="6" t="str">
        <f>IF(AND($A56&lt;&gt;"",$B56&lt;&gt;"",$C56&lt;&gt;"",$D56&lt;&gt;"",$E56&lt;&gt;""),IF(AND($B56="s",OR($C56="SER",$C56="PLH",$C56="CSF")),"Case CDI Plate "&amp;(INT(((COUNTIFS($B$2:$B56,"s",$C$2:$C56,"SER")+COUNTIFS($B$2:$B56,"s",$C$2:$C56,"PLH")+COUNTIFS($B$2:$B56,"s",$C$2:$C56,"CSF"))-1)/96)+1)&amp;": "&amp;CHAR(65+INT(MOD((COUNTIFS($B$2:$B56,"s",$C$2:$C56,"SER")+COUNTIFS($B$2:$B56,"s",$C$2:$C56,"PLH")+COUNTIFS($B$2:$B56,"s",$C$2:$C56,"CSF"))-1,96)/12))&amp;(MOD((COUNTIFS($B$2:$B56,"s",$C$2:$C56,"SER")+COUNTIFS($B$2:$B56,"s",$C$2:$C56,"PLH")+COUNTIFS($B$2:$B56,"s",$C$2:$C56,"CSF"))-1,12)+1),"N/A"),"")</f>
        <v/>
      </c>
      <c r="I56" s="6" t="str">
        <f>IF(AND($A56&lt;&gt;"",$B56&lt;&gt;"",$C56&lt;&gt;"",$D56&lt;&gt;"",$E56&lt;&gt;""),IF(AND($B56="s",OR($C56="SER",$C56="PLH",$C56="CSF")),"Case NIH Plate "&amp;(INT(((COUNTIFS($B$2:$B56,"s",$C$2:$C56,"SER")+COUNTIFS($B$2:$B56,"s",$C$2:$C56,"PLH")+COUNTIFS($B$2:$B56,"s",$C$2:$C56,"CSF"))-1)/96)+1)&amp;": "&amp;CHAR(65+INT(MOD((COUNTIFS($B$2:$B56,"s",$C$2:$C56,"SER")+COUNTIFS($B$2:$B56,"s",$C$2:$C56,"PLH")+COUNTIFS($B$2:$B56,"s",$C$2:$C56,"CSF"))-1,96)/12))&amp;(MOD((COUNTIFS($B$2:$B56,"s",$C$2:$C56,"SER")+COUNTIFS($B$2:$B56,"s",$C$2:$C56,"PLH")+COUNTIFS($B$2:$B56,"s",$C$2:$C56,"CSF"))-1,12)+1),"N/A"),"")</f>
        <v/>
      </c>
      <c r="J56" s="6" t="str">
        <f>IF(AND($A56&lt;&gt;"",$B56&lt;&gt;"",$C56&lt;&gt;"",$D56&lt;&gt;"",$E56&lt;&gt;""),IF(AND($B56="s",OR($C56="SER",$C56="PLH")),"Case MAX Planck Plate "&amp;(INT(((COUNTIFS($B$2:$B56,"s",$C$2:$C56,"SER")+COUNTIFS($B$2:$B56,"s",$C$2:$C56,"PLH"))-1)/96)+1)&amp;": "&amp;CHAR(65+INT(MOD((COUNTIFS($B$2:$B56,"s",$C$2:$C56,"SER")+COUNTIFS($B$2:$B56,"s",$C$2:$C56,"PLH"))-1,96)/12))&amp;(MOD((COUNTIFS($B$2:$B56,"s",$C$2:$C56,"SER")+COUNTIFS($B$2:$B56,"s",$C$2:$C56,"PLH"))-1,12)+1),"N/A"),"")</f>
        <v/>
      </c>
      <c r="K56" s="6" t="str">
        <f>IF(AND($A56&lt;&gt;"",$B56&lt;&gt;"",$C56&lt;&gt;"",$D56&lt;&gt;"",$E56&lt;&gt;""),IF($C56="WB","Case WB Box "&amp;(INT((COUNTIFS($C$2:$C56,"WB")-1)/81)+1)&amp;": "&amp;CHAR(65+INT(MOD(COUNTIFS($C$2:$C56,"WB")-1,81)/9))&amp;(MOD(COUNTIFS($C$2:$C56,"WB")-1,9)+1),"N/A"),"")</f>
        <v/>
      </c>
      <c r="L56" s="2" t="str">
        <f t="shared" si="1"/>
        <v/>
      </c>
      <c r="M56" s="2"/>
      <c r="N56" s="2"/>
      <c r="O56" s="2"/>
      <c r="P56" s="7" t="str">
        <f t="shared" si="2"/>
        <v/>
      </c>
      <c r="Q56" s="7" t="str">
        <f t="shared" si="3"/>
        <v/>
      </c>
      <c r="R56" s="7" t="str">
        <f t="shared" si="4"/>
        <v/>
      </c>
      <c r="S56" s="7" t="str">
        <f t="shared" si="5"/>
        <v/>
      </c>
      <c r="T56" s="7" t="str">
        <f t="shared" si="6"/>
        <v/>
      </c>
      <c r="U56" s="7" t="str">
        <f t="shared" si="7"/>
        <v/>
      </c>
      <c r="V56" s="7" t="str">
        <f t="shared" si="8"/>
        <v/>
      </c>
      <c r="W56" s="7" t="str">
        <f t="shared" si="9"/>
        <v/>
      </c>
      <c r="X56" s="7" t="str">
        <f t="shared" si="10"/>
        <v/>
      </c>
      <c r="Y56" s="7" t="str">
        <f t="shared" si="11"/>
        <v/>
      </c>
      <c r="Z56">
        <f t="shared" si="12"/>
        <v>0</v>
      </c>
      <c r="AA56" t="str">
        <f t="shared" si="13"/>
        <v/>
      </c>
      <c r="AB56" t="str">
        <f t="shared" si="14"/>
        <v/>
      </c>
      <c r="AC56" t="str">
        <f t="shared" si="15"/>
        <v/>
      </c>
      <c r="AD56" t="str">
        <f t="shared" si="16"/>
        <v/>
      </c>
      <c r="AE56">
        <f t="shared" si="17"/>
        <v>0</v>
      </c>
    </row>
    <row r="57" spans="1:31" ht="15" customHeight="1" x14ac:dyDescent="0.35">
      <c r="A57" s="2"/>
      <c r="B57" s="3"/>
      <c r="C57" s="3"/>
      <c r="D57" s="4"/>
      <c r="E57" s="5"/>
      <c r="F57" s="11" t="str">
        <f t="shared" ca="1" si="0"/>
        <v/>
      </c>
      <c r="G57" s="5"/>
      <c r="H57" s="6" t="str">
        <f>IF(AND($A57&lt;&gt;"",$B57&lt;&gt;"",$C57&lt;&gt;"",$D57&lt;&gt;"",$E57&lt;&gt;""),IF(AND($B57="s",OR($C57="SER",$C57="PLH",$C57="CSF")),"Case CDI Plate "&amp;(INT(((COUNTIFS($B$2:$B57,"s",$C$2:$C57,"SER")+COUNTIFS($B$2:$B57,"s",$C$2:$C57,"PLH")+COUNTIFS($B$2:$B57,"s",$C$2:$C57,"CSF"))-1)/96)+1)&amp;": "&amp;CHAR(65+INT(MOD((COUNTIFS($B$2:$B57,"s",$C$2:$C57,"SER")+COUNTIFS($B$2:$B57,"s",$C$2:$C57,"PLH")+COUNTIFS($B$2:$B57,"s",$C$2:$C57,"CSF"))-1,96)/12))&amp;(MOD((COUNTIFS($B$2:$B57,"s",$C$2:$C57,"SER")+COUNTIFS($B$2:$B57,"s",$C$2:$C57,"PLH")+COUNTIFS($B$2:$B57,"s",$C$2:$C57,"CSF"))-1,12)+1),"N/A"),"")</f>
        <v/>
      </c>
      <c r="I57" s="6" t="str">
        <f>IF(AND($A57&lt;&gt;"",$B57&lt;&gt;"",$C57&lt;&gt;"",$D57&lt;&gt;"",$E57&lt;&gt;""),IF(AND($B57="s",OR($C57="SER",$C57="PLH",$C57="CSF")),"Case NIH Plate "&amp;(INT(((COUNTIFS($B$2:$B57,"s",$C$2:$C57,"SER")+COUNTIFS($B$2:$B57,"s",$C$2:$C57,"PLH")+COUNTIFS($B$2:$B57,"s",$C$2:$C57,"CSF"))-1)/96)+1)&amp;": "&amp;CHAR(65+INT(MOD((COUNTIFS($B$2:$B57,"s",$C$2:$C57,"SER")+COUNTIFS($B$2:$B57,"s",$C$2:$C57,"PLH")+COUNTIFS($B$2:$B57,"s",$C$2:$C57,"CSF"))-1,96)/12))&amp;(MOD((COUNTIFS($B$2:$B57,"s",$C$2:$C57,"SER")+COUNTIFS($B$2:$B57,"s",$C$2:$C57,"PLH")+COUNTIFS($B$2:$B57,"s",$C$2:$C57,"CSF"))-1,12)+1),"N/A"),"")</f>
        <v/>
      </c>
      <c r="J57" s="6" t="str">
        <f>IF(AND($A57&lt;&gt;"",$B57&lt;&gt;"",$C57&lt;&gt;"",$D57&lt;&gt;"",$E57&lt;&gt;""),IF(AND($B57="s",OR($C57="SER",$C57="PLH")),"Case MAX Planck Plate "&amp;(INT(((COUNTIFS($B$2:$B57,"s",$C$2:$C57,"SER")+COUNTIFS($B$2:$B57,"s",$C$2:$C57,"PLH"))-1)/96)+1)&amp;": "&amp;CHAR(65+INT(MOD((COUNTIFS($B$2:$B57,"s",$C$2:$C57,"SER")+COUNTIFS($B$2:$B57,"s",$C$2:$C57,"PLH"))-1,96)/12))&amp;(MOD((COUNTIFS($B$2:$B57,"s",$C$2:$C57,"SER")+COUNTIFS($B$2:$B57,"s",$C$2:$C57,"PLH"))-1,12)+1),"N/A"),"")</f>
        <v/>
      </c>
      <c r="K57" s="6" t="str">
        <f>IF(AND($A57&lt;&gt;"",$B57&lt;&gt;"",$C57&lt;&gt;"",$D57&lt;&gt;"",$E57&lt;&gt;""),IF($C57="WB","Case WB Box "&amp;(INT((COUNTIFS($C$2:$C57,"WB")-1)/81)+1)&amp;": "&amp;CHAR(65+INT(MOD(COUNTIFS($C$2:$C57,"WB")-1,81)/9))&amp;(MOD(COUNTIFS($C$2:$C57,"WB")-1,9)+1),"N/A"),"")</f>
        <v/>
      </c>
      <c r="L57" s="2" t="str">
        <f t="shared" si="1"/>
        <v/>
      </c>
      <c r="M57" s="2"/>
      <c r="N57" s="2"/>
      <c r="O57" s="2"/>
      <c r="P57" s="7" t="str">
        <f t="shared" si="2"/>
        <v/>
      </c>
      <c r="Q57" s="7" t="str">
        <f t="shared" si="3"/>
        <v/>
      </c>
      <c r="R57" s="7" t="str">
        <f t="shared" si="4"/>
        <v/>
      </c>
      <c r="S57" s="7" t="str">
        <f t="shared" si="5"/>
        <v/>
      </c>
      <c r="T57" s="7" t="str">
        <f t="shared" si="6"/>
        <v/>
      </c>
      <c r="U57" s="7" t="str">
        <f t="shared" si="7"/>
        <v/>
      </c>
      <c r="V57" s="7" t="str">
        <f t="shared" si="8"/>
        <v/>
      </c>
      <c r="W57" s="7" t="str">
        <f t="shared" si="9"/>
        <v/>
      </c>
      <c r="X57" s="7" t="str">
        <f t="shared" si="10"/>
        <v/>
      </c>
      <c r="Y57" s="7" t="str">
        <f t="shared" si="11"/>
        <v/>
      </c>
      <c r="Z57">
        <f t="shared" si="12"/>
        <v>0</v>
      </c>
      <c r="AA57" t="str">
        <f t="shared" si="13"/>
        <v/>
      </c>
      <c r="AB57" t="str">
        <f t="shared" si="14"/>
        <v/>
      </c>
      <c r="AC57" t="str">
        <f t="shared" si="15"/>
        <v/>
      </c>
      <c r="AD57" t="str">
        <f t="shared" si="16"/>
        <v/>
      </c>
      <c r="AE57">
        <f t="shared" si="17"/>
        <v>0</v>
      </c>
    </row>
    <row r="58" spans="1:31" ht="15" customHeight="1" x14ac:dyDescent="0.35">
      <c r="A58" s="2"/>
      <c r="B58" s="3"/>
      <c r="C58" s="3"/>
      <c r="D58" s="4"/>
      <c r="E58" s="5"/>
      <c r="F58" s="11" t="str">
        <f t="shared" ca="1" si="0"/>
        <v/>
      </c>
      <c r="G58" s="5"/>
      <c r="H58" s="6" t="str">
        <f>IF(AND($A58&lt;&gt;"",$B58&lt;&gt;"",$C58&lt;&gt;"",$D58&lt;&gt;"",$E58&lt;&gt;""),IF(AND($B58="s",OR($C58="SER",$C58="PLH",$C58="CSF")),"Case CDI Plate "&amp;(INT(((COUNTIFS($B$2:$B58,"s",$C$2:$C58,"SER")+COUNTIFS($B$2:$B58,"s",$C$2:$C58,"PLH")+COUNTIFS($B$2:$B58,"s",$C$2:$C58,"CSF"))-1)/96)+1)&amp;": "&amp;CHAR(65+INT(MOD((COUNTIFS($B$2:$B58,"s",$C$2:$C58,"SER")+COUNTIFS($B$2:$B58,"s",$C$2:$C58,"PLH")+COUNTIFS($B$2:$B58,"s",$C$2:$C58,"CSF"))-1,96)/12))&amp;(MOD((COUNTIFS($B$2:$B58,"s",$C$2:$C58,"SER")+COUNTIFS($B$2:$B58,"s",$C$2:$C58,"PLH")+COUNTIFS($B$2:$B58,"s",$C$2:$C58,"CSF"))-1,12)+1),"N/A"),"")</f>
        <v/>
      </c>
      <c r="I58" s="6" t="str">
        <f>IF(AND($A58&lt;&gt;"",$B58&lt;&gt;"",$C58&lt;&gt;"",$D58&lt;&gt;"",$E58&lt;&gt;""),IF(AND($B58="s",OR($C58="SER",$C58="PLH",$C58="CSF")),"Case NIH Plate "&amp;(INT(((COUNTIFS($B$2:$B58,"s",$C$2:$C58,"SER")+COUNTIFS($B$2:$B58,"s",$C$2:$C58,"PLH")+COUNTIFS($B$2:$B58,"s",$C$2:$C58,"CSF"))-1)/96)+1)&amp;": "&amp;CHAR(65+INT(MOD((COUNTIFS($B$2:$B58,"s",$C$2:$C58,"SER")+COUNTIFS($B$2:$B58,"s",$C$2:$C58,"PLH")+COUNTIFS($B$2:$B58,"s",$C$2:$C58,"CSF"))-1,96)/12))&amp;(MOD((COUNTIFS($B$2:$B58,"s",$C$2:$C58,"SER")+COUNTIFS($B$2:$B58,"s",$C$2:$C58,"PLH")+COUNTIFS($B$2:$B58,"s",$C$2:$C58,"CSF"))-1,12)+1),"N/A"),"")</f>
        <v/>
      </c>
      <c r="J58" s="6" t="str">
        <f>IF(AND($A58&lt;&gt;"",$B58&lt;&gt;"",$C58&lt;&gt;"",$D58&lt;&gt;"",$E58&lt;&gt;""),IF(AND($B58="s",OR($C58="SER",$C58="PLH")),"Case MAX Planck Plate "&amp;(INT(((COUNTIFS($B$2:$B58,"s",$C$2:$C58,"SER")+COUNTIFS($B$2:$B58,"s",$C$2:$C58,"PLH"))-1)/96)+1)&amp;": "&amp;CHAR(65+INT(MOD((COUNTIFS($B$2:$B58,"s",$C$2:$C58,"SER")+COUNTIFS($B$2:$B58,"s",$C$2:$C58,"PLH"))-1,96)/12))&amp;(MOD((COUNTIFS($B$2:$B58,"s",$C$2:$C58,"SER")+COUNTIFS($B$2:$B58,"s",$C$2:$C58,"PLH"))-1,12)+1),"N/A"),"")</f>
        <v/>
      </c>
      <c r="K58" s="6" t="str">
        <f>IF(AND($A58&lt;&gt;"",$B58&lt;&gt;"",$C58&lt;&gt;"",$D58&lt;&gt;"",$E58&lt;&gt;""),IF($C58="WB","Case WB Box "&amp;(INT((COUNTIFS($C$2:$C58,"WB")-1)/81)+1)&amp;": "&amp;CHAR(65+INT(MOD(COUNTIFS($C$2:$C58,"WB")-1,81)/9))&amp;(MOD(COUNTIFS($C$2:$C58,"WB")-1,9)+1),"N/A"),"")</f>
        <v/>
      </c>
      <c r="L58" s="2" t="str">
        <f t="shared" si="1"/>
        <v/>
      </c>
      <c r="M58" s="2"/>
      <c r="N58" s="2"/>
      <c r="O58" s="2"/>
      <c r="P58" s="7" t="str">
        <f t="shared" si="2"/>
        <v/>
      </c>
      <c r="Q58" s="7" t="str">
        <f t="shared" si="3"/>
        <v/>
      </c>
      <c r="R58" s="7" t="str">
        <f t="shared" si="4"/>
        <v/>
      </c>
      <c r="S58" s="7" t="str">
        <f t="shared" si="5"/>
        <v/>
      </c>
      <c r="T58" s="7" t="str">
        <f t="shared" si="6"/>
        <v/>
      </c>
      <c r="U58" s="7" t="str">
        <f t="shared" si="7"/>
        <v/>
      </c>
      <c r="V58" s="7" t="str">
        <f t="shared" si="8"/>
        <v/>
      </c>
      <c r="W58" s="7" t="str">
        <f t="shared" si="9"/>
        <v/>
      </c>
      <c r="X58" s="7" t="str">
        <f t="shared" si="10"/>
        <v/>
      </c>
      <c r="Y58" s="7" t="str">
        <f t="shared" si="11"/>
        <v/>
      </c>
      <c r="Z58">
        <f t="shared" si="12"/>
        <v>0</v>
      </c>
      <c r="AA58" t="str">
        <f t="shared" si="13"/>
        <v/>
      </c>
      <c r="AB58" t="str">
        <f t="shared" si="14"/>
        <v/>
      </c>
      <c r="AC58" t="str">
        <f t="shared" si="15"/>
        <v/>
      </c>
      <c r="AD58" t="str">
        <f t="shared" si="16"/>
        <v/>
      </c>
      <c r="AE58">
        <f t="shared" si="17"/>
        <v>0</v>
      </c>
    </row>
    <row r="59" spans="1:31" ht="15" customHeight="1" x14ac:dyDescent="0.35">
      <c r="A59" s="2"/>
      <c r="B59" s="3"/>
      <c r="C59" s="3"/>
      <c r="D59" s="4"/>
      <c r="E59" s="5"/>
      <c r="F59" s="11" t="str">
        <f t="shared" ca="1" si="0"/>
        <v/>
      </c>
      <c r="G59" s="5"/>
      <c r="H59" s="6" t="str">
        <f>IF(AND($A59&lt;&gt;"",$B59&lt;&gt;"",$C59&lt;&gt;"",$D59&lt;&gt;"",$E59&lt;&gt;""),IF(AND($B59="s",OR($C59="SER",$C59="PLH",$C59="CSF")),"Case CDI Plate "&amp;(INT(((COUNTIFS($B$2:$B59,"s",$C$2:$C59,"SER")+COUNTIFS($B$2:$B59,"s",$C$2:$C59,"PLH")+COUNTIFS($B$2:$B59,"s",$C$2:$C59,"CSF"))-1)/96)+1)&amp;": "&amp;CHAR(65+INT(MOD((COUNTIFS($B$2:$B59,"s",$C$2:$C59,"SER")+COUNTIFS($B$2:$B59,"s",$C$2:$C59,"PLH")+COUNTIFS($B$2:$B59,"s",$C$2:$C59,"CSF"))-1,96)/12))&amp;(MOD((COUNTIFS($B$2:$B59,"s",$C$2:$C59,"SER")+COUNTIFS($B$2:$B59,"s",$C$2:$C59,"PLH")+COUNTIFS($B$2:$B59,"s",$C$2:$C59,"CSF"))-1,12)+1),"N/A"),"")</f>
        <v/>
      </c>
      <c r="I59" s="6" t="str">
        <f>IF(AND($A59&lt;&gt;"",$B59&lt;&gt;"",$C59&lt;&gt;"",$D59&lt;&gt;"",$E59&lt;&gt;""),IF(AND($B59="s",OR($C59="SER",$C59="PLH",$C59="CSF")),"Case NIH Plate "&amp;(INT(((COUNTIFS($B$2:$B59,"s",$C$2:$C59,"SER")+COUNTIFS($B$2:$B59,"s",$C$2:$C59,"PLH")+COUNTIFS($B$2:$B59,"s",$C$2:$C59,"CSF"))-1)/96)+1)&amp;": "&amp;CHAR(65+INT(MOD((COUNTIFS($B$2:$B59,"s",$C$2:$C59,"SER")+COUNTIFS($B$2:$B59,"s",$C$2:$C59,"PLH")+COUNTIFS($B$2:$B59,"s",$C$2:$C59,"CSF"))-1,96)/12))&amp;(MOD((COUNTIFS($B$2:$B59,"s",$C$2:$C59,"SER")+COUNTIFS($B$2:$B59,"s",$C$2:$C59,"PLH")+COUNTIFS($B$2:$B59,"s",$C$2:$C59,"CSF"))-1,12)+1),"N/A"),"")</f>
        <v/>
      </c>
      <c r="J59" s="6" t="str">
        <f>IF(AND($A59&lt;&gt;"",$B59&lt;&gt;"",$C59&lt;&gt;"",$D59&lt;&gt;"",$E59&lt;&gt;""),IF(AND($B59="s",OR($C59="SER",$C59="PLH")),"Case MAX Planck Plate "&amp;(INT(((COUNTIFS($B$2:$B59,"s",$C$2:$C59,"SER")+COUNTIFS($B$2:$B59,"s",$C$2:$C59,"PLH"))-1)/96)+1)&amp;": "&amp;CHAR(65+INT(MOD((COUNTIFS($B$2:$B59,"s",$C$2:$C59,"SER")+COUNTIFS($B$2:$B59,"s",$C$2:$C59,"PLH"))-1,96)/12))&amp;(MOD((COUNTIFS($B$2:$B59,"s",$C$2:$C59,"SER")+COUNTIFS($B$2:$B59,"s",$C$2:$C59,"PLH"))-1,12)+1),"N/A"),"")</f>
        <v/>
      </c>
      <c r="K59" s="6" t="str">
        <f>IF(AND($A59&lt;&gt;"",$B59&lt;&gt;"",$C59&lt;&gt;"",$D59&lt;&gt;"",$E59&lt;&gt;""),IF($C59="WB","Case WB Box "&amp;(INT((COUNTIFS($C$2:$C59,"WB")-1)/81)+1)&amp;": "&amp;CHAR(65+INT(MOD(COUNTIFS($C$2:$C59,"WB")-1,81)/9))&amp;(MOD(COUNTIFS($C$2:$C59,"WB")-1,9)+1),"N/A"),"")</f>
        <v/>
      </c>
      <c r="L59" s="2" t="str">
        <f t="shared" si="1"/>
        <v/>
      </c>
      <c r="M59" s="2"/>
      <c r="N59" s="2"/>
      <c r="O59" s="2"/>
      <c r="P59" s="7" t="str">
        <f t="shared" si="2"/>
        <v/>
      </c>
      <c r="Q59" s="7" t="str">
        <f t="shared" si="3"/>
        <v/>
      </c>
      <c r="R59" s="7" t="str">
        <f t="shared" si="4"/>
        <v/>
      </c>
      <c r="S59" s="7" t="str">
        <f t="shared" si="5"/>
        <v/>
      </c>
      <c r="T59" s="7" t="str">
        <f t="shared" si="6"/>
        <v/>
      </c>
      <c r="U59" s="7" t="str">
        <f t="shared" si="7"/>
        <v/>
      </c>
      <c r="V59" s="7" t="str">
        <f t="shared" si="8"/>
        <v/>
      </c>
      <c r="W59" s="7" t="str">
        <f t="shared" si="9"/>
        <v/>
      </c>
      <c r="X59" s="7" t="str">
        <f t="shared" si="10"/>
        <v/>
      </c>
      <c r="Y59" s="7" t="str">
        <f t="shared" si="11"/>
        <v/>
      </c>
      <c r="Z59">
        <f t="shared" si="12"/>
        <v>0</v>
      </c>
      <c r="AA59" t="str">
        <f t="shared" si="13"/>
        <v/>
      </c>
      <c r="AB59" t="str">
        <f t="shared" si="14"/>
        <v/>
      </c>
      <c r="AC59" t="str">
        <f t="shared" si="15"/>
        <v/>
      </c>
      <c r="AD59" t="str">
        <f t="shared" si="16"/>
        <v/>
      </c>
      <c r="AE59">
        <f t="shared" si="17"/>
        <v>0</v>
      </c>
    </row>
    <row r="60" spans="1:31" ht="15" customHeight="1" x14ac:dyDescent="0.35">
      <c r="A60" s="2"/>
      <c r="B60" s="3"/>
      <c r="C60" s="3"/>
      <c r="D60" s="4"/>
      <c r="E60" s="5"/>
      <c r="F60" s="11" t="str">
        <f t="shared" ca="1" si="0"/>
        <v/>
      </c>
      <c r="G60" s="5"/>
      <c r="H60" s="6" t="str">
        <f>IF(AND($A60&lt;&gt;"",$B60&lt;&gt;"",$C60&lt;&gt;"",$D60&lt;&gt;"",$E60&lt;&gt;""),IF(AND($B60="s",OR($C60="SER",$C60="PLH",$C60="CSF")),"Case CDI Plate "&amp;(INT(((COUNTIFS($B$2:$B60,"s",$C$2:$C60,"SER")+COUNTIFS($B$2:$B60,"s",$C$2:$C60,"PLH")+COUNTIFS($B$2:$B60,"s",$C$2:$C60,"CSF"))-1)/96)+1)&amp;": "&amp;CHAR(65+INT(MOD((COUNTIFS($B$2:$B60,"s",$C$2:$C60,"SER")+COUNTIFS($B$2:$B60,"s",$C$2:$C60,"PLH")+COUNTIFS($B$2:$B60,"s",$C$2:$C60,"CSF"))-1,96)/12))&amp;(MOD((COUNTIFS($B$2:$B60,"s",$C$2:$C60,"SER")+COUNTIFS($B$2:$B60,"s",$C$2:$C60,"PLH")+COUNTIFS($B$2:$B60,"s",$C$2:$C60,"CSF"))-1,12)+1),"N/A"),"")</f>
        <v/>
      </c>
      <c r="I60" s="6" t="str">
        <f>IF(AND($A60&lt;&gt;"",$B60&lt;&gt;"",$C60&lt;&gt;"",$D60&lt;&gt;"",$E60&lt;&gt;""),IF(AND($B60="s",OR($C60="SER",$C60="PLH",$C60="CSF")),"Case NIH Plate "&amp;(INT(((COUNTIFS($B$2:$B60,"s",$C$2:$C60,"SER")+COUNTIFS($B$2:$B60,"s",$C$2:$C60,"PLH")+COUNTIFS($B$2:$B60,"s",$C$2:$C60,"CSF"))-1)/96)+1)&amp;": "&amp;CHAR(65+INT(MOD((COUNTIFS($B$2:$B60,"s",$C$2:$C60,"SER")+COUNTIFS($B$2:$B60,"s",$C$2:$C60,"PLH")+COUNTIFS($B$2:$B60,"s",$C$2:$C60,"CSF"))-1,96)/12))&amp;(MOD((COUNTIFS($B$2:$B60,"s",$C$2:$C60,"SER")+COUNTIFS($B$2:$B60,"s",$C$2:$C60,"PLH")+COUNTIFS($B$2:$B60,"s",$C$2:$C60,"CSF"))-1,12)+1),"N/A"),"")</f>
        <v/>
      </c>
      <c r="J60" s="6" t="str">
        <f>IF(AND($A60&lt;&gt;"",$B60&lt;&gt;"",$C60&lt;&gt;"",$D60&lt;&gt;"",$E60&lt;&gt;""),IF(AND($B60="s",OR($C60="SER",$C60="PLH")),"Case MAX Planck Plate "&amp;(INT(((COUNTIFS($B$2:$B60,"s",$C$2:$C60,"SER")+COUNTIFS($B$2:$B60,"s",$C$2:$C60,"PLH"))-1)/96)+1)&amp;": "&amp;CHAR(65+INT(MOD((COUNTIFS($B$2:$B60,"s",$C$2:$C60,"SER")+COUNTIFS($B$2:$B60,"s",$C$2:$C60,"PLH"))-1,96)/12))&amp;(MOD((COUNTIFS($B$2:$B60,"s",$C$2:$C60,"SER")+COUNTIFS($B$2:$B60,"s",$C$2:$C60,"PLH"))-1,12)+1),"N/A"),"")</f>
        <v/>
      </c>
      <c r="K60" s="6" t="str">
        <f>IF(AND($A60&lt;&gt;"",$B60&lt;&gt;"",$C60&lt;&gt;"",$D60&lt;&gt;"",$E60&lt;&gt;""),IF($C60="WB","Case WB Box "&amp;(INT((COUNTIFS($C$2:$C60,"WB")-1)/81)+1)&amp;": "&amp;CHAR(65+INT(MOD(COUNTIFS($C$2:$C60,"WB")-1,81)/9))&amp;(MOD(COUNTIFS($C$2:$C60,"WB")-1,9)+1),"N/A"),"")</f>
        <v/>
      </c>
      <c r="L60" s="2" t="str">
        <f t="shared" si="1"/>
        <v/>
      </c>
      <c r="M60" s="2"/>
      <c r="N60" s="2"/>
      <c r="O60" s="2"/>
      <c r="P60" s="7" t="str">
        <f t="shared" si="2"/>
        <v/>
      </c>
      <c r="Q60" s="7" t="str">
        <f t="shared" si="3"/>
        <v/>
      </c>
      <c r="R60" s="7" t="str">
        <f t="shared" si="4"/>
        <v/>
      </c>
      <c r="S60" s="7" t="str">
        <f t="shared" si="5"/>
        <v/>
      </c>
      <c r="T60" s="7" t="str">
        <f t="shared" si="6"/>
        <v/>
      </c>
      <c r="U60" s="7" t="str">
        <f t="shared" si="7"/>
        <v/>
      </c>
      <c r="V60" s="7" t="str">
        <f t="shared" si="8"/>
        <v/>
      </c>
      <c r="W60" s="7" t="str">
        <f t="shared" si="9"/>
        <v/>
      </c>
      <c r="X60" s="7" t="str">
        <f t="shared" si="10"/>
        <v/>
      </c>
      <c r="Y60" s="7" t="str">
        <f t="shared" si="11"/>
        <v/>
      </c>
      <c r="Z60">
        <f t="shared" si="12"/>
        <v>0</v>
      </c>
      <c r="AA60" t="str">
        <f t="shared" si="13"/>
        <v/>
      </c>
      <c r="AB60" t="str">
        <f t="shared" si="14"/>
        <v/>
      </c>
      <c r="AC60" t="str">
        <f t="shared" si="15"/>
        <v/>
      </c>
      <c r="AD60" t="str">
        <f t="shared" si="16"/>
        <v/>
      </c>
      <c r="AE60">
        <f t="shared" si="17"/>
        <v>0</v>
      </c>
    </row>
    <row r="61" spans="1:31" ht="15" customHeight="1" x14ac:dyDescent="0.35">
      <c r="A61" s="2"/>
      <c r="B61" s="3"/>
      <c r="C61" s="3"/>
      <c r="D61" s="4"/>
      <c r="E61" s="5"/>
      <c r="F61" s="11" t="str">
        <f t="shared" ref="F61:F124" ca="1" si="18">IF(AND($A61&lt;&gt;"",$B61&lt;&gt;"",$C61&lt;&gt;"",$D61&lt;&gt;"",$E61&lt;&gt;""),TODAY(),"")</f>
        <v/>
      </c>
      <c r="G61" s="5"/>
      <c r="H61" s="6" t="str">
        <f>IF(AND($A61&lt;&gt;"",$B61&lt;&gt;"",$C61&lt;&gt;"",$D61&lt;&gt;"",$E61&lt;&gt;""),IF(AND($B61="s",OR($C61="SER",$C61="PLH",$C61="CSF")),"Case CDI Plate "&amp;(INT(((COUNTIFS($B$2:$B61,"s",$C$2:$C61,"SER")+COUNTIFS($B$2:$B61,"s",$C$2:$C61,"PLH")+COUNTIFS($B$2:$B61,"s",$C$2:$C61,"CSF"))-1)/96)+1)&amp;": "&amp;CHAR(65+INT(MOD((COUNTIFS($B$2:$B61,"s",$C$2:$C61,"SER")+COUNTIFS($B$2:$B61,"s",$C$2:$C61,"PLH")+COUNTIFS($B$2:$B61,"s",$C$2:$C61,"CSF"))-1,96)/12))&amp;(MOD((COUNTIFS($B$2:$B61,"s",$C$2:$C61,"SER")+COUNTIFS($B$2:$B61,"s",$C$2:$C61,"PLH")+COUNTIFS($B$2:$B61,"s",$C$2:$C61,"CSF"))-1,12)+1),"N/A"),"")</f>
        <v/>
      </c>
      <c r="I61" s="6" t="str">
        <f>IF(AND($A61&lt;&gt;"",$B61&lt;&gt;"",$C61&lt;&gt;"",$D61&lt;&gt;"",$E61&lt;&gt;""),IF(AND($B61="s",OR($C61="SER",$C61="PLH",$C61="CSF")),"Case NIH Plate "&amp;(INT(((COUNTIFS($B$2:$B61,"s",$C$2:$C61,"SER")+COUNTIFS($B$2:$B61,"s",$C$2:$C61,"PLH")+COUNTIFS($B$2:$B61,"s",$C$2:$C61,"CSF"))-1)/96)+1)&amp;": "&amp;CHAR(65+INT(MOD((COUNTIFS($B$2:$B61,"s",$C$2:$C61,"SER")+COUNTIFS($B$2:$B61,"s",$C$2:$C61,"PLH")+COUNTIFS($B$2:$B61,"s",$C$2:$C61,"CSF"))-1,96)/12))&amp;(MOD((COUNTIFS($B$2:$B61,"s",$C$2:$C61,"SER")+COUNTIFS($B$2:$B61,"s",$C$2:$C61,"PLH")+COUNTIFS($B$2:$B61,"s",$C$2:$C61,"CSF"))-1,12)+1),"N/A"),"")</f>
        <v/>
      </c>
      <c r="J61" s="6" t="str">
        <f>IF(AND($A61&lt;&gt;"",$B61&lt;&gt;"",$C61&lt;&gt;"",$D61&lt;&gt;"",$E61&lt;&gt;""),IF(AND($B61="s",OR($C61="SER",$C61="PLH")),"Case MAX Planck Plate "&amp;(INT(((COUNTIFS($B$2:$B61,"s",$C$2:$C61,"SER")+COUNTIFS($B$2:$B61,"s",$C$2:$C61,"PLH"))-1)/96)+1)&amp;": "&amp;CHAR(65+INT(MOD((COUNTIFS($B$2:$B61,"s",$C$2:$C61,"SER")+COUNTIFS($B$2:$B61,"s",$C$2:$C61,"PLH"))-1,96)/12))&amp;(MOD((COUNTIFS($B$2:$B61,"s",$C$2:$C61,"SER")+COUNTIFS($B$2:$B61,"s",$C$2:$C61,"PLH"))-1,12)+1),"N/A"),"")</f>
        <v/>
      </c>
      <c r="K61" s="6" t="str">
        <f>IF(AND($A61&lt;&gt;"",$B61&lt;&gt;"",$C61&lt;&gt;"",$D61&lt;&gt;"",$E61&lt;&gt;""),IF($C61="WB","Case WB Box "&amp;(INT((COUNTIFS($C$2:$C61,"WB")-1)/81)+1)&amp;": "&amp;CHAR(65+INT(MOD(COUNTIFS($C$2:$C61,"WB")-1,81)/9))&amp;(MOD(COUNTIFS($C$2:$C61,"WB")-1,9)+1),"N/A"),"")</f>
        <v/>
      </c>
      <c r="L61" s="2" t="str">
        <f t="shared" ref="L61:L124" si="19">IF(AND($A61&lt;&gt;"",$B61&lt;&gt;"",$C61&lt;&gt;"",$D61&lt;&gt;"",$E61&lt;&gt;""),IF($C61="WB","No",IF($B61="i","Yes","")),"")</f>
        <v/>
      </c>
      <c r="M61" s="2"/>
      <c r="N61" s="2"/>
      <c r="O61" s="2"/>
      <c r="P61" s="7" t="str">
        <f t="shared" ref="P61:P124" si="20">IF($A61&lt;&gt;"",MID($A61,5,4),"")</f>
        <v/>
      </c>
      <c r="Q61" s="7" t="str">
        <f t="shared" ref="Q61:Q124" si="21">IF($D61&lt;&gt;"",TEXT($D61,"mmddyy"),"")</f>
        <v/>
      </c>
      <c r="R61" s="7" t="str">
        <f t="shared" ref="R61:R124" si="22">IF(AND($A61&lt;&gt;"",$B61&lt;&gt;"",$C61&lt;&gt;"",$D61&lt;&gt;""),IF($C61="WB","cs_"&amp;$P61&amp;"_"&amp;$B61&amp;"_wb_"&amp;$Q61,"cs_"&amp;$P61&amp;"_"&amp;$B61&amp;"_"&amp;LOWER($C61)&amp;"_"&amp;IF($C61="CSF","0.50","0.20")&amp;"_"&amp;$Q61),"")</f>
        <v/>
      </c>
      <c r="S61" s="7" t="str">
        <f t="shared" ref="S61:S124" si="23">IF(AND($A61&lt;&gt;"",$B61&lt;&gt;"",$C61="WB",$D61&lt;&gt;""),"cs_"&amp;$P61&amp;"_"&amp;$B61&amp;"_wb_"&amp;$Q61,"")</f>
        <v/>
      </c>
      <c r="T61" s="7" t="str">
        <f t="shared" ref="T61:T124" si="24">IFERROR(VALUE(MID($M61,FIND("Box ",$M61)+4,FIND(":",$M61)-FIND("Box ",$M61)-4)),"")</f>
        <v/>
      </c>
      <c r="U61" s="7" t="str">
        <f t="shared" ref="U61:U124" si="25">IFERROR(CODE(UPPER(LEFT(LEFT(TRIM(MID(SUBSTITUTE(TRIM(MID($M61,FIND(":",$M61)+1,200)),",",REPT(" ",60)),1,60)),IFERROR(FIND("-",TRIM(MID(SUBSTITUTE(TRIM(MID($M61,FIND(":",$M61)+1,200)),",",REPT(" ",60)),1,60)))-1,LEN(TRIM(MID(SUBSTITUTE(TRIM(MID($M61,FIND(":",$M61)+1,200)),",",REPT(" ",60)),1,60))))),1)))-64,"")</f>
        <v/>
      </c>
      <c r="V61" s="7" t="str">
        <f t="shared" ref="V61:V124" si="26">IFERROR(VALUE(MID(LEFT(TRIM(MID(SUBSTITUTE(TRIM(MID($M61,FIND(":",$M61)+1,200)),",",REPT(" ",60)),1,60)),IFERROR(FIND("-",TRIM(MID(SUBSTITUTE(TRIM(MID($M61,FIND(":",$M61)+1,200)),",",REPT(" ",60)),1,60)))-1,LEN(TRIM(MID(SUBSTITUTE(TRIM(MID($M61,FIND(":",$M61)+1,200)),",",REPT(" ",60)),1,60))))),2,3)),"")</f>
        <v/>
      </c>
      <c r="W61" s="7" t="str">
        <f t="shared" ref="W61:W124" si="27">IFERROR(CODE(UPPER(LEFT(IFERROR(MID(TRIM(MID(SUBSTITUTE(TRIM(MID($M61,FIND(":",$M61)+1,200)),",",REPT(" ",60)),1,60)),FIND("-",TRIM(MID(SUBSTITUTE(TRIM(MID($M61,FIND(":",$M61)+1,200)),",",REPT(" ",60)),1,60)))+1,99),LEFT(TRIM(MID(SUBSTITUTE(TRIM(MID($M61,FIND(":",$M61)+1,200)),",",REPT(" ",60)),1,60)),IFERROR(FIND("-",TRIM(MID(SUBSTITUTE(TRIM(MID($M61,FIND(":",$M61)+1,200)),",",REPT(" ",60)),1,60)))-1,LEN(TRIM(MID(SUBSTITUTE(TRIM(MID($M61,FIND(":",$M61)+1,200)),",",REPT(" ",60)),1,60)))))),1)))-64,"")</f>
        <v/>
      </c>
      <c r="X61" s="7" t="str">
        <f t="shared" ref="X61:X124" si="28">IFERROR(VALUE(MID(IFERROR(MID(TRIM(MID(SUBSTITUTE(TRIM(MID($M61,FIND(":",$M61)+1,200)),",",REPT(" ",60)),1,60)),FIND("-",TRIM(MID(SUBSTITUTE(TRIM(MID($M61,FIND(":",$M61)+1,200)),",",REPT(" ",60)),1,60)))+1,99),LEFT(TRIM(MID(SUBSTITUTE(TRIM(MID($M61,FIND(":",$M61)+1,200)),",",REPT(" ",60)),1,60)),IFERROR(FIND("-",TRIM(MID(SUBSTITUTE(TRIM(MID($M61,FIND(":",$M61)+1,200)),",",REPT(" ",60)),1,60)))-1,LEN(TRIM(MID(SUBSTITUTE(TRIM(MID($M61,FIND(":",$M61)+1,200)),",",REPT(" ",60)),1,60)))))),2,3)),"")</f>
        <v/>
      </c>
      <c r="Y61" s="7" t="str">
        <f t="shared" ref="Y61:Y124" si="29">IF(AND($A61&lt;&gt;"",$B61&lt;&gt;"",$C61&lt;&gt;"",$D61&lt;&gt;""),"cs_"&amp;$P61&amp;"_"&amp;$B61&amp;"_"&amp;LOWER($C61)&amp;"_","")</f>
        <v/>
      </c>
      <c r="Z61">
        <f t="shared" ref="Z61:Z124" si="30">IFERROR(($W61-$U61+1)*($X61-$V61+1),0)</f>
        <v>0</v>
      </c>
      <c r="AA61" t="str">
        <f t="shared" ref="AA61:AA124" si="31">IFERROR(CODE(UPPER(LEFT(LEFT(TRIM(MID(SUBSTITUTE(TRIM(MID($M61,FIND(":",$M61)+1,200)),",",REPT(" ",60)),61,60)),IFERROR(FIND("-",TRIM(MID(SUBSTITUTE(TRIM(MID($M61,FIND(":",$M61)+1,200)),",",REPT(" ",60)),61,60)))-1,LEN(TRIM(MID(SUBSTITUTE(TRIM(MID($M61,FIND(":",$M61)+1,200)),",",REPT(" ",60)),61,60))))),1)))-64,"")</f>
        <v/>
      </c>
      <c r="AB61" t="str">
        <f t="shared" ref="AB61:AB124" si="32">IFERROR(VALUE(MID(LEFT(TRIM(MID(SUBSTITUTE(TRIM(MID($M61,FIND(":",$M61)+1,200)),",",REPT(" ",60)),61,60)),IFERROR(FIND("-",TRIM(MID(SUBSTITUTE(TRIM(MID($M61,FIND(":",$M61)+1,200)),",",REPT(" ",60)),61,60)))-1,LEN(TRIM(MID(SUBSTITUTE(TRIM(MID($M61,FIND(":",$M61)+1,200)),",",REPT(" ",60)),61,60))))),2,3)),"")</f>
        <v/>
      </c>
      <c r="AC61" t="str">
        <f t="shared" ref="AC61:AC124" si="33">IFERROR(CODE(UPPER(LEFT(IFERROR(MID(TRIM(MID(SUBSTITUTE(TRIM(MID($M61,FIND(":",$M61)+1,200)),",",REPT(" ",60)),61,60)),FIND("-",TRIM(MID(SUBSTITUTE(TRIM(MID($M61,FIND(":",$M61)+1,200)),",",REPT(" ",60)),61,60)))+1,99),LEFT(TRIM(MID(SUBSTITUTE(TRIM(MID($M61,FIND(":",$M61)+1,200)),",",REPT(" ",60)),61,60)),IFERROR(FIND("-",TRIM(MID(SUBSTITUTE(TRIM(MID($M61,FIND(":",$M61)+1,200)),",",REPT(" ",60)),61,60)))-1,LEN(TRIM(MID(SUBSTITUTE(TRIM(MID($M61,FIND(":",$M61)+1,200)),",",REPT(" ",60)),61,60)))))),1)))-64,"")</f>
        <v/>
      </c>
      <c r="AD61" t="str">
        <f t="shared" ref="AD61:AD124" si="34">IFERROR(VALUE(MID(IFERROR(MID(TRIM(MID(SUBSTITUTE(TRIM(MID($M61,FIND(":",$M61)+1,200)),",",REPT(" ",60)),61,60)),FIND("-",TRIM(MID(SUBSTITUTE(TRIM(MID($M61,FIND(":",$M61)+1,200)),",",REPT(" ",60)),61,60)))+1,99),LEFT(TRIM(MID(SUBSTITUTE(TRIM(MID($M61,FIND(":",$M61)+1,200)),",",REPT(" ",60)),61,60)),IFERROR(FIND("-",TRIM(MID(SUBSTITUTE(TRIM(MID($M61,FIND(":",$M61)+1,200)),",",REPT(" ",60)),61,60)))-1,LEN(TRIM(MID(SUBSTITUTE(TRIM(MID($M61,FIND(":",$M61)+1,200)),",",REPT(" ",60)),61,60)))))),2,3)),"")</f>
        <v/>
      </c>
      <c r="AE61">
        <f t="shared" ref="AE61:AE124" si="35">IFERROR(($AC61-$AA61+1)*($AD61-$AB61+1),0)</f>
        <v>0</v>
      </c>
    </row>
    <row r="62" spans="1:31" ht="15" customHeight="1" x14ac:dyDescent="0.35">
      <c r="A62" s="2"/>
      <c r="B62" s="3"/>
      <c r="C62" s="3"/>
      <c r="D62" s="4"/>
      <c r="E62" s="5"/>
      <c r="F62" s="11" t="str">
        <f t="shared" ca="1" si="18"/>
        <v/>
      </c>
      <c r="G62" s="5"/>
      <c r="H62" s="6" t="str">
        <f>IF(AND($A62&lt;&gt;"",$B62&lt;&gt;"",$C62&lt;&gt;"",$D62&lt;&gt;"",$E62&lt;&gt;""),IF(AND($B62="s",OR($C62="SER",$C62="PLH",$C62="CSF")),"Case CDI Plate "&amp;(INT(((COUNTIFS($B$2:$B62,"s",$C$2:$C62,"SER")+COUNTIFS($B$2:$B62,"s",$C$2:$C62,"PLH")+COUNTIFS($B$2:$B62,"s",$C$2:$C62,"CSF"))-1)/96)+1)&amp;": "&amp;CHAR(65+INT(MOD((COUNTIFS($B$2:$B62,"s",$C$2:$C62,"SER")+COUNTIFS($B$2:$B62,"s",$C$2:$C62,"PLH")+COUNTIFS($B$2:$B62,"s",$C$2:$C62,"CSF"))-1,96)/12))&amp;(MOD((COUNTIFS($B$2:$B62,"s",$C$2:$C62,"SER")+COUNTIFS($B$2:$B62,"s",$C$2:$C62,"PLH")+COUNTIFS($B$2:$B62,"s",$C$2:$C62,"CSF"))-1,12)+1),"N/A"),"")</f>
        <v/>
      </c>
      <c r="I62" s="6" t="str">
        <f>IF(AND($A62&lt;&gt;"",$B62&lt;&gt;"",$C62&lt;&gt;"",$D62&lt;&gt;"",$E62&lt;&gt;""),IF(AND($B62="s",OR($C62="SER",$C62="PLH",$C62="CSF")),"Case NIH Plate "&amp;(INT(((COUNTIFS($B$2:$B62,"s",$C$2:$C62,"SER")+COUNTIFS($B$2:$B62,"s",$C$2:$C62,"PLH")+COUNTIFS($B$2:$B62,"s",$C$2:$C62,"CSF"))-1)/96)+1)&amp;": "&amp;CHAR(65+INT(MOD((COUNTIFS($B$2:$B62,"s",$C$2:$C62,"SER")+COUNTIFS($B$2:$B62,"s",$C$2:$C62,"PLH")+COUNTIFS($B$2:$B62,"s",$C$2:$C62,"CSF"))-1,96)/12))&amp;(MOD((COUNTIFS($B$2:$B62,"s",$C$2:$C62,"SER")+COUNTIFS($B$2:$B62,"s",$C$2:$C62,"PLH")+COUNTIFS($B$2:$B62,"s",$C$2:$C62,"CSF"))-1,12)+1),"N/A"),"")</f>
        <v/>
      </c>
      <c r="J62" s="6" t="str">
        <f>IF(AND($A62&lt;&gt;"",$B62&lt;&gt;"",$C62&lt;&gt;"",$D62&lt;&gt;"",$E62&lt;&gt;""),IF(AND($B62="s",OR($C62="SER",$C62="PLH")),"Case MAX Planck Plate "&amp;(INT(((COUNTIFS($B$2:$B62,"s",$C$2:$C62,"SER")+COUNTIFS($B$2:$B62,"s",$C$2:$C62,"PLH"))-1)/96)+1)&amp;": "&amp;CHAR(65+INT(MOD((COUNTIFS($B$2:$B62,"s",$C$2:$C62,"SER")+COUNTIFS($B$2:$B62,"s",$C$2:$C62,"PLH"))-1,96)/12))&amp;(MOD((COUNTIFS($B$2:$B62,"s",$C$2:$C62,"SER")+COUNTIFS($B$2:$B62,"s",$C$2:$C62,"PLH"))-1,12)+1),"N/A"),"")</f>
        <v/>
      </c>
      <c r="K62" s="6" t="str">
        <f>IF(AND($A62&lt;&gt;"",$B62&lt;&gt;"",$C62&lt;&gt;"",$D62&lt;&gt;"",$E62&lt;&gt;""),IF($C62="WB","Case WB Box "&amp;(INT((COUNTIFS($C$2:$C62,"WB")-1)/81)+1)&amp;": "&amp;CHAR(65+INT(MOD(COUNTIFS($C$2:$C62,"WB")-1,81)/9))&amp;(MOD(COUNTIFS($C$2:$C62,"WB")-1,9)+1),"N/A"),"")</f>
        <v/>
      </c>
      <c r="L62" s="2" t="str">
        <f t="shared" si="19"/>
        <v/>
      </c>
      <c r="M62" s="2"/>
      <c r="N62" s="2"/>
      <c r="O62" s="2"/>
      <c r="P62" s="7" t="str">
        <f t="shared" si="20"/>
        <v/>
      </c>
      <c r="Q62" s="7" t="str">
        <f t="shared" si="21"/>
        <v/>
      </c>
      <c r="R62" s="7" t="str">
        <f t="shared" si="22"/>
        <v/>
      </c>
      <c r="S62" s="7" t="str">
        <f t="shared" si="23"/>
        <v/>
      </c>
      <c r="T62" s="7" t="str">
        <f t="shared" si="24"/>
        <v/>
      </c>
      <c r="U62" s="7" t="str">
        <f t="shared" si="25"/>
        <v/>
      </c>
      <c r="V62" s="7" t="str">
        <f t="shared" si="26"/>
        <v/>
      </c>
      <c r="W62" s="7" t="str">
        <f t="shared" si="27"/>
        <v/>
      </c>
      <c r="X62" s="7" t="str">
        <f t="shared" si="28"/>
        <v/>
      </c>
      <c r="Y62" s="7" t="str">
        <f t="shared" si="29"/>
        <v/>
      </c>
      <c r="Z62">
        <f t="shared" si="30"/>
        <v>0</v>
      </c>
      <c r="AA62" t="str">
        <f t="shared" si="31"/>
        <v/>
      </c>
      <c r="AB62" t="str">
        <f t="shared" si="32"/>
        <v/>
      </c>
      <c r="AC62" t="str">
        <f t="shared" si="33"/>
        <v/>
      </c>
      <c r="AD62" t="str">
        <f t="shared" si="34"/>
        <v/>
      </c>
      <c r="AE62">
        <f t="shared" si="35"/>
        <v>0</v>
      </c>
    </row>
    <row r="63" spans="1:31" ht="15" customHeight="1" x14ac:dyDescent="0.35">
      <c r="A63" s="2"/>
      <c r="B63" s="3"/>
      <c r="C63" s="3"/>
      <c r="D63" s="4"/>
      <c r="E63" s="5"/>
      <c r="F63" s="11" t="str">
        <f t="shared" ca="1" si="18"/>
        <v/>
      </c>
      <c r="G63" s="5"/>
      <c r="H63" s="6" t="str">
        <f>IF(AND($A63&lt;&gt;"",$B63&lt;&gt;"",$C63&lt;&gt;"",$D63&lt;&gt;"",$E63&lt;&gt;""),IF(AND($B63="s",OR($C63="SER",$C63="PLH",$C63="CSF")),"Case CDI Plate "&amp;(INT(((COUNTIFS($B$2:$B63,"s",$C$2:$C63,"SER")+COUNTIFS($B$2:$B63,"s",$C$2:$C63,"PLH")+COUNTIFS($B$2:$B63,"s",$C$2:$C63,"CSF"))-1)/96)+1)&amp;": "&amp;CHAR(65+INT(MOD((COUNTIFS($B$2:$B63,"s",$C$2:$C63,"SER")+COUNTIFS($B$2:$B63,"s",$C$2:$C63,"PLH")+COUNTIFS($B$2:$B63,"s",$C$2:$C63,"CSF"))-1,96)/12))&amp;(MOD((COUNTIFS($B$2:$B63,"s",$C$2:$C63,"SER")+COUNTIFS($B$2:$B63,"s",$C$2:$C63,"PLH")+COUNTIFS($B$2:$B63,"s",$C$2:$C63,"CSF"))-1,12)+1),"N/A"),"")</f>
        <v/>
      </c>
      <c r="I63" s="6" t="str">
        <f>IF(AND($A63&lt;&gt;"",$B63&lt;&gt;"",$C63&lt;&gt;"",$D63&lt;&gt;"",$E63&lt;&gt;""),IF(AND($B63="s",OR($C63="SER",$C63="PLH",$C63="CSF")),"Case NIH Plate "&amp;(INT(((COUNTIFS($B$2:$B63,"s",$C$2:$C63,"SER")+COUNTIFS($B$2:$B63,"s",$C$2:$C63,"PLH")+COUNTIFS($B$2:$B63,"s",$C$2:$C63,"CSF"))-1)/96)+1)&amp;": "&amp;CHAR(65+INT(MOD((COUNTIFS($B$2:$B63,"s",$C$2:$C63,"SER")+COUNTIFS($B$2:$B63,"s",$C$2:$C63,"PLH")+COUNTIFS($B$2:$B63,"s",$C$2:$C63,"CSF"))-1,96)/12))&amp;(MOD((COUNTIFS($B$2:$B63,"s",$C$2:$C63,"SER")+COUNTIFS($B$2:$B63,"s",$C$2:$C63,"PLH")+COUNTIFS($B$2:$B63,"s",$C$2:$C63,"CSF"))-1,12)+1),"N/A"),"")</f>
        <v/>
      </c>
      <c r="J63" s="6" t="str">
        <f>IF(AND($A63&lt;&gt;"",$B63&lt;&gt;"",$C63&lt;&gt;"",$D63&lt;&gt;"",$E63&lt;&gt;""),IF(AND($B63="s",OR($C63="SER",$C63="PLH")),"Case MAX Planck Plate "&amp;(INT(((COUNTIFS($B$2:$B63,"s",$C$2:$C63,"SER")+COUNTIFS($B$2:$B63,"s",$C$2:$C63,"PLH"))-1)/96)+1)&amp;": "&amp;CHAR(65+INT(MOD((COUNTIFS($B$2:$B63,"s",$C$2:$C63,"SER")+COUNTIFS($B$2:$B63,"s",$C$2:$C63,"PLH"))-1,96)/12))&amp;(MOD((COUNTIFS($B$2:$B63,"s",$C$2:$C63,"SER")+COUNTIFS($B$2:$B63,"s",$C$2:$C63,"PLH"))-1,12)+1),"N/A"),"")</f>
        <v/>
      </c>
      <c r="K63" s="6" t="str">
        <f>IF(AND($A63&lt;&gt;"",$B63&lt;&gt;"",$C63&lt;&gt;"",$D63&lt;&gt;"",$E63&lt;&gt;""),IF($C63="WB","Case WB Box "&amp;(INT((COUNTIFS($C$2:$C63,"WB")-1)/81)+1)&amp;": "&amp;CHAR(65+INT(MOD(COUNTIFS($C$2:$C63,"WB")-1,81)/9))&amp;(MOD(COUNTIFS($C$2:$C63,"WB")-1,9)+1),"N/A"),"")</f>
        <v/>
      </c>
      <c r="L63" s="2" t="str">
        <f t="shared" si="19"/>
        <v/>
      </c>
      <c r="M63" s="2"/>
      <c r="N63" s="2"/>
      <c r="O63" s="2"/>
      <c r="P63" s="7" t="str">
        <f t="shared" si="20"/>
        <v/>
      </c>
      <c r="Q63" s="7" t="str">
        <f t="shared" si="21"/>
        <v/>
      </c>
      <c r="R63" s="7" t="str">
        <f t="shared" si="22"/>
        <v/>
      </c>
      <c r="S63" s="7" t="str">
        <f t="shared" si="23"/>
        <v/>
      </c>
      <c r="T63" s="7" t="str">
        <f t="shared" si="24"/>
        <v/>
      </c>
      <c r="U63" s="7" t="str">
        <f t="shared" si="25"/>
        <v/>
      </c>
      <c r="V63" s="7" t="str">
        <f t="shared" si="26"/>
        <v/>
      </c>
      <c r="W63" s="7" t="str">
        <f t="shared" si="27"/>
        <v/>
      </c>
      <c r="X63" s="7" t="str">
        <f t="shared" si="28"/>
        <v/>
      </c>
      <c r="Y63" s="7" t="str">
        <f t="shared" si="29"/>
        <v/>
      </c>
      <c r="Z63">
        <f t="shared" si="30"/>
        <v>0</v>
      </c>
      <c r="AA63" t="str">
        <f t="shared" si="31"/>
        <v/>
      </c>
      <c r="AB63" t="str">
        <f t="shared" si="32"/>
        <v/>
      </c>
      <c r="AC63" t="str">
        <f t="shared" si="33"/>
        <v/>
      </c>
      <c r="AD63" t="str">
        <f t="shared" si="34"/>
        <v/>
      </c>
      <c r="AE63">
        <f t="shared" si="35"/>
        <v>0</v>
      </c>
    </row>
    <row r="64" spans="1:31" ht="15" customHeight="1" x14ac:dyDescent="0.35">
      <c r="A64" s="2"/>
      <c r="B64" s="3"/>
      <c r="C64" s="3"/>
      <c r="D64" s="4"/>
      <c r="E64" s="5"/>
      <c r="F64" s="11" t="str">
        <f t="shared" ca="1" si="18"/>
        <v/>
      </c>
      <c r="G64" s="5"/>
      <c r="H64" s="6" t="str">
        <f>IF(AND($A64&lt;&gt;"",$B64&lt;&gt;"",$C64&lt;&gt;"",$D64&lt;&gt;"",$E64&lt;&gt;""),IF(AND($B64="s",OR($C64="SER",$C64="PLH",$C64="CSF")),"Case CDI Plate "&amp;(INT(((COUNTIFS($B$2:$B64,"s",$C$2:$C64,"SER")+COUNTIFS($B$2:$B64,"s",$C$2:$C64,"PLH")+COUNTIFS($B$2:$B64,"s",$C$2:$C64,"CSF"))-1)/96)+1)&amp;": "&amp;CHAR(65+INT(MOD((COUNTIFS($B$2:$B64,"s",$C$2:$C64,"SER")+COUNTIFS($B$2:$B64,"s",$C$2:$C64,"PLH")+COUNTIFS($B$2:$B64,"s",$C$2:$C64,"CSF"))-1,96)/12))&amp;(MOD((COUNTIFS($B$2:$B64,"s",$C$2:$C64,"SER")+COUNTIFS($B$2:$B64,"s",$C$2:$C64,"PLH")+COUNTIFS($B$2:$B64,"s",$C$2:$C64,"CSF"))-1,12)+1),"N/A"),"")</f>
        <v/>
      </c>
      <c r="I64" s="6" t="str">
        <f>IF(AND($A64&lt;&gt;"",$B64&lt;&gt;"",$C64&lt;&gt;"",$D64&lt;&gt;"",$E64&lt;&gt;""),IF(AND($B64="s",OR($C64="SER",$C64="PLH",$C64="CSF")),"Case NIH Plate "&amp;(INT(((COUNTIFS($B$2:$B64,"s",$C$2:$C64,"SER")+COUNTIFS($B$2:$B64,"s",$C$2:$C64,"PLH")+COUNTIFS($B$2:$B64,"s",$C$2:$C64,"CSF"))-1)/96)+1)&amp;": "&amp;CHAR(65+INT(MOD((COUNTIFS($B$2:$B64,"s",$C$2:$C64,"SER")+COUNTIFS($B$2:$B64,"s",$C$2:$C64,"PLH")+COUNTIFS($B$2:$B64,"s",$C$2:$C64,"CSF"))-1,96)/12))&amp;(MOD((COUNTIFS($B$2:$B64,"s",$C$2:$C64,"SER")+COUNTIFS($B$2:$B64,"s",$C$2:$C64,"PLH")+COUNTIFS($B$2:$B64,"s",$C$2:$C64,"CSF"))-1,12)+1),"N/A"),"")</f>
        <v/>
      </c>
      <c r="J64" s="6" t="str">
        <f>IF(AND($A64&lt;&gt;"",$B64&lt;&gt;"",$C64&lt;&gt;"",$D64&lt;&gt;"",$E64&lt;&gt;""),IF(AND($B64="s",OR($C64="SER",$C64="PLH")),"Case MAX Planck Plate "&amp;(INT(((COUNTIFS($B$2:$B64,"s",$C$2:$C64,"SER")+COUNTIFS($B$2:$B64,"s",$C$2:$C64,"PLH"))-1)/96)+1)&amp;": "&amp;CHAR(65+INT(MOD((COUNTIFS($B$2:$B64,"s",$C$2:$C64,"SER")+COUNTIFS($B$2:$B64,"s",$C$2:$C64,"PLH"))-1,96)/12))&amp;(MOD((COUNTIFS($B$2:$B64,"s",$C$2:$C64,"SER")+COUNTIFS($B$2:$B64,"s",$C$2:$C64,"PLH"))-1,12)+1),"N/A"),"")</f>
        <v/>
      </c>
      <c r="K64" s="6" t="str">
        <f>IF(AND($A64&lt;&gt;"",$B64&lt;&gt;"",$C64&lt;&gt;"",$D64&lt;&gt;"",$E64&lt;&gt;""),IF($C64="WB","Case WB Box "&amp;(INT((COUNTIFS($C$2:$C64,"WB")-1)/81)+1)&amp;": "&amp;CHAR(65+INT(MOD(COUNTIFS($C$2:$C64,"WB")-1,81)/9))&amp;(MOD(COUNTIFS($C$2:$C64,"WB")-1,9)+1),"N/A"),"")</f>
        <v/>
      </c>
      <c r="L64" s="2" t="str">
        <f t="shared" si="19"/>
        <v/>
      </c>
      <c r="M64" s="2"/>
      <c r="N64" s="2"/>
      <c r="O64" s="2"/>
      <c r="P64" s="7" t="str">
        <f t="shared" si="20"/>
        <v/>
      </c>
      <c r="Q64" s="7" t="str">
        <f t="shared" si="21"/>
        <v/>
      </c>
      <c r="R64" s="7" t="str">
        <f t="shared" si="22"/>
        <v/>
      </c>
      <c r="S64" s="7" t="str">
        <f t="shared" si="23"/>
        <v/>
      </c>
      <c r="T64" s="7" t="str">
        <f t="shared" si="24"/>
        <v/>
      </c>
      <c r="U64" s="7" t="str">
        <f t="shared" si="25"/>
        <v/>
      </c>
      <c r="V64" s="7" t="str">
        <f t="shared" si="26"/>
        <v/>
      </c>
      <c r="W64" s="7" t="str">
        <f t="shared" si="27"/>
        <v/>
      </c>
      <c r="X64" s="7" t="str">
        <f t="shared" si="28"/>
        <v/>
      </c>
      <c r="Y64" s="7" t="str">
        <f t="shared" si="29"/>
        <v/>
      </c>
      <c r="Z64">
        <f t="shared" si="30"/>
        <v>0</v>
      </c>
      <c r="AA64" t="str">
        <f t="shared" si="31"/>
        <v/>
      </c>
      <c r="AB64" t="str">
        <f t="shared" si="32"/>
        <v/>
      </c>
      <c r="AC64" t="str">
        <f t="shared" si="33"/>
        <v/>
      </c>
      <c r="AD64" t="str">
        <f t="shared" si="34"/>
        <v/>
      </c>
      <c r="AE64">
        <f t="shared" si="35"/>
        <v>0</v>
      </c>
    </row>
    <row r="65" spans="1:31" ht="15" customHeight="1" x14ac:dyDescent="0.35">
      <c r="A65" s="2"/>
      <c r="B65" s="3"/>
      <c r="C65" s="3"/>
      <c r="D65" s="4"/>
      <c r="E65" s="5"/>
      <c r="F65" s="11" t="str">
        <f t="shared" ca="1" si="18"/>
        <v/>
      </c>
      <c r="G65" s="5"/>
      <c r="H65" s="6" t="str">
        <f>IF(AND($A65&lt;&gt;"",$B65&lt;&gt;"",$C65&lt;&gt;"",$D65&lt;&gt;"",$E65&lt;&gt;""),IF(AND($B65="s",OR($C65="SER",$C65="PLH",$C65="CSF")),"Case CDI Plate "&amp;(INT(((COUNTIFS($B$2:$B65,"s",$C$2:$C65,"SER")+COUNTIFS($B$2:$B65,"s",$C$2:$C65,"PLH")+COUNTIFS($B$2:$B65,"s",$C$2:$C65,"CSF"))-1)/96)+1)&amp;": "&amp;CHAR(65+INT(MOD((COUNTIFS($B$2:$B65,"s",$C$2:$C65,"SER")+COUNTIFS($B$2:$B65,"s",$C$2:$C65,"PLH")+COUNTIFS($B$2:$B65,"s",$C$2:$C65,"CSF"))-1,96)/12))&amp;(MOD((COUNTIFS($B$2:$B65,"s",$C$2:$C65,"SER")+COUNTIFS($B$2:$B65,"s",$C$2:$C65,"PLH")+COUNTIFS($B$2:$B65,"s",$C$2:$C65,"CSF"))-1,12)+1),"N/A"),"")</f>
        <v/>
      </c>
      <c r="I65" s="6" t="str">
        <f>IF(AND($A65&lt;&gt;"",$B65&lt;&gt;"",$C65&lt;&gt;"",$D65&lt;&gt;"",$E65&lt;&gt;""),IF(AND($B65="s",OR($C65="SER",$C65="PLH",$C65="CSF")),"Case NIH Plate "&amp;(INT(((COUNTIFS($B$2:$B65,"s",$C$2:$C65,"SER")+COUNTIFS($B$2:$B65,"s",$C$2:$C65,"PLH")+COUNTIFS($B$2:$B65,"s",$C$2:$C65,"CSF"))-1)/96)+1)&amp;": "&amp;CHAR(65+INT(MOD((COUNTIFS($B$2:$B65,"s",$C$2:$C65,"SER")+COUNTIFS($B$2:$B65,"s",$C$2:$C65,"PLH")+COUNTIFS($B$2:$B65,"s",$C$2:$C65,"CSF"))-1,96)/12))&amp;(MOD((COUNTIFS($B$2:$B65,"s",$C$2:$C65,"SER")+COUNTIFS($B$2:$B65,"s",$C$2:$C65,"PLH")+COUNTIFS($B$2:$B65,"s",$C$2:$C65,"CSF"))-1,12)+1),"N/A"),"")</f>
        <v/>
      </c>
      <c r="J65" s="6" t="str">
        <f>IF(AND($A65&lt;&gt;"",$B65&lt;&gt;"",$C65&lt;&gt;"",$D65&lt;&gt;"",$E65&lt;&gt;""),IF(AND($B65="s",OR($C65="SER",$C65="PLH")),"Case MAX Planck Plate "&amp;(INT(((COUNTIFS($B$2:$B65,"s",$C$2:$C65,"SER")+COUNTIFS($B$2:$B65,"s",$C$2:$C65,"PLH"))-1)/96)+1)&amp;": "&amp;CHAR(65+INT(MOD((COUNTIFS($B$2:$B65,"s",$C$2:$C65,"SER")+COUNTIFS($B$2:$B65,"s",$C$2:$C65,"PLH"))-1,96)/12))&amp;(MOD((COUNTIFS($B$2:$B65,"s",$C$2:$C65,"SER")+COUNTIFS($B$2:$B65,"s",$C$2:$C65,"PLH"))-1,12)+1),"N/A"),"")</f>
        <v/>
      </c>
      <c r="K65" s="6" t="str">
        <f>IF(AND($A65&lt;&gt;"",$B65&lt;&gt;"",$C65&lt;&gt;"",$D65&lt;&gt;"",$E65&lt;&gt;""),IF($C65="WB","Case WB Box "&amp;(INT((COUNTIFS($C$2:$C65,"WB")-1)/81)+1)&amp;": "&amp;CHAR(65+INT(MOD(COUNTIFS($C$2:$C65,"WB")-1,81)/9))&amp;(MOD(COUNTIFS($C$2:$C65,"WB")-1,9)+1),"N/A"),"")</f>
        <v/>
      </c>
      <c r="L65" s="2" t="str">
        <f t="shared" si="19"/>
        <v/>
      </c>
      <c r="M65" s="2"/>
      <c r="N65" s="2"/>
      <c r="O65" s="2"/>
      <c r="P65" s="7" t="str">
        <f t="shared" si="20"/>
        <v/>
      </c>
      <c r="Q65" s="7" t="str">
        <f t="shared" si="21"/>
        <v/>
      </c>
      <c r="R65" s="7" t="str">
        <f t="shared" si="22"/>
        <v/>
      </c>
      <c r="S65" s="7" t="str">
        <f t="shared" si="23"/>
        <v/>
      </c>
      <c r="T65" s="7" t="str">
        <f t="shared" si="24"/>
        <v/>
      </c>
      <c r="U65" s="7" t="str">
        <f t="shared" si="25"/>
        <v/>
      </c>
      <c r="V65" s="7" t="str">
        <f t="shared" si="26"/>
        <v/>
      </c>
      <c r="W65" s="7" t="str">
        <f t="shared" si="27"/>
        <v/>
      </c>
      <c r="X65" s="7" t="str">
        <f t="shared" si="28"/>
        <v/>
      </c>
      <c r="Y65" s="7" t="str">
        <f t="shared" si="29"/>
        <v/>
      </c>
      <c r="Z65">
        <f t="shared" si="30"/>
        <v>0</v>
      </c>
      <c r="AA65" t="str">
        <f t="shared" si="31"/>
        <v/>
      </c>
      <c r="AB65" t="str">
        <f t="shared" si="32"/>
        <v/>
      </c>
      <c r="AC65" t="str">
        <f t="shared" si="33"/>
        <v/>
      </c>
      <c r="AD65" t="str">
        <f t="shared" si="34"/>
        <v/>
      </c>
      <c r="AE65">
        <f t="shared" si="35"/>
        <v>0</v>
      </c>
    </row>
    <row r="66" spans="1:31" ht="15" customHeight="1" x14ac:dyDescent="0.35">
      <c r="A66" s="2"/>
      <c r="B66" s="3"/>
      <c r="C66" s="3"/>
      <c r="D66" s="4"/>
      <c r="E66" s="5"/>
      <c r="F66" s="11" t="str">
        <f t="shared" ca="1" si="18"/>
        <v/>
      </c>
      <c r="G66" s="5"/>
      <c r="H66" s="6" t="str">
        <f>IF(AND($A66&lt;&gt;"",$B66&lt;&gt;"",$C66&lt;&gt;"",$D66&lt;&gt;"",$E66&lt;&gt;""),IF(AND($B66="s",OR($C66="SER",$C66="PLH",$C66="CSF")),"Case CDI Plate "&amp;(INT(((COUNTIFS($B$2:$B66,"s",$C$2:$C66,"SER")+COUNTIFS($B$2:$B66,"s",$C$2:$C66,"PLH")+COUNTIFS($B$2:$B66,"s",$C$2:$C66,"CSF"))-1)/96)+1)&amp;": "&amp;CHAR(65+INT(MOD((COUNTIFS($B$2:$B66,"s",$C$2:$C66,"SER")+COUNTIFS($B$2:$B66,"s",$C$2:$C66,"PLH")+COUNTIFS($B$2:$B66,"s",$C$2:$C66,"CSF"))-1,96)/12))&amp;(MOD((COUNTIFS($B$2:$B66,"s",$C$2:$C66,"SER")+COUNTIFS($B$2:$B66,"s",$C$2:$C66,"PLH")+COUNTIFS($B$2:$B66,"s",$C$2:$C66,"CSF"))-1,12)+1),"N/A"),"")</f>
        <v/>
      </c>
      <c r="I66" s="6" t="str">
        <f>IF(AND($A66&lt;&gt;"",$B66&lt;&gt;"",$C66&lt;&gt;"",$D66&lt;&gt;"",$E66&lt;&gt;""),IF(AND($B66="s",OR($C66="SER",$C66="PLH",$C66="CSF")),"Case NIH Plate "&amp;(INT(((COUNTIFS($B$2:$B66,"s",$C$2:$C66,"SER")+COUNTIFS($B$2:$B66,"s",$C$2:$C66,"PLH")+COUNTIFS($B$2:$B66,"s",$C$2:$C66,"CSF"))-1)/96)+1)&amp;": "&amp;CHAR(65+INT(MOD((COUNTIFS($B$2:$B66,"s",$C$2:$C66,"SER")+COUNTIFS($B$2:$B66,"s",$C$2:$C66,"PLH")+COUNTIFS($B$2:$B66,"s",$C$2:$C66,"CSF"))-1,96)/12))&amp;(MOD((COUNTIFS($B$2:$B66,"s",$C$2:$C66,"SER")+COUNTIFS($B$2:$B66,"s",$C$2:$C66,"PLH")+COUNTIFS($B$2:$B66,"s",$C$2:$C66,"CSF"))-1,12)+1),"N/A"),"")</f>
        <v/>
      </c>
      <c r="J66" s="6" t="str">
        <f>IF(AND($A66&lt;&gt;"",$B66&lt;&gt;"",$C66&lt;&gt;"",$D66&lt;&gt;"",$E66&lt;&gt;""),IF(AND($B66="s",OR($C66="SER",$C66="PLH")),"Case MAX Planck Plate "&amp;(INT(((COUNTIFS($B$2:$B66,"s",$C$2:$C66,"SER")+COUNTIFS($B$2:$B66,"s",$C$2:$C66,"PLH"))-1)/96)+1)&amp;": "&amp;CHAR(65+INT(MOD((COUNTIFS($B$2:$B66,"s",$C$2:$C66,"SER")+COUNTIFS($B$2:$B66,"s",$C$2:$C66,"PLH"))-1,96)/12))&amp;(MOD((COUNTIFS($B$2:$B66,"s",$C$2:$C66,"SER")+COUNTIFS($B$2:$B66,"s",$C$2:$C66,"PLH"))-1,12)+1),"N/A"),"")</f>
        <v/>
      </c>
      <c r="K66" s="6" t="str">
        <f>IF(AND($A66&lt;&gt;"",$B66&lt;&gt;"",$C66&lt;&gt;"",$D66&lt;&gt;"",$E66&lt;&gt;""),IF($C66="WB","Case WB Box "&amp;(INT((COUNTIFS($C$2:$C66,"WB")-1)/81)+1)&amp;": "&amp;CHAR(65+INT(MOD(COUNTIFS($C$2:$C66,"WB")-1,81)/9))&amp;(MOD(COUNTIFS($C$2:$C66,"WB")-1,9)+1),"N/A"),"")</f>
        <v/>
      </c>
      <c r="L66" s="2" t="str">
        <f t="shared" si="19"/>
        <v/>
      </c>
      <c r="M66" s="2"/>
      <c r="N66" s="2"/>
      <c r="O66" s="2"/>
      <c r="P66" s="7" t="str">
        <f t="shared" si="20"/>
        <v/>
      </c>
      <c r="Q66" s="7" t="str">
        <f t="shared" si="21"/>
        <v/>
      </c>
      <c r="R66" s="7" t="str">
        <f t="shared" si="22"/>
        <v/>
      </c>
      <c r="S66" s="7" t="str">
        <f t="shared" si="23"/>
        <v/>
      </c>
      <c r="T66" s="7" t="str">
        <f t="shared" si="24"/>
        <v/>
      </c>
      <c r="U66" s="7" t="str">
        <f t="shared" si="25"/>
        <v/>
      </c>
      <c r="V66" s="7" t="str">
        <f t="shared" si="26"/>
        <v/>
      </c>
      <c r="W66" s="7" t="str">
        <f t="shared" si="27"/>
        <v/>
      </c>
      <c r="X66" s="7" t="str">
        <f t="shared" si="28"/>
        <v/>
      </c>
      <c r="Y66" s="7" t="str">
        <f t="shared" si="29"/>
        <v/>
      </c>
      <c r="Z66">
        <f t="shared" si="30"/>
        <v>0</v>
      </c>
      <c r="AA66" t="str">
        <f t="shared" si="31"/>
        <v/>
      </c>
      <c r="AB66" t="str">
        <f t="shared" si="32"/>
        <v/>
      </c>
      <c r="AC66" t="str">
        <f t="shared" si="33"/>
        <v/>
      </c>
      <c r="AD66" t="str">
        <f t="shared" si="34"/>
        <v/>
      </c>
      <c r="AE66">
        <f t="shared" si="35"/>
        <v>0</v>
      </c>
    </row>
    <row r="67" spans="1:31" ht="15" customHeight="1" x14ac:dyDescent="0.35">
      <c r="A67" s="2"/>
      <c r="B67" s="3"/>
      <c r="C67" s="3"/>
      <c r="D67" s="4"/>
      <c r="E67" s="5"/>
      <c r="F67" s="11" t="str">
        <f t="shared" ca="1" si="18"/>
        <v/>
      </c>
      <c r="G67" s="5"/>
      <c r="H67" s="6" t="str">
        <f>IF(AND($A67&lt;&gt;"",$B67&lt;&gt;"",$C67&lt;&gt;"",$D67&lt;&gt;"",$E67&lt;&gt;""),IF(AND($B67="s",OR($C67="SER",$C67="PLH",$C67="CSF")),"Case CDI Plate "&amp;(INT(((COUNTIFS($B$2:$B67,"s",$C$2:$C67,"SER")+COUNTIFS($B$2:$B67,"s",$C$2:$C67,"PLH")+COUNTIFS($B$2:$B67,"s",$C$2:$C67,"CSF"))-1)/96)+1)&amp;": "&amp;CHAR(65+INT(MOD((COUNTIFS($B$2:$B67,"s",$C$2:$C67,"SER")+COUNTIFS($B$2:$B67,"s",$C$2:$C67,"PLH")+COUNTIFS($B$2:$B67,"s",$C$2:$C67,"CSF"))-1,96)/12))&amp;(MOD((COUNTIFS($B$2:$B67,"s",$C$2:$C67,"SER")+COUNTIFS($B$2:$B67,"s",$C$2:$C67,"PLH")+COUNTIFS($B$2:$B67,"s",$C$2:$C67,"CSF"))-1,12)+1),"N/A"),"")</f>
        <v/>
      </c>
      <c r="I67" s="6" t="str">
        <f>IF(AND($A67&lt;&gt;"",$B67&lt;&gt;"",$C67&lt;&gt;"",$D67&lt;&gt;"",$E67&lt;&gt;""),IF(AND($B67="s",OR($C67="SER",$C67="PLH",$C67="CSF")),"Case NIH Plate "&amp;(INT(((COUNTIFS($B$2:$B67,"s",$C$2:$C67,"SER")+COUNTIFS($B$2:$B67,"s",$C$2:$C67,"PLH")+COUNTIFS($B$2:$B67,"s",$C$2:$C67,"CSF"))-1)/96)+1)&amp;": "&amp;CHAR(65+INT(MOD((COUNTIFS($B$2:$B67,"s",$C$2:$C67,"SER")+COUNTIFS($B$2:$B67,"s",$C$2:$C67,"PLH")+COUNTIFS($B$2:$B67,"s",$C$2:$C67,"CSF"))-1,96)/12))&amp;(MOD((COUNTIFS($B$2:$B67,"s",$C$2:$C67,"SER")+COUNTIFS($B$2:$B67,"s",$C$2:$C67,"PLH")+COUNTIFS($B$2:$B67,"s",$C$2:$C67,"CSF"))-1,12)+1),"N/A"),"")</f>
        <v/>
      </c>
      <c r="J67" s="6" t="str">
        <f>IF(AND($A67&lt;&gt;"",$B67&lt;&gt;"",$C67&lt;&gt;"",$D67&lt;&gt;"",$E67&lt;&gt;""),IF(AND($B67="s",OR($C67="SER",$C67="PLH")),"Case MAX Planck Plate "&amp;(INT(((COUNTIFS($B$2:$B67,"s",$C$2:$C67,"SER")+COUNTIFS($B$2:$B67,"s",$C$2:$C67,"PLH"))-1)/96)+1)&amp;": "&amp;CHAR(65+INT(MOD((COUNTIFS($B$2:$B67,"s",$C$2:$C67,"SER")+COUNTIFS($B$2:$B67,"s",$C$2:$C67,"PLH"))-1,96)/12))&amp;(MOD((COUNTIFS($B$2:$B67,"s",$C$2:$C67,"SER")+COUNTIFS($B$2:$B67,"s",$C$2:$C67,"PLH"))-1,12)+1),"N/A"),"")</f>
        <v/>
      </c>
      <c r="K67" s="6" t="str">
        <f>IF(AND($A67&lt;&gt;"",$B67&lt;&gt;"",$C67&lt;&gt;"",$D67&lt;&gt;"",$E67&lt;&gt;""),IF($C67="WB","Case WB Box "&amp;(INT((COUNTIFS($C$2:$C67,"WB")-1)/81)+1)&amp;": "&amp;CHAR(65+INT(MOD(COUNTIFS($C$2:$C67,"WB")-1,81)/9))&amp;(MOD(COUNTIFS($C$2:$C67,"WB")-1,9)+1),"N/A"),"")</f>
        <v/>
      </c>
      <c r="L67" s="2" t="str">
        <f t="shared" si="19"/>
        <v/>
      </c>
      <c r="M67" s="2"/>
      <c r="N67" s="2"/>
      <c r="O67" s="2"/>
      <c r="P67" s="7" t="str">
        <f t="shared" si="20"/>
        <v/>
      </c>
      <c r="Q67" s="7" t="str">
        <f t="shared" si="21"/>
        <v/>
      </c>
      <c r="R67" s="7" t="str">
        <f t="shared" si="22"/>
        <v/>
      </c>
      <c r="S67" s="7" t="str">
        <f t="shared" si="23"/>
        <v/>
      </c>
      <c r="T67" s="7" t="str">
        <f t="shared" si="24"/>
        <v/>
      </c>
      <c r="U67" s="7" t="str">
        <f t="shared" si="25"/>
        <v/>
      </c>
      <c r="V67" s="7" t="str">
        <f t="shared" si="26"/>
        <v/>
      </c>
      <c r="W67" s="7" t="str">
        <f t="shared" si="27"/>
        <v/>
      </c>
      <c r="X67" s="7" t="str">
        <f t="shared" si="28"/>
        <v/>
      </c>
      <c r="Y67" s="7" t="str">
        <f t="shared" si="29"/>
        <v/>
      </c>
      <c r="Z67">
        <f t="shared" si="30"/>
        <v>0</v>
      </c>
      <c r="AA67" t="str">
        <f t="shared" si="31"/>
        <v/>
      </c>
      <c r="AB67" t="str">
        <f t="shared" si="32"/>
        <v/>
      </c>
      <c r="AC67" t="str">
        <f t="shared" si="33"/>
        <v/>
      </c>
      <c r="AD67" t="str">
        <f t="shared" si="34"/>
        <v/>
      </c>
      <c r="AE67">
        <f t="shared" si="35"/>
        <v>0</v>
      </c>
    </row>
    <row r="68" spans="1:31" ht="15" customHeight="1" x14ac:dyDescent="0.35">
      <c r="A68" s="2"/>
      <c r="B68" s="3"/>
      <c r="C68" s="3"/>
      <c r="D68" s="4"/>
      <c r="E68" s="5"/>
      <c r="F68" s="11" t="str">
        <f t="shared" ca="1" si="18"/>
        <v/>
      </c>
      <c r="G68" s="5"/>
      <c r="H68" s="6" t="str">
        <f>IF(AND($A68&lt;&gt;"",$B68&lt;&gt;"",$C68&lt;&gt;"",$D68&lt;&gt;"",$E68&lt;&gt;""),IF(AND($B68="s",OR($C68="SER",$C68="PLH",$C68="CSF")),"Case CDI Plate "&amp;(INT(((COUNTIFS($B$2:$B68,"s",$C$2:$C68,"SER")+COUNTIFS($B$2:$B68,"s",$C$2:$C68,"PLH")+COUNTIFS($B$2:$B68,"s",$C$2:$C68,"CSF"))-1)/96)+1)&amp;": "&amp;CHAR(65+INT(MOD((COUNTIFS($B$2:$B68,"s",$C$2:$C68,"SER")+COUNTIFS($B$2:$B68,"s",$C$2:$C68,"PLH")+COUNTIFS($B$2:$B68,"s",$C$2:$C68,"CSF"))-1,96)/12))&amp;(MOD((COUNTIFS($B$2:$B68,"s",$C$2:$C68,"SER")+COUNTIFS($B$2:$B68,"s",$C$2:$C68,"PLH")+COUNTIFS($B$2:$B68,"s",$C$2:$C68,"CSF"))-1,12)+1),"N/A"),"")</f>
        <v/>
      </c>
      <c r="I68" s="6" t="str">
        <f>IF(AND($A68&lt;&gt;"",$B68&lt;&gt;"",$C68&lt;&gt;"",$D68&lt;&gt;"",$E68&lt;&gt;""),IF(AND($B68="s",OR($C68="SER",$C68="PLH",$C68="CSF")),"Case NIH Plate "&amp;(INT(((COUNTIFS($B$2:$B68,"s",$C$2:$C68,"SER")+COUNTIFS($B$2:$B68,"s",$C$2:$C68,"PLH")+COUNTIFS($B$2:$B68,"s",$C$2:$C68,"CSF"))-1)/96)+1)&amp;": "&amp;CHAR(65+INT(MOD((COUNTIFS($B$2:$B68,"s",$C$2:$C68,"SER")+COUNTIFS($B$2:$B68,"s",$C$2:$C68,"PLH")+COUNTIFS($B$2:$B68,"s",$C$2:$C68,"CSF"))-1,96)/12))&amp;(MOD((COUNTIFS($B$2:$B68,"s",$C$2:$C68,"SER")+COUNTIFS($B$2:$B68,"s",$C$2:$C68,"PLH")+COUNTIFS($B$2:$B68,"s",$C$2:$C68,"CSF"))-1,12)+1),"N/A"),"")</f>
        <v/>
      </c>
      <c r="J68" s="6" t="str">
        <f>IF(AND($A68&lt;&gt;"",$B68&lt;&gt;"",$C68&lt;&gt;"",$D68&lt;&gt;"",$E68&lt;&gt;""),IF(AND($B68="s",OR($C68="SER",$C68="PLH")),"Case MAX Planck Plate "&amp;(INT(((COUNTIFS($B$2:$B68,"s",$C$2:$C68,"SER")+COUNTIFS($B$2:$B68,"s",$C$2:$C68,"PLH"))-1)/96)+1)&amp;": "&amp;CHAR(65+INT(MOD((COUNTIFS($B$2:$B68,"s",$C$2:$C68,"SER")+COUNTIFS($B$2:$B68,"s",$C$2:$C68,"PLH"))-1,96)/12))&amp;(MOD((COUNTIFS($B$2:$B68,"s",$C$2:$C68,"SER")+COUNTIFS($B$2:$B68,"s",$C$2:$C68,"PLH"))-1,12)+1),"N/A"),"")</f>
        <v/>
      </c>
      <c r="K68" s="6" t="str">
        <f>IF(AND($A68&lt;&gt;"",$B68&lt;&gt;"",$C68&lt;&gt;"",$D68&lt;&gt;"",$E68&lt;&gt;""),IF($C68="WB","Case WB Box "&amp;(INT((COUNTIFS($C$2:$C68,"WB")-1)/81)+1)&amp;": "&amp;CHAR(65+INT(MOD(COUNTIFS($C$2:$C68,"WB")-1,81)/9))&amp;(MOD(COUNTIFS($C$2:$C68,"WB")-1,9)+1),"N/A"),"")</f>
        <v/>
      </c>
      <c r="L68" s="2" t="str">
        <f t="shared" si="19"/>
        <v/>
      </c>
      <c r="M68" s="2"/>
      <c r="N68" s="2"/>
      <c r="O68" s="2"/>
      <c r="P68" s="7" t="str">
        <f t="shared" si="20"/>
        <v/>
      </c>
      <c r="Q68" s="7" t="str">
        <f t="shared" si="21"/>
        <v/>
      </c>
      <c r="R68" s="7" t="str">
        <f t="shared" si="22"/>
        <v/>
      </c>
      <c r="S68" s="7" t="str">
        <f t="shared" si="23"/>
        <v/>
      </c>
      <c r="T68" s="7" t="str">
        <f t="shared" si="24"/>
        <v/>
      </c>
      <c r="U68" s="7" t="str">
        <f t="shared" si="25"/>
        <v/>
      </c>
      <c r="V68" s="7" t="str">
        <f t="shared" si="26"/>
        <v/>
      </c>
      <c r="W68" s="7" t="str">
        <f t="shared" si="27"/>
        <v/>
      </c>
      <c r="X68" s="7" t="str">
        <f t="shared" si="28"/>
        <v/>
      </c>
      <c r="Y68" s="7" t="str">
        <f t="shared" si="29"/>
        <v/>
      </c>
      <c r="Z68">
        <f t="shared" si="30"/>
        <v>0</v>
      </c>
      <c r="AA68" t="str">
        <f t="shared" si="31"/>
        <v/>
      </c>
      <c r="AB68" t="str">
        <f t="shared" si="32"/>
        <v/>
      </c>
      <c r="AC68" t="str">
        <f t="shared" si="33"/>
        <v/>
      </c>
      <c r="AD68" t="str">
        <f t="shared" si="34"/>
        <v/>
      </c>
      <c r="AE68">
        <f t="shared" si="35"/>
        <v>0</v>
      </c>
    </row>
    <row r="69" spans="1:31" ht="15" customHeight="1" x14ac:dyDescent="0.35">
      <c r="A69" s="2"/>
      <c r="B69" s="3"/>
      <c r="C69" s="3"/>
      <c r="D69" s="4"/>
      <c r="E69" s="5"/>
      <c r="F69" s="11" t="str">
        <f t="shared" ca="1" si="18"/>
        <v/>
      </c>
      <c r="G69" s="5"/>
      <c r="H69" s="6" t="str">
        <f>IF(AND($A69&lt;&gt;"",$B69&lt;&gt;"",$C69&lt;&gt;"",$D69&lt;&gt;"",$E69&lt;&gt;""),IF(AND($B69="s",OR($C69="SER",$C69="PLH",$C69="CSF")),"Case CDI Plate "&amp;(INT(((COUNTIFS($B$2:$B69,"s",$C$2:$C69,"SER")+COUNTIFS($B$2:$B69,"s",$C$2:$C69,"PLH")+COUNTIFS($B$2:$B69,"s",$C$2:$C69,"CSF"))-1)/96)+1)&amp;": "&amp;CHAR(65+INT(MOD((COUNTIFS($B$2:$B69,"s",$C$2:$C69,"SER")+COUNTIFS($B$2:$B69,"s",$C$2:$C69,"PLH")+COUNTIFS($B$2:$B69,"s",$C$2:$C69,"CSF"))-1,96)/12))&amp;(MOD((COUNTIFS($B$2:$B69,"s",$C$2:$C69,"SER")+COUNTIFS($B$2:$B69,"s",$C$2:$C69,"PLH")+COUNTIFS($B$2:$B69,"s",$C$2:$C69,"CSF"))-1,12)+1),"N/A"),"")</f>
        <v/>
      </c>
      <c r="I69" s="6" t="str">
        <f>IF(AND($A69&lt;&gt;"",$B69&lt;&gt;"",$C69&lt;&gt;"",$D69&lt;&gt;"",$E69&lt;&gt;""),IF(AND($B69="s",OR($C69="SER",$C69="PLH",$C69="CSF")),"Case NIH Plate "&amp;(INT(((COUNTIFS($B$2:$B69,"s",$C$2:$C69,"SER")+COUNTIFS($B$2:$B69,"s",$C$2:$C69,"PLH")+COUNTIFS($B$2:$B69,"s",$C$2:$C69,"CSF"))-1)/96)+1)&amp;": "&amp;CHAR(65+INT(MOD((COUNTIFS($B$2:$B69,"s",$C$2:$C69,"SER")+COUNTIFS($B$2:$B69,"s",$C$2:$C69,"PLH")+COUNTIFS($B$2:$B69,"s",$C$2:$C69,"CSF"))-1,96)/12))&amp;(MOD((COUNTIFS($B$2:$B69,"s",$C$2:$C69,"SER")+COUNTIFS($B$2:$B69,"s",$C$2:$C69,"PLH")+COUNTIFS($B$2:$B69,"s",$C$2:$C69,"CSF"))-1,12)+1),"N/A"),"")</f>
        <v/>
      </c>
      <c r="J69" s="6" t="str">
        <f>IF(AND($A69&lt;&gt;"",$B69&lt;&gt;"",$C69&lt;&gt;"",$D69&lt;&gt;"",$E69&lt;&gt;""),IF(AND($B69="s",OR($C69="SER",$C69="PLH")),"Case MAX Planck Plate "&amp;(INT(((COUNTIFS($B$2:$B69,"s",$C$2:$C69,"SER")+COUNTIFS($B$2:$B69,"s",$C$2:$C69,"PLH"))-1)/96)+1)&amp;": "&amp;CHAR(65+INT(MOD((COUNTIFS($B$2:$B69,"s",$C$2:$C69,"SER")+COUNTIFS($B$2:$B69,"s",$C$2:$C69,"PLH"))-1,96)/12))&amp;(MOD((COUNTIFS($B$2:$B69,"s",$C$2:$C69,"SER")+COUNTIFS($B$2:$B69,"s",$C$2:$C69,"PLH"))-1,12)+1),"N/A"),"")</f>
        <v/>
      </c>
      <c r="K69" s="6" t="str">
        <f>IF(AND($A69&lt;&gt;"",$B69&lt;&gt;"",$C69&lt;&gt;"",$D69&lt;&gt;"",$E69&lt;&gt;""),IF($C69="WB","Case WB Box "&amp;(INT((COUNTIFS($C$2:$C69,"WB")-1)/81)+1)&amp;": "&amp;CHAR(65+INT(MOD(COUNTIFS($C$2:$C69,"WB")-1,81)/9))&amp;(MOD(COUNTIFS($C$2:$C69,"WB")-1,9)+1),"N/A"),"")</f>
        <v/>
      </c>
      <c r="L69" s="2" t="str">
        <f t="shared" si="19"/>
        <v/>
      </c>
      <c r="M69" s="2"/>
      <c r="N69" s="2"/>
      <c r="O69" s="2"/>
      <c r="P69" s="7" t="str">
        <f t="shared" si="20"/>
        <v/>
      </c>
      <c r="Q69" s="7" t="str">
        <f t="shared" si="21"/>
        <v/>
      </c>
      <c r="R69" s="7" t="str">
        <f t="shared" si="22"/>
        <v/>
      </c>
      <c r="S69" s="7" t="str">
        <f t="shared" si="23"/>
        <v/>
      </c>
      <c r="T69" s="7" t="str">
        <f t="shared" si="24"/>
        <v/>
      </c>
      <c r="U69" s="7" t="str">
        <f t="shared" si="25"/>
        <v/>
      </c>
      <c r="V69" s="7" t="str">
        <f t="shared" si="26"/>
        <v/>
      </c>
      <c r="W69" s="7" t="str">
        <f t="shared" si="27"/>
        <v/>
      </c>
      <c r="X69" s="7" t="str">
        <f t="shared" si="28"/>
        <v/>
      </c>
      <c r="Y69" s="7" t="str">
        <f t="shared" si="29"/>
        <v/>
      </c>
      <c r="Z69">
        <f t="shared" si="30"/>
        <v>0</v>
      </c>
      <c r="AA69" t="str">
        <f t="shared" si="31"/>
        <v/>
      </c>
      <c r="AB69" t="str">
        <f t="shared" si="32"/>
        <v/>
      </c>
      <c r="AC69" t="str">
        <f t="shared" si="33"/>
        <v/>
      </c>
      <c r="AD69" t="str">
        <f t="shared" si="34"/>
        <v/>
      </c>
      <c r="AE69">
        <f t="shared" si="35"/>
        <v>0</v>
      </c>
    </row>
    <row r="70" spans="1:31" ht="15" customHeight="1" x14ac:dyDescent="0.35">
      <c r="A70" s="2"/>
      <c r="B70" s="3"/>
      <c r="C70" s="3"/>
      <c r="D70" s="4"/>
      <c r="E70" s="5"/>
      <c r="F70" s="11" t="str">
        <f t="shared" ca="1" si="18"/>
        <v/>
      </c>
      <c r="G70" s="5"/>
      <c r="H70" s="6" t="str">
        <f>IF(AND($A70&lt;&gt;"",$B70&lt;&gt;"",$C70&lt;&gt;"",$D70&lt;&gt;"",$E70&lt;&gt;""),IF(AND($B70="s",OR($C70="SER",$C70="PLH",$C70="CSF")),"Case CDI Plate "&amp;(INT(((COUNTIFS($B$2:$B70,"s",$C$2:$C70,"SER")+COUNTIFS($B$2:$B70,"s",$C$2:$C70,"PLH")+COUNTIFS($B$2:$B70,"s",$C$2:$C70,"CSF"))-1)/96)+1)&amp;": "&amp;CHAR(65+INT(MOD((COUNTIFS($B$2:$B70,"s",$C$2:$C70,"SER")+COUNTIFS($B$2:$B70,"s",$C$2:$C70,"PLH")+COUNTIFS($B$2:$B70,"s",$C$2:$C70,"CSF"))-1,96)/12))&amp;(MOD((COUNTIFS($B$2:$B70,"s",$C$2:$C70,"SER")+COUNTIFS($B$2:$B70,"s",$C$2:$C70,"PLH")+COUNTIFS($B$2:$B70,"s",$C$2:$C70,"CSF"))-1,12)+1),"N/A"),"")</f>
        <v/>
      </c>
      <c r="I70" s="6" t="str">
        <f>IF(AND($A70&lt;&gt;"",$B70&lt;&gt;"",$C70&lt;&gt;"",$D70&lt;&gt;"",$E70&lt;&gt;""),IF(AND($B70="s",OR($C70="SER",$C70="PLH",$C70="CSF")),"Case NIH Plate "&amp;(INT(((COUNTIFS($B$2:$B70,"s",$C$2:$C70,"SER")+COUNTIFS($B$2:$B70,"s",$C$2:$C70,"PLH")+COUNTIFS($B$2:$B70,"s",$C$2:$C70,"CSF"))-1)/96)+1)&amp;": "&amp;CHAR(65+INT(MOD((COUNTIFS($B$2:$B70,"s",$C$2:$C70,"SER")+COUNTIFS($B$2:$B70,"s",$C$2:$C70,"PLH")+COUNTIFS($B$2:$B70,"s",$C$2:$C70,"CSF"))-1,96)/12))&amp;(MOD((COUNTIFS($B$2:$B70,"s",$C$2:$C70,"SER")+COUNTIFS($B$2:$B70,"s",$C$2:$C70,"PLH")+COUNTIFS($B$2:$B70,"s",$C$2:$C70,"CSF"))-1,12)+1),"N/A"),"")</f>
        <v/>
      </c>
      <c r="J70" s="6" t="str">
        <f>IF(AND($A70&lt;&gt;"",$B70&lt;&gt;"",$C70&lt;&gt;"",$D70&lt;&gt;"",$E70&lt;&gt;""),IF(AND($B70="s",OR($C70="SER",$C70="PLH")),"Case MAX Planck Plate "&amp;(INT(((COUNTIFS($B$2:$B70,"s",$C$2:$C70,"SER")+COUNTIFS($B$2:$B70,"s",$C$2:$C70,"PLH"))-1)/96)+1)&amp;": "&amp;CHAR(65+INT(MOD((COUNTIFS($B$2:$B70,"s",$C$2:$C70,"SER")+COUNTIFS($B$2:$B70,"s",$C$2:$C70,"PLH"))-1,96)/12))&amp;(MOD((COUNTIFS($B$2:$B70,"s",$C$2:$C70,"SER")+COUNTIFS($B$2:$B70,"s",$C$2:$C70,"PLH"))-1,12)+1),"N/A"),"")</f>
        <v/>
      </c>
      <c r="K70" s="6" t="str">
        <f>IF(AND($A70&lt;&gt;"",$B70&lt;&gt;"",$C70&lt;&gt;"",$D70&lt;&gt;"",$E70&lt;&gt;""),IF($C70="WB","Case WB Box "&amp;(INT((COUNTIFS($C$2:$C70,"WB")-1)/81)+1)&amp;": "&amp;CHAR(65+INT(MOD(COUNTIFS($C$2:$C70,"WB")-1,81)/9))&amp;(MOD(COUNTIFS($C$2:$C70,"WB")-1,9)+1),"N/A"),"")</f>
        <v/>
      </c>
      <c r="L70" s="2" t="str">
        <f t="shared" si="19"/>
        <v/>
      </c>
      <c r="M70" s="2"/>
      <c r="N70" s="2"/>
      <c r="O70" s="2"/>
      <c r="P70" s="7" t="str">
        <f t="shared" si="20"/>
        <v/>
      </c>
      <c r="Q70" s="7" t="str">
        <f t="shared" si="21"/>
        <v/>
      </c>
      <c r="R70" s="7" t="str">
        <f t="shared" si="22"/>
        <v/>
      </c>
      <c r="S70" s="7" t="str">
        <f t="shared" si="23"/>
        <v/>
      </c>
      <c r="T70" s="7" t="str">
        <f t="shared" si="24"/>
        <v/>
      </c>
      <c r="U70" s="7" t="str">
        <f t="shared" si="25"/>
        <v/>
      </c>
      <c r="V70" s="7" t="str">
        <f t="shared" si="26"/>
        <v/>
      </c>
      <c r="W70" s="7" t="str">
        <f t="shared" si="27"/>
        <v/>
      </c>
      <c r="X70" s="7" t="str">
        <f t="shared" si="28"/>
        <v/>
      </c>
      <c r="Y70" s="7" t="str">
        <f t="shared" si="29"/>
        <v/>
      </c>
      <c r="Z70">
        <f t="shared" si="30"/>
        <v>0</v>
      </c>
      <c r="AA70" t="str">
        <f t="shared" si="31"/>
        <v/>
      </c>
      <c r="AB70" t="str">
        <f t="shared" si="32"/>
        <v/>
      </c>
      <c r="AC70" t="str">
        <f t="shared" si="33"/>
        <v/>
      </c>
      <c r="AD70" t="str">
        <f t="shared" si="34"/>
        <v/>
      </c>
      <c r="AE70">
        <f t="shared" si="35"/>
        <v>0</v>
      </c>
    </row>
    <row r="71" spans="1:31" ht="15" customHeight="1" x14ac:dyDescent="0.35">
      <c r="A71" s="2"/>
      <c r="B71" s="3"/>
      <c r="C71" s="3"/>
      <c r="D71" s="4"/>
      <c r="E71" s="5"/>
      <c r="F71" s="11" t="str">
        <f t="shared" ca="1" si="18"/>
        <v/>
      </c>
      <c r="G71" s="5"/>
      <c r="H71" s="6" t="str">
        <f>IF(AND($A71&lt;&gt;"",$B71&lt;&gt;"",$C71&lt;&gt;"",$D71&lt;&gt;"",$E71&lt;&gt;""),IF(AND($B71="s",OR($C71="SER",$C71="PLH",$C71="CSF")),"Case CDI Plate "&amp;(INT(((COUNTIFS($B$2:$B71,"s",$C$2:$C71,"SER")+COUNTIFS($B$2:$B71,"s",$C$2:$C71,"PLH")+COUNTIFS($B$2:$B71,"s",$C$2:$C71,"CSF"))-1)/96)+1)&amp;": "&amp;CHAR(65+INT(MOD((COUNTIFS($B$2:$B71,"s",$C$2:$C71,"SER")+COUNTIFS($B$2:$B71,"s",$C$2:$C71,"PLH")+COUNTIFS($B$2:$B71,"s",$C$2:$C71,"CSF"))-1,96)/12))&amp;(MOD((COUNTIFS($B$2:$B71,"s",$C$2:$C71,"SER")+COUNTIFS($B$2:$B71,"s",$C$2:$C71,"PLH")+COUNTIFS($B$2:$B71,"s",$C$2:$C71,"CSF"))-1,12)+1),"N/A"),"")</f>
        <v/>
      </c>
      <c r="I71" s="6" t="str">
        <f>IF(AND($A71&lt;&gt;"",$B71&lt;&gt;"",$C71&lt;&gt;"",$D71&lt;&gt;"",$E71&lt;&gt;""),IF(AND($B71="s",OR($C71="SER",$C71="PLH",$C71="CSF")),"Case NIH Plate "&amp;(INT(((COUNTIFS($B$2:$B71,"s",$C$2:$C71,"SER")+COUNTIFS($B$2:$B71,"s",$C$2:$C71,"PLH")+COUNTIFS($B$2:$B71,"s",$C$2:$C71,"CSF"))-1)/96)+1)&amp;": "&amp;CHAR(65+INT(MOD((COUNTIFS($B$2:$B71,"s",$C$2:$C71,"SER")+COUNTIFS($B$2:$B71,"s",$C$2:$C71,"PLH")+COUNTIFS($B$2:$B71,"s",$C$2:$C71,"CSF"))-1,96)/12))&amp;(MOD((COUNTIFS($B$2:$B71,"s",$C$2:$C71,"SER")+COUNTIFS($B$2:$B71,"s",$C$2:$C71,"PLH")+COUNTIFS($B$2:$B71,"s",$C$2:$C71,"CSF"))-1,12)+1),"N/A"),"")</f>
        <v/>
      </c>
      <c r="J71" s="6" t="str">
        <f>IF(AND($A71&lt;&gt;"",$B71&lt;&gt;"",$C71&lt;&gt;"",$D71&lt;&gt;"",$E71&lt;&gt;""),IF(AND($B71="s",OR($C71="SER",$C71="PLH")),"Case MAX Planck Plate "&amp;(INT(((COUNTIFS($B$2:$B71,"s",$C$2:$C71,"SER")+COUNTIFS($B$2:$B71,"s",$C$2:$C71,"PLH"))-1)/96)+1)&amp;": "&amp;CHAR(65+INT(MOD((COUNTIFS($B$2:$B71,"s",$C$2:$C71,"SER")+COUNTIFS($B$2:$B71,"s",$C$2:$C71,"PLH"))-1,96)/12))&amp;(MOD((COUNTIFS($B$2:$B71,"s",$C$2:$C71,"SER")+COUNTIFS($B$2:$B71,"s",$C$2:$C71,"PLH"))-1,12)+1),"N/A"),"")</f>
        <v/>
      </c>
      <c r="K71" s="6" t="str">
        <f>IF(AND($A71&lt;&gt;"",$B71&lt;&gt;"",$C71&lt;&gt;"",$D71&lt;&gt;"",$E71&lt;&gt;""),IF($C71="WB","Case WB Box "&amp;(INT((COUNTIFS($C$2:$C71,"WB")-1)/81)+1)&amp;": "&amp;CHAR(65+INT(MOD(COUNTIFS($C$2:$C71,"WB")-1,81)/9))&amp;(MOD(COUNTIFS($C$2:$C71,"WB")-1,9)+1),"N/A"),"")</f>
        <v/>
      </c>
      <c r="L71" s="2" t="str">
        <f t="shared" si="19"/>
        <v/>
      </c>
      <c r="M71" s="2"/>
      <c r="N71" s="2"/>
      <c r="O71" s="2"/>
      <c r="P71" s="7" t="str">
        <f t="shared" si="20"/>
        <v/>
      </c>
      <c r="Q71" s="7" t="str">
        <f t="shared" si="21"/>
        <v/>
      </c>
      <c r="R71" s="7" t="str">
        <f t="shared" si="22"/>
        <v/>
      </c>
      <c r="S71" s="7" t="str">
        <f t="shared" si="23"/>
        <v/>
      </c>
      <c r="T71" s="7" t="str">
        <f t="shared" si="24"/>
        <v/>
      </c>
      <c r="U71" s="7" t="str">
        <f t="shared" si="25"/>
        <v/>
      </c>
      <c r="V71" s="7" t="str">
        <f t="shared" si="26"/>
        <v/>
      </c>
      <c r="W71" s="7" t="str">
        <f t="shared" si="27"/>
        <v/>
      </c>
      <c r="X71" s="7" t="str">
        <f t="shared" si="28"/>
        <v/>
      </c>
      <c r="Y71" s="7" t="str">
        <f t="shared" si="29"/>
        <v/>
      </c>
      <c r="Z71">
        <f t="shared" si="30"/>
        <v>0</v>
      </c>
      <c r="AA71" t="str">
        <f t="shared" si="31"/>
        <v/>
      </c>
      <c r="AB71" t="str">
        <f t="shared" si="32"/>
        <v/>
      </c>
      <c r="AC71" t="str">
        <f t="shared" si="33"/>
        <v/>
      </c>
      <c r="AD71" t="str">
        <f t="shared" si="34"/>
        <v/>
      </c>
      <c r="AE71">
        <f t="shared" si="35"/>
        <v>0</v>
      </c>
    </row>
    <row r="72" spans="1:31" ht="15" customHeight="1" x14ac:dyDescent="0.35">
      <c r="A72" s="2"/>
      <c r="B72" s="3"/>
      <c r="C72" s="3"/>
      <c r="D72" s="4"/>
      <c r="E72" s="5"/>
      <c r="F72" s="11" t="str">
        <f t="shared" ca="1" si="18"/>
        <v/>
      </c>
      <c r="G72" s="5"/>
      <c r="H72" s="6" t="str">
        <f>IF(AND($A72&lt;&gt;"",$B72&lt;&gt;"",$C72&lt;&gt;"",$D72&lt;&gt;"",$E72&lt;&gt;""),IF(AND($B72="s",OR($C72="SER",$C72="PLH",$C72="CSF")),"Case CDI Plate "&amp;(INT(((COUNTIFS($B$2:$B72,"s",$C$2:$C72,"SER")+COUNTIFS($B$2:$B72,"s",$C$2:$C72,"PLH")+COUNTIFS($B$2:$B72,"s",$C$2:$C72,"CSF"))-1)/96)+1)&amp;": "&amp;CHAR(65+INT(MOD((COUNTIFS($B$2:$B72,"s",$C$2:$C72,"SER")+COUNTIFS($B$2:$B72,"s",$C$2:$C72,"PLH")+COUNTIFS($B$2:$B72,"s",$C$2:$C72,"CSF"))-1,96)/12))&amp;(MOD((COUNTIFS($B$2:$B72,"s",$C$2:$C72,"SER")+COUNTIFS($B$2:$B72,"s",$C$2:$C72,"PLH")+COUNTIFS($B$2:$B72,"s",$C$2:$C72,"CSF"))-1,12)+1),"N/A"),"")</f>
        <v/>
      </c>
      <c r="I72" s="6" t="str">
        <f>IF(AND($A72&lt;&gt;"",$B72&lt;&gt;"",$C72&lt;&gt;"",$D72&lt;&gt;"",$E72&lt;&gt;""),IF(AND($B72="s",OR($C72="SER",$C72="PLH",$C72="CSF")),"Case NIH Plate "&amp;(INT(((COUNTIFS($B$2:$B72,"s",$C$2:$C72,"SER")+COUNTIFS($B$2:$B72,"s",$C$2:$C72,"PLH")+COUNTIFS($B$2:$B72,"s",$C$2:$C72,"CSF"))-1)/96)+1)&amp;": "&amp;CHAR(65+INT(MOD((COUNTIFS($B$2:$B72,"s",$C$2:$C72,"SER")+COUNTIFS($B$2:$B72,"s",$C$2:$C72,"PLH")+COUNTIFS($B$2:$B72,"s",$C$2:$C72,"CSF"))-1,96)/12))&amp;(MOD((COUNTIFS($B$2:$B72,"s",$C$2:$C72,"SER")+COUNTIFS($B$2:$B72,"s",$C$2:$C72,"PLH")+COUNTIFS($B$2:$B72,"s",$C$2:$C72,"CSF"))-1,12)+1),"N/A"),"")</f>
        <v/>
      </c>
      <c r="J72" s="6" t="str">
        <f>IF(AND($A72&lt;&gt;"",$B72&lt;&gt;"",$C72&lt;&gt;"",$D72&lt;&gt;"",$E72&lt;&gt;""),IF(AND($B72="s",OR($C72="SER",$C72="PLH")),"Case MAX Planck Plate "&amp;(INT(((COUNTIFS($B$2:$B72,"s",$C$2:$C72,"SER")+COUNTIFS($B$2:$B72,"s",$C$2:$C72,"PLH"))-1)/96)+1)&amp;": "&amp;CHAR(65+INT(MOD((COUNTIFS($B$2:$B72,"s",$C$2:$C72,"SER")+COUNTIFS($B$2:$B72,"s",$C$2:$C72,"PLH"))-1,96)/12))&amp;(MOD((COUNTIFS($B$2:$B72,"s",$C$2:$C72,"SER")+COUNTIFS($B$2:$B72,"s",$C$2:$C72,"PLH"))-1,12)+1),"N/A"),"")</f>
        <v/>
      </c>
      <c r="K72" s="6" t="str">
        <f>IF(AND($A72&lt;&gt;"",$B72&lt;&gt;"",$C72&lt;&gt;"",$D72&lt;&gt;"",$E72&lt;&gt;""),IF($C72="WB","Case WB Box "&amp;(INT((COUNTIFS($C$2:$C72,"WB")-1)/81)+1)&amp;": "&amp;CHAR(65+INT(MOD(COUNTIFS($C$2:$C72,"WB")-1,81)/9))&amp;(MOD(COUNTIFS($C$2:$C72,"WB")-1,9)+1),"N/A"),"")</f>
        <v/>
      </c>
      <c r="L72" s="2" t="str">
        <f t="shared" si="19"/>
        <v/>
      </c>
      <c r="M72" s="2"/>
      <c r="N72" s="2"/>
      <c r="O72" s="2"/>
      <c r="P72" s="7" t="str">
        <f t="shared" si="20"/>
        <v/>
      </c>
      <c r="Q72" s="7" t="str">
        <f t="shared" si="21"/>
        <v/>
      </c>
      <c r="R72" s="7" t="str">
        <f t="shared" si="22"/>
        <v/>
      </c>
      <c r="S72" s="7" t="str">
        <f t="shared" si="23"/>
        <v/>
      </c>
      <c r="T72" s="7" t="str">
        <f t="shared" si="24"/>
        <v/>
      </c>
      <c r="U72" s="7" t="str">
        <f t="shared" si="25"/>
        <v/>
      </c>
      <c r="V72" s="7" t="str">
        <f t="shared" si="26"/>
        <v/>
      </c>
      <c r="W72" s="7" t="str">
        <f t="shared" si="27"/>
        <v/>
      </c>
      <c r="X72" s="7" t="str">
        <f t="shared" si="28"/>
        <v/>
      </c>
      <c r="Y72" s="7" t="str">
        <f t="shared" si="29"/>
        <v/>
      </c>
      <c r="Z72">
        <f t="shared" si="30"/>
        <v>0</v>
      </c>
      <c r="AA72" t="str">
        <f t="shared" si="31"/>
        <v/>
      </c>
      <c r="AB72" t="str">
        <f t="shared" si="32"/>
        <v/>
      </c>
      <c r="AC72" t="str">
        <f t="shared" si="33"/>
        <v/>
      </c>
      <c r="AD72" t="str">
        <f t="shared" si="34"/>
        <v/>
      </c>
      <c r="AE72">
        <f t="shared" si="35"/>
        <v>0</v>
      </c>
    </row>
    <row r="73" spans="1:31" ht="15" customHeight="1" x14ac:dyDescent="0.35">
      <c r="A73" s="2"/>
      <c r="B73" s="3"/>
      <c r="C73" s="3"/>
      <c r="D73" s="4"/>
      <c r="E73" s="5"/>
      <c r="F73" s="11" t="str">
        <f t="shared" ca="1" si="18"/>
        <v/>
      </c>
      <c r="G73" s="5"/>
      <c r="H73" s="6" t="str">
        <f>IF(AND($A73&lt;&gt;"",$B73&lt;&gt;"",$C73&lt;&gt;"",$D73&lt;&gt;"",$E73&lt;&gt;""),IF(AND($B73="s",OR($C73="SER",$C73="PLH",$C73="CSF")),"Case CDI Plate "&amp;(INT(((COUNTIFS($B$2:$B73,"s",$C$2:$C73,"SER")+COUNTIFS($B$2:$B73,"s",$C$2:$C73,"PLH")+COUNTIFS($B$2:$B73,"s",$C$2:$C73,"CSF"))-1)/96)+1)&amp;": "&amp;CHAR(65+INT(MOD((COUNTIFS($B$2:$B73,"s",$C$2:$C73,"SER")+COUNTIFS($B$2:$B73,"s",$C$2:$C73,"PLH")+COUNTIFS($B$2:$B73,"s",$C$2:$C73,"CSF"))-1,96)/12))&amp;(MOD((COUNTIFS($B$2:$B73,"s",$C$2:$C73,"SER")+COUNTIFS($B$2:$B73,"s",$C$2:$C73,"PLH")+COUNTIFS($B$2:$B73,"s",$C$2:$C73,"CSF"))-1,12)+1),"N/A"),"")</f>
        <v/>
      </c>
      <c r="I73" s="6" t="str">
        <f>IF(AND($A73&lt;&gt;"",$B73&lt;&gt;"",$C73&lt;&gt;"",$D73&lt;&gt;"",$E73&lt;&gt;""),IF(AND($B73="s",OR($C73="SER",$C73="PLH",$C73="CSF")),"Case NIH Plate "&amp;(INT(((COUNTIFS($B$2:$B73,"s",$C$2:$C73,"SER")+COUNTIFS($B$2:$B73,"s",$C$2:$C73,"PLH")+COUNTIFS($B$2:$B73,"s",$C$2:$C73,"CSF"))-1)/96)+1)&amp;": "&amp;CHAR(65+INT(MOD((COUNTIFS($B$2:$B73,"s",$C$2:$C73,"SER")+COUNTIFS($B$2:$B73,"s",$C$2:$C73,"PLH")+COUNTIFS($B$2:$B73,"s",$C$2:$C73,"CSF"))-1,96)/12))&amp;(MOD((COUNTIFS($B$2:$B73,"s",$C$2:$C73,"SER")+COUNTIFS($B$2:$B73,"s",$C$2:$C73,"PLH")+COUNTIFS($B$2:$B73,"s",$C$2:$C73,"CSF"))-1,12)+1),"N/A"),"")</f>
        <v/>
      </c>
      <c r="J73" s="6" t="str">
        <f>IF(AND($A73&lt;&gt;"",$B73&lt;&gt;"",$C73&lt;&gt;"",$D73&lt;&gt;"",$E73&lt;&gt;""),IF(AND($B73="s",OR($C73="SER",$C73="PLH")),"Case MAX Planck Plate "&amp;(INT(((COUNTIFS($B$2:$B73,"s",$C$2:$C73,"SER")+COUNTIFS($B$2:$B73,"s",$C$2:$C73,"PLH"))-1)/96)+1)&amp;": "&amp;CHAR(65+INT(MOD((COUNTIFS($B$2:$B73,"s",$C$2:$C73,"SER")+COUNTIFS($B$2:$B73,"s",$C$2:$C73,"PLH"))-1,96)/12))&amp;(MOD((COUNTIFS($B$2:$B73,"s",$C$2:$C73,"SER")+COUNTIFS($B$2:$B73,"s",$C$2:$C73,"PLH"))-1,12)+1),"N/A"),"")</f>
        <v/>
      </c>
      <c r="K73" s="6" t="str">
        <f>IF(AND($A73&lt;&gt;"",$B73&lt;&gt;"",$C73&lt;&gt;"",$D73&lt;&gt;"",$E73&lt;&gt;""),IF($C73="WB","Case WB Box "&amp;(INT((COUNTIFS($C$2:$C73,"WB")-1)/81)+1)&amp;": "&amp;CHAR(65+INT(MOD(COUNTIFS($C$2:$C73,"WB")-1,81)/9))&amp;(MOD(COUNTIFS($C$2:$C73,"WB")-1,9)+1),"N/A"),"")</f>
        <v/>
      </c>
      <c r="L73" s="2" t="str">
        <f t="shared" si="19"/>
        <v/>
      </c>
      <c r="M73" s="2"/>
      <c r="N73" s="2"/>
      <c r="O73" s="2"/>
      <c r="P73" s="7" t="str">
        <f t="shared" si="20"/>
        <v/>
      </c>
      <c r="Q73" s="7" t="str">
        <f t="shared" si="21"/>
        <v/>
      </c>
      <c r="R73" s="7" t="str">
        <f t="shared" si="22"/>
        <v/>
      </c>
      <c r="S73" s="7" t="str">
        <f t="shared" si="23"/>
        <v/>
      </c>
      <c r="T73" s="7" t="str">
        <f t="shared" si="24"/>
        <v/>
      </c>
      <c r="U73" s="7" t="str">
        <f t="shared" si="25"/>
        <v/>
      </c>
      <c r="V73" s="7" t="str">
        <f t="shared" si="26"/>
        <v/>
      </c>
      <c r="W73" s="7" t="str">
        <f t="shared" si="27"/>
        <v/>
      </c>
      <c r="X73" s="7" t="str">
        <f t="shared" si="28"/>
        <v/>
      </c>
      <c r="Y73" s="7" t="str">
        <f t="shared" si="29"/>
        <v/>
      </c>
      <c r="Z73">
        <f t="shared" si="30"/>
        <v>0</v>
      </c>
      <c r="AA73" t="str">
        <f t="shared" si="31"/>
        <v/>
      </c>
      <c r="AB73" t="str">
        <f t="shared" si="32"/>
        <v/>
      </c>
      <c r="AC73" t="str">
        <f t="shared" si="33"/>
        <v/>
      </c>
      <c r="AD73" t="str">
        <f t="shared" si="34"/>
        <v/>
      </c>
      <c r="AE73">
        <f t="shared" si="35"/>
        <v>0</v>
      </c>
    </row>
    <row r="74" spans="1:31" ht="15" customHeight="1" x14ac:dyDescent="0.35">
      <c r="A74" s="2"/>
      <c r="B74" s="3"/>
      <c r="C74" s="3"/>
      <c r="D74" s="4"/>
      <c r="E74" s="5"/>
      <c r="F74" s="11" t="str">
        <f t="shared" ca="1" si="18"/>
        <v/>
      </c>
      <c r="G74" s="5"/>
      <c r="H74" s="6" t="str">
        <f>IF(AND($A74&lt;&gt;"",$B74&lt;&gt;"",$C74&lt;&gt;"",$D74&lt;&gt;"",$E74&lt;&gt;""),IF(AND($B74="s",OR($C74="SER",$C74="PLH",$C74="CSF")),"Case CDI Plate "&amp;(INT(((COUNTIFS($B$2:$B74,"s",$C$2:$C74,"SER")+COUNTIFS($B$2:$B74,"s",$C$2:$C74,"PLH")+COUNTIFS($B$2:$B74,"s",$C$2:$C74,"CSF"))-1)/96)+1)&amp;": "&amp;CHAR(65+INT(MOD((COUNTIFS($B$2:$B74,"s",$C$2:$C74,"SER")+COUNTIFS($B$2:$B74,"s",$C$2:$C74,"PLH")+COUNTIFS($B$2:$B74,"s",$C$2:$C74,"CSF"))-1,96)/12))&amp;(MOD((COUNTIFS($B$2:$B74,"s",$C$2:$C74,"SER")+COUNTIFS($B$2:$B74,"s",$C$2:$C74,"PLH")+COUNTIFS($B$2:$B74,"s",$C$2:$C74,"CSF"))-1,12)+1),"N/A"),"")</f>
        <v/>
      </c>
      <c r="I74" s="6" t="str">
        <f>IF(AND($A74&lt;&gt;"",$B74&lt;&gt;"",$C74&lt;&gt;"",$D74&lt;&gt;"",$E74&lt;&gt;""),IF(AND($B74="s",OR($C74="SER",$C74="PLH",$C74="CSF")),"Case NIH Plate "&amp;(INT(((COUNTIFS($B$2:$B74,"s",$C$2:$C74,"SER")+COUNTIFS($B$2:$B74,"s",$C$2:$C74,"PLH")+COUNTIFS($B$2:$B74,"s",$C$2:$C74,"CSF"))-1)/96)+1)&amp;": "&amp;CHAR(65+INT(MOD((COUNTIFS($B$2:$B74,"s",$C$2:$C74,"SER")+COUNTIFS($B$2:$B74,"s",$C$2:$C74,"PLH")+COUNTIFS($B$2:$B74,"s",$C$2:$C74,"CSF"))-1,96)/12))&amp;(MOD((COUNTIFS($B$2:$B74,"s",$C$2:$C74,"SER")+COUNTIFS($B$2:$B74,"s",$C$2:$C74,"PLH")+COUNTIFS($B$2:$B74,"s",$C$2:$C74,"CSF"))-1,12)+1),"N/A"),"")</f>
        <v/>
      </c>
      <c r="J74" s="6" t="str">
        <f>IF(AND($A74&lt;&gt;"",$B74&lt;&gt;"",$C74&lt;&gt;"",$D74&lt;&gt;"",$E74&lt;&gt;""),IF(AND($B74="s",OR($C74="SER",$C74="PLH")),"Case MAX Planck Plate "&amp;(INT(((COUNTIFS($B$2:$B74,"s",$C$2:$C74,"SER")+COUNTIFS($B$2:$B74,"s",$C$2:$C74,"PLH"))-1)/96)+1)&amp;": "&amp;CHAR(65+INT(MOD((COUNTIFS($B$2:$B74,"s",$C$2:$C74,"SER")+COUNTIFS($B$2:$B74,"s",$C$2:$C74,"PLH"))-1,96)/12))&amp;(MOD((COUNTIFS($B$2:$B74,"s",$C$2:$C74,"SER")+COUNTIFS($B$2:$B74,"s",$C$2:$C74,"PLH"))-1,12)+1),"N/A"),"")</f>
        <v/>
      </c>
      <c r="K74" s="6" t="str">
        <f>IF(AND($A74&lt;&gt;"",$B74&lt;&gt;"",$C74&lt;&gt;"",$D74&lt;&gt;"",$E74&lt;&gt;""),IF($C74="WB","Case WB Box "&amp;(INT((COUNTIFS($C$2:$C74,"WB")-1)/81)+1)&amp;": "&amp;CHAR(65+INT(MOD(COUNTIFS($C$2:$C74,"WB")-1,81)/9))&amp;(MOD(COUNTIFS($C$2:$C74,"WB")-1,9)+1),"N/A"),"")</f>
        <v/>
      </c>
      <c r="L74" s="2" t="str">
        <f t="shared" si="19"/>
        <v/>
      </c>
      <c r="M74" s="2"/>
      <c r="N74" s="2"/>
      <c r="O74" s="2"/>
      <c r="P74" s="7" t="str">
        <f t="shared" si="20"/>
        <v/>
      </c>
      <c r="Q74" s="7" t="str">
        <f t="shared" si="21"/>
        <v/>
      </c>
      <c r="R74" s="7" t="str">
        <f t="shared" si="22"/>
        <v/>
      </c>
      <c r="S74" s="7" t="str">
        <f t="shared" si="23"/>
        <v/>
      </c>
      <c r="T74" s="7" t="str">
        <f t="shared" si="24"/>
        <v/>
      </c>
      <c r="U74" s="7" t="str">
        <f t="shared" si="25"/>
        <v/>
      </c>
      <c r="V74" s="7" t="str">
        <f t="shared" si="26"/>
        <v/>
      </c>
      <c r="W74" s="7" t="str">
        <f t="shared" si="27"/>
        <v/>
      </c>
      <c r="X74" s="7" t="str">
        <f t="shared" si="28"/>
        <v/>
      </c>
      <c r="Y74" s="7" t="str">
        <f t="shared" si="29"/>
        <v/>
      </c>
      <c r="Z74">
        <f t="shared" si="30"/>
        <v>0</v>
      </c>
      <c r="AA74" t="str">
        <f t="shared" si="31"/>
        <v/>
      </c>
      <c r="AB74" t="str">
        <f t="shared" si="32"/>
        <v/>
      </c>
      <c r="AC74" t="str">
        <f t="shared" si="33"/>
        <v/>
      </c>
      <c r="AD74" t="str">
        <f t="shared" si="34"/>
        <v/>
      </c>
      <c r="AE74">
        <f t="shared" si="35"/>
        <v>0</v>
      </c>
    </row>
    <row r="75" spans="1:31" ht="15" customHeight="1" x14ac:dyDescent="0.35">
      <c r="A75" s="2"/>
      <c r="B75" s="3"/>
      <c r="C75" s="3"/>
      <c r="D75" s="4"/>
      <c r="E75" s="5"/>
      <c r="F75" s="11" t="str">
        <f t="shared" ca="1" si="18"/>
        <v/>
      </c>
      <c r="G75" s="5"/>
      <c r="H75" s="6" t="str">
        <f>IF(AND($A75&lt;&gt;"",$B75&lt;&gt;"",$C75&lt;&gt;"",$D75&lt;&gt;"",$E75&lt;&gt;""),IF(AND($B75="s",OR($C75="SER",$C75="PLH",$C75="CSF")),"Case CDI Plate "&amp;(INT(((COUNTIFS($B$2:$B75,"s",$C$2:$C75,"SER")+COUNTIFS($B$2:$B75,"s",$C$2:$C75,"PLH")+COUNTIFS($B$2:$B75,"s",$C$2:$C75,"CSF"))-1)/96)+1)&amp;": "&amp;CHAR(65+INT(MOD((COUNTIFS($B$2:$B75,"s",$C$2:$C75,"SER")+COUNTIFS($B$2:$B75,"s",$C$2:$C75,"PLH")+COUNTIFS($B$2:$B75,"s",$C$2:$C75,"CSF"))-1,96)/12))&amp;(MOD((COUNTIFS($B$2:$B75,"s",$C$2:$C75,"SER")+COUNTIFS($B$2:$B75,"s",$C$2:$C75,"PLH")+COUNTIFS($B$2:$B75,"s",$C$2:$C75,"CSF"))-1,12)+1),"N/A"),"")</f>
        <v/>
      </c>
      <c r="I75" s="6" t="str">
        <f>IF(AND($A75&lt;&gt;"",$B75&lt;&gt;"",$C75&lt;&gt;"",$D75&lt;&gt;"",$E75&lt;&gt;""),IF(AND($B75="s",OR($C75="SER",$C75="PLH",$C75="CSF")),"Case NIH Plate "&amp;(INT(((COUNTIFS($B$2:$B75,"s",$C$2:$C75,"SER")+COUNTIFS($B$2:$B75,"s",$C$2:$C75,"PLH")+COUNTIFS($B$2:$B75,"s",$C$2:$C75,"CSF"))-1)/96)+1)&amp;": "&amp;CHAR(65+INT(MOD((COUNTIFS($B$2:$B75,"s",$C$2:$C75,"SER")+COUNTIFS($B$2:$B75,"s",$C$2:$C75,"PLH")+COUNTIFS($B$2:$B75,"s",$C$2:$C75,"CSF"))-1,96)/12))&amp;(MOD((COUNTIFS($B$2:$B75,"s",$C$2:$C75,"SER")+COUNTIFS($B$2:$B75,"s",$C$2:$C75,"PLH")+COUNTIFS($B$2:$B75,"s",$C$2:$C75,"CSF"))-1,12)+1),"N/A"),"")</f>
        <v/>
      </c>
      <c r="J75" s="6" t="str">
        <f>IF(AND($A75&lt;&gt;"",$B75&lt;&gt;"",$C75&lt;&gt;"",$D75&lt;&gt;"",$E75&lt;&gt;""),IF(AND($B75="s",OR($C75="SER",$C75="PLH")),"Case MAX Planck Plate "&amp;(INT(((COUNTIFS($B$2:$B75,"s",$C$2:$C75,"SER")+COUNTIFS($B$2:$B75,"s",$C$2:$C75,"PLH"))-1)/96)+1)&amp;": "&amp;CHAR(65+INT(MOD((COUNTIFS($B$2:$B75,"s",$C$2:$C75,"SER")+COUNTIFS($B$2:$B75,"s",$C$2:$C75,"PLH"))-1,96)/12))&amp;(MOD((COUNTIFS($B$2:$B75,"s",$C$2:$C75,"SER")+COUNTIFS($B$2:$B75,"s",$C$2:$C75,"PLH"))-1,12)+1),"N/A"),"")</f>
        <v/>
      </c>
      <c r="K75" s="6" t="str">
        <f>IF(AND($A75&lt;&gt;"",$B75&lt;&gt;"",$C75&lt;&gt;"",$D75&lt;&gt;"",$E75&lt;&gt;""),IF($C75="WB","Case WB Box "&amp;(INT((COUNTIFS($C$2:$C75,"WB")-1)/81)+1)&amp;": "&amp;CHAR(65+INT(MOD(COUNTIFS($C$2:$C75,"WB")-1,81)/9))&amp;(MOD(COUNTIFS($C$2:$C75,"WB")-1,9)+1),"N/A"),"")</f>
        <v/>
      </c>
      <c r="L75" s="2" t="str">
        <f t="shared" si="19"/>
        <v/>
      </c>
      <c r="M75" s="2"/>
      <c r="N75" s="2"/>
      <c r="O75" s="2"/>
      <c r="P75" s="7" t="str">
        <f t="shared" si="20"/>
        <v/>
      </c>
      <c r="Q75" s="7" t="str">
        <f t="shared" si="21"/>
        <v/>
      </c>
      <c r="R75" s="7" t="str">
        <f t="shared" si="22"/>
        <v/>
      </c>
      <c r="S75" s="7" t="str">
        <f t="shared" si="23"/>
        <v/>
      </c>
      <c r="T75" s="7" t="str">
        <f t="shared" si="24"/>
        <v/>
      </c>
      <c r="U75" s="7" t="str">
        <f t="shared" si="25"/>
        <v/>
      </c>
      <c r="V75" s="7" t="str">
        <f t="shared" si="26"/>
        <v/>
      </c>
      <c r="W75" s="7" t="str">
        <f t="shared" si="27"/>
        <v/>
      </c>
      <c r="X75" s="7" t="str">
        <f t="shared" si="28"/>
        <v/>
      </c>
      <c r="Y75" s="7" t="str">
        <f t="shared" si="29"/>
        <v/>
      </c>
      <c r="Z75">
        <f t="shared" si="30"/>
        <v>0</v>
      </c>
      <c r="AA75" t="str">
        <f t="shared" si="31"/>
        <v/>
      </c>
      <c r="AB75" t="str">
        <f t="shared" si="32"/>
        <v/>
      </c>
      <c r="AC75" t="str">
        <f t="shared" si="33"/>
        <v/>
      </c>
      <c r="AD75" t="str">
        <f t="shared" si="34"/>
        <v/>
      </c>
      <c r="AE75">
        <f t="shared" si="35"/>
        <v>0</v>
      </c>
    </row>
    <row r="76" spans="1:31" ht="15" customHeight="1" x14ac:dyDescent="0.35">
      <c r="A76" s="2"/>
      <c r="B76" s="3"/>
      <c r="C76" s="3"/>
      <c r="D76" s="4"/>
      <c r="E76" s="5"/>
      <c r="F76" s="11" t="str">
        <f t="shared" ca="1" si="18"/>
        <v/>
      </c>
      <c r="G76" s="5"/>
      <c r="H76" s="6" t="str">
        <f>IF(AND($A76&lt;&gt;"",$B76&lt;&gt;"",$C76&lt;&gt;"",$D76&lt;&gt;"",$E76&lt;&gt;""),IF(AND($B76="s",OR($C76="SER",$C76="PLH",$C76="CSF")),"Case CDI Plate "&amp;(INT(((COUNTIFS($B$2:$B76,"s",$C$2:$C76,"SER")+COUNTIFS($B$2:$B76,"s",$C$2:$C76,"PLH")+COUNTIFS($B$2:$B76,"s",$C$2:$C76,"CSF"))-1)/96)+1)&amp;": "&amp;CHAR(65+INT(MOD((COUNTIFS($B$2:$B76,"s",$C$2:$C76,"SER")+COUNTIFS($B$2:$B76,"s",$C$2:$C76,"PLH")+COUNTIFS($B$2:$B76,"s",$C$2:$C76,"CSF"))-1,96)/12))&amp;(MOD((COUNTIFS($B$2:$B76,"s",$C$2:$C76,"SER")+COUNTIFS($B$2:$B76,"s",$C$2:$C76,"PLH")+COUNTIFS($B$2:$B76,"s",$C$2:$C76,"CSF"))-1,12)+1),"N/A"),"")</f>
        <v/>
      </c>
      <c r="I76" s="6" t="str">
        <f>IF(AND($A76&lt;&gt;"",$B76&lt;&gt;"",$C76&lt;&gt;"",$D76&lt;&gt;"",$E76&lt;&gt;""),IF(AND($B76="s",OR($C76="SER",$C76="PLH",$C76="CSF")),"Case NIH Plate "&amp;(INT(((COUNTIFS($B$2:$B76,"s",$C$2:$C76,"SER")+COUNTIFS($B$2:$B76,"s",$C$2:$C76,"PLH")+COUNTIFS($B$2:$B76,"s",$C$2:$C76,"CSF"))-1)/96)+1)&amp;": "&amp;CHAR(65+INT(MOD((COUNTIFS($B$2:$B76,"s",$C$2:$C76,"SER")+COUNTIFS($B$2:$B76,"s",$C$2:$C76,"PLH")+COUNTIFS($B$2:$B76,"s",$C$2:$C76,"CSF"))-1,96)/12))&amp;(MOD((COUNTIFS($B$2:$B76,"s",$C$2:$C76,"SER")+COUNTIFS($B$2:$B76,"s",$C$2:$C76,"PLH")+COUNTIFS($B$2:$B76,"s",$C$2:$C76,"CSF"))-1,12)+1),"N/A"),"")</f>
        <v/>
      </c>
      <c r="J76" s="6" t="str">
        <f>IF(AND($A76&lt;&gt;"",$B76&lt;&gt;"",$C76&lt;&gt;"",$D76&lt;&gt;"",$E76&lt;&gt;""),IF(AND($B76="s",OR($C76="SER",$C76="PLH")),"Case MAX Planck Plate "&amp;(INT(((COUNTIFS($B$2:$B76,"s",$C$2:$C76,"SER")+COUNTIFS($B$2:$B76,"s",$C$2:$C76,"PLH"))-1)/96)+1)&amp;": "&amp;CHAR(65+INT(MOD((COUNTIFS($B$2:$B76,"s",$C$2:$C76,"SER")+COUNTIFS($B$2:$B76,"s",$C$2:$C76,"PLH"))-1,96)/12))&amp;(MOD((COUNTIFS($B$2:$B76,"s",$C$2:$C76,"SER")+COUNTIFS($B$2:$B76,"s",$C$2:$C76,"PLH"))-1,12)+1),"N/A"),"")</f>
        <v/>
      </c>
      <c r="K76" s="6" t="str">
        <f>IF(AND($A76&lt;&gt;"",$B76&lt;&gt;"",$C76&lt;&gt;"",$D76&lt;&gt;"",$E76&lt;&gt;""),IF($C76="WB","Case WB Box "&amp;(INT((COUNTIFS($C$2:$C76,"WB")-1)/81)+1)&amp;": "&amp;CHAR(65+INT(MOD(COUNTIFS($C$2:$C76,"WB")-1,81)/9))&amp;(MOD(COUNTIFS($C$2:$C76,"WB")-1,9)+1),"N/A"),"")</f>
        <v/>
      </c>
      <c r="L76" s="2" t="str">
        <f t="shared" si="19"/>
        <v/>
      </c>
      <c r="M76" s="2"/>
      <c r="N76" s="2"/>
      <c r="O76" s="2"/>
      <c r="P76" s="7" t="str">
        <f t="shared" si="20"/>
        <v/>
      </c>
      <c r="Q76" s="7" t="str">
        <f t="shared" si="21"/>
        <v/>
      </c>
      <c r="R76" s="7" t="str">
        <f t="shared" si="22"/>
        <v/>
      </c>
      <c r="S76" s="7" t="str">
        <f t="shared" si="23"/>
        <v/>
      </c>
      <c r="T76" s="7" t="str">
        <f t="shared" si="24"/>
        <v/>
      </c>
      <c r="U76" s="7" t="str">
        <f t="shared" si="25"/>
        <v/>
      </c>
      <c r="V76" s="7" t="str">
        <f t="shared" si="26"/>
        <v/>
      </c>
      <c r="W76" s="7" t="str">
        <f t="shared" si="27"/>
        <v/>
      </c>
      <c r="X76" s="7" t="str">
        <f t="shared" si="28"/>
        <v/>
      </c>
      <c r="Y76" s="7" t="str">
        <f t="shared" si="29"/>
        <v/>
      </c>
      <c r="Z76">
        <f t="shared" si="30"/>
        <v>0</v>
      </c>
      <c r="AA76" t="str">
        <f t="shared" si="31"/>
        <v/>
      </c>
      <c r="AB76" t="str">
        <f t="shared" si="32"/>
        <v/>
      </c>
      <c r="AC76" t="str">
        <f t="shared" si="33"/>
        <v/>
      </c>
      <c r="AD76" t="str">
        <f t="shared" si="34"/>
        <v/>
      </c>
      <c r="AE76">
        <f t="shared" si="35"/>
        <v>0</v>
      </c>
    </row>
    <row r="77" spans="1:31" ht="15" customHeight="1" x14ac:dyDescent="0.35">
      <c r="A77" s="2"/>
      <c r="B77" s="3"/>
      <c r="C77" s="3"/>
      <c r="D77" s="4"/>
      <c r="E77" s="5"/>
      <c r="F77" s="11" t="str">
        <f t="shared" ca="1" si="18"/>
        <v/>
      </c>
      <c r="G77" s="5"/>
      <c r="H77" s="6" t="str">
        <f>IF(AND($A77&lt;&gt;"",$B77&lt;&gt;"",$C77&lt;&gt;"",$D77&lt;&gt;"",$E77&lt;&gt;""),IF(AND($B77="s",OR($C77="SER",$C77="PLH",$C77="CSF")),"Case CDI Plate "&amp;(INT(((COUNTIFS($B$2:$B77,"s",$C$2:$C77,"SER")+COUNTIFS($B$2:$B77,"s",$C$2:$C77,"PLH")+COUNTIFS($B$2:$B77,"s",$C$2:$C77,"CSF"))-1)/96)+1)&amp;": "&amp;CHAR(65+INT(MOD((COUNTIFS($B$2:$B77,"s",$C$2:$C77,"SER")+COUNTIFS($B$2:$B77,"s",$C$2:$C77,"PLH")+COUNTIFS($B$2:$B77,"s",$C$2:$C77,"CSF"))-1,96)/12))&amp;(MOD((COUNTIFS($B$2:$B77,"s",$C$2:$C77,"SER")+COUNTIFS($B$2:$B77,"s",$C$2:$C77,"PLH")+COUNTIFS($B$2:$B77,"s",$C$2:$C77,"CSF"))-1,12)+1),"N/A"),"")</f>
        <v/>
      </c>
      <c r="I77" s="6" t="str">
        <f>IF(AND($A77&lt;&gt;"",$B77&lt;&gt;"",$C77&lt;&gt;"",$D77&lt;&gt;"",$E77&lt;&gt;""),IF(AND($B77="s",OR($C77="SER",$C77="PLH",$C77="CSF")),"Case NIH Plate "&amp;(INT(((COUNTIFS($B$2:$B77,"s",$C$2:$C77,"SER")+COUNTIFS($B$2:$B77,"s",$C$2:$C77,"PLH")+COUNTIFS($B$2:$B77,"s",$C$2:$C77,"CSF"))-1)/96)+1)&amp;": "&amp;CHAR(65+INT(MOD((COUNTIFS($B$2:$B77,"s",$C$2:$C77,"SER")+COUNTIFS($B$2:$B77,"s",$C$2:$C77,"PLH")+COUNTIFS($B$2:$B77,"s",$C$2:$C77,"CSF"))-1,96)/12))&amp;(MOD((COUNTIFS($B$2:$B77,"s",$C$2:$C77,"SER")+COUNTIFS($B$2:$B77,"s",$C$2:$C77,"PLH")+COUNTIFS($B$2:$B77,"s",$C$2:$C77,"CSF"))-1,12)+1),"N/A"),"")</f>
        <v/>
      </c>
      <c r="J77" s="6" t="str">
        <f>IF(AND($A77&lt;&gt;"",$B77&lt;&gt;"",$C77&lt;&gt;"",$D77&lt;&gt;"",$E77&lt;&gt;""),IF(AND($B77="s",OR($C77="SER",$C77="PLH")),"Case MAX Planck Plate "&amp;(INT(((COUNTIFS($B$2:$B77,"s",$C$2:$C77,"SER")+COUNTIFS($B$2:$B77,"s",$C$2:$C77,"PLH"))-1)/96)+1)&amp;": "&amp;CHAR(65+INT(MOD((COUNTIFS($B$2:$B77,"s",$C$2:$C77,"SER")+COUNTIFS($B$2:$B77,"s",$C$2:$C77,"PLH"))-1,96)/12))&amp;(MOD((COUNTIFS($B$2:$B77,"s",$C$2:$C77,"SER")+COUNTIFS($B$2:$B77,"s",$C$2:$C77,"PLH"))-1,12)+1),"N/A"),"")</f>
        <v/>
      </c>
      <c r="K77" s="6" t="str">
        <f>IF(AND($A77&lt;&gt;"",$B77&lt;&gt;"",$C77&lt;&gt;"",$D77&lt;&gt;"",$E77&lt;&gt;""),IF($C77="WB","Case WB Box "&amp;(INT((COUNTIFS($C$2:$C77,"WB")-1)/81)+1)&amp;": "&amp;CHAR(65+INT(MOD(COUNTIFS($C$2:$C77,"WB")-1,81)/9))&amp;(MOD(COUNTIFS($C$2:$C77,"WB")-1,9)+1),"N/A"),"")</f>
        <v/>
      </c>
      <c r="L77" s="2" t="str">
        <f t="shared" si="19"/>
        <v/>
      </c>
      <c r="M77" s="2"/>
      <c r="N77" s="2"/>
      <c r="O77" s="2"/>
      <c r="P77" s="7" t="str">
        <f t="shared" si="20"/>
        <v/>
      </c>
      <c r="Q77" s="7" t="str">
        <f t="shared" si="21"/>
        <v/>
      </c>
      <c r="R77" s="7" t="str">
        <f t="shared" si="22"/>
        <v/>
      </c>
      <c r="S77" s="7" t="str">
        <f t="shared" si="23"/>
        <v/>
      </c>
      <c r="T77" s="7" t="str">
        <f t="shared" si="24"/>
        <v/>
      </c>
      <c r="U77" s="7" t="str">
        <f t="shared" si="25"/>
        <v/>
      </c>
      <c r="V77" s="7" t="str">
        <f t="shared" si="26"/>
        <v/>
      </c>
      <c r="W77" s="7" t="str">
        <f t="shared" si="27"/>
        <v/>
      </c>
      <c r="X77" s="7" t="str">
        <f t="shared" si="28"/>
        <v/>
      </c>
      <c r="Y77" s="7" t="str">
        <f t="shared" si="29"/>
        <v/>
      </c>
      <c r="Z77">
        <f t="shared" si="30"/>
        <v>0</v>
      </c>
      <c r="AA77" t="str">
        <f t="shared" si="31"/>
        <v/>
      </c>
      <c r="AB77" t="str">
        <f t="shared" si="32"/>
        <v/>
      </c>
      <c r="AC77" t="str">
        <f t="shared" si="33"/>
        <v/>
      </c>
      <c r="AD77" t="str">
        <f t="shared" si="34"/>
        <v/>
      </c>
      <c r="AE77">
        <f t="shared" si="35"/>
        <v>0</v>
      </c>
    </row>
    <row r="78" spans="1:31" ht="15" customHeight="1" x14ac:dyDescent="0.35">
      <c r="A78" s="2"/>
      <c r="B78" s="3"/>
      <c r="C78" s="3"/>
      <c r="D78" s="4"/>
      <c r="E78" s="5"/>
      <c r="F78" s="11" t="str">
        <f t="shared" ca="1" si="18"/>
        <v/>
      </c>
      <c r="G78" s="5"/>
      <c r="H78" s="6" t="str">
        <f>IF(AND($A78&lt;&gt;"",$B78&lt;&gt;"",$C78&lt;&gt;"",$D78&lt;&gt;"",$E78&lt;&gt;""),IF(AND($B78="s",OR($C78="SER",$C78="PLH",$C78="CSF")),"Case CDI Plate "&amp;(INT(((COUNTIFS($B$2:$B78,"s",$C$2:$C78,"SER")+COUNTIFS($B$2:$B78,"s",$C$2:$C78,"PLH")+COUNTIFS($B$2:$B78,"s",$C$2:$C78,"CSF"))-1)/96)+1)&amp;": "&amp;CHAR(65+INT(MOD((COUNTIFS($B$2:$B78,"s",$C$2:$C78,"SER")+COUNTIFS($B$2:$B78,"s",$C$2:$C78,"PLH")+COUNTIFS($B$2:$B78,"s",$C$2:$C78,"CSF"))-1,96)/12))&amp;(MOD((COUNTIFS($B$2:$B78,"s",$C$2:$C78,"SER")+COUNTIFS($B$2:$B78,"s",$C$2:$C78,"PLH")+COUNTIFS($B$2:$B78,"s",$C$2:$C78,"CSF"))-1,12)+1),"N/A"),"")</f>
        <v/>
      </c>
      <c r="I78" s="6" t="str">
        <f>IF(AND($A78&lt;&gt;"",$B78&lt;&gt;"",$C78&lt;&gt;"",$D78&lt;&gt;"",$E78&lt;&gt;""),IF(AND($B78="s",OR($C78="SER",$C78="PLH",$C78="CSF")),"Case NIH Plate "&amp;(INT(((COUNTIFS($B$2:$B78,"s",$C$2:$C78,"SER")+COUNTIFS($B$2:$B78,"s",$C$2:$C78,"PLH")+COUNTIFS($B$2:$B78,"s",$C$2:$C78,"CSF"))-1)/96)+1)&amp;": "&amp;CHAR(65+INT(MOD((COUNTIFS($B$2:$B78,"s",$C$2:$C78,"SER")+COUNTIFS($B$2:$B78,"s",$C$2:$C78,"PLH")+COUNTIFS($B$2:$B78,"s",$C$2:$C78,"CSF"))-1,96)/12))&amp;(MOD((COUNTIFS($B$2:$B78,"s",$C$2:$C78,"SER")+COUNTIFS($B$2:$B78,"s",$C$2:$C78,"PLH")+COUNTIFS($B$2:$B78,"s",$C$2:$C78,"CSF"))-1,12)+1),"N/A"),"")</f>
        <v/>
      </c>
      <c r="J78" s="6" t="str">
        <f>IF(AND($A78&lt;&gt;"",$B78&lt;&gt;"",$C78&lt;&gt;"",$D78&lt;&gt;"",$E78&lt;&gt;""),IF(AND($B78="s",OR($C78="SER",$C78="PLH")),"Case MAX Planck Plate "&amp;(INT(((COUNTIFS($B$2:$B78,"s",$C$2:$C78,"SER")+COUNTIFS($B$2:$B78,"s",$C$2:$C78,"PLH"))-1)/96)+1)&amp;": "&amp;CHAR(65+INT(MOD((COUNTIFS($B$2:$B78,"s",$C$2:$C78,"SER")+COUNTIFS($B$2:$B78,"s",$C$2:$C78,"PLH"))-1,96)/12))&amp;(MOD((COUNTIFS($B$2:$B78,"s",$C$2:$C78,"SER")+COUNTIFS($B$2:$B78,"s",$C$2:$C78,"PLH"))-1,12)+1),"N/A"),"")</f>
        <v/>
      </c>
      <c r="K78" s="6" t="str">
        <f>IF(AND($A78&lt;&gt;"",$B78&lt;&gt;"",$C78&lt;&gt;"",$D78&lt;&gt;"",$E78&lt;&gt;""),IF($C78="WB","Case WB Box "&amp;(INT((COUNTIFS($C$2:$C78,"WB")-1)/81)+1)&amp;": "&amp;CHAR(65+INT(MOD(COUNTIFS($C$2:$C78,"WB")-1,81)/9))&amp;(MOD(COUNTIFS($C$2:$C78,"WB")-1,9)+1),"N/A"),"")</f>
        <v/>
      </c>
      <c r="L78" s="2" t="str">
        <f t="shared" si="19"/>
        <v/>
      </c>
      <c r="M78" s="2"/>
      <c r="N78" s="2"/>
      <c r="O78" s="2"/>
      <c r="P78" s="7" t="str">
        <f t="shared" si="20"/>
        <v/>
      </c>
      <c r="Q78" s="7" t="str">
        <f t="shared" si="21"/>
        <v/>
      </c>
      <c r="R78" s="7" t="str">
        <f t="shared" si="22"/>
        <v/>
      </c>
      <c r="S78" s="7" t="str">
        <f t="shared" si="23"/>
        <v/>
      </c>
      <c r="T78" s="7" t="str">
        <f t="shared" si="24"/>
        <v/>
      </c>
      <c r="U78" s="7" t="str">
        <f t="shared" si="25"/>
        <v/>
      </c>
      <c r="V78" s="7" t="str">
        <f t="shared" si="26"/>
        <v/>
      </c>
      <c r="W78" s="7" t="str">
        <f t="shared" si="27"/>
        <v/>
      </c>
      <c r="X78" s="7" t="str">
        <f t="shared" si="28"/>
        <v/>
      </c>
      <c r="Y78" s="7" t="str">
        <f t="shared" si="29"/>
        <v/>
      </c>
      <c r="Z78">
        <f t="shared" si="30"/>
        <v>0</v>
      </c>
      <c r="AA78" t="str">
        <f t="shared" si="31"/>
        <v/>
      </c>
      <c r="AB78" t="str">
        <f t="shared" si="32"/>
        <v/>
      </c>
      <c r="AC78" t="str">
        <f t="shared" si="33"/>
        <v/>
      </c>
      <c r="AD78" t="str">
        <f t="shared" si="34"/>
        <v/>
      </c>
      <c r="AE78">
        <f t="shared" si="35"/>
        <v>0</v>
      </c>
    </row>
    <row r="79" spans="1:31" ht="15" customHeight="1" x14ac:dyDescent="0.35">
      <c r="A79" s="2"/>
      <c r="B79" s="3"/>
      <c r="C79" s="3"/>
      <c r="D79" s="4"/>
      <c r="E79" s="5"/>
      <c r="F79" s="11" t="str">
        <f t="shared" ca="1" si="18"/>
        <v/>
      </c>
      <c r="G79" s="5"/>
      <c r="H79" s="6" t="str">
        <f>IF(AND($A79&lt;&gt;"",$B79&lt;&gt;"",$C79&lt;&gt;"",$D79&lt;&gt;"",$E79&lt;&gt;""),IF(AND($B79="s",OR($C79="SER",$C79="PLH",$C79="CSF")),"Case CDI Plate "&amp;(INT(((COUNTIFS($B$2:$B79,"s",$C$2:$C79,"SER")+COUNTIFS($B$2:$B79,"s",$C$2:$C79,"PLH")+COUNTIFS($B$2:$B79,"s",$C$2:$C79,"CSF"))-1)/96)+1)&amp;": "&amp;CHAR(65+INT(MOD((COUNTIFS($B$2:$B79,"s",$C$2:$C79,"SER")+COUNTIFS($B$2:$B79,"s",$C$2:$C79,"PLH")+COUNTIFS($B$2:$B79,"s",$C$2:$C79,"CSF"))-1,96)/12))&amp;(MOD((COUNTIFS($B$2:$B79,"s",$C$2:$C79,"SER")+COUNTIFS($B$2:$B79,"s",$C$2:$C79,"PLH")+COUNTIFS($B$2:$B79,"s",$C$2:$C79,"CSF"))-1,12)+1),"N/A"),"")</f>
        <v/>
      </c>
      <c r="I79" s="6" t="str">
        <f>IF(AND($A79&lt;&gt;"",$B79&lt;&gt;"",$C79&lt;&gt;"",$D79&lt;&gt;"",$E79&lt;&gt;""),IF(AND($B79="s",OR($C79="SER",$C79="PLH",$C79="CSF")),"Case NIH Plate "&amp;(INT(((COUNTIFS($B$2:$B79,"s",$C$2:$C79,"SER")+COUNTIFS($B$2:$B79,"s",$C$2:$C79,"PLH")+COUNTIFS($B$2:$B79,"s",$C$2:$C79,"CSF"))-1)/96)+1)&amp;": "&amp;CHAR(65+INT(MOD((COUNTIFS($B$2:$B79,"s",$C$2:$C79,"SER")+COUNTIFS($B$2:$B79,"s",$C$2:$C79,"PLH")+COUNTIFS($B$2:$B79,"s",$C$2:$C79,"CSF"))-1,96)/12))&amp;(MOD((COUNTIFS($B$2:$B79,"s",$C$2:$C79,"SER")+COUNTIFS($B$2:$B79,"s",$C$2:$C79,"PLH")+COUNTIFS($B$2:$B79,"s",$C$2:$C79,"CSF"))-1,12)+1),"N/A"),"")</f>
        <v/>
      </c>
      <c r="J79" s="6" t="str">
        <f>IF(AND($A79&lt;&gt;"",$B79&lt;&gt;"",$C79&lt;&gt;"",$D79&lt;&gt;"",$E79&lt;&gt;""),IF(AND($B79="s",OR($C79="SER",$C79="PLH")),"Case MAX Planck Plate "&amp;(INT(((COUNTIFS($B$2:$B79,"s",$C$2:$C79,"SER")+COUNTIFS($B$2:$B79,"s",$C$2:$C79,"PLH"))-1)/96)+1)&amp;": "&amp;CHAR(65+INT(MOD((COUNTIFS($B$2:$B79,"s",$C$2:$C79,"SER")+COUNTIFS($B$2:$B79,"s",$C$2:$C79,"PLH"))-1,96)/12))&amp;(MOD((COUNTIFS($B$2:$B79,"s",$C$2:$C79,"SER")+COUNTIFS($B$2:$B79,"s",$C$2:$C79,"PLH"))-1,12)+1),"N/A"),"")</f>
        <v/>
      </c>
      <c r="K79" s="6" t="str">
        <f>IF(AND($A79&lt;&gt;"",$B79&lt;&gt;"",$C79&lt;&gt;"",$D79&lt;&gt;"",$E79&lt;&gt;""),IF($C79="WB","Case WB Box "&amp;(INT((COUNTIFS($C$2:$C79,"WB")-1)/81)+1)&amp;": "&amp;CHAR(65+INT(MOD(COUNTIFS($C$2:$C79,"WB")-1,81)/9))&amp;(MOD(COUNTIFS($C$2:$C79,"WB")-1,9)+1),"N/A"),"")</f>
        <v/>
      </c>
      <c r="L79" s="2" t="str">
        <f t="shared" si="19"/>
        <v/>
      </c>
      <c r="M79" s="2"/>
      <c r="N79" s="2"/>
      <c r="O79" s="2"/>
      <c r="P79" s="7" t="str">
        <f t="shared" si="20"/>
        <v/>
      </c>
      <c r="Q79" s="7" t="str">
        <f t="shared" si="21"/>
        <v/>
      </c>
      <c r="R79" s="7" t="str">
        <f t="shared" si="22"/>
        <v/>
      </c>
      <c r="S79" s="7" t="str">
        <f t="shared" si="23"/>
        <v/>
      </c>
      <c r="T79" s="7" t="str">
        <f t="shared" si="24"/>
        <v/>
      </c>
      <c r="U79" s="7" t="str">
        <f t="shared" si="25"/>
        <v/>
      </c>
      <c r="V79" s="7" t="str">
        <f t="shared" si="26"/>
        <v/>
      </c>
      <c r="W79" s="7" t="str">
        <f t="shared" si="27"/>
        <v/>
      </c>
      <c r="X79" s="7" t="str">
        <f t="shared" si="28"/>
        <v/>
      </c>
      <c r="Y79" s="7" t="str">
        <f t="shared" si="29"/>
        <v/>
      </c>
      <c r="Z79">
        <f t="shared" si="30"/>
        <v>0</v>
      </c>
      <c r="AA79" t="str">
        <f t="shared" si="31"/>
        <v/>
      </c>
      <c r="AB79" t="str">
        <f t="shared" si="32"/>
        <v/>
      </c>
      <c r="AC79" t="str">
        <f t="shared" si="33"/>
        <v/>
      </c>
      <c r="AD79" t="str">
        <f t="shared" si="34"/>
        <v/>
      </c>
      <c r="AE79">
        <f t="shared" si="35"/>
        <v>0</v>
      </c>
    </row>
    <row r="80" spans="1:31" ht="15" customHeight="1" x14ac:dyDescent="0.35">
      <c r="A80" s="2"/>
      <c r="B80" s="3"/>
      <c r="C80" s="3"/>
      <c r="D80" s="4"/>
      <c r="E80" s="5"/>
      <c r="F80" s="11" t="str">
        <f t="shared" ca="1" si="18"/>
        <v/>
      </c>
      <c r="G80" s="5"/>
      <c r="H80" s="6" t="str">
        <f>IF(AND($A80&lt;&gt;"",$B80&lt;&gt;"",$C80&lt;&gt;"",$D80&lt;&gt;"",$E80&lt;&gt;""),IF(AND($B80="s",OR($C80="SER",$C80="PLH",$C80="CSF")),"Case CDI Plate "&amp;(INT(((COUNTIFS($B$2:$B80,"s",$C$2:$C80,"SER")+COUNTIFS($B$2:$B80,"s",$C$2:$C80,"PLH")+COUNTIFS($B$2:$B80,"s",$C$2:$C80,"CSF"))-1)/96)+1)&amp;": "&amp;CHAR(65+INT(MOD((COUNTIFS($B$2:$B80,"s",$C$2:$C80,"SER")+COUNTIFS($B$2:$B80,"s",$C$2:$C80,"PLH")+COUNTIFS($B$2:$B80,"s",$C$2:$C80,"CSF"))-1,96)/12))&amp;(MOD((COUNTIFS($B$2:$B80,"s",$C$2:$C80,"SER")+COUNTIFS($B$2:$B80,"s",$C$2:$C80,"PLH")+COUNTIFS($B$2:$B80,"s",$C$2:$C80,"CSF"))-1,12)+1),"N/A"),"")</f>
        <v/>
      </c>
      <c r="I80" s="6" t="str">
        <f>IF(AND($A80&lt;&gt;"",$B80&lt;&gt;"",$C80&lt;&gt;"",$D80&lt;&gt;"",$E80&lt;&gt;""),IF(AND($B80="s",OR($C80="SER",$C80="PLH",$C80="CSF")),"Case NIH Plate "&amp;(INT(((COUNTIFS($B$2:$B80,"s",$C$2:$C80,"SER")+COUNTIFS($B$2:$B80,"s",$C$2:$C80,"PLH")+COUNTIFS($B$2:$B80,"s",$C$2:$C80,"CSF"))-1)/96)+1)&amp;": "&amp;CHAR(65+INT(MOD((COUNTIFS($B$2:$B80,"s",$C$2:$C80,"SER")+COUNTIFS($B$2:$B80,"s",$C$2:$C80,"PLH")+COUNTIFS($B$2:$B80,"s",$C$2:$C80,"CSF"))-1,96)/12))&amp;(MOD((COUNTIFS($B$2:$B80,"s",$C$2:$C80,"SER")+COUNTIFS($B$2:$B80,"s",$C$2:$C80,"PLH")+COUNTIFS($B$2:$B80,"s",$C$2:$C80,"CSF"))-1,12)+1),"N/A"),"")</f>
        <v/>
      </c>
      <c r="J80" s="6" t="str">
        <f>IF(AND($A80&lt;&gt;"",$B80&lt;&gt;"",$C80&lt;&gt;"",$D80&lt;&gt;"",$E80&lt;&gt;""),IF(AND($B80="s",OR($C80="SER",$C80="PLH")),"Case MAX Planck Plate "&amp;(INT(((COUNTIFS($B$2:$B80,"s",$C$2:$C80,"SER")+COUNTIFS($B$2:$B80,"s",$C$2:$C80,"PLH"))-1)/96)+1)&amp;": "&amp;CHAR(65+INT(MOD((COUNTIFS($B$2:$B80,"s",$C$2:$C80,"SER")+COUNTIFS($B$2:$B80,"s",$C$2:$C80,"PLH"))-1,96)/12))&amp;(MOD((COUNTIFS($B$2:$B80,"s",$C$2:$C80,"SER")+COUNTIFS($B$2:$B80,"s",$C$2:$C80,"PLH"))-1,12)+1),"N/A"),"")</f>
        <v/>
      </c>
      <c r="K80" s="6" t="str">
        <f>IF(AND($A80&lt;&gt;"",$B80&lt;&gt;"",$C80&lt;&gt;"",$D80&lt;&gt;"",$E80&lt;&gt;""),IF($C80="WB","Case WB Box "&amp;(INT((COUNTIFS($C$2:$C80,"WB")-1)/81)+1)&amp;": "&amp;CHAR(65+INT(MOD(COUNTIFS($C$2:$C80,"WB")-1,81)/9))&amp;(MOD(COUNTIFS($C$2:$C80,"WB")-1,9)+1),"N/A"),"")</f>
        <v/>
      </c>
      <c r="L80" s="2" t="str">
        <f t="shared" si="19"/>
        <v/>
      </c>
      <c r="M80" s="2"/>
      <c r="N80" s="2"/>
      <c r="O80" s="2"/>
      <c r="P80" s="7" t="str">
        <f t="shared" si="20"/>
        <v/>
      </c>
      <c r="Q80" s="7" t="str">
        <f t="shared" si="21"/>
        <v/>
      </c>
      <c r="R80" s="7" t="str">
        <f t="shared" si="22"/>
        <v/>
      </c>
      <c r="S80" s="7" t="str">
        <f t="shared" si="23"/>
        <v/>
      </c>
      <c r="T80" s="7" t="str">
        <f t="shared" si="24"/>
        <v/>
      </c>
      <c r="U80" s="7" t="str">
        <f t="shared" si="25"/>
        <v/>
      </c>
      <c r="V80" s="7" t="str">
        <f t="shared" si="26"/>
        <v/>
      </c>
      <c r="W80" s="7" t="str">
        <f t="shared" si="27"/>
        <v/>
      </c>
      <c r="X80" s="7" t="str">
        <f t="shared" si="28"/>
        <v/>
      </c>
      <c r="Y80" s="7" t="str">
        <f t="shared" si="29"/>
        <v/>
      </c>
      <c r="Z80">
        <f t="shared" si="30"/>
        <v>0</v>
      </c>
      <c r="AA80" t="str">
        <f t="shared" si="31"/>
        <v/>
      </c>
      <c r="AB80" t="str">
        <f t="shared" si="32"/>
        <v/>
      </c>
      <c r="AC80" t="str">
        <f t="shared" si="33"/>
        <v/>
      </c>
      <c r="AD80" t="str">
        <f t="shared" si="34"/>
        <v/>
      </c>
      <c r="AE80">
        <f t="shared" si="35"/>
        <v>0</v>
      </c>
    </row>
    <row r="81" spans="1:31" ht="15" customHeight="1" x14ac:dyDescent="0.35">
      <c r="A81" s="2"/>
      <c r="B81" s="3"/>
      <c r="C81" s="3"/>
      <c r="D81" s="4"/>
      <c r="E81" s="5"/>
      <c r="F81" s="11" t="str">
        <f t="shared" ca="1" si="18"/>
        <v/>
      </c>
      <c r="G81" s="5"/>
      <c r="H81" s="6" t="str">
        <f>IF(AND($A81&lt;&gt;"",$B81&lt;&gt;"",$C81&lt;&gt;"",$D81&lt;&gt;"",$E81&lt;&gt;""),IF(AND($B81="s",OR($C81="SER",$C81="PLH",$C81="CSF")),"Case CDI Plate "&amp;(INT(((COUNTIFS($B$2:$B81,"s",$C$2:$C81,"SER")+COUNTIFS($B$2:$B81,"s",$C$2:$C81,"PLH")+COUNTIFS($B$2:$B81,"s",$C$2:$C81,"CSF"))-1)/96)+1)&amp;": "&amp;CHAR(65+INT(MOD((COUNTIFS($B$2:$B81,"s",$C$2:$C81,"SER")+COUNTIFS($B$2:$B81,"s",$C$2:$C81,"PLH")+COUNTIFS($B$2:$B81,"s",$C$2:$C81,"CSF"))-1,96)/12))&amp;(MOD((COUNTIFS($B$2:$B81,"s",$C$2:$C81,"SER")+COUNTIFS($B$2:$B81,"s",$C$2:$C81,"PLH")+COUNTIFS($B$2:$B81,"s",$C$2:$C81,"CSF"))-1,12)+1),"N/A"),"")</f>
        <v/>
      </c>
      <c r="I81" s="6" t="str">
        <f>IF(AND($A81&lt;&gt;"",$B81&lt;&gt;"",$C81&lt;&gt;"",$D81&lt;&gt;"",$E81&lt;&gt;""),IF(AND($B81="s",OR($C81="SER",$C81="PLH",$C81="CSF")),"Case NIH Plate "&amp;(INT(((COUNTIFS($B$2:$B81,"s",$C$2:$C81,"SER")+COUNTIFS($B$2:$B81,"s",$C$2:$C81,"PLH")+COUNTIFS($B$2:$B81,"s",$C$2:$C81,"CSF"))-1)/96)+1)&amp;": "&amp;CHAR(65+INT(MOD((COUNTIFS($B$2:$B81,"s",$C$2:$C81,"SER")+COUNTIFS($B$2:$B81,"s",$C$2:$C81,"PLH")+COUNTIFS($B$2:$B81,"s",$C$2:$C81,"CSF"))-1,96)/12))&amp;(MOD((COUNTIFS($B$2:$B81,"s",$C$2:$C81,"SER")+COUNTIFS($B$2:$B81,"s",$C$2:$C81,"PLH")+COUNTIFS($B$2:$B81,"s",$C$2:$C81,"CSF"))-1,12)+1),"N/A"),"")</f>
        <v/>
      </c>
      <c r="J81" s="6" t="str">
        <f>IF(AND($A81&lt;&gt;"",$B81&lt;&gt;"",$C81&lt;&gt;"",$D81&lt;&gt;"",$E81&lt;&gt;""),IF(AND($B81="s",OR($C81="SER",$C81="PLH")),"Case MAX Planck Plate "&amp;(INT(((COUNTIFS($B$2:$B81,"s",$C$2:$C81,"SER")+COUNTIFS($B$2:$B81,"s",$C$2:$C81,"PLH"))-1)/96)+1)&amp;": "&amp;CHAR(65+INT(MOD((COUNTIFS($B$2:$B81,"s",$C$2:$C81,"SER")+COUNTIFS($B$2:$B81,"s",$C$2:$C81,"PLH"))-1,96)/12))&amp;(MOD((COUNTIFS($B$2:$B81,"s",$C$2:$C81,"SER")+COUNTIFS($B$2:$B81,"s",$C$2:$C81,"PLH"))-1,12)+1),"N/A"),"")</f>
        <v/>
      </c>
      <c r="K81" s="6" t="str">
        <f>IF(AND($A81&lt;&gt;"",$B81&lt;&gt;"",$C81&lt;&gt;"",$D81&lt;&gt;"",$E81&lt;&gt;""),IF($C81="WB","Case WB Box "&amp;(INT((COUNTIFS($C$2:$C81,"WB")-1)/81)+1)&amp;": "&amp;CHAR(65+INT(MOD(COUNTIFS($C$2:$C81,"WB")-1,81)/9))&amp;(MOD(COUNTIFS($C$2:$C81,"WB")-1,9)+1),"N/A"),"")</f>
        <v/>
      </c>
      <c r="L81" s="2" t="str">
        <f t="shared" si="19"/>
        <v/>
      </c>
      <c r="M81" s="2"/>
      <c r="N81" s="2"/>
      <c r="O81" s="2"/>
      <c r="P81" s="7" t="str">
        <f t="shared" si="20"/>
        <v/>
      </c>
      <c r="Q81" s="7" t="str">
        <f t="shared" si="21"/>
        <v/>
      </c>
      <c r="R81" s="7" t="str">
        <f t="shared" si="22"/>
        <v/>
      </c>
      <c r="S81" s="7" t="str">
        <f t="shared" si="23"/>
        <v/>
      </c>
      <c r="T81" s="7" t="str">
        <f t="shared" si="24"/>
        <v/>
      </c>
      <c r="U81" s="7" t="str">
        <f t="shared" si="25"/>
        <v/>
      </c>
      <c r="V81" s="7" t="str">
        <f t="shared" si="26"/>
        <v/>
      </c>
      <c r="W81" s="7" t="str">
        <f t="shared" si="27"/>
        <v/>
      </c>
      <c r="X81" s="7" t="str">
        <f t="shared" si="28"/>
        <v/>
      </c>
      <c r="Y81" s="7" t="str">
        <f t="shared" si="29"/>
        <v/>
      </c>
      <c r="Z81">
        <f t="shared" si="30"/>
        <v>0</v>
      </c>
      <c r="AA81" t="str">
        <f t="shared" si="31"/>
        <v/>
      </c>
      <c r="AB81" t="str">
        <f t="shared" si="32"/>
        <v/>
      </c>
      <c r="AC81" t="str">
        <f t="shared" si="33"/>
        <v/>
      </c>
      <c r="AD81" t="str">
        <f t="shared" si="34"/>
        <v/>
      </c>
      <c r="AE81">
        <f t="shared" si="35"/>
        <v>0</v>
      </c>
    </row>
    <row r="82" spans="1:31" ht="15" customHeight="1" x14ac:dyDescent="0.35">
      <c r="A82" s="2"/>
      <c r="B82" s="3"/>
      <c r="C82" s="3"/>
      <c r="D82" s="4"/>
      <c r="E82" s="5"/>
      <c r="F82" s="11" t="str">
        <f t="shared" ca="1" si="18"/>
        <v/>
      </c>
      <c r="G82" s="5"/>
      <c r="H82" s="6" t="str">
        <f>IF(AND($A82&lt;&gt;"",$B82&lt;&gt;"",$C82&lt;&gt;"",$D82&lt;&gt;"",$E82&lt;&gt;""),IF(AND($B82="s",OR($C82="SER",$C82="PLH",$C82="CSF")),"Case CDI Plate "&amp;(INT(((COUNTIFS($B$2:$B82,"s",$C$2:$C82,"SER")+COUNTIFS($B$2:$B82,"s",$C$2:$C82,"PLH")+COUNTIFS($B$2:$B82,"s",$C$2:$C82,"CSF"))-1)/96)+1)&amp;": "&amp;CHAR(65+INT(MOD((COUNTIFS($B$2:$B82,"s",$C$2:$C82,"SER")+COUNTIFS($B$2:$B82,"s",$C$2:$C82,"PLH")+COUNTIFS($B$2:$B82,"s",$C$2:$C82,"CSF"))-1,96)/12))&amp;(MOD((COUNTIFS($B$2:$B82,"s",$C$2:$C82,"SER")+COUNTIFS($B$2:$B82,"s",$C$2:$C82,"PLH")+COUNTIFS($B$2:$B82,"s",$C$2:$C82,"CSF"))-1,12)+1),"N/A"),"")</f>
        <v/>
      </c>
      <c r="I82" s="6" t="str">
        <f>IF(AND($A82&lt;&gt;"",$B82&lt;&gt;"",$C82&lt;&gt;"",$D82&lt;&gt;"",$E82&lt;&gt;""),IF(AND($B82="s",OR($C82="SER",$C82="PLH",$C82="CSF")),"Case NIH Plate "&amp;(INT(((COUNTIFS($B$2:$B82,"s",$C$2:$C82,"SER")+COUNTIFS($B$2:$B82,"s",$C$2:$C82,"PLH")+COUNTIFS($B$2:$B82,"s",$C$2:$C82,"CSF"))-1)/96)+1)&amp;": "&amp;CHAR(65+INT(MOD((COUNTIFS($B$2:$B82,"s",$C$2:$C82,"SER")+COUNTIFS($B$2:$B82,"s",$C$2:$C82,"PLH")+COUNTIFS($B$2:$B82,"s",$C$2:$C82,"CSF"))-1,96)/12))&amp;(MOD((COUNTIFS($B$2:$B82,"s",$C$2:$C82,"SER")+COUNTIFS($B$2:$B82,"s",$C$2:$C82,"PLH")+COUNTIFS($B$2:$B82,"s",$C$2:$C82,"CSF"))-1,12)+1),"N/A"),"")</f>
        <v/>
      </c>
      <c r="J82" s="6" t="str">
        <f>IF(AND($A82&lt;&gt;"",$B82&lt;&gt;"",$C82&lt;&gt;"",$D82&lt;&gt;"",$E82&lt;&gt;""),IF(AND($B82="s",OR($C82="SER",$C82="PLH")),"Case MAX Planck Plate "&amp;(INT(((COUNTIFS($B$2:$B82,"s",$C$2:$C82,"SER")+COUNTIFS($B$2:$B82,"s",$C$2:$C82,"PLH"))-1)/96)+1)&amp;": "&amp;CHAR(65+INT(MOD((COUNTIFS($B$2:$B82,"s",$C$2:$C82,"SER")+COUNTIFS($B$2:$B82,"s",$C$2:$C82,"PLH"))-1,96)/12))&amp;(MOD((COUNTIFS($B$2:$B82,"s",$C$2:$C82,"SER")+COUNTIFS($B$2:$B82,"s",$C$2:$C82,"PLH"))-1,12)+1),"N/A"),"")</f>
        <v/>
      </c>
      <c r="K82" s="6" t="str">
        <f>IF(AND($A82&lt;&gt;"",$B82&lt;&gt;"",$C82&lt;&gt;"",$D82&lt;&gt;"",$E82&lt;&gt;""),IF($C82="WB","Case WB Box "&amp;(INT((COUNTIFS($C$2:$C82,"WB")-1)/81)+1)&amp;": "&amp;CHAR(65+INT(MOD(COUNTIFS($C$2:$C82,"WB")-1,81)/9))&amp;(MOD(COUNTIFS($C$2:$C82,"WB")-1,9)+1),"N/A"),"")</f>
        <v/>
      </c>
      <c r="L82" s="2" t="str">
        <f t="shared" si="19"/>
        <v/>
      </c>
      <c r="M82" s="2"/>
      <c r="N82" s="2"/>
      <c r="O82" s="2"/>
      <c r="P82" s="7" t="str">
        <f t="shared" si="20"/>
        <v/>
      </c>
      <c r="Q82" s="7" t="str">
        <f t="shared" si="21"/>
        <v/>
      </c>
      <c r="R82" s="7" t="str">
        <f t="shared" si="22"/>
        <v/>
      </c>
      <c r="S82" s="7" t="str">
        <f t="shared" si="23"/>
        <v/>
      </c>
      <c r="T82" s="7" t="str">
        <f t="shared" si="24"/>
        <v/>
      </c>
      <c r="U82" s="7" t="str">
        <f t="shared" si="25"/>
        <v/>
      </c>
      <c r="V82" s="7" t="str">
        <f t="shared" si="26"/>
        <v/>
      </c>
      <c r="W82" s="7" t="str">
        <f t="shared" si="27"/>
        <v/>
      </c>
      <c r="X82" s="7" t="str">
        <f t="shared" si="28"/>
        <v/>
      </c>
      <c r="Y82" s="7" t="str">
        <f t="shared" si="29"/>
        <v/>
      </c>
      <c r="Z82">
        <f t="shared" si="30"/>
        <v>0</v>
      </c>
      <c r="AA82" t="str">
        <f t="shared" si="31"/>
        <v/>
      </c>
      <c r="AB82" t="str">
        <f t="shared" si="32"/>
        <v/>
      </c>
      <c r="AC82" t="str">
        <f t="shared" si="33"/>
        <v/>
      </c>
      <c r="AD82" t="str">
        <f t="shared" si="34"/>
        <v/>
      </c>
      <c r="AE82">
        <f t="shared" si="35"/>
        <v>0</v>
      </c>
    </row>
    <row r="83" spans="1:31" ht="15" customHeight="1" x14ac:dyDescent="0.35">
      <c r="A83" s="2"/>
      <c r="B83" s="3"/>
      <c r="C83" s="3"/>
      <c r="D83" s="4"/>
      <c r="E83" s="5"/>
      <c r="F83" s="11" t="str">
        <f t="shared" ca="1" si="18"/>
        <v/>
      </c>
      <c r="G83" s="5"/>
      <c r="H83" s="6" t="str">
        <f>IF(AND($A83&lt;&gt;"",$B83&lt;&gt;"",$C83&lt;&gt;"",$D83&lt;&gt;"",$E83&lt;&gt;""),IF(AND($B83="s",OR($C83="SER",$C83="PLH",$C83="CSF")),"Case CDI Plate "&amp;(INT(((COUNTIFS($B$2:$B83,"s",$C$2:$C83,"SER")+COUNTIFS($B$2:$B83,"s",$C$2:$C83,"PLH")+COUNTIFS($B$2:$B83,"s",$C$2:$C83,"CSF"))-1)/96)+1)&amp;": "&amp;CHAR(65+INT(MOD((COUNTIFS($B$2:$B83,"s",$C$2:$C83,"SER")+COUNTIFS($B$2:$B83,"s",$C$2:$C83,"PLH")+COUNTIFS($B$2:$B83,"s",$C$2:$C83,"CSF"))-1,96)/12))&amp;(MOD((COUNTIFS($B$2:$B83,"s",$C$2:$C83,"SER")+COUNTIFS($B$2:$B83,"s",$C$2:$C83,"PLH")+COUNTIFS($B$2:$B83,"s",$C$2:$C83,"CSF"))-1,12)+1),"N/A"),"")</f>
        <v/>
      </c>
      <c r="I83" s="6" t="str">
        <f>IF(AND($A83&lt;&gt;"",$B83&lt;&gt;"",$C83&lt;&gt;"",$D83&lt;&gt;"",$E83&lt;&gt;""),IF(AND($B83="s",OR($C83="SER",$C83="PLH",$C83="CSF")),"Case NIH Plate "&amp;(INT(((COUNTIFS($B$2:$B83,"s",$C$2:$C83,"SER")+COUNTIFS($B$2:$B83,"s",$C$2:$C83,"PLH")+COUNTIFS($B$2:$B83,"s",$C$2:$C83,"CSF"))-1)/96)+1)&amp;": "&amp;CHAR(65+INT(MOD((COUNTIFS($B$2:$B83,"s",$C$2:$C83,"SER")+COUNTIFS($B$2:$B83,"s",$C$2:$C83,"PLH")+COUNTIFS($B$2:$B83,"s",$C$2:$C83,"CSF"))-1,96)/12))&amp;(MOD((COUNTIFS($B$2:$B83,"s",$C$2:$C83,"SER")+COUNTIFS($B$2:$B83,"s",$C$2:$C83,"PLH")+COUNTIFS($B$2:$B83,"s",$C$2:$C83,"CSF"))-1,12)+1),"N/A"),"")</f>
        <v/>
      </c>
      <c r="J83" s="6" t="str">
        <f>IF(AND($A83&lt;&gt;"",$B83&lt;&gt;"",$C83&lt;&gt;"",$D83&lt;&gt;"",$E83&lt;&gt;""),IF(AND($B83="s",OR($C83="SER",$C83="PLH")),"Case MAX Planck Plate "&amp;(INT(((COUNTIFS($B$2:$B83,"s",$C$2:$C83,"SER")+COUNTIFS($B$2:$B83,"s",$C$2:$C83,"PLH"))-1)/96)+1)&amp;": "&amp;CHAR(65+INT(MOD((COUNTIFS($B$2:$B83,"s",$C$2:$C83,"SER")+COUNTIFS($B$2:$B83,"s",$C$2:$C83,"PLH"))-1,96)/12))&amp;(MOD((COUNTIFS($B$2:$B83,"s",$C$2:$C83,"SER")+COUNTIFS($B$2:$B83,"s",$C$2:$C83,"PLH"))-1,12)+1),"N/A"),"")</f>
        <v/>
      </c>
      <c r="K83" s="6" t="str">
        <f>IF(AND($A83&lt;&gt;"",$B83&lt;&gt;"",$C83&lt;&gt;"",$D83&lt;&gt;"",$E83&lt;&gt;""),IF($C83="WB","Case WB Box "&amp;(INT((COUNTIFS($C$2:$C83,"WB")-1)/81)+1)&amp;": "&amp;CHAR(65+INT(MOD(COUNTIFS($C$2:$C83,"WB")-1,81)/9))&amp;(MOD(COUNTIFS($C$2:$C83,"WB")-1,9)+1),"N/A"),"")</f>
        <v/>
      </c>
      <c r="L83" s="2" t="str">
        <f t="shared" si="19"/>
        <v/>
      </c>
      <c r="M83" s="2"/>
      <c r="N83" s="2"/>
      <c r="O83" s="2"/>
      <c r="P83" s="7" t="str">
        <f t="shared" si="20"/>
        <v/>
      </c>
      <c r="Q83" s="7" t="str">
        <f t="shared" si="21"/>
        <v/>
      </c>
      <c r="R83" s="7" t="str">
        <f t="shared" si="22"/>
        <v/>
      </c>
      <c r="S83" s="7" t="str">
        <f t="shared" si="23"/>
        <v/>
      </c>
      <c r="T83" s="7" t="str">
        <f t="shared" si="24"/>
        <v/>
      </c>
      <c r="U83" s="7" t="str">
        <f t="shared" si="25"/>
        <v/>
      </c>
      <c r="V83" s="7" t="str">
        <f t="shared" si="26"/>
        <v/>
      </c>
      <c r="W83" s="7" t="str">
        <f t="shared" si="27"/>
        <v/>
      </c>
      <c r="X83" s="7" t="str">
        <f t="shared" si="28"/>
        <v/>
      </c>
      <c r="Y83" s="7" t="str">
        <f t="shared" si="29"/>
        <v/>
      </c>
      <c r="Z83">
        <f t="shared" si="30"/>
        <v>0</v>
      </c>
      <c r="AA83" t="str">
        <f t="shared" si="31"/>
        <v/>
      </c>
      <c r="AB83" t="str">
        <f t="shared" si="32"/>
        <v/>
      </c>
      <c r="AC83" t="str">
        <f t="shared" si="33"/>
        <v/>
      </c>
      <c r="AD83" t="str">
        <f t="shared" si="34"/>
        <v/>
      </c>
      <c r="AE83">
        <f t="shared" si="35"/>
        <v>0</v>
      </c>
    </row>
    <row r="84" spans="1:31" ht="15" customHeight="1" x14ac:dyDescent="0.35">
      <c r="A84" s="2"/>
      <c r="B84" s="3"/>
      <c r="C84" s="3"/>
      <c r="D84" s="4"/>
      <c r="E84" s="5"/>
      <c r="F84" s="11" t="str">
        <f t="shared" ca="1" si="18"/>
        <v/>
      </c>
      <c r="G84" s="5"/>
      <c r="H84" s="6" t="str">
        <f>IF(AND($A84&lt;&gt;"",$B84&lt;&gt;"",$C84&lt;&gt;"",$D84&lt;&gt;"",$E84&lt;&gt;""),IF(AND($B84="s",OR($C84="SER",$C84="PLH",$C84="CSF")),"Case CDI Plate "&amp;(INT(((COUNTIFS($B$2:$B84,"s",$C$2:$C84,"SER")+COUNTIFS($B$2:$B84,"s",$C$2:$C84,"PLH")+COUNTIFS($B$2:$B84,"s",$C$2:$C84,"CSF"))-1)/96)+1)&amp;": "&amp;CHAR(65+INT(MOD((COUNTIFS($B$2:$B84,"s",$C$2:$C84,"SER")+COUNTIFS($B$2:$B84,"s",$C$2:$C84,"PLH")+COUNTIFS($B$2:$B84,"s",$C$2:$C84,"CSF"))-1,96)/12))&amp;(MOD((COUNTIFS($B$2:$B84,"s",$C$2:$C84,"SER")+COUNTIFS($B$2:$B84,"s",$C$2:$C84,"PLH")+COUNTIFS($B$2:$B84,"s",$C$2:$C84,"CSF"))-1,12)+1),"N/A"),"")</f>
        <v/>
      </c>
      <c r="I84" s="6" t="str">
        <f>IF(AND($A84&lt;&gt;"",$B84&lt;&gt;"",$C84&lt;&gt;"",$D84&lt;&gt;"",$E84&lt;&gt;""),IF(AND($B84="s",OR($C84="SER",$C84="PLH",$C84="CSF")),"Case NIH Plate "&amp;(INT(((COUNTIFS($B$2:$B84,"s",$C$2:$C84,"SER")+COUNTIFS($B$2:$B84,"s",$C$2:$C84,"PLH")+COUNTIFS($B$2:$B84,"s",$C$2:$C84,"CSF"))-1)/96)+1)&amp;": "&amp;CHAR(65+INT(MOD((COUNTIFS($B$2:$B84,"s",$C$2:$C84,"SER")+COUNTIFS($B$2:$B84,"s",$C$2:$C84,"PLH")+COUNTIFS($B$2:$B84,"s",$C$2:$C84,"CSF"))-1,96)/12))&amp;(MOD((COUNTIFS($B$2:$B84,"s",$C$2:$C84,"SER")+COUNTIFS($B$2:$B84,"s",$C$2:$C84,"PLH")+COUNTIFS($B$2:$B84,"s",$C$2:$C84,"CSF"))-1,12)+1),"N/A"),"")</f>
        <v/>
      </c>
      <c r="J84" s="6" t="str">
        <f>IF(AND($A84&lt;&gt;"",$B84&lt;&gt;"",$C84&lt;&gt;"",$D84&lt;&gt;"",$E84&lt;&gt;""),IF(AND($B84="s",OR($C84="SER",$C84="PLH")),"Case MAX Planck Plate "&amp;(INT(((COUNTIFS($B$2:$B84,"s",$C$2:$C84,"SER")+COUNTIFS($B$2:$B84,"s",$C$2:$C84,"PLH"))-1)/96)+1)&amp;": "&amp;CHAR(65+INT(MOD((COUNTIFS($B$2:$B84,"s",$C$2:$C84,"SER")+COUNTIFS($B$2:$B84,"s",$C$2:$C84,"PLH"))-1,96)/12))&amp;(MOD((COUNTIFS($B$2:$B84,"s",$C$2:$C84,"SER")+COUNTIFS($B$2:$B84,"s",$C$2:$C84,"PLH"))-1,12)+1),"N/A"),"")</f>
        <v/>
      </c>
      <c r="K84" s="6" t="str">
        <f>IF(AND($A84&lt;&gt;"",$B84&lt;&gt;"",$C84&lt;&gt;"",$D84&lt;&gt;"",$E84&lt;&gt;""),IF($C84="WB","Case WB Box "&amp;(INT((COUNTIFS($C$2:$C84,"WB")-1)/81)+1)&amp;": "&amp;CHAR(65+INT(MOD(COUNTIFS($C$2:$C84,"WB")-1,81)/9))&amp;(MOD(COUNTIFS($C$2:$C84,"WB")-1,9)+1),"N/A"),"")</f>
        <v/>
      </c>
      <c r="L84" s="2" t="str">
        <f t="shared" si="19"/>
        <v/>
      </c>
      <c r="M84" s="2"/>
      <c r="N84" s="2"/>
      <c r="O84" s="2"/>
      <c r="P84" s="7" t="str">
        <f t="shared" si="20"/>
        <v/>
      </c>
      <c r="Q84" s="7" t="str">
        <f t="shared" si="21"/>
        <v/>
      </c>
      <c r="R84" s="7" t="str">
        <f t="shared" si="22"/>
        <v/>
      </c>
      <c r="S84" s="7" t="str">
        <f t="shared" si="23"/>
        <v/>
      </c>
      <c r="T84" s="7" t="str">
        <f t="shared" si="24"/>
        <v/>
      </c>
      <c r="U84" s="7" t="str">
        <f t="shared" si="25"/>
        <v/>
      </c>
      <c r="V84" s="7" t="str">
        <f t="shared" si="26"/>
        <v/>
      </c>
      <c r="W84" s="7" t="str">
        <f t="shared" si="27"/>
        <v/>
      </c>
      <c r="X84" s="7" t="str">
        <f t="shared" si="28"/>
        <v/>
      </c>
      <c r="Y84" s="7" t="str">
        <f t="shared" si="29"/>
        <v/>
      </c>
      <c r="Z84">
        <f t="shared" si="30"/>
        <v>0</v>
      </c>
      <c r="AA84" t="str">
        <f t="shared" si="31"/>
        <v/>
      </c>
      <c r="AB84" t="str">
        <f t="shared" si="32"/>
        <v/>
      </c>
      <c r="AC84" t="str">
        <f t="shared" si="33"/>
        <v/>
      </c>
      <c r="AD84" t="str">
        <f t="shared" si="34"/>
        <v/>
      </c>
      <c r="AE84">
        <f t="shared" si="35"/>
        <v>0</v>
      </c>
    </row>
    <row r="85" spans="1:31" ht="15" customHeight="1" x14ac:dyDescent="0.35">
      <c r="A85" s="2"/>
      <c r="B85" s="3"/>
      <c r="C85" s="3"/>
      <c r="D85" s="4"/>
      <c r="E85" s="5"/>
      <c r="F85" s="11" t="str">
        <f t="shared" ca="1" si="18"/>
        <v/>
      </c>
      <c r="G85" s="5"/>
      <c r="H85" s="6" t="str">
        <f>IF(AND($A85&lt;&gt;"",$B85&lt;&gt;"",$C85&lt;&gt;"",$D85&lt;&gt;"",$E85&lt;&gt;""),IF(AND($B85="s",OR($C85="SER",$C85="PLH",$C85="CSF")),"Case CDI Plate "&amp;(INT(((COUNTIFS($B$2:$B85,"s",$C$2:$C85,"SER")+COUNTIFS($B$2:$B85,"s",$C$2:$C85,"PLH")+COUNTIFS($B$2:$B85,"s",$C$2:$C85,"CSF"))-1)/96)+1)&amp;": "&amp;CHAR(65+INT(MOD((COUNTIFS($B$2:$B85,"s",$C$2:$C85,"SER")+COUNTIFS($B$2:$B85,"s",$C$2:$C85,"PLH")+COUNTIFS($B$2:$B85,"s",$C$2:$C85,"CSF"))-1,96)/12))&amp;(MOD((COUNTIFS($B$2:$B85,"s",$C$2:$C85,"SER")+COUNTIFS($B$2:$B85,"s",$C$2:$C85,"PLH")+COUNTIFS($B$2:$B85,"s",$C$2:$C85,"CSF"))-1,12)+1),"N/A"),"")</f>
        <v/>
      </c>
      <c r="I85" s="6" t="str">
        <f>IF(AND($A85&lt;&gt;"",$B85&lt;&gt;"",$C85&lt;&gt;"",$D85&lt;&gt;"",$E85&lt;&gt;""),IF(AND($B85="s",OR($C85="SER",$C85="PLH",$C85="CSF")),"Case NIH Plate "&amp;(INT(((COUNTIFS($B$2:$B85,"s",$C$2:$C85,"SER")+COUNTIFS($B$2:$B85,"s",$C$2:$C85,"PLH")+COUNTIFS($B$2:$B85,"s",$C$2:$C85,"CSF"))-1)/96)+1)&amp;": "&amp;CHAR(65+INT(MOD((COUNTIFS($B$2:$B85,"s",$C$2:$C85,"SER")+COUNTIFS($B$2:$B85,"s",$C$2:$C85,"PLH")+COUNTIFS($B$2:$B85,"s",$C$2:$C85,"CSF"))-1,96)/12))&amp;(MOD((COUNTIFS($B$2:$B85,"s",$C$2:$C85,"SER")+COUNTIFS($B$2:$B85,"s",$C$2:$C85,"PLH")+COUNTIFS($B$2:$B85,"s",$C$2:$C85,"CSF"))-1,12)+1),"N/A"),"")</f>
        <v/>
      </c>
      <c r="J85" s="6" t="str">
        <f>IF(AND($A85&lt;&gt;"",$B85&lt;&gt;"",$C85&lt;&gt;"",$D85&lt;&gt;"",$E85&lt;&gt;""),IF(AND($B85="s",OR($C85="SER",$C85="PLH")),"Case MAX Planck Plate "&amp;(INT(((COUNTIFS($B$2:$B85,"s",$C$2:$C85,"SER")+COUNTIFS($B$2:$B85,"s",$C$2:$C85,"PLH"))-1)/96)+1)&amp;": "&amp;CHAR(65+INT(MOD((COUNTIFS($B$2:$B85,"s",$C$2:$C85,"SER")+COUNTIFS($B$2:$B85,"s",$C$2:$C85,"PLH"))-1,96)/12))&amp;(MOD((COUNTIFS($B$2:$B85,"s",$C$2:$C85,"SER")+COUNTIFS($B$2:$B85,"s",$C$2:$C85,"PLH"))-1,12)+1),"N/A"),"")</f>
        <v/>
      </c>
      <c r="K85" s="6" t="str">
        <f>IF(AND($A85&lt;&gt;"",$B85&lt;&gt;"",$C85&lt;&gt;"",$D85&lt;&gt;"",$E85&lt;&gt;""),IF($C85="WB","Case WB Box "&amp;(INT((COUNTIFS($C$2:$C85,"WB")-1)/81)+1)&amp;": "&amp;CHAR(65+INT(MOD(COUNTIFS($C$2:$C85,"WB")-1,81)/9))&amp;(MOD(COUNTIFS($C$2:$C85,"WB")-1,9)+1),"N/A"),"")</f>
        <v/>
      </c>
      <c r="L85" s="2" t="str">
        <f t="shared" si="19"/>
        <v/>
      </c>
      <c r="M85" s="2"/>
      <c r="N85" s="2"/>
      <c r="O85" s="2"/>
      <c r="P85" s="7" t="str">
        <f t="shared" si="20"/>
        <v/>
      </c>
      <c r="Q85" s="7" t="str">
        <f t="shared" si="21"/>
        <v/>
      </c>
      <c r="R85" s="7" t="str">
        <f t="shared" si="22"/>
        <v/>
      </c>
      <c r="S85" s="7" t="str">
        <f t="shared" si="23"/>
        <v/>
      </c>
      <c r="T85" s="7" t="str">
        <f t="shared" si="24"/>
        <v/>
      </c>
      <c r="U85" s="7" t="str">
        <f t="shared" si="25"/>
        <v/>
      </c>
      <c r="V85" s="7" t="str">
        <f t="shared" si="26"/>
        <v/>
      </c>
      <c r="W85" s="7" t="str">
        <f t="shared" si="27"/>
        <v/>
      </c>
      <c r="X85" s="7" t="str">
        <f t="shared" si="28"/>
        <v/>
      </c>
      <c r="Y85" s="7" t="str">
        <f t="shared" si="29"/>
        <v/>
      </c>
      <c r="Z85">
        <f t="shared" si="30"/>
        <v>0</v>
      </c>
      <c r="AA85" t="str">
        <f t="shared" si="31"/>
        <v/>
      </c>
      <c r="AB85" t="str">
        <f t="shared" si="32"/>
        <v/>
      </c>
      <c r="AC85" t="str">
        <f t="shared" si="33"/>
        <v/>
      </c>
      <c r="AD85" t="str">
        <f t="shared" si="34"/>
        <v/>
      </c>
      <c r="AE85">
        <f t="shared" si="35"/>
        <v>0</v>
      </c>
    </row>
    <row r="86" spans="1:31" ht="15" customHeight="1" x14ac:dyDescent="0.35">
      <c r="A86" s="2"/>
      <c r="B86" s="3"/>
      <c r="C86" s="3"/>
      <c r="D86" s="4"/>
      <c r="E86" s="5"/>
      <c r="F86" s="11" t="str">
        <f t="shared" ca="1" si="18"/>
        <v/>
      </c>
      <c r="G86" s="5"/>
      <c r="H86" s="6" t="str">
        <f>IF(AND($A86&lt;&gt;"",$B86&lt;&gt;"",$C86&lt;&gt;"",$D86&lt;&gt;"",$E86&lt;&gt;""),IF(AND($B86="s",OR($C86="SER",$C86="PLH",$C86="CSF")),"Case CDI Plate "&amp;(INT(((COUNTIFS($B$2:$B86,"s",$C$2:$C86,"SER")+COUNTIFS($B$2:$B86,"s",$C$2:$C86,"PLH")+COUNTIFS($B$2:$B86,"s",$C$2:$C86,"CSF"))-1)/96)+1)&amp;": "&amp;CHAR(65+INT(MOD((COUNTIFS($B$2:$B86,"s",$C$2:$C86,"SER")+COUNTIFS($B$2:$B86,"s",$C$2:$C86,"PLH")+COUNTIFS($B$2:$B86,"s",$C$2:$C86,"CSF"))-1,96)/12))&amp;(MOD((COUNTIFS($B$2:$B86,"s",$C$2:$C86,"SER")+COUNTIFS($B$2:$B86,"s",$C$2:$C86,"PLH")+COUNTIFS($B$2:$B86,"s",$C$2:$C86,"CSF"))-1,12)+1),"N/A"),"")</f>
        <v/>
      </c>
      <c r="I86" s="6" t="str">
        <f>IF(AND($A86&lt;&gt;"",$B86&lt;&gt;"",$C86&lt;&gt;"",$D86&lt;&gt;"",$E86&lt;&gt;""),IF(AND($B86="s",OR($C86="SER",$C86="PLH",$C86="CSF")),"Case NIH Plate "&amp;(INT(((COUNTIFS($B$2:$B86,"s",$C$2:$C86,"SER")+COUNTIFS($B$2:$B86,"s",$C$2:$C86,"PLH")+COUNTIFS($B$2:$B86,"s",$C$2:$C86,"CSF"))-1)/96)+1)&amp;": "&amp;CHAR(65+INT(MOD((COUNTIFS($B$2:$B86,"s",$C$2:$C86,"SER")+COUNTIFS($B$2:$B86,"s",$C$2:$C86,"PLH")+COUNTIFS($B$2:$B86,"s",$C$2:$C86,"CSF"))-1,96)/12))&amp;(MOD((COUNTIFS($B$2:$B86,"s",$C$2:$C86,"SER")+COUNTIFS($B$2:$B86,"s",$C$2:$C86,"PLH")+COUNTIFS($B$2:$B86,"s",$C$2:$C86,"CSF"))-1,12)+1),"N/A"),"")</f>
        <v/>
      </c>
      <c r="J86" s="6" t="str">
        <f>IF(AND($A86&lt;&gt;"",$B86&lt;&gt;"",$C86&lt;&gt;"",$D86&lt;&gt;"",$E86&lt;&gt;""),IF(AND($B86="s",OR($C86="SER",$C86="PLH")),"Case MAX Planck Plate "&amp;(INT(((COUNTIFS($B$2:$B86,"s",$C$2:$C86,"SER")+COUNTIFS($B$2:$B86,"s",$C$2:$C86,"PLH"))-1)/96)+1)&amp;": "&amp;CHAR(65+INT(MOD((COUNTIFS($B$2:$B86,"s",$C$2:$C86,"SER")+COUNTIFS($B$2:$B86,"s",$C$2:$C86,"PLH"))-1,96)/12))&amp;(MOD((COUNTIFS($B$2:$B86,"s",$C$2:$C86,"SER")+COUNTIFS($B$2:$B86,"s",$C$2:$C86,"PLH"))-1,12)+1),"N/A"),"")</f>
        <v/>
      </c>
      <c r="K86" s="6" t="str">
        <f>IF(AND($A86&lt;&gt;"",$B86&lt;&gt;"",$C86&lt;&gt;"",$D86&lt;&gt;"",$E86&lt;&gt;""),IF($C86="WB","Case WB Box "&amp;(INT((COUNTIFS($C$2:$C86,"WB")-1)/81)+1)&amp;": "&amp;CHAR(65+INT(MOD(COUNTIFS($C$2:$C86,"WB")-1,81)/9))&amp;(MOD(COUNTIFS($C$2:$C86,"WB")-1,9)+1),"N/A"),"")</f>
        <v/>
      </c>
      <c r="L86" s="2" t="str">
        <f t="shared" si="19"/>
        <v/>
      </c>
      <c r="M86" s="2"/>
      <c r="N86" s="2"/>
      <c r="O86" s="2"/>
      <c r="P86" s="7" t="str">
        <f t="shared" si="20"/>
        <v/>
      </c>
      <c r="Q86" s="7" t="str">
        <f t="shared" si="21"/>
        <v/>
      </c>
      <c r="R86" s="7" t="str">
        <f t="shared" si="22"/>
        <v/>
      </c>
      <c r="S86" s="7" t="str">
        <f t="shared" si="23"/>
        <v/>
      </c>
      <c r="T86" s="7" t="str">
        <f t="shared" si="24"/>
        <v/>
      </c>
      <c r="U86" s="7" t="str">
        <f t="shared" si="25"/>
        <v/>
      </c>
      <c r="V86" s="7" t="str">
        <f t="shared" si="26"/>
        <v/>
      </c>
      <c r="W86" s="7" t="str">
        <f t="shared" si="27"/>
        <v/>
      </c>
      <c r="X86" s="7" t="str">
        <f t="shared" si="28"/>
        <v/>
      </c>
      <c r="Y86" s="7" t="str">
        <f t="shared" si="29"/>
        <v/>
      </c>
      <c r="Z86">
        <f t="shared" si="30"/>
        <v>0</v>
      </c>
      <c r="AA86" t="str">
        <f t="shared" si="31"/>
        <v/>
      </c>
      <c r="AB86" t="str">
        <f t="shared" si="32"/>
        <v/>
      </c>
      <c r="AC86" t="str">
        <f t="shared" si="33"/>
        <v/>
      </c>
      <c r="AD86" t="str">
        <f t="shared" si="34"/>
        <v/>
      </c>
      <c r="AE86">
        <f t="shared" si="35"/>
        <v>0</v>
      </c>
    </row>
    <row r="87" spans="1:31" ht="15" customHeight="1" x14ac:dyDescent="0.35">
      <c r="A87" s="2"/>
      <c r="B87" s="3"/>
      <c r="C87" s="3"/>
      <c r="D87" s="4"/>
      <c r="E87" s="5"/>
      <c r="F87" s="11" t="str">
        <f t="shared" ca="1" si="18"/>
        <v/>
      </c>
      <c r="G87" s="5"/>
      <c r="H87" s="6" t="str">
        <f>IF(AND($A87&lt;&gt;"",$B87&lt;&gt;"",$C87&lt;&gt;"",$D87&lt;&gt;"",$E87&lt;&gt;""),IF(AND($B87="s",OR($C87="SER",$C87="PLH",$C87="CSF")),"Case CDI Plate "&amp;(INT(((COUNTIFS($B$2:$B87,"s",$C$2:$C87,"SER")+COUNTIFS($B$2:$B87,"s",$C$2:$C87,"PLH")+COUNTIFS($B$2:$B87,"s",$C$2:$C87,"CSF"))-1)/96)+1)&amp;": "&amp;CHAR(65+INT(MOD((COUNTIFS($B$2:$B87,"s",$C$2:$C87,"SER")+COUNTIFS($B$2:$B87,"s",$C$2:$C87,"PLH")+COUNTIFS($B$2:$B87,"s",$C$2:$C87,"CSF"))-1,96)/12))&amp;(MOD((COUNTIFS($B$2:$B87,"s",$C$2:$C87,"SER")+COUNTIFS($B$2:$B87,"s",$C$2:$C87,"PLH")+COUNTIFS($B$2:$B87,"s",$C$2:$C87,"CSF"))-1,12)+1),"N/A"),"")</f>
        <v/>
      </c>
      <c r="I87" s="6" t="str">
        <f>IF(AND($A87&lt;&gt;"",$B87&lt;&gt;"",$C87&lt;&gt;"",$D87&lt;&gt;"",$E87&lt;&gt;""),IF(AND($B87="s",OR($C87="SER",$C87="PLH",$C87="CSF")),"Case NIH Plate "&amp;(INT(((COUNTIFS($B$2:$B87,"s",$C$2:$C87,"SER")+COUNTIFS($B$2:$B87,"s",$C$2:$C87,"PLH")+COUNTIFS($B$2:$B87,"s",$C$2:$C87,"CSF"))-1)/96)+1)&amp;": "&amp;CHAR(65+INT(MOD((COUNTIFS($B$2:$B87,"s",$C$2:$C87,"SER")+COUNTIFS($B$2:$B87,"s",$C$2:$C87,"PLH")+COUNTIFS($B$2:$B87,"s",$C$2:$C87,"CSF"))-1,96)/12))&amp;(MOD((COUNTIFS($B$2:$B87,"s",$C$2:$C87,"SER")+COUNTIFS($B$2:$B87,"s",$C$2:$C87,"PLH")+COUNTIFS($B$2:$B87,"s",$C$2:$C87,"CSF"))-1,12)+1),"N/A"),"")</f>
        <v/>
      </c>
      <c r="J87" s="6" t="str">
        <f>IF(AND($A87&lt;&gt;"",$B87&lt;&gt;"",$C87&lt;&gt;"",$D87&lt;&gt;"",$E87&lt;&gt;""),IF(AND($B87="s",OR($C87="SER",$C87="PLH")),"Case MAX Planck Plate "&amp;(INT(((COUNTIFS($B$2:$B87,"s",$C$2:$C87,"SER")+COUNTIFS($B$2:$B87,"s",$C$2:$C87,"PLH"))-1)/96)+1)&amp;": "&amp;CHAR(65+INT(MOD((COUNTIFS($B$2:$B87,"s",$C$2:$C87,"SER")+COUNTIFS($B$2:$B87,"s",$C$2:$C87,"PLH"))-1,96)/12))&amp;(MOD((COUNTIFS($B$2:$B87,"s",$C$2:$C87,"SER")+COUNTIFS($B$2:$B87,"s",$C$2:$C87,"PLH"))-1,12)+1),"N/A"),"")</f>
        <v/>
      </c>
      <c r="K87" s="6" t="str">
        <f>IF(AND($A87&lt;&gt;"",$B87&lt;&gt;"",$C87&lt;&gt;"",$D87&lt;&gt;"",$E87&lt;&gt;""),IF($C87="WB","Case WB Box "&amp;(INT((COUNTIFS($C$2:$C87,"WB")-1)/81)+1)&amp;": "&amp;CHAR(65+INT(MOD(COUNTIFS($C$2:$C87,"WB")-1,81)/9))&amp;(MOD(COUNTIFS($C$2:$C87,"WB")-1,9)+1),"N/A"),"")</f>
        <v/>
      </c>
      <c r="L87" s="2" t="str">
        <f t="shared" si="19"/>
        <v/>
      </c>
      <c r="M87" s="2"/>
      <c r="N87" s="2"/>
      <c r="O87" s="2"/>
      <c r="P87" s="7" t="str">
        <f t="shared" si="20"/>
        <v/>
      </c>
      <c r="Q87" s="7" t="str">
        <f t="shared" si="21"/>
        <v/>
      </c>
      <c r="R87" s="7" t="str">
        <f t="shared" si="22"/>
        <v/>
      </c>
      <c r="S87" s="7" t="str">
        <f t="shared" si="23"/>
        <v/>
      </c>
      <c r="T87" s="7" t="str">
        <f t="shared" si="24"/>
        <v/>
      </c>
      <c r="U87" s="7" t="str">
        <f t="shared" si="25"/>
        <v/>
      </c>
      <c r="V87" s="7" t="str">
        <f t="shared" si="26"/>
        <v/>
      </c>
      <c r="W87" s="7" t="str">
        <f t="shared" si="27"/>
        <v/>
      </c>
      <c r="X87" s="7" t="str">
        <f t="shared" si="28"/>
        <v/>
      </c>
      <c r="Y87" s="7" t="str">
        <f t="shared" si="29"/>
        <v/>
      </c>
      <c r="Z87">
        <f t="shared" si="30"/>
        <v>0</v>
      </c>
      <c r="AA87" t="str">
        <f t="shared" si="31"/>
        <v/>
      </c>
      <c r="AB87" t="str">
        <f t="shared" si="32"/>
        <v/>
      </c>
      <c r="AC87" t="str">
        <f t="shared" si="33"/>
        <v/>
      </c>
      <c r="AD87" t="str">
        <f t="shared" si="34"/>
        <v/>
      </c>
      <c r="AE87">
        <f t="shared" si="35"/>
        <v>0</v>
      </c>
    </row>
    <row r="88" spans="1:31" ht="15" customHeight="1" x14ac:dyDescent="0.35">
      <c r="A88" s="2"/>
      <c r="B88" s="3"/>
      <c r="C88" s="3"/>
      <c r="D88" s="4"/>
      <c r="E88" s="5"/>
      <c r="F88" s="11" t="str">
        <f t="shared" ca="1" si="18"/>
        <v/>
      </c>
      <c r="G88" s="5"/>
      <c r="H88" s="6" t="str">
        <f>IF(AND($A88&lt;&gt;"",$B88&lt;&gt;"",$C88&lt;&gt;"",$D88&lt;&gt;"",$E88&lt;&gt;""),IF(AND($B88="s",OR($C88="SER",$C88="PLH",$C88="CSF")),"Case CDI Plate "&amp;(INT(((COUNTIFS($B$2:$B88,"s",$C$2:$C88,"SER")+COUNTIFS($B$2:$B88,"s",$C$2:$C88,"PLH")+COUNTIFS($B$2:$B88,"s",$C$2:$C88,"CSF"))-1)/96)+1)&amp;": "&amp;CHAR(65+INT(MOD((COUNTIFS($B$2:$B88,"s",$C$2:$C88,"SER")+COUNTIFS($B$2:$B88,"s",$C$2:$C88,"PLH")+COUNTIFS($B$2:$B88,"s",$C$2:$C88,"CSF"))-1,96)/12))&amp;(MOD((COUNTIFS($B$2:$B88,"s",$C$2:$C88,"SER")+COUNTIFS($B$2:$B88,"s",$C$2:$C88,"PLH")+COUNTIFS($B$2:$B88,"s",$C$2:$C88,"CSF"))-1,12)+1),"N/A"),"")</f>
        <v/>
      </c>
      <c r="I88" s="6" t="str">
        <f>IF(AND($A88&lt;&gt;"",$B88&lt;&gt;"",$C88&lt;&gt;"",$D88&lt;&gt;"",$E88&lt;&gt;""),IF(AND($B88="s",OR($C88="SER",$C88="PLH",$C88="CSF")),"Case NIH Plate "&amp;(INT(((COUNTIFS($B$2:$B88,"s",$C$2:$C88,"SER")+COUNTIFS($B$2:$B88,"s",$C$2:$C88,"PLH")+COUNTIFS($B$2:$B88,"s",$C$2:$C88,"CSF"))-1)/96)+1)&amp;": "&amp;CHAR(65+INT(MOD((COUNTIFS($B$2:$B88,"s",$C$2:$C88,"SER")+COUNTIFS($B$2:$B88,"s",$C$2:$C88,"PLH")+COUNTIFS($B$2:$B88,"s",$C$2:$C88,"CSF"))-1,96)/12))&amp;(MOD((COUNTIFS($B$2:$B88,"s",$C$2:$C88,"SER")+COUNTIFS($B$2:$B88,"s",$C$2:$C88,"PLH")+COUNTIFS($B$2:$B88,"s",$C$2:$C88,"CSF"))-1,12)+1),"N/A"),"")</f>
        <v/>
      </c>
      <c r="J88" s="6" t="str">
        <f>IF(AND($A88&lt;&gt;"",$B88&lt;&gt;"",$C88&lt;&gt;"",$D88&lt;&gt;"",$E88&lt;&gt;""),IF(AND($B88="s",OR($C88="SER",$C88="PLH")),"Case MAX Planck Plate "&amp;(INT(((COUNTIFS($B$2:$B88,"s",$C$2:$C88,"SER")+COUNTIFS($B$2:$B88,"s",$C$2:$C88,"PLH"))-1)/96)+1)&amp;": "&amp;CHAR(65+INT(MOD((COUNTIFS($B$2:$B88,"s",$C$2:$C88,"SER")+COUNTIFS($B$2:$B88,"s",$C$2:$C88,"PLH"))-1,96)/12))&amp;(MOD((COUNTIFS($B$2:$B88,"s",$C$2:$C88,"SER")+COUNTIFS($B$2:$B88,"s",$C$2:$C88,"PLH"))-1,12)+1),"N/A"),"")</f>
        <v/>
      </c>
      <c r="K88" s="6" t="str">
        <f>IF(AND($A88&lt;&gt;"",$B88&lt;&gt;"",$C88&lt;&gt;"",$D88&lt;&gt;"",$E88&lt;&gt;""),IF($C88="WB","Case WB Box "&amp;(INT((COUNTIFS($C$2:$C88,"WB")-1)/81)+1)&amp;": "&amp;CHAR(65+INT(MOD(COUNTIFS($C$2:$C88,"WB")-1,81)/9))&amp;(MOD(COUNTIFS($C$2:$C88,"WB")-1,9)+1),"N/A"),"")</f>
        <v/>
      </c>
      <c r="L88" s="2" t="str">
        <f t="shared" si="19"/>
        <v/>
      </c>
      <c r="M88" s="2"/>
      <c r="N88" s="2"/>
      <c r="O88" s="2"/>
      <c r="P88" s="7" t="str">
        <f t="shared" si="20"/>
        <v/>
      </c>
      <c r="Q88" s="7" t="str">
        <f t="shared" si="21"/>
        <v/>
      </c>
      <c r="R88" s="7" t="str">
        <f t="shared" si="22"/>
        <v/>
      </c>
      <c r="S88" s="7" t="str">
        <f t="shared" si="23"/>
        <v/>
      </c>
      <c r="T88" s="7" t="str">
        <f t="shared" si="24"/>
        <v/>
      </c>
      <c r="U88" s="7" t="str">
        <f t="shared" si="25"/>
        <v/>
      </c>
      <c r="V88" s="7" t="str">
        <f t="shared" si="26"/>
        <v/>
      </c>
      <c r="W88" s="7" t="str">
        <f t="shared" si="27"/>
        <v/>
      </c>
      <c r="X88" s="7" t="str">
        <f t="shared" si="28"/>
        <v/>
      </c>
      <c r="Y88" s="7" t="str">
        <f t="shared" si="29"/>
        <v/>
      </c>
      <c r="Z88">
        <f t="shared" si="30"/>
        <v>0</v>
      </c>
      <c r="AA88" t="str">
        <f t="shared" si="31"/>
        <v/>
      </c>
      <c r="AB88" t="str">
        <f t="shared" si="32"/>
        <v/>
      </c>
      <c r="AC88" t="str">
        <f t="shared" si="33"/>
        <v/>
      </c>
      <c r="AD88" t="str">
        <f t="shared" si="34"/>
        <v/>
      </c>
      <c r="AE88">
        <f t="shared" si="35"/>
        <v>0</v>
      </c>
    </row>
    <row r="89" spans="1:31" ht="15" customHeight="1" x14ac:dyDescent="0.35">
      <c r="A89" s="2"/>
      <c r="B89" s="3"/>
      <c r="C89" s="3"/>
      <c r="D89" s="4"/>
      <c r="E89" s="5"/>
      <c r="F89" s="11" t="str">
        <f t="shared" ca="1" si="18"/>
        <v/>
      </c>
      <c r="G89" s="5"/>
      <c r="H89" s="6" t="str">
        <f>IF(AND($A89&lt;&gt;"",$B89&lt;&gt;"",$C89&lt;&gt;"",$D89&lt;&gt;"",$E89&lt;&gt;""),IF(AND($B89="s",OR($C89="SER",$C89="PLH",$C89="CSF")),"Case CDI Plate "&amp;(INT(((COUNTIFS($B$2:$B89,"s",$C$2:$C89,"SER")+COUNTIFS($B$2:$B89,"s",$C$2:$C89,"PLH")+COUNTIFS($B$2:$B89,"s",$C$2:$C89,"CSF"))-1)/96)+1)&amp;": "&amp;CHAR(65+INT(MOD((COUNTIFS($B$2:$B89,"s",$C$2:$C89,"SER")+COUNTIFS($B$2:$B89,"s",$C$2:$C89,"PLH")+COUNTIFS($B$2:$B89,"s",$C$2:$C89,"CSF"))-1,96)/12))&amp;(MOD((COUNTIFS($B$2:$B89,"s",$C$2:$C89,"SER")+COUNTIFS($B$2:$B89,"s",$C$2:$C89,"PLH")+COUNTIFS($B$2:$B89,"s",$C$2:$C89,"CSF"))-1,12)+1),"N/A"),"")</f>
        <v/>
      </c>
      <c r="I89" s="6" t="str">
        <f>IF(AND($A89&lt;&gt;"",$B89&lt;&gt;"",$C89&lt;&gt;"",$D89&lt;&gt;"",$E89&lt;&gt;""),IF(AND($B89="s",OR($C89="SER",$C89="PLH",$C89="CSF")),"Case NIH Plate "&amp;(INT(((COUNTIFS($B$2:$B89,"s",$C$2:$C89,"SER")+COUNTIFS($B$2:$B89,"s",$C$2:$C89,"PLH")+COUNTIFS($B$2:$B89,"s",$C$2:$C89,"CSF"))-1)/96)+1)&amp;": "&amp;CHAR(65+INT(MOD((COUNTIFS($B$2:$B89,"s",$C$2:$C89,"SER")+COUNTIFS($B$2:$B89,"s",$C$2:$C89,"PLH")+COUNTIFS($B$2:$B89,"s",$C$2:$C89,"CSF"))-1,96)/12))&amp;(MOD((COUNTIFS($B$2:$B89,"s",$C$2:$C89,"SER")+COUNTIFS($B$2:$B89,"s",$C$2:$C89,"PLH")+COUNTIFS($B$2:$B89,"s",$C$2:$C89,"CSF"))-1,12)+1),"N/A"),"")</f>
        <v/>
      </c>
      <c r="J89" s="6" t="str">
        <f>IF(AND($A89&lt;&gt;"",$B89&lt;&gt;"",$C89&lt;&gt;"",$D89&lt;&gt;"",$E89&lt;&gt;""),IF(AND($B89="s",OR($C89="SER",$C89="PLH")),"Case MAX Planck Plate "&amp;(INT(((COUNTIFS($B$2:$B89,"s",$C$2:$C89,"SER")+COUNTIFS($B$2:$B89,"s",$C$2:$C89,"PLH"))-1)/96)+1)&amp;": "&amp;CHAR(65+INT(MOD((COUNTIFS($B$2:$B89,"s",$C$2:$C89,"SER")+COUNTIFS($B$2:$B89,"s",$C$2:$C89,"PLH"))-1,96)/12))&amp;(MOD((COUNTIFS($B$2:$B89,"s",$C$2:$C89,"SER")+COUNTIFS($B$2:$B89,"s",$C$2:$C89,"PLH"))-1,12)+1),"N/A"),"")</f>
        <v/>
      </c>
      <c r="K89" s="6" t="str">
        <f>IF(AND($A89&lt;&gt;"",$B89&lt;&gt;"",$C89&lt;&gt;"",$D89&lt;&gt;"",$E89&lt;&gt;""),IF($C89="WB","Case WB Box "&amp;(INT((COUNTIFS($C$2:$C89,"WB")-1)/81)+1)&amp;": "&amp;CHAR(65+INT(MOD(COUNTIFS($C$2:$C89,"WB")-1,81)/9))&amp;(MOD(COUNTIFS($C$2:$C89,"WB")-1,9)+1),"N/A"),"")</f>
        <v/>
      </c>
      <c r="L89" s="2" t="str">
        <f t="shared" si="19"/>
        <v/>
      </c>
      <c r="M89" s="2"/>
      <c r="N89" s="2"/>
      <c r="O89" s="2"/>
      <c r="P89" s="7" t="str">
        <f t="shared" si="20"/>
        <v/>
      </c>
      <c r="Q89" s="7" t="str">
        <f t="shared" si="21"/>
        <v/>
      </c>
      <c r="R89" s="7" t="str">
        <f t="shared" si="22"/>
        <v/>
      </c>
      <c r="S89" s="7" t="str">
        <f t="shared" si="23"/>
        <v/>
      </c>
      <c r="T89" s="7" t="str">
        <f t="shared" si="24"/>
        <v/>
      </c>
      <c r="U89" s="7" t="str">
        <f t="shared" si="25"/>
        <v/>
      </c>
      <c r="V89" s="7" t="str">
        <f t="shared" si="26"/>
        <v/>
      </c>
      <c r="W89" s="7" t="str">
        <f t="shared" si="27"/>
        <v/>
      </c>
      <c r="X89" s="7" t="str">
        <f t="shared" si="28"/>
        <v/>
      </c>
      <c r="Y89" s="7" t="str">
        <f t="shared" si="29"/>
        <v/>
      </c>
      <c r="Z89">
        <f t="shared" si="30"/>
        <v>0</v>
      </c>
      <c r="AA89" t="str">
        <f t="shared" si="31"/>
        <v/>
      </c>
      <c r="AB89" t="str">
        <f t="shared" si="32"/>
        <v/>
      </c>
      <c r="AC89" t="str">
        <f t="shared" si="33"/>
        <v/>
      </c>
      <c r="AD89" t="str">
        <f t="shared" si="34"/>
        <v/>
      </c>
      <c r="AE89">
        <f t="shared" si="35"/>
        <v>0</v>
      </c>
    </row>
    <row r="90" spans="1:31" ht="15" customHeight="1" x14ac:dyDescent="0.35">
      <c r="A90" s="2"/>
      <c r="B90" s="3"/>
      <c r="C90" s="3"/>
      <c r="D90" s="4"/>
      <c r="E90" s="5"/>
      <c r="F90" s="11" t="str">
        <f t="shared" ca="1" si="18"/>
        <v/>
      </c>
      <c r="G90" s="5"/>
      <c r="H90" s="6" t="str">
        <f>IF(AND($A90&lt;&gt;"",$B90&lt;&gt;"",$C90&lt;&gt;"",$D90&lt;&gt;"",$E90&lt;&gt;""),IF(AND($B90="s",OR($C90="SER",$C90="PLH",$C90="CSF")),"Case CDI Plate "&amp;(INT(((COUNTIFS($B$2:$B90,"s",$C$2:$C90,"SER")+COUNTIFS($B$2:$B90,"s",$C$2:$C90,"PLH")+COUNTIFS($B$2:$B90,"s",$C$2:$C90,"CSF"))-1)/96)+1)&amp;": "&amp;CHAR(65+INT(MOD((COUNTIFS($B$2:$B90,"s",$C$2:$C90,"SER")+COUNTIFS($B$2:$B90,"s",$C$2:$C90,"PLH")+COUNTIFS($B$2:$B90,"s",$C$2:$C90,"CSF"))-1,96)/12))&amp;(MOD((COUNTIFS($B$2:$B90,"s",$C$2:$C90,"SER")+COUNTIFS($B$2:$B90,"s",$C$2:$C90,"PLH")+COUNTIFS($B$2:$B90,"s",$C$2:$C90,"CSF"))-1,12)+1),"N/A"),"")</f>
        <v/>
      </c>
      <c r="I90" s="6" t="str">
        <f>IF(AND($A90&lt;&gt;"",$B90&lt;&gt;"",$C90&lt;&gt;"",$D90&lt;&gt;"",$E90&lt;&gt;""),IF(AND($B90="s",OR($C90="SER",$C90="PLH",$C90="CSF")),"Case NIH Plate "&amp;(INT(((COUNTIFS($B$2:$B90,"s",$C$2:$C90,"SER")+COUNTIFS($B$2:$B90,"s",$C$2:$C90,"PLH")+COUNTIFS($B$2:$B90,"s",$C$2:$C90,"CSF"))-1)/96)+1)&amp;": "&amp;CHAR(65+INT(MOD((COUNTIFS($B$2:$B90,"s",$C$2:$C90,"SER")+COUNTIFS($B$2:$B90,"s",$C$2:$C90,"PLH")+COUNTIFS($B$2:$B90,"s",$C$2:$C90,"CSF"))-1,96)/12))&amp;(MOD((COUNTIFS($B$2:$B90,"s",$C$2:$C90,"SER")+COUNTIFS($B$2:$B90,"s",$C$2:$C90,"PLH")+COUNTIFS($B$2:$B90,"s",$C$2:$C90,"CSF"))-1,12)+1),"N/A"),"")</f>
        <v/>
      </c>
      <c r="J90" s="6" t="str">
        <f>IF(AND($A90&lt;&gt;"",$B90&lt;&gt;"",$C90&lt;&gt;"",$D90&lt;&gt;"",$E90&lt;&gt;""),IF(AND($B90="s",OR($C90="SER",$C90="PLH")),"Case MAX Planck Plate "&amp;(INT(((COUNTIFS($B$2:$B90,"s",$C$2:$C90,"SER")+COUNTIFS($B$2:$B90,"s",$C$2:$C90,"PLH"))-1)/96)+1)&amp;": "&amp;CHAR(65+INT(MOD((COUNTIFS($B$2:$B90,"s",$C$2:$C90,"SER")+COUNTIFS($B$2:$B90,"s",$C$2:$C90,"PLH"))-1,96)/12))&amp;(MOD((COUNTIFS($B$2:$B90,"s",$C$2:$C90,"SER")+COUNTIFS($B$2:$B90,"s",$C$2:$C90,"PLH"))-1,12)+1),"N/A"),"")</f>
        <v/>
      </c>
      <c r="K90" s="6" t="str">
        <f>IF(AND($A90&lt;&gt;"",$B90&lt;&gt;"",$C90&lt;&gt;"",$D90&lt;&gt;"",$E90&lt;&gt;""),IF($C90="WB","Case WB Box "&amp;(INT((COUNTIFS($C$2:$C90,"WB")-1)/81)+1)&amp;": "&amp;CHAR(65+INT(MOD(COUNTIFS($C$2:$C90,"WB")-1,81)/9))&amp;(MOD(COUNTIFS($C$2:$C90,"WB")-1,9)+1),"N/A"),"")</f>
        <v/>
      </c>
      <c r="L90" s="2" t="str">
        <f t="shared" si="19"/>
        <v/>
      </c>
      <c r="M90" s="2"/>
      <c r="N90" s="2"/>
      <c r="O90" s="2"/>
      <c r="P90" s="7" t="str">
        <f t="shared" si="20"/>
        <v/>
      </c>
      <c r="Q90" s="7" t="str">
        <f t="shared" si="21"/>
        <v/>
      </c>
      <c r="R90" s="7" t="str">
        <f t="shared" si="22"/>
        <v/>
      </c>
      <c r="S90" s="7" t="str">
        <f t="shared" si="23"/>
        <v/>
      </c>
      <c r="T90" s="7" t="str">
        <f t="shared" si="24"/>
        <v/>
      </c>
      <c r="U90" s="7" t="str">
        <f t="shared" si="25"/>
        <v/>
      </c>
      <c r="V90" s="7" t="str">
        <f t="shared" si="26"/>
        <v/>
      </c>
      <c r="W90" s="7" t="str">
        <f t="shared" si="27"/>
        <v/>
      </c>
      <c r="X90" s="7" t="str">
        <f t="shared" si="28"/>
        <v/>
      </c>
      <c r="Y90" s="7" t="str">
        <f t="shared" si="29"/>
        <v/>
      </c>
      <c r="Z90">
        <f t="shared" si="30"/>
        <v>0</v>
      </c>
      <c r="AA90" t="str">
        <f t="shared" si="31"/>
        <v/>
      </c>
      <c r="AB90" t="str">
        <f t="shared" si="32"/>
        <v/>
      </c>
      <c r="AC90" t="str">
        <f t="shared" si="33"/>
        <v/>
      </c>
      <c r="AD90" t="str">
        <f t="shared" si="34"/>
        <v/>
      </c>
      <c r="AE90">
        <f t="shared" si="35"/>
        <v>0</v>
      </c>
    </row>
    <row r="91" spans="1:31" ht="15" customHeight="1" x14ac:dyDescent="0.35">
      <c r="A91" s="2"/>
      <c r="B91" s="3"/>
      <c r="C91" s="3"/>
      <c r="D91" s="4"/>
      <c r="E91" s="5"/>
      <c r="F91" s="11" t="str">
        <f t="shared" ca="1" si="18"/>
        <v/>
      </c>
      <c r="G91" s="5"/>
      <c r="H91" s="6" t="str">
        <f>IF(AND($A91&lt;&gt;"",$B91&lt;&gt;"",$C91&lt;&gt;"",$D91&lt;&gt;"",$E91&lt;&gt;""),IF(AND($B91="s",OR($C91="SER",$C91="PLH",$C91="CSF")),"Case CDI Plate "&amp;(INT(((COUNTIFS($B$2:$B91,"s",$C$2:$C91,"SER")+COUNTIFS($B$2:$B91,"s",$C$2:$C91,"PLH")+COUNTIFS($B$2:$B91,"s",$C$2:$C91,"CSF"))-1)/96)+1)&amp;": "&amp;CHAR(65+INT(MOD((COUNTIFS($B$2:$B91,"s",$C$2:$C91,"SER")+COUNTIFS($B$2:$B91,"s",$C$2:$C91,"PLH")+COUNTIFS($B$2:$B91,"s",$C$2:$C91,"CSF"))-1,96)/12))&amp;(MOD((COUNTIFS($B$2:$B91,"s",$C$2:$C91,"SER")+COUNTIFS($B$2:$B91,"s",$C$2:$C91,"PLH")+COUNTIFS($B$2:$B91,"s",$C$2:$C91,"CSF"))-1,12)+1),"N/A"),"")</f>
        <v/>
      </c>
      <c r="I91" s="6" t="str">
        <f>IF(AND($A91&lt;&gt;"",$B91&lt;&gt;"",$C91&lt;&gt;"",$D91&lt;&gt;"",$E91&lt;&gt;""),IF(AND($B91="s",OR($C91="SER",$C91="PLH",$C91="CSF")),"Case NIH Plate "&amp;(INT(((COUNTIFS($B$2:$B91,"s",$C$2:$C91,"SER")+COUNTIFS($B$2:$B91,"s",$C$2:$C91,"PLH")+COUNTIFS($B$2:$B91,"s",$C$2:$C91,"CSF"))-1)/96)+1)&amp;": "&amp;CHAR(65+INT(MOD((COUNTIFS($B$2:$B91,"s",$C$2:$C91,"SER")+COUNTIFS($B$2:$B91,"s",$C$2:$C91,"PLH")+COUNTIFS($B$2:$B91,"s",$C$2:$C91,"CSF"))-1,96)/12))&amp;(MOD((COUNTIFS($B$2:$B91,"s",$C$2:$C91,"SER")+COUNTIFS($B$2:$B91,"s",$C$2:$C91,"PLH")+COUNTIFS($B$2:$B91,"s",$C$2:$C91,"CSF"))-1,12)+1),"N/A"),"")</f>
        <v/>
      </c>
      <c r="J91" s="6" t="str">
        <f>IF(AND($A91&lt;&gt;"",$B91&lt;&gt;"",$C91&lt;&gt;"",$D91&lt;&gt;"",$E91&lt;&gt;""),IF(AND($B91="s",OR($C91="SER",$C91="PLH")),"Case MAX Planck Plate "&amp;(INT(((COUNTIFS($B$2:$B91,"s",$C$2:$C91,"SER")+COUNTIFS($B$2:$B91,"s",$C$2:$C91,"PLH"))-1)/96)+1)&amp;": "&amp;CHAR(65+INT(MOD((COUNTIFS($B$2:$B91,"s",$C$2:$C91,"SER")+COUNTIFS($B$2:$B91,"s",$C$2:$C91,"PLH"))-1,96)/12))&amp;(MOD((COUNTIFS($B$2:$B91,"s",$C$2:$C91,"SER")+COUNTIFS($B$2:$B91,"s",$C$2:$C91,"PLH"))-1,12)+1),"N/A"),"")</f>
        <v/>
      </c>
      <c r="K91" s="6" t="str">
        <f>IF(AND($A91&lt;&gt;"",$B91&lt;&gt;"",$C91&lt;&gt;"",$D91&lt;&gt;"",$E91&lt;&gt;""),IF($C91="WB","Case WB Box "&amp;(INT((COUNTIFS($C$2:$C91,"WB")-1)/81)+1)&amp;": "&amp;CHAR(65+INT(MOD(COUNTIFS($C$2:$C91,"WB")-1,81)/9))&amp;(MOD(COUNTIFS($C$2:$C91,"WB")-1,9)+1),"N/A"),"")</f>
        <v/>
      </c>
      <c r="L91" s="2" t="str">
        <f t="shared" si="19"/>
        <v/>
      </c>
      <c r="M91" s="2"/>
      <c r="N91" s="2"/>
      <c r="O91" s="2"/>
      <c r="P91" s="7" t="str">
        <f t="shared" si="20"/>
        <v/>
      </c>
      <c r="Q91" s="7" t="str">
        <f t="shared" si="21"/>
        <v/>
      </c>
      <c r="R91" s="7" t="str">
        <f t="shared" si="22"/>
        <v/>
      </c>
      <c r="S91" s="7" t="str">
        <f t="shared" si="23"/>
        <v/>
      </c>
      <c r="T91" s="7" t="str">
        <f t="shared" si="24"/>
        <v/>
      </c>
      <c r="U91" s="7" t="str">
        <f t="shared" si="25"/>
        <v/>
      </c>
      <c r="V91" s="7" t="str">
        <f t="shared" si="26"/>
        <v/>
      </c>
      <c r="W91" s="7" t="str">
        <f t="shared" si="27"/>
        <v/>
      </c>
      <c r="X91" s="7" t="str">
        <f t="shared" si="28"/>
        <v/>
      </c>
      <c r="Y91" s="7" t="str">
        <f t="shared" si="29"/>
        <v/>
      </c>
      <c r="Z91">
        <f t="shared" si="30"/>
        <v>0</v>
      </c>
      <c r="AA91" t="str">
        <f t="shared" si="31"/>
        <v/>
      </c>
      <c r="AB91" t="str">
        <f t="shared" si="32"/>
        <v/>
      </c>
      <c r="AC91" t="str">
        <f t="shared" si="33"/>
        <v/>
      </c>
      <c r="AD91" t="str">
        <f t="shared" si="34"/>
        <v/>
      </c>
      <c r="AE91">
        <f t="shared" si="35"/>
        <v>0</v>
      </c>
    </row>
    <row r="92" spans="1:31" ht="15" customHeight="1" x14ac:dyDescent="0.35">
      <c r="A92" s="2"/>
      <c r="B92" s="3"/>
      <c r="C92" s="3"/>
      <c r="D92" s="4"/>
      <c r="E92" s="5"/>
      <c r="F92" s="11" t="str">
        <f t="shared" ca="1" si="18"/>
        <v/>
      </c>
      <c r="G92" s="5"/>
      <c r="H92" s="6" t="str">
        <f>IF(AND($A92&lt;&gt;"",$B92&lt;&gt;"",$C92&lt;&gt;"",$D92&lt;&gt;"",$E92&lt;&gt;""),IF(AND($B92="s",OR($C92="SER",$C92="PLH",$C92="CSF")),"Case CDI Plate "&amp;(INT(((COUNTIFS($B$2:$B92,"s",$C$2:$C92,"SER")+COUNTIFS($B$2:$B92,"s",$C$2:$C92,"PLH")+COUNTIFS($B$2:$B92,"s",$C$2:$C92,"CSF"))-1)/96)+1)&amp;": "&amp;CHAR(65+INT(MOD((COUNTIFS($B$2:$B92,"s",$C$2:$C92,"SER")+COUNTIFS($B$2:$B92,"s",$C$2:$C92,"PLH")+COUNTIFS($B$2:$B92,"s",$C$2:$C92,"CSF"))-1,96)/12))&amp;(MOD((COUNTIFS($B$2:$B92,"s",$C$2:$C92,"SER")+COUNTIFS($B$2:$B92,"s",$C$2:$C92,"PLH")+COUNTIFS($B$2:$B92,"s",$C$2:$C92,"CSF"))-1,12)+1),"N/A"),"")</f>
        <v/>
      </c>
      <c r="I92" s="6" t="str">
        <f>IF(AND($A92&lt;&gt;"",$B92&lt;&gt;"",$C92&lt;&gt;"",$D92&lt;&gt;"",$E92&lt;&gt;""),IF(AND($B92="s",OR($C92="SER",$C92="PLH",$C92="CSF")),"Case NIH Plate "&amp;(INT(((COUNTIFS($B$2:$B92,"s",$C$2:$C92,"SER")+COUNTIFS($B$2:$B92,"s",$C$2:$C92,"PLH")+COUNTIFS($B$2:$B92,"s",$C$2:$C92,"CSF"))-1)/96)+1)&amp;": "&amp;CHAR(65+INT(MOD((COUNTIFS($B$2:$B92,"s",$C$2:$C92,"SER")+COUNTIFS($B$2:$B92,"s",$C$2:$C92,"PLH")+COUNTIFS($B$2:$B92,"s",$C$2:$C92,"CSF"))-1,96)/12))&amp;(MOD((COUNTIFS($B$2:$B92,"s",$C$2:$C92,"SER")+COUNTIFS($B$2:$B92,"s",$C$2:$C92,"PLH")+COUNTIFS($B$2:$B92,"s",$C$2:$C92,"CSF"))-1,12)+1),"N/A"),"")</f>
        <v/>
      </c>
      <c r="J92" s="6" t="str">
        <f>IF(AND($A92&lt;&gt;"",$B92&lt;&gt;"",$C92&lt;&gt;"",$D92&lt;&gt;"",$E92&lt;&gt;""),IF(AND($B92="s",OR($C92="SER",$C92="PLH")),"Case MAX Planck Plate "&amp;(INT(((COUNTIFS($B$2:$B92,"s",$C$2:$C92,"SER")+COUNTIFS($B$2:$B92,"s",$C$2:$C92,"PLH"))-1)/96)+1)&amp;": "&amp;CHAR(65+INT(MOD((COUNTIFS($B$2:$B92,"s",$C$2:$C92,"SER")+COUNTIFS($B$2:$B92,"s",$C$2:$C92,"PLH"))-1,96)/12))&amp;(MOD((COUNTIFS($B$2:$B92,"s",$C$2:$C92,"SER")+COUNTIFS($B$2:$B92,"s",$C$2:$C92,"PLH"))-1,12)+1),"N/A"),"")</f>
        <v/>
      </c>
      <c r="K92" s="6" t="str">
        <f>IF(AND($A92&lt;&gt;"",$B92&lt;&gt;"",$C92&lt;&gt;"",$D92&lt;&gt;"",$E92&lt;&gt;""),IF($C92="WB","Case WB Box "&amp;(INT((COUNTIFS($C$2:$C92,"WB")-1)/81)+1)&amp;": "&amp;CHAR(65+INT(MOD(COUNTIFS($C$2:$C92,"WB")-1,81)/9))&amp;(MOD(COUNTIFS($C$2:$C92,"WB")-1,9)+1),"N/A"),"")</f>
        <v/>
      </c>
      <c r="L92" s="2" t="str">
        <f t="shared" si="19"/>
        <v/>
      </c>
      <c r="M92" s="2"/>
      <c r="N92" s="2"/>
      <c r="O92" s="2"/>
      <c r="P92" s="7" t="str">
        <f t="shared" si="20"/>
        <v/>
      </c>
      <c r="Q92" s="7" t="str">
        <f t="shared" si="21"/>
        <v/>
      </c>
      <c r="R92" s="7" t="str">
        <f t="shared" si="22"/>
        <v/>
      </c>
      <c r="S92" s="7" t="str">
        <f t="shared" si="23"/>
        <v/>
      </c>
      <c r="T92" s="7" t="str">
        <f t="shared" si="24"/>
        <v/>
      </c>
      <c r="U92" s="7" t="str">
        <f t="shared" si="25"/>
        <v/>
      </c>
      <c r="V92" s="7" t="str">
        <f t="shared" si="26"/>
        <v/>
      </c>
      <c r="W92" s="7" t="str">
        <f t="shared" si="27"/>
        <v/>
      </c>
      <c r="X92" s="7" t="str">
        <f t="shared" si="28"/>
        <v/>
      </c>
      <c r="Y92" s="7" t="str">
        <f t="shared" si="29"/>
        <v/>
      </c>
      <c r="Z92">
        <f t="shared" si="30"/>
        <v>0</v>
      </c>
      <c r="AA92" t="str">
        <f t="shared" si="31"/>
        <v/>
      </c>
      <c r="AB92" t="str">
        <f t="shared" si="32"/>
        <v/>
      </c>
      <c r="AC92" t="str">
        <f t="shared" si="33"/>
        <v/>
      </c>
      <c r="AD92" t="str">
        <f t="shared" si="34"/>
        <v/>
      </c>
      <c r="AE92">
        <f t="shared" si="35"/>
        <v>0</v>
      </c>
    </row>
    <row r="93" spans="1:31" ht="15" customHeight="1" x14ac:dyDescent="0.35">
      <c r="A93" s="2"/>
      <c r="B93" s="3"/>
      <c r="C93" s="3"/>
      <c r="D93" s="4"/>
      <c r="E93" s="5"/>
      <c r="F93" s="11" t="str">
        <f t="shared" ca="1" si="18"/>
        <v/>
      </c>
      <c r="G93" s="5"/>
      <c r="H93" s="6" t="str">
        <f>IF(AND($A93&lt;&gt;"",$B93&lt;&gt;"",$C93&lt;&gt;"",$D93&lt;&gt;"",$E93&lt;&gt;""),IF(AND($B93="s",OR($C93="SER",$C93="PLH",$C93="CSF")),"Case CDI Plate "&amp;(INT(((COUNTIFS($B$2:$B93,"s",$C$2:$C93,"SER")+COUNTIFS($B$2:$B93,"s",$C$2:$C93,"PLH")+COUNTIFS($B$2:$B93,"s",$C$2:$C93,"CSF"))-1)/96)+1)&amp;": "&amp;CHAR(65+INT(MOD((COUNTIFS($B$2:$B93,"s",$C$2:$C93,"SER")+COUNTIFS($B$2:$B93,"s",$C$2:$C93,"PLH")+COUNTIFS($B$2:$B93,"s",$C$2:$C93,"CSF"))-1,96)/12))&amp;(MOD((COUNTIFS($B$2:$B93,"s",$C$2:$C93,"SER")+COUNTIFS($B$2:$B93,"s",$C$2:$C93,"PLH")+COUNTIFS($B$2:$B93,"s",$C$2:$C93,"CSF"))-1,12)+1),"N/A"),"")</f>
        <v/>
      </c>
      <c r="I93" s="6" t="str">
        <f>IF(AND($A93&lt;&gt;"",$B93&lt;&gt;"",$C93&lt;&gt;"",$D93&lt;&gt;"",$E93&lt;&gt;""),IF(AND($B93="s",OR($C93="SER",$C93="PLH",$C93="CSF")),"Case NIH Plate "&amp;(INT(((COUNTIFS($B$2:$B93,"s",$C$2:$C93,"SER")+COUNTIFS($B$2:$B93,"s",$C$2:$C93,"PLH")+COUNTIFS($B$2:$B93,"s",$C$2:$C93,"CSF"))-1)/96)+1)&amp;": "&amp;CHAR(65+INT(MOD((COUNTIFS($B$2:$B93,"s",$C$2:$C93,"SER")+COUNTIFS($B$2:$B93,"s",$C$2:$C93,"PLH")+COUNTIFS($B$2:$B93,"s",$C$2:$C93,"CSF"))-1,96)/12))&amp;(MOD((COUNTIFS($B$2:$B93,"s",$C$2:$C93,"SER")+COUNTIFS($B$2:$B93,"s",$C$2:$C93,"PLH")+COUNTIFS($B$2:$B93,"s",$C$2:$C93,"CSF"))-1,12)+1),"N/A"),"")</f>
        <v/>
      </c>
      <c r="J93" s="6" t="str">
        <f>IF(AND($A93&lt;&gt;"",$B93&lt;&gt;"",$C93&lt;&gt;"",$D93&lt;&gt;"",$E93&lt;&gt;""),IF(AND($B93="s",OR($C93="SER",$C93="PLH")),"Case MAX Planck Plate "&amp;(INT(((COUNTIFS($B$2:$B93,"s",$C$2:$C93,"SER")+COUNTIFS($B$2:$B93,"s",$C$2:$C93,"PLH"))-1)/96)+1)&amp;": "&amp;CHAR(65+INT(MOD((COUNTIFS($B$2:$B93,"s",$C$2:$C93,"SER")+COUNTIFS($B$2:$B93,"s",$C$2:$C93,"PLH"))-1,96)/12))&amp;(MOD((COUNTIFS($B$2:$B93,"s",$C$2:$C93,"SER")+COUNTIFS($B$2:$B93,"s",$C$2:$C93,"PLH"))-1,12)+1),"N/A"),"")</f>
        <v/>
      </c>
      <c r="K93" s="6" t="str">
        <f>IF(AND($A93&lt;&gt;"",$B93&lt;&gt;"",$C93&lt;&gt;"",$D93&lt;&gt;"",$E93&lt;&gt;""),IF($C93="WB","Case WB Box "&amp;(INT((COUNTIFS($C$2:$C93,"WB")-1)/81)+1)&amp;": "&amp;CHAR(65+INT(MOD(COUNTIFS($C$2:$C93,"WB")-1,81)/9))&amp;(MOD(COUNTIFS($C$2:$C93,"WB")-1,9)+1),"N/A"),"")</f>
        <v/>
      </c>
      <c r="L93" s="2" t="str">
        <f t="shared" si="19"/>
        <v/>
      </c>
      <c r="M93" s="2"/>
      <c r="N93" s="2"/>
      <c r="O93" s="2"/>
      <c r="P93" s="7" t="str">
        <f t="shared" si="20"/>
        <v/>
      </c>
      <c r="Q93" s="7" t="str">
        <f t="shared" si="21"/>
        <v/>
      </c>
      <c r="R93" s="7" t="str">
        <f t="shared" si="22"/>
        <v/>
      </c>
      <c r="S93" s="7" t="str">
        <f t="shared" si="23"/>
        <v/>
      </c>
      <c r="T93" s="7" t="str">
        <f t="shared" si="24"/>
        <v/>
      </c>
      <c r="U93" s="7" t="str">
        <f t="shared" si="25"/>
        <v/>
      </c>
      <c r="V93" s="7" t="str">
        <f t="shared" si="26"/>
        <v/>
      </c>
      <c r="W93" s="7" t="str">
        <f t="shared" si="27"/>
        <v/>
      </c>
      <c r="X93" s="7" t="str">
        <f t="shared" si="28"/>
        <v/>
      </c>
      <c r="Y93" s="7" t="str">
        <f t="shared" si="29"/>
        <v/>
      </c>
      <c r="Z93">
        <f t="shared" si="30"/>
        <v>0</v>
      </c>
      <c r="AA93" t="str">
        <f t="shared" si="31"/>
        <v/>
      </c>
      <c r="AB93" t="str">
        <f t="shared" si="32"/>
        <v/>
      </c>
      <c r="AC93" t="str">
        <f t="shared" si="33"/>
        <v/>
      </c>
      <c r="AD93" t="str">
        <f t="shared" si="34"/>
        <v/>
      </c>
      <c r="AE93">
        <f t="shared" si="35"/>
        <v>0</v>
      </c>
    </row>
    <row r="94" spans="1:31" ht="15" customHeight="1" x14ac:dyDescent="0.35">
      <c r="A94" s="2"/>
      <c r="B94" s="3"/>
      <c r="C94" s="3"/>
      <c r="D94" s="4"/>
      <c r="E94" s="5"/>
      <c r="F94" s="11" t="str">
        <f t="shared" ca="1" si="18"/>
        <v/>
      </c>
      <c r="G94" s="5"/>
      <c r="H94" s="6" t="str">
        <f>IF(AND($A94&lt;&gt;"",$B94&lt;&gt;"",$C94&lt;&gt;"",$D94&lt;&gt;"",$E94&lt;&gt;""),IF(AND($B94="s",OR($C94="SER",$C94="PLH",$C94="CSF")),"Case CDI Plate "&amp;(INT(((COUNTIFS($B$2:$B94,"s",$C$2:$C94,"SER")+COUNTIFS($B$2:$B94,"s",$C$2:$C94,"PLH")+COUNTIFS($B$2:$B94,"s",$C$2:$C94,"CSF"))-1)/96)+1)&amp;": "&amp;CHAR(65+INT(MOD((COUNTIFS($B$2:$B94,"s",$C$2:$C94,"SER")+COUNTIFS($B$2:$B94,"s",$C$2:$C94,"PLH")+COUNTIFS($B$2:$B94,"s",$C$2:$C94,"CSF"))-1,96)/12))&amp;(MOD((COUNTIFS($B$2:$B94,"s",$C$2:$C94,"SER")+COUNTIFS($B$2:$B94,"s",$C$2:$C94,"PLH")+COUNTIFS($B$2:$B94,"s",$C$2:$C94,"CSF"))-1,12)+1),"N/A"),"")</f>
        <v/>
      </c>
      <c r="I94" s="6" t="str">
        <f>IF(AND($A94&lt;&gt;"",$B94&lt;&gt;"",$C94&lt;&gt;"",$D94&lt;&gt;"",$E94&lt;&gt;""),IF(AND($B94="s",OR($C94="SER",$C94="PLH",$C94="CSF")),"Case NIH Plate "&amp;(INT(((COUNTIFS($B$2:$B94,"s",$C$2:$C94,"SER")+COUNTIFS($B$2:$B94,"s",$C$2:$C94,"PLH")+COUNTIFS($B$2:$B94,"s",$C$2:$C94,"CSF"))-1)/96)+1)&amp;": "&amp;CHAR(65+INT(MOD((COUNTIFS($B$2:$B94,"s",$C$2:$C94,"SER")+COUNTIFS($B$2:$B94,"s",$C$2:$C94,"PLH")+COUNTIFS($B$2:$B94,"s",$C$2:$C94,"CSF"))-1,96)/12))&amp;(MOD((COUNTIFS($B$2:$B94,"s",$C$2:$C94,"SER")+COUNTIFS($B$2:$B94,"s",$C$2:$C94,"PLH")+COUNTIFS($B$2:$B94,"s",$C$2:$C94,"CSF"))-1,12)+1),"N/A"),"")</f>
        <v/>
      </c>
      <c r="J94" s="6" t="str">
        <f>IF(AND($A94&lt;&gt;"",$B94&lt;&gt;"",$C94&lt;&gt;"",$D94&lt;&gt;"",$E94&lt;&gt;""),IF(AND($B94="s",OR($C94="SER",$C94="PLH")),"Case MAX Planck Plate "&amp;(INT(((COUNTIFS($B$2:$B94,"s",$C$2:$C94,"SER")+COUNTIFS($B$2:$B94,"s",$C$2:$C94,"PLH"))-1)/96)+1)&amp;": "&amp;CHAR(65+INT(MOD((COUNTIFS($B$2:$B94,"s",$C$2:$C94,"SER")+COUNTIFS($B$2:$B94,"s",$C$2:$C94,"PLH"))-1,96)/12))&amp;(MOD((COUNTIFS($B$2:$B94,"s",$C$2:$C94,"SER")+COUNTIFS($B$2:$B94,"s",$C$2:$C94,"PLH"))-1,12)+1),"N/A"),"")</f>
        <v/>
      </c>
      <c r="K94" s="6" t="str">
        <f>IF(AND($A94&lt;&gt;"",$B94&lt;&gt;"",$C94&lt;&gt;"",$D94&lt;&gt;"",$E94&lt;&gt;""),IF($C94="WB","Case WB Box "&amp;(INT((COUNTIFS($C$2:$C94,"WB")-1)/81)+1)&amp;": "&amp;CHAR(65+INT(MOD(COUNTIFS($C$2:$C94,"WB")-1,81)/9))&amp;(MOD(COUNTIFS($C$2:$C94,"WB")-1,9)+1),"N/A"),"")</f>
        <v/>
      </c>
      <c r="L94" s="2" t="str">
        <f t="shared" si="19"/>
        <v/>
      </c>
      <c r="M94" s="2"/>
      <c r="N94" s="2"/>
      <c r="O94" s="2"/>
      <c r="P94" s="7" t="str">
        <f t="shared" si="20"/>
        <v/>
      </c>
      <c r="Q94" s="7" t="str">
        <f t="shared" si="21"/>
        <v/>
      </c>
      <c r="R94" s="7" t="str">
        <f t="shared" si="22"/>
        <v/>
      </c>
      <c r="S94" s="7" t="str">
        <f t="shared" si="23"/>
        <v/>
      </c>
      <c r="T94" s="7" t="str">
        <f t="shared" si="24"/>
        <v/>
      </c>
      <c r="U94" s="7" t="str">
        <f t="shared" si="25"/>
        <v/>
      </c>
      <c r="V94" s="7" t="str">
        <f t="shared" si="26"/>
        <v/>
      </c>
      <c r="W94" s="7" t="str">
        <f t="shared" si="27"/>
        <v/>
      </c>
      <c r="X94" s="7" t="str">
        <f t="shared" si="28"/>
        <v/>
      </c>
      <c r="Y94" s="7" t="str">
        <f t="shared" si="29"/>
        <v/>
      </c>
      <c r="Z94">
        <f t="shared" si="30"/>
        <v>0</v>
      </c>
      <c r="AA94" t="str">
        <f t="shared" si="31"/>
        <v/>
      </c>
      <c r="AB94" t="str">
        <f t="shared" si="32"/>
        <v/>
      </c>
      <c r="AC94" t="str">
        <f t="shared" si="33"/>
        <v/>
      </c>
      <c r="AD94" t="str">
        <f t="shared" si="34"/>
        <v/>
      </c>
      <c r="AE94">
        <f t="shared" si="35"/>
        <v>0</v>
      </c>
    </row>
    <row r="95" spans="1:31" ht="15" customHeight="1" x14ac:dyDescent="0.35">
      <c r="A95" s="2"/>
      <c r="B95" s="3"/>
      <c r="C95" s="3"/>
      <c r="D95" s="4"/>
      <c r="E95" s="5"/>
      <c r="F95" s="11" t="str">
        <f t="shared" ca="1" si="18"/>
        <v/>
      </c>
      <c r="G95" s="5"/>
      <c r="H95" s="6" t="str">
        <f>IF(AND($A95&lt;&gt;"",$B95&lt;&gt;"",$C95&lt;&gt;"",$D95&lt;&gt;"",$E95&lt;&gt;""),IF(AND($B95="s",OR($C95="SER",$C95="PLH",$C95="CSF")),"Case CDI Plate "&amp;(INT(((COUNTIFS($B$2:$B95,"s",$C$2:$C95,"SER")+COUNTIFS($B$2:$B95,"s",$C$2:$C95,"PLH")+COUNTIFS($B$2:$B95,"s",$C$2:$C95,"CSF"))-1)/96)+1)&amp;": "&amp;CHAR(65+INT(MOD((COUNTIFS($B$2:$B95,"s",$C$2:$C95,"SER")+COUNTIFS($B$2:$B95,"s",$C$2:$C95,"PLH")+COUNTIFS($B$2:$B95,"s",$C$2:$C95,"CSF"))-1,96)/12))&amp;(MOD((COUNTIFS($B$2:$B95,"s",$C$2:$C95,"SER")+COUNTIFS($B$2:$B95,"s",$C$2:$C95,"PLH")+COUNTIFS($B$2:$B95,"s",$C$2:$C95,"CSF"))-1,12)+1),"N/A"),"")</f>
        <v/>
      </c>
      <c r="I95" s="6" t="str">
        <f>IF(AND($A95&lt;&gt;"",$B95&lt;&gt;"",$C95&lt;&gt;"",$D95&lt;&gt;"",$E95&lt;&gt;""),IF(AND($B95="s",OR($C95="SER",$C95="PLH",$C95="CSF")),"Case NIH Plate "&amp;(INT(((COUNTIFS($B$2:$B95,"s",$C$2:$C95,"SER")+COUNTIFS($B$2:$B95,"s",$C$2:$C95,"PLH")+COUNTIFS($B$2:$B95,"s",$C$2:$C95,"CSF"))-1)/96)+1)&amp;": "&amp;CHAR(65+INT(MOD((COUNTIFS($B$2:$B95,"s",$C$2:$C95,"SER")+COUNTIFS($B$2:$B95,"s",$C$2:$C95,"PLH")+COUNTIFS($B$2:$B95,"s",$C$2:$C95,"CSF"))-1,96)/12))&amp;(MOD((COUNTIFS($B$2:$B95,"s",$C$2:$C95,"SER")+COUNTIFS($B$2:$B95,"s",$C$2:$C95,"PLH")+COUNTIFS($B$2:$B95,"s",$C$2:$C95,"CSF"))-1,12)+1),"N/A"),"")</f>
        <v/>
      </c>
      <c r="J95" s="6" t="str">
        <f>IF(AND($A95&lt;&gt;"",$B95&lt;&gt;"",$C95&lt;&gt;"",$D95&lt;&gt;"",$E95&lt;&gt;""),IF(AND($B95="s",OR($C95="SER",$C95="PLH")),"Case MAX Planck Plate "&amp;(INT(((COUNTIFS($B$2:$B95,"s",$C$2:$C95,"SER")+COUNTIFS($B$2:$B95,"s",$C$2:$C95,"PLH"))-1)/96)+1)&amp;": "&amp;CHAR(65+INT(MOD((COUNTIFS($B$2:$B95,"s",$C$2:$C95,"SER")+COUNTIFS($B$2:$B95,"s",$C$2:$C95,"PLH"))-1,96)/12))&amp;(MOD((COUNTIFS($B$2:$B95,"s",$C$2:$C95,"SER")+COUNTIFS($B$2:$B95,"s",$C$2:$C95,"PLH"))-1,12)+1),"N/A"),"")</f>
        <v/>
      </c>
      <c r="K95" s="6" t="str">
        <f>IF(AND($A95&lt;&gt;"",$B95&lt;&gt;"",$C95&lt;&gt;"",$D95&lt;&gt;"",$E95&lt;&gt;""),IF($C95="WB","Case WB Box "&amp;(INT((COUNTIFS($C$2:$C95,"WB")-1)/81)+1)&amp;": "&amp;CHAR(65+INT(MOD(COUNTIFS($C$2:$C95,"WB")-1,81)/9))&amp;(MOD(COUNTIFS($C$2:$C95,"WB")-1,9)+1),"N/A"),"")</f>
        <v/>
      </c>
      <c r="L95" s="2" t="str">
        <f t="shared" si="19"/>
        <v/>
      </c>
      <c r="M95" s="2"/>
      <c r="N95" s="2"/>
      <c r="O95" s="2"/>
      <c r="P95" s="7" t="str">
        <f t="shared" si="20"/>
        <v/>
      </c>
      <c r="Q95" s="7" t="str">
        <f t="shared" si="21"/>
        <v/>
      </c>
      <c r="R95" s="7" t="str">
        <f t="shared" si="22"/>
        <v/>
      </c>
      <c r="S95" s="7" t="str">
        <f t="shared" si="23"/>
        <v/>
      </c>
      <c r="T95" s="7" t="str">
        <f t="shared" si="24"/>
        <v/>
      </c>
      <c r="U95" s="7" t="str">
        <f t="shared" si="25"/>
        <v/>
      </c>
      <c r="V95" s="7" t="str">
        <f t="shared" si="26"/>
        <v/>
      </c>
      <c r="W95" s="7" t="str">
        <f t="shared" si="27"/>
        <v/>
      </c>
      <c r="X95" s="7" t="str">
        <f t="shared" si="28"/>
        <v/>
      </c>
      <c r="Y95" s="7" t="str">
        <f t="shared" si="29"/>
        <v/>
      </c>
      <c r="Z95">
        <f t="shared" si="30"/>
        <v>0</v>
      </c>
      <c r="AA95" t="str">
        <f t="shared" si="31"/>
        <v/>
      </c>
      <c r="AB95" t="str">
        <f t="shared" si="32"/>
        <v/>
      </c>
      <c r="AC95" t="str">
        <f t="shared" si="33"/>
        <v/>
      </c>
      <c r="AD95" t="str">
        <f t="shared" si="34"/>
        <v/>
      </c>
      <c r="AE95">
        <f t="shared" si="35"/>
        <v>0</v>
      </c>
    </row>
    <row r="96" spans="1:31" ht="15" customHeight="1" x14ac:dyDescent="0.35">
      <c r="A96" s="2"/>
      <c r="B96" s="3"/>
      <c r="C96" s="3"/>
      <c r="D96" s="4"/>
      <c r="E96" s="5"/>
      <c r="F96" s="11" t="str">
        <f t="shared" ca="1" si="18"/>
        <v/>
      </c>
      <c r="G96" s="5"/>
      <c r="H96" s="6" t="str">
        <f>IF(AND($A96&lt;&gt;"",$B96&lt;&gt;"",$C96&lt;&gt;"",$D96&lt;&gt;"",$E96&lt;&gt;""),IF(AND($B96="s",OR($C96="SER",$C96="PLH",$C96="CSF")),"Case CDI Plate "&amp;(INT(((COUNTIFS($B$2:$B96,"s",$C$2:$C96,"SER")+COUNTIFS($B$2:$B96,"s",$C$2:$C96,"PLH")+COUNTIFS($B$2:$B96,"s",$C$2:$C96,"CSF"))-1)/96)+1)&amp;": "&amp;CHAR(65+INT(MOD((COUNTIFS($B$2:$B96,"s",$C$2:$C96,"SER")+COUNTIFS($B$2:$B96,"s",$C$2:$C96,"PLH")+COUNTIFS($B$2:$B96,"s",$C$2:$C96,"CSF"))-1,96)/12))&amp;(MOD((COUNTIFS($B$2:$B96,"s",$C$2:$C96,"SER")+COUNTIFS($B$2:$B96,"s",$C$2:$C96,"PLH")+COUNTIFS($B$2:$B96,"s",$C$2:$C96,"CSF"))-1,12)+1),"N/A"),"")</f>
        <v/>
      </c>
      <c r="I96" s="6" t="str">
        <f>IF(AND($A96&lt;&gt;"",$B96&lt;&gt;"",$C96&lt;&gt;"",$D96&lt;&gt;"",$E96&lt;&gt;""),IF(AND($B96="s",OR($C96="SER",$C96="PLH",$C96="CSF")),"Case NIH Plate "&amp;(INT(((COUNTIFS($B$2:$B96,"s",$C$2:$C96,"SER")+COUNTIFS($B$2:$B96,"s",$C$2:$C96,"PLH")+COUNTIFS($B$2:$B96,"s",$C$2:$C96,"CSF"))-1)/96)+1)&amp;": "&amp;CHAR(65+INT(MOD((COUNTIFS($B$2:$B96,"s",$C$2:$C96,"SER")+COUNTIFS($B$2:$B96,"s",$C$2:$C96,"PLH")+COUNTIFS($B$2:$B96,"s",$C$2:$C96,"CSF"))-1,96)/12))&amp;(MOD((COUNTIFS($B$2:$B96,"s",$C$2:$C96,"SER")+COUNTIFS($B$2:$B96,"s",$C$2:$C96,"PLH")+COUNTIFS($B$2:$B96,"s",$C$2:$C96,"CSF"))-1,12)+1),"N/A"),"")</f>
        <v/>
      </c>
      <c r="J96" s="6" t="str">
        <f>IF(AND($A96&lt;&gt;"",$B96&lt;&gt;"",$C96&lt;&gt;"",$D96&lt;&gt;"",$E96&lt;&gt;""),IF(AND($B96="s",OR($C96="SER",$C96="PLH")),"Case MAX Planck Plate "&amp;(INT(((COUNTIFS($B$2:$B96,"s",$C$2:$C96,"SER")+COUNTIFS($B$2:$B96,"s",$C$2:$C96,"PLH"))-1)/96)+1)&amp;": "&amp;CHAR(65+INT(MOD((COUNTIFS($B$2:$B96,"s",$C$2:$C96,"SER")+COUNTIFS($B$2:$B96,"s",$C$2:$C96,"PLH"))-1,96)/12))&amp;(MOD((COUNTIFS($B$2:$B96,"s",$C$2:$C96,"SER")+COUNTIFS($B$2:$B96,"s",$C$2:$C96,"PLH"))-1,12)+1),"N/A"),"")</f>
        <v/>
      </c>
      <c r="K96" s="6" t="str">
        <f>IF(AND($A96&lt;&gt;"",$B96&lt;&gt;"",$C96&lt;&gt;"",$D96&lt;&gt;"",$E96&lt;&gt;""),IF($C96="WB","Case WB Box "&amp;(INT((COUNTIFS($C$2:$C96,"WB")-1)/81)+1)&amp;": "&amp;CHAR(65+INT(MOD(COUNTIFS($C$2:$C96,"WB")-1,81)/9))&amp;(MOD(COUNTIFS($C$2:$C96,"WB")-1,9)+1),"N/A"),"")</f>
        <v/>
      </c>
      <c r="L96" s="2" t="str">
        <f t="shared" si="19"/>
        <v/>
      </c>
      <c r="M96" s="2"/>
      <c r="N96" s="2"/>
      <c r="O96" s="2"/>
      <c r="P96" s="7" t="str">
        <f t="shared" si="20"/>
        <v/>
      </c>
      <c r="Q96" s="7" t="str">
        <f t="shared" si="21"/>
        <v/>
      </c>
      <c r="R96" s="7" t="str">
        <f t="shared" si="22"/>
        <v/>
      </c>
      <c r="S96" s="7" t="str">
        <f t="shared" si="23"/>
        <v/>
      </c>
      <c r="T96" s="7" t="str">
        <f t="shared" si="24"/>
        <v/>
      </c>
      <c r="U96" s="7" t="str">
        <f t="shared" si="25"/>
        <v/>
      </c>
      <c r="V96" s="7" t="str">
        <f t="shared" si="26"/>
        <v/>
      </c>
      <c r="W96" s="7" t="str">
        <f t="shared" si="27"/>
        <v/>
      </c>
      <c r="X96" s="7" t="str">
        <f t="shared" si="28"/>
        <v/>
      </c>
      <c r="Y96" s="7" t="str">
        <f t="shared" si="29"/>
        <v/>
      </c>
      <c r="Z96">
        <f t="shared" si="30"/>
        <v>0</v>
      </c>
      <c r="AA96" t="str">
        <f t="shared" si="31"/>
        <v/>
      </c>
      <c r="AB96" t="str">
        <f t="shared" si="32"/>
        <v/>
      </c>
      <c r="AC96" t="str">
        <f t="shared" si="33"/>
        <v/>
      </c>
      <c r="AD96" t="str">
        <f t="shared" si="34"/>
        <v/>
      </c>
      <c r="AE96">
        <f t="shared" si="35"/>
        <v>0</v>
      </c>
    </row>
    <row r="97" spans="1:31" ht="15" customHeight="1" x14ac:dyDescent="0.35">
      <c r="A97" s="2"/>
      <c r="B97" s="3"/>
      <c r="C97" s="3"/>
      <c r="D97" s="4"/>
      <c r="E97" s="5"/>
      <c r="F97" s="11" t="str">
        <f t="shared" ca="1" si="18"/>
        <v/>
      </c>
      <c r="G97" s="5"/>
      <c r="H97" s="6" t="str">
        <f>IF(AND($A97&lt;&gt;"",$B97&lt;&gt;"",$C97&lt;&gt;"",$D97&lt;&gt;"",$E97&lt;&gt;""),IF(AND($B97="s",OR($C97="SER",$C97="PLH",$C97="CSF")),"Case CDI Plate "&amp;(INT(((COUNTIFS($B$2:$B97,"s",$C$2:$C97,"SER")+COUNTIFS($B$2:$B97,"s",$C$2:$C97,"PLH")+COUNTIFS($B$2:$B97,"s",$C$2:$C97,"CSF"))-1)/96)+1)&amp;": "&amp;CHAR(65+INT(MOD((COUNTIFS($B$2:$B97,"s",$C$2:$C97,"SER")+COUNTIFS($B$2:$B97,"s",$C$2:$C97,"PLH")+COUNTIFS($B$2:$B97,"s",$C$2:$C97,"CSF"))-1,96)/12))&amp;(MOD((COUNTIFS($B$2:$B97,"s",$C$2:$C97,"SER")+COUNTIFS($B$2:$B97,"s",$C$2:$C97,"PLH")+COUNTIFS($B$2:$B97,"s",$C$2:$C97,"CSF"))-1,12)+1),"N/A"),"")</f>
        <v/>
      </c>
      <c r="I97" s="6" t="str">
        <f>IF(AND($A97&lt;&gt;"",$B97&lt;&gt;"",$C97&lt;&gt;"",$D97&lt;&gt;"",$E97&lt;&gt;""),IF(AND($B97="s",OR($C97="SER",$C97="PLH",$C97="CSF")),"Case NIH Plate "&amp;(INT(((COUNTIFS($B$2:$B97,"s",$C$2:$C97,"SER")+COUNTIFS($B$2:$B97,"s",$C$2:$C97,"PLH")+COUNTIFS($B$2:$B97,"s",$C$2:$C97,"CSF"))-1)/96)+1)&amp;": "&amp;CHAR(65+INT(MOD((COUNTIFS($B$2:$B97,"s",$C$2:$C97,"SER")+COUNTIFS($B$2:$B97,"s",$C$2:$C97,"PLH")+COUNTIFS($B$2:$B97,"s",$C$2:$C97,"CSF"))-1,96)/12))&amp;(MOD((COUNTIFS($B$2:$B97,"s",$C$2:$C97,"SER")+COUNTIFS($B$2:$B97,"s",$C$2:$C97,"PLH")+COUNTIFS($B$2:$B97,"s",$C$2:$C97,"CSF"))-1,12)+1),"N/A"),"")</f>
        <v/>
      </c>
      <c r="J97" s="6" t="str">
        <f>IF(AND($A97&lt;&gt;"",$B97&lt;&gt;"",$C97&lt;&gt;"",$D97&lt;&gt;"",$E97&lt;&gt;""),IF(AND($B97="s",OR($C97="SER",$C97="PLH")),"Case MAX Planck Plate "&amp;(INT(((COUNTIFS($B$2:$B97,"s",$C$2:$C97,"SER")+COUNTIFS($B$2:$B97,"s",$C$2:$C97,"PLH"))-1)/96)+1)&amp;": "&amp;CHAR(65+INT(MOD((COUNTIFS($B$2:$B97,"s",$C$2:$C97,"SER")+COUNTIFS($B$2:$B97,"s",$C$2:$C97,"PLH"))-1,96)/12))&amp;(MOD((COUNTIFS($B$2:$B97,"s",$C$2:$C97,"SER")+COUNTIFS($B$2:$B97,"s",$C$2:$C97,"PLH"))-1,12)+1),"N/A"),"")</f>
        <v/>
      </c>
      <c r="K97" s="6" t="str">
        <f>IF(AND($A97&lt;&gt;"",$B97&lt;&gt;"",$C97&lt;&gt;"",$D97&lt;&gt;"",$E97&lt;&gt;""),IF($C97="WB","Case WB Box "&amp;(INT((COUNTIFS($C$2:$C97,"WB")-1)/81)+1)&amp;": "&amp;CHAR(65+INT(MOD(COUNTIFS($C$2:$C97,"WB")-1,81)/9))&amp;(MOD(COUNTIFS($C$2:$C97,"WB")-1,9)+1),"N/A"),"")</f>
        <v/>
      </c>
      <c r="L97" s="2" t="str">
        <f t="shared" si="19"/>
        <v/>
      </c>
      <c r="M97" s="2"/>
      <c r="N97" s="2"/>
      <c r="O97" s="2"/>
      <c r="P97" s="7" t="str">
        <f t="shared" si="20"/>
        <v/>
      </c>
      <c r="Q97" s="7" t="str">
        <f t="shared" si="21"/>
        <v/>
      </c>
      <c r="R97" s="7" t="str">
        <f t="shared" si="22"/>
        <v/>
      </c>
      <c r="S97" s="7" t="str">
        <f t="shared" si="23"/>
        <v/>
      </c>
      <c r="T97" s="7" t="str">
        <f t="shared" si="24"/>
        <v/>
      </c>
      <c r="U97" s="7" t="str">
        <f t="shared" si="25"/>
        <v/>
      </c>
      <c r="V97" s="7" t="str">
        <f t="shared" si="26"/>
        <v/>
      </c>
      <c r="W97" s="7" t="str">
        <f t="shared" si="27"/>
        <v/>
      </c>
      <c r="X97" s="7" t="str">
        <f t="shared" si="28"/>
        <v/>
      </c>
      <c r="Y97" s="7" t="str">
        <f t="shared" si="29"/>
        <v/>
      </c>
      <c r="Z97">
        <f t="shared" si="30"/>
        <v>0</v>
      </c>
      <c r="AA97" t="str">
        <f t="shared" si="31"/>
        <v/>
      </c>
      <c r="AB97" t="str">
        <f t="shared" si="32"/>
        <v/>
      </c>
      <c r="AC97" t="str">
        <f t="shared" si="33"/>
        <v/>
      </c>
      <c r="AD97" t="str">
        <f t="shared" si="34"/>
        <v/>
      </c>
      <c r="AE97">
        <f t="shared" si="35"/>
        <v>0</v>
      </c>
    </row>
    <row r="98" spans="1:31" ht="15" customHeight="1" x14ac:dyDescent="0.35">
      <c r="A98" s="2"/>
      <c r="B98" s="3"/>
      <c r="C98" s="3"/>
      <c r="D98" s="4"/>
      <c r="E98" s="5"/>
      <c r="F98" s="11" t="str">
        <f t="shared" ca="1" si="18"/>
        <v/>
      </c>
      <c r="G98" s="5"/>
      <c r="H98" s="6" t="str">
        <f>IF(AND($A98&lt;&gt;"",$B98&lt;&gt;"",$C98&lt;&gt;"",$D98&lt;&gt;"",$E98&lt;&gt;""),IF(AND($B98="s",OR($C98="SER",$C98="PLH",$C98="CSF")),"Case CDI Plate "&amp;(INT(((COUNTIFS($B$2:$B98,"s",$C$2:$C98,"SER")+COUNTIFS($B$2:$B98,"s",$C$2:$C98,"PLH")+COUNTIFS($B$2:$B98,"s",$C$2:$C98,"CSF"))-1)/96)+1)&amp;": "&amp;CHAR(65+INT(MOD((COUNTIFS($B$2:$B98,"s",$C$2:$C98,"SER")+COUNTIFS($B$2:$B98,"s",$C$2:$C98,"PLH")+COUNTIFS($B$2:$B98,"s",$C$2:$C98,"CSF"))-1,96)/12))&amp;(MOD((COUNTIFS($B$2:$B98,"s",$C$2:$C98,"SER")+COUNTIFS($B$2:$B98,"s",$C$2:$C98,"PLH")+COUNTIFS($B$2:$B98,"s",$C$2:$C98,"CSF"))-1,12)+1),"N/A"),"")</f>
        <v/>
      </c>
      <c r="I98" s="6" t="str">
        <f>IF(AND($A98&lt;&gt;"",$B98&lt;&gt;"",$C98&lt;&gt;"",$D98&lt;&gt;"",$E98&lt;&gt;""),IF(AND($B98="s",OR($C98="SER",$C98="PLH",$C98="CSF")),"Case NIH Plate "&amp;(INT(((COUNTIFS($B$2:$B98,"s",$C$2:$C98,"SER")+COUNTIFS($B$2:$B98,"s",$C$2:$C98,"PLH")+COUNTIFS($B$2:$B98,"s",$C$2:$C98,"CSF"))-1)/96)+1)&amp;": "&amp;CHAR(65+INT(MOD((COUNTIFS($B$2:$B98,"s",$C$2:$C98,"SER")+COUNTIFS($B$2:$B98,"s",$C$2:$C98,"PLH")+COUNTIFS($B$2:$B98,"s",$C$2:$C98,"CSF"))-1,96)/12))&amp;(MOD((COUNTIFS($B$2:$B98,"s",$C$2:$C98,"SER")+COUNTIFS($B$2:$B98,"s",$C$2:$C98,"PLH")+COUNTIFS($B$2:$B98,"s",$C$2:$C98,"CSF"))-1,12)+1),"N/A"),"")</f>
        <v/>
      </c>
      <c r="J98" s="6" t="str">
        <f>IF(AND($A98&lt;&gt;"",$B98&lt;&gt;"",$C98&lt;&gt;"",$D98&lt;&gt;"",$E98&lt;&gt;""),IF(AND($B98="s",OR($C98="SER",$C98="PLH")),"Case MAX Planck Plate "&amp;(INT(((COUNTIFS($B$2:$B98,"s",$C$2:$C98,"SER")+COUNTIFS($B$2:$B98,"s",$C$2:$C98,"PLH"))-1)/96)+1)&amp;": "&amp;CHAR(65+INT(MOD((COUNTIFS($B$2:$B98,"s",$C$2:$C98,"SER")+COUNTIFS($B$2:$B98,"s",$C$2:$C98,"PLH"))-1,96)/12))&amp;(MOD((COUNTIFS($B$2:$B98,"s",$C$2:$C98,"SER")+COUNTIFS($B$2:$B98,"s",$C$2:$C98,"PLH"))-1,12)+1),"N/A"),"")</f>
        <v/>
      </c>
      <c r="K98" s="6" t="str">
        <f>IF(AND($A98&lt;&gt;"",$B98&lt;&gt;"",$C98&lt;&gt;"",$D98&lt;&gt;"",$E98&lt;&gt;""),IF($C98="WB","Case WB Box "&amp;(INT((COUNTIFS($C$2:$C98,"WB")-1)/81)+1)&amp;": "&amp;CHAR(65+INT(MOD(COUNTIFS($C$2:$C98,"WB")-1,81)/9))&amp;(MOD(COUNTIFS($C$2:$C98,"WB")-1,9)+1),"N/A"),"")</f>
        <v/>
      </c>
      <c r="L98" s="2" t="str">
        <f t="shared" si="19"/>
        <v/>
      </c>
      <c r="M98" s="2"/>
      <c r="N98" s="2"/>
      <c r="O98" s="2"/>
      <c r="P98" s="7" t="str">
        <f t="shared" si="20"/>
        <v/>
      </c>
      <c r="Q98" s="7" t="str">
        <f t="shared" si="21"/>
        <v/>
      </c>
      <c r="R98" s="7" t="str">
        <f t="shared" si="22"/>
        <v/>
      </c>
      <c r="S98" s="7" t="str">
        <f t="shared" si="23"/>
        <v/>
      </c>
      <c r="T98" s="7" t="str">
        <f t="shared" si="24"/>
        <v/>
      </c>
      <c r="U98" s="7" t="str">
        <f t="shared" si="25"/>
        <v/>
      </c>
      <c r="V98" s="7" t="str">
        <f t="shared" si="26"/>
        <v/>
      </c>
      <c r="W98" s="7" t="str">
        <f t="shared" si="27"/>
        <v/>
      </c>
      <c r="X98" s="7" t="str">
        <f t="shared" si="28"/>
        <v/>
      </c>
      <c r="Y98" s="7" t="str">
        <f t="shared" si="29"/>
        <v/>
      </c>
      <c r="Z98">
        <f t="shared" si="30"/>
        <v>0</v>
      </c>
      <c r="AA98" t="str">
        <f t="shared" si="31"/>
        <v/>
      </c>
      <c r="AB98" t="str">
        <f t="shared" si="32"/>
        <v/>
      </c>
      <c r="AC98" t="str">
        <f t="shared" si="33"/>
        <v/>
      </c>
      <c r="AD98" t="str">
        <f t="shared" si="34"/>
        <v/>
      </c>
      <c r="AE98">
        <f t="shared" si="35"/>
        <v>0</v>
      </c>
    </row>
    <row r="99" spans="1:31" ht="15" customHeight="1" x14ac:dyDescent="0.35">
      <c r="A99" s="2"/>
      <c r="B99" s="3"/>
      <c r="C99" s="3"/>
      <c r="D99" s="4"/>
      <c r="E99" s="5"/>
      <c r="F99" s="11" t="str">
        <f t="shared" ca="1" si="18"/>
        <v/>
      </c>
      <c r="G99" s="5"/>
      <c r="H99" s="6" t="str">
        <f>IF(AND($A99&lt;&gt;"",$B99&lt;&gt;"",$C99&lt;&gt;"",$D99&lt;&gt;"",$E99&lt;&gt;""),IF(AND($B99="s",OR($C99="SER",$C99="PLH",$C99="CSF")),"Case CDI Plate "&amp;(INT(((COUNTIFS($B$2:$B99,"s",$C$2:$C99,"SER")+COUNTIFS($B$2:$B99,"s",$C$2:$C99,"PLH")+COUNTIFS($B$2:$B99,"s",$C$2:$C99,"CSF"))-1)/96)+1)&amp;": "&amp;CHAR(65+INT(MOD((COUNTIFS($B$2:$B99,"s",$C$2:$C99,"SER")+COUNTIFS($B$2:$B99,"s",$C$2:$C99,"PLH")+COUNTIFS($B$2:$B99,"s",$C$2:$C99,"CSF"))-1,96)/12))&amp;(MOD((COUNTIFS($B$2:$B99,"s",$C$2:$C99,"SER")+COUNTIFS($B$2:$B99,"s",$C$2:$C99,"PLH")+COUNTIFS($B$2:$B99,"s",$C$2:$C99,"CSF"))-1,12)+1),"N/A"),"")</f>
        <v/>
      </c>
      <c r="I99" s="6" t="str">
        <f>IF(AND($A99&lt;&gt;"",$B99&lt;&gt;"",$C99&lt;&gt;"",$D99&lt;&gt;"",$E99&lt;&gt;""),IF(AND($B99="s",OR($C99="SER",$C99="PLH",$C99="CSF")),"Case NIH Plate "&amp;(INT(((COUNTIFS($B$2:$B99,"s",$C$2:$C99,"SER")+COUNTIFS($B$2:$B99,"s",$C$2:$C99,"PLH")+COUNTIFS($B$2:$B99,"s",$C$2:$C99,"CSF"))-1)/96)+1)&amp;": "&amp;CHAR(65+INT(MOD((COUNTIFS($B$2:$B99,"s",$C$2:$C99,"SER")+COUNTIFS($B$2:$B99,"s",$C$2:$C99,"PLH")+COUNTIFS($B$2:$B99,"s",$C$2:$C99,"CSF"))-1,96)/12))&amp;(MOD((COUNTIFS($B$2:$B99,"s",$C$2:$C99,"SER")+COUNTIFS($B$2:$B99,"s",$C$2:$C99,"PLH")+COUNTIFS($B$2:$B99,"s",$C$2:$C99,"CSF"))-1,12)+1),"N/A"),"")</f>
        <v/>
      </c>
      <c r="J99" s="6" t="str">
        <f>IF(AND($A99&lt;&gt;"",$B99&lt;&gt;"",$C99&lt;&gt;"",$D99&lt;&gt;"",$E99&lt;&gt;""),IF(AND($B99="s",OR($C99="SER",$C99="PLH")),"Case MAX Planck Plate "&amp;(INT(((COUNTIFS($B$2:$B99,"s",$C$2:$C99,"SER")+COUNTIFS($B$2:$B99,"s",$C$2:$C99,"PLH"))-1)/96)+1)&amp;": "&amp;CHAR(65+INT(MOD((COUNTIFS($B$2:$B99,"s",$C$2:$C99,"SER")+COUNTIFS($B$2:$B99,"s",$C$2:$C99,"PLH"))-1,96)/12))&amp;(MOD((COUNTIFS($B$2:$B99,"s",$C$2:$C99,"SER")+COUNTIFS($B$2:$B99,"s",$C$2:$C99,"PLH"))-1,12)+1),"N/A"),"")</f>
        <v/>
      </c>
      <c r="K99" s="6" t="str">
        <f>IF(AND($A99&lt;&gt;"",$B99&lt;&gt;"",$C99&lt;&gt;"",$D99&lt;&gt;"",$E99&lt;&gt;""),IF($C99="WB","Case WB Box "&amp;(INT((COUNTIFS($C$2:$C99,"WB")-1)/81)+1)&amp;": "&amp;CHAR(65+INT(MOD(COUNTIFS($C$2:$C99,"WB")-1,81)/9))&amp;(MOD(COUNTIFS($C$2:$C99,"WB")-1,9)+1),"N/A"),"")</f>
        <v/>
      </c>
      <c r="L99" s="2" t="str">
        <f t="shared" si="19"/>
        <v/>
      </c>
      <c r="M99" s="2"/>
      <c r="N99" s="2"/>
      <c r="O99" s="2"/>
      <c r="P99" s="7" t="str">
        <f t="shared" si="20"/>
        <v/>
      </c>
      <c r="Q99" s="7" t="str">
        <f t="shared" si="21"/>
        <v/>
      </c>
      <c r="R99" s="7" t="str">
        <f t="shared" si="22"/>
        <v/>
      </c>
      <c r="S99" s="7" t="str">
        <f t="shared" si="23"/>
        <v/>
      </c>
      <c r="T99" s="7" t="str">
        <f t="shared" si="24"/>
        <v/>
      </c>
      <c r="U99" s="7" t="str">
        <f t="shared" si="25"/>
        <v/>
      </c>
      <c r="V99" s="7" t="str">
        <f t="shared" si="26"/>
        <v/>
      </c>
      <c r="W99" s="7" t="str">
        <f t="shared" si="27"/>
        <v/>
      </c>
      <c r="X99" s="7" t="str">
        <f t="shared" si="28"/>
        <v/>
      </c>
      <c r="Y99" s="7" t="str">
        <f t="shared" si="29"/>
        <v/>
      </c>
      <c r="Z99">
        <f t="shared" si="30"/>
        <v>0</v>
      </c>
      <c r="AA99" t="str">
        <f t="shared" si="31"/>
        <v/>
      </c>
      <c r="AB99" t="str">
        <f t="shared" si="32"/>
        <v/>
      </c>
      <c r="AC99" t="str">
        <f t="shared" si="33"/>
        <v/>
      </c>
      <c r="AD99" t="str">
        <f t="shared" si="34"/>
        <v/>
      </c>
      <c r="AE99">
        <f t="shared" si="35"/>
        <v>0</v>
      </c>
    </row>
    <row r="100" spans="1:31" ht="15" customHeight="1" x14ac:dyDescent="0.35">
      <c r="A100" s="2"/>
      <c r="B100" s="3"/>
      <c r="C100" s="3"/>
      <c r="D100" s="4"/>
      <c r="E100" s="5"/>
      <c r="F100" s="11" t="str">
        <f t="shared" ca="1" si="18"/>
        <v/>
      </c>
      <c r="G100" s="5"/>
      <c r="H100" s="6" t="str">
        <f>IF(AND($A100&lt;&gt;"",$B100&lt;&gt;"",$C100&lt;&gt;"",$D100&lt;&gt;"",$E100&lt;&gt;""),IF(AND($B100="s",OR($C100="SER",$C100="PLH",$C100="CSF")),"Case CDI Plate "&amp;(INT(((COUNTIFS($B$2:$B100,"s",$C$2:$C100,"SER")+COUNTIFS($B$2:$B100,"s",$C$2:$C100,"PLH")+COUNTIFS($B$2:$B100,"s",$C$2:$C100,"CSF"))-1)/96)+1)&amp;": "&amp;CHAR(65+INT(MOD((COUNTIFS($B$2:$B100,"s",$C$2:$C100,"SER")+COUNTIFS($B$2:$B100,"s",$C$2:$C100,"PLH")+COUNTIFS($B$2:$B100,"s",$C$2:$C100,"CSF"))-1,96)/12))&amp;(MOD((COUNTIFS($B$2:$B100,"s",$C$2:$C100,"SER")+COUNTIFS($B$2:$B100,"s",$C$2:$C100,"PLH")+COUNTIFS($B$2:$B100,"s",$C$2:$C100,"CSF"))-1,12)+1),"N/A"),"")</f>
        <v/>
      </c>
      <c r="I100" s="6" t="str">
        <f>IF(AND($A100&lt;&gt;"",$B100&lt;&gt;"",$C100&lt;&gt;"",$D100&lt;&gt;"",$E100&lt;&gt;""),IF(AND($B100="s",OR($C100="SER",$C100="PLH",$C100="CSF")),"Case NIH Plate "&amp;(INT(((COUNTIFS($B$2:$B100,"s",$C$2:$C100,"SER")+COUNTIFS($B$2:$B100,"s",$C$2:$C100,"PLH")+COUNTIFS($B$2:$B100,"s",$C$2:$C100,"CSF"))-1)/96)+1)&amp;": "&amp;CHAR(65+INT(MOD((COUNTIFS($B$2:$B100,"s",$C$2:$C100,"SER")+COUNTIFS($B$2:$B100,"s",$C$2:$C100,"PLH")+COUNTIFS($B$2:$B100,"s",$C$2:$C100,"CSF"))-1,96)/12))&amp;(MOD((COUNTIFS($B$2:$B100,"s",$C$2:$C100,"SER")+COUNTIFS($B$2:$B100,"s",$C$2:$C100,"PLH")+COUNTIFS($B$2:$B100,"s",$C$2:$C100,"CSF"))-1,12)+1),"N/A"),"")</f>
        <v/>
      </c>
      <c r="J100" s="6" t="str">
        <f>IF(AND($A100&lt;&gt;"",$B100&lt;&gt;"",$C100&lt;&gt;"",$D100&lt;&gt;"",$E100&lt;&gt;""),IF(AND($B100="s",OR($C100="SER",$C100="PLH")),"Case MAX Planck Plate "&amp;(INT(((COUNTIFS($B$2:$B100,"s",$C$2:$C100,"SER")+COUNTIFS($B$2:$B100,"s",$C$2:$C100,"PLH"))-1)/96)+1)&amp;": "&amp;CHAR(65+INT(MOD((COUNTIFS($B$2:$B100,"s",$C$2:$C100,"SER")+COUNTIFS($B$2:$B100,"s",$C$2:$C100,"PLH"))-1,96)/12))&amp;(MOD((COUNTIFS($B$2:$B100,"s",$C$2:$C100,"SER")+COUNTIFS($B$2:$B100,"s",$C$2:$C100,"PLH"))-1,12)+1),"N/A"),"")</f>
        <v/>
      </c>
      <c r="K100" s="6" t="str">
        <f>IF(AND($A100&lt;&gt;"",$B100&lt;&gt;"",$C100&lt;&gt;"",$D100&lt;&gt;"",$E100&lt;&gt;""),IF($C100="WB","Case WB Box "&amp;(INT((COUNTIFS($C$2:$C100,"WB")-1)/81)+1)&amp;": "&amp;CHAR(65+INT(MOD(COUNTIFS($C$2:$C100,"WB")-1,81)/9))&amp;(MOD(COUNTIFS($C$2:$C100,"WB")-1,9)+1),"N/A"),"")</f>
        <v/>
      </c>
      <c r="L100" s="2" t="str">
        <f t="shared" si="19"/>
        <v/>
      </c>
      <c r="M100" s="2"/>
      <c r="N100" s="2"/>
      <c r="O100" s="2"/>
      <c r="P100" s="7" t="str">
        <f t="shared" si="20"/>
        <v/>
      </c>
      <c r="Q100" s="7" t="str">
        <f t="shared" si="21"/>
        <v/>
      </c>
      <c r="R100" s="7" t="str">
        <f t="shared" si="22"/>
        <v/>
      </c>
      <c r="S100" s="7" t="str">
        <f t="shared" si="23"/>
        <v/>
      </c>
      <c r="T100" s="7" t="str">
        <f t="shared" si="24"/>
        <v/>
      </c>
      <c r="U100" s="7" t="str">
        <f t="shared" si="25"/>
        <v/>
      </c>
      <c r="V100" s="7" t="str">
        <f t="shared" si="26"/>
        <v/>
      </c>
      <c r="W100" s="7" t="str">
        <f t="shared" si="27"/>
        <v/>
      </c>
      <c r="X100" s="7" t="str">
        <f t="shared" si="28"/>
        <v/>
      </c>
      <c r="Y100" s="7" t="str">
        <f t="shared" si="29"/>
        <v/>
      </c>
      <c r="Z100">
        <f t="shared" si="30"/>
        <v>0</v>
      </c>
      <c r="AA100" t="str">
        <f t="shared" si="31"/>
        <v/>
      </c>
      <c r="AB100" t="str">
        <f t="shared" si="32"/>
        <v/>
      </c>
      <c r="AC100" t="str">
        <f t="shared" si="33"/>
        <v/>
      </c>
      <c r="AD100" t="str">
        <f t="shared" si="34"/>
        <v/>
      </c>
      <c r="AE100">
        <f t="shared" si="35"/>
        <v>0</v>
      </c>
    </row>
    <row r="101" spans="1:31" ht="15" customHeight="1" x14ac:dyDescent="0.35">
      <c r="A101" s="2"/>
      <c r="B101" s="3"/>
      <c r="C101" s="3"/>
      <c r="D101" s="4"/>
      <c r="E101" s="5"/>
      <c r="F101" s="11" t="str">
        <f t="shared" ca="1" si="18"/>
        <v/>
      </c>
      <c r="G101" s="5"/>
      <c r="H101" s="6" t="str">
        <f>IF(AND($A101&lt;&gt;"",$B101&lt;&gt;"",$C101&lt;&gt;"",$D101&lt;&gt;"",$E101&lt;&gt;""),IF(AND($B101="s",OR($C101="SER",$C101="PLH",$C101="CSF")),"Case CDI Plate "&amp;(INT(((COUNTIFS($B$2:$B101,"s",$C$2:$C101,"SER")+COUNTIFS($B$2:$B101,"s",$C$2:$C101,"PLH")+COUNTIFS($B$2:$B101,"s",$C$2:$C101,"CSF"))-1)/96)+1)&amp;": "&amp;CHAR(65+INT(MOD((COUNTIFS($B$2:$B101,"s",$C$2:$C101,"SER")+COUNTIFS($B$2:$B101,"s",$C$2:$C101,"PLH")+COUNTIFS($B$2:$B101,"s",$C$2:$C101,"CSF"))-1,96)/12))&amp;(MOD((COUNTIFS($B$2:$B101,"s",$C$2:$C101,"SER")+COUNTIFS($B$2:$B101,"s",$C$2:$C101,"PLH")+COUNTIFS($B$2:$B101,"s",$C$2:$C101,"CSF"))-1,12)+1),"N/A"),"")</f>
        <v/>
      </c>
      <c r="I101" s="6" t="str">
        <f>IF(AND($A101&lt;&gt;"",$B101&lt;&gt;"",$C101&lt;&gt;"",$D101&lt;&gt;"",$E101&lt;&gt;""),IF(AND($B101="s",OR($C101="SER",$C101="PLH",$C101="CSF")),"Case NIH Plate "&amp;(INT(((COUNTIFS($B$2:$B101,"s",$C$2:$C101,"SER")+COUNTIFS($B$2:$B101,"s",$C$2:$C101,"PLH")+COUNTIFS($B$2:$B101,"s",$C$2:$C101,"CSF"))-1)/96)+1)&amp;": "&amp;CHAR(65+INT(MOD((COUNTIFS($B$2:$B101,"s",$C$2:$C101,"SER")+COUNTIFS($B$2:$B101,"s",$C$2:$C101,"PLH")+COUNTIFS($B$2:$B101,"s",$C$2:$C101,"CSF"))-1,96)/12))&amp;(MOD((COUNTIFS($B$2:$B101,"s",$C$2:$C101,"SER")+COUNTIFS($B$2:$B101,"s",$C$2:$C101,"PLH")+COUNTIFS($B$2:$B101,"s",$C$2:$C101,"CSF"))-1,12)+1),"N/A"),"")</f>
        <v/>
      </c>
      <c r="J101" s="6" t="str">
        <f>IF(AND($A101&lt;&gt;"",$B101&lt;&gt;"",$C101&lt;&gt;"",$D101&lt;&gt;"",$E101&lt;&gt;""),IF(AND($B101="s",OR($C101="SER",$C101="PLH")),"Case MAX Planck Plate "&amp;(INT(((COUNTIFS($B$2:$B101,"s",$C$2:$C101,"SER")+COUNTIFS($B$2:$B101,"s",$C$2:$C101,"PLH"))-1)/96)+1)&amp;": "&amp;CHAR(65+INT(MOD((COUNTIFS($B$2:$B101,"s",$C$2:$C101,"SER")+COUNTIFS($B$2:$B101,"s",$C$2:$C101,"PLH"))-1,96)/12))&amp;(MOD((COUNTIFS($B$2:$B101,"s",$C$2:$C101,"SER")+COUNTIFS($B$2:$B101,"s",$C$2:$C101,"PLH"))-1,12)+1),"N/A"),"")</f>
        <v/>
      </c>
      <c r="K101" s="6" t="str">
        <f>IF(AND($A101&lt;&gt;"",$B101&lt;&gt;"",$C101&lt;&gt;"",$D101&lt;&gt;"",$E101&lt;&gt;""),IF($C101="WB","Case WB Box "&amp;(INT((COUNTIFS($C$2:$C101,"WB")-1)/81)+1)&amp;": "&amp;CHAR(65+INT(MOD(COUNTIFS($C$2:$C101,"WB")-1,81)/9))&amp;(MOD(COUNTIFS($C$2:$C101,"WB")-1,9)+1),"N/A"),"")</f>
        <v/>
      </c>
      <c r="L101" s="2" t="str">
        <f t="shared" si="19"/>
        <v/>
      </c>
      <c r="M101" s="2"/>
      <c r="N101" s="2"/>
      <c r="O101" s="2"/>
      <c r="P101" s="7" t="str">
        <f t="shared" si="20"/>
        <v/>
      </c>
      <c r="Q101" s="7" t="str">
        <f t="shared" si="21"/>
        <v/>
      </c>
      <c r="R101" s="7" t="str">
        <f t="shared" si="22"/>
        <v/>
      </c>
      <c r="S101" s="7" t="str">
        <f t="shared" si="23"/>
        <v/>
      </c>
      <c r="T101" s="7" t="str">
        <f t="shared" si="24"/>
        <v/>
      </c>
      <c r="U101" s="7" t="str">
        <f t="shared" si="25"/>
        <v/>
      </c>
      <c r="V101" s="7" t="str">
        <f t="shared" si="26"/>
        <v/>
      </c>
      <c r="W101" s="7" t="str">
        <f t="shared" si="27"/>
        <v/>
      </c>
      <c r="X101" s="7" t="str">
        <f t="shared" si="28"/>
        <v/>
      </c>
      <c r="Y101" s="7" t="str">
        <f t="shared" si="29"/>
        <v/>
      </c>
      <c r="Z101">
        <f t="shared" si="30"/>
        <v>0</v>
      </c>
      <c r="AA101" t="str">
        <f t="shared" si="31"/>
        <v/>
      </c>
      <c r="AB101" t="str">
        <f t="shared" si="32"/>
        <v/>
      </c>
      <c r="AC101" t="str">
        <f t="shared" si="33"/>
        <v/>
      </c>
      <c r="AD101" t="str">
        <f t="shared" si="34"/>
        <v/>
      </c>
      <c r="AE101">
        <f t="shared" si="35"/>
        <v>0</v>
      </c>
    </row>
    <row r="102" spans="1:31" ht="15" customHeight="1" x14ac:dyDescent="0.35">
      <c r="A102" s="2"/>
      <c r="B102" s="3"/>
      <c r="C102" s="3"/>
      <c r="D102" s="4"/>
      <c r="E102" s="5"/>
      <c r="F102" s="11" t="str">
        <f t="shared" ca="1" si="18"/>
        <v/>
      </c>
      <c r="G102" s="5"/>
      <c r="H102" s="6" t="str">
        <f>IF(AND($A102&lt;&gt;"",$B102&lt;&gt;"",$C102&lt;&gt;"",$D102&lt;&gt;"",$E102&lt;&gt;""),IF(AND($B102="s",OR($C102="SER",$C102="PLH",$C102="CSF")),"Case CDI Plate "&amp;(INT(((COUNTIFS($B$2:$B102,"s",$C$2:$C102,"SER")+COUNTIFS($B$2:$B102,"s",$C$2:$C102,"PLH")+COUNTIFS($B$2:$B102,"s",$C$2:$C102,"CSF"))-1)/96)+1)&amp;": "&amp;CHAR(65+INT(MOD((COUNTIFS($B$2:$B102,"s",$C$2:$C102,"SER")+COUNTIFS($B$2:$B102,"s",$C$2:$C102,"PLH")+COUNTIFS($B$2:$B102,"s",$C$2:$C102,"CSF"))-1,96)/12))&amp;(MOD((COUNTIFS($B$2:$B102,"s",$C$2:$C102,"SER")+COUNTIFS($B$2:$B102,"s",$C$2:$C102,"PLH")+COUNTIFS($B$2:$B102,"s",$C$2:$C102,"CSF"))-1,12)+1),"N/A"),"")</f>
        <v/>
      </c>
      <c r="I102" s="6" t="str">
        <f>IF(AND($A102&lt;&gt;"",$B102&lt;&gt;"",$C102&lt;&gt;"",$D102&lt;&gt;"",$E102&lt;&gt;""),IF(AND($B102="s",OR($C102="SER",$C102="PLH",$C102="CSF")),"Case NIH Plate "&amp;(INT(((COUNTIFS($B$2:$B102,"s",$C$2:$C102,"SER")+COUNTIFS($B$2:$B102,"s",$C$2:$C102,"PLH")+COUNTIFS($B$2:$B102,"s",$C$2:$C102,"CSF"))-1)/96)+1)&amp;": "&amp;CHAR(65+INT(MOD((COUNTIFS($B$2:$B102,"s",$C$2:$C102,"SER")+COUNTIFS($B$2:$B102,"s",$C$2:$C102,"PLH")+COUNTIFS($B$2:$B102,"s",$C$2:$C102,"CSF"))-1,96)/12))&amp;(MOD((COUNTIFS($B$2:$B102,"s",$C$2:$C102,"SER")+COUNTIFS($B$2:$B102,"s",$C$2:$C102,"PLH")+COUNTIFS($B$2:$B102,"s",$C$2:$C102,"CSF"))-1,12)+1),"N/A"),"")</f>
        <v/>
      </c>
      <c r="J102" s="6" t="str">
        <f>IF(AND($A102&lt;&gt;"",$B102&lt;&gt;"",$C102&lt;&gt;"",$D102&lt;&gt;"",$E102&lt;&gt;""),IF(AND($B102="s",OR($C102="SER",$C102="PLH")),"Case MAX Planck Plate "&amp;(INT(((COUNTIFS($B$2:$B102,"s",$C$2:$C102,"SER")+COUNTIFS($B$2:$B102,"s",$C$2:$C102,"PLH"))-1)/96)+1)&amp;": "&amp;CHAR(65+INT(MOD((COUNTIFS($B$2:$B102,"s",$C$2:$C102,"SER")+COUNTIFS($B$2:$B102,"s",$C$2:$C102,"PLH"))-1,96)/12))&amp;(MOD((COUNTIFS($B$2:$B102,"s",$C$2:$C102,"SER")+COUNTIFS($B$2:$B102,"s",$C$2:$C102,"PLH"))-1,12)+1),"N/A"),"")</f>
        <v/>
      </c>
      <c r="K102" s="6" t="str">
        <f>IF(AND($A102&lt;&gt;"",$B102&lt;&gt;"",$C102&lt;&gt;"",$D102&lt;&gt;"",$E102&lt;&gt;""),IF($C102="WB","Case WB Box "&amp;(INT((COUNTIFS($C$2:$C102,"WB")-1)/81)+1)&amp;": "&amp;CHAR(65+INT(MOD(COUNTIFS($C$2:$C102,"WB")-1,81)/9))&amp;(MOD(COUNTIFS($C$2:$C102,"WB")-1,9)+1),"N/A"),"")</f>
        <v/>
      </c>
      <c r="L102" s="2" t="str">
        <f t="shared" si="19"/>
        <v/>
      </c>
      <c r="M102" s="2"/>
      <c r="N102" s="2"/>
      <c r="O102" s="2"/>
      <c r="P102" s="7" t="str">
        <f t="shared" si="20"/>
        <v/>
      </c>
      <c r="Q102" s="7" t="str">
        <f t="shared" si="21"/>
        <v/>
      </c>
      <c r="R102" s="7" t="str">
        <f t="shared" si="22"/>
        <v/>
      </c>
      <c r="S102" s="7" t="str">
        <f t="shared" si="23"/>
        <v/>
      </c>
      <c r="T102" s="7" t="str">
        <f t="shared" si="24"/>
        <v/>
      </c>
      <c r="U102" s="7" t="str">
        <f t="shared" si="25"/>
        <v/>
      </c>
      <c r="V102" s="7" t="str">
        <f t="shared" si="26"/>
        <v/>
      </c>
      <c r="W102" s="7" t="str">
        <f t="shared" si="27"/>
        <v/>
      </c>
      <c r="X102" s="7" t="str">
        <f t="shared" si="28"/>
        <v/>
      </c>
      <c r="Y102" s="7" t="str">
        <f t="shared" si="29"/>
        <v/>
      </c>
      <c r="Z102">
        <f t="shared" si="30"/>
        <v>0</v>
      </c>
      <c r="AA102" t="str">
        <f t="shared" si="31"/>
        <v/>
      </c>
      <c r="AB102" t="str">
        <f t="shared" si="32"/>
        <v/>
      </c>
      <c r="AC102" t="str">
        <f t="shared" si="33"/>
        <v/>
      </c>
      <c r="AD102" t="str">
        <f t="shared" si="34"/>
        <v/>
      </c>
      <c r="AE102">
        <f t="shared" si="35"/>
        <v>0</v>
      </c>
    </row>
    <row r="103" spans="1:31" ht="15" customHeight="1" x14ac:dyDescent="0.35">
      <c r="A103" s="2"/>
      <c r="B103" s="3"/>
      <c r="C103" s="3"/>
      <c r="D103" s="4"/>
      <c r="E103" s="5"/>
      <c r="F103" s="11" t="str">
        <f t="shared" ca="1" si="18"/>
        <v/>
      </c>
      <c r="G103" s="5"/>
      <c r="H103" s="6" t="str">
        <f>IF(AND($A103&lt;&gt;"",$B103&lt;&gt;"",$C103&lt;&gt;"",$D103&lt;&gt;"",$E103&lt;&gt;""),IF(AND($B103="s",OR($C103="SER",$C103="PLH",$C103="CSF")),"Case CDI Plate "&amp;(INT(((COUNTIFS($B$2:$B103,"s",$C$2:$C103,"SER")+COUNTIFS($B$2:$B103,"s",$C$2:$C103,"PLH")+COUNTIFS($B$2:$B103,"s",$C$2:$C103,"CSF"))-1)/96)+1)&amp;": "&amp;CHAR(65+INT(MOD((COUNTIFS($B$2:$B103,"s",$C$2:$C103,"SER")+COUNTIFS($B$2:$B103,"s",$C$2:$C103,"PLH")+COUNTIFS($B$2:$B103,"s",$C$2:$C103,"CSF"))-1,96)/12))&amp;(MOD((COUNTIFS($B$2:$B103,"s",$C$2:$C103,"SER")+COUNTIFS($B$2:$B103,"s",$C$2:$C103,"PLH")+COUNTIFS($B$2:$B103,"s",$C$2:$C103,"CSF"))-1,12)+1),"N/A"),"")</f>
        <v/>
      </c>
      <c r="I103" s="6" t="str">
        <f>IF(AND($A103&lt;&gt;"",$B103&lt;&gt;"",$C103&lt;&gt;"",$D103&lt;&gt;"",$E103&lt;&gt;""),IF(AND($B103="s",OR($C103="SER",$C103="PLH",$C103="CSF")),"Case NIH Plate "&amp;(INT(((COUNTIFS($B$2:$B103,"s",$C$2:$C103,"SER")+COUNTIFS($B$2:$B103,"s",$C$2:$C103,"PLH")+COUNTIFS($B$2:$B103,"s",$C$2:$C103,"CSF"))-1)/96)+1)&amp;": "&amp;CHAR(65+INT(MOD((COUNTIFS($B$2:$B103,"s",$C$2:$C103,"SER")+COUNTIFS($B$2:$B103,"s",$C$2:$C103,"PLH")+COUNTIFS($B$2:$B103,"s",$C$2:$C103,"CSF"))-1,96)/12))&amp;(MOD((COUNTIFS($B$2:$B103,"s",$C$2:$C103,"SER")+COUNTIFS($B$2:$B103,"s",$C$2:$C103,"PLH")+COUNTIFS($B$2:$B103,"s",$C$2:$C103,"CSF"))-1,12)+1),"N/A"),"")</f>
        <v/>
      </c>
      <c r="J103" s="6" t="str">
        <f>IF(AND($A103&lt;&gt;"",$B103&lt;&gt;"",$C103&lt;&gt;"",$D103&lt;&gt;"",$E103&lt;&gt;""),IF(AND($B103="s",OR($C103="SER",$C103="PLH")),"Case MAX Planck Plate "&amp;(INT(((COUNTIFS($B$2:$B103,"s",$C$2:$C103,"SER")+COUNTIFS($B$2:$B103,"s",$C$2:$C103,"PLH"))-1)/96)+1)&amp;": "&amp;CHAR(65+INT(MOD((COUNTIFS($B$2:$B103,"s",$C$2:$C103,"SER")+COUNTIFS($B$2:$B103,"s",$C$2:$C103,"PLH"))-1,96)/12))&amp;(MOD((COUNTIFS($B$2:$B103,"s",$C$2:$C103,"SER")+COUNTIFS($B$2:$B103,"s",$C$2:$C103,"PLH"))-1,12)+1),"N/A"),"")</f>
        <v/>
      </c>
      <c r="K103" s="6" t="str">
        <f>IF(AND($A103&lt;&gt;"",$B103&lt;&gt;"",$C103&lt;&gt;"",$D103&lt;&gt;"",$E103&lt;&gt;""),IF($C103="WB","Case WB Box "&amp;(INT((COUNTIFS($C$2:$C103,"WB")-1)/81)+1)&amp;": "&amp;CHAR(65+INT(MOD(COUNTIFS($C$2:$C103,"WB")-1,81)/9))&amp;(MOD(COUNTIFS($C$2:$C103,"WB")-1,9)+1),"N/A"),"")</f>
        <v/>
      </c>
      <c r="L103" s="2" t="str">
        <f t="shared" si="19"/>
        <v/>
      </c>
      <c r="M103" s="2"/>
      <c r="N103" s="2"/>
      <c r="O103" s="2"/>
      <c r="P103" s="7" t="str">
        <f t="shared" si="20"/>
        <v/>
      </c>
      <c r="Q103" s="7" t="str">
        <f t="shared" si="21"/>
        <v/>
      </c>
      <c r="R103" s="7" t="str">
        <f t="shared" si="22"/>
        <v/>
      </c>
      <c r="S103" s="7" t="str">
        <f t="shared" si="23"/>
        <v/>
      </c>
      <c r="T103" s="7" t="str">
        <f t="shared" si="24"/>
        <v/>
      </c>
      <c r="U103" s="7" t="str">
        <f t="shared" si="25"/>
        <v/>
      </c>
      <c r="V103" s="7" t="str">
        <f t="shared" si="26"/>
        <v/>
      </c>
      <c r="W103" s="7" t="str">
        <f t="shared" si="27"/>
        <v/>
      </c>
      <c r="X103" s="7" t="str">
        <f t="shared" si="28"/>
        <v/>
      </c>
      <c r="Y103" s="7" t="str">
        <f t="shared" si="29"/>
        <v/>
      </c>
      <c r="Z103">
        <f t="shared" si="30"/>
        <v>0</v>
      </c>
      <c r="AA103" t="str">
        <f t="shared" si="31"/>
        <v/>
      </c>
      <c r="AB103" t="str">
        <f t="shared" si="32"/>
        <v/>
      </c>
      <c r="AC103" t="str">
        <f t="shared" si="33"/>
        <v/>
      </c>
      <c r="AD103" t="str">
        <f t="shared" si="34"/>
        <v/>
      </c>
      <c r="AE103">
        <f t="shared" si="35"/>
        <v>0</v>
      </c>
    </row>
    <row r="104" spans="1:31" ht="15" customHeight="1" x14ac:dyDescent="0.35">
      <c r="A104" s="2"/>
      <c r="B104" s="3"/>
      <c r="C104" s="3"/>
      <c r="D104" s="4"/>
      <c r="E104" s="5"/>
      <c r="F104" s="11" t="str">
        <f t="shared" ca="1" si="18"/>
        <v/>
      </c>
      <c r="G104" s="5"/>
      <c r="H104" s="6" t="str">
        <f>IF(AND($A104&lt;&gt;"",$B104&lt;&gt;"",$C104&lt;&gt;"",$D104&lt;&gt;"",$E104&lt;&gt;""),IF(AND($B104="s",OR($C104="SER",$C104="PLH",$C104="CSF")),"Case CDI Plate "&amp;(INT(((COUNTIFS($B$2:$B104,"s",$C$2:$C104,"SER")+COUNTIFS($B$2:$B104,"s",$C$2:$C104,"PLH")+COUNTIFS($B$2:$B104,"s",$C$2:$C104,"CSF"))-1)/96)+1)&amp;": "&amp;CHAR(65+INT(MOD((COUNTIFS($B$2:$B104,"s",$C$2:$C104,"SER")+COUNTIFS($B$2:$B104,"s",$C$2:$C104,"PLH")+COUNTIFS($B$2:$B104,"s",$C$2:$C104,"CSF"))-1,96)/12))&amp;(MOD((COUNTIFS($B$2:$B104,"s",$C$2:$C104,"SER")+COUNTIFS($B$2:$B104,"s",$C$2:$C104,"PLH")+COUNTIFS($B$2:$B104,"s",$C$2:$C104,"CSF"))-1,12)+1),"N/A"),"")</f>
        <v/>
      </c>
      <c r="I104" s="6" t="str">
        <f>IF(AND($A104&lt;&gt;"",$B104&lt;&gt;"",$C104&lt;&gt;"",$D104&lt;&gt;"",$E104&lt;&gt;""),IF(AND($B104="s",OR($C104="SER",$C104="PLH",$C104="CSF")),"Case NIH Plate "&amp;(INT(((COUNTIFS($B$2:$B104,"s",$C$2:$C104,"SER")+COUNTIFS($B$2:$B104,"s",$C$2:$C104,"PLH")+COUNTIFS($B$2:$B104,"s",$C$2:$C104,"CSF"))-1)/96)+1)&amp;": "&amp;CHAR(65+INT(MOD((COUNTIFS($B$2:$B104,"s",$C$2:$C104,"SER")+COUNTIFS($B$2:$B104,"s",$C$2:$C104,"PLH")+COUNTIFS($B$2:$B104,"s",$C$2:$C104,"CSF"))-1,96)/12))&amp;(MOD((COUNTIFS($B$2:$B104,"s",$C$2:$C104,"SER")+COUNTIFS($B$2:$B104,"s",$C$2:$C104,"PLH")+COUNTIFS($B$2:$B104,"s",$C$2:$C104,"CSF"))-1,12)+1),"N/A"),"")</f>
        <v/>
      </c>
      <c r="J104" s="6" t="str">
        <f>IF(AND($A104&lt;&gt;"",$B104&lt;&gt;"",$C104&lt;&gt;"",$D104&lt;&gt;"",$E104&lt;&gt;""),IF(AND($B104="s",OR($C104="SER",$C104="PLH")),"Case MAX Planck Plate "&amp;(INT(((COUNTIFS($B$2:$B104,"s",$C$2:$C104,"SER")+COUNTIFS($B$2:$B104,"s",$C$2:$C104,"PLH"))-1)/96)+1)&amp;": "&amp;CHAR(65+INT(MOD((COUNTIFS($B$2:$B104,"s",$C$2:$C104,"SER")+COUNTIFS($B$2:$B104,"s",$C$2:$C104,"PLH"))-1,96)/12))&amp;(MOD((COUNTIFS($B$2:$B104,"s",$C$2:$C104,"SER")+COUNTIFS($B$2:$B104,"s",$C$2:$C104,"PLH"))-1,12)+1),"N/A"),"")</f>
        <v/>
      </c>
      <c r="K104" s="6" t="str">
        <f>IF(AND($A104&lt;&gt;"",$B104&lt;&gt;"",$C104&lt;&gt;"",$D104&lt;&gt;"",$E104&lt;&gt;""),IF($C104="WB","Case WB Box "&amp;(INT((COUNTIFS($C$2:$C104,"WB")-1)/81)+1)&amp;": "&amp;CHAR(65+INT(MOD(COUNTIFS($C$2:$C104,"WB")-1,81)/9))&amp;(MOD(COUNTIFS($C$2:$C104,"WB")-1,9)+1),"N/A"),"")</f>
        <v/>
      </c>
      <c r="L104" s="2" t="str">
        <f t="shared" si="19"/>
        <v/>
      </c>
      <c r="M104" s="2"/>
      <c r="N104" s="2"/>
      <c r="O104" s="2"/>
      <c r="P104" s="7" t="str">
        <f t="shared" si="20"/>
        <v/>
      </c>
      <c r="Q104" s="7" t="str">
        <f t="shared" si="21"/>
        <v/>
      </c>
      <c r="R104" s="7" t="str">
        <f t="shared" si="22"/>
        <v/>
      </c>
      <c r="S104" s="7" t="str">
        <f t="shared" si="23"/>
        <v/>
      </c>
      <c r="T104" s="7" t="str">
        <f t="shared" si="24"/>
        <v/>
      </c>
      <c r="U104" s="7" t="str">
        <f t="shared" si="25"/>
        <v/>
      </c>
      <c r="V104" s="7" t="str">
        <f t="shared" si="26"/>
        <v/>
      </c>
      <c r="W104" s="7" t="str">
        <f t="shared" si="27"/>
        <v/>
      </c>
      <c r="X104" s="7" t="str">
        <f t="shared" si="28"/>
        <v/>
      </c>
      <c r="Y104" s="7" t="str">
        <f t="shared" si="29"/>
        <v/>
      </c>
      <c r="Z104">
        <f t="shared" si="30"/>
        <v>0</v>
      </c>
      <c r="AA104" t="str">
        <f t="shared" si="31"/>
        <v/>
      </c>
      <c r="AB104" t="str">
        <f t="shared" si="32"/>
        <v/>
      </c>
      <c r="AC104" t="str">
        <f t="shared" si="33"/>
        <v/>
      </c>
      <c r="AD104" t="str">
        <f t="shared" si="34"/>
        <v/>
      </c>
      <c r="AE104">
        <f t="shared" si="35"/>
        <v>0</v>
      </c>
    </row>
    <row r="105" spans="1:31" ht="15" customHeight="1" x14ac:dyDescent="0.35">
      <c r="A105" s="2"/>
      <c r="B105" s="3"/>
      <c r="C105" s="3"/>
      <c r="D105" s="4"/>
      <c r="E105" s="5"/>
      <c r="F105" s="11" t="str">
        <f t="shared" ca="1" si="18"/>
        <v/>
      </c>
      <c r="G105" s="5"/>
      <c r="H105" s="6" t="str">
        <f>IF(AND($A105&lt;&gt;"",$B105&lt;&gt;"",$C105&lt;&gt;"",$D105&lt;&gt;"",$E105&lt;&gt;""),IF(AND($B105="s",OR($C105="SER",$C105="PLH",$C105="CSF")),"Case CDI Plate "&amp;(INT(((COUNTIFS($B$2:$B105,"s",$C$2:$C105,"SER")+COUNTIFS($B$2:$B105,"s",$C$2:$C105,"PLH")+COUNTIFS($B$2:$B105,"s",$C$2:$C105,"CSF"))-1)/96)+1)&amp;": "&amp;CHAR(65+INT(MOD((COUNTIFS($B$2:$B105,"s",$C$2:$C105,"SER")+COUNTIFS($B$2:$B105,"s",$C$2:$C105,"PLH")+COUNTIFS($B$2:$B105,"s",$C$2:$C105,"CSF"))-1,96)/12))&amp;(MOD((COUNTIFS($B$2:$B105,"s",$C$2:$C105,"SER")+COUNTIFS($B$2:$B105,"s",$C$2:$C105,"PLH")+COUNTIFS($B$2:$B105,"s",$C$2:$C105,"CSF"))-1,12)+1),"N/A"),"")</f>
        <v/>
      </c>
      <c r="I105" s="6" t="str">
        <f>IF(AND($A105&lt;&gt;"",$B105&lt;&gt;"",$C105&lt;&gt;"",$D105&lt;&gt;"",$E105&lt;&gt;""),IF(AND($B105="s",OR($C105="SER",$C105="PLH",$C105="CSF")),"Case NIH Plate "&amp;(INT(((COUNTIFS($B$2:$B105,"s",$C$2:$C105,"SER")+COUNTIFS($B$2:$B105,"s",$C$2:$C105,"PLH")+COUNTIFS($B$2:$B105,"s",$C$2:$C105,"CSF"))-1)/96)+1)&amp;": "&amp;CHAR(65+INT(MOD((COUNTIFS($B$2:$B105,"s",$C$2:$C105,"SER")+COUNTIFS($B$2:$B105,"s",$C$2:$C105,"PLH")+COUNTIFS($B$2:$B105,"s",$C$2:$C105,"CSF"))-1,96)/12))&amp;(MOD((COUNTIFS($B$2:$B105,"s",$C$2:$C105,"SER")+COUNTIFS($B$2:$B105,"s",$C$2:$C105,"PLH")+COUNTIFS($B$2:$B105,"s",$C$2:$C105,"CSF"))-1,12)+1),"N/A"),"")</f>
        <v/>
      </c>
      <c r="J105" s="6" t="str">
        <f>IF(AND($A105&lt;&gt;"",$B105&lt;&gt;"",$C105&lt;&gt;"",$D105&lt;&gt;"",$E105&lt;&gt;""),IF(AND($B105="s",OR($C105="SER",$C105="PLH")),"Case MAX Planck Plate "&amp;(INT(((COUNTIFS($B$2:$B105,"s",$C$2:$C105,"SER")+COUNTIFS($B$2:$B105,"s",$C$2:$C105,"PLH"))-1)/96)+1)&amp;": "&amp;CHAR(65+INT(MOD((COUNTIFS($B$2:$B105,"s",$C$2:$C105,"SER")+COUNTIFS($B$2:$B105,"s",$C$2:$C105,"PLH"))-1,96)/12))&amp;(MOD((COUNTIFS($B$2:$B105,"s",$C$2:$C105,"SER")+COUNTIFS($B$2:$B105,"s",$C$2:$C105,"PLH"))-1,12)+1),"N/A"),"")</f>
        <v/>
      </c>
      <c r="K105" s="6" t="str">
        <f>IF(AND($A105&lt;&gt;"",$B105&lt;&gt;"",$C105&lt;&gt;"",$D105&lt;&gt;"",$E105&lt;&gt;""),IF($C105="WB","Case WB Box "&amp;(INT((COUNTIFS($C$2:$C105,"WB")-1)/81)+1)&amp;": "&amp;CHAR(65+INT(MOD(COUNTIFS($C$2:$C105,"WB")-1,81)/9))&amp;(MOD(COUNTIFS($C$2:$C105,"WB")-1,9)+1),"N/A"),"")</f>
        <v/>
      </c>
      <c r="L105" s="2" t="str">
        <f t="shared" si="19"/>
        <v/>
      </c>
      <c r="M105" s="2"/>
      <c r="N105" s="2"/>
      <c r="O105" s="2"/>
      <c r="P105" s="7" t="str">
        <f t="shared" si="20"/>
        <v/>
      </c>
      <c r="Q105" s="7" t="str">
        <f t="shared" si="21"/>
        <v/>
      </c>
      <c r="R105" s="7" t="str">
        <f t="shared" si="22"/>
        <v/>
      </c>
      <c r="S105" s="7" t="str">
        <f t="shared" si="23"/>
        <v/>
      </c>
      <c r="T105" s="7" t="str">
        <f t="shared" si="24"/>
        <v/>
      </c>
      <c r="U105" s="7" t="str">
        <f t="shared" si="25"/>
        <v/>
      </c>
      <c r="V105" s="7" t="str">
        <f t="shared" si="26"/>
        <v/>
      </c>
      <c r="W105" s="7" t="str">
        <f t="shared" si="27"/>
        <v/>
      </c>
      <c r="X105" s="7" t="str">
        <f t="shared" si="28"/>
        <v/>
      </c>
      <c r="Y105" s="7" t="str">
        <f t="shared" si="29"/>
        <v/>
      </c>
      <c r="Z105">
        <f t="shared" si="30"/>
        <v>0</v>
      </c>
      <c r="AA105" t="str">
        <f t="shared" si="31"/>
        <v/>
      </c>
      <c r="AB105" t="str">
        <f t="shared" si="32"/>
        <v/>
      </c>
      <c r="AC105" t="str">
        <f t="shared" si="33"/>
        <v/>
      </c>
      <c r="AD105" t="str">
        <f t="shared" si="34"/>
        <v/>
      </c>
      <c r="AE105">
        <f t="shared" si="35"/>
        <v>0</v>
      </c>
    </row>
    <row r="106" spans="1:31" ht="15" customHeight="1" x14ac:dyDescent="0.35">
      <c r="A106" s="2"/>
      <c r="B106" s="3"/>
      <c r="C106" s="3"/>
      <c r="D106" s="4"/>
      <c r="E106" s="5"/>
      <c r="F106" s="11" t="str">
        <f t="shared" ca="1" si="18"/>
        <v/>
      </c>
      <c r="G106" s="5"/>
      <c r="H106" s="6" t="str">
        <f>IF(AND($A106&lt;&gt;"",$B106&lt;&gt;"",$C106&lt;&gt;"",$D106&lt;&gt;"",$E106&lt;&gt;""),IF(AND($B106="s",OR($C106="SER",$C106="PLH",$C106="CSF")),"Case CDI Plate "&amp;(INT(((COUNTIFS($B$2:$B106,"s",$C$2:$C106,"SER")+COUNTIFS($B$2:$B106,"s",$C$2:$C106,"PLH")+COUNTIFS($B$2:$B106,"s",$C$2:$C106,"CSF"))-1)/96)+1)&amp;": "&amp;CHAR(65+INT(MOD((COUNTIFS($B$2:$B106,"s",$C$2:$C106,"SER")+COUNTIFS($B$2:$B106,"s",$C$2:$C106,"PLH")+COUNTIFS($B$2:$B106,"s",$C$2:$C106,"CSF"))-1,96)/12))&amp;(MOD((COUNTIFS($B$2:$B106,"s",$C$2:$C106,"SER")+COUNTIFS($B$2:$B106,"s",$C$2:$C106,"PLH")+COUNTIFS($B$2:$B106,"s",$C$2:$C106,"CSF"))-1,12)+1),"N/A"),"")</f>
        <v/>
      </c>
      <c r="I106" s="6" t="str">
        <f>IF(AND($A106&lt;&gt;"",$B106&lt;&gt;"",$C106&lt;&gt;"",$D106&lt;&gt;"",$E106&lt;&gt;""),IF(AND($B106="s",OR($C106="SER",$C106="PLH",$C106="CSF")),"Case NIH Plate "&amp;(INT(((COUNTIFS($B$2:$B106,"s",$C$2:$C106,"SER")+COUNTIFS($B$2:$B106,"s",$C$2:$C106,"PLH")+COUNTIFS($B$2:$B106,"s",$C$2:$C106,"CSF"))-1)/96)+1)&amp;": "&amp;CHAR(65+INT(MOD((COUNTIFS($B$2:$B106,"s",$C$2:$C106,"SER")+COUNTIFS($B$2:$B106,"s",$C$2:$C106,"PLH")+COUNTIFS($B$2:$B106,"s",$C$2:$C106,"CSF"))-1,96)/12))&amp;(MOD((COUNTIFS($B$2:$B106,"s",$C$2:$C106,"SER")+COUNTIFS($B$2:$B106,"s",$C$2:$C106,"PLH")+COUNTIFS($B$2:$B106,"s",$C$2:$C106,"CSF"))-1,12)+1),"N/A"),"")</f>
        <v/>
      </c>
      <c r="J106" s="6" t="str">
        <f>IF(AND($A106&lt;&gt;"",$B106&lt;&gt;"",$C106&lt;&gt;"",$D106&lt;&gt;"",$E106&lt;&gt;""),IF(AND($B106="s",OR($C106="SER",$C106="PLH")),"Case MAX Planck Plate "&amp;(INT(((COUNTIFS($B$2:$B106,"s",$C$2:$C106,"SER")+COUNTIFS($B$2:$B106,"s",$C$2:$C106,"PLH"))-1)/96)+1)&amp;": "&amp;CHAR(65+INT(MOD((COUNTIFS($B$2:$B106,"s",$C$2:$C106,"SER")+COUNTIFS($B$2:$B106,"s",$C$2:$C106,"PLH"))-1,96)/12))&amp;(MOD((COUNTIFS($B$2:$B106,"s",$C$2:$C106,"SER")+COUNTIFS($B$2:$B106,"s",$C$2:$C106,"PLH"))-1,12)+1),"N/A"),"")</f>
        <v/>
      </c>
      <c r="K106" s="6" t="str">
        <f>IF(AND($A106&lt;&gt;"",$B106&lt;&gt;"",$C106&lt;&gt;"",$D106&lt;&gt;"",$E106&lt;&gt;""),IF($C106="WB","Case WB Box "&amp;(INT((COUNTIFS($C$2:$C106,"WB")-1)/81)+1)&amp;": "&amp;CHAR(65+INT(MOD(COUNTIFS($C$2:$C106,"WB")-1,81)/9))&amp;(MOD(COUNTIFS($C$2:$C106,"WB")-1,9)+1),"N/A"),"")</f>
        <v/>
      </c>
      <c r="L106" s="2" t="str">
        <f t="shared" si="19"/>
        <v/>
      </c>
      <c r="M106" s="2"/>
      <c r="N106" s="2"/>
      <c r="O106" s="2"/>
      <c r="P106" s="7" t="str">
        <f t="shared" si="20"/>
        <v/>
      </c>
      <c r="Q106" s="7" t="str">
        <f t="shared" si="21"/>
        <v/>
      </c>
      <c r="R106" s="7" t="str">
        <f t="shared" si="22"/>
        <v/>
      </c>
      <c r="S106" s="7" t="str">
        <f t="shared" si="23"/>
        <v/>
      </c>
      <c r="T106" s="7" t="str">
        <f t="shared" si="24"/>
        <v/>
      </c>
      <c r="U106" s="7" t="str">
        <f t="shared" si="25"/>
        <v/>
      </c>
      <c r="V106" s="7" t="str">
        <f t="shared" si="26"/>
        <v/>
      </c>
      <c r="W106" s="7" t="str">
        <f t="shared" si="27"/>
        <v/>
      </c>
      <c r="X106" s="7" t="str">
        <f t="shared" si="28"/>
        <v/>
      </c>
      <c r="Y106" s="7" t="str">
        <f t="shared" si="29"/>
        <v/>
      </c>
      <c r="Z106">
        <f t="shared" si="30"/>
        <v>0</v>
      </c>
      <c r="AA106" t="str">
        <f t="shared" si="31"/>
        <v/>
      </c>
      <c r="AB106" t="str">
        <f t="shared" si="32"/>
        <v/>
      </c>
      <c r="AC106" t="str">
        <f t="shared" si="33"/>
        <v/>
      </c>
      <c r="AD106" t="str">
        <f t="shared" si="34"/>
        <v/>
      </c>
      <c r="AE106">
        <f t="shared" si="35"/>
        <v>0</v>
      </c>
    </row>
    <row r="107" spans="1:31" ht="15" customHeight="1" x14ac:dyDescent="0.35">
      <c r="A107" s="2"/>
      <c r="B107" s="3"/>
      <c r="C107" s="3"/>
      <c r="D107" s="4"/>
      <c r="E107" s="5"/>
      <c r="F107" s="11" t="str">
        <f t="shared" ca="1" si="18"/>
        <v/>
      </c>
      <c r="G107" s="5"/>
      <c r="H107" s="6" t="str">
        <f>IF(AND($A107&lt;&gt;"",$B107&lt;&gt;"",$C107&lt;&gt;"",$D107&lt;&gt;"",$E107&lt;&gt;""),IF(AND($B107="s",OR($C107="SER",$C107="PLH",$C107="CSF")),"Case CDI Plate "&amp;(INT(((COUNTIFS($B$2:$B107,"s",$C$2:$C107,"SER")+COUNTIFS($B$2:$B107,"s",$C$2:$C107,"PLH")+COUNTIFS($B$2:$B107,"s",$C$2:$C107,"CSF"))-1)/96)+1)&amp;": "&amp;CHAR(65+INT(MOD((COUNTIFS($B$2:$B107,"s",$C$2:$C107,"SER")+COUNTIFS($B$2:$B107,"s",$C$2:$C107,"PLH")+COUNTIFS($B$2:$B107,"s",$C$2:$C107,"CSF"))-1,96)/12))&amp;(MOD((COUNTIFS($B$2:$B107,"s",$C$2:$C107,"SER")+COUNTIFS($B$2:$B107,"s",$C$2:$C107,"PLH")+COUNTIFS($B$2:$B107,"s",$C$2:$C107,"CSF"))-1,12)+1),"N/A"),"")</f>
        <v/>
      </c>
      <c r="I107" s="6" t="str">
        <f>IF(AND($A107&lt;&gt;"",$B107&lt;&gt;"",$C107&lt;&gt;"",$D107&lt;&gt;"",$E107&lt;&gt;""),IF(AND($B107="s",OR($C107="SER",$C107="PLH",$C107="CSF")),"Case NIH Plate "&amp;(INT(((COUNTIFS($B$2:$B107,"s",$C$2:$C107,"SER")+COUNTIFS($B$2:$B107,"s",$C$2:$C107,"PLH")+COUNTIFS($B$2:$B107,"s",$C$2:$C107,"CSF"))-1)/96)+1)&amp;": "&amp;CHAR(65+INT(MOD((COUNTIFS($B$2:$B107,"s",$C$2:$C107,"SER")+COUNTIFS($B$2:$B107,"s",$C$2:$C107,"PLH")+COUNTIFS($B$2:$B107,"s",$C$2:$C107,"CSF"))-1,96)/12))&amp;(MOD((COUNTIFS($B$2:$B107,"s",$C$2:$C107,"SER")+COUNTIFS($B$2:$B107,"s",$C$2:$C107,"PLH")+COUNTIFS($B$2:$B107,"s",$C$2:$C107,"CSF"))-1,12)+1),"N/A"),"")</f>
        <v/>
      </c>
      <c r="J107" s="6" t="str">
        <f>IF(AND($A107&lt;&gt;"",$B107&lt;&gt;"",$C107&lt;&gt;"",$D107&lt;&gt;"",$E107&lt;&gt;""),IF(AND($B107="s",OR($C107="SER",$C107="PLH")),"Case MAX Planck Plate "&amp;(INT(((COUNTIFS($B$2:$B107,"s",$C$2:$C107,"SER")+COUNTIFS($B$2:$B107,"s",$C$2:$C107,"PLH"))-1)/96)+1)&amp;": "&amp;CHAR(65+INT(MOD((COUNTIFS($B$2:$B107,"s",$C$2:$C107,"SER")+COUNTIFS($B$2:$B107,"s",$C$2:$C107,"PLH"))-1,96)/12))&amp;(MOD((COUNTIFS($B$2:$B107,"s",$C$2:$C107,"SER")+COUNTIFS($B$2:$B107,"s",$C$2:$C107,"PLH"))-1,12)+1),"N/A"),"")</f>
        <v/>
      </c>
      <c r="K107" s="6" t="str">
        <f>IF(AND($A107&lt;&gt;"",$B107&lt;&gt;"",$C107&lt;&gt;"",$D107&lt;&gt;"",$E107&lt;&gt;""),IF($C107="WB","Case WB Box "&amp;(INT((COUNTIFS($C$2:$C107,"WB")-1)/81)+1)&amp;": "&amp;CHAR(65+INT(MOD(COUNTIFS($C$2:$C107,"WB")-1,81)/9))&amp;(MOD(COUNTIFS($C$2:$C107,"WB")-1,9)+1),"N/A"),"")</f>
        <v/>
      </c>
      <c r="L107" s="2" t="str">
        <f t="shared" si="19"/>
        <v/>
      </c>
      <c r="M107" s="2"/>
      <c r="N107" s="2"/>
      <c r="O107" s="2"/>
      <c r="P107" s="7" t="str">
        <f t="shared" si="20"/>
        <v/>
      </c>
      <c r="Q107" s="7" t="str">
        <f t="shared" si="21"/>
        <v/>
      </c>
      <c r="R107" s="7" t="str">
        <f t="shared" si="22"/>
        <v/>
      </c>
      <c r="S107" s="7" t="str">
        <f t="shared" si="23"/>
        <v/>
      </c>
      <c r="T107" s="7" t="str">
        <f t="shared" si="24"/>
        <v/>
      </c>
      <c r="U107" s="7" t="str">
        <f t="shared" si="25"/>
        <v/>
      </c>
      <c r="V107" s="7" t="str">
        <f t="shared" si="26"/>
        <v/>
      </c>
      <c r="W107" s="7" t="str">
        <f t="shared" si="27"/>
        <v/>
      </c>
      <c r="X107" s="7" t="str">
        <f t="shared" si="28"/>
        <v/>
      </c>
      <c r="Y107" s="7" t="str">
        <f t="shared" si="29"/>
        <v/>
      </c>
      <c r="Z107">
        <f t="shared" si="30"/>
        <v>0</v>
      </c>
      <c r="AA107" t="str">
        <f t="shared" si="31"/>
        <v/>
      </c>
      <c r="AB107" t="str">
        <f t="shared" si="32"/>
        <v/>
      </c>
      <c r="AC107" t="str">
        <f t="shared" si="33"/>
        <v/>
      </c>
      <c r="AD107" t="str">
        <f t="shared" si="34"/>
        <v/>
      </c>
      <c r="AE107">
        <f t="shared" si="35"/>
        <v>0</v>
      </c>
    </row>
    <row r="108" spans="1:31" ht="15" customHeight="1" x14ac:dyDescent="0.35">
      <c r="A108" s="2"/>
      <c r="B108" s="3"/>
      <c r="C108" s="3"/>
      <c r="D108" s="4"/>
      <c r="E108" s="5"/>
      <c r="F108" s="11" t="str">
        <f t="shared" ca="1" si="18"/>
        <v/>
      </c>
      <c r="G108" s="5"/>
      <c r="H108" s="6" t="str">
        <f>IF(AND($A108&lt;&gt;"",$B108&lt;&gt;"",$C108&lt;&gt;"",$D108&lt;&gt;"",$E108&lt;&gt;""),IF(AND($B108="s",OR($C108="SER",$C108="PLH",$C108="CSF")),"Case CDI Plate "&amp;(INT(((COUNTIFS($B$2:$B108,"s",$C$2:$C108,"SER")+COUNTIFS($B$2:$B108,"s",$C$2:$C108,"PLH")+COUNTIFS($B$2:$B108,"s",$C$2:$C108,"CSF"))-1)/96)+1)&amp;": "&amp;CHAR(65+INT(MOD((COUNTIFS($B$2:$B108,"s",$C$2:$C108,"SER")+COUNTIFS($B$2:$B108,"s",$C$2:$C108,"PLH")+COUNTIFS($B$2:$B108,"s",$C$2:$C108,"CSF"))-1,96)/12))&amp;(MOD((COUNTIFS($B$2:$B108,"s",$C$2:$C108,"SER")+COUNTIFS($B$2:$B108,"s",$C$2:$C108,"PLH")+COUNTIFS($B$2:$B108,"s",$C$2:$C108,"CSF"))-1,12)+1),"N/A"),"")</f>
        <v/>
      </c>
      <c r="I108" s="6" t="str">
        <f>IF(AND($A108&lt;&gt;"",$B108&lt;&gt;"",$C108&lt;&gt;"",$D108&lt;&gt;"",$E108&lt;&gt;""),IF(AND($B108="s",OR($C108="SER",$C108="PLH",$C108="CSF")),"Case NIH Plate "&amp;(INT(((COUNTIFS($B$2:$B108,"s",$C$2:$C108,"SER")+COUNTIFS($B$2:$B108,"s",$C$2:$C108,"PLH")+COUNTIFS($B$2:$B108,"s",$C$2:$C108,"CSF"))-1)/96)+1)&amp;": "&amp;CHAR(65+INT(MOD((COUNTIFS($B$2:$B108,"s",$C$2:$C108,"SER")+COUNTIFS($B$2:$B108,"s",$C$2:$C108,"PLH")+COUNTIFS($B$2:$B108,"s",$C$2:$C108,"CSF"))-1,96)/12))&amp;(MOD((COUNTIFS($B$2:$B108,"s",$C$2:$C108,"SER")+COUNTIFS($B$2:$B108,"s",$C$2:$C108,"PLH")+COUNTIFS($B$2:$B108,"s",$C$2:$C108,"CSF"))-1,12)+1),"N/A"),"")</f>
        <v/>
      </c>
      <c r="J108" s="6" t="str">
        <f>IF(AND($A108&lt;&gt;"",$B108&lt;&gt;"",$C108&lt;&gt;"",$D108&lt;&gt;"",$E108&lt;&gt;""),IF(AND($B108="s",OR($C108="SER",$C108="PLH")),"Case MAX Planck Plate "&amp;(INT(((COUNTIFS($B$2:$B108,"s",$C$2:$C108,"SER")+COUNTIFS($B$2:$B108,"s",$C$2:$C108,"PLH"))-1)/96)+1)&amp;": "&amp;CHAR(65+INT(MOD((COUNTIFS($B$2:$B108,"s",$C$2:$C108,"SER")+COUNTIFS($B$2:$B108,"s",$C$2:$C108,"PLH"))-1,96)/12))&amp;(MOD((COUNTIFS($B$2:$B108,"s",$C$2:$C108,"SER")+COUNTIFS($B$2:$B108,"s",$C$2:$C108,"PLH"))-1,12)+1),"N/A"),"")</f>
        <v/>
      </c>
      <c r="K108" s="6" t="str">
        <f>IF(AND($A108&lt;&gt;"",$B108&lt;&gt;"",$C108&lt;&gt;"",$D108&lt;&gt;"",$E108&lt;&gt;""),IF($C108="WB","Case WB Box "&amp;(INT((COUNTIFS($C$2:$C108,"WB")-1)/81)+1)&amp;": "&amp;CHAR(65+INT(MOD(COUNTIFS($C$2:$C108,"WB")-1,81)/9))&amp;(MOD(COUNTIFS($C$2:$C108,"WB")-1,9)+1),"N/A"),"")</f>
        <v/>
      </c>
      <c r="L108" s="2" t="str">
        <f t="shared" si="19"/>
        <v/>
      </c>
      <c r="M108" s="2"/>
      <c r="N108" s="2"/>
      <c r="O108" s="2"/>
      <c r="P108" s="7" t="str">
        <f t="shared" si="20"/>
        <v/>
      </c>
      <c r="Q108" s="7" t="str">
        <f t="shared" si="21"/>
        <v/>
      </c>
      <c r="R108" s="7" t="str">
        <f t="shared" si="22"/>
        <v/>
      </c>
      <c r="S108" s="7" t="str">
        <f t="shared" si="23"/>
        <v/>
      </c>
      <c r="T108" s="7" t="str">
        <f t="shared" si="24"/>
        <v/>
      </c>
      <c r="U108" s="7" t="str">
        <f t="shared" si="25"/>
        <v/>
      </c>
      <c r="V108" s="7" t="str">
        <f t="shared" si="26"/>
        <v/>
      </c>
      <c r="W108" s="7" t="str">
        <f t="shared" si="27"/>
        <v/>
      </c>
      <c r="X108" s="7" t="str">
        <f t="shared" si="28"/>
        <v/>
      </c>
      <c r="Y108" s="7" t="str">
        <f t="shared" si="29"/>
        <v/>
      </c>
      <c r="Z108">
        <f t="shared" si="30"/>
        <v>0</v>
      </c>
      <c r="AA108" t="str">
        <f t="shared" si="31"/>
        <v/>
      </c>
      <c r="AB108" t="str">
        <f t="shared" si="32"/>
        <v/>
      </c>
      <c r="AC108" t="str">
        <f t="shared" si="33"/>
        <v/>
      </c>
      <c r="AD108" t="str">
        <f t="shared" si="34"/>
        <v/>
      </c>
      <c r="AE108">
        <f t="shared" si="35"/>
        <v>0</v>
      </c>
    </row>
    <row r="109" spans="1:31" ht="15" customHeight="1" x14ac:dyDescent="0.35">
      <c r="A109" s="2"/>
      <c r="B109" s="3"/>
      <c r="C109" s="3"/>
      <c r="D109" s="4"/>
      <c r="E109" s="5"/>
      <c r="F109" s="11" t="str">
        <f t="shared" ca="1" si="18"/>
        <v/>
      </c>
      <c r="G109" s="5"/>
      <c r="H109" s="6" t="str">
        <f>IF(AND($A109&lt;&gt;"",$B109&lt;&gt;"",$C109&lt;&gt;"",$D109&lt;&gt;"",$E109&lt;&gt;""),IF(AND($B109="s",OR($C109="SER",$C109="PLH",$C109="CSF")),"Case CDI Plate "&amp;(INT(((COUNTIFS($B$2:$B109,"s",$C$2:$C109,"SER")+COUNTIFS($B$2:$B109,"s",$C$2:$C109,"PLH")+COUNTIFS($B$2:$B109,"s",$C$2:$C109,"CSF"))-1)/96)+1)&amp;": "&amp;CHAR(65+INT(MOD((COUNTIFS($B$2:$B109,"s",$C$2:$C109,"SER")+COUNTIFS($B$2:$B109,"s",$C$2:$C109,"PLH")+COUNTIFS($B$2:$B109,"s",$C$2:$C109,"CSF"))-1,96)/12))&amp;(MOD((COUNTIFS($B$2:$B109,"s",$C$2:$C109,"SER")+COUNTIFS($B$2:$B109,"s",$C$2:$C109,"PLH")+COUNTIFS($B$2:$B109,"s",$C$2:$C109,"CSF"))-1,12)+1),"N/A"),"")</f>
        <v/>
      </c>
      <c r="I109" s="6" t="str">
        <f>IF(AND($A109&lt;&gt;"",$B109&lt;&gt;"",$C109&lt;&gt;"",$D109&lt;&gt;"",$E109&lt;&gt;""),IF(AND($B109="s",OR($C109="SER",$C109="PLH",$C109="CSF")),"Case NIH Plate "&amp;(INT(((COUNTIFS($B$2:$B109,"s",$C$2:$C109,"SER")+COUNTIFS($B$2:$B109,"s",$C$2:$C109,"PLH")+COUNTIFS($B$2:$B109,"s",$C$2:$C109,"CSF"))-1)/96)+1)&amp;": "&amp;CHAR(65+INT(MOD((COUNTIFS($B$2:$B109,"s",$C$2:$C109,"SER")+COUNTIFS($B$2:$B109,"s",$C$2:$C109,"PLH")+COUNTIFS($B$2:$B109,"s",$C$2:$C109,"CSF"))-1,96)/12))&amp;(MOD((COUNTIFS($B$2:$B109,"s",$C$2:$C109,"SER")+COUNTIFS($B$2:$B109,"s",$C$2:$C109,"PLH")+COUNTIFS($B$2:$B109,"s",$C$2:$C109,"CSF"))-1,12)+1),"N/A"),"")</f>
        <v/>
      </c>
      <c r="J109" s="6" t="str">
        <f>IF(AND($A109&lt;&gt;"",$B109&lt;&gt;"",$C109&lt;&gt;"",$D109&lt;&gt;"",$E109&lt;&gt;""),IF(AND($B109="s",OR($C109="SER",$C109="PLH")),"Case MAX Planck Plate "&amp;(INT(((COUNTIFS($B$2:$B109,"s",$C$2:$C109,"SER")+COUNTIFS($B$2:$B109,"s",$C$2:$C109,"PLH"))-1)/96)+1)&amp;": "&amp;CHAR(65+INT(MOD((COUNTIFS($B$2:$B109,"s",$C$2:$C109,"SER")+COUNTIFS($B$2:$B109,"s",$C$2:$C109,"PLH"))-1,96)/12))&amp;(MOD((COUNTIFS($B$2:$B109,"s",$C$2:$C109,"SER")+COUNTIFS($B$2:$B109,"s",$C$2:$C109,"PLH"))-1,12)+1),"N/A"),"")</f>
        <v/>
      </c>
      <c r="K109" s="6" t="str">
        <f>IF(AND($A109&lt;&gt;"",$B109&lt;&gt;"",$C109&lt;&gt;"",$D109&lt;&gt;"",$E109&lt;&gt;""),IF($C109="WB","Case WB Box "&amp;(INT((COUNTIFS($C$2:$C109,"WB")-1)/81)+1)&amp;": "&amp;CHAR(65+INT(MOD(COUNTIFS($C$2:$C109,"WB")-1,81)/9))&amp;(MOD(COUNTIFS($C$2:$C109,"WB")-1,9)+1),"N/A"),"")</f>
        <v/>
      </c>
      <c r="L109" s="2" t="str">
        <f t="shared" si="19"/>
        <v/>
      </c>
      <c r="M109" s="2"/>
      <c r="N109" s="2"/>
      <c r="O109" s="2"/>
      <c r="P109" s="7" t="str">
        <f t="shared" si="20"/>
        <v/>
      </c>
      <c r="Q109" s="7" t="str">
        <f t="shared" si="21"/>
        <v/>
      </c>
      <c r="R109" s="7" t="str">
        <f t="shared" si="22"/>
        <v/>
      </c>
      <c r="S109" s="7" t="str">
        <f t="shared" si="23"/>
        <v/>
      </c>
      <c r="T109" s="7" t="str">
        <f t="shared" si="24"/>
        <v/>
      </c>
      <c r="U109" s="7" t="str">
        <f t="shared" si="25"/>
        <v/>
      </c>
      <c r="V109" s="7" t="str">
        <f t="shared" si="26"/>
        <v/>
      </c>
      <c r="W109" s="7" t="str">
        <f t="shared" si="27"/>
        <v/>
      </c>
      <c r="X109" s="7" t="str">
        <f t="shared" si="28"/>
        <v/>
      </c>
      <c r="Y109" s="7" t="str">
        <f t="shared" si="29"/>
        <v/>
      </c>
      <c r="Z109">
        <f t="shared" si="30"/>
        <v>0</v>
      </c>
      <c r="AA109" t="str">
        <f t="shared" si="31"/>
        <v/>
      </c>
      <c r="AB109" t="str">
        <f t="shared" si="32"/>
        <v/>
      </c>
      <c r="AC109" t="str">
        <f t="shared" si="33"/>
        <v/>
      </c>
      <c r="AD109" t="str">
        <f t="shared" si="34"/>
        <v/>
      </c>
      <c r="AE109">
        <f t="shared" si="35"/>
        <v>0</v>
      </c>
    </row>
    <row r="110" spans="1:31" ht="15" customHeight="1" x14ac:dyDescent="0.35">
      <c r="A110" s="2"/>
      <c r="B110" s="3"/>
      <c r="C110" s="3"/>
      <c r="D110" s="4"/>
      <c r="E110" s="5"/>
      <c r="F110" s="11" t="str">
        <f t="shared" ca="1" si="18"/>
        <v/>
      </c>
      <c r="G110" s="5"/>
      <c r="H110" s="6" t="str">
        <f>IF(AND($A110&lt;&gt;"",$B110&lt;&gt;"",$C110&lt;&gt;"",$D110&lt;&gt;"",$E110&lt;&gt;""),IF(AND($B110="s",OR($C110="SER",$C110="PLH",$C110="CSF")),"Case CDI Plate "&amp;(INT(((COUNTIFS($B$2:$B110,"s",$C$2:$C110,"SER")+COUNTIFS($B$2:$B110,"s",$C$2:$C110,"PLH")+COUNTIFS($B$2:$B110,"s",$C$2:$C110,"CSF"))-1)/96)+1)&amp;": "&amp;CHAR(65+INT(MOD((COUNTIFS($B$2:$B110,"s",$C$2:$C110,"SER")+COUNTIFS($B$2:$B110,"s",$C$2:$C110,"PLH")+COUNTIFS($B$2:$B110,"s",$C$2:$C110,"CSF"))-1,96)/12))&amp;(MOD((COUNTIFS($B$2:$B110,"s",$C$2:$C110,"SER")+COUNTIFS($B$2:$B110,"s",$C$2:$C110,"PLH")+COUNTIFS($B$2:$B110,"s",$C$2:$C110,"CSF"))-1,12)+1),"N/A"),"")</f>
        <v/>
      </c>
      <c r="I110" s="6" t="str">
        <f>IF(AND($A110&lt;&gt;"",$B110&lt;&gt;"",$C110&lt;&gt;"",$D110&lt;&gt;"",$E110&lt;&gt;""),IF(AND($B110="s",OR($C110="SER",$C110="PLH",$C110="CSF")),"Case NIH Plate "&amp;(INT(((COUNTIFS($B$2:$B110,"s",$C$2:$C110,"SER")+COUNTIFS($B$2:$B110,"s",$C$2:$C110,"PLH")+COUNTIFS($B$2:$B110,"s",$C$2:$C110,"CSF"))-1)/96)+1)&amp;": "&amp;CHAR(65+INT(MOD((COUNTIFS($B$2:$B110,"s",$C$2:$C110,"SER")+COUNTIFS($B$2:$B110,"s",$C$2:$C110,"PLH")+COUNTIFS($B$2:$B110,"s",$C$2:$C110,"CSF"))-1,96)/12))&amp;(MOD((COUNTIFS($B$2:$B110,"s",$C$2:$C110,"SER")+COUNTIFS($B$2:$B110,"s",$C$2:$C110,"PLH")+COUNTIFS($B$2:$B110,"s",$C$2:$C110,"CSF"))-1,12)+1),"N/A"),"")</f>
        <v/>
      </c>
      <c r="J110" s="6" t="str">
        <f>IF(AND($A110&lt;&gt;"",$B110&lt;&gt;"",$C110&lt;&gt;"",$D110&lt;&gt;"",$E110&lt;&gt;""),IF(AND($B110="s",OR($C110="SER",$C110="PLH")),"Case MAX Planck Plate "&amp;(INT(((COUNTIFS($B$2:$B110,"s",$C$2:$C110,"SER")+COUNTIFS($B$2:$B110,"s",$C$2:$C110,"PLH"))-1)/96)+1)&amp;": "&amp;CHAR(65+INT(MOD((COUNTIFS($B$2:$B110,"s",$C$2:$C110,"SER")+COUNTIFS($B$2:$B110,"s",$C$2:$C110,"PLH"))-1,96)/12))&amp;(MOD((COUNTIFS($B$2:$B110,"s",$C$2:$C110,"SER")+COUNTIFS($B$2:$B110,"s",$C$2:$C110,"PLH"))-1,12)+1),"N/A"),"")</f>
        <v/>
      </c>
      <c r="K110" s="6" t="str">
        <f>IF(AND($A110&lt;&gt;"",$B110&lt;&gt;"",$C110&lt;&gt;"",$D110&lt;&gt;"",$E110&lt;&gt;""),IF($C110="WB","Case WB Box "&amp;(INT((COUNTIFS($C$2:$C110,"WB")-1)/81)+1)&amp;": "&amp;CHAR(65+INT(MOD(COUNTIFS($C$2:$C110,"WB")-1,81)/9))&amp;(MOD(COUNTIFS($C$2:$C110,"WB")-1,9)+1),"N/A"),"")</f>
        <v/>
      </c>
      <c r="L110" s="2" t="str">
        <f t="shared" si="19"/>
        <v/>
      </c>
      <c r="M110" s="2"/>
      <c r="N110" s="2"/>
      <c r="O110" s="2"/>
      <c r="P110" s="7" t="str">
        <f t="shared" si="20"/>
        <v/>
      </c>
      <c r="Q110" s="7" t="str">
        <f t="shared" si="21"/>
        <v/>
      </c>
      <c r="R110" s="7" t="str">
        <f t="shared" si="22"/>
        <v/>
      </c>
      <c r="S110" s="7" t="str">
        <f t="shared" si="23"/>
        <v/>
      </c>
      <c r="T110" s="7" t="str">
        <f t="shared" si="24"/>
        <v/>
      </c>
      <c r="U110" s="7" t="str">
        <f t="shared" si="25"/>
        <v/>
      </c>
      <c r="V110" s="7" t="str">
        <f t="shared" si="26"/>
        <v/>
      </c>
      <c r="W110" s="7" t="str">
        <f t="shared" si="27"/>
        <v/>
      </c>
      <c r="X110" s="7" t="str">
        <f t="shared" si="28"/>
        <v/>
      </c>
      <c r="Y110" s="7" t="str">
        <f t="shared" si="29"/>
        <v/>
      </c>
      <c r="Z110">
        <f t="shared" si="30"/>
        <v>0</v>
      </c>
      <c r="AA110" t="str">
        <f t="shared" si="31"/>
        <v/>
      </c>
      <c r="AB110" t="str">
        <f t="shared" si="32"/>
        <v/>
      </c>
      <c r="AC110" t="str">
        <f t="shared" si="33"/>
        <v/>
      </c>
      <c r="AD110" t="str">
        <f t="shared" si="34"/>
        <v/>
      </c>
      <c r="AE110">
        <f t="shared" si="35"/>
        <v>0</v>
      </c>
    </row>
    <row r="111" spans="1:31" ht="15" customHeight="1" x14ac:dyDescent="0.35">
      <c r="A111" s="2"/>
      <c r="B111" s="3"/>
      <c r="C111" s="3"/>
      <c r="D111" s="4"/>
      <c r="E111" s="5"/>
      <c r="F111" s="11" t="str">
        <f t="shared" ca="1" si="18"/>
        <v/>
      </c>
      <c r="G111" s="5"/>
      <c r="H111" s="6" t="str">
        <f>IF(AND($A111&lt;&gt;"",$B111&lt;&gt;"",$C111&lt;&gt;"",$D111&lt;&gt;"",$E111&lt;&gt;""),IF(AND($B111="s",OR($C111="SER",$C111="PLH",$C111="CSF")),"Case CDI Plate "&amp;(INT(((COUNTIFS($B$2:$B111,"s",$C$2:$C111,"SER")+COUNTIFS($B$2:$B111,"s",$C$2:$C111,"PLH")+COUNTIFS($B$2:$B111,"s",$C$2:$C111,"CSF"))-1)/96)+1)&amp;": "&amp;CHAR(65+INT(MOD((COUNTIFS($B$2:$B111,"s",$C$2:$C111,"SER")+COUNTIFS($B$2:$B111,"s",$C$2:$C111,"PLH")+COUNTIFS($B$2:$B111,"s",$C$2:$C111,"CSF"))-1,96)/12))&amp;(MOD((COUNTIFS($B$2:$B111,"s",$C$2:$C111,"SER")+COUNTIFS($B$2:$B111,"s",$C$2:$C111,"PLH")+COUNTIFS($B$2:$B111,"s",$C$2:$C111,"CSF"))-1,12)+1),"N/A"),"")</f>
        <v/>
      </c>
      <c r="I111" s="6" t="str">
        <f>IF(AND($A111&lt;&gt;"",$B111&lt;&gt;"",$C111&lt;&gt;"",$D111&lt;&gt;"",$E111&lt;&gt;""),IF(AND($B111="s",OR($C111="SER",$C111="PLH",$C111="CSF")),"Case NIH Plate "&amp;(INT(((COUNTIFS($B$2:$B111,"s",$C$2:$C111,"SER")+COUNTIFS($B$2:$B111,"s",$C$2:$C111,"PLH")+COUNTIFS($B$2:$B111,"s",$C$2:$C111,"CSF"))-1)/96)+1)&amp;": "&amp;CHAR(65+INT(MOD((COUNTIFS($B$2:$B111,"s",$C$2:$C111,"SER")+COUNTIFS($B$2:$B111,"s",$C$2:$C111,"PLH")+COUNTIFS($B$2:$B111,"s",$C$2:$C111,"CSF"))-1,96)/12))&amp;(MOD((COUNTIFS($B$2:$B111,"s",$C$2:$C111,"SER")+COUNTIFS($B$2:$B111,"s",$C$2:$C111,"PLH")+COUNTIFS($B$2:$B111,"s",$C$2:$C111,"CSF"))-1,12)+1),"N/A"),"")</f>
        <v/>
      </c>
      <c r="J111" s="6" t="str">
        <f>IF(AND($A111&lt;&gt;"",$B111&lt;&gt;"",$C111&lt;&gt;"",$D111&lt;&gt;"",$E111&lt;&gt;""),IF(AND($B111="s",OR($C111="SER",$C111="PLH")),"Case MAX Planck Plate "&amp;(INT(((COUNTIFS($B$2:$B111,"s",$C$2:$C111,"SER")+COUNTIFS($B$2:$B111,"s",$C$2:$C111,"PLH"))-1)/96)+1)&amp;": "&amp;CHAR(65+INT(MOD((COUNTIFS($B$2:$B111,"s",$C$2:$C111,"SER")+COUNTIFS($B$2:$B111,"s",$C$2:$C111,"PLH"))-1,96)/12))&amp;(MOD((COUNTIFS($B$2:$B111,"s",$C$2:$C111,"SER")+COUNTIFS($B$2:$B111,"s",$C$2:$C111,"PLH"))-1,12)+1),"N/A"),"")</f>
        <v/>
      </c>
      <c r="K111" s="6" t="str">
        <f>IF(AND($A111&lt;&gt;"",$B111&lt;&gt;"",$C111&lt;&gt;"",$D111&lt;&gt;"",$E111&lt;&gt;""),IF($C111="WB","Case WB Box "&amp;(INT((COUNTIFS($C$2:$C111,"WB")-1)/81)+1)&amp;": "&amp;CHAR(65+INT(MOD(COUNTIFS($C$2:$C111,"WB")-1,81)/9))&amp;(MOD(COUNTIFS($C$2:$C111,"WB")-1,9)+1),"N/A"),"")</f>
        <v/>
      </c>
      <c r="L111" s="2" t="str">
        <f t="shared" si="19"/>
        <v/>
      </c>
      <c r="M111" s="2"/>
      <c r="N111" s="2"/>
      <c r="O111" s="2"/>
      <c r="P111" s="7" t="str">
        <f t="shared" si="20"/>
        <v/>
      </c>
      <c r="Q111" s="7" t="str">
        <f t="shared" si="21"/>
        <v/>
      </c>
      <c r="R111" s="7" t="str">
        <f t="shared" si="22"/>
        <v/>
      </c>
      <c r="S111" s="7" t="str">
        <f t="shared" si="23"/>
        <v/>
      </c>
      <c r="T111" s="7" t="str">
        <f t="shared" si="24"/>
        <v/>
      </c>
      <c r="U111" s="7" t="str">
        <f t="shared" si="25"/>
        <v/>
      </c>
      <c r="V111" s="7" t="str">
        <f t="shared" si="26"/>
        <v/>
      </c>
      <c r="W111" s="7" t="str">
        <f t="shared" si="27"/>
        <v/>
      </c>
      <c r="X111" s="7" t="str">
        <f t="shared" si="28"/>
        <v/>
      </c>
      <c r="Y111" s="7" t="str">
        <f t="shared" si="29"/>
        <v/>
      </c>
      <c r="Z111">
        <f t="shared" si="30"/>
        <v>0</v>
      </c>
      <c r="AA111" t="str">
        <f t="shared" si="31"/>
        <v/>
      </c>
      <c r="AB111" t="str">
        <f t="shared" si="32"/>
        <v/>
      </c>
      <c r="AC111" t="str">
        <f t="shared" si="33"/>
        <v/>
      </c>
      <c r="AD111" t="str">
        <f t="shared" si="34"/>
        <v/>
      </c>
      <c r="AE111">
        <f t="shared" si="35"/>
        <v>0</v>
      </c>
    </row>
    <row r="112" spans="1:31" ht="15" customHeight="1" x14ac:dyDescent="0.35">
      <c r="A112" s="2"/>
      <c r="B112" s="3"/>
      <c r="C112" s="3"/>
      <c r="D112" s="4"/>
      <c r="E112" s="5"/>
      <c r="F112" s="11" t="str">
        <f t="shared" ca="1" si="18"/>
        <v/>
      </c>
      <c r="G112" s="5"/>
      <c r="H112" s="6" t="str">
        <f>IF(AND($A112&lt;&gt;"",$B112&lt;&gt;"",$C112&lt;&gt;"",$D112&lt;&gt;"",$E112&lt;&gt;""),IF(AND($B112="s",OR($C112="SER",$C112="PLH",$C112="CSF")),"Case CDI Plate "&amp;(INT(((COUNTIFS($B$2:$B112,"s",$C$2:$C112,"SER")+COUNTIFS($B$2:$B112,"s",$C$2:$C112,"PLH")+COUNTIFS($B$2:$B112,"s",$C$2:$C112,"CSF"))-1)/96)+1)&amp;": "&amp;CHAR(65+INT(MOD((COUNTIFS($B$2:$B112,"s",$C$2:$C112,"SER")+COUNTIFS($B$2:$B112,"s",$C$2:$C112,"PLH")+COUNTIFS($B$2:$B112,"s",$C$2:$C112,"CSF"))-1,96)/12))&amp;(MOD((COUNTIFS($B$2:$B112,"s",$C$2:$C112,"SER")+COUNTIFS($B$2:$B112,"s",$C$2:$C112,"PLH")+COUNTIFS($B$2:$B112,"s",$C$2:$C112,"CSF"))-1,12)+1),"N/A"),"")</f>
        <v/>
      </c>
      <c r="I112" s="6" t="str">
        <f>IF(AND($A112&lt;&gt;"",$B112&lt;&gt;"",$C112&lt;&gt;"",$D112&lt;&gt;"",$E112&lt;&gt;""),IF(AND($B112="s",OR($C112="SER",$C112="PLH",$C112="CSF")),"Case NIH Plate "&amp;(INT(((COUNTIFS($B$2:$B112,"s",$C$2:$C112,"SER")+COUNTIFS($B$2:$B112,"s",$C$2:$C112,"PLH")+COUNTIFS($B$2:$B112,"s",$C$2:$C112,"CSF"))-1)/96)+1)&amp;": "&amp;CHAR(65+INT(MOD((COUNTIFS($B$2:$B112,"s",$C$2:$C112,"SER")+COUNTIFS($B$2:$B112,"s",$C$2:$C112,"PLH")+COUNTIFS($B$2:$B112,"s",$C$2:$C112,"CSF"))-1,96)/12))&amp;(MOD((COUNTIFS($B$2:$B112,"s",$C$2:$C112,"SER")+COUNTIFS($B$2:$B112,"s",$C$2:$C112,"PLH")+COUNTIFS($B$2:$B112,"s",$C$2:$C112,"CSF"))-1,12)+1),"N/A"),"")</f>
        <v/>
      </c>
      <c r="J112" s="6" t="str">
        <f>IF(AND($A112&lt;&gt;"",$B112&lt;&gt;"",$C112&lt;&gt;"",$D112&lt;&gt;"",$E112&lt;&gt;""),IF(AND($B112="s",OR($C112="SER",$C112="PLH")),"Case MAX Planck Plate "&amp;(INT(((COUNTIFS($B$2:$B112,"s",$C$2:$C112,"SER")+COUNTIFS($B$2:$B112,"s",$C$2:$C112,"PLH"))-1)/96)+1)&amp;": "&amp;CHAR(65+INT(MOD((COUNTIFS($B$2:$B112,"s",$C$2:$C112,"SER")+COUNTIFS($B$2:$B112,"s",$C$2:$C112,"PLH"))-1,96)/12))&amp;(MOD((COUNTIFS($B$2:$B112,"s",$C$2:$C112,"SER")+COUNTIFS($B$2:$B112,"s",$C$2:$C112,"PLH"))-1,12)+1),"N/A"),"")</f>
        <v/>
      </c>
      <c r="K112" s="6" t="str">
        <f>IF(AND($A112&lt;&gt;"",$B112&lt;&gt;"",$C112&lt;&gt;"",$D112&lt;&gt;"",$E112&lt;&gt;""),IF($C112="WB","Case WB Box "&amp;(INT((COUNTIFS($C$2:$C112,"WB")-1)/81)+1)&amp;": "&amp;CHAR(65+INT(MOD(COUNTIFS($C$2:$C112,"WB")-1,81)/9))&amp;(MOD(COUNTIFS($C$2:$C112,"WB")-1,9)+1),"N/A"),"")</f>
        <v/>
      </c>
      <c r="L112" s="2" t="str">
        <f t="shared" si="19"/>
        <v/>
      </c>
      <c r="M112" s="2"/>
      <c r="N112" s="2"/>
      <c r="O112" s="2"/>
      <c r="P112" s="7" t="str">
        <f t="shared" si="20"/>
        <v/>
      </c>
      <c r="Q112" s="7" t="str">
        <f t="shared" si="21"/>
        <v/>
      </c>
      <c r="R112" s="7" t="str">
        <f t="shared" si="22"/>
        <v/>
      </c>
      <c r="S112" s="7" t="str">
        <f t="shared" si="23"/>
        <v/>
      </c>
      <c r="T112" s="7" t="str">
        <f t="shared" si="24"/>
        <v/>
      </c>
      <c r="U112" s="7" t="str">
        <f t="shared" si="25"/>
        <v/>
      </c>
      <c r="V112" s="7" t="str">
        <f t="shared" si="26"/>
        <v/>
      </c>
      <c r="W112" s="7" t="str">
        <f t="shared" si="27"/>
        <v/>
      </c>
      <c r="X112" s="7" t="str">
        <f t="shared" si="28"/>
        <v/>
      </c>
      <c r="Y112" s="7" t="str">
        <f t="shared" si="29"/>
        <v/>
      </c>
      <c r="Z112">
        <f t="shared" si="30"/>
        <v>0</v>
      </c>
      <c r="AA112" t="str">
        <f t="shared" si="31"/>
        <v/>
      </c>
      <c r="AB112" t="str">
        <f t="shared" si="32"/>
        <v/>
      </c>
      <c r="AC112" t="str">
        <f t="shared" si="33"/>
        <v/>
      </c>
      <c r="AD112" t="str">
        <f t="shared" si="34"/>
        <v/>
      </c>
      <c r="AE112">
        <f t="shared" si="35"/>
        <v>0</v>
      </c>
    </row>
    <row r="113" spans="1:31" ht="15" customHeight="1" x14ac:dyDescent="0.35">
      <c r="A113" s="2"/>
      <c r="B113" s="3"/>
      <c r="C113" s="3"/>
      <c r="D113" s="4"/>
      <c r="E113" s="5"/>
      <c r="F113" s="11" t="str">
        <f t="shared" ca="1" si="18"/>
        <v/>
      </c>
      <c r="G113" s="5"/>
      <c r="H113" s="6" t="str">
        <f>IF(AND($A113&lt;&gt;"",$B113&lt;&gt;"",$C113&lt;&gt;"",$D113&lt;&gt;"",$E113&lt;&gt;""),IF(AND($B113="s",OR($C113="SER",$C113="PLH",$C113="CSF")),"Case CDI Plate "&amp;(INT(((COUNTIFS($B$2:$B113,"s",$C$2:$C113,"SER")+COUNTIFS($B$2:$B113,"s",$C$2:$C113,"PLH")+COUNTIFS($B$2:$B113,"s",$C$2:$C113,"CSF"))-1)/96)+1)&amp;": "&amp;CHAR(65+INT(MOD((COUNTIFS($B$2:$B113,"s",$C$2:$C113,"SER")+COUNTIFS($B$2:$B113,"s",$C$2:$C113,"PLH")+COUNTIFS($B$2:$B113,"s",$C$2:$C113,"CSF"))-1,96)/12))&amp;(MOD((COUNTIFS($B$2:$B113,"s",$C$2:$C113,"SER")+COUNTIFS($B$2:$B113,"s",$C$2:$C113,"PLH")+COUNTIFS($B$2:$B113,"s",$C$2:$C113,"CSF"))-1,12)+1),"N/A"),"")</f>
        <v/>
      </c>
      <c r="I113" s="6" t="str">
        <f>IF(AND($A113&lt;&gt;"",$B113&lt;&gt;"",$C113&lt;&gt;"",$D113&lt;&gt;"",$E113&lt;&gt;""),IF(AND($B113="s",OR($C113="SER",$C113="PLH",$C113="CSF")),"Case NIH Plate "&amp;(INT(((COUNTIFS($B$2:$B113,"s",$C$2:$C113,"SER")+COUNTIFS($B$2:$B113,"s",$C$2:$C113,"PLH")+COUNTIFS($B$2:$B113,"s",$C$2:$C113,"CSF"))-1)/96)+1)&amp;": "&amp;CHAR(65+INT(MOD((COUNTIFS($B$2:$B113,"s",$C$2:$C113,"SER")+COUNTIFS($B$2:$B113,"s",$C$2:$C113,"PLH")+COUNTIFS($B$2:$B113,"s",$C$2:$C113,"CSF"))-1,96)/12))&amp;(MOD((COUNTIFS($B$2:$B113,"s",$C$2:$C113,"SER")+COUNTIFS($B$2:$B113,"s",$C$2:$C113,"PLH")+COUNTIFS($B$2:$B113,"s",$C$2:$C113,"CSF"))-1,12)+1),"N/A"),"")</f>
        <v/>
      </c>
      <c r="J113" s="6" t="str">
        <f>IF(AND($A113&lt;&gt;"",$B113&lt;&gt;"",$C113&lt;&gt;"",$D113&lt;&gt;"",$E113&lt;&gt;""),IF(AND($B113="s",OR($C113="SER",$C113="PLH")),"Case MAX Planck Plate "&amp;(INT(((COUNTIFS($B$2:$B113,"s",$C$2:$C113,"SER")+COUNTIFS($B$2:$B113,"s",$C$2:$C113,"PLH"))-1)/96)+1)&amp;": "&amp;CHAR(65+INT(MOD((COUNTIFS($B$2:$B113,"s",$C$2:$C113,"SER")+COUNTIFS($B$2:$B113,"s",$C$2:$C113,"PLH"))-1,96)/12))&amp;(MOD((COUNTIFS($B$2:$B113,"s",$C$2:$C113,"SER")+COUNTIFS($B$2:$B113,"s",$C$2:$C113,"PLH"))-1,12)+1),"N/A"),"")</f>
        <v/>
      </c>
      <c r="K113" s="6" t="str">
        <f>IF(AND($A113&lt;&gt;"",$B113&lt;&gt;"",$C113&lt;&gt;"",$D113&lt;&gt;"",$E113&lt;&gt;""),IF($C113="WB","Case WB Box "&amp;(INT((COUNTIFS($C$2:$C113,"WB")-1)/81)+1)&amp;": "&amp;CHAR(65+INT(MOD(COUNTIFS($C$2:$C113,"WB")-1,81)/9))&amp;(MOD(COUNTIFS($C$2:$C113,"WB")-1,9)+1),"N/A"),"")</f>
        <v/>
      </c>
      <c r="L113" s="2" t="str">
        <f t="shared" si="19"/>
        <v/>
      </c>
      <c r="M113" s="2"/>
      <c r="N113" s="2"/>
      <c r="O113" s="2"/>
      <c r="P113" s="7" t="str">
        <f t="shared" si="20"/>
        <v/>
      </c>
      <c r="Q113" s="7" t="str">
        <f t="shared" si="21"/>
        <v/>
      </c>
      <c r="R113" s="7" t="str">
        <f t="shared" si="22"/>
        <v/>
      </c>
      <c r="S113" s="7" t="str">
        <f t="shared" si="23"/>
        <v/>
      </c>
      <c r="T113" s="7" t="str">
        <f t="shared" si="24"/>
        <v/>
      </c>
      <c r="U113" s="7" t="str">
        <f t="shared" si="25"/>
        <v/>
      </c>
      <c r="V113" s="7" t="str">
        <f t="shared" si="26"/>
        <v/>
      </c>
      <c r="W113" s="7" t="str">
        <f t="shared" si="27"/>
        <v/>
      </c>
      <c r="X113" s="7" t="str">
        <f t="shared" si="28"/>
        <v/>
      </c>
      <c r="Y113" s="7" t="str">
        <f t="shared" si="29"/>
        <v/>
      </c>
      <c r="Z113">
        <f t="shared" si="30"/>
        <v>0</v>
      </c>
      <c r="AA113" t="str">
        <f t="shared" si="31"/>
        <v/>
      </c>
      <c r="AB113" t="str">
        <f t="shared" si="32"/>
        <v/>
      </c>
      <c r="AC113" t="str">
        <f t="shared" si="33"/>
        <v/>
      </c>
      <c r="AD113" t="str">
        <f t="shared" si="34"/>
        <v/>
      </c>
      <c r="AE113">
        <f t="shared" si="35"/>
        <v>0</v>
      </c>
    </row>
    <row r="114" spans="1:31" ht="15" customHeight="1" x14ac:dyDescent="0.35">
      <c r="A114" s="2"/>
      <c r="B114" s="3"/>
      <c r="C114" s="3"/>
      <c r="D114" s="4"/>
      <c r="E114" s="5"/>
      <c r="F114" s="11" t="str">
        <f t="shared" ca="1" si="18"/>
        <v/>
      </c>
      <c r="G114" s="5"/>
      <c r="H114" s="6" t="str">
        <f>IF(AND($A114&lt;&gt;"",$B114&lt;&gt;"",$C114&lt;&gt;"",$D114&lt;&gt;"",$E114&lt;&gt;""),IF(AND($B114="s",OR($C114="SER",$C114="PLH",$C114="CSF")),"Case CDI Plate "&amp;(INT(((COUNTIFS($B$2:$B114,"s",$C$2:$C114,"SER")+COUNTIFS($B$2:$B114,"s",$C$2:$C114,"PLH")+COUNTIFS($B$2:$B114,"s",$C$2:$C114,"CSF"))-1)/96)+1)&amp;": "&amp;CHAR(65+INT(MOD((COUNTIFS($B$2:$B114,"s",$C$2:$C114,"SER")+COUNTIFS($B$2:$B114,"s",$C$2:$C114,"PLH")+COUNTIFS($B$2:$B114,"s",$C$2:$C114,"CSF"))-1,96)/12))&amp;(MOD((COUNTIFS($B$2:$B114,"s",$C$2:$C114,"SER")+COUNTIFS($B$2:$B114,"s",$C$2:$C114,"PLH")+COUNTIFS($B$2:$B114,"s",$C$2:$C114,"CSF"))-1,12)+1),"N/A"),"")</f>
        <v/>
      </c>
      <c r="I114" s="6" t="str">
        <f>IF(AND($A114&lt;&gt;"",$B114&lt;&gt;"",$C114&lt;&gt;"",$D114&lt;&gt;"",$E114&lt;&gt;""),IF(AND($B114="s",OR($C114="SER",$C114="PLH",$C114="CSF")),"Case NIH Plate "&amp;(INT(((COUNTIFS($B$2:$B114,"s",$C$2:$C114,"SER")+COUNTIFS($B$2:$B114,"s",$C$2:$C114,"PLH")+COUNTIFS($B$2:$B114,"s",$C$2:$C114,"CSF"))-1)/96)+1)&amp;": "&amp;CHAR(65+INT(MOD((COUNTIFS($B$2:$B114,"s",$C$2:$C114,"SER")+COUNTIFS($B$2:$B114,"s",$C$2:$C114,"PLH")+COUNTIFS($B$2:$B114,"s",$C$2:$C114,"CSF"))-1,96)/12))&amp;(MOD((COUNTIFS($B$2:$B114,"s",$C$2:$C114,"SER")+COUNTIFS($B$2:$B114,"s",$C$2:$C114,"PLH")+COUNTIFS($B$2:$B114,"s",$C$2:$C114,"CSF"))-1,12)+1),"N/A"),"")</f>
        <v/>
      </c>
      <c r="J114" s="6" t="str">
        <f>IF(AND($A114&lt;&gt;"",$B114&lt;&gt;"",$C114&lt;&gt;"",$D114&lt;&gt;"",$E114&lt;&gt;""),IF(AND($B114="s",OR($C114="SER",$C114="PLH")),"Case MAX Planck Plate "&amp;(INT(((COUNTIFS($B$2:$B114,"s",$C$2:$C114,"SER")+COUNTIFS($B$2:$B114,"s",$C$2:$C114,"PLH"))-1)/96)+1)&amp;": "&amp;CHAR(65+INT(MOD((COUNTIFS($B$2:$B114,"s",$C$2:$C114,"SER")+COUNTIFS($B$2:$B114,"s",$C$2:$C114,"PLH"))-1,96)/12))&amp;(MOD((COUNTIFS($B$2:$B114,"s",$C$2:$C114,"SER")+COUNTIFS($B$2:$B114,"s",$C$2:$C114,"PLH"))-1,12)+1),"N/A"),"")</f>
        <v/>
      </c>
      <c r="K114" s="6" t="str">
        <f>IF(AND($A114&lt;&gt;"",$B114&lt;&gt;"",$C114&lt;&gt;"",$D114&lt;&gt;"",$E114&lt;&gt;""),IF($C114="WB","Case WB Box "&amp;(INT((COUNTIFS($C$2:$C114,"WB")-1)/81)+1)&amp;": "&amp;CHAR(65+INT(MOD(COUNTIFS($C$2:$C114,"WB")-1,81)/9))&amp;(MOD(COUNTIFS($C$2:$C114,"WB")-1,9)+1),"N/A"),"")</f>
        <v/>
      </c>
      <c r="L114" s="2" t="str">
        <f t="shared" si="19"/>
        <v/>
      </c>
      <c r="M114" s="2"/>
      <c r="N114" s="2"/>
      <c r="O114" s="2"/>
      <c r="P114" s="7" t="str">
        <f t="shared" si="20"/>
        <v/>
      </c>
      <c r="Q114" s="7" t="str">
        <f t="shared" si="21"/>
        <v/>
      </c>
      <c r="R114" s="7" t="str">
        <f t="shared" si="22"/>
        <v/>
      </c>
      <c r="S114" s="7" t="str">
        <f t="shared" si="23"/>
        <v/>
      </c>
      <c r="T114" s="7" t="str">
        <f t="shared" si="24"/>
        <v/>
      </c>
      <c r="U114" s="7" t="str">
        <f t="shared" si="25"/>
        <v/>
      </c>
      <c r="V114" s="7" t="str">
        <f t="shared" si="26"/>
        <v/>
      </c>
      <c r="W114" s="7" t="str">
        <f t="shared" si="27"/>
        <v/>
      </c>
      <c r="X114" s="7" t="str">
        <f t="shared" si="28"/>
        <v/>
      </c>
      <c r="Y114" s="7" t="str">
        <f t="shared" si="29"/>
        <v/>
      </c>
      <c r="Z114">
        <f t="shared" si="30"/>
        <v>0</v>
      </c>
      <c r="AA114" t="str">
        <f t="shared" si="31"/>
        <v/>
      </c>
      <c r="AB114" t="str">
        <f t="shared" si="32"/>
        <v/>
      </c>
      <c r="AC114" t="str">
        <f t="shared" si="33"/>
        <v/>
      </c>
      <c r="AD114" t="str">
        <f t="shared" si="34"/>
        <v/>
      </c>
      <c r="AE114">
        <f t="shared" si="35"/>
        <v>0</v>
      </c>
    </row>
    <row r="115" spans="1:31" ht="15" customHeight="1" x14ac:dyDescent="0.35">
      <c r="A115" s="2"/>
      <c r="B115" s="3"/>
      <c r="C115" s="3"/>
      <c r="D115" s="4"/>
      <c r="E115" s="5"/>
      <c r="F115" s="11" t="str">
        <f t="shared" ca="1" si="18"/>
        <v/>
      </c>
      <c r="G115" s="5"/>
      <c r="H115" s="6" t="str">
        <f>IF(AND($A115&lt;&gt;"",$B115&lt;&gt;"",$C115&lt;&gt;"",$D115&lt;&gt;"",$E115&lt;&gt;""),IF(AND($B115="s",OR($C115="SER",$C115="PLH",$C115="CSF")),"Case CDI Plate "&amp;(INT(((COUNTIFS($B$2:$B115,"s",$C$2:$C115,"SER")+COUNTIFS($B$2:$B115,"s",$C$2:$C115,"PLH")+COUNTIFS($B$2:$B115,"s",$C$2:$C115,"CSF"))-1)/96)+1)&amp;": "&amp;CHAR(65+INT(MOD((COUNTIFS($B$2:$B115,"s",$C$2:$C115,"SER")+COUNTIFS($B$2:$B115,"s",$C$2:$C115,"PLH")+COUNTIFS($B$2:$B115,"s",$C$2:$C115,"CSF"))-1,96)/12))&amp;(MOD((COUNTIFS($B$2:$B115,"s",$C$2:$C115,"SER")+COUNTIFS($B$2:$B115,"s",$C$2:$C115,"PLH")+COUNTIFS($B$2:$B115,"s",$C$2:$C115,"CSF"))-1,12)+1),"N/A"),"")</f>
        <v/>
      </c>
      <c r="I115" s="6" t="str">
        <f>IF(AND($A115&lt;&gt;"",$B115&lt;&gt;"",$C115&lt;&gt;"",$D115&lt;&gt;"",$E115&lt;&gt;""),IF(AND($B115="s",OR($C115="SER",$C115="PLH",$C115="CSF")),"Case NIH Plate "&amp;(INT(((COUNTIFS($B$2:$B115,"s",$C$2:$C115,"SER")+COUNTIFS($B$2:$B115,"s",$C$2:$C115,"PLH")+COUNTIFS($B$2:$B115,"s",$C$2:$C115,"CSF"))-1)/96)+1)&amp;": "&amp;CHAR(65+INT(MOD((COUNTIFS($B$2:$B115,"s",$C$2:$C115,"SER")+COUNTIFS($B$2:$B115,"s",$C$2:$C115,"PLH")+COUNTIFS($B$2:$B115,"s",$C$2:$C115,"CSF"))-1,96)/12))&amp;(MOD((COUNTIFS($B$2:$B115,"s",$C$2:$C115,"SER")+COUNTIFS($B$2:$B115,"s",$C$2:$C115,"PLH")+COUNTIFS($B$2:$B115,"s",$C$2:$C115,"CSF"))-1,12)+1),"N/A"),"")</f>
        <v/>
      </c>
      <c r="J115" s="6" t="str">
        <f>IF(AND($A115&lt;&gt;"",$B115&lt;&gt;"",$C115&lt;&gt;"",$D115&lt;&gt;"",$E115&lt;&gt;""),IF(AND($B115="s",OR($C115="SER",$C115="PLH")),"Case MAX Planck Plate "&amp;(INT(((COUNTIFS($B$2:$B115,"s",$C$2:$C115,"SER")+COUNTIFS($B$2:$B115,"s",$C$2:$C115,"PLH"))-1)/96)+1)&amp;": "&amp;CHAR(65+INT(MOD((COUNTIFS($B$2:$B115,"s",$C$2:$C115,"SER")+COUNTIFS($B$2:$B115,"s",$C$2:$C115,"PLH"))-1,96)/12))&amp;(MOD((COUNTIFS($B$2:$B115,"s",$C$2:$C115,"SER")+COUNTIFS($B$2:$B115,"s",$C$2:$C115,"PLH"))-1,12)+1),"N/A"),"")</f>
        <v/>
      </c>
      <c r="K115" s="6" t="str">
        <f>IF(AND($A115&lt;&gt;"",$B115&lt;&gt;"",$C115&lt;&gt;"",$D115&lt;&gt;"",$E115&lt;&gt;""),IF($C115="WB","Case WB Box "&amp;(INT((COUNTIFS($C$2:$C115,"WB")-1)/81)+1)&amp;": "&amp;CHAR(65+INT(MOD(COUNTIFS($C$2:$C115,"WB")-1,81)/9))&amp;(MOD(COUNTIFS($C$2:$C115,"WB")-1,9)+1),"N/A"),"")</f>
        <v/>
      </c>
      <c r="L115" s="2" t="str">
        <f t="shared" si="19"/>
        <v/>
      </c>
      <c r="M115" s="2"/>
      <c r="N115" s="2"/>
      <c r="O115" s="2"/>
      <c r="P115" s="7" t="str">
        <f t="shared" si="20"/>
        <v/>
      </c>
      <c r="Q115" s="7" t="str">
        <f t="shared" si="21"/>
        <v/>
      </c>
      <c r="R115" s="7" t="str">
        <f t="shared" si="22"/>
        <v/>
      </c>
      <c r="S115" s="7" t="str">
        <f t="shared" si="23"/>
        <v/>
      </c>
      <c r="T115" s="7" t="str">
        <f t="shared" si="24"/>
        <v/>
      </c>
      <c r="U115" s="7" t="str">
        <f t="shared" si="25"/>
        <v/>
      </c>
      <c r="V115" s="7" t="str">
        <f t="shared" si="26"/>
        <v/>
      </c>
      <c r="W115" s="7" t="str">
        <f t="shared" si="27"/>
        <v/>
      </c>
      <c r="X115" s="7" t="str">
        <f t="shared" si="28"/>
        <v/>
      </c>
      <c r="Y115" s="7" t="str">
        <f t="shared" si="29"/>
        <v/>
      </c>
      <c r="Z115">
        <f t="shared" si="30"/>
        <v>0</v>
      </c>
      <c r="AA115" t="str">
        <f t="shared" si="31"/>
        <v/>
      </c>
      <c r="AB115" t="str">
        <f t="shared" si="32"/>
        <v/>
      </c>
      <c r="AC115" t="str">
        <f t="shared" si="33"/>
        <v/>
      </c>
      <c r="AD115" t="str">
        <f t="shared" si="34"/>
        <v/>
      </c>
      <c r="AE115">
        <f t="shared" si="35"/>
        <v>0</v>
      </c>
    </row>
    <row r="116" spans="1:31" ht="15" customHeight="1" x14ac:dyDescent="0.35">
      <c r="A116" s="2"/>
      <c r="B116" s="3"/>
      <c r="C116" s="3"/>
      <c r="D116" s="4"/>
      <c r="E116" s="5"/>
      <c r="F116" s="11" t="str">
        <f t="shared" ca="1" si="18"/>
        <v/>
      </c>
      <c r="G116" s="5"/>
      <c r="H116" s="6" t="str">
        <f>IF(AND($A116&lt;&gt;"",$B116&lt;&gt;"",$C116&lt;&gt;"",$D116&lt;&gt;"",$E116&lt;&gt;""),IF(AND($B116="s",OR($C116="SER",$C116="PLH",$C116="CSF")),"Case CDI Plate "&amp;(INT(((COUNTIFS($B$2:$B116,"s",$C$2:$C116,"SER")+COUNTIFS($B$2:$B116,"s",$C$2:$C116,"PLH")+COUNTIFS($B$2:$B116,"s",$C$2:$C116,"CSF"))-1)/96)+1)&amp;": "&amp;CHAR(65+INT(MOD((COUNTIFS($B$2:$B116,"s",$C$2:$C116,"SER")+COUNTIFS($B$2:$B116,"s",$C$2:$C116,"PLH")+COUNTIFS($B$2:$B116,"s",$C$2:$C116,"CSF"))-1,96)/12))&amp;(MOD((COUNTIFS($B$2:$B116,"s",$C$2:$C116,"SER")+COUNTIFS($B$2:$B116,"s",$C$2:$C116,"PLH")+COUNTIFS($B$2:$B116,"s",$C$2:$C116,"CSF"))-1,12)+1),"N/A"),"")</f>
        <v/>
      </c>
      <c r="I116" s="6" t="str">
        <f>IF(AND($A116&lt;&gt;"",$B116&lt;&gt;"",$C116&lt;&gt;"",$D116&lt;&gt;"",$E116&lt;&gt;""),IF(AND($B116="s",OR($C116="SER",$C116="PLH",$C116="CSF")),"Case NIH Plate "&amp;(INT(((COUNTIFS($B$2:$B116,"s",$C$2:$C116,"SER")+COUNTIFS($B$2:$B116,"s",$C$2:$C116,"PLH")+COUNTIFS($B$2:$B116,"s",$C$2:$C116,"CSF"))-1)/96)+1)&amp;": "&amp;CHAR(65+INT(MOD((COUNTIFS($B$2:$B116,"s",$C$2:$C116,"SER")+COUNTIFS($B$2:$B116,"s",$C$2:$C116,"PLH")+COUNTIFS($B$2:$B116,"s",$C$2:$C116,"CSF"))-1,96)/12))&amp;(MOD((COUNTIFS($B$2:$B116,"s",$C$2:$C116,"SER")+COUNTIFS($B$2:$B116,"s",$C$2:$C116,"PLH")+COUNTIFS($B$2:$B116,"s",$C$2:$C116,"CSF"))-1,12)+1),"N/A"),"")</f>
        <v/>
      </c>
      <c r="J116" s="6" t="str">
        <f>IF(AND($A116&lt;&gt;"",$B116&lt;&gt;"",$C116&lt;&gt;"",$D116&lt;&gt;"",$E116&lt;&gt;""),IF(AND($B116="s",OR($C116="SER",$C116="PLH")),"Case MAX Planck Plate "&amp;(INT(((COUNTIFS($B$2:$B116,"s",$C$2:$C116,"SER")+COUNTIFS($B$2:$B116,"s",$C$2:$C116,"PLH"))-1)/96)+1)&amp;": "&amp;CHAR(65+INT(MOD((COUNTIFS($B$2:$B116,"s",$C$2:$C116,"SER")+COUNTIFS($B$2:$B116,"s",$C$2:$C116,"PLH"))-1,96)/12))&amp;(MOD((COUNTIFS($B$2:$B116,"s",$C$2:$C116,"SER")+COUNTIFS($B$2:$B116,"s",$C$2:$C116,"PLH"))-1,12)+1),"N/A"),"")</f>
        <v/>
      </c>
      <c r="K116" s="6" t="str">
        <f>IF(AND($A116&lt;&gt;"",$B116&lt;&gt;"",$C116&lt;&gt;"",$D116&lt;&gt;"",$E116&lt;&gt;""),IF($C116="WB","Case WB Box "&amp;(INT((COUNTIFS($C$2:$C116,"WB")-1)/81)+1)&amp;": "&amp;CHAR(65+INT(MOD(COUNTIFS($C$2:$C116,"WB")-1,81)/9))&amp;(MOD(COUNTIFS($C$2:$C116,"WB")-1,9)+1),"N/A"),"")</f>
        <v/>
      </c>
      <c r="L116" s="2" t="str">
        <f t="shared" si="19"/>
        <v/>
      </c>
      <c r="M116" s="2"/>
      <c r="N116" s="2"/>
      <c r="O116" s="2"/>
      <c r="P116" s="7" t="str">
        <f t="shared" si="20"/>
        <v/>
      </c>
      <c r="Q116" s="7" t="str">
        <f t="shared" si="21"/>
        <v/>
      </c>
      <c r="R116" s="7" t="str">
        <f t="shared" si="22"/>
        <v/>
      </c>
      <c r="S116" s="7" t="str">
        <f t="shared" si="23"/>
        <v/>
      </c>
      <c r="T116" s="7" t="str">
        <f t="shared" si="24"/>
        <v/>
      </c>
      <c r="U116" s="7" t="str">
        <f t="shared" si="25"/>
        <v/>
      </c>
      <c r="V116" s="7" t="str">
        <f t="shared" si="26"/>
        <v/>
      </c>
      <c r="W116" s="7" t="str">
        <f t="shared" si="27"/>
        <v/>
      </c>
      <c r="X116" s="7" t="str">
        <f t="shared" si="28"/>
        <v/>
      </c>
      <c r="Y116" s="7" t="str">
        <f t="shared" si="29"/>
        <v/>
      </c>
      <c r="Z116">
        <f t="shared" si="30"/>
        <v>0</v>
      </c>
      <c r="AA116" t="str">
        <f t="shared" si="31"/>
        <v/>
      </c>
      <c r="AB116" t="str">
        <f t="shared" si="32"/>
        <v/>
      </c>
      <c r="AC116" t="str">
        <f t="shared" si="33"/>
        <v/>
      </c>
      <c r="AD116" t="str">
        <f t="shared" si="34"/>
        <v/>
      </c>
      <c r="AE116">
        <f t="shared" si="35"/>
        <v>0</v>
      </c>
    </row>
    <row r="117" spans="1:31" ht="15" customHeight="1" x14ac:dyDescent="0.35">
      <c r="A117" s="2"/>
      <c r="B117" s="3"/>
      <c r="C117" s="3"/>
      <c r="D117" s="4"/>
      <c r="E117" s="5"/>
      <c r="F117" s="11" t="str">
        <f t="shared" ca="1" si="18"/>
        <v/>
      </c>
      <c r="G117" s="5"/>
      <c r="H117" s="6" t="str">
        <f>IF(AND($A117&lt;&gt;"",$B117&lt;&gt;"",$C117&lt;&gt;"",$D117&lt;&gt;"",$E117&lt;&gt;""),IF(AND($B117="s",OR($C117="SER",$C117="PLH",$C117="CSF")),"Case CDI Plate "&amp;(INT(((COUNTIFS($B$2:$B117,"s",$C$2:$C117,"SER")+COUNTIFS($B$2:$B117,"s",$C$2:$C117,"PLH")+COUNTIFS($B$2:$B117,"s",$C$2:$C117,"CSF"))-1)/96)+1)&amp;": "&amp;CHAR(65+INT(MOD((COUNTIFS($B$2:$B117,"s",$C$2:$C117,"SER")+COUNTIFS($B$2:$B117,"s",$C$2:$C117,"PLH")+COUNTIFS($B$2:$B117,"s",$C$2:$C117,"CSF"))-1,96)/12))&amp;(MOD((COUNTIFS($B$2:$B117,"s",$C$2:$C117,"SER")+COUNTIFS($B$2:$B117,"s",$C$2:$C117,"PLH")+COUNTIFS($B$2:$B117,"s",$C$2:$C117,"CSF"))-1,12)+1),"N/A"),"")</f>
        <v/>
      </c>
      <c r="I117" s="6" t="str">
        <f>IF(AND($A117&lt;&gt;"",$B117&lt;&gt;"",$C117&lt;&gt;"",$D117&lt;&gt;"",$E117&lt;&gt;""),IF(AND($B117="s",OR($C117="SER",$C117="PLH",$C117="CSF")),"Case NIH Plate "&amp;(INT(((COUNTIFS($B$2:$B117,"s",$C$2:$C117,"SER")+COUNTIFS($B$2:$B117,"s",$C$2:$C117,"PLH")+COUNTIFS($B$2:$B117,"s",$C$2:$C117,"CSF"))-1)/96)+1)&amp;": "&amp;CHAR(65+INT(MOD((COUNTIFS($B$2:$B117,"s",$C$2:$C117,"SER")+COUNTIFS($B$2:$B117,"s",$C$2:$C117,"PLH")+COUNTIFS($B$2:$B117,"s",$C$2:$C117,"CSF"))-1,96)/12))&amp;(MOD((COUNTIFS($B$2:$B117,"s",$C$2:$C117,"SER")+COUNTIFS($B$2:$B117,"s",$C$2:$C117,"PLH")+COUNTIFS($B$2:$B117,"s",$C$2:$C117,"CSF"))-1,12)+1),"N/A"),"")</f>
        <v/>
      </c>
      <c r="J117" s="6" t="str">
        <f>IF(AND($A117&lt;&gt;"",$B117&lt;&gt;"",$C117&lt;&gt;"",$D117&lt;&gt;"",$E117&lt;&gt;""),IF(AND($B117="s",OR($C117="SER",$C117="PLH")),"Case MAX Planck Plate "&amp;(INT(((COUNTIFS($B$2:$B117,"s",$C$2:$C117,"SER")+COUNTIFS($B$2:$B117,"s",$C$2:$C117,"PLH"))-1)/96)+1)&amp;": "&amp;CHAR(65+INT(MOD((COUNTIFS($B$2:$B117,"s",$C$2:$C117,"SER")+COUNTIFS($B$2:$B117,"s",$C$2:$C117,"PLH"))-1,96)/12))&amp;(MOD((COUNTIFS($B$2:$B117,"s",$C$2:$C117,"SER")+COUNTIFS($B$2:$B117,"s",$C$2:$C117,"PLH"))-1,12)+1),"N/A"),"")</f>
        <v/>
      </c>
      <c r="K117" s="6" t="str">
        <f>IF(AND($A117&lt;&gt;"",$B117&lt;&gt;"",$C117&lt;&gt;"",$D117&lt;&gt;"",$E117&lt;&gt;""),IF($C117="WB","Case WB Box "&amp;(INT((COUNTIFS($C$2:$C117,"WB")-1)/81)+1)&amp;": "&amp;CHAR(65+INT(MOD(COUNTIFS($C$2:$C117,"WB")-1,81)/9))&amp;(MOD(COUNTIFS($C$2:$C117,"WB")-1,9)+1),"N/A"),"")</f>
        <v/>
      </c>
      <c r="L117" s="2" t="str">
        <f t="shared" si="19"/>
        <v/>
      </c>
      <c r="M117" s="2"/>
      <c r="N117" s="2"/>
      <c r="O117" s="2"/>
      <c r="P117" s="7" t="str">
        <f t="shared" si="20"/>
        <v/>
      </c>
      <c r="Q117" s="7" t="str">
        <f t="shared" si="21"/>
        <v/>
      </c>
      <c r="R117" s="7" t="str">
        <f t="shared" si="22"/>
        <v/>
      </c>
      <c r="S117" s="7" t="str">
        <f t="shared" si="23"/>
        <v/>
      </c>
      <c r="T117" s="7" t="str">
        <f t="shared" si="24"/>
        <v/>
      </c>
      <c r="U117" s="7" t="str">
        <f t="shared" si="25"/>
        <v/>
      </c>
      <c r="V117" s="7" t="str">
        <f t="shared" si="26"/>
        <v/>
      </c>
      <c r="W117" s="7" t="str">
        <f t="shared" si="27"/>
        <v/>
      </c>
      <c r="X117" s="7" t="str">
        <f t="shared" si="28"/>
        <v/>
      </c>
      <c r="Y117" s="7" t="str">
        <f t="shared" si="29"/>
        <v/>
      </c>
      <c r="Z117">
        <f t="shared" si="30"/>
        <v>0</v>
      </c>
      <c r="AA117" t="str">
        <f t="shared" si="31"/>
        <v/>
      </c>
      <c r="AB117" t="str">
        <f t="shared" si="32"/>
        <v/>
      </c>
      <c r="AC117" t="str">
        <f t="shared" si="33"/>
        <v/>
      </c>
      <c r="AD117" t="str">
        <f t="shared" si="34"/>
        <v/>
      </c>
      <c r="AE117">
        <f t="shared" si="35"/>
        <v>0</v>
      </c>
    </row>
    <row r="118" spans="1:31" ht="15" customHeight="1" x14ac:dyDescent="0.35">
      <c r="A118" s="2"/>
      <c r="B118" s="3"/>
      <c r="C118" s="3"/>
      <c r="D118" s="4"/>
      <c r="E118" s="5"/>
      <c r="F118" s="11" t="str">
        <f t="shared" ca="1" si="18"/>
        <v/>
      </c>
      <c r="G118" s="5"/>
      <c r="H118" s="6" t="str">
        <f>IF(AND($A118&lt;&gt;"",$B118&lt;&gt;"",$C118&lt;&gt;"",$D118&lt;&gt;"",$E118&lt;&gt;""),IF(AND($B118="s",OR($C118="SER",$C118="PLH",$C118="CSF")),"Case CDI Plate "&amp;(INT(((COUNTIFS($B$2:$B118,"s",$C$2:$C118,"SER")+COUNTIFS($B$2:$B118,"s",$C$2:$C118,"PLH")+COUNTIFS($B$2:$B118,"s",$C$2:$C118,"CSF"))-1)/96)+1)&amp;": "&amp;CHAR(65+INT(MOD((COUNTIFS($B$2:$B118,"s",$C$2:$C118,"SER")+COUNTIFS($B$2:$B118,"s",$C$2:$C118,"PLH")+COUNTIFS($B$2:$B118,"s",$C$2:$C118,"CSF"))-1,96)/12))&amp;(MOD((COUNTIFS($B$2:$B118,"s",$C$2:$C118,"SER")+COUNTIFS($B$2:$B118,"s",$C$2:$C118,"PLH")+COUNTIFS($B$2:$B118,"s",$C$2:$C118,"CSF"))-1,12)+1),"N/A"),"")</f>
        <v/>
      </c>
      <c r="I118" s="6" t="str">
        <f>IF(AND($A118&lt;&gt;"",$B118&lt;&gt;"",$C118&lt;&gt;"",$D118&lt;&gt;"",$E118&lt;&gt;""),IF(AND($B118="s",OR($C118="SER",$C118="PLH",$C118="CSF")),"Case NIH Plate "&amp;(INT(((COUNTIFS($B$2:$B118,"s",$C$2:$C118,"SER")+COUNTIFS($B$2:$B118,"s",$C$2:$C118,"PLH")+COUNTIFS($B$2:$B118,"s",$C$2:$C118,"CSF"))-1)/96)+1)&amp;": "&amp;CHAR(65+INT(MOD((COUNTIFS($B$2:$B118,"s",$C$2:$C118,"SER")+COUNTIFS($B$2:$B118,"s",$C$2:$C118,"PLH")+COUNTIFS($B$2:$B118,"s",$C$2:$C118,"CSF"))-1,96)/12))&amp;(MOD((COUNTIFS($B$2:$B118,"s",$C$2:$C118,"SER")+COUNTIFS($B$2:$B118,"s",$C$2:$C118,"PLH")+COUNTIFS($B$2:$B118,"s",$C$2:$C118,"CSF"))-1,12)+1),"N/A"),"")</f>
        <v/>
      </c>
      <c r="J118" s="6" t="str">
        <f>IF(AND($A118&lt;&gt;"",$B118&lt;&gt;"",$C118&lt;&gt;"",$D118&lt;&gt;"",$E118&lt;&gt;""),IF(AND($B118="s",OR($C118="SER",$C118="PLH")),"Case MAX Planck Plate "&amp;(INT(((COUNTIFS($B$2:$B118,"s",$C$2:$C118,"SER")+COUNTIFS($B$2:$B118,"s",$C$2:$C118,"PLH"))-1)/96)+1)&amp;": "&amp;CHAR(65+INT(MOD((COUNTIFS($B$2:$B118,"s",$C$2:$C118,"SER")+COUNTIFS($B$2:$B118,"s",$C$2:$C118,"PLH"))-1,96)/12))&amp;(MOD((COUNTIFS($B$2:$B118,"s",$C$2:$C118,"SER")+COUNTIFS($B$2:$B118,"s",$C$2:$C118,"PLH"))-1,12)+1),"N/A"),"")</f>
        <v/>
      </c>
      <c r="K118" s="6" t="str">
        <f>IF(AND($A118&lt;&gt;"",$B118&lt;&gt;"",$C118&lt;&gt;"",$D118&lt;&gt;"",$E118&lt;&gt;""),IF($C118="WB","Case WB Box "&amp;(INT((COUNTIFS($C$2:$C118,"WB")-1)/81)+1)&amp;": "&amp;CHAR(65+INT(MOD(COUNTIFS($C$2:$C118,"WB")-1,81)/9))&amp;(MOD(COUNTIFS($C$2:$C118,"WB")-1,9)+1),"N/A"),"")</f>
        <v/>
      </c>
      <c r="L118" s="2" t="str">
        <f t="shared" si="19"/>
        <v/>
      </c>
      <c r="M118" s="2"/>
      <c r="N118" s="2"/>
      <c r="O118" s="2"/>
      <c r="P118" s="7" t="str">
        <f t="shared" si="20"/>
        <v/>
      </c>
      <c r="Q118" s="7" t="str">
        <f t="shared" si="21"/>
        <v/>
      </c>
      <c r="R118" s="7" t="str">
        <f t="shared" si="22"/>
        <v/>
      </c>
      <c r="S118" s="7" t="str">
        <f t="shared" si="23"/>
        <v/>
      </c>
      <c r="T118" s="7" t="str">
        <f t="shared" si="24"/>
        <v/>
      </c>
      <c r="U118" s="7" t="str">
        <f t="shared" si="25"/>
        <v/>
      </c>
      <c r="V118" s="7" t="str">
        <f t="shared" si="26"/>
        <v/>
      </c>
      <c r="W118" s="7" t="str">
        <f t="shared" si="27"/>
        <v/>
      </c>
      <c r="X118" s="7" t="str">
        <f t="shared" si="28"/>
        <v/>
      </c>
      <c r="Y118" s="7" t="str">
        <f t="shared" si="29"/>
        <v/>
      </c>
      <c r="Z118">
        <f t="shared" si="30"/>
        <v>0</v>
      </c>
      <c r="AA118" t="str">
        <f t="shared" si="31"/>
        <v/>
      </c>
      <c r="AB118" t="str">
        <f t="shared" si="32"/>
        <v/>
      </c>
      <c r="AC118" t="str">
        <f t="shared" si="33"/>
        <v/>
      </c>
      <c r="AD118" t="str">
        <f t="shared" si="34"/>
        <v/>
      </c>
      <c r="AE118">
        <f t="shared" si="35"/>
        <v>0</v>
      </c>
    </row>
    <row r="119" spans="1:31" ht="15" customHeight="1" x14ac:dyDescent="0.35">
      <c r="A119" s="2"/>
      <c r="B119" s="3"/>
      <c r="C119" s="3"/>
      <c r="D119" s="4"/>
      <c r="E119" s="5"/>
      <c r="F119" s="11" t="str">
        <f t="shared" ca="1" si="18"/>
        <v/>
      </c>
      <c r="G119" s="5"/>
      <c r="H119" s="6" t="str">
        <f>IF(AND($A119&lt;&gt;"",$B119&lt;&gt;"",$C119&lt;&gt;"",$D119&lt;&gt;"",$E119&lt;&gt;""),IF(AND($B119="s",OR($C119="SER",$C119="PLH",$C119="CSF")),"Case CDI Plate "&amp;(INT(((COUNTIFS($B$2:$B119,"s",$C$2:$C119,"SER")+COUNTIFS($B$2:$B119,"s",$C$2:$C119,"PLH")+COUNTIFS($B$2:$B119,"s",$C$2:$C119,"CSF"))-1)/96)+1)&amp;": "&amp;CHAR(65+INT(MOD((COUNTIFS($B$2:$B119,"s",$C$2:$C119,"SER")+COUNTIFS($B$2:$B119,"s",$C$2:$C119,"PLH")+COUNTIFS($B$2:$B119,"s",$C$2:$C119,"CSF"))-1,96)/12))&amp;(MOD((COUNTIFS($B$2:$B119,"s",$C$2:$C119,"SER")+COUNTIFS($B$2:$B119,"s",$C$2:$C119,"PLH")+COUNTIFS($B$2:$B119,"s",$C$2:$C119,"CSF"))-1,12)+1),"N/A"),"")</f>
        <v/>
      </c>
      <c r="I119" s="6" t="str">
        <f>IF(AND($A119&lt;&gt;"",$B119&lt;&gt;"",$C119&lt;&gt;"",$D119&lt;&gt;"",$E119&lt;&gt;""),IF(AND($B119="s",OR($C119="SER",$C119="PLH",$C119="CSF")),"Case NIH Plate "&amp;(INT(((COUNTIFS($B$2:$B119,"s",$C$2:$C119,"SER")+COUNTIFS($B$2:$B119,"s",$C$2:$C119,"PLH")+COUNTIFS($B$2:$B119,"s",$C$2:$C119,"CSF"))-1)/96)+1)&amp;": "&amp;CHAR(65+INT(MOD((COUNTIFS($B$2:$B119,"s",$C$2:$C119,"SER")+COUNTIFS($B$2:$B119,"s",$C$2:$C119,"PLH")+COUNTIFS($B$2:$B119,"s",$C$2:$C119,"CSF"))-1,96)/12))&amp;(MOD((COUNTIFS($B$2:$B119,"s",$C$2:$C119,"SER")+COUNTIFS($B$2:$B119,"s",$C$2:$C119,"PLH")+COUNTIFS($B$2:$B119,"s",$C$2:$C119,"CSF"))-1,12)+1),"N/A"),"")</f>
        <v/>
      </c>
      <c r="J119" s="6" t="str">
        <f>IF(AND($A119&lt;&gt;"",$B119&lt;&gt;"",$C119&lt;&gt;"",$D119&lt;&gt;"",$E119&lt;&gt;""),IF(AND($B119="s",OR($C119="SER",$C119="PLH")),"Case MAX Planck Plate "&amp;(INT(((COUNTIFS($B$2:$B119,"s",$C$2:$C119,"SER")+COUNTIFS($B$2:$B119,"s",$C$2:$C119,"PLH"))-1)/96)+1)&amp;": "&amp;CHAR(65+INT(MOD((COUNTIFS($B$2:$B119,"s",$C$2:$C119,"SER")+COUNTIFS($B$2:$B119,"s",$C$2:$C119,"PLH"))-1,96)/12))&amp;(MOD((COUNTIFS($B$2:$B119,"s",$C$2:$C119,"SER")+COUNTIFS($B$2:$B119,"s",$C$2:$C119,"PLH"))-1,12)+1),"N/A"),"")</f>
        <v/>
      </c>
      <c r="K119" s="6" t="str">
        <f>IF(AND($A119&lt;&gt;"",$B119&lt;&gt;"",$C119&lt;&gt;"",$D119&lt;&gt;"",$E119&lt;&gt;""),IF($C119="WB","Case WB Box "&amp;(INT((COUNTIFS($C$2:$C119,"WB")-1)/81)+1)&amp;": "&amp;CHAR(65+INT(MOD(COUNTIFS($C$2:$C119,"WB")-1,81)/9))&amp;(MOD(COUNTIFS($C$2:$C119,"WB")-1,9)+1),"N/A"),"")</f>
        <v/>
      </c>
      <c r="L119" s="2" t="str">
        <f t="shared" si="19"/>
        <v/>
      </c>
      <c r="M119" s="2"/>
      <c r="N119" s="2"/>
      <c r="O119" s="2"/>
      <c r="P119" s="7" t="str">
        <f t="shared" si="20"/>
        <v/>
      </c>
      <c r="Q119" s="7" t="str">
        <f t="shared" si="21"/>
        <v/>
      </c>
      <c r="R119" s="7" t="str">
        <f t="shared" si="22"/>
        <v/>
      </c>
      <c r="S119" s="7" t="str">
        <f t="shared" si="23"/>
        <v/>
      </c>
      <c r="T119" s="7" t="str">
        <f t="shared" si="24"/>
        <v/>
      </c>
      <c r="U119" s="7" t="str">
        <f t="shared" si="25"/>
        <v/>
      </c>
      <c r="V119" s="7" t="str">
        <f t="shared" si="26"/>
        <v/>
      </c>
      <c r="W119" s="7" t="str">
        <f t="shared" si="27"/>
        <v/>
      </c>
      <c r="X119" s="7" t="str">
        <f t="shared" si="28"/>
        <v/>
      </c>
      <c r="Y119" s="7" t="str">
        <f t="shared" si="29"/>
        <v/>
      </c>
      <c r="Z119">
        <f t="shared" si="30"/>
        <v>0</v>
      </c>
      <c r="AA119" t="str">
        <f t="shared" si="31"/>
        <v/>
      </c>
      <c r="AB119" t="str">
        <f t="shared" si="32"/>
        <v/>
      </c>
      <c r="AC119" t="str">
        <f t="shared" si="33"/>
        <v/>
      </c>
      <c r="AD119" t="str">
        <f t="shared" si="34"/>
        <v/>
      </c>
      <c r="AE119">
        <f t="shared" si="35"/>
        <v>0</v>
      </c>
    </row>
    <row r="120" spans="1:31" ht="15" customHeight="1" x14ac:dyDescent="0.35">
      <c r="A120" s="2"/>
      <c r="B120" s="3"/>
      <c r="C120" s="3"/>
      <c r="D120" s="4"/>
      <c r="E120" s="5"/>
      <c r="F120" s="11" t="str">
        <f t="shared" ca="1" si="18"/>
        <v/>
      </c>
      <c r="G120" s="5"/>
      <c r="H120" s="6" t="str">
        <f>IF(AND($A120&lt;&gt;"",$B120&lt;&gt;"",$C120&lt;&gt;"",$D120&lt;&gt;"",$E120&lt;&gt;""),IF(AND($B120="s",OR($C120="SER",$C120="PLH",$C120="CSF")),"Case CDI Plate "&amp;(INT(((COUNTIFS($B$2:$B120,"s",$C$2:$C120,"SER")+COUNTIFS($B$2:$B120,"s",$C$2:$C120,"PLH")+COUNTIFS($B$2:$B120,"s",$C$2:$C120,"CSF"))-1)/96)+1)&amp;": "&amp;CHAR(65+INT(MOD((COUNTIFS($B$2:$B120,"s",$C$2:$C120,"SER")+COUNTIFS($B$2:$B120,"s",$C$2:$C120,"PLH")+COUNTIFS($B$2:$B120,"s",$C$2:$C120,"CSF"))-1,96)/12))&amp;(MOD((COUNTIFS($B$2:$B120,"s",$C$2:$C120,"SER")+COUNTIFS($B$2:$B120,"s",$C$2:$C120,"PLH")+COUNTIFS($B$2:$B120,"s",$C$2:$C120,"CSF"))-1,12)+1),"N/A"),"")</f>
        <v/>
      </c>
      <c r="I120" s="6" t="str">
        <f>IF(AND($A120&lt;&gt;"",$B120&lt;&gt;"",$C120&lt;&gt;"",$D120&lt;&gt;"",$E120&lt;&gt;""),IF(AND($B120="s",OR($C120="SER",$C120="PLH",$C120="CSF")),"Case NIH Plate "&amp;(INT(((COUNTIFS($B$2:$B120,"s",$C$2:$C120,"SER")+COUNTIFS($B$2:$B120,"s",$C$2:$C120,"PLH")+COUNTIFS($B$2:$B120,"s",$C$2:$C120,"CSF"))-1)/96)+1)&amp;": "&amp;CHAR(65+INT(MOD((COUNTIFS($B$2:$B120,"s",$C$2:$C120,"SER")+COUNTIFS($B$2:$B120,"s",$C$2:$C120,"PLH")+COUNTIFS($B$2:$B120,"s",$C$2:$C120,"CSF"))-1,96)/12))&amp;(MOD((COUNTIFS($B$2:$B120,"s",$C$2:$C120,"SER")+COUNTIFS($B$2:$B120,"s",$C$2:$C120,"PLH")+COUNTIFS($B$2:$B120,"s",$C$2:$C120,"CSF"))-1,12)+1),"N/A"),"")</f>
        <v/>
      </c>
      <c r="J120" s="6" t="str">
        <f>IF(AND($A120&lt;&gt;"",$B120&lt;&gt;"",$C120&lt;&gt;"",$D120&lt;&gt;"",$E120&lt;&gt;""),IF(AND($B120="s",OR($C120="SER",$C120="PLH")),"Case MAX Planck Plate "&amp;(INT(((COUNTIFS($B$2:$B120,"s",$C$2:$C120,"SER")+COUNTIFS($B$2:$B120,"s",$C$2:$C120,"PLH"))-1)/96)+1)&amp;": "&amp;CHAR(65+INT(MOD((COUNTIFS($B$2:$B120,"s",$C$2:$C120,"SER")+COUNTIFS($B$2:$B120,"s",$C$2:$C120,"PLH"))-1,96)/12))&amp;(MOD((COUNTIFS($B$2:$B120,"s",$C$2:$C120,"SER")+COUNTIFS($B$2:$B120,"s",$C$2:$C120,"PLH"))-1,12)+1),"N/A"),"")</f>
        <v/>
      </c>
      <c r="K120" s="6" t="str">
        <f>IF(AND($A120&lt;&gt;"",$B120&lt;&gt;"",$C120&lt;&gt;"",$D120&lt;&gt;"",$E120&lt;&gt;""),IF($C120="WB","Case WB Box "&amp;(INT((COUNTIFS($C$2:$C120,"WB")-1)/81)+1)&amp;": "&amp;CHAR(65+INT(MOD(COUNTIFS($C$2:$C120,"WB")-1,81)/9))&amp;(MOD(COUNTIFS($C$2:$C120,"WB")-1,9)+1),"N/A"),"")</f>
        <v/>
      </c>
      <c r="L120" s="2" t="str">
        <f t="shared" si="19"/>
        <v/>
      </c>
      <c r="M120" s="2"/>
      <c r="N120" s="2"/>
      <c r="O120" s="2"/>
      <c r="P120" s="7" t="str">
        <f t="shared" si="20"/>
        <v/>
      </c>
      <c r="Q120" s="7" t="str">
        <f t="shared" si="21"/>
        <v/>
      </c>
      <c r="R120" s="7" t="str">
        <f t="shared" si="22"/>
        <v/>
      </c>
      <c r="S120" s="7" t="str">
        <f t="shared" si="23"/>
        <v/>
      </c>
      <c r="T120" s="7" t="str">
        <f t="shared" si="24"/>
        <v/>
      </c>
      <c r="U120" s="7" t="str">
        <f t="shared" si="25"/>
        <v/>
      </c>
      <c r="V120" s="7" t="str">
        <f t="shared" si="26"/>
        <v/>
      </c>
      <c r="W120" s="7" t="str">
        <f t="shared" si="27"/>
        <v/>
      </c>
      <c r="X120" s="7" t="str">
        <f t="shared" si="28"/>
        <v/>
      </c>
      <c r="Y120" s="7" t="str">
        <f t="shared" si="29"/>
        <v/>
      </c>
      <c r="Z120">
        <f t="shared" si="30"/>
        <v>0</v>
      </c>
      <c r="AA120" t="str">
        <f t="shared" si="31"/>
        <v/>
      </c>
      <c r="AB120" t="str">
        <f t="shared" si="32"/>
        <v/>
      </c>
      <c r="AC120" t="str">
        <f t="shared" si="33"/>
        <v/>
      </c>
      <c r="AD120" t="str">
        <f t="shared" si="34"/>
        <v/>
      </c>
      <c r="AE120">
        <f t="shared" si="35"/>
        <v>0</v>
      </c>
    </row>
    <row r="121" spans="1:31" ht="15" customHeight="1" x14ac:dyDescent="0.35">
      <c r="A121" s="2"/>
      <c r="B121" s="3"/>
      <c r="C121" s="3"/>
      <c r="D121" s="4"/>
      <c r="E121" s="5"/>
      <c r="F121" s="11" t="str">
        <f t="shared" ca="1" si="18"/>
        <v/>
      </c>
      <c r="G121" s="5"/>
      <c r="H121" s="6" t="str">
        <f>IF(AND($A121&lt;&gt;"",$B121&lt;&gt;"",$C121&lt;&gt;"",$D121&lt;&gt;"",$E121&lt;&gt;""),IF(AND($B121="s",OR($C121="SER",$C121="PLH",$C121="CSF")),"Case CDI Plate "&amp;(INT(((COUNTIFS($B$2:$B121,"s",$C$2:$C121,"SER")+COUNTIFS($B$2:$B121,"s",$C$2:$C121,"PLH")+COUNTIFS($B$2:$B121,"s",$C$2:$C121,"CSF"))-1)/96)+1)&amp;": "&amp;CHAR(65+INT(MOD((COUNTIFS($B$2:$B121,"s",$C$2:$C121,"SER")+COUNTIFS($B$2:$B121,"s",$C$2:$C121,"PLH")+COUNTIFS($B$2:$B121,"s",$C$2:$C121,"CSF"))-1,96)/12))&amp;(MOD((COUNTIFS($B$2:$B121,"s",$C$2:$C121,"SER")+COUNTIFS($B$2:$B121,"s",$C$2:$C121,"PLH")+COUNTIFS($B$2:$B121,"s",$C$2:$C121,"CSF"))-1,12)+1),"N/A"),"")</f>
        <v/>
      </c>
      <c r="I121" s="6" t="str">
        <f>IF(AND($A121&lt;&gt;"",$B121&lt;&gt;"",$C121&lt;&gt;"",$D121&lt;&gt;"",$E121&lt;&gt;""),IF(AND($B121="s",OR($C121="SER",$C121="PLH",$C121="CSF")),"Case NIH Plate "&amp;(INT(((COUNTIFS($B$2:$B121,"s",$C$2:$C121,"SER")+COUNTIFS($B$2:$B121,"s",$C$2:$C121,"PLH")+COUNTIFS($B$2:$B121,"s",$C$2:$C121,"CSF"))-1)/96)+1)&amp;": "&amp;CHAR(65+INT(MOD((COUNTIFS($B$2:$B121,"s",$C$2:$C121,"SER")+COUNTIFS($B$2:$B121,"s",$C$2:$C121,"PLH")+COUNTIFS($B$2:$B121,"s",$C$2:$C121,"CSF"))-1,96)/12))&amp;(MOD((COUNTIFS($B$2:$B121,"s",$C$2:$C121,"SER")+COUNTIFS($B$2:$B121,"s",$C$2:$C121,"PLH")+COUNTIFS($B$2:$B121,"s",$C$2:$C121,"CSF"))-1,12)+1),"N/A"),"")</f>
        <v/>
      </c>
      <c r="J121" s="6" t="str">
        <f>IF(AND($A121&lt;&gt;"",$B121&lt;&gt;"",$C121&lt;&gt;"",$D121&lt;&gt;"",$E121&lt;&gt;""),IF(AND($B121="s",OR($C121="SER",$C121="PLH")),"Case MAX Planck Plate "&amp;(INT(((COUNTIFS($B$2:$B121,"s",$C$2:$C121,"SER")+COUNTIFS($B$2:$B121,"s",$C$2:$C121,"PLH"))-1)/96)+1)&amp;": "&amp;CHAR(65+INT(MOD((COUNTIFS($B$2:$B121,"s",$C$2:$C121,"SER")+COUNTIFS($B$2:$B121,"s",$C$2:$C121,"PLH"))-1,96)/12))&amp;(MOD((COUNTIFS($B$2:$B121,"s",$C$2:$C121,"SER")+COUNTIFS($B$2:$B121,"s",$C$2:$C121,"PLH"))-1,12)+1),"N/A"),"")</f>
        <v/>
      </c>
      <c r="K121" s="6" t="str">
        <f>IF(AND($A121&lt;&gt;"",$B121&lt;&gt;"",$C121&lt;&gt;"",$D121&lt;&gt;"",$E121&lt;&gt;""),IF($C121="WB","Case WB Box "&amp;(INT((COUNTIFS($C$2:$C121,"WB")-1)/81)+1)&amp;": "&amp;CHAR(65+INT(MOD(COUNTIFS($C$2:$C121,"WB")-1,81)/9))&amp;(MOD(COUNTIFS($C$2:$C121,"WB")-1,9)+1),"N/A"),"")</f>
        <v/>
      </c>
      <c r="L121" s="2" t="str">
        <f t="shared" si="19"/>
        <v/>
      </c>
      <c r="M121" s="2"/>
      <c r="N121" s="2"/>
      <c r="O121" s="2"/>
      <c r="P121" s="7" t="str">
        <f t="shared" si="20"/>
        <v/>
      </c>
      <c r="Q121" s="7" t="str">
        <f t="shared" si="21"/>
        <v/>
      </c>
      <c r="R121" s="7" t="str">
        <f t="shared" si="22"/>
        <v/>
      </c>
      <c r="S121" s="7" t="str">
        <f t="shared" si="23"/>
        <v/>
      </c>
      <c r="T121" s="7" t="str">
        <f t="shared" si="24"/>
        <v/>
      </c>
      <c r="U121" s="7" t="str">
        <f t="shared" si="25"/>
        <v/>
      </c>
      <c r="V121" s="7" t="str">
        <f t="shared" si="26"/>
        <v/>
      </c>
      <c r="W121" s="7" t="str">
        <f t="shared" si="27"/>
        <v/>
      </c>
      <c r="X121" s="7" t="str">
        <f t="shared" si="28"/>
        <v/>
      </c>
      <c r="Y121" s="7" t="str">
        <f t="shared" si="29"/>
        <v/>
      </c>
      <c r="Z121">
        <f t="shared" si="30"/>
        <v>0</v>
      </c>
      <c r="AA121" t="str">
        <f t="shared" si="31"/>
        <v/>
      </c>
      <c r="AB121" t="str">
        <f t="shared" si="32"/>
        <v/>
      </c>
      <c r="AC121" t="str">
        <f t="shared" si="33"/>
        <v/>
      </c>
      <c r="AD121" t="str">
        <f t="shared" si="34"/>
        <v/>
      </c>
      <c r="AE121">
        <f t="shared" si="35"/>
        <v>0</v>
      </c>
    </row>
    <row r="122" spans="1:31" ht="15" customHeight="1" x14ac:dyDescent="0.35">
      <c r="A122" s="2"/>
      <c r="B122" s="3"/>
      <c r="C122" s="3"/>
      <c r="D122" s="4"/>
      <c r="E122" s="5"/>
      <c r="F122" s="11" t="str">
        <f t="shared" ca="1" si="18"/>
        <v/>
      </c>
      <c r="G122" s="5"/>
      <c r="H122" s="6" t="str">
        <f>IF(AND($A122&lt;&gt;"",$B122&lt;&gt;"",$C122&lt;&gt;"",$D122&lt;&gt;"",$E122&lt;&gt;""),IF(AND($B122="s",OR($C122="SER",$C122="PLH",$C122="CSF")),"Case CDI Plate "&amp;(INT(((COUNTIFS($B$2:$B122,"s",$C$2:$C122,"SER")+COUNTIFS($B$2:$B122,"s",$C$2:$C122,"PLH")+COUNTIFS($B$2:$B122,"s",$C$2:$C122,"CSF"))-1)/96)+1)&amp;": "&amp;CHAR(65+INT(MOD((COUNTIFS($B$2:$B122,"s",$C$2:$C122,"SER")+COUNTIFS($B$2:$B122,"s",$C$2:$C122,"PLH")+COUNTIFS($B$2:$B122,"s",$C$2:$C122,"CSF"))-1,96)/12))&amp;(MOD((COUNTIFS($B$2:$B122,"s",$C$2:$C122,"SER")+COUNTIFS($B$2:$B122,"s",$C$2:$C122,"PLH")+COUNTIFS($B$2:$B122,"s",$C$2:$C122,"CSF"))-1,12)+1),"N/A"),"")</f>
        <v/>
      </c>
      <c r="I122" s="6" t="str">
        <f>IF(AND($A122&lt;&gt;"",$B122&lt;&gt;"",$C122&lt;&gt;"",$D122&lt;&gt;"",$E122&lt;&gt;""),IF(AND($B122="s",OR($C122="SER",$C122="PLH",$C122="CSF")),"Case NIH Plate "&amp;(INT(((COUNTIFS($B$2:$B122,"s",$C$2:$C122,"SER")+COUNTIFS($B$2:$B122,"s",$C$2:$C122,"PLH")+COUNTIFS($B$2:$B122,"s",$C$2:$C122,"CSF"))-1)/96)+1)&amp;": "&amp;CHAR(65+INT(MOD((COUNTIFS($B$2:$B122,"s",$C$2:$C122,"SER")+COUNTIFS($B$2:$B122,"s",$C$2:$C122,"PLH")+COUNTIFS($B$2:$B122,"s",$C$2:$C122,"CSF"))-1,96)/12))&amp;(MOD((COUNTIFS($B$2:$B122,"s",$C$2:$C122,"SER")+COUNTIFS($B$2:$B122,"s",$C$2:$C122,"PLH")+COUNTIFS($B$2:$B122,"s",$C$2:$C122,"CSF"))-1,12)+1),"N/A"),"")</f>
        <v/>
      </c>
      <c r="J122" s="6" t="str">
        <f>IF(AND($A122&lt;&gt;"",$B122&lt;&gt;"",$C122&lt;&gt;"",$D122&lt;&gt;"",$E122&lt;&gt;""),IF(AND($B122="s",OR($C122="SER",$C122="PLH")),"Case MAX Planck Plate "&amp;(INT(((COUNTIFS($B$2:$B122,"s",$C$2:$C122,"SER")+COUNTIFS($B$2:$B122,"s",$C$2:$C122,"PLH"))-1)/96)+1)&amp;": "&amp;CHAR(65+INT(MOD((COUNTIFS($B$2:$B122,"s",$C$2:$C122,"SER")+COUNTIFS($B$2:$B122,"s",$C$2:$C122,"PLH"))-1,96)/12))&amp;(MOD((COUNTIFS($B$2:$B122,"s",$C$2:$C122,"SER")+COUNTIFS($B$2:$B122,"s",$C$2:$C122,"PLH"))-1,12)+1),"N/A"),"")</f>
        <v/>
      </c>
      <c r="K122" s="6" t="str">
        <f>IF(AND($A122&lt;&gt;"",$B122&lt;&gt;"",$C122&lt;&gt;"",$D122&lt;&gt;"",$E122&lt;&gt;""),IF($C122="WB","Case WB Box "&amp;(INT((COUNTIFS($C$2:$C122,"WB")-1)/81)+1)&amp;": "&amp;CHAR(65+INT(MOD(COUNTIFS($C$2:$C122,"WB")-1,81)/9))&amp;(MOD(COUNTIFS($C$2:$C122,"WB")-1,9)+1),"N/A"),"")</f>
        <v/>
      </c>
      <c r="L122" s="2" t="str">
        <f t="shared" si="19"/>
        <v/>
      </c>
      <c r="M122" s="2"/>
      <c r="N122" s="2"/>
      <c r="O122" s="2"/>
      <c r="P122" s="7" t="str">
        <f t="shared" si="20"/>
        <v/>
      </c>
      <c r="Q122" s="7" t="str">
        <f t="shared" si="21"/>
        <v/>
      </c>
      <c r="R122" s="7" t="str">
        <f t="shared" si="22"/>
        <v/>
      </c>
      <c r="S122" s="7" t="str">
        <f t="shared" si="23"/>
        <v/>
      </c>
      <c r="T122" s="7" t="str">
        <f t="shared" si="24"/>
        <v/>
      </c>
      <c r="U122" s="7" t="str">
        <f t="shared" si="25"/>
        <v/>
      </c>
      <c r="V122" s="7" t="str">
        <f t="shared" si="26"/>
        <v/>
      </c>
      <c r="W122" s="7" t="str">
        <f t="shared" si="27"/>
        <v/>
      </c>
      <c r="X122" s="7" t="str">
        <f t="shared" si="28"/>
        <v/>
      </c>
      <c r="Y122" s="7" t="str">
        <f t="shared" si="29"/>
        <v/>
      </c>
      <c r="Z122">
        <f t="shared" si="30"/>
        <v>0</v>
      </c>
      <c r="AA122" t="str">
        <f t="shared" si="31"/>
        <v/>
      </c>
      <c r="AB122" t="str">
        <f t="shared" si="32"/>
        <v/>
      </c>
      <c r="AC122" t="str">
        <f t="shared" si="33"/>
        <v/>
      </c>
      <c r="AD122" t="str">
        <f t="shared" si="34"/>
        <v/>
      </c>
      <c r="AE122">
        <f t="shared" si="35"/>
        <v>0</v>
      </c>
    </row>
    <row r="123" spans="1:31" ht="15" customHeight="1" x14ac:dyDescent="0.35">
      <c r="A123" s="2"/>
      <c r="B123" s="3"/>
      <c r="C123" s="3"/>
      <c r="D123" s="4"/>
      <c r="E123" s="5"/>
      <c r="F123" s="11" t="str">
        <f t="shared" ca="1" si="18"/>
        <v/>
      </c>
      <c r="G123" s="5"/>
      <c r="H123" s="6" t="str">
        <f>IF(AND($A123&lt;&gt;"",$B123&lt;&gt;"",$C123&lt;&gt;"",$D123&lt;&gt;"",$E123&lt;&gt;""),IF(AND($B123="s",OR($C123="SER",$C123="PLH",$C123="CSF")),"Case CDI Plate "&amp;(INT(((COUNTIFS($B$2:$B123,"s",$C$2:$C123,"SER")+COUNTIFS($B$2:$B123,"s",$C$2:$C123,"PLH")+COUNTIFS($B$2:$B123,"s",$C$2:$C123,"CSF"))-1)/96)+1)&amp;": "&amp;CHAR(65+INT(MOD((COUNTIFS($B$2:$B123,"s",$C$2:$C123,"SER")+COUNTIFS($B$2:$B123,"s",$C$2:$C123,"PLH")+COUNTIFS($B$2:$B123,"s",$C$2:$C123,"CSF"))-1,96)/12))&amp;(MOD((COUNTIFS($B$2:$B123,"s",$C$2:$C123,"SER")+COUNTIFS($B$2:$B123,"s",$C$2:$C123,"PLH")+COUNTIFS($B$2:$B123,"s",$C$2:$C123,"CSF"))-1,12)+1),"N/A"),"")</f>
        <v/>
      </c>
      <c r="I123" s="6" t="str">
        <f>IF(AND($A123&lt;&gt;"",$B123&lt;&gt;"",$C123&lt;&gt;"",$D123&lt;&gt;"",$E123&lt;&gt;""),IF(AND($B123="s",OR($C123="SER",$C123="PLH",$C123="CSF")),"Case NIH Plate "&amp;(INT(((COUNTIFS($B$2:$B123,"s",$C$2:$C123,"SER")+COUNTIFS($B$2:$B123,"s",$C$2:$C123,"PLH")+COUNTIFS($B$2:$B123,"s",$C$2:$C123,"CSF"))-1)/96)+1)&amp;": "&amp;CHAR(65+INT(MOD((COUNTIFS($B$2:$B123,"s",$C$2:$C123,"SER")+COUNTIFS($B$2:$B123,"s",$C$2:$C123,"PLH")+COUNTIFS($B$2:$B123,"s",$C$2:$C123,"CSF"))-1,96)/12))&amp;(MOD((COUNTIFS($B$2:$B123,"s",$C$2:$C123,"SER")+COUNTIFS($B$2:$B123,"s",$C$2:$C123,"PLH")+COUNTIFS($B$2:$B123,"s",$C$2:$C123,"CSF"))-1,12)+1),"N/A"),"")</f>
        <v/>
      </c>
      <c r="J123" s="6" t="str">
        <f>IF(AND($A123&lt;&gt;"",$B123&lt;&gt;"",$C123&lt;&gt;"",$D123&lt;&gt;"",$E123&lt;&gt;""),IF(AND($B123="s",OR($C123="SER",$C123="PLH")),"Case MAX Planck Plate "&amp;(INT(((COUNTIFS($B$2:$B123,"s",$C$2:$C123,"SER")+COUNTIFS($B$2:$B123,"s",$C$2:$C123,"PLH"))-1)/96)+1)&amp;": "&amp;CHAR(65+INT(MOD((COUNTIFS($B$2:$B123,"s",$C$2:$C123,"SER")+COUNTIFS($B$2:$B123,"s",$C$2:$C123,"PLH"))-1,96)/12))&amp;(MOD((COUNTIFS($B$2:$B123,"s",$C$2:$C123,"SER")+COUNTIFS($B$2:$B123,"s",$C$2:$C123,"PLH"))-1,12)+1),"N/A"),"")</f>
        <v/>
      </c>
      <c r="K123" s="6" t="str">
        <f>IF(AND($A123&lt;&gt;"",$B123&lt;&gt;"",$C123&lt;&gt;"",$D123&lt;&gt;"",$E123&lt;&gt;""),IF($C123="WB","Case WB Box "&amp;(INT((COUNTIFS($C$2:$C123,"WB")-1)/81)+1)&amp;": "&amp;CHAR(65+INT(MOD(COUNTIFS($C$2:$C123,"WB")-1,81)/9))&amp;(MOD(COUNTIFS($C$2:$C123,"WB")-1,9)+1),"N/A"),"")</f>
        <v/>
      </c>
      <c r="L123" s="2" t="str">
        <f t="shared" si="19"/>
        <v/>
      </c>
      <c r="M123" s="2"/>
      <c r="N123" s="2"/>
      <c r="O123" s="2"/>
      <c r="P123" s="7" t="str">
        <f t="shared" si="20"/>
        <v/>
      </c>
      <c r="Q123" s="7" t="str">
        <f t="shared" si="21"/>
        <v/>
      </c>
      <c r="R123" s="7" t="str">
        <f t="shared" si="22"/>
        <v/>
      </c>
      <c r="S123" s="7" t="str">
        <f t="shared" si="23"/>
        <v/>
      </c>
      <c r="T123" s="7" t="str">
        <f t="shared" si="24"/>
        <v/>
      </c>
      <c r="U123" s="7" t="str">
        <f t="shared" si="25"/>
        <v/>
      </c>
      <c r="V123" s="7" t="str">
        <f t="shared" si="26"/>
        <v/>
      </c>
      <c r="W123" s="7" t="str">
        <f t="shared" si="27"/>
        <v/>
      </c>
      <c r="X123" s="7" t="str">
        <f t="shared" si="28"/>
        <v/>
      </c>
      <c r="Y123" s="7" t="str">
        <f t="shared" si="29"/>
        <v/>
      </c>
      <c r="Z123">
        <f t="shared" si="30"/>
        <v>0</v>
      </c>
      <c r="AA123" t="str">
        <f t="shared" si="31"/>
        <v/>
      </c>
      <c r="AB123" t="str">
        <f t="shared" si="32"/>
        <v/>
      </c>
      <c r="AC123" t="str">
        <f t="shared" si="33"/>
        <v/>
      </c>
      <c r="AD123" t="str">
        <f t="shared" si="34"/>
        <v/>
      </c>
      <c r="AE123">
        <f t="shared" si="35"/>
        <v>0</v>
      </c>
    </row>
    <row r="124" spans="1:31" ht="15" customHeight="1" x14ac:dyDescent="0.35">
      <c r="A124" s="2"/>
      <c r="B124" s="3"/>
      <c r="C124" s="3"/>
      <c r="D124" s="4"/>
      <c r="E124" s="5"/>
      <c r="F124" s="11" t="str">
        <f t="shared" ca="1" si="18"/>
        <v/>
      </c>
      <c r="G124" s="5"/>
      <c r="H124" s="6" t="str">
        <f>IF(AND($A124&lt;&gt;"",$B124&lt;&gt;"",$C124&lt;&gt;"",$D124&lt;&gt;"",$E124&lt;&gt;""),IF(AND($B124="s",OR($C124="SER",$C124="PLH",$C124="CSF")),"Case CDI Plate "&amp;(INT(((COUNTIFS($B$2:$B124,"s",$C$2:$C124,"SER")+COUNTIFS($B$2:$B124,"s",$C$2:$C124,"PLH")+COUNTIFS($B$2:$B124,"s",$C$2:$C124,"CSF"))-1)/96)+1)&amp;": "&amp;CHAR(65+INT(MOD((COUNTIFS($B$2:$B124,"s",$C$2:$C124,"SER")+COUNTIFS($B$2:$B124,"s",$C$2:$C124,"PLH")+COUNTIFS($B$2:$B124,"s",$C$2:$C124,"CSF"))-1,96)/12))&amp;(MOD((COUNTIFS($B$2:$B124,"s",$C$2:$C124,"SER")+COUNTIFS($B$2:$B124,"s",$C$2:$C124,"PLH")+COUNTIFS($B$2:$B124,"s",$C$2:$C124,"CSF"))-1,12)+1),"N/A"),"")</f>
        <v/>
      </c>
      <c r="I124" s="6" t="str">
        <f>IF(AND($A124&lt;&gt;"",$B124&lt;&gt;"",$C124&lt;&gt;"",$D124&lt;&gt;"",$E124&lt;&gt;""),IF(AND($B124="s",OR($C124="SER",$C124="PLH",$C124="CSF")),"Case NIH Plate "&amp;(INT(((COUNTIFS($B$2:$B124,"s",$C$2:$C124,"SER")+COUNTIFS($B$2:$B124,"s",$C$2:$C124,"PLH")+COUNTIFS($B$2:$B124,"s",$C$2:$C124,"CSF"))-1)/96)+1)&amp;": "&amp;CHAR(65+INT(MOD((COUNTIFS($B$2:$B124,"s",$C$2:$C124,"SER")+COUNTIFS($B$2:$B124,"s",$C$2:$C124,"PLH")+COUNTIFS($B$2:$B124,"s",$C$2:$C124,"CSF"))-1,96)/12))&amp;(MOD((COUNTIFS($B$2:$B124,"s",$C$2:$C124,"SER")+COUNTIFS($B$2:$B124,"s",$C$2:$C124,"PLH")+COUNTIFS($B$2:$B124,"s",$C$2:$C124,"CSF"))-1,12)+1),"N/A"),"")</f>
        <v/>
      </c>
      <c r="J124" s="6" t="str">
        <f>IF(AND($A124&lt;&gt;"",$B124&lt;&gt;"",$C124&lt;&gt;"",$D124&lt;&gt;"",$E124&lt;&gt;""),IF(AND($B124="s",OR($C124="SER",$C124="PLH")),"Case MAX Planck Plate "&amp;(INT(((COUNTIFS($B$2:$B124,"s",$C$2:$C124,"SER")+COUNTIFS($B$2:$B124,"s",$C$2:$C124,"PLH"))-1)/96)+1)&amp;": "&amp;CHAR(65+INT(MOD((COUNTIFS($B$2:$B124,"s",$C$2:$C124,"SER")+COUNTIFS($B$2:$B124,"s",$C$2:$C124,"PLH"))-1,96)/12))&amp;(MOD((COUNTIFS($B$2:$B124,"s",$C$2:$C124,"SER")+COUNTIFS($B$2:$B124,"s",$C$2:$C124,"PLH"))-1,12)+1),"N/A"),"")</f>
        <v/>
      </c>
      <c r="K124" s="6" t="str">
        <f>IF(AND($A124&lt;&gt;"",$B124&lt;&gt;"",$C124&lt;&gt;"",$D124&lt;&gt;"",$E124&lt;&gt;""),IF($C124="WB","Case WB Box "&amp;(INT((COUNTIFS($C$2:$C124,"WB")-1)/81)+1)&amp;": "&amp;CHAR(65+INT(MOD(COUNTIFS($C$2:$C124,"WB")-1,81)/9))&amp;(MOD(COUNTIFS($C$2:$C124,"WB")-1,9)+1),"N/A"),"")</f>
        <v/>
      </c>
      <c r="L124" s="2" t="str">
        <f t="shared" si="19"/>
        <v/>
      </c>
      <c r="M124" s="2"/>
      <c r="N124" s="2"/>
      <c r="O124" s="2"/>
      <c r="P124" s="7" t="str">
        <f t="shared" si="20"/>
        <v/>
      </c>
      <c r="Q124" s="7" t="str">
        <f t="shared" si="21"/>
        <v/>
      </c>
      <c r="R124" s="7" t="str">
        <f t="shared" si="22"/>
        <v/>
      </c>
      <c r="S124" s="7" t="str">
        <f t="shared" si="23"/>
        <v/>
      </c>
      <c r="T124" s="7" t="str">
        <f t="shared" si="24"/>
        <v/>
      </c>
      <c r="U124" s="7" t="str">
        <f t="shared" si="25"/>
        <v/>
      </c>
      <c r="V124" s="7" t="str">
        <f t="shared" si="26"/>
        <v/>
      </c>
      <c r="W124" s="7" t="str">
        <f t="shared" si="27"/>
        <v/>
      </c>
      <c r="X124" s="7" t="str">
        <f t="shared" si="28"/>
        <v/>
      </c>
      <c r="Y124" s="7" t="str">
        <f t="shared" si="29"/>
        <v/>
      </c>
      <c r="Z124">
        <f t="shared" si="30"/>
        <v>0</v>
      </c>
      <c r="AA124" t="str">
        <f t="shared" si="31"/>
        <v/>
      </c>
      <c r="AB124" t="str">
        <f t="shared" si="32"/>
        <v/>
      </c>
      <c r="AC124" t="str">
        <f t="shared" si="33"/>
        <v/>
      </c>
      <c r="AD124" t="str">
        <f t="shared" si="34"/>
        <v/>
      </c>
      <c r="AE124">
        <f t="shared" si="35"/>
        <v>0</v>
      </c>
    </row>
    <row r="125" spans="1:31" ht="15" customHeight="1" x14ac:dyDescent="0.35">
      <c r="A125" s="2"/>
      <c r="B125" s="3"/>
      <c r="C125" s="3"/>
      <c r="D125" s="4"/>
      <c r="E125" s="5"/>
      <c r="F125" s="11" t="str">
        <f t="shared" ref="F125:F188" ca="1" si="36">IF(AND($A125&lt;&gt;"",$B125&lt;&gt;"",$C125&lt;&gt;"",$D125&lt;&gt;"",$E125&lt;&gt;""),TODAY(),"")</f>
        <v/>
      </c>
      <c r="G125" s="5"/>
      <c r="H125" s="6" t="str">
        <f>IF(AND($A125&lt;&gt;"",$B125&lt;&gt;"",$C125&lt;&gt;"",$D125&lt;&gt;"",$E125&lt;&gt;""),IF(AND($B125="s",OR($C125="SER",$C125="PLH",$C125="CSF")),"Case CDI Plate "&amp;(INT(((COUNTIFS($B$2:$B125,"s",$C$2:$C125,"SER")+COUNTIFS($B$2:$B125,"s",$C$2:$C125,"PLH")+COUNTIFS($B$2:$B125,"s",$C$2:$C125,"CSF"))-1)/96)+1)&amp;": "&amp;CHAR(65+INT(MOD((COUNTIFS($B$2:$B125,"s",$C$2:$C125,"SER")+COUNTIFS($B$2:$B125,"s",$C$2:$C125,"PLH")+COUNTIFS($B$2:$B125,"s",$C$2:$C125,"CSF"))-1,96)/12))&amp;(MOD((COUNTIFS($B$2:$B125,"s",$C$2:$C125,"SER")+COUNTIFS($B$2:$B125,"s",$C$2:$C125,"PLH")+COUNTIFS($B$2:$B125,"s",$C$2:$C125,"CSF"))-1,12)+1),"N/A"),"")</f>
        <v/>
      </c>
      <c r="I125" s="6" t="str">
        <f>IF(AND($A125&lt;&gt;"",$B125&lt;&gt;"",$C125&lt;&gt;"",$D125&lt;&gt;"",$E125&lt;&gt;""),IF(AND($B125="s",OR($C125="SER",$C125="PLH",$C125="CSF")),"Case NIH Plate "&amp;(INT(((COUNTIFS($B$2:$B125,"s",$C$2:$C125,"SER")+COUNTIFS($B$2:$B125,"s",$C$2:$C125,"PLH")+COUNTIFS($B$2:$B125,"s",$C$2:$C125,"CSF"))-1)/96)+1)&amp;": "&amp;CHAR(65+INT(MOD((COUNTIFS($B$2:$B125,"s",$C$2:$C125,"SER")+COUNTIFS($B$2:$B125,"s",$C$2:$C125,"PLH")+COUNTIFS($B$2:$B125,"s",$C$2:$C125,"CSF"))-1,96)/12))&amp;(MOD((COUNTIFS($B$2:$B125,"s",$C$2:$C125,"SER")+COUNTIFS($B$2:$B125,"s",$C$2:$C125,"PLH")+COUNTIFS($B$2:$B125,"s",$C$2:$C125,"CSF"))-1,12)+1),"N/A"),"")</f>
        <v/>
      </c>
      <c r="J125" s="6" t="str">
        <f>IF(AND($A125&lt;&gt;"",$B125&lt;&gt;"",$C125&lt;&gt;"",$D125&lt;&gt;"",$E125&lt;&gt;""),IF(AND($B125="s",OR($C125="SER",$C125="PLH")),"Case MAX Planck Plate "&amp;(INT(((COUNTIFS($B$2:$B125,"s",$C$2:$C125,"SER")+COUNTIFS($B$2:$B125,"s",$C$2:$C125,"PLH"))-1)/96)+1)&amp;": "&amp;CHAR(65+INT(MOD((COUNTIFS($B$2:$B125,"s",$C$2:$C125,"SER")+COUNTIFS($B$2:$B125,"s",$C$2:$C125,"PLH"))-1,96)/12))&amp;(MOD((COUNTIFS($B$2:$B125,"s",$C$2:$C125,"SER")+COUNTIFS($B$2:$B125,"s",$C$2:$C125,"PLH"))-1,12)+1),"N/A"),"")</f>
        <v/>
      </c>
      <c r="K125" s="6" t="str">
        <f>IF(AND($A125&lt;&gt;"",$B125&lt;&gt;"",$C125&lt;&gt;"",$D125&lt;&gt;"",$E125&lt;&gt;""),IF($C125="WB","Case WB Box "&amp;(INT((COUNTIFS($C$2:$C125,"WB")-1)/81)+1)&amp;": "&amp;CHAR(65+INT(MOD(COUNTIFS($C$2:$C125,"WB")-1,81)/9))&amp;(MOD(COUNTIFS($C$2:$C125,"WB")-1,9)+1),"N/A"),"")</f>
        <v/>
      </c>
      <c r="L125" s="2" t="str">
        <f t="shared" ref="L125:L188" si="37">IF(AND($A125&lt;&gt;"",$B125&lt;&gt;"",$C125&lt;&gt;"",$D125&lt;&gt;"",$E125&lt;&gt;""),IF($C125="WB","No",IF($B125="i","Yes","")),"")</f>
        <v/>
      </c>
      <c r="M125" s="2"/>
      <c r="N125" s="2"/>
      <c r="O125" s="2"/>
      <c r="P125" s="7" t="str">
        <f t="shared" ref="P125:P188" si="38">IF($A125&lt;&gt;"",MID($A125,5,4),"")</f>
        <v/>
      </c>
      <c r="Q125" s="7" t="str">
        <f t="shared" ref="Q125:Q188" si="39">IF($D125&lt;&gt;"",TEXT($D125,"mmddyy"),"")</f>
        <v/>
      </c>
      <c r="R125" s="7" t="str">
        <f t="shared" ref="R125:R188" si="40">IF(AND($A125&lt;&gt;"",$B125&lt;&gt;"",$C125&lt;&gt;"",$D125&lt;&gt;""),IF($C125="WB","cs_"&amp;$P125&amp;"_"&amp;$B125&amp;"_wb_"&amp;$Q125,"cs_"&amp;$P125&amp;"_"&amp;$B125&amp;"_"&amp;LOWER($C125)&amp;"_"&amp;IF($C125="CSF","0.50","0.20")&amp;"_"&amp;$Q125),"")</f>
        <v/>
      </c>
      <c r="S125" s="7" t="str">
        <f t="shared" ref="S125:S188" si="41">IF(AND($A125&lt;&gt;"",$B125&lt;&gt;"",$C125="WB",$D125&lt;&gt;""),"cs_"&amp;$P125&amp;"_"&amp;$B125&amp;"_wb_"&amp;$Q125,"")</f>
        <v/>
      </c>
      <c r="T125" s="7" t="str">
        <f t="shared" ref="T125:T188" si="42">IFERROR(VALUE(MID($M125,FIND("Box ",$M125)+4,FIND(":",$M125)-FIND("Box ",$M125)-4)),"")</f>
        <v/>
      </c>
      <c r="U125" s="7" t="str">
        <f t="shared" ref="U125:U188" si="43">IFERROR(CODE(UPPER(LEFT(LEFT(TRIM(MID(SUBSTITUTE(TRIM(MID($M125,FIND(":",$M125)+1,200)),",",REPT(" ",60)),1,60)),IFERROR(FIND("-",TRIM(MID(SUBSTITUTE(TRIM(MID($M125,FIND(":",$M125)+1,200)),",",REPT(" ",60)),1,60)))-1,LEN(TRIM(MID(SUBSTITUTE(TRIM(MID($M125,FIND(":",$M125)+1,200)),",",REPT(" ",60)),1,60))))),1)))-64,"")</f>
        <v/>
      </c>
      <c r="V125" s="7" t="str">
        <f t="shared" ref="V125:V188" si="44">IFERROR(VALUE(MID(LEFT(TRIM(MID(SUBSTITUTE(TRIM(MID($M125,FIND(":",$M125)+1,200)),",",REPT(" ",60)),1,60)),IFERROR(FIND("-",TRIM(MID(SUBSTITUTE(TRIM(MID($M125,FIND(":",$M125)+1,200)),",",REPT(" ",60)),1,60)))-1,LEN(TRIM(MID(SUBSTITUTE(TRIM(MID($M125,FIND(":",$M125)+1,200)),",",REPT(" ",60)),1,60))))),2,3)),"")</f>
        <v/>
      </c>
      <c r="W125" s="7" t="str">
        <f t="shared" ref="W125:W188" si="45">IFERROR(CODE(UPPER(LEFT(IFERROR(MID(TRIM(MID(SUBSTITUTE(TRIM(MID($M125,FIND(":",$M125)+1,200)),",",REPT(" ",60)),1,60)),FIND("-",TRIM(MID(SUBSTITUTE(TRIM(MID($M125,FIND(":",$M125)+1,200)),",",REPT(" ",60)),1,60)))+1,99),LEFT(TRIM(MID(SUBSTITUTE(TRIM(MID($M125,FIND(":",$M125)+1,200)),",",REPT(" ",60)),1,60)),IFERROR(FIND("-",TRIM(MID(SUBSTITUTE(TRIM(MID($M125,FIND(":",$M125)+1,200)),",",REPT(" ",60)),1,60)))-1,LEN(TRIM(MID(SUBSTITUTE(TRIM(MID($M125,FIND(":",$M125)+1,200)),",",REPT(" ",60)),1,60)))))),1)))-64,"")</f>
        <v/>
      </c>
      <c r="X125" s="7" t="str">
        <f t="shared" ref="X125:X188" si="46">IFERROR(VALUE(MID(IFERROR(MID(TRIM(MID(SUBSTITUTE(TRIM(MID($M125,FIND(":",$M125)+1,200)),",",REPT(" ",60)),1,60)),FIND("-",TRIM(MID(SUBSTITUTE(TRIM(MID($M125,FIND(":",$M125)+1,200)),",",REPT(" ",60)),1,60)))+1,99),LEFT(TRIM(MID(SUBSTITUTE(TRIM(MID($M125,FIND(":",$M125)+1,200)),",",REPT(" ",60)),1,60)),IFERROR(FIND("-",TRIM(MID(SUBSTITUTE(TRIM(MID($M125,FIND(":",$M125)+1,200)),",",REPT(" ",60)),1,60)))-1,LEN(TRIM(MID(SUBSTITUTE(TRIM(MID($M125,FIND(":",$M125)+1,200)),",",REPT(" ",60)),1,60)))))),2,3)),"")</f>
        <v/>
      </c>
      <c r="Y125" s="7" t="str">
        <f t="shared" ref="Y125:Y188" si="47">IF(AND($A125&lt;&gt;"",$B125&lt;&gt;"",$C125&lt;&gt;"",$D125&lt;&gt;""),"cs_"&amp;$P125&amp;"_"&amp;$B125&amp;"_"&amp;LOWER($C125)&amp;"_","")</f>
        <v/>
      </c>
      <c r="Z125">
        <f t="shared" ref="Z125:Z188" si="48">IFERROR(($W125-$U125+1)*($X125-$V125+1),0)</f>
        <v>0</v>
      </c>
      <c r="AA125" t="str">
        <f t="shared" ref="AA125:AA188" si="49">IFERROR(CODE(UPPER(LEFT(LEFT(TRIM(MID(SUBSTITUTE(TRIM(MID($M125,FIND(":",$M125)+1,200)),",",REPT(" ",60)),61,60)),IFERROR(FIND("-",TRIM(MID(SUBSTITUTE(TRIM(MID($M125,FIND(":",$M125)+1,200)),",",REPT(" ",60)),61,60)))-1,LEN(TRIM(MID(SUBSTITUTE(TRIM(MID($M125,FIND(":",$M125)+1,200)),",",REPT(" ",60)),61,60))))),1)))-64,"")</f>
        <v/>
      </c>
      <c r="AB125" t="str">
        <f t="shared" ref="AB125:AB188" si="50">IFERROR(VALUE(MID(LEFT(TRIM(MID(SUBSTITUTE(TRIM(MID($M125,FIND(":",$M125)+1,200)),",",REPT(" ",60)),61,60)),IFERROR(FIND("-",TRIM(MID(SUBSTITUTE(TRIM(MID($M125,FIND(":",$M125)+1,200)),",",REPT(" ",60)),61,60)))-1,LEN(TRIM(MID(SUBSTITUTE(TRIM(MID($M125,FIND(":",$M125)+1,200)),",",REPT(" ",60)),61,60))))),2,3)),"")</f>
        <v/>
      </c>
      <c r="AC125" t="str">
        <f t="shared" ref="AC125:AC188" si="51">IFERROR(CODE(UPPER(LEFT(IFERROR(MID(TRIM(MID(SUBSTITUTE(TRIM(MID($M125,FIND(":",$M125)+1,200)),",",REPT(" ",60)),61,60)),FIND("-",TRIM(MID(SUBSTITUTE(TRIM(MID($M125,FIND(":",$M125)+1,200)),",",REPT(" ",60)),61,60)))+1,99),LEFT(TRIM(MID(SUBSTITUTE(TRIM(MID($M125,FIND(":",$M125)+1,200)),",",REPT(" ",60)),61,60)),IFERROR(FIND("-",TRIM(MID(SUBSTITUTE(TRIM(MID($M125,FIND(":",$M125)+1,200)),",",REPT(" ",60)),61,60)))-1,LEN(TRIM(MID(SUBSTITUTE(TRIM(MID($M125,FIND(":",$M125)+1,200)),",",REPT(" ",60)),61,60)))))),1)))-64,"")</f>
        <v/>
      </c>
      <c r="AD125" t="str">
        <f t="shared" ref="AD125:AD188" si="52">IFERROR(VALUE(MID(IFERROR(MID(TRIM(MID(SUBSTITUTE(TRIM(MID($M125,FIND(":",$M125)+1,200)),",",REPT(" ",60)),61,60)),FIND("-",TRIM(MID(SUBSTITUTE(TRIM(MID($M125,FIND(":",$M125)+1,200)),",",REPT(" ",60)),61,60)))+1,99),LEFT(TRIM(MID(SUBSTITUTE(TRIM(MID($M125,FIND(":",$M125)+1,200)),",",REPT(" ",60)),61,60)),IFERROR(FIND("-",TRIM(MID(SUBSTITUTE(TRIM(MID($M125,FIND(":",$M125)+1,200)),",",REPT(" ",60)),61,60)))-1,LEN(TRIM(MID(SUBSTITUTE(TRIM(MID($M125,FIND(":",$M125)+1,200)),",",REPT(" ",60)),61,60)))))),2,3)),"")</f>
        <v/>
      </c>
      <c r="AE125">
        <f t="shared" ref="AE125:AE188" si="53">IFERROR(($AC125-$AA125+1)*($AD125-$AB125+1),0)</f>
        <v>0</v>
      </c>
    </row>
    <row r="126" spans="1:31" ht="15" customHeight="1" x14ac:dyDescent="0.35">
      <c r="A126" s="2"/>
      <c r="B126" s="3"/>
      <c r="C126" s="3"/>
      <c r="D126" s="4"/>
      <c r="E126" s="5"/>
      <c r="F126" s="11" t="str">
        <f t="shared" ca="1" si="36"/>
        <v/>
      </c>
      <c r="G126" s="5"/>
      <c r="H126" s="6" t="str">
        <f>IF(AND($A126&lt;&gt;"",$B126&lt;&gt;"",$C126&lt;&gt;"",$D126&lt;&gt;"",$E126&lt;&gt;""),IF(AND($B126="s",OR($C126="SER",$C126="PLH",$C126="CSF")),"Case CDI Plate "&amp;(INT(((COUNTIFS($B$2:$B126,"s",$C$2:$C126,"SER")+COUNTIFS($B$2:$B126,"s",$C$2:$C126,"PLH")+COUNTIFS($B$2:$B126,"s",$C$2:$C126,"CSF"))-1)/96)+1)&amp;": "&amp;CHAR(65+INT(MOD((COUNTIFS($B$2:$B126,"s",$C$2:$C126,"SER")+COUNTIFS($B$2:$B126,"s",$C$2:$C126,"PLH")+COUNTIFS($B$2:$B126,"s",$C$2:$C126,"CSF"))-1,96)/12))&amp;(MOD((COUNTIFS($B$2:$B126,"s",$C$2:$C126,"SER")+COUNTIFS($B$2:$B126,"s",$C$2:$C126,"PLH")+COUNTIFS($B$2:$B126,"s",$C$2:$C126,"CSF"))-1,12)+1),"N/A"),"")</f>
        <v/>
      </c>
      <c r="I126" s="6" t="str">
        <f>IF(AND($A126&lt;&gt;"",$B126&lt;&gt;"",$C126&lt;&gt;"",$D126&lt;&gt;"",$E126&lt;&gt;""),IF(AND($B126="s",OR($C126="SER",$C126="PLH",$C126="CSF")),"Case NIH Plate "&amp;(INT(((COUNTIFS($B$2:$B126,"s",$C$2:$C126,"SER")+COUNTIFS($B$2:$B126,"s",$C$2:$C126,"PLH")+COUNTIFS($B$2:$B126,"s",$C$2:$C126,"CSF"))-1)/96)+1)&amp;": "&amp;CHAR(65+INT(MOD((COUNTIFS($B$2:$B126,"s",$C$2:$C126,"SER")+COUNTIFS($B$2:$B126,"s",$C$2:$C126,"PLH")+COUNTIFS($B$2:$B126,"s",$C$2:$C126,"CSF"))-1,96)/12))&amp;(MOD((COUNTIFS($B$2:$B126,"s",$C$2:$C126,"SER")+COUNTIFS($B$2:$B126,"s",$C$2:$C126,"PLH")+COUNTIFS($B$2:$B126,"s",$C$2:$C126,"CSF"))-1,12)+1),"N/A"),"")</f>
        <v/>
      </c>
      <c r="J126" s="6" t="str">
        <f>IF(AND($A126&lt;&gt;"",$B126&lt;&gt;"",$C126&lt;&gt;"",$D126&lt;&gt;"",$E126&lt;&gt;""),IF(AND($B126="s",OR($C126="SER",$C126="PLH")),"Case MAX Planck Plate "&amp;(INT(((COUNTIFS($B$2:$B126,"s",$C$2:$C126,"SER")+COUNTIFS($B$2:$B126,"s",$C$2:$C126,"PLH"))-1)/96)+1)&amp;": "&amp;CHAR(65+INT(MOD((COUNTIFS($B$2:$B126,"s",$C$2:$C126,"SER")+COUNTIFS($B$2:$B126,"s",$C$2:$C126,"PLH"))-1,96)/12))&amp;(MOD((COUNTIFS($B$2:$B126,"s",$C$2:$C126,"SER")+COUNTIFS($B$2:$B126,"s",$C$2:$C126,"PLH"))-1,12)+1),"N/A"),"")</f>
        <v/>
      </c>
      <c r="K126" s="6" t="str">
        <f>IF(AND($A126&lt;&gt;"",$B126&lt;&gt;"",$C126&lt;&gt;"",$D126&lt;&gt;"",$E126&lt;&gt;""),IF($C126="WB","Case WB Box "&amp;(INT((COUNTIFS($C$2:$C126,"WB")-1)/81)+1)&amp;": "&amp;CHAR(65+INT(MOD(COUNTIFS($C$2:$C126,"WB")-1,81)/9))&amp;(MOD(COUNTIFS($C$2:$C126,"WB")-1,9)+1),"N/A"),"")</f>
        <v/>
      </c>
      <c r="L126" s="2" t="str">
        <f t="shared" si="37"/>
        <v/>
      </c>
      <c r="M126" s="2"/>
      <c r="N126" s="2"/>
      <c r="O126" s="2"/>
      <c r="P126" s="7" t="str">
        <f t="shared" si="38"/>
        <v/>
      </c>
      <c r="Q126" s="7" t="str">
        <f t="shared" si="39"/>
        <v/>
      </c>
      <c r="R126" s="7" t="str">
        <f t="shared" si="40"/>
        <v/>
      </c>
      <c r="S126" s="7" t="str">
        <f t="shared" si="41"/>
        <v/>
      </c>
      <c r="T126" s="7" t="str">
        <f t="shared" si="42"/>
        <v/>
      </c>
      <c r="U126" s="7" t="str">
        <f t="shared" si="43"/>
        <v/>
      </c>
      <c r="V126" s="7" t="str">
        <f t="shared" si="44"/>
        <v/>
      </c>
      <c r="W126" s="7" t="str">
        <f t="shared" si="45"/>
        <v/>
      </c>
      <c r="X126" s="7" t="str">
        <f t="shared" si="46"/>
        <v/>
      </c>
      <c r="Y126" s="7" t="str">
        <f t="shared" si="47"/>
        <v/>
      </c>
      <c r="Z126">
        <f t="shared" si="48"/>
        <v>0</v>
      </c>
      <c r="AA126" t="str">
        <f t="shared" si="49"/>
        <v/>
      </c>
      <c r="AB126" t="str">
        <f t="shared" si="50"/>
        <v/>
      </c>
      <c r="AC126" t="str">
        <f t="shared" si="51"/>
        <v/>
      </c>
      <c r="AD126" t="str">
        <f t="shared" si="52"/>
        <v/>
      </c>
      <c r="AE126">
        <f t="shared" si="53"/>
        <v>0</v>
      </c>
    </row>
    <row r="127" spans="1:31" ht="15" customHeight="1" x14ac:dyDescent="0.35">
      <c r="A127" s="2"/>
      <c r="B127" s="3"/>
      <c r="C127" s="3"/>
      <c r="D127" s="4"/>
      <c r="E127" s="5"/>
      <c r="F127" s="11" t="str">
        <f t="shared" ca="1" si="36"/>
        <v/>
      </c>
      <c r="G127" s="5"/>
      <c r="H127" s="6" t="str">
        <f>IF(AND($A127&lt;&gt;"",$B127&lt;&gt;"",$C127&lt;&gt;"",$D127&lt;&gt;"",$E127&lt;&gt;""),IF(AND($B127="s",OR($C127="SER",$C127="PLH",$C127="CSF")),"Case CDI Plate "&amp;(INT(((COUNTIFS($B$2:$B127,"s",$C$2:$C127,"SER")+COUNTIFS($B$2:$B127,"s",$C$2:$C127,"PLH")+COUNTIFS($B$2:$B127,"s",$C$2:$C127,"CSF"))-1)/96)+1)&amp;": "&amp;CHAR(65+INT(MOD((COUNTIFS($B$2:$B127,"s",$C$2:$C127,"SER")+COUNTIFS($B$2:$B127,"s",$C$2:$C127,"PLH")+COUNTIFS($B$2:$B127,"s",$C$2:$C127,"CSF"))-1,96)/12))&amp;(MOD((COUNTIFS($B$2:$B127,"s",$C$2:$C127,"SER")+COUNTIFS($B$2:$B127,"s",$C$2:$C127,"PLH")+COUNTIFS($B$2:$B127,"s",$C$2:$C127,"CSF"))-1,12)+1),"N/A"),"")</f>
        <v/>
      </c>
      <c r="I127" s="6" t="str">
        <f>IF(AND($A127&lt;&gt;"",$B127&lt;&gt;"",$C127&lt;&gt;"",$D127&lt;&gt;"",$E127&lt;&gt;""),IF(AND($B127="s",OR($C127="SER",$C127="PLH",$C127="CSF")),"Case NIH Plate "&amp;(INT(((COUNTIFS($B$2:$B127,"s",$C$2:$C127,"SER")+COUNTIFS($B$2:$B127,"s",$C$2:$C127,"PLH")+COUNTIFS($B$2:$B127,"s",$C$2:$C127,"CSF"))-1)/96)+1)&amp;": "&amp;CHAR(65+INT(MOD((COUNTIFS($B$2:$B127,"s",$C$2:$C127,"SER")+COUNTIFS($B$2:$B127,"s",$C$2:$C127,"PLH")+COUNTIFS($B$2:$B127,"s",$C$2:$C127,"CSF"))-1,96)/12))&amp;(MOD((COUNTIFS($B$2:$B127,"s",$C$2:$C127,"SER")+COUNTIFS($B$2:$B127,"s",$C$2:$C127,"PLH")+COUNTIFS($B$2:$B127,"s",$C$2:$C127,"CSF"))-1,12)+1),"N/A"),"")</f>
        <v/>
      </c>
      <c r="J127" s="6" t="str">
        <f>IF(AND($A127&lt;&gt;"",$B127&lt;&gt;"",$C127&lt;&gt;"",$D127&lt;&gt;"",$E127&lt;&gt;""),IF(AND($B127="s",OR($C127="SER",$C127="PLH")),"Case MAX Planck Plate "&amp;(INT(((COUNTIFS($B$2:$B127,"s",$C$2:$C127,"SER")+COUNTIFS($B$2:$B127,"s",$C$2:$C127,"PLH"))-1)/96)+1)&amp;": "&amp;CHAR(65+INT(MOD((COUNTIFS($B$2:$B127,"s",$C$2:$C127,"SER")+COUNTIFS($B$2:$B127,"s",$C$2:$C127,"PLH"))-1,96)/12))&amp;(MOD((COUNTIFS($B$2:$B127,"s",$C$2:$C127,"SER")+COUNTIFS($B$2:$B127,"s",$C$2:$C127,"PLH"))-1,12)+1),"N/A"),"")</f>
        <v/>
      </c>
      <c r="K127" s="6" t="str">
        <f>IF(AND($A127&lt;&gt;"",$B127&lt;&gt;"",$C127&lt;&gt;"",$D127&lt;&gt;"",$E127&lt;&gt;""),IF($C127="WB","Case WB Box "&amp;(INT((COUNTIFS($C$2:$C127,"WB")-1)/81)+1)&amp;": "&amp;CHAR(65+INT(MOD(COUNTIFS($C$2:$C127,"WB")-1,81)/9))&amp;(MOD(COUNTIFS($C$2:$C127,"WB")-1,9)+1),"N/A"),"")</f>
        <v/>
      </c>
      <c r="L127" s="2" t="str">
        <f t="shared" si="37"/>
        <v/>
      </c>
      <c r="M127" s="2"/>
      <c r="N127" s="2"/>
      <c r="O127" s="2"/>
      <c r="P127" s="7" t="str">
        <f t="shared" si="38"/>
        <v/>
      </c>
      <c r="Q127" s="7" t="str">
        <f t="shared" si="39"/>
        <v/>
      </c>
      <c r="R127" s="7" t="str">
        <f t="shared" si="40"/>
        <v/>
      </c>
      <c r="S127" s="7" t="str">
        <f t="shared" si="41"/>
        <v/>
      </c>
      <c r="T127" s="7" t="str">
        <f t="shared" si="42"/>
        <v/>
      </c>
      <c r="U127" s="7" t="str">
        <f t="shared" si="43"/>
        <v/>
      </c>
      <c r="V127" s="7" t="str">
        <f t="shared" si="44"/>
        <v/>
      </c>
      <c r="W127" s="7" t="str">
        <f t="shared" si="45"/>
        <v/>
      </c>
      <c r="X127" s="7" t="str">
        <f t="shared" si="46"/>
        <v/>
      </c>
      <c r="Y127" s="7" t="str">
        <f t="shared" si="47"/>
        <v/>
      </c>
      <c r="Z127">
        <f t="shared" si="48"/>
        <v>0</v>
      </c>
      <c r="AA127" t="str">
        <f t="shared" si="49"/>
        <v/>
      </c>
      <c r="AB127" t="str">
        <f t="shared" si="50"/>
        <v/>
      </c>
      <c r="AC127" t="str">
        <f t="shared" si="51"/>
        <v/>
      </c>
      <c r="AD127" t="str">
        <f t="shared" si="52"/>
        <v/>
      </c>
      <c r="AE127">
        <f t="shared" si="53"/>
        <v>0</v>
      </c>
    </row>
    <row r="128" spans="1:31" ht="15" customHeight="1" x14ac:dyDescent="0.35">
      <c r="A128" s="2"/>
      <c r="B128" s="3"/>
      <c r="C128" s="3"/>
      <c r="D128" s="4"/>
      <c r="E128" s="5"/>
      <c r="F128" s="11" t="str">
        <f t="shared" ca="1" si="36"/>
        <v/>
      </c>
      <c r="G128" s="5"/>
      <c r="H128" s="6" t="str">
        <f>IF(AND($A128&lt;&gt;"",$B128&lt;&gt;"",$C128&lt;&gt;"",$D128&lt;&gt;"",$E128&lt;&gt;""),IF(AND($B128="s",OR($C128="SER",$C128="PLH",$C128="CSF")),"Case CDI Plate "&amp;(INT(((COUNTIFS($B$2:$B128,"s",$C$2:$C128,"SER")+COUNTIFS($B$2:$B128,"s",$C$2:$C128,"PLH")+COUNTIFS($B$2:$B128,"s",$C$2:$C128,"CSF"))-1)/96)+1)&amp;": "&amp;CHAR(65+INT(MOD((COUNTIFS($B$2:$B128,"s",$C$2:$C128,"SER")+COUNTIFS($B$2:$B128,"s",$C$2:$C128,"PLH")+COUNTIFS($B$2:$B128,"s",$C$2:$C128,"CSF"))-1,96)/12))&amp;(MOD((COUNTIFS($B$2:$B128,"s",$C$2:$C128,"SER")+COUNTIFS($B$2:$B128,"s",$C$2:$C128,"PLH")+COUNTIFS($B$2:$B128,"s",$C$2:$C128,"CSF"))-1,12)+1),"N/A"),"")</f>
        <v/>
      </c>
      <c r="I128" s="6" t="str">
        <f>IF(AND($A128&lt;&gt;"",$B128&lt;&gt;"",$C128&lt;&gt;"",$D128&lt;&gt;"",$E128&lt;&gt;""),IF(AND($B128="s",OR($C128="SER",$C128="PLH",$C128="CSF")),"Case NIH Plate "&amp;(INT(((COUNTIFS($B$2:$B128,"s",$C$2:$C128,"SER")+COUNTIFS($B$2:$B128,"s",$C$2:$C128,"PLH")+COUNTIFS($B$2:$B128,"s",$C$2:$C128,"CSF"))-1)/96)+1)&amp;": "&amp;CHAR(65+INT(MOD((COUNTIFS($B$2:$B128,"s",$C$2:$C128,"SER")+COUNTIFS($B$2:$B128,"s",$C$2:$C128,"PLH")+COUNTIFS($B$2:$B128,"s",$C$2:$C128,"CSF"))-1,96)/12))&amp;(MOD((COUNTIFS($B$2:$B128,"s",$C$2:$C128,"SER")+COUNTIFS($B$2:$B128,"s",$C$2:$C128,"PLH")+COUNTIFS($B$2:$B128,"s",$C$2:$C128,"CSF"))-1,12)+1),"N/A"),"")</f>
        <v/>
      </c>
      <c r="J128" s="6" t="str">
        <f>IF(AND($A128&lt;&gt;"",$B128&lt;&gt;"",$C128&lt;&gt;"",$D128&lt;&gt;"",$E128&lt;&gt;""),IF(AND($B128="s",OR($C128="SER",$C128="PLH")),"Case MAX Planck Plate "&amp;(INT(((COUNTIFS($B$2:$B128,"s",$C$2:$C128,"SER")+COUNTIFS($B$2:$B128,"s",$C$2:$C128,"PLH"))-1)/96)+1)&amp;": "&amp;CHAR(65+INT(MOD((COUNTIFS($B$2:$B128,"s",$C$2:$C128,"SER")+COUNTIFS($B$2:$B128,"s",$C$2:$C128,"PLH"))-1,96)/12))&amp;(MOD((COUNTIFS($B$2:$B128,"s",$C$2:$C128,"SER")+COUNTIFS($B$2:$B128,"s",$C$2:$C128,"PLH"))-1,12)+1),"N/A"),"")</f>
        <v/>
      </c>
      <c r="K128" s="6" t="str">
        <f>IF(AND($A128&lt;&gt;"",$B128&lt;&gt;"",$C128&lt;&gt;"",$D128&lt;&gt;"",$E128&lt;&gt;""),IF($C128="WB","Case WB Box "&amp;(INT((COUNTIFS($C$2:$C128,"WB")-1)/81)+1)&amp;": "&amp;CHAR(65+INT(MOD(COUNTIFS($C$2:$C128,"WB")-1,81)/9))&amp;(MOD(COUNTIFS($C$2:$C128,"WB")-1,9)+1),"N/A"),"")</f>
        <v/>
      </c>
      <c r="L128" s="2" t="str">
        <f t="shared" si="37"/>
        <v/>
      </c>
      <c r="M128" s="2"/>
      <c r="N128" s="2"/>
      <c r="O128" s="2"/>
      <c r="P128" s="7" t="str">
        <f t="shared" si="38"/>
        <v/>
      </c>
      <c r="Q128" s="7" t="str">
        <f t="shared" si="39"/>
        <v/>
      </c>
      <c r="R128" s="7" t="str">
        <f t="shared" si="40"/>
        <v/>
      </c>
      <c r="S128" s="7" t="str">
        <f t="shared" si="41"/>
        <v/>
      </c>
      <c r="T128" s="7" t="str">
        <f t="shared" si="42"/>
        <v/>
      </c>
      <c r="U128" s="7" t="str">
        <f t="shared" si="43"/>
        <v/>
      </c>
      <c r="V128" s="7" t="str">
        <f t="shared" si="44"/>
        <v/>
      </c>
      <c r="W128" s="7" t="str">
        <f t="shared" si="45"/>
        <v/>
      </c>
      <c r="X128" s="7" t="str">
        <f t="shared" si="46"/>
        <v/>
      </c>
      <c r="Y128" s="7" t="str">
        <f t="shared" si="47"/>
        <v/>
      </c>
      <c r="Z128">
        <f t="shared" si="48"/>
        <v>0</v>
      </c>
      <c r="AA128" t="str">
        <f t="shared" si="49"/>
        <v/>
      </c>
      <c r="AB128" t="str">
        <f t="shared" si="50"/>
        <v/>
      </c>
      <c r="AC128" t="str">
        <f t="shared" si="51"/>
        <v/>
      </c>
      <c r="AD128" t="str">
        <f t="shared" si="52"/>
        <v/>
      </c>
      <c r="AE128">
        <f t="shared" si="53"/>
        <v>0</v>
      </c>
    </row>
    <row r="129" spans="1:31" ht="15" customHeight="1" x14ac:dyDescent="0.35">
      <c r="A129" s="2"/>
      <c r="B129" s="3"/>
      <c r="C129" s="3"/>
      <c r="D129" s="4"/>
      <c r="E129" s="5"/>
      <c r="F129" s="11" t="str">
        <f t="shared" ca="1" si="36"/>
        <v/>
      </c>
      <c r="G129" s="5"/>
      <c r="H129" s="6" t="str">
        <f>IF(AND($A129&lt;&gt;"",$B129&lt;&gt;"",$C129&lt;&gt;"",$D129&lt;&gt;"",$E129&lt;&gt;""),IF(AND($B129="s",OR($C129="SER",$C129="PLH",$C129="CSF")),"Case CDI Plate "&amp;(INT(((COUNTIFS($B$2:$B129,"s",$C$2:$C129,"SER")+COUNTIFS($B$2:$B129,"s",$C$2:$C129,"PLH")+COUNTIFS($B$2:$B129,"s",$C$2:$C129,"CSF"))-1)/96)+1)&amp;": "&amp;CHAR(65+INT(MOD((COUNTIFS($B$2:$B129,"s",$C$2:$C129,"SER")+COUNTIFS($B$2:$B129,"s",$C$2:$C129,"PLH")+COUNTIFS($B$2:$B129,"s",$C$2:$C129,"CSF"))-1,96)/12))&amp;(MOD((COUNTIFS($B$2:$B129,"s",$C$2:$C129,"SER")+COUNTIFS($B$2:$B129,"s",$C$2:$C129,"PLH")+COUNTIFS($B$2:$B129,"s",$C$2:$C129,"CSF"))-1,12)+1),"N/A"),"")</f>
        <v/>
      </c>
      <c r="I129" s="6" t="str">
        <f>IF(AND($A129&lt;&gt;"",$B129&lt;&gt;"",$C129&lt;&gt;"",$D129&lt;&gt;"",$E129&lt;&gt;""),IF(AND($B129="s",OR($C129="SER",$C129="PLH",$C129="CSF")),"Case NIH Plate "&amp;(INT(((COUNTIFS($B$2:$B129,"s",$C$2:$C129,"SER")+COUNTIFS($B$2:$B129,"s",$C$2:$C129,"PLH")+COUNTIFS($B$2:$B129,"s",$C$2:$C129,"CSF"))-1)/96)+1)&amp;": "&amp;CHAR(65+INT(MOD((COUNTIFS($B$2:$B129,"s",$C$2:$C129,"SER")+COUNTIFS($B$2:$B129,"s",$C$2:$C129,"PLH")+COUNTIFS($B$2:$B129,"s",$C$2:$C129,"CSF"))-1,96)/12))&amp;(MOD((COUNTIFS($B$2:$B129,"s",$C$2:$C129,"SER")+COUNTIFS($B$2:$B129,"s",$C$2:$C129,"PLH")+COUNTIFS($B$2:$B129,"s",$C$2:$C129,"CSF"))-1,12)+1),"N/A"),"")</f>
        <v/>
      </c>
      <c r="J129" s="6" t="str">
        <f>IF(AND($A129&lt;&gt;"",$B129&lt;&gt;"",$C129&lt;&gt;"",$D129&lt;&gt;"",$E129&lt;&gt;""),IF(AND($B129="s",OR($C129="SER",$C129="PLH")),"Case MAX Planck Plate "&amp;(INT(((COUNTIFS($B$2:$B129,"s",$C$2:$C129,"SER")+COUNTIFS($B$2:$B129,"s",$C$2:$C129,"PLH"))-1)/96)+1)&amp;": "&amp;CHAR(65+INT(MOD((COUNTIFS($B$2:$B129,"s",$C$2:$C129,"SER")+COUNTIFS($B$2:$B129,"s",$C$2:$C129,"PLH"))-1,96)/12))&amp;(MOD((COUNTIFS($B$2:$B129,"s",$C$2:$C129,"SER")+COUNTIFS($B$2:$B129,"s",$C$2:$C129,"PLH"))-1,12)+1),"N/A"),"")</f>
        <v/>
      </c>
      <c r="K129" s="6" t="str">
        <f>IF(AND($A129&lt;&gt;"",$B129&lt;&gt;"",$C129&lt;&gt;"",$D129&lt;&gt;"",$E129&lt;&gt;""),IF($C129="WB","Case WB Box "&amp;(INT((COUNTIFS($C$2:$C129,"WB")-1)/81)+1)&amp;": "&amp;CHAR(65+INT(MOD(COUNTIFS($C$2:$C129,"WB")-1,81)/9))&amp;(MOD(COUNTIFS($C$2:$C129,"WB")-1,9)+1),"N/A"),"")</f>
        <v/>
      </c>
      <c r="L129" s="2" t="str">
        <f t="shared" si="37"/>
        <v/>
      </c>
      <c r="M129" s="2"/>
      <c r="N129" s="2"/>
      <c r="O129" s="2"/>
      <c r="P129" s="7" t="str">
        <f t="shared" si="38"/>
        <v/>
      </c>
      <c r="Q129" s="7" t="str">
        <f t="shared" si="39"/>
        <v/>
      </c>
      <c r="R129" s="7" t="str">
        <f t="shared" si="40"/>
        <v/>
      </c>
      <c r="S129" s="7" t="str">
        <f t="shared" si="41"/>
        <v/>
      </c>
      <c r="T129" s="7" t="str">
        <f t="shared" si="42"/>
        <v/>
      </c>
      <c r="U129" s="7" t="str">
        <f t="shared" si="43"/>
        <v/>
      </c>
      <c r="V129" s="7" t="str">
        <f t="shared" si="44"/>
        <v/>
      </c>
      <c r="W129" s="7" t="str">
        <f t="shared" si="45"/>
        <v/>
      </c>
      <c r="X129" s="7" t="str">
        <f t="shared" si="46"/>
        <v/>
      </c>
      <c r="Y129" s="7" t="str">
        <f t="shared" si="47"/>
        <v/>
      </c>
      <c r="Z129">
        <f t="shared" si="48"/>
        <v>0</v>
      </c>
      <c r="AA129" t="str">
        <f t="shared" si="49"/>
        <v/>
      </c>
      <c r="AB129" t="str">
        <f t="shared" si="50"/>
        <v/>
      </c>
      <c r="AC129" t="str">
        <f t="shared" si="51"/>
        <v/>
      </c>
      <c r="AD129" t="str">
        <f t="shared" si="52"/>
        <v/>
      </c>
      <c r="AE129">
        <f t="shared" si="53"/>
        <v>0</v>
      </c>
    </row>
    <row r="130" spans="1:31" ht="15" customHeight="1" x14ac:dyDescent="0.35">
      <c r="A130" s="2"/>
      <c r="B130" s="3"/>
      <c r="C130" s="3"/>
      <c r="D130" s="4"/>
      <c r="E130" s="5"/>
      <c r="F130" s="11" t="str">
        <f t="shared" ca="1" si="36"/>
        <v/>
      </c>
      <c r="G130" s="5"/>
      <c r="H130" s="6" t="str">
        <f>IF(AND($A130&lt;&gt;"",$B130&lt;&gt;"",$C130&lt;&gt;"",$D130&lt;&gt;"",$E130&lt;&gt;""),IF(AND($B130="s",OR($C130="SER",$C130="PLH",$C130="CSF")),"Case CDI Plate "&amp;(INT(((COUNTIFS($B$2:$B130,"s",$C$2:$C130,"SER")+COUNTIFS($B$2:$B130,"s",$C$2:$C130,"PLH")+COUNTIFS($B$2:$B130,"s",$C$2:$C130,"CSF"))-1)/96)+1)&amp;": "&amp;CHAR(65+INT(MOD((COUNTIFS($B$2:$B130,"s",$C$2:$C130,"SER")+COUNTIFS($B$2:$B130,"s",$C$2:$C130,"PLH")+COUNTIFS($B$2:$B130,"s",$C$2:$C130,"CSF"))-1,96)/12))&amp;(MOD((COUNTIFS($B$2:$B130,"s",$C$2:$C130,"SER")+COUNTIFS($B$2:$B130,"s",$C$2:$C130,"PLH")+COUNTIFS($B$2:$B130,"s",$C$2:$C130,"CSF"))-1,12)+1),"N/A"),"")</f>
        <v/>
      </c>
      <c r="I130" s="6" t="str">
        <f>IF(AND($A130&lt;&gt;"",$B130&lt;&gt;"",$C130&lt;&gt;"",$D130&lt;&gt;"",$E130&lt;&gt;""),IF(AND($B130="s",OR($C130="SER",$C130="PLH",$C130="CSF")),"Case NIH Plate "&amp;(INT(((COUNTIFS($B$2:$B130,"s",$C$2:$C130,"SER")+COUNTIFS($B$2:$B130,"s",$C$2:$C130,"PLH")+COUNTIFS($B$2:$B130,"s",$C$2:$C130,"CSF"))-1)/96)+1)&amp;": "&amp;CHAR(65+INT(MOD((COUNTIFS($B$2:$B130,"s",$C$2:$C130,"SER")+COUNTIFS($B$2:$B130,"s",$C$2:$C130,"PLH")+COUNTIFS($B$2:$B130,"s",$C$2:$C130,"CSF"))-1,96)/12))&amp;(MOD((COUNTIFS($B$2:$B130,"s",$C$2:$C130,"SER")+COUNTIFS($B$2:$B130,"s",$C$2:$C130,"PLH")+COUNTIFS($B$2:$B130,"s",$C$2:$C130,"CSF"))-1,12)+1),"N/A"),"")</f>
        <v/>
      </c>
      <c r="J130" s="6" t="str">
        <f>IF(AND($A130&lt;&gt;"",$B130&lt;&gt;"",$C130&lt;&gt;"",$D130&lt;&gt;"",$E130&lt;&gt;""),IF(AND($B130="s",OR($C130="SER",$C130="PLH")),"Case MAX Planck Plate "&amp;(INT(((COUNTIFS($B$2:$B130,"s",$C$2:$C130,"SER")+COUNTIFS($B$2:$B130,"s",$C$2:$C130,"PLH"))-1)/96)+1)&amp;": "&amp;CHAR(65+INT(MOD((COUNTIFS($B$2:$B130,"s",$C$2:$C130,"SER")+COUNTIFS($B$2:$B130,"s",$C$2:$C130,"PLH"))-1,96)/12))&amp;(MOD((COUNTIFS($B$2:$B130,"s",$C$2:$C130,"SER")+COUNTIFS($B$2:$B130,"s",$C$2:$C130,"PLH"))-1,12)+1),"N/A"),"")</f>
        <v/>
      </c>
      <c r="K130" s="6" t="str">
        <f>IF(AND($A130&lt;&gt;"",$B130&lt;&gt;"",$C130&lt;&gt;"",$D130&lt;&gt;"",$E130&lt;&gt;""),IF($C130="WB","Case WB Box "&amp;(INT((COUNTIFS($C$2:$C130,"WB")-1)/81)+1)&amp;": "&amp;CHAR(65+INT(MOD(COUNTIFS($C$2:$C130,"WB")-1,81)/9))&amp;(MOD(COUNTIFS($C$2:$C130,"WB")-1,9)+1),"N/A"),"")</f>
        <v/>
      </c>
      <c r="L130" s="2" t="str">
        <f t="shared" si="37"/>
        <v/>
      </c>
      <c r="M130" s="2"/>
      <c r="N130" s="2"/>
      <c r="O130" s="2"/>
      <c r="P130" s="7" t="str">
        <f t="shared" si="38"/>
        <v/>
      </c>
      <c r="Q130" s="7" t="str">
        <f t="shared" si="39"/>
        <v/>
      </c>
      <c r="R130" s="7" t="str">
        <f t="shared" si="40"/>
        <v/>
      </c>
      <c r="S130" s="7" t="str">
        <f t="shared" si="41"/>
        <v/>
      </c>
      <c r="T130" s="7" t="str">
        <f t="shared" si="42"/>
        <v/>
      </c>
      <c r="U130" s="7" t="str">
        <f t="shared" si="43"/>
        <v/>
      </c>
      <c r="V130" s="7" t="str">
        <f t="shared" si="44"/>
        <v/>
      </c>
      <c r="W130" s="7" t="str">
        <f t="shared" si="45"/>
        <v/>
      </c>
      <c r="X130" s="7" t="str">
        <f t="shared" si="46"/>
        <v/>
      </c>
      <c r="Y130" s="7" t="str">
        <f t="shared" si="47"/>
        <v/>
      </c>
      <c r="Z130">
        <f t="shared" si="48"/>
        <v>0</v>
      </c>
      <c r="AA130" t="str">
        <f t="shared" si="49"/>
        <v/>
      </c>
      <c r="AB130" t="str">
        <f t="shared" si="50"/>
        <v/>
      </c>
      <c r="AC130" t="str">
        <f t="shared" si="51"/>
        <v/>
      </c>
      <c r="AD130" t="str">
        <f t="shared" si="52"/>
        <v/>
      </c>
      <c r="AE130">
        <f t="shared" si="53"/>
        <v>0</v>
      </c>
    </row>
    <row r="131" spans="1:31" ht="15" customHeight="1" x14ac:dyDescent="0.35">
      <c r="A131" s="2"/>
      <c r="B131" s="3"/>
      <c r="C131" s="3"/>
      <c r="D131" s="4"/>
      <c r="E131" s="5"/>
      <c r="F131" s="11" t="str">
        <f t="shared" ca="1" si="36"/>
        <v/>
      </c>
      <c r="G131" s="5"/>
      <c r="H131" s="6" t="str">
        <f>IF(AND($A131&lt;&gt;"",$B131&lt;&gt;"",$C131&lt;&gt;"",$D131&lt;&gt;"",$E131&lt;&gt;""),IF(AND($B131="s",OR($C131="SER",$C131="PLH",$C131="CSF")),"Case CDI Plate "&amp;(INT(((COUNTIFS($B$2:$B131,"s",$C$2:$C131,"SER")+COUNTIFS($B$2:$B131,"s",$C$2:$C131,"PLH")+COUNTIFS($B$2:$B131,"s",$C$2:$C131,"CSF"))-1)/96)+1)&amp;": "&amp;CHAR(65+INT(MOD((COUNTIFS($B$2:$B131,"s",$C$2:$C131,"SER")+COUNTIFS($B$2:$B131,"s",$C$2:$C131,"PLH")+COUNTIFS($B$2:$B131,"s",$C$2:$C131,"CSF"))-1,96)/12))&amp;(MOD((COUNTIFS($B$2:$B131,"s",$C$2:$C131,"SER")+COUNTIFS($B$2:$B131,"s",$C$2:$C131,"PLH")+COUNTIFS($B$2:$B131,"s",$C$2:$C131,"CSF"))-1,12)+1),"N/A"),"")</f>
        <v/>
      </c>
      <c r="I131" s="6" t="str">
        <f>IF(AND($A131&lt;&gt;"",$B131&lt;&gt;"",$C131&lt;&gt;"",$D131&lt;&gt;"",$E131&lt;&gt;""),IF(AND($B131="s",OR($C131="SER",$C131="PLH",$C131="CSF")),"Case NIH Plate "&amp;(INT(((COUNTIFS($B$2:$B131,"s",$C$2:$C131,"SER")+COUNTIFS($B$2:$B131,"s",$C$2:$C131,"PLH")+COUNTIFS($B$2:$B131,"s",$C$2:$C131,"CSF"))-1)/96)+1)&amp;": "&amp;CHAR(65+INT(MOD((COUNTIFS($B$2:$B131,"s",$C$2:$C131,"SER")+COUNTIFS($B$2:$B131,"s",$C$2:$C131,"PLH")+COUNTIFS($B$2:$B131,"s",$C$2:$C131,"CSF"))-1,96)/12))&amp;(MOD((COUNTIFS($B$2:$B131,"s",$C$2:$C131,"SER")+COUNTIFS($B$2:$B131,"s",$C$2:$C131,"PLH")+COUNTIFS($B$2:$B131,"s",$C$2:$C131,"CSF"))-1,12)+1),"N/A"),"")</f>
        <v/>
      </c>
      <c r="J131" s="6" t="str">
        <f>IF(AND($A131&lt;&gt;"",$B131&lt;&gt;"",$C131&lt;&gt;"",$D131&lt;&gt;"",$E131&lt;&gt;""),IF(AND($B131="s",OR($C131="SER",$C131="PLH")),"Case MAX Planck Plate "&amp;(INT(((COUNTIFS($B$2:$B131,"s",$C$2:$C131,"SER")+COUNTIFS($B$2:$B131,"s",$C$2:$C131,"PLH"))-1)/96)+1)&amp;": "&amp;CHAR(65+INT(MOD((COUNTIFS($B$2:$B131,"s",$C$2:$C131,"SER")+COUNTIFS($B$2:$B131,"s",$C$2:$C131,"PLH"))-1,96)/12))&amp;(MOD((COUNTIFS($B$2:$B131,"s",$C$2:$C131,"SER")+COUNTIFS($B$2:$B131,"s",$C$2:$C131,"PLH"))-1,12)+1),"N/A"),"")</f>
        <v/>
      </c>
      <c r="K131" s="6" t="str">
        <f>IF(AND($A131&lt;&gt;"",$B131&lt;&gt;"",$C131&lt;&gt;"",$D131&lt;&gt;"",$E131&lt;&gt;""),IF($C131="WB","Case WB Box "&amp;(INT((COUNTIFS($C$2:$C131,"WB")-1)/81)+1)&amp;": "&amp;CHAR(65+INT(MOD(COUNTIFS($C$2:$C131,"WB")-1,81)/9))&amp;(MOD(COUNTIFS($C$2:$C131,"WB")-1,9)+1),"N/A"),"")</f>
        <v/>
      </c>
      <c r="L131" s="2" t="str">
        <f t="shared" si="37"/>
        <v/>
      </c>
      <c r="M131" s="2"/>
      <c r="N131" s="2"/>
      <c r="O131" s="2"/>
      <c r="P131" s="7" t="str">
        <f t="shared" si="38"/>
        <v/>
      </c>
      <c r="Q131" s="7" t="str">
        <f t="shared" si="39"/>
        <v/>
      </c>
      <c r="R131" s="7" t="str">
        <f t="shared" si="40"/>
        <v/>
      </c>
      <c r="S131" s="7" t="str">
        <f t="shared" si="41"/>
        <v/>
      </c>
      <c r="T131" s="7" t="str">
        <f t="shared" si="42"/>
        <v/>
      </c>
      <c r="U131" s="7" t="str">
        <f t="shared" si="43"/>
        <v/>
      </c>
      <c r="V131" s="7" t="str">
        <f t="shared" si="44"/>
        <v/>
      </c>
      <c r="W131" s="7" t="str">
        <f t="shared" si="45"/>
        <v/>
      </c>
      <c r="X131" s="7" t="str">
        <f t="shared" si="46"/>
        <v/>
      </c>
      <c r="Y131" s="7" t="str">
        <f t="shared" si="47"/>
        <v/>
      </c>
      <c r="Z131">
        <f t="shared" si="48"/>
        <v>0</v>
      </c>
      <c r="AA131" t="str">
        <f t="shared" si="49"/>
        <v/>
      </c>
      <c r="AB131" t="str">
        <f t="shared" si="50"/>
        <v/>
      </c>
      <c r="AC131" t="str">
        <f t="shared" si="51"/>
        <v/>
      </c>
      <c r="AD131" t="str">
        <f t="shared" si="52"/>
        <v/>
      </c>
      <c r="AE131">
        <f t="shared" si="53"/>
        <v>0</v>
      </c>
    </row>
    <row r="132" spans="1:31" ht="15" customHeight="1" x14ac:dyDescent="0.35">
      <c r="A132" s="2"/>
      <c r="B132" s="3"/>
      <c r="C132" s="3"/>
      <c r="D132" s="4"/>
      <c r="E132" s="5"/>
      <c r="F132" s="11" t="str">
        <f t="shared" ca="1" si="36"/>
        <v/>
      </c>
      <c r="G132" s="5"/>
      <c r="H132" s="6" t="str">
        <f>IF(AND($A132&lt;&gt;"",$B132&lt;&gt;"",$C132&lt;&gt;"",$D132&lt;&gt;"",$E132&lt;&gt;""),IF(AND($B132="s",OR($C132="SER",$C132="PLH",$C132="CSF")),"Case CDI Plate "&amp;(INT(((COUNTIFS($B$2:$B132,"s",$C$2:$C132,"SER")+COUNTIFS($B$2:$B132,"s",$C$2:$C132,"PLH")+COUNTIFS($B$2:$B132,"s",$C$2:$C132,"CSF"))-1)/96)+1)&amp;": "&amp;CHAR(65+INT(MOD((COUNTIFS($B$2:$B132,"s",$C$2:$C132,"SER")+COUNTIFS($B$2:$B132,"s",$C$2:$C132,"PLH")+COUNTIFS($B$2:$B132,"s",$C$2:$C132,"CSF"))-1,96)/12))&amp;(MOD((COUNTIFS($B$2:$B132,"s",$C$2:$C132,"SER")+COUNTIFS($B$2:$B132,"s",$C$2:$C132,"PLH")+COUNTIFS($B$2:$B132,"s",$C$2:$C132,"CSF"))-1,12)+1),"N/A"),"")</f>
        <v/>
      </c>
      <c r="I132" s="6" t="str">
        <f>IF(AND($A132&lt;&gt;"",$B132&lt;&gt;"",$C132&lt;&gt;"",$D132&lt;&gt;"",$E132&lt;&gt;""),IF(AND($B132="s",OR($C132="SER",$C132="PLH",$C132="CSF")),"Case NIH Plate "&amp;(INT(((COUNTIFS($B$2:$B132,"s",$C$2:$C132,"SER")+COUNTIFS($B$2:$B132,"s",$C$2:$C132,"PLH")+COUNTIFS($B$2:$B132,"s",$C$2:$C132,"CSF"))-1)/96)+1)&amp;": "&amp;CHAR(65+INT(MOD((COUNTIFS($B$2:$B132,"s",$C$2:$C132,"SER")+COUNTIFS($B$2:$B132,"s",$C$2:$C132,"PLH")+COUNTIFS($B$2:$B132,"s",$C$2:$C132,"CSF"))-1,96)/12))&amp;(MOD((COUNTIFS($B$2:$B132,"s",$C$2:$C132,"SER")+COUNTIFS($B$2:$B132,"s",$C$2:$C132,"PLH")+COUNTIFS($B$2:$B132,"s",$C$2:$C132,"CSF"))-1,12)+1),"N/A"),"")</f>
        <v/>
      </c>
      <c r="J132" s="6" t="str">
        <f>IF(AND($A132&lt;&gt;"",$B132&lt;&gt;"",$C132&lt;&gt;"",$D132&lt;&gt;"",$E132&lt;&gt;""),IF(AND($B132="s",OR($C132="SER",$C132="PLH")),"Case MAX Planck Plate "&amp;(INT(((COUNTIFS($B$2:$B132,"s",$C$2:$C132,"SER")+COUNTIFS($B$2:$B132,"s",$C$2:$C132,"PLH"))-1)/96)+1)&amp;": "&amp;CHAR(65+INT(MOD((COUNTIFS($B$2:$B132,"s",$C$2:$C132,"SER")+COUNTIFS($B$2:$B132,"s",$C$2:$C132,"PLH"))-1,96)/12))&amp;(MOD((COUNTIFS($B$2:$B132,"s",$C$2:$C132,"SER")+COUNTIFS($B$2:$B132,"s",$C$2:$C132,"PLH"))-1,12)+1),"N/A"),"")</f>
        <v/>
      </c>
      <c r="K132" s="6" t="str">
        <f>IF(AND($A132&lt;&gt;"",$B132&lt;&gt;"",$C132&lt;&gt;"",$D132&lt;&gt;"",$E132&lt;&gt;""),IF($C132="WB","Case WB Box "&amp;(INT((COUNTIFS($C$2:$C132,"WB")-1)/81)+1)&amp;": "&amp;CHAR(65+INT(MOD(COUNTIFS($C$2:$C132,"WB")-1,81)/9))&amp;(MOD(COUNTIFS($C$2:$C132,"WB")-1,9)+1),"N/A"),"")</f>
        <v/>
      </c>
      <c r="L132" s="2" t="str">
        <f t="shared" si="37"/>
        <v/>
      </c>
      <c r="M132" s="2"/>
      <c r="N132" s="2"/>
      <c r="O132" s="2"/>
      <c r="P132" s="7" t="str">
        <f t="shared" si="38"/>
        <v/>
      </c>
      <c r="Q132" s="7" t="str">
        <f t="shared" si="39"/>
        <v/>
      </c>
      <c r="R132" s="7" t="str">
        <f t="shared" si="40"/>
        <v/>
      </c>
      <c r="S132" s="7" t="str">
        <f t="shared" si="41"/>
        <v/>
      </c>
      <c r="T132" s="7" t="str">
        <f t="shared" si="42"/>
        <v/>
      </c>
      <c r="U132" s="7" t="str">
        <f t="shared" si="43"/>
        <v/>
      </c>
      <c r="V132" s="7" t="str">
        <f t="shared" si="44"/>
        <v/>
      </c>
      <c r="W132" s="7" t="str">
        <f t="shared" si="45"/>
        <v/>
      </c>
      <c r="X132" s="7" t="str">
        <f t="shared" si="46"/>
        <v/>
      </c>
      <c r="Y132" s="7" t="str">
        <f t="shared" si="47"/>
        <v/>
      </c>
      <c r="Z132">
        <f t="shared" si="48"/>
        <v>0</v>
      </c>
      <c r="AA132" t="str">
        <f t="shared" si="49"/>
        <v/>
      </c>
      <c r="AB132" t="str">
        <f t="shared" si="50"/>
        <v/>
      </c>
      <c r="AC132" t="str">
        <f t="shared" si="51"/>
        <v/>
      </c>
      <c r="AD132" t="str">
        <f t="shared" si="52"/>
        <v/>
      </c>
      <c r="AE132">
        <f t="shared" si="53"/>
        <v>0</v>
      </c>
    </row>
    <row r="133" spans="1:31" ht="15" customHeight="1" x14ac:dyDescent="0.35">
      <c r="A133" s="2"/>
      <c r="B133" s="3"/>
      <c r="C133" s="3"/>
      <c r="D133" s="4"/>
      <c r="E133" s="5"/>
      <c r="F133" s="11" t="str">
        <f t="shared" ca="1" si="36"/>
        <v/>
      </c>
      <c r="G133" s="5"/>
      <c r="H133" s="6" t="str">
        <f>IF(AND($A133&lt;&gt;"",$B133&lt;&gt;"",$C133&lt;&gt;"",$D133&lt;&gt;"",$E133&lt;&gt;""),IF(AND($B133="s",OR($C133="SER",$C133="PLH",$C133="CSF")),"Case CDI Plate "&amp;(INT(((COUNTIFS($B$2:$B133,"s",$C$2:$C133,"SER")+COUNTIFS($B$2:$B133,"s",$C$2:$C133,"PLH")+COUNTIFS($B$2:$B133,"s",$C$2:$C133,"CSF"))-1)/96)+1)&amp;": "&amp;CHAR(65+INT(MOD((COUNTIFS($B$2:$B133,"s",$C$2:$C133,"SER")+COUNTIFS($B$2:$B133,"s",$C$2:$C133,"PLH")+COUNTIFS($B$2:$B133,"s",$C$2:$C133,"CSF"))-1,96)/12))&amp;(MOD((COUNTIFS($B$2:$B133,"s",$C$2:$C133,"SER")+COUNTIFS($B$2:$B133,"s",$C$2:$C133,"PLH")+COUNTIFS($B$2:$B133,"s",$C$2:$C133,"CSF"))-1,12)+1),"N/A"),"")</f>
        <v/>
      </c>
      <c r="I133" s="6" t="str">
        <f>IF(AND($A133&lt;&gt;"",$B133&lt;&gt;"",$C133&lt;&gt;"",$D133&lt;&gt;"",$E133&lt;&gt;""),IF(AND($B133="s",OR($C133="SER",$C133="PLH",$C133="CSF")),"Case NIH Plate "&amp;(INT(((COUNTIFS($B$2:$B133,"s",$C$2:$C133,"SER")+COUNTIFS($B$2:$B133,"s",$C$2:$C133,"PLH")+COUNTIFS($B$2:$B133,"s",$C$2:$C133,"CSF"))-1)/96)+1)&amp;": "&amp;CHAR(65+INT(MOD((COUNTIFS($B$2:$B133,"s",$C$2:$C133,"SER")+COUNTIFS($B$2:$B133,"s",$C$2:$C133,"PLH")+COUNTIFS($B$2:$B133,"s",$C$2:$C133,"CSF"))-1,96)/12))&amp;(MOD((COUNTIFS($B$2:$B133,"s",$C$2:$C133,"SER")+COUNTIFS($B$2:$B133,"s",$C$2:$C133,"PLH")+COUNTIFS($B$2:$B133,"s",$C$2:$C133,"CSF"))-1,12)+1),"N/A"),"")</f>
        <v/>
      </c>
      <c r="J133" s="6" t="str">
        <f>IF(AND($A133&lt;&gt;"",$B133&lt;&gt;"",$C133&lt;&gt;"",$D133&lt;&gt;"",$E133&lt;&gt;""),IF(AND($B133="s",OR($C133="SER",$C133="PLH")),"Case MAX Planck Plate "&amp;(INT(((COUNTIFS($B$2:$B133,"s",$C$2:$C133,"SER")+COUNTIFS($B$2:$B133,"s",$C$2:$C133,"PLH"))-1)/96)+1)&amp;": "&amp;CHAR(65+INT(MOD((COUNTIFS($B$2:$B133,"s",$C$2:$C133,"SER")+COUNTIFS($B$2:$B133,"s",$C$2:$C133,"PLH"))-1,96)/12))&amp;(MOD((COUNTIFS($B$2:$B133,"s",$C$2:$C133,"SER")+COUNTIFS($B$2:$B133,"s",$C$2:$C133,"PLH"))-1,12)+1),"N/A"),"")</f>
        <v/>
      </c>
      <c r="K133" s="6" t="str">
        <f>IF(AND($A133&lt;&gt;"",$B133&lt;&gt;"",$C133&lt;&gt;"",$D133&lt;&gt;"",$E133&lt;&gt;""),IF($C133="WB","Case WB Box "&amp;(INT((COUNTIFS($C$2:$C133,"WB")-1)/81)+1)&amp;": "&amp;CHAR(65+INT(MOD(COUNTIFS($C$2:$C133,"WB")-1,81)/9))&amp;(MOD(COUNTIFS($C$2:$C133,"WB")-1,9)+1),"N/A"),"")</f>
        <v/>
      </c>
      <c r="L133" s="2" t="str">
        <f t="shared" si="37"/>
        <v/>
      </c>
      <c r="M133" s="2"/>
      <c r="N133" s="2"/>
      <c r="O133" s="2"/>
      <c r="P133" s="7" t="str">
        <f t="shared" si="38"/>
        <v/>
      </c>
      <c r="Q133" s="7" t="str">
        <f t="shared" si="39"/>
        <v/>
      </c>
      <c r="R133" s="7" t="str">
        <f t="shared" si="40"/>
        <v/>
      </c>
      <c r="S133" s="7" t="str">
        <f t="shared" si="41"/>
        <v/>
      </c>
      <c r="T133" s="7" t="str">
        <f t="shared" si="42"/>
        <v/>
      </c>
      <c r="U133" s="7" t="str">
        <f t="shared" si="43"/>
        <v/>
      </c>
      <c r="V133" s="7" t="str">
        <f t="shared" si="44"/>
        <v/>
      </c>
      <c r="W133" s="7" t="str">
        <f t="shared" si="45"/>
        <v/>
      </c>
      <c r="X133" s="7" t="str">
        <f t="shared" si="46"/>
        <v/>
      </c>
      <c r="Y133" s="7" t="str">
        <f t="shared" si="47"/>
        <v/>
      </c>
      <c r="Z133">
        <f t="shared" si="48"/>
        <v>0</v>
      </c>
      <c r="AA133" t="str">
        <f t="shared" si="49"/>
        <v/>
      </c>
      <c r="AB133" t="str">
        <f t="shared" si="50"/>
        <v/>
      </c>
      <c r="AC133" t="str">
        <f t="shared" si="51"/>
        <v/>
      </c>
      <c r="AD133" t="str">
        <f t="shared" si="52"/>
        <v/>
      </c>
      <c r="AE133">
        <f t="shared" si="53"/>
        <v>0</v>
      </c>
    </row>
    <row r="134" spans="1:31" ht="15" customHeight="1" x14ac:dyDescent="0.35">
      <c r="A134" s="2"/>
      <c r="B134" s="3"/>
      <c r="C134" s="3"/>
      <c r="D134" s="4"/>
      <c r="E134" s="5"/>
      <c r="F134" s="11" t="str">
        <f t="shared" ca="1" si="36"/>
        <v/>
      </c>
      <c r="G134" s="5"/>
      <c r="H134" s="6" t="str">
        <f>IF(AND($A134&lt;&gt;"",$B134&lt;&gt;"",$C134&lt;&gt;"",$D134&lt;&gt;"",$E134&lt;&gt;""),IF(AND($B134="s",OR($C134="SER",$C134="PLH",$C134="CSF")),"Case CDI Plate "&amp;(INT(((COUNTIFS($B$2:$B134,"s",$C$2:$C134,"SER")+COUNTIFS($B$2:$B134,"s",$C$2:$C134,"PLH")+COUNTIFS($B$2:$B134,"s",$C$2:$C134,"CSF"))-1)/96)+1)&amp;": "&amp;CHAR(65+INT(MOD((COUNTIFS($B$2:$B134,"s",$C$2:$C134,"SER")+COUNTIFS($B$2:$B134,"s",$C$2:$C134,"PLH")+COUNTIFS($B$2:$B134,"s",$C$2:$C134,"CSF"))-1,96)/12))&amp;(MOD((COUNTIFS($B$2:$B134,"s",$C$2:$C134,"SER")+COUNTIFS($B$2:$B134,"s",$C$2:$C134,"PLH")+COUNTIFS($B$2:$B134,"s",$C$2:$C134,"CSF"))-1,12)+1),"N/A"),"")</f>
        <v/>
      </c>
      <c r="I134" s="6" t="str">
        <f>IF(AND($A134&lt;&gt;"",$B134&lt;&gt;"",$C134&lt;&gt;"",$D134&lt;&gt;"",$E134&lt;&gt;""),IF(AND($B134="s",OR($C134="SER",$C134="PLH",$C134="CSF")),"Case NIH Plate "&amp;(INT(((COUNTIFS($B$2:$B134,"s",$C$2:$C134,"SER")+COUNTIFS($B$2:$B134,"s",$C$2:$C134,"PLH")+COUNTIFS($B$2:$B134,"s",$C$2:$C134,"CSF"))-1)/96)+1)&amp;": "&amp;CHAR(65+INT(MOD((COUNTIFS($B$2:$B134,"s",$C$2:$C134,"SER")+COUNTIFS($B$2:$B134,"s",$C$2:$C134,"PLH")+COUNTIFS($B$2:$B134,"s",$C$2:$C134,"CSF"))-1,96)/12))&amp;(MOD((COUNTIFS($B$2:$B134,"s",$C$2:$C134,"SER")+COUNTIFS($B$2:$B134,"s",$C$2:$C134,"PLH")+COUNTIFS($B$2:$B134,"s",$C$2:$C134,"CSF"))-1,12)+1),"N/A"),"")</f>
        <v/>
      </c>
      <c r="J134" s="6" t="str">
        <f>IF(AND($A134&lt;&gt;"",$B134&lt;&gt;"",$C134&lt;&gt;"",$D134&lt;&gt;"",$E134&lt;&gt;""),IF(AND($B134="s",OR($C134="SER",$C134="PLH")),"Case MAX Planck Plate "&amp;(INT(((COUNTIFS($B$2:$B134,"s",$C$2:$C134,"SER")+COUNTIFS($B$2:$B134,"s",$C$2:$C134,"PLH"))-1)/96)+1)&amp;": "&amp;CHAR(65+INT(MOD((COUNTIFS($B$2:$B134,"s",$C$2:$C134,"SER")+COUNTIFS($B$2:$B134,"s",$C$2:$C134,"PLH"))-1,96)/12))&amp;(MOD((COUNTIFS($B$2:$B134,"s",$C$2:$C134,"SER")+COUNTIFS($B$2:$B134,"s",$C$2:$C134,"PLH"))-1,12)+1),"N/A"),"")</f>
        <v/>
      </c>
      <c r="K134" s="6" t="str">
        <f>IF(AND($A134&lt;&gt;"",$B134&lt;&gt;"",$C134&lt;&gt;"",$D134&lt;&gt;"",$E134&lt;&gt;""),IF($C134="WB","Case WB Box "&amp;(INT((COUNTIFS($C$2:$C134,"WB")-1)/81)+1)&amp;": "&amp;CHAR(65+INT(MOD(COUNTIFS($C$2:$C134,"WB")-1,81)/9))&amp;(MOD(COUNTIFS($C$2:$C134,"WB")-1,9)+1),"N/A"),"")</f>
        <v/>
      </c>
      <c r="L134" s="2" t="str">
        <f t="shared" si="37"/>
        <v/>
      </c>
      <c r="M134" s="2"/>
      <c r="N134" s="2"/>
      <c r="O134" s="2"/>
      <c r="P134" s="7" t="str">
        <f t="shared" si="38"/>
        <v/>
      </c>
      <c r="Q134" s="7" t="str">
        <f t="shared" si="39"/>
        <v/>
      </c>
      <c r="R134" s="7" t="str">
        <f t="shared" si="40"/>
        <v/>
      </c>
      <c r="S134" s="7" t="str">
        <f t="shared" si="41"/>
        <v/>
      </c>
      <c r="T134" s="7" t="str">
        <f t="shared" si="42"/>
        <v/>
      </c>
      <c r="U134" s="7" t="str">
        <f t="shared" si="43"/>
        <v/>
      </c>
      <c r="V134" s="7" t="str">
        <f t="shared" si="44"/>
        <v/>
      </c>
      <c r="W134" s="7" t="str">
        <f t="shared" si="45"/>
        <v/>
      </c>
      <c r="X134" s="7" t="str">
        <f t="shared" si="46"/>
        <v/>
      </c>
      <c r="Y134" s="7" t="str">
        <f t="shared" si="47"/>
        <v/>
      </c>
      <c r="Z134">
        <f t="shared" si="48"/>
        <v>0</v>
      </c>
      <c r="AA134" t="str">
        <f t="shared" si="49"/>
        <v/>
      </c>
      <c r="AB134" t="str">
        <f t="shared" si="50"/>
        <v/>
      </c>
      <c r="AC134" t="str">
        <f t="shared" si="51"/>
        <v/>
      </c>
      <c r="AD134" t="str">
        <f t="shared" si="52"/>
        <v/>
      </c>
      <c r="AE134">
        <f t="shared" si="53"/>
        <v>0</v>
      </c>
    </row>
    <row r="135" spans="1:31" ht="15" customHeight="1" x14ac:dyDescent="0.35">
      <c r="A135" s="2"/>
      <c r="B135" s="3"/>
      <c r="C135" s="3"/>
      <c r="D135" s="4"/>
      <c r="E135" s="5"/>
      <c r="F135" s="11" t="str">
        <f t="shared" ca="1" si="36"/>
        <v/>
      </c>
      <c r="G135" s="5"/>
      <c r="H135" s="6" t="str">
        <f>IF(AND($A135&lt;&gt;"",$B135&lt;&gt;"",$C135&lt;&gt;"",$D135&lt;&gt;"",$E135&lt;&gt;""),IF(AND($B135="s",OR($C135="SER",$C135="PLH",$C135="CSF")),"Case CDI Plate "&amp;(INT(((COUNTIFS($B$2:$B135,"s",$C$2:$C135,"SER")+COUNTIFS($B$2:$B135,"s",$C$2:$C135,"PLH")+COUNTIFS($B$2:$B135,"s",$C$2:$C135,"CSF"))-1)/96)+1)&amp;": "&amp;CHAR(65+INT(MOD((COUNTIFS($B$2:$B135,"s",$C$2:$C135,"SER")+COUNTIFS($B$2:$B135,"s",$C$2:$C135,"PLH")+COUNTIFS($B$2:$B135,"s",$C$2:$C135,"CSF"))-1,96)/12))&amp;(MOD((COUNTIFS($B$2:$B135,"s",$C$2:$C135,"SER")+COUNTIFS($B$2:$B135,"s",$C$2:$C135,"PLH")+COUNTIFS($B$2:$B135,"s",$C$2:$C135,"CSF"))-1,12)+1),"N/A"),"")</f>
        <v/>
      </c>
      <c r="I135" s="6" t="str">
        <f>IF(AND($A135&lt;&gt;"",$B135&lt;&gt;"",$C135&lt;&gt;"",$D135&lt;&gt;"",$E135&lt;&gt;""),IF(AND($B135="s",OR($C135="SER",$C135="PLH",$C135="CSF")),"Case NIH Plate "&amp;(INT(((COUNTIFS($B$2:$B135,"s",$C$2:$C135,"SER")+COUNTIFS($B$2:$B135,"s",$C$2:$C135,"PLH")+COUNTIFS($B$2:$B135,"s",$C$2:$C135,"CSF"))-1)/96)+1)&amp;": "&amp;CHAR(65+INT(MOD((COUNTIFS($B$2:$B135,"s",$C$2:$C135,"SER")+COUNTIFS($B$2:$B135,"s",$C$2:$C135,"PLH")+COUNTIFS($B$2:$B135,"s",$C$2:$C135,"CSF"))-1,96)/12))&amp;(MOD((COUNTIFS($B$2:$B135,"s",$C$2:$C135,"SER")+COUNTIFS($B$2:$B135,"s",$C$2:$C135,"PLH")+COUNTIFS($B$2:$B135,"s",$C$2:$C135,"CSF"))-1,12)+1),"N/A"),"")</f>
        <v/>
      </c>
      <c r="J135" s="6" t="str">
        <f>IF(AND($A135&lt;&gt;"",$B135&lt;&gt;"",$C135&lt;&gt;"",$D135&lt;&gt;"",$E135&lt;&gt;""),IF(AND($B135="s",OR($C135="SER",$C135="PLH")),"Case MAX Planck Plate "&amp;(INT(((COUNTIFS($B$2:$B135,"s",$C$2:$C135,"SER")+COUNTIFS($B$2:$B135,"s",$C$2:$C135,"PLH"))-1)/96)+1)&amp;": "&amp;CHAR(65+INT(MOD((COUNTIFS($B$2:$B135,"s",$C$2:$C135,"SER")+COUNTIFS($B$2:$B135,"s",$C$2:$C135,"PLH"))-1,96)/12))&amp;(MOD((COUNTIFS($B$2:$B135,"s",$C$2:$C135,"SER")+COUNTIFS($B$2:$B135,"s",$C$2:$C135,"PLH"))-1,12)+1),"N/A"),"")</f>
        <v/>
      </c>
      <c r="K135" s="6" t="str">
        <f>IF(AND($A135&lt;&gt;"",$B135&lt;&gt;"",$C135&lt;&gt;"",$D135&lt;&gt;"",$E135&lt;&gt;""),IF($C135="WB","Case WB Box "&amp;(INT((COUNTIFS($C$2:$C135,"WB")-1)/81)+1)&amp;": "&amp;CHAR(65+INT(MOD(COUNTIFS($C$2:$C135,"WB")-1,81)/9))&amp;(MOD(COUNTIFS($C$2:$C135,"WB")-1,9)+1),"N/A"),"")</f>
        <v/>
      </c>
      <c r="L135" s="2" t="str">
        <f t="shared" si="37"/>
        <v/>
      </c>
      <c r="M135" s="2"/>
      <c r="N135" s="2"/>
      <c r="O135" s="2"/>
      <c r="P135" s="7" t="str">
        <f t="shared" si="38"/>
        <v/>
      </c>
      <c r="Q135" s="7" t="str">
        <f t="shared" si="39"/>
        <v/>
      </c>
      <c r="R135" s="7" t="str">
        <f t="shared" si="40"/>
        <v/>
      </c>
      <c r="S135" s="7" t="str">
        <f t="shared" si="41"/>
        <v/>
      </c>
      <c r="T135" s="7" t="str">
        <f t="shared" si="42"/>
        <v/>
      </c>
      <c r="U135" s="7" t="str">
        <f t="shared" si="43"/>
        <v/>
      </c>
      <c r="V135" s="7" t="str">
        <f t="shared" si="44"/>
        <v/>
      </c>
      <c r="W135" s="7" t="str">
        <f t="shared" si="45"/>
        <v/>
      </c>
      <c r="X135" s="7" t="str">
        <f t="shared" si="46"/>
        <v/>
      </c>
      <c r="Y135" s="7" t="str">
        <f t="shared" si="47"/>
        <v/>
      </c>
      <c r="Z135">
        <f t="shared" si="48"/>
        <v>0</v>
      </c>
      <c r="AA135" t="str">
        <f t="shared" si="49"/>
        <v/>
      </c>
      <c r="AB135" t="str">
        <f t="shared" si="50"/>
        <v/>
      </c>
      <c r="AC135" t="str">
        <f t="shared" si="51"/>
        <v/>
      </c>
      <c r="AD135" t="str">
        <f t="shared" si="52"/>
        <v/>
      </c>
      <c r="AE135">
        <f t="shared" si="53"/>
        <v>0</v>
      </c>
    </row>
    <row r="136" spans="1:31" ht="15" customHeight="1" x14ac:dyDescent="0.35">
      <c r="A136" s="2"/>
      <c r="B136" s="3"/>
      <c r="C136" s="3"/>
      <c r="D136" s="4"/>
      <c r="E136" s="5"/>
      <c r="F136" s="11" t="str">
        <f t="shared" ca="1" si="36"/>
        <v/>
      </c>
      <c r="G136" s="5"/>
      <c r="H136" s="6" t="str">
        <f>IF(AND($A136&lt;&gt;"",$B136&lt;&gt;"",$C136&lt;&gt;"",$D136&lt;&gt;"",$E136&lt;&gt;""),IF(AND($B136="s",OR($C136="SER",$C136="PLH",$C136="CSF")),"Case CDI Plate "&amp;(INT(((COUNTIFS($B$2:$B136,"s",$C$2:$C136,"SER")+COUNTIFS($B$2:$B136,"s",$C$2:$C136,"PLH")+COUNTIFS($B$2:$B136,"s",$C$2:$C136,"CSF"))-1)/96)+1)&amp;": "&amp;CHAR(65+INT(MOD((COUNTIFS($B$2:$B136,"s",$C$2:$C136,"SER")+COUNTIFS($B$2:$B136,"s",$C$2:$C136,"PLH")+COUNTIFS($B$2:$B136,"s",$C$2:$C136,"CSF"))-1,96)/12))&amp;(MOD((COUNTIFS($B$2:$B136,"s",$C$2:$C136,"SER")+COUNTIFS($B$2:$B136,"s",$C$2:$C136,"PLH")+COUNTIFS($B$2:$B136,"s",$C$2:$C136,"CSF"))-1,12)+1),"N/A"),"")</f>
        <v/>
      </c>
      <c r="I136" s="6" t="str">
        <f>IF(AND($A136&lt;&gt;"",$B136&lt;&gt;"",$C136&lt;&gt;"",$D136&lt;&gt;"",$E136&lt;&gt;""),IF(AND($B136="s",OR($C136="SER",$C136="PLH",$C136="CSF")),"Case NIH Plate "&amp;(INT(((COUNTIFS($B$2:$B136,"s",$C$2:$C136,"SER")+COUNTIFS($B$2:$B136,"s",$C$2:$C136,"PLH")+COUNTIFS($B$2:$B136,"s",$C$2:$C136,"CSF"))-1)/96)+1)&amp;": "&amp;CHAR(65+INT(MOD((COUNTIFS($B$2:$B136,"s",$C$2:$C136,"SER")+COUNTIFS($B$2:$B136,"s",$C$2:$C136,"PLH")+COUNTIFS($B$2:$B136,"s",$C$2:$C136,"CSF"))-1,96)/12))&amp;(MOD((COUNTIFS($B$2:$B136,"s",$C$2:$C136,"SER")+COUNTIFS($B$2:$B136,"s",$C$2:$C136,"PLH")+COUNTIFS($B$2:$B136,"s",$C$2:$C136,"CSF"))-1,12)+1),"N/A"),"")</f>
        <v/>
      </c>
      <c r="J136" s="6" t="str">
        <f>IF(AND($A136&lt;&gt;"",$B136&lt;&gt;"",$C136&lt;&gt;"",$D136&lt;&gt;"",$E136&lt;&gt;""),IF(AND($B136="s",OR($C136="SER",$C136="PLH")),"Case MAX Planck Plate "&amp;(INT(((COUNTIFS($B$2:$B136,"s",$C$2:$C136,"SER")+COUNTIFS($B$2:$B136,"s",$C$2:$C136,"PLH"))-1)/96)+1)&amp;": "&amp;CHAR(65+INT(MOD((COUNTIFS($B$2:$B136,"s",$C$2:$C136,"SER")+COUNTIFS($B$2:$B136,"s",$C$2:$C136,"PLH"))-1,96)/12))&amp;(MOD((COUNTIFS($B$2:$B136,"s",$C$2:$C136,"SER")+COUNTIFS($B$2:$B136,"s",$C$2:$C136,"PLH"))-1,12)+1),"N/A"),"")</f>
        <v/>
      </c>
      <c r="K136" s="6" t="str">
        <f>IF(AND($A136&lt;&gt;"",$B136&lt;&gt;"",$C136&lt;&gt;"",$D136&lt;&gt;"",$E136&lt;&gt;""),IF($C136="WB","Case WB Box "&amp;(INT((COUNTIFS($C$2:$C136,"WB")-1)/81)+1)&amp;": "&amp;CHAR(65+INT(MOD(COUNTIFS($C$2:$C136,"WB")-1,81)/9))&amp;(MOD(COUNTIFS($C$2:$C136,"WB")-1,9)+1),"N/A"),"")</f>
        <v/>
      </c>
      <c r="L136" s="2" t="str">
        <f t="shared" si="37"/>
        <v/>
      </c>
      <c r="M136" s="2"/>
      <c r="N136" s="2"/>
      <c r="O136" s="2"/>
      <c r="P136" s="7" t="str">
        <f t="shared" si="38"/>
        <v/>
      </c>
      <c r="Q136" s="7" t="str">
        <f t="shared" si="39"/>
        <v/>
      </c>
      <c r="R136" s="7" t="str">
        <f t="shared" si="40"/>
        <v/>
      </c>
      <c r="S136" s="7" t="str">
        <f t="shared" si="41"/>
        <v/>
      </c>
      <c r="T136" s="7" t="str">
        <f t="shared" si="42"/>
        <v/>
      </c>
      <c r="U136" s="7" t="str">
        <f t="shared" si="43"/>
        <v/>
      </c>
      <c r="V136" s="7" t="str">
        <f t="shared" si="44"/>
        <v/>
      </c>
      <c r="W136" s="7" t="str">
        <f t="shared" si="45"/>
        <v/>
      </c>
      <c r="X136" s="7" t="str">
        <f t="shared" si="46"/>
        <v/>
      </c>
      <c r="Y136" s="7" t="str">
        <f t="shared" si="47"/>
        <v/>
      </c>
      <c r="Z136">
        <f t="shared" si="48"/>
        <v>0</v>
      </c>
      <c r="AA136" t="str">
        <f t="shared" si="49"/>
        <v/>
      </c>
      <c r="AB136" t="str">
        <f t="shared" si="50"/>
        <v/>
      </c>
      <c r="AC136" t="str">
        <f t="shared" si="51"/>
        <v/>
      </c>
      <c r="AD136" t="str">
        <f t="shared" si="52"/>
        <v/>
      </c>
      <c r="AE136">
        <f t="shared" si="53"/>
        <v>0</v>
      </c>
    </row>
    <row r="137" spans="1:31" ht="15" customHeight="1" x14ac:dyDescent="0.35">
      <c r="A137" s="2"/>
      <c r="B137" s="3"/>
      <c r="C137" s="3"/>
      <c r="D137" s="4"/>
      <c r="E137" s="5"/>
      <c r="F137" s="11" t="str">
        <f t="shared" ca="1" si="36"/>
        <v/>
      </c>
      <c r="G137" s="5"/>
      <c r="H137" s="6" t="str">
        <f>IF(AND($A137&lt;&gt;"",$B137&lt;&gt;"",$C137&lt;&gt;"",$D137&lt;&gt;"",$E137&lt;&gt;""),IF(AND($B137="s",OR($C137="SER",$C137="PLH",$C137="CSF")),"Case CDI Plate "&amp;(INT(((COUNTIFS($B$2:$B137,"s",$C$2:$C137,"SER")+COUNTIFS($B$2:$B137,"s",$C$2:$C137,"PLH")+COUNTIFS($B$2:$B137,"s",$C$2:$C137,"CSF"))-1)/96)+1)&amp;": "&amp;CHAR(65+INT(MOD((COUNTIFS($B$2:$B137,"s",$C$2:$C137,"SER")+COUNTIFS($B$2:$B137,"s",$C$2:$C137,"PLH")+COUNTIFS($B$2:$B137,"s",$C$2:$C137,"CSF"))-1,96)/12))&amp;(MOD((COUNTIFS($B$2:$B137,"s",$C$2:$C137,"SER")+COUNTIFS($B$2:$B137,"s",$C$2:$C137,"PLH")+COUNTIFS($B$2:$B137,"s",$C$2:$C137,"CSF"))-1,12)+1),"N/A"),"")</f>
        <v/>
      </c>
      <c r="I137" s="6" t="str">
        <f>IF(AND($A137&lt;&gt;"",$B137&lt;&gt;"",$C137&lt;&gt;"",$D137&lt;&gt;"",$E137&lt;&gt;""),IF(AND($B137="s",OR($C137="SER",$C137="PLH",$C137="CSF")),"Case NIH Plate "&amp;(INT(((COUNTIFS($B$2:$B137,"s",$C$2:$C137,"SER")+COUNTIFS($B$2:$B137,"s",$C$2:$C137,"PLH")+COUNTIFS($B$2:$B137,"s",$C$2:$C137,"CSF"))-1)/96)+1)&amp;": "&amp;CHAR(65+INT(MOD((COUNTIFS($B$2:$B137,"s",$C$2:$C137,"SER")+COUNTIFS($B$2:$B137,"s",$C$2:$C137,"PLH")+COUNTIFS($B$2:$B137,"s",$C$2:$C137,"CSF"))-1,96)/12))&amp;(MOD((COUNTIFS($B$2:$B137,"s",$C$2:$C137,"SER")+COUNTIFS($B$2:$B137,"s",$C$2:$C137,"PLH")+COUNTIFS($B$2:$B137,"s",$C$2:$C137,"CSF"))-1,12)+1),"N/A"),"")</f>
        <v/>
      </c>
      <c r="J137" s="6" t="str">
        <f>IF(AND($A137&lt;&gt;"",$B137&lt;&gt;"",$C137&lt;&gt;"",$D137&lt;&gt;"",$E137&lt;&gt;""),IF(AND($B137="s",OR($C137="SER",$C137="PLH")),"Case MAX Planck Plate "&amp;(INT(((COUNTIFS($B$2:$B137,"s",$C$2:$C137,"SER")+COUNTIFS($B$2:$B137,"s",$C$2:$C137,"PLH"))-1)/96)+1)&amp;": "&amp;CHAR(65+INT(MOD((COUNTIFS($B$2:$B137,"s",$C$2:$C137,"SER")+COUNTIFS($B$2:$B137,"s",$C$2:$C137,"PLH"))-1,96)/12))&amp;(MOD((COUNTIFS($B$2:$B137,"s",$C$2:$C137,"SER")+COUNTIFS($B$2:$B137,"s",$C$2:$C137,"PLH"))-1,12)+1),"N/A"),"")</f>
        <v/>
      </c>
      <c r="K137" s="6" t="str">
        <f>IF(AND($A137&lt;&gt;"",$B137&lt;&gt;"",$C137&lt;&gt;"",$D137&lt;&gt;"",$E137&lt;&gt;""),IF($C137="WB","Case WB Box "&amp;(INT((COUNTIFS($C$2:$C137,"WB")-1)/81)+1)&amp;": "&amp;CHAR(65+INT(MOD(COUNTIFS($C$2:$C137,"WB")-1,81)/9))&amp;(MOD(COUNTIFS($C$2:$C137,"WB")-1,9)+1),"N/A"),"")</f>
        <v/>
      </c>
      <c r="L137" s="2" t="str">
        <f t="shared" si="37"/>
        <v/>
      </c>
      <c r="M137" s="2"/>
      <c r="N137" s="2"/>
      <c r="O137" s="2"/>
      <c r="P137" s="7" t="str">
        <f t="shared" si="38"/>
        <v/>
      </c>
      <c r="Q137" s="7" t="str">
        <f t="shared" si="39"/>
        <v/>
      </c>
      <c r="R137" s="7" t="str">
        <f t="shared" si="40"/>
        <v/>
      </c>
      <c r="S137" s="7" t="str">
        <f t="shared" si="41"/>
        <v/>
      </c>
      <c r="T137" s="7" t="str">
        <f t="shared" si="42"/>
        <v/>
      </c>
      <c r="U137" s="7" t="str">
        <f t="shared" si="43"/>
        <v/>
      </c>
      <c r="V137" s="7" t="str">
        <f t="shared" si="44"/>
        <v/>
      </c>
      <c r="W137" s="7" t="str">
        <f t="shared" si="45"/>
        <v/>
      </c>
      <c r="X137" s="7" t="str">
        <f t="shared" si="46"/>
        <v/>
      </c>
      <c r="Y137" s="7" t="str">
        <f t="shared" si="47"/>
        <v/>
      </c>
      <c r="Z137">
        <f t="shared" si="48"/>
        <v>0</v>
      </c>
      <c r="AA137" t="str">
        <f t="shared" si="49"/>
        <v/>
      </c>
      <c r="AB137" t="str">
        <f t="shared" si="50"/>
        <v/>
      </c>
      <c r="AC137" t="str">
        <f t="shared" si="51"/>
        <v/>
      </c>
      <c r="AD137" t="str">
        <f t="shared" si="52"/>
        <v/>
      </c>
      <c r="AE137">
        <f t="shared" si="53"/>
        <v>0</v>
      </c>
    </row>
    <row r="138" spans="1:31" ht="15" customHeight="1" x14ac:dyDescent="0.35">
      <c r="A138" s="2"/>
      <c r="B138" s="3"/>
      <c r="C138" s="3"/>
      <c r="D138" s="4"/>
      <c r="E138" s="5"/>
      <c r="F138" s="11" t="str">
        <f t="shared" ca="1" si="36"/>
        <v/>
      </c>
      <c r="G138" s="5"/>
      <c r="H138" s="6" t="str">
        <f>IF(AND($A138&lt;&gt;"",$B138&lt;&gt;"",$C138&lt;&gt;"",$D138&lt;&gt;"",$E138&lt;&gt;""),IF(AND($B138="s",OR($C138="SER",$C138="PLH",$C138="CSF")),"Case CDI Plate "&amp;(INT(((COUNTIFS($B$2:$B138,"s",$C$2:$C138,"SER")+COUNTIFS($B$2:$B138,"s",$C$2:$C138,"PLH")+COUNTIFS($B$2:$B138,"s",$C$2:$C138,"CSF"))-1)/96)+1)&amp;": "&amp;CHAR(65+INT(MOD((COUNTIFS($B$2:$B138,"s",$C$2:$C138,"SER")+COUNTIFS($B$2:$B138,"s",$C$2:$C138,"PLH")+COUNTIFS($B$2:$B138,"s",$C$2:$C138,"CSF"))-1,96)/12))&amp;(MOD((COUNTIFS($B$2:$B138,"s",$C$2:$C138,"SER")+COUNTIFS($B$2:$B138,"s",$C$2:$C138,"PLH")+COUNTIFS($B$2:$B138,"s",$C$2:$C138,"CSF"))-1,12)+1),"N/A"),"")</f>
        <v/>
      </c>
      <c r="I138" s="6" t="str">
        <f>IF(AND($A138&lt;&gt;"",$B138&lt;&gt;"",$C138&lt;&gt;"",$D138&lt;&gt;"",$E138&lt;&gt;""),IF(AND($B138="s",OR($C138="SER",$C138="PLH",$C138="CSF")),"Case NIH Plate "&amp;(INT(((COUNTIFS($B$2:$B138,"s",$C$2:$C138,"SER")+COUNTIFS($B$2:$B138,"s",$C$2:$C138,"PLH")+COUNTIFS($B$2:$B138,"s",$C$2:$C138,"CSF"))-1)/96)+1)&amp;": "&amp;CHAR(65+INT(MOD((COUNTIFS($B$2:$B138,"s",$C$2:$C138,"SER")+COUNTIFS($B$2:$B138,"s",$C$2:$C138,"PLH")+COUNTIFS($B$2:$B138,"s",$C$2:$C138,"CSF"))-1,96)/12))&amp;(MOD((COUNTIFS($B$2:$B138,"s",$C$2:$C138,"SER")+COUNTIFS($B$2:$B138,"s",$C$2:$C138,"PLH")+COUNTIFS($B$2:$B138,"s",$C$2:$C138,"CSF"))-1,12)+1),"N/A"),"")</f>
        <v/>
      </c>
      <c r="J138" s="6" t="str">
        <f>IF(AND($A138&lt;&gt;"",$B138&lt;&gt;"",$C138&lt;&gt;"",$D138&lt;&gt;"",$E138&lt;&gt;""),IF(AND($B138="s",OR($C138="SER",$C138="PLH")),"Case MAX Planck Plate "&amp;(INT(((COUNTIFS($B$2:$B138,"s",$C$2:$C138,"SER")+COUNTIFS($B$2:$B138,"s",$C$2:$C138,"PLH"))-1)/96)+1)&amp;": "&amp;CHAR(65+INT(MOD((COUNTIFS($B$2:$B138,"s",$C$2:$C138,"SER")+COUNTIFS($B$2:$B138,"s",$C$2:$C138,"PLH"))-1,96)/12))&amp;(MOD((COUNTIFS($B$2:$B138,"s",$C$2:$C138,"SER")+COUNTIFS($B$2:$B138,"s",$C$2:$C138,"PLH"))-1,12)+1),"N/A"),"")</f>
        <v/>
      </c>
      <c r="K138" s="6" t="str">
        <f>IF(AND($A138&lt;&gt;"",$B138&lt;&gt;"",$C138&lt;&gt;"",$D138&lt;&gt;"",$E138&lt;&gt;""),IF($C138="WB","Case WB Box "&amp;(INT((COUNTIFS($C$2:$C138,"WB")-1)/81)+1)&amp;": "&amp;CHAR(65+INT(MOD(COUNTIFS($C$2:$C138,"WB")-1,81)/9))&amp;(MOD(COUNTIFS($C$2:$C138,"WB")-1,9)+1),"N/A"),"")</f>
        <v/>
      </c>
      <c r="L138" s="2" t="str">
        <f t="shared" si="37"/>
        <v/>
      </c>
      <c r="M138" s="2"/>
      <c r="N138" s="2"/>
      <c r="O138" s="2"/>
      <c r="P138" s="7" t="str">
        <f t="shared" si="38"/>
        <v/>
      </c>
      <c r="Q138" s="7" t="str">
        <f t="shared" si="39"/>
        <v/>
      </c>
      <c r="R138" s="7" t="str">
        <f t="shared" si="40"/>
        <v/>
      </c>
      <c r="S138" s="7" t="str">
        <f t="shared" si="41"/>
        <v/>
      </c>
      <c r="T138" s="7" t="str">
        <f t="shared" si="42"/>
        <v/>
      </c>
      <c r="U138" s="7" t="str">
        <f t="shared" si="43"/>
        <v/>
      </c>
      <c r="V138" s="7" t="str">
        <f t="shared" si="44"/>
        <v/>
      </c>
      <c r="W138" s="7" t="str">
        <f t="shared" si="45"/>
        <v/>
      </c>
      <c r="X138" s="7" t="str">
        <f t="shared" si="46"/>
        <v/>
      </c>
      <c r="Y138" s="7" t="str">
        <f t="shared" si="47"/>
        <v/>
      </c>
      <c r="Z138">
        <f t="shared" si="48"/>
        <v>0</v>
      </c>
      <c r="AA138" t="str">
        <f t="shared" si="49"/>
        <v/>
      </c>
      <c r="AB138" t="str">
        <f t="shared" si="50"/>
        <v/>
      </c>
      <c r="AC138" t="str">
        <f t="shared" si="51"/>
        <v/>
      </c>
      <c r="AD138" t="str">
        <f t="shared" si="52"/>
        <v/>
      </c>
      <c r="AE138">
        <f t="shared" si="53"/>
        <v>0</v>
      </c>
    </row>
    <row r="139" spans="1:31" ht="15" customHeight="1" x14ac:dyDescent="0.35">
      <c r="A139" s="2"/>
      <c r="B139" s="3"/>
      <c r="C139" s="3"/>
      <c r="D139" s="4"/>
      <c r="E139" s="5"/>
      <c r="F139" s="11" t="str">
        <f t="shared" ca="1" si="36"/>
        <v/>
      </c>
      <c r="G139" s="5"/>
      <c r="H139" s="6" t="str">
        <f>IF(AND($A139&lt;&gt;"",$B139&lt;&gt;"",$C139&lt;&gt;"",$D139&lt;&gt;"",$E139&lt;&gt;""),IF(AND($B139="s",OR($C139="SER",$C139="PLH",$C139="CSF")),"Case CDI Plate "&amp;(INT(((COUNTIFS($B$2:$B139,"s",$C$2:$C139,"SER")+COUNTIFS($B$2:$B139,"s",$C$2:$C139,"PLH")+COUNTIFS($B$2:$B139,"s",$C$2:$C139,"CSF"))-1)/96)+1)&amp;": "&amp;CHAR(65+INT(MOD((COUNTIFS($B$2:$B139,"s",$C$2:$C139,"SER")+COUNTIFS($B$2:$B139,"s",$C$2:$C139,"PLH")+COUNTIFS($B$2:$B139,"s",$C$2:$C139,"CSF"))-1,96)/12))&amp;(MOD((COUNTIFS($B$2:$B139,"s",$C$2:$C139,"SER")+COUNTIFS($B$2:$B139,"s",$C$2:$C139,"PLH")+COUNTIFS($B$2:$B139,"s",$C$2:$C139,"CSF"))-1,12)+1),"N/A"),"")</f>
        <v/>
      </c>
      <c r="I139" s="6" t="str">
        <f>IF(AND($A139&lt;&gt;"",$B139&lt;&gt;"",$C139&lt;&gt;"",$D139&lt;&gt;"",$E139&lt;&gt;""),IF(AND($B139="s",OR($C139="SER",$C139="PLH",$C139="CSF")),"Case NIH Plate "&amp;(INT(((COUNTIFS($B$2:$B139,"s",$C$2:$C139,"SER")+COUNTIFS($B$2:$B139,"s",$C$2:$C139,"PLH")+COUNTIFS($B$2:$B139,"s",$C$2:$C139,"CSF"))-1)/96)+1)&amp;": "&amp;CHAR(65+INT(MOD((COUNTIFS($B$2:$B139,"s",$C$2:$C139,"SER")+COUNTIFS($B$2:$B139,"s",$C$2:$C139,"PLH")+COUNTIFS($B$2:$B139,"s",$C$2:$C139,"CSF"))-1,96)/12))&amp;(MOD((COUNTIFS($B$2:$B139,"s",$C$2:$C139,"SER")+COUNTIFS($B$2:$B139,"s",$C$2:$C139,"PLH")+COUNTIFS($B$2:$B139,"s",$C$2:$C139,"CSF"))-1,12)+1),"N/A"),"")</f>
        <v/>
      </c>
      <c r="J139" s="6" t="str">
        <f>IF(AND($A139&lt;&gt;"",$B139&lt;&gt;"",$C139&lt;&gt;"",$D139&lt;&gt;"",$E139&lt;&gt;""),IF(AND($B139="s",OR($C139="SER",$C139="PLH")),"Case MAX Planck Plate "&amp;(INT(((COUNTIFS($B$2:$B139,"s",$C$2:$C139,"SER")+COUNTIFS($B$2:$B139,"s",$C$2:$C139,"PLH"))-1)/96)+1)&amp;": "&amp;CHAR(65+INT(MOD((COUNTIFS($B$2:$B139,"s",$C$2:$C139,"SER")+COUNTIFS($B$2:$B139,"s",$C$2:$C139,"PLH"))-1,96)/12))&amp;(MOD((COUNTIFS($B$2:$B139,"s",$C$2:$C139,"SER")+COUNTIFS($B$2:$B139,"s",$C$2:$C139,"PLH"))-1,12)+1),"N/A"),"")</f>
        <v/>
      </c>
      <c r="K139" s="6" t="str">
        <f>IF(AND($A139&lt;&gt;"",$B139&lt;&gt;"",$C139&lt;&gt;"",$D139&lt;&gt;"",$E139&lt;&gt;""),IF($C139="WB","Case WB Box "&amp;(INT((COUNTIFS($C$2:$C139,"WB")-1)/81)+1)&amp;": "&amp;CHAR(65+INT(MOD(COUNTIFS($C$2:$C139,"WB")-1,81)/9))&amp;(MOD(COUNTIFS($C$2:$C139,"WB")-1,9)+1),"N/A"),"")</f>
        <v/>
      </c>
      <c r="L139" s="2" t="str">
        <f t="shared" si="37"/>
        <v/>
      </c>
      <c r="M139" s="2"/>
      <c r="N139" s="2"/>
      <c r="O139" s="2"/>
      <c r="P139" s="7" t="str">
        <f t="shared" si="38"/>
        <v/>
      </c>
      <c r="Q139" s="7" t="str">
        <f t="shared" si="39"/>
        <v/>
      </c>
      <c r="R139" s="7" t="str">
        <f t="shared" si="40"/>
        <v/>
      </c>
      <c r="S139" s="7" t="str">
        <f t="shared" si="41"/>
        <v/>
      </c>
      <c r="T139" s="7" t="str">
        <f t="shared" si="42"/>
        <v/>
      </c>
      <c r="U139" s="7" t="str">
        <f t="shared" si="43"/>
        <v/>
      </c>
      <c r="V139" s="7" t="str">
        <f t="shared" si="44"/>
        <v/>
      </c>
      <c r="W139" s="7" t="str">
        <f t="shared" si="45"/>
        <v/>
      </c>
      <c r="X139" s="7" t="str">
        <f t="shared" si="46"/>
        <v/>
      </c>
      <c r="Y139" s="7" t="str">
        <f t="shared" si="47"/>
        <v/>
      </c>
      <c r="Z139">
        <f t="shared" si="48"/>
        <v>0</v>
      </c>
      <c r="AA139" t="str">
        <f t="shared" si="49"/>
        <v/>
      </c>
      <c r="AB139" t="str">
        <f t="shared" si="50"/>
        <v/>
      </c>
      <c r="AC139" t="str">
        <f t="shared" si="51"/>
        <v/>
      </c>
      <c r="AD139" t="str">
        <f t="shared" si="52"/>
        <v/>
      </c>
      <c r="AE139">
        <f t="shared" si="53"/>
        <v>0</v>
      </c>
    </row>
    <row r="140" spans="1:31" ht="15" customHeight="1" x14ac:dyDescent="0.35">
      <c r="A140" s="2"/>
      <c r="B140" s="3"/>
      <c r="C140" s="3"/>
      <c r="D140" s="4"/>
      <c r="E140" s="5"/>
      <c r="F140" s="11" t="str">
        <f t="shared" ca="1" si="36"/>
        <v/>
      </c>
      <c r="G140" s="5"/>
      <c r="H140" s="6" t="str">
        <f>IF(AND($A140&lt;&gt;"",$B140&lt;&gt;"",$C140&lt;&gt;"",$D140&lt;&gt;"",$E140&lt;&gt;""),IF(AND($B140="s",OR($C140="SER",$C140="PLH",$C140="CSF")),"Case CDI Plate "&amp;(INT(((COUNTIFS($B$2:$B140,"s",$C$2:$C140,"SER")+COUNTIFS($B$2:$B140,"s",$C$2:$C140,"PLH")+COUNTIFS($B$2:$B140,"s",$C$2:$C140,"CSF"))-1)/96)+1)&amp;": "&amp;CHAR(65+INT(MOD((COUNTIFS($B$2:$B140,"s",$C$2:$C140,"SER")+COUNTIFS($B$2:$B140,"s",$C$2:$C140,"PLH")+COUNTIFS($B$2:$B140,"s",$C$2:$C140,"CSF"))-1,96)/12))&amp;(MOD((COUNTIFS($B$2:$B140,"s",$C$2:$C140,"SER")+COUNTIFS($B$2:$B140,"s",$C$2:$C140,"PLH")+COUNTIFS($B$2:$B140,"s",$C$2:$C140,"CSF"))-1,12)+1),"N/A"),"")</f>
        <v/>
      </c>
      <c r="I140" s="6" t="str">
        <f>IF(AND($A140&lt;&gt;"",$B140&lt;&gt;"",$C140&lt;&gt;"",$D140&lt;&gt;"",$E140&lt;&gt;""),IF(AND($B140="s",OR($C140="SER",$C140="PLH",$C140="CSF")),"Case NIH Plate "&amp;(INT(((COUNTIFS($B$2:$B140,"s",$C$2:$C140,"SER")+COUNTIFS($B$2:$B140,"s",$C$2:$C140,"PLH")+COUNTIFS($B$2:$B140,"s",$C$2:$C140,"CSF"))-1)/96)+1)&amp;": "&amp;CHAR(65+INT(MOD((COUNTIFS($B$2:$B140,"s",$C$2:$C140,"SER")+COUNTIFS($B$2:$B140,"s",$C$2:$C140,"PLH")+COUNTIFS($B$2:$B140,"s",$C$2:$C140,"CSF"))-1,96)/12))&amp;(MOD((COUNTIFS($B$2:$B140,"s",$C$2:$C140,"SER")+COUNTIFS($B$2:$B140,"s",$C$2:$C140,"PLH")+COUNTIFS($B$2:$B140,"s",$C$2:$C140,"CSF"))-1,12)+1),"N/A"),"")</f>
        <v/>
      </c>
      <c r="J140" s="6" t="str">
        <f>IF(AND($A140&lt;&gt;"",$B140&lt;&gt;"",$C140&lt;&gt;"",$D140&lt;&gt;"",$E140&lt;&gt;""),IF(AND($B140="s",OR($C140="SER",$C140="PLH")),"Case MAX Planck Plate "&amp;(INT(((COUNTIFS($B$2:$B140,"s",$C$2:$C140,"SER")+COUNTIFS($B$2:$B140,"s",$C$2:$C140,"PLH"))-1)/96)+1)&amp;": "&amp;CHAR(65+INT(MOD((COUNTIFS($B$2:$B140,"s",$C$2:$C140,"SER")+COUNTIFS($B$2:$B140,"s",$C$2:$C140,"PLH"))-1,96)/12))&amp;(MOD((COUNTIFS($B$2:$B140,"s",$C$2:$C140,"SER")+COUNTIFS($B$2:$B140,"s",$C$2:$C140,"PLH"))-1,12)+1),"N/A"),"")</f>
        <v/>
      </c>
      <c r="K140" s="6" t="str">
        <f>IF(AND($A140&lt;&gt;"",$B140&lt;&gt;"",$C140&lt;&gt;"",$D140&lt;&gt;"",$E140&lt;&gt;""),IF($C140="WB","Case WB Box "&amp;(INT((COUNTIFS($C$2:$C140,"WB")-1)/81)+1)&amp;": "&amp;CHAR(65+INT(MOD(COUNTIFS($C$2:$C140,"WB")-1,81)/9))&amp;(MOD(COUNTIFS($C$2:$C140,"WB")-1,9)+1),"N/A"),"")</f>
        <v/>
      </c>
      <c r="L140" s="2" t="str">
        <f t="shared" si="37"/>
        <v/>
      </c>
      <c r="M140" s="2"/>
      <c r="N140" s="2"/>
      <c r="O140" s="2"/>
      <c r="P140" s="7" t="str">
        <f t="shared" si="38"/>
        <v/>
      </c>
      <c r="Q140" s="7" t="str">
        <f t="shared" si="39"/>
        <v/>
      </c>
      <c r="R140" s="7" t="str">
        <f t="shared" si="40"/>
        <v/>
      </c>
      <c r="S140" s="7" t="str">
        <f t="shared" si="41"/>
        <v/>
      </c>
      <c r="T140" s="7" t="str">
        <f t="shared" si="42"/>
        <v/>
      </c>
      <c r="U140" s="7" t="str">
        <f t="shared" si="43"/>
        <v/>
      </c>
      <c r="V140" s="7" t="str">
        <f t="shared" si="44"/>
        <v/>
      </c>
      <c r="W140" s="7" t="str">
        <f t="shared" si="45"/>
        <v/>
      </c>
      <c r="X140" s="7" t="str">
        <f t="shared" si="46"/>
        <v/>
      </c>
      <c r="Y140" s="7" t="str">
        <f t="shared" si="47"/>
        <v/>
      </c>
      <c r="Z140">
        <f t="shared" si="48"/>
        <v>0</v>
      </c>
      <c r="AA140" t="str">
        <f t="shared" si="49"/>
        <v/>
      </c>
      <c r="AB140" t="str">
        <f t="shared" si="50"/>
        <v/>
      </c>
      <c r="AC140" t="str">
        <f t="shared" si="51"/>
        <v/>
      </c>
      <c r="AD140" t="str">
        <f t="shared" si="52"/>
        <v/>
      </c>
      <c r="AE140">
        <f t="shared" si="53"/>
        <v>0</v>
      </c>
    </row>
    <row r="141" spans="1:31" ht="15" customHeight="1" x14ac:dyDescent="0.35">
      <c r="A141" s="2"/>
      <c r="B141" s="3"/>
      <c r="C141" s="3"/>
      <c r="D141" s="4"/>
      <c r="E141" s="5"/>
      <c r="F141" s="11" t="str">
        <f t="shared" ca="1" si="36"/>
        <v/>
      </c>
      <c r="G141" s="5"/>
      <c r="H141" s="6" t="str">
        <f>IF(AND($A141&lt;&gt;"",$B141&lt;&gt;"",$C141&lt;&gt;"",$D141&lt;&gt;"",$E141&lt;&gt;""),IF(AND($B141="s",OR($C141="SER",$C141="PLH",$C141="CSF")),"Case CDI Plate "&amp;(INT(((COUNTIFS($B$2:$B141,"s",$C$2:$C141,"SER")+COUNTIFS($B$2:$B141,"s",$C$2:$C141,"PLH")+COUNTIFS($B$2:$B141,"s",$C$2:$C141,"CSF"))-1)/96)+1)&amp;": "&amp;CHAR(65+INT(MOD((COUNTIFS($B$2:$B141,"s",$C$2:$C141,"SER")+COUNTIFS($B$2:$B141,"s",$C$2:$C141,"PLH")+COUNTIFS($B$2:$B141,"s",$C$2:$C141,"CSF"))-1,96)/12))&amp;(MOD((COUNTIFS($B$2:$B141,"s",$C$2:$C141,"SER")+COUNTIFS($B$2:$B141,"s",$C$2:$C141,"PLH")+COUNTIFS($B$2:$B141,"s",$C$2:$C141,"CSF"))-1,12)+1),"N/A"),"")</f>
        <v/>
      </c>
      <c r="I141" s="6" t="str">
        <f>IF(AND($A141&lt;&gt;"",$B141&lt;&gt;"",$C141&lt;&gt;"",$D141&lt;&gt;"",$E141&lt;&gt;""),IF(AND($B141="s",OR($C141="SER",$C141="PLH",$C141="CSF")),"Case NIH Plate "&amp;(INT(((COUNTIFS($B$2:$B141,"s",$C$2:$C141,"SER")+COUNTIFS($B$2:$B141,"s",$C$2:$C141,"PLH")+COUNTIFS($B$2:$B141,"s",$C$2:$C141,"CSF"))-1)/96)+1)&amp;": "&amp;CHAR(65+INT(MOD((COUNTIFS($B$2:$B141,"s",$C$2:$C141,"SER")+COUNTIFS($B$2:$B141,"s",$C$2:$C141,"PLH")+COUNTIFS($B$2:$B141,"s",$C$2:$C141,"CSF"))-1,96)/12))&amp;(MOD((COUNTIFS($B$2:$B141,"s",$C$2:$C141,"SER")+COUNTIFS($B$2:$B141,"s",$C$2:$C141,"PLH")+COUNTIFS($B$2:$B141,"s",$C$2:$C141,"CSF"))-1,12)+1),"N/A"),"")</f>
        <v/>
      </c>
      <c r="J141" s="6" t="str">
        <f>IF(AND($A141&lt;&gt;"",$B141&lt;&gt;"",$C141&lt;&gt;"",$D141&lt;&gt;"",$E141&lt;&gt;""),IF(AND($B141="s",OR($C141="SER",$C141="PLH")),"Case MAX Planck Plate "&amp;(INT(((COUNTIFS($B$2:$B141,"s",$C$2:$C141,"SER")+COUNTIFS($B$2:$B141,"s",$C$2:$C141,"PLH"))-1)/96)+1)&amp;": "&amp;CHAR(65+INT(MOD((COUNTIFS($B$2:$B141,"s",$C$2:$C141,"SER")+COUNTIFS($B$2:$B141,"s",$C$2:$C141,"PLH"))-1,96)/12))&amp;(MOD((COUNTIFS($B$2:$B141,"s",$C$2:$C141,"SER")+COUNTIFS($B$2:$B141,"s",$C$2:$C141,"PLH"))-1,12)+1),"N/A"),"")</f>
        <v/>
      </c>
      <c r="K141" s="6" t="str">
        <f>IF(AND($A141&lt;&gt;"",$B141&lt;&gt;"",$C141&lt;&gt;"",$D141&lt;&gt;"",$E141&lt;&gt;""),IF($C141="WB","Case WB Box "&amp;(INT((COUNTIFS($C$2:$C141,"WB")-1)/81)+1)&amp;": "&amp;CHAR(65+INT(MOD(COUNTIFS($C$2:$C141,"WB")-1,81)/9))&amp;(MOD(COUNTIFS($C$2:$C141,"WB")-1,9)+1),"N/A"),"")</f>
        <v/>
      </c>
      <c r="L141" s="2" t="str">
        <f t="shared" si="37"/>
        <v/>
      </c>
      <c r="M141" s="2"/>
      <c r="N141" s="2"/>
      <c r="O141" s="2"/>
      <c r="P141" s="7" t="str">
        <f t="shared" si="38"/>
        <v/>
      </c>
      <c r="Q141" s="7" t="str">
        <f t="shared" si="39"/>
        <v/>
      </c>
      <c r="R141" s="7" t="str">
        <f t="shared" si="40"/>
        <v/>
      </c>
      <c r="S141" s="7" t="str">
        <f t="shared" si="41"/>
        <v/>
      </c>
      <c r="T141" s="7" t="str">
        <f t="shared" si="42"/>
        <v/>
      </c>
      <c r="U141" s="7" t="str">
        <f t="shared" si="43"/>
        <v/>
      </c>
      <c r="V141" s="7" t="str">
        <f t="shared" si="44"/>
        <v/>
      </c>
      <c r="W141" s="7" t="str">
        <f t="shared" si="45"/>
        <v/>
      </c>
      <c r="X141" s="7" t="str">
        <f t="shared" si="46"/>
        <v/>
      </c>
      <c r="Y141" s="7" t="str">
        <f t="shared" si="47"/>
        <v/>
      </c>
      <c r="Z141">
        <f t="shared" si="48"/>
        <v>0</v>
      </c>
      <c r="AA141" t="str">
        <f t="shared" si="49"/>
        <v/>
      </c>
      <c r="AB141" t="str">
        <f t="shared" si="50"/>
        <v/>
      </c>
      <c r="AC141" t="str">
        <f t="shared" si="51"/>
        <v/>
      </c>
      <c r="AD141" t="str">
        <f t="shared" si="52"/>
        <v/>
      </c>
      <c r="AE141">
        <f t="shared" si="53"/>
        <v>0</v>
      </c>
    </row>
    <row r="142" spans="1:31" ht="15" customHeight="1" x14ac:dyDescent="0.35">
      <c r="A142" s="2"/>
      <c r="B142" s="3"/>
      <c r="C142" s="3"/>
      <c r="D142" s="4"/>
      <c r="E142" s="5"/>
      <c r="F142" s="11" t="str">
        <f t="shared" ca="1" si="36"/>
        <v/>
      </c>
      <c r="G142" s="5"/>
      <c r="H142" s="6" t="str">
        <f>IF(AND($A142&lt;&gt;"",$B142&lt;&gt;"",$C142&lt;&gt;"",$D142&lt;&gt;"",$E142&lt;&gt;""),IF(AND($B142="s",OR($C142="SER",$C142="PLH",$C142="CSF")),"Case CDI Plate "&amp;(INT(((COUNTIFS($B$2:$B142,"s",$C$2:$C142,"SER")+COUNTIFS($B$2:$B142,"s",$C$2:$C142,"PLH")+COUNTIFS($B$2:$B142,"s",$C$2:$C142,"CSF"))-1)/96)+1)&amp;": "&amp;CHAR(65+INT(MOD((COUNTIFS($B$2:$B142,"s",$C$2:$C142,"SER")+COUNTIFS($B$2:$B142,"s",$C$2:$C142,"PLH")+COUNTIFS($B$2:$B142,"s",$C$2:$C142,"CSF"))-1,96)/12))&amp;(MOD((COUNTIFS($B$2:$B142,"s",$C$2:$C142,"SER")+COUNTIFS($B$2:$B142,"s",$C$2:$C142,"PLH")+COUNTIFS($B$2:$B142,"s",$C$2:$C142,"CSF"))-1,12)+1),"N/A"),"")</f>
        <v/>
      </c>
      <c r="I142" s="6" t="str">
        <f>IF(AND($A142&lt;&gt;"",$B142&lt;&gt;"",$C142&lt;&gt;"",$D142&lt;&gt;"",$E142&lt;&gt;""),IF(AND($B142="s",OR($C142="SER",$C142="PLH",$C142="CSF")),"Case NIH Plate "&amp;(INT(((COUNTIFS($B$2:$B142,"s",$C$2:$C142,"SER")+COUNTIFS($B$2:$B142,"s",$C$2:$C142,"PLH")+COUNTIFS($B$2:$B142,"s",$C$2:$C142,"CSF"))-1)/96)+1)&amp;": "&amp;CHAR(65+INT(MOD((COUNTIFS($B$2:$B142,"s",$C$2:$C142,"SER")+COUNTIFS($B$2:$B142,"s",$C$2:$C142,"PLH")+COUNTIFS($B$2:$B142,"s",$C$2:$C142,"CSF"))-1,96)/12))&amp;(MOD((COUNTIFS($B$2:$B142,"s",$C$2:$C142,"SER")+COUNTIFS($B$2:$B142,"s",$C$2:$C142,"PLH")+COUNTIFS($B$2:$B142,"s",$C$2:$C142,"CSF"))-1,12)+1),"N/A"),"")</f>
        <v/>
      </c>
      <c r="J142" s="6" t="str">
        <f>IF(AND($A142&lt;&gt;"",$B142&lt;&gt;"",$C142&lt;&gt;"",$D142&lt;&gt;"",$E142&lt;&gt;""),IF(AND($B142="s",OR($C142="SER",$C142="PLH")),"Case MAX Planck Plate "&amp;(INT(((COUNTIFS($B$2:$B142,"s",$C$2:$C142,"SER")+COUNTIFS($B$2:$B142,"s",$C$2:$C142,"PLH"))-1)/96)+1)&amp;": "&amp;CHAR(65+INT(MOD((COUNTIFS($B$2:$B142,"s",$C$2:$C142,"SER")+COUNTIFS($B$2:$B142,"s",$C$2:$C142,"PLH"))-1,96)/12))&amp;(MOD((COUNTIFS($B$2:$B142,"s",$C$2:$C142,"SER")+COUNTIFS($B$2:$B142,"s",$C$2:$C142,"PLH"))-1,12)+1),"N/A"),"")</f>
        <v/>
      </c>
      <c r="K142" s="6" t="str">
        <f>IF(AND($A142&lt;&gt;"",$B142&lt;&gt;"",$C142&lt;&gt;"",$D142&lt;&gt;"",$E142&lt;&gt;""),IF($C142="WB","Case WB Box "&amp;(INT((COUNTIFS($C$2:$C142,"WB")-1)/81)+1)&amp;": "&amp;CHAR(65+INT(MOD(COUNTIFS($C$2:$C142,"WB")-1,81)/9))&amp;(MOD(COUNTIFS($C$2:$C142,"WB")-1,9)+1),"N/A"),"")</f>
        <v/>
      </c>
      <c r="L142" s="2" t="str">
        <f t="shared" si="37"/>
        <v/>
      </c>
      <c r="M142" s="2"/>
      <c r="N142" s="2"/>
      <c r="O142" s="2"/>
      <c r="P142" s="7" t="str">
        <f t="shared" si="38"/>
        <v/>
      </c>
      <c r="Q142" s="7" t="str">
        <f t="shared" si="39"/>
        <v/>
      </c>
      <c r="R142" s="7" t="str">
        <f t="shared" si="40"/>
        <v/>
      </c>
      <c r="S142" s="7" t="str">
        <f t="shared" si="41"/>
        <v/>
      </c>
      <c r="T142" s="7" t="str">
        <f t="shared" si="42"/>
        <v/>
      </c>
      <c r="U142" s="7" t="str">
        <f t="shared" si="43"/>
        <v/>
      </c>
      <c r="V142" s="7" t="str">
        <f t="shared" si="44"/>
        <v/>
      </c>
      <c r="W142" s="7" t="str">
        <f t="shared" si="45"/>
        <v/>
      </c>
      <c r="X142" s="7" t="str">
        <f t="shared" si="46"/>
        <v/>
      </c>
      <c r="Y142" s="7" t="str">
        <f t="shared" si="47"/>
        <v/>
      </c>
      <c r="Z142">
        <f t="shared" si="48"/>
        <v>0</v>
      </c>
      <c r="AA142" t="str">
        <f t="shared" si="49"/>
        <v/>
      </c>
      <c r="AB142" t="str">
        <f t="shared" si="50"/>
        <v/>
      </c>
      <c r="AC142" t="str">
        <f t="shared" si="51"/>
        <v/>
      </c>
      <c r="AD142" t="str">
        <f t="shared" si="52"/>
        <v/>
      </c>
      <c r="AE142">
        <f t="shared" si="53"/>
        <v>0</v>
      </c>
    </row>
    <row r="143" spans="1:31" ht="15" customHeight="1" x14ac:dyDescent="0.35">
      <c r="A143" s="2"/>
      <c r="B143" s="3"/>
      <c r="C143" s="3"/>
      <c r="D143" s="4"/>
      <c r="E143" s="5"/>
      <c r="F143" s="11" t="str">
        <f t="shared" ca="1" si="36"/>
        <v/>
      </c>
      <c r="G143" s="5"/>
      <c r="H143" s="6" t="str">
        <f>IF(AND($A143&lt;&gt;"",$B143&lt;&gt;"",$C143&lt;&gt;"",$D143&lt;&gt;"",$E143&lt;&gt;""),IF(AND($B143="s",OR($C143="SER",$C143="PLH",$C143="CSF")),"Case CDI Plate "&amp;(INT(((COUNTIFS($B$2:$B143,"s",$C$2:$C143,"SER")+COUNTIFS($B$2:$B143,"s",$C$2:$C143,"PLH")+COUNTIFS($B$2:$B143,"s",$C$2:$C143,"CSF"))-1)/96)+1)&amp;": "&amp;CHAR(65+INT(MOD((COUNTIFS($B$2:$B143,"s",$C$2:$C143,"SER")+COUNTIFS($B$2:$B143,"s",$C$2:$C143,"PLH")+COUNTIFS($B$2:$B143,"s",$C$2:$C143,"CSF"))-1,96)/12))&amp;(MOD((COUNTIFS($B$2:$B143,"s",$C$2:$C143,"SER")+COUNTIFS($B$2:$B143,"s",$C$2:$C143,"PLH")+COUNTIFS($B$2:$B143,"s",$C$2:$C143,"CSF"))-1,12)+1),"N/A"),"")</f>
        <v/>
      </c>
      <c r="I143" s="6" t="str">
        <f>IF(AND($A143&lt;&gt;"",$B143&lt;&gt;"",$C143&lt;&gt;"",$D143&lt;&gt;"",$E143&lt;&gt;""),IF(AND($B143="s",OR($C143="SER",$C143="PLH",$C143="CSF")),"Case NIH Plate "&amp;(INT(((COUNTIFS($B$2:$B143,"s",$C$2:$C143,"SER")+COUNTIFS($B$2:$B143,"s",$C$2:$C143,"PLH")+COUNTIFS($B$2:$B143,"s",$C$2:$C143,"CSF"))-1)/96)+1)&amp;": "&amp;CHAR(65+INT(MOD((COUNTIFS($B$2:$B143,"s",$C$2:$C143,"SER")+COUNTIFS($B$2:$B143,"s",$C$2:$C143,"PLH")+COUNTIFS($B$2:$B143,"s",$C$2:$C143,"CSF"))-1,96)/12))&amp;(MOD((COUNTIFS($B$2:$B143,"s",$C$2:$C143,"SER")+COUNTIFS($B$2:$B143,"s",$C$2:$C143,"PLH")+COUNTIFS($B$2:$B143,"s",$C$2:$C143,"CSF"))-1,12)+1),"N/A"),"")</f>
        <v/>
      </c>
      <c r="J143" s="6" t="str">
        <f>IF(AND($A143&lt;&gt;"",$B143&lt;&gt;"",$C143&lt;&gt;"",$D143&lt;&gt;"",$E143&lt;&gt;""),IF(AND($B143="s",OR($C143="SER",$C143="PLH")),"Case MAX Planck Plate "&amp;(INT(((COUNTIFS($B$2:$B143,"s",$C$2:$C143,"SER")+COUNTIFS($B$2:$B143,"s",$C$2:$C143,"PLH"))-1)/96)+1)&amp;": "&amp;CHAR(65+INT(MOD((COUNTIFS($B$2:$B143,"s",$C$2:$C143,"SER")+COUNTIFS($B$2:$B143,"s",$C$2:$C143,"PLH"))-1,96)/12))&amp;(MOD((COUNTIFS($B$2:$B143,"s",$C$2:$C143,"SER")+COUNTIFS($B$2:$B143,"s",$C$2:$C143,"PLH"))-1,12)+1),"N/A"),"")</f>
        <v/>
      </c>
      <c r="K143" s="6" t="str">
        <f>IF(AND($A143&lt;&gt;"",$B143&lt;&gt;"",$C143&lt;&gt;"",$D143&lt;&gt;"",$E143&lt;&gt;""),IF($C143="WB","Case WB Box "&amp;(INT((COUNTIFS($C$2:$C143,"WB")-1)/81)+1)&amp;": "&amp;CHAR(65+INT(MOD(COUNTIFS($C$2:$C143,"WB")-1,81)/9))&amp;(MOD(COUNTIFS($C$2:$C143,"WB")-1,9)+1),"N/A"),"")</f>
        <v/>
      </c>
      <c r="L143" s="2" t="str">
        <f t="shared" si="37"/>
        <v/>
      </c>
      <c r="M143" s="2"/>
      <c r="N143" s="2"/>
      <c r="O143" s="2"/>
      <c r="P143" s="7" t="str">
        <f t="shared" si="38"/>
        <v/>
      </c>
      <c r="Q143" s="7" t="str">
        <f t="shared" si="39"/>
        <v/>
      </c>
      <c r="R143" s="7" t="str">
        <f t="shared" si="40"/>
        <v/>
      </c>
      <c r="S143" s="7" t="str">
        <f t="shared" si="41"/>
        <v/>
      </c>
      <c r="T143" s="7" t="str">
        <f t="shared" si="42"/>
        <v/>
      </c>
      <c r="U143" s="7" t="str">
        <f t="shared" si="43"/>
        <v/>
      </c>
      <c r="V143" s="7" t="str">
        <f t="shared" si="44"/>
        <v/>
      </c>
      <c r="W143" s="7" t="str">
        <f t="shared" si="45"/>
        <v/>
      </c>
      <c r="X143" s="7" t="str">
        <f t="shared" si="46"/>
        <v/>
      </c>
      <c r="Y143" s="7" t="str">
        <f t="shared" si="47"/>
        <v/>
      </c>
      <c r="Z143">
        <f t="shared" si="48"/>
        <v>0</v>
      </c>
      <c r="AA143" t="str">
        <f t="shared" si="49"/>
        <v/>
      </c>
      <c r="AB143" t="str">
        <f t="shared" si="50"/>
        <v/>
      </c>
      <c r="AC143" t="str">
        <f t="shared" si="51"/>
        <v/>
      </c>
      <c r="AD143" t="str">
        <f t="shared" si="52"/>
        <v/>
      </c>
      <c r="AE143">
        <f t="shared" si="53"/>
        <v>0</v>
      </c>
    </row>
    <row r="144" spans="1:31" ht="15" customHeight="1" x14ac:dyDescent="0.35">
      <c r="A144" s="2"/>
      <c r="B144" s="3"/>
      <c r="C144" s="3"/>
      <c r="D144" s="4"/>
      <c r="E144" s="5"/>
      <c r="F144" s="11" t="str">
        <f t="shared" ca="1" si="36"/>
        <v/>
      </c>
      <c r="G144" s="5"/>
      <c r="H144" s="6" t="str">
        <f>IF(AND($A144&lt;&gt;"",$B144&lt;&gt;"",$C144&lt;&gt;"",$D144&lt;&gt;"",$E144&lt;&gt;""),IF(AND($B144="s",OR($C144="SER",$C144="PLH",$C144="CSF")),"Case CDI Plate "&amp;(INT(((COUNTIFS($B$2:$B144,"s",$C$2:$C144,"SER")+COUNTIFS($B$2:$B144,"s",$C$2:$C144,"PLH")+COUNTIFS($B$2:$B144,"s",$C$2:$C144,"CSF"))-1)/96)+1)&amp;": "&amp;CHAR(65+INT(MOD((COUNTIFS($B$2:$B144,"s",$C$2:$C144,"SER")+COUNTIFS($B$2:$B144,"s",$C$2:$C144,"PLH")+COUNTIFS($B$2:$B144,"s",$C$2:$C144,"CSF"))-1,96)/12))&amp;(MOD((COUNTIFS($B$2:$B144,"s",$C$2:$C144,"SER")+COUNTIFS($B$2:$B144,"s",$C$2:$C144,"PLH")+COUNTIFS($B$2:$B144,"s",$C$2:$C144,"CSF"))-1,12)+1),"N/A"),"")</f>
        <v/>
      </c>
      <c r="I144" s="6" t="str">
        <f>IF(AND($A144&lt;&gt;"",$B144&lt;&gt;"",$C144&lt;&gt;"",$D144&lt;&gt;"",$E144&lt;&gt;""),IF(AND($B144="s",OR($C144="SER",$C144="PLH",$C144="CSF")),"Case NIH Plate "&amp;(INT(((COUNTIFS($B$2:$B144,"s",$C$2:$C144,"SER")+COUNTIFS($B$2:$B144,"s",$C$2:$C144,"PLH")+COUNTIFS($B$2:$B144,"s",$C$2:$C144,"CSF"))-1)/96)+1)&amp;": "&amp;CHAR(65+INT(MOD((COUNTIFS($B$2:$B144,"s",$C$2:$C144,"SER")+COUNTIFS($B$2:$B144,"s",$C$2:$C144,"PLH")+COUNTIFS($B$2:$B144,"s",$C$2:$C144,"CSF"))-1,96)/12))&amp;(MOD((COUNTIFS($B$2:$B144,"s",$C$2:$C144,"SER")+COUNTIFS($B$2:$B144,"s",$C$2:$C144,"PLH")+COUNTIFS($B$2:$B144,"s",$C$2:$C144,"CSF"))-1,12)+1),"N/A"),"")</f>
        <v/>
      </c>
      <c r="J144" s="6" t="str">
        <f>IF(AND($A144&lt;&gt;"",$B144&lt;&gt;"",$C144&lt;&gt;"",$D144&lt;&gt;"",$E144&lt;&gt;""),IF(AND($B144="s",OR($C144="SER",$C144="PLH")),"Case MAX Planck Plate "&amp;(INT(((COUNTIFS($B$2:$B144,"s",$C$2:$C144,"SER")+COUNTIFS($B$2:$B144,"s",$C$2:$C144,"PLH"))-1)/96)+1)&amp;": "&amp;CHAR(65+INT(MOD((COUNTIFS($B$2:$B144,"s",$C$2:$C144,"SER")+COUNTIFS($B$2:$B144,"s",$C$2:$C144,"PLH"))-1,96)/12))&amp;(MOD((COUNTIFS($B$2:$B144,"s",$C$2:$C144,"SER")+COUNTIFS($B$2:$B144,"s",$C$2:$C144,"PLH"))-1,12)+1),"N/A"),"")</f>
        <v/>
      </c>
      <c r="K144" s="6" t="str">
        <f>IF(AND($A144&lt;&gt;"",$B144&lt;&gt;"",$C144&lt;&gt;"",$D144&lt;&gt;"",$E144&lt;&gt;""),IF($C144="WB","Case WB Box "&amp;(INT((COUNTIFS($C$2:$C144,"WB")-1)/81)+1)&amp;": "&amp;CHAR(65+INT(MOD(COUNTIFS($C$2:$C144,"WB")-1,81)/9))&amp;(MOD(COUNTIFS($C$2:$C144,"WB")-1,9)+1),"N/A"),"")</f>
        <v/>
      </c>
      <c r="L144" s="2" t="str">
        <f t="shared" si="37"/>
        <v/>
      </c>
      <c r="M144" s="2"/>
      <c r="N144" s="2"/>
      <c r="O144" s="2"/>
      <c r="P144" s="7" t="str">
        <f t="shared" si="38"/>
        <v/>
      </c>
      <c r="Q144" s="7" t="str">
        <f t="shared" si="39"/>
        <v/>
      </c>
      <c r="R144" s="7" t="str">
        <f t="shared" si="40"/>
        <v/>
      </c>
      <c r="S144" s="7" t="str">
        <f t="shared" si="41"/>
        <v/>
      </c>
      <c r="T144" s="7" t="str">
        <f t="shared" si="42"/>
        <v/>
      </c>
      <c r="U144" s="7" t="str">
        <f t="shared" si="43"/>
        <v/>
      </c>
      <c r="V144" s="7" t="str">
        <f t="shared" si="44"/>
        <v/>
      </c>
      <c r="W144" s="7" t="str">
        <f t="shared" si="45"/>
        <v/>
      </c>
      <c r="X144" s="7" t="str">
        <f t="shared" si="46"/>
        <v/>
      </c>
      <c r="Y144" s="7" t="str">
        <f t="shared" si="47"/>
        <v/>
      </c>
      <c r="Z144">
        <f t="shared" si="48"/>
        <v>0</v>
      </c>
      <c r="AA144" t="str">
        <f t="shared" si="49"/>
        <v/>
      </c>
      <c r="AB144" t="str">
        <f t="shared" si="50"/>
        <v/>
      </c>
      <c r="AC144" t="str">
        <f t="shared" si="51"/>
        <v/>
      </c>
      <c r="AD144" t="str">
        <f t="shared" si="52"/>
        <v/>
      </c>
      <c r="AE144">
        <f t="shared" si="53"/>
        <v>0</v>
      </c>
    </row>
    <row r="145" spans="1:31" ht="15" customHeight="1" x14ac:dyDescent="0.35">
      <c r="A145" s="2"/>
      <c r="B145" s="3"/>
      <c r="C145" s="3"/>
      <c r="D145" s="4"/>
      <c r="E145" s="5"/>
      <c r="F145" s="11" t="str">
        <f t="shared" ca="1" si="36"/>
        <v/>
      </c>
      <c r="G145" s="5"/>
      <c r="H145" s="6" t="str">
        <f>IF(AND($A145&lt;&gt;"",$B145&lt;&gt;"",$C145&lt;&gt;"",$D145&lt;&gt;"",$E145&lt;&gt;""),IF(AND($B145="s",OR($C145="SER",$C145="PLH",$C145="CSF")),"Case CDI Plate "&amp;(INT(((COUNTIFS($B$2:$B145,"s",$C$2:$C145,"SER")+COUNTIFS($B$2:$B145,"s",$C$2:$C145,"PLH")+COUNTIFS($B$2:$B145,"s",$C$2:$C145,"CSF"))-1)/96)+1)&amp;": "&amp;CHAR(65+INT(MOD((COUNTIFS($B$2:$B145,"s",$C$2:$C145,"SER")+COUNTIFS($B$2:$B145,"s",$C$2:$C145,"PLH")+COUNTIFS($B$2:$B145,"s",$C$2:$C145,"CSF"))-1,96)/12))&amp;(MOD((COUNTIFS($B$2:$B145,"s",$C$2:$C145,"SER")+COUNTIFS($B$2:$B145,"s",$C$2:$C145,"PLH")+COUNTIFS($B$2:$B145,"s",$C$2:$C145,"CSF"))-1,12)+1),"N/A"),"")</f>
        <v/>
      </c>
      <c r="I145" s="6" t="str">
        <f>IF(AND($A145&lt;&gt;"",$B145&lt;&gt;"",$C145&lt;&gt;"",$D145&lt;&gt;"",$E145&lt;&gt;""),IF(AND($B145="s",OR($C145="SER",$C145="PLH",$C145="CSF")),"Case NIH Plate "&amp;(INT(((COUNTIFS($B$2:$B145,"s",$C$2:$C145,"SER")+COUNTIFS($B$2:$B145,"s",$C$2:$C145,"PLH")+COUNTIFS($B$2:$B145,"s",$C$2:$C145,"CSF"))-1)/96)+1)&amp;": "&amp;CHAR(65+INT(MOD((COUNTIFS($B$2:$B145,"s",$C$2:$C145,"SER")+COUNTIFS($B$2:$B145,"s",$C$2:$C145,"PLH")+COUNTIFS($B$2:$B145,"s",$C$2:$C145,"CSF"))-1,96)/12))&amp;(MOD((COUNTIFS($B$2:$B145,"s",$C$2:$C145,"SER")+COUNTIFS($B$2:$B145,"s",$C$2:$C145,"PLH")+COUNTIFS($B$2:$B145,"s",$C$2:$C145,"CSF"))-1,12)+1),"N/A"),"")</f>
        <v/>
      </c>
      <c r="J145" s="6" t="str">
        <f>IF(AND($A145&lt;&gt;"",$B145&lt;&gt;"",$C145&lt;&gt;"",$D145&lt;&gt;"",$E145&lt;&gt;""),IF(AND($B145="s",OR($C145="SER",$C145="PLH")),"Case MAX Planck Plate "&amp;(INT(((COUNTIFS($B$2:$B145,"s",$C$2:$C145,"SER")+COUNTIFS($B$2:$B145,"s",$C$2:$C145,"PLH"))-1)/96)+1)&amp;": "&amp;CHAR(65+INT(MOD((COUNTIFS($B$2:$B145,"s",$C$2:$C145,"SER")+COUNTIFS($B$2:$B145,"s",$C$2:$C145,"PLH"))-1,96)/12))&amp;(MOD((COUNTIFS($B$2:$B145,"s",$C$2:$C145,"SER")+COUNTIFS($B$2:$B145,"s",$C$2:$C145,"PLH"))-1,12)+1),"N/A"),"")</f>
        <v/>
      </c>
      <c r="K145" s="6" t="str">
        <f>IF(AND($A145&lt;&gt;"",$B145&lt;&gt;"",$C145&lt;&gt;"",$D145&lt;&gt;"",$E145&lt;&gt;""),IF($C145="WB","Case WB Box "&amp;(INT((COUNTIFS($C$2:$C145,"WB")-1)/81)+1)&amp;": "&amp;CHAR(65+INT(MOD(COUNTIFS($C$2:$C145,"WB")-1,81)/9))&amp;(MOD(COUNTIFS($C$2:$C145,"WB")-1,9)+1),"N/A"),"")</f>
        <v/>
      </c>
      <c r="L145" s="2" t="str">
        <f t="shared" si="37"/>
        <v/>
      </c>
      <c r="M145" s="2"/>
      <c r="N145" s="2"/>
      <c r="O145" s="2"/>
      <c r="P145" s="7" t="str">
        <f t="shared" si="38"/>
        <v/>
      </c>
      <c r="Q145" s="7" t="str">
        <f t="shared" si="39"/>
        <v/>
      </c>
      <c r="R145" s="7" t="str">
        <f t="shared" si="40"/>
        <v/>
      </c>
      <c r="S145" s="7" t="str">
        <f t="shared" si="41"/>
        <v/>
      </c>
      <c r="T145" s="7" t="str">
        <f t="shared" si="42"/>
        <v/>
      </c>
      <c r="U145" s="7" t="str">
        <f t="shared" si="43"/>
        <v/>
      </c>
      <c r="V145" s="7" t="str">
        <f t="shared" si="44"/>
        <v/>
      </c>
      <c r="W145" s="7" t="str">
        <f t="shared" si="45"/>
        <v/>
      </c>
      <c r="X145" s="7" t="str">
        <f t="shared" si="46"/>
        <v/>
      </c>
      <c r="Y145" s="7" t="str">
        <f t="shared" si="47"/>
        <v/>
      </c>
      <c r="Z145">
        <f t="shared" si="48"/>
        <v>0</v>
      </c>
      <c r="AA145" t="str">
        <f t="shared" si="49"/>
        <v/>
      </c>
      <c r="AB145" t="str">
        <f t="shared" si="50"/>
        <v/>
      </c>
      <c r="AC145" t="str">
        <f t="shared" si="51"/>
        <v/>
      </c>
      <c r="AD145" t="str">
        <f t="shared" si="52"/>
        <v/>
      </c>
      <c r="AE145">
        <f t="shared" si="53"/>
        <v>0</v>
      </c>
    </row>
    <row r="146" spans="1:31" ht="15" customHeight="1" x14ac:dyDescent="0.35">
      <c r="A146" s="2"/>
      <c r="B146" s="3"/>
      <c r="C146" s="3"/>
      <c r="D146" s="4"/>
      <c r="E146" s="5"/>
      <c r="F146" s="11" t="str">
        <f t="shared" ca="1" si="36"/>
        <v/>
      </c>
      <c r="G146" s="5"/>
      <c r="H146" s="6" t="str">
        <f>IF(AND($A146&lt;&gt;"",$B146&lt;&gt;"",$C146&lt;&gt;"",$D146&lt;&gt;"",$E146&lt;&gt;""),IF(AND($B146="s",OR($C146="SER",$C146="PLH",$C146="CSF")),"Case CDI Plate "&amp;(INT(((COUNTIFS($B$2:$B146,"s",$C$2:$C146,"SER")+COUNTIFS($B$2:$B146,"s",$C$2:$C146,"PLH")+COUNTIFS($B$2:$B146,"s",$C$2:$C146,"CSF"))-1)/96)+1)&amp;": "&amp;CHAR(65+INT(MOD((COUNTIFS($B$2:$B146,"s",$C$2:$C146,"SER")+COUNTIFS($B$2:$B146,"s",$C$2:$C146,"PLH")+COUNTIFS($B$2:$B146,"s",$C$2:$C146,"CSF"))-1,96)/12))&amp;(MOD((COUNTIFS($B$2:$B146,"s",$C$2:$C146,"SER")+COUNTIFS($B$2:$B146,"s",$C$2:$C146,"PLH")+COUNTIFS($B$2:$B146,"s",$C$2:$C146,"CSF"))-1,12)+1),"N/A"),"")</f>
        <v/>
      </c>
      <c r="I146" s="6" t="str">
        <f>IF(AND($A146&lt;&gt;"",$B146&lt;&gt;"",$C146&lt;&gt;"",$D146&lt;&gt;"",$E146&lt;&gt;""),IF(AND($B146="s",OR($C146="SER",$C146="PLH",$C146="CSF")),"Case NIH Plate "&amp;(INT(((COUNTIFS($B$2:$B146,"s",$C$2:$C146,"SER")+COUNTIFS($B$2:$B146,"s",$C$2:$C146,"PLH")+COUNTIFS($B$2:$B146,"s",$C$2:$C146,"CSF"))-1)/96)+1)&amp;": "&amp;CHAR(65+INT(MOD((COUNTIFS($B$2:$B146,"s",$C$2:$C146,"SER")+COUNTIFS($B$2:$B146,"s",$C$2:$C146,"PLH")+COUNTIFS($B$2:$B146,"s",$C$2:$C146,"CSF"))-1,96)/12))&amp;(MOD((COUNTIFS($B$2:$B146,"s",$C$2:$C146,"SER")+COUNTIFS($B$2:$B146,"s",$C$2:$C146,"PLH")+COUNTIFS($B$2:$B146,"s",$C$2:$C146,"CSF"))-1,12)+1),"N/A"),"")</f>
        <v/>
      </c>
      <c r="J146" s="6" t="str">
        <f>IF(AND($A146&lt;&gt;"",$B146&lt;&gt;"",$C146&lt;&gt;"",$D146&lt;&gt;"",$E146&lt;&gt;""),IF(AND($B146="s",OR($C146="SER",$C146="PLH")),"Case MAX Planck Plate "&amp;(INT(((COUNTIFS($B$2:$B146,"s",$C$2:$C146,"SER")+COUNTIFS($B$2:$B146,"s",$C$2:$C146,"PLH"))-1)/96)+1)&amp;": "&amp;CHAR(65+INT(MOD((COUNTIFS($B$2:$B146,"s",$C$2:$C146,"SER")+COUNTIFS($B$2:$B146,"s",$C$2:$C146,"PLH"))-1,96)/12))&amp;(MOD((COUNTIFS($B$2:$B146,"s",$C$2:$C146,"SER")+COUNTIFS($B$2:$B146,"s",$C$2:$C146,"PLH"))-1,12)+1),"N/A"),"")</f>
        <v/>
      </c>
      <c r="K146" s="6" t="str">
        <f>IF(AND($A146&lt;&gt;"",$B146&lt;&gt;"",$C146&lt;&gt;"",$D146&lt;&gt;"",$E146&lt;&gt;""),IF($C146="WB","Case WB Box "&amp;(INT((COUNTIFS($C$2:$C146,"WB")-1)/81)+1)&amp;": "&amp;CHAR(65+INT(MOD(COUNTIFS($C$2:$C146,"WB")-1,81)/9))&amp;(MOD(COUNTIFS($C$2:$C146,"WB")-1,9)+1),"N/A"),"")</f>
        <v/>
      </c>
      <c r="L146" s="2" t="str">
        <f t="shared" si="37"/>
        <v/>
      </c>
      <c r="M146" s="2"/>
      <c r="N146" s="2"/>
      <c r="O146" s="2"/>
      <c r="P146" s="7" t="str">
        <f t="shared" si="38"/>
        <v/>
      </c>
      <c r="Q146" s="7" t="str">
        <f t="shared" si="39"/>
        <v/>
      </c>
      <c r="R146" s="7" t="str">
        <f t="shared" si="40"/>
        <v/>
      </c>
      <c r="S146" s="7" t="str">
        <f t="shared" si="41"/>
        <v/>
      </c>
      <c r="T146" s="7" t="str">
        <f t="shared" si="42"/>
        <v/>
      </c>
      <c r="U146" s="7" t="str">
        <f t="shared" si="43"/>
        <v/>
      </c>
      <c r="V146" s="7" t="str">
        <f t="shared" si="44"/>
        <v/>
      </c>
      <c r="W146" s="7" t="str">
        <f t="shared" si="45"/>
        <v/>
      </c>
      <c r="X146" s="7" t="str">
        <f t="shared" si="46"/>
        <v/>
      </c>
      <c r="Y146" s="7" t="str">
        <f t="shared" si="47"/>
        <v/>
      </c>
      <c r="Z146">
        <f t="shared" si="48"/>
        <v>0</v>
      </c>
      <c r="AA146" t="str">
        <f t="shared" si="49"/>
        <v/>
      </c>
      <c r="AB146" t="str">
        <f t="shared" si="50"/>
        <v/>
      </c>
      <c r="AC146" t="str">
        <f t="shared" si="51"/>
        <v/>
      </c>
      <c r="AD146" t="str">
        <f t="shared" si="52"/>
        <v/>
      </c>
      <c r="AE146">
        <f t="shared" si="53"/>
        <v>0</v>
      </c>
    </row>
    <row r="147" spans="1:31" ht="15" customHeight="1" x14ac:dyDescent="0.35">
      <c r="A147" s="2"/>
      <c r="B147" s="3"/>
      <c r="C147" s="3"/>
      <c r="D147" s="4"/>
      <c r="E147" s="5"/>
      <c r="F147" s="11" t="str">
        <f t="shared" ca="1" si="36"/>
        <v/>
      </c>
      <c r="G147" s="5"/>
      <c r="H147" s="6" t="str">
        <f>IF(AND($A147&lt;&gt;"",$B147&lt;&gt;"",$C147&lt;&gt;"",$D147&lt;&gt;"",$E147&lt;&gt;""),IF(AND($B147="s",OR($C147="SER",$C147="PLH",$C147="CSF")),"Case CDI Plate "&amp;(INT(((COUNTIFS($B$2:$B147,"s",$C$2:$C147,"SER")+COUNTIFS($B$2:$B147,"s",$C$2:$C147,"PLH")+COUNTIFS($B$2:$B147,"s",$C$2:$C147,"CSF"))-1)/96)+1)&amp;": "&amp;CHAR(65+INT(MOD((COUNTIFS($B$2:$B147,"s",$C$2:$C147,"SER")+COUNTIFS($B$2:$B147,"s",$C$2:$C147,"PLH")+COUNTIFS($B$2:$B147,"s",$C$2:$C147,"CSF"))-1,96)/12))&amp;(MOD((COUNTIFS($B$2:$B147,"s",$C$2:$C147,"SER")+COUNTIFS($B$2:$B147,"s",$C$2:$C147,"PLH")+COUNTIFS($B$2:$B147,"s",$C$2:$C147,"CSF"))-1,12)+1),"N/A"),"")</f>
        <v/>
      </c>
      <c r="I147" s="6" t="str">
        <f>IF(AND($A147&lt;&gt;"",$B147&lt;&gt;"",$C147&lt;&gt;"",$D147&lt;&gt;"",$E147&lt;&gt;""),IF(AND($B147="s",OR($C147="SER",$C147="PLH",$C147="CSF")),"Case NIH Plate "&amp;(INT(((COUNTIFS($B$2:$B147,"s",$C$2:$C147,"SER")+COUNTIFS($B$2:$B147,"s",$C$2:$C147,"PLH")+COUNTIFS($B$2:$B147,"s",$C$2:$C147,"CSF"))-1)/96)+1)&amp;": "&amp;CHAR(65+INT(MOD((COUNTIFS($B$2:$B147,"s",$C$2:$C147,"SER")+COUNTIFS($B$2:$B147,"s",$C$2:$C147,"PLH")+COUNTIFS($B$2:$B147,"s",$C$2:$C147,"CSF"))-1,96)/12))&amp;(MOD((COUNTIFS($B$2:$B147,"s",$C$2:$C147,"SER")+COUNTIFS($B$2:$B147,"s",$C$2:$C147,"PLH")+COUNTIFS($B$2:$B147,"s",$C$2:$C147,"CSF"))-1,12)+1),"N/A"),"")</f>
        <v/>
      </c>
      <c r="J147" s="6" t="str">
        <f>IF(AND($A147&lt;&gt;"",$B147&lt;&gt;"",$C147&lt;&gt;"",$D147&lt;&gt;"",$E147&lt;&gt;""),IF(AND($B147="s",OR($C147="SER",$C147="PLH")),"Case MAX Planck Plate "&amp;(INT(((COUNTIFS($B$2:$B147,"s",$C$2:$C147,"SER")+COUNTIFS($B$2:$B147,"s",$C$2:$C147,"PLH"))-1)/96)+1)&amp;": "&amp;CHAR(65+INT(MOD((COUNTIFS($B$2:$B147,"s",$C$2:$C147,"SER")+COUNTIFS($B$2:$B147,"s",$C$2:$C147,"PLH"))-1,96)/12))&amp;(MOD((COUNTIFS($B$2:$B147,"s",$C$2:$C147,"SER")+COUNTIFS($B$2:$B147,"s",$C$2:$C147,"PLH"))-1,12)+1),"N/A"),"")</f>
        <v/>
      </c>
      <c r="K147" s="6" t="str">
        <f>IF(AND($A147&lt;&gt;"",$B147&lt;&gt;"",$C147&lt;&gt;"",$D147&lt;&gt;"",$E147&lt;&gt;""),IF($C147="WB","Case WB Box "&amp;(INT((COUNTIFS($C$2:$C147,"WB")-1)/81)+1)&amp;": "&amp;CHAR(65+INT(MOD(COUNTIFS($C$2:$C147,"WB")-1,81)/9))&amp;(MOD(COUNTIFS($C$2:$C147,"WB")-1,9)+1),"N/A"),"")</f>
        <v/>
      </c>
      <c r="L147" s="2" t="str">
        <f t="shared" si="37"/>
        <v/>
      </c>
      <c r="M147" s="2"/>
      <c r="N147" s="2"/>
      <c r="O147" s="2"/>
      <c r="P147" s="7" t="str">
        <f t="shared" si="38"/>
        <v/>
      </c>
      <c r="Q147" s="7" t="str">
        <f t="shared" si="39"/>
        <v/>
      </c>
      <c r="R147" s="7" t="str">
        <f t="shared" si="40"/>
        <v/>
      </c>
      <c r="S147" s="7" t="str">
        <f t="shared" si="41"/>
        <v/>
      </c>
      <c r="T147" s="7" t="str">
        <f t="shared" si="42"/>
        <v/>
      </c>
      <c r="U147" s="7" t="str">
        <f t="shared" si="43"/>
        <v/>
      </c>
      <c r="V147" s="7" t="str">
        <f t="shared" si="44"/>
        <v/>
      </c>
      <c r="W147" s="7" t="str">
        <f t="shared" si="45"/>
        <v/>
      </c>
      <c r="X147" s="7" t="str">
        <f t="shared" si="46"/>
        <v/>
      </c>
      <c r="Y147" s="7" t="str">
        <f t="shared" si="47"/>
        <v/>
      </c>
      <c r="Z147">
        <f t="shared" si="48"/>
        <v>0</v>
      </c>
      <c r="AA147" t="str">
        <f t="shared" si="49"/>
        <v/>
      </c>
      <c r="AB147" t="str">
        <f t="shared" si="50"/>
        <v/>
      </c>
      <c r="AC147" t="str">
        <f t="shared" si="51"/>
        <v/>
      </c>
      <c r="AD147" t="str">
        <f t="shared" si="52"/>
        <v/>
      </c>
      <c r="AE147">
        <f t="shared" si="53"/>
        <v>0</v>
      </c>
    </row>
    <row r="148" spans="1:31" ht="15" customHeight="1" x14ac:dyDescent="0.35">
      <c r="A148" s="2"/>
      <c r="B148" s="3"/>
      <c r="C148" s="3"/>
      <c r="D148" s="4"/>
      <c r="E148" s="5"/>
      <c r="F148" s="11" t="str">
        <f t="shared" ca="1" si="36"/>
        <v/>
      </c>
      <c r="G148" s="5"/>
      <c r="H148" s="6" t="str">
        <f>IF(AND($A148&lt;&gt;"",$B148&lt;&gt;"",$C148&lt;&gt;"",$D148&lt;&gt;"",$E148&lt;&gt;""),IF(AND($B148="s",OR($C148="SER",$C148="PLH",$C148="CSF")),"Case CDI Plate "&amp;(INT(((COUNTIFS($B$2:$B148,"s",$C$2:$C148,"SER")+COUNTIFS($B$2:$B148,"s",$C$2:$C148,"PLH")+COUNTIFS($B$2:$B148,"s",$C$2:$C148,"CSF"))-1)/96)+1)&amp;": "&amp;CHAR(65+INT(MOD((COUNTIFS($B$2:$B148,"s",$C$2:$C148,"SER")+COUNTIFS($B$2:$B148,"s",$C$2:$C148,"PLH")+COUNTIFS($B$2:$B148,"s",$C$2:$C148,"CSF"))-1,96)/12))&amp;(MOD((COUNTIFS($B$2:$B148,"s",$C$2:$C148,"SER")+COUNTIFS($B$2:$B148,"s",$C$2:$C148,"PLH")+COUNTIFS($B$2:$B148,"s",$C$2:$C148,"CSF"))-1,12)+1),"N/A"),"")</f>
        <v/>
      </c>
      <c r="I148" s="6" t="str">
        <f>IF(AND($A148&lt;&gt;"",$B148&lt;&gt;"",$C148&lt;&gt;"",$D148&lt;&gt;"",$E148&lt;&gt;""),IF(AND($B148="s",OR($C148="SER",$C148="PLH",$C148="CSF")),"Case NIH Plate "&amp;(INT(((COUNTIFS($B$2:$B148,"s",$C$2:$C148,"SER")+COUNTIFS($B$2:$B148,"s",$C$2:$C148,"PLH")+COUNTIFS($B$2:$B148,"s",$C$2:$C148,"CSF"))-1)/96)+1)&amp;": "&amp;CHAR(65+INT(MOD((COUNTIFS($B$2:$B148,"s",$C$2:$C148,"SER")+COUNTIFS($B$2:$B148,"s",$C$2:$C148,"PLH")+COUNTIFS($B$2:$B148,"s",$C$2:$C148,"CSF"))-1,96)/12))&amp;(MOD((COUNTIFS($B$2:$B148,"s",$C$2:$C148,"SER")+COUNTIFS($B$2:$B148,"s",$C$2:$C148,"PLH")+COUNTIFS($B$2:$B148,"s",$C$2:$C148,"CSF"))-1,12)+1),"N/A"),"")</f>
        <v/>
      </c>
      <c r="J148" s="6" t="str">
        <f>IF(AND($A148&lt;&gt;"",$B148&lt;&gt;"",$C148&lt;&gt;"",$D148&lt;&gt;"",$E148&lt;&gt;""),IF(AND($B148="s",OR($C148="SER",$C148="PLH")),"Case MAX Planck Plate "&amp;(INT(((COUNTIFS($B$2:$B148,"s",$C$2:$C148,"SER")+COUNTIFS($B$2:$B148,"s",$C$2:$C148,"PLH"))-1)/96)+1)&amp;": "&amp;CHAR(65+INT(MOD((COUNTIFS($B$2:$B148,"s",$C$2:$C148,"SER")+COUNTIFS($B$2:$B148,"s",$C$2:$C148,"PLH"))-1,96)/12))&amp;(MOD((COUNTIFS($B$2:$B148,"s",$C$2:$C148,"SER")+COUNTIFS($B$2:$B148,"s",$C$2:$C148,"PLH"))-1,12)+1),"N/A"),"")</f>
        <v/>
      </c>
      <c r="K148" s="6" t="str">
        <f>IF(AND($A148&lt;&gt;"",$B148&lt;&gt;"",$C148&lt;&gt;"",$D148&lt;&gt;"",$E148&lt;&gt;""),IF($C148="WB","Case WB Box "&amp;(INT((COUNTIFS($C$2:$C148,"WB")-1)/81)+1)&amp;": "&amp;CHAR(65+INT(MOD(COUNTIFS($C$2:$C148,"WB")-1,81)/9))&amp;(MOD(COUNTIFS($C$2:$C148,"WB")-1,9)+1),"N/A"),"")</f>
        <v/>
      </c>
      <c r="L148" s="2" t="str">
        <f t="shared" si="37"/>
        <v/>
      </c>
      <c r="M148" s="2"/>
      <c r="N148" s="2"/>
      <c r="O148" s="2"/>
      <c r="P148" s="7" t="str">
        <f t="shared" si="38"/>
        <v/>
      </c>
      <c r="Q148" s="7" t="str">
        <f t="shared" si="39"/>
        <v/>
      </c>
      <c r="R148" s="7" t="str">
        <f t="shared" si="40"/>
        <v/>
      </c>
      <c r="S148" s="7" t="str">
        <f t="shared" si="41"/>
        <v/>
      </c>
      <c r="T148" s="7" t="str">
        <f t="shared" si="42"/>
        <v/>
      </c>
      <c r="U148" s="7" t="str">
        <f t="shared" si="43"/>
        <v/>
      </c>
      <c r="V148" s="7" t="str">
        <f t="shared" si="44"/>
        <v/>
      </c>
      <c r="W148" s="7" t="str">
        <f t="shared" si="45"/>
        <v/>
      </c>
      <c r="X148" s="7" t="str">
        <f t="shared" si="46"/>
        <v/>
      </c>
      <c r="Y148" s="7" t="str">
        <f t="shared" si="47"/>
        <v/>
      </c>
      <c r="Z148">
        <f t="shared" si="48"/>
        <v>0</v>
      </c>
      <c r="AA148" t="str">
        <f t="shared" si="49"/>
        <v/>
      </c>
      <c r="AB148" t="str">
        <f t="shared" si="50"/>
        <v/>
      </c>
      <c r="AC148" t="str">
        <f t="shared" si="51"/>
        <v/>
      </c>
      <c r="AD148" t="str">
        <f t="shared" si="52"/>
        <v/>
      </c>
      <c r="AE148">
        <f t="shared" si="53"/>
        <v>0</v>
      </c>
    </row>
    <row r="149" spans="1:31" ht="15" customHeight="1" x14ac:dyDescent="0.35">
      <c r="A149" s="2"/>
      <c r="B149" s="3"/>
      <c r="C149" s="3"/>
      <c r="D149" s="4"/>
      <c r="E149" s="5"/>
      <c r="F149" s="11" t="str">
        <f t="shared" ca="1" si="36"/>
        <v/>
      </c>
      <c r="G149" s="5"/>
      <c r="H149" s="6" t="str">
        <f>IF(AND($A149&lt;&gt;"",$B149&lt;&gt;"",$C149&lt;&gt;"",$D149&lt;&gt;"",$E149&lt;&gt;""),IF(AND($B149="s",OR($C149="SER",$C149="PLH",$C149="CSF")),"Case CDI Plate "&amp;(INT(((COUNTIFS($B$2:$B149,"s",$C$2:$C149,"SER")+COUNTIFS($B$2:$B149,"s",$C$2:$C149,"PLH")+COUNTIFS($B$2:$B149,"s",$C$2:$C149,"CSF"))-1)/96)+1)&amp;": "&amp;CHAR(65+INT(MOD((COUNTIFS($B$2:$B149,"s",$C$2:$C149,"SER")+COUNTIFS($B$2:$B149,"s",$C$2:$C149,"PLH")+COUNTIFS($B$2:$B149,"s",$C$2:$C149,"CSF"))-1,96)/12))&amp;(MOD((COUNTIFS($B$2:$B149,"s",$C$2:$C149,"SER")+COUNTIFS($B$2:$B149,"s",$C$2:$C149,"PLH")+COUNTIFS($B$2:$B149,"s",$C$2:$C149,"CSF"))-1,12)+1),"N/A"),"")</f>
        <v/>
      </c>
      <c r="I149" s="6" t="str">
        <f>IF(AND($A149&lt;&gt;"",$B149&lt;&gt;"",$C149&lt;&gt;"",$D149&lt;&gt;"",$E149&lt;&gt;""),IF(AND($B149="s",OR($C149="SER",$C149="PLH",$C149="CSF")),"Case NIH Plate "&amp;(INT(((COUNTIFS($B$2:$B149,"s",$C$2:$C149,"SER")+COUNTIFS($B$2:$B149,"s",$C$2:$C149,"PLH")+COUNTIFS($B$2:$B149,"s",$C$2:$C149,"CSF"))-1)/96)+1)&amp;": "&amp;CHAR(65+INT(MOD((COUNTIFS($B$2:$B149,"s",$C$2:$C149,"SER")+COUNTIFS($B$2:$B149,"s",$C$2:$C149,"PLH")+COUNTIFS($B$2:$B149,"s",$C$2:$C149,"CSF"))-1,96)/12))&amp;(MOD((COUNTIFS($B$2:$B149,"s",$C$2:$C149,"SER")+COUNTIFS($B$2:$B149,"s",$C$2:$C149,"PLH")+COUNTIFS($B$2:$B149,"s",$C$2:$C149,"CSF"))-1,12)+1),"N/A"),"")</f>
        <v/>
      </c>
      <c r="J149" s="6" t="str">
        <f>IF(AND($A149&lt;&gt;"",$B149&lt;&gt;"",$C149&lt;&gt;"",$D149&lt;&gt;"",$E149&lt;&gt;""),IF(AND($B149="s",OR($C149="SER",$C149="PLH")),"Case MAX Planck Plate "&amp;(INT(((COUNTIFS($B$2:$B149,"s",$C$2:$C149,"SER")+COUNTIFS($B$2:$B149,"s",$C$2:$C149,"PLH"))-1)/96)+1)&amp;": "&amp;CHAR(65+INT(MOD((COUNTIFS($B$2:$B149,"s",$C$2:$C149,"SER")+COUNTIFS($B$2:$B149,"s",$C$2:$C149,"PLH"))-1,96)/12))&amp;(MOD((COUNTIFS($B$2:$B149,"s",$C$2:$C149,"SER")+COUNTIFS($B$2:$B149,"s",$C$2:$C149,"PLH"))-1,12)+1),"N/A"),"")</f>
        <v/>
      </c>
      <c r="K149" s="6" t="str">
        <f>IF(AND($A149&lt;&gt;"",$B149&lt;&gt;"",$C149&lt;&gt;"",$D149&lt;&gt;"",$E149&lt;&gt;""),IF($C149="WB","Case WB Box "&amp;(INT((COUNTIFS($C$2:$C149,"WB")-1)/81)+1)&amp;": "&amp;CHAR(65+INT(MOD(COUNTIFS($C$2:$C149,"WB")-1,81)/9))&amp;(MOD(COUNTIFS($C$2:$C149,"WB")-1,9)+1),"N/A"),"")</f>
        <v/>
      </c>
      <c r="L149" s="2" t="str">
        <f t="shared" si="37"/>
        <v/>
      </c>
      <c r="M149" s="2"/>
      <c r="N149" s="2"/>
      <c r="O149" s="2"/>
      <c r="P149" s="7" t="str">
        <f t="shared" si="38"/>
        <v/>
      </c>
      <c r="Q149" s="7" t="str">
        <f t="shared" si="39"/>
        <v/>
      </c>
      <c r="R149" s="7" t="str">
        <f t="shared" si="40"/>
        <v/>
      </c>
      <c r="S149" s="7" t="str">
        <f t="shared" si="41"/>
        <v/>
      </c>
      <c r="T149" s="7" t="str">
        <f t="shared" si="42"/>
        <v/>
      </c>
      <c r="U149" s="7" t="str">
        <f t="shared" si="43"/>
        <v/>
      </c>
      <c r="V149" s="7" t="str">
        <f t="shared" si="44"/>
        <v/>
      </c>
      <c r="W149" s="7" t="str">
        <f t="shared" si="45"/>
        <v/>
      </c>
      <c r="X149" s="7" t="str">
        <f t="shared" si="46"/>
        <v/>
      </c>
      <c r="Y149" s="7" t="str">
        <f t="shared" si="47"/>
        <v/>
      </c>
      <c r="Z149">
        <f t="shared" si="48"/>
        <v>0</v>
      </c>
      <c r="AA149" t="str">
        <f t="shared" si="49"/>
        <v/>
      </c>
      <c r="AB149" t="str">
        <f t="shared" si="50"/>
        <v/>
      </c>
      <c r="AC149" t="str">
        <f t="shared" si="51"/>
        <v/>
      </c>
      <c r="AD149" t="str">
        <f t="shared" si="52"/>
        <v/>
      </c>
      <c r="AE149">
        <f t="shared" si="53"/>
        <v>0</v>
      </c>
    </row>
    <row r="150" spans="1:31" ht="15" customHeight="1" x14ac:dyDescent="0.35">
      <c r="A150" s="2"/>
      <c r="B150" s="3"/>
      <c r="C150" s="3"/>
      <c r="D150" s="4"/>
      <c r="E150" s="5"/>
      <c r="F150" s="11" t="str">
        <f t="shared" ca="1" si="36"/>
        <v/>
      </c>
      <c r="G150" s="5"/>
      <c r="H150" s="6" t="str">
        <f>IF(AND($A150&lt;&gt;"",$B150&lt;&gt;"",$C150&lt;&gt;"",$D150&lt;&gt;"",$E150&lt;&gt;""),IF(AND($B150="s",OR($C150="SER",$C150="PLH",$C150="CSF")),"Case CDI Plate "&amp;(INT(((COUNTIFS($B$2:$B150,"s",$C$2:$C150,"SER")+COUNTIFS($B$2:$B150,"s",$C$2:$C150,"PLH")+COUNTIFS($B$2:$B150,"s",$C$2:$C150,"CSF"))-1)/96)+1)&amp;": "&amp;CHAR(65+INT(MOD((COUNTIFS($B$2:$B150,"s",$C$2:$C150,"SER")+COUNTIFS($B$2:$B150,"s",$C$2:$C150,"PLH")+COUNTIFS($B$2:$B150,"s",$C$2:$C150,"CSF"))-1,96)/12))&amp;(MOD((COUNTIFS($B$2:$B150,"s",$C$2:$C150,"SER")+COUNTIFS($B$2:$B150,"s",$C$2:$C150,"PLH")+COUNTIFS($B$2:$B150,"s",$C$2:$C150,"CSF"))-1,12)+1),"N/A"),"")</f>
        <v/>
      </c>
      <c r="I150" s="6" t="str">
        <f>IF(AND($A150&lt;&gt;"",$B150&lt;&gt;"",$C150&lt;&gt;"",$D150&lt;&gt;"",$E150&lt;&gt;""),IF(AND($B150="s",OR($C150="SER",$C150="PLH",$C150="CSF")),"Case NIH Plate "&amp;(INT(((COUNTIFS($B$2:$B150,"s",$C$2:$C150,"SER")+COUNTIFS($B$2:$B150,"s",$C$2:$C150,"PLH")+COUNTIFS($B$2:$B150,"s",$C$2:$C150,"CSF"))-1)/96)+1)&amp;": "&amp;CHAR(65+INT(MOD((COUNTIFS($B$2:$B150,"s",$C$2:$C150,"SER")+COUNTIFS($B$2:$B150,"s",$C$2:$C150,"PLH")+COUNTIFS($B$2:$B150,"s",$C$2:$C150,"CSF"))-1,96)/12))&amp;(MOD((COUNTIFS($B$2:$B150,"s",$C$2:$C150,"SER")+COUNTIFS($B$2:$B150,"s",$C$2:$C150,"PLH")+COUNTIFS($B$2:$B150,"s",$C$2:$C150,"CSF"))-1,12)+1),"N/A"),"")</f>
        <v/>
      </c>
      <c r="J150" s="6" t="str">
        <f>IF(AND($A150&lt;&gt;"",$B150&lt;&gt;"",$C150&lt;&gt;"",$D150&lt;&gt;"",$E150&lt;&gt;""),IF(AND($B150="s",OR($C150="SER",$C150="PLH")),"Case MAX Planck Plate "&amp;(INT(((COUNTIFS($B$2:$B150,"s",$C$2:$C150,"SER")+COUNTIFS($B$2:$B150,"s",$C$2:$C150,"PLH"))-1)/96)+1)&amp;": "&amp;CHAR(65+INT(MOD((COUNTIFS($B$2:$B150,"s",$C$2:$C150,"SER")+COUNTIFS($B$2:$B150,"s",$C$2:$C150,"PLH"))-1,96)/12))&amp;(MOD((COUNTIFS($B$2:$B150,"s",$C$2:$C150,"SER")+COUNTIFS($B$2:$B150,"s",$C$2:$C150,"PLH"))-1,12)+1),"N/A"),"")</f>
        <v/>
      </c>
      <c r="K150" s="6" t="str">
        <f>IF(AND($A150&lt;&gt;"",$B150&lt;&gt;"",$C150&lt;&gt;"",$D150&lt;&gt;"",$E150&lt;&gt;""),IF($C150="WB","Case WB Box "&amp;(INT((COUNTIFS($C$2:$C150,"WB")-1)/81)+1)&amp;": "&amp;CHAR(65+INT(MOD(COUNTIFS($C$2:$C150,"WB")-1,81)/9))&amp;(MOD(COUNTIFS($C$2:$C150,"WB")-1,9)+1),"N/A"),"")</f>
        <v/>
      </c>
      <c r="L150" s="2" t="str">
        <f t="shared" si="37"/>
        <v/>
      </c>
      <c r="M150" s="2"/>
      <c r="N150" s="2"/>
      <c r="O150" s="2"/>
      <c r="P150" s="7" t="str">
        <f t="shared" si="38"/>
        <v/>
      </c>
      <c r="Q150" s="7" t="str">
        <f t="shared" si="39"/>
        <v/>
      </c>
      <c r="R150" s="7" t="str">
        <f t="shared" si="40"/>
        <v/>
      </c>
      <c r="S150" s="7" t="str">
        <f t="shared" si="41"/>
        <v/>
      </c>
      <c r="T150" s="7" t="str">
        <f t="shared" si="42"/>
        <v/>
      </c>
      <c r="U150" s="7" t="str">
        <f t="shared" si="43"/>
        <v/>
      </c>
      <c r="V150" s="7" t="str">
        <f t="shared" si="44"/>
        <v/>
      </c>
      <c r="W150" s="7" t="str">
        <f t="shared" si="45"/>
        <v/>
      </c>
      <c r="X150" s="7" t="str">
        <f t="shared" si="46"/>
        <v/>
      </c>
      <c r="Y150" s="7" t="str">
        <f t="shared" si="47"/>
        <v/>
      </c>
      <c r="Z150">
        <f t="shared" si="48"/>
        <v>0</v>
      </c>
      <c r="AA150" t="str">
        <f t="shared" si="49"/>
        <v/>
      </c>
      <c r="AB150" t="str">
        <f t="shared" si="50"/>
        <v/>
      </c>
      <c r="AC150" t="str">
        <f t="shared" si="51"/>
        <v/>
      </c>
      <c r="AD150" t="str">
        <f t="shared" si="52"/>
        <v/>
      </c>
      <c r="AE150">
        <f t="shared" si="53"/>
        <v>0</v>
      </c>
    </row>
    <row r="151" spans="1:31" ht="15" customHeight="1" x14ac:dyDescent="0.35">
      <c r="A151" s="2"/>
      <c r="B151" s="3"/>
      <c r="C151" s="3"/>
      <c r="D151" s="4"/>
      <c r="E151" s="5"/>
      <c r="F151" s="11" t="str">
        <f t="shared" ca="1" si="36"/>
        <v/>
      </c>
      <c r="G151" s="5"/>
      <c r="H151" s="6" t="str">
        <f>IF(AND($A151&lt;&gt;"",$B151&lt;&gt;"",$C151&lt;&gt;"",$D151&lt;&gt;"",$E151&lt;&gt;""),IF(AND($B151="s",OR($C151="SER",$C151="PLH",$C151="CSF")),"Case CDI Plate "&amp;(INT(((COUNTIFS($B$2:$B151,"s",$C$2:$C151,"SER")+COUNTIFS($B$2:$B151,"s",$C$2:$C151,"PLH")+COUNTIFS($B$2:$B151,"s",$C$2:$C151,"CSF"))-1)/96)+1)&amp;": "&amp;CHAR(65+INT(MOD((COUNTIFS($B$2:$B151,"s",$C$2:$C151,"SER")+COUNTIFS($B$2:$B151,"s",$C$2:$C151,"PLH")+COUNTIFS($B$2:$B151,"s",$C$2:$C151,"CSF"))-1,96)/12))&amp;(MOD((COUNTIFS($B$2:$B151,"s",$C$2:$C151,"SER")+COUNTIFS($B$2:$B151,"s",$C$2:$C151,"PLH")+COUNTIFS($B$2:$B151,"s",$C$2:$C151,"CSF"))-1,12)+1),"N/A"),"")</f>
        <v/>
      </c>
      <c r="I151" s="6" t="str">
        <f>IF(AND($A151&lt;&gt;"",$B151&lt;&gt;"",$C151&lt;&gt;"",$D151&lt;&gt;"",$E151&lt;&gt;""),IF(AND($B151="s",OR($C151="SER",$C151="PLH",$C151="CSF")),"Case NIH Plate "&amp;(INT(((COUNTIFS($B$2:$B151,"s",$C$2:$C151,"SER")+COUNTIFS($B$2:$B151,"s",$C$2:$C151,"PLH")+COUNTIFS($B$2:$B151,"s",$C$2:$C151,"CSF"))-1)/96)+1)&amp;": "&amp;CHAR(65+INT(MOD((COUNTIFS($B$2:$B151,"s",$C$2:$C151,"SER")+COUNTIFS($B$2:$B151,"s",$C$2:$C151,"PLH")+COUNTIFS($B$2:$B151,"s",$C$2:$C151,"CSF"))-1,96)/12))&amp;(MOD((COUNTIFS($B$2:$B151,"s",$C$2:$C151,"SER")+COUNTIFS($B$2:$B151,"s",$C$2:$C151,"PLH")+COUNTIFS($B$2:$B151,"s",$C$2:$C151,"CSF"))-1,12)+1),"N/A"),"")</f>
        <v/>
      </c>
      <c r="J151" s="6" t="str">
        <f>IF(AND($A151&lt;&gt;"",$B151&lt;&gt;"",$C151&lt;&gt;"",$D151&lt;&gt;"",$E151&lt;&gt;""),IF(AND($B151="s",OR($C151="SER",$C151="PLH")),"Case MAX Planck Plate "&amp;(INT(((COUNTIFS($B$2:$B151,"s",$C$2:$C151,"SER")+COUNTIFS($B$2:$B151,"s",$C$2:$C151,"PLH"))-1)/96)+1)&amp;": "&amp;CHAR(65+INT(MOD((COUNTIFS($B$2:$B151,"s",$C$2:$C151,"SER")+COUNTIFS($B$2:$B151,"s",$C$2:$C151,"PLH"))-1,96)/12))&amp;(MOD((COUNTIFS($B$2:$B151,"s",$C$2:$C151,"SER")+COUNTIFS($B$2:$B151,"s",$C$2:$C151,"PLH"))-1,12)+1),"N/A"),"")</f>
        <v/>
      </c>
      <c r="K151" s="6" t="str">
        <f>IF(AND($A151&lt;&gt;"",$B151&lt;&gt;"",$C151&lt;&gt;"",$D151&lt;&gt;"",$E151&lt;&gt;""),IF($C151="WB","Case WB Box "&amp;(INT((COUNTIFS($C$2:$C151,"WB")-1)/81)+1)&amp;": "&amp;CHAR(65+INT(MOD(COUNTIFS($C$2:$C151,"WB")-1,81)/9))&amp;(MOD(COUNTIFS($C$2:$C151,"WB")-1,9)+1),"N/A"),"")</f>
        <v/>
      </c>
      <c r="L151" s="2" t="str">
        <f t="shared" si="37"/>
        <v/>
      </c>
      <c r="M151" s="2"/>
      <c r="N151" s="2"/>
      <c r="O151" s="2"/>
      <c r="P151" s="7" t="str">
        <f t="shared" si="38"/>
        <v/>
      </c>
      <c r="Q151" s="7" t="str">
        <f t="shared" si="39"/>
        <v/>
      </c>
      <c r="R151" s="7" t="str">
        <f t="shared" si="40"/>
        <v/>
      </c>
      <c r="S151" s="7" t="str">
        <f t="shared" si="41"/>
        <v/>
      </c>
      <c r="T151" s="7" t="str">
        <f t="shared" si="42"/>
        <v/>
      </c>
      <c r="U151" s="7" t="str">
        <f t="shared" si="43"/>
        <v/>
      </c>
      <c r="V151" s="7" t="str">
        <f t="shared" si="44"/>
        <v/>
      </c>
      <c r="W151" s="7" t="str">
        <f t="shared" si="45"/>
        <v/>
      </c>
      <c r="X151" s="7" t="str">
        <f t="shared" si="46"/>
        <v/>
      </c>
      <c r="Y151" s="7" t="str">
        <f t="shared" si="47"/>
        <v/>
      </c>
      <c r="Z151">
        <f t="shared" si="48"/>
        <v>0</v>
      </c>
      <c r="AA151" t="str">
        <f t="shared" si="49"/>
        <v/>
      </c>
      <c r="AB151" t="str">
        <f t="shared" si="50"/>
        <v/>
      </c>
      <c r="AC151" t="str">
        <f t="shared" si="51"/>
        <v/>
      </c>
      <c r="AD151" t="str">
        <f t="shared" si="52"/>
        <v/>
      </c>
      <c r="AE151">
        <f t="shared" si="53"/>
        <v>0</v>
      </c>
    </row>
    <row r="152" spans="1:31" ht="15" customHeight="1" x14ac:dyDescent="0.35">
      <c r="A152" s="2"/>
      <c r="B152" s="3"/>
      <c r="C152" s="3"/>
      <c r="D152" s="4"/>
      <c r="E152" s="5"/>
      <c r="F152" s="11" t="str">
        <f t="shared" ca="1" si="36"/>
        <v/>
      </c>
      <c r="G152" s="5"/>
      <c r="H152" s="6" t="str">
        <f>IF(AND($A152&lt;&gt;"",$B152&lt;&gt;"",$C152&lt;&gt;"",$D152&lt;&gt;"",$E152&lt;&gt;""),IF(AND($B152="s",OR($C152="SER",$C152="PLH",$C152="CSF")),"Case CDI Plate "&amp;(INT(((COUNTIFS($B$2:$B152,"s",$C$2:$C152,"SER")+COUNTIFS($B$2:$B152,"s",$C$2:$C152,"PLH")+COUNTIFS($B$2:$B152,"s",$C$2:$C152,"CSF"))-1)/96)+1)&amp;": "&amp;CHAR(65+INT(MOD((COUNTIFS($B$2:$B152,"s",$C$2:$C152,"SER")+COUNTIFS($B$2:$B152,"s",$C$2:$C152,"PLH")+COUNTIFS($B$2:$B152,"s",$C$2:$C152,"CSF"))-1,96)/12))&amp;(MOD((COUNTIFS($B$2:$B152,"s",$C$2:$C152,"SER")+COUNTIFS($B$2:$B152,"s",$C$2:$C152,"PLH")+COUNTIFS($B$2:$B152,"s",$C$2:$C152,"CSF"))-1,12)+1),"N/A"),"")</f>
        <v/>
      </c>
      <c r="I152" s="6" t="str">
        <f>IF(AND($A152&lt;&gt;"",$B152&lt;&gt;"",$C152&lt;&gt;"",$D152&lt;&gt;"",$E152&lt;&gt;""),IF(AND($B152="s",OR($C152="SER",$C152="PLH",$C152="CSF")),"Case NIH Plate "&amp;(INT(((COUNTIFS($B$2:$B152,"s",$C$2:$C152,"SER")+COUNTIFS($B$2:$B152,"s",$C$2:$C152,"PLH")+COUNTIFS($B$2:$B152,"s",$C$2:$C152,"CSF"))-1)/96)+1)&amp;": "&amp;CHAR(65+INT(MOD((COUNTIFS($B$2:$B152,"s",$C$2:$C152,"SER")+COUNTIFS($B$2:$B152,"s",$C$2:$C152,"PLH")+COUNTIFS($B$2:$B152,"s",$C$2:$C152,"CSF"))-1,96)/12))&amp;(MOD((COUNTIFS($B$2:$B152,"s",$C$2:$C152,"SER")+COUNTIFS($B$2:$B152,"s",$C$2:$C152,"PLH")+COUNTIFS($B$2:$B152,"s",$C$2:$C152,"CSF"))-1,12)+1),"N/A"),"")</f>
        <v/>
      </c>
      <c r="J152" s="6" t="str">
        <f>IF(AND($A152&lt;&gt;"",$B152&lt;&gt;"",$C152&lt;&gt;"",$D152&lt;&gt;"",$E152&lt;&gt;""),IF(AND($B152="s",OR($C152="SER",$C152="PLH")),"Case MAX Planck Plate "&amp;(INT(((COUNTIFS($B$2:$B152,"s",$C$2:$C152,"SER")+COUNTIFS($B$2:$B152,"s",$C$2:$C152,"PLH"))-1)/96)+1)&amp;": "&amp;CHAR(65+INT(MOD((COUNTIFS($B$2:$B152,"s",$C$2:$C152,"SER")+COUNTIFS($B$2:$B152,"s",$C$2:$C152,"PLH"))-1,96)/12))&amp;(MOD((COUNTIFS($B$2:$B152,"s",$C$2:$C152,"SER")+COUNTIFS($B$2:$B152,"s",$C$2:$C152,"PLH"))-1,12)+1),"N/A"),"")</f>
        <v/>
      </c>
      <c r="K152" s="6" t="str">
        <f>IF(AND($A152&lt;&gt;"",$B152&lt;&gt;"",$C152&lt;&gt;"",$D152&lt;&gt;"",$E152&lt;&gt;""),IF($C152="WB","Case WB Box "&amp;(INT((COUNTIFS($C$2:$C152,"WB")-1)/81)+1)&amp;": "&amp;CHAR(65+INT(MOD(COUNTIFS($C$2:$C152,"WB")-1,81)/9))&amp;(MOD(COUNTIFS($C$2:$C152,"WB")-1,9)+1),"N/A"),"")</f>
        <v/>
      </c>
      <c r="L152" s="2" t="str">
        <f t="shared" si="37"/>
        <v/>
      </c>
      <c r="M152" s="2"/>
      <c r="N152" s="2"/>
      <c r="O152" s="2"/>
      <c r="P152" s="7" t="str">
        <f t="shared" si="38"/>
        <v/>
      </c>
      <c r="Q152" s="7" t="str">
        <f t="shared" si="39"/>
        <v/>
      </c>
      <c r="R152" s="7" t="str">
        <f t="shared" si="40"/>
        <v/>
      </c>
      <c r="S152" s="7" t="str">
        <f t="shared" si="41"/>
        <v/>
      </c>
      <c r="T152" s="7" t="str">
        <f t="shared" si="42"/>
        <v/>
      </c>
      <c r="U152" s="7" t="str">
        <f t="shared" si="43"/>
        <v/>
      </c>
      <c r="V152" s="7" t="str">
        <f t="shared" si="44"/>
        <v/>
      </c>
      <c r="W152" s="7" t="str">
        <f t="shared" si="45"/>
        <v/>
      </c>
      <c r="X152" s="7" t="str">
        <f t="shared" si="46"/>
        <v/>
      </c>
      <c r="Y152" s="7" t="str">
        <f t="shared" si="47"/>
        <v/>
      </c>
      <c r="Z152">
        <f t="shared" si="48"/>
        <v>0</v>
      </c>
      <c r="AA152" t="str">
        <f t="shared" si="49"/>
        <v/>
      </c>
      <c r="AB152" t="str">
        <f t="shared" si="50"/>
        <v/>
      </c>
      <c r="AC152" t="str">
        <f t="shared" si="51"/>
        <v/>
      </c>
      <c r="AD152" t="str">
        <f t="shared" si="52"/>
        <v/>
      </c>
      <c r="AE152">
        <f t="shared" si="53"/>
        <v>0</v>
      </c>
    </row>
    <row r="153" spans="1:31" ht="15" customHeight="1" x14ac:dyDescent="0.35">
      <c r="A153" s="2"/>
      <c r="B153" s="3"/>
      <c r="C153" s="3"/>
      <c r="D153" s="4"/>
      <c r="E153" s="5"/>
      <c r="F153" s="11" t="str">
        <f t="shared" ca="1" si="36"/>
        <v/>
      </c>
      <c r="G153" s="5"/>
      <c r="H153" s="6" t="str">
        <f>IF(AND($A153&lt;&gt;"",$B153&lt;&gt;"",$C153&lt;&gt;"",$D153&lt;&gt;"",$E153&lt;&gt;""),IF(AND($B153="s",OR($C153="SER",$C153="PLH",$C153="CSF")),"Case CDI Plate "&amp;(INT(((COUNTIFS($B$2:$B153,"s",$C$2:$C153,"SER")+COUNTIFS($B$2:$B153,"s",$C$2:$C153,"PLH")+COUNTIFS($B$2:$B153,"s",$C$2:$C153,"CSF"))-1)/96)+1)&amp;": "&amp;CHAR(65+INT(MOD((COUNTIFS($B$2:$B153,"s",$C$2:$C153,"SER")+COUNTIFS($B$2:$B153,"s",$C$2:$C153,"PLH")+COUNTIFS($B$2:$B153,"s",$C$2:$C153,"CSF"))-1,96)/12))&amp;(MOD((COUNTIFS($B$2:$B153,"s",$C$2:$C153,"SER")+COUNTIFS($B$2:$B153,"s",$C$2:$C153,"PLH")+COUNTIFS($B$2:$B153,"s",$C$2:$C153,"CSF"))-1,12)+1),"N/A"),"")</f>
        <v/>
      </c>
      <c r="I153" s="6" t="str">
        <f>IF(AND($A153&lt;&gt;"",$B153&lt;&gt;"",$C153&lt;&gt;"",$D153&lt;&gt;"",$E153&lt;&gt;""),IF(AND($B153="s",OR($C153="SER",$C153="PLH",$C153="CSF")),"Case NIH Plate "&amp;(INT(((COUNTIFS($B$2:$B153,"s",$C$2:$C153,"SER")+COUNTIFS($B$2:$B153,"s",$C$2:$C153,"PLH")+COUNTIFS($B$2:$B153,"s",$C$2:$C153,"CSF"))-1)/96)+1)&amp;": "&amp;CHAR(65+INT(MOD((COUNTIFS($B$2:$B153,"s",$C$2:$C153,"SER")+COUNTIFS($B$2:$B153,"s",$C$2:$C153,"PLH")+COUNTIFS($B$2:$B153,"s",$C$2:$C153,"CSF"))-1,96)/12))&amp;(MOD((COUNTIFS($B$2:$B153,"s",$C$2:$C153,"SER")+COUNTIFS($B$2:$B153,"s",$C$2:$C153,"PLH")+COUNTIFS($B$2:$B153,"s",$C$2:$C153,"CSF"))-1,12)+1),"N/A"),"")</f>
        <v/>
      </c>
      <c r="J153" s="6" t="str">
        <f>IF(AND($A153&lt;&gt;"",$B153&lt;&gt;"",$C153&lt;&gt;"",$D153&lt;&gt;"",$E153&lt;&gt;""),IF(AND($B153="s",OR($C153="SER",$C153="PLH")),"Case MAX Planck Plate "&amp;(INT(((COUNTIFS($B$2:$B153,"s",$C$2:$C153,"SER")+COUNTIFS($B$2:$B153,"s",$C$2:$C153,"PLH"))-1)/96)+1)&amp;": "&amp;CHAR(65+INT(MOD((COUNTIFS($B$2:$B153,"s",$C$2:$C153,"SER")+COUNTIFS($B$2:$B153,"s",$C$2:$C153,"PLH"))-1,96)/12))&amp;(MOD((COUNTIFS($B$2:$B153,"s",$C$2:$C153,"SER")+COUNTIFS($B$2:$B153,"s",$C$2:$C153,"PLH"))-1,12)+1),"N/A"),"")</f>
        <v/>
      </c>
      <c r="K153" s="6" t="str">
        <f>IF(AND($A153&lt;&gt;"",$B153&lt;&gt;"",$C153&lt;&gt;"",$D153&lt;&gt;"",$E153&lt;&gt;""),IF($C153="WB","Case WB Box "&amp;(INT((COUNTIFS($C$2:$C153,"WB")-1)/81)+1)&amp;": "&amp;CHAR(65+INT(MOD(COUNTIFS($C$2:$C153,"WB")-1,81)/9))&amp;(MOD(COUNTIFS($C$2:$C153,"WB")-1,9)+1),"N/A"),"")</f>
        <v/>
      </c>
      <c r="L153" s="2" t="str">
        <f t="shared" si="37"/>
        <v/>
      </c>
      <c r="M153" s="2"/>
      <c r="N153" s="2"/>
      <c r="O153" s="2"/>
      <c r="P153" s="7" t="str">
        <f t="shared" si="38"/>
        <v/>
      </c>
      <c r="Q153" s="7" t="str">
        <f t="shared" si="39"/>
        <v/>
      </c>
      <c r="R153" s="7" t="str">
        <f t="shared" si="40"/>
        <v/>
      </c>
      <c r="S153" s="7" t="str">
        <f t="shared" si="41"/>
        <v/>
      </c>
      <c r="T153" s="7" t="str">
        <f t="shared" si="42"/>
        <v/>
      </c>
      <c r="U153" s="7" t="str">
        <f t="shared" si="43"/>
        <v/>
      </c>
      <c r="V153" s="7" t="str">
        <f t="shared" si="44"/>
        <v/>
      </c>
      <c r="W153" s="7" t="str">
        <f t="shared" si="45"/>
        <v/>
      </c>
      <c r="X153" s="7" t="str">
        <f t="shared" si="46"/>
        <v/>
      </c>
      <c r="Y153" s="7" t="str">
        <f t="shared" si="47"/>
        <v/>
      </c>
      <c r="Z153">
        <f t="shared" si="48"/>
        <v>0</v>
      </c>
      <c r="AA153" t="str">
        <f t="shared" si="49"/>
        <v/>
      </c>
      <c r="AB153" t="str">
        <f t="shared" si="50"/>
        <v/>
      </c>
      <c r="AC153" t="str">
        <f t="shared" si="51"/>
        <v/>
      </c>
      <c r="AD153" t="str">
        <f t="shared" si="52"/>
        <v/>
      </c>
      <c r="AE153">
        <f t="shared" si="53"/>
        <v>0</v>
      </c>
    </row>
    <row r="154" spans="1:31" ht="15" customHeight="1" x14ac:dyDescent="0.35">
      <c r="A154" s="2"/>
      <c r="B154" s="3"/>
      <c r="C154" s="3"/>
      <c r="D154" s="4"/>
      <c r="E154" s="5"/>
      <c r="F154" s="11" t="str">
        <f t="shared" ca="1" si="36"/>
        <v/>
      </c>
      <c r="G154" s="5"/>
      <c r="H154" s="6" t="str">
        <f>IF(AND($A154&lt;&gt;"",$B154&lt;&gt;"",$C154&lt;&gt;"",$D154&lt;&gt;"",$E154&lt;&gt;""),IF(AND($B154="s",OR($C154="SER",$C154="PLH",$C154="CSF")),"Case CDI Plate "&amp;(INT(((COUNTIFS($B$2:$B154,"s",$C$2:$C154,"SER")+COUNTIFS($B$2:$B154,"s",$C$2:$C154,"PLH")+COUNTIFS($B$2:$B154,"s",$C$2:$C154,"CSF"))-1)/96)+1)&amp;": "&amp;CHAR(65+INT(MOD((COUNTIFS($B$2:$B154,"s",$C$2:$C154,"SER")+COUNTIFS($B$2:$B154,"s",$C$2:$C154,"PLH")+COUNTIFS($B$2:$B154,"s",$C$2:$C154,"CSF"))-1,96)/12))&amp;(MOD((COUNTIFS($B$2:$B154,"s",$C$2:$C154,"SER")+COUNTIFS($B$2:$B154,"s",$C$2:$C154,"PLH")+COUNTIFS($B$2:$B154,"s",$C$2:$C154,"CSF"))-1,12)+1),"N/A"),"")</f>
        <v/>
      </c>
      <c r="I154" s="6" t="str">
        <f>IF(AND($A154&lt;&gt;"",$B154&lt;&gt;"",$C154&lt;&gt;"",$D154&lt;&gt;"",$E154&lt;&gt;""),IF(AND($B154="s",OR($C154="SER",$C154="PLH",$C154="CSF")),"Case NIH Plate "&amp;(INT(((COUNTIFS($B$2:$B154,"s",$C$2:$C154,"SER")+COUNTIFS($B$2:$B154,"s",$C$2:$C154,"PLH")+COUNTIFS($B$2:$B154,"s",$C$2:$C154,"CSF"))-1)/96)+1)&amp;": "&amp;CHAR(65+INT(MOD((COUNTIFS($B$2:$B154,"s",$C$2:$C154,"SER")+COUNTIFS($B$2:$B154,"s",$C$2:$C154,"PLH")+COUNTIFS($B$2:$B154,"s",$C$2:$C154,"CSF"))-1,96)/12))&amp;(MOD((COUNTIFS($B$2:$B154,"s",$C$2:$C154,"SER")+COUNTIFS($B$2:$B154,"s",$C$2:$C154,"PLH")+COUNTIFS($B$2:$B154,"s",$C$2:$C154,"CSF"))-1,12)+1),"N/A"),"")</f>
        <v/>
      </c>
      <c r="J154" s="6" t="str">
        <f>IF(AND($A154&lt;&gt;"",$B154&lt;&gt;"",$C154&lt;&gt;"",$D154&lt;&gt;"",$E154&lt;&gt;""),IF(AND($B154="s",OR($C154="SER",$C154="PLH")),"Case MAX Planck Plate "&amp;(INT(((COUNTIFS($B$2:$B154,"s",$C$2:$C154,"SER")+COUNTIFS($B$2:$B154,"s",$C$2:$C154,"PLH"))-1)/96)+1)&amp;": "&amp;CHAR(65+INT(MOD((COUNTIFS($B$2:$B154,"s",$C$2:$C154,"SER")+COUNTIFS($B$2:$B154,"s",$C$2:$C154,"PLH"))-1,96)/12))&amp;(MOD((COUNTIFS($B$2:$B154,"s",$C$2:$C154,"SER")+COUNTIFS($B$2:$B154,"s",$C$2:$C154,"PLH"))-1,12)+1),"N/A"),"")</f>
        <v/>
      </c>
      <c r="K154" s="6" t="str">
        <f>IF(AND($A154&lt;&gt;"",$B154&lt;&gt;"",$C154&lt;&gt;"",$D154&lt;&gt;"",$E154&lt;&gt;""),IF($C154="WB","Case WB Box "&amp;(INT((COUNTIFS($C$2:$C154,"WB")-1)/81)+1)&amp;": "&amp;CHAR(65+INT(MOD(COUNTIFS($C$2:$C154,"WB")-1,81)/9))&amp;(MOD(COUNTIFS($C$2:$C154,"WB")-1,9)+1),"N/A"),"")</f>
        <v/>
      </c>
      <c r="L154" s="2" t="str">
        <f t="shared" si="37"/>
        <v/>
      </c>
      <c r="M154" s="2"/>
      <c r="N154" s="2"/>
      <c r="O154" s="2"/>
      <c r="P154" s="7" t="str">
        <f t="shared" si="38"/>
        <v/>
      </c>
      <c r="Q154" s="7" t="str">
        <f t="shared" si="39"/>
        <v/>
      </c>
      <c r="R154" s="7" t="str">
        <f t="shared" si="40"/>
        <v/>
      </c>
      <c r="S154" s="7" t="str">
        <f t="shared" si="41"/>
        <v/>
      </c>
      <c r="T154" s="7" t="str">
        <f t="shared" si="42"/>
        <v/>
      </c>
      <c r="U154" s="7" t="str">
        <f t="shared" si="43"/>
        <v/>
      </c>
      <c r="V154" s="7" t="str">
        <f t="shared" si="44"/>
        <v/>
      </c>
      <c r="W154" s="7" t="str">
        <f t="shared" si="45"/>
        <v/>
      </c>
      <c r="X154" s="7" t="str">
        <f t="shared" si="46"/>
        <v/>
      </c>
      <c r="Y154" s="7" t="str">
        <f t="shared" si="47"/>
        <v/>
      </c>
      <c r="Z154">
        <f t="shared" si="48"/>
        <v>0</v>
      </c>
      <c r="AA154" t="str">
        <f t="shared" si="49"/>
        <v/>
      </c>
      <c r="AB154" t="str">
        <f t="shared" si="50"/>
        <v/>
      </c>
      <c r="AC154" t="str">
        <f t="shared" si="51"/>
        <v/>
      </c>
      <c r="AD154" t="str">
        <f t="shared" si="52"/>
        <v/>
      </c>
      <c r="AE154">
        <f t="shared" si="53"/>
        <v>0</v>
      </c>
    </row>
    <row r="155" spans="1:31" ht="15" customHeight="1" x14ac:dyDescent="0.35">
      <c r="A155" s="2"/>
      <c r="B155" s="3"/>
      <c r="C155" s="3"/>
      <c r="D155" s="4"/>
      <c r="E155" s="5"/>
      <c r="F155" s="11" t="str">
        <f t="shared" ca="1" si="36"/>
        <v/>
      </c>
      <c r="G155" s="5"/>
      <c r="H155" s="6" t="str">
        <f>IF(AND($A155&lt;&gt;"",$B155&lt;&gt;"",$C155&lt;&gt;"",$D155&lt;&gt;"",$E155&lt;&gt;""),IF(AND($B155="s",OR($C155="SER",$C155="PLH",$C155="CSF")),"Case CDI Plate "&amp;(INT(((COUNTIFS($B$2:$B155,"s",$C$2:$C155,"SER")+COUNTIFS($B$2:$B155,"s",$C$2:$C155,"PLH")+COUNTIFS($B$2:$B155,"s",$C$2:$C155,"CSF"))-1)/96)+1)&amp;": "&amp;CHAR(65+INT(MOD((COUNTIFS($B$2:$B155,"s",$C$2:$C155,"SER")+COUNTIFS($B$2:$B155,"s",$C$2:$C155,"PLH")+COUNTIFS($B$2:$B155,"s",$C$2:$C155,"CSF"))-1,96)/12))&amp;(MOD((COUNTIFS($B$2:$B155,"s",$C$2:$C155,"SER")+COUNTIFS($B$2:$B155,"s",$C$2:$C155,"PLH")+COUNTIFS($B$2:$B155,"s",$C$2:$C155,"CSF"))-1,12)+1),"N/A"),"")</f>
        <v/>
      </c>
      <c r="I155" s="6" t="str">
        <f>IF(AND($A155&lt;&gt;"",$B155&lt;&gt;"",$C155&lt;&gt;"",$D155&lt;&gt;"",$E155&lt;&gt;""),IF(AND($B155="s",OR($C155="SER",$C155="PLH",$C155="CSF")),"Case NIH Plate "&amp;(INT(((COUNTIFS($B$2:$B155,"s",$C$2:$C155,"SER")+COUNTIFS($B$2:$B155,"s",$C$2:$C155,"PLH")+COUNTIFS($B$2:$B155,"s",$C$2:$C155,"CSF"))-1)/96)+1)&amp;": "&amp;CHAR(65+INT(MOD((COUNTIFS($B$2:$B155,"s",$C$2:$C155,"SER")+COUNTIFS($B$2:$B155,"s",$C$2:$C155,"PLH")+COUNTIFS($B$2:$B155,"s",$C$2:$C155,"CSF"))-1,96)/12))&amp;(MOD((COUNTIFS($B$2:$B155,"s",$C$2:$C155,"SER")+COUNTIFS($B$2:$B155,"s",$C$2:$C155,"PLH")+COUNTIFS($B$2:$B155,"s",$C$2:$C155,"CSF"))-1,12)+1),"N/A"),"")</f>
        <v/>
      </c>
      <c r="J155" s="6" t="str">
        <f>IF(AND($A155&lt;&gt;"",$B155&lt;&gt;"",$C155&lt;&gt;"",$D155&lt;&gt;"",$E155&lt;&gt;""),IF(AND($B155="s",OR($C155="SER",$C155="PLH")),"Case MAX Planck Plate "&amp;(INT(((COUNTIFS($B$2:$B155,"s",$C$2:$C155,"SER")+COUNTIFS($B$2:$B155,"s",$C$2:$C155,"PLH"))-1)/96)+1)&amp;": "&amp;CHAR(65+INT(MOD((COUNTIFS($B$2:$B155,"s",$C$2:$C155,"SER")+COUNTIFS($B$2:$B155,"s",$C$2:$C155,"PLH"))-1,96)/12))&amp;(MOD((COUNTIFS($B$2:$B155,"s",$C$2:$C155,"SER")+COUNTIFS($B$2:$B155,"s",$C$2:$C155,"PLH"))-1,12)+1),"N/A"),"")</f>
        <v/>
      </c>
      <c r="K155" s="6" t="str">
        <f>IF(AND($A155&lt;&gt;"",$B155&lt;&gt;"",$C155&lt;&gt;"",$D155&lt;&gt;"",$E155&lt;&gt;""),IF($C155="WB","Case WB Box "&amp;(INT((COUNTIFS($C$2:$C155,"WB")-1)/81)+1)&amp;": "&amp;CHAR(65+INT(MOD(COUNTIFS($C$2:$C155,"WB")-1,81)/9))&amp;(MOD(COUNTIFS($C$2:$C155,"WB")-1,9)+1),"N/A"),"")</f>
        <v/>
      </c>
      <c r="L155" s="2" t="str">
        <f t="shared" si="37"/>
        <v/>
      </c>
      <c r="M155" s="2"/>
      <c r="N155" s="2"/>
      <c r="O155" s="2"/>
      <c r="P155" s="7" t="str">
        <f t="shared" si="38"/>
        <v/>
      </c>
      <c r="Q155" s="7" t="str">
        <f t="shared" si="39"/>
        <v/>
      </c>
      <c r="R155" s="7" t="str">
        <f t="shared" si="40"/>
        <v/>
      </c>
      <c r="S155" s="7" t="str">
        <f t="shared" si="41"/>
        <v/>
      </c>
      <c r="T155" s="7" t="str">
        <f t="shared" si="42"/>
        <v/>
      </c>
      <c r="U155" s="7" t="str">
        <f t="shared" si="43"/>
        <v/>
      </c>
      <c r="V155" s="7" t="str">
        <f t="shared" si="44"/>
        <v/>
      </c>
      <c r="W155" s="7" t="str">
        <f t="shared" si="45"/>
        <v/>
      </c>
      <c r="X155" s="7" t="str">
        <f t="shared" si="46"/>
        <v/>
      </c>
      <c r="Y155" s="7" t="str">
        <f t="shared" si="47"/>
        <v/>
      </c>
      <c r="Z155">
        <f t="shared" si="48"/>
        <v>0</v>
      </c>
      <c r="AA155" t="str">
        <f t="shared" si="49"/>
        <v/>
      </c>
      <c r="AB155" t="str">
        <f t="shared" si="50"/>
        <v/>
      </c>
      <c r="AC155" t="str">
        <f t="shared" si="51"/>
        <v/>
      </c>
      <c r="AD155" t="str">
        <f t="shared" si="52"/>
        <v/>
      </c>
      <c r="AE155">
        <f t="shared" si="53"/>
        <v>0</v>
      </c>
    </row>
    <row r="156" spans="1:31" ht="15" customHeight="1" x14ac:dyDescent="0.35">
      <c r="A156" s="2"/>
      <c r="B156" s="3"/>
      <c r="C156" s="3"/>
      <c r="D156" s="4"/>
      <c r="E156" s="5"/>
      <c r="F156" s="11" t="str">
        <f t="shared" ca="1" si="36"/>
        <v/>
      </c>
      <c r="G156" s="5"/>
      <c r="H156" s="6" t="str">
        <f>IF(AND($A156&lt;&gt;"",$B156&lt;&gt;"",$C156&lt;&gt;"",$D156&lt;&gt;"",$E156&lt;&gt;""),IF(AND($B156="s",OR($C156="SER",$C156="PLH",$C156="CSF")),"Case CDI Plate "&amp;(INT(((COUNTIFS($B$2:$B156,"s",$C$2:$C156,"SER")+COUNTIFS($B$2:$B156,"s",$C$2:$C156,"PLH")+COUNTIFS($B$2:$B156,"s",$C$2:$C156,"CSF"))-1)/96)+1)&amp;": "&amp;CHAR(65+INT(MOD((COUNTIFS($B$2:$B156,"s",$C$2:$C156,"SER")+COUNTIFS($B$2:$B156,"s",$C$2:$C156,"PLH")+COUNTIFS($B$2:$B156,"s",$C$2:$C156,"CSF"))-1,96)/12))&amp;(MOD((COUNTIFS($B$2:$B156,"s",$C$2:$C156,"SER")+COUNTIFS($B$2:$B156,"s",$C$2:$C156,"PLH")+COUNTIFS($B$2:$B156,"s",$C$2:$C156,"CSF"))-1,12)+1),"N/A"),"")</f>
        <v/>
      </c>
      <c r="I156" s="6" t="str">
        <f>IF(AND($A156&lt;&gt;"",$B156&lt;&gt;"",$C156&lt;&gt;"",$D156&lt;&gt;"",$E156&lt;&gt;""),IF(AND($B156="s",OR($C156="SER",$C156="PLH",$C156="CSF")),"Case NIH Plate "&amp;(INT(((COUNTIFS($B$2:$B156,"s",$C$2:$C156,"SER")+COUNTIFS($B$2:$B156,"s",$C$2:$C156,"PLH")+COUNTIFS($B$2:$B156,"s",$C$2:$C156,"CSF"))-1)/96)+1)&amp;": "&amp;CHAR(65+INT(MOD((COUNTIFS($B$2:$B156,"s",$C$2:$C156,"SER")+COUNTIFS($B$2:$B156,"s",$C$2:$C156,"PLH")+COUNTIFS($B$2:$B156,"s",$C$2:$C156,"CSF"))-1,96)/12))&amp;(MOD((COUNTIFS($B$2:$B156,"s",$C$2:$C156,"SER")+COUNTIFS($B$2:$B156,"s",$C$2:$C156,"PLH")+COUNTIFS($B$2:$B156,"s",$C$2:$C156,"CSF"))-1,12)+1),"N/A"),"")</f>
        <v/>
      </c>
      <c r="J156" s="6" t="str">
        <f>IF(AND($A156&lt;&gt;"",$B156&lt;&gt;"",$C156&lt;&gt;"",$D156&lt;&gt;"",$E156&lt;&gt;""),IF(AND($B156="s",OR($C156="SER",$C156="PLH")),"Case MAX Planck Plate "&amp;(INT(((COUNTIFS($B$2:$B156,"s",$C$2:$C156,"SER")+COUNTIFS($B$2:$B156,"s",$C$2:$C156,"PLH"))-1)/96)+1)&amp;": "&amp;CHAR(65+INT(MOD((COUNTIFS($B$2:$B156,"s",$C$2:$C156,"SER")+COUNTIFS($B$2:$B156,"s",$C$2:$C156,"PLH"))-1,96)/12))&amp;(MOD((COUNTIFS($B$2:$B156,"s",$C$2:$C156,"SER")+COUNTIFS($B$2:$B156,"s",$C$2:$C156,"PLH"))-1,12)+1),"N/A"),"")</f>
        <v/>
      </c>
      <c r="K156" s="6" t="str">
        <f>IF(AND($A156&lt;&gt;"",$B156&lt;&gt;"",$C156&lt;&gt;"",$D156&lt;&gt;"",$E156&lt;&gt;""),IF($C156="WB","Case WB Box "&amp;(INT((COUNTIFS($C$2:$C156,"WB")-1)/81)+1)&amp;": "&amp;CHAR(65+INT(MOD(COUNTIFS($C$2:$C156,"WB")-1,81)/9))&amp;(MOD(COUNTIFS($C$2:$C156,"WB")-1,9)+1),"N/A"),"")</f>
        <v/>
      </c>
      <c r="L156" s="2" t="str">
        <f t="shared" si="37"/>
        <v/>
      </c>
      <c r="M156" s="2"/>
      <c r="N156" s="2"/>
      <c r="O156" s="2"/>
      <c r="P156" s="7" t="str">
        <f t="shared" si="38"/>
        <v/>
      </c>
      <c r="Q156" s="7" t="str">
        <f t="shared" si="39"/>
        <v/>
      </c>
      <c r="R156" s="7" t="str">
        <f t="shared" si="40"/>
        <v/>
      </c>
      <c r="S156" s="7" t="str">
        <f t="shared" si="41"/>
        <v/>
      </c>
      <c r="T156" s="7" t="str">
        <f t="shared" si="42"/>
        <v/>
      </c>
      <c r="U156" s="7" t="str">
        <f t="shared" si="43"/>
        <v/>
      </c>
      <c r="V156" s="7" t="str">
        <f t="shared" si="44"/>
        <v/>
      </c>
      <c r="W156" s="7" t="str">
        <f t="shared" si="45"/>
        <v/>
      </c>
      <c r="X156" s="7" t="str">
        <f t="shared" si="46"/>
        <v/>
      </c>
      <c r="Y156" s="7" t="str">
        <f t="shared" si="47"/>
        <v/>
      </c>
      <c r="Z156">
        <f t="shared" si="48"/>
        <v>0</v>
      </c>
      <c r="AA156" t="str">
        <f t="shared" si="49"/>
        <v/>
      </c>
      <c r="AB156" t="str">
        <f t="shared" si="50"/>
        <v/>
      </c>
      <c r="AC156" t="str">
        <f t="shared" si="51"/>
        <v/>
      </c>
      <c r="AD156" t="str">
        <f t="shared" si="52"/>
        <v/>
      </c>
      <c r="AE156">
        <f t="shared" si="53"/>
        <v>0</v>
      </c>
    </row>
    <row r="157" spans="1:31" ht="15" customHeight="1" x14ac:dyDescent="0.35">
      <c r="A157" s="2"/>
      <c r="B157" s="3"/>
      <c r="C157" s="3"/>
      <c r="D157" s="4"/>
      <c r="E157" s="5"/>
      <c r="F157" s="11" t="str">
        <f t="shared" ca="1" si="36"/>
        <v/>
      </c>
      <c r="G157" s="5"/>
      <c r="H157" s="6" t="str">
        <f>IF(AND($A157&lt;&gt;"",$B157&lt;&gt;"",$C157&lt;&gt;"",$D157&lt;&gt;"",$E157&lt;&gt;""),IF(AND($B157="s",OR($C157="SER",$C157="PLH",$C157="CSF")),"Case CDI Plate "&amp;(INT(((COUNTIFS($B$2:$B157,"s",$C$2:$C157,"SER")+COUNTIFS($B$2:$B157,"s",$C$2:$C157,"PLH")+COUNTIFS($B$2:$B157,"s",$C$2:$C157,"CSF"))-1)/96)+1)&amp;": "&amp;CHAR(65+INT(MOD((COUNTIFS($B$2:$B157,"s",$C$2:$C157,"SER")+COUNTIFS($B$2:$B157,"s",$C$2:$C157,"PLH")+COUNTIFS($B$2:$B157,"s",$C$2:$C157,"CSF"))-1,96)/12))&amp;(MOD((COUNTIFS($B$2:$B157,"s",$C$2:$C157,"SER")+COUNTIFS($B$2:$B157,"s",$C$2:$C157,"PLH")+COUNTIFS($B$2:$B157,"s",$C$2:$C157,"CSF"))-1,12)+1),"N/A"),"")</f>
        <v/>
      </c>
      <c r="I157" s="6" t="str">
        <f>IF(AND($A157&lt;&gt;"",$B157&lt;&gt;"",$C157&lt;&gt;"",$D157&lt;&gt;"",$E157&lt;&gt;""),IF(AND($B157="s",OR($C157="SER",$C157="PLH",$C157="CSF")),"Case NIH Plate "&amp;(INT(((COUNTIFS($B$2:$B157,"s",$C$2:$C157,"SER")+COUNTIFS($B$2:$B157,"s",$C$2:$C157,"PLH")+COUNTIFS($B$2:$B157,"s",$C$2:$C157,"CSF"))-1)/96)+1)&amp;": "&amp;CHAR(65+INT(MOD((COUNTIFS($B$2:$B157,"s",$C$2:$C157,"SER")+COUNTIFS($B$2:$B157,"s",$C$2:$C157,"PLH")+COUNTIFS($B$2:$B157,"s",$C$2:$C157,"CSF"))-1,96)/12))&amp;(MOD((COUNTIFS($B$2:$B157,"s",$C$2:$C157,"SER")+COUNTIFS($B$2:$B157,"s",$C$2:$C157,"PLH")+COUNTIFS($B$2:$B157,"s",$C$2:$C157,"CSF"))-1,12)+1),"N/A"),"")</f>
        <v/>
      </c>
      <c r="J157" s="6" t="str">
        <f>IF(AND($A157&lt;&gt;"",$B157&lt;&gt;"",$C157&lt;&gt;"",$D157&lt;&gt;"",$E157&lt;&gt;""),IF(AND($B157="s",OR($C157="SER",$C157="PLH")),"Case MAX Planck Plate "&amp;(INT(((COUNTIFS($B$2:$B157,"s",$C$2:$C157,"SER")+COUNTIFS($B$2:$B157,"s",$C$2:$C157,"PLH"))-1)/96)+1)&amp;": "&amp;CHAR(65+INT(MOD((COUNTIFS($B$2:$B157,"s",$C$2:$C157,"SER")+COUNTIFS($B$2:$B157,"s",$C$2:$C157,"PLH"))-1,96)/12))&amp;(MOD((COUNTIFS($B$2:$B157,"s",$C$2:$C157,"SER")+COUNTIFS($B$2:$B157,"s",$C$2:$C157,"PLH"))-1,12)+1),"N/A"),"")</f>
        <v/>
      </c>
      <c r="K157" s="6" t="str">
        <f>IF(AND($A157&lt;&gt;"",$B157&lt;&gt;"",$C157&lt;&gt;"",$D157&lt;&gt;"",$E157&lt;&gt;""),IF($C157="WB","Case WB Box "&amp;(INT((COUNTIFS($C$2:$C157,"WB")-1)/81)+1)&amp;": "&amp;CHAR(65+INT(MOD(COUNTIFS($C$2:$C157,"WB")-1,81)/9))&amp;(MOD(COUNTIFS($C$2:$C157,"WB")-1,9)+1),"N/A"),"")</f>
        <v/>
      </c>
      <c r="L157" s="2" t="str">
        <f t="shared" si="37"/>
        <v/>
      </c>
      <c r="M157" s="2"/>
      <c r="N157" s="2"/>
      <c r="O157" s="2"/>
      <c r="P157" s="7" t="str">
        <f t="shared" si="38"/>
        <v/>
      </c>
      <c r="Q157" s="7" t="str">
        <f t="shared" si="39"/>
        <v/>
      </c>
      <c r="R157" s="7" t="str">
        <f t="shared" si="40"/>
        <v/>
      </c>
      <c r="S157" s="7" t="str">
        <f t="shared" si="41"/>
        <v/>
      </c>
      <c r="T157" s="7" t="str">
        <f t="shared" si="42"/>
        <v/>
      </c>
      <c r="U157" s="7" t="str">
        <f t="shared" si="43"/>
        <v/>
      </c>
      <c r="V157" s="7" t="str">
        <f t="shared" si="44"/>
        <v/>
      </c>
      <c r="W157" s="7" t="str">
        <f t="shared" si="45"/>
        <v/>
      </c>
      <c r="X157" s="7" t="str">
        <f t="shared" si="46"/>
        <v/>
      </c>
      <c r="Y157" s="7" t="str">
        <f t="shared" si="47"/>
        <v/>
      </c>
      <c r="Z157">
        <f t="shared" si="48"/>
        <v>0</v>
      </c>
      <c r="AA157" t="str">
        <f t="shared" si="49"/>
        <v/>
      </c>
      <c r="AB157" t="str">
        <f t="shared" si="50"/>
        <v/>
      </c>
      <c r="AC157" t="str">
        <f t="shared" si="51"/>
        <v/>
      </c>
      <c r="AD157" t="str">
        <f t="shared" si="52"/>
        <v/>
      </c>
      <c r="AE157">
        <f t="shared" si="53"/>
        <v>0</v>
      </c>
    </row>
    <row r="158" spans="1:31" ht="15" customHeight="1" x14ac:dyDescent="0.35">
      <c r="A158" s="2"/>
      <c r="B158" s="3"/>
      <c r="C158" s="3"/>
      <c r="D158" s="4"/>
      <c r="E158" s="5"/>
      <c r="F158" s="11" t="str">
        <f t="shared" ca="1" si="36"/>
        <v/>
      </c>
      <c r="G158" s="5"/>
      <c r="H158" s="6" t="str">
        <f>IF(AND($A158&lt;&gt;"",$B158&lt;&gt;"",$C158&lt;&gt;"",$D158&lt;&gt;"",$E158&lt;&gt;""),IF(AND($B158="s",OR($C158="SER",$C158="PLH",$C158="CSF")),"Case CDI Plate "&amp;(INT(((COUNTIFS($B$2:$B158,"s",$C$2:$C158,"SER")+COUNTIFS($B$2:$B158,"s",$C$2:$C158,"PLH")+COUNTIFS($B$2:$B158,"s",$C$2:$C158,"CSF"))-1)/96)+1)&amp;": "&amp;CHAR(65+INT(MOD((COUNTIFS($B$2:$B158,"s",$C$2:$C158,"SER")+COUNTIFS($B$2:$B158,"s",$C$2:$C158,"PLH")+COUNTIFS($B$2:$B158,"s",$C$2:$C158,"CSF"))-1,96)/12))&amp;(MOD((COUNTIFS($B$2:$B158,"s",$C$2:$C158,"SER")+COUNTIFS($B$2:$B158,"s",$C$2:$C158,"PLH")+COUNTIFS($B$2:$B158,"s",$C$2:$C158,"CSF"))-1,12)+1),"N/A"),"")</f>
        <v/>
      </c>
      <c r="I158" s="6" t="str">
        <f>IF(AND($A158&lt;&gt;"",$B158&lt;&gt;"",$C158&lt;&gt;"",$D158&lt;&gt;"",$E158&lt;&gt;""),IF(AND($B158="s",OR($C158="SER",$C158="PLH",$C158="CSF")),"Case NIH Plate "&amp;(INT(((COUNTIFS($B$2:$B158,"s",$C$2:$C158,"SER")+COUNTIFS($B$2:$B158,"s",$C$2:$C158,"PLH")+COUNTIFS($B$2:$B158,"s",$C$2:$C158,"CSF"))-1)/96)+1)&amp;": "&amp;CHAR(65+INT(MOD((COUNTIFS($B$2:$B158,"s",$C$2:$C158,"SER")+COUNTIFS($B$2:$B158,"s",$C$2:$C158,"PLH")+COUNTIFS($B$2:$B158,"s",$C$2:$C158,"CSF"))-1,96)/12))&amp;(MOD((COUNTIFS($B$2:$B158,"s",$C$2:$C158,"SER")+COUNTIFS($B$2:$B158,"s",$C$2:$C158,"PLH")+COUNTIFS($B$2:$B158,"s",$C$2:$C158,"CSF"))-1,12)+1),"N/A"),"")</f>
        <v/>
      </c>
      <c r="J158" s="6" t="str">
        <f>IF(AND($A158&lt;&gt;"",$B158&lt;&gt;"",$C158&lt;&gt;"",$D158&lt;&gt;"",$E158&lt;&gt;""),IF(AND($B158="s",OR($C158="SER",$C158="PLH")),"Case MAX Planck Plate "&amp;(INT(((COUNTIFS($B$2:$B158,"s",$C$2:$C158,"SER")+COUNTIFS($B$2:$B158,"s",$C$2:$C158,"PLH"))-1)/96)+1)&amp;": "&amp;CHAR(65+INT(MOD((COUNTIFS($B$2:$B158,"s",$C$2:$C158,"SER")+COUNTIFS($B$2:$B158,"s",$C$2:$C158,"PLH"))-1,96)/12))&amp;(MOD((COUNTIFS($B$2:$B158,"s",$C$2:$C158,"SER")+COUNTIFS($B$2:$B158,"s",$C$2:$C158,"PLH"))-1,12)+1),"N/A"),"")</f>
        <v/>
      </c>
      <c r="K158" s="6" t="str">
        <f>IF(AND($A158&lt;&gt;"",$B158&lt;&gt;"",$C158&lt;&gt;"",$D158&lt;&gt;"",$E158&lt;&gt;""),IF($C158="WB","Case WB Box "&amp;(INT((COUNTIFS($C$2:$C158,"WB")-1)/81)+1)&amp;": "&amp;CHAR(65+INT(MOD(COUNTIFS($C$2:$C158,"WB")-1,81)/9))&amp;(MOD(COUNTIFS($C$2:$C158,"WB")-1,9)+1),"N/A"),"")</f>
        <v/>
      </c>
      <c r="L158" s="2" t="str">
        <f t="shared" si="37"/>
        <v/>
      </c>
      <c r="M158" s="2"/>
      <c r="N158" s="2"/>
      <c r="O158" s="2"/>
      <c r="P158" s="7" t="str">
        <f t="shared" si="38"/>
        <v/>
      </c>
      <c r="Q158" s="7" t="str">
        <f t="shared" si="39"/>
        <v/>
      </c>
      <c r="R158" s="7" t="str">
        <f t="shared" si="40"/>
        <v/>
      </c>
      <c r="S158" s="7" t="str">
        <f t="shared" si="41"/>
        <v/>
      </c>
      <c r="T158" s="7" t="str">
        <f t="shared" si="42"/>
        <v/>
      </c>
      <c r="U158" s="7" t="str">
        <f t="shared" si="43"/>
        <v/>
      </c>
      <c r="V158" s="7" t="str">
        <f t="shared" si="44"/>
        <v/>
      </c>
      <c r="W158" s="7" t="str">
        <f t="shared" si="45"/>
        <v/>
      </c>
      <c r="X158" s="7" t="str">
        <f t="shared" si="46"/>
        <v/>
      </c>
      <c r="Y158" s="7" t="str">
        <f t="shared" si="47"/>
        <v/>
      </c>
      <c r="Z158">
        <f t="shared" si="48"/>
        <v>0</v>
      </c>
      <c r="AA158" t="str">
        <f t="shared" si="49"/>
        <v/>
      </c>
      <c r="AB158" t="str">
        <f t="shared" si="50"/>
        <v/>
      </c>
      <c r="AC158" t="str">
        <f t="shared" si="51"/>
        <v/>
      </c>
      <c r="AD158" t="str">
        <f t="shared" si="52"/>
        <v/>
      </c>
      <c r="AE158">
        <f t="shared" si="53"/>
        <v>0</v>
      </c>
    </row>
    <row r="159" spans="1:31" ht="15" customHeight="1" x14ac:dyDescent="0.35">
      <c r="A159" s="2"/>
      <c r="B159" s="3"/>
      <c r="C159" s="3"/>
      <c r="D159" s="4"/>
      <c r="E159" s="5"/>
      <c r="F159" s="11" t="str">
        <f t="shared" ca="1" si="36"/>
        <v/>
      </c>
      <c r="G159" s="5"/>
      <c r="H159" s="6" t="str">
        <f>IF(AND($A159&lt;&gt;"",$B159&lt;&gt;"",$C159&lt;&gt;"",$D159&lt;&gt;"",$E159&lt;&gt;""),IF(AND($B159="s",OR($C159="SER",$C159="PLH",$C159="CSF")),"Case CDI Plate "&amp;(INT(((COUNTIFS($B$2:$B159,"s",$C$2:$C159,"SER")+COUNTIFS($B$2:$B159,"s",$C$2:$C159,"PLH")+COUNTIFS($B$2:$B159,"s",$C$2:$C159,"CSF"))-1)/96)+1)&amp;": "&amp;CHAR(65+INT(MOD((COUNTIFS($B$2:$B159,"s",$C$2:$C159,"SER")+COUNTIFS($B$2:$B159,"s",$C$2:$C159,"PLH")+COUNTIFS($B$2:$B159,"s",$C$2:$C159,"CSF"))-1,96)/12))&amp;(MOD((COUNTIFS($B$2:$B159,"s",$C$2:$C159,"SER")+COUNTIFS($B$2:$B159,"s",$C$2:$C159,"PLH")+COUNTIFS($B$2:$B159,"s",$C$2:$C159,"CSF"))-1,12)+1),"N/A"),"")</f>
        <v/>
      </c>
      <c r="I159" s="6" t="str">
        <f>IF(AND($A159&lt;&gt;"",$B159&lt;&gt;"",$C159&lt;&gt;"",$D159&lt;&gt;"",$E159&lt;&gt;""),IF(AND($B159="s",OR($C159="SER",$C159="PLH",$C159="CSF")),"Case NIH Plate "&amp;(INT(((COUNTIFS($B$2:$B159,"s",$C$2:$C159,"SER")+COUNTIFS($B$2:$B159,"s",$C$2:$C159,"PLH")+COUNTIFS($B$2:$B159,"s",$C$2:$C159,"CSF"))-1)/96)+1)&amp;": "&amp;CHAR(65+INT(MOD((COUNTIFS($B$2:$B159,"s",$C$2:$C159,"SER")+COUNTIFS($B$2:$B159,"s",$C$2:$C159,"PLH")+COUNTIFS($B$2:$B159,"s",$C$2:$C159,"CSF"))-1,96)/12))&amp;(MOD((COUNTIFS($B$2:$B159,"s",$C$2:$C159,"SER")+COUNTIFS($B$2:$B159,"s",$C$2:$C159,"PLH")+COUNTIFS($B$2:$B159,"s",$C$2:$C159,"CSF"))-1,12)+1),"N/A"),"")</f>
        <v/>
      </c>
      <c r="J159" s="6" t="str">
        <f>IF(AND($A159&lt;&gt;"",$B159&lt;&gt;"",$C159&lt;&gt;"",$D159&lt;&gt;"",$E159&lt;&gt;""),IF(AND($B159="s",OR($C159="SER",$C159="PLH")),"Case MAX Planck Plate "&amp;(INT(((COUNTIFS($B$2:$B159,"s",$C$2:$C159,"SER")+COUNTIFS($B$2:$B159,"s",$C$2:$C159,"PLH"))-1)/96)+1)&amp;": "&amp;CHAR(65+INT(MOD((COUNTIFS($B$2:$B159,"s",$C$2:$C159,"SER")+COUNTIFS($B$2:$B159,"s",$C$2:$C159,"PLH"))-1,96)/12))&amp;(MOD((COUNTIFS($B$2:$B159,"s",$C$2:$C159,"SER")+COUNTIFS($B$2:$B159,"s",$C$2:$C159,"PLH"))-1,12)+1),"N/A"),"")</f>
        <v/>
      </c>
      <c r="K159" s="6" t="str">
        <f>IF(AND($A159&lt;&gt;"",$B159&lt;&gt;"",$C159&lt;&gt;"",$D159&lt;&gt;"",$E159&lt;&gt;""),IF($C159="WB","Case WB Box "&amp;(INT((COUNTIFS($C$2:$C159,"WB")-1)/81)+1)&amp;": "&amp;CHAR(65+INT(MOD(COUNTIFS($C$2:$C159,"WB")-1,81)/9))&amp;(MOD(COUNTIFS($C$2:$C159,"WB")-1,9)+1),"N/A"),"")</f>
        <v/>
      </c>
      <c r="L159" s="2" t="str">
        <f t="shared" si="37"/>
        <v/>
      </c>
      <c r="M159" s="2"/>
      <c r="N159" s="2"/>
      <c r="O159" s="2"/>
      <c r="P159" s="7" t="str">
        <f t="shared" si="38"/>
        <v/>
      </c>
      <c r="Q159" s="7" t="str">
        <f t="shared" si="39"/>
        <v/>
      </c>
      <c r="R159" s="7" t="str">
        <f t="shared" si="40"/>
        <v/>
      </c>
      <c r="S159" s="7" t="str">
        <f t="shared" si="41"/>
        <v/>
      </c>
      <c r="T159" s="7" t="str">
        <f t="shared" si="42"/>
        <v/>
      </c>
      <c r="U159" s="7" t="str">
        <f t="shared" si="43"/>
        <v/>
      </c>
      <c r="V159" s="7" t="str">
        <f t="shared" si="44"/>
        <v/>
      </c>
      <c r="W159" s="7" t="str">
        <f t="shared" si="45"/>
        <v/>
      </c>
      <c r="X159" s="7" t="str">
        <f t="shared" si="46"/>
        <v/>
      </c>
      <c r="Y159" s="7" t="str">
        <f t="shared" si="47"/>
        <v/>
      </c>
      <c r="Z159">
        <f t="shared" si="48"/>
        <v>0</v>
      </c>
      <c r="AA159" t="str">
        <f t="shared" si="49"/>
        <v/>
      </c>
      <c r="AB159" t="str">
        <f t="shared" si="50"/>
        <v/>
      </c>
      <c r="AC159" t="str">
        <f t="shared" si="51"/>
        <v/>
      </c>
      <c r="AD159" t="str">
        <f t="shared" si="52"/>
        <v/>
      </c>
      <c r="AE159">
        <f t="shared" si="53"/>
        <v>0</v>
      </c>
    </row>
    <row r="160" spans="1:31" ht="15" customHeight="1" x14ac:dyDescent="0.35">
      <c r="A160" s="2"/>
      <c r="B160" s="3"/>
      <c r="C160" s="3"/>
      <c r="D160" s="4"/>
      <c r="E160" s="5"/>
      <c r="F160" s="11" t="str">
        <f t="shared" ca="1" si="36"/>
        <v/>
      </c>
      <c r="G160" s="5"/>
      <c r="H160" s="6" t="str">
        <f>IF(AND($A160&lt;&gt;"",$B160&lt;&gt;"",$C160&lt;&gt;"",$D160&lt;&gt;"",$E160&lt;&gt;""),IF(AND($B160="s",OR($C160="SER",$C160="PLH",$C160="CSF")),"Case CDI Plate "&amp;(INT(((COUNTIFS($B$2:$B160,"s",$C$2:$C160,"SER")+COUNTIFS($B$2:$B160,"s",$C$2:$C160,"PLH")+COUNTIFS($B$2:$B160,"s",$C$2:$C160,"CSF"))-1)/96)+1)&amp;": "&amp;CHAR(65+INT(MOD((COUNTIFS($B$2:$B160,"s",$C$2:$C160,"SER")+COUNTIFS($B$2:$B160,"s",$C$2:$C160,"PLH")+COUNTIFS($B$2:$B160,"s",$C$2:$C160,"CSF"))-1,96)/12))&amp;(MOD((COUNTIFS($B$2:$B160,"s",$C$2:$C160,"SER")+COUNTIFS($B$2:$B160,"s",$C$2:$C160,"PLH")+COUNTIFS($B$2:$B160,"s",$C$2:$C160,"CSF"))-1,12)+1),"N/A"),"")</f>
        <v/>
      </c>
      <c r="I160" s="6" t="str">
        <f>IF(AND($A160&lt;&gt;"",$B160&lt;&gt;"",$C160&lt;&gt;"",$D160&lt;&gt;"",$E160&lt;&gt;""),IF(AND($B160="s",OR($C160="SER",$C160="PLH",$C160="CSF")),"Case NIH Plate "&amp;(INT(((COUNTIFS($B$2:$B160,"s",$C$2:$C160,"SER")+COUNTIFS($B$2:$B160,"s",$C$2:$C160,"PLH")+COUNTIFS($B$2:$B160,"s",$C$2:$C160,"CSF"))-1)/96)+1)&amp;": "&amp;CHAR(65+INT(MOD((COUNTIFS($B$2:$B160,"s",$C$2:$C160,"SER")+COUNTIFS($B$2:$B160,"s",$C$2:$C160,"PLH")+COUNTIFS($B$2:$B160,"s",$C$2:$C160,"CSF"))-1,96)/12))&amp;(MOD((COUNTIFS($B$2:$B160,"s",$C$2:$C160,"SER")+COUNTIFS($B$2:$B160,"s",$C$2:$C160,"PLH")+COUNTIFS($B$2:$B160,"s",$C$2:$C160,"CSF"))-1,12)+1),"N/A"),"")</f>
        <v/>
      </c>
      <c r="J160" s="6" t="str">
        <f>IF(AND($A160&lt;&gt;"",$B160&lt;&gt;"",$C160&lt;&gt;"",$D160&lt;&gt;"",$E160&lt;&gt;""),IF(AND($B160="s",OR($C160="SER",$C160="PLH")),"Case MAX Planck Plate "&amp;(INT(((COUNTIFS($B$2:$B160,"s",$C$2:$C160,"SER")+COUNTIFS($B$2:$B160,"s",$C$2:$C160,"PLH"))-1)/96)+1)&amp;": "&amp;CHAR(65+INT(MOD((COUNTIFS($B$2:$B160,"s",$C$2:$C160,"SER")+COUNTIFS($B$2:$B160,"s",$C$2:$C160,"PLH"))-1,96)/12))&amp;(MOD((COUNTIFS($B$2:$B160,"s",$C$2:$C160,"SER")+COUNTIFS($B$2:$B160,"s",$C$2:$C160,"PLH"))-1,12)+1),"N/A"),"")</f>
        <v/>
      </c>
      <c r="K160" s="6" t="str">
        <f>IF(AND($A160&lt;&gt;"",$B160&lt;&gt;"",$C160&lt;&gt;"",$D160&lt;&gt;"",$E160&lt;&gt;""),IF($C160="WB","Case WB Box "&amp;(INT((COUNTIFS($C$2:$C160,"WB")-1)/81)+1)&amp;": "&amp;CHAR(65+INT(MOD(COUNTIFS($C$2:$C160,"WB")-1,81)/9))&amp;(MOD(COUNTIFS($C$2:$C160,"WB")-1,9)+1),"N/A"),"")</f>
        <v/>
      </c>
      <c r="L160" s="2" t="str">
        <f t="shared" si="37"/>
        <v/>
      </c>
      <c r="M160" s="2"/>
      <c r="N160" s="2"/>
      <c r="O160" s="2"/>
      <c r="P160" s="7" t="str">
        <f t="shared" si="38"/>
        <v/>
      </c>
      <c r="Q160" s="7" t="str">
        <f t="shared" si="39"/>
        <v/>
      </c>
      <c r="R160" s="7" t="str">
        <f t="shared" si="40"/>
        <v/>
      </c>
      <c r="S160" s="7" t="str">
        <f t="shared" si="41"/>
        <v/>
      </c>
      <c r="T160" s="7" t="str">
        <f t="shared" si="42"/>
        <v/>
      </c>
      <c r="U160" s="7" t="str">
        <f t="shared" si="43"/>
        <v/>
      </c>
      <c r="V160" s="7" t="str">
        <f t="shared" si="44"/>
        <v/>
      </c>
      <c r="W160" s="7" t="str">
        <f t="shared" si="45"/>
        <v/>
      </c>
      <c r="X160" s="7" t="str">
        <f t="shared" si="46"/>
        <v/>
      </c>
      <c r="Y160" s="7" t="str">
        <f t="shared" si="47"/>
        <v/>
      </c>
      <c r="Z160">
        <f t="shared" si="48"/>
        <v>0</v>
      </c>
      <c r="AA160" t="str">
        <f t="shared" si="49"/>
        <v/>
      </c>
      <c r="AB160" t="str">
        <f t="shared" si="50"/>
        <v/>
      </c>
      <c r="AC160" t="str">
        <f t="shared" si="51"/>
        <v/>
      </c>
      <c r="AD160" t="str">
        <f t="shared" si="52"/>
        <v/>
      </c>
      <c r="AE160">
        <f t="shared" si="53"/>
        <v>0</v>
      </c>
    </row>
    <row r="161" spans="1:31" ht="15" customHeight="1" x14ac:dyDescent="0.35">
      <c r="A161" s="2"/>
      <c r="B161" s="3"/>
      <c r="C161" s="3"/>
      <c r="D161" s="4"/>
      <c r="E161" s="5"/>
      <c r="F161" s="11" t="str">
        <f t="shared" ca="1" si="36"/>
        <v/>
      </c>
      <c r="G161" s="5"/>
      <c r="H161" s="6" t="str">
        <f>IF(AND($A161&lt;&gt;"",$B161&lt;&gt;"",$C161&lt;&gt;"",$D161&lt;&gt;"",$E161&lt;&gt;""),IF(AND($B161="s",OR($C161="SER",$C161="PLH",$C161="CSF")),"Case CDI Plate "&amp;(INT(((COUNTIFS($B$2:$B161,"s",$C$2:$C161,"SER")+COUNTIFS($B$2:$B161,"s",$C$2:$C161,"PLH")+COUNTIFS($B$2:$B161,"s",$C$2:$C161,"CSF"))-1)/96)+1)&amp;": "&amp;CHAR(65+INT(MOD((COUNTIFS($B$2:$B161,"s",$C$2:$C161,"SER")+COUNTIFS($B$2:$B161,"s",$C$2:$C161,"PLH")+COUNTIFS($B$2:$B161,"s",$C$2:$C161,"CSF"))-1,96)/12))&amp;(MOD((COUNTIFS($B$2:$B161,"s",$C$2:$C161,"SER")+COUNTIFS($B$2:$B161,"s",$C$2:$C161,"PLH")+COUNTIFS($B$2:$B161,"s",$C$2:$C161,"CSF"))-1,12)+1),"N/A"),"")</f>
        <v/>
      </c>
      <c r="I161" s="6" t="str">
        <f>IF(AND($A161&lt;&gt;"",$B161&lt;&gt;"",$C161&lt;&gt;"",$D161&lt;&gt;"",$E161&lt;&gt;""),IF(AND($B161="s",OR($C161="SER",$C161="PLH",$C161="CSF")),"Case NIH Plate "&amp;(INT(((COUNTIFS($B$2:$B161,"s",$C$2:$C161,"SER")+COUNTIFS($B$2:$B161,"s",$C$2:$C161,"PLH")+COUNTIFS($B$2:$B161,"s",$C$2:$C161,"CSF"))-1)/96)+1)&amp;": "&amp;CHAR(65+INT(MOD((COUNTIFS($B$2:$B161,"s",$C$2:$C161,"SER")+COUNTIFS($B$2:$B161,"s",$C$2:$C161,"PLH")+COUNTIFS($B$2:$B161,"s",$C$2:$C161,"CSF"))-1,96)/12))&amp;(MOD((COUNTIFS($B$2:$B161,"s",$C$2:$C161,"SER")+COUNTIFS($B$2:$B161,"s",$C$2:$C161,"PLH")+COUNTIFS($B$2:$B161,"s",$C$2:$C161,"CSF"))-1,12)+1),"N/A"),"")</f>
        <v/>
      </c>
      <c r="J161" s="6" t="str">
        <f>IF(AND($A161&lt;&gt;"",$B161&lt;&gt;"",$C161&lt;&gt;"",$D161&lt;&gt;"",$E161&lt;&gt;""),IF(AND($B161="s",OR($C161="SER",$C161="PLH")),"Case MAX Planck Plate "&amp;(INT(((COUNTIFS($B$2:$B161,"s",$C$2:$C161,"SER")+COUNTIFS($B$2:$B161,"s",$C$2:$C161,"PLH"))-1)/96)+1)&amp;": "&amp;CHAR(65+INT(MOD((COUNTIFS($B$2:$B161,"s",$C$2:$C161,"SER")+COUNTIFS($B$2:$B161,"s",$C$2:$C161,"PLH"))-1,96)/12))&amp;(MOD((COUNTIFS($B$2:$B161,"s",$C$2:$C161,"SER")+COUNTIFS($B$2:$B161,"s",$C$2:$C161,"PLH"))-1,12)+1),"N/A"),"")</f>
        <v/>
      </c>
      <c r="K161" s="6" t="str">
        <f>IF(AND($A161&lt;&gt;"",$B161&lt;&gt;"",$C161&lt;&gt;"",$D161&lt;&gt;"",$E161&lt;&gt;""),IF($C161="WB","Case WB Box "&amp;(INT((COUNTIFS($C$2:$C161,"WB")-1)/81)+1)&amp;": "&amp;CHAR(65+INT(MOD(COUNTIFS($C$2:$C161,"WB")-1,81)/9))&amp;(MOD(COUNTIFS($C$2:$C161,"WB")-1,9)+1),"N/A"),"")</f>
        <v/>
      </c>
      <c r="L161" s="2" t="str">
        <f t="shared" si="37"/>
        <v/>
      </c>
      <c r="M161" s="2"/>
      <c r="N161" s="2"/>
      <c r="O161" s="2"/>
      <c r="P161" s="7" t="str">
        <f t="shared" si="38"/>
        <v/>
      </c>
      <c r="Q161" s="7" t="str">
        <f t="shared" si="39"/>
        <v/>
      </c>
      <c r="R161" s="7" t="str">
        <f t="shared" si="40"/>
        <v/>
      </c>
      <c r="S161" s="7" t="str">
        <f t="shared" si="41"/>
        <v/>
      </c>
      <c r="T161" s="7" t="str">
        <f t="shared" si="42"/>
        <v/>
      </c>
      <c r="U161" s="7" t="str">
        <f t="shared" si="43"/>
        <v/>
      </c>
      <c r="V161" s="7" t="str">
        <f t="shared" si="44"/>
        <v/>
      </c>
      <c r="W161" s="7" t="str">
        <f t="shared" si="45"/>
        <v/>
      </c>
      <c r="X161" s="7" t="str">
        <f t="shared" si="46"/>
        <v/>
      </c>
      <c r="Y161" s="7" t="str">
        <f t="shared" si="47"/>
        <v/>
      </c>
      <c r="Z161">
        <f t="shared" si="48"/>
        <v>0</v>
      </c>
      <c r="AA161" t="str">
        <f t="shared" si="49"/>
        <v/>
      </c>
      <c r="AB161" t="str">
        <f t="shared" si="50"/>
        <v/>
      </c>
      <c r="AC161" t="str">
        <f t="shared" si="51"/>
        <v/>
      </c>
      <c r="AD161" t="str">
        <f t="shared" si="52"/>
        <v/>
      </c>
      <c r="AE161">
        <f t="shared" si="53"/>
        <v>0</v>
      </c>
    </row>
    <row r="162" spans="1:31" ht="15" customHeight="1" x14ac:dyDescent="0.35">
      <c r="A162" s="2"/>
      <c r="B162" s="3"/>
      <c r="C162" s="3"/>
      <c r="D162" s="4"/>
      <c r="E162" s="5"/>
      <c r="F162" s="11" t="str">
        <f t="shared" ca="1" si="36"/>
        <v/>
      </c>
      <c r="G162" s="5"/>
      <c r="H162" s="6" t="str">
        <f>IF(AND($A162&lt;&gt;"",$B162&lt;&gt;"",$C162&lt;&gt;"",$D162&lt;&gt;"",$E162&lt;&gt;""),IF(AND($B162="s",OR($C162="SER",$C162="PLH",$C162="CSF")),"Case CDI Plate "&amp;(INT(((COUNTIFS($B$2:$B162,"s",$C$2:$C162,"SER")+COUNTIFS($B$2:$B162,"s",$C$2:$C162,"PLH")+COUNTIFS($B$2:$B162,"s",$C$2:$C162,"CSF"))-1)/96)+1)&amp;": "&amp;CHAR(65+INT(MOD((COUNTIFS($B$2:$B162,"s",$C$2:$C162,"SER")+COUNTIFS($B$2:$B162,"s",$C$2:$C162,"PLH")+COUNTIFS($B$2:$B162,"s",$C$2:$C162,"CSF"))-1,96)/12))&amp;(MOD((COUNTIFS($B$2:$B162,"s",$C$2:$C162,"SER")+COUNTIFS($B$2:$B162,"s",$C$2:$C162,"PLH")+COUNTIFS($B$2:$B162,"s",$C$2:$C162,"CSF"))-1,12)+1),"N/A"),"")</f>
        <v/>
      </c>
      <c r="I162" s="6" t="str">
        <f>IF(AND($A162&lt;&gt;"",$B162&lt;&gt;"",$C162&lt;&gt;"",$D162&lt;&gt;"",$E162&lt;&gt;""),IF(AND($B162="s",OR($C162="SER",$C162="PLH",$C162="CSF")),"Case NIH Plate "&amp;(INT(((COUNTIFS($B$2:$B162,"s",$C$2:$C162,"SER")+COUNTIFS($B$2:$B162,"s",$C$2:$C162,"PLH")+COUNTIFS($B$2:$B162,"s",$C$2:$C162,"CSF"))-1)/96)+1)&amp;": "&amp;CHAR(65+INT(MOD((COUNTIFS($B$2:$B162,"s",$C$2:$C162,"SER")+COUNTIFS($B$2:$B162,"s",$C$2:$C162,"PLH")+COUNTIFS($B$2:$B162,"s",$C$2:$C162,"CSF"))-1,96)/12))&amp;(MOD((COUNTIFS($B$2:$B162,"s",$C$2:$C162,"SER")+COUNTIFS($B$2:$B162,"s",$C$2:$C162,"PLH")+COUNTIFS($B$2:$B162,"s",$C$2:$C162,"CSF"))-1,12)+1),"N/A"),"")</f>
        <v/>
      </c>
      <c r="J162" s="6" t="str">
        <f>IF(AND($A162&lt;&gt;"",$B162&lt;&gt;"",$C162&lt;&gt;"",$D162&lt;&gt;"",$E162&lt;&gt;""),IF(AND($B162="s",OR($C162="SER",$C162="PLH")),"Case MAX Planck Plate "&amp;(INT(((COUNTIFS($B$2:$B162,"s",$C$2:$C162,"SER")+COUNTIFS($B$2:$B162,"s",$C$2:$C162,"PLH"))-1)/96)+1)&amp;": "&amp;CHAR(65+INT(MOD((COUNTIFS($B$2:$B162,"s",$C$2:$C162,"SER")+COUNTIFS($B$2:$B162,"s",$C$2:$C162,"PLH"))-1,96)/12))&amp;(MOD((COUNTIFS($B$2:$B162,"s",$C$2:$C162,"SER")+COUNTIFS($B$2:$B162,"s",$C$2:$C162,"PLH"))-1,12)+1),"N/A"),"")</f>
        <v/>
      </c>
      <c r="K162" s="6" t="str">
        <f>IF(AND($A162&lt;&gt;"",$B162&lt;&gt;"",$C162&lt;&gt;"",$D162&lt;&gt;"",$E162&lt;&gt;""),IF($C162="WB","Case WB Box "&amp;(INT((COUNTIFS($C$2:$C162,"WB")-1)/81)+1)&amp;": "&amp;CHAR(65+INT(MOD(COUNTIFS($C$2:$C162,"WB")-1,81)/9))&amp;(MOD(COUNTIFS($C$2:$C162,"WB")-1,9)+1),"N/A"),"")</f>
        <v/>
      </c>
      <c r="L162" s="2" t="str">
        <f t="shared" si="37"/>
        <v/>
      </c>
      <c r="M162" s="2"/>
      <c r="N162" s="2"/>
      <c r="O162" s="2"/>
      <c r="P162" s="7" t="str">
        <f t="shared" si="38"/>
        <v/>
      </c>
      <c r="Q162" s="7" t="str">
        <f t="shared" si="39"/>
        <v/>
      </c>
      <c r="R162" s="7" t="str">
        <f t="shared" si="40"/>
        <v/>
      </c>
      <c r="S162" s="7" t="str">
        <f t="shared" si="41"/>
        <v/>
      </c>
      <c r="T162" s="7" t="str">
        <f t="shared" si="42"/>
        <v/>
      </c>
      <c r="U162" s="7" t="str">
        <f t="shared" si="43"/>
        <v/>
      </c>
      <c r="V162" s="7" t="str">
        <f t="shared" si="44"/>
        <v/>
      </c>
      <c r="W162" s="7" t="str">
        <f t="shared" si="45"/>
        <v/>
      </c>
      <c r="X162" s="7" t="str">
        <f t="shared" si="46"/>
        <v/>
      </c>
      <c r="Y162" s="7" t="str">
        <f t="shared" si="47"/>
        <v/>
      </c>
      <c r="Z162">
        <f t="shared" si="48"/>
        <v>0</v>
      </c>
      <c r="AA162" t="str">
        <f t="shared" si="49"/>
        <v/>
      </c>
      <c r="AB162" t="str">
        <f t="shared" si="50"/>
        <v/>
      </c>
      <c r="AC162" t="str">
        <f t="shared" si="51"/>
        <v/>
      </c>
      <c r="AD162" t="str">
        <f t="shared" si="52"/>
        <v/>
      </c>
      <c r="AE162">
        <f t="shared" si="53"/>
        <v>0</v>
      </c>
    </row>
    <row r="163" spans="1:31" ht="15" customHeight="1" x14ac:dyDescent="0.35">
      <c r="A163" s="2"/>
      <c r="B163" s="3"/>
      <c r="C163" s="3"/>
      <c r="D163" s="4"/>
      <c r="E163" s="5"/>
      <c r="F163" s="11" t="str">
        <f t="shared" ca="1" si="36"/>
        <v/>
      </c>
      <c r="G163" s="5"/>
      <c r="H163" s="6" t="str">
        <f>IF(AND($A163&lt;&gt;"",$B163&lt;&gt;"",$C163&lt;&gt;"",$D163&lt;&gt;"",$E163&lt;&gt;""),IF(AND($B163="s",OR($C163="SER",$C163="PLH",$C163="CSF")),"Case CDI Plate "&amp;(INT(((COUNTIFS($B$2:$B163,"s",$C$2:$C163,"SER")+COUNTIFS($B$2:$B163,"s",$C$2:$C163,"PLH")+COUNTIFS($B$2:$B163,"s",$C$2:$C163,"CSF"))-1)/96)+1)&amp;": "&amp;CHAR(65+INT(MOD((COUNTIFS($B$2:$B163,"s",$C$2:$C163,"SER")+COUNTIFS($B$2:$B163,"s",$C$2:$C163,"PLH")+COUNTIFS($B$2:$B163,"s",$C$2:$C163,"CSF"))-1,96)/12))&amp;(MOD((COUNTIFS($B$2:$B163,"s",$C$2:$C163,"SER")+COUNTIFS($B$2:$B163,"s",$C$2:$C163,"PLH")+COUNTIFS($B$2:$B163,"s",$C$2:$C163,"CSF"))-1,12)+1),"N/A"),"")</f>
        <v/>
      </c>
      <c r="I163" s="6" t="str">
        <f>IF(AND($A163&lt;&gt;"",$B163&lt;&gt;"",$C163&lt;&gt;"",$D163&lt;&gt;"",$E163&lt;&gt;""),IF(AND($B163="s",OR($C163="SER",$C163="PLH",$C163="CSF")),"Case NIH Plate "&amp;(INT(((COUNTIFS($B$2:$B163,"s",$C$2:$C163,"SER")+COUNTIFS($B$2:$B163,"s",$C$2:$C163,"PLH")+COUNTIFS($B$2:$B163,"s",$C$2:$C163,"CSF"))-1)/96)+1)&amp;": "&amp;CHAR(65+INT(MOD((COUNTIFS($B$2:$B163,"s",$C$2:$C163,"SER")+COUNTIFS($B$2:$B163,"s",$C$2:$C163,"PLH")+COUNTIFS($B$2:$B163,"s",$C$2:$C163,"CSF"))-1,96)/12))&amp;(MOD((COUNTIFS($B$2:$B163,"s",$C$2:$C163,"SER")+COUNTIFS($B$2:$B163,"s",$C$2:$C163,"PLH")+COUNTIFS($B$2:$B163,"s",$C$2:$C163,"CSF"))-1,12)+1),"N/A"),"")</f>
        <v/>
      </c>
      <c r="J163" s="6" t="str">
        <f>IF(AND($A163&lt;&gt;"",$B163&lt;&gt;"",$C163&lt;&gt;"",$D163&lt;&gt;"",$E163&lt;&gt;""),IF(AND($B163="s",OR($C163="SER",$C163="PLH")),"Case MAX Planck Plate "&amp;(INT(((COUNTIFS($B$2:$B163,"s",$C$2:$C163,"SER")+COUNTIFS($B$2:$B163,"s",$C$2:$C163,"PLH"))-1)/96)+1)&amp;": "&amp;CHAR(65+INT(MOD((COUNTIFS($B$2:$B163,"s",$C$2:$C163,"SER")+COUNTIFS($B$2:$B163,"s",$C$2:$C163,"PLH"))-1,96)/12))&amp;(MOD((COUNTIFS($B$2:$B163,"s",$C$2:$C163,"SER")+COUNTIFS($B$2:$B163,"s",$C$2:$C163,"PLH"))-1,12)+1),"N/A"),"")</f>
        <v/>
      </c>
      <c r="K163" s="6" t="str">
        <f>IF(AND($A163&lt;&gt;"",$B163&lt;&gt;"",$C163&lt;&gt;"",$D163&lt;&gt;"",$E163&lt;&gt;""),IF($C163="WB","Case WB Box "&amp;(INT((COUNTIFS($C$2:$C163,"WB")-1)/81)+1)&amp;": "&amp;CHAR(65+INT(MOD(COUNTIFS($C$2:$C163,"WB")-1,81)/9))&amp;(MOD(COUNTIFS($C$2:$C163,"WB")-1,9)+1),"N/A"),"")</f>
        <v/>
      </c>
      <c r="L163" s="2" t="str">
        <f t="shared" si="37"/>
        <v/>
      </c>
      <c r="M163" s="2"/>
      <c r="N163" s="2"/>
      <c r="O163" s="2"/>
      <c r="P163" s="7" t="str">
        <f t="shared" si="38"/>
        <v/>
      </c>
      <c r="Q163" s="7" t="str">
        <f t="shared" si="39"/>
        <v/>
      </c>
      <c r="R163" s="7" t="str">
        <f t="shared" si="40"/>
        <v/>
      </c>
      <c r="S163" s="7" t="str">
        <f t="shared" si="41"/>
        <v/>
      </c>
      <c r="T163" s="7" t="str">
        <f t="shared" si="42"/>
        <v/>
      </c>
      <c r="U163" s="7" t="str">
        <f t="shared" si="43"/>
        <v/>
      </c>
      <c r="V163" s="7" t="str">
        <f t="shared" si="44"/>
        <v/>
      </c>
      <c r="W163" s="7" t="str">
        <f t="shared" si="45"/>
        <v/>
      </c>
      <c r="X163" s="7" t="str">
        <f t="shared" si="46"/>
        <v/>
      </c>
      <c r="Y163" s="7" t="str">
        <f t="shared" si="47"/>
        <v/>
      </c>
      <c r="Z163">
        <f t="shared" si="48"/>
        <v>0</v>
      </c>
      <c r="AA163" t="str">
        <f t="shared" si="49"/>
        <v/>
      </c>
      <c r="AB163" t="str">
        <f t="shared" si="50"/>
        <v/>
      </c>
      <c r="AC163" t="str">
        <f t="shared" si="51"/>
        <v/>
      </c>
      <c r="AD163" t="str">
        <f t="shared" si="52"/>
        <v/>
      </c>
      <c r="AE163">
        <f t="shared" si="53"/>
        <v>0</v>
      </c>
    </row>
    <row r="164" spans="1:31" ht="15" customHeight="1" x14ac:dyDescent="0.35">
      <c r="A164" s="2"/>
      <c r="B164" s="3"/>
      <c r="C164" s="3"/>
      <c r="D164" s="4"/>
      <c r="E164" s="5"/>
      <c r="F164" s="11" t="str">
        <f t="shared" ca="1" si="36"/>
        <v/>
      </c>
      <c r="G164" s="5"/>
      <c r="H164" s="6" t="str">
        <f>IF(AND($A164&lt;&gt;"",$B164&lt;&gt;"",$C164&lt;&gt;"",$D164&lt;&gt;"",$E164&lt;&gt;""),IF(AND($B164="s",OR($C164="SER",$C164="PLH",$C164="CSF")),"Case CDI Plate "&amp;(INT(((COUNTIFS($B$2:$B164,"s",$C$2:$C164,"SER")+COUNTIFS($B$2:$B164,"s",$C$2:$C164,"PLH")+COUNTIFS($B$2:$B164,"s",$C$2:$C164,"CSF"))-1)/96)+1)&amp;": "&amp;CHAR(65+INT(MOD((COUNTIFS($B$2:$B164,"s",$C$2:$C164,"SER")+COUNTIFS($B$2:$B164,"s",$C$2:$C164,"PLH")+COUNTIFS($B$2:$B164,"s",$C$2:$C164,"CSF"))-1,96)/12))&amp;(MOD((COUNTIFS($B$2:$B164,"s",$C$2:$C164,"SER")+COUNTIFS($B$2:$B164,"s",$C$2:$C164,"PLH")+COUNTIFS($B$2:$B164,"s",$C$2:$C164,"CSF"))-1,12)+1),"N/A"),"")</f>
        <v/>
      </c>
      <c r="I164" s="6" t="str">
        <f>IF(AND($A164&lt;&gt;"",$B164&lt;&gt;"",$C164&lt;&gt;"",$D164&lt;&gt;"",$E164&lt;&gt;""),IF(AND($B164="s",OR($C164="SER",$C164="PLH",$C164="CSF")),"Case NIH Plate "&amp;(INT(((COUNTIFS($B$2:$B164,"s",$C$2:$C164,"SER")+COUNTIFS($B$2:$B164,"s",$C$2:$C164,"PLH")+COUNTIFS($B$2:$B164,"s",$C$2:$C164,"CSF"))-1)/96)+1)&amp;": "&amp;CHAR(65+INT(MOD((COUNTIFS($B$2:$B164,"s",$C$2:$C164,"SER")+COUNTIFS($B$2:$B164,"s",$C$2:$C164,"PLH")+COUNTIFS($B$2:$B164,"s",$C$2:$C164,"CSF"))-1,96)/12))&amp;(MOD((COUNTIFS($B$2:$B164,"s",$C$2:$C164,"SER")+COUNTIFS($B$2:$B164,"s",$C$2:$C164,"PLH")+COUNTIFS($B$2:$B164,"s",$C$2:$C164,"CSF"))-1,12)+1),"N/A"),"")</f>
        <v/>
      </c>
      <c r="J164" s="6" t="str">
        <f>IF(AND($A164&lt;&gt;"",$B164&lt;&gt;"",$C164&lt;&gt;"",$D164&lt;&gt;"",$E164&lt;&gt;""),IF(AND($B164="s",OR($C164="SER",$C164="PLH")),"Case MAX Planck Plate "&amp;(INT(((COUNTIFS($B$2:$B164,"s",$C$2:$C164,"SER")+COUNTIFS($B$2:$B164,"s",$C$2:$C164,"PLH"))-1)/96)+1)&amp;": "&amp;CHAR(65+INT(MOD((COUNTIFS($B$2:$B164,"s",$C$2:$C164,"SER")+COUNTIFS($B$2:$B164,"s",$C$2:$C164,"PLH"))-1,96)/12))&amp;(MOD((COUNTIFS($B$2:$B164,"s",$C$2:$C164,"SER")+COUNTIFS($B$2:$B164,"s",$C$2:$C164,"PLH"))-1,12)+1),"N/A"),"")</f>
        <v/>
      </c>
      <c r="K164" s="6" t="str">
        <f>IF(AND($A164&lt;&gt;"",$B164&lt;&gt;"",$C164&lt;&gt;"",$D164&lt;&gt;"",$E164&lt;&gt;""),IF($C164="WB","Case WB Box "&amp;(INT((COUNTIFS($C$2:$C164,"WB")-1)/81)+1)&amp;": "&amp;CHAR(65+INT(MOD(COUNTIFS($C$2:$C164,"WB")-1,81)/9))&amp;(MOD(COUNTIFS($C$2:$C164,"WB")-1,9)+1),"N/A"),"")</f>
        <v/>
      </c>
      <c r="L164" s="2" t="str">
        <f t="shared" si="37"/>
        <v/>
      </c>
      <c r="M164" s="2"/>
      <c r="N164" s="2"/>
      <c r="O164" s="2"/>
      <c r="P164" s="7" t="str">
        <f t="shared" si="38"/>
        <v/>
      </c>
      <c r="Q164" s="7" t="str">
        <f t="shared" si="39"/>
        <v/>
      </c>
      <c r="R164" s="7" t="str">
        <f t="shared" si="40"/>
        <v/>
      </c>
      <c r="S164" s="7" t="str">
        <f t="shared" si="41"/>
        <v/>
      </c>
      <c r="T164" s="7" t="str">
        <f t="shared" si="42"/>
        <v/>
      </c>
      <c r="U164" s="7" t="str">
        <f t="shared" si="43"/>
        <v/>
      </c>
      <c r="V164" s="7" t="str">
        <f t="shared" si="44"/>
        <v/>
      </c>
      <c r="W164" s="7" t="str">
        <f t="shared" si="45"/>
        <v/>
      </c>
      <c r="X164" s="7" t="str">
        <f t="shared" si="46"/>
        <v/>
      </c>
      <c r="Y164" s="7" t="str">
        <f t="shared" si="47"/>
        <v/>
      </c>
      <c r="Z164">
        <f t="shared" si="48"/>
        <v>0</v>
      </c>
      <c r="AA164" t="str">
        <f t="shared" si="49"/>
        <v/>
      </c>
      <c r="AB164" t="str">
        <f t="shared" si="50"/>
        <v/>
      </c>
      <c r="AC164" t="str">
        <f t="shared" si="51"/>
        <v/>
      </c>
      <c r="AD164" t="str">
        <f t="shared" si="52"/>
        <v/>
      </c>
      <c r="AE164">
        <f t="shared" si="53"/>
        <v>0</v>
      </c>
    </row>
    <row r="165" spans="1:31" ht="15" customHeight="1" x14ac:dyDescent="0.35">
      <c r="A165" s="2"/>
      <c r="B165" s="3"/>
      <c r="C165" s="3"/>
      <c r="D165" s="4"/>
      <c r="E165" s="5"/>
      <c r="F165" s="11" t="str">
        <f t="shared" ca="1" si="36"/>
        <v/>
      </c>
      <c r="G165" s="5"/>
      <c r="H165" s="6" t="str">
        <f>IF(AND($A165&lt;&gt;"",$B165&lt;&gt;"",$C165&lt;&gt;"",$D165&lt;&gt;"",$E165&lt;&gt;""),IF(AND($B165="s",OR($C165="SER",$C165="PLH",$C165="CSF")),"Case CDI Plate "&amp;(INT(((COUNTIFS($B$2:$B165,"s",$C$2:$C165,"SER")+COUNTIFS($B$2:$B165,"s",$C$2:$C165,"PLH")+COUNTIFS($B$2:$B165,"s",$C$2:$C165,"CSF"))-1)/96)+1)&amp;": "&amp;CHAR(65+INT(MOD((COUNTIFS($B$2:$B165,"s",$C$2:$C165,"SER")+COUNTIFS($B$2:$B165,"s",$C$2:$C165,"PLH")+COUNTIFS($B$2:$B165,"s",$C$2:$C165,"CSF"))-1,96)/12))&amp;(MOD((COUNTIFS($B$2:$B165,"s",$C$2:$C165,"SER")+COUNTIFS($B$2:$B165,"s",$C$2:$C165,"PLH")+COUNTIFS($B$2:$B165,"s",$C$2:$C165,"CSF"))-1,12)+1),"N/A"),"")</f>
        <v/>
      </c>
      <c r="I165" s="6" t="str">
        <f>IF(AND($A165&lt;&gt;"",$B165&lt;&gt;"",$C165&lt;&gt;"",$D165&lt;&gt;"",$E165&lt;&gt;""),IF(AND($B165="s",OR($C165="SER",$C165="PLH",$C165="CSF")),"Case NIH Plate "&amp;(INT(((COUNTIFS($B$2:$B165,"s",$C$2:$C165,"SER")+COUNTIFS($B$2:$B165,"s",$C$2:$C165,"PLH")+COUNTIFS($B$2:$B165,"s",$C$2:$C165,"CSF"))-1)/96)+1)&amp;": "&amp;CHAR(65+INT(MOD((COUNTIFS($B$2:$B165,"s",$C$2:$C165,"SER")+COUNTIFS($B$2:$B165,"s",$C$2:$C165,"PLH")+COUNTIFS($B$2:$B165,"s",$C$2:$C165,"CSF"))-1,96)/12))&amp;(MOD((COUNTIFS($B$2:$B165,"s",$C$2:$C165,"SER")+COUNTIFS($B$2:$B165,"s",$C$2:$C165,"PLH")+COUNTIFS($B$2:$B165,"s",$C$2:$C165,"CSF"))-1,12)+1),"N/A"),"")</f>
        <v/>
      </c>
      <c r="J165" s="6" t="str">
        <f>IF(AND($A165&lt;&gt;"",$B165&lt;&gt;"",$C165&lt;&gt;"",$D165&lt;&gt;"",$E165&lt;&gt;""),IF(AND($B165="s",OR($C165="SER",$C165="PLH")),"Case MAX Planck Plate "&amp;(INT(((COUNTIFS($B$2:$B165,"s",$C$2:$C165,"SER")+COUNTIFS($B$2:$B165,"s",$C$2:$C165,"PLH"))-1)/96)+1)&amp;": "&amp;CHAR(65+INT(MOD((COUNTIFS($B$2:$B165,"s",$C$2:$C165,"SER")+COUNTIFS($B$2:$B165,"s",$C$2:$C165,"PLH"))-1,96)/12))&amp;(MOD((COUNTIFS($B$2:$B165,"s",$C$2:$C165,"SER")+COUNTIFS($B$2:$B165,"s",$C$2:$C165,"PLH"))-1,12)+1),"N/A"),"")</f>
        <v/>
      </c>
      <c r="K165" s="6" t="str">
        <f>IF(AND($A165&lt;&gt;"",$B165&lt;&gt;"",$C165&lt;&gt;"",$D165&lt;&gt;"",$E165&lt;&gt;""),IF($C165="WB","Case WB Box "&amp;(INT((COUNTIFS($C$2:$C165,"WB")-1)/81)+1)&amp;": "&amp;CHAR(65+INT(MOD(COUNTIFS($C$2:$C165,"WB")-1,81)/9))&amp;(MOD(COUNTIFS($C$2:$C165,"WB")-1,9)+1),"N/A"),"")</f>
        <v/>
      </c>
      <c r="L165" s="2" t="str">
        <f t="shared" si="37"/>
        <v/>
      </c>
      <c r="M165" s="2"/>
      <c r="N165" s="2"/>
      <c r="O165" s="2"/>
      <c r="P165" s="7" t="str">
        <f t="shared" si="38"/>
        <v/>
      </c>
      <c r="Q165" s="7" t="str">
        <f t="shared" si="39"/>
        <v/>
      </c>
      <c r="R165" s="7" t="str">
        <f t="shared" si="40"/>
        <v/>
      </c>
      <c r="S165" s="7" t="str">
        <f t="shared" si="41"/>
        <v/>
      </c>
      <c r="T165" s="7" t="str">
        <f t="shared" si="42"/>
        <v/>
      </c>
      <c r="U165" s="7" t="str">
        <f t="shared" si="43"/>
        <v/>
      </c>
      <c r="V165" s="7" t="str">
        <f t="shared" si="44"/>
        <v/>
      </c>
      <c r="W165" s="7" t="str">
        <f t="shared" si="45"/>
        <v/>
      </c>
      <c r="X165" s="7" t="str">
        <f t="shared" si="46"/>
        <v/>
      </c>
      <c r="Y165" s="7" t="str">
        <f t="shared" si="47"/>
        <v/>
      </c>
      <c r="Z165">
        <f t="shared" si="48"/>
        <v>0</v>
      </c>
      <c r="AA165" t="str">
        <f t="shared" si="49"/>
        <v/>
      </c>
      <c r="AB165" t="str">
        <f t="shared" si="50"/>
        <v/>
      </c>
      <c r="AC165" t="str">
        <f t="shared" si="51"/>
        <v/>
      </c>
      <c r="AD165" t="str">
        <f t="shared" si="52"/>
        <v/>
      </c>
      <c r="AE165">
        <f t="shared" si="53"/>
        <v>0</v>
      </c>
    </row>
    <row r="166" spans="1:31" ht="15" customHeight="1" x14ac:dyDescent="0.35">
      <c r="A166" s="2"/>
      <c r="B166" s="3"/>
      <c r="C166" s="3"/>
      <c r="D166" s="4"/>
      <c r="E166" s="5"/>
      <c r="F166" s="11" t="str">
        <f t="shared" ca="1" si="36"/>
        <v/>
      </c>
      <c r="G166" s="5"/>
      <c r="H166" s="6" t="str">
        <f>IF(AND($A166&lt;&gt;"",$B166&lt;&gt;"",$C166&lt;&gt;"",$D166&lt;&gt;"",$E166&lt;&gt;""),IF(AND($B166="s",OR($C166="SER",$C166="PLH",$C166="CSF")),"Case CDI Plate "&amp;(INT(((COUNTIFS($B$2:$B166,"s",$C$2:$C166,"SER")+COUNTIFS($B$2:$B166,"s",$C$2:$C166,"PLH")+COUNTIFS($B$2:$B166,"s",$C$2:$C166,"CSF"))-1)/96)+1)&amp;": "&amp;CHAR(65+INT(MOD((COUNTIFS($B$2:$B166,"s",$C$2:$C166,"SER")+COUNTIFS($B$2:$B166,"s",$C$2:$C166,"PLH")+COUNTIFS($B$2:$B166,"s",$C$2:$C166,"CSF"))-1,96)/12))&amp;(MOD((COUNTIFS($B$2:$B166,"s",$C$2:$C166,"SER")+COUNTIFS($B$2:$B166,"s",$C$2:$C166,"PLH")+COUNTIFS($B$2:$B166,"s",$C$2:$C166,"CSF"))-1,12)+1),"N/A"),"")</f>
        <v/>
      </c>
      <c r="I166" s="6" t="str">
        <f>IF(AND($A166&lt;&gt;"",$B166&lt;&gt;"",$C166&lt;&gt;"",$D166&lt;&gt;"",$E166&lt;&gt;""),IF(AND($B166="s",OR($C166="SER",$C166="PLH",$C166="CSF")),"Case NIH Plate "&amp;(INT(((COUNTIFS($B$2:$B166,"s",$C$2:$C166,"SER")+COUNTIFS($B$2:$B166,"s",$C$2:$C166,"PLH")+COUNTIFS($B$2:$B166,"s",$C$2:$C166,"CSF"))-1)/96)+1)&amp;": "&amp;CHAR(65+INT(MOD((COUNTIFS($B$2:$B166,"s",$C$2:$C166,"SER")+COUNTIFS($B$2:$B166,"s",$C$2:$C166,"PLH")+COUNTIFS($B$2:$B166,"s",$C$2:$C166,"CSF"))-1,96)/12))&amp;(MOD((COUNTIFS($B$2:$B166,"s",$C$2:$C166,"SER")+COUNTIFS($B$2:$B166,"s",$C$2:$C166,"PLH")+COUNTIFS($B$2:$B166,"s",$C$2:$C166,"CSF"))-1,12)+1),"N/A"),"")</f>
        <v/>
      </c>
      <c r="J166" s="6" t="str">
        <f>IF(AND($A166&lt;&gt;"",$B166&lt;&gt;"",$C166&lt;&gt;"",$D166&lt;&gt;"",$E166&lt;&gt;""),IF(AND($B166="s",OR($C166="SER",$C166="PLH")),"Case MAX Planck Plate "&amp;(INT(((COUNTIFS($B$2:$B166,"s",$C$2:$C166,"SER")+COUNTIFS($B$2:$B166,"s",$C$2:$C166,"PLH"))-1)/96)+1)&amp;": "&amp;CHAR(65+INT(MOD((COUNTIFS($B$2:$B166,"s",$C$2:$C166,"SER")+COUNTIFS($B$2:$B166,"s",$C$2:$C166,"PLH"))-1,96)/12))&amp;(MOD((COUNTIFS($B$2:$B166,"s",$C$2:$C166,"SER")+COUNTIFS($B$2:$B166,"s",$C$2:$C166,"PLH"))-1,12)+1),"N/A"),"")</f>
        <v/>
      </c>
      <c r="K166" s="6" t="str">
        <f>IF(AND($A166&lt;&gt;"",$B166&lt;&gt;"",$C166&lt;&gt;"",$D166&lt;&gt;"",$E166&lt;&gt;""),IF($C166="WB","Case WB Box "&amp;(INT((COUNTIFS($C$2:$C166,"WB")-1)/81)+1)&amp;": "&amp;CHAR(65+INT(MOD(COUNTIFS($C$2:$C166,"WB")-1,81)/9))&amp;(MOD(COUNTIFS($C$2:$C166,"WB")-1,9)+1),"N/A"),"")</f>
        <v/>
      </c>
      <c r="L166" s="2" t="str">
        <f t="shared" si="37"/>
        <v/>
      </c>
      <c r="M166" s="2"/>
      <c r="N166" s="2"/>
      <c r="O166" s="2"/>
      <c r="P166" s="7" t="str">
        <f t="shared" si="38"/>
        <v/>
      </c>
      <c r="Q166" s="7" t="str">
        <f t="shared" si="39"/>
        <v/>
      </c>
      <c r="R166" s="7" t="str">
        <f t="shared" si="40"/>
        <v/>
      </c>
      <c r="S166" s="7" t="str">
        <f t="shared" si="41"/>
        <v/>
      </c>
      <c r="T166" s="7" t="str">
        <f t="shared" si="42"/>
        <v/>
      </c>
      <c r="U166" s="7" t="str">
        <f t="shared" si="43"/>
        <v/>
      </c>
      <c r="V166" s="7" t="str">
        <f t="shared" si="44"/>
        <v/>
      </c>
      <c r="W166" s="7" t="str">
        <f t="shared" si="45"/>
        <v/>
      </c>
      <c r="X166" s="7" t="str">
        <f t="shared" si="46"/>
        <v/>
      </c>
      <c r="Y166" s="7" t="str">
        <f t="shared" si="47"/>
        <v/>
      </c>
      <c r="Z166">
        <f t="shared" si="48"/>
        <v>0</v>
      </c>
      <c r="AA166" t="str">
        <f t="shared" si="49"/>
        <v/>
      </c>
      <c r="AB166" t="str">
        <f t="shared" si="50"/>
        <v/>
      </c>
      <c r="AC166" t="str">
        <f t="shared" si="51"/>
        <v/>
      </c>
      <c r="AD166" t="str">
        <f t="shared" si="52"/>
        <v/>
      </c>
      <c r="AE166">
        <f t="shared" si="53"/>
        <v>0</v>
      </c>
    </row>
    <row r="167" spans="1:31" ht="15" customHeight="1" x14ac:dyDescent="0.35">
      <c r="A167" s="2"/>
      <c r="B167" s="3"/>
      <c r="C167" s="3"/>
      <c r="D167" s="4"/>
      <c r="E167" s="5"/>
      <c r="F167" s="11" t="str">
        <f t="shared" ca="1" si="36"/>
        <v/>
      </c>
      <c r="G167" s="5"/>
      <c r="H167" s="6" t="str">
        <f>IF(AND($A167&lt;&gt;"",$B167&lt;&gt;"",$C167&lt;&gt;"",$D167&lt;&gt;"",$E167&lt;&gt;""),IF(AND($B167="s",OR($C167="SER",$C167="PLH",$C167="CSF")),"Case CDI Plate "&amp;(INT(((COUNTIFS($B$2:$B167,"s",$C$2:$C167,"SER")+COUNTIFS($B$2:$B167,"s",$C$2:$C167,"PLH")+COUNTIFS($B$2:$B167,"s",$C$2:$C167,"CSF"))-1)/96)+1)&amp;": "&amp;CHAR(65+INT(MOD((COUNTIFS($B$2:$B167,"s",$C$2:$C167,"SER")+COUNTIFS($B$2:$B167,"s",$C$2:$C167,"PLH")+COUNTIFS($B$2:$B167,"s",$C$2:$C167,"CSF"))-1,96)/12))&amp;(MOD((COUNTIFS($B$2:$B167,"s",$C$2:$C167,"SER")+COUNTIFS($B$2:$B167,"s",$C$2:$C167,"PLH")+COUNTIFS($B$2:$B167,"s",$C$2:$C167,"CSF"))-1,12)+1),"N/A"),"")</f>
        <v/>
      </c>
      <c r="I167" s="6" t="str">
        <f>IF(AND($A167&lt;&gt;"",$B167&lt;&gt;"",$C167&lt;&gt;"",$D167&lt;&gt;"",$E167&lt;&gt;""),IF(AND($B167="s",OR($C167="SER",$C167="PLH",$C167="CSF")),"Case NIH Plate "&amp;(INT(((COUNTIFS($B$2:$B167,"s",$C$2:$C167,"SER")+COUNTIFS($B$2:$B167,"s",$C$2:$C167,"PLH")+COUNTIFS($B$2:$B167,"s",$C$2:$C167,"CSF"))-1)/96)+1)&amp;": "&amp;CHAR(65+INT(MOD((COUNTIFS($B$2:$B167,"s",$C$2:$C167,"SER")+COUNTIFS($B$2:$B167,"s",$C$2:$C167,"PLH")+COUNTIFS($B$2:$B167,"s",$C$2:$C167,"CSF"))-1,96)/12))&amp;(MOD((COUNTIFS($B$2:$B167,"s",$C$2:$C167,"SER")+COUNTIFS($B$2:$B167,"s",$C$2:$C167,"PLH")+COUNTIFS($B$2:$B167,"s",$C$2:$C167,"CSF"))-1,12)+1),"N/A"),"")</f>
        <v/>
      </c>
      <c r="J167" s="6" t="str">
        <f>IF(AND($A167&lt;&gt;"",$B167&lt;&gt;"",$C167&lt;&gt;"",$D167&lt;&gt;"",$E167&lt;&gt;""),IF(AND($B167="s",OR($C167="SER",$C167="PLH")),"Case MAX Planck Plate "&amp;(INT(((COUNTIFS($B$2:$B167,"s",$C$2:$C167,"SER")+COUNTIFS($B$2:$B167,"s",$C$2:$C167,"PLH"))-1)/96)+1)&amp;": "&amp;CHAR(65+INT(MOD((COUNTIFS($B$2:$B167,"s",$C$2:$C167,"SER")+COUNTIFS($B$2:$B167,"s",$C$2:$C167,"PLH"))-1,96)/12))&amp;(MOD((COUNTIFS($B$2:$B167,"s",$C$2:$C167,"SER")+COUNTIFS($B$2:$B167,"s",$C$2:$C167,"PLH"))-1,12)+1),"N/A"),"")</f>
        <v/>
      </c>
      <c r="K167" s="6" t="str">
        <f>IF(AND($A167&lt;&gt;"",$B167&lt;&gt;"",$C167&lt;&gt;"",$D167&lt;&gt;"",$E167&lt;&gt;""),IF($C167="WB","Case WB Box "&amp;(INT((COUNTIFS($C$2:$C167,"WB")-1)/81)+1)&amp;": "&amp;CHAR(65+INT(MOD(COUNTIFS($C$2:$C167,"WB")-1,81)/9))&amp;(MOD(COUNTIFS($C$2:$C167,"WB")-1,9)+1),"N/A"),"")</f>
        <v/>
      </c>
      <c r="L167" s="2" t="str">
        <f t="shared" si="37"/>
        <v/>
      </c>
      <c r="M167" s="2"/>
      <c r="N167" s="2"/>
      <c r="O167" s="2"/>
      <c r="P167" s="7" t="str">
        <f t="shared" si="38"/>
        <v/>
      </c>
      <c r="Q167" s="7" t="str">
        <f t="shared" si="39"/>
        <v/>
      </c>
      <c r="R167" s="7" t="str">
        <f t="shared" si="40"/>
        <v/>
      </c>
      <c r="S167" s="7" t="str">
        <f t="shared" si="41"/>
        <v/>
      </c>
      <c r="T167" s="7" t="str">
        <f t="shared" si="42"/>
        <v/>
      </c>
      <c r="U167" s="7" t="str">
        <f t="shared" si="43"/>
        <v/>
      </c>
      <c r="V167" s="7" t="str">
        <f t="shared" si="44"/>
        <v/>
      </c>
      <c r="W167" s="7" t="str">
        <f t="shared" si="45"/>
        <v/>
      </c>
      <c r="X167" s="7" t="str">
        <f t="shared" si="46"/>
        <v/>
      </c>
      <c r="Y167" s="7" t="str">
        <f t="shared" si="47"/>
        <v/>
      </c>
      <c r="Z167">
        <f t="shared" si="48"/>
        <v>0</v>
      </c>
      <c r="AA167" t="str">
        <f t="shared" si="49"/>
        <v/>
      </c>
      <c r="AB167" t="str">
        <f t="shared" si="50"/>
        <v/>
      </c>
      <c r="AC167" t="str">
        <f t="shared" si="51"/>
        <v/>
      </c>
      <c r="AD167" t="str">
        <f t="shared" si="52"/>
        <v/>
      </c>
      <c r="AE167">
        <f t="shared" si="53"/>
        <v>0</v>
      </c>
    </row>
    <row r="168" spans="1:31" ht="15" customHeight="1" x14ac:dyDescent="0.35">
      <c r="A168" s="2"/>
      <c r="B168" s="3"/>
      <c r="C168" s="3"/>
      <c r="D168" s="4"/>
      <c r="E168" s="5"/>
      <c r="F168" s="11" t="str">
        <f t="shared" ca="1" si="36"/>
        <v/>
      </c>
      <c r="G168" s="5"/>
      <c r="H168" s="6" t="str">
        <f>IF(AND($A168&lt;&gt;"",$B168&lt;&gt;"",$C168&lt;&gt;"",$D168&lt;&gt;"",$E168&lt;&gt;""),IF(AND($B168="s",OR($C168="SER",$C168="PLH",$C168="CSF")),"Case CDI Plate "&amp;(INT(((COUNTIFS($B$2:$B168,"s",$C$2:$C168,"SER")+COUNTIFS($B$2:$B168,"s",$C$2:$C168,"PLH")+COUNTIFS($B$2:$B168,"s",$C$2:$C168,"CSF"))-1)/96)+1)&amp;": "&amp;CHAR(65+INT(MOD((COUNTIFS($B$2:$B168,"s",$C$2:$C168,"SER")+COUNTIFS($B$2:$B168,"s",$C$2:$C168,"PLH")+COUNTIFS($B$2:$B168,"s",$C$2:$C168,"CSF"))-1,96)/12))&amp;(MOD((COUNTIFS($B$2:$B168,"s",$C$2:$C168,"SER")+COUNTIFS($B$2:$B168,"s",$C$2:$C168,"PLH")+COUNTIFS($B$2:$B168,"s",$C$2:$C168,"CSF"))-1,12)+1),"N/A"),"")</f>
        <v/>
      </c>
      <c r="I168" s="6" t="str">
        <f>IF(AND($A168&lt;&gt;"",$B168&lt;&gt;"",$C168&lt;&gt;"",$D168&lt;&gt;"",$E168&lt;&gt;""),IF(AND($B168="s",OR($C168="SER",$C168="PLH",$C168="CSF")),"Case NIH Plate "&amp;(INT(((COUNTIFS($B$2:$B168,"s",$C$2:$C168,"SER")+COUNTIFS($B$2:$B168,"s",$C$2:$C168,"PLH")+COUNTIFS($B$2:$B168,"s",$C$2:$C168,"CSF"))-1)/96)+1)&amp;": "&amp;CHAR(65+INT(MOD((COUNTIFS($B$2:$B168,"s",$C$2:$C168,"SER")+COUNTIFS($B$2:$B168,"s",$C$2:$C168,"PLH")+COUNTIFS($B$2:$B168,"s",$C$2:$C168,"CSF"))-1,96)/12))&amp;(MOD((COUNTIFS($B$2:$B168,"s",$C$2:$C168,"SER")+COUNTIFS($B$2:$B168,"s",$C$2:$C168,"PLH")+COUNTIFS($B$2:$B168,"s",$C$2:$C168,"CSF"))-1,12)+1),"N/A"),"")</f>
        <v/>
      </c>
      <c r="J168" s="6" t="str">
        <f>IF(AND($A168&lt;&gt;"",$B168&lt;&gt;"",$C168&lt;&gt;"",$D168&lt;&gt;"",$E168&lt;&gt;""),IF(AND($B168="s",OR($C168="SER",$C168="PLH")),"Case MAX Planck Plate "&amp;(INT(((COUNTIFS($B$2:$B168,"s",$C$2:$C168,"SER")+COUNTIFS($B$2:$B168,"s",$C$2:$C168,"PLH"))-1)/96)+1)&amp;": "&amp;CHAR(65+INT(MOD((COUNTIFS($B$2:$B168,"s",$C$2:$C168,"SER")+COUNTIFS($B$2:$B168,"s",$C$2:$C168,"PLH"))-1,96)/12))&amp;(MOD((COUNTIFS($B$2:$B168,"s",$C$2:$C168,"SER")+COUNTIFS($B$2:$B168,"s",$C$2:$C168,"PLH"))-1,12)+1),"N/A"),"")</f>
        <v/>
      </c>
      <c r="K168" s="6" t="str">
        <f>IF(AND($A168&lt;&gt;"",$B168&lt;&gt;"",$C168&lt;&gt;"",$D168&lt;&gt;"",$E168&lt;&gt;""),IF($C168="WB","Case WB Box "&amp;(INT((COUNTIFS($C$2:$C168,"WB")-1)/81)+1)&amp;": "&amp;CHAR(65+INT(MOD(COUNTIFS($C$2:$C168,"WB")-1,81)/9))&amp;(MOD(COUNTIFS($C$2:$C168,"WB")-1,9)+1),"N/A"),"")</f>
        <v/>
      </c>
      <c r="L168" s="2" t="str">
        <f t="shared" si="37"/>
        <v/>
      </c>
      <c r="M168" s="2"/>
      <c r="N168" s="2"/>
      <c r="O168" s="2"/>
      <c r="P168" s="7" t="str">
        <f t="shared" si="38"/>
        <v/>
      </c>
      <c r="Q168" s="7" t="str">
        <f t="shared" si="39"/>
        <v/>
      </c>
      <c r="R168" s="7" t="str">
        <f t="shared" si="40"/>
        <v/>
      </c>
      <c r="S168" s="7" t="str">
        <f t="shared" si="41"/>
        <v/>
      </c>
      <c r="T168" s="7" t="str">
        <f t="shared" si="42"/>
        <v/>
      </c>
      <c r="U168" s="7" t="str">
        <f t="shared" si="43"/>
        <v/>
      </c>
      <c r="V168" s="7" t="str">
        <f t="shared" si="44"/>
        <v/>
      </c>
      <c r="W168" s="7" t="str">
        <f t="shared" si="45"/>
        <v/>
      </c>
      <c r="X168" s="7" t="str">
        <f t="shared" si="46"/>
        <v/>
      </c>
      <c r="Y168" s="7" t="str">
        <f t="shared" si="47"/>
        <v/>
      </c>
      <c r="Z168">
        <f t="shared" si="48"/>
        <v>0</v>
      </c>
      <c r="AA168" t="str">
        <f t="shared" si="49"/>
        <v/>
      </c>
      <c r="AB168" t="str">
        <f t="shared" si="50"/>
        <v/>
      </c>
      <c r="AC168" t="str">
        <f t="shared" si="51"/>
        <v/>
      </c>
      <c r="AD168" t="str">
        <f t="shared" si="52"/>
        <v/>
      </c>
      <c r="AE168">
        <f t="shared" si="53"/>
        <v>0</v>
      </c>
    </row>
    <row r="169" spans="1:31" ht="15" customHeight="1" x14ac:dyDescent="0.35">
      <c r="A169" s="2"/>
      <c r="B169" s="3"/>
      <c r="C169" s="3"/>
      <c r="D169" s="4"/>
      <c r="E169" s="5"/>
      <c r="F169" s="11" t="str">
        <f t="shared" ca="1" si="36"/>
        <v/>
      </c>
      <c r="G169" s="5"/>
      <c r="H169" s="6" t="str">
        <f>IF(AND($A169&lt;&gt;"",$B169&lt;&gt;"",$C169&lt;&gt;"",$D169&lt;&gt;"",$E169&lt;&gt;""),IF(AND($B169="s",OR($C169="SER",$C169="PLH",$C169="CSF")),"Case CDI Plate "&amp;(INT(((COUNTIFS($B$2:$B169,"s",$C$2:$C169,"SER")+COUNTIFS($B$2:$B169,"s",$C$2:$C169,"PLH")+COUNTIFS($B$2:$B169,"s",$C$2:$C169,"CSF"))-1)/96)+1)&amp;": "&amp;CHAR(65+INT(MOD((COUNTIFS($B$2:$B169,"s",$C$2:$C169,"SER")+COUNTIFS($B$2:$B169,"s",$C$2:$C169,"PLH")+COUNTIFS($B$2:$B169,"s",$C$2:$C169,"CSF"))-1,96)/12))&amp;(MOD((COUNTIFS($B$2:$B169,"s",$C$2:$C169,"SER")+COUNTIFS($B$2:$B169,"s",$C$2:$C169,"PLH")+COUNTIFS($B$2:$B169,"s",$C$2:$C169,"CSF"))-1,12)+1),"N/A"),"")</f>
        <v/>
      </c>
      <c r="I169" s="6" t="str">
        <f>IF(AND($A169&lt;&gt;"",$B169&lt;&gt;"",$C169&lt;&gt;"",$D169&lt;&gt;"",$E169&lt;&gt;""),IF(AND($B169="s",OR($C169="SER",$C169="PLH",$C169="CSF")),"Case NIH Plate "&amp;(INT(((COUNTIFS($B$2:$B169,"s",$C$2:$C169,"SER")+COUNTIFS($B$2:$B169,"s",$C$2:$C169,"PLH")+COUNTIFS($B$2:$B169,"s",$C$2:$C169,"CSF"))-1)/96)+1)&amp;": "&amp;CHAR(65+INT(MOD((COUNTIFS($B$2:$B169,"s",$C$2:$C169,"SER")+COUNTIFS($B$2:$B169,"s",$C$2:$C169,"PLH")+COUNTIFS($B$2:$B169,"s",$C$2:$C169,"CSF"))-1,96)/12))&amp;(MOD((COUNTIFS($B$2:$B169,"s",$C$2:$C169,"SER")+COUNTIFS($B$2:$B169,"s",$C$2:$C169,"PLH")+COUNTIFS($B$2:$B169,"s",$C$2:$C169,"CSF"))-1,12)+1),"N/A"),"")</f>
        <v/>
      </c>
      <c r="J169" s="6" t="str">
        <f>IF(AND($A169&lt;&gt;"",$B169&lt;&gt;"",$C169&lt;&gt;"",$D169&lt;&gt;"",$E169&lt;&gt;""),IF(AND($B169="s",OR($C169="SER",$C169="PLH")),"Case MAX Planck Plate "&amp;(INT(((COUNTIFS($B$2:$B169,"s",$C$2:$C169,"SER")+COUNTIFS($B$2:$B169,"s",$C$2:$C169,"PLH"))-1)/96)+1)&amp;": "&amp;CHAR(65+INT(MOD((COUNTIFS($B$2:$B169,"s",$C$2:$C169,"SER")+COUNTIFS($B$2:$B169,"s",$C$2:$C169,"PLH"))-1,96)/12))&amp;(MOD((COUNTIFS($B$2:$B169,"s",$C$2:$C169,"SER")+COUNTIFS($B$2:$B169,"s",$C$2:$C169,"PLH"))-1,12)+1),"N/A"),"")</f>
        <v/>
      </c>
      <c r="K169" s="6" t="str">
        <f>IF(AND($A169&lt;&gt;"",$B169&lt;&gt;"",$C169&lt;&gt;"",$D169&lt;&gt;"",$E169&lt;&gt;""),IF($C169="WB","Case WB Box "&amp;(INT((COUNTIFS($C$2:$C169,"WB")-1)/81)+1)&amp;": "&amp;CHAR(65+INT(MOD(COUNTIFS($C$2:$C169,"WB")-1,81)/9))&amp;(MOD(COUNTIFS($C$2:$C169,"WB")-1,9)+1),"N/A"),"")</f>
        <v/>
      </c>
      <c r="L169" s="2" t="str">
        <f t="shared" si="37"/>
        <v/>
      </c>
      <c r="M169" s="2"/>
      <c r="N169" s="2"/>
      <c r="O169" s="2"/>
      <c r="P169" s="7" t="str">
        <f t="shared" si="38"/>
        <v/>
      </c>
      <c r="Q169" s="7" t="str">
        <f t="shared" si="39"/>
        <v/>
      </c>
      <c r="R169" s="7" t="str">
        <f t="shared" si="40"/>
        <v/>
      </c>
      <c r="S169" s="7" t="str">
        <f t="shared" si="41"/>
        <v/>
      </c>
      <c r="T169" s="7" t="str">
        <f t="shared" si="42"/>
        <v/>
      </c>
      <c r="U169" s="7" t="str">
        <f t="shared" si="43"/>
        <v/>
      </c>
      <c r="V169" s="7" t="str">
        <f t="shared" si="44"/>
        <v/>
      </c>
      <c r="W169" s="7" t="str">
        <f t="shared" si="45"/>
        <v/>
      </c>
      <c r="X169" s="7" t="str">
        <f t="shared" si="46"/>
        <v/>
      </c>
      <c r="Y169" s="7" t="str">
        <f t="shared" si="47"/>
        <v/>
      </c>
      <c r="Z169">
        <f t="shared" si="48"/>
        <v>0</v>
      </c>
      <c r="AA169" t="str">
        <f t="shared" si="49"/>
        <v/>
      </c>
      <c r="AB169" t="str">
        <f t="shared" si="50"/>
        <v/>
      </c>
      <c r="AC169" t="str">
        <f t="shared" si="51"/>
        <v/>
      </c>
      <c r="AD169" t="str">
        <f t="shared" si="52"/>
        <v/>
      </c>
      <c r="AE169">
        <f t="shared" si="53"/>
        <v>0</v>
      </c>
    </row>
    <row r="170" spans="1:31" ht="15" customHeight="1" x14ac:dyDescent="0.35">
      <c r="A170" s="2"/>
      <c r="B170" s="3"/>
      <c r="C170" s="3"/>
      <c r="D170" s="4"/>
      <c r="E170" s="5"/>
      <c r="F170" s="11" t="str">
        <f t="shared" ca="1" si="36"/>
        <v/>
      </c>
      <c r="G170" s="5"/>
      <c r="H170" s="6" t="str">
        <f>IF(AND($A170&lt;&gt;"",$B170&lt;&gt;"",$C170&lt;&gt;"",$D170&lt;&gt;"",$E170&lt;&gt;""),IF(AND($B170="s",OR($C170="SER",$C170="PLH",$C170="CSF")),"Case CDI Plate "&amp;(INT(((COUNTIFS($B$2:$B170,"s",$C$2:$C170,"SER")+COUNTIFS($B$2:$B170,"s",$C$2:$C170,"PLH")+COUNTIFS($B$2:$B170,"s",$C$2:$C170,"CSF"))-1)/96)+1)&amp;": "&amp;CHAR(65+INT(MOD((COUNTIFS($B$2:$B170,"s",$C$2:$C170,"SER")+COUNTIFS($B$2:$B170,"s",$C$2:$C170,"PLH")+COUNTIFS($B$2:$B170,"s",$C$2:$C170,"CSF"))-1,96)/12))&amp;(MOD((COUNTIFS($B$2:$B170,"s",$C$2:$C170,"SER")+COUNTIFS($B$2:$B170,"s",$C$2:$C170,"PLH")+COUNTIFS($B$2:$B170,"s",$C$2:$C170,"CSF"))-1,12)+1),"N/A"),"")</f>
        <v/>
      </c>
      <c r="I170" s="6" t="str">
        <f>IF(AND($A170&lt;&gt;"",$B170&lt;&gt;"",$C170&lt;&gt;"",$D170&lt;&gt;"",$E170&lt;&gt;""),IF(AND($B170="s",OR($C170="SER",$C170="PLH",$C170="CSF")),"Case NIH Plate "&amp;(INT(((COUNTIFS($B$2:$B170,"s",$C$2:$C170,"SER")+COUNTIFS($B$2:$B170,"s",$C$2:$C170,"PLH")+COUNTIFS($B$2:$B170,"s",$C$2:$C170,"CSF"))-1)/96)+1)&amp;": "&amp;CHAR(65+INT(MOD((COUNTIFS($B$2:$B170,"s",$C$2:$C170,"SER")+COUNTIFS($B$2:$B170,"s",$C$2:$C170,"PLH")+COUNTIFS($B$2:$B170,"s",$C$2:$C170,"CSF"))-1,96)/12))&amp;(MOD((COUNTIFS($B$2:$B170,"s",$C$2:$C170,"SER")+COUNTIFS($B$2:$B170,"s",$C$2:$C170,"PLH")+COUNTIFS($B$2:$B170,"s",$C$2:$C170,"CSF"))-1,12)+1),"N/A"),"")</f>
        <v/>
      </c>
      <c r="J170" s="6" t="str">
        <f>IF(AND($A170&lt;&gt;"",$B170&lt;&gt;"",$C170&lt;&gt;"",$D170&lt;&gt;"",$E170&lt;&gt;""),IF(AND($B170="s",OR($C170="SER",$C170="PLH")),"Case MAX Planck Plate "&amp;(INT(((COUNTIFS($B$2:$B170,"s",$C$2:$C170,"SER")+COUNTIFS($B$2:$B170,"s",$C$2:$C170,"PLH"))-1)/96)+1)&amp;": "&amp;CHAR(65+INT(MOD((COUNTIFS($B$2:$B170,"s",$C$2:$C170,"SER")+COUNTIFS($B$2:$B170,"s",$C$2:$C170,"PLH"))-1,96)/12))&amp;(MOD((COUNTIFS($B$2:$B170,"s",$C$2:$C170,"SER")+COUNTIFS($B$2:$B170,"s",$C$2:$C170,"PLH"))-1,12)+1),"N/A"),"")</f>
        <v/>
      </c>
      <c r="K170" s="6" t="str">
        <f>IF(AND($A170&lt;&gt;"",$B170&lt;&gt;"",$C170&lt;&gt;"",$D170&lt;&gt;"",$E170&lt;&gt;""),IF($C170="WB","Case WB Box "&amp;(INT((COUNTIFS($C$2:$C170,"WB")-1)/81)+1)&amp;": "&amp;CHAR(65+INT(MOD(COUNTIFS($C$2:$C170,"WB")-1,81)/9))&amp;(MOD(COUNTIFS($C$2:$C170,"WB")-1,9)+1),"N/A"),"")</f>
        <v/>
      </c>
      <c r="L170" s="2" t="str">
        <f t="shared" si="37"/>
        <v/>
      </c>
      <c r="M170" s="2"/>
      <c r="N170" s="2"/>
      <c r="O170" s="2"/>
      <c r="P170" s="7" t="str">
        <f t="shared" si="38"/>
        <v/>
      </c>
      <c r="Q170" s="7" t="str">
        <f t="shared" si="39"/>
        <v/>
      </c>
      <c r="R170" s="7" t="str">
        <f t="shared" si="40"/>
        <v/>
      </c>
      <c r="S170" s="7" t="str">
        <f t="shared" si="41"/>
        <v/>
      </c>
      <c r="T170" s="7" t="str">
        <f t="shared" si="42"/>
        <v/>
      </c>
      <c r="U170" s="7" t="str">
        <f t="shared" si="43"/>
        <v/>
      </c>
      <c r="V170" s="7" t="str">
        <f t="shared" si="44"/>
        <v/>
      </c>
      <c r="W170" s="7" t="str">
        <f t="shared" si="45"/>
        <v/>
      </c>
      <c r="X170" s="7" t="str">
        <f t="shared" si="46"/>
        <v/>
      </c>
      <c r="Y170" s="7" t="str">
        <f t="shared" si="47"/>
        <v/>
      </c>
      <c r="Z170">
        <f t="shared" si="48"/>
        <v>0</v>
      </c>
      <c r="AA170" t="str">
        <f t="shared" si="49"/>
        <v/>
      </c>
      <c r="AB170" t="str">
        <f t="shared" si="50"/>
        <v/>
      </c>
      <c r="AC170" t="str">
        <f t="shared" si="51"/>
        <v/>
      </c>
      <c r="AD170" t="str">
        <f t="shared" si="52"/>
        <v/>
      </c>
      <c r="AE170">
        <f t="shared" si="53"/>
        <v>0</v>
      </c>
    </row>
    <row r="171" spans="1:31" ht="15" customHeight="1" x14ac:dyDescent="0.35">
      <c r="A171" s="2"/>
      <c r="B171" s="3"/>
      <c r="C171" s="3"/>
      <c r="D171" s="4"/>
      <c r="E171" s="5"/>
      <c r="F171" s="11" t="str">
        <f t="shared" ca="1" si="36"/>
        <v/>
      </c>
      <c r="G171" s="5"/>
      <c r="H171" s="6" t="str">
        <f>IF(AND($A171&lt;&gt;"",$B171&lt;&gt;"",$C171&lt;&gt;"",$D171&lt;&gt;"",$E171&lt;&gt;""),IF(AND($B171="s",OR($C171="SER",$C171="PLH",$C171="CSF")),"Case CDI Plate "&amp;(INT(((COUNTIFS($B$2:$B171,"s",$C$2:$C171,"SER")+COUNTIFS($B$2:$B171,"s",$C$2:$C171,"PLH")+COUNTIFS($B$2:$B171,"s",$C$2:$C171,"CSF"))-1)/96)+1)&amp;": "&amp;CHAR(65+INT(MOD((COUNTIFS($B$2:$B171,"s",$C$2:$C171,"SER")+COUNTIFS($B$2:$B171,"s",$C$2:$C171,"PLH")+COUNTIFS($B$2:$B171,"s",$C$2:$C171,"CSF"))-1,96)/12))&amp;(MOD((COUNTIFS($B$2:$B171,"s",$C$2:$C171,"SER")+COUNTIFS($B$2:$B171,"s",$C$2:$C171,"PLH")+COUNTIFS($B$2:$B171,"s",$C$2:$C171,"CSF"))-1,12)+1),"N/A"),"")</f>
        <v/>
      </c>
      <c r="I171" s="6" t="str">
        <f>IF(AND($A171&lt;&gt;"",$B171&lt;&gt;"",$C171&lt;&gt;"",$D171&lt;&gt;"",$E171&lt;&gt;""),IF(AND($B171="s",OR($C171="SER",$C171="PLH",$C171="CSF")),"Case NIH Plate "&amp;(INT(((COUNTIFS($B$2:$B171,"s",$C$2:$C171,"SER")+COUNTIFS($B$2:$B171,"s",$C$2:$C171,"PLH")+COUNTIFS($B$2:$B171,"s",$C$2:$C171,"CSF"))-1)/96)+1)&amp;": "&amp;CHAR(65+INT(MOD((COUNTIFS($B$2:$B171,"s",$C$2:$C171,"SER")+COUNTIFS($B$2:$B171,"s",$C$2:$C171,"PLH")+COUNTIFS($B$2:$B171,"s",$C$2:$C171,"CSF"))-1,96)/12))&amp;(MOD((COUNTIFS($B$2:$B171,"s",$C$2:$C171,"SER")+COUNTIFS($B$2:$B171,"s",$C$2:$C171,"PLH")+COUNTIFS($B$2:$B171,"s",$C$2:$C171,"CSF"))-1,12)+1),"N/A"),"")</f>
        <v/>
      </c>
      <c r="J171" s="6" t="str">
        <f>IF(AND($A171&lt;&gt;"",$B171&lt;&gt;"",$C171&lt;&gt;"",$D171&lt;&gt;"",$E171&lt;&gt;""),IF(AND($B171="s",OR($C171="SER",$C171="PLH")),"Case MAX Planck Plate "&amp;(INT(((COUNTIFS($B$2:$B171,"s",$C$2:$C171,"SER")+COUNTIFS($B$2:$B171,"s",$C$2:$C171,"PLH"))-1)/96)+1)&amp;": "&amp;CHAR(65+INT(MOD((COUNTIFS($B$2:$B171,"s",$C$2:$C171,"SER")+COUNTIFS($B$2:$B171,"s",$C$2:$C171,"PLH"))-1,96)/12))&amp;(MOD((COUNTIFS($B$2:$B171,"s",$C$2:$C171,"SER")+COUNTIFS($B$2:$B171,"s",$C$2:$C171,"PLH"))-1,12)+1),"N/A"),"")</f>
        <v/>
      </c>
      <c r="K171" s="6" t="str">
        <f>IF(AND($A171&lt;&gt;"",$B171&lt;&gt;"",$C171&lt;&gt;"",$D171&lt;&gt;"",$E171&lt;&gt;""),IF($C171="WB","Case WB Box "&amp;(INT((COUNTIFS($C$2:$C171,"WB")-1)/81)+1)&amp;": "&amp;CHAR(65+INT(MOD(COUNTIFS($C$2:$C171,"WB")-1,81)/9))&amp;(MOD(COUNTIFS($C$2:$C171,"WB")-1,9)+1),"N/A"),"")</f>
        <v/>
      </c>
      <c r="L171" s="2" t="str">
        <f t="shared" si="37"/>
        <v/>
      </c>
      <c r="M171" s="2"/>
      <c r="N171" s="2"/>
      <c r="O171" s="2"/>
      <c r="P171" s="7" t="str">
        <f t="shared" si="38"/>
        <v/>
      </c>
      <c r="Q171" s="7" t="str">
        <f t="shared" si="39"/>
        <v/>
      </c>
      <c r="R171" s="7" t="str">
        <f t="shared" si="40"/>
        <v/>
      </c>
      <c r="S171" s="7" t="str">
        <f t="shared" si="41"/>
        <v/>
      </c>
      <c r="T171" s="7" t="str">
        <f t="shared" si="42"/>
        <v/>
      </c>
      <c r="U171" s="7" t="str">
        <f t="shared" si="43"/>
        <v/>
      </c>
      <c r="V171" s="7" t="str">
        <f t="shared" si="44"/>
        <v/>
      </c>
      <c r="W171" s="7" t="str">
        <f t="shared" si="45"/>
        <v/>
      </c>
      <c r="X171" s="7" t="str">
        <f t="shared" si="46"/>
        <v/>
      </c>
      <c r="Y171" s="7" t="str">
        <f t="shared" si="47"/>
        <v/>
      </c>
      <c r="Z171">
        <f t="shared" si="48"/>
        <v>0</v>
      </c>
      <c r="AA171" t="str">
        <f t="shared" si="49"/>
        <v/>
      </c>
      <c r="AB171" t="str">
        <f t="shared" si="50"/>
        <v/>
      </c>
      <c r="AC171" t="str">
        <f t="shared" si="51"/>
        <v/>
      </c>
      <c r="AD171" t="str">
        <f t="shared" si="52"/>
        <v/>
      </c>
      <c r="AE171">
        <f t="shared" si="53"/>
        <v>0</v>
      </c>
    </row>
    <row r="172" spans="1:31" ht="15" customHeight="1" x14ac:dyDescent="0.35">
      <c r="A172" s="2"/>
      <c r="B172" s="3"/>
      <c r="C172" s="3"/>
      <c r="D172" s="4"/>
      <c r="E172" s="5"/>
      <c r="F172" s="11" t="str">
        <f t="shared" ca="1" si="36"/>
        <v/>
      </c>
      <c r="G172" s="5"/>
      <c r="H172" s="6" t="str">
        <f>IF(AND($A172&lt;&gt;"",$B172&lt;&gt;"",$C172&lt;&gt;"",$D172&lt;&gt;"",$E172&lt;&gt;""),IF(AND($B172="s",OR($C172="SER",$C172="PLH",$C172="CSF")),"Case CDI Plate "&amp;(INT(((COUNTIFS($B$2:$B172,"s",$C$2:$C172,"SER")+COUNTIFS($B$2:$B172,"s",$C$2:$C172,"PLH")+COUNTIFS($B$2:$B172,"s",$C$2:$C172,"CSF"))-1)/96)+1)&amp;": "&amp;CHAR(65+INT(MOD((COUNTIFS($B$2:$B172,"s",$C$2:$C172,"SER")+COUNTIFS($B$2:$B172,"s",$C$2:$C172,"PLH")+COUNTIFS($B$2:$B172,"s",$C$2:$C172,"CSF"))-1,96)/12))&amp;(MOD((COUNTIFS($B$2:$B172,"s",$C$2:$C172,"SER")+COUNTIFS($B$2:$B172,"s",$C$2:$C172,"PLH")+COUNTIFS($B$2:$B172,"s",$C$2:$C172,"CSF"))-1,12)+1),"N/A"),"")</f>
        <v/>
      </c>
      <c r="I172" s="6" t="str">
        <f>IF(AND($A172&lt;&gt;"",$B172&lt;&gt;"",$C172&lt;&gt;"",$D172&lt;&gt;"",$E172&lt;&gt;""),IF(AND($B172="s",OR($C172="SER",$C172="PLH",$C172="CSF")),"Case NIH Plate "&amp;(INT(((COUNTIFS($B$2:$B172,"s",$C$2:$C172,"SER")+COUNTIFS($B$2:$B172,"s",$C$2:$C172,"PLH")+COUNTIFS($B$2:$B172,"s",$C$2:$C172,"CSF"))-1)/96)+1)&amp;": "&amp;CHAR(65+INT(MOD((COUNTIFS($B$2:$B172,"s",$C$2:$C172,"SER")+COUNTIFS($B$2:$B172,"s",$C$2:$C172,"PLH")+COUNTIFS($B$2:$B172,"s",$C$2:$C172,"CSF"))-1,96)/12))&amp;(MOD((COUNTIFS($B$2:$B172,"s",$C$2:$C172,"SER")+COUNTIFS($B$2:$B172,"s",$C$2:$C172,"PLH")+COUNTIFS($B$2:$B172,"s",$C$2:$C172,"CSF"))-1,12)+1),"N/A"),"")</f>
        <v/>
      </c>
      <c r="J172" s="6" t="str">
        <f>IF(AND($A172&lt;&gt;"",$B172&lt;&gt;"",$C172&lt;&gt;"",$D172&lt;&gt;"",$E172&lt;&gt;""),IF(AND($B172="s",OR($C172="SER",$C172="PLH")),"Case MAX Planck Plate "&amp;(INT(((COUNTIFS($B$2:$B172,"s",$C$2:$C172,"SER")+COUNTIFS($B$2:$B172,"s",$C$2:$C172,"PLH"))-1)/96)+1)&amp;": "&amp;CHAR(65+INT(MOD((COUNTIFS($B$2:$B172,"s",$C$2:$C172,"SER")+COUNTIFS($B$2:$B172,"s",$C$2:$C172,"PLH"))-1,96)/12))&amp;(MOD((COUNTIFS($B$2:$B172,"s",$C$2:$C172,"SER")+COUNTIFS($B$2:$B172,"s",$C$2:$C172,"PLH"))-1,12)+1),"N/A"),"")</f>
        <v/>
      </c>
      <c r="K172" s="6" t="str">
        <f>IF(AND($A172&lt;&gt;"",$B172&lt;&gt;"",$C172&lt;&gt;"",$D172&lt;&gt;"",$E172&lt;&gt;""),IF($C172="WB","Case WB Box "&amp;(INT((COUNTIFS($C$2:$C172,"WB")-1)/81)+1)&amp;": "&amp;CHAR(65+INT(MOD(COUNTIFS($C$2:$C172,"WB")-1,81)/9))&amp;(MOD(COUNTIFS($C$2:$C172,"WB")-1,9)+1),"N/A"),"")</f>
        <v/>
      </c>
      <c r="L172" s="2" t="str">
        <f t="shared" si="37"/>
        <v/>
      </c>
      <c r="M172" s="2"/>
      <c r="N172" s="2"/>
      <c r="O172" s="2"/>
      <c r="P172" s="7" t="str">
        <f t="shared" si="38"/>
        <v/>
      </c>
      <c r="Q172" s="7" t="str">
        <f t="shared" si="39"/>
        <v/>
      </c>
      <c r="R172" s="7" t="str">
        <f t="shared" si="40"/>
        <v/>
      </c>
      <c r="S172" s="7" t="str">
        <f t="shared" si="41"/>
        <v/>
      </c>
      <c r="T172" s="7" t="str">
        <f t="shared" si="42"/>
        <v/>
      </c>
      <c r="U172" s="7" t="str">
        <f t="shared" si="43"/>
        <v/>
      </c>
      <c r="V172" s="7" t="str">
        <f t="shared" si="44"/>
        <v/>
      </c>
      <c r="W172" s="7" t="str">
        <f t="shared" si="45"/>
        <v/>
      </c>
      <c r="X172" s="7" t="str">
        <f t="shared" si="46"/>
        <v/>
      </c>
      <c r="Y172" s="7" t="str">
        <f t="shared" si="47"/>
        <v/>
      </c>
      <c r="Z172">
        <f t="shared" si="48"/>
        <v>0</v>
      </c>
      <c r="AA172" t="str">
        <f t="shared" si="49"/>
        <v/>
      </c>
      <c r="AB172" t="str">
        <f t="shared" si="50"/>
        <v/>
      </c>
      <c r="AC172" t="str">
        <f t="shared" si="51"/>
        <v/>
      </c>
      <c r="AD172" t="str">
        <f t="shared" si="52"/>
        <v/>
      </c>
      <c r="AE172">
        <f t="shared" si="53"/>
        <v>0</v>
      </c>
    </row>
    <row r="173" spans="1:31" ht="15" customHeight="1" x14ac:dyDescent="0.35">
      <c r="A173" s="2"/>
      <c r="B173" s="3"/>
      <c r="C173" s="3"/>
      <c r="D173" s="4"/>
      <c r="E173" s="5"/>
      <c r="F173" s="11" t="str">
        <f t="shared" ca="1" si="36"/>
        <v/>
      </c>
      <c r="G173" s="5"/>
      <c r="H173" s="6" t="str">
        <f>IF(AND($A173&lt;&gt;"",$B173&lt;&gt;"",$C173&lt;&gt;"",$D173&lt;&gt;"",$E173&lt;&gt;""),IF(AND($B173="s",OR($C173="SER",$C173="PLH",$C173="CSF")),"Case CDI Plate "&amp;(INT(((COUNTIFS($B$2:$B173,"s",$C$2:$C173,"SER")+COUNTIFS($B$2:$B173,"s",$C$2:$C173,"PLH")+COUNTIFS($B$2:$B173,"s",$C$2:$C173,"CSF"))-1)/96)+1)&amp;": "&amp;CHAR(65+INT(MOD((COUNTIFS($B$2:$B173,"s",$C$2:$C173,"SER")+COUNTIFS($B$2:$B173,"s",$C$2:$C173,"PLH")+COUNTIFS($B$2:$B173,"s",$C$2:$C173,"CSF"))-1,96)/12))&amp;(MOD((COUNTIFS($B$2:$B173,"s",$C$2:$C173,"SER")+COUNTIFS($B$2:$B173,"s",$C$2:$C173,"PLH")+COUNTIFS($B$2:$B173,"s",$C$2:$C173,"CSF"))-1,12)+1),"N/A"),"")</f>
        <v/>
      </c>
      <c r="I173" s="6" t="str">
        <f>IF(AND($A173&lt;&gt;"",$B173&lt;&gt;"",$C173&lt;&gt;"",$D173&lt;&gt;"",$E173&lt;&gt;""),IF(AND($B173="s",OR($C173="SER",$C173="PLH",$C173="CSF")),"Case NIH Plate "&amp;(INT(((COUNTIFS($B$2:$B173,"s",$C$2:$C173,"SER")+COUNTIFS($B$2:$B173,"s",$C$2:$C173,"PLH")+COUNTIFS($B$2:$B173,"s",$C$2:$C173,"CSF"))-1)/96)+1)&amp;": "&amp;CHAR(65+INT(MOD((COUNTIFS($B$2:$B173,"s",$C$2:$C173,"SER")+COUNTIFS($B$2:$B173,"s",$C$2:$C173,"PLH")+COUNTIFS($B$2:$B173,"s",$C$2:$C173,"CSF"))-1,96)/12))&amp;(MOD((COUNTIFS($B$2:$B173,"s",$C$2:$C173,"SER")+COUNTIFS($B$2:$B173,"s",$C$2:$C173,"PLH")+COUNTIFS($B$2:$B173,"s",$C$2:$C173,"CSF"))-1,12)+1),"N/A"),"")</f>
        <v/>
      </c>
      <c r="J173" s="6" t="str">
        <f>IF(AND($A173&lt;&gt;"",$B173&lt;&gt;"",$C173&lt;&gt;"",$D173&lt;&gt;"",$E173&lt;&gt;""),IF(AND($B173="s",OR($C173="SER",$C173="PLH")),"Case MAX Planck Plate "&amp;(INT(((COUNTIFS($B$2:$B173,"s",$C$2:$C173,"SER")+COUNTIFS($B$2:$B173,"s",$C$2:$C173,"PLH"))-1)/96)+1)&amp;": "&amp;CHAR(65+INT(MOD((COUNTIFS($B$2:$B173,"s",$C$2:$C173,"SER")+COUNTIFS($B$2:$B173,"s",$C$2:$C173,"PLH"))-1,96)/12))&amp;(MOD((COUNTIFS($B$2:$B173,"s",$C$2:$C173,"SER")+COUNTIFS($B$2:$B173,"s",$C$2:$C173,"PLH"))-1,12)+1),"N/A"),"")</f>
        <v/>
      </c>
      <c r="K173" s="6" t="str">
        <f>IF(AND($A173&lt;&gt;"",$B173&lt;&gt;"",$C173&lt;&gt;"",$D173&lt;&gt;"",$E173&lt;&gt;""),IF($C173="WB","Case WB Box "&amp;(INT((COUNTIFS($C$2:$C173,"WB")-1)/81)+1)&amp;": "&amp;CHAR(65+INT(MOD(COUNTIFS($C$2:$C173,"WB")-1,81)/9))&amp;(MOD(COUNTIFS($C$2:$C173,"WB")-1,9)+1),"N/A"),"")</f>
        <v/>
      </c>
      <c r="L173" s="2" t="str">
        <f t="shared" si="37"/>
        <v/>
      </c>
      <c r="M173" s="2"/>
      <c r="N173" s="2"/>
      <c r="O173" s="2"/>
      <c r="P173" s="7" t="str">
        <f t="shared" si="38"/>
        <v/>
      </c>
      <c r="Q173" s="7" t="str">
        <f t="shared" si="39"/>
        <v/>
      </c>
      <c r="R173" s="7" t="str">
        <f t="shared" si="40"/>
        <v/>
      </c>
      <c r="S173" s="7" t="str">
        <f t="shared" si="41"/>
        <v/>
      </c>
      <c r="T173" s="7" t="str">
        <f t="shared" si="42"/>
        <v/>
      </c>
      <c r="U173" s="7" t="str">
        <f t="shared" si="43"/>
        <v/>
      </c>
      <c r="V173" s="7" t="str">
        <f t="shared" si="44"/>
        <v/>
      </c>
      <c r="W173" s="7" t="str">
        <f t="shared" si="45"/>
        <v/>
      </c>
      <c r="X173" s="7" t="str">
        <f t="shared" si="46"/>
        <v/>
      </c>
      <c r="Y173" s="7" t="str">
        <f t="shared" si="47"/>
        <v/>
      </c>
      <c r="Z173">
        <f t="shared" si="48"/>
        <v>0</v>
      </c>
      <c r="AA173" t="str">
        <f t="shared" si="49"/>
        <v/>
      </c>
      <c r="AB173" t="str">
        <f t="shared" si="50"/>
        <v/>
      </c>
      <c r="AC173" t="str">
        <f t="shared" si="51"/>
        <v/>
      </c>
      <c r="AD173" t="str">
        <f t="shared" si="52"/>
        <v/>
      </c>
      <c r="AE173">
        <f t="shared" si="53"/>
        <v>0</v>
      </c>
    </row>
    <row r="174" spans="1:31" ht="15" customHeight="1" x14ac:dyDescent="0.35">
      <c r="A174" s="2"/>
      <c r="B174" s="3"/>
      <c r="C174" s="3"/>
      <c r="D174" s="4"/>
      <c r="E174" s="5"/>
      <c r="F174" s="11" t="str">
        <f t="shared" ca="1" si="36"/>
        <v/>
      </c>
      <c r="G174" s="5"/>
      <c r="H174" s="6" t="str">
        <f>IF(AND($A174&lt;&gt;"",$B174&lt;&gt;"",$C174&lt;&gt;"",$D174&lt;&gt;"",$E174&lt;&gt;""),IF(AND($B174="s",OR($C174="SER",$C174="PLH",$C174="CSF")),"Case CDI Plate "&amp;(INT(((COUNTIFS($B$2:$B174,"s",$C$2:$C174,"SER")+COUNTIFS($B$2:$B174,"s",$C$2:$C174,"PLH")+COUNTIFS($B$2:$B174,"s",$C$2:$C174,"CSF"))-1)/96)+1)&amp;": "&amp;CHAR(65+INT(MOD((COUNTIFS($B$2:$B174,"s",$C$2:$C174,"SER")+COUNTIFS($B$2:$B174,"s",$C$2:$C174,"PLH")+COUNTIFS($B$2:$B174,"s",$C$2:$C174,"CSF"))-1,96)/12))&amp;(MOD((COUNTIFS($B$2:$B174,"s",$C$2:$C174,"SER")+COUNTIFS($B$2:$B174,"s",$C$2:$C174,"PLH")+COUNTIFS($B$2:$B174,"s",$C$2:$C174,"CSF"))-1,12)+1),"N/A"),"")</f>
        <v/>
      </c>
      <c r="I174" s="6" t="str">
        <f>IF(AND($A174&lt;&gt;"",$B174&lt;&gt;"",$C174&lt;&gt;"",$D174&lt;&gt;"",$E174&lt;&gt;""),IF(AND($B174="s",OR($C174="SER",$C174="PLH",$C174="CSF")),"Case NIH Plate "&amp;(INT(((COUNTIFS($B$2:$B174,"s",$C$2:$C174,"SER")+COUNTIFS($B$2:$B174,"s",$C$2:$C174,"PLH")+COUNTIFS($B$2:$B174,"s",$C$2:$C174,"CSF"))-1)/96)+1)&amp;": "&amp;CHAR(65+INT(MOD((COUNTIFS($B$2:$B174,"s",$C$2:$C174,"SER")+COUNTIFS($B$2:$B174,"s",$C$2:$C174,"PLH")+COUNTIFS($B$2:$B174,"s",$C$2:$C174,"CSF"))-1,96)/12))&amp;(MOD((COUNTIFS($B$2:$B174,"s",$C$2:$C174,"SER")+COUNTIFS($B$2:$B174,"s",$C$2:$C174,"PLH")+COUNTIFS($B$2:$B174,"s",$C$2:$C174,"CSF"))-1,12)+1),"N/A"),"")</f>
        <v/>
      </c>
      <c r="J174" s="6" t="str">
        <f>IF(AND($A174&lt;&gt;"",$B174&lt;&gt;"",$C174&lt;&gt;"",$D174&lt;&gt;"",$E174&lt;&gt;""),IF(AND($B174="s",OR($C174="SER",$C174="PLH")),"Case MAX Planck Plate "&amp;(INT(((COUNTIFS($B$2:$B174,"s",$C$2:$C174,"SER")+COUNTIFS($B$2:$B174,"s",$C$2:$C174,"PLH"))-1)/96)+1)&amp;": "&amp;CHAR(65+INT(MOD((COUNTIFS($B$2:$B174,"s",$C$2:$C174,"SER")+COUNTIFS($B$2:$B174,"s",$C$2:$C174,"PLH"))-1,96)/12))&amp;(MOD((COUNTIFS($B$2:$B174,"s",$C$2:$C174,"SER")+COUNTIFS($B$2:$B174,"s",$C$2:$C174,"PLH"))-1,12)+1),"N/A"),"")</f>
        <v/>
      </c>
      <c r="K174" s="6" t="str">
        <f>IF(AND($A174&lt;&gt;"",$B174&lt;&gt;"",$C174&lt;&gt;"",$D174&lt;&gt;"",$E174&lt;&gt;""),IF($C174="WB","Case WB Box "&amp;(INT((COUNTIFS($C$2:$C174,"WB")-1)/81)+1)&amp;": "&amp;CHAR(65+INT(MOD(COUNTIFS($C$2:$C174,"WB")-1,81)/9))&amp;(MOD(COUNTIFS($C$2:$C174,"WB")-1,9)+1),"N/A"),"")</f>
        <v/>
      </c>
      <c r="L174" s="2" t="str">
        <f t="shared" si="37"/>
        <v/>
      </c>
      <c r="M174" s="2"/>
      <c r="N174" s="2"/>
      <c r="O174" s="2"/>
      <c r="P174" s="7" t="str">
        <f t="shared" si="38"/>
        <v/>
      </c>
      <c r="Q174" s="7" t="str">
        <f t="shared" si="39"/>
        <v/>
      </c>
      <c r="R174" s="7" t="str">
        <f t="shared" si="40"/>
        <v/>
      </c>
      <c r="S174" s="7" t="str">
        <f t="shared" si="41"/>
        <v/>
      </c>
      <c r="T174" s="7" t="str">
        <f t="shared" si="42"/>
        <v/>
      </c>
      <c r="U174" s="7" t="str">
        <f t="shared" si="43"/>
        <v/>
      </c>
      <c r="V174" s="7" t="str">
        <f t="shared" si="44"/>
        <v/>
      </c>
      <c r="W174" s="7" t="str">
        <f t="shared" si="45"/>
        <v/>
      </c>
      <c r="X174" s="7" t="str">
        <f t="shared" si="46"/>
        <v/>
      </c>
      <c r="Y174" s="7" t="str">
        <f t="shared" si="47"/>
        <v/>
      </c>
      <c r="Z174">
        <f t="shared" si="48"/>
        <v>0</v>
      </c>
      <c r="AA174" t="str">
        <f t="shared" si="49"/>
        <v/>
      </c>
      <c r="AB174" t="str">
        <f t="shared" si="50"/>
        <v/>
      </c>
      <c r="AC174" t="str">
        <f t="shared" si="51"/>
        <v/>
      </c>
      <c r="AD174" t="str">
        <f t="shared" si="52"/>
        <v/>
      </c>
      <c r="AE174">
        <f t="shared" si="53"/>
        <v>0</v>
      </c>
    </row>
    <row r="175" spans="1:31" ht="15" customHeight="1" x14ac:dyDescent="0.35">
      <c r="A175" s="2"/>
      <c r="B175" s="3"/>
      <c r="C175" s="3"/>
      <c r="D175" s="4"/>
      <c r="E175" s="5"/>
      <c r="F175" s="11" t="str">
        <f t="shared" ca="1" si="36"/>
        <v/>
      </c>
      <c r="G175" s="5"/>
      <c r="H175" s="6" t="str">
        <f>IF(AND($A175&lt;&gt;"",$B175&lt;&gt;"",$C175&lt;&gt;"",$D175&lt;&gt;"",$E175&lt;&gt;""),IF(AND($B175="s",OR($C175="SER",$C175="PLH",$C175="CSF")),"Case CDI Plate "&amp;(INT(((COUNTIFS($B$2:$B175,"s",$C$2:$C175,"SER")+COUNTIFS($B$2:$B175,"s",$C$2:$C175,"PLH")+COUNTIFS($B$2:$B175,"s",$C$2:$C175,"CSF"))-1)/96)+1)&amp;": "&amp;CHAR(65+INT(MOD((COUNTIFS($B$2:$B175,"s",$C$2:$C175,"SER")+COUNTIFS($B$2:$B175,"s",$C$2:$C175,"PLH")+COUNTIFS($B$2:$B175,"s",$C$2:$C175,"CSF"))-1,96)/12))&amp;(MOD((COUNTIFS($B$2:$B175,"s",$C$2:$C175,"SER")+COUNTIFS($B$2:$B175,"s",$C$2:$C175,"PLH")+COUNTIFS($B$2:$B175,"s",$C$2:$C175,"CSF"))-1,12)+1),"N/A"),"")</f>
        <v/>
      </c>
      <c r="I175" s="6" t="str">
        <f>IF(AND($A175&lt;&gt;"",$B175&lt;&gt;"",$C175&lt;&gt;"",$D175&lt;&gt;"",$E175&lt;&gt;""),IF(AND($B175="s",OR($C175="SER",$C175="PLH",$C175="CSF")),"Case NIH Plate "&amp;(INT(((COUNTIFS($B$2:$B175,"s",$C$2:$C175,"SER")+COUNTIFS($B$2:$B175,"s",$C$2:$C175,"PLH")+COUNTIFS($B$2:$B175,"s",$C$2:$C175,"CSF"))-1)/96)+1)&amp;": "&amp;CHAR(65+INT(MOD((COUNTIFS($B$2:$B175,"s",$C$2:$C175,"SER")+COUNTIFS($B$2:$B175,"s",$C$2:$C175,"PLH")+COUNTIFS($B$2:$B175,"s",$C$2:$C175,"CSF"))-1,96)/12))&amp;(MOD((COUNTIFS($B$2:$B175,"s",$C$2:$C175,"SER")+COUNTIFS($B$2:$B175,"s",$C$2:$C175,"PLH")+COUNTIFS($B$2:$B175,"s",$C$2:$C175,"CSF"))-1,12)+1),"N/A"),"")</f>
        <v/>
      </c>
      <c r="J175" s="6" t="str">
        <f>IF(AND($A175&lt;&gt;"",$B175&lt;&gt;"",$C175&lt;&gt;"",$D175&lt;&gt;"",$E175&lt;&gt;""),IF(AND($B175="s",OR($C175="SER",$C175="PLH")),"Case MAX Planck Plate "&amp;(INT(((COUNTIFS($B$2:$B175,"s",$C$2:$C175,"SER")+COUNTIFS($B$2:$B175,"s",$C$2:$C175,"PLH"))-1)/96)+1)&amp;": "&amp;CHAR(65+INT(MOD((COUNTIFS($B$2:$B175,"s",$C$2:$C175,"SER")+COUNTIFS($B$2:$B175,"s",$C$2:$C175,"PLH"))-1,96)/12))&amp;(MOD((COUNTIFS($B$2:$B175,"s",$C$2:$C175,"SER")+COUNTIFS($B$2:$B175,"s",$C$2:$C175,"PLH"))-1,12)+1),"N/A"),"")</f>
        <v/>
      </c>
      <c r="K175" s="6" t="str">
        <f>IF(AND($A175&lt;&gt;"",$B175&lt;&gt;"",$C175&lt;&gt;"",$D175&lt;&gt;"",$E175&lt;&gt;""),IF($C175="WB","Case WB Box "&amp;(INT((COUNTIFS($C$2:$C175,"WB")-1)/81)+1)&amp;": "&amp;CHAR(65+INT(MOD(COUNTIFS($C$2:$C175,"WB")-1,81)/9))&amp;(MOD(COUNTIFS($C$2:$C175,"WB")-1,9)+1),"N/A"),"")</f>
        <v/>
      </c>
      <c r="L175" s="2" t="str">
        <f t="shared" si="37"/>
        <v/>
      </c>
      <c r="M175" s="2"/>
      <c r="N175" s="2"/>
      <c r="O175" s="2"/>
      <c r="P175" s="7" t="str">
        <f t="shared" si="38"/>
        <v/>
      </c>
      <c r="Q175" s="7" t="str">
        <f t="shared" si="39"/>
        <v/>
      </c>
      <c r="R175" s="7" t="str">
        <f t="shared" si="40"/>
        <v/>
      </c>
      <c r="S175" s="7" t="str">
        <f t="shared" si="41"/>
        <v/>
      </c>
      <c r="T175" s="7" t="str">
        <f t="shared" si="42"/>
        <v/>
      </c>
      <c r="U175" s="7" t="str">
        <f t="shared" si="43"/>
        <v/>
      </c>
      <c r="V175" s="7" t="str">
        <f t="shared" si="44"/>
        <v/>
      </c>
      <c r="W175" s="7" t="str">
        <f t="shared" si="45"/>
        <v/>
      </c>
      <c r="X175" s="7" t="str">
        <f t="shared" si="46"/>
        <v/>
      </c>
      <c r="Y175" s="7" t="str">
        <f t="shared" si="47"/>
        <v/>
      </c>
      <c r="Z175">
        <f t="shared" si="48"/>
        <v>0</v>
      </c>
      <c r="AA175" t="str">
        <f t="shared" si="49"/>
        <v/>
      </c>
      <c r="AB175" t="str">
        <f t="shared" si="50"/>
        <v/>
      </c>
      <c r="AC175" t="str">
        <f t="shared" si="51"/>
        <v/>
      </c>
      <c r="AD175" t="str">
        <f t="shared" si="52"/>
        <v/>
      </c>
      <c r="AE175">
        <f t="shared" si="53"/>
        <v>0</v>
      </c>
    </row>
    <row r="176" spans="1:31" ht="15" customHeight="1" x14ac:dyDescent="0.35">
      <c r="A176" s="2"/>
      <c r="B176" s="3"/>
      <c r="C176" s="3"/>
      <c r="D176" s="4"/>
      <c r="E176" s="5"/>
      <c r="F176" s="11" t="str">
        <f t="shared" ca="1" si="36"/>
        <v/>
      </c>
      <c r="G176" s="5"/>
      <c r="H176" s="6" t="str">
        <f>IF(AND($A176&lt;&gt;"",$B176&lt;&gt;"",$C176&lt;&gt;"",$D176&lt;&gt;"",$E176&lt;&gt;""),IF(AND($B176="s",OR($C176="SER",$C176="PLH",$C176="CSF")),"Case CDI Plate "&amp;(INT(((COUNTIFS($B$2:$B176,"s",$C$2:$C176,"SER")+COUNTIFS($B$2:$B176,"s",$C$2:$C176,"PLH")+COUNTIFS($B$2:$B176,"s",$C$2:$C176,"CSF"))-1)/96)+1)&amp;": "&amp;CHAR(65+INT(MOD((COUNTIFS($B$2:$B176,"s",$C$2:$C176,"SER")+COUNTIFS($B$2:$B176,"s",$C$2:$C176,"PLH")+COUNTIFS($B$2:$B176,"s",$C$2:$C176,"CSF"))-1,96)/12))&amp;(MOD((COUNTIFS($B$2:$B176,"s",$C$2:$C176,"SER")+COUNTIFS($B$2:$B176,"s",$C$2:$C176,"PLH")+COUNTIFS($B$2:$B176,"s",$C$2:$C176,"CSF"))-1,12)+1),"N/A"),"")</f>
        <v/>
      </c>
      <c r="I176" s="6" t="str">
        <f>IF(AND($A176&lt;&gt;"",$B176&lt;&gt;"",$C176&lt;&gt;"",$D176&lt;&gt;"",$E176&lt;&gt;""),IF(AND($B176="s",OR($C176="SER",$C176="PLH",$C176="CSF")),"Case NIH Plate "&amp;(INT(((COUNTIFS($B$2:$B176,"s",$C$2:$C176,"SER")+COUNTIFS($B$2:$B176,"s",$C$2:$C176,"PLH")+COUNTIFS($B$2:$B176,"s",$C$2:$C176,"CSF"))-1)/96)+1)&amp;": "&amp;CHAR(65+INT(MOD((COUNTIFS($B$2:$B176,"s",$C$2:$C176,"SER")+COUNTIFS($B$2:$B176,"s",$C$2:$C176,"PLH")+COUNTIFS($B$2:$B176,"s",$C$2:$C176,"CSF"))-1,96)/12))&amp;(MOD((COUNTIFS($B$2:$B176,"s",$C$2:$C176,"SER")+COUNTIFS($B$2:$B176,"s",$C$2:$C176,"PLH")+COUNTIFS($B$2:$B176,"s",$C$2:$C176,"CSF"))-1,12)+1),"N/A"),"")</f>
        <v/>
      </c>
      <c r="J176" s="6" t="str">
        <f>IF(AND($A176&lt;&gt;"",$B176&lt;&gt;"",$C176&lt;&gt;"",$D176&lt;&gt;"",$E176&lt;&gt;""),IF(AND($B176="s",OR($C176="SER",$C176="PLH")),"Case MAX Planck Plate "&amp;(INT(((COUNTIFS($B$2:$B176,"s",$C$2:$C176,"SER")+COUNTIFS($B$2:$B176,"s",$C$2:$C176,"PLH"))-1)/96)+1)&amp;": "&amp;CHAR(65+INT(MOD((COUNTIFS($B$2:$B176,"s",$C$2:$C176,"SER")+COUNTIFS($B$2:$B176,"s",$C$2:$C176,"PLH"))-1,96)/12))&amp;(MOD((COUNTIFS($B$2:$B176,"s",$C$2:$C176,"SER")+COUNTIFS($B$2:$B176,"s",$C$2:$C176,"PLH"))-1,12)+1),"N/A"),"")</f>
        <v/>
      </c>
      <c r="K176" s="6" t="str">
        <f>IF(AND($A176&lt;&gt;"",$B176&lt;&gt;"",$C176&lt;&gt;"",$D176&lt;&gt;"",$E176&lt;&gt;""),IF($C176="WB","Case WB Box "&amp;(INT((COUNTIFS($C$2:$C176,"WB")-1)/81)+1)&amp;": "&amp;CHAR(65+INT(MOD(COUNTIFS($C$2:$C176,"WB")-1,81)/9))&amp;(MOD(COUNTIFS($C$2:$C176,"WB")-1,9)+1),"N/A"),"")</f>
        <v/>
      </c>
      <c r="L176" s="2" t="str">
        <f t="shared" si="37"/>
        <v/>
      </c>
      <c r="M176" s="2"/>
      <c r="N176" s="2"/>
      <c r="O176" s="2"/>
      <c r="P176" s="7" t="str">
        <f t="shared" si="38"/>
        <v/>
      </c>
      <c r="Q176" s="7" t="str">
        <f t="shared" si="39"/>
        <v/>
      </c>
      <c r="R176" s="7" t="str">
        <f t="shared" si="40"/>
        <v/>
      </c>
      <c r="S176" s="7" t="str">
        <f t="shared" si="41"/>
        <v/>
      </c>
      <c r="T176" s="7" t="str">
        <f t="shared" si="42"/>
        <v/>
      </c>
      <c r="U176" s="7" t="str">
        <f t="shared" si="43"/>
        <v/>
      </c>
      <c r="V176" s="7" t="str">
        <f t="shared" si="44"/>
        <v/>
      </c>
      <c r="W176" s="7" t="str">
        <f t="shared" si="45"/>
        <v/>
      </c>
      <c r="X176" s="7" t="str">
        <f t="shared" si="46"/>
        <v/>
      </c>
      <c r="Y176" s="7" t="str">
        <f t="shared" si="47"/>
        <v/>
      </c>
      <c r="Z176">
        <f t="shared" si="48"/>
        <v>0</v>
      </c>
      <c r="AA176" t="str">
        <f t="shared" si="49"/>
        <v/>
      </c>
      <c r="AB176" t="str">
        <f t="shared" si="50"/>
        <v/>
      </c>
      <c r="AC176" t="str">
        <f t="shared" si="51"/>
        <v/>
      </c>
      <c r="AD176" t="str">
        <f t="shared" si="52"/>
        <v/>
      </c>
      <c r="AE176">
        <f t="shared" si="53"/>
        <v>0</v>
      </c>
    </row>
    <row r="177" spans="1:31" ht="15" customHeight="1" x14ac:dyDescent="0.35">
      <c r="A177" s="2"/>
      <c r="B177" s="3"/>
      <c r="C177" s="3"/>
      <c r="D177" s="4"/>
      <c r="E177" s="5"/>
      <c r="F177" s="11" t="str">
        <f t="shared" ca="1" si="36"/>
        <v/>
      </c>
      <c r="G177" s="5"/>
      <c r="H177" s="6" t="str">
        <f>IF(AND($A177&lt;&gt;"",$B177&lt;&gt;"",$C177&lt;&gt;"",$D177&lt;&gt;"",$E177&lt;&gt;""),IF(AND($B177="s",OR($C177="SER",$C177="PLH",$C177="CSF")),"Case CDI Plate "&amp;(INT(((COUNTIFS($B$2:$B177,"s",$C$2:$C177,"SER")+COUNTIFS($B$2:$B177,"s",$C$2:$C177,"PLH")+COUNTIFS($B$2:$B177,"s",$C$2:$C177,"CSF"))-1)/96)+1)&amp;": "&amp;CHAR(65+INT(MOD((COUNTIFS($B$2:$B177,"s",$C$2:$C177,"SER")+COUNTIFS($B$2:$B177,"s",$C$2:$C177,"PLH")+COUNTIFS($B$2:$B177,"s",$C$2:$C177,"CSF"))-1,96)/12))&amp;(MOD((COUNTIFS($B$2:$B177,"s",$C$2:$C177,"SER")+COUNTIFS($B$2:$B177,"s",$C$2:$C177,"PLH")+COUNTIFS($B$2:$B177,"s",$C$2:$C177,"CSF"))-1,12)+1),"N/A"),"")</f>
        <v/>
      </c>
      <c r="I177" s="6" t="str">
        <f>IF(AND($A177&lt;&gt;"",$B177&lt;&gt;"",$C177&lt;&gt;"",$D177&lt;&gt;"",$E177&lt;&gt;""),IF(AND($B177="s",OR($C177="SER",$C177="PLH",$C177="CSF")),"Case NIH Plate "&amp;(INT(((COUNTIFS($B$2:$B177,"s",$C$2:$C177,"SER")+COUNTIFS($B$2:$B177,"s",$C$2:$C177,"PLH")+COUNTIFS($B$2:$B177,"s",$C$2:$C177,"CSF"))-1)/96)+1)&amp;": "&amp;CHAR(65+INT(MOD((COUNTIFS($B$2:$B177,"s",$C$2:$C177,"SER")+COUNTIFS($B$2:$B177,"s",$C$2:$C177,"PLH")+COUNTIFS($B$2:$B177,"s",$C$2:$C177,"CSF"))-1,96)/12))&amp;(MOD((COUNTIFS($B$2:$B177,"s",$C$2:$C177,"SER")+COUNTIFS($B$2:$B177,"s",$C$2:$C177,"PLH")+COUNTIFS($B$2:$B177,"s",$C$2:$C177,"CSF"))-1,12)+1),"N/A"),"")</f>
        <v/>
      </c>
      <c r="J177" s="6" t="str">
        <f>IF(AND($A177&lt;&gt;"",$B177&lt;&gt;"",$C177&lt;&gt;"",$D177&lt;&gt;"",$E177&lt;&gt;""),IF(AND($B177="s",OR($C177="SER",$C177="PLH")),"Case MAX Planck Plate "&amp;(INT(((COUNTIFS($B$2:$B177,"s",$C$2:$C177,"SER")+COUNTIFS($B$2:$B177,"s",$C$2:$C177,"PLH"))-1)/96)+1)&amp;": "&amp;CHAR(65+INT(MOD((COUNTIFS($B$2:$B177,"s",$C$2:$C177,"SER")+COUNTIFS($B$2:$B177,"s",$C$2:$C177,"PLH"))-1,96)/12))&amp;(MOD((COUNTIFS($B$2:$B177,"s",$C$2:$C177,"SER")+COUNTIFS($B$2:$B177,"s",$C$2:$C177,"PLH"))-1,12)+1),"N/A"),"")</f>
        <v/>
      </c>
      <c r="K177" s="6" t="str">
        <f>IF(AND($A177&lt;&gt;"",$B177&lt;&gt;"",$C177&lt;&gt;"",$D177&lt;&gt;"",$E177&lt;&gt;""),IF($C177="WB","Case WB Box "&amp;(INT((COUNTIFS($C$2:$C177,"WB")-1)/81)+1)&amp;": "&amp;CHAR(65+INT(MOD(COUNTIFS($C$2:$C177,"WB")-1,81)/9))&amp;(MOD(COUNTIFS($C$2:$C177,"WB")-1,9)+1),"N/A"),"")</f>
        <v/>
      </c>
      <c r="L177" s="2" t="str">
        <f t="shared" si="37"/>
        <v/>
      </c>
      <c r="M177" s="2"/>
      <c r="N177" s="2"/>
      <c r="O177" s="2"/>
      <c r="P177" s="7" t="str">
        <f t="shared" si="38"/>
        <v/>
      </c>
      <c r="Q177" s="7" t="str">
        <f t="shared" si="39"/>
        <v/>
      </c>
      <c r="R177" s="7" t="str">
        <f t="shared" si="40"/>
        <v/>
      </c>
      <c r="S177" s="7" t="str">
        <f t="shared" si="41"/>
        <v/>
      </c>
      <c r="T177" s="7" t="str">
        <f t="shared" si="42"/>
        <v/>
      </c>
      <c r="U177" s="7" t="str">
        <f t="shared" si="43"/>
        <v/>
      </c>
      <c r="V177" s="7" t="str">
        <f t="shared" si="44"/>
        <v/>
      </c>
      <c r="W177" s="7" t="str">
        <f t="shared" si="45"/>
        <v/>
      </c>
      <c r="X177" s="7" t="str">
        <f t="shared" si="46"/>
        <v/>
      </c>
      <c r="Y177" s="7" t="str">
        <f t="shared" si="47"/>
        <v/>
      </c>
      <c r="Z177">
        <f t="shared" si="48"/>
        <v>0</v>
      </c>
      <c r="AA177" t="str">
        <f t="shared" si="49"/>
        <v/>
      </c>
      <c r="AB177" t="str">
        <f t="shared" si="50"/>
        <v/>
      </c>
      <c r="AC177" t="str">
        <f t="shared" si="51"/>
        <v/>
      </c>
      <c r="AD177" t="str">
        <f t="shared" si="52"/>
        <v/>
      </c>
      <c r="AE177">
        <f t="shared" si="53"/>
        <v>0</v>
      </c>
    </row>
    <row r="178" spans="1:31" ht="15" customHeight="1" x14ac:dyDescent="0.35">
      <c r="A178" s="2"/>
      <c r="B178" s="3"/>
      <c r="C178" s="3"/>
      <c r="D178" s="4"/>
      <c r="E178" s="5"/>
      <c r="F178" s="11" t="str">
        <f t="shared" ca="1" si="36"/>
        <v/>
      </c>
      <c r="G178" s="5"/>
      <c r="H178" s="6" t="str">
        <f>IF(AND($A178&lt;&gt;"",$B178&lt;&gt;"",$C178&lt;&gt;"",$D178&lt;&gt;"",$E178&lt;&gt;""),IF(AND($B178="s",OR($C178="SER",$C178="PLH",$C178="CSF")),"Case CDI Plate "&amp;(INT(((COUNTIFS($B$2:$B178,"s",$C$2:$C178,"SER")+COUNTIFS($B$2:$B178,"s",$C$2:$C178,"PLH")+COUNTIFS($B$2:$B178,"s",$C$2:$C178,"CSF"))-1)/96)+1)&amp;": "&amp;CHAR(65+INT(MOD((COUNTIFS($B$2:$B178,"s",$C$2:$C178,"SER")+COUNTIFS($B$2:$B178,"s",$C$2:$C178,"PLH")+COUNTIFS($B$2:$B178,"s",$C$2:$C178,"CSF"))-1,96)/12))&amp;(MOD((COUNTIFS($B$2:$B178,"s",$C$2:$C178,"SER")+COUNTIFS($B$2:$B178,"s",$C$2:$C178,"PLH")+COUNTIFS($B$2:$B178,"s",$C$2:$C178,"CSF"))-1,12)+1),"N/A"),"")</f>
        <v/>
      </c>
      <c r="I178" s="6" t="str">
        <f>IF(AND($A178&lt;&gt;"",$B178&lt;&gt;"",$C178&lt;&gt;"",$D178&lt;&gt;"",$E178&lt;&gt;""),IF(AND($B178="s",OR($C178="SER",$C178="PLH",$C178="CSF")),"Case NIH Plate "&amp;(INT(((COUNTIFS($B$2:$B178,"s",$C$2:$C178,"SER")+COUNTIFS($B$2:$B178,"s",$C$2:$C178,"PLH")+COUNTIFS($B$2:$B178,"s",$C$2:$C178,"CSF"))-1)/96)+1)&amp;": "&amp;CHAR(65+INT(MOD((COUNTIFS($B$2:$B178,"s",$C$2:$C178,"SER")+COUNTIFS($B$2:$B178,"s",$C$2:$C178,"PLH")+COUNTIFS($B$2:$B178,"s",$C$2:$C178,"CSF"))-1,96)/12))&amp;(MOD((COUNTIFS($B$2:$B178,"s",$C$2:$C178,"SER")+COUNTIFS($B$2:$B178,"s",$C$2:$C178,"PLH")+COUNTIFS($B$2:$B178,"s",$C$2:$C178,"CSF"))-1,12)+1),"N/A"),"")</f>
        <v/>
      </c>
      <c r="J178" s="6" t="str">
        <f>IF(AND($A178&lt;&gt;"",$B178&lt;&gt;"",$C178&lt;&gt;"",$D178&lt;&gt;"",$E178&lt;&gt;""),IF(AND($B178="s",OR($C178="SER",$C178="PLH")),"Case MAX Planck Plate "&amp;(INT(((COUNTIFS($B$2:$B178,"s",$C$2:$C178,"SER")+COUNTIFS($B$2:$B178,"s",$C$2:$C178,"PLH"))-1)/96)+1)&amp;": "&amp;CHAR(65+INT(MOD((COUNTIFS($B$2:$B178,"s",$C$2:$C178,"SER")+COUNTIFS($B$2:$B178,"s",$C$2:$C178,"PLH"))-1,96)/12))&amp;(MOD((COUNTIFS($B$2:$B178,"s",$C$2:$C178,"SER")+COUNTIFS($B$2:$B178,"s",$C$2:$C178,"PLH"))-1,12)+1),"N/A"),"")</f>
        <v/>
      </c>
      <c r="K178" s="6" t="str">
        <f>IF(AND($A178&lt;&gt;"",$B178&lt;&gt;"",$C178&lt;&gt;"",$D178&lt;&gt;"",$E178&lt;&gt;""),IF($C178="WB","Case WB Box "&amp;(INT((COUNTIFS($C$2:$C178,"WB")-1)/81)+1)&amp;": "&amp;CHAR(65+INT(MOD(COUNTIFS($C$2:$C178,"WB")-1,81)/9))&amp;(MOD(COUNTIFS($C$2:$C178,"WB")-1,9)+1),"N/A"),"")</f>
        <v/>
      </c>
      <c r="L178" s="2" t="str">
        <f t="shared" si="37"/>
        <v/>
      </c>
      <c r="M178" s="2"/>
      <c r="N178" s="2"/>
      <c r="O178" s="2"/>
      <c r="P178" s="7" t="str">
        <f t="shared" si="38"/>
        <v/>
      </c>
      <c r="Q178" s="7" t="str">
        <f t="shared" si="39"/>
        <v/>
      </c>
      <c r="R178" s="7" t="str">
        <f t="shared" si="40"/>
        <v/>
      </c>
      <c r="S178" s="7" t="str">
        <f t="shared" si="41"/>
        <v/>
      </c>
      <c r="T178" s="7" t="str">
        <f t="shared" si="42"/>
        <v/>
      </c>
      <c r="U178" s="7" t="str">
        <f t="shared" si="43"/>
        <v/>
      </c>
      <c r="V178" s="7" t="str">
        <f t="shared" si="44"/>
        <v/>
      </c>
      <c r="W178" s="7" t="str">
        <f t="shared" si="45"/>
        <v/>
      </c>
      <c r="X178" s="7" t="str">
        <f t="shared" si="46"/>
        <v/>
      </c>
      <c r="Y178" s="7" t="str">
        <f t="shared" si="47"/>
        <v/>
      </c>
      <c r="Z178">
        <f t="shared" si="48"/>
        <v>0</v>
      </c>
      <c r="AA178" t="str">
        <f t="shared" si="49"/>
        <v/>
      </c>
      <c r="AB178" t="str">
        <f t="shared" si="50"/>
        <v/>
      </c>
      <c r="AC178" t="str">
        <f t="shared" si="51"/>
        <v/>
      </c>
      <c r="AD178" t="str">
        <f t="shared" si="52"/>
        <v/>
      </c>
      <c r="AE178">
        <f t="shared" si="53"/>
        <v>0</v>
      </c>
    </row>
    <row r="179" spans="1:31" ht="15" customHeight="1" x14ac:dyDescent="0.35">
      <c r="A179" s="2"/>
      <c r="B179" s="3"/>
      <c r="C179" s="3"/>
      <c r="D179" s="4"/>
      <c r="E179" s="5"/>
      <c r="F179" s="11" t="str">
        <f t="shared" ca="1" si="36"/>
        <v/>
      </c>
      <c r="G179" s="5"/>
      <c r="H179" s="6" t="str">
        <f>IF(AND($A179&lt;&gt;"",$B179&lt;&gt;"",$C179&lt;&gt;"",$D179&lt;&gt;"",$E179&lt;&gt;""),IF(AND($B179="s",OR($C179="SER",$C179="PLH",$C179="CSF")),"Case CDI Plate "&amp;(INT(((COUNTIFS($B$2:$B179,"s",$C$2:$C179,"SER")+COUNTIFS($B$2:$B179,"s",$C$2:$C179,"PLH")+COUNTIFS($B$2:$B179,"s",$C$2:$C179,"CSF"))-1)/96)+1)&amp;": "&amp;CHAR(65+INT(MOD((COUNTIFS($B$2:$B179,"s",$C$2:$C179,"SER")+COUNTIFS($B$2:$B179,"s",$C$2:$C179,"PLH")+COUNTIFS($B$2:$B179,"s",$C$2:$C179,"CSF"))-1,96)/12))&amp;(MOD((COUNTIFS($B$2:$B179,"s",$C$2:$C179,"SER")+COUNTIFS($B$2:$B179,"s",$C$2:$C179,"PLH")+COUNTIFS($B$2:$B179,"s",$C$2:$C179,"CSF"))-1,12)+1),"N/A"),"")</f>
        <v/>
      </c>
      <c r="I179" s="6" t="str">
        <f>IF(AND($A179&lt;&gt;"",$B179&lt;&gt;"",$C179&lt;&gt;"",$D179&lt;&gt;"",$E179&lt;&gt;""),IF(AND($B179="s",OR($C179="SER",$C179="PLH",$C179="CSF")),"Case NIH Plate "&amp;(INT(((COUNTIFS($B$2:$B179,"s",$C$2:$C179,"SER")+COUNTIFS($B$2:$B179,"s",$C$2:$C179,"PLH")+COUNTIFS($B$2:$B179,"s",$C$2:$C179,"CSF"))-1)/96)+1)&amp;": "&amp;CHAR(65+INT(MOD((COUNTIFS($B$2:$B179,"s",$C$2:$C179,"SER")+COUNTIFS($B$2:$B179,"s",$C$2:$C179,"PLH")+COUNTIFS($B$2:$B179,"s",$C$2:$C179,"CSF"))-1,96)/12))&amp;(MOD((COUNTIFS($B$2:$B179,"s",$C$2:$C179,"SER")+COUNTIFS($B$2:$B179,"s",$C$2:$C179,"PLH")+COUNTIFS($B$2:$B179,"s",$C$2:$C179,"CSF"))-1,12)+1),"N/A"),"")</f>
        <v/>
      </c>
      <c r="J179" s="6" t="str">
        <f>IF(AND($A179&lt;&gt;"",$B179&lt;&gt;"",$C179&lt;&gt;"",$D179&lt;&gt;"",$E179&lt;&gt;""),IF(AND($B179="s",OR($C179="SER",$C179="PLH")),"Case MAX Planck Plate "&amp;(INT(((COUNTIFS($B$2:$B179,"s",$C$2:$C179,"SER")+COUNTIFS($B$2:$B179,"s",$C$2:$C179,"PLH"))-1)/96)+1)&amp;": "&amp;CHAR(65+INT(MOD((COUNTIFS($B$2:$B179,"s",$C$2:$C179,"SER")+COUNTIFS($B$2:$B179,"s",$C$2:$C179,"PLH"))-1,96)/12))&amp;(MOD((COUNTIFS($B$2:$B179,"s",$C$2:$C179,"SER")+COUNTIFS($B$2:$B179,"s",$C$2:$C179,"PLH"))-1,12)+1),"N/A"),"")</f>
        <v/>
      </c>
      <c r="K179" s="6" t="str">
        <f>IF(AND($A179&lt;&gt;"",$B179&lt;&gt;"",$C179&lt;&gt;"",$D179&lt;&gt;"",$E179&lt;&gt;""),IF($C179="WB","Case WB Box "&amp;(INT((COUNTIFS($C$2:$C179,"WB")-1)/81)+1)&amp;": "&amp;CHAR(65+INT(MOD(COUNTIFS($C$2:$C179,"WB")-1,81)/9))&amp;(MOD(COUNTIFS($C$2:$C179,"WB")-1,9)+1),"N/A"),"")</f>
        <v/>
      </c>
      <c r="L179" s="2" t="str">
        <f t="shared" si="37"/>
        <v/>
      </c>
      <c r="M179" s="2"/>
      <c r="N179" s="2"/>
      <c r="O179" s="2"/>
      <c r="P179" s="7" t="str">
        <f t="shared" si="38"/>
        <v/>
      </c>
      <c r="Q179" s="7" t="str">
        <f t="shared" si="39"/>
        <v/>
      </c>
      <c r="R179" s="7" t="str">
        <f t="shared" si="40"/>
        <v/>
      </c>
      <c r="S179" s="7" t="str">
        <f t="shared" si="41"/>
        <v/>
      </c>
      <c r="T179" s="7" t="str">
        <f t="shared" si="42"/>
        <v/>
      </c>
      <c r="U179" s="7" t="str">
        <f t="shared" si="43"/>
        <v/>
      </c>
      <c r="V179" s="7" t="str">
        <f t="shared" si="44"/>
        <v/>
      </c>
      <c r="W179" s="7" t="str">
        <f t="shared" si="45"/>
        <v/>
      </c>
      <c r="X179" s="7" t="str">
        <f t="shared" si="46"/>
        <v/>
      </c>
      <c r="Y179" s="7" t="str">
        <f t="shared" si="47"/>
        <v/>
      </c>
      <c r="Z179">
        <f t="shared" si="48"/>
        <v>0</v>
      </c>
      <c r="AA179" t="str">
        <f t="shared" si="49"/>
        <v/>
      </c>
      <c r="AB179" t="str">
        <f t="shared" si="50"/>
        <v/>
      </c>
      <c r="AC179" t="str">
        <f t="shared" si="51"/>
        <v/>
      </c>
      <c r="AD179" t="str">
        <f t="shared" si="52"/>
        <v/>
      </c>
      <c r="AE179">
        <f t="shared" si="53"/>
        <v>0</v>
      </c>
    </row>
    <row r="180" spans="1:31" ht="15" customHeight="1" x14ac:dyDescent="0.35">
      <c r="A180" s="2"/>
      <c r="B180" s="3"/>
      <c r="C180" s="3"/>
      <c r="D180" s="4"/>
      <c r="E180" s="5"/>
      <c r="F180" s="11" t="str">
        <f t="shared" ca="1" si="36"/>
        <v/>
      </c>
      <c r="G180" s="5"/>
      <c r="H180" s="6" t="str">
        <f>IF(AND($A180&lt;&gt;"",$B180&lt;&gt;"",$C180&lt;&gt;"",$D180&lt;&gt;"",$E180&lt;&gt;""),IF(AND($B180="s",OR($C180="SER",$C180="PLH",$C180="CSF")),"Case CDI Plate "&amp;(INT(((COUNTIFS($B$2:$B180,"s",$C$2:$C180,"SER")+COUNTIFS($B$2:$B180,"s",$C$2:$C180,"PLH")+COUNTIFS($B$2:$B180,"s",$C$2:$C180,"CSF"))-1)/96)+1)&amp;": "&amp;CHAR(65+INT(MOD((COUNTIFS($B$2:$B180,"s",$C$2:$C180,"SER")+COUNTIFS($B$2:$B180,"s",$C$2:$C180,"PLH")+COUNTIFS($B$2:$B180,"s",$C$2:$C180,"CSF"))-1,96)/12))&amp;(MOD((COUNTIFS($B$2:$B180,"s",$C$2:$C180,"SER")+COUNTIFS($B$2:$B180,"s",$C$2:$C180,"PLH")+COUNTIFS($B$2:$B180,"s",$C$2:$C180,"CSF"))-1,12)+1),"N/A"),"")</f>
        <v/>
      </c>
      <c r="I180" s="6" t="str">
        <f>IF(AND($A180&lt;&gt;"",$B180&lt;&gt;"",$C180&lt;&gt;"",$D180&lt;&gt;"",$E180&lt;&gt;""),IF(AND($B180="s",OR($C180="SER",$C180="PLH",$C180="CSF")),"Case NIH Plate "&amp;(INT(((COUNTIFS($B$2:$B180,"s",$C$2:$C180,"SER")+COUNTIFS($B$2:$B180,"s",$C$2:$C180,"PLH")+COUNTIFS($B$2:$B180,"s",$C$2:$C180,"CSF"))-1)/96)+1)&amp;": "&amp;CHAR(65+INT(MOD((COUNTIFS($B$2:$B180,"s",$C$2:$C180,"SER")+COUNTIFS($B$2:$B180,"s",$C$2:$C180,"PLH")+COUNTIFS($B$2:$B180,"s",$C$2:$C180,"CSF"))-1,96)/12))&amp;(MOD((COUNTIFS($B$2:$B180,"s",$C$2:$C180,"SER")+COUNTIFS($B$2:$B180,"s",$C$2:$C180,"PLH")+COUNTIFS($B$2:$B180,"s",$C$2:$C180,"CSF"))-1,12)+1),"N/A"),"")</f>
        <v/>
      </c>
      <c r="J180" s="6" t="str">
        <f>IF(AND($A180&lt;&gt;"",$B180&lt;&gt;"",$C180&lt;&gt;"",$D180&lt;&gt;"",$E180&lt;&gt;""),IF(AND($B180="s",OR($C180="SER",$C180="PLH")),"Case MAX Planck Plate "&amp;(INT(((COUNTIFS($B$2:$B180,"s",$C$2:$C180,"SER")+COUNTIFS($B$2:$B180,"s",$C$2:$C180,"PLH"))-1)/96)+1)&amp;": "&amp;CHAR(65+INT(MOD((COUNTIFS($B$2:$B180,"s",$C$2:$C180,"SER")+COUNTIFS($B$2:$B180,"s",$C$2:$C180,"PLH"))-1,96)/12))&amp;(MOD((COUNTIFS($B$2:$B180,"s",$C$2:$C180,"SER")+COUNTIFS($B$2:$B180,"s",$C$2:$C180,"PLH"))-1,12)+1),"N/A"),"")</f>
        <v/>
      </c>
      <c r="K180" s="6" t="str">
        <f>IF(AND($A180&lt;&gt;"",$B180&lt;&gt;"",$C180&lt;&gt;"",$D180&lt;&gt;"",$E180&lt;&gt;""),IF($C180="WB","Case WB Box "&amp;(INT((COUNTIFS($C$2:$C180,"WB")-1)/81)+1)&amp;": "&amp;CHAR(65+INT(MOD(COUNTIFS($C$2:$C180,"WB")-1,81)/9))&amp;(MOD(COUNTIFS($C$2:$C180,"WB")-1,9)+1),"N/A"),"")</f>
        <v/>
      </c>
      <c r="L180" s="2" t="str">
        <f t="shared" si="37"/>
        <v/>
      </c>
      <c r="M180" s="2"/>
      <c r="N180" s="2"/>
      <c r="O180" s="2"/>
      <c r="P180" s="7" t="str">
        <f t="shared" si="38"/>
        <v/>
      </c>
      <c r="Q180" s="7" t="str">
        <f t="shared" si="39"/>
        <v/>
      </c>
      <c r="R180" s="7" t="str">
        <f t="shared" si="40"/>
        <v/>
      </c>
      <c r="S180" s="7" t="str">
        <f t="shared" si="41"/>
        <v/>
      </c>
      <c r="T180" s="7" t="str">
        <f t="shared" si="42"/>
        <v/>
      </c>
      <c r="U180" s="7" t="str">
        <f t="shared" si="43"/>
        <v/>
      </c>
      <c r="V180" s="7" t="str">
        <f t="shared" si="44"/>
        <v/>
      </c>
      <c r="W180" s="7" t="str">
        <f t="shared" si="45"/>
        <v/>
      </c>
      <c r="X180" s="7" t="str">
        <f t="shared" si="46"/>
        <v/>
      </c>
      <c r="Y180" s="7" t="str">
        <f t="shared" si="47"/>
        <v/>
      </c>
      <c r="Z180">
        <f t="shared" si="48"/>
        <v>0</v>
      </c>
      <c r="AA180" t="str">
        <f t="shared" si="49"/>
        <v/>
      </c>
      <c r="AB180" t="str">
        <f t="shared" si="50"/>
        <v/>
      </c>
      <c r="AC180" t="str">
        <f t="shared" si="51"/>
        <v/>
      </c>
      <c r="AD180" t="str">
        <f t="shared" si="52"/>
        <v/>
      </c>
      <c r="AE180">
        <f t="shared" si="53"/>
        <v>0</v>
      </c>
    </row>
    <row r="181" spans="1:31" ht="15" customHeight="1" x14ac:dyDescent="0.35">
      <c r="A181" s="2"/>
      <c r="B181" s="3"/>
      <c r="C181" s="3"/>
      <c r="D181" s="4"/>
      <c r="E181" s="5"/>
      <c r="F181" s="11" t="str">
        <f t="shared" ca="1" si="36"/>
        <v/>
      </c>
      <c r="G181" s="5"/>
      <c r="H181" s="6" t="str">
        <f>IF(AND($A181&lt;&gt;"",$B181&lt;&gt;"",$C181&lt;&gt;"",$D181&lt;&gt;"",$E181&lt;&gt;""),IF(AND($B181="s",OR($C181="SER",$C181="PLH",$C181="CSF")),"Case CDI Plate "&amp;(INT(((COUNTIFS($B$2:$B181,"s",$C$2:$C181,"SER")+COUNTIFS($B$2:$B181,"s",$C$2:$C181,"PLH")+COUNTIFS($B$2:$B181,"s",$C$2:$C181,"CSF"))-1)/96)+1)&amp;": "&amp;CHAR(65+INT(MOD((COUNTIFS($B$2:$B181,"s",$C$2:$C181,"SER")+COUNTIFS($B$2:$B181,"s",$C$2:$C181,"PLH")+COUNTIFS($B$2:$B181,"s",$C$2:$C181,"CSF"))-1,96)/12))&amp;(MOD((COUNTIFS($B$2:$B181,"s",$C$2:$C181,"SER")+COUNTIFS($B$2:$B181,"s",$C$2:$C181,"PLH")+COUNTIFS($B$2:$B181,"s",$C$2:$C181,"CSF"))-1,12)+1),"N/A"),"")</f>
        <v/>
      </c>
      <c r="I181" s="6" t="str">
        <f>IF(AND($A181&lt;&gt;"",$B181&lt;&gt;"",$C181&lt;&gt;"",$D181&lt;&gt;"",$E181&lt;&gt;""),IF(AND($B181="s",OR($C181="SER",$C181="PLH",$C181="CSF")),"Case NIH Plate "&amp;(INT(((COUNTIFS($B$2:$B181,"s",$C$2:$C181,"SER")+COUNTIFS($B$2:$B181,"s",$C$2:$C181,"PLH")+COUNTIFS($B$2:$B181,"s",$C$2:$C181,"CSF"))-1)/96)+1)&amp;": "&amp;CHAR(65+INT(MOD((COUNTIFS($B$2:$B181,"s",$C$2:$C181,"SER")+COUNTIFS($B$2:$B181,"s",$C$2:$C181,"PLH")+COUNTIFS($B$2:$B181,"s",$C$2:$C181,"CSF"))-1,96)/12))&amp;(MOD((COUNTIFS($B$2:$B181,"s",$C$2:$C181,"SER")+COUNTIFS($B$2:$B181,"s",$C$2:$C181,"PLH")+COUNTIFS($B$2:$B181,"s",$C$2:$C181,"CSF"))-1,12)+1),"N/A"),"")</f>
        <v/>
      </c>
      <c r="J181" s="6" t="str">
        <f>IF(AND($A181&lt;&gt;"",$B181&lt;&gt;"",$C181&lt;&gt;"",$D181&lt;&gt;"",$E181&lt;&gt;""),IF(AND($B181="s",OR($C181="SER",$C181="PLH")),"Case MAX Planck Plate "&amp;(INT(((COUNTIFS($B$2:$B181,"s",$C$2:$C181,"SER")+COUNTIFS($B$2:$B181,"s",$C$2:$C181,"PLH"))-1)/96)+1)&amp;": "&amp;CHAR(65+INT(MOD((COUNTIFS($B$2:$B181,"s",$C$2:$C181,"SER")+COUNTIFS($B$2:$B181,"s",$C$2:$C181,"PLH"))-1,96)/12))&amp;(MOD((COUNTIFS($B$2:$B181,"s",$C$2:$C181,"SER")+COUNTIFS($B$2:$B181,"s",$C$2:$C181,"PLH"))-1,12)+1),"N/A"),"")</f>
        <v/>
      </c>
      <c r="K181" s="6" t="str">
        <f>IF(AND($A181&lt;&gt;"",$B181&lt;&gt;"",$C181&lt;&gt;"",$D181&lt;&gt;"",$E181&lt;&gt;""),IF($C181="WB","Case WB Box "&amp;(INT((COUNTIFS($C$2:$C181,"WB")-1)/81)+1)&amp;": "&amp;CHAR(65+INT(MOD(COUNTIFS($C$2:$C181,"WB")-1,81)/9))&amp;(MOD(COUNTIFS($C$2:$C181,"WB")-1,9)+1),"N/A"),"")</f>
        <v/>
      </c>
      <c r="L181" s="2" t="str">
        <f t="shared" si="37"/>
        <v/>
      </c>
      <c r="M181" s="2"/>
      <c r="N181" s="2"/>
      <c r="O181" s="2"/>
      <c r="P181" s="7" t="str">
        <f t="shared" si="38"/>
        <v/>
      </c>
      <c r="Q181" s="7" t="str">
        <f t="shared" si="39"/>
        <v/>
      </c>
      <c r="R181" s="7" t="str">
        <f t="shared" si="40"/>
        <v/>
      </c>
      <c r="S181" s="7" t="str">
        <f t="shared" si="41"/>
        <v/>
      </c>
      <c r="T181" s="7" t="str">
        <f t="shared" si="42"/>
        <v/>
      </c>
      <c r="U181" s="7" t="str">
        <f t="shared" si="43"/>
        <v/>
      </c>
      <c r="V181" s="7" t="str">
        <f t="shared" si="44"/>
        <v/>
      </c>
      <c r="W181" s="7" t="str">
        <f t="shared" si="45"/>
        <v/>
      </c>
      <c r="X181" s="7" t="str">
        <f t="shared" si="46"/>
        <v/>
      </c>
      <c r="Y181" s="7" t="str">
        <f t="shared" si="47"/>
        <v/>
      </c>
      <c r="Z181">
        <f t="shared" si="48"/>
        <v>0</v>
      </c>
      <c r="AA181" t="str">
        <f t="shared" si="49"/>
        <v/>
      </c>
      <c r="AB181" t="str">
        <f t="shared" si="50"/>
        <v/>
      </c>
      <c r="AC181" t="str">
        <f t="shared" si="51"/>
        <v/>
      </c>
      <c r="AD181" t="str">
        <f t="shared" si="52"/>
        <v/>
      </c>
      <c r="AE181">
        <f t="shared" si="53"/>
        <v>0</v>
      </c>
    </row>
    <row r="182" spans="1:31" ht="15" customHeight="1" x14ac:dyDescent="0.35">
      <c r="A182" s="2"/>
      <c r="B182" s="3"/>
      <c r="C182" s="3"/>
      <c r="D182" s="4"/>
      <c r="E182" s="5"/>
      <c r="F182" s="11" t="str">
        <f t="shared" ca="1" si="36"/>
        <v/>
      </c>
      <c r="G182" s="5"/>
      <c r="H182" s="6" t="str">
        <f>IF(AND($A182&lt;&gt;"",$B182&lt;&gt;"",$C182&lt;&gt;"",$D182&lt;&gt;"",$E182&lt;&gt;""),IF(AND($B182="s",OR($C182="SER",$C182="PLH",$C182="CSF")),"Case CDI Plate "&amp;(INT(((COUNTIFS($B$2:$B182,"s",$C$2:$C182,"SER")+COUNTIFS($B$2:$B182,"s",$C$2:$C182,"PLH")+COUNTIFS($B$2:$B182,"s",$C$2:$C182,"CSF"))-1)/96)+1)&amp;": "&amp;CHAR(65+INT(MOD((COUNTIFS($B$2:$B182,"s",$C$2:$C182,"SER")+COUNTIFS($B$2:$B182,"s",$C$2:$C182,"PLH")+COUNTIFS($B$2:$B182,"s",$C$2:$C182,"CSF"))-1,96)/12))&amp;(MOD((COUNTIFS($B$2:$B182,"s",$C$2:$C182,"SER")+COUNTIFS($B$2:$B182,"s",$C$2:$C182,"PLH")+COUNTIFS($B$2:$B182,"s",$C$2:$C182,"CSF"))-1,12)+1),"N/A"),"")</f>
        <v/>
      </c>
      <c r="I182" s="6" t="str">
        <f>IF(AND($A182&lt;&gt;"",$B182&lt;&gt;"",$C182&lt;&gt;"",$D182&lt;&gt;"",$E182&lt;&gt;""),IF(AND($B182="s",OR($C182="SER",$C182="PLH",$C182="CSF")),"Case NIH Plate "&amp;(INT(((COUNTIFS($B$2:$B182,"s",$C$2:$C182,"SER")+COUNTIFS($B$2:$B182,"s",$C$2:$C182,"PLH")+COUNTIFS($B$2:$B182,"s",$C$2:$C182,"CSF"))-1)/96)+1)&amp;": "&amp;CHAR(65+INT(MOD((COUNTIFS($B$2:$B182,"s",$C$2:$C182,"SER")+COUNTIFS($B$2:$B182,"s",$C$2:$C182,"PLH")+COUNTIFS($B$2:$B182,"s",$C$2:$C182,"CSF"))-1,96)/12))&amp;(MOD((COUNTIFS($B$2:$B182,"s",$C$2:$C182,"SER")+COUNTIFS($B$2:$B182,"s",$C$2:$C182,"PLH")+COUNTIFS($B$2:$B182,"s",$C$2:$C182,"CSF"))-1,12)+1),"N/A"),"")</f>
        <v/>
      </c>
      <c r="J182" s="6" t="str">
        <f>IF(AND($A182&lt;&gt;"",$B182&lt;&gt;"",$C182&lt;&gt;"",$D182&lt;&gt;"",$E182&lt;&gt;""),IF(AND($B182="s",OR($C182="SER",$C182="PLH")),"Case MAX Planck Plate "&amp;(INT(((COUNTIFS($B$2:$B182,"s",$C$2:$C182,"SER")+COUNTIFS($B$2:$B182,"s",$C$2:$C182,"PLH"))-1)/96)+1)&amp;": "&amp;CHAR(65+INT(MOD((COUNTIFS($B$2:$B182,"s",$C$2:$C182,"SER")+COUNTIFS($B$2:$B182,"s",$C$2:$C182,"PLH"))-1,96)/12))&amp;(MOD((COUNTIFS($B$2:$B182,"s",$C$2:$C182,"SER")+COUNTIFS($B$2:$B182,"s",$C$2:$C182,"PLH"))-1,12)+1),"N/A"),"")</f>
        <v/>
      </c>
      <c r="K182" s="6" t="str">
        <f>IF(AND($A182&lt;&gt;"",$B182&lt;&gt;"",$C182&lt;&gt;"",$D182&lt;&gt;"",$E182&lt;&gt;""),IF($C182="WB","Case WB Box "&amp;(INT((COUNTIFS($C$2:$C182,"WB")-1)/81)+1)&amp;": "&amp;CHAR(65+INT(MOD(COUNTIFS($C$2:$C182,"WB")-1,81)/9))&amp;(MOD(COUNTIFS($C$2:$C182,"WB")-1,9)+1),"N/A"),"")</f>
        <v/>
      </c>
      <c r="L182" s="2" t="str">
        <f t="shared" si="37"/>
        <v/>
      </c>
      <c r="M182" s="2"/>
      <c r="N182" s="2"/>
      <c r="O182" s="2"/>
      <c r="P182" s="7" t="str">
        <f t="shared" si="38"/>
        <v/>
      </c>
      <c r="Q182" s="7" t="str">
        <f t="shared" si="39"/>
        <v/>
      </c>
      <c r="R182" s="7" t="str">
        <f t="shared" si="40"/>
        <v/>
      </c>
      <c r="S182" s="7" t="str">
        <f t="shared" si="41"/>
        <v/>
      </c>
      <c r="T182" s="7" t="str">
        <f t="shared" si="42"/>
        <v/>
      </c>
      <c r="U182" s="7" t="str">
        <f t="shared" si="43"/>
        <v/>
      </c>
      <c r="V182" s="7" t="str">
        <f t="shared" si="44"/>
        <v/>
      </c>
      <c r="W182" s="7" t="str">
        <f t="shared" si="45"/>
        <v/>
      </c>
      <c r="X182" s="7" t="str">
        <f t="shared" si="46"/>
        <v/>
      </c>
      <c r="Y182" s="7" t="str">
        <f t="shared" si="47"/>
        <v/>
      </c>
      <c r="Z182">
        <f t="shared" si="48"/>
        <v>0</v>
      </c>
      <c r="AA182" t="str">
        <f t="shared" si="49"/>
        <v/>
      </c>
      <c r="AB182" t="str">
        <f t="shared" si="50"/>
        <v/>
      </c>
      <c r="AC182" t="str">
        <f t="shared" si="51"/>
        <v/>
      </c>
      <c r="AD182" t="str">
        <f t="shared" si="52"/>
        <v/>
      </c>
      <c r="AE182">
        <f t="shared" si="53"/>
        <v>0</v>
      </c>
    </row>
    <row r="183" spans="1:31" ht="15" customHeight="1" x14ac:dyDescent="0.35">
      <c r="A183" s="2"/>
      <c r="B183" s="3"/>
      <c r="C183" s="3"/>
      <c r="D183" s="4"/>
      <c r="E183" s="5"/>
      <c r="F183" s="11" t="str">
        <f t="shared" ca="1" si="36"/>
        <v/>
      </c>
      <c r="G183" s="5"/>
      <c r="H183" s="6" t="str">
        <f>IF(AND($A183&lt;&gt;"",$B183&lt;&gt;"",$C183&lt;&gt;"",$D183&lt;&gt;"",$E183&lt;&gt;""),IF(AND($B183="s",OR($C183="SER",$C183="PLH",$C183="CSF")),"Case CDI Plate "&amp;(INT(((COUNTIFS($B$2:$B183,"s",$C$2:$C183,"SER")+COUNTIFS($B$2:$B183,"s",$C$2:$C183,"PLH")+COUNTIFS($B$2:$B183,"s",$C$2:$C183,"CSF"))-1)/96)+1)&amp;": "&amp;CHAR(65+INT(MOD((COUNTIFS($B$2:$B183,"s",$C$2:$C183,"SER")+COUNTIFS($B$2:$B183,"s",$C$2:$C183,"PLH")+COUNTIFS($B$2:$B183,"s",$C$2:$C183,"CSF"))-1,96)/12))&amp;(MOD((COUNTIFS($B$2:$B183,"s",$C$2:$C183,"SER")+COUNTIFS($B$2:$B183,"s",$C$2:$C183,"PLH")+COUNTIFS($B$2:$B183,"s",$C$2:$C183,"CSF"))-1,12)+1),"N/A"),"")</f>
        <v/>
      </c>
      <c r="I183" s="6" t="str">
        <f>IF(AND($A183&lt;&gt;"",$B183&lt;&gt;"",$C183&lt;&gt;"",$D183&lt;&gt;"",$E183&lt;&gt;""),IF(AND($B183="s",OR($C183="SER",$C183="PLH",$C183="CSF")),"Case NIH Plate "&amp;(INT(((COUNTIFS($B$2:$B183,"s",$C$2:$C183,"SER")+COUNTIFS($B$2:$B183,"s",$C$2:$C183,"PLH")+COUNTIFS($B$2:$B183,"s",$C$2:$C183,"CSF"))-1)/96)+1)&amp;": "&amp;CHAR(65+INT(MOD((COUNTIFS($B$2:$B183,"s",$C$2:$C183,"SER")+COUNTIFS($B$2:$B183,"s",$C$2:$C183,"PLH")+COUNTIFS($B$2:$B183,"s",$C$2:$C183,"CSF"))-1,96)/12))&amp;(MOD((COUNTIFS($B$2:$B183,"s",$C$2:$C183,"SER")+COUNTIFS($B$2:$B183,"s",$C$2:$C183,"PLH")+COUNTIFS($B$2:$B183,"s",$C$2:$C183,"CSF"))-1,12)+1),"N/A"),"")</f>
        <v/>
      </c>
      <c r="J183" s="6" t="str">
        <f>IF(AND($A183&lt;&gt;"",$B183&lt;&gt;"",$C183&lt;&gt;"",$D183&lt;&gt;"",$E183&lt;&gt;""),IF(AND($B183="s",OR($C183="SER",$C183="PLH")),"Case MAX Planck Plate "&amp;(INT(((COUNTIFS($B$2:$B183,"s",$C$2:$C183,"SER")+COUNTIFS($B$2:$B183,"s",$C$2:$C183,"PLH"))-1)/96)+1)&amp;": "&amp;CHAR(65+INT(MOD((COUNTIFS($B$2:$B183,"s",$C$2:$C183,"SER")+COUNTIFS($B$2:$B183,"s",$C$2:$C183,"PLH"))-1,96)/12))&amp;(MOD((COUNTIFS($B$2:$B183,"s",$C$2:$C183,"SER")+COUNTIFS($B$2:$B183,"s",$C$2:$C183,"PLH"))-1,12)+1),"N/A"),"")</f>
        <v/>
      </c>
      <c r="K183" s="6" t="str">
        <f>IF(AND($A183&lt;&gt;"",$B183&lt;&gt;"",$C183&lt;&gt;"",$D183&lt;&gt;"",$E183&lt;&gt;""),IF($C183="WB","Case WB Box "&amp;(INT((COUNTIFS($C$2:$C183,"WB")-1)/81)+1)&amp;": "&amp;CHAR(65+INT(MOD(COUNTIFS($C$2:$C183,"WB")-1,81)/9))&amp;(MOD(COUNTIFS($C$2:$C183,"WB")-1,9)+1),"N/A"),"")</f>
        <v/>
      </c>
      <c r="L183" s="2" t="str">
        <f t="shared" si="37"/>
        <v/>
      </c>
      <c r="M183" s="2"/>
      <c r="N183" s="2"/>
      <c r="O183" s="2"/>
      <c r="P183" s="7" t="str">
        <f t="shared" si="38"/>
        <v/>
      </c>
      <c r="Q183" s="7" t="str">
        <f t="shared" si="39"/>
        <v/>
      </c>
      <c r="R183" s="7" t="str">
        <f t="shared" si="40"/>
        <v/>
      </c>
      <c r="S183" s="7" t="str">
        <f t="shared" si="41"/>
        <v/>
      </c>
      <c r="T183" s="7" t="str">
        <f t="shared" si="42"/>
        <v/>
      </c>
      <c r="U183" s="7" t="str">
        <f t="shared" si="43"/>
        <v/>
      </c>
      <c r="V183" s="7" t="str">
        <f t="shared" si="44"/>
        <v/>
      </c>
      <c r="W183" s="7" t="str">
        <f t="shared" si="45"/>
        <v/>
      </c>
      <c r="X183" s="7" t="str">
        <f t="shared" si="46"/>
        <v/>
      </c>
      <c r="Y183" s="7" t="str">
        <f t="shared" si="47"/>
        <v/>
      </c>
      <c r="Z183">
        <f t="shared" si="48"/>
        <v>0</v>
      </c>
      <c r="AA183" t="str">
        <f t="shared" si="49"/>
        <v/>
      </c>
      <c r="AB183" t="str">
        <f t="shared" si="50"/>
        <v/>
      </c>
      <c r="AC183" t="str">
        <f t="shared" si="51"/>
        <v/>
      </c>
      <c r="AD183" t="str">
        <f t="shared" si="52"/>
        <v/>
      </c>
      <c r="AE183">
        <f t="shared" si="53"/>
        <v>0</v>
      </c>
    </row>
    <row r="184" spans="1:31" ht="15" customHeight="1" x14ac:dyDescent="0.35">
      <c r="A184" s="2"/>
      <c r="B184" s="3"/>
      <c r="C184" s="3"/>
      <c r="D184" s="4"/>
      <c r="E184" s="5"/>
      <c r="F184" s="11" t="str">
        <f t="shared" ca="1" si="36"/>
        <v/>
      </c>
      <c r="G184" s="5"/>
      <c r="H184" s="6" t="str">
        <f>IF(AND($A184&lt;&gt;"",$B184&lt;&gt;"",$C184&lt;&gt;"",$D184&lt;&gt;"",$E184&lt;&gt;""),IF(AND($B184="s",OR($C184="SER",$C184="PLH",$C184="CSF")),"Case CDI Plate "&amp;(INT(((COUNTIFS($B$2:$B184,"s",$C$2:$C184,"SER")+COUNTIFS($B$2:$B184,"s",$C$2:$C184,"PLH")+COUNTIFS($B$2:$B184,"s",$C$2:$C184,"CSF"))-1)/96)+1)&amp;": "&amp;CHAR(65+INT(MOD((COUNTIFS($B$2:$B184,"s",$C$2:$C184,"SER")+COUNTIFS($B$2:$B184,"s",$C$2:$C184,"PLH")+COUNTIFS($B$2:$B184,"s",$C$2:$C184,"CSF"))-1,96)/12))&amp;(MOD((COUNTIFS($B$2:$B184,"s",$C$2:$C184,"SER")+COUNTIFS($B$2:$B184,"s",$C$2:$C184,"PLH")+COUNTIFS($B$2:$B184,"s",$C$2:$C184,"CSF"))-1,12)+1),"N/A"),"")</f>
        <v/>
      </c>
      <c r="I184" s="6" t="str">
        <f>IF(AND($A184&lt;&gt;"",$B184&lt;&gt;"",$C184&lt;&gt;"",$D184&lt;&gt;"",$E184&lt;&gt;""),IF(AND($B184="s",OR($C184="SER",$C184="PLH",$C184="CSF")),"Case NIH Plate "&amp;(INT(((COUNTIFS($B$2:$B184,"s",$C$2:$C184,"SER")+COUNTIFS($B$2:$B184,"s",$C$2:$C184,"PLH")+COUNTIFS($B$2:$B184,"s",$C$2:$C184,"CSF"))-1)/96)+1)&amp;": "&amp;CHAR(65+INT(MOD((COUNTIFS($B$2:$B184,"s",$C$2:$C184,"SER")+COUNTIFS($B$2:$B184,"s",$C$2:$C184,"PLH")+COUNTIFS($B$2:$B184,"s",$C$2:$C184,"CSF"))-1,96)/12))&amp;(MOD((COUNTIFS($B$2:$B184,"s",$C$2:$C184,"SER")+COUNTIFS($B$2:$B184,"s",$C$2:$C184,"PLH")+COUNTIFS($B$2:$B184,"s",$C$2:$C184,"CSF"))-1,12)+1),"N/A"),"")</f>
        <v/>
      </c>
      <c r="J184" s="6" t="str">
        <f>IF(AND($A184&lt;&gt;"",$B184&lt;&gt;"",$C184&lt;&gt;"",$D184&lt;&gt;"",$E184&lt;&gt;""),IF(AND($B184="s",OR($C184="SER",$C184="PLH")),"Case MAX Planck Plate "&amp;(INT(((COUNTIFS($B$2:$B184,"s",$C$2:$C184,"SER")+COUNTIFS($B$2:$B184,"s",$C$2:$C184,"PLH"))-1)/96)+1)&amp;": "&amp;CHAR(65+INT(MOD((COUNTIFS($B$2:$B184,"s",$C$2:$C184,"SER")+COUNTIFS($B$2:$B184,"s",$C$2:$C184,"PLH"))-1,96)/12))&amp;(MOD((COUNTIFS($B$2:$B184,"s",$C$2:$C184,"SER")+COUNTIFS($B$2:$B184,"s",$C$2:$C184,"PLH"))-1,12)+1),"N/A"),"")</f>
        <v/>
      </c>
      <c r="K184" s="6" t="str">
        <f>IF(AND($A184&lt;&gt;"",$B184&lt;&gt;"",$C184&lt;&gt;"",$D184&lt;&gt;"",$E184&lt;&gt;""),IF($C184="WB","Case WB Box "&amp;(INT((COUNTIFS($C$2:$C184,"WB")-1)/81)+1)&amp;": "&amp;CHAR(65+INT(MOD(COUNTIFS($C$2:$C184,"WB")-1,81)/9))&amp;(MOD(COUNTIFS($C$2:$C184,"WB")-1,9)+1),"N/A"),"")</f>
        <v/>
      </c>
      <c r="L184" s="2" t="str">
        <f t="shared" si="37"/>
        <v/>
      </c>
      <c r="M184" s="2"/>
      <c r="N184" s="2"/>
      <c r="O184" s="2"/>
      <c r="P184" s="7" t="str">
        <f t="shared" si="38"/>
        <v/>
      </c>
      <c r="Q184" s="7" t="str">
        <f t="shared" si="39"/>
        <v/>
      </c>
      <c r="R184" s="7" t="str">
        <f t="shared" si="40"/>
        <v/>
      </c>
      <c r="S184" s="7" t="str">
        <f t="shared" si="41"/>
        <v/>
      </c>
      <c r="T184" s="7" t="str">
        <f t="shared" si="42"/>
        <v/>
      </c>
      <c r="U184" s="7" t="str">
        <f t="shared" si="43"/>
        <v/>
      </c>
      <c r="V184" s="7" t="str">
        <f t="shared" si="44"/>
        <v/>
      </c>
      <c r="W184" s="7" t="str">
        <f t="shared" si="45"/>
        <v/>
      </c>
      <c r="X184" s="7" t="str">
        <f t="shared" si="46"/>
        <v/>
      </c>
      <c r="Y184" s="7" t="str">
        <f t="shared" si="47"/>
        <v/>
      </c>
      <c r="Z184">
        <f t="shared" si="48"/>
        <v>0</v>
      </c>
      <c r="AA184" t="str">
        <f t="shared" si="49"/>
        <v/>
      </c>
      <c r="AB184" t="str">
        <f t="shared" si="50"/>
        <v/>
      </c>
      <c r="AC184" t="str">
        <f t="shared" si="51"/>
        <v/>
      </c>
      <c r="AD184" t="str">
        <f t="shared" si="52"/>
        <v/>
      </c>
      <c r="AE184">
        <f t="shared" si="53"/>
        <v>0</v>
      </c>
    </row>
    <row r="185" spans="1:31" ht="15" customHeight="1" x14ac:dyDescent="0.35">
      <c r="A185" s="2"/>
      <c r="B185" s="3"/>
      <c r="C185" s="3"/>
      <c r="D185" s="4"/>
      <c r="E185" s="5"/>
      <c r="F185" s="11" t="str">
        <f t="shared" ca="1" si="36"/>
        <v/>
      </c>
      <c r="G185" s="5"/>
      <c r="H185" s="6" t="str">
        <f>IF(AND($A185&lt;&gt;"",$B185&lt;&gt;"",$C185&lt;&gt;"",$D185&lt;&gt;"",$E185&lt;&gt;""),IF(AND($B185="s",OR($C185="SER",$C185="PLH",$C185="CSF")),"Case CDI Plate "&amp;(INT(((COUNTIFS($B$2:$B185,"s",$C$2:$C185,"SER")+COUNTIFS($B$2:$B185,"s",$C$2:$C185,"PLH")+COUNTIFS($B$2:$B185,"s",$C$2:$C185,"CSF"))-1)/96)+1)&amp;": "&amp;CHAR(65+INT(MOD((COUNTIFS($B$2:$B185,"s",$C$2:$C185,"SER")+COUNTIFS($B$2:$B185,"s",$C$2:$C185,"PLH")+COUNTIFS($B$2:$B185,"s",$C$2:$C185,"CSF"))-1,96)/12))&amp;(MOD((COUNTIFS($B$2:$B185,"s",$C$2:$C185,"SER")+COUNTIFS($B$2:$B185,"s",$C$2:$C185,"PLH")+COUNTIFS($B$2:$B185,"s",$C$2:$C185,"CSF"))-1,12)+1),"N/A"),"")</f>
        <v/>
      </c>
      <c r="I185" s="6" t="str">
        <f>IF(AND($A185&lt;&gt;"",$B185&lt;&gt;"",$C185&lt;&gt;"",$D185&lt;&gt;"",$E185&lt;&gt;""),IF(AND($B185="s",OR($C185="SER",$C185="PLH",$C185="CSF")),"Case NIH Plate "&amp;(INT(((COUNTIFS($B$2:$B185,"s",$C$2:$C185,"SER")+COUNTIFS($B$2:$B185,"s",$C$2:$C185,"PLH")+COUNTIFS($B$2:$B185,"s",$C$2:$C185,"CSF"))-1)/96)+1)&amp;": "&amp;CHAR(65+INT(MOD((COUNTIFS($B$2:$B185,"s",$C$2:$C185,"SER")+COUNTIFS($B$2:$B185,"s",$C$2:$C185,"PLH")+COUNTIFS($B$2:$B185,"s",$C$2:$C185,"CSF"))-1,96)/12))&amp;(MOD((COUNTIFS($B$2:$B185,"s",$C$2:$C185,"SER")+COUNTIFS($B$2:$B185,"s",$C$2:$C185,"PLH")+COUNTIFS($B$2:$B185,"s",$C$2:$C185,"CSF"))-1,12)+1),"N/A"),"")</f>
        <v/>
      </c>
      <c r="J185" s="6" t="str">
        <f>IF(AND($A185&lt;&gt;"",$B185&lt;&gt;"",$C185&lt;&gt;"",$D185&lt;&gt;"",$E185&lt;&gt;""),IF(AND($B185="s",OR($C185="SER",$C185="PLH")),"Case MAX Planck Plate "&amp;(INT(((COUNTIFS($B$2:$B185,"s",$C$2:$C185,"SER")+COUNTIFS($B$2:$B185,"s",$C$2:$C185,"PLH"))-1)/96)+1)&amp;": "&amp;CHAR(65+INT(MOD((COUNTIFS($B$2:$B185,"s",$C$2:$C185,"SER")+COUNTIFS($B$2:$B185,"s",$C$2:$C185,"PLH"))-1,96)/12))&amp;(MOD((COUNTIFS($B$2:$B185,"s",$C$2:$C185,"SER")+COUNTIFS($B$2:$B185,"s",$C$2:$C185,"PLH"))-1,12)+1),"N/A"),"")</f>
        <v/>
      </c>
      <c r="K185" s="6" t="str">
        <f>IF(AND($A185&lt;&gt;"",$B185&lt;&gt;"",$C185&lt;&gt;"",$D185&lt;&gt;"",$E185&lt;&gt;""),IF($C185="WB","Case WB Box "&amp;(INT((COUNTIFS($C$2:$C185,"WB")-1)/81)+1)&amp;": "&amp;CHAR(65+INT(MOD(COUNTIFS($C$2:$C185,"WB")-1,81)/9))&amp;(MOD(COUNTIFS($C$2:$C185,"WB")-1,9)+1),"N/A"),"")</f>
        <v/>
      </c>
      <c r="L185" s="2" t="str">
        <f t="shared" si="37"/>
        <v/>
      </c>
      <c r="M185" s="2"/>
      <c r="N185" s="2"/>
      <c r="O185" s="2"/>
      <c r="P185" s="7" t="str">
        <f t="shared" si="38"/>
        <v/>
      </c>
      <c r="Q185" s="7" t="str">
        <f t="shared" si="39"/>
        <v/>
      </c>
      <c r="R185" s="7" t="str">
        <f t="shared" si="40"/>
        <v/>
      </c>
      <c r="S185" s="7" t="str">
        <f t="shared" si="41"/>
        <v/>
      </c>
      <c r="T185" s="7" t="str">
        <f t="shared" si="42"/>
        <v/>
      </c>
      <c r="U185" s="7" t="str">
        <f t="shared" si="43"/>
        <v/>
      </c>
      <c r="V185" s="7" t="str">
        <f t="shared" si="44"/>
        <v/>
      </c>
      <c r="W185" s="7" t="str">
        <f t="shared" si="45"/>
        <v/>
      </c>
      <c r="X185" s="7" t="str">
        <f t="shared" si="46"/>
        <v/>
      </c>
      <c r="Y185" s="7" t="str">
        <f t="shared" si="47"/>
        <v/>
      </c>
      <c r="Z185">
        <f t="shared" si="48"/>
        <v>0</v>
      </c>
      <c r="AA185" t="str">
        <f t="shared" si="49"/>
        <v/>
      </c>
      <c r="AB185" t="str">
        <f t="shared" si="50"/>
        <v/>
      </c>
      <c r="AC185" t="str">
        <f t="shared" si="51"/>
        <v/>
      </c>
      <c r="AD185" t="str">
        <f t="shared" si="52"/>
        <v/>
      </c>
      <c r="AE185">
        <f t="shared" si="53"/>
        <v>0</v>
      </c>
    </row>
    <row r="186" spans="1:31" ht="15" customHeight="1" x14ac:dyDescent="0.35">
      <c r="A186" s="2"/>
      <c r="B186" s="3"/>
      <c r="C186" s="3"/>
      <c r="D186" s="4"/>
      <c r="E186" s="5"/>
      <c r="F186" s="11" t="str">
        <f t="shared" ca="1" si="36"/>
        <v/>
      </c>
      <c r="G186" s="5"/>
      <c r="H186" s="6" t="str">
        <f>IF(AND($A186&lt;&gt;"",$B186&lt;&gt;"",$C186&lt;&gt;"",$D186&lt;&gt;"",$E186&lt;&gt;""),IF(AND($B186="s",OR($C186="SER",$C186="PLH",$C186="CSF")),"Case CDI Plate "&amp;(INT(((COUNTIFS($B$2:$B186,"s",$C$2:$C186,"SER")+COUNTIFS($B$2:$B186,"s",$C$2:$C186,"PLH")+COUNTIFS($B$2:$B186,"s",$C$2:$C186,"CSF"))-1)/96)+1)&amp;": "&amp;CHAR(65+INT(MOD((COUNTIFS($B$2:$B186,"s",$C$2:$C186,"SER")+COUNTIFS($B$2:$B186,"s",$C$2:$C186,"PLH")+COUNTIFS($B$2:$B186,"s",$C$2:$C186,"CSF"))-1,96)/12))&amp;(MOD((COUNTIFS($B$2:$B186,"s",$C$2:$C186,"SER")+COUNTIFS($B$2:$B186,"s",$C$2:$C186,"PLH")+COUNTIFS($B$2:$B186,"s",$C$2:$C186,"CSF"))-1,12)+1),"N/A"),"")</f>
        <v/>
      </c>
      <c r="I186" s="6" t="str">
        <f>IF(AND($A186&lt;&gt;"",$B186&lt;&gt;"",$C186&lt;&gt;"",$D186&lt;&gt;"",$E186&lt;&gt;""),IF(AND($B186="s",OR($C186="SER",$C186="PLH",$C186="CSF")),"Case NIH Plate "&amp;(INT(((COUNTIFS($B$2:$B186,"s",$C$2:$C186,"SER")+COUNTIFS($B$2:$B186,"s",$C$2:$C186,"PLH")+COUNTIFS($B$2:$B186,"s",$C$2:$C186,"CSF"))-1)/96)+1)&amp;": "&amp;CHAR(65+INT(MOD((COUNTIFS($B$2:$B186,"s",$C$2:$C186,"SER")+COUNTIFS($B$2:$B186,"s",$C$2:$C186,"PLH")+COUNTIFS($B$2:$B186,"s",$C$2:$C186,"CSF"))-1,96)/12))&amp;(MOD((COUNTIFS($B$2:$B186,"s",$C$2:$C186,"SER")+COUNTIFS($B$2:$B186,"s",$C$2:$C186,"PLH")+COUNTIFS($B$2:$B186,"s",$C$2:$C186,"CSF"))-1,12)+1),"N/A"),"")</f>
        <v/>
      </c>
      <c r="J186" s="6" t="str">
        <f>IF(AND($A186&lt;&gt;"",$B186&lt;&gt;"",$C186&lt;&gt;"",$D186&lt;&gt;"",$E186&lt;&gt;""),IF(AND($B186="s",OR($C186="SER",$C186="PLH")),"Case MAX Planck Plate "&amp;(INT(((COUNTIFS($B$2:$B186,"s",$C$2:$C186,"SER")+COUNTIFS($B$2:$B186,"s",$C$2:$C186,"PLH"))-1)/96)+1)&amp;": "&amp;CHAR(65+INT(MOD((COUNTIFS($B$2:$B186,"s",$C$2:$C186,"SER")+COUNTIFS($B$2:$B186,"s",$C$2:$C186,"PLH"))-1,96)/12))&amp;(MOD((COUNTIFS($B$2:$B186,"s",$C$2:$C186,"SER")+COUNTIFS($B$2:$B186,"s",$C$2:$C186,"PLH"))-1,12)+1),"N/A"),"")</f>
        <v/>
      </c>
      <c r="K186" s="6" t="str">
        <f>IF(AND($A186&lt;&gt;"",$B186&lt;&gt;"",$C186&lt;&gt;"",$D186&lt;&gt;"",$E186&lt;&gt;""),IF($C186="WB","Case WB Box "&amp;(INT((COUNTIFS($C$2:$C186,"WB")-1)/81)+1)&amp;": "&amp;CHAR(65+INT(MOD(COUNTIFS($C$2:$C186,"WB")-1,81)/9))&amp;(MOD(COUNTIFS($C$2:$C186,"WB")-1,9)+1),"N/A"),"")</f>
        <v/>
      </c>
      <c r="L186" s="2" t="str">
        <f t="shared" si="37"/>
        <v/>
      </c>
      <c r="M186" s="2"/>
      <c r="N186" s="2"/>
      <c r="O186" s="2"/>
      <c r="P186" s="7" t="str">
        <f t="shared" si="38"/>
        <v/>
      </c>
      <c r="Q186" s="7" t="str">
        <f t="shared" si="39"/>
        <v/>
      </c>
      <c r="R186" s="7" t="str">
        <f t="shared" si="40"/>
        <v/>
      </c>
      <c r="S186" s="7" t="str">
        <f t="shared" si="41"/>
        <v/>
      </c>
      <c r="T186" s="7" t="str">
        <f t="shared" si="42"/>
        <v/>
      </c>
      <c r="U186" s="7" t="str">
        <f t="shared" si="43"/>
        <v/>
      </c>
      <c r="V186" s="7" t="str">
        <f t="shared" si="44"/>
        <v/>
      </c>
      <c r="W186" s="7" t="str">
        <f t="shared" si="45"/>
        <v/>
      </c>
      <c r="X186" s="7" t="str">
        <f t="shared" si="46"/>
        <v/>
      </c>
      <c r="Y186" s="7" t="str">
        <f t="shared" si="47"/>
        <v/>
      </c>
      <c r="Z186">
        <f t="shared" si="48"/>
        <v>0</v>
      </c>
      <c r="AA186" t="str">
        <f t="shared" si="49"/>
        <v/>
      </c>
      <c r="AB186" t="str">
        <f t="shared" si="50"/>
        <v/>
      </c>
      <c r="AC186" t="str">
        <f t="shared" si="51"/>
        <v/>
      </c>
      <c r="AD186" t="str">
        <f t="shared" si="52"/>
        <v/>
      </c>
      <c r="AE186">
        <f t="shared" si="53"/>
        <v>0</v>
      </c>
    </row>
    <row r="187" spans="1:31" ht="15" customHeight="1" x14ac:dyDescent="0.35">
      <c r="A187" s="2"/>
      <c r="B187" s="3"/>
      <c r="C187" s="3"/>
      <c r="D187" s="4"/>
      <c r="E187" s="5"/>
      <c r="F187" s="11" t="str">
        <f t="shared" ca="1" si="36"/>
        <v/>
      </c>
      <c r="G187" s="5"/>
      <c r="H187" s="6" t="str">
        <f>IF(AND($A187&lt;&gt;"",$B187&lt;&gt;"",$C187&lt;&gt;"",$D187&lt;&gt;"",$E187&lt;&gt;""),IF(AND($B187="s",OR($C187="SER",$C187="PLH",$C187="CSF")),"Case CDI Plate "&amp;(INT(((COUNTIFS($B$2:$B187,"s",$C$2:$C187,"SER")+COUNTIFS($B$2:$B187,"s",$C$2:$C187,"PLH")+COUNTIFS($B$2:$B187,"s",$C$2:$C187,"CSF"))-1)/96)+1)&amp;": "&amp;CHAR(65+INT(MOD((COUNTIFS($B$2:$B187,"s",$C$2:$C187,"SER")+COUNTIFS($B$2:$B187,"s",$C$2:$C187,"PLH")+COUNTIFS($B$2:$B187,"s",$C$2:$C187,"CSF"))-1,96)/12))&amp;(MOD((COUNTIFS($B$2:$B187,"s",$C$2:$C187,"SER")+COUNTIFS($B$2:$B187,"s",$C$2:$C187,"PLH")+COUNTIFS($B$2:$B187,"s",$C$2:$C187,"CSF"))-1,12)+1),"N/A"),"")</f>
        <v/>
      </c>
      <c r="I187" s="6" t="str">
        <f>IF(AND($A187&lt;&gt;"",$B187&lt;&gt;"",$C187&lt;&gt;"",$D187&lt;&gt;"",$E187&lt;&gt;""),IF(AND($B187="s",OR($C187="SER",$C187="PLH",$C187="CSF")),"Case NIH Plate "&amp;(INT(((COUNTIFS($B$2:$B187,"s",$C$2:$C187,"SER")+COUNTIFS($B$2:$B187,"s",$C$2:$C187,"PLH")+COUNTIFS($B$2:$B187,"s",$C$2:$C187,"CSF"))-1)/96)+1)&amp;": "&amp;CHAR(65+INT(MOD((COUNTIFS($B$2:$B187,"s",$C$2:$C187,"SER")+COUNTIFS($B$2:$B187,"s",$C$2:$C187,"PLH")+COUNTIFS($B$2:$B187,"s",$C$2:$C187,"CSF"))-1,96)/12))&amp;(MOD((COUNTIFS($B$2:$B187,"s",$C$2:$C187,"SER")+COUNTIFS($B$2:$B187,"s",$C$2:$C187,"PLH")+COUNTIFS($B$2:$B187,"s",$C$2:$C187,"CSF"))-1,12)+1),"N/A"),"")</f>
        <v/>
      </c>
      <c r="J187" s="6" t="str">
        <f>IF(AND($A187&lt;&gt;"",$B187&lt;&gt;"",$C187&lt;&gt;"",$D187&lt;&gt;"",$E187&lt;&gt;""),IF(AND($B187="s",OR($C187="SER",$C187="PLH")),"Case MAX Planck Plate "&amp;(INT(((COUNTIFS($B$2:$B187,"s",$C$2:$C187,"SER")+COUNTIFS($B$2:$B187,"s",$C$2:$C187,"PLH"))-1)/96)+1)&amp;": "&amp;CHAR(65+INT(MOD((COUNTIFS($B$2:$B187,"s",$C$2:$C187,"SER")+COUNTIFS($B$2:$B187,"s",$C$2:$C187,"PLH"))-1,96)/12))&amp;(MOD((COUNTIFS($B$2:$B187,"s",$C$2:$C187,"SER")+COUNTIFS($B$2:$B187,"s",$C$2:$C187,"PLH"))-1,12)+1),"N/A"),"")</f>
        <v/>
      </c>
      <c r="K187" s="6" t="str">
        <f>IF(AND($A187&lt;&gt;"",$B187&lt;&gt;"",$C187&lt;&gt;"",$D187&lt;&gt;"",$E187&lt;&gt;""),IF($C187="WB","Case WB Box "&amp;(INT((COUNTIFS($C$2:$C187,"WB")-1)/81)+1)&amp;": "&amp;CHAR(65+INT(MOD(COUNTIFS($C$2:$C187,"WB")-1,81)/9))&amp;(MOD(COUNTIFS($C$2:$C187,"WB")-1,9)+1),"N/A"),"")</f>
        <v/>
      </c>
      <c r="L187" s="2" t="str">
        <f t="shared" si="37"/>
        <v/>
      </c>
      <c r="M187" s="2"/>
      <c r="N187" s="2"/>
      <c r="O187" s="2"/>
      <c r="P187" s="7" t="str">
        <f t="shared" si="38"/>
        <v/>
      </c>
      <c r="Q187" s="7" t="str">
        <f t="shared" si="39"/>
        <v/>
      </c>
      <c r="R187" s="7" t="str">
        <f t="shared" si="40"/>
        <v/>
      </c>
      <c r="S187" s="7" t="str">
        <f t="shared" si="41"/>
        <v/>
      </c>
      <c r="T187" s="7" t="str">
        <f t="shared" si="42"/>
        <v/>
      </c>
      <c r="U187" s="7" t="str">
        <f t="shared" si="43"/>
        <v/>
      </c>
      <c r="V187" s="7" t="str">
        <f t="shared" si="44"/>
        <v/>
      </c>
      <c r="W187" s="7" t="str">
        <f t="shared" si="45"/>
        <v/>
      </c>
      <c r="X187" s="7" t="str">
        <f t="shared" si="46"/>
        <v/>
      </c>
      <c r="Y187" s="7" t="str">
        <f t="shared" si="47"/>
        <v/>
      </c>
      <c r="Z187">
        <f t="shared" si="48"/>
        <v>0</v>
      </c>
      <c r="AA187" t="str">
        <f t="shared" si="49"/>
        <v/>
      </c>
      <c r="AB187" t="str">
        <f t="shared" si="50"/>
        <v/>
      </c>
      <c r="AC187" t="str">
        <f t="shared" si="51"/>
        <v/>
      </c>
      <c r="AD187" t="str">
        <f t="shared" si="52"/>
        <v/>
      </c>
      <c r="AE187">
        <f t="shared" si="53"/>
        <v>0</v>
      </c>
    </row>
    <row r="188" spans="1:31" ht="15" customHeight="1" x14ac:dyDescent="0.35">
      <c r="A188" s="2"/>
      <c r="B188" s="3"/>
      <c r="C188" s="3"/>
      <c r="D188" s="4"/>
      <c r="E188" s="5"/>
      <c r="F188" s="11" t="str">
        <f t="shared" ca="1" si="36"/>
        <v/>
      </c>
      <c r="G188" s="5"/>
      <c r="H188" s="6" t="str">
        <f>IF(AND($A188&lt;&gt;"",$B188&lt;&gt;"",$C188&lt;&gt;"",$D188&lt;&gt;"",$E188&lt;&gt;""),IF(AND($B188="s",OR($C188="SER",$C188="PLH",$C188="CSF")),"Case CDI Plate "&amp;(INT(((COUNTIFS($B$2:$B188,"s",$C$2:$C188,"SER")+COUNTIFS($B$2:$B188,"s",$C$2:$C188,"PLH")+COUNTIFS($B$2:$B188,"s",$C$2:$C188,"CSF"))-1)/96)+1)&amp;": "&amp;CHAR(65+INT(MOD((COUNTIFS($B$2:$B188,"s",$C$2:$C188,"SER")+COUNTIFS($B$2:$B188,"s",$C$2:$C188,"PLH")+COUNTIFS($B$2:$B188,"s",$C$2:$C188,"CSF"))-1,96)/12))&amp;(MOD((COUNTIFS($B$2:$B188,"s",$C$2:$C188,"SER")+COUNTIFS($B$2:$B188,"s",$C$2:$C188,"PLH")+COUNTIFS($B$2:$B188,"s",$C$2:$C188,"CSF"))-1,12)+1),"N/A"),"")</f>
        <v/>
      </c>
      <c r="I188" s="6" t="str">
        <f>IF(AND($A188&lt;&gt;"",$B188&lt;&gt;"",$C188&lt;&gt;"",$D188&lt;&gt;"",$E188&lt;&gt;""),IF(AND($B188="s",OR($C188="SER",$C188="PLH",$C188="CSF")),"Case NIH Plate "&amp;(INT(((COUNTIFS($B$2:$B188,"s",$C$2:$C188,"SER")+COUNTIFS($B$2:$B188,"s",$C$2:$C188,"PLH")+COUNTIFS($B$2:$B188,"s",$C$2:$C188,"CSF"))-1)/96)+1)&amp;": "&amp;CHAR(65+INT(MOD((COUNTIFS($B$2:$B188,"s",$C$2:$C188,"SER")+COUNTIFS($B$2:$B188,"s",$C$2:$C188,"PLH")+COUNTIFS($B$2:$B188,"s",$C$2:$C188,"CSF"))-1,96)/12))&amp;(MOD((COUNTIFS($B$2:$B188,"s",$C$2:$C188,"SER")+COUNTIFS($B$2:$B188,"s",$C$2:$C188,"PLH")+COUNTIFS($B$2:$B188,"s",$C$2:$C188,"CSF"))-1,12)+1),"N/A"),"")</f>
        <v/>
      </c>
      <c r="J188" s="6" t="str">
        <f>IF(AND($A188&lt;&gt;"",$B188&lt;&gt;"",$C188&lt;&gt;"",$D188&lt;&gt;"",$E188&lt;&gt;""),IF(AND($B188="s",OR($C188="SER",$C188="PLH")),"Case MAX Planck Plate "&amp;(INT(((COUNTIFS($B$2:$B188,"s",$C$2:$C188,"SER")+COUNTIFS($B$2:$B188,"s",$C$2:$C188,"PLH"))-1)/96)+1)&amp;": "&amp;CHAR(65+INT(MOD((COUNTIFS($B$2:$B188,"s",$C$2:$C188,"SER")+COUNTIFS($B$2:$B188,"s",$C$2:$C188,"PLH"))-1,96)/12))&amp;(MOD((COUNTIFS($B$2:$B188,"s",$C$2:$C188,"SER")+COUNTIFS($B$2:$B188,"s",$C$2:$C188,"PLH"))-1,12)+1),"N/A"),"")</f>
        <v/>
      </c>
      <c r="K188" s="6" t="str">
        <f>IF(AND($A188&lt;&gt;"",$B188&lt;&gt;"",$C188&lt;&gt;"",$D188&lt;&gt;"",$E188&lt;&gt;""),IF($C188="WB","Case WB Box "&amp;(INT((COUNTIFS($C$2:$C188,"WB")-1)/81)+1)&amp;": "&amp;CHAR(65+INT(MOD(COUNTIFS($C$2:$C188,"WB")-1,81)/9))&amp;(MOD(COUNTIFS($C$2:$C188,"WB")-1,9)+1),"N/A"),"")</f>
        <v/>
      </c>
      <c r="L188" s="2" t="str">
        <f t="shared" si="37"/>
        <v/>
      </c>
      <c r="M188" s="2"/>
      <c r="N188" s="2"/>
      <c r="O188" s="2"/>
      <c r="P188" s="7" t="str">
        <f t="shared" si="38"/>
        <v/>
      </c>
      <c r="Q188" s="7" t="str">
        <f t="shared" si="39"/>
        <v/>
      </c>
      <c r="R188" s="7" t="str">
        <f t="shared" si="40"/>
        <v/>
      </c>
      <c r="S188" s="7" t="str">
        <f t="shared" si="41"/>
        <v/>
      </c>
      <c r="T188" s="7" t="str">
        <f t="shared" si="42"/>
        <v/>
      </c>
      <c r="U188" s="7" t="str">
        <f t="shared" si="43"/>
        <v/>
      </c>
      <c r="V188" s="7" t="str">
        <f t="shared" si="44"/>
        <v/>
      </c>
      <c r="W188" s="7" t="str">
        <f t="shared" si="45"/>
        <v/>
      </c>
      <c r="X188" s="7" t="str">
        <f t="shared" si="46"/>
        <v/>
      </c>
      <c r="Y188" s="7" t="str">
        <f t="shared" si="47"/>
        <v/>
      </c>
      <c r="Z188">
        <f t="shared" si="48"/>
        <v>0</v>
      </c>
      <c r="AA188" t="str">
        <f t="shared" si="49"/>
        <v/>
      </c>
      <c r="AB188" t="str">
        <f t="shared" si="50"/>
        <v/>
      </c>
      <c r="AC188" t="str">
        <f t="shared" si="51"/>
        <v/>
      </c>
      <c r="AD188" t="str">
        <f t="shared" si="52"/>
        <v/>
      </c>
      <c r="AE188">
        <f t="shared" si="53"/>
        <v>0</v>
      </c>
    </row>
    <row r="189" spans="1:31" ht="15" customHeight="1" x14ac:dyDescent="0.35">
      <c r="A189" s="2"/>
      <c r="B189" s="3"/>
      <c r="C189" s="3"/>
      <c r="D189" s="4"/>
      <c r="E189" s="5"/>
      <c r="F189" s="11" t="str">
        <f t="shared" ref="F189:F252" ca="1" si="54">IF(AND($A189&lt;&gt;"",$B189&lt;&gt;"",$C189&lt;&gt;"",$D189&lt;&gt;"",$E189&lt;&gt;""),TODAY(),"")</f>
        <v/>
      </c>
      <c r="G189" s="5"/>
      <c r="H189" s="6" t="str">
        <f>IF(AND($A189&lt;&gt;"",$B189&lt;&gt;"",$C189&lt;&gt;"",$D189&lt;&gt;"",$E189&lt;&gt;""),IF(AND($B189="s",OR($C189="SER",$C189="PLH",$C189="CSF")),"Case CDI Plate "&amp;(INT(((COUNTIFS($B$2:$B189,"s",$C$2:$C189,"SER")+COUNTIFS($B$2:$B189,"s",$C$2:$C189,"PLH")+COUNTIFS($B$2:$B189,"s",$C$2:$C189,"CSF"))-1)/96)+1)&amp;": "&amp;CHAR(65+INT(MOD((COUNTIFS($B$2:$B189,"s",$C$2:$C189,"SER")+COUNTIFS($B$2:$B189,"s",$C$2:$C189,"PLH")+COUNTIFS($B$2:$B189,"s",$C$2:$C189,"CSF"))-1,96)/12))&amp;(MOD((COUNTIFS($B$2:$B189,"s",$C$2:$C189,"SER")+COUNTIFS($B$2:$B189,"s",$C$2:$C189,"PLH")+COUNTIFS($B$2:$B189,"s",$C$2:$C189,"CSF"))-1,12)+1),"N/A"),"")</f>
        <v/>
      </c>
      <c r="I189" s="6" t="str">
        <f>IF(AND($A189&lt;&gt;"",$B189&lt;&gt;"",$C189&lt;&gt;"",$D189&lt;&gt;"",$E189&lt;&gt;""),IF(AND($B189="s",OR($C189="SER",$C189="PLH",$C189="CSF")),"Case NIH Plate "&amp;(INT(((COUNTIFS($B$2:$B189,"s",$C$2:$C189,"SER")+COUNTIFS($B$2:$B189,"s",$C$2:$C189,"PLH")+COUNTIFS($B$2:$B189,"s",$C$2:$C189,"CSF"))-1)/96)+1)&amp;": "&amp;CHAR(65+INT(MOD((COUNTIFS($B$2:$B189,"s",$C$2:$C189,"SER")+COUNTIFS($B$2:$B189,"s",$C$2:$C189,"PLH")+COUNTIFS($B$2:$B189,"s",$C$2:$C189,"CSF"))-1,96)/12))&amp;(MOD((COUNTIFS($B$2:$B189,"s",$C$2:$C189,"SER")+COUNTIFS($B$2:$B189,"s",$C$2:$C189,"PLH")+COUNTIFS($B$2:$B189,"s",$C$2:$C189,"CSF"))-1,12)+1),"N/A"),"")</f>
        <v/>
      </c>
      <c r="J189" s="6" t="str">
        <f>IF(AND($A189&lt;&gt;"",$B189&lt;&gt;"",$C189&lt;&gt;"",$D189&lt;&gt;"",$E189&lt;&gt;""),IF(AND($B189="s",OR($C189="SER",$C189="PLH")),"Case MAX Planck Plate "&amp;(INT(((COUNTIFS($B$2:$B189,"s",$C$2:$C189,"SER")+COUNTIFS($B$2:$B189,"s",$C$2:$C189,"PLH"))-1)/96)+1)&amp;": "&amp;CHAR(65+INT(MOD((COUNTIFS($B$2:$B189,"s",$C$2:$C189,"SER")+COUNTIFS($B$2:$B189,"s",$C$2:$C189,"PLH"))-1,96)/12))&amp;(MOD((COUNTIFS($B$2:$B189,"s",$C$2:$C189,"SER")+COUNTIFS($B$2:$B189,"s",$C$2:$C189,"PLH"))-1,12)+1),"N/A"),"")</f>
        <v/>
      </c>
      <c r="K189" s="6" t="str">
        <f>IF(AND($A189&lt;&gt;"",$B189&lt;&gt;"",$C189&lt;&gt;"",$D189&lt;&gt;"",$E189&lt;&gt;""),IF($C189="WB","Case WB Box "&amp;(INT((COUNTIFS($C$2:$C189,"WB")-1)/81)+1)&amp;": "&amp;CHAR(65+INT(MOD(COUNTIFS($C$2:$C189,"WB")-1,81)/9))&amp;(MOD(COUNTIFS($C$2:$C189,"WB")-1,9)+1),"N/A"),"")</f>
        <v/>
      </c>
      <c r="L189" s="2" t="str">
        <f t="shared" ref="L189:L252" si="55">IF(AND($A189&lt;&gt;"",$B189&lt;&gt;"",$C189&lt;&gt;"",$D189&lt;&gt;"",$E189&lt;&gt;""),IF($C189="WB","No",IF($B189="i","Yes","")),"")</f>
        <v/>
      </c>
      <c r="M189" s="2"/>
      <c r="N189" s="2"/>
      <c r="O189" s="2"/>
      <c r="P189" s="7" t="str">
        <f t="shared" ref="P189:P252" si="56">IF($A189&lt;&gt;"",MID($A189,5,4),"")</f>
        <v/>
      </c>
      <c r="Q189" s="7" t="str">
        <f t="shared" ref="Q189:Q252" si="57">IF($D189&lt;&gt;"",TEXT($D189,"mmddyy"),"")</f>
        <v/>
      </c>
      <c r="R189" s="7" t="str">
        <f t="shared" ref="R189:R252" si="58">IF(AND($A189&lt;&gt;"",$B189&lt;&gt;"",$C189&lt;&gt;"",$D189&lt;&gt;""),IF($C189="WB","cs_"&amp;$P189&amp;"_"&amp;$B189&amp;"_wb_"&amp;$Q189,"cs_"&amp;$P189&amp;"_"&amp;$B189&amp;"_"&amp;LOWER($C189)&amp;"_"&amp;IF($C189="CSF","0.50","0.20")&amp;"_"&amp;$Q189),"")</f>
        <v/>
      </c>
      <c r="S189" s="7" t="str">
        <f t="shared" ref="S189:S252" si="59">IF(AND($A189&lt;&gt;"",$B189&lt;&gt;"",$C189="WB",$D189&lt;&gt;""),"cs_"&amp;$P189&amp;"_"&amp;$B189&amp;"_wb_"&amp;$Q189,"")</f>
        <v/>
      </c>
      <c r="T189" s="7" t="str">
        <f t="shared" ref="T189:T252" si="60">IFERROR(VALUE(MID($M189,FIND("Box ",$M189)+4,FIND(":",$M189)-FIND("Box ",$M189)-4)),"")</f>
        <v/>
      </c>
      <c r="U189" s="7" t="str">
        <f t="shared" ref="U189:U252" si="61">IFERROR(CODE(UPPER(LEFT(LEFT(TRIM(MID(SUBSTITUTE(TRIM(MID($M189,FIND(":",$M189)+1,200)),",",REPT(" ",60)),1,60)),IFERROR(FIND("-",TRIM(MID(SUBSTITUTE(TRIM(MID($M189,FIND(":",$M189)+1,200)),",",REPT(" ",60)),1,60)))-1,LEN(TRIM(MID(SUBSTITUTE(TRIM(MID($M189,FIND(":",$M189)+1,200)),",",REPT(" ",60)),1,60))))),1)))-64,"")</f>
        <v/>
      </c>
      <c r="V189" s="7" t="str">
        <f t="shared" ref="V189:V252" si="62">IFERROR(VALUE(MID(LEFT(TRIM(MID(SUBSTITUTE(TRIM(MID($M189,FIND(":",$M189)+1,200)),",",REPT(" ",60)),1,60)),IFERROR(FIND("-",TRIM(MID(SUBSTITUTE(TRIM(MID($M189,FIND(":",$M189)+1,200)),",",REPT(" ",60)),1,60)))-1,LEN(TRIM(MID(SUBSTITUTE(TRIM(MID($M189,FIND(":",$M189)+1,200)),",",REPT(" ",60)),1,60))))),2,3)),"")</f>
        <v/>
      </c>
      <c r="W189" s="7" t="str">
        <f t="shared" ref="W189:W252" si="63">IFERROR(CODE(UPPER(LEFT(IFERROR(MID(TRIM(MID(SUBSTITUTE(TRIM(MID($M189,FIND(":",$M189)+1,200)),",",REPT(" ",60)),1,60)),FIND("-",TRIM(MID(SUBSTITUTE(TRIM(MID($M189,FIND(":",$M189)+1,200)),",",REPT(" ",60)),1,60)))+1,99),LEFT(TRIM(MID(SUBSTITUTE(TRIM(MID($M189,FIND(":",$M189)+1,200)),",",REPT(" ",60)),1,60)),IFERROR(FIND("-",TRIM(MID(SUBSTITUTE(TRIM(MID($M189,FIND(":",$M189)+1,200)),",",REPT(" ",60)),1,60)))-1,LEN(TRIM(MID(SUBSTITUTE(TRIM(MID($M189,FIND(":",$M189)+1,200)),",",REPT(" ",60)),1,60)))))),1)))-64,"")</f>
        <v/>
      </c>
      <c r="X189" s="7" t="str">
        <f t="shared" ref="X189:X252" si="64">IFERROR(VALUE(MID(IFERROR(MID(TRIM(MID(SUBSTITUTE(TRIM(MID($M189,FIND(":",$M189)+1,200)),",",REPT(" ",60)),1,60)),FIND("-",TRIM(MID(SUBSTITUTE(TRIM(MID($M189,FIND(":",$M189)+1,200)),",",REPT(" ",60)),1,60)))+1,99),LEFT(TRIM(MID(SUBSTITUTE(TRIM(MID($M189,FIND(":",$M189)+1,200)),",",REPT(" ",60)),1,60)),IFERROR(FIND("-",TRIM(MID(SUBSTITUTE(TRIM(MID($M189,FIND(":",$M189)+1,200)),",",REPT(" ",60)),1,60)))-1,LEN(TRIM(MID(SUBSTITUTE(TRIM(MID($M189,FIND(":",$M189)+1,200)),",",REPT(" ",60)),1,60)))))),2,3)),"")</f>
        <v/>
      </c>
      <c r="Y189" s="7" t="str">
        <f t="shared" ref="Y189:Y252" si="65">IF(AND($A189&lt;&gt;"",$B189&lt;&gt;"",$C189&lt;&gt;"",$D189&lt;&gt;""),"cs_"&amp;$P189&amp;"_"&amp;$B189&amp;"_"&amp;LOWER($C189)&amp;"_","")</f>
        <v/>
      </c>
      <c r="Z189">
        <f t="shared" ref="Z189:Z252" si="66">IFERROR(($W189-$U189+1)*($X189-$V189+1),0)</f>
        <v>0</v>
      </c>
      <c r="AA189" t="str">
        <f t="shared" ref="AA189:AA252" si="67">IFERROR(CODE(UPPER(LEFT(LEFT(TRIM(MID(SUBSTITUTE(TRIM(MID($M189,FIND(":",$M189)+1,200)),",",REPT(" ",60)),61,60)),IFERROR(FIND("-",TRIM(MID(SUBSTITUTE(TRIM(MID($M189,FIND(":",$M189)+1,200)),",",REPT(" ",60)),61,60)))-1,LEN(TRIM(MID(SUBSTITUTE(TRIM(MID($M189,FIND(":",$M189)+1,200)),",",REPT(" ",60)),61,60))))),1)))-64,"")</f>
        <v/>
      </c>
      <c r="AB189" t="str">
        <f t="shared" ref="AB189:AB252" si="68">IFERROR(VALUE(MID(LEFT(TRIM(MID(SUBSTITUTE(TRIM(MID($M189,FIND(":",$M189)+1,200)),",",REPT(" ",60)),61,60)),IFERROR(FIND("-",TRIM(MID(SUBSTITUTE(TRIM(MID($M189,FIND(":",$M189)+1,200)),",",REPT(" ",60)),61,60)))-1,LEN(TRIM(MID(SUBSTITUTE(TRIM(MID($M189,FIND(":",$M189)+1,200)),",",REPT(" ",60)),61,60))))),2,3)),"")</f>
        <v/>
      </c>
      <c r="AC189" t="str">
        <f t="shared" ref="AC189:AC252" si="69">IFERROR(CODE(UPPER(LEFT(IFERROR(MID(TRIM(MID(SUBSTITUTE(TRIM(MID($M189,FIND(":",$M189)+1,200)),",",REPT(" ",60)),61,60)),FIND("-",TRIM(MID(SUBSTITUTE(TRIM(MID($M189,FIND(":",$M189)+1,200)),",",REPT(" ",60)),61,60)))+1,99),LEFT(TRIM(MID(SUBSTITUTE(TRIM(MID($M189,FIND(":",$M189)+1,200)),",",REPT(" ",60)),61,60)),IFERROR(FIND("-",TRIM(MID(SUBSTITUTE(TRIM(MID($M189,FIND(":",$M189)+1,200)),",",REPT(" ",60)),61,60)))-1,LEN(TRIM(MID(SUBSTITUTE(TRIM(MID($M189,FIND(":",$M189)+1,200)),",",REPT(" ",60)),61,60)))))),1)))-64,"")</f>
        <v/>
      </c>
      <c r="AD189" t="str">
        <f t="shared" ref="AD189:AD252" si="70">IFERROR(VALUE(MID(IFERROR(MID(TRIM(MID(SUBSTITUTE(TRIM(MID($M189,FIND(":",$M189)+1,200)),",",REPT(" ",60)),61,60)),FIND("-",TRIM(MID(SUBSTITUTE(TRIM(MID($M189,FIND(":",$M189)+1,200)),",",REPT(" ",60)),61,60)))+1,99),LEFT(TRIM(MID(SUBSTITUTE(TRIM(MID($M189,FIND(":",$M189)+1,200)),",",REPT(" ",60)),61,60)),IFERROR(FIND("-",TRIM(MID(SUBSTITUTE(TRIM(MID($M189,FIND(":",$M189)+1,200)),",",REPT(" ",60)),61,60)))-1,LEN(TRIM(MID(SUBSTITUTE(TRIM(MID($M189,FIND(":",$M189)+1,200)),",",REPT(" ",60)),61,60)))))),2,3)),"")</f>
        <v/>
      </c>
      <c r="AE189">
        <f t="shared" ref="AE189:AE252" si="71">IFERROR(($AC189-$AA189+1)*($AD189-$AB189+1),0)</f>
        <v>0</v>
      </c>
    </row>
    <row r="190" spans="1:31" ht="15" customHeight="1" x14ac:dyDescent="0.35">
      <c r="A190" s="2"/>
      <c r="B190" s="3"/>
      <c r="C190" s="3"/>
      <c r="D190" s="4"/>
      <c r="E190" s="5"/>
      <c r="F190" s="11" t="str">
        <f t="shared" ca="1" si="54"/>
        <v/>
      </c>
      <c r="G190" s="5"/>
      <c r="H190" s="6" t="str">
        <f>IF(AND($A190&lt;&gt;"",$B190&lt;&gt;"",$C190&lt;&gt;"",$D190&lt;&gt;"",$E190&lt;&gt;""),IF(AND($B190="s",OR($C190="SER",$C190="PLH",$C190="CSF")),"Case CDI Plate "&amp;(INT(((COUNTIFS($B$2:$B190,"s",$C$2:$C190,"SER")+COUNTIFS($B$2:$B190,"s",$C$2:$C190,"PLH")+COUNTIFS($B$2:$B190,"s",$C$2:$C190,"CSF"))-1)/96)+1)&amp;": "&amp;CHAR(65+INT(MOD((COUNTIFS($B$2:$B190,"s",$C$2:$C190,"SER")+COUNTIFS($B$2:$B190,"s",$C$2:$C190,"PLH")+COUNTIFS($B$2:$B190,"s",$C$2:$C190,"CSF"))-1,96)/12))&amp;(MOD((COUNTIFS($B$2:$B190,"s",$C$2:$C190,"SER")+COUNTIFS($B$2:$B190,"s",$C$2:$C190,"PLH")+COUNTIFS($B$2:$B190,"s",$C$2:$C190,"CSF"))-1,12)+1),"N/A"),"")</f>
        <v/>
      </c>
      <c r="I190" s="6" t="str">
        <f>IF(AND($A190&lt;&gt;"",$B190&lt;&gt;"",$C190&lt;&gt;"",$D190&lt;&gt;"",$E190&lt;&gt;""),IF(AND($B190="s",OR($C190="SER",$C190="PLH",$C190="CSF")),"Case NIH Plate "&amp;(INT(((COUNTIFS($B$2:$B190,"s",$C$2:$C190,"SER")+COUNTIFS($B$2:$B190,"s",$C$2:$C190,"PLH")+COUNTIFS($B$2:$B190,"s",$C$2:$C190,"CSF"))-1)/96)+1)&amp;": "&amp;CHAR(65+INT(MOD((COUNTIFS($B$2:$B190,"s",$C$2:$C190,"SER")+COUNTIFS($B$2:$B190,"s",$C$2:$C190,"PLH")+COUNTIFS($B$2:$B190,"s",$C$2:$C190,"CSF"))-1,96)/12))&amp;(MOD((COUNTIFS($B$2:$B190,"s",$C$2:$C190,"SER")+COUNTIFS($B$2:$B190,"s",$C$2:$C190,"PLH")+COUNTIFS($B$2:$B190,"s",$C$2:$C190,"CSF"))-1,12)+1),"N/A"),"")</f>
        <v/>
      </c>
      <c r="J190" s="6" t="str">
        <f>IF(AND($A190&lt;&gt;"",$B190&lt;&gt;"",$C190&lt;&gt;"",$D190&lt;&gt;"",$E190&lt;&gt;""),IF(AND($B190="s",OR($C190="SER",$C190="PLH")),"Case MAX Planck Plate "&amp;(INT(((COUNTIFS($B$2:$B190,"s",$C$2:$C190,"SER")+COUNTIFS($B$2:$B190,"s",$C$2:$C190,"PLH"))-1)/96)+1)&amp;": "&amp;CHAR(65+INT(MOD((COUNTIFS($B$2:$B190,"s",$C$2:$C190,"SER")+COUNTIFS($B$2:$B190,"s",$C$2:$C190,"PLH"))-1,96)/12))&amp;(MOD((COUNTIFS($B$2:$B190,"s",$C$2:$C190,"SER")+COUNTIFS($B$2:$B190,"s",$C$2:$C190,"PLH"))-1,12)+1),"N/A"),"")</f>
        <v/>
      </c>
      <c r="K190" s="6" t="str">
        <f>IF(AND($A190&lt;&gt;"",$B190&lt;&gt;"",$C190&lt;&gt;"",$D190&lt;&gt;"",$E190&lt;&gt;""),IF($C190="WB","Case WB Box "&amp;(INT((COUNTIFS($C$2:$C190,"WB")-1)/81)+1)&amp;": "&amp;CHAR(65+INT(MOD(COUNTIFS($C$2:$C190,"WB")-1,81)/9))&amp;(MOD(COUNTIFS($C$2:$C190,"WB")-1,9)+1),"N/A"),"")</f>
        <v/>
      </c>
      <c r="L190" s="2" t="str">
        <f t="shared" si="55"/>
        <v/>
      </c>
      <c r="M190" s="2"/>
      <c r="N190" s="2"/>
      <c r="O190" s="2"/>
      <c r="P190" s="7" t="str">
        <f t="shared" si="56"/>
        <v/>
      </c>
      <c r="Q190" s="7" t="str">
        <f t="shared" si="57"/>
        <v/>
      </c>
      <c r="R190" s="7" t="str">
        <f t="shared" si="58"/>
        <v/>
      </c>
      <c r="S190" s="7" t="str">
        <f t="shared" si="59"/>
        <v/>
      </c>
      <c r="T190" s="7" t="str">
        <f t="shared" si="60"/>
        <v/>
      </c>
      <c r="U190" s="7" t="str">
        <f t="shared" si="61"/>
        <v/>
      </c>
      <c r="V190" s="7" t="str">
        <f t="shared" si="62"/>
        <v/>
      </c>
      <c r="W190" s="7" t="str">
        <f t="shared" si="63"/>
        <v/>
      </c>
      <c r="X190" s="7" t="str">
        <f t="shared" si="64"/>
        <v/>
      </c>
      <c r="Y190" s="7" t="str">
        <f t="shared" si="65"/>
        <v/>
      </c>
      <c r="Z190">
        <f t="shared" si="66"/>
        <v>0</v>
      </c>
      <c r="AA190" t="str">
        <f t="shared" si="67"/>
        <v/>
      </c>
      <c r="AB190" t="str">
        <f t="shared" si="68"/>
        <v/>
      </c>
      <c r="AC190" t="str">
        <f t="shared" si="69"/>
        <v/>
      </c>
      <c r="AD190" t="str">
        <f t="shared" si="70"/>
        <v/>
      </c>
      <c r="AE190">
        <f t="shared" si="71"/>
        <v>0</v>
      </c>
    </row>
    <row r="191" spans="1:31" ht="15" customHeight="1" x14ac:dyDescent="0.35">
      <c r="A191" s="2"/>
      <c r="B191" s="3"/>
      <c r="C191" s="3"/>
      <c r="D191" s="4"/>
      <c r="E191" s="5"/>
      <c r="F191" s="11" t="str">
        <f t="shared" ca="1" si="54"/>
        <v/>
      </c>
      <c r="G191" s="5"/>
      <c r="H191" s="6" t="str">
        <f>IF(AND($A191&lt;&gt;"",$B191&lt;&gt;"",$C191&lt;&gt;"",$D191&lt;&gt;"",$E191&lt;&gt;""),IF(AND($B191="s",OR($C191="SER",$C191="PLH",$C191="CSF")),"Case CDI Plate "&amp;(INT(((COUNTIFS($B$2:$B191,"s",$C$2:$C191,"SER")+COUNTIFS($B$2:$B191,"s",$C$2:$C191,"PLH")+COUNTIFS($B$2:$B191,"s",$C$2:$C191,"CSF"))-1)/96)+1)&amp;": "&amp;CHAR(65+INT(MOD((COUNTIFS($B$2:$B191,"s",$C$2:$C191,"SER")+COUNTIFS($B$2:$B191,"s",$C$2:$C191,"PLH")+COUNTIFS($B$2:$B191,"s",$C$2:$C191,"CSF"))-1,96)/12))&amp;(MOD((COUNTIFS($B$2:$B191,"s",$C$2:$C191,"SER")+COUNTIFS($B$2:$B191,"s",$C$2:$C191,"PLH")+COUNTIFS($B$2:$B191,"s",$C$2:$C191,"CSF"))-1,12)+1),"N/A"),"")</f>
        <v/>
      </c>
      <c r="I191" s="6" t="str">
        <f>IF(AND($A191&lt;&gt;"",$B191&lt;&gt;"",$C191&lt;&gt;"",$D191&lt;&gt;"",$E191&lt;&gt;""),IF(AND($B191="s",OR($C191="SER",$C191="PLH",$C191="CSF")),"Case NIH Plate "&amp;(INT(((COUNTIFS($B$2:$B191,"s",$C$2:$C191,"SER")+COUNTIFS($B$2:$B191,"s",$C$2:$C191,"PLH")+COUNTIFS($B$2:$B191,"s",$C$2:$C191,"CSF"))-1)/96)+1)&amp;": "&amp;CHAR(65+INT(MOD((COUNTIFS($B$2:$B191,"s",$C$2:$C191,"SER")+COUNTIFS($B$2:$B191,"s",$C$2:$C191,"PLH")+COUNTIFS($B$2:$B191,"s",$C$2:$C191,"CSF"))-1,96)/12))&amp;(MOD((COUNTIFS($B$2:$B191,"s",$C$2:$C191,"SER")+COUNTIFS($B$2:$B191,"s",$C$2:$C191,"PLH")+COUNTIFS($B$2:$B191,"s",$C$2:$C191,"CSF"))-1,12)+1),"N/A"),"")</f>
        <v/>
      </c>
      <c r="J191" s="6" t="str">
        <f>IF(AND($A191&lt;&gt;"",$B191&lt;&gt;"",$C191&lt;&gt;"",$D191&lt;&gt;"",$E191&lt;&gt;""),IF(AND($B191="s",OR($C191="SER",$C191="PLH")),"Case MAX Planck Plate "&amp;(INT(((COUNTIFS($B$2:$B191,"s",$C$2:$C191,"SER")+COUNTIFS($B$2:$B191,"s",$C$2:$C191,"PLH"))-1)/96)+1)&amp;": "&amp;CHAR(65+INT(MOD((COUNTIFS($B$2:$B191,"s",$C$2:$C191,"SER")+COUNTIFS($B$2:$B191,"s",$C$2:$C191,"PLH"))-1,96)/12))&amp;(MOD((COUNTIFS($B$2:$B191,"s",$C$2:$C191,"SER")+COUNTIFS($B$2:$B191,"s",$C$2:$C191,"PLH"))-1,12)+1),"N/A"),"")</f>
        <v/>
      </c>
      <c r="K191" s="6" t="str">
        <f>IF(AND($A191&lt;&gt;"",$B191&lt;&gt;"",$C191&lt;&gt;"",$D191&lt;&gt;"",$E191&lt;&gt;""),IF($C191="WB","Case WB Box "&amp;(INT((COUNTIFS($C$2:$C191,"WB")-1)/81)+1)&amp;": "&amp;CHAR(65+INT(MOD(COUNTIFS($C$2:$C191,"WB")-1,81)/9))&amp;(MOD(COUNTIFS($C$2:$C191,"WB")-1,9)+1),"N/A"),"")</f>
        <v/>
      </c>
      <c r="L191" s="2" t="str">
        <f t="shared" si="55"/>
        <v/>
      </c>
      <c r="M191" s="2"/>
      <c r="N191" s="2"/>
      <c r="O191" s="2"/>
      <c r="P191" s="7" t="str">
        <f t="shared" si="56"/>
        <v/>
      </c>
      <c r="Q191" s="7" t="str">
        <f t="shared" si="57"/>
        <v/>
      </c>
      <c r="R191" s="7" t="str">
        <f t="shared" si="58"/>
        <v/>
      </c>
      <c r="S191" s="7" t="str">
        <f t="shared" si="59"/>
        <v/>
      </c>
      <c r="T191" s="7" t="str">
        <f t="shared" si="60"/>
        <v/>
      </c>
      <c r="U191" s="7" t="str">
        <f t="shared" si="61"/>
        <v/>
      </c>
      <c r="V191" s="7" t="str">
        <f t="shared" si="62"/>
        <v/>
      </c>
      <c r="W191" s="7" t="str">
        <f t="shared" si="63"/>
        <v/>
      </c>
      <c r="X191" s="7" t="str">
        <f t="shared" si="64"/>
        <v/>
      </c>
      <c r="Y191" s="7" t="str">
        <f t="shared" si="65"/>
        <v/>
      </c>
      <c r="Z191">
        <f t="shared" si="66"/>
        <v>0</v>
      </c>
      <c r="AA191" t="str">
        <f t="shared" si="67"/>
        <v/>
      </c>
      <c r="AB191" t="str">
        <f t="shared" si="68"/>
        <v/>
      </c>
      <c r="AC191" t="str">
        <f t="shared" si="69"/>
        <v/>
      </c>
      <c r="AD191" t="str">
        <f t="shared" si="70"/>
        <v/>
      </c>
      <c r="AE191">
        <f t="shared" si="71"/>
        <v>0</v>
      </c>
    </row>
    <row r="192" spans="1:31" ht="15" customHeight="1" x14ac:dyDescent="0.35">
      <c r="A192" s="2"/>
      <c r="B192" s="3"/>
      <c r="C192" s="3"/>
      <c r="D192" s="4"/>
      <c r="E192" s="5"/>
      <c r="F192" s="11" t="str">
        <f t="shared" ca="1" si="54"/>
        <v/>
      </c>
      <c r="G192" s="5"/>
      <c r="H192" s="6" t="str">
        <f>IF(AND($A192&lt;&gt;"",$B192&lt;&gt;"",$C192&lt;&gt;"",$D192&lt;&gt;"",$E192&lt;&gt;""),IF(AND($B192="s",OR($C192="SER",$C192="PLH",$C192="CSF")),"Case CDI Plate "&amp;(INT(((COUNTIFS($B$2:$B192,"s",$C$2:$C192,"SER")+COUNTIFS($B$2:$B192,"s",$C$2:$C192,"PLH")+COUNTIFS($B$2:$B192,"s",$C$2:$C192,"CSF"))-1)/96)+1)&amp;": "&amp;CHAR(65+INT(MOD((COUNTIFS($B$2:$B192,"s",$C$2:$C192,"SER")+COUNTIFS($B$2:$B192,"s",$C$2:$C192,"PLH")+COUNTIFS($B$2:$B192,"s",$C$2:$C192,"CSF"))-1,96)/12))&amp;(MOD((COUNTIFS($B$2:$B192,"s",$C$2:$C192,"SER")+COUNTIFS($B$2:$B192,"s",$C$2:$C192,"PLH")+COUNTIFS($B$2:$B192,"s",$C$2:$C192,"CSF"))-1,12)+1),"N/A"),"")</f>
        <v/>
      </c>
      <c r="I192" s="6" t="str">
        <f>IF(AND($A192&lt;&gt;"",$B192&lt;&gt;"",$C192&lt;&gt;"",$D192&lt;&gt;"",$E192&lt;&gt;""),IF(AND($B192="s",OR($C192="SER",$C192="PLH",$C192="CSF")),"Case NIH Plate "&amp;(INT(((COUNTIFS($B$2:$B192,"s",$C$2:$C192,"SER")+COUNTIFS($B$2:$B192,"s",$C$2:$C192,"PLH")+COUNTIFS($B$2:$B192,"s",$C$2:$C192,"CSF"))-1)/96)+1)&amp;": "&amp;CHAR(65+INT(MOD((COUNTIFS($B$2:$B192,"s",$C$2:$C192,"SER")+COUNTIFS($B$2:$B192,"s",$C$2:$C192,"PLH")+COUNTIFS($B$2:$B192,"s",$C$2:$C192,"CSF"))-1,96)/12))&amp;(MOD((COUNTIFS($B$2:$B192,"s",$C$2:$C192,"SER")+COUNTIFS($B$2:$B192,"s",$C$2:$C192,"PLH")+COUNTIFS($B$2:$B192,"s",$C$2:$C192,"CSF"))-1,12)+1),"N/A"),"")</f>
        <v/>
      </c>
      <c r="J192" s="6" t="str">
        <f>IF(AND($A192&lt;&gt;"",$B192&lt;&gt;"",$C192&lt;&gt;"",$D192&lt;&gt;"",$E192&lt;&gt;""),IF(AND($B192="s",OR($C192="SER",$C192="PLH")),"Case MAX Planck Plate "&amp;(INT(((COUNTIFS($B$2:$B192,"s",$C$2:$C192,"SER")+COUNTIFS($B$2:$B192,"s",$C$2:$C192,"PLH"))-1)/96)+1)&amp;": "&amp;CHAR(65+INT(MOD((COUNTIFS($B$2:$B192,"s",$C$2:$C192,"SER")+COUNTIFS($B$2:$B192,"s",$C$2:$C192,"PLH"))-1,96)/12))&amp;(MOD((COUNTIFS($B$2:$B192,"s",$C$2:$C192,"SER")+COUNTIFS($B$2:$B192,"s",$C$2:$C192,"PLH"))-1,12)+1),"N/A"),"")</f>
        <v/>
      </c>
      <c r="K192" s="6" t="str">
        <f>IF(AND($A192&lt;&gt;"",$B192&lt;&gt;"",$C192&lt;&gt;"",$D192&lt;&gt;"",$E192&lt;&gt;""),IF($C192="WB","Case WB Box "&amp;(INT((COUNTIFS($C$2:$C192,"WB")-1)/81)+1)&amp;": "&amp;CHAR(65+INT(MOD(COUNTIFS($C$2:$C192,"WB")-1,81)/9))&amp;(MOD(COUNTIFS($C$2:$C192,"WB")-1,9)+1),"N/A"),"")</f>
        <v/>
      </c>
      <c r="L192" s="2" t="str">
        <f t="shared" si="55"/>
        <v/>
      </c>
      <c r="M192" s="2"/>
      <c r="N192" s="2"/>
      <c r="O192" s="2"/>
      <c r="P192" s="7" t="str">
        <f t="shared" si="56"/>
        <v/>
      </c>
      <c r="Q192" s="7" t="str">
        <f t="shared" si="57"/>
        <v/>
      </c>
      <c r="R192" s="7" t="str">
        <f t="shared" si="58"/>
        <v/>
      </c>
      <c r="S192" s="7" t="str">
        <f t="shared" si="59"/>
        <v/>
      </c>
      <c r="T192" s="7" t="str">
        <f t="shared" si="60"/>
        <v/>
      </c>
      <c r="U192" s="7" t="str">
        <f t="shared" si="61"/>
        <v/>
      </c>
      <c r="V192" s="7" t="str">
        <f t="shared" si="62"/>
        <v/>
      </c>
      <c r="W192" s="7" t="str">
        <f t="shared" si="63"/>
        <v/>
      </c>
      <c r="X192" s="7" t="str">
        <f t="shared" si="64"/>
        <v/>
      </c>
      <c r="Y192" s="7" t="str">
        <f t="shared" si="65"/>
        <v/>
      </c>
      <c r="Z192">
        <f t="shared" si="66"/>
        <v>0</v>
      </c>
      <c r="AA192" t="str">
        <f t="shared" si="67"/>
        <v/>
      </c>
      <c r="AB192" t="str">
        <f t="shared" si="68"/>
        <v/>
      </c>
      <c r="AC192" t="str">
        <f t="shared" si="69"/>
        <v/>
      </c>
      <c r="AD192" t="str">
        <f t="shared" si="70"/>
        <v/>
      </c>
      <c r="AE192">
        <f t="shared" si="71"/>
        <v>0</v>
      </c>
    </row>
    <row r="193" spans="1:31" ht="15" customHeight="1" x14ac:dyDescent="0.35">
      <c r="A193" s="2"/>
      <c r="B193" s="3"/>
      <c r="C193" s="3"/>
      <c r="D193" s="4"/>
      <c r="E193" s="5"/>
      <c r="F193" s="11" t="str">
        <f t="shared" ca="1" si="54"/>
        <v/>
      </c>
      <c r="G193" s="5"/>
      <c r="H193" s="6" t="str">
        <f>IF(AND($A193&lt;&gt;"",$B193&lt;&gt;"",$C193&lt;&gt;"",$D193&lt;&gt;"",$E193&lt;&gt;""),IF(AND($B193="s",OR($C193="SER",$C193="PLH",$C193="CSF")),"Case CDI Plate "&amp;(INT(((COUNTIFS($B$2:$B193,"s",$C$2:$C193,"SER")+COUNTIFS($B$2:$B193,"s",$C$2:$C193,"PLH")+COUNTIFS($B$2:$B193,"s",$C$2:$C193,"CSF"))-1)/96)+1)&amp;": "&amp;CHAR(65+INT(MOD((COUNTIFS($B$2:$B193,"s",$C$2:$C193,"SER")+COUNTIFS($B$2:$B193,"s",$C$2:$C193,"PLH")+COUNTIFS($B$2:$B193,"s",$C$2:$C193,"CSF"))-1,96)/12))&amp;(MOD((COUNTIFS($B$2:$B193,"s",$C$2:$C193,"SER")+COUNTIFS($B$2:$B193,"s",$C$2:$C193,"PLH")+COUNTIFS($B$2:$B193,"s",$C$2:$C193,"CSF"))-1,12)+1),"N/A"),"")</f>
        <v/>
      </c>
      <c r="I193" s="6" t="str">
        <f>IF(AND($A193&lt;&gt;"",$B193&lt;&gt;"",$C193&lt;&gt;"",$D193&lt;&gt;"",$E193&lt;&gt;""),IF(AND($B193="s",OR($C193="SER",$C193="PLH",$C193="CSF")),"Case NIH Plate "&amp;(INT(((COUNTIFS($B$2:$B193,"s",$C$2:$C193,"SER")+COUNTIFS($B$2:$B193,"s",$C$2:$C193,"PLH")+COUNTIFS($B$2:$B193,"s",$C$2:$C193,"CSF"))-1)/96)+1)&amp;": "&amp;CHAR(65+INT(MOD((COUNTIFS($B$2:$B193,"s",$C$2:$C193,"SER")+COUNTIFS($B$2:$B193,"s",$C$2:$C193,"PLH")+COUNTIFS($B$2:$B193,"s",$C$2:$C193,"CSF"))-1,96)/12))&amp;(MOD((COUNTIFS($B$2:$B193,"s",$C$2:$C193,"SER")+COUNTIFS($B$2:$B193,"s",$C$2:$C193,"PLH")+COUNTIFS($B$2:$B193,"s",$C$2:$C193,"CSF"))-1,12)+1),"N/A"),"")</f>
        <v/>
      </c>
      <c r="J193" s="6" t="str">
        <f>IF(AND($A193&lt;&gt;"",$B193&lt;&gt;"",$C193&lt;&gt;"",$D193&lt;&gt;"",$E193&lt;&gt;""),IF(AND($B193="s",OR($C193="SER",$C193="PLH")),"Case MAX Planck Plate "&amp;(INT(((COUNTIFS($B$2:$B193,"s",$C$2:$C193,"SER")+COUNTIFS($B$2:$B193,"s",$C$2:$C193,"PLH"))-1)/96)+1)&amp;": "&amp;CHAR(65+INT(MOD((COUNTIFS($B$2:$B193,"s",$C$2:$C193,"SER")+COUNTIFS($B$2:$B193,"s",$C$2:$C193,"PLH"))-1,96)/12))&amp;(MOD((COUNTIFS($B$2:$B193,"s",$C$2:$C193,"SER")+COUNTIFS($B$2:$B193,"s",$C$2:$C193,"PLH"))-1,12)+1),"N/A"),"")</f>
        <v/>
      </c>
      <c r="K193" s="6" t="str">
        <f>IF(AND($A193&lt;&gt;"",$B193&lt;&gt;"",$C193&lt;&gt;"",$D193&lt;&gt;"",$E193&lt;&gt;""),IF($C193="WB","Case WB Box "&amp;(INT((COUNTIFS($C$2:$C193,"WB")-1)/81)+1)&amp;": "&amp;CHAR(65+INT(MOD(COUNTIFS($C$2:$C193,"WB")-1,81)/9))&amp;(MOD(COUNTIFS($C$2:$C193,"WB")-1,9)+1),"N/A"),"")</f>
        <v/>
      </c>
      <c r="L193" s="2" t="str">
        <f t="shared" si="55"/>
        <v/>
      </c>
      <c r="M193" s="2"/>
      <c r="N193" s="2"/>
      <c r="O193" s="2"/>
      <c r="P193" s="7" t="str">
        <f t="shared" si="56"/>
        <v/>
      </c>
      <c r="Q193" s="7" t="str">
        <f t="shared" si="57"/>
        <v/>
      </c>
      <c r="R193" s="7" t="str">
        <f t="shared" si="58"/>
        <v/>
      </c>
      <c r="S193" s="7" t="str">
        <f t="shared" si="59"/>
        <v/>
      </c>
      <c r="T193" s="7" t="str">
        <f t="shared" si="60"/>
        <v/>
      </c>
      <c r="U193" s="7" t="str">
        <f t="shared" si="61"/>
        <v/>
      </c>
      <c r="V193" s="7" t="str">
        <f t="shared" si="62"/>
        <v/>
      </c>
      <c r="W193" s="7" t="str">
        <f t="shared" si="63"/>
        <v/>
      </c>
      <c r="X193" s="7" t="str">
        <f t="shared" si="64"/>
        <v/>
      </c>
      <c r="Y193" s="7" t="str">
        <f t="shared" si="65"/>
        <v/>
      </c>
      <c r="Z193">
        <f t="shared" si="66"/>
        <v>0</v>
      </c>
      <c r="AA193" t="str">
        <f t="shared" si="67"/>
        <v/>
      </c>
      <c r="AB193" t="str">
        <f t="shared" si="68"/>
        <v/>
      </c>
      <c r="AC193" t="str">
        <f t="shared" si="69"/>
        <v/>
      </c>
      <c r="AD193" t="str">
        <f t="shared" si="70"/>
        <v/>
      </c>
      <c r="AE193">
        <f t="shared" si="71"/>
        <v>0</v>
      </c>
    </row>
    <row r="194" spans="1:31" ht="15" customHeight="1" x14ac:dyDescent="0.35">
      <c r="A194" s="2"/>
      <c r="B194" s="3"/>
      <c r="C194" s="3"/>
      <c r="D194" s="4"/>
      <c r="E194" s="5"/>
      <c r="F194" s="11" t="str">
        <f t="shared" ca="1" si="54"/>
        <v/>
      </c>
      <c r="G194" s="5"/>
      <c r="H194" s="6" t="str">
        <f>IF(AND($A194&lt;&gt;"",$B194&lt;&gt;"",$C194&lt;&gt;"",$D194&lt;&gt;"",$E194&lt;&gt;""),IF(AND($B194="s",OR($C194="SER",$C194="PLH",$C194="CSF")),"Case CDI Plate "&amp;(INT(((COUNTIFS($B$2:$B194,"s",$C$2:$C194,"SER")+COUNTIFS($B$2:$B194,"s",$C$2:$C194,"PLH")+COUNTIFS($B$2:$B194,"s",$C$2:$C194,"CSF"))-1)/96)+1)&amp;": "&amp;CHAR(65+INT(MOD((COUNTIFS($B$2:$B194,"s",$C$2:$C194,"SER")+COUNTIFS($B$2:$B194,"s",$C$2:$C194,"PLH")+COUNTIFS($B$2:$B194,"s",$C$2:$C194,"CSF"))-1,96)/12))&amp;(MOD((COUNTIFS($B$2:$B194,"s",$C$2:$C194,"SER")+COUNTIFS($B$2:$B194,"s",$C$2:$C194,"PLH")+COUNTIFS($B$2:$B194,"s",$C$2:$C194,"CSF"))-1,12)+1),"N/A"),"")</f>
        <v/>
      </c>
      <c r="I194" s="6" t="str">
        <f>IF(AND($A194&lt;&gt;"",$B194&lt;&gt;"",$C194&lt;&gt;"",$D194&lt;&gt;"",$E194&lt;&gt;""),IF(AND($B194="s",OR($C194="SER",$C194="PLH",$C194="CSF")),"Case NIH Plate "&amp;(INT(((COUNTIFS($B$2:$B194,"s",$C$2:$C194,"SER")+COUNTIFS($B$2:$B194,"s",$C$2:$C194,"PLH")+COUNTIFS($B$2:$B194,"s",$C$2:$C194,"CSF"))-1)/96)+1)&amp;": "&amp;CHAR(65+INT(MOD((COUNTIFS($B$2:$B194,"s",$C$2:$C194,"SER")+COUNTIFS($B$2:$B194,"s",$C$2:$C194,"PLH")+COUNTIFS($B$2:$B194,"s",$C$2:$C194,"CSF"))-1,96)/12))&amp;(MOD((COUNTIFS($B$2:$B194,"s",$C$2:$C194,"SER")+COUNTIFS($B$2:$B194,"s",$C$2:$C194,"PLH")+COUNTIFS($B$2:$B194,"s",$C$2:$C194,"CSF"))-1,12)+1),"N/A"),"")</f>
        <v/>
      </c>
      <c r="J194" s="6" t="str">
        <f>IF(AND($A194&lt;&gt;"",$B194&lt;&gt;"",$C194&lt;&gt;"",$D194&lt;&gt;"",$E194&lt;&gt;""),IF(AND($B194="s",OR($C194="SER",$C194="PLH")),"Case MAX Planck Plate "&amp;(INT(((COUNTIFS($B$2:$B194,"s",$C$2:$C194,"SER")+COUNTIFS($B$2:$B194,"s",$C$2:$C194,"PLH"))-1)/96)+1)&amp;": "&amp;CHAR(65+INT(MOD((COUNTIFS($B$2:$B194,"s",$C$2:$C194,"SER")+COUNTIFS($B$2:$B194,"s",$C$2:$C194,"PLH"))-1,96)/12))&amp;(MOD((COUNTIFS($B$2:$B194,"s",$C$2:$C194,"SER")+COUNTIFS($B$2:$B194,"s",$C$2:$C194,"PLH"))-1,12)+1),"N/A"),"")</f>
        <v/>
      </c>
      <c r="K194" s="6" t="str">
        <f>IF(AND($A194&lt;&gt;"",$B194&lt;&gt;"",$C194&lt;&gt;"",$D194&lt;&gt;"",$E194&lt;&gt;""),IF($C194="WB","Case WB Box "&amp;(INT((COUNTIFS($C$2:$C194,"WB")-1)/81)+1)&amp;": "&amp;CHAR(65+INT(MOD(COUNTIFS($C$2:$C194,"WB")-1,81)/9))&amp;(MOD(COUNTIFS($C$2:$C194,"WB")-1,9)+1),"N/A"),"")</f>
        <v/>
      </c>
      <c r="L194" s="2" t="str">
        <f t="shared" si="55"/>
        <v/>
      </c>
      <c r="M194" s="2"/>
      <c r="N194" s="2"/>
      <c r="O194" s="2"/>
      <c r="P194" s="7" t="str">
        <f t="shared" si="56"/>
        <v/>
      </c>
      <c r="Q194" s="7" t="str">
        <f t="shared" si="57"/>
        <v/>
      </c>
      <c r="R194" s="7" t="str">
        <f t="shared" si="58"/>
        <v/>
      </c>
      <c r="S194" s="7" t="str">
        <f t="shared" si="59"/>
        <v/>
      </c>
      <c r="T194" s="7" t="str">
        <f t="shared" si="60"/>
        <v/>
      </c>
      <c r="U194" s="7" t="str">
        <f t="shared" si="61"/>
        <v/>
      </c>
      <c r="V194" s="7" t="str">
        <f t="shared" si="62"/>
        <v/>
      </c>
      <c r="W194" s="7" t="str">
        <f t="shared" si="63"/>
        <v/>
      </c>
      <c r="X194" s="7" t="str">
        <f t="shared" si="64"/>
        <v/>
      </c>
      <c r="Y194" s="7" t="str">
        <f t="shared" si="65"/>
        <v/>
      </c>
      <c r="Z194">
        <f t="shared" si="66"/>
        <v>0</v>
      </c>
      <c r="AA194" t="str">
        <f t="shared" si="67"/>
        <v/>
      </c>
      <c r="AB194" t="str">
        <f t="shared" si="68"/>
        <v/>
      </c>
      <c r="AC194" t="str">
        <f t="shared" si="69"/>
        <v/>
      </c>
      <c r="AD194" t="str">
        <f t="shared" si="70"/>
        <v/>
      </c>
      <c r="AE194">
        <f t="shared" si="71"/>
        <v>0</v>
      </c>
    </row>
    <row r="195" spans="1:31" ht="15" customHeight="1" x14ac:dyDescent="0.35">
      <c r="A195" s="2"/>
      <c r="B195" s="3"/>
      <c r="C195" s="3"/>
      <c r="D195" s="4"/>
      <c r="E195" s="5"/>
      <c r="F195" s="11" t="str">
        <f t="shared" ca="1" si="54"/>
        <v/>
      </c>
      <c r="G195" s="5"/>
      <c r="H195" s="6" t="str">
        <f>IF(AND($A195&lt;&gt;"",$B195&lt;&gt;"",$C195&lt;&gt;"",$D195&lt;&gt;"",$E195&lt;&gt;""),IF(AND($B195="s",OR($C195="SER",$C195="PLH",$C195="CSF")),"Case CDI Plate "&amp;(INT(((COUNTIFS($B$2:$B195,"s",$C$2:$C195,"SER")+COUNTIFS($B$2:$B195,"s",$C$2:$C195,"PLH")+COUNTIFS($B$2:$B195,"s",$C$2:$C195,"CSF"))-1)/96)+1)&amp;": "&amp;CHAR(65+INT(MOD((COUNTIFS($B$2:$B195,"s",$C$2:$C195,"SER")+COUNTIFS($B$2:$B195,"s",$C$2:$C195,"PLH")+COUNTIFS($B$2:$B195,"s",$C$2:$C195,"CSF"))-1,96)/12))&amp;(MOD((COUNTIFS($B$2:$B195,"s",$C$2:$C195,"SER")+COUNTIFS($B$2:$B195,"s",$C$2:$C195,"PLH")+COUNTIFS($B$2:$B195,"s",$C$2:$C195,"CSF"))-1,12)+1),"N/A"),"")</f>
        <v/>
      </c>
      <c r="I195" s="6" t="str">
        <f>IF(AND($A195&lt;&gt;"",$B195&lt;&gt;"",$C195&lt;&gt;"",$D195&lt;&gt;"",$E195&lt;&gt;""),IF(AND($B195="s",OR($C195="SER",$C195="PLH",$C195="CSF")),"Case NIH Plate "&amp;(INT(((COUNTIFS($B$2:$B195,"s",$C$2:$C195,"SER")+COUNTIFS($B$2:$B195,"s",$C$2:$C195,"PLH")+COUNTIFS($B$2:$B195,"s",$C$2:$C195,"CSF"))-1)/96)+1)&amp;": "&amp;CHAR(65+INT(MOD((COUNTIFS($B$2:$B195,"s",$C$2:$C195,"SER")+COUNTIFS($B$2:$B195,"s",$C$2:$C195,"PLH")+COUNTIFS($B$2:$B195,"s",$C$2:$C195,"CSF"))-1,96)/12))&amp;(MOD((COUNTIFS($B$2:$B195,"s",$C$2:$C195,"SER")+COUNTIFS($B$2:$B195,"s",$C$2:$C195,"PLH")+COUNTIFS($B$2:$B195,"s",$C$2:$C195,"CSF"))-1,12)+1),"N/A"),"")</f>
        <v/>
      </c>
      <c r="J195" s="6" t="str">
        <f>IF(AND($A195&lt;&gt;"",$B195&lt;&gt;"",$C195&lt;&gt;"",$D195&lt;&gt;"",$E195&lt;&gt;""),IF(AND($B195="s",OR($C195="SER",$C195="PLH")),"Case MAX Planck Plate "&amp;(INT(((COUNTIFS($B$2:$B195,"s",$C$2:$C195,"SER")+COUNTIFS($B$2:$B195,"s",$C$2:$C195,"PLH"))-1)/96)+1)&amp;": "&amp;CHAR(65+INT(MOD((COUNTIFS($B$2:$B195,"s",$C$2:$C195,"SER")+COUNTIFS($B$2:$B195,"s",$C$2:$C195,"PLH"))-1,96)/12))&amp;(MOD((COUNTIFS($B$2:$B195,"s",$C$2:$C195,"SER")+COUNTIFS($B$2:$B195,"s",$C$2:$C195,"PLH"))-1,12)+1),"N/A"),"")</f>
        <v/>
      </c>
      <c r="K195" s="6" t="str">
        <f>IF(AND($A195&lt;&gt;"",$B195&lt;&gt;"",$C195&lt;&gt;"",$D195&lt;&gt;"",$E195&lt;&gt;""),IF($C195="WB","Case WB Box "&amp;(INT((COUNTIFS($C$2:$C195,"WB")-1)/81)+1)&amp;": "&amp;CHAR(65+INT(MOD(COUNTIFS($C$2:$C195,"WB")-1,81)/9))&amp;(MOD(COUNTIFS($C$2:$C195,"WB")-1,9)+1),"N/A"),"")</f>
        <v/>
      </c>
      <c r="L195" s="2" t="str">
        <f t="shared" si="55"/>
        <v/>
      </c>
      <c r="M195" s="2"/>
      <c r="N195" s="2"/>
      <c r="O195" s="2"/>
      <c r="P195" s="7" t="str">
        <f t="shared" si="56"/>
        <v/>
      </c>
      <c r="Q195" s="7" t="str">
        <f t="shared" si="57"/>
        <v/>
      </c>
      <c r="R195" s="7" t="str">
        <f t="shared" si="58"/>
        <v/>
      </c>
      <c r="S195" s="7" t="str">
        <f t="shared" si="59"/>
        <v/>
      </c>
      <c r="T195" s="7" t="str">
        <f t="shared" si="60"/>
        <v/>
      </c>
      <c r="U195" s="7" t="str">
        <f t="shared" si="61"/>
        <v/>
      </c>
      <c r="V195" s="7" t="str">
        <f t="shared" si="62"/>
        <v/>
      </c>
      <c r="W195" s="7" t="str">
        <f t="shared" si="63"/>
        <v/>
      </c>
      <c r="X195" s="7" t="str">
        <f t="shared" si="64"/>
        <v/>
      </c>
      <c r="Y195" s="7" t="str">
        <f t="shared" si="65"/>
        <v/>
      </c>
      <c r="Z195">
        <f t="shared" si="66"/>
        <v>0</v>
      </c>
      <c r="AA195" t="str">
        <f t="shared" si="67"/>
        <v/>
      </c>
      <c r="AB195" t="str">
        <f t="shared" si="68"/>
        <v/>
      </c>
      <c r="AC195" t="str">
        <f t="shared" si="69"/>
        <v/>
      </c>
      <c r="AD195" t="str">
        <f t="shared" si="70"/>
        <v/>
      </c>
      <c r="AE195">
        <f t="shared" si="71"/>
        <v>0</v>
      </c>
    </row>
    <row r="196" spans="1:31" ht="15" customHeight="1" x14ac:dyDescent="0.35">
      <c r="A196" s="2"/>
      <c r="B196" s="3"/>
      <c r="C196" s="3"/>
      <c r="D196" s="4"/>
      <c r="E196" s="5"/>
      <c r="F196" s="11" t="str">
        <f t="shared" ca="1" si="54"/>
        <v/>
      </c>
      <c r="G196" s="5"/>
      <c r="H196" s="6" t="str">
        <f>IF(AND($A196&lt;&gt;"",$B196&lt;&gt;"",$C196&lt;&gt;"",$D196&lt;&gt;"",$E196&lt;&gt;""),IF(AND($B196="s",OR($C196="SER",$C196="PLH",$C196="CSF")),"Case CDI Plate "&amp;(INT(((COUNTIFS($B$2:$B196,"s",$C$2:$C196,"SER")+COUNTIFS($B$2:$B196,"s",$C$2:$C196,"PLH")+COUNTIFS($B$2:$B196,"s",$C$2:$C196,"CSF"))-1)/96)+1)&amp;": "&amp;CHAR(65+INT(MOD((COUNTIFS($B$2:$B196,"s",$C$2:$C196,"SER")+COUNTIFS($B$2:$B196,"s",$C$2:$C196,"PLH")+COUNTIFS($B$2:$B196,"s",$C$2:$C196,"CSF"))-1,96)/12))&amp;(MOD((COUNTIFS($B$2:$B196,"s",$C$2:$C196,"SER")+COUNTIFS($B$2:$B196,"s",$C$2:$C196,"PLH")+COUNTIFS($B$2:$B196,"s",$C$2:$C196,"CSF"))-1,12)+1),"N/A"),"")</f>
        <v/>
      </c>
      <c r="I196" s="6" t="str">
        <f>IF(AND($A196&lt;&gt;"",$B196&lt;&gt;"",$C196&lt;&gt;"",$D196&lt;&gt;"",$E196&lt;&gt;""),IF(AND($B196="s",OR($C196="SER",$C196="PLH",$C196="CSF")),"Case NIH Plate "&amp;(INT(((COUNTIFS($B$2:$B196,"s",$C$2:$C196,"SER")+COUNTIFS($B$2:$B196,"s",$C$2:$C196,"PLH")+COUNTIFS($B$2:$B196,"s",$C$2:$C196,"CSF"))-1)/96)+1)&amp;": "&amp;CHAR(65+INT(MOD((COUNTIFS($B$2:$B196,"s",$C$2:$C196,"SER")+COUNTIFS($B$2:$B196,"s",$C$2:$C196,"PLH")+COUNTIFS($B$2:$B196,"s",$C$2:$C196,"CSF"))-1,96)/12))&amp;(MOD((COUNTIFS($B$2:$B196,"s",$C$2:$C196,"SER")+COUNTIFS($B$2:$B196,"s",$C$2:$C196,"PLH")+COUNTIFS($B$2:$B196,"s",$C$2:$C196,"CSF"))-1,12)+1),"N/A"),"")</f>
        <v/>
      </c>
      <c r="J196" s="6" t="str">
        <f>IF(AND($A196&lt;&gt;"",$B196&lt;&gt;"",$C196&lt;&gt;"",$D196&lt;&gt;"",$E196&lt;&gt;""),IF(AND($B196="s",OR($C196="SER",$C196="PLH")),"Case MAX Planck Plate "&amp;(INT(((COUNTIFS($B$2:$B196,"s",$C$2:$C196,"SER")+COUNTIFS($B$2:$B196,"s",$C$2:$C196,"PLH"))-1)/96)+1)&amp;": "&amp;CHAR(65+INT(MOD((COUNTIFS($B$2:$B196,"s",$C$2:$C196,"SER")+COUNTIFS($B$2:$B196,"s",$C$2:$C196,"PLH"))-1,96)/12))&amp;(MOD((COUNTIFS($B$2:$B196,"s",$C$2:$C196,"SER")+COUNTIFS($B$2:$B196,"s",$C$2:$C196,"PLH"))-1,12)+1),"N/A"),"")</f>
        <v/>
      </c>
      <c r="K196" s="6" t="str">
        <f>IF(AND($A196&lt;&gt;"",$B196&lt;&gt;"",$C196&lt;&gt;"",$D196&lt;&gt;"",$E196&lt;&gt;""),IF($C196="WB","Case WB Box "&amp;(INT((COUNTIFS($C$2:$C196,"WB")-1)/81)+1)&amp;": "&amp;CHAR(65+INT(MOD(COUNTIFS($C$2:$C196,"WB")-1,81)/9))&amp;(MOD(COUNTIFS($C$2:$C196,"WB")-1,9)+1),"N/A"),"")</f>
        <v/>
      </c>
      <c r="L196" s="2" t="str">
        <f t="shared" si="55"/>
        <v/>
      </c>
      <c r="M196" s="2"/>
      <c r="N196" s="2"/>
      <c r="O196" s="2"/>
      <c r="P196" s="7" t="str">
        <f t="shared" si="56"/>
        <v/>
      </c>
      <c r="Q196" s="7" t="str">
        <f t="shared" si="57"/>
        <v/>
      </c>
      <c r="R196" s="7" t="str">
        <f t="shared" si="58"/>
        <v/>
      </c>
      <c r="S196" s="7" t="str">
        <f t="shared" si="59"/>
        <v/>
      </c>
      <c r="T196" s="7" t="str">
        <f t="shared" si="60"/>
        <v/>
      </c>
      <c r="U196" s="7" t="str">
        <f t="shared" si="61"/>
        <v/>
      </c>
      <c r="V196" s="7" t="str">
        <f t="shared" si="62"/>
        <v/>
      </c>
      <c r="W196" s="7" t="str">
        <f t="shared" si="63"/>
        <v/>
      </c>
      <c r="X196" s="7" t="str">
        <f t="shared" si="64"/>
        <v/>
      </c>
      <c r="Y196" s="7" t="str">
        <f t="shared" si="65"/>
        <v/>
      </c>
      <c r="Z196">
        <f t="shared" si="66"/>
        <v>0</v>
      </c>
      <c r="AA196" t="str">
        <f t="shared" si="67"/>
        <v/>
      </c>
      <c r="AB196" t="str">
        <f t="shared" si="68"/>
        <v/>
      </c>
      <c r="AC196" t="str">
        <f t="shared" si="69"/>
        <v/>
      </c>
      <c r="AD196" t="str">
        <f t="shared" si="70"/>
        <v/>
      </c>
      <c r="AE196">
        <f t="shared" si="71"/>
        <v>0</v>
      </c>
    </row>
    <row r="197" spans="1:31" ht="15" customHeight="1" x14ac:dyDescent="0.35">
      <c r="A197" s="2"/>
      <c r="B197" s="3"/>
      <c r="C197" s="3"/>
      <c r="D197" s="4"/>
      <c r="E197" s="5"/>
      <c r="F197" s="11" t="str">
        <f t="shared" ca="1" si="54"/>
        <v/>
      </c>
      <c r="G197" s="5"/>
      <c r="H197" s="6" t="str">
        <f>IF(AND($A197&lt;&gt;"",$B197&lt;&gt;"",$C197&lt;&gt;"",$D197&lt;&gt;"",$E197&lt;&gt;""),IF(AND($B197="s",OR($C197="SER",$C197="PLH",$C197="CSF")),"Case CDI Plate "&amp;(INT(((COUNTIFS($B$2:$B197,"s",$C$2:$C197,"SER")+COUNTIFS($B$2:$B197,"s",$C$2:$C197,"PLH")+COUNTIFS($B$2:$B197,"s",$C$2:$C197,"CSF"))-1)/96)+1)&amp;": "&amp;CHAR(65+INT(MOD((COUNTIFS($B$2:$B197,"s",$C$2:$C197,"SER")+COUNTIFS($B$2:$B197,"s",$C$2:$C197,"PLH")+COUNTIFS($B$2:$B197,"s",$C$2:$C197,"CSF"))-1,96)/12))&amp;(MOD((COUNTIFS($B$2:$B197,"s",$C$2:$C197,"SER")+COUNTIFS($B$2:$B197,"s",$C$2:$C197,"PLH")+COUNTIFS($B$2:$B197,"s",$C$2:$C197,"CSF"))-1,12)+1),"N/A"),"")</f>
        <v/>
      </c>
      <c r="I197" s="6" t="str">
        <f>IF(AND($A197&lt;&gt;"",$B197&lt;&gt;"",$C197&lt;&gt;"",$D197&lt;&gt;"",$E197&lt;&gt;""),IF(AND($B197="s",OR($C197="SER",$C197="PLH",$C197="CSF")),"Case NIH Plate "&amp;(INT(((COUNTIFS($B$2:$B197,"s",$C$2:$C197,"SER")+COUNTIFS($B$2:$B197,"s",$C$2:$C197,"PLH")+COUNTIFS($B$2:$B197,"s",$C$2:$C197,"CSF"))-1)/96)+1)&amp;": "&amp;CHAR(65+INT(MOD((COUNTIFS($B$2:$B197,"s",$C$2:$C197,"SER")+COUNTIFS($B$2:$B197,"s",$C$2:$C197,"PLH")+COUNTIFS($B$2:$B197,"s",$C$2:$C197,"CSF"))-1,96)/12))&amp;(MOD((COUNTIFS($B$2:$B197,"s",$C$2:$C197,"SER")+COUNTIFS($B$2:$B197,"s",$C$2:$C197,"PLH")+COUNTIFS($B$2:$B197,"s",$C$2:$C197,"CSF"))-1,12)+1),"N/A"),"")</f>
        <v/>
      </c>
      <c r="J197" s="6" t="str">
        <f>IF(AND($A197&lt;&gt;"",$B197&lt;&gt;"",$C197&lt;&gt;"",$D197&lt;&gt;"",$E197&lt;&gt;""),IF(AND($B197="s",OR($C197="SER",$C197="PLH")),"Case MAX Planck Plate "&amp;(INT(((COUNTIFS($B$2:$B197,"s",$C$2:$C197,"SER")+COUNTIFS($B$2:$B197,"s",$C$2:$C197,"PLH"))-1)/96)+1)&amp;": "&amp;CHAR(65+INT(MOD((COUNTIFS($B$2:$B197,"s",$C$2:$C197,"SER")+COUNTIFS($B$2:$B197,"s",$C$2:$C197,"PLH"))-1,96)/12))&amp;(MOD((COUNTIFS($B$2:$B197,"s",$C$2:$C197,"SER")+COUNTIFS($B$2:$B197,"s",$C$2:$C197,"PLH"))-1,12)+1),"N/A"),"")</f>
        <v/>
      </c>
      <c r="K197" s="6" t="str">
        <f>IF(AND($A197&lt;&gt;"",$B197&lt;&gt;"",$C197&lt;&gt;"",$D197&lt;&gt;"",$E197&lt;&gt;""),IF($C197="WB","Case WB Box "&amp;(INT((COUNTIFS($C$2:$C197,"WB")-1)/81)+1)&amp;": "&amp;CHAR(65+INT(MOD(COUNTIFS($C$2:$C197,"WB")-1,81)/9))&amp;(MOD(COUNTIFS($C$2:$C197,"WB")-1,9)+1),"N/A"),"")</f>
        <v/>
      </c>
      <c r="L197" s="2" t="str">
        <f t="shared" si="55"/>
        <v/>
      </c>
      <c r="M197" s="2"/>
      <c r="N197" s="2"/>
      <c r="O197" s="2"/>
      <c r="P197" s="7" t="str">
        <f t="shared" si="56"/>
        <v/>
      </c>
      <c r="Q197" s="7" t="str">
        <f t="shared" si="57"/>
        <v/>
      </c>
      <c r="R197" s="7" t="str">
        <f t="shared" si="58"/>
        <v/>
      </c>
      <c r="S197" s="7" t="str">
        <f t="shared" si="59"/>
        <v/>
      </c>
      <c r="T197" s="7" t="str">
        <f t="shared" si="60"/>
        <v/>
      </c>
      <c r="U197" s="7" t="str">
        <f t="shared" si="61"/>
        <v/>
      </c>
      <c r="V197" s="7" t="str">
        <f t="shared" si="62"/>
        <v/>
      </c>
      <c r="W197" s="7" t="str">
        <f t="shared" si="63"/>
        <v/>
      </c>
      <c r="X197" s="7" t="str">
        <f t="shared" si="64"/>
        <v/>
      </c>
      <c r="Y197" s="7" t="str">
        <f t="shared" si="65"/>
        <v/>
      </c>
      <c r="Z197">
        <f t="shared" si="66"/>
        <v>0</v>
      </c>
      <c r="AA197" t="str">
        <f t="shared" si="67"/>
        <v/>
      </c>
      <c r="AB197" t="str">
        <f t="shared" si="68"/>
        <v/>
      </c>
      <c r="AC197" t="str">
        <f t="shared" si="69"/>
        <v/>
      </c>
      <c r="AD197" t="str">
        <f t="shared" si="70"/>
        <v/>
      </c>
      <c r="AE197">
        <f t="shared" si="71"/>
        <v>0</v>
      </c>
    </row>
    <row r="198" spans="1:31" ht="15" customHeight="1" x14ac:dyDescent="0.35">
      <c r="A198" s="2"/>
      <c r="B198" s="3"/>
      <c r="C198" s="3"/>
      <c r="D198" s="4"/>
      <c r="E198" s="5"/>
      <c r="F198" s="11" t="str">
        <f t="shared" ca="1" si="54"/>
        <v/>
      </c>
      <c r="G198" s="5"/>
      <c r="H198" s="6" t="str">
        <f>IF(AND($A198&lt;&gt;"",$B198&lt;&gt;"",$C198&lt;&gt;"",$D198&lt;&gt;"",$E198&lt;&gt;""),IF(AND($B198="s",OR($C198="SER",$C198="PLH",$C198="CSF")),"Case CDI Plate "&amp;(INT(((COUNTIFS($B$2:$B198,"s",$C$2:$C198,"SER")+COUNTIFS($B$2:$B198,"s",$C$2:$C198,"PLH")+COUNTIFS($B$2:$B198,"s",$C$2:$C198,"CSF"))-1)/96)+1)&amp;": "&amp;CHAR(65+INT(MOD((COUNTIFS($B$2:$B198,"s",$C$2:$C198,"SER")+COUNTIFS($B$2:$B198,"s",$C$2:$C198,"PLH")+COUNTIFS($B$2:$B198,"s",$C$2:$C198,"CSF"))-1,96)/12))&amp;(MOD((COUNTIFS($B$2:$B198,"s",$C$2:$C198,"SER")+COUNTIFS($B$2:$B198,"s",$C$2:$C198,"PLH")+COUNTIFS($B$2:$B198,"s",$C$2:$C198,"CSF"))-1,12)+1),"N/A"),"")</f>
        <v/>
      </c>
      <c r="I198" s="6" t="str">
        <f>IF(AND($A198&lt;&gt;"",$B198&lt;&gt;"",$C198&lt;&gt;"",$D198&lt;&gt;"",$E198&lt;&gt;""),IF(AND($B198="s",OR($C198="SER",$C198="PLH",$C198="CSF")),"Case NIH Plate "&amp;(INT(((COUNTIFS($B$2:$B198,"s",$C$2:$C198,"SER")+COUNTIFS($B$2:$B198,"s",$C$2:$C198,"PLH")+COUNTIFS($B$2:$B198,"s",$C$2:$C198,"CSF"))-1)/96)+1)&amp;": "&amp;CHAR(65+INT(MOD((COUNTIFS($B$2:$B198,"s",$C$2:$C198,"SER")+COUNTIFS($B$2:$B198,"s",$C$2:$C198,"PLH")+COUNTIFS($B$2:$B198,"s",$C$2:$C198,"CSF"))-1,96)/12))&amp;(MOD((COUNTIFS($B$2:$B198,"s",$C$2:$C198,"SER")+COUNTIFS($B$2:$B198,"s",$C$2:$C198,"PLH")+COUNTIFS($B$2:$B198,"s",$C$2:$C198,"CSF"))-1,12)+1),"N/A"),"")</f>
        <v/>
      </c>
      <c r="J198" s="6" t="str">
        <f>IF(AND($A198&lt;&gt;"",$B198&lt;&gt;"",$C198&lt;&gt;"",$D198&lt;&gt;"",$E198&lt;&gt;""),IF(AND($B198="s",OR($C198="SER",$C198="PLH")),"Case MAX Planck Plate "&amp;(INT(((COUNTIFS($B$2:$B198,"s",$C$2:$C198,"SER")+COUNTIFS($B$2:$B198,"s",$C$2:$C198,"PLH"))-1)/96)+1)&amp;": "&amp;CHAR(65+INT(MOD((COUNTIFS($B$2:$B198,"s",$C$2:$C198,"SER")+COUNTIFS($B$2:$B198,"s",$C$2:$C198,"PLH"))-1,96)/12))&amp;(MOD((COUNTIFS($B$2:$B198,"s",$C$2:$C198,"SER")+COUNTIFS($B$2:$B198,"s",$C$2:$C198,"PLH"))-1,12)+1),"N/A"),"")</f>
        <v/>
      </c>
      <c r="K198" s="6" t="str">
        <f>IF(AND($A198&lt;&gt;"",$B198&lt;&gt;"",$C198&lt;&gt;"",$D198&lt;&gt;"",$E198&lt;&gt;""),IF($C198="WB","Case WB Box "&amp;(INT((COUNTIFS($C$2:$C198,"WB")-1)/81)+1)&amp;": "&amp;CHAR(65+INT(MOD(COUNTIFS($C$2:$C198,"WB")-1,81)/9))&amp;(MOD(COUNTIFS($C$2:$C198,"WB")-1,9)+1),"N/A"),"")</f>
        <v/>
      </c>
      <c r="L198" s="2" t="str">
        <f t="shared" si="55"/>
        <v/>
      </c>
      <c r="M198" s="2"/>
      <c r="N198" s="2"/>
      <c r="O198" s="2"/>
      <c r="P198" s="7" t="str">
        <f t="shared" si="56"/>
        <v/>
      </c>
      <c r="Q198" s="7" t="str">
        <f t="shared" si="57"/>
        <v/>
      </c>
      <c r="R198" s="7" t="str">
        <f t="shared" si="58"/>
        <v/>
      </c>
      <c r="S198" s="7" t="str">
        <f t="shared" si="59"/>
        <v/>
      </c>
      <c r="T198" s="7" t="str">
        <f t="shared" si="60"/>
        <v/>
      </c>
      <c r="U198" s="7" t="str">
        <f t="shared" si="61"/>
        <v/>
      </c>
      <c r="V198" s="7" t="str">
        <f t="shared" si="62"/>
        <v/>
      </c>
      <c r="W198" s="7" t="str">
        <f t="shared" si="63"/>
        <v/>
      </c>
      <c r="X198" s="7" t="str">
        <f t="shared" si="64"/>
        <v/>
      </c>
      <c r="Y198" s="7" t="str">
        <f t="shared" si="65"/>
        <v/>
      </c>
      <c r="Z198">
        <f t="shared" si="66"/>
        <v>0</v>
      </c>
      <c r="AA198" t="str">
        <f t="shared" si="67"/>
        <v/>
      </c>
      <c r="AB198" t="str">
        <f t="shared" si="68"/>
        <v/>
      </c>
      <c r="AC198" t="str">
        <f t="shared" si="69"/>
        <v/>
      </c>
      <c r="AD198" t="str">
        <f t="shared" si="70"/>
        <v/>
      </c>
      <c r="AE198">
        <f t="shared" si="71"/>
        <v>0</v>
      </c>
    </row>
    <row r="199" spans="1:31" ht="15" customHeight="1" x14ac:dyDescent="0.35">
      <c r="A199" s="2"/>
      <c r="B199" s="3"/>
      <c r="C199" s="3"/>
      <c r="D199" s="4"/>
      <c r="E199" s="5"/>
      <c r="F199" s="11" t="str">
        <f t="shared" ca="1" si="54"/>
        <v/>
      </c>
      <c r="G199" s="5"/>
      <c r="H199" s="6" t="str">
        <f>IF(AND($A199&lt;&gt;"",$B199&lt;&gt;"",$C199&lt;&gt;"",$D199&lt;&gt;"",$E199&lt;&gt;""),IF(AND($B199="s",OR($C199="SER",$C199="PLH",$C199="CSF")),"Case CDI Plate "&amp;(INT(((COUNTIFS($B$2:$B199,"s",$C$2:$C199,"SER")+COUNTIFS($B$2:$B199,"s",$C$2:$C199,"PLH")+COUNTIFS($B$2:$B199,"s",$C$2:$C199,"CSF"))-1)/96)+1)&amp;": "&amp;CHAR(65+INT(MOD((COUNTIFS($B$2:$B199,"s",$C$2:$C199,"SER")+COUNTIFS($B$2:$B199,"s",$C$2:$C199,"PLH")+COUNTIFS($B$2:$B199,"s",$C$2:$C199,"CSF"))-1,96)/12))&amp;(MOD((COUNTIFS($B$2:$B199,"s",$C$2:$C199,"SER")+COUNTIFS($B$2:$B199,"s",$C$2:$C199,"PLH")+COUNTIFS($B$2:$B199,"s",$C$2:$C199,"CSF"))-1,12)+1),"N/A"),"")</f>
        <v/>
      </c>
      <c r="I199" s="6" t="str">
        <f>IF(AND($A199&lt;&gt;"",$B199&lt;&gt;"",$C199&lt;&gt;"",$D199&lt;&gt;"",$E199&lt;&gt;""),IF(AND($B199="s",OR($C199="SER",$C199="PLH",$C199="CSF")),"Case NIH Plate "&amp;(INT(((COUNTIFS($B$2:$B199,"s",$C$2:$C199,"SER")+COUNTIFS($B$2:$B199,"s",$C$2:$C199,"PLH")+COUNTIFS($B$2:$B199,"s",$C$2:$C199,"CSF"))-1)/96)+1)&amp;": "&amp;CHAR(65+INT(MOD((COUNTIFS($B$2:$B199,"s",$C$2:$C199,"SER")+COUNTIFS($B$2:$B199,"s",$C$2:$C199,"PLH")+COUNTIFS($B$2:$B199,"s",$C$2:$C199,"CSF"))-1,96)/12))&amp;(MOD((COUNTIFS($B$2:$B199,"s",$C$2:$C199,"SER")+COUNTIFS($B$2:$B199,"s",$C$2:$C199,"PLH")+COUNTIFS($B$2:$B199,"s",$C$2:$C199,"CSF"))-1,12)+1),"N/A"),"")</f>
        <v/>
      </c>
      <c r="J199" s="6" t="str">
        <f>IF(AND($A199&lt;&gt;"",$B199&lt;&gt;"",$C199&lt;&gt;"",$D199&lt;&gt;"",$E199&lt;&gt;""),IF(AND($B199="s",OR($C199="SER",$C199="PLH")),"Case MAX Planck Plate "&amp;(INT(((COUNTIFS($B$2:$B199,"s",$C$2:$C199,"SER")+COUNTIFS($B$2:$B199,"s",$C$2:$C199,"PLH"))-1)/96)+1)&amp;": "&amp;CHAR(65+INT(MOD((COUNTIFS($B$2:$B199,"s",$C$2:$C199,"SER")+COUNTIFS($B$2:$B199,"s",$C$2:$C199,"PLH"))-1,96)/12))&amp;(MOD((COUNTIFS($B$2:$B199,"s",$C$2:$C199,"SER")+COUNTIFS($B$2:$B199,"s",$C$2:$C199,"PLH"))-1,12)+1),"N/A"),"")</f>
        <v/>
      </c>
      <c r="K199" s="6" t="str">
        <f>IF(AND($A199&lt;&gt;"",$B199&lt;&gt;"",$C199&lt;&gt;"",$D199&lt;&gt;"",$E199&lt;&gt;""),IF($C199="WB","Case WB Box "&amp;(INT((COUNTIFS($C$2:$C199,"WB")-1)/81)+1)&amp;": "&amp;CHAR(65+INT(MOD(COUNTIFS($C$2:$C199,"WB")-1,81)/9))&amp;(MOD(COUNTIFS($C$2:$C199,"WB")-1,9)+1),"N/A"),"")</f>
        <v/>
      </c>
      <c r="L199" s="2" t="str">
        <f t="shared" si="55"/>
        <v/>
      </c>
      <c r="M199" s="2"/>
      <c r="N199" s="2"/>
      <c r="O199" s="2"/>
      <c r="P199" s="7" t="str">
        <f t="shared" si="56"/>
        <v/>
      </c>
      <c r="Q199" s="7" t="str">
        <f t="shared" si="57"/>
        <v/>
      </c>
      <c r="R199" s="7" t="str">
        <f t="shared" si="58"/>
        <v/>
      </c>
      <c r="S199" s="7" t="str">
        <f t="shared" si="59"/>
        <v/>
      </c>
      <c r="T199" s="7" t="str">
        <f t="shared" si="60"/>
        <v/>
      </c>
      <c r="U199" s="7" t="str">
        <f t="shared" si="61"/>
        <v/>
      </c>
      <c r="V199" s="7" t="str">
        <f t="shared" si="62"/>
        <v/>
      </c>
      <c r="W199" s="7" t="str">
        <f t="shared" si="63"/>
        <v/>
      </c>
      <c r="X199" s="7" t="str">
        <f t="shared" si="64"/>
        <v/>
      </c>
      <c r="Y199" s="7" t="str">
        <f t="shared" si="65"/>
        <v/>
      </c>
      <c r="Z199">
        <f t="shared" si="66"/>
        <v>0</v>
      </c>
      <c r="AA199" t="str">
        <f t="shared" si="67"/>
        <v/>
      </c>
      <c r="AB199" t="str">
        <f t="shared" si="68"/>
        <v/>
      </c>
      <c r="AC199" t="str">
        <f t="shared" si="69"/>
        <v/>
      </c>
      <c r="AD199" t="str">
        <f t="shared" si="70"/>
        <v/>
      </c>
      <c r="AE199">
        <f t="shared" si="71"/>
        <v>0</v>
      </c>
    </row>
    <row r="200" spans="1:31" ht="15" customHeight="1" x14ac:dyDescent="0.35">
      <c r="A200" s="2"/>
      <c r="B200" s="3"/>
      <c r="C200" s="3"/>
      <c r="D200" s="4"/>
      <c r="E200" s="5"/>
      <c r="F200" s="11" t="str">
        <f t="shared" ca="1" si="54"/>
        <v/>
      </c>
      <c r="G200" s="5"/>
      <c r="H200" s="6" t="str">
        <f>IF(AND($A200&lt;&gt;"",$B200&lt;&gt;"",$C200&lt;&gt;"",$D200&lt;&gt;"",$E200&lt;&gt;""),IF(AND($B200="s",OR($C200="SER",$C200="PLH",$C200="CSF")),"Case CDI Plate "&amp;(INT(((COUNTIFS($B$2:$B200,"s",$C$2:$C200,"SER")+COUNTIFS($B$2:$B200,"s",$C$2:$C200,"PLH")+COUNTIFS($B$2:$B200,"s",$C$2:$C200,"CSF"))-1)/96)+1)&amp;": "&amp;CHAR(65+INT(MOD((COUNTIFS($B$2:$B200,"s",$C$2:$C200,"SER")+COUNTIFS($B$2:$B200,"s",$C$2:$C200,"PLH")+COUNTIFS($B$2:$B200,"s",$C$2:$C200,"CSF"))-1,96)/12))&amp;(MOD((COUNTIFS($B$2:$B200,"s",$C$2:$C200,"SER")+COUNTIFS($B$2:$B200,"s",$C$2:$C200,"PLH")+COUNTIFS($B$2:$B200,"s",$C$2:$C200,"CSF"))-1,12)+1),"N/A"),"")</f>
        <v/>
      </c>
      <c r="I200" s="6" t="str">
        <f>IF(AND($A200&lt;&gt;"",$B200&lt;&gt;"",$C200&lt;&gt;"",$D200&lt;&gt;"",$E200&lt;&gt;""),IF(AND($B200="s",OR($C200="SER",$C200="PLH",$C200="CSF")),"Case NIH Plate "&amp;(INT(((COUNTIFS($B$2:$B200,"s",$C$2:$C200,"SER")+COUNTIFS($B$2:$B200,"s",$C$2:$C200,"PLH")+COUNTIFS($B$2:$B200,"s",$C$2:$C200,"CSF"))-1)/96)+1)&amp;": "&amp;CHAR(65+INT(MOD((COUNTIFS($B$2:$B200,"s",$C$2:$C200,"SER")+COUNTIFS($B$2:$B200,"s",$C$2:$C200,"PLH")+COUNTIFS($B$2:$B200,"s",$C$2:$C200,"CSF"))-1,96)/12))&amp;(MOD((COUNTIFS($B$2:$B200,"s",$C$2:$C200,"SER")+COUNTIFS($B$2:$B200,"s",$C$2:$C200,"PLH")+COUNTIFS($B$2:$B200,"s",$C$2:$C200,"CSF"))-1,12)+1),"N/A"),"")</f>
        <v/>
      </c>
      <c r="J200" s="6" t="str">
        <f>IF(AND($A200&lt;&gt;"",$B200&lt;&gt;"",$C200&lt;&gt;"",$D200&lt;&gt;"",$E200&lt;&gt;""),IF(AND($B200="s",OR($C200="SER",$C200="PLH")),"Case MAX Planck Plate "&amp;(INT(((COUNTIFS($B$2:$B200,"s",$C$2:$C200,"SER")+COUNTIFS($B$2:$B200,"s",$C$2:$C200,"PLH"))-1)/96)+1)&amp;": "&amp;CHAR(65+INT(MOD((COUNTIFS($B$2:$B200,"s",$C$2:$C200,"SER")+COUNTIFS($B$2:$B200,"s",$C$2:$C200,"PLH"))-1,96)/12))&amp;(MOD((COUNTIFS($B$2:$B200,"s",$C$2:$C200,"SER")+COUNTIFS($B$2:$B200,"s",$C$2:$C200,"PLH"))-1,12)+1),"N/A"),"")</f>
        <v/>
      </c>
      <c r="K200" s="6" t="str">
        <f>IF(AND($A200&lt;&gt;"",$B200&lt;&gt;"",$C200&lt;&gt;"",$D200&lt;&gt;"",$E200&lt;&gt;""),IF($C200="WB","Case WB Box "&amp;(INT((COUNTIFS($C$2:$C200,"WB")-1)/81)+1)&amp;": "&amp;CHAR(65+INT(MOD(COUNTIFS($C$2:$C200,"WB")-1,81)/9))&amp;(MOD(COUNTIFS($C$2:$C200,"WB")-1,9)+1),"N/A"),"")</f>
        <v/>
      </c>
      <c r="L200" s="2" t="str">
        <f t="shared" si="55"/>
        <v/>
      </c>
      <c r="M200" s="2"/>
      <c r="N200" s="2"/>
      <c r="O200" s="2"/>
      <c r="P200" s="7" t="str">
        <f t="shared" si="56"/>
        <v/>
      </c>
      <c r="Q200" s="7" t="str">
        <f t="shared" si="57"/>
        <v/>
      </c>
      <c r="R200" s="7" t="str">
        <f t="shared" si="58"/>
        <v/>
      </c>
      <c r="S200" s="7" t="str">
        <f t="shared" si="59"/>
        <v/>
      </c>
      <c r="T200" s="7" t="str">
        <f t="shared" si="60"/>
        <v/>
      </c>
      <c r="U200" s="7" t="str">
        <f t="shared" si="61"/>
        <v/>
      </c>
      <c r="V200" s="7" t="str">
        <f t="shared" si="62"/>
        <v/>
      </c>
      <c r="W200" s="7" t="str">
        <f t="shared" si="63"/>
        <v/>
      </c>
      <c r="X200" s="7" t="str">
        <f t="shared" si="64"/>
        <v/>
      </c>
      <c r="Y200" s="7" t="str">
        <f t="shared" si="65"/>
        <v/>
      </c>
      <c r="Z200">
        <f t="shared" si="66"/>
        <v>0</v>
      </c>
      <c r="AA200" t="str">
        <f t="shared" si="67"/>
        <v/>
      </c>
      <c r="AB200" t="str">
        <f t="shared" si="68"/>
        <v/>
      </c>
      <c r="AC200" t="str">
        <f t="shared" si="69"/>
        <v/>
      </c>
      <c r="AD200" t="str">
        <f t="shared" si="70"/>
        <v/>
      </c>
      <c r="AE200">
        <f t="shared" si="71"/>
        <v>0</v>
      </c>
    </row>
    <row r="201" spans="1:31" ht="15" customHeight="1" x14ac:dyDescent="0.35">
      <c r="A201" s="2"/>
      <c r="B201" s="3"/>
      <c r="C201" s="3"/>
      <c r="D201" s="4"/>
      <c r="E201" s="5"/>
      <c r="F201" s="11" t="str">
        <f t="shared" ca="1" si="54"/>
        <v/>
      </c>
      <c r="G201" s="5"/>
      <c r="H201" s="6" t="str">
        <f>IF(AND($A201&lt;&gt;"",$B201&lt;&gt;"",$C201&lt;&gt;"",$D201&lt;&gt;"",$E201&lt;&gt;""),IF(AND($B201="s",OR($C201="SER",$C201="PLH",$C201="CSF")),"Case CDI Plate "&amp;(INT(((COUNTIFS($B$2:$B201,"s",$C$2:$C201,"SER")+COUNTIFS($B$2:$B201,"s",$C$2:$C201,"PLH")+COUNTIFS($B$2:$B201,"s",$C$2:$C201,"CSF"))-1)/96)+1)&amp;": "&amp;CHAR(65+INT(MOD((COUNTIFS($B$2:$B201,"s",$C$2:$C201,"SER")+COUNTIFS($B$2:$B201,"s",$C$2:$C201,"PLH")+COUNTIFS($B$2:$B201,"s",$C$2:$C201,"CSF"))-1,96)/12))&amp;(MOD((COUNTIFS($B$2:$B201,"s",$C$2:$C201,"SER")+COUNTIFS($B$2:$B201,"s",$C$2:$C201,"PLH")+COUNTIFS($B$2:$B201,"s",$C$2:$C201,"CSF"))-1,12)+1),"N/A"),"")</f>
        <v/>
      </c>
      <c r="I201" s="6" t="str">
        <f>IF(AND($A201&lt;&gt;"",$B201&lt;&gt;"",$C201&lt;&gt;"",$D201&lt;&gt;"",$E201&lt;&gt;""),IF(AND($B201="s",OR($C201="SER",$C201="PLH",$C201="CSF")),"Case NIH Plate "&amp;(INT(((COUNTIFS($B$2:$B201,"s",$C$2:$C201,"SER")+COUNTIFS($B$2:$B201,"s",$C$2:$C201,"PLH")+COUNTIFS($B$2:$B201,"s",$C$2:$C201,"CSF"))-1)/96)+1)&amp;": "&amp;CHAR(65+INT(MOD((COUNTIFS($B$2:$B201,"s",$C$2:$C201,"SER")+COUNTIFS($B$2:$B201,"s",$C$2:$C201,"PLH")+COUNTIFS($B$2:$B201,"s",$C$2:$C201,"CSF"))-1,96)/12))&amp;(MOD((COUNTIFS($B$2:$B201,"s",$C$2:$C201,"SER")+COUNTIFS($B$2:$B201,"s",$C$2:$C201,"PLH")+COUNTIFS($B$2:$B201,"s",$C$2:$C201,"CSF"))-1,12)+1),"N/A"),"")</f>
        <v/>
      </c>
      <c r="J201" s="6" t="str">
        <f>IF(AND($A201&lt;&gt;"",$B201&lt;&gt;"",$C201&lt;&gt;"",$D201&lt;&gt;"",$E201&lt;&gt;""),IF(AND($B201="s",OR($C201="SER",$C201="PLH")),"Case MAX Planck Plate "&amp;(INT(((COUNTIFS($B$2:$B201,"s",$C$2:$C201,"SER")+COUNTIFS($B$2:$B201,"s",$C$2:$C201,"PLH"))-1)/96)+1)&amp;": "&amp;CHAR(65+INT(MOD((COUNTIFS($B$2:$B201,"s",$C$2:$C201,"SER")+COUNTIFS($B$2:$B201,"s",$C$2:$C201,"PLH"))-1,96)/12))&amp;(MOD((COUNTIFS($B$2:$B201,"s",$C$2:$C201,"SER")+COUNTIFS($B$2:$B201,"s",$C$2:$C201,"PLH"))-1,12)+1),"N/A"),"")</f>
        <v/>
      </c>
      <c r="K201" s="6" t="str">
        <f>IF(AND($A201&lt;&gt;"",$B201&lt;&gt;"",$C201&lt;&gt;"",$D201&lt;&gt;"",$E201&lt;&gt;""),IF($C201="WB","Case WB Box "&amp;(INT((COUNTIFS($C$2:$C201,"WB")-1)/81)+1)&amp;": "&amp;CHAR(65+INT(MOD(COUNTIFS($C$2:$C201,"WB")-1,81)/9))&amp;(MOD(COUNTIFS($C$2:$C201,"WB")-1,9)+1),"N/A"),"")</f>
        <v/>
      </c>
      <c r="L201" s="2" t="str">
        <f t="shared" si="55"/>
        <v/>
      </c>
      <c r="M201" s="2"/>
      <c r="N201" s="2"/>
      <c r="O201" s="2"/>
      <c r="P201" s="7" t="str">
        <f t="shared" si="56"/>
        <v/>
      </c>
      <c r="Q201" s="7" t="str">
        <f t="shared" si="57"/>
        <v/>
      </c>
      <c r="R201" s="7" t="str">
        <f t="shared" si="58"/>
        <v/>
      </c>
      <c r="S201" s="7" t="str">
        <f t="shared" si="59"/>
        <v/>
      </c>
      <c r="T201" s="7" t="str">
        <f t="shared" si="60"/>
        <v/>
      </c>
      <c r="U201" s="7" t="str">
        <f t="shared" si="61"/>
        <v/>
      </c>
      <c r="V201" s="7" t="str">
        <f t="shared" si="62"/>
        <v/>
      </c>
      <c r="W201" s="7" t="str">
        <f t="shared" si="63"/>
        <v/>
      </c>
      <c r="X201" s="7" t="str">
        <f t="shared" si="64"/>
        <v/>
      </c>
      <c r="Y201" s="7" t="str">
        <f t="shared" si="65"/>
        <v/>
      </c>
      <c r="Z201">
        <f t="shared" si="66"/>
        <v>0</v>
      </c>
      <c r="AA201" t="str">
        <f t="shared" si="67"/>
        <v/>
      </c>
      <c r="AB201" t="str">
        <f t="shared" si="68"/>
        <v/>
      </c>
      <c r="AC201" t="str">
        <f t="shared" si="69"/>
        <v/>
      </c>
      <c r="AD201" t="str">
        <f t="shared" si="70"/>
        <v/>
      </c>
      <c r="AE201">
        <f t="shared" si="71"/>
        <v>0</v>
      </c>
    </row>
    <row r="202" spans="1:31" ht="15" customHeight="1" x14ac:dyDescent="0.35">
      <c r="A202" s="2"/>
      <c r="B202" s="3"/>
      <c r="C202" s="3"/>
      <c r="D202" s="4"/>
      <c r="E202" s="5"/>
      <c r="F202" s="11" t="str">
        <f t="shared" ca="1" si="54"/>
        <v/>
      </c>
      <c r="G202" s="5"/>
      <c r="H202" s="6" t="str">
        <f>IF(AND($A202&lt;&gt;"",$B202&lt;&gt;"",$C202&lt;&gt;"",$D202&lt;&gt;"",$E202&lt;&gt;""),IF(AND($B202="s",OR($C202="SER",$C202="PLH",$C202="CSF")),"Case CDI Plate "&amp;(INT(((COUNTIFS($B$2:$B202,"s",$C$2:$C202,"SER")+COUNTIFS($B$2:$B202,"s",$C$2:$C202,"PLH")+COUNTIFS($B$2:$B202,"s",$C$2:$C202,"CSF"))-1)/96)+1)&amp;": "&amp;CHAR(65+INT(MOD((COUNTIFS($B$2:$B202,"s",$C$2:$C202,"SER")+COUNTIFS($B$2:$B202,"s",$C$2:$C202,"PLH")+COUNTIFS($B$2:$B202,"s",$C$2:$C202,"CSF"))-1,96)/12))&amp;(MOD((COUNTIFS($B$2:$B202,"s",$C$2:$C202,"SER")+COUNTIFS($B$2:$B202,"s",$C$2:$C202,"PLH")+COUNTIFS($B$2:$B202,"s",$C$2:$C202,"CSF"))-1,12)+1),"N/A"),"")</f>
        <v/>
      </c>
      <c r="I202" s="6" t="str">
        <f>IF(AND($A202&lt;&gt;"",$B202&lt;&gt;"",$C202&lt;&gt;"",$D202&lt;&gt;"",$E202&lt;&gt;""),IF(AND($B202="s",OR($C202="SER",$C202="PLH",$C202="CSF")),"Case NIH Plate "&amp;(INT(((COUNTIFS($B$2:$B202,"s",$C$2:$C202,"SER")+COUNTIFS($B$2:$B202,"s",$C$2:$C202,"PLH")+COUNTIFS($B$2:$B202,"s",$C$2:$C202,"CSF"))-1)/96)+1)&amp;": "&amp;CHAR(65+INT(MOD((COUNTIFS($B$2:$B202,"s",$C$2:$C202,"SER")+COUNTIFS($B$2:$B202,"s",$C$2:$C202,"PLH")+COUNTIFS($B$2:$B202,"s",$C$2:$C202,"CSF"))-1,96)/12))&amp;(MOD((COUNTIFS($B$2:$B202,"s",$C$2:$C202,"SER")+COUNTIFS($B$2:$B202,"s",$C$2:$C202,"PLH")+COUNTIFS($B$2:$B202,"s",$C$2:$C202,"CSF"))-1,12)+1),"N/A"),"")</f>
        <v/>
      </c>
      <c r="J202" s="6" t="str">
        <f>IF(AND($A202&lt;&gt;"",$B202&lt;&gt;"",$C202&lt;&gt;"",$D202&lt;&gt;"",$E202&lt;&gt;""),IF(AND($B202="s",OR($C202="SER",$C202="PLH")),"Case MAX Planck Plate "&amp;(INT(((COUNTIFS($B$2:$B202,"s",$C$2:$C202,"SER")+COUNTIFS($B$2:$B202,"s",$C$2:$C202,"PLH"))-1)/96)+1)&amp;": "&amp;CHAR(65+INT(MOD((COUNTIFS($B$2:$B202,"s",$C$2:$C202,"SER")+COUNTIFS($B$2:$B202,"s",$C$2:$C202,"PLH"))-1,96)/12))&amp;(MOD((COUNTIFS($B$2:$B202,"s",$C$2:$C202,"SER")+COUNTIFS($B$2:$B202,"s",$C$2:$C202,"PLH"))-1,12)+1),"N/A"),"")</f>
        <v/>
      </c>
      <c r="K202" s="6" t="str">
        <f>IF(AND($A202&lt;&gt;"",$B202&lt;&gt;"",$C202&lt;&gt;"",$D202&lt;&gt;"",$E202&lt;&gt;""),IF($C202="WB","Case WB Box "&amp;(INT((COUNTIFS($C$2:$C202,"WB")-1)/81)+1)&amp;": "&amp;CHAR(65+INT(MOD(COUNTIFS($C$2:$C202,"WB")-1,81)/9))&amp;(MOD(COUNTIFS($C$2:$C202,"WB")-1,9)+1),"N/A"),"")</f>
        <v/>
      </c>
      <c r="L202" s="2" t="str">
        <f t="shared" si="55"/>
        <v/>
      </c>
      <c r="M202" s="2"/>
      <c r="N202" s="2"/>
      <c r="O202" s="2"/>
      <c r="P202" s="7" t="str">
        <f t="shared" si="56"/>
        <v/>
      </c>
      <c r="Q202" s="7" t="str">
        <f t="shared" si="57"/>
        <v/>
      </c>
      <c r="R202" s="7" t="str">
        <f t="shared" si="58"/>
        <v/>
      </c>
      <c r="S202" s="7" t="str">
        <f t="shared" si="59"/>
        <v/>
      </c>
      <c r="T202" s="7" t="str">
        <f t="shared" si="60"/>
        <v/>
      </c>
      <c r="U202" s="7" t="str">
        <f t="shared" si="61"/>
        <v/>
      </c>
      <c r="V202" s="7" t="str">
        <f t="shared" si="62"/>
        <v/>
      </c>
      <c r="W202" s="7" t="str">
        <f t="shared" si="63"/>
        <v/>
      </c>
      <c r="X202" s="7" t="str">
        <f t="shared" si="64"/>
        <v/>
      </c>
      <c r="Y202" s="7" t="str">
        <f t="shared" si="65"/>
        <v/>
      </c>
      <c r="Z202">
        <f t="shared" si="66"/>
        <v>0</v>
      </c>
      <c r="AA202" t="str">
        <f t="shared" si="67"/>
        <v/>
      </c>
      <c r="AB202" t="str">
        <f t="shared" si="68"/>
        <v/>
      </c>
      <c r="AC202" t="str">
        <f t="shared" si="69"/>
        <v/>
      </c>
      <c r="AD202" t="str">
        <f t="shared" si="70"/>
        <v/>
      </c>
      <c r="AE202">
        <f t="shared" si="71"/>
        <v>0</v>
      </c>
    </row>
    <row r="203" spans="1:31" ht="15" customHeight="1" x14ac:dyDescent="0.35">
      <c r="A203" s="2"/>
      <c r="B203" s="3"/>
      <c r="C203" s="3"/>
      <c r="D203" s="4"/>
      <c r="E203" s="5"/>
      <c r="F203" s="11" t="str">
        <f t="shared" ca="1" si="54"/>
        <v/>
      </c>
      <c r="G203" s="5"/>
      <c r="H203" s="6" t="str">
        <f>IF(AND($A203&lt;&gt;"",$B203&lt;&gt;"",$C203&lt;&gt;"",$D203&lt;&gt;"",$E203&lt;&gt;""),IF(AND($B203="s",OR($C203="SER",$C203="PLH",$C203="CSF")),"Case CDI Plate "&amp;(INT(((COUNTIFS($B$2:$B203,"s",$C$2:$C203,"SER")+COUNTIFS($B$2:$B203,"s",$C$2:$C203,"PLH")+COUNTIFS($B$2:$B203,"s",$C$2:$C203,"CSF"))-1)/96)+1)&amp;": "&amp;CHAR(65+INT(MOD((COUNTIFS($B$2:$B203,"s",$C$2:$C203,"SER")+COUNTIFS($B$2:$B203,"s",$C$2:$C203,"PLH")+COUNTIFS($B$2:$B203,"s",$C$2:$C203,"CSF"))-1,96)/12))&amp;(MOD((COUNTIFS($B$2:$B203,"s",$C$2:$C203,"SER")+COUNTIFS($B$2:$B203,"s",$C$2:$C203,"PLH")+COUNTIFS($B$2:$B203,"s",$C$2:$C203,"CSF"))-1,12)+1),"N/A"),"")</f>
        <v/>
      </c>
      <c r="I203" s="6" t="str">
        <f>IF(AND($A203&lt;&gt;"",$B203&lt;&gt;"",$C203&lt;&gt;"",$D203&lt;&gt;"",$E203&lt;&gt;""),IF(AND($B203="s",OR($C203="SER",$C203="PLH",$C203="CSF")),"Case NIH Plate "&amp;(INT(((COUNTIFS($B$2:$B203,"s",$C$2:$C203,"SER")+COUNTIFS($B$2:$B203,"s",$C$2:$C203,"PLH")+COUNTIFS($B$2:$B203,"s",$C$2:$C203,"CSF"))-1)/96)+1)&amp;": "&amp;CHAR(65+INT(MOD((COUNTIFS($B$2:$B203,"s",$C$2:$C203,"SER")+COUNTIFS($B$2:$B203,"s",$C$2:$C203,"PLH")+COUNTIFS($B$2:$B203,"s",$C$2:$C203,"CSF"))-1,96)/12))&amp;(MOD((COUNTIFS($B$2:$B203,"s",$C$2:$C203,"SER")+COUNTIFS($B$2:$B203,"s",$C$2:$C203,"PLH")+COUNTIFS($B$2:$B203,"s",$C$2:$C203,"CSF"))-1,12)+1),"N/A"),"")</f>
        <v/>
      </c>
      <c r="J203" s="6" t="str">
        <f>IF(AND($A203&lt;&gt;"",$B203&lt;&gt;"",$C203&lt;&gt;"",$D203&lt;&gt;"",$E203&lt;&gt;""),IF(AND($B203="s",OR($C203="SER",$C203="PLH")),"Case MAX Planck Plate "&amp;(INT(((COUNTIFS($B$2:$B203,"s",$C$2:$C203,"SER")+COUNTIFS($B$2:$B203,"s",$C$2:$C203,"PLH"))-1)/96)+1)&amp;": "&amp;CHAR(65+INT(MOD((COUNTIFS($B$2:$B203,"s",$C$2:$C203,"SER")+COUNTIFS($B$2:$B203,"s",$C$2:$C203,"PLH"))-1,96)/12))&amp;(MOD((COUNTIFS($B$2:$B203,"s",$C$2:$C203,"SER")+COUNTIFS($B$2:$B203,"s",$C$2:$C203,"PLH"))-1,12)+1),"N/A"),"")</f>
        <v/>
      </c>
      <c r="K203" s="6" t="str">
        <f>IF(AND($A203&lt;&gt;"",$B203&lt;&gt;"",$C203&lt;&gt;"",$D203&lt;&gt;"",$E203&lt;&gt;""),IF($C203="WB","Case WB Box "&amp;(INT((COUNTIFS($C$2:$C203,"WB")-1)/81)+1)&amp;": "&amp;CHAR(65+INT(MOD(COUNTIFS($C$2:$C203,"WB")-1,81)/9))&amp;(MOD(COUNTIFS($C$2:$C203,"WB")-1,9)+1),"N/A"),"")</f>
        <v/>
      </c>
      <c r="L203" s="2" t="str">
        <f t="shared" si="55"/>
        <v/>
      </c>
      <c r="M203" s="2"/>
      <c r="N203" s="2"/>
      <c r="O203" s="2"/>
      <c r="P203" s="7" t="str">
        <f t="shared" si="56"/>
        <v/>
      </c>
      <c r="Q203" s="7" t="str">
        <f t="shared" si="57"/>
        <v/>
      </c>
      <c r="R203" s="7" t="str">
        <f t="shared" si="58"/>
        <v/>
      </c>
      <c r="S203" s="7" t="str">
        <f t="shared" si="59"/>
        <v/>
      </c>
      <c r="T203" s="7" t="str">
        <f t="shared" si="60"/>
        <v/>
      </c>
      <c r="U203" s="7" t="str">
        <f t="shared" si="61"/>
        <v/>
      </c>
      <c r="V203" s="7" t="str">
        <f t="shared" si="62"/>
        <v/>
      </c>
      <c r="W203" s="7" t="str">
        <f t="shared" si="63"/>
        <v/>
      </c>
      <c r="X203" s="7" t="str">
        <f t="shared" si="64"/>
        <v/>
      </c>
      <c r="Y203" s="7" t="str">
        <f t="shared" si="65"/>
        <v/>
      </c>
      <c r="Z203">
        <f t="shared" si="66"/>
        <v>0</v>
      </c>
      <c r="AA203" t="str">
        <f t="shared" si="67"/>
        <v/>
      </c>
      <c r="AB203" t="str">
        <f t="shared" si="68"/>
        <v/>
      </c>
      <c r="AC203" t="str">
        <f t="shared" si="69"/>
        <v/>
      </c>
      <c r="AD203" t="str">
        <f t="shared" si="70"/>
        <v/>
      </c>
      <c r="AE203">
        <f t="shared" si="71"/>
        <v>0</v>
      </c>
    </row>
    <row r="204" spans="1:31" ht="15" customHeight="1" x14ac:dyDescent="0.35">
      <c r="A204" s="2"/>
      <c r="B204" s="3"/>
      <c r="C204" s="3"/>
      <c r="D204" s="4"/>
      <c r="E204" s="5"/>
      <c r="F204" s="11" t="str">
        <f t="shared" ca="1" si="54"/>
        <v/>
      </c>
      <c r="G204" s="5"/>
      <c r="H204" s="6" t="str">
        <f>IF(AND($A204&lt;&gt;"",$B204&lt;&gt;"",$C204&lt;&gt;"",$D204&lt;&gt;"",$E204&lt;&gt;""),IF(AND($B204="s",OR($C204="SER",$C204="PLH",$C204="CSF")),"Case CDI Plate "&amp;(INT(((COUNTIFS($B$2:$B204,"s",$C$2:$C204,"SER")+COUNTIFS($B$2:$B204,"s",$C$2:$C204,"PLH")+COUNTIFS($B$2:$B204,"s",$C$2:$C204,"CSF"))-1)/96)+1)&amp;": "&amp;CHAR(65+INT(MOD((COUNTIFS($B$2:$B204,"s",$C$2:$C204,"SER")+COUNTIFS($B$2:$B204,"s",$C$2:$C204,"PLH")+COUNTIFS($B$2:$B204,"s",$C$2:$C204,"CSF"))-1,96)/12))&amp;(MOD((COUNTIFS($B$2:$B204,"s",$C$2:$C204,"SER")+COUNTIFS($B$2:$B204,"s",$C$2:$C204,"PLH")+COUNTIFS($B$2:$B204,"s",$C$2:$C204,"CSF"))-1,12)+1),"N/A"),"")</f>
        <v/>
      </c>
      <c r="I204" s="6" t="str">
        <f>IF(AND($A204&lt;&gt;"",$B204&lt;&gt;"",$C204&lt;&gt;"",$D204&lt;&gt;"",$E204&lt;&gt;""),IF(AND($B204="s",OR($C204="SER",$C204="PLH",$C204="CSF")),"Case NIH Plate "&amp;(INT(((COUNTIFS($B$2:$B204,"s",$C$2:$C204,"SER")+COUNTIFS($B$2:$B204,"s",$C$2:$C204,"PLH")+COUNTIFS($B$2:$B204,"s",$C$2:$C204,"CSF"))-1)/96)+1)&amp;": "&amp;CHAR(65+INT(MOD((COUNTIFS($B$2:$B204,"s",$C$2:$C204,"SER")+COUNTIFS($B$2:$B204,"s",$C$2:$C204,"PLH")+COUNTIFS($B$2:$B204,"s",$C$2:$C204,"CSF"))-1,96)/12))&amp;(MOD((COUNTIFS($B$2:$B204,"s",$C$2:$C204,"SER")+COUNTIFS($B$2:$B204,"s",$C$2:$C204,"PLH")+COUNTIFS($B$2:$B204,"s",$C$2:$C204,"CSF"))-1,12)+1),"N/A"),"")</f>
        <v/>
      </c>
      <c r="J204" s="6" t="str">
        <f>IF(AND($A204&lt;&gt;"",$B204&lt;&gt;"",$C204&lt;&gt;"",$D204&lt;&gt;"",$E204&lt;&gt;""),IF(AND($B204="s",OR($C204="SER",$C204="PLH")),"Case MAX Planck Plate "&amp;(INT(((COUNTIFS($B$2:$B204,"s",$C$2:$C204,"SER")+COUNTIFS($B$2:$B204,"s",$C$2:$C204,"PLH"))-1)/96)+1)&amp;": "&amp;CHAR(65+INT(MOD((COUNTIFS($B$2:$B204,"s",$C$2:$C204,"SER")+COUNTIFS($B$2:$B204,"s",$C$2:$C204,"PLH"))-1,96)/12))&amp;(MOD((COUNTIFS($B$2:$B204,"s",$C$2:$C204,"SER")+COUNTIFS($B$2:$B204,"s",$C$2:$C204,"PLH"))-1,12)+1),"N/A"),"")</f>
        <v/>
      </c>
      <c r="K204" s="6" t="str">
        <f>IF(AND($A204&lt;&gt;"",$B204&lt;&gt;"",$C204&lt;&gt;"",$D204&lt;&gt;"",$E204&lt;&gt;""),IF($C204="WB","Case WB Box "&amp;(INT((COUNTIFS($C$2:$C204,"WB")-1)/81)+1)&amp;": "&amp;CHAR(65+INT(MOD(COUNTIFS($C$2:$C204,"WB")-1,81)/9))&amp;(MOD(COUNTIFS($C$2:$C204,"WB")-1,9)+1),"N/A"),"")</f>
        <v/>
      </c>
      <c r="L204" s="2" t="str">
        <f t="shared" si="55"/>
        <v/>
      </c>
      <c r="M204" s="2"/>
      <c r="N204" s="2"/>
      <c r="O204" s="2"/>
      <c r="P204" s="7" t="str">
        <f t="shared" si="56"/>
        <v/>
      </c>
      <c r="Q204" s="7" t="str">
        <f t="shared" si="57"/>
        <v/>
      </c>
      <c r="R204" s="7" t="str">
        <f t="shared" si="58"/>
        <v/>
      </c>
      <c r="S204" s="7" t="str">
        <f t="shared" si="59"/>
        <v/>
      </c>
      <c r="T204" s="7" t="str">
        <f t="shared" si="60"/>
        <v/>
      </c>
      <c r="U204" s="7" t="str">
        <f t="shared" si="61"/>
        <v/>
      </c>
      <c r="V204" s="7" t="str">
        <f t="shared" si="62"/>
        <v/>
      </c>
      <c r="W204" s="7" t="str">
        <f t="shared" si="63"/>
        <v/>
      </c>
      <c r="X204" s="7" t="str">
        <f t="shared" si="64"/>
        <v/>
      </c>
      <c r="Y204" s="7" t="str">
        <f t="shared" si="65"/>
        <v/>
      </c>
      <c r="Z204">
        <f t="shared" si="66"/>
        <v>0</v>
      </c>
      <c r="AA204" t="str">
        <f t="shared" si="67"/>
        <v/>
      </c>
      <c r="AB204" t="str">
        <f t="shared" si="68"/>
        <v/>
      </c>
      <c r="AC204" t="str">
        <f t="shared" si="69"/>
        <v/>
      </c>
      <c r="AD204" t="str">
        <f t="shared" si="70"/>
        <v/>
      </c>
      <c r="AE204">
        <f t="shared" si="71"/>
        <v>0</v>
      </c>
    </row>
    <row r="205" spans="1:31" ht="15" customHeight="1" x14ac:dyDescent="0.35">
      <c r="A205" s="2"/>
      <c r="B205" s="3"/>
      <c r="C205" s="3"/>
      <c r="D205" s="4"/>
      <c r="E205" s="5"/>
      <c r="F205" s="11" t="str">
        <f t="shared" ca="1" si="54"/>
        <v/>
      </c>
      <c r="G205" s="5"/>
      <c r="H205" s="6" t="str">
        <f>IF(AND($A205&lt;&gt;"",$B205&lt;&gt;"",$C205&lt;&gt;"",$D205&lt;&gt;"",$E205&lt;&gt;""),IF(AND($B205="s",OR($C205="SER",$C205="PLH",$C205="CSF")),"Case CDI Plate "&amp;(INT(((COUNTIFS($B$2:$B205,"s",$C$2:$C205,"SER")+COUNTIFS($B$2:$B205,"s",$C$2:$C205,"PLH")+COUNTIFS($B$2:$B205,"s",$C$2:$C205,"CSF"))-1)/96)+1)&amp;": "&amp;CHAR(65+INT(MOD((COUNTIFS($B$2:$B205,"s",$C$2:$C205,"SER")+COUNTIFS($B$2:$B205,"s",$C$2:$C205,"PLH")+COUNTIFS($B$2:$B205,"s",$C$2:$C205,"CSF"))-1,96)/12))&amp;(MOD((COUNTIFS($B$2:$B205,"s",$C$2:$C205,"SER")+COUNTIFS($B$2:$B205,"s",$C$2:$C205,"PLH")+COUNTIFS($B$2:$B205,"s",$C$2:$C205,"CSF"))-1,12)+1),"N/A"),"")</f>
        <v/>
      </c>
      <c r="I205" s="6" t="str">
        <f>IF(AND($A205&lt;&gt;"",$B205&lt;&gt;"",$C205&lt;&gt;"",$D205&lt;&gt;"",$E205&lt;&gt;""),IF(AND($B205="s",OR($C205="SER",$C205="PLH",$C205="CSF")),"Case NIH Plate "&amp;(INT(((COUNTIFS($B$2:$B205,"s",$C$2:$C205,"SER")+COUNTIFS($B$2:$B205,"s",$C$2:$C205,"PLH")+COUNTIFS($B$2:$B205,"s",$C$2:$C205,"CSF"))-1)/96)+1)&amp;": "&amp;CHAR(65+INT(MOD((COUNTIFS($B$2:$B205,"s",$C$2:$C205,"SER")+COUNTIFS($B$2:$B205,"s",$C$2:$C205,"PLH")+COUNTIFS($B$2:$B205,"s",$C$2:$C205,"CSF"))-1,96)/12))&amp;(MOD((COUNTIFS($B$2:$B205,"s",$C$2:$C205,"SER")+COUNTIFS($B$2:$B205,"s",$C$2:$C205,"PLH")+COUNTIFS($B$2:$B205,"s",$C$2:$C205,"CSF"))-1,12)+1),"N/A"),"")</f>
        <v/>
      </c>
      <c r="J205" s="6" t="str">
        <f>IF(AND($A205&lt;&gt;"",$B205&lt;&gt;"",$C205&lt;&gt;"",$D205&lt;&gt;"",$E205&lt;&gt;""),IF(AND($B205="s",OR($C205="SER",$C205="PLH")),"Case MAX Planck Plate "&amp;(INT(((COUNTIFS($B$2:$B205,"s",$C$2:$C205,"SER")+COUNTIFS($B$2:$B205,"s",$C$2:$C205,"PLH"))-1)/96)+1)&amp;": "&amp;CHAR(65+INT(MOD((COUNTIFS($B$2:$B205,"s",$C$2:$C205,"SER")+COUNTIFS($B$2:$B205,"s",$C$2:$C205,"PLH"))-1,96)/12))&amp;(MOD((COUNTIFS($B$2:$B205,"s",$C$2:$C205,"SER")+COUNTIFS($B$2:$B205,"s",$C$2:$C205,"PLH"))-1,12)+1),"N/A"),"")</f>
        <v/>
      </c>
      <c r="K205" s="6" t="str">
        <f>IF(AND($A205&lt;&gt;"",$B205&lt;&gt;"",$C205&lt;&gt;"",$D205&lt;&gt;"",$E205&lt;&gt;""),IF($C205="WB","Case WB Box "&amp;(INT((COUNTIFS($C$2:$C205,"WB")-1)/81)+1)&amp;": "&amp;CHAR(65+INT(MOD(COUNTIFS($C$2:$C205,"WB")-1,81)/9))&amp;(MOD(COUNTIFS($C$2:$C205,"WB")-1,9)+1),"N/A"),"")</f>
        <v/>
      </c>
      <c r="L205" s="2" t="str">
        <f t="shared" si="55"/>
        <v/>
      </c>
      <c r="M205" s="2"/>
      <c r="N205" s="2"/>
      <c r="O205" s="2"/>
      <c r="P205" s="7" t="str">
        <f t="shared" si="56"/>
        <v/>
      </c>
      <c r="Q205" s="7" t="str">
        <f t="shared" si="57"/>
        <v/>
      </c>
      <c r="R205" s="7" t="str">
        <f t="shared" si="58"/>
        <v/>
      </c>
      <c r="S205" s="7" t="str">
        <f t="shared" si="59"/>
        <v/>
      </c>
      <c r="T205" s="7" t="str">
        <f t="shared" si="60"/>
        <v/>
      </c>
      <c r="U205" s="7" t="str">
        <f t="shared" si="61"/>
        <v/>
      </c>
      <c r="V205" s="7" t="str">
        <f t="shared" si="62"/>
        <v/>
      </c>
      <c r="W205" s="7" t="str">
        <f t="shared" si="63"/>
        <v/>
      </c>
      <c r="X205" s="7" t="str">
        <f t="shared" si="64"/>
        <v/>
      </c>
      <c r="Y205" s="7" t="str">
        <f t="shared" si="65"/>
        <v/>
      </c>
      <c r="Z205">
        <f t="shared" si="66"/>
        <v>0</v>
      </c>
      <c r="AA205" t="str">
        <f t="shared" si="67"/>
        <v/>
      </c>
      <c r="AB205" t="str">
        <f t="shared" si="68"/>
        <v/>
      </c>
      <c r="AC205" t="str">
        <f t="shared" si="69"/>
        <v/>
      </c>
      <c r="AD205" t="str">
        <f t="shared" si="70"/>
        <v/>
      </c>
      <c r="AE205">
        <f t="shared" si="71"/>
        <v>0</v>
      </c>
    </row>
    <row r="206" spans="1:31" ht="15" customHeight="1" x14ac:dyDescent="0.35">
      <c r="A206" s="2"/>
      <c r="B206" s="3"/>
      <c r="C206" s="3"/>
      <c r="D206" s="4"/>
      <c r="E206" s="5"/>
      <c r="F206" s="11" t="str">
        <f t="shared" ca="1" si="54"/>
        <v/>
      </c>
      <c r="G206" s="5"/>
      <c r="H206" s="6" t="str">
        <f>IF(AND($A206&lt;&gt;"",$B206&lt;&gt;"",$C206&lt;&gt;"",$D206&lt;&gt;"",$E206&lt;&gt;""),IF(AND($B206="s",OR($C206="SER",$C206="PLH",$C206="CSF")),"Case CDI Plate "&amp;(INT(((COUNTIFS($B$2:$B206,"s",$C$2:$C206,"SER")+COUNTIFS($B$2:$B206,"s",$C$2:$C206,"PLH")+COUNTIFS($B$2:$B206,"s",$C$2:$C206,"CSF"))-1)/96)+1)&amp;": "&amp;CHAR(65+INT(MOD((COUNTIFS($B$2:$B206,"s",$C$2:$C206,"SER")+COUNTIFS($B$2:$B206,"s",$C$2:$C206,"PLH")+COUNTIFS($B$2:$B206,"s",$C$2:$C206,"CSF"))-1,96)/12))&amp;(MOD((COUNTIFS($B$2:$B206,"s",$C$2:$C206,"SER")+COUNTIFS($B$2:$B206,"s",$C$2:$C206,"PLH")+COUNTIFS($B$2:$B206,"s",$C$2:$C206,"CSF"))-1,12)+1),"N/A"),"")</f>
        <v/>
      </c>
      <c r="I206" s="6" t="str">
        <f>IF(AND($A206&lt;&gt;"",$B206&lt;&gt;"",$C206&lt;&gt;"",$D206&lt;&gt;"",$E206&lt;&gt;""),IF(AND($B206="s",OR($C206="SER",$C206="PLH",$C206="CSF")),"Case NIH Plate "&amp;(INT(((COUNTIFS($B$2:$B206,"s",$C$2:$C206,"SER")+COUNTIFS($B$2:$B206,"s",$C$2:$C206,"PLH")+COUNTIFS($B$2:$B206,"s",$C$2:$C206,"CSF"))-1)/96)+1)&amp;": "&amp;CHAR(65+INT(MOD((COUNTIFS($B$2:$B206,"s",$C$2:$C206,"SER")+COUNTIFS($B$2:$B206,"s",$C$2:$C206,"PLH")+COUNTIFS($B$2:$B206,"s",$C$2:$C206,"CSF"))-1,96)/12))&amp;(MOD((COUNTIFS($B$2:$B206,"s",$C$2:$C206,"SER")+COUNTIFS($B$2:$B206,"s",$C$2:$C206,"PLH")+COUNTIFS($B$2:$B206,"s",$C$2:$C206,"CSF"))-1,12)+1),"N/A"),"")</f>
        <v/>
      </c>
      <c r="J206" s="6" t="str">
        <f>IF(AND($A206&lt;&gt;"",$B206&lt;&gt;"",$C206&lt;&gt;"",$D206&lt;&gt;"",$E206&lt;&gt;""),IF(AND($B206="s",OR($C206="SER",$C206="PLH")),"Case MAX Planck Plate "&amp;(INT(((COUNTIFS($B$2:$B206,"s",$C$2:$C206,"SER")+COUNTIFS($B$2:$B206,"s",$C$2:$C206,"PLH"))-1)/96)+1)&amp;": "&amp;CHAR(65+INT(MOD((COUNTIFS($B$2:$B206,"s",$C$2:$C206,"SER")+COUNTIFS($B$2:$B206,"s",$C$2:$C206,"PLH"))-1,96)/12))&amp;(MOD((COUNTIFS($B$2:$B206,"s",$C$2:$C206,"SER")+COUNTIFS($B$2:$B206,"s",$C$2:$C206,"PLH"))-1,12)+1),"N/A"),"")</f>
        <v/>
      </c>
      <c r="K206" s="6" t="str">
        <f>IF(AND($A206&lt;&gt;"",$B206&lt;&gt;"",$C206&lt;&gt;"",$D206&lt;&gt;"",$E206&lt;&gt;""),IF($C206="WB","Case WB Box "&amp;(INT((COUNTIFS($C$2:$C206,"WB")-1)/81)+1)&amp;": "&amp;CHAR(65+INT(MOD(COUNTIFS($C$2:$C206,"WB")-1,81)/9))&amp;(MOD(COUNTIFS($C$2:$C206,"WB")-1,9)+1),"N/A"),"")</f>
        <v/>
      </c>
      <c r="L206" s="2" t="str">
        <f t="shared" si="55"/>
        <v/>
      </c>
      <c r="M206" s="2"/>
      <c r="N206" s="2"/>
      <c r="O206" s="2"/>
      <c r="P206" s="7" t="str">
        <f t="shared" si="56"/>
        <v/>
      </c>
      <c r="Q206" s="7" t="str">
        <f t="shared" si="57"/>
        <v/>
      </c>
      <c r="R206" s="7" t="str">
        <f t="shared" si="58"/>
        <v/>
      </c>
      <c r="S206" s="7" t="str">
        <f t="shared" si="59"/>
        <v/>
      </c>
      <c r="T206" s="7" t="str">
        <f t="shared" si="60"/>
        <v/>
      </c>
      <c r="U206" s="7" t="str">
        <f t="shared" si="61"/>
        <v/>
      </c>
      <c r="V206" s="7" t="str">
        <f t="shared" si="62"/>
        <v/>
      </c>
      <c r="W206" s="7" t="str">
        <f t="shared" si="63"/>
        <v/>
      </c>
      <c r="X206" s="7" t="str">
        <f t="shared" si="64"/>
        <v/>
      </c>
      <c r="Y206" s="7" t="str">
        <f t="shared" si="65"/>
        <v/>
      </c>
      <c r="Z206">
        <f t="shared" si="66"/>
        <v>0</v>
      </c>
      <c r="AA206" t="str">
        <f t="shared" si="67"/>
        <v/>
      </c>
      <c r="AB206" t="str">
        <f t="shared" si="68"/>
        <v/>
      </c>
      <c r="AC206" t="str">
        <f t="shared" si="69"/>
        <v/>
      </c>
      <c r="AD206" t="str">
        <f t="shared" si="70"/>
        <v/>
      </c>
      <c r="AE206">
        <f t="shared" si="71"/>
        <v>0</v>
      </c>
    </row>
    <row r="207" spans="1:31" ht="15" customHeight="1" x14ac:dyDescent="0.35">
      <c r="A207" s="2"/>
      <c r="B207" s="3"/>
      <c r="C207" s="3"/>
      <c r="D207" s="4"/>
      <c r="E207" s="5"/>
      <c r="F207" s="11" t="str">
        <f t="shared" ca="1" si="54"/>
        <v/>
      </c>
      <c r="G207" s="5"/>
      <c r="H207" s="6" t="str">
        <f>IF(AND($A207&lt;&gt;"",$B207&lt;&gt;"",$C207&lt;&gt;"",$D207&lt;&gt;"",$E207&lt;&gt;""),IF(AND($B207="s",OR($C207="SER",$C207="PLH",$C207="CSF")),"Case CDI Plate "&amp;(INT(((COUNTIFS($B$2:$B207,"s",$C$2:$C207,"SER")+COUNTIFS($B$2:$B207,"s",$C$2:$C207,"PLH")+COUNTIFS($B$2:$B207,"s",$C$2:$C207,"CSF"))-1)/96)+1)&amp;": "&amp;CHAR(65+INT(MOD((COUNTIFS($B$2:$B207,"s",$C$2:$C207,"SER")+COUNTIFS($B$2:$B207,"s",$C$2:$C207,"PLH")+COUNTIFS($B$2:$B207,"s",$C$2:$C207,"CSF"))-1,96)/12))&amp;(MOD((COUNTIFS($B$2:$B207,"s",$C$2:$C207,"SER")+COUNTIFS($B$2:$B207,"s",$C$2:$C207,"PLH")+COUNTIFS($B$2:$B207,"s",$C$2:$C207,"CSF"))-1,12)+1),"N/A"),"")</f>
        <v/>
      </c>
      <c r="I207" s="6" t="str">
        <f>IF(AND($A207&lt;&gt;"",$B207&lt;&gt;"",$C207&lt;&gt;"",$D207&lt;&gt;"",$E207&lt;&gt;""),IF(AND($B207="s",OR($C207="SER",$C207="PLH",$C207="CSF")),"Case NIH Plate "&amp;(INT(((COUNTIFS($B$2:$B207,"s",$C$2:$C207,"SER")+COUNTIFS($B$2:$B207,"s",$C$2:$C207,"PLH")+COUNTIFS($B$2:$B207,"s",$C$2:$C207,"CSF"))-1)/96)+1)&amp;": "&amp;CHAR(65+INT(MOD((COUNTIFS($B$2:$B207,"s",$C$2:$C207,"SER")+COUNTIFS($B$2:$B207,"s",$C$2:$C207,"PLH")+COUNTIFS($B$2:$B207,"s",$C$2:$C207,"CSF"))-1,96)/12))&amp;(MOD((COUNTIFS($B$2:$B207,"s",$C$2:$C207,"SER")+COUNTIFS($B$2:$B207,"s",$C$2:$C207,"PLH")+COUNTIFS($B$2:$B207,"s",$C$2:$C207,"CSF"))-1,12)+1),"N/A"),"")</f>
        <v/>
      </c>
      <c r="J207" s="6" t="str">
        <f>IF(AND($A207&lt;&gt;"",$B207&lt;&gt;"",$C207&lt;&gt;"",$D207&lt;&gt;"",$E207&lt;&gt;""),IF(AND($B207="s",OR($C207="SER",$C207="PLH")),"Case MAX Planck Plate "&amp;(INT(((COUNTIFS($B$2:$B207,"s",$C$2:$C207,"SER")+COUNTIFS($B$2:$B207,"s",$C$2:$C207,"PLH"))-1)/96)+1)&amp;": "&amp;CHAR(65+INT(MOD((COUNTIFS($B$2:$B207,"s",$C$2:$C207,"SER")+COUNTIFS($B$2:$B207,"s",$C$2:$C207,"PLH"))-1,96)/12))&amp;(MOD((COUNTIFS($B$2:$B207,"s",$C$2:$C207,"SER")+COUNTIFS($B$2:$B207,"s",$C$2:$C207,"PLH"))-1,12)+1),"N/A"),"")</f>
        <v/>
      </c>
      <c r="K207" s="6" t="str">
        <f>IF(AND($A207&lt;&gt;"",$B207&lt;&gt;"",$C207&lt;&gt;"",$D207&lt;&gt;"",$E207&lt;&gt;""),IF($C207="WB","Case WB Box "&amp;(INT((COUNTIFS($C$2:$C207,"WB")-1)/81)+1)&amp;": "&amp;CHAR(65+INT(MOD(COUNTIFS($C$2:$C207,"WB")-1,81)/9))&amp;(MOD(COUNTIFS($C$2:$C207,"WB")-1,9)+1),"N/A"),"")</f>
        <v/>
      </c>
      <c r="L207" s="2" t="str">
        <f t="shared" si="55"/>
        <v/>
      </c>
      <c r="M207" s="2"/>
      <c r="N207" s="2"/>
      <c r="O207" s="2"/>
      <c r="P207" s="7" t="str">
        <f t="shared" si="56"/>
        <v/>
      </c>
      <c r="Q207" s="7" t="str">
        <f t="shared" si="57"/>
        <v/>
      </c>
      <c r="R207" s="7" t="str">
        <f t="shared" si="58"/>
        <v/>
      </c>
      <c r="S207" s="7" t="str">
        <f t="shared" si="59"/>
        <v/>
      </c>
      <c r="T207" s="7" t="str">
        <f t="shared" si="60"/>
        <v/>
      </c>
      <c r="U207" s="7" t="str">
        <f t="shared" si="61"/>
        <v/>
      </c>
      <c r="V207" s="7" t="str">
        <f t="shared" si="62"/>
        <v/>
      </c>
      <c r="W207" s="7" t="str">
        <f t="shared" si="63"/>
        <v/>
      </c>
      <c r="X207" s="7" t="str">
        <f t="shared" si="64"/>
        <v/>
      </c>
      <c r="Y207" s="7" t="str">
        <f t="shared" si="65"/>
        <v/>
      </c>
      <c r="Z207">
        <f t="shared" si="66"/>
        <v>0</v>
      </c>
      <c r="AA207" t="str">
        <f t="shared" si="67"/>
        <v/>
      </c>
      <c r="AB207" t="str">
        <f t="shared" si="68"/>
        <v/>
      </c>
      <c r="AC207" t="str">
        <f t="shared" si="69"/>
        <v/>
      </c>
      <c r="AD207" t="str">
        <f t="shared" si="70"/>
        <v/>
      </c>
      <c r="AE207">
        <f t="shared" si="71"/>
        <v>0</v>
      </c>
    </row>
    <row r="208" spans="1:31" ht="15" customHeight="1" x14ac:dyDescent="0.35">
      <c r="A208" s="2"/>
      <c r="B208" s="3"/>
      <c r="C208" s="3"/>
      <c r="D208" s="4"/>
      <c r="E208" s="5"/>
      <c r="F208" s="11" t="str">
        <f t="shared" ca="1" si="54"/>
        <v/>
      </c>
      <c r="G208" s="5"/>
      <c r="H208" s="6" t="str">
        <f>IF(AND($A208&lt;&gt;"",$B208&lt;&gt;"",$C208&lt;&gt;"",$D208&lt;&gt;"",$E208&lt;&gt;""),IF(AND($B208="s",OR($C208="SER",$C208="PLH",$C208="CSF")),"Case CDI Plate "&amp;(INT(((COUNTIFS($B$2:$B208,"s",$C$2:$C208,"SER")+COUNTIFS($B$2:$B208,"s",$C$2:$C208,"PLH")+COUNTIFS($B$2:$B208,"s",$C$2:$C208,"CSF"))-1)/96)+1)&amp;": "&amp;CHAR(65+INT(MOD((COUNTIFS($B$2:$B208,"s",$C$2:$C208,"SER")+COUNTIFS($B$2:$B208,"s",$C$2:$C208,"PLH")+COUNTIFS($B$2:$B208,"s",$C$2:$C208,"CSF"))-1,96)/12))&amp;(MOD((COUNTIFS($B$2:$B208,"s",$C$2:$C208,"SER")+COUNTIFS($B$2:$B208,"s",$C$2:$C208,"PLH")+COUNTIFS($B$2:$B208,"s",$C$2:$C208,"CSF"))-1,12)+1),"N/A"),"")</f>
        <v/>
      </c>
      <c r="I208" s="6" t="str">
        <f>IF(AND($A208&lt;&gt;"",$B208&lt;&gt;"",$C208&lt;&gt;"",$D208&lt;&gt;"",$E208&lt;&gt;""),IF(AND($B208="s",OR($C208="SER",$C208="PLH",$C208="CSF")),"Case NIH Plate "&amp;(INT(((COUNTIFS($B$2:$B208,"s",$C$2:$C208,"SER")+COUNTIFS($B$2:$B208,"s",$C$2:$C208,"PLH")+COUNTIFS($B$2:$B208,"s",$C$2:$C208,"CSF"))-1)/96)+1)&amp;": "&amp;CHAR(65+INT(MOD((COUNTIFS($B$2:$B208,"s",$C$2:$C208,"SER")+COUNTIFS($B$2:$B208,"s",$C$2:$C208,"PLH")+COUNTIFS($B$2:$B208,"s",$C$2:$C208,"CSF"))-1,96)/12))&amp;(MOD((COUNTIFS($B$2:$B208,"s",$C$2:$C208,"SER")+COUNTIFS($B$2:$B208,"s",$C$2:$C208,"PLH")+COUNTIFS($B$2:$B208,"s",$C$2:$C208,"CSF"))-1,12)+1),"N/A"),"")</f>
        <v/>
      </c>
      <c r="J208" s="6" t="str">
        <f>IF(AND($A208&lt;&gt;"",$B208&lt;&gt;"",$C208&lt;&gt;"",$D208&lt;&gt;"",$E208&lt;&gt;""),IF(AND($B208="s",OR($C208="SER",$C208="PLH")),"Case MAX Planck Plate "&amp;(INT(((COUNTIFS($B$2:$B208,"s",$C$2:$C208,"SER")+COUNTIFS($B$2:$B208,"s",$C$2:$C208,"PLH"))-1)/96)+1)&amp;": "&amp;CHAR(65+INT(MOD((COUNTIFS($B$2:$B208,"s",$C$2:$C208,"SER")+COUNTIFS($B$2:$B208,"s",$C$2:$C208,"PLH"))-1,96)/12))&amp;(MOD((COUNTIFS($B$2:$B208,"s",$C$2:$C208,"SER")+COUNTIFS($B$2:$B208,"s",$C$2:$C208,"PLH"))-1,12)+1),"N/A"),"")</f>
        <v/>
      </c>
      <c r="K208" s="6" t="str">
        <f>IF(AND($A208&lt;&gt;"",$B208&lt;&gt;"",$C208&lt;&gt;"",$D208&lt;&gt;"",$E208&lt;&gt;""),IF($C208="WB","Case WB Box "&amp;(INT((COUNTIFS($C$2:$C208,"WB")-1)/81)+1)&amp;": "&amp;CHAR(65+INT(MOD(COUNTIFS($C$2:$C208,"WB")-1,81)/9))&amp;(MOD(COUNTIFS($C$2:$C208,"WB")-1,9)+1),"N/A"),"")</f>
        <v/>
      </c>
      <c r="L208" s="2" t="str">
        <f t="shared" si="55"/>
        <v/>
      </c>
      <c r="M208" s="2"/>
      <c r="N208" s="2"/>
      <c r="O208" s="2"/>
      <c r="P208" s="7" t="str">
        <f t="shared" si="56"/>
        <v/>
      </c>
      <c r="Q208" s="7" t="str">
        <f t="shared" si="57"/>
        <v/>
      </c>
      <c r="R208" s="7" t="str">
        <f t="shared" si="58"/>
        <v/>
      </c>
      <c r="S208" s="7" t="str">
        <f t="shared" si="59"/>
        <v/>
      </c>
      <c r="T208" s="7" t="str">
        <f t="shared" si="60"/>
        <v/>
      </c>
      <c r="U208" s="7" t="str">
        <f t="shared" si="61"/>
        <v/>
      </c>
      <c r="V208" s="7" t="str">
        <f t="shared" si="62"/>
        <v/>
      </c>
      <c r="W208" s="7" t="str">
        <f t="shared" si="63"/>
        <v/>
      </c>
      <c r="X208" s="7" t="str">
        <f t="shared" si="64"/>
        <v/>
      </c>
      <c r="Y208" s="7" t="str">
        <f t="shared" si="65"/>
        <v/>
      </c>
      <c r="Z208">
        <f t="shared" si="66"/>
        <v>0</v>
      </c>
      <c r="AA208" t="str">
        <f t="shared" si="67"/>
        <v/>
      </c>
      <c r="AB208" t="str">
        <f t="shared" si="68"/>
        <v/>
      </c>
      <c r="AC208" t="str">
        <f t="shared" si="69"/>
        <v/>
      </c>
      <c r="AD208" t="str">
        <f t="shared" si="70"/>
        <v/>
      </c>
      <c r="AE208">
        <f t="shared" si="71"/>
        <v>0</v>
      </c>
    </row>
    <row r="209" spans="1:31" ht="15" customHeight="1" x14ac:dyDescent="0.35">
      <c r="A209" s="2"/>
      <c r="B209" s="3"/>
      <c r="C209" s="3"/>
      <c r="D209" s="4"/>
      <c r="E209" s="5"/>
      <c r="F209" s="11" t="str">
        <f t="shared" ca="1" si="54"/>
        <v/>
      </c>
      <c r="G209" s="5"/>
      <c r="H209" s="6" t="str">
        <f>IF(AND($A209&lt;&gt;"",$B209&lt;&gt;"",$C209&lt;&gt;"",$D209&lt;&gt;"",$E209&lt;&gt;""),IF(AND($B209="s",OR($C209="SER",$C209="PLH",$C209="CSF")),"Case CDI Plate "&amp;(INT(((COUNTIFS($B$2:$B209,"s",$C$2:$C209,"SER")+COUNTIFS($B$2:$B209,"s",$C$2:$C209,"PLH")+COUNTIFS($B$2:$B209,"s",$C$2:$C209,"CSF"))-1)/96)+1)&amp;": "&amp;CHAR(65+INT(MOD((COUNTIFS($B$2:$B209,"s",$C$2:$C209,"SER")+COUNTIFS($B$2:$B209,"s",$C$2:$C209,"PLH")+COUNTIFS($B$2:$B209,"s",$C$2:$C209,"CSF"))-1,96)/12))&amp;(MOD((COUNTIFS($B$2:$B209,"s",$C$2:$C209,"SER")+COUNTIFS($B$2:$B209,"s",$C$2:$C209,"PLH")+COUNTIFS($B$2:$B209,"s",$C$2:$C209,"CSF"))-1,12)+1),"N/A"),"")</f>
        <v/>
      </c>
      <c r="I209" s="6" t="str">
        <f>IF(AND($A209&lt;&gt;"",$B209&lt;&gt;"",$C209&lt;&gt;"",$D209&lt;&gt;"",$E209&lt;&gt;""),IF(AND($B209="s",OR($C209="SER",$C209="PLH",$C209="CSF")),"Case NIH Plate "&amp;(INT(((COUNTIFS($B$2:$B209,"s",$C$2:$C209,"SER")+COUNTIFS($B$2:$B209,"s",$C$2:$C209,"PLH")+COUNTIFS($B$2:$B209,"s",$C$2:$C209,"CSF"))-1)/96)+1)&amp;": "&amp;CHAR(65+INT(MOD((COUNTIFS($B$2:$B209,"s",$C$2:$C209,"SER")+COUNTIFS($B$2:$B209,"s",$C$2:$C209,"PLH")+COUNTIFS($B$2:$B209,"s",$C$2:$C209,"CSF"))-1,96)/12))&amp;(MOD((COUNTIFS($B$2:$B209,"s",$C$2:$C209,"SER")+COUNTIFS($B$2:$B209,"s",$C$2:$C209,"PLH")+COUNTIFS($B$2:$B209,"s",$C$2:$C209,"CSF"))-1,12)+1),"N/A"),"")</f>
        <v/>
      </c>
      <c r="J209" s="6" t="str">
        <f>IF(AND($A209&lt;&gt;"",$B209&lt;&gt;"",$C209&lt;&gt;"",$D209&lt;&gt;"",$E209&lt;&gt;""),IF(AND($B209="s",OR($C209="SER",$C209="PLH")),"Case MAX Planck Plate "&amp;(INT(((COUNTIFS($B$2:$B209,"s",$C$2:$C209,"SER")+COUNTIFS($B$2:$B209,"s",$C$2:$C209,"PLH"))-1)/96)+1)&amp;": "&amp;CHAR(65+INT(MOD((COUNTIFS($B$2:$B209,"s",$C$2:$C209,"SER")+COUNTIFS($B$2:$B209,"s",$C$2:$C209,"PLH"))-1,96)/12))&amp;(MOD((COUNTIFS($B$2:$B209,"s",$C$2:$C209,"SER")+COUNTIFS($B$2:$B209,"s",$C$2:$C209,"PLH"))-1,12)+1),"N/A"),"")</f>
        <v/>
      </c>
      <c r="K209" s="6" t="str">
        <f>IF(AND($A209&lt;&gt;"",$B209&lt;&gt;"",$C209&lt;&gt;"",$D209&lt;&gt;"",$E209&lt;&gt;""),IF($C209="WB","Case WB Box "&amp;(INT((COUNTIFS($C$2:$C209,"WB")-1)/81)+1)&amp;": "&amp;CHAR(65+INT(MOD(COUNTIFS($C$2:$C209,"WB")-1,81)/9))&amp;(MOD(COUNTIFS($C$2:$C209,"WB")-1,9)+1),"N/A"),"")</f>
        <v/>
      </c>
      <c r="L209" s="2" t="str">
        <f t="shared" si="55"/>
        <v/>
      </c>
      <c r="M209" s="2"/>
      <c r="N209" s="2"/>
      <c r="O209" s="2"/>
      <c r="P209" s="7" t="str">
        <f t="shared" si="56"/>
        <v/>
      </c>
      <c r="Q209" s="7" t="str">
        <f t="shared" si="57"/>
        <v/>
      </c>
      <c r="R209" s="7" t="str">
        <f t="shared" si="58"/>
        <v/>
      </c>
      <c r="S209" s="7" t="str">
        <f t="shared" si="59"/>
        <v/>
      </c>
      <c r="T209" s="7" t="str">
        <f t="shared" si="60"/>
        <v/>
      </c>
      <c r="U209" s="7" t="str">
        <f t="shared" si="61"/>
        <v/>
      </c>
      <c r="V209" s="7" t="str">
        <f t="shared" si="62"/>
        <v/>
      </c>
      <c r="W209" s="7" t="str">
        <f t="shared" si="63"/>
        <v/>
      </c>
      <c r="X209" s="7" t="str">
        <f t="shared" si="64"/>
        <v/>
      </c>
      <c r="Y209" s="7" t="str">
        <f t="shared" si="65"/>
        <v/>
      </c>
      <c r="Z209">
        <f t="shared" si="66"/>
        <v>0</v>
      </c>
      <c r="AA209" t="str">
        <f t="shared" si="67"/>
        <v/>
      </c>
      <c r="AB209" t="str">
        <f t="shared" si="68"/>
        <v/>
      </c>
      <c r="AC209" t="str">
        <f t="shared" si="69"/>
        <v/>
      </c>
      <c r="AD209" t="str">
        <f t="shared" si="70"/>
        <v/>
      </c>
      <c r="AE209">
        <f t="shared" si="71"/>
        <v>0</v>
      </c>
    </row>
    <row r="210" spans="1:31" ht="15" customHeight="1" x14ac:dyDescent="0.35">
      <c r="A210" s="2"/>
      <c r="B210" s="3"/>
      <c r="C210" s="3"/>
      <c r="D210" s="4"/>
      <c r="E210" s="5"/>
      <c r="F210" s="11" t="str">
        <f t="shared" ca="1" si="54"/>
        <v/>
      </c>
      <c r="G210" s="5"/>
      <c r="H210" s="6" t="str">
        <f>IF(AND($A210&lt;&gt;"",$B210&lt;&gt;"",$C210&lt;&gt;"",$D210&lt;&gt;"",$E210&lt;&gt;""),IF(AND($B210="s",OR($C210="SER",$C210="PLH",$C210="CSF")),"Case CDI Plate "&amp;(INT(((COUNTIFS($B$2:$B210,"s",$C$2:$C210,"SER")+COUNTIFS($B$2:$B210,"s",$C$2:$C210,"PLH")+COUNTIFS($B$2:$B210,"s",$C$2:$C210,"CSF"))-1)/96)+1)&amp;": "&amp;CHAR(65+INT(MOD((COUNTIFS($B$2:$B210,"s",$C$2:$C210,"SER")+COUNTIFS($B$2:$B210,"s",$C$2:$C210,"PLH")+COUNTIFS($B$2:$B210,"s",$C$2:$C210,"CSF"))-1,96)/12))&amp;(MOD((COUNTIFS($B$2:$B210,"s",$C$2:$C210,"SER")+COUNTIFS($B$2:$B210,"s",$C$2:$C210,"PLH")+COUNTIFS($B$2:$B210,"s",$C$2:$C210,"CSF"))-1,12)+1),"N/A"),"")</f>
        <v/>
      </c>
      <c r="I210" s="6" t="str">
        <f>IF(AND($A210&lt;&gt;"",$B210&lt;&gt;"",$C210&lt;&gt;"",$D210&lt;&gt;"",$E210&lt;&gt;""),IF(AND($B210="s",OR($C210="SER",$C210="PLH",$C210="CSF")),"Case NIH Plate "&amp;(INT(((COUNTIFS($B$2:$B210,"s",$C$2:$C210,"SER")+COUNTIFS($B$2:$B210,"s",$C$2:$C210,"PLH")+COUNTIFS($B$2:$B210,"s",$C$2:$C210,"CSF"))-1)/96)+1)&amp;": "&amp;CHAR(65+INT(MOD((COUNTIFS($B$2:$B210,"s",$C$2:$C210,"SER")+COUNTIFS($B$2:$B210,"s",$C$2:$C210,"PLH")+COUNTIFS($B$2:$B210,"s",$C$2:$C210,"CSF"))-1,96)/12))&amp;(MOD((COUNTIFS($B$2:$B210,"s",$C$2:$C210,"SER")+COUNTIFS($B$2:$B210,"s",$C$2:$C210,"PLH")+COUNTIFS($B$2:$B210,"s",$C$2:$C210,"CSF"))-1,12)+1),"N/A"),"")</f>
        <v/>
      </c>
      <c r="J210" s="6" t="str">
        <f>IF(AND($A210&lt;&gt;"",$B210&lt;&gt;"",$C210&lt;&gt;"",$D210&lt;&gt;"",$E210&lt;&gt;""),IF(AND($B210="s",OR($C210="SER",$C210="PLH")),"Case MAX Planck Plate "&amp;(INT(((COUNTIFS($B$2:$B210,"s",$C$2:$C210,"SER")+COUNTIFS($B$2:$B210,"s",$C$2:$C210,"PLH"))-1)/96)+1)&amp;": "&amp;CHAR(65+INT(MOD((COUNTIFS($B$2:$B210,"s",$C$2:$C210,"SER")+COUNTIFS($B$2:$B210,"s",$C$2:$C210,"PLH"))-1,96)/12))&amp;(MOD((COUNTIFS($B$2:$B210,"s",$C$2:$C210,"SER")+COUNTIFS($B$2:$B210,"s",$C$2:$C210,"PLH"))-1,12)+1),"N/A"),"")</f>
        <v/>
      </c>
      <c r="K210" s="6" t="str">
        <f>IF(AND($A210&lt;&gt;"",$B210&lt;&gt;"",$C210&lt;&gt;"",$D210&lt;&gt;"",$E210&lt;&gt;""),IF($C210="WB","Case WB Box "&amp;(INT((COUNTIFS($C$2:$C210,"WB")-1)/81)+1)&amp;": "&amp;CHAR(65+INT(MOD(COUNTIFS($C$2:$C210,"WB")-1,81)/9))&amp;(MOD(COUNTIFS($C$2:$C210,"WB")-1,9)+1),"N/A"),"")</f>
        <v/>
      </c>
      <c r="L210" s="2" t="str">
        <f t="shared" si="55"/>
        <v/>
      </c>
      <c r="M210" s="2"/>
      <c r="N210" s="2"/>
      <c r="O210" s="2"/>
      <c r="P210" s="7" t="str">
        <f t="shared" si="56"/>
        <v/>
      </c>
      <c r="Q210" s="7" t="str">
        <f t="shared" si="57"/>
        <v/>
      </c>
      <c r="R210" s="7" t="str">
        <f t="shared" si="58"/>
        <v/>
      </c>
      <c r="S210" s="7" t="str">
        <f t="shared" si="59"/>
        <v/>
      </c>
      <c r="T210" s="7" t="str">
        <f t="shared" si="60"/>
        <v/>
      </c>
      <c r="U210" s="7" t="str">
        <f t="shared" si="61"/>
        <v/>
      </c>
      <c r="V210" s="7" t="str">
        <f t="shared" si="62"/>
        <v/>
      </c>
      <c r="W210" s="7" t="str">
        <f t="shared" si="63"/>
        <v/>
      </c>
      <c r="X210" s="7" t="str">
        <f t="shared" si="64"/>
        <v/>
      </c>
      <c r="Y210" s="7" t="str">
        <f t="shared" si="65"/>
        <v/>
      </c>
      <c r="Z210">
        <f t="shared" si="66"/>
        <v>0</v>
      </c>
      <c r="AA210" t="str">
        <f t="shared" si="67"/>
        <v/>
      </c>
      <c r="AB210" t="str">
        <f t="shared" si="68"/>
        <v/>
      </c>
      <c r="AC210" t="str">
        <f t="shared" si="69"/>
        <v/>
      </c>
      <c r="AD210" t="str">
        <f t="shared" si="70"/>
        <v/>
      </c>
      <c r="AE210">
        <f t="shared" si="71"/>
        <v>0</v>
      </c>
    </row>
    <row r="211" spans="1:31" ht="15" customHeight="1" x14ac:dyDescent="0.35">
      <c r="A211" s="2"/>
      <c r="B211" s="3"/>
      <c r="C211" s="3"/>
      <c r="D211" s="4"/>
      <c r="E211" s="5"/>
      <c r="F211" s="11" t="str">
        <f t="shared" ca="1" si="54"/>
        <v/>
      </c>
      <c r="G211" s="5"/>
      <c r="H211" s="6" t="str">
        <f>IF(AND($A211&lt;&gt;"",$B211&lt;&gt;"",$C211&lt;&gt;"",$D211&lt;&gt;"",$E211&lt;&gt;""),IF(AND($B211="s",OR($C211="SER",$C211="PLH",$C211="CSF")),"Case CDI Plate "&amp;(INT(((COUNTIFS($B$2:$B211,"s",$C$2:$C211,"SER")+COUNTIFS($B$2:$B211,"s",$C$2:$C211,"PLH")+COUNTIFS($B$2:$B211,"s",$C$2:$C211,"CSF"))-1)/96)+1)&amp;": "&amp;CHAR(65+INT(MOD((COUNTIFS($B$2:$B211,"s",$C$2:$C211,"SER")+COUNTIFS($B$2:$B211,"s",$C$2:$C211,"PLH")+COUNTIFS($B$2:$B211,"s",$C$2:$C211,"CSF"))-1,96)/12))&amp;(MOD((COUNTIFS($B$2:$B211,"s",$C$2:$C211,"SER")+COUNTIFS($B$2:$B211,"s",$C$2:$C211,"PLH")+COUNTIFS($B$2:$B211,"s",$C$2:$C211,"CSF"))-1,12)+1),"N/A"),"")</f>
        <v/>
      </c>
      <c r="I211" s="6" t="str">
        <f>IF(AND($A211&lt;&gt;"",$B211&lt;&gt;"",$C211&lt;&gt;"",$D211&lt;&gt;"",$E211&lt;&gt;""),IF(AND($B211="s",OR($C211="SER",$C211="PLH",$C211="CSF")),"Case NIH Plate "&amp;(INT(((COUNTIFS($B$2:$B211,"s",$C$2:$C211,"SER")+COUNTIFS($B$2:$B211,"s",$C$2:$C211,"PLH")+COUNTIFS($B$2:$B211,"s",$C$2:$C211,"CSF"))-1)/96)+1)&amp;": "&amp;CHAR(65+INT(MOD((COUNTIFS($B$2:$B211,"s",$C$2:$C211,"SER")+COUNTIFS($B$2:$B211,"s",$C$2:$C211,"PLH")+COUNTIFS($B$2:$B211,"s",$C$2:$C211,"CSF"))-1,96)/12))&amp;(MOD((COUNTIFS($B$2:$B211,"s",$C$2:$C211,"SER")+COUNTIFS($B$2:$B211,"s",$C$2:$C211,"PLH")+COUNTIFS($B$2:$B211,"s",$C$2:$C211,"CSF"))-1,12)+1),"N/A"),"")</f>
        <v/>
      </c>
      <c r="J211" s="6" t="str">
        <f>IF(AND($A211&lt;&gt;"",$B211&lt;&gt;"",$C211&lt;&gt;"",$D211&lt;&gt;"",$E211&lt;&gt;""),IF(AND($B211="s",OR($C211="SER",$C211="PLH")),"Case MAX Planck Plate "&amp;(INT(((COUNTIFS($B$2:$B211,"s",$C$2:$C211,"SER")+COUNTIFS($B$2:$B211,"s",$C$2:$C211,"PLH"))-1)/96)+1)&amp;": "&amp;CHAR(65+INT(MOD((COUNTIFS($B$2:$B211,"s",$C$2:$C211,"SER")+COUNTIFS($B$2:$B211,"s",$C$2:$C211,"PLH"))-1,96)/12))&amp;(MOD((COUNTIFS($B$2:$B211,"s",$C$2:$C211,"SER")+COUNTIFS($B$2:$B211,"s",$C$2:$C211,"PLH"))-1,12)+1),"N/A"),"")</f>
        <v/>
      </c>
      <c r="K211" s="6" t="str">
        <f>IF(AND($A211&lt;&gt;"",$B211&lt;&gt;"",$C211&lt;&gt;"",$D211&lt;&gt;"",$E211&lt;&gt;""),IF($C211="WB","Case WB Box "&amp;(INT((COUNTIFS($C$2:$C211,"WB")-1)/81)+1)&amp;": "&amp;CHAR(65+INT(MOD(COUNTIFS($C$2:$C211,"WB")-1,81)/9))&amp;(MOD(COUNTIFS($C$2:$C211,"WB")-1,9)+1),"N/A"),"")</f>
        <v/>
      </c>
      <c r="L211" s="2" t="str">
        <f t="shared" si="55"/>
        <v/>
      </c>
      <c r="M211" s="2"/>
      <c r="N211" s="2"/>
      <c r="O211" s="2"/>
      <c r="P211" s="7" t="str">
        <f t="shared" si="56"/>
        <v/>
      </c>
      <c r="Q211" s="7" t="str">
        <f t="shared" si="57"/>
        <v/>
      </c>
      <c r="R211" s="7" t="str">
        <f t="shared" si="58"/>
        <v/>
      </c>
      <c r="S211" s="7" t="str">
        <f t="shared" si="59"/>
        <v/>
      </c>
      <c r="T211" s="7" t="str">
        <f t="shared" si="60"/>
        <v/>
      </c>
      <c r="U211" s="7" t="str">
        <f t="shared" si="61"/>
        <v/>
      </c>
      <c r="V211" s="7" t="str">
        <f t="shared" si="62"/>
        <v/>
      </c>
      <c r="W211" s="7" t="str">
        <f t="shared" si="63"/>
        <v/>
      </c>
      <c r="X211" s="7" t="str">
        <f t="shared" si="64"/>
        <v/>
      </c>
      <c r="Y211" s="7" t="str">
        <f t="shared" si="65"/>
        <v/>
      </c>
      <c r="Z211">
        <f t="shared" si="66"/>
        <v>0</v>
      </c>
      <c r="AA211" t="str">
        <f t="shared" si="67"/>
        <v/>
      </c>
      <c r="AB211" t="str">
        <f t="shared" si="68"/>
        <v/>
      </c>
      <c r="AC211" t="str">
        <f t="shared" si="69"/>
        <v/>
      </c>
      <c r="AD211" t="str">
        <f t="shared" si="70"/>
        <v/>
      </c>
      <c r="AE211">
        <f t="shared" si="71"/>
        <v>0</v>
      </c>
    </row>
    <row r="212" spans="1:31" ht="15" customHeight="1" x14ac:dyDescent="0.35">
      <c r="A212" s="2"/>
      <c r="B212" s="3"/>
      <c r="C212" s="3"/>
      <c r="D212" s="4"/>
      <c r="E212" s="5"/>
      <c r="F212" s="11" t="str">
        <f t="shared" ca="1" si="54"/>
        <v/>
      </c>
      <c r="G212" s="5"/>
      <c r="H212" s="6" t="str">
        <f>IF(AND($A212&lt;&gt;"",$B212&lt;&gt;"",$C212&lt;&gt;"",$D212&lt;&gt;"",$E212&lt;&gt;""),IF(AND($B212="s",OR($C212="SER",$C212="PLH",$C212="CSF")),"Case CDI Plate "&amp;(INT(((COUNTIFS($B$2:$B212,"s",$C$2:$C212,"SER")+COUNTIFS($B$2:$B212,"s",$C$2:$C212,"PLH")+COUNTIFS($B$2:$B212,"s",$C$2:$C212,"CSF"))-1)/96)+1)&amp;": "&amp;CHAR(65+INT(MOD((COUNTIFS($B$2:$B212,"s",$C$2:$C212,"SER")+COUNTIFS($B$2:$B212,"s",$C$2:$C212,"PLH")+COUNTIFS($B$2:$B212,"s",$C$2:$C212,"CSF"))-1,96)/12))&amp;(MOD((COUNTIFS($B$2:$B212,"s",$C$2:$C212,"SER")+COUNTIFS($B$2:$B212,"s",$C$2:$C212,"PLH")+COUNTIFS($B$2:$B212,"s",$C$2:$C212,"CSF"))-1,12)+1),"N/A"),"")</f>
        <v/>
      </c>
      <c r="I212" s="6" t="str">
        <f>IF(AND($A212&lt;&gt;"",$B212&lt;&gt;"",$C212&lt;&gt;"",$D212&lt;&gt;"",$E212&lt;&gt;""),IF(AND($B212="s",OR($C212="SER",$C212="PLH",$C212="CSF")),"Case NIH Plate "&amp;(INT(((COUNTIFS($B$2:$B212,"s",$C$2:$C212,"SER")+COUNTIFS($B$2:$B212,"s",$C$2:$C212,"PLH")+COUNTIFS($B$2:$B212,"s",$C$2:$C212,"CSF"))-1)/96)+1)&amp;": "&amp;CHAR(65+INT(MOD((COUNTIFS($B$2:$B212,"s",$C$2:$C212,"SER")+COUNTIFS($B$2:$B212,"s",$C$2:$C212,"PLH")+COUNTIFS($B$2:$B212,"s",$C$2:$C212,"CSF"))-1,96)/12))&amp;(MOD((COUNTIFS($B$2:$B212,"s",$C$2:$C212,"SER")+COUNTIFS($B$2:$B212,"s",$C$2:$C212,"PLH")+COUNTIFS($B$2:$B212,"s",$C$2:$C212,"CSF"))-1,12)+1),"N/A"),"")</f>
        <v/>
      </c>
      <c r="J212" s="6" t="str">
        <f>IF(AND($A212&lt;&gt;"",$B212&lt;&gt;"",$C212&lt;&gt;"",$D212&lt;&gt;"",$E212&lt;&gt;""),IF(AND($B212="s",OR($C212="SER",$C212="PLH")),"Case MAX Planck Plate "&amp;(INT(((COUNTIFS($B$2:$B212,"s",$C$2:$C212,"SER")+COUNTIFS($B$2:$B212,"s",$C$2:$C212,"PLH"))-1)/96)+1)&amp;": "&amp;CHAR(65+INT(MOD((COUNTIFS($B$2:$B212,"s",$C$2:$C212,"SER")+COUNTIFS($B$2:$B212,"s",$C$2:$C212,"PLH"))-1,96)/12))&amp;(MOD((COUNTIFS($B$2:$B212,"s",$C$2:$C212,"SER")+COUNTIFS($B$2:$B212,"s",$C$2:$C212,"PLH"))-1,12)+1),"N/A"),"")</f>
        <v/>
      </c>
      <c r="K212" s="6" t="str">
        <f>IF(AND($A212&lt;&gt;"",$B212&lt;&gt;"",$C212&lt;&gt;"",$D212&lt;&gt;"",$E212&lt;&gt;""),IF($C212="WB","Case WB Box "&amp;(INT((COUNTIFS($C$2:$C212,"WB")-1)/81)+1)&amp;": "&amp;CHAR(65+INT(MOD(COUNTIFS($C$2:$C212,"WB")-1,81)/9))&amp;(MOD(COUNTIFS($C$2:$C212,"WB")-1,9)+1),"N/A"),"")</f>
        <v/>
      </c>
      <c r="L212" s="2" t="str">
        <f t="shared" si="55"/>
        <v/>
      </c>
      <c r="M212" s="2"/>
      <c r="N212" s="2"/>
      <c r="O212" s="2"/>
      <c r="P212" s="7" t="str">
        <f t="shared" si="56"/>
        <v/>
      </c>
      <c r="Q212" s="7" t="str">
        <f t="shared" si="57"/>
        <v/>
      </c>
      <c r="R212" s="7" t="str">
        <f t="shared" si="58"/>
        <v/>
      </c>
      <c r="S212" s="7" t="str">
        <f t="shared" si="59"/>
        <v/>
      </c>
      <c r="T212" s="7" t="str">
        <f t="shared" si="60"/>
        <v/>
      </c>
      <c r="U212" s="7" t="str">
        <f t="shared" si="61"/>
        <v/>
      </c>
      <c r="V212" s="7" t="str">
        <f t="shared" si="62"/>
        <v/>
      </c>
      <c r="W212" s="7" t="str">
        <f t="shared" si="63"/>
        <v/>
      </c>
      <c r="X212" s="7" t="str">
        <f t="shared" si="64"/>
        <v/>
      </c>
      <c r="Y212" s="7" t="str">
        <f t="shared" si="65"/>
        <v/>
      </c>
      <c r="Z212">
        <f t="shared" si="66"/>
        <v>0</v>
      </c>
      <c r="AA212" t="str">
        <f t="shared" si="67"/>
        <v/>
      </c>
      <c r="AB212" t="str">
        <f t="shared" si="68"/>
        <v/>
      </c>
      <c r="AC212" t="str">
        <f t="shared" si="69"/>
        <v/>
      </c>
      <c r="AD212" t="str">
        <f t="shared" si="70"/>
        <v/>
      </c>
      <c r="AE212">
        <f t="shared" si="71"/>
        <v>0</v>
      </c>
    </row>
    <row r="213" spans="1:31" ht="15" customHeight="1" x14ac:dyDescent="0.35">
      <c r="A213" s="2"/>
      <c r="B213" s="3"/>
      <c r="C213" s="3"/>
      <c r="D213" s="4"/>
      <c r="E213" s="5"/>
      <c r="F213" s="11" t="str">
        <f t="shared" ca="1" si="54"/>
        <v/>
      </c>
      <c r="G213" s="5"/>
      <c r="H213" s="6" t="str">
        <f>IF(AND($A213&lt;&gt;"",$B213&lt;&gt;"",$C213&lt;&gt;"",$D213&lt;&gt;"",$E213&lt;&gt;""),IF(AND($B213="s",OR($C213="SER",$C213="PLH",$C213="CSF")),"Case CDI Plate "&amp;(INT(((COUNTIFS($B$2:$B213,"s",$C$2:$C213,"SER")+COUNTIFS($B$2:$B213,"s",$C$2:$C213,"PLH")+COUNTIFS($B$2:$B213,"s",$C$2:$C213,"CSF"))-1)/96)+1)&amp;": "&amp;CHAR(65+INT(MOD((COUNTIFS($B$2:$B213,"s",$C$2:$C213,"SER")+COUNTIFS($B$2:$B213,"s",$C$2:$C213,"PLH")+COUNTIFS($B$2:$B213,"s",$C$2:$C213,"CSF"))-1,96)/12))&amp;(MOD((COUNTIFS($B$2:$B213,"s",$C$2:$C213,"SER")+COUNTIFS($B$2:$B213,"s",$C$2:$C213,"PLH")+COUNTIFS($B$2:$B213,"s",$C$2:$C213,"CSF"))-1,12)+1),"N/A"),"")</f>
        <v/>
      </c>
      <c r="I213" s="6" t="str">
        <f>IF(AND($A213&lt;&gt;"",$B213&lt;&gt;"",$C213&lt;&gt;"",$D213&lt;&gt;"",$E213&lt;&gt;""),IF(AND($B213="s",OR($C213="SER",$C213="PLH",$C213="CSF")),"Case NIH Plate "&amp;(INT(((COUNTIFS($B$2:$B213,"s",$C$2:$C213,"SER")+COUNTIFS($B$2:$B213,"s",$C$2:$C213,"PLH")+COUNTIFS($B$2:$B213,"s",$C$2:$C213,"CSF"))-1)/96)+1)&amp;": "&amp;CHAR(65+INT(MOD((COUNTIFS($B$2:$B213,"s",$C$2:$C213,"SER")+COUNTIFS($B$2:$B213,"s",$C$2:$C213,"PLH")+COUNTIFS($B$2:$B213,"s",$C$2:$C213,"CSF"))-1,96)/12))&amp;(MOD((COUNTIFS($B$2:$B213,"s",$C$2:$C213,"SER")+COUNTIFS($B$2:$B213,"s",$C$2:$C213,"PLH")+COUNTIFS($B$2:$B213,"s",$C$2:$C213,"CSF"))-1,12)+1),"N/A"),"")</f>
        <v/>
      </c>
      <c r="J213" s="6" t="str">
        <f>IF(AND($A213&lt;&gt;"",$B213&lt;&gt;"",$C213&lt;&gt;"",$D213&lt;&gt;"",$E213&lt;&gt;""),IF(AND($B213="s",OR($C213="SER",$C213="PLH")),"Case MAX Planck Plate "&amp;(INT(((COUNTIFS($B$2:$B213,"s",$C$2:$C213,"SER")+COUNTIFS($B$2:$B213,"s",$C$2:$C213,"PLH"))-1)/96)+1)&amp;": "&amp;CHAR(65+INT(MOD((COUNTIFS($B$2:$B213,"s",$C$2:$C213,"SER")+COUNTIFS($B$2:$B213,"s",$C$2:$C213,"PLH"))-1,96)/12))&amp;(MOD((COUNTIFS($B$2:$B213,"s",$C$2:$C213,"SER")+COUNTIFS($B$2:$B213,"s",$C$2:$C213,"PLH"))-1,12)+1),"N/A"),"")</f>
        <v/>
      </c>
      <c r="K213" s="6" t="str">
        <f>IF(AND($A213&lt;&gt;"",$B213&lt;&gt;"",$C213&lt;&gt;"",$D213&lt;&gt;"",$E213&lt;&gt;""),IF($C213="WB","Case WB Box "&amp;(INT((COUNTIFS($C$2:$C213,"WB")-1)/81)+1)&amp;": "&amp;CHAR(65+INT(MOD(COUNTIFS($C$2:$C213,"WB")-1,81)/9))&amp;(MOD(COUNTIFS($C$2:$C213,"WB")-1,9)+1),"N/A"),"")</f>
        <v/>
      </c>
      <c r="L213" s="2" t="str">
        <f t="shared" si="55"/>
        <v/>
      </c>
      <c r="M213" s="2"/>
      <c r="N213" s="2"/>
      <c r="O213" s="2"/>
      <c r="P213" s="7" t="str">
        <f t="shared" si="56"/>
        <v/>
      </c>
      <c r="Q213" s="7" t="str">
        <f t="shared" si="57"/>
        <v/>
      </c>
      <c r="R213" s="7" t="str">
        <f t="shared" si="58"/>
        <v/>
      </c>
      <c r="S213" s="7" t="str">
        <f t="shared" si="59"/>
        <v/>
      </c>
      <c r="T213" s="7" t="str">
        <f t="shared" si="60"/>
        <v/>
      </c>
      <c r="U213" s="7" t="str">
        <f t="shared" si="61"/>
        <v/>
      </c>
      <c r="V213" s="7" t="str">
        <f t="shared" si="62"/>
        <v/>
      </c>
      <c r="W213" s="7" t="str">
        <f t="shared" si="63"/>
        <v/>
      </c>
      <c r="X213" s="7" t="str">
        <f t="shared" si="64"/>
        <v/>
      </c>
      <c r="Y213" s="7" t="str">
        <f t="shared" si="65"/>
        <v/>
      </c>
      <c r="Z213">
        <f t="shared" si="66"/>
        <v>0</v>
      </c>
      <c r="AA213" t="str">
        <f t="shared" si="67"/>
        <v/>
      </c>
      <c r="AB213" t="str">
        <f t="shared" si="68"/>
        <v/>
      </c>
      <c r="AC213" t="str">
        <f t="shared" si="69"/>
        <v/>
      </c>
      <c r="AD213" t="str">
        <f t="shared" si="70"/>
        <v/>
      </c>
      <c r="AE213">
        <f t="shared" si="71"/>
        <v>0</v>
      </c>
    </row>
    <row r="214" spans="1:31" ht="15" customHeight="1" x14ac:dyDescent="0.35">
      <c r="A214" s="2"/>
      <c r="B214" s="3"/>
      <c r="C214" s="3"/>
      <c r="D214" s="4"/>
      <c r="E214" s="5"/>
      <c r="F214" s="11" t="str">
        <f t="shared" ca="1" si="54"/>
        <v/>
      </c>
      <c r="G214" s="5"/>
      <c r="H214" s="6" t="str">
        <f>IF(AND($A214&lt;&gt;"",$B214&lt;&gt;"",$C214&lt;&gt;"",$D214&lt;&gt;"",$E214&lt;&gt;""),IF(AND($B214="s",OR($C214="SER",$C214="PLH",$C214="CSF")),"Case CDI Plate "&amp;(INT(((COUNTIFS($B$2:$B214,"s",$C$2:$C214,"SER")+COUNTIFS($B$2:$B214,"s",$C$2:$C214,"PLH")+COUNTIFS($B$2:$B214,"s",$C$2:$C214,"CSF"))-1)/96)+1)&amp;": "&amp;CHAR(65+INT(MOD((COUNTIFS($B$2:$B214,"s",$C$2:$C214,"SER")+COUNTIFS($B$2:$B214,"s",$C$2:$C214,"PLH")+COUNTIFS($B$2:$B214,"s",$C$2:$C214,"CSF"))-1,96)/12))&amp;(MOD((COUNTIFS($B$2:$B214,"s",$C$2:$C214,"SER")+COUNTIFS($B$2:$B214,"s",$C$2:$C214,"PLH")+COUNTIFS($B$2:$B214,"s",$C$2:$C214,"CSF"))-1,12)+1),"N/A"),"")</f>
        <v/>
      </c>
      <c r="I214" s="6" t="str">
        <f>IF(AND($A214&lt;&gt;"",$B214&lt;&gt;"",$C214&lt;&gt;"",$D214&lt;&gt;"",$E214&lt;&gt;""),IF(AND($B214="s",OR($C214="SER",$C214="PLH",$C214="CSF")),"Case NIH Plate "&amp;(INT(((COUNTIFS($B$2:$B214,"s",$C$2:$C214,"SER")+COUNTIFS($B$2:$B214,"s",$C$2:$C214,"PLH")+COUNTIFS($B$2:$B214,"s",$C$2:$C214,"CSF"))-1)/96)+1)&amp;": "&amp;CHAR(65+INT(MOD((COUNTIFS($B$2:$B214,"s",$C$2:$C214,"SER")+COUNTIFS($B$2:$B214,"s",$C$2:$C214,"PLH")+COUNTIFS($B$2:$B214,"s",$C$2:$C214,"CSF"))-1,96)/12))&amp;(MOD((COUNTIFS($B$2:$B214,"s",$C$2:$C214,"SER")+COUNTIFS($B$2:$B214,"s",$C$2:$C214,"PLH")+COUNTIFS($B$2:$B214,"s",$C$2:$C214,"CSF"))-1,12)+1),"N/A"),"")</f>
        <v/>
      </c>
      <c r="J214" s="6" t="str">
        <f>IF(AND($A214&lt;&gt;"",$B214&lt;&gt;"",$C214&lt;&gt;"",$D214&lt;&gt;"",$E214&lt;&gt;""),IF(AND($B214="s",OR($C214="SER",$C214="PLH")),"Case MAX Planck Plate "&amp;(INT(((COUNTIFS($B$2:$B214,"s",$C$2:$C214,"SER")+COUNTIFS($B$2:$B214,"s",$C$2:$C214,"PLH"))-1)/96)+1)&amp;": "&amp;CHAR(65+INT(MOD((COUNTIFS($B$2:$B214,"s",$C$2:$C214,"SER")+COUNTIFS($B$2:$B214,"s",$C$2:$C214,"PLH"))-1,96)/12))&amp;(MOD((COUNTIFS($B$2:$B214,"s",$C$2:$C214,"SER")+COUNTIFS($B$2:$B214,"s",$C$2:$C214,"PLH"))-1,12)+1),"N/A"),"")</f>
        <v/>
      </c>
      <c r="K214" s="6" t="str">
        <f>IF(AND($A214&lt;&gt;"",$B214&lt;&gt;"",$C214&lt;&gt;"",$D214&lt;&gt;"",$E214&lt;&gt;""),IF($C214="WB","Case WB Box "&amp;(INT((COUNTIFS($C$2:$C214,"WB")-1)/81)+1)&amp;": "&amp;CHAR(65+INT(MOD(COUNTIFS($C$2:$C214,"WB")-1,81)/9))&amp;(MOD(COUNTIFS($C$2:$C214,"WB")-1,9)+1),"N/A"),"")</f>
        <v/>
      </c>
      <c r="L214" s="2" t="str">
        <f t="shared" si="55"/>
        <v/>
      </c>
      <c r="M214" s="2"/>
      <c r="N214" s="2"/>
      <c r="O214" s="2"/>
      <c r="P214" s="7" t="str">
        <f t="shared" si="56"/>
        <v/>
      </c>
      <c r="Q214" s="7" t="str">
        <f t="shared" si="57"/>
        <v/>
      </c>
      <c r="R214" s="7" t="str">
        <f t="shared" si="58"/>
        <v/>
      </c>
      <c r="S214" s="7" t="str">
        <f t="shared" si="59"/>
        <v/>
      </c>
      <c r="T214" s="7" t="str">
        <f t="shared" si="60"/>
        <v/>
      </c>
      <c r="U214" s="7" t="str">
        <f t="shared" si="61"/>
        <v/>
      </c>
      <c r="V214" s="7" t="str">
        <f t="shared" si="62"/>
        <v/>
      </c>
      <c r="W214" s="7" t="str">
        <f t="shared" si="63"/>
        <v/>
      </c>
      <c r="X214" s="7" t="str">
        <f t="shared" si="64"/>
        <v/>
      </c>
      <c r="Y214" s="7" t="str">
        <f t="shared" si="65"/>
        <v/>
      </c>
      <c r="Z214">
        <f t="shared" si="66"/>
        <v>0</v>
      </c>
      <c r="AA214" t="str">
        <f t="shared" si="67"/>
        <v/>
      </c>
      <c r="AB214" t="str">
        <f t="shared" si="68"/>
        <v/>
      </c>
      <c r="AC214" t="str">
        <f t="shared" si="69"/>
        <v/>
      </c>
      <c r="AD214" t="str">
        <f t="shared" si="70"/>
        <v/>
      </c>
      <c r="AE214">
        <f t="shared" si="71"/>
        <v>0</v>
      </c>
    </row>
    <row r="215" spans="1:31" ht="15" customHeight="1" x14ac:dyDescent="0.35">
      <c r="A215" s="2"/>
      <c r="B215" s="3"/>
      <c r="C215" s="3"/>
      <c r="D215" s="4"/>
      <c r="E215" s="5"/>
      <c r="F215" s="11" t="str">
        <f t="shared" ca="1" si="54"/>
        <v/>
      </c>
      <c r="G215" s="5"/>
      <c r="H215" s="6" t="str">
        <f>IF(AND($A215&lt;&gt;"",$B215&lt;&gt;"",$C215&lt;&gt;"",$D215&lt;&gt;"",$E215&lt;&gt;""),IF(AND($B215="s",OR($C215="SER",$C215="PLH",$C215="CSF")),"Case CDI Plate "&amp;(INT(((COUNTIFS($B$2:$B215,"s",$C$2:$C215,"SER")+COUNTIFS($B$2:$B215,"s",$C$2:$C215,"PLH")+COUNTIFS($B$2:$B215,"s",$C$2:$C215,"CSF"))-1)/96)+1)&amp;": "&amp;CHAR(65+INT(MOD((COUNTIFS($B$2:$B215,"s",$C$2:$C215,"SER")+COUNTIFS($B$2:$B215,"s",$C$2:$C215,"PLH")+COUNTIFS($B$2:$B215,"s",$C$2:$C215,"CSF"))-1,96)/12))&amp;(MOD((COUNTIFS($B$2:$B215,"s",$C$2:$C215,"SER")+COUNTIFS($B$2:$B215,"s",$C$2:$C215,"PLH")+COUNTIFS($B$2:$B215,"s",$C$2:$C215,"CSF"))-1,12)+1),"N/A"),"")</f>
        <v/>
      </c>
      <c r="I215" s="6" t="str">
        <f>IF(AND($A215&lt;&gt;"",$B215&lt;&gt;"",$C215&lt;&gt;"",$D215&lt;&gt;"",$E215&lt;&gt;""),IF(AND($B215="s",OR($C215="SER",$C215="PLH",$C215="CSF")),"Case NIH Plate "&amp;(INT(((COUNTIFS($B$2:$B215,"s",$C$2:$C215,"SER")+COUNTIFS($B$2:$B215,"s",$C$2:$C215,"PLH")+COUNTIFS($B$2:$B215,"s",$C$2:$C215,"CSF"))-1)/96)+1)&amp;": "&amp;CHAR(65+INT(MOD((COUNTIFS($B$2:$B215,"s",$C$2:$C215,"SER")+COUNTIFS($B$2:$B215,"s",$C$2:$C215,"PLH")+COUNTIFS($B$2:$B215,"s",$C$2:$C215,"CSF"))-1,96)/12))&amp;(MOD((COUNTIFS($B$2:$B215,"s",$C$2:$C215,"SER")+COUNTIFS($B$2:$B215,"s",$C$2:$C215,"PLH")+COUNTIFS($B$2:$B215,"s",$C$2:$C215,"CSF"))-1,12)+1),"N/A"),"")</f>
        <v/>
      </c>
      <c r="J215" s="6" t="str">
        <f>IF(AND($A215&lt;&gt;"",$B215&lt;&gt;"",$C215&lt;&gt;"",$D215&lt;&gt;"",$E215&lt;&gt;""),IF(AND($B215="s",OR($C215="SER",$C215="PLH")),"Case MAX Planck Plate "&amp;(INT(((COUNTIFS($B$2:$B215,"s",$C$2:$C215,"SER")+COUNTIFS($B$2:$B215,"s",$C$2:$C215,"PLH"))-1)/96)+1)&amp;": "&amp;CHAR(65+INT(MOD((COUNTIFS($B$2:$B215,"s",$C$2:$C215,"SER")+COUNTIFS($B$2:$B215,"s",$C$2:$C215,"PLH"))-1,96)/12))&amp;(MOD((COUNTIFS($B$2:$B215,"s",$C$2:$C215,"SER")+COUNTIFS($B$2:$B215,"s",$C$2:$C215,"PLH"))-1,12)+1),"N/A"),"")</f>
        <v/>
      </c>
      <c r="K215" s="6" t="str">
        <f>IF(AND($A215&lt;&gt;"",$B215&lt;&gt;"",$C215&lt;&gt;"",$D215&lt;&gt;"",$E215&lt;&gt;""),IF($C215="WB","Case WB Box "&amp;(INT((COUNTIFS($C$2:$C215,"WB")-1)/81)+1)&amp;": "&amp;CHAR(65+INT(MOD(COUNTIFS($C$2:$C215,"WB")-1,81)/9))&amp;(MOD(COUNTIFS($C$2:$C215,"WB")-1,9)+1),"N/A"),"")</f>
        <v/>
      </c>
      <c r="L215" s="2" t="str">
        <f t="shared" si="55"/>
        <v/>
      </c>
      <c r="M215" s="2"/>
      <c r="N215" s="2"/>
      <c r="O215" s="2"/>
      <c r="P215" s="7" t="str">
        <f t="shared" si="56"/>
        <v/>
      </c>
      <c r="Q215" s="7" t="str">
        <f t="shared" si="57"/>
        <v/>
      </c>
      <c r="R215" s="7" t="str">
        <f t="shared" si="58"/>
        <v/>
      </c>
      <c r="S215" s="7" t="str">
        <f t="shared" si="59"/>
        <v/>
      </c>
      <c r="T215" s="7" t="str">
        <f t="shared" si="60"/>
        <v/>
      </c>
      <c r="U215" s="7" t="str">
        <f t="shared" si="61"/>
        <v/>
      </c>
      <c r="V215" s="7" t="str">
        <f t="shared" si="62"/>
        <v/>
      </c>
      <c r="W215" s="7" t="str">
        <f t="shared" si="63"/>
        <v/>
      </c>
      <c r="X215" s="7" t="str">
        <f t="shared" si="64"/>
        <v/>
      </c>
      <c r="Y215" s="7" t="str">
        <f t="shared" si="65"/>
        <v/>
      </c>
      <c r="Z215">
        <f t="shared" si="66"/>
        <v>0</v>
      </c>
      <c r="AA215" t="str">
        <f t="shared" si="67"/>
        <v/>
      </c>
      <c r="AB215" t="str">
        <f t="shared" si="68"/>
        <v/>
      </c>
      <c r="AC215" t="str">
        <f t="shared" si="69"/>
        <v/>
      </c>
      <c r="AD215" t="str">
        <f t="shared" si="70"/>
        <v/>
      </c>
      <c r="AE215">
        <f t="shared" si="71"/>
        <v>0</v>
      </c>
    </row>
    <row r="216" spans="1:31" ht="15" customHeight="1" x14ac:dyDescent="0.35">
      <c r="A216" s="2"/>
      <c r="B216" s="3"/>
      <c r="C216" s="3"/>
      <c r="D216" s="4"/>
      <c r="E216" s="5"/>
      <c r="F216" s="11" t="str">
        <f t="shared" ca="1" si="54"/>
        <v/>
      </c>
      <c r="G216" s="5"/>
      <c r="H216" s="6" t="str">
        <f>IF(AND($A216&lt;&gt;"",$B216&lt;&gt;"",$C216&lt;&gt;"",$D216&lt;&gt;"",$E216&lt;&gt;""),IF(AND($B216="s",OR($C216="SER",$C216="PLH",$C216="CSF")),"Case CDI Plate "&amp;(INT(((COUNTIFS($B$2:$B216,"s",$C$2:$C216,"SER")+COUNTIFS($B$2:$B216,"s",$C$2:$C216,"PLH")+COUNTIFS($B$2:$B216,"s",$C$2:$C216,"CSF"))-1)/96)+1)&amp;": "&amp;CHAR(65+INT(MOD((COUNTIFS($B$2:$B216,"s",$C$2:$C216,"SER")+COUNTIFS($B$2:$B216,"s",$C$2:$C216,"PLH")+COUNTIFS($B$2:$B216,"s",$C$2:$C216,"CSF"))-1,96)/12))&amp;(MOD((COUNTIFS($B$2:$B216,"s",$C$2:$C216,"SER")+COUNTIFS($B$2:$B216,"s",$C$2:$C216,"PLH")+COUNTIFS($B$2:$B216,"s",$C$2:$C216,"CSF"))-1,12)+1),"N/A"),"")</f>
        <v/>
      </c>
      <c r="I216" s="6" t="str">
        <f>IF(AND($A216&lt;&gt;"",$B216&lt;&gt;"",$C216&lt;&gt;"",$D216&lt;&gt;"",$E216&lt;&gt;""),IF(AND($B216="s",OR($C216="SER",$C216="PLH",$C216="CSF")),"Case NIH Plate "&amp;(INT(((COUNTIFS($B$2:$B216,"s",$C$2:$C216,"SER")+COUNTIFS($B$2:$B216,"s",$C$2:$C216,"PLH")+COUNTIFS($B$2:$B216,"s",$C$2:$C216,"CSF"))-1)/96)+1)&amp;": "&amp;CHAR(65+INT(MOD((COUNTIFS($B$2:$B216,"s",$C$2:$C216,"SER")+COUNTIFS($B$2:$B216,"s",$C$2:$C216,"PLH")+COUNTIFS($B$2:$B216,"s",$C$2:$C216,"CSF"))-1,96)/12))&amp;(MOD((COUNTIFS($B$2:$B216,"s",$C$2:$C216,"SER")+COUNTIFS($B$2:$B216,"s",$C$2:$C216,"PLH")+COUNTIFS($B$2:$B216,"s",$C$2:$C216,"CSF"))-1,12)+1),"N/A"),"")</f>
        <v/>
      </c>
      <c r="J216" s="6" t="str">
        <f>IF(AND($A216&lt;&gt;"",$B216&lt;&gt;"",$C216&lt;&gt;"",$D216&lt;&gt;"",$E216&lt;&gt;""),IF(AND($B216="s",OR($C216="SER",$C216="PLH")),"Case MAX Planck Plate "&amp;(INT(((COUNTIFS($B$2:$B216,"s",$C$2:$C216,"SER")+COUNTIFS($B$2:$B216,"s",$C$2:$C216,"PLH"))-1)/96)+1)&amp;": "&amp;CHAR(65+INT(MOD((COUNTIFS($B$2:$B216,"s",$C$2:$C216,"SER")+COUNTIFS($B$2:$B216,"s",$C$2:$C216,"PLH"))-1,96)/12))&amp;(MOD((COUNTIFS($B$2:$B216,"s",$C$2:$C216,"SER")+COUNTIFS($B$2:$B216,"s",$C$2:$C216,"PLH"))-1,12)+1),"N/A"),"")</f>
        <v/>
      </c>
      <c r="K216" s="6" t="str">
        <f>IF(AND($A216&lt;&gt;"",$B216&lt;&gt;"",$C216&lt;&gt;"",$D216&lt;&gt;"",$E216&lt;&gt;""),IF($C216="WB","Case WB Box "&amp;(INT((COUNTIFS($C$2:$C216,"WB")-1)/81)+1)&amp;": "&amp;CHAR(65+INT(MOD(COUNTIFS($C$2:$C216,"WB")-1,81)/9))&amp;(MOD(COUNTIFS($C$2:$C216,"WB")-1,9)+1),"N/A"),"")</f>
        <v/>
      </c>
      <c r="L216" s="2" t="str">
        <f t="shared" si="55"/>
        <v/>
      </c>
      <c r="M216" s="2"/>
      <c r="N216" s="2"/>
      <c r="O216" s="2"/>
      <c r="P216" s="7" t="str">
        <f t="shared" si="56"/>
        <v/>
      </c>
      <c r="Q216" s="7" t="str">
        <f t="shared" si="57"/>
        <v/>
      </c>
      <c r="R216" s="7" t="str">
        <f t="shared" si="58"/>
        <v/>
      </c>
      <c r="S216" s="7" t="str">
        <f t="shared" si="59"/>
        <v/>
      </c>
      <c r="T216" s="7" t="str">
        <f t="shared" si="60"/>
        <v/>
      </c>
      <c r="U216" s="7" t="str">
        <f t="shared" si="61"/>
        <v/>
      </c>
      <c r="V216" s="7" t="str">
        <f t="shared" si="62"/>
        <v/>
      </c>
      <c r="W216" s="7" t="str">
        <f t="shared" si="63"/>
        <v/>
      </c>
      <c r="X216" s="7" t="str">
        <f t="shared" si="64"/>
        <v/>
      </c>
      <c r="Y216" s="7" t="str">
        <f t="shared" si="65"/>
        <v/>
      </c>
      <c r="Z216">
        <f t="shared" si="66"/>
        <v>0</v>
      </c>
      <c r="AA216" t="str">
        <f t="shared" si="67"/>
        <v/>
      </c>
      <c r="AB216" t="str">
        <f t="shared" si="68"/>
        <v/>
      </c>
      <c r="AC216" t="str">
        <f t="shared" si="69"/>
        <v/>
      </c>
      <c r="AD216" t="str">
        <f t="shared" si="70"/>
        <v/>
      </c>
      <c r="AE216">
        <f t="shared" si="71"/>
        <v>0</v>
      </c>
    </row>
    <row r="217" spans="1:31" ht="15" customHeight="1" x14ac:dyDescent="0.35">
      <c r="A217" s="2"/>
      <c r="B217" s="3"/>
      <c r="C217" s="3"/>
      <c r="D217" s="4"/>
      <c r="E217" s="5"/>
      <c r="F217" s="11" t="str">
        <f t="shared" ca="1" si="54"/>
        <v/>
      </c>
      <c r="G217" s="5"/>
      <c r="H217" s="6" t="str">
        <f>IF(AND($A217&lt;&gt;"",$B217&lt;&gt;"",$C217&lt;&gt;"",$D217&lt;&gt;"",$E217&lt;&gt;""),IF(AND($B217="s",OR($C217="SER",$C217="PLH",$C217="CSF")),"Case CDI Plate "&amp;(INT(((COUNTIFS($B$2:$B217,"s",$C$2:$C217,"SER")+COUNTIFS($B$2:$B217,"s",$C$2:$C217,"PLH")+COUNTIFS($B$2:$B217,"s",$C$2:$C217,"CSF"))-1)/96)+1)&amp;": "&amp;CHAR(65+INT(MOD((COUNTIFS($B$2:$B217,"s",$C$2:$C217,"SER")+COUNTIFS($B$2:$B217,"s",$C$2:$C217,"PLH")+COUNTIFS($B$2:$B217,"s",$C$2:$C217,"CSF"))-1,96)/12))&amp;(MOD((COUNTIFS($B$2:$B217,"s",$C$2:$C217,"SER")+COUNTIFS($B$2:$B217,"s",$C$2:$C217,"PLH")+COUNTIFS($B$2:$B217,"s",$C$2:$C217,"CSF"))-1,12)+1),"N/A"),"")</f>
        <v/>
      </c>
      <c r="I217" s="6" t="str">
        <f>IF(AND($A217&lt;&gt;"",$B217&lt;&gt;"",$C217&lt;&gt;"",$D217&lt;&gt;"",$E217&lt;&gt;""),IF(AND($B217="s",OR($C217="SER",$C217="PLH",$C217="CSF")),"Case NIH Plate "&amp;(INT(((COUNTIFS($B$2:$B217,"s",$C$2:$C217,"SER")+COUNTIFS($B$2:$B217,"s",$C$2:$C217,"PLH")+COUNTIFS($B$2:$B217,"s",$C$2:$C217,"CSF"))-1)/96)+1)&amp;": "&amp;CHAR(65+INT(MOD((COUNTIFS($B$2:$B217,"s",$C$2:$C217,"SER")+COUNTIFS($B$2:$B217,"s",$C$2:$C217,"PLH")+COUNTIFS($B$2:$B217,"s",$C$2:$C217,"CSF"))-1,96)/12))&amp;(MOD((COUNTIFS($B$2:$B217,"s",$C$2:$C217,"SER")+COUNTIFS($B$2:$B217,"s",$C$2:$C217,"PLH")+COUNTIFS($B$2:$B217,"s",$C$2:$C217,"CSF"))-1,12)+1),"N/A"),"")</f>
        <v/>
      </c>
      <c r="J217" s="6" t="str">
        <f>IF(AND($A217&lt;&gt;"",$B217&lt;&gt;"",$C217&lt;&gt;"",$D217&lt;&gt;"",$E217&lt;&gt;""),IF(AND($B217="s",OR($C217="SER",$C217="PLH")),"Case MAX Planck Plate "&amp;(INT(((COUNTIFS($B$2:$B217,"s",$C$2:$C217,"SER")+COUNTIFS($B$2:$B217,"s",$C$2:$C217,"PLH"))-1)/96)+1)&amp;": "&amp;CHAR(65+INT(MOD((COUNTIFS($B$2:$B217,"s",$C$2:$C217,"SER")+COUNTIFS($B$2:$B217,"s",$C$2:$C217,"PLH"))-1,96)/12))&amp;(MOD((COUNTIFS($B$2:$B217,"s",$C$2:$C217,"SER")+COUNTIFS($B$2:$B217,"s",$C$2:$C217,"PLH"))-1,12)+1),"N/A"),"")</f>
        <v/>
      </c>
      <c r="K217" s="6" t="str">
        <f>IF(AND($A217&lt;&gt;"",$B217&lt;&gt;"",$C217&lt;&gt;"",$D217&lt;&gt;"",$E217&lt;&gt;""),IF($C217="WB","Case WB Box "&amp;(INT((COUNTIFS($C$2:$C217,"WB")-1)/81)+1)&amp;": "&amp;CHAR(65+INT(MOD(COUNTIFS($C$2:$C217,"WB")-1,81)/9))&amp;(MOD(COUNTIFS($C$2:$C217,"WB")-1,9)+1),"N/A"),"")</f>
        <v/>
      </c>
      <c r="L217" s="2" t="str">
        <f t="shared" si="55"/>
        <v/>
      </c>
      <c r="M217" s="2"/>
      <c r="N217" s="2"/>
      <c r="O217" s="2"/>
      <c r="P217" s="7" t="str">
        <f t="shared" si="56"/>
        <v/>
      </c>
      <c r="Q217" s="7" t="str">
        <f t="shared" si="57"/>
        <v/>
      </c>
      <c r="R217" s="7" t="str">
        <f t="shared" si="58"/>
        <v/>
      </c>
      <c r="S217" s="7" t="str">
        <f t="shared" si="59"/>
        <v/>
      </c>
      <c r="T217" s="7" t="str">
        <f t="shared" si="60"/>
        <v/>
      </c>
      <c r="U217" s="7" t="str">
        <f t="shared" si="61"/>
        <v/>
      </c>
      <c r="V217" s="7" t="str">
        <f t="shared" si="62"/>
        <v/>
      </c>
      <c r="W217" s="7" t="str">
        <f t="shared" si="63"/>
        <v/>
      </c>
      <c r="X217" s="7" t="str">
        <f t="shared" si="64"/>
        <v/>
      </c>
      <c r="Y217" s="7" t="str">
        <f t="shared" si="65"/>
        <v/>
      </c>
      <c r="Z217">
        <f t="shared" si="66"/>
        <v>0</v>
      </c>
      <c r="AA217" t="str">
        <f t="shared" si="67"/>
        <v/>
      </c>
      <c r="AB217" t="str">
        <f t="shared" si="68"/>
        <v/>
      </c>
      <c r="AC217" t="str">
        <f t="shared" si="69"/>
        <v/>
      </c>
      <c r="AD217" t="str">
        <f t="shared" si="70"/>
        <v/>
      </c>
      <c r="AE217">
        <f t="shared" si="71"/>
        <v>0</v>
      </c>
    </row>
    <row r="218" spans="1:31" ht="15" customHeight="1" x14ac:dyDescent="0.35">
      <c r="A218" s="2"/>
      <c r="B218" s="3"/>
      <c r="C218" s="3"/>
      <c r="D218" s="4"/>
      <c r="E218" s="5"/>
      <c r="F218" s="11" t="str">
        <f t="shared" ca="1" si="54"/>
        <v/>
      </c>
      <c r="G218" s="5"/>
      <c r="H218" s="6" t="str">
        <f>IF(AND($A218&lt;&gt;"",$B218&lt;&gt;"",$C218&lt;&gt;"",$D218&lt;&gt;"",$E218&lt;&gt;""),IF(AND($B218="s",OR($C218="SER",$C218="PLH",$C218="CSF")),"Case CDI Plate "&amp;(INT(((COUNTIFS($B$2:$B218,"s",$C$2:$C218,"SER")+COUNTIFS($B$2:$B218,"s",$C$2:$C218,"PLH")+COUNTIFS($B$2:$B218,"s",$C$2:$C218,"CSF"))-1)/96)+1)&amp;": "&amp;CHAR(65+INT(MOD((COUNTIFS($B$2:$B218,"s",$C$2:$C218,"SER")+COUNTIFS($B$2:$B218,"s",$C$2:$C218,"PLH")+COUNTIFS($B$2:$B218,"s",$C$2:$C218,"CSF"))-1,96)/12))&amp;(MOD((COUNTIFS($B$2:$B218,"s",$C$2:$C218,"SER")+COUNTIFS($B$2:$B218,"s",$C$2:$C218,"PLH")+COUNTIFS($B$2:$B218,"s",$C$2:$C218,"CSF"))-1,12)+1),"N/A"),"")</f>
        <v/>
      </c>
      <c r="I218" s="6" t="str">
        <f>IF(AND($A218&lt;&gt;"",$B218&lt;&gt;"",$C218&lt;&gt;"",$D218&lt;&gt;"",$E218&lt;&gt;""),IF(AND($B218="s",OR($C218="SER",$C218="PLH",$C218="CSF")),"Case NIH Plate "&amp;(INT(((COUNTIFS($B$2:$B218,"s",$C$2:$C218,"SER")+COUNTIFS($B$2:$B218,"s",$C$2:$C218,"PLH")+COUNTIFS($B$2:$B218,"s",$C$2:$C218,"CSF"))-1)/96)+1)&amp;": "&amp;CHAR(65+INT(MOD((COUNTIFS($B$2:$B218,"s",$C$2:$C218,"SER")+COUNTIFS($B$2:$B218,"s",$C$2:$C218,"PLH")+COUNTIFS($B$2:$B218,"s",$C$2:$C218,"CSF"))-1,96)/12))&amp;(MOD((COUNTIFS($B$2:$B218,"s",$C$2:$C218,"SER")+COUNTIFS($B$2:$B218,"s",$C$2:$C218,"PLH")+COUNTIFS($B$2:$B218,"s",$C$2:$C218,"CSF"))-1,12)+1),"N/A"),"")</f>
        <v/>
      </c>
      <c r="J218" s="6" t="str">
        <f>IF(AND($A218&lt;&gt;"",$B218&lt;&gt;"",$C218&lt;&gt;"",$D218&lt;&gt;"",$E218&lt;&gt;""),IF(AND($B218="s",OR($C218="SER",$C218="PLH")),"Case MAX Planck Plate "&amp;(INT(((COUNTIFS($B$2:$B218,"s",$C$2:$C218,"SER")+COUNTIFS($B$2:$B218,"s",$C$2:$C218,"PLH"))-1)/96)+1)&amp;": "&amp;CHAR(65+INT(MOD((COUNTIFS($B$2:$B218,"s",$C$2:$C218,"SER")+COUNTIFS($B$2:$B218,"s",$C$2:$C218,"PLH"))-1,96)/12))&amp;(MOD((COUNTIFS($B$2:$B218,"s",$C$2:$C218,"SER")+COUNTIFS($B$2:$B218,"s",$C$2:$C218,"PLH"))-1,12)+1),"N/A"),"")</f>
        <v/>
      </c>
      <c r="K218" s="6" t="str">
        <f>IF(AND($A218&lt;&gt;"",$B218&lt;&gt;"",$C218&lt;&gt;"",$D218&lt;&gt;"",$E218&lt;&gt;""),IF($C218="WB","Case WB Box "&amp;(INT((COUNTIFS($C$2:$C218,"WB")-1)/81)+1)&amp;": "&amp;CHAR(65+INT(MOD(COUNTIFS($C$2:$C218,"WB")-1,81)/9))&amp;(MOD(COUNTIFS($C$2:$C218,"WB")-1,9)+1),"N/A"),"")</f>
        <v/>
      </c>
      <c r="L218" s="2" t="str">
        <f t="shared" si="55"/>
        <v/>
      </c>
      <c r="M218" s="2"/>
      <c r="N218" s="2"/>
      <c r="O218" s="2"/>
      <c r="P218" s="7" t="str">
        <f t="shared" si="56"/>
        <v/>
      </c>
      <c r="Q218" s="7" t="str">
        <f t="shared" si="57"/>
        <v/>
      </c>
      <c r="R218" s="7" t="str">
        <f t="shared" si="58"/>
        <v/>
      </c>
      <c r="S218" s="7" t="str">
        <f t="shared" si="59"/>
        <v/>
      </c>
      <c r="T218" s="7" t="str">
        <f t="shared" si="60"/>
        <v/>
      </c>
      <c r="U218" s="7" t="str">
        <f t="shared" si="61"/>
        <v/>
      </c>
      <c r="V218" s="7" t="str">
        <f t="shared" si="62"/>
        <v/>
      </c>
      <c r="W218" s="7" t="str">
        <f t="shared" si="63"/>
        <v/>
      </c>
      <c r="X218" s="7" t="str">
        <f t="shared" si="64"/>
        <v/>
      </c>
      <c r="Y218" s="7" t="str">
        <f t="shared" si="65"/>
        <v/>
      </c>
      <c r="Z218">
        <f t="shared" si="66"/>
        <v>0</v>
      </c>
      <c r="AA218" t="str">
        <f t="shared" si="67"/>
        <v/>
      </c>
      <c r="AB218" t="str">
        <f t="shared" si="68"/>
        <v/>
      </c>
      <c r="AC218" t="str">
        <f t="shared" si="69"/>
        <v/>
      </c>
      <c r="AD218" t="str">
        <f t="shared" si="70"/>
        <v/>
      </c>
      <c r="AE218">
        <f t="shared" si="71"/>
        <v>0</v>
      </c>
    </row>
    <row r="219" spans="1:31" ht="15" customHeight="1" x14ac:dyDescent="0.35">
      <c r="A219" s="2"/>
      <c r="B219" s="3"/>
      <c r="C219" s="3"/>
      <c r="D219" s="4"/>
      <c r="E219" s="5"/>
      <c r="F219" s="11" t="str">
        <f t="shared" ca="1" si="54"/>
        <v/>
      </c>
      <c r="G219" s="5"/>
      <c r="H219" s="6" t="str">
        <f>IF(AND($A219&lt;&gt;"",$B219&lt;&gt;"",$C219&lt;&gt;"",$D219&lt;&gt;"",$E219&lt;&gt;""),IF(AND($B219="s",OR($C219="SER",$C219="PLH",$C219="CSF")),"Case CDI Plate "&amp;(INT(((COUNTIFS($B$2:$B219,"s",$C$2:$C219,"SER")+COUNTIFS($B$2:$B219,"s",$C$2:$C219,"PLH")+COUNTIFS($B$2:$B219,"s",$C$2:$C219,"CSF"))-1)/96)+1)&amp;": "&amp;CHAR(65+INT(MOD((COUNTIFS($B$2:$B219,"s",$C$2:$C219,"SER")+COUNTIFS($B$2:$B219,"s",$C$2:$C219,"PLH")+COUNTIFS($B$2:$B219,"s",$C$2:$C219,"CSF"))-1,96)/12))&amp;(MOD((COUNTIFS($B$2:$B219,"s",$C$2:$C219,"SER")+COUNTIFS($B$2:$B219,"s",$C$2:$C219,"PLH")+COUNTIFS($B$2:$B219,"s",$C$2:$C219,"CSF"))-1,12)+1),"N/A"),"")</f>
        <v/>
      </c>
      <c r="I219" s="6" t="str">
        <f>IF(AND($A219&lt;&gt;"",$B219&lt;&gt;"",$C219&lt;&gt;"",$D219&lt;&gt;"",$E219&lt;&gt;""),IF(AND($B219="s",OR($C219="SER",$C219="PLH",$C219="CSF")),"Case NIH Plate "&amp;(INT(((COUNTIFS($B$2:$B219,"s",$C$2:$C219,"SER")+COUNTIFS($B$2:$B219,"s",$C$2:$C219,"PLH")+COUNTIFS($B$2:$B219,"s",$C$2:$C219,"CSF"))-1)/96)+1)&amp;": "&amp;CHAR(65+INT(MOD((COUNTIFS($B$2:$B219,"s",$C$2:$C219,"SER")+COUNTIFS($B$2:$B219,"s",$C$2:$C219,"PLH")+COUNTIFS($B$2:$B219,"s",$C$2:$C219,"CSF"))-1,96)/12))&amp;(MOD((COUNTIFS($B$2:$B219,"s",$C$2:$C219,"SER")+COUNTIFS($B$2:$B219,"s",$C$2:$C219,"PLH")+COUNTIFS($B$2:$B219,"s",$C$2:$C219,"CSF"))-1,12)+1),"N/A"),"")</f>
        <v/>
      </c>
      <c r="J219" s="6" t="str">
        <f>IF(AND($A219&lt;&gt;"",$B219&lt;&gt;"",$C219&lt;&gt;"",$D219&lt;&gt;"",$E219&lt;&gt;""),IF(AND($B219="s",OR($C219="SER",$C219="PLH")),"Case MAX Planck Plate "&amp;(INT(((COUNTIFS($B$2:$B219,"s",$C$2:$C219,"SER")+COUNTIFS($B$2:$B219,"s",$C$2:$C219,"PLH"))-1)/96)+1)&amp;": "&amp;CHAR(65+INT(MOD((COUNTIFS($B$2:$B219,"s",$C$2:$C219,"SER")+COUNTIFS($B$2:$B219,"s",$C$2:$C219,"PLH"))-1,96)/12))&amp;(MOD((COUNTIFS($B$2:$B219,"s",$C$2:$C219,"SER")+COUNTIFS($B$2:$B219,"s",$C$2:$C219,"PLH"))-1,12)+1),"N/A"),"")</f>
        <v/>
      </c>
      <c r="K219" s="6" t="str">
        <f>IF(AND($A219&lt;&gt;"",$B219&lt;&gt;"",$C219&lt;&gt;"",$D219&lt;&gt;"",$E219&lt;&gt;""),IF($C219="WB","Case WB Box "&amp;(INT((COUNTIFS($C$2:$C219,"WB")-1)/81)+1)&amp;": "&amp;CHAR(65+INT(MOD(COUNTIFS($C$2:$C219,"WB")-1,81)/9))&amp;(MOD(COUNTIFS($C$2:$C219,"WB")-1,9)+1),"N/A"),"")</f>
        <v/>
      </c>
      <c r="L219" s="2" t="str">
        <f t="shared" si="55"/>
        <v/>
      </c>
      <c r="M219" s="2"/>
      <c r="N219" s="2"/>
      <c r="O219" s="2"/>
      <c r="P219" s="7" t="str">
        <f t="shared" si="56"/>
        <v/>
      </c>
      <c r="Q219" s="7" t="str">
        <f t="shared" si="57"/>
        <v/>
      </c>
      <c r="R219" s="7" t="str">
        <f t="shared" si="58"/>
        <v/>
      </c>
      <c r="S219" s="7" t="str">
        <f t="shared" si="59"/>
        <v/>
      </c>
      <c r="T219" s="7" t="str">
        <f t="shared" si="60"/>
        <v/>
      </c>
      <c r="U219" s="7" t="str">
        <f t="shared" si="61"/>
        <v/>
      </c>
      <c r="V219" s="7" t="str">
        <f t="shared" si="62"/>
        <v/>
      </c>
      <c r="W219" s="7" t="str">
        <f t="shared" si="63"/>
        <v/>
      </c>
      <c r="X219" s="7" t="str">
        <f t="shared" si="64"/>
        <v/>
      </c>
      <c r="Y219" s="7" t="str">
        <f t="shared" si="65"/>
        <v/>
      </c>
      <c r="Z219">
        <f t="shared" si="66"/>
        <v>0</v>
      </c>
      <c r="AA219" t="str">
        <f t="shared" si="67"/>
        <v/>
      </c>
      <c r="AB219" t="str">
        <f t="shared" si="68"/>
        <v/>
      </c>
      <c r="AC219" t="str">
        <f t="shared" si="69"/>
        <v/>
      </c>
      <c r="AD219" t="str">
        <f t="shared" si="70"/>
        <v/>
      </c>
      <c r="AE219">
        <f t="shared" si="71"/>
        <v>0</v>
      </c>
    </row>
    <row r="220" spans="1:31" ht="15" customHeight="1" x14ac:dyDescent="0.35">
      <c r="A220" s="2"/>
      <c r="B220" s="3"/>
      <c r="C220" s="3"/>
      <c r="D220" s="4"/>
      <c r="E220" s="5"/>
      <c r="F220" s="11" t="str">
        <f t="shared" ca="1" si="54"/>
        <v/>
      </c>
      <c r="G220" s="5"/>
      <c r="H220" s="6" t="str">
        <f>IF(AND($A220&lt;&gt;"",$B220&lt;&gt;"",$C220&lt;&gt;"",$D220&lt;&gt;"",$E220&lt;&gt;""),IF(AND($B220="s",OR($C220="SER",$C220="PLH",$C220="CSF")),"Case CDI Plate "&amp;(INT(((COUNTIFS($B$2:$B220,"s",$C$2:$C220,"SER")+COUNTIFS($B$2:$B220,"s",$C$2:$C220,"PLH")+COUNTIFS($B$2:$B220,"s",$C$2:$C220,"CSF"))-1)/96)+1)&amp;": "&amp;CHAR(65+INT(MOD((COUNTIFS($B$2:$B220,"s",$C$2:$C220,"SER")+COUNTIFS($B$2:$B220,"s",$C$2:$C220,"PLH")+COUNTIFS($B$2:$B220,"s",$C$2:$C220,"CSF"))-1,96)/12))&amp;(MOD((COUNTIFS($B$2:$B220,"s",$C$2:$C220,"SER")+COUNTIFS($B$2:$B220,"s",$C$2:$C220,"PLH")+COUNTIFS($B$2:$B220,"s",$C$2:$C220,"CSF"))-1,12)+1),"N/A"),"")</f>
        <v/>
      </c>
      <c r="I220" s="6" t="str">
        <f>IF(AND($A220&lt;&gt;"",$B220&lt;&gt;"",$C220&lt;&gt;"",$D220&lt;&gt;"",$E220&lt;&gt;""),IF(AND($B220="s",OR($C220="SER",$C220="PLH",$C220="CSF")),"Case NIH Plate "&amp;(INT(((COUNTIFS($B$2:$B220,"s",$C$2:$C220,"SER")+COUNTIFS($B$2:$B220,"s",$C$2:$C220,"PLH")+COUNTIFS($B$2:$B220,"s",$C$2:$C220,"CSF"))-1)/96)+1)&amp;": "&amp;CHAR(65+INT(MOD((COUNTIFS($B$2:$B220,"s",$C$2:$C220,"SER")+COUNTIFS($B$2:$B220,"s",$C$2:$C220,"PLH")+COUNTIFS($B$2:$B220,"s",$C$2:$C220,"CSF"))-1,96)/12))&amp;(MOD((COUNTIFS($B$2:$B220,"s",$C$2:$C220,"SER")+COUNTIFS($B$2:$B220,"s",$C$2:$C220,"PLH")+COUNTIFS($B$2:$B220,"s",$C$2:$C220,"CSF"))-1,12)+1),"N/A"),"")</f>
        <v/>
      </c>
      <c r="J220" s="6" t="str">
        <f>IF(AND($A220&lt;&gt;"",$B220&lt;&gt;"",$C220&lt;&gt;"",$D220&lt;&gt;"",$E220&lt;&gt;""),IF(AND($B220="s",OR($C220="SER",$C220="PLH")),"Case MAX Planck Plate "&amp;(INT(((COUNTIFS($B$2:$B220,"s",$C$2:$C220,"SER")+COUNTIFS($B$2:$B220,"s",$C$2:$C220,"PLH"))-1)/96)+1)&amp;": "&amp;CHAR(65+INT(MOD((COUNTIFS($B$2:$B220,"s",$C$2:$C220,"SER")+COUNTIFS($B$2:$B220,"s",$C$2:$C220,"PLH"))-1,96)/12))&amp;(MOD((COUNTIFS($B$2:$B220,"s",$C$2:$C220,"SER")+COUNTIFS($B$2:$B220,"s",$C$2:$C220,"PLH"))-1,12)+1),"N/A"),"")</f>
        <v/>
      </c>
      <c r="K220" s="6" t="str">
        <f>IF(AND($A220&lt;&gt;"",$B220&lt;&gt;"",$C220&lt;&gt;"",$D220&lt;&gt;"",$E220&lt;&gt;""),IF($C220="WB","Case WB Box "&amp;(INT((COUNTIFS($C$2:$C220,"WB")-1)/81)+1)&amp;": "&amp;CHAR(65+INT(MOD(COUNTIFS($C$2:$C220,"WB")-1,81)/9))&amp;(MOD(COUNTIFS($C$2:$C220,"WB")-1,9)+1),"N/A"),"")</f>
        <v/>
      </c>
      <c r="L220" s="2" t="str">
        <f t="shared" si="55"/>
        <v/>
      </c>
      <c r="M220" s="2"/>
      <c r="N220" s="2"/>
      <c r="O220" s="2"/>
      <c r="P220" s="7" t="str">
        <f t="shared" si="56"/>
        <v/>
      </c>
      <c r="Q220" s="7" t="str">
        <f t="shared" si="57"/>
        <v/>
      </c>
      <c r="R220" s="7" t="str">
        <f t="shared" si="58"/>
        <v/>
      </c>
      <c r="S220" s="7" t="str">
        <f t="shared" si="59"/>
        <v/>
      </c>
      <c r="T220" s="7" t="str">
        <f t="shared" si="60"/>
        <v/>
      </c>
      <c r="U220" s="7" t="str">
        <f t="shared" si="61"/>
        <v/>
      </c>
      <c r="V220" s="7" t="str">
        <f t="shared" si="62"/>
        <v/>
      </c>
      <c r="W220" s="7" t="str">
        <f t="shared" si="63"/>
        <v/>
      </c>
      <c r="X220" s="7" t="str">
        <f t="shared" si="64"/>
        <v/>
      </c>
      <c r="Y220" s="7" t="str">
        <f t="shared" si="65"/>
        <v/>
      </c>
      <c r="Z220">
        <f t="shared" si="66"/>
        <v>0</v>
      </c>
      <c r="AA220" t="str">
        <f t="shared" si="67"/>
        <v/>
      </c>
      <c r="AB220" t="str">
        <f t="shared" si="68"/>
        <v/>
      </c>
      <c r="AC220" t="str">
        <f t="shared" si="69"/>
        <v/>
      </c>
      <c r="AD220" t="str">
        <f t="shared" si="70"/>
        <v/>
      </c>
      <c r="AE220">
        <f t="shared" si="71"/>
        <v>0</v>
      </c>
    </row>
    <row r="221" spans="1:31" ht="15" customHeight="1" x14ac:dyDescent="0.35">
      <c r="A221" s="2"/>
      <c r="B221" s="3"/>
      <c r="C221" s="3"/>
      <c r="D221" s="4"/>
      <c r="E221" s="5"/>
      <c r="F221" s="11" t="str">
        <f t="shared" ca="1" si="54"/>
        <v/>
      </c>
      <c r="G221" s="5"/>
      <c r="H221" s="6" t="str">
        <f>IF(AND($A221&lt;&gt;"",$B221&lt;&gt;"",$C221&lt;&gt;"",$D221&lt;&gt;"",$E221&lt;&gt;""),IF(AND($B221="s",OR($C221="SER",$C221="PLH",$C221="CSF")),"Case CDI Plate "&amp;(INT(((COUNTIFS($B$2:$B221,"s",$C$2:$C221,"SER")+COUNTIFS($B$2:$B221,"s",$C$2:$C221,"PLH")+COUNTIFS($B$2:$B221,"s",$C$2:$C221,"CSF"))-1)/96)+1)&amp;": "&amp;CHAR(65+INT(MOD((COUNTIFS($B$2:$B221,"s",$C$2:$C221,"SER")+COUNTIFS($B$2:$B221,"s",$C$2:$C221,"PLH")+COUNTIFS($B$2:$B221,"s",$C$2:$C221,"CSF"))-1,96)/12))&amp;(MOD((COUNTIFS($B$2:$B221,"s",$C$2:$C221,"SER")+COUNTIFS($B$2:$B221,"s",$C$2:$C221,"PLH")+COUNTIFS($B$2:$B221,"s",$C$2:$C221,"CSF"))-1,12)+1),"N/A"),"")</f>
        <v/>
      </c>
      <c r="I221" s="6" t="str">
        <f>IF(AND($A221&lt;&gt;"",$B221&lt;&gt;"",$C221&lt;&gt;"",$D221&lt;&gt;"",$E221&lt;&gt;""),IF(AND($B221="s",OR($C221="SER",$C221="PLH",$C221="CSF")),"Case NIH Plate "&amp;(INT(((COUNTIFS($B$2:$B221,"s",$C$2:$C221,"SER")+COUNTIFS($B$2:$B221,"s",$C$2:$C221,"PLH")+COUNTIFS($B$2:$B221,"s",$C$2:$C221,"CSF"))-1)/96)+1)&amp;": "&amp;CHAR(65+INT(MOD((COUNTIFS($B$2:$B221,"s",$C$2:$C221,"SER")+COUNTIFS($B$2:$B221,"s",$C$2:$C221,"PLH")+COUNTIFS($B$2:$B221,"s",$C$2:$C221,"CSF"))-1,96)/12))&amp;(MOD((COUNTIFS($B$2:$B221,"s",$C$2:$C221,"SER")+COUNTIFS($B$2:$B221,"s",$C$2:$C221,"PLH")+COUNTIFS($B$2:$B221,"s",$C$2:$C221,"CSF"))-1,12)+1),"N/A"),"")</f>
        <v/>
      </c>
      <c r="J221" s="6" t="str">
        <f>IF(AND($A221&lt;&gt;"",$B221&lt;&gt;"",$C221&lt;&gt;"",$D221&lt;&gt;"",$E221&lt;&gt;""),IF(AND($B221="s",OR($C221="SER",$C221="PLH")),"Case MAX Planck Plate "&amp;(INT(((COUNTIFS($B$2:$B221,"s",$C$2:$C221,"SER")+COUNTIFS($B$2:$B221,"s",$C$2:$C221,"PLH"))-1)/96)+1)&amp;": "&amp;CHAR(65+INT(MOD((COUNTIFS($B$2:$B221,"s",$C$2:$C221,"SER")+COUNTIFS($B$2:$B221,"s",$C$2:$C221,"PLH"))-1,96)/12))&amp;(MOD((COUNTIFS($B$2:$B221,"s",$C$2:$C221,"SER")+COUNTIFS($B$2:$B221,"s",$C$2:$C221,"PLH"))-1,12)+1),"N/A"),"")</f>
        <v/>
      </c>
      <c r="K221" s="6" t="str">
        <f>IF(AND($A221&lt;&gt;"",$B221&lt;&gt;"",$C221&lt;&gt;"",$D221&lt;&gt;"",$E221&lt;&gt;""),IF($C221="WB","Case WB Box "&amp;(INT((COUNTIFS($C$2:$C221,"WB")-1)/81)+1)&amp;": "&amp;CHAR(65+INT(MOD(COUNTIFS($C$2:$C221,"WB")-1,81)/9))&amp;(MOD(COUNTIFS($C$2:$C221,"WB")-1,9)+1),"N/A"),"")</f>
        <v/>
      </c>
      <c r="L221" s="2" t="str">
        <f t="shared" si="55"/>
        <v/>
      </c>
      <c r="M221" s="2"/>
      <c r="N221" s="2"/>
      <c r="O221" s="2"/>
      <c r="P221" s="7" t="str">
        <f t="shared" si="56"/>
        <v/>
      </c>
      <c r="Q221" s="7" t="str">
        <f t="shared" si="57"/>
        <v/>
      </c>
      <c r="R221" s="7" t="str">
        <f t="shared" si="58"/>
        <v/>
      </c>
      <c r="S221" s="7" t="str">
        <f t="shared" si="59"/>
        <v/>
      </c>
      <c r="T221" s="7" t="str">
        <f t="shared" si="60"/>
        <v/>
      </c>
      <c r="U221" s="7" t="str">
        <f t="shared" si="61"/>
        <v/>
      </c>
      <c r="V221" s="7" t="str">
        <f t="shared" si="62"/>
        <v/>
      </c>
      <c r="W221" s="7" t="str">
        <f t="shared" si="63"/>
        <v/>
      </c>
      <c r="X221" s="7" t="str">
        <f t="shared" si="64"/>
        <v/>
      </c>
      <c r="Y221" s="7" t="str">
        <f t="shared" si="65"/>
        <v/>
      </c>
      <c r="Z221">
        <f t="shared" si="66"/>
        <v>0</v>
      </c>
      <c r="AA221" t="str">
        <f t="shared" si="67"/>
        <v/>
      </c>
      <c r="AB221" t="str">
        <f t="shared" si="68"/>
        <v/>
      </c>
      <c r="AC221" t="str">
        <f t="shared" si="69"/>
        <v/>
      </c>
      <c r="AD221" t="str">
        <f t="shared" si="70"/>
        <v/>
      </c>
      <c r="AE221">
        <f t="shared" si="71"/>
        <v>0</v>
      </c>
    </row>
    <row r="222" spans="1:31" ht="15" customHeight="1" x14ac:dyDescent="0.35">
      <c r="A222" s="2"/>
      <c r="B222" s="3"/>
      <c r="C222" s="3"/>
      <c r="D222" s="4"/>
      <c r="E222" s="5"/>
      <c r="F222" s="11" t="str">
        <f t="shared" ca="1" si="54"/>
        <v/>
      </c>
      <c r="G222" s="5"/>
      <c r="H222" s="6" t="str">
        <f>IF(AND($A222&lt;&gt;"",$B222&lt;&gt;"",$C222&lt;&gt;"",$D222&lt;&gt;"",$E222&lt;&gt;""),IF(AND($B222="s",OR($C222="SER",$C222="PLH",$C222="CSF")),"Case CDI Plate "&amp;(INT(((COUNTIFS($B$2:$B222,"s",$C$2:$C222,"SER")+COUNTIFS($B$2:$B222,"s",$C$2:$C222,"PLH")+COUNTIFS($B$2:$B222,"s",$C$2:$C222,"CSF"))-1)/96)+1)&amp;": "&amp;CHAR(65+INT(MOD((COUNTIFS($B$2:$B222,"s",$C$2:$C222,"SER")+COUNTIFS($B$2:$B222,"s",$C$2:$C222,"PLH")+COUNTIFS($B$2:$B222,"s",$C$2:$C222,"CSF"))-1,96)/12))&amp;(MOD((COUNTIFS($B$2:$B222,"s",$C$2:$C222,"SER")+COUNTIFS($B$2:$B222,"s",$C$2:$C222,"PLH")+COUNTIFS($B$2:$B222,"s",$C$2:$C222,"CSF"))-1,12)+1),"N/A"),"")</f>
        <v/>
      </c>
      <c r="I222" s="6" t="str">
        <f>IF(AND($A222&lt;&gt;"",$B222&lt;&gt;"",$C222&lt;&gt;"",$D222&lt;&gt;"",$E222&lt;&gt;""),IF(AND($B222="s",OR($C222="SER",$C222="PLH",$C222="CSF")),"Case NIH Plate "&amp;(INT(((COUNTIFS($B$2:$B222,"s",$C$2:$C222,"SER")+COUNTIFS($B$2:$B222,"s",$C$2:$C222,"PLH")+COUNTIFS($B$2:$B222,"s",$C$2:$C222,"CSF"))-1)/96)+1)&amp;": "&amp;CHAR(65+INT(MOD((COUNTIFS($B$2:$B222,"s",$C$2:$C222,"SER")+COUNTIFS($B$2:$B222,"s",$C$2:$C222,"PLH")+COUNTIFS($B$2:$B222,"s",$C$2:$C222,"CSF"))-1,96)/12))&amp;(MOD((COUNTIFS($B$2:$B222,"s",$C$2:$C222,"SER")+COUNTIFS($B$2:$B222,"s",$C$2:$C222,"PLH")+COUNTIFS($B$2:$B222,"s",$C$2:$C222,"CSF"))-1,12)+1),"N/A"),"")</f>
        <v/>
      </c>
      <c r="J222" s="6" t="str">
        <f>IF(AND($A222&lt;&gt;"",$B222&lt;&gt;"",$C222&lt;&gt;"",$D222&lt;&gt;"",$E222&lt;&gt;""),IF(AND($B222="s",OR($C222="SER",$C222="PLH")),"Case MAX Planck Plate "&amp;(INT(((COUNTIFS($B$2:$B222,"s",$C$2:$C222,"SER")+COUNTIFS($B$2:$B222,"s",$C$2:$C222,"PLH"))-1)/96)+1)&amp;": "&amp;CHAR(65+INT(MOD((COUNTIFS($B$2:$B222,"s",$C$2:$C222,"SER")+COUNTIFS($B$2:$B222,"s",$C$2:$C222,"PLH"))-1,96)/12))&amp;(MOD((COUNTIFS($B$2:$B222,"s",$C$2:$C222,"SER")+COUNTIFS($B$2:$B222,"s",$C$2:$C222,"PLH"))-1,12)+1),"N/A"),"")</f>
        <v/>
      </c>
      <c r="K222" s="6" t="str">
        <f>IF(AND($A222&lt;&gt;"",$B222&lt;&gt;"",$C222&lt;&gt;"",$D222&lt;&gt;"",$E222&lt;&gt;""),IF($C222="WB","Case WB Box "&amp;(INT((COUNTIFS($C$2:$C222,"WB")-1)/81)+1)&amp;": "&amp;CHAR(65+INT(MOD(COUNTIFS($C$2:$C222,"WB")-1,81)/9))&amp;(MOD(COUNTIFS($C$2:$C222,"WB")-1,9)+1),"N/A"),"")</f>
        <v/>
      </c>
      <c r="L222" s="2" t="str">
        <f t="shared" si="55"/>
        <v/>
      </c>
      <c r="M222" s="2"/>
      <c r="N222" s="2"/>
      <c r="O222" s="2"/>
      <c r="P222" s="7" t="str">
        <f t="shared" si="56"/>
        <v/>
      </c>
      <c r="Q222" s="7" t="str">
        <f t="shared" si="57"/>
        <v/>
      </c>
      <c r="R222" s="7" t="str">
        <f t="shared" si="58"/>
        <v/>
      </c>
      <c r="S222" s="7" t="str">
        <f t="shared" si="59"/>
        <v/>
      </c>
      <c r="T222" s="7" t="str">
        <f t="shared" si="60"/>
        <v/>
      </c>
      <c r="U222" s="7" t="str">
        <f t="shared" si="61"/>
        <v/>
      </c>
      <c r="V222" s="7" t="str">
        <f t="shared" si="62"/>
        <v/>
      </c>
      <c r="W222" s="7" t="str">
        <f t="shared" si="63"/>
        <v/>
      </c>
      <c r="X222" s="7" t="str">
        <f t="shared" si="64"/>
        <v/>
      </c>
      <c r="Y222" s="7" t="str">
        <f t="shared" si="65"/>
        <v/>
      </c>
      <c r="Z222">
        <f t="shared" si="66"/>
        <v>0</v>
      </c>
      <c r="AA222" t="str">
        <f t="shared" si="67"/>
        <v/>
      </c>
      <c r="AB222" t="str">
        <f t="shared" si="68"/>
        <v/>
      </c>
      <c r="AC222" t="str">
        <f t="shared" si="69"/>
        <v/>
      </c>
      <c r="AD222" t="str">
        <f t="shared" si="70"/>
        <v/>
      </c>
      <c r="AE222">
        <f t="shared" si="71"/>
        <v>0</v>
      </c>
    </row>
    <row r="223" spans="1:31" ht="15" customHeight="1" x14ac:dyDescent="0.35">
      <c r="A223" s="2"/>
      <c r="B223" s="3"/>
      <c r="C223" s="3"/>
      <c r="D223" s="4"/>
      <c r="E223" s="5"/>
      <c r="F223" s="11" t="str">
        <f t="shared" ca="1" si="54"/>
        <v/>
      </c>
      <c r="G223" s="5"/>
      <c r="H223" s="6" t="str">
        <f>IF(AND($A223&lt;&gt;"",$B223&lt;&gt;"",$C223&lt;&gt;"",$D223&lt;&gt;"",$E223&lt;&gt;""),IF(AND($B223="s",OR($C223="SER",$C223="PLH",$C223="CSF")),"Case CDI Plate "&amp;(INT(((COUNTIFS($B$2:$B223,"s",$C$2:$C223,"SER")+COUNTIFS($B$2:$B223,"s",$C$2:$C223,"PLH")+COUNTIFS($B$2:$B223,"s",$C$2:$C223,"CSF"))-1)/96)+1)&amp;": "&amp;CHAR(65+INT(MOD((COUNTIFS($B$2:$B223,"s",$C$2:$C223,"SER")+COUNTIFS($B$2:$B223,"s",$C$2:$C223,"PLH")+COUNTIFS($B$2:$B223,"s",$C$2:$C223,"CSF"))-1,96)/12))&amp;(MOD((COUNTIFS($B$2:$B223,"s",$C$2:$C223,"SER")+COUNTIFS($B$2:$B223,"s",$C$2:$C223,"PLH")+COUNTIFS($B$2:$B223,"s",$C$2:$C223,"CSF"))-1,12)+1),"N/A"),"")</f>
        <v/>
      </c>
      <c r="I223" s="6" t="str">
        <f>IF(AND($A223&lt;&gt;"",$B223&lt;&gt;"",$C223&lt;&gt;"",$D223&lt;&gt;"",$E223&lt;&gt;""),IF(AND($B223="s",OR($C223="SER",$C223="PLH",$C223="CSF")),"Case NIH Plate "&amp;(INT(((COUNTIFS($B$2:$B223,"s",$C$2:$C223,"SER")+COUNTIFS($B$2:$B223,"s",$C$2:$C223,"PLH")+COUNTIFS($B$2:$B223,"s",$C$2:$C223,"CSF"))-1)/96)+1)&amp;": "&amp;CHAR(65+INT(MOD((COUNTIFS($B$2:$B223,"s",$C$2:$C223,"SER")+COUNTIFS($B$2:$B223,"s",$C$2:$C223,"PLH")+COUNTIFS($B$2:$B223,"s",$C$2:$C223,"CSF"))-1,96)/12))&amp;(MOD((COUNTIFS($B$2:$B223,"s",$C$2:$C223,"SER")+COUNTIFS($B$2:$B223,"s",$C$2:$C223,"PLH")+COUNTIFS($B$2:$B223,"s",$C$2:$C223,"CSF"))-1,12)+1),"N/A"),"")</f>
        <v/>
      </c>
      <c r="J223" s="6" t="str">
        <f>IF(AND($A223&lt;&gt;"",$B223&lt;&gt;"",$C223&lt;&gt;"",$D223&lt;&gt;"",$E223&lt;&gt;""),IF(AND($B223="s",OR($C223="SER",$C223="PLH")),"Case MAX Planck Plate "&amp;(INT(((COUNTIFS($B$2:$B223,"s",$C$2:$C223,"SER")+COUNTIFS($B$2:$B223,"s",$C$2:$C223,"PLH"))-1)/96)+1)&amp;": "&amp;CHAR(65+INT(MOD((COUNTIFS($B$2:$B223,"s",$C$2:$C223,"SER")+COUNTIFS($B$2:$B223,"s",$C$2:$C223,"PLH"))-1,96)/12))&amp;(MOD((COUNTIFS($B$2:$B223,"s",$C$2:$C223,"SER")+COUNTIFS($B$2:$B223,"s",$C$2:$C223,"PLH"))-1,12)+1),"N/A"),"")</f>
        <v/>
      </c>
      <c r="K223" s="6" t="str">
        <f>IF(AND($A223&lt;&gt;"",$B223&lt;&gt;"",$C223&lt;&gt;"",$D223&lt;&gt;"",$E223&lt;&gt;""),IF($C223="WB","Case WB Box "&amp;(INT((COUNTIFS($C$2:$C223,"WB")-1)/81)+1)&amp;": "&amp;CHAR(65+INT(MOD(COUNTIFS($C$2:$C223,"WB")-1,81)/9))&amp;(MOD(COUNTIFS($C$2:$C223,"WB")-1,9)+1),"N/A"),"")</f>
        <v/>
      </c>
      <c r="L223" s="2" t="str">
        <f t="shared" si="55"/>
        <v/>
      </c>
      <c r="M223" s="2"/>
      <c r="N223" s="2"/>
      <c r="O223" s="2"/>
      <c r="P223" s="7" t="str">
        <f t="shared" si="56"/>
        <v/>
      </c>
      <c r="Q223" s="7" t="str">
        <f t="shared" si="57"/>
        <v/>
      </c>
      <c r="R223" s="7" t="str">
        <f t="shared" si="58"/>
        <v/>
      </c>
      <c r="S223" s="7" t="str">
        <f t="shared" si="59"/>
        <v/>
      </c>
      <c r="T223" s="7" t="str">
        <f t="shared" si="60"/>
        <v/>
      </c>
      <c r="U223" s="7" t="str">
        <f t="shared" si="61"/>
        <v/>
      </c>
      <c r="V223" s="7" t="str">
        <f t="shared" si="62"/>
        <v/>
      </c>
      <c r="W223" s="7" t="str">
        <f t="shared" si="63"/>
        <v/>
      </c>
      <c r="X223" s="7" t="str">
        <f t="shared" si="64"/>
        <v/>
      </c>
      <c r="Y223" s="7" t="str">
        <f t="shared" si="65"/>
        <v/>
      </c>
      <c r="Z223">
        <f t="shared" si="66"/>
        <v>0</v>
      </c>
      <c r="AA223" t="str">
        <f t="shared" si="67"/>
        <v/>
      </c>
      <c r="AB223" t="str">
        <f t="shared" si="68"/>
        <v/>
      </c>
      <c r="AC223" t="str">
        <f t="shared" si="69"/>
        <v/>
      </c>
      <c r="AD223" t="str">
        <f t="shared" si="70"/>
        <v/>
      </c>
      <c r="AE223">
        <f t="shared" si="71"/>
        <v>0</v>
      </c>
    </row>
    <row r="224" spans="1:31" ht="15" customHeight="1" x14ac:dyDescent="0.35">
      <c r="A224" s="2"/>
      <c r="B224" s="3"/>
      <c r="C224" s="3"/>
      <c r="D224" s="4"/>
      <c r="E224" s="5"/>
      <c r="F224" s="11" t="str">
        <f t="shared" ca="1" si="54"/>
        <v/>
      </c>
      <c r="G224" s="5"/>
      <c r="H224" s="6" t="str">
        <f>IF(AND($A224&lt;&gt;"",$B224&lt;&gt;"",$C224&lt;&gt;"",$D224&lt;&gt;"",$E224&lt;&gt;""),IF(AND($B224="s",OR($C224="SER",$C224="PLH",$C224="CSF")),"Case CDI Plate "&amp;(INT(((COUNTIFS($B$2:$B224,"s",$C$2:$C224,"SER")+COUNTIFS($B$2:$B224,"s",$C$2:$C224,"PLH")+COUNTIFS($B$2:$B224,"s",$C$2:$C224,"CSF"))-1)/96)+1)&amp;": "&amp;CHAR(65+INT(MOD((COUNTIFS($B$2:$B224,"s",$C$2:$C224,"SER")+COUNTIFS($B$2:$B224,"s",$C$2:$C224,"PLH")+COUNTIFS($B$2:$B224,"s",$C$2:$C224,"CSF"))-1,96)/12))&amp;(MOD((COUNTIFS($B$2:$B224,"s",$C$2:$C224,"SER")+COUNTIFS($B$2:$B224,"s",$C$2:$C224,"PLH")+COUNTIFS($B$2:$B224,"s",$C$2:$C224,"CSF"))-1,12)+1),"N/A"),"")</f>
        <v/>
      </c>
      <c r="I224" s="6" t="str">
        <f>IF(AND($A224&lt;&gt;"",$B224&lt;&gt;"",$C224&lt;&gt;"",$D224&lt;&gt;"",$E224&lt;&gt;""),IF(AND($B224="s",OR($C224="SER",$C224="PLH",$C224="CSF")),"Case NIH Plate "&amp;(INT(((COUNTIFS($B$2:$B224,"s",$C$2:$C224,"SER")+COUNTIFS($B$2:$B224,"s",$C$2:$C224,"PLH")+COUNTIFS($B$2:$B224,"s",$C$2:$C224,"CSF"))-1)/96)+1)&amp;": "&amp;CHAR(65+INT(MOD((COUNTIFS($B$2:$B224,"s",$C$2:$C224,"SER")+COUNTIFS($B$2:$B224,"s",$C$2:$C224,"PLH")+COUNTIFS($B$2:$B224,"s",$C$2:$C224,"CSF"))-1,96)/12))&amp;(MOD((COUNTIFS($B$2:$B224,"s",$C$2:$C224,"SER")+COUNTIFS($B$2:$B224,"s",$C$2:$C224,"PLH")+COUNTIFS($B$2:$B224,"s",$C$2:$C224,"CSF"))-1,12)+1),"N/A"),"")</f>
        <v/>
      </c>
      <c r="J224" s="6" t="str">
        <f>IF(AND($A224&lt;&gt;"",$B224&lt;&gt;"",$C224&lt;&gt;"",$D224&lt;&gt;"",$E224&lt;&gt;""),IF(AND($B224="s",OR($C224="SER",$C224="PLH")),"Case MAX Planck Plate "&amp;(INT(((COUNTIFS($B$2:$B224,"s",$C$2:$C224,"SER")+COUNTIFS($B$2:$B224,"s",$C$2:$C224,"PLH"))-1)/96)+1)&amp;": "&amp;CHAR(65+INT(MOD((COUNTIFS($B$2:$B224,"s",$C$2:$C224,"SER")+COUNTIFS($B$2:$B224,"s",$C$2:$C224,"PLH"))-1,96)/12))&amp;(MOD((COUNTIFS($B$2:$B224,"s",$C$2:$C224,"SER")+COUNTIFS($B$2:$B224,"s",$C$2:$C224,"PLH"))-1,12)+1),"N/A"),"")</f>
        <v/>
      </c>
      <c r="K224" s="6" t="str">
        <f>IF(AND($A224&lt;&gt;"",$B224&lt;&gt;"",$C224&lt;&gt;"",$D224&lt;&gt;"",$E224&lt;&gt;""),IF($C224="WB","Case WB Box "&amp;(INT((COUNTIFS($C$2:$C224,"WB")-1)/81)+1)&amp;": "&amp;CHAR(65+INT(MOD(COUNTIFS($C$2:$C224,"WB")-1,81)/9))&amp;(MOD(COUNTIFS($C$2:$C224,"WB")-1,9)+1),"N/A"),"")</f>
        <v/>
      </c>
      <c r="L224" s="2" t="str">
        <f t="shared" si="55"/>
        <v/>
      </c>
      <c r="M224" s="2"/>
      <c r="N224" s="2"/>
      <c r="O224" s="2"/>
      <c r="P224" s="7" t="str">
        <f t="shared" si="56"/>
        <v/>
      </c>
      <c r="Q224" s="7" t="str">
        <f t="shared" si="57"/>
        <v/>
      </c>
      <c r="R224" s="7" t="str">
        <f t="shared" si="58"/>
        <v/>
      </c>
      <c r="S224" s="7" t="str">
        <f t="shared" si="59"/>
        <v/>
      </c>
      <c r="T224" s="7" t="str">
        <f t="shared" si="60"/>
        <v/>
      </c>
      <c r="U224" s="7" t="str">
        <f t="shared" si="61"/>
        <v/>
      </c>
      <c r="V224" s="7" t="str">
        <f t="shared" si="62"/>
        <v/>
      </c>
      <c r="W224" s="7" t="str">
        <f t="shared" si="63"/>
        <v/>
      </c>
      <c r="X224" s="7" t="str">
        <f t="shared" si="64"/>
        <v/>
      </c>
      <c r="Y224" s="7" t="str">
        <f t="shared" si="65"/>
        <v/>
      </c>
      <c r="Z224">
        <f t="shared" si="66"/>
        <v>0</v>
      </c>
      <c r="AA224" t="str">
        <f t="shared" si="67"/>
        <v/>
      </c>
      <c r="AB224" t="str">
        <f t="shared" si="68"/>
        <v/>
      </c>
      <c r="AC224" t="str">
        <f t="shared" si="69"/>
        <v/>
      </c>
      <c r="AD224" t="str">
        <f t="shared" si="70"/>
        <v/>
      </c>
      <c r="AE224">
        <f t="shared" si="71"/>
        <v>0</v>
      </c>
    </row>
    <row r="225" spans="1:31" ht="15" customHeight="1" x14ac:dyDescent="0.35">
      <c r="A225" s="2"/>
      <c r="B225" s="3"/>
      <c r="C225" s="3"/>
      <c r="D225" s="4"/>
      <c r="E225" s="5"/>
      <c r="F225" s="11" t="str">
        <f t="shared" ca="1" si="54"/>
        <v/>
      </c>
      <c r="G225" s="5"/>
      <c r="H225" s="6" t="str">
        <f>IF(AND($A225&lt;&gt;"",$B225&lt;&gt;"",$C225&lt;&gt;"",$D225&lt;&gt;"",$E225&lt;&gt;""),IF(AND($B225="s",OR($C225="SER",$C225="PLH",$C225="CSF")),"Case CDI Plate "&amp;(INT(((COUNTIFS($B$2:$B225,"s",$C$2:$C225,"SER")+COUNTIFS($B$2:$B225,"s",$C$2:$C225,"PLH")+COUNTIFS($B$2:$B225,"s",$C$2:$C225,"CSF"))-1)/96)+1)&amp;": "&amp;CHAR(65+INT(MOD((COUNTIFS($B$2:$B225,"s",$C$2:$C225,"SER")+COUNTIFS($B$2:$B225,"s",$C$2:$C225,"PLH")+COUNTIFS($B$2:$B225,"s",$C$2:$C225,"CSF"))-1,96)/12))&amp;(MOD((COUNTIFS($B$2:$B225,"s",$C$2:$C225,"SER")+COUNTIFS($B$2:$B225,"s",$C$2:$C225,"PLH")+COUNTIFS($B$2:$B225,"s",$C$2:$C225,"CSF"))-1,12)+1),"N/A"),"")</f>
        <v/>
      </c>
      <c r="I225" s="6" t="str">
        <f>IF(AND($A225&lt;&gt;"",$B225&lt;&gt;"",$C225&lt;&gt;"",$D225&lt;&gt;"",$E225&lt;&gt;""),IF(AND($B225="s",OR($C225="SER",$C225="PLH",$C225="CSF")),"Case NIH Plate "&amp;(INT(((COUNTIFS($B$2:$B225,"s",$C$2:$C225,"SER")+COUNTIFS($B$2:$B225,"s",$C$2:$C225,"PLH")+COUNTIFS($B$2:$B225,"s",$C$2:$C225,"CSF"))-1)/96)+1)&amp;": "&amp;CHAR(65+INT(MOD((COUNTIFS($B$2:$B225,"s",$C$2:$C225,"SER")+COUNTIFS($B$2:$B225,"s",$C$2:$C225,"PLH")+COUNTIFS($B$2:$B225,"s",$C$2:$C225,"CSF"))-1,96)/12))&amp;(MOD((COUNTIFS($B$2:$B225,"s",$C$2:$C225,"SER")+COUNTIFS($B$2:$B225,"s",$C$2:$C225,"PLH")+COUNTIFS($B$2:$B225,"s",$C$2:$C225,"CSF"))-1,12)+1),"N/A"),"")</f>
        <v/>
      </c>
      <c r="J225" s="6" t="str">
        <f>IF(AND($A225&lt;&gt;"",$B225&lt;&gt;"",$C225&lt;&gt;"",$D225&lt;&gt;"",$E225&lt;&gt;""),IF(AND($B225="s",OR($C225="SER",$C225="PLH")),"Case MAX Planck Plate "&amp;(INT(((COUNTIFS($B$2:$B225,"s",$C$2:$C225,"SER")+COUNTIFS($B$2:$B225,"s",$C$2:$C225,"PLH"))-1)/96)+1)&amp;": "&amp;CHAR(65+INT(MOD((COUNTIFS($B$2:$B225,"s",$C$2:$C225,"SER")+COUNTIFS($B$2:$B225,"s",$C$2:$C225,"PLH"))-1,96)/12))&amp;(MOD((COUNTIFS($B$2:$B225,"s",$C$2:$C225,"SER")+COUNTIFS($B$2:$B225,"s",$C$2:$C225,"PLH"))-1,12)+1),"N/A"),"")</f>
        <v/>
      </c>
      <c r="K225" s="6" t="str">
        <f>IF(AND($A225&lt;&gt;"",$B225&lt;&gt;"",$C225&lt;&gt;"",$D225&lt;&gt;"",$E225&lt;&gt;""),IF($C225="WB","Case WB Box "&amp;(INT((COUNTIFS($C$2:$C225,"WB")-1)/81)+1)&amp;": "&amp;CHAR(65+INT(MOD(COUNTIFS($C$2:$C225,"WB")-1,81)/9))&amp;(MOD(COUNTIFS($C$2:$C225,"WB")-1,9)+1),"N/A"),"")</f>
        <v/>
      </c>
      <c r="L225" s="2" t="str">
        <f t="shared" si="55"/>
        <v/>
      </c>
      <c r="M225" s="2"/>
      <c r="N225" s="2"/>
      <c r="O225" s="2"/>
      <c r="P225" s="7" t="str">
        <f t="shared" si="56"/>
        <v/>
      </c>
      <c r="Q225" s="7" t="str">
        <f t="shared" si="57"/>
        <v/>
      </c>
      <c r="R225" s="7" t="str">
        <f t="shared" si="58"/>
        <v/>
      </c>
      <c r="S225" s="7" t="str">
        <f t="shared" si="59"/>
        <v/>
      </c>
      <c r="T225" s="7" t="str">
        <f t="shared" si="60"/>
        <v/>
      </c>
      <c r="U225" s="7" t="str">
        <f t="shared" si="61"/>
        <v/>
      </c>
      <c r="V225" s="7" t="str">
        <f t="shared" si="62"/>
        <v/>
      </c>
      <c r="W225" s="7" t="str">
        <f t="shared" si="63"/>
        <v/>
      </c>
      <c r="X225" s="7" t="str">
        <f t="shared" si="64"/>
        <v/>
      </c>
      <c r="Y225" s="7" t="str">
        <f t="shared" si="65"/>
        <v/>
      </c>
      <c r="Z225">
        <f t="shared" si="66"/>
        <v>0</v>
      </c>
      <c r="AA225" t="str">
        <f t="shared" si="67"/>
        <v/>
      </c>
      <c r="AB225" t="str">
        <f t="shared" si="68"/>
        <v/>
      </c>
      <c r="AC225" t="str">
        <f t="shared" si="69"/>
        <v/>
      </c>
      <c r="AD225" t="str">
        <f t="shared" si="70"/>
        <v/>
      </c>
      <c r="AE225">
        <f t="shared" si="71"/>
        <v>0</v>
      </c>
    </row>
    <row r="226" spans="1:31" ht="15" customHeight="1" x14ac:dyDescent="0.35">
      <c r="A226" s="2"/>
      <c r="B226" s="3"/>
      <c r="C226" s="3"/>
      <c r="D226" s="4"/>
      <c r="E226" s="5"/>
      <c r="F226" s="11" t="str">
        <f t="shared" ca="1" si="54"/>
        <v/>
      </c>
      <c r="G226" s="5"/>
      <c r="H226" s="6" t="str">
        <f>IF(AND($A226&lt;&gt;"",$B226&lt;&gt;"",$C226&lt;&gt;"",$D226&lt;&gt;"",$E226&lt;&gt;""),IF(AND($B226="s",OR($C226="SER",$C226="PLH",$C226="CSF")),"Case CDI Plate "&amp;(INT(((COUNTIFS($B$2:$B226,"s",$C$2:$C226,"SER")+COUNTIFS($B$2:$B226,"s",$C$2:$C226,"PLH")+COUNTIFS($B$2:$B226,"s",$C$2:$C226,"CSF"))-1)/96)+1)&amp;": "&amp;CHAR(65+INT(MOD((COUNTIFS($B$2:$B226,"s",$C$2:$C226,"SER")+COUNTIFS($B$2:$B226,"s",$C$2:$C226,"PLH")+COUNTIFS($B$2:$B226,"s",$C$2:$C226,"CSF"))-1,96)/12))&amp;(MOD((COUNTIFS($B$2:$B226,"s",$C$2:$C226,"SER")+COUNTIFS($B$2:$B226,"s",$C$2:$C226,"PLH")+COUNTIFS($B$2:$B226,"s",$C$2:$C226,"CSF"))-1,12)+1),"N/A"),"")</f>
        <v/>
      </c>
      <c r="I226" s="6" t="str">
        <f>IF(AND($A226&lt;&gt;"",$B226&lt;&gt;"",$C226&lt;&gt;"",$D226&lt;&gt;"",$E226&lt;&gt;""),IF(AND($B226="s",OR($C226="SER",$C226="PLH",$C226="CSF")),"Case NIH Plate "&amp;(INT(((COUNTIFS($B$2:$B226,"s",$C$2:$C226,"SER")+COUNTIFS($B$2:$B226,"s",$C$2:$C226,"PLH")+COUNTIFS($B$2:$B226,"s",$C$2:$C226,"CSF"))-1)/96)+1)&amp;": "&amp;CHAR(65+INT(MOD((COUNTIFS($B$2:$B226,"s",$C$2:$C226,"SER")+COUNTIFS($B$2:$B226,"s",$C$2:$C226,"PLH")+COUNTIFS($B$2:$B226,"s",$C$2:$C226,"CSF"))-1,96)/12))&amp;(MOD((COUNTIFS($B$2:$B226,"s",$C$2:$C226,"SER")+COUNTIFS($B$2:$B226,"s",$C$2:$C226,"PLH")+COUNTIFS($B$2:$B226,"s",$C$2:$C226,"CSF"))-1,12)+1),"N/A"),"")</f>
        <v/>
      </c>
      <c r="J226" s="6" t="str">
        <f>IF(AND($A226&lt;&gt;"",$B226&lt;&gt;"",$C226&lt;&gt;"",$D226&lt;&gt;"",$E226&lt;&gt;""),IF(AND($B226="s",OR($C226="SER",$C226="PLH")),"Case MAX Planck Plate "&amp;(INT(((COUNTIFS($B$2:$B226,"s",$C$2:$C226,"SER")+COUNTIFS($B$2:$B226,"s",$C$2:$C226,"PLH"))-1)/96)+1)&amp;": "&amp;CHAR(65+INT(MOD((COUNTIFS($B$2:$B226,"s",$C$2:$C226,"SER")+COUNTIFS($B$2:$B226,"s",$C$2:$C226,"PLH"))-1,96)/12))&amp;(MOD((COUNTIFS($B$2:$B226,"s",$C$2:$C226,"SER")+COUNTIFS($B$2:$B226,"s",$C$2:$C226,"PLH"))-1,12)+1),"N/A"),"")</f>
        <v/>
      </c>
      <c r="K226" s="6" t="str">
        <f>IF(AND($A226&lt;&gt;"",$B226&lt;&gt;"",$C226&lt;&gt;"",$D226&lt;&gt;"",$E226&lt;&gt;""),IF($C226="WB","Case WB Box "&amp;(INT((COUNTIFS($C$2:$C226,"WB")-1)/81)+1)&amp;": "&amp;CHAR(65+INT(MOD(COUNTIFS($C$2:$C226,"WB")-1,81)/9))&amp;(MOD(COUNTIFS($C$2:$C226,"WB")-1,9)+1),"N/A"),"")</f>
        <v/>
      </c>
      <c r="L226" s="2" t="str">
        <f t="shared" si="55"/>
        <v/>
      </c>
      <c r="M226" s="2"/>
      <c r="N226" s="2"/>
      <c r="O226" s="2"/>
      <c r="P226" s="7" t="str">
        <f t="shared" si="56"/>
        <v/>
      </c>
      <c r="Q226" s="7" t="str">
        <f t="shared" si="57"/>
        <v/>
      </c>
      <c r="R226" s="7" t="str">
        <f t="shared" si="58"/>
        <v/>
      </c>
      <c r="S226" s="7" t="str">
        <f t="shared" si="59"/>
        <v/>
      </c>
      <c r="T226" s="7" t="str">
        <f t="shared" si="60"/>
        <v/>
      </c>
      <c r="U226" s="7" t="str">
        <f t="shared" si="61"/>
        <v/>
      </c>
      <c r="V226" s="7" t="str">
        <f t="shared" si="62"/>
        <v/>
      </c>
      <c r="W226" s="7" t="str">
        <f t="shared" si="63"/>
        <v/>
      </c>
      <c r="X226" s="7" t="str">
        <f t="shared" si="64"/>
        <v/>
      </c>
      <c r="Y226" s="7" t="str">
        <f t="shared" si="65"/>
        <v/>
      </c>
      <c r="Z226">
        <f t="shared" si="66"/>
        <v>0</v>
      </c>
      <c r="AA226" t="str">
        <f t="shared" si="67"/>
        <v/>
      </c>
      <c r="AB226" t="str">
        <f t="shared" si="68"/>
        <v/>
      </c>
      <c r="AC226" t="str">
        <f t="shared" si="69"/>
        <v/>
      </c>
      <c r="AD226" t="str">
        <f t="shared" si="70"/>
        <v/>
      </c>
      <c r="AE226">
        <f t="shared" si="71"/>
        <v>0</v>
      </c>
    </row>
    <row r="227" spans="1:31" ht="15" customHeight="1" x14ac:dyDescent="0.35">
      <c r="A227" s="2"/>
      <c r="B227" s="3"/>
      <c r="C227" s="3"/>
      <c r="D227" s="4"/>
      <c r="E227" s="5"/>
      <c r="F227" s="11" t="str">
        <f t="shared" ca="1" si="54"/>
        <v/>
      </c>
      <c r="G227" s="5"/>
      <c r="H227" s="6" t="str">
        <f>IF(AND($A227&lt;&gt;"",$B227&lt;&gt;"",$C227&lt;&gt;"",$D227&lt;&gt;"",$E227&lt;&gt;""),IF(AND($B227="s",OR($C227="SER",$C227="PLH",$C227="CSF")),"Case CDI Plate "&amp;(INT(((COUNTIFS($B$2:$B227,"s",$C$2:$C227,"SER")+COUNTIFS($B$2:$B227,"s",$C$2:$C227,"PLH")+COUNTIFS($B$2:$B227,"s",$C$2:$C227,"CSF"))-1)/96)+1)&amp;": "&amp;CHAR(65+INT(MOD((COUNTIFS($B$2:$B227,"s",$C$2:$C227,"SER")+COUNTIFS($B$2:$B227,"s",$C$2:$C227,"PLH")+COUNTIFS($B$2:$B227,"s",$C$2:$C227,"CSF"))-1,96)/12))&amp;(MOD((COUNTIFS($B$2:$B227,"s",$C$2:$C227,"SER")+COUNTIFS($B$2:$B227,"s",$C$2:$C227,"PLH")+COUNTIFS($B$2:$B227,"s",$C$2:$C227,"CSF"))-1,12)+1),"N/A"),"")</f>
        <v/>
      </c>
      <c r="I227" s="6" t="str">
        <f>IF(AND($A227&lt;&gt;"",$B227&lt;&gt;"",$C227&lt;&gt;"",$D227&lt;&gt;"",$E227&lt;&gt;""),IF(AND($B227="s",OR($C227="SER",$C227="PLH",$C227="CSF")),"Case NIH Plate "&amp;(INT(((COUNTIFS($B$2:$B227,"s",$C$2:$C227,"SER")+COUNTIFS($B$2:$B227,"s",$C$2:$C227,"PLH")+COUNTIFS($B$2:$B227,"s",$C$2:$C227,"CSF"))-1)/96)+1)&amp;": "&amp;CHAR(65+INT(MOD((COUNTIFS($B$2:$B227,"s",$C$2:$C227,"SER")+COUNTIFS($B$2:$B227,"s",$C$2:$C227,"PLH")+COUNTIFS($B$2:$B227,"s",$C$2:$C227,"CSF"))-1,96)/12))&amp;(MOD((COUNTIFS($B$2:$B227,"s",$C$2:$C227,"SER")+COUNTIFS($B$2:$B227,"s",$C$2:$C227,"PLH")+COUNTIFS($B$2:$B227,"s",$C$2:$C227,"CSF"))-1,12)+1),"N/A"),"")</f>
        <v/>
      </c>
      <c r="J227" s="6" t="str">
        <f>IF(AND($A227&lt;&gt;"",$B227&lt;&gt;"",$C227&lt;&gt;"",$D227&lt;&gt;"",$E227&lt;&gt;""),IF(AND($B227="s",OR($C227="SER",$C227="PLH")),"Case MAX Planck Plate "&amp;(INT(((COUNTIFS($B$2:$B227,"s",$C$2:$C227,"SER")+COUNTIFS($B$2:$B227,"s",$C$2:$C227,"PLH"))-1)/96)+1)&amp;": "&amp;CHAR(65+INT(MOD((COUNTIFS($B$2:$B227,"s",$C$2:$C227,"SER")+COUNTIFS($B$2:$B227,"s",$C$2:$C227,"PLH"))-1,96)/12))&amp;(MOD((COUNTIFS($B$2:$B227,"s",$C$2:$C227,"SER")+COUNTIFS($B$2:$B227,"s",$C$2:$C227,"PLH"))-1,12)+1),"N/A"),"")</f>
        <v/>
      </c>
      <c r="K227" s="6" t="str">
        <f>IF(AND($A227&lt;&gt;"",$B227&lt;&gt;"",$C227&lt;&gt;"",$D227&lt;&gt;"",$E227&lt;&gt;""),IF($C227="WB","Case WB Box "&amp;(INT((COUNTIFS($C$2:$C227,"WB")-1)/81)+1)&amp;": "&amp;CHAR(65+INT(MOD(COUNTIFS($C$2:$C227,"WB")-1,81)/9))&amp;(MOD(COUNTIFS($C$2:$C227,"WB")-1,9)+1),"N/A"),"")</f>
        <v/>
      </c>
      <c r="L227" s="2" t="str">
        <f t="shared" si="55"/>
        <v/>
      </c>
      <c r="M227" s="2"/>
      <c r="N227" s="2"/>
      <c r="O227" s="2"/>
      <c r="P227" s="7" t="str">
        <f t="shared" si="56"/>
        <v/>
      </c>
      <c r="Q227" s="7" t="str">
        <f t="shared" si="57"/>
        <v/>
      </c>
      <c r="R227" s="7" t="str">
        <f t="shared" si="58"/>
        <v/>
      </c>
      <c r="S227" s="7" t="str">
        <f t="shared" si="59"/>
        <v/>
      </c>
      <c r="T227" s="7" t="str">
        <f t="shared" si="60"/>
        <v/>
      </c>
      <c r="U227" s="7" t="str">
        <f t="shared" si="61"/>
        <v/>
      </c>
      <c r="V227" s="7" t="str">
        <f t="shared" si="62"/>
        <v/>
      </c>
      <c r="W227" s="7" t="str">
        <f t="shared" si="63"/>
        <v/>
      </c>
      <c r="X227" s="7" t="str">
        <f t="shared" si="64"/>
        <v/>
      </c>
      <c r="Y227" s="7" t="str">
        <f t="shared" si="65"/>
        <v/>
      </c>
      <c r="Z227">
        <f t="shared" si="66"/>
        <v>0</v>
      </c>
      <c r="AA227" t="str">
        <f t="shared" si="67"/>
        <v/>
      </c>
      <c r="AB227" t="str">
        <f t="shared" si="68"/>
        <v/>
      </c>
      <c r="AC227" t="str">
        <f t="shared" si="69"/>
        <v/>
      </c>
      <c r="AD227" t="str">
        <f t="shared" si="70"/>
        <v/>
      </c>
      <c r="AE227">
        <f t="shared" si="71"/>
        <v>0</v>
      </c>
    </row>
    <row r="228" spans="1:31" ht="15" customHeight="1" x14ac:dyDescent="0.35">
      <c r="A228" s="2"/>
      <c r="B228" s="3"/>
      <c r="C228" s="3"/>
      <c r="D228" s="4"/>
      <c r="E228" s="5"/>
      <c r="F228" s="11" t="str">
        <f t="shared" ca="1" si="54"/>
        <v/>
      </c>
      <c r="G228" s="5"/>
      <c r="H228" s="6" t="str">
        <f>IF(AND($A228&lt;&gt;"",$B228&lt;&gt;"",$C228&lt;&gt;"",$D228&lt;&gt;"",$E228&lt;&gt;""),IF(AND($B228="s",OR($C228="SER",$C228="PLH",$C228="CSF")),"Case CDI Plate "&amp;(INT(((COUNTIFS($B$2:$B228,"s",$C$2:$C228,"SER")+COUNTIFS($B$2:$B228,"s",$C$2:$C228,"PLH")+COUNTIFS($B$2:$B228,"s",$C$2:$C228,"CSF"))-1)/96)+1)&amp;": "&amp;CHAR(65+INT(MOD((COUNTIFS($B$2:$B228,"s",$C$2:$C228,"SER")+COUNTIFS($B$2:$B228,"s",$C$2:$C228,"PLH")+COUNTIFS($B$2:$B228,"s",$C$2:$C228,"CSF"))-1,96)/12))&amp;(MOD((COUNTIFS($B$2:$B228,"s",$C$2:$C228,"SER")+COUNTIFS($B$2:$B228,"s",$C$2:$C228,"PLH")+COUNTIFS($B$2:$B228,"s",$C$2:$C228,"CSF"))-1,12)+1),"N/A"),"")</f>
        <v/>
      </c>
      <c r="I228" s="6" t="str">
        <f>IF(AND($A228&lt;&gt;"",$B228&lt;&gt;"",$C228&lt;&gt;"",$D228&lt;&gt;"",$E228&lt;&gt;""),IF(AND($B228="s",OR($C228="SER",$C228="PLH",$C228="CSF")),"Case NIH Plate "&amp;(INT(((COUNTIFS($B$2:$B228,"s",$C$2:$C228,"SER")+COUNTIFS($B$2:$B228,"s",$C$2:$C228,"PLH")+COUNTIFS($B$2:$B228,"s",$C$2:$C228,"CSF"))-1)/96)+1)&amp;": "&amp;CHAR(65+INT(MOD((COUNTIFS($B$2:$B228,"s",$C$2:$C228,"SER")+COUNTIFS($B$2:$B228,"s",$C$2:$C228,"PLH")+COUNTIFS($B$2:$B228,"s",$C$2:$C228,"CSF"))-1,96)/12))&amp;(MOD((COUNTIFS($B$2:$B228,"s",$C$2:$C228,"SER")+COUNTIFS($B$2:$B228,"s",$C$2:$C228,"PLH")+COUNTIFS($B$2:$B228,"s",$C$2:$C228,"CSF"))-1,12)+1),"N/A"),"")</f>
        <v/>
      </c>
      <c r="J228" s="6" t="str">
        <f>IF(AND($A228&lt;&gt;"",$B228&lt;&gt;"",$C228&lt;&gt;"",$D228&lt;&gt;"",$E228&lt;&gt;""),IF(AND($B228="s",OR($C228="SER",$C228="PLH")),"Case MAX Planck Plate "&amp;(INT(((COUNTIFS($B$2:$B228,"s",$C$2:$C228,"SER")+COUNTIFS($B$2:$B228,"s",$C$2:$C228,"PLH"))-1)/96)+1)&amp;": "&amp;CHAR(65+INT(MOD((COUNTIFS($B$2:$B228,"s",$C$2:$C228,"SER")+COUNTIFS($B$2:$B228,"s",$C$2:$C228,"PLH"))-1,96)/12))&amp;(MOD((COUNTIFS($B$2:$B228,"s",$C$2:$C228,"SER")+COUNTIFS($B$2:$B228,"s",$C$2:$C228,"PLH"))-1,12)+1),"N/A"),"")</f>
        <v/>
      </c>
      <c r="K228" s="6" t="str">
        <f>IF(AND($A228&lt;&gt;"",$B228&lt;&gt;"",$C228&lt;&gt;"",$D228&lt;&gt;"",$E228&lt;&gt;""),IF($C228="WB","Case WB Box "&amp;(INT((COUNTIFS($C$2:$C228,"WB")-1)/81)+1)&amp;": "&amp;CHAR(65+INT(MOD(COUNTIFS($C$2:$C228,"WB")-1,81)/9))&amp;(MOD(COUNTIFS($C$2:$C228,"WB")-1,9)+1),"N/A"),"")</f>
        <v/>
      </c>
      <c r="L228" s="2" t="str">
        <f t="shared" si="55"/>
        <v/>
      </c>
      <c r="M228" s="2"/>
      <c r="N228" s="2"/>
      <c r="O228" s="2"/>
      <c r="P228" s="7" t="str">
        <f t="shared" si="56"/>
        <v/>
      </c>
      <c r="Q228" s="7" t="str">
        <f t="shared" si="57"/>
        <v/>
      </c>
      <c r="R228" s="7" t="str">
        <f t="shared" si="58"/>
        <v/>
      </c>
      <c r="S228" s="7" t="str">
        <f t="shared" si="59"/>
        <v/>
      </c>
      <c r="T228" s="7" t="str">
        <f t="shared" si="60"/>
        <v/>
      </c>
      <c r="U228" s="7" t="str">
        <f t="shared" si="61"/>
        <v/>
      </c>
      <c r="V228" s="7" t="str">
        <f t="shared" si="62"/>
        <v/>
      </c>
      <c r="W228" s="7" t="str">
        <f t="shared" si="63"/>
        <v/>
      </c>
      <c r="X228" s="7" t="str">
        <f t="shared" si="64"/>
        <v/>
      </c>
      <c r="Y228" s="7" t="str">
        <f t="shared" si="65"/>
        <v/>
      </c>
      <c r="Z228">
        <f t="shared" si="66"/>
        <v>0</v>
      </c>
      <c r="AA228" t="str">
        <f t="shared" si="67"/>
        <v/>
      </c>
      <c r="AB228" t="str">
        <f t="shared" si="68"/>
        <v/>
      </c>
      <c r="AC228" t="str">
        <f t="shared" si="69"/>
        <v/>
      </c>
      <c r="AD228" t="str">
        <f t="shared" si="70"/>
        <v/>
      </c>
      <c r="AE228">
        <f t="shared" si="71"/>
        <v>0</v>
      </c>
    </row>
    <row r="229" spans="1:31" ht="15" customHeight="1" x14ac:dyDescent="0.35">
      <c r="A229" s="2"/>
      <c r="B229" s="3"/>
      <c r="C229" s="3"/>
      <c r="D229" s="4"/>
      <c r="E229" s="5"/>
      <c r="F229" s="11" t="str">
        <f t="shared" ca="1" si="54"/>
        <v/>
      </c>
      <c r="G229" s="5"/>
      <c r="H229" s="6" t="str">
        <f>IF(AND($A229&lt;&gt;"",$B229&lt;&gt;"",$C229&lt;&gt;"",$D229&lt;&gt;"",$E229&lt;&gt;""),IF(AND($B229="s",OR($C229="SER",$C229="PLH",$C229="CSF")),"Case CDI Plate "&amp;(INT(((COUNTIFS($B$2:$B229,"s",$C$2:$C229,"SER")+COUNTIFS($B$2:$B229,"s",$C$2:$C229,"PLH")+COUNTIFS($B$2:$B229,"s",$C$2:$C229,"CSF"))-1)/96)+1)&amp;": "&amp;CHAR(65+INT(MOD((COUNTIFS($B$2:$B229,"s",$C$2:$C229,"SER")+COUNTIFS($B$2:$B229,"s",$C$2:$C229,"PLH")+COUNTIFS($B$2:$B229,"s",$C$2:$C229,"CSF"))-1,96)/12))&amp;(MOD((COUNTIFS($B$2:$B229,"s",$C$2:$C229,"SER")+COUNTIFS($B$2:$B229,"s",$C$2:$C229,"PLH")+COUNTIFS($B$2:$B229,"s",$C$2:$C229,"CSF"))-1,12)+1),"N/A"),"")</f>
        <v/>
      </c>
      <c r="I229" s="6" t="str">
        <f>IF(AND($A229&lt;&gt;"",$B229&lt;&gt;"",$C229&lt;&gt;"",$D229&lt;&gt;"",$E229&lt;&gt;""),IF(AND($B229="s",OR($C229="SER",$C229="PLH",$C229="CSF")),"Case NIH Plate "&amp;(INT(((COUNTIFS($B$2:$B229,"s",$C$2:$C229,"SER")+COUNTIFS($B$2:$B229,"s",$C$2:$C229,"PLH")+COUNTIFS($B$2:$B229,"s",$C$2:$C229,"CSF"))-1)/96)+1)&amp;": "&amp;CHAR(65+INT(MOD((COUNTIFS($B$2:$B229,"s",$C$2:$C229,"SER")+COUNTIFS($B$2:$B229,"s",$C$2:$C229,"PLH")+COUNTIFS($B$2:$B229,"s",$C$2:$C229,"CSF"))-1,96)/12))&amp;(MOD((COUNTIFS($B$2:$B229,"s",$C$2:$C229,"SER")+COUNTIFS($B$2:$B229,"s",$C$2:$C229,"PLH")+COUNTIFS($B$2:$B229,"s",$C$2:$C229,"CSF"))-1,12)+1),"N/A"),"")</f>
        <v/>
      </c>
      <c r="J229" s="6" t="str">
        <f>IF(AND($A229&lt;&gt;"",$B229&lt;&gt;"",$C229&lt;&gt;"",$D229&lt;&gt;"",$E229&lt;&gt;""),IF(AND($B229="s",OR($C229="SER",$C229="PLH")),"Case MAX Planck Plate "&amp;(INT(((COUNTIFS($B$2:$B229,"s",$C$2:$C229,"SER")+COUNTIFS($B$2:$B229,"s",$C$2:$C229,"PLH"))-1)/96)+1)&amp;": "&amp;CHAR(65+INT(MOD((COUNTIFS($B$2:$B229,"s",$C$2:$C229,"SER")+COUNTIFS($B$2:$B229,"s",$C$2:$C229,"PLH"))-1,96)/12))&amp;(MOD((COUNTIFS($B$2:$B229,"s",$C$2:$C229,"SER")+COUNTIFS($B$2:$B229,"s",$C$2:$C229,"PLH"))-1,12)+1),"N/A"),"")</f>
        <v/>
      </c>
      <c r="K229" s="6" t="str">
        <f>IF(AND($A229&lt;&gt;"",$B229&lt;&gt;"",$C229&lt;&gt;"",$D229&lt;&gt;"",$E229&lt;&gt;""),IF($C229="WB","Case WB Box "&amp;(INT((COUNTIFS($C$2:$C229,"WB")-1)/81)+1)&amp;": "&amp;CHAR(65+INT(MOD(COUNTIFS($C$2:$C229,"WB")-1,81)/9))&amp;(MOD(COUNTIFS($C$2:$C229,"WB")-1,9)+1),"N/A"),"")</f>
        <v/>
      </c>
      <c r="L229" s="2" t="str">
        <f t="shared" si="55"/>
        <v/>
      </c>
      <c r="M229" s="2"/>
      <c r="N229" s="2"/>
      <c r="O229" s="2"/>
      <c r="P229" s="7" t="str">
        <f t="shared" si="56"/>
        <v/>
      </c>
      <c r="Q229" s="7" t="str">
        <f t="shared" si="57"/>
        <v/>
      </c>
      <c r="R229" s="7" t="str">
        <f t="shared" si="58"/>
        <v/>
      </c>
      <c r="S229" s="7" t="str">
        <f t="shared" si="59"/>
        <v/>
      </c>
      <c r="T229" s="7" t="str">
        <f t="shared" si="60"/>
        <v/>
      </c>
      <c r="U229" s="7" t="str">
        <f t="shared" si="61"/>
        <v/>
      </c>
      <c r="V229" s="7" t="str">
        <f t="shared" si="62"/>
        <v/>
      </c>
      <c r="W229" s="7" t="str">
        <f t="shared" si="63"/>
        <v/>
      </c>
      <c r="X229" s="7" t="str">
        <f t="shared" si="64"/>
        <v/>
      </c>
      <c r="Y229" s="7" t="str">
        <f t="shared" si="65"/>
        <v/>
      </c>
      <c r="Z229">
        <f t="shared" si="66"/>
        <v>0</v>
      </c>
      <c r="AA229" t="str">
        <f t="shared" si="67"/>
        <v/>
      </c>
      <c r="AB229" t="str">
        <f t="shared" si="68"/>
        <v/>
      </c>
      <c r="AC229" t="str">
        <f t="shared" si="69"/>
        <v/>
      </c>
      <c r="AD229" t="str">
        <f t="shared" si="70"/>
        <v/>
      </c>
      <c r="AE229">
        <f t="shared" si="71"/>
        <v>0</v>
      </c>
    </row>
    <row r="230" spans="1:31" ht="15" customHeight="1" x14ac:dyDescent="0.35">
      <c r="A230" s="2"/>
      <c r="B230" s="3"/>
      <c r="C230" s="3"/>
      <c r="D230" s="4"/>
      <c r="E230" s="5"/>
      <c r="F230" s="11" t="str">
        <f t="shared" ca="1" si="54"/>
        <v/>
      </c>
      <c r="G230" s="5"/>
      <c r="H230" s="6" t="str">
        <f>IF(AND($A230&lt;&gt;"",$B230&lt;&gt;"",$C230&lt;&gt;"",$D230&lt;&gt;"",$E230&lt;&gt;""),IF(AND($B230="s",OR($C230="SER",$C230="PLH",$C230="CSF")),"Case CDI Plate "&amp;(INT(((COUNTIFS($B$2:$B230,"s",$C$2:$C230,"SER")+COUNTIFS($B$2:$B230,"s",$C$2:$C230,"PLH")+COUNTIFS($B$2:$B230,"s",$C$2:$C230,"CSF"))-1)/96)+1)&amp;": "&amp;CHAR(65+INT(MOD((COUNTIFS($B$2:$B230,"s",$C$2:$C230,"SER")+COUNTIFS($B$2:$B230,"s",$C$2:$C230,"PLH")+COUNTIFS($B$2:$B230,"s",$C$2:$C230,"CSF"))-1,96)/12))&amp;(MOD((COUNTIFS($B$2:$B230,"s",$C$2:$C230,"SER")+COUNTIFS($B$2:$B230,"s",$C$2:$C230,"PLH")+COUNTIFS($B$2:$B230,"s",$C$2:$C230,"CSF"))-1,12)+1),"N/A"),"")</f>
        <v/>
      </c>
      <c r="I230" s="6" t="str">
        <f>IF(AND($A230&lt;&gt;"",$B230&lt;&gt;"",$C230&lt;&gt;"",$D230&lt;&gt;"",$E230&lt;&gt;""),IF(AND($B230="s",OR($C230="SER",$C230="PLH",$C230="CSF")),"Case NIH Plate "&amp;(INT(((COUNTIFS($B$2:$B230,"s",$C$2:$C230,"SER")+COUNTIFS($B$2:$B230,"s",$C$2:$C230,"PLH")+COUNTIFS($B$2:$B230,"s",$C$2:$C230,"CSF"))-1)/96)+1)&amp;": "&amp;CHAR(65+INT(MOD((COUNTIFS($B$2:$B230,"s",$C$2:$C230,"SER")+COUNTIFS($B$2:$B230,"s",$C$2:$C230,"PLH")+COUNTIFS($B$2:$B230,"s",$C$2:$C230,"CSF"))-1,96)/12))&amp;(MOD((COUNTIFS($B$2:$B230,"s",$C$2:$C230,"SER")+COUNTIFS($B$2:$B230,"s",$C$2:$C230,"PLH")+COUNTIFS($B$2:$B230,"s",$C$2:$C230,"CSF"))-1,12)+1),"N/A"),"")</f>
        <v/>
      </c>
      <c r="J230" s="6" t="str">
        <f>IF(AND($A230&lt;&gt;"",$B230&lt;&gt;"",$C230&lt;&gt;"",$D230&lt;&gt;"",$E230&lt;&gt;""),IF(AND($B230="s",OR($C230="SER",$C230="PLH")),"Case MAX Planck Plate "&amp;(INT(((COUNTIFS($B$2:$B230,"s",$C$2:$C230,"SER")+COUNTIFS($B$2:$B230,"s",$C$2:$C230,"PLH"))-1)/96)+1)&amp;": "&amp;CHAR(65+INT(MOD((COUNTIFS($B$2:$B230,"s",$C$2:$C230,"SER")+COUNTIFS($B$2:$B230,"s",$C$2:$C230,"PLH"))-1,96)/12))&amp;(MOD((COUNTIFS($B$2:$B230,"s",$C$2:$C230,"SER")+COUNTIFS($B$2:$B230,"s",$C$2:$C230,"PLH"))-1,12)+1),"N/A"),"")</f>
        <v/>
      </c>
      <c r="K230" s="6" t="str">
        <f>IF(AND($A230&lt;&gt;"",$B230&lt;&gt;"",$C230&lt;&gt;"",$D230&lt;&gt;"",$E230&lt;&gt;""),IF($C230="WB","Case WB Box "&amp;(INT((COUNTIFS($C$2:$C230,"WB")-1)/81)+1)&amp;": "&amp;CHAR(65+INT(MOD(COUNTIFS($C$2:$C230,"WB")-1,81)/9))&amp;(MOD(COUNTIFS($C$2:$C230,"WB")-1,9)+1),"N/A"),"")</f>
        <v/>
      </c>
      <c r="L230" s="2" t="str">
        <f t="shared" si="55"/>
        <v/>
      </c>
      <c r="M230" s="2"/>
      <c r="N230" s="2"/>
      <c r="O230" s="2"/>
      <c r="P230" s="7" t="str">
        <f t="shared" si="56"/>
        <v/>
      </c>
      <c r="Q230" s="7" t="str">
        <f t="shared" si="57"/>
        <v/>
      </c>
      <c r="R230" s="7" t="str">
        <f t="shared" si="58"/>
        <v/>
      </c>
      <c r="S230" s="7" t="str">
        <f t="shared" si="59"/>
        <v/>
      </c>
      <c r="T230" s="7" t="str">
        <f t="shared" si="60"/>
        <v/>
      </c>
      <c r="U230" s="7" t="str">
        <f t="shared" si="61"/>
        <v/>
      </c>
      <c r="V230" s="7" t="str">
        <f t="shared" si="62"/>
        <v/>
      </c>
      <c r="W230" s="7" t="str">
        <f t="shared" si="63"/>
        <v/>
      </c>
      <c r="X230" s="7" t="str">
        <f t="shared" si="64"/>
        <v/>
      </c>
      <c r="Y230" s="7" t="str">
        <f t="shared" si="65"/>
        <v/>
      </c>
      <c r="Z230">
        <f t="shared" si="66"/>
        <v>0</v>
      </c>
      <c r="AA230" t="str">
        <f t="shared" si="67"/>
        <v/>
      </c>
      <c r="AB230" t="str">
        <f t="shared" si="68"/>
        <v/>
      </c>
      <c r="AC230" t="str">
        <f t="shared" si="69"/>
        <v/>
      </c>
      <c r="AD230" t="str">
        <f t="shared" si="70"/>
        <v/>
      </c>
      <c r="AE230">
        <f t="shared" si="71"/>
        <v>0</v>
      </c>
    </row>
    <row r="231" spans="1:31" ht="15" customHeight="1" x14ac:dyDescent="0.35">
      <c r="A231" s="2"/>
      <c r="B231" s="3"/>
      <c r="C231" s="3"/>
      <c r="D231" s="4"/>
      <c r="E231" s="5"/>
      <c r="F231" s="11" t="str">
        <f t="shared" ca="1" si="54"/>
        <v/>
      </c>
      <c r="G231" s="5"/>
      <c r="H231" s="6" t="str">
        <f>IF(AND($A231&lt;&gt;"",$B231&lt;&gt;"",$C231&lt;&gt;"",$D231&lt;&gt;"",$E231&lt;&gt;""),IF(AND($B231="s",OR($C231="SER",$C231="PLH",$C231="CSF")),"Case CDI Plate "&amp;(INT(((COUNTIFS($B$2:$B231,"s",$C$2:$C231,"SER")+COUNTIFS($B$2:$B231,"s",$C$2:$C231,"PLH")+COUNTIFS($B$2:$B231,"s",$C$2:$C231,"CSF"))-1)/96)+1)&amp;": "&amp;CHAR(65+INT(MOD((COUNTIFS($B$2:$B231,"s",$C$2:$C231,"SER")+COUNTIFS($B$2:$B231,"s",$C$2:$C231,"PLH")+COUNTIFS($B$2:$B231,"s",$C$2:$C231,"CSF"))-1,96)/12))&amp;(MOD((COUNTIFS($B$2:$B231,"s",$C$2:$C231,"SER")+COUNTIFS($B$2:$B231,"s",$C$2:$C231,"PLH")+COUNTIFS($B$2:$B231,"s",$C$2:$C231,"CSF"))-1,12)+1),"N/A"),"")</f>
        <v/>
      </c>
      <c r="I231" s="6" t="str">
        <f>IF(AND($A231&lt;&gt;"",$B231&lt;&gt;"",$C231&lt;&gt;"",$D231&lt;&gt;"",$E231&lt;&gt;""),IF(AND($B231="s",OR($C231="SER",$C231="PLH",$C231="CSF")),"Case NIH Plate "&amp;(INT(((COUNTIFS($B$2:$B231,"s",$C$2:$C231,"SER")+COUNTIFS($B$2:$B231,"s",$C$2:$C231,"PLH")+COUNTIFS($B$2:$B231,"s",$C$2:$C231,"CSF"))-1)/96)+1)&amp;": "&amp;CHAR(65+INT(MOD((COUNTIFS($B$2:$B231,"s",$C$2:$C231,"SER")+COUNTIFS($B$2:$B231,"s",$C$2:$C231,"PLH")+COUNTIFS($B$2:$B231,"s",$C$2:$C231,"CSF"))-1,96)/12))&amp;(MOD((COUNTIFS($B$2:$B231,"s",$C$2:$C231,"SER")+COUNTIFS($B$2:$B231,"s",$C$2:$C231,"PLH")+COUNTIFS($B$2:$B231,"s",$C$2:$C231,"CSF"))-1,12)+1),"N/A"),"")</f>
        <v/>
      </c>
      <c r="J231" s="6" t="str">
        <f>IF(AND($A231&lt;&gt;"",$B231&lt;&gt;"",$C231&lt;&gt;"",$D231&lt;&gt;"",$E231&lt;&gt;""),IF(AND($B231="s",OR($C231="SER",$C231="PLH")),"Case MAX Planck Plate "&amp;(INT(((COUNTIFS($B$2:$B231,"s",$C$2:$C231,"SER")+COUNTIFS($B$2:$B231,"s",$C$2:$C231,"PLH"))-1)/96)+1)&amp;": "&amp;CHAR(65+INT(MOD((COUNTIFS($B$2:$B231,"s",$C$2:$C231,"SER")+COUNTIFS($B$2:$B231,"s",$C$2:$C231,"PLH"))-1,96)/12))&amp;(MOD((COUNTIFS($B$2:$B231,"s",$C$2:$C231,"SER")+COUNTIFS($B$2:$B231,"s",$C$2:$C231,"PLH"))-1,12)+1),"N/A"),"")</f>
        <v/>
      </c>
      <c r="K231" s="6" t="str">
        <f>IF(AND($A231&lt;&gt;"",$B231&lt;&gt;"",$C231&lt;&gt;"",$D231&lt;&gt;"",$E231&lt;&gt;""),IF($C231="WB","Case WB Box "&amp;(INT((COUNTIFS($C$2:$C231,"WB")-1)/81)+1)&amp;": "&amp;CHAR(65+INT(MOD(COUNTIFS($C$2:$C231,"WB")-1,81)/9))&amp;(MOD(COUNTIFS($C$2:$C231,"WB")-1,9)+1),"N/A"),"")</f>
        <v/>
      </c>
      <c r="L231" s="2" t="str">
        <f t="shared" si="55"/>
        <v/>
      </c>
      <c r="M231" s="2"/>
      <c r="N231" s="2"/>
      <c r="O231" s="2"/>
      <c r="P231" s="7" t="str">
        <f t="shared" si="56"/>
        <v/>
      </c>
      <c r="Q231" s="7" t="str">
        <f t="shared" si="57"/>
        <v/>
      </c>
      <c r="R231" s="7" t="str">
        <f t="shared" si="58"/>
        <v/>
      </c>
      <c r="S231" s="7" t="str">
        <f t="shared" si="59"/>
        <v/>
      </c>
      <c r="T231" s="7" t="str">
        <f t="shared" si="60"/>
        <v/>
      </c>
      <c r="U231" s="7" t="str">
        <f t="shared" si="61"/>
        <v/>
      </c>
      <c r="V231" s="7" t="str">
        <f t="shared" si="62"/>
        <v/>
      </c>
      <c r="W231" s="7" t="str">
        <f t="shared" si="63"/>
        <v/>
      </c>
      <c r="X231" s="7" t="str">
        <f t="shared" si="64"/>
        <v/>
      </c>
      <c r="Y231" s="7" t="str">
        <f t="shared" si="65"/>
        <v/>
      </c>
      <c r="Z231">
        <f t="shared" si="66"/>
        <v>0</v>
      </c>
      <c r="AA231" t="str">
        <f t="shared" si="67"/>
        <v/>
      </c>
      <c r="AB231" t="str">
        <f t="shared" si="68"/>
        <v/>
      </c>
      <c r="AC231" t="str">
        <f t="shared" si="69"/>
        <v/>
      </c>
      <c r="AD231" t="str">
        <f t="shared" si="70"/>
        <v/>
      </c>
      <c r="AE231">
        <f t="shared" si="71"/>
        <v>0</v>
      </c>
    </row>
    <row r="232" spans="1:31" ht="15" customHeight="1" x14ac:dyDescent="0.35">
      <c r="A232" s="2"/>
      <c r="B232" s="3"/>
      <c r="C232" s="3"/>
      <c r="D232" s="4"/>
      <c r="E232" s="5"/>
      <c r="F232" s="11" t="str">
        <f t="shared" ca="1" si="54"/>
        <v/>
      </c>
      <c r="G232" s="5"/>
      <c r="H232" s="6" t="str">
        <f>IF(AND($A232&lt;&gt;"",$B232&lt;&gt;"",$C232&lt;&gt;"",$D232&lt;&gt;"",$E232&lt;&gt;""),IF(AND($B232="s",OR($C232="SER",$C232="PLH",$C232="CSF")),"Case CDI Plate "&amp;(INT(((COUNTIFS($B$2:$B232,"s",$C$2:$C232,"SER")+COUNTIFS($B$2:$B232,"s",$C$2:$C232,"PLH")+COUNTIFS($B$2:$B232,"s",$C$2:$C232,"CSF"))-1)/96)+1)&amp;": "&amp;CHAR(65+INT(MOD((COUNTIFS($B$2:$B232,"s",$C$2:$C232,"SER")+COUNTIFS($B$2:$B232,"s",$C$2:$C232,"PLH")+COUNTIFS($B$2:$B232,"s",$C$2:$C232,"CSF"))-1,96)/12))&amp;(MOD((COUNTIFS($B$2:$B232,"s",$C$2:$C232,"SER")+COUNTIFS($B$2:$B232,"s",$C$2:$C232,"PLH")+COUNTIFS($B$2:$B232,"s",$C$2:$C232,"CSF"))-1,12)+1),"N/A"),"")</f>
        <v/>
      </c>
      <c r="I232" s="6" t="str">
        <f>IF(AND($A232&lt;&gt;"",$B232&lt;&gt;"",$C232&lt;&gt;"",$D232&lt;&gt;"",$E232&lt;&gt;""),IF(AND($B232="s",OR($C232="SER",$C232="PLH",$C232="CSF")),"Case NIH Plate "&amp;(INT(((COUNTIFS($B$2:$B232,"s",$C$2:$C232,"SER")+COUNTIFS($B$2:$B232,"s",$C$2:$C232,"PLH")+COUNTIFS($B$2:$B232,"s",$C$2:$C232,"CSF"))-1)/96)+1)&amp;": "&amp;CHAR(65+INT(MOD((COUNTIFS($B$2:$B232,"s",$C$2:$C232,"SER")+COUNTIFS($B$2:$B232,"s",$C$2:$C232,"PLH")+COUNTIFS($B$2:$B232,"s",$C$2:$C232,"CSF"))-1,96)/12))&amp;(MOD((COUNTIFS($B$2:$B232,"s",$C$2:$C232,"SER")+COUNTIFS($B$2:$B232,"s",$C$2:$C232,"PLH")+COUNTIFS($B$2:$B232,"s",$C$2:$C232,"CSF"))-1,12)+1),"N/A"),"")</f>
        <v/>
      </c>
      <c r="J232" s="6" t="str">
        <f>IF(AND($A232&lt;&gt;"",$B232&lt;&gt;"",$C232&lt;&gt;"",$D232&lt;&gt;"",$E232&lt;&gt;""),IF(AND($B232="s",OR($C232="SER",$C232="PLH")),"Case MAX Planck Plate "&amp;(INT(((COUNTIFS($B$2:$B232,"s",$C$2:$C232,"SER")+COUNTIFS($B$2:$B232,"s",$C$2:$C232,"PLH"))-1)/96)+1)&amp;": "&amp;CHAR(65+INT(MOD((COUNTIFS($B$2:$B232,"s",$C$2:$C232,"SER")+COUNTIFS($B$2:$B232,"s",$C$2:$C232,"PLH"))-1,96)/12))&amp;(MOD((COUNTIFS($B$2:$B232,"s",$C$2:$C232,"SER")+COUNTIFS($B$2:$B232,"s",$C$2:$C232,"PLH"))-1,12)+1),"N/A"),"")</f>
        <v/>
      </c>
      <c r="K232" s="6" t="str">
        <f>IF(AND($A232&lt;&gt;"",$B232&lt;&gt;"",$C232&lt;&gt;"",$D232&lt;&gt;"",$E232&lt;&gt;""),IF($C232="WB","Case WB Box "&amp;(INT((COUNTIFS($C$2:$C232,"WB")-1)/81)+1)&amp;": "&amp;CHAR(65+INT(MOD(COUNTIFS($C$2:$C232,"WB")-1,81)/9))&amp;(MOD(COUNTIFS($C$2:$C232,"WB")-1,9)+1),"N/A"),"")</f>
        <v/>
      </c>
      <c r="L232" s="2" t="str">
        <f t="shared" si="55"/>
        <v/>
      </c>
      <c r="M232" s="2"/>
      <c r="N232" s="2"/>
      <c r="O232" s="2"/>
      <c r="P232" s="7" t="str">
        <f t="shared" si="56"/>
        <v/>
      </c>
      <c r="Q232" s="7" t="str">
        <f t="shared" si="57"/>
        <v/>
      </c>
      <c r="R232" s="7" t="str">
        <f t="shared" si="58"/>
        <v/>
      </c>
      <c r="S232" s="7" t="str">
        <f t="shared" si="59"/>
        <v/>
      </c>
      <c r="T232" s="7" t="str">
        <f t="shared" si="60"/>
        <v/>
      </c>
      <c r="U232" s="7" t="str">
        <f t="shared" si="61"/>
        <v/>
      </c>
      <c r="V232" s="7" t="str">
        <f t="shared" si="62"/>
        <v/>
      </c>
      <c r="W232" s="7" t="str">
        <f t="shared" si="63"/>
        <v/>
      </c>
      <c r="X232" s="7" t="str">
        <f t="shared" si="64"/>
        <v/>
      </c>
      <c r="Y232" s="7" t="str">
        <f t="shared" si="65"/>
        <v/>
      </c>
      <c r="Z232">
        <f t="shared" si="66"/>
        <v>0</v>
      </c>
      <c r="AA232" t="str">
        <f t="shared" si="67"/>
        <v/>
      </c>
      <c r="AB232" t="str">
        <f t="shared" si="68"/>
        <v/>
      </c>
      <c r="AC232" t="str">
        <f t="shared" si="69"/>
        <v/>
      </c>
      <c r="AD232" t="str">
        <f t="shared" si="70"/>
        <v/>
      </c>
      <c r="AE232">
        <f t="shared" si="71"/>
        <v>0</v>
      </c>
    </row>
    <row r="233" spans="1:31" ht="15" customHeight="1" x14ac:dyDescent="0.35">
      <c r="A233" s="2"/>
      <c r="B233" s="3"/>
      <c r="C233" s="3"/>
      <c r="D233" s="4"/>
      <c r="E233" s="5"/>
      <c r="F233" s="11" t="str">
        <f t="shared" ca="1" si="54"/>
        <v/>
      </c>
      <c r="G233" s="5"/>
      <c r="H233" s="6" t="str">
        <f>IF(AND($A233&lt;&gt;"",$B233&lt;&gt;"",$C233&lt;&gt;"",$D233&lt;&gt;"",$E233&lt;&gt;""),IF(AND($B233="s",OR($C233="SER",$C233="PLH",$C233="CSF")),"Case CDI Plate "&amp;(INT(((COUNTIFS($B$2:$B233,"s",$C$2:$C233,"SER")+COUNTIFS($B$2:$B233,"s",$C$2:$C233,"PLH")+COUNTIFS($B$2:$B233,"s",$C$2:$C233,"CSF"))-1)/96)+1)&amp;": "&amp;CHAR(65+INT(MOD((COUNTIFS($B$2:$B233,"s",$C$2:$C233,"SER")+COUNTIFS($B$2:$B233,"s",$C$2:$C233,"PLH")+COUNTIFS($B$2:$B233,"s",$C$2:$C233,"CSF"))-1,96)/12))&amp;(MOD((COUNTIFS($B$2:$B233,"s",$C$2:$C233,"SER")+COUNTIFS($B$2:$B233,"s",$C$2:$C233,"PLH")+COUNTIFS($B$2:$B233,"s",$C$2:$C233,"CSF"))-1,12)+1),"N/A"),"")</f>
        <v/>
      </c>
      <c r="I233" s="6" t="str">
        <f>IF(AND($A233&lt;&gt;"",$B233&lt;&gt;"",$C233&lt;&gt;"",$D233&lt;&gt;"",$E233&lt;&gt;""),IF(AND($B233="s",OR($C233="SER",$C233="PLH",$C233="CSF")),"Case NIH Plate "&amp;(INT(((COUNTIFS($B$2:$B233,"s",$C$2:$C233,"SER")+COUNTIFS($B$2:$B233,"s",$C$2:$C233,"PLH")+COUNTIFS($B$2:$B233,"s",$C$2:$C233,"CSF"))-1)/96)+1)&amp;": "&amp;CHAR(65+INT(MOD((COUNTIFS($B$2:$B233,"s",$C$2:$C233,"SER")+COUNTIFS($B$2:$B233,"s",$C$2:$C233,"PLH")+COUNTIFS($B$2:$B233,"s",$C$2:$C233,"CSF"))-1,96)/12))&amp;(MOD((COUNTIFS($B$2:$B233,"s",$C$2:$C233,"SER")+COUNTIFS($B$2:$B233,"s",$C$2:$C233,"PLH")+COUNTIFS($B$2:$B233,"s",$C$2:$C233,"CSF"))-1,12)+1),"N/A"),"")</f>
        <v/>
      </c>
      <c r="J233" s="6" t="str">
        <f>IF(AND($A233&lt;&gt;"",$B233&lt;&gt;"",$C233&lt;&gt;"",$D233&lt;&gt;"",$E233&lt;&gt;""),IF(AND($B233="s",OR($C233="SER",$C233="PLH")),"Case MAX Planck Plate "&amp;(INT(((COUNTIFS($B$2:$B233,"s",$C$2:$C233,"SER")+COUNTIFS($B$2:$B233,"s",$C$2:$C233,"PLH"))-1)/96)+1)&amp;": "&amp;CHAR(65+INT(MOD((COUNTIFS($B$2:$B233,"s",$C$2:$C233,"SER")+COUNTIFS($B$2:$B233,"s",$C$2:$C233,"PLH"))-1,96)/12))&amp;(MOD((COUNTIFS($B$2:$B233,"s",$C$2:$C233,"SER")+COUNTIFS($B$2:$B233,"s",$C$2:$C233,"PLH"))-1,12)+1),"N/A"),"")</f>
        <v/>
      </c>
      <c r="K233" s="6" t="str">
        <f>IF(AND($A233&lt;&gt;"",$B233&lt;&gt;"",$C233&lt;&gt;"",$D233&lt;&gt;"",$E233&lt;&gt;""),IF($C233="WB","Case WB Box "&amp;(INT((COUNTIFS($C$2:$C233,"WB")-1)/81)+1)&amp;": "&amp;CHAR(65+INT(MOD(COUNTIFS($C$2:$C233,"WB")-1,81)/9))&amp;(MOD(COUNTIFS($C$2:$C233,"WB")-1,9)+1),"N/A"),"")</f>
        <v/>
      </c>
      <c r="L233" s="2" t="str">
        <f t="shared" si="55"/>
        <v/>
      </c>
      <c r="M233" s="2"/>
      <c r="N233" s="2"/>
      <c r="O233" s="2"/>
      <c r="P233" s="7" t="str">
        <f t="shared" si="56"/>
        <v/>
      </c>
      <c r="Q233" s="7" t="str">
        <f t="shared" si="57"/>
        <v/>
      </c>
      <c r="R233" s="7" t="str">
        <f t="shared" si="58"/>
        <v/>
      </c>
      <c r="S233" s="7" t="str">
        <f t="shared" si="59"/>
        <v/>
      </c>
      <c r="T233" s="7" t="str">
        <f t="shared" si="60"/>
        <v/>
      </c>
      <c r="U233" s="7" t="str">
        <f t="shared" si="61"/>
        <v/>
      </c>
      <c r="V233" s="7" t="str">
        <f t="shared" si="62"/>
        <v/>
      </c>
      <c r="W233" s="7" t="str">
        <f t="shared" si="63"/>
        <v/>
      </c>
      <c r="X233" s="7" t="str">
        <f t="shared" si="64"/>
        <v/>
      </c>
      <c r="Y233" s="7" t="str">
        <f t="shared" si="65"/>
        <v/>
      </c>
      <c r="Z233">
        <f t="shared" si="66"/>
        <v>0</v>
      </c>
      <c r="AA233" t="str">
        <f t="shared" si="67"/>
        <v/>
      </c>
      <c r="AB233" t="str">
        <f t="shared" si="68"/>
        <v/>
      </c>
      <c r="AC233" t="str">
        <f t="shared" si="69"/>
        <v/>
      </c>
      <c r="AD233" t="str">
        <f t="shared" si="70"/>
        <v/>
      </c>
      <c r="AE233">
        <f t="shared" si="71"/>
        <v>0</v>
      </c>
    </row>
    <row r="234" spans="1:31" ht="15" customHeight="1" x14ac:dyDescent="0.35">
      <c r="A234" s="2"/>
      <c r="B234" s="3"/>
      <c r="C234" s="3"/>
      <c r="D234" s="4"/>
      <c r="E234" s="5"/>
      <c r="F234" s="11" t="str">
        <f t="shared" ca="1" si="54"/>
        <v/>
      </c>
      <c r="G234" s="5"/>
      <c r="H234" s="6" t="str">
        <f>IF(AND($A234&lt;&gt;"",$B234&lt;&gt;"",$C234&lt;&gt;"",$D234&lt;&gt;"",$E234&lt;&gt;""),IF(AND($B234="s",OR($C234="SER",$C234="PLH",$C234="CSF")),"Case CDI Plate "&amp;(INT(((COUNTIFS($B$2:$B234,"s",$C$2:$C234,"SER")+COUNTIFS($B$2:$B234,"s",$C$2:$C234,"PLH")+COUNTIFS($B$2:$B234,"s",$C$2:$C234,"CSF"))-1)/96)+1)&amp;": "&amp;CHAR(65+INT(MOD((COUNTIFS($B$2:$B234,"s",$C$2:$C234,"SER")+COUNTIFS($B$2:$B234,"s",$C$2:$C234,"PLH")+COUNTIFS($B$2:$B234,"s",$C$2:$C234,"CSF"))-1,96)/12))&amp;(MOD((COUNTIFS($B$2:$B234,"s",$C$2:$C234,"SER")+COUNTIFS($B$2:$B234,"s",$C$2:$C234,"PLH")+COUNTIFS($B$2:$B234,"s",$C$2:$C234,"CSF"))-1,12)+1),"N/A"),"")</f>
        <v/>
      </c>
      <c r="I234" s="6" t="str">
        <f>IF(AND($A234&lt;&gt;"",$B234&lt;&gt;"",$C234&lt;&gt;"",$D234&lt;&gt;"",$E234&lt;&gt;""),IF(AND($B234="s",OR($C234="SER",$C234="PLH",$C234="CSF")),"Case NIH Plate "&amp;(INT(((COUNTIFS($B$2:$B234,"s",$C$2:$C234,"SER")+COUNTIFS($B$2:$B234,"s",$C$2:$C234,"PLH")+COUNTIFS($B$2:$B234,"s",$C$2:$C234,"CSF"))-1)/96)+1)&amp;": "&amp;CHAR(65+INT(MOD((COUNTIFS($B$2:$B234,"s",$C$2:$C234,"SER")+COUNTIFS($B$2:$B234,"s",$C$2:$C234,"PLH")+COUNTIFS($B$2:$B234,"s",$C$2:$C234,"CSF"))-1,96)/12))&amp;(MOD((COUNTIFS($B$2:$B234,"s",$C$2:$C234,"SER")+COUNTIFS($B$2:$B234,"s",$C$2:$C234,"PLH")+COUNTIFS($B$2:$B234,"s",$C$2:$C234,"CSF"))-1,12)+1),"N/A"),"")</f>
        <v/>
      </c>
      <c r="J234" s="6" t="str">
        <f>IF(AND($A234&lt;&gt;"",$B234&lt;&gt;"",$C234&lt;&gt;"",$D234&lt;&gt;"",$E234&lt;&gt;""),IF(AND($B234="s",OR($C234="SER",$C234="PLH")),"Case MAX Planck Plate "&amp;(INT(((COUNTIFS($B$2:$B234,"s",$C$2:$C234,"SER")+COUNTIFS($B$2:$B234,"s",$C$2:$C234,"PLH"))-1)/96)+1)&amp;": "&amp;CHAR(65+INT(MOD((COUNTIFS($B$2:$B234,"s",$C$2:$C234,"SER")+COUNTIFS($B$2:$B234,"s",$C$2:$C234,"PLH"))-1,96)/12))&amp;(MOD((COUNTIFS($B$2:$B234,"s",$C$2:$C234,"SER")+COUNTIFS($B$2:$B234,"s",$C$2:$C234,"PLH"))-1,12)+1),"N/A"),"")</f>
        <v/>
      </c>
      <c r="K234" s="6" t="str">
        <f>IF(AND($A234&lt;&gt;"",$B234&lt;&gt;"",$C234&lt;&gt;"",$D234&lt;&gt;"",$E234&lt;&gt;""),IF($C234="WB","Case WB Box "&amp;(INT((COUNTIFS($C$2:$C234,"WB")-1)/81)+1)&amp;": "&amp;CHAR(65+INT(MOD(COUNTIFS($C$2:$C234,"WB")-1,81)/9))&amp;(MOD(COUNTIFS($C$2:$C234,"WB")-1,9)+1),"N/A"),"")</f>
        <v/>
      </c>
      <c r="L234" s="2" t="str">
        <f t="shared" si="55"/>
        <v/>
      </c>
      <c r="M234" s="2"/>
      <c r="N234" s="2"/>
      <c r="O234" s="2"/>
      <c r="P234" s="7" t="str">
        <f t="shared" si="56"/>
        <v/>
      </c>
      <c r="Q234" s="7" t="str">
        <f t="shared" si="57"/>
        <v/>
      </c>
      <c r="R234" s="7" t="str">
        <f t="shared" si="58"/>
        <v/>
      </c>
      <c r="S234" s="7" t="str">
        <f t="shared" si="59"/>
        <v/>
      </c>
      <c r="T234" s="7" t="str">
        <f t="shared" si="60"/>
        <v/>
      </c>
      <c r="U234" s="7" t="str">
        <f t="shared" si="61"/>
        <v/>
      </c>
      <c r="V234" s="7" t="str">
        <f t="shared" si="62"/>
        <v/>
      </c>
      <c r="W234" s="7" t="str">
        <f t="shared" si="63"/>
        <v/>
      </c>
      <c r="X234" s="7" t="str">
        <f t="shared" si="64"/>
        <v/>
      </c>
      <c r="Y234" s="7" t="str">
        <f t="shared" si="65"/>
        <v/>
      </c>
      <c r="Z234">
        <f t="shared" si="66"/>
        <v>0</v>
      </c>
      <c r="AA234" t="str">
        <f t="shared" si="67"/>
        <v/>
      </c>
      <c r="AB234" t="str">
        <f t="shared" si="68"/>
        <v/>
      </c>
      <c r="AC234" t="str">
        <f t="shared" si="69"/>
        <v/>
      </c>
      <c r="AD234" t="str">
        <f t="shared" si="70"/>
        <v/>
      </c>
      <c r="AE234">
        <f t="shared" si="71"/>
        <v>0</v>
      </c>
    </row>
    <row r="235" spans="1:31" ht="15" customHeight="1" x14ac:dyDescent="0.35">
      <c r="A235" s="2"/>
      <c r="B235" s="3"/>
      <c r="C235" s="3"/>
      <c r="D235" s="4"/>
      <c r="E235" s="5"/>
      <c r="F235" s="11" t="str">
        <f t="shared" ca="1" si="54"/>
        <v/>
      </c>
      <c r="G235" s="5"/>
      <c r="H235" s="6" t="str">
        <f>IF(AND($A235&lt;&gt;"",$B235&lt;&gt;"",$C235&lt;&gt;"",$D235&lt;&gt;"",$E235&lt;&gt;""),IF(AND($B235="s",OR($C235="SER",$C235="PLH",$C235="CSF")),"Case CDI Plate "&amp;(INT(((COUNTIFS($B$2:$B235,"s",$C$2:$C235,"SER")+COUNTIFS($B$2:$B235,"s",$C$2:$C235,"PLH")+COUNTIFS($B$2:$B235,"s",$C$2:$C235,"CSF"))-1)/96)+1)&amp;": "&amp;CHAR(65+INT(MOD((COUNTIFS($B$2:$B235,"s",$C$2:$C235,"SER")+COUNTIFS($B$2:$B235,"s",$C$2:$C235,"PLH")+COUNTIFS($B$2:$B235,"s",$C$2:$C235,"CSF"))-1,96)/12))&amp;(MOD((COUNTIFS($B$2:$B235,"s",$C$2:$C235,"SER")+COUNTIFS($B$2:$B235,"s",$C$2:$C235,"PLH")+COUNTIFS($B$2:$B235,"s",$C$2:$C235,"CSF"))-1,12)+1),"N/A"),"")</f>
        <v/>
      </c>
      <c r="I235" s="6" t="str">
        <f>IF(AND($A235&lt;&gt;"",$B235&lt;&gt;"",$C235&lt;&gt;"",$D235&lt;&gt;"",$E235&lt;&gt;""),IF(AND($B235="s",OR($C235="SER",$C235="PLH",$C235="CSF")),"Case NIH Plate "&amp;(INT(((COUNTIFS($B$2:$B235,"s",$C$2:$C235,"SER")+COUNTIFS($B$2:$B235,"s",$C$2:$C235,"PLH")+COUNTIFS($B$2:$B235,"s",$C$2:$C235,"CSF"))-1)/96)+1)&amp;": "&amp;CHAR(65+INT(MOD((COUNTIFS($B$2:$B235,"s",$C$2:$C235,"SER")+COUNTIFS($B$2:$B235,"s",$C$2:$C235,"PLH")+COUNTIFS($B$2:$B235,"s",$C$2:$C235,"CSF"))-1,96)/12))&amp;(MOD((COUNTIFS($B$2:$B235,"s",$C$2:$C235,"SER")+COUNTIFS($B$2:$B235,"s",$C$2:$C235,"PLH")+COUNTIFS($B$2:$B235,"s",$C$2:$C235,"CSF"))-1,12)+1),"N/A"),"")</f>
        <v/>
      </c>
      <c r="J235" s="6" t="str">
        <f>IF(AND($A235&lt;&gt;"",$B235&lt;&gt;"",$C235&lt;&gt;"",$D235&lt;&gt;"",$E235&lt;&gt;""),IF(AND($B235="s",OR($C235="SER",$C235="PLH")),"Case MAX Planck Plate "&amp;(INT(((COUNTIFS($B$2:$B235,"s",$C$2:$C235,"SER")+COUNTIFS($B$2:$B235,"s",$C$2:$C235,"PLH"))-1)/96)+1)&amp;": "&amp;CHAR(65+INT(MOD((COUNTIFS($B$2:$B235,"s",$C$2:$C235,"SER")+COUNTIFS($B$2:$B235,"s",$C$2:$C235,"PLH"))-1,96)/12))&amp;(MOD((COUNTIFS($B$2:$B235,"s",$C$2:$C235,"SER")+COUNTIFS($B$2:$B235,"s",$C$2:$C235,"PLH"))-1,12)+1),"N/A"),"")</f>
        <v/>
      </c>
      <c r="K235" s="6" t="str">
        <f>IF(AND($A235&lt;&gt;"",$B235&lt;&gt;"",$C235&lt;&gt;"",$D235&lt;&gt;"",$E235&lt;&gt;""),IF($C235="WB","Case WB Box "&amp;(INT((COUNTIFS($C$2:$C235,"WB")-1)/81)+1)&amp;": "&amp;CHAR(65+INT(MOD(COUNTIFS($C$2:$C235,"WB")-1,81)/9))&amp;(MOD(COUNTIFS($C$2:$C235,"WB")-1,9)+1),"N/A"),"")</f>
        <v/>
      </c>
      <c r="L235" s="2" t="str">
        <f t="shared" si="55"/>
        <v/>
      </c>
      <c r="M235" s="2"/>
      <c r="N235" s="2"/>
      <c r="O235" s="2"/>
      <c r="P235" s="7" t="str">
        <f t="shared" si="56"/>
        <v/>
      </c>
      <c r="Q235" s="7" t="str">
        <f t="shared" si="57"/>
        <v/>
      </c>
      <c r="R235" s="7" t="str">
        <f t="shared" si="58"/>
        <v/>
      </c>
      <c r="S235" s="7" t="str">
        <f t="shared" si="59"/>
        <v/>
      </c>
      <c r="T235" s="7" t="str">
        <f t="shared" si="60"/>
        <v/>
      </c>
      <c r="U235" s="7" t="str">
        <f t="shared" si="61"/>
        <v/>
      </c>
      <c r="V235" s="7" t="str">
        <f t="shared" si="62"/>
        <v/>
      </c>
      <c r="W235" s="7" t="str">
        <f t="shared" si="63"/>
        <v/>
      </c>
      <c r="X235" s="7" t="str">
        <f t="shared" si="64"/>
        <v/>
      </c>
      <c r="Y235" s="7" t="str">
        <f t="shared" si="65"/>
        <v/>
      </c>
      <c r="Z235">
        <f t="shared" si="66"/>
        <v>0</v>
      </c>
      <c r="AA235" t="str">
        <f t="shared" si="67"/>
        <v/>
      </c>
      <c r="AB235" t="str">
        <f t="shared" si="68"/>
        <v/>
      </c>
      <c r="AC235" t="str">
        <f t="shared" si="69"/>
        <v/>
      </c>
      <c r="AD235" t="str">
        <f t="shared" si="70"/>
        <v/>
      </c>
      <c r="AE235">
        <f t="shared" si="71"/>
        <v>0</v>
      </c>
    </row>
    <row r="236" spans="1:31" ht="15" customHeight="1" x14ac:dyDescent="0.35">
      <c r="A236" s="2"/>
      <c r="B236" s="3"/>
      <c r="C236" s="3"/>
      <c r="D236" s="4"/>
      <c r="E236" s="5"/>
      <c r="F236" s="11" t="str">
        <f t="shared" ca="1" si="54"/>
        <v/>
      </c>
      <c r="G236" s="5"/>
      <c r="H236" s="6" t="str">
        <f>IF(AND($A236&lt;&gt;"",$B236&lt;&gt;"",$C236&lt;&gt;"",$D236&lt;&gt;"",$E236&lt;&gt;""),IF(AND($B236="s",OR($C236="SER",$C236="PLH",$C236="CSF")),"Case CDI Plate "&amp;(INT(((COUNTIFS($B$2:$B236,"s",$C$2:$C236,"SER")+COUNTIFS($B$2:$B236,"s",$C$2:$C236,"PLH")+COUNTIFS($B$2:$B236,"s",$C$2:$C236,"CSF"))-1)/96)+1)&amp;": "&amp;CHAR(65+INT(MOD((COUNTIFS($B$2:$B236,"s",$C$2:$C236,"SER")+COUNTIFS($B$2:$B236,"s",$C$2:$C236,"PLH")+COUNTIFS($B$2:$B236,"s",$C$2:$C236,"CSF"))-1,96)/12))&amp;(MOD((COUNTIFS($B$2:$B236,"s",$C$2:$C236,"SER")+COUNTIFS($B$2:$B236,"s",$C$2:$C236,"PLH")+COUNTIFS($B$2:$B236,"s",$C$2:$C236,"CSF"))-1,12)+1),"N/A"),"")</f>
        <v/>
      </c>
      <c r="I236" s="6" t="str">
        <f>IF(AND($A236&lt;&gt;"",$B236&lt;&gt;"",$C236&lt;&gt;"",$D236&lt;&gt;"",$E236&lt;&gt;""),IF(AND($B236="s",OR($C236="SER",$C236="PLH",$C236="CSF")),"Case NIH Plate "&amp;(INT(((COUNTIFS($B$2:$B236,"s",$C$2:$C236,"SER")+COUNTIFS($B$2:$B236,"s",$C$2:$C236,"PLH")+COUNTIFS($B$2:$B236,"s",$C$2:$C236,"CSF"))-1)/96)+1)&amp;": "&amp;CHAR(65+INT(MOD((COUNTIFS($B$2:$B236,"s",$C$2:$C236,"SER")+COUNTIFS($B$2:$B236,"s",$C$2:$C236,"PLH")+COUNTIFS($B$2:$B236,"s",$C$2:$C236,"CSF"))-1,96)/12))&amp;(MOD((COUNTIFS($B$2:$B236,"s",$C$2:$C236,"SER")+COUNTIFS($B$2:$B236,"s",$C$2:$C236,"PLH")+COUNTIFS($B$2:$B236,"s",$C$2:$C236,"CSF"))-1,12)+1),"N/A"),"")</f>
        <v/>
      </c>
      <c r="J236" s="6" t="str">
        <f>IF(AND($A236&lt;&gt;"",$B236&lt;&gt;"",$C236&lt;&gt;"",$D236&lt;&gt;"",$E236&lt;&gt;""),IF(AND($B236="s",OR($C236="SER",$C236="PLH")),"Case MAX Planck Plate "&amp;(INT(((COUNTIFS($B$2:$B236,"s",$C$2:$C236,"SER")+COUNTIFS($B$2:$B236,"s",$C$2:$C236,"PLH"))-1)/96)+1)&amp;": "&amp;CHAR(65+INT(MOD((COUNTIFS($B$2:$B236,"s",$C$2:$C236,"SER")+COUNTIFS($B$2:$B236,"s",$C$2:$C236,"PLH"))-1,96)/12))&amp;(MOD((COUNTIFS($B$2:$B236,"s",$C$2:$C236,"SER")+COUNTIFS($B$2:$B236,"s",$C$2:$C236,"PLH"))-1,12)+1),"N/A"),"")</f>
        <v/>
      </c>
      <c r="K236" s="6" t="str">
        <f>IF(AND($A236&lt;&gt;"",$B236&lt;&gt;"",$C236&lt;&gt;"",$D236&lt;&gt;"",$E236&lt;&gt;""),IF($C236="WB","Case WB Box "&amp;(INT((COUNTIFS($C$2:$C236,"WB")-1)/81)+1)&amp;": "&amp;CHAR(65+INT(MOD(COUNTIFS($C$2:$C236,"WB")-1,81)/9))&amp;(MOD(COUNTIFS($C$2:$C236,"WB")-1,9)+1),"N/A"),"")</f>
        <v/>
      </c>
      <c r="L236" s="2" t="str">
        <f t="shared" si="55"/>
        <v/>
      </c>
      <c r="M236" s="2"/>
      <c r="N236" s="2"/>
      <c r="O236" s="2"/>
      <c r="P236" s="7" t="str">
        <f t="shared" si="56"/>
        <v/>
      </c>
      <c r="Q236" s="7" t="str">
        <f t="shared" si="57"/>
        <v/>
      </c>
      <c r="R236" s="7" t="str">
        <f t="shared" si="58"/>
        <v/>
      </c>
      <c r="S236" s="7" t="str">
        <f t="shared" si="59"/>
        <v/>
      </c>
      <c r="T236" s="7" t="str">
        <f t="shared" si="60"/>
        <v/>
      </c>
      <c r="U236" s="7" t="str">
        <f t="shared" si="61"/>
        <v/>
      </c>
      <c r="V236" s="7" t="str">
        <f t="shared" si="62"/>
        <v/>
      </c>
      <c r="W236" s="7" t="str">
        <f t="shared" si="63"/>
        <v/>
      </c>
      <c r="X236" s="7" t="str">
        <f t="shared" si="64"/>
        <v/>
      </c>
      <c r="Y236" s="7" t="str">
        <f t="shared" si="65"/>
        <v/>
      </c>
      <c r="Z236">
        <f t="shared" si="66"/>
        <v>0</v>
      </c>
      <c r="AA236" t="str">
        <f t="shared" si="67"/>
        <v/>
      </c>
      <c r="AB236" t="str">
        <f t="shared" si="68"/>
        <v/>
      </c>
      <c r="AC236" t="str">
        <f t="shared" si="69"/>
        <v/>
      </c>
      <c r="AD236" t="str">
        <f t="shared" si="70"/>
        <v/>
      </c>
      <c r="AE236">
        <f t="shared" si="71"/>
        <v>0</v>
      </c>
    </row>
    <row r="237" spans="1:31" ht="15" customHeight="1" x14ac:dyDescent="0.35">
      <c r="A237" s="2"/>
      <c r="B237" s="3"/>
      <c r="C237" s="3"/>
      <c r="D237" s="4"/>
      <c r="E237" s="5"/>
      <c r="F237" s="11" t="str">
        <f t="shared" ca="1" si="54"/>
        <v/>
      </c>
      <c r="G237" s="5"/>
      <c r="H237" s="6" t="str">
        <f>IF(AND($A237&lt;&gt;"",$B237&lt;&gt;"",$C237&lt;&gt;"",$D237&lt;&gt;"",$E237&lt;&gt;""),IF(AND($B237="s",OR($C237="SER",$C237="PLH",$C237="CSF")),"Case CDI Plate "&amp;(INT(((COUNTIFS($B$2:$B237,"s",$C$2:$C237,"SER")+COUNTIFS($B$2:$B237,"s",$C$2:$C237,"PLH")+COUNTIFS($B$2:$B237,"s",$C$2:$C237,"CSF"))-1)/96)+1)&amp;": "&amp;CHAR(65+INT(MOD((COUNTIFS($B$2:$B237,"s",$C$2:$C237,"SER")+COUNTIFS($B$2:$B237,"s",$C$2:$C237,"PLH")+COUNTIFS($B$2:$B237,"s",$C$2:$C237,"CSF"))-1,96)/12))&amp;(MOD((COUNTIFS($B$2:$B237,"s",$C$2:$C237,"SER")+COUNTIFS($B$2:$B237,"s",$C$2:$C237,"PLH")+COUNTIFS($B$2:$B237,"s",$C$2:$C237,"CSF"))-1,12)+1),"N/A"),"")</f>
        <v/>
      </c>
      <c r="I237" s="6" t="str">
        <f>IF(AND($A237&lt;&gt;"",$B237&lt;&gt;"",$C237&lt;&gt;"",$D237&lt;&gt;"",$E237&lt;&gt;""),IF(AND($B237="s",OR($C237="SER",$C237="PLH",$C237="CSF")),"Case NIH Plate "&amp;(INT(((COUNTIFS($B$2:$B237,"s",$C$2:$C237,"SER")+COUNTIFS($B$2:$B237,"s",$C$2:$C237,"PLH")+COUNTIFS($B$2:$B237,"s",$C$2:$C237,"CSF"))-1)/96)+1)&amp;": "&amp;CHAR(65+INT(MOD((COUNTIFS($B$2:$B237,"s",$C$2:$C237,"SER")+COUNTIFS($B$2:$B237,"s",$C$2:$C237,"PLH")+COUNTIFS($B$2:$B237,"s",$C$2:$C237,"CSF"))-1,96)/12))&amp;(MOD((COUNTIFS($B$2:$B237,"s",$C$2:$C237,"SER")+COUNTIFS($B$2:$B237,"s",$C$2:$C237,"PLH")+COUNTIFS($B$2:$B237,"s",$C$2:$C237,"CSF"))-1,12)+1),"N/A"),"")</f>
        <v/>
      </c>
      <c r="J237" s="6" t="str">
        <f>IF(AND($A237&lt;&gt;"",$B237&lt;&gt;"",$C237&lt;&gt;"",$D237&lt;&gt;"",$E237&lt;&gt;""),IF(AND($B237="s",OR($C237="SER",$C237="PLH")),"Case MAX Planck Plate "&amp;(INT(((COUNTIFS($B$2:$B237,"s",$C$2:$C237,"SER")+COUNTIFS($B$2:$B237,"s",$C$2:$C237,"PLH"))-1)/96)+1)&amp;": "&amp;CHAR(65+INT(MOD((COUNTIFS($B$2:$B237,"s",$C$2:$C237,"SER")+COUNTIFS($B$2:$B237,"s",$C$2:$C237,"PLH"))-1,96)/12))&amp;(MOD((COUNTIFS($B$2:$B237,"s",$C$2:$C237,"SER")+COUNTIFS($B$2:$B237,"s",$C$2:$C237,"PLH"))-1,12)+1),"N/A"),"")</f>
        <v/>
      </c>
      <c r="K237" s="6" t="str">
        <f>IF(AND($A237&lt;&gt;"",$B237&lt;&gt;"",$C237&lt;&gt;"",$D237&lt;&gt;"",$E237&lt;&gt;""),IF($C237="WB","Case WB Box "&amp;(INT((COUNTIFS($C$2:$C237,"WB")-1)/81)+1)&amp;": "&amp;CHAR(65+INT(MOD(COUNTIFS($C$2:$C237,"WB")-1,81)/9))&amp;(MOD(COUNTIFS($C$2:$C237,"WB")-1,9)+1),"N/A"),"")</f>
        <v/>
      </c>
      <c r="L237" s="2" t="str">
        <f t="shared" si="55"/>
        <v/>
      </c>
      <c r="M237" s="2"/>
      <c r="N237" s="2"/>
      <c r="O237" s="2"/>
      <c r="P237" s="7" t="str">
        <f t="shared" si="56"/>
        <v/>
      </c>
      <c r="Q237" s="7" t="str">
        <f t="shared" si="57"/>
        <v/>
      </c>
      <c r="R237" s="7" t="str">
        <f t="shared" si="58"/>
        <v/>
      </c>
      <c r="S237" s="7" t="str">
        <f t="shared" si="59"/>
        <v/>
      </c>
      <c r="T237" s="7" t="str">
        <f t="shared" si="60"/>
        <v/>
      </c>
      <c r="U237" s="7" t="str">
        <f t="shared" si="61"/>
        <v/>
      </c>
      <c r="V237" s="7" t="str">
        <f t="shared" si="62"/>
        <v/>
      </c>
      <c r="W237" s="7" t="str">
        <f t="shared" si="63"/>
        <v/>
      </c>
      <c r="X237" s="7" t="str">
        <f t="shared" si="64"/>
        <v/>
      </c>
      <c r="Y237" s="7" t="str">
        <f t="shared" si="65"/>
        <v/>
      </c>
      <c r="Z237">
        <f t="shared" si="66"/>
        <v>0</v>
      </c>
      <c r="AA237" t="str">
        <f t="shared" si="67"/>
        <v/>
      </c>
      <c r="AB237" t="str">
        <f t="shared" si="68"/>
        <v/>
      </c>
      <c r="AC237" t="str">
        <f t="shared" si="69"/>
        <v/>
      </c>
      <c r="AD237" t="str">
        <f t="shared" si="70"/>
        <v/>
      </c>
      <c r="AE237">
        <f t="shared" si="71"/>
        <v>0</v>
      </c>
    </row>
    <row r="238" spans="1:31" ht="15" customHeight="1" x14ac:dyDescent="0.35">
      <c r="A238" s="2"/>
      <c r="B238" s="3"/>
      <c r="C238" s="3"/>
      <c r="D238" s="4"/>
      <c r="E238" s="5"/>
      <c r="F238" s="11" t="str">
        <f t="shared" ca="1" si="54"/>
        <v/>
      </c>
      <c r="G238" s="5"/>
      <c r="H238" s="6" t="str">
        <f>IF(AND($A238&lt;&gt;"",$B238&lt;&gt;"",$C238&lt;&gt;"",$D238&lt;&gt;"",$E238&lt;&gt;""),IF(AND($B238="s",OR($C238="SER",$C238="PLH",$C238="CSF")),"Case CDI Plate "&amp;(INT(((COUNTIFS($B$2:$B238,"s",$C$2:$C238,"SER")+COUNTIFS($B$2:$B238,"s",$C$2:$C238,"PLH")+COUNTIFS($B$2:$B238,"s",$C$2:$C238,"CSF"))-1)/96)+1)&amp;": "&amp;CHAR(65+INT(MOD((COUNTIFS($B$2:$B238,"s",$C$2:$C238,"SER")+COUNTIFS($B$2:$B238,"s",$C$2:$C238,"PLH")+COUNTIFS($B$2:$B238,"s",$C$2:$C238,"CSF"))-1,96)/12))&amp;(MOD((COUNTIFS($B$2:$B238,"s",$C$2:$C238,"SER")+COUNTIFS($B$2:$B238,"s",$C$2:$C238,"PLH")+COUNTIFS($B$2:$B238,"s",$C$2:$C238,"CSF"))-1,12)+1),"N/A"),"")</f>
        <v/>
      </c>
      <c r="I238" s="6" t="str">
        <f>IF(AND($A238&lt;&gt;"",$B238&lt;&gt;"",$C238&lt;&gt;"",$D238&lt;&gt;"",$E238&lt;&gt;""),IF(AND($B238="s",OR($C238="SER",$C238="PLH",$C238="CSF")),"Case NIH Plate "&amp;(INT(((COUNTIFS($B$2:$B238,"s",$C$2:$C238,"SER")+COUNTIFS($B$2:$B238,"s",$C$2:$C238,"PLH")+COUNTIFS($B$2:$B238,"s",$C$2:$C238,"CSF"))-1)/96)+1)&amp;": "&amp;CHAR(65+INT(MOD((COUNTIFS($B$2:$B238,"s",$C$2:$C238,"SER")+COUNTIFS($B$2:$B238,"s",$C$2:$C238,"PLH")+COUNTIFS($B$2:$B238,"s",$C$2:$C238,"CSF"))-1,96)/12))&amp;(MOD((COUNTIFS($B$2:$B238,"s",$C$2:$C238,"SER")+COUNTIFS($B$2:$B238,"s",$C$2:$C238,"PLH")+COUNTIFS($B$2:$B238,"s",$C$2:$C238,"CSF"))-1,12)+1),"N/A"),"")</f>
        <v/>
      </c>
      <c r="J238" s="6" t="str">
        <f>IF(AND($A238&lt;&gt;"",$B238&lt;&gt;"",$C238&lt;&gt;"",$D238&lt;&gt;"",$E238&lt;&gt;""),IF(AND($B238="s",OR($C238="SER",$C238="PLH")),"Case MAX Planck Plate "&amp;(INT(((COUNTIFS($B$2:$B238,"s",$C$2:$C238,"SER")+COUNTIFS($B$2:$B238,"s",$C$2:$C238,"PLH"))-1)/96)+1)&amp;": "&amp;CHAR(65+INT(MOD((COUNTIFS($B$2:$B238,"s",$C$2:$C238,"SER")+COUNTIFS($B$2:$B238,"s",$C$2:$C238,"PLH"))-1,96)/12))&amp;(MOD((COUNTIFS($B$2:$B238,"s",$C$2:$C238,"SER")+COUNTIFS($B$2:$B238,"s",$C$2:$C238,"PLH"))-1,12)+1),"N/A"),"")</f>
        <v/>
      </c>
      <c r="K238" s="6" t="str">
        <f>IF(AND($A238&lt;&gt;"",$B238&lt;&gt;"",$C238&lt;&gt;"",$D238&lt;&gt;"",$E238&lt;&gt;""),IF($C238="WB","Case WB Box "&amp;(INT((COUNTIFS($C$2:$C238,"WB")-1)/81)+1)&amp;": "&amp;CHAR(65+INT(MOD(COUNTIFS($C$2:$C238,"WB")-1,81)/9))&amp;(MOD(COUNTIFS($C$2:$C238,"WB")-1,9)+1),"N/A"),"")</f>
        <v/>
      </c>
      <c r="L238" s="2" t="str">
        <f t="shared" si="55"/>
        <v/>
      </c>
      <c r="M238" s="2"/>
      <c r="N238" s="2"/>
      <c r="O238" s="2"/>
      <c r="P238" s="7" t="str">
        <f t="shared" si="56"/>
        <v/>
      </c>
      <c r="Q238" s="7" t="str">
        <f t="shared" si="57"/>
        <v/>
      </c>
      <c r="R238" s="7" t="str">
        <f t="shared" si="58"/>
        <v/>
      </c>
      <c r="S238" s="7" t="str">
        <f t="shared" si="59"/>
        <v/>
      </c>
      <c r="T238" s="7" t="str">
        <f t="shared" si="60"/>
        <v/>
      </c>
      <c r="U238" s="7" t="str">
        <f t="shared" si="61"/>
        <v/>
      </c>
      <c r="V238" s="7" t="str">
        <f t="shared" si="62"/>
        <v/>
      </c>
      <c r="W238" s="7" t="str">
        <f t="shared" si="63"/>
        <v/>
      </c>
      <c r="X238" s="7" t="str">
        <f t="shared" si="64"/>
        <v/>
      </c>
      <c r="Y238" s="7" t="str">
        <f t="shared" si="65"/>
        <v/>
      </c>
      <c r="Z238">
        <f t="shared" si="66"/>
        <v>0</v>
      </c>
      <c r="AA238" t="str">
        <f t="shared" si="67"/>
        <v/>
      </c>
      <c r="AB238" t="str">
        <f t="shared" si="68"/>
        <v/>
      </c>
      <c r="AC238" t="str">
        <f t="shared" si="69"/>
        <v/>
      </c>
      <c r="AD238" t="str">
        <f t="shared" si="70"/>
        <v/>
      </c>
      <c r="AE238">
        <f t="shared" si="71"/>
        <v>0</v>
      </c>
    </row>
    <row r="239" spans="1:31" ht="15" customHeight="1" x14ac:dyDescent="0.35">
      <c r="A239" s="2"/>
      <c r="B239" s="3"/>
      <c r="C239" s="3"/>
      <c r="D239" s="4"/>
      <c r="E239" s="5"/>
      <c r="F239" s="11" t="str">
        <f t="shared" ca="1" si="54"/>
        <v/>
      </c>
      <c r="G239" s="5"/>
      <c r="H239" s="6" t="str">
        <f>IF(AND($A239&lt;&gt;"",$B239&lt;&gt;"",$C239&lt;&gt;"",$D239&lt;&gt;"",$E239&lt;&gt;""),IF(AND($B239="s",OR($C239="SER",$C239="PLH",$C239="CSF")),"Case CDI Plate "&amp;(INT(((COUNTIFS($B$2:$B239,"s",$C$2:$C239,"SER")+COUNTIFS($B$2:$B239,"s",$C$2:$C239,"PLH")+COUNTIFS($B$2:$B239,"s",$C$2:$C239,"CSF"))-1)/96)+1)&amp;": "&amp;CHAR(65+INT(MOD((COUNTIFS($B$2:$B239,"s",$C$2:$C239,"SER")+COUNTIFS($B$2:$B239,"s",$C$2:$C239,"PLH")+COUNTIFS($B$2:$B239,"s",$C$2:$C239,"CSF"))-1,96)/12))&amp;(MOD((COUNTIFS($B$2:$B239,"s",$C$2:$C239,"SER")+COUNTIFS($B$2:$B239,"s",$C$2:$C239,"PLH")+COUNTIFS($B$2:$B239,"s",$C$2:$C239,"CSF"))-1,12)+1),"N/A"),"")</f>
        <v/>
      </c>
      <c r="I239" s="6" t="str">
        <f>IF(AND($A239&lt;&gt;"",$B239&lt;&gt;"",$C239&lt;&gt;"",$D239&lt;&gt;"",$E239&lt;&gt;""),IF(AND($B239="s",OR($C239="SER",$C239="PLH",$C239="CSF")),"Case NIH Plate "&amp;(INT(((COUNTIFS($B$2:$B239,"s",$C$2:$C239,"SER")+COUNTIFS($B$2:$B239,"s",$C$2:$C239,"PLH")+COUNTIFS($B$2:$B239,"s",$C$2:$C239,"CSF"))-1)/96)+1)&amp;": "&amp;CHAR(65+INT(MOD((COUNTIFS($B$2:$B239,"s",$C$2:$C239,"SER")+COUNTIFS($B$2:$B239,"s",$C$2:$C239,"PLH")+COUNTIFS($B$2:$B239,"s",$C$2:$C239,"CSF"))-1,96)/12))&amp;(MOD((COUNTIFS($B$2:$B239,"s",$C$2:$C239,"SER")+COUNTIFS($B$2:$B239,"s",$C$2:$C239,"PLH")+COUNTIFS($B$2:$B239,"s",$C$2:$C239,"CSF"))-1,12)+1),"N/A"),"")</f>
        <v/>
      </c>
      <c r="J239" s="6" t="str">
        <f>IF(AND($A239&lt;&gt;"",$B239&lt;&gt;"",$C239&lt;&gt;"",$D239&lt;&gt;"",$E239&lt;&gt;""),IF(AND($B239="s",OR($C239="SER",$C239="PLH")),"Case MAX Planck Plate "&amp;(INT(((COUNTIFS($B$2:$B239,"s",$C$2:$C239,"SER")+COUNTIFS($B$2:$B239,"s",$C$2:$C239,"PLH"))-1)/96)+1)&amp;": "&amp;CHAR(65+INT(MOD((COUNTIFS($B$2:$B239,"s",$C$2:$C239,"SER")+COUNTIFS($B$2:$B239,"s",$C$2:$C239,"PLH"))-1,96)/12))&amp;(MOD((COUNTIFS($B$2:$B239,"s",$C$2:$C239,"SER")+COUNTIFS($B$2:$B239,"s",$C$2:$C239,"PLH"))-1,12)+1),"N/A"),"")</f>
        <v/>
      </c>
      <c r="K239" s="6" t="str">
        <f>IF(AND($A239&lt;&gt;"",$B239&lt;&gt;"",$C239&lt;&gt;"",$D239&lt;&gt;"",$E239&lt;&gt;""),IF($C239="WB","Case WB Box "&amp;(INT((COUNTIFS($C$2:$C239,"WB")-1)/81)+1)&amp;": "&amp;CHAR(65+INT(MOD(COUNTIFS($C$2:$C239,"WB")-1,81)/9))&amp;(MOD(COUNTIFS($C$2:$C239,"WB")-1,9)+1),"N/A"),"")</f>
        <v/>
      </c>
      <c r="L239" s="2" t="str">
        <f t="shared" si="55"/>
        <v/>
      </c>
      <c r="M239" s="2"/>
      <c r="N239" s="2"/>
      <c r="O239" s="2"/>
      <c r="P239" s="7" t="str">
        <f t="shared" si="56"/>
        <v/>
      </c>
      <c r="Q239" s="7" t="str">
        <f t="shared" si="57"/>
        <v/>
      </c>
      <c r="R239" s="7" t="str">
        <f t="shared" si="58"/>
        <v/>
      </c>
      <c r="S239" s="7" t="str">
        <f t="shared" si="59"/>
        <v/>
      </c>
      <c r="T239" s="7" t="str">
        <f t="shared" si="60"/>
        <v/>
      </c>
      <c r="U239" s="7" t="str">
        <f t="shared" si="61"/>
        <v/>
      </c>
      <c r="V239" s="7" t="str">
        <f t="shared" si="62"/>
        <v/>
      </c>
      <c r="W239" s="7" t="str">
        <f t="shared" si="63"/>
        <v/>
      </c>
      <c r="X239" s="7" t="str">
        <f t="shared" si="64"/>
        <v/>
      </c>
      <c r="Y239" s="7" t="str">
        <f t="shared" si="65"/>
        <v/>
      </c>
      <c r="Z239">
        <f t="shared" si="66"/>
        <v>0</v>
      </c>
      <c r="AA239" t="str">
        <f t="shared" si="67"/>
        <v/>
      </c>
      <c r="AB239" t="str">
        <f t="shared" si="68"/>
        <v/>
      </c>
      <c r="AC239" t="str">
        <f t="shared" si="69"/>
        <v/>
      </c>
      <c r="AD239" t="str">
        <f t="shared" si="70"/>
        <v/>
      </c>
      <c r="AE239">
        <f t="shared" si="71"/>
        <v>0</v>
      </c>
    </row>
    <row r="240" spans="1:31" ht="15" customHeight="1" x14ac:dyDescent="0.35">
      <c r="A240" s="2"/>
      <c r="B240" s="3"/>
      <c r="C240" s="3"/>
      <c r="D240" s="4"/>
      <c r="E240" s="5"/>
      <c r="F240" s="11" t="str">
        <f t="shared" ca="1" si="54"/>
        <v/>
      </c>
      <c r="G240" s="5"/>
      <c r="H240" s="6" t="str">
        <f>IF(AND($A240&lt;&gt;"",$B240&lt;&gt;"",$C240&lt;&gt;"",$D240&lt;&gt;"",$E240&lt;&gt;""),IF(AND($B240="s",OR($C240="SER",$C240="PLH",$C240="CSF")),"Case CDI Plate "&amp;(INT(((COUNTIFS($B$2:$B240,"s",$C$2:$C240,"SER")+COUNTIFS($B$2:$B240,"s",$C$2:$C240,"PLH")+COUNTIFS($B$2:$B240,"s",$C$2:$C240,"CSF"))-1)/96)+1)&amp;": "&amp;CHAR(65+INT(MOD((COUNTIFS($B$2:$B240,"s",$C$2:$C240,"SER")+COUNTIFS($B$2:$B240,"s",$C$2:$C240,"PLH")+COUNTIFS($B$2:$B240,"s",$C$2:$C240,"CSF"))-1,96)/12))&amp;(MOD((COUNTIFS($B$2:$B240,"s",$C$2:$C240,"SER")+COUNTIFS($B$2:$B240,"s",$C$2:$C240,"PLH")+COUNTIFS($B$2:$B240,"s",$C$2:$C240,"CSF"))-1,12)+1),"N/A"),"")</f>
        <v/>
      </c>
      <c r="I240" s="6" t="str">
        <f>IF(AND($A240&lt;&gt;"",$B240&lt;&gt;"",$C240&lt;&gt;"",$D240&lt;&gt;"",$E240&lt;&gt;""),IF(AND($B240="s",OR($C240="SER",$C240="PLH",$C240="CSF")),"Case NIH Plate "&amp;(INT(((COUNTIFS($B$2:$B240,"s",$C$2:$C240,"SER")+COUNTIFS($B$2:$B240,"s",$C$2:$C240,"PLH")+COUNTIFS($B$2:$B240,"s",$C$2:$C240,"CSF"))-1)/96)+1)&amp;": "&amp;CHAR(65+INT(MOD((COUNTIFS($B$2:$B240,"s",$C$2:$C240,"SER")+COUNTIFS($B$2:$B240,"s",$C$2:$C240,"PLH")+COUNTIFS($B$2:$B240,"s",$C$2:$C240,"CSF"))-1,96)/12))&amp;(MOD((COUNTIFS($B$2:$B240,"s",$C$2:$C240,"SER")+COUNTIFS($B$2:$B240,"s",$C$2:$C240,"PLH")+COUNTIFS($B$2:$B240,"s",$C$2:$C240,"CSF"))-1,12)+1),"N/A"),"")</f>
        <v/>
      </c>
      <c r="J240" s="6" t="str">
        <f>IF(AND($A240&lt;&gt;"",$B240&lt;&gt;"",$C240&lt;&gt;"",$D240&lt;&gt;"",$E240&lt;&gt;""),IF(AND($B240="s",OR($C240="SER",$C240="PLH")),"Case MAX Planck Plate "&amp;(INT(((COUNTIFS($B$2:$B240,"s",$C$2:$C240,"SER")+COUNTIFS($B$2:$B240,"s",$C$2:$C240,"PLH"))-1)/96)+1)&amp;": "&amp;CHAR(65+INT(MOD((COUNTIFS($B$2:$B240,"s",$C$2:$C240,"SER")+COUNTIFS($B$2:$B240,"s",$C$2:$C240,"PLH"))-1,96)/12))&amp;(MOD((COUNTIFS($B$2:$B240,"s",$C$2:$C240,"SER")+COUNTIFS($B$2:$B240,"s",$C$2:$C240,"PLH"))-1,12)+1),"N/A"),"")</f>
        <v/>
      </c>
      <c r="K240" s="6" t="str">
        <f>IF(AND($A240&lt;&gt;"",$B240&lt;&gt;"",$C240&lt;&gt;"",$D240&lt;&gt;"",$E240&lt;&gt;""),IF($C240="WB","Case WB Box "&amp;(INT((COUNTIFS($C$2:$C240,"WB")-1)/81)+1)&amp;": "&amp;CHAR(65+INT(MOD(COUNTIFS($C$2:$C240,"WB")-1,81)/9))&amp;(MOD(COUNTIFS($C$2:$C240,"WB")-1,9)+1),"N/A"),"")</f>
        <v/>
      </c>
      <c r="L240" s="2" t="str">
        <f t="shared" si="55"/>
        <v/>
      </c>
      <c r="M240" s="2"/>
      <c r="N240" s="2"/>
      <c r="O240" s="2"/>
      <c r="P240" s="7" t="str">
        <f t="shared" si="56"/>
        <v/>
      </c>
      <c r="Q240" s="7" t="str">
        <f t="shared" si="57"/>
        <v/>
      </c>
      <c r="R240" s="7" t="str">
        <f t="shared" si="58"/>
        <v/>
      </c>
      <c r="S240" s="7" t="str">
        <f t="shared" si="59"/>
        <v/>
      </c>
      <c r="T240" s="7" t="str">
        <f t="shared" si="60"/>
        <v/>
      </c>
      <c r="U240" s="7" t="str">
        <f t="shared" si="61"/>
        <v/>
      </c>
      <c r="V240" s="7" t="str">
        <f t="shared" si="62"/>
        <v/>
      </c>
      <c r="W240" s="7" t="str">
        <f t="shared" si="63"/>
        <v/>
      </c>
      <c r="X240" s="7" t="str">
        <f t="shared" si="64"/>
        <v/>
      </c>
      <c r="Y240" s="7" t="str">
        <f t="shared" si="65"/>
        <v/>
      </c>
      <c r="Z240">
        <f t="shared" si="66"/>
        <v>0</v>
      </c>
      <c r="AA240" t="str">
        <f t="shared" si="67"/>
        <v/>
      </c>
      <c r="AB240" t="str">
        <f t="shared" si="68"/>
        <v/>
      </c>
      <c r="AC240" t="str">
        <f t="shared" si="69"/>
        <v/>
      </c>
      <c r="AD240" t="str">
        <f t="shared" si="70"/>
        <v/>
      </c>
      <c r="AE240">
        <f t="shared" si="71"/>
        <v>0</v>
      </c>
    </row>
    <row r="241" spans="1:31" ht="15" customHeight="1" x14ac:dyDescent="0.35">
      <c r="A241" s="2"/>
      <c r="B241" s="3"/>
      <c r="C241" s="3"/>
      <c r="D241" s="4"/>
      <c r="E241" s="5"/>
      <c r="F241" s="11" t="str">
        <f t="shared" ca="1" si="54"/>
        <v/>
      </c>
      <c r="G241" s="5"/>
      <c r="H241" s="6" t="str">
        <f>IF(AND($A241&lt;&gt;"",$B241&lt;&gt;"",$C241&lt;&gt;"",$D241&lt;&gt;"",$E241&lt;&gt;""),IF(AND($B241="s",OR($C241="SER",$C241="PLH",$C241="CSF")),"Case CDI Plate "&amp;(INT(((COUNTIFS($B$2:$B241,"s",$C$2:$C241,"SER")+COUNTIFS($B$2:$B241,"s",$C$2:$C241,"PLH")+COUNTIFS($B$2:$B241,"s",$C$2:$C241,"CSF"))-1)/96)+1)&amp;": "&amp;CHAR(65+INT(MOD((COUNTIFS($B$2:$B241,"s",$C$2:$C241,"SER")+COUNTIFS($B$2:$B241,"s",$C$2:$C241,"PLH")+COUNTIFS($B$2:$B241,"s",$C$2:$C241,"CSF"))-1,96)/12))&amp;(MOD((COUNTIFS($B$2:$B241,"s",$C$2:$C241,"SER")+COUNTIFS($B$2:$B241,"s",$C$2:$C241,"PLH")+COUNTIFS($B$2:$B241,"s",$C$2:$C241,"CSF"))-1,12)+1),"N/A"),"")</f>
        <v/>
      </c>
      <c r="I241" s="6" t="str">
        <f>IF(AND($A241&lt;&gt;"",$B241&lt;&gt;"",$C241&lt;&gt;"",$D241&lt;&gt;"",$E241&lt;&gt;""),IF(AND($B241="s",OR($C241="SER",$C241="PLH",$C241="CSF")),"Case NIH Plate "&amp;(INT(((COUNTIFS($B$2:$B241,"s",$C$2:$C241,"SER")+COUNTIFS($B$2:$B241,"s",$C$2:$C241,"PLH")+COUNTIFS($B$2:$B241,"s",$C$2:$C241,"CSF"))-1)/96)+1)&amp;": "&amp;CHAR(65+INT(MOD((COUNTIFS($B$2:$B241,"s",$C$2:$C241,"SER")+COUNTIFS($B$2:$B241,"s",$C$2:$C241,"PLH")+COUNTIFS($B$2:$B241,"s",$C$2:$C241,"CSF"))-1,96)/12))&amp;(MOD((COUNTIFS($B$2:$B241,"s",$C$2:$C241,"SER")+COUNTIFS($B$2:$B241,"s",$C$2:$C241,"PLH")+COUNTIFS($B$2:$B241,"s",$C$2:$C241,"CSF"))-1,12)+1),"N/A"),"")</f>
        <v/>
      </c>
      <c r="J241" s="6" t="str">
        <f>IF(AND($A241&lt;&gt;"",$B241&lt;&gt;"",$C241&lt;&gt;"",$D241&lt;&gt;"",$E241&lt;&gt;""),IF(AND($B241="s",OR($C241="SER",$C241="PLH")),"Case MAX Planck Plate "&amp;(INT(((COUNTIFS($B$2:$B241,"s",$C$2:$C241,"SER")+COUNTIFS($B$2:$B241,"s",$C$2:$C241,"PLH"))-1)/96)+1)&amp;": "&amp;CHAR(65+INT(MOD((COUNTIFS($B$2:$B241,"s",$C$2:$C241,"SER")+COUNTIFS($B$2:$B241,"s",$C$2:$C241,"PLH"))-1,96)/12))&amp;(MOD((COUNTIFS($B$2:$B241,"s",$C$2:$C241,"SER")+COUNTIFS($B$2:$B241,"s",$C$2:$C241,"PLH"))-1,12)+1),"N/A"),"")</f>
        <v/>
      </c>
      <c r="K241" s="6" t="str">
        <f>IF(AND($A241&lt;&gt;"",$B241&lt;&gt;"",$C241&lt;&gt;"",$D241&lt;&gt;"",$E241&lt;&gt;""),IF($C241="WB","Case WB Box "&amp;(INT((COUNTIFS($C$2:$C241,"WB")-1)/81)+1)&amp;": "&amp;CHAR(65+INT(MOD(COUNTIFS($C$2:$C241,"WB")-1,81)/9))&amp;(MOD(COUNTIFS($C$2:$C241,"WB")-1,9)+1),"N/A"),"")</f>
        <v/>
      </c>
      <c r="L241" s="2" t="str">
        <f t="shared" si="55"/>
        <v/>
      </c>
      <c r="M241" s="2"/>
      <c r="N241" s="2"/>
      <c r="O241" s="2"/>
      <c r="P241" s="7" t="str">
        <f t="shared" si="56"/>
        <v/>
      </c>
      <c r="Q241" s="7" t="str">
        <f t="shared" si="57"/>
        <v/>
      </c>
      <c r="R241" s="7" t="str">
        <f t="shared" si="58"/>
        <v/>
      </c>
      <c r="S241" s="7" t="str">
        <f t="shared" si="59"/>
        <v/>
      </c>
      <c r="T241" s="7" t="str">
        <f t="shared" si="60"/>
        <v/>
      </c>
      <c r="U241" s="7" t="str">
        <f t="shared" si="61"/>
        <v/>
      </c>
      <c r="V241" s="7" t="str">
        <f t="shared" si="62"/>
        <v/>
      </c>
      <c r="W241" s="7" t="str">
        <f t="shared" si="63"/>
        <v/>
      </c>
      <c r="X241" s="7" t="str">
        <f t="shared" si="64"/>
        <v/>
      </c>
      <c r="Y241" s="7" t="str">
        <f t="shared" si="65"/>
        <v/>
      </c>
      <c r="Z241">
        <f t="shared" si="66"/>
        <v>0</v>
      </c>
      <c r="AA241" t="str">
        <f t="shared" si="67"/>
        <v/>
      </c>
      <c r="AB241" t="str">
        <f t="shared" si="68"/>
        <v/>
      </c>
      <c r="AC241" t="str">
        <f t="shared" si="69"/>
        <v/>
      </c>
      <c r="AD241" t="str">
        <f t="shared" si="70"/>
        <v/>
      </c>
      <c r="AE241">
        <f t="shared" si="71"/>
        <v>0</v>
      </c>
    </row>
    <row r="242" spans="1:31" ht="15" customHeight="1" x14ac:dyDescent="0.35">
      <c r="A242" s="2"/>
      <c r="B242" s="3"/>
      <c r="C242" s="3"/>
      <c r="D242" s="4"/>
      <c r="E242" s="5"/>
      <c r="F242" s="11" t="str">
        <f t="shared" ca="1" si="54"/>
        <v/>
      </c>
      <c r="G242" s="5"/>
      <c r="H242" s="6" t="str">
        <f>IF(AND($A242&lt;&gt;"",$B242&lt;&gt;"",$C242&lt;&gt;"",$D242&lt;&gt;"",$E242&lt;&gt;""),IF(AND($B242="s",OR($C242="SER",$C242="PLH",$C242="CSF")),"Case CDI Plate "&amp;(INT(((COUNTIFS($B$2:$B242,"s",$C$2:$C242,"SER")+COUNTIFS($B$2:$B242,"s",$C$2:$C242,"PLH")+COUNTIFS($B$2:$B242,"s",$C$2:$C242,"CSF"))-1)/96)+1)&amp;": "&amp;CHAR(65+INT(MOD((COUNTIFS($B$2:$B242,"s",$C$2:$C242,"SER")+COUNTIFS($B$2:$B242,"s",$C$2:$C242,"PLH")+COUNTIFS($B$2:$B242,"s",$C$2:$C242,"CSF"))-1,96)/12))&amp;(MOD((COUNTIFS($B$2:$B242,"s",$C$2:$C242,"SER")+COUNTIFS($B$2:$B242,"s",$C$2:$C242,"PLH")+COUNTIFS($B$2:$B242,"s",$C$2:$C242,"CSF"))-1,12)+1),"N/A"),"")</f>
        <v/>
      </c>
      <c r="I242" s="6" t="str">
        <f>IF(AND($A242&lt;&gt;"",$B242&lt;&gt;"",$C242&lt;&gt;"",$D242&lt;&gt;"",$E242&lt;&gt;""),IF(AND($B242="s",OR($C242="SER",$C242="PLH",$C242="CSF")),"Case NIH Plate "&amp;(INT(((COUNTIFS($B$2:$B242,"s",$C$2:$C242,"SER")+COUNTIFS($B$2:$B242,"s",$C$2:$C242,"PLH")+COUNTIFS($B$2:$B242,"s",$C$2:$C242,"CSF"))-1)/96)+1)&amp;": "&amp;CHAR(65+INT(MOD((COUNTIFS($B$2:$B242,"s",$C$2:$C242,"SER")+COUNTIFS($B$2:$B242,"s",$C$2:$C242,"PLH")+COUNTIFS($B$2:$B242,"s",$C$2:$C242,"CSF"))-1,96)/12))&amp;(MOD((COUNTIFS($B$2:$B242,"s",$C$2:$C242,"SER")+COUNTIFS($B$2:$B242,"s",$C$2:$C242,"PLH")+COUNTIFS($B$2:$B242,"s",$C$2:$C242,"CSF"))-1,12)+1),"N/A"),"")</f>
        <v/>
      </c>
      <c r="J242" s="6" t="str">
        <f>IF(AND($A242&lt;&gt;"",$B242&lt;&gt;"",$C242&lt;&gt;"",$D242&lt;&gt;"",$E242&lt;&gt;""),IF(AND($B242="s",OR($C242="SER",$C242="PLH")),"Case MAX Planck Plate "&amp;(INT(((COUNTIFS($B$2:$B242,"s",$C$2:$C242,"SER")+COUNTIFS($B$2:$B242,"s",$C$2:$C242,"PLH"))-1)/96)+1)&amp;": "&amp;CHAR(65+INT(MOD((COUNTIFS($B$2:$B242,"s",$C$2:$C242,"SER")+COUNTIFS($B$2:$B242,"s",$C$2:$C242,"PLH"))-1,96)/12))&amp;(MOD((COUNTIFS($B$2:$B242,"s",$C$2:$C242,"SER")+COUNTIFS($B$2:$B242,"s",$C$2:$C242,"PLH"))-1,12)+1),"N/A"),"")</f>
        <v/>
      </c>
      <c r="K242" s="6" t="str">
        <f>IF(AND($A242&lt;&gt;"",$B242&lt;&gt;"",$C242&lt;&gt;"",$D242&lt;&gt;"",$E242&lt;&gt;""),IF($C242="WB","Case WB Box "&amp;(INT((COUNTIFS($C$2:$C242,"WB")-1)/81)+1)&amp;": "&amp;CHAR(65+INT(MOD(COUNTIFS($C$2:$C242,"WB")-1,81)/9))&amp;(MOD(COUNTIFS($C$2:$C242,"WB")-1,9)+1),"N/A"),"")</f>
        <v/>
      </c>
      <c r="L242" s="2" t="str">
        <f t="shared" si="55"/>
        <v/>
      </c>
      <c r="M242" s="2"/>
      <c r="N242" s="2"/>
      <c r="O242" s="2"/>
      <c r="P242" s="7" t="str">
        <f t="shared" si="56"/>
        <v/>
      </c>
      <c r="Q242" s="7" t="str">
        <f t="shared" si="57"/>
        <v/>
      </c>
      <c r="R242" s="7" t="str">
        <f t="shared" si="58"/>
        <v/>
      </c>
      <c r="S242" s="7" t="str">
        <f t="shared" si="59"/>
        <v/>
      </c>
      <c r="T242" s="7" t="str">
        <f t="shared" si="60"/>
        <v/>
      </c>
      <c r="U242" s="7" t="str">
        <f t="shared" si="61"/>
        <v/>
      </c>
      <c r="V242" s="7" t="str">
        <f t="shared" si="62"/>
        <v/>
      </c>
      <c r="W242" s="7" t="str">
        <f t="shared" si="63"/>
        <v/>
      </c>
      <c r="X242" s="7" t="str">
        <f t="shared" si="64"/>
        <v/>
      </c>
      <c r="Y242" s="7" t="str">
        <f t="shared" si="65"/>
        <v/>
      </c>
      <c r="Z242">
        <f t="shared" si="66"/>
        <v>0</v>
      </c>
      <c r="AA242" t="str">
        <f t="shared" si="67"/>
        <v/>
      </c>
      <c r="AB242" t="str">
        <f t="shared" si="68"/>
        <v/>
      </c>
      <c r="AC242" t="str">
        <f t="shared" si="69"/>
        <v/>
      </c>
      <c r="AD242" t="str">
        <f t="shared" si="70"/>
        <v/>
      </c>
      <c r="AE242">
        <f t="shared" si="71"/>
        <v>0</v>
      </c>
    </row>
    <row r="243" spans="1:31" ht="15" customHeight="1" x14ac:dyDescent="0.35">
      <c r="A243" s="2"/>
      <c r="B243" s="3"/>
      <c r="C243" s="3"/>
      <c r="D243" s="4"/>
      <c r="E243" s="5"/>
      <c r="F243" s="11" t="str">
        <f t="shared" ca="1" si="54"/>
        <v/>
      </c>
      <c r="G243" s="5"/>
      <c r="H243" s="6" t="str">
        <f>IF(AND($A243&lt;&gt;"",$B243&lt;&gt;"",$C243&lt;&gt;"",$D243&lt;&gt;"",$E243&lt;&gt;""),IF(AND($B243="s",OR($C243="SER",$C243="PLH",$C243="CSF")),"Case CDI Plate "&amp;(INT(((COUNTIFS($B$2:$B243,"s",$C$2:$C243,"SER")+COUNTIFS($B$2:$B243,"s",$C$2:$C243,"PLH")+COUNTIFS($B$2:$B243,"s",$C$2:$C243,"CSF"))-1)/96)+1)&amp;": "&amp;CHAR(65+INT(MOD((COUNTIFS($B$2:$B243,"s",$C$2:$C243,"SER")+COUNTIFS($B$2:$B243,"s",$C$2:$C243,"PLH")+COUNTIFS($B$2:$B243,"s",$C$2:$C243,"CSF"))-1,96)/12))&amp;(MOD((COUNTIFS($B$2:$B243,"s",$C$2:$C243,"SER")+COUNTIFS($B$2:$B243,"s",$C$2:$C243,"PLH")+COUNTIFS($B$2:$B243,"s",$C$2:$C243,"CSF"))-1,12)+1),"N/A"),"")</f>
        <v/>
      </c>
      <c r="I243" s="6" t="str">
        <f>IF(AND($A243&lt;&gt;"",$B243&lt;&gt;"",$C243&lt;&gt;"",$D243&lt;&gt;"",$E243&lt;&gt;""),IF(AND($B243="s",OR($C243="SER",$C243="PLH",$C243="CSF")),"Case NIH Plate "&amp;(INT(((COUNTIFS($B$2:$B243,"s",$C$2:$C243,"SER")+COUNTIFS($B$2:$B243,"s",$C$2:$C243,"PLH")+COUNTIFS($B$2:$B243,"s",$C$2:$C243,"CSF"))-1)/96)+1)&amp;": "&amp;CHAR(65+INT(MOD((COUNTIFS($B$2:$B243,"s",$C$2:$C243,"SER")+COUNTIFS($B$2:$B243,"s",$C$2:$C243,"PLH")+COUNTIFS($B$2:$B243,"s",$C$2:$C243,"CSF"))-1,96)/12))&amp;(MOD((COUNTIFS($B$2:$B243,"s",$C$2:$C243,"SER")+COUNTIFS($B$2:$B243,"s",$C$2:$C243,"PLH")+COUNTIFS($B$2:$B243,"s",$C$2:$C243,"CSF"))-1,12)+1),"N/A"),"")</f>
        <v/>
      </c>
      <c r="J243" s="6" t="str">
        <f>IF(AND($A243&lt;&gt;"",$B243&lt;&gt;"",$C243&lt;&gt;"",$D243&lt;&gt;"",$E243&lt;&gt;""),IF(AND($B243="s",OR($C243="SER",$C243="PLH")),"Case MAX Planck Plate "&amp;(INT(((COUNTIFS($B$2:$B243,"s",$C$2:$C243,"SER")+COUNTIFS($B$2:$B243,"s",$C$2:$C243,"PLH"))-1)/96)+1)&amp;": "&amp;CHAR(65+INT(MOD((COUNTIFS($B$2:$B243,"s",$C$2:$C243,"SER")+COUNTIFS($B$2:$B243,"s",$C$2:$C243,"PLH"))-1,96)/12))&amp;(MOD((COUNTIFS($B$2:$B243,"s",$C$2:$C243,"SER")+COUNTIFS($B$2:$B243,"s",$C$2:$C243,"PLH"))-1,12)+1),"N/A"),"")</f>
        <v/>
      </c>
      <c r="K243" s="6" t="str">
        <f>IF(AND($A243&lt;&gt;"",$B243&lt;&gt;"",$C243&lt;&gt;"",$D243&lt;&gt;"",$E243&lt;&gt;""),IF($C243="WB","Case WB Box "&amp;(INT((COUNTIFS($C$2:$C243,"WB")-1)/81)+1)&amp;": "&amp;CHAR(65+INT(MOD(COUNTIFS($C$2:$C243,"WB")-1,81)/9))&amp;(MOD(COUNTIFS($C$2:$C243,"WB")-1,9)+1),"N/A"),"")</f>
        <v/>
      </c>
      <c r="L243" s="2" t="str">
        <f t="shared" si="55"/>
        <v/>
      </c>
      <c r="M243" s="2"/>
      <c r="N243" s="2"/>
      <c r="O243" s="2"/>
      <c r="P243" s="7" t="str">
        <f t="shared" si="56"/>
        <v/>
      </c>
      <c r="Q243" s="7" t="str">
        <f t="shared" si="57"/>
        <v/>
      </c>
      <c r="R243" s="7" t="str">
        <f t="shared" si="58"/>
        <v/>
      </c>
      <c r="S243" s="7" t="str">
        <f t="shared" si="59"/>
        <v/>
      </c>
      <c r="T243" s="7" t="str">
        <f t="shared" si="60"/>
        <v/>
      </c>
      <c r="U243" s="7" t="str">
        <f t="shared" si="61"/>
        <v/>
      </c>
      <c r="V243" s="7" t="str">
        <f t="shared" si="62"/>
        <v/>
      </c>
      <c r="W243" s="7" t="str">
        <f t="shared" si="63"/>
        <v/>
      </c>
      <c r="X243" s="7" t="str">
        <f t="shared" si="64"/>
        <v/>
      </c>
      <c r="Y243" s="7" t="str">
        <f t="shared" si="65"/>
        <v/>
      </c>
      <c r="Z243">
        <f t="shared" si="66"/>
        <v>0</v>
      </c>
      <c r="AA243" t="str">
        <f t="shared" si="67"/>
        <v/>
      </c>
      <c r="AB243" t="str">
        <f t="shared" si="68"/>
        <v/>
      </c>
      <c r="AC243" t="str">
        <f t="shared" si="69"/>
        <v/>
      </c>
      <c r="AD243" t="str">
        <f t="shared" si="70"/>
        <v/>
      </c>
      <c r="AE243">
        <f t="shared" si="71"/>
        <v>0</v>
      </c>
    </row>
    <row r="244" spans="1:31" ht="15" customHeight="1" x14ac:dyDescent="0.35">
      <c r="A244" s="2"/>
      <c r="B244" s="3"/>
      <c r="C244" s="3"/>
      <c r="D244" s="4"/>
      <c r="E244" s="5"/>
      <c r="F244" s="11" t="str">
        <f t="shared" ca="1" si="54"/>
        <v/>
      </c>
      <c r="G244" s="5"/>
      <c r="H244" s="6" t="str">
        <f>IF(AND($A244&lt;&gt;"",$B244&lt;&gt;"",$C244&lt;&gt;"",$D244&lt;&gt;"",$E244&lt;&gt;""),IF(AND($B244="s",OR($C244="SER",$C244="PLH",$C244="CSF")),"Case CDI Plate "&amp;(INT(((COUNTIFS($B$2:$B244,"s",$C$2:$C244,"SER")+COUNTIFS($B$2:$B244,"s",$C$2:$C244,"PLH")+COUNTIFS($B$2:$B244,"s",$C$2:$C244,"CSF"))-1)/96)+1)&amp;": "&amp;CHAR(65+INT(MOD((COUNTIFS($B$2:$B244,"s",$C$2:$C244,"SER")+COUNTIFS($B$2:$B244,"s",$C$2:$C244,"PLH")+COUNTIFS($B$2:$B244,"s",$C$2:$C244,"CSF"))-1,96)/12))&amp;(MOD((COUNTIFS($B$2:$B244,"s",$C$2:$C244,"SER")+COUNTIFS($B$2:$B244,"s",$C$2:$C244,"PLH")+COUNTIFS($B$2:$B244,"s",$C$2:$C244,"CSF"))-1,12)+1),"N/A"),"")</f>
        <v/>
      </c>
      <c r="I244" s="6" t="str">
        <f>IF(AND($A244&lt;&gt;"",$B244&lt;&gt;"",$C244&lt;&gt;"",$D244&lt;&gt;"",$E244&lt;&gt;""),IF(AND($B244="s",OR($C244="SER",$C244="PLH",$C244="CSF")),"Case NIH Plate "&amp;(INT(((COUNTIFS($B$2:$B244,"s",$C$2:$C244,"SER")+COUNTIFS($B$2:$B244,"s",$C$2:$C244,"PLH")+COUNTIFS($B$2:$B244,"s",$C$2:$C244,"CSF"))-1)/96)+1)&amp;": "&amp;CHAR(65+INT(MOD((COUNTIFS($B$2:$B244,"s",$C$2:$C244,"SER")+COUNTIFS($B$2:$B244,"s",$C$2:$C244,"PLH")+COUNTIFS($B$2:$B244,"s",$C$2:$C244,"CSF"))-1,96)/12))&amp;(MOD((COUNTIFS($B$2:$B244,"s",$C$2:$C244,"SER")+COUNTIFS($B$2:$B244,"s",$C$2:$C244,"PLH")+COUNTIFS($B$2:$B244,"s",$C$2:$C244,"CSF"))-1,12)+1),"N/A"),"")</f>
        <v/>
      </c>
      <c r="J244" s="6" t="str">
        <f>IF(AND($A244&lt;&gt;"",$B244&lt;&gt;"",$C244&lt;&gt;"",$D244&lt;&gt;"",$E244&lt;&gt;""),IF(AND($B244="s",OR($C244="SER",$C244="PLH")),"Case MAX Planck Plate "&amp;(INT(((COUNTIFS($B$2:$B244,"s",$C$2:$C244,"SER")+COUNTIFS($B$2:$B244,"s",$C$2:$C244,"PLH"))-1)/96)+1)&amp;": "&amp;CHAR(65+INT(MOD((COUNTIFS($B$2:$B244,"s",$C$2:$C244,"SER")+COUNTIFS($B$2:$B244,"s",$C$2:$C244,"PLH"))-1,96)/12))&amp;(MOD((COUNTIFS($B$2:$B244,"s",$C$2:$C244,"SER")+COUNTIFS($B$2:$B244,"s",$C$2:$C244,"PLH"))-1,12)+1),"N/A"),"")</f>
        <v/>
      </c>
      <c r="K244" s="6" t="str">
        <f>IF(AND($A244&lt;&gt;"",$B244&lt;&gt;"",$C244&lt;&gt;"",$D244&lt;&gt;"",$E244&lt;&gt;""),IF($C244="WB","Case WB Box "&amp;(INT((COUNTIFS($C$2:$C244,"WB")-1)/81)+1)&amp;": "&amp;CHAR(65+INT(MOD(COUNTIFS($C$2:$C244,"WB")-1,81)/9))&amp;(MOD(COUNTIFS($C$2:$C244,"WB")-1,9)+1),"N/A"),"")</f>
        <v/>
      </c>
      <c r="L244" s="2" t="str">
        <f t="shared" si="55"/>
        <v/>
      </c>
      <c r="M244" s="2"/>
      <c r="N244" s="2"/>
      <c r="O244" s="2"/>
      <c r="P244" s="7" t="str">
        <f t="shared" si="56"/>
        <v/>
      </c>
      <c r="Q244" s="7" t="str">
        <f t="shared" si="57"/>
        <v/>
      </c>
      <c r="R244" s="7" t="str">
        <f t="shared" si="58"/>
        <v/>
      </c>
      <c r="S244" s="7" t="str">
        <f t="shared" si="59"/>
        <v/>
      </c>
      <c r="T244" s="7" t="str">
        <f t="shared" si="60"/>
        <v/>
      </c>
      <c r="U244" s="7" t="str">
        <f t="shared" si="61"/>
        <v/>
      </c>
      <c r="V244" s="7" t="str">
        <f t="shared" si="62"/>
        <v/>
      </c>
      <c r="W244" s="7" t="str">
        <f t="shared" si="63"/>
        <v/>
      </c>
      <c r="X244" s="7" t="str">
        <f t="shared" si="64"/>
        <v/>
      </c>
      <c r="Y244" s="7" t="str">
        <f t="shared" si="65"/>
        <v/>
      </c>
      <c r="Z244">
        <f t="shared" si="66"/>
        <v>0</v>
      </c>
      <c r="AA244" t="str">
        <f t="shared" si="67"/>
        <v/>
      </c>
      <c r="AB244" t="str">
        <f t="shared" si="68"/>
        <v/>
      </c>
      <c r="AC244" t="str">
        <f t="shared" si="69"/>
        <v/>
      </c>
      <c r="AD244" t="str">
        <f t="shared" si="70"/>
        <v/>
      </c>
      <c r="AE244">
        <f t="shared" si="71"/>
        <v>0</v>
      </c>
    </row>
    <row r="245" spans="1:31" ht="15" customHeight="1" x14ac:dyDescent="0.35">
      <c r="A245" s="2"/>
      <c r="B245" s="3"/>
      <c r="C245" s="3"/>
      <c r="D245" s="4"/>
      <c r="E245" s="5"/>
      <c r="F245" s="11" t="str">
        <f t="shared" ca="1" si="54"/>
        <v/>
      </c>
      <c r="G245" s="5"/>
      <c r="H245" s="6" t="str">
        <f>IF(AND($A245&lt;&gt;"",$B245&lt;&gt;"",$C245&lt;&gt;"",$D245&lt;&gt;"",$E245&lt;&gt;""),IF(AND($B245="s",OR($C245="SER",$C245="PLH",$C245="CSF")),"Case CDI Plate "&amp;(INT(((COUNTIFS($B$2:$B245,"s",$C$2:$C245,"SER")+COUNTIFS($B$2:$B245,"s",$C$2:$C245,"PLH")+COUNTIFS($B$2:$B245,"s",$C$2:$C245,"CSF"))-1)/96)+1)&amp;": "&amp;CHAR(65+INT(MOD((COUNTIFS($B$2:$B245,"s",$C$2:$C245,"SER")+COUNTIFS($B$2:$B245,"s",$C$2:$C245,"PLH")+COUNTIFS($B$2:$B245,"s",$C$2:$C245,"CSF"))-1,96)/12))&amp;(MOD((COUNTIFS($B$2:$B245,"s",$C$2:$C245,"SER")+COUNTIFS($B$2:$B245,"s",$C$2:$C245,"PLH")+COUNTIFS($B$2:$B245,"s",$C$2:$C245,"CSF"))-1,12)+1),"N/A"),"")</f>
        <v/>
      </c>
      <c r="I245" s="6" t="str">
        <f>IF(AND($A245&lt;&gt;"",$B245&lt;&gt;"",$C245&lt;&gt;"",$D245&lt;&gt;"",$E245&lt;&gt;""),IF(AND($B245="s",OR($C245="SER",$C245="PLH",$C245="CSF")),"Case NIH Plate "&amp;(INT(((COUNTIFS($B$2:$B245,"s",$C$2:$C245,"SER")+COUNTIFS($B$2:$B245,"s",$C$2:$C245,"PLH")+COUNTIFS($B$2:$B245,"s",$C$2:$C245,"CSF"))-1)/96)+1)&amp;": "&amp;CHAR(65+INT(MOD((COUNTIFS($B$2:$B245,"s",$C$2:$C245,"SER")+COUNTIFS($B$2:$B245,"s",$C$2:$C245,"PLH")+COUNTIFS($B$2:$B245,"s",$C$2:$C245,"CSF"))-1,96)/12))&amp;(MOD((COUNTIFS($B$2:$B245,"s",$C$2:$C245,"SER")+COUNTIFS($B$2:$B245,"s",$C$2:$C245,"PLH")+COUNTIFS($B$2:$B245,"s",$C$2:$C245,"CSF"))-1,12)+1),"N/A"),"")</f>
        <v/>
      </c>
      <c r="J245" s="6" t="str">
        <f>IF(AND($A245&lt;&gt;"",$B245&lt;&gt;"",$C245&lt;&gt;"",$D245&lt;&gt;"",$E245&lt;&gt;""),IF(AND($B245="s",OR($C245="SER",$C245="PLH")),"Case MAX Planck Plate "&amp;(INT(((COUNTIFS($B$2:$B245,"s",$C$2:$C245,"SER")+COUNTIFS($B$2:$B245,"s",$C$2:$C245,"PLH"))-1)/96)+1)&amp;": "&amp;CHAR(65+INT(MOD((COUNTIFS($B$2:$B245,"s",$C$2:$C245,"SER")+COUNTIFS($B$2:$B245,"s",$C$2:$C245,"PLH"))-1,96)/12))&amp;(MOD((COUNTIFS($B$2:$B245,"s",$C$2:$C245,"SER")+COUNTIFS($B$2:$B245,"s",$C$2:$C245,"PLH"))-1,12)+1),"N/A"),"")</f>
        <v/>
      </c>
      <c r="K245" s="6" t="str">
        <f>IF(AND($A245&lt;&gt;"",$B245&lt;&gt;"",$C245&lt;&gt;"",$D245&lt;&gt;"",$E245&lt;&gt;""),IF($C245="WB","Case WB Box "&amp;(INT((COUNTIFS($C$2:$C245,"WB")-1)/81)+1)&amp;": "&amp;CHAR(65+INT(MOD(COUNTIFS($C$2:$C245,"WB")-1,81)/9))&amp;(MOD(COUNTIFS($C$2:$C245,"WB")-1,9)+1),"N/A"),"")</f>
        <v/>
      </c>
      <c r="L245" s="2" t="str">
        <f t="shared" si="55"/>
        <v/>
      </c>
      <c r="M245" s="2"/>
      <c r="N245" s="2"/>
      <c r="O245" s="2"/>
      <c r="P245" s="7" t="str">
        <f t="shared" si="56"/>
        <v/>
      </c>
      <c r="Q245" s="7" t="str">
        <f t="shared" si="57"/>
        <v/>
      </c>
      <c r="R245" s="7" t="str">
        <f t="shared" si="58"/>
        <v/>
      </c>
      <c r="S245" s="7" t="str">
        <f t="shared" si="59"/>
        <v/>
      </c>
      <c r="T245" s="7" t="str">
        <f t="shared" si="60"/>
        <v/>
      </c>
      <c r="U245" s="7" t="str">
        <f t="shared" si="61"/>
        <v/>
      </c>
      <c r="V245" s="7" t="str">
        <f t="shared" si="62"/>
        <v/>
      </c>
      <c r="W245" s="7" t="str">
        <f t="shared" si="63"/>
        <v/>
      </c>
      <c r="X245" s="7" t="str">
        <f t="shared" si="64"/>
        <v/>
      </c>
      <c r="Y245" s="7" t="str">
        <f t="shared" si="65"/>
        <v/>
      </c>
      <c r="Z245">
        <f t="shared" si="66"/>
        <v>0</v>
      </c>
      <c r="AA245" t="str">
        <f t="shared" si="67"/>
        <v/>
      </c>
      <c r="AB245" t="str">
        <f t="shared" si="68"/>
        <v/>
      </c>
      <c r="AC245" t="str">
        <f t="shared" si="69"/>
        <v/>
      </c>
      <c r="AD245" t="str">
        <f t="shared" si="70"/>
        <v/>
      </c>
      <c r="AE245">
        <f t="shared" si="71"/>
        <v>0</v>
      </c>
    </row>
    <row r="246" spans="1:31" ht="15" customHeight="1" x14ac:dyDescent="0.35">
      <c r="A246" s="2"/>
      <c r="B246" s="3"/>
      <c r="C246" s="3"/>
      <c r="D246" s="4"/>
      <c r="E246" s="5"/>
      <c r="F246" s="11" t="str">
        <f t="shared" ca="1" si="54"/>
        <v/>
      </c>
      <c r="G246" s="5"/>
      <c r="H246" s="6" t="str">
        <f>IF(AND($A246&lt;&gt;"",$B246&lt;&gt;"",$C246&lt;&gt;"",$D246&lt;&gt;"",$E246&lt;&gt;""),IF(AND($B246="s",OR($C246="SER",$C246="PLH",$C246="CSF")),"Case CDI Plate "&amp;(INT(((COUNTIFS($B$2:$B246,"s",$C$2:$C246,"SER")+COUNTIFS($B$2:$B246,"s",$C$2:$C246,"PLH")+COUNTIFS($B$2:$B246,"s",$C$2:$C246,"CSF"))-1)/96)+1)&amp;": "&amp;CHAR(65+INT(MOD((COUNTIFS($B$2:$B246,"s",$C$2:$C246,"SER")+COUNTIFS($B$2:$B246,"s",$C$2:$C246,"PLH")+COUNTIFS($B$2:$B246,"s",$C$2:$C246,"CSF"))-1,96)/12))&amp;(MOD((COUNTIFS($B$2:$B246,"s",$C$2:$C246,"SER")+COUNTIFS($B$2:$B246,"s",$C$2:$C246,"PLH")+COUNTIFS($B$2:$B246,"s",$C$2:$C246,"CSF"))-1,12)+1),"N/A"),"")</f>
        <v/>
      </c>
      <c r="I246" s="6" t="str">
        <f>IF(AND($A246&lt;&gt;"",$B246&lt;&gt;"",$C246&lt;&gt;"",$D246&lt;&gt;"",$E246&lt;&gt;""),IF(AND($B246="s",OR($C246="SER",$C246="PLH",$C246="CSF")),"Case NIH Plate "&amp;(INT(((COUNTIFS($B$2:$B246,"s",$C$2:$C246,"SER")+COUNTIFS($B$2:$B246,"s",$C$2:$C246,"PLH")+COUNTIFS($B$2:$B246,"s",$C$2:$C246,"CSF"))-1)/96)+1)&amp;": "&amp;CHAR(65+INT(MOD((COUNTIFS($B$2:$B246,"s",$C$2:$C246,"SER")+COUNTIFS($B$2:$B246,"s",$C$2:$C246,"PLH")+COUNTIFS($B$2:$B246,"s",$C$2:$C246,"CSF"))-1,96)/12))&amp;(MOD((COUNTIFS($B$2:$B246,"s",$C$2:$C246,"SER")+COUNTIFS($B$2:$B246,"s",$C$2:$C246,"PLH")+COUNTIFS($B$2:$B246,"s",$C$2:$C246,"CSF"))-1,12)+1),"N/A"),"")</f>
        <v/>
      </c>
      <c r="J246" s="6" t="str">
        <f>IF(AND($A246&lt;&gt;"",$B246&lt;&gt;"",$C246&lt;&gt;"",$D246&lt;&gt;"",$E246&lt;&gt;""),IF(AND($B246="s",OR($C246="SER",$C246="PLH")),"Case MAX Planck Plate "&amp;(INT(((COUNTIFS($B$2:$B246,"s",$C$2:$C246,"SER")+COUNTIFS($B$2:$B246,"s",$C$2:$C246,"PLH"))-1)/96)+1)&amp;": "&amp;CHAR(65+INT(MOD((COUNTIFS($B$2:$B246,"s",$C$2:$C246,"SER")+COUNTIFS($B$2:$B246,"s",$C$2:$C246,"PLH"))-1,96)/12))&amp;(MOD((COUNTIFS($B$2:$B246,"s",$C$2:$C246,"SER")+COUNTIFS($B$2:$B246,"s",$C$2:$C246,"PLH"))-1,12)+1),"N/A"),"")</f>
        <v/>
      </c>
      <c r="K246" s="6" t="str">
        <f>IF(AND($A246&lt;&gt;"",$B246&lt;&gt;"",$C246&lt;&gt;"",$D246&lt;&gt;"",$E246&lt;&gt;""),IF($C246="WB","Case WB Box "&amp;(INT((COUNTIFS($C$2:$C246,"WB")-1)/81)+1)&amp;": "&amp;CHAR(65+INT(MOD(COUNTIFS($C$2:$C246,"WB")-1,81)/9))&amp;(MOD(COUNTIFS($C$2:$C246,"WB")-1,9)+1),"N/A"),"")</f>
        <v/>
      </c>
      <c r="L246" s="2" t="str">
        <f t="shared" si="55"/>
        <v/>
      </c>
      <c r="M246" s="2"/>
      <c r="N246" s="2"/>
      <c r="O246" s="2"/>
      <c r="P246" s="7" t="str">
        <f t="shared" si="56"/>
        <v/>
      </c>
      <c r="Q246" s="7" t="str">
        <f t="shared" si="57"/>
        <v/>
      </c>
      <c r="R246" s="7" t="str">
        <f t="shared" si="58"/>
        <v/>
      </c>
      <c r="S246" s="7" t="str">
        <f t="shared" si="59"/>
        <v/>
      </c>
      <c r="T246" s="7" t="str">
        <f t="shared" si="60"/>
        <v/>
      </c>
      <c r="U246" s="7" t="str">
        <f t="shared" si="61"/>
        <v/>
      </c>
      <c r="V246" s="7" t="str">
        <f t="shared" si="62"/>
        <v/>
      </c>
      <c r="W246" s="7" t="str">
        <f t="shared" si="63"/>
        <v/>
      </c>
      <c r="X246" s="7" t="str">
        <f t="shared" si="64"/>
        <v/>
      </c>
      <c r="Y246" s="7" t="str">
        <f t="shared" si="65"/>
        <v/>
      </c>
      <c r="Z246">
        <f t="shared" si="66"/>
        <v>0</v>
      </c>
      <c r="AA246" t="str">
        <f t="shared" si="67"/>
        <v/>
      </c>
      <c r="AB246" t="str">
        <f t="shared" si="68"/>
        <v/>
      </c>
      <c r="AC246" t="str">
        <f t="shared" si="69"/>
        <v/>
      </c>
      <c r="AD246" t="str">
        <f t="shared" si="70"/>
        <v/>
      </c>
      <c r="AE246">
        <f t="shared" si="71"/>
        <v>0</v>
      </c>
    </row>
    <row r="247" spans="1:31" ht="15" customHeight="1" x14ac:dyDescent="0.35">
      <c r="A247" s="2"/>
      <c r="B247" s="3"/>
      <c r="C247" s="3"/>
      <c r="D247" s="4"/>
      <c r="E247" s="5"/>
      <c r="F247" s="11" t="str">
        <f t="shared" ca="1" si="54"/>
        <v/>
      </c>
      <c r="G247" s="5"/>
      <c r="H247" s="6" t="str">
        <f>IF(AND($A247&lt;&gt;"",$B247&lt;&gt;"",$C247&lt;&gt;"",$D247&lt;&gt;"",$E247&lt;&gt;""),IF(AND($B247="s",OR($C247="SER",$C247="PLH",$C247="CSF")),"Case CDI Plate "&amp;(INT(((COUNTIFS($B$2:$B247,"s",$C$2:$C247,"SER")+COUNTIFS($B$2:$B247,"s",$C$2:$C247,"PLH")+COUNTIFS($B$2:$B247,"s",$C$2:$C247,"CSF"))-1)/96)+1)&amp;": "&amp;CHAR(65+INT(MOD((COUNTIFS($B$2:$B247,"s",$C$2:$C247,"SER")+COUNTIFS($B$2:$B247,"s",$C$2:$C247,"PLH")+COUNTIFS($B$2:$B247,"s",$C$2:$C247,"CSF"))-1,96)/12))&amp;(MOD((COUNTIFS($B$2:$B247,"s",$C$2:$C247,"SER")+COUNTIFS($B$2:$B247,"s",$C$2:$C247,"PLH")+COUNTIFS($B$2:$B247,"s",$C$2:$C247,"CSF"))-1,12)+1),"N/A"),"")</f>
        <v/>
      </c>
      <c r="I247" s="6" t="str">
        <f>IF(AND($A247&lt;&gt;"",$B247&lt;&gt;"",$C247&lt;&gt;"",$D247&lt;&gt;"",$E247&lt;&gt;""),IF(AND($B247="s",OR($C247="SER",$C247="PLH",$C247="CSF")),"Case NIH Plate "&amp;(INT(((COUNTIFS($B$2:$B247,"s",$C$2:$C247,"SER")+COUNTIFS($B$2:$B247,"s",$C$2:$C247,"PLH")+COUNTIFS($B$2:$B247,"s",$C$2:$C247,"CSF"))-1)/96)+1)&amp;": "&amp;CHAR(65+INT(MOD((COUNTIFS($B$2:$B247,"s",$C$2:$C247,"SER")+COUNTIFS($B$2:$B247,"s",$C$2:$C247,"PLH")+COUNTIFS($B$2:$B247,"s",$C$2:$C247,"CSF"))-1,96)/12))&amp;(MOD((COUNTIFS($B$2:$B247,"s",$C$2:$C247,"SER")+COUNTIFS($B$2:$B247,"s",$C$2:$C247,"PLH")+COUNTIFS($B$2:$B247,"s",$C$2:$C247,"CSF"))-1,12)+1),"N/A"),"")</f>
        <v/>
      </c>
      <c r="J247" s="6" t="str">
        <f>IF(AND($A247&lt;&gt;"",$B247&lt;&gt;"",$C247&lt;&gt;"",$D247&lt;&gt;"",$E247&lt;&gt;""),IF(AND($B247="s",OR($C247="SER",$C247="PLH")),"Case MAX Planck Plate "&amp;(INT(((COUNTIFS($B$2:$B247,"s",$C$2:$C247,"SER")+COUNTIFS($B$2:$B247,"s",$C$2:$C247,"PLH"))-1)/96)+1)&amp;": "&amp;CHAR(65+INT(MOD((COUNTIFS($B$2:$B247,"s",$C$2:$C247,"SER")+COUNTIFS($B$2:$B247,"s",$C$2:$C247,"PLH"))-1,96)/12))&amp;(MOD((COUNTIFS($B$2:$B247,"s",$C$2:$C247,"SER")+COUNTIFS($B$2:$B247,"s",$C$2:$C247,"PLH"))-1,12)+1),"N/A"),"")</f>
        <v/>
      </c>
      <c r="K247" s="6" t="str">
        <f>IF(AND($A247&lt;&gt;"",$B247&lt;&gt;"",$C247&lt;&gt;"",$D247&lt;&gt;"",$E247&lt;&gt;""),IF($C247="WB","Case WB Box "&amp;(INT((COUNTIFS($C$2:$C247,"WB")-1)/81)+1)&amp;": "&amp;CHAR(65+INT(MOD(COUNTIFS($C$2:$C247,"WB")-1,81)/9))&amp;(MOD(COUNTIFS($C$2:$C247,"WB")-1,9)+1),"N/A"),"")</f>
        <v/>
      </c>
      <c r="L247" s="2" t="str">
        <f t="shared" si="55"/>
        <v/>
      </c>
      <c r="M247" s="2"/>
      <c r="N247" s="2"/>
      <c r="O247" s="2"/>
      <c r="P247" s="7" t="str">
        <f t="shared" si="56"/>
        <v/>
      </c>
      <c r="Q247" s="7" t="str">
        <f t="shared" si="57"/>
        <v/>
      </c>
      <c r="R247" s="7" t="str">
        <f t="shared" si="58"/>
        <v/>
      </c>
      <c r="S247" s="7" t="str">
        <f t="shared" si="59"/>
        <v/>
      </c>
      <c r="T247" s="7" t="str">
        <f t="shared" si="60"/>
        <v/>
      </c>
      <c r="U247" s="7" t="str">
        <f t="shared" si="61"/>
        <v/>
      </c>
      <c r="V247" s="7" t="str">
        <f t="shared" si="62"/>
        <v/>
      </c>
      <c r="W247" s="7" t="str">
        <f t="shared" si="63"/>
        <v/>
      </c>
      <c r="X247" s="7" t="str">
        <f t="shared" si="64"/>
        <v/>
      </c>
      <c r="Y247" s="7" t="str">
        <f t="shared" si="65"/>
        <v/>
      </c>
      <c r="Z247">
        <f t="shared" si="66"/>
        <v>0</v>
      </c>
      <c r="AA247" t="str">
        <f t="shared" si="67"/>
        <v/>
      </c>
      <c r="AB247" t="str">
        <f t="shared" si="68"/>
        <v/>
      </c>
      <c r="AC247" t="str">
        <f t="shared" si="69"/>
        <v/>
      </c>
      <c r="AD247" t="str">
        <f t="shared" si="70"/>
        <v/>
      </c>
      <c r="AE247">
        <f t="shared" si="71"/>
        <v>0</v>
      </c>
    </row>
    <row r="248" spans="1:31" ht="15" customHeight="1" x14ac:dyDescent="0.35">
      <c r="A248" s="2"/>
      <c r="B248" s="3"/>
      <c r="C248" s="3"/>
      <c r="D248" s="4"/>
      <c r="E248" s="5"/>
      <c r="F248" s="11" t="str">
        <f t="shared" ca="1" si="54"/>
        <v/>
      </c>
      <c r="G248" s="5"/>
      <c r="H248" s="6" t="str">
        <f>IF(AND($A248&lt;&gt;"",$B248&lt;&gt;"",$C248&lt;&gt;"",$D248&lt;&gt;"",$E248&lt;&gt;""),IF(AND($B248="s",OR($C248="SER",$C248="PLH",$C248="CSF")),"Case CDI Plate "&amp;(INT(((COUNTIFS($B$2:$B248,"s",$C$2:$C248,"SER")+COUNTIFS($B$2:$B248,"s",$C$2:$C248,"PLH")+COUNTIFS($B$2:$B248,"s",$C$2:$C248,"CSF"))-1)/96)+1)&amp;": "&amp;CHAR(65+INT(MOD((COUNTIFS($B$2:$B248,"s",$C$2:$C248,"SER")+COUNTIFS($B$2:$B248,"s",$C$2:$C248,"PLH")+COUNTIFS($B$2:$B248,"s",$C$2:$C248,"CSF"))-1,96)/12))&amp;(MOD((COUNTIFS($B$2:$B248,"s",$C$2:$C248,"SER")+COUNTIFS($B$2:$B248,"s",$C$2:$C248,"PLH")+COUNTIFS($B$2:$B248,"s",$C$2:$C248,"CSF"))-1,12)+1),"N/A"),"")</f>
        <v/>
      </c>
      <c r="I248" s="6" t="str">
        <f>IF(AND($A248&lt;&gt;"",$B248&lt;&gt;"",$C248&lt;&gt;"",$D248&lt;&gt;"",$E248&lt;&gt;""),IF(AND($B248="s",OR($C248="SER",$C248="PLH",$C248="CSF")),"Case NIH Plate "&amp;(INT(((COUNTIFS($B$2:$B248,"s",$C$2:$C248,"SER")+COUNTIFS($B$2:$B248,"s",$C$2:$C248,"PLH")+COUNTIFS($B$2:$B248,"s",$C$2:$C248,"CSF"))-1)/96)+1)&amp;": "&amp;CHAR(65+INT(MOD((COUNTIFS($B$2:$B248,"s",$C$2:$C248,"SER")+COUNTIFS($B$2:$B248,"s",$C$2:$C248,"PLH")+COUNTIFS($B$2:$B248,"s",$C$2:$C248,"CSF"))-1,96)/12))&amp;(MOD((COUNTIFS($B$2:$B248,"s",$C$2:$C248,"SER")+COUNTIFS($B$2:$B248,"s",$C$2:$C248,"PLH")+COUNTIFS($B$2:$B248,"s",$C$2:$C248,"CSF"))-1,12)+1),"N/A"),"")</f>
        <v/>
      </c>
      <c r="J248" s="6" t="str">
        <f>IF(AND($A248&lt;&gt;"",$B248&lt;&gt;"",$C248&lt;&gt;"",$D248&lt;&gt;"",$E248&lt;&gt;""),IF(AND($B248="s",OR($C248="SER",$C248="PLH")),"Case MAX Planck Plate "&amp;(INT(((COUNTIFS($B$2:$B248,"s",$C$2:$C248,"SER")+COUNTIFS($B$2:$B248,"s",$C$2:$C248,"PLH"))-1)/96)+1)&amp;": "&amp;CHAR(65+INT(MOD((COUNTIFS($B$2:$B248,"s",$C$2:$C248,"SER")+COUNTIFS($B$2:$B248,"s",$C$2:$C248,"PLH"))-1,96)/12))&amp;(MOD((COUNTIFS($B$2:$B248,"s",$C$2:$C248,"SER")+COUNTIFS($B$2:$B248,"s",$C$2:$C248,"PLH"))-1,12)+1),"N/A"),"")</f>
        <v/>
      </c>
      <c r="K248" s="6" t="str">
        <f>IF(AND($A248&lt;&gt;"",$B248&lt;&gt;"",$C248&lt;&gt;"",$D248&lt;&gt;"",$E248&lt;&gt;""),IF($C248="WB","Case WB Box "&amp;(INT((COUNTIFS($C$2:$C248,"WB")-1)/81)+1)&amp;": "&amp;CHAR(65+INT(MOD(COUNTIFS($C$2:$C248,"WB")-1,81)/9))&amp;(MOD(COUNTIFS($C$2:$C248,"WB")-1,9)+1),"N/A"),"")</f>
        <v/>
      </c>
      <c r="L248" s="2" t="str">
        <f t="shared" si="55"/>
        <v/>
      </c>
      <c r="M248" s="2"/>
      <c r="N248" s="2"/>
      <c r="O248" s="2"/>
      <c r="P248" s="7" t="str">
        <f t="shared" si="56"/>
        <v/>
      </c>
      <c r="Q248" s="7" t="str">
        <f t="shared" si="57"/>
        <v/>
      </c>
      <c r="R248" s="7" t="str">
        <f t="shared" si="58"/>
        <v/>
      </c>
      <c r="S248" s="7" t="str">
        <f t="shared" si="59"/>
        <v/>
      </c>
      <c r="T248" s="7" t="str">
        <f t="shared" si="60"/>
        <v/>
      </c>
      <c r="U248" s="7" t="str">
        <f t="shared" si="61"/>
        <v/>
      </c>
      <c r="V248" s="7" t="str">
        <f t="shared" si="62"/>
        <v/>
      </c>
      <c r="W248" s="7" t="str">
        <f t="shared" si="63"/>
        <v/>
      </c>
      <c r="X248" s="7" t="str">
        <f t="shared" si="64"/>
        <v/>
      </c>
      <c r="Y248" s="7" t="str">
        <f t="shared" si="65"/>
        <v/>
      </c>
      <c r="Z248">
        <f t="shared" si="66"/>
        <v>0</v>
      </c>
      <c r="AA248" t="str">
        <f t="shared" si="67"/>
        <v/>
      </c>
      <c r="AB248" t="str">
        <f t="shared" si="68"/>
        <v/>
      </c>
      <c r="AC248" t="str">
        <f t="shared" si="69"/>
        <v/>
      </c>
      <c r="AD248" t="str">
        <f t="shared" si="70"/>
        <v/>
      </c>
      <c r="AE248">
        <f t="shared" si="71"/>
        <v>0</v>
      </c>
    </row>
    <row r="249" spans="1:31" ht="15" customHeight="1" x14ac:dyDescent="0.35">
      <c r="A249" s="2"/>
      <c r="B249" s="3"/>
      <c r="C249" s="3"/>
      <c r="D249" s="4"/>
      <c r="E249" s="5"/>
      <c r="F249" s="11" t="str">
        <f t="shared" ca="1" si="54"/>
        <v/>
      </c>
      <c r="G249" s="5"/>
      <c r="H249" s="6" t="str">
        <f>IF(AND($A249&lt;&gt;"",$B249&lt;&gt;"",$C249&lt;&gt;"",$D249&lt;&gt;"",$E249&lt;&gt;""),IF(AND($B249="s",OR($C249="SER",$C249="PLH",$C249="CSF")),"Case CDI Plate "&amp;(INT(((COUNTIFS($B$2:$B249,"s",$C$2:$C249,"SER")+COUNTIFS($B$2:$B249,"s",$C$2:$C249,"PLH")+COUNTIFS($B$2:$B249,"s",$C$2:$C249,"CSF"))-1)/96)+1)&amp;": "&amp;CHAR(65+INT(MOD((COUNTIFS($B$2:$B249,"s",$C$2:$C249,"SER")+COUNTIFS($B$2:$B249,"s",$C$2:$C249,"PLH")+COUNTIFS($B$2:$B249,"s",$C$2:$C249,"CSF"))-1,96)/12))&amp;(MOD((COUNTIFS($B$2:$B249,"s",$C$2:$C249,"SER")+COUNTIFS($B$2:$B249,"s",$C$2:$C249,"PLH")+COUNTIFS($B$2:$B249,"s",$C$2:$C249,"CSF"))-1,12)+1),"N/A"),"")</f>
        <v/>
      </c>
      <c r="I249" s="6" t="str">
        <f>IF(AND($A249&lt;&gt;"",$B249&lt;&gt;"",$C249&lt;&gt;"",$D249&lt;&gt;"",$E249&lt;&gt;""),IF(AND($B249="s",OR($C249="SER",$C249="PLH",$C249="CSF")),"Case NIH Plate "&amp;(INT(((COUNTIFS($B$2:$B249,"s",$C$2:$C249,"SER")+COUNTIFS($B$2:$B249,"s",$C$2:$C249,"PLH")+COUNTIFS($B$2:$B249,"s",$C$2:$C249,"CSF"))-1)/96)+1)&amp;": "&amp;CHAR(65+INT(MOD((COUNTIFS($B$2:$B249,"s",$C$2:$C249,"SER")+COUNTIFS($B$2:$B249,"s",$C$2:$C249,"PLH")+COUNTIFS($B$2:$B249,"s",$C$2:$C249,"CSF"))-1,96)/12))&amp;(MOD((COUNTIFS($B$2:$B249,"s",$C$2:$C249,"SER")+COUNTIFS($B$2:$B249,"s",$C$2:$C249,"PLH")+COUNTIFS($B$2:$B249,"s",$C$2:$C249,"CSF"))-1,12)+1),"N/A"),"")</f>
        <v/>
      </c>
      <c r="J249" s="6" t="str">
        <f>IF(AND($A249&lt;&gt;"",$B249&lt;&gt;"",$C249&lt;&gt;"",$D249&lt;&gt;"",$E249&lt;&gt;""),IF(AND($B249="s",OR($C249="SER",$C249="PLH")),"Case MAX Planck Plate "&amp;(INT(((COUNTIFS($B$2:$B249,"s",$C$2:$C249,"SER")+COUNTIFS($B$2:$B249,"s",$C$2:$C249,"PLH"))-1)/96)+1)&amp;": "&amp;CHAR(65+INT(MOD((COUNTIFS($B$2:$B249,"s",$C$2:$C249,"SER")+COUNTIFS($B$2:$B249,"s",$C$2:$C249,"PLH"))-1,96)/12))&amp;(MOD((COUNTIFS($B$2:$B249,"s",$C$2:$C249,"SER")+COUNTIFS($B$2:$B249,"s",$C$2:$C249,"PLH"))-1,12)+1),"N/A"),"")</f>
        <v/>
      </c>
      <c r="K249" s="6" t="str">
        <f>IF(AND($A249&lt;&gt;"",$B249&lt;&gt;"",$C249&lt;&gt;"",$D249&lt;&gt;"",$E249&lt;&gt;""),IF($C249="WB","Case WB Box "&amp;(INT((COUNTIFS($C$2:$C249,"WB")-1)/81)+1)&amp;": "&amp;CHAR(65+INT(MOD(COUNTIFS($C$2:$C249,"WB")-1,81)/9))&amp;(MOD(COUNTIFS($C$2:$C249,"WB")-1,9)+1),"N/A"),"")</f>
        <v/>
      </c>
      <c r="L249" s="2" t="str">
        <f t="shared" si="55"/>
        <v/>
      </c>
      <c r="M249" s="2"/>
      <c r="N249" s="2"/>
      <c r="O249" s="2"/>
      <c r="P249" s="7" t="str">
        <f t="shared" si="56"/>
        <v/>
      </c>
      <c r="Q249" s="7" t="str">
        <f t="shared" si="57"/>
        <v/>
      </c>
      <c r="R249" s="7" t="str">
        <f t="shared" si="58"/>
        <v/>
      </c>
      <c r="S249" s="7" t="str">
        <f t="shared" si="59"/>
        <v/>
      </c>
      <c r="T249" s="7" t="str">
        <f t="shared" si="60"/>
        <v/>
      </c>
      <c r="U249" s="7" t="str">
        <f t="shared" si="61"/>
        <v/>
      </c>
      <c r="V249" s="7" t="str">
        <f t="shared" si="62"/>
        <v/>
      </c>
      <c r="W249" s="7" t="str">
        <f t="shared" si="63"/>
        <v/>
      </c>
      <c r="X249" s="7" t="str">
        <f t="shared" si="64"/>
        <v/>
      </c>
      <c r="Y249" s="7" t="str">
        <f t="shared" si="65"/>
        <v/>
      </c>
      <c r="Z249">
        <f t="shared" si="66"/>
        <v>0</v>
      </c>
      <c r="AA249" t="str">
        <f t="shared" si="67"/>
        <v/>
      </c>
      <c r="AB249" t="str">
        <f t="shared" si="68"/>
        <v/>
      </c>
      <c r="AC249" t="str">
        <f t="shared" si="69"/>
        <v/>
      </c>
      <c r="AD249" t="str">
        <f t="shared" si="70"/>
        <v/>
      </c>
      <c r="AE249">
        <f t="shared" si="71"/>
        <v>0</v>
      </c>
    </row>
    <row r="250" spans="1:31" ht="15" customHeight="1" x14ac:dyDescent="0.35">
      <c r="A250" s="2"/>
      <c r="B250" s="3"/>
      <c r="C250" s="3"/>
      <c r="D250" s="4"/>
      <c r="E250" s="5"/>
      <c r="F250" s="11" t="str">
        <f t="shared" ca="1" si="54"/>
        <v/>
      </c>
      <c r="G250" s="5"/>
      <c r="H250" s="6" t="str">
        <f>IF(AND($A250&lt;&gt;"",$B250&lt;&gt;"",$C250&lt;&gt;"",$D250&lt;&gt;"",$E250&lt;&gt;""),IF(AND($B250="s",OR($C250="SER",$C250="PLH",$C250="CSF")),"Case CDI Plate "&amp;(INT(((COUNTIFS($B$2:$B250,"s",$C$2:$C250,"SER")+COUNTIFS($B$2:$B250,"s",$C$2:$C250,"PLH")+COUNTIFS($B$2:$B250,"s",$C$2:$C250,"CSF"))-1)/96)+1)&amp;": "&amp;CHAR(65+INT(MOD((COUNTIFS($B$2:$B250,"s",$C$2:$C250,"SER")+COUNTIFS($B$2:$B250,"s",$C$2:$C250,"PLH")+COUNTIFS($B$2:$B250,"s",$C$2:$C250,"CSF"))-1,96)/12))&amp;(MOD((COUNTIFS($B$2:$B250,"s",$C$2:$C250,"SER")+COUNTIFS($B$2:$B250,"s",$C$2:$C250,"PLH")+COUNTIFS($B$2:$B250,"s",$C$2:$C250,"CSF"))-1,12)+1),"N/A"),"")</f>
        <v/>
      </c>
      <c r="I250" s="6" t="str">
        <f>IF(AND($A250&lt;&gt;"",$B250&lt;&gt;"",$C250&lt;&gt;"",$D250&lt;&gt;"",$E250&lt;&gt;""),IF(AND($B250="s",OR($C250="SER",$C250="PLH",$C250="CSF")),"Case NIH Plate "&amp;(INT(((COUNTIFS($B$2:$B250,"s",$C$2:$C250,"SER")+COUNTIFS($B$2:$B250,"s",$C$2:$C250,"PLH")+COUNTIFS($B$2:$B250,"s",$C$2:$C250,"CSF"))-1)/96)+1)&amp;": "&amp;CHAR(65+INT(MOD((COUNTIFS($B$2:$B250,"s",$C$2:$C250,"SER")+COUNTIFS($B$2:$B250,"s",$C$2:$C250,"PLH")+COUNTIFS($B$2:$B250,"s",$C$2:$C250,"CSF"))-1,96)/12))&amp;(MOD((COUNTIFS($B$2:$B250,"s",$C$2:$C250,"SER")+COUNTIFS($B$2:$B250,"s",$C$2:$C250,"PLH")+COUNTIFS($B$2:$B250,"s",$C$2:$C250,"CSF"))-1,12)+1),"N/A"),"")</f>
        <v/>
      </c>
      <c r="J250" s="6" t="str">
        <f>IF(AND($A250&lt;&gt;"",$B250&lt;&gt;"",$C250&lt;&gt;"",$D250&lt;&gt;"",$E250&lt;&gt;""),IF(AND($B250="s",OR($C250="SER",$C250="PLH")),"Case MAX Planck Plate "&amp;(INT(((COUNTIFS($B$2:$B250,"s",$C$2:$C250,"SER")+COUNTIFS($B$2:$B250,"s",$C$2:$C250,"PLH"))-1)/96)+1)&amp;": "&amp;CHAR(65+INT(MOD((COUNTIFS($B$2:$B250,"s",$C$2:$C250,"SER")+COUNTIFS($B$2:$B250,"s",$C$2:$C250,"PLH"))-1,96)/12))&amp;(MOD((COUNTIFS($B$2:$B250,"s",$C$2:$C250,"SER")+COUNTIFS($B$2:$B250,"s",$C$2:$C250,"PLH"))-1,12)+1),"N/A"),"")</f>
        <v/>
      </c>
      <c r="K250" s="6" t="str">
        <f>IF(AND($A250&lt;&gt;"",$B250&lt;&gt;"",$C250&lt;&gt;"",$D250&lt;&gt;"",$E250&lt;&gt;""),IF($C250="WB","Case WB Box "&amp;(INT((COUNTIFS($C$2:$C250,"WB")-1)/81)+1)&amp;": "&amp;CHAR(65+INT(MOD(COUNTIFS($C$2:$C250,"WB")-1,81)/9))&amp;(MOD(COUNTIFS($C$2:$C250,"WB")-1,9)+1),"N/A"),"")</f>
        <v/>
      </c>
      <c r="L250" s="2" t="str">
        <f t="shared" si="55"/>
        <v/>
      </c>
      <c r="M250" s="2"/>
      <c r="N250" s="2"/>
      <c r="O250" s="2"/>
      <c r="P250" s="7" t="str">
        <f t="shared" si="56"/>
        <v/>
      </c>
      <c r="Q250" s="7" t="str">
        <f t="shared" si="57"/>
        <v/>
      </c>
      <c r="R250" s="7" t="str">
        <f t="shared" si="58"/>
        <v/>
      </c>
      <c r="S250" s="7" t="str">
        <f t="shared" si="59"/>
        <v/>
      </c>
      <c r="T250" s="7" t="str">
        <f t="shared" si="60"/>
        <v/>
      </c>
      <c r="U250" s="7" t="str">
        <f t="shared" si="61"/>
        <v/>
      </c>
      <c r="V250" s="7" t="str">
        <f t="shared" si="62"/>
        <v/>
      </c>
      <c r="W250" s="7" t="str">
        <f t="shared" si="63"/>
        <v/>
      </c>
      <c r="X250" s="7" t="str">
        <f t="shared" si="64"/>
        <v/>
      </c>
      <c r="Y250" s="7" t="str">
        <f t="shared" si="65"/>
        <v/>
      </c>
      <c r="Z250">
        <f t="shared" si="66"/>
        <v>0</v>
      </c>
      <c r="AA250" t="str">
        <f t="shared" si="67"/>
        <v/>
      </c>
      <c r="AB250" t="str">
        <f t="shared" si="68"/>
        <v/>
      </c>
      <c r="AC250" t="str">
        <f t="shared" si="69"/>
        <v/>
      </c>
      <c r="AD250" t="str">
        <f t="shared" si="70"/>
        <v/>
      </c>
      <c r="AE250">
        <f t="shared" si="71"/>
        <v>0</v>
      </c>
    </row>
    <row r="251" spans="1:31" ht="15" customHeight="1" x14ac:dyDescent="0.35">
      <c r="A251" s="2"/>
      <c r="B251" s="3"/>
      <c r="C251" s="3"/>
      <c r="D251" s="4"/>
      <c r="E251" s="5"/>
      <c r="F251" s="11" t="str">
        <f t="shared" ca="1" si="54"/>
        <v/>
      </c>
      <c r="G251" s="5"/>
      <c r="H251" s="6" t="str">
        <f>IF(AND($A251&lt;&gt;"",$B251&lt;&gt;"",$C251&lt;&gt;"",$D251&lt;&gt;"",$E251&lt;&gt;""),IF(AND($B251="s",OR($C251="SER",$C251="PLH",$C251="CSF")),"Case CDI Plate "&amp;(INT(((COUNTIFS($B$2:$B251,"s",$C$2:$C251,"SER")+COUNTIFS($B$2:$B251,"s",$C$2:$C251,"PLH")+COUNTIFS($B$2:$B251,"s",$C$2:$C251,"CSF"))-1)/96)+1)&amp;": "&amp;CHAR(65+INT(MOD((COUNTIFS($B$2:$B251,"s",$C$2:$C251,"SER")+COUNTIFS($B$2:$B251,"s",$C$2:$C251,"PLH")+COUNTIFS($B$2:$B251,"s",$C$2:$C251,"CSF"))-1,96)/12))&amp;(MOD((COUNTIFS($B$2:$B251,"s",$C$2:$C251,"SER")+COUNTIFS($B$2:$B251,"s",$C$2:$C251,"PLH")+COUNTIFS($B$2:$B251,"s",$C$2:$C251,"CSF"))-1,12)+1),"N/A"),"")</f>
        <v/>
      </c>
      <c r="I251" s="6" t="str">
        <f>IF(AND($A251&lt;&gt;"",$B251&lt;&gt;"",$C251&lt;&gt;"",$D251&lt;&gt;"",$E251&lt;&gt;""),IF(AND($B251="s",OR($C251="SER",$C251="PLH",$C251="CSF")),"Case NIH Plate "&amp;(INT(((COUNTIFS($B$2:$B251,"s",$C$2:$C251,"SER")+COUNTIFS($B$2:$B251,"s",$C$2:$C251,"PLH")+COUNTIFS($B$2:$B251,"s",$C$2:$C251,"CSF"))-1)/96)+1)&amp;": "&amp;CHAR(65+INT(MOD((COUNTIFS($B$2:$B251,"s",$C$2:$C251,"SER")+COUNTIFS($B$2:$B251,"s",$C$2:$C251,"PLH")+COUNTIFS($B$2:$B251,"s",$C$2:$C251,"CSF"))-1,96)/12))&amp;(MOD((COUNTIFS($B$2:$B251,"s",$C$2:$C251,"SER")+COUNTIFS($B$2:$B251,"s",$C$2:$C251,"PLH")+COUNTIFS($B$2:$B251,"s",$C$2:$C251,"CSF"))-1,12)+1),"N/A"),"")</f>
        <v/>
      </c>
      <c r="J251" s="6" t="str">
        <f>IF(AND($A251&lt;&gt;"",$B251&lt;&gt;"",$C251&lt;&gt;"",$D251&lt;&gt;"",$E251&lt;&gt;""),IF(AND($B251="s",OR($C251="SER",$C251="PLH")),"Case MAX Planck Plate "&amp;(INT(((COUNTIFS($B$2:$B251,"s",$C$2:$C251,"SER")+COUNTIFS($B$2:$B251,"s",$C$2:$C251,"PLH"))-1)/96)+1)&amp;": "&amp;CHAR(65+INT(MOD((COUNTIFS($B$2:$B251,"s",$C$2:$C251,"SER")+COUNTIFS($B$2:$B251,"s",$C$2:$C251,"PLH"))-1,96)/12))&amp;(MOD((COUNTIFS($B$2:$B251,"s",$C$2:$C251,"SER")+COUNTIFS($B$2:$B251,"s",$C$2:$C251,"PLH"))-1,12)+1),"N/A"),"")</f>
        <v/>
      </c>
      <c r="K251" s="6" t="str">
        <f>IF(AND($A251&lt;&gt;"",$B251&lt;&gt;"",$C251&lt;&gt;"",$D251&lt;&gt;"",$E251&lt;&gt;""),IF($C251="WB","Case WB Box "&amp;(INT((COUNTIFS($C$2:$C251,"WB")-1)/81)+1)&amp;": "&amp;CHAR(65+INT(MOD(COUNTIFS($C$2:$C251,"WB")-1,81)/9))&amp;(MOD(COUNTIFS($C$2:$C251,"WB")-1,9)+1),"N/A"),"")</f>
        <v/>
      </c>
      <c r="L251" s="2" t="str">
        <f t="shared" si="55"/>
        <v/>
      </c>
      <c r="M251" s="2"/>
      <c r="N251" s="2"/>
      <c r="O251" s="2"/>
      <c r="P251" s="7" t="str">
        <f t="shared" si="56"/>
        <v/>
      </c>
      <c r="Q251" s="7" t="str">
        <f t="shared" si="57"/>
        <v/>
      </c>
      <c r="R251" s="7" t="str">
        <f t="shared" si="58"/>
        <v/>
      </c>
      <c r="S251" s="7" t="str">
        <f t="shared" si="59"/>
        <v/>
      </c>
      <c r="T251" s="7" t="str">
        <f t="shared" si="60"/>
        <v/>
      </c>
      <c r="U251" s="7" t="str">
        <f t="shared" si="61"/>
        <v/>
      </c>
      <c r="V251" s="7" t="str">
        <f t="shared" si="62"/>
        <v/>
      </c>
      <c r="W251" s="7" t="str">
        <f t="shared" si="63"/>
        <v/>
      </c>
      <c r="X251" s="7" t="str">
        <f t="shared" si="64"/>
        <v/>
      </c>
      <c r="Y251" s="7" t="str">
        <f t="shared" si="65"/>
        <v/>
      </c>
      <c r="Z251">
        <f t="shared" si="66"/>
        <v>0</v>
      </c>
      <c r="AA251" t="str">
        <f t="shared" si="67"/>
        <v/>
      </c>
      <c r="AB251" t="str">
        <f t="shared" si="68"/>
        <v/>
      </c>
      <c r="AC251" t="str">
        <f t="shared" si="69"/>
        <v/>
      </c>
      <c r="AD251" t="str">
        <f t="shared" si="70"/>
        <v/>
      </c>
      <c r="AE251">
        <f t="shared" si="71"/>
        <v>0</v>
      </c>
    </row>
    <row r="252" spans="1:31" ht="15" customHeight="1" x14ac:dyDescent="0.35">
      <c r="A252" s="2"/>
      <c r="B252" s="3"/>
      <c r="C252" s="3"/>
      <c r="D252" s="4"/>
      <c r="E252" s="5"/>
      <c r="F252" s="11" t="str">
        <f t="shared" ca="1" si="54"/>
        <v/>
      </c>
      <c r="G252" s="5"/>
      <c r="H252" s="6" t="str">
        <f>IF(AND($A252&lt;&gt;"",$B252&lt;&gt;"",$C252&lt;&gt;"",$D252&lt;&gt;"",$E252&lt;&gt;""),IF(AND($B252="s",OR($C252="SER",$C252="PLH",$C252="CSF")),"Case CDI Plate "&amp;(INT(((COUNTIFS($B$2:$B252,"s",$C$2:$C252,"SER")+COUNTIFS($B$2:$B252,"s",$C$2:$C252,"PLH")+COUNTIFS($B$2:$B252,"s",$C$2:$C252,"CSF"))-1)/96)+1)&amp;": "&amp;CHAR(65+INT(MOD((COUNTIFS($B$2:$B252,"s",$C$2:$C252,"SER")+COUNTIFS($B$2:$B252,"s",$C$2:$C252,"PLH")+COUNTIFS($B$2:$B252,"s",$C$2:$C252,"CSF"))-1,96)/12))&amp;(MOD((COUNTIFS($B$2:$B252,"s",$C$2:$C252,"SER")+COUNTIFS($B$2:$B252,"s",$C$2:$C252,"PLH")+COUNTIFS($B$2:$B252,"s",$C$2:$C252,"CSF"))-1,12)+1),"N/A"),"")</f>
        <v/>
      </c>
      <c r="I252" s="6" t="str">
        <f>IF(AND($A252&lt;&gt;"",$B252&lt;&gt;"",$C252&lt;&gt;"",$D252&lt;&gt;"",$E252&lt;&gt;""),IF(AND($B252="s",OR($C252="SER",$C252="PLH",$C252="CSF")),"Case NIH Plate "&amp;(INT(((COUNTIFS($B$2:$B252,"s",$C$2:$C252,"SER")+COUNTIFS($B$2:$B252,"s",$C$2:$C252,"PLH")+COUNTIFS($B$2:$B252,"s",$C$2:$C252,"CSF"))-1)/96)+1)&amp;": "&amp;CHAR(65+INT(MOD((COUNTIFS($B$2:$B252,"s",$C$2:$C252,"SER")+COUNTIFS($B$2:$B252,"s",$C$2:$C252,"PLH")+COUNTIFS($B$2:$B252,"s",$C$2:$C252,"CSF"))-1,96)/12))&amp;(MOD((COUNTIFS($B$2:$B252,"s",$C$2:$C252,"SER")+COUNTIFS($B$2:$B252,"s",$C$2:$C252,"PLH")+COUNTIFS($B$2:$B252,"s",$C$2:$C252,"CSF"))-1,12)+1),"N/A"),"")</f>
        <v/>
      </c>
      <c r="J252" s="6" t="str">
        <f>IF(AND($A252&lt;&gt;"",$B252&lt;&gt;"",$C252&lt;&gt;"",$D252&lt;&gt;"",$E252&lt;&gt;""),IF(AND($B252="s",OR($C252="SER",$C252="PLH")),"Case MAX Planck Plate "&amp;(INT(((COUNTIFS($B$2:$B252,"s",$C$2:$C252,"SER")+COUNTIFS($B$2:$B252,"s",$C$2:$C252,"PLH"))-1)/96)+1)&amp;": "&amp;CHAR(65+INT(MOD((COUNTIFS($B$2:$B252,"s",$C$2:$C252,"SER")+COUNTIFS($B$2:$B252,"s",$C$2:$C252,"PLH"))-1,96)/12))&amp;(MOD((COUNTIFS($B$2:$B252,"s",$C$2:$C252,"SER")+COUNTIFS($B$2:$B252,"s",$C$2:$C252,"PLH"))-1,12)+1),"N/A"),"")</f>
        <v/>
      </c>
      <c r="K252" s="6" t="str">
        <f>IF(AND($A252&lt;&gt;"",$B252&lt;&gt;"",$C252&lt;&gt;"",$D252&lt;&gt;"",$E252&lt;&gt;""),IF($C252="WB","Case WB Box "&amp;(INT((COUNTIFS($C$2:$C252,"WB")-1)/81)+1)&amp;": "&amp;CHAR(65+INT(MOD(COUNTIFS($C$2:$C252,"WB")-1,81)/9))&amp;(MOD(COUNTIFS($C$2:$C252,"WB")-1,9)+1),"N/A"),"")</f>
        <v/>
      </c>
      <c r="L252" s="2" t="str">
        <f t="shared" si="55"/>
        <v/>
      </c>
      <c r="M252" s="2"/>
      <c r="N252" s="2"/>
      <c r="O252" s="2"/>
      <c r="P252" s="7" t="str">
        <f t="shared" si="56"/>
        <v/>
      </c>
      <c r="Q252" s="7" t="str">
        <f t="shared" si="57"/>
        <v/>
      </c>
      <c r="R252" s="7" t="str">
        <f t="shared" si="58"/>
        <v/>
      </c>
      <c r="S252" s="7" t="str">
        <f t="shared" si="59"/>
        <v/>
      </c>
      <c r="T252" s="7" t="str">
        <f t="shared" si="60"/>
        <v/>
      </c>
      <c r="U252" s="7" t="str">
        <f t="shared" si="61"/>
        <v/>
      </c>
      <c r="V252" s="7" t="str">
        <f t="shared" si="62"/>
        <v/>
      </c>
      <c r="W252" s="7" t="str">
        <f t="shared" si="63"/>
        <v/>
      </c>
      <c r="X252" s="7" t="str">
        <f t="shared" si="64"/>
        <v/>
      </c>
      <c r="Y252" s="7" t="str">
        <f t="shared" si="65"/>
        <v/>
      </c>
      <c r="Z252">
        <f t="shared" si="66"/>
        <v>0</v>
      </c>
      <c r="AA252" t="str">
        <f t="shared" si="67"/>
        <v/>
      </c>
      <c r="AB252" t="str">
        <f t="shared" si="68"/>
        <v/>
      </c>
      <c r="AC252" t="str">
        <f t="shared" si="69"/>
        <v/>
      </c>
      <c r="AD252" t="str">
        <f t="shared" si="70"/>
        <v/>
      </c>
      <c r="AE252">
        <f t="shared" si="71"/>
        <v>0</v>
      </c>
    </row>
    <row r="253" spans="1:31" ht="15" customHeight="1" x14ac:dyDescent="0.35">
      <c r="A253" s="2"/>
      <c r="B253" s="3"/>
      <c r="C253" s="3"/>
      <c r="D253" s="4"/>
      <c r="E253" s="5"/>
      <c r="F253" s="11" t="str">
        <f t="shared" ref="F253:F316" ca="1" si="72">IF(AND($A253&lt;&gt;"",$B253&lt;&gt;"",$C253&lt;&gt;"",$D253&lt;&gt;"",$E253&lt;&gt;""),TODAY(),"")</f>
        <v/>
      </c>
      <c r="G253" s="5"/>
      <c r="H253" s="6" t="str">
        <f>IF(AND($A253&lt;&gt;"",$B253&lt;&gt;"",$C253&lt;&gt;"",$D253&lt;&gt;"",$E253&lt;&gt;""),IF(AND($B253="s",OR($C253="SER",$C253="PLH",$C253="CSF")),"Case CDI Plate "&amp;(INT(((COUNTIFS($B$2:$B253,"s",$C$2:$C253,"SER")+COUNTIFS($B$2:$B253,"s",$C$2:$C253,"PLH")+COUNTIFS($B$2:$B253,"s",$C$2:$C253,"CSF"))-1)/96)+1)&amp;": "&amp;CHAR(65+INT(MOD((COUNTIFS($B$2:$B253,"s",$C$2:$C253,"SER")+COUNTIFS($B$2:$B253,"s",$C$2:$C253,"PLH")+COUNTIFS($B$2:$B253,"s",$C$2:$C253,"CSF"))-1,96)/12))&amp;(MOD((COUNTIFS($B$2:$B253,"s",$C$2:$C253,"SER")+COUNTIFS($B$2:$B253,"s",$C$2:$C253,"PLH")+COUNTIFS($B$2:$B253,"s",$C$2:$C253,"CSF"))-1,12)+1),"N/A"),"")</f>
        <v/>
      </c>
      <c r="I253" s="6" t="str">
        <f>IF(AND($A253&lt;&gt;"",$B253&lt;&gt;"",$C253&lt;&gt;"",$D253&lt;&gt;"",$E253&lt;&gt;""),IF(AND($B253="s",OR($C253="SER",$C253="PLH",$C253="CSF")),"Case NIH Plate "&amp;(INT(((COUNTIFS($B$2:$B253,"s",$C$2:$C253,"SER")+COUNTIFS($B$2:$B253,"s",$C$2:$C253,"PLH")+COUNTIFS($B$2:$B253,"s",$C$2:$C253,"CSF"))-1)/96)+1)&amp;": "&amp;CHAR(65+INT(MOD((COUNTIFS($B$2:$B253,"s",$C$2:$C253,"SER")+COUNTIFS($B$2:$B253,"s",$C$2:$C253,"PLH")+COUNTIFS($B$2:$B253,"s",$C$2:$C253,"CSF"))-1,96)/12))&amp;(MOD((COUNTIFS($B$2:$B253,"s",$C$2:$C253,"SER")+COUNTIFS($B$2:$B253,"s",$C$2:$C253,"PLH")+COUNTIFS($B$2:$B253,"s",$C$2:$C253,"CSF"))-1,12)+1),"N/A"),"")</f>
        <v/>
      </c>
      <c r="J253" s="6" t="str">
        <f>IF(AND($A253&lt;&gt;"",$B253&lt;&gt;"",$C253&lt;&gt;"",$D253&lt;&gt;"",$E253&lt;&gt;""),IF(AND($B253="s",OR($C253="SER",$C253="PLH")),"Case MAX Planck Plate "&amp;(INT(((COUNTIFS($B$2:$B253,"s",$C$2:$C253,"SER")+COUNTIFS($B$2:$B253,"s",$C$2:$C253,"PLH"))-1)/96)+1)&amp;": "&amp;CHAR(65+INT(MOD((COUNTIFS($B$2:$B253,"s",$C$2:$C253,"SER")+COUNTIFS($B$2:$B253,"s",$C$2:$C253,"PLH"))-1,96)/12))&amp;(MOD((COUNTIFS($B$2:$B253,"s",$C$2:$C253,"SER")+COUNTIFS($B$2:$B253,"s",$C$2:$C253,"PLH"))-1,12)+1),"N/A"),"")</f>
        <v/>
      </c>
      <c r="K253" s="6" t="str">
        <f>IF(AND($A253&lt;&gt;"",$B253&lt;&gt;"",$C253&lt;&gt;"",$D253&lt;&gt;"",$E253&lt;&gt;""),IF($C253="WB","Case WB Box "&amp;(INT((COUNTIFS($C$2:$C253,"WB")-1)/81)+1)&amp;": "&amp;CHAR(65+INT(MOD(COUNTIFS($C$2:$C253,"WB")-1,81)/9))&amp;(MOD(COUNTIFS($C$2:$C253,"WB")-1,9)+1),"N/A"),"")</f>
        <v/>
      </c>
      <c r="L253" s="2" t="str">
        <f t="shared" ref="L253:L316" si="73">IF(AND($A253&lt;&gt;"",$B253&lt;&gt;"",$C253&lt;&gt;"",$D253&lt;&gt;"",$E253&lt;&gt;""),IF($C253="WB","No",IF($B253="i","Yes","")),"")</f>
        <v/>
      </c>
      <c r="M253" s="2"/>
      <c r="N253" s="2"/>
      <c r="O253" s="2"/>
      <c r="P253" s="7" t="str">
        <f t="shared" ref="P253:P316" si="74">IF($A253&lt;&gt;"",MID($A253,5,4),"")</f>
        <v/>
      </c>
      <c r="Q253" s="7" t="str">
        <f t="shared" ref="Q253:Q316" si="75">IF($D253&lt;&gt;"",TEXT($D253,"mmddyy"),"")</f>
        <v/>
      </c>
      <c r="R253" s="7" t="str">
        <f t="shared" ref="R253:R316" si="76">IF(AND($A253&lt;&gt;"",$B253&lt;&gt;"",$C253&lt;&gt;"",$D253&lt;&gt;""),IF($C253="WB","cs_"&amp;$P253&amp;"_"&amp;$B253&amp;"_wb_"&amp;$Q253,"cs_"&amp;$P253&amp;"_"&amp;$B253&amp;"_"&amp;LOWER($C253)&amp;"_"&amp;IF($C253="CSF","0.50","0.20")&amp;"_"&amp;$Q253),"")</f>
        <v/>
      </c>
      <c r="S253" s="7" t="str">
        <f t="shared" ref="S253:S316" si="77">IF(AND($A253&lt;&gt;"",$B253&lt;&gt;"",$C253="WB",$D253&lt;&gt;""),"cs_"&amp;$P253&amp;"_"&amp;$B253&amp;"_wb_"&amp;$Q253,"")</f>
        <v/>
      </c>
      <c r="T253" s="7" t="str">
        <f t="shared" ref="T253:T316" si="78">IFERROR(VALUE(MID($M253,FIND("Box ",$M253)+4,FIND(":",$M253)-FIND("Box ",$M253)-4)),"")</f>
        <v/>
      </c>
      <c r="U253" s="7" t="str">
        <f t="shared" ref="U253:U316" si="79">IFERROR(CODE(UPPER(LEFT(LEFT(TRIM(MID(SUBSTITUTE(TRIM(MID($M253,FIND(":",$M253)+1,200)),",",REPT(" ",60)),1,60)),IFERROR(FIND("-",TRIM(MID(SUBSTITUTE(TRIM(MID($M253,FIND(":",$M253)+1,200)),",",REPT(" ",60)),1,60)))-1,LEN(TRIM(MID(SUBSTITUTE(TRIM(MID($M253,FIND(":",$M253)+1,200)),",",REPT(" ",60)),1,60))))),1)))-64,"")</f>
        <v/>
      </c>
      <c r="V253" s="7" t="str">
        <f t="shared" ref="V253:V316" si="80">IFERROR(VALUE(MID(LEFT(TRIM(MID(SUBSTITUTE(TRIM(MID($M253,FIND(":",$M253)+1,200)),",",REPT(" ",60)),1,60)),IFERROR(FIND("-",TRIM(MID(SUBSTITUTE(TRIM(MID($M253,FIND(":",$M253)+1,200)),",",REPT(" ",60)),1,60)))-1,LEN(TRIM(MID(SUBSTITUTE(TRIM(MID($M253,FIND(":",$M253)+1,200)),",",REPT(" ",60)),1,60))))),2,3)),"")</f>
        <v/>
      </c>
      <c r="W253" s="7" t="str">
        <f t="shared" ref="W253:W316" si="81">IFERROR(CODE(UPPER(LEFT(IFERROR(MID(TRIM(MID(SUBSTITUTE(TRIM(MID($M253,FIND(":",$M253)+1,200)),",",REPT(" ",60)),1,60)),FIND("-",TRIM(MID(SUBSTITUTE(TRIM(MID($M253,FIND(":",$M253)+1,200)),",",REPT(" ",60)),1,60)))+1,99),LEFT(TRIM(MID(SUBSTITUTE(TRIM(MID($M253,FIND(":",$M253)+1,200)),",",REPT(" ",60)),1,60)),IFERROR(FIND("-",TRIM(MID(SUBSTITUTE(TRIM(MID($M253,FIND(":",$M253)+1,200)),",",REPT(" ",60)),1,60)))-1,LEN(TRIM(MID(SUBSTITUTE(TRIM(MID($M253,FIND(":",$M253)+1,200)),",",REPT(" ",60)),1,60)))))),1)))-64,"")</f>
        <v/>
      </c>
      <c r="X253" s="7" t="str">
        <f t="shared" ref="X253:X316" si="82">IFERROR(VALUE(MID(IFERROR(MID(TRIM(MID(SUBSTITUTE(TRIM(MID($M253,FIND(":",$M253)+1,200)),",",REPT(" ",60)),1,60)),FIND("-",TRIM(MID(SUBSTITUTE(TRIM(MID($M253,FIND(":",$M253)+1,200)),",",REPT(" ",60)),1,60)))+1,99),LEFT(TRIM(MID(SUBSTITUTE(TRIM(MID($M253,FIND(":",$M253)+1,200)),",",REPT(" ",60)),1,60)),IFERROR(FIND("-",TRIM(MID(SUBSTITUTE(TRIM(MID($M253,FIND(":",$M253)+1,200)),",",REPT(" ",60)),1,60)))-1,LEN(TRIM(MID(SUBSTITUTE(TRIM(MID($M253,FIND(":",$M253)+1,200)),",",REPT(" ",60)),1,60)))))),2,3)),"")</f>
        <v/>
      </c>
      <c r="Y253" s="7" t="str">
        <f t="shared" ref="Y253:Y316" si="83">IF(AND($A253&lt;&gt;"",$B253&lt;&gt;"",$C253&lt;&gt;"",$D253&lt;&gt;""),"cs_"&amp;$P253&amp;"_"&amp;$B253&amp;"_"&amp;LOWER($C253)&amp;"_","")</f>
        <v/>
      </c>
      <c r="Z253">
        <f t="shared" ref="Z253:Z316" si="84">IFERROR(($W253-$U253+1)*($X253-$V253+1),0)</f>
        <v>0</v>
      </c>
      <c r="AA253" t="str">
        <f t="shared" ref="AA253:AA316" si="85">IFERROR(CODE(UPPER(LEFT(LEFT(TRIM(MID(SUBSTITUTE(TRIM(MID($M253,FIND(":",$M253)+1,200)),",",REPT(" ",60)),61,60)),IFERROR(FIND("-",TRIM(MID(SUBSTITUTE(TRIM(MID($M253,FIND(":",$M253)+1,200)),",",REPT(" ",60)),61,60)))-1,LEN(TRIM(MID(SUBSTITUTE(TRIM(MID($M253,FIND(":",$M253)+1,200)),",",REPT(" ",60)),61,60))))),1)))-64,"")</f>
        <v/>
      </c>
      <c r="AB253" t="str">
        <f t="shared" ref="AB253:AB316" si="86">IFERROR(VALUE(MID(LEFT(TRIM(MID(SUBSTITUTE(TRIM(MID($M253,FIND(":",$M253)+1,200)),",",REPT(" ",60)),61,60)),IFERROR(FIND("-",TRIM(MID(SUBSTITUTE(TRIM(MID($M253,FIND(":",$M253)+1,200)),",",REPT(" ",60)),61,60)))-1,LEN(TRIM(MID(SUBSTITUTE(TRIM(MID($M253,FIND(":",$M253)+1,200)),",",REPT(" ",60)),61,60))))),2,3)),"")</f>
        <v/>
      </c>
      <c r="AC253" t="str">
        <f t="shared" ref="AC253:AC316" si="87">IFERROR(CODE(UPPER(LEFT(IFERROR(MID(TRIM(MID(SUBSTITUTE(TRIM(MID($M253,FIND(":",$M253)+1,200)),",",REPT(" ",60)),61,60)),FIND("-",TRIM(MID(SUBSTITUTE(TRIM(MID($M253,FIND(":",$M253)+1,200)),",",REPT(" ",60)),61,60)))+1,99),LEFT(TRIM(MID(SUBSTITUTE(TRIM(MID($M253,FIND(":",$M253)+1,200)),",",REPT(" ",60)),61,60)),IFERROR(FIND("-",TRIM(MID(SUBSTITUTE(TRIM(MID($M253,FIND(":",$M253)+1,200)),",",REPT(" ",60)),61,60)))-1,LEN(TRIM(MID(SUBSTITUTE(TRIM(MID($M253,FIND(":",$M253)+1,200)),",",REPT(" ",60)),61,60)))))),1)))-64,"")</f>
        <v/>
      </c>
      <c r="AD253" t="str">
        <f t="shared" ref="AD253:AD316" si="88">IFERROR(VALUE(MID(IFERROR(MID(TRIM(MID(SUBSTITUTE(TRIM(MID($M253,FIND(":",$M253)+1,200)),",",REPT(" ",60)),61,60)),FIND("-",TRIM(MID(SUBSTITUTE(TRIM(MID($M253,FIND(":",$M253)+1,200)),",",REPT(" ",60)),61,60)))+1,99),LEFT(TRIM(MID(SUBSTITUTE(TRIM(MID($M253,FIND(":",$M253)+1,200)),",",REPT(" ",60)),61,60)),IFERROR(FIND("-",TRIM(MID(SUBSTITUTE(TRIM(MID($M253,FIND(":",$M253)+1,200)),",",REPT(" ",60)),61,60)))-1,LEN(TRIM(MID(SUBSTITUTE(TRIM(MID($M253,FIND(":",$M253)+1,200)),",",REPT(" ",60)),61,60)))))),2,3)),"")</f>
        <v/>
      </c>
      <c r="AE253">
        <f t="shared" ref="AE253:AE316" si="89">IFERROR(($AC253-$AA253+1)*($AD253-$AB253+1),0)</f>
        <v>0</v>
      </c>
    </row>
    <row r="254" spans="1:31" ht="15" customHeight="1" x14ac:dyDescent="0.35">
      <c r="A254" s="2"/>
      <c r="B254" s="3"/>
      <c r="C254" s="3"/>
      <c r="D254" s="4"/>
      <c r="E254" s="5"/>
      <c r="F254" s="11" t="str">
        <f t="shared" ca="1" si="72"/>
        <v/>
      </c>
      <c r="G254" s="5"/>
      <c r="H254" s="6" t="str">
        <f>IF(AND($A254&lt;&gt;"",$B254&lt;&gt;"",$C254&lt;&gt;"",$D254&lt;&gt;"",$E254&lt;&gt;""),IF(AND($B254="s",OR($C254="SER",$C254="PLH",$C254="CSF")),"Case CDI Plate "&amp;(INT(((COUNTIFS($B$2:$B254,"s",$C$2:$C254,"SER")+COUNTIFS($B$2:$B254,"s",$C$2:$C254,"PLH")+COUNTIFS($B$2:$B254,"s",$C$2:$C254,"CSF"))-1)/96)+1)&amp;": "&amp;CHAR(65+INT(MOD((COUNTIFS($B$2:$B254,"s",$C$2:$C254,"SER")+COUNTIFS($B$2:$B254,"s",$C$2:$C254,"PLH")+COUNTIFS($B$2:$B254,"s",$C$2:$C254,"CSF"))-1,96)/12))&amp;(MOD((COUNTIFS($B$2:$B254,"s",$C$2:$C254,"SER")+COUNTIFS($B$2:$B254,"s",$C$2:$C254,"PLH")+COUNTIFS($B$2:$B254,"s",$C$2:$C254,"CSF"))-1,12)+1),"N/A"),"")</f>
        <v/>
      </c>
      <c r="I254" s="6" t="str">
        <f>IF(AND($A254&lt;&gt;"",$B254&lt;&gt;"",$C254&lt;&gt;"",$D254&lt;&gt;"",$E254&lt;&gt;""),IF(AND($B254="s",OR($C254="SER",$C254="PLH",$C254="CSF")),"Case NIH Plate "&amp;(INT(((COUNTIFS($B$2:$B254,"s",$C$2:$C254,"SER")+COUNTIFS($B$2:$B254,"s",$C$2:$C254,"PLH")+COUNTIFS($B$2:$B254,"s",$C$2:$C254,"CSF"))-1)/96)+1)&amp;": "&amp;CHAR(65+INT(MOD((COUNTIFS($B$2:$B254,"s",$C$2:$C254,"SER")+COUNTIFS($B$2:$B254,"s",$C$2:$C254,"PLH")+COUNTIFS($B$2:$B254,"s",$C$2:$C254,"CSF"))-1,96)/12))&amp;(MOD((COUNTIFS($B$2:$B254,"s",$C$2:$C254,"SER")+COUNTIFS($B$2:$B254,"s",$C$2:$C254,"PLH")+COUNTIFS($B$2:$B254,"s",$C$2:$C254,"CSF"))-1,12)+1),"N/A"),"")</f>
        <v/>
      </c>
      <c r="J254" s="6" t="str">
        <f>IF(AND($A254&lt;&gt;"",$B254&lt;&gt;"",$C254&lt;&gt;"",$D254&lt;&gt;"",$E254&lt;&gt;""),IF(AND($B254="s",OR($C254="SER",$C254="PLH")),"Case MAX Planck Plate "&amp;(INT(((COUNTIFS($B$2:$B254,"s",$C$2:$C254,"SER")+COUNTIFS($B$2:$B254,"s",$C$2:$C254,"PLH"))-1)/96)+1)&amp;": "&amp;CHAR(65+INT(MOD((COUNTIFS($B$2:$B254,"s",$C$2:$C254,"SER")+COUNTIFS($B$2:$B254,"s",$C$2:$C254,"PLH"))-1,96)/12))&amp;(MOD((COUNTIFS($B$2:$B254,"s",$C$2:$C254,"SER")+COUNTIFS($B$2:$B254,"s",$C$2:$C254,"PLH"))-1,12)+1),"N/A"),"")</f>
        <v/>
      </c>
      <c r="K254" s="6" t="str">
        <f>IF(AND($A254&lt;&gt;"",$B254&lt;&gt;"",$C254&lt;&gt;"",$D254&lt;&gt;"",$E254&lt;&gt;""),IF($C254="WB","Case WB Box "&amp;(INT((COUNTIFS($C$2:$C254,"WB")-1)/81)+1)&amp;": "&amp;CHAR(65+INT(MOD(COUNTIFS($C$2:$C254,"WB")-1,81)/9))&amp;(MOD(COUNTIFS($C$2:$C254,"WB")-1,9)+1),"N/A"),"")</f>
        <v/>
      </c>
      <c r="L254" s="2" t="str">
        <f t="shared" si="73"/>
        <v/>
      </c>
      <c r="M254" s="2"/>
      <c r="N254" s="2"/>
      <c r="O254" s="2"/>
      <c r="P254" s="7" t="str">
        <f t="shared" si="74"/>
        <v/>
      </c>
      <c r="Q254" s="7" t="str">
        <f t="shared" si="75"/>
        <v/>
      </c>
      <c r="R254" s="7" t="str">
        <f t="shared" si="76"/>
        <v/>
      </c>
      <c r="S254" s="7" t="str">
        <f t="shared" si="77"/>
        <v/>
      </c>
      <c r="T254" s="7" t="str">
        <f t="shared" si="78"/>
        <v/>
      </c>
      <c r="U254" s="7" t="str">
        <f t="shared" si="79"/>
        <v/>
      </c>
      <c r="V254" s="7" t="str">
        <f t="shared" si="80"/>
        <v/>
      </c>
      <c r="W254" s="7" t="str">
        <f t="shared" si="81"/>
        <v/>
      </c>
      <c r="X254" s="7" t="str">
        <f t="shared" si="82"/>
        <v/>
      </c>
      <c r="Y254" s="7" t="str">
        <f t="shared" si="83"/>
        <v/>
      </c>
      <c r="Z254">
        <f t="shared" si="84"/>
        <v>0</v>
      </c>
      <c r="AA254" t="str">
        <f t="shared" si="85"/>
        <v/>
      </c>
      <c r="AB254" t="str">
        <f t="shared" si="86"/>
        <v/>
      </c>
      <c r="AC254" t="str">
        <f t="shared" si="87"/>
        <v/>
      </c>
      <c r="AD254" t="str">
        <f t="shared" si="88"/>
        <v/>
      </c>
      <c r="AE254">
        <f t="shared" si="89"/>
        <v>0</v>
      </c>
    </row>
    <row r="255" spans="1:31" ht="15" customHeight="1" x14ac:dyDescent="0.35">
      <c r="A255" s="2"/>
      <c r="B255" s="3"/>
      <c r="C255" s="3"/>
      <c r="D255" s="4"/>
      <c r="E255" s="5"/>
      <c r="F255" s="11" t="str">
        <f t="shared" ca="1" si="72"/>
        <v/>
      </c>
      <c r="G255" s="5"/>
      <c r="H255" s="6" t="str">
        <f>IF(AND($A255&lt;&gt;"",$B255&lt;&gt;"",$C255&lt;&gt;"",$D255&lt;&gt;"",$E255&lt;&gt;""),IF(AND($B255="s",OR($C255="SER",$C255="PLH",$C255="CSF")),"Case CDI Plate "&amp;(INT(((COUNTIFS($B$2:$B255,"s",$C$2:$C255,"SER")+COUNTIFS($B$2:$B255,"s",$C$2:$C255,"PLH")+COUNTIFS($B$2:$B255,"s",$C$2:$C255,"CSF"))-1)/96)+1)&amp;": "&amp;CHAR(65+INT(MOD((COUNTIFS($B$2:$B255,"s",$C$2:$C255,"SER")+COUNTIFS($B$2:$B255,"s",$C$2:$C255,"PLH")+COUNTIFS($B$2:$B255,"s",$C$2:$C255,"CSF"))-1,96)/12))&amp;(MOD((COUNTIFS($B$2:$B255,"s",$C$2:$C255,"SER")+COUNTIFS($B$2:$B255,"s",$C$2:$C255,"PLH")+COUNTIFS($B$2:$B255,"s",$C$2:$C255,"CSF"))-1,12)+1),"N/A"),"")</f>
        <v/>
      </c>
      <c r="I255" s="6" t="str">
        <f>IF(AND($A255&lt;&gt;"",$B255&lt;&gt;"",$C255&lt;&gt;"",$D255&lt;&gt;"",$E255&lt;&gt;""),IF(AND($B255="s",OR($C255="SER",$C255="PLH",$C255="CSF")),"Case NIH Plate "&amp;(INT(((COUNTIFS($B$2:$B255,"s",$C$2:$C255,"SER")+COUNTIFS($B$2:$B255,"s",$C$2:$C255,"PLH")+COUNTIFS($B$2:$B255,"s",$C$2:$C255,"CSF"))-1)/96)+1)&amp;": "&amp;CHAR(65+INT(MOD((COUNTIFS($B$2:$B255,"s",$C$2:$C255,"SER")+COUNTIFS($B$2:$B255,"s",$C$2:$C255,"PLH")+COUNTIFS($B$2:$B255,"s",$C$2:$C255,"CSF"))-1,96)/12))&amp;(MOD((COUNTIFS($B$2:$B255,"s",$C$2:$C255,"SER")+COUNTIFS($B$2:$B255,"s",$C$2:$C255,"PLH")+COUNTIFS($B$2:$B255,"s",$C$2:$C255,"CSF"))-1,12)+1),"N/A"),"")</f>
        <v/>
      </c>
      <c r="J255" s="6" t="str">
        <f>IF(AND($A255&lt;&gt;"",$B255&lt;&gt;"",$C255&lt;&gt;"",$D255&lt;&gt;"",$E255&lt;&gt;""),IF(AND($B255="s",OR($C255="SER",$C255="PLH")),"Case MAX Planck Plate "&amp;(INT(((COUNTIFS($B$2:$B255,"s",$C$2:$C255,"SER")+COUNTIFS($B$2:$B255,"s",$C$2:$C255,"PLH"))-1)/96)+1)&amp;": "&amp;CHAR(65+INT(MOD((COUNTIFS($B$2:$B255,"s",$C$2:$C255,"SER")+COUNTIFS($B$2:$B255,"s",$C$2:$C255,"PLH"))-1,96)/12))&amp;(MOD((COUNTIFS($B$2:$B255,"s",$C$2:$C255,"SER")+COUNTIFS($B$2:$B255,"s",$C$2:$C255,"PLH"))-1,12)+1),"N/A"),"")</f>
        <v/>
      </c>
      <c r="K255" s="6" t="str">
        <f>IF(AND($A255&lt;&gt;"",$B255&lt;&gt;"",$C255&lt;&gt;"",$D255&lt;&gt;"",$E255&lt;&gt;""),IF($C255="WB","Case WB Box "&amp;(INT((COUNTIFS($C$2:$C255,"WB")-1)/81)+1)&amp;": "&amp;CHAR(65+INT(MOD(COUNTIFS($C$2:$C255,"WB")-1,81)/9))&amp;(MOD(COUNTIFS($C$2:$C255,"WB")-1,9)+1),"N/A"),"")</f>
        <v/>
      </c>
      <c r="L255" s="2" t="str">
        <f t="shared" si="73"/>
        <v/>
      </c>
      <c r="M255" s="2"/>
      <c r="N255" s="2"/>
      <c r="O255" s="2"/>
      <c r="P255" s="7" t="str">
        <f t="shared" si="74"/>
        <v/>
      </c>
      <c r="Q255" s="7" t="str">
        <f t="shared" si="75"/>
        <v/>
      </c>
      <c r="R255" s="7" t="str">
        <f t="shared" si="76"/>
        <v/>
      </c>
      <c r="S255" s="7" t="str">
        <f t="shared" si="77"/>
        <v/>
      </c>
      <c r="T255" s="7" t="str">
        <f t="shared" si="78"/>
        <v/>
      </c>
      <c r="U255" s="7" t="str">
        <f t="shared" si="79"/>
        <v/>
      </c>
      <c r="V255" s="7" t="str">
        <f t="shared" si="80"/>
        <v/>
      </c>
      <c r="W255" s="7" t="str">
        <f t="shared" si="81"/>
        <v/>
      </c>
      <c r="X255" s="7" t="str">
        <f t="shared" si="82"/>
        <v/>
      </c>
      <c r="Y255" s="7" t="str">
        <f t="shared" si="83"/>
        <v/>
      </c>
      <c r="Z255">
        <f t="shared" si="84"/>
        <v>0</v>
      </c>
      <c r="AA255" t="str">
        <f t="shared" si="85"/>
        <v/>
      </c>
      <c r="AB255" t="str">
        <f t="shared" si="86"/>
        <v/>
      </c>
      <c r="AC255" t="str">
        <f t="shared" si="87"/>
        <v/>
      </c>
      <c r="AD255" t="str">
        <f t="shared" si="88"/>
        <v/>
      </c>
      <c r="AE255">
        <f t="shared" si="89"/>
        <v>0</v>
      </c>
    </row>
    <row r="256" spans="1:31" ht="15" customHeight="1" x14ac:dyDescent="0.35">
      <c r="A256" s="2"/>
      <c r="B256" s="3"/>
      <c r="C256" s="3"/>
      <c r="D256" s="4"/>
      <c r="E256" s="5"/>
      <c r="F256" s="11" t="str">
        <f t="shared" ca="1" si="72"/>
        <v/>
      </c>
      <c r="G256" s="5"/>
      <c r="H256" s="6" t="str">
        <f>IF(AND($A256&lt;&gt;"",$B256&lt;&gt;"",$C256&lt;&gt;"",$D256&lt;&gt;"",$E256&lt;&gt;""),IF(AND($B256="s",OR($C256="SER",$C256="PLH",$C256="CSF")),"Case CDI Plate "&amp;(INT(((COUNTIFS($B$2:$B256,"s",$C$2:$C256,"SER")+COUNTIFS($B$2:$B256,"s",$C$2:$C256,"PLH")+COUNTIFS($B$2:$B256,"s",$C$2:$C256,"CSF"))-1)/96)+1)&amp;": "&amp;CHAR(65+INT(MOD((COUNTIFS($B$2:$B256,"s",$C$2:$C256,"SER")+COUNTIFS($B$2:$B256,"s",$C$2:$C256,"PLH")+COUNTIFS($B$2:$B256,"s",$C$2:$C256,"CSF"))-1,96)/12))&amp;(MOD((COUNTIFS($B$2:$B256,"s",$C$2:$C256,"SER")+COUNTIFS($B$2:$B256,"s",$C$2:$C256,"PLH")+COUNTIFS($B$2:$B256,"s",$C$2:$C256,"CSF"))-1,12)+1),"N/A"),"")</f>
        <v/>
      </c>
      <c r="I256" s="6" t="str">
        <f>IF(AND($A256&lt;&gt;"",$B256&lt;&gt;"",$C256&lt;&gt;"",$D256&lt;&gt;"",$E256&lt;&gt;""),IF(AND($B256="s",OR($C256="SER",$C256="PLH",$C256="CSF")),"Case NIH Plate "&amp;(INT(((COUNTIFS($B$2:$B256,"s",$C$2:$C256,"SER")+COUNTIFS($B$2:$B256,"s",$C$2:$C256,"PLH")+COUNTIFS($B$2:$B256,"s",$C$2:$C256,"CSF"))-1)/96)+1)&amp;": "&amp;CHAR(65+INT(MOD((COUNTIFS($B$2:$B256,"s",$C$2:$C256,"SER")+COUNTIFS($B$2:$B256,"s",$C$2:$C256,"PLH")+COUNTIFS($B$2:$B256,"s",$C$2:$C256,"CSF"))-1,96)/12))&amp;(MOD((COUNTIFS($B$2:$B256,"s",$C$2:$C256,"SER")+COUNTIFS($B$2:$B256,"s",$C$2:$C256,"PLH")+COUNTIFS($B$2:$B256,"s",$C$2:$C256,"CSF"))-1,12)+1),"N/A"),"")</f>
        <v/>
      </c>
      <c r="J256" s="6" t="str">
        <f>IF(AND($A256&lt;&gt;"",$B256&lt;&gt;"",$C256&lt;&gt;"",$D256&lt;&gt;"",$E256&lt;&gt;""),IF(AND($B256="s",OR($C256="SER",$C256="PLH")),"Case MAX Planck Plate "&amp;(INT(((COUNTIFS($B$2:$B256,"s",$C$2:$C256,"SER")+COUNTIFS($B$2:$B256,"s",$C$2:$C256,"PLH"))-1)/96)+1)&amp;": "&amp;CHAR(65+INT(MOD((COUNTIFS($B$2:$B256,"s",$C$2:$C256,"SER")+COUNTIFS($B$2:$B256,"s",$C$2:$C256,"PLH"))-1,96)/12))&amp;(MOD((COUNTIFS($B$2:$B256,"s",$C$2:$C256,"SER")+COUNTIFS($B$2:$B256,"s",$C$2:$C256,"PLH"))-1,12)+1),"N/A"),"")</f>
        <v/>
      </c>
      <c r="K256" s="6" t="str">
        <f>IF(AND($A256&lt;&gt;"",$B256&lt;&gt;"",$C256&lt;&gt;"",$D256&lt;&gt;"",$E256&lt;&gt;""),IF($C256="WB","Case WB Box "&amp;(INT((COUNTIFS($C$2:$C256,"WB")-1)/81)+1)&amp;": "&amp;CHAR(65+INT(MOD(COUNTIFS($C$2:$C256,"WB")-1,81)/9))&amp;(MOD(COUNTIFS($C$2:$C256,"WB")-1,9)+1),"N/A"),"")</f>
        <v/>
      </c>
      <c r="L256" s="2" t="str">
        <f t="shared" si="73"/>
        <v/>
      </c>
      <c r="M256" s="2"/>
      <c r="N256" s="2"/>
      <c r="O256" s="2"/>
      <c r="P256" s="7" t="str">
        <f t="shared" si="74"/>
        <v/>
      </c>
      <c r="Q256" s="7" t="str">
        <f t="shared" si="75"/>
        <v/>
      </c>
      <c r="R256" s="7" t="str">
        <f t="shared" si="76"/>
        <v/>
      </c>
      <c r="S256" s="7" t="str">
        <f t="shared" si="77"/>
        <v/>
      </c>
      <c r="T256" s="7" t="str">
        <f t="shared" si="78"/>
        <v/>
      </c>
      <c r="U256" s="7" t="str">
        <f t="shared" si="79"/>
        <v/>
      </c>
      <c r="V256" s="7" t="str">
        <f t="shared" si="80"/>
        <v/>
      </c>
      <c r="W256" s="7" t="str">
        <f t="shared" si="81"/>
        <v/>
      </c>
      <c r="X256" s="7" t="str">
        <f t="shared" si="82"/>
        <v/>
      </c>
      <c r="Y256" s="7" t="str">
        <f t="shared" si="83"/>
        <v/>
      </c>
      <c r="Z256">
        <f t="shared" si="84"/>
        <v>0</v>
      </c>
      <c r="AA256" t="str">
        <f t="shared" si="85"/>
        <v/>
      </c>
      <c r="AB256" t="str">
        <f t="shared" si="86"/>
        <v/>
      </c>
      <c r="AC256" t="str">
        <f t="shared" si="87"/>
        <v/>
      </c>
      <c r="AD256" t="str">
        <f t="shared" si="88"/>
        <v/>
      </c>
      <c r="AE256">
        <f t="shared" si="89"/>
        <v>0</v>
      </c>
    </row>
    <row r="257" spans="1:31" ht="15" customHeight="1" x14ac:dyDescent="0.35">
      <c r="A257" s="2"/>
      <c r="B257" s="3"/>
      <c r="C257" s="3"/>
      <c r="D257" s="4"/>
      <c r="E257" s="5"/>
      <c r="F257" s="11" t="str">
        <f t="shared" ca="1" si="72"/>
        <v/>
      </c>
      <c r="G257" s="5"/>
      <c r="H257" s="6" t="str">
        <f>IF(AND($A257&lt;&gt;"",$B257&lt;&gt;"",$C257&lt;&gt;"",$D257&lt;&gt;"",$E257&lt;&gt;""),IF(AND($B257="s",OR($C257="SER",$C257="PLH",$C257="CSF")),"Case CDI Plate "&amp;(INT(((COUNTIFS($B$2:$B257,"s",$C$2:$C257,"SER")+COUNTIFS($B$2:$B257,"s",$C$2:$C257,"PLH")+COUNTIFS($B$2:$B257,"s",$C$2:$C257,"CSF"))-1)/96)+1)&amp;": "&amp;CHAR(65+INT(MOD((COUNTIFS($B$2:$B257,"s",$C$2:$C257,"SER")+COUNTIFS($B$2:$B257,"s",$C$2:$C257,"PLH")+COUNTIFS($B$2:$B257,"s",$C$2:$C257,"CSF"))-1,96)/12))&amp;(MOD((COUNTIFS($B$2:$B257,"s",$C$2:$C257,"SER")+COUNTIFS($B$2:$B257,"s",$C$2:$C257,"PLH")+COUNTIFS($B$2:$B257,"s",$C$2:$C257,"CSF"))-1,12)+1),"N/A"),"")</f>
        <v/>
      </c>
      <c r="I257" s="6" t="str">
        <f>IF(AND($A257&lt;&gt;"",$B257&lt;&gt;"",$C257&lt;&gt;"",$D257&lt;&gt;"",$E257&lt;&gt;""),IF(AND($B257="s",OR($C257="SER",$C257="PLH",$C257="CSF")),"Case NIH Plate "&amp;(INT(((COUNTIFS($B$2:$B257,"s",$C$2:$C257,"SER")+COUNTIFS($B$2:$B257,"s",$C$2:$C257,"PLH")+COUNTIFS($B$2:$B257,"s",$C$2:$C257,"CSF"))-1)/96)+1)&amp;": "&amp;CHAR(65+INT(MOD((COUNTIFS($B$2:$B257,"s",$C$2:$C257,"SER")+COUNTIFS($B$2:$B257,"s",$C$2:$C257,"PLH")+COUNTIFS($B$2:$B257,"s",$C$2:$C257,"CSF"))-1,96)/12))&amp;(MOD((COUNTIFS($B$2:$B257,"s",$C$2:$C257,"SER")+COUNTIFS($B$2:$B257,"s",$C$2:$C257,"PLH")+COUNTIFS($B$2:$B257,"s",$C$2:$C257,"CSF"))-1,12)+1),"N/A"),"")</f>
        <v/>
      </c>
      <c r="J257" s="6" t="str">
        <f>IF(AND($A257&lt;&gt;"",$B257&lt;&gt;"",$C257&lt;&gt;"",$D257&lt;&gt;"",$E257&lt;&gt;""),IF(AND($B257="s",OR($C257="SER",$C257="PLH")),"Case MAX Planck Plate "&amp;(INT(((COUNTIFS($B$2:$B257,"s",$C$2:$C257,"SER")+COUNTIFS($B$2:$B257,"s",$C$2:$C257,"PLH"))-1)/96)+1)&amp;": "&amp;CHAR(65+INT(MOD((COUNTIFS($B$2:$B257,"s",$C$2:$C257,"SER")+COUNTIFS($B$2:$B257,"s",$C$2:$C257,"PLH"))-1,96)/12))&amp;(MOD((COUNTIFS($B$2:$B257,"s",$C$2:$C257,"SER")+COUNTIFS($B$2:$B257,"s",$C$2:$C257,"PLH"))-1,12)+1),"N/A"),"")</f>
        <v/>
      </c>
      <c r="K257" s="6" t="str">
        <f>IF(AND($A257&lt;&gt;"",$B257&lt;&gt;"",$C257&lt;&gt;"",$D257&lt;&gt;"",$E257&lt;&gt;""),IF($C257="WB","Case WB Box "&amp;(INT((COUNTIFS($C$2:$C257,"WB")-1)/81)+1)&amp;": "&amp;CHAR(65+INT(MOD(COUNTIFS($C$2:$C257,"WB")-1,81)/9))&amp;(MOD(COUNTIFS($C$2:$C257,"WB")-1,9)+1),"N/A"),"")</f>
        <v/>
      </c>
      <c r="L257" s="2" t="str">
        <f t="shared" si="73"/>
        <v/>
      </c>
      <c r="M257" s="2"/>
      <c r="N257" s="2"/>
      <c r="O257" s="2"/>
      <c r="P257" s="7" t="str">
        <f t="shared" si="74"/>
        <v/>
      </c>
      <c r="Q257" s="7" t="str">
        <f t="shared" si="75"/>
        <v/>
      </c>
      <c r="R257" s="7" t="str">
        <f t="shared" si="76"/>
        <v/>
      </c>
      <c r="S257" s="7" t="str">
        <f t="shared" si="77"/>
        <v/>
      </c>
      <c r="T257" s="7" t="str">
        <f t="shared" si="78"/>
        <v/>
      </c>
      <c r="U257" s="7" t="str">
        <f t="shared" si="79"/>
        <v/>
      </c>
      <c r="V257" s="7" t="str">
        <f t="shared" si="80"/>
        <v/>
      </c>
      <c r="W257" s="7" t="str">
        <f t="shared" si="81"/>
        <v/>
      </c>
      <c r="X257" s="7" t="str">
        <f t="shared" si="82"/>
        <v/>
      </c>
      <c r="Y257" s="7" t="str">
        <f t="shared" si="83"/>
        <v/>
      </c>
      <c r="Z257">
        <f t="shared" si="84"/>
        <v>0</v>
      </c>
      <c r="AA257" t="str">
        <f t="shared" si="85"/>
        <v/>
      </c>
      <c r="AB257" t="str">
        <f t="shared" si="86"/>
        <v/>
      </c>
      <c r="AC257" t="str">
        <f t="shared" si="87"/>
        <v/>
      </c>
      <c r="AD257" t="str">
        <f t="shared" si="88"/>
        <v/>
      </c>
      <c r="AE257">
        <f t="shared" si="89"/>
        <v>0</v>
      </c>
    </row>
    <row r="258" spans="1:31" ht="15" customHeight="1" x14ac:dyDescent="0.35">
      <c r="A258" s="2"/>
      <c r="B258" s="3"/>
      <c r="C258" s="3"/>
      <c r="D258" s="4"/>
      <c r="E258" s="5"/>
      <c r="F258" s="11" t="str">
        <f t="shared" ca="1" si="72"/>
        <v/>
      </c>
      <c r="G258" s="5"/>
      <c r="H258" s="6" t="str">
        <f>IF(AND($A258&lt;&gt;"",$B258&lt;&gt;"",$C258&lt;&gt;"",$D258&lt;&gt;"",$E258&lt;&gt;""),IF(AND($B258="s",OR($C258="SER",$C258="PLH",$C258="CSF")),"Case CDI Plate "&amp;(INT(((COUNTIFS($B$2:$B258,"s",$C$2:$C258,"SER")+COUNTIFS($B$2:$B258,"s",$C$2:$C258,"PLH")+COUNTIFS($B$2:$B258,"s",$C$2:$C258,"CSF"))-1)/96)+1)&amp;": "&amp;CHAR(65+INT(MOD((COUNTIFS($B$2:$B258,"s",$C$2:$C258,"SER")+COUNTIFS($B$2:$B258,"s",$C$2:$C258,"PLH")+COUNTIFS($B$2:$B258,"s",$C$2:$C258,"CSF"))-1,96)/12))&amp;(MOD((COUNTIFS($B$2:$B258,"s",$C$2:$C258,"SER")+COUNTIFS($B$2:$B258,"s",$C$2:$C258,"PLH")+COUNTIFS($B$2:$B258,"s",$C$2:$C258,"CSF"))-1,12)+1),"N/A"),"")</f>
        <v/>
      </c>
      <c r="I258" s="6" t="str">
        <f>IF(AND($A258&lt;&gt;"",$B258&lt;&gt;"",$C258&lt;&gt;"",$D258&lt;&gt;"",$E258&lt;&gt;""),IF(AND($B258="s",OR($C258="SER",$C258="PLH",$C258="CSF")),"Case NIH Plate "&amp;(INT(((COUNTIFS($B$2:$B258,"s",$C$2:$C258,"SER")+COUNTIFS($B$2:$B258,"s",$C$2:$C258,"PLH")+COUNTIFS($B$2:$B258,"s",$C$2:$C258,"CSF"))-1)/96)+1)&amp;": "&amp;CHAR(65+INT(MOD((COUNTIFS($B$2:$B258,"s",$C$2:$C258,"SER")+COUNTIFS($B$2:$B258,"s",$C$2:$C258,"PLH")+COUNTIFS($B$2:$B258,"s",$C$2:$C258,"CSF"))-1,96)/12))&amp;(MOD((COUNTIFS($B$2:$B258,"s",$C$2:$C258,"SER")+COUNTIFS($B$2:$B258,"s",$C$2:$C258,"PLH")+COUNTIFS($B$2:$B258,"s",$C$2:$C258,"CSF"))-1,12)+1),"N/A"),"")</f>
        <v/>
      </c>
      <c r="J258" s="6" t="str">
        <f>IF(AND($A258&lt;&gt;"",$B258&lt;&gt;"",$C258&lt;&gt;"",$D258&lt;&gt;"",$E258&lt;&gt;""),IF(AND($B258="s",OR($C258="SER",$C258="PLH")),"Case MAX Planck Plate "&amp;(INT(((COUNTIFS($B$2:$B258,"s",$C$2:$C258,"SER")+COUNTIFS($B$2:$B258,"s",$C$2:$C258,"PLH"))-1)/96)+1)&amp;": "&amp;CHAR(65+INT(MOD((COUNTIFS($B$2:$B258,"s",$C$2:$C258,"SER")+COUNTIFS($B$2:$B258,"s",$C$2:$C258,"PLH"))-1,96)/12))&amp;(MOD((COUNTIFS($B$2:$B258,"s",$C$2:$C258,"SER")+COUNTIFS($B$2:$B258,"s",$C$2:$C258,"PLH"))-1,12)+1),"N/A"),"")</f>
        <v/>
      </c>
      <c r="K258" s="6" t="str">
        <f>IF(AND($A258&lt;&gt;"",$B258&lt;&gt;"",$C258&lt;&gt;"",$D258&lt;&gt;"",$E258&lt;&gt;""),IF($C258="WB","Case WB Box "&amp;(INT((COUNTIFS($C$2:$C258,"WB")-1)/81)+1)&amp;": "&amp;CHAR(65+INT(MOD(COUNTIFS($C$2:$C258,"WB")-1,81)/9))&amp;(MOD(COUNTIFS($C$2:$C258,"WB")-1,9)+1),"N/A"),"")</f>
        <v/>
      </c>
      <c r="L258" s="2" t="str">
        <f t="shared" si="73"/>
        <v/>
      </c>
      <c r="M258" s="2"/>
      <c r="N258" s="2"/>
      <c r="O258" s="2"/>
      <c r="P258" s="7" t="str">
        <f t="shared" si="74"/>
        <v/>
      </c>
      <c r="Q258" s="7" t="str">
        <f t="shared" si="75"/>
        <v/>
      </c>
      <c r="R258" s="7" t="str">
        <f t="shared" si="76"/>
        <v/>
      </c>
      <c r="S258" s="7" t="str">
        <f t="shared" si="77"/>
        <v/>
      </c>
      <c r="T258" s="7" t="str">
        <f t="shared" si="78"/>
        <v/>
      </c>
      <c r="U258" s="7" t="str">
        <f t="shared" si="79"/>
        <v/>
      </c>
      <c r="V258" s="7" t="str">
        <f t="shared" si="80"/>
        <v/>
      </c>
      <c r="W258" s="7" t="str">
        <f t="shared" si="81"/>
        <v/>
      </c>
      <c r="X258" s="7" t="str">
        <f t="shared" si="82"/>
        <v/>
      </c>
      <c r="Y258" s="7" t="str">
        <f t="shared" si="83"/>
        <v/>
      </c>
      <c r="Z258">
        <f t="shared" si="84"/>
        <v>0</v>
      </c>
      <c r="AA258" t="str">
        <f t="shared" si="85"/>
        <v/>
      </c>
      <c r="AB258" t="str">
        <f t="shared" si="86"/>
        <v/>
      </c>
      <c r="AC258" t="str">
        <f t="shared" si="87"/>
        <v/>
      </c>
      <c r="AD258" t="str">
        <f t="shared" si="88"/>
        <v/>
      </c>
      <c r="AE258">
        <f t="shared" si="89"/>
        <v>0</v>
      </c>
    </row>
    <row r="259" spans="1:31" ht="15" customHeight="1" x14ac:dyDescent="0.35">
      <c r="A259" s="2"/>
      <c r="B259" s="3"/>
      <c r="C259" s="3"/>
      <c r="D259" s="4"/>
      <c r="E259" s="5"/>
      <c r="F259" s="11" t="str">
        <f t="shared" ca="1" si="72"/>
        <v/>
      </c>
      <c r="G259" s="5"/>
      <c r="H259" s="6" t="str">
        <f>IF(AND($A259&lt;&gt;"",$B259&lt;&gt;"",$C259&lt;&gt;"",$D259&lt;&gt;"",$E259&lt;&gt;""),IF(AND($B259="s",OR($C259="SER",$C259="PLH",$C259="CSF")),"Case CDI Plate "&amp;(INT(((COUNTIFS($B$2:$B259,"s",$C$2:$C259,"SER")+COUNTIFS($B$2:$B259,"s",$C$2:$C259,"PLH")+COUNTIFS($B$2:$B259,"s",$C$2:$C259,"CSF"))-1)/96)+1)&amp;": "&amp;CHAR(65+INT(MOD((COUNTIFS($B$2:$B259,"s",$C$2:$C259,"SER")+COUNTIFS($B$2:$B259,"s",$C$2:$C259,"PLH")+COUNTIFS($B$2:$B259,"s",$C$2:$C259,"CSF"))-1,96)/12))&amp;(MOD((COUNTIFS($B$2:$B259,"s",$C$2:$C259,"SER")+COUNTIFS($B$2:$B259,"s",$C$2:$C259,"PLH")+COUNTIFS($B$2:$B259,"s",$C$2:$C259,"CSF"))-1,12)+1),"N/A"),"")</f>
        <v/>
      </c>
      <c r="I259" s="6" t="str">
        <f>IF(AND($A259&lt;&gt;"",$B259&lt;&gt;"",$C259&lt;&gt;"",$D259&lt;&gt;"",$E259&lt;&gt;""),IF(AND($B259="s",OR($C259="SER",$C259="PLH",$C259="CSF")),"Case NIH Plate "&amp;(INT(((COUNTIFS($B$2:$B259,"s",$C$2:$C259,"SER")+COUNTIFS($B$2:$B259,"s",$C$2:$C259,"PLH")+COUNTIFS($B$2:$B259,"s",$C$2:$C259,"CSF"))-1)/96)+1)&amp;": "&amp;CHAR(65+INT(MOD((COUNTIFS($B$2:$B259,"s",$C$2:$C259,"SER")+COUNTIFS($B$2:$B259,"s",$C$2:$C259,"PLH")+COUNTIFS($B$2:$B259,"s",$C$2:$C259,"CSF"))-1,96)/12))&amp;(MOD((COUNTIFS($B$2:$B259,"s",$C$2:$C259,"SER")+COUNTIFS($B$2:$B259,"s",$C$2:$C259,"PLH")+COUNTIFS($B$2:$B259,"s",$C$2:$C259,"CSF"))-1,12)+1),"N/A"),"")</f>
        <v/>
      </c>
      <c r="J259" s="6" t="str">
        <f>IF(AND($A259&lt;&gt;"",$B259&lt;&gt;"",$C259&lt;&gt;"",$D259&lt;&gt;"",$E259&lt;&gt;""),IF(AND($B259="s",OR($C259="SER",$C259="PLH")),"Case MAX Planck Plate "&amp;(INT(((COUNTIFS($B$2:$B259,"s",$C$2:$C259,"SER")+COUNTIFS($B$2:$B259,"s",$C$2:$C259,"PLH"))-1)/96)+1)&amp;": "&amp;CHAR(65+INT(MOD((COUNTIFS($B$2:$B259,"s",$C$2:$C259,"SER")+COUNTIFS($B$2:$B259,"s",$C$2:$C259,"PLH"))-1,96)/12))&amp;(MOD((COUNTIFS($B$2:$B259,"s",$C$2:$C259,"SER")+COUNTIFS($B$2:$B259,"s",$C$2:$C259,"PLH"))-1,12)+1),"N/A"),"")</f>
        <v/>
      </c>
      <c r="K259" s="6" t="str">
        <f>IF(AND($A259&lt;&gt;"",$B259&lt;&gt;"",$C259&lt;&gt;"",$D259&lt;&gt;"",$E259&lt;&gt;""),IF($C259="WB","Case WB Box "&amp;(INT((COUNTIFS($C$2:$C259,"WB")-1)/81)+1)&amp;": "&amp;CHAR(65+INT(MOD(COUNTIFS($C$2:$C259,"WB")-1,81)/9))&amp;(MOD(COUNTIFS($C$2:$C259,"WB")-1,9)+1),"N/A"),"")</f>
        <v/>
      </c>
      <c r="L259" s="2" t="str">
        <f t="shared" si="73"/>
        <v/>
      </c>
      <c r="M259" s="2"/>
      <c r="N259" s="2"/>
      <c r="O259" s="2"/>
      <c r="P259" s="7" t="str">
        <f t="shared" si="74"/>
        <v/>
      </c>
      <c r="Q259" s="7" t="str">
        <f t="shared" si="75"/>
        <v/>
      </c>
      <c r="R259" s="7" t="str">
        <f t="shared" si="76"/>
        <v/>
      </c>
      <c r="S259" s="7" t="str">
        <f t="shared" si="77"/>
        <v/>
      </c>
      <c r="T259" s="7" t="str">
        <f t="shared" si="78"/>
        <v/>
      </c>
      <c r="U259" s="7" t="str">
        <f t="shared" si="79"/>
        <v/>
      </c>
      <c r="V259" s="7" t="str">
        <f t="shared" si="80"/>
        <v/>
      </c>
      <c r="W259" s="7" t="str">
        <f t="shared" si="81"/>
        <v/>
      </c>
      <c r="X259" s="7" t="str">
        <f t="shared" si="82"/>
        <v/>
      </c>
      <c r="Y259" s="7" t="str">
        <f t="shared" si="83"/>
        <v/>
      </c>
      <c r="Z259">
        <f t="shared" si="84"/>
        <v>0</v>
      </c>
      <c r="AA259" t="str">
        <f t="shared" si="85"/>
        <v/>
      </c>
      <c r="AB259" t="str">
        <f t="shared" si="86"/>
        <v/>
      </c>
      <c r="AC259" t="str">
        <f t="shared" si="87"/>
        <v/>
      </c>
      <c r="AD259" t="str">
        <f t="shared" si="88"/>
        <v/>
      </c>
      <c r="AE259">
        <f t="shared" si="89"/>
        <v>0</v>
      </c>
    </row>
    <row r="260" spans="1:31" ht="15" customHeight="1" x14ac:dyDescent="0.35">
      <c r="A260" s="2"/>
      <c r="B260" s="3"/>
      <c r="C260" s="3"/>
      <c r="D260" s="4"/>
      <c r="E260" s="5"/>
      <c r="F260" s="11" t="str">
        <f t="shared" ca="1" si="72"/>
        <v/>
      </c>
      <c r="G260" s="5"/>
      <c r="H260" s="6" t="str">
        <f>IF(AND($A260&lt;&gt;"",$B260&lt;&gt;"",$C260&lt;&gt;"",$D260&lt;&gt;"",$E260&lt;&gt;""),IF(AND($B260="s",OR($C260="SER",$C260="PLH",$C260="CSF")),"Case CDI Plate "&amp;(INT(((COUNTIFS($B$2:$B260,"s",$C$2:$C260,"SER")+COUNTIFS($B$2:$B260,"s",$C$2:$C260,"PLH")+COUNTIFS($B$2:$B260,"s",$C$2:$C260,"CSF"))-1)/96)+1)&amp;": "&amp;CHAR(65+INT(MOD((COUNTIFS($B$2:$B260,"s",$C$2:$C260,"SER")+COUNTIFS($B$2:$B260,"s",$C$2:$C260,"PLH")+COUNTIFS($B$2:$B260,"s",$C$2:$C260,"CSF"))-1,96)/12))&amp;(MOD((COUNTIFS($B$2:$B260,"s",$C$2:$C260,"SER")+COUNTIFS($B$2:$B260,"s",$C$2:$C260,"PLH")+COUNTIFS($B$2:$B260,"s",$C$2:$C260,"CSF"))-1,12)+1),"N/A"),"")</f>
        <v/>
      </c>
      <c r="I260" s="6" t="str">
        <f>IF(AND($A260&lt;&gt;"",$B260&lt;&gt;"",$C260&lt;&gt;"",$D260&lt;&gt;"",$E260&lt;&gt;""),IF(AND($B260="s",OR($C260="SER",$C260="PLH",$C260="CSF")),"Case NIH Plate "&amp;(INT(((COUNTIFS($B$2:$B260,"s",$C$2:$C260,"SER")+COUNTIFS($B$2:$B260,"s",$C$2:$C260,"PLH")+COUNTIFS($B$2:$B260,"s",$C$2:$C260,"CSF"))-1)/96)+1)&amp;": "&amp;CHAR(65+INT(MOD((COUNTIFS($B$2:$B260,"s",$C$2:$C260,"SER")+COUNTIFS($B$2:$B260,"s",$C$2:$C260,"PLH")+COUNTIFS($B$2:$B260,"s",$C$2:$C260,"CSF"))-1,96)/12))&amp;(MOD((COUNTIFS($B$2:$B260,"s",$C$2:$C260,"SER")+COUNTIFS($B$2:$B260,"s",$C$2:$C260,"PLH")+COUNTIFS($B$2:$B260,"s",$C$2:$C260,"CSF"))-1,12)+1),"N/A"),"")</f>
        <v/>
      </c>
      <c r="J260" s="6" t="str">
        <f>IF(AND($A260&lt;&gt;"",$B260&lt;&gt;"",$C260&lt;&gt;"",$D260&lt;&gt;"",$E260&lt;&gt;""),IF(AND($B260="s",OR($C260="SER",$C260="PLH")),"Case MAX Planck Plate "&amp;(INT(((COUNTIFS($B$2:$B260,"s",$C$2:$C260,"SER")+COUNTIFS($B$2:$B260,"s",$C$2:$C260,"PLH"))-1)/96)+1)&amp;": "&amp;CHAR(65+INT(MOD((COUNTIFS($B$2:$B260,"s",$C$2:$C260,"SER")+COUNTIFS($B$2:$B260,"s",$C$2:$C260,"PLH"))-1,96)/12))&amp;(MOD((COUNTIFS($B$2:$B260,"s",$C$2:$C260,"SER")+COUNTIFS($B$2:$B260,"s",$C$2:$C260,"PLH"))-1,12)+1),"N/A"),"")</f>
        <v/>
      </c>
      <c r="K260" s="6" t="str">
        <f>IF(AND($A260&lt;&gt;"",$B260&lt;&gt;"",$C260&lt;&gt;"",$D260&lt;&gt;"",$E260&lt;&gt;""),IF($C260="WB","Case WB Box "&amp;(INT((COUNTIFS($C$2:$C260,"WB")-1)/81)+1)&amp;": "&amp;CHAR(65+INT(MOD(COUNTIFS($C$2:$C260,"WB")-1,81)/9))&amp;(MOD(COUNTIFS($C$2:$C260,"WB")-1,9)+1),"N/A"),"")</f>
        <v/>
      </c>
      <c r="L260" s="2" t="str">
        <f t="shared" si="73"/>
        <v/>
      </c>
      <c r="M260" s="2"/>
      <c r="N260" s="2"/>
      <c r="O260" s="2"/>
      <c r="P260" s="7" t="str">
        <f t="shared" si="74"/>
        <v/>
      </c>
      <c r="Q260" s="7" t="str">
        <f t="shared" si="75"/>
        <v/>
      </c>
      <c r="R260" s="7" t="str">
        <f t="shared" si="76"/>
        <v/>
      </c>
      <c r="S260" s="7" t="str">
        <f t="shared" si="77"/>
        <v/>
      </c>
      <c r="T260" s="7" t="str">
        <f t="shared" si="78"/>
        <v/>
      </c>
      <c r="U260" s="7" t="str">
        <f t="shared" si="79"/>
        <v/>
      </c>
      <c r="V260" s="7" t="str">
        <f t="shared" si="80"/>
        <v/>
      </c>
      <c r="W260" s="7" t="str">
        <f t="shared" si="81"/>
        <v/>
      </c>
      <c r="X260" s="7" t="str">
        <f t="shared" si="82"/>
        <v/>
      </c>
      <c r="Y260" s="7" t="str">
        <f t="shared" si="83"/>
        <v/>
      </c>
      <c r="Z260">
        <f t="shared" si="84"/>
        <v>0</v>
      </c>
      <c r="AA260" t="str">
        <f t="shared" si="85"/>
        <v/>
      </c>
      <c r="AB260" t="str">
        <f t="shared" si="86"/>
        <v/>
      </c>
      <c r="AC260" t="str">
        <f t="shared" si="87"/>
        <v/>
      </c>
      <c r="AD260" t="str">
        <f t="shared" si="88"/>
        <v/>
      </c>
      <c r="AE260">
        <f t="shared" si="89"/>
        <v>0</v>
      </c>
    </row>
    <row r="261" spans="1:31" ht="15" customHeight="1" x14ac:dyDescent="0.35">
      <c r="A261" s="2"/>
      <c r="B261" s="3"/>
      <c r="C261" s="3"/>
      <c r="D261" s="4"/>
      <c r="E261" s="5"/>
      <c r="F261" s="11" t="str">
        <f t="shared" ca="1" si="72"/>
        <v/>
      </c>
      <c r="G261" s="5"/>
      <c r="H261" s="6" t="str">
        <f>IF(AND($A261&lt;&gt;"",$B261&lt;&gt;"",$C261&lt;&gt;"",$D261&lt;&gt;"",$E261&lt;&gt;""),IF(AND($B261="s",OR($C261="SER",$C261="PLH",$C261="CSF")),"Case CDI Plate "&amp;(INT(((COUNTIFS($B$2:$B261,"s",$C$2:$C261,"SER")+COUNTIFS($B$2:$B261,"s",$C$2:$C261,"PLH")+COUNTIFS($B$2:$B261,"s",$C$2:$C261,"CSF"))-1)/96)+1)&amp;": "&amp;CHAR(65+INT(MOD((COUNTIFS($B$2:$B261,"s",$C$2:$C261,"SER")+COUNTIFS($B$2:$B261,"s",$C$2:$C261,"PLH")+COUNTIFS($B$2:$B261,"s",$C$2:$C261,"CSF"))-1,96)/12))&amp;(MOD((COUNTIFS($B$2:$B261,"s",$C$2:$C261,"SER")+COUNTIFS($B$2:$B261,"s",$C$2:$C261,"PLH")+COUNTIFS($B$2:$B261,"s",$C$2:$C261,"CSF"))-1,12)+1),"N/A"),"")</f>
        <v/>
      </c>
      <c r="I261" s="6" t="str">
        <f>IF(AND($A261&lt;&gt;"",$B261&lt;&gt;"",$C261&lt;&gt;"",$D261&lt;&gt;"",$E261&lt;&gt;""),IF(AND($B261="s",OR($C261="SER",$C261="PLH",$C261="CSF")),"Case NIH Plate "&amp;(INT(((COUNTIFS($B$2:$B261,"s",$C$2:$C261,"SER")+COUNTIFS($B$2:$B261,"s",$C$2:$C261,"PLH")+COUNTIFS($B$2:$B261,"s",$C$2:$C261,"CSF"))-1)/96)+1)&amp;": "&amp;CHAR(65+INT(MOD((COUNTIFS($B$2:$B261,"s",$C$2:$C261,"SER")+COUNTIFS($B$2:$B261,"s",$C$2:$C261,"PLH")+COUNTIFS($B$2:$B261,"s",$C$2:$C261,"CSF"))-1,96)/12))&amp;(MOD((COUNTIFS($B$2:$B261,"s",$C$2:$C261,"SER")+COUNTIFS($B$2:$B261,"s",$C$2:$C261,"PLH")+COUNTIFS($B$2:$B261,"s",$C$2:$C261,"CSF"))-1,12)+1),"N/A"),"")</f>
        <v/>
      </c>
      <c r="J261" s="6" t="str">
        <f>IF(AND($A261&lt;&gt;"",$B261&lt;&gt;"",$C261&lt;&gt;"",$D261&lt;&gt;"",$E261&lt;&gt;""),IF(AND($B261="s",OR($C261="SER",$C261="PLH")),"Case MAX Planck Plate "&amp;(INT(((COUNTIFS($B$2:$B261,"s",$C$2:$C261,"SER")+COUNTIFS($B$2:$B261,"s",$C$2:$C261,"PLH"))-1)/96)+1)&amp;": "&amp;CHAR(65+INT(MOD((COUNTIFS($B$2:$B261,"s",$C$2:$C261,"SER")+COUNTIFS($B$2:$B261,"s",$C$2:$C261,"PLH"))-1,96)/12))&amp;(MOD((COUNTIFS($B$2:$B261,"s",$C$2:$C261,"SER")+COUNTIFS($B$2:$B261,"s",$C$2:$C261,"PLH"))-1,12)+1),"N/A"),"")</f>
        <v/>
      </c>
      <c r="K261" s="6" t="str">
        <f>IF(AND($A261&lt;&gt;"",$B261&lt;&gt;"",$C261&lt;&gt;"",$D261&lt;&gt;"",$E261&lt;&gt;""),IF($C261="WB","Case WB Box "&amp;(INT((COUNTIFS($C$2:$C261,"WB")-1)/81)+1)&amp;": "&amp;CHAR(65+INT(MOD(COUNTIFS($C$2:$C261,"WB")-1,81)/9))&amp;(MOD(COUNTIFS($C$2:$C261,"WB")-1,9)+1),"N/A"),"")</f>
        <v/>
      </c>
      <c r="L261" s="2" t="str">
        <f t="shared" si="73"/>
        <v/>
      </c>
      <c r="M261" s="2"/>
      <c r="N261" s="2"/>
      <c r="O261" s="2"/>
      <c r="P261" s="7" t="str">
        <f t="shared" si="74"/>
        <v/>
      </c>
      <c r="Q261" s="7" t="str">
        <f t="shared" si="75"/>
        <v/>
      </c>
      <c r="R261" s="7" t="str">
        <f t="shared" si="76"/>
        <v/>
      </c>
      <c r="S261" s="7" t="str">
        <f t="shared" si="77"/>
        <v/>
      </c>
      <c r="T261" s="7" t="str">
        <f t="shared" si="78"/>
        <v/>
      </c>
      <c r="U261" s="7" t="str">
        <f t="shared" si="79"/>
        <v/>
      </c>
      <c r="V261" s="7" t="str">
        <f t="shared" si="80"/>
        <v/>
      </c>
      <c r="W261" s="7" t="str">
        <f t="shared" si="81"/>
        <v/>
      </c>
      <c r="X261" s="7" t="str">
        <f t="shared" si="82"/>
        <v/>
      </c>
      <c r="Y261" s="7" t="str">
        <f t="shared" si="83"/>
        <v/>
      </c>
      <c r="Z261">
        <f t="shared" si="84"/>
        <v>0</v>
      </c>
      <c r="AA261" t="str">
        <f t="shared" si="85"/>
        <v/>
      </c>
      <c r="AB261" t="str">
        <f t="shared" si="86"/>
        <v/>
      </c>
      <c r="AC261" t="str">
        <f t="shared" si="87"/>
        <v/>
      </c>
      <c r="AD261" t="str">
        <f t="shared" si="88"/>
        <v/>
      </c>
      <c r="AE261">
        <f t="shared" si="89"/>
        <v>0</v>
      </c>
    </row>
    <row r="262" spans="1:31" ht="15" customHeight="1" x14ac:dyDescent="0.35">
      <c r="A262" s="2"/>
      <c r="B262" s="3"/>
      <c r="C262" s="3"/>
      <c r="D262" s="4"/>
      <c r="E262" s="5"/>
      <c r="F262" s="11" t="str">
        <f t="shared" ca="1" si="72"/>
        <v/>
      </c>
      <c r="G262" s="5"/>
      <c r="H262" s="6" t="str">
        <f>IF(AND($A262&lt;&gt;"",$B262&lt;&gt;"",$C262&lt;&gt;"",$D262&lt;&gt;"",$E262&lt;&gt;""),IF(AND($B262="s",OR($C262="SER",$C262="PLH",$C262="CSF")),"Case CDI Plate "&amp;(INT(((COUNTIFS($B$2:$B262,"s",$C$2:$C262,"SER")+COUNTIFS($B$2:$B262,"s",$C$2:$C262,"PLH")+COUNTIFS($B$2:$B262,"s",$C$2:$C262,"CSF"))-1)/96)+1)&amp;": "&amp;CHAR(65+INT(MOD((COUNTIFS($B$2:$B262,"s",$C$2:$C262,"SER")+COUNTIFS($B$2:$B262,"s",$C$2:$C262,"PLH")+COUNTIFS($B$2:$B262,"s",$C$2:$C262,"CSF"))-1,96)/12))&amp;(MOD((COUNTIFS($B$2:$B262,"s",$C$2:$C262,"SER")+COUNTIFS($B$2:$B262,"s",$C$2:$C262,"PLH")+COUNTIFS($B$2:$B262,"s",$C$2:$C262,"CSF"))-1,12)+1),"N/A"),"")</f>
        <v/>
      </c>
      <c r="I262" s="6" t="str">
        <f>IF(AND($A262&lt;&gt;"",$B262&lt;&gt;"",$C262&lt;&gt;"",$D262&lt;&gt;"",$E262&lt;&gt;""),IF(AND($B262="s",OR($C262="SER",$C262="PLH",$C262="CSF")),"Case NIH Plate "&amp;(INT(((COUNTIFS($B$2:$B262,"s",$C$2:$C262,"SER")+COUNTIFS($B$2:$B262,"s",$C$2:$C262,"PLH")+COUNTIFS($B$2:$B262,"s",$C$2:$C262,"CSF"))-1)/96)+1)&amp;": "&amp;CHAR(65+INT(MOD((COUNTIFS($B$2:$B262,"s",$C$2:$C262,"SER")+COUNTIFS($B$2:$B262,"s",$C$2:$C262,"PLH")+COUNTIFS($B$2:$B262,"s",$C$2:$C262,"CSF"))-1,96)/12))&amp;(MOD((COUNTIFS($B$2:$B262,"s",$C$2:$C262,"SER")+COUNTIFS($B$2:$B262,"s",$C$2:$C262,"PLH")+COUNTIFS($B$2:$B262,"s",$C$2:$C262,"CSF"))-1,12)+1),"N/A"),"")</f>
        <v/>
      </c>
      <c r="J262" s="6" t="str">
        <f>IF(AND($A262&lt;&gt;"",$B262&lt;&gt;"",$C262&lt;&gt;"",$D262&lt;&gt;"",$E262&lt;&gt;""),IF(AND($B262="s",OR($C262="SER",$C262="PLH")),"Case MAX Planck Plate "&amp;(INT(((COUNTIFS($B$2:$B262,"s",$C$2:$C262,"SER")+COUNTIFS($B$2:$B262,"s",$C$2:$C262,"PLH"))-1)/96)+1)&amp;": "&amp;CHAR(65+INT(MOD((COUNTIFS($B$2:$B262,"s",$C$2:$C262,"SER")+COUNTIFS($B$2:$B262,"s",$C$2:$C262,"PLH"))-1,96)/12))&amp;(MOD((COUNTIFS($B$2:$B262,"s",$C$2:$C262,"SER")+COUNTIFS($B$2:$B262,"s",$C$2:$C262,"PLH"))-1,12)+1),"N/A"),"")</f>
        <v/>
      </c>
      <c r="K262" s="6" t="str">
        <f>IF(AND($A262&lt;&gt;"",$B262&lt;&gt;"",$C262&lt;&gt;"",$D262&lt;&gt;"",$E262&lt;&gt;""),IF($C262="WB","Case WB Box "&amp;(INT((COUNTIFS($C$2:$C262,"WB")-1)/81)+1)&amp;": "&amp;CHAR(65+INT(MOD(COUNTIFS($C$2:$C262,"WB")-1,81)/9))&amp;(MOD(COUNTIFS($C$2:$C262,"WB")-1,9)+1),"N/A"),"")</f>
        <v/>
      </c>
      <c r="L262" s="2" t="str">
        <f t="shared" si="73"/>
        <v/>
      </c>
      <c r="M262" s="2"/>
      <c r="N262" s="2"/>
      <c r="O262" s="2"/>
      <c r="P262" s="7" t="str">
        <f t="shared" si="74"/>
        <v/>
      </c>
      <c r="Q262" s="7" t="str">
        <f t="shared" si="75"/>
        <v/>
      </c>
      <c r="R262" s="7" t="str">
        <f t="shared" si="76"/>
        <v/>
      </c>
      <c r="S262" s="7" t="str">
        <f t="shared" si="77"/>
        <v/>
      </c>
      <c r="T262" s="7" t="str">
        <f t="shared" si="78"/>
        <v/>
      </c>
      <c r="U262" s="7" t="str">
        <f t="shared" si="79"/>
        <v/>
      </c>
      <c r="V262" s="7" t="str">
        <f t="shared" si="80"/>
        <v/>
      </c>
      <c r="W262" s="7" t="str">
        <f t="shared" si="81"/>
        <v/>
      </c>
      <c r="X262" s="7" t="str">
        <f t="shared" si="82"/>
        <v/>
      </c>
      <c r="Y262" s="7" t="str">
        <f t="shared" si="83"/>
        <v/>
      </c>
      <c r="Z262">
        <f t="shared" si="84"/>
        <v>0</v>
      </c>
      <c r="AA262" t="str">
        <f t="shared" si="85"/>
        <v/>
      </c>
      <c r="AB262" t="str">
        <f t="shared" si="86"/>
        <v/>
      </c>
      <c r="AC262" t="str">
        <f t="shared" si="87"/>
        <v/>
      </c>
      <c r="AD262" t="str">
        <f t="shared" si="88"/>
        <v/>
      </c>
      <c r="AE262">
        <f t="shared" si="89"/>
        <v>0</v>
      </c>
    </row>
    <row r="263" spans="1:31" ht="15" customHeight="1" x14ac:dyDescent="0.35">
      <c r="A263" s="2"/>
      <c r="B263" s="3"/>
      <c r="C263" s="3"/>
      <c r="D263" s="4"/>
      <c r="E263" s="5"/>
      <c r="F263" s="11" t="str">
        <f t="shared" ca="1" si="72"/>
        <v/>
      </c>
      <c r="G263" s="5"/>
      <c r="H263" s="6" t="str">
        <f>IF(AND($A263&lt;&gt;"",$B263&lt;&gt;"",$C263&lt;&gt;"",$D263&lt;&gt;"",$E263&lt;&gt;""),IF(AND($B263="s",OR($C263="SER",$C263="PLH",$C263="CSF")),"Case CDI Plate "&amp;(INT(((COUNTIFS($B$2:$B263,"s",$C$2:$C263,"SER")+COUNTIFS($B$2:$B263,"s",$C$2:$C263,"PLH")+COUNTIFS($B$2:$B263,"s",$C$2:$C263,"CSF"))-1)/96)+1)&amp;": "&amp;CHAR(65+INT(MOD((COUNTIFS($B$2:$B263,"s",$C$2:$C263,"SER")+COUNTIFS($B$2:$B263,"s",$C$2:$C263,"PLH")+COUNTIFS($B$2:$B263,"s",$C$2:$C263,"CSF"))-1,96)/12))&amp;(MOD((COUNTIFS($B$2:$B263,"s",$C$2:$C263,"SER")+COUNTIFS($B$2:$B263,"s",$C$2:$C263,"PLH")+COUNTIFS($B$2:$B263,"s",$C$2:$C263,"CSF"))-1,12)+1),"N/A"),"")</f>
        <v/>
      </c>
      <c r="I263" s="6" t="str">
        <f>IF(AND($A263&lt;&gt;"",$B263&lt;&gt;"",$C263&lt;&gt;"",$D263&lt;&gt;"",$E263&lt;&gt;""),IF(AND($B263="s",OR($C263="SER",$C263="PLH",$C263="CSF")),"Case NIH Plate "&amp;(INT(((COUNTIFS($B$2:$B263,"s",$C$2:$C263,"SER")+COUNTIFS($B$2:$B263,"s",$C$2:$C263,"PLH")+COUNTIFS($B$2:$B263,"s",$C$2:$C263,"CSF"))-1)/96)+1)&amp;": "&amp;CHAR(65+INT(MOD((COUNTIFS($B$2:$B263,"s",$C$2:$C263,"SER")+COUNTIFS($B$2:$B263,"s",$C$2:$C263,"PLH")+COUNTIFS($B$2:$B263,"s",$C$2:$C263,"CSF"))-1,96)/12))&amp;(MOD((COUNTIFS($B$2:$B263,"s",$C$2:$C263,"SER")+COUNTIFS($B$2:$B263,"s",$C$2:$C263,"PLH")+COUNTIFS($B$2:$B263,"s",$C$2:$C263,"CSF"))-1,12)+1),"N/A"),"")</f>
        <v/>
      </c>
      <c r="J263" s="6" t="str">
        <f>IF(AND($A263&lt;&gt;"",$B263&lt;&gt;"",$C263&lt;&gt;"",$D263&lt;&gt;"",$E263&lt;&gt;""),IF(AND($B263="s",OR($C263="SER",$C263="PLH")),"Case MAX Planck Plate "&amp;(INT(((COUNTIFS($B$2:$B263,"s",$C$2:$C263,"SER")+COUNTIFS($B$2:$B263,"s",$C$2:$C263,"PLH"))-1)/96)+1)&amp;": "&amp;CHAR(65+INT(MOD((COUNTIFS($B$2:$B263,"s",$C$2:$C263,"SER")+COUNTIFS($B$2:$B263,"s",$C$2:$C263,"PLH"))-1,96)/12))&amp;(MOD((COUNTIFS($B$2:$B263,"s",$C$2:$C263,"SER")+COUNTIFS($B$2:$B263,"s",$C$2:$C263,"PLH"))-1,12)+1),"N/A"),"")</f>
        <v/>
      </c>
      <c r="K263" s="6" t="str">
        <f>IF(AND($A263&lt;&gt;"",$B263&lt;&gt;"",$C263&lt;&gt;"",$D263&lt;&gt;"",$E263&lt;&gt;""),IF($C263="WB","Case WB Box "&amp;(INT((COUNTIFS($C$2:$C263,"WB")-1)/81)+1)&amp;": "&amp;CHAR(65+INT(MOD(COUNTIFS($C$2:$C263,"WB")-1,81)/9))&amp;(MOD(COUNTIFS($C$2:$C263,"WB")-1,9)+1),"N/A"),"")</f>
        <v/>
      </c>
      <c r="L263" s="2" t="str">
        <f t="shared" si="73"/>
        <v/>
      </c>
      <c r="M263" s="2"/>
      <c r="N263" s="2"/>
      <c r="O263" s="2"/>
      <c r="P263" s="7" t="str">
        <f t="shared" si="74"/>
        <v/>
      </c>
      <c r="Q263" s="7" t="str">
        <f t="shared" si="75"/>
        <v/>
      </c>
      <c r="R263" s="7" t="str">
        <f t="shared" si="76"/>
        <v/>
      </c>
      <c r="S263" s="7" t="str">
        <f t="shared" si="77"/>
        <v/>
      </c>
      <c r="T263" s="7" t="str">
        <f t="shared" si="78"/>
        <v/>
      </c>
      <c r="U263" s="7" t="str">
        <f t="shared" si="79"/>
        <v/>
      </c>
      <c r="V263" s="7" t="str">
        <f t="shared" si="80"/>
        <v/>
      </c>
      <c r="W263" s="7" t="str">
        <f t="shared" si="81"/>
        <v/>
      </c>
      <c r="X263" s="7" t="str">
        <f t="shared" si="82"/>
        <v/>
      </c>
      <c r="Y263" s="7" t="str">
        <f t="shared" si="83"/>
        <v/>
      </c>
      <c r="Z263">
        <f t="shared" si="84"/>
        <v>0</v>
      </c>
      <c r="AA263" t="str">
        <f t="shared" si="85"/>
        <v/>
      </c>
      <c r="AB263" t="str">
        <f t="shared" si="86"/>
        <v/>
      </c>
      <c r="AC263" t="str">
        <f t="shared" si="87"/>
        <v/>
      </c>
      <c r="AD263" t="str">
        <f t="shared" si="88"/>
        <v/>
      </c>
      <c r="AE263">
        <f t="shared" si="89"/>
        <v>0</v>
      </c>
    </row>
    <row r="264" spans="1:31" ht="15" customHeight="1" x14ac:dyDescent="0.35">
      <c r="A264" s="2"/>
      <c r="B264" s="3"/>
      <c r="C264" s="3"/>
      <c r="D264" s="4"/>
      <c r="E264" s="5"/>
      <c r="F264" s="11" t="str">
        <f t="shared" ca="1" si="72"/>
        <v/>
      </c>
      <c r="G264" s="5"/>
      <c r="H264" s="6" t="str">
        <f>IF(AND($A264&lt;&gt;"",$B264&lt;&gt;"",$C264&lt;&gt;"",$D264&lt;&gt;"",$E264&lt;&gt;""),IF(AND($B264="s",OR($C264="SER",$C264="PLH",$C264="CSF")),"Case CDI Plate "&amp;(INT(((COUNTIFS($B$2:$B264,"s",$C$2:$C264,"SER")+COUNTIFS($B$2:$B264,"s",$C$2:$C264,"PLH")+COUNTIFS($B$2:$B264,"s",$C$2:$C264,"CSF"))-1)/96)+1)&amp;": "&amp;CHAR(65+INT(MOD((COUNTIFS($B$2:$B264,"s",$C$2:$C264,"SER")+COUNTIFS($B$2:$B264,"s",$C$2:$C264,"PLH")+COUNTIFS($B$2:$B264,"s",$C$2:$C264,"CSF"))-1,96)/12))&amp;(MOD((COUNTIFS($B$2:$B264,"s",$C$2:$C264,"SER")+COUNTIFS($B$2:$B264,"s",$C$2:$C264,"PLH")+COUNTIFS($B$2:$B264,"s",$C$2:$C264,"CSF"))-1,12)+1),"N/A"),"")</f>
        <v/>
      </c>
      <c r="I264" s="6" t="str">
        <f>IF(AND($A264&lt;&gt;"",$B264&lt;&gt;"",$C264&lt;&gt;"",$D264&lt;&gt;"",$E264&lt;&gt;""),IF(AND($B264="s",OR($C264="SER",$C264="PLH",$C264="CSF")),"Case NIH Plate "&amp;(INT(((COUNTIFS($B$2:$B264,"s",$C$2:$C264,"SER")+COUNTIFS($B$2:$B264,"s",$C$2:$C264,"PLH")+COUNTIFS($B$2:$B264,"s",$C$2:$C264,"CSF"))-1)/96)+1)&amp;": "&amp;CHAR(65+INT(MOD((COUNTIFS($B$2:$B264,"s",$C$2:$C264,"SER")+COUNTIFS($B$2:$B264,"s",$C$2:$C264,"PLH")+COUNTIFS($B$2:$B264,"s",$C$2:$C264,"CSF"))-1,96)/12))&amp;(MOD((COUNTIFS($B$2:$B264,"s",$C$2:$C264,"SER")+COUNTIFS($B$2:$B264,"s",$C$2:$C264,"PLH")+COUNTIFS($B$2:$B264,"s",$C$2:$C264,"CSF"))-1,12)+1),"N/A"),"")</f>
        <v/>
      </c>
      <c r="J264" s="6" t="str">
        <f>IF(AND($A264&lt;&gt;"",$B264&lt;&gt;"",$C264&lt;&gt;"",$D264&lt;&gt;"",$E264&lt;&gt;""),IF(AND($B264="s",OR($C264="SER",$C264="PLH")),"Case MAX Planck Plate "&amp;(INT(((COUNTIFS($B$2:$B264,"s",$C$2:$C264,"SER")+COUNTIFS($B$2:$B264,"s",$C$2:$C264,"PLH"))-1)/96)+1)&amp;": "&amp;CHAR(65+INT(MOD((COUNTIFS($B$2:$B264,"s",$C$2:$C264,"SER")+COUNTIFS($B$2:$B264,"s",$C$2:$C264,"PLH"))-1,96)/12))&amp;(MOD((COUNTIFS($B$2:$B264,"s",$C$2:$C264,"SER")+COUNTIFS($B$2:$B264,"s",$C$2:$C264,"PLH"))-1,12)+1),"N/A"),"")</f>
        <v/>
      </c>
      <c r="K264" s="6" t="str">
        <f>IF(AND($A264&lt;&gt;"",$B264&lt;&gt;"",$C264&lt;&gt;"",$D264&lt;&gt;"",$E264&lt;&gt;""),IF($C264="WB","Case WB Box "&amp;(INT((COUNTIFS($C$2:$C264,"WB")-1)/81)+1)&amp;": "&amp;CHAR(65+INT(MOD(COUNTIFS($C$2:$C264,"WB")-1,81)/9))&amp;(MOD(COUNTIFS($C$2:$C264,"WB")-1,9)+1),"N/A"),"")</f>
        <v/>
      </c>
      <c r="L264" s="2" t="str">
        <f t="shared" si="73"/>
        <v/>
      </c>
      <c r="M264" s="2"/>
      <c r="N264" s="2"/>
      <c r="O264" s="2"/>
      <c r="P264" s="7" t="str">
        <f t="shared" si="74"/>
        <v/>
      </c>
      <c r="Q264" s="7" t="str">
        <f t="shared" si="75"/>
        <v/>
      </c>
      <c r="R264" s="7" t="str">
        <f t="shared" si="76"/>
        <v/>
      </c>
      <c r="S264" s="7" t="str">
        <f t="shared" si="77"/>
        <v/>
      </c>
      <c r="T264" s="7" t="str">
        <f t="shared" si="78"/>
        <v/>
      </c>
      <c r="U264" s="7" t="str">
        <f t="shared" si="79"/>
        <v/>
      </c>
      <c r="V264" s="7" t="str">
        <f t="shared" si="80"/>
        <v/>
      </c>
      <c r="W264" s="7" t="str">
        <f t="shared" si="81"/>
        <v/>
      </c>
      <c r="X264" s="7" t="str">
        <f t="shared" si="82"/>
        <v/>
      </c>
      <c r="Y264" s="7" t="str">
        <f t="shared" si="83"/>
        <v/>
      </c>
      <c r="Z264">
        <f t="shared" si="84"/>
        <v>0</v>
      </c>
      <c r="AA264" t="str">
        <f t="shared" si="85"/>
        <v/>
      </c>
      <c r="AB264" t="str">
        <f t="shared" si="86"/>
        <v/>
      </c>
      <c r="AC264" t="str">
        <f t="shared" si="87"/>
        <v/>
      </c>
      <c r="AD264" t="str">
        <f t="shared" si="88"/>
        <v/>
      </c>
      <c r="AE264">
        <f t="shared" si="89"/>
        <v>0</v>
      </c>
    </row>
    <row r="265" spans="1:31" ht="15" customHeight="1" x14ac:dyDescent="0.35">
      <c r="A265" s="2"/>
      <c r="B265" s="3"/>
      <c r="C265" s="3"/>
      <c r="D265" s="4"/>
      <c r="E265" s="5"/>
      <c r="F265" s="11" t="str">
        <f t="shared" ca="1" si="72"/>
        <v/>
      </c>
      <c r="G265" s="5"/>
      <c r="H265" s="6" t="str">
        <f>IF(AND($A265&lt;&gt;"",$B265&lt;&gt;"",$C265&lt;&gt;"",$D265&lt;&gt;"",$E265&lt;&gt;""),IF(AND($B265="s",OR($C265="SER",$C265="PLH",$C265="CSF")),"Case CDI Plate "&amp;(INT(((COUNTIFS($B$2:$B265,"s",$C$2:$C265,"SER")+COUNTIFS($B$2:$B265,"s",$C$2:$C265,"PLH")+COUNTIFS($B$2:$B265,"s",$C$2:$C265,"CSF"))-1)/96)+1)&amp;": "&amp;CHAR(65+INT(MOD((COUNTIFS($B$2:$B265,"s",$C$2:$C265,"SER")+COUNTIFS($B$2:$B265,"s",$C$2:$C265,"PLH")+COUNTIFS($B$2:$B265,"s",$C$2:$C265,"CSF"))-1,96)/12))&amp;(MOD((COUNTIFS($B$2:$B265,"s",$C$2:$C265,"SER")+COUNTIFS($B$2:$B265,"s",$C$2:$C265,"PLH")+COUNTIFS($B$2:$B265,"s",$C$2:$C265,"CSF"))-1,12)+1),"N/A"),"")</f>
        <v/>
      </c>
      <c r="I265" s="6" t="str">
        <f>IF(AND($A265&lt;&gt;"",$B265&lt;&gt;"",$C265&lt;&gt;"",$D265&lt;&gt;"",$E265&lt;&gt;""),IF(AND($B265="s",OR($C265="SER",$C265="PLH",$C265="CSF")),"Case NIH Plate "&amp;(INT(((COUNTIFS($B$2:$B265,"s",$C$2:$C265,"SER")+COUNTIFS($B$2:$B265,"s",$C$2:$C265,"PLH")+COUNTIFS($B$2:$B265,"s",$C$2:$C265,"CSF"))-1)/96)+1)&amp;": "&amp;CHAR(65+INT(MOD((COUNTIFS($B$2:$B265,"s",$C$2:$C265,"SER")+COUNTIFS($B$2:$B265,"s",$C$2:$C265,"PLH")+COUNTIFS($B$2:$B265,"s",$C$2:$C265,"CSF"))-1,96)/12))&amp;(MOD((COUNTIFS($B$2:$B265,"s",$C$2:$C265,"SER")+COUNTIFS($B$2:$B265,"s",$C$2:$C265,"PLH")+COUNTIFS($B$2:$B265,"s",$C$2:$C265,"CSF"))-1,12)+1),"N/A"),"")</f>
        <v/>
      </c>
      <c r="J265" s="6" t="str">
        <f>IF(AND($A265&lt;&gt;"",$B265&lt;&gt;"",$C265&lt;&gt;"",$D265&lt;&gt;"",$E265&lt;&gt;""),IF(AND($B265="s",OR($C265="SER",$C265="PLH")),"Case MAX Planck Plate "&amp;(INT(((COUNTIFS($B$2:$B265,"s",$C$2:$C265,"SER")+COUNTIFS($B$2:$B265,"s",$C$2:$C265,"PLH"))-1)/96)+1)&amp;": "&amp;CHAR(65+INT(MOD((COUNTIFS($B$2:$B265,"s",$C$2:$C265,"SER")+COUNTIFS($B$2:$B265,"s",$C$2:$C265,"PLH"))-1,96)/12))&amp;(MOD((COUNTIFS($B$2:$B265,"s",$C$2:$C265,"SER")+COUNTIFS($B$2:$B265,"s",$C$2:$C265,"PLH"))-1,12)+1),"N/A"),"")</f>
        <v/>
      </c>
      <c r="K265" s="6" t="str">
        <f>IF(AND($A265&lt;&gt;"",$B265&lt;&gt;"",$C265&lt;&gt;"",$D265&lt;&gt;"",$E265&lt;&gt;""),IF($C265="WB","Case WB Box "&amp;(INT((COUNTIFS($C$2:$C265,"WB")-1)/81)+1)&amp;": "&amp;CHAR(65+INT(MOD(COUNTIFS($C$2:$C265,"WB")-1,81)/9))&amp;(MOD(COUNTIFS($C$2:$C265,"WB")-1,9)+1),"N/A"),"")</f>
        <v/>
      </c>
      <c r="L265" s="2" t="str">
        <f t="shared" si="73"/>
        <v/>
      </c>
      <c r="M265" s="2"/>
      <c r="N265" s="2"/>
      <c r="O265" s="2"/>
      <c r="P265" s="7" t="str">
        <f t="shared" si="74"/>
        <v/>
      </c>
      <c r="Q265" s="7" t="str">
        <f t="shared" si="75"/>
        <v/>
      </c>
      <c r="R265" s="7" t="str">
        <f t="shared" si="76"/>
        <v/>
      </c>
      <c r="S265" s="7" t="str">
        <f t="shared" si="77"/>
        <v/>
      </c>
      <c r="T265" s="7" t="str">
        <f t="shared" si="78"/>
        <v/>
      </c>
      <c r="U265" s="7" t="str">
        <f t="shared" si="79"/>
        <v/>
      </c>
      <c r="V265" s="7" t="str">
        <f t="shared" si="80"/>
        <v/>
      </c>
      <c r="W265" s="7" t="str">
        <f t="shared" si="81"/>
        <v/>
      </c>
      <c r="X265" s="7" t="str">
        <f t="shared" si="82"/>
        <v/>
      </c>
      <c r="Y265" s="7" t="str">
        <f t="shared" si="83"/>
        <v/>
      </c>
      <c r="Z265">
        <f t="shared" si="84"/>
        <v>0</v>
      </c>
      <c r="AA265" t="str">
        <f t="shared" si="85"/>
        <v/>
      </c>
      <c r="AB265" t="str">
        <f t="shared" si="86"/>
        <v/>
      </c>
      <c r="AC265" t="str">
        <f t="shared" si="87"/>
        <v/>
      </c>
      <c r="AD265" t="str">
        <f t="shared" si="88"/>
        <v/>
      </c>
      <c r="AE265">
        <f t="shared" si="89"/>
        <v>0</v>
      </c>
    </row>
    <row r="266" spans="1:31" ht="15" customHeight="1" x14ac:dyDescent="0.35">
      <c r="A266" s="2"/>
      <c r="B266" s="3"/>
      <c r="C266" s="3"/>
      <c r="D266" s="4"/>
      <c r="E266" s="5"/>
      <c r="F266" s="11" t="str">
        <f t="shared" ca="1" si="72"/>
        <v/>
      </c>
      <c r="G266" s="5"/>
      <c r="H266" s="6" t="str">
        <f>IF(AND($A266&lt;&gt;"",$B266&lt;&gt;"",$C266&lt;&gt;"",$D266&lt;&gt;"",$E266&lt;&gt;""),IF(AND($B266="s",OR($C266="SER",$C266="PLH",$C266="CSF")),"Case CDI Plate "&amp;(INT(((COUNTIFS($B$2:$B266,"s",$C$2:$C266,"SER")+COUNTIFS($B$2:$B266,"s",$C$2:$C266,"PLH")+COUNTIFS($B$2:$B266,"s",$C$2:$C266,"CSF"))-1)/96)+1)&amp;": "&amp;CHAR(65+INT(MOD((COUNTIFS($B$2:$B266,"s",$C$2:$C266,"SER")+COUNTIFS($B$2:$B266,"s",$C$2:$C266,"PLH")+COUNTIFS($B$2:$B266,"s",$C$2:$C266,"CSF"))-1,96)/12))&amp;(MOD((COUNTIFS($B$2:$B266,"s",$C$2:$C266,"SER")+COUNTIFS($B$2:$B266,"s",$C$2:$C266,"PLH")+COUNTIFS($B$2:$B266,"s",$C$2:$C266,"CSF"))-1,12)+1),"N/A"),"")</f>
        <v/>
      </c>
      <c r="I266" s="6" t="str">
        <f>IF(AND($A266&lt;&gt;"",$B266&lt;&gt;"",$C266&lt;&gt;"",$D266&lt;&gt;"",$E266&lt;&gt;""),IF(AND($B266="s",OR($C266="SER",$C266="PLH",$C266="CSF")),"Case NIH Plate "&amp;(INT(((COUNTIFS($B$2:$B266,"s",$C$2:$C266,"SER")+COUNTIFS($B$2:$B266,"s",$C$2:$C266,"PLH")+COUNTIFS($B$2:$B266,"s",$C$2:$C266,"CSF"))-1)/96)+1)&amp;": "&amp;CHAR(65+INT(MOD((COUNTIFS($B$2:$B266,"s",$C$2:$C266,"SER")+COUNTIFS($B$2:$B266,"s",$C$2:$C266,"PLH")+COUNTIFS($B$2:$B266,"s",$C$2:$C266,"CSF"))-1,96)/12))&amp;(MOD((COUNTIFS($B$2:$B266,"s",$C$2:$C266,"SER")+COUNTIFS($B$2:$B266,"s",$C$2:$C266,"PLH")+COUNTIFS($B$2:$B266,"s",$C$2:$C266,"CSF"))-1,12)+1),"N/A"),"")</f>
        <v/>
      </c>
      <c r="J266" s="6" t="str">
        <f>IF(AND($A266&lt;&gt;"",$B266&lt;&gt;"",$C266&lt;&gt;"",$D266&lt;&gt;"",$E266&lt;&gt;""),IF(AND($B266="s",OR($C266="SER",$C266="PLH")),"Case MAX Planck Plate "&amp;(INT(((COUNTIFS($B$2:$B266,"s",$C$2:$C266,"SER")+COUNTIFS($B$2:$B266,"s",$C$2:$C266,"PLH"))-1)/96)+1)&amp;": "&amp;CHAR(65+INT(MOD((COUNTIFS($B$2:$B266,"s",$C$2:$C266,"SER")+COUNTIFS($B$2:$B266,"s",$C$2:$C266,"PLH"))-1,96)/12))&amp;(MOD((COUNTIFS($B$2:$B266,"s",$C$2:$C266,"SER")+COUNTIFS($B$2:$B266,"s",$C$2:$C266,"PLH"))-1,12)+1),"N/A"),"")</f>
        <v/>
      </c>
      <c r="K266" s="6" t="str">
        <f>IF(AND($A266&lt;&gt;"",$B266&lt;&gt;"",$C266&lt;&gt;"",$D266&lt;&gt;"",$E266&lt;&gt;""),IF($C266="WB","Case WB Box "&amp;(INT((COUNTIFS($C$2:$C266,"WB")-1)/81)+1)&amp;": "&amp;CHAR(65+INT(MOD(COUNTIFS($C$2:$C266,"WB")-1,81)/9))&amp;(MOD(COUNTIFS($C$2:$C266,"WB")-1,9)+1),"N/A"),"")</f>
        <v/>
      </c>
      <c r="L266" s="2" t="str">
        <f t="shared" si="73"/>
        <v/>
      </c>
      <c r="M266" s="2"/>
      <c r="N266" s="2"/>
      <c r="O266" s="2"/>
      <c r="P266" s="7" t="str">
        <f t="shared" si="74"/>
        <v/>
      </c>
      <c r="Q266" s="7" t="str">
        <f t="shared" si="75"/>
        <v/>
      </c>
      <c r="R266" s="7" t="str">
        <f t="shared" si="76"/>
        <v/>
      </c>
      <c r="S266" s="7" t="str">
        <f t="shared" si="77"/>
        <v/>
      </c>
      <c r="T266" s="7" t="str">
        <f t="shared" si="78"/>
        <v/>
      </c>
      <c r="U266" s="7" t="str">
        <f t="shared" si="79"/>
        <v/>
      </c>
      <c r="V266" s="7" t="str">
        <f t="shared" si="80"/>
        <v/>
      </c>
      <c r="W266" s="7" t="str">
        <f t="shared" si="81"/>
        <v/>
      </c>
      <c r="X266" s="7" t="str">
        <f t="shared" si="82"/>
        <v/>
      </c>
      <c r="Y266" s="7" t="str">
        <f t="shared" si="83"/>
        <v/>
      </c>
      <c r="Z266">
        <f t="shared" si="84"/>
        <v>0</v>
      </c>
      <c r="AA266" t="str">
        <f t="shared" si="85"/>
        <v/>
      </c>
      <c r="AB266" t="str">
        <f t="shared" si="86"/>
        <v/>
      </c>
      <c r="AC266" t="str">
        <f t="shared" si="87"/>
        <v/>
      </c>
      <c r="AD266" t="str">
        <f t="shared" si="88"/>
        <v/>
      </c>
      <c r="AE266">
        <f t="shared" si="89"/>
        <v>0</v>
      </c>
    </row>
    <row r="267" spans="1:31" ht="15" customHeight="1" x14ac:dyDescent="0.35">
      <c r="A267" s="2"/>
      <c r="B267" s="3"/>
      <c r="C267" s="3"/>
      <c r="D267" s="4"/>
      <c r="E267" s="5"/>
      <c r="F267" s="11" t="str">
        <f t="shared" ca="1" si="72"/>
        <v/>
      </c>
      <c r="G267" s="5"/>
      <c r="H267" s="6" t="str">
        <f>IF(AND($A267&lt;&gt;"",$B267&lt;&gt;"",$C267&lt;&gt;"",$D267&lt;&gt;"",$E267&lt;&gt;""),IF(AND($B267="s",OR($C267="SER",$C267="PLH",$C267="CSF")),"Case CDI Plate "&amp;(INT(((COUNTIFS($B$2:$B267,"s",$C$2:$C267,"SER")+COUNTIFS($B$2:$B267,"s",$C$2:$C267,"PLH")+COUNTIFS($B$2:$B267,"s",$C$2:$C267,"CSF"))-1)/96)+1)&amp;": "&amp;CHAR(65+INT(MOD((COUNTIFS($B$2:$B267,"s",$C$2:$C267,"SER")+COUNTIFS($B$2:$B267,"s",$C$2:$C267,"PLH")+COUNTIFS($B$2:$B267,"s",$C$2:$C267,"CSF"))-1,96)/12))&amp;(MOD((COUNTIFS($B$2:$B267,"s",$C$2:$C267,"SER")+COUNTIFS($B$2:$B267,"s",$C$2:$C267,"PLH")+COUNTIFS($B$2:$B267,"s",$C$2:$C267,"CSF"))-1,12)+1),"N/A"),"")</f>
        <v/>
      </c>
      <c r="I267" s="6" t="str">
        <f>IF(AND($A267&lt;&gt;"",$B267&lt;&gt;"",$C267&lt;&gt;"",$D267&lt;&gt;"",$E267&lt;&gt;""),IF(AND($B267="s",OR($C267="SER",$C267="PLH",$C267="CSF")),"Case NIH Plate "&amp;(INT(((COUNTIFS($B$2:$B267,"s",$C$2:$C267,"SER")+COUNTIFS($B$2:$B267,"s",$C$2:$C267,"PLH")+COUNTIFS($B$2:$B267,"s",$C$2:$C267,"CSF"))-1)/96)+1)&amp;": "&amp;CHAR(65+INT(MOD((COUNTIFS($B$2:$B267,"s",$C$2:$C267,"SER")+COUNTIFS($B$2:$B267,"s",$C$2:$C267,"PLH")+COUNTIFS($B$2:$B267,"s",$C$2:$C267,"CSF"))-1,96)/12))&amp;(MOD((COUNTIFS($B$2:$B267,"s",$C$2:$C267,"SER")+COUNTIFS($B$2:$B267,"s",$C$2:$C267,"PLH")+COUNTIFS($B$2:$B267,"s",$C$2:$C267,"CSF"))-1,12)+1),"N/A"),"")</f>
        <v/>
      </c>
      <c r="J267" s="6" t="str">
        <f>IF(AND($A267&lt;&gt;"",$B267&lt;&gt;"",$C267&lt;&gt;"",$D267&lt;&gt;"",$E267&lt;&gt;""),IF(AND($B267="s",OR($C267="SER",$C267="PLH")),"Case MAX Planck Plate "&amp;(INT(((COUNTIFS($B$2:$B267,"s",$C$2:$C267,"SER")+COUNTIFS($B$2:$B267,"s",$C$2:$C267,"PLH"))-1)/96)+1)&amp;": "&amp;CHAR(65+INT(MOD((COUNTIFS($B$2:$B267,"s",$C$2:$C267,"SER")+COUNTIFS($B$2:$B267,"s",$C$2:$C267,"PLH"))-1,96)/12))&amp;(MOD((COUNTIFS($B$2:$B267,"s",$C$2:$C267,"SER")+COUNTIFS($B$2:$B267,"s",$C$2:$C267,"PLH"))-1,12)+1),"N/A"),"")</f>
        <v/>
      </c>
      <c r="K267" s="6" t="str">
        <f>IF(AND($A267&lt;&gt;"",$B267&lt;&gt;"",$C267&lt;&gt;"",$D267&lt;&gt;"",$E267&lt;&gt;""),IF($C267="WB","Case WB Box "&amp;(INT((COUNTIFS($C$2:$C267,"WB")-1)/81)+1)&amp;": "&amp;CHAR(65+INT(MOD(COUNTIFS($C$2:$C267,"WB")-1,81)/9))&amp;(MOD(COUNTIFS($C$2:$C267,"WB")-1,9)+1),"N/A"),"")</f>
        <v/>
      </c>
      <c r="L267" s="2" t="str">
        <f t="shared" si="73"/>
        <v/>
      </c>
      <c r="M267" s="2"/>
      <c r="N267" s="2"/>
      <c r="O267" s="2"/>
      <c r="P267" s="7" t="str">
        <f t="shared" si="74"/>
        <v/>
      </c>
      <c r="Q267" s="7" t="str">
        <f t="shared" si="75"/>
        <v/>
      </c>
      <c r="R267" s="7" t="str">
        <f t="shared" si="76"/>
        <v/>
      </c>
      <c r="S267" s="7" t="str">
        <f t="shared" si="77"/>
        <v/>
      </c>
      <c r="T267" s="7" t="str">
        <f t="shared" si="78"/>
        <v/>
      </c>
      <c r="U267" s="7" t="str">
        <f t="shared" si="79"/>
        <v/>
      </c>
      <c r="V267" s="7" t="str">
        <f t="shared" si="80"/>
        <v/>
      </c>
      <c r="W267" s="7" t="str">
        <f t="shared" si="81"/>
        <v/>
      </c>
      <c r="X267" s="7" t="str">
        <f t="shared" si="82"/>
        <v/>
      </c>
      <c r="Y267" s="7" t="str">
        <f t="shared" si="83"/>
        <v/>
      </c>
      <c r="Z267">
        <f t="shared" si="84"/>
        <v>0</v>
      </c>
      <c r="AA267" t="str">
        <f t="shared" si="85"/>
        <v/>
      </c>
      <c r="AB267" t="str">
        <f t="shared" si="86"/>
        <v/>
      </c>
      <c r="AC267" t="str">
        <f t="shared" si="87"/>
        <v/>
      </c>
      <c r="AD267" t="str">
        <f t="shared" si="88"/>
        <v/>
      </c>
      <c r="AE267">
        <f t="shared" si="89"/>
        <v>0</v>
      </c>
    </row>
    <row r="268" spans="1:31" ht="15" customHeight="1" x14ac:dyDescent="0.35">
      <c r="A268" s="2"/>
      <c r="B268" s="3"/>
      <c r="C268" s="3"/>
      <c r="D268" s="4"/>
      <c r="E268" s="5"/>
      <c r="F268" s="11" t="str">
        <f t="shared" ca="1" si="72"/>
        <v/>
      </c>
      <c r="G268" s="5"/>
      <c r="H268" s="6" t="str">
        <f>IF(AND($A268&lt;&gt;"",$B268&lt;&gt;"",$C268&lt;&gt;"",$D268&lt;&gt;"",$E268&lt;&gt;""),IF(AND($B268="s",OR($C268="SER",$C268="PLH",$C268="CSF")),"Case CDI Plate "&amp;(INT(((COUNTIFS($B$2:$B268,"s",$C$2:$C268,"SER")+COUNTIFS($B$2:$B268,"s",$C$2:$C268,"PLH")+COUNTIFS($B$2:$B268,"s",$C$2:$C268,"CSF"))-1)/96)+1)&amp;": "&amp;CHAR(65+INT(MOD((COUNTIFS($B$2:$B268,"s",$C$2:$C268,"SER")+COUNTIFS($B$2:$B268,"s",$C$2:$C268,"PLH")+COUNTIFS($B$2:$B268,"s",$C$2:$C268,"CSF"))-1,96)/12))&amp;(MOD((COUNTIFS($B$2:$B268,"s",$C$2:$C268,"SER")+COUNTIFS($B$2:$B268,"s",$C$2:$C268,"PLH")+COUNTIFS($B$2:$B268,"s",$C$2:$C268,"CSF"))-1,12)+1),"N/A"),"")</f>
        <v/>
      </c>
      <c r="I268" s="6" t="str">
        <f>IF(AND($A268&lt;&gt;"",$B268&lt;&gt;"",$C268&lt;&gt;"",$D268&lt;&gt;"",$E268&lt;&gt;""),IF(AND($B268="s",OR($C268="SER",$C268="PLH",$C268="CSF")),"Case NIH Plate "&amp;(INT(((COUNTIFS($B$2:$B268,"s",$C$2:$C268,"SER")+COUNTIFS($B$2:$B268,"s",$C$2:$C268,"PLH")+COUNTIFS($B$2:$B268,"s",$C$2:$C268,"CSF"))-1)/96)+1)&amp;": "&amp;CHAR(65+INT(MOD((COUNTIFS($B$2:$B268,"s",$C$2:$C268,"SER")+COUNTIFS($B$2:$B268,"s",$C$2:$C268,"PLH")+COUNTIFS($B$2:$B268,"s",$C$2:$C268,"CSF"))-1,96)/12))&amp;(MOD((COUNTIFS($B$2:$B268,"s",$C$2:$C268,"SER")+COUNTIFS($B$2:$B268,"s",$C$2:$C268,"PLH")+COUNTIFS($B$2:$B268,"s",$C$2:$C268,"CSF"))-1,12)+1),"N/A"),"")</f>
        <v/>
      </c>
      <c r="J268" s="6" t="str">
        <f>IF(AND($A268&lt;&gt;"",$B268&lt;&gt;"",$C268&lt;&gt;"",$D268&lt;&gt;"",$E268&lt;&gt;""),IF(AND($B268="s",OR($C268="SER",$C268="PLH")),"Case MAX Planck Plate "&amp;(INT(((COUNTIFS($B$2:$B268,"s",$C$2:$C268,"SER")+COUNTIFS($B$2:$B268,"s",$C$2:$C268,"PLH"))-1)/96)+1)&amp;": "&amp;CHAR(65+INT(MOD((COUNTIFS($B$2:$B268,"s",$C$2:$C268,"SER")+COUNTIFS($B$2:$B268,"s",$C$2:$C268,"PLH"))-1,96)/12))&amp;(MOD((COUNTIFS($B$2:$B268,"s",$C$2:$C268,"SER")+COUNTIFS($B$2:$B268,"s",$C$2:$C268,"PLH"))-1,12)+1),"N/A"),"")</f>
        <v/>
      </c>
      <c r="K268" s="6" t="str">
        <f>IF(AND($A268&lt;&gt;"",$B268&lt;&gt;"",$C268&lt;&gt;"",$D268&lt;&gt;"",$E268&lt;&gt;""),IF($C268="WB","Case WB Box "&amp;(INT((COUNTIFS($C$2:$C268,"WB")-1)/81)+1)&amp;": "&amp;CHAR(65+INT(MOD(COUNTIFS($C$2:$C268,"WB")-1,81)/9))&amp;(MOD(COUNTIFS($C$2:$C268,"WB")-1,9)+1),"N/A"),"")</f>
        <v/>
      </c>
      <c r="L268" s="2" t="str">
        <f t="shared" si="73"/>
        <v/>
      </c>
      <c r="M268" s="2"/>
      <c r="N268" s="2"/>
      <c r="O268" s="2"/>
      <c r="P268" s="7" t="str">
        <f t="shared" si="74"/>
        <v/>
      </c>
      <c r="Q268" s="7" t="str">
        <f t="shared" si="75"/>
        <v/>
      </c>
      <c r="R268" s="7" t="str">
        <f t="shared" si="76"/>
        <v/>
      </c>
      <c r="S268" s="7" t="str">
        <f t="shared" si="77"/>
        <v/>
      </c>
      <c r="T268" s="7" t="str">
        <f t="shared" si="78"/>
        <v/>
      </c>
      <c r="U268" s="7" t="str">
        <f t="shared" si="79"/>
        <v/>
      </c>
      <c r="V268" s="7" t="str">
        <f t="shared" si="80"/>
        <v/>
      </c>
      <c r="W268" s="7" t="str">
        <f t="shared" si="81"/>
        <v/>
      </c>
      <c r="X268" s="7" t="str">
        <f t="shared" si="82"/>
        <v/>
      </c>
      <c r="Y268" s="7" t="str">
        <f t="shared" si="83"/>
        <v/>
      </c>
      <c r="Z268">
        <f t="shared" si="84"/>
        <v>0</v>
      </c>
      <c r="AA268" t="str">
        <f t="shared" si="85"/>
        <v/>
      </c>
      <c r="AB268" t="str">
        <f t="shared" si="86"/>
        <v/>
      </c>
      <c r="AC268" t="str">
        <f t="shared" si="87"/>
        <v/>
      </c>
      <c r="AD268" t="str">
        <f t="shared" si="88"/>
        <v/>
      </c>
      <c r="AE268">
        <f t="shared" si="89"/>
        <v>0</v>
      </c>
    </row>
    <row r="269" spans="1:31" ht="15" customHeight="1" x14ac:dyDescent="0.35">
      <c r="A269" s="2"/>
      <c r="B269" s="3"/>
      <c r="C269" s="3"/>
      <c r="D269" s="4"/>
      <c r="E269" s="5"/>
      <c r="F269" s="11" t="str">
        <f t="shared" ca="1" si="72"/>
        <v/>
      </c>
      <c r="G269" s="5"/>
      <c r="H269" s="6" t="str">
        <f>IF(AND($A269&lt;&gt;"",$B269&lt;&gt;"",$C269&lt;&gt;"",$D269&lt;&gt;"",$E269&lt;&gt;""),IF(AND($B269="s",OR($C269="SER",$C269="PLH",$C269="CSF")),"Case CDI Plate "&amp;(INT(((COUNTIFS($B$2:$B269,"s",$C$2:$C269,"SER")+COUNTIFS($B$2:$B269,"s",$C$2:$C269,"PLH")+COUNTIFS($B$2:$B269,"s",$C$2:$C269,"CSF"))-1)/96)+1)&amp;": "&amp;CHAR(65+INT(MOD((COUNTIFS($B$2:$B269,"s",$C$2:$C269,"SER")+COUNTIFS($B$2:$B269,"s",$C$2:$C269,"PLH")+COUNTIFS($B$2:$B269,"s",$C$2:$C269,"CSF"))-1,96)/12))&amp;(MOD((COUNTIFS($B$2:$B269,"s",$C$2:$C269,"SER")+COUNTIFS($B$2:$B269,"s",$C$2:$C269,"PLH")+COUNTIFS($B$2:$B269,"s",$C$2:$C269,"CSF"))-1,12)+1),"N/A"),"")</f>
        <v/>
      </c>
      <c r="I269" s="6" t="str">
        <f>IF(AND($A269&lt;&gt;"",$B269&lt;&gt;"",$C269&lt;&gt;"",$D269&lt;&gt;"",$E269&lt;&gt;""),IF(AND($B269="s",OR($C269="SER",$C269="PLH",$C269="CSF")),"Case NIH Plate "&amp;(INT(((COUNTIFS($B$2:$B269,"s",$C$2:$C269,"SER")+COUNTIFS($B$2:$B269,"s",$C$2:$C269,"PLH")+COUNTIFS($B$2:$B269,"s",$C$2:$C269,"CSF"))-1)/96)+1)&amp;": "&amp;CHAR(65+INT(MOD((COUNTIFS($B$2:$B269,"s",$C$2:$C269,"SER")+COUNTIFS($B$2:$B269,"s",$C$2:$C269,"PLH")+COUNTIFS($B$2:$B269,"s",$C$2:$C269,"CSF"))-1,96)/12))&amp;(MOD((COUNTIFS($B$2:$B269,"s",$C$2:$C269,"SER")+COUNTIFS($B$2:$B269,"s",$C$2:$C269,"PLH")+COUNTIFS($B$2:$B269,"s",$C$2:$C269,"CSF"))-1,12)+1),"N/A"),"")</f>
        <v/>
      </c>
      <c r="J269" s="6" t="str">
        <f>IF(AND($A269&lt;&gt;"",$B269&lt;&gt;"",$C269&lt;&gt;"",$D269&lt;&gt;"",$E269&lt;&gt;""),IF(AND($B269="s",OR($C269="SER",$C269="PLH")),"Case MAX Planck Plate "&amp;(INT(((COUNTIFS($B$2:$B269,"s",$C$2:$C269,"SER")+COUNTIFS($B$2:$B269,"s",$C$2:$C269,"PLH"))-1)/96)+1)&amp;": "&amp;CHAR(65+INT(MOD((COUNTIFS($B$2:$B269,"s",$C$2:$C269,"SER")+COUNTIFS($B$2:$B269,"s",$C$2:$C269,"PLH"))-1,96)/12))&amp;(MOD((COUNTIFS($B$2:$B269,"s",$C$2:$C269,"SER")+COUNTIFS($B$2:$B269,"s",$C$2:$C269,"PLH"))-1,12)+1),"N/A"),"")</f>
        <v/>
      </c>
      <c r="K269" s="6" t="str">
        <f>IF(AND($A269&lt;&gt;"",$B269&lt;&gt;"",$C269&lt;&gt;"",$D269&lt;&gt;"",$E269&lt;&gt;""),IF($C269="WB","Case WB Box "&amp;(INT((COUNTIFS($C$2:$C269,"WB")-1)/81)+1)&amp;": "&amp;CHAR(65+INT(MOD(COUNTIFS($C$2:$C269,"WB")-1,81)/9))&amp;(MOD(COUNTIFS($C$2:$C269,"WB")-1,9)+1),"N/A"),"")</f>
        <v/>
      </c>
      <c r="L269" s="2" t="str">
        <f t="shared" si="73"/>
        <v/>
      </c>
      <c r="M269" s="2"/>
      <c r="N269" s="2"/>
      <c r="O269" s="2"/>
      <c r="P269" s="7" t="str">
        <f t="shared" si="74"/>
        <v/>
      </c>
      <c r="Q269" s="7" t="str">
        <f t="shared" si="75"/>
        <v/>
      </c>
      <c r="R269" s="7" t="str">
        <f t="shared" si="76"/>
        <v/>
      </c>
      <c r="S269" s="7" t="str">
        <f t="shared" si="77"/>
        <v/>
      </c>
      <c r="T269" s="7" t="str">
        <f t="shared" si="78"/>
        <v/>
      </c>
      <c r="U269" s="7" t="str">
        <f t="shared" si="79"/>
        <v/>
      </c>
      <c r="V269" s="7" t="str">
        <f t="shared" si="80"/>
        <v/>
      </c>
      <c r="W269" s="7" t="str">
        <f t="shared" si="81"/>
        <v/>
      </c>
      <c r="X269" s="7" t="str">
        <f t="shared" si="82"/>
        <v/>
      </c>
      <c r="Y269" s="7" t="str">
        <f t="shared" si="83"/>
        <v/>
      </c>
      <c r="Z269">
        <f t="shared" si="84"/>
        <v>0</v>
      </c>
      <c r="AA269" t="str">
        <f t="shared" si="85"/>
        <v/>
      </c>
      <c r="AB269" t="str">
        <f t="shared" si="86"/>
        <v/>
      </c>
      <c r="AC269" t="str">
        <f t="shared" si="87"/>
        <v/>
      </c>
      <c r="AD269" t="str">
        <f t="shared" si="88"/>
        <v/>
      </c>
      <c r="AE269">
        <f t="shared" si="89"/>
        <v>0</v>
      </c>
    </row>
    <row r="270" spans="1:31" ht="15" customHeight="1" x14ac:dyDescent="0.35">
      <c r="A270" s="2"/>
      <c r="B270" s="3"/>
      <c r="C270" s="3"/>
      <c r="D270" s="4"/>
      <c r="E270" s="5"/>
      <c r="F270" s="11" t="str">
        <f t="shared" ca="1" si="72"/>
        <v/>
      </c>
      <c r="G270" s="5"/>
      <c r="H270" s="6" t="str">
        <f>IF(AND($A270&lt;&gt;"",$B270&lt;&gt;"",$C270&lt;&gt;"",$D270&lt;&gt;"",$E270&lt;&gt;""),IF(AND($B270="s",OR($C270="SER",$C270="PLH",$C270="CSF")),"Case CDI Plate "&amp;(INT(((COUNTIFS($B$2:$B270,"s",$C$2:$C270,"SER")+COUNTIFS($B$2:$B270,"s",$C$2:$C270,"PLH")+COUNTIFS($B$2:$B270,"s",$C$2:$C270,"CSF"))-1)/96)+1)&amp;": "&amp;CHAR(65+INT(MOD((COUNTIFS($B$2:$B270,"s",$C$2:$C270,"SER")+COUNTIFS($B$2:$B270,"s",$C$2:$C270,"PLH")+COUNTIFS($B$2:$B270,"s",$C$2:$C270,"CSF"))-1,96)/12))&amp;(MOD((COUNTIFS($B$2:$B270,"s",$C$2:$C270,"SER")+COUNTIFS($B$2:$B270,"s",$C$2:$C270,"PLH")+COUNTIFS($B$2:$B270,"s",$C$2:$C270,"CSF"))-1,12)+1),"N/A"),"")</f>
        <v/>
      </c>
      <c r="I270" s="6" t="str">
        <f>IF(AND($A270&lt;&gt;"",$B270&lt;&gt;"",$C270&lt;&gt;"",$D270&lt;&gt;"",$E270&lt;&gt;""),IF(AND($B270="s",OR($C270="SER",$C270="PLH",$C270="CSF")),"Case NIH Plate "&amp;(INT(((COUNTIFS($B$2:$B270,"s",$C$2:$C270,"SER")+COUNTIFS($B$2:$B270,"s",$C$2:$C270,"PLH")+COUNTIFS($B$2:$B270,"s",$C$2:$C270,"CSF"))-1)/96)+1)&amp;": "&amp;CHAR(65+INT(MOD((COUNTIFS($B$2:$B270,"s",$C$2:$C270,"SER")+COUNTIFS($B$2:$B270,"s",$C$2:$C270,"PLH")+COUNTIFS($B$2:$B270,"s",$C$2:$C270,"CSF"))-1,96)/12))&amp;(MOD((COUNTIFS($B$2:$B270,"s",$C$2:$C270,"SER")+COUNTIFS($B$2:$B270,"s",$C$2:$C270,"PLH")+COUNTIFS($B$2:$B270,"s",$C$2:$C270,"CSF"))-1,12)+1),"N/A"),"")</f>
        <v/>
      </c>
      <c r="J270" s="6" t="str">
        <f>IF(AND($A270&lt;&gt;"",$B270&lt;&gt;"",$C270&lt;&gt;"",$D270&lt;&gt;"",$E270&lt;&gt;""),IF(AND($B270="s",OR($C270="SER",$C270="PLH")),"Case MAX Planck Plate "&amp;(INT(((COUNTIFS($B$2:$B270,"s",$C$2:$C270,"SER")+COUNTIFS($B$2:$B270,"s",$C$2:$C270,"PLH"))-1)/96)+1)&amp;": "&amp;CHAR(65+INT(MOD((COUNTIFS($B$2:$B270,"s",$C$2:$C270,"SER")+COUNTIFS($B$2:$B270,"s",$C$2:$C270,"PLH"))-1,96)/12))&amp;(MOD((COUNTIFS($B$2:$B270,"s",$C$2:$C270,"SER")+COUNTIFS($B$2:$B270,"s",$C$2:$C270,"PLH"))-1,12)+1),"N/A"),"")</f>
        <v/>
      </c>
      <c r="K270" s="6" t="str">
        <f>IF(AND($A270&lt;&gt;"",$B270&lt;&gt;"",$C270&lt;&gt;"",$D270&lt;&gt;"",$E270&lt;&gt;""),IF($C270="WB","Case WB Box "&amp;(INT((COUNTIFS($C$2:$C270,"WB")-1)/81)+1)&amp;": "&amp;CHAR(65+INT(MOD(COUNTIFS($C$2:$C270,"WB")-1,81)/9))&amp;(MOD(COUNTIFS($C$2:$C270,"WB")-1,9)+1),"N/A"),"")</f>
        <v/>
      </c>
      <c r="L270" s="2" t="str">
        <f t="shared" si="73"/>
        <v/>
      </c>
      <c r="M270" s="2"/>
      <c r="N270" s="2"/>
      <c r="O270" s="2"/>
      <c r="P270" s="7" t="str">
        <f t="shared" si="74"/>
        <v/>
      </c>
      <c r="Q270" s="7" t="str">
        <f t="shared" si="75"/>
        <v/>
      </c>
      <c r="R270" s="7" t="str">
        <f t="shared" si="76"/>
        <v/>
      </c>
      <c r="S270" s="7" t="str">
        <f t="shared" si="77"/>
        <v/>
      </c>
      <c r="T270" s="7" t="str">
        <f t="shared" si="78"/>
        <v/>
      </c>
      <c r="U270" s="7" t="str">
        <f t="shared" si="79"/>
        <v/>
      </c>
      <c r="V270" s="7" t="str">
        <f t="shared" si="80"/>
        <v/>
      </c>
      <c r="W270" s="7" t="str">
        <f t="shared" si="81"/>
        <v/>
      </c>
      <c r="X270" s="7" t="str">
        <f t="shared" si="82"/>
        <v/>
      </c>
      <c r="Y270" s="7" t="str">
        <f t="shared" si="83"/>
        <v/>
      </c>
      <c r="Z270">
        <f t="shared" si="84"/>
        <v>0</v>
      </c>
      <c r="AA270" t="str">
        <f t="shared" si="85"/>
        <v/>
      </c>
      <c r="AB270" t="str">
        <f t="shared" si="86"/>
        <v/>
      </c>
      <c r="AC270" t="str">
        <f t="shared" si="87"/>
        <v/>
      </c>
      <c r="AD270" t="str">
        <f t="shared" si="88"/>
        <v/>
      </c>
      <c r="AE270">
        <f t="shared" si="89"/>
        <v>0</v>
      </c>
    </row>
    <row r="271" spans="1:31" ht="15" customHeight="1" x14ac:dyDescent="0.35">
      <c r="A271" s="2"/>
      <c r="B271" s="3"/>
      <c r="C271" s="3"/>
      <c r="D271" s="4"/>
      <c r="E271" s="5"/>
      <c r="F271" s="11" t="str">
        <f t="shared" ca="1" si="72"/>
        <v/>
      </c>
      <c r="G271" s="5"/>
      <c r="H271" s="6" t="str">
        <f>IF(AND($A271&lt;&gt;"",$B271&lt;&gt;"",$C271&lt;&gt;"",$D271&lt;&gt;"",$E271&lt;&gt;""),IF(AND($B271="s",OR($C271="SER",$C271="PLH",$C271="CSF")),"Case CDI Plate "&amp;(INT(((COUNTIFS($B$2:$B271,"s",$C$2:$C271,"SER")+COUNTIFS($B$2:$B271,"s",$C$2:$C271,"PLH")+COUNTIFS($B$2:$B271,"s",$C$2:$C271,"CSF"))-1)/96)+1)&amp;": "&amp;CHAR(65+INT(MOD((COUNTIFS($B$2:$B271,"s",$C$2:$C271,"SER")+COUNTIFS($B$2:$B271,"s",$C$2:$C271,"PLH")+COUNTIFS($B$2:$B271,"s",$C$2:$C271,"CSF"))-1,96)/12))&amp;(MOD((COUNTIFS($B$2:$B271,"s",$C$2:$C271,"SER")+COUNTIFS($B$2:$B271,"s",$C$2:$C271,"PLH")+COUNTIFS($B$2:$B271,"s",$C$2:$C271,"CSF"))-1,12)+1),"N/A"),"")</f>
        <v/>
      </c>
      <c r="I271" s="6" t="str">
        <f>IF(AND($A271&lt;&gt;"",$B271&lt;&gt;"",$C271&lt;&gt;"",$D271&lt;&gt;"",$E271&lt;&gt;""),IF(AND($B271="s",OR($C271="SER",$C271="PLH",$C271="CSF")),"Case NIH Plate "&amp;(INT(((COUNTIFS($B$2:$B271,"s",$C$2:$C271,"SER")+COUNTIFS($B$2:$B271,"s",$C$2:$C271,"PLH")+COUNTIFS($B$2:$B271,"s",$C$2:$C271,"CSF"))-1)/96)+1)&amp;": "&amp;CHAR(65+INT(MOD((COUNTIFS($B$2:$B271,"s",$C$2:$C271,"SER")+COUNTIFS($B$2:$B271,"s",$C$2:$C271,"PLH")+COUNTIFS($B$2:$B271,"s",$C$2:$C271,"CSF"))-1,96)/12))&amp;(MOD((COUNTIFS($B$2:$B271,"s",$C$2:$C271,"SER")+COUNTIFS($B$2:$B271,"s",$C$2:$C271,"PLH")+COUNTIFS($B$2:$B271,"s",$C$2:$C271,"CSF"))-1,12)+1),"N/A"),"")</f>
        <v/>
      </c>
      <c r="J271" s="6" t="str">
        <f>IF(AND($A271&lt;&gt;"",$B271&lt;&gt;"",$C271&lt;&gt;"",$D271&lt;&gt;"",$E271&lt;&gt;""),IF(AND($B271="s",OR($C271="SER",$C271="PLH")),"Case MAX Planck Plate "&amp;(INT(((COUNTIFS($B$2:$B271,"s",$C$2:$C271,"SER")+COUNTIFS($B$2:$B271,"s",$C$2:$C271,"PLH"))-1)/96)+1)&amp;": "&amp;CHAR(65+INT(MOD((COUNTIFS($B$2:$B271,"s",$C$2:$C271,"SER")+COUNTIFS($B$2:$B271,"s",$C$2:$C271,"PLH"))-1,96)/12))&amp;(MOD((COUNTIFS($B$2:$B271,"s",$C$2:$C271,"SER")+COUNTIFS($B$2:$B271,"s",$C$2:$C271,"PLH"))-1,12)+1),"N/A"),"")</f>
        <v/>
      </c>
      <c r="K271" s="6" t="str">
        <f>IF(AND($A271&lt;&gt;"",$B271&lt;&gt;"",$C271&lt;&gt;"",$D271&lt;&gt;"",$E271&lt;&gt;""),IF($C271="WB","Case WB Box "&amp;(INT((COUNTIFS($C$2:$C271,"WB")-1)/81)+1)&amp;": "&amp;CHAR(65+INT(MOD(COUNTIFS($C$2:$C271,"WB")-1,81)/9))&amp;(MOD(COUNTIFS($C$2:$C271,"WB")-1,9)+1),"N/A"),"")</f>
        <v/>
      </c>
      <c r="L271" s="2" t="str">
        <f t="shared" si="73"/>
        <v/>
      </c>
      <c r="M271" s="2"/>
      <c r="N271" s="2"/>
      <c r="O271" s="2"/>
      <c r="P271" s="7" t="str">
        <f t="shared" si="74"/>
        <v/>
      </c>
      <c r="Q271" s="7" t="str">
        <f t="shared" si="75"/>
        <v/>
      </c>
      <c r="R271" s="7" t="str">
        <f t="shared" si="76"/>
        <v/>
      </c>
      <c r="S271" s="7" t="str">
        <f t="shared" si="77"/>
        <v/>
      </c>
      <c r="T271" s="7" t="str">
        <f t="shared" si="78"/>
        <v/>
      </c>
      <c r="U271" s="7" t="str">
        <f t="shared" si="79"/>
        <v/>
      </c>
      <c r="V271" s="7" t="str">
        <f t="shared" si="80"/>
        <v/>
      </c>
      <c r="W271" s="7" t="str">
        <f t="shared" si="81"/>
        <v/>
      </c>
      <c r="X271" s="7" t="str">
        <f t="shared" si="82"/>
        <v/>
      </c>
      <c r="Y271" s="7" t="str">
        <f t="shared" si="83"/>
        <v/>
      </c>
      <c r="Z271">
        <f t="shared" si="84"/>
        <v>0</v>
      </c>
      <c r="AA271" t="str">
        <f t="shared" si="85"/>
        <v/>
      </c>
      <c r="AB271" t="str">
        <f t="shared" si="86"/>
        <v/>
      </c>
      <c r="AC271" t="str">
        <f t="shared" si="87"/>
        <v/>
      </c>
      <c r="AD271" t="str">
        <f t="shared" si="88"/>
        <v/>
      </c>
      <c r="AE271">
        <f t="shared" si="89"/>
        <v>0</v>
      </c>
    </row>
    <row r="272" spans="1:31" ht="15" customHeight="1" x14ac:dyDescent="0.35">
      <c r="A272" s="2"/>
      <c r="B272" s="3"/>
      <c r="C272" s="3"/>
      <c r="D272" s="4"/>
      <c r="E272" s="5"/>
      <c r="F272" s="11" t="str">
        <f t="shared" ca="1" si="72"/>
        <v/>
      </c>
      <c r="G272" s="5"/>
      <c r="H272" s="6" t="str">
        <f>IF(AND($A272&lt;&gt;"",$B272&lt;&gt;"",$C272&lt;&gt;"",$D272&lt;&gt;"",$E272&lt;&gt;""),IF(AND($B272="s",OR($C272="SER",$C272="PLH",$C272="CSF")),"Case CDI Plate "&amp;(INT(((COUNTIFS($B$2:$B272,"s",$C$2:$C272,"SER")+COUNTIFS($B$2:$B272,"s",$C$2:$C272,"PLH")+COUNTIFS($B$2:$B272,"s",$C$2:$C272,"CSF"))-1)/96)+1)&amp;": "&amp;CHAR(65+INT(MOD((COUNTIFS($B$2:$B272,"s",$C$2:$C272,"SER")+COUNTIFS($B$2:$B272,"s",$C$2:$C272,"PLH")+COUNTIFS($B$2:$B272,"s",$C$2:$C272,"CSF"))-1,96)/12))&amp;(MOD((COUNTIFS($B$2:$B272,"s",$C$2:$C272,"SER")+COUNTIFS($B$2:$B272,"s",$C$2:$C272,"PLH")+COUNTIFS($B$2:$B272,"s",$C$2:$C272,"CSF"))-1,12)+1),"N/A"),"")</f>
        <v/>
      </c>
      <c r="I272" s="6" t="str">
        <f>IF(AND($A272&lt;&gt;"",$B272&lt;&gt;"",$C272&lt;&gt;"",$D272&lt;&gt;"",$E272&lt;&gt;""),IF(AND($B272="s",OR($C272="SER",$C272="PLH",$C272="CSF")),"Case NIH Plate "&amp;(INT(((COUNTIFS($B$2:$B272,"s",$C$2:$C272,"SER")+COUNTIFS($B$2:$B272,"s",$C$2:$C272,"PLH")+COUNTIFS($B$2:$B272,"s",$C$2:$C272,"CSF"))-1)/96)+1)&amp;": "&amp;CHAR(65+INT(MOD((COUNTIFS($B$2:$B272,"s",$C$2:$C272,"SER")+COUNTIFS($B$2:$B272,"s",$C$2:$C272,"PLH")+COUNTIFS($B$2:$B272,"s",$C$2:$C272,"CSF"))-1,96)/12))&amp;(MOD((COUNTIFS($B$2:$B272,"s",$C$2:$C272,"SER")+COUNTIFS($B$2:$B272,"s",$C$2:$C272,"PLH")+COUNTIFS($B$2:$B272,"s",$C$2:$C272,"CSF"))-1,12)+1),"N/A"),"")</f>
        <v/>
      </c>
      <c r="J272" s="6" t="str">
        <f>IF(AND($A272&lt;&gt;"",$B272&lt;&gt;"",$C272&lt;&gt;"",$D272&lt;&gt;"",$E272&lt;&gt;""),IF(AND($B272="s",OR($C272="SER",$C272="PLH")),"Case MAX Planck Plate "&amp;(INT(((COUNTIFS($B$2:$B272,"s",$C$2:$C272,"SER")+COUNTIFS($B$2:$B272,"s",$C$2:$C272,"PLH"))-1)/96)+1)&amp;": "&amp;CHAR(65+INT(MOD((COUNTIFS($B$2:$B272,"s",$C$2:$C272,"SER")+COUNTIFS($B$2:$B272,"s",$C$2:$C272,"PLH"))-1,96)/12))&amp;(MOD((COUNTIFS($B$2:$B272,"s",$C$2:$C272,"SER")+COUNTIFS($B$2:$B272,"s",$C$2:$C272,"PLH"))-1,12)+1),"N/A"),"")</f>
        <v/>
      </c>
      <c r="K272" s="6" t="str">
        <f>IF(AND($A272&lt;&gt;"",$B272&lt;&gt;"",$C272&lt;&gt;"",$D272&lt;&gt;"",$E272&lt;&gt;""),IF($C272="WB","Case WB Box "&amp;(INT((COUNTIFS($C$2:$C272,"WB")-1)/81)+1)&amp;": "&amp;CHAR(65+INT(MOD(COUNTIFS($C$2:$C272,"WB")-1,81)/9))&amp;(MOD(COUNTIFS($C$2:$C272,"WB")-1,9)+1),"N/A"),"")</f>
        <v/>
      </c>
      <c r="L272" s="2" t="str">
        <f t="shared" si="73"/>
        <v/>
      </c>
      <c r="M272" s="2"/>
      <c r="N272" s="2"/>
      <c r="O272" s="2"/>
      <c r="P272" s="7" t="str">
        <f t="shared" si="74"/>
        <v/>
      </c>
      <c r="Q272" s="7" t="str">
        <f t="shared" si="75"/>
        <v/>
      </c>
      <c r="R272" s="7" t="str">
        <f t="shared" si="76"/>
        <v/>
      </c>
      <c r="S272" s="7" t="str">
        <f t="shared" si="77"/>
        <v/>
      </c>
      <c r="T272" s="7" t="str">
        <f t="shared" si="78"/>
        <v/>
      </c>
      <c r="U272" s="7" t="str">
        <f t="shared" si="79"/>
        <v/>
      </c>
      <c r="V272" s="7" t="str">
        <f t="shared" si="80"/>
        <v/>
      </c>
      <c r="W272" s="7" t="str">
        <f t="shared" si="81"/>
        <v/>
      </c>
      <c r="X272" s="7" t="str">
        <f t="shared" si="82"/>
        <v/>
      </c>
      <c r="Y272" s="7" t="str">
        <f t="shared" si="83"/>
        <v/>
      </c>
      <c r="Z272">
        <f t="shared" si="84"/>
        <v>0</v>
      </c>
      <c r="AA272" t="str">
        <f t="shared" si="85"/>
        <v/>
      </c>
      <c r="AB272" t="str">
        <f t="shared" si="86"/>
        <v/>
      </c>
      <c r="AC272" t="str">
        <f t="shared" si="87"/>
        <v/>
      </c>
      <c r="AD272" t="str">
        <f t="shared" si="88"/>
        <v/>
      </c>
      <c r="AE272">
        <f t="shared" si="89"/>
        <v>0</v>
      </c>
    </row>
    <row r="273" spans="1:31" ht="15" customHeight="1" x14ac:dyDescent="0.35">
      <c r="A273" s="2"/>
      <c r="B273" s="3"/>
      <c r="C273" s="3"/>
      <c r="D273" s="4"/>
      <c r="E273" s="5"/>
      <c r="F273" s="11" t="str">
        <f t="shared" ca="1" si="72"/>
        <v/>
      </c>
      <c r="G273" s="5"/>
      <c r="H273" s="6" t="str">
        <f>IF(AND($A273&lt;&gt;"",$B273&lt;&gt;"",$C273&lt;&gt;"",$D273&lt;&gt;"",$E273&lt;&gt;""),IF(AND($B273="s",OR($C273="SER",$C273="PLH",$C273="CSF")),"Case CDI Plate "&amp;(INT(((COUNTIFS($B$2:$B273,"s",$C$2:$C273,"SER")+COUNTIFS($B$2:$B273,"s",$C$2:$C273,"PLH")+COUNTIFS($B$2:$B273,"s",$C$2:$C273,"CSF"))-1)/96)+1)&amp;": "&amp;CHAR(65+INT(MOD((COUNTIFS($B$2:$B273,"s",$C$2:$C273,"SER")+COUNTIFS($B$2:$B273,"s",$C$2:$C273,"PLH")+COUNTIFS($B$2:$B273,"s",$C$2:$C273,"CSF"))-1,96)/12))&amp;(MOD((COUNTIFS($B$2:$B273,"s",$C$2:$C273,"SER")+COUNTIFS($B$2:$B273,"s",$C$2:$C273,"PLH")+COUNTIFS($B$2:$B273,"s",$C$2:$C273,"CSF"))-1,12)+1),"N/A"),"")</f>
        <v/>
      </c>
      <c r="I273" s="6" t="str">
        <f>IF(AND($A273&lt;&gt;"",$B273&lt;&gt;"",$C273&lt;&gt;"",$D273&lt;&gt;"",$E273&lt;&gt;""),IF(AND($B273="s",OR($C273="SER",$C273="PLH",$C273="CSF")),"Case NIH Plate "&amp;(INT(((COUNTIFS($B$2:$B273,"s",$C$2:$C273,"SER")+COUNTIFS($B$2:$B273,"s",$C$2:$C273,"PLH")+COUNTIFS($B$2:$B273,"s",$C$2:$C273,"CSF"))-1)/96)+1)&amp;": "&amp;CHAR(65+INT(MOD((COUNTIFS($B$2:$B273,"s",$C$2:$C273,"SER")+COUNTIFS($B$2:$B273,"s",$C$2:$C273,"PLH")+COUNTIFS($B$2:$B273,"s",$C$2:$C273,"CSF"))-1,96)/12))&amp;(MOD((COUNTIFS($B$2:$B273,"s",$C$2:$C273,"SER")+COUNTIFS($B$2:$B273,"s",$C$2:$C273,"PLH")+COUNTIFS($B$2:$B273,"s",$C$2:$C273,"CSF"))-1,12)+1),"N/A"),"")</f>
        <v/>
      </c>
      <c r="J273" s="6" t="str">
        <f>IF(AND($A273&lt;&gt;"",$B273&lt;&gt;"",$C273&lt;&gt;"",$D273&lt;&gt;"",$E273&lt;&gt;""),IF(AND($B273="s",OR($C273="SER",$C273="PLH")),"Case MAX Planck Plate "&amp;(INT(((COUNTIFS($B$2:$B273,"s",$C$2:$C273,"SER")+COUNTIFS($B$2:$B273,"s",$C$2:$C273,"PLH"))-1)/96)+1)&amp;": "&amp;CHAR(65+INT(MOD((COUNTIFS($B$2:$B273,"s",$C$2:$C273,"SER")+COUNTIFS($B$2:$B273,"s",$C$2:$C273,"PLH"))-1,96)/12))&amp;(MOD((COUNTIFS($B$2:$B273,"s",$C$2:$C273,"SER")+COUNTIFS($B$2:$B273,"s",$C$2:$C273,"PLH"))-1,12)+1),"N/A"),"")</f>
        <v/>
      </c>
      <c r="K273" s="6" t="str">
        <f>IF(AND($A273&lt;&gt;"",$B273&lt;&gt;"",$C273&lt;&gt;"",$D273&lt;&gt;"",$E273&lt;&gt;""),IF($C273="WB","Case WB Box "&amp;(INT((COUNTIFS($C$2:$C273,"WB")-1)/81)+1)&amp;": "&amp;CHAR(65+INT(MOD(COUNTIFS($C$2:$C273,"WB")-1,81)/9))&amp;(MOD(COUNTIFS($C$2:$C273,"WB")-1,9)+1),"N/A"),"")</f>
        <v/>
      </c>
      <c r="L273" s="2" t="str">
        <f t="shared" si="73"/>
        <v/>
      </c>
      <c r="M273" s="2"/>
      <c r="N273" s="2"/>
      <c r="O273" s="2"/>
      <c r="P273" s="7" t="str">
        <f t="shared" si="74"/>
        <v/>
      </c>
      <c r="Q273" s="7" t="str">
        <f t="shared" si="75"/>
        <v/>
      </c>
      <c r="R273" s="7" t="str">
        <f t="shared" si="76"/>
        <v/>
      </c>
      <c r="S273" s="7" t="str">
        <f t="shared" si="77"/>
        <v/>
      </c>
      <c r="T273" s="7" t="str">
        <f t="shared" si="78"/>
        <v/>
      </c>
      <c r="U273" s="7" t="str">
        <f t="shared" si="79"/>
        <v/>
      </c>
      <c r="V273" s="7" t="str">
        <f t="shared" si="80"/>
        <v/>
      </c>
      <c r="W273" s="7" t="str">
        <f t="shared" si="81"/>
        <v/>
      </c>
      <c r="X273" s="7" t="str">
        <f t="shared" si="82"/>
        <v/>
      </c>
      <c r="Y273" s="7" t="str">
        <f t="shared" si="83"/>
        <v/>
      </c>
      <c r="Z273">
        <f t="shared" si="84"/>
        <v>0</v>
      </c>
      <c r="AA273" t="str">
        <f t="shared" si="85"/>
        <v/>
      </c>
      <c r="AB273" t="str">
        <f t="shared" si="86"/>
        <v/>
      </c>
      <c r="AC273" t="str">
        <f t="shared" si="87"/>
        <v/>
      </c>
      <c r="AD273" t="str">
        <f t="shared" si="88"/>
        <v/>
      </c>
      <c r="AE273">
        <f t="shared" si="89"/>
        <v>0</v>
      </c>
    </row>
    <row r="274" spans="1:31" ht="15" customHeight="1" x14ac:dyDescent="0.35">
      <c r="A274" s="2"/>
      <c r="B274" s="3"/>
      <c r="C274" s="3"/>
      <c r="D274" s="4"/>
      <c r="E274" s="5"/>
      <c r="F274" s="11" t="str">
        <f t="shared" ca="1" si="72"/>
        <v/>
      </c>
      <c r="G274" s="5"/>
      <c r="H274" s="6" t="str">
        <f>IF(AND($A274&lt;&gt;"",$B274&lt;&gt;"",$C274&lt;&gt;"",$D274&lt;&gt;"",$E274&lt;&gt;""),IF(AND($B274="s",OR($C274="SER",$C274="PLH",$C274="CSF")),"Case CDI Plate "&amp;(INT(((COUNTIFS($B$2:$B274,"s",$C$2:$C274,"SER")+COUNTIFS($B$2:$B274,"s",$C$2:$C274,"PLH")+COUNTIFS($B$2:$B274,"s",$C$2:$C274,"CSF"))-1)/96)+1)&amp;": "&amp;CHAR(65+INT(MOD((COUNTIFS($B$2:$B274,"s",$C$2:$C274,"SER")+COUNTIFS($B$2:$B274,"s",$C$2:$C274,"PLH")+COUNTIFS($B$2:$B274,"s",$C$2:$C274,"CSF"))-1,96)/12))&amp;(MOD((COUNTIFS($B$2:$B274,"s",$C$2:$C274,"SER")+COUNTIFS($B$2:$B274,"s",$C$2:$C274,"PLH")+COUNTIFS($B$2:$B274,"s",$C$2:$C274,"CSF"))-1,12)+1),"N/A"),"")</f>
        <v/>
      </c>
      <c r="I274" s="6" t="str">
        <f>IF(AND($A274&lt;&gt;"",$B274&lt;&gt;"",$C274&lt;&gt;"",$D274&lt;&gt;"",$E274&lt;&gt;""),IF(AND($B274="s",OR($C274="SER",$C274="PLH",$C274="CSF")),"Case NIH Plate "&amp;(INT(((COUNTIFS($B$2:$B274,"s",$C$2:$C274,"SER")+COUNTIFS($B$2:$B274,"s",$C$2:$C274,"PLH")+COUNTIFS($B$2:$B274,"s",$C$2:$C274,"CSF"))-1)/96)+1)&amp;": "&amp;CHAR(65+INT(MOD((COUNTIFS($B$2:$B274,"s",$C$2:$C274,"SER")+COUNTIFS($B$2:$B274,"s",$C$2:$C274,"PLH")+COUNTIFS($B$2:$B274,"s",$C$2:$C274,"CSF"))-1,96)/12))&amp;(MOD((COUNTIFS($B$2:$B274,"s",$C$2:$C274,"SER")+COUNTIFS($B$2:$B274,"s",$C$2:$C274,"PLH")+COUNTIFS($B$2:$B274,"s",$C$2:$C274,"CSF"))-1,12)+1),"N/A"),"")</f>
        <v/>
      </c>
      <c r="J274" s="6" t="str">
        <f>IF(AND($A274&lt;&gt;"",$B274&lt;&gt;"",$C274&lt;&gt;"",$D274&lt;&gt;"",$E274&lt;&gt;""),IF(AND($B274="s",OR($C274="SER",$C274="PLH")),"Case MAX Planck Plate "&amp;(INT(((COUNTIFS($B$2:$B274,"s",$C$2:$C274,"SER")+COUNTIFS($B$2:$B274,"s",$C$2:$C274,"PLH"))-1)/96)+1)&amp;": "&amp;CHAR(65+INT(MOD((COUNTIFS($B$2:$B274,"s",$C$2:$C274,"SER")+COUNTIFS($B$2:$B274,"s",$C$2:$C274,"PLH"))-1,96)/12))&amp;(MOD((COUNTIFS($B$2:$B274,"s",$C$2:$C274,"SER")+COUNTIFS($B$2:$B274,"s",$C$2:$C274,"PLH"))-1,12)+1),"N/A"),"")</f>
        <v/>
      </c>
      <c r="K274" s="6" t="str">
        <f>IF(AND($A274&lt;&gt;"",$B274&lt;&gt;"",$C274&lt;&gt;"",$D274&lt;&gt;"",$E274&lt;&gt;""),IF($C274="WB","Case WB Box "&amp;(INT((COUNTIFS($C$2:$C274,"WB")-1)/81)+1)&amp;": "&amp;CHAR(65+INT(MOD(COUNTIFS($C$2:$C274,"WB")-1,81)/9))&amp;(MOD(COUNTIFS($C$2:$C274,"WB")-1,9)+1),"N/A"),"")</f>
        <v/>
      </c>
      <c r="L274" s="2" t="str">
        <f t="shared" si="73"/>
        <v/>
      </c>
      <c r="M274" s="2"/>
      <c r="N274" s="2"/>
      <c r="O274" s="2"/>
      <c r="P274" s="7" t="str">
        <f t="shared" si="74"/>
        <v/>
      </c>
      <c r="Q274" s="7" t="str">
        <f t="shared" si="75"/>
        <v/>
      </c>
      <c r="R274" s="7" t="str">
        <f t="shared" si="76"/>
        <v/>
      </c>
      <c r="S274" s="7" t="str">
        <f t="shared" si="77"/>
        <v/>
      </c>
      <c r="T274" s="7" t="str">
        <f t="shared" si="78"/>
        <v/>
      </c>
      <c r="U274" s="7" t="str">
        <f t="shared" si="79"/>
        <v/>
      </c>
      <c r="V274" s="7" t="str">
        <f t="shared" si="80"/>
        <v/>
      </c>
      <c r="W274" s="7" t="str">
        <f t="shared" si="81"/>
        <v/>
      </c>
      <c r="X274" s="7" t="str">
        <f t="shared" si="82"/>
        <v/>
      </c>
      <c r="Y274" s="7" t="str">
        <f t="shared" si="83"/>
        <v/>
      </c>
      <c r="Z274">
        <f t="shared" si="84"/>
        <v>0</v>
      </c>
      <c r="AA274" t="str">
        <f t="shared" si="85"/>
        <v/>
      </c>
      <c r="AB274" t="str">
        <f t="shared" si="86"/>
        <v/>
      </c>
      <c r="AC274" t="str">
        <f t="shared" si="87"/>
        <v/>
      </c>
      <c r="AD274" t="str">
        <f t="shared" si="88"/>
        <v/>
      </c>
      <c r="AE274">
        <f t="shared" si="89"/>
        <v>0</v>
      </c>
    </row>
    <row r="275" spans="1:31" ht="15" customHeight="1" x14ac:dyDescent="0.35">
      <c r="A275" s="2"/>
      <c r="B275" s="3"/>
      <c r="C275" s="3"/>
      <c r="D275" s="4"/>
      <c r="E275" s="5"/>
      <c r="F275" s="11" t="str">
        <f t="shared" ca="1" si="72"/>
        <v/>
      </c>
      <c r="G275" s="5"/>
      <c r="H275" s="6" t="str">
        <f>IF(AND($A275&lt;&gt;"",$B275&lt;&gt;"",$C275&lt;&gt;"",$D275&lt;&gt;"",$E275&lt;&gt;""),IF(AND($B275="s",OR($C275="SER",$C275="PLH",$C275="CSF")),"Case CDI Plate "&amp;(INT(((COUNTIFS($B$2:$B275,"s",$C$2:$C275,"SER")+COUNTIFS($B$2:$B275,"s",$C$2:$C275,"PLH")+COUNTIFS($B$2:$B275,"s",$C$2:$C275,"CSF"))-1)/96)+1)&amp;": "&amp;CHAR(65+INT(MOD((COUNTIFS($B$2:$B275,"s",$C$2:$C275,"SER")+COUNTIFS($B$2:$B275,"s",$C$2:$C275,"PLH")+COUNTIFS($B$2:$B275,"s",$C$2:$C275,"CSF"))-1,96)/12))&amp;(MOD((COUNTIFS($B$2:$B275,"s",$C$2:$C275,"SER")+COUNTIFS($B$2:$B275,"s",$C$2:$C275,"PLH")+COUNTIFS($B$2:$B275,"s",$C$2:$C275,"CSF"))-1,12)+1),"N/A"),"")</f>
        <v/>
      </c>
      <c r="I275" s="6" t="str">
        <f>IF(AND($A275&lt;&gt;"",$B275&lt;&gt;"",$C275&lt;&gt;"",$D275&lt;&gt;"",$E275&lt;&gt;""),IF(AND($B275="s",OR($C275="SER",$C275="PLH",$C275="CSF")),"Case NIH Plate "&amp;(INT(((COUNTIFS($B$2:$B275,"s",$C$2:$C275,"SER")+COUNTIFS($B$2:$B275,"s",$C$2:$C275,"PLH")+COUNTIFS($B$2:$B275,"s",$C$2:$C275,"CSF"))-1)/96)+1)&amp;": "&amp;CHAR(65+INT(MOD((COUNTIFS($B$2:$B275,"s",$C$2:$C275,"SER")+COUNTIFS($B$2:$B275,"s",$C$2:$C275,"PLH")+COUNTIFS($B$2:$B275,"s",$C$2:$C275,"CSF"))-1,96)/12))&amp;(MOD((COUNTIFS($B$2:$B275,"s",$C$2:$C275,"SER")+COUNTIFS($B$2:$B275,"s",$C$2:$C275,"PLH")+COUNTIFS($B$2:$B275,"s",$C$2:$C275,"CSF"))-1,12)+1),"N/A"),"")</f>
        <v/>
      </c>
      <c r="J275" s="6" t="str">
        <f>IF(AND($A275&lt;&gt;"",$B275&lt;&gt;"",$C275&lt;&gt;"",$D275&lt;&gt;"",$E275&lt;&gt;""),IF(AND($B275="s",OR($C275="SER",$C275="PLH")),"Case MAX Planck Plate "&amp;(INT(((COUNTIFS($B$2:$B275,"s",$C$2:$C275,"SER")+COUNTIFS($B$2:$B275,"s",$C$2:$C275,"PLH"))-1)/96)+1)&amp;": "&amp;CHAR(65+INT(MOD((COUNTIFS($B$2:$B275,"s",$C$2:$C275,"SER")+COUNTIFS($B$2:$B275,"s",$C$2:$C275,"PLH"))-1,96)/12))&amp;(MOD((COUNTIFS($B$2:$B275,"s",$C$2:$C275,"SER")+COUNTIFS($B$2:$B275,"s",$C$2:$C275,"PLH"))-1,12)+1),"N/A"),"")</f>
        <v/>
      </c>
      <c r="K275" s="6" t="str">
        <f>IF(AND($A275&lt;&gt;"",$B275&lt;&gt;"",$C275&lt;&gt;"",$D275&lt;&gt;"",$E275&lt;&gt;""),IF($C275="WB","Case WB Box "&amp;(INT((COUNTIFS($C$2:$C275,"WB")-1)/81)+1)&amp;": "&amp;CHAR(65+INT(MOD(COUNTIFS($C$2:$C275,"WB")-1,81)/9))&amp;(MOD(COUNTIFS($C$2:$C275,"WB")-1,9)+1),"N/A"),"")</f>
        <v/>
      </c>
      <c r="L275" s="2" t="str">
        <f t="shared" si="73"/>
        <v/>
      </c>
      <c r="M275" s="2"/>
      <c r="N275" s="2"/>
      <c r="O275" s="2"/>
      <c r="P275" s="7" t="str">
        <f t="shared" si="74"/>
        <v/>
      </c>
      <c r="Q275" s="7" t="str">
        <f t="shared" si="75"/>
        <v/>
      </c>
      <c r="R275" s="7" t="str">
        <f t="shared" si="76"/>
        <v/>
      </c>
      <c r="S275" s="7" t="str">
        <f t="shared" si="77"/>
        <v/>
      </c>
      <c r="T275" s="7" t="str">
        <f t="shared" si="78"/>
        <v/>
      </c>
      <c r="U275" s="7" t="str">
        <f t="shared" si="79"/>
        <v/>
      </c>
      <c r="V275" s="7" t="str">
        <f t="shared" si="80"/>
        <v/>
      </c>
      <c r="W275" s="7" t="str">
        <f t="shared" si="81"/>
        <v/>
      </c>
      <c r="X275" s="7" t="str">
        <f t="shared" si="82"/>
        <v/>
      </c>
      <c r="Y275" s="7" t="str">
        <f t="shared" si="83"/>
        <v/>
      </c>
      <c r="Z275">
        <f t="shared" si="84"/>
        <v>0</v>
      </c>
      <c r="AA275" t="str">
        <f t="shared" si="85"/>
        <v/>
      </c>
      <c r="AB275" t="str">
        <f t="shared" si="86"/>
        <v/>
      </c>
      <c r="AC275" t="str">
        <f t="shared" si="87"/>
        <v/>
      </c>
      <c r="AD275" t="str">
        <f t="shared" si="88"/>
        <v/>
      </c>
      <c r="AE275">
        <f t="shared" si="89"/>
        <v>0</v>
      </c>
    </row>
    <row r="276" spans="1:31" ht="15" customHeight="1" x14ac:dyDescent="0.35">
      <c r="A276" s="2"/>
      <c r="B276" s="3"/>
      <c r="C276" s="3"/>
      <c r="D276" s="4"/>
      <c r="E276" s="5"/>
      <c r="F276" s="11" t="str">
        <f t="shared" ca="1" si="72"/>
        <v/>
      </c>
      <c r="G276" s="5"/>
      <c r="H276" s="6" t="str">
        <f>IF(AND($A276&lt;&gt;"",$B276&lt;&gt;"",$C276&lt;&gt;"",$D276&lt;&gt;"",$E276&lt;&gt;""),IF(AND($B276="s",OR($C276="SER",$C276="PLH",$C276="CSF")),"Case CDI Plate "&amp;(INT(((COUNTIFS($B$2:$B276,"s",$C$2:$C276,"SER")+COUNTIFS($B$2:$B276,"s",$C$2:$C276,"PLH")+COUNTIFS($B$2:$B276,"s",$C$2:$C276,"CSF"))-1)/96)+1)&amp;": "&amp;CHAR(65+INT(MOD((COUNTIFS($B$2:$B276,"s",$C$2:$C276,"SER")+COUNTIFS($B$2:$B276,"s",$C$2:$C276,"PLH")+COUNTIFS($B$2:$B276,"s",$C$2:$C276,"CSF"))-1,96)/12))&amp;(MOD((COUNTIFS($B$2:$B276,"s",$C$2:$C276,"SER")+COUNTIFS($B$2:$B276,"s",$C$2:$C276,"PLH")+COUNTIFS($B$2:$B276,"s",$C$2:$C276,"CSF"))-1,12)+1),"N/A"),"")</f>
        <v/>
      </c>
      <c r="I276" s="6" t="str">
        <f>IF(AND($A276&lt;&gt;"",$B276&lt;&gt;"",$C276&lt;&gt;"",$D276&lt;&gt;"",$E276&lt;&gt;""),IF(AND($B276="s",OR($C276="SER",$C276="PLH",$C276="CSF")),"Case NIH Plate "&amp;(INT(((COUNTIFS($B$2:$B276,"s",$C$2:$C276,"SER")+COUNTIFS($B$2:$B276,"s",$C$2:$C276,"PLH")+COUNTIFS($B$2:$B276,"s",$C$2:$C276,"CSF"))-1)/96)+1)&amp;": "&amp;CHAR(65+INT(MOD((COUNTIFS($B$2:$B276,"s",$C$2:$C276,"SER")+COUNTIFS($B$2:$B276,"s",$C$2:$C276,"PLH")+COUNTIFS($B$2:$B276,"s",$C$2:$C276,"CSF"))-1,96)/12))&amp;(MOD((COUNTIFS($B$2:$B276,"s",$C$2:$C276,"SER")+COUNTIFS($B$2:$B276,"s",$C$2:$C276,"PLH")+COUNTIFS($B$2:$B276,"s",$C$2:$C276,"CSF"))-1,12)+1),"N/A"),"")</f>
        <v/>
      </c>
      <c r="J276" s="6" t="str">
        <f>IF(AND($A276&lt;&gt;"",$B276&lt;&gt;"",$C276&lt;&gt;"",$D276&lt;&gt;"",$E276&lt;&gt;""),IF(AND($B276="s",OR($C276="SER",$C276="PLH")),"Case MAX Planck Plate "&amp;(INT(((COUNTIFS($B$2:$B276,"s",$C$2:$C276,"SER")+COUNTIFS($B$2:$B276,"s",$C$2:$C276,"PLH"))-1)/96)+1)&amp;": "&amp;CHAR(65+INT(MOD((COUNTIFS($B$2:$B276,"s",$C$2:$C276,"SER")+COUNTIFS($B$2:$B276,"s",$C$2:$C276,"PLH"))-1,96)/12))&amp;(MOD((COUNTIFS($B$2:$B276,"s",$C$2:$C276,"SER")+COUNTIFS($B$2:$B276,"s",$C$2:$C276,"PLH"))-1,12)+1),"N/A"),"")</f>
        <v/>
      </c>
      <c r="K276" s="6" t="str">
        <f>IF(AND($A276&lt;&gt;"",$B276&lt;&gt;"",$C276&lt;&gt;"",$D276&lt;&gt;"",$E276&lt;&gt;""),IF($C276="WB","Case WB Box "&amp;(INT((COUNTIFS($C$2:$C276,"WB")-1)/81)+1)&amp;": "&amp;CHAR(65+INT(MOD(COUNTIFS($C$2:$C276,"WB")-1,81)/9))&amp;(MOD(COUNTIFS($C$2:$C276,"WB")-1,9)+1),"N/A"),"")</f>
        <v/>
      </c>
      <c r="L276" s="2" t="str">
        <f t="shared" si="73"/>
        <v/>
      </c>
      <c r="M276" s="2"/>
      <c r="N276" s="2"/>
      <c r="O276" s="2"/>
      <c r="P276" s="7" t="str">
        <f t="shared" si="74"/>
        <v/>
      </c>
      <c r="Q276" s="7" t="str">
        <f t="shared" si="75"/>
        <v/>
      </c>
      <c r="R276" s="7" t="str">
        <f t="shared" si="76"/>
        <v/>
      </c>
      <c r="S276" s="7" t="str">
        <f t="shared" si="77"/>
        <v/>
      </c>
      <c r="T276" s="7" t="str">
        <f t="shared" si="78"/>
        <v/>
      </c>
      <c r="U276" s="7" t="str">
        <f t="shared" si="79"/>
        <v/>
      </c>
      <c r="V276" s="7" t="str">
        <f t="shared" si="80"/>
        <v/>
      </c>
      <c r="W276" s="7" t="str">
        <f t="shared" si="81"/>
        <v/>
      </c>
      <c r="X276" s="7" t="str">
        <f t="shared" si="82"/>
        <v/>
      </c>
      <c r="Y276" s="7" t="str">
        <f t="shared" si="83"/>
        <v/>
      </c>
      <c r="Z276">
        <f t="shared" si="84"/>
        <v>0</v>
      </c>
      <c r="AA276" t="str">
        <f t="shared" si="85"/>
        <v/>
      </c>
      <c r="AB276" t="str">
        <f t="shared" si="86"/>
        <v/>
      </c>
      <c r="AC276" t="str">
        <f t="shared" si="87"/>
        <v/>
      </c>
      <c r="AD276" t="str">
        <f t="shared" si="88"/>
        <v/>
      </c>
      <c r="AE276">
        <f t="shared" si="89"/>
        <v>0</v>
      </c>
    </row>
    <row r="277" spans="1:31" ht="15" customHeight="1" x14ac:dyDescent="0.35">
      <c r="A277" s="2"/>
      <c r="B277" s="3"/>
      <c r="C277" s="3"/>
      <c r="D277" s="4"/>
      <c r="E277" s="5"/>
      <c r="F277" s="11" t="str">
        <f t="shared" ca="1" si="72"/>
        <v/>
      </c>
      <c r="G277" s="5"/>
      <c r="H277" s="6" t="str">
        <f>IF(AND($A277&lt;&gt;"",$B277&lt;&gt;"",$C277&lt;&gt;"",$D277&lt;&gt;"",$E277&lt;&gt;""),IF(AND($B277="s",OR($C277="SER",$C277="PLH",$C277="CSF")),"Case CDI Plate "&amp;(INT(((COUNTIFS($B$2:$B277,"s",$C$2:$C277,"SER")+COUNTIFS($B$2:$B277,"s",$C$2:$C277,"PLH")+COUNTIFS($B$2:$B277,"s",$C$2:$C277,"CSF"))-1)/96)+1)&amp;": "&amp;CHAR(65+INT(MOD((COUNTIFS($B$2:$B277,"s",$C$2:$C277,"SER")+COUNTIFS($B$2:$B277,"s",$C$2:$C277,"PLH")+COUNTIFS($B$2:$B277,"s",$C$2:$C277,"CSF"))-1,96)/12))&amp;(MOD((COUNTIFS($B$2:$B277,"s",$C$2:$C277,"SER")+COUNTIFS($B$2:$B277,"s",$C$2:$C277,"PLH")+COUNTIFS($B$2:$B277,"s",$C$2:$C277,"CSF"))-1,12)+1),"N/A"),"")</f>
        <v/>
      </c>
      <c r="I277" s="6" t="str">
        <f>IF(AND($A277&lt;&gt;"",$B277&lt;&gt;"",$C277&lt;&gt;"",$D277&lt;&gt;"",$E277&lt;&gt;""),IF(AND($B277="s",OR($C277="SER",$C277="PLH",$C277="CSF")),"Case NIH Plate "&amp;(INT(((COUNTIFS($B$2:$B277,"s",$C$2:$C277,"SER")+COUNTIFS($B$2:$B277,"s",$C$2:$C277,"PLH")+COUNTIFS($B$2:$B277,"s",$C$2:$C277,"CSF"))-1)/96)+1)&amp;": "&amp;CHAR(65+INT(MOD((COUNTIFS($B$2:$B277,"s",$C$2:$C277,"SER")+COUNTIFS($B$2:$B277,"s",$C$2:$C277,"PLH")+COUNTIFS($B$2:$B277,"s",$C$2:$C277,"CSF"))-1,96)/12))&amp;(MOD((COUNTIFS($B$2:$B277,"s",$C$2:$C277,"SER")+COUNTIFS($B$2:$B277,"s",$C$2:$C277,"PLH")+COUNTIFS($B$2:$B277,"s",$C$2:$C277,"CSF"))-1,12)+1),"N/A"),"")</f>
        <v/>
      </c>
      <c r="J277" s="6" t="str">
        <f>IF(AND($A277&lt;&gt;"",$B277&lt;&gt;"",$C277&lt;&gt;"",$D277&lt;&gt;"",$E277&lt;&gt;""),IF(AND($B277="s",OR($C277="SER",$C277="PLH")),"Case MAX Planck Plate "&amp;(INT(((COUNTIFS($B$2:$B277,"s",$C$2:$C277,"SER")+COUNTIFS($B$2:$B277,"s",$C$2:$C277,"PLH"))-1)/96)+1)&amp;": "&amp;CHAR(65+INT(MOD((COUNTIFS($B$2:$B277,"s",$C$2:$C277,"SER")+COUNTIFS($B$2:$B277,"s",$C$2:$C277,"PLH"))-1,96)/12))&amp;(MOD((COUNTIFS($B$2:$B277,"s",$C$2:$C277,"SER")+COUNTIFS($B$2:$B277,"s",$C$2:$C277,"PLH"))-1,12)+1),"N/A"),"")</f>
        <v/>
      </c>
      <c r="K277" s="6" t="str">
        <f>IF(AND($A277&lt;&gt;"",$B277&lt;&gt;"",$C277&lt;&gt;"",$D277&lt;&gt;"",$E277&lt;&gt;""),IF($C277="WB","Case WB Box "&amp;(INT((COUNTIFS($C$2:$C277,"WB")-1)/81)+1)&amp;": "&amp;CHAR(65+INT(MOD(COUNTIFS($C$2:$C277,"WB")-1,81)/9))&amp;(MOD(COUNTIFS($C$2:$C277,"WB")-1,9)+1),"N/A"),"")</f>
        <v/>
      </c>
      <c r="L277" s="2" t="str">
        <f t="shared" si="73"/>
        <v/>
      </c>
      <c r="M277" s="2"/>
      <c r="N277" s="2"/>
      <c r="O277" s="2"/>
      <c r="P277" s="7" t="str">
        <f t="shared" si="74"/>
        <v/>
      </c>
      <c r="Q277" s="7" t="str">
        <f t="shared" si="75"/>
        <v/>
      </c>
      <c r="R277" s="7" t="str">
        <f t="shared" si="76"/>
        <v/>
      </c>
      <c r="S277" s="7" t="str">
        <f t="shared" si="77"/>
        <v/>
      </c>
      <c r="T277" s="7" t="str">
        <f t="shared" si="78"/>
        <v/>
      </c>
      <c r="U277" s="7" t="str">
        <f t="shared" si="79"/>
        <v/>
      </c>
      <c r="V277" s="7" t="str">
        <f t="shared" si="80"/>
        <v/>
      </c>
      <c r="W277" s="7" t="str">
        <f t="shared" si="81"/>
        <v/>
      </c>
      <c r="X277" s="7" t="str">
        <f t="shared" si="82"/>
        <v/>
      </c>
      <c r="Y277" s="7" t="str">
        <f t="shared" si="83"/>
        <v/>
      </c>
      <c r="Z277">
        <f t="shared" si="84"/>
        <v>0</v>
      </c>
      <c r="AA277" t="str">
        <f t="shared" si="85"/>
        <v/>
      </c>
      <c r="AB277" t="str">
        <f t="shared" si="86"/>
        <v/>
      </c>
      <c r="AC277" t="str">
        <f t="shared" si="87"/>
        <v/>
      </c>
      <c r="AD277" t="str">
        <f t="shared" si="88"/>
        <v/>
      </c>
      <c r="AE277">
        <f t="shared" si="89"/>
        <v>0</v>
      </c>
    </row>
    <row r="278" spans="1:31" ht="15" customHeight="1" x14ac:dyDescent="0.35">
      <c r="A278" s="2"/>
      <c r="B278" s="3"/>
      <c r="C278" s="3"/>
      <c r="D278" s="4"/>
      <c r="E278" s="5"/>
      <c r="F278" s="11" t="str">
        <f t="shared" ca="1" si="72"/>
        <v/>
      </c>
      <c r="G278" s="5"/>
      <c r="H278" s="6" t="str">
        <f>IF(AND($A278&lt;&gt;"",$B278&lt;&gt;"",$C278&lt;&gt;"",$D278&lt;&gt;"",$E278&lt;&gt;""),IF(AND($B278="s",OR($C278="SER",$C278="PLH",$C278="CSF")),"Case CDI Plate "&amp;(INT(((COUNTIFS($B$2:$B278,"s",$C$2:$C278,"SER")+COUNTIFS($B$2:$B278,"s",$C$2:$C278,"PLH")+COUNTIFS($B$2:$B278,"s",$C$2:$C278,"CSF"))-1)/96)+1)&amp;": "&amp;CHAR(65+INT(MOD((COUNTIFS($B$2:$B278,"s",$C$2:$C278,"SER")+COUNTIFS($B$2:$B278,"s",$C$2:$C278,"PLH")+COUNTIFS($B$2:$B278,"s",$C$2:$C278,"CSF"))-1,96)/12))&amp;(MOD((COUNTIFS($B$2:$B278,"s",$C$2:$C278,"SER")+COUNTIFS($B$2:$B278,"s",$C$2:$C278,"PLH")+COUNTIFS($B$2:$B278,"s",$C$2:$C278,"CSF"))-1,12)+1),"N/A"),"")</f>
        <v/>
      </c>
      <c r="I278" s="6" t="str">
        <f>IF(AND($A278&lt;&gt;"",$B278&lt;&gt;"",$C278&lt;&gt;"",$D278&lt;&gt;"",$E278&lt;&gt;""),IF(AND($B278="s",OR($C278="SER",$C278="PLH",$C278="CSF")),"Case NIH Plate "&amp;(INT(((COUNTIFS($B$2:$B278,"s",$C$2:$C278,"SER")+COUNTIFS($B$2:$B278,"s",$C$2:$C278,"PLH")+COUNTIFS($B$2:$B278,"s",$C$2:$C278,"CSF"))-1)/96)+1)&amp;": "&amp;CHAR(65+INT(MOD((COUNTIFS($B$2:$B278,"s",$C$2:$C278,"SER")+COUNTIFS($B$2:$B278,"s",$C$2:$C278,"PLH")+COUNTIFS($B$2:$B278,"s",$C$2:$C278,"CSF"))-1,96)/12))&amp;(MOD((COUNTIFS($B$2:$B278,"s",$C$2:$C278,"SER")+COUNTIFS($B$2:$B278,"s",$C$2:$C278,"PLH")+COUNTIFS($B$2:$B278,"s",$C$2:$C278,"CSF"))-1,12)+1),"N/A"),"")</f>
        <v/>
      </c>
      <c r="J278" s="6" t="str">
        <f>IF(AND($A278&lt;&gt;"",$B278&lt;&gt;"",$C278&lt;&gt;"",$D278&lt;&gt;"",$E278&lt;&gt;""),IF(AND($B278="s",OR($C278="SER",$C278="PLH")),"Case MAX Planck Plate "&amp;(INT(((COUNTIFS($B$2:$B278,"s",$C$2:$C278,"SER")+COUNTIFS($B$2:$B278,"s",$C$2:$C278,"PLH"))-1)/96)+1)&amp;": "&amp;CHAR(65+INT(MOD((COUNTIFS($B$2:$B278,"s",$C$2:$C278,"SER")+COUNTIFS($B$2:$B278,"s",$C$2:$C278,"PLH"))-1,96)/12))&amp;(MOD((COUNTIFS($B$2:$B278,"s",$C$2:$C278,"SER")+COUNTIFS($B$2:$B278,"s",$C$2:$C278,"PLH"))-1,12)+1),"N/A"),"")</f>
        <v/>
      </c>
      <c r="K278" s="6" t="str">
        <f>IF(AND($A278&lt;&gt;"",$B278&lt;&gt;"",$C278&lt;&gt;"",$D278&lt;&gt;"",$E278&lt;&gt;""),IF($C278="WB","Case WB Box "&amp;(INT((COUNTIFS($C$2:$C278,"WB")-1)/81)+1)&amp;": "&amp;CHAR(65+INT(MOD(COUNTIFS($C$2:$C278,"WB")-1,81)/9))&amp;(MOD(COUNTIFS($C$2:$C278,"WB")-1,9)+1),"N/A"),"")</f>
        <v/>
      </c>
      <c r="L278" s="2" t="str">
        <f t="shared" si="73"/>
        <v/>
      </c>
      <c r="M278" s="2"/>
      <c r="N278" s="2"/>
      <c r="O278" s="2"/>
      <c r="P278" s="7" t="str">
        <f t="shared" si="74"/>
        <v/>
      </c>
      <c r="Q278" s="7" t="str">
        <f t="shared" si="75"/>
        <v/>
      </c>
      <c r="R278" s="7" t="str">
        <f t="shared" si="76"/>
        <v/>
      </c>
      <c r="S278" s="7" t="str">
        <f t="shared" si="77"/>
        <v/>
      </c>
      <c r="T278" s="7" t="str">
        <f t="shared" si="78"/>
        <v/>
      </c>
      <c r="U278" s="7" t="str">
        <f t="shared" si="79"/>
        <v/>
      </c>
      <c r="V278" s="7" t="str">
        <f t="shared" si="80"/>
        <v/>
      </c>
      <c r="W278" s="7" t="str">
        <f t="shared" si="81"/>
        <v/>
      </c>
      <c r="X278" s="7" t="str">
        <f t="shared" si="82"/>
        <v/>
      </c>
      <c r="Y278" s="7" t="str">
        <f t="shared" si="83"/>
        <v/>
      </c>
      <c r="Z278">
        <f t="shared" si="84"/>
        <v>0</v>
      </c>
      <c r="AA278" t="str">
        <f t="shared" si="85"/>
        <v/>
      </c>
      <c r="AB278" t="str">
        <f t="shared" si="86"/>
        <v/>
      </c>
      <c r="AC278" t="str">
        <f t="shared" si="87"/>
        <v/>
      </c>
      <c r="AD278" t="str">
        <f t="shared" si="88"/>
        <v/>
      </c>
      <c r="AE278">
        <f t="shared" si="89"/>
        <v>0</v>
      </c>
    </row>
    <row r="279" spans="1:31" ht="15" customHeight="1" x14ac:dyDescent="0.35">
      <c r="A279" s="2"/>
      <c r="B279" s="3"/>
      <c r="C279" s="3"/>
      <c r="D279" s="4"/>
      <c r="E279" s="5"/>
      <c r="F279" s="11" t="str">
        <f t="shared" ca="1" si="72"/>
        <v/>
      </c>
      <c r="G279" s="5"/>
      <c r="H279" s="6" t="str">
        <f>IF(AND($A279&lt;&gt;"",$B279&lt;&gt;"",$C279&lt;&gt;"",$D279&lt;&gt;"",$E279&lt;&gt;""),IF(AND($B279="s",OR($C279="SER",$C279="PLH",$C279="CSF")),"Case CDI Plate "&amp;(INT(((COUNTIFS($B$2:$B279,"s",$C$2:$C279,"SER")+COUNTIFS($B$2:$B279,"s",$C$2:$C279,"PLH")+COUNTIFS($B$2:$B279,"s",$C$2:$C279,"CSF"))-1)/96)+1)&amp;": "&amp;CHAR(65+INT(MOD((COUNTIFS($B$2:$B279,"s",$C$2:$C279,"SER")+COUNTIFS($B$2:$B279,"s",$C$2:$C279,"PLH")+COUNTIFS($B$2:$B279,"s",$C$2:$C279,"CSF"))-1,96)/12))&amp;(MOD((COUNTIFS($B$2:$B279,"s",$C$2:$C279,"SER")+COUNTIFS($B$2:$B279,"s",$C$2:$C279,"PLH")+COUNTIFS($B$2:$B279,"s",$C$2:$C279,"CSF"))-1,12)+1),"N/A"),"")</f>
        <v/>
      </c>
      <c r="I279" s="6" t="str">
        <f>IF(AND($A279&lt;&gt;"",$B279&lt;&gt;"",$C279&lt;&gt;"",$D279&lt;&gt;"",$E279&lt;&gt;""),IF(AND($B279="s",OR($C279="SER",$C279="PLH",$C279="CSF")),"Case NIH Plate "&amp;(INT(((COUNTIFS($B$2:$B279,"s",$C$2:$C279,"SER")+COUNTIFS($B$2:$B279,"s",$C$2:$C279,"PLH")+COUNTIFS($B$2:$B279,"s",$C$2:$C279,"CSF"))-1)/96)+1)&amp;": "&amp;CHAR(65+INT(MOD((COUNTIFS($B$2:$B279,"s",$C$2:$C279,"SER")+COUNTIFS($B$2:$B279,"s",$C$2:$C279,"PLH")+COUNTIFS($B$2:$B279,"s",$C$2:$C279,"CSF"))-1,96)/12))&amp;(MOD((COUNTIFS($B$2:$B279,"s",$C$2:$C279,"SER")+COUNTIFS($B$2:$B279,"s",$C$2:$C279,"PLH")+COUNTIFS($B$2:$B279,"s",$C$2:$C279,"CSF"))-1,12)+1),"N/A"),"")</f>
        <v/>
      </c>
      <c r="J279" s="6" t="str">
        <f>IF(AND($A279&lt;&gt;"",$B279&lt;&gt;"",$C279&lt;&gt;"",$D279&lt;&gt;"",$E279&lt;&gt;""),IF(AND($B279="s",OR($C279="SER",$C279="PLH")),"Case MAX Planck Plate "&amp;(INT(((COUNTIFS($B$2:$B279,"s",$C$2:$C279,"SER")+COUNTIFS($B$2:$B279,"s",$C$2:$C279,"PLH"))-1)/96)+1)&amp;": "&amp;CHAR(65+INT(MOD((COUNTIFS($B$2:$B279,"s",$C$2:$C279,"SER")+COUNTIFS($B$2:$B279,"s",$C$2:$C279,"PLH"))-1,96)/12))&amp;(MOD((COUNTIFS($B$2:$B279,"s",$C$2:$C279,"SER")+COUNTIFS($B$2:$B279,"s",$C$2:$C279,"PLH"))-1,12)+1),"N/A"),"")</f>
        <v/>
      </c>
      <c r="K279" s="6" t="str">
        <f>IF(AND($A279&lt;&gt;"",$B279&lt;&gt;"",$C279&lt;&gt;"",$D279&lt;&gt;"",$E279&lt;&gt;""),IF($C279="WB","Case WB Box "&amp;(INT((COUNTIFS($C$2:$C279,"WB")-1)/81)+1)&amp;": "&amp;CHAR(65+INT(MOD(COUNTIFS($C$2:$C279,"WB")-1,81)/9))&amp;(MOD(COUNTIFS($C$2:$C279,"WB")-1,9)+1),"N/A"),"")</f>
        <v/>
      </c>
      <c r="L279" s="2" t="str">
        <f t="shared" si="73"/>
        <v/>
      </c>
      <c r="M279" s="2"/>
      <c r="N279" s="2"/>
      <c r="O279" s="2"/>
      <c r="P279" s="7" t="str">
        <f t="shared" si="74"/>
        <v/>
      </c>
      <c r="Q279" s="7" t="str">
        <f t="shared" si="75"/>
        <v/>
      </c>
      <c r="R279" s="7" t="str">
        <f t="shared" si="76"/>
        <v/>
      </c>
      <c r="S279" s="7" t="str">
        <f t="shared" si="77"/>
        <v/>
      </c>
      <c r="T279" s="7" t="str">
        <f t="shared" si="78"/>
        <v/>
      </c>
      <c r="U279" s="7" t="str">
        <f t="shared" si="79"/>
        <v/>
      </c>
      <c r="V279" s="7" t="str">
        <f t="shared" si="80"/>
        <v/>
      </c>
      <c r="W279" s="7" t="str">
        <f t="shared" si="81"/>
        <v/>
      </c>
      <c r="X279" s="7" t="str">
        <f t="shared" si="82"/>
        <v/>
      </c>
      <c r="Y279" s="7" t="str">
        <f t="shared" si="83"/>
        <v/>
      </c>
      <c r="Z279">
        <f t="shared" si="84"/>
        <v>0</v>
      </c>
      <c r="AA279" t="str">
        <f t="shared" si="85"/>
        <v/>
      </c>
      <c r="AB279" t="str">
        <f t="shared" si="86"/>
        <v/>
      </c>
      <c r="AC279" t="str">
        <f t="shared" si="87"/>
        <v/>
      </c>
      <c r="AD279" t="str">
        <f t="shared" si="88"/>
        <v/>
      </c>
      <c r="AE279">
        <f t="shared" si="89"/>
        <v>0</v>
      </c>
    </row>
    <row r="280" spans="1:31" ht="15" customHeight="1" x14ac:dyDescent="0.35">
      <c r="A280" s="2"/>
      <c r="B280" s="3"/>
      <c r="C280" s="3"/>
      <c r="D280" s="4"/>
      <c r="E280" s="5"/>
      <c r="F280" s="11" t="str">
        <f t="shared" ca="1" si="72"/>
        <v/>
      </c>
      <c r="G280" s="5"/>
      <c r="H280" s="6" t="str">
        <f>IF(AND($A280&lt;&gt;"",$B280&lt;&gt;"",$C280&lt;&gt;"",$D280&lt;&gt;"",$E280&lt;&gt;""),IF(AND($B280="s",OR($C280="SER",$C280="PLH",$C280="CSF")),"Case CDI Plate "&amp;(INT(((COUNTIFS($B$2:$B280,"s",$C$2:$C280,"SER")+COUNTIFS($B$2:$B280,"s",$C$2:$C280,"PLH")+COUNTIFS($B$2:$B280,"s",$C$2:$C280,"CSF"))-1)/96)+1)&amp;": "&amp;CHAR(65+INT(MOD((COUNTIFS($B$2:$B280,"s",$C$2:$C280,"SER")+COUNTIFS($B$2:$B280,"s",$C$2:$C280,"PLH")+COUNTIFS($B$2:$B280,"s",$C$2:$C280,"CSF"))-1,96)/12))&amp;(MOD((COUNTIFS($B$2:$B280,"s",$C$2:$C280,"SER")+COUNTIFS($B$2:$B280,"s",$C$2:$C280,"PLH")+COUNTIFS($B$2:$B280,"s",$C$2:$C280,"CSF"))-1,12)+1),"N/A"),"")</f>
        <v/>
      </c>
      <c r="I280" s="6" t="str">
        <f>IF(AND($A280&lt;&gt;"",$B280&lt;&gt;"",$C280&lt;&gt;"",$D280&lt;&gt;"",$E280&lt;&gt;""),IF(AND($B280="s",OR($C280="SER",$C280="PLH",$C280="CSF")),"Case NIH Plate "&amp;(INT(((COUNTIFS($B$2:$B280,"s",$C$2:$C280,"SER")+COUNTIFS($B$2:$B280,"s",$C$2:$C280,"PLH")+COUNTIFS($B$2:$B280,"s",$C$2:$C280,"CSF"))-1)/96)+1)&amp;": "&amp;CHAR(65+INT(MOD((COUNTIFS($B$2:$B280,"s",$C$2:$C280,"SER")+COUNTIFS($B$2:$B280,"s",$C$2:$C280,"PLH")+COUNTIFS($B$2:$B280,"s",$C$2:$C280,"CSF"))-1,96)/12))&amp;(MOD((COUNTIFS($B$2:$B280,"s",$C$2:$C280,"SER")+COUNTIFS($B$2:$B280,"s",$C$2:$C280,"PLH")+COUNTIFS($B$2:$B280,"s",$C$2:$C280,"CSF"))-1,12)+1),"N/A"),"")</f>
        <v/>
      </c>
      <c r="J280" s="6" t="str">
        <f>IF(AND($A280&lt;&gt;"",$B280&lt;&gt;"",$C280&lt;&gt;"",$D280&lt;&gt;"",$E280&lt;&gt;""),IF(AND($B280="s",OR($C280="SER",$C280="PLH")),"Case MAX Planck Plate "&amp;(INT(((COUNTIFS($B$2:$B280,"s",$C$2:$C280,"SER")+COUNTIFS($B$2:$B280,"s",$C$2:$C280,"PLH"))-1)/96)+1)&amp;": "&amp;CHAR(65+INT(MOD((COUNTIFS($B$2:$B280,"s",$C$2:$C280,"SER")+COUNTIFS($B$2:$B280,"s",$C$2:$C280,"PLH"))-1,96)/12))&amp;(MOD((COUNTIFS($B$2:$B280,"s",$C$2:$C280,"SER")+COUNTIFS($B$2:$B280,"s",$C$2:$C280,"PLH"))-1,12)+1),"N/A"),"")</f>
        <v/>
      </c>
      <c r="K280" s="6" t="str">
        <f>IF(AND($A280&lt;&gt;"",$B280&lt;&gt;"",$C280&lt;&gt;"",$D280&lt;&gt;"",$E280&lt;&gt;""),IF($C280="WB","Case WB Box "&amp;(INT((COUNTIFS($C$2:$C280,"WB")-1)/81)+1)&amp;": "&amp;CHAR(65+INT(MOD(COUNTIFS($C$2:$C280,"WB")-1,81)/9))&amp;(MOD(COUNTIFS($C$2:$C280,"WB")-1,9)+1),"N/A"),"")</f>
        <v/>
      </c>
      <c r="L280" s="2" t="str">
        <f t="shared" si="73"/>
        <v/>
      </c>
      <c r="M280" s="2"/>
      <c r="N280" s="2"/>
      <c r="O280" s="2"/>
      <c r="P280" s="7" t="str">
        <f t="shared" si="74"/>
        <v/>
      </c>
      <c r="Q280" s="7" t="str">
        <f t="shared" si="75"/>
        <v/>
      </c>
      <c r="R280" s="7" t="str">
        <f t="shared" si="76"/>
        <v/>
      </c>
      <c r="S280" s="7" t="str">
        <f t="shared" si="77"/>
        <v/>
      </c>
      <c r="T280" s="7" t="str">
        <f t="shared" si="78"/>
        <v/>
      </c>
      <c r="U280" s="7" t="str">
        <f t="shared" si="79"/>
        <v/>
      </c>
      <c r="V280" s="7" t="str">
        <f t="shared" si="80"/>
        <v/>
      </c>
      <c r="W280" s="7" t="str">
        <f t="shared" si="81"/>
        <v/>
      </c>
      <c r="X280" s="7" t="str">
        <f t="shared" si="82"/>
        <v/>
      </c>
      <c r="Y280" s="7" t="str">
        <f t="shared" si="83"/>
        <v/>
      </c>
      <c r="Z280">
        <f t="shared" si="84"/>
        <v>0</v>
      </c>
      <c r="AA280" t="str">
        <f t="shared" si="85"/>
        <v/>
      </c>
      <c r="AB280" t="str">
        <f t="shared" si="86"/>
        <v/>
      </c>
      <c r="AC280" t="str">
        <f t="shared" si="87"/>
        <v/>
      </c>
      <c r="AD280" t="str">
        <f t="shared" si="88"/>
        <v/>
      </c>
      <c r="AE280">
        <f t="shared" si="89"/>
        <v>0</v>
      </c>
    </row>
    <row r="281" spans="1:31" ht="15" customHeight="1" x14ac:dyDescent="0.35">
      <c r="A281" s="2"/>
      <c r="B281" s="3"/>
      <c r="C281" s="3"/>
      <c r="D281" s="4"/>
      <c r="E281" s="5"/>
      <c r="F281" s="11" t="str">
        <f t="shared" ca="1" si="72"/>
        <v/>
      </c>
      <c r="G281" s="5"/>
      <c r="H281" s="6" t="str">
        <f>IF(AND($A281&lt;&gt;"",$B281&lt;&gt;"",$C281&lt;&gt;"",$D281&lt;&gt;"",$E281&lt;&gt;""),IF(AND($B281="s",OR($C281="SER",$C281="PLH",$C281="CSF")),"Case CDI Plate "&amp;(INT(((COUNTIFS($B$2:$B281,"s",$C$2:$C281,"SER")+COUNTIFS($B$2:$B281,"s",$C$2:$C281,"PLH")+COUNTIFS($B$2:$B281,"s",$C$2:$C281,"CSF"))-1)/96)+1)&amp;": "&amp;CHAR(65+INT(MOD((COUNTIFS($B$2:$B281,"s",$C$2:$C281,"SER")+COUNTIFS($B$2:$B281,"s",$C$2:$C281,"PLH")+COUNTIFS($B$2:$B281,"s",$C$2:$C281,"CSF"))-1,96)/12))&amp;(MOD((COUNTIFS($B$2:$B281,"s",$C$2:$C281,"SER")+COUNTIFS($B$2:$B281,"s",$C$2:$C281,"PLH")+COUNTIFS($B$2:$B281,"s",$C$2:$C281,"CSF"))-1,12)+1),"N/A"),"")</f>
        <v/>
      </c>
      <c r="I281" s="6" t="str">
        <f>IF(AND($A281&lt;&gt;"",$B281&lt;&gt;"",$C281&lt;&gt;"",$D281&lt;&gt;"",$E281&lt;&gt;""),IF(AND($B281="s",OR($C281="SER",$C281="PLH",$C281="CSF")),"Case NIH Plate "&amp;(INT(((COUNTIFS($B$2:$B281,"s",$C$2:$C281,"SER")+COUNTIFS($B$2:$B281,"s",$C$2:$C281,"PLH")+COUNTIFS($B$2:$B281,"s",$C$2:$C281,"CSF"))-1)/96)+1)&amp;": "&amp;CHAR(65+INT(MOD((COUNTIFS($B$2:$B281,"s",$C$2:$C281,"SER")+COUNTIFS($B$2:$B281,"s",$C$2:$C281,"PLH")+COUNTIFS($B$2:$B281,"s",$C$2:$C281,"CSF"))-1,96)/12))&amp;(MOD((COUNTIFS($B$2:$B281,"s",$C$2:$C281,"SER")+COUNTIFS($B$2:$B281,"s",$C$2:$C281,"PLH")+COUNTIFS($B$2:$B281,"s",$C$2:$C281,"CSF"))-1,12)+1),"N/A"),"")</f>
        <v/>
      </c>
      <c r="J281" s="6" t="str">
        <f>IF(AND($A281&lt;&gt;"",$B281&lt;&gt;"",$C281&lt;&gt;"",$D281&lt;&gt;"",$E281&lt;&gt;""),IF(AND($B281="s",OR($C281="SER",$C281="PLH")),"Case MAX Planck Plate "&amp;(INT(((COUNTIFS($B$2:$B281,"s",$C$2:$C281,"SER")+COUNTIFS($B$2:$B281,"s",$C$2:$C281,"PLH"))-1)/96)+1)&amp;": "&amp;CHAR(65+INT(MOD((COUNTIFS($B$2:$B281,"s",$C$2:$C281,"SER")+COUNTIFS($B$2:$B281,"s",$C$2:$C281,"PLH"))-1,96)/12))&amp;(MOD((COUNTIFS($B$2:$B281,"s",$C$2:$C281,"SER")+COUNTIFS($B$2:$B281,"s",$C$2:$C281,"PLH"))-1,12)+1),"N/A"),"")</f>
        <v/>
      </c>
      <c r="K281" s="6" t="str">
        <f>IF(AND($A281&lt;&gt;"",$B281&lt;&gt;"",$C281&lt;&gt;"",$D281&lt;&gt;"",$E281&lt;&gt;""),IF($C281="WB","Case WB Box "&amp;(INT((COUNTIFS($C$2:$C281,"WB")-1)/81)+1)&amp;": "&amp;CHAR(65+INT(MOD(COUNTIFS($C$2:$C281,"WB")-1,81)/9))&amp;(MOD(COUNTIFS($C$2:$C281,"WB")-1,9)+1),"N/A"),"")</f>
        <v/>
      </c>
      <c r="L281" s="2" t="str">
        <f t="shared" si="73"/>
        <v/>
      </c>
      <c r="M281" s="2"/>
      <c r="N281" s="2"/>
      <c r="O281" s="2"/>
      <c r="P281" s="7" t="str">
        <f t="shared" si="74"/>
        <v/>
      </c>
      <c r="Q281" s="7" t="str">
        <f t="shared" si="75"/>
        <v/>
      </c>
      <c r="R281" s="7" t="str">
        <f t="shared" si="76"/>
        <v/>
      </c>
      <c r="S281" s="7" t="str">
        <f t="shared" si="77"/>
        <v/>
      </c>
      <c r="T281" s="7" t="str">
        <f t="shared" si="78"/>
        <v/>
      </c>
      <c r="U281" s="7" t="str">
        <f t="shared" si="79"/>
        <v/>
      </c>
      <c r="V281" s="7" t="str">
        <f t="shared" si="80"/>
        <v/>
      </c>
      <c r="W281" s="7" t="str">
        <f t="shared" si="81"/>
        <v/>
      </c>
      <c r="X281" s="7" t="str">
        <f t="shared" si="82"/>
        <v/>
      </c>
      <c r="Y281" s="7" t="str">
        <f t="shared" si="83"/>
        <v/>
      </c>
      <c r="Z281">
        <f t="shared" si="84"/>
        <v>0</v>
      </c>
      <c r="AA281" t="str">
        <f t="shared" si="85"/>
        <v/>
      </c>
      <c r="AB281" t="str">
        <f t="shared" si="86"/>
        <v/>
      </c>
      <c r="AC281" t="str">
        <f t="shared" si="87"/>
        <v/>
      </c>
      <c r="AD281" t="str">
        <f t="shared" si="88"/>
        <v/>
      </c>
      <c r="AE281">
        <f t="shared" si="89"/>
        <v>0</v>
      </c>
    </row>
    <row r="282" spans="1:31" ht="15" customHeight="1" x14ac:dyDescent="0.35">
      <c r="A282" s="2"/>
      <c r="B282" s="3"/>
      <c r="C282" s="3"/>
      <c r="D282" s="4"/>
      <c r="E282" s="5"/>
      <c r="F282" s="11" t="str">
        <f t="shared" ca="1" si="72"/>
        <v/>
      </c>
      <c r="G282" s="5"/>
      <c r="H282" s="6" t="str">
        <f>IF(AND($A282&lt;&gt;"",$B282&lt;&gt;"",$C282&lt;&gt;"",$D282&lt;&gt;"",$E282&lt;&gt;""),IF(AND($B282="s",OR($C282="SER",$C282="PLH",$C282="CSF")),"Case CDI Plate "&amp;(INT(((COUNTIFS($B$2:$B282,"s",$C$2:$C282,"SER")+COUNTIFS($B$2:$B282,"s",$C$2:$C282,"PLH")+COUNTIFS($B$2:$B282,"s",$C$2:$C282,"CSF"))-1)/96)+1)&amp;": "&amp;CHAR(65+INT(MOD((COUNTIFS($B$2:$B282,"s",$C$2:$C282,"SER")+COUNTIFS($B$2:$B282,"s",$C$2:$C282,"PLH")+COUNTIFS($B$2:$B282,"s",$C$2:$C282,"CSF"))-1,96)/12))&amp;(MOD((COUNTIFS($B$2:$B282,"s",$C$2:$C282,"SER")+COUNTIFS($B$2:$B282,"s",$C$2:$C282,"PLH")+COUNTIFS($B$2:$B282,"s",$C$2:$C282,"CSF"))-1,12)+1),"N/A"),"")</f>
        <v/>
      </c>
      <c r="I282" s="6" t="str">
        <f>IF(AND($A282&lt;&gt;"",$B282&lt;&gt;"",$C282&lt;&gt;"",$D282&lt;&gt;"",$E282&lt;&gt;""),IF(AND($B282="s",OR($C282="SER",$C282="PLH",$C282="CSF")),"Case NIH Plate "&amp;(INT(((COUNTIFS($B$2:$B282,"s",$C$2:$C282,"SER")+COUNTIFS($B$2:$B282,"s",$C$2:$C282,"PLH")+COUNTIFS($B$2:$B282,"s",$C$2:$C282,"CSF"))-1)/96)+1)&amp;": "&amp;CHAR(65+INT(MOD((COUNTIFS($B$2:$B282,"s",$C$2:$C282,"SER")+COUNTIFS($B$2:$B282,"s",$C$2:$C282,"PLH")+COUNTIFS($B$2:$B282,"s",$C$2:$C282,"CSF"))-1,96)/12))&amp;(MOD((COUNTIFS($B$2:$B282,"s",$C$2:$C282,"SER")+COUNTIFS($B$2:$B282,"s",$C$2:$C282,"PLH")+COUNTIFS($B$2:$B282,"s",$C$2:$C282,"CSF"))-1,12)+1),"N/A"),"")</f>
        <v/>
      </c>
      <c r="J282" s="6" t="str">
        <f>IF(AND($A282&lt;&gt;"",$B282&lt;&gt;"",$C282&lt;&gt;"",$D282&lt;&gt;"",$E282&lt;&gt;""),IF(AND($B282="s",OR($C282="SER",$C282="PLH")),"Case MAX Planck Plate "&amp;(INT(((COUNTIFS($B$2:$B282,"s",$C$2:$C282,"SER")+COUNTIFS($B$2:$B282,"s",$C$2:$C282,"PLH"))-1)/96)+1)&amp;": "&amp;CHAR(65+INT(MOD((COUNTIFS($B$2:$B282,"s",$C$2:$C282,"SER")+COUNTIFS($B$2:$B282,"s",$C$2:$C282,"PLH"))-1,96)/12))&amp;(MOD((COUNTIFS($B$2:$B282,"s",$C$2:$C282,"SER")+COUNTIFS($B$2:$B282,"s",$C$2:$C282,"PLH"))-1,12)+1),"N/A"),"")</f>
        <v/>
      </c>
      <c r="K282" s="6" t="str">
        <f>IF(AND($A282&lt;&gt;"",$B282&lt;&gt;"",$C282&lt;&gt;"",$D282&lt;&gt;"",$E282&lt;&gt;""),IF($C282="WB","Case WB Box "&amp;(INT((COUNTIFS($C$2:$C282,"WB")-1)/81)+1)&amp;": "&amp;CHAR(65+INT(MOD(COUNTIFS($C$2:$C282,"WB")-1,81)/9))&amp;(MOD(COUNTIFS($C$2:$C282,"WB")-1,9)+1),"N/A"),"")</f>
        <v/>
      </c>
      <c r="L282" s="2" t="str">
        <f t="shared" si="73"/>
        <v/>
      </c>
      <c r="M282" s="2"/>
      <c r="N282" s="2"/>
      <c r="O282" s="2"/>
      <c r="P282" s="7" t="str">
        <f t="shared" si="74"/>
        <v/>
      </c>
      <c r="Q282" s="7" t="str">
        <f t="shared" si="75"/>
        <v/>
      </c>
      <c r="R282" s="7" t="str">
        <f t="shared" si="76"/>
        <v/>
      </c>
      <c r="S282" s="7" t="str">
        <f t="shared" si="77"/>
        <v/>
      </c>
      <c r="T282" s="7" t="str">
        <f t="shared" si="78"/>
        <v/>
      </c>
      <c r="U282" s="7" t="str">
        <f t="shared" si="79"/>
        <v/>
      </c>
      <c r="V282" s="7" t="str">
        <f t="shared" si="80"/>
        <v/>
      </c>
      <c r="W282" s="7" t="str">
        <f t="shared" si="81"/>
        <v/>
      </c>
      <c r="X282" s="7" t="str">
        <f t="shared" si="82"/>
        <v/>
      </c>
      <c r="Y282" s="7" t="str">
        <f t="shared" si="83"/>
        <v/>
      </c>
      <c r="Z282">
        <f t="shared" si="84"/>
        <v>0</v>
      </c>
      <c r="AA282" t="str">
        <f t="shared" si="85"/>
        <v/>
      </c>
      <c r="AB282" t="str">
        <f t="shared" si="86"/>
        <v/>
      </c>
      <c r="AC282" t="str">
        <f t="shared" si="87"/>
        <v/>
      </c>
      <c r="AD282" t="str">
        <f t="shared" si="88"/>
        <v/>
      </c>
      <c r="AE282">
        <f t="shared" si="89"/>
        <v>0</v>
      </c>
    </row>
    <row r="283" spans="1:31" ht="15" customHeight="1" x14ac:dyDescent="0.35">
      <c r="A283" s="2"/>
      <c r="B283" s="3"/>
      <c r="C283" s="3"/>
      <c r="D283" s="4"/>
      <c r="E283" s="5"/>
      <c r="F283" s="11" t="str">
        <f t="shared" ca="1" si="72"/>
        <v/>
      </c>
      <c r="G283" s="5"/>
      <c r="H283" s="6" t="str">
        <f>IF(AND($A283&lt;&gt;"",$B283&lt;&gt;"",$C283&lt;&gt;"",$D283&lt;&gt;"",$E283&lt;&gt;""),IF(AND($B283="s",OR($C283="SER",$C283="PLH",$C283="CSF")),"Case CDI Plate "&amp;(INT(((COUNTIFS($B$2:$B283,"s",$C$2:$C283,"SER")+COUNTIFS($B$2:$B283,"s",$C$2:$C283,"PLH")+COUNTIFS($B$2:$B283,"s",$C$2:$C283,"CSF"))-1)/96)+1)&amp;": "&amp;CHAR(65+INT(MOD((COUNTIFS($B$2:$B283,"s",$C$2:$C283,"SER")+COUNTIFS($B$2:$B283,"s",$C$2:$C283,"PLH")+COUNTIFS($B$2:$B283,"s",$C$2:$C283,"CSF"))-1,96)/12))&amp;(MOD((COUNTIFS($B$2:$B283,"s",$C$2:$C283,"SER")+COUNTIFS($B$2:$B283,"s",$C$2:$C283,"PLH")+COUNTIFS($B$2:$B283,"s",$C$2:$C283,"CSF"))-1,12)+1),"N/A"),"")</f>
        <v/>
      </c>
      <c r="I283" s="6" t="str">
        <f>IF(AND($A283&lt;&gt;"",$B283&lt;&gt;"",$C283&lt;&gt;"",$D283&lt;&gt;"",$E283&lt;&gt;""),IF(AND($B283="s",OR($C283="SER",$C283="PLH",$C283="CSF")),"Case NIH Plate "&amp;(INT(((COUNTIFS($B$2:$B283,"s",$C$2:$C283,"SER")+COUNTIFS($B$2:$B283,"s",$C$2:$C283,"PLH")+COUNTIFS($B$2:$B283,"s",$C$2:$C283,"CSF"))-1)/96)+1)&amp;": "&amp;CHAR(65+INT(MOD((COUNTIFS($B$2:$B283,"s",$C$2:$C283,"SER")+COUNTIFS($B$2:$B283,"s",$C$2:$C283,"PLH")+COUNTIFS($B$2:$B283,"s",$C$2:$C283,"CSF"))-1,96)/12))&amp;(MOD((COUNTIFS($B$2:$B283,"s",$C$2:$C283,"SER")+COUNTIFS($B$2:$B283,"s",$C$2:$C283,"PLH")+COUNTIFS($B$2:$B283,"s",$C$2:$C283,"CSF"))-1,12)+1),"N/A"),"")</f>
        <v/>
      </c>
      <c r="J283" s="6" t="str">
        <f>IF(AND($A283&lt;&gt;"",$B283&lt;&gt;"",$C283&lt;&gt;"",$D283&lt;&gt;"",$E283&lt;&gt;""),IF(AND($B283="s",OR($C283="SER",$C283="PLH")),"Case MAX Planck Plate "&amp;(INT(((COUNTIFS($B$2:$B283,"s",$C$2:$C283,"SER")+COUNTIFS($B$2:$B283,"s",$C$2:$C283,"PLH"))-1)/96)+1)&amp;": "&amp;CHAR(65+INT(MOD((COUNTIFS($B$2:$B283,"s",$C$2:$C283,"SER")+COUNTIFS($B$2:$B283,"s",$C$2:$C283,"PLH"))-1,96)/12))&amp;(MOD((COUNTIFS($B$2:$B283,"s",$C$2:$C283,"SER")+COUNTIFS($B$2:$B283,"s",$C$2:$C283,"PLH"))-1,12)+1),"N/A"),"")</f>
        <v/>
      </c>
      <c r="K283" s="6" t="str">
        <f>IF(AND($A283&lt;&gt;"",$B283&lt;&gt;"",$C283&lt;&gt;"",$D283&lt;&gt;"",$E283&lt;&gt;""),IF($C283="WB","Case WB Box "&amp;(INT((COUNTIFS($C$2:$C283,"WB")-1)/81)+1)&amp;": "&amp;CHAR(65+INT(MOD(COUNTIFS($C$2:$C283,"WB")-1,81)/9))&amp;(MOD(COUNTIFS($C$2:$C283,"WB")-1,9)+1),"N/A"),"")</f>
        <v/>
      </c>
      <c r="L283" s="2" t="str">
        <f t="shared" si="73"/>
        <v/>
      </c>
      <c r="M283" s="2"/>
      <c r="N283" s="2"/>
      <c r="O283" s="2"/>
      <c r="P283" s="7" t="str">
        <f t="shared" si="74"/>
        <v/>
      </c>
      <c r="Q283" s="7" t="str">
        <f t="shared" si="75"/>
        <v/>
      </c>
      <c r="R283" s="7" t="str">
        <f t="shared" si="76"/>
        <v/>
      </c>
      <c r="S283" s="7" t="str">
        <f t="shared" si="77"/>
        <v/>
      </c>
      <c r="T283" s="7" t="str">
        <f t="shared" si="78"/>
        <v/>
      </c>
      <c r="U283" s="7" t="str">
        <f t="shared" si="79"/>
        <v/>
      </c>
      <c r="V283" s="7" t="str">
        <f t="shared" si="80"/>
        <v/>
      </c>
      <c r="W283" s="7" t="str">
        <f t="shared" si="81"/>
        <v/>
      </c>
      <c r="X283" s="7" t="str">
        <f t="shared" si="82"/>
        <v/>
      </c>
      <c r="Y283" s="7" t="str">
        <f t="shared" si="83"/>
        <v/>
      </c>
      <c r="Z283">
        <f t="shared" si="84"/>
        <v>0</v>
      </c>
      <c r="AA283" t="str">
        <f t="shared" si="85"/>
        <v/>
      </c>
      <c r="AB283" t="str">
        <f t="shared" si="86"/>
        <v/>
      </c>
      <c r="AC283" t="str">
        <f t="shared" si="87"/>
        <v/>
      </c>
      <c r="AD283" t="str">
        <f t="shared" si="88"/>
        <v/>
      </c>
      <c r="AE283">
        <f t="shared" si="89"/>
        <v>0</v>
      </c>
    </row>
    <row r="284" spans="1:31" ht="15" customHeight="1" x14ac:dyDescent="0.35">
      <c r="A284" s="2"/>
      <c r="B284" s="3"/>
      <c r="C284" s="3"/>
      <c r="D284" s="4"/>
      <c r="E284" s="5"/>
      <c r="F284" s="11" t="str">
        <f t="shared" ca="1" si="72"/>
        <v/>
      </c>
      <c r="G284" s="5"/>
      <c r="H284" s="6" t="str">
        <f>IF(AND($A284&lt;&gt;"",$B284&lt;&gt;"",$C284&lt;&gt;"",$D284&lt;&gt;"",$E284&lt;&gt;""),IF(AND($B284="s",OR($C284="SER",$C284="PLH",$C284="CSF")),"Case CDI Plate "&amp;(INT(((COUNTIFS($B$2:$B284,"s",$C$2:$C284,"SER")+COUNTIFS($B$2:$B284,"s",$C$2:$C284,"PLH")+COUNTIFS($B$2:$B284,"s",$C$2:$C284,"CSF"))-1)/96)+1)&amp;": "&amp;CHAR(65+INT(MOD((COUNTIFS($B$2:$B284,"s",$C$2:$C284,"SER")+COUNTIFS($B$2:$B284,"s",$C$2:$C284,"PLH")+COUNTIFS($B$2:$B284,"s",$C$2:$C284,"CSF"))-1,96)/12))&amp;(MOD((COUNTIFS($B$2:$B284,"s",$C$2:$C284,"SER")+COUNTIFS($B$2:$B284,"s",$C$2:$C284,"PLH")+COUNTIFS($B$2:$B284,"s",$C$2:$C284,"CSF"))-1,12)+1),"N/A"),"")</f>
        <v/>
      </c>
      <c r="I284" s="6" t="str">
        <f>IF(AND($A284&lt;&gt;"",$B284&lt;&gt;"",$C284&lt;&gt;"",$D284&lt;&gt;"",$E284&lt;&gt;""),IF(AND($B284="s",OR($C284="SER",$C284="PLH",$C284="CSF")),"Case NIH Plate "&amp;(INT(((COUNTIFS($B$2:$B284,"s",$C$2:$C284,"SER")+COUNTIFS($B$2:$B284,"s",$C$2:$C284,"PLH")+COUNTIFS($B$2:$B284,"s",$C$2:$C284,"CSF"))-1)/96)+1)&amp;": "&amp;CHAR(65+INT(MOD((COUNTIFS($B$2:$B284,"s",$C$2:$C284,"SER")+COUNTIFS($B$2:$B284,"s",$C$2:$C284,"PLH")+COUNTIFS($B$2:$B284,"s",$C$2:$C284,"CSF"))-1,96)/12))&amp;(MOD((COUNTIFS($B$2:$B284,"s",$C$2:$C284,"SER")+COUNTIFS($B$2:$B284,"s",$C$2:$C284,"PLH")+COUNTIFS($B$2:$B284,"s",$C$2:$C284,"CSF"))-1,12)+1),"N/A"),"")</f>
        <v/>
      </c>
      <c r="J284" s="6" t="str">
        <f>IF(AND($A284&lt;&gt;"",$B284&lt;&gt;"",$C284&lt;&gt;"",$D284&lt;&gt;"",$E284&lt;&gt;""),IF(AND($B284="s",OR($C284="SER",$C284="PLH")),"Case MAX Planck Plate "&amp;(INT(((COUNTIFS($B$2:$B284,"s",$C$2:$C284,"SER")+COUNTIFS($B$2:$B284,"s",$C$2:$C284,"PLH"))-1)/96)+1)&amp;": "&amp;CHAR(65+INT(MOD((COUNTIFS($B$2:$B284,"s",$C$2:$C284,"SER")+COUNTIFS($B$2:$B284,"s",$C$2:$C284,"PLH"))-1,96)/12))&amp;(MOD((COUNTIFS($B$2:$B284,"s",$C$2:$C284,"SER")+COUNTIFS($B$2:$B284,"s",$C$2:$C284,"PLH"))-1,12)+1),"N/A"),"")</f>
        <v/>
      </c>
      <c r="K284" s="6" t="str">
        <f>IF(AND($A284&lt;&gt;"",$B284&lt;&gt;"",$C284&lt;&gt;"",$D284&lt;&gt;"",$E284&lt;&gt;""),IF($C284="WB","Case WB Box "&amp;(INT((COUNTIFS($C$2:$C284,"WB")-1)/81)+1)&amp;": "&amp;CHAR(65+INT(MOD(COUNTIFS($C$2:$C284,"WB")-1,81)/9))&amp;(MOD(COUNTIFS($C$2:$C284,"WB")-1,9)+1),"N/A"),"")</f>
        <v/>
      </c>
      <c r="L284" s="2" t="str">
        <f t="shared" si="73"/>
        <v/>
      </c>
      <c r="M284" s="2"/>
      <c r="N284" s="2"/>
      <c r="O284" s="2"/>
      <c r="P284" s="7" t="str">
        <f t="shared" si="74"/>
        <v/>
      </c>
      <c r="Q284" s="7" t="str">
        <f t="shared" si="75"/>
        <v/>
      </c>
      <c r="R284" s="7" t="str">
        <f t="shared" si="76"/>
        <v/>
      </c>
      <c r="S284" s="7" t="str">
        <f t="shared" si="77"/>
        <v/>
      </c>
      <c r="T284" s="7" t="str">
        <f t="shared" si="78"/>
        <v/>
      </c>
      <c r="U284" s="7" t="str">
        <f t="shared" si="79"/>
        <v/>
      </c>
      <c r="V284" s="7" t="str">
        <f t="shared" si="80"/>
        <v/>
      </c>
      <c r="W284" s="7" t="str">
        <f t="shared" si="81"/>
        <v/>
      </c>
      <c r="X284" s="7" t="str">
        <f t="shared" si="82"/>
        <v/>
      </c>
      <c r="Y284" s="7" t="str">
        <f t="shared" si="83"/>
        <v/>
      </c>
      <c r="Z284">
        <f t="shared" si="84"/>
        <v>0</v>
      </c>
      <c r="AA284" t="str">
        <f t="shared" si="85"/>
        <v/>
      </c>
      <c r="AB284" t="str">
        <f t="shared" si="86"/>
        <v/>
      </c>
      <c r="AC284" t="str">
        <f t="shared" si="87"/>
        <v/>
      </c>
      <c r="AD284" t="str">
        <f t="shared" si="88"/>
        <v/>
      </c>
      <c r="AE284">
        <f t="shared" si="89"/>
        <v>0</v>
      </c>
    </row>
    <row r="285" spans="1:31" ht="15" customHeight="1" x14ac:dyDescent="0.35">
      <c r="A285" s="2"/>
      <c r="B285" s="3"/>
      <c r="C285" s="3"/>
      <c r="D285" s="4"/>
      <c r="E285" s="5"/>
      <c r="F285" s="11" t="str">
        <f t="shared" ca="1" si="72"/>
        <v/>
      </c>
      <c r="G285" s="5"/>
      <c r="H285" s="6" t="str">
        <f>IF(AND($A285&lt;&gt;"",$B285&lt;&gt;"",$C285&lt;&gt;"",$D285&lt;&gt;"",$E285&lt;&gt;""),IF(AND($B285="s",OR($C285="SER",$C285="PLH",$C285="CSF")),"Case CDI Plate "&amp;(INT(((COUNTIFS($B$2:$B285,"s",$C$2:$C285,"SER")+COUNTIFS($B$2:$B285,"s",$C$2:$C285,"PLH")+COUNTIFS($B$2:$B285,"s",$C$2:$C285,"CSF"))-1)/96)+1)&amp;": "&amp;CHAR(65+INT(MOD((COUNTIFS($B$2:$B285,"s",$C$2:$C285,"SER")+COUNTIFS($B$2:$B285,"s",$C$2:$C285,"PLH")+COUNTIFS($B$2:$B285,"s",$C$2:$C285,"CSF"))-1,96)/12))&amp;(MOD((COUNTIFS($B$2:$B285,"s",$C$2:$C285,"SER")+COUNTIFS($B$2:$B285,"s",$C$2:$C285,"PLH")+COUNTIFS($B$2:$B285,"s",$C$2:$C285,"CSF"))-1,12)+1),"N/A"),"")</f>
        <v/>
      </c>
      <c r="I285" s="6" t="str">
        <f>IF(AND($A285&lt;&gt;"",$B285&lt;&gt;"",$C285&lt;&gt;"",$D285&lt;&gt;"",$E285&lt;&gt;""),IF(AND($B285="s",OR($C285="SER",$C285="PLH",$C285="CSF")),"Case NIH Plate "&amp;(INT(((COUNTIFS($B$2:$B285,"s",$C$2:$C285,"SER")+COUNTIFS($B$2:$B285,"s",$C$2:$C285,"PLH")+COUNTIFS($B$2:$B285,"s",$C$2:$C285,"CSF"))-1)/96)+1)&amp;": "&amp;CHAR(65+INT(MOD((COUNTIFS($B$2:$B285,"s",$C$2:$C285,"SER")+COUNTIFS($B$2:$B285,"s",$C$2:$C285,"PLH")+COUNTIFS($B$2:$B285,"s",$C$2:$C285,"CSF"))-1,96)/12))&amp;(MOD((COUNTIFS($B$2:$B285,"s",$C$2:$C285,"SER")+COUNTIFS($B$2:$B285,"s",$C$2:$C285,"PLH")+COUNTIFS($B$2:$B285,"s",$C$2:$C285,"CSF"))-1,12)+1),"N/A"),"")</f>
        <v/>
      </c>
      <c r="J285" s="6" t="str">
        <f>IF(AND($A285&lt;&gt;"",$B285&lt;&gt;"",$C285&lt;&gt;"",$D285&lt;&gt;"",$E285&lt;&gt;""),IF(AND($B285="s",OR($C285="SER",$C285="PLH")),"Case MAX Planck Plate "&amp;(INT(((COUNTIFS($B$2:$B285,"s",$C$2:$C285,"SER")+COUNTIFS($B$2:$B285,"s",$C$2:$C285,"PLH"))-1)/96)+1)&amp;": "&amp;CHAR(65+INT(MOD((COUNTIFS($B$2:$B285,"s",$C$2:$C285,"SER")+COUNTIFS($B$2:$B285,"s",$C$2:$C285,"PLH"))-1,96)/12))&amp;(MOD((COUNTIFS($B$2:$B285,"s",$C$2:$C285,"SER")+COUNTIFS($B$2:$B285,"s",$C$2:$C285,"PLH"))-1,12)+1),"N/A"),"")</f>
        <v/>
      </c>
      <c r="K285" s="6" t="str">
        <f>IF(AND($A285&lt;&gt;"",$B285&lt;&gt;"",$C285&lt;&gt;"",$D285&lt;&gt;"",$E285&lt;&gt;""),IF($C285="WB","Case WB Box "&amp;(INT((COUNTIFS($C$2:$C285,"WB")-1)/81)+1)&amp;": "&amp;CHAR(65+INT(MOD(COUNTIFS($C$2:$C285,"WB")-1,81)/9))&amp;(MOD(COUNTIFS($C$2:$C285,"WB")-1,9)+1),"N/A"),"")</f>
        <v/>
      </c>
      <c r="L285" s="2" t="str">
        <f t="shared" si="73"/>
        <v/>
      </c>
      <c r="M285" s="2"/>
      <c r="N285" s="2"/>
      <c r="O285" s="2"/>
      <c r="P285" s="7" t="str">
        <f t="shared" si="74"/>
        <v/>
      </c>
      <c r="Q285" s="7" t="str">
        <f t="shared" si="75"/>
        <v/>
      </c>
      <c r="R285" s="7" t="str">
        <f t="shared" si="76"/>
        <v/>
      </c>
      <c r="S285" s="7" t="str">
        <f t="shared" si="77"/>
        <v/>
      </c>
      <c r="T285" s="7" t="str">
        <f t="shared" si="78"/>
        <v/>
      </c>
      <c r="U285" s="7" t="str">
        <f t="shared" si="79"/>
        <v/>
      </c>
      <c r="V285" s="7" t="str">
        <f t="shared" si="80"/>
        <v/>
      </c>
      <c r="W285" s="7" t="str">
        <f t="shared" si="81"/>
        <v/>
      </c>
      <c r="X285" s="7" t="str">
        <f t="shared" si="82"/>
        <v/>
      </c>
      <c r="Y285" s="7" t="str">
        <f t="shared" si="83"/>
        <v/>
      </c>
      <c r="Z285">
        <f t="shared" si="84"/>
        <v>0</v>
      </c>
      <c r="AA285" t="str">
        <f t="shared" si="85"/>
        <v/>
      </c>
      <c r="AB285" t="str">
        <f t="shared" si="86"/>
        <v/>
      </c>
      <c r="AC285" t="str">
        <f t="shared" si="87"/>
        <v/>
      </c>
      <c r="AD285" t="str">
        <f t="shared" si="88"/>
        <v/>
      </c>
      <c r="AE285">
        <f t="shared" si="89"/>
        <v>0</v>
      </c>
    </row>
    <row r="286" spans="1:31" ht="15" customHeight="1" x14ac:dyDescent="0.35">
      <c r="A286" s="2"/>
      <c r="B286" s="3"/>
      <c r="C286" s="3"/>
      <c r="D286" s="4"/>
      <c r="E286" s="5"/>
      <c r="F286" s="11" t="str">
        <f t="shared" ca="1" si="72"/>
        <v/>
      </c>
      <c r="G286" s="5"/>
      <c r="H286" s="6" t="str">
        <f>IF(AND($A286&lt;&gt;"",$B286&lt;&gt;"",$C286&lt;&gt;"",$D286&lt;&gt;"",$E286&lt;&gt;""),IF(AND($B286="s",OR($C286="SER",$C286="PLH",$C286="CSF")),"Case CDI Plate "&amp;(INT(((COUNTIFS($B$2:$B286,"s",$C$2:$C286,"SER")+COUNTIFS($B$2:$B286,"s",$C$2:$C286,"PLH")+COUNTIFS($B$2:$B286,"s",$C$2:$C286,"CSF"))-1)/96)+1)&amp;": "&amp;CHAR(65+INT(MOD((COUNTIFS($B$2:$B286,"s",$C$2:$C286,"SER")+COUNTIFS($B$2:$B286,"s",$C$2:$C286,"PLH")+COUNTIFS($B$2:$B286,"s",$C$2:$C286,"CSF"))-1,96)/12))&amp;(MOD((COUNTIFS($B$2:$B286,"s",$C$2:$C286,"SER")+COUNTIFS($B$2:$B286,"s",$C$2:$C286,"PLH")+COUNTIFS($B$2:$B286,"s",$C$2:$C286,"CSF"))-1,12)+1),"N/A"),"")</f>
        <v/>
      </c>
      <c r="I286" s="6" t="str">
        <f>IF(AND($A286&lt;&gt;"",$B286&lt;&gt;"",$C286&lt;&gt;"",$D286&lt;&gt;"",$E286&lt;&gt;""),IF(AND($B286="s",OR($C286="SER",$C286="PLH",$C286="CSF")),"Case NIH Plate "&amp;(INT(((COUNTIFS($B$2:$B286,"s",$C$2:$C286,"SER")+COUNTIFS($B$2:$B286,"s",$C$2:$C286,"PLH")+COUNTIFS($B$2:$B286,"s",$C$2:$C286,"CSF"))-1)/96)+1)&amp;": "&amp;CHAR(65+INT(MOD((COUNTIFS($B$2:$B286,"s",$C$2:$C286,"SER")+COUNTIFS($B$2:$B286,"s",$C$2:$C286,"PLH")+COUNTIFS($B$2:$B286,"s",$C$2:$C286,"CSF"))-1,96)/12))&amp;(MOD((COUNTIFS($B$2:$B286,"s",$C$2:$C286,"SER")+COUNTIFS($B$2:$B286,"s",$C$2:$C286,"PLH")+COUNTIFS($B$2:$B286,"s",$C$2:$C286,"CSF"))-1,12)+1),"N/A"),"")</f>
        <v/>
      </c>
      <c r="J286" s="6" t="str">
        <f>IF(AND($A286&lt;&gt;"",$B286&lt;&gt;"",$C286&lt;&gt;"",$D286&lt;&gt;"",$E286&lt;&gt;""),IF(AND($B286="s",OR($C286="SER",$C286="PLH")),"Case MAX Planck Plate "&amp;(INT(((COUNTIFS($B$2:$B286,"s",$C$2:$C286,"SER")+COUNTIFS($B$2:$B286,"s",$C$2:$C286,"PLH"))-1)/96)+1)&amp;": "&amp;CHAR(65+INT(MOD((COUNTIFS($B$2:$B286,"s",$C$2:$C286,"SER")+COUNTIFS($B$2:$B286,"s",$C$2:$C286,"PLH"))-1,96)/12))&amp;(MOD((COUNTIFS($B$2:$B286,"s",$C$2:$C286,"SER")+COUNTIFS($B$2:$B286,"s",$C$2:$C286,"PLH"))-1,12)+1),"N/A"),"")</f>
        <v/>
      </c>
      <c r="K286" s="6" t="str">
        <f>IF(AND($A286&lt;&gt;"",$B286&lt;&gt;"",$C286&lt;&gt;"",$D286&lt;&gt;"",$E286&lt;&gt;""),IF($C286="WB","Case WB Box "&amp;(INT((COUNTIFS($C$2:$C286,"WB")-1)/81)+1)&amp;": "&amp;CHAR(65+INT(MOD(COUNTIFS($C$2:$C286,"WB")-1,81)/9))&amp;(MOD(COUNTIFS($C$2:$C286,"WB")-1,9)+1),"N/A"),"")</f>
        <v/>
      </c>
      <c r="L286" s="2" t="str">
        <f t="shared" si="73"/>
        <v/>
      </c>
      <c r="M286" s="2"/>
      <c r="N286" s="2"/>
      <c r="O286" s="2"/>
      <c r="P286" s="7" t="str">
        <f t="shared" si="74"/>
        <v/>
      </c>
      <c r="Q286" s="7" t="str">
        <f t="shared" si="75"/>
        <v/>
      </c>
      <c r="R286" s="7" t="str">
        <f t="shared" si="76"/>
        <v/>
      </c>
      <c r="S286" s="7" t="str">
        <f t="shared" si="77"/>
        <v/>
      </c>
      <c r="T286" s="7" t="str">
        <f t="shared" si="78"/>
        <v/>
      </c>
      <c r="U286" s="7" t="str">
        <f t="shared" si="79"/>
        <v/>
      </c>
      <c r="V286" s="7" t="str">
        <f t="shared" si="80"/>
        <v/>
      </c>
      <c r="W286" s="7" t="str">
        <f t="shared" si="81"/>
        <v/>
      </c>
      <c r="X286" s="7" t="str">
        <f t="shared" si="82"/>
        <v/>
      </c>
      <c r="Y286" s="7" t="str">
        <f t="shared" si="83"/>
        <v/>
      </c>
      <c r="Z286">
        <f t="shared" si="84"/>
        <v>0</v>
      </c>
      <c r="AA286" t="str">
        <f t="shared" si="85"/>
        <v/>
      </c>
      <c r="AB286" t="str">
        <f t="shared" si="86"/>
        <v/>
      </c>
      <c r="AC286" t="str">
        <f t="shared" si="87"/>
        <v/>
      </c>
      <c r="AD286" t="str">
        <f t="shared" si="88"/>
        <v/>
      </c>
      <c r="AE286">
        <f t="shared" si="89"/>
        <v>0</v>
      </c>
    </row>
    <row r="287" spans="1:31" ht="15" customHeight="1" x14ac:dyDescent="0.35">
      <c r="A287" s="2"/>
      <c r="B287" s="3"/>
      <c r="C287" s="3"/>
      <c r="D287" s="4"/>
      <c r="E287" s="5"/>
      <c r="F287" s="11" t="str">
        <f t="shared" ca="1" si="72"/>
        <v/>
      </c>
      <c r="G287" s="5"/>
      <c r="H287" s="6" t="str">
        <f>IF(AND($A287&lt;&gt;"",$B287&lt;&gt;"",$C287&lt;&gt;"",$D287&lt;&gt;"",$E287&lt;&gt;""),IF(AND($B287="s",OR($C287="SER",$C287="PLH",$C287="CSF")),"Case CDI Plate "&amp;(INT(((COUNTIFS($B$2:$B287,"s",$C$2:$C287,"SER")+COUNTIFS($B$2:$B287,"s",$C$2:$C287,"PLH")+COUNTIFS($B$2:$B287,"s",$C$2:$C287,"CSF"))-1)/96)+1)&amp;": "&amp;CHAR(65+INT(MOD((COUNTIFS($B$2:$B287,"s",$C$2:$C287,"SER")+COUNTIFS($B$2:$B287,"s",$C$2:$C287,"PLH")+COUNTIFS($B$2:$B287,"s",$C$2:$C287,"CSF"))-1,96)/12))&amp;(MOD((COUNTIFS($B$2:$B287,"s",$C$2:$C287,"SER")+COUNTIFS($B$2:$B287,"s",$C$2:$C287,"PLH")+COUNTIFS($B$2:$B287,"s",$C$2:$C287,"CSF"))-1,12)+1),"N/A"),"")</f>
        <v/>
      </c>
      <c r="I287" s="6" t="str">
        <f>IF(AND($A287&lt;&gt;"",$B287&lt;&gt;"",$C287&lt;&gt;"",$D287&lt;&gt;"",$E287&lt;&gt;""),IF(AND($B287="s",OR($C287="SER",$C287="PLH",$C287="CSF")),"Case NIH Plate "&amp;(INT(((COUNTIFS($B$2:$B287,"s",$C$2:$C287,"SER")+COUNTIFS($B$2:$B287,"s",$C$2:$C287,"PLH")+COUNTIFS($B$2:$B287,"s",$C$2:$C287,"CSF"))-1)/96)+1)&amp;": "&amp;CHAR(65+INT(MOD((COUNTIFS($B$2:$B287,"s",$C$2:$C287,"SER")+COUNTIFS($B$2:$B287,"s",$C$2:$C287,"PLH")+COUNTIFS($B$2:$B287,"s",$C$2:$C287,"CSF"))-1,96)/12))&amp;(MOD((COUNTIFS($B$2:$B287,"s",$C$2:$C287,"SER")+COUNTIFS($B$2:$B287,"s",$C$2:$C287,"PLH")+COUNTIFS($B$2:$B287,"s",$C$2:$C287,"CSF"))-1,12)+1),"N/A"),"")</f>
        <v/>
      </c>
      <c r="J287" s="6" t="str">
        <f>IF(AND($A287&lt;&gt;"",$B287&lt;&gt;"",$C287&lt;&gt;"",$D287&lt;&gt;"",$E287&lt;&gt;""),IF(AND($B287="s",OR($C287="SER",$C287="PLH")),"Case MAX Planck Plate "&amp;(INT(((COUNTIFS($B$2:$B287,"s",$C$2:$C287,"SER")+COUNTIFS($B$2:$B287,"s",$C$2:$C287,"PLH"))-1)/96)+1)&amp;": "&amp;CHAR(65+INT(MOD((COUNTIFS($B$2:$B287,"s",$C$2:$C287,"SER")+COUNTIFS($B$2:$B287,"s",$C$2:$C287,"PLH"))-1,96)/12))&amp;(MOD((COUNTIFS($B$2:$B287,"s",$C$2:$C287,"SER")+COUNTIFS($B$2:$B287,"s",$C$2:$C287,"PLH"))-1,12)+1),"N/A"),"")</f>
        <v/>
      </c>
      <c r="K287" s="6" t="str">
        <f>IF(AND($A287&lt;&gt;"",$B287&lt;&gt;"",$C287&lt;&gt;"",$D287&lt;&gt;"",$E287&lt;&gt;""),IF($C287="WB","Case WB Box "&amp;(INT((COUNTIFS($C$2:$C287,"WB")-1)/81)+1)&amp;": "&amp;CHAR(65+INT(MOD(COUNTIFS($C$2:$C287,"WB")-1,81)/9))&amp;(MOD(COUNTIFS($C$2:$C287,"WB")-1,9)+1),"N/A"),"")</f>
        <v/>
      </c>
      <c r="L287" s="2" t="str">
        <f t="shared" si="73"/>
        <v/>
      </c>
      <c r="M287" s="2"/>
      <c r="N287" s="2"/>
      <c r="O287" s="2"/>
      <c r="P287" s="7" t="str">
        <f t="shared" si="74"/>
        <v/>
      </c>
      <c r="Q287" s="7" t="str">
        <f t="shared" si="75"/>
        <v/>
      </c>
      <c r="R287" s="7" t="str">
        <f t="shared" si="76"/>
        <v/>
      </c>
      <c r="S287" s="7" t="str">
        <f t="shared" si="77"/>
        <v/>
      </c>
      <c r="T287" s="7" t="str">
        <f t="shared" si="78"/>
        <v/>
      </c>
      <c r="U287" s="7" t="str">
        <f t="shared" si="79"/>
        <v/>
      </c>
      <c r="V287" s="7" t="str">
        <f t="shared" si="80"/>
        <v/>
      </c>
      <c r="W287" s="7" t="str">
        <f t="shared" si="81"/>
        <v/>
      </c>
      <c r="X287" s="7" t="str">
        <f t="shared" si="82"/>
        <v/>
      </c>
      <c r="Y287" s="7" t="str">
        <f t="shared" si="83"/>
        <v/>
      </c>
      <c r="Z287">
        <f t="shared" si="84"/>
        <v>0</v>
      </c>
      <c r="AA287" t="str">
        <f t="shared" si="85"/>
        <v/>
      </c>
      <c r="AB287" t="str">
        <f t="shared" si="86"/>
        <v/>
      </c>
      <c r="AC287" t="str">
        <f t="shared" si="87"/>
        <v/>
      </c>
      <c r="AD287" t="str">
        <f t="shared" si="88"/>
        <v/>
      </c>
      <c r="AE287">
        <f t="shared" si="89"/>
        <v>0</v>
      </c>
    </row>
    <row r="288" spans="1:31" ht="15" customHeight="1" x14ac:dyDescent="0.35">
      <c r="A288" s="2"/>
      <c r="B288" s="3"/>
      <c r="C288" s="3"/>
      <c r="D288" s="4"/>
      <c r="E288" s="5"/>
      <c r="F288" s="11" t="str">
        <f t="shared" ca="1" si="72"/>
        <v/>
      </c>
      <c r="G288" s="5"/>
      <c r="H288" s="6" t="str">
        <f>IF(AND($A288&lt;&gt;"",$B288&lt;&gt;"",$C288&lt;&gt;"",$D288&lt;&gt;"",$E288&lt;&gt;""),IF(AND($B288="s",OR($C288="SER",$C288="PLH",$C288="CSF")),"Case CDI Plate "&amp;(INT(((COUNTIFS($B$2:$B288,"s",$C$2:$C288,"SER")+COUNTIFS($B$2:$B288,"s",$C$2:$C288,"PLH")+COUNTIFS($B$2:$B288,"s",$C$2:$C288,"CSF"))-1)/96)+1)&amp;": "&amp;CHAR(65+INT(MOD((COUNTIFS($B$2:$B288,"s",$C$2:$C288,"SER")+COUNTIFS($B$2:$B288,"s",$C$2:$C288,"PLH")+COUNTIFS($B$2:$B288,"s",$C$2:$C288,"CSF"))-1,96)/12))&amp;(MOD((COUNTIFS($B$2:$B288,"s",$C$2:$C288,"SER")+COUNTIFS($B$2:$B288,"s",$C$2:$C288,"PLH")+COUNTIFS($B$2:$B288,"s",$C$2:$C288,"CSF"))-1,12)+1),"N/A"),"")</f>
        <v/>
      </c>
      <c r="I288" s="6" t="str">
        <f>IF(AND($A288&lt;&gt;"",$B288&lt;&gt;"",$C288&lt;&gt;"",$D288&lt;&gt;"",$E288&lt;&gt;""),IF(AND($B288="s",OR($C288="SER",$C288="PLH",$C288="CSF")),"Case NIH Plate "&amp;(INT(((COUNTIFS($B$2:$B288,"s",$C$2:$C288,"SER")+COUNTIFS($B$2:$B288,"s",$C$2:$C288,"PLH")+COUNTIFS($B$2:$B288,"s",$C$2:$C288,"CSF"))-1)/96)+1)&amp;": "&amp;CHAR(65+INT(MOD((COUNTIFS($B$2:$B288,"s",$C$2:$C288,"SER")+COUNTIFS($B$2:$B288,"s",$C$2:$C288,"PLH")+COUNTIFS($B$2:$B288,"s",$C$2:$C288,"CSF"))-1,96)/12))&amp;(MOD((COUNTIFS($B$2:$B288,"s",$C$2:$C288,"SER")+COUNTIFS($B$2:$B288,"s",$C$2:$C288,"PLH")+COUNTIFS($B$2:$B288,"s",$C$2:$C288,"CSF"))-1,12)+1),"N/A"),"")</f>
        <v/>
      </c>
      <c r="J288" s="6" t="str">
        <f>IF(AND($A288&lt;&gt;"",$B288&lt;&gt;"",$C288&lt;&gt;"",$D288&lt;&gt;"",$E288&lt;&gt;""),IF(AND($B288="s",OR($C288="SER",$C288="PLH")),"Case MAX Planck Plate "&amp;(INT(((COUNTIFS($B$2:$B288,"s",$C$2:$C288,"SER")+COUNTIFS($B$2:$B288,"s",$C$2:$C288,"PLH"))-1)/96)+1)&amp;": "&amp;CHAR(65+INT(MOD((COUNTIFS($B$2:$B288,"s",$C$2:$C288,"SER")+COUNTIFS($B$2:$B288,"s",$C$2:$C288,"PLH"))-1,96)/12))&amp;(MOD((COUNTIFS($B$2:$B288,"s",$C$2:$C288,"SER")+COUNTIFS($B$2:$B288,"s",$C$2:$C288,"PLH"))-1,12)+1),"N/A"),"")</f>
        <v/>
      </c>
      <c r="K288" s="6" t="str">
        <f>IF(AND($A288&lt;&gt;"",$B288&lt;&gt;"",$C288&lt;&gt;"",$D288&lt;&gt;"",$E288&lt;&gt;""),IF($C288="WB","Case WB Box "&amp;(INT((COUNTIFS($C$2:$C288,"WB")-1)/81)+1)&amp;": "&amp;CHAR(65+INT(MOD(COUNTIFS($C$2:$C288,"WB")-1,81)/9))&amp;(MOD(COUNTIFS($C$2:$C288,"WB")-1,9)+1),"N/A"),"")</f>
        <v/>
      </c>
      <c r="L288" s="2" t="str">
        <f t="shared" si="73"/>
        <v/>
      </c>
      <c r="M288" s="2"/>
      <c r="N288" s="2"/>
      <c r="O288" s="2"/>
      <c r="P288" s="7" t="str">
        <f t="shared" si="74"/>
        <v/>
      </c>
      <c r="Q288" s="7" t="str">
        <f t="shared" si="75"/>
        <v/>
      </c>
      <c r="R288" s="7" t="str">
        <f t="shared" si="76"/>
        <v/>
      </c>
      <c r="S288" s="7" t="str">
        <f t="shared" si="77"/>
        <v/>
      </c>
      <c r="T288" s="7" t="str">
        <f t="shared" si="78"/>
        <v/>
      </c>
      <c r="U288" s="7" t="str">
        <f t="shared" si="79"/>
        <v/>
      </c>
      <c r="V288" s="7" t="str">
        <f t="shared" si="80"/>
        <v/>
      </c>
      <c r="W288" s="7" t="str">
        <f t="shared" si="81"/>
        <v/>
      </c>
      <c r="X288" s="7" t="str">
        <f t="shared" si="82"/>
        <v/>
      </c>
      <c r="Y288" s="7" t="str">
        <f t="shared" si="83"/>
        <v/>
      </c>
      <c r="Z288">
        <f t="shared" si="84"/>
        <v>0</v>
      </c>
      <c r="AA288" t="str">
        <f t="shared" si="85"/>
        <v/>
      </c>
      <c r="AB288" t="str">
        <f t="shared" si="86"/>
        <v/>
      </c>
      <c r="AC288" t="str">
        <f t="shared" si="87"/>
        <v/>
      </c>
      <c r="AD288" t="str">
        <f t="shared" si="88"/>
        <v/>
      </c>
      <c r="AE288">
        <f t="shared" si="89"/>
        <v>0</v>
      </c>
    </row>
    <row r="289" spans="1:31" ht="15" customHeight="1" x14ac:dyDescent="0.35">
      <c r="A289" s="2"/>
      <c r="B289" s="3"/>
      <c r="C289" s="3"/>
      <c r="D289" s="4"/>
      <c r="E289" s="5"/>
      <c r="F289" s="11" t="str">
        <f t="shared" ca="1" si="72"/>
        <v/>
      </c>
      <c r="G289" s="5"/>
      <c r="H289" s="6" t="str">
        <f>IF(AND($A289&lt;&gt;"",$B289&lt;&gt;"",$C289&lt;&gt;"",$D289&lt;&gt;"",$E289&lt;&gt;""),IF(AND($B289="s",OR($C289="SER",$C289="PLH",$C289="CSF")),"Case CDI Plate "&amp;(INT(((COUNTIFS($B$2:$B289,"s",$C$2:$C289,"SER")+COUNTIFS($B$2:$B289,"s",$C$2:$C289,"PLH")+COUNTIFS($B$2:$B289,"s",$C$2:$C289,"CSF"))-1)/96)+1)&amp;": "&amp;CHAR(65+INT(MOD((COUNTIFS($B$2:$B289,"s",$C$2:$C289,"SER")+COUNTIFS($B$2:$B289,"s",$C$2:$C289,"PLH")+COUNTIFS($B$2:$B289,"s",$C$2:$C289,"CSF"))-1,96)/12))&amp;(MOD((COUNTIFS($B$2:$B289,"s",$C$2:$C289,"SER")+COUNTIFS($B$2:$B289,"s",$C$2:$C289,"PLH")+COUNTIFS($B$2:$B289,"s",$C$2:$C289,"CSF"))-1,12)+1),"N/A"),"")</f>
        <v/>
      </c>
      <c r="I289" s="6" t="str">
        <f>IF(AND($A289&lt;&gt;"",$B289&lt;&gt;"",$C289&lt;&gt;"",$D289&lt;&gt;"",$E289&lt;&gt;""),IF(AND($B289="s",OR($C289="SER",$C289="PLH",$C289="CSF")),"Case NIH Plate "&amp;(INT(((COUNTIFS($B$2:$B289,"s",$C$2:$C289,"SER")+COUNTIFS($B$2:$B289,"s",$C$2:$C289,"PLH")+COUNTIFS($B$2:$B289,"s",$C$2:$C289,"CSF"))-1)/96)+1)&amp;": "&amp;CHAR(65+INT(MOD((COUNTIFS($B$2:$B289,"s",$C$2:$C289,"SER")+COUNTIFS($B$2:$B289,"s",$C$2:$C289,"PLH")+COUNTIFS($B$2:$B289,"s",$C$2:$C289,"CSF"))-1,96)/12))&amp;(MOD((COUNTIFS($B$2:$B289,"s",$C$2:$C289,"SER")+COUNTIFS($B$2:$B289,"s",$C$2:$C289,"PLH")+COUNTIFS($B$2:$B289,"s",$C$2:$C289,"CSF"))-1,12)+1),"N/A"),"")</f>
        <v/>
      </c>
      <c r="J289" s="6" t="str">
        <f>IF(AND($A289&lt;&gt;"",$B289&lt;&gt;"",$C289&lt;&gt;"",$D289&lt;&gt;"",$E289&lt;&gt;""),IF(AND($B289="s",OR($C289="SER",$C289="PLH")),"Case MAX Planck Plate "&amp;(INT(((COUNTIFS($B$2:$B289,"s",$C$2:$C289,"SER")+COUNTIFS($B$2:$B289,"s",$C$2:$C289,"PLH"))-1)/96)+1)&amp;": "&amp;CHAR(65+INT(MOD((COUNTIFS($B$2:$B289,"s",$C$2:$C289,"SER")+COUNTIFS($B$2:$B289,"s",$C$2:$C289,"PLH"))-1,96)/12))&amp;(MOD((COUNTIFS($B$2:$B289,"s",$C$2:$C289,"SER")+COUNTIFS($B$2:$B289,"s",$C$2:$C289,"PLH"))-1,12)+1),"N/A"),"")</f>
        <v/>
      </c>
      <c r="K289" s="6" t="str">
        <f>IF(AND($A289&lt;&gt;"",$B289&lt;&gt;"",$C289&lt;&gt;"",$D289&lt;&gt;"",$E289&lt;&gt;""),IF($C289="WB","Case WB Box "&amp;(INT((COUNTIFS($C$2:$C289,"WB")-1)/81)+1)&amp;": "&amp;CHAR(65+INT(MOD(COUNTIFS($C$2:$C289,"WB")-1,81)/9))&amp;(MOD(COUNTIFS($C$2:$C289,"WB")-1,9)+1),"N/A"),"")</f>
        <v/>
      </c>
      <c r="L289" s="2" t="str">
        <f t="shared" si="73"/>
        <v/>
      </c>
      <c r="M289" s="2"/>
      <c r="N289" s="2"/>
      <c r="O289" s="2"/>
      <c r="P289" s="7" t="str">
        <f t="shared" si="74"/>
        <v/>
      </c>
      <c r="Q289" s="7" t="str">
        <f t="shared" si="75"/>
        <v/>
      </c>
      <c r="R289" s="7" t="str">
        <f t="shared" si="76"/>
        <v/>
      </c>
      <c r="S289" s="7" t="str">
        <f t="shared" si="77"/>
        <v/>
      </c>
      <c r="T289" s="7" t="str">
        <f t="shared" si="78"/>
        <v/>
      </c>
      <c r="U289" s="7" t="str">
        <f t="shared" si="79"/>
        <v/>
      </c>
      <c r="V289" s="7" t="str">
        <f t="shared" si="80"/>
        <v/>
      </c>
      <c r="W289" s="7" t="str">
        <f t="shared" si="81"/>
        <v/>
      </c>
      <c r="X289" s="7" t="str">
        <f t="shared" si="82"/>
        <v/>
      </c>
      <c r="Y289" s="7" t="str">
        <f t="shared" si="83"/>
        <v/>
      </c>
      <c r="Z289">
        <f t="shared" si="84"/>
        <v>0</v>
      </c>
      <c r="AA289" t="str">
        <f t="shared" si="85"/>
        <v/>
      </c>
      <c r="AB289" t="str">
        <f t="shared" si="86"/>
        <v/>
      </c>
      <c r="AC289" t="str">
        <f t="shared" si="87"/>
        <v/>
      </c>
      <c r="AD289" t="str">
        <f t="shared" si="88"/>
        <v/>
      </c>
      <c r="AE289">
        <f t="shared" si="89"/>
        <v>0</v>
      </c>
    </row>
    <row r="290" spans="1:31" ht="15" customHeight="1" x14ac:dyDescent="0.35">
      <c r="A290" s="2"/>
      <c r="B290" s="3"/>
      <c r="C290" s="3"/>
      <c r="D290" s="4"/>
      <c r="E290" s="5"/>
      <c r="F290" s="11" t="str">
        <f t="shared" ca="1" si="72"/>
        <v/>
      </c>
      <c r="G290" s="5"/>
      <c r="H290" s="6" t="str">
        <f>IF(AND($A290&lt;&gt;"",$B290&lt;&gt;"",$C290&lt;&gt;"",$D290&lt;&gt;"",$E290&lt;&gt;""),IF(AND($B290="s",OR($C290="SER",$C290="PLH",$C290="CSF")),"Case CDI Plate "&amp;(INT(((COUNTIFS($B$2:$B290,"s",$C$2:$C290,"SER")+COUNTIFS($B$2:$B290,"s",$C$2:$C290,"PLH")+COUNTIFS($B$2:$B290,"s",$C$2:$C290,"CSF"))-1)/96)+1)&amp;": "&amp;CHAR(65+INT(MOD((COUNTIFS($B$2:$B290,"s",$C$2:$C290,"SER")+COUNTIFS($B$2:$B290,"s",$C$2:$C290,"PLH")+COUNTIFS($B$2:$B290,"s",$C$2:$C290,"CSF"))-1,96)/12))&amp;(MOD((COUNTIFS($B$2:$B290,"s",$C$2:$C290,"SER")+COUNTIFS($B$2:$B290,"s",$C$2:$C290,"PLH")+COUNTIFS($B$2:$B290,"s",$C$2:$C290,"CSF"))-1,12)+1),"N/A"),"")</f>
        <v/>
      </c>
      <c r="I290" s="6" t="str">
        <f>IF(AND($A290&lt;&gt;"",$B290&lt;&gt;"",$C290&lt;&gt;"",$D290&lt;&gt;"",$E290&lt;&gt;""),IF(AND($B290="s",OR($C290="SER",$C290="PLH",$C290="CSF")),"Case NIH Plate "&amp;(INT(((COUNTIFS($B$2:$B290,"s",$C$2:$C290,"SER")+COUNTIFS($B$2:$B290,"s",$C$2:$C290,"PLH")+COUNTIFS($B$2:$B290,"s",$C$2:$C290,"CSF"))-1)/96)+1)&amp;": "&amp;CHAR(65+INT(MOD((COUNTIFS($B$2:$B290,"s",$C$2:$C290,"SER")+COUNTIFS($B$2:$B290,"s",$C$2:$C290,"PLH")+COUNTIFS($B$2:$B290,"s",$C$2:$C290,"CSF"))-1,96)/12))&amp;(MOD((COUNTIFS($B$2:$B290,"s",$C$2:$C290,"SER")+COUNTIFS($B$2:$B290,"s",$C$2:$C290,"PLH")+COUNTIFS($B$2:$B290,"s",$C$2:$C290,"CSF"))-1,12)+1),"N/A"),"")</f>
        <v/>
      </c>
      <c r="J290" s="6" t="str">
        <f>IF(AND($A290&lt;&gt;"",$B290&lt;&gt;"",$C290&lt;&gt;"",$D290&lt;&gt;"",$E290&lt;&gt;""),IF(AND($B290="s",OR($C290="SER",$C290="PLH")),"Case MAX Planck Plate "&amp;(INT(((COUNTIFS($B$2:$B290,"s",$C$2:$C290,"SER")+COUNTIFS($B$2:$B290,"s",$C$2:$C290,"PLH"))-1)/96)+1)&amp;": "&amp;CHAR(65+INT(MOD((COUNTIFS($B$2:$B290,"s",$C$2:$C290,"SER")+COUNTIFS($B$2:$B290,"s",$C$2:$C290,"PLH"))-1,96)/12))&amp;(MOD((COUNTIFS($B$2:$B290,"s",$C$2:$C290,"SER")+COUNTIFS($B$2:$B290,"s",$C$2:$C290,"PLH"))-1,12)+1),"N/A"),"")</f>
        <v/>
      </c>
      <c r="K290" s="6" t="str">
        <f>IF(AND($A290&lt;&gt;"",$B290&lt;&gt;"",$C290&lt;&gt;"",$D290&lt;&gt;"",$E290&lt;&gt;""),IF($C290="WB","Case WB Box "&amp;(INT((COUNTIFS($C$2:$C290,"WB")-1)/81)+1)&amp;": "&amp;CHAR(65+INT(MOD(COUNTIFS($C$2:$C290,"WB")-1,81)/9))&amp;(MOD(COUNTIFS($C$2:$C290,"WB")-1,9)+1),"N/A"),"")</f>
        <v/>
      </c>
      <c r="L290" s="2" t="str">
        <f t="shared" si="73"/>
        <v/>
      </c>
      <c r="M290" s="2"/>
      <c r="N290" s="2"/>
      <c r="O290" s="2"/>
      <c r="P290" s="7" t="str">
        <f t="shared" si="74"/>
        <v/>
      </c>
      <c r="Q290" s="7" t="str">
        <f t="shared" si="75"/>
        <v/>
      </c>
      <c r="R290" s="7" t="str">
        <f t="shared" si="76"/>
        <v/>
      </c>
      <c r="S290" s="7" t="str">
        <f t="shared" si="77"/>
        <v/>
      </c>
      <c r="T290" s="7" t="str">
        <f t="shared" si="78"/>
        <v/>
      </c>
      <c r="U290" s="7" t="str">
        <f t="shared" si="79"/>
        <v/>
      </c>
      <c r="V290" s="7" t="str">
        <f t="shared" si="80"/>
        <v/>
      </c>
      <c r="W290" s="7" t="str">
        <f t="shared" si="81"/>
        <v/>
      </c>
      <c r="X290" s="7" t="str">
        <f t="shared" si="82"/>
        <v/>
      </c>
      <c r="Y290" s="7" t="str">
        <f t="shared" si="83"/>
        <v/>
      </c>
      <c r="Z290">
        <f t="shared" si="84"/>
        <v>0</v>
      </c>
      <c r="AA290" t="str">
        <f t="shared" si="85"/>
        <v/>
      </c>
      <c r="AB290" t="str">
        <f t="shared" si="86"/>
        <v/>
      </c>
      <c r="AC290" t="str">
        <f t="shared" si="87"/>
        <v/>
      </c>
      <c r="AD290" t="str">
        <f t="shared" si="88"/>
        <v/>
      </c>
      <c r="AE290">
        <f t="shared" si="89"/>
        <v>0</v>
      </c>
    </row>
    <row r="291" spans="1:31" ht="15" customHeight="1" x14ac:dyDescent="0.35">
      <c r="A291" s="2"/>
      <c r="B291" s="3"/>
      <c r="C291" s="3"/>
      <c r="D291" s="4"/>
      <c r="E291" s="5"/>
      <c r="F291" s="11" t="str">
        <f t="shared" ca="1" si="72"/>
        <v/>
      </c>
      <c r="G291" s="5"/>
      <c r="H291" s="6" t="str">
        <f>IF(AND($A291&lt;&gt;"",$B291&lt;&gt;"",$C291&lt;&gt;"",$D291&lt;&gt;"",$E291&lt;&gt;""),IF(AND($B291="s",OR($C291="SER",$C291="PLH",$C291="CSF")),"Case CDI Plate "&amp;(INT(((COUNTIFS($B$2:$B291,"s",$C$2:$C291,"SER")+COUNTIFS($B$2:$B291,"s",$C$2:$C291,"PLH")+COUNTIFS($B$2:$B291,"s",$C$2:$C291,"CSF"))-1)/96)+1)&amp;": "&amp;CHAR(65+INT(MOD((COUNTIFS($B$2:$B291,"s",$C$2:$C291,"SER")+COUNTIFS($B$2:$B291,"s",$C$2:$C291,"PLH")+COUNTIFS($B$2:$B291,"s",$C$2:$C291,"CSF"))-1,96)/12))&amp;(MOD((COUNTIFS($B$2:$B291,"s",$C$2:$C291,"SER")+COUNTIFS($B$2:$B291,"s",$C$2:$C291,"PLH")+COUNTIFS($B$2:$B291,"s",$C$2:$C291,"CSF"))-1,12)+1),"N/A"),"")</f>
        <v/>
      </c>
      <c r="I291" s="6" t="str">
        <f>IF(AND($A291&lt;&gt;"",$B291&lt;&gt;"",$C291&lt;&gt;"",$D291&lt;&gt;"",$E291&lt;&gt;""),IF(AND($B291="s",OR($C291="SER",$C291="PLH",$C291="CSF")),"Case NIH Plate "&amp;(INT(((COUNTIFS($B$2:$B291,"s",$C$2:$C291,"SER")+COUNTIFS($B$2:$B291,"s",$C$2:$C291,"PLH")+COUNTIFS($B$2:$B291,"s",$C$2:$C291,"CSF"))-1)/96)+1)&amp;": "&amp;CHAR(65+INT(MOD((COUNTIFS($B$2:$B291,"s",$C$2:$C291,"SER")+COUNTIFS($B$2:$B291,"s",$C$2:$C291,"PLH")+COUNTIFS($B$2:$B291,"s",$C$2:$C291,"CSF"))-1,96)/12))&amp;(MOD((COUNTIFS($B$2:$B291,"s",$C$2:$C291,"SER")+COUNTIFS($B$2:$B291,"s",$C$2:$C291,"PLH")+COUNTIFS($B$2:$B291,"s",$C$2:$C291,"CSF"))-1,12)+1),"N/A"),"")</f>
        <v/>
      </c>
      <c r="J291" s="6" t="str">
        <f>IF(AND($A291&lt;&gt;"",$B291&lt;&gt;"",$C291&lt;&gt;"",$D291&lt;&gt;"",$E291&lt;&gt;""),IF(AND($B291="s",OR($C291="SER",$C291="PLH")),"Case MAX Planck Plate "&amp;(INT(((COUNTIFS($B$2:$B291,"s",$C$2:$C291,"SER")+COUNTIFS($B$2:$B291,"s",$C$2:$C291,"PLH"))-1)/96)+1)&amp;": "&amp;CHAR(65+INT(MOD((COUNTIFS($B$2:$B291,"s",$C$2:$C291,"SER")+COUNTIFS($B$2:$B291,"s",$C$2:$C291,"PLH"))-1,96)/12))&amp;(MOD((COUNTIFS($B$2:$B291,"s",$C$2:$C291,"SER")+COUNTIFS($B$2:$B291,"s",$C$2:$C291,"PLH"))-1,12)+1),"N/A"),"")</f>
        <v/>
      </c>
      <c r="K291" s="6" t="str">
        <f>IF(AND($A291&lt;&gt;"",$B291&lt;&gt;"",$C291&lt;&gt;"",$D291&lt;&gt;"",$E291&lt;&gt;""),IF($C291="WB","Case WB Box "&amp;(INT((COUNTIFS($C$2:$C291,"WB")-1)/81)+1)&amp;": "&amp;CHAR(65+INT(MOD(COUNTIFS($C$2:$C291,"WB")-1,81)/9))&amp;(MOD(COUNTIFS($C$2:$C291,"WB")-1,9)+1),"N/A"),"")</f>
        <v/>
      </c>
      <c r="L291" s="2" t="str">
        <f t="shared" si="73"/>
        <v/>
      </c>
      <c r="M291" s="2"/>
      <c r="N291" s="2"/>
      <c r="O291" s="2"/>
      <c r="P291" s="7" t="str">
        <f t="shared" si="74"/>
        <v/>
      </c>
      <c r="Q291" s="7" t="str">
        <f t="shared" si="75"/>
        <v/>
      </c>
      <c r="R291" s="7" t="str">
        <f t="shared" si="76"/>
        <v/>
      </c>
      <c r="S291" s="7" t="str">
        <f t="shared" si="77"/>
        <v/>
      </c>
      <c r="T291" s="7" t="str">
        <f t="shared" si="78"/>
        <v/>
      </c>
      <c r="U291" s="7" t="str">
        <f t="shared" si="79"/>
        <v/>
      </c>
      <c r="V291" s="7" t="str">
        <f t="shared" si="80"/>
        <v/>
      </c>
      <c r="W291" s="7" t="str">
        <f t="shared" si="81"/>
        <v/>
      </c>
      <c r="X291" s="7" t="str">
        <f t="shared" si="82"/>
        <v/>
      </c>
      <c r="Y291" s="7" t="str">
        <f t="shared" si="83"/>
        <v/>
      </c>
      <c r="Z291">
        <f t="shared" si="84"/>
        <v>0</v>
      </c>
      <c r="AA291" t="str">
        <f t="shared" si="85"/>
        <v/>
      </c>
      <c r="AB291" t="str">
        <f t="shared" si="86"/>
        <v/>
      </c>
      <c r="AC291" t="str">
        <f t="shared" si="87"/>
        <v/>
      </c>
      <c r="AD291" t="str">
        <f t="shared" si="88"/>
        <v/>
      </c>
      <c r="AE291">
        <f t="shared" si="89"/>
        <v>0</v>
      </c>
    </row>
    <row r="292" spans="1:31" ht="15" customHeight="1" x14ac:dyDescent="0.35">
      <c r="A292" s="2"/>
      <c r="B292" s="3"/>
      <c r="C292" s="3"/>
      <c r="D292" s="4"/>
      <c r="E292" s="5"/>
      <c r="F292" s="11" t="str">
        <f t="shared" ca="1" si="72"/>
        <v/>
      </c>
      <c r="G292" s="5"/>
      <c r="H292" s="6" t="str">
        <f>IF(AND($A292&lt;&gt;"",$B292&lt;&gt;"",$C292&lt;&gt;"",$D292&lt;&gt;"",$E292&lt;&gt;""),IF(AND($B292="s",OR($C292="SER",$C292="PLH",$C292="CSF")),"Case CDI Plate "&amp;(INT(((COUNTIFS($B$2:$B292,"s",$C$2:$C292,"SER")+COUNTIFS($B$2:$B292,"s",$C$2:$C292,"PLH")+COUNTIFS($B$2:$B292,"s",$C$2:$C292,"CSF"))-1)/96)+1)&amp;": "&amp;CHAR(65+INT(MOD((COUNTIFS($B$2:$B292,"s",$C$2:$C292,"SER")+COUNTIFS($B$2:$B292,"s",$C$2:$C292,"PLH")+COUNTIFS($B$2:$B292,"s",$C$2:$C292,"CSF"))-1,96)/12))&amp;(MOD((COUNTIFS($B$2:$B292,"s",$C$2:$C292,"SER")+COUNTIFS($B$2:$B292,"s",$C$2:$C292,"PLH")+COUNTIFS($B$2:$B292,"s",$C$2:$C292,"CSF"))-1,12)+1),"N/A"),"")</f>
        <v/>
      </c>
      <c r="I292" s="6" t="str">
        <f>IF(AND($A292&lt;&gt;"",$B292&lt;&gt;"",$C292&lt;&gt;"",$D292&lt;&gt;"",$E292&lt;&gt;""),IF(AND($B292="s",OR($C292="SER",$C292="PLH",$C292="CSF")),"Case NIH Plate "&amp;(INT(((COUNTIFS($B$2:$B292,"s",$C$2:$C292,"SER")+COUNTIFS($B$2:$B292,"s",$C$2:$C292,"PLH")+COUNTIFS($B$2:$B292,"s",$C$2:$C292,"CSF"))-1)/96)+1)&amp;": "&amp;CHAR(65+INT(MOD((COUNTIFS($B$2:$B292,"s",$C$2:$C292,"SER")+COUNTIFS($B$2:$B292,"s",$C$2:$C292,"PLH")+COUNTIFS($B$2:$B292,"s",$C$2:$C292,"CSF"))-1,96)/12))&amp;(MOD((COUNTIFS($B$2:$B292,"s",$C$2:$C292,"SER")+COUNTIFS($B$2:$B292,"s",$C$2:$C292,"PLH")+COUNTIFS($B$2:$B292,"s",$C$2:$C292,"CSF"))-1,12)+1),"N/A"),"")</f>
        <v/>
      </c>
      <c r="J292" s="6" t="str">
        <f>IF(AND($A292&lt;&gt;"",$B292&lt;&gt;"",$C292&lt;&gt;"",$D292&lt;&gt;"",$E292&lt;&gt;""),IF(AND($B292="s",OR($C292="SER",$C292="PLH")),"Case MAX Planck Plate "&amp;(INT(((COUNTIFS($B$2:$B292,"s",$C$2:$C292,"SER")+COUNTIFS($B$2:$B292,"s",$C$2:$C292,"PLH"))-1)/96)+1)&amp;": "&amp;CHAR(65+INT(MOD((COUNTIFS($B$2:$B292,"s",$C$2:$C292,"SER")+COUNTIFS($B$2:$B292,"s",$C$2:$C292,"PLH"))-1,96)/12))&amp;(MOD((COUNTIFS($B$2:$B292,"s",$C$2:$C292,"SER")+COUNTIFS($B$2:$B292,"s",$C$2:$C292,"PLH"))-1,12)+1),"N/A"),"")</f>
        <v/>
      </c>
      <c r="K292" s="6" t="str">
        <f>IF(AND($A292&lt;&gt;"",$B292&lt;&gt;"",$C292&lt;&gt;"",$D292&lt;&gt;"",$E292&lt;&gt;""),IF($C292="WB","Case WB Box "&amp;(INT((COUNTIFS($C$2:$C292,"WB")-1)/81)+1)&amp;": "&amp;CHAR(65+INT(MOD(COUNTIFS($C$2:$C292,"WB")-1,81)/9))&amp;(MOD(COUNTIFS($C$2:$C292,"WB")-1,9)+1),"N/A"),"")</f>
        <v/>
      </c>
      <c r="L292" s="2" t="str">
        <f t="shared" si="73"/>
        <v/>
      </c>
      <c r="M292" s="2"/>
      <c r="N292" s="2"/>
      <c r="O292" s="2"/>
      <c r="P292" s="7" t="str">
        <f t="shared" si="74"/>
        <v/>
      </c>
      <c r="Q292" s="7" t="str">
        <f t="shared" si="75"/>
        <v/>
      </c>
      <c r="R292" s="7" t="str">
        <f t="shared" si="76"/>
        <v/>
      </c>
      <c r="S292" s="7" t="str">
        <f t="shared" si="77"/>
        <v/>
      </c>
      <c r="T292" s="7" t="str">
        <f t="shared" si="78"/>
        <v/>
      </c>
      <c r="U292" s="7" t="str">
        <f t="shared" si="79"/>
        <v/>
      </c>
      <c r="V292" s="7" t="str">
        <f t="shared" si="80"/>
        <v/>
      </c>
      <c r="W292" s="7" t="str">
        <f t="shared" si="81"/>
        <v/>
      </c>
      <c r="X292" s="7" t="str">
        <f t="shared" si="82"/>
        <v/>
      </c>
      <c r="Y292" s="7" t="str">
        <f t="shared" si="83"/>
        <v/>
      </c>
      <c r="Z292">
        <f t="shared" si="84"/>
        <v>0</v>
      </c>
      <c r="AA292" t="str">
        <f t="shared" si="85"/>
        <v/>
      </c>
      <c r="AB292" t="str">
        <f t="shared" si="86"/>
        <v/>
      </c>
      <c r="AC292" t="str">
        <f t="shared" si="87"/>
        <v/>
      </c>
      <c r="AD292" t="str">
        <f t="shared" si="88"/>
        <v/>
      </c>
      <c r="AE292">
        <f t="shared" si="89"/>
        <v>0</v>
      </c>
    </row>
    <row r="293" spans="1:31" ht="15" customHeight="1" x14ac:dyDescent="0.35">
      <c r="A293" s="2"/>
      <c r="B293" s="3"/>
      <c r="C293" s="3"/>
      <c r="D293" s="4"/>
      <c r="E293" s="5"/>
      <c r="F293" s="11" t="str">
        <f t="shared" ca="1" si="72"/>
        <v/>
      </c>
      <c r="G293" s="5"/>
      <c r="H293" s="6" t="str">
        <f>IF(AND($A293&lt;&gt;"",$B293&lt;&gt;"",$C293&lt;&gt;"",$D293&lt;&gt;"",$E293&lt;&gt;""),IF(AND($B293="s",OR($C293="SER",$C293="PLH",$C293="CSF")),"Case CDI Plate "&amp;(INT(((COUNTIFS($B$2:$B293,"s",$C$2:$C293,"SER")+COUNTIFS($B$2:$B293,"s",$C$2:$C293,"PLH")+COUNTIFS($B$2:$B293,"s",$C$2:$C293,"CSF"))-1)/96)+1)&amp;": "&amp;CHAR(65+INT(MOD((COUNTIFS($B$2:$B293,"s",$C$2:$C293,"SER")+COUNTIFS($B$2:$B293,"s",$C$2:$C293,"PLH")+COUNTIFS($B$2:$B293,"s",$C$2:$C293,"CSF"))-1,96)/12))&amp;(MOD((COUNTIFS($B$2:$B293,"s",$C$2:$C293,"SER")+COUNTIFS($B$2:$B293,"s",$C$2:$C293,"PLH")+COUNTIFS($B$2:$B293,"s",$C$2:$C293,"CSF"))-1,12)+1),"N/A"),"")</f>
        <v/>
      </c>
      <c r="I293" s="6" t="str">
        <f>IF(AND($A293&lt;&gt;"",$B293&lt;&gt;"",$C293&lt;&gt;"",$D293&lt;&gt;"",$E293&lt;&gt;""),IF(AND($B293="s",OR($C293="SER",$C293="PLH",$C293="CSF")),"Case NIH Plate "&amp;(INT(((COUNTIFS($B$2:$B293,"s",$C$2:$C293,"SER")+COUNTIFS($B$2:$B293,"s",$C$2:$C293,"PLH")+COUNTIFS($B$2:$B293,"s",$C$2:$C293,"CSF"))-1)/96)+1)&amp;": "&amp;CHAR(65+INT(MOD((COUNTIFS($B$2:$B293,"s",$C$2:$C293,"SER")+COUNTIFS($B$2:$B293,"s",$C$2:$C293,"PLH")+COUNTIFS($B$2:$B293,"s",$C$2:$C293,"CSF"))-1,96)/12))&amp;(MOD((COUNTIFS($B$2:$B293,"s",$C$2:$C293,"SER")+COUNTIFS($B$2:$B293,"s",$C$2:$C293,"PLH")+COUNTIFS($B$2:$B293,"s",$C$2:$C293,"CSF"))-1,12)+1),"N/A"),"")</f>
        <v/>
      </c>
      <c r="J293" s="6" t="str">
        <f>IF(AND($A293&lt;&gt;"",$B293&lt;&gt;"",$C293&lt;&gt;"",$D293&lt;&gt;"",$E293&lt;&gt;""),IF(AND($B293="s",OR($C293="SER",$C293="PLH")),"Case MAX Planck Plate "&amp;(INT(((COUNTIFS($B$2:$B293,"s",$C$2:$C293,"SER")+COUNTIFS($B$2:$B293,"s",$C$2:$C293,"PLH"))-1)/96)+1)&amp;": "&amp;CHAR(65+INT(MOD((COUNTIFS($B$2:$B293,"s",$C$2:$C293,"SER")+COUNTIFS($B$2:$B293,"s",$C$2:$C293,"PLH"))-1,96)/12))&amp;(MOD((COUNTIFS($B$2:$B293,"s",$C$2:$C293,"SER")+COUNTIFS($B$2:$B293,"s",$C$2:$C293,"PLH"))-1,12)+1),"N/A"),"")</f>
        <v/>
      </c>
      <c r="K293" s="6" t="str">
        <f>IF(AND($A293&lt;&gt;"",$B293&lt;&gt;"",$C293&lt;&gt;"",$D293&lt;&gt;"",$E293&lt;&gt;""),IF($C293="WB","Case WB Box "&amp;(INT((COUNTIFS($C$2:$C293,"WB")-1)/81)+1)&amp;": "&amp;CHAR(65+INT(MOD(COUNTIFS($C$2:$C293,"WB")-1,81)/9))&amp;(MOD(COUNTIFS($C$2:$C293,"WB")-1,9)+1),"N/A"),"")</f>
        <v/>
      </c>
      <c r="L293" s="2" t="str">
        <f t="shared" si="73"/>
        <v/>
      </c>
      <c r="M293" s="2"/>
      <c r="N293" s="2"/>
      <c r="O293" s="2"/>
      <c r="P293" s="7" t="str">
        <f t="shared" si="74"/>
        <v/>
      </c>
      <c r="Q293" s="7" t="str">
        <f t="shared" si="75"/>
        <v/>
      </c>
      <c r="R293" s="7" t="str">
        <f t="shared" si="76"/>
        <v/>
      </c>
      <c r="S293" s="7" t="str">
        <f t="shared" si="77"/>
        <v/>
      </c>
      <c r="T293" s="7" t="str">
        <f t="shared" si="78"/>
        <v/>
      </c>
      <c r="U293" s="7" t="str">
        <f t="shared" si="79"/>
        <v/>
      </c>
      <c r="V293" s="7" t="str">
        <f t="shared" si="80"/>
        <v/>
      </c>
      <c r="W293" s="7" t="str">
        <f t="shared" si="81"/>
        <v/>
      </c>
      <c r="X293" s="7" t="str">
        <f t="shared" si="82"/>
        <v/>
      </c>
      <c r="Y293" s="7" t="str">
        <f t="shared" si="83"/>
        <v/>
      </c>
      <c r="Z293">
        <f t="shared" si="84"/>
        <v>0</v>
      </c>
      <c r="AA293" t="str">
        <f t="shared" si="85"/>
        <v/>
      </c>
      <c r="AB293" t="str">
        <f t="shared" si="86"/>
        <v/>
      </c>
      <c r="AC293" t="str">
        <f t="shared" si="87"/>
        <v/>
      </c>
      <c r="AD293" t="str">
        <f t="shared" si="88"/>
        <v/>
      </c>
      <c r="AE293">
        <f t="shared" si="89"/>
        <v>0</v>
      </c>
    </row>
    <row r="294" spans="1:31" ht="15" customHeight="1" x14ac:dyDescent="0.35">
      <c r="A294" s="2"/>
      <c r="B294" s="3"/>
      <c r="C294" s="3"/>
      <c r="D294" s="4"/>
      <c r="E294" s="5"/>
      <c r="F294" s="11" t="str">
        <f t="shared" ca="1" si="72"/>
        <v/>
      </c>
      <c r="G294" s="5"/>
      <c r="H294" s="6" t="str">
        <f>IF(AND($A294&lt;&gt;"",$B294&lt;&gt;"",$C294&lt;&gt;"",$D294&lt;&gt;"",$E294&lt;&gt;""),IF(AND($B294="s",OR($C294="SER",$C294="PLH",$C294="CSF")),"Case CDI Plate "&amp;(INT(((COUNTIFS($B$2:$B294,"s",$C$2:$C294,"SER")+COUNTIFS($B$2:$B294,"s",$C$2:$C294,"PLH")+COUNTIFS($B$2:$B294,"s",$C$2:$C294,"CSF"))-1)/96)+1)&amp;": "&amp;CHAR(65+INT(MOD((COUNTIFS($B$2:$B294,"s",$C$2:$C294,"SER")+COUNTIFS($B$2:$B294,"s",$C$2:$C294,"PLH")+COUNTIFS($B$2:$B294,"s",$C$2:$C294,"CSF"))-1,96)/12))&amp;(MOD((COUNTIFS($B$2:$B294,"s",$C$2:$C294,"SER")+COUNTIFS($B$2:$B294,"s",$C$2:$C294,"PLH")+COUNTIFS($B$2:$B294,"s",$C$2:$C294,"CSF"))-1,12)+1),"N/A"),"")</f>
        <v/>
      </c>
      <c r="I294" s="6" t="str">
        <f>IF(AND($A294&lt;&gt;"",$B294&lt;&gt;"",$C294&lt;&gt;"",$D294&lt;&gt;"",$E294&lt;&gt;""),IF(AND($B294="s",OR($C294="SER",$C294="PLH",$C294="CSF")),"Case NIH Plate "&amp;(INT(((COUNTIFS($B$2:$B294,"s",$C$2:$C294,"SER")+COUNTIFS($B$2:$B294,"s",$C$2:$C294,"PLH")+COUNTIFS($B$2:$B294,"s",$C$2:$C294,"CSF"))-1)/96)+1)&amp;": "&amp;CHAR(65+INT(MOD((COUNTIFS($B$2:$B294,"s",$C$2:$C294,"SER")+COUNTIFS($B$2:$B294,"s",$C$2:$C294,"PLH")+COUNTIFS($B$2:$B294,"s",$C$2:$C294,"CSF"))-1,96)/12))&amp;(MOD((COUNTIFS($B$2:$B294,"s",$C$2:$C294,"SER")+COUNTIFS($B$2:$B294,"s",$C$2:$C294,"PLH")+COUNTIFS($B$2:$B294,"s",$C$2:$C294,"CSF"))-1,12)+1),"N/A"),"")</f>
        <v/>
      </c>
      <c r="J294" s="6" t="str">
        <f>IF(AND($A294&lt;&gt;"",$B294&lt;&gt;"",$C294&lt;&gt;"",$D294&lt;&gt;"",$E294&lt;&gt;""),IF(AND($B294="s",OR($C294="SER",$C294="PLH")),"Case MAX Planck Plate "&amp;(INT(((COUNTIFS($B$2:$B294,"s",$C$2:$C294,"SER")+COUNTIFS($B$2:$B294,"s",$C$2:$C294,"PLH"))-1)/96)+1)&amp;": "&amp;CHAR(65+INT(MOD((COUNTIFS($B$2:$B294,"s",$C$2:$C294,"SER")+COUNTIFS($B$2:$B294,"s",$C$2:$C294,"PLH"))-1,96)/12))&amp;(MOD((COUNTIFS($B$2:$B294,"s",$C$2:$C294,"SER")+COUNTIFS($B$2:$B294,"s",$C$2:$C294,"PLH"))-1,12)+1),"N/A"),"")</f>
        <v/>
      </c>
      <c r="K294" s="6" t="str">
        <f>IF(AND($A294&lt;&gt;"",$B294&lt;&gt;"",$C294&lt;&gt;"",$D294&lt;&gt;"",$E294&lt;&gt;""),IF($C294="WB","Case WB Box "&amp;(INT((COUNTIFS($C$2:$C294,"WB")-1)/81)+1)&amp;": "&amp;CHAR(65+INT(MOD(COUNTIFS($C$2:$C294,"WB")-1,81)/9))&amp;(MOD(COUNTIFS($C$2:$C294,"WB")-1,9)+1),"N/A"),"")</f>
        <v/>
      </c>
      <c r="L294" s="2" t="str">
        <f t="shared" si="73"/>
        <v/>
      </c>
      <c r="M294" s="2"/>
      <c r="N294" s="2"/>
      <c r="O294" s="2"/>
      <c r="P294" s="7" t="str">
        <f t="shared" si="74"/>
        <v/>
      </c>
      <c r="Q294" s="7" t="str">
        <f t="shared" si="75"/>
        <v/>
      </c>
      <c r="R294" s="7" t="str">
        <f t="shared" si="76"/>
        <v/>
      </c>
      <c r="S294" s="7" t="str">
        <f t="shared" si="77"/>
        <v/>
      </c>
      <c r="T294" s="7" t="str">
        <f t="shared" si="78"/>
        <v/>
      </c>
      <c r="U294" s="7" t="str">
        <f t="shared" si="79"/>
        <v/>
      </c>
      <c r="V294" s="7" t="str">
        <f t="shared" si="80"/>
        <v/>
      </c>
      <c r="W294" s="7" t="str">
        <f t="shared" si="81"/>
        <v/>
      </c>
      <c r="X294" s="7" t="str">
        <f t="shared" si="82"/>
        <v/>
      </c>
      <c r="Y294" s="7" t="str">
        <f t="shared" si="83"/>
        <v/>
      </c>
      <c r="Z294">
        <f t="shared" si="84"/>
        <v>0</v>
      </c>
      <c r="AA294" t="str">
        <f t="shared" si="85"/>
        <v/>
      </c>
      <c r="AB294" t="str">
        <f t="shared" si="86"/>
        <v/>
      </c>
      <c r="AC294" t="str">
        <f t="shared" si="87"/>
        <v/>
      </c>
      <c r="AD294" t="str">
        <f t="shared" si="88"/>
        <v/>
      </c>
      <c r="AE294">
        <f t="shared" si="89"/>
        <v>0</v>
      </c>
    </row>
    <row r="295" spans="1:31" ht="15" customHeight="1" x14ac:dyDescent="0.35">
      <c r="A295" s="2"/>
      <c r="B295" s="3"/>
      <c r="C295" s="3"/>
      <c r="D295" s="4"/>
      <c r="E295" s="5"/>
      <c r="F295" s="11" t="str">
        <f t="shared" ca="1" si="72"/>
        <v/>
      </c>
      <c r="G295" s="5"/>
      <c r="H295" s="6" t="str">
        <f>IF(AND($A295&lt;&gt;"",$B295&lt;&gt;"",$C295&lt;&gt;"",$D295&lt;&gt;"",$E295&lt;&gt;""),IF(AND($B295="s",OR($C295="SER",$C295="PLH",$C295="CSF")),"Case CDI Plate "&amp;(INT(((COUNTIFS($B$2:$B295,"s",$C$2:$C295,"SER")+COUNTIFS($B$2:$B295,"s",$C$2:$C295,"PLH")+COUNTIFS($B$2:$B295,"s",$C$2:$C295,"CSF"))-1)/96)+1)&amp;": "&amp;CHAR(65+INT(MOD((COUNTIFS($B$2:$B295,"s",$C$2:$C295,"SER")+COUNTIFS($B$2:$B295,"s",$C$2:$C295,"PLH")+COUNTIFS($B$2:$B295,"s",$C$2:$C295,"CSF"))-1,96)/12))&amp;(MOD((COUNTIFS($B$2:$B295,"s",$C$2:$C295,"SER")+COUNTIFS($B$2:$B295,"s",$C$2:$C295,"PLH")+COUNTIFS($B$2:$B295,"s",$C$2:$C295,"CSF"))-1,12)+1),"N/A"),"")</f>
        <v/>
      </c>
      <c r="I295" s="6" t="str">
        <f>IF(AND($A295&lt;&gt;"",$B295&lt;&gt;"",$C295&lt;&gt;"",$D295&lt;&gt;"",$E295&lt;&gt;""),IF(AND($B295="s",OR($C295="SER",$C295="PLH",$C295="CSF")),"Case NIH Plate "&amp;(INT(((COUNTIFS($B$2:$B295,"s",$C$2:$C295,"SER")+COUNTIFS($B$2:$B295,"s",$C$2:$C295,"PLH")+COUNTIFS($B$2:$B295,"s",$C$2:$C295,"CSF"))-1)/96)+1)&amp;": "&amp;CHAR(65+INT(MOD((COUNTIFS($B$2:$B295,"s",$C$2:$C295,"SER")+COUNTIFS($B$2:$B295,"s",$C$2:$C295,"PLH")+COUNTIFS($B$2:$B295,"s",$C$2:$C295,"CSF"))-1,96)/12))&amp;(MOD((COUNTIFS($B$2:$B295,"s",$C$2:$C295,"SER")+COUNTIFS($B$2:$B295,"s",$C$2:$C295,"PLH")+COUNTIFS($B$2:$B295,"s",$C$2:$C295,"CSF"))-1,12)+1),"N/A"),"")</f>
        <v/>
      </c>
      <c r="J295" s="6" t="str">
        <f>IF(AND($A295&lt;&gt;"",$B295&lt;&gt;"",$C295&lt;&gt;"",$D295&lt;&gt;"",$E295&lt;&gt;""),IF(AND($B295="s",OR($C295="SER",$C295="PLH")),"Case MAX Planck Plate "&amp;(INT(((COUNTIFS($B$2:$B295,"s",$C$2:$C295,"SER")+COUNTIFS($B$2:$B295,"s",$C$2:$C295,"PLH"))-1)/96)+1)&amp;": "&amp;CHAR(65+INT(MOD((COUNTIFS($B$2:$B295,"s",$C$2:$C295,"SER")+COUNTIFS($B$2:$B295,"s",$C$2:$C295,"PLH"))-1,96)/12))&amp;(MOD((COUNTIFS($B$2:$B295,"s",$C$2:$C295,"SER")+COUNTIFS($B$2:$B295,"s",$C$2:$C295,"PLH"))-1,12)+1),"N/A"),"")</f>
        <v/>
      </c>
      <c r="K295" s="6" t="str">
        <f>IF(AND($A295&lt;&gt;"",$B295&lt;&gt;"",$C295&lt;&gt;"",$D295&lt;&gt;"",$E295&lt;&gt;""),IF($C295="WB","Case WB Box "&amp;(INT((COUNTIFS($C$2:$C295,"WB")-1)/81)+1)&amp;": "&amp;CHAR(65+INT(MOD(COUNTIFS($C$2:$C295,"WB")-1,81)/9))&amp;(MOD(COUNTIFS($C$2:$C295,"WB")-1,9)+1),"N/A"),"")</f>
        <v/>
      </c>
      <c r="L295" s="2" t="str">
        <f t="shared" si="73"/>
        <v/>
      </c>
      <c r="M295" s="2"/>
      <c r="N295" s="2"/>
      <c r="O295" s="2"/>
      <c r="P295" s="7" t="str">
        <f t="shared" si="74"/>
        <v/>
      </c>
      <c r="Q295" s="7" t="str">
        <f t="shared" si="75"/>
        <v/>
      </c>
      <c r="R295" s="7" t="str">
        <f t="shared" si="76"/>
        <v/>
      </c>
      <c r="S295" s="7" t="str">
        <f t="shared" si="77"/>
        <v/>
      </c>
      <c r="T295" s="7" t="str">
        <f t="shared" si="78"/>
        <v/>
      </c>
      <c r="U295" s="7" t="str">
        <f t="shared" si="79"/>
        <v/>
      </c>
      <c r="V295" s="7" t="str">
        <f t="shared" si="80"/>
        <v/>
      </c>
      <c r="W295" s="7" t="str">
        <f t="shared" si="81"/>
        <v/>
      </c>
      <c r="X295" s="7" t="str">
        <f t="shared" si="82"/>
        <v/>
      </c>
      <c r="Y295" s="7" t="str">
        <f t="shared" si="83"/>
        <v/>
      </c>
      <c r="Z295">
        <f t="shared" si="84"/>
        <v>0</v>
      </c>
      <c r="AA295" t="str">
        <f t="shared" si="85"/>
        <v/>
      </c>
      <c r="AB295" t="str">
        <f t="shared" si="86"/>
        <v/>
      </c>
      <c r="AC295" t="str">
        <f t="shared" si="87"/>
        <v/>
      </c>
      <c r="AD295" t="str">
        <f t="shared" si="88"/>
        <v/>
      </c>
      <c r="AE295">
        <f t="shared" si="89"/>
        <v>0</v>
      </c>
    </row>
    <row r="296" spans="1:31" ht="15" customHeight="1" x14ac:dyDescent="0.35">
      <c r="A296" s="2"/>
      <c r="B296" s="3"/>
      <c r="C296" s="3"/>
      <c r="D296" s="4"/>
      <c r="E296" s="5"/>
      <c r="F296" s="11" t="str">
        <f t="shared" ca="1" si="72"/>
        <v/>
      </c>
      <c r="G296" s="5"/>
      <c r="H296" s="6" t="str">
        <f>IF(AND($A296&lt;&gt;"",$B296&lt;&gt;"",$C296&lt;&gt;"",$D296&lt;&gt;"",$E296&lt;&gt;""),IF(AND($B296="s",OR($C296="SER",$C296="PLH",$C296="CSF")),"Case CDI Plate "&amp;(INT(((COUNTIFS($B$2:$B296,"s",$C$2:$C296,"SER")+COUNTIFS($B$2:$B296,"s",$C$2:$C296,"PLH")+COUNTIFS($B$2:$B296,"s",$C$2:$C296,"CSF"))-1)/96)+1)&amp;": "&amp;CHAR(65+INT(MOD((COUNTIFS($B$2:$B296,"s",$C$2:$C296,"SER")+COUNTIFS($B$2:$B296,"s",$C$2:$C296,"PLH")+COUNTIFS($B$2:$B296,"s",$C$2:$C296,"CSF"))-1,96)/12))&amp;(MOD((COUNTIFS($B$2:$B296,"s",$C$2:$C296,"SER")+COUNTIFS($B$2:$B296,"s",$C$2:$C296,"PLH")+COUNTIFS($B$2:$B296,"s",$C$2:$C296,"CSF"))-1,12)+1),"N/A"),"")</f>
        <v/>
      </c>
      <c r="I296" s="6" t="str">
        <f>IF(AND($A296&lt;&gt;"",$B296&lt;&gt;"",$C296&lt;&gt;"",$D296&lt;&gt;"",$E296&lt;&gt;""),IF(AND($B296="s",OR($C296="SER",$C296="PLH",$C296="CSF")),"Case NIH Plate "&amp;(INT(((COUNTIFS($B$2:$B296,"s",$C$2:$C296,"SER")+COUNTIFS($B$2:$B296,"s",$C$2:$C296,"PLH")+COUNTIFS($B$2:$B296,"s",$C$2:$C296,"CSF"))-1)/96)+1)&amp;": "&amp;CHAR(65+INT(MOD((COUNTIFS($B$2:$B296,"s",$C$2:$C296,"SER")+COUNTIFS($B$2:$B296,"s",$C$2:$C296,"PLH")+COUNTIFS($B$2:$B296,"s",$C$2:$C296,"CSF"))-1,96)/12))&amp;(MOD((COUNTIFS($B$2:$B296,"s",$C$2:$C296,"SER")+COUNTIFS($B$2:$B296,"s",$C$2:$C296,"PLH")+COUNTIFS($B$2:$B296,"s",$C$2:$C296,"CSF"))-1,12)+1),"N/A"),"")</f>
        <v/>
      </c>
      <c r="J296" s="6" t="str">
        <f>IF(AND($A296&lt;&gt;"",$B296&lt;&gt;"",$C296&lt;&gt;"",$D296&lt;&gt;"",$E296&lt;&gt;""),IF(AND($B296="s",OR($C296="SER",$C296="PLH")),"Case MAX Planck Plate "&amp;(INT(((COUNTIFS($B$2:$B296,"s",$C$2:$C296,"SER")+COUNTIFS($B$2:$B296,"s",$C$2:$C296,"PLH"))-1)/96)+1)&amp;": "&amp;CHAR(65+INT(MOD((COUNTIFS($B$2:$B296,"s",$C$2:$C296,"SER")+COUNTIFS($B$2:$B296,"s",$C$2:$C296,"PLH"))-1,96)/12))&amp;(MOD((COUNTIFS($B$2:$B296,"s",$C$2:$C296,"SER")+COUNTIFS($B$2:$B296,"s",$C$2:$C296,"PLH"))-1,12)+1),"N/A"),"")</f>
        <v/>
      </c>
      <c r="K296" s="6" t="str">
        <f>IF(AND($A296&lt;&gt;"",$B296&lt;&gt;"",$C296&lt;&gt;"",$D296&lt;&gt;"",$E296&lt;&gt;""),IF($C296="WB","Case WB Box "&amp;(INT((COUNTIFS($C$2:$C296,"WB")-1)/81)+1)&amp;": "&amp;CHAR(65+INT(MOD(COUNTIFS($C$2:$C296,"WB")-1,81)/9))&amp;(MOD(COUNTIFS($C$2:$C296,"WB")-1,9)+1),"N/A"),"")</f>
        <v/>
      </c>
      <c r="L296" s="2" t="str">
        <f t="shared" si="73"/>
        <v/>
      </c>
      <c r="M296" s="2"/>
      <c r="N296" s="2"/>
      <c r="O296" s="2"/>
      <c r="P296" s="7" t="str">
        <f t="shared" si="74"/>
        <v/>
      </c>
      <c r="Q296" s="7" t="str">
        <f t="shared" si="75"/>
        <v/>
      </c>
      <c r="R296" s="7" t="str">
        <f t="shared" si="76"/>
        <v/>
      </c>
      <c r="S296" s="7" t="str">
        <f t="shared" si="77"/>
        <v/>
      </c>
      <c r="T296" s="7" t="str">
        <f t="shared" si="78"/>
        <v/>
      </c>
      <c r="U296" s="7" t="str">
        <f t="shared" si="79"/>
        <v/>
      </c>
      <c r="V296" s="7" t="str">
        <f t="shared" si="80"/>
        <v/>
      </c>
      <c r="W296" s="7" t="str">
        <f t="shared" si="81"/>
        <v/>
      </c>
      <c r="X296" s="7" t="str">
        <f t="shared" si="82"/>
        <v/>
      </c>
      <c r="Y296" s="7" t="str">
        <f t="shared" si="83"/>
        <v/>
      </c>
      <c r="Z296">
        <f t="shared" si="84"/>
        <v>0</v>
      </c>
      <c r="AA296" t="str">
        <f t="shared" si="85"/>
        <v/>
      </c>
      <c r="AB296" t="str">
        <f t="shared" si="86"/>
        <v/>
      </c>
      <c r="AC296" t="str">
        <f t="shared" si="87"/>
        <v/>
      </c>
      <c r="AD296" t="str">
        <f t="shared" si="88"/>
        <v/>
      </c>
      <c r="AE296">
        <f t="shared" si="89"/>
        <v>0</v>
      </c>
    </row>
    <row r="297" spans="1:31" ht="15" customHeight="1" x14ac:dyDescent="0.35">
      <c r="A297" s="2"/>
      <c r="B297" s="3"/>
      <c r="C297" s="3"/>
      <c r="D297" s="4"/>
      <c r="E297" s="5"/>
      <c r="F297" s="11" t="str">
        <f t="shared" ca="1" si="72"/>
        <v/>
      </c>
      <c r="G297" s="5"/>
      <c r="H297" s="6" t="str">
        <f>IF(AND($A297&lt;&gt;"",$B297&lt;&gt;"",$C297&lt;&gt;"",$D297&lt;&gt;"",$E297&lt;&gt;""),IF(AND($B297="s",OR($C297="SER",$C297="PLH",$C297="CSF")),"Case CDI Plate "&amp;(INT(((COUNTIFS($B$2:$B297,"s",$C$2:$C297,"SER")+COUNTIFS($B$2:$B297,"s",$C$2:$C297,"PLH")+COUNTIFS($B$2:$B297,"s",$C$2:$C297,"CSF"))-1)/96)+1)&amp;": "&amp;CHAR(65+INT(MOD((COUNTIFS($B$2:$B297,"s",$C$2:$C297,"SER")+COUNTIFS($B$2:$B297,"s",$C$2:$C297,"PLH")+COUNTIFS($B$2:$B297,"s",$C$2:$C297,"CSF"))-1,96)/12))&amp;(MOD((COUNTIFS($B$2:$B297,"s",$C$2:$C297,"SER")+COUNTIFS($B$2:$B297,"s",$C$2:$C297,"PLH")+COUNTIFS($B$2:$B297,"s",$C$2:$C297,"CSF"))-1,12)+1),"N/A"),"")</f>
        <v/>
      </c>
      <c r="I297" s="6" t="str">
        <f>IF(AND($A297&lt;&gt;"",$B297&lt;&gt;"",$C297&lt;&gt;"",$D297&lt;&gt;"",$E297&lt;&gt;""),IF(AND($B297="s",OR($C297="SER",$C297="PLH",$C297="CSF")),"Case NIH Plate "&amp;(INT(((COUNTIFS($B$2:$B297,"s",$C$2:$C297,"SER")+COUNTIFS($B$2:$B297,"s",$C$2:$C297,"PLH")+COUNTIFS($B$2:$B297,"s",$C$2:$C297,"CSF"))-1)/96)+1)&amp;": "&amp;CHAR(65+INT(MOD((COUNTIFS($B$2:$B297,"s",$C$2:$C297,"SER")+COUNTIFS($B$2:$B297,"s",$C$2:$C297,"PLH")+COUNTIFS($B$2:$B297,"s",$C$2:$C297,"CSF"))-1,96)/12))&amp;(MOD((COUNTIFS($B$2:$B297,"s",$C$2:$C297,"SER")+COUNTIFS($B$2:$B297,"s",$C$2:$C297,"PLH")+COUNTIFS($B$2:$B297,"s",$C$2:$C297,"CSF"))-1,12)+1),"N/A"),"")</f>
        <v/>
      </c>
      <c r="J297" s="6" t="str">
        <f>IF(AND($A297&lt;&gt;"",$B297&lt;&gt;"",$C297&lt;&gt;"",$D297&lt;&gt;"",$E297&lt;&gt;""),IF(AND($B297="s",OR($C297="SER",$C297="PLH")),"Case MAX Planck Plate "&amp;(INT(((COUNTIFS($B$2:$B297,"s",$C$2:$C297,"SER")+COUNTIFS($B$2:$B297,"s",$C$2:$C297,"PLH"))-1)/96)+1)&amp;": "&amp;CHAR(65+INT(MOD((COUNTIFS($B$2:$B297,"s",$C$2:$C297,"SER")+COUNTIFS($B$2:$B297,"s",$C$2:$C297,"PLH"))-1,96)/12))&amp;(MOD((COUNTIFS($B$2:$B297,"s",$C$2:$C297,"SER")+COUNTIFS($B$2:$B297,"s",$C$2:$C297,"PLH"))-1,12)+1),"N/A"),"")</f>
        <v/>
      </c>
      <c r="K297" s="6" t="str">
        <f>IF(AND($A297&lt;&gt;"",$B297&lt;&gt;"",$C297&lt;&gt;"",$D297&lt;&gt;"",$E297&lt;&gt;""),IF($C297="WB","Case WB Box "&amp;(INT((COUNTIFS($C$2:$C297,"WB")-1)/81)+1)&amp;": "&amp;CHAR(65+INT(MOD(COUNTIFS($C$2:$C297,"WB")-1,81)/9))&amp;(MOD(COUNTIFS($C$2:$C297,"WB")-1,9)+1),"N/A"),"")</f>
        <v/>
      </c>
      <c r="L297" s="2" t="str">
        <f t="shared" si="73"/>
        <v/>
      </c>
      <c r="M297" s="2"/>
      <c r="N297" s="2"/>
      <c r="O297" s="2"/>
      <c r="P297" s="7" t="str">
        <f t="shared" si="74"/>
        <v/>
      </c>
      <c r="Q297" s="7" t="str">
        <f t="shared" si="75"/>
        <v/>
      </c>
      <c r="R297" s="7" t="str">
        <f t="shared" si="76"/>
        <v/>
      </c>
      <c r="S297" s="7" t="str">
        <f t="shared" si="77"/>
        <v/>
      </c>
      <c r="T297" s="7" t="str">
        <f t="shared" si="78"/>
        <v/>
      </c>
      <c r="U297" s="7" t="str">
        <f t="shared" si="79"/>
        <v/>
      </c>
      <c r="V297" s="7" t="str">
        <f t="shared" si="80"/>
        <v/>
      </c>
      <c r="W297" s="7" t="str">
        <f t="shared" si="81"/>
        <v/>
      </c>
      <c r="X297" s="7" t="str">
        <f t="shared" si="82"/>
        <v/>
      </c>
      <c r="Y297" s="7" t="str">
        <f t="shared" si="83"/>
        <v/>
      </c>
      <c r="Z297">
        <f t="shared" si="84"/>
        <v>0</v>
      </c>
      <c r="AA297" t="str">
        <f t="shared" si="85"/>
        <v/>
      </c>
      <c r="AB297" t="str">
        <f t="shared" si="86"/>
        <v/>
      </c>
      <c r="AC297" t="str">
        <f t="shared" si="87"/>
        <v/>
      </c>
      <c r="AD297" t="str">
        <f t="shared" si="88"/>
        <v/>
      </c>
      <c r="AE297">
        <f t="shared" si="89"/>
        <v>0</v>
      </c>
    </row>
    <row r="298" spans="1:31" ht="15" customHeight="1" x14ac:dyDescent="0.35">
      <c r="A298" s="2"/>
      <c r="B298" s="3"/>
      <c r="C298" s="3"/>
      <c r="D298" s="4"/>
      <c r="E298" s="5"/>
      <c r="F298" s="11" t="str">
        <f t="shared" ca="1" si="72"/>
        <v/>
      </c>
      <c r="G298" s="5"/>
      <c r="H298" s="6" t="str">
        <f>IF(AND($A298&lt;&gt;"",$B298&lt;&gt;"",$C298&lt;&gt;"",$D298&lt;&gt;"",$E298&lt;&gt;""),IF(AND($B298="s",OR($C298="SER",$C298="PLH",$C298="CSF")),"Case CDI Plate "&amp;(INT(((COUNTIFS($B$2:$B298,"s",$C$2:$C298,"SER")+COUNTIFS($B$2:$B298,"s",$C$2:$C298,"PLH")+COUNTIFS($B$2:$B298,"s",$C$2:$C298,"CSF"))-1)/96)+1)&amp;": "&amp;CHAR(65+INT(MOD((COUNTIFS($B$2:$B298,"s",$C$2:$C298,"SER")+COUNTIFS($B$2:$B298,"s",$C$2:$C298,"PLH")+COUNTIFS($B$2:$B298,"s",$C$2:$C298,"CSF"))-1,96)/12))&amp;(MOD((COUNTIFS($B$2:$B298,"s",$C$2:$C298,"SER")+COUNTIFS($B$2:$B298,"s",$C$2:$C298,"PLH")+COUNTIFS($B$2:$B298,"s",$C$2:$C298,"CSF"))-1,12)+1),"N/A"),"")</f>
        <v/>
      </c>
      <c r="I298" s="6" t="str">
        <f>IF(AND($A298&lt;&gt;"",$B298&lt;&gt;"",$C298&lt;&gt;"",$D298&lt;&gt;"",$E298&lt;&gt;""),IF(AND($B298="s",OR($C298="SER",$C298="PLH",$C298="CSF")),"Case NIH Plate "&amp;(INT(((COUNTIFS($B$2:$B298,"s",$C$2:$C298,"SER")+COUNTIFS($B$2:$B298,"s",$C$2:$C298,"PLH")+COUNTIFS($B$2:$B298,"s",$C$2:$C298,"CSF"))-1)/96)+1)&amp;": "&amp;CHAR(65+INT(MOD((COUNTIFS($B$2:$B298,"s",$C$2:$C298,"SER")+COUNTIFS($B$2:$B298,"s",$C$2:$C298,"PLH")+COUNTIFS($B$2:$B298,"s",$C$2:$C298,"CSF"))-1,96)/12))&amp;(MOD((COUNTIFS($B$2:$B298,"s",$C$2:$C298,"SER")+COUNTIFS($B$2:$B298,"s",$C$2:$C298,"PLH")+COUNTIFS($B$2:$B298,"s",$C$2:$C298,"CSF"))-1,12)+1),"N/A"),"")</f>
        <v/>
      </c>
      <c r="J298" s="6" t="str">
        <f>IF(AND($A298&lt;&gt;"",$B298&lt;&gt;"",$C298&lt;&gt;"",$D298&lt;&gt;"",$E298&lt;&gt;""),IF(AND($B298="s",OR($C298="SER",$C298="PLH")),"Case MAX Planck Plate "&amp;(INT(((COUNTIFS($B$2:$B298,"s",$C$2:$C298,"SER")+COUNTIFS($B$2:$B298,"s",$C$2:$C298,"PLH"))-1)/96)+1)&amp;": "&amp;CHAR(65+INT(MOD((COUNTIFS($B$2:$B298,"s",$C$2:$C298,"SER")+COUNTIFS($B$2:$B298,"s",$C$2:$C298,"PLH"))-1,96)/12))&amp;(MOD((COUNTIFS($B$2:$B298,"s",$C$2:$C298,"SER")+COUNTIFS($B$2:$B298,"s",$C$2:$C298,"PLH"))-1,12)+1),"N/A"),"")</f>
        <v/>
      </c>
      <c r="K298" s="6" t="str">
        <f>IF(AND($A298&lt;&gt;"",$B298&lt;&gt;"",$C298&lt;&gt;"",$D298&lt;&gt;"",$E298&lt;&gt;""),IF($C298="WB","Case WB Box "&amp;(INT((COUNTIFS($C$2:$C298,"WB")-1)/81)+1)&amp;": "&amp;CHAR(65+INT(MOD(COUNTIFS($C$2:$C298,"WB")-1,81)/9))&amp;(MOD(COUNTIFS($C$2:$C298,"WB")-1,9)+1),"N/A"),"")</f>
        <v/>
      </c>
      <c r="L298" s="2" t="str">
        <f t="shared" si="73"/>
        <v/>
      </c>
      <c r="M298" s="2"/>
      <c r="N298" s="2"/>
      <c r="O298" s="2"/>
      <c r="P298" s="7" t="str">
        <f t="shared" si="74"/>
        <v/>
      </c>
      <c r="Q298" s="7" t="str">
        <f t="shared" si="75"/>
        <v/>
      </c>
      <c r="R298" s="7" t="str">
        <f t="shared" si="76"/>
        <v/>
      </c>
      <c r="S298" s="7" t="str">
        <f t="shared" si="77"/>
        <v/>
      </c>
      <c r="T298" s="7" t="str">
        <f t="shared" si="78"/>
        <v/>
      </c>
      <c r="U298" s="7" t="str">
        <f t="shared" si="79"/>
        <v/>
      </c>
      <c r="V298" s="7" t="str">
        <f t="shared" si="80"/>
        <v/>
      </c>
      <c r="W298" s="7" t="str">
        <f t="shared" si="81"/>
        <v/>
      </c>
      <c r="X298" s="7" t="str">
        <f t="shared" si="82"/>
        <v/>
      </c>
      <c r="Y298" s="7" t="str">
        <f t="shared" si="83"/>
        <v/>
      </c>
      <c r="Z298">
        <f t="shared" si="84"/>
        <v>0</v>
      </c>
      <c r="AA298" t="str">
        <f t="shared" si="85"/>
        <v/>
      </c>
      <c r="AB298" t="str">
        <f t="shared" si="86"/>
        <v/>
      </c>
      <c r="AC298" t="str">
        <f t="shared" si="87"/>
        <v/>
      </c>
      <c r="AD298" t="str">
        <f t="shared" si="88"/>
        <v/>
      </c>
      <c r="AE298">
        <f t="shared" si="89"/>
        <v>0</v>
      </c>
    </row>
    <row r="299" spans="1:31" ht="15" customHeight="1" x14ac:dyDescent="0.35">
      <c r="A299" s="2"/>
      <c r="B299" s="3"/>
      <c r="C299" s="3"/>
      <c r="D299" s="4"/>
      <c r="E299" s="5"/>
      <c r="F299" s="11" t="str">
        <f t="shared" ca="1" si="72"/>
        <v/>
      </c>
      <c r="G299" s="5"/>
      <c r="H299" s="6" t="str">
        <f>IF(AND($A299&lt;&gt;"",$B299&lt;&gt;"",$C299&lt;&gt;"",$D299&lt;&gt;"",$E299&lt;&gt;""),IF(AND($B299="s",OR($C299="SER",$C299="PLH",$C299="CSF")),"Case CDI Plate "&amp;(INT(((COUNTIFS($B$2:$B299,"s",$C$2:$C299,"SER")+COUNTIFS($B$2:$B299,"s",$C$2:$C299,"PLH")+COUNTIFS($B$2:$B299,"s",$C$2:$C299,"CSF"))-1)/96)+1)&amp;": "&amp;CHAR(65+INT(MOD((COUNTIFS($B$2:$B299,"s",$C$2:$C299,"SER")+COUNTIFS($B$2:$B299,"s",$C$2:$C299,"PLH")+COUNTIFS($B$2:$B299,"s",$C$2:$C299,"CSF"))-1,96)/12))&amp;(MOD((COUNTIFS($B$2:$B299,"s",$C$2:$C299,"SER")+COUNTIFS($B$2:$B299,"s",$C$2:$C299,"PLH")+COUNTIFS($B$2:$B299,"s",$C$2:$C299,"CSF"))-1,12)+1),"N/A"),"")</f>
        <v/>
      </c>
      <c r="I299" s="6" t="str">
        <f>IF(AND($A299&lt;&gt;"",$B299&lt;&gt;"",$C299&lt;&gt;"",$D299&lt;&gt;"",$E299&lt;&gt;""),IF(AND($B299="s",OR($C299="SER",$C299="PLH",$C299="CSF")),"Case NIH Plate "&amp;(INT(((COUNTIFS($B$2:$B299,"s",$C$2:$C299,"SER")+COUNTIFS($B$2:$B299,"s",$C$2:$C299,"PLH")+COUNTIFS($B$2:$B299,"s",$C$2:$C299,"CSF"))-1)/96)+1)&amp;": "&amp;CHAR(65+INT(MOD((COUNTIFS($B$2:$B299,"s",$C$2:$C299,"SER")+COUNTIFS($B$2:$B299,"s",$C$2:$C299,"PLH")+COUNTIFS($B$2:$B299,"s",$C$2:$C299,"CSF"))-1,96)/12))&amp;(MOD((COUNTIFS($B$2:$B299,"s",$C$2:$C299,"SER")+COUNTIFS($B$2:$B299,"s",$C$2:$C299,"PLH")+COUNTIFS($B$2:$B299,"s",$C$2:$C299,"CSF"))-1,12)+1),"N/A"),"")</f>
        <v/>
      </c>
      <c r="J299" s="6" t="str">
        <f>IF(AND($A299&lt;&gt;"",$B299&lt;&gt;"",$C299&lt;&gt;"",$D299&lt;&gt;"",$E299&lt;&gt;""),IF(AND($B299="s",OR($C299="SER",$C299="PLH")),"Case MAX Planck Plate "&amp;(INT(((COUNTIFS($B$2:$B299,"s",$C$2:$C299,"SER")+COUNTIFS($B$2:$B299,"s",$C$2:$C299,"PLH"))-1)/96)+1)&amp;": "&amp;CHAR(65+INT(MOD((COUNTIFS($B$2:$B299,"s",$C$2:$C299,"SER")+COUNTIFS($B$2:$B299,"s",$C$2:$C299,"PLH"))-1,96)/12))&amp;(MOD((COUNTIFS($B$2:$B299,"s",$C$2:$C299,"SER")+COUNTIFS($B$2:$B299,"s",$C$2:$C299,"PLH"))-1,12)+1),"N/A"),"")</f>
        <v/>
      </c>
      <c r="K299" s="6" t="str">
        <f>IF(AND($A299&lt;&gt;"",$B299&lt;&gt;"",$C299&lt;&gt;"",$D299&lt;&gt;"",$E299&lt;&gt;""),IF($C299="WB","Case WB Box "&amp;(INT((COUNTIFS($C$2:$C299,"WB")-1)/81)+1)&amp;": "&amp;CHAR(65+INT(MOD(COUNTIFS($C$2:$C299,"WB")-1,81)/9))&amp;(MOD(COUNTIFS($C$2:$C299,"WB")-1,9)+1),"N/A"),"")</f>
        <v/>
      </c>
      <c r="L299" s="2" t="str">
        <f t="shared" si="73"/>
        <v/>
      </c>
      <c r="M299" s="2"/>
      <c r="N299" s="2"/>
      <c r="O299" s="2"/>
      <c r="P299" s="7" t="str">
        <f t="shared" si="74"/>
        <v/>
      </c>
      <c r="Q299" s="7" t="str">
        <f t="shared" si="75"/>
        <v/>
      </c>
      <c r="R299" s="7" t="str">
        <f t="shared" si="76"/>
        <v/>
      </c>
      <c r="S299" s="7" t="str">
        <f t="shared" si="77"/>
        <v/>
      </c>
      <c r="T299" s="7" t="str">
        <f t="shared" si="78"/>
        <v/>
      </c>
      <c r="U299" s="7" t="str">
        <f t="shared" si="79"/>
        <v/>
      </c>
      <c r="V299" s="7" t="str">
        <f t="shared" si="80"/>
        <v/>
      </c>
      <c r="W299" s="7" t="str">
        <f t="shared" si="81"/>
        <v/>
      </c>
      <c r="X299" s="7" t="str">
        <f t="shared" si="82"/>
        <v/>
      </c>
      <c r="Y299" s="7" t="str">
        <f t="shared" si="83"/>
        <v/>
      </c>
      <c r="Z299">
        <f t="shared" si="84"/>
        <v>0</v>
      </c>
      <c r="AA299" t="str">
        <f t="shared" si="85"/>
        <v/>
      </c>
      <c r="AB299" t="str">
        <f t="shared" si="86"/>
        <v/>
      </c>
      <c r="AC299" t="str">
        <f t="shared" si="87"/>
        <v/>
      </c>
      <c r="AD299" t="str">
        <f t="shared" si="88"/>
        <v/>
      </c>
      <c r="AE299">
        <f t="shared" si="89"/>
        <v>0</v>
      </c>
    </row>
    <row r="300" spans="1:31" ht="15" customHeight="1" x14ac:dyDescent="0.35">
      <c r="A300" s="2"/>
      <c r="B300" s="3"/>
      <c r="C300" s="3"/>
      <c r="D300" s="4"/>
      <c r="E300" s="5"/>
      <c r="F300" s="11" t="str">
        <f t="shared" ca="1" si="72"/>
        <v/>
      </c>
      <c r="G300" s="5"/>
      <c r="H300" s="6" t="str">
        <f>IF(AND($A300&lt;&gt;"",$B300&lt;&gt;"",$C300&lt;&gt;"",$D300&lt;&gt;"",$E300&lt;&gt;""),IF(AND($B300="s",OR($C300="SER",$C300="PLH",$C300="CSF")),"Case CDI Plate "&amp;(INT(((COUNTIFS($B$2:$B300,"s",$C$2:$C300,"SER")+COUNTIFS($B$2:$B300,"s",$C$2:$C300,"PLH")+COUNTIFS($B$2:$B300,"s",$C$2:$C300,"CSF"))-1)/96)+1)&amp;": "&amp;CHAR(65+INT(MOD((COUNTIFS($B$2:$B300,"s",$C$2:$C300,"SER")+COUNTIFS($B$2:$B300,"s",$C$2:$C300,"PLH")+COUNTIFS($B$2:$B300,"s",$C$2:$C300,"CSF"))-1,96)/12))&amp;(MOD((COUNTIFS($B$2:$B300,"s",$C$2:$C300,"SER")+COUNTIFS($B$2:$B300,"s",$C$2:$C300,"PLH")+COUNTIFS($B$2:$B300,"s",$C$2:$C300,"CSF"))-1,12)+1),"N/A"),"")</f>
        <v/>
      </c>
      <c r="I300" s="6" t="str">
        <f>IF(AND($A300&lt;&gt;"",$B300&lt;&gt;"",$C300&lt;&gt;"",$D300&lt;&gt;"",$E300&lt;&gt;""),IF(AND($B300="s",OR($C300="SER",$C300="PLH",$C300="CSF")),"Case NIH Plate "&amp;(INT(((COUNTIFS($B$2:$B300,"s",$C$2:$C300,"SER")+COUNTIFS($B$2:$B300,"s",$C$2:$C300,"PLH")+COUNTIFS($B$2:$B300,"s",$C$2:$C300,"CSF"))-1)/96)+1)&amp;": "&amp;CHAR(65+INT(MOD((COUNTIFS($B$2:$B300,"s",$C$2:$C300,"SER")+COUNTIFS($B$2:$B300,"s",$C$2:$C300,"PLH")+COUNTIFS($B$2:$B300,"s",$C$2:$C300,"CSF"))-1,96)/12))&amp;(MOD((COUNTIFS($B$2:$B300,"s",$C$2:$C300,"SER")+COUNTIFS($B$2:$B300,"s",$C$2:$C300,"PLH")+COUNTIFS($B$2:$B300,"s",$C$2:$C300,"CSF"))-1,12)+1),"N/A"),"")</f>
        <v/>
      </c>
      <c r="J300" s="6" t="str">
        <f>IF(AND($A300&lt;&gt;"",$B300&lt;&gt;"",$C300&lt;&gt;"",$D300&lt;&gt;"",$E300&lt;&gt;""),IF(AND($B300="s",OR($C300="SER",$C300="PLH")),"Case MAX Planck Plate "&amp;(INT(((COUNTIFS($B$2:$B300,"s",$C$2:$C300,"SER")+COUNTIFS($B$2:$B300,"s",$C$2:$C300,"PLH"))-1)/96)+1)&amp;": "&amp;CHAR(65+INT(MOD((COUNTIFS($B$2:$B300,"s",$C$2:$C300,"SER")+COUNTIFS($B$2:$B300,"s",$C$2:$C300,"PLH"))-1,96)/12))&amp;(MOD((COUNTIFS($B$2:$B300,"s",$C$2:$C300,"SER")+COUNTIFS($B$2:$B300,"s",$C$2:$C300,"PLH"))-1,12)+1),"N/A"),"")</f>
        <v/>
      </c>
      <c r="K300" s="6" t="str">
        <f>IF(AND($A300&lt;&gt;"",$B300&lt;&gt;"",$C300&lt;&gt;"",$D300&lt;&gt;"",$E300&lt;&gt;""),IF($C300="WB","Case WB Box "&amp;(INT((COUNTIFS($C$2:$C300,"WB")-1)/81)+1)&amp;": "&amp;CHAR(65+INT(MOD(COUNTIFS($C$2:$C300,"WB")-1,81)/9))&amp;(MOD(COUNTIFS($C$2:$C300,"WB")-1,9)+1),"N/A"),"")</f>
        <v/>
      </c>
      <c r="L300" s="2" t="str">
        <f t="shared" si="73"/>
        <v/>
      </c>
      <c r="M300" s="2"/>
      <c r="N300" s="2"/>
      <c r="O300" s="2"/>
      <c r="P300" s="7" t="str">
        <f t="shared" si="74"/>
        <v/>
      </c>
      <c r="Q300" s="7" t="str">
        <f t="shared" si="75"/>
        <v/>
      </c>
      <c r="R300" s="7" t="str">
        <f t="shared" si="76"/>
        <v/>
      </c>
      <c r="S300" s="7" t="str">
        <f t="shared" si="77"/>
        <v/>
      </c>
      <c r="T300" s="7" t="str">
        <f t="shared" si="78"/>
        <v/>
      </c>
      <c r="U300" s="7" t="str">
        <f t="shared" si="79"/>
        <v/>
      </c>
      <c r="V300" s="7" t="str">
        <f t="shared" si="80"/>
        <v/>
      </c>
      <c r="W300" s="7" t="str">
        <f t="shared" si="81"/>
        <v/>
      </c>
      <c r="X300" s="7" t="str">
        <f t="shared" si="82"/>
        <v/>
      </c>
      <c r="Y300" s="7" t="str">
        <f t="shared" si="83"/>
        <v/>
      </c>
      <c r="Z300">
        <f t="shared" si="84"/>
        <v>0</v>
      </c>
      <c r="AA300" t="str">
        <f t="shared" si="85"/>
        <v/>
      </c>
      <c r="AB300" t="str">
        <f t="shared" si="86"/>
        <v/>
      </c>
      <c r="AC300" t="str">
        <f t="shared" si="87"/>
        <v/>
      </c>
      <c r="AD300" t="str">
        <f t="shared" si="88"/>
        <v/>
      </c>
      <c r="AE300">
        <f t="shared" si="89"/>
        <v>0</v>
      </c>
    </row>
    <row r="301" spans="1:31" ht="15" customHeight="1" x14ac:dyDescent="0.35">
      <c r="A301" s="2"/>
      <c r="B301" s="3"/>
      <c r="C301" s="3"/>
      <c r="D301" s="4"/>
      <c r="E301" s="5"/>
      <c r="F301" s="11" t="str">
        <f t="shared" ca="1" si="72"/>
        <v/>
      </c>
      <c r="G301" s="5"/>
      <c r="H301" s="6" t="str">
        <f>IF(AND($A301&lt;&gt;"",$B301&lt;&gt;"",$C301&lt;&gt;"",$D301&lt;&gt;"",$E301&lt;&gt;""),IF(AND($B301="s",OR($C301="SER",$C301="PLH",$C301="CSF")),"Case CDI Plate "&amp;(INT(((COUNTIFS($B$2:$B301,"s",$C$2:$C301,"SER")+COUNTIFS($B$2:$B301,"s",$C$2:$C301,"PLH")+COUNTIFS($B$2:$B301,"s",$C$2:$C301,"CSF"))-1)/96)+1)&amp;": "&amp;CHAR(65+INT(MOD((COUNTIFS($B$2:$B301,"s",$C$2:$C301,"SER")+COUNTIFS($B$2:$B301,"s",$C$2:$C301,"PLH")+COUNTIFS($B$2:$B301,"s",$C$2:$C301,"CSF"))-1,96)/12))&amp;(MOD((COUNTIFS($B$2:$B301,"s",$C$2:$C301,"SER")+COUNTIFS($B$2:$B301,"s",$C$2:$C301,"PLH")+COUNTIFS($B$2:$B301,"s",$C$2:$C301,"CSF"))-1,12)+1),"N/A"),"")</f>
        <v/>
      </c>
      <c r="I301" s="6" t="str">
        <f>IF(AND($A301&lt;&gt;"",$B301&lt;&gt;"",$C301&lt;&gt;"",$D301&lt;&gt;"",$E301&lt;&gt;""),IF(AND($B301="s",OR($C301="SER",$C301="PLH",$C301="CSF")),"Case NIH Plate "&amp;(INT(((COUNTIFS($B$2:$B301,"s",$C$2:$C301,"SER")+COUNTIFS($B$2:$B301,"s",$C$2:$C301,"PLH")+COUNTIFS($B$2:$B301,"s",$C$2:$C301,"CSF"))-1)/96)+1)&amp;": "&amp;CHAR(65+INT(MOD((COUNTIFS($B$2:$B301,"s",$C$2:$C301,"SER")+COUNTIFS($B$2:$B301,"s",$C$2:$C301,"PLH")+COUNTIFS($B$2:$B301,"s",$C$2:$C301,"CSF"))-1,96)/12))&amp;(MOD((COUNTIFS($B$2:$B301,"s",$C$2:$C301,"SER")+COUNTIFS($B$2:$B301,"s",$C$2:$C301,"PLH")+COUNTIFS($B$2:$B301,"s",$C$2:$C301,"CSF"))-1,12)+1),"N/A"),"")</f>
        <v/>
      </c>
      <c r="J301" s="6" t="str">
        <f>IF(AND($A301&lt;&gt;"",$B301&lt;&gt;"",$C301&lt;&gt;"",$D301&lt;&gt;"",$E301&lt;&gt;""),IF(AND($B301="s",OR($C301="SER",$C301="PLH")),"Case MAX Planck Plate "&amp;(INT(((COUNTIFS($B$2:$B301,"s",$C$2:$C301,"SER")+COUNTIFS($B$2:$B301,"s",$C$2:$C301,"PLH"))-1)/96)+1)&amp;": "&amp;CHAR(65+INT(MOD((COUNTIFS($B$2:$B301,"s",$C$2:$C301,"SER")+COUNTIFS($B$2:$B301,"s",$C$2:$C301,"PLH"))-1,96)/12))&amp;(MOD((COUNTIFS($B$2:$B301,"s",$C$2:$C301,"SER")+COUNTIFS($B$2:$B301,"s",$C$2:$C301,"PLH"))-1,12)+1),"N/A"),"")</f>
        <v/>
      </c>
      <c r="K301" s="6" t="str">
        <f>IF(AND($A301&lt;&gt;"",$B301&lt;&gt;"",$C301&lt;&gt;"",$D301&lt;&gt;"",$E301&lt;&gt;""),IF($C301="WB","Case WB Box "&amp;(INT((COUNTIFS($C$2:$C301,"WB")-1)/81)+1)&amp;": "&amp;CHAR(65+INT(MOD(COUNTIFS($C$2:$C301,"WB")-1,81)/9))&amp;(MOD(COUNTIFS($C$2:$C301,"WB")-1,9)+1),"N/A"),"")</f>
        <v/>
      </c>
      <c r="L301" s="2" t="str">
        <f t="shared" si="73"/>
        <v/>
      </c>
      <c r="M301" s="2"/>
      <c r="N301" s="2"/>
      <c r="O301" s="2"/>
      <c r="P301" s="7" t="str">
        <f t="shared" si="74"/>
        <v/>
      </c>
      <c r="Q301" s="7" t="str">
        <f t="shared" si="75"/>
        <v/>
      </c>
      <c r="R301" s="7" t="str">
        <f t="shared" si="76"/>
        <v/>
      </c>
      <c r="S301" s="7" t="str">
        <f t="shared" si="77"/>
        <v/>
      </c>
      <c r="T301" s="7" t="str">
        <f t="shared" si="78"/>
        <v/>
      </c>
      <c r="U301" s="7" t="str">
        <f t="shared" si="79"/>
        <v/>
      </c>
      <c r="V301" s="7" t="str">
        <f t="shared" si="80"/>
        <v/>
      </c>
      <c r="W301" s="7" t="str">
        <f t="shared" si="81"/>
        <v/>
      </c>
      <c r="X301" s="7" t="str">
        <f t="shared" si="82"/>
        <v/>
      </c>
      <c r="Y301" s="7" t="str">
        <f t="shared" si="83"/>
        <v/>
      </c>
      <c r="Z301">
        <f t="shared" si="84"/>
        <v>0</v>
      </c>
      <c r="AA301" t="str">
        <f t="shared" si="85"/>
        <v/>
      </c>
      <c r="AB301" t="str">
        <f t="shared" si="86"/>
        <v/>
      </c>
      <c r="AC301" t="str">
        <f t="shared" si="87"/>
        <v/>
      </c>
      <c r="AD301" t="str">
        <f t="shared" si="88"/>
        <v/>
      </c>
      <c r="AE301">
        <f t="shared" si="89"/>
        <v>0</v>
      </c>
    </row>
    <row r="302" spans="1:31" ht="15" customHeight="1" x14ac:dyDescent="0.35">
      <c r="A302" s="2"/>
      <c r="B302" s="3"/>
      <c r="C302" s="3"/>
      <c r="D302" s="4"/>
      <c r="E302" s="5"/>
      <c r="F302" s="11" t="str">
        <f t="shared" ca="1" si="72"/>
        <v/>
      </c>
      <c r="G302" s="5"/>
      <c r="H302" s="6" t="str">
        <f>IF(AND($A302&lt;&gt;"",$B302&lt;&gt;"",$C302&lt;&gt;"",$D302&lt;&gt;"",$E302&lt;&gt;""),IF(AND($B302="s",OR($C302="SER",$C302="PLH",$C302="CSF")),"Case CDI Plate "&amp;(INT(((COUNTIFS($B$2:$B302,"s",$C$2:$C302,"SER")+COUNTIFS($B$2:$B302,"s",$C$2:$C302,"PLH")+COUNTIFS($B$2:$B302,"s",$C$2:$C302,"CSF"))-1)/96)+1)&amp;": "&amp;CHAR(65+INT(MOD((COUNTIFS($B$2:$B302,"s",$C$2:$C302,"SER")+COUNTIFS($B$2:$B302,"s",$C$2:$C302,"PLH")+COUNTIFS($B$2:$B302,"s",$C$2:$C302,"CSF"))-1,96)/12))&amp;(MOD((COUNTIFS($B$2:$B302,"s",$C$2:$C302,"SER")+COUNTIFS($B$2:$B302,"s",$C$2:$C302,"PLH")+COUNTIFS($B$2:$B302,"s",$C$2:$C302,"CSF"))-1,12)+1),"N/A"),"")</f>
        <v/>
      </c>
      <c r="I302" s="6" t="str">
        <f>IF(AND($A302&lt;&gt;"",$B302&lt;&gt;"",$C302&lt;&gt;"",$D302&lt;&gt;"",$E302&lt;&gt;""),IF(AND($B302="s",OR($C302="SER",$C302="PLH",$C302="CSF")),"Case NIH Plate "&amp;(INT(((COUNTIFS($B$2:$B302,"s",$C$2:$C302,"SER")+COUNTIFS($B$2:$B302,"s",$C$2:$C302,"PLH")+COUNTIFS($B$2:$B302,"s",$C$2:$C302,"CSF"))-1)/96)+1)&amp;": "&amp;CHAR(65+INT(MOD((COUNTIFS($B$2:$B302,"s",$C$2:$C302,"SER")+COUNTIFS($B$2:$B302,"s",$C$2:$C302,"PLH")+COUNTIFS($B$2:$B302,"s",$C$2:$C302,"CSF"))-1,96)/12))&amp;(MOD((COUNTIFS($B$2:$B302,"s",$C$2:$C302,"SER")+COUNTIFS($B$2:$B302,"s",$C$2:$C302,"PLH")+COUNTIFS($B$2:$B302,"s",$C$2:$C302,"CSF"))-1,12)+1),"N/A"),"")</f>
        <v/>
      </c>
      <c r="J302" s="6" t="str">
        <f>IF(AND($A302&lt;&gt;"",$B302&lt;&gt;"",$C302&lt;&gt;"",$D302&lt;&gt;"",$E302&lt;&gt;""),IF(AND($B302="s",OR($C302="SER",$C302="PLH")),"Case MAX Planck Plate "&amp;(INT(((COUNTIFS($B$2:$B302,"s",$C$2:$C302,"SER")+COUNTIFS($B$2:$B302,"s",$C$2:$C302,"PLH"))-1)/96)+1)&amp;": "&amp;CHAR(65+INT(MOD((COUNTIFS($B$2:$B302,"s",$C$2:$C302,"SER")+COUNTIFS($B$2:$B302,"s",$C$2:$C302,"PLH"))-1,96)/12))&amp;(MOD((COUNTIFS($B$2:$B302,"s",$C$2:$C302,"SER")+COUNTIFS($B$2:$B302,"s",$C$2:$C302,"PLH"))-1,12)+1),"N/A"),"")</f>
        <v/>
      </c>
      <c r="K302" s="6" t="str">
        <f>IF(AND($A302&lt;&gt;"",$B302&lt;&gt;"",$C302&lt;&gt;"",$D302&lt;&gt;"",$E302&lt;&gt;""),IF($C302="WB","Case WB Box "&amp;(INT((COUNTIFS($C$2:$C302,"WB")-1)/81)+1)&amp;": "&amp;CHAR(65+INT(MOD(COUNTIFS($C$2:$C302,"WB")-1,81)/9))&amp;(MOD(COUNTIFS($C$2:$C302,"WB")-1,9)+1),"N/A"),"")</f>
        <v/>
      </c>
      <c r="L302" s="2" t="str">
        <f t="shared" si="73"/>
        <v/>
      </c>
      <c r="M302" s="2"/>
      <c r="N302" s="2"/>
      <c r="O302" s="2"/>
      <c r="P302" s="7" t="str">
        <f t="shared" si="74"/>
        <v/>
      </c>
      <c r="Q302" s="7" t="str">
        <f t="shared" si="75"/>
        <v/>
      </c>
      <c r="R302" s="7" t="str">
        <f t="shared" si="76"/>
        <v/>
      </c>
      <c r="S302" s="7" t="str">
        <f t="shared" si="77"/>
        <v/>
      </c>
      <c r="T302" s="7" t="str">
        <f t="shared" si="78"/>
        <v/>
      </c>
      <c r="U302" s="7" t="str">
        <f t="shared" si="79"/>
        <v/>
      </c>
      <c r="V302" s="7" t="str">
        <f t="shared" si="80"/>
        <v/>
      </c>
      <c r="W302" s="7" t="str">
        <f t="shared" si="81"/>
        <v/>
      </c>
      <c r="X302" s="7" t="str">
        <f t="shared" si="82"/>
        <v/>
      </c>
      <c r="Y302" s="7" t="str">
        <f t="shared" si="83"/>
        <v/>
      </c>
      <c r="Z302">
        <f t="shared" si="84"/>
        <v>0</v>
      </c>
      <c r="AA302" t="str">
        <f t="shared" si="85"/>
        <v/>
      </c>
      <c r="AB302" t="str">
        <f t="shared" si="86"/>
        <v/>
      </c>
      <c r="AC302" t="str">
        <f t="shared" si="87"/>
        <v/>
      </c>
      <c r="AD302" t="str">
        <f t="shared" si="88"/>
        <v/>
      </c>
      <c r="AE302">
        <f t="shared" si="89"/>
        <v>0</v>
      </c>
    </row>
    <row r="303" spans="1:31" ht="15" customHeight="1" x14ac:dyDescent="0.35">
      <c r="A303" s="2"/>
      <c r="B303" s="3"/>
      <c r="C303" s="3"/>
      <c r="D303" s="4"/>
      <c r="E303" s="5"/>
      <c r="F303" s="11" t="str">
        <f t="shared" ca="1" si="72"/>
        <v/>
      </c>
      <c r="G303" s="5"/>
      <c r="H303" s="6" t="str">
        <f>IF(AND($A303&lt;&gt;"",$B303&lt;&gt;"",$C303&lt;&gt;"",$D303&lt;&gt;"",$E303&lt;&gt;""),IF(AND($B303="s",OR($C303="SER",$C303="PLH",$C303="CSF")),"Case CDI Plate "&amp;(INT(((COUNTIFS($B$2:$B303,"s",$C$2:$C303,"SER")+COUNTIFS($B$2:$B303,"s",$C$2:$C303,"PLH")+COUNTIFS($B$2:$B303,"s",$C$2:$C303,"CSF"))-1)/96)+1)&amp;": "&amp;CHAR(65+INT(MOD((COUNTIFS($B$2:$B303,"s",$C$2:$C303,"SER")+COUNTIFS($B$2:$B303,"s",$C$2:$C303,"PLH")+COUNTIFS($B$2:$B303,"s",$C$2:$C303,"CSF"))-1,96)/12))&amp;(MOD((COUNTIFS($B$2:$B303,"s",$C$2:$C303,"SER")+COUNTIFS($B$2:$B303,"s",$C$2:$C303,"PLH")+COUNTIFS($B$2:$B303,"s",$C$2:$C303,"CSF"))-1,12)+1),"N/A"),"")</f>
        <v/>
      </c>
      <c r="I303" s="6" t="str">
        <f>IF(AND($A303&lt;&gt;"",$B303&lt;&gt;"",$C303&lt;&gt;"",$D303&lt;&gt;"",$E303&lt;&gt;""),IF(AND($B303="s",OR($C303="SER",$C303="PLH",$C303="CSF")),"Case NIH Plate "&amp;(INT(((COUNTIFS($B$2:$B303,"s",$C$2:$C303,"SER")+COUNTIFS($B$2:$B303,"s",$C$2:$C303,"PLH")+COUNTIFS($B$2:$B303,"s",$C$2:$C303,"CSF"))-1)/96)+1)&amp;": "&amp;CHAR(65+INT(MOD((COUNTIFS($B$2:$B303,"s",$C$2:$C303,"SER")+COUNTIFS($B$2:$B303,"s",$C$2:$C303,"PLH")+COUNTIFS($B$2:$B303,"s",$C$2:$C303,"CSF"))-1,96)/12))&amp;(MOD((COUNTIFS($B$2:$B303,"s",$C$2:$C303,"SER")+COUNTIFS($B$2:$B303,"s",$C$2:$C303,"PLH")+COUNTIFS($B$2:$B303,"s",$C$2:$C303,"CSF"))-1,12)+1),"N/A"),"")</f>
        <v/>
      </c>
      <c r="J303" s="6" t="str">
        <f>IF(AND($A303&lt;&gt;"",$B303&lt;&gt;"",$C303&lt;&gt;"",$D303&lt;&gt;"",$E303&lt;&gt;""),IF(AND($B303="s",OR($C303="SER",$C303="PLH")),"Case MAX Planck Plate "&amp;(INT(((COUNTIFS($B$2:$B303,"s",$C$2:$C303,"SER")+COUNTIFS($B$2:$B303,"s",$C$2:$C303,"PLH"))-1)/96)+1)&amp;": "&amp;CHAR(65+INT(MOD((COUNTIFS($B$2:$B303,"s",$C$2:$C303,"SER")+COUNTIFS($B$2:$B303,"s",$C$2:$C303,"PLH"))-1,96)/12))&amp;(MOD((COUNTIFS($B$2:$B303,"s",$C$2:$C303,"SER")+COUNTIFS($B$2:$B303,"s",$C$2:$C303,"PLH"))-1,12)+1),"N/A"),"")</f>
        <v/>
      </c>
      <c r="K303" s="6" t="str">
        <f>IF(AND($A303&lt;&gt;"",$B303&lt;&gt;"",$C303&lt;&gt;"",$D303&lt;&gt;"",$E303&lt;&gt;""),IF($C303="WB","Case WB Box "&amp;(INT((COUNTIFS($C$2:$C303,"WB")-1)/81)+1)&amp;": "&amp;CHAR(65+INT(MOD(COUNTIFS($C$2:$C303,"WB")-1,81)/9))&amp;(MOD(COUNTIFS($C$2:$C303,"WB")-1,9)+1),"N/A"),"")</f>
        <v/>
      </c>
      <c r="L303" s="2" t="str">
        <f t="shared" si="73"/>
        <v/>
      </c>
      <c r="M303" s="2"/>
      <c r="N303" s="2"/>
      <c r="O303" s="2"/>
      <c r="P303" s="7" t="str">
        <f t="shared" si="74"/>
        <v/>
      </c>
      <c r="Q303" s="7" t="str">
        <f t="shared" si="75"/>
        <v/>
      </c>
      <c r="R303" s="7" t="str">
        <f t="shared" si="76"/>
        <v/>
      </c>
      <c r="S303" s="7" t="str">
        <f t="shared" si="77"/>
        <v/>
      </c>
      <c r="T303" s="7" t="str">
        <f t="shared" si="78"/>
        <v/>
      </c>
      <c r="U303" s="7" t="str">
        <f t="shared" si="79"/>
        <v/>
      </c>
      <c r="V303" s="7" t="str">
        <f t="shared" si="80"/>
        <v/>
      </c>
      <c r="W303" s="7" t="str">
        <f t="shared" si="81"/>
        <v/>
      </c>
      <c r="X303" s="7" t="str">
        <f t="shared" si="82"/>
        <v/>
      </c>
      <c r="Y303" s="7" t="str">
        <f t="shared" si="83"/>
        <v/>
      </c>
      <c r="Z303">
        <f t="shared" si="84"/>
        <v>0</v>
      </c>
      <c r="AA303" t="str">
        <f t="shared" si="85"/>
        <v/>
      </c>
      <c r="AB303" t="str">
        <f t="shared" si="86"/>
        <v/>
      </c>
      <c r="AC303" t="str">
        <f t="shared" si="87"/>
        <v/>
      </c>
      <c r="AD303" t="str">
        <f t="shared" si="88"/>
        <v/>
      </c>
      <c r="AE303">
        <f t="shared" si="89"/>
        <v>0</v>
      </c>
    </row>
    <row r="304" spans="1:31" ht="15" customHeight="1" x14ac:dyDescent="0.35">
      <c r="A304" s="2"/>
      <c r="B304" s="3"/>
      <c r="C304" s="3"/>
      <c r="D304" s="4"/>
      <c r="E304" s="5"/>
      <c r="F304" s="11" t="str">
        <f t="shared" ca="1" si="72"/>
        <v/>
      </c>
      <c r="G304" s="5"/>
      <c r="H304" s="6" t="str">
        <f>IF(AND($A304&lt;&gt;"",$B304&lt;&gt;"",$C304&lt;&gt;"",$D304&lt;&gt;"",$E304&lt;&gt;""),IF(AND($B304="s",OR($C304="SER",$C304="PLH",$C304="CSF")),"Case CDI Plate "&amp;(INT(((COUNTIFS($B$2:$B304,"s",$C$2:$C304,"SER")+COUNTIFS($B$2:$B304,"s",$C$2:$C304,"PLH")+COUNTIFS($B$2:$B304,"s",$C$2:$C304,"CSF"))-1)/96)+1)&amp;": "&amp;CHAR(65+INT(MOD((COUNTIFS($B$2:$B304,"s",$C$2:$C304,"SER")+COUNTIFS($B$2:$B304,"s",$C$2:$C304,"PLH")+COUNTIFS($B$2:$B304,"s",$C$2:$C304,"CSF"))-1,96)/12))&amp;(MOD((COUNTIFS($B$2:$B304,"s",$C$2:$C304,"SER")+COUNTIFS($B$2:$B304,"s",$C$2:$C304,"PLH")+COUNTIFS($B$2:$B304,"s",$C$2:$C304,"CSF"))-1,12)+1),"N/A"),"")</f>
        <v/>
      </c>
      <c r="I304" s="6" t="str">
        <f>IF(AND($A304&lt;&gt;"",$B304&lt;&gt;"",$C304&lt;&gt;"",$D304&lt;&gt;"",$E304&lt;&gt;""),IF(AND($B304="s",OR($C304="SER",$C304="PLH",$C304="CSF")),"Case NIH Plate "&amp;(INT(((COUNTIFS($B$2:$B304,"s",$C$2:$C304,"SER")+COUNTIFS($B$2:$B304,"s",$C$2:$C304,"PLH")+COUNTIFS($B$2:$B304,"s",$C$2:$C304,"CSF"))-1)/96)+1)&amp;": "&amp;CHAR(65+INT(MOD((COUNTIFS($B$2:$B304,"s",$C$2:$C304,"SER")+COUNTIFS($B$2:$B304,"s",$C$2:$C304,"PLH")+COUNTIFS($B$2:$B304,"s",$C$2:$C304,"CSF"))-1,96)/12))&amp;(MOD((COUNTIFS($B$2:$B304,"s",$C$2:$C304,"SER")+COUNTIFS($B$2:$B304,"s",$C$2:$C304,"PLH")+COUNTIFS($B$2:$B304,"s",$C$2:$C304,"CSF"))-1,12)+1),"N/A"),"")</f>
        <v/>
      </c>
      <c r="J304" s="6" t="str">
        <f>IF(AND($A304&lt;&gt;"",$B304&lt;&gt;"",$C304&lt;&gt;"",$D304&lt;&gt;"",$E304&lt;&gt;""),IF(AND($B304="s",OR($C304="SER",$C304="PLH")),"Case MAX Planck Plate "&amp;(INT(((COUNTIFS($B$2:$B304,"s",$C$2:$C304,"SER")+COUNTIFS($B$2:$B304,"s",$C$2:$C304,"PLH"))-1)/96)+1)&amp;": "&amp;CHAR(65+INT(MOD((COUNTIFS($B$2:$B304,"s",$C$2:$C304,"SER")+COUNTIFS($B$2:$B304,"s",$C$2:$C304,"PLH"))-1,96)/12))&amp;(MOD((COUNTIFS($B$2:$B304,"s",$C$2:$C304,"SER")+COUNTIFS($B$2:$B304,"s",$C$2:$C304,"PLH"))-1,12)+1),"N/A"),"")</f>
        <v/>
      </c>
      <c r="K304" s="6" t="str">
        <f>IF(AND($A304&lt;&gt;"",$B304&lt;&gt;"",$C304&lt;&gt;"",$D304&lt;&gt;"",$E304&lt;&gt;""),IF($C304="WB","Case WB Box "&amp;(INT((COUNTIFS($C$2:$C304,"WB")-1)/81)+1)&amp;": "&amp;CHAR(65+INT(MOD(COUNTIFS($C$2:$C304,"WB")-1,81)/9))&amp;(MOD(COUNTIFS($C$2:$C304,"WB")-1,9)+1),"N/A"),"")</f>
        <v/>
      </c>
      <c r="L304" s="2" t="str">
        <f t="shared" si="73"/>
        <v/>
      </c>
      <c r="M304" s="2"/>
      <c r="N304" s="2"/>
      <c r="O304" s="2"/>
      <c r="P304" s="7" t="str">
        <f t="shared" si="74"/>
        <v/>
      </c>
      <c r="Q304" s="7" t="str">
        <f t="shared" si="75"/>
        <v/>
      </c>
      <c r="R304" s="7" t="str">
        <f t="shared" si="76"/>
        <v/>
      </c>
      <c r="S304" s="7" t="str">
        <f t="shared" si="77"/>
        <v/>
      </c>
      <c r="T304" s="7" t="str">
        <f t="shared" si="78"/>
        <v/>
      </c>
      <c r="U304" s="7" t="str">
        <f t="shared" si="79"/>
        <v/>
      </c>
      <c r="V304" s="7" t="str">
        <f t="shared" si="80"/>
        <v/>
      </c>
      <c r="W304" s="7" t="str">
        <f t="shared" si="81"/>
        <v/>
      </c>
      <c r="X304" s="7" t="str">
        <f t="shared" si="82"/>
        <v/>
      </c>
      <c r="Y304" s="7" t="str">
        <f t="shared" si="83"/>
        <v/>
      </c>
      <c r="Z304">
        <f t="shared" si="84"/>
        <v>0</v>
      </c>
      <c r="AA304" t="str">
        <f t="shared" si="85"/>
        <v/>
      </c>
      <c r="AB304" t="str">
        <f t="shared" si="86"/>
        <v/>
      </c>
      <c r="AC304" t="str">
        <f t="shared" si="87"/>
        <v/>
      </c>
      <c r="AD304" t="str">
        <f t="shared" si="88"/>
        <v/>
      </c>
      <c r="AE304">
        <f t="shared" si="89"/>
        <v>0</v>
      </c>
    </row>
    <row r="305" spans="1:31" ht="15" customHeight="1" x14ac:dyDescent="0.35">
      <c r="A305" s="2"/>
      <c r="B305" s="3"/>
      <c r="C305" s="3"/>
      <c r="D305" s="4"/>
      <c r="E305" s="5"/>
      <c r="F305" s="11" t="str">
        <f t="shared" ca="1" si="72"/>
        <v/>
      </c>
      <c r="G305" s="5"/>
      <c r="H305" s="6" t="str">
        <f>IF(AND($A305&lt;&gt;"",$B305&lt;&gt;"",$C305&lt;&gt;"",$D305&lt;&gt;"",$E305&lt;&gt;""),IF(AND($B305="s",OR($C305="SER",$C305="PLH",$C305="CSF")),"Case CDI Plate "&amp;(INT(((COUNTIFS($B$2:$B305,"s",$C$2:$C305,"SER")+COUNTIFS($B$2:$B305,"s",$C$2:$C305,"PLH")+COUNTIFS($B$2:$B305,"s",$C$2:$C305,"CSF"))-1)/96)+1)&amp;": "&amp;CHAR(65+INT(MOD((COUNTIFS($B$2:$B305,"s",$C$2:$C305,"SER")+COUNTIFS($B$2:$B305,"s",$C$2:$C305,"PLH")+COUNTIFS($B$2:$B305,"s",$C$2:$C305,"CSF"))-1,96)/12))&amp;(MOD((COUNTIFS($B$2:$B305,"s",$C$2:$C305,"SER")+COUNTIFS($B$2:$B305,"s",$C$2:$C305,"PLH")+COUNTIFS($B$2:$B305,"s",$C$2:$C305,"CSF"))-1,12)+1),"N/A"),"")</f>
        <v/>
      </c>
      <c r="I305" s="6" t="str">
        <f>IF(AND($A305&lt;&gt;"",$B305&lt;&gt;"",$C305&lt;&gt;"",$D305&lt;&gt;"",$E305&lt;&gt;""),IF(AND($B305="s",OR($C305="SER",$C305="PLH",$C305="CSF")),"Case NIH Plate "&amp;(INT(((COUNTIFS($B$2:$B305,"s",$C$2:$C305,"SER")+COUNTIFS($B$2:$B305,"s",$C$2:$C305,"PLH")+COUNTIFS($B$2:$B305,"s",$C$2:$C305,"CSF"))-1)/96)+1)&amp;": "&amp;CHAR(65+INT(MOD((COUNTIFS($B$2:$B305,"s",$C$2:$C305,"SER")+COUNTIFS($B$2:$B305,"s",$C$2:$C305,"PLH")+COUNTIFS($B$2:$B305,"s",$C$2:$C305,"CSF"))-1,96)/12))&amp;(MOD((COUNTIFS($B$2:$B305,"s",$C$2:$C305,"SER")+COUNTIFS($B$2:$B305,"s",$C$2:$C305,"PLH")+COUNTIFS($B$2:$B305,"s",$C$2:$C305,"CSF"))-1,12)+1),"N/A"),"")</f>
        <v/>
      </c>
      <c r="J305" s="6" t="str">
        <f>IF(AND($A305&lt;&gt;"",$B305&lt;&gt;"",$C305&lt;&gt;"",$D305&lt;&gt;"",$E305&lt;&gt;""),IF(AND($B305="s",OR($C305="SER",$C305="PLH")),"Case MAX Planck Plate "&amp;(INT(((COUNTIFS($B$2:$B305,"s",$C$2:$C305,"SER")+COUNTIFS($B$2:$B305,"s",$C$2:$C305,"PLH"))-1)/96)+1)&amp;": "&amp;CHAR(65+INT(MOD((COUNTIFS($B$2:$B305,"s",$C$2:$C305,"SER")+COUNTIFS($B$2:$B305,"s",$C$2:$C305,"PLH"))-1,96)/12))&amp;(MOD((COUNTIFS($B$2:$B305,"s",$C$2:$C305,"SER")+COUNTIFS($B$2:$B305,"s",$C$2:$C305,"PLH"))-1,12)+1),"N/A"),"")</f>
        <v/>
      </c>
      <c r="K305" s="6" t="str">
        <f>IF(AND($A305&lt;&gt;"",$B305&lt;&gt;"",$C305&lt;&gt;"",$D305&lt;&gt;"",$E305&lt;&gt;""),IF($C305="WB","Case WB Box "&amp;(INT((COUNTIFS($C$2:$C305,"WB")-1)/81)+1)&amp;": "&amp;CHAR(65+INT(MOD(COUNTIFS($C$2:$C305,"WB")-1,81)/9))&amp;(MOD(COUNTIFS($C$2:$C305,"WB")-1,9)+1),"N/A"),"")</f>
        <v/>
      </c>
      <c r="L305" s="2" t="str">
        <f t="shared" si="73"/>
        <v/>
      </c>
      <c r="M305" s="2"/>
      <c r="N305" s="2"/>
      <c r="O305" s="2"/>
      <c r="P305" s="7" t="str">
        <f t="shared" si="74"/>
        <v/>
      </c>
      <c r="Q305" s="7" t="str">
        <f t="shared" si="75"/>
        <v/>
      </c>
      <c r="R305" s="7" t="str">
        <f t="shared" si="76"/>
        <v/>
      </c>
      <c r="S305" s="7" t="str">
        <f t="shared" si="77"/>
        <v/>
      </c>
      <c r="T305" s="7" t="str">
        <f t="shared" si="78"/>
        <v/>
      </c>
      <c r="U305" s="7" t="str">
        <f t="shared" si="79"/>
        <v/>
      </c>
      <c r="V305" s="7" t="str">
        <f t="shared" si="80"/>
        <v/>
      </c>
      <c r="W305" s="7" t="str">
        <f t="shared" si="81"/>
        <v/>
      </c>
      <c r="X305" s="7" t="str">
        <f t="shared" si="82"/>
        <v/>
      </c>
      <c r="Y305" s="7" t="str">
        <f t="shared" si="83"/>
        <v/>
      </c>
      <c r="Z305">
        <f t="shared" si="84"/>
        <v>0</v>
      </c>
      <c r="AA305" t="str">
        <f t="shared" si="85"/>
        <v/>
      </c>
      <c r="AB305" t="str">
        <f t="shared" si="86"/>
        <v/>
      </c>
      <c r="AC305" t="str">
        <f t="shared" si="87"/>
        <v/>
      </c>
      <c r="AD305" t="str">
        <f t="shared" si="88"/>
        <v/>
      </c>
      <c r="AE305">
        <f t="shared" si="89"/>
        <v>0</v>
      </c>
    </row>
    <row r="306" spans="1:31" ht="15" customHeight="1" x14ac:dyDescent="0.35">
      <c r="A306" s="2"/>
      <c r="B306" s="3"/>
      <c r="C306" s="3"/>
      <c r="D306" s="4"/>
      <c r="E306" s="5"/>
      <c r="F306" s="11" t="str">
        <f t="shared" ca="1" si="72"/>
        <v/>
      </c>
      <c r="G306" s="5"/>
      <c r="H306" s="6" t="str">
        <f>IF(AND($A306&lt;&gt;"",$B306&lt;&gt;"",$C306&lt;&gt;"",$D306&lt;&gt;"",$E306&lt;&gt;""),IF(AND($B306="s",OR($C306="SER",$C306="PLH",$C306="CSF")),"Case CDI Plate "&amp;(INT(((COUNTIFS($B$2:$B306,"s",$C$2:$C306,"SER")+COUNTIFS($B$2:$B306,"s",$C$2:$C306,"PLH")+COUNTIFS($B$2:$B306,"s",$C$2:$C306,"CSF"))-1)/96)+1)&amp;": "&amp;CHAR(65+INT(MOD((COUNTIFS($B$2:$B306,"s",$C$2:$C306,"SER")+COUNTIFS($B$2:$B306,"s",$C$2:$C306,"PLH")+COUNTIFS($B$2:$B306,"s",$C$2:$C306,"CSF"))-1,96)/12))&amp;(MOD((COUNTIFS($B$2:$B306,"s",$C$2:$C306,"SER")+COUNTIFS($B$2:$B306,"s",$C$2:$C306,"PLH")+COUNTIFS($B$2:$B306,"s",$C$2:$C306,"CSF"))-1,12)+1),"N/A"),"")</f>
        <v/>
      </c>
      <c r="I306" s="6" t="str">
        <f>IF(AND($A306&lt;&gt;"",$B306&lt;&gt;"",$C306&lt;&gt;"",$D306&lt;&gt;"",$E306&lt;&gt;""),IF(AND($B306="s",OR($C306="SER",$C306="PLH",$C306="CSF")),"Case NIH Plate "&amp;(INT(((COUNTIFS($B$2:$B306,"s",$C$2:$C306,"SER")+COUNTIFS($B$2:$B306,"s",$C$2:$C306,"PLH")+COUNTIFS($B$2:$B306,"s",$C$2:$C306,"CSF"))-1)/96)+1)&amp;": "&amp;CHAR(65+INT(MOD((COUNTIFS($B$2:$B306,"s",$C$2:$C306,"SER")+COUNTIFS($B$2:$B306,"s",$C$2:$C306,"PLH")+COUNTIFS($B$2:$B306,"s",$C$2:$C306,"CSF"))-1,96)/12))&amp;(MOD((COUNTIFS($B$2:$B306,"s",$C$2:$C306,"SER")+COUNTIFS($B$2:$B306,"s",$C$2:$C306,"PLH")+COUNTIFS($B$2:$B306,"s",$C$2:$C306,"CSF"))-1,12)+1),"N/A"),"")</f>
        <v/>
      </c>
      <c r="J306" s="6" t="str">
        <f>IF(AND($A306&lt;&gt;"",$B306&lt;&gt;"",$C306&lt;&gt;"",$D306&lt;&gt;"",$E306&lt;&gt;""),IF(AND($B306="s",OR($C306="SER",$C306="PLH")),"Case MAX Planck Plate "&amp;(INT(((COUNTIFS($B$2:$B306,"s",$C$2:$C306,"SER")+COUNTIFS($B$2:$B306,"s",$C$2:$C306,"PLH"))-1)/96)+1)&amp;": "&amp;CHAR(65+INT(MOD((COUNTIFS($B$2:$B306,"s",$C$2:$C306,"SER")+COUNTIFS($B$2:$B306,"s",$C$2:$C306,"PLH"))-1,96)/12))&amp;(MOD((COUNTIFS($B$2:$B306,"s",$C$2:$C306,"SER")+COUNTIFS($B$2:$B306,"s",$C$2:$C306,"PLH"))-1,12)+1),"N/A"),"")</f>
        <v/>
      </c>
      <c r="K306" s="6" t="str">
        <f>IF(AND($A306&lt;&gt;"",$B306&lt;&gt;"",$C306&lt;&gt;"",$D306&lt;&gt;"",$E306&lt;&gt;""),IF($C306="WB","Case WB Box "&amp;(INT((COUNTIFS($C$2:$C306,"WB")-1)/81)+1)&amp;": "&amp;CHAR(65+INT(MOD(COUNTIFS($C$2:$C306,"WB")-1,81)/9))&amp;(MOD(COUNTIFS($C$2:$C306,"WB")-1,9)+1),"N/A"),"")</f>
        <v/>
      </c>
      <c r="L306" s="2" t="str">
        <f t="shared" si="73"/>
        <v/>
      </c>
      <c r="M306" s="2"/>
      <c r="N306" s="2"/>
      <c r="O306" s="2"/>
      <c r="P306" s="7" t="str">
        <f t="shared" si="74"/>
        <v/>
      </c>
      <c r="Q306" s="7" t="str">
        <f t="shared" si="75"/>
        <v/>
      </c>
      <c r="R306" s="7" t="str">
        <f t="shared" si="76"/>
        <v/>
      </c>
      <c r="S306" s="7" t="str">
        <f t="shared" si="77"/>
        <v/>
      </c>
      <c r="T306" s="7" t="str">
        <f t="shared" si="78"/>
        <v/>
      </c>
      <c r="U306" s="7" t="str">
        <f t="shared" si="79"/>
        <v/>
      </c>
      <c r="V306" s="7" t="str">
        <f t="shared" si="80"/>
        <v/>
      </c>
      <c r="W306" s="7" t="str">
        <f t="shared" si="81"/>
        <v/>
      </c>
      <c r="X306" s="7" t="str">
        <f t="shared" si="82"/>
        <v/>
      </c>
      <c r="Y306" s="7" t="str">
        <f t="shared" si="83"/>
        <v/>
      </c>
      <c r="Z306">
        <f t="shared" si="84"/>
        <v>0</v>
      </c>
      <c r="AA306" t="str">
        <f t="shared" si="85"/>
        <v/>
      </c>
      <c r="AB306" t="str">
        <f t="shared" si="86"/>
        <v/>
      </c>
      <c r="AC306" t="str">
        <f t="shared" si="87"/>
        <v/>
      </c>
      <c r="AD306" t="str">
        <f t="shared" si="88"/>
        <v/>
      </c>
      <c r="AE306">
        <f t="shared" si="89"/>
        <v>0</v>
      </c>
    </row>
    <row r="307" spans="1:31" ht="15" customHeight="1" x14ac:dyDescent="0.35">
      <c r="A307" s="2"/>
      <c r="B307" s="3"/>
      <c r="C307" s="3"/>
      <c r="D307" s="4"/>
      <c r="E307" s="5"/>
      <c r="F307" s="11" t="str">
        <f t="shared" ca="1" si="72"/>
        <v/>
      </c>
      <c r="G307" s="5"/>
      <c r="H307" s="6" t="str">
        <f>IF(AND($A307&lt;&gt;"",$B307&lt;&gt;"",$C307&lt;&gt;"",$D307&lt;&gt;"",$E307&lt;&gt;""),IF(AND($B307="s",OR($C307="SER",$C307="PLH",$C307="CSF")),"Case CDI Plate "&amp;(INT(((COUNTIFS($B$2:$B307,"s",$C$2:$C307,"SER")+COUNTIFS($B$2:$B307,"s",$C$2:$C307,"PLH")+COUNTIFS($B$2:$B307,"s",$C$2:$C307,"CSF"))-1)/96)+1)&amp;": "&amp;CHAR(65+INT(MOD((COUNTIFS($B$2:$B307,"s",$C$2:$C307,"SER")+COUNTIFS($B$2:$B307,"s",$C$2:$C307,"PLH")+COUNTIFS($B$2:$B307,"s",$C$2:$C307,"CSF"))-1,96)/12))&amp;(MOD((COUNTIFS($B$2:$B307,"s",$C$2:$C307,"SER")+COUNTIFS($B$2:$B307,"s",$C$2:$C307,"PLH")+COUNTIFS($B$2:$B307,"s",$C$2:$C307,"CSF"))-1,12)+1),"N/A"),"")</f>
        <v/>
      </c>
      <c r="I307" s="6" t="str">
        <f>IF(AND($A307&lt;&gt;"",$B307&lt;&gt;"",$C307&lt;&gt;"",$D307&lt;&gt;"",$E307&lt;&gt;""),IF(AND($B307="s",OR($C307="SER",$C307="PLH",$C307="CSF")),"Case NIH Plate "&amp;(INT(((COUNTIFS($B$2:$B307,"s",$C$2:$C307,"SER")+COUNTIFS($B$2:$B307,"s",$C$2:$C307,"PLH")+COUNTIFS($B$2:$B307,"s",$C$2:$C307,"CSF"))-1)/96)+1)&amp;": "&amp;CHAR(65+INT(MOD((COUNTIFS($B$2:$B307,"s",$C$2:$C307,"SER")+COUNTIFS($B$2:$B307,"s",$C$2:$C307,"PLH")+COUNTIFS($B$2:$B307,"s",$C$2:$C307,"CSF"))-1,96)/12))&amp;(MOD((COUNTIFS($B$2:$B307,"s",$C$2:$C307,"SER")+COUNTIFS($B$2:$B307,"s",$C$2:$C307,"PLH")+COUNTIFS($B$2:$B307,"s",$C$2:$C307,"CSF"))-1,12)+1),"N/A"),"")</f>
        <v/>
      </c>
      <c r="J307" s="6" t="str">
        <f>IF(AND($A307&lt;&gt;"",$B307&lt;&gt;"",$C307&lt;&gt;"",$D307&lt;&gt;"",$E307&lt;&gt;""),IF(AND($B307="s",OR($C307="SER",$C307="PLH")),"Case MAX Planck Plate "&amp;(INT(((COUNTIFS($B$2:$B307,"s",$C$2:$C307,"SER")+COUNTIFS($B$2:$B307,"s",$C$2:$C307,"PLH"))-1)/96)+1)&amp;": "&amp;CHAR(65+INT(MOD((COUNTIFS($B$2:$B307,"s",$C$2:$C307,"SER")+COUNTIFS($B$2:$B307,"s",$C$2:$C307,"PLH"))-1,96)/12))&amp;(MOD((COUNTIFS($B$2:$B307,"s",$C$2:$C307,"SER")+COUNTIFS($B$2:$B307,"s",$C$2:$C307,"PLH"))-1,12)+1),"N/A"),"")</f>
        <v/>
      </c>
      <c r="K307" s="6" t="str">
        <f>IF(AND($A307&lt;&gt;"",$B307&lt;&gt;"",$C307&lt;&gt;"",$D307&lt;&gt;"",$E307&lt;&gt;""),IF($C307="WB","Case WB Box "&amp;(INT((COUNTIFS($C$2:$C307,"WB")-1)/81)+1)&amp;": "&amp;CHAR(65+INT(MOD(COUNTIFS($C$2:$C307,"WB")-1,81)/9))&amp;(MOD(COUNTIFS($C$2:$C307,"WB")-1,9)+1),"N/A"),"")</f>
        <v/>
      </c>
      <c r="L307" s="2" t="str">
        <f t="shared" si="73"/>
        <v/>
      </c>
      <c r="M307" s="2"/>
      <c r="N307" s="2"/>
      <c r="O307" s="2"/>
      <c r="P307" s="7" t="str">
        <f t="shared" si="74"/>
        <v/>
      </c>
      <c r="Q307" s="7" t="str">
        <f t="shared" si="75"/>
        <v/>
      </c>
      <c r="R307" s="7" t="str">
        <f t="shared" si="76"/>
        <v/>
      </c>
      <c r="S307" s="7" t="str">
        <f t="shared" si="77"/>
        <v/>
      </c>
      <c r="T307" s="7" t="str">
        <f t="shared" si="78"/>
        <v/>
      </c>
      <c r="U307" s="7" t="str">
        <f t="shared" si="79"/>
        <v/>
      </c>
      <c r="V307" s="7" t="str">
        <f t="shared" si="80"/>
        <v/>
      </c>
      <c r="W307" s="7" t="str">
        <f t="shared" si="81"/>
        <v/>
      </c>
      <c r="X307" s="7" t="str">
        <f t="shared" si="82"/>
        <v/>
      </c>
      <c r="Y307" s="7" t="str">
        <f t="shared" si="83"/>
        <v/>
      </c>
      <c r="Z307">
        <f t="shared" si="84"/>
        <v>0</v>
      </c>
      <c r="AA307" t="str">
        <f t="shared" si="85"/>
        <v/>
      </c>
      <c r="AB307" t="str">
        <f t="shared" si="86"/>
        <v/>
      </c>
      <c r="AC307" t="str">
        <f t="shared" si="87"/>
        <v/>
      </c>
      <c r="AD307" t="str">
        <f t="shared" si="88"/>
        <v/>
      </c>
      <c r="AE307">
        <f t="shared" si="89"/>
        <v>0</v>
      </c>
    </row>
    <row r="308" spans="1:31" ht="15" customHeight="1" x14ac:dyDescent="0.35">
      <c r="A308" s="2"/>
      <c r="B308" s="3"/>
      <c r="C308" s="3"/>
      <c r="D308" s="4"/>
      <c r="E308" s="5"/>
      <c r="F308" s="11" t="str">
        <f t="shared" ca="1" si="72"/>
        <v/>
      </c>
      <c r="G308" s="5"/>
      <c r="H308" s="6" t="str">
        <f>IF(AND($A308&lt;&gt;"",$B308&lt;&gt;"",$C308&lt;&gt;"",$D308&lt;&gt;"",$E308&lt;&gt;""),IF(AND($B308="s",OR($C308="SER",$C308="PLH",$C308="CSF")),"Case CDI Plate "&amp;(INT(((COUNTIFS($B$2:$B308,"s",$C$2:$C308,"SER")+COUNTIFS($B$2:$B308,"s",$C$2:$C308,"PLH")+COUNTIFS($B$2:$B308,"s",$C$2:$C308,"CSF"))-1)/96)+1)&amp;": "&amp;CHAR(65+INT(MOD((COUNTIFS($B$2:$B308,"s",$C$2:$C308,"SER")+COUNTIFS($B$2:$B308,"s",$C$2:$C308,"PLH")+COUNTIFS($B$2:$B308,"s",$C$2:$C308,"CSF"))-1,96)/12))&amp;(MOD((COUNTIFS($B$2:$B308,"s",$C$2:$C308,"SER")+COUNTIFS($B$2:$B308,"s",$C$2:$C308,"PLH")+COUNTIFS($B$2:$B308,"s",$C$2:$C308,"CSF"))-1,12)+1),"N/A"),"")</f>
        <v/>
      </c>
      <c r="I308" s="6" t="str">
        <f>IF(AND($A308&lt;&gt;"",$B308&lt;&gt;"",$C308&lt;&gt;"",$D308&lt;&gt;"",$E308&lt;&gt;""),IF(AND($B308="s",OR($C308="SER",$C308="PLH",$C308="CSF")),"Case NIH Plate "&amp;(INT(((COUNTIFS($B$2:$B308,"s",$C$2:$C308,"SER")+COUNTIFS($B$2:$B308,"s",$C$2:$C308,"PLH")+COUNTIFS($B$2:$B308,"s",$C$2:$C308,"CSF"))-1)/96)+1)&amp;": "&amp;CHAR(65+INT(MOD((COUNTIFS($B$2:$B308,"s",$C$2:$C308,"SER")+COUNTIFS($B$2:$B308,"s",$C$2:$C308,"PLH")+COUNTIFS($B$2:$B308,"s",$C$2:$C308,"CSF"))-1,96)/12))&amp;(MOD((COUNTIFS($B$2:$B308,"s",$C$2:$C308,"SER")+COUNTIFS($B$2:$B308,"s",$C$2:$C308,"PLH")+COUNTIFS($B$2:$B308,"s",$C$2:$C308,"CSF"))-1,12)+1),"N/A"),"")</f>
        <v/>
      </c>
      <c r="J308" s="6" t="str">
        <f>IF(AND($A308&lt;&gt;"",$B308&lt;&gt;"",$C308&lt;&gt;"",$D308&lt;&gt;"",$E308&lt;&gt;""),IF(AND($B308="s",OR($C308="SER",$C308="PLH")),"Case MAX Planck Plate "&amp;(INT(((COUNTIFS($B$2:$B308,"s",$C$2:$C308,"SER")+COUNTIFS($B$2:$B308,"s",$C$2:$C308,"PLH"))-1)/96)+1)&amp;": "&amp;CHAR(65+INT(MOD((COUNTIFS($B$2:$B308,"s",$C$2:$C308,"SER")+COUNTIFS($B$2:$B308,"s",$C$2:$C308,"PLH"))-1,96)/12))&amp;(MOD((COUNTIFS($B$2:$B308,"s",$C$2:$C308,"SER")+COUNTIFS($B$2:$B308,"s",$C$2:$C308,"PLH"))-1,12)+1),"N/A"),"")</f>
        <v/>
      </c>
      <c r="K308" s="6" t="str">
        <f>IF(AND($A308&lt;&gt;"",$B308&lt;&gt;"",$C308&lt;&gt;"",$D308&lt;&gt;"",$E308&lt;&gt;""),IF($C308="WB","Case WB Box "&amp;(INT((COUNTIFS($C$2:$C308,"WB")-1)/81)+1)&amp;": "&amp;CHAR(65+INT(MOD(COUNTIFS($C$2:$C308,"WB")-1,81)/9))&amp;(MOD(COUNTIFS($C$2:$C308,"WB")-1,9)+1),"N/A"),"")</f>
        <v/>
      </c>
      <c r="L308" s="2" t="str">
        <f t="shared" si="73"/>
        <v/>
      </c>
      <c r="M308" s="2"/>
      <c r="N308" s="2"/>
      <c r="O308" s="2"/>
      <c r="P308" s="7" t="str">
        <f t="shared" si="74"/>
        <v/>
      </c>
      <c r="Q308" s="7" t="str">
        <f t="shared" si="75"/>
        <v/>
      </c>
      <c r="R308" s="7" t="str">
        <f t="shared" si="76"/>
        <v/>
      </c>
      <c r="S308" s="7" t="str">
        <f t="shared" si="77"/>
        <v/>
      </c>
      <c r="T308" s="7" t="str">
        <f t="shared" si="78"/>
        <v/>
      </c>
      <c r="U308" s="7" t="str">
        <f t="shared" si="79"/>
        <v/>
      </c>
      <c r="V308" s="7" t="str">
        <f t="shared" si="80"/>
        <v/>
      </c>
      <c r="W308" s="7" t="str">
        <f t="shared" si="81"/>
        <v/>
      </c>
      <c r="X308" s="7" t="str">
        <f t="shared" si="82"/>
        <v/>
      </c>
      <c r="Y308" s="7" t="str">
        <f t="shared" si="83"/>
        <v/>
      </c>
      <c r="Z308">
        <f t="shared" si="84"/>
        <v>0</v>
      </c>
      <c r="AA308" t="str">
        <f t="shared" si="85"/>
        <v/>
      </c>
      <c r="AB308" t="str">
        <f t="shared" si="86"/>
        <v/>
      </c>
      <c r="AC308" t="str">
        <f t="shared" si="87"/>
        <v/>
      </c>
      <c r="AD308" t="str">
        <f t="shared" si="88"/>
        <v/>
      </c>
      <c r="AE308">
        <f t="shared" si="89"/>
        <v>0</v>
      </c>
    </row>
    <row r="309" spans="1:31" ht="15" customHeight="1" x14ac:dyDescent="0.35">
      <c r="A309" s="2"/>
      <c r="B309" s="3"/>
      <c r="C309" s="3"/>
      <c r="D309" s="4"/>
      <c r="E309" s="5"/>
      <c r="F309" s="11" t="str">
        <f t="shared" ca="1" si="72"/>
        <v/>
      </c>
      <c r="G309" s="5"/>
      <c r="H309" s="6" t="str">
        <f>IF(AND($A309&lt;&gt;"",$B309&lt;&gt;"",$C309&lt;&gt;"",$D309&lt;&gt;"",$E309&lt;&gt;""),IF(AND($B309="s",OR($C309="SER",$C309="PLH",$C309="CSF")),"Case CDI Plate "&amp;(INT(((COUNTIFS($B$2:$B309,"s",$C$2:$C309,"SER")+COUNTIFS($B$2:$B309,"s",$C$2:$C309,"PLH")+COUNTIFS($B$2:$B309,"s",$C$2:$C309,"CSF"))-1)/96)+1)&amp;": "&amp;CHAR(65+INT(MOD((COUNTIFS($B$2:$B309,"s",$C$2:$C309,"SER")+COUNTIFS($B$2:$B309,"s",$C$2:$C309,"PLH")+COUNTIFS($B$2:$B309,"s",$C$2:$C309,"CSF"))-1,96)/12))&amp;(MOD((COUNTIFS($B$2:$B309,"s",$C$2:$C309,"SER")+COUNTIFS($B$2:$B309,"s",$C$2:$C309,"PLH")+COUNTIFS($B$2:$B309,"s",$C$2:$C309,"CSF"))-1,12)+1),"N/A"),"")</f>
        <v/>
      </c>
      <c r="I309" s="6" t="str">
        <f>IF(AND($A309&lt;&gt;"",$B309&lt;&gt;"",$C309&lt;&gt;"",$D309&lt;&gt;"",$E309&lt;&gt;""),IF(AND($B309="s",OR($C309="SER",$C309="PLH",$C309="CSF")),"Case NIH Plate "&amp;(INT(((COUNTIFS($B$2:$B309,"s",$C$2:$C309,"SER")+COUNTIFS($B$2:$B309,"s",$C$2:$C309,"PLH")+COUNTIFS($B$2:$B309,"s",$C$2:$C309,"CSF"))-1)/96)+1)&amp;": "&amp;CHAR(65+INT(MOD((COUNTIFS($B$2:$B309,"s",$C$2:$C309,"SER")+COUNTIFS($B$2:$B309,"s",$C$2:$C309,"PLH")+COUNTIFS($B$2:$B309,"s",$C$2:$C309,"CSF"))-1,96)/12))&amp;(MOD((COUNTIFS($B$2:$B309,"s",$C$2:$C309,"SER")+COUNTIFS($B$2:$B309,"s",$C$2:$C309,"PLH")+COUNTIFS($B$2:$B309,"s",$C$2:$C309,"CSF"))-1,12)+1),"N/A"),"")</f>
        <v/>
      </c>
      <c r="J309" s="6" t="str">
        <f>IF(AND($A309&lt;&gt;"",$B309&lt;&gt;"",$C309&lt;&gt;"",$D309&lt;&gt;"",$E309&lt;&gt;""),IF(AND($B309="s",OR($C309="SER",$C309="PLH")),"Case MAX Planck Plate "&amp;(INT(((COUNTIFS($B$2:$B309,"s",$C$2:$C309,"SER")+COUNTIFS($B$2:$B309,"s",$C$2:$C309,"PLH"))-1)/96)+1)&amp;": "&amp;CHAR(65+INT(MOD((COUNTIFS($B$2:$B309,"s",$C$2:$C309,"SER")+COUNTIFS($B$2:$B309,"s",$C$2:$C309,"PLH"))-1,96)/12))&amp;(MOD((COUNTIFS($B$2:$B309,"s",$C$2:$C309,"SER")+COUNTIFS($B$2:$B309,"s",$C$2:$C309,"PLH"))-1,12)+1),"N/A"),"")</f>
        <v/>
      </c>
      <c r="K309" s="6" t="str">
        <f>IF(AND($A309&lt;&gt;"",$B309&lt;&gt;"",$C309&lt;&gt;"",$D309&lt;&gt;"",$E309&lt;&gt;""),IF($C309="WB","Case WB Box "&amp;(INT((COUNTIFS($C$2:$C309,"WB")-1)/81)+1)&amp;": "&amp;CHAR(65+INT(MOD(COUNTIFS($C$2:$C309,"WB")-1,81)/9))&amp;(MOD(COUNTIFS($C$2:$C309,"WB")-1,9)+1),"N/A"),"")</f>
        <v/>
      </c>
      <c r="L309" s="2" t="str">
        <f t="shared" si="73"/>
        <v/>
      </c>
      <c r="M309" s="2"/>
      <c r="N309" s="2"/>
      <c r="O309" s="2"/>
      <c r="P309" s="7" t="str">
        <f t="shared" si="74"/>
        <v/>
      </c>
      <c r="Q309" s="7" t="str">
        <f t="shared" si="75"/>
        <v/>
      </c>
      <c r="R309" s="7" t="str">
        <f t="shared" si="76"/>
        <v/>
      </c>
      <c r="S309" s="7" t="str">
        <f t="shared" si="77"/>
        <v/>
      </c>
      <c r="T309" s="7" t="str">
        <f t="shared" si="78"/>
        <v/>
      </c>
      <c r="U309" s="7" t="str">
        <f t="shared" si="79"/>
        <v/>
      </c>
      <c r="V309" s="7" t="str">
        <f t="shared" si="80"/>
        <v/>
      </c>
      <c r="W309" s="7" t="str">
        <f t="shared" si="81"/>
        <v/>
      </c>
      <c r="X309" s="7" t="str">
        <f t="shared" si="82"/>
        <v/>
      </c>
      <c r="Y309" s="7" t="str">
        <f t="shared" si="83"/>
        <v/>
      </c>
      <c r="Z309">
        <f t="shared" si="84"/>
        <v>0</v>
      </c>
      <c r="AA309" t="str">
        <f t="shared" si="85"/>
        <v/>
      </c>
      <c r="AB309" t="str">
        <f t="shared" si="86"/>
        <v/>
      </c>
      <c r="AC309" t="str">
        <f t="shared" si="87"/>
        <v/>
      </c>
      <c r="AD309" t="str">
        <f t="shared" si="88"/>
        <v/>
      </c>
      <c r="AE309">
        <f t="shared" si="89"/>
        <v>0</v>
      </c>
    </row>
    <row r="310" spans="1:31" ht="15" customHeight="1" x14ac:dyDescent="0.35">
      <c r="A310" s="2"/>
      <c r="B310" s="3"/>
      <c r="C310" s="3"/>
      <c r="D310" s="4"/>
      <c r="E310" s="5"/>
      <c r="F310" s="11" t="str">
        <f t="shared" ca="1" si="72"/>
        <v/>
      </c>
      <c r="G310" s="5"/>
      <c r="H310" s="6" t="str">
        <f>IF(AND($A310&lt;&gt;"",$B310&lt;&gt;"",$C310&lt;&gt;"",$D310&lt;&gt;"",$E310&lt;&gt;""),IF(AND($B310="s",OR($C310="SER",$C310="PLH",$C310="CSF")),"Case CDI Plate "&amp;(INT(((COUNTIFS($B$2:$B310,"s",$C$2:$C310,"SER")+COUNTIFS($B$2:$B310,"s",$C$2:$C310,"PLH")+COUNTIFS($B$2:$B310,"s",$C$2:$C310,"CSF"))-1)/96)+1)&amp;": "&amp;CHAR(65+INT(MOD((COUNTIFS($B$2:$B310,"s",$C$2:$C310,"SER")+COUNTIFS($B$2:$B310,"s",$C$2:$C310,"PLH")+COUNTIFS($B$2:$B310,"s",$C$2:$C310,"CSF"))-1,96)/12))&amp;(MOD((COUNTIFS($B$2:$B310,"s",$C$2:$C310,"SER")+COUNTIFS($B$2:$B310,"s",$C$2:$C310,"PLH")+COUNTIFS($B$2:$B310,"s",$C$2:$C310,"CSF"))-1,12)+1),"N/A"),"")</f>
        <v/>
      </c>
      <c r="I310" s="6" t="str">
        <f>IF(AND($A310&lt;&gt;"",$B310&lt;&gt;"",$C310&lt;&gt;"",$D310&lt;&gt;"",$E310&lt;&gt;""),IF(AND($B310="s",OR($C310="SER",$C310="PLH",$C310="CSF")),"Case NIH Plate "&amp;(INT(((COUNTIFS($B$2:$B310,"s",$C$2:$C310,"SER")+COUNTIFS($B$2:$B310,"s",$C$2:$C310,"PLH")+COUNTIFS($B$2:$B310,"s",$C$2:$C310,"CSF"))-1)/96)+1)&amp;": "&amp;CHAR(65+INT(MOD((COUNTIFS($B$2:$B310,"s",$C$2:$C310,"SER")+COUNTIFS($B$2:$B310,"s",$C$2:$C310,"PLH")+COUNTIFS($B$2:$B310,"s",$C$2:$C310,"CSF"))-1,96)/12))&amp;(MOD((COUNTIFS($B$2:$B310,"s",$C$2:$C310,"SER")+COUNTIFS($B$2:$B310,"s",$C$2:$C310,"PLH")+COUNTIFS($B$2:$B310,"s",$C$2:$C310,"CSF"))-1,12)+1),"N/A"),"")</f>
        <v/>
      </c>
      <c r="J310" s="6" t="str">
        <f>IF(AND($A310&lt;&gt;"",$B310&lt;&gt;"",$C310&lt;&gt;"",$D310&lt;&gt;"",$E310&lt;&gt;""),IF(AND($B310="s",OR($C310="SER",$C310="PLH")),"Case MAX Planck Plate "&amp;(INT(((COUNTIFS($B$2:$B310,"s",$C$2:$C310,"SER")+COUNTIFS($B$2:$B310,"s",$C$2:$C310,"PLH"))-1)/96)+1)&amp;": "&amp;CHAR(65+INT(MOD((COUNTIFS($B$2:$B310,"s",$C$2:$C310,"SER")+COUNTIFS($B$2:$B310,"s",$C$2:$C310,"PLH"))-1,96)/12))&amp;(MOD((COUNTIFS($B$2:$B310,"s",$C$2:$C310,"SER")+COUNTIFS($B$2:$B310,"s",$C$2:$C310,"PLH"))-1,12)+1),"N/A"),"")</f>
        <v/>
      </c>
      <c r="K310" s="6" t="str">
        <f>IF(AND($A310&lt;&gt;"",$B310&lt;&gt;"",$C310&lt;&gt;"",$D310&lt;&gt;"",$E310&lt;&gt;""),IF($C310="WB","Case WB Box "&amp;(INT((COUNTIFS($C$2:$C310,"WB")-1)/81)+1)&amp;": "&amp;CHAR(65+INT(MOD(COUNTIFS($C$2:$C310,"WB")-1,81)/9))&amp;(MOD(COUNTIFS($C$2:$C310,"WB")-1,9)+1),"N/A"),"")</f>
        <v/>
      </c>
      <c r="L310" s="2" t="str">
        <f t="shared" si="73"/>
        <v/>
      </c>
      <c r="M310" s="2"/>
      <c r="N310" s="2"/>
      <c r="O310" s="2"/>
      <c r="P310" s="7" t="str">
        <f t="shared" si="74"/>
        <v/>
      </c>
      <c r="Q310" s="7" t="str">
        <f t="shared" si="75"/>
        <v/>
      </c>
      <c r="R310" s="7" t="str">
        <f t="shared" si="76"/>
        <v/>
      </c>
      <c r="S310" s="7" t="str">
        <f t="shared" si="77"/>
        <v/>
      </c>
      <c r="T310" s="7" t="str">
        <f t="shared" si="78"/>
        <v/>
      </c>
      <c r="U310" s="7" t="str">
        <f t="shared" si="79"/>
        <v/>
      </c>
      <c r="V310" s="7" t="str">
        <f t="shared" si="80"/>
        <v/>
      </c>
      <c r="W310" s="7" t="str">
        <f t="shared" si="81"/>
        <v/>
      </c>
      <c r="X310" s="7" t="str">
        <f t="shared" si="82"/>
        <v/>
      </c>
      <c r="Y310" s="7" t="str">
        <f t="shared" si="83"/>
        <v/>
      </c>
      <c r="Z310">
        <f t="shared" si="84"/>
        <v>0</v>
      </c>
      <c r="AA310" t="str">
        <f t="shared" si="85"/>
        <v/>
      </c>
      <c r="AB310" t="str">
        <f t="shared" si="86"/>
        <v/>
      </c>
      <c r="AC310" t="str">
        <f t="shared" si="87"/>
        <v/>
      </c>
      <c r="AD310" t="str">
        <f t="shared" si="88"/>
        <v/>
      </c>
      <c r="AE310">
        <f t="shared" si="89"/>
        <v>0</v>
      </c>
    </row>
    <row r="311" spans="1:31" ht="15" customHeight="1" x14ac:dyDescent="0.35">
      <c r="A311" s="2"/>
      <c r="B311" s="3"/>
      <c r="C311" s="3"/>
      <c r="D311" s="4"/>
      <c r="E311" s="5"/>
      <c r="F311" s="11" t="str">
        <f t="shared" ca="1" si="72"/>
        <v/>
      </c>
      <c r="G311" s="5"/>
      <c r="H311" s="6" t="str">
        <f>IF(AND($A311&lt;&gt;"",$B311&lt;&gt;"",$C311&lt;&gt;"",$D311&lt;&gt;"",$E311&lt;&gt;""),IF(AND($B311="s",OR($C311="SER",$C311="PLH",$C311="CSF")),"Case CDI Plate "&amp;(INT(((COUNTIFS($B$2:$B311,"s",$C$2:$C311,"SER")+COUNTIFS($B$2:$B311,"s",$C$2:$C311,"PLH")+COUNTIFS($B$2:$B311,"s",$C$2:$C311,"CSF"))-1)/96)+1)&amp;": "&amp;CHAR(65+INT(MOD((COUNTIFS($B$2:$B311,"s",$C$2:$C311,"SER")+COUNTIFS($B$2:$B311,"s",$C$2:$C311,"PLH")+COUNTIFS($B$2:$B311,"s",$C$2:$C311,"CSF"))-1,96)/12))&amp;(MOD((COUNTIFS($B$2:$B311,"s",$C$2:$C311,"SER")+COUNTIFS($B$2:$B311,"s",$C$2:$C311,"PLH")+COUNTIFS($B$2:$B311,"s",$C$2:$C311,"CSF"))-1,12)+1),"N/A"),"")</f>
        <v/>
      </c>
      <c r="I311" s="6" t="str">
        <f>IF(AND($A311&lt;&gt;"",$B311&lt;&gt;"",$C311&lt;&gt;"",$D311&lt;&gt;"",$E311&lt;&gt;""),IF(AND($B311="s",OR($C311="SER",$C311="PLH",$C311="CSF")),"Case NIH Plate "&amp;(INT(((COUNTIFS($B$2:$B311,"s",$C$2:$C311,"SER")+COUNTIFS($B$2:$B311,"s",$C$2:$C311,"PLH")+COUNTIFS($B$2:$B311,"s",$C$2:$C311,"CSF"))-1)/96)+1)&amp;": "&amp;CHAR(65+INT(MOD((COUNTIFS($B$2:$B311,"s",$C$2:$C311,"SER")+COUNTIFS($B$2:$B311,"s",$C$2:$C311,"PLH")+COUNTIFS($B$2:$B311,"s",$C$2:$C311,"CSF"))-1,96)/12))&amp;(MOD((COUNTIFS($B$2:$B311,"s",$C$2:$C311,"SER")+COUNTIFS($B$2:$B311,"s",$C$2:$C311,"PLH")+COUNTIFS($B$2:$B311,"s",$C$2:$C311,"CSF"))-1,12)+1),"N/A"),"")</f>
        <v/>
      </c>
      <c r="J311" s="6" t="str">
        <f>IF(AND($A311&lt;&gt;"",$B311&lt;&gt;"",$C311&lt;&gt;"",$D311&lt;&gt;"",$E311&lt;&gt;""),IF(AND($B311="s",OR($C311="SER",$C311="PLH")),"Case MAX Planck Plate "&amp;(INT(((COUNTIFS($B$2:$B311,"s",$C$2:$C311,"SER")+COUNTIFS($B$2:$B311,"s",$C$2:$C311,"PLH"))-1)/96)+1)&amp;": "&amp;CHAR(65+INT(MOD((COUNTIFS($B$2:$B311,"s",$C$2:$C311,"SER")+COUNTIFS($B$2:$B311,"s",$C$2:$C311,"PLH"))-1,96)/12))&amp;(MOD((COUNTIFS($B$2:$B311,"s",$C$2:$C311,"SER")+COUNTIFS($B$2:$B311,"s",$C$2:$C311,"PLH"))-1,12)+1),"N/A"),"")</f>
        <v/>
      </c>
      <c r="K311" s="6" t="str">
        <f>IF(AND($A311&lt;&gt;"",$B311&lt;&gt;"",$C311&lt;&gt;"",$D311&lt;&gt;"",$E311&lt;&gt;""),IF($C311="WB","Case WB Box "&amp;(INT((COUNTIFS($C$2:$C311,"WB")-1)/81)+1)&amp;": "&amp;CHAR(65+INT(MOD(COUNTIFS($C$2:$C311,"WB")-1,81)/9))&amp;(MOD(COUNTIFS($C$2:$C311,"WB")-1,9)+1),"N/A"),"")</f>
        <v/>
      </c>
      <c r="L311" s="2" t="str">
        <f t="shared" si="73"/>
        <v/>
      </c>
      <c r="M311" s="2"/>
      <c r="N311" s="2"/>
      <c r="O311" s="2"/>
      <c r="P311" s="7" t="str">
        <f t="shared" si="74"/>
        <v/>
      </c>
      <c r="Q311" s="7" t="str">
        <f t="shared" si="75"/>
        <v/>
      </c>
      <c r="R311" s="7" t="str">
        <f t="shared" si="76"/>
        <v/>
      </c>
      <c r="S311" s="7" t="str">
        <f t="shared" si="77"/>
        <v/>
      </c>
      <c r="T311" s="7" t="str">
        <f t="shared" si="78"/>
        <v/>
      </c>
      <c r="U311" s="7" t="str">
        <f t="shared" si="79"/>
        <v/>
      </c>
      <c r="V311" s="7" t="str">
        <f t="shared" si="80"/>
        <v/>
      </c>
      <c r="W311" s="7" t="str">
        <f t="shared" si="81"/>
        <v/>
      </c>
      <c r="X311" s="7" t="str">
        <f t="shared" si="82"/>
        <v/>
      </c>
      <c r="Y311" s="7" t="str">
        <f t="shared" si="83"/>
        <v/>
      </c>
      <c r="Z311">
        <f t="shared" si="84"/>
        <v>0</v>
      </c>
      <c r="AA311" t="str">
        <f t="shared" si="85"/>
        <v/>
      </c>
      <c r="AB311" t="str">
        <f t="shared" si="86"/>
        <v/>
      </c>
      <c r="AC311" t="str">
        <f t="shared" si="87"/>
        <v/>
      </c>
      <c r="AD311" t="str">
        <f t="shared" si="88"/>
        <v/>
      </c>
      <c r="AE311">
        <f t="shared" si="89"/>
        <v>0</v>
      </c>
    </row>
    <row r="312" spans="1:31" ht="15" customHeight="1" x14ac:dyDescent="0.35">
      <c r="A312" s="2"/>
      <c r="B312" s="3"/>
      <c r="C312" s="3"/>
      <c r="D312" s="4"/>
      <c r="E312" s="5"/>
      <c r="F312" s="11" t="str">
        <f t="shared" ca="1" si="72"/>
        <v/>
      </c>
      <c r="G312" s="5"/>
      <c r="H312" s="6" t="str">
        <f>IF(AND($A312&lt;&gt;"",$B312&lt;&gt;"",$C312&lt;&gt;"",$D312&lt;&gt;"",$E312&lt;&gt;""),IF(AND($B312="s",OR($C312="SER",$C312="PLH",$C312="CSF")),"Case CDI Plate "&amp;(INT(((COUNTIFS($B$2:$B312,"s",$C$2:$C312,"SER")+COUNTIFS($B$2:$B312,"s",$C$2:$C312,"PLH")+COUNTIFS($B$2:$B312,"s",$C$2:$C312,"CSF"))-1)/96)+1)&amp;": "&amp;CHAR(65+INT(MOD((COUNTIFS($B$2:$B312,"s",$C$2:$C312,"SER")+COUNTIFS($B$2:$B312,"s",$C$2:$C312,"PLH")+COUNTIFS($B$2:$B312,"s",$C$2:$C312,"CSF"))-1,96)/12))&amp;(MOD((COUNTIFS($B$2:$B312,"s",$C$2:$C312,"SER")+COUNTIFS($B$2:$B312,"s",$C$2:$C312,"PLH")+COUNTIFS($B$2:$B312,"s",$C$2:$C312,"CSF"))-1,12)+1),"N/A"),"")</f>
        <v/>
      </c>
      <c r="I312" s="6" t="str">
        <f>IF(AND($A312&lt;&gt;"",$B312&lt;&gt;"",$C312&lt;&gt;"",$D312&lt;&gt;"",$E312&lt;&gt;""),IF(AND($B312="s",OR($C312="SER",$C312="PLH",$C312="CSF")),"Case NIH Plate "&amp;(INT(((COUNTIFS($B$2:$B312,"s",$C$2:$C312,"SER")+COUNTIFS($B$2:$B312,"s",$C$2:$C312,"PLH")+COUNTIFS($B$2:$B312,"s",$C$2:$C312,"CSF"))-1)/96)+1)&amp;": "&amp;CHAR(65+INT(MOD((COUNTIFS($B$2:$B312,"s",$C$2:$C312,"SER")+COUNTIFS($B$2:$B312,"s",$C$2:$C312,"PLH")+COUNTIFS($B$2:$B312,"s",$C$2:$C312,"CSF"))-1,96)/12))&amp;(MOD((COUNTIFS($B$2:$B312,"s",$C$2:$C312,"SER")+COUNTIFS($B$2:$B312,"s",$C$2:$C312,"PLH")+COUNTIFS($B$2:$B312,"s",$C$2:$C312,"CSF"))-1,12)+1),"N/A"),"")</f>
        <v/>
      </c>
      <c r="J312" s="6" t="str">
        <f>IF(AND($A312&lt;&gt;"",$B312&lt;&gt;"",$C312&lt;&gt;"",$D312&lt;&gt;"",$E312&lt;&gt;""),IF(AND($B312="s",OR($C312="SER",$C312="PLH")),"Case MAX Planck Plate "&amp;(INT(((COUNTIFS($B$2:$B312,"s",$C$2:$C312,"SER")+COUNTIFS($B$2:$B312,"s",$C$2:$C312,"PLH"))-1)/96)+1)&amp;": "&amp;CHAR(65+INT(MOD((COUNTIFS($B$2:$B312,"s",$C$2:$C312,"SER")+COUNTIFS($B$2:$B312,"s",$C$2:$C312,"PLH"))-1,96)/12))&amp;(MOD((COUNTIFS($B$2:$B312,"s",$C$2:$C312,"SER")+COUNTIFS($B$2:$B312,"s",$C$2:$C312,"PLH"))-1,12)+1),"N/A"),"")</f>
        <v/>
      </c>
      <c r="K312" s="6" t="str">
        <f>IF(AND($A312&lt;&gt;"",$B312&lt;&gt;"",$C312&lt;&gt;"",$D312&lt;&gt;"",$E312&lt;&gt;""),IF($C312="WB","Case WB Box "&amp;(INT((COUNTIFS($C$2:$C312,"WB")-1)/81)+1)&amp;": "&amp;CHAR(65+INT(MOD(COUNTIFS($C$2:$C312,"WB")-1,81)/9))&amp;(MOD(COUNTIFS($C$2:$C312,"WB")-1,9)+1),"N/A"),"")</f>
        <v/>
      </c>
      <c r="L312" s="2" t="str">
        <f t="shared" si="73"/>
        <v/>
      </c>
      <c r="M312" s="2"/>
      <c r="N312" s="2"/>
      <c r="O312" s="2"/>
      <c r="P312" s="7" t="str">
        <f t="shared" si="74"/>
        <v/>
      </c>
      <c r="Q312" s="7" t="str">
        <f t="shared" si="75"/>
        <v/>
      </c>
      <c r="R312" s="7" t="str">
        <f t="shared" si="76"/>
        <v/>
      </c>
      <c r="S312" s="7" t="str">
        <f t="shared" si="77"/>
        <v/>
      </c>
      <c r="T312" s="7" t="str">
        <f t="shared" si="78"/>
        <v/>
      </c>
      <c r="U312" s="7" t="str">
        <f t="shared" si="79"/>
        <v/>
      </c>
      <c r="V312" s="7" t="str">
        <f t="shared" si="80"/>
        <v/>
      </c>
      <c r="W312" s="7" t="str">
        <f t="shared" si="81"/>
        <v/>
      </c>
      <c r="X312" s="7" t="str">
        <f t="shared" si="82"/>
        <v/>
      </c>
      <c r="Y312" s="7" t="str">
        <f t="shared" si="83"/>
        <v/>
      </c>
      <c r="Z312">
        <f t="shared" si="84"/>
        <v>0</v>
      </c>
      <c r="AA312" t="str">
        <f t="shared" si="85"/>
        <v/>
      </c>
      <c r="AB312" t="str">
        <f t="shared" si="86"/>
        <v/>
      </c>
      <c r="AC312" t="str">
        <f t="shared" si="87"/>
        <v/>
      </c>
      <c r="AD312" t="str">
        <f t="shared" si="88"/>
        <v/>
      </c>
      <c r="AE312">
        <f t="shared" si="89"/>
        <v>0</v>
      </c>
    </row>
    <row r="313" spans="1:31" ht="15" customHeight="1" x14ac:dyDescent="0.35">
      <c r="A313" s="2"/>
      <c r="B313" s="3"/>
      <c r="C313" s="3"/>
      <c r="D313" s="4"/>
      <c r="E313" s="5"/>
      <c r="F313" s="11" t="str">
        <f t="shared" ca="1" si="72"/>
        <v/>
      </c>
      <c r="G313" s="5"/>
      <c r="H313" s="6" t="str">
        <f>IF(AND($A313&lt;&gt;"",$B313&lt;&gt;"",$C313&lt;&gt;"",$D313&lt;&gt;"",$E313&lt;&gt;""),IF(AND($B313="s",OR($C313="SER",$C313="PLH",$C313="CSF")),"Case CDI Plate "&amp;(INT(((COUNTIFS($B$2:$B313,"s",$C$2:$C313,"SER")+COUNTIFS($B$2:$B313,"s",$C$2:$C313,"PLH")+COUNTIFS($B$2:$B313,"s",$C$2:$C313,"CSF"))-1)/96)+1)&amp;": "&amp;CHAR(65+INT(MOD((COUNTIFS($B$2:$B313,"s",$C$2:$C313,"SER")+COUNTIFS($B$2:$B313,"s",$C$2:$C313,"PLH")+COUNTIFS($B$2:$B313,"s",$C$2:$C313,"CSF"))-1,96)/12))&amp;(MOD((COUNTIFS($B$2:$B313,"s",$C$2:$C313,"SER")+COUNTIFS($B$2:$B313,"s",$C$2:$C313,"PLH")+COUNTIFS($B$2:$B313,"s",$C$2:$C313,"CSF"))-1,12)+1),"N/A"),"")</f>
        <v/>
      </c>
      <c r="I313" s="6" t="str">
        <f>IF(AND($A313&lt;&gt;"",$B313&lt;&gt;"",$C313&lt;&gt;"",$D313&lt;&gt;"",$E313&lt;&gt;""),IF(AND($B313="s",OR($C313="SER",$C313="PLH",$C313="CSF")),"Case NIH Plate "&amp;(INT(((COUNTIFS($B$2:$B313,"s",$C$2:$C313,"SER")+COUNTIFS($B$2:$B313,"s",$C$2:$C313,"PLH")+COUNTIFS($B$2:$B313,"s",$C$2:$C313,"CSF"))-1)/96)+1)&amp;": "&amp;CHAR(65+INT(MOD((COUNTIFS($B$2:$B313,"s",$C$2:$C313,"SER")+COUNTIFS($B$2:$B313,"s",$C$2:$C313,"PLH")+COUNTIFS($B$2:$B313,"s",$C$2:$C313,"CSF"))-1,96)/12))&amp;(MOD((COUNTIFS($B$2:$B313,"s",$C$2:$C313,"SER")+COUNTIFS($B$2:$B313,"s",$C$2:$C313,"PLH")+COUNTIFS($B$2:$B313,"s",$C$2:$C313,"CSF"))-1,12)+1),"N/A"),"")</f>
        <v/>
      </c>
      <c r="J313" s="6" t="str">
        <f>IF(AND($A313&lt;&gt;"",$B313&lt;&gt;"",$C313&lt;&gt;"",$D313&lt;&gt;"",$E313&lt;&gt;""),IF(AND($B313="s",OR($C313="SER",$C313="PLH")),"Case MAX Planck Plate "&amp;(INT(((COUNTIFS($B$2:$B313,"s",$C$2:$C313,"SER")+COUNTIFS($B$2:$B313,"s",$C$2:$C313,"PLH"))-1)/96)+1)&amp;": "&amp;CHAR(65+INT(MOD((COUNTIFS($B$2:$B313,"s",$C$2:$C313,"SER")+COUNTIFS($B$2:$B313,"s",$C$2:$C313,"PLH"))-1,96)/12))&amp;(MOD((COUNTIFS($B$2:$B313,"s",$C$2:$C313,"SER")+COUNTIFS($B$2:$B313,"s",$C$2:$C313,"PLH"))-1,12)+1),"N/A"),"")</f>
        <v/>
      </c>
      <c r="K313" s="6" t="str">
        <f>IF(AND($A313&lt;&gt;"",$B313&lt;&gt;"",$C313&lt;&gt;"",$D313&lt;&gt;"",$E313&lt;&gt;""),IF($C313="WB","Case WB Box "&amp;(INT((COUNTIFS($C$2:$C313,"WB")-1)/81)+1)&amp;": "&amp;CHAR(65+INT(MOD(COUNTIFS($C$2:$C313,"WB")-1,81)/9))&amp;(MOD(COUNTIFS($C$2:$C313,"WB")-1,9)+1),"N/A"),"")</f>
        <v/>
      </c>
      <c r="L313" s="2" t="str">
        <f t="shared" si="73"/>
        <v/>
      </c>
      <c r="M313" s="2"/>
      <c r="N313" s="2"/>
      <c r="O313" s="2"/>
      <c r="P313" s="7" t="str">
        <f t="shared" si="74"/>
        <v/>
      </c>
      <c r="Q313" s="7" t="str">
        <f t="shared" si="75"/>
        <v/>
      </c>
      <c r="R313" s="7" t="str">
        <f t="shared" si="76"/>
        <v/>
      </c>
      <c r="S313" s="7" t="str">
        <f t="shared" si="77"/>
        <v/>
      </c>
      <c r="T313" s="7" t="str">
        <f t="shared" si="78"/>
        <v/>
      </c>
      <c r="U313" s="7" t="str">
        <f t="shared" si="79"/>
        <v/>
      </c>
      <c r="V313" s="7" t="str">
        <f t="shared" si="80"/>
        <v/>
      </c>
      <c r="W313" s="7" t="str">
        <f t="shared" si="81"/>
        <v/>
      </c>
      <c r="X313" s="7" t="str">
        <f t="shared" si="82"/>
        <v/>
      </c>
      <c r="Y313" s="7" t="str">
        <f t="shared" si="83"/>
        <v/>
      </c>
      <c r="Z313">
        <f t="shared" si="84"/>
        <v>0</v>
      </c>
      <c r="AA313" t="str">
        <f t="shared" si="85"/>
        <v/>
      </c>
      <c r="AB313" t="str">
        <f t="shared" si="86"/>
        <v/>
      </c>
      <c r="AC313" t="str">
        <f t="shared" si="87"/>
        <v/>
      </c>
      <c r="AD313" t="str">
        <f t="shared" si="88"/>
        <v/>
      </c>
      <c r="AE313">
        <f t="shared" si="89"/>
        <v>0</v>
      </c>
    </row>
    <row r="314" spans="1:31" ht="15" customHeight="1" x14ac:dyDescent="0.35">
      <c r="A314" s="2"/>
      <c r="B314" s="3"/>
      <c r="C314" s="3"/>
      <c r="D314" s="4"/>
      <c r="E314" s="5"/>
      <c r="F314" s="11" t="str">
        <f t="shared" ca="1" si="72"/>
        <v/>
      </c>
      <c r="G314" s="5"/>
      <c r="H314" s="6" t="str">
        <f>IF(AND($A314&lt;&gt;"",$B314&lt;&gt;"",$C314&lt;&gt;"",$D314&lt;&gt;"",$E314&lt;&gt;""),IF(AND($B314="s",OR($C314="SER",$C314="PLH",$C314="CSF")),"Case CDI Plate "&amp;(INT(((COUNTIFS($B$2:$B314,"s",$C$2:$C314,"SER")+COUNTIFS($B$2:$B314,"s",$C$2:$C314,"PLH")+COUNTIFS($B$2:$B314,"s",$C$2:$C314,"CSF"))-1)/96)+1)&amp;": "&amp;CHAR(65+INT(MOD((COUNTIFS($B$2:$B314,"s",$C$2:$C314,"SER")+COUNTIFS($B$2:$B314,"s",$C$2:$C314,"PLH")+COUNTIFS($B$2:$B314,"s",$C$2:$C314,"CSF"))-1,96)/12))&amp;(MOD((COUNTIFS($B$2:$B314,"s",$C$2:$C314,"SER")+COUNTIFS($B$2:$B314,"s",$C$2:$C314,"PLH")+COUNTIFS($B$2:$B314,"s",$C$2:$C314,"CSF"))-1,12)+1),"N/A"),"")</f>
        <v/>
      </c>
      <c r="I314" s="6" t="str">
        <f>IF(AND($A314&lt;&gt;"",$B314&lt;&gt;"",$C314&lt;&gt;"",$D314&lt;&gt;"",$E314&lt;&gt;""),IF(AND($B314="s",OR($C314="SER",$C314="PLH",$C314="CSF")),"Case NIH Plate "&amp;(INT(((COUNTIFS($B$2:$B314,"s",$C$2:$C314,"SER")+COUNTIFS($B$2:$B314,"s",$C$2:$C314,"PLH")+COUNTIFS($B$2:$B314,"s",$C$2:$C314,"CSF"))-1)/96)+1)&amp;": "&amp;CHAR(65+INT(MOD((COUNTIFS($B$2:$B314,"s",$C$2:$C314,"SER")+COUNTIFS($B$2:$B314,"s",$C$2:$C314,"PLH")+COUNTIFS($B$2:$B314,"s",$C$2:$C314,"CSF"))-1,96)/12))&amp;(MOD((COUNTIFS($B$2:$B314,"s",$C$2:$C314,"SER")+COUNTIFS($B$2:$B314,"s",$C$2:$C314,"PLH")+COUNTIFS($B$2:$B314,"s",$C$2:$C314,"CSF"))-1,12)+1),"N/A"),"")</f>
        <v/>
      </c>
      <c r="J314" s="6" t="str">
        <f>IF(AND($A314&lt;&gt;"",$B314&lt;&gt;"",$C314&lt;&gt;"",$D314&lt;&gt;"",$E314&lt;&gt;""),IF(AND($B314="s",OR($C314="SER",$C314="PLH")),"Case MAX Planck Plate "&amp;(INT(((COUNTIFS($B$2:$B314,"s",$C$2:$C314,"SER")+COUNTIFS($B$2:$B314,"s",$C$2:$C314,"PLH"))-1)/96)+1)&amp;": "&amp;CHAR(65+INT(MOD((COUNTIFS($B$2:$B314,"s",$C$2:$C314,"SER")+COUNTIFS($B$2:$B314,"s",$C$2:$C314,"PLH"))-1,96)/12))&amp;(MOD((COUNTIFS($B$2:$B314,"s",$C$2:$C314,"SER")+COUNTIFS($B$2:$B314,"s",$C$2:$C314,"PLH"))-1,12)+1),"N/A"),"")</f>
        <v/>
      </c>
      <c r="K314" s="6" t="str">
        <f>IF(AND($A314&lt;&gt;"",$B314&lt;&gt;"",$C314&lt;&gt;"",$D314&lt;&gt;"",$E314&lt;&gt;""),IF($C314="WB","Case WB Box "&amp;(INT((COUNTIFS($C$2:$C314,"WB")-1)/81)+1)&amp;": "&amp;CHAR(65+INT(MOD(COUNTIFS($C$2:$C314,"WB")-1,81)/9))&amp;(MOD(COUNTIFS($C$2:$C314,"WB")-1,9)+1),"N/A"),"")</f>
        <v/>
      </c>
      <c r="L314" s="2" t="str">
        <f t="shared" si="73"/>
        <v/>
      </c>
      <c r="M314" s="2"/>
      <c r="N314" s="2"/>
      <c r="O314" s="2"/>
      <c r="P314" s="7" t="str">
        <f t="shared" si="74"/>
        <v/>
      </c>
      <c r="Q314" s="7" t="str">
        <f t="shared" si="75"/>
        <v/>
      </c>
      <c r="R314" s="7" t="str">
        <f t="shared" si="76"/>
        <v/>
      </c>
      <c r="S314" s="7" t="str">
        <f t="shared" si="77"/>
        <v/>
      </c>
      <c r="T314" s="7" t="str">
        <f t="shared" si="78"/>
        <v/>
      </c>
      <c r="U314" s="7" t="str">
        <f t="shared" si="79"/>
        <v/>
      </c>
      <c r="V314" s="7" t="str">
        <f t="shared" si="80"/>
        <v/>
      </c>
      <c r="W314" s="7" t="str">
        <f t="shared" si="81"/>
        <v/>
      </c>
      <c r="X314" s="7" t="str">
        <f t="shared" si="82"/>
        <v/>
      </c>
      <c r="Y314" s="7" t="str">
        <f t="shared" si="83"/>
        <v/>
      </c>
      <c r="Z314">
        <f t="shared" si="84"/>
        <v>0</v>
      </c>
      <c r="AA314" t="str">
        <f t="shared" si="85"/>
        <v/>
      </c>
      <c r="AB314" t="str">
        <f t="shared" si="86"/>
        <v/>
      </c>
      <c r="AC314" t="str">
        <f t="shared" si="87"/>
        <v/>
      </c>
      <c r="AD314" t="str">
        <f t="shared" si="88"/>
        <v/>
      </c>
      <c r="AE314">
        <f t="shared" si="89"/>
        <v>0</v>
      </c>
    </row>
    <row r="315" spans="1:31" ht="15" customHeight="1" x14ac:dyDescent="0.35">
      <c r="A315" s="2"/>
      <c r="B315" s="3"/>
      <c r="C315" s="3"/>
      <c r="D315" s="4"/>
      <c r="E315" s="5"/>
      <c r="F315" s="11" t="str">
        <f t="shared" ca="1" si="72"/>
        <v/>
      </c>
      <c r="G315" s="5"/>
      <c r="H315" s="6" t="str">
        <f>IF(AND($A315&lt;&gt;"",$B315&lt;&gt;"",$C315&lt;&gt;"",$D315&lt;&gt;"",$E315&lt;&gt;""),IF(AND($B315="s",OR($C315="SER",$C315="PLH",$C315="CSF")),"Case CDI Plate "&amp;(INT(((COUNTIFS($B$2:$B315,"s",$C$2:$C315,"SER")+COUNTIFS($B$2:$B315,"s",$C$2:$C315,"PLH")+COUNTIFS($B$2:$B315,"s",$C$2:$C315,"CSF"))-1)/96)+1)&amp;": "&amp;CHAR(65+INT(MOD((COUNTIFS($B$2:$B315,"s",$C$2:$C315,"SER")+COUNTIFS($B$2:$B315,"s",$C$2:$C315,"PLH")+COUNTIFS($B$2:$B315,"s",$C$2:$C315,"CSF"))-1,96)/12))&amp;(MOD((COUNTIFS($B$2:$B315,"s",$C$2:$C315,"SER")+COUNTIFS($B$2:$B315,"s",$C$2:$C315,"PLH")+COUNTIFS($B$2:$B315,"s",$C$2:$C315,"CSF"))-1,12)+1),"N/A"),"")</f>
        <v/>
      </c>
      <c r="I315" s="6" t="str">
        <f>IF(AND($A315&lt;&gt;"",$B315&lt;&gt;"",$C315&lt;&gt;"",$D315&lt;&gt;"",$E315&lt;&gt;""),IF(AND($B315="s",OR($C315="SER",$C315="PLH",$C315="CSF")),"Case NIH Plate "&amp;(INT(((COUNTIFS($B$2:$B315,"s",$C$2:$C315,"SER")+COUNTIFS($B$2:$B315,"s",$C$2:$C315,"PLH")+COUNTIFS($B$2:$B315,"s",$C$2:$C315,"CSF"))-1)/96)+1)&amp;": "&amp;CHAR(65+INT(MOD((COUNTIFS($B$2:$B315,"s",$C$2:$C315,"SER")+COUNTIFS($B$2:$B315,"s",$C$2:$C315,"PLH")+COUNTIFS($B$2:$B315,"s",$C$2:$C315,"CSF"))-1,96)/12))&amp;(MOD((COUNTIFS($B$2:$B315,"s",$C$2:$C315,"SER")+COUNTIFS($B$2:$B315,"s",$C$2:$C315,"PLH")+COUNTIFS($B$2:$B315,"s",$C$2:$C315,"CSF"))-1,12)+1),"N/A"),"")</f>
        <v/>
      </c>
      <c r="J315" s="6" t="str">
        <f>IF(AND($A315&lt;&gt;"",$B315&lt;&gt;"",$C315&lt;&gt;"",$D315&lt;&gt;"",$E315&lt;&gt;""),IF(AND($B315="s",OR($C315="SER",$C315="PLH")),"Case MAX Planck Plate "&amp;(INT(((COUNTIFS($B$2:$B315,"s",$C$2:$C315,"SER")+COUNTIFS($B$2:$B315,"s",$C$2:$C315,"PLH"))-1)/96)+1)&amp;": "&amp;CHAR(65+INT(MOD((COUNTIFS($B$2:$B315,"s",$C$2:$C315,"SER")+COUNTIFS($B$2:$B315,"s",$C$2:$C315,"PLH"))-1,96)/12))&amp;(MOD((COUNTIFS($B$2:$B315,"s",$C$2:$C315,"SER")+COUNTIFS($B$2:$B315,"s",$C$2:$C315,"PLH"))-1,12)+1),"N/A"),"")</f>
        <v/>
      </c>
      <c r="K315" s="6" t="str">
        <f>IF(AND($A315&lt;&gt;"",$B315&lt;&gt;"",$C315&lt;&gt;"",$D315&lt;&gt;"",$E315&lt;&gt;""),IF($C315="WB","Case WB Box "&amp;(INT((COUNTIFS($C$2:$C315,"WB")-1)/81)+1)&amp;": "&amp;CHAR(65+INT(MOD(COUNTIFS($C$2:$C315,"WB")-1,81)/9))&amp;(MOD(COUNTIFS($C$2:$C315,"WB")-1,9)+1),"N/A"),"")</f>
        <v/>
      </c>
      <c r="L315" s="2" t="str">
        <f t="shared" si="73"/>
        <v/>
      </c>
      <c r="M315" s="2"/>
      <c r="N315" s="2"/>
      <c r="O315" s="2"/>
      <c r="P315" s="7" t="str">
        <f t="shared" si="74"/>
        <v/>
      </c>
      <c r="Q315" s="7" t="str">
        <f t="shared" si="75"/>
        <v/>
      </c>
      <c r="R315" s="7" t="str">
        <f t="shared" si="76"/>
        <v/>
      </c>
      <c r="S315" s="7" t="str">
        <f t="shared" si="77"/>
        <v/>
      </c>
      <c r="T315" s="7" t="str">
        <f t="shared" si="78"/>
        <v/>
      </c>
      <c r="U315" s="7" t="str">
        <f t="shared" si="79"/>
        <v/>
      </c>
      <c r="V315" s="7" t="str">
        <f t="shared" si="80"/>
        <v/>
      </c>
      <c r="W315" s="7" t="str">
        <f t="shared" si="81"/>
        <v/>
      </c>
      <c r="X315" s="7" t="str">
        <f t="shared" si="82"/>
        <v/>
      </c>
      <c r="Y315" s="7" t="str">
        <f t="shared" si="83"/>
        <v/>
      </c>
      <c r="Z315">
        <f t="shared" si="84"/>
        <v>0</v>
      </c>
      <c r="AA315" t="str">
        <f t="shared" si="85"/>
        <v/>
      </c>
      <c r="AB315" t="str">
        <f t="shared" si="86"/>
        <v/>
      </c>
      <c r="AC315" t="str">
        <f t="shared" si="87"/>
        <v/>
      </c>
      <c r="AD315" t="str">
        <f t="shared" si="88"/>
        <v/>
      </c>
      <c r="AE315">
        <f t="shared" si="89"/>
        <v>0</v>
      </c>
    </row>
    <row r="316" spans="1:31" ht="15" customHeight="1" x14ac:dyDescent="0.35">
      <c r="A316" s="2"/>
      <c r="B316" s="3"/>
      <c r="C316" s="3"/>
      <c r="D316" s="4"/>
      <c r="E316" s="5"/>
      <c r="F316" s="11" t="str">
        <f t="shared" ca="1" si="72"/>
        <v/>
      </c>
      <c r="G316" s="5"/>
      <c r="H316" s="6" t="str">
        <f>IF(AND($A316&lt;&gt;"",$B316&lt;&gt;"",$C316&lt;&gt;"",$D316&lt;&gt;"",$E316&lt;&gt;""),IF(AND($B316="s",OR($C316="SER",$C316="PLH",$C316="CSF")),"Case CDI Plate "&amp;(INT(((COUNTIFS($B$2:$B316,"s",$C$2:$C316,"SER")+COUNTIFS($B$2:$B316,"s",$C$2:$C316,"PLH")+COUNTIFS($B$2:$B316,"s",$C$2:$C316,"CSF"))-1)/96)+1)&amp;": "&amp;CHAR(65+INT(MOD((COUNTIFS($B$2:$B316,"s",$C$2:$C316,"SER")+COUNTIFS($B$2:$B316,"s",$C$2:$C316,"PLH")+COUNTIFS($B$2:$B316,"s",$C$2:$C316,"CSF"))-1,96)/12))&amp;(MOD((COUNTIFS($B$2:$B316,"s",$C$2:$C316,"SER")+COUNTIFS($B$2:$B316,"s",$C$2:$C316,"PLH")+COUNTIFS($B$2:$B316,"s",$C$2:$C316,"CSF"))-1,12)+1),"N/A"),"")</f>
        <v/>
      </c>
      <c r="I316" s="6" t="str">
        <f>IF(AND($A316&lt;&gt;"",$B316&lt;&gt;"",$C316&lt;&gt;"",$D316&lt;&gt;"",$E316&lt;&gt;""),IF(AND($B316="s",OR($C316="SER",$C316="PLH",$C316="CSF")),"Case NIH Plate "&amp;(INT(((COUNTIFS($B$2:$B316,"s",$C$2:$C316,"SER")+COUNTIFS($B$2:$B316,"s",$C$2:$C316,"PLH")+COUNTIFS($B$2:$B316,"s",$C$2:$C316,"CSF"))-1)/96)+1)&amp;": "&amp;CHAR(65+INT(MOD((COUNTIFS($B$2:$B316,"s",$C$2:$C316,"SER")+COUNTIFS($B$2:$B316,"s",$C$2:$C316,"PLH")+COUNTIFS($B$2:$B316,"s",$C$2:$C316,"CSF"))-1,96)/12))&amp;(MOD((COUNTIFS($B$2:$B316,"s",$C$2:$C316,"SER")+COUNTIFS($B$2:$B316,"s",$C$2:$C316,"PLH")+COUNTIFS($B$2:$B316,"s",$C$2:$C316,"CSF"))-1,12)+1),"N/A"),"")</f>
        <v/>
      </c>
      <c r="J316" s="6" t="str">
        <f>IF(AND($A316&lt;&gt;"",$B316&lt;&gt;"",$C316&lt;&gt;"",$D316&lt;&gt;"",$E316&lt;&gt;""),IF(AND($B316="s",OR($C316="SER",$C316="PLH")),"Case MAX Planck Plate "&amp;(INT(((COUNTIFS($B$2:$B316,"s",$C$2:$C316,"SER")+COUNTIFS($B$2:$B316,"s",$C$2:$C316,"PLH"))-1)/96)+1)&amp;": "&amp;CHAR(65+INT(MOD((COUNTIFS($B$2:$B316,"s",$C$2:$C316,"SER")+COUNTIFS($B$2:$B316,"s",$C$2:$C316,"PLH"))-1,96)/12))&amp;(MOD((COUNTIFS($B$2:$B316,"s",$C$2:$C316,"SER")+COUNTIFS($B$2:$B316,"s",$C$2:$C316,"PLH"))-1,12)+1),"N/A"),"")</f>
        <v/>
      </c>
      <c r="K316" s="6" t="str">
        <f>IF(AND($A316&lt;&gt;"",$B316&lt;&gt;"",$C316&lt;&gt;"",$D316&lt;&gt;"",$E316&lt;&gt;""),IF($C316="WB","Case WB Box "&amp;(INT((COUNTIFS($C$2:$C316,"WB")-1)/81)+1)&amp;": "&amp;CHAR(65+INT(MOD(COUNTIFS($C$2:$C316,"WB")-1,81)/9))&amp;(MOD(COUNTIFS($C$2:$C316,"WB")-1,9)+1),"N/A"),"")</f>
        <v/>
      </c>
      <c r="L316" s="2" t="str">
        <f t="shared" si="73"/>
        <v/>
      </c>
      <c r="M316" s="2"/>
      <c r="N316" s="2"/>
      <c r="O316" s="2"/>
      <c r="P316" s="7" t="str">
        <f t="shared" si="74"/>
        <v/>
      </c>
      <c r="Q316" s="7" t="str">
        <f t="shared" si="75"/>
        <v/>
      </c>
      <c r="R316" s="7" t="str">
        <f t="shared" si="76"/>
        <v/>
      </c>
      <c r="S316" s="7" t="str">
        <f t="shared" si="77"/>
        <v/>
      </c>
      <c r="T316" s="7" t="str">
        <f t="shared" si="78"/>
        <v/>
      </c>
      <c r="U316" s="7" t="str">
        <f t="shared" si="79"/>
        <v/>
      </c>
      <c r="V316" s="7" t="str">
        <f t="shared" si="80"/>
        <v/>
      </c>
      <c r="W316" s="7" t="str">
        <f t="shared" si="81"/>
        <v/>
      </c>
      <c r="X316" s="7" t="str">
        <f t="shared" si="82"/>
        <v/>
      </c>
      <c r="Y316" s="7" t="str">
        <f t="shared" si="83"/>
        <v/>
      </c>
      <c r="Z316">
        <f t="shared" si="84"/>
        <v>0</v>
      </c>
      <c r="AA316" t="str">
        <f t="shared" si="85"/>
        <v/>
      </c>
      <c r="AB316" t="str">
        <f t="shared" si="86"/>
        <v/>
      </c>
      <c r="AC316" t="str">
        <f t="shared" si="87"/>
        <v/>
      </c>
      <c r="AD316" t="str">
        <f t="shared" si="88"/>
        <v/>
      </c>
      <c r="AE316">
        <f t="shared" si="89"/>
        <v>0</v>
      </c>
    </row>
    <row r="317" spans="1:31" ht="15" customHeight="1" x14ac:dyDescent="0.35">
      <c r="A317" s="2"/>
      <c r="B317" s="3"/>
      <c r="C317" s="3"/>
      <c r="D317" s="4"/>
      <c r="E317" s="5"/>
      <c r="F317" s="11" t="str">
        <f t="shared" ref="F317:F380" ca="1" si="90">IF(AND($A317&lt;&gt;"",$B317&lt;&gt;"",$C317&lt;&gt;"",$D317&lt;&gt;"",$E317&lt;&gt;""),TODAY(),"")</f>
        <v/>
      </c>
      <c r="G317" s="5"/>
      <c r="H317" s="6" t="str">
        <f>IF(AND($A317&lt;&gt;"",$B317&lt;&gt;"",$C317&lt;&gt;"",$D317&lt;&gt;"",$E317&lt;&gt;""),IF(AND($B317="s",OR($C317="SER",$C317="PLH",$C317="CSF")),"Case CDI Plate "&amp;(INT(((COUNTIFS($B$2:$B317,"s",$C$2:$C317,"SER")+COUNTIFS($B$2:$B317,"s",$C$2:$C317,"PLH")+COUNTIFS($B$2:$B317,"s",$C$2:$C317,"CSF"))-1)/96)+1)&amp;": "&amp;CHAR(65+INT(MOD((COUNTIFS($B$2:$B317,"s",$C$2:$C317,"SER")+COUNTIFS($B$2:$B317,"s",$C$2:$C317,"PLH")+COUNTIFS($B$2:$B317,"s",$C$2:$C317,"CSF"))-1,96)/12))&amp;(MOD((COUNTIFS($B$2:$B317,"s",$C$2:$C317,"SER")+COUNTIFS($B$2:$B317,"s",$C$2:$C317,"PLH")+COUNTIFS($B$2:$B317,"s",$C$2:$C317,"CSF"))-1,12)+1),"N/A"),"")</f>
        <v/>
      </c>
      <c r="I317" s="6" t="str">
        <f>IF(AND($A317&lt;&gt;"",$B317&lt;&gt;"",$C317&lt;&gt;"",$D317&lt;&gt;"",$E317&lt;&gt;""),IF(AND($B317="s",OR($C317="SER",$C317="PLH",$C317="CSF")),"Case NIH Plate "&amp;(INT(((COUNTIFS($B$2:$B317,"s",$C$2:$C317,"SER")+COUNTIFS($B$2:$B317,"s",$C$2:$C317,"PLH")+COUNTIFS($B$2:$B317,"s",$C$2:$C317,"CSF"))-1)/96)+1)&amp;": "&amp;CHAR(65+INT(MOD((COUNTIFS($B$2:$B317,"s",$C$2:$C317,"SER")+COUNTIFS($B$2:$B317,"s",$C$2:$C317,"PLH")+COUNTIFS($B$2:$B317,"s",$C$2:$C317,"CSF"))-1,96)/12))&amp;(MOD((COUNTIFS($B$2:$B317,"s",$C$2:$C317,"SER")+COUNTIFS($B$2:$B317,"s",$C$2:$C317,"PLH")+COUNTIFS($B$2:$B317,"s",$C$2:$C317,"CSF"))-1,12)+1),"N/A"),"")</f>
        <v/>
      </c>
      <c r="J317" s="6" t="str">
        <f>IF(AND($A317&lt;&gt;"",$B317&lt;&gt;"",$C317&lt;&gt;"",$D317&lt;&gt;"",$E317&lt;&gt;""),IF(AND($B317="s",OR($C317="SER",$C317="PLH")),"Case MAX Planck Plate "&amp;(INT(((COUNTIFS($B$2:$B317,"s",$C$2:$C317,"SER")+COUNTIFS($B$2:$B317,"s",$C$2:$C317,"PLH"))-1)/96)+1)&amp;": "&amp;CHAR(65+INT(MOD((COUNTIFS($B$2:$B317,"s",$C$2:$C317,"SER")+COUNTIFS($B$2:$B317,"s",$C$2:$C317,"PLH"))-1,96)/12))&amp;(MOD((COUNTIFS($B$2:$B317,"s",$C$2:$C317,"SER")+COUNTIFS($B$2:$B317,"s",$C$2:$C317,"PLH"))-1,12)+1),"N/A"),"")</f>
        <v/>
      </c>
      <c r="K317" s="6" t="str">
        <f>IF(AND($A317&lt;&gt;"",$B317&lt;&gt;"",$C317&lt;&gt;"",$D317&lt;&gt;"",$E317&lt;&gt;""),IF($C317="WB","Case WB Box "&amp;(INT((COUNTIFS($C$2:$C317,"WB")-1)/81)+1)&amp;": "&amp;CHAR(65+INT(MOD(COUNTIFS($C$2:$C317,"WB")-1,81)/9))&amp;(MOD(COUNTIFS($C$2:$C317,"WB")-1,9)+1),"N/A"),"")</f>
        <v/>
      </c>
      <c r="L317" s="2" t="str">
        <f t="shared" ref="L317:L380" si="91">IF(AND($A317&lt;&gt;"",$B317&lt;&gt;"",$C317&lt;&gt;"",$D317&lt;&gt;"",$E317&lt;&gt;""),IF($C317="WB","No",IF($B317="i","Yes","")),"")</f>
        <v/>
      </c>
      <c r="M317" s="2"/>
      <c r="N317" s="2"/>
      <c r="O317" s="2"/>
      <c r="P317" s="7" t="str">
        <f t="shared" ref="P317:P380" si="92">IF($A317&lt;&gt;"",MID($A317,5,4),"")</f>
        <v/>
      </c>
      <c r="Q317" s="7" t="str">
        <f t="shared" ref="Q317:Q380" si="93">IF($D317&lt;&gt;"",TEXT($D317,"mmddyy"),"")</f>
        <v/>
      </c>
      <c r="R317" s="7" t="str">
        <f t="shared" ref="R317:R380" si="94">IF(AND($A317&lt;&gt;"",$B317&lt;&gt;"",$C317&lt;&gt;"",$D317&lt;&gt;""),IF($C317="WB","cs_"&amp;$P317&amp;"_"&amp;$B317&amp;"_wb_"&amp;$Q317,"cs_"&amp;$P317&amp;"_"&amp;$B317&amp;"_"&amp;LOWER($C317)&amp;"_"&amp;IF($C317="CSF","0.50","0.20")&amp;"_"&amp;$Q317),"")</f>
        <v/>
      </c>
      <c r="S317" s="7" t="str">
        <f t="shared" ref="S317:S380" si="95">IF(AND($A317&lt;&gt;"",$B317&lt;&gt;"",$C317="WB",$D317&lt;&gt;""),"cs_"&amp;$P317&amp;"_"&amp;$B317&amp;"_wb_"&amp;$Q317,"")</f>
        <v/>
      </c>
      <c r="T317" s="7" t="str">
        <f t="shared" ref="T317:T380" si="96">IFERROR(VALUE(MID($M317,FIND("Box ",$M317)+4,FIND(":",$M317)-FIND("Box ",$M317)-4)),"")</f>
        <v/>
      </c>
      <c r="U317" s="7" t="str">
        <f t="shared" ref="U317:U380" si="97">IFERROR(CODE(UPPER(LEFT(LEFT(TRIM(MID(SUBSTITUTE(TRIM(MID($M317,FIND(":",$M317)+1,200)),",",REPT(" ",60)),1,60)),IFERROR(FIND("-",TRIM(MID(SUBSTITUTE(TRIM(MID($M317,FIND(":",$M317)+1,200)),",",REPT(" ",60)),1,60)))-1,LEN(TRIM(MID(SUBSTITUTE(TRIM(MID($M317,FIND(":",$M317)+1,200)),",",REPT(" ",60)),1,60))))),1)))-64,"")</f>
        <v/>
      </c>
      <c r="V317" s="7" t="str">
        <f t="shared" ref="V317:V380" si="98">IFERROR(VALUE(MID(LEFT(TRIM(MID(SUBSTITUTE(TRIM(MID($M317,FIND(":",$M317)+1,200)),",",REPT(" ",60)),1,60)),IFERROR(FIND("-",TRIM(MID(SUBSTITUTE(TRIM(MID($M317,FIND(":",$M317)+1,200)),",",REPT(" ",60)),1,60)))-1,LEN(TRIM(MID(SUBSTITUTE(TRIM(MID($M317,FIND(":",$M317)+1,200)),",",REPT(" ",60)),1,60))))),2,3)),"")</f>
        <v/>
      </c>
      <c r="W317" s="7" t="str">
        <f t="shared" ref="W317:W380" si="99">IFERROR(CODE(UPPER(LEFT(IFERROR(MID(TRIM(MID(SUBSTITUTE(TRIM(MID($M317,FIND(":",$M317)+1,200)),",",REPT(" ",60)),1,60)),FIND("-",TRIM(MID(SUBSTITUTE(TRIM(MID($M317,FIND(":",$M317)+1,200)),",",REPT(" ",60)),1,60)))+1,99),LEFT(TRIM(MID(SUBSTITUTE(TRIM(MID($M317,FIND(":",$M317)+1,200)),",",REPT(" ",60)),1,60)),IFERROR(FIND("-",TRIM(MID(SUBSTITUTE(TRIM(MID($M317,FIND(":",$M317)+1,200)),",",REPT(" ",60)),1,60)))-1,LEN(TRIM(MID(SUBSTITUTE(TRIM(MID($M317,FIND(":",$M317)+1,200)),",",REPT(" ",60)),1,60)))))),1)))-64,"")</f>
        <v/>
      </c>
      <c r="X317" s="7" t="str">
        <f t="shared" ref="X317:X380" si="100">IFERROR(VALUE(MID(IFERROR(MID(TRIM(MID(SUBSTITUTE(TRIM(MID($M317,FIND(":",$M317)+1,200)),",",REPT(" ",60)),1,60)),FIND("-",TRIM(MID(SUBSTITUTE(TRIM(MID($M317,FIND(":",$M317)+1,200)),",",REPT(" ",60)),1,60)))+1,99),LEFT(TRIM(MID(SUBSTITUTE(TRIM(MID($M317,FIND(":",$M317)+1,200)),",",REPT(" ",60)),1,60)),IFERROR(FIND("-",TRIM(MID(SUBSTITUTE(TRIM(MID($M317,FIND(":",$M317)+1,200)),",",REPT(" ",60)),1,60)))-1,LEN(TRIM(MID(SUBSTITUTE(TRIM(MID($M317,FIND(":",$M317)+1,200)),",",REPT(" ",60)),1,60)))))),2,3)),"")</f>
        <v/>
      </c>
      <c r="Y317" s="7" t="str">
        <f t="shared" ref="Y317:Y380" si="101">IF(AND($A317&lt;&gt;"",$B317&lt;&gt;"",$C317&lt;&gt;"",$D317&lt;&gt;""),"cs_"&amp;$P317&amp;"_"&amp;$B317&amp;"_"&amp;LOWER($C317)&amp;"_","")</f>
        <v/>
      </c>
      <c r="Z317">
        <f t="shared" ref="Z317:Z380" si="102">IFERROR(($W317-$U317+1)*($X317-$V317+1),0)</f>
        <v>0</v>
      </c>
      <c r="AA317" t="str">
        <f t="shared" ref="AA317:AA380" si="103">IFERROR(CODE(UPPER(LEFT(LEFT(TRIM(MID(SUBSTITUTE(TRIM(MID($M317,FIND(":",$M317)+1,200)),",",REPT(" ",60)),61,60)),IFERROR(FIND("-",TRIM(MID(SUBSTITUTE(TRIM(MID($M317,FIND(":",$M317)+1,200)),",",REPT(" ",60)),61,60)))-1,LEN(TRIM(MID(SUBSTITUTE(TRIM(MID($M317,FIND(":",$M317)+1,200)),",",REPT(" ",60)),61,60))))),1)))-64,"")</f>
        <v/>
      </c>
      <c r="AB317" t="str">
        <f t="shared" ref="AB317:AB380" si="104">IFERROR(VALUE(MID(LEFT(TRIM(MID(SUBSTITUTE(TRIM(MID($M317,FIND(":",$M317)+1,200)),",",REPT(" ",60)),61,60)),IFERROR(FIND("-",TRIM(MID(SUBSTITUTE(TRIM(MID($M317,FIND(":",$M317)+1,200)),",",REPT(" ",60)),61,60)))-1,LEN(TRIM(MID(SUBSTITUTE(TRIM(MID($M317,FIND(":",$M317)+1,200)),",",REPT(" ",60)),61,60))))),2,3)),"")</f>
        <v/>
      </c>
      <c r="AC317" t="str">
        <f t="shared" ref="AC317:AC380" si="105">IFERROR(CODE(UPPER(LEFT(IFERROR(MID(TRIM(MID(SUBSTITUTE(TRIM(MID($M317,FIND(":",$M317)+1,200)),",",REPT(" ",60)),61,60)),FIND("-",TRIM(MID(SUBSTITUTE(TRIM(MID($M317,FIND(":",$M317)+1,200)),",",REPT(" ",60)),61,60)))+1,99),LEFT(TRIM(MID(SUBSTITUTE(TRIM(MID($M317,FIND(":",$M317)+1,200)),",",REPT(" ",60)),61,60)),IFERROR(FIND("-",TRIM(MID(SUBSTITUTE(TRIM(MID($M317,FIND(":",$M317)+1,200)),",",REPT(" ",60)),61,60)))-1,LEN(TRIM(MID(SUBSTITUTE(TRIM(MID($M317,FIND(":",$M317)+1,200)),",",REPT(" ",60)),61,60)))))),1)))-64,"")</f>
        <v/>
      </c>
      <c r="AD317" t="str">
        <f t="shared" ref="AD317:AD380" si="106">IFERROR(VALUE(MID(IFERROR(MID(TRIM(MID(SUBSTITUTE(TRIM(MID($M317,FIND(":",$M317)+1,200)),",",REPT(" ",60)),61,60)),FIND("-",TRIM(MID(SUBSTITUTE(TRIM(MID($M317,FIND(":",$M317)+1,200)),",",REPT(" ",60)),61,60)))+1,99),LEFT(TRIM(MID(SUBSTITUTE(TRIM(MID($M317,FIND(":",$M317)+1,200)),",",REPT(" ",60)),61,60)),IFERROR(FIND("-",TRIM(MID(SUBSTITUTE(TRIM(MID($M317,FIND(":",$M317)+1,200)),",",REPT(" ",60)),61,60)))-1,LEN(TRIM(MID(SUBSTITUTE(TRIM(MID($M317,FIND(":",$M317)+1,200)),",",REPT(" ",60)),61,60)))))),2,3)),"")</f>
        <v/>
      </c>
      <c r="AE317">
        <f t="shared" ref="AE317:AE380" si="107">IFERROR(($AC317-$AA317+1)*($AD317-$AB317+1),0)</f>
        <v>0</v>
      </c>
    </row>
    <row r="318" spans="1:31" ht="15" customHeight="1" x14ac:dyDescent="0.35">
      <c r="A318" s="2"/>
      <c r="B318" s="3"/>
      <c r="C318" s="3"/>
      <c r="D318" s="4"/>
      <c r="E318" s="5"/>
      <c r="F318" s="11" t="str">
        <f t="shared" ca="1" si="90"/>
        <v/>
      </c>
      <c r="G318" s="5"/>
      <c r="H318" s="6" t="str">
        <f>IF(AND($A318&lt;&gt;"",$B318&lt;&gt;"",$C318&lt;&gt;"",$D318&lt;&gt;"",$E318&lt;&gt;""),IF(AND($B318="s",OR($C318="SER",$C318="PLH",$C318="CSF")),"Case CDI Plate "&amp;(INT(((COUNTIFS($B$2:$B318,"s",$C$2:$C318,"SER")+COUNTIFS($B$2:$B318,"s",$C$2:$C318,"PLH")+COUNTIFS($B$2:$B318,"s",$C$2:$C318,"CSF"))-1)/96)+1)&amp;": "&amp;CHAR(65+INT(MOD((COUNTIFS($B$2:$B318,"s",$C$2:$C318,"SER")+COUNTIFS($B$2:$B318,"s",$C$2:$C318,"PLH")+COUNTIFS($B$2:$B318,"s",$C$2:$C318,"CSF"))-1,96)/12))&amp;(MOD((COUNTIFS($B$2:$B318,"s",$C$2:$C318,"SER")+COUNTIFS($B$2:$B318,"s",$C$2:$C318,"PLH")+COUNTIFS($B$2:$B318,"s",$C$2:$C318,"CSF"))-1,12)+1),"N/A"),"")</f>
        <v/>
      </c>
      <c r="I318" s="6" t="str">
        <f>IF(AND($A318&lt;&gt;"",$B318&lt;&gt;"",$C318&lt;&gt;"",$D318&lt;&gt;"",$E318&lt;&gt;""),IF(AND($B318="s",OR($C318="SER",$C318="PLH",$C318="CSF")),"Case NIH Plate "&amp;(INT(((COUNTIFS($B$2:$B318,"s",$C$2:$C318,"SER")+COUNTIFS($B$2:$B318,"s",$C$2:$C318,"PLH")+COUNTIFS($B$2:$B318,"s",$C$2:$C318,"CSF"))-1)/96)+1)&amp;": "&amp;CHAR(65+INT(MOD((COUNTIFS($B$2:$B318,"s",$C$2:$C318,"SER")+COUNTIFS($B$2:$B318,"s",$C$2:$C318,"PLH")+COUNTIFS($B$2:$B318,"s",$C$2:$C318,"CSF"))-1,96)/12))&amp;(MOD((COUNTIFS($B$2:$B318,"s",$C$2:$C318,"SER")+COUNTIFS($B$2:$B318,"s",$C$2:$C318,"PLH")+COUNTIFS($B$2:$B318,"s",$C$2:$C318,"CSF"))-1,12)+1),"N/A"),"")</f>
        <v/>
      </c>
      <c r="J318" s="6" t="str">
        <f>IF(AND($A318&lt;&gt;"",$B318&lt;&gt;"",$C318&lt;&gt;"",$D318&lt;&gt;"",$E318&lt;&gt;""),IF(AND($B318="s",OR($C318="SER",$C318="PLH")),"Case MAX Planck Plate "&amp;(INT(((COUNTIFS($B$2:$B318,"s",$C$2:$C318,"SER")+COUNTIFS($B$2:$B318,"s",$C$2:$C318,"PLH"))-1)/96)+1)&amp;": "&amp;CHAR(65+INT(MOD((COUNTIFS($B$2:$B318,"s",$C$2:$C318,"SER")+COUNTIFS($B$2:$B318,"s",$C$2:$C318,"PLH"))-1,96)/12))&amp;(MOD((COUNTIFS($B$2:$B318,"s",$C$2:$C318,"SER")+COUNTIFS($B$2:$B318,"s",$C$2:$C318,"PLH"))-1,12)+1),"N/A"),"")</f>
        <v/>
      </c>
      <c r="K318" s="6" t="str">
        <f>IF(AND($A318&lt;&gt;"",$B318&lt;&gt;"",$C318&lt;&gt;"",$D318&lt;&gt;"",$E318&lt;&gt;""),IF($C318="WB","Case WB Box "&amp;(INT((COUNTIFS($C$2:$C318,"WB")-1)/81)+1)&amp;": "&amp;CHAR(65+INT(MOD(COUNTIFS($C$2:$C318,"WB")-1,81)/9))&amp;(MOD(COUNTIFS($C$2:$C318,"WB")-1,9)+1),"N/A"),"")</f>
        <v/>
      </c>
      <c r="L318" s="2" t="str">
        <f t="shared" si="91"/>
        <v/>
      </c>
      <c r="M318" s="2"/>
      <c r="N318" s="2"/>
      <c r="O318" s="2"/>
      <c r="P318" s="7" t="str">
        <f t="shared" si="92"/>
        <v/>
      </c>
      <c r="Q318" s="7" t="str">
        <f t="shared" si="93"/>
        <v/>
      </c>
      <c r="R318" s="7" t="str">
        <f t="shared" si="94"/>
        <v/>
      </c>
      <c r="S318" s="7" t="str">
        <f t="shared" si="95"/>
        <v/>
      </c>
      <c r="T318" s="7" t="str">
        <f t="shared" si="96"/>
        <v/>
      </c>
      <c r="U318" s="7" t="str">
        <f t="shared" si="97"/>
        <v/>
      </c>
      <c r="V318" s="7" t="str">
        <f t="shared" si="98"/>
        <v/>
      </c>
      <c r="W318" s="7" t="str">
        <f t="shared" si="99"/>
        <v/>
      </c>
      <c r="X318" s="7" t="str">
        <f t="shared" si="100"/>
        <v/>
      </c>
      <c r="Y318" s="7" t="str">
        <f t="shared" si="101"/>
        <v/>
      </c>
      <c r="Z318">
        <f t="shared" si="102"/>
        <v>0</v>
      </c>
      <c r="AA318" t="str">
        <f t="shared" si="103"/>
        <v/>
      </c>
      <c r="AB318" t="str">
        <f t="shared" si="104"/>
        <v/>
      </c>
      <c r="AC318" t="str">
        <f t="shared" si="105"/>
        <v/>
      </c>
      <c r="AD318" t="str">
        <f t="shared" si="106"/>
        <v/>
      </c>
      <c r="AE318">
        <f t="shared" si="107"/>
        <v>0</v>
      </c>
    </row>
    <row r="319" spans="1:31" ht="15" customHeight="1" x14ac:dyDescent="0.35">
      <c r="A319" s="2"/>
      <c r="B319" s="3"/>
      <c r="C319" s="3"/>
      <c r="D319" s="4"/>
      <c r="E319" s="5"/>
      <c r="F319" s="11" t="str">
        <f t="shared" ca="1" si="90"/>
        <v/>
      </c>
      <c r="G319" s="5"/>
      <c r="H319" s="6" t="str">
        <f>IF(AND($A319&lt;&gt;"",$B319&lt;&gt;"",$C319&lt;&gt;"",$D319&lt;&gt;"",$E319&lt;&gt;""),IF(AND($B319="s",OR($C319="SER",$C319="PLH",$C319="CSF")),"Case CDI Plate "&amp;(INT(((COUNTIFS($B$2:$B319,"s",$C$2:$C319,"SER")+COUNTIFS($B$2:$B319,"s",$C$2:$C319,"PLH")+COUNTIFS($B$2:$B319,"s",$C$2:$C319,"CSF"))-1)/96)+1)&amp;": "&amp;CHAR(65+INT(MOD((COUNTIFS($B$2:$B319,"s",$C$2:$C319,"SER")+COUNTIFS($B$2:$B319,"s",$C$2:$C319,"PLH")+COUNTIFS($B$2:$B319,"s",$C$2:$C319,"CSF"))-1,96)/12))&amp;(MOD((COUNTIFS($B$2:$B319,"s",$C$2:$C319,"SER")+COUNTIFS($B$2:$B319,"s",$C$2:$C319,"PLH")+COUNTIFS($B$2:$B319,"s",$C$2:$C319,"CSF"))-1,12)+1),"N/A"),"")</f>
        <v/>
      </c>
      <c r="I319" s="6" t="str">
        <f>IF(AND($A319&lt;&gt;"",$B319&lt;&gt;"",$C319&lt;&gt;"",$D319&lt;&gt;"",$E319&lt;&gt;""),IF(AND($B319="s",OR($C319="SER",$C319="PLH",$C319="CSF")),"Case NIH Plate "&amp;(INT(((COUNTIFS($B$2:$B319,"s",$C$2:$C319,"SER")+COUNTIFS($B$2:$B319,"s",$C$2:$C319,"PLH")+COUNTIFS($B$2:$B319,"s",$C$2:$C319,"CSF"))-1)/96)+1)&amp;": "&amp;CHAR(65+INT(MOD((COUNTIFS($B$2:$B319,"s",$C$2:$C319,"SER")+COUNTIFS($B$2:$B319,"s",$C$2:$C319,"PLH")+COUNTIFS($B$2:$B319,"s",$C$2:$C319,"CSF"))-1,96)/12))&amp;(MOD((COUNTIFS($B$2:$B319,"s",$C$2:$C319,"SER")+COUNTIFS($B$2:$B319,"s",$C$2:$C319,"PLH")+COUNTIFS($B$2:$B319,"s",$C$2:$C319,"CSF"))-1,12)+1),"N/A"),"")</f>
        <v/>
      </c>
      <c r="J319" s="6" t="str">
        <f>IF(AND($A319&lt;&gt;"",$B319&lt;&gt;"",$C319&lt;&gt;"",$D319&lt;&gt;"",$E319&lt;&gt;""),IF(AND($B319="s",OR($C319="SER",$C319="PLH")),"Case MAX Planck Plate "&amp;(INT(((COUNTIFS($B$2:$B319,"s",$C$2:$C319,"SER")+COUNTIFS($B$2:$B319,"s",$C$2:$C319,"PLH"))-1)/96)+1)&amp;": "&amp;CHAR(65+INT(MOD((COUNTIFS($B$2:$B319,"s",$C$2:$C319,"SER")+COUNTIFS($B$2:$B319,"s",$C$2:$C319,"PLH"))-1,96)/12))&amp;(MOD((COUNTIFS($B$2:$B319,"s",$C$2:$C319,"SER")+COUNTIFS($B$2:$B319,"s",$C$2:$C319,"PLH"))-1,12)+1),"N/A"),"")</f>
        <v/>
      </c>
      <c r="K319" s="6" t="str">
        <f>IF(AND($A319&lt;&gt;"",$B319&lt;&gt;"",$C319&lt;&gt;"",$D319&lt;&gt;"",$E319&lt;&gt;""),IF($C319="WB","Case WB Box "&amp;(INT((COUNTIFS($C$2:$C319,"WB")-1)/81)+1)&amp;": "&amp;CHAR(65+INT(MOD(COUNTIFS($C$2:$C319,"WB")-1,81)/9))&amp;(MOD(COUNTIFS($C$2:$C319,"WB")-1,9)+1),"N/A"),"")</f>
        <v/>
      </c>
      <c r="L319" s="2" t="str">
        <f t="shared" si="91"/>
        <v/>
      </c>
      <c r="M319" s="2"/>
      <c r="N319" s="2"/>
      <c r="O319" s="2"/>
      <c r="P319" s="7" t="str">
        <f t="shared" si="92"/>
        <v/>
      </c>
      <c r="Q319" s="7" t="str">
        <f t="shared" si="93"/>
        <v/>
      </c>
      <c r="R319" s="7" t="str">
        <f t="shared" si="94"/>
        <v/>
      </c>
      <c r="S319" s="7" t="str">
        <f t="shared" si="95"/>
        <v/>
      </c>
      <c r="T319" s="7" t="str">
        <f t="shared" si="96"/>
        <v/>
      </c>
      <c r="U319" s="7" t="str">
        <f t="shared" si="97"/>
        <v/>
      </c>
      <c r="V319" s="7" t="str">
        <f t="shared" si="98"/>
        <v/>
      </c>
      <c r="W319" s="7" t="str">
        <f t="shared" si="99"/>
        <v/>
      </c>
      <c r="X319" s="7" t="str">
        <f t="shared" si="100"/>
        <v/>
      </c>
      <c r="Y319" s="7" t="str">
        <f t="shared" si="101"/>
        <v/>
      </c>
      <c r="Z319">
        <f t="shared" si="102"/>
        <v>0</v>
      </c>
      <c r="AA319" t="str">
        <f t="shared" si="103"/>
        <v/>
      </c>
      <c r="AB319" t="str">
        <f t="shared" si="104"/>
        <v/>
      </c>
      <c r="AC319" t="str">
        <f t="shared" si="105"/>
        <v/>
      </c>
      <c r="AD319" t="str">
        <f t="shared" si="106"/>
        <v/>
      </c>
      <c r="AE319">
        <f t="shared" si="107"/>
        <v>0</v>
      </c>
    </row>
    <row r="320" spans="1:31" ht="15" customHeight="1" x14ac:dyDescent="0.35">
      <c r="A320" s="2"/>
      <c r="B320" s="3"/>
      <c r="C320" s="3"/>
      <c r="D320" s="4"/>
      <c r="E320" s="5"/>
      <c r="F320" s="11" t="str">
        <f t="shared" ca="1" si="90"/>
        <v/>
      </c>
      <c r="G320" s="5"/>
      <c r="H320" s="6" t="str">
        <f>IF(AND($A320&lt;&gt;"",$B320&lt;&gt;"",$C320&lt;&gt;"",$D320&lt;&gt;"",$E320&lt;&gt;""),IF(AND($B320="s",OR($C320="SER",$C320="PLH",$C320="CSF")),"Case CDI Plate "&amp;(INT(((COUNTIFS($B$2:$B320,"s",$C$2:$C320,"SER")+COUNTIFS($B$2:$B320,"s",$C$2:$C320,"PLH")+COUNTIFS($B$2:$B320,"s",$C$2:$C320,"CSF"))-1)/96)+1)&amp;": "&amp;CHAR(65+INT(MOD((COUNTIFS($B$2:$B320,"s",$C$2:$C320,"SER")+COUNTIFS($B$2:$B320,"s",$C$2:$C320,"PLH")+COUNTIFS($B$2:$B320,"s",$C$2:$C320,"CSF"))-1,96)/12))&amp;(MOD((COUNTIFS($B$2:$B320,"s",$C$2:$C320,"SER")+COUNTIFS($B$2:$B320,"s",$C$2:$C320,"PLH")+COUNTIFS($B$2:$B320,"s",$C$2:$C320,"CSF"))-1,12)+1),"N/A"),"")</f>
        <v/>
      </c>
      <c r="I320" s="6" t="str">
        <f>IF(AND($A320&lt;&gt;"",$B320&lt;&gt;"",$C320&lt;&gt;"",$D320&lt;&gt;"",$E320&lt;&gt;""),IF(AND($B320="s",OR($C320="SER",$C320="PLH",$C320="CSF")),"Case NIH Plate "&amp;(INT(((COUNTIFS($B$2:$B320,"s",$C$2:$C320,"SER")+COUNTIFS($B$2:$B320,"s",$C$2:$C320,"PLH")+COUNTIFS($B$2:$B320,"s",$C$2:$C320,"CSF"))-1)/96)+1)&amp;": "&amp;CHAR(65+INT(MOD((COUNTIFS($B$2:$B320,"s",$C$2:$C320,"SER")+COUNTIFS($B$2:$B320,"s",$C$2:$C320,"PLH")+COUNTIFS($B$2:$B320,"s",$C$2:$C320,"CSF"))-1,96)/12))&amp;(MOD((COUNTIFS($B$2:$B320,"s",$C$2:$C320,"SER")+COUNTIFS($B$2:$B320,"s",$C$2:$C320,"PLH")+COUNTIFS($B$2:$B320,"s",$C$2:$C320,"CSF"))-1,12)+1),"N/A"),"")</f>
        <v/>
      </c>
      <c r="J320" s="6" t="str">
        <f>IF(AND($A320&lt;&gt;"",$B320&lt;&gt;"",$C320&lt;&gt;"",$D320&lt;&gt;"",$E320&lt;&gt;""),IF(AND($B320="s",OR($C320="SER",$C320="PLH")),"Case MAX Planck Plate "&amp;(INT(((COUNTIFS($B$2:$B320,"s",$C$2:$C320,"SER")+COUNTIFS($B$2:$B320,"s",$C$2:$C320,"PLH"))-1)/96)+1)&amp;": "&amp;CHAR(65+INT(MOD((COUNTIFS($B$2:$B320,"s",$C$2:$C320,"SER")+COUNTIFS($B$2:$B320,"s",$C$2:$C320,"PLH"))-1,96)/12))&amp;(MOD((COUNTIFS($B$2:$B320,"s",$C$2:$C320,"SER")+COUNTIFS($B$2:$B320,"s",$C$2:$C320,"PLH"))-1,12)+1),"N/A"),"")</f>
        <v/>
      </c>
      <c r="K320" s="6" t="str">
        <f>IF(AND($A320&lt;&gt;"",$B320&lt;&gt;"",$C320&lt;&gt;"",$D320&lt;&gt;"",$E320&lt;&gt;""),IF($C320="WB","Case WB Box "&amp;(INT((COUNTIFS($C$2:$C320,"WB")-1)/81)+1)&amp;": "&amp;CHAR(65+INT(MOD(COUNTIFS($C$2:$C320,"WB")-1,81)/9))&amp;(MOD(COUNTIFS($C$2:$C320,"WB")-1,9)+1),"N/A"),"")</f>
        <v/>
      </c>
      <c r="L320" s="2" t="str">
        <f t="shared" si="91"/>
        <v/>
      </c>
      <c r="M320" s="2"/>
      <c r="N320" s="2"/>
      <c r="O320" s="2"/>
      <c r="P320" s="7" t="str">
        <f t="shared" si="92"/>
        <v/>
      </c>
      <c r="Q320" s="7" t="str">
        <f t="shared" si="93"/>
        <v/>
      </c>
      <c r="R320" s="7" t="str">
        <f t="shared" si="94"/>
        <v/>
      </c>
      <c r="S320" s="7" t="str">
        <f t="shared" si="95"/>
        <v/>
      </c>
      <c r="T320" s="7" t="str">
        <f t="shared" si="96"/>
        <v/>
      </c>
      <c r="U320" s="7" t="str">
        <f t="shared" si="97"/>
        <v/>
      </c>
      <c r="V320" s="7" t="str">
        <f t="shared" si="98"/>
        <v/>
      </c>
      <c r="W320" s="7" t="str">
        <f t="shared" si="99"/>
        <v/>
      </c>
      <c r="X320" s="7" t="str">
        <f t="shared" si="100"/>
        <v/>
      </c>
      <c r="Y320" s="7" t="str">
        <f t="shared" si="101"/>
        <v/>
      </c>
      <c r="Z320">
        <f t="shared" si="102"/>
        <v>0</v>
      </c>
      <c r="AA320" t="str">
        <f t="shared" si="103"/>
        <v/>
      </c>
      <c r="AB320" t="str">
        <f t="shared" si="104"/>
        <v/>
      </c>
      <c r="AC320" t="str">
        <f t="shared" si="105"/>
        <v/>
      </c>
      <c r="AD320" t="str">
        <f t="shared" si="106"/>
        <v/>
      </c>
      <c r="AE320">
        <f t="shared" si="107"/>
        <v>0</v>
      </c>
    </row>
    <row r="321" spans="1:31" ht="15" customHeight="1" x14ac:dyDescent="0.35">
      <c r="A321" s="2"/>
      <c r="B321" s="3"/>
      <c r="C321" s="3"/>
      <c r="D321" s="4"/>
      <c r="E321" s="5"/>
      <c r="F321" s="11" t="str">
        <f t="shared" ca="1" si="90"/>
        <v/>
      </c>
      <c r="G321" s="5"/>
      <c r="H321" s="6" t="str">
        <f>IF(AND($A321&lt;&gt;"",$B321&lt;&gt;"",$C321&lt;&gt;"",$D321&lt;&gt;"",$E321&lt;&gt;""),IF(AND($B321="s",OR($C321="SER",$C321="PLH",$C321="CSF")),"Case CDI Plate "&amp;(INT(((COUNTIFS($B$2:$B321,"s",$C$2:$C321,"SER")+COUNTIFS($B$2:$B321,"s",$C$2:$C321,"PLH")+COUNTIFS($B$2:$B321,"s",$C$2:$C321,"CSF"))-1)/96)+1)&amp;": "&amp;CHAR(65+INT(MOD((COUNTIFS($B$2:$B321,"s",$C$2:$C321,"SER")+COUNTIFS($B$2:$B321,"s",$C$2:$C321,"PLH")+COUNTIFS($B$2:$B321,"s",$C$2:$C321,"CSF"))-1,96)/12))&amp;(MOD((COUNTIFS($B$2:$B321,"s",$C$2:$C321,"SER")+COUNTIFS($B$2:$B321,"s",$C$2:$C321,"PLH")+COUNTIFS($B$2:$B321,"s",$C$2:$C321,"CSF"))-1,12)+1),"N/A"),"")</f>
        <v/>
      </c>
      <c r="I321" s="6" t="str">
        <f>IF(AND($A321&lt;&gt;"",$B321&lt;&gt;"",$C321&lt;&gt;"",$D321&lt;&gt;"",$E321&lt;&gt;""),IF(AND($B321="s",OR($C321="SER",$C321="PLH",$C321="CSF")),"Case NIH Plate "&amp;(INT(((COUNTIFS($B$2:$B321,"s",$C$2:$C321,"SER")+COUNTIFS($B$2:$B321,"s",$C$2:$C321,"PLH")+COUNTIFS($B$2:$B321,"s",$C$2:$C321,"CSF"))-1)/96)+1)&amp;": "&amp;CHAR(65+INT(MOD((COUNTIFS($B$2:$B321,"s",$C$2:$C321,"SER")+COUNTIFS($B$2:$B321,"s",$C$2:$C321,"PLH")+COUNTIFS($B$2:$B321,"s",$C$2:$C321,"CSF"))-1,96)/12))&amp;(MOD((COUNTIFS($B$2:$B321,"s",$C$2:$C321,"SER")+COUNTIFS($B$2:$B321,"s",$C$2:$C321,"PLH")+COUNTIFS($B$2:$B321,"s",$C$2:$C321,"CSF"))-1,12)+1),"N/A"),"")</f>
        <v/>
      </c>
      <c r="J321" s="6" t="str">
        <f>IF(AND($A321&lt;&gt;"",$B321&lt;&gt;"",$C321&lt;&gt;"",$D321&lt;&gt;"",$E321&lt;&gt;""),IF(AND($B321="s",OR($C321="SER",$C321="PLH")),"Case MAX Planck Plate "&amp;(INT(((COUNTIFS($B$2:$B321,"s",$C$2:$C321,"SER")+COUNTIFS($B$2:$B321,"s",$C$2:$C321,"PLH"))-1)/96)+1)&amp;": "&amp;CHAR(65+INT(MOD((COUNTIFS($B$2:$B321,"s",$C$2:$C321,"SER")+COUNTIFS($B$2:$B321,"s",$C$2:$C321,"PLH"))-1,96)/12))&amp;(MOD((COUNTIFS($B$2:$B321,"s",$C$2:$C321,"SER")+COUNTIFS($B$2:$B321,"s",$C$2:$C321,"PLH"))-1,12)+1),"N/A"),"")</f>
        <v/>
      </c>
      <c r="K321" s="6" t="str">
        <f>IF(AND($A321&lt;&gt;"",$B321&lt;&gt;"",$C321&lt;&gt;"",$D321&lt;&gt;"",$E321&lt;&gt;""),IF($C321="WB","Case WB Box "&amp;(INT((COUNTIFS($C$2:$C321,"WB")-1)/81)+1)&amp;": "&amp;CHAR(65+INT(MOD(COUNTIFS($C$2:$C321,"WB")-1,81)/9))&amp;(MOD(COUNTIFS($C$2:$C321,"WB")-1,9)+1),"N/A"),"")</f>
        <v/>
      </c>
      <c r="L321" s="2" t="str">
        <f t="shared" si="91"/>
        <v/>
      </c>
      <c r="M321" s="2"/>
      <c r="N321" s="2"/>
      <c r="O321" s="2"/>
      <c r="P321" s="7" t="str">
        <f t="shared" si="92"/>
        <v/>
      </c>
      <c r="Q321" s="7" t="str">
        <f t="shared" si="93"/>
        <v/>
      </c>
      <c r="R321" s="7" t="str">
        <f t="shared" si="94"/>
        <v/>
      </c>
      <c r="S321" s="7" t="str">
        <f t="shared" si="95"/>
        <v/>
      </c>
      <c r="T321" s="7" t="str">
        <f t="shared" si="96"/>
        <v/>
      </c>
      <c r="U321" s="7" t="str">
        <f t="shared" si="97"/>
        <v/>
      </c>
      <c r="V321" s="7" t="str">
        <f t="shared" si="98"/>
        <v/>
      </c>
      <c r="W321" s="7" t="str">
        <f t="shared" si="99"/>
        <v/>
      </c>
      <c r="X321" s="7" t="str">
        <f t="shared" si="100"/>
        <v/>
      </c>
      <c r="Y321" s="7" t="str">
        <f t="shared" si="101"/>
        <v/>
      </c>
      <c r="Z321">
        <f t="shared" si="102"/>
        <v>0</v>
      </c>
      <c r="AA321" t="str">
        <f t="shared" si="103"/>
        <v/>
      </c>
      <c r="AB321" t="str">
        <f t="shared" si="104"/>
        <v/>
      </c>
      <c r="AC321" t="str">
        <f t="shared" si="105"/>
        <v/>
      </c>
      <c r="AD321" t="str">
        <f t="shared" si="106"/>
        <v/>
      </c>
      <c r="AE321">
        <f t="shared" si="107"/>
        <v>0</v>
      </c>
    </row>
    <row r="322" spans="1:31" ht="15" customHeight="1" x14ac:dyDescent="0.35">
      <c r="A322" s="2"/>
      <c r="B322" s="3"/>
      <c r="C322" s="3"/>
      <c r="D322" s="4"/>
      <c r="E322" s="5"/>
      <c r="F322" s="11" t="str">
        <f t="shared" ca="1" si="90"/>
        <v/>
      </c>
      <c r="G322" s="5"/>
      <c r="H322" s="6" t="str">
        <f>IF(AND($A322&lt;&gt;"",$B322&lt;&gt;"",$C322&lt;&gt;"",$D322&lt;&gt;"",$E322&lt;&gt;""),IF(AND($B322="s",OR($C322="SER",$C322="PLH",$C322="CSF")),"Case CDI Plate "&amp;(INT(((COUNTIFS($B$2:$B322,"s",$C$2:$C322,"SER")+COUNTIFS($B$2:$B322,"s",$C$2:$C322,"PLH")+COUNTIFS($B$2:$B322,"s",$C$2:$C322,"CSF"))-1)/96)+1)&amp;": "&amp;CHAR(65+INT(MOD((COUNTIFS($B$2:$B322,"s",$C$2:$C322,"SER")+COUNTIFS($B$2:$B322,"s",$C$2:$C322,"PLH")+COUNTIFS($B$2:$B322,"s",$C$2:$C322,"CSF"))-1,96)/12))&amp;(MOD((COUNTIFS($B$2:$B322,"s",$C$2:$C322,"SER")+COUNTIFS($B$2:$B322,"s",$C$2:$C322,"PLH")+COUNTIFS($B$2:$B322,"s",$C$2:$C322,"CSF"))-1,12)+1),"N/A"),"")</f>
        <v/>
      </c>
      <c r="I322" s="6" t="str">
        <f>IF(AND($A322&lt;&gt;"",$B322&lt;&gt;"",$C322&lt;&gt;"",$D322&lt;&gt;"",$E322&lt;&gt;""),IF(AND($B322="s",OR($C322="SER",$C322="PLH",$C322="CSF")),"Case NIH Plate "&amp;(INT(((COUNTIFS($B$2:$B322,"s",$C$2:$C322,"SER")+COUNTIFS($B$2:$B322,"s",$C$2:$C322,"PLH")+COUNTIFS($B$2:$B322,"s",$C$2:$C322,"CSF"))-1)/96)+1)&amp;": "&amp;CHAR(65+INT(MOD((COUNTIFS($B$2:$B322,"s",$C$2:$C322,"SER")+COUNTIFS($B$2:$B322,"s",$C$2:$C322,"PLH")+COUNTIFS($B$2:$B322,"s",$C$2:$C322,"CSF"))-1,96)/12))&amp;(MOD((COUNTIFS($B$2:$B322,"s",$C$2:$C322,"SER")+COUNTIFS($B$2:$B322,"s",$C$2:$C322,"PLH")+COUNTIFS($B$2:$B322,"s",$C$2:$C322,"CSF"))-1,12)+1),"N/A"),"")</f>
        <v/>
      </c>
      <c r="J322" s="6" t="str">
        <f>IF(AND($A322&lt;&gt;"",$B322&lt;&gt;"",$C322&lt;&gt;"",$D322&lt;&gt;"",$E322&lt;&gt;""),IF(AND($B322="s",OR($C322="SER",$C322="PLH")),"Case MAX Planck Plate "&amp;(INT(((COUNTIFS($B$2:$B322,"s",$C$2:$C322,"SER")+COUNTIFS($B$2:$B322,"s",$C$2:$C322,"PLH"))-1)/96)+1)&amp;": "&amp;CHAR(65+INT(MOD((COUNTIFS($B$2:$B322,"s",$C$2:$C322,"SER")+COUNTIFS($B$2:$B322,"s",$C$2:$C322,"PLH"))-1,96)/12))&amp;(MOD((COUNTIFS($B$2:$B322,"s",$C$2:$C322,"SER")+COUNTIFS($B$2:$B322,"s",$C$2:$C322,"PLH"))-1,12)+1),"N/A"),"")</f>
        <v/>
      </c>
      <c r="K322" s="6" t="str">
        <f>IF(AND($A322&lt;&gt;"",$B322&lt;&gt;"",$C322&lt;&gt;"",$D322&lt;&gt;"",$E322&lt;&gt;""),IF($C322="WB","Case WB Box "&amp;(INT((COUNTIFS($C$2:$C322,"WB")-1)/81)+1)&amp;": "&amp;CHAR(65+INT(MOD(COUNTIFS($C$2:$C322,"WB")-1,81)/9))&amp;(MOD(COUNTIFS($C$2:$C322,"WB")-1,9)+1),"N/A"),"")</f>
        <v/>
      </c>
      <c r="L322" s="2" t="str">
        <f t="shared" si="91"/>
        <v/>
      </c>
      <c r="M322" s="2"/>
      <c r="N322" s="2"/>
      <c r="O322" s="2"/>
      <c r="P322" s="7" t="str">
        <f t="shared" si="92"/>
        <v/>
      </c>
      <c r="Q322" s="7" t="str">
        <f t="shared" si="93"/>
        <v/>
      </c>
      <c r="R322" s="7" t="str">
        <f t="shared" si="94"/>
        <v/>
      </c>
      <c r="S322" s="7" t="str">
        <f t="shared" si="95"/>
        <v/>
      </c>
      <c r="T322" s="7" t="str">
        <f t="shared" si="96"/>
        <v/>
      </c>
      <c r="U322" s="7" t="str">
        <f t="shared" si="97"/>
        <v/>
      </c>
      <c r="V322" s="7" t="str">
        <f t="shared" si="98"/>
        <v/>
      </c>
      <c r="W322" s="7" t="str">
        <f t="shared" si="99"/>
        <v/>
      </c>
      <c r="X322" s="7" t="str">
        <f t="shared" si="100"/>
        <v/>
      </c>
      <c r="Y322" s="7" t="str">
        <f t="shared" si="101"/>
        <v/>
      </c>
      <c r="Z322">
        <f t="shared" si="102"/>
        <v>0</v>
      </c>
      <c r="AA322" t="str">
        <f t="shared" si="103"/>
        <v/>
      </c>
      <c r="AB322" t="str">
        <f t="shared" si="104"/>
        <v/>
      </c>
      <c r="AC322" t="str">
        <f t="shared" si="105"/>
        <v/>
      </c>
      <c r="AD322" t="str">
        <f t="shared" si="106"/>
        <v/>
      </c>
      <c r="AE322">
        <f t="shared" si="107"/>
        <v>0</v>
      </c>
    </row>
    <row r="323" spans="1:31" ht="15" customHeight="1" x14ac:dyDescent="0.35">
      <c r="A323" s="2"/>
      <c r="B323" s="3"/>
      <c r="C323" s="3"/>
      <c r="D323" s="4"/>
      <c r="E323" s="5"/>
      <c r="F323" s="11" t="str">
        <f t="shared" ca="1" si="90"/>
        <v/>
      </c>
      <c r="G323" s="5"/>
      <c r="H323" s="6" t="str">
        <f>IF(AND($A323&lt;&gt;"",$B323&lt;&gt;"",$C323&lt;&gt;"",$D323&lt;&gt;"",$E323&lt;&gt;""),IF(AND($B323="s",OR($C323="SER",$C323="PLH",$C323="CSF")),"Case CDI Plate "&amp;(INT(((COUNTIFS($B$2:$B323,"s",$C$2:$C323,"SER")+COUNTIFS($B$2:$B323,"s",$C$2:$C323,"PLH")+COUNTIFS($B$2:$B323,"s",$C$2:$C323,"CSF"))-1)/96)+1)&amp;": "&amp;CHAR(65+INT(MOD((COUNTIFS($B$2:$B323,"s",$C$2:$C323,"SER")+COUNTIFS($B$2:$B323,"s",$C$2:$C323,"PLH")+COUNTIFS($B$2:$B323,"s",$C$2:$C323,"CSF"))-1,96)/12))&amp;(MOD((COUNTIFS($B$2:$B323,"s",$C$2:$C323,"SER")+COUNTIFS($B$2:$B323,"s",$C$2:$C323,"PLH")+COUNTIFS($B$2:$B323,"s",$C$2:$C323,"CSF"))-1,12)+1),"N/A"),"")</f>
        <v/>
      </c>
      <c r="I323" s="6" t="str">
        <f>IF(AND($A323&lt;&gt;"",$B323&lt;&gt;"",$C323&lt;&gt;"",$D323&lt;&gt;"",$E323&lt;&gt;""),IF(AND($B323="s",OR($C323="SER",$C323="PLH",$C323="CSF")),"Case NIH Plate "&amp;(INT(((COUNTIFS($B$2:$B323,"s",$C$2:$C323,"SER")+COUNTIFS($B$2:$B323,"s",$C$2:$C323,"PLH")+COUNTIFS($B$2:$B323,"s",$C$2:$C323,"CSF"))-1)/96)+1)&amp;": "&amp;CHAR(65+INT(MOD((COUNTIFS($B$2:$B323,"s",$C$2:$C323,"SER")+COUNTIFS($B$2:$B323,"s",$C$2:$C323,"PLH")+COUNTIFS($B$2:$B323,"s",$C$2:$C323,"CSF"))-1,96)/12))&amp;(MOD((COUNTIFS($B$2:$B323,"s",$C$2:$C323,"SER")+COUNTIFS($B$2:$B323,"s",$C$2:$C323,"PLH")+COUNTIFS($B$2:$B323,"s",$C$2:$C323,"CSF"))-1,12)+1),"N/A"),"")</f>
        <v/>
      </c>
      <c r="J323" s="6" t="str">
        <f>IF(AND($A323&lt;&gt;"",$B323&lt;&gt;"",$C323&lt;&gt;"",$D323&lt;&gt;"",$E323&lt;&gt;""),IF(AND($B323="s",OR($C323="SER",$C323="PLH")),"Case MAX Planck Plate "&amp;(INT(((COUNTIFS($B$2:$B323,"s",$C$2:$C323,"SER")+COUNTIFS($B$2:$B323,"s",$C$2:$C323,"PLH"))-1)/96)+1)&amp;": "&amp;CHAR(65+INT(MOD((COUNTIFS($B$2:$B323,"s",$C$2:$C323,"SER")+COUNTIFS($B$2:$B323,"s",$C$2:$C323,"PLH"))-1,96)/12))&amp;(MOD((COUNTIFS($B$2:$B323,"s",$C$2:$C323,"SER")+COUNTIFS($B$2:$B323,"s",$C$2:$C323,"PLH"))-1,12)+1),"N/A"),"")</f>
        <v/>
      </c>
      <c r="K323" s="6" t="str">
        <f>IF(AND($A323&lt;&gt;"",$B323&lt;&gt;"",$C323&lt;&gt;"",$D323&lt;&gt;"",$E323&lt;&gt;""),IF($C323="WB","Case WB Box "&amp;(INT((COUNTIFS($C$2:$C323,"WB")-1)/81)+1)&amp;": "&amp;CHAR(65+INT(MOD(COUNTIFS($C$2:$C323,"WB")-1,81)/9))&amp;(MOD(COUNTIFS($C$2:$C323,"WB")-1,9)+1),"N/A"),"")</f>
        <v/>
      </c>
      <c r="L323" s="2" t="str">
        <f t="shared" si="91"/>
        <v/>
      </c>
      <c r="M323" s="2"/>
      <c r="N323" s="2"/>
      <c r="O323" s="2"/>
      <c r="P323" s="7" t="str">
        <f t="shared" si="92"/>
        <v/>
      </c>
      <c r="Q323" s="7" t="str">
        <f t="shared" si="93"/>
        <v/>
      </c>
      <c r="R323" s="7" t="str">
        <f t="shared" si="94"/>
        <v/>
      </c>
      <c r="S323" s="7" t="str">
        <f t="shared" si="95"/>
        <v/>
      </c>
      <c r="T323" s="7" t="str">
        <f t="shared" si="96"/>
        <v/>
      </c>
      <c r="U323" s="7" t="str">
        <f t="shared" si="97"/>
        <v/>
      </c>
      <c r="V323" s="7" t="str">
        <f t="shared" si="98"/>
        <v/>
      </c>
      <c r="W323" s="7" t="str">
        <f t="shared" si="99"/>
        <v/>
      </c>
      <c r="X323" s="7" t="str">
        <f t="shared" si="100"/>
        <v/>
      </c>
      <c r="Y323" s="7" t="str">
        <f t="shared" si="101"/>
        <v/>
      </c>
      <c r="Z323">
        <f t="shared" si="102"/>
        <v>0</v>
      </c>
      <c r="AA323" t="str">
        <f t="shared" si="103"/>
        <v/>
      </c>
      <c r="AB323" t="str">
        <f t="shared" si="104"/>
        <v/>
      </c>
      <c r="AC323" t="str">
        <f t="shared" si="105"/>
        <v/>
      </c>
      <c r="AD323" t="str">
        <f t="shared" si="106"/>
        <v/>
      </c>
      <c r="AE323">
        <f t="shared" si="107"/>
        <v>0</v>
      </c>
    </row>
    <row r="324" spans="1:31" ht="15" customHeight="1" x14ac:dyDescent="0.35">
      <c r="A324" s="2"/>
      <c r="B324" s="3"/>
      <c r="C324" s="3"/>
      <c r="D324" s="4"/>
      <c r="E324" s="5"/>
      <c r="F324" s="11" t="str">
        <f t="shared" ca="1" si="90"/>
        <v/>
      </c>
      <c r="G324" s="5"/>
      <c r="H324" s="6" t="str">
        <f>IF(AND($A324&lt;&gt;"",$B324&lt;&gt;"",$C324&lt;&gt;"",$D324&lt;&gt;"",$E324&lt;&gt;""),IF(AND($B324="s",OR($C324="SER",$C324="PLH",$C324="CSF")),"Case CDI Plate "&amp;(INT(((COUNTIFS($B$2:$B324,"s",$C$2:$C324,"SER")+COUNTIFS($B$2:$B324,"s",$C$2:$C324,"PLH")+COUNTIFS($B$2:$B324,"s",$C$2:$C324,"CSF"))-1)/96)+1)&amp;": "&amp;CHAR(65+INT(MOD((COUNTIFS($B$2:$B324,"s",$C$2:$C324,"SER")+COUNTIFS($B$2:$B324,"s",$C$2:$C324,"PLH")+COUNTIFS($B$2:$B324,"s",$C$2:$C324,"CSF"))-1,96)/12))&amp;(MOD((COUNTIFS($B$2:$B324,"s",$C$2:$C324,"SER")+COUNTIFS($B$2:$B324,"s",$C$2:$C324,"PLH")+COUNTIFS($B$2:$B324,"s",$C$2:$C324,"CSF"))-1,12)+1),"N/A"),"")</f>
        <v/>
      </c>
      <c r="I324" s="6" t="str">
        <f>IF(AND($A324&lt;&gt;"",$B324&lt;&gt;"",$C324&lt;&gt;"",$D324&lt;&gt;"",$E324&lt;&gt;""),IF(AND($B324="s",OR($C324="SER",$C324="PLH",$C324="CSF")),"Case NIH Plate "&amp;(INT(((COUNTIFS($B$2:$B324,"s",$C$2:$C324,"SER")+COUNTIFS($B$2:$B324,"s",$C$2:$C324,"PLH")+COUNTIFS($B$2:$B324,"s",$C$2:$C324,"CSF"))-1)/96)+1)&amp;": "&amp;CHAR(65+INT(MOD((COUNTIFS($B$2:$B324,"s",$C$2:$C324,"SER")+COUNTIFS($B$2:$B324,"s",$C$2:$C324,"PLH")+COUNTIFS($B$2:$B324,"s",$C$2:$C324,"CSF"))-1,96)/12))&amp;(MOD((COUNTIFS($B$2:$B324,"s",$C$2:$C324,"SER")+COUNTIFS($B$2:$B324,"s",$C$2:$C324,"PLH")+COUNTIFS($B$2:$B324,"s",$C$2:$C324,"CSF"))-1,12)+1),"N/A"),"")</f>
        <v/>
      </c>
      <c r="J324" s="6" t="str">
        <f>IF(AND($A324&lt;&gt;"",$B324&lt;&gt;"",$C324&lt;&gt;"",$D324&lt;&gt;"",$E324&lt;&gt;""),IF(AND($B324="s",OR($C324="SER",$C324="PLH")),"Case MAX Planck Plate "&amp;(INT(((COUNTIFS($B$2:$B324,"s",$C$2:$C324,"SER")+COUNTIFS($B$2:$B324,"s",$C$2:$C324,"PLH"))-1)/96)+1)&amp;": "&amp;CHAR(65+INT(MOD((COUNTIFS($B$2:$B324,"s",$C$2:$C324,"SER")+COUNTIFS($B$2:$B324,"s",$C$2:$C324,"PLH"))-1,96)/12))&amp;(MOD((COUNTIFS($B$2:$B324,"s",$C$2:$C324,"SER")+COUNTIFS($B$2:$B324,"s",$C$2:$C324,"PLH"))-1,12)+1),"N/A"),"")</f>
        <v/>
      </c>
      <c r="K324" s="6" t="str">
        <f>IF(AND($A324&lt;&gt;"",$B324&lt;&gt;"",$C324&lt;&gt;"",$D324&lt;&gt;"",$E324&lt;&gt;""),IF($C324="WB","Case WB Box "&amp;(INT((COUNTIFS($C$2:$C324,"WB")-1)/81)+1)&amp;": "&amp;CHAR(65+INT(MOD(COUNTIFS($C$2:$C324,"WB")-1,81)/9))&amp;(MOD(COUNTIFS($C$2:$C324,"WB")-1,9)+1),"N/A"),"")</f>
        <v/>
      </c>
      <c r="L324" s="2" t="str">
        <f t="shared" si="91"/>
        <v/>
      </c>
      <c r="M324" s="2"/>
      <c r="N324" s="2"/>
      <c r="O324" s="2"/>
      <c r="P324" s="7" t="str">
        <f t="shared" si="92"/>
        <v/>
      </c>
      <c r="Q324" s="7" t="str">
        <f t="shared" si="93"/>
        <v/>
      </c>
      <c r="R324" s="7" t="str">
        <f t="shared" si="94"/>
        <v/>
      </c>
      <c r="S324" s="7" t="str">
        <f t="shared" si="95"/>
        <v/>
      </c>
      <c r="T324" s="7" t="str">
        <f t="shared" si="96"/>
        <v/>
      </c>
      <c r="U324" s="7" t="str">
        <f t="shared" si="97"/>
        <v/>
      </c>
      <c r="V324" s="7" t="str">
        <f t="shared" si="98"/>
        <v/>
      </c>
      <c r="W324" s="7" t="str">
        <f t="shared" si="99"/>
        <v/>
      </c>
      <c r="X324" s="7" t="str">
        <f t="shared" si="100"/>
        <v/>
      </c>
      <c r="Y324" s="7" t="str">
        <f t="shared" si="101"/>
        <v/>
      </c>
      <c r="Z324">
        <f t="shared" si="102"/>
        <v>0</v>
      </c>
      <c r="AA324" t="str">
        <f t="shared" si="103"/>
        <v/>
      </c>
      <c r="AB324" t="str">
        <f t="shared" si="104"/>
        <v/>
      </c>
      <c r="AC324" t="str">
        <f t="shared" si="105"/>
        <v/>
      </c>
      <c r="AD324" t="str">
        <f t="shared" si="106"/>
        <v/>
      </c>
      <c r="AE324">
        <f t="shared" si="107"/>
        <v>0</v>
      </c>
    </row>
    <row r="325" spans="1:31" ht="15" customHeight="1" x14ac:dyDescent="0.35">
      <c r="A325" s="2"/>
      <c r="B325" s="3"/>
      <c r="C325" s="3"/>
      <c r="D325" s="4"/>
      <c r="E325" s="5"/>
      <c r="F325" s="11" t="str">
        <f t="shared" ca="1" si="90"/>
        <v/>
      </c>
      <c r="G325" s="5"/>
      <c r="H325" s="6" t="str">
        <f>IF(AND($A325&lt;&gt;"",$B325&lt;&gt;"",$C325&lt;&gt;"",$D325&lt;&gt;"",$E325&lt;&gt;""),IF(AND($B325="s",OR($C325="SER",$C325="PLH",$C325="CSF")),"Case CDI Plate "&amp;(INT(((COUNTIFS($B$2:$B325,"s",$C$2:$C325,"SER")+COUNTIFS($B$2:$B325,"s",$C$2:$C325,"PLH")+COUNTIFS($B$2:$B325,"s",$C$2:$C325,"CSF"))-1)/96)+1)&amp;": "&amp;CHAR(65+INT(MOD((COUNTIFS($B$2:$B325,"s",$C$2:$C325,"SER")+COUNTIFS($B$2:$B325,"s",$C$2:$C325,"PLH")+COUNTIFS($B$2:$B325,"s",$C$2:$C325,"CSF"))-1,96)/12))&amp;(MOD((COUNTIFS($B$2:$B325,"s",$C$2:$C325,"SER")+COUNTIFS($B$2:$B325,"s",$C$2:$C325,"PLH")+COUNTIFS($B$2:$B325,"s",$C$2:$C325,"CSF"))-1,12)+1),"N/A"),"")</f>
        <v/>
      </c>
      <c r="I325" s="6" t="str">
        <f>IF(AND($A325&lt;&gt;"",$B325&lt;&gt;"",$C325&lt;&gt;"",$D325&lt;&gt;"",$E325&lt;&gt;""),IF(AND($B325="s",OR($C325="SER",$C325="PLH",$C325="CSF")),"Case NIH Plate "&amp;(INT(((COUNTIFS($B$2:$B325,"s",$C$2:$C325,"SER")+COUNTIFS($B$2:$B325,"s",$C$2:$C325,"PLH")+COUNTIFS($B$2:$B325,"s",$C$2:$C325,"CSF"))-1)/96)+1)&amp;": "&amp;CHAR(65+INT(MOD((COUNTIFS($B$2:$B325,"s",$C$2:$C325,"SER")+COUNTIFS($B$2:$B325,"s",$C$2:$C325,"PLH")+COUNTIFS($B$2:$B325,"s",$C$2:$C325,"CSF"))-1,96)/12))&amp;(MOD((COUNTIFS($B$2:$B325,"s",$C$2:$C325,"SER")+COUNTIFS($B$2:$B325,"s",$C$2:$C325,"PLH")+COUNTIFS($B$2:$B325,"s",$C$2:$C325,"CSF"))-1,12)+1),"N/A"),"")</f>
        <v/>
      </c>
      <c r="J325" s="6" t="str">
        <f>IF(AND($A325&lt;&gt;"",$B325&lt;&gt;"",$C325&lt;&gt;"",$D325&lt;&gt;"",$E325&lt;&gt;""),IF(AND($B325="s",OR($C325="SER",$C325="PLH")),"Case MAX Planck Plate "&amp;(INT(((COUNTIFS($B$2:$B325,"s",$C$2:$C325,"SER")+COUNTIFS($B$2:$B325,"s",$C$2:$C325,"PLH"))-1)/96)+1)&amp;": "&amp;CHAR(65+INT(MOD((COUNTIFS($B$2:$B325,"s",$C$2:$C325,"SER")+COUNTIFS($B$2:$B325,"s",$C$2:$C325,"PLH"))-1,96)/12))&amp;(MOD((COUNTIFS($B$2:$B325,"s",$C$2:$C325,"SER")+COUNTIFS($B$2:$B325,"s",$C$2:$C325,"PLH"))-1,12)+1),"N/A"),"")</f>
        <v/>
      </c>
      <c r="K325" s="6" t="str">
        <f>IF(AND($A325&lt;&gt;"",$B325&lt;&gt;"",$C325&lt;&gt;"",$D325&lt;&gt;"",$E325&lt;&gt;""),IF($C325="WB","Case WB Box "&amp;(INT((COUNTIFS($C$2:$C325,"WB")-1)/81)+1)&amp;": "&amp;CHAR(65+INT(MOD(COUNTIFS($C$2:$C325,"WB")-1,81)/9))&amp;(MOD(COUNTIFS($C$2:$C325,"WB")-1,9)+1),"N/A"),"")</f>
        <v/>
      </c>
      <c r="L325" s="2" t="str">
        <f t="shared" si="91"/>
        <v/>
      </c>
      <c r="M325" s="2"/>
      <c r="N325" s="2"/>
      <c r="O325" s="2"/>
      <c r="P325" s="7" t="str">
        <f t="shared" si="92"/>
        <v/>
      </c>
      <c r="Q325" s="7" t="str">
        <f t="shared" si="93"/>
        <v/>
      </c>
      <c r="R325" s="7" t="str">
        <f t="shared" si="94"/>
        <v/>
      </c>
      <c r="S325" s="7" t="str">
        <f t="shared" si="95"/>
        <v/>
      </c>
      <c r="T325" s="7" t="str">
        <f t="shared" si="96"/>
        <v/>
      </c>
      <c r="U325" s="7" t="str">
        <f t="shared" si="97"/>
        <v/>
      </c>
      <c r="V325" s="7" t="str">
        <f t="shared" si="98"/>
        <v/>
      </c>
      <c r="W325" s="7" t="str">
        <f t="shared" si="99"/>
        <v/>
      </c>
      <c r="X325" s="7" t="str">
        <f t="shared" si="100"/>
        <v/>
      </c>
      <c r="Y325" s="7" t="str">
        <f t="shared" si="101"/>
        <v/>
      </c>
      <c r="Z325">
        <f t="shared" si="102"/>
        <v>0</v>
      </c>
      <c r="AA325" t="str">
        <f t="shared" si="103"/>
        <v/>
      </c>
      <c r="AB325" t="str">
        <f t="shared" si="104"/>
        <v/>
      </c>
      <c r="AC325" t="str">
        <f t="shared" si="105"/>
        <v/>
      </c>
      <c r="AD325" t="str">
        <f t="shared" si="106"/>
        <v/>
      </c>
      <c r="AE325">
        <f t="shared" si="107"/>
        <v>0</v>
      </c>
    </row>
    <row r="326" spans="1:31" ht="15" customHeight="1" x14ac:dyDescent="0.35">
      <c r="A326" s="2"/>
      <c r="B326" s="3"/>
      <c r="C326" s="3"/>
      <c r="D326" s="4"/>
      <c r="E326" s="5"/>
      <c r="F326" s="11" t="str">
        <f t="shared" ca="1" si="90"/>
        <v/>
      </c>
      <c r="G326" s="5"/>
      <c r="H326" s="6" t="str">
        <f>IF(AND($A326&lt;&gt;"",$B326&lt;&gt;"",$C326&lt;&gt;"",$D326&lt;&gt;"",$E326&lt;&gt;""),IF(AND($B326="s",OR($C326="SER",$C326="PLH",$C326="CSF")),"Case CDI Plate "&amp;(INT(((COUNTIFS($B$2:$B326,"s",$C$2:$C326,"SER")+COUNTIFS($B$2:$B326,"s",$C$2:$C326,"PLH")+COUNTIFS($B$2:$B326,"s",$C$2:$C326,"CSF"))-1)/96)+1)&amp;": "&amp;CHAR(65+INT(MOD((COUNTIFS($B$2:$B326,"s",$C$2:$C326,"SER")+COUNTIFS($B$2:$B326,"s",$C$2:$C326,"PLH")+COUNTIFS($B$2:$B326,"s",$C$2:$C326,"CSF"))-1,96)/12))&amp;(MOD((COUNTIFS($B$2:$B326,"s",$C$2:$C326,"SER")+COUNTIFS($B$2:$B326,"s",$C$2:$C326,"PLH")+COUNTIFS($B$2:$B326,"s",$C$2:$C326,"CSF"))-1,12)+1),"N/A"),"")</f>
        <v/>
      </c>
      <c r="I326" s="6" t="str">
        <f>IF(AND($A326&lt;&gt;"",$B326&lt;&gt;"",$C326&lt;&gt;"",$D326&lt;&gt;"",$E326&lt;&gt;""),IF(AND($B326="s",OR($C326="SER",$C326="PLH",$C326="CSF")),"Case NIH Plate "&amp;(INT(((COUNTIFS($B$2:$B326,"s",$C$2:$C326,"SER")+COUNTIFS($B$2:$B326,"s",$C$2:$C326,"PLH")+COUNTIFS($B$2:$B326,"s",$C$2:$C326,"CSF"))-1)/96)+1)&amp;": "&amp;CHAR(65+INT(MOD((COUNTIFS($B$2:$B326,"s",$C$2:$C326,"SER")+COUNTIFS($B$2:$B326,"s",$C$2:$C326,"PLH")+COUNTIFS($B$2:$B326,"s",$C$2:$C326,"CSF"))-1,96)/12))&amp;(MOD((COUNTIFS($B$2:$B326,"s",$C$2:$C326,"SER")+COUNTIFS($B$2:$B326,"s",$C$2:$C326,"PLH")+COUNTIFS($B$2:$B326,"s",$C$2:$C326,"CSF"))-1,12)+1),"N/A"),"")</f>
        <v/>
      </c>
      <c r="J326" s="6" t="str">
        <f>IF(AND($A326&lt;&gt;"",$B326&lt;&gt;"",$C326&lt;&gt;"",$D326&lt;&gt;"",$E326&lt;&gt;""),IF(AND($B326="s",OR($C326="SER",$C326="PLH")),"Case MAX Planck Plate "&amp;(INT(((COUNTIFS($B$2:$B326,"s",$C$2:$C326,"SER")+COUNTIFS($B$2:$B326,"s",$C$2:$C326,"PLH"))-1)/96)+1)&amp;": "&amp;CHAR(65+INT(MOD((COUNTIFS($B$2:$B326,"s",$C$2:$C326,"SER")+COUNTIFS($B$2:$B326,"s",$C$2:$C326,"PLH"))-1,96)/12))&amp;(MOD((COUNTIFS($B$2:$B326,"s",$C$2:$C326,"SER")+COUNTIFS($B$2:$B326,"s",$C$2:$C326,"PLH"))-1,12)+1),"N/A"),"")</f>
        <v/>
      </c>
      <c r="K326" s="6" t="str">
        <f>IF(AND($A326&lt;&gt;"",$B326&lt;&gt;"",$C326&lt;&gt;"",$D326&lt;&gt;"",$E326&lt;&gt;""),IF($C326="WB","Case WB Box "&amp;(INT((COUNTIFS($C$2:$C326,"WB")-1)/81)+1)&amp;": "&amp;CHAR(65+INT(MOD(COUNTIFS($C$2:$C326,"WB")-1,81)/9))&amp;(MOD(COUNTIFS($C$2:$C326,"WB")-1,9)+1),"N/A"),"")</f>
        <v/>
      </c>
      <c r="L326" s="2" t="str">
        <f t="shared" si="91"/>
        <v/>
      </c>
      <c r="M326" s="2"/>
      <c r="N326" s="2"/>
      <c r="O326" s="2"/>
      <c r="P326" s="7" t="str">
        <f t="shared" si="92"/>
        <v/>
      </c>
      <c r="Q326" s="7" t="str">
        <f t="shared" si="93"/>
        <v/>
      </c>
      <c r="R326" s="7" t="str">
        <f t="shared" si="94"/>
        <v/>
      </c>
      <c r="S326" s="7" t="str">
        <f t="shared" si="95"/>
        <v/>
      </c>
      <c r="T326" s="7" t="str">
        <f t="shared" si="96"/>
        <v/>
      </c>
      <c r="U326" s="7" t="str">
        <f t="shared" si="97"/>
        <v/>
      </c>
      <c r="V326" s="7" t="str">
        <f t="shared" si="98"/>
        <v/>
      </c>
      <c r="W326" s="7" t="str">
        <f t="shared" si="99"/>
        <v/>
      </c>
      <c r="X326" s="7" t="str">
        <f t="shared" si="100"/>
        <v/>
      </c>
      <c r="Y326" s="7" t="str">
        <f t="shared" si="101"/>
        <v/>
      </c>
      <c r="Z326">
        <f t="shared" si="102"/>
        <v>0</v>
      </c>
      <c r="AA326" t="str">
        <f t="shared" si="103"/>
        <v/>
      </c>
      <c r="AB326" t="str">
        <f t="shared" si="104"/>
        <v/>
      </c>
      <c r="AC326" t="str">
        <f t="shared" si="105"/>
        <v/>
      </c>
      <c r="AD326" t="str">
        <f t="shared" si="106"/>
        <v/>
      </c>
      <c r="AE326">
        <f t="shared" si="107"/>
        <v>0</v>
      </c>
    </row>
    <row r="327" spans="1:31" ht="15" customHeight="1" x14ac:dyDescent="0.35">
      <c r="A327" s="2"/>
      <c r="B327" s="3"/>
      <c r="C327" s="3"/>
      <c r="D327" s="4"/>
      <c r="E327" s="5"/>
      <c r="F327" s="11" t="str">
        <f t="shared" ca="1" si="90"/>
        <v/>
      </c>
      <c r="G327" s="5"/>
      <c r="H327" s="6" t="str">
        <f>IF(AND($A327&lt;&gt;"",$B327&lt;&gt;"",$C327&lt;&gt;"",$D327&lt;&gt;"",$E327&lt;&gt;""),IF(AND($B327="s",OR($C327="SER",$C327="PLH",$C327="CSF")),"Case CDI Plate "&amp;(INT(((COUNTIFS($B$2:$B327,"s",$C$2:$C327,"SER")+COUNTIFS($B$2:$B327,"s",$C$2:$C327,"PLH")+COUNTIFS($B$2:$B327,"s",$C$2:$C327,"CSF"))-1)/96)+1)&amp;": "&amp;CHAR(65+INT(MOD((COUNTIFS($B$2:$B327,"s",$C$2:$C327,"SER")+COUNTIFS($B$2:$B327,"s",$C$2:$C327,"PLH")+COUNTIFS($B$2:$B327,"s",$C$2:$C327,"CSF"))-1,96)/12))&amp;(MOD((COUNTIFS($B$2:$B327,"s",$C$2:$C327,"SER")+COUNTIFS($B$2:$B327,"s",$C$2:$C327,"PLH")+COUNTIFS($B$2:$B327,"s",$C$2:$C327,"CSF"))-1,12)+1),"N/A"),"")</f>
        <v/>
      </c>
      <c r="I327" s="6" t="str">
        <f>IF(AND($A327&lt;&gt;"",$B327&lt;&gt;"",$C327&lt;&gt;"",$D327&lt;&gt;"",$E327&lt;&gt;""),IF(AND($B327="s",OR($C327="SER",$C327="PLH",$C327="CSF")),"Case NIH Plate "&amp;(INT(((COUNTIFS($B$2:$B327,"s",$C$2:$C327,"SER")+COUNTIFS($B$2:$B327,"s",$C$2:$C327,"PLH")+COUNTIFS($B$2:$B327,"s",$C$2:$C327,"CSF"))-1)/96)+1)&amp;": "&amp;CHAR(65+INT(MOD((COUNTIFS($B$2:$B327,"s",$C$2:$C327,"SER")+COUNTIFS($B$2:$B327,"s",$C$2:$C327,"PLH")+COUNTIFS($B$2:$B327,"s",$C$2:$C327,"CSF"))-1,96)/12))&amp;(MOD((COUNTIFS($B$2:$B327,"s",$C$2:$C327,"SER")+COUNTIFS($B$2:$B327,"s",$C$2:$C327,"PLH")+COUNTIFS($B$2:$B327,"s",$C$2:$C327,"CSF"))-1,12)+1),"N/A"),"")</f>
        <v/>
      </c>
      <c r="J327" s="6" t="str">
        <f>IF(AND($A327&lt;&gt;"",$B327&lt;&gt;"",$C327&lt;&gt;"",$D327&lt;&gt;"",$E327&lt;&gt;""),IF(AND($B327="s",OR($C327="SER",$C327="PLH")),"Case MAX Planck Plate "&amp;(INT(((COUNTIFS($B$2:$B327,"s",$C$2:$C327,"SER")+COUNTIFS($B$2:$B327,"s",$C$2:$C327,"PLH"))-1)/96)+1)&amp;": "&amp;CHAR(65+INT(MOD((COUNTIFS($B$2:$B327,"s",$C$2:$C327,"SER")+COUNTIFS($B$2:$B327,"s",$C$2:$C327,"PLH"))-1,96)/12))&amp;(MOD((COUNTIFS($B$2:$B327,"s",$C$2:$C327,"SER")+COUNTIFS($B$2:$B327,"s",$C$2:$C327,"PLH"))-1,12)+1),"N/A"),"")</f>
        <v/>
      </c>
      <c r="K327" s="6" t="str">
        <f>IF(AND($A327&lt;&gt;"",$B327&lt;&gt;"",$C327&lt;&gt;"",$D327&lt;&gt;"",$E327&lt;&gt;""),IF($C327="WB","Case WB Box "&amp;(INT((COUNTIFS($C$2:$C327,"WB")-1)/81)+1)&amp;": "&amp;CHAR(65+INT(MOD(COUNTIFS($C$2:$C327,"WB")-1,81)/9))&amp;(MOD(COUNTIFS($C$2:$C327,"WB")-1,9)+1),"N/A"),"")</f>
        <v/>
      </c>
      <c r="L327" s="2" t="str">
        <f t="shared" si="91"/>
        <v/>
      </c>
      <c r="M327" s="2"/>
      <c r="N327" s="2"/>
      <c r="O327" s="2"/>
      <c r="P327" s="7" t="str">
        <f t="shared" si="92"/>
        <v/>
      </c>
      <c r="Q327" s="7" t="str">
        <f t="shared" si="93"/>
        <v/>
      </c>
      <c r="R327" s="7" t="str">
        <f t="shared" si="94"/>
        <v/>
      </c>
      <c r="S327" s="7" t="str">
        <f t="shared" si="95"/>
        <v/>
      </c>
      <c r="T327" s="7" t="str">
        <f t="shared" si="96"/>
        <v/>
      </c>
      <c r="U327" s="7" t="str">
        <f t="shared" si="97"/>
        <v/>
      </c>
      <c r="V327" s="7" t="str">
        <f t="shared" si="98"/>
        <v/>
      </c>
      <c r="W327" s="7" t="str">
        <f t="shared" si="99"/>
        <v/>
      </c>
      <c r="X327" s="7" t="str">
        <f t="shared" si="100"/>
        <v/>
      </c>
      <c r="Y327" s="7" t="str">
        <f t="shared" si="101"/>
        <v/>
      </c>
      <c r="Z327">
        <f t="shared" si="102"/>
        <v>0</v>
      </c>
      <c r="AA327" t="str">
        <f t="shared" si="103"/>
        <v/>
      </c>
      <c r="AB327" t="str">
        <f t="shared" si="104"/>
        <v/>
      </c>
      <c r="AC327" t="str">
        <f t="shared" si="105"/>
        <v/>
      </c>
      <c r="AD327" t="str">
        <f t="shared" si="106"/>
        <v/>
      </c>
      <c r="AE327">
        <f t="shared" si="107"/>
        <v>0</v>
      </c>
    </row>
    <row r="328" spans="1:31" ht="15" customHeight="1" x14ac:dyDescent="0.35">
      <c r="A328" s="2"/>
      <c r="B328" s="3"/>
      <c r="C328" s="3"/>
      <c r="D328" s="4"/>
      <c r="E328" s="5"/>
      <c r="F328" s="11" t="str">
        <f t="shared" ca="1" si="90"/>
        <v/>
      </c>
      <c r="G328" s="5"/>
      <c r="H328" s="6" t="str">
        <f>IF(AND($A328&lt;&gt;"",$B328&lt;&gt;"",$C328&lt;&gt;"",$D328&lt;&gt;"",$E328&lt;&gt;""),IF(AND($B328="s",OR($C328="SER",$C328="PLH",$C328="CSF")),"Case CDI Plate "&amp;(INT(((COUNTIFS($B$2:$B328,"s",$C$2:$C328,"SER")+COUNTIFS($B$2:$B328,"s",$C$2:$C328,"PLH")+COUNTIFS($B$2:$B328,"s",$C$2:$C328,"CSF"))-1)/96)+1)&amp;": "&amp;CHAR(65+INT(MOD((COUNTIFS($B$2:$B328,"s",$C$2:$C328,"SER")+COUNTIFS($B$2:$B328,"s",$C$2:$C328,"PLH")+COUNTIFS($B$2:$B328,"s",$C$2:$C328,"CSF"))-1,96)/12))&amp;(MOD((COUNTIFS($B$2:$B328,"s",$C$2:$C328,"SER")+COUNTIFS($B$2:$B328,"s",$C$2:$C328,"PLH")+COUNTIFS($B$2:$B328,"s",$C$2:$C328,"CSF"))-1,12)+1),"N/A"),"")</f>
        <v/>
      </c>
      <c r="I328" s="6" t="str">
        <f>IF(AND($A328&lt;&gt;"",$B328&lt;&gt;"",$C328&lt;&gt;"",$D328&lt;&gt;"",$E328&lt;&gt;""),IF(AND($B328="s",OR($C328="SER",$C328="PLH",$C328="CSF")),"Case NIH Plate "&amp;(INT(((COUNTIFS($B$2:$B328,"s",$C$2:$C328,"SER")+COUNTIFS($B$2:$B328,"s",$C$2:$C328,"PLH")+COUNTIFS($B$2:$B328,"s",$C$2:$C328,"CSF"))-1)/96)+1)&amp;": "&amp;CHAR(65+INT(MOD((COUNTIFS($B$2:$B328,"s",$C$2:$C328,"SER")+COUNTIFS($B$2:$B328,"s",$C$2:$C328,"PLH")+COUNTIFS($B$2:$B328,"s",$C$2:$C328,"CSF"))-1,96)/12))&amp;(MOD((COUNTIFS($B$2:$B328,"s",$C$2:$C328,"SER")+COUNTIFS($B$2:$B328,"s",$C$2:$C328,"PLH")+COUNTIFS($B$2:$B328,"s",$C$2:$C328,"CSF"))-1,12)+1),"N/A"),"")</f>
        <v/>
      </c>
      <c r="J328" s="6" t="str">
        <f>IF(AND($A328&lt;&gt;"",$B328&lt;&gt;"",$C328&lt;&gt;"",$D328&lt;&gt;"",$E328&lt;&gt;""),IF(AND($B328="s",OR($C328="SER",$C328="PLH")),"Case MAX Planck Plate "&amp;(INT(((COUNTIFS($B$2:$B328,"s",$C$2:$C328,"SER")+COUNTIFS($B$2:$B328,"s",$C$2:$C328,"PLH"))-1)/96)+1)&amp;": "&amp;CHAR(65+INT(MOD((COUNTIFS($B$2:$B328,"s",$C$2:$C328,"SER")+COUNTIFS($B$2:$B328,"s",$C$2:$C328,"PLH"))-1,96)/12))&amp;(MOD((COUNTIFS($B$2:$B328,"s",$C$2:$C328,"SER")+COUNTIFS($B$2:$B328,"s",$C$2:$C328,"PLH"))-1,12)+1),"N/A"),"")</f>
        <v/>
      </c>
      <c r="K328" s="6" t="str">
        <f>IF(AND($A328&lt;&gt;"",$B328&lt;&gt;"",$C328&lt;&gt;"",$D328&lt;&gt;"",$E328&lt;&gt;""),IF($C328="WB","Case WB Box "&amp;(INT((COUNTIFS($C$2:$C328,"WB")-1)/81)+1)&amp;": "&amp;CHAR(65+INT(MOD(COUNTIFS($C$2:$C328,"WB")-1,81)/9))&amp;(MOD(COUNTIFS($C$2:$C328,"WB")-1,9)+1),"N/A"),"")</f>
        <v/>
      </c>
      <c r="L328" s="2" t="str">
        <f t="shared" si="91"/>
        <v/>
      </c>
      <c r="M328" s="2"/>
      <c r="N328" s="2"/>
      <c r="O328" s="2"/>
      <c r="P328" s="7" t="str">
        <f t="shared" si="92"/>
        <v/>
      </c>
      <c r="Q328" s="7" t="str">
        <f t="shared" si="93"/>
        <v/>
      </c>
      <c r="R328" s="7" t="str">
        <f t="shared" si="94"/>
        <v/>
      </c>
      <c r="S328" s="7" t="str">
        <f t="shared" si="95"/>
        <v/>
      </c>
      <c r="T328" s="7" t="str">
        <f t="shared" si="96"/>
        <v/>
      </c>
      <c r="U328" s="7" t="str">
        <f t="shared" si="97"/>
        <v/>
      </c>
      <c r="V328" s="7" t="str">
        <f t="shared" si="98"/>
        <v/>
      </c>
      <c r="W328" s="7" t="str">
        <f t="shared" si="99"/>
        <v/>
      </c>
      <c r="X328" s="7" t="str">
        <f t="shared" si="100"/>
        <v/>
      </c>
      <c r="Y328" s="7" t="str">
        <f t="shared" si="101"/>
        <v/>
      </c>
      <c r="Z328">
        <f t="shared" si="102"/>
        <v>0</v>
      </c>
      <c r="AA328" t="str">
        <f t="shared" si="103"/>
        <v/>
      </c>
      <c r="AB328" t="str">
        <f t="shared" si="104"/>
        <v/>
      </c>
      <c r="AC328" t="str">
        <f t="shared" si="105"/>
        <v/>
      </c>
      <c r="AD328" t="str">
        <f t="shared" si="106"/>
        <v/>
      </c>
      <c r="AE328">
        <f t="shared" si="107"/>
        <v>0</v>
      </c>
    </row>
    <row r="329" spans="1:31" ht="15" customHeight="1" x14ac:dyDescent="0.35">
      <c r="A329" s="2"/>
      <c r="B329" s="3"/>
      <c r="C329" s="3"/>
      <c r="D329" s="4"/>
      <c r="E329" s="5"/>
      <c r="F329" s="11" t="str">
        <f t="shared" ca="1" si="90"/>
        <v/>
      </c>
      <c r="G329" s="5"/>
      <c r="H329" s="6" t="str">
        <f>IF(AND($A329&lt;&gt;"",$B329&lt;&gt;"",$C329&lt;&gt;"",$D329&lt;&gt;"",$E329&lt;&gt;""),IF(AND($B329="s",OR($C329="SER",$C329="PLH",$C329="CSF")),"Case CDI Plate "&amp;(INT(((COUNTIFS($B$2:$B329,"s",$C$2:$C329,"SER")+COUNTIFS($B$2:$B329,"s",$C$2:$C329,"PLH")+COUNTIFS($B$2:$B329,"s",$C$2:$C329,"CSF"))-1)/96)+1)&amp;": "&amp;CHAR(65+INT(MOD((COUNTIFS($B$2:$B329,"s",$C$2:$C329,"SER")+COUNTIFS($B$2:$B329,"s",$C$2:$C329,"PLH")+COUNTIFS($B$2:$B329,"s",$C$2:$C329,"CSF"))-1,96)/12))&amp;(MOD((COUNTIFS($B$2:$B329,"s",$C$2:$C329,"SER")+COUNTIFS($B$2:$B329,"s",$C$2:$C329,"PLH")+COUNTIFS($B$2:$B329,"s",$C$2:$C329,"CSF"))-1,12)+1),"N/A"),"")</f>
        <v/>
      </c>
      <c r="I329" s="6" t="str">
        <f>IF(AND($A329&lt;&gt;"",$B329&lt;&gt;"",$C329&lt;&gt;"",$D329&lt;&gt;"",$E329&lt;&gt;""),IF(AND($B329="s",OR($C329="SER",$C329="PLH",$C329="CSF")),"Case NIH Plate "&amp;(INT(((COUNTIFS($B$2:$B329,"s",$C$2:$C329,"SER")+COUNTIFS($B$2:$B329,"s",$C$2:$C329,"PLH")+COUNTIFS($B$2:$B329,"s",$C$2:$C329,"CSF"))-1)/96)+1)&amp;": "&amp;CHAR(65+INT(MOD((COUNTIFS($B$2:$B329,"s",$C$2:$C329,"SER")+COUNTIFS($B$2:$B329,"s",$C$2:$C329,"PLH")+COUNTIFS($B$2:$B329,"s",$C$2:$C329,"CSF"))-1,96)/12))&amp;(MOD((COUNTIFS($B$2:$B329,"s",$C$2:$C329,"SER")+COUNTIFS($B$2:$B329,"s",$C$2:$C329,"PLH")+COUNTIFS($B$2:$B329,"s",$C$2:$C329,"CSF"))-1,12)+1),"N/A"),"")</f>
        <v/>
      </c>
      <c r="J329" s="6" t="str">
        <f>IF(AND($A329&lt;&gt;"",$B329&lt;&gt;"",$C329&lt;&gt;"",$D329&lt;&gt;"",$E329&lt;&gt;""),IF(AND($B329="s",OR($C329="SER",$C329="PLH")),"Case MAX Planck Plate "&amp;(INT(((COUNTIFS($B$2:$B329,"s",$C$2:$C329,"SER")+COUNTIFS($B$2:$B329,"s",$C$2:$C329,"PLH"))-1)/96)+1)&amp;": "&amp;CHAR(65+INT(MOD((COUNTIFS($B$2:$B329,"s",$C$2:$C329,"SER")+COUNTIFS($B$2:$B329,"s",$C$2:$C329,"PLH"))-1,96)/12))&amp;(MOD((COUNTIFS($B$2:$B329,"s",$C$2:$C329,"SER")+COUNTIFS($B$2:$B329,"s",$C$2:$C329,"PLH"))-1,12)+1),"N/A"),"")</f>
        <v/>
      </c>
      <c r="K329" s="6" t="str">
        <f>IF(AND($A329&lt;&gt;"",$B329&lt;&gt;"",$C329&lt;&gt;"",$D329&lt;&gt;"",$E329&lt;&gt;""),IF($C329="WB","Case WB Box "&amp;(INT((COUNTIFS($C$2:$C329,"WB")-1)/81)+1)&amp;": "&amp;CHAR(65+INT(MOD(COUNTIFS($C$2:$C329,"WB")-1,81)/9))&amp;(MOD(COUNTIFS($C$2:$C329,"WB")-1,9)+1),"N/A"),"")</f>
        <v/>
      </c>
      <c r="L329" s="2" t="str">
        <f t="shared" si="91"/>
        <v/>
      </c>
      <c r="M329" s="2"/>
      <c r="N329" s="2"/>
      <c r="O329" s="2"/>
      <c r="P329" s="7" t="str">
        <f t="shared" si="92"/>
        <v/>
      </c>
      <c r="Q329" s="7" t="str">
        <f t="shared" si="93"/>
        <v/>
      </c>
      <c r="R329" s="7" t="str">
        <f t="shared" si="94"/>
        <v/>
      </c>
      <c r="S329" s="7" t="str">
        <f t="shared" si="95"/>
        <v/>
      </c>
      <c r="T329" s="7" t="str">
        <f t="shared" si="96"/>
        <v/>
      </c>
      <c r="U329" s="7" t="str">
        <f t="shared" si="97"/>
        <v/>
      </c>
      <c r="V329" s="7" t="str">
        <f t="shared" si="98"/>
        <v/>
      </c>
      <c r="W329" s="7" t="str">
        <f t="shared" si="99"/>
        <v/>
      </c>
      <c r="X329" s="7" t="str">
        <f t="shared" si="100"/>
        <v/>
      </c>
      <c r="Y329" s="7" t="str">
        <f t="shared" si="101"/>
        <v/>
      </c>
      <c r="Z329">
        <f t="shared" si="102"/>
        <v>0</v>
      </c>
      <c r="AA329" t="str">
        <f t="shared" si="103"/>
        <v/>
      </c>
      <c r="AB329" t="str">
        <f t="shared" si="104"/>
        <v/>
      </c>
      <c r="AC329" t="str">
        <f t="shared" si="105"/>
        <v/>
      </c>
      <c r="AD329" t="str">
        <f t="shared" si="106"/>
        <v/>
      </c>
      <c r="AE329">
        <f t="shared" si="107"/>
        <v>0</v>
      </c>
    </row>
    <row r="330" spans="1:31" ht="15" customHeight="1" x14ac:dyDescent="0.35">
      <c r="A330" s="2"/>
      <c r="B330" s="3"/>
      <c r="C330" s="3"/>
      <c r="D330" s="4"/>
      <c r="E330" s="5"/>
      <c r="F330" s="11" t="str">
        <f t="shared" ca="1" si="90"/>
        <v/>
      </c>
      <c r="G330" s="5"/>
      <c r="H330" s="6" t="str">
        <f>IF(AND($A330&lt;&gt;"",$B330&lt;&gt;"",$C330&lt;&gt;"",$D330&lt;&gt;"",$E330&lt;&gt;""),IF(AND($B330="s",OR($C330="SER",$C330="PLH",$C330="CSF")),"Case CDI Plate "&amp;(INT(((COUNTIFS($B$2:$B330,"s",$C$2:$C330,"SER")+COUNTIFS($B$2:$B330,"s",$C$2:$C330,"PLH")+COUNTIFS($B$2:$B330,"s",$C$2:$C330,"CSF"))-1)/96)+1)&amp;": "&amp;CHAR(65+INT(MOD((COUNTIFS($B$2:$B330,"s",$C$2:$C330,"SER")+COUNTIFS($B$2:$B330,"s",$C$2:$C330,"PLH")+COUNTIFS($B$2:$B330,"s",$C$2:$C330,"CSF"))-1,96)/12))&amp;(MOD((COUNTIFS($B$2:$B330,"s",$C$2:$C330,"SER")+COUNTIFS($B$2:$B330,"s",$C$2:$C330,"PLH")+COUNTIFS($B$2:$B330,"s",$C$2:$C330,"CSF"))-1,12)+1),"N/A"),"")</f>
        <v/>
      </c>
      <c r="I330" s="6" t="str">
        <f>IF(AND($A330&lt;&gt;"",$B330&lt;&gt;"",$C330&lt;&gt;"",$D330&lt;&gt;"",$E330&lt;&gt;""),IF(AND($B330="s",OR($C330="SER",$C330="PLH",$C330="CSF")),"Case NIH Plate "&amp;(INT(((COUNTIFS($B$2:$B330,"s",$C$2:$C330,"SER")+COUNTIFS($B$2:$B330,"s",$C$2:$C330,"PLH")+COUNTIFS($B$2:$B330,"s",$C$2:$C330,"CSF"))-1)/96)+1)&amp;": "&amp;CHAR(65+INT(MOD((COUNTIFS($B$2:$B330,"s",$C$2:$C330,"SER")+COUNTIFS($B$2:$B330,"s",$C$2:$C330,"PLH")+COUNTIFS($B$2:$B330,"s",$C$2:$C330,"CSF"))-1,96)/12))&amp;(MOD((COUNTIFS($B$2:$B330,"s",$C$2:$C330,"SER")+COUNTIFS($B$2:$B330,"s",$C$2:$C330,"PLH")+COUNTIFS($B$2:$B330,"s",$C$2:$C330,"CSF"))-1,12)+1),"N/A"),"")</f>
        <v/>
      </c>
      <c r="J330" s="6" t="str">
        <f>IF(AND($A330&lt;&gt;"",$B330&lt;&gt;"",$C330&lt;&gt;"",$D330&lt;&gt;"",$E330&lt;&gt;""),IF(AND($B330="s",OR($C330="SER",$C330="PLH")),"Case MAX Planck Plate "&amp;(INT(((COUNTIFS($B$2:$B330,"s",$C$2:$C330,"SER")+COUNTIFS($B$2:$B330,"s",$C$2:$C330,"PLH"))-1)/96)+1)&amp;": "&amp;CHAR(65+INT(MOD((COUNTIFS($B$2:$B330,"s",$C$2:$C330,"SER")+COUNTIFS($B$2:$B330,"s",$C$2:$C330,"PLH"))-1,96)/12))&amp;(MOD((COUNTIFS($B$2:$B330,"s",$C$2:$C330,"SER")+COUNTIFS($B$2:$B330,"s",$C$2:$C330,"PLH"))-1,12)+1),"N/A"),"")</f>
        <v/>
      </c>
      <c r="K330" s="6" t="str">
        <f>IF(AND($A330&lt;&gt;"",$B330&lt;&gt;"",$C330&lt;&gt;"",$D330&lt;&gt;"",$E330&lt;&gt;""),IF($C330="WB","Case WB Box "&amp;(INT((COUNTIFS($C$2:$C330,"WB")-1)/81)+1)&amp;": "&amp;CHAR(65+INT(MOD(COUNTIFS($C$2:$C330,"WB")-1,81)/9))&amp;(MOD(COUNTIFS($C$2:$C330,"WB")-1,9)+1),"N/A"),"")</f>
        <v/>
      </c>
      <c r="L330" s="2" t="str">
        <f t="shared" si="91"/>
        <v/>
      </c>
      <c r="M330" s="2"/>
      <c r="N330" s="2"/>
      <c r="O330" s="2"/>
      <c r="P330" s="7" t="str">
        <f t="shared" si="92"/>
        <v/>
      </c>
      <c r="Q330" s="7" t="str">
        <f t="shared" si="93"/>
        <v/>
      </c>
      <c r="R330" s="7" t="str">
        <f t="shared" si="94"/>
        <v/>
      </c>
      <c r="S330" s="7" t="str">
        <f t="shared" si="95"/>
        <v/>
      </c>
      <c r="T330" s="7" t="str">
        <f t="shared" si="96"/>
        <v/>
      </c>
      <c r="U330" s="7" t="str">
        <f t="shared" si="97"/>
        <v/>
      </c>
      <c r="V330" s="7" t="str">
        <f t="shared" si="98"/>
        <v/>
      </c>
      <c r="W330" s="7" t="str">
        <f t="shared" si="99"/>
        <v/>
      </c>
      <c r="X330" s="7" t="str">
        <f t="shared" si="100"/>
        <v/>
      </c>
      <c r="Y330" s="7" t="str">
        <f t="shared" si="101"/>
        <v/>
      </c>
      <c r="Z330">
        <f t="shared" si="102"/>
        <v>0</v>
      </c>
      <c r="AA330" t="str">
        <f t="shared" si="103"/>
        <v/>
      </c>
      <c r="AB330" t="str">
        <f t="shared" si="104"/>
        <v/>
      </c>
      <c r="AC330" t="str">
        <f t="shared" si="105"/>
        <v/>
      </c>
      <c r="AD330" t="str">
        <f t="shared" si="106"/>
        <v/>
      </c>
      <c r="AE330">
        <f t="shared" si="107"/>
        <v>0</v>
      </c>
    </row>
    <row r="331" spans="1:31" ht="15" customHeight="1" x14ac:dyDescent="0.35">
      <c r="A331" s="2"/>
      <c r="B331" s="3"/>
      <c r="C331" s="3"/>
      <c r="D331" s="4"/>
      <c r="E331" s="5"/>
      <c r="F331" s="11" t="str">
        <f t="shared" ca="1" si="90"/>
        <v/>
      </c>
      <c r="G331" s="5"/>
      <c r="H331" s="6" t="str">
        <f>IF(AND($A331&lt;&gt;"",$B331&lt;&gt;"",$C331&lt;&gt;"",$D331&lt;&gt;"",$E331&lt;&gt;""),IF(AND($B331="s",OR($C331="SER",$C331="PLH",$C331="CSF")),"Case CDI Plate "&amp;(INT(((COUNTIFS($B$2:$B331,"s",$C$2:$C331,"SER")+COUNTIFS($B$2:$B331,"s",$C$2:$C331,"PLH")+COUNTIFS($B$2:$B331,"s",$C$2:$C331,"CSF"))-1)/96)+1)&amp;": "&amp;CHAR(65+INT(MOD((COUNTIFS($B$2:$B331,"s",$C$2:$C331,"SER")+COUNTIFS($B$2:$B331,"s",$C$2:$C331,"PLH")+COUNTIFS($B$2:$B331,"s",$C$2:$C331,"CSF"))-1,96)/12))&amp;(MOD((COUNTIFS($B$2:$B331,"s",$C$2:$C331,"SER")+COUNTIFS($B$2:$B331,"s",$C$2:$C331,"PLH")+COUNTIFS($B$2:$B331,"s",$C$2:$C331,"CSF"))-1,12)+1),"N/A"),"")</f>
        <v/>
      </c>
      <c r="I331" s="6" t="str">
        <f>IF(AND($A331&lt;&gt;"",$B331&lt;&gt;"",$C331&lt;&gt;"",$D331&lt;&gt;"",$E331&lt;&gt;""),IF(AND($B331="s",OR($C331="SER",$C331="PLH",$C331="CSF")),"Case NIH Plate "&amp;(INT(((COUNTIFS($B$2:$B331,"s",$C$2:$C331,"SER")+COUNTIFS($B$2:$B331,"s",$C$2:$C331,"PLH")+COUNTIFS($B$2:$B331,"s",$C$2:$C331,"CSF"))-1)/96)+1)&amp;": "&amp;CHAR(65+INT(MOD((COUNTIFS($B$2:$B331,"s",$C$2:$C331,"SER")+COUNTIFS($B$2:$B331,"s",$C$2:$C331,"PLH")+COUNTIFS($B$2:$B331,"s",$C$2:$C331,"CSF"))-1,96)/12))&amp;(MOD((COUNTIFS($B$2:$B331,"s",$C$2:$C331,"SER")+COUNTIFS($B$2:$B331,"s",$C$2:$C331,"PLH")+COUNTIFS($B$2:$B331,"s",$C$2:$C331,"CSF"))-1,12)+1),"N/A"),"")</f>
        <v/>
      </c>
      <c r="J331" s="6" t="str">
        <f>IF(AND($A331&lt;&gt;"",$B331&lt;&gt;"",$C331&lt;&gt;"",$D331&lt;&gt;"",$E331&lt;&gt;""),IF(AND($B331="s",OR($C331="SER",$C331="PLH")),"Case MAX Planck Plate "&amp;(INT(((COUNTIFS($B$2:$B331,"s",$C$2:$C331,"SER")+COUNTIFS($B$2:$B331,"s",$C$2:$C331,"PLH"))-1)/96)+1)&amp;": "&amp;CHAR(65+INT(MOD((COUNTIFS($B$2:$B331,"s",$C$2:$C331,"SER")+COUNTIFS($B$2:$B331,"s",$C$2:$C331,"PLH"))-1,96)/12))&amp;(MOD((COUNTIFS($B$2:$B331,"s",$C$2:$C331,"SER")+COUNTIFS($B$2:$B331,"s",$C$2:$C331,"PLH"))-1,12)+1),"N/A"),"")</f>
        <v/>
      </c>
      <c r="K331" s="6" t="str">
        <f>IF(AND($A331&lt;&gt;"",$B331&lt;&gt;"",$C331&lt;&gt;"",$D331&lt;&gt;"",$E331&lt;&gt;""),IF($C331="WB","Case WB Box "&amp;(INT((COUNTIFS($C$2:$C331,"WB")-1)/81)+1)&amp;": "&amp;CHAR(65+INT(MOD(COUNTIFS($C$2:$C331,"WB")-1,81)/9))&amp;(MOD(COUNTIFS($C$2:$C331,"WB")-1,9)+1),"N/A"),"")</f>
        <v/>
      </c>
      <c r="L331" s="2" t="str">
        <f t="shared" si="91"/>
        <v/>
      </c>
      <c r="M331" s="2"/>
      <c r="N331" s="2"/>
      <c r="O331" s="2"/>
      <c r="P331" s="7" t="str">
        <f t="shared" si="92"/>
        <v/>
      </c>
      <c r="Q331" s="7" t="str">
        <f t="shared" si="93"/>
        <v/>
      </c>
      <c r="R331" s="7" t="str">
        <f t="shared" si="94"/>
        <v/>
      </c>
      <c r="S331" s="7" t="str">
        <f t="shared" si="95"/>
        <v/>
      </c>
      <c r="T331" s="7" t="str">
        <f t="shared" si="96"/>
        <v/>
      </c>
      <c r="U331" s="7" t="str">
        <f t="shared" si="97"/>
        <v/>
      </c>
      <c r="V331" s="7" t="str">
        <f t="shared" si="98"/>
        <v/>
      </c>
      <c r="W331" s="7" t="str">
        <f t="shared" si="99"/>
        <v/>
      </c>
      <c r="X331" s="7" t="str">
        <f t="shared" si="100"/>
        <v/>
      </c>
      <c r="Y331" s="7" t="str">
        <f t="shared" si="101"/>
        <v/>
      </c>
      <c r="Z331">
        <f t="shared" si="102"/>
        <v>0</v>
      </c>
      <c r="AA331" t="str">
        <f t="shared" si="103"/>
        <v/>
      </c>
      <c r="AB331" t="str">
        <f t="shared" si="104"/>
        <v/>
      </c>
      <c r="AC331" t="str">
        <f t="shared" si="105"/>
        <v/>
      </c>
      <c r="AD331" t="str">
        <f t="shared" si="106"/>
        <v/>
      </c>
      <c r="AE331">
        <f t="shared" si="107"/>
        <v>0</v>
      </c>
    </row>
    <row r="332" spans="1:31" ht="15" customHeight="1" x14ac:dyDescent="0.35">
      <c r="A332" s="2"/>
      <c r="B332" s="3"/>
      <c r="C332" s="3"/>
      <c r="D332" s="4"/>
      <c r="E332" s="5"/>
      <c r="F332" s="11" t="str">
        <f t="shared" ca="1" si="90"/>
        <v/>
      </c>
      <c r="G332" s="5"/>
      <c r="H332" s="6" t="str">
        <f>IF(AND($A332&lt;&gt;"",$B332&lt;&gt;"",$C332&lt;&gt;"",$D332&lt;&gt;"",$E332&lt;&gt;""),IF(AND($B332="s",OR($C332="SER",$C332="PLH",$C332="CSF")),"Case CDI Plate "&amp;(INT(((COUNTIFS($B$2:$B332,"s",$C$2:$C332,"SER")+COUNTIFS($B$2:$B332,"s",$C$2:$C332,"PLH")+COUNTIFS($B$2:$B332,"s",$C$2:$C332,"CSF"))-1)/96)+1)&amp;": "&amp;CHAR(65+INT(MOD((COUNTIFS($B$2:$B332,"s",$C$2:$C332,"SER")+COUNTIFS($B$2:$B332,"s",$C$2:$C332,"PLH")+COUNTIFS($B$2:$B332,"s",$C$2:$C332,"CSF"))-1,96)/12))&amp;(MOD((COUNTIFS($B$2:$B332,"s",$C$2:$C332,"SER")+COUNTIFS($B$2:$B332,"s",$C$2:$C332,"PLH")+COUNTIFS($B$2:$B332,"s",$C$2:$C332,"CSF"))-1,12)+1),"N/A"),"")</f>
        <v/>
      </c>
      <c r="I332" s="6" t="str">
        <f>IF(AND($A332&lt;&gt;"",$B332&lt;&gt;"",$C332&lt;&gt;"",$D332&lt;&gt;"",$E332&lt;&gt;""),IF(AND($B332="s",OR($C332="SER",$C332="PLH",$C332="CSF")),"Case NIH Plate "&amp;(INT(((COUNTIFS($B$2:$B332,"s",$C$2:$C332,"SER")+COUNTIFS($B$2:$B332,"s",$C$2:$C332,"PLH")+COUNTIFS($B$2:$B332,"s",$C$2:$C332,"CSF"))-1)/96)+1)&amp;": "&amp;CHAR(65+INT(MOD((COUNTIFS($B$2:$B332,"s",$C$2:$C332,"SER")+COUNTIFS($B$2:$B332,"s",$C$2:$C332,"PLH")+COUNTIFS($B$2:$B332,"s",$C$2:$C332,"CSF"))-1,96)/12))&amp;(MOD((COUNTIFS($B$2:$B332,"s",$C$2:$C332,"SER")+COUNTIFS($B$2:$B332,"s",$C$2:$C332,"PLH")+COUNTIFS($B$2:$B332,"s",$C$2:$C332,"CSF"))-1,12)+1),"N/A"),"")</f>
        <v/>
      </c>
      <c r="J332" s="6" t="str">
        <f>IF(AND($A332&lt;&gt;"",$B332&lt;&gt;"",$C332&lt;&gt;"",$D332&lt;&gt;"",$E332&lt;&gt;""),IF(AND($B332="s",OR($C332="SER",$C332="PLH")),"Case MAX Planck Plate "&amp;(INT(((COUNTIFS($B$2:$B332,"s",$C$2:$C332,"SER")+COUNTIFS($B$2:$B332,"s",$C$2:$C332,"PLH"))-1)/96)+1)&amp;": "&amp;CHAR(65+INT(MOD((COUNTIFS($B$2:$B332,"s",$C$2:$C332,"SER")+COUNTIFS($B$2:$B332,"s",$C$2:$C332,"PLH"))-1,96)/12))&amp;(MOD((COUNTIFS($B$2:$B332,"s",$C$2:$C332,"SER")+COUNTIFS($B$2:$B332,"s",$C$2:$C332,"PLH"))-1,12)+1),"N/A"),"")</f>
        <v/>
      </c>
      <c r="K332" s="6" t="str">
        <f>IF(AND($A332&lt;&gt;"",$B332&lt;&gt;"",$C332&lt;&gt;"",$D332&lt;&gt;"",$E332&lt;&gt;""),IF($C332="WB","Case WB Box "&amp;(INT((COUNTIFS($C$2:$C332,"WB")-1)/81)+1)&amp;": "&amp;CHAR(65+INT(MOD(COUNTIFS($C$2:$C332,"WB")-1,81)/9))&amp;(MOD(COUNTIFS($C$2:$C332,"WB")-1,9)+1),"N/A"),"")</f>
        <v/>
      </c>
      <c r="L332" s="2" t="str">
        <f t="shared" si="91"/>
        <v/>
      </c>
      <c r="M332" s="2"/>
      <c r="N332" s="2"/>
      <c r="O332" s="2"/>
      <c r="P332" s="7" t="str">
        <f t="shared" si="92"/>
        <v/>
      </c>
      <c r="Q332" s="7" t="str">
        <f t="shared" si="93"/>
        <v/>
      </c>
      <c r="R332" s="7" t="str">
        <f t="shared" si="94"/>
        <v/>
      </c>
      <c r="S332" s="7" t="str">
        <f t="shared" si="95"/>
        <v/>
      </c>
      <c r="T332" s="7" t="str">
        <f t="shared" si="96"/>
        <v/>
      </c>
      <c r="U332" s="7" t="str">
        <f t="shared" si="97"/>
        <v/>
      </c>
      <c r="V332" s="7" t="str">
        <f t="shared" si="98"/>
        <v/>
      </c>
      <c r="W332" s="7" t="str">
        <f t="shared" si="99"/>
        <v/>
      </c>
      <c r="X332" s="7" t="str">
        <f t="shared" si="100"/>
        <v/>
      </c>
      <c r="Y332" s="7" t="str">
        <f t="shared" si="101"/>
        <v/>
      </c>
      <c r="Z332">
        <f t="shared" si="102"/>
        <v>0</v>
      </c>
      <c r="AA332" t="str">
        <f t="shared" si="103"/>
        <v/>
      </c>
      <c r="AB332" t="str">
        <f t="shared" si="104"/>
        <v/>
      </c>
      <c r="AC332" t="str">
        <f t="shared" si="105"/>
        <v/>
      </c>
      <c r="AD332" t="str">
        <f t="shared" si="106"/>
        <v/>
      </c>
      <c r="AE332">
        <f t="shared" si="107"/>
        <v>0</v>
      </c>
    </row>
    <row r="333" spans="1:31" ht="15" customHeight="1" x14ac:dyDescent="0.35">
      <c r="A333" s="2"/>
      <c r="B333" s="3"/>
      <c r="C333" s="3"/>
      <c r="D333" s="4"/>
      <c r="E333" s="5"/>
      <c r="F333" s="11" t="str">
        <f t="shared" ca="1" si="90"/>
        <v/>
      </c>
      <c r="G333" s="5"/>
      <c r="H333" s="6" t="str">
        <f>IF(AND($A333&lt;&gt;"",$B333&lt;&gt;"",$C333&lt;&gt;"",$D333&lt;&gt;"",$E333&lt;&gt;""),IF(AND($B333="s",OR($C333="SER",$C333="PLH",$C333="CSF")),"Case CDI Plate "&amp;(INT(((COUNTIFS($B$2:$B333,"s",$C$2:$C333,"SER")+COUNTIFS($B$2:$B333,"s",$C$2:$C333,"PLH")+COUNTIFS($B$2:$B333,"s",$C$2:$C333,"CSF"))-1)/96)+1)&amp;": "&amp;CHAR(65+INT(MOD((COUNTIFS($B$2:$B333,"s",$C$2:$C333,"SER")+COUNTIFS($B$2:$B333,"s",$C$2:$C333,"PLH")+COUNTIFS($B$2:$B333,"s",$C$2:$C333,"CSF"))-1,96)/12))&amp;(MOD((COUNTIFS($B$2:$B333,"s",$C$2:$C333,"SER")+COUNTIFS($B$2:$B333,"s",$C$2:$C333,"PLH")+COUNTIFS($B$2:$B333,"s",$C$2:$C333,"CSF"))-1,12)+1),"N/A"),"")</f>
        <v/>
      </c>
      <c r="I333" s="6" t="str">
        <f>IF(AND($A333&lt;&gt;"",$B333&lt;&gt;"",$C333&lt;&gt;"",$D333&lt;&gt;"",$E333&lt;&gt;""),IF(AND($B333="s",OR($C333="SER",$C333="PLH",$C333="CSF")),"Case NIH Plate "&amp;(INT(((COUNTIFS($B$2:$B333,"s",$C$2:$C333,"SER")+COUNTIFS($B$2:$B333,"s",$C$2:$C333,"PLH")+COUNTIFS($B$2:$B333,"s",$C$2:$C333,"CSF"))-1)/96)+1)&amp;": "&amp;CHAR(65+INT(MOD((COUNTIFS($B$2:$B333,"s",$C$2:$C333,"SER")+COUNTIFS($B$2:$B333,"s",$C$2:$C333,"PLH")+COUNTIFS($B$2:$B333,"s",$C$2:$C333,"CSF"))-1,96)/12))&amp;(MOD((COUNTIFS($B$2:$B333,"s",$C$2:$C333,"SER")+COUNTIFS($B$2:$B333,"s",$C$2:$C333,"PLH")+COUNTIFS($B$2:$B333,"s",$C$2:$C333,"CSF"))-1,12)+1),"N/A"),"")</f>
        <v/>
      </c>
      <c r="J333" s="6" t="str">
        <f>IF(AND($A333&lt;&gt;"",$B333&lt;&gt;"",$C333&lt;&gt;"",$D333&lt;&gt;"",$E333&lt;&gt;""),IF(AND($B333="s",OR($C333="SER",$C333="PLH")),"Case MAX Planck Plate "&amp;(INT(((COUNTIFS($B$2:$B333,"s",$C$2:$C333,"SER")+COUNTIFS($B$2:$B333,"s",$C$2:$C333,"PLH"))-1)/96)+1)&amp;": "&amp;CHAR(65+INT(MOD((COUNTIFS($B$2:$B333,"s",$C$2:$C333,"SER")+COUNTIFS($B$2:$B333,"s",$C$2:$C333,"PLH"))-1,96)/12))&amp;(MOD((COUNTIFS($B$2:$B333,"s",$C$2:$C333,"SER")+COUNTIFS($B$2:$B333,"s",$C$2:$C333,"PLH"))-1,12)+1),"N/A"),"")</f>
        <v/>
      </c>
      <c r="K333" s="6" t="str">
        <f>IF(AND($A333&lt;&gt;"",$B333&lt;&gt;"",$C333&lt;&gt;"",$D333&lt;&gt;"",$E333&lt;&gt;""),IF($C333="WB","Case WB Box "&amp;(INT((COUNTIFS($C$2:$C333,"WB")-1)/81)+1)&amp;": "&amp;CHAR(65+INT(MOD(COUNTIFS($C$2:$C333,"WB")-1,81)/9))&amp;(MOD(COUNTIFS($C$2:$C333,"WB")-1,9)+1),"N/A"),"")</f>
        <v/>
      </c>
      <c r="L333" s="2" t="str">
        <f t="shared" si="91"/>
        <v/>
      </c>
      <c r="M333" s="2"/>
      <c r="N333" s="2"/>
      <c r="O333" s="2"/>
      <c r="P333" s="7" t="str">
        <f t="shared" si="92"/>
        <v/>
      </c>
      <c r="Q333" s="7" t="str">
        <f t="shared" si="93"/>
        <v/>
      </c>
      <c r="R333" s="7" t="str">
        <f t="shared" si="94"/>
        <v/>
      </c>
      <c r="S333" s="7" t="str">
        <f t="shared" si="95"/>
        <v/>
      </c>
      <c r="T333" s="7" t="str">
        <f t="shared" si="96"/>
        <v/>
      </c>
      <c r="U333" s="7" t="str">
        <f t="shared" si="97"/>
        <v/>
      </c>
      <c r="V333" s="7" t="str">
        <f t="shared" si="98"/>
        <v/>
      </c>
      <c r="W333" s="7" t="str">
        <f t="shared" si="99"/>
        <v/>
      </c>
      <c r="X333" s="7" t="str">
        <f t="shared" si="100"/>
        <v/>
      </c>
      <c r="Y333" s="7" t="str">
        <f t="shared" si="101"/>
        <v/>
      </c>
      <c r="Z333">
        <f t="shared" si="102"/>
        <v>0</v>
      </c>
      <c r="AA333" t="str">
        <f t="shared" si="103"/>
        <v/>
      </c>
      <c r="AB333" t="str">
        <f t="shared" si="104"/>
        <v/>
      </c>
      <c r="AC333" t="str">
        <f t="shared" si="105"/>
        <v/>
      </c>
      <c r="AD333" t="str">
        <f t="shared" si="106"/>
        <v/>
      </c>
      <c r="AE333">
        <f t="shared" si="107"/>
        <v>0</v>
      </c>
    </row>
    <row r="334" spans="1:31" ht="15" customHeight="1" x14ac:dyDescent="0.35">
      <c r="A334" s="2"/>
      <c r="B334" s="3"/>
      <c r="C334" s="3"/>
      <c r="D334" s="4"/>
      <c r="E334" s="5"/>
      <c r="F334" s="11" t="str">
        <f t="shared" ca="1" si="90"/>
        <v/>
      </c>
      <c r="G334" s="5"/>
      <c r="H334" s="6" t="str">
        <f>IF(AND($A334&lt;&gt;"",$B334&lt;&gt;"",$C334&lt;&gt;"",$D334&lt;&gt;"",$E334&lt;&gt;""),IF(AND($B334="s",OR($C334="SER",$C334="PLH",$C334="CSF")),"Case CDI Plate "&amp;(INT(((COUNTIFS($B$2:$B334,"s",$C$2:$C334,"SER")+COUNTIFS($B$2:$B334,"s",$C$2:$C334,"PLH")+COUNTIFS($B$2:$B334,"s",$C$2:$C334,"CSF"))-1)/96)+1)&amp;": "&amp;CHAR(65+INT(MOD((COUNTIFS($B$2:$B334,"s",$C$2:$C334,"SER")+COUNTIFS($B$2:$B334,"s",$C$2:$C334,"PLH")+COUNTIFS($B$2:$B334,"s",$C$2:$C334,"CSF"))-1,96)/12))&amp;(MOD((COUNTIFS($B$2:$B334,"s",$C$2:$C334,"SER")+COUNTIFS($B$2:$B334,"s",$C$2:$C334,"PLH")+COUNTIFS($B$2:$B334,"s",$C$2:$C334,"CSF"))-1,12)+1),"N/A"),"")</f>
        <v/>
      </c>
      <c r="I334" s="6" t="str">
        <f>IF(AND($A334&lt;&gt;"",$B334&lt;&gt;"",$C334&lt;&gt;"",$D334&lt;&gt;"",$E334&lt;&gt;""),IF(AND($B334="s",OR($C334="SER",$C334="PLH",$C334="CSF")),"Case NIH Plate "&amp;(INT(((COUNTIFS($B$2:$B334,"s",$C$2:$C334,"SER")+COUNTIFS($B$2:$B334,"s",$C$2:$C334,"PLH")+COUNTIFS($B$2:$B334,"s",$C$2:$C334,"CSF"))-1)/96)+1)&amp;": "&amp;CHAR(65+INT(MOD((COUNTIFS($B$2:$B334,"s",$C$2:$C334,"SER")+COUNTIFS($B$2:$B334,"s",$C$2:$C334,"PLH")+COUNTIFS($B$2:$B334,"s",$C$2:$C334,"CSF"))-1,96)/12))&amp;(MOD((COUNTIFS($B$2:$B334,"s",$C$2:$C334,"SER")+COUNTIFS($B$2:$B334,"s",$C$2:$C334,"PLH")+COUNTIFS($B$2:$B334,"s",$C$2:$C334,"CSF"))-1,12)+1),"N/A"),"")</f>
        <v/>
      </c>
      <c r="J334" s="6" t="str">
        <f>IF(AND($A334&lt;&gt;"",$B334&lt;&gt;"",$C334&lt;&gt;"",$D334&lt;&gt;"",$E334&lt;&gt;""),IF(AND($B334="s",OR($C334="SER",$C334="PLH")),"Case MAX Planck Plate "&amp;(INT(((COUNTIFS($B$2:$B334,"s",$C$2:$C334,"SER")+COUNTIFS($B$2:$B334,"s",$C$2:$C334,"PLH"))-1)/96)+1)&amp;": "&amp;CHAR(65+INT(MOD((COUNTIFS($B$2:$B334,"s",$C$2:$C334,"SER")+COUNTIFS($B$2:$B334,"s",$C$2:$C334,"PLH"))-1,96)/12))&amp;(MOD((COUNTIFS($B$2:$B334,"s",$C$2:$C334,"SER")+COUNTIFS($B$2:$B334,"s",$C$2:$C334,"PLH"))-1,12)+1),"N/A"),"")</f>
        <v/>
      </c>
      <c r="K334" s="6" t="str">
        <f>IF(AND($A334&lt;&gt;"",$B334&lt;&gt;"",$C334&lt;&gt;"",$D334&lt;&gt;"",$E334&lt;&gt;""),IF($C334="WB","Case WB Box "&amp;(INT((COUNTIFS($C$2:$C334,"WB")-1)/81)+1)&amp;": "&amp;CHAR(65+INT(MOD(COUNTIFS($C$2:$C334,"WB")-1,81)/9))&amp;(MOD(COUNTIFS($C$2:$C334,"WB")-1,9)+1),"N/A"),"")</f>
        <v/>
      </c>
      <c r="L334" s="2" t="str">
        <f t="shared" si="91"/>
        <v/>
      </c>
      <c r="M334" s="2"/>
      <c r="N334" s="2"/>
      <c r="O334" s="2"/>
      <c r="P334" s="7" t="str">
        <f t="shared" si="92"/>
        <v/>
      </c>
      <c r="Q334" s="7" t="str">
        <f t="shared" si="93"/>
        <v/>
      </c>
      <c r="R334" s="7" t="str">
        <f t="shared" si="94"/>
        <v/>
      </c>
      <c r="S334" s="7" t="str">
        <f t="shared" si="95"/>
        <v/>
      </c>
      <c r="T334" s="7" t="str">
        <f t="shared" si="96"/>
        <v/>
      </c>
      <c r="U334" s="7" t="str">
        <f t="shared" si="97"/>
        <v/>
      </c>
      <c r="V334" s="7" t="str">
        <f t="shared" si="98"/>
        <v/>
      </c>
      <c r="W334" s="7" t="str">
        <f t="shared" si="99"/>
        <v/>
      </c>
      <c r="X334" s="7" t="str">
        <f t="shared" si="100"/>
        <v/>
      </c>
      <c r="Y334" s="7" t="str">
        <f t="shared" si="101"/>
        <v/>
      </c>
      <c r="Z334">
        <f t="shared" si="102"/>
        <v>0</v>
      </c>
      <c r="AA334" t="str">
        <f t="shared" si="103"/>
        <v/>
      </c>
      <c r="AB334" t="str">
        <f t="shared" si="104"/>
        <v/>
      </c>
      <c r="AC334" t="str">
        <f t="shared" si="105"/>
        <v/>
      </c>
      <c r="AD334" t="str">
        <f t="shared" si="106"/>
        <v/>
      </c>
      <c r="AE334">
        <f t="shared" si="107"/>
        <v>0</v>
      </c>
    </row>
    <row r="335" spans="1:31" ht="15" customHeight="1" x14ac:dyDescent="0.35">
      <c r="A335" s="2"/>
      <c r="B335" s="3"/>
      <c r="C335" s="3"/>
      <c r="D335" s="4"/>
      <c r="E335" s="5"/>
      <c r="F335" s="11" t="str">
        <f t="shared" ca="1" si="90"/>
        <v/>
      </c>
      <c r="G335" s="5"/>
      <c r="H335" s="6" t="str">
        <f>IF(AND($A335&lt;&gt;"",$B335&lt;&gt;"",$C335&lt;&gt;"",$D335&lt;&gt;"",$E335&lt;&gt;""),IF(AND($B335="s",OR($C335="SER",$C335="PLH",$C335="CSF")),"Case CDI Plate "&amp;(INT(((COUNTIFS($B$2:$B335,"s",$C$2:$C335,"SER")+COUNTIFS($B$2:$B335,"s",$C$2:$C335,"PLH")+COUNTIFS($B$2:$B335,"s",$C$2:$C335,"CSF"))-1)/96)+1)&amp;": "&amp;CHAR(65+INT(MOD((COUNTIFS($B$2:$B335,"s",$C$2:$C335,"SER")+COUNTIFS($B$2:$B335,"s",$C$2:$C335,"PLH")+COUNTIFS($B$2:$B335,"s",$C$2:$C335,"CSF"))-1,96)/12))&amp;(MOD((COUNTIFS($B$2:$B335,"s",$C$2:$C335,"SER")+COUNTIFS($B$2:$B335,"s",$C$2:$C335,"PLH")+COUNTIFS($B$2:$B335,"s",$C$2:$C335,"CSF"))-1,12)+1),"N/A"),"")</f>
        <v/>
      </c>
      <c r="I335" s="6" t="str">
        <f>IF(AND($A335&lt;&gt;"",$B335&lt;&gt;"",$C335&lt;&gt;"",$D335&lt;&gt;"",$E335&lt;&gt;""),IF(AND($B335="s",OR($C335="SER",$C335="PLH",$C335="CSF")),"Case NIH Plate "&amp;(INT(((COUNTIFS($B$2:$B335,"s",$C$2:$C335,"SER")+COUNTIFS($B$2:$B335,"s",$C$2:$C335,"PLH")+COUNTIFS($B$2:$B335,"s",$C$2:$C335,"CSF"))-1)/96)+1)&amp;": "&amp;CHAR(65+INT(MOD((COUNTIFS($B$2:$B335,"s",$C$2:$C335,"SER")+COUNTIFS($B$2:$B335,"s",$C$2:$C335,"PLH")+COUNTIFS($B$2:$B335,"s",$C$2:$C335,"CSF"))-1,96)/12))&amp;(MOD((COUNTIFS($B$2:$B335,"s",$C$2:$C335,"SER")+COUNTIFS($B$2:$B335,"s",$C$2:$C335,"PLH")+COUNTIFS($B$2:$B335,"s",$C$2:$C335,"CSF"))-1,12)+1),"N/A"),"")</f>
        <v/>
      </c>
      <c r="J335" s="6" t="str">
        <f>IF(AND($A335&lt;&gt;"",$B335&lt;&gt;"",$C335&lt;&gt;"",$D335&lt;&gt;"",$E335&lt;&gt;""),IF(AND($B335="s",OR($C335="SER",$C335="PLH")),"Case MAX Planck Plate "&amp;(INT(((COUNTIFS($B$2:$B335,"s",$C$2:$C335,"SER")+COUNTIFS($B$2:$B335,"s",$C$2:$C335,"PLH"))-1)/96)+1)&amp;": "&amp;CHAR(65+INT(MOD((COUNTIFS($B$2:$B335,"s",$C$2:$C335,"SER")+COUNTIFS($B$2:$B335,"s",$C$2:$C335,"PLH"))-1,96)/12))&amp;(MOD((COUNTIFS($B$2:$B335,"s",$C$2:$C335,"SER")+COUNTIFS($B$2:$B335,"s",$C$2:$C335,"PLH"))-1,12)+1),"N/A"),"")</f>
        <v/>
      </c>
      <c r="K335" s="6" t="str">
        <f>IF(AND($A335&lt;&gt;"",$B335&lt;&gt;"",$C335&lt;&gt;"",$D335&lt;&gt;"",$E335&lt;&gt;""),IF($C335="WB","Case WB Box "&amp;(INT((COUNTIFS($C$2:$C335,"WB")-1)/81)+1)&amp;": "&amp;CHAR(65+INT(MOD(COUNTIFS($C$2:$C335,"WB")-1,81)/9))&amp;(MOD(COUNTIFS($C$2:$C335,"WB")-1,9)+1),"N/A"),"")</f>
        <v/>
      </c>
      <c r="L335" s="2" t="str">
        <f t="shared" si="91"/>
        <v/>
      </c>
      <c r="M335" s="2"/>
      <c r="N335" s="2"/>
      <c r="O335" s="2"/>
      <c r="P335" s="7" t="str">
        <f t="shared" si="92"/>
        <v/>
      </c>
      <c r="Q335" s="7" t="str">
        <f t="shared" si="93"/>
        <v/>
      </c>
      <c r="R335" s="7" t="str">
        <f t="shared" si="94"/>
        <v/>
      </c>
      <c r="S335" s="7" t="str">
        <f t="shared" si="95"/>
        <v/>
      </c>
      <c r="T335" s="7" t="str">
        <f t="shared" si="96"/>
        <v/>
      </c>
      <c r="U335" s="7" t="str">
        <f t="shared" si="97"/>
        <v/>
      </c>
      <c r="V335" s="7" t="str">
        <f t="shared" si="98"/>
        <v/>
      </c>
      <c r="W335" s="7" t="str">
        <f t="shared" si="99"/>
        <v/>
      </c>
      <c r="X335" s="7" t="str">
        <f t="shared" si="100"/>
        <v/>
      </c>
      <c r="Y335" s="7" t="str">
        <f t="shared" si="101"/>
        <v/>
      </c>
      <c r="Z335">
        <f t="shared" si="102"/>
        <v>0</v>
      </c>
      <c r="AA335" t="str">
        <f t="shared" si="103"/>
        <v/>
      </c>
      <c r="AB335" t="str">
        <f t="shared" si="104"/>
        <v/>
      </c>
      <c r="AC335" t="str">
        <f t="shared" si="105"/>
        <v/>
      </c>
      <c r="AD335" t="str">
        <f t="shared" si="106"/>
        <v/>
      </c>
      <c r="AE335">
        <f t="shared" si="107"/>
        <v>0</v>
      </c>
    </row>
    <row r="336" spans="1:31" ht="15" customHeight="1" x14ac:dyDescent="0.35">
      <c r="A336" s="2"/>
      <c r="B336" s="3"/>
      <c r="C336" s="3"/>
      <c r="D336" s="4"/>
      <c r="E336" s="5"/>
      <c r="F336" s="11" t="str">
        <f t="shared" ca="1" si="90"/>
        <v/>
      </c>
      <c r="G336" s="5"/>
      <c r="H336" s="6" t="str">
        <f>IF(AND($A336&lt;&gt;"",$B336&lt;&gt;"",$C336&lt;&gt;"",$D336&lt;&gt;"",$E336&lt;&gt;""),IF(AND($B336="s",OR($C336="SER",$C336="PLH",$C336="CSF")),"Case CDI Plate "&amp;(INT(((COUNTIFS($B$2:$B336,"s",$C$2:$C336,"SER")+COUNTIFS($B$2:$B336,"s",$C$2:$C336,"PLH")+COUNTIFS($B$2:$B336,"s",$C$2:$C336,"CSF"))-1)/96)+1)&amp;": "&amp;CHAR(65+INT(MOD((COUNTIFS($B$2:$B336,"s",$C$2:$C336,"SER")+COUNTIFS($B$2:$B336,"s",$C$2:$C336,"PLH")+COUNTIFS($B$2:$B336,"s",$C$2:$C336,"CSF"))-1,96)/12))&amp;(MOD((COUNTIFS($B$2:$B336,"s",$C$2:$C336,"SER")+COUNTIFS($B$2:$B336,"s",$C$2:$C336,"PLH")+COUNTIFS($B$2:$B336,"s",$C$2:$C336,"CSF"))-1,12)+1),"N/A"),"")</f>
        <v/>
      </c>
      <c r="I336" s="6" t="str">
        <f>IF(AND($A336&lt;&gt;"",$B336&lt;&gt;"",$C336&lt;&gt;"",$D336&lt;&gt;"",$E336&lt;&gt;""),IF(AND($B336="s",OR($C336="SER",$C336="PLH",$C336="CSF")),"Case NIH Plate "&amp;(INT(((COUNTIFS($B$2:$B336,"s",$C$2:$C336,"SER")+COUNTIFS($B$2:$B336,"s",$C$2:$C336,"PLH")+COUNTIFS($B$2:$B336,"s",$C$2:$C336,"CSF"))-1)/96)+1)&amp;": "&amp;CHAR(65+INT(MOD((COUNTIFS($B$2:$B336,"s",$C$2:$C336,"SER")+COUNTIFS($B$2:$B336,"s",$C$2:$C336,"PLH")+COUNTIFS($B$2:$B336,"s",$C$2:$C336,"CSF"))-1,96)/12))&amp;(MOD((COUNTIFS($B$2:$B336,"s",$C$2:$C336,"SER")+COUNTIFS($B$2:$B336,"s",$C$2:$C336,"PLH")+COUNTIFS($B$2:$B336,"s",$C$2:$C336,"CSF"))-1,12)+1),"N/A"),"")</f>
        <v/>
      </c>
      <c r="J336" s="6" t="str">
        <f>IF(AND($A336&lt;&gt;"",$B336&lt;&gt;"",$C336&lt;&gt;"",$D336&lt;&gt;"",$E336&lt;&gt;""),IF(AND($B336="s",OR($C336="SER",$C336="PLH")),"Case MAX Planck Plate "&amp;(INT(((COUNTIFS($B$2:$B336,"s",$C$2:$C336,"SER")+COUNTIFS($B$2:$B336,"s",$C$2:$C336,"PLH"))-1)/96)+1)&amp;": "&amp;CHAR(65+INT(MOD((COUNTIFS($B$2:$B336,"s",$C$2:$C336,"SER")+COUNTIFS($B$2:$B336,"s",$C$2:$C336,"PLH"))-1,96)/12))&amp;(MOD((COUNTIFS($B$2:$B336,"s",$C$2:$C336,"SER")+COUNTIFS($B$2:$B336,"s",$C$2:$C336,"PLH"))-1,12)+1),"N/A"),"")</f>
        <v/>
      </c>
      <c r="K336" s="6" t="str">
        <f>IF(AND($A336&lt;&gt;"",$B336&lt;&gt;"",$C336&lt;&gt;"",$D336&lt;&gt;"",$E336&lt;&gt;""),IF($C336="WB","Case WB Box "&amp;(INT((COUNTIFS($C$2:$C336,"WB")-1)/81)+1)&amp;": "&amp;CHAR(65+INT(MOD(COUNTIFS($C$2:$C336,"WB")-1,81)/9))&amp;(MOD(COUNTIFS($C$2:$C336,"WB")-1,9)+1),"N/A"),"")</f>
        <v/>
      </c>
      <c r="L336" s="2" t="str">
        <f t="shared" si="91"/>
        <v/>
      </c>
      <c r="M336" s="2"/>
      <c r="N336" s="2"/>
      <c r="O336" s="2"/>
      <c r="P336" s="7" t="str">
        <f t="shared" si="92"/>
        <v/>
      </c>
      <c r="Q336" s="7" t="str">
        <f t="shared" si="93"/>
        <v/>
      </c>
      <c r="R336" s="7" t="str">
        <f t="shared" si="94"/>
        <v/>
      </c>
      <c r="S336" s="7" t="str">
        <f t="shared" si="95"/>
        <v/>
      </c>
      <c r="T336" s="7" t="str">
        <f t="shared" si="96"/>
        <v/>
      </c>
      <c r="U336" s="7" t="str">
        <f t="shared" si="97"/>
        <v/>
      </c>
      <c r="V336" s="7" t="str">
        <f t="shared" si="98"/>
        <v/>
      </c>
      <c r="W336" s="7" t="str">
        <f t="shared" si="99"/>
        <v/>
      </c>
      <c r="X336" s="7" t="str">
        <f t="shared" si="100"/>
        <v/>
      </c>
      <c r="Y336" s="7" t="str">
        <f t="shared" si="101"/>
        <v/>
      </c>
      <c r="Z336">
        <f t="shared" si="102"/>
        <v>0</v>
      </c>
      <c r="AA336" t="str">
        <f t="shared" si="103"/>
        <v/>
      </c>
      <c r="AB336" t="str">
        <f t="shared" si="104"/>
        <v/>
      </c>
      <c r="AC336" t="str">
        <f t="shared" si="105"/>
        <v/>
      </c>
      <c r="AD336" t="str">
        <f t="shared" si="106"/>
        <v/>
      </c>
      <c r="AE336">
        <f t="shared" si="107"/>
        <v>0</v>
      </c>
    </row>
    <row r="337" spans="1:31" ht="15" customHeight="1" x14ac:dyDescent="0.35">
      <c r="A337" s="2"/>
      <c r="B337" s="3"/>
      <c r="C337" s="3"/>
      <c r="D337" s="4"/>
      <c r="E337" s="5"/>
      <c r="F337" s="11" t="str">
        <f t="shared" ca="1" si="90"/>
        <v/>
      </c>
      <c r="G337" s="5"/>
      <c r="H337" s="6" t="str">
        <f>IF(AND($A337&lt;&gt;"",$B337&lt;&gt;"",$C337&lt;&gt;"",$D337&lt;&gt;"",$E337&lt;&gt;""),IF(AND($B337="s",OR($C337="SER",$C337="PLH",$C337="CSF")),"Case CDI Plate "&amp;(INT(((COUNTIFS($B$2:$B337,"s",$C$2:$C337,"SER")+COUNTIFS($B$2:$B337,"s",$C$2:$C337,"PLH")+COUNTIFS($B$2:$B337,"s",$C$2:$C337,"CSF"))-1)/96)+1)&amp;": "&amp;CHAR(65+INT(MOD((COUNTIFS($B$2:$B337,"s",$C$2:$C337,"SER")+COUNTIFS($B$2:$B337,"s",$C$2:$C337,"PLH")+COUNTIFS($B$2:$B337,"s",$C$2:$C337,"CSF"))-1,96)/12))&amp;(MOD((COUNTIFS($B$2:$B337,"s",$C$2:$C337,"SER")+COUNTIFS($B$2:$B337,"s",$C$2:$C337,"PLH")+COUNTIFS($B$2:$B337,"s",$C$2:$C337,"CSF"))-1,12)+1),"N/A"),"")</f>
        <v/>
      </c>
      <c r="I337" s="6" t="str">
        <f>IF(AND($A337&lt;&gt;"",$B337&lt;&gt;"",$C337&lt;&gt;"",$D337&lt;&gt;"",$E337&lt;&gt;""),IF(AND($B337="s",OR($C337="SER",$C337="PLH",$C337="CSF")),"Case NIH Plate "&amp;(INT(((COUNTIFS($B$2:$B337,"s",$C$2:$C337,"SER")+COUNTIFS($B$2:$B337,"s",$C$2:$C337,"PLH")+COUNTIFS($B$2:$B337,"s",$C$2:$C337,"CSF"))-1)/96)+1)&amp;": "&amp;CHAR(65+INT(MOD((COUNTIFS($B$2:$B337,"s",$C$2:$C337,"SER")+COUNTIFS($B$2:$B337,"s",$C$2:$C337,"PLH")+COUNTIFS($B$2:$B337,"s",$C$2:$C337,"CSF"))-1,96)/12))&amp;(MOD((COUNTIFS($B$2:$B337,"s",$C$2:$C337,"SER")+COUNTIFS($B$2:$B337,"s",$C$2:$C337,"PLH")+COUNTIFS($B$2:$B337,"s",$C$2:$C337,"CSF"))-1,12)+1),"N/A"),"")</f>
        <v/>
      </c>
      <c r="J337" s="6" t="str">
        <f>IF(AND($A337&lt;&gt;"",$B337&lt;&gt;"",$C337&lt;&gt;"",$D337&lt;&gt;"",$E337&lt;&gt;""),IF(AND($B337="s",OR($C337="SER",$C337="PLH")),"Case MAX Planck Plate "&amp;(INT(((COUNTIFS($B$2:$B337,"s",$C$2:$C337,"SER")+COUNTIFS($B$2:$B337,"s",$C$2:$C337,"PLH"))-1)/96)+1)&amp;": "&amp;CHAR(65+INT(MOD((COUNTIFS($B$2:$B337,"s",$C$2:$C337,"SER")+COUNTIFS($B$2:$B337,"s",$C$2:$C337,"PLH"))-1,96)/12))&amp;(MOD((COUNTIFS($B$2:$B337,"s",$C$2:$C337,"SER")+COUNTIFS($B$2:$B337,"s",$C$2:$C337,"PLH"))-1,12)+1),"N/A"),"")</f>
        <v/>
      </c>
      <c r="K337" s="6" t="str">
        <f>IF(AND($A337&lt;&gt;"",$B337&lt;&gt;"",$C337&lt;&gt;"",$D337&lt;&gt;"",$E337&lt;&gt;""),IF($C337="WB","Case WB Box "&amp;(INT((COUNTIFS($C$2:$C337,"WB")-1)/81)+1)&amp;": "&amp;CHAR(65+INT(MOD(COUNTIFS($C$2:$C337,"WB")-1,81)/9))&amp;(MOD(COUNTIFS($C$2:$C337,"WB")-1,9)+1),"N/A"),"")</f>
        <v/>
      </c>
      <c r="L337" s="2" t="str">
        <f t="shared" si="91"/>
        <v/>
      </c>
      <c r="M337" s="2"/>
      <c r="N337" s="2"/>
      <c r="O337" s="2"/>
      <c r="P337" s="7" t="str">
        <f t="shared" si="92"/>
        <v/>
      </c>
      <c r="Q337" s="7" t="str">
        <f t="shared" si="93"/>
        <v/>
      </c>
      <c r="R337" s="7" t="str">
        <f t="shared" si="94"/>
        <v/>
      </c>
      <c r="S337" s="7" t="str">
        <f t="shared" si="95"/>
        <v/>
      </c>
      <c r="T337" s="7" t="str">
        <f t="shared" si="96"/>
        <v/>
      </c>
      <c r="U337" s="7" t="str">
        <f t="shared" si="97"/>
        <v/>
      </c>
      <c r="V337" s="7" t="str">
        <f t="shared" si="98"/>
        <v/>
      </c>
      <c r="W337" s="7" t="str">
        <f t="shared" si="99"/>
        <v/>
      </c>
      <c r="X337" s="7" t="str">
        <f t="shared" si="100"/>
        <v/>
      </c>
      <c r="Y337" s="7" t="str">
        <f t="shared" si="101"/>
        <v/>
      </c>
      <c r="Z337">
        <f t="shared" si="102"/>
        <v>0</v>
      </c>
      <c r="AA337" t="str">
        <f t="shared" si="103"/>
        <v/>
      </c>
      <c r="AB337" t="str">
        <f t="shared" si="104"/>
        <v/>
      </c>
      <c r="AC337" t="str">
        <f t="shared" si="105"/>
        <v/>
      </c>
      <c r="AD337" t="str">
        <f t="shared" si="106"/>
        <v/>
      </c>
      <c r="AE337">
        <f t="shared" si="107"/>
        <v>0</v>
      </c>
    </row>
    <row r="338" spans="1:31" ht="15" customHeight="1" x14ac:dyDescent="0.35">
      <c r="A338" s="2"/>
      <c r="B338" s="3"/>
      <c r="C338" s="3"/>
      <c r="D338" s="4"/>
      <c r="E338" s="5"/>
      <c r="F338" s="11" t="str">
        <f t="shared" ca="1" si="90"/>
        <v/>
      </c>
      <c r="G338" s="5"/>
      <c r="H338" s="6" t="str">
        <f>IF(AND($A338&lt;&gt;"",$B338&lt;&gt;"",$C338&lt;&gt;"",$D338&lt;&gt;"",$E338&lt;&gt;""),IF(AND($B338="s",OR($C338="SER",$C338="PLH",$C338="CSF")),"Case CDI Plate "&amp;(INT(((COUNTIFS($B$2:$B338,"s",$C$2:$C338,"SER")+COUNTIFS($B$2:$B338,"s",$C$2:$C338,"PLH")+COUNTIFS($B$2:$B338,"s",$C$2:$C338,"CSF"))-1)/96)+1)&amp;": "&amp;CHAR(65+INT(MOD((COUNTIFS($B$2:$B338,"s",$C$2:$C338,"SER")+COUNTIFS($B$2:$B338,"s",$C$2:$C338,"PLH")+COUNTIFS($B$2:$B338,"s",$C$2:$C338,"CSF"))-1,96)/12))&amp;(MOD((COUNTIFS($B$2:$B338,"s",$C$2:$C338,"SER")+COUNTIFS($B$2:$B338,"s",$C$2:$C338,"PLH")+COUNTIFS($B$2:$B338,"s",$C$2:$C338,"CSF"))-1,12)+1),"N/A"),"")</f>
        <v/>
      </c>
      <c r="I338" s="6" t="str">
        <f>IF(AND($A338&lt;&gt;"",$B338&lt;&gt;"",$C338&lt;&gt;"",$D338&lt;&gt;"",$E338&lt;&gt;""),IF(AND($B338="s",OR($C338="SER",$C338="PLH",$C338="CSF")),"Case NIH Plate "&amp;(INT(((COUNTIFS($B$2:$B338,"s",$C$2:$C338,"SER")+COUNTIFS($B$2:$B338,"s",$C$2:$C338,"PLH")+COUNTIFS($B$2:$B338,"s",$C$2:$C338,"CSF"))-1)/96)+1)&amp;": "&amp;CHAR(65+INT(MOD((COUNTIFS($B$2:$B338,"s",$C$2:$C338,"SER")+COUNTIFS($B$2:$B338,"s",$C$2:$C338,"PLH")+COUNTIFS($B$2:$B338,"s",$C$2:$C338,"CSF"))-1,96)/12))&amp;(MOD((COUNTIFS($B$2:$B338,"s",$C$2:$C338,"SER")+COUNTIFS($B$2:$B338,"s",$C$2:$C338,"PLH")+COUNTIFS($B$2:$B338,"s",$C$2:$C338,"CSF"))-1,12)+1),"N/A"),"")</f>
        <v/>
      </c>
      <c r="J338" s="6" t="str">
        <f>IF(AND($A338&lt;&gt;"",$B338&lt;&gt;"",$C338&lt;&gt;"",$D338&lt;&gt;"",$E338&lt;&gt;""),IF(AND($B338="s",OR($C338="SER",$C338="PLH")),"Case MAX Planck Plate "&amp;(INT(((COUNTIFS($B$2:$B338,"s",$C$2:$C338,"SER")+COUNTIFS($B$2:$B338,"s",$C$2:$C338,"PLH"))-1)/96)+1)&amp;": "&amp;CHAR(65+INT(MOD((COUNTIFS($B$2:$B338,"s",$C$2:$C338,"SER")+COUNTIFS($B$2:$B338,"s",$C$2:$C338,"PLH"))-1,96)/12))&amp;(MOD((COUNTIFS($B$2:$B338,"s",$C$2:$C338,"SER")+COUNTIFS($B$2:$B338,"s",$C$2:$C338,"PLH"))-1,12)+1),"N/A"),"")</f>
        <v/>
      </c>
      <c r="K338" s="6" t="str">
        <f>IF(AND($A338&lt;&gt;"",$B338&lt;&gt;"",$C338&lt;&gt;"",$D338&lt;&gt;"",$E338&lt;&gt;""),IF($C338="WB","Case WB Box "&amp;(INT((COUNTIFS($C$2:$C338,"WB")-1)/81)+1)&amp;": "&amp;CHAR(65+INT(MOD(COUNTIFS($C$2:$C338,"WB")-1,81)/9))&amp;(MOD(COUNTIFS($C$2:$C338,"WB")-1,9)+1),"N/A"),"")</f>
        <v/>
      </c>
      <c r="L338" s="2" t="str">
        <f t="shared" si="91"/>
        <v/>
      </c>
      <c r="M338" s="2"/>
      <c r="N338" s="2"/>
      <c r="O338" s="2"/>
      <c r="P338" s="7" t="str">
        <f t="shared" si="92"/>
        <v/>
      </c>
      <c r="Q338" s="7" t="str">
        <f t="shared" si="93"/>
        <v/>
      </c>
      <c r="R338" s="7" t="str">
        <f t="shared" si="94"/>
        <v/>
      </c>
      <c r="S338" s="7" t="str">
        <f t="shared" si="95"/>
        <v/>
      </c>
      <c r="T338" s="7" t="str">
        <f t="shared" si="96"/>
        <v/>
      </c>
      <c r="U338" s="7" t="str">
        <f t="shared" si="97"/>
        <v/>
      </c>
      <c r="V338" s="7" t="str">
        <f t="shared" si="98"/>
        <v/>
      </c>
      <c r="W338" s="7" t="str">
        <f t="shared" si="99"/>
        <v/>
      </c>
      <c r="X338" s="7" t="str">
        <f t="shared" si="100"/>
        <v/>
      </c>
      <c r="Y338" s="7" t="str">
        <f t="shared" si="101"/>
        <v/>
      </c>
      <c r="Z338">
        <f t="shared" si="102"/>
        <v>0</v>
      </c>
      <c r="AA338" t="str">
        <f t="shared" si="103"/>
        <v/>
      </c>
      <c r="AB338" t="str">
        <f t="shared" si="104"/>
        <v/>
      </c>
      <c r="AC338" t="str">
        <f t="shared" si="105"/>
        <v/>
      </c>
      <c r="AD338" t="str">
        <f t="shared" si="106"/>
        <v/>
      </c>
      <c r="AE338">
        <f t="shared" si="107"/>
        <v>0</v>
      </c>
    </row>
    <row r="339" spans="1:31" ht="15" customHeight="1" x14ac:dyDescent="0.35">
      <c r="A339" s="2"/>
      <c r="B339" s="3"/>
      <c r="C339" s="3"/>
      <c r="D339" s="4"/>
      <c r="E339" s="5"/>
      <c r="F339" s="11" t="str">
        <f t="shared" ca="1" si="90"/>
        <v/>
      </c>
      <c r="G339" s="5"/>
      <c r="H339" s="6" t="str">
        <f>IF(AND($A339&lt;&gt;"",$B339&lt;&gt;"",$C339&lt;&gt;"",$D339&lt;&gt;"",$E339&lt;&gt;""),IF(AND($B339="s",OR($C339="SER",$C339="PLH",$C339="CSF")),"Case CDI Plate "&amp;(INT(((COUNTIFS($B$2:$B339,"s",$C$2:$C339,"SER")+COUNTIFS($B$2:$B339,"s",$C$2:$C339,"PLH")+COUNTIFS($B$2:$B339,"s",$C$2:$C339,"CSF"))-1)/96)+1)&amp;": "&amp;CHAR(65+INT(MOD((COUNTIFS($B$2:$B339,"s",$C$2:$C339,"SER")+COUNTIFS($B$2:$B339,"s",$C$2:$C339,"PLH")+COUNTIFS($B$2:$B339,"s",$C$2:$C339,"CSF"))-1,96)/12))&amp;(MOD((COUNTIFS($B$2:$B339,"s",$C$2:$C339,"SER")+COUNTIFS($B$2:$B339,"s",$C$2:$C339,"PLH")+COUNTIFS($B$2:$B339,"s",$C$2:$C339,"CSF"))-1,12)+1),"N/A"),"")</f>
        <v/>
      </c>
      <c r="I339" s="6" t="str">
        <f>IF(AND($A339&lt;&gt;"",$B339&lt;&gt;"",$C339&lt;&gt;"",$D339&lt;&gt;"",$E339&lt;&gt;""),IF(AND($B339="s",OR($C339="SER",$C339="PLH",$C339="CSF")),"Case NIH Plate "&amp;(INT(((COUNTIFS($B$2:$B339,"s",$C$2:$C339,"SER")+COUNTIFS($B$2:$B339,"s",$C$2:$C339,"PLH")+COUNTIFS($B$2:$B339,"s",$C$2:$C339,"CSF"))-1)/96)+1)&amp;": "&amp;CHAR(65+INT(MOD((COUNTIFS($B$2:$B339,"s",$C$2:$C339,"SER")+COUNTIFS($B$2:$B339,"s",$C$2:$C339,"PLH")+COUNTIFS($B$2:$B339,"s",$C$2:$C339,"CSF"))-1,96)/12))&amp;(MOD((COUNTIFS($B$2:$B339,"s",$C$2:$C339,"SER")+COUNTIFS($B$2:$B339,"s",$C$2:$C339,"PLH")+COUNTIFS($B$2:$B339,"s",$C$2:$C339,"CSF"))-1,12)+1),"N/A"),"")</f>
        <v/>
      </c>
      <c r="J339" s="6" t="str">
        <f>IF(AND($A339&lt;&gt;"",$B339&lt;&gt;"",$C339&lt;&gt;"",$D339&lt;&gt;"",$E339&lt;&gt;""),IF(AND($B339="s",OR($C339="SER",$C339="PLH")),"Case MAX Planck Plate "&amp;(INT(((COUNTIFS($B$2:$B339,"s",$C$2:$C339,"SER")+COUNTIFS($B$2:$B339,"s",$C$2:$C339,"PLH"))-1)/96)+1)&amp;": "&amp;CHAR(65+INT(MOD((COUNTIFS($B$2:$B339,"s",$C$2:$C339,"SER")+COUNTIFS($B$2:$B339,"s",$C$2:$C339,"PLH"))-1,96)/12))&amp;(MOD((COUNTIFS($B$2:$B339,"s",$C$2:$C339,"SER")+COUNTIFS($B$2:$B339,"s",$C$2:$C339,"PLH"))-1,12)+1),"N/A"),"")</f>
        <v/>
      </c>
      <c r="K339" s="6" t="str">
        <f>IF(AND($A339&lt;&gt;"",$B339&lt;&gt;"",$C339&lt;&gt;"",$D339&lt;&gt;"",$E339&lt;&gt;""),IF($C339="WB","Case WB Box "&amp;(INT((COUNTIFS($C$2:$C339,"WB")-1)/81)+1)&amp;": "&amp;CHAR(65+INT(MOD(COUNTIFS($C$2:$C339,"WB")-1,81)/9))&amp;(MOD(COUNTIFS($C$2:$C339,"WB")-1,9)+1),"N/A"),"")</f>
        <v/>
      </c>
      <c r="L339" s="2" t="str">
        <f t="shared" si="91"/>
        <v/>
      </c>
      <c r="M339" s="2"/>
      <c r="N339" s="2"/>
      <c r="O339" s="2"/>
      <c r="P339" s="7" t="str">
        <f t="shared" si="92"/>
        <v/>
      </c>
      <c r="Q339" s="7" t="str">
        <f t="shared" si="93"/>
        <v/>
      </c>
      <c r="R339" s="7" t="str">
        <f t="shared" si="94"/>
        <v/>
      </c>
      <c r="S339" s="7" t="str">
        <f t="shared" si="95"/>
        <v/>
      </c>
      <c r="T339" s="7" t="str">
        <f t="shared" si="96"/>
        <v/>
      </c>
      <c r="U339" s="7" t="str">
        <f t="shared" si="97"/>
        <v/>
      </c>
      <c r="V339" s="7" t="str">
        <f t="shared" si="98"/>
        <v/>
      </c>
      <c r="W339" s="7" t="str">
        <f t="shared" si="99"/>
        <v/>
      </c>
      <c r="X339" s="7" t="str">
        <f t="shared" si="100"/>
        <v/>
      </c>
      <c r="Y339" s="7" t="str">
        <f t="shared" si="101"/>
        <v/>
      </c>
      <c r="Z339">
        <f t="shared" si="102"/>
        <v>0</v>
      </c>
      <c r="AA339" t="str">
        <f t="shared" si="103"/>
        <v/>
      </c>
      <c r="AB339" t="str">
        <f t="shared" si="104"/>
        <v/>
      </c>
      <c r="AC339" t="str">
        <f t="shared" si="105"/>
        <v/>
      </c>
      <c r="AD339" t="str">
        <f t="shared" si="106"/>
        <v/>
      </c>
      <c r="AE339">
        <f t="shared" si="107"/>
        <v>0</v>
      </c>
    </row>
    <row r="340" spans="1:31" ht="15" customHeight="1" x14ac:dyDescent="0.35">
      <c r="A340" s="2"/>
      <c r="B340" s="3"/>
      <c r="C340" s="3"/>
      <c r="D340" s="4"/>
      <c r="E340" s="5"/>
      <c r="F340" s="11" t="str">
        <f t="shared" ca="1" si="90"/>
        <v/>
      </c>
      <c r="G340" s="5"/>
      <c r="H340" s="6" t="str">
        <f>IF(AND($A340&lt;&gt;"",$B340&lt;&gt;"",$C340&lt;&gt;"",$D340&lt;&gt;"",$E340&lt;&gt;""),IF(AND($B340="s",OR($C340="SER",$C340="PLH",$C340="CSF")),"Case CDI Plate "&amp;(INT(((COUNTIFS($B$2:$B340,"s",$C$2:$C340,"SER")+COUNTIFS($B$2:$B340,"s",$C$2:$C340,"PLH")+COUNTIFS($B$2:$B340,"s",$C$2:$C340,"CSF"))-1)/96)+1)&amp;": "&amp;CHAR(65+INT(MOD((COUNTIFS($B$2:$B340,"s",$C$2:$C340,"SER")+COUNTIFS($B$2:$B340,"s",$C$2:$C340,"PLH")+COUNTIFS($B$2:$B340,"s",$C$2:$C340,"CSF"))-1,96)/12))&amp;(MOD((COUNTIFS($B$2:$B340,"s",$C$2:$C340,"SER")+COUNTIFS($B$2:$B340,"s",$C$2:$C340,"PLH")+COUNTIFS($B$2:$B340,"s",$C$2:$C340,"CSF"))-1,12)+1),"N/A"),"")</f>
        <v/>
      </c>
      <c r="I340" s="6" t="str">
        <f>IF(AND($A340&lt;&gt;"",$B340&lt;&gt;"",$C340&lt;&gt;"",$D340&lt;&gt;"",$E340&lt;&gt;""),IF(AND($B340="s",OR($C340="SER",$C340="PLH",$C340="CSF")),"Case NIH Plate "&amp;(INT(((COUNTIFS($B$2:$B340,"s",$C$2:$C340,"SER")+COUNTIFS($B$2:$B340,"s",$C$2:$C340,"PLH")+COUNTIFS($B$2:$B340,"s",$C$2:$C340,"CSF"))-1)/96)+1)&amp;": "&amp;CHAR(65+INT(MOD((COUNTIFS($B$2:$B340,"s",$C$2:$C340,"SER")+COUNTIFS($B$2:$B340,"s",$C$2:$C340,"PLH")+COUNTIFS($B$2:$B340,"s",$C$2:$C340,"CSF"))-1,96)/12))&amp;(MOD((COUNTIFS($B$2:$B340,"s",$C$2:$C340,"SER")+COUNTIFS($B$2:$B340,"s",$C$2:$C340,"PLH")+COUNTIFS($B$2:$B340,"s",$C$2:$C340,"CSF"))-1,12)+1),"N/A"),"")</f>
        <v/>
      </c>
      <c r="J340" s="6" t="str">
        <f>IF(AND($A340&lt;&gt;"",$B340&lt;&gt;"",$C340&lt;&gt;"",$D340&lt;&gt;"",$E340&lt;&gt;""),IF(AND($B340="s",OR($C340="SER",$C340="PLH")),"Case MAX Planck Plate "&amp;(INT(((COUNTIFS($B$2:$B340,"s",$C$2:$C340,"SER")+COUNTIFS($B$2:$B340,"s",$C$2:$C340,"PLH"))-1)/96)+1)&amp;": "&amp;CHAR(65+INT(MOD((COUNTIFS($B$2:$B340,"s",$C$2:$C340,"SER")+COUNTIFS($B$2:$B340,"s",$C$2:$C340,"PLH"))-1,96)/12))&amp;(MOD((COUNTIFS($B$2:$B340,"s",$C$2:$C340,"SER")+COUNTIFS($B$2:$B340,"s",$C$2:$C340,"PLH"))-1,12)+1),"N/A"),"")</f>
        <v/>
      </c>
      <c r="K340" s="6" t="str">
        <f>IF(AND($A340&lt;&gt;"",$B340&lt;&gt;"",$C340&lt;&gt;"",$D340&lt;&gt;"",$E340&lt;&gt;""),IF($C340="WB","Case WB Box "&amp;(INT((COUNTIFS($C$2:$C340,"WB")-1)/81)+1)&amp;": "&amp;CHAR(65+INT(MOD(COUNTIFS($C$2:$C340,"WB")-1,81)/9))&amp;(MOD(COUNTIFS($C$2:$C340,"WB")-1,9)+1),"N/A"),"")</f>
        <v/>
      </c>
      <c r="L340" s="2" t="str">
        <f t="shared" si="91"/>
        <v/>
      </c>
      <c r="M340" s="2"/>
      <c r="N340" s="2"/>
      <c r="O340" s="2"/>
      <c r="P340" s="7" t="str">
        <f t="shared" si="92"/>
        <v/>
      </c>
      <c r="Q340" s="7" t="str">
        <f t="shared" si="93"/>
        <v/>
      </c>
      <c r="R340" s="7" t="str">
        <f t="shared" si="94"/>
        <v/>
      </c>
      <c r="S340" s="7" t="str">
        <f t="shared" si="95"/>
        <v/>
      </c>
      <c r="T340" s="7" t="str">
        <f t="shared" si="96"/>
        <v/>
      </c>
      <c r="U340" s="7" t="str">
        <f t="shared" si="97"/>
        <v/>
      </c>
      <c r="V340" s="7" t="str">
        <f t="shared" si="98"/>
        <v/>
      </c>
      <c r="W340" s="7" t="str">
        <f t="shared" si="99"/>
        <v/>
      </c>
      <c r="X340" s="7" t="str">
        <f t="shared" si="100"/>
        <v/>
      </c>
      <c r="Y340" s="7" t="str">
        <f t="shared" si="101"/>
        <v/>
      </c>
      <c r="Z340">
        <f t="shared" si="102"/>
        <v>0</v>
      </c>
      <c r="AA340" t="str">
        <f t="shared" si="103"/>
        <v/>
      </c>
      <c r="AB340" t="str">
        <f t="shared" si="104"/>
        <v/>
      </c>
      <c r="AC340" t="str">
        <f t="shared" si="105"/>
        <v/>
      </c>
      <c r="AD340" t="str">
        <f t="shared" si="106"/>
        <v/>
      </c>
      <c r="AE340">
        <f t="shared" si="107"/>
        <v>0</v>
      </c>
    </row>
    <row r="341" spans="1:31" ht="15" customHeight="1" x14ac:dyDescent="0.35">
      <c r="A341" s="2"/>
      <c r="B341" s="3"/>
      <c r="C341" s="3"/>
      <c r="D341" s="4"/>
      <c r="E341" s="5"/>
      <c r="F341" s="11" t="str">
        <f t="shared" ca="1" si="90"/>
        <v/>
      </c>
      <c r="G341" s="5"/>
      <c r="H341" s="6" t="str">
        <f>IF(AND($A341&lt;&gt;"",$B341&lt;&gt;"",$C341&lt;&gt;"",$D341&lt;&gt;"",$E341&lt;&gt;""),IF(AND($B341="s",OR($C341="SER",$C341="PLH",$C341="CSF")),"Case CDI Plate "&amp;(INT(((COUNTIFS($B$2:$B341,"s",$C$2:$C341,"SER")+COUNTIFS($B$2:$B341,"s",$C$2:$C341,"PLH")+COUNTIFS($B$2:$B341,"s",$C$2:$C341,"CSF"))-1)/96)+1)&amp;": "&amp;CHAR(65+INT(MOD((COUNTIFS($B$2:$B341,"s",$C$2:$C341,"SER")+COUNTIFS($B$2:$B341,"s",$C$2:$C341,"PLH")+COUNTIFS($B$2:$B341,"s",$C$2:$C341,"CSF"))-1,96)/12))&amp;(MOD((COUNTIFS($B$2:$B341,"s",$C$2:$C341,"SER")+COUNTIFS($B$2:$B341,"s",$C$2:$C341,"PLH")+COUNTIFS($B$2:$B341,"s",$C$2:$C341,"CSF"))-1,12)+1),"N/A"),"")</f>
        <v/>
      </c>
      <c r="I341" s="6" t="str">
        <f>IF(AND($A341&lt;&gt;"",$B341&lt;&gt;"",$C341&lt;&gt;"",$D341&lt;&gt;"",$E341&lt;&gt;""),IF(AND($B341="s",OR($C341="SER",$C341="PLH",$C341="CSF")),"Case NIH Plate "&amp;(INT(((COUNTIFS($B$2:$B341,"s",$C$2:$C341,"SER")+COUNTIFS($B$2:$B341,"s",$C$2:$C341,"PLH")+COUNTIFS($B$2:$B341,"s",$C$2:$C341,"CSF"))-1)/96)+1)&amp;": "&amp;CHAR(65+INT(MOD((COUNTIFS($B$2:$B341,"s",$C$2:$C341,"SER")+COUNTIFS($B$2:$B341,"s",$C$2:$C341,"PLH")+COUNTIFS($B$2:$B341,"s",$C$2:$C341,"CSF"))-1,96)/12))&amp;(MOD((COUNTIFS($B$2:$B341,"s",$C$2:$C341,"SER")+COUNTIFS($B$2:$B341,"s",$C$2:$C341,"PLH")+COUNTIFS($B$2:$B341,"s",$C$2:$C341,"CSF"))-1,12)+1),"N/A"),"")</f>
        <v/>
      </c>
      <c r="J341" s="6" t="str">
        <f>IF(AND($A341&lt;&gt;"",$B341&lt;&gt;"",$C341&lt;&gt;"",$D341&lt;&gt;"",$E341&lt;&gt;""),IF(AND($B341="s",OR($C341="SER",$C341="PLH")),"Case MAX Planck Plate "&amp;(INT(((COUNTIFS($B$2:$B341,"s",$C$2:$C341,"SER")+COUNTIFS($B$2:$B341,"s",$C$2:$C341,"PLH"))-1)/96)+1)&amp;": "&amp;CHAR(65+INT(MOD((COUNTIFS($B$2:$B341,"s",$C$2:$C341,"SER")+COUNTIFS($B$2:$B341,"s",$C$2:$C341,"PLH"))-1,96)/12))&amp;(MOD((COUNTIFS($B$2:$B341,"s",$C$2:$C341,"SER")+COUNTIFS($B$2:$B341,"s",$C$2:$C341,"PLH"))-1,12)+1),"N/A"),"")</f>
        <v/>
      </c>
      <c r="K341" s="6" t="str">
        <f>IF(AND($A341&lt;&gt;"",$B341&lt;&gt;"",$C341&lt;&gt;"",$D341&lt;&gt;"",$E341&lt;&gt;""),IF($C341="WB","Case WB Box "&amp;(INT((COUNTIFS($C$2:$C341,"WB")-1)/81)+1)&amp;": "&amp;CHAR(65+INT(MOD(COUNTIFS($C$2:$C341,"WB")-1,81)/9))&amp;(MOD(COUNTIFS($C$2:$C341,"WB")-1,9)+1),"N/A"),"")</f>
        <v/>
      </c>
      <c r="L341" s="2" t="str">
        <f t="shared" si="91"/>
        <v/>
      </c>
      <c r="M341" s="2"/>
      <c r="N341" s="2"/>
      <c r="O341" s="2"/>
      <c r="P341" s="7" t="str">
        <f t="shared" si="92"/>
        <v/>
      </c>
      <c r="Q341" s="7" t="str">
        <f t="shared" si="93"/>
        <v/>
      </c>
      <c r="R341" s="7" t="str">
        <f t="shared" si="94"/>
        <v/>
      </c>
      <c r="S341" s="7" t="str">
        <f t="shared" si="95"/>
        <v/>
      </c>
      <c r="T341" s="7" t="str">
        <f t="shared" si="96"/>
        <v/>
      </c>
      <c r="U341" s="7" t="str">
        <f t="shared" si="97"/>
        <v/>
      </c>
      <c r="V341" s="7" t="str">
        <f t="shared" si="98"/>
        <v/>
      </c>
      <c r="W341" s="7" t="str">
        <f t="shared" si="99"/>
        <v/>
      </c>
      <c r="X341" s="7" t="str">
        <f t="shared" si="100"/>
        <v/>
      </c>
      <c r="Y341" s="7" t="str">
        <f t="shared" si="101"/>
        <v/>
      </c>
      <c r="Z341">
        <f t="shared" si="102"/>
        <v>0</v>
      </c>
      <c r="AA341" t="str">
        <f t="shared" si="103"/>
        <v/>
      </c>
      <c r="AB341" t="str">
        <f t="shared" si="104"/>
        <v/>
      </c>
      <c r="AC341" t="str">
        <f t="shared" si="105"/>
        <v/>
      </c>
      <c r="AD341" t="str">
        <f t="shared" si="106"/>
        <v/>
      </c>
      <c r="AE341">
        <f t="shared" si="107"/>
        <v>0</v>
      </c>
    </row>
    <row r="342" spans="1:31" ht="15" customHeight="1" x14ac:dyDescent="0.35">
      <c r="A342" s="2"/>
      <c r="B342" s="3"/>
      <c r="C342" s="3"/>
      <c r="D342" s="4"/>
      <c r="E342" s="5"/>
      <c r="F342" s="11" t="str">
        <f t="shared" ca="1" si="90"/>
        <v/>
      </c>
      <c r="G342" s="5"/>
      <c r="H342" s="6" t="str">
        <f>IF(AND($A342&lt;&gt;"",$B342&lt;&gt;"",$C342&lt;&gt;"",$D342&lt;&gt;"",$E342&lt;&gt;""),IF(AND($B342="s",OR($C342="SER",$C342="PLH",$C342="CSF")),"Case CDI Plate "&amp;(INT(((COUNTIFS($B$2:$B342,"s",$C$2:$C342,"SER")+COUNTIFS($B$2:$B342,"s",$C$2:$C342,"PLH")+COUNTIFS($B$2:$B342,"s",$C$2:$C342,"CSF"))-1)/96)+1)&amp;": "&amp;CHAR(65+INT(MOD((COUNTIFS($B$2:$B342,"s",$C$2:$C342,"SER")+COUNTIFS($B$2:$B342,"s",$C$2:$C342,"PLH")+COUNTIFS($B$2:$B342,"s",$C$2:$C342,"CSF"))-1,96)/12))&amp;(MOD((COUNTIFS($B$2:$B342,"s",$C$2:$C342,"SER")+COUNTIFS($B$2:$B342,"s",$C$2:$C342,"PLH")+COUNTIFS($B$2:$B342,"s",$C$2:$C342,"CSF"))-1,12)+1),"N/A"),"")</f>
        <v/>
      </c>
      <c r="I342" s="6" t="str">
        <f>IF(AND($A342&lt;&gt;"",$B342&lt;&gt;"",$C342&lt;&gt;"",$D342&lt;&gt;"",$E342&lt;&gt;""),IF(AND($B342="s",OR($C342="SER",$C342="PLH",$C342="CSF")),"Case NIH Plate "&amp;(INT(((COUNTIFS($B$2:$B342,"s",$C$2:$C342,"SER")+COUNTIFS($B$2:$B342,"s",$C$2:$C342,"PLH")+COUNTIFS($B$2:$B342,"s",$C$2:$C342,"CSF"))-1)/96)+1)&amp;": "&amp;CHAR(65+INT(MOD((COUNTIFS($B$2:$B342,"s",$C$2:$C342,"SER")+COUNTIFS($B$2:$B342,"s",$C$2:$C342,"PLH")+COUNTIFS($B$2:$B342,"s",$C$2:$C342,"CSF"))-1,96)/12))&amp;(MOD((COUNTIFS($B$2:$B342,"s",$C$2:$C342,"SER")+COUNTIFS($B$2:$B342,"s",$C$2:$C342,"PLH")+COUNTIFS($B$2:$B342,"s",$C$2:$C342,"CSF"))-1,12)+1),"N/A"),"")</f>
        <v/>
      </c>
      <c r="J342" s="6" t="str">
        <f>IF(AND($A342&lt;&gt;"",$B342&lt;&gt;"",$C342&lt;&gt;"",$D342&lt;&gt;"",$E342&lt;&gt;""),IF(AND($B342="s",OR($C342="SER",$C342="PLH")),"Case MAX Planck Plate "&amp;(INT(((COUNTIFS($B$2:$B342,"s",$C$2:$C342,"SER")+COUNTIFS($B$2:$B342,"s",$C$2:$C342,"PLH"))-1)/96)+1)&amp;": "&amp;CHAR(65+INT(MOD((COUNTIFS($B$2:$B342,"s",$C$2:$C342,"SER")+COUNTIFS($B$2:$B342,"s",$C$2:$C342,"PLH"))-1,96)/12))&amp;(MOD((COUNTIFS($B$2:$B342,"s",$C$2:$C342,"SER")+COUNTIFS($B$2:$B342,"s",$C$2:$C342,"PLH"))-1,12)+1),"N/A"),"")</f>
        <v/>
      </c>
      <c r="K342" s="6" t="str">
        <f>IF(AND($A342&lt;&gt;"",$B342&lt;&gt;"",$C342&lt;&gt;"",$D342&lt;&gt;"",$E342&lt;&gt;""),IF($C342="WB","Case WB Box "&amp;(INT((COUNTIFS($C$2:$C342,"WB")-1)/81)+1)&amp;": "&amp;CHAR(65+INT(MOD(COUNTIFS($C$2:$C342,"WB")-1,81)/9))&amp;(MOD(COUNTIFS($C$2:$C342,"WB")-1,9)+1),"N/A"),"")</f>
        <v/>
      </c>
      <c r="L342" s="2" t="str">
        <f t="shared" si="91"/>
        <v/>
      </c>
      <c r="M342" s="2"/>
      <c r="N342" s="2"/>
      <c r="O342" s="2"/>
      <c r="P342" s="7" t="str">
        <f t="shared" si="92"/>
        <v/>
      </c>
      <c r="Q342" s="7" t="str">
        <f t="shared" si="93"/>
        <v/>
      </c>
      <c r="R342" s="7" t="str">
        <f t="shared" si="94"/>
        <v/>
      </c>
      <c r="S342" s="7" t="str">
        <f t="shared" si="95"/>
        <v/>
      </c>
      <c r="T342" s="7" t="str">
        <f t="shared" si="96"/>
        <v/>
      </c>
      <c r="U342" s="7" t="str">
        <f t="shared" si="97"/>
        <v/>
      </c>
      <c r="V342" s="7" t="str">
        <f t="shared" si="98"/>
        <v/>
      </c>
      <c r="W342" s="7" t="str">
        <f t="shared" si="99"/>
        <v/>
      </c>
      <c r="X342" s="7" t="str">
        <f t="shared" si="100"/>
        <v/>
      </c>
      <c r="Y342" s="7" t="str">
        <f t="shared" si="101"/>
        <v/>
      </c>
      <c r="Z342">
        <f t="shared" si="102"/>
        <v>0</v>
      </c>
      <c r="AA342" t="str">
        <f t="shared" si="103"/>
        <v/>
      </c>
      <c r="AB342" t="str">
        <f t="shared" si="104"/>
        <v/>
      </c>
      <c r="AC342" t="str">
        <f t="shared" si="105"/>
        <v/>
      </c>
      <c r="AD342" t="str">
        <f t="shared" si="106"/>
        <v/>
      </c>
      <c r="AE342">
        <f t="shared" si="107"/>
        <v>0</v>
      </c>
    </row>
    <row r="343" spans="1:31" ht="15" customHeight="1" x14ac:dyDescent="0.35">
      <c r="A343" s="2"/>
      <c r="B343" s="3"/>
      <c r="C343" s="3"/>
      <c r="D343" s="4"/>
      <c r="E343" s="5"/>
      <c r="F343" s="11" t="str">
        <f t="shared" ca="1" si="90"/>
        <v/>
      </c>
      <c r="G343" s="5"/>
      <c r="H343" s="6" t="str">
        <f>IF(AND($A343&lt;&gt;"",$B343&lt;&gt;"",$C343&lt;&gt;"",$D343&lt;&gt;"",$E343&lt;&gt;""),IF(AND($B343="s",OR($C343="SER",$C343="PLH",$C343="CSF")),"Case CDI Plate "&amp;(INT(((COUNTIFS($B$2:$B343,"s",$C$2:$C343,"SER")+COUNTIFS($B$2:$B343,"s",$C$2:$C343,"PLH")+COUNTIFS($B$2:$B343,"s",$C$2:$C343,"CSF"))-1)/96)+1)&amp;": "&amp;CHAR(65+INT(MOD((COUNTIFS($B$2:$B343,"s",$C$2:$C343,"SER")+COUNTIFS($B$2:$B343,"s",$C$2:$C343,"PLH")+COUNTIFS($B$2:$B343,"s",$C$2:$C343,"CSF"))-1,96)/12))&amp;(MOD((COUNTIFS($B$2:$B343,"s",$C$2:$C343,"SER")+COUNTIFS($B$2:$B343,"s",$C$2:$C343,"PLH")+COUNTIFS($B$2:$B343,"s",$C$2:$C343,"CSF"))-1,12)+1),"N/A"),"")</f>
        <v/>
      </c>
      <c r="I343" s="6" t="str">
        <f>IF(AND($A343&lt;&gt;"",$B343&lt;&gt;"",$C343&lt;&gt;"",$D343&lt;&gt;"",$E343&lt;&gt;""),IF(AND($B343="s",OR($C343="SER",$C343="PLH",$C343="CSF")),"Case NIH Plate "&amp;(INT(((COUNTIFS($B$2:$B343,"s",$C$2:$C343,"SER")+COUNTIFS($B$2:$B343,"s",$C$2:$C343,"PLH")+COUNTIFS($B$2:$B343,"s",$C$2:$C343,"CSF"))-1)/96)+1)&amp;": "&amp;CHAR(65+INT(MOD((COUNTIFS($B$2:$B343,"s",$C$2:$C343,"SER")+COUNTIFS($B$2:$B343,"s",$C$2:$C343,"PLH")+COUNTIFS($B$2:$B343,"s",$C$2:$C343,"CSF"))-1,96)/12))&amp;(MOD((COUNTIFS($B$2:$B343,"s",$C$2:$C343,"SER")+COUNTIFS($B$2:$B343,"s",$C$2:$C343,"PLH")+COUNTIFS($B$2:$B343,"s",$C$2:$C343,"CSF"))-1,12)+1),"N/A"),"")</f>
        <v/>
      </c>
      <c r="J343" s="6" t="str">
        <f>IF(AND($A343&lt;&gt;"",$B343&lt;&gt;"",$C343&lt;&gt;"",$D343&lt;&gt;"",$E343&lt;&gt;""),IF(AND($B343="s",OR($C343="SER",$C343="PLH")),"Case MAX Planck Plate "&amp;(INT(((COUNTIFS($B$2:$B343,"s",$C$2:$C343,"SER")+COUNTIFS($B$2:$B343,"s",$C$2:$C343,"PLH"))-1)/96)+1)&amp;": "&amp;CHAR(65+INT(MOD((COUNTIFS($B$2:$B343,"s",$C$2:$C343,"SER")+COUNTIFS($B$2:$B343,"s",$C$2:$C343,"PLH"))-1,96)/12))&amp;(MOD((COUNTIFS($B$2:$B343,"s",$C$2:$C343,"SER")+COUNTIFS($B$2:$B343,"s",$C$2:$C343,"PLH"))-1,12)+1),"N/A"),"")</f>
        <v/>
      </c>
      <c r="K343" s="6" t="str">
        <f>IF(AND($A343&lt;&gt;"",$B343&lt;&gt;"",$C343&lt;&gt;"",$D343&lt;&gt;"",$E343&lt;&gt;""),IF($C343="WB","Case WB Box "&amp;(INT((COUNTIFS($C$2:$C343,"WB")-1)/81)+1)&amp;": "&amp;CHAR(65+INT(MOD(COUNTIFS($C$2:$C343,"WB")-1,81)/9))&amp;(MOD(COUNTIFS($C$2:$C343,"WB")-1,9)+1),"N/A"),"")</f>
        <v/>
      </c>
      <c r="L343" s="2" t="str">
        <f t="shared" si="91"/>
        <v/>
      </c>
      <c r="M343" s="2"/>
      <c r="N343" s="2"/>
      <c r="O343" s="2"/>
      <c r="P343" s="7" t="str">
        <f t="shared" si="92"/>
        <v/>
      </c>
      <c r="Q343" s="7" t="str">
        <f t="shared" si="93"/>
        <v/>
      </c>
      <c r="R343" s="7" t="str">
        <f t="shared" si="94"/>
        <v/>
      </c>
      <c r="S343" s="7" t="str">
        <f t="shared" si="95"/>
        <v/>
      </c>
      <c r="T343" s="7" t="str">
        <f t="shared" si="96"/>
        <v/>
      </c>
      <c r="U343" s="7" t="str">
        <f t="shared" si="97"/>
        <v/>
      </c>
      <c r="V343" s="7" t="str">
        <f t="shared" si="98"/>
        <v/>
      </c>
      <c r="W343" s="7" t="str">
        <f t="shared" si="99"/>
        <v/>
      </c>
      <c r="X343" s="7" t="str">
        <f t="shared" si="100"/>
        <v/>
      </c>
      <c r="Y343" s="7" t="str">
        <f t="shared" si="101"/>
        <v/>
      </c>
      <c r="Z343">
        <f t="shared" si="102"/>
        <v>0</v>
      </c>
      <c r="AA343" t="str">
        <f t="shared" si="103"/>
        <v/>
      </c>
      <c r="AB343" t="str">
        <f t="shared" si="104"/>
        <v/>
      </c>
      <c r="AC343" t="str">
        <f t="shared" si="105"/>
        <v/>
      </c>
      <c r="AD343" t="str">
        <f t="shared" si="106"/>
        <v/>
      </c>
      <c r="AE343">
        <f t="shared" si="107"/>
        <v>0</v>
      </c>
    </row>
    <row r="344" spans="1:31" ht="15" customHeight="1" x14ac:dyDescent="0.35">
      <c r="A344" s="2"/>
      <c r="B344" s="3"/>
      <c r="C344" s="3"/>
      <c r="D344" s="4"/>
      <c r="E344" s="5"/>
      <c r="F344" s="11" t="str">
        <f t="shared" ca="1" si="90"/>
        <v/>
      </c>
      <c r="G344" s="5"/>
      <c r="H344" s="6" t="str">
        <f>IF(AND($A344&lt;&gt;"",$B344&lt;&gt;"",$C344&lt;&gt;"",$D344&lt;&gt;"",$E344&lt;&gt;""),IF(AND($B344="s",OR($C344="SER",$C344="PLH",$C344="CSF")),"Case CDI Plate "&amp;(INT(((COUNTIFS($B$2:$B344,"s",$C$2:$C344,"SER")+COUNTIFS($B$2:$B344,"s",$C$2:$C344,"PLH")+COUNTIFS($B$2:$B344,"s",$C$2:$C344,"CSF"))-1)/96)+1)&amp;": "&amp;CHAR(65+INT(MOD((COUNTIFS($B$2:$B344,"s",$C$2:$C344,"SER")+COUNTIFS($B$2:$B344,"s",$C$2:$C344,"PLH")+COUNTIFS($B$2:$B344,"s",$C$2:$C344,"CSF"))-1,96)/12))&amp;(MOD((COUNTIFS($B$2:$B344,"s",$C$2:$C344,"SER")+COUNTIFS($B$2:$B344,"s",$C$2:$C344,"PLH")+COUNTIFS($B$2:$B344,"s",$C$2:$C344,"CSF"))-1,12)+1),"N/A"),"")</f>
        <v/>
      </c>
      <c r="I344" s="6" t="str">
        <f>IF(AND($A344&lt;&gt;"",$B344&lt;&gt;"",$C344&lt;&gt;"",$D344&lt;&gt;"",$E344&lt;&gt;""),IF(AND($B344="s",OR($C344="SER",$C344="PLH",$C344="CSF")),"Case NIH Plate "&amp;(INT(((COUNTIFS($B$2:$B344,"s",$C$2:$C344,"SER")+COUNTIFS($B$2:$B344,"s",$C$2:$C344,"PLH")+COUNTIFS($B$2:$B344,"s",$C$2:$C344,"CSF"))-1)/96)+1)&amp;": "&amp;CHAR(65+INT(MOD((COUNTIFS($B$2:$B344,"s",$C$2:$C344,"SER")+COUNTIFS($B$2:$B344,"s",$C$2:$C344,"PLH")+COUNTIFS($B$2:$B344,"s",$C$2:$C344,"CSF"))-1,96)/12))&amp;(MOD((COUNTIFS($B$2:$B344,"s",$C$2:$C344,"SER")+COUNTIFS($B$2:$B344,"s",$C$2:$C344,"PLH")+COUNTIFS($B$2:$B344,"s",$C$2:$C344,"CSF"))-1,12)+1),"N/A"),"")</f>
        <v/>
      </c>
      <c r="J344" s="6" t="str">
        <f>IF(AND($A344&lt;&gt;"",$B344&lt;&gt;"",$C344&lt;&gt;"",$D344&lt;&gt;"",$E344&lt;&gt;""),IF(AND($B344="s",OR($C344="SER",$C344="PLH")),"Case MAX Planck Plate "&amp;(INT(((COUNTIFS($B$2:$B344,"s",$C$2:$C344,"SER")+COUNTIFS($B$2:$B344,"s",$C$2:$C344,"PLH"))-1)/96)+1)&amp;": "&amp;CHAR(65+INT(MOD((COUNTIFS($B$2:$B344,"s",$C$2:$C344,"SER")+COUNTIFS($B$2:$B344,"s",$C$2:$C344,"PLH"))-1,96)/12))&amp;(MOD((COUNTIFS($B$2:$B344,"s",$C$2:$C344,"SER")+COUNTIFS($B$2:$B344,"s",$C$2:$C344,"PLH"))-1,12)+1),"N/A"),"")</f>
        <v/>
      </c>
      <c r="K344" s="6" t="str">
        <f>IF(AND($A344&lt;&gt;"",$B344&lt;&gt;"",$C344&lt;&gt;"",$D344&lt;&gt;"",$E344&lt;&gt;""),IF($C344="WB","Case WB Box "&amp;(INT((COUNTIFS($C$2:$C344,"WB")-1)/81)+1)&amp;": "&amp;CHAR(65+INT(MOD(COUNTIFS($C$2:$C344,"WB")-1,81)/9))&amp;(MOD(COUNTIFS($C$2:$C344,"WB")-1,9)+1),"N/A"),"")</f>
        <v/>
      </c>
      <c r="L344" s="2" t="str">
        <f t="shared" si="91"/>
        <v/>
      </c>
      <c r="M344" s="2"/>
      <c r="N344" s="2"/>
      <c r="O344" s="2"/>
      <c r="P344" s="7" t="str">
        <f t="shared" si="92"/>
        <v/>
      </c>
      <c r="Q344" s="7" t="str">
        <f t="shared" si="93"/>
        <v/>
      </c>
      <c r="R344" s="7" t="str">
        <f t="shared" si="94"/>
        <v/>
      </c>
      <c r="S344" s="7" t="str">
        <f t="shared" si="95"/>
        <v/>
      </c>
      <c r="T344" s="7" t="str">
        <f t="shared" si="96"/>
        <v/>
      </c>
      <c r="U344" s="7" t="str">
        <f t="shared" si="97"/>
        <v/>
      </c>
      <c r="V344" s="7" t="str">
        <f t="shared" si="98"/>
        <v/>
      </c>
      <c r="W344" s="7" t="str">
        <f t="shared" si="99"/>
        <v/>
      </c>
      <c r="X344" s="7" t="str">
        <f t="shared" si="100"/>
        <v/>
      </c>
      <c r="Y344" s="7" t="str">
        <f t="shared" si="101"/>
        <v/>
      </c>
      <c r="Z344">
        <f t="shared" si="102"/>
        <v>0</v>
      </c>
      <c r="AA344" t="str">
        <f t="shared" si="103"/>
        <v/>
      </c>
      <c r="AB344" t="str">
        <f t="shared" si="104"/>
        <v/>
      </c>
      <c r="AC344" t="str">
        <f t="shared" si="105"/>
        <v/>
      </c>
      <c r="AD344" t="str">
        <f t="shared" si="106"/>
        <v/>
      </c>
      <c r="AE344">
        <f t="shared" si="107"/>
        <v>0</v>
      </c>
    </row>
    <row r="345" spans="1:31" ht="15" customHeight="1" x14ac:dyDescent="0.35">
      <c r="A345" s="2"/>
      <c r="B345" s="3"/>
      <c r="C345" s="3"/>
      <c r="D345" s="4"/>
      <c r="E345" s="5"/>
      <c r="F345" s="11" t="str">
        <f t="shared" ca="1" si="90"/>
        <v/>
      </c>
      <c r="G345" s="5"/>
      <c r="H345" s="6" t="str">
        <f>IF(AND($A345&lt;&gt;"",$B345&lt;&gt;"",$C345&lt;&gt;"",$D345&lt;&gt;"",$E345&lt;&gt;""),IF(AND($B345="s",OR($C345="SER",$C345="PLH",$C345="CSF")),"Case CDI Plate "&amp;(INT(((COUNTIFS($B$2:$B345,"s",$C$2:$C345,"SER")+COUNTIFS($B$2:$B345,"s",$C$2:$C345,"PLH")+COUNTIFS($B$2:$B345,"s",$C$2:$C345,"CSF"))-1)/96)+1)&amp;": "&amp;CHAR(65+INT(MOD((COUNTIFS($B$2:$B345,"s",$C$2:$C345,"SER")+COUNTIFS($B$2:$B345,"s",$C$2:$C345,"PLH")+COUNTIFS($B$2:$B345,"s",$C$2:$C345,"CSF"))-1,96)/12))&amp;(MOD((COUNTIFS($B$2:$B345,"s",$C$2:$C345,"SER")+COUNTIFS($B$2:$B345,"s",$C$2:$C345,"PLH")+COUNTIFS($B$2:$B345,"s",$C$2:$C345,"CSF"))-1,12)+1),"N/A"),"")</f>
        <v/>
      </c>
      <c r="I345" s="6" t="str">
        <f>IF(AND($A345&lt;&gt;"",$B345&lt;&gt;"",$C345&lt;&gt;"",$D345&lt;&gt;"",$E345&lt;&gt;""),IF(AND($B345="s",OR($C345="SER",$C345="PLH",$C345="CSF")),"Case NIH Plate "&amp;(INT(((COUNTIFS($B$2:$B345,"s",$C$2:$C345,"SER")+COUNTIFS($B$2:$B345,"s",$C$2:$C345,"PLH")+COUNTIFS($B$2:$B345,"s",$C$2:$C345,"CSF"))-1)/96)+1)&amp;": "&amp;CHAR(65+INT(MOD((COUNTIFS($B$2:$B345,"s",$C$2:$C345,"SER")+COUNTIFS($B$2:$B345,"s",$C$2:$C345,"PLH")+COUNTIFS($B$2:$B345,"s",$C$2:$C345,"CSF"))-1,96)/12))&amp;(MOD((COUNTIFS($B$2:$B345,"s",$C$2:$C345,"SER")+COUNTIFS($B$2:$B345,"s",$C$2:$C345,"PLH")+COUNTIFS($B$2:$B345,"s",$C$2:$C345,"CSF"))-1,12)+1),"N/A"),"")</f>
        <v/>
      </c>
      <c r="J345" s="6" t="str">
        <f>IF(AND($A345&lt;&gt;"",$B345&lt;&gt;"",$C345&lt;&gt;"",$D345&lt;&gt;"",$E345&lt;&gt;""),IF(AND($B345="s",OR($C345="SER",$C345="PLH")),"Case MAX Planck Plate "&amp;(INT(((COUNTIFS($B$2:$B345,"s",$C$2:$C345,"SER")+COUNTIFS($B$2:$B345,"s",$C$2:$C345,"PLH"))-1)/96)+1)&amp;": "&amp;CHAR(65+INT(MOD((COUNTIFS($B$2:$B345,"s",$C$2:$C345,"SER")+COUNTIFS($B$2:$B345,"s",$C$2:$C345,"PLH"))-1,96)/12))&amp;(MOD((COUNTIFS($B$2:$B345,"s",$C$2:$C345,"SER")+COUNTIFS($B$2:$B345,"s",$C$2:$C345,"PLH"))-1,12)+1),"N/A"),"")</f>
        <v/>
      </c>
      <c r="K345" s="6" t="str">
        <f>IF(AND($A345&lt;&gt;"",$B345&lt;&gt;"",$C345&lt;&gt;"",$D345&lt;&gt;"",$E345&lt;&gt;""),IF($C345="WB","Case WB Box "&amp;(INT((COUNTIFS($C$2:$C345,"WB")-1)/81)+1)&amp;": "&amp;CHAR(65+INT(MOD(COUNTIFS($C$2:$C345,"WB")-1,81)/9))&amp;(MOD(COUNTIFS($C$2:$C345,"WB")-1,9)+1),"N/A"),"")</f>
        <v/>
      </c>
      <c r="L345" s="2" t="str">
        <f t="shared" si="91"/>
        <v/>
      </c>
      <c r="M345" s="2"/>
      <c r="N345" s="2"/>
      <c r="O345" s="2"/>
      <c r="P345" s="7" t="str">
        <f t="shared" si="92"/>
        <v/>
      </c>
      <c r="Q345" s="7" t="str">
        <f t="shared" si="93"/>
        <v/>
      </c>
      <c r="R345" s="7" t="str">
        <f t="shared" si="94"/>
        <v/>
      </c>
      <c r="S345" s="7" t="str">
        <f t="shared" si="95"/>
        <v/>
      </c>
      <c r="T345" s="7" t="str">
        <f t="shared" si="96"/>
        <v/>
      </c>
      <c r="U345" s="7" t="str">
        <f t="shared" si="97"/>
        <v/>
      </c>
      <c r="V345" s="7" t="str">
        <f t="shared" si="98"/>
        <v/>
      </c>
      <c r="W345" s="7" t="str">
        <f t="shared" si="99"/>
        <v/>
      </c>
      <c r="X345" s="7" t="str">
        <f t="shared" si="100"/>
        <v/>
      </c>
      <c r="Y345" s="7" t="str">
        <f t="shared" si="101"/>
        <v/>
      </c>
      <c r="Z345">
        <f t="shared" si="102"/>
        <v>0</v>
      </c>
      <c r="AA345" t="str">
        <f t="shared" si="103"/>
        <v/>
      </c>
      <c r="AB345" t="str">
        <f t="shared" si="104"/>
        <v/>
      </c>
      <c r="AC345" t="str">
        <f t="shared" si="105"/>
        <v/>
      </c>
      <c r="AD345" t="str">
        <f t="shared" si="106"/>
        <v/>
      </c>
      <c r="AE345">
        <f t="shared" si="107"/>
        <v>0</v>
      </c>
    </row>
    <row r="346" spans="1:31" ht="15" customHeight="1" x14ac:dyDescent="0.35">
      <c r="A346" s="2"/>
      <c r="B346" s="3"/>
      <c r="C346" s="3"/>
      <c r="D346" s="4"/>
      <c r="E346" s="5"/>
      <c r="F346" s="11" t="str">
        <f t="shared" ca="1" si="90"/>
        <v/>
      </c>
      <c r="G346" s="5"/>
      <c r="H346" s="6" t="str">
        <f>IF(AND($A346&lt;&gt;"",$B346&lt;&gt;"",$C346&lt;&gt;"",$D346&lt;&gt;"",$E346&lt;&gt;""),IF(AND($B346="s",OR($C346="SER",$C346="PLH",$C346="CSF")),"Case CDI Plate "&amp;(INT(((COUNTIFS($B$2:$B346,"s",$C$2:$C346,"SER")+COUNTIFS($B$2:$B346,"s",$C$2:$C346,"PLH")+COUNTIFS($B$2:$B346,"s",$C$2:$C346,"CSF"))-1)/96)+1)&amp;": "&amp;CHAR(65+INT(MOD((COUNTIFS($B$2:$B346,"s",$C$2:$C346,"SER")+COUNTIFS($B$2:$B346,"s",$C$2:$C346,"PLH")+COUNTIFS($B$2:$B346,"s",$C$2:$C346,"CSF"))-1,96)/12))&amp;(MOD((COUNTIFS($B$2:$B346,"s",$C$2:$C346,"SER")+COUNTIFS($B$2:$B346,"s",$C$2:$C346,"PLH")+COUNTIFS($B$2:$B346,"s",$C$2:$C346,"CSF"))-1,12)+1),"N/A"),"")</f>
        <v/>
      </c>
      <c r="I346" s="6" t="str">
        <f>IF(AND($A346&lt;&gt;"",$B346&lt;&gt;"",$C346&lt;&gt;"",$D346&lt;&gt;"",$E346&lt;&gt;""),IF(AND($B346="s",OR($C346="SER",$C346="PLH",$C346="CSF")),"Case NIH Plate "&amp;(INT(((COUNTIFS($B$2:$B346,"s",$C$2:$C346,"SER")+COUNTIFS($B$2:$B346,"s",$C$2:$C346,"PLH")+COUNTIFS($B$2:$B346,"s",$C$2:$C346,"CSF"))-1)/96)+1)&amp;": "&amp;CHAR(65+INT(MOD((COUNTIFS($B$2:$B346,"s",$C$2:$C346,"SER")+COUNTIFS($B$2:$B346,"s",$C$2:$C346,"PLH")+COUNTIFS($B$2:$B346,"s",$C$2:$C346,"CSF"))-1,96)/12))&amp;(MOD((COUNTIFS($B$2:$B346,"s",$C$2:$C346,"SER")+COUNTIFS($B$2:$B346,"s",$C$2:$C346,"PLH")+COUNTIFS($B$2:$B346,"s",$C$2:$C346,"CSF"))-1,12)+1),"N/A"),"")</f>
        <v/>
      </c>
      <c r="J346" s="6" t="str">
        <f>IF(AND($A346&lt;&gt;"",$B346&lt;&gt;"",$C346&lt;&gt;"",$D346&lt;&gt;"",$E346&lt;&gt;""),IF(AND($B346="s",OR($C346="SER",$C346="PLH")),"Case MAX Planck Plate "&amp;(INT(((COUNTIFS($B$2:$B346,"s",$C$2:$C346,"SER")+COUNTIFS($B$2:$B346,"s",$C$2:$C346,"PLH"))-1)/96)+1)&amp;": "&amp;CHAR(65+INT(MOD((COUNTIFS($B$2:$B346,"s",$C$2:$C346,"SER")+COUNTIFS($B$2:$B346,"s",$C$2:$C346,"PLH"))-1,96)/12))&amp;(MOD((COUNTIFS($B$2:$B346,"s",$C$2:$C346,"SER")+COUNTIFS($B$2:$B346,"s",$C$2:$C346,"PLH"))-1,12)+1),"N/A"),"")</f>
        <v/>
      </c>
      <c r="K346" s="6" t="str">
        <f>IF(AND($A346&lt;&gt;"",$B346&lt;&gt;"",$C346&lt;&gt;"",$D346&lt;&gt;"",$E346&lt;&gt;""),IF($C346="WB","Case WB Box "&amp;(INT((COUNTIFS($C$2:$C346,"WB")-1)/81)+1)&amp;": "&amp;CHAR(65+INT(MOD(COUNTIFS($C$2:$C346,"WB")-1,81)/9))&amp;(MOD(COUNTIFS($C$2:$C346,"WB")-1,9)+1),"N/A"),"")</f>
        <v/>
      </c>
      <c r="L346" s="2" t="str">
        <f t="shared" si="91"/>
        <v/>
      </c>
      <c r="M346" s="2"/>
      <c r="N346" s="2"/>
      <c r="O346" s="2"/>
      <c r="P346" s="7" t="str">
        <f t="shared" si="92"/>
        <v/>
      </c>
      <c r="Q346" s="7" t="str">
        <f t="shared" si="93"/>
        <v/>
      </c>
      <c r="R346" s="7" t="str">
        <f t="shared" si="94"/>
        <v/>
      </c>
      <c r="S346" s="7" t="str">
        <f t="shared" si="95"/>
        <v/>
      </c>
      <c r="T346" s="7" t="str">
        <f t="shared" si="96"/>
        <v/>
      </c>
      <c r="U346" s="7" t="str">
        <f t="shared" si="97"/>
        <v/>
      </c>
      <c r="V346" s="7" t="str">
        <f t="shared" si="98"/>
        <v/>
      </c>
      <c r="W346" s="7" t="str">
        <f t="shared" si="99"/>
        <v/>
      </c>
      <c r="X346" s="7" t="str">
        <f t="shared" si="100"/>
        <v/>
      </c>
      <c r="Y346" s="7" t="str">
        <f t="shared" si="101"/>
        <v/>
      </c>
      <c r="Z346">
        <f t="shared" si="102"/>
        <v>0</v>
      </c>
      <c r="AA346" t="str">
        <f t="shared" si="103"/>
        <v/>
      </c>
      <c r="AB346" t="str">
        <f t="shared" si="104"/>
        <v/>
      </c>
      <c r="AC346" t="str">
        <f t="shared" si="105"/>
        <v/>
      </c>
      <c r="AD346" t="str">
        <f t="shared" si="106"/>
        <v/>
      </c>
      <c r="AE346">
        <f t="shared" si="107"/>
        <v>0</v>
      </c>
    </row>
    <row r="347" spans="1:31" ht="15" customHeight="1" x14ac:dyDescent="0.35">
      <c r="A347" s="2"/>
      <c r="B347" s="3"/>
      <c r="C347" s="3"/>
      <c r="D347" s="4"/>
      <c r="E347" s="5"/>
      <c r="F347" s="11" t="str">
        <f t="shared" ca="1" si="90"/>
        <v/>
      </c>
      <c r="G347" s="5"/>
      <c r="H347" s="6" t="str">
        <f>IF(AND($A347&lt;&gt;"",$B347&lt;&gt;"",$C347&lt;&gt;"",$D347&lt;&gt;"",$E347&lt;&gt;""),IF(AND($B347="s",OR($C347="SER",$C347="PLH",$C347="CSF")),"Case CDI Plate "&amp;(INT(((COUNTIFS($B$2:$B347,"s",$C$2:$C347,"SER")+COUNTIFS($B$2:$B347,"s",$C$2:$C347,"PLH")+COUNTIFS($B$2:$B347,"s",$C$2:$C347,"CSF"))-1)/96)+1)&amp;": "&amp;CHAR(65+INT(MOD((COUNTIFS($B$2:$B347,"s",$C$2:$C347,"SER")+COUNTIFS($B$2:$B347,"s",$C$2:$C347,"PLH")+COUNTIFS($B$2:$B347,"s",$C$2:$C347,"CSF"))-1,96)/12))&amp;(MOD((COUNTIFS($B$2:$B347,"s",$C$2:$C347,"SER")+COUNTIFS($B$2:$B347,"s",$C$2:$C347,"PLH")+COUNTIFS($B$2:$B347,"s",$C$2:$C347,"CSF"))-1,12)+1),"N/A"),"")</f>
        <v/>
      </c>
      <c r="I347" s="6" t="str">
        <f>IF(AND($A347&lt;&gt;"",$B347&lt;&gt;"",$C347&lt;&gt;"",$D347&lt;&gt;"",$E347&lt;&gt;""),IF(AND($B347="s",OR($C347="SER",$C347="PLH",$C347="CSF")),"Case NIH Plate "&amp;(INT(((COUNTIFS($B$2:$B347,"s",$C$2:$C347,"SER")+COUNTIFS($B$2:$B347,"s",$C$2:$C347,"PLH")+COUNTIFS($B$2:$B347,"s",$C$2:$C347,"CSF"))-1)/96)+1)&amp;": "&amp;CHAR(65+INT(MOD((COUNTIFS($B$2:$B347,"s",$C$2:$C347,"SER")+COUNTIFS($B$2:$B347,"s",$C$2:$C347,"PLH")+COUNTIFS($B$2:$B347,"s",$C$2:$C347,"CSF"))-1,96)/12))&amp;(MOD((COUNTIFS($B$2:$B347,"s",$C$2:$C347,"SER")+COUNTIFS($B$2:$B347,"s",$C$2:$C347,"PLH")+COUNTIFS($B$2:$B347,"s",$C$2:$C347,"CSF"))-1,12)+1),"N/A"),"")</f>
        <v/>
      </c>
      <c r="J347" s="6" t="str">
        <f>IF(AND($A347&lt;&gt;"",$B347&lt;&gt;"",$C347&lt;&gt;"",$D347&lt;&gt;"",$E347&lt;&gt;""),IF(AND($B347="s",OR($C347="SER",$C347="PLH")),"Case MAX Planck Plate "&amp;(INT(((COUNTIFS($B$2:$B347,"s",$C$2:$C347,"SER")+COUNTIFS($B$2:$B347,"s",$C$2:$C347,"PLH"))-1)/96)+1)&amp;": "&amp;CHAR(65+INT(MOD((COUNTIFS($B$2:$B347,"s",$C$2:$C347,"SER")+COUNTIFS($B$2:$B347,"s",$C$2:$C347,"PLH"))-1,96)/12))&amp;(MOD((COUNTIFS($B$2:$B347,"s",$C$2:$C347,"SER")+COUNTIFS($B$2:$B347,"s",$C$2:$C347,"PLH"))-1,12)+1),"N/A"),"")</f>
        <v/>
      </c>
      <c r="K347" s="6" t="str">
        <f>IF(AND($A347&lt;&gt;"",$B347&lt;&gt;"",$C347&lt;&gt;"",$D347&lt;&gt;"",$E347&lt;&gt;""),IF($C347="WB","Case WB Box "&amp;(INT((COUNTIFS($C$2:$C347,"WB")-1)/81)+1)&amp;": "&amp;CHAR(65+INT(MOD(COUNTIFS($C$2:$C347,"WB")-1,81)/9))&amp;(MOD(COUNTIFS($C$2:$C347,"WB")-1,9)+1),"N/A"),"")</f>
        <v/>
      </c>
      <c r="L347" s="2" t="str">
        <f t="shared" si="91"/>
        <v/>
      </c>
      <c r="M347" s="2"/>
      <c r="N347" s="2"/>
      <c r="O347" s="2"/>
      <c r="P347" s="7" t="str">
        <f t="shared" si="92"/>
        <v/>
      </c>
      <c r="Q347" s="7" t="str">
        <f t="shared" si="93"/>
        <v/>
      </c>
      <c r="R347" s="7" t="str">
        <f t="shared" si="94"/>
        <v/>
      </c>
      <c r="S347" s="7" t="str">
        <f t="shared" si="95"/>
        <v/>
      </c>
      <c r="T347" s="7" t="str">
        <f t="shared" si="96"/>
        <v/>
      </c>
      <c r="U347" s="7" t="str">
        <f t="shared" si="97"/>
        <v/>
      </c>
      <c r="V347" s="7" t="str">
        <f t="shared" si="98"/>
        <v/>
      </c>
      <c r="W347" s="7" t="str">
        <f t="shared" si="99"/>
        <v/>
      </c>
      <c r="X347" s="7" t="str">
        <f t="shared" si="100"/>
        <v/>
      </c>
      <c r="Y347" s="7" t="str">
        <f t="shared" si="101"/>
        <v/>
      </c>
      <c r="Z347">
        <f t="shared" si="102"/>
        <v>0</v>
      </c>
      <c r="AA347" t="str">
        <f t="shared" si="103"/>
        <v/>
      </c>
      <c r="AB347" t="str">
        <f t="shared" si="104"/>
        <v/>
      </c>
      <c r="AC347" t="str">
        <f t="shared" si="105"/>
        <v/>
      </c>
      <c r="AD347" t="str">
        <f t="shared" si="106"/>
        <v/>
      </c>
      <c r="AE347">
        <f t="shared" si="107"/>
        <v>0</v>
      </c>
    </row>
    <row r="348" spans="1:31" ht="15" customHeight="1" x14ac:dyDescent="0.35">
      <c r="A348" s="2"/>
      <c r="B348" s="3"/>
      <c r="C348" s="3"/>
      <c r="D348" s="4"/>
      <c r="E348" s="5"/>
      <c r="F348" s="11" t="str">
        <f t="shared" ca="1" si="90"/>
        <v/>
      </c>
      <c r="G348" s="5"/>
      <c r="H348" s="6" t="str">
        <f>IF(AND($A348&lt;&gt;"",$B348&lt;&gt;"",$C348&lt;&gt;"",$D348&lt;&gt;"",$E348&lt;&gt;""),IF(AND($B348="s",OR($C348="SER",$C348="PLH",$C348="CSF")),"Case CDI Plate "&amp;(INT(((COUNTIFS($B$2:$B348,"s",$C$2:$C348,"SER")+COUNTIFS($B$2:$B348,"s",$C$2:$C348,"PLH")+COUNTIFS($B$2:$B348,"s",$C$2:$C348,"CSF"))-1)/96)+1)&amp;": "&amp;CHAR(65+INT(MOD((COUNTIFS($B$2:$B348,"s",$C$2:$C348,"SER")+COUNTIFS($B$2:$B348,"s",$C$2:$C348,"PLH")+COUNTIFS($B$2:$B348,"s",$C$2:$C348,"CSF"))-1,96)/12))&amp;(MOD((COUNTIFS($B$2:$B348,"s",$C$2:$C348,"SER")+COUNTIFS($B$2:$B348,"s",$C$2:$C348,"PLH")+COUNTIFS($B$2:$B348,"s",$C$2:$C348,"CSF"))-1,12)+1),"N/A"),"")</f>
        <v/>
      </c>
      <c r="I348" s="6" t="str">
        <f>IF(AND($A348&lt;&gt;"",$B348&lt;&gt;"",$C348&lt;&gt;"",$D348&lt;&gt;"",$E348&lt;&gt;""),IF(AND($B348="s",OR($C348="SER",$C348="PLH",$C348="CSF")),"Case NIH Plate "&amp;(INT(((COUNTIFS($B$2:$B348,"s",$C$2:$C348,"SER")+COUNTIFS($B$2:$B348,"s",$C$2:$C348,"PLH")+COUNTIFS($B$2:$B348,"s",$C$2:$C348,"CSF"))-1)/96)+1)&amp;": "&amp;CHAR(65+INT(MOD((COUNTIFS($B$2:$B348,"s",$C$2:$C348,"SER")+COUNTIFS($B$2:$B348,"s",$C$2:$C348,"PLH")+COUNTIFS($B$2:$B348,"s",$C$2:$C348,"CSF"))-1,96)/12))&amp;(MOD((COUNTIFS($B$2:$B348,"s",$C$2:$C348,"SER")+COUNTIFS($B$2:$B348,"s",$C$2:$C348,"PLH")+COUNTIFS($B$2:$B348,"s",$C$2:$C348,"CSF"))-1,12)+1),"N/A"),"")</f>
        <v/>
      </c>
      <c r="J348" s="6" t="str">
        <f>IF(AND($A348&lt;&gt;"",$B348&lt;&gt;"",$C348&lt;&gt;"",$D348&lt;&gt;"",$E348&lt;&gt;""),IF(AND($B348="s",OR($C348="SER",$C348="PLH")),"Case MAX Planck Plate "&amp;(INT(((COUNTIFS($B$2:$B348,"s",$C$2:$C348,"SER")+COUNTIFS($B$2:$B348,"s",$C$2:$C348,"PLH"))-1)/96)+1)&amp;": "&amp;CHAR(65+INT(MOD((COUNTIFS($B$2:$B348,"s",$C$2:$C348,"SER")+COUNTIFS($B$2:$B348,"s",$C$2:$C348,"PLH"))-1,96)/12))&amp;(MOD((COUNTIFS($B$2:$B348,"s",$C$2:$C348,"SER")+COUNTIFS($B$2:$B348,"s",$C$2:$C348,"PLH"))-1,12)+1),"N/A"),"")</f>
        <v/>
      </c>
      <c r="K348" s="6" t="str">
        <f>IF(AND($A348&lt;&gt;"",$B348&lt;&gt;"",$C348&lt;&gt;"",$D348&lt;&gt;"",$E348&lt;&gt;""),IF($C348="WB","Case WB Box "&amp;(INT((COUNTIFS($C$2:$C348,"WB")-1)/81)+1)&amp;": "&amp;CHAR(65+INT(MOD(COUNTIFS($C$2:$C348,"WB")-1,81)/9))&amp;(MOD(COUNTIFS($C$2:$C348,"WB")-1,9)+1),"N/A"),"")</f>
        <v/>
      </c>
      <c r="L348" s="2" t="str">
        <f t="shared" si="91"/>
        <v/>
      </c>
      <c r="M348" s="2"/>
      <c r="N348" s="2"/>
      <c r="O348" s="2"/>
      <c r="P348" s="7" t="str">
        <f t="shared" si="92"/>
        <v/>
      </c>
      <c r="Q348" s="7" t="str">
        <f t="shared" si="93"/>
        <v/>
      </c>
      <c r="R348" s="7" t="str">
        <f t="shared" si="94"/>
        <v/>
      </c>
      <c r="S348" s="7" t="str">
        <f t="shared" si="95"/>
        <v/>
      </c>
      <c r="T348" s="7" t="str">
        <f t="shared" si="96"/>
        <v/>
      </c>
      <c r="U348" s="7" t="str">
        <f t="shared" si="97"/>
        <v/>
      </c>
      <c r="V348" s="7" t="str">
        <f t="shared" si="98"/>
        <v/>
      </c>
      <c r="W348" s="7" t="str">
        <f t="shared" si="99"/>
        <v/>
      </c>
      <c r="X348" s="7" t="str">
        <f t="shared" si="100"/>
        <v/>
      </c>
      <c r="Y348" s="7" t="str">
        <f t="shared" si="101"/>
        <v/>
      </c>
      <c r="Z348">
        <f t="shared" si="102"/>
        <v>0</v>
      </c>
      <c r="AA348" t="str">
        <f t="shared" si="103"/>
        <v/>
      </c>
      <c r="AB348" t="str">
        <f t="shared" si="104"/>
        <v/>
      </c>
      <c r="AC348" t="str">
        <f t="shared" si="105"/>
        <v/>
      </c>
      <c r="AD348" t="str">
        <f t="shared" si="106"/>
        <v/>
      </c>
      <c r="AE348">
        <f t="shared" si="107"/>
        <v>0</v>
      </c>
    </row>
    <row r="349" spans="1:31" ht="15" customHeight="1" x14ac:dyDescent="0.35">
      <c r="A349" s="2"/>
      <c r="B349" s="3"/>
      <c r="C349" s="3"/>
      <c r="D349" s="4"/>
      <c r="E349" s="5"/>
      <c r="F349" s="11" t="str">
        <f t="shared" ca="1" si="90"/>
        <v/>
      </c>
      <c r="G349" s="5"/>
      <c r="H349" s="6" t="str">
        <f>IF(AND($A349&lt;&gt;"",$B349&lt;&gt;"",$C349&lt;&gt;"",$D349&lt;&gt;"",$E349&lt;&gt;""),IF(AND($B349="s",OR($C349="SER",$C349="PLH",$C349="CSF")),"Case CDI Plate "&amp;(INT(((COUNTIFS($B$2:$B349,"s",$C$2:$C349,"SER")+COUNTIFS($B$2:$B349,"s",$C$2:$C349,"PLH")+COUNTIFS($B$2:$B349,"s",$C$2:$C349,"CSF"))-1)/96)+1)&amp;": "&amp;CHAR(65+INT(MOD((COUNTIFS($B$2:$B349,"s",$C$2:$C349,"SER")+COUNTIFS($B$2:$B349,"s",$C$2:$C349,"PLH")+COUNTIFS($B$2:$B349,"s",$C$2:$C349,"CSF"))-1,96)/12))&amp;(MOD((COUNTIFS($B$2:$B349,"s",$C$2:$C349,"SER")+COUNTIFS($B$2:$B349,"s",$C$2:$C349,"PLH")+COUNTIFS($B$2:$B349,"s",$C$2:$C349,"CSF"))-1,12)+1),"N/A"),"")</f>
        <v/>
      </c>
      <c r="I349" s="6" t="str">
        <f>IF(AND($A349&lt;&gt;"",$B349&lt;&gt;"",$C349&lt;&gt;"",$D349&lt;&gt;"",$E349&lt;&gt;""),IF(AND($B349="s",OR($C349="SER",$C349="PLH",$C349="CSF")),"Case NIH Plate "&amp;(INT(((COUNTIFS($B$2:$B349,"s",$C$2:$C349,"SER")+COUNTIFS($B$2:$B349,"s",$C$2:$C349,"PLH")+COUNTIFS($B$2:$B349,"s",$C$2:$C349,"CSF"))-1)/96)+1)&amp;": "&amp;CHAR(65+INT(MOD((COUNTIFS($B$2:$B349,"s",$C$2:$C349,"SER")+COUNTIFS($B$2:$B349,"s",$C$2:$C349,"PLH")+COUNTIFS($B$2:$B349,"s",$C$2:$C349,"CSF"))-1,96)/12))&amp;(MOD((COUNTIFS($B$2:$B349,"s",$C$2:$C349,"SER")+COUNTIFS($B$2:$B349,"s",$C$2:$C349,"PLH")+COUNTIFS($B$2:$B349,"s",$C$2:$C349,"CSF"))-1,12)+1),"N/A"),"")</f>
        <v/>
      </c>
      <c r="J349" s="6" t="str">
        <f>IF(AND($A349&lt;&gt;"",$B349&lt;&gt;"",$C349&lt;&gt;"",$D349&lt;&gt;"",$E349&lt;&gt;""),IF(AND($B349="s",OR($C349="SER",$C349="PLH")),"Case MAX Planck Plate "&amp;(INT(((COUNTIFS($B$2:$B349,"s",$C$2:$C349,"SER")+COUNTIFS($B$2:$B349,"s",$C$2:$C349,"PLH"))-1)/96)+1)&amp;": "&amp;CHAR(65+INT(MOD((COUNTIFS($B$2:$B349,"s",$C$2:$C349,"SER")+COUNTIFS($B$2:$B349,"s",$C$2:$C349,"PLH"))-1,96)/12))&amp;(MOD((COUNTIFS($B$2:$B349,"s",$C$2:$C349,"SER")+COUNTIFS($B$2:$B349,"s",$C$2:$C349,"PLH"))-1,12)+1),"N/A"),"")</f>
        <v/>
      </c>
      <c r="K349" s="6" t="str">
        <f>IF(AND($A349&lt;&gt;"",$B349&lt;&gt;"",$C349&lt;&gt;"",$D349&lt;&gt;"",$E349&lt;&gt;""),IF($C349="WB","Case WB Box "&amp;(INT((COUNTIFS($C$2:$C349,"WB")-1)/81)+1)&amp;": "&amp;CHAR(65+INT(MOD(COUNTIFS($C$2:$C349,"WB")-1,81)/9))&amp;(MOD(COUNTIFS($C$2:$C349,"WB")-1,9)+1),"N/A"),"")</f>
        <v/>
      </c>
      <c r="L349" s="2" t="str">
        <f t="shared" si="91"/>
        <v/>
      </c>
      <c r="M349" s="2"/>
      <c r="N349" s="2"/>
      <c r="O349" s="2"/>
      <c r="P349" s="7" t="str">
        <f t="shared" si="92"/>
        <v/>
      </c>
      <c r="Q349" s="7" t="str">
        <f t="shared" si="93"/>
        <v/>
      </c>
      <c r="R349" s="7" t="str">
        <f t="shared" si="94"/>
        <v/>
      </c>
      <c r="S349" s="7" t="str">
        <f t="shared" si="95"/>
        <v/>
      </c>
      <c r="T349" s="7" t="str">
        <f t="shared" si="96"/>
        <v/>
      </c>
      <c r="U349" s="7" t="str">
        <f t="shared" si="97"/>
        <v/>
      </c>
      <c r="V349" s="7" t="str">
        <f t="shared" si="98"/>
        <v/>
      </c>
      <c r="W349" s="7" t="str">
        <f t="shared" si="99"/>
        <v/>
      </c>
      <c r="X349" s="7" t="str">
        <f t="shared" si="100"/>
        <v/>
      </c>
      <c r="Y349" s="7" t="str">
        <f t="shared" si="101"/>
        <v/>
      </c>
      <c r="Z349">
        <f t="shared" si="102"/>
        <v>0</v>
      </c>
      <c r="AA349" t="str">
        <f t="shared" si="103"/>
        <v/>
      </c>
      <c r="AB349" t="str">
        <f t="shared" si="104"/>
        <v/>
      </c>
      <c r="AC349" t="str">
        <f t="shared" si="105"/>
        <v/>
      </c>
      <c r="AD349" t="str">
        <f t="shared" si="106"/>
        <v/>
      </c>
      <c r="AE349">
        <f t="shared" si="107"/>
        <v>0</v>
      </c>
    </row>
    <row r="350" spans="1:31" ht="15" customHeight="1" x14ac:dyDescent="0.35">
      <c r="A350" s="2"/>
      <c r="B350" s="3"/>
      <c r="C350" s="3"/>
      <c r="D350" s="4"/>
      <c r="E350" s="5"/>
      <c r="F350" s="11" t="str">
        <f t="shared" ca="1" si="90"/>
        <v/>
      </c>
      <c r="G350" s="5"/>
      <c r="H350" s="6" t="str">
        <f>IF(AND($A350&lt;&gt;"",$B350&lt;&gt;"",$C350&lt;&gt;"",$D350&lt;&gt;"",$E350&lt;&gt;""),IF(AND($B350="s",OR($C350="SER",$C350="PLH",$C350="CSF")),"Case CDI Plate "&amp;(INT(((COUNTIFS($B$2:$B350,"s",$C$2:$C350,"SER")+COUNTIFS($B$2:$B350,"s",$C$2:$C350,"PLH")+COUNTIFS($B$2:$B350,"s",$C$2:$C350,"CSF"))-1)/96)+1)&amp;": "&amp;CHAR(65+INT(MOD((COUNTIFS($B$2:$B350,"s",$C$2:$C350,"SER")+COUNTIFS($B$2:$B350,"s",$C$2:$C350,"PLH")+COUNTIFS($B$2:$B350,"s",$C$2:$C350,"CSF"))-1,96)/12))&amp;(MOD((COUNTIFS($B$2:$B350,"s",$C$2:$C350,"SER")+COUNTIFS($B$2:$B350,"s",$C$2:$C350,"PLH")+COUNTIFS($B$2:$B350,"s",$C$2:$C350,"CSF"))-1,12)+1),"N/A"),"")</f>
        <v/>
      </c>
      <c r="I350" s="6" t="str">
        <f>IF(AND($A350&lt;&gt;"",$B350&lt;&gt;"",$C350&lt;&gt;"",$D350&lt;&gt;"",$E350&lt;&gt;""),IF(AND($B350="s",OR($C350="SER",$C350="PLH",$C350="CSF")),"Case NIH Plate "&amp;(INT(((COUNTIFS($B$2:$B350,"s",$C$2:$C350,"SER")+COUNTIFS($B$2:$B350,"s",$C$2:$C350,"PLH")+COUNTIFS($B$2:$B350,"s",$C$2:$C350,"CSF"))-1)/96)+1)&amp;": "&amp;CHAR(65+INT(MOD((COUNTIFS($B$2:$B350,"s",$C$2:$C350,"SER")+COUNTIFS($B$2:$B350,"s",$C$2:$C350,"PLH")+COUNTIFS($B$2:$B350,"s",$C$2:$C350,"CSF"))-1,96)/12))&amp;(MOD((COUNTIFS($B$2:$B350,"s",$C$2:$C350,"SER")+COUNTIFS($B$2:$B350,"s",$C$2:$C350,"PLH")+COUNTIFS($B$2:$B350,"s",$C$2:$C350,"CSF"))-1,12)+1),"N/A"),"")</f>
        <v/>
      </c>
      <c r="J350" s="6" t="str">
        <f>IF(AND($A350&lt;&gt;"",$B350&lt;&gt;"",$C350&lt;&gt;"",$D350&lt;&gt;"",$E350&lt;&gt;""),IF(AND($B350="s",OR($C350="SER",$C350="PLH")),"Case MAX Planck Plate "&amp;(INT(((COUNTIFS($B$2:$B350,"s",$C$2:$C350,"SER")+COUNTIFS($B$2:$B350,"s",$C$2:$C350,"PLH"))-1)/96)+1)&amp;": "&amp;CHAR(65+INT(MOD((COUNTIFS($B$2:$B350,"s",$C$2:$C350,"SER")+COUNTIFS($B$2:$B350,"s",$C$2:$C350,"PLH"))-1,96)/12))&amp;(MOD((COUNTIFS($B$2:$B350,"s",$C$2:$C350,"SER")+COUNTIFS($B$2:$B350,"s",$C$2:$C350,"PLH"))-1,12)+1),"N/A"),"")</f>
        <v/>
      </c>
      <c r="K350" s="6" t="str">
        <f>IF(AND($A350&lt;&gt;"",$B350&lt;&gt;"",$C350&lt;&gt;"",$D350&lt;&gt;"",$E350&lt;&gt;""),IF($C350="WB","Case WB Box "&amp;(INT((COUNTIFS($C$2:$C350,"WB")-1)/81)+1)&amp;": "&amp;CHAR(65+INT(MOD(COUNTIFS($C$2:$C350,"WB")-1,81)/9))&amp;(MOD(COUNTIFS($C$2:$C350,"WB")-1,9)+1),"N/A"),"")</f>
        <v/>
      </c>
      <c r="L350" s="2" t="str">
        <f t="shared" si="91"/>
        <v/>
      </c>
      <c r="M350" s="2"/>
      <c r="N350" s="2"/>
      <c r="O350" s="2"/>
      <c r="P350" s="7" t="str">
        <f t="shared" si="92"/>
        <v/>
      </c>
      <c r="Q350" s="7" t="str">
        <f t="shared" si="93"/>
        <v/>
      </c>
      <c r="R350" s="7" t="str">
        <f t="shared" si="94"/>
        <v/>
      </c>
      <c r="S350" s="7" t="str">
        <f t="shared" si="95"/>
        <v/>
      </c>
      <c r="T350" s="7" t="str">
        <f t="shared" si="96"/>
        <v/>
      </c>
      <c r="U350" s="7" t="str">
        <f t="shared" si="97"/>
        <v/>
      </c>
      <c r="V350" s="7" t="str">
        <f t="shared" si="98"/>
        <v/>
      </c>
      <c r="W350" s="7" t="str">
        <f t="shared" si="99"/>
        <v/>
      </c>
      <c r="X350" s="7" t="str">
        <f t="shared" si="100"/>
        <v/>
      </c>
      <c r="Y350" s="7" t="str">
        <f t="shared" si="101"/>
        <v/>
      </c>
      <c r="Z350">
        <f t="shared" si="102"/>
        <v>0</v>
      </c>
      <c r="AA350" t="str">
        <f t="shared" si="103"/>
        <v/>
      </c>
      <c r="AB350" t="str">
        <f t="shared" si="104"/>
        <v/>
      </c>
      <c r="AC350" t="str">
        <f t="shared" si="105"/>
        <v/>
      </c>
      <c r="AD350" t="str">
        <f t="shared" si="106"/>
        <v/>
      </c>
      <c r="AE350">
        <f t="shared" si="107"/>
        <v>0</v>
      </c>
    </row>
    <row r="351" spans="1:31" ht="15" customHeight="1" x14ac:dyDescent="0.35">
      <c r="A351" s="2"/>
      <c r="B351" s="3"/>
      <c r="C351" s="3"/>
      <c r="D351" s="4"/>
      <c r="E351" s="5"/>
      <c r="F351" s="11" t="str">
        <f t="shared" ca="1" si="90"/>
        <v/>
      </c>
      <c r="G351" s="5"/>
      <c r="H351" s="6" t="str">
        <f>IF(AND($A351&lt;&gt;"",$B351&lt;&gt;"",$C351&lt;&gt;"",$D351&lt;&gt;"",$E351&lt;&gt;""),IF(AND($B351="s",OR($C351="SER",$C351="PLH",$C351="CSF")),"Case CDI Plate "&amp;(INT(((COUNTIFS($B$2:$B351,"s",$C$2:$C351,"SER")+COUNTIFS($B$2:$B351,"s",$C$2:$C351,"PLH")+COUNTIFS($B$2:$B351,"s",$C$2:$C351,"CSF"))-1)/96)+1)&amp;": "&amp;CHAR(65+INT(MOD((COUNTIFS($B$2:$B351,"s",$C$2:$C351,"SER")+COUNTIFS($B$2:$B351,"s",$C$2:$C351,"PLH")+COUNTIFS($B$2:$B351,"s",$C$2:$C351,"CSF"))-1,96)/12))&amp;(MOD((COUNTIFS($B$2:$B351,"s",$C$2:$C351,"SER")+COUNTIFS($B$2:$B351,"s",$C$2:$C351,"PLH")+COUNTIFS($B$2:$B351,"s",$C$2:$C351,"CSF"))-1,12)+1),"N/A"),"")</f>
        <v/>
      </c>
      <c r="I351" s="6" t="str">
        <f>IF(AND($A351&lt;&gt;"",$B351&lt;&gt;"",$C351&lt;&gt;"",$D351&lt;&gt;"",$E351&lt;&gt;""),IF(AND($B351="s",OR($C351="SER",$C351="PLH",$C351="CSF")),"Case NIH Plate "&amp;(INT(((COUNTIFS($B$2:$B351,"s",$C$2:$C351,"SER")+COUNTIFS($B$2:$B351,"s",$C$2:$C351,"PLH")+COUNTIFS($B$2:$B351,"s",$C$2:$C351,"CSF"))-1)/96)+1)&amp;": "&amp;CHAR(65+INT(MOD((COUNTIFS($B$2:$B351,"s",$C$2:$C351,"SER")+COUNTIFS($B$2:$B351,"s",$C$2:$C351,"PLH")+COUNTIFS($B$2:$B351,"s",$C$2:$C351,"CSF"))-1,96)/12))&amp;(MOD((COUNTIFS($B$2:$B351,"s",$C$2:$C351,"SER")+COUNTIFS($B$2:$B351,"s",$C$2:$C351,"PLH")+COUNTIFS($B$2:$B351,"s",$C$2:$C351,"CSF"))-1,12)+1),"N/A"),"")</f>
        <v/>
      </c>
      <c r="J351" s="6" t="str">
        <f>IF(AND($A351&lt;&gt;"",$B351&lt;&gt;"",$C351&lt;&gt;"",$D351&lt;&gt;"",$E351&lt;&gt;""),IF(AND($B351="s",OR($C351="SER",$C351="PLH")),"Case MAX Planck Plate "&amp;(INT(((COUNTIFS($B$2:$B351,"s",$C$2:$C351,"SER")+COUNTIFS($B$2:$B351,"s",$C$2:$C351,"PLH"))-1)/96)+1)&amp;": "&amp;CHAR(65+INT(MOD((COUNTIFS($B$2:$B351,"s",$C$2:$C351,"SER")+COUNTIFS($B$2:$B351,"s",$C$2:$C351,"PLH"))-1,96)/12))&amp;(MOD((COUNTIFS($B$2:$B351,"s",$C$2:$C351,"SER")+COUNTIFS($B$2:$B351,"s",$C$2:$C351,"PLH"))-1,12)+1),"N/A"),"")</f>
        <v/>
      </c>
      <c r="K351" s="6" t="str">
        <f>IF(AND($A351&lt;&gt;"",$B351&lt;&gt;"",$C351&lt;&gt;"",$D351&lt;&gt;"",$E351&lt;&gt;""),IF($C351="WB","Case WB Box "&amp;(INT((COUNTIFS($C$2:$C351,"WB")-1)/81)+1)&amp;": "&amp;CHAR(65+INT(MOD(COUNTIFS($C$2:$C351,"WB")-1,81)/9))&amp;(MOD(COUNTIFS($C$2:$C351,"WB")-1,9)+1),"N/A"),"")</f>
        <v/>
      </c>
      <c r="L351" s="2" t="str">
        <f t="shared" si="91"/>
        <v/>
      </c>
      <c r="M351" s="2"/>
      <c r="N351" s="2"/>
      <c r="O351" s="2"/>
      <c r="P351" s="7" t="str">
        <f t="shared" si="92"/>
        <v/>
      </c>
      <c r="Q351" s="7" t="str">
        <f t="shared" si="93"/>
        <v/>
      </c>
      <c r="R351" s="7" t="str">
        <f t="shared" si="94"/>
        <v/>
      </c>
      <c r="S351" s="7" t="str">
        <f t="shared" si="95"/>
        <v/>
      </c>
      <c r="T351" s="7" t="str">
        <f t="shared" si="96"/>
        <v/>
      </c>
      <c r="U351" s="7" t="str">
        <f t="shared" si="97"/>
        <v/>
      </c>
      <c r="V351" s="7" t="str">
        <f t="shared" si="98"/>
        <v/>
      </c>
      <c r="W351" s="7" t="str">
        <f t="shared" si="99"/>
        <v/>
      </c>
      <c r="X351" s="7" t="str">
        <f t="shared" si="100"/>
        <v/>
      </c>
      <c r="Y351" s="7" t="str">
        <f t="shared" si="101"/>
        <v/>
      </c>
      <c r="Z351">
        <f t="shared" si="102"/>
        <v>0</v>
      </c>
      <c r="AA351" t="str">
        <f t="shared" si="103"/>
        <v/>
      </c>
      <c r="AB351" t="str">
        <f t="shared" si="104"/>
        <v/>
      </c>
      <c r="AC351" t="str">
        <f t="shared" si="105"/>
        <v/>
      </c>
      <c r="AD351" t="str">
        <f t="shared" si="106"/>
        <v/>
      </c>
      <c r="AE351">
        <f t="shared" si="107"/>
        <v>0</v>
      </c>
    </row>
    <row r="352" spans="1:31" ht="15" customHeight="1" x14ac:dyDescent="0.35">
      <c r="A352" s="2"/>
      <c r="B352" s="3"/>
      <c r="C352" s="3"/>
      <c r="D352" s="4"/>
      <c r="E352" s="5"/>
      <c r="F352" s="11" t="str">
        <f t="shared" ca="1" si="90"/>
        <v/>
      </c>
      <c r="G352" s="5"/>
      <c r="H352" s="6" t="str">
        <f>IF(AND($A352&lt;&gt;"",$B352&lt;&gt;"",$C352&lt;&gt;"",$D352&lt;&gt;"",$E352&lt;&gt;""),IF(AND($B352="s",OR($C352="SER",$C352="PLH",$C352="CSF")),"Case CDI Plate "&amp;(INT(((COUNTIFS($B$2:$B352,"s",$C$2:$C352,"SER")+COUNTIFS($B$2:$B352,"s",$C$2:$C352,"PLH")+COUNTIFS($B$2:$B352,"s",$C$2:$C352,"CSF"))-1)/96)+1)&amp;": "&amp;CHAR(65+INT(MOD((COUNTIFS($B$2:$B352,"s",$C$2:$C352,"SER")+COUNTIFS($B$2:$B352,"s",$C$2:$C352,"PLH")+COUNTIFS($B$2:$B352,"s",$C$2:$C352,"CSF"))-1,96)/12))&amp;(MOD((COUNTIFS($B$2:$B352,"s",$C$2:$C352,"SER")+COUNTIFS($B$2:$B352,"s",$C$2:$C352,"PLH")+COUNTIFS($B$2:$B352,"s",$C$2:$C352,"CSF"))-1,12)+1),"N/A"),"")</f>
        <v/>
      </c>
      <c r="I352" s="6" t="str">
        <f>IF(AND($A352&lt;&gt;"",$B352&lt;&gt;"",$C352&lt;&gt;"",$D352&lt;&gt;"",$E352&lt;&gt;""),IF(AND($B352="s",OR($C352="SER",$C352="PLH",$C352="CSF")),"Case NIH Plate "&amp;(INT(((COUNTIFS($B$2:$B352,"s",$C$2:$C352,"SER")+COUNTIFS($B$2:$B352,"s",$C$2:$C352,"PLH")+COUNTIFS($B$2:$B352,"s",$C$2:$C352,"CSF"))-1)/96)+1)&amp;": "&amp;CHAR(65+INT(MOD((COUNTIFS($B$2:$B352,"s",$C$2:$C352,"SER")+COUNTIFS($B$2:$B352,"s",$C$2:$C352,"PLH")+COUNTIFS($B$2:$B352,"s",$C$2:$C352,"CSF"))-1,96)/12))&amp;(MOD((COUNTIFS($B$2:$B352,"s",$C$2:$C352,"SER")+COUNTIFS($B$2:$B352,"s",$C$2:$C352,"PLH")+COUNTIFS($B$2:$B352,"s",$C$2:$C352,"CSF"))-1,12)+1),"N/A"),"")</f>
        <v/>
      </c>
      <c r="J352" s="6" t="str">
        <f>IF(AND($A352&lt;&gt;"",$B352&lt;&gt;"",$C352&lt;&gt;"",$D352&lt;&gt;"",$E352&lt;&gt;""),IF(AND($B352="s",OR($C352="SER",$C352="PLH")),"Case MAX Planck Plate "&amp;(INT(((COUNTIFS($B$2:$B352,"s",$C$2:$C352,"SER")+COUNTIFS($B$2:$B352,"s",$C$2:$C352,"PLH"))-1)/96)+1)&amp;": "&amp;CHAR(65+INT(MOD((COUNTIFS($B$2:$B352,"s",$C$2:$C352,"SER")+COUNTIFS($B$2:$B352,"s",$C$2:$C352,"PLH"))-1,96)/12))&amp;(MOD((COUNTIFS($B$2:$B352,"s",$C$2:$C352,"SER")+COUNTIFS($B$2:$B352,"s",$C$2:$C352,"PLH"))-1,12)+1),"N/A"),"")</f>
        <v/>
      </c>
      <c r="K352" s="6" t="str">
        <f>IF(AND($A352&lt;&gt;"",$B352&lt;&gt;"",$C352&lt;&gt;"",$D352&lt;&gt;"",$E352&lt;&gt;""),IF($C352="WB","Case WB Box "&amp;(INT((COUNTIFS($C$2:$C352,"WB")-1)/81)+1)&amp;": "&amp;CHAR(65+INT(MOD(COUNTIFS($C$2:$C352,"WB")-1,81)/9))&amp;(MOD(COUNTIFS($C$2:$C352,"WB")-1,9)+1),"N/A"),"")</f>
        <v/>
      </c>
      <c r="L352" s="2" t="str">
        <f t="shared" si="91"/>
        <v/>
      </c>
      <c r="M352" s="2"/>
      <c r="N352" s="2"/>
      <c r="O352" s="2"/>
      <c r="P352" s="7" t="str">
        <f t="shared" si="92"/>
        <v/>
      </c>
      <c r="Q352" s="7" t="str">
        <f t="shared" si="93"/>
        <v/>
      </c>
      <c r="R352" s="7" t="str">
        <f t="shared" si="94"/>
        <v/>
      </c>
      <c r="S352" s="7" t="str">
        <f t="shared" si="95"/>
        <v/>
      </c>
      <c r="T352" s="7" t="str">
        <f t="shared" si="96"/>
        <v/>
      </c>
      <c r="U352" s="7" t="str">
        <f t="shared" si="97"/>
        <v/>
      </c>
      <c r="V352" s="7" t="str">
        <f t="shared" si="98"/>
        <v/>
      </c>
      <c r="W352" s="7" t="str">
        <f t="shared" si="99"/>
        <v/>
      </c>
      <c r="X352" s="7" t="str">
        <f t="shared" si="100"/>
        <v/>
      </c>
      <c r="Y352" s="7" t="str">
        <f t="shared" si="101"/>
        <v/>
      </c>
      <c r="Z352">
        <f t="shared" si="102"/>
        <v>0</v>
      </c>
      <c r="AA352" t="str">
        <f t="shared" si="103"/>
        <v/>
      </c>
      <c r="AB352" t="str">
        <f t="shared" si="104"/>
        <v/>
      </c>
      <c r="AC352" t="str">
        <f t="shared" si="105"/>
        <v/>
      </c>
      <c r="AD352" t="str">
        <f t="shared" si="106"/>
        <v/>
      </c>
      <c r="AE352">
        <f t="shared" si="107"/>
        <v>0</v>
      </c>
    </row>
    <row r="353" spans="1:31" ht="15" customHeight="1" x14ac:dyDescent="0.35">
      <c r="A353" s="2"/>
      <c r="B353" s="3"/>
      <c r="C353" s="3"/>
      <c r="D353" s="4"/>
      <c r="E353" s="5"/>
      <c r="F353" s="11" t="str">
        <f t="shared" ca="1" si="90"/>
        <v/>
      </c>
      <c r="G353" s="5"/>
      <c r="H353" s="6" t="str">
        <f>IF(AND($A353&lt;&gt;"",$B353&lt;&gt;"",$C353&lt;&gt;"",$D353&lt;&gt;"",$E353&lt;&gt;""),IF(AND($B353="s",OR($C353="SER",$C353="PLH",$C353="CSF")),"Case CDI Plate "&amp;(INT(((COUNTIFS($B$2:$B353,"s",$C$2:$C353,"SER")+COUNTIFS($B$2:$B353,"s",$C$2:$C353,"PLH")+COUNTIFS($B$2:$B353,"s",$C$2:$C353,"CSF"))-1)/96)+1)&amp;": "&amp;CHAR(65+INT(MOD((COUNTIFS($B$2:$B353,"s",$C$2:$C353,"SER")+COUNTIFS($B$2:$B353,"s",$C$2:$C353,"PLH")+COUNTIFS($B$2:$B353,"s",$C$2:$C353,"CSF"))-1,96)/12))&amp;(MOD((COUNTIFS($B$2:$B353,"s",$C$2:$C353,"SER")+COUNTIFS($B$2:$B353,"s",$C$2:$C353,"PLH")+COUNTIFS($B$2:$B353,"s",$C$2:$C353,"CSF"))-1,12)+1),"N/A"),"")</f>
        <v/>
      </c>
      <c r="I353" s="6" t="str">
        <f>IF(AND($A353&lt;&gt;"",$B353&lt;&gt;"",$C353&lt;&gt;"",$D353&lt;&gt;"",$E353&lt;&gt;""),IF(AND($B353="s",OR($C353="SER",$C353="PLH",$C353="CSF")),"Case NIH Plate "&amp;(INT(((COUNTIFS($B$2:$B353,"s",$C$2:$C353,"SER")+COUNTIFS($B$2:$B353,"s",$C$2:$C353,"PLH")+COUNTIFS($B$2:$B353,"s",$C$2:$C353,"CSF"))-1)/96)+1)&amp;": "&amp;CHAR(65+INT(MOD((COUNTIFS($B$2:$B353,"s",$C$2:$C353,"SER")+COUNTIFS($B$2:$B353,"s",$C$2:$C353,"PLH")+COUNTIFS($B$2:$B353,"s",$C$2:$C353,"CSF"))-1,96)/12))&amp;(MOD((COUNTIFS($B$2:$B353,"s",$C$2:$C353,"SER")+COUNTIFS($B$2:$B353,"s",$C$2:$C353,"PLH")+COUNTIFS($B$2:$B353,"s",$C$2:$C353,"CSF"))-1,12)+1),"N/A"),"")</f>
        <v/>
      </c>
      <c r="J353" s="6" t="str">
        <f>IF(AND($A353&lt;&gt;"",$B353&lt;&gt;"",$C353&lt;&gt;"",$D353&lt;&gt;"",$E353&lt;&gt;""),IF(AND($B353="s",OR($C353="SER",$C353="PLH")),"Case MAX Planck Plate "&amp;(INT(((COUNTIFS($B$2:$B353,"s",$C$2:$C353,"SER")+COUNTIFS($B$2:$B353,"s",$C$2:$C353,"PLH"))-1)/96)+1)&amp;": "&amp;CHAR(65+INT(MOD((COUNTIFS($B$2:$B353,"s",$C$2:$C353,"SER")+COUNTIFS($B$2:$B353,"s",$C$2:$C353,"PLH"))-1,96)/12))&amp;(MOD((COUNTIFS($B$2:$B353,"s",$C$2:$C353,"SER")+COUNTIFS($B$2:$B353,"s",$C$2:$C353,"PLH"))-1,12)+1),"N/A"),"")</f>
        <v/>
      </c>
      <c r="K353" s="6" t="str">
        <f>IF(AND($A353&lt;&gt;"",$B353&lt;&gt;"",$C353&lt;&gt;"",$D353&lt;&gt;"",$E353&lt;&gt;""),IF($C353="WB","Case WB Box "&amp;(INT((COUNTIFS($C$2:$C353,"WB")-1)/81)+1)&amp;": "&amp;CHAR(65+INT(MOD(COUNTIFS($C$2:$C353,"WB")-1,81)/9))&amp;(MOD(COUNTIFS($C$2:$C353,"WB")-1,9)+1),"N/A"),"")</f>
        <v/>
      </c>
      <c r="L353" s="2" t="str">
        <f t="shared" si="91"/>
        <v/>
      </c>
      <c r="M353" s="2"/>
      <c r="N353" s="2"/>
      <c r="O353" s="2"/>
      <c r="P353" s="7" t="str">
        <f t="shared" si="92"/>
        <v/>
      </c>
      <c r="Q353" s="7" t="str">
        <f t="shared" si="93"/>
        <v/>
      </c>
      <c r="R353" s="7" t="str">
        <f t="shared" si="94"/>
        <v/>
      </c>
      <c r="S353" s="7" t="str">
        <f t="shared" si="95"/>
        <v/>
      </c>
      <c r="T353" s="7" t="str">
        <f t="shared" si="96"/>
        <v/>
      </c>
      <c r="U353" s="7" t="str">
        <f t="shared" si="97"/>
        <v/>
      </c>
      <c r="V353" s="7" t="str">
        <f t="shared" si="98"/>
        <v/>
      </c>
      <c r="W353" s="7" t="str">
        <f t="shared" si="99"/>
        <v/>
      </c>
      <c r="X353" s="7" t="str">
        <f t="shared" si="100"/>
        <v/>
      </c>
      <c r="Y353" s="7" t="str">
        <f t="shared" si="101"/>
        <v/>
      </c>
      <c r="Z353">
        <f t="shared" si="102"/>
        <v>0</v>
      </c>
      <c r="AA353" t="str">
        <f t="shared" si="103"/>
        <v/>
      </c>
      <c r="AB353" t="str">
        <f t="shared" si="104"/>
        <v/>
      </c>
      <c r="AC353" t="str">
        <f t="shared" si="105"/>
        <v/>
      </c>
      <c r="AD353" t="str">
        <f t="shared" si="106"/>
        <v/>
      </c>
      <c r="AE353">
        <f t="shared" si="107"/>
        <v>0</v>
      </c>
    </row>
    <row r="354" spans="1:31" ht="15" customHeight="1" x14ac:dyDescent="0.35">
      <c r="A354" s="2"/>
      <c r="B354" s="3"/>
      <c r="C354" s="3"/>
      <c r="D354" s="4"/>
      <c r="E354" s="5"/>
      <c r="F354" s="11" t="str">
        <f t="shared" ca="1" si="90"/>
        <v/>
      </c>
      <c r="G354" s="5"/>
      <c r="H354" s="6" t="str">
        <f>IF(AND($A354&lt;&gt;"",$B354&lt;&gt;"",$C354&lt;&gt;"",$D354&lt;&gt;"",$E354&lt;&gt;""),IF(AND($B354="s",OR($C354="SER",$C354="PLH",$C354="CSF")),"Case CDI Plate "&amp;(INT(((COUNTIFS($B$2:$B354,"s",$C$2:$C354,"SER")+COUNTIFS($B$2:$B354,"s",$C$2:$C354,"PLH")+COUNTIFS($B$2:$B354,"s",$C$2:$C354,"CSF"))-1)/96)+1)&amp;": "&amp;CHAR(65+INT(MOD((COUNTIFS($B$2:$B354,"s",$C$2:$C354,"SER")+COUNTIFS($B$2:$B354,"s",$C$2:$C354,"PLH")+COUNTIFS($B$2:$B354,"s",$C$2:$C354,"CSF"))-1,96)/12))&amp;(MOD((COUNTIFS($B$2:$B354,"s",$C$2:$C354,"SER")+COUNTIFS($B$2:$B354,"s",$C$2:$C354,"PLH")+COUNTIFS($B$2:$B354,"s",$C$2:$C354,"CSF"))-1,12)+1),"N/A"),"")</f>
        <v/>
      </c>
      <c r="I354" s="6" t="str">
        <f>IF(AND($A354&lt;&gt;"",$B354&lt;&gt;"",$C354&lt;&gt;"",$D354&lt;&gt;"",$E354&lt;&gt;""),IF(AND($B354="s",OR($C354="SER",$C354="PLH",$C354="CSF")),"Case NIH Plate "&amp;(INT(((COUNTIFS($B$2:$B354,"s",$C$2:$C354,"SER")+COUNTIFS($B$2:$B354,"s",$C$2:$C354,"PLH")+COUNTIFS($B$2:$B354,"s",$C$2:$C354,"CSF"))-1)/96)+1)&amp;": "&amp;CHAR(65+INT(MOD((COUNTIFS($B$2:$B354,"s",$C$2:$C354,"SER")+COUNTIFS($B$2:$B354,"s",$C$2:$C354,"PLH")+COUNTIFS($B$2:$B354,"s",$C$2:$C354,"CSF"))-1,96)/12))&amp;(MOD((COUNTIFS($B$2:$B354,"s",$C$2:$C354,"SER")+COUNTIFS($B$2:$B354,"s",$C$2:$C354,"PLH")+COUNTIFS($B$2:$B354,"s",$C$2:$C354,"CSF"))-1,12)+1),"N/A"),"")</f>
        <v/>
      </c>
      <c r="J354" s="6" t="str">
        <f>IF(AND($A354&lt;&gt;"",$B354&lt;&gt;"",$C354&lt;&gt;"",$D354&lt;&gt;"",$E354&lt;&gt;""),IF(AND($B354="s",OR($C354="SER",$C354="PLH")),"Case MAX Planck Plate "&amp;(INT(((COUNTIFS($B$2:$B354,"s",$C$2:$C354,"SER")+COUNTIFS($B$2:$B354,"s",$C$2:$C354,"PLH"))-1)/96)+1)&amp;": "&amp;CHAR(65+INT(MOD((COUNTIFS($B$2:$B354,"s",$C$2:$C354,"SER")+COUNTIFS($B$2:$B354,"s",$C$2:$C354,"PLH"))-1,96)/12))&amp;(MOD((COUNTIFS($B$2:$B354,"s",$C$2:$C354,"SER")+COUNTIFS($B$2:$B354,"s",$C$2:$C354,"PLH"))-1,12)+1),"N/A"),"")</f>
        <v/>
      </c>
      <c r="K354" s="6" t="str">
        <f>IF(AND($A354&lt;&gt;"",$B354&lt;&gt;"",$C354&lt;&gt;"",$D354&lt;&gt;"",$E354&lt;&gt;""),IF($C354="WB","Case WB Box "&amp;(INT((COUNTIFS($C$2:$C354,"WB")-1)/81)+1)&amp;": "&amp;CHAR(65+INT(MOD(COUNTIFS($C$2:$C354,"WB")-1,81)/9))&amp;(MOD(COUNTIFS($C$2:$C354,"WB")-1,9)+1),"N/A"),"")</f>
        <v/>
      </c>
      <c r="L354" s="2" t="str">
        <f t="shared" si="91"/>
        <v/>
      </c>
      <c r="M354" s="2"/>
      <c r="N354" s="2"/>
      <c r="O354" s="2"/>
      <c r="P354" s="7" t="str">
        <f t="shared" si="92"/>
        <v/>
      </c>
      <c r="Q354" s="7" t="str">
        <f t="shared" si="93"/>
        <v/>
      </c>
      <c r="R354" s="7" t="str">
        <f t="shared" si="94"/>
        <v/>
      </c>
      <c r="S354" s="7" t="str">
        <f t="shared" si="95"/>
        <v/>
      </c>
      <c r="T354" s="7" t="str">
        <f t="shared" si="96"/>
        <v/>
      </c>
      <c r="U354" s="7" t="str">
        <f t="shared" si="97"/>
        <v/>
      </c>
      <c r="V354" s="7" t="str">
        <f t="shared" si="98"/>
        <v/>
      </c>
      <c r="W354" s="7" t="str">
        <f t="shared" si="99"/>
        <v/>
      </c>
      <c r="X354" s="7" t="str">
        <f t="shared" si="100"/>
        <v/>
      </c>
      <c r="Y354" s="7" t="str">
        <f t="shared" si="101"/>
        <v/>
      </c>
      <c r="Z354">
        <f t="shared" si="102"/>
        <v>0</v>
      </c>
      <c r="AA354" t="str">
        <f t="shared" si="103"/>
        <v/>
      </c>
      <c r="AB354" t="str">
        <f t="shared" si="104"/>
        <v/>
      </c>
      <c r="AC354" t="str">
        <f t="shared" si="105"/>
        <v/>
      </c>
      <c r="AD354" t="str">
        <f t="shared" si="106"/>
        <v/>
      </c>
      <c r="AE354">
        <f t="shared" si="107"/>
        <v>0</v>
      </c>
    </row>
    <row r="355" spans="1:31" ht="15" customHeight="1" x14ac:dyDescent="0.35">
      <c r="A355" s="2"/>
      <c r="B355" s="3"/>
      <c r="C355" s="3"/>
      <c r="D355" s="4"/>
      <c r="E355" s="5"/>
      <c r="F355" s="11" t="str">
        <f t="shared" ca="1" si="90"/>
        <v/>
      </c>
      <c r="G355" s="5"/>
      <c r="H355" s="6" t="str">
        <f>IF(AND($A355&lt;&gt;"",$B355&lt;&gt;"",$C355&lt;&gt;"",$D355&lt;&gt;"",$E355&lt;&gt;""),IF(AND($B355="s",OR($C355="SER",$C355="PLH",$C355="CSF")),"Case CDI Plate "&amp;(INT(((COUNTIFS($B$2:$B355,"s",$C$2:$C355,"SER")+COUNTIFS($B$2:$B355,"s",$C$2:$C355,"PLH")+COUNTIFS($B$2:$B355,"s",$C$2:$C355,"CSF"))-1)/96)+1)&amp;": "&amp;CHAR(65+INT(MOD((COUNTIFS($B$2:$B355,"s",$C$2:$C355,"SER")+COUNTIFS($B$2:$B355,"s",$C$2:$C355,"PLH")+COUNTIFS($B$2:$B355,"s",$C$2:$C355,"CSF"))-1,96)/12))&amp;(MOD((COUNTIFS($B$2:$B355,"s",$C$2:$C355,"SER")+COUNTIFS($B$2:$B355,"s",$C$2:$C355,"PLH")+COUNTIFS($B$2:$B355,"s",$C$2:$C355,"CSF"))-1,12)+1),"N/A"),"")</f>
        <v/>
      </c>
      <c r="I355" s="6" t="str">
        <f>IF(AND($A355&lt;&gt;"",$B355&lt;&gt;"",$C355&lt;&gt;"",$D355&lt;&gt;"",$E355&lt;&gt;""),IF(AND($B355="s",OR($C355="SER",$C355="PLH",$C355="CSF")),"Case NIH Plate "&amp;(INT(((COUNTIFS($B$2:$B355,"s",$C$2:$C355,"SER")+COUNTIFS($B$2:$B355,"s",$C$2:$C355,"PLH")+COUNTIFS($B$2:$B355,"s",$C$2:$C355,"CSF"))-1)/96)+1)&amp;": "&amp;CHAR(65+INT(MOD((COUNTIFS($B$2:$B355,"s",$C$2:$C355,"SER")+COUNTIFS($B$2:$B355,"s",$C$2:$C355,"PLH")+COUNTIFS($B$2:$B355,"s",$C$2:$C355,"CSF"))-1,96)/12))&amp;(MOD((COUNTIFS($B$2:$B355,"s",$C$2:$C355,"SER")+COUNTIFS($B$2:$B355,"s",$C$2:$C355,"PLH")+COUNTIFS($B$2:$B355,"s",$C$2:$C355,"CSF"))-1,12)+1),"N/A"),"")</f>
        <v/>
      </c>
      <c r="J355" s="6" t="str">
        <f>IF(AND($A355&lt;&gt;"",$B355&lt;&gt;"",$C355&lt;&gt;"",$D355&lt;&gt;"",$E355&lt;&gt;""),IF(AND($B355="s",OR($C355="SER",$C355="PLH")),"Case MAX Planck Plate "&amp;(INT(((COUNTIFS($B$2:$B355,"s",$C$2:$C355,"SER")+COUNTIFS($B$2:$B355,"s",$C$2:$C355,"PLH"))-1)/96)+1)&amp;": "&amp;CHAR(65+INT(MOD((COUNTIFS($B$2:$B355,"s",$C$2:$C355,"SER")+COUNTIFS($B$2:$B355,"s",$C$2:$C355,"PLH"))-1,96)/12))&amp;(MOD((COUNTIFS($B$2:$B355,"s",$C$2:$C355,"SER")+COUNTIFS($B$2:$B355,"s",$C$2:$C355,"PLH"))-1,12)+1),"N/A"),"")</f>
        <v/>
      </c>
      <c r="K355" s="6" t="str">
        <f>IF(AND($A355&lt;&gt;"",$B355&lt;&gt;"",$C355&lt;&gt;"",$D355&lt;&gt;"",$E355&lt;&gt;""),IF($C355="WB","Case WB Box "&amp;(INT((COUNTIFS($C$2:$C355,"WB")-1)/81)+1)&amp;": "&amp;CHAR(65+INT(MOD(COUNTIFS($C$2:$C355,"WB")-1,81)/9))&amp;(MOD(COUNTIFS($C$2:$C355,"WB")-1,9)+1),"N/A"),"")</f>
        <v/>
      </c>
      <c r="L355" s="2" t="str">
        <f t="shared" si="91"/>
        <v/>
      </c>
      <c r="M355" s="2"/>
      <c r="N355" s="2"/>
      <c r="O355" s="2"/>
      <c r="P355" s="7" t="str">
        <f t="shared" si="92"/>
        <v/>
      </c>
      <c r="Q355" s="7" t="str">
        <f t="shared" si="93"/>
        <v/>
      </c>
      <c r="R355" s="7" t="str">
        <f t="shared" si="94"/>
        <v/>
      </c>
      <c r="S355" s="7" t="str">
        <f t="shared" si="95"/>
        <v/>
      </c>
      <c r="T355" s="7" t="str">
        <f t="shared" si="96"/>
        <v/>
      </c>
      <c r="U355" s="7" t="str">
        <f t="shared" si="97"/>
        <v/>
      </c>
      <c r="V355" s="7" t="str">
        <f t="shared" si="98"/>
        <v/>
      </c>
      <c r="W355" s="7" t="str">
        <f t="shared" si="99"/>
        <v/>
      </c>
      <c r="X355" s="7" t="str">
        <f t="shared" si="100"/>
        <v/>
      </c>
      <c r="Y355" s="7" t="str">
        <f t="shared" si="101"/>
        <v/>
      </c>
      <c r="Z355">
        <f t="shared" si="102"/>
        <v>0</v>
      </c>
      <c r="AA355" t="str">
        <f t="shared" si="103"/>
        <v/>
      </c>
      <c r="AB355" t="str">
        <f t="shared" si="104"/>
        <v/>
      </c>
      <c r="AC355" t="str">
        <f t="shared" si="105"/>
        <v/>
      </c>
      <c r="AD355" t="str">
        <f t="shared" si="106"/>
        <v/>
      </c>
      <c r="AE355">
        <f t="shared" si="107"/>
        <v>0</v>
      </c>
    </row>
    <row r="356" spans="1:31" ht="15" customHeight="1" x14ac:dyDescent="0.35">
      <c r="A356" s="2"/>
      <c r="B356" s="3"/>
      <c r="C356" s="3"/>
      <c r="D356" s="4"/>
      <c r="E356" s="5"/>
      <c r="F356" s="11" t="str">
        <f t="shared" ca="1" si="90"/>
        <v/>
      </c>
      <c r="G356" s="5"/>
      <c r="H356" s="6" t="str">
        <f>IF(AND($A356&lt;&gt;"",$B356&lt;&gt;"",$C356&lt;&gt;"",$D356&lt;&gt;"",$E356&lt;&gt;""),IF(AND($B356="s",OR($C356="SER",$C356="PLH",$C356="CSF")),"Case CDI Plate "&amp;(INT(((COUNTIFS($B$2:$B356,"s",$C$2:$C356,"SER")+COUNTIFS($B$2:$B356,"s",$C$2:$C356,"PLH")+COUNTIFS($B$2:$B356,"s",$C$2:$C356,"CSF"))-1)/96)+1)&amp;": "&amp;CHAR(65+INT(MOD((COUNTIFS($B$2:$B356,"s",$C$2:$C356,"SER")+COUNTIFS($B$2:$B356,"s",$C$2:$C356,"PLH")+COUNTIFS($B$2:$B356,"s",$C$2:$C356,"CSF"))-1,96)/12))&amp;(MOD((COUNTIFS($B$2:$B356,"s",$C$2:$C356,"SER")+COUNTIFS($B$2:$B356,"s",$C$2:$C356,"PLH")+COUNTIFS($B$2:$B356,"s",$C$2:$C356,"CSF"))-1,12)+1),"N/A"),"")</f>
        <v/>
      </c>
      <c r="I356" s="6" t="str">
        <f>IF(AND($A356&lt;&gt;"",$B356&lt;&gt;"",$C356&lt;&gt;"",$D356&lt;&gt;"",$E356&lt;&gt;""),IF(AND($B356="s",OR($C356="SER",$C356="PLH",$C356="CSF")),"Case NIH Plate "&amp;(INT(((COUNTIFS($B$2:$B356,"s",$C$2:$C356,"SER")+COUNTIFS($B$2:$B356,"s",$C$2:$C356,"PLH")+COUNTIFS($B$2:$B356,"s",$C$2:$C356,"CSF"))-1)/96)+1)&amp;": "&amp;CHAR(65+INT(MOD((COUNTIFS($B$2:$B356,"s",$C$2:$C356,"SER")+COUNTIFS($B$2:$B356,"s",$C$2:$C356,"PLH")+COUNTIFS($B$2:$B356,"s",$C$2:$C356,"CSF"))-1,96)/12))&amp;(MOD((COUNTIFS($B$2:$B356,"s",$C$2:$C356,"SER")+COUNTIFS($B$2:$B356,"s",$C$2:$C356,"PLH")+COUNTIFS($B$2:$B356,"s",$C$2:$C356,"CSF"))-1,12)+1),"N/A"),"")</f>
        <v/>
      </c>
      <c r="J356" s="6" t="str">
        <f>IF(AND($A356&lt;&gt;"",$B356&lt;&gt;"",$C356&lt;&gt;"",$D356&lt;&gt;"",$E356&lt;&gt;""),IF(AND($B356="s",OR($C356="SER",$C356="PLH")),"Case MAX Planck Plate "&amp;(INT(((COUNTIFS($B$2:$B356,"s",$C$2:$C356,"SER")+COUNTIFS($B$2:$B356,"s",$C$2:$C356,"PLH"))-1)/96)+1)&amp;": "&amp;CHAR(65+INT(MOD((COUNTIFS($B$2:$B356,"s",$C$2:$C356,"SER")+COUNTIFS($B$2:$B356,"s",$C$2:$C356,"PLH"))-1,96)/12))&amp;(MOD((COUNTIFS($B$2:$B356,"s",$C$2:$C356,"SER")+COUNTIFS($B$2:$B356,"s",$C$2:$C356,"PLH"))-1,12)+1),"N/A"),"")</f>
        <v/>
      </c>
      <c r="K356" s="6" t="str">
        <f>IF(AND($A356&lt;&gt;"",$B356&lt;&gt;"",$C356&lt;&gt;"",$D356&lt;&gt;"",$E356&lt;&gt;""),IF($C356="WB","Case WB Box "&amp;(INT((COUNTIFS($C$2:$C356,"WB")-1)/81)+1)&amp;": "&amp;CHAR(65+INT(MOD(COUNTIFS($C$2:$C356,"WB")-1,81)/9))&amp;(MOD(COUNTIFS($C$2:$C356,"WB")-1,9)+1),"N/A"),"")</f>
        <v/>
      </c>
      <c r="L356" s="2" t="str">
        <f t="shared" si="91"/>
        <v/>
      </c>
      <c r="M356" s="2"/>
      <c r="N356" s="2"/>
      <c r="O356" s="2"/>
      <c r="P356" s="7" t="str">
        <f t="shared" si="92"/>
        <v/>
      </c>
      <c r="Q356" s="7" t="str">
        <f t="shared" si="93"/>
        <v/>
      </c>
      <c r="R356" s="7" t="str">
        <f t="shared" si="94"/>
        <v/>
      </c>
      <c r="S356" s="7" t="str">
        <f t="shared" si="95"/>
        <v/>
      </c>
      <c r="T356" s="7" t="str">
        <f t="shared" si="96"/>
        <v/>
      </c>
      <c r="U356" s="7" t="str">
        <f t="shared" si="97"/>
        <v/>
      </c>
      <c r="V356" s="7" t="str">
        <f t="shared" si="98"/>
        <v/>
      </c>
      <c r="W356" s="7" t="str">
        <f t="shared" si="99"/>
        <v/>
      </c>
      <c r="X356" s="7" t="str">
        <f t="shared" si="100"/>
        <v/>
      </c>
      <c r="Y356" s="7" t="str">
        <f t="shared" si="101"/>
        <v/>
      </c>
      <c r="Z356">
        <f t="shared" si="102"/>
        <v>0</v>
      </c>
      <c r="AA356" t="str">
        <f t="shared" si="103"/>
        <v/>
      </c>
      <c r="AB356" t="str">
        <f t="shared" si="104"/>
        <v/>
      </c>
      <c r="AC356" t="str">
        <f t="shared" si="105"/>
        <v/>
      </c>
      <c r="AD356" t="str">
        <f t="shared" si="106"/>
        <v/>
      </c>
      <c r="AE356">
        <f t="shared" si="107"/>
        <v>0</v>
      </c>
    </row>
    <row r="357" spans="1:31" ht="15" customHeight="1" x14ac:dyDescent="0.35">
      <c r="A357" s="2"/>
      <c r="B357" s="3"/>
      <c r="C357" s="3"/>
      <c r="D357" s="4"/>
      <c r="E357" s="5"/>
      <c r="F357" s="11" t="str">
        <f t="shared" ca="1" si="90"/>
        <v/>
      </c>
      <c r="G357" s="5"/>
      <c r="H357" s="6" t="str">
        <f>IF(AND($A357&lt;&gt;"",$B357&lt;&gt;"",$C357&lt;&gt;"",$D357&lt;&gt;"",$E357&lt;&gt;""),IF(AND($B357="s",OR($C357="SER",$C357="PLH",$C357="CSF")),"Case CDI Plate "&amp;(INT(((COUNTIFS($B$2:$B357,"s",$C$2:$C357,"SER")+COUNTIFS($B$2:$B357,"s",$C$2:$C357,"PLH")+COUNTIFS($B$2:$B357,"s",$C$2:$C357,"CSF"))-1)/96)+1)&amp;": "&amp;CHAR(65+INT(MOD((COUNTIFS($B$2:$B357,"s",$C$2:$C357,"SER")+COUNTIFS($B$2:$B357,"s",$C$2:$C357,"PLH")+COUNTIFS($B$2:$B357,"s",$C$2:$C357,"CSF"))-1,96)/12))&amp;(MOD((COUNTIFS($B$2:$B357,"s",$C$2:$C357,"SER")+COUNTIFS($B$2:$B357,"s",$C$2:$C357,"PLH")+COUNTIFS($B$2:$B357,"s",$C$2:$C357,"CSF"))-1,12)+1),"N/A"),"")</f>
        <v/>
      </c>
      <c r="I357" s="6" t="str">
        <f>IF(AND($A357&lt;&gt;"",$B357&lt;&gt;"",$C357&lt;&gt;"",$D357&lt;&gt;"",$E357&lt;&gt;""),IF(AND($B357="s",OR($C357="SER",$C357="PLH",$C357="CSF")),"Case NIH Plate "&amp;(INT(((COUNTIFS($B$2:$B357,"s",$C$2:$C357,"SER")+COUNTIFS($B$2:$B357,"s",$C$2:$C357,"PLH")+COUNTIFS($B$2:$B357,"s",$C$2:$C357,"CSF"))-1)/96)+1)&amp;": "&amp;CHAR(65+INT(MOD((COUNTIFS($B$2:$B357,"s",$C$2:$C357,"SER")+COUNTIFS($B$2:$B357,"s",$C$2:$C357,"PLH")+COUNTIFS($B$2:$B357,"s",$C$2:$C357,"CSF"))-1,96)/12))&amp;(MOD((COUNTIFS($B$2:$B357,"s",$C$2:$C357,"SER")+COUNTIFS($B$2:$B357,"s",$C$2:$C357,"PLH")+COUNTIFS($B$2:$B357,"s",$C$2:$C357,"CSF"))-1,12)+1),"N/A"),"")</f>
        <v/>
      </c>
      <c r="J357" s="6" t="str">
        <f>IF(AND($A357&lt;&gt;"",$B357&lt;&gt;"",$C357&lt;&gt;"",$D357&lt;&gt;"",$E357&lt;&gt;""),IF(AND($B357="s",OR($C357="SER",$C357="PLH")),"Case MAX Planck Plate "&amp;(INT(((COUNTIFS($B$2:$B357,"s",$C$2:$C357,"SER")+COUNTIFS($B$2:$B357,"s",$C$2:$C357,"PLH"))-1)/96)+1)&amp;": "&amp;CHAR(65+INT(MOD((COUNTIFS($B$2:$B357,"s",$C$2:$C357,"SER")+COUNTIFS($B$2:$B357,"s",$C$2:$C357,"PLH"))-1,96)/12))&amp;(MOD((COUNTIFS($B$2:$B357,"s",$C$2:$C357,"SER")+COUNTIFS($B$2:$B357,"s",$C$2:$C357,"PLH"))-1,12)+1),"N/A"),"")</f>
        <v/>
      </c>
      <c r="K357" s="6" t="str">
        <f>IF(AND($A357&lt;&gt;"",$B357&lt;&gt;"",$C357&lt;&gt;"",$D357&lt;&gt;"",$E357&lt;&gt;""),IF($C357="WB","Case WB Box "&amp;(INT((COUNTIFS($C$2:$C357,"WB")-1)/81)+1)&amp;": "&amp;CHAR(65+INT(MOD(COUNTIFS($C$2:$C357,"WB")-1,81)/9))&amp;(MOD(COUNTIFS($C$2:$C357,"WB")-1,9)+1),"N/A"),"")</f>
        <v/>
      </c>
      <c r="L357" s="2" t="str">
        <f t="shared" si="91"/>
        <v/>
      </c>
      <c r="M357" s="2"/>
      <c r="N357" s="2"/>
      <c r="O357" s="2"/>
      <c r="P357" s="7" t="str">
        <f t="shared" si="92"/>
        <v/>
      </c>
      <c r="Q357" s="7" t="str">
        <f t="shared" si="93"/>
        <v/>
      </c>
      <c r="R357" s="7" t="str">
        <f t="shared" si="94"/>
        <v/>
      </c>
      <c r="S357" s="7" t="str">
        <f t="shared" si="95"/>
        <v/>
      </c>
      <c r="T357" s="7" t="str">
        <f t="shared" si="96"/>
        <v/>
      </c>
      <c r="U357" s="7" t="str">
        <f t="shared" si="97"/>
        <v/>
      </c>
      <c r="V357" s="7" t="str">
        <f t="shared" si="98"/>
        <v/>
      </c>
      <c r="W357" s="7" t="str">
        <f t="shared" si="99"/>
        <v/>
      </c>
      <c r="X357" s="7" t="str">
        <f t="shared" si="100"/>
        <v/>
      </c>
      <c r="Y357" s="7" t="str">
        <f t="shared" si="101"/>
        <v/>
      </c>
      <c r="Z357">
        <f t="shared" si="102"/>
        <v>0</v>
      </c>
      <c r="AA357" t="str">
        <f t="shared" si="103"/>
        <v/>
      </c>
      <c r="AB357" t="str">
        <f t="shared" si="104"/>
        <v/>
      </c>
      <c r="AC357" t="str">
        <f t="shared" si="105"/>
        <v/>
      </c>
      <c r="AD357" t="str">
        <f t="shared" si="106"/>
        <v/>
      </c>
      <c r="AE357">
        <f t="shared" si="107"/>
        <v>0</v>
      </c>
    </row>
    <row r="358" spans="1:31" ht="15" customHeight="1" x14ac:dyDescent="0.35">
      <c r="A358" s="2"/>
      <c r="B358" s="3"/>
      <c r="C358" s="3"/>
      <c r="D358" s="4"/>
      <c r="E358" s="5"/>
      <c r="F358" s="11" t="str">
        <f t="shared" ca="1" si="90"/>
        <v/>
      </c>
      <c r="G358" s="5"/>
      <c r="H358" s="6" t="str">
        <f>IF(AND($A358&lt;&gt;"",$B358&lt;&gt;"",$C358&lt;&gt;"",$D358&lt;&gt;"",$E358&lt;&gt;""),IF(AND($B358="s",OR($C358="SER",$C358="PLH",$C358="CSF")),"Case CDI Plate "&amp;(INT(((COUNTIFS($B$2:$B358,"s",$C$2:$C358,"SER")+COUNTIFS($B$2:$B358,"s",$C$2:$C358,"PLH")+COUNTIFS($B$2:$B358,"s",$C$2:$C358,"CSF"))-1)/96)+1)&amp;": "&amp;CHAR(65+INT(MOD((COUNTIFS($B$2:$B358,"s",$C$2:$C358,"SER")+COUNTIFS($B$2:$B358,"s",$C$2:$C358,"PLH")+COUNTIFS($B$2:$B358,"s",$C$2:$C358,"CSF"))-1,96)/12))&amp;(MOD((COUNTIFS($B$2:$B358,"s",$C$2:$C358,"SER")+COUNTIFS($B$2:$B358,"s",$C$2:$C358,"PLH")+COUNTIFS($B$2:$B358,"s",$C$2:$C358,"CSF"))-1,12)+1),"N/A"),"")</f>
        <v/>
      </c>
      <c r="I358" s="6" t="str">
        <f>IF(AND($A358&lt;&gt;"",$B358&lt;&gt;"",$C358&lt;&gt;"",$D358&lt;&gt;"",$E358&lt;&gt;""),IF(AND($B358="s",OR($C358="SER",$C358="PLH",$C358="CSF")),"Case NIH Plate "&amp;(INT(((COUNTIFS($B$2:$B358,"s",$C$2:$C358,"SER")+COUNTIFS($B$2:$B358,"s",$C$2:$C358,"PLH")+COUNTIFS($B$2:$B358,"s",$C$2:$C358,"CSF"))-1)/96)+1)&amp;": "&amp;CHAR(65+INT(MOD((COUNTIFS($B$2:$B358,"s",$C$2:$C358,"SER")+COUNTIFS($B$2:$B358,"s",$C$2:$C358,"PLH")+COUNTIFS($B$2:$B358,"s",$C$2:$C358,"CSF"))-1,96)/12))&amp;(MOD((COUNTIFS($B$2:$B358,"s",$C$2:$C358,"SER")+COUNTIFS($B$2:$B358,"s",$C$2:$C358,"PLH")+COUNTIFS($B$2:$B358,"s",$C$2:$C358,"CSF"))-1,12)+1),"N/A"),"")</f>
        <v/>
      </c>
      <c r="J358" s="6" t="str">
        <f>IF(AND($A358&lt;&gt;"",$B358&lt;&gt;"",$C358&lt;&gt;"",$D358&lt;&gt;"",$E358&lt;&gt;""),IF(AND($B358="s",OR($C358="SER",$C358="PLH")),"Case MAX Planck Plate "&amp;(INT(((COUNTIFS($B$2:$B358,"s",$C$2:$C358,"SER")+COUNTIFS($B$2:$B358,"s",$C$2:$C358,"PLH"))-1)/96)+1)&amp;": "&amp;CHAR(65+INT(MOD((COUNTIFS($B$2:$B358,"s",$C$2:$C358,"SER")+COUNTIFS($B$2:$B358,"s",$C$2:$C358,"PLH"))-1,96)/12))&amp;(MOD((COUNTIFS($B$2:$B358,"s",$C$2:$C358,"SER")+COUNTIFS($B$2:$B358,"s",$C$2:$C358,"PLH"))-1,12)+1),"N/A"),"")</f>
        <v/>
      </c>
      <c r="K358" s="6" t="str">
        <f>IF(AND($A358&lt;&gt;"",$B358&lt;&gt;"",$C358&lt;&gt;"",$D358&lt;&gt;"",$E358&lt;&gt;""),IF($C358="WB","Case WB Box "&amp;(INT((COUNTIFS($C$2:$C358,"WB")-1)/81)+1)&amp;": "&amp;CHAR(65+INT(MOD(COUNTIFS($C$2:$C358,"WB")-1,81)/9))&amp;(MOD(COUNTIFS($C$2:$C358,"WB")-1,9)+1),"N/A"),"")</f>
        <v/>
      </c>
      <c r="L358" s="2" t="str">
        <f t="shared" si="91"/>
        <v/>
      </c>
      <c r="M358" s="2"/>
      <c r="N358" s="2"/>
      <c r="O358" s="2"/>
      <c r="P358" s="7" t="str">
        <f t="shared" si="92"/>
        <v/>
      </c>
      <c r="Q358" s="7" t="str">
        <f t="shared" si="93"/>
        <v/>
      </c>
      <c r="R358" s="7" t="str">
        <f t="shared" si="94"/>
        <v/>
      </c>
      <c r="S358" s="7" t="str">
        <f t="shared" si="95"/>
        <v/>
      </c>
      <c r="T358" s="7" t="str">
        <f t="shared" si="96"/>
        <v/>
      </c>
      <c r="U358" s="7" t="str">
        <f t="shared" si="97"/>
        <v/>
      </c>
      <c r="V358" s="7" t="str">
        <f t="shared" si="98"/>
        <v/>
      </c>
      <c r="W358" s="7" t="str">
        <f t="shared" si="99"/>
        <v/>
      </c>
      <c r="X358" s="7" t="str">
        <f t="shared" si="100"/>
        <v/>
      </c>
      <c r="Y358" s="7" t="str">
        <f t="shared" si="101"/>
        <v/>
      </c>
      <c r="Z358">
        <f t="shared" si="102"/>
        <v>0</v>
      </c>
      <c r="AA358" t="str">
        <f t="shared" si="103"/>
        <v/>
      </c>
      <c r="AB358" t="str">
        <f t="shared" si="104"/>
        <v/>
      </c>
      <c r="AC358" t="str">
        <f t="shared" si="105"/>
        <v/>
      </c>
      <c r="AD358" t="str">
        <f t="shared" si="106"/>
        <v/>
      </c>
      <c r="AE358">
        <f t="shared" si="107"/>
        <v>0</v>
      </c>
    </row>
    <row r="359" spans="1:31" ht="15" customHeight="1" x14ac:dyDescent="0.35">
      <c r="A359" s="2"/>
      <c r="B359" s="3"/>
      <c r="C359" s="3"/>
      <c r="D359" s="4"/>
      <c r="E359" s="5"/>
      <c r="F359" s="11" t="str">
        <f t="shared" ca="1" si="90"/>
        <v/>
      </c>
      <c r="G359" s="5"/>
      <c r="H359" s="6" t="str">
        <f>IF(AND($A359&lt;&gt;"",$B359&lt;&gt;"",$C359&lt;&gt;"",$D359&lt;&gt;"",$E359&lt;&gt;""),IF(AND($B359="s",OR($C359="SER",$C359="PLH",$C359="CSF")),"Case CDI Plate "&amp;(INT(((COUNTIFS($B$2:$B359,"s",$C$2:$C359,"SER")+COUNTIFS($B$2:$B359,"s",$C$2:$C359,"PLH")+COUNTIFS($B$2:$B359,"s",$C$2:$C359,"CSF"))-1)/96)+1)&amp;": "&amp;CHAR(65+INT(MOD((COUNTIFS($B$2:$B359,"s",$C$2:$C359,"SER")+COUNTIFS($B$2:$B359,"s",$C$2:$C359,"PLH")+COUNTIFS($B$2:$B359,"s",$C$2:$C359,"CSF"))-1,96)/12))&amp;(MOD((COUNTIFS($B$2:$B359,"s",$C$2:$C359,"SER")+COUNTIFS($B$2:$B359,"s",$C$2:$C359,"PLH")+COUNTIFS($B$2:$B359,"s",$C$2:$C359,"CSF"))-1,12)+1),"N/A"),"")</f>
        <v/>
      </c>
      <c r="I359" s="6" t="str">
        <f>IF(AND($A359&lt;&gt;"",$B359&lt;&gt;"",$C359&lt;&gt;"",$D359&lt;&gt;"",$E359&lt;&gt;""),IF(AND($B359="s",OR($C359="SER",$C359="PLH",$C359="CSF")),"Case NIH Plate "&amp;(INT(((COUNTIFS($B$2:$B359,"s",$C$2:$C359,"SER")+COUNTIFS($B$2:$B359,"s",$C$2:$C359,"PLH")+COUNTIFS($B$2:$B359,"s",$C$2:$C359,"CSF"))-1)/96)+1)&amp;": "&amp;CHAR(65+INT(MOD((COUNTIFS($B$2:$B359,"s",$C$2:$C359,"SER")+COUNTIFS($B$2:$B359,"s",$C$2:$C359,"PLH")+COUNTIFS($B$2:$B359,"s",$C$2:$C359,"CSF"))-1,96)/12))&amp;(MOD((COUNTIFS($B$2:$B359,"s",$C$2:$C359,"SER")+COUNTIFS($B$2:$B359,"s",$C$2:$C359,"PLH")+COUNTIFS($B$2:$B359,"s",$C$2:$C359,"CSF"))-1,12)+1),"N/A"),"")</f>
        <v/>
      </c>
      <c r="J359" s="6" t="str">
        <f>IF(AND($A359&lt;&gt;"",$B359&lt;&gt;"",$C359&lt;&gt;"",$D359&lt;&gt;"",$E359&lt;&gt;""),IF(AND($B359="s",OR($C359="SER",$C359="PLH")),"Case MAX Planck Plate "&amp;(INT(((COUNTIFS($B$2:$B359,"s",$C$2:$C359,"SER")+COUNTIFS($B$2:$B359,"s",$C$2:$C359,"PLH"))-1)/96)+1)&amp;": "&amp;CHAR(65+INT(MOD((COUNTIFS($B$2:$B359,"s",$C$2:$C359,"SER")+COUNTIFS($B$2:$B359,"s",$C$2:$C359,"PLH"))-1,96)/12))&amp;(MOD((COUNTIFS($B$2:$B359,"s",$C$2:$C359,"SER")+COUNTIFS($B$2:$B359,"s",$C$2:$C359,"PLH"))-1,12)+1),"N/A"),"")</f>
        <v/>
      </c>
      <c r="K359" s="6" t="str">
        <f>IF(AND($A359&lt;&gt;"",$B359&lt;&gt;"",$C359&lt;&gt;"",$D359&lt;&gt;"",$E359&lt;&gt;""),IF($C359="WB","Case WB Box "&amp;(INT((COUNTIFS($C$2:$C359,"WB")-1)/81)+1)&amp;": "&amp;CHAR(65+INT(MOD(COUNTIFS($C$2:$C359,"WB")-1,81)/9))&amp;(MOD(COUNTIFS($C$2:$C359,"WB")-1,9)+1),"N/A"),"")</f>
        <v/>
      </c>
      <c r="L359" s="2" t="str">
        <f t="shared" si="91"/>
        <v/>
      </c>
      <c r="M359" s="2"/>
      <c r="N359" s="2"/>
      <c r="O359" s="2"/>
      <c r="P359" s="7" t="str">
        <f t="shared" si="92"/>
        <v/>
      </c>
      <c r="Q359" s="7" t="str">
        <f t="shared" si="93"/>
        <v/>
      </c>
      <c r="R359" s="7" t="str">
        <f t="shared" si="94"/>
        <v/>
      </c>
      <c r="S359" s="7" t="str">
        <f t="shared" si="95"/>
        <v/>
      </c>
      <c r="T359" s="7" t="str">
        <f t="shared" si="96"/>
        <v/>
      </c>
      <c r="U359" s="7" t="str">
        <f t="shared" si="97"/>
        <v/>
      </c>
      <c r="V359" s="7" t="str">
        <f t="shared" si="98"/>
        <v/>
      </c>
      <c r="W359" s="7" t="str">
        <f t="shared" si="99"/>
        <v/>
      </c>
      <c r="X359" s="7" t="str">
        <f t="shared" si="100"/>
        <v/>
      </c>
      <c r="Y359" s="7" t="str">
        <f t="shared" si="101"/>
        <v/>
      </c>
      <c r="Z359">
        <f t="shared" si="102"/>
        <v>0</v>
      </c>
      <c r="AA359" t="str">
        <f t="shared" si="103"/>
        <v/>
      </c>
      <c r="AB359" t="str">
        <f t="shared" si="104"/>
        <v/>
      </c>
      <c r="AC359" t="str">
        <f t="shared" si="105"/>
        <v/>
      </c>
      <c r="AD359" t="str">
        <f t="shared" si="106"/>
        <v/>
      </c>
      <c r="AE359">
        <f t="shared" si="107"/>
        <v>0</v>
      </c>
    </row>
    <row r="360" spans="1:31" ht="15" customHeight="1" x14ac:dyDescent="0.35">
      <c r="A360" s="2"/>
      <c r="B360" s="3"/>
      <c r="C360" s="3"/>
      <c r="D360" s="4"/>
      <c r="E360" s="5"/>
      <c r="F360" s="11" t="str">
        <f t="shared" ca="1" si="90"/>
        <v/>
      </c>
      <c r="G360" s="5"/>
      <c r="H360" s="6" t="str">
        <f>IF(AND($A360&lt;&gt;"",$B360&lt;&gt;"",$C360&lt;&gt;"",$D360&lt;&gt;"",$E360&lt;&gt;""),IF(AND($B360="s",OR($C360="SER",$C360="PLH",$C360="CSF")),"Case CDI Plate "&amp;(INT(((COUNTIFS($B$2:$B360,"s",$C$2:$C360,"SER")+COUNTIFS($B$2:$B360,"s",$C$2:$C360,"PLH")+COUNTIFS($B$2:$B360,"s",$C$2:$C360,"CSF"))-1)/96)+1)&amp;": "&amp;CHAR(65+INT(MOD((COUNTIFS($B$2:$B360,"s",$C$2:$C360,"SER")+COUNTIFS($B$2:$B360,"s",$C$2:$C360,"PLH")+COUNTIFS($B$2:$B360,"s",$C$2:$C360,"CSF"))-1,96)/12))&amp;(MOD((COUNTIFS($B$2:$B360,"s",$C$2:$C360,"SER")+COUNTIFS($B$2:$B360,"s",$C$2:$C360,"PLH")+COUNTIFS($B$2:$B360,"s",$C$2:$C360,"CSF"))-1,12)+1),"N/A"),"")</f>
        <v/>
      </c>
      <c r="I360" s="6" t="str">
        <f>IF(AND($A360&lt;&gt;"",$B360&lt;&gt;"",$C360&lt;&gt;"",$D360&lt;&gt;"",$E360&lt;&gt;""),IF(AND($B360="s",OR($C360="SER",$C360="PLH",$C360="CSF")),"Case NIH Plate "&amp;(INT(((COUNTIFS($B$2:$B360,"s",$C$2:$C360,"SER")+COUNTIFS($B$2:$B360,"s",$C$2:$C360,"PLH")+COUNTIFS($B$2:$B360,"s",$C$2:$C360,"CSF"))-1)/96)+1)&amp;": "&amp;CHAR(65+INT(MOD((COUNTIFS($B$2:$B360,"s",$C$2:$C360,"SER")+COUNTIFS($B$2:$B360,"s",$C$2:$C360,"PLH")+COUNTIFS($B$2:$B360,"s",$C$2:$C360,"CSF"))-1,96)/12))&amp;(MOD((COUNTIFS($B$2:$B360,"s",$C$2:$C360,"SER")+COUNTIFS($B$2:$B360,"s",$C$2:$C360,"PLH")+COUNTIFS($B$2:$B360,"s",$C$2:$C360,"CSF"))-1,12)+1),"N/A"),"")</f>
        <v/>
      </c>
      <c r="J360" s="6" t="str">
        <f>IF(AND($A360&lt;&gt;"",$B360&lt;&gt;"",$C360&lt;&gt;"",$D360&lt;&gt;"",$E360&lt;&gt;""),IF(AND($B360="s",OR($C360="SER",$C360="PLH")),"Case MAX Planck Plate "&amp;(INT(((COUNTIFS($B$2:$B360,"s",$C$2:$C360,"SER")+COUNTIFS($B$2:$B360,"s",$C$2:$C360,"PLH"))-1)/96)+1)&amp;": "&amp;CHAR(65+INT(MOD((COUNTIFS($B$2:$B360,"s",$C$2:$C360,"SER")+COUNTIFS($B$2:$B360,"s",$C$2:$C360,"PLH"))-1,96)/12))&amp;(MOD((COUNTIFS($B$2:$B360,"s",$C$2:$C360,"SER")+COUNTIFS($B$2:$B360,"s",$C$2:$C360,"PLH"))-1,12)+1),"N/A"),"")</f>
        <v/>
      </c>
      <c r="K360" s="6" t="str">
        <f>IF(AND($A360&lt;&gt;"",$B360&lt;&gt;"",$C360&lt;&gt;"",$D360&lt;&gt;"",$E360&lt;&gt;""),IF($C360="WB","Case WB Box "&amp;(INT((COUNTIFS($C$2:$C360,"WB")-1)/81)+1)&amp;": "&amp;CHAR(65+INT(MOD(COUNTIFS($C$2:$C360,"WB")-1,81)/9))&amp;(MOD(COUNTIFS($C$2:$C360,"WB")-1,9)+1),"N/A"),"")</f>
        <v/>
      </c>
      <c r="L360" s="2" t="str">
        <f t="shared" si="91"/>
        <v/>
      </c>
      <c r="M360" s="2"/>
      <c r="N360" s="2"/>
      <c r="O360" s="2"/>
      <c r="P360" s="7" t="str">
        <f t="shared" si="92"/>
        <v/>
      </c>
      <c r="Q360" s="7" t="str">
        <f t="shared" si="93"/>
        <v/>
      </c>
      <c r="R360" s="7" t="str">
        <f t="shared" si="94"/>
        <v/>
      </c>
      <c r="S360" s="7" t="str">
        <f t="shared" si="95"/>
        <v/>
      </c>
      <c r="T360" s="7" t="str">
        <f t="shared" si="96"/>
        <v/>
      </c>
      <c r="U360" s="7" t="str">
        <f t="shared" si="97"/>
        <v/>
      </c>
      <c r="V360" s="7" t="str">
        <f t="shared" si="98"/>
        <v/>
      </c>
      <c r="W360" s="7" t="str">
        <f t="shared" si="99"/>
        <v/>
      </c>
      <c r="X360" s="7" t="str">
        <f t="shared" si="100"/>
        <v/>
      </c>
      <c r="Y360" s="7" t="str">
        <f t="shared" si="101"/>
        <v/>
      </c>
      <c r="Z360">
        <f t="shared" si="102"/>
        <v>0</v>
      </c>
      <c r="AA360" t="str">
        <f t="shared" si="103"/>
        <v/>
      </c>
      <c r="AB360" t="str">
        <f t="shared" si="104"/>
        <v/>
      </c>
      <c r="AC360" t="str">
        <f t="shared" si="105"/>
        <v/>
      </c>
      <c r="AD360" t="str">
        <f t="shared" si="106"/>
        <v/>
      </c>
      <c r="AE360">
        <f t="shared" si="107"/>
        <v>0</v>
      </c>
    </row>
    <row r="361" spans="1:31" ht="15" customHeight="1" x14ac:dyDescent="0.35">
      <c r="A361" s="2"/>
      <c r="B361" s="3"/>
      <c r="C361" s="3"/>
      <c r="D361" s="4"/>
      <c r="E361" s="5"/>
      <c r="F361" s="11" t="str">
        <f t="shared" ca="1" si="90"/>
        <v/>
      </c>
      <c r="G361" s="5"/>
      <c r="H361" s="6" t="str">
        <f>IF(AND($A361&lt;&gt;"",$B361&lt;&gt;"",$C361&lt;&gt;"",$D361&lt;&gt;"",$E361&lt;&gt;""),IF(AND($B361="s",OR($C361="SER",$C361="PLH",$C361="CSF")),"Case CDI Plate "&amp;(INT(((COUNTIFS($B$2:$B361,"s",$C$2:$C361,"SER")+COUNTIFS($B$2:$B361,"s",$C$2:$C361,"PLH")+COUNTIFS($B$2:$B361,"s",$C$2:$C361,"CSF"))-1)/96)+1)&amp;": "&amp;CHAR(65+INT(MOD((COUNTIFS($B$2:$B361,"s",$C$2:$C361,"SER")+COUNTIFS($B$2:$B361,"s",$C$2:$C361,"PLH")+COUNTIFS($B$2:$B361,"s",$C$2:$C361,"CSF"))-1,96)/12))&amp;(MOD((COUNTIFS($B$2:$B361,"s",$C$2:$C361,"SER")+COUNTIFS($B$2:$B361,"s",$C$2:$C361,"PLH")+COUNTIFS($B$2:$B361,"s",$C$2:$C361,"CSF"))-1,12)+1),"N/A"),"")</f>
        <v/>
      </c>
      <c r="I361" s="6" t="str">
        <f>IF(AND($A361&lt;&gt;"",$B361&lt;&gt;"",$C361&lt;&gt;"",$D361&lt;&gt;"",$E361&lt;&gt;""),IF(AND($B361="s",OR($C361="SER",$C361="PLH",$C361="CSF")),"Case NIH Plate "&amp;(INT(((COUNTIFS($B$2:$B361,"s",$C$2:$C361,"SER")+COUNTIFS($B$2:$B361,"s",$C$2:$C361,"PLH")+COUNTIFS($B$2:$B361,"s",$C$2:$C361,"CSF"))-1)/96)+1)&amp;": "&amp;CHAR(65+INT(MOD((COUNTIFS($B$2:$B361,"s",$C$2:$C361,"SER")+COUNTIFS($B$2:$B361,"s",$C$2:$C361,"PLH")+COUNTIFS($B$2:$B361,"s",$C$2:$C361,"CSF"))-1,96)/12))&amp;(MOD((COUNTIFS($B$2:$B361,"s",$C$2:$C361,"SER")+COUNTIFS($B$2:$B361,"s",$C$2:$C361,"PLH")+COUNTIFS($B$2:$B361,"s",$C$2:$C361,"CSF"))-1,12)+1),"N/A"),"")</f>
        <v/>
      </c>
      <c r="J361" s="6" t="str">
        <f>IF(AND($A361&lt;&gt;"",$B361&lt;&gt;"",$C361&lt;&gt;"",$D361&lt;&gt;"",$E361&lt;&gt;""),IF(AND($B361="s",OR($C361="SER",$C361="PLH")),"Case MAX Planck Plate "&amp;(INT(((COUNTIFS($B$2:$B361,"s",$C$2:$C361,"SER")+COUNTIFS($B$2:$B361,"s",$C$2:$C361,"PLH"))-1)/96)+1)&amp;": "&amp;CHAR(65+INT(MOD((COUNTIFS($B$2:$B361,"s",$C$2:$C361,"SER")+COUNTIFS($B$2:$B361,"s",$C$2:$C361,"PLH"))-1,96)/12))&amp;(MOD((COUNTIFS($B$2:$B361,"s",$C$2:$C361,"SER")+COUNTIFS($B$2:$B361,"s",$C$2:$C361,"PLH"))-1,12)+1),"N/A"),"")</f>
        <v/>
      </c>
      <c r="K361" s="6" t="str">
        <f>IF(AND($A361&lt;&gt;"",$B361&lt;&gt;"",$C361&lt;&gt;"",$D361&lt;&gt;"",$E361&lt;&gt;""),IF($C361="WB","Case WB Box "&amp;(INT((COUNTIFS($C$2:$C361,"WB")-1)/81)+1)&amp;": "&amp;CHAR(65+INT(MOD(COUNTIFS($C$2:$C361,"WB")-1,81)/9))&amp;(MOD(COUNTIFS($C$2:$C361,"WB")-1,9)+1),"N/A"),"")</f>
        <v/>
      </c>
      <c r="L361" s="2" t="str">
        <f t="shared" si="91"/>
        <v/>
      </c>
      <c r="M361" s="2"/>
      <c r="N361" s="2"/>
      <c r="O361" s="2"/>
      <c r="P361" s="7" t="str">
        <f t="shared" si="92"/>
        <v/>
      </c>
      <c r="Q361" s="7" t="str">
        <f t="shared" si="93"/>
        <v/>
      </c>
      <c r="R361" s="7" t="str">
        <f t="shared" si="94"/>
        <v/>
      </c>
      <c r="S361" s="7" t="str">
        <f t="shared" si="95"/>
        <v/>
      </c>
      <c r="T361" s="7" t="str">
        <f t="shared" si="96"/>
        <v/>
      </c>
      <c r="U361" s="7" t="str">
        <f t="shared" si="97"/>
        <v/>
      </c>
      <c r="V361" s="7" t="str">
        <f t="shared" si="98"/>
        <v/>
      </c>
      <c r="W361" s="7" t="str">
        <f t="shared" si="99"/>
        <v/>
      </c>
      <c r="X361" s="7" t="str">
        <f t="shared" si="100"/>
        <v/>
      </c>
      <c r="Y361" s="7" t="str">
        <f t="shared" si="101"/>
        <v/>
      </c>
      <c r="Z361">
        <f t="shared" si="102"/>
        <v>0</v>
      </c>
      <c r="AA361" t="str">
        <f t="shared" si="103"/>
        <v/>
      </c>
      <c r="AB361" t="str">
        <f t="shared" si="104"/>
        <v/>
      </c>
      <c r="AC361" t="str">
        <f t="shared" si="105"/>
        <v/>
      </c>
      <c r="AD361" t="str">
        <f t="shared" si="106"/>
        <v/>
      </c>
      <c r="AE361">
        <f t="shared" si="107"/>
        <v>0</v>
      </c>
    </row>
    <row r="362" spans="1:31" ht="15" customHeight="1" x14ac:dyDescent="0.35">
      <c r="A362" s="2"/>
      <c r="B362" s="3"/>
      <c r="C362" s="3"/>
      <c r="D362" s="4"/>
      <c r="E362" s="5"/>
      <c r="F362" s="11" t="str">
        <f t="shared" ca="1" si="90"/>
        <v/>
      </c>
      <c r="G362" s="5"/>
      <c r="H362" s="6" t="str">
        <f>IF(AND($A362&lt;&gt;"",$B362&lt;&gt;"",$C362&lt;&gt;"",$D362&lt;&gt;"",$E362&lt;&gt;""),IF(AND($B362="s",OR($C362="SER",$C362="PLH",$C362="CSF")),"Case CDI Plate "&amp;(INT(((COUNTIFS($B$2:$B362,"s",$C$2:$C362,"SER")+COUNTIFS($B$2:$B362,"s",$C$2:$C362,"PLH")+COUNTIFS($B$2:$B362,"s",$C$2:$C362,"CSF"))-1)/96)+1)&amp;": "&amp;CHAR(65+INT(MOD((COUNTIFS($B$2:$B362,"s",$C$2:$C362,"SER")+COUNTIFS($B$2:$B362,"s",$C$2:$C362,"PLH")+COUNTIFS($B$2:$B362,"s",$C$2:$C362,"CSF"))-1,96)/12))&amp;(MOD((COUNTIFS($B$2:$B362,"s",$C$2:$C362,"SER")+COUNTIFS($B$2:$B362,"s",$C$2:$C362,"PLH")+COUNTIFS($B$2:$B362,"s",$C$2:$C362,"CSF"))-1,12)+1),"N/A"),"")</f>
        <v/>
      </c>
      <c r="I362" s="6" t="str">
        <f>IF(AND($A362&lt;&gt;"",$B362&lt;&gt;"",$C362&lt;&gt;"",$D362&lt;&gt;"",$E362&lt;&gt;""),IF(AND($B362="s",OR($C362="SER",$C362="PLH",$C362="CSF")),"Case NIH Plate "&amp;(INT(((COUNTIFS($B$2:$B362,"s",$C$2:$C362,"SER")+COUNTIFS($B$2:$B362,"s",$C$2:$C362,"PLH")+COUNTIFS($B$2:$B362,"s",$C$2:$C362,"CSF"))-1)/96)+1)&amp;": "&amp;CHAR(65+INT(MOD((COUNTIFS($B$2:$B362,"s",$C$2:$C362,"SER")+COUNTIFS($B$2:$B362,"s",$C$2:$C362,"PLH")+COUNTIFS($B$2:$B362,"s",$C$2:$C362,"CSF"))-1,96)/12))&amp;(MOD((COUNTIFS($B$2:$B362,"s",$C$2:$C362,"SER")+COUNTIFS($B$2:$B362,"s",$C$2:$C362,"PLH")+COUNTIFS($B$2:$B362,"s",$C$2:$C362,"CSF"))-1,12)+1),"N/A"),"")</f>
        <v/>
      </c>
      <c r="J362" s="6" t="str">
        <f>IF(AND($A362&lt;&gt;"",$B362&lt;&gt;"",$C362&lt;&gt;"",$D362&lt;&gt;"",$E362&lt;&gt;""),IF(AND($B362="s",OR($C362="SER",$C362="PLH")),"Case MAX Planck Plate "&amp;(INT(((COUNTIFS($B$2:$B362,"s",$C$2:$C362,"SER")+COUNTIFS($B$2:$B362,"s",$C$2:$C362,"PLH"))-1)/96)+1)&amp;": "&amp;CHAR(65+INT(MOD((COUNTIFS($B$2:$B362,"s",$C$2:$C362,"SER")+COUNTIFS($B$2:$B362,"s",$C$2:$C362,"PLH"))-1,96)/12))&amp;(MOD((COUNTIFS($B$2:$B362,"s",$C$2:$C362,"SER")+COUNTIFS($B$2:$B362,"s",$C$2:$C362,"PLH"))-1,12)+1),"N/A"),"")</f>
        <v/>
      </c>
      <c r="K362" s="6" t="str">
        <f>IF(AND($A362&lt;&gt;"",$B362&lt;&gt;"",$C362&lt;&gt;"",$D362&lt;&gt;"",$E362&lt;&gt;""),IF($C362="WB","Case WB Box "&amp;(INT((COUNTIFS($C$2:$C362,"WB")-1)/81)+1)&amp;": "&amp;CHAR(65+INT(MOD(COUNTIFS($C$2:$C362,"WB")-1,81)/9))&amp;(MOD(COUNTIFS($C$2:$C362,"WB")-1,9)+1),"N/A"),"")</f>
        <v/>
      </c>
      <c r="L362" s="2" t="str">
        <f t="shared" si="91"/>
        <v/>
      </c>
      <c r="M362" s="2"/>
      <c r="N362" s="2"/>
      <c r="O362" s="2"/>
      <c r="P362" s="7" t="str">
        <f t="shared" si="92"/>
        <v/>
      </c>
      <c r="Q362" s="7" t="str">
        <f t="shared" si="93"/>
        <v/>
      </c>
      <c r="R362" s="7" t="str">
        <f t="shared" si="94"/>
        <v/>
      </c>
      <c r="S362" s="7" t="str">
        <f t="shared" si="95"/>
        <v/>
      </c>
      <c r="T362" s="7" t="str">
        <f t="shared" si="96"/>
        <v/>
      </c>
      <c r="U362" s="7" t="str">
        <f t="shared" si="97"/>
        <v/>
      </c>
      <c r="V362" s="7" t="str">
        <f t="shared" si="98"/>
        <v/>
      </c>
      <c r="W362" s="7" t="str">
        <f t="shared" si="99"/>
        <v/>
      </c>
      <c r="X362" s="7" t="str">
        <f t="shared" si="100"/>
        <v/>
      </c>
      <c r="Y362" s="7" t="str">
        <f t="shared" si="101"/>
        <v/>
      </c>
      <c r="Z362">
        <f t="shared" si="102"/>
        <v>0</v>
      </c>
      <c r="AA362" t="str">
        <f t="shared" si="103"/>
        <v/>
      </c>
      <c r="AB362" t="str">
        <f t="shared" si="104"/>
        <v/>
      </c>
      <c r="AC362" t="str">
        <f t="shared" si="105"/>
        <v/>
      </c>
      <c r="AD362" t="str">
        <f t="shared" si="106"/>
        <v/>
      </c>
      <c r="AE362">
        <f t="shared" si="107"/>
        <v>0</v>
      </c>
    </row>
    <row r="363" spans="1:31" ht="15" customHeight="1" x14ac:dyDescent="0.35">
      <c r="A363" s="2"/>
      <c r="B363" s="3"/>
      <c r="C363" s="3"/>
      <c r="D363" s="4"/>
      <c r="E363" s="5"/>
      <c r="F363" s="11" t="str">
        <f t="shared" ca="1" si="90"/>
        <v/>
      </c>
      <c r="G363" s="5"/>
      <c r="H363" s="6" t="str">
        <f>IF(AND($A363&lt;&gt;"",$B363&lt;&gt;"",$C363&lt;&gt;"",$D363&lt;&gt;"",$E363&lt;&gt;""),IF(AND($B363="s",OR($C363="SER",$C363="PLH",$C363="CSF")),"Case CDI Plate "&amp;(INT(((COUNTIFS($B$2:$B363,"s",$C$2:$C363,"SER")+COUNTIFS($B$2:$B363,"s",$C$2:$C363,"PLH")+COUNTIFS($B$2:$B363,"s",$C$2:$C363,"CSF"))-1)/96)+1)&amp;": "&amp;CHAR(65+INT(MOD((COUNTIFS($B$2:$B363,"s",$C$2:$C363,"SER")+COUNTIFS($B$2:$B363,"s",$C$2:$C363,"PLH")+COUNTIFS($B$2:$B363,"s",$C$2:$C363,"CSF"))-1,96)/12))&amp;(MOD((COUNTIFS($B$2:$B363,"s",$C$2:$C363,"SER")+COUNTIFS($B$2:$B363,"s",$C$2:$C363,"PLH")+COUNTIFS($B$2:$B363,"s",$C$2:$C363,"CSF"))-1,12)+1),"N/A"),"")</f>
        <v/>
      </c>
      <c r="I363" s="6" t="str">
        <f>IF(AND($A363&lt;&gt;"",$B363&lt;&gt;"",$C363&lt;&gt;"",$D363&lt;&gt;"",$E363&lt;&gt;""),IF(AND($B363="s",OR($C363="SER",$C363="PLH",$C363="CSF")),"Case NIH Plate "&amp;(INT(((COUNTIFS($B$2:$B363,"s",$C$2:$C363,"SER")+COUNTIFS($B$2:$B363,"s",$C$2:$C363,"PLH")+COUNTIFS($B$2:$B363,"s",$C$2:$C363,"CSF"))-1)/96)+1)&amp;": "&amp;CHAR(65+INT(MOD((COUNTIFS($B$2:$B363,"s",$C$2:$C363,"SER")+COUNTIFS($B$2:$B363,"s",$C$2:$C363,"PLH")+COUNTIFS($B$2:$B363,"s",$C$2:$C363,"CSF"))-1,96)/12))&amp;(MOD((COUNTIFS($B$2:$B363,"s",$C$2:$C363,"SER")+COUNTIFS($B$2:$B363,"s",$C$2:$C363,"PLH")+COUNTIFS($B$2:$B363,"s",$C$2:$C363,"CSF"))-1,12)+1),"N/A"),"")</f>
        <v/>
      </c>
      <c r="J363" s="6" t="str">
        <f>IF(AND($A363&lt;&gt;"",$B363&lt;&gt;"",$C363&lt;&gt;"",$D363&lt;&gt;"",$E363&lt;&gt;""),IF(AND($B363="s",OR($C363="SER",$C363="PLH")),"Case MAX Planck Plate "&amp;(INT(((COUNTIFS($B$2:$B363,"s",$C$2:$C363,"SER")+COUNTIFS($B$2:$B363,"s",$C$2:$C363,"PLH"))-1)/96)+1)&amp;": "&amp;CHAR(65+INT(MOD((COUNTIFS($B$2:$B363,"s",$C$2:$C363,"SER")+COUNTIFS($B$2:$B363,"s",$C$2:$C363,"PLH"))-1,96)/12))&amp;(MOD((COUNTIFS($B$2:$B363,"s",$C$2:$C363,"SER")+COUNTIFS($B$2:$B363,"s",$C$2:$C363,"PLH"))-1,12)+1),"N/A"),"")</f>
        <v/>
      </c>
      <c r="K363" s="6" t="str">
        <f>IF(AND($A363&lt;&gt;"",$B363&lt;&gt;"",$C363&lt;&gt;"",$D363&lt;&gt;"",$E363&lt;&gt;""),IF($C363="WB","Case WB Box "&amp;(INT((COUNTIFS($C$2:$C363,"WB")-1)/81)+1)&amp;": "&amp;CHAR(65+INT(MOD(COUNTIFS($C$2:$C363,"WB")-1,81)/9))&amp;(MOD(COUNTIFS($C$2:$C363,"WB")-1,9)+1),"N/A"),"")</f>
        <v/>
      </c>
      <c r="L363" s="2" t="str">
        <f t="shared" si="91"/>
        <v/>
      </c>
      <c r="M363" s="2"/>
      <c r="N363" s="2"/>
      <c r="O363" s="2"/>
      <c r="P363" s="7" t="str">
        <f t="shared" si="92"/>
        <v/>
      </c>
      <c r="Q363" s="7" t="str">
        <f t="shared" si="93"/>
        <v/>
      </c>
      <c r="R363" s="7" t="str">
        <f t="shared" si="94"/>
        <v/>
      </c>
      <c r="S363" s="7" t="str">
        <f t="shared" si="95"/>
        <v/>
      </c>
      <c r="T363" s="7" t="str">
        <f t="shared" si="96"/>
        <v/>
      </c>
      <c r="U363" s="7" t="str">
        <f t="shared" si="97"/>
        <v/>
      </c>
      <c r="V363" s="7" t="str">
        <f t="shared" si="98"/>
        <v/>
      </c>
      <c r="W363" s="7" t="str">
        <f t="shared" si="99"/>
        <v/>
      </c>
      <c r="X363" s="7" t="str">
        <f t="shared" si="100"/>
        <v/>
      </c>
      <c r="Y363" s="7" t="str">
        <f t="shared" si="101"/>
        <v/>
      </c>
      <c r="Z363">
        <f t="shared" si="102"/>
        <v>0</v>
      </c>
      <c r="AA363" t="str">
        <f t="shared" si="103"/>
        <v/>
      </c>
      <c r="AB363" t="str">
        <f t="shared" si="104"/>
        <v/>
      </c>
      <c r="AC363" t="str">
        <f t="shared" si="105"/>
        <v/>
      </c>
      <c r="AD363" t="str">
        <f t="shared" si="106"/>
        <v/>
      </c>
      <c r="AE363">
        <f t="shared" si="107"/>
        <v>0</v>
      </c>
    </row>
    <row r="364" spans="1:31" ht="15" customHeight="1" x14ac:dyDescent="0.35">
      <c r="A364" s="2"/>
      <c r="B364" s="3"/>
      <c r="C364" s="3"/>
      <c r="D364" s="4"/>
      <c r="E364" s="5"/>
      <c r="F364" s="11" t="str">
        <f t="shared" ca="1" si="90"/>
        <v/>
      </c>
      <c r="G364" s="5"/>
      <c r="H364" s="6" t="str">
        <f>IF(AND($A364&lt;&gt;"",$B364&lt;&gt;"",$C364&lt;&gt;"",$D364&lt;&gt;"",$E364&lt;&gt;""),IF(AND($B364="s",OR($C364="SER",$C364="PLH",$C364="CSF")),"Case CDI Plate "&amp;(INT(((COUNTIFS($B$2:$B364,"s",$C$2:$C364,"SER")+COUNTIFS($B$2:$B364,"s",$C$2:$C364,"PLH")+COUNTIFS($B$2:$B364,"s",$C$2:$C364,"CSF"))-1)/96)+1)&amp;": "&amp;CHAR(65+INT(MOD((COUNTIFS($B$2:$B364,"s",$C$2:$C364,"SER")+COUNTIFS($B$2:$B364,"s",$C$2:$C364,"PLH")+COUNTIFS($B$2:$B364,"s",$C$2:$C364,"CSF"))-1,96)/12))&amp;(MOD((COUNTIFS($B$2:$B364,"s",$C$2:$C364,"SER")+COUNTIFS($B$2:$B364,"s",$C$2:$C364,"PLH")+COUNTIFS($B$2:$B364,"s",$C$2:$C364,"CSF"))-1,12)+1),"N/A"),"")</f>
        <v/>
      </c>
      <c r="I364" s="6" t="str">
        <f>IF(AND($A364&lt;&gt;"",$B364&lt;&gt;"",$C364&lt;&gt;"",$D364&lt;&gt;"",$E364&lt;&gt;""),IF(AND($B364="s",OR($C364="SER",$C364="PLH",$C364="CSF")),"Case NIH Plate "&amp;(INT(((COUNTIFS($B$2:$B364,"s",$C$2:$C364,"SER")+COUNTIFS($B$2:$B364,"s",$C$2:$C364,"PLH")+COUNTIFS($B$2:$B364,"s",$C$2:$C364,"CSF"))-1)/96)+1)&amp;": "&amp;CHAR(65+INT(MOD((COUNTIFS($B$2:$B364,"s",$C$2:$C364,"SER")+COUNTIFS($B$2:$B364,"s",$C$2:$C364,"PLH")+COUNTIFS($B$2:$B364,"s",$C$2:$C364,"CSF"))-1,96)/12))&amp;(MOD((COUNTIFS($B$2:$B364,"s",$C$2:$C364,"SER")+COUNTIFS($B$2:$B364,"s",$C$2:$C364,"PLH")+COUNTIFS($B$2:$B364,"s",$C$2:$C364,"CSF"))-1,12)+1),"N/A"),"")</f>
        <v/>
      </c>
      <c r="J364" s="6" t="str">
        <f>IF(AND($A364&lt;&gt;"",$B364&lt;&gt;"",$C364&lt;&gt;"",$D364&lt;&gt;"",$E364&lt;&gt;""),IF(AND($B364="s",OR($C364="SER",$C364="PLH")),"Case MAX Planck Plate "&amp;(INT(((COUNTIFS($B$2:$B364,"s",$C$2:$C364,"SER")+COUNTIFS($B$2:$B364,"s",$C$2:$C364,"PLH"))-1)/96)+1)&amp;": "&amp;CHAR(65+INT(MOD((COUNTIFS($B$2:$B364,"s",$C$2:$C364,"SER")+COUNTIFS($B$2:$B364,"s",$C$2:$C364,"PLH"))-1,96)/12))&amp;(MOD((COUNTIFS($B$2:$B364,"s",$C$2:$C364,"SER")+COUNTIFS($B$2:$B364,"s",$C$2:$C364,"PLH"))-1,12)+1),"N/A"),"")</f>
        <v/>
      </c>
      <c r="K364" s="6" t="str">
        <f>IF(AND($A364&lt;&gt;"",$B364&lt;&gt;"",$C364&lt;&gt;"",$D364&lt;&gt;"",$E364&lt;&gt;""),IF($C364="WB","Case WB Box "&amp;(INT((COUNTIFS($C$2:$C364,"WB")-1)/81)+1)&amp;": "&amp;CHAR(65+INT(MOD(COUNTIFS($C$2:$C364,"WB")-1,81)/9))&amp;(MOD(COUNTIFS($C$2:$C364,"WB")-1,9)+1),"N/A"),"")</f>
        <v/>
      </c>
      <c r="L364" s="2" t="str">
        <f t="shared" si="91"/>
        <v/>
      </c>
      <c r="M364" s="2"/>
      <c r="N364" s="2"/>
      <c r="O364" s="2"/>
      <c r="P364" s="7" t="str">
        <f t="shared" si="92"/>
        <v/>
      </c>
      <c r="Q364" s="7" t="str">
        <f t="shared" si="93"/>
        <v/>
      </c>
      <c r="R364" s="7" t="str">
        <f t="shared" si="94"/>
        <v/>
      </c>
      <c r="S364" s="7" t="str">
        <f t="shared" si="95"/>
        <v/>
      </c>
      <c r="T364" s="7" t="str">
        <f t="shared" si="96"/>
        <v/>
      </c>
      <c r="U364" s="7" t="str">
        <f t="shared" si="97"/>
        <v/>
      </c>
      <c r="V364" s="7" t="str">
        <f t="shared" si="98"/>
        <v/>
      </c>
      <c r="W364" s="7" t="str">
        <f t="shared" si="99"/>
        <v/>
      </c>
      <c r="X364" s="7" t="str">
        <f t="shared" si="100"/>
        <v/>
      </c>
      <c r="Y364" s="7" t="str">
        <f t="shared" si="101"/>
        <v/>
      </c>
      <c r="Z364">
        <f t="shared" si="102"/>
        <v>0</v>
      </c>
      <c r="AA364" t="str">
        <f t="shared" si="103"/>
        <v/>
      </c>
      <c r="AB364" t="str">
        <f t="shared" si="104"/>
        <v/>
      </c>
      <c r="AC364" t="str">
        <f t="shared" si="105"/>
        <v/>
      </c>
      <c r="AD364" t="str">
        <f t="shared" si="106"/>
        <v/>
      </c>
      <c r="AE364">
        <f t="shared" si="107"/>
        <v>0</v>
      </c>
    </row>
    <row r="365" spans="1:31" ht="15" customHeight="1" x14ac:dyDescent="0.35">
      <c r="A365" s="2"/>
      <c r="B365" s="3"/>
      <c r="C365" s="3"/>
      <c r="D365" s="4"/>
      <c r="E365" s="5"/>
      <c r="F365" s="11" t="str">
        <f t="shared" ca="1" si="90"/>
        <v/>
      </c>
      <c r="G365" s="5"/>
      <c r="H365" s="6" t="str">
        <f>IF(AND($A365&lt;&gt;"",$B365&lt;&gt;"",$C365&lt;&gt;"",$D365&lt;&gt;"",$E365&lt;&gt;""),IF(AND($B365="s",OR($C365="SER",$C365="PLH",$C365="CSF")),"Case CDI Plate "&amp;(INT(((COUNTIFS($B$2:$B365,"s",$C$2:$C365,"SER")+COUNTIFS($B$2:$B365,"s",$C$2:$C365,"PLH")+COUNTIFS($B$2:$B365,"s",$C$2:$C365,"CSF"))-1)/96)+1)&amp;": "&amp;CHAR(65+INT(MOD((COUNTIFS($B$2:$B365,"s",$C$2:$C365,"SER")+COUNTIFS($B$2:$B365,"s",$C$2:$C365,"PLH")+COUNTIFS($B$2:$B365,"s",$C$2:$C365,"CSF"))-1,96)/12))&amp;(MOD((COUNTIFS($B$2:$B365,"s",$C$2:$C365,"SER")+COUNTIFS($B$2:$B365,"s",$C$2:$C365,"PLH")+COUNTIFS($B$2:$B365,"s",$C$2:$C365,"CSF"))-1,12)+1),"N/A"),"")</f>
        <v/>
      </c>
      <c r="I365" s="6" t="str">
        <f>IF(AND($A365&lt;&gt;"",$B365&lt;&gt;"",$C365&lt;&gt;"",$D365&lt;&gt;"",$E365&lt;&gt;""),IF(AND($B365="s",OR($C365="SER",$C365="PLH",$C365="CSF")),"Case NIH Plate "&amp;(INT(((COUNTIFS($B$2:$B365,"s",$C$2:$C365,"SER")+COUNTIFS($B$2:$B365,"s",$C$2:$C365,"PLH")+COUNTIFS($B$2:$B365,"s",$C$2:$C365,"CSF"))-1)/96)+1)&amp;": "&amp;CHAR(65+INT(MOD((COUNTIFS($B$2:$B365,"s",$C$2:$C365,"SER")+COUNTIFS($B$2:$B365,"s",$C$2:$C365,"PLH")+COUNTIFS($B$2:$B365,"s",$C$2:$C365,"CSF"))-1,96)/12))&amp;(MOD((COUNTIFS($B$2:$B365,"s",$C$2:$C365,"SER")+COUNTIFS($B$2:$B365,"s",$C$2:$C365,"PLH")+COUNTIFS($B$2:$B365,"s",$C$2:$C365,"CSF"))-1,12)+1),"N/A"),"")</f>
        <v/>
      </c>
      <c r="J365" s="6" t="str">
        <f>IF(AND($A365&lt;&gt;"",$B365&lt;&gt;"",$C365&lt;&gt;"",$D365&lt;&gt;"",$E365&lt;&gt;""),IF(AND($B365="s",OR($C365="SER",$C365="PLH")),"Case MAX Planck Plate "&amp;(INT(((COUNTIFS($B$2:$B365,"s",$C$2:$C365,"SER")+COUNTIFS($B$2:$B365,"s",$C$2:$C365,"PLH"))-1)/96)+1)&amp;": "&amp;CHAR(65+INT(MOD((COUNTIFS($B$2:$B365,"s",$C$2:$C365,"SER")+COUNTIFS($B$2:$B365,"s",$C$2:$C365,"PLH"))-1,96)/12))&amp;(MOD((COUNTIFS($B$2:$B365,"s",$C$2:$C365,"SER")+COUNTIFS($B$2:$B365,"s",$C$2:$C365,"PLH"))-1,12)+1),"N/A"),"")</f>
        <v/>
      </c>
      <c r="K365" s="6" t="str">
        <f>IF(AND($A365&lt;&gt;"",$B365&lt;&gt;"",$C365&lt;&gt;"",$D365&lt;&gt;"",$E365&lt;&gt;""),IF($C365="WB","Case WB Box "&amp;(INT((COUNTIFS($C$2:$C365,"WB")-1)/81)+1)&amp;": "&amp;CHAR(65+INT(MOD(COUNTIFS($C$2:$C365,"WB")-1,81)/9))&amp;(MOD(COUNTIFS($C$2:$C365,"WB")-1,9)+1),"N/A"),"")</f>
        <v/>
      </c>
      <c r="L365" s="2" t="str">
        <f t="shared" si="91"/>
        <v/>
      </c>
      <c r="M365" s="2"/>
      <c r="N365" s="2"/>
      <c r="O365" s="2"/>
      <c r="P365" s="7" t="str">
        <f t="shared" si="92"/>
        <v/>
      </c>
      <c r="Q365" s="7" t="str">
        <f t="shared" si="93"/>
        <v/>
      </c>
      <c r="R365" s="7" t="str">
        <f t="shared" si="94"/>
        <v/>
      </c>
      <c r="S365" s="7" t="str">
        <f t="shared" si="95"/>
        <v/>
      </c>
      <c r="T365" s="7" t="str">
        <f t="shared" si="96"/>
        <v/>
      </c>
      <c r="U365" s="7" t="str">
        <f t="shared" si="97"/>
        <v/>
      </c>
      <c r="V365" s="7" t="str">
        <f t="shared" si="98"/>
        <v/>
      </c>
      <c r="W365" s="7" t="str">
        <f t="shared" si="99"/>
        <v/>
      </c>
      <c r="X365" s="7" t="str">
        <f t="shared" si="100"/>
        <v/>
      </c>
      <c r="Y365" s="7" t="str">
        <f t="shared" si="101"/>
        <v/>
      </c>
      <c r="Z365">
        <f t="shared" si="102"/>
        <v>0</v>
      </c>
      <c r="AA365" t="str">
        <f t="shared" si="103"/>
        <v/>
      </c>
      <c r="AB365" t="str">
        <f t="shared" si="104"/>
        <v/>
      </c>
      <c r="AC365" t="str">
        <f t="shared" si="105"/>
        <v/>
      </c>
      <c r="AD365" t="str">
        <f t="shared" si="106"/>
        <v/>
      </c>
      <c r="AE365">
        <f t="shared" si="107"/>
        <v>0</v>
      </c>
    </row>
    <row r="366" spans="1:31" ht="15" customHeight="1" x14ac:dyDescent="0.35">
      <c r="A366" s="2"/>
      <c r="B366" s="3"/>
      <c r="C366" s="3"/>
      <c r="D366" s="4"/>
      <c r="E366" s="5"/>
      <c r="F366" s="11" t="str">
        <f t="shared" ca="1" si="90"/>
        <v/>
      </c>
      <c r="G366" s="5"/>
      <c r="H366" s="6" t="str">
        <f>IF(AND($A366&lt;&gt;"",$B366&lt;&gt;"",$C366&lt;&gt;"",$D366&lt;&gt;"",$E366&lt;&gt;""),IF(AND($B366="s",OR($C366="SER",$C366="PLH",$C366="CSF")),"Case CDI Plate "&amp;(INT(((COUNTIFS($B$2:$B366,"s",$C$2:$C366,"SER")+COUNTIFS($B$2:$B366,"s",$C$2:$C366,"PLH")+COUNTIFS($B$2:$B366,"s",$C$2:$C366,"CSF"))-1)/96)+1)&amp;": "&amp;CHAR(65+INT(MOD((COUNTIFS($B$2:$B366,"s",$C$2:$C366,"SER")+COUNTIFS($B$2:$B366,"s",$C$2:$C366,"PLH")+COUNTIFS($B$2:$B366,"s",$C$2:$C366,"CSF"))-1,96)/12))&amp;(MOD((COUNTIFS($B$2:$B366,"s",$C$2:$C366,"SER")+COUNTIFS($B$2:$B366,"s",$C$2:$C366,"PLH")+COUNTIFS($B$2:$B366,"s",$C$2:$C366,"CSF"))-1,12)+1),"N/A"),"")</f>
        <v/>
      </c>
      <c r="I366" s="6" t="str">
        <f>IF(AND($A366&lt;&gt;"",$B366&lt;&gt;"",$C366&lt;&gt;"",$D366&lt;&gt;"",$E366&lt;&gt;""),IF(AND($B366="s",OR($C366="SER",$C366="PLH",$C366="CSF")),"Case NIH Plate "&amp;(INT(((COUNTIFS($B$2:$B366,"s",$C$2:$C366,"SER")+COUNTIFS($B$2:$B366,"s",$C$2:$C366,"PLH")+COUNTIFS($B$2:$B366,"s",$C$2:$C366,"CSF"))-1)/96)+1)&amp;": "&amp;CHAR(65+INT(MOD((COUNTIFS($B$2:$B366,"s",$C$2:$C366,"SER")+COUNTIFS($B$2:$B366,"s",$C$2:$C366,"PLH")+COUNTIFS($B$2:$B366,"s",$C$2:$C366,"CSF"))-1,96)/12))&amp;(MOD((COUNTIFS($B$2:$B366,"s",$C$2:$C366,"SER")+COUNTIFS($B$2:$B366,"s",$C$2:$C366,"PLH")+COUNTIFS($B$2:$B366,"s",$C$2:$C366,"CSF"))-1,12)+1),"N/A"),"")</f>
        <v/>
      </c>
      <c r="J366" s="6" t="str">
        <f>IF(AND($A366&lt;&gt;"",$B366&lt;&gt;"",$C366&lt;&gt;"",$D366&lt;&gt;"",$E366&lt;&gt;""),IF(AND($B366="s",OR($C366="SER",$C366="PLH")),"Case MAX Planck Plate "&amp;(INT(((COUNTIFS($B$2:$B366,"s",$C$2:$C366,"SER")+COUNTIFS($B$2:$B366,"s",$C$2:$C366,"PLH"))-1)/96)+1)&amp;": "&amp;CHAR(65+INT(MOD((COUNTIFS($B$2:$B366,"s",$C$2:$C366,"SER")+COUNTIFS($B$2:$B366,"s",$C$2:$C366,"PLH"))-1,96)/12))&amp;(MOD((COUNTIFS($B$2:$B366,"s",$C$2:$C366,"SER")+COUNTIFS($B$2:$B366,"s",$C$2:$C366,"PLH"))-1,12)+1),"N/A"),"")</f>
        <v/>
      </c>
      <c r="K366" s="6" t="str">
        <f>IF(AND($A366&lt;&gt;"",$B366&lt;&gt;"",$C366&lt;&gt;"",$D366&lt;&gt;"",$E366&lt;&gt;""),IF($C366="WB","Case WB Box "&amp;(INT((COUNTIFS($C$2:$C366,"WB")-1)/81)+1)&amp;": "&amp;CHAR(65+INT(MOD(COUNTIFS($C$2:$C366,"WB")-1,81)/9))&amp;(MOD(COUNTIFS($C$2:$C366,"WB")-1,9)+1),"N/A"),"")</f>
        <v/>
      </c>
      <c r="L366" s="2" t="str">
        <f t="shared" si="91"/>
        <v/>
      </c>
      <c r="M366" s="2"/>
      <c r="N366" s="2"/>
      <c r="O366" s="2"/>
      <c r="P366" s="7" t="str">
        <f t="shared" si="92"/>
        <v/>
      </c>
      <c r="Q366" s="7" t="str">
        <f t="shared" si="93"/>
        <v/>
      </c>
      <c r="R366" s="7" t="str">
        <f t="shared" si="94"/>
        <v/>
      </c>
      <c r="S366" s="7" t="str">
        <f t="shared" si="95"/>
        <v/>
      </c>
      <c r="T366" s="7" t="str">
        <f t="shared" si="96"/>
        <v/>
      </c>
      <c r="U366" s="7" t="str">
        <f t="shared" si="97"/>
        <v/>
      </c>
      <c r="V366" s="7" t="str">
        <f t="shared" si="98"/>
        <v/>
      </c>
      <c r="W366" s="7" t="str">
        <f t="shared" si="99"/>
        <v/>
      </c>
      <c r="X366" s="7" t="str">
        <f t="shared" si="100"/>
        <v/>
      </c>
      <c r="Y366" s="7" t="str">
        <f t="shared" si="101"/>
        <v/>
      </c>
      <c r="Z366">
        <f t="shared" si="102"/>
        <v>0</v>
      </c>
      <c r="AA366" t="str">
        <f t="shared" si="103"/>
        <v/>
      </c>
      <c r="AB366" t="str">
        <f t="shared" si="104"/>
        <v/>
      </c>
      <c r="AC366" t="str">
        <f t="shared" si="105"/>
        <v/>
      </c>
      <c r="AD366" t="str">
        <f t="shared" si="106"/>
        <v/>
      </c>
      <c r="AE366">
        <f t="shared" si="107"/>
        <v>0</v>
      </c>
    </row>
    <row r="367" spans="1:31" ht="15" customHeight="1" x14ac:dyDescent="0.35">
      <c r="A367" s="2"/>
      <c r="B367" s="3"/>
      <c r="C367" s="3"/>
      <c r="D367" s="4"/>
      <c r="E367" s="5"/>
      <c r="F367" s="11" t="str">
        <f t="shared" ca="1" si="90"/>
        <v/>
      </c>
      <c r="G367" s="5"/>
      <c r="H367" s="6" t="str">
        <f>IF(AND($A367&lt;&gt;"",$B367&lt;&gt;"",$C367&lt;&gt;"",$D367&lt;&gt;"",$E367&lt;&gt;""),IF(AND($B367="s",OR($C367="SER",$C367="PLH",$C367="CSF")),"Case CDI Plate "&amp;(INT(((COUNTIFS($B$2:$B367,"s",$C$2:$C367,"SER")+COUNTIFS($B$2:$B367,"s",$C$2:$C367,"PLH")+COUNTIFS($B$2:$B367,"s",$C$2:$C367,"CSF"))-1)/96)+1)&amp;": "&amp;CHAR(65+INT(MOD((COUNTIFS($B$2:$B367,"s",$C$2:$C367,"SER")+COUNTIFS($B$2:$B367,"s",$C$2:$C367,"PLH")+COUNTIFS($B$2:$B367,"s",$C$2:$C367,"CSF"))-1,96)/12))&amp;(MOD((COUNTIFS($B$2:$B367,"s",$C$2:$C367,"SER")+COUNTIFS($B$2:$B367,"s",$C$2:$C367,"PLH")+COUNTIFS($B$2:$B367,"s",$C$2:$C367,"CSF"))-1,12)+1),"N/A"),"")</f>
        <v/>
      </c>
      <c r="I367" s="6" t="str">
        <f>IF(AND($A367&lt;&gt;"",$B367&lt;&gt;"",$C367&lt;&gt;"",$D367&lt;&gt;"",$E367&lt;&gt;""),IF(AND($B367="s",OR($C367="SER",$C367="PLH",$C367="CSF")),"Case NIH Plate "&amp;(INT(((COUNTIFS($B$2:$B367,"s",$C$2:$C367,"SER")+COUNTIFS($B$2:$B367,"s",$C$2:$C367,"PLH")+COUNTIFS($B$2:$B367,"s",$C$2:$C367,"CSF"))-1)/96)+1)&amp;": "&amp;CHAR(65+INT(MOD((COUNTIFS($B$2:$B367,"s",$C$2:$C367,"SER")+COUNTIFS($B$2:$B367,"s",$C$2:$C367,"PLH")+COUNTIFS($B$2:$B367,"s",$C$2:$C367,"CSF"))-1,96)/12))&amp;(MOD((COUNTIFS($B$2:$B367,"s",$C$2:$C367,"SER")+COUNTIFS($B$2:$B367,"s",$C$2:$C367,"PLH")+COUNTIFS($B$2:$B367,"s",$C$2:$C367,"CSF"))-1,12)+1),"N/A"),"")</f>
        <v/>
      </c>
      <c r="J367" s="6" t="str">
        <f>IF(AND($A367&lt;&gt;"",$B367&lt;&gt;"",$C367&lt;&gt;"",$D367&lt;&gt;"",$E367&lt;&gt;""),IF(AND($B367="s",OR($C367="SER",$C367="PLH")),"Case MAX Planck Plate "&amp;(INT(((COUNTIFS($B$2:$B367,"s",$C$2:$C367,"SER")+COUNTIFS($B$2:$B367,"s",$C$2:$C367,"PLH"))-1)/96)+1)&amp;": "&amp;CHAR(65+INT(MOD((COUNTIFS($B$2:$B367,"s",$C$2:$C367,"SER")+COUNTIFS($B$2:$B367,"s",$C$2:$C367,"PLH"))-1,96)/12))&amp;(MOD((COUNTIFS($B$2:$B367,"s",$C$2:$C367,"SER")+COUNTIFS($B$2:$B367,"s",$C$2:$C367,"PLH"))-1,12)+1),"N/A"),"")</f>
        <v/>
      </c>
      <c r="K367" s="6" t="str">
        <f>IF(AND($A367&lt;&gt;"",$B367&lt;&gt;"",$C367&lt;&gt;"",$D367&lt;&gt;"",$E367&lt;&gt;""),IF($C367="WB","Case WB Box "&amp;(INT((COUNTIFS($C$2:$C367,"WB")-1)/81)+1)&amp;": "&amp;CHAR(65+INT(MOD(COUNTIFS($C$2:$C367,"WB")-1,81)/9))&amp;(MOD(COUNTIFS($C$2:$C367,"WB")-1,9)+1),"N/A"),"")</f>
        <v/>
      </c>
      <c r="L367" s="2" t="str">
        <f t="shared" si="91"/>
        <v/>
      </c>
      <c r="M367" s="2"/>
      <c r="N367" s="2"/>
      <c r="O367" s="2"/>
      <c r="P367" s="7" t="str">
        <f t="shared" si="92"/>
        <v/>
      </c>
      <c r="Q367" s="7" t="str">
        <f t="shared" si="93"/>
        <v/>
      </c>
      <c r="R367" s="7" t="str">
        <f t="shared" si="94"/>
        <v/>
      </c>
      <c r="S367" s="7" t="str">
        <f t="shared" si="95"/>
        <v/>
      </c>
      <c r="T367" s="7" t="str">
        <f t="shared" si="96"/>
        <v/>
      </c>
      <c r="U367" s="7" t="str">
        <f t="shared" si="97"/>
        <v/>
      </c>
      <c r="V367" s="7" t="str">
        <f t="shared" si="98"/>
        <v/>
      </c>
      <c r="W367" s="7" t="str">
        <f t="shared" si="99"/>
        <v/>
      </c>
      <c r="X367" s="7" t="str">
        <f t="shared" si="100"/>
        <v/>
      </c>
      <c r="Y367" s="7" t="str">
        <f t="shared" si="101"/>
        <v/>
      </c>
      <c r="Z367">
        <f t="shared" si="102"/>
        <v>0</v>
      </c>
      <c r="AA367" t="str">
        <f t="shared" si="103"/>
        <v/>
      </c>
      <c r="AB367" t="str">
        <f t="shared" si="104"/>
        <v/>
      </c>
      <c r="AC367" t="str">
        <f t="shared" si="105"/>
        <v/>
      </c>
      <c r="AD367" t="str">
        <f t="shared" si="106"/>
        <v/>
      </c>
      <c r="AE367">
        <f t="shared" si="107"/>
        <v>0</v>
      </c>
    </row>
    <row r="368" spans="1:31" ht="15" customHeight="1" x14ac:dyDescent="0.35">
      <c r="A368" s="2"/>
      <c r="B368" s="3"/>
      <c r="C368" s="3"/>
      <c r="D368" s="4"/>
      <c r="E368" s="5"/>
      <c r="F368" s="11" t="str">
        <f t="shared" ca="1" si="90"/>
        <v/>
      </c>
      <c r="G368" s="5"/>
      <c r="H368" s="6" t="str">
        <f>IF(AND($A368&lt;&gt;"",$B368&lt;&gt;"",$C368&lt;&gt;"",$D368&lt;&gt;"",$E368&lt;&gt;""),IF(AND($B368="s",OR($C368="SER",$C368="PLH",$C368="CSF")),"Case CDI Plate "&amp;(INT(((COUNTIFS($B$2:$B368,"s",$C$2:$C368,"SER")+COUNTIFS($B$2:$B368,"s",$C$2:$C368,"PLH")+COUNTIFS($B$2:$B368,"s",$C$2:$C368,"CSF"))-1)/96)+1)&amp;": "&amp;CHAR(65+INT(MOD((COUNTIFS($B$2:$B368,"s",$C$2:$C368,"SER")+COUNTIFS($B$2:$B368,"s",$C$2:$C368,"PLH")+COUNTIFS($B$2:$B368,"s",$C$2:$C368,"CSF"))-1,96)/12))&amp;(MOD((COUNTIFS($B$2:$B368,"s",$C$2:$C368,"SER")+COUNTIFS($B$2:$B368,"s",$C$2:$C368,"PLH")+COUNTIFS($B$2:$B368,"s",$C$2:$C368,"CSF"))-1,12)+1),"N/A"),"")</f>
        <v/>
      </c>
      <c r="I368" s="6" t="str">
        <f>IF(AND($A368&lt;&gt;"",$B368&lt;&gt;"",$C368&lt;&gt;"",$D368&lt;&gt;"",$E368&lt;&gt;""),IF(AND($B368="s",OR($C368="SER",$C368="PLH",$C368="CSF")),"Case NIH Plate "&amp;(INT(((COUNTIFS($B$2:$B368,"s",$C$2:$C368,"SER")+COUNTIFS($B$2:$B368,"s",$C$2:$C368,"PLH")+COUNTIFS($B$2:$B368,"s",$C$2:$C368,"CSF"))-1)/96)+1)&amp;": "&amp;CHAR(65+INT(MOD((COUNTIFS($B$2:$B368,"s",$C$2:$C368,"SER")+COUNTIFS($B$2:$B368,"s",$C$2:$C368,"PLH")+COUNTIFS($B$2:$B368,"s",$C$2:$C368,"CSF"))-1,96)/12))&amp;(MOD((COUNTIFS($B$2:$B368,"s",$C$2:$C368,"SER")+COUNTIFS($B$2:$B368,"s",$C$2:$C368,"PLH")+COUNTIFS($B$2:$B368,"s",$C$2:$C368,"CSF"))-1,12)+1),"N/A"),"")</f>
        <v/>
      </c>
      <c r="J368" s="6" t="str">
        <f>IF(AND($A368&lt;&gt;"",$B368&lt;&gt;"",$C368&lt;&gt;"",$D368&lt;&gt;"",$E368&lt;&gt;""),IF(AND($B368="s",OR($C368="SER",$C368="PLH")),"Case MAX Planck Plate "&amp;(INT(((COUNTIFS($B$2:$B368,"s",$C$2:$C368,"SER")+COUNTIFS($B$2:$B368,"s",$C$2:$C368,"PLH"))-1)/96)+1)&amp;": "&amp;CHAR(65+INT(MOD((COUNTIFS($B$2:$B368,"s",$C$2:$C368,"SER")+COUNTIFS($B$2:$B368,"s",$C$2:$C368,"PLH"))-1,96)/12))&amp;(MOD((COUNTIFS($B$2:$B368,"s",$C$2:$C368,"SER")+COUNTIFS($B$2:$B368,"s",$C$2:$C368,"PLH"))-1,12)+1),"N/A"),"")</f>
        <v/>
      </c>
      <c r="K368" s="6" t="str">
        <f>IF(AND($A368&lt;&gt;"",$B368&lt;&gt;"",$C368&lt;&gt;"",$D368&lt;&gt;"",$E368&lt;&gt;""),IF($C368="WB","Case WB Box "&amp;(INT((COUNTIFS($C$2:$C368,"WB")-1)/81)+1)&amp;": "&amp;CHAR(65+INT(MOD(COUNTIFS($C$2:$C368,"WB")-1,81)/9))&amp;(MOD(COUNTIFS($C$2:$C368,"WB")-1,9)+1),"N/A"),"")</f>
        <v/>
      </c>
      <c r="L368" s="2" t="str">
        <f t="shared" si="91"/>
        <v/>
      </c>
      <c r="M368" s="2"/>
      <c r="N368" s="2"/>
      <c r="O368" s="2"/>
      <c r="P368" s="7" t="str">
        <f t="shared" si="92"/>
        <v/>
      </c>
      <c r="Q368" s="7" t="str">
        <f t="shared" si="93"/>
        <v/>
      </c>
      <c r="R368" s="7" t="str">
        <f t="shared" si="94"/>
        <v/>
      </c>
      <c r="S368" s="7" t="str">
        <f t="shared" si="95"/>
        <v/>
      </c>
      <c r="T368" s="7" t="str">
        <f t="shared" si="96"/>
        <v/>
      </c>
      <c r="U368" s="7" t="str">
        <f t="shared" si="97"/>
        <v/>
      </c>
      <c r="V368" s="7" t="str">
        <f t="shared" si="98"/>
        <v/>
      </c>
      <c r="W368" s="7" t="str">
        <f t="shared" si="99"/>
        <v/>
      </c>
      <c r="X368" s="7" t="str">
        <f t="shared" si="100"/>
        <v/>
      </c>
      <c r="Y368" s="7" t="str">
        <f t="shared" si="101"/>
        <v/>
      </c>
      <c r="Z368">
        <f t="shared" si="102"/>
        <v>0</v>
      </c>
      <c r="AA368" t="str">
        <f t="shared" si="103"/>
        <v/>
      </c>
      <c r="AB368" t="str">
        <f t="shared" si="104"/>
        <v/>
      </c>
      <c r="AC368" t="str">
        <f t="shared" si="105"/>
        <v/>
      </c>
      <c r="AD368" t="str">
        <f t="shared" si="106"/>
        <v/>
      </c>
      <c r="AE368">
        <f t="shared" si="107"/>
        <v>0</v>
      </c>
    </row>
    <row r="369" spans="1:31" ht="15" customHeight="1" x14ac:dyDescent="0.35">
      <c r="A369" s="2"/>
      <c r="B369" s="3"/>
      <c r="C369" s="3"/>
      <c r="D369" s="4"/>
      <c r="E369" s="5"/>
      <c r="F369" s="11" t="str">
        <f t="shared" ca="1" si="90"/>
        <v/>
      </c>
      <c r="G369" s="5"/>
      <c r="H369" s="6" t="str">
        <f>IF(AND($A369&lt;&gt;"",$B369&lt;&gt;"",$C369&lt;&gt;"",$D369&lt;&gt;"",$E369&lt;&gt;""),IF(AND($B369="s",OR($C369="SER",$C369="PLH",$C369="CSF")),"Case CDI Plate "&amp;(INT(((COUNTIFS($B$2:$B369,"s",$C$2:$C369,"SER")+COUNTIFS($B$2:$B369,"s",$C$2:$C369,"PLH")+COUNTIFS($B$2:$B369,"s",$C$2:$C369,"CSF"))-1)/96)+1)&amp;": "&amp;CHAR(65+INT(MOD((COUNTIFS($B$2:$B369,"s",$C$2:$C369,"SER")+COUNTIFS($B$2:$B369,"s",$C$2:$C369,"PLH")+COUNTIFS($B$2:$B369,"s",$C$2:$C369,"CSF"))-1,96)/12))&amp;(MOD((COUNTIFS($B$2:$B369,"s",$C$2:$C369,"SER")+COUNTIFS($B$2:$B369,"s",$C$2:$C369,"PLH")+COUNTIFS($B$2:$B369,"s",$C$2:$C369,"CSF"))-1,12)+1),"N/A"),"")</f>
        <v/>
      </c>
      <c r="I369" s="6" t="str">
        <f>IF(AND($A369&lt;&gt;"",$B369&lt;&gt;"",$C369&lt;&gt;"",$D369&lt;&gt;"",$E369&lt;&gt;""),IF(AND($B369="s",OR($C369="SER",$C369="PLH",$C369="CSF")),"Case NIH Plate "&amp;(INT(((COUNTIFS($B$2:$B369,"s",$C$2:$C369,"SER")+COUNTIFS($B$2:$B369,"s",$C$2:$C369,"PLH")+COUNTIFS($B$2:$B369,"s",$C$2:$C369,"CSF"))-1)/96)+1)&amp;": "&amp;CHAR(65+INT(MOD((COUNTIFS($B$2:$B369,"s",$C$2:$C369,"SER")+COUNTIFS($B$2:$B369,"s",$C$2:$C369,"PLH")+COUNTIFS($B$2:$B369,"s",$C$2:$C369,"CSF"))-1,96)/12))&amp;(MOD((COUNTIFS($B$2:$B369,"s",$C$2:$C369,"SER")+COUNTIFS($B$2:$B369,"s",$C$2:$C369,"PLH")+COUNTIFS($B$2:$B369,"s",$C$2:$C369,"CSF"))-1,12)+1),"N/A"),"")</f>
        <v/>
      </c>
      <c r="J369" s="6" t="str">
        <f>IF(AND($A369&lt;&gt;"",$B369&lt;&gt;"",$C369&lt;&gt;"",$D369&lt;&gt;"",$E369&lt;&gt;""),IF(AND($B369="s",OR($C369="SER",$C369="PLH")),"Case MAX Planck Plate "&amp;(INT(((COUNTIFS($B$2:$B369,"s",$C$2:$C369,"SER")+COUNTIFS($B$2:$B369,"s",$C$2:$C369,"PLH"))-1)/96)+1)&amp;": "&amp;CHAR(65+INT(MOD((COUNTIFS($B$2:$B369,"s",$C$2:$C369,"SER")+COUNTIFS($B$2:$B369,"s",$C$2:$C369,"PLH"))-1,96)/12))&amp;(MOD((COUNTIFS($B$2:$B369,"s",$C$2:$C369,"SER")+COUNTIFS($B$2:$B369,"s",$C$2:$C369,"PLH"))-1,12)+1),"N/A"),"")</f>
        <v/>
      </c>
      <c r="K369" s="6" t="str">
        <f>IF(AND($A369&lt;&gt;"",$B369&lt;&gt;"",$C369&lt;&gt;"",$D369&lt;&gt;"",$E369&lt;&gt;""),IF($C369="WB","Case WB Box "&amp;(INT((COUNTIFS($C$2:$C369,"WB")-1)/81)+1)&amp;": "&amp;CHAR(65+INT(MOD(COUNTIFS($C$2:$C369,"WB")-1,81)/9))&amp;(MOD(COUNTIFS($C$2:$C369,"WB")-1,9)+1),"N/A"),"")</f>
        <v/>
      </c>
      <c r="L369" s="2" t="str">
        <f t="shared" si="91"/>
        <v/>
      </c>
      <c r="M369" s="2"/>
      <c r="N369" s="2"/>
      <c r="O369" s="2"/>
      <c r="P369" s="7" t="str">
        <f t="shared" si="92"/>
        <v/>
      </c>
      <c r="Q369" s="7" t="str">
        <f t="shared" si="93"/>
        <v/>
      </c>
      <c r="R369" s="7" t="str">
        <f t="shared" si="94"/>
        <v/>
      </c>
      <c r="S369" s="7" t="str">
        <f t="shared" si="95"/>
        <v/>
      </c>
      <c r="T369" s="7" t="str">
        <f t="shared" si="96"/>
        <v/>
      </c>
      <c r="U369" s="7" t="str">
        <f t="shared" si="97"/>
        <v/>
      </c>
      <c r="V369" s="7" t="str">
        <f t="shared" si="98"/>
        <v/>
      </c>
      <c r="W369" s="7" t="str">
        <f t="shared" si="99"/>
        <v/>
      </c>
      <c r="X369" s="7" t="str">
        <f t="shared" si="100"/>
        <v/>
      </c>
      <c r="Y369" s="7" t="str">
        <f t="shared" si="101"/>
        <v/>
      </c>
      <c r="Z369">
        <f t="shared" si="102"/>
        <v>0</v>
      </c>
      <c r="AA369" t="str">
        <f t="shared" si="103"/>
        <v/>
      </c>
      <c r="AB369" t="str">
        <f t="shared" si="104"/>
        <v/>
      </c>
      <c r="AC369" t="str">
        <f t="shared" si="105"/>
        <v/>
      </c>
      <c r="AD369" t="str">
        <f t="shared" si="106"/>
        <v/>
      </c>
      <c r="AE369">
        <f t="shared" si="107"/>
        <v>0</v>
      </c>
    </row>
    <row r="370" spans="1:31" ht="15" customHeight="1" x14ac:dyDescent="0.35">
      <c r="A370" s="2"/>
      <c r="B370" s="3"/>
      <c r="C370" s="3"/>
      <c r="D370" s="4"/>
      <c r="E370" s="5"/>
      <c r="F370" s="11" t="str">
        <f t="shared" ca="1" si="90"/>
        <v/>
      </c>
      <c r="G370" s="5"/>
      <c r="H370" s="6" t="str">
        <f>IF(AND($A370&lt;&gt;"",$B370&lt;&gt;"",$C370&lt;&gt;"",$D370&lt;&gt;"",$E370&lt;&gt;""),IF(AND($B370="s",OR($C370="SER",$C370="PLH",$C370="CSF")),"Case CDI Plate "&amp;(INT(((COUNTIFS($B$2:$B370,"s",$C$2:$C370,"SER")+COUNTIFS($B$2:$B370,"s",$C$2:$C370,"PLH")+COUNTIFS($B$2:$B370,"s",$C$2:$C370,"CSF"))-1)/96)+1)&amp;": "&amp;CHAR(65+INT(MOD((COUNTIFS($B$2:$B370,"s",$C$2:$C370,"SER")+COUNTIFS($B$2:$B370,"s",$C$2:$C370,"PLH")+COUNTIFS($B$2:$B370,"s",$C$2:$C370,"CSF"))-1,96)/12))&amp;(MOD((COUNTIFS($B$2:$B370,"s",$C$2:$C370,"SER")+COUNTIFS($B$2:$B370,"s",$C$2:$C370,"PLH")+COUNTIFS($B$2:$B370,"s",$C$2:$C370,"CSF"))-1,12)+1),"N/A"),"")</f>
        <v/>
      </c>
      <c r="I370" s="6" t="str">
        <f>IF(AND($A370&lt;&gt;"",$B370&lt;&gt;"",$C370&lt;&gt;"",$D370&lt;&gt;"",$E370&lt;&gt;""),IF(AND($B370="s",OR($C370="SER",$C370="PLH",$C370="CSF")),"Case NIH Plate "&amp;(INT(((COUNTIFS($B$2:$B370,"s",$C$2:$C370,"SER")+COUNTIFS($B$2:$B370,"s",$C$2:$C370,"PLH")+COUNTIFS($B$2:$B370,"s",$C$2:$C370,"CSF"))-1)/96)+1)&amp;": "&amp;CHAR(65+INT(MOD((COUNTIFS($B$2:$B370,"s",$C$2:$C370,"SER")+COUNTIFS($B$2:$B370,"s",$C$2:$C370,"PLH")+COUNTIFS($B$2:$B370,"s",$C$2:$C370,"CSF"))-1,96)/12))&amp;(MOD((COUNTIFS($B$2:$B370,"s",$C$2:$C370,"SER")+COUNTIFS($B$2:$B370,"s",$C$2:$C370,"PLH")+COUNTIFS($B$2:$B370,"s",$C$2:$C370,"CSF"))-1,12)+1),"N/A"),"")</f>
        <v/>
      </c>
      <c r="J370" s="6" t="str">
        <f>IF(AND($A370&lt;&gt;"",$B370&lt;&gt;"",$C370&lt;&gt;"",$D370&lt;&gt;"",$E370&lt;&gt;""),IF(AND($B370="s",OR($C370="SER",$C370="PLH")),"Case MAX Planck Plate "&amp;(INT(((COUNTIFS($B$2:$B370,"s",$C$2:$C370,"SER")+COUNTIFS($B$2:$B370,"s",$C$2:$C370,"PLH"))-1)/96)+1)&amp;": "&amp;CHAR(65+INT(MOD((COUNTIFS($B$2:$B370,"s",$C$2:$C370,"SER")+COUNTIFS($B$2:$B370,"s",$C$2:$C370,"PLH"))-1,96)/12))&amp;(MOD((COUNTIFS($B$2:$B370,"s",$C$2:$C370,"SER")+COUNTIFS($B$2:$B370,"s",$C$2:$C370,"PLH"))-1,12)+1),"N/A"),"")</f>
        <v/>
      </c>
      <c r="K370" s="6" t="str">
        <f>IF(AND($A370&lt;&gt;"",$B370&lt;&gt;"",$C370&lt;&gt;"",$D370&lt;&gt;"",$E370&lt;&gt;""),IF($C370="WB","Case WB Box "&amp;(INT((COUNTIFS($C$2:$C370,"WB")-1)/81)+1)&amp;": "&amp;CHAR(65+INT(MOD(COUNTIFS($C$2:$C370,"WB")-1,81)/9))&amp;(MOD(COUNTIFS($C$2:$C370,"WB")-1,9)+1),"N/A"),"")</f>
        <v/>
      </c>
      <c r="L370" s="2" t="str">
        <f t="shared" si="91"/>
        <v/>
      </c>
      <c r="M370" s="2"/>
      <c r="N370" s="2"/>
      <c r="O370" s="2"/>
      <c r="P370" s="7" t="str">
        <f t="shared" si="92"/>
        <v/>
      </c>
      <c r="Q370" s="7" t="str">
        <f t="shared" si="93"/>
        <v/>
      </c>
      <c r="R370" s="7" t="str">
        <f t="shared" si="94"/>
        <v/>
      </c>
      <c r="S370" s="7" t="str">
        <f t="shared" si="95"/>
        <v/>
      </c>
      <c r="T370" s="7" t="str">
        <f t="shared" si="96"/>
        <v/>
      </c>
      <c r="U370" s="7" t="str">
        <f t="shared" si="97"/>
        <v/>
      </c>
      <c r="V370" s="7" t="str">
        <f t="shared" si="98"/>
        <v/>
      </c>
      <c r="W370" s="7" t="str">
        <f t="shared" si="99"/>
        <v/>
      </c>
      <c r="X370" s="7" t="str">
        <f t="shared" si="100"/>
        <v/>
      </c>
      <c r="Y370" s="7" t="str">
        <f t="shared" si="101"/>
        <v/>
      </c>
      <c r="Z370">
        <f t="shared" si="102"/>
        <v>0</v>
      </c>
      <c r="AA370" t="str">
        <f t="shared" si="103"/>
        <v/>
      </c>
      <c r="AB370" t="str">
        <f t="shared" si="104"/>
        <v/>
      </c>
      <c r="AC370" t="str">
        <f t="shared" si="105"/>
        <v/>
      </c>
      <c r="AD370" t="str">
        <f t="shared" si="106"/>
        <v/>
      </c>
      <c r="AE370">
        <f t="shared" si="107"/>
        <v>0</v>
      </c>
    </row>
    <row r="371" spans="1:31" ht="15" customHeight="1" x14ac:dyDescent="0.35">
      <c r="A371" s="2"/>
      <c r="B371" s="3"/>
      <c r="C371" s="3"/>
      <c r="D371" s="4"/>
      <c r="E371" s="5"/>
      <c r="F371" s="11" t="str">
        <f t="shared" ca="1" si="90"/>
        <v/>
      </c>
      <c r="G371" s="5"/>
      <c r="H371" s="6" t="str">
        <f>IF(AND($A371&lt;&gt;"",$B371&lt;&gt;"",$C371&lt;&gt;"",$D371&lt;&gt;"",$E371&lt;&gt;""),IF(AND($B371="s",OR($C371="SER",$C371="PLH",$C371="CSF")),"Case CDI Plate "&amp;(INT(((COUNTIFS($B$2:$B371,"s",$C$2:$C371,"SER")+COUNTIFS($B$2:$B371,"s",$C$2:$C371,"PLH")+COUNTIFS($B$2:$B371,"s",$C$2:$C371,"CSF"))-1)/96)+1)&amp;": "&amp;CHAR(65+INT(MOD((COUNTIFS($B$2:$B371,"s",$C$2:$C371,"SER")+COUNTIFS($B$2:$B371,"s",$C$2:$C371,"PLH")+COUNTIFS($B$2:$B371,"s",$C$2:$C371,"CSF"))-1,96)/12))&amp;(MOD((COUNTIFS($B$2:$B371,"s",$C$2:$C371,"SER")+COUNTIFS($B$2:$B371,"s",$C$2:$C371,"PLH")+COUNTIFS($B$2:$B371,"s",$C$2:$C371,"CSF"))-1,12)+1),"N/A"),"")</f>
        <v/>
      </c>
      <c r="I371" s="6" t="str">
        <f>IF(AND($A371&lt;&gt;"",$B371&lt;&gt;"",$C371&lt;&gt;"",$D371&lt;&gt;"",$E371&lt;&gt;""),IF(AND($B371="s",OR($C371="SER",$C371="PLH",$C371="CSF")),"Case NIH Plate "&amp;(INT(((COUNTIFS($B$2:$B371,"s",$C$2:$C371,"SER")+COUNTIFS($B$2:$B371,"s",$C$2:$C371,"PLH")+COUNTIFS($B$2:$B371,"s",$C$2:$C371,"CSF"))-1)/96)+1)&amp;": "&amp;CHAR(65+INT(MOD((COUNTIFS($B$2:$B371,"s",$C$2:$C371,"SER")+COUNTIFS($B$2:$B371,"s",$C$2:$C371,"PLH")+COUNTIFS($B$2:$B371,"s",$C$2:$C371,"CSF"))-1,96)/12))&amp;(MOD((COUNTIFS($B$2:$B371,"s",$C$2:$C371,"SER")+COUNTIFS($B$2:$B371,"s",$C$2:$C371,"PLH")+COUNTIFS($B$2:$B371,"s",$C$2:$C371,"CSF"))-1,12)+1),"N/A"),"")</f>
        <v/>
      </c>
      <c r="J371" s="6" t="str">
        <f>IF(AND($A371&lt;&gt;"",$B371&lt;&gt;"",$C371&lt;&gt;"",$D371&lt;&gt;"",$E371&lt;&gt;""),IF(AND($B371="s",OR($C371="SER",$C371="PLH")),"Case MAX Planck Plate "&amp;(INT(((COUNTIFS($B$2:$B371,"s",$C$2:$C371,"SER")+COUNTIFS($B$2:$B371,"s",$C$2:$C371,"PLH"))-1)/96)+1)&amp;": "&amp;CHAR(65+INT(MOD((COUNTIFS($B$2:$B371,"s",$C$2:$C371,"SER")+COUNTIFS($B$2:$B371,"s",$C$2:$C371,"PLH"))-1,96)/12))&amp;(MOD((COUNTIFS($B$2:$B371,"s",$C$2:$C371,"SER")+COUNTIFS($B$2:$B371,"s",$C$2:$C371,"PLH"))-1,12)+1),"N/A"),"")</f>
        <v/>
      </c>
      <c r="K371" s="6" t="str">
        <f>IF(AND($A371&lt;&gt;"",$B371&lt;&gt;"",$C371&lt;&gt;"",$D371&lt;&gt;"",$E371&lt;&gt;""),IF($C371="WB","Case WB Box "&amp;(INT((COUNTIFS($C$2:$C371,"WB")-1)/81)+1)&amp;": "&amp;CHAR(65+INT(MOD(COUNTIFS($C$2:$C371,"WB")-1,81)/9))&amp;(MOD(COUNTIFS($C$2:$C371,"WB")-1,9)+1),"N/A"),"")</f>
        <v/>
      </c>
      <c r="L371" s="2" t="str">
        <f t="shared" si="91"/>
        <v/>
      </c>
      <c r="M371" s="2"/>
      <c r="N371" s="2"/>
      <c r="O371" s="2"/>
      <c r="P371" s="7" t="str">
        <f t="shared" si="92"/>
        <v/>
      </c>
      <c r="Q371" s="7" t="str">
        <f t="shared" si="93"/>
        <v/>
      </c>
      <c r="R371" s="7" t="str">
        <f t="shared" si="94"/>
        <v/>
      </c>
      <c r="S371" s="7" t="str">
        <f t="shared" si="95"/>
        <v/>
      </c>
      <c r="T371" s="7" t="str">
        <f t="shared" si="96"/>
        <v/>
      </c>
      <c r="U371" s="7" t="str">
        <f t="shared" si="97"/>
        <v/>
      </c>
      <c r="V371" s="7" t="str">
        <f t="shared" si="98"/>
        <v/>
      </c>
      <c r="W371" s="7" t="str">
        <f t="shared" si="99"/>
        <v/>
      </c>
      <c r="X371" s="7" t="str">
        <f t="shared" si="100"/>
        <v/>
      </c>
      <c r="Y371" s="7" t="str">
        <f t="shared" si="101"/>
        <v/>
      </c>
      <c r="Z371">
        <f t="shared" si="102"/>
        <v>0</v>
      </c>
      <c r="AA371" t="str">
        <f t="shared" si="103"/>
        <v/>
      </c>
      <c r="AB371" t="str">
        <f t="shared" si="104"/>
        <v/>
      </c>
      <c r="AC371" t="str">
        <f t="shared" si="105"/>
        <v/>
      </c>
      <c r="AD371" t="str">
        <f t="shared" si="106"/>
        <v/>
      </c>
      <c r="AE371">
        <f t="shared" si="107"/>
        <v>0</v>
      </c>
    </row>
    <row r="372" spans="1:31" ht="15" customHeight="1" x14ac:dyDescent="0.35">
      <c r="A372" s="2"/>
      <c r="B372" s="3"/>
      <c r="C372" s="3"/>
      <c r="D372" s="4"/>
      <c r="E372" s="5"/>
      <c r="F372" s="11" t="str">
        <f t="shared" ca="1" si="90"/>
        <v/>
      </c>
      <c r="G372" s="5"/>
      <c r="H372" s="6" t="str">
        <f>IF(AND($A372&lt;&gt;"",$B372&lt;&gt;"",$C372&lt;&gt;"",$D372&lt;&gt;"",$E372&lt;&gt;""),IF(AND($B372="s",OR($C372="SER",$C372="PLH",$C372="CSF")),"Case CDI Plate "&amp;(INT(((COUNTIFS($B$2:$B372,"s",$C$2:$C372,"SER")+COUNTIFS($B$2:$B372,"s",$C$2:$C372,"PLH")+COUNTIFS($B$2:$B372,"s",$C$2:$C372,"CSF"))-1)/96)+1)&amp;": "&amp;CHAR(65+INT(MOD((COUNTIFS($B$2:$B372,"s",$C$2:$C372,"SER")+COUNTIFS($B$2:$B372,"s",$C$2:$C372,"PLH")+COUNTIFS($B$2:$B372,"s",$C$2:$C372,"CSF"))-1,96)/12))&amp;(MOD((COUNTIFS($B$2:$B372,"s",$C$2:$C372,"SER")+COUNTIFS($B$2:$B372,"s",$C$2:$C372,"PLH")+COUNTIFS($B$2:$B372,"s",$C$2:$C372,"CSF"))-1,12)+1),"N/A"),"")</f>
        <v/>
      </c>
      <c r="I372" s="6" t="str">
        <f>IF(AND($A372&lt;&gt;"",$B372&lt;&gt;"",$C372&lt;&gt;"",$D372&lt;&gt;"",$E372&lt;&gt;""),IF(AND($B372="s",OR($C372="SER",$C372="PLH",$C372="CSF")),"Case NIH Plate "&amp;(INT(((COUNTIFS($B$2:$B372,"s",$C$2:$C372,"SER")+COUNTIFS($B$2:$B372,"s",$C$2:$C372,"PLH")+COUNTIFS($B$2:$B372,"s",$C$2:$C372,"CSF"))-1)/96)+1)&amp;": "&amp;CHAR(65+INT(MOD((COUNTIFS($B$2:$B372,"s",$C$2:$C372,"SER")+COUNTIFS($B$2:$B372,"s",$C$2:$C372,"PLH")+COUNTIFS($B$2:$B372,"s",$C$2:$C372,"CSF"))-1,96)/12))&amp;(MOD((COUNTIFS($B$2:$B372,"s",$C$2:$C372,"SER")+COUNTIFS($B$2:$B372,"s",$C$2:$C372,"PLH")+COUNTIFS($B$2:$B372,"s",$C$2:$C372,"CSF"))-1,12)+1),"N/A"),"")</f>
        <v/>
      </c>
      <c r="J372" s="6" t="str">
        <f>IF(AND($A372&lt;&gt;"",$B372&lt;&gt;"",$C372&lt;&gt;"",$D372&lt;&gt;"",$E372&lt;&gt;""),IF(AND($B372="s",OR($C372="SER",$C372="PLH")),"Case MAX Planck Plate "&amp;(INT(((COUNTIFS($B$2:$B372,"s",$C$2:$C372,"SER")+COUNTIFS($B$2:$B372,"s",$C$2:$C372,"PLH"))-1)/96)+1)&amp;": "&amp;CHAR(65+INT(MOD((COUNTIFS($B$2:$B372,"s",$C$2:$C372,"SER")+COUNTIFS($B$2:$B372,"s",$C$2:$C372,"PLH"))-1,96)/12))&amp;(MOD((COUNTIFS($B$2:$B372,"s",$C$2:$C372,"SER")+COUNTIFS($B$2:$B372,"s",$C$2:$C372,"PLH"))-1,12)+1),"N/A"),"")</f>
        <v/>
      </c>
      <c r="K372" s="6" t="str">
        <f>IF(AND($A372&lt;&gt;"",$B372&lt;&gt;"",$C372&lt;&gt;"",$D372&lt;&gt;"",$E372&lt;&gt;""),IF($C372="WB","Case WB Box "&amp;(INT((COUNTIFS($C$2:$C372,"WB")-1)/81)+1)&amp;": "&amp;CHAR(65+INT(MOD(COUNTIFS($C$2:$C372,"WB")-1,81)/9))&amp;(MOD(COUNTIFS($C$2:$C372,"WB")-1,9)+1),"N/A"),"")</f>
        <v/>
      </c>
      <c r="L372" s="2" t="str">
        <f t="shared" si="91"/>
        <v/>
      </c>
      <c r="M372" s="2"/>
      <c r="N372" s="2"/>
      <c r="O372" s="2"/>
      <c r="P372" s="7" t="str">
        <f t="shared" si="92"/>
        <v/>
      </c>
      <c r="Q372" s="7" t="str">
        <f t="shared" si="93"/>
        <v/>
      </c>
      <c r="R372" s="7" t="str">
        <f t="shared" si="94"/>
        <v/>
      </c>
      <c r="S372" s="7" t="str">
        <f t="shared" si="95"/>
        <v/>
      </c>
      <c r="T372" s="7" t="str">
        <f t="shared" si="96"/>
        <v/>
      </c>
      <c r="U372" s="7" t="str">
        <f t="shared" si="97"/>
        <v/>
      </c>
      <c r="V372" s="7" t="str">
        <f t="shared" si="98"/>
        <v/>
      </c>
      <c r="W372" s="7" t="str">
        <f t="shared" si="99"/>
        <v/>
      </c>
      <c r="X372" s="7" t="str">
        <f t="shared" si="100"/>
        <v/>
      </c>
      <c r="Y372" s="7" t="str">
        <f t="shared" si="101"/>
        <v/>
      </c>
      <c r="Z372">
        <f t="shared" si="102"/>
        <v>0</v>
      </c>
      <c r="AA372" t="str">
        <f t="shared" si="103"/>
        <v/>
      </c>
      <c r="AB372" t="str">
        <f t="shared" si="104"/>
        <v/>
      </c>
      <c r="AC372" t="str">
        <f t="shared" si="105"/>
        <v/>
      </c>
      <c r="AD372" t="str">
        <f t="shared" si="106"/>
        <v/>
      </c>
      <c r="AE372">
        <f t="shared" si="107"/>
        <v>0</v>
      </c>
    </row>
    <row r="373" spans="1:31" ht="15" customHeight="1" x14ac:dyDescent="0.35">
      <c r="A373" s="2"/>
      <c r="B373" s="3"/>
      <c r="C373" s="3"/>
      <c r="D373" s="4"/>
      <c r="E373" s="5"/>
      <c r="F373" s="11" t="str">
        <f t="shared" ca="1" si="90"/>
        <v/>
      </c>
      <c r="G373" s="5"/>
      <c r="H373" s="6" t="str">
        <f>IF(AND($A373&lt;&gt;"",$B373&lt;&gt;"",$C373&lt;&gt;"",$D373&lt;&gt;"",$E373&lt;&gt;""),IF(AND($B373="s",OR($C373="SER",$C373="PLH",$C373="CSF")),"Case CDI Plate "&amp;(INT(((COUNTIFS($B$2:$B373,"s",$C$2:$C373,"SER")+COUNTIFS($B$2:$B373,"s",$C$2:$C373,"PLH")+COUNTIFS($B$2:$B373,"s",$C$2:$C373,"CSF"))-1)/96)+1)&amp;": "&amp;CHAR(65+INT(MOD((COUNTIFS($B$2:$B373,"s",$C$2:$C373,"SER")+COUNTIFS($B$2:$B373,"s",$C$2:$C373,"PLH")+COUNTIFS($B$2:$B373,"s",$C$2:$C373,"CSF"))-1,96)/12))&amp;(MOD((COUNTIFS($B$2:$B373,"s",$C$2:$C373,"SER")+COUNTIFS($B$2:$B373,"s",$C$2:$C373,"PLH")+COUNTIFS($B$2:$B373,"s",$C$2:$C373,"CSF"))-1,12)+1),"N/A"),"")</f>
        <v/>
      </c>
      <c r="I373" s="6" t="str">
        <f>IF(AND($A373&lt;&gt;"",$B373&lt;&gt;"",$C373&lt;&gt;"",$D373&lt;&gt;"",$E373&lt;&gt;""),IF(AND($B373="s",OR($C373="SER",$C373="PLH",$C373="CSF")),"Case NIH Plate "&amp;(INT(((COUNTIFS($B$2:$B373,"s",$C$2:$C373,"SER")+COUNTIFS($B$2:$B373,"s",$C$2:$C373,"PLH")+COUNTIFS($B$2:$B373,"s",$C$2:$C373,"CSF"))-1)/96)+1)&amp;": "&amp;CHAR(65+INT(MOD((COUNTIFS($B$2:$B373,"s",$C$2:$C373,"SER")+COUNTIFS($B$2:$B373,"s",$C$2:$C373,"PLH")+COUNTIFS($B$2:$B373,"s",$C$2:$C373,"CSF"))-1,96)/12))&amp;(MOD((COUNTIFS($B$2:$B373,"s",$C$2:$C373,"SER")+COUNTIFS($B$2:$B373,"s",$C$2:$C373,"PLH")+COUNTIFS($B$2:$B373,"s",$C$2:$C373,"CSF"))-1,12)+1),"N/A"),"")</f>
        <v/>
      </c>
      <c r="J373" s="6" t="str">
        <f>IF(AND($A373&lt;&gt;"",$B373&lt;&gt;"",$C373&lt;&gt;"",$D373&lt;&gt;"",$E373&lt;&gt;""),IF(AND($B373="s",OR($C373="SER",$C373="PLH")),"Case MAX Planck Plate "&amp;(INT(((COUNTIFS($B$2:$B373,"s",$C$2:$C373,"SER")+COUNTIFS($B$2:$B373,"s",$C$2:$C373,"PLH"))-1)/96)+1)&amp;": "&amp;CHAR(65+INT(MOD((COUNTIFS($B$2:$B373,"s",$C$2:$C373,"SER")+COUNTIFS($B$2:$B373,"s",$C$2:$C373,"PLH"))-1,96)/12))&amp;(MOD((COUNTIFS($B$2:$B373,"s",$C$2:$C373,"SER")+COUNTIFS($B$2:$B373,"s",$C$2:$C373,"PLH"))-1,12)+1),"N/A"),"")</f>
        <v/>
      </c>
      <c r="K373" s="6" t="str">
        <f>IF(AND($A373&lt;&gt;"",$B373&lt;&gt;"",$C373&lt;&gt;"",$D373&lt;&gt;"",$E373&lt;&gt;""),IF($C373="WB","Case WB Box "&amp;(INT((COUNTIFS($C$2:$C373,"WB")-1)/81)+1)&amp;": "&amp;CHAR(65+INT(MOD(COUNTIFS($C$2:$C373,"WB")-1,81)/9))&amp;(MOD(COUNTIFS($C$2:$C373,"WB")-1,9)+1),"N/A"),"")</f>
        <v/>
      </c>
      <c r="L373" s="2" t="str">
        <f t="shared" si="91"/>
        <v/>
      </c>
      <c r="M373" s="2"/>
      <c r="N373" s="2"/>
      <c r="O373" s="2"/>
      <c r="P373" s="7" t="str">
        <f t="shared" si="92"/>
        <v/>
      </c>
      <c r="Q373" s="7" t="str">
        <f t="shared" si="93"/>
        <v/>
      </c>
      <c r="R373" s="7" t="str">
        <f t="shared" si="94"/>
        <v/>
      </c>
      <c r="S373" s="7" t="str">
        <f t="shared" si="95"/>
        <v/>
      </c>
      <c r="T373" s="7" t="str">
        <f t="shared" si="96"/>
        <v/>
      </c>
      <c r="U373" s="7" t="str">
        <f t="shared" si="97"/>
        <v/>
      </c>
      <c r="V373" s="7" t="str">
        <f t="shared" si="98"/>
        <v/>
      </c>
      <c r="W373" s="7" t="str">
        <f t="shared" si="99"/>
        <v/>
      </c>
      <c r="X373" s="7" t="str">
        <f t="shared" si="100"/>
        <v/>
      </c>
      <c r="Y373" s="7" t="str">
        <f t="shared" si="101"/>
        <v/>
      </c>
      <c r="Z373">
        <f t="shared" si="102"/>
        <v>0</v>
      </c>
      <c r="AA373" t="str">
        <f t="shared" si="103"/>
        <v/>
      </c>
      <c r="AB373" t="str">
        <f t="shared" si="104"/>
        <v/>
      </c>
      <c r="AC373" t="str">
        <f t="shared" si="105"/>
        <v/>
      </c>
      <c r="AD373" t="str">
        <f t="shared" si="106"/>
        <v/>
      </c>
      <c r="AE373">
        <f t="shared" si="107"/>
        <v>0</v>
      </c>
    </row>
    <row r="374" spans="1:31" ht="15" customHeight="1" x14ac:dyDescent="0.35">
      <c r="A374" s="2"/>
      <c r="B374" s="3"/>
      <c r="C374" s="3"/>
      <c r="D374" s="4"/>
      <c r="E374" s="5"/>
      <c r="F374" s="11" t="str">
        <f t="shared" ca="1" si="90"/>
        <v/>
      </c>
      <c r="G374" s="5"/>
      <c r="H374" s="6" t="str">
        <f>IF(AND($A374&lt;&gt;"",$B374&lt;&gt;"",$C374&lt;&gt;"",$D374&lt;&gt;"",$E374&lt;&gt;""),IF(AND($B374="s",OR($C374="SER",$C374="PLH",$C374="CSF")),"Case CDI Plate "&amp;(INT(((COUNTIFS($B$2:$B374,"s",$C$2:$C374,"SER")+COUNTIFS($B$2:$B374,"s",$C$2:$C374,"PLH")+COUNTIFS($B$2:$B374,"s",$C$2:$C374,"CSF"))-1)/96)+1)&amp;": "&amp;CHAR(65+INT(MOD((COUNTIFS($B$2:$B374,"s",$C$2:$C374,"SER")+COUNTIFS($B$2:$B374,"s",$C$2:$C374,"PLH")+COUNTIFS($B$2:$B374,"s",$C$2:$C374,"CSF"))-1,96)/12))&amp;(MOD((COUNTIFS($B$2:$B374,"s",$C$2:$C374,"SER")+COUNTIFS($B$2:$B374,"s",$C$2:$C374,"PLH")+COUNTIFS($B$2:$B374,"s",$C$2:$C374,"CSF"))-1,12)+1),"N/A"),"")</f>
        <v/>
      </c>
      <c r="I374" s="6" t="str">
        <f>IF(AND($A374&lt;&gt;"",$B374&lt;&gt;"",$C374&lt;&gt;"",$D374&lt;&gt;"",$E374&lt;&gt;""),IF(AND($B374="s",OR($C374="SER",$C374="PLH",$C374="CSF")),"Case NIH Plate "&amp;(INT(((COUNTIFS($B$2:$B374,"s",$C$2:$C374,"SER")+COUNTIFS($B$2:$B374,"s",$C$2:$C374,"PLH")+COUNTIFS($B$2:$B374,"s",$C$2:$C374,"CSF"))-1)/96)+1)&amp;": "&amp;CHAR(65+INT(MOD((COUNTIFS($B$2:$B374,"s",$C$2:$C374,"SER")+COUNTIFS($B$2:$B374,"s",$C$2:$C374,"PLH")+COUNTIFS($B$2:$B374,"s",$C$2:$C374,"CSF"))-1,96)/12))&amp;(MOD((COUNTIFS($B$2:$B374,"s",$C$2:$C374,"SER")+COUNTIFS($B$2:$B374,"s",$C$2:$C374,"PLH")+COUNTIFS($B$2:$B374,"s",$C$2:$C374,"CSF"))-1,12)+1),"N/A"),"")</f>
        <v/>
      </c>
      <c r="J374" s="6" t="str">
        <f>IF(AND($A374&lt;&gt;"",$B374&lt;&gt;"",$C374&lt;&gt;"",$D374&lt;&gt;"",$E374&lt;&gt;""),IF(AND($B374="s",OR($C374="SER",$C374="PLH")),"Case MAX Planck Plate "&amp;(INT(((COUNTIFS($B$2:$B374,"s",$C$2:$C374,"SER")+COUNTIFS($B$2:$B374,"s",$C$2:$C374,"PLH"))-1)/96)+1)&amp;": "&amp;CHAR(65+INT(MOD((COUNTIFS($B$2:$B374,"s",$C$2:$C374,"SER")+COUNTIFS($B$2:$B374,"s",$C$2:$C374,"PLH"))-1,96)/12))&amp;(MOD((COUNTIFS($B$2:$B374,"s",$C$2:$C374,"SER")+COUNTIFS($B$2:$B374,"s",$C$2:$C374,"PLH"))-1,12)+1),"N/A"),"")</f>
        <v/>
      </c>
      <c r="K374" s="6" t="str">
        <f>IF(AND($A374&lt;&gt;"",$B374&lt;&gt;"",$C374&lt;&gt;"",$D374&lt;&gt;"",$E374&lt;&gt;""),IF($C374="WB","Case WB Box "&amp;(INT((COUNTIFS($C$2:$C374,"WB")-1)/81)+1)&amp;": "&amp;CHAR(65+INT(MOD(COUNTIFS($C$2:$C374,"WB")-1,81)/9))&amp;(MOD(COUNTIFS($C$2:$C374,"WB")-1,9)+1),"N/A"),"")</f>
        <v/>
      </c>
      <c r="L374" s="2" t="str">
        <f t="shared" si="91"/>
        <v/>
      </c>
      <c r="M374" s="2"/>
      <c r="N374" s="2"/>
      <c r="O374" s="2"/>
      <c r="P374" s="7" t="str">
        <f t="shared" si="92"/>
        <v/>
      </c>
      <c r="Q374" s="7" t="str">
        <f t="shared" si="93"/>
        <v/>
      </c>
      <c r="R374" s="7" t="str">
        <f t="shared" si="94"/>
        <v/>
      </c>
      <c r="S374" s="7" t="str">
        <f t="shared" si="95"/>
        <v/>
      </c>
      <c r="T374" s="7" t="str">
        <f t="shared" si="96"/>
        <v/>
      </c>
      <c r="U374" s="7" t="str">
        <f t="shared" si="97"/>
        <v/>
      </c>
      <c r="V374" s="7" t="str">
        <f t="shared" si="98"/>
        <v/>
      </c>
      <c r="W374" s="7" t="str">
        <f t="shared" si="99"/>
        <v/>
      </c>
      <c r="X374" s="7" t="str">
        <f t="shared" si="100"/>
        <v/>
      </c>
      <c r="Y374" s="7" t="str">
        <f t="shared" si="101"/>
        <v/>
      </c>
      <c r="Z374">
        <f t="shared" si="102"/>
        <v>0</v>
      </c>
      <c r="AA374" t="str">
        <f t="shared" si="103"/>
        <v/>
      </c>
      <c r="AB374" t="str">
        <f t="shared" si="104"/>
        <v/>
      </c>
      <c r="AC374" t="str">
        <f t="shared" si="105"/>
        <v/>
      </c>
      <c r="AD374" t="str">
        <f t="shared" si="106"/>
        <v/>
      </c>
      <c r="AE374">
        <f t="shared" si="107"/>
        <v>0</v>
      </c>
    </row>
    <row r="375" spans="1:31" ht="15" customHeight="1" x14ac:dyDescent="0.35">
      <c r="A375" s="2"/>
      <c r="B375" s="3"/>
      <c r="C375" s="3"/>
      <c r="D375" s="4"/>
      <c r="E375" s="5"/>
      <c r="F375" s="11" t="str">
        <f t="shared" ca="1" si="90"/>
        <v/>
      </c>
      <c r="G375" s="5"/>
      <c r="H375" s="6" t="str">
        <f>IF(AND($A375&lt;&gt;"",$B375&lt;&gt;"",$C375&lt;&gt;"",$D375&lt;&gt;"",$E375&lt;&gt;""),IF(AND($B375="s",OR($C375="SER",$C375="PLH",$C375="CSF")),"Case CDI Plate "&amp;(INT(((COUNTIFS($B$2:$B375,"s",$C$2:$C375,"SER")+COUNTIFS($B$2:$B375,"s",$C$2:$C375,"PLH")+COUNTIFS($B$2:$B375,"s",$C$2:$C375,"CSF"))-1)/96)+1)&amp;": "&amp;CHAR(65+INT(MOD((COUNTIFS($B$2:$B375,"s",$C$2:$C375,"SER")+COUNTIFS($B$2:$B375,"s",$C$2:$C375,"PLH")+COUNTIFS($B$2:$B375,"s",$C$2:$C375,"CSF"))-1,96)/12))&amp;(MOD((COUNTIFS($B$2:$B375,"s",$C$2:$C375,"SER")+COUNTIFS($B$2:$B375,"s",$C$2:$C375,"PLH")+COUNTIFS($B$2:$B375,"s",$C$2:$C375,"CSF"))-1,12)+1),"N/A"),"")</f>
        <v/>
      </c>
      <c r="I375" s="6" t="str">
        <f>IF(AND($A375&lt;&gt;"",$B375&lt;&gt;"",$C375&lt;&gt;"",$D375&lt;&gt;"",$E375&lt;&gt;""),IF(AND($B375="s",OR($C375="SER",$C375="PLH",$C375="CSF")),"Case NIH Plate "&amp;(INT(((COUNTIFS($B$2:$B375,"s",$C$2:$C375,"SER")+COUNTIFS($B$2:$B375,"s",$C$2:$C375,"PLH")+COUNTIFS($B$2:$B375,"s",$C$2:$C375,"CSF"))-1)/96)+1)&amp;": "&amp;CHAR(65+INT(MOD((COUNTIFS($B$2:$B375,"s",$C$2:$C375,"SER")+COUNTIFS($B$2:$B375,"s",$C$2:$C375,"PLH")+COUNTIFS($B$2:$B375,"s",$C$2:$C375,"CSF"))-1,96)/12))&amp;(MOD((COUNTIFS($B$2:$B375,"s",$C$2:$C375,"SER")+COUNTIFS($B$2:$B375,"s",$C$2:$C375,"PLH")+COUNTIFS($B$2:$B375,"s",$C$2:$C375,"CSF"))-1,12)+1),"N/A"),"")</f>
        <v/>
      </c>
      <c r="J375" s="6" t="str">
        <f>IF(AND($A375&lt;&gt;"",$B375&lt;&gt;"",$C375&lt;&gt;"",$D375&lt;&gt;"",$E375&lt;&gt;""),IF(AND($B375="s",OR($C375="SER",$C375="PLH")),"Case MAX Planck Plate "&amp;(INT(((COUNTIFS($B$2:$B375,"s",$C$2:$C375,"SER")+COUNTIFS($B$2:$B375,"s",$C$2:$C375,"PLH"))-1)/96)+1)&amp;": "&amp;CHAR(65+INT(MOD((COUNTIFS($B$2:$B375,"s",$C$2:$C375,"SER")+COUNTIFS($B$2:$B375,"s",$C$2:$C375,"PLH"))-1,96)/12))&amp;(MOD((COUNTIFS($B$2:$B375,"s",$C$2:$C375,"SER")+COUNTIFS($B$2:$B375,"s",$C$2:$C375,"PLH"))-1,12)+1),"N/A"),"")</f>
        <v/>
      </c>
      <c r="K375" s="6" t="str">
        <f>IF(AND($A375&lt;&gt;"",$B375&lt;&gt;"",$C375&lt;&gt;"",$D375&lt;&gt;"",$E375&lt;&gt;""),IF($C375="WB","Case WB Box "&amp;(INT((COUNTIFS($C$2:$C375,"WB")-1)/81)+1)&amp;": "&amp;CHAR(65+INT(MOD(COUNTIFS($C$2:$C375,"WB")-1,81)/9))&amp;(MOD(COUNTIFS($C$2:$C375,"WB")-1,9)+1),"N/A"),"")</f>
        <v/>
      </c>
      <c r="L375" s="2" t="str">
        <f t="shared" si="91"/>
        <v/>
      </c>
      <c r="M375" s="2"/>
      <c r="N375" s="2"/>
      <c r="O375" s="2"/>
      <c r="P375" s="7" t="str">
        <f t="shared" si="92"/>
        <v/>
      </c>
      <c r="Q375" s="7" t="str">
        <f t="shared" si="93"/>
        <v/>
      </c>
      <c r="R375" s="7" t="str">
        <f t="shared" si="94"/>
        <v/>
      </c>
      <c r="S375" s="7" t="str">
        <f t="shared" si="95"/>
        <v/>
      </c>
      <c r="T375" s="7" t="str">
        <f t="shared" si="96"/>
        <v/>
      </c>
      <c r="U375" s="7" t="str">
        <f t="shared" si="97"/>
        <v/>
      </c>
      <c r="V375" s="7" t="str">
        <f t="shared" si="98"/>
        <v/>
      </c>
      <c r="W375" s="7" t="str">
        <f t="shared" si="99"/>
        <v/>
      </c>
      <c r="X375" s="7" t="str">
        <f t="shared" si="100"/>
        <v/>
      </c>
      <c r="Y375" s="7" t="str">
        <f t="shared" si="101"/>
        <v/>
      </c>
      <c r="Z375">
        <f t="shared" si="102"/>
        <v>0</v>
      </c>
      <c r="AA375" t="str">
        <f t="shared" si="103"/>
        <v/>
      </c>
      <c r="AB375" t="str">
        <f t="shared" si="104"/>
        <v/>
      </c>
      <c r="AC375" t="str">
        <f t="shared" si="105"/>
        <v/>
      </c>
      <c r="AD375" t="str">
        <f t="shared" si="106"/>
        <v/>
      </c>
      <c r="AE375">
        <f t="shared" si="107"/>
        <v>0</v>
      </c>
    </row>
    <row r="376" spans="1:31" ht="15" customHeight="1" x14ac:dyDescent="0.35">
      <c r="A376" s="2"/>
      <c r="B376" s="3"/>
      <c r="C376" s="3"/>
      <c r="D376" s="4"/>
      <c r="E376" s="5"/>
      <c r="F376" s="11" t="str">
        <f t="shared" ca="1" si="90"/>
        <v/>
      </c>
      <c r="G376" s="5"/>
      <c r="H376" s="6" t="str">
        <f>IF(AND($A376&lt;&gt;"",$B376&lt;&gt;"",$C376&lt;&gt;"",$D376&lt;&gt;"",$E376&lt;&gt;""),IF(AND($B376="s",OR($C376="SER",$C376="PLH",$C376="CSF")),"Case CDI Plate "&amp;(INT(((COUNTIFS($B$2:$B376,"s",$C$2:$C376,"SER")+COUNTIFS($B$2:$B376,"s",$C$2:$C376,"PLH")+COUNTIFS($B$2:$B376,"s",$C$2:$C376,"CSF"))-1)/96)+1)&amp;": "&amp;CHAR(65+INT(MOD((COUNTIFS($B$2:$B376,"s",$C$2:$C376,"SER")+COUNTIFS($B$2:$B376,"s",$C$2:$C376,"PLH")+COUNTIFS($B$2:$B376,"s",$C$2:$C376,"CSF"))-1,96)/12))&amp;(MOD((COUNTIFS($B$2:$B376,"s",$C$2:$C376,"SER")+COUNTIFS($B$2:$B376,"s",$C$2:$C376,"PLH")+COUNTIFS($B$2:$B376,"s",$C$2:$C376,"CSF"))-1,12)+1),"N/A"),"")</f>
        <v/>
      </c>
      <c r="I376" s="6" t="str">
        <f>IF(AND($A376&lt;&gt;"",$B376&lt;&gt;"",$C376&lt;&gt;"",$D376&lt;&gt;"",$E376&lt;&gt;""),IF(AND($B376="s",OR($C376="SER",$C376="PLH",$C376="CSF")),"Case NIH Plate "&amp;(INT(((COUNTIFS($B$2:$B376,"s",$C$2:$C376,"SER")+COUNTIFS($B$2:$B376,"s",$C$2:$C376,"PLH")+COUNTIFS($B$2:$B376,"s",$C$2:$C376,"CSF"))-1)/96)+1)&amp;": "&amp;CHAR(65+INT(MOD((COUNTIFS($B$2:$B376,"s",$C$2:$C376,"SER")+COUNTIFS($B$2:$B376,"s",$C$2:$C376,"PLH")+COUNTIFS($B$2:$B376,"s",$C$2:$C376,"CSF"))-1,96)/12))&amp;(MOD((COUNTIFS($B$2:$B376,"s",$C$2:$C376,"SER")+COUNTIFS($B$2:$B376,"s",$C$2:$C376,"PLH")+COUNTIFS($B$2:$B376,"s",$C$2:$C376,"CSF"))-1,12)+1),"N/A"),"")</f>
        <v/>
      </c>
      <c r="J376" s="6" t="str">
        <f>IF(AND($A376&lt;&gt;"",$B376&lt;&gt;"",$C376&lt;&gt;"",$D376&lt;&gt;"",$E376&lt;&gt;""),IF(AND($B376="s",OR($C376="SER",$C376="PLH")),"Case MAX Planck Plate "&amp;(INT(((COUNTIFS($B$2:$B376,"s",$C$2:$C376,"SER")+COUNTIFS($B$2:$B376,"s",$C$2:$C376,"PLH"))-1)/96)+1)&amp;": "&amp;CHAR(65+INT(MOD((COUNTIFS($B$2:$B376,"s",$C$2:$C376,"SER")+COUNTIFS($B$2:$B376,"s",$C$2:$C376,"PLH"))-1,96)/12))&amp;(MOD((COUNTIFS($B$2:$B376,"s",$C$2:$C376,"SER")+COUNTIFS($B$2:$B376,"s",$C$2:$C376,"PLH"))-1,12)+1),"N/A"),"")</f>
        <v/>
      </c>
      <c r="K376" s="6" t="str">
        <f>IF(AND($A376&lt;&gt;"",$B376&lt;&gt;"",$C376&lt;&gt;"",$D376&lt;&gt;"",$E376&lt;&gt;""),IF($C376="WB","Case WB Box "&amp;(INT((COUNTIFS($C$2:$C376,"WB")-1)/81)+1)&amp;": "&amp;CHAR(65+INT(MOD(COUNTIFS($C$2:$C376,"WB")-1,81)/9))&amp;(MOD(COUNTIFS($C$2:$C376,"WB")-1,9)+1),"N/A"),"")</f>
        <v/>
      </c>
      <c r="L376" s="2" t="str">
        <f t="shared" si="91"/>
        <v/>
      </c>
      <c r="M376" s="2"/>
      <c r="N376" s="2"/>
      <c r="O376" s="2"/>
      <c r="P376" s="7" t="str">
        <f t="shared" si="92"/>
        <v/>
      </c>
      <c r="Q376" s="7" t="str">
        <f t="shared" si="93"/>
        <v/>
      </c>
      <c r="R376" s="7" t="str">
        <f t="shared" si="94"/>
        <v/>
      </c>
      <c r="S376" s="7" t="str">
        <f t="shared" si="95"/>
        <v/>
      </c>
      <c r="T376" s="7" t="str">
        <f t="shared" si="96"/>
        <v/>
      </c>
      <c r="U376" s="7" t="str">
        <f t="shared" si="97"/>
        <v/>
      </c>
      <c r="V376" s="7" t="str">
        <f t="shared" si="98"/>
        <v/>
      </c>
      <c r="W376" s="7" t="str">
        <f t="shared" si="99"/>
        <v/>
      </c>
      <c r="X376" s="7" t="str">
        <f t="shared" si="100"/>
        <v/>
      </c>
      <c r="Y376" s="7" t="str">
        <f t="shared" si="101"/>
        <v/>
      </c>
      <c r="Z376">
        <f t="shared" si="102"/>
        <v>0</v>
      </c>
      <c r="AA376" t="str">
        <f t="shared" si="103"/>
        <v/>
      </c>
      <c r="AB376" t="str">
        <f t="shared" si="104"/>
        <v/>
      </c>
      <c r="AC376" t="str">
        <f t="shared" si="105"/>
        <v/>
      </c>
      <c r="AD376" t="str">
        <f t="shared" si="106"/>
        <v/>
      </c>
      <c r="AE376">
        <f t="shared" si="107"/>
        <v>0</v>
      </c>
    </row>
    <row r="377" spans="1:31" ht="15" customHeight="1" x14ac:dyDescent="0.35">
      <c r="A377" s="2"/>
      <c r="B377" s="3"/>
      <c r="C377" s="3"/>
      <c r="D377" s="4"/>
      <c r="E377" s="5"/>
      <c r="F377" s="11" t="str">
        <f t="shared" ca="1" si="90"/>
        <v/>
      </c>
      <c r="G377" s="5"/>
      <c r="H377" s="6" t="str">
        <f>IF(AND($A377&lt;&gt;"",$B377&lt;&gt;"",$C377&lt;&gt;"",$D377&lt;&gt;"",$E377&lt;&gt;""),IF(AND($B377="s",OR($C377="SER",$C377="PLH",$C377="CSF")),"Case CDI Plate "&amp;(INT(((COUNTIFS($B$2:$B377,"s",$C$2:$C377,"SER")+COUNTIFS($B$2:$B377,"s",$C$2:$C377,"PLH")+COUNTIFS($B$2:$B377,"s",$C$2:$C377,"CSF"))-1)/96)+1)&amp;": "&amp;CHAR(65+INT(MOD((COUNTIFS($B$2:$B377,"s",$C$2:$C377,"SER")+COUNTIFS($B$2:$B377,"s",$C$2:$C377,"PLH")+COUNTIFS($B$2:$B377,"s",$C$2:$C377,"CSF"))-1,96)/12))&amp;(MOD((COUNTIFS($B$2:$B377,"s",$C$2:$C377,"SER")+COUNTIFS($B$2:$B377,"s",$C$2:$C377,"PLH")+COUNTIFS($B$2:$B377,"s",$C$2:$C377,"CSF"))-1,12)+1),"N/A"),"")</f>
        <v/>
      </c>
      <c r="I377" s="6" t="str">
        <f>IF(AND($A377&lt;&gt;"",$B377&lt;&gt;"",$C377&lt;&gt;"",$D377&lt;&gt;"",$E377&lt;&gt;""),IF(AND($B377="s",OR($C377="SER",$C377="PLH",$C377="CSF")),"Case NIH Plate "&amp;(INT(((COUNTIFS($B$2:$B377,"s",$C$2:$C377,"SER")+COUNTIFS($B$2:$B377,"s",$C$2:$C377,"PLH")+COUNTIFS($B$2:$B377,"s",$C$2:$C377,"CSF"))-1)/96)+1)&amp;": "&amp;CHAR(65+INT(MOD((COUNTIFS($B$2:$B377,"s",$C$2:$C377,"SER")+COUNTIFS($B$2:$B377,"s",$C$2:$C377,"PLH")+COUNTIFS($B$2:$B377,"s",$C$2:$C377,"CSF"))-1,96)/12))&amp;(MOD((COUNTIFS($B$2:$B377,"s",$C$2:$C377,"SER")+COUNTIFS($B$2:$B377,"s",$C$2:$C377,"PLH")+COUNTIFS($B$2:$B377,"s",$C$2:$C377,"CSF"))-1,12)+1),"N/A"),"")</f>
        <v/>
      </c>
      <c r="J377" s="6" t="str">
        <f>IF(AND($A377&lt;&gt;"",$B377&lt;&gt;"",$C377&lt;&gt;"",$D377&lt;&gt;"",$E377&lt;&gt;""),IF(AND($B377="s",OR($C377="SER",$C377="PLH")),"Case MAX Planck Plate "&amp;(INT(((COUNTIFS($B$2:$B377,"s",$C$2:$C377,"SER")+COUNTIFS($B$2:$B377,"s",$C$2:$C377,"PLH"))-1)/96)+1)&amp;": "&amp;CHAR(65+INT(MOD((COUNTIFS($B$2:$B377,"s",$C$2:$C377,"SER")+COUNTIFS($B$2:$B377,"s",$C$2:$C377,"PLH"))-1,96)/12))&amp;(MOD((COUNTIFS($B$2:$B377,"s",$C$2:$C377,"SER")+COUNTIFS($B$2:$B377,"s",$C$2:$C377,"PLH"))-1,12)+1),"N/A"),"")</f>
        <v/>
      </c>
      <c r="K377" s="6" t="str">
        <f>IF(AND($A377&lt;&gt;"",$B377&lt;&gt;"",$C377&lt;&gt;"",$D377&lt;&gt;"",$E377&lt;&gt;""),IF($C377="WB","Case WB Box "&amp;(INT((COUNTIFS($C$2:$C377,"WB")-1)/81)+1)&amp;": "&amp;CHAR(65+INT(MOD(COUNTIFS($C$2:$C377,"WB")-1,81)/9))&amp;(MOD(COUNTIFS($C$2:$C377,"WB")-1,9)+1),"N/A"),"")</f>
        <v/>
      </c>
      <c r="L377" s="2" t="str">
        <f t="shared" si="91"/>
        <v/>
      </c>
      <c r="M377" s="2"/>
      <c r="N377" s="2"/>
      <c r="O377" s="2"/>
      <c r="P377" s="7" t="str">
        <f t="shared" si="92"/>
        <v/>
      </c>
      <c r="Q377" s="7" t="str">
        <f t="shared" si="93"/>
        <v/>
      </c>
      <c r="R377" s="7" t="str">
        <f t="shared" si="94"/>
        <v/>
      </c>
      <c r="S377" s="7" t="str">
        <f t="shared" si="95"/>
        <v/>
      </c>
      <c r="T377" s="7" t="str">
        <f t="shared" si="96"/>
        <v/>
      </c>
      <c r="U377" s="7" t="str">
        <f t="shared" si="97"/>
        <v/>
      </c>
      <c r="V377" s="7" t="str">
        <f t="shared" si="98"/>
        <v/>
      </c>
      <c r="W377" s="7" t="str">
        <f t="shared" si="99"/>
        <v/>
      </c>
      <c r="X377" s="7" t="str">
        <f t="shared" si="100"/>
        <v/>
      </c>
      <c r="Y377" s="7" t="str">
        <f t="shared" si="101"/>
        <v/>
      </c>
      <c r="Z377">
        <f t="shared" si="102"/>
        <v>0</v>
      </c>
      <c r="AA377" t="str">
        <f t="shared" si="103"/>
        <v/>
      </c>
      <c r="AB377" t="str">
        <f t="shared" si="104"/>
        <v/>
      </c>
      <c r="AC377" t="str">
        <f t="shared" si="105"/>
        <v/>
      </c>
      <c r="AD377" t="str">
        <f t="shared" si="106"/>
        <v/>
      </c>
      <c r="AE377">
        <f t="shared" si="107"/>
        <v>0</v>
      </c>
    </row>
    <row r="378" spans="1:31" ht="15" customHeight="1" x14ac:dyDescent="0.35">
      <c r="A378" s="2"/>
      <c r="B378" s="3"/>
      <c r="C378" s="3"/>
      <c r="D378" s="4"/>
      <c r="E378" s="5"/>
      <c r="F378" s="11" t="str">
        <f t="shared" ca="1" si="90"/>
        <v/>
      </c>
      <c r="G378" s="5"/>
      <c r="H378" s="6" t="str">
        <f>IF(AND($A378&lt;&gt;"",$B378&lt;&gt;"",$C378&lt;&gt;"",$D378&lt;&gt;"",$E378&lt;&gt;""),IF(AND($B378="s",OR($C378="SER",$C378="PLH",$C378="CSF")),"Case CDI Plate "&amp;(INT(((COUNTIFS($B$2:$B378,"s",$C$2:$C378,"SER")+COUNTIFS($B$2:$B378,"s",$C$2:$C378,"PLH")+COUNTIFS($B$2:$B378,"s",$C$2:$C378,"CSF"))-1)/96)+1)&amp;": "&amp;CHAR(65+INT(MOD((COUNTIFS($B$2:$B378,"s",$C$2:$C378,"SER")+COUNTIFS($B$2:$B378,"s",$C$2:$C378,"PLH")+COUNTIFS($B$2:$B378,"s",$C$2:$C378,"CSF"))-1,96)/12))&amp;(MOD((COUNTIFS($B$2:$B378,"s",$C$2:$C378,"SER")+COUNTIFS($B$2:$B378,"s",$C$2:$C378,"PLH")+COUNTIFS($B$2:$B378,"s",$C$2:$C378,"CSF"))-1,12)+1),"N/A"),"")</f>
        <v/>
      </c>
      <c r="I378" s="6" t="str">
        <f>IF(AND($A378&lt;&gt;"",$B378&lt;&gt;"",$C378&lt;&gt;"",$D378&lt;&gt;"",$E378&lt;&gt;""),IF(AND($B378="s",OR($C378="SER",$C378="PLH",$C378="CSF")),"Case NIH Plate "&amp;(INT(((COUNTIFS($B$2:$B378,"s",$C$2:$C378,"SER")+COUNTIFS($B$2:$B378,"s",$C$2:$C378,"PLH")+COUNTIFS($B$2:$B378,"s",$C$2:$C378,"CSF"))-1)/96)+1)&amp;": "&amp;CHAR(65+INT(MOD((COUNTIFS($B$2:$B378,"s",$C$2:$C378,"SER")+COUNTIFS($B$2:$B378,"s",$C$2:$C378,"PLH")+COUNTIFS($B$2:$B378,"s",$C$2:$C378,"CSF"))-1,96)/12))&amp;(MOD((COUNTIFS($B$2:$B378,"s",$C$2:$C378,"SER")+COUNTIFS($B$2:$B378,"s",$C$2:$C378,"PLH")+COUNTIFS($B$2:$B378,"s",$C$2:$C378,"CSF"))-1,12)+1),"N/A"),"")</f>
        <v/>
      </c>
      <c r="J378" s="6" t="str">
        <f>IF(AND($A378&lt;&gt;"",$B378&lt;&gt;"",$C378&lt;&gt;"",$D378&lt;&gt;"",$E378&lt;&gt;""),IF(AND($B378="s",OR($C378="SER",$C378="PLH")),"Case MAX Planck Plate "&amp;(INT(((COUNTIFS($B$2:$B378,"s",$C$2:$C378,"SER")+COUNTIFS($B$2:$B378,"s",$C$2:$C378,"PLH"))-1)/96)+1)&amp;": "&amp;CHAR(65+INT(MOD((COUNTIFS($B$2:$B378,"s",$C$2:$C378,"SER")+COUNTIFS($B$2:$B378,"s",$C$2:$C378,"PLH"))-1,96)/12))&amp;(MOD((COUNTIFS($B$2:$B378,"s",$C$2:$C378,"SER")+COUNTIFS($B$2:$B378,"s",$C$2:$C378,"PLH"))-1,12)+1),"N/A"),"")</f>
        <v/>
      </c>
      <c r="K378" s="6" t="str">
        <f>IF(AND($A378&lt;&gt;"",$B378&lt;&gt;"",$C378&lt;&gt;"",$D378&lt;&gt;"",$E378&lt;&gt;""),IF($C378="WB","Case WB Box "&amp;(INT((COUNTIFS($C$2:$C378,"WB")-1)/81)+1)&amp;": "&amp;CHAR(65+INT(MOD(COUNTIFS($C$2:$C378,"WB")-1,81)/9))&amp;(MOD(COUNTIFS($C$2:$C378,"WB")-1,9)+1),"N/A"),"")</f>
        <v/>
      </c>
      <c r="L378" s="2" t="str">
        <f t="shared" si="91"/>
        <v/>
      </c>
      <c r="M378" s="2"/>
      <c r="N378" s="2"/>
      <c r="O378" s="2"/>
      <c r="P378" s="7" t="str">
        <f t="shared" si="92"/>
        <v/>
      </c>
      <c r="Q378" s="7" t="str">
        <f t="shared" si="93"/>
        <v/>
      </c>
      <c r="R378" s="7" t="str">
        <f t="shared" si="94"/>
        <v/>
      </c>
      <c r="S378" s="7" t="str">
        <f t="shared" si="95"/>
        <v/>
      </c>
      <c r="T378" s="7" t="str">
        <f t="shared" si="96"/>
        <v/>
      </c>
      <c r="U378" s="7" t="str">
        <f t="shared" si="97"/>
        <v/>
      </c>
      <c r="V378" s="7" t="str">
        <f t="shared" si="98"/>
        <v/>
      </c>
      <c r="W378" s="7" t="str">
        <f t="shared" si="99"/>
        <v/>
      </c>
      <c r="X378" s="7" t="str">
        <f t="shared" si="100"/>
        <v/>
      </c>
      <c r="Y378" s="7" t="str">
        <f t="shared" si="101"/>
        <v/>
      </c>
      <c r="Z378">
        <f t="shared" si="102"/>
        <v>0</v>
      </c>
      <c r="AA378" t="str">
        <f t="shared" si="103"/>
        <v/>
      </c>
      <c r="AB378" t="str">
        <f t="shared" si="104"/>
        <v/>
      </c>
      <c r="AC378" t="str">
        <f t="shared" si="105"/>
        <v/>
      </c>
      <c r="AD378" t="str">
        <f t="shared" si="106"/>
        <v/>
      </c>
      <c r="AE378">
        <f t="shared" si="107"/>
        <v>0</v>
      </c>
    </row>
    <row r="379" spans="1:31" ht="15" customHeight="1" x14ac:dyDescent="0.35">
      <c r="A379" s="2"/>
      <c r="B379" s="3"/>
      <c r="C379" s="3"/>
      <c r="D379" s="4"/>
      <c r="E379" s="5"/>
      <c r="F379" s="11" t="str">
        <f t="shared" ca="1" si="90"/>
        <v/>
      </c>
      <c r="G379" s="5"/>
      <c r="H379" s="6" t="str">
        <f>IF(AND($A379&lt;&gt;"",$B379&lt;&gt;"",$C379&lt;&gt;"",$D379&lt;&gt;"",$E379&lt;&gt;""),IF(AND($B379="s",OR($C379="SER",$C379="PLH",$C379="CSF")),"Case CDI Plate "&amp;(INT(((COUNTIFS($B$2:$B379,"s",$C$2:$C379,"SER")+COUNTIFS($B$2:$B379,"s",$C$2:$C379,"PLH")+COUNTIFS($B$2:$B379,"s",$C$2:$C379,"CSF"))-1)/96)+1)&amp;": "&amp;CHAR(65+INT(MOD((COUNTIFS($B$2:$B379,"s",$C$2:$C379,"SER")+COUNTIFS($B$2:$B379,"s",$C$2:$C379,"PLH")+COUNTIFS($B$2:$B379,"s",$C$2:$C379,"CSF"))-1,96)/12))&amp;(MOD((COUNTIFS($B$2:$B379,"s",$C$2:$C379,"SER")+COUNTIFS($B$2:$B379,"s",$C$2:$C379,"PLH")+COUNTIFS($B$2:$B379,"s",$C$2:$C379,"CSF"))-1,12)+1),"N/A"),"")</f>
        <v/>
      </c>
      <c r="I379" s="6" t="str">
        <f>IF(AND($A379&lt;&gt;"",$B379&lt;&gt;"",$C379&lt;&gt;"",$D379&lt;&gt;"",$E379&lt;&gt;""),IF(AND($B379="s",OR($C379="SER",$C379="PLH",$C379="CSF")),"Case NIH Plate "&amp;(INT(((COUNTIFS($B$2:$B379,"s",$C$2:$C379,"SER")+COUNTIFS($B$2:$B379,"s",$C$2:$C379,"PLH")+COUNTIFS($B$2:$B379,"s",$C$2:$C379,"CSF"))-1)/96)+1)&amp;": "&amp;CHAR(65+INT(MOD((COUNTIFS($B$2:$B379,"s",$C$2:$C379,"SER")+COUNTIFS($B$2:$B379,"s",$C$2:$C379,"PLH")+COUNTIFS($B$2:$B379,"s",$C$2:$C379,"CSF"))-1,96)/12))&amp;(MOD((COUNTIFS($B$2:$B379,"s",$C$2:$C379,"SER")+COUNTIFS($B$2:$B379,"s",$C$2:$C379,"PLH")+COUNTIFS($B$2:$B379,"s",$C$2:$C379,"CSF"))-1,12)+1),"N/A"),"")</f>
        <v/>
      </c>
      <c r="J379" s="6" t="str">
        <f>IF(AND($A379&lt;&gt;"",$B379&lt;&gt;"",$C379&lt;&gt;"",$D379&lt;&gt;"",$E379&lt;&gt;""),IF(AND($B379="s",OR($C379="SER",$C379="PLH")),"Case MAX Planck Plate "&amp;(INT(((COUNTIFS($B$2:$B379,"s",$C$2:$C379,"SER")+COUNTIFS($B$2:$B379,"s",$C$2:$C379,"PLH"))-1)/96)+1)&amp;": "&amp;CHAR(65+INT(MOD((COUNTIFS($B$2:$B379,"s",$C$2:$C379,"SER")+COUNTIFS($B$2:$B379,"s",$C$2:$C379,"PLH"))-1,96)/12))&amp;(MOD((COUNTIFS($B$2:$B379,"s",$C$2:$C379,"SER")+COUNTIFS($B$2:$B379,"s",$C$2:$C379,"PLH"))-1,12)+1),"N/A"),"")</f>
        <v/>
      </c>
      <c r="K379" s="6" t="str">
        <f>IF(AND($A379&lt;&gt;"",$B379&lt;&gt;"",$C379&lt;&gt;"",$D379&lt;&gt;"",$E379&lt;&gt;""),IF($C379="WB","Case WB Box "&amp;(INT((COUNTIFS($C$2:$C379,"WB")-1)/81)+1)&amp;": "&amp;CHAR(65+INT(MOD(COUNTIFS($C$2:$C379,"WB")-1,81)/9))&amp;(MOD(COUNTIFS($C$2:$C379,"WB")-1,9)+1),"N/A"),"")</f>
        <v/>
      </c>
      <c r="L379" s="2" t="str">
        <f t="shared" si="91"/>
        <v/>
      </c>
      <c r="M379" s="2"/>
      <c r="N379" s="2"/>
      <c r="O379" s="2"/>
      <c r="P379" s="7" t="str">
        <f t="shared" si="92"/>
        <v/>
      </c>
      <c r="Q379" s="7" t="str">
        <f t="shared" si="93"/>
        <v/>
      </c>
      <c r="R379" s="7" t="str">
        <f t="shared" si="94"/>
        <v/>
      </c>
      <c r="S379" s="7" t="str">
        <f t="shared" si="95"/>
        <v/>
      </c>
      <c r="T379" s="7" t="str">
        <f t="shared" si="96"/>
        <v/>
      </c>
      <c r="U379" s="7" t="str">
        <f t="shared" si="97"/>
        <v/>
      </c>
      <c r="V379" s="7" t="str">
        <f t="shared" si="98"/>
        <v/>
      </c>
      <c r="W379" s="7" t="str">
        <f t="shared" si="99"/>
        <v/>
      </c>
      <c r="X379" s="7" t="str">
        <f t="shared" si="100"/>
        <v/>
      </c>
      <c r="Y379" s="7" t="str">
        <f t="shared" si="101"/>
        <v/>
      </c>
      <c r="Z379">
        <f t="shared" si="102"/>
        <v>0</v>
      </c>
      <c r="AA379" t="str">
        <f t="shared" si="103"/>
        <v/>
      </c>
      <c r="AB379" t="str">
        <f t="shared" si="104"/>
        <v/>
      </c>
      <c r="AC379" t="str">
        <f t="shared" si="105"/>
        <v/>
      </c>
      <c r="AD379" t="str">
        <f t="shared" si="106"/>
        <v/>
      </c>
      <c r="AE379">
        <f t="shared" si="107"/>
        <v>0</v>
      </c>
    </row>
    <row r="380" spans="1:31" ht="15" customHeight="1" x14ac:dyDescent="0.35">
      <c r="A380" s="2"/>
      <c r="B380" s="3"/>
      <c r="C380" s="3"/>
      <c r="D380" s="4"/>
      <c r="E380" s="5"/>
      <c r="F380" s="11" t="str">
        <f t="shared" ca="1" si="90"/>
        <v/>
      </c>
      <c r="G380" s="5"/>
      <c r="H380" s="6" t="str">
        <f>IF(AND($A380&lt;&gt;"",$B380&lt;&gt;"",$C380&lt;&gt;"",$D380&lt;&gt;"",$E380&lt;&gt;""),IF(AND($B380="s",OR($C380="SER",$C380="PLH",$C380="CSF")),"Case CDI Plate "&amp;(INT(((COUNTIFS($B$2:$B380,"s",$C$2:$C380,"SER")+COUNTIFS($B$2:$B380,"s",$C$2:$C380,"PLH")+COUNTIFS($B$2:$B380,"s",$C$2:$C380,"CSF"))-1)/96)+1)&amp;": "&amp;CHAR(65+INT(MOD((COUNTIFS($B$2:$B380,"s",$C$2:$C380,"SER")+COUNTIFS($B$2:$B380,"s",$C$2:$C380,"PLH")+COUNTIFS($B$2:$B380,"s",$C$2:$C380,"CSF"))-1,96)/12))&amp;(MOD((COUNTIFS($B$2:$B380,"s",$C$2:$C380,"SER")+COUNTIFS($B$2:$B380,"s",$C$2:$C380,"PLH")+COUNTIFS($B$2:$B380,"s",$C$2:$C380,"CSF"))-1,12)+1),"N/A"),"")</f>
        <v/>
      </c>
      <c r="I380" s="6" t="str">
        <f>IF(AND($A380&lt;&gt;"",$B380&lt;&gt;"",$C380&lt;&gt;"",$D380&lt;&gt;"",$E380&lt;&gt;""),IF(AND($B380="s",OR($C380="SER",$C380="PLH",$C380="CSF")),"Case NIH Plate "&amp;(INT(((COUNTIFS($B$2:$B380,"s",$C$2:$C380,"SER")+COUNTIFS($B$2:$B380,"s",$C$2:$C380,"PLH")+COUNTIFS($B$2:$B380,"s",$C$2:$C380,"CSF"))-1)/96)+1)&amp;": "&amp;CHAR(65+INT(MOD((COUNTIFS($B$2:$B380,"s",$C$2:$C380,"SER")+COUNTIFS($B$2:$B380,"s",$C$2:$C380,"PLH")+COUNTIFS($B$2:$B380,"s",$C$2:$C380,"CSF"))-1,96)/12))&amp;(MOD((COUNTIFS($B$2:$B380,"s",$C$2:$C380,"SER")+COUNTIFS($B$2:$B380,"s",$C$2:$C380,"PLH")+COUNTIFS($B$2:$B380,"s",$C$2:$C380,"CSF"))-1,12)+1),"N/A"),"")</f>
        <v/>
      </c>
      <c r="J380" s="6" t="str">
        <f>IF(AND($A380&lt;&gt;"",$B380&lt;&gt;"",$C380&lt;&gt;"",$D380&lt;&gt;"",$E380&lt;&gt;""),IF(AND($B380="s",OR($C380="SER",$C380="PLH")),"Case MAX Planck Plate "&amp;(INT(((COUNTIFS($B$2:$B380,"s",$C$2:$C380,"SER")+COUNTIFS($B$2:$B380,"s",$C$2:$C380,"PLH"))-1)/96)+1)&amp;": "&amp;CHAR(65+INT(MOD((COUNTIFS($B$2:$B380,"s",$C$2:$C380,"SER")+COUNTIFS($B$2:$B380,"s",$C$2:$C380,"PLH"))-1,96)/12))&amp;(MOD((COUNTIFS($B$2:$B380,"s",$C$2:$C380,"SER")+COUNTIFS($B$2:$B380,"s",$C$2:$C380,"PLH"))-1,12)+1),"N/A"),"")</f>
        <v/>
      </c>
      <c r="K380" s="6" t="str">
        <f>IF(AND($A380&lt;&gt;"",$B380&lt;&gt;"",$C380&lt;&gt;"",$D380&lt;&gt;"",$E380&lt;&gt;""),IF($C380="WB","Case WB Box "&amp;(INT((COUNTIFS($C$2:$C380,"WB")-1)/81)+1)&amp;": "&amp;CHAR(65+INT(MOD(COUNTIFS($C$2:$C380,"WB")-1,81)/9))&amp;(MOD(COUNTIFS($C$2:$C380,"WB")-1,9)+1),"N/A"),"")</f>
        <v/>
      </c>
      <c r="L380" s="2" t="str">
        <f t="shared" si="91"/>
        <v/>
      </c>
      <c r="M380" s="2"/>
      <c r="N380" s="2"/>
      <c r="O380" s="2"/>
      <c r="P380" s="7" t="str">
        <f t="shared" si="92"/>
        <v/>
      </c>
      <c r="Q380" s="7" t="str">
        <f t="shared" si="93"/>
        <v/>
      </c>
      <c r="R380" s="7" t="str">
        <f t="shared" si="94"/>
        <v/>
      </c>
      <c r="S380" s="7" t="str">
        <f t="shared" si="95"/>
        <v/>
      </c>
      <c r="T380" s="7" t="str">
        <f t="shared" si="96"/>
        <v/>
      </c>
      <c r="U380" s="7" t="str">
        <f t="shared" si="97"/>
        <v/>
      </c>
      <c r="V380" s="7" t="str">
        <f t="shared" si="98"/>
        <v/>
      </c>
      <c r="W380" s="7" t="str">
        <f t="shared" si="99"/>
        <v/>
      </c>
      <c r="X380" s="7" t="str">
        <f t="shared" si="100"/>
        <v/>
      </c>
      <c r="Y380" s="7" t="str">
        <f t="shared" si="101"/>
        <v/>
      </c>
      <c r="Z380">
        <f t="shared" si="102"/>
        <v>0</v>
      </c>
      <c r="AA380" t="str">
        <f t="shared" si="103"/>
        <v/>
      </c>
      <c r="AB380" t="str">
        <f t="shared" si="104"/>
        <v/>
      </c>
      <c r="AC380" t="str">
        <f t="shared" si="105"/>
        <v/>
      </c>
      <c r="AD380" t="str">
        <f t="shared" si="106"/>
        <v/>
      </c>
      <c r="AE380">
        <f t="shared" si="107"/>
        <v>0</v>
      </c>
    </row>
    <row r="381" spans="1:31" ht="15" customHeight="1" x14ac:dyDescent="0.35">
      <c r="A381" s="2"/>
      <c r="B381" s="3"/>
      <c r="C381" s="3"/>
      <c r="D381" s="4"/>
      <c r="E381" s="5"/>
      <c r="F381" s="11" t="str">
        <f t="shared" ref="F381:F444" ca="1" si="108">IF(AND($A381&lt;&gt;"",$B381&lt;&gt;"",$C381&lt;&gt;"",$D381&lt;&gt;"",$E381&lt;&gt;""),TODAY(),"")</f>
        <v/>
      </c>
      <c r="G381" s="5"/>
      <c r="H381" s="6" t="str">
        <f>IF(AND($A381&lt;&gt;"",$B381&lt;&gt;"",$C381&lt;&gt;"",$D381&lt;&gt;"",$E381&lt;&gt;""),IF(AND($B381="s",OR($C381="SER",$C381="PLH",$C381="CSF")),"Case CDI Plate "&amp;(INT(((COUNTIFS($B$2:$B381,"s",$C$2:$C381,"SER")+COUNTIFS($B$2:$B381,"s",$C$2:$C381,"PLH")+COUNTIFS($B$2:$B381,"s",$C$2:$C381,"CSF"))-1)/96)+1)&amp;": "&amp;CHAR(65+INT(MOD((COUNTIFS($B$2:$B381,"s",$C$2:$C381,"SER")+COUNTIFS($B$2:$B381,"s",$C$2:$C381,"PLH")+COUNTIFS($B$2:$B381,"s",$C$2:$C381,"CSF"))-1,96)/12))&amp;(MOD((COUNTIFS($B$2:$B381,"s",$C$2:$C381,"SER")+COUNTIFS($B$2:$B381,"s",$C$2:$C381,"PLH")+COUNTIFS($B$2:$B381,"s",$C$2:$C381,"CSF"))-1,12)+1),"N/A"),"")</f>
        <v/>
      </c>
      <c r="I381" s="6" t="str">
        <f>IF(AND($A381&lt;&gt;"",$B381&lt;&gt;"",$C381&lt;&gt;"",$D381&lt;&gt;"",$E381&lt;&gt;""),IF(AND($B381="s",OR($C381="SER",$C381="PLH",$C381="CSF")),"Case NIH Plate "&amp;(INT(((COUNTIFS($B$2:$B381,"s",$C$2:$C381,"SER")+COUNTIFS($B$2:$B381,"s",$C$2:$C381,"PLH")+COUNTIFS($B$2:$B381,"s",$C$2:$C381,"CSF"))-1)/96)+1)&amp;": "&amp;CHAR(65+INT(MOD((COUNTIFS($B$2:$B381,"s",$C$2:$C381,"SER")+COUNTIFS($B$2:$B381,"s",$C$2:$C381,"PLH")+COUNTIFS($B$2:$B381,"s",$C$2:$C381,"CSF"))-1,96)/12))&amp;(MOD((COUNTIFS($B$2:$B381,"s",$C$2:$C381,"SER")+COUNTIFS($B$2:$B381,"s",$C$2:$C381,"PLH")+COUNTIFS($B$2:$B381,"s",$C$2:$C381,"CSF"))-1,12)+1),"N/A"),"")</f>
        <v/>
      </c>
      <c r="J381" s="6" t="str">
        <f>IF(AND($A381&lt;&gt;"",$B381&lt;&gt;"",$C381&lt;&gt;"",$D381&lt;&gt;"",$E381&lt;&gt;""),IF(AND($B381="s",OR($C381="SER",$C381="PLH")),"Case MAX Planck Plate "&amp;(INT(((COUNTIFS($B$2:$B381,"s",$C$2:$C381,"SER")+COUNTIFS($B$2:$B381,"s",$C$2:$C381,"PLH"))-1)/96)+1)&amp;": "&amp;CHAR(65+INT(MOD((COUNTIFS($B$2:$B381,"s",$C$2:$C381,"SER")+COUNTIFS($B$2:$B381,"s",$C$2:$C381,"PLH"))-1,96)/12))&amp;(MOD((COUNTIFS($B$2:$B381,"s",$C$2:$C381,"SER")+COUNTIFS($B$2:$B381,"s",$C$2:$C381,"PLH"))-1,12)+1),"N/A"),"")</f>
        <v/>
      </c>
      <c r="K381" s="6" t="str">
        <f>IF(AND($A381&lt;&gt;"",$B381&lt;&gt;"",$C381&lt;&gt;"",$D381&lt;&gt;"",$E381&lt;&gt;""),IF($C381="WB","Case WB Box "&amp;(INT((COUNTIFS($C$2:$C381,"WB")-1)/81)+1)&amp;": "&amp;CHAR(65+INT(MOD(COUNTIFS($C$2:$C381,"WB")-1,81)/9))&amp;(MOD(COUNTIFS($C$2:$C381,"WB")-1,9)+1),"N/A"),"")</f>
        <v/>
      </c>
      <c r="L381" s="2" t="str">
        <f t="shared" ref="L381:L444" si="109">IF(AND($A381&lt;&gt;"",$B381&lt;&gt;"",$C381&lt;&gt;"",$D381&lt;&gt;"",$E381&lt;&gt;""),IF($C381="WB","No",IF($B381="i","Yes","")),"")</f>
        <v/>
      </c>
      <c r="M381" s="2"/>
      <c r="N381" s="2"/>
      <c r="O381" s="2"/>
      <c r="P381" s="7" t="str">
        <f t="shared" ref="P381:P444" si="110">IF($A381&lt;&gt;"",MID($A381,5,4),"")</f>
        <v/>
      </c>
      <c r="Q381" s="7" t="str">
        <f t="shared" ref="Q381:Q444" si="111">IF($D381&lt;&gt;"",TEXT($D381,"mmddyy"),"")</f>
        <v/>
      </c>
      <c r="R381" s="7" t="str">
        <f t="shared" ref="R381:R444" si="112">IF(AND($A381&lt;&gt;"",$B381&lt;&gt;"",$C381&lt;&gt;"",$D381&lt;&gt;""),IF($C381="WB","cs_"&amp;$P381&amp;"_"&amp;$B381&amp;"_wb_"&amp;$Q381,"cs_"&amp;$P381&amp;"_"&amp;$B381&amp;"_"&amp;LOWER($C381)&amp;"_"&amp;IF($C381="CSF","0.50","0.20")&amp;"_"&amp;$Q381),"")</f>
        <v/>
      </c>
      <c r="S381" s="7" t="str">
        <f t="shared" ref="S381:S444" si="113">IF(AND($A381&lt;&gt;"",$B381&lt;&gt;"",$C381="WB",$D381&lt;&gt;""),"cs_"&amp;$P381&amp;"_"&amp;$B381&amp;"_wb_"&amp;$Q381,"")</f>
        <v/>
      </c>
      <c r="T381" s="7" t="str">
        <f t="shared" ref="T381:T444" si="114">IFERROR(VALUE(MID($M381,FIND("Box ",$M381)+4,FIND(":",$M381)-FIND("Box ",$M381)-4)),"")</f>
        <v/>
      </c>
      <c r="U381" s="7" t="str">
        <f t="shared" ref="U381:U444" si="115">IFERROR(CODE(UPPER(LEFT(LEFT(TRIM(MID(SUBSTITUTE(TRIM(MID($M381,FIND(":",$M381)+1,200)),",",REPT(" ",60)),1,60)),IFERROR(FIND("-",TRIM(MID(SUBSTITUTE(TRIM(MID($M381,FIND(":",$M381)+1,200)),",",REPT(" ",60)),1,60)))-1,LEN(TRIM(MID(SUBSTITUTE(TRIM(MID($M381,FIND(":",$M381)+1,200)),",",REPT(" ",60)),1,60))))),1)))-64,"")</f>
        <v/>
      </c>
      <c r="V381" s="7" t="str">
        <f t="shared" ref="V381:V444" si="116">IFERROR(VALUE(MID(LEFT(TRIM(MID(SUBSTITUTE(TRIM(MID($M381,FIND(":",$M381)+1,200)),",",REPT(" ",60)),1,60)),IFERROR(FIND("-",TRIM(MID(SUBSTITUTE(TRIM(MID($M381,FIND(":",$M381)+1,200)),",",REPT(" ",60)),1,60)))-1,LEN(TRIM(MID(SUBSTITUTE(TRIM(MID($M381,FIND(":",$M381)+1,200)),",",REPT(" ",60)),1,60))))),2,3)),"")</f>
        <v/>
      </c>
      <c r="W381" s="7" t="str">
        <f t="shared" ref="W381:W444" si="117">IFERROR(CODE(UPPER(LEFT(IFERROR(MID(TRIM(MID(SUBSTITUTE(TRIM(MID($M381,FIND(":",$M381)+1,200)),",",REPT(" ",60)),1,60)),FIND("-",TRIM(MID(SUBSTITUTE(TRIM(MID($M381,FIND(":",$M381)+1,200)),",",REPT(" ",60)),1,60)))+1,99),LEFT(TRIM(MID(SUBSTITUTE(TRIM(MID($M381,FIND(":",$M381)+1,200)),",",REPT(" ",60)),1,60)),IFERROR(FIND("-",TRIM(MID(SUBSTITUTE(TRIM(MID($M381,FIND(":",$M381)+1,200)),",",REPT(" ",60)),1,60)))-1,LEN(TRIM(MID(SUBSTITUTE(TRIM(MID($M381,FIND(":",$M381)+1,200)),",",REPT(" ",60)),1,60)))))),1)))-64,"")</f>
        <v/>
      </c>
      <c r="X381" s="7" t="str">
        <f t="shared" ref="X381:X444" si="118">IFERROR(VALUE(MID(IFERROR(MID(TRIM(MID(SUBSTITUTE(TRIM(MID($M381,FIND(":",$M381)+1,200)),",",REPT(" ",60)),1,60)),FIND("-",TRIM(MID(SUBSTITUTE(TRIM(MID($M381,FIND(":",$M381)+1,200)),",",REPT(" ",60)),1,60)))+1,99),LEFT(TRIM(MID(SUBSTITUTE(TRIM(MID($M381,FIND(":",$M381)+1,200)),",",REPT(" ",60)),1,60)),IFERROR(FIND("-",TRIM(MID(SUBSTITUTE(TRIM(MID($M381,FIND(":",$M381)+1,200)),",",REPT(" ",60)),1,60)))-1,LEN(TRIM(MID(SUBSTITUTE(TRIM(MID($M381,FIND(":",$M381)+1,200)),",",REPT(" ",60)),1,60)))))),2,3)),"")</f>
        <v/>
      </c>
      <c r="Y381" s="7" t="str">
        <f t="shared" ref="Y381:Y444" si="119">IF(AND($A381&lt;&gt;"",$B381&lt;&gt;"",$C381&lt;&gt;"",$D381&lt;&gt;""),"cs_"&amp;$P381&amp;"_"&amp;$B381&amp;"_"&amp;LOWER($C381)&amp;"_","")</f>
        <v/>
      </c>
      <c r="Z381">
        <f t="shared" ref="Z381:Z444" si="120">IFERROR(($W381-$U381+1)*($X381-$V381+1),0)</f>
        <v>0</v>
      </c>
      <c r="AA381" t="str">
        <f t="shared" ref="AA381:AA444" si="121">IFERROR(CODE(UPPER(LEFT(LEFT(TRIM(MID(SUBSTITUTE(TRIM(MID($M381,FIND(":",$M381)+1,200)),",",REPT(" ",60)),61,60)),IFERROR(FIND("-",TRIM(MID(SUBSTITUTE(TRIM(MID($M381,FIND(":",$M381)+1,200)),",",REPT(" ",60)),61,60)))-1,LEN(TRIM(MID(SUBSTITUTE(TRIM(MID($M381,FIND(":",$M381)+1,200)),",",REPT(" ",60)),61,60))))),1)))-64,"")</f>
        <v/>
      </c>
      <c r="AB381" t="str">
        <f t="shared" ref="AB381:AB444" si="122">IFERROR(VALUE(MID(LEFT(TRIM(MID(SUBSTITUTE(TRIM(MID($M381,FIND(":",$M381)+1,200)),",",REPT(" ",60)),61,60)),IFERROR(FIND("-",TRIM(MID(SUBSTITUTE(TRIM(MID($M381,FIND(":",$M381)+1,200)),",",REPT(" ",60)),61,60)))-1,LEN(TRIM(MID(SUBSTITUTE(TRIM(MID($M381,FIND(":",$M381)+1,200)),",",REPT(" ",60)),61,60))))),2,3)),"")</f>
        <v/>
      </c>
      <c r="AC381" t="str">
        <f t="shared" ref="AC381:AC444" si="123">IFERROR(CODE(UPPER(LEFT(IFERROR(MID(TRIM(MID(SUBSTITUTE(TRIM(MID($M381,FIND(":",$M381)+1,200)),",",REPT(" ",60)),61,60)),FIND("-",TRIM(MID(SUBSTITUTE(TRIM(MID($M381,FIND(":",$M381)+1,200)),",",REPT(" ",60)),61,60)))+1,99),LEFT(TRIM(MID(SUBSTITUTE(TRIM(MID($M381,FIND(":",$M381)+1,200)),",",REPT(" ",60)),61,60)),IFERROR(FIND("-",TRIM(MID(SUBSTITUTE(TRIM(MID($M381,FIND(":",$M381)+1,200)),",",REPT(" ",60)),61,60)))-1,LEN(TRIM(MID(SUBSTITUTE(TRIM(MID($M381,FIND(":",$M381)+1,200)),",",REPT(" ",60)),61,60)))))),1)))-64,"")</f>
        <v/>
      </c>
      <c r="AD381" t="str">
        <f t="shared" ref="AD381:AD444" si="124">IFERROR(VALUE(MID(IFERROR(MID(TRIM(MID(SUBSTITUTE(TRIM(MID($M381,FIND(":",$M381)+1,200)),",",REPT(" ",60)),61,60)),FIND("-",TRIM(MID(SUBSTITUTE(TRIM(MID($M381,FIND(":",$M381)+1,200)),",",REPT(" ",60)),61,60)))+1,99),LEFT(TRIM(MID(SUBSTITUTE(TRIM(MID($M381,FIND(":",$M381)+1,200)),",",REPT(" ",60)),61,60)),IFERROR(FIND("-",TRIM(MID(SUBSTITUTE(TRIM(MID($M381,FIND(":",$M381)+1,200)),",",REPT(" ",60)),61,60)))-1,LEN(TRIM(MID(SUBSTITUTE(TRIM(MID($M381,FIND(":",$M381)+1,200)),",",REPT(" ",60)),61,60)))))),2,3)),"")</f>
        <v/>
      </c>
      <c r="AE381">
        <f t="shared" ref="AE381:AE444" si="125">IFERROR(($AC381-$AA381+1)*($AD381-$AB381+1),0)</f>
        <v>0</v>
      </c>
    </row>
    <row r="382" spans="1:31" ht="15" customHeight="1" x14ac:dyDescent="0.35">
      <c r="A382" s="2"/>
      <c r="B382" s="3"/>
      <c r="C382" s="3"/>
      <c r="D382" s="4"/>
      <c r="E382" s="5"/>
      <c r="F382" s="11" t="str">
        <f t="shared" ca="1" si="108"/>
        <v/>
      </c>
      <c r="G382" s="5"/>
      <c r="H382" s="6" t="str">
        <f>IF(AND($A382&lt;&gt;"",$B382&lt;&gt;"",$C382&lt;&gt;"",$D382&lt;&gt;"",$E382&lt;&gt;""),IF(AND($B382="s",OR($C382="SER",$C382="PLH",$C382="CSF")),"Case CDI Plate "&amp;(INT(((COUNTIFS($B$2:$B382,"s",$C$2:$C382,"SER")+COUNTIFS($B$2:$B382,"s",$C$2:$C382,"PLH")+COUNTIFS($B$2:$B382,"s",$C$2:$C382,"CSF"))-1)/96)+1)&amp;": "&amp;CHAR(65+INT(MOD((COUNTIFS($B$2:$B382,"s",$C$2:$C382,"SER")+COUNTIFS($B$2:$B382,"s",$C$2:$C382,"PLH")+COUNTIFS($B$2:$B382,"s",$C$2:$C382,"CSF"))-1,96)/12))&amp;(MOD((COUNTIFS($B$2:$B382,"s",$C$2:$C382,"SER")+COUNTIFS($B$2:$B382,"s",$C$2:$C382,"PLH")+COUNTIFS($B$2:$B382,"s",$C$2:$C382,"CSF"))-1,12)+1),"N/A"),"")</f>
        <v/>
      </c>
      <c r="I382" s="6" t="str">
        <f>IF(AND($A382&lt;&gt;"",$B382&lt;&gt;"",$C382&lt;&gt;"",$D382&lt;&gt;"",$E382&lt;&gt;""),IF(AND($B382="s",OR($C382="SER",$C382="PLH",$C382="CSF")),"Case NIH Plate "&amp;(INT(((COUNTIFS($B$2:$B382,"s",$C$2:$C382,"SER")+COUNTIFS($B$2:$B382,"s",$C$2:$C382,"PLH")+COUNTIFS($B$2:$B382,"s",$C$2:$C382,"CSF"))-1)/96)+1)&amp;": "&amp;CHAR(65+INT(MOD((COUNTIFS($B$2:$B382,"s",$C$2:$C382,"SER")+COUNTIFS($B$2:$B382,"s",$C$2:$C382,"PLH")+COUNTIFS($B$2:$B382,"s",$C$2:$C382,"CSF"))-1,96)/12))&amp;(MOD((COUNTIFS($B$2:$B382,"s",$C$2:$C382,"SER")+COUNTIFS($B$2:$B382,"s",$C$2:$C382,"PLH")+COUNTIFS($B$2:$B382,"s",$C$2:$C382,"CSF"))-1,12)+1),"N/A"),"")</f>
        <v/>
      </c>
      <c r="J382" s="6" t="str">
        <f>IF(AND($A382&lt;&gt;"",$B382&lt;&gt;"",$C382&lt;&gt;"",$D382&lt;&gt;"",$E382&lt;&gt;""),IF(AND($B382="s",OR($C382="SER",$C382="PLH")),"Case MAX Planck Plate "&amp;(INT(((COUNTIFS($B$2:$B382,"s",$C$2:$C382,"SER")+COUNTIFS($B$2:$B382,"s",$C$2:$C382,"PLH"))-1)/96)+1)&amp;": "&amp;CHAR(65+INT(MOD((COUNTIFS($B$2:$B382,"s",$C$2:$C382,"SER")+COUNTIFS($B$2:$B382,"s",$C$2:$C382,"PLH"))-1,96)/12))&amp;(MOD((COUNTIFS($B$2:$B382,"s",$C$2:$C382,"SER")+COUNTIFS($B$2:$B382,"s",$C$2:$C382,"PLH"))-1,12)+1),"N/A"),"")</f>
        <v/>
      </c>
      <c r="K382" s="6" t="str">
        <f>IF(AND($A382&lt;&gt;"",$B382&lt;&gt;"",$C382&lt;&gt;"",$D382&lt;&gt;"",$E382&lt;&gt;""),IF($C382="WB","Case WB Box "&amp;(INT((COUNTIFS($C$2:$C382,"WB")-1)/81)+1)&amp;": "&amp;CHAR(65+INT(MOD(COUNTIFS($C$2:$C382,"WB")-1,81)/9))&amp;(MOD(COUNTIFS($C$2:$C382,"WB")-1,9)+1),"N/A"),"")</f>
        <v/>
      </c>
      <c r="L382" s="2" t="str">
        <f t="shared" si="109"/>
        <v/>
      </c>
      <c r="M382" s="2"/>
      <c r="N382" s="2"/>
      <c r="O382" s="2"/>
      <c r="P382" s="7" t="str">
        <f t="shared" si="110"/>
        <v/>
      </c>
      <c r="Q382" s="7" t="str">
        <f t="shared" si="111"/>
        <v/>
      </c>
      <c r="R382" s="7" t="str">
        <f t="shared" si="112"/>
        <v/>
      </c>
      <c r="S382" s="7" t="str">
        <f t="shared" si="113"/>
        <v/>
      </c>
      <c r="T382" s="7" t="str">
        <f t="shared" si="114"/>
        <v/>
      </c>
      <c r="U382" s="7" t="str">
        <f t="shared" si="115"/>
        <v/>
      </c>
      <c r="V382" s="7" t="str">
        <f t="shared" si="116"/>
        <v/>
      </c>
      <c r="W382" s="7" t="str">
        <f t="shared" si="117"/>
        <v/>
      </c>
      <c r="X382" s="7" t="str">
        <f t="shared" si="118"/>
        <v/>
      </c>
      <c r="Y382" s="7" t="str">
        <f t="shared" si="119"/>
        <v/>
      </c>
      <c r="Z382">
        <f t="shared" si="120"/>
        <v>0</v>
      </c>
      <c r="AA382" t="str">
        <f t="shared" si="121"/>
        <v/>
      </c>
      <c r="AB382" t="str">
        <f t="shared" si="122"/>
        <v/>
      </c>
      <c r="AC382" t="str">
        <f t="shared" si="123"/>
        <v/>
      </c>
      <c r="AD382" t="str">
        <f t="shared" si="124"/>
        <v/>
      </c>
      <c r="AE382">
        <f t="shared" si="125"/>
        <v>0</v>
      </c>
    </row>
    <row r="383" spans="1:31" ht="15" customHeight="1" x14ac:dyDescent="0.35">
      <c r="A383" s="2"/>
      <c r="B383" s="3"/>
      <c r="C383" s="3"/>
      <c r="D383" s="4"/>
      <c r="E383" s="5"/>
      <c r="F383" s="11" t="str">
        <f t="shared" ca="1" si="108"/>
        <v/>
      </c>
      <c r="G383" s="5"/>
      <c r="H383" s="6" t="str">
        <f>IF(AND($A383&lt;&gt;"",$B383&lt;&gt;"",$C383&lt;&gt;"",$D383&lt;&gt;"",$E383&lt;&gt;""),IF(AND($B383="s",OR($C383="SER",$C383="PLH",$C383="CSF")),"Case CDI Plate "&amp;(INT(((COUNTIFS($B$2:$B383,"s",$C$2:$C383,"SER")+COUNTIFS($B$2:$B383,"s",$C$2:$C383,"PLH")+COUNTIFS($B$2:$B383,"s",$C$2:$C383,"CSF"))-1)/96)+1)&amp;": "&amp;CHAR(65+INT(MOD((COUNTIFS($B$2:$B383,"s",$C$2:$C383,"SER")+COUNTIFS($B$2:$B383,"s",$C$2:$C383,"PLH")+COUNTIFS($B$2:$B383,"s",$C$2:$C383,"CSF"))-1,96)/12))&amp;(MOD((COUNTIFS($B$2:$B383,"s",$C$2:$C383,"SER")+COUNTIFS($B$2:$B383,"s",$C$2:$C383,"PLH")+COUNTIFS($B$2:$B383,"s",$C$2:$C383,"CSF"))-1,12)+1),"N/A"),"")</f>
        <v/>
      </c>
      <c r="I383" s="6" t="str">
        <f>IF(AND($A383&lt;&gt;"",$B383&lt;&gt;"",$C383&lt;&gt;"",$D383&lt;&gt;"",$E383&lt;&gt;""),IF(AND($B383="s",OR($C383="SER",$C383="PLH",$C383="CSF")),"Case NIH Plate "&amp;(INT(((COUNTIFS($B$2:$B383,"s",$C$2:$C383,"SER")+COUNTIFS($B$2:$B383,"s",$C$2:$C383,"PLH")+COUNTIFS($B$2:$B383,"s",$C$2:$C383,"CSF"))-1)/96)+1)&amp;": "&amp;CHAR(65+INT(MOD((COUNTIFS($B$2:$B383,"s",$C$2:$C383,"SER")+COUNTIFS($B$2:$B383,"s",$C$2:$C383,"PLH")+COUNTIFS($B$2:$B383,"s",$C$2:$C383,"CSF"))-1,96)/12))&amp;(MOD((COUNTIFS($B$2:$B383,"s",$C$2:$C383,"SER")+COUNTIFS($B$2:$B383,"s",$C$2:$C383,"PLH")+COUNTIFS($B$2:$B383,"s",$C$2:$C383,"CSF"))-1,12)+1),"N/A"),"")</f>
        <v/>
      </c>
      <c r="J383" s="6" t="str">
        <f>IF(AND($A383&lt;&gt;"",$B383&lt;&gt;"",$C383&lt;&gt;"",$D383&lt;&gt;"",$E383&lt;&gt;""),IF(AND($B383="s",OR($C383="SER",$C383="PLH")),"Case MAX Planck Plate "&amp;(INT(((COUNTIFS($B$2:$B383,"s",$C$2:$C383,"SER")+COUNTIFS($B$2:$B383,"s",$C$2:$C383,"PLH"))-1)/96)+1)&amp;": "&amp;CHAR(65+INT(MOD((COUNTIFS($B$2:$B383,"s",$C$2:$C383,"SER")+COUNTIFS($B$2:$B383,"s",$C$2:$C383,"PLH"))-1,96)/12))&amp;(MOD((COUNTIFS($B$2:$B383,"s",$C$2:$C383,"SER")+COUNTIFS($B$2:$B383,"s",$C$2:$C383,"PLH"))-1,12)+1),"N/A"),"")</f>
        <v/>
      </c>
      <c r="K383" s="6" t="str">
        <f>IF(AND($A383&lt;&gt;"",$B383&lt;&gt;"",$C383&lt;&gt;"",$D383&lt;&gt;"",$E383&lt;&gt;""),IF($C383="WB","Case WB Box "&amp;(INT((COUNTIFS($C$2:$C383,"WB")-1)/81)+1)&amp;": "&amp;CHAR(65+INT(MOD(COUNTIFS($C$2:$C383,"WB")-1,81)/9))&amp;(MOD(COUNTIFS($C$2:$C383,"WB")-1,9)+1),"N/A"),"")</f>
        <v/>
      </c>
      <c r="L383" s="2" t="str">
        <f t="shared" si="109"/>
        <v/>
      </c>
      <c r="M383" s="2"/>
      <c r="N383" s="2"/>
      <c r="O383" s="2"/>
      <c r="P383" s="7" t="str">
        <f t="shared" si="110"/>
        <v/>
      </c>
      <c r="Q383" s="7" t="str">
        <f t="shared" si="111"/>
        <v/>
      </c>
      <c r="R383" s="7" t="str">
        <f t="shared" si="112"/>
        <v/>
      </c>
      <c r="S383" s="7" t="str">
        <f t="shared" si="113"/>
        <v/>
      </c>
      <c r="T383" s="7" t="str">
        <f t="shared" si="114"/>
        <v/>
      </c>
      <c r="U383" s="7" t="str">
        <f t="shared" si="115"/>
        <v/>
      </c>
      <c r="V383" s="7" t="str">
        <f t="shared" si="116"/>
        <v/>
      </c>
      <c r="W383" s="7" t="str">
        <f t="shared" si="117"/>
        <v/>
      </c>
      <c r="X383" s="7" t="str">
        <f t="shared" si="118"/>
        <v/>
      </c>
      <c r="Y383" s="7" t="str">
        <f t="shared" si="119"/>
        <v/>
      </c>
      <c r="Z383">
        <f t="shared" si="120"/>
        <v>0</v>
      </c>
      <c r="AA383" t="str">
        <f t="shared" si="121"/>
        <v/>
      </c>
      <c r="AB383" t="str">
        <f t="shared" si="122"/>
        <v/>
      </c>
      <c r="AC383" t="str">
        <f t="shared" si="123"/>
        <v/>
      </c>
      <c r="AD383" t="str">
        <f t="shared" si="124"/>
        <v/>
      </c>
      <c r="AE383">
        <f t="shared" si="125"/>
        <v>0</v>
      </c>
    </row>
    <row r="384" spans="1:31" ht="15" customHeight="1" x14ac:dyDescent="0.35">
      <c r="A384" s="2"/>
      <c r="B384" s="3"/>
      <c r="C384" s="3"/>
      <c r="D384" s="4"/>
      <c r="E384" s="5"/>
      <c r="F384" s="11" t="str">
        <f t="shared" ca="1" si="108"/>
        <v/>
      </c>
      <c r="G384" s="5"/>
      <c r="H384" s="6" t="str">
        <f>IF(AND($A384&lt;&gt;"",$B384&lt;&gt;"",$C384&lt;&gt;"",$D384&lt;&gt;"",$E384&lt;&gt;""),IF(AND($B384="s",OR($C384="SER",$C384="PLH",$C384="CSF")),"Case CDI Plate "&amp;(INT(((COUNTIFS($B$2:$B384,"s",$C$2:$C384,"SER")+COUNTIFS($B$2:$B384,"s",$C$2:$C384,"PLH")+COUNTIFS($B$2:$B384,"s",$C$2:$C384,"CSF"))-1)/96)+1)&amp;": "&amp;CHAR(65+INT(MOD((COUNTIFS($B$2:$B384,"s",$C$2:$C384,"SER")+COUNTIFS($B$2:$B384,"s",$C$2:$C384,"PLH")+COUNTIFS($B$2:$B384,"s",$C$2:$C384,"CSF"))-1,96)/12))&amp;(MOD((COUNTIFS($B$2:$B384,"s",$C$2:$C384,"SER")+COUNTIFS($B$2:$B384,"s",$C$2:$C384,"PLH")+COUNTIFS($B$2:$B384,"s",$C$2:$C384,"CSF"))-1,12)+1),"N/A"),"")</f>
        <v/>
      </c>
      <c r="I384" s="6" t="str">
        <f>IF(AND($A384&lt;&gt;"",$B384&lt;&gt;"",$C384&lt;&gt;"",$D384&lt;&gt;"",$E384&lt;&gt;""),IF(AND($B384="s",OR($C384="SER",$C384="PLH",$C384="CSF")),"Case NIH Plate "&amp;(INT(((COUNTIFS($B$2:$B384,"s",$C$2:$C384,"SER")+COUNTIFS($B$2:$B384,"s",$C$2:$C384,"PLH")+COUNTIFS($B$2:$B384,"s",$C$2:$C384,"CSF"))-1)/96)+1)&amp;": "&amp;CHAR(65+INT(MOD((COUNTIFS($B$2:$B384,"s",$C$2:$C384,"SER")+COUNTIFS($B$2:$B384,"s",$C$2:$C384,"PLH")+COUNTIFS($B$2:$B384,"s",$C$2:$C384,"CSF"))-1,96)/12))&amp;(MOD((COUNTIFS($B$2:$B384,"s",$C$2:$C384,"SER")+COUNTIFS($B$2:$B384,"s",$C$2:$C384,"PLH")+COUNTIFS($B$2:$B384,"s",$C$2:$C384,"CSF"))-1,12)+1),"N/A"),"")</f>
        <v/>
      </c>
      <c r="J384" s="6" t="str">
        <f>IF(AND($A384&lt;&gt;"",$B384&lt;&gt;"",$C384&lt;&gt;"",$D384&lt;&gt;"",$E384&lt;&gt;""),IF(AND($B384="s",OR($C384="SER",$C384="PLH")),"Case MAX Planck Plate "&amp;(INT(((COUNTIFS($B$2:$B384,"s",$C$2:$C384,"SER")+COUNTIFS($B$2:$B384,"s",$C$2:$C384,"PLH"))-1)/96)+1)&amp;": "&amp;CHAR(65+INT(MOD((COUNTIFS($B$2:$B384,"s",$C$2:$C384,"SER")+COUNTIFS($B$2:$B384,"s",$C$2:$C384,"PLH"))-1,96)/12))&amp;(MOD((COUNTIFS($B$2:$B384,"s",$C$2:$C384,"SER")+COUNTIFS($B$2:$B384,"s",$C$2:$C384,"PLH"))-1,12)+1),"N/A"),"")</f>
        <v/>
      </c>
      <c r="K384" s="6" t="str">
        <f>IF(AND($A384&lt;&gt;"",$B384&lt;&gt;"",$C384&lt;&gt;"",$D384&lt;&gt;"",$E384&lt;&gt;""),IF($C384="WB","Case WB Box "&amp;(INT((COUNTIFS($C$2:$C384,"WB")-1)/81)+1)&amp;": "&amp;CHAR(65+INT(MOD(COUNTIFS($C$2:$C384,"WB")-1,81)/9))&amp;(MOD(COUNTIFS($C$2:$C384,"WB")-1,9)+1),"N/A"),"")</f>
        <v/>
      </c>
      <c r="L384" s="2" t="str">
        <f t="shared" si="109"/>
        <v/>
      </c>
      <c r="M384" s="2"/>
      <c r="N384" s="2"/>
      <c r="O384" s="2"/>
      <c r="P384" s="7" t="str">
        <f t="shared" si="110"/>
        <v/>
      </c>
      <c r="Q384" s="7" t="str">
        <f t="shared" si="111"/>
        <v/>
      </c>
      <c r="R384" s="7" t="str">
        <f t="shared" si="112"/>
        <v/>
      </c>
      <c r="S384" s="7" t="str">
        <f t="shared" si="113"/>
        <v/>
      </c>
      <c r="T384" s="7" t="str">
        <f t="shared" si="114"/>
        <v/>
      </c>
      <c r="U384" s="7" t="str">
        <f t="shared" si="115"/>
        <v/>
      </c>
      <c r="V384" s="7" t="str">
        <f t="shared" si="116"/>
        <v/>
      </c>
      <c r="W384" s="7" t="str">
        <f t="shared" si="117"/>
        <v/>
      </c>
      <c r="X384" s="7" t="str">
        <f t="shared" si="118"/>
        <v/>
      </c>
      <c r="Y384" s="7" t="str">
        <f t="shared" si="119"/>
        <v/>
      </c>
      <c r="Z384">
        <f t="shared" si="120"/>
        <v>0</v>
      </c>
      <c r="AA384" t="str">
        <f t="shared" si="121"/>
        <v/>
      </c>
      <c r="AB384" t="str">
        <f t="shared" si="122"/>
        <v/>
      </c>
      <c r="AC384" t="str">
        <f t="shared" si="123"/>
        <v/>
      </c>
      <c r="AD384" t="str">
        <f t="shared" si="124"/>
        <v/>
      </c>
      <c r="AE384">
        <f t="shared" si="125"/>
        <v>0</v>
      </c>
    </row>
    <row r="385" spans="1:31" ht="15" customHeight="1" x14ac:dyDescent="0.35">
      <c r="A385" s="2"/>
      <c r="B385" s="3"/>
      <c r="C385" s="3"/>
      <c r="D385" s="4"/>
      <c r="E385" s="5"/>
      <c r="F385" s="11" t="str">
        <f t="shared" ca="1" si="108"/>
        <v/>
      </c>
      <c r="G385" s="5"/>
      <c r="H385" s="6" t="str">
        <f>IF(AND($A385&lt;&gt;"",$B385&lt;&gt;"",$C385&lt;&gt;"",$D385&lt;&gt;"",$E385&lt;&gt;""),IF(AND($B385="s",OR($C385="SER",$C385="PLH",$C385="CSF")),"Case CDI Plate "&amp;(INT(((COUNTIFS($B$2:$B385,"s",$C$2:$C385,"SER")+COUNTIFS($B$2:$B385,"s",$C$2:$C385,"PLH")+COUNTIFS($B$2:$B385,"s",$C$2:$C385,"CSF"))-1)/96)+1)&amp;": "&amp;CHAR(65+INT(MOD((COUNTIFS($B$2:$B385,"s",$C$2:$C385,"SER")+COUNTIFS($B$2:$B385,"s",$C$2:$C385,"PLH")+COUNTIFS($B$2:$B385,"s",$C$2:$C385,"CSF"))-1,96)/12))&amp;(MOD((COUNTIFS($B$2:$B385,"s",$C$2:$C385,"SER")+COUNTIFS($B$2:$B385,"s",$C$2:$C385,"PLH")+COUNTIFS($B$2:$B385,"s",$C$2:$C385,"CSF"))-1,12)+1),"N/A"),"")</f>
        <v/>
      </c>
      <c r="I385" s="6" t="str">
        <f>IF(AND($A385&lt;&gt;"",$B385&lt;&gt;"",$C385&lt;&gt;"",$D385&lt;&gt;"",$E385&lt;&gt;""),IF(AND($B385="s",OR($C385="SER",$C385="PLH",$C385="CSF")),"Case NIH Plate "&amp;(INT(((COUNTIFS($B$2:$B385,"s",$C$2:$C385,"SER")+COUNTIFS($B$2:$B385,"s",$C$2:$C385,"PLH")+COUNTIFS($B$2:$B385,"s",$C$2:$C385,"CSF"))-1)/96)+1)&amp;": "&amp;CHAR(65+INT(MOD((COUNTIFS($B$2:$B385,"s",$C$2:$C385,"SER")+COUNTIFS($B$2:$B385,"s",$C$2:$C385,"PLH")+COUNTIFS($B$2:$B385,"s",$C$2:$C385,"CSF"))-1,96)/12))&amp;(MOD((COUNTIFS($B$2:$B385,"s",$C$2:$C385,"SER")+COUNTIFS($B$2:$B385,"s",$C$2:$C385,"PLH")+COUNTIFS($B$2:$B385,"s",$C$2:$C385,"CSF"))-1,12)+1),"N/A"),"")</f>
        <v/>
      </c>
      <c r="J385" s="6" t="str">
        <f>IF(AND($A385&lt;&gt;"",$B385&lt;&gt;"",$C385&lt;&gt;"",$D385&lt;&gt;"",$E385&lt;&gt;""),IF(AND($B385="s",OR($C385="SER",$C385="PLH")),"Case MAX Planck Plate "&amp;(INT(((COUNTIFS($B$2:$B385,"s",$C$2:$C385,"SER")+COUNTIFS($B$2:$B385,"s",$C$2:$C385,"PLH"))-1)/96)+1)&amp;": "&amp;CHAR(65+INT(MOD((COUNTIFS($B$2:$B385,"s",$C$2:$C385,"SER")+COUNTIFS($B$2:$B385,"s",$C$2:$C385,"PLH"))-1,96)/12))&amp;(MOD((COUNTIFS($B$2:$B385,"s",$C$2:$C385,"SER")+COUNTIFS($B$2:$B385,"s",$C$2:$C385,"PLH"))-1,12)+1),"N/A"),"")</f>
        <v/>
      </c>
      <c r="K385" s="6" t="str">
        <f>IF(AND($A385&lt;&gt;"",$B385&lt;&gt;"",$C385&lt;&gt;"",$D385&lt;&gt;"",$E385&lt;&gt;""),IF($C385="WB","Case WB Box "&amp;(INT((COUNTIFS($C$2:$C385,"WB")-1)/81)+1)&amp;": "&amp;CHAR(65+INT(MOD(COUNTIFS($C$2:$C385,"WB")-1,81)/9))&amp;(MOD(COUNTIFS($C$2:$C385,"WB")-1,9)+1),"N/A"),"")</f>
        <v/>
      </c>
      <c r="L385" s="2" t="str">
        <f t="shared" si="109"/>
        <v/>
      </c>
      <c r="M385" s="2"/>
      <c r="N385" s="2"/>
      <c r="O385" s="2"/>
      <c r="P385" s="7" t="str">
        <f t="shared" si="110"/>
        <v/>
      </c>
      <c r="Q385" s="7" t="str">
        <f t="shared" si="111"/>
        <v/>
      </c>
      <c r="R385" s="7" t="str">
        <f t="shared" si="112"/>
        <v/>
      </c>
      <c r="S385" s="7" t="str">
        <f t="shared" si="113"/>
        <v/>
      </c>
      <c r="T385" s="7" t="str">
        <f t="shared" si="114"/>
        <v/>
      </c>
      <c r="U385" s="7" t="str">
        <f t="shared" si="115"/>
        <v/>
      </c>
      <c r="V385" s="7" t="str">
        <f t="shared" si="116"/>
        <v/>
      </c>
      <c r="W385" s="7" t="str">
        <f t="shared" si="117"/>
        <v/>
      </c>
      <c r="X385" s="7" t="str">
        <f t="shared" si="118"/>
        <v/>
      </c>
      <c r="Y385" s="7" t="str">
        <f t="shared" si="119"/>
        <v/>
      </c>
      <c r="Z385">
        <f t="shared" si="120"/>
        <v>0</v>
      </c>
      <c r="AA385" t="str">
        <f t="shared" si="121"/>
        <v/>
      </c>
      <c r="AB385" t="str">
        <f t="shared" si="122"/>
        <v/>
      </c>
      <c r="AC385" t="str">
        <f t="shared" si="123"/>
        <v/>
      </c>
      <c r="AD385" t="str">
        <f t="shared" si="124"/>
        <v/>
      </c>
      <c r="AE385">
        <f t="shared" si="125"/>
        <v>0</v>
      </c>
    </row>
    <row r="386" spans="1:31" ht="15" customHeight="1" x14ac:dyDescent="0.35">
      <c r="A386" s="2"/>
      <c r="B386" s="3"/>
      <c r="C386" s="3"/>
      <c r="D386" s="4"/>
      <c r="E386" s="5"/>
      <c r="F386" s="11" t="str">
        <f t="shared" ca="1" si="108"/>
        <v/>
      </c>
      <c r="G386" s="5"/>
      <c r="H386" s="6" t="str">
        <f>IF(AND($A386&lt;&gt;"",$B386&lt;&gt;"",$C386&lt;&gt;"",$D386&lt;&gt;"",$E386&lt;&gt;""),IF(AND($B386="s",OR($C386="SER",$C386="PLH",$C386="CSF")),"Case CDI Plate "&amp;(INT(((COUNTIFS($B$2:$B386,"s",$C$2:$C386,"SER")+COUNTIFS($B$2:$B386,"s",$C$2:$C386,"PLH")+COUNTIFS($B$2:$B386,"s",$C$2:$C386,"CSF"))-1)/96)+1)&amp;": "&amp;CHAR(65+INT(MOD((COUNTIFS($B$2:$B386,"s",$C$2:$C386,"SER")+COUNTIFS($B$2:$B386,"s",$C$2:$C386,"PLH")+COUNTIFS($B$2:$B386,"s",$C$2:$C386,"CSF"))-1,96)/12))&amp;(MOD((COUNTIFS($B$2:$B386,"s",$C$2:$C386,"SER")+COUNTIFS($B$2:$B386,"s",$C$2:$C386,"PLH")+COUNTIFS($B$2:$B386,"s",$C$2:$C386,"CSF"))-1,12)+1),"N/A"),"")</f>
        <v/>
      </c>
      <c r="I386" s="6" t="str">
        <f>IF(AND($A386&lt;&gt;"",$B386&lt;&gt;"",$C386&lt;&gt;"",$D386&lt;&gt;"",$E386&lt;&gt;""),IF(AND($B386="s",OR($C386="SER",$C386="PLH",$C386="CSF")),"Case NIH Plate "&amp;(INT(((COUNTIFS($B$2:$B386,"s",$C$2:$C386,"SER")+COUNTIFS($B$2:$B386,"s",$C$2:$C386,"PLH")+COUNTIFS($B$2:$B386,"s",$C$2:$C386,"CSF"))-1)/96)+1)&amp;": "&amp;CHAR(65+INT(MOD((COUNTIFS($B$2:$B386,"s",$C$2:$C386,"SER")+COUNTIFS($B$2:$B386,"s",$C$2:$C386,"PLH")+COUNTIFS($B$2:$B386,"s",$C$2:$C386,"CSF"))-1,96)/12))&amp;(MOD((COUNTIFS($B$2:$B386,"s",$C$2:$C386,"SER")+COUNTIFS($B$2:$B386,"s",$C$2:$C386,"PLH")+COUNTIFS($B$2:$B386,"s",$C$2:$C386,"CSF"))-1,12)+1),"N/A"),"")</f>
        <v/>
      </c>
      <c r="J386" s="6" t="str">
        <f>IF(AND($A386&lt;&gt;"",$B386&lt;&gt;"",$C386&lt;&gt;"",$D386&lt;&gt;"",$E386&lt;&gt;""),IF(AND($B386="s",OR($C386="SER",$C386="PLH")),"Case MAX Planck Plate "&amp;(INT(((COUNTIFS($B$2:$B386,"s",$C$2:$C386,"SER")+COUNTIFS($B$2:$B386,"s",$C$2:$C386,"PLH"))-1)/96)+1)&amp;": "&amp;CHAR(65+INT(MOD((COUNTIFS($B$2:$B386,"s",$C$2:$C386,"SER")+COUNTIFS($B$2:$B386,"s",$C$2:$C386,"PLH"))-1,96)/12))&amp;(MOD((COUNTIFS($B$2:$B386,"s",$C$2:$C386,"SER")+COUNTIFS($B$2:$B386,"s",$C$2:$C386,"PLH"))-1,12)+1),"N/A"),"")</f>
        <v/>
      </c>
      <c r="K386" s="6" t="str">
        <f>IF(AND($A386&lt;&gt;"",$B386&lt;&gt;"",$C386&lt;&gt;"",$D386&lt;&gt;"",$E386&lt;&gt;""),IF($C386="WB","Case WB Box "&amp;(INT((COUNTIFS($C$2:$C386,"WB")-1)/81)+1)&amp;": "&amp;CHAR(65+INT(MOD(COUNTIFS($C$2:$C386,"WB")-1,81)/9))&amp;(MOD(COUNTIFS($C$2:$C386,"WB")-1,9)+1),"N/A"),"")</f>
        <v/>
      </c>
      <c r="L386" s="2" t="str">
        <f t="shared" si="109"/>
        <v/>
      </c>
      <c r="M386" s="2"/>
      <c r="N386" s="2"/>
      <c r="O386" s="2"/>
      <c r="P386" s="7" t="str">
        <f t="shared" si="110"/>
        <v/>
      </c>
      <c r="Q386" s="7" t="str">
        <f t="shared" si="111"/>
        <v/>
      </c>
      <c r="R386" s="7" t="str">
        <f t="shared" si="112"/>
        <v/>
      </c>
      <c r="S386" s="7" t="str">
        <f t="shared" si="113"/>
        <v/>
      </c>
      <c r="T386" s="7" t="str">
        <f t="shared" si="114"/>
        <v/>
      </c>
      <c r="U386" s="7" t="str">
        <f t="shared" si="115"/>
        <v/>
      </c>
      <c r="V386" s="7" t="str">
        <f t="shared" si="116"/>
        <v/>
      </c>
      <c r="W386" s="7" t="str">
        <f t="shared" si="117"/>
        <v/>
      </c>
      <c r="X386" s="7" t="str">
        <f t="shared" si="118"/>
        <v/>
      </c>
      <c r="Y386" s="7" t="str">
        <f t="shared" si="119"/>
        <v/>
      </c>
      <c r="Z386">
        <f t="shared" si="120"/>
        <v>0</v>
      </c>
      <c r="AA386" t="str">
        <f t="shared" si="121"/>
        <v/>
      </c>
      <c r="AB386" t="str">
        <f t="shared" si="122"/>
        <v/>
      </c>
      <c r="AC386" t="str">
        <f t="shared" si="123"/>
        <v/>
      </c>
      <c r="AD386" t="str">
        <f t="shared" si="124"/>
        <v/>
      </c>
      <c r="AE386">
        <f t="shared" si="125"/>
        <v>0</v>
      </c>
    </row>
    <row r="387" spans="1:31" ht="15" customHeight="1" x14ac:dyDescent="0.35">
      <c r="A387" s="2"/>
      <c r="B387" s="3"/>
      <c r="C387" s="3"/>
      <c r="D387" s="4"/>
      <c r="E387" s="5"/>
      <c r="F387" s="11" t="str">
        <f t="shared" ca="1" si="108"/>
        <v/>
      </c>
      <c r="G387" s="5"/>
      <c r="H387" s="6" t="str">
        <f>IF(AND($A387&lt;&gt;"",$B387&lt;&gt;"",$C387&lt;&gt;"",$D387&lt;&gt;"",$E387&lt;&gt;""),IF(AND($B387="s",OR($C387="SER",$C387="PLH",$C387="CSF")),"Case CDI Plate "&amp;(INT(((COUNTIFS($B$2:$B387,"s",$C$2:$C387,"SER")+COUNTIFS($B$2:$B387,"s",$C$2:$C387,"PLH")+COUNTIFS($B$2:$B387,"s",$C$2:$C387,"CSF"))-1)/96)+1)&amp;": "&amp;CHAR(65+INT(MOD((COUNTIFS($B$2:$B387,"s",$C$2:$C387,"SER")+COUNTIFS($B$2:$B387,"s",$C$2:$C387,"PLH")+COUNTIFS($B$2:$B387,"s",$C$2:$C387,"CSF"))-1,96)/12))&amp;(MOD((COUNTIFS($B$2:$B387,"s",$C$2:$C387,"SER")+COUNTIFS($B$2:$B387,"s",$C$2:$C387,"PLH")+COUNTIFS($B$2:$B387,"s",$C$2:$C387,"CSF"))-1,12)+1),"N/A"),"")</f>
        <v/>
      </c>
      <c r="I387" s="6" t="str">
        <f>IF(AND($A387&lt;&gt;"",$B387&lt;&gt;"",$C387&lt;&gt;"",$D387&lt;&gt;"",$E387&lt;&gt;""),IF(AND($B387="s",OR($C387="SER",$C387="PLH",$C387="CSF")),"Case NIH Plate "&amp;(INT(((COUNTIFS($B$2:$B387,"s",$C$2:$C387,"SER")+COUNTIFS($B$2:$B387,"s",$C$2:$C387,"PLH")+COUNTIFS($B$2:$B387,"s",$C$2:$C387,"CSF"))-1)/96)+1)&amp;": "&amp;CHAR(65+INT(MOD((COUNTIFS($B$2:$B387,"s",$C$2:$C387,"SER")+COUNTIFS($B$2:$B387,"s",$C$2:$C387,"PLH")+COUNTIFS($B$2:$B387,"s",$C$2:$C387,"CSF"))-1,96)/12))&amp;(MOD((COUNTIFS($B$2:$B387,"s",$C$2:$C387,"SER")+COUNTIFS($B$2:$B387,"s",$C$2:$C387,"PLH")+COUNTIFS($B$2:$B387,"s",$C$2:$C387,"CSF"))-1,12)+1),"N/A"),"")</f>
        <v/>
      </c>
      <c r="J387" s="6" t="str">
        <f>IF(AND($A387&lt;&gt;"",$B387&lt;&gt;"",$C387&lt;&gt;"",$D387&lt;&gt;"",$E387&lt;&gt;""),IF(AND($B387="s",OR($C387="SER",$C387="PLH")),"Case MAX Planck Plate "&amp;(INT(((COUNTIFS($B$2:$B387,"s",$C$2:$C387,"SER")+COUNTIFS($B$2:$B387,"s",$C$2:$C387,"PLH"))-1)/96)+1)&amp;": "&amp;CHAR(65+INT(MOD((COUNTIFS($B$2:$B387,"s",$C$2:$C387,"SER")+COUNTIFS($B$2:$B387,"s",$C$2:$C387,"PLH"))-1,96)/12))&amp;(MOD((COUNTIFS($B$2:$B387,"s",$C$2:$C387,"SER")+COUNTIFS($B$2:$B387,"s",$C$2:$C387,"PLH"))-1,12)+1),"N/A"),"")</f>
        <v/>
      </c>
      <c r="K387" s="6" t="str">
        <f>IF(AND($A387&lt;&gt;"",$B387&lt;&gt;"",$C387&lt;&gt;"",$D387&lt;&gt;"",$E387&lt;&gt;""),IF($C387="WB","Case WB Box "&amp;(INT((COUNTIFS($C$2:$C387,"WB")-1)/81)+1)&amp;": "&amp;CHAR(65+INT(MOD(COUNTIFS($C$2:$C387,"WB")-1,81)/9))&amp;(MOD(COUNTIFS($C$2:$C387,"WB")-1,9)+1),"N/A"),"")</f>
        <v/>
      </c>
      <c r="L387" s="2" t="str">
        <f t="shared" si="109"/>
        <v/>
      </c>
      <c r="M387" s="2"/>
      <c r="N387" s="2"/>
      <c r="O387" s="2"/>
      <c r="P387" s="7" t="str">
        <f t="shared" si="110"/>
        <v/>
      </c>
      <c r="Q387" s="7" t="str">
        <f t="shared" si="111"/>
        <v/>
      </c>
      <c r="R387" s="7" t="str">
        <f t="shared" si="112"/>
        <v/>
      </c>
      <c r="S387" s="7" t="str">
        <f t="shared" si="113"/>
        <v/>
      </c>
      <c r="T387" s="7" t="str">
        <f t="shared" si="114"/>
        <v/>
      </c>
      <c r="U387" s="7" t="str">
        <f t="shared" si="115"/>
        <v/>
      </c>
      <c r="V387" s="7" t="str">
        <f t="shared" si="116"/>
        <v/>
      </c>
      <c r="W387" s="7" t="str">
        <f t="shared" si="117"/>
        <v/>
      </c>
      <c r="X387" s="7" t="str">
        <f t="shared" si="118"/>
        <v/>
      </c>
      <c r="Y387" s="7" t="str">
        <f t="shared" si="119"/>
        <v/>
      </c>
      <c r="Z387">
        <f t="shared" si="120"/>
        <v>0</v>
      </c>
      <c r="AA387" t="str">
        <f t="shared" si="121"/>
        <v/>
      </c>
      <c r="AB387" t="str">
        <f t="shared" si="122"/>
        <v/>
      </c>
      <c r="AC387" t="str">
        <f t="shared" si="123"/>
        <v/>
      </c>
      <c r="AD387" t="str">
        <f t="shared" si="124"/>
        <v/>
      </c>
      <c r="AE387">
        <f t="shared" si="125"/>
        <v>0</v>
      </c>
    </row>
    <row r="388" spans="1:31" ht="15" customHeight="1" x14ac:dyDescent="0.35">
      <c r="A388" s="2"/>
      <c r="B388" s="3"/>
      <c r="C388" s="3"/>
      <c r="D388" s="4"/>
      <c r="E388" s="5"/>
      <c r="F388" s="11" t="str">
        <f t="shared" ca="1" si="108"/>
        <v/>
      </c>
      <c r="G388" s="5"/>
      <c r="H388" s="6" t="str">
        <f>IF(AND($A388&lt;&gt;"",$B388&lt;&gt;"",$C388&lt;&gt;"",$D388&lt;&gt;"",$E388&lt;&gt;""),IF(AND($B388="s",OR($C388="SER",$C388="PLH",$C388="CSF")),"Case CDI Plate "&amp;(INT(((COUNTIFS($B$2:$B388,"s",$C$2:$C388,"SER")+COUNTIFS($B$2:$B388,"s",$C$2:$C388,"PLH")+COUNTIFS($B$2:$B388,"s",$C$2:$C388,"CSF"))-1)/96)+1)&amp;": "&amp;CHAR(65+INT(MOD((COUNTIFS($B$2:$B388,"s",$C$2:$C388,"SER")+COUNTIFS($B$2:$B388,"s",$C$2:$C388,"PLH")+COUNTIFS($B$2:$B388,"s",$C$2:$C388,"CSF"))-1,96)/12))&amp;(MOD((COUNTIFS($B$2:$B388,"s",$C$2:$C388,"SER")+COUNTIFS($B$2:$B388,"s",$C$2:$C388,"PLH")+COUNTIFS($B$2:$B388,"s",$C$2:$C388,"CSF"))-1,12)+1),"N/A"),"")</f>
        <v/>
      </c>
      <c r="I388" s="6" t="str">
        <f>IF(AND($A388&lt;&gt;"",$B388&lt;&gt;"",$C388&lt;&gt;"",$D388&lt;&gt;"",$E388&lt;&gt;""),IF(AND($B388="s",OR($C388="SER",$C388="PLH",$C388="CSF")),"Case NIH Plate "&amp;(INT(((COUNTIFS($B$2:$B388,"s",$C$2:$C388,"SER")+COUNTIFS($B$2:$B388,"s",$C$2:$C388,"PLH")+COUNTIFS($B$2:$B388,"s",$C$2:$C388,"CSF"))-1)/96)+1)&amp;": "&amp;CHAR(65+INT(MOD((COUNTIFS($B$2:$B388,"s",$C$2:$C388,"SER")+COUNTIFS($B$2:$B388,"s",$C$2:$C388,"PLH")+COUNTIFS($B$2:$B388,"s",$C$2:$C388,"CSF"))-1,96)/12))&amp;(MOD((COUNTIFS($B$2:$B388,"s",$C$2:$C388,"SER")+COUNTIFS($B$2:$B388,"s",$C$2:$C388,"PLH")+COUNTIFS($B$2:$B388,"s",$C$2:$C388,"CSF"))-1,12)+1),"N/A"),"")</f>
        <v/>
      </c>
      <c r="J388" s="6" t="str">
        <f>IF(AND($A388&lt;&gt;"",$B388&lt;&gt;"",$C388&lt;&gt;"",$D388&lt;&gt;"",$E388&lt;&gt;""),IF(AND($B388="s",OR($C388="SER",$C388="PLH")),"Case MAX Planck Plate "&amp;(INT(((COUNTIFS($B$2:$B388,"s",$C$2:$C388,"SER")+COUNTIFS($B$2:$B388,"s",$C$2:$C388,"PLH"))-1)/96)+1)&amp;": "&amp;CHAR(65+INT(MOD((COUNTIFS($B$2:$B388,"s",$C$2:$C388,"SER")+COUNTIFS($B$2:$B388,"s",$C$2:$C388,"PLH"))-1,96)/12))&amp;(MOD((COUNTIFS($B$2:$B388,"s",$C$2:$C388,"SER")+COUNTIFS($B$2:$B388,"s",$C$2:$C388,"PLH"))-1,12)+1),"N/A"),"")</f>
        <v/>
      </c>
      <c r="K388" s="6" t="str">
        <f>IF(AND($A388&lt;&gt;"",$B388&lt;&gt;"",$C388&lt;&gt;"",$D388&lt;&gt;"",$E388&lt;&gt;""),IF($C388="WB","Case WB Box "&amp;(INT((COUNTIFS($C$2:$C388,"WB")-1)/81)+1)&amp;": "&amp;CHAR(65+INT(MOD(COUNTIFS($C$2:$C388,"WB")-1,81)/9))&amp;(MOD(COUNTIFS($C$2:$C388,"WB")-1,9)+1),"N/A"),"")</f>
        <v/>
      </c>
      <c r="L388" s="2" t="str">
        <f t="shared" si="109"/>
        <v/>
      </c>
      <c r="M388" s="2"/>
      <c r="N388" s="2"/>
      <c r="O388" s="2"/>
      <c r="P388" s="7" t="str">
        <f t="shared" si="110"/>
        <v/>
      </c>
      <c r="Q388" s="7" t="str">
        <f t="shared" si="111"/>
        <v/>
      </c>
      <c r="R388" s="7" t="str">
        <f t="shared" si="112"/>
        <v/>
      </c>
      <c r="S388" s="7" t="str">
        <f t="shared" si="113"/>
        <v/>
      </c>
      <c r="T388" s="7" t="str">
        <f t="shared" si="114"/>
        <v/>
      </c>
      <c r="U388" s="7" t="str">
        <f t="shared" si="115"/>
        <v/>
      </c>
      <c r="V388" s="7" t="str">
        <f t="shared" si="116"/>
        <v/>
      </c>
      <c r="W388" s="7" t="str">
        <f t="shared" si="117"/>
        <v/>
      </c>
      <c r="X388" s="7" t="str">
        <f t="shared" si="118"/>
        <v/>
      </c>
      <c r="Y388" s="7" t="str">
        <f t="shared" si="119"/>
        <v/>
      </c>
      <c r="Z388">
        <f t="shared" si="120"/>
        <v>0</v>
      </c>
      <c r="AA388" t="str">
        <f t="shared" si="121"/>
        <v/>
      </c>
      <c r="AB388" t="str">
        <f t="shared" si="122"/>
        <v/>
      </c>
      <c r="AC388" t="str">
        <f t="shared" si="123"/>
        <v/>
      </c>
      <c r="AD388" t="str">
        <f t="shared" si="124"/>
        <v/>
      </c>
      <c r="AE388">
        <f t="shared" si="125"/>
        <v>0</v>
      </c>
    </row>
    <row r="389" spans="1:31" ht="15" customHeight="1" x14ac:dyDescent="0.35">
      <c r="A389" s="2"/>
      <c r="B389" s="3"/>
      <c r="C389" s="3"/>
      <c r="D389" s="4"/>
      <c r="E389" s="5"/>
      <c r="F389" s="11" t="str">
        <f t="shared" ca="1" si="108"/>
        <v/>
      </c>
      <c r="G389" s="5"/>
      <c r="H389" s="6" t="str">
        <f>IF(AND($A389&lt;&gt;"",$B389&lt;&gt;"",$C389&lt;&gt;"",$D389&lt;&gt;"",$E389&lt;&gt;""),IF(AND($B389="s",OR($C389="SER",$C389="PLH",$C389="CSF")),"Case CDI Plate "&amp;(INT(((COUNTIFS($B$2:$B389,"s",$C$2:$C389,"SER")+COUNTIFS($B$2:$B389,"s",$C$2:$C389,"PLH")+COUNTIFS($B$2:$B389,"s",$C$2:$C389,"CSF"))-1)/96)+1)&amp;": "&amp;CHAR(65+INT(MOD((COUNTIFS($B$2:$B389,"s",$C$2:$C389,"SER")+COUNTIFS($B$2:$B389,"s",$C$2:$C389,"PLH")+COUNTIFS($B$2:$B389,"s",$C$2:$C389,"CSF"))-1,96)/12))&amp;(MOD((COUNTIFS($B$2:$B389,"s",$C$2:$C389,"SER")+COUNTIFS($B$2:$B389,"s",$C$2:$C389,"PLH")+COUNTIFS($B$2:$B389,"s",$C$2:$C389,"CSF"))-1,12)+1),"N/A"),"")</f>
        <v/>
      </c>
      <c r="I389" s="6" t="str">
        <f>IF(AND($A389&lt;&gt;"",$B389&lt;&gt;"",$C389&lt;&gt;"",$D389&lt;&gt;"",$E389&lt;&gt;""),IF(AND($B389="s",OR($C389="SER",$C389="PLH",$C389="CSF")),"Case NIH Plate "&amp;(INT(((COUNTIFS($B$2:$B389,"s",$C$2:$C389,"SER")+COUNTIFS($B$2:$B389,"s",$C$2:$C389,"PLH")+COUNTIFS($B$2:$B389,"s",$C$2:$C389,"CSF"))-1)/96)+1)&amp;": "&amp;CHAR(65+INT(MOD((COUNTIFS($B$2:$B389,"s",$C$2:$C389,"SER")+COUNTIFS($B$2:$B389,"s",$C$2:$C389,"PLH")+COUNTIFS($B$2:$B389,"s",$C$2:$C389,"CSF"))-1,96)/12))&amp;(MOD((COUNTIFS($B$2:$B389,"s",$C$2:$C389,"SER")+COUNTIFS($B$2:$B389,"s",$C$2:$C389,"PLH")+COUNTIFS($B$2:$B389,"s",$C$2:$C389,"CSF"))-1,12)+1),"N/A"),"")</f>
        <v/>
      </c>
      <c r="J389" s="6" t="str">
        <f>IF(AND($A389&lt;&gt;"",$B389&lt;&gt;"",$C389&lt;&gt;"",$D389&lt;&gt;"",$E389&lt;&gt;""),IF(AND($B389="s",OR($C389="SER",$C389="PLH")),"Case MAX Planck Plate "&amp;(INT(((COUNTIFS($B$2:$B389,"s",$C$2:$C389,"SER")+COUNTIFS($B$2:$B389,"s",$C$2:$C389,"PLH"))-1)/96)+1)&amp;": "&amp;CHAR(65+INT(MOD((COUNTIFS($B$2:$B389,"s",$C$2:$C389,"SER")+COUNTIFS($B$2:$B389,"s",$C$2:$C389,"PLH"))-1,96)/12))&amp;(MOD((COUNTIFS($B$2:$B389,"s",$C$2:$C389,"SER")+COUNTIFS($B$2:$B389,"s",$C$2:$C389,"PLH"))-1,12)+1),"N/A"),"")</f>
        <v/>
      </c>
      <c r="K389" s="6" t="str">
        <f>IF(AND($A389&lt;&gt;"",$B389&lt;&gt;"",$C389&lt;&gt;"",$D389&lt;&gt;"",$E389&lt;&gt;""),IF($C389="WB","Case WB Box "&amp;(INT((COUNTIFS($C$2:$C389,"WB")-1)/81)+1)&amp;": "&amp;CHAR(65+INT(MOD(COUNTIFS($C$2:$C389,"WB")-1,81)/9))&amp;(MOD(COUNTIFS($C$2:$C389,"WB")-1,9)+1),"N/A"),"")</f>
        <v/>
      </c>
      <c r="L389" s="2" t="str">
        <f t="shared" si="109"/>
        <v/>
      </c>
      <c r="M389" s="2"/>
      <c r="N389" s="2"/>
      <c r="O389" s="2"/>
      <c r="P389" s="7" t="str">
        <f t="shared" si="110"/>
        <v/>
      </c>
      <c r="Q389" s="7" t="str">
        <f t="shared" si="111"/>
        <v/>
      </c>
      <c r="R389" s="7" t="str">
        <f t="shared" si="112"/>
        <v/>
      </c>
      <c r="S389" s="7" t="str">
        <f t="shared" si="113"/>
        <v/>
      </c>
      <c r="T389" s="7" t="str">
        <f t="shared" si="114"/>
        <v/>
      </c>
      <c r="U389" s="7" t="str">
        <f t="shared" si="115"/>
        <v/>
      </c>
      <c r="V389" s="7" t="str">
        <f t="shared" si="116"/>
        <v/>
      </c>
      <c r="W389" s="7" t="str">
        <f t="shared" si="117"/>
        <v/>
      </c>
      <c r="X389" s="7" t="str">
        <f t="shared" si="118"/>
        <v/>
      </c>
      <c r="Y389" s="7" t="str">
        <f t="shared" si="119"/>
        <v/>
      </c>
      <c r="Z389">
        <f t="shared" si="120"/>
        <v>0</v>
      </c>
      <c r="AA389" t="str">
        <f t="shared" si="121"/>
        <v/>
      </c>
      <c r="AB389" t="str">
        <f t="shared" si="122"/>
        <v/>
      </c>
      <c r="AC389" t="str">
        <f t="shared" si="123"/>
        <v/>
      </c>
      <c r="AD389" t="str">
        <f t="shared" si="124"/>
        <v/>
      </c>
      <c r="AE389">
        <f t="shared" si="125"/>
        <v>0</v>
      </c>
    </row>
    <row r="390" spans="1:31" ht="15" customHeight="1" x14ac:dyDescent="0.35">
      <c r="A390" s="2"/>
      <c r="B390" s="3"/>
      <c r="C390" s="3"/>
      <c r="D390" s="4"/>
      <c r="E390" s="5"/>
      <c r="F390" s="11" t="str">
        <f t="shared" ca="1" si="108"/>
        <v/>
      </c>
      <c r="G390" s="5"/>
      <c r="H390" s="6" t="str">
        <f>IF(AND($A390&lt;&gt;"",$B390&lt;&gt;"",$C390&lt;&gt;"",$D390&lt;&gt;"",$E390&lt;&gt;""),IF(AND($B390="s",OR($C390="SER",$C390="PLH",$C390="CSF")),"Case CDI Plate "&amp;(INT(((COUNTIFS($B$2:$B390,"s",$C$2:$C390,"SER")+COUNTIFS($B$2:$B390,"s",$C$2:$C390,"PLH")+COUNTIFS($B$2:$B390,"s",$C$2:$C390,"CSF"))-1)/96)+1)&amp;": "&amp;CHAR(65+INT(MOD((COUNTIFS($B$2:$B390,"s",$C$2:$C390,"SER")+COUNTIFS($B$2:$B390,"s",$C$2:$C390,"PLH")+COUNTIFS($B$2:$B390,"s",$C$2:$C390,"CSF"))-1,96)/12))&amp;(MOD((COUNTIFS($B$2:$B390,"s",$C$2:$C390,"SER")+COUNTIFS($B$2:$B390,"s",$C$2:$C390,"PLH")+COUNTIFS($B$2:$B390,"s",$C$2:$C390,"CSF"))-1,12)+1),"N/A"),"")</f>
        <v/>
      </c>
      <c r="I390" s="6" t="str">
        <f>IF(AND($A390&lt;&gt;"",$B390&lt;&gt;"",$C390&lt;&gt;"",$D390&lt;&gt;"",$E390&lt;&gt;""),IF(AND($B390="s",OR($C390="SER",$C390="PLH",$C390="CSF")),"Case NIH Plate "&amp;(INT(((COUNTIFS($B$2:$B390,"s",$C$2:$C390,"SER")+COUNTIFS($B$2:$B390,"s",$C$2:$C390,"PLH")+COUNTIFS($B$2:$B390,"s",$C$2:$C390,"CSF"))-1)/96)+1)&amp;": "&amp;CHAR(65+INT(MOD((COUNTIFS($B$2:$B390,"s",$C$2:$C390,"SER")+COUNTIFS($B$2:$B390,"s",$C$2:$C390,"PLH")+COUNTIFS($B$2:$B390,"s",$C$2:$C390,"CSF"))-1,96)/12))&amp;(MOD((COUNTIFS($B$2:$B390,"s",$C$2:$C390,"SER")+COUNTIFS($B$2:$B390,"s",$C$2:$C390,"PLH")+COUNTIFS($B$2:$B390,"s",$C$2:$C390,"CSF"))-1,12)+1),"N/A"),"")</f>
        <v/>
      </c>
      <c r="J390" s="6" t="str">
        <f>IF(AND($A390&lt;&gt;"",$B390&lt;&gt;"",$C390&lt;&gt;"",$D390&lt;&gt;"",$E390&lt;&gt;""),IF(AND($B390="s",OR($C390="SER",$C390="PLH")),"Case MAX Planck Plate "&amp;(INT(((COUNTIFS($B$2:$B390,"s",$C$2:$C390,"SER")+COUNTIFS($B$2:$B390,"s",$C$2:$C390,"PLH"))-1)/96)+1)&amp;": "&amp;CHAR(65+INT(MOD((COUNTIFS($B$2:$B390,"s",$C$2:$C390,"SER")+COUNTIFS($B$2:$B390,"s",$C$2:$C390,"PLH"))-1,96)/12))&amp;(MOD((COUNTIFS($B$2:$B390,"s",$C$2:$C390,"SER")+COUNTIFS($B$2:$B390,"s",$C$2:$C390,"PLH"))-1,12)+1),"N/A"),"")</f>
        <v/>
      </c>
      <c r="K390" s="6" t="str">
        <f>IF(AND($A390&lt;&gt;"",$B390&lt;&gt;"",$C390&lt;&gt;"",$D390&lt;&gt;"",$E390&lt;&gt;""),IF($C390="WB","Case WB Box "&amp;(INT((COUNTIFS($C$2:$C390,"WB")-1)/81)+1)&amp;": "&amp;CHAR(65+INT(MOD(COUNTIFS($C$2:$C390,"WB")-1,81)/9))&amp;(MOD(COUNTIFS($C$2:$C390,"WB")-1,9)+1),"N/A"),"")</f>
        <v/>
      </c>
      <c r="L390" s="2" t="str">
        <f t="shared" si="109"/>
        <v/>
      </c>
      <c r="M390" s="2"/>
      <c r="N390" s="2"/>
      <c r="O390" s="2"/>
      <c r="P390" s="7" t="str">
        <f t="shared" si="110"/>
        <v/>
      </c>
      <c r="Q390" s="7" t="str">
        <f t="shared" si="111"/>
        <v/>
      </c>
      <c r="R390" s="7" t="str">
        <f t="shared" si="112"/>
        <v/>
      </c>
      <c r="S390" s="7" t="str">
        <f t="shared" si="113"/>
        <v/>
      </c>
      <c r="T390" s="7" t="str">
        <f t="shared" si="114"/>
        <v/>
      </c>
      <c r="U390" s="7" t="str">
        <f t="shared" si="115"/>
        <v/>
      </c>
      <c r="V390" s="7" t="str">
        <f t="shared" si="116"/>
        <v/>
      </c>
      <c r="W390" s="7" t="str">
        <f t="shared" si="117"/>
        <v/>
      </c>
      <c r="X390" s="7" t="str">
        <f t="shared" si="118"/>
        <v/>
      </c>
      <c r="Y390" s="7" t="str">
        <f t="shared" si="119"/>
        <v/>
      </c>
      <c r="Z390">
        <f t="shared" si="120"/>
        <v>0</v>
      </c>
      <c r="AA390" t="str">
        <f t="shared" si="121"/>
        <v/>
      </c>
      <c r="AB390" t="str">
        <f t="shared" si="122"/>
        <v/>
      </c>
      <c r="AC390" t="str">
        <f t="shared" si="123"/>
        <v/>
      </c>
      <c r="AD390" t="str">
        <f t="shared" si="124"/>
        <v/>
      </c>
      <c r="AE390">
        <f t="shared" si="125"/>
        <v>0</v>
      </c>
    </row>
    <row r="391" spans="1:31" ht="15" customHeight="1" x14ac:dyDescent="0.35">
      <c r="A391" s="2"/>
      <c r="B391" s="3"/>
      <c r="C391" s="3"/>
      <c r="D391" s="4"/>
      <c r="E391" s="5"/>
      <c r="F391" s="11" t="str">
        <f t="shared" ca="1" si="108"/>
        <v/>
      </c>
      <c r="G391" s="5"/>
      <c r="H391" s="6" t="str">
        <f>IF(AND($A391&lt;&gt;"",$B391&lt;&gt;"",$C391&lt;&gt;"",$D391&lt;&gt;"",$E391&lt;&gt;""),IF(AND($B391="s",OR($C391="SER",$C391="PLH",$C391="CSF")),"Case CDI Plate "&amp;(INT(((COUNTIFS($B$2:$B391,"s",$C$2:$C391,"SER")+COUNTIFS($B$2:$B391,"s",$C$2:$C391,"PLH")+COUNTIFS($B$2:$B391,"s",$C$2:$C391,"CSF"))-1)/96)+1)&amp;": "&amp;CHAR(65+INT(MOD((COUNTIFS($B$2:$B391,"s",$C$2:$C391,"SER")+COUNTIFS($B$2:$B391,"s",$C$2:$C391,"PLH")+COUNTIFS($B$2:$B391,"s",$C$2:$C391,"CSF"))-1,96)/12))&amp;(MOD((COUNTIFS($B$2:$B391,"s",$C$2:$C391,"SER")+COUNTIFS($B$2:$B391,"s",$C$2:$C391,"PLH")+COUNTIFS($B$2:$B391,"s",$C$2:$C391,"CSF"))-1,12)+1),"N/A"),"")</f>
        <v/>
      </c>
      <c r="I391" s="6" t="str">
        <f>IF(AND($A391&lt;&gt;"",$B391&lt;&gt;"",$C391&lt;&gt;"",$D391&lt;&gt;"",$E391&lt;&gt;""),IF(AND($B391="s",OR($C391="SER",$C391="PLH",$C391="CSF")),"Case NIH Plate "&amp;(INT(((COUNTIFS($B$2:$B391,"s",$C$2:$C391,"SER")+COUNTIFS($B$2:$B391,"s",$C$2:$C391,"PLH")+COUNTIFS($B$2:$B391,"s",$C$2:$C391,"CSF"))-1)/96)+1)&amp;": "&amp;CHAR(65+INT(MOD((COUNTIFS($B$2:$B391,"s",$C$2:$C391,"SER")+COUNTIFS($B$2:$B391,"s",$C$2:$C391,"PLH")+COUNTIFS($B$2:$B391,"s",$C$2:$C391,"CSF"))-1,96)/12))&amp;(MOD((COUNTIFS($B$2:$B391,"s",$C$2:$C391,"SER")+COUNTIFS($B$2:$B391,"s",$C$2:$C391,"PLH")+COUNTIFS($B$2:$B391,"s",$C$2:$C391,"CSF"))-1,12)+1),"N/A"),"")</f>
        <v/>
      </c>
      <c r="J391" s="6" t="str">
        <f>IF(AND($A391&lt;&gt;"",$B391&lt;&gt;"",$C391&lt;&gt;"",$D391&lt;&gt;"",$E391&lt;&gt;""),IF(AND($B391="s",OR($C391="SER",$C391="PLH")),"Case MAX Planck Plate "&amp;(INT(((COUNTIFS($B$2:$B391,"s",$C$2:$C391,"SER")+COUNTIFS($B$2:$B391,"s",$C$2:$C391,"PLH"))-1)/96)+1)&amp;": "&amp;CHAR(65+INT(MOD((COUNTIFS($B$2:$B391,"s",$C$2:$C391,"SER")+COUNTIFS($B$2:$B391,"s",$C$2:$C391,"PLH"))-1,96)/12))&amp;(MOD((COUNTIFS($B$2:$B391,"s",$C$2:$C391,"SER")+COUNTIFS($B$2:$B391,"s",$C$2:$C391,"PLH"))-1,12)+1),"N/A"),"")</f>
        <v/>
      </c>
      <c r="K391" s="6" t="str">
        <f>IF(AND($A391&lt;&gt;"",$B391&lt;&gt;"",$C391&lt;&gt;"",$D391&lt;&gt;"",$E391&lt;&gt;""),IF($C391="WB","Case WB Box "&amp;(INT((COUNTIFS($C$2:$C391,"WB")-1)/81)+1)&amp;": "&amp;CHAR(65+INT(MOD(COUNTIFS($C$2:$C391,"WB")-1,81)/9))&amp;(MOD(COUNTIFS($C$2:$C391,"WB")-1,9)+1),"N/A"),"")</f>
        <v/>
      </c>
      <c r="L391" s="2" t="str">
        <f t="shared" si="109"/>
        <v/>
      </c>
      <c r="M391" s="2"/>
      <c r="N391" s="2"/>
      <c r="O391" s="2"/>
      <c r="P391" s="7" t="str">
        <f t="shared" si="110"/>
        <v/>
      </c>
      <c r="Q391" s="7" t="str">
        <f t="shared" si="111"/>
        <v/>
      </c>
      <c r="R391" s="7" t="str">
        <f t="shared" si="112"/>
        <v/>
      </c>
      <c r="S391" s="7" t="str">
        <f t="shared" si="113"/>
        <v/>
      </c>
      <c r="T391" s="7" t="str">
        <f t="shared" si="114"/>
        <v/>
      </c>
      <c r="U391" s="7" t="str">
        <f t="shared" si="115"/>
        <v/>
      </c>
      <c r="V391" s="7" t="str">
        <f t="shared" si="116"/>
        <v/>
      </c>
      <c r="W391" s="7" t="str">
        <f t="shared" si="117"/>
        <v/>
      </c>
      <c r="X391" s="7" t="str">
        <f t="shared" si="118"/>
        <v/>
      </c>
      <c r="Y391" s="7" t="str">
        <f t="shared" si="119"/>
        <v/>
      </c>
      <c r="Z391">
        <f t="shared" si="120"/>
        <v>0</v>
      </c>
      <c r="AA391" t="str">
        <f t="shared" si="121"/>
        <v/>
      </c>
      <c r="AB391" t="str">
        <f t="shared" si="122"/>
        <v/>
      </c>
      <c r="AC391" t="str">
        <f t="shared" si="123"/>
        <v/>
      </c>
      <c r="AD391" t="str">
        <f t="shared" si="124"/>
        <v/>
      </c>
      <c r="AE391">
        <f t="shared" si="125"/>
        <v>0</v>
      </c>
    </row>
    <row r="392" spans="1:31" ht="15" customHeight="1" x14ac:dyDescent="0.35">
      <c r="A392" s="2"/>
      <c r="B392" s="3"/>
      <c r="C392" s="3"/>
      <c r="D392" s="4"/>
      <c r="E392" s="5"/>
      <c r="F392" s="11" t="str">
        <f t="shared" ca="1" si="108"/>
        <v/>
      </c>
      <c r="G392" s="5"/>
      <c r="H392" s="6" t="str">
        <f>IF(AND($A392&lt;&gt;"",$B392&lt;&gt;"",$C392&lt;&gt;"",$D392&lt;&gt;"",$E392&lt;&gt;""),IF(AND($B392="s",OR($C392="SER",$C392="PLH",$C392="CSF")),"Case CDI Plate "&amp;(INT(((COUNTIFS($B$2:$B392,"s",$C$2:$C392,"SER")+COUNTIFS($B$2:$B392,"s",$C$2:$C392,"PLH")+COUNTIFS($B$2:$B392,"s",$C$2:$C392,"CSF"))-1)/96)+1)&amp;": "&amp;CHAR(65+INT(MOD((COUNTIFS($B$2:$B392,"s",$C$2:$C392,"SER")+COUNTIFS($B$2:$B392,"s",$C$2:$C392,"PLH")+COUNTIFS($B$2:$B392,"s",$C$2:$C392,"CSF"))-1,96)/12))&amp;(MOD((COUNTIFS($B$2:$B392,"s",$C$2:$C392,"SER")+COUNTIFS($B$2:$B392,"s",$C$2:$C392,"PLH")+COUNTIFS($B$2:$B392,"s",$C$2:$C392,"CSF"))-1,12)+1),"N/A"),"")</f>
        <v/>
      </c>
      <c r="I392" s="6" t="str">
        <f>IF(AND($A392&lt;&gt;"",$B392&lt;&gt;"",$C392&lt;&gt;"",$D392&lt;&gt;"",$E392&lt;&gt;""),IF(AND($B392="s",OR($C392="SER",$C392="PLH",$C392="CSF")),"Case NIH Plate "&amp;(INT(((COUNTIFS($B$2:$B392,"s",$C$2:$C392,"SER")+COUNTIFS($B$2:$B392,"s",$C$2:$C392,"PLH")+COUNTIFS($B$2:$B392,"s",$C$2:$C392,"CSF"))-1)/96)+1)&amp;": "&amp;CHAR(65+INT(MOD((COUNTIFS($B$2:$B392,"s",$C$2:$C392,"SER")+COUNTIFS($B$2:$B392,"s",$C$2:$C392,"PLH")+COUNTIFS($B$2:$B392,"s",$C$2:$C392,"CSF"))-1,96)/12))&amp;(MOD((COUNTIFS($B$2:$B392,"s",$C$2:$C392,"SER")+COUNTIFS($B$2:$B392,"s",$C$2:$C392,"PLH")+COUNTIFS($B$2:$B392,"s",$C$2:$C392,"CSF"))-1,12)+1),"N/A"),"")</f>
        <v/>
      </c>
      <c r="J392" s="6" t="str">
        <f>IF(AND($A392&lt;&gt;"",$B392&lt;&gt;"",$C392&lt;&gt;"",$D392&lt;&gt;"",$E392&lt;&gt;""),IF(AND($B392="s",OR($C392="SER",$C392="PLH")),"Case MAX Planck Plate "&amp;(INT(((COUNTIFS($B$2:$B392,"s",$C$2:$C392,"SER")+COUNTIFS($B$2:$B392,"s",$C$2:$C392,"PLH"))-1)/96)+1)&amp;": "&amp;CHAR(65+INT(MOD((COUNTIFS($B$2:$B392,"s",$C$2:$C392,"SER")+COUNTIFS($B$2:$B392,"s",$C$2:$C392,"PLH"))-1,96)/12))&amp;(MOD((COUNTIFS($B$2:$B392,"s",$C$2:$C392,"SER")+COUNTIFS($B$2:$B392,"s",$C$2:$C392,"PLH"))-1,12)+1),"N/A"),"")</f>
        <v/>
      </c>
      <c r="K392" s="6" t="str">
        <f>IF(AND($A392&lt;&gt;"",$B392&lt;&gt;"",$C392&lt;&gt;"",$D392&lt;&gt;"",$E392&lt;&gt;""),IF($C392="WB","Case WB Box "&amp;(INT((COUNTIFS($C$2:$C392,"WB")-1)/81)+1)&amp;": "&amp;CHAR(65+INT(MOD(COUNTIFS($C$2:$C392,"WB")-1,81)/9))&amp;(MOD(COUNTIFS($C$2:$C392,"WB")-1,9)+1),"N/A"),"")</f>
        <v/>
      </c>
      <c r="L392" s="2" t="str">
        <f t="shared" si="109"/>
        <v/>
      </c>
      <c r="M392" s="2"/>
      <c r="N392" s="2"/>
      <c r="O392" s="2"/>
      <c r="P392" s="7" t="str">
        <f t="shared" si="110"/>
        <v/>
      </c>
      <c r="Q392" s="7" t="str">
        <f t="shared" si="111"/>
        <v/>
      </c>
      <c r="R392" s="7" t="str">
        <f t="shared" si="112"/>
        <v/>
      </c>
      <c r="S392" s="7" t="str">
        <f t="shared" si="113"/>
        <v/>
      </c>
      <c r="T392" s="7" t="str">
        <f t="shared" si="114"/>
        <v/>
      </c>
      <c r="U392" s="7" t="str">
        <f t="shared" si="115"/>
        <v/>
      </c>
      <c r="V392" s="7" t="str">
        <f t="shared" si="116"/>
        <v/>
      </c>
      <c r="W392" s="7" t="str">
        <f t="shared" si="117"/>
        <v/>
      </c>
      <c r="X392" s="7" t="str">
        <f t="shared" si="118"/>
        <v/>
      </c>
      <c r="Y392" s="7" t="str">
        <f t="shared" si="119"/>
        <v/>
      </c>
      <c r="Z392">
        <f t="shared" si="120"/>
        <v>0</v>
      </c>
      <c r="AA392" t="str">
        <f t="shared" si="121"/>
        <v/>
      </c>
      <c r="AB392" t="str">
        <f t="shared" si="122"/>
        <v/>
      </c>
      <c r="AC392" t="str">
        <f t="shared" si="123"/>
        <v/>
      </c>
      <c r="AD392" t="str">
        <f t="shared" si="124"/>
        <v/>
      </c>
      <c r="AE392">
        <f t="shared" si="125"/>
        <v>0</v>
      </c>
    </row>
    <row r="393" spans="1:31" ht="15" customHeight="1" x14ac:dyDescent="0.35">
      <c r="A393" s="2"/>
      <c r="B393" s="3"/>
      <c r="C393" s="3"/>
      <c r="D393" s="4"/>
      <c r="E393" s="5"/>
      <c r="F393" s="11" t="str">
        <f t="shared" ca="1" si="108"/>
        <v/>
      </c>
      <c r="G393" s="5"/>
      <c r="H393" s="6" t="str">
        <f>IF(AND($A393&lt;&gt;"",$B393&lt;&gt;"",$C393&lt;&gt;"",$D393&lt;&gt;"",$E393&lt;&gt;""),IF(AND($B393="s",OR($C393="SER",$C393="PLH",$C393="CSF")),"Case CDI Plate "&amp;(INT(((COUNTIFS($B$2:$B393,"s",$C$2:$C393,"SER")+COUNTIFS($B$2:$B393,"s",$C$2:$C393,"PLH")+COUNTIFS($B$2:$B393,"s",$C$2:$C393,"CSF"))-1)/96)+1)&amp;": "&amp;CHAR(65+INT(MOD((COUNTIFS($B$2:$B393,"s",$C$2:$C393,"SER")+COUNTIFS($B$2:$B393,"s",$C$2:$C393,"PLH")+COUNTIFS($B$2:$B393,"s",$C$2:$C393,"CSF"))-1,96)/12))&amp;(MOD((COUNTIFS($B$2:$B393,"s",$C$2:$C393,"SER")+COUNTIFS($B$2:$B393,"s",$C$2:$C393,"PLH")+COUNTIFS($B$2:$B393,"s",$C$2:$C393,"CSF"))-1,12)+1),"N/A"),"")</f>
        <v/>
      </c>
      <c r="I393" s="6" t="str">
        <f>IF(AND($A393&lt;&gt;"",$B393&lt;&gt;"",$C393&lt;&gt;"",$D393&lt;&gt;"",$E393&lt;&gt;""),IF(AND($B393="s",OR($C393="SER",$C393="PLH",$C393="CSF")),"Case NIH Plate "&amp;(INT(((COUNTIFS($B$2:$B393,"s",$C$2:$C393,"SER")+COUNTIFS($B$2:$B393,"s",$C$2:$C393,"PLH")+COUNTIFS($B$2:$B393,"s",$C$2:$C393,"CSF"))-1)/96)+1)&amp;": "&amp;CHAR(65+INT(MOD((COUNTIFS($B$2:$B393,"s",$C$2:$C393,"SER")+COUNTIFS($B$2:$B393,"s",$C$2:$C393,"PLH")+COUNTIFS($B$2:$B393,"s",$C$2:$C393,"CSF"))-1,96)/12))&amp;(MOD((COUNTIFS($B$2:$B393,"s",$C$2:$C393,"SER")+COUNTIFS($B$2:$B393,"s",$C$2:$C393,"PLH")+COUNTIFS($B$2:$B393,"s",$C$2:$C393,"CSF"))-1,12)+1),"N/A"),"")</f>
        <v/>
      </c>
      <c r="J393" s="6" t="str">
        <f>IF(AND($A393&lt;&gt;"",$B393&lt;&gt;"",$C393&lt;&gt;"",$D393&lt;&gt;"",$E393&lt;&gt;""),IF(AND($B393="s",OR($C393="SER",$C393="PLH")),"Case MAX Planck Plate "&amp;(INT(((COUNTIFS($B$2:$B393,"s",$C$2:$C393,"SER")+COUNTIFS($B$2:$B393,"s",$C$2:$C393,"PLH"))-1)/96)+1)&amp;": "&amp;CHAR(65+INT(MOD((COUNTIFS($B$2:$B393,"s",$C$2:$C393,"SER")+COUNTIFS($B$2:$B393,"s",$C$2:$C393,"PLH"))-1,96)/12))&amp;(MOD((COUNTIFS($B$2:$B393,"s",$C$2:$C393,"SER")+COUNTIFS($B$2:$B393,"s",$C$2:$C393,"PLH"))-1,12)+1),"N/A"),"")</f>
        <v/>
      </c>
      <c r="K393" s="6" t="str">
        <f>IF(AND($A393&lt;&gt;"",$B393&lt;&gt;"",$C393&lt;&gt;"",$D393&lt;&gt;"",$E393&lt;&gt;""),IF($C393="WB","Case WB Box "&amp;(INT((COUNTIFS($C$2:$C393,"WB")-1)/81)+1)&amp;": "&amp;CHAR(65+INT(MOD(COUNTIFS($C$2:$C393,"WB")-1,81)/9))&amp;(MOD(COUNTIFS($C$2:$C393,"WB")-1,9)+1),"N/A"),"")</f>
        <v/>
      </c>
      <c r="L393" s="2" t="str">
        <f t="shared" si="109"/>
        <v/>
      </c>
      <c r="M393" s="2"/>
      <c r="N393" s="2"/>
      <c r="O393" s="2"/>
      <c r="P393" s="7" t="str">
        <f t="shared" si="110"/>
        <v/>
      </c>
      <c r="Q393" s="7" t="str">
        <f t="shared" si="111"/>
        <v/>
      </c>
      <c r="R393" s="7" t="str">
        <f t="shared" si="112"/>
        <v/>
      </c>
      <c r="S393" s="7" t="str">
        <f t="shared" si="113"/>
        <v/>
      </c>
      <c r="T393" s="7" t="str">
        <f t="shared" si="114"/>
        <v/>
      </c>
      <c r="U393" s="7" t="str">
        <f t="shared" si="115"/>
        <v/>
      </c>
      <c r="V393" s="7" t="str">
        <f t="shared" si="116"/>
        <v/>
      </c>
      <c r="W393" s="7" t="str">
        <f t="shared" si="117"/>
        <v/>
      </c>
      <c r="X393" s="7" t="str">
        <f t="shared" si="118"/>
        <v/>
      </c>
      <c r="Y393" s="7" t="str">
        <f t="shared" si="119"/>
        <v/>
      </c>
      <c r="Z393">
        <f t="shared" si="120"/>
        <v>0</v>
      </c>
      <c r="AA393" t="str">
        <f t="shared" si="121"/>
        <v/>
      </c>
      <c r="AB393" t="str">
        <f t="shared" si="122"/>
        <v/>
      </c>
      <c r="AC393" t="str">
        <f t="shared" si="123"/>
        <v/>
      </c>
      <c r="AD393" t="str">
        <f t="shared" si="124"/>
        <v/>
      </c>
      <c r="AE393">
        <f t="shared" si="125"/>
        <v>0</v>
      </c>
    </row>
    <row r="394" spans="1:31" ht="15" customHeight="1" x14ac:dyDescent="0.35">
      <c r="A394" s="2"/>
      <c r="B394" s="3"/>
      <c r="C394" s="3"/>
      <c r="D394" s="4"/>
      <c r="E394" s="5"/>
      <c r="F394" s="11" t="str">
        <f t="shared" ca="1" si="108"/>
        <v/>
      </c>
      <c r="G394" s="5"/>
      <c r="H394" s="6" t="str">
        <f>IF(AND($A394&lt;&gt;"",$B394&lt;&gt;"",$C394&lt;&gt;"",$D394&lt;&gt;"",$E394&lt;&gt;""),IF(AND($B394="s",OR($C394="SER",$C394="PLH",$C394="CSF")),"Case CDI Plate "&amp;(INT(((COUNTIFS($B$2:$B394,"s",$C$2:$C394,"SER")+COUNTIFS($B$2:$B394,"s",$C$2:$C394,"PLH")+COUNTIFS($B$2:$B394,"s",$C$2:$C394,"CSF"))-1)/96)+1)&amp;": "&amp;CHAR(65+INT(MOD((COUNTIFS($B$2:$B394,"s",$C$2:$C394,"SER")+COUNTIFS($B$2:$B394,"s",$C$2:$C394,"PLH")+COUNTIFS($B$2:$B394,"s",$C$2:$C394,"CSF"))-1,96)/12))&amp;(MOD((COUNTIFS($B$2:$B394,"s",$C$2:$C394,"SER")+COUNTIFS($B$2:$B394,"s",$C$2:$C394,"PLH")+COUNTIFS($B$2:$B394,"s",$C$2:$C394,"CSF"))-1,12)+1),"N/A"),"")</f>
        <v/>
      </c>
      <c r="I394" s="6" t="str">
        <f>IF(AND($A394&lt;&gt;"",$B394&lt;&gt;"",$C394&lt;&gt;"",$D394&lt;&gt;"",$E394&lt;&gt;""),IF(AND($B394="s",OR($C394="SER",$C394="PLH",$C394="CSF")),"Case NIH Plate "&amp;(INT(((COUNTIFS($B$2:$B394,"s",$C$2:$C394,"SER")+COUNTIFS($B$2:$B394,"s",$C$2:$C394,"PLH")+COUNTIFS($B$2:$B394,"s",$C$2:$C394,"CSF"))-1)/96)+1)&amp;": "&amp;CHAR(65+INT(MOD((COUNTIFS($B$2:$B394,"s",$C$2:$C394,"SER")+COUNTIFS($B$2:$B394,"s",$C$2:$C394,"PLH")+COUNTIFS($B$2:$B394,"s",$C$2:$C394,"CSF"))-1,96)/12))&amp;(MOD((COUNTIFS($B$2:$B394,"s",$C$2:$C394,"SER")+COUNTIFS($B$2:$B394,"s",$C$2:$C394,"PLH")+COUNTIFS($B$2:$B394,"s",$C$2:$C394,"CSF"))-1,12)+1),"N/A"),"")</f>
        <v/>
      </c>
      <c r="J394" s="6" t="str">
        <f>IF(AND($A394&lt;&gt;"",$B394&lt;&gt;"",$C394&lt;&gt;"",$D394&lt;&gt;"",$E394&lt;&gt;""),IF(AND($B394="s",OR($C394="SER",$C394="PLH")),"Case MAX Planck Plate "&amp;(INT(((COUNTIFS($B$2:$B394,"s",$C$2:$C394,"SER")+COUNTIFS($B$2:$B394,"s",$C$2:$C394,"PLH"))-1)/96)+1)&amp;": "&amp;CHAR(65+INT(MOD((COUNTIFS($B$2:$B394,"s",$C$2:$C394,"SER")+COUNTIFS($B$2:$B394,"s",$C$2:$C394,"PLH"))-1,96)/12))&amp;(MOD((COUNTIFS($B$2:$B394,"s",$C$2:$C394,"SER")+COUNTIFS($B$2:$B394,"s",$C$2:$C394,"PLH"))-1,12)+1),"N/A"),"")</f>
        <v/>
      </c>
      <c r="K394" s="6" t="str">
        <f>IF(AND($A394&lt;&gt;"",$B394&lt;&gt;"",$C394&lt;&gt;"",$D394&lt;&gt;"",$E394&lt;&gt;""),IF($C394="WB","Case WB Box "&amp;(INT((COUNTIFS($C$2:$C394,"WB")-1)/81)+1)&amp;": "&amp;CHAR(65+INT(MOD(COUNTIFS($C$2:$C394,"WB")-1,81)/9))&amp;(MOD(COUNTIFS($C$2:$C394,"WB")-1,9)+1),"N/A"),"")</f>
        <v/>
      </c>
      <c r="L394" s="2" t="str">
        <f t="shared" si="109"/>
        <v/>
      </c>
      <c r="M394" s="2"/>
      <c r="N394" s="2"/>
      <c r="O394" s="2"/>
      <c r="P394" s="7" t="str">
        <f t="shared" si="110"/>
        <v/>
      </c>
      <c r="Q394" s="7" t="str">
        <f t="shared" si="111"/>
        <v/>
      </c>
      <c r="R394" s="7" t="str">
        <f t="shared" si="112"/>
        <v/>
      </c>
      <c r="S394" s="7" t="str">
        <f t="shared" si="113"/>
        <v/>
      </c>
      <c r="T394" s="7" t="str">
        <f t="shared" si="114"/>
        <v/>
      </c>
      <c r="U394" s="7" t="str">
        <f t="shared" si="115"/>
        <v/>
      </c>
      <c r="V394" s="7" t="str">
        <f t="shared" si="116"/>
        <v/>
      </c>
      <c r="W394" s="7" t="str">
        <f t="shared" si="117"/>
        <v/>
      </c>
      <c r="X394" s="7" t="str">
        <f t="shared" si="118"/>
        <v/>
      </c>
      <c r="Y394" s="7" t="str">
        <f t="shared" si="119"/>
        <v/>
      </c>
      <c r="Z394">
        <f t="shared" si="120"/>
        <v>0</v>
      </c>
      <c r="AA394" t="str">
        <f t="shared" si="121"/>
        <v/>
      </c>
      <c r="AB394" t="str">
        <f t="shared" si="122"/>
        <v/>
      </c>
      <c r="AC394" t="str">
        <f t="shared" si="123"/>
        <v/>
      </c>
      <c r="AD394" t="str">
        <f t="shared" si="124"/>
        <v/>
      </c>
      <c r="AE394">
        <f t="shared" si="125"/>
        <v>0</v>
      </c>
    </row>
    <row r="395" spans="1:31" ht="15" customHeight="1" x14ac:dyDescent="0.35">
      <c r="A395" s="2"/>
      <c r="B395" s="3"/>
      <c r="C395" s="3"/>
      <c r="D395" s="4"/>
      <c r="E395" s="5"/>
      <c r="F395" s="11" t="str">
        <f t="shared" ca="1" si="108"/>
        <v/>
      </c>
      <c r="G395" s="5"/>
      <c r="H395" s="6" t="str">
        <f>IF(AND($A395&lt;&gt;"",$B395&lt;&gt;"",$C395&lt;&gt;"",$D395&lt;&gt;"",$E395&lt;&gt;""),IF(AND($B395="s",OR($C395="SER",$C395="PLH",$C395="CSF")),"Case CDI Plate "&amp;(INT(((COUNTIFS($B$2:$B395,"s",$C$2:$C395,"SER")+COUNTIFS($B$2:$B395,"s",$C$2:$C395,"PLH")+COUNTIFS($B$2:$B395,"s",$C$2:$C395,"CSF"))-1)/96)+1)&amp;": "&amp;CHAR(65+INT(MOD((COUNTIFS($B$2:$B395,"s",$C$2:$C395,"SER")+COUNTIFS($B$2:$B395,"s",$C$2:$C395,"PLH")+COUNTIFS($B$2:$B395,"s",$C$2:$C395,"CSF"))-1,96)/12))&amp;(MOD((COUNTIFS($B$2:$B395,"s",$C$2:$C395,"SER")+COUNTIFS($B$2:$B395,"s",$C$2:$C395,"PLH")+COUNTIFS($B$2:$B395,"s",$C$2:$C395,"CSF"))-1,12)+1),"N/A"),"")</f>
        <v/>
      </c>
      <c r="I395" s="6" t="str">
        <f>IF(AND($A395&lt;&gt;"",$B395&lt;&gt;"",$C395&lt;&gt;"",$D395&lt;&gt;"",$E395&lt;&gt;""),IF(AND($B395="s",OR($C395="SER",$C395="PLH",$C395="CSF")),"Case NIH Plate "&amp;(INT(((COUNTIFS($B$2:$B395,"s",$C$2:$C395,"SER")+COUNTIFS($B$2:$B395,"s",$C$2:$C395,"PLH")+COUNTIFS($B$2:$B395,"s",$C$2:$C395,"CSF"))-1)/96)+1)&amp;": "&amp;CHAR(65+INT(MOD((COUNTIFS($B$2:$B395,"s",$C$2:$C395,"SER")+COUNTIFS($B$2:$B395,"s",$C$2:$C395,"PLH")+COUNTIFS($B$2:$B395,"s",$C$2:$C395,"CSF"))-1,96)/12))&amp;(MOD((COUNTIFS($B$2:$B395,"s",$C$2:$C395,"SER")+COUNTIFS($B$2:$B395,"s",$C$2:$C395,"PLH")+COUNTIFS($B$2:$B395,"s",$C$2:$C395,"CSF"))-1,12)+1),"N/A"),"")</f>
        <v/>
      </c>
      <c r="J395" s="6" t="str">
        <f>IF(AND($A395&lt;&gt;"",$B395&lt;&gt;"",$C395&lt;&gt;"",$D395&lt;&gt;"",$E395&lt;&gt;""),IF(AND($B395="s",OR($C395="SER",$C395="PLH")),"Case MAX Planck Plate "&amp;(INT(((COUNTIFS($B$2:$B395,"s",$C$2:$C395,"SER")+COUNTIFS($B$2:$B395,"s",$C$2:$C395,"PLH"))-1)/96)+1)&amp;": "&amp;CHAR(65+INT(MOD((COUNTIFS($B$2:$B395,"s",$C$2:$C395,"SER")+COUNTIFS($B$2:$B395,"s",$C$2:$C395,"PLH"))-1,96)/12))&amp;(MOD((COUNTIFS($B$2:$B395,"s",$C$2:$C395,"SER")+COUNTIFS($B$2:$B395,"s",$C$2:$C395,"PLH"))-1,12)+1),"N/A"),"")</f>
        <v/>
      </c>
      <c r="K395" s="6" t="str">
        <f>IF(AND($A395&lt;&gt;"",$B395&lt;&gt;"",$C395&lt;&gt;"",$D395&lt;&gt;"",$E395&lt;&gt;""),IF($C395="WB","Case WB Box "&amp;(INT((COUNTIFS($C$2:$C395,"WB")-1)/81)+1)&amp;": "&amp;CHAR(65+INT(MOD(COUNTIFS($C$2:$C395,"WB")-1,81)/9))&amp;(MOD(COUNTIFS($C$2:$C395,"WB")-1,9)+1),"N/A"),"")</f>
        <v/>
      </c>
      <c r="L395" s="2" t="str">
        <f t="shared" si="109"/>
        <v/>
      </c>
      <c r="M395" s="2"/>
      <c r="N395" s="2"/>
      <c r="O395" s="2"/>
      <c r="P395" s="7" t="str">
        <f t="shared" si="110"/>
        <v/>
      </c>
      <c r="Q395" s="7" t="str">
        <f t="shared" si="111"/>
        <v/>
      </c>
      <c r="R395" s="7" t="str">
        <f t="shared" si="112"/>
        <v/>
      </c>
      <c r="S395" s="7" t="str">
        <f t="shared" si="113"/>
        <v/>
      </c>
      <c r="T395" s="7" t="str">
        <f t="shared" si="114"/>
        <v/>
      </c>
      <c r="U395" s="7" t="str">
        <f t="shared" si="115"/>
        <v/>
      </c>
      <c r="V395" s="7" t="str">
        <f t="shared" si="116"/>
        <v/>
      </c>
      <c r="W395" s="7" t="str">
        <f t="shared" si="117"/>
        <v/>
      </c>
      <c r="X395" s="7" t="str">
        <f t="shared" si="118"/>
        <v/>
      </c>
      <c r="Y395" s="7" t="str">
        <f t="shared" si="119"/>
        <v/>
      </c>
      <c r="Z395">
        <f t="shared" si="120"/>
        <v>0</v>
      </c>
      <c r="AA395" t="str">
        <f t="shared" si="121"/>
        <v/>
      </c>
      <c r="AB395" t="str">
        <f t="shared" si="122"/>
        <v/>
      </c>
      <c r="AC395" t="str">
        <f t="shared" si="123"/>
        <v/>
      </c>
      <c r="AD395" t="str">
        <f t="shared" si="124"/>
        <v/>
      </c>
      <c r="AE395">
        <f t="shared" si="125"/>
        <v>0</v>
      </c>
    </row>
    <row r="396" spans="1:31" ht="15" customHeight="1" x14ac:dyDescent="0.35">
      <c r="A396" s="2"/>
      <c r="B396" s="3"/>
      <c r="C396" s="3"/>
      <c r="D396" s="4"/>
      <c r="E396" s="5"/>
      <c r="F396" s="11" t="str">
        <f t="shared" ca="1" si="108"/>
        <v/>
      </c>
      <c r="G396" s="5"/>
      <c r="H396" s="6" t="str">
        <f>IF(AND($A396&lt;&gt;"",$B396&lt;&gt;"",$C396&lt;&gt;"",$D396&lt;&gt;"",$E396&lt;&gt;""),IF(AND($B396="s",OR($C396="SER",$C396="PLH",$C396="CSF")),"Case CDI Plate "&amp;(INT(((COUNTIFS($B$2:$B396,"s",$C$2:$C396,"SER")+COUNTIFS($B$2:$B396,"s",$C$2:$C396,"PLH")+COUNTIFS($B$2:$B396,"s",$C$2:$C396,"CSF"))-1)/96)+1)&amp;": "&amp;CHAR(65+INT(MOD((COUNTIFS($B$2:$B396,"s",$C$2:$C396,"SER")+COUNTIFS($B$2:$B396,"s",$C$2:$C396,"PLH")+COUNTIFS($B$2:$B396,"s",$C$2:$C396,"CSF"))-1,96)/12))&amp;(MOD((COUNTIFS($B$2:$B396,"s",$C$2:$C396,"SER")+COUNTIFS($B$2:$B396,"s",$C$2:$C396,"PLH")+COUNTIFS($B$2:$B396,"s",$C$2:$C396,"CSF"))-1,12)+1),"N/A"),"")</f>
        <v/>
      </c>
      <c r="I396" s="6" t="str">
        <f>IF(AND($A396&lt;&gt;"",$B396&lt;&gt;"",$C396&lt;&gt;"",$D396&lt;&gt;"",$E396&lt;&gt;""),IF(AND($B396="s",OR($C396="SER",$C396="PLH",$C396="CSF")),"Case NIH Plate "&amp;(INT(((COUNTIFS($B$2:$B396,"s",$C$2:$C396,"SER")+COUNTIFS($B$2:$B396,"s",$C$2:$C396,"PLH")+COUNTIFS($B$2:$B396,"s",$C$2:$C396,"CSF"))-1)/96)+1)&amp;": "&amp;CHAR(65+INT(MOD((COUNTIFS($B$2:$B396,"s",$C$2:$C396,"SER")+COUNTIFS($B$2:$B396,"s",$C$2:$C396,"PLH")+COUNTIFS($B$2:$B396,"s",$C$2:$C396,"CSF"))-1,96)/12))&amp;(MOD((COUNTIFS($B$2:$B396,"s",$C$2:$C396,"SER")+COUNTIFS($B$2:$B396,"s",$C$2:$C396,"PLH")+COUNTIFS($B$2:$B396,"s",$C$2:$C396,"CSF"))-1,12)+1),"N/A"),"")</f>
        <v/>
      </c>
      <c r="J396" s="6" t="str">
        <f>IF(AND($A396&lt;&gt;"",$B396&lt;&gt;"",$C396&lt;&gt;"",$D396&lt;&gt;"",$E396&lt;&gt;""),IF(AND($B396="s",OR($C396="SER",$C396="PLH")),"Case MAX Planck Plate "&amp;(INT(((COUNTIFS($B$2:$B396,"s",$C$2:$C396,"SER")+COUNTIFS($B$2:$B396,"s",$C$2:$C396,"PLH"))-1)/96)+1)&amp;": "&amp;CHAR(65+INT(MOD((COUNTIFS($B$2:$B396,"s",$C$2:$C396,"SER")+COUNTIFS($B$2:$B396,"s",$C$2:$C396,"PLH"))-1,96)/12))&amp;(MOD((COUNTIFS($B$2:$B396,"s",$C$2:$C396,"SER")+COUNTIFS($B$2:$B396,"s",$C$2:$C396,"PLH"))-1,12)+1),"N/A"),"")</f>
        <v/>
      </c>
      <c r="K396" s="6" t="str">
        <f>IF(AND($A396&lt;&gt;"",$B396&lt;&gt;"",$C396&lt;&gt;"",$D396&lt;&gt;"",$E396&lt;&gt;""),IF($C396="WB","Case WB Box "&amp;(INT((COUNTIFS($C$2:$C396,"WB")-1)/81)+1)&amp;": "&amp;CHAR(65+INT(MOD(COUNTIFS($C$2:$C396,"WB")-1,81)/9))&amp;(MOD(COUNTIFS($C$2:$C396,"WB")-1,9)+1),"N/A"),"")</f>
        <v/>
      </c>
      <c r="L396" s="2" t="str">
        <f t="shared" si="109"/>
        <v/>
      </c>
      <c r="M396" s="2"/>
      <c r="N396" s="2"/>
      <c r="O396" s="2"/>
      <c r="P396" s="7" t="str">
        <f t="shared" si="110"/>
        <v/>
      </c>
      <c r="Q396" s="7" t="str">
        <f t="shared" si="111"/>
        <v/>
      </c>
      <c r="R396" s="7" t="str">
        <f t="shared" si="112"/>
        <v/>
      </c>
      <c r="S396" s="7" t="str">
        <f t="shared" si="113"/>
        <v/>
      </c>
      <c r="T396" s="7" t="str">
        <f t="shared" si="114"/>
        <v/>
      </c>
      <c r="U396" s="7" t="str">
        <f t="shared" si="115"/>
        <v/>
      </c>
      <c r="V396" s="7" t="str">
        <f t="shared" si="116"/>
        <v/>
      </c>
      <c r="W396" s="7" t="str">
        <f t="shared" si="117"/>
        <v/>
      </c>
      <c r="X396" s="7" t="str">
        <f t="shared" si="118"/>
        <v/>
      </c>
      <c r="Y396" s="7" t="str">
        <f t="shared" si="119"/>
        <v/>
      </c>
      <c r="Z396">
        <f t="shared" si="120"/>
        <v>0</v>
      </c>
      <c r="AA396" t="str">
        <f t="shared" si="121"/>
        <v/>
      </c>
      <c r="AB396" t="str">
        <f t="shared" si="122"/>
        <v/>
      </c>
      <c r="AC396" t="str">
        <f t="shared" si="123"/>
        <v/>
      </c>
      <c r="AD396" t="str">
        <f t="shared" si="124"/>
        <v/>
      </c>
      <c r="AE396">
        <f t="shared" si="125"/>
        <v>0</v>
      </c>
    </row>
    <row r="397" spans="1:31" ht="15" customHeight="1" x14ac:dyDescent="0.35">
      <c r="A397" s="2"/>
      <c r="B397" s="3"/>
      <c r="C397" s="3"/>
      <c r="D397" s="4"/>
      <c r="E397" s="5"/>
      <c r="F397" s="11" t="str">
        <f t="shared" ca="1" si="108"/>
        <v/>
      </c>
      <c r="G397" s="5"/>
      <c r="H397" s="6" t="str">
        <f>IF(AND($A397&lt;&gt;"",$B397&lt;&gt;"",$C397&lt;&gt;"",$D397&lt;&gt;"",$E397&lt;&gt;""),IF(AND($B397="s",OR($C397="SER",$C397="PLH",$C397="CSF")),"Case CDI Plate "&amp;(INT(((COUNTIFS($B$2:$B397,"s",$C$2:$C397,"SER")+COUNTIFS($B$2:$B397,"s",$C$2:$C397,"PLH")+COUNTIFS($B$2:$B397,"s",$C$2:$C397,"CSF"))-1)/96)+1)&amp;": "&amp;CHAR(65+INT(MOD((COUNTIFS($B$2:$B397,"s",$C$2:$C397,"SER")+COUNTIFS($B$2:$B397,"s",$C$2:$C397,"PLH")+COUNTIFS($B$2:$B397,"s",$C$2:$C397,"CSF"))-1,96)/12))&amp;(MOD((COUNTIFS($B$2:$B397,"s",$C$2:$C397,"SER")+COUNTIFS($B$2:$B397,"s",$C$2:$C397,"PLH")+COUNTIFS($B$2:$B397,"s",$C$2:$C397,"CSF"))-1,12)+1),"N/A"),"")</f>
        <v/>
      </c>
      <c r="I397" s="6" t="str">
        <f>IF(AND($A397&lt;&gt;"",$B397&lt;&gt;"",$C397&lt;&gt;"",$D397&lt;&gt;"",$E397&lt;&gt;""),IF(AND($B397="s",OR($C397="SER",$C397="PLH",$C397="CSF")),"Case NIH Plate "&amp;(INT(((COUNTIFS($B$2:$B397,"s",$C$2:$C397,"SER")+COUNTIFS($B$2:$B397,"s",$C$2:$C397,"PLH")+COUNTIFS($B$2:$B397,"s",$C$2:$C397,"CSF"))-1)/96)+1)&amp;": "&amp;CHAR(65+INT(MOD((COUNTIFS($B$2:$B397,"s",$C$2:$C397,"SER")+COUNTIFS($B$2:$B397,"s",$C$2:$C397,"PLH")+COUNTIFS($B$2:$B397,"s",$C$2:$C397,"CSF"))-1,96)/12))&amp;(MOD((COUNTIFS($B$2:$B397,"s",$C$2:$C397,"SER")+COUNTIFS($B$2:$B397,"s",$C$2:$C397,"PLH")+COUNTIFS($B$2:$B397,"s",$C$2:$C397,"CSF"))-1,12)+1),"N/A"),"")</f>
        <v/>
      </c>
      <c r="J397" s="6" t="str">
        <f>IF(AND($A397&lt;&gt;"",$B397&lt;&gt;"",$C397&lt;&gt;"",$D397&lt;&gt;"",$E397&lt;&gt;""),IF(AND($B397="s",OR($C397="SER",$C397="PLH")),"Case MAX Planck Plate "&amp;(INT(((COUNTIFS($B$2:$B397,"s",$C$2:$C397,"SER")+COUNTIFS($B$2:$B397,"s",$C$2:$C397,"PLH"))-1)/96)+1)&amp;": "&amp;CHAR(65+INT(MOD((COUNTIFS($B$2:$B397,"s",$C$2:$C397,"SER")+COUNTIFS($B$2:$B397,"s",$C$2:$C397,"PLH"))-1,96)/12))&amp;(MOD((COUNTIFS($B$2:$B397,"s",$C$2:$C397,"SER")+COUNTIFS($B$2:$B397,"s",$C$2:$C397,"PLH"))-1,12)+1),"N/A"),"")</f>
        <v/>
      </c>
      <c r="K397" s="6" t="str">
        <f>IF(AND($A397&lt;&gt;"",$B397&lt;&gt;"",$C397&lt;&gt;"",$D397&lt;&gt;"",$E397&lt;&gt;""),IF($C397="WB","Case WB Box "&amp;(INT((COUNTIFS($C$2:$C397,"WB")-1)/81)+1)&amp;": "&amp;CHAR(65+INT(MOD(COUNTIFS($C$2:$C397,"WB")-1,81)/9))&amp;(MOD(COUNTIFS($C$2:$C397,"WB")-1,9)+1),"N/A"),"")</f>
        <v/>
      </c>
      <c r="L397" s="2" t="str">
        <f t="shared" si="109"/>
        <v/>
      </c>
      <c r="M397" s="2"/>
      <c r="N397" s="2"/>
      <c r="O397" s="2"/>
      <c r="P397" s="7" t="str">
        <f t="shared" si="110"/>
        <v/>
      </c>
      <c r="Q397" s="7" t="str">
        <f t="shared" si="111"/>
        <v/>
      </c>
      <c r="R397" s="7" t="str">
        <f t="shared" si="112"/>
        <v/>
      </c>
      <c r="S397" s="7" t="str">
        <f t="shared" si="113"/>
        <v/>
      </c>
      <c r="T397" s="7" t="str">
        <f t="shared" si="114"/>
        <v/>
      </c>
      <c r="U397" s="7" t="str">
        <f t="shared" si="115"/>
        <v/>
      </c>
      <c r="V397" s="7" t="str">
        <f t="shared" si="116"/>
        <v/>
      </c>
      <c r="W397" s="7" t="str">
        <f t="shared" si="117"/>
        <v/>
      </c>
      <c r="X397" s="7" t="str">
        <f t="shared" si="118"/>
        <v/>
      </c>
      <c r="Y397" s="7" t="str">
        <f t="shared" si="119"/>
        <v/>
      </c>
      <c r="Z397">
        <f t="shared" si="120"/>
        <v>0</v>
      </c>
      <c r="AA397" t="str">
        <f t="shared" si="121"/>
        <v/>
      </c>
      <c r="AB397" t="str">
        <f t="shared" si="122"/>
        <v/>
      </c>
      <c r="AC397" t="str">
        <f t="shared" si="123"/>
        <v/>
      </c>
      <c r="AD397" t="str">
        <f t="shared" si="124"/>
        <v/>
      </c>
      <c r="AE397">
        <f t="shared" si="125"/>
        <v>0</v>
      </c>
    </row>
    <row r="398" spans="1:31" ht="15" customHeight="1" x14ac:dyDescent="0.35">
      <c r="A398" s="2"/>
      <c r="B398" s="3"/>
      <c r="C398" s="3"/>
      <c r="D398" s="4"/>
      <c r="E398" s="5"/>
      <c r="F398" s="11" t="str">
        <f t="shared" ca="1" si="108"/>
        <v/>
      </c>
      <c r="G398" s="5"/>
      <c r="H398" s="6" t="str">
        <f>IF(AND($A398&lt;&gt;"",$B398&lt;&gt;"",$C398&lt;&gt;"",$D398&lt;&gt;"",$E398&lt;&gt;""),IF(AND($B398="s",OR($C398="SER",$C398="PLH",$C398="CSF")),"Case CDI Plate "&amp;(INT(((COUNTIFS($B$2:$B398,"s",$C$2:$C398,"SER")+COUNTIFS($B$2:$B398,"s",$C$2:$C398,"PLH")+COUNTIFS($B$2:$B398,"s",$C$2:$C398,"CSF"))-1)/96)+1)&amp;": "&amp;CHAR(65+INT(MOD((COUNTIFS($B$2:$B398,"s",$C$2:$C398,"SER")+COUNTIFS($B$2:$B398,"s",$C$2:$C398,"PLH")+COUNTIFS($B$2:$B398,"s",$C$2:$C398,"CSF"))-1,96)/12))&amp;(MOD((COUNTIFS($B$2:$B398,"s",$C$2:$C398,"SER")+COUNTIFS($B$2:$B398,"s",$C$2:$C398,"PLH")+COUNTIFS($B$2:$B398,"s",$C$2:$C398,"CSF"))-1,12)+1),"N/A"),"")</f>
        <v/>
      </c>
      <c r="I398" s="6" t="str">
        <f>IF(AND($A398&lt;&gt;"",$B398&lt;&gt;"",$C398&lt;&gt;"",$D398&lt;&gt;"",$E398&lt;&gt;""),IF(AND($B398="s",OR($C398="SER",$C398="PLH",$C398="CSF")),"Case NIH Plate "&amp;(INT(((COUNTIFS($B$2:$B398,"s",$C$2:$C398,"SER")+COUNTIFS($B$2:$B398,"s",$C$2:$C398,"PLH")+COUNTIFS($B$2:$B398,"s",$C$2:$C398,"CSF"))-1)/96)+1)&amp;": "&amp;CHAR(65+INT(MOD((COUNTIFS($B$2:$B398,"s",$C$2:$C398,"SER")+COUNTIFS($B$2:$B398,"s",$C$2:$C398,"PLH")+COUNTIFS($B$2:$B398,"s",$C$2:$C398,"CSF"))-1,96)/12))&amp;(MOD((COUNTIFS($B$2:$B398,"s",$C$2:$C398,"SER")+COUNTIFS($B$2:$B398,"s",$C$2:$C398,"PLH")+COUNTIFS($B$2:$B398,"s",$C$2:$C398,"CSF"))-1,12)+1),"N/A"),"")</f>
        <v/>
      </c>
      <c r="J398" s="6" t="str">
        <f>IF(AND($A398&lt;&gt;"",$B398&lt;&gt;"",$C398&lt;&gt;"",$D398&lt;&gt;"",$E398&lt;&gt;""),IF(AND($B398="s",OR($C398="SER",$C398="PLH")),"Case MAX Planck Plate "&amp;(INT(((COUNTIFS($B$2:$B398,"s",$C$2:$C398,"SER")+COUNTIFS($B$2:$B398,"s",$C$2:$C398,"PLH"))-1)/96)+1)&amp;": "&amp;CHAR(65+INT(MOD((COUNTIFS($B$2:$B398,"s",$C$2:$C398,"SER")+COUNTIFS($B$2:$B398,"s",$C$2:$C398,"PLH"))-1,96)/12))&amp;(MOD((COUNTIFS($B$2:$B398,"s",$C$2:$C398,"SER")+COUNTIFS($B$2:$B398,"s",$C$2:$C398,"PLH"))-1,12)+1),"N/A"),"")</f>
        <v/>
      </c>
      <c r="K398" s="6" t="str">
        <f>IF(AND($A398&lt;&gt;"",$B398&lt;&gt;"",$C398&lt;&gt;"",$D398&lt;&gt;"",$E398&lt;&gt;""),IF($C398="WB","Case WB Box "&amp;(INT((COUNTIFS($C$2:$C398,"WB")-1)/81)+1)&amp;": "&amp;CHAR(65+INT(MOD(COUNTIFS($C$2:$C398,"WB")-1,81)/9))&amp;(MOD(COUNTIFS($C$2:$C398,"WB")-1,9)+1),"N/A"),"")</f>
        <v/>
      </c>
      <c r="L398" s="2" t="str">
        <f t="shared" si="109"/>
        <v/>
      </c>
      <c r="M398" s="2"/>
      <c r="N398" s="2"/>
      <c r="O398" s="2"/>
      <c r="P398" s="7" t="str">
        <f t="shared" si="110"/>
        <v/>
      </c>
      <c r="Q398" s="7" t="str">
        <f t="shared" si="111"/>
        <v/>
      </c>
      <c r="R398" s="7" t="str">
        <f t="shared" si="112"/>
        <v/>
      </c>
      <c r="S398" s="7" t="str">
        <f t="shared" si="113"/>
        <v/>
      </c>
      <c r="T398" s="7" t="str">
        <f t="shared" si="114"/>
        <v/>
      </c>
      <c r="U398" s="7" t="str">
        <f t="shared" si="115"/>
        <v/>
      </c>
      <c r="V398" s="7" t="str">
        <f t="shared" si="116"/>
        <v/>
      </c>
      <c r="W398" s="7" t="str">
        <f t="shared" si="117"/>
        <v/>
      </c>
      <c r="X398" s="7" t="str">
        <f t="shared" si="118"/>
        <v/>
      </c>
      <c r="Y398" s="7" t="str">
        <f t="shared" si="119"/>
        <v/>
      </c>
      <c r="Z398">
        <f t="shared" si="120"/>
        <v>0</v>
      </c>
      <c r="AA398" t="str">
        <f t="shared" si="121"/>
        <v/>
      </c>
      <c r="AB398" t="str">
        <f t="shared" si="122"/>
        <v/>
      </c>
      <c r="AC398" t="str">
        <f t="shared" si="123"/>
        <v/>
      </c>
      <c r="AD398" t="str">
        <f t="shared" si="124"/>
        <v/>
      </c>
      <c r="AE398">
        <f t="shared" si="125"/>
        <v>0</v>
      </c>
    </row>
    <row r="399" spans="1:31" ht="15" customHeight="1" x14ac:dyDescent="0.35">
      <c r="A399" s="2"/>
      <c r="B399" s="3"/>
      <c r="C399" s="3"/>
      <c r="D399" s="4"/>
      <c r="E399" s="5"/>
      <c r="F399" s="11" t="str">
        <f t="shared" ca="1" si="108"/>
        <v/>
      </c>
      <c r="G399" s="5"/>
      <c r="H399" s="6" t="str">
        <f>IF(AND($A399&lt;&gt;"",$B399&lt;&gt;"",$C399&lt;&gt;"",$D399&lt;&gt;"",$E399&lt;&gt;""),IF(AND($B399="s",OR($C399="SER",$C399="PLH",$C399="CSF")),"Case CDI Plate "&amp;(INT(((COUNTIFS($B$2:$B399,"s",$C$2:$C399,"SER")+COUNTIFS($B$2:$B399,"s",$C$2:$C399,"PLH")+COUNTIFS($B$2:$B399,"s",$C$2:$C399,"CSF"))-1)/96)+1)&amp;": "&amp;CHAR(65+INT(MOD((COUNTIFS($B$2:$B399,"s",$C$2:$C399,"SER")+COUNTIFS($B$2:$B399,"s",$C$2:$C399,"PLH")+COUNTIFS($B$2:$B399,"s",$C$2:$C399,"CSF"))-1,96)/12))&amp;(MOD((COUNTIFS($B$2:$B399,"s",$C$2:$C399,"SER")+COUNTIFS($B$2:$B399,"s",$C$2:$C399,"PLH")+COUNTIFS($B$2:$B399,"s",$C$2:$C399,"CSF"))-1,12)+1),"N/A"),"")</f>
        <v/>
      </c>
      <c r="I399" s="6" t="str">
        <f>IF(AND($A399&lt;&gt;"",$B399&lt;&gt;"",$C399&lt;&gt;"",$D399&lt;&gt;"",$E399&lt;&gt;""),IF(AND($B399="s",OR($C399="SER",$C399="PLH",$C399="CSF")),"Case NIH Plate "&amp;(INT(((COUNTIFS($B$2:$B399,"s",$C$2:$C399,"SER")+COUNTIFS($B$2:$B399,"s",$C$2:$C399,"PLH")+COUNTIFS($B$2:$B399,"s",$C$2:$C399,"CSF"))-1)/96)+1)&amp;": "&amp;CHAR(65+INT(MOD((COUNTIFS($B$2:$B399,"s",$C$2:$C399,"SER")+COUNTIFS($B$2:$B399,"s",$C$2:$C399,"PLH")+COUNTIFS($B$2:$B399,"s",$C$2:$C399,"CSF"))-1,96)/12))&amp;(MOD((COUNTIFS($B$2:$B399,"s",$C$2:$C399,"SER")+COUNTIFS($B$2:$B399,"s",$C$2:$C399,"PLH")+COUNTIFS($B$2:$B399,"s",$C$2:$C399,"CSF"))-1,12)+1),"N/A"),"")</f>
        <v/>
      </c>
      <c r="J399" s="6" t="str">
        <f>IF(AND($A399&lt;&gt;"",$B399&lt;&gt;"",$C399&lt;&gt;"",$D399&lt;&gt;"",$E399&lt;&gt;""),IF(AND($B399="s",OR($C399="SER",$C399="PLH")),"Case MAX Planck Plate "&amp;(INT(((COUNTIFS($B$2:$B399,"s",$C$2:$C399,"SER")+COUNTIFS($B$2:$B399,"s",$C$2:$C399,"PLH"))-1)/96)+1)&amp;": "&amp;CHAR(65+INT(MOD((COUNTIFS($B$2:$B399,"s",$C$2:$C399,"SER")+COUNTIFS($B$2:$B399,"s",$C$2:$C399,"PLH"))-1,96)/12))&amp;(MOD((COUNTIFS($B$2:$B399,"s",$C$2:$C399,"SER")+COUNTIFS($B$2:$B399,"s",$C$2:$C399,"PLH"))-1,12)+1),"N/A"),"")</f>
        <v/>
      </c>
      <c r="K399" s="6" t="str">
        <f>IF(AND($A399&lt;&gt;"",$B399&lt;&gt;"",$C399&lt;&gt;"",$D399&lt;&gt;"",$E399&lt;&gt;""),IF($C399="WB","Case WB Box "&amp;(INT((COUNTIFS($C$2:$C399,"WB")-1)/81)+1)&amp;": "&amp;CHAR(65+INT(MOD(COUNTIFS($C$2:$C399,"WB")-1,81)/9))&amp;(MOD(COUNTIFS($C$2:$C399,"WB")-1,9)+1),"N/A"),"")</f>
        <v/>
      </c>
      <c r="L399" s="2" t="str">
        <f t="shared" si="109"/>
        <v/>
      </c>
      <c r="M399" s="2"/>
      <c r="N399" s="2"/>
      <c r="O399" s="2"/>
      <c r="P399" s="7" t="str">
        <f t="shared" si="110"/>
        <v/>
      </c>
      <c r="Q399" s="7" t="str">
        <f t="shared" si="111"/>
        <v/>
      </c>
      <c r="R399" s="7" t="str">
        <f t="shared" si="112"/>
        <v/>
      </c>
      <c r="S399" s="7" t="str">
        <f t="shared" si="113"/>
        <v/>
      </c>
      <c r="T399" s="7" t="str">
        <f t="shared" si="114"/>
        <v/>
      </c>
      <c r="U399" s="7" t="str">
        <f t="shared" si="115"/>
        <v/>
      </c>
      <c r="V399" s="7" t="str">
        <f t="shared" si="116"/>
        <v/>
      </c>
      <c r="W399" s="7" t="str">
        <f t="shared" si="117"/>
        <v/>
      </c>
      <c r="X399" s="7" t="str">
        <f t="shared" si="118"/>
        <v/>
      </c>
      <c r="Y399" s="7" t="str">
        <f t="shared" si="119"/>
        <v/>
      </c>
      <c r="Z399">
        <f t="shared" si="120"/>
        <v>0</v>
      </c>
      <c r="AA399" t="str">
        <f t="shared" si="121"/>
        <v/>
      </c>
      <c r="AB399" t="str">
        <f t="shared" si="122"/>
        <v/>
      </c>
      <c r="AC399" t="str">
        <f t="shared" si="123"/>
        <v/>
      </c>
      <c r="AD399" t="str">
        <f t="shared" si="124"/>
        <v/>
      </c>
      <c r="AE399">
        <f t="shared" si="125"/>
        <v>0</v>
      </c>
    </row>
    <row r="400" spans="1:31" ht="15" customHeight="1" x14ac:dyDescent="0.35">
      <c r="A400" s="2"/>
      <c r="B400" s="3"/>
      <c r="C400" s="3"/>
      <c r="D400" s="4"/>
      <c r="E400" s="5"/>
      <c r="F400" s="11" t="str">
        <f t="shared" ca="1" si="108"/>
        <v/>
      </c>
      <c r="G400" s="5"/>
      <c r="H400" s="6" t="str">
        <f>IF(AND($A400&lt;&gt;"",$B400&lt;&gt;"",$C400&lt;&gt;"",$D400&lt;&gt;"",$E400&lt;&gt;""),IF(AND($B400="s",OR($C400="SER",$C400="PLH",$C400="CSF")),"Case CDI Plate "&amp;(INT(((COUNTIFS($B$2:$B400,"s",$C$2:$C400,"SER")+COUNTIFS($B$2:$B400,"s",$C$2:$C400,"PLH")+COUNTIFS($B$2:$B400,"s",$C$2:$C400,"CSF"))-1)/96)+1)&amp;": "&amp;CHAR(65+INT(MOD((COUNTIFS($B$2:$B400,"s",$C$2:$C400,"SER")+COUNTIFS($B$2:$B400,"s",$C$2:$C400,"PLH")+COUNTIFS($B$2:$B400,"s",$C$2:$C400,"CSF"))-1,96)/12))&amp;(MOD((COUNTIFS($B$2:$B400,"s",$C$2:$C400,"SER")+COUNTIFS($B$2:$B400,"s",$C$2:$C400,"PLH")+COUNTIFS($B$2:$B400,"s",$C$2:$C400,"CSF"))-1,12)+1),"N/A"),"")</f>
        <v/>
      </c>
      <c r="I400" s="6" t="str">
        <f>IF(AND($A400&lt;&gt;"",$B400&lt;&gt;"",$C400&lt;&gt;"",$D400&lt;&gt;"",$E400&lt;&gt;""),IF(AND($B400="s",OR($C400="SER",$C400="PLH",$C400="CSF")),"Case NIH Plate "&amp;(INT(((COUNTIFS($B$2:$B400,"s",$C$2:$C400,"SER")+COUNTIFS($B$2:$B400,"s",$C$2:$C400,"PLH")+COUNTIFS($B$2:$B400,"s",$C$2:$C400,"CSF"))-1)/96)+1)&amp;": "&amp;CHAR(65+INT(MOD((COUNTIFS($B$2:$B400,"s",$C$2:$C400,"SER")+COUNTIFS($B$2:$B400,"s",$C$2:$C400,"PLH")+COUNTIFS($B$2:$B400,"s",$C$2:$C400,"CSF"))-1,96)/12))&amp;(MOD((COUNTIFS($B$2:$B400,"s",$C$2:$C400,"SER")+COUNTIFS($B$2:$B400,"s",$C$2:$C400,"PLH")+COUNTIFS($B$2:$B400,"s",$C$2:$C400,"CSF"))-1,12)+1),"N/A"),"")</f>
        <v/>
      </c>
      <c r="J400" s="6" t="str">
        <f>IF(AND($A400&lt;&gt;"",$B400&lt;&gt;"",$C400&lt;&gt;"",$D400&lt;&gt;"",$E400&lt;&gt;""),IF(AND($B400="s",OR($C400="SER",$C400="PLH")),"Case MAX Planck Plate "&amp;(INT(((COUNTIFS($B$2:$B400,"s",$C$2:$C400,"SER")+COUNTIFS($B$2:$B400,"s",$C$2:$C400,"PLH"))-1)/96)+1)&amp;": "&amp;CHAR(65+INT(MOD((COUNTIFS($B$2:$B400,"s",$C$2:$C400,"SER")+COUNTIFS($B$2:$B400,"s",$C$2:$C400,"PLH"))-1,96)/12))&amp;(MOD((COUNTIFS($B$2:$B400,"s",$C$2:$C400,"SER")+COUNTIFS($B$2:$B400,"s",$C$2:$C400,"PLH"))-1,12)+1),"N/A"),"")</f>
        <v/>
      </c>
      <c r="K400" s="6" t="str">
        <f>IF(AND($A400&lt;&gt;"",$B400&lt;&gt;"",$C400&lt;&gt;"",$D400&lt;&gt;"",$E400&lt;&gt;""),IF($C400="WB","Case WB Box "&amp;(INT((COUNTIFS($C$2:$C400,"WB")-1)/81)+1)&amp;": "&amp;CHAR(65+INT(MOD(COUNTIFS($C$2:$C400,"WB")-1,81)/9))&amp;(MOD(COUNTIFS($C$2:$C400,"WB")-1,9)+1),"N/A"),"")</f>
        <v/>
      </c>
      <c r="L400" s="2" t="str">
        <f t="shared" si="109"/>
        <v/>
      </c>
      <c r="M400" s="2"/>
      <c r="N400" s="2"/>
      <c r="O400" s="2"/>
      <c r="P400" s="7" t="str">
        <f t="shared" si="110"/>
        <v/>
      </c>
      <c r="Q400" s="7" t="str">
        <f t="shared" si="111"/>
        <v/>
      </c>
      <c r="R400" s="7" t="str">
        <f t="shared" si="112"/>
        <v/>
      </c>
      <c r="S400" s="7" t="str">
        <f t="shared" si="113"/>
        <v/>
      </c>
      <c r="T400" s="7" t="str">
        <f t="shared" si="114"/>
        <v/>
      </c>
      <c r="U400" s="7" t="str">
        <f t="shared" si="115"/>
        <v/>
      </c>
      <c r="V400" s="7" t="str">
        <f t="shared" si="116"/>
        <v/>
      </c>
      <c r="W400" s="7" t="str">
        <f t="shared" si="117"/>
        <v/>
      </c>
      <c r="X400" s="7" t="str">
        <f t="shared" si="118"/>
        <v/>
      </c>
      <c r="Y400" s="7" t="str">
        <f t="shared" si="119"/>
        <v/>
      </c>
      <c r="Z400">
        <f t="shared" si="120"/>
        <v>0</v>
      </c>
      <c r="AA400" t="str">
        <f t="shared" si="121"/>
        <v/>
      </c>
      <c r="AB400" t="str">
        <f t="shared" si="122"/>
        <v/>
      </c>
      <c r="AC400" t="str">
        <f t="shared" si="123"/>
        <v/>
      </c>
      <c r="AD400" t="str">
        <f t="shared" si="124"/>
        <v/>
      </c>
      <c r="AE400">
        <f t="shared" si="125"/>
        <v>0</v>
      </c>
    </row>
    <row r="401" spans="1:31" ht="15" customHeight="1" x14ac:dyDescent="0.35">
      <c r="A401" s="2"/>
      <c r="B401" s="3"/>
      <c r="C401" s="3"/>
      <c r="D401" s="4"/>
      <c r="E401" s="5"/>
      <c r="F401" s="11" t="str">
        <f t="shared" ca="1" si="108"/>
        <v/>
      </c>
      <c r="G401" s="5"/>
      <c r="H401" s="6" t="str">
        <f>IF(AND($A401&lt;&gt;"",$B401&lt;&gt;"",$C401&lt;&gt;"",$D401&lt;&gt;"",$E401&lt;&gt;""),IF(AND($B401="s",OR($C401="SER",$C401="PLH",$C401="CSF")),"Case CDI Plate "&amp;(INT(((COUNTIFS($B$2:$B401,"s",$C$2:$C401,"SER")+COUNTIFS($B$2:$B401,"s",$C$2:$C401,"PLH")+COUNTIFS($B$2:$B401,"s",$C$2:$C401,"CSF"))-1)/96)+1)&amp;": "&amp;CHAR(65+INT(MOD((COUNTIFS($B$2:$B401,"s",$C$2:$C401,"SER")+COUNTIFS($B$2:$B401,"s",$C$2:$C401,"PLH")+COUNTIFS($B$2:$B401,"s",$C$2:$C401,"CSF"))-1,96)/12))&amp;(MOD((COUNTIFS($B$2:$B401,"s",$C$2:$C401,"SER")+COUNTIFS($B$2:$B401,"s",$C$2:$C401,"PLH")+COUNTIFS($B$2:$B401,"s",$C$2:$C401,"CSF"))-1,12)+1),"N/A"),"")</f>
        <v/>
      </c>
      <c r="I401" s="6" t="str">
        <f>IF(AND($A401&lt;&gt;"",$B401&lt;&gt;"",$C401&lt;&gt;"",$D401&lt;&gt;"",$E401&lt;&gt;""),IF(AND($B401="s",OR($C401="SER",$C401="PLH",$C401="CSF")),"Case NIH Plate "&amp;(INT(((COUNTIFS($B$2:$B401,"s",$C$2:$C401,"SER")+COUNTIFS($B$2:$B401,"s",$C$2:$C401,"PLH")+COUNTIFS($B$2:$B401,"s",$C$2:$C401,"CSF"))-1)/96)+1)&amp;": "&amp;CHAR(65+INT(MOD((COUNTIFS($B$2:$B401,"s",$C$2:$C401,"SER")+COUNTIFS($B$2:$B401,"s",$C$2:$C401,"PLH")+COUNTIFS($B$2:$B401,"s",$C$2:$C401,"CSF"))-1,96)/12))&amp;(MOD((COUNTIFS($B$2:$B401,"s",$C$2:$C401,"SER")+COUNTIFS($B$2:$B401,"s",$C$2:$C401,"PLH")+COUNTIFS($B$2:$B401,"s",$C$2:$C401,"CSF"))-1,12)+1),"N/A"),"")</f>
        <v/>
      </c>
      <c r="J401" s="6" t="str">
        <f>IF(AND($A401&lt;&gt;"",$B401&lt;&gt;"",$C401&lt;&gt;"",$D401&lt;&gt;"",$E401&lt;&gt;""),IF(AND($B401="s",OR($C401="SER",$C401="PLH")),"Case MAX Planck Plate "&amp;(INT(((COUNTIFS($B$2:$B401,"s",$C$2:$C401,"SER")+COUNTIFS($B$2:$B401,"s",$C$2:$C401,"PLH"))-1)/96)+1)&amp;": "&amp;CHAR(65+INT(MOD((COUNTIFS($B$2:$B401,"s",$C$2:$C401,"SER")+COUNTIFS($B$2:$B401,"s",$C$2:$C401,"PLH"))-1,96)/12))&amp;(MOD((COUNTIFS($B$2:$B401,"s",$C$2:$C401,"SER")+COUNTIFS($B$2:$B401,"s",$C$2:$C401,"PLH"))-1,12)+1),"N/A"),"")</f>
        <v/>
      </c>
      <c r="K401" s="6" t="str">
        <f>IF(AND($A401&lt;&gt;"",$B401&lt;&gt;"",$C401&lt;&gt;"",$D401&lt;&gt;"",$E401&lt;&gt;""),IF($C401="WB","Case WB Box "&amp;(INT((COUNTIFS($C$2:$C401,"WB")-1)/81)+1)&amp;": "&amp;CHAR(65+INT(MOD(COUNTIFS($C$2:$C401,"WB")-1,81)/9))&amp;(MOD(COUNTIFS($C$2:$C401,"WB")-1,9)+1),"N/A"),"")</f>
        <v/>
      </c>
      <c r="L401" s="2" t="str">
        <f t="shared" si="109"/>
        <v/>
      </c>
      <c r="M401" s="2"/>
      <c r="N401" s="2"/>
      <c r="O401" s="2"/>
      <c r="P401" s="7" t="str">
        <f t="shared" si="110"/>
        <v/>
      </c>
      <c r="Q401" s="7" t="str">
        <f t="shared" si="111"/>
        <v/>
      </c>
      <c r="R401" s="7" t="str">
        <f t="shared" si="112"/>
        <v/>
      </c>
      <c r="S401" s="7" t="str">
        <f t="shared" si="113"/>
        <v/>
      </c>
      <c r="T401" s="7" t="str">
        <f t="shared" si="114"/>
        <v/>
      </c>
      <c r="U401" s="7" t="str">
        <f t="shared" si="115"/>
        <v/>
      </c>
      <c r="V401" s="7" t="str">
        <f t="shared" si="116"/>
        <v/>
      </c>
      <c r="W401" s="7" t="str">
        <f t="shared" si="117"/>
        <v/>
      </c>
      <c r="X401" s="7" t="str">
        <f t="shared" si="118"/>
        <v/>
      </c>
      <c r="Y401" s="7" t="str">
        <f t="shared" si="119"/>
        <v/>
      </c>
      <c r="Z401">
        <f t="shared" si="120"/>
        <v>0</v>
      </c>
      <c r="AA401" t="str">
        <f t="shared" si="121"/>
        <v/>
      </c>
      <c r="AB401" t="str">
        <f t="shared" si="122"/>
        <v/>
      </c>
      <c r="AC401" t="str">
        <f t="shared" si="123"/>
        <v/>
      </c>
      <c r="AD401" t="str">
        <f t="shared" si="124"/>
        <v/>
      </c>
      <c r="AE401">
        <f t="shared" si="125"/>
        <v>0</v>
      </c>
    </row>
    <row r="402" spans="1:31" ht="15" customHeight="1" x14ac:dyDescent="0.35">
      <c r="A402" s="2"/>
      <c r="B402" s="3"/>
      <c r="C402" s="3"/>
      <c r="D402" s="4"/>
      <c r="E402" s="5"/>
      <c r="F402" s="11" t="str">
        <f t="shared" ca="1" si="108"/>
        <v/>
      </c>
      <c r="G402" s="5"/>
      <c r="H402" s="6" t="str">
        <f>IF(AND($A402&lt;&gt;"",$B402&lt;&gt;"",$C402&lt;&gt;"",$D402&lt;&gt;"",$E402&lt;&gt;""),IF(AND($B402="s",OR($C402="SER",$C402="PLH",$C402="CSF")),"Case CDI Plate "&amp;(INT(((COUNTIFS($B$2:$B402,"s",$C$2:$C402,"SER")+COUNTIFS($B$2:$B402,"s",$C$2:$C402,"PLH")+COUNTIFS($B$2:$B402,"s",$C$2:$C402,"CSF"))-1)/96)+1)&amp;": "&amp;CHAR(65+INT(MOD((COUNTIFS($B$2:$B402,"s",$C$2:$C402,"SER")+COUNTIFS($B$2:$B402,"s",$C$2:$C402,"PLH")+COUNTIFS($B$2:$B402,"s",$C$2:$C402,"CSF"))-1,96)/12))&amp;(MOD((COUNTIFS($B$2:$B402,"s",$C$2:$C402,"SER")+COUNTIFS($B$2:$B402,"s",$C$2:$C402,"PLH")+COUNTIFS($B$2:$B402,"s",$C$2:$C402,"CSF"))-1,12)+1),"N/A"),"")</f>
        <v/>
      </c>
      <c r="I402" s="6" t="str">
        <f>IF(AND($A402&lt;&gt;"",$B402&lt;&gt;"",$C402&lt;&gt;"",$D402&lt;&gt;"",$E402&lt;&gt;""),IF(AND($B402="s",OR($C402="SER",$C402="PLH",$C402="CSF")),"Case NIH Plate "&amp;(INT(((COUNTIFS($B$2:$B402,"s",$C$2:$C402,"SER")+COUNTIFS($B$2:$B402,"s",$C$2:$C402,"PLH")+COUNTIFS($B$2:$B402,"s",$C$2:$C402,"CSF"))-1)/96)+1)&amp;": "&amp;CHAR(65+INT(MOD((COUNTIFS($B$2:$B402,"s",$C$2:$C402,"SER")+COUNTIFS($B$2:$B402,"s",$C$2:$C402,"PLH")+COUNTIFS($B$2:$B402,"s",$C$2:$C402,"CSF"))-1,96)/12))&amp;(MOD((COUNTIFS($B$2:$B402,"s",$C$2:$C402,"SER")+COUNTIFS($B$2:$B402,"s",$C$2:$C402,"PLH")+COUNTIFS($B$2:$B402,"s",$C$2:$C402,"CSF"))-1,12)+1),"N/A"),"")</f>
        <v/>
      </c>
      <c r="J402" s="6" t="str">
        <f>IF(AND($A402&lt;&gt;"",$B402&lt;&gt;"",$C402&lt;&gt;"",$D402&lt;&gt;"",$E402&lt;&gt;""),IF(AND($B402="s",OR($C402="SER",$C402="PLH")),"Case MAX Planck Plate "&amp;(INT(((COUNTIFS($B$2:$B402,"s",$C$2:$C402,"SER")+COUNTIFS($B$2:$B402,"s",$C$2:$C402,"PLH"))-1)/96)+1)&amp;": "&amp;CHAR(65+INT(MOD((COUNTIFS($B$2:$B402,"s",$C$2:$C402,"SER")+COUNTIFS($B$2:$B402,"s",$C$2:$C402,"PLH"))-1,96)/12))&amp;(MOD((COUNTIFS($B$2:$B402,"s",$C$2:$C402,"SER")+COUNTIFS($B$2:$B402,"s",$C$2:$C402,"PLH"))-1,12)+1),"N/A"),"")</f>
        <v/>
      </c>
      <c r="K402" s="6" t="str">
        <f>IF(AND($A402&lt;&gt;"",$B402&lt;&gt;"",$C402&lt;&gt;"",$D402&lt;&gt;"",$E402&lt;&gt;""),IF($C402="WB","Case WB Box "&amp;(INT((COUNTIFS($C$2:$C402,"WB")-1)/81)+1)&amp;": "&amp;CHAR(65+INT(MOD(COUNTIFS($C$2:$C402,"WB")-1,81)/9))&amp;(MOD(COUNTIFS($C$2:$C402,"WB")-1,9)+1),"N/A"),"")</f>
        <v/>
      </c>
      <c r="L402" s="2" t="str">
        <f t="shared" si="109"/>
        <v/>
      </c>
      <c r="M402" s="2"/>
      <c r="N402" s="2"/>
      <c r="O402" s="2"/>
      <c r="P402" s="7" t="str">
        <f t="shared" si="110"/>
        <v/>
      </c>
      <c r="Q402" s="7" t="str">
        <f t="shared" si="111"/>
        <v/>
      </c>
      <c r="R402" s="7" t="str">
        <f t="shared" si="112"/>
        <v/>
      </c>
      <c r="S402" s="7" t="str">
        <f t="shared" si="113"/>
        <v/>
      </c>
      <c r="T402" s="7" t="str">
        <f t="shared" si="114"/>
        <v/>
      </c>
      <c r="U402" s="7" t="str">
        <f t="shared" si="115"/>
        <v/>
      </c>
      <c r="V402" s="7" t="str">
        <f t="shared" si="116"/>
        <v/>
      </c>
      <c r="W402" s="7" t="str">
        <f t="shared" si="117"/>
        <v/>
      </c>
      <c r="X402" s="7" t="str">
        <f t="shared" si="118"/>
        <v/>
      </c>
      <c r="Y402" s="7" t="str">
        <f t="shared" si="119"/>
        <v/>
      </c>
      <c r="Z402">
        <f t="shared" si="120"/>
        <v>0</v>
      </c>
      <c r="AA402" t="str">
        <f t="shared" si="121"/>
        <v/>
      </c>
      <c r="AB402" t="str">
        <f t="shared" si="122"/>
        <v/>
      </c>
      <c r="AC402" t="str">
        <f t="shared" si="123"/>
        <v/>
      </c>
      <c r="AD402" t="str">
        <f t="shared" si="124"/>
        <v/>
      </c>
      <c r="AE402">
        <f t="shared" si="125"/>
        <v>0</v>
      </c>
    </row>
    <row r="403" spans="1:31" ht="15" customHeight="1" x14ac:dyDescent="0.35">
      <c r="A403" s="2"/>
      <c r="B403" s="3"/>
      <c r="C403" s="3"/>
      <c r="D403" s="4"/>
      <c r="E403" s="5"/>
      <c r="F403" s="11" t="str">
        <f t="shared" ca="1" si="108"/>
        <v/>
      </c>
      <c r="G403" s="5"/>
      <c r="H403" s="6" t="str">
        <f>IF(AND($A403&lt;&gt;"",$B403&lt;&gt;"",$C403&lt;&gt;"",$D403&lt;&gt;"",$E403&lt;&gt;""),IF(AND($B403="s",OR($C403="SER",$C403="PLH",$C403="CSF")),"Case CDI Plate "&amp;(INT(((COUNTIFS($B$2:$B403,"s",$C$2:$C403,"SER")+COUNTIFS($B$2:$B403,"s",$C$2:$C403,"PLH")+COUNTIFS($B$2:$B403,"s",$C$2:$C403,"CSF"))-1)/96)+1)&amp;": "&amp;CHAR(65+INT(MOD((COUNTIFS($B$2:$B403,"s",$C$2:$C403,"SER")+COUNTIFS($B$2:$B403,"s",$C$2:$C403,"PLH")+COUNTIFS($B$2:$B403,"s",$C$2:$C403,"CSF"))-1,96)/12))&amp;(MOD((COUNTIFS($B$2:$B403,"s",$C$2:$C403,"SER")+COUNTIFS($B$2:$B403,"s",$C$2:$C403,"PLH")+COUNTIFS($B$2:$B403,"s",$C$2:$C403,"CSF"))-1,12)+1),"N/A"),"")</f>
        <v/>
      </c>
      <c r="I403" s="6" t="str">
        <f>IF(AND($A403&lt;&gt;"",$B403&lt;&gt;"",$C403&lt;&gt;"",$D403&lt;&gt;"",$E403&lt;&gt;""),IF(AND($B403="s",OR($C403="SER",$C403="PLH",$C403="CSF")),"Case NIH Plate "&amp;(INT(((COUNTIFS($B$2:$B403,"s",$C$2:$C403,"SER")+COUNTIFS($B$2:$B403,"s",$C$2:$C403,"PLH")+COUNTIFS($B$2:$B403,"s",$C$2:$C403,"CSF"))-1)/96)+1)&amp;": "&amp;CHAR(65+INT(MOD((COUNTIFS($B$2:$B403,"s",$C$2:$C403,"SER")+COUNTIFS($B$2:$B403,"s",$C$2:$C403,"PLH")+COUNTIFS($B$2:$B403,"s",$C$2:$C403,"CSF"))-1,96)/12))&amp;(MOD((COUNTIFS($B$2:$B403,"s",$C$2:$C403,"SER")+COUNTIFS($B$2:$B403,"s",$C$2:$C403,"PLH")+COUNTIFS($B$2:$B403,"s",$C$2:$C403,"CSF"))-1,12)+1),"N/A"),"")</f>
        <v/>
      </c>
      <c r="J403" s="6" t="str">
        <f>IF(AND($A403&lt;&gt;"",$B403&lt;&gt;"",$C403&lt;&gt;"",$D403&lt;&gt;"",$E403&lt;&gt;""),IF(AND($B403="s",OR($C403="SER",$C403="PLH")),"Case MAX Planck Plate "&amp;(INT(((COUNTIFS($B$2:$B403,"s",$C$2:$C403,"SER")+COUNTIFS($B$2:$B403,"s",$C$2:$C403,"PLH"))-1)/96)+1)&amp;": "&amp;CHAR(65+INT(MOD((COUNTIFS($B$2:$B403,"s",$C$2:$C403,"SER")+COUNTIFS($B$2:$B403,"s",$C$2:$C403,"PLH"))-1,96)/12))&amp;(MOD((COUNTIFS($B$2:$B403,"s",$C$2:$C403,"SER")+COUNTIFS($B$2:$B403,"s",$C$2:$C403,"PLH"))-1,12)+1),"N/A"),"")</f>
        <v/>
      </c>
      <c r="K403" s="6" t="str">
        <f>IF(AND($A403&lt;&gt;"",$B403&lt;&gt;"",$C403&lt;&gt;"",$D403&lt;&gt;"",$E403&lt;&gt;""),IF($C403="WB","Case WB Box "&amp;(INT((COUNTIFS($C$2:$C403,"WB")-1)/81)+1)&amp;": "&amp;CHAR(65+INT(MOD(COUNTIFS($C$2:$C403,"WB")-1,81)/9))&amp;(MOD(COUNTIFS($C$2:$C403,"WB")-1,9)+1),"N/A"),"")</f>
        <v/>
      </c>
      <c r="L403" s="2" t="str">
        <f t="shared" si="109"/>
        <v/>
      </c>
      <c r="M403" s="2"/>
      <c r="N403" s="2"/>
      <c r="O403" s="2"/>
      <c r="P403" s="7" t="str">
        <f t="shared" si="110"/>
        <v/>
      </c>
      <c r="Q403" s="7" t="str">
        <f t="shared" si="111"/>
        <v/>
      </c>
      <c r="R403" s="7" t="str">
        <f t="shared" si="112"/>
        <v/>
      </c>
      <c r="S403" s="7" t="str">
        <f t="shared" si="113"/>
        <v/>
      </c>
      <c r="T403" s="7" t="str">
        <f t="shared" si="114"/>
        <v/>
      </c>
      <c r="U403" s="7" t="str">
        <f t="shared" si="115"/>
        <v/>
      </c>
      <c r="V403" s="7" t="str">
        <f t="shared" si="116"/>
        <v/>
      </c>
      <c r="W403" s="7" t="str">
        <f t="shared" si="117"/>
        <v/>
      </c>
      <c r="X403" s="7" t="str">
        <f t="shared" si="118"/>
        <v/>
      </c>
      <c r="Y403" s="7" t="str">
        <f t="shared" si="119"/>
        <v/>
      </c>
      <c r="Z403">
        <f t="shared" si="120"/>
        <v>0</v>
      </c>
      <c r="AA403" t="str">
        <f t="shared" si="121"/>
        <v/>
      </c>
      <c r="AB403" t="str">
        <f t="shared" si="122"/>
        <v/>
      </c>
      <c r="AC403" t="str">
        <f t="shared" si="123"/>
        <v/>
      </c>
      <c r="AD403" t="str">
        <f t="shared" si="124"/>
        <v/>
      </c>
      <c r="AE403">
        <f t="shared" si="125"/>
        <v>0</v>
      </c>
    </row>
    <row r="404" spans="1:31" ht="15" customHeight="1" x14ac:dyDescent="0.35">
      <c r="A404" s="2"/>
      <c r="B404" s="3"/>
      <c r="C404" s="3"/>
      <c r="D404" s="4"/>
      <c r="E404" s="5"/>
      <c r="F404" s="11" t="str">
        <f t="shared" ca="1" si="108"/>
        <v/>
      </c>
      <c r="G404" s="5"/>
      <c r="H404" s="6" t="str">
        <f>IF(AND($A404&lt;&gt;"",$B404&lt;&gt;"",$C404&lt;&gt;"",$D404&lt;&gt;"",$E404&lt;&gt;""),IF(AND($B404="s",OR($C404="SER",$C404="PLH",$C404="CSF")),"Case CDI Plate "&amp;(INT(((COUNTIFS($B$2:$B404,"s",$C$2:$C404,"SER")+COUNTIFS($B$2:$B404,"s",$C$2:$C404,"PLH")+COUNTIFS($B$2:$B404,"s",$C$2:$C404,"CSF"))-1)/96)+1)&amp;": "&amp;CHAR(65+INT(MOD((COUNTIFS($B$2:$B404,"s",$C$2:$C404,"SER")+COUNTIFS($B$2:$B404,"s",$C$2:$C404,"PLH")+COUNTIFS($B$2:$B404,"s",$C$2:$C404,"CSF"))-1,96)/12))&amp;(MOD((COUNTIFS($B$2:$B404,"s",$C$2:$C404,"SER")+COUNTIFS($B$2:$B404,"s",$C$2:$C404,"PLH")+COUNTIFS($B$2:$B404,"s",$C$2:$C404,"CSF"))-1,12)+1),"N/A"),"")</f>
        <v/>
      </c>
      <c r="I404" s="6" t="str">
        <f>IF(AND($A404&lt;&gt;"",$B404&lt;&gt;"",$C404&lt;&gt;"",$D404&lt;&gt;"",$E404&lt;&gt;""),IF(AND($B404="s",OR($C404="SER",$C404="PLH",$C404="CSF")),"Case NIH Plate "&amp;(INT(((COUNTIFS($B$2:$B404,"s",$C$2:$C404,"SER")+COUNTIFS($B$2:$B404,"s",$C$2:$C404,"PLH")+COUNTIFS($B$2:$B404,"s",$C$2:$C404,"CSF"))-1)/96)+1)&amp;": "&amp;CHAR(65+INT(MOD((COUNTIFS($B$2:$B404,"s",$C$2:$C404,"SER")+COUNTIFS($B$2:$B404,"s",$C$2:$C404,"PLH")+COUNTIFS($B$2:$B404,"s",$C$2:$C404,"CSF"))-1,96)/12))&amp;(MOD((COUNTIFS($B$2:$B404,"s",$C$2:$C404,"SER")+COUNTIFS($B$2:$B404,"s",$C$2:$C404,"PLH")+COUNTIFS($B$2:$B404,"s",$C$2:$C404,"CSF"))-1,12)+1),"N/A"),"")</f>
        <v/>
      </c>
      <c r="J404" s="6" t="str">
        <f>IF(AND($A404&lt;&gt;"",$B404&lt;&gt;"",$C404&lt;&gt;"",$D404&lt;&gt;"",$E404&lt;&gt;""),IF(AND($B404="s",OR($C404="SER",$C404="PLH")),"Case MAX Planck Plate "&amp;(INT(((COUNTIFS($B$2:$B404,"s",$C$2:$C404,"SER")+COUNTIFS($B$2:$B404,"s",$C$2:$C404,"PLH"))-1)/96)+1)&amp;": "&amp;CHAR(65+INT(MOD((COUNTIFS($B$2:$B404,"s",$C$2:$C404,"SER")+COUNTIFS($B$2:$B404,"s",$C$2:$C404,"PLH"))-1,96)/12))&amp;(MOD((COUNTIFS($B$2:$B404,"s",$C$2:$C404,"SER")+COUNTIFS($B$2:$B404,"s",$C$2:$C404,"PLH"))-1,12)+1),"N/A"),"")</f>
        <v/>
      </c>
      <c r="K404" s="6" t="str">
        <f>IF(AND($A404&lt;&gt;"",$B404&lt;&gt;"",$C404&lt;&gt;"",$D404&lt;&gt;"",$E404&lt;&gt;""),IF($C404="WB","Case WB Box "&amp;(INT((COUNTIFS($C$2:$C404,"WB")-1)/81)+1)&amp;": "&amp;CHAR(65+INT(MOD(COUNTIFS($C$2:$C404,"WB")-1,81)/9))&amp;(MOD(COUNTIFS($C$2:$C404,"WB")-1,9)+1),"N/A"),"")</f>
        <v/>
      </c>
      <c r="L404" s="2" t="str">
        <f t="shared" si="109"/>
        <v/>
      </c>
      <c r="M404" s="2"/>
      <c r="N404" s="2"/>
      <c r="O404" s="2"/>
      <c r="P404" s="7" t="str">
        <f t="shared" si="110"/>
        <v/>
      </c>
      <c r="Q404" s="7" t="str">
        <f t="shared" si="111"/>
        <v/>
      </c>
      <c r="R404" s="7" t="str">
        <f t="shared" si="112"/>
        <v/>
      </c>
      <c r="S404" s="7" t="str">
        <f t="shared" si="113"/>
        <v/>
      </c>
      <c r="T404" s="7" t="str">
        <f t="shared" si="114"/>
        <v/>
      </c>
      <c r="U404" s="7" t="str">
        <f t="shared" si="115"/>
        <v/>
      </c>
      <c r="V404" s="7" t="str">
        <f t="shared" si="116"/>
        <v/>
      </c>
      <c r="W404" s="7" t="str">
        <f t="shared" si="117"/>
        <v/>
      </c>
      <c r="X404" s="7" t="str">
        <f t="shared" si="118"/>
        <v/>
      </c>
      <c r="Y404" s="7" t="str">
        <f t="shared" si="119"/>
        <v/>
      </c>
      <c r="Z404">
        <f t="shared" si="120"/>
        <v>0</v>
      </c>
      <c r="AA404" t="str">
        <f t="shared" si="121"/>
        <v/>
      </c>
      <c r="AB404" t="str">
        <f t="shared" si="122"/>
        <v/>
      </c>
      <c r="AC404" t="str">
        <f t="shared" si="123"/>
        <v/>
      </c>
      <c r="AD404" t="str">
        <f t="shared" si="124"/>
        <v/>
      </c>
      <c r="AE404">
        <f t="shared" si="125"/>
        <v>0</v>
      </c>
    </row>
    <row r="405" spans="1:31" ht="15" customHeight="1" x14ac:dyDescent="0.35">
      <c r="A405" s="2"/>
      <c r="B405" s="3"/>
      <c r="C405" s="3"/>
      <c r="D405" s="4"/>
      <c r="E405" s="5"/>
      <c r="F405" s="11" t="str">
        <f t="shared" ca="1" si="108"/>
        <v/>
      </c>
      <c r="G405" s="5"/>
      <c r="H405" s="6" t="str">
        <f>IF(AND($A405&lt;&gt;"",$B405&lt;&gt;"",$C405&lt;&gt;"",$D405&lt;&gt;"",$E405&lt;&gt;""),IF(AND($B405="s",OR($C405="SER",$C405="PLH",$C405="CSF")),"Case CDI Plate "&amp;(INT(((COUNTIFS($B$2:$B405,"s",$C$2:$C405,"SER")+COUNTIFS($B$2:$B405,"s",$C$2:$C405,"PLH")+COUNTIFS($B$2:$B405,"s",$C$2:$C405,"CSF"))-1)/96)+1)&amp;": "&amp;CHAR(65+INT(MOD((COUNTIFS($B$2:$B405,"s",$C$2:$C405,"SER")+COUNTIFS($B$2:$B405,"s",$C$2:$C405,"PLH")+COUNTIFS($B$2:$B405,"s",$C$2:$C405,"CSF"))-1,96)/12))&amp;(MOD((COUNTIFS($B$2:$B405,"s",$C$2:$C405,"SER")+COUNTIFS($B$2:$B405,"s",$C$2:$C405,"PLH")+COUNTIFS($B$2:$B405,"s",$C$2:$C405,"CSF"))-1,12)+1),"N/A"),"")</f>
        <v/>
      </c>
      <c r="I405" s="6" t="str">
        <f>IF(AND($A405&lt;&gt;"",$B405&lt;&gt;"",$C405&lt;&gt;"",$D405&lt;&gt;"",$E405&lt;&gt;""),IF(AND($B405="s",OR($C405="SER",$C405="PLH",$C405="CSF")),"Case NIH Plate "&amp;(INT(((COUNTIFS($B$2:$B405,"s",$C$2:$C405,"SER")+COUNTIFS($B$2:$B405,"s",$C$2:$C405,"PLH")+COUNTIFS($B$2:$B405,"s",$C$2:$C405,"CSF"))-1)/96)+1)&amp;": "&amp;CHAR(65+INT(MOD((COUNTIFS($B$2:$B405,"s",$C$2:$C405,"SER")+COUNTIFS($B$2:$B405,"s",$C$2:$C405,"PLH")+COUNTIFS($B$2:$B405,"s",$C$2:$C405,"CSF"))-1,96)/12))&amp;(MOD((COUNTIFS($B$2:$B405,"s",$C$2:$C405,"SER")+COUNTIFS($B$2:$B405,"s",$C$2:$C405,"PLH")+COUNTIFS($B$2:$B405,"s",$C$2:$C405,"CSF"))-1,12)+1),"N/A"),"")</f>
        <v/>
      </c>
      <c r="J405" s="6" t="str">
        <f>IF(AND($A405&lt;&gt;"",$B405&lt;&gt;"",$C405&lt;&gt;"",$D405&lt;&gt;"",$E405&lt;&gt;""),IF(AND($B405="s",OR($C405="SER",$C405="PLH")),"Case MAX Planck Plate "&amp;(INT(((COUNTIFS($B$2:$B405,"s",$C$2:$C405,"SER")+COUNTIFS($B$2:$B405,"s",$C$2:$C405,"PLH"))-1)/96)+1)&amp;": "&amp;CHAR(65+INT(MOD((COUNTIFS($B$2:$B405,"s",$C$2:$C405,"SER")+COUNTIFS($B$2:$B405,"s",$C$2:$C405,"PLH"))-1,96)/12))&amp;(MOD((COUNTIFS($B$2:$B405,"s",$C$2:$C405,"SER")+COUNTIFS($B$2:$B405,"s",$C$2:$C405,"PLH"))-1,12)+1),"N/A"),"")</f>
        <v/>
      </c>
      <c r="K405" s="6" t="str">
        <f>IF(AND($A405&lt;&gt;"",$B405&lt;&gt;"",$C405&lt;&gt;"",$D405&lt;&gt;"",$E405&lt;&gt;""),IF($C405="WB","Case WB Box "&amp;(INT((COUNTIFS($C$2:$C405,"WB")-1)/81)+1)&amp;": "&amp;CHAR(65+INT(MOD(COUNTIFS($C$2:$C405,"WB")-1,81)/9))&amp;(MOD(COUNTIFS($C$2:$C405,"WB")-1,9)+1),"N/A"),"")</f>
        <v/>
      </c>
      <c r="L405" s="2" t="str">
        <f t="shared" si="109"/>
        <v/>
      </c>
      <c r="M405" s="2"/>
      <c r="N405" s="2"/>
      <c r="O405" s="2"/>
      <c r="P405" s="7" t="str">
        <f t="shared" si="110"/>
        <v/>
      </c>
      <c r="Q405" s="7" t="str">
        <f t="shared" si="111"/>
        <v/>
      </c>
      <c r="R405" s="7" t="str">
        <f t="shared" si="112"/>
        <v/>
      </c>
      <c r="S405" s="7" t="str">
        <f t="shared" si="113"/>
        <v/>
      </c>
      <c r="T405" s="7" t="str">
        <f t="shared" si="114"/>
        <v/>
      </c>
      <c r="U405" s="7" t="str">
        <f t="shared" si="115"/>
        <v/>
      </c>
      <c r="V405" s="7" t="str">
        <f t="shared" si="116"/>
        <v/>
      </c>
      <c r="W405" s="7" t="str">
        <f t="shared" si="117"/>
        <v/>
      </c>
      <c r="X405" s="7" t="str">
        <f t="shared" si="118"/>
        <v/>
      </c>
      <c r="Y405" s="7" t="str">
        <f t="shared" si="119"/>
        <v/>
      </c>
      <c r="Z405">
        <f t="shared" si="120"/>
        <v>0</v>
      </c>
      <c r="AA405" t="str">
        <f t="shared" si="121"/>
        <v/>
      </c>
      <c r="AB405" t="str">
        <f t="shared" si="122"/>
        <v/>
      </c>
      <c r="AC405" t="str">
        <f t="shared" si="123"/>
        <v/>
      </c>
      <c r="AD405" t="str">
        <f t="shared" si="124"/>
        <v/>
      </c>
      <c r="AE405">
        <f t="shared" si="125"/>
        <v>0</v>
      </c>
    </row>
    <row r="406" spans="1:31" ht="15" customHeight="1" x14ac:dyDescent="0.35">
      <c r="A406" s="2"/>
      <c r="B406" s="3"/>
      <c r="C406" s="3"/>
      <c r="D406" s="4"/>
      <c r="E406" s="5"/>
      <c r="F406" s="11" t="str">
        <f t="shared" ca="1" si="108"/>
        <v/>
      </c>
      <c r="G406" s="5"/>
      <c r="H406" s="6" t="str">
        <f>IF(AND($A406&lt;&gt;"",$B406&lt;&gt;"",$C406&lt;&gt;"",$D406&lt;&gt;"",$E406&lt;&gt;""),IF(AND($B406="s",OR($C406="SER",$C406="PLH",$C406="CSF")),"Case CDI Plate "&amp;(INT(((COUNTIFS($B$2:$B406,"s",$C$2:$C406,"SER")+COUNTIFS($B$2:$B406,"s",$C$2:$C406,"PLH")+COUNTIFS($B$2:$B406,"s",$C$2:$C406,"CSF"))-1)/96)+1)&amp;": "&amp;CHAR(65+INT(MOD((COUNTIFS($B$2:$B406,"s",$C$2:$C406,"SER")+COUNTIFS($B$2:$B406,"s",$C$2:$C406,"PLH")+COUNTIFS($B$2:$B406,"s",$C$2:$C406,"CSF"))-1,96)/12))&amp;(MOD((COUNTIFS($B$2:$B406,"s",$C$2:$C406,"SER")+COUNTIFS($B$2:$B406,"s",$C$2:$C406,"PLH")+COUNTIFS($B$2:$B406,"s",$C$2:$C406,"CSF"))-1,12)+1),"N/A"),"")</f>
        <v/>
      </c>
      <c r="I406" s="6" t="str">
        <f>IF(AND($A406&lt;&gt;"",$B406&lt;&gt;"",$C406&lt;&gt;"",$D406&lt;&gt;"",$E406&lt;&gt;""),IF(AND($B406="s",OR($C406="SER",$C406="PLH",$C406="CSF")),"Case NIH Plate "&amp;(INT(((COUNTIFS($B$2:$B406,"s",$C$2:$C406,"SER")+COUNTIFS($B$2:$B406,"s",$C$2:$C406,"PLH")+COUNTIFS($B$2:$B406,"s",$C$2:$C406,"CSF"))-1)/96)+1)&amp;": "&amp;CHAR(65+INT(MOD((COUNTIFS($B$2:$B406,"s",$C$2:$C406,"SER")+COUNTIFS($B$2:$B406,"s",$C$2:$C406,"PLH")+COUNTIFS($B$2:$B406,"s",$C$2:$C406,"CSF"))-1,96)/12))&amp;(MOD((COUNTIFS($B$2:$B406,"s",$C$2:$C406,"SER")+COUNTIFS($B$2:$B406,"s",$C$2:$C406,"PLH")+COUNTIFS($B$2:$B406,"s",$C$2:$C406,"CSF"))-1,12)+1),"N/A"),"")</f>
        <v/>
      </c>
      <c r="J406" s="6" t="str">
        <f>IF(AND($A406&lt;&gt;"",$B406&lt;&gt;"",$C406&lt;&gt;"",$D406&lt;&gt;"",$E406&lt;&gt;""),IF(AND($B406="s",OR($C406="SER",$C406="PLH")),"Case MAX Planck Plate "&amp;(INT(((COUNTIFS($B$2:$B406,"s",$C$2:$C406,"SER")+COUNTIFS($B$2:$B406,"s",$C$2:$C406,"PLH"))-1)/96)+1)&amp;": "&amp;CHAR(65+INT(MOD((COUNTIFS($B$2:$B406,"s",$C$2:$C406,"SER")+COUNTIFS($B$2:$B406,"s",$C$2:$C406,"PLH"))-1,96)/12))&amp;(MOD((COUNTIFS($B$2:$B406,"s",$C$2:$C406,"SER")+COUNTIFS($B$2:$B406,"s",$C$2:$C406,"PLH"))-1,12)+1),"N/A"),"")</f>
        <v/>
      </c>
      <c r="K406" s="6" t="str">
        <f>IF(AND($A406&lt;&gt;"",$B406&lt;&gt;"",$C406&lt;&gt;"",$D406&lt;&gt;"",$E406&lt;&gt;""),IF($C406="WB","Case WB Box "&amp;(INT((COUNTIFS($C$2:$C406,"WB")-1)/81)+1)&amp;": "&amp;CHAR(65+INT(MOD(COUNTIFS($C$2:$C406,"WB")-1,81)/9))&amp;(MOD(COUNTIFS($C$2:$C406,"WB")-1,9)+1),"N/A"),"")</f>
        <v/>
      </c>
      <c r="L406" s="2" t="str">
        <f t="shared" si="109"/>
        <v/>
      </c>
      <c r="M406" s="2"/>
      <c r="N406" s="2"/>
      <c r="O406" s="2"/>
      <c r="P406" s="7" t="str">
        <f t="shared" si="110"/>
        <v/>
      </c>
      <c r="Q406" s="7" t="str">
        <f t="shared" si="111"/>
        <v/>
      </c>
      <c r="R406" s="7" t="str">
        <f t="shared" si="112"/>
        <v/>
      </c>
      <c r="S406" s="7" t="str">
        <f t="shared" si="113"/>
        <v/>
      </c>
      <c r="T406" s="7" t="str">
        <f t="shared" si="114"/>
        <v/>
      </c>
      <c r="U406" s="7" t="str">
        <f t="shared" si="115"/>
        <v/>
      </c>
      <c r="V406" s="7" t="str">
        <f t="shared" si="116"/>
        <v/>
      </c>
      <c r="W406" s="7" t="str">
        <f t="shared" si="117"/>
        <v/>
      </c>
      <c r="X406" s="7" t="str">
        <f t="shared" si="118"/>
        <v/>
      </c>
      <c r="Y406" s="7" t="str">
        <f t="shared" si="119"/>
        <v/>
      </c>
      <c r="Z406">
        <f t="shared" si="120"/>
        <v>0</v>
      </c>
      <c r="AA406" t="str">
        <f t="shared" si="121"/>
        <v/>
      </c>
      <c r="AB406" t="str">
        <f t="shared" si="122"/>
        <v/>
      </c>
      <c r="AC406" t="str">
        <f t="shared" si="123"/>
        <v/>
      </c>
      <c r="AD406" t="str">
        <f t="shared" si="124"/>
        <v/>
      </c>
      <c r="AE406">
        <f t="shared" si="125"/>
        <v>0</v>
      </c>
    </row>
    <row r="407" spans="1:31" ht="15" customHeight="1" x14ac:dyDescent="0.35">
      <c r="A407" s="2"/>
      <c r="B407" s="3"/>
      <c r="C407" s="3"/>
      <c r="D407" s="4"/>
      <c r="E407" s="5"/>
      <c r="F407" s="11" t="str">
        <f t="shared" ca="1" si="108"/>
        <v/>
      </c>
      <c r="G407" s="5"/>
      <c r="H407" s="6" t="str">
        <f>IF(AND($A407&lt;&gt;"",$B407&lt;&gt;"",$C407&lt;&gt;"",$D407&lt;&gt;"",$E407&lt;&gt;""),IF(AND($B407="s",OR($C407="SER",$C407="PLH",$C407="CSF")),"Case CDI Plate "&amp;(INT(((COUNTIFS($B$2:$B407,"s",$C$2:$C407,"SER")+COUNTIFS($B$2:$B407,"s",$C$2:$C407,"PLH")+COUNTIFS($B$2:$B407,"s",$C$2:$C407,"CSF"))-1)/96)+1)&amp;": "&amp;CHAR(65+INT(MOD((COUNTIFS($B$2:$B407,"s",$C$2:$C407,"SER")+COUNTIFS($B$2:$B407,"s",$C$2:$C407,"PLH")+COUNTIFS($B$2:$B407,"s",$C$2:$C407,"CSF"))-1,96)/12))&amp;(MOD((COUNTIFS($B$2:$B407,"s",$C$2:$C407,"SER")+COUNTIFS($B$2:$B407,"s",$C$2:$C407,"PLH")+COUNTIFS($B$2:$B407,"s",$C$2:$C407,"CSF"))-1,12)+1),"N/A"),"")</f>
        <v/>
      </c>
      <c r="I407" s="6" t="str">
        <f>IF(AND($A407&lt;&gt;"",$B407&lt;&gt;"",$C407&lt;&gt;"",$D407&lt;&gt;"",$E407&lt;&gt;""),IF(AND($B407="s",OR($C407="SER",$C407="PLH",$C407="CSF")),"Case NIH Plate "&amp;(INT(((COUNTIFS($B$2:$B407,"s",$C$2:$C407,"SER")+COUNTIFS($B$2:$B407,"s",$C$2:$C407,"PLH")+COUNTIFS($B$2:$B407,"s",$C$2:$C407,"CSF"))-1)/96)+1)&amp;": "&amp;CHAR(65+INT(MOD((COUNTIFS($B$2:$B407,"s",$C$2:$C407,"SER")+COUNTIFS($B$2:$B407,"s",$C$2:$C407,"PLH")+COUNTIFS($B$2:$B407,"s",$C$2:$C407,"CSF"))-1,96)/12))&amp;(MOD((COUNTIFS($B$2:$B407,"s",$C$2:$C407,"SER")+COUNTIFS($B$2:$B407,"s",$C$2:$C407,"PLH")+COUNTIFS($B$2:$B407,"s",$C$2:$C407,"CSF"))-1,12)+1),"N/A"),"")</f>
        <v/>
      </c>
      <c r="J407" s="6" t="str">
        <f>IF(AND($A407&lt;&gt;"",$B407&lt;&gt;"",$C407&lt;&gt;"",$D407&lt;&gt;"",$E407&lt;&gt;""),IF(AND($B407="s",OR($C407="SER",$C407="PLH")),"Case MAX Planck Plate "&amp;(INT(((COUNTIFS($B$2:$B407,"s",$C$2:$C407,"SER")+COUNTIFS($B$2:$B407,"s",$C$2:$C407,"PLH"))-1)/96)+1)&amp;": "&amp;CHAR(65+INT(MOD((COUNTIFS($B$2:$B407,"s",$C$2:$C407,"SER")+COUNTIFS($B$2:$B407,"s",$C$2:$C407,"PLH"))-1,96)/12))&amp;(MOD((COUNTIFS($B$2:$B407,"s",$C$2:$C407,"SER")+COUNTIFS($B$2:$B407,"s",$C$2:$C407,"PLH"))-1,12)+1),"N/A"),"")</f>
        <v/>
      </c>
      <c r="K407" s="6" t="str">
        <f>IF(AND($A407&lt;&gt;"",$B407&lt;&gt;"",$C407&lt;&gt;"",$D407&lt;&gt;"",$E407&lt;&gt;""),IF($C407="WB","Case WB Box "&amp;(INT((COUNTIFS($C$2:$C407,"WB")-1)/81)+1)&amp;": "&amp;CHAR(65+INT(MOD(COUNTIFS($C$2:$C407,"WB")-1,81)/9))&amp;(MOD(COUNTIFS($C$2:$C407,"WB")-1,9)+1),"N/A"),"")</f>
        <v/>
      </c>
      <c r="L407" s="2" t="str">
        <f t="shared" si="109"/>
        <v/>
      </c>
      <c r="M407" s="2"/>
      <c r="N407" s="2"/>
      <c r="O407" s="2"/>
      <c r="P407" s="7" t="str">
        <f t="shared" si="110"/>
        <v/>
      </c>
      <c r="Q407" s="7" t="str">
        <f t="shared" si="111"/>
        <v/>
      </c>
      <c r="R407" s="7" t="str">
        <f t="shared" si="112"/>
        <v/>
      </c>
      <c r="S407" s="7" t="str">
        <f t="shared" si="113"/>
        <v/>
      </c>
      <c r="T407" s="7" t="str">
        <f t="shared" si="114"/>
        <v/>
      </c>
      <c r="U407" s="7" t="str">
        <f t="shared" si="115"/>
        <v/>
      </c>
      <c r="V407" s="7" t="str">
        <f t="shared" si="116"/>
        <v/>
      </c>
      <c r="W407" s="7" t="str">
        <f t="shared" si="117"/>
        <v/>
      </c>
      <c r="X407" s="7" t="str">
        <f t="shared" si="118"/>
        <v/>
      </c>
      <c r="Y407" s="7" t="str">
        <f t="shared" si="119"/>
        <v/>
      </c>
      <c r="Z407">
        <f t="shared" si="120"/>
        <v>0</v>
      </c>
      <c r="AA407" t="str">
        <f t="shared" si="121"/>
        <v/>
      </c>
      <c r="AB407" t="str">
        <f t="shared" si="122"/>
        <v/>
      </c>
      <c r="AC407" t="str">
        <f t="shared" si="123"/>
        <v/>
      </c>
      <c r="AD407" t="str">
        <f t="shared" si="124"/>
        <v/>
      </c>
      <c r="AE407">
        <f t="shared" si="125"/>
        <v>0</v>
      </c>
    </row>
    <row r="408" spans="1:31" ht="15" customHeight="1" x14ac:dyDescent="0.35">
      <c r="A408" s="2"/>
      <c r="B408" s="3"/>
      <c r="C408" s="3"/>
      <c r="D408" s="4"/>
      <c r="E408" s="5"/>
      <c r="F408" s="11" t="str">
        <f t="shared" ca="1" si="108"/>
        <v/>
      </c>
      <c r="G408" s="5"/>
      <c r="H408" s="6" t="str">
        <f>IF(AND($A408&lt;&gt;"",$B408&lt;&gt;"",$C408&lt;&gt;"",$D408&lt;&gt;"",$E408&lt;&gt;""),IF(AND($B408="s",OR($C408="SER",$C408="PLH",$C408="CSF")),"Case CDI Plate "&amp;(INT(((COUNTIFS($B$2:$B408,"s",$C$2:$C408,"SER")+COUNTIFS($B$2:$B408,"s",$C$2:$C408,"PLH")+COUNTIFS($B$2:$B408,"s",$C$2:$C408,"CSF"))-1)/96)+1)&amp;": "&amp;CHAR(65+INT(MOD((COUNTIFS($B$2:$B408,"s",$C$2:$C408,"SER")+COUNTIFS($B$2:$B408,"s",$C$2:$C408,"PLH")+COUNTIFS($B$2:$B408,"s",$C$2:$C408,"CSF"))-1,96)/12))&amp;(MOD((COUNTIFS($B$2:$B408,"s",$C$2:$C408,"SER")+COUNTIFS($B$2:$B408,"s",$C$2:$C408,"PLH")+COUNTIFS($B$2:$B408,"s",$C$2:$C408,"CSF"))-1,12)+1),"N/A"),"")</f>
        <v/>
      </c>
      <c r="I408" s="6" t="str">
        <f>IF(AND($A408&lt;&gt;"",$B408&lt;&gt;"",$C408&lt;&gt;"",$D408&lt;&gt;"",$E408&lt;&gt;""),IF(AND($B408="s",OR($C408="SER",$C408="PLH",$C408="CSF")),"Case NIH Plate "&amp;(INT(((COUNTIFS($B$2:$B408,"s",$C$2:$C408,"SER")+COUNTIFS($B$2:$B408,"s",$C$2:$C408,"PLH")+COUNTIFS($B$2:$B408,"s",$C$2:$C408,"CSF"))-1)/96)+1)&amp;": "&amp;CHAR(65+INT(MOD((COUNTIFS($B$2:$B408,"s",$C$2:$C408,"SER")+COUNTIFS($B$2:$B408,"s",$C$2:$C408,"PLH")+COUNTIFS($B$2:$B408,"s",$C$2:$C408,"CSF"))-1,96)/12))&amp;(MOD((COUNTIFS($B$2:$B408,"s",$C$2:$C408,"SER")+COUNTIFS($B$2:$B408,"s",$C$2:$C408,"PLH")+COUNTIFS($B$2:$B408,"s",$C$2:$C408,"CSF"))-1,12)+1),"N/A"),"")</f>
        <v/>
      </c>
      <c r="J408" s="6" t="str">
        <f>IF(AND($A408&lt;&gt;"",$B408&lt;&gt;"",$C408&lt;&gt;"",$D408&lt;&gt;"",$E408&lt;&gt;""),IF(AND($B408="s",OR($C408="SER",$C408="PLH")),"Case MAX Planck Plate "&amp;(INT(((COUNTIFS($B$2:$B408,"s",$C$2:$C408,"SER")+COUNTIFS($B$2:$B408,"s",$C$2:$C408,"PLH"))-1)/96)+1)&amp;": "&amp;CHAR(65+INT(MOD((COUNTIFS($B$2:$B408,"s",$C$2:$C408,"SER")+COUNTIFS($B$2:$B408,"s",$C$2:$C408,"PLH"))-1,96)/12))&amp;(MOD((COUNTIFS($B$2:$B408,"s",$C$2:$C408,"SER")+COUNTIFS($B$2:$B408,"s",$C$2:$C408,"PLH"))-1,12)+1),"N/A"),"")</f>
        <v/>
      </c>
      <c r="K408" s="6" t="str">
        <f>IF(AND($A408&lt;&gt;"",$B408&lt;&gt;"",$C408&lt;&gt;"",$D408&lt;&gt;"",$E408&lt;&gt;""),IF($C408="WB","Case WB Box "&amp;(INT((COUNTIFS($C$2:$C408,"WB")-1)/81)+1)&amp;": "&amp;CHAR(65+INT(MOD(COUNTIFS($C$2:$C408,"WB")-1,81)/9))&amp;(MOD(COUNTIFS($C$2:$C408,"WB")-1,9)+1),"N/A"),"")</f>
        <v/>
      </c>
      <c r="L408" s="2" t="str">
        <f t="shared" si="109"/>
        <v/>
      </c>
      <c r="M408" s="2"/>
      <c r="N408" s="2"/>
      <c r="O408" s="2"/>
      <c r="P408" s="7" t="str">
        <f t="shared" si="110"/>
        <v/>
      </c>
      <c r="Q408" s="7" t="str">
        <f t="shared" si="111"/>
        <v/>
      </c>
      <c r="R408" s="7" t="str">
        <f t="shared" si="112"/>
        <v/>
      </c>
      <c r="S408" s="7" t="str">
        <f t="shared" si="113"/>
        <v/>
      </c>
      <c r="T408" s="7" t="str">
        <f t="shared" si="114"/>
        <v/>
      </c>
      <c r="U408" s="7" t="str">
        <f t="shared" si="115"/>
        <v/>
      </c>
      <c r="V408" s="7" t="str">
        <f t="shared" si="116"/>
        <v/>
      </c>
      <c r="W408" s="7" t="str">
        <f t="shared" si="117"/>
        <v/>
      </c>
      <c r="X408" s="7" t="str">
        <f t="shared" si="118"/>
        <v/>
      </c>
      <c r="Y408" s="7" t="str">
        <f t="shared" si="119"/>
        <v/>
      </c>
      <c r="Z408">
        <f t="shared" si="120"/>
        <v>0</v>
      </c>
      <c r="AA408" t="str">
        <f t="shared" si="121"/>
        <v/>
      </c>
      <c r="AB408" t="str">
        <f t="shared" si="122"/>
        <v/>
      </c>
      <c r="AC408" t="str">
        <f t="shared" si="123"/>
        <v/>
      </c>
      <c r="AD408" t="str">
        <f t="shared" si="124"/>
        <v/>
      </c>
      <c r="AE408">
        <f t="shared" si="125"/>
        <v>0</v>
      </c>
    </row>
    <row r="409" spans="1:31" ht="15" customHeight="1" x14ac:dyDescent="0.35">
      <c r="A409" s="2"/>
      <c r="B409" s="3"/>
      <c r="C409" s="3"/>
      <c r="D409" s="4"/>
      <c r="E409" s="5"/>
      <c r="F409" s="11" t="str">
        <f t="shared" ca="1" si="108"/>
        <v/>
      </c>
      <c r="G409" s="5"/>
      <c r="H409" s="6" t="str">
        <f>IF(AND($A409&lt;&gt;"",$B409&lt;&gt;"",$C409&lt;&gt;"",$D409&lt;&gt;"",$E409&lt;&gt;""),IF(AND($B409="s",OR($C409="SER",$C409="PLH",$C409="CSF")),"Case CDI Plate "&amp;(INT(((COUNTIFS($B$2:$B409,"s",$C$2:$C409,"SER")+COUNTIFS($B$2:$B409,"s",$C$2:$C409,"PLH")+COUNTIFS($B$2:$B409,"s",$C$2:$C409,"CSF"))-1)/96)+1)&amp;": "&amp;CHAR(65+INT(MOD((COUNTIFS($B$2:$B409,"s",$C$2:$C409,"SER")+COUNTIFS($B$2:$B409,"s",$C$2:$C409,"PLH")+COUNTIFS($B$2:$B409,"s",$C$2:$C409,"CSF"))-1,96)/12))&amp;(MOD((COUNTIFS($B$2:$B409,"s",$C$2:$C409,"SER")+COUNTIFS($B$2:$B409,"s",$C$2:$C409,"PLH")+COUNTIFS($B$2:$B409,"s",$C$2:$C409,"CSF"))-1,12)+1),"N/A"),"")</f>
        <v/>
      </c>
      <c r="I409" s="6" t="str">
        <f>IF(AND($A409&lt;&gt;"",$B409&lt;&gt;"",$C409&lt;&gt;"",$D409&lt;&gt;"",$E409&lt;&gt;""),IF(AND($B409="s",OR($C409="SER",$C409="PLH",$C409="CSF")),"Case NIH Plate "&amp;(INT(((COUNTIFS($B$2:$B409,"s",$C$2:$C409,"SER")+COUNTIFS($B$2:$B409,"s",$C$2:$C409,"PLH")+COUNTIFS($B$2:$B409,"s",$C$2:$C409,"CSF"))-1)/96)+1)&amp;": "&amp;CHAR(65+INT(MOD((COUNTIFS($B$2:$B409,"s",$C$2:$C409,"SER")+COUNTIFS($B$2:$B409,"s",$C$2:$C409,"PLH")+COUNTIFS($B$2:$B409,"s",$C$2:$C409,"CSF"))-1,96)/12))&amp;(MOD((COUNTIFS($B$2:$B409,"s",$C$2:$C409,"SER")+COUNTIFS($B$2:$B409,"s",$C$2:$C409,"PLH")+COUNTIFS($B$2:$B409,"s",$C$2:$C409,"CSF"))-1,12)+1),"N/A"),"")</f>
        <v/>
      </c>
      <c r="J409" s="6" t="str">
        <f>IF(AND($A409&lt;&gt;"",$B409&lt;&gt;"",$C409&lt;&gt;"",$D409&lt;&gt;"",$E409&lt;&gt;""),IF(AND($B409="s",OR($C409="SER",$C409="PLH")),"Case MAX Planck Plate "&amp;(INT(((COUNTIFS($B$2:$B409,"s",$C$2:$C409,"SER")+COUNTIFS($B$2:$B409,"s",$C$2:$C409,"PLH"))-1)/96)+1)&amp;": "&amp;CHAR(65+INT(MOD((COUNTIFS($B$2:$B409,"s",$C$2:$C409,"SER")+COUNTIFS($B$2:$B409,"s",$C$2:$C409,"PLH"))-1,96)/12))&amp;(MOD((COUNTIFS($B$2:$B409,"s",$C$2:$C409,"SER")+COUNTIFS($B$2:$B409,"s",$C$2:$C409,"PLH"))-1,12)+1),"N/A"),"")</f>
        <v/>
      </c>
      <c r="K409" s="6" t="str">
        <f>IF(AND($A409&lt;&gt;"",$B409&lt;&gt;"",$C409&lt;&gt;"",$D409&lt;&gt;"",$E409&lt;&gt;""),IF($C409="WB","Case WB Box "&amp;(INT((COUNTIFS($C$2:$C409,"WB")-1)/81)+1)&amp;": "&amp;CHAR(65+INT(MOD(COUNTIFS($C$2:$C409,"WB")-1,81)/9))&amp;(MOD(COUNTIFS($C$2:$C409,"WB")-1,9)+1),"N/A"),"")</f>
        <v/>
      </c>
      <c r="L409" s="2" t="str">
        <f t="shared" si="109"/>
        <v/>
      </c>
      <c r="M409" s="2"/>
      <c r="N409" s="2"/>
      <c r="O409" s="2"/>
      <c r="P409" s="7" t="str">
        <f t="shared" si="110"/>
        <v/>
      </c>
      <c r="Q409" s="7" t="str">
        <f t="shared" si="111"/>
        <v/>
      </c>
      <c r="R409" s="7" t="str">
        <f t="shared" si="112"/>
        <v/>
      </c>
      <c r="S409" s="7" t="str">
        <f t="shared" si="113"/>
        <v/>
      </c>
      <c r="T409" s="7" t="str">
        <f t="shared" si="114"/>
        <v/>
      </c>
      <c r="U409" s="7" t="str">
        <f t="shared" si="115"/>
        <v/>
      </c>
      <c r="V409" s="7" t="str">
        <f t="shared" si="116"/>
        <v/>
      </c>
      <c r="W409" s="7" t="str">
        <f t="shared" si="117"/>
        <v/>
      </c>
      <c r="X409" s="7" t="str">
        <f t="shared" si="118"/>
        <v/>
      </c>
      <c r="Y409" s="7" t="str">
        <f t="shared" si="119"/>
        <v/>
      </c>
      <c r="Z409">
        <f t="shared" si="120"/>
        <v>0</v>
      </c>
      <c r="AA409" t="str">
        <f t="shared" si="121"/>
        <v/>
      </c>
      <c r="AB409" t="str">
        <f t="shared" si="122"/>
        <v/>
      </c>
      <c r="AC409" t="str">
        <f t="shared" si="123"/>
        <v/>
      </c>
      <c r="AD409" t="str">
        <f t="shared" si="124"/>
        <v/>
      </c>
      <c r="AE409">
        <f t="shared" si="125"/>
        <v>0</v>
      </c>
    </row>
    <row r="410" spans="1:31" ht="15" customHeight="1" x14ac:dyDescent="0.35">
      <c r="A410" s="2"/>
      <c r="B410" s="3"/>
      <c r="C410" s="3"/>
      <c r="D410" s="4"/>
      <c r="E410" s="5"/>
      <c r="F410" s="11" t="str">
        <f t="shared" ca="1" si="108"/>
        <v/>
      </c>
      <c r="G410" s="5"/>
      <c r="H410" s="6" t="str">
        <f>IF(AND($A410&lt;&gt;"",$B410&lt;&gt;"",$C410&lt;&gt;"",$D410&lt;&gt;"",$E410&lt;&gt;""),IF(AND($B410="s",OR($C410="SER",$C410="PLH",$C410="CSF")),"Case CDI Plate "&amp;(INT(((COUNTIFS($B$2:$B410,"s",$C$2:$C410,"SER")+COUNTIFS($B$2:$B410,"s",$C$2:$C410,"PLH")+COUNTIFS($B$2:$B410,"s",$C$2:$C410,"CSF"))-1)/96)+1)&amp;": "&amp;CHAR(65+INT(MOD((COUNTIFS($B$2:$B410,"s",$C$2:$C410,"SER")+COUNTIFS($B$2:$B410,"s",$C$2:$C410,"PLH")+COUNTIFS($B$2:$B410,"s",$C$2:$C410,"CSF"))-1,96)/12))&amp;(MOD((COUNTIFS($B$2:$B410,"s",$C$2:$C410,"SER")+COUNTIFS($B$2:$B410,"s",$C$2:$C410,"PLH")+COUNTIFS($B$2:$B410,"s",$C$2:$C410,"CSF"))-1,12)+1),"N/A"),"")</f>
        <v/>
      </c>
      <c r="I410" s="6" t="str">
        <f>IF(AND($A410&lt;&gt;"",$B410&lt;&gt;"",$C410&lt;&gt;"",$D410&lt;&gt;"",$E410&lt;&gt;""),IF(AND($B410="s",OR($C410="SER",$C410="PLH",$C410="CSF")),"Case NIH Plate "&amp;(INT(((COUNTIFS($B$2:$B410,"s",$C$2:$C410,"SER")+COUNTIFS($B$2:$B410,"s",$C$2:$C410,"PLH")+COUNTIFS($B$2:$B410,"s",$C$2:$C410,"CSF"))-1)/96)+1)&amp;": "&amp;CHAR(65+INT(MOD((COUNTIFS($B$2:$B410,"s",$C$2:$C410,"SER")+COUNTIFS($B$2:$B410,"s",$C$2:$C410,"PLH")+COUNTIFS($B$2:$B410,"s",$C$2:$C410,"CSF"))-1,96)/12))&amp;(MOD((COUNTIFS($B$2:$B410,"s",$C$2:$C410,"SER")+COUNTIFS($B$2:$B410,"s",$C$2:$C410,"PLH")+COUNTIFS($B$2:$B410,"s",$C$2:$C410,"CSF"))-1,12)+1),"N/A"),"")</f>
        <v/>
      </c>
      <c r="J410" s="6" t="str">
        <f>IF(AND($A410&lt;&gt;"",$B410&lt;&gt;"",$C410&lt;&gt;"",$D410&lt;&gt;"",$E410&lt;&gt;""),IF(AND($B410="s",OR($C410="SER",$C410="PLH")),"Case MAX Planck Plate "&amp;(INT(((COUNTIFS($B$2:$B410,"s",$C$2:$C410,"SER")+COUNTIFS($B$2:$B410,"s",$C$2:$C410,"PLH"))-1)/96)+1)&amp;": "&amp;CHAR(65+INT(MOD((COUNTIFS($B$2:$B410,"s",$C$2:$C410,"SER")+COUNTIFS($B$2:$B410,"s",$C$2:$C410,"PLH"))-1,96)/12))&amp;(MOD((COUNTIFS($B$2:$B410,"s",$C$2:$C410,"SER")+COUNTIFS($B$2:$B410,"s",$C$2:$C410,"PLH"))-1,12)+1),"N/A"),"")</f>
        <v/>
      </c>
      <c r="K410" s="6" t="str">
        <f>IF(AND($A410&lt;&gt;"",$B410&lt;&gt;"",$C410&lt;&gt;"",$D410&lt;&gt;"",$E410&lt;&gt;""),IF($C410="WB","Case WB Box "&amp;(INT((COUNTIFS($C$2:$C410,"WB")-1)/81)+1)&amp;": "&amp;CHAR(65+INT(MOD(COUNTIFS($C$2:$C410,"WB")-1,81)/9))&amp;(MOD(COUNTIFS($C$2:$C410,"WB")-1,9)+1),"N/A"),"")</f>
        <v/>
      </c>
      <c r="L410" s="2" t="str">
        <f t="shared" si="109"/>
        <v/>
      </c>
      <c r="M410" s="2"/>
      <c r="N410" s="2"/>
      <c r="O410" s="2"/>
      <c r="P410" s="7" t="str">
        <f t="shared" si="110"/>
        <v/>
      </c>
      <c r="Q410" s="7" t="str">
        <f t="shared" si="111"/>
        <v/>
      </c>
      <c r="R410" s="7" t="str">
        <f t="shared" si="112"/>
        <v/>
      </c>
      <c r="S410" s="7" t="str">
        <f t="shared" si="113"/>
        <v/>
      </c>
      <c r="T410" s="7" t="str">
        <f t="shared" si="114"/>
        <v/>
      </c>
      <c r="U410" s="7" t="str">
        <f t="shared" si="115"/>
        <v/>
      </c>
      <c r="V410" s="7" t="str">
        <f t="shared" si="116"/>
        <v/>
      </c>
      <c r="W410" s="7" t="str">
        <f t="shared" si="117"/>
        <v/>
      </c>
      <c r="X410" s="7" t="str">
        <f t="shared" si="118"/>
        <v/>
      </c>
      <c r="Y410" s="7" t="str">
        <f t="shared" si="119"/>
        <v/>
      </c>
      <c r="Z410">
        <f t="shared" si="120"/>
        <v>0</v>
      </c>
      <c r="AA410" t="str">
        <f t="shared" si="121"/>
        <v/>
      </c>
      <c r="AB410" t="str">
        <f t="shared" si="122"/>
        <v/>
      </c>
      <c r="AC410" t="str">
        <f t="shared" si="123"/>
        <v/>
      </c>
      <c r="AD410" t="str">
        <f t="shared" si="124"/>
        <v/>
      </c>
      <c r="AE410">
        <f t="shared" si="125"/>
        <v>0</v>
      </c>
    </row>
    <row r="411" spans="1:31" ht="15" customHeight="1" x14ac:dyDescent="0.35">
      <c r="A411" s="2"/>
      <c r="B411" s="3"/>
      <c r="C411" s="3"/>
      <c r="D411" s="4"/>
      <c r="E411" s="5"/>
      <c r="F411" s="11" t="str">
        <f t="shared" ca="1" si="108"/>
        <v/>
      </c>
      <c r="G411" s="5"/>
      <c r="H411" s="6" t="str">
        <f>IF(AND($A411&lt;&gt;"",$B411&lt;&gt;"",$C411&lt;&gt;"",$D411&lt;&gt;"",$E411&lt;&gt;""),IF(AND($B411="s",OR($C411="SER",$C411="PLH",$C411="CSF")),"Case CDI Plate "&amp;(INT(((COUNTIFS($B$2:$B411,"s",$C$2:$C411,"SER")+COUNTIFS($B$2:$B411,"s",$C$2:$C411,"PLH")+COUNTIFS($B$2:$B411,"s",$C$2:$C411,"CSF"))-1)/96)+1)&amp;": "&amp;CHAR(65+INT(MOD((COUNTIFS($B$2:$B411,"s",$C$2:$C411,"SER")+COUNTIFS($B$2:$B411,"s",$C$2:$C411,"PLH")+COUNTIFS($B$2:$B411,"s",$C$2:$C411,"CSF"))-1,96)/12))&amp;(MOD((COUNTIFS($B$2:$B411,"s",$C$2:$C411,"SER")+COUNTIFS($B$2:$B411,"s",$C$2:$C411,"PLH")+COUNTIFS($B$2:$B411,"s",$C$2:$C411,"CSF"))-1,12)+1),"N/A"),"")</f>
        <v/>
      </c>
      <c r="I411" s="6" t="str">
        <f>IF(AND($A411&lt;&gt;"",$B411&lt;&gt;"",$C411&lt;&gt;"",$D411&lt;&gt;"",$E411&lt;&gt;""),IF(AND($B411="s",OR($C411="SER",$C411="PLH",$C411="CSF")),"Case NIH Plate "&amp;(INT(((COUNTIFS($B$2:$B411,"s",$C$2:$C411,"SER")+COUNTIFS($B$2:$B411,"s",$C$2:$C411,"PLH")+COUNTIFS($B$2:$B411,"s",$C$2:$C411,"CSF"))-1)/96)+1)&amp;": "&amp;CHAR(65+INT(MOD((COUNTIFS($B$2:$B411,"s",$C$2:$C411,"SER")+COUNTIFS($B$2:$B411,"s",$C$2:$C411,"PLH")+COUNTIFS($B$2:$B411,"s",$C$2:$C411,"CSF"))-1,96)/12))&amp;(MOD((COUNTIFS($B$2:$B411,"s",$C$2:$C411,"SER")+COUNTIFS($B$2:$B411,"s",$C$2:$C411,"PLH")+COUNTIFS($B$2:$B411,"s",$C$2:$C411,"CSF"))-1,12)+1),"N/A"),"")</f>
        <v/>
      </c>
      <c r="J411" s="6" t="str">
        <f>IF(AND($A411&lt;&gt;"",$B411&lt;&gt;"",$C411&lt;&gt;"",$D411&lt;&gt;"",$E411&lt;&gt;""),IF(AND($B411="s",OR($C411="SER",$C411="PLH")),"Case MAX Planck Plate "&amp;(INT(((COUNTIFS($B$2:$B411,"s",$C$2:$C411,"SER")+COUNTIFS($B$2:$B411,"s",$C$2:$C411,"PLH"))-1)/96)+1)&amp;": "&amp;CHAR(65+INT(MOD((COUNTIFS($B$2:$B411,"s",$C$2:$C411,"SER")+COUNTIFS($B$2:$B411,"s",$C$2:$C411,"PLH"))-1,96)/12))&amp;(MOD((COUNTIFS($B$2:$B411,"s",$C$2:$C411,"SER")+COUNTIFS($B$2:$B411,"s",$C$2:$C411,"PLH"))-1,12)+1),"N/A"),"")</f>
        <v/>
      </c>
      <c r="K411" s="6" t="str">
        <f>IF(AND($A411&lt;&gt;"",$B411&lt;&gt;"",$C411&lt;&gt;"",$D411&lt;&gt;"",$E411&lt;&gt;""),IF($C411="WB","Case WB Box "&amp;(INT((COUNTIFS($C$2:$C411,"WB")-1)/81)+1)&amp;": "&amp;CHAR(65+INT(MOD(COUNTIFS($C$2:$C411,"WB")-1,81)/9))&amp;(MOD(COUNTIFS($C$2:$C411,"WB")-1,9)+1),"N/A"),"")</f>
        <v/>
      </c>
      <c r="L411" s="2" t="str">
        <f t="shared" si="109"/>
        <v/>
      </c>
      <c r="M411" s="2"/>
      <c r="N411" s="2"/>
      <c r="O411" s="2"/>
      <c r="P411" s="7" t="str">
        <f t="shared" si="110"/>
        <v/>
      </c>
      <c r="Q411" s="7" t="str">
        <f t="shared" si="111"/>
        <v/>
      </c>
      <c r="R411" s="7" t="str">
        <f t="shared" si="112"/>
        <v/>
      </c>
      <c r="S411" s="7" t="str">
        <f t="shared" si="113"/>
        <v/>
      </c>
      <c r="T411" s="7" t="str">
        <f t="shared" si="114"/>
        <v/>
      </c>
      <c r="U411" s="7" t="str">
        <f t="shared" si="115"/>
        <v/>
      </c>
      <c r="V411" s="7" t="str">
        <f t="shared" si="116"/>
        <v/>
      </c>
      <c r="W411" s="7" t="str">
        <f t="shared" si="117"/>
        <v/>
      </c>
      <c r="X411" s="7" t="str">
        <f t="shared" si="118"/>
        <v/>
      </c>
      <c r="Y411" s="7" t="str">
        <f t="shared" si="119"/>
        <v/>
      </c>
      <c r="Z411">
        <f t="shared" si="120"/>
        <v>0</v>
      </c>
      <c r="AA411" t="str">
        <f t="shared" si="121"/>
        <v/>
      </c>
      <c r="AB411" t="str">
        <f t="shared" si="122"/>
        <v/>
      </c>
      <c r="AC411" t="str">
        <f t="shared" si="123"/>
        <v/>
      </c>
      <c r="AD411" t="str">
        <f t="shared" si="124"/>
        <v/>
      </c>
      <c r="AE411">
        <f t="shared" si="125"/>
        <v>0</v>
      </c>
    </row>
    <row r="412" spans="1:31" ht="15" customHeight="1" x14ac:dyDescent="0.35">
      <c r="A412" s="2"/>
      <c r="B412" s="3"/>
      <c r="C412" s="3"/>
      <c r="D412" s="4"/>
      <c r="E412" s="5"/>
      <c r="F412" s="11" t="str">
        <f t="shared" ca="1" si="108"/>
        <v/>
      </c>
      <c r="G412" s="5"/>
      <c r="H412" s="6" t="str">
        <f>IF(AND($A412&lt;&gt;"",$B412&lt;&gt;"",$C412&lt;&gt;"",$D412&lt;&gt;"",$E412&lt;&gt;""),IF(AND($B412="s",OR($C412="SER",$C412="PLH",$C412="CSF")),"Case CDI Plate "&amp;(INT(((COUNTIFS($B$2:$B412,"s",$C$2:$C412,"SER")+COUNTIFS($B$2:$B412,"s",$C$2:$C412,"PLH")+COUNTIFS($B$2:$B412,"s",$C$2:$C412,"CSF"))-1)/96)+1)&amp;": "&amp;CHAR(65+INT(MOD((COUNTIFS($B$2:$B412,"s",$C$2:$C412,"SER")+COUNTIFS($B$2:$B412,"s",$C$2:$C412,"PLH")+COUNTIFS($B$2:$B412,"s",$C$2:$C412,"CSF"))-1,96)/12))&amp;(MOD((COUNTIFS($B$2:$B412,"s",$C$2:$C412,"SER")+COUNTIFS($B$2:$B412,"s",$C$2:$C412,"PLH")+COUNTIFS($B$2:$B412,"s",$C$2:$C412,"CSF"))-1,12)+1),"N/A"),"")</f>
        <v/>
      </c>
      <c r="I412" s="6" t="str">
        <f>IF(AND($A412&lt;&gt;"",$B412&lt;&gt;"",$C412&lt;&gt;"",$D412&lt;&gt;"",$E412&lt;&gt;""),IF(AND($B412="s",OR($C412="SER",$C412="PLH",$C412="CSF")),"Case NIH Plate "&amp;(INT(((COUNTIFS($B$2:$B412,"s",$C$2:$C412,"SER")+COUNTIFS($B$2:$B412,"s",$C$2:$C412,"PLH")+COUNTIFS($B$2:$B412,"s",$C$2:$C412,"CSF"))-1)/96)+1)&amp;": "&amp;CHAR(65+INT(MOD((COUNTIFS($B$2:$B412,"s",$C$2:$C412,"SER")+COUNTIFS($B$2:$B412,"s",$C$2:$C412,"PLH")+COUNTIFS($B$2:$B412,"s",$C$2:$C412,"CSF"))-1,96)/12))&amp;(MOD((COUNTIFS($B$2:$B412,"s",$C$2:$C412,"SER")+COUNTIFS($B$2:$B412,"s",$C$2:$C412,"PLH")+COUNTIFS($B$2:$B412,"s",$C$2:$C412,"CSF"))-1,12)+1),"N/A"),"")</f>
        <v/>
      </c>
      <c r="J412" s="6" t="str">
        <f>IF(AND($A412&lt;&gt;"",$B412&lt;&gt;"",$C412&lt;&gt;"",$D412&lt;&gt;"",$E412&lt;&gt;""),IF(AND($B412="s",OR($C412="SER",$C412="PLH")),"Case MAX Planck Plate "&amp;(INT(((COUNTIFS($B$2:$B412,"s",$C$2:$C412,"SER")+COUNTIFS($B$2:$B412,"s",$C$2:$C412,"PLH"))-1)/96)+1)&amp;": "&amp;CHAR(65+INT(MOD((COUNTIFS($B$2:$B412,"s",$C$2:$C412,"SER")+COUNTIFS($B$2:$B412,"s",$C$2:$C412,"PLH"))-1,96)/12))&amp;(MOD((COUNTIFS($B$2:$B412,"s",$C$2:$C412,"SER")+COUNTIFS($B$2:$B412,"s",$C$2:$C412,"PLH"))-1,12)+1),"N/A"),"")</f>
        <v/>
      </c>
      <c r="K412" s="6" t="str">
        <f>IF(AND($A412&lt;&gt;"",$B412&lt;&gt;"",$C412&lt;&gt;"",$D412&lt;&gt;"",$E412&lt;&gt;""),IF($C412="WB","Case WB Box "&amp;(INT((COUNTIFS($C$2:$C412,"WB")-1)/81)+1)&amp;": "&amp;CHAR(65+INT(MOD(COUNTIFS($C$2:$C412,"WB")-1,81)/9))&amp;(MOD(COUNTIFS($C$2:$C412,"WB")-1,9)+1),"N/A"),"")</f>
        <v/>
      </c>
      <c r="L412" s="2" t="str">
        <f t="shared" si="109"/>
        <v/>
      </c>
      <c r="M412" s="2"/>
      <c r="N412" s="2"/>
      <c r="O412" s="2"/>
      <c r="P412" s="7" t="str">
        <f t="shared" si="110"/>
        <v/>
      </c>
      <c r="Q412" s="7" t="str">
        <f t="shared" si="111"/>
        <v/>
      </c>
      <c r="R412" s="7" t="str">
        <f t="shared" si="112"/>
        <v/>
      </c>
      <c r="S412" s="7" t="str">
        <f t="shared" si="113"/>
        <v/>
      </c>
      <c r="T412" s="7" t="str">
        <f t="shared" si="114"/>
        <v/>
      </c>
      <c r="U412" s="7" t="str">
        <f t="shared" si="115"/>
        <v/>
      </c>
      <c r="V412" s="7" t="str">
        <f t="shared" si="116"/>
        <v/>
      </c>
      <c r="W412" s="7" t="str">
        <f t="shared" si="117"/>
        <v/>
      </c>
      <c r="X412" s="7" t="str">
        <f t="shared" si="118"/>
        <v/>
      </c>
      <c r="Y412" s="7" t="str">
        <f t="shared" si="119"/>
        <v/>
      </c>
      <c r="Z412">
        <f t="shared" si="120"/>
        <v>0</v>
      </c>
      <c r="AA412" t="str">
        <f t="shared" si="121"/>
        <v/>
      </c>
      <c r="AB412" t="str">
        <f t="shared" si="122"/>
        <v/>
      </c>
      <c r="AC412" t="str">
        <f t="shared" si="123"/>
        <v/>
      </c>
      <c r="AD412" t="str">
        <f t="shared" si="124"/>
        <v/>
      </c>
      <c r="AE412">
        <f t="shared" si="125"/>
        <v>0</v>
      </c>
    </row>
    <row r="413" spans="1:31" ht="15" customHeight="1" x14ac:dyDescent="0.35">
      <c r="A413" s="2"/>
      <c r="B413" s="3"/>
      <c r="C413" s="3"/>
      <c r="D413" s="4"/>
      <c r="E413" s="5"/>
      <c r="F413" s="11" t="str">
        <f t="shared" ca="1" si="108"/>
        <v/>
      </c>
      <c r="G413" s="5"/>
      <c r="H413" s="6" t="str">
        <f>IF(AND($A413&lt;&gt;"",$B413&lt;&gt;"",$C413&lt;&gt;"",$D413&lt;&gt;"",$E413&lt;&gt;""),IF(AND($B413="s",OR($C413="SER",$C413="PLH",$C413="CSF")),"Case CDI Plate "&amp;(INT(((COUNTIFS($B$2:$B413,"s",$C$2:$C413,"SER")+COUNTIFS($B$2:$B413,"s",$C$2:$C413,"PLH")+COUNTIFS($B$2:$B413,"s",$C$2:$C413,"CSF"))-1)/96)+1)&amp;": "&amp;CHAR(65+INT(MOD((COUNTIFS($B$2:$B413,"s",$C$2:$C413,"SER")+COUNTIFS($B$2:$B413,"s",$C$2:$C413,"PLH")+COUNTIFS($B$2:$B413,"s",$C$2:$C413,"CSF"))-1,96)/12))&amp;(MOD((COUNTIFS($B$2:$B413,"s",$C$2:$C413,"SER")+COUNTIFS($B$2:$B413,"s",$C$2:$C413,"PLH")+COUNTIFS($B$2:$B413,"s",$C$2:$C413,"CSF"))-1,12)+1),"N/A"),"")</f>
        <v/>
      </c>
      <c r="I413" s="6" t="str">
        <f>IF(AND($A413&lt;&gt;"",$B413&lt;&gt;"",$C413&lt;&gt;"",$D413&lt;&gt;"",$E413&lt;&gt;""),IF(AND($B413="s",OR($C413="SER",$C413="PLH",$C413="CSF")),"Case NIH Plate "&amp;(INT(((COUNTIFS($B$2:$B413,"s",$C$2:$C413,"SER")+COUNTIFS($B$2:$B413,"s",$C$2:$C413,"PLH")+COUNTIFS($B$2:$B413,"s",$C$2:$C413,"CSF"))-1)/96)+1)&amp;": "&amp;CHAR(65+INT(MOD((COUNTIFS($B$2:$B413,"s",$C$2:$C413,"SER")+COUNTIFS($B$2:$B413,"s",$C$2:$C413,"PLH")+COUNTIFS($B$2:$B413,"s",$C$2:$C413,"CSF"))-1,96)/12))&amp;(MOD((COUNTIFS($B$2:$B413,"s",$C$2:$C413,"SER")+COUNTIFS($B$2:$B413,"s",$C$2:$C413,"PLH")+COUNTIFS($B$2:$B413,"s",$C$2:$C413,"CSF"))-1,12)+1),"N/A"),"")</f>
        <v/>
      </c>
      <c r="J413" s="6" t="str">
        <f>IF(AND($A413&lt;&gt;"",$B413&lt;&gt;"",$C413&lt;&gt;"",$D413&lt;&gt;"",$E413&lt;&gt;""),IF(AND($B413="s",OR($C413="SER",$C413="PLH")),"Case MAX Planck Plate "&amp;(INT(((COUNTIFS($B$2:$B413,"s",$C$2:$C413,"SER")+COUNTIFS($B$2:$B413,"s",$C$2:$C413,"PLH"))-1)/96)+1)&amp;": "&amp;CHAR(65+INT(MOD((COUNTIFS($B$2:$B413,"s",$C$2:$C413,"SER")+COUNTIFS($B$2:$B413,"s",$C$2:$C413,"PLH"))-1,96)/12))&amp;(MOD((COUNTIFS($B$2:$B413,"s",$C$2:$C413,"SER")+COUNTIFS($B$2:$B413,"s",$C$2:$C413,"PLH"))-1,12)+1),"N/A"),"")</f>
        <v/>
      </c>
      <c r="K413" s="6" t="str">
        <f>IF(AND($A413&lt;&gt;"",$B413&lt;&gt;"",$C413&lt;&gt;"",$D413&lt;&gt;"",$E413&lt;&gt;""),IF($C413="WB","Case WB Box "&amp;(INT((COUNTIFS($C$2:$C413,"WB")-1)/81)+1)&amp;": "&amp;CHAR(65+INT(MOD(COUNTIFS($C$2:$C413,"WB")-1,81)/9))&amp;(MOD(COUNTIFS($C$2:$C413,"WB")-1,9)+1),"N/A"),"")</f>
        <v/>
      </c>
      <c r="L413" s="2" t="str">
        <f t="shared" si="109"/>
        <v/>
      </c>
      <c r="M413" s="2"/>
      <c r="N413" s="2"/>
      <c r="O413" s="2"/>
      <c r="P413" s="7" t="str">
        <f t="shared" si="110"/>
        <v/>
      </c>
      <c r="Q413" s="7" t="str">
        <f t="shared" si="111"/>
        <v/>
      </c>
      <c r="R413" s="7" t="str">
        <f t="shared" si="112"/>
        <v/>
      </c>
      <c r="S413" s="7" t="str">
        <f t="shared" si="113"/>
        <v/>
      </c>
      <c r="T413" s="7" t="str">
        <f t="shared" si="114"/>
        <v/>
      </c>
      <c r="U413" s="7" t="str">
        <f t="shared" si="115"/>
        <v/>
      </c>
      <c r="V413" s="7" t="str">
        <f t="shared" si="116"/>
        <v/>
      </c>
      <c r="W413" s="7" t="str">
        <f t="shared" si="117"/>
        <v/>
      </c>
      <c r="X413" s="7" t="str">
        <f t="shared" si="118"/>
        <v/>
      </c>
      <c r="Y413" s="7" t="str">
        <f t="shared" si="119"/>
        <v/>
      </c>
      <c r="Z413">
        <f t="shared" si="120"/>
        <v>0</v>
      </c>
      <c r="AA413" t="str">
        <f t="shared" si="121"/>
        <v/>
      </c>
      <c r="AB413" t="str">
        <f t="shared" si="122"/>
        <v/>
      </c>
      <c r="AC413" t="str">
        <f t="shared" si="123"/>
        <v/>
      </c>
      <c r="AD413" t="str">
        <f t="shared" si="124"/>
        <v/>
      </c>
      <c r="AE413">
        <f t="shared" si="125"/>
        <v>0</v>
      </c>
    </row>
    <row r="414" spans="1:31" ht="15" customHeight="1" x14ac:dyDescent="0.35">
      <c r="A414" s="2"/>
      <c r="B414" s="3"/>
      <c r="C414" s="3"/>
      <c r="D414" s="4"/>
      <c r="E414" s="5"/>
      <c r="F414" s="11" t="str">
        <f t="shared" ca="1" si="108"/>
        <v/>
      </c>
      <c r="G414" s="5"/>
      <c r="H414" s="6" t="str">
        <f>IF(AND($A414&lt;&gt;"",$B414&lt;&gt;"",$C414&lt;&gt;"",$D414&lt;&gt;"",$E414&lt;&gt;""),IF(AND($B414="s",OR($C414="SER",$C414="PLH",$C414="CSF")),"Case CDI Plate "&amp;(INT(((COUNTIFS($B$2:$B414,"s",$C$2:$C414,"SER")+COUNTIFS($B$2:$B414,"s",$C$2:$C414,"PLH")+COUNTIFS($B$2:$B414,"s",$C$2:$C414,"CSF"))-1)/96)+1)&amp;": "&amp;CHAR(65+INT(MOD((COUNTIFS($B$2:$B414,"s",$C$2:$C414,"SER")+COUNTIFS($B$2:$B414,"s",$C$2:$C414,"PLH")+COUNTIFS($B$2:$B414,"s",$C$2:$C414,"CSF"))-1,96)/12))&amp;(MOD((COUNTIFS($B$2:$B414,"s",$C$2:$C414,"SER")+COUNTIFS($B$2:$B414,"s",$C$2:$C414,"PLH")+COUNTIFS($B$2:$B414,"s",$C$2:$C414,"CSF"))-1,12)+1),"N/A"),"")</f>
        <v/>
      </c>
      <c r="I414" s="6" t="str">
        <f>IF(AND($A414&lt;&gt;"",$B414&lt;&gt;"",$C414&lt;&gt;"",$D414&lt;&gt;"",$E414&lt;&gt;""),IF(AND($B414="s",OR($C414="SER",$C414="PLH",$C414="CSF")),"Case NIH Plate "&amp;(INT(((COUNTIFS($B$2:$B414,"s",$C$2:$C414,"SER")+COUNTIFS($B$2:$B414,"s",$C$2:$C414,"PLH")+COUNTIFS($B$2:$B414,"s",$C$2:$C414,"CSF"))-1)/96)+1)&amp;": "&amp;CHAR(65+INT(MOD((COUNTIFS($B$2:$B414,"s",$C$2:$C414,"SER")+COUNTIFS($B$2:$B414,"s",$C$2:$C414,"PLH")+COUNTIFS($B$2:$B414,"s",$C$2:$C414,"CSF"))-1,96)/12))&amp;(MOD((COUNTIFS($B$2:$B414,"s",$C$2:$C414,"SER")+COUNTIFS($B$2:$B414,"s",$C$2:$C414,"PLH")+COUNTIFS($B$2:$B414,"s",$C$2:$C414,"CSF"))-1,12)+1),"N/A"),"")</f>
        <v/>
      </c>
      <c r="J414" s="6" t="str">
        <f>IF(AND($A414&lt;&gt;"",$B414&lt;&gt;"",$C414&lt;&gt;"",$D414&lt;&gt;"",$E414&lt;&gt;""),IF(AND($B414="s",OR($C414="SER",$C414="PLH")),"Case MAX Planck Plate "&amp;(INT(((COUNTIFS($B$2:$B414,"s",$C$2:$C414,"SER")+COUNTIFS($B$2:$B414,"s",$C$2:$C414,"PLH"))-1)/96)+1)&amp;": "&amp;CHAR(65+INT(MOD((COUNTIFS($B$2:$B414,"s",$C$2:$C414,"SER")+COUNTIFS($B$2:$B414,"s",$C$2:$C414,"PLH"))-1,96)/12))&amp;(MOD((COUNTIFS($B$2:$B414,"s",$C$2:$C414,"SER")+COUNTIFS($B$2:$B414,"s",$C$2:$C414,"PLH"))-1,12)+1),"N/A"),"")</f>
        <v/>
      </c>
      <c r="K414" s="6" t="str">
        <f>IF(AND($A414&lt;&gt;"",$B414&lt;&gt;"",$C414&lt;&gt;"",$D414&lt;&gt;"",$E414&lt;&gt;""),IF($C414="WB","Case WB Box "&amp;(INT((COUNTIFS($C$2:$C414,"WB")-1)/81)+1)&amp;": "&amp;CHAR(65+INT(MOD(COUNTIFS($C$2:$C414,"WB")-1,81)/9))&amp;(MOD(COUNTIFS($C$2:$C414,"WB")-1,9)+1),"N/A"),"")</f>
        <v/>
      </c>
      <c r="L414" s="2" t="str">
        <f t="shared" si="109"/>
        <v/>
      </c>
      <c r="M414" s="2"/>
      <c r="N414" s="2"/>
      <c r="O414" s="2"/>
      <c r="P414" s="7" t="str">
        <f t="shared" si="110"/>
        <v/>
      </c>
      <c r="Q414" s="7" t="str">
        <f t="shared" si="111"/>
        <v/>
      </c>
      <c r="R414" s="7" t="str">
        <f t="shared" si="112"/>
        <v/>
      </c>
      <c r="S414" s="7" t="str">
        <f t="shared" si="113"/>
        <v/>
      </c>
      <c r="T414" s="7" t="str">
        <f t="shared" si="114"/>
        <v/>
      </c>
      <c r="U414" s="7" t="str">
        <f t="shared" si="115"/>
        <v/>
      </c>
      <c r="V414" s="7" t="str">
        <f t="shared" si="116"/>
        <v/>
      </c>
      <c r="W414" s="7" t="str">
        <f t="shared" si="117"/>
        <v/>
      </c>
      <c r="X414" s="7" t="str">
        <f t="shared" si="118"/>
        <v/>
      </c>
      <c r="Y414" s="7" t="str">
        <f t="shared" si="119"/>
        <v/>
      </c>
      <c r="Z414">
        <f t="shared" si="120"/>
        <v>0</v>
      </c>
      <c r="AA414" t="str">
        <f t="shared" si="121"/>
        <v/>
      </c>
      <c r="AB414" t="str">
        <f t="shared" si="122"/>
        <v/>
      </c>
      <c r="AC414" t="str">
        <f t="shared" si="123"/>
        <v/>
      </c>
      <c r="AD414" t="str">
        <f t="shared" si="124"/>
        <v/>
      </c>
      <c r="AE414">
        <f t="shared" si="125"/>
        <v>0</v>
      </c>
    </row>
    <row r="415" spans="1:31" ht="15" customHeight="1" x14ac:dyDescent="0.35">
      <c r="A415" s="2"/>
      <c r="B415" s="3"/>
      <c r="C415" s="3"/>
      <c r="D415" s="4"/>
      <c r="E415" s="5"/>
      <c r="F415" s="11" t="str">
        <f t="shared" ca="1" si="108"/>
        <v/>
      </c>
      <c r="G415" s="5"/>
      <c r="H415" s="6" t="str">
        <f>IF(AND($A415&lt;&gt;"",$B415&lt;&gt;"",$C415&lt;&gt;"",$D415&lt;&gt;"",$E415&lt;&gt;""),IF(AND($B415="s",OR($C415="SER",$C415="PLH",$C415="CSF")),"Case CDI Plate "&amp;(INT(((COUNTIFS($B$2:$B415,"s",$C$2:$C415,"SER")+COUNTIFS($B$2:$B415,"s",$C$2:$C415,"PLH")+COUNTIFS($B$2:$B415,"s",$C$2:$C415,"CSF"))-1)/96)+1)&amp;": "&amp;CHAR(65+INT(MOD((COUNTIFS($B$2:$B415,"s",$C$2:$C415,"SER")+COUNTIFS($B$2:$B415,"s",$C$2:$C415,"PLH")+COUNTIFS($B$2:$B415,"s",$C$2:$C415,"CSF"))-1,96)/12))&amp;(MOD((COUNTIFS($B$2:$B415,"s",$C$2:$C415,"SER")+COUNTIFS($B$2:$B415,"s",$C$2:$C415,"PLH")+COUNTIFS($B$2:$B415,"s",$C$2:$C415,"CSF"))-1,12)+1),"N/A"),"")</f>
        <v/>
      </c>
      <c r="I415" s="6" t="str">
        <f>IF(AND($A415&lt;&gt;"",$B415&lt;&gt;"",$C415&lt;&gt;"",$D415&lt;&gt;"",$E415&lt;&gt;""),IF(AND($B415="s",OR($C415="SER",$C415="PLH",$C415="CSF")),"Case NIH Plate "&amp;(INT(((COUNTIFS($B$2:$B415,"s",$C$2:$C415,"SER")+COUNTIFS($B$2:$B415,"s",$C$2:$C415,"PLH")+COUNTIFS($B$2:$B415,"s",$C$2:$C415,"CSF"))-1)/96)+1)&amp;": "&amp;CHAR(65+INT(MOD((COUNTIFS($B$2:$B415,"s",$C$2:$C415,"SER")+COUNTIFS($B$2:$B415,"s",$C$2:$C415,"PLH")+COUNTIFS($B$2:$B415,"s",$C$2:$C415,"CSF"))-1,96)/12))&amp;(MOD((COUNTIFS($B$2:$B415,"s",$C$2:$C415,"SER")+COUNTIFS($B$2:$B415,"s",$C$2:$C415,"PLH")+COUNTIFS($B$2:$B415,"s",$C$2:$C415,"CSF"))-1,12)+1),"N/A"),"")</f>
        <v/>
      </c>
      <c r="J415" s="6" t="str">
        <f>IF(AND($A415&lt;&gt;"",$B415&lt;&gt;"",$C415&lt;&gt;"",$D415&lt;&gt;"",$E415&lt;&gt;""),IF(AND($B415="s",OR($C415="SER",$C415="PLH")),"Case MAX Planck Plate "&amp;(INT(((COUNTIFS($B$2:$B415,"s",$C$2:$C415,"SER")+COUNTIFS($B$2:$B415,"s",$C$2:$C415,"PLH"))-1)/96)+1)&amp;": "&amp;CHAR(65+INT(MOD((COUNTIFS($B$2:$B415,"s",$C$2:$C415,"SER")+COUNTIFS($B$2:$B415,"s",$C$2:$C415,"PLH"))-1,96)/12))&amp;(MOD((COUNTIFS($B$2:$B415,"s",$C$2:$C415,"SER")+COUNTIFS($B$2:$B415,"s",$C$2:$C415,"PLH"))-1,12)+1),"N/A"),"")</f>
        <v/>
      </c>
      <c r="K415" s="6" t="str">
        <f>IF(AND($A415&lt;&gt;"",$B415&lt;&gt;"",$C415&lt;&gt;"",$D415&lt;&gt;"",$E415&lt;&gt;""),IF($C415="WB","Case WB Box "&amp;(INT((COUNTIFS($C$2:$C415,"WB")-1)/81)+1)&amp;": "&amp;CHAR(65+INT(MOD(COUNTIFS($C$2:$C415,"WB")-1,81)/9))&amp;(MOD(COUNTIFS($C$2:$C415,"WB")-1,9)+1),"N/A"),"")</f>
        <v/>
      </c>
      <c r="L415" s="2" t="str">
        <f t="shared" si="109"/>
        <v/>
      </c>
      <c r="M415" s="2"/>
      <c r="N415" s="2"/>
      <c r="O415" s="2"/>
      <c r="P415" s="7" t="str">
        <f t="shared" si="110"/>
        <v/>
      </c>
      <c r="Q415" s="7" t="str">
        <f t="shared" si="111"/>
        <v/>
      </c>
      <c r="R415" s="7" t="str">
        <f t="shared" si="112"/>
        <v/>
      </c>
      <c r="S415" s="7" t="str">
        <f t="shared" si="113"/>
        <v/>
      </c>
      <c r="T415" s="7" t="str">
        <f t="shared" si="114"/>
        <v/>
      </c>
      <c r="U415" s="7" t="str">
        <f t="shared" si="115"/>
        <v/>
      </c>
      <c r="V415" s="7" t="str">
        <f t="shared" si="116"/>
        <v/>
      </c>
      <c r="W415" s="7" t="str">
        <f t="shared" si="117"/>
        <v/>
      </c>
      <c r="X415" s="7" t="str">
        <f t="shared" si="118"/>
        <v/>
      </c>
      <c r="Y415" s="7" t="str">
        <f t="shared" si="119"/>
        <v/>
      </c>
      <c r="Z415">
        <f t="shared" si="120"/>
        <v>0</v>
      </c>
      <c r="AA415" t="str">
        <f t="shared" si="121"/>
        <v/>
      </c>
      <c r="AB415" t="str">
        <f t="shared" si="122"/>
        <v/>
      </c>
      <c r="AC415" t="str">
        <f t="shared" si="123"/>
        <v/>
      </c>
      <c r="AD415" t="str">
        <f t="shared" si="124"/>
        <v/>
      </c>
      <c r="AE415">
        <f t="shared" si="125"/>
        <v>0</v>
      </c>
    </row>
    <row r="416" spans="1:31" ht="15" customHeight="1" x14ac:dyDescent="0.35">
      <c r="A416" s="2"/>
      <c r="B416" s="3"/>
      <c r="C416" s="3"/>
      <c r="D416" s="4"/>
      <c r="E416" s="5"/>
      <c r="F416" s="11" t="str">
        <f t="shared" ca="1" si="108"/>
        <v/>
      </c>
      <c r="G416" s="5"/>
      <c r="H416" s="6" t="str">
        <f>IF(AND($A416&lt;&gt;"",$B416&lt;&gt;"",$C416&lt;&gt;"",$D416&lt;&gt;"",$E416&lt;&gt;""),IF(AND($B416="s",OR($C416="SER",$C416="PLH",$C416="CSF")),"Case CDI Plate "&amp;(INT(((COUNTIFS($B$2:$B416,"s",$C$2:$C416,"SER")+COUNTIFS($B$2:$B416,"s",$C$2:$C416,"PLH")+COUNTIFS($B$2:$B416,"s",$C$2:$C416,"CSF"))-1)/96)+1)&amp;": "&amp;CHAR(65+INT(MOD((COUNTIFS($B$2:$B416,"s",$C$2:$C416,"SER")+COUNTIFS($B$2:$B416,"s",$C$2:$C416,"PLH")+COUNTIFS($B$2:$B416,"s",$C$2:$C416,"CSF"))-1,96)/12))&amp;(MOD((COUNTIFS($B$2:$B416,"s",$C$2:$C416,"SER")+COUNTIFS($B$2:$B416,"s",$C$2:$C416,"PLH")+COUNTIFS($B$2:$B416,"s",$C$2:$C416,"CSF"))-1,12)+1),"N/A"),"")</f>
        <v/>
      </c>
      <c r="I416" s="6" t="str">
        <f>IF(AND($A416&lt;&gt;"",$B416&lt;&gt;"",$C416&lt;&gt;"",$D416&lt;&gt;"",$E416&lt;&gt;""),IF(AND($B416="s",OR($C416="SER",$C416="PLH",$C416="CSF")),"Case NIH Plate "&amp;(INT(((COUNTIFS($B$2:$B416,"s",$C$2:$C416,"SER")+COUNTIFS($B$2:$B416,"s",$C$2:$C416,"PLH")+COUNTIFS($B$2:$B416,"s",$C$2:$C416,"CSF"))-1)/96)+1)&amp;": "&amp;CHAR(65+INT(MOD((COUNTIFS($B$2:$B416,"s",$C$2:$C416,"SER")+COUNTIFS($B$2:$B416,"s",$C$2:$C416,"PLH")+COUNTIFS($B$2:$B416,"s",$C$2:$C416,"CSF"))-1,96)/12))&amp;(MOD((COUNTIFS($B$2:$B416,"s",$C$2:$C416,"SER")+COUNTIFS($B$2:$B416,"s",$C$2:$C416,"PLH")+COUNTIFS($B$2:$B416,"s",$C$2:$C416,"CSF"))-1,12)+1),"N/A"),"")</f>
        <v/>
      </c>
      <c r="J416" s="6" t="str">
        <f>IF(AND($A416&lt;&gt;"",$B416&lt;&gt;"",$C416&lt;&gt;"",$D416&lt;&gt;"",$E416&lt;&gt;""),IF(AND($B416="s",OR($C416="SER",$C416="PLH")),"Case MAX Planck Plate "&amp;(INT(((COUNTIFS($B$2:$B416,"s",$C$2:$C416,"SER")+COUNTIFS($B$2:$B416,"s",$C$2:$C416,"PLH"))-1)/96)+1)&amp;": "&amp;CHAR(65+INT(MOD((COUNTIFS($B$2:$B416,"s",$C$2:$C416,"SER")+COUNTIFS($B$2:$B416,"s",$C$2:$C416,"PLH"))-1,96)/12))&amp;(MOD((COUNTIFS($B$2:$B416,"s",$C$2:$C416,"SER")+COUNTIFS($B$2:$B416,"s",$C$2:$C416,"PLH"))-1,12)+1),"N/A"),"")</f>
        <v/>
      </c>
      <c r="K416" s="6" t="str">
        <f>IF(AND($A416&lt;&gt;"",$B416&lt;&gt;"",$C416&lt;&gt;"",$D416&lt;&gt;"",$E416&lt;&gt;""),IF($C416="WB","Case WB Box "&amp;(INT((COUNTIFS($C$2:$C416,"WB")-1)/81)+1)&amp;": "&amp;CHAR(65+INT(MOD(COUNTIFS($C$2:$C416,"WB")-1,81)/9))&amp;(MOD(COUNTIFS($C$2:$C416,"WB")-1,9)+1),"N/A"),"")</f>
        <v/>
      </c>
      <c r="L416" s="2" t="str">
        <f t="shared" si="109"/>
        <v/>
      </c>
      <c r="M416" s="2"/>
      <c r="N416" s="2"/>
      <c r="O416" s="2"/>
      <c r="P416" s="7" t="str">
        <f t="shared" si="110"/>
        <v/>
      </c>
      <c r="Q416" s="7" t="str">
        <f t="shared" si="111"/>
        <v/>
      </c>
      <c r="R416" s="7" t="str">
        <f t="shared" si="112"/>
        <v/>
      </c>
      <c r="S416" s="7" t="str">
        <f t="shared" si="113"/>
        <v/>
      </c>
      <c r="T416" s="7" t="str">
        <f t="shared" si="114"/>
        <v/>
      </c>
      <c r="U416" s="7" t="str">
        <f t="shared" si="115"/>
        <v/>
      </c>
      <c r="V416" s="7" t="str">
        <f t="shared" si="116"/>
        <v/>
      </c>
      <c r="W416" s="7" t="str">
        <f t="shared" si="117"/>
        <v/>
      </c>
      <c r="X416" s="7" t="str">
        <f t="shared" si="118"/>
        <v/>
      </c>
      <c r="Y416" s="7" t="str">
        <f t="shared" si="119"/>
        <v/>
      </c>
      <c r="Z416">
        <f t="shared" si="120"/>
        <v>0</v>
      </c>
      <c r="AA416" t="str">
        <f t="shared" si="121"/>
        <v/>
      </c>
      <c r="AB416" t="str">
        <f t="shared" si="122"/>
        <v/>
      </c>
      <c r="AC416" t="str">
        <f t="shared" si="123"/>
        <v/>
      </c>
      <c r="AD416" t="str">
        <f t="shared" si="124"/>
        <v/>
      </c>
      <c r="AE416">
        <f t="shared" si="125"/>
        <v>0</v>
      </c>
    </row>
    <row r="417" spans="1:31" ht="15" customHeight="1" x14ac:dyDescent="0.35">
      <c r="A417" s="2"/>
      <c r="B417" s="3"/>
      <c r="C417" s="3"/>
      <c r="D417" s="4"/>
      <c r="E417" s="5"/>
      <c r="F417" s="11" t="str">
        <f t="shared" ca="1" si="108"/>
        <v/>
      </c>
      <c r="G417" s="5"/>
      <c r="H417" s="6" t="str">
        <f>IF(AND($A417&lt;&gt;"",$B417&lt;&gt;"",$C417&lt;&gt;"",$D417&lt;&gt;"",$E417&lt;&gt;""),IF(AND($B417="s",OR($C417="SER",$C417="PLH",$C417="CSF")),"Case CDI Plate "&amp;(INT(((COUNTIFS($B$2:$B417,"s",$C$2:$C417,"SER")+COUNTIFS($B$2:$B417,"s",$C$2:$C417,"PLH")+COUNTIFS($B$2:$B417,"s",$C$2:$C417,"CSF"))-1)/96)+1)&amp;": "&amp;CHAR(65+INT(MOD((COUNTIFS($B$2:$B417,"s",$C$2:$C417,"SER")+COUNTIFS($B$2:$B417,"s",$C$2:$C417,"PLH")+COUNTIFS($B$2:$B417,"s",$C$2:$C417,"CSF"))-1,96)/12))&amp;(MOD((COUNTIFS($B$2:$B417,"s",$C$2:$C417,"SER")+COUNTIFS($B$2:$B417,"s",$C$2:$C417,"PLH")+COUNTIFS($B$2:$B417,"s",$C$2:$C417,"CSF"))-1,12)+1),"N/A"),"")</f>
        <v/>
      </c>
      <c r="I417" s="6" t="str">
        <f>IF(AND($A417&lt;&gt;"",$B417&lt;&gt;"",$C417&lt;&gt;"",$D417&lt;&gt;"",$E417&lt;&gt;""),IF(AND($B417="s",OR($C417="SER",$C417="PLH",$C417="CSF")),"Case NIH Plate "&amp;(INT(((COUNTIFS($B$2:$B417,"s",$C$2:$C417,"SER")+COUNTIFS($B$2:$B417,"s",$C$2:$C417,"PLH")+COUNTIFS($B$2:$B417,"s",$C$2:$C417,"CSF"))-1)/96)+1)&amp;": "&amp;CHAR(65+INT(MOD((COUNTIFS($B$2:$B417,"s",$C$2:$C417,"SER")+COUNTIFS($B$2:$B417,"s",$C$2:$C417,"PLH")+COUNTIFS($B$2:$B417,"s",$C$2:$C417,"CSF"))-1,96)/12))&amp;(MOD((COUNTIFS($B$2:$B417,"s",$C$2:$C417,"SER")+COUNTIFS($B$2:$B417,"s",$C$2:$C417,"PLH")+COUNTIFS($B$2:$B417,"s",$C$2:$C417,"CSF"))-1,12)+1),"N/A"),"")</f>
        <v/>
      </c>
      <c r="J417" s="6" t="str">
        <f>IF(AND($A417&lt;&gt;"",$B417&lt;&gt;"",$C417&lt;&gt;"",$D417&lt;&gt;"",$E417&lt;&gt;""),IF(AND($B417="s",OR($C417="SER",$C417="PLH")),"Case MAX Planck Plate "&amp;(INT(((COUNTIFS($B$2:$B417,"s",$C$2:$C417,"SER")+COUNTIFS($B$2:$B417,"s",$C$2:$C417,"PLH"))-1)/96)+1)&amp;": "&amp;CHAR(65+INT(MOD((COUNTIFS($B$2:$B417,"s",$C$2:$C417,"SER")+COUNTIFS($B$2:$B417,"s",$C$2:$C417,"PLH"))-1,96)/12))&amp;(MOD((COUNTIFS($B$2:$B417,"s",$C$2:$C417,"SER")+COUNTIFS($B$2:$B417,"s",$C$2:$C417,"PLH"))-1,12)+1),"N/A"),"")</f>
        <v/>
      </c>
      <c r="K417" s="6" t="str">
        <f>IF(AND($A417&lt;&gt;"",$B417&lt;&gt;"",$C417&lt;&gt;"",$D417&lt;&gt;"",$E417&lt;&gt;""),IF($C417="WB","Case WB Box "&amp;(INT((COUNTIFS($C$2:$C417,"WB")-1)/81)+1)&amp;": "&amp;CHAR(65+INT(MOD(COUNTIFS($C$2:$C417,"WB")-1,81)/9))&amp;(MOD(COUNTIFS($C$2:$C417,"WB")-1,9)+1),"N/A"),"")</f>
        <v/>
      </c>
      <c r="L417" s="2" t="str">
        <f t="shared" si="109"/>
        <v/>
      </c>
      <c r="M417" s="2"/>
      <c r="N417" s="2"/>
      <c r="O417" s="2"/>
      <c r="P417" s="7" t="str">
        <f t="shared" si="110"/>
        <v/>
      </c>
      <c r="Q417" s="7" t="str">
        <f t="shared" si="111"/>
        <v/>
      </c>
      <c r="R417" s="7" t="str">
        <f t="shared" si="112"/>
        <v/>
      </c>
      <c r="S417" s="7" t="str">
        <f t="shared" si="113"/>
        <v/>
      </c>
      <c r="T417" s="7" t="str">
        <f t="shared" si="114"/>
        <v/>
      </c>
      <c r="U417" s="7" t="str">
        <f t="shared" si="115"/>
        <v/>
      </c>
      <c r="V417" s="7" t="str">
        <f t="shared" si="116"/>
        <v/>
      </c>
      <c r="W417" s="7" t="str">
        <f t="shared" si="117"/>
        <v/>
      </c>
      <c r="X417" s="7" t="str">
        <f t="shared" si="118"/>
        <v/>
      </c>
      <c r="Y417" s="7" t="str">
        <f t="shared" si="119"/>
        <v/>
      </c>
      <c r="Z417">
        <f t="shared" si="120"/>
        <v>0</v>
      </c>
      <c r="AA417" t="str">
        <f t="shared" si="121"/>
        <v/>
      </c>
      <c r="AB417" t="str">
        <f t="shared" si="122"/>
        <v/>
      </c>
      <c r="AC417" t="str">
        <f t="shared" si="123"/>
        <v/>
      </c>
      <c r="AD417" t="str">
        <f t="shared" si="124"/>
        <v/>
      </c>
      <c r="AE417">
        <f t="shared" si="125"/>
        <v>0</v>
      </c>
    </row>
    <row r="418" spans="1:31" ht="15" customHeight="1" x14ac:dyDescent="0.35">
      <c r="A418" s="2"/>
      <c r="B418" s="3"/>
      <c r="C418" s="3"/>
      <c r="D418" s="4"/>
      <c r="E418" s="5"/>
      <c r="F418" s="11" t="str">
        <f t="shared" ca="1" si="108"/>
        <v/>
      </c>
      <c r="G418" s="5"/>
      <c r="H418" s="6" t="str">
        <f>IF(AND($A418&lt;&gt;"",$B418&lt;&gt;"",$C418&lt;&gt;"",$D418&lt;&gt;"",$E418&lt;&gt;""),IF(AND($B418="s",OR($C418="SER",$C418="PLH",$C418="CSF")),"Case CDI Plate "&amp;(INT(((COUNTIFS($B$2:$B418,"s",$C$2:$C418,"SER")+COUNTIFS($B$2:$B418,"s",$C$2:$C418,"PLH")+COUNTIFS($B$2:$B418,"s",$C$2:$C418,"CSF"))-1)/96)+1)&amp;": "&amp;CHAR(65+INT(MOD((COUNTIFS($B$2:$B418,"s",$C$2:$C418,"SER")+COUNTIFS($B$2:$B418,"s",$C$2:$C418,"PLH")+COUNTIFS($B$2:$B418,"s",$C$2:$C418,"CSF"))-1,96)/12))&amp;(MOD((COUNTIFS($B$2:$B418,"s",$C$2:$C418,"SER")+COUNTIFS($B$2:$B418,"s",$C$2:$C418,"PLH")+COUNTIFS($B$2:$B418,"s",$C$2:$C418,"CSF"))-1,12)+1),"N/A"),"")</f>
        <v/>
      </c>
      <c r="I418" s="6" t="str">
        <f>IF(AND($A418&lt;&gt;"",$B418&lt;&gt;"",$C418&lt;&gt;"",$D418&lt;&gt;"",$E418&lt;&gt;""),IF(AND($B418="s",OR($C418="SER",$C418="PLH",$C418="CSF")),"Case NIH Plate "&amp;(INT(((COUNTIFS($B$2:$B418,"s",$C$2:$C418,"SER")+COUNTIFS($B$2:$B418,"s",$C$2:$C418,"PLH")+COUNTIFS($B$2:$B418,"s",$C$2:$C418,"CSF"))-1)/96)+1)&amp;": "&amp;CHAR(65+INT(MOD((COUNTIFS($B$2:$B418,"s",$C$2:$C418,"SER")+COUNTIFS($B$2:$B418,"s",$C$2:$C418,"PLH")+COUNTIFS($B$2:$B418,"s",$C$2:$C418,"CSF"))-1,96)/12))&amp;(MOD((COUNTIFS($B$2:$B418,"s",$C$2:$C418,"SER")+COUNTIFS($B$2:$B418,"s",$C$2:$C418,"PLH")+COUNTIFS($B$2:$B418,"s",$C$2:$C418,"CSF"))-1,12)+1),"N/A"),"")</f>
        <v/>
      </c>
      <c r="J418" s="6" t="str">
        <f>IF(AND($A418&lt;&gt;"",$B418&lt;&gt;"",$C418&lt;&gt;"",$D418&lt;&gt;"",$E418&lt;&gt;""),IF(AND($B418="s",OR($C418="SER",$C418="PLH")),"Case MAX Planck Plate "&amp;(INT(((COUNTIFS($B$2:$B418,"s",$C$2:$C418,"SER")+COUNTIFS($B$2:$B418,"s",$C$2:$C418,"PLH"))-1)/96)+1)&amp;": "&amp;CHAR(65+INT(MOD((COUNTIFS($B$2:$B418,"s",$C$2:$C418,"SER")+COUNTIFS($B$2:$B418,"s",$C$2:$C418,"PLH"))-1,96)/12))&amp;(MOD((COUNTIFS($B$2:$B418,"s",$C$2:$C418,"SER")+COUNTIFS($B$2:$B418,"s",$C$2:$C418,"PLH"))-1,12)+1),"N/A"),"")</f>
        <v/>
      </c>
      <c r="K418" s="6" t="str">
        <f>IF(AND($A418&lt;&gt;"",$B418&lt;&gt;"",$C418&lt;&gt;"",$D418&lt;&gt;"",$E418&lt;&gt;""),IF($C418="WB","Case WB Box "&amp;(INT((COUNTIFS($C$2:$C418,"WB")-1)/81)+1)&amp;": "&amp;CHAR(65+INT(MOD(COUNTIFS($C$2:$C418,"WB")-1,81)/9))&amp;(MOD(COUNTIFS($C$2:$C418,"WB")-1,9)+1),"N/A"),"")</f>
        <v/>
      </c>
      <c r="L418" s="2" t="str">
        <f t="shared" si="109"/>
        <v/>
      </c>
      <c r="M418" s="2"/>
      <c r="N418" s="2"/>
      <c r="O418" s="2"/>
      <c r="P418" s="7" t="str">
        <f t="shared" si="110"/>
        <v/>
      </c>
      <c r="Q418" s="7" t="str">
        <f t="shared" si="111"/>
        <v/>
      </c>
      <c r="R418" s="7" t="str">
        <f t="shared" si="112"/>
        <v/>
      </c>
      <c r="S418" s="7" t="str">
        <f t="shared" si="113"/>
        <v/>
      </c>
      <c r="T418" s="7" t="str">
        <f t="shared" si="114"/>
        <v/>
      </c>
      <c r="U418" s="7" t="str">
        <f t="shared" si="115"/>
        <v/>
      </c>
      <c r="V418" s="7" t="str">
        <f t="shared" si="116"/>
        <v/>
      </c>
      <c r="W418" s="7" t="str">
        <f t="shared" si="117"/>
        <v/>
      </c>
      <c r="X418" s="7" t="str">
        <f t="shared" si="118"/>
        <v/>
      </c>
      <c r="Y418" s="7" t="str">
        <f t="shared" si="119"/>
        <v/>
      </c>
      <c r="Z418">
        <f t="shared" si="120"/>
        <v>0</v>
      </c>
      <c r="AA418" t="str">
        <f t="shared" si="121"/>
        <v/>
      </c>
      <c r="AB418" t="str">
        <f t="shared" si="122"/>
        <v/>
      </c>
      <c r="AC418" t="str">
        <f t="shared" si="123"/>
        <v/>
      </c>
      <c r="AD418" t="str">
        <f t="shared" si="124"/>
        <v/>
      </c>
      <c r="AE418">
        <f t="shared" si="125"/>
        <v>0</v>
      </c>
    </row>
    <row r="419" spans="1:31" ht="15" customHeight="1" x14ac:dyDescent="0.35">
      <c r="A419" s="2"/>
      <c r="B419" s="3"/>
      <c r="C419" s="3"/>
      <c r="D419" s="4"/>
      <c r="E419" s="5"/>
      <c r="F419" s="11" t="str">
        <f t="shared" ca="1" si="108"/>
        <v/>
      </c>
      <c r="G419" s="5"/>
      <c r="H419" s="6" t="str">
        <f>IF(AND($A419&lt;&gt;"",$B419&lt;&gt;"",$C419&lt;&gt;"",$D419&lt;&gt;"",$E419&lt;&gt;""),IF(AND($B419="s",OR($C419="SER",$C419="PLH",$C419="CSF")),"Case CDI Plate "&amp;(INT(((COUNTIFS($B$2:$B419,"s",$C$2:$C419,"SER")+COUNTIFS($B$2:$B419,"s",$C$2:$C419,"PLH")+COUNTIFS($B$2:$B419,"s",$C$2:$C419,"CSF"))-1)/96)+1)&amp;": "&amp;CHAR(65+INT(MOD((COUNTIFS($B$2:$B419,"s",$C$2:$C419,"SER")+COUNTIFS($B$2:$B419,"s",$C$2:$C419,"PLH")+COUNTIFS($B$2:$B419,"s",$C$2:$C419,"CSF"))-1,96)/12))&amp;(MOD((COUNTIFS($B$2:$B419,"s",$C$2:$C419,"SER")+COUNTIFS($B$2:$B419,"s",$C$2:$C419,"PLH")+COUNTIFS($B$2:$B419,"s",$C$2:$C419,"CSF"))-1,12)+1),"N/A"),"")</f>
        <v/>
      </c>
      <c r="I419" s="6" t="str">
        <f>IF(AND($A419&lt;&gt;"",$B419&lt;&gt;"",$C419&lt;&gt;"",$D419&lt;&gt;"",$E419&lt;&gt;""),IF(AND($B419="s",OR($C419="SER",$C419="PLH",$C419="CSF")),"Case NIH Plate "&amp;(INT(((COUNTIFS($B$2:$B419,"s",$C$2:$C419,"SER")+COUNTIFS($B$2:$B419,"s",$C$2:$C419,"PLH")+COUNTIFS($B$2:$B419,"s",$C$2:$C419,"CSF"))-1)/96)+1)&amp;": "&amp;CHAR(65+INT(MOD((COUNTIFS($B$2:$B419,"s",$C$2:$C419,"SER")+COUNTIFS($B$2:$B419,"s",$C$2:$C419,"PLH")+COUNTIFS($B$2:$B419,"s",$C$2:$C419,"CSF"))-1,96)/12))&amp;(MOD((COUNTIFS($B$2:$B419,"s",$C$2:$C419,"SER")+COUNTIFS($B$2:$B419,"s",$C$2:$C419,"PLH")+COUNTIFS($B$2:$B419,"s",$C$2:$C419,"CSF"))-1,12)+1),"N/A"),"")</f>
        <v/>
      </c>
      <c r="J419" s="6" t="str">
        <f>IF(AND($A419&lt;&gt;"",$B419&lt;&gt;"",$C419&lt;&gt;"",$D419&lt;&gt;"",$E419&lt;&gt;""),IF(AND($B419="s",OR($C419="SER",$C419="PLH")),"Case MAX Planck Plate "&amp;(INT(((COUNTIFS($B$2:$B419,"s",$C$2:$C419,"SER")+COUNTIFS($B$2:$B419,"s",$C$2:$C419,"PLH"))-1)/96)+1)&amp;": "&amp;CHAR(65+INT(MOD((COUNTIFS($B$2:$B419,"s",$C$2:$C419,"SER")+COUNTIFS($B$2:$B419,"s",$C$2:$C419,"PLH"))-1,96)/12))&amp;(MOD((COUNTIFS($B$2:$B419,"s",$C$2:$C419,"SER")+COUNTIFS($B$2:$B419,"s",$C$2:$C419,"PLH"))-1,12)+1),"N/A"),"")</f>
        <v/>
      </c>
      <c r="K419" s="6" t="str">
        <f>IF(AND($A419&lt;&gt;"",$B419&lt;&gt;"",$C419&lt;&gt;"",$D419&lt;&gt;"",$E419&lt;&gt;""),IF($C419="WB","Case WB Box "&amp;(INT((COUNTIFS($C$2:$C419,"WB")-1)/81)+1)&amp;": "&amp;CHAR(65+INT(MOD(COUNTIFS($C$2:$C419,"WB")-1,81)/9))&amp;(MOD(COUNTIFS($C$2:$C419,"WB")-1,9)+1),"N/A"),"")</f>
        <v/>
      </c>
      <c r="L419" s="2" t="str">
        <f t="shared" si="109"/>
        <v/>
      </c>
      <c r="M419" s="2"/>
      <c r="N419" s="2"/>
      <c r="O419" s="2"/>
      <c r="P419" s="7" t="str">
        <f t="shared" si="110"/>
        <v/>
      </c>
      <c r="Q419" s="7" t="str">
        <f t="shared" si="111"/>
        <v/>
      </c>
      <c r="R419" s="7" t="str">
        <f t="shared" si="112"/>
        <v/>
      </c>
      <c r="S419" s="7" t="str">
        <f t="shared" si="113"/>
        <v/>
      </c>
      <c r="T419" s="7" t="str">
        <f t="shared" si="114"/>
        <v/>
      </c>
      <c r="U419" s="7" t="str">
        <f t="shared" si="115"/>
        <v/>
      </c>
      <c r="V419" s="7" t="str">
        <f t="shared" si="116"/>
        <v/>
      </c>
      <c r="W419" s="7" t="str">
        <f t="shared" si="117"/>
        <v/>
      </c>
      <c r="X419" s="7" t="str">
        <f t="shared" si="118"/>
        <v/>
      </c>
      <c r="Y419" s="7" t="str">
        <f t="shared" si="119"/>
        <v/>
      </c>
      <c r="Z419">
        <f t="shared" si="120"/>
        <v>0</v>
      </c>
      <c r="AA419" t="str">
        <f t="shared" si="121"/>
        <v/>
      </c>
      <c r="AB419" t="str">
        <f t="shared" si="122"/>
        <v/>
      </c>
      <c r="AC419" t="str">
        <f t="shared" si="123"/>
        <v/>
      </c>
      <c r="AD419" t="str">
        <f t="shared" si="124"/>
        <v/>
      </c>
      <c r="AE419">
        <f t="shared" si="125"/>
        <v>0</v>
      </c>
    </row>
    <row r="420" spans="1:31" ht="15" customHeight="1" x14ac:dyDescent="0.35">
      <c r="A420" s="2"/>
      <c r="B420" s="3"/>
      <c r="C420" s="3"/>
      <c r="D420" s="4"/>
      <c r="E420" s="5"/>
      <c r="F420" s="11" t="str">
        <f t="shared" ca="1" si="108"/>
        <v/>
      </c>
      <c r="G420" s="5"/>
      <c r="H420" s="6" t="str">
        <f>IF(AND($A420&lt;&gt;"",$B420&lt;&gt;"",$C420&lt;&gt;"",$D420&lt;&gt;"",$E420&lt;&gt;""),IF(AND($B420="s",OR($C420="SER",$C420="PLH",$C420="CSF")),"Case CDI Plate "&amp;(INT(((COUNTIFS($B$2:$B420,"s",$C$2:$C420,"SER")+COUNTIFS($B$2:$B420,"s",$C$2:$C420,"PLH")+COUNTIFS($B$2:$B420,"s",$C$2:$C420,"CSF"))-1)/96)+1)&amp;": "&amp;CHAR(65+INT(MOD((COUNTIFS($B$2:$B420,"s",$C$2:$C420,"SER")+COUNTIFS($B$2:$B420,"s",$C$2:$C420,"PLH")+COUNTIFS($B$2:$B420,"s",$C$2:$C420,"CSF"))-1,96)/12))&amp;(MOD((COUNTIFS($B$2:$B420,"s",$C$2:$C420,"SER")+COUNTIFS($B$2:$B420,"s",$C$2:$C420,"PLH")+COUNTIFS($B$2:$B420,"s",$C$2:$C420,"CSF"))-1,12)+1),"N/A"),"")</f>
        <v/>
      </c>
      <c r="I420" s="6" t="str">
        <f>IF(AND($A420&lt;&gt;"",$B420&lt;&gt;"",$C420&lt;&gt;"",$D420&lt;&gt;"",$E420&lt;&gt;""),IF(AND($B420="s",OR($C420="SER",$C420="PLH",$C420="CSF")),"Case NIH Plate "&amp;(INT(((COUNTIFS($B$2:$B420,"s",$C$2:$C420,"SER")+COUNTIFS($B$2:$B420,"s",$C$2:$C420,"PLH")+COUNTIFS($B$2:$B420,"s",$C$2:$C420,"CSF"))-1)/96)+1)&amp;": "&amp;CHAR(65+INT(MOD((COUNTIFS($B$2:$B420,"s",$C$2:$C420,"SER")+COUNTIFS($B$2:$B420,"s",$C$2:$C420,"PLH")+COUNTIFS($B$2:$B420,"s",$C$2:$C420,"CSF"))-1,96)/12))&amp;(MOD((COUNTIFS($B$2:$B420,"s",$C$2:$C420,"SER")+COUNTIFS($B$2:$B420,"s",$C$2:$C420,"PLH")+COUNTIFS($B$2:$B420,"s",$C$2:$C420,"CSF"))-1,12)+1),"N/A"),"")</f>
        <v/>
      </c>
      <c r="J420" s="6" t="str">
        <f>IF(AND($A420&lt;&gt;"",$B420&lt;&gt;"",$C420&lt;&gt;"",$D420&lt;&gt;"",$E420&lt;&gt;""),IF(AND($B420="s",OR($C420="SER",$C420="PLH")),"Case MAX Planck Plate "&amp;(INT(((COUNTIFS($B$2:$B420,"s",$C$2:$C420,"SER")+COUNTIFS($B$2:$B420,"s",$C$2:$C420,"PLH"))-1)/96)+1)&amp;": "&amp;CHAR(65+INT(MOD((COUNTIFS($B$2:$B420,"s",$C$2:$C420,"SER")+COUNTIFS($B$2:$B420,"s",$C$2:$C420,"PLH"))-1,96)/12))&amp;(MOD((COUNTIFS($B$2:$B420,"s",$C$2:$C420,"SER")+COUNTIFS($B$2:$B420,"s",$C$2:$C420,"PLH"))-1,12)+1),"N/A"),"")</f>
        <v/>
      </c>
      <c r="K420" s="6" t="str">
        <f>IF(AND($A420&lt;&gt;"",$B420&lt;&gt;"",$C420&lt;&gt;"",$D420&lt;&gt;"",$E420&lt;&gt;""),IF($C420="WB","Case WB Box "&amp;(INT((COUNTIFS($C$2:$C420,"WB")-1)/81)+1)&amp;": "&amp;CHAR(65+INT(MOD(COUNTIFS($C$2:$C420,"WB")-1,81)/9))&amp;(MOD(COUNTIFS($C$2:$C420,"WB")-1,9)+1),"N/A"),"")</f>
        <v/>
      </c>
      <c r="L420" s="2" t="str">
        <f t="shared" si="109"/>
        <v/>
      </c>
      <c r="M420" s="2"/>
      <c r="N420" s="2"/>
      <c r="O420" s="2"/>
      <c r="P420" s="7" t="str">
        <f t="shared" si="110"/>
        <v/>
      </c>
      <c r="Q420" s="7" t="str">
        <f t="shared" si="111"/>
        <v/>
      </c>
      <c r="R420" s="7" t="str">
        <f t="shared" si="112"/>
        <v/>
      </c>
      <c r="S420" s="7" t="str">
        <f t="shared" si="113"/>
        <v/>
      </c>
      <c r="T420" s="7" t="str">
        <f t="shared" si="114"/>
        <v/>
      </c>
      <c r="U420" s="7" t="str">
        <f t="shared" si="115"/>
        <v/>
      </c>
      <c r="V420" s="7" t="str">
        <f t="shared" si="116"/>
        <v/>
      </c>
      <c r="W420" s="7" t="str">
        <f t="shared" si="117"/>
        <v/>
      </c>
      <c r="X420" s="7" t="str">
        <f t="shared" si="118"/>
        <v/>
      </c>
      <c r="Y420" s="7" t="str">
        <f t="shared" si="119"/>
        <v/>
      </c>
      <c r="Z420">
        <f t="shared" si="120"/>
        <v>0</v>
      </c>
      <c r="AA420" t="str">
        <f t="shared" si="121"/>
        <v/>
      </c>
      <c r="AB420" t="str">
        <f t="shared" si="122"/>
        <v/>
      </c>
      <c r="AC420" t="str">
        <f t="shared" si="123"/>
        <v/>
      </c>
      <c r="AD420" t="str">
        <f t="shared" si="124"/>
        <v/>
      </c>
      <c r="AE420">
        <f t="shared" si="125"/>
        <v>0</v>
      </c>
    </row>
    <row r="421" spans="1:31" ht="15" customHeight="1" x14ac:dyDescent="0.35">
      <c r="A421" s="2"/>
      <c r="B421" s="3"/>
      <c r="C421" s="3"/>
      <c r="D421" s="4"/>
      <c r="E421" s="5"/>
      <c r="F421" s="11" t="str">
        <f t="shared" ca="1" si="108"/>
        <v/>
      </c>
      <c r="G421" s="5"/>
      <c r="H421" s="6" t="str">
        <f>IF(AND($A421&lt;&gt;"",$B421&lt;&gt;"",$C421&lt;&gt;"",$D421&lt;&gt;"",$E421&lt;&gt;""),IF(AND($B421="s",OR($C421="SER",$C421="PLH",$C421="CSF")),"Case CDI Plate "&amp;(INT(((COUNTIFS($B$2:$B421,"s",$C$2:$C421,"SER")+COUNTIFS($B$2:$B421,"s",$C$2:$C421,"PLH")+COUNTIFS($B$2:$B421,"s",$C$2:$C421,"CSF"))-1)/96)+1)&amp;": "&amp;CHAR(65+INT(MOD((COUNTIFS($B$2:$B421,"s",$C$2:$C421,"SER")+COUNTIFS($B$2:$B421,"s",$C$2:$C421,"PLH")+COUNTIFS($B$2:$B421,"s",$C$2:$C421,"CSF"))-1,96)/12))&amp;(MOD((COUNTIFS($B$2:$B421,"s",$C$2:$C421,"SER")+COUNTIFS($B$2:$B421,"s",$C$2:$C421,"PLH")+COUNTIFS($B$2:$B421,"s",$C$2:$C421,"CSF"))-1,12)+1),"N/A"),"")</f>
        <v/>
      </c>
      <c r="I421" s="6" t="str">
        <f>IF(AND($A421&lt;&gt;"",$B421&lt;&gt;"",$C421&lt;&gt;"",$D421&lt;&gt;"",$E421&lt;&gt;""),IF(AND($B421="s",OR($C421="SER",$C421="PLH",$C421="CSF")),"Case NIH Plate "&amp;(INT(((COUNTIFS($B$2:$B421,"s",$C$2:$C421,"SER")+COUNTIFS($B$2:$B421,"s",$C$2:$C421,"PLH")+COUNTIFS($B$2:$B421,"s",$C$2:$C421,"CSF"))-1)/96)+1)&amp;": "&amp;CHAR(65+INT(MOD((COUNTIFS($B$2:$B421,"s",$C$2:$C421,"SER")+COUNTIFS($B$2:$B421,"s",$C$2:$C421,"PLH")+COUNTIFS($B$2:$B421,"s",$C$2:$C421,"CSF"))-1,96)/12))&amp;(MOD((COUNTIFS($B$2:$B421,"s",$C$2:$C421,"SER")+COUNTIFS($B$2:$B421,"s",$C$2:$C421,"PLH")+COUNTIFS($B$2:$B421,"s",$C$2:$C421,"CSF"))-1,12)+1),"N/A"),"")</f>
        <v/>
      </c>
      <c r="J421" s="6" t="str">
        <f>IF(AND($A421&lt;&gt;"",$B421&lt;&gt;"",$C421&lt;&gt;"",$D421&lt;&gt;"",$E421&lt;&gt;""),IF(AND($B421="s",OR($C421="SER",$C421="PLH")),"Case MAX Planck Plate "&amp;(INT(((COUNTIFS($B$2:$B421,"s",$C$2:$C421,"SER")+COUNTIFS($B$2:$B421,"s",$C$2:$C421,"PLH"))-1)/96)+1)&amp;": "&amp;CHAR(65+INT(MOD((COUNTIFS($B$2:$B421,"s",$C$2:$C421,"SER")+COUNTIFS($B$2:$B421,"s",$C$2:$C421,"PLH"))-1,96)/12))&amp;(MOD((COUNTIFS($B$2:$B421,"s",$C$2:$C421,"SER")+COUNTIFS($B$2:$B421,"s",$C$2:$C421,"PLH"))-1,12)+1),"N/A"),"")</f>
        <v/>
      </c>
      <c r="K421" s="6" t="str">
        <f>IF(AND($A421&lt;&gt;"",$B421&lt;&gt;"",$C421&lt;&gt;"",$D421&lt;&gt;"",$E421&lt;&gt;""),IF($C421="WB","Case WB Box "&amp;(INT((COUNTIFS($C$2:$C421,"WB")-1)/81)+1)&amp;": "&amp;CHAR(65+INT(MOD(COUNTIFS($C$2:$C421,"WB")-1,81)/9))&amp;(MOD(COUNTIFS($C$2:$C421,"WB")-1,9)+1),"N/A"),"")</f>
        <v/>
      </c>
      <c r="L421" s="2" t="str">
        <f t="shared" si="109"/>
        <v/>
      </c>
      <c r="M421" s="2"/>
      <c r="N421" s="2"/>
      <c r="O421" s="2"/>
      <c r="P421" s="7" t="str">
        <f t="shared" si="110"/>
        <v/>
      </c>
      <c r="Q421" s="7" t="str">
        <f t="shared" si="111"/>
        <v/>
      </c>
      <c r="R421" s="7" t="str">
        <f t="shared" si="112"/>
        <v/>
      </c>
      <c r="S421" s="7" t="str">
        <f t="shared" si="113"/>
        <v/>
      </c>
      <c r="T421" s="7" t="str">
        <f t="shared" si="114"/>
        <v/>
      </c>
      <c r="U421" s="7" t="str">
        <f t="shared" si="115"/>
        <v/>
      </c>
      <c r="V421" s="7" t="str">
        <f t="shared" si="116"/>
        <v/>
      </c>
      <c r="W421" s="7" t="str">
        <f t="shared" si="117"/>
        <v/>
      </c>
      <c r="X421" s="7" t="str">
        <f t="shared" si="118"/>
        <v/>
      </c>
      <c r="Y421" s="7" t="str">
        <f t="shared" si="119"/>
        <v/>
      </c>
      <c r="Z421">
        <f t="shared" si="120"/>
        <v>0</v>
      </c>
      <c r="AA421" t="str">
        <f t="shared" si="121"/>
        <v/>
      </c>
      <c r="AB421" t="str">
        <f t="shared" si="122"/>
        <v/>
      </c>
      <c r="AC421" t="str">
        <f t="shared" si="123"/>
        <v/>
      </c>
      <c r="AD421" t="str">
        <f t="shared" si="124"/>
        <v/>
      </c>
      <c r="AE421">
        <f t="shared" si="125"/>
        <v>0</v>
      </c>
    </row>
    <row r="422" spans="1:31" ht="15" customHeight="1" x14ac:dyDescent="0.35">
      <c r="A422" s="2"/>
      <c r="B422" s="3"/>
      <c r="C422" s="3"/>
      <c r="D422" s="4"/>
      <c r="E422" s="5"/>
      <c r="F422" s="11" t="str">
        <f t="shared" ca="1" si="108"/>
        <v/>
      </c>
      <c r="G422" s="5"/>
      <c r="H422" s="6" t="str">
        <f>IF(AND($A422&lt;&gt;"",$B422&lt;&gt;"",$C422&lt;&gt;"",$D422&lt;&gt;"",$E422&lt;&gt;""),IF(AND($B422="s",OR($C422="SER",$C422="PLH",$C422="CSF")),"Case CDI Plate "&amp;(INT(((COUNTIFS($B$2:$B422,"s",$C$2:$C422,"SER")+COUNTIFS($B$2:$B422,"s",$C$2:$C422,"PLH")+COUNTIFS($B$2:$B422,"s",$C$2:$C422,"CSF"))-1)/96)+1)&amp;": "&amp;CHAR(65+INT(MOD((COUNTIFS($B$2:$B422,"s",$C$2:$C422,"SER")+COUNTIFS($B$2:$B422,"s",$C$2:$C422,"PLH")+COUNTIFS($B$2:$B422,"s",$C$2:$C422,"CSF"))-1,96)/12))&amp;(MOD((COUNTIFS($B$2:$B422,"s",$C$2:$C422,"SER")+COUNTIFS($B$2:$B422,"s",$C$2:$C422,"PLH")+COUNTIFS($B$2:$B422,"s",$C$2:$C422,"CSF"))-1,12)+1),"N/A"),"")</f>
        <v/>
      </c>
      <c r="I422" s="6" t="str">
        <f>IF(AND($A422&lt;&gt;"",$B422&lt;&gt;"",$C422&lt;&gt;"",$D422&lt;&gt;"",$E422&lt;&gt;""),IF(AND($B422="s",OR($C422="SER",$C422="PLH",$C422="CSF")),"Case NIH Plate "&amp;(INT(((COUNTIFS($B$2:$B422,"s",$C$2:$C422,"SER")+COUNTIFS($B$2:$B422,"s",$C$2:$C422,"PLH")+COUNTIFS($B$2:$B422,"s",$C$2:$C422,"CSF"))-1)/96)+1)&amp;": "&amp;CHAR(65+INT(MOD((COUNTIFS($B$2:$B422,"s",$C$2:$C422,"SER")+COUNTIFS($B$2:$B422,"s",$C$2:$C422,"PLH")+COUNTIFS($B$2:$B422,"s",$C$2:$C422,"CSF"))-1,96)/12))&amp;(MOD((COUNTIFS($B$2:$B422,"s",$C$2:$C422,"SER")+COUNTIFS($B$2:$B422,"s",$C$2:$C422,"PLH")+COUNTIFS($B$2:$B422,"s",$C$2:$C422,"CSF"))-1,12)+1),"N/A"),"")</f>
        <v/>
      </c>
      <c r="J422" s="6" t="str">
        <f>IF(AND($A422&lt;&gt;"",$B422&lt;&gt;"",$C422&lt;&gt;"",$D422&lt;&gt;"",$E422&lt;&gt;""),IF(AND($B422="s",OR($C422="SER",$C422="PLH")),"Case MAX Planck Plate "&amp;(INT(((COUNTIFS($B$2:$B422,"s",$C$2:$C422,"SER")+COUNTIFS($B$2:$B422,"s",$C$2:$C422,"PLH"))-1)/96)+1)&amp;": "&amp;CHAR(65+INT(MOD((COUNTIFS($B$2:$B422,"s",$C$2:$C422,"SER")+COUNTIFS($B$2:$B422,"s",$C$2:$C422,"PLH"))-1,96)/12))&amp;(MOD((COUNTIFS($B$2:$B422,"s",$C$2:$C422,"SER")+COUNTIFS($B$2:$B422,"s",$C$2:$C422,"PLH"))-1,12)+1),"N/A"),"")</f>
        <v/>
      </c>
      <c r="K422" s="6" t="str">
        <f>IF(AND($A422&lt;&gt;"",$B422&lt;&gt;"",$C422&lt;&gt;"",$D422&lt;&gt;"",$E422&lt;&gt;""),IF($C422="WB","Case WB Box "&amp;(INT((COUNTIFS($C$2:$C422,"WB")-1)/81)+1)&amp;": "&amp;CHAR(65+INT(MOD(COUNTIFS($C$2:$C422,"WB")-1,81)/9))&amp;(MOD(COUNTIFS($C$2:$C422,"WB")-1,9)+1),"N/A"),"")</f>
        <v/>
      </c>
      <c r="L422" s="2" t="str">
        <f t="shared" si="109"/>
        <v/>
      </c>
      <c r="M422" s="2"/>
      <c r="N422" s="2"/>
      <c r="O422" s="2"/>
      <c r="P422" s="7" t="str">
        <f t="shared" si="110"/>
        <v/>
      </c>
      <c r="Q422" s="7" t="str">
        <f t="shared" si="111"/>
        <v/>
      </c>
      <c r="R422" s="7" t="str">
        <f t="shared" si="112"/>
        <v/>
      </c>
      <c r="S422" s="7" t="str">
        <f t="shared" si="113"/>
        <v/>
      </c>
      <c r="T422" s="7" t="str">
        <f t="shared" si="114"/>
        <v/>
      </c>
      <c r="U422" s="7" t="str">
        <f t="shared" si="115"/>
        <v/>
      </c>
      <c r="V422" s="7" t="str">
        <f t="shared" si="116"/>
        <v/>
      </c>
      <c r="W422" s="7" t="str">
        <f t="shared" si="117"/>
        <v/>
      </c>
      <c r="X422" s="7" t="str">
        <f t="shared" si="118"/>
        <v/>
      </c>
      <c r="Y422" s="7" t="str">
        <f t="shared" si="119"/>
        <v/>
      </c>
      <c r="Z422">
        <f t="shared" si="120"/>
        <v>0</v>
      </c>
      <c r="AA422" t="str">
        <f t="shared" si="121"/>
        <v/>
      </c>
      <c r="AB422" t="str">
        <f t="shared" si="122"/>
        <v/>
      </c>
      <c r="AC422" t="str">
        <f t="shared" si="123"/>
        <v/>
      </c>
      <c r="AD422" t="str">
        <f t="shared" si="124"/>
        <v/>
      </c>
      <c r="AE422">
        <f t="shared" si="125"/>
        <v>0</v>
      </c>
    </row>
    <row r="423" spans="1:31" ht="15" customHeight="1" x14ac:dyDescent="0.35">
      <c r="A423" s="2"/>
      <c r="B423" s="3"/>
      <c r="C423" s="3"/>
      <c r="D423" s="4"/>
      <c r="E423" s="5"/>
      <c r="F423" s="11" t="str">
        <f t="shared" ca="1" si="108"/>
        <v/>
      </c>
      <c r="G423" s="5"/>
      <c r="H423" s="6" t="str">
        <f>IF(AND($A423&lt;&gt;"",$B423&lt;&gt;"",$C423&lt;&gt;"",$D423&lt;&gt;"",$E423&lt;&gt;""),IF(AND($B423="s",OR($C423="SER",$C423="PLH",$C423="CSF")),"Case CDI Plate "&amp;(INT(((COUNTIFS($B$2:$B423,"s",$C$2:$C423,"SER")+COUNTIFS($B$2:$B423,"s",$C$2:$C423,"PLH")+COUNTIFS($B$2:$B423,"s",$C$2:$C423,"CSF"))-1)/96)+1)&amp;": "&amp;CHAR(65+INT(MOD((COUNTIFS($B$2:$B423,"s",$C$2:$C423,"SER")+COUNTIFS($B$2:$B423,"s",$C$2:$C423,"PLH")+COUNTIFS($B$2:$B423,"s",$C$2:$C423,"CSF"))-1,96)/12))&amp;(MOD((COUNTIFS($B$2:$B423,"s",$C$2:$C423,"SER")+COUNTIFS($B$2:$B423,"s",$C$2:$C423,"PLH")+COUNTIFS($B$2:$B423,"s",$C$2:$C423,"CSF"))-1,12)+1),"N/A"),"")</f>
        <v/>
      </c>
      <c r="I423" s="6" t="str">
        <f>IF(AND($A423&lt;&gt;"",$B423&lt;&gt;"",$C423&lt;&gt;"",$D423&lt;&gt;"",$E423&lt;&gt;""),IF(AND($B423="s",OR($C423="SER",$C423="PLH",$C423="CSF")),"Case NIH Plate "&amp;(INT(((COUNTIFS($B$2:$B423,"s",$C$2:$C423,"SER")+COUNTIFS($B$2:$B423,"s",$C$2:$C423,"PLH")+COUNTIFS($B$2:$B423,"s",$C$2:$C423,"CSF"))-1)/96)+1)&amp;": "&amp;CHAR(65+INT(MOD((COUNTIFS($B$2:$B423,"s",$C$2:$C423,"SER")+COUNTIFS($B$2:$B423,"s",$C$2:$C423,"PLH")+COUNTIFS($B$2:$B423,"s",$C$2:$C423,"CSF"))-1,96)/12))&amp;(MOD((COUNTIFS($B$2:$B423,"s",$C$2:$C423,"SER")+COUNTIFS($B$2:$B423,"s",$C$2:$C423,"PLH")+COUNTIFS($B$2:$B423,"s",$C$2:$C423,"CSF"))-1,12)+1),"N/A"),"")</f>
        <v/>
      </c>
      <c r="J423" s="6" t="str">
        <f>IF(AND($A423&lt;&gt;"",$B423&lt;&gt;"",$C423&lt;&gt;"",$D423&lt;&gt;"",$E423&lt;&gt;""),IF(AND($B423="s",OR($C423="SER",$C423="PLH")),"Case MAX Planck Plate "&amp;(INT(((COUNTIFS($B$2:$B423,"s",$C$2:$C423,"SER")+COUNTIFS($B$2:$B423,"s",$C$2:$C423,"PLH"))-1)/96)+1)&amp;": "&amp;CHAR(65+INT(MOD((COUNTIFS($B$2:$B423,"s",$C$2:$C423,"SER")+COUNTIFS($B$2:$B423,"s",$C$2:$C423,"PLH"))-1,96)/12))&amp;(MOD((COUNTIFS($B$2:$B423,"s",$C$2:$C423,"SER")+COUNTIFS($B$2:$B423,"s",$C$2:$C423,"PLH"))-1,12)+1),"N/A"),"")</f>
        <v/>
      </c>
      <c r="K423" s="6" t="str">
        <f>IF(AND($A423&lt;&gt;"",$B423&lt;&gt;"",$C423&lt;&gt;"",$D423&lt;&gt;"",$E423&lt;&gt;""),IF($C423="WB","Case WB Box "&amp;(INT((COUNTIFS($C$2:$C423,"WB")-1)/81)+1)&amp;": "&amp;CHAR(65+INT(MOD(COUNTIFS($C$2:$C423,"WB")-1,81)/9))&amp;(MOD(COUNTIFS($C$2:$C423,"WB")-1,9)+1),"N/A"),"")</f>
        <v/>
      </c>
      <c r="L423" s="2" t="str">
        <f t="shared" si="109"/>
        <v/>
      </c>
      <c r="M423" s="2"/>
      <c r="N423" s="2"/>
      <c r="O423" s="2"/>
      <c r="P423" s="7" t="str">
        <f t="shared" si="110"/>
        <v/>
      </c>
      <c r="Q423" s="7" t="str">
        <f t="shared" si="111"/>
        <v/>
      </c>
      <c r="R423" s="7" t="str">
        <f t="shared" si="112"/>
        <v/>
      </c>
      <c r="S423" s="7" t="str">
        <f t="shared" si="113"/>
        <v/>
      </c>
      <c r="T423" s="7" t="str">
        <f t="shared" si="114"/>
        <v/>
      </c>
      <c r="U423" s="7" t="str">
        <f t="shared" si="115"/>
        <v/>
      </c>
      <c r="V423" s="7" t="str">
        <f t="shared" si="116"/>
        <v/>
      </c>
      <c r="W423" s="7" t="str">
        <f t="shared" si="117"/>
        <v/>
      </c>
      <c r="X423" s="7" t="str">
        <f t="shared" si="118"/>
        <v/>
      </c>
      <c r="Y423" s="7" t="str">
        <f t="shared" si="119"/>
        <v/>
      </c>
      <c r="Z423">
        <f t="shared" si="120"/>
        <v>0</v>
      </c>
      <c r="AA423" t="str">
        <f t="shared" si="121"/>
        <v/>
      </c>
      <c r="AB423" t="str">
        <f t="shared" si="122"/>
        <v/>
      </c>
      <c r="AC423" t="str">
        <f t="shared" si="123"/>
        <v/>
      </c>
      <c r="AD423" t="str">
        <f t="shared" si="124"/>
        <v/>
      </c>
      <c r="AE423">
        <f t="shared" si="125"/>
        <v>0</v>
      </c>
    </row>
    <row r="424" spans="1:31" ht="15" customHeight="1" x14ac:dyDescent="0.35">
      <c r="A424" s="2"/>
      <c r="B424" s="3"/>
      <c r="C424" s="3"/>
      <c r="D424" s="4"/>
      <c r="E424" s="5"/>
      <c r="F424" s="11" t="str">
        <f t="shared" ca="1" si="108"/>
        <v/>
      </c>
      <c r="G424" s="5"/>
      <c r="H424" s="6" t="str">
        <f>IF(AND($A424&lt;&gt;"",$B424&lt;&gt;"",$C424&lt;&gt;"",$D424&lt;&gt;"",$E424&lt;&gt;""),IF(AND($B424="s",OR($C424="SER",$C424="PLH",$C424="CSF")),"Case CDI Plate "&amp;(INT(((COUNTIFS($B$2:$B424,"s",$C$2:$C424,"SER")+COUNTIFS($B$2:$B424,"s",$C$2:$C424,"PLH")+COUNTIFS($B$2:$B424,"s",$C$2:$C424,"CSF"))-1)/96)+1)&amp;": "&amp;CHAR(65+INT(MOD((COUNTIFS($B$2:$B424,"s",$C$2:$C424,"SER")+COUNTIFS($B$2:$B424,"s",$C$2:$C424,"PLH")+COUNTIFS($B$2:$B424,"s",$C$2:$C424,"CSF"))-1,96)/12))&amp;(MOD((COUNTIFS($B$2:$B424,"s",$C$2:$C424,"SER")+COUNTIFS($B$2:$B424,"s",$C$2:$C424,"PLH")+COUNTIFS($B$2:$B424,"s",$C$2:$C424,"CSF"))-1,12)+1),"N/A"),"")</f>
        <v/>
      </c>
      <c r="I424" s="6" t="str">
        <f>IF(AND($A424&lt;&gt;"",$B424&lt;&gt;"",$C424&lt;&gt;"",$D424&lt;&gt;"",$E424&lt;&gt;""),IF(AND($B424="s",OR($C424="SER",$C424="PLH",$C424="CSF")),"Case NIH Plate "&amp;(INT(((COUNTIFS($B$2:$B424,"s",$C$2:$C424,"SER")+COUNTIFS($B$2:$B424,"s",$C$2:$C424,"PLH")+COUNTIFS($B$2:$B424,"s",$C$2:$C424,"CSF"))-1)/96)+1)&amp;": "&amp;CHAR(65+INT(MOD((COUNTIFS($B$2:$B424,"s",$C$2:$C424,"SER")+COUNTIFS($B$2:$B424,"s",$C$2:$C424,"PLH")+COUNTIFS($B$2:$B424,"s",$C$2:$C424,"CSF"))-1,96)/12))&amp;(MOD((COUNTIFS($B$2:$B424,"s",$C$2:$C424,"SER")+COUNTIFS($B$2:$B424,"s",$C$2:$C424,"PLH")+COUNTIFS($B$2:$B424,"s",$C$2:$C424,"CSF"))-1,12)+1),"N/A"),"")</f>
        <v/>
      </c>
      <c r="J424" s="6" t="str">
        <f>IF(AND($A424&lt;&gt;"",$B424&lt;&gt;"",$C424&lt;&gt;"",$D424&lt;&gt;"",$E424&lt;&gt;""),IF(AND($B424="s",OR($C424="SER",$C424="PLH")),"Case MAX Planck Plate "&amp;(INT(((COUNTIFS($B$2:$B424,"s",$C$2:$C424,"SER")+COUNTIFS($B$2:$B424,"s",$C$2:$C424,"PLH"))-1)/96)+1)&amp;": "&amp;CHAR(65+INT(MOD((COUNTIFS($B$2:$B424,"s",$C$2:$C424,"SER")+COUNTIFS($B$2:$B424,"s",$C$2:$C424,"PLH"))-1,96)/12))&amp;(MOD((COUNTIFS($B$2:$B424,"s",$C$2:$C424,"SER")+COUNTIFS($B$2:$B424,"s",$C$2:$C424,"PLH"))-1,12)+1),"N/A"),"")</f>
        <v/>
      </c>
      <c r="K424" s="6" t="str">
        <f>IF(AND($A424&lt;&gt;"",$B424&lt;&gt;"",$C424&lt;&gt;"",$D424&lt;&gt;"",$E424&lt;&gt;""),IF($C424="WB","Case WB Box "&amp;(INT((COUNTIFS($C$2:$C424,"WB")-1)/81)+1)&amp;": "&amp;CHAR(65+INT(MOD(COUNTIFS($C$2:$C424,"WB")-1,81)/9))&amp;(MOD(COUNTIFS($C$2:$C424,"WB")-1,9)+1),"N/A"),"")</f>
        <v/>
      </c>
      <c r="L424" s="2" t="str">
        <f t="shared" si="109"/>
        <v/>
      </c>
      <c r="M424" s="2"/>
      <c r="N424" s="2"/>
      <c r="O424" s="2"/>
      <c r="P424" s="7" t="str">
        <f t="shared" si="110"/>
        <v/>
      </c>
      <c r="Q424" s="7" t="str">
        <f t="shared" si="111"/>
        <v/>
      </c>
      <c r="R424" s="7" t="str">
        <f t="shared" si="112"/>
        <v/>
      </c>
      <c r="S424" s="7" t="str">
        <f t="shared" si="113"/>
        <v/>
      </c>
      <c r="T424" s="7" t="str">
        <f t="shared" si="114"/>
        <v/>
      </c>
      <c r="U424" s="7" t="str">
        <f t="shared" si="115"/>
        <v/>
      </c>
      <c r="V424" s="7" t="str">
        <f t="shared" si="116"/>
        <v/>
      </c>
      <c r="W424" s="7" t="str">
        <f t="shared" si="117"/>
        <v/>
      </c>
      <c r="X424" s="7" t="str">
        <f t="shared" si="118"/>
        <v/>
      </c>
      <c r="Y424" s="7" t="str">
        <f t="shared" si="119"/>
        <v/>
      </c>
      <c r="Z424">
        <f t="shared" si="120"/>
        <v>0</v>
      </c>
      <c r="AA424" t="str">
        <f t="shared" si="121"/>
        <v/>
      </c>
      <c r="AB424" t="str">
        <f t="shared" si="122"/>
        <v/>
      </c>
      <c r="AC424" t="str">
        <f t="shared" si="123"/>
        <v/>
      </c>
      <c r="AD424" t="str">
        <f t="shared" si="124"/>
        <v/>
      </c>
      <c r="AE424">
        <f t="shared" si="125"/>
        <v>0</v>
      </c>
    </row>
    <row r="425" spans="1:31" ht="15" customHeight="1" x14ac:dyDescent="0.35">
      <c r="A425" s="2"/>
      <c r="B425" s="3"/>
      <c r="C425" s="3"/>
      <c r="D425" s="4"/>
      <c r="E425" s="5"/>
      <c r="F425" s="11" t="str">
        <f t="shared" ca="1" si="108"/>
        <v/>
      </c>
      <c r="G425" s="5"/>
      <c r="H425" s="6" t="str">
        <f>IF(AND($A425&lt;&gt;"",$B425&lt;&gt;"",$C425&lt;&gt;"",$D425&lt;&gt;"",$E425&lt;&gt;""),IF(AND($B425="s",OR($C425="SER",$C425="PLH",$C425="CSF")),"Case CDI Plate "&amp;(INT(((COUNTIFS($B$2:$B425,"s",$C$2:$C425,"SER")+COUNTIFS($B$2:$B425,"s",$C$2:$C425,"PLH")+COUNTIFS($B$2:$B425,"s",$C$2:$C425,"CSF"))-1)/96)+1)&amp;": "&amp;CHAR(65+INT(MOD((COUNTIFS($B$2:$B425,"s",$C$2:$C425,"SER")+COUNTIFS($B$2:$B425,"s",$C$2:$C425,"PLH")+COUNTIFS($B$2:$B425,"s",$C$2:$C425,"CSF"))-1,96)/12))&amp;(MOD((COUNTIFS($B$2:$B425,"s",$C$2:$C425,"SER")+COUNTIFS($B$2:$B425,"s",$C$2:$C425,"PLH")+COUNTIFS($B$2:$B425,"s",$C$2:$C425,"CSF"))-1,12)+1),"N/A"),"")</f>
        <v/>
      </c>
      <c r="I425" s="6" t="str">
        <f>IF(AND($A425&lt;&gt;"",$B425&lt;&gt;"",$C425&lt;&gt;"",$D425&lt;&gt;"",$E425&lt;&gt;""),IF(AND($B425="s",OR($C425="SER",$C425="PLH",$C425="CSF")),"Case NIH Plate "&amp;(INT(((COUNTIFS($B$2:$B425,"s",$C$2:$C425,"SER")+COUNTIFS($B$2:$B425,"s",$C$2:$C425,"PLH")+COUNTIFS($B$2:$B425,"s",$C$2:$C425,"CSF"))-1)/96)+1)&amp;": "&amp;CHAR(65+INT(MOD((COUNTIFS($B$2:$B425,"s",$C$2:$C425,"SER")+COUNTIFS($B$2:$B425,"s",$C$2:$C425,"PLH")+COUNTIFS($B$2:$B425,"s",$C$2:$C425,"CSF"))-1,96)/12))&amp;(MOD((COUNTIFS($B$2:$B425,"s",$C$2:$C425,"SER")+COUNTIFS($B$2:$B425,"s",$C$2:$C425,"PLH")+COUNTIFS($B$2:$B425,"s",$C$2:$C425,"CSF"))-1,12)+1),"N/A"),"")</f>
        <v/>
      </c>
      <c r="J425" s="6" t="str">
        <f>IF(AND($A425&lt;&gt;"",$B425&lt;&gt;"",$C425&lt;&gt;"",$D425&lt;&gt;"",$E425&lt;&gt;""),IF(AND($B425="s",OR($C425="SER",$C425="PLH")),"Case MAX Planck Plate "&amp;(INT(((COUNTIFS($B$2:$B425,"s",$C$2:$C425,"SER")+COUNTIFS($B$2:$B425,"s",$C$2:$C425,"PLH"))-1)/96)+1)&amp;": "&amp;CHAR(65+INT(MOD((COUNTIFS($B$2:$B425,"s",$C$2:$C425,"SER")+COUNTIFS($B$2:$B425,"s",$C$2:$C425,"PLH"))-1,96)/12))&amp;(MOD((COUNTIFS($B$2:$B425,"s",$C$2:$C425,"SER")+COUNTIFS($B$2:$B425,"s",$C$2:$C425,"PLH"))-1,12)+1),"N/A"),"")</f>
        <v/>
      </c>
      <c r="K425" s="6" t="str">
        <f>IF(AND($A425&lt;&gt;"",$B425&lt;&gt;"",$C425&lt;&gt;"",$D425&lt;&gt;"",$E425&lt;&gt;""),IF($C425="WB","Case WB Box "&amp;(INT((COUNTIFS($C$2:$C425,"WB")-1)/81)+1)&amp;": "&amp;CHAR(65+INT(MOD(COUNTIFS($C$2:$C425,"WB")-1,81)/9))&amp;(MOD(COUNTIFS($C$2:$C425,"WB")-1,9)+1),"N/A"),"")</f>
        <v/>
      </c>
      <c r="L425" s="2" t="str">
        <f t="shared" si="109"/>
        <v/>
      </c>
      <c r="M425" s="2"/>
      <c r="N425" s="2"/>
      <c r="O425" s="2"/>
      <c r="P425" s="7" t="str">
        <f t="shared" si="110"/>
        <v/>
      </c>
      <c r="Q425" s="7" t="str">
        <f t="shared" si="111"/>
        <v/>
      </c>
      <c r="R425" s="7" t="str">
        <f t="shared" si="112"/>
        <v/>
      </c>
      <c r="S425" s="7" t="str">
        <f t="shared" si="113"/>
        <v/>
      </c>
      <c r="T425" s="7" t="str">
        <f t="shared" si="114"/>
        <v/>
      </c>
      <c r="U425" s="7" t="str">
        <f t="shared" si="115"/>
        <v/>
      </c>
      <c r="V425" s="7" t="str">
        <f t="shared" si="116"/>
        <v/>
      </c>
      <c r="W425" s="7" t="str">
        <f t="shared" si="117"/>
        <v/>
      </c>
      <c r="X425" s="7" t="str">
        <f t="shared" si="118"/>
        <v/>
      </c>
      <c r="Y425" s="7" t="str">
        <f t="shared" si="119"/>
        <v/>
      </c>
      <c r="Z425">
        <f t="shared" si="120"/>
        <v>0</v>
      </c>
      <c r="AA425" t="str">
        <f t="shared" si="121"/>
        <v/>
      </c>
      <c r="AB425" t="str">
        <f t="shared" si="122"/>
        <v/>
      </c>
      <c r="AC425" t="str">
        <f t="shared" si="123"/>
        <v/>
      </c>
      <c r="AD425" t="str">
        <f t="shared" si="124"/>
        <v/>
      </c>
      <c r="AE425">
        <f t="shared" si="125"/>
        <v>0</v>
      </c>
    </row>
    <row r="426" spans="1:31" ht="15" customHeight="1" x14ac:dyDescent="0.35">
      <c r="A426" s="2"/>
      <c r="B426" s="3"/>
      <c r="C426" s="3"/>
      <c r="D426" s="4"/>
      <c r="E426" s="5"/>
      <c r="F426" s="11" t="str">
        <f t="shared" ca="1" si="108"/>
        <v/>
      </c>
      <c r="G426" s="5"/>
      <c r="H426" s="6" t="str">
        <f>IF(AND($A426&lt;&gt;"",$B426&lt;&gt;"",$C426&lt;&gt;"",$D426&lt;&gt;"",$E426&lt;&gt;""),IF(AND($B426="s",OR($C426="SER",$C426="PLH",$C426="CSF")),"Case CDI Plate "&amp;(INT(((COUNTIFS($B$2:$B426,"s",$C$2:$C426,"SER")+COUNTIFS($B$2:$B426,"s",$C$2:$C426,"PLH")+COUNTIFS($B$2:$B426,"s",$C$2:$C426,"CSF"))-1)/96)+1)&amp;": "&amp;CHAR(65+INT(MOD((COUNTIFS($B$2:$B426,"s",$C$2:$C426,"SER")+COUNTIFS($B$2:$B426,"s",$C$2:$C426,"PLH")+COUNTIFS($B$2:$B426,"s",$C$2:$C426,"CSF"))-1,96)/12))&amp;(MOD((COUNTIFS($B$2:$B426,"s",$C$2:$C426,"SER")+COUNTIFS($B$2:$B426,"s",$C$2:$C426,"PLH")+COUNTIFS($B$2:$B426,"s",$C$2:$C426,"CSF"))-1,12)+1),"N/A"),"")</f>
        <v/>
      </c>
      <c r="I426" s="6" t="str">
        <f>IF(AND($A426&lt;&gt;"",$B426&lt;&gt;"",$C426&lt;&gt;"",$D426&lt;&gt;"",$E426&lt;&gt;""),IF(AND($B426="s",OR($C426="SER",$C426="PLH",$C426="CSF")),"Case NIH Plate "&amp;(INT(((COUNTIFS($B$2:$B426,"s",$C$2:$C426,"SER")+COUNTIFS($B$2:$B426,"s",$C$2:$C426,"PLH")+COUNTIFS($B$2:$B426,"s",$C$2:$C426,"CSF"))-1)/96)+1)&amp;": "&amp;CHAR(65+INT(MOD((COUNTIFS($B$2:$B426,"s",$C$2:$C426,"SER")+COUNTIFS($B$2:$B426,"s",$C$2:$C426,"PLH")+COUNTIFS($B$2:$B426,"s",$C$2:$C426,"CSF"))-1,96)/12))&amp;(MOD((COUNTIFS($B$2:$B426,"s",$C$2:$C426,"SER")+COUNTIFS($B$2:$B426,"s",$C$2:$C426,"PLH")+COUNTIFS($B$2:$B426,"s",$C$2:$C426,"CSF"))-1,12)+1),"N/A"),"")</f>
        <v/>
      </c>
      <c r="J426" s="6" t="str">
        <f>IF(AND($A426&lt;&gt;"",$B426&lt;&gt;"",$C426&lt;&gt;"",$D426&lt;&gt;"",$E426&lt;&gt;""),IF(AND($B426="s",OR($C426="SER",$C426="PLH")),"Case MAX Planck Plate "&amp;(INT(((COUNTIFS($B$2:$B426,"s",$C$2:$C426,"SER")+COUNTIFS($B$2:$B426,"s",$C$2:$C426,"PLH"))-1)/96)+1)&amp;": "&amp;CHAR(65+INT(MOD((COUNTIFS($B$2:$B426,"s",$C$2:$C426,"SER")+COUNTIFS($B$2:$B426,"s",$C$2:$C426,"PLH"))-1,96)/12))&amp;(MOD((COUNTIFS($B$2:$B426,"s",$C$2:$C426,"SER")+COUNTIFS($B$2:$B426,"s",$C$2:$C426,"PLH"))-1,12)+1),"N/A"),"")</f>
        <v/>
      </c>
      <c r="K426" s="6" t="str">
        <f>IF(AND($A426&lt;&gt;"",$B426&lt;&gt;"",$C426&lt;&gt;"",$D426&lt;&gt;"",$E426&lt;&gt;""),IF($C426="WB","Case WB Box "&amp;(INT((COUNTIFS($C$2:$C426,"WB")-1)/81)+1)&amp;": "&amp;CHAR(65+INT(MOD(COUNTIFS($C$2:$C426,"WB")-1,81)/9))&amp;(MOD(COUNTIFS($C$2:$C426,"WB")-1,9)+1),"N/A"),"")</f>
        <v/>
      </c>
      <c r="L426" s="2" t="str">
        <f t="shared" si="109"/>
        <v/>
      </c>
      <c r="M426" s="2"/>
      <c r="N426" s="2"/>
      <c r="O426" s="2"/>
      <c r="P426" s="7" t="str">
        <f t="shared" si="110"/>
        <v/>
      </c>
      <c r="Q426" s="7" t="str">
        <f t="shared" si="111"/>
        <v/>
      </c>
      <c r="R426" s="7" t="str">
        <f t="shared" si="112"/>
        <v/>
      </c>
      <c r="S426" s="7" t="str">
        <f t="shared" si="113"/>
        <v/>
      </c>
      <c r="T426" s="7" t="str">
        <f t="shared" si="114"/>
        <v/>
      </c>
      <c r="U426" s="7" t="str">
        <f t="shared" si="115"/>
        <v/>
      </c>
      <c r="V426" s="7" t="str">
        <f t="shared" si="116"/>
        <v/>
      </c>
      <c r="W426" s="7" t="str">
        <f t="shared" si="117"/>
        <v/>
      </c>
      <c r="X426" s="7" t="str">
        <f t="shared" si="118"/>
        <v/>
      </c>
      <c r="Y426" s="7" t="str">
        <f t="shared" si="119"/>
        <v/>
      </c>
      <c r="Z426">
        <f t="shared" si="120"/>
        <v>0</v>
      </c>
      <c r="AA426" t="str">
        <f t="shared" si="121"/>
        <v/>
      </c>
      <c r="AB426" t="str">
        <f t="shared" si="122"/>
        <v/>
      </c>
      <c r="AC426" t="str">
        <f t="shared" si="123"/>
        <v/>
      </c>
      <c r="AD426" t="str">
        <f t="shared" si="124"/>
        <v/>
      </c>
      <c r="AE426">
        <f t="shared" si="125"/>
        <v>0</v>
      </c>
    </row>
    <row r="427" spans="1:31" ht="15" customHeight="1" x14ac:dyDescent="0.35">
      <c r="A427" s="2"/>
      <c r="B427" s="3"/>
      <c r="C427" s="3"/>
      <c r="D427" s="4"/>
      <c r="E427" s="5"/>
      <c r="F427" s="11" t="str">
        <f t="shared" ca="1" si="108"/>
        <v/>
      </c>
      <c r="G427" s="5"/>
      <c r="H427" s="6" t="str">
        <f>IF(AND($A427&lt;&gt;"",$B427&lt;&gt;"",$C427&lt;&gt;"",$D427&lt;&gt;"",$E427&lt;&gt;""),IF(AND($B427="s",OR($C427="SER",$C427="PLH",$C427="CSF")),"Case CDI Plate "&amp;(INT(((COUNTIFS($B$2:$B427,"s",$C$2:$C427,"SER")+COUNTIFS($B$2:$B427,"s",$C$2:$C427,"PLH")+COUNTIFS($B$2:$B427,"s",$C$2:$C427,"CSF"))-1)/96)+1)&amp;": "&amp;CHAR(65+INT(MOD((COUNTIFS($B$2:$B427,"s",$C$2:$C427,"SER")+COUNTIFS($B$2:$B427,"s",$C$2:$C427,"PLH")+COUNTIFS($B$2:$B427,"s",$C$2:$C427,"CSF"))-1,96)/12))&amp;(MOD((COUNTIFS($B$2:$B427,"s",$C$2:$C427,"SER")+COUNTIFS($B$2:$B427,"s",$C$2:$C427,"PLH")+COUNTIFS($B$2:$B427,"s",$C$2:$C427,"CSF"))-1,12)+1),"N/A"),"")</f>
        <v/>
      </c>
      <c r="I427" s="6" t="str">
        <f>IF(AND($A427&lt;&gt;"",$B427&lt;&gt;"",$C427&lt;&gt;"",$D427&lt;&gt;"",$E427&lt;&gt;""),IF(AND($B427="s",OR($C427="SER",$C427="PLH",$C427="CSF")),"Case NIH Plate "&amp;(INT(((COUNTIFS($B$2:$B427,"s",$C$2:$C427,"SER")+COUNTIFS($B$2:$B427,"s",$C$2:$C427,"PLH")+COUNTIFS($B$2:$B427,"s",$C$2:$C427,"CSF"))-1)/96)+1)&amp;": "&amp;CHAR(65+INT(MOD((COUNTIFS($B$2:$B427,"s",$C$2:$C427,"SER")+COUNTIFS($B$2:$B427,"s",$C$2:$C427,"PLH")+COUNTIFS($B$2:$B427,"s",$C$2:$C427,"CSF"))-1,96)/12))&amp;(MOD((COUNTIFS($B$2:$B427,"s",$C$2:$C427,"SER")+COUNTIFS($B$2:$B427,"s",$C$2:$C427,"PLH")+COUNTIFS($B$2:$B427,"s",$C$2:$C427,"CSF"))-1,12)+1),"N/A"),"")</f>
        <v/>
      </c>
      <c r="J427" s="6" t="str">
        <f>IF(AND($A427&lt;&gt;"",$B427&lt;&gt;"",$C427&lt;&gt;"",$D427&lt;&gt;"",$E427&lt;&gt;""),IF(AND($B427="s",OR($C427="SER",$C427="PLH")),"Case MAX Planck Plate "&amp;(INT(((COUNTIFS($B$2:$B427,"s",$C$2:$C427,"SER")+COUNTIFS($B$2:$B427,"s",$C$2:$C427,"PLH"))-1)/96)+1)&amp;": "&amp;CHAR(65+INT(MOD((COUNTIFS($B$2:$B427,"s",$C$2:$C427,"SER")+COUNTIFS($B$2:$B427,"s",$C$2:$C427,"PLH"))-1,96)/12))&amp;(MOD((COUNTIFS($B$2:$B427,"s",$C$2:$C427,"SER")+COUNTIFS($B$2:$B427,"s",$C$2:$C427,"PLH"))-1,12)+1),"N/A"),"")</f>
        <v/>
      </c>
      <c r="K427" s="6" t="str">
        <f>IF(AND($A427&lt;&gt;"",$B427&lt;&gt;"",$C427&lt;&gt;"",$D427&lt;&gt;"",$E427&lt;&gt;""),IF($C427="WB","Case WB Box "&amp;(INT((COUNTIFS($C$2:$C427,"WB")-1)/81)+1)&amp;": "&amp;CHAR(65+INT(MOD(COUNTIFS($C$2:$C427,"WB")-1,81)/9))&amp;(MOD(COUNTIFS($C$2:$C427,"WB")-1,9)+1),"N/A"),"")</f>
        <v/>
      </c>
      <c r="L427" s="2" t="str">
        <f t="shared" si="109"/>
        <v/>
      </c>
      <c r="M427" s="2"/>
      <c r="N427" s="2"/>
      <c r="O427" s="2"/>
      <c r="P427" s="7" t="str">
        <f t="shared" si="110"/>
        <v/>
      </c>
      <c r="Q427" s="7" t="str">
        <f t="shared" si="111"/>
        <v/>
      </c>
      <c r="R427" s="7" t="str">
        <f t="shared" si="112"/>
        <v/>
      </c>
      <c r="S427" s="7" t="str">
        <f t="shared" si="113"/>
        <v/>
      </c>
      <c r="T427" s="7" t="str">
        <f t="shared" si="114"/>
        <v/>
      </c>
      <c r="U427" s="7" t="str">
        <f t="shared" si="115"/>
        <v/>
      </c>
      <c r="V427" s="7" t="str">
        <f t="shared" si="116"/>
        <v/>
      </c>
      <c r="W427" s="7" t="str">
        <f t="shared" si="117"/>
        <v/>
      </c>
      <c r="X427" s="7" t="str">
        <f t="shared" si="118"/>
        <v/>
      </c>
      <c r="Y427" s="7" t="str">
        <f t="shared" si="119"/>
        <v/>
      </c>
      <c r="Z427">
        <f t="shared" si="120"/>
        <v>0</v>
      </c>
      <c r="AA427" t="str">
        <f t="shared" si="121"/>
        <v/>
      </c>
      <c r="AB427" t="str">
        <f t="shared" si="122"/>
        <v/>
      </c>
      <c r="AC427" t="str">
        <f t="shared" si="123"/>
        <v/>
      </c>
      <c r="AD427" t="str">
        <f t="shared" si="124"/>
        <v/>
      </c>
      <c r="AE427">
        <f t="shared" si="125"/>
        <v>0</v>
      </c>
    </row>
    <row r="428" spans="1:31" ht="15" customHeight="1" x14ac:dyDescent="0.35">
      <c r="A428" s="2"/>
      <c r="B428" s="3"/>
      <c r="C428" s="3"/>
      <c r="D428" s="4"/>
      <c r="E428" s="5"/>
      <c r="F428" s="11" t="str">
        <f t="shared" ca="1" si="108"/>
        <v/>
      </c>
      <c r="G428" s="5"/>
      <c r="H428" s="6" t="str">
        <f>IF(AND($A428&lt;&gt;"",$B428&lt;&gt;"",$C428&lt;&gt;"",$D428&lt;&gt;"",$E428&lt;&gt;""),IF(AND($B428="s",OR($C428="SER",$C428="PLH",$C428="CSF")),"Case CDI Plate "&amp;(INT(((COUNTIFS($B$2:$B428,"s",$C$2:$C428,"SER")+COUNTIFS($B$2:$B428,"s",$C$2:$C428,"PLH")+COUNTIFS($B$2:$B428,"s",$C$2:$C428,"CSF"))-1)/96)+1)&amp;": "&amp;CHAR(65+INT(MOD((COUNTIFS($B$2:$B428,"s",$C$2:$C428,"SER")+COUNTIFS($B$2:$B428,"s",$C$2:$C428,"PLH")+COUNTIFS($B$2:$B428,"s",$C$2:$C428,"CSF"))-1,96)/12))&amp;(MOD((COUNTIFS($B$2:$B428,"s",$C$2:$C428,"SER")+COUNTIFS($B$2:$B428,"s",$C$2:$C428,"PLH")+COUNTIFS($B$2:$B428,"s",$C$2:$C428,"CSF"))-1,12)+1),"N/A"),"")</f>
        <v/>
      </c>
      <c r="I428" s="6" t="str">
        <f>IF(AND($A428&lt;&gt;"",$B428&lt;&gt;"",$C428&lt;&gt;"",$D428&lt;&gt;"",$E428&lt;&gt;""),IF(AND($B428="s",OR($C428="SER",$C428="PLH",$C428="CSF")),"Case NIH Plate "&amp;(INT(((COUNTIFS($B$2:$B428,"s",$C$2:$C428,"SER")+COUNTIFS($B$2:$B428,"s",$C$2:$C428,"PLH")+COUNTIFS($B$2:$B428,"s",$C$2:$C428,"CSF"))-1)/96)+1)&amp;": "&amp;CHAR(65+INT(MOD((COUNTIFS($B$2:$B428,"s",$C$2:$C428,"SER")+COUNTIFS($B$2:$B428,"s",$C$2:$C428,"PLH")+COUNTIFS($B$2:$B428,"s",$C$2:$C428,"CSF"))-1,96)/12))&amp;(MOD((COUNTIFS($B$2:$B428,"s",$C$2:$C428,"SER")+COUNTIFS($B$2:$B428,"s",$C$2:$C428,"PLH")+COUNTIFS($B$2:$B428,"s",$C$2:$C428,"CSF"))-1,12)+1),"N/A"),"")</f>
        <v/>
      </c>
      <c r="J428" s="6" t="str">
        <f>IF(AND($A428&lt;&gt;"",$B428&lt;&gt;"",$C428&lt;&gt;"",$D428&lt;&gt;"",$E428&lt;&gt;""),IF(AND($B428="s",OR($C428="SER",$C428="PLH")),"Case MAX Planck Plate "&amp;(INT(((COUNTIFS($B$2:$B428,"s",$C$2:$C428,"SER")+COUNTIFS($B$2:$B428,"s",$C$2:$C428,"PLH"))-1)/96)+1)&amp;": "&amp;CHAR(65+INT(MOD((COUNTIFS($B$2:$B428,"s",$C$2:$C428,"SER")+COUNTIFS($B$2:$B428,"s",$C$2:$C428,"PLH"))-1,96)/12))&amp;(MOD((COUNTIFS($B$2:$B428,"s",$C$2:$C428,"SER")+COUNTIFS($B$2:$B428,"s",$C$2:$C428,"PLH"))-1,12)+1),"N/A"),"")</f>
        <v/>
      </c>
      <c r="K428" s="6" t="str">
        <f>IF(AND($A428&lt;&gt;"",$B428&lt;&gt;"",$C428&lt;&gt;"",$D428&lt;&gt;"",$E428&lt;&gt;""),IF($C428="WB","Case WB Box "&amp;(INT((COUNTIFS($C$2:$C428,"WB")-1)/81)+1)&amp;": "&amp;CHAR(65+INT(MOD(COUNTIFS($C$2:$C428,"WB")-1,81)/9))&amp;(MOD(COUNTIFS($C$2:$C428,"WB")-1,9)+1),"N/A"),"")</f>
        <v/>
      </c>
      <c r="L428" s="2" t="str">
        <f t="shared" si="109"/>
        <v/>
      </c>
      <c r="M428" s="2"/>
      <c r="N428" s="2"/>
      <c r="O428" s="2"/>
      <c r="P428" s="7" t="str">
        <f t="shared" si="110"/>
        <v/>
      </c>
      <c r="Q428" s="7" t="str">
        <f t="shared" si="111"/>
        <v/>
      </c>
      <c r="R428" s="7" t="str">
        <f t="shared" si="112"/>
        <v/>
      </c>
      <c r="S428" s="7" t="str">
        <f t="shared" si="113"/>
        <v/>
      </c>
      <c r="T428" s="7" t="str">
        <f t="shared" si="114"/>
        <v/>
      </c>
      <c r="U428" s="7" t="str">
        <f t="shared" si="115"/>
        <v/>
      </c>
      <c r="V428" s="7" t="str">
        <f t="shared" si="116"/>
        <v/>
      </c>
      <c r="W428" s="7" t="str">
        <f t="shared" si="117"/>
        <v/>
      </c>
      <c r="X428" s="7" t="str">
        <f t="shared" si="118"/>
        <v/>
      </c>
      <c r="Y428" s="7" t="str">
        <f t="shared" si="119"/>
        <v/>
      </c>
      <c r="Z428">
        <f t="shared" si="120"/>
        <v>0</v>
      </c>
      <c r="AA428" t="str">
        <f t="shared" si="121"/>
        <v/>
      </c>
      <c r="AB428" t="str">
        <f t="shared" si="122"/>
        <v/>
      </c>
      <c r="AC428" t="str">
        <f t="shared" si="123"/>
        <v/>
      </c>
      <c r="AD428" t="str">
        <f t="shared" si="124"/>
        <v/>
      </c>
      <c r="AE428">
        <f t="shared" si="125"/>
        <v>0</v>
      </c>
    </row>
    <row r="429" spans="1:31" ht="15" customHeight="1" x14ac:dyDescent="0.35">
      <c r="A429" s="2"/>
      <c r="B429" s="3"/>
      <c r="C429" s="3"/>
      <c r="D429" s="4"/>
      <c r="E429" s="5"/>
      <c r="F429" s="11" t="str">
        <f t="shared" ca="1" si="108"/>
        <v/>
      </c>
      <c r="G429" s="5"/>
      <c r="H429" s="6" t="str">
        <f>IF(AND($A429&lt;&gt;"",$B429&lt;&gt;"",$C429&lt;&gt;"",$D429&lt;&gt;"",$E429&lt;&gt;""),IF(AND($B429="s",OR($C429="SER",$C429="PLH",$C429="CSF")),"Case CDI Plate "&amp;(INT(((COUNTIFS($B$2:$B429,"s",$C$2:$C429,"SER")+COUNTIFS($B$2:$B429,"s",$C$2:$C429,"PLH")+COUNTIFS($B$2:$B429,"s",$C$2:$C429,"CSF"))-1)/96)+1)&amp;": "&amp;CHAR(65+INT(MOD((COUNTIFS($B$2:$B429,"s",$C$2:$C429,"SER")+COUNTIFS($B$2:$B429,"s",$C$2:$C429,"PLH")+COUNTIFS($B$2:$B429,"s",$C$2:$C429,"CSF"))-1,96)/12))&amp;(MOD((COUNTIFS($B$2:$B429,"s",$C$2:$C429,"SER")+COUNTIFS($B$2:$B429,"s",$C$2:$C429,"PLH")+COUNTIFS($B$2:$B429,"s",$C$2:$C429,"CSF"))-1,12)+1),"N/A"),"")</f>
        <v/>
      </c>
      <c r="I429" s="6" t="str">
        <f>IF(AND($A429&lt;&gt;"",$B429&lt;&gt;"",$C429&lt;&gt;"",$D429&lt;&gt;"",$E429&lt;&gt;""),IF(AND($B429="s",OR($C429="SER",$C429="PLH",$C429="CSF")),"Case NIH Plate "&amp;(INT(((COUNTIFS($B$2:$B429,"s",$C$2:$C429,"SER")+COUNTIFS($B$2:$B429,"s",$C$2:$C429,"PLH")+COUNTIFS($B$2:$B429,"s",$C$2:$C429,"CSF"))-1)/96)+1)&amp;": "&amp;CHAR(65+INT(MOD((COUNTIFS($B$2:$B429,"s",$C$2:$C429,"SER")+COUNTIFS($B$2:$B429,"s",$C$2:$C429,"PLH")+COUNTIFS($B$2:$B429,"s",$C$2:$C429,"CSF"))-1,96)/12))&amp;(MOD((COUNTIFS($B$2:$B429,"s",$C$2:$C429,"SER")+COUNTIFS($B$2:$B429,"s",$C$2:$C429,"PLH")+COUNTIFS($B$2:$B429,"s",$C$2:$C429,"CSF"))-1,12)+1),"N/A"),"")</f>
        <v/>
      </c>
      <c r="J429" s="6" t="str">
        <f>IF(AND($A429&lt;&gt;"",$B429&lt;&gt;"",$C429&lt;&gt;"",$D429&lt;&gt;"",$E429&lt;&gt;""),IF(AND($B429="s",OR($C429="SER",$C429="PLH")),"Case MAX Planck Plate "&amp;(INT(((COUNTIFS($B$2:$B429,"s",$C$2:$C429,"SER")+COUNTIFS($B$2:$B429,"s",$C$2:$C429,"PLH"))-1)/96)+1)&amp;": "&amp;CHAR(65+INT(MOD((COUNTIFS($B$2:$B429,"s",$C$2:$C429,"SER")+COUNTIFS($B$2:$B429,"s",$C$2:$C429,"PLH"))-1,96)/12))&amp;(MOD((COUNTIFS($B$2:$B429,"s",$C$2:$C429,"SER")+COUNTIFS($B$2:$B429,"s",$C$2:$C429,"PLH"))-1,12)+1),"N/A"),"")</f>
        <v/>
      </c>
      <c r="K429" s="6" t="str">
        <f>IF(AND($A429&lt;&gt;"",$B429&lt;&gt;"",$C429&lt;&gt;"",$D429&lt;&gt;"",$E429&lt;&gt;""),IF($C429="WB","Case WB Box "&amp;(INT((COUNTIFS($C$2:$C429,"WB")-1)/81)+1)&amp;": "&amp;CHAR(65+INT(MOD(COUNTIFS($C$2:$C429,"WB")-1,81)/9))&amp;(MOD(COUNTIFS($C$2:$C429,"WB")-1,9)+1),"N/A"),"")</f>
        <v/>
      </c>
      <c r="L429" s="2" t="str">
        <f t="shared" si="109"/>
        <v/>
      </c>
      <c r="M429" s="2"/>
      <c r="N429" s="2"/>
      <c r="O429" s="2"/>
      <c r="P429" s="7" t="str">
        <f t="shared" si="110"/>
        <v/>
      </c>
      <c r="Q429" s="7" t="str">
        <f t="shared" si="111"/>
        <v/>
      </c>
      <c r="R429" s="7" t="str">
        <f t="shared" si="112"/>
        <v/>
      </c>
      <c r="S429" s="7" t="str">
        <f t="shared" si="113"/>
        <v/>
      </c>
      <c r="T429" s="7" t="str">
        <f t="shared" si="114"/>
        <v/>
      </c>
      <c r="U429" s="7" t="str">
        <f t="shared" si="115"/>
        <v/>
      </c>
      <c r="V429" s="7" t="str">
        <f t="shared" si="116"/>
        <v/>
      </c>
      <c r="W429" s="7" t="str">
        <f t="shared" si="117"/>
        <v/>
      </c>
      <c r="X429" s="7" t="str">
        <f t="shared" si="118"/>
        <v/>
      </c>
      <c r="Y429" s="7" t="str">
        <f t="shared" si="119"/>
        <v/>
      </c>
      <c r="Z429">
        <f t="shared" si="120"/>
        <v>0</v>
      </c>
      <c r="AA429" t="str">
        <f t="shared" si="121"/>
        <v/>
      </c>
      <c r="AB429" t="str">
        <f t="shared" si="122"/>
        <v/>
      </c>
      <c r="AC429" t="str">
        <f t="shared" si="123"/>
        <v/>
      </c>
      <c r="AD429" t="str">
        <f t="shared" si="124"/>
        <v/>
      </c>
      <c r="AE429">
        <f t="shared" si="125"/>
        <v>0</v>
      </c>
    </row>
    <row r="430" spans="1:31" ht="15" customHeight="1" x14ac:dyDescent="0.35">
      <c r="A430" s="2"/>
      <c r="B430" s="3"/>
      <c r="C430" s="3"/>
      <c r="D430" s="4"/>
      <c r="E430" s="5"/>
      <c r="F430" s="11" t="str">
        <f t="shared" ca="1" si="108"/>
        <v/>
      </c>
      <c r="G430" s="5"/>
      <c r="H430" s="6" t="str">
        <f>IF(AND($A430&lt;&gt;"",$B430&lt;&gt;"",$C430&lt;&gt;"",$D430&lt;&gt;"",$E430&lt;&gt;""),IF(AND($B430="s",OR($C430="SER",$C430="PLH",$C430="CSF")),"Case CDI Plate "&amp;(INT(((COUNTIFS($B$2:$B430,"s",$C$2:$C430,"SER")+COUNTIFS($B$2:$B430,"s",$C$2:$C430,"PLH")+COUNTIFS($B$2:$B430,"s",$C$2:$C430,"CSF"))-1)/96)+1)&amp;": "&amp;CHAR(65+INT(MOD((COUNTIFS($B$2:$B430,"s",$C$2:$C430,"SER")+COUNTIFS($B$2:$B430,"s",$C$2:$C430,"PLH")+COUNTIFS($B$2:$B430,"s",$C$2:$C430,"CSF"))-1,96)/12))&amp;(MOD((COUNTIFS($B$2:$B430,"s",$C$2:$C430,"SER")+COUNTIFS($B$2:$B430,"s",$C$2:$C430,"PLH")+COUNTIFS($B$2:$B430,"s",$C$2:$C430,"CSF"))-1,12)+1),"N/A"),"")</f>
        <v/>
      </c>
      <c r="I430" s="6" t="str">
        <f>IF(AND($A430&lt;&gt;"",$B430&lt;&gt;"",$C430&lt;&gt;"",$D430&lt;&gt;"",$E430&lt;&gt;""),IF(AND($B430="s",OR($C430="SER",$C430="PLH",$C430="CSF")),"Case NIH Plate "&amp;(INT(((COUNTIFS($B$2:$B430,"s",$C$2:$C430,"SER")+COUNTIFS($B$2:$B430,"s",$C$2:$C430,"PLH")+COUNTIFS($B$2:$B430,"s",$C$2:$C430,"CSF"))-1)/96)+1)&amp;": "&amp;CHAR(65+INT(MOD((COUNTIFS($B$2:$B430,"s",$C$2:$C430,"SER")+COUNTIFS($B$2:$B430,"s",$C$2:$C430,"PLH")+COUNTIFS($B$2:$B430,"s",$C$2:$C430,"CSF"))-1,96)/12))&amp;(MOD((COUNTIFS($B$2:$B430,"s",$C$2:$C430,"SER")+COUNTIFS($B$2:$B430,"s",$C$2:$C430,"PLH")+COUNTIFS($B$2:$B430,"s",$C$2:$C430,"CSF"))-1,12)+1),"N/A"),"")</f>
        <v/>
      </c>
      <c r="J430" s="6" t="str">
        <f>IF(AND($A430&lt;&gt;"",$B430&lt;&gt;"",$C430&lt;&gt;"",$D430&lt;&gt;"",$E430&lt;&gt;""),IF(AND($B430="s",OR($C430="SER",$C430="PLH")),"Case MAX Planck Plate "&amp;(INT(((COUNTIFS($B$2:$B430,"s",$C$2:$C430,"SER")+COUNTIFS($B$2:$B430,"s",$C$2:$C430,"PLH"))-1)/96)+1)&amp;": "&amp;CHAR(65+INT(MOD((COUNTIFS($B$2:$B430,"s",$C$2:$C430,"SER")+COUNTIFS($B$2:$B430,"s",$C$2:$C430,"PLH"))-1,96)/12))&amp;(MOD((COUNTIFS($B$2:$B430,"s",$C$2:$C430,"SER")+COUNTIFS($B$2:$B430,"s",$C$2:$C430,"PLH"))-1,12)+1),"N/A"),"")</f>
        <v/>
      </c>
      <c r="K430" s="6" t="str">
        <f>IF(AND($A430&lt;&gt;"",$B430&lt;&gt;"",$C430&lt;&gt;"",$D430&lt;&gt;"",$E430&lt;&gt;""),IF($C430="WB","Case WB Box "&amp;(INT((COUNTIFS($C$2:$C430,"WB")-1)/81)+1)&amp;": "&amp;CHAR(65+INT(MOD(COUNTIFS($C$2:$C430,"WB")-1,81)/9))&amp;(MOD(COUNTIFS($C$2:$C430,"WB")-1,9)+1),"N/A"),"")</f>
        <v/>
      </c>
      <c r="L430" s="2" t="str">
        <f t="shared" si="109"/>
        <v/>
      </c>
      <c r="M430" s="2"/>
      <c r="N430" s="2"/>
      <c r="O430" s="2"/>
      <c r="P430" s="7" t="str">
        <f t="shared" si="110"/>
        <v/>
      </c>
      <c r="Q430" s="7" t="str">
        <f t="shared" si="111"/>
        <v/>
      </c>
      <c r="R430" s="7" t="str">
        <f t="shared" si="112"/>
        <v/>
      </c>
      <c r="S430" s="7" t="str">
        <f t="shared" si="113"/>
        <v/>
      </c>
      <c r="T430" s="7" t="str">
        <f t="shared" si="114"/>
        <v/>
      </c>
      <c r="U430" s="7" t="str">
        <f t="shared" si="115"/>
        <v/>
      </c>
      <c r="V430" s="7" t="str">
        <f t="shared" si="116"/>
        <v/>
      </c>
      <c r="W430" s="7" t="str">
        <f t="shared" si="117"/>
        <v/>
      </c>
      <c r="X430" s="7" t="str">
        <f t="shared" si="118"/>
        <v/>
      </c>
      <c r="Y430" s="7" t="str">
        <f t="shared" si="119"/>
        <v/>
      </c>
      <c r="Z430">
        <f t="shared" si="120"/>
        <v>0</v>
      </c>
      <c r="AA430" t="str">
        <f t="shared" si="121"/>
        <v/>
      </c>
      <c r="AB430" t="str">
        <f t="shared" si="122"/>
        <v/>
      </c>
      <c r="AC430" t="str">
        <f t="shared" si="123"/>
        <v/>
      </c>
      <c r="AD430" t="str">
        <f t="shared" si="124"/>
        <v/>
      </c>
      <c r="AE430">
        <f t="shared" si="125"/>
        <v>0</v>
      </c>
    </row>
    <row r="431" spans="1:31" ht="15" customHeight="1" x14ac:dyDescent="0.35">
      <c r="A431" s="2"/>
      <c r="B431" s="3"/>
      <c r="C431" s="3"/>
      <c r="D431" s="4"/>
      <c r="E431" s="5"/>
      <c r="F431" s="11" t="str">
        <f t="shared" ca="1" si="108"/>
        <v/>
      </c>
      <c r="G431" s="5"/>
      <c r="H431" s="6" t="str">
        <f>IF(AND($A431&lt;&gt;"",$B431&lt;&gt;"",$C431&lt;&gt;"",$D431&lt;&gt;"",$E431&lt;&gt;""),IF(AND($B431="s",OR($C431="SER",$C431="PLH",$C431="CSF")),"Case CDI Plate "&amp;(INT(((COUNTIFS($B$2:$B431,"s",$C$2:$C431,"SER")+COUNTIFS($B$2:$B431,"s",$C$2:$C431,"PLH")+COUNTIFS($B$2:$B431,"s",$C$2:$C431,"CSF"))-1)/96)+1)&amp;": "&amp;CHAR(65+INT(MOD((COUNTIFS($B$2:$B431,"s",$C$2:$C431,"SER")+COUNTIFS($B$2:$B431,"s",$C$2:$C431,"PLH")+COUNTIFS($B$2:$B431,"s",$C$2:$C431,"CSF"))-1,96)/12))&amp;(MOD((COUNTIFS($B$2:$B431,"s",$C$2:$C431,"SER")+COUNTIFS($B$2:$B431,"s",$C$2:$C431,"PLH")+COUNTIFS($B$2:$B431,"s",$C$2:$C431,"CSF"))-1,12)+1),"N/A"),"")</f>
        <v/>
      </c>
      <c r="I431" s="6" t="str">
        <f>IF(AND($A431&lt;&gt;"",$B431&lt;&gt;"",$C431&lt;&gt;"",$D431&lt;&gt;"",$E431&lt;&gt;""),IF(AND($B431="s",OR($C431="SER",$C431="PLH",$C431="CSF")),"Case NIH Plate "&amp;(INT(((COUNTIFS($B$2:$B431,"s",$C$2:$C431,"SER")+COUNTIFS($B$2:$B431,"s",$C$2:$C431,"PLH")+COUNTIFS($B$2:$B431,"s",$C$2:$C431,"CSF"))-1)/96)+1)&amp;": "&amp;CHAR(65+INT(MOD((COUNTIFS($B$2:$B431,"s",$C$2:$C431,"SER")+COUNTIFS($B$2:$B431,"s",$C$2:$C431,"PLH")+COUNTIFS($B$2:$B431,"s",$C$2:$C431,"CSF"))-1,96)/12))&amp;(MOD((COUNTIFS($B$2:$B431,"s",$C$2:$C431,"SER")+COUNTIFS($B$2:$B431,"s",$C$2:$C431,"PLH")+COUNTIFS($B$2:$B431,"s",$C$2:$C431,"CSF"))-1,12)+1),"N/A"),"")</f>
        <v/>
      </c>
      <c r="J431" s="6" t="str">
        <f>IF(AND($A431&lt;&gt;"",$B431&lt;&gt;"",$C431&lt;&gt;"",$D431&lt;&gt;"",$E431&lt;&gt;""),IF(AND($B431="s",OR($C431="SER",$C431="PLH")),"Case MAX Planck Plate "&amp;(INT(((COUNTIFS($B$2:$B431,"s",$C$2:$C431,"SER")+COUNTIFS($B$2:$B431,"s",$C$2:$C431,"PLH"))-1)/96)+1)&amp;": "&amp;CHAR(65+INT(MOD((COUNTIFS($B$2:$B431,"s",$C$2:$C431,"SER")+COUNTIFS($B$2:$B431,"s",$C$2:$C431,"PLH"))-1,96)/12))&amp;(MOD((COUNTIFS($B$2:$B431,"s",$C$2:$C431,"SER")+COUNTIFS($B$2:$B431,"s",$C$2:$C431,"PLH"))-1,12)+1),"N/A"),"")</f>
        <v/>
      </c>
      <c r="K431" s="6" t="str">
        <f>IF(AND($A431&lt;&gt;"",$B431&lt;&gt;"",$C431&lt;&gt;"",$D431&lt;&gt;"",$E431&lt;&gt;""),IF($C431="WB","Case WB Box "&amp;(INT((COUNTIFS($C$2:$C431,"WB")-1)/81)+1)&amp;": "&amp;CHAR(65+INT(MOD(COUNTIFS($C$2:$C431,"WB")-1,81)/9))&amp;(MOD(COUNTIFS($C$2:$C431,"WB")-1,9)+1),"N/A"),"")</f>
        <v/>
      </c>
      <c r="L431" s="2" t="str">
        <f t="shared" si="109"/>
        <v/>
      </c>
      <c r="M431" s="2"/>
      <c r="N431" s="2"/>
      <c r="O431" s="2"/>
      <c r="P431" s="7" t="str">
        <f t="shared" si="110"/>
        <v/>
      </c>
      <c r="Q431" s="7" t="str">
        <f t="shared" si="111"/>
        <v/>
      </c>
      <c r="R431" s="7" t="str">
        <f t="shared" si="112"/>
        <v/>
      </c>
      <c r="S431" s="7" t="str">
        <f t="shared" si="113"/>
        <v/>
      </c>
      <c r="T431" s="7" t="str">
        <f t="shared" si="114"/>
        <v/>
      </c>
      <c r="U431" s="7" t="str">
        <f t="shared" si="115"/>
        <v/>
      </c>
      <c r="V431" s="7" t="str">
        <f t="shared" si="116"/>
        <v/>
      </c>
      <c r="W431" s="7" t="str">
        <f t="shared" si="117"/>
        <v/>
      </c>
      <c r="X431" s="7" t="str">
        <f t="shared" si="118"/>
        <v/>
      </c>
      <c r="Y431" s="7" t="str">
        <f t="shared" si="119"/>
        <v/>
      </c>
      <c r="Z431">
        <f t="shared" si="120"/>
        <v>0</v>
      </c>
      <c r="AA431" t="str">
        <f t="shared" si="121"/>
        <v/>
      </c>
      <c r="AB431" t="str">
        <f t="shared" si="122"/>
        <v/>
      </c>
      <c r="AC431" t="str">
        <f t="shared" si="123"/>
        <v/>
      </c>
      <c r="AD431" t="str">
        <f t="shared" si="124"/>
        <v/>
      </c>
      <c r="AE431">
        <f t="shared" si="125"/>
        <v>0</v>
      </c>
    </row>
    <row r="432" spans="1:31" ht="15" customHeight="1" x14ac:dyDescent="0.35">
      <c r="A432" s="2"/>
      <c r="B432" s="3"/>
      <c r="C432" s="3"/>
      <c r="D432" s="4"/>
      <c r="E432" s="5"/>
      <c r="F432" s="11" t="str">
        <f t="shared" ca="1" si="108"/>
        <v/>
      </c>
      <c r="G432" s="5"/>
      <c r="H432" s="6" t="str">
        <f>IF(AND($A432&lt;&gt;"",$B432&lt;&gt;"",$C432&lt;&gt;"",$D432&lt;&gt;"",$E432&lt;&gt;""),IF(AND($B432="s",OR($C432="SER",$C432="PLH",$C432="CSF")),"Case CDI Plate "&amp;(INT(((COUNTIFS($B$2:$B432,"s",$C$2:$C432,"SER")+COUNTIFS($B$2:$B432,"s",$C$2:$C432,"PLH")+COUNTIFS($B$2:$B432,"s",$C$2:$C432,"CSF"))-1)/96)+1)&amp;": "&amp;CHAR(65+INT(MOD((COUNTIFS($B$2:$B432,"s",$C$2:$C432,"SER")+COUNTIFS($B$2:$B432,"s",$C$2:$C432,"PLH")+COUNTIFS($B$2:$B432,"s",$C$2:$C432,"CSF"))-1,96)/12))&amp;(MOD((COUNTIFS($B$2:$B432,"s",$C$2:$C432,"SER")+COUNTIFS($B$2:$B432,"s",$C$2:$C432,"PLH")+COUNTIFS($B$2:$B432,"s",$C$2:$C432,"CSF"))-1,12)+1),"N/A"),"")</f>
        <v/>
      </c>
      <c r="I432" s="6" t="str">
        <f>IF(AND($A432&lt;&gt;"",$B432&lt;&gt;"",$C432&lt;&gt;"",$D432&lt;&gt;"",$E432&lt;&gt;""),IF(AND($B432="s",OR($C432="SER",$C432="PLH",$C432="CSF")),"Case NIH Plate "&amp;(INT(((COUNTIFS($B$2:$B432,"s",$C$2:$C432,"SER")+COUNTIFS($B$2:$B432,"s",$C$2:$C432,"PLH")+COUNTIFS($B$2:$B432,"s",$C$2:$C432,"CSF"))-1)/96)+1)&amp;": "&amp;CHAR(65+INT(MOD((COUNTIFS($B$2:$B432,"s",$C$2:$C432,"SER")+COUNTIFS($B$2:$B432,"s",$C$2:$C432,"PLH")+COUNTIFS($B$2:$B432,"s",$C$2:$C432,"CSF"))-1,96)/12))&amp;(MOD((COUNTIFS($B$2:$B432,"s",$C$2:$C432,"SER")+COUNTIFS($B$2:$B432,"s",$C$2:$C432,"PLH")+COUNTIFS($B$2:$B432,"s",$C$2:$C432,"CSF"))-1,12)+1),"N/A"),"")</f>
        <v/>
      </c>
      <c r="J432" s="6" t="str">
        <f>IF(AND($A432&lt;&gt;"",$B432&lt;&gt;"",$C432&lt;&gt;"",$D432&lt;&gt;"",$E432&lt;&gt;""),IF(AND($B432="s",OR($C432="SER",$C432="PLH")),"Case MAX Planck Plate "&amp;(INT(((COUNTIFS($B$2:$B432,"s",$C$2:$C432,"SER")+COUNTIFS($B$2:$B432,"s",$C$2:$C432,"PLH"))-1)/96)+1)&amp;": "&amp;CHAR(65+INT(MOD((COUNTIFS($B$2:$B432,"s",$C$2:$C432,"SER")+COUNTIFS($B$2:$B432,"s",$C$2:$C432,"PLH"))-1,96)/12))&amp;(MOD((COUNTIFS($B$2:$B432,"s",$C$2:$C432,"SER")+COUNTIFS($B$2:$B432,"s",$C$2:$C432,"PLH"))-1,12)+1),"N/A"),"")</f>
        <v/>
      </c>
      <c r="K432" s="6" t="str">
        <f>IF(AND($A432&lt;&gt;"",$B432&lt;&gt;"",$C432&lt;&gt;"",$D432&lt;&gt;"",$E432&lt;&gt;""),IF($C432="WB","Case WB Box "&amp;(INT((COUNTIFS($C$2:$C432,"WB")-1)/81)+1)&amp;": "&amp;CHAR(65+INT(MOD(COUNTIFS($C$2:$C432,"WB")-1,81)/9))&amp;(MOD(COUNTIFS($C$2:$C432,"WB")-1,9)+1),"N/A"),"")</f>
        <v/>
      </c>
      <c r="L432" s="2" t="str">
        <f t="shared" si="109"/>
        <v/>
      </c>
      <c r="M432" s="2"/>
      <c r="N432" s="2"/>
      <c r="O432" s="2"/>
      <c r="P432" s="7" t="str">
        <f t="shared" si="110"/>
        <v/>
      </c>
      <c r="Q432" s="7" t="str">
        <f t="shared" si="111"/>
        <v/>
      </c>
      <c r="R432" s="7" t="str">
        <f t="shared" si="112"/>
        <v/>
      </c>
      <c r="S432" s="7" t="str">
        <f t="shared" si="113"/>
        <v/>
      </c>
      <c r="T432" s="7" t="str">
        <f t="shared" si="114"/>
        <v/>
      </c>
      <c r="U432" s="7" t="str">
        <f t="shared" si="115"/>
        <v/>
      </c>
      <c r="V432" s="7" t="str">
        <f t="shared" si="116"/>
        <v/>
      </c>
      <c r="W432" s="7" t="str">
        <f t="shared" si="117"/>
        <v/>
      </c>
      <c r="X432" s="7" t="str">
        <f t="shared" si="118"/>
        <v/>
      </c>
      <c r="Y432" s="7" t="str">
        <f t="shared" si="119"/>
        <v/>
      </c>
      <c r="Z432">
        <f t="shared" si="120"/>
        <v>0</v>
      </c>
      <c r="AA432" t="str">
        <f t="shared" si="121"/>
        <v/>
      </c>
      <c r="AB432" t="str">
        <f t="shared" si="122"/>
        <v/>
      </c>
      <c r="AC432" t="str">
        <f t="shared" si="123"/>
        <v/>
      </c>
      <c r="AD432" t="str">
        <f t="shared" si="124"/>
        <v/>
      </c>
      <c r="AE432">
        <f t="shared" si="125"/>
        <v>0</v>
      </c>
    </row>
    <row r="433" spans="1:31" ht="15" customHeight="1" x14ac:dyDescent="0.35">
      <c r="A433" s="2"/>
      <c r="B433" s="3"/>
      <c r="C433" s="3"/>
      <c r="D433" s="4"/>
      <c r="E433" s="5"/>
      <c r="F433" s="11" t="str">
        <f t="shared" ca="1" si="108"/>
        <v/>
      </c>
      <c r="G433" s="5"/>
      <c r="H433" s="6" t="str">
        <f>IF(AND($A433&lt;&gt;"",$B433&lt;&gt;"",$C433&lt;&gt;"",$D433&lt;&gt;"",$E433&lt;&gt;""),IF(AND($B433="s",OR($C433="SER",$C433="PLH",$C433="CSF")),"Case CDI Plate "&amp;(INT(((COUNTIFS($B$2:$B433,"s",$C$2:$C433,"SER")+COUNTIFS($B$2:$B433,"s",$C$2:$C433,"PLH")+COUNTIFS($B$2:$B433,"s",$C$2:$C433,"CSF"))-1)/96)+1)&amp;": "&amp;CHAR(65+INT(MOD((COUNTIFS($B$2:$B433,"s",$C$2:$C433,"SER")+COUNTIFS($B$2:$B433,"s",$C$2:$C433,"PLH")+COUNTIFS($B$2:$B433,"s",$C$2:$C433,"CSF"))-1,96)/12))&amp;(MOD((COUNTIFS($B$2:$B433,"s",$C$2:$C433,"SER")+COUNTIFS($B$2:$B433,"s",$C$2:$C433,"PLH")+COUNTIFS($B$2:$B433,"s",$C$2:$C433,"CSF"))-1,12)+1),"N/A"),"")</f>
        <v/>
      </c>
      <c r="I433" s="6" t="str">
        <f>IF(AND($A433&lt;&gt;"",$B433&lt;&gt;"",$C433&lt;&gt;"",$D433&lt;&gt;"",$E433&lt;&gt;""),IF(AND($B433="s",OR($C433="SER",$C433="PLH",$C433="CSF")),"Case NIH Plate "&amp;(INT(((COUNTIFS($B$2:$B433,"s",$C$2:$C433,"SER")+COUNTIFS($B$2:$B433,"s",$C$2:$C433,"PLH")+COUNTIFS($B$2:$B433,"s",$C$2:$C433,"CSF"))-1)/96)+1)&amp;": "&amp;CHAR(65+INT(MOD((COUNTIFS($B$2:$B433,"s",$C$2:$C433,"SER")+COUNTIFS($B$2:$B433,"s",$C$2:$C433,"PLH")+COUNTIFS($B$2:$B433,"s",$C$2:$C433,"CSF"))-1,96)/12))&amp;(MOD((COUNTIFS($B$2:$B433,"s",$C$2:$C433,"SER")+COUNTIFS($B$2:$B433,"s",$C$2:$C433,"PLH")+COUNTIFS($B$2:$B433,"s",$C$2:$C433,"CSF"))-1,12)+1),"N/A"),"")</f>
        <v/>
      </c>
      <c r="J433" s="6" t="str">
        <f>IF(AND($A433&lt;&gt;"",$B433&lt;&gt;"",$C433&lt;&gt;"",$D433&lt;&gt;"",$E433&lt;&gt;""),IF(AND($B433="s",OR($C433="SER",$C433="PLH")),"Case MAX Planck Plate "&amp;(INT(((COUNTIFS($B$2:$B433,"s",$C$2:$C433,"SER")+COUNTIFS($B$2:$B433,"s",$C$2:$C433,"PLH"))-1)/96)+1)&amp;": "&amp;CHAR(65+INT(MOD((COUNTIFS($B$2:$B433,"s",$C$2:$C433,"SER")+COUNTIFS($B$2:$B433,"s",$C$2:$C433,"PLH"))-1,96)/12))&amp;(MOD((COUNTIFS($B$2:$B433,"s",$C$2:$C433,"SER")+COUNTIFS($B$2:$B433,"s",$C$2:$C433,"PLH"))-1,12)+1),"N/A"),"")</f>
        <v/>
      </c>
      <c r="K433" s="6" t="str">
        <f>IF(AND($A433&lt;&gt;"",$B433&lt;&gt;"",$C433&lt;&gt;"",$D433&lt;&gt;"",$E433&lt;&gt;""),IF($C433="WB","Case WB Box "&amp;(INT((COUNTIFS($C$2:$C433,"WB")-1)/81)+1)&amp;": "&amp;CHAR(65+INT(MOD(COUNTIFS($C$2:$C433,"WB")-1,81)/9))&amp;(MOD(COUNTIFS($C$2:$C433,"WB")-1,9)+1),"N/A"),"")</f>
        <v/>
      </c>
      <c r="L433" s="2" t="str">
        <f t="shared" si="109"/>
        <v/>
      </c>
      <c r="M433" s="2"/>
      <c r="N433" s="2"/>
      <c r="O433" s="2"/>
      <c r="P433" s="7" t="str">
        <f t="shared" si="110"/>
        <v/>
      </c>
      <c r="Q433" s="7" t="str">
        <f t="shared" si="111"/>
        <v/>
      </c>
      <c r="R433" s="7" t="str">
        <f t="shared" si="112"/>
        <v/>
      </c>
      <c r="S433" s="7" t="str">
        <f t="shared" si="113"/>
        <v/>
      </c>
      <c r="T433" s="7" t="str">
        <f t="shared" si="114"/>
        <v/>
      </c>
      <c r="U433" s="7" t="str">
        <f t="shared" si="115"/>
        <v/>
      </c>
      <c r="V433" s="7" t="str">
        <f t="shared" si="116"/>
        <v/>
      </c>
      <c r="W433" s="7" t="str">
        <f t="shared" si="117"/>
        <v/>
      </c>
      <c r="X433" s="7" t="str">
        <f t="shared" si="118"/>
        <v/>
      </c>
      <c r="Y433" s="7" t="str">
        <f t="shared" si="119"/>
        <v/>
      </c>
      <c r="Z433">
        <f t="shared" si="120"/>
        <v>0</v>
      </c>
      <c r="AA433" t="str">
        <f t="shared" si="121"/>
        <v/>
      </c>
      <c r="AB433" t="str">
        <f t="shared" si="122"/>
        <v/>
      </c>
      <c r="AC433" t="str">
        <f t="shared" si="123"/>
        <v/>
      </c>
      <c r="AD433" t="str">
        <f t="shared" si="124"/>
        <v/>
      </c>
      <c r="AE433">
        <f t="shared" si="125"/>
        <v>0</v>
      </c>
    </row>
    <row r="434" spans="1:31" ht="15" customHeight="1" x14ac:dyDescent="0.35">
      <c r="A434" s="2"/>
      <c r="B434" s="3"/>
      <c r="C434" s="3"/>
      <c r="D434" s="4"/>
      <c r="E434" s="5"/>
      <c r="F434" s="11" t="str">
        <f t="shared" ca="1" si="108"/>
        <v/>
      </c>
      <c r="G434" s="5"/>
      <c r="H434" s="6" t="str">
        <f>IF(AND($A434&lt;&gt;"",$B434&lt;&gt;"",$C434&lt;&gt;"",$D434&lt;&gt;"",$E434&lt;&gt;""),IF(AND($B434="s",OR($C434="SER",$C434="PLH",$C434="CSF")),"Case CDI Plate "&amp;(INT(((COUNTIFS($B$2:$B434,"s",$C$2:$C434,"SER")+COUNTIFS($B$2:$B434,"s",$C$2:$C434,"PLH")+COUNTIFS($B$2:$B434,"s",$C$2:$C434,"CSF"))-1)/96)+1)&amp;": "&amp;CHAR(65+INT(MOD((COUNTIFS($B$2:$B434,"s",$C$2:$C434,"SER")+COUNTIFS($B$2:$B434,"s",$C$2:$C434,"PLH")+COUNTIFS($B$2:$B434,"s",$C$2:$C434,"CSF"))-1,96)/12))&amp;(MOD((COUNTIFS($B$2:$B434,"s",$C$2:$C434,"SER")+COUNTIFS($B$2:$B434,"s",$C$2:$C434,"PLH")+COUNTIFS($B$2:$B434,"s",$C$2:$C434,"CSF"))-1,12)+1),"N/A"),"")</f>
        <v/>
      </c>
      <c r="I434" s="6" t="str">
        <f>IF(AND($A434&lt;&gt;"",$B434&lt;&gt;"",$C434&lt;&gt;"",$D434&lt;&gt;"",$E434&lt;&gt;""),IF(AND($B434="s",OR($C434="SER",$C434="PLH",$C434="CSF")),"Case NIH Plate "&amp;(INT(((COUNTIFS($B$2:$B434,"s",$C$2:$C434,"SER")+COUNTIFS($B$2:$B434,"s",$C$2:$C434,"PLH")+COUNTIFS($B$2:$B434,"s",$C$2:$C434,"CSF"))-1)/96)+1)&amp;": "&amp;CHAR(65+INT(MOD((COUNTIFS($B$2:$B434,"s",$C$2:$C434,"SER")+COUNTIFS($B$2:$B434,"s",$C$2:$C434,"PLH")+COUNTIFS($B$2:$B434,"s",$C$2:$C434,"CSF"))-1,96)/12))&amp;(MOD((COUNTIFS($B$2:$B434,"s",$C$2:$C434,"SER")+COUNTIFS($B$2:$B434,"s",$C$2:$C434,"PLH")+COUNTIFS($B$2:$B434,"s",$C$2:$C434,"CSF"))-1,12)+1),"N/A"),"")</f>
        <v/>
      </c>
      <c r="J434" s="6" t="str">
        <f>IF(AND($A434&lt;&gt;"",$B434&lt;&gt;"",$C434&lt;&gt;"",$D434&lt;&gt;"",$E434&lt;&gt;""),IF(AND($B434="s",OR($C434="SER",$C434="PLH")),"Case MAX Planck Plate "&amp;(INT(((COUNTIFS($B$2:$B434,"s",$C$2:$C434,"SER")+COUNTIFS($B$2:$B434,"s",$C$2:$C434,"PLH"))-1)/96)+1)&amp;": "&amp;CHAR(65+INT(MOD((COUNTIFS($B$2:$B434,"s",$C$2:$C434,"SER")+COUNTIFS($B$2:$B434,"s",$C$2:$C434,"PLH"))-1,96)/12))&amp;(MOD((COUNTIFS($B$2:$B434,"s",$C$2:$C434,"SER")+COUNTIFS($B$2:$B434,"s",$C$2:$C434,"PLH"))-1,12)+1),"N/A"),"")</f>
        <v/>
      </c>
      <c r="K434" s="6" t="str">
        <f>IF(AND($A434&lt;&gt;"",$B434&lt;&gt;"",$C434&lt;&gt;"",$D434&lt;&gt;"",$E434&lt;&gt;""),IF($C434="WB","Case WB Box "&amp;(INT((COUNTIFS($C$2:$C434,"WB")-1)/81)+1)&amp;": "&amp;CHAR(65+INT(MOD(COUNTIFS($C$2:$C434,"WB")-1,81)/9))&amp;(MOD(COUNTIFS($C$2:$C434,"WB")-1,9)+1),"N/A"),"")</f>
        <v/>
      </c>
      <c r="L434" s="2" t="str">
        <f t="shared" si="109"/>
        <v/>
      </c>
      <c r="M434" s="2"/>
      <c r="N434" s="2"/>
      <c r="O434" s="2"/>
      <c r="P434" s="7" t="str">
        <f t="shared" si="110"/>
        <v/>
      </c>
      <c r="Q434" s="7" t="str">
        <f t="shared" si="111"/>
        <v/>
      </c>
      <c r="R434" s="7" t="str">
        <f t="shared" si="112"/>
        <v/>
      </c>
      <c r="S434" s="7" t="str">
        <f t="shared" si="113"/>
        <v/>
      </c>
      <c r="T434" s="7" t="str">
        <f t="shared" si="114"/>
        <v/>
      </c>
      <c r="U434" s="7" t="str">
        <f t="shared" si="115"/>
        <v/>
      </c>
      <c r="V434" s="7" t="str">
        <f t="shared" si="116"/>
        <v/>
      </c>
      <c r="W434" s="7" t="str">
        <f t="shared" si="117"/>
        <v/>
      </c>
      <c r="X434" s="7" t="str">
        <f t="shared" si="118"/>
        <v/>
      </c>
      <c r="Y434" s="7" t="str">
        <f t="shared" si="119"/>
        <v/>
      </c>
      <c r="Z434">
        <f t="shared" si="120"/>
        <v>0</v>
      </c>
      <c r="AA434" t="str">
        <f t="shared" si="121"/>
        <v/>
      </c>
      <c r="AB434" t="str">
        <f t="shared" si="122"/>
        <v/>
      </c>
      <c r="AC434" t="str">
        <f t="shared" si="123"/>
        <v/>
      </c>
      <c r="AD434" t="str">
        <f t="shared" si="124"/>
        <v/>
      </c>
      <c r="AE434">
        <f t="shared" si="125"/>
        <v>0</v>
      </c>
    </row>
    <row r="435" spans="1:31" ht="15" customHeight="1" x14ac:dyDescent="0.35">
      <c r="A435" s="2"/>
      <c r="B435" s="3"/>
      <c r="C435" s="3"/>
      <c r="D435" s="4"/>
      <c r="E435" s="5"/>
      <c r="F435" s="11" t="str">
        <f t="shared" ca="1" si="108"/>
        <v/>
      </c>
      <c r="G435" s="5"/>
      <c r="H435" s="6" t="str">
        <f>IF(AND($A435&lt;&gt;"",$B435&lt;&gt;"",$C435&lt;&gt;"",$D435&lt;&gt;"",$E435&lt;&gt;""),IF(AND($B435="s",OR($C435="SER",$C435="PLH",$C435="CSF")),"Case CDI Plate "&amp;(INT(((COUNTIFS($B$2:$B435,"s",$C$2:$C435,"SER")+COUNTIFS($B$2:$B435,"s",$C$2:$C435,"PLH")+COUNTIFS($B$2:$B435,"s",$C$2:$C435,"CSF"))-1)/96)+1)&amp;": "&amp;CHAR(65+INT(MOD((COUNTIFS($B$2:$B435,"s",$C$2:$C435,"SER")+COUNTIFS($B$2:$B435,"s",$C$2:$C435,"PLH")+COUNTIFS($B$2:$B435,"s",$C$2:$C435,"CSF"))-1,96)/12))&amp;(MOD((COUNTIFS($B$2:$B435,"s",$C$2:$C435,"SER")+COUNTIFS($B$2:$B435,"s",$C$2:$C435,"PLH")+COUNTIFS($B$2:$B435,"s",$C$2:$C435,"CSF"))-1,12)+1),"N/A"),"")</f>
        <v/>
      </c>
      <c r="I435" s="6" t="str">
        <f>IF(AND($A435&lt;&gt;"",$B435&lt;&gt;"",$C435&lt;&gt;"",$D435&lt;&gt;"",$E435&lt;&gt;""),IF(AND($B435="s",OR($C435="SER",$C435="PLH",$C435="CSF")),"Case NIH Plate "&amp;(INT(((COUNTIFS($B$2:$B435,"s",$C$2:$C435,"SER")+COUNTIFS($B$2:$B435,"s",$C$2:$C435,"PLH")+COUNTIFS($B$2:$B435,"s",$C$2:$C435,"CSF"))-1)/96)+1)&amp;": "&amp;CHAR(65+INT(MOD((COUNTIFS($B$2:$B435,"s",$C$2:$C435,"SER")+COUNTIFS($B$2:$B435,"s",$C$2:$C435,"PLH")+COUNTIFS($B$2:$B435,"s",$C$2:$C435,"CSF"))-1,96)/12))&amp;(MOD((COUNTIFS($B$2:$B435,"s",$C$2:$C435,"SER")+COUNTIFS($B$2:$B435,"s",$C$2:$C435,"PLH")+COUNTIFS($B$2:$B435,"s",$C$2:$C435,"CSF"))-1,12)+1),"N/A"),"")</f>
        <v/>
      </c>
      <c r="J435" s="6" t="str">
        <f>IF(AND($A435&lt;&gt;"",$B435&lt;&gt;"",$C435&lt;&gt;"",$D435&lt;&gt;"",$E435&lt;&gt;""),IF(AND($B435="s",OR($C435="SER",$C435="PLH")),"Case MAX Planck Plate "&amp;(INT(((COUNTIFS($B$2:$B435,"s",$C$2:$C435,"SER")+COUNTIFS($B$2:$B435,"s",$C$2:$C435,"PLH"))-1)/96)+1)&amp;": "&amp;CHAR(65+INT(MOD((COUNTIFS($B$2:$B435,"s",$C$2:$C435,"SER")+COUNTIFS($B$2:$B435,"s",$C$2:$C435,"PLH"))-1,96)/12))&amp;(MOD((COUNTIFS($B$2:$B435,"s",$C$2:$C435,"SER")+COUNTIFS($B$2:$B435,"s",$C$2:$C435,"PLH"))-1,12)+1),"N/A"),"")</f>
        <v/>
      </c>
      <c r="K435" s="6" t="str">
        <f>IF(AND($A435&lt;&gt;"",$B435&lt;&gt;"",$C435&lt;&gt;"",$D435&lt;&gt;"",$E435&lt;&gt;""),IF($C435="WB","Case WB Box "&amp;(INT((COUNTIFS($C$2:$C435,"WB")-1)/81)+1)&amp;": "&amp;CHAR(65+INT(MOD(COUNTIFS($C$2:$C435,"WB")-1,81)/9))&amp;(MOD(COUNTIFS($C$2:$C435,"WB")-1,9)+1),"N/A"),"")</f>
        <v/>
      </c>
      <c r="L435" s="2" t="str">
        <f t="shared" si="109"/>
        <v/>
      </c>
      <c r="M435" s="2"/>
      <c r="N435" s="2"/>
      <c r="O435" s="2"/>
      <c r="P435" s="7" t="str">
        <f t="shared" si="110"/>
        <v/>
      </c>
      <c r="Q435" s="7" t="str">
        <f t="shared" si="111"/>
        <v/>
      </c>
      <c r="R435" s="7" t="str">
        <f t="shared" si="112"/>
        <v/>
      </c>
      <c r="S435" s="7" t="str">
        <f t="shared" si="113"/>
        <v/>
      </c>
      <c r="T435" s="7" t="str">
        <f t="shared" si="114"/>
        <v/>
      </c>
      <c r="U435" s="7" t="str">
        <f t="shared" si="115"/>
        <v/>
      </c>
      <c r="V435" s="7" t="str">
        <f t="shared" si="116"/>
        <v/>
      </c>
      <c r="W435" s="7" t="str">
        <f t="shared" si="117"/>
        <v/>
      </c>
      <c r="X435" s="7" t="str">
        <f t="shared" si="118"/>
        <v/>
      </c>
      <c r="Y435" s="7" t="str">
        <f t="shared" si="119"/>
        <v/>
      </c>
      <c r="Z435">
        <f t="shared" si="120"/>
        <v>0</v>
      </c>
      <c r="AA435" t="str">
        <f t="shared" si="121"/>
        <v/>
      </c>
      <c r="AB435" t="str">
        <f t="shared" si="122"/>
        <v/>
      </c>
      <c r="AC435" t="str">
        <f t="shared" si="123"/>
        <v/>
      </c>
      <c r="AD435" t="str">
        <f t="shared" si="124"/>
        <v/>
      </c>
      <c r="AE435">
        <f t="shared" si="125"/>
        <v>0</v>
      </c>
    </row>
    <row r="436" spans="1:31" ht="15" customHeight="1" x14ac:dyDescent="0.35">
      <c r="A436" s="2"/>
      <c r="B436" s="3"/>
      <c r="C436" s="3"/>
      <c r="D436" s="4"/>
      <c r="E436" s="5"/>
      <c r="F436" s="11" t="str">
        <f t="shared" ca="1" si="108"/>
        <v/>
      </c>
      <c r="G436" s="5"/>
      <c r="H436" s="6" t="str">
        <f>IF(AND($A436&lt;&gt;"",$B436&lt;&gt;"",$C436&lt;&gt;"",$D436&lt;&gt;"",$E436&lt;&gt;""),IF(AND($B436="s",OR($C436="SER",$C436="PLH",$C436="CSF")),"Case CDI Plate "&amp;(INT(((COUNTIFS($B$2:$B436,"s",$C$2:$C436,"SER")+COUNTIFS($B$2:$B436,"s",$C$2:$C436,"PLH")+COUNTIFS($B$2:$B436,"s",$C$2:$C436,"CSF"))-1)/96)+1)&amp;": "&amp;CHAR(65+INT(MOD((COUNTIFS($B$2:$B436,"s",$C$2:$C436,"SER")+COUNTIFS($B$2:$B436,"s",$C$2:$C436,"PLH")+COUNTIFS($B$2:$B436,"s",$C$2:$C436,"CSF"))-1,96)/12))&amp;(MOD((COUNTIFS($B$2:$B436,"s",$C$2:$C436,"SER")+COUNTIFS($B$2:$B436,"s",$C$2:$C436,"PLH")+COUNTIFS($B$2:$B436,"s",$C$2:$C436,"CSF"))-1,12)+1),"N/A"),"")</f>
        <v/>
      </c>
      <c r="I436" s="6" t="str">
        <f>IF(AND($A436&lt;&gt;"",$B436&lt;&gt;"",$C436&lt;&gt;"",$D436&lt;&gt;"",$E436&lt;&gt;""),IF(AND($B436="s",OR($C436="SER",$C436="PLH",$C436="CSF")),"Case NIH Plate "&amp;(INT(((COUNTIFS($B$2:$B436,"s",$C$2:$C436,"SER")+COUNTIFS($B$2:$B436,"s",$C$2:$C436,"PLH")+COUNTIFS($B$2:$B436,"s",$C$2:$C436,"CSF"))-1)/96)+1)&amp;": "&amp;CHAR(65+INT(MOD((COUNTIFS($B$2:$B436,"s",$C$2:$C436,"SER")+COUNTIFS($B$2:$B436,"s",$C$2:$C436,"PLH")+COUNTIFS($B$2:$B436,"s",$C$2:$C436,"CSF"))-1,96)/12))&amp;(MOD((COUNTIFS($B$2:$B436,"s",$C$2:$C436,"SER")+COUNTIFS($B$2:$B436,"s",$C$2:$C436,"PLH")+COUNTIFS($B$2:$B436,"s",$C$2:$C436,"CSF"))-1,12)+1),"N/A"),"")</f>
        <v/>
      </c>
      <c r="J436" s="6" t="str">
        <f>IF(AND($A436&lt;&gt;"",$B436&lt;&gt;"",$C436&lt;&gt;"",$D436&lt;&gt;"",$E436&lt;&gt;""),IF(AND($B436="s",OR($C436="SER",$C436="PLH")),"Case MAX Planck Plate "&amp;(INT(((COUNTIFS($B$2:$B436,"s",$C$2:$C436,"SER")+COUNTIFS($B$2:$B436,"s",$C$2:$C436,"PLH"))-1)/96)+1)&amp;": "&amp;CHAR(65+INT(MOD((COUNTIFS($B$2:$B436,"s",$C$2:$C436,"SER")+COUNTIFS($B$2:$B436,"s",$C$2:$C436,"PLH"))-1,96)/12))&amp;(MOD((COUNTIFS($B$2:$B436,"s",$C$2:$C436,"SER")+COUNTIFS($B$2:$B436,"s",$C$2:$C436,"PLH"))-1,12)+1),"N/A"),"")</f>
        <v/>
      </c>
      <c r="K436" s="6" t="str">
        <f>IF(AND($A436&lt;&gt;"",$B436&lt;&gt;"",$C436&lt;&gt;"",$D436&lt;&gt;"",$E436&lt;&gt;""),IF($C436="WB","Case WB Box "&amp;(INT((COUNTIFS($C$2:$C436,"WB")-1)/81)+1)&amp;": "&amp;CHAR(65+INT(MOD(COUNTIFS($C$2:$C436,"WB")-1,81)/9))&amp;(MOD(COUNTIFS($C$2:$C436,"WB")-1,9)+1),"N/A"),"")</f>
        <v/>
      </c>
      <c r="L436" s="2" t="str">
        <f t="shared" si="109"/>
        <v/>
      </c>
      <c r="M436" s="2"/>
      <c r="N436" s="2"/>
      <c r="O436" s="2"/>
      <c r="P436" s="7" t="str">
        <f t="shared" si="110"/>
        <v/>
      </c>
      <c r="Q436" s="7" t="str">
        <f t="shared" si="111"/>
        <v/>
      </c>
      <c r="R436" s="7" t="str">
        <f t="shared" si="112"/>
        <v/>
      </c>
      <c r="S436" s="7" t="str">
        <f t="shared" si="113"/>
        <v/>
      </c>
      <c r="T436" s="7" t="str">
        <f t="shared" si="114"/>
        <v/>
      </c>
      <c r="U436" s="7" t="str">
        <f t="shared" si="115"/>
        <v/>
      </c>
      <c r="V436" s="7" t="str">
        <f t="shared" si="116"/>
        <v/>
      </c>
      <c r="W436" s="7" t="str">
        <f t="shared" si="117"/>
        <v/>
      </c>
      <c r="X436" s="7" t="str">
        <f t="shared" si="118"/>
        <v/>
      </c>
      <c r="Y436" s="7" t="str">
        <f t="shared" si="119"/>
        <v/>
      </c>
      <c r="Z436">
        <f t="shared" si="120"/>
        <v>0</v>
      </c>
      <c r="AA436" t="str">
        <f t="shared" si="121"/>
        <v/>
      </c>
      <c r="AB436" t="str">
        <f t="shared" si="122"/>
        <v/>
      </c>
      <c r="AC436" t="str">
        <f t="shared" si="123"/>
        <v/>
      </c>
      <c r="AD436" t="str">
        <f t="shared" si="124"/>
        <v/>
      </c>
      <c r="AE436">
        <f t="shared" si="125"/>
        <v>0</v>
      </c>
    </row>
    <row r="437" spans="1:31" ht="15" customHeight="1" x14ac:dyDescent="0.35">
      <c r="A437" s="2"/>
      <c r="B437" s="3"/>
      <c r="C437" s="3"/>
      <c r="D437" s="4"/>
      <c r="E437" s="5"/>
      <c r="F437" s="11" t="str">
        <f t="shared" ca="1" si="108"/>
        <v/>
      </c>
      <c r="G437" s="5"/>
      <c r="H437" s="6" t="str">
        <f>IF(AND($A437&lt;&gt;"",$B437&lt;&gt;"",$C437&lt;&gt;"",$D437&lt;&gt;"",$E437&lt;&gt;""),IF(AND($B437="s",OR($C437="SER",$C437="PLH",$C437="CSF")),"Case CDI Plate "&amp;(INT(((COUNTIFS($B$2:$B437,"s",$C$2:$C437,"SER")+COUNTIFS($B$2:$B437,"s",$C$2:$C437,"PLH")+COUNTIFS($B$2:$B437,"s",$C$2:$C437,"CSF"))-1)/96)+1)&amp;": "&amp;CHAR(65+INT(MOD((COUNTIFS($B$2:$B437,"s",$C$2:$C437,"SER")+COUNTIFS($B$2:$B437,"s",$C$2:$C437,"PLH")+COUNTIFS($B$2:$B437,"s",$C$2:$C437,"CSF"))-1,96)/12))&amp;(MOD((COUNTIFS($B$2:$B437,"s",$C$2:$C437,"SER")+COUNTIFS($B$2:$B437,"s",$C$2:$C437,"PLH")+COUNTIFS($B$2:$B437,"s",$C$2:$C437,"CSF"))-1,12)+1),"N/A"),"")</f>
        <v/>
      </c>
      <c r="I437" s="6" t="str">
        <f>IF(AND($A437&lt;&gt;"",$B437&lt;&gt;"",$C437&lt;&gt;"",$D437&lt;&gt;"",$E437&lt;&gt;""),IF(AND($B437="s",OR($C437="SER",$C437="PLH",$C437="CSF")),"Case NIH Plate "&amp;(INT(((COUNTIFS($B$2:$B437,"s",$C$2:$C437,"SER")+COUNTIFS($B$2:$B437,"s",$C$2:$C437,"PLH")+COUNTIFS($B$2:$B437,"s",$C$2:$C437,"CSF"))-1)/96)+1)&amp;": "&amp;CHAR(65+INT(MOD((COUNTIFS($B$2:$B437,"s",$C$2:$C437,"SER")+COUNTIFS($B$2:$B437,"s",$C$2:$C437,"PLH")+COUNTIFS($B$2:$B437,"s",$C$2:$C437,"CSF"))-1,96)/12))&amp;(MOD((COUNTIFS($B$2:$B437,"s",$C$2:$C437,"SER")+COUNTIFS($B$2:$B437,"s",$C$2:$C437,"PLH")+COUNTIFS($B$2:$B437,"s",$C$2:$C437,"CSF"))-1,12)+1),"N/A"),"")</f>
        <v/>
      </c>
      <c r="J437" s="6" t="str">
        <f>IF(AND($A437&lt;&gt;"",$B437&lt;&gt;"",$C437&lt;&gt;"",$D437&lt;&gt;"",$E437&lt;&gt;""),IF(AND($B437="s",OR($C437="SER",$C437="PLH")),"Case MAX Planck Plate "&amp;(INT(((COUNTIFS($B$2:$B437,"s",$C$2:$C437,"SER")+COUNTIFS($B$2:$B437,"s",$C$2:$C437,"PLH"))-1)/96)+1)&amp;": "&amp;CHAR(65+INT(MOD((COUNTIFS($B$2:$B437,"s",$C$2:$C437,"SER")+COUNTIFS($B$2:$B437,"s",$C$2:$C437,"PLH"))-1,96)/12))&amp;(MOD((COUNTIFS($B$2:$B437,"s",$C$2:$C437,"SER")+COUNTIFS($B$2:$B437,"s",$C$2:$C437,"PLH"))-1,12)+1),"N/A"),"")</f>
        <v/>
      </c>
      <c r="K437" s="6" t="str">
        <f>IF(AND($A437&lt;&gt;"",$B437&lt;&gt;"",$C437&lt;&gt;"",$D437&lt;&gt;"",$E437&lt;&gt;""),IF($C437="WB","Case WB Box "&amp;(INT((COUNTIFS($C$2:$C437,"WB")-1)/81)+1)&amp;": "&amp;CHAR(65+INT(MOD(COUNTIFS($C$2:$C437,"WB")-1,81)/9))&amp;(MOD(COUNTIFS($C$2:$C437,"WB")-1,9)+1),"N/A"),"")</f>
        <v/>
      </c>
      <c r="L437" s="2" t="str">
        <f t="shared" si="109"/>
        <v/>
      </c>
      <c r="M437" s="2"/>
      <c r="N437" s="2"/>
      <c r="O437" s="2"/>
      <c r="P437" s="7" t="str">
        <f t="shared" si="110"/>
        <v/>
      </c>
      <c r="Q437" s="7" t="str">
        <f t="shared" si="111"/>
        <v/>
      </c>
      <c r="R437" s="7" t="str">
        <f t="shared" si="112"/>
        <v/>
      </c>
      <c r="S437" s="7" t="str">
        <f t="shared" si="113"/>
        <v/>
      </c>
      <c r="T437" s="7" t="str">
        <f t="shared" si="114"/>
        <v/>
      </c>
      <c r="U437" s="7" t="str">
        <f t="shared" si="115"/>
        <v/>
      </c>
      <c r="V437" s="7" t="str">
        <f t="shared" si="116"/>
        <v/>
      </c>
      <c r="W437" s="7" t="str">
        <f t="shared" si="117"/>
        <v/>
      </c>
      <c r="X437" s="7" t="str">
        <f t="shared" si="118"/>
        <v/>
      </c>
      <c r="Y437" s="7" t="str">
        <f t="shared" si="119"/>
        <v/>
      </c>
      <c r="Z437">
        <f t="shared" si="120"/>
        <v>0</v>
      </c>
      <c r="AA437" t="str">
        <f t="shared" si="121"/>
        <v/>
      </c>
      <c r="AB437" t="str">
        <f t="shared" si="122"/>
        <v/>
      </c>
      <c r="AC437" t="str">
        <f t="shared" si="123"/>
        <v/>
      </c>
      <c r="AD437" t="str">
        <f t="shared" si="124"/>
        <v/>
      </c>
      <c r="AE437">
        <f t="shared" si="125"/>
        <v>0</v>
      </c>
    </row>
    <row r="438" spans="1:31" ht="15" customHeight="1" x14ac:dyDescent="0.35">
      <c r="A438" s="2"/>
      <c r="B438" s="3"/>
      <c r="C438" s="3"/>
      <c r="D438" s="4"/>
      <c r="E438" s="5"/>
      <c r="F438" s="11" t="str">
        <f t="shared" ca="1" si="108"/>
        <v/>
      </c>
      <c r="G438" s="5"/>
      <c r="H438" s="6" t="str">
        <f>IF(AND($A438&lt;&gt;"",$B438&lt;&gt;"",$C438&lt;&gt;"",$D438&lt;&gt;"",$E438&lt;&gt;""),IF(AND($B438="s",OR($C438="SER",$C438="PLH",$C438="CSF")),"Case CDI Plate "&amp;(INT(((COUNTIFS($B$2:$B438,"s",$C$2:$C438,"SER")+COUNTIFS($B$2:$B438,"s",$C$2:$C438,"PLH")+COUNTIFS($B$2:$B438,"s",$C$2:$C438,"CSF"))-1)/96)+1)&amp;": "&amp;CHAR(65+INT(MOD((COUNTIFS($B$2:$B438,"s",$C$2:$C438,"SER")+COUNTIFS($B$2:$B438,"s",$C$2:$C438,"PLH")+COUNTIFS($B$2:$B438,"s",$C$2:$C438,"CSF"))-1,96)/12))&amp;(MOD((COUNTIFS($B$2:$B438,"s",$C$2:$C438,"SER")+COUNTIFS($B$2:$B438,"s",$C$2:$C438,"PLH")+COUNTIFS($B$2:$B438,"s",$C$2:$C438,"CSF"))-1,12)+1),"N/A"),"")</f>
        <v/>
      </c>
      <c r="I438" s="6" t="str">
        <f>IF(AND($A438&lt;&gt;"",$B438&lt;&gt;"",$C438&lt;&gt;"",$D438&lt;&gt;"",$E438&lt;&gt;""),IF(AND($B438="s",OR($C438="SER",$C438="PLH",$C438="CSF")),"Case NIH Plate "&amp;(INT(((COUNTIFS($B$2:$B438,"s",$C$2:$C438,"SER")+COUNTIFS($B$2:$B438,"s",$C$2:$C438,"PLH")+COUNTIFS($B$2:$B438,"s",$C$2:$C438,"CSF"))-1)/96)+1)&amp;": "&amp;CHAR(65+INT(MOD((COUNTIFS($B$2:$B438,"s",$C$2:$C438,"SER")+COUNTIFS($B$2:$B438,"s",$C$2:$C438,"PLH")+COUNTIFS($B$2:$B438,"s",$C$2:$C438,"CSF"))-1,96)/12))&amp;(MOD((COUNTIFS($B$2:$B438,"s",$C$2:$C438,"SER")+COUNTIFS($B$2:$B438,"s",$C$2:$C438,"PLH")+COUNTIFS($B$2:$B438,"s",$C$2:$C438,"CSF"))-1,12)+1),"N/A"),"")</f>
        <v/>
      </c>
      <c r="J438" s="6" t="str">
        <f>IF(AND($A438&lt;&gt;"",$B438&lt;&gt;"",$C438&lt;&gt;"",$D438&lt;&gt;"",$E438&lt;&gt;""),IF(AND($B438="s",OR($C438="SER",$C438="PLH")),"Case MAX Planck Plate "&amp;(INT(((COUNTIFS($B$2:$B438,"s",$C$2:$C438,"SER")+COUNTIFS($B$2:$B438,"s",$C$2:$C438,"PLH"))-1)/96)+1)&amp;": "&amp;CHAR(65+INT(MOD((COUNTIFS($B$2:$B438,"s",$C$2:$C438,"SER")+COUNTIFS($B$2:$B438,"s",$C$2:$C438,"PLH"))-1,96)/12))&amp;(MOD((COUNTIFS($B$2:$B438,"s",$C$2:$C438,"SER")+COUNTIFS($B$2:$B438,"s",$C$2:$C438,"PLH"))-1,12)+1),"N/A"),"")</f>
        <v/>
      </c>
      <c r="K438" s="6" t="str">
        <f>IF(AND($A438&lt;&gt;"",$B438&lt;&gt;"",$C438&lt;&gt;"",$D438&lt;&gt;"",$E438&lt;&gt;""),IF($C438="WB","Case WB Box "&amp;(INT((COUNTIFS($C$2:$C438,"WB")-1)/81)+1)&amp;": "&amp;CHAR(65+INT(MOD(COUNTIFS($C$2:$C438,"WB")-1,81)/9))&amp;(MOD(COUNTIFS($C$2:$C438,"WB")-1,9)+1),"N/A"),"")</f>
        <v/>
      </c>
      <c r="L438" s="2" t="str">
        <f t="shared" si="109"/>
        <v/>
      </c>
      <c r="M438" s="2"/>
      <c r="N438" s="2"/>
      <c r="O438" s="2"/>
      <c r="P438" s="7" t="str">
        <f t="shared" si="110"/>
        <v/>
      </c>
      <c r="Q438" s="7" t="str">
        <f t="shared" si="111"/>
        <v/>
      </c>
      <c r="R438" s="7" t="str">
        <f t="shared" si="112"/>
        <v/>
      </c>
      <c r="S438" s="7" t="str">
        <f t="shared" si="113"/>
        <v/>
      </c>
      <c r="T438" s="7" t="str">
        <f t="shared" si="114"/>
        <v/>
      </c>
      <c r="U438" s="7" t="str">
        <f t="shared" si="115"/>
        <v/>
      </c>
      <c r="V438" s="7" t="str">
        <f t="shared" si="116"/>
        <v/>
      </c>
      <c r="W438" s="7" t="str">
        <f t="shared" si="117"/>
        <v/>
      </c>
      <c r="X438" s="7" t="str">
        <f t="shared" si="118"/>
        <v/>
      </c>
      <c r="Y438" s="7" t="str">
        <f t="shared" si="119"/>
        <v/>
      </c>
      <c r="Z438">
        <f t="shared" si="120"/>
        <v>0</v>
      </c>
      <c r="AA438" t="str">
        <f t="shared" si="121"/>
        <v/>
      </c>
      <c r="AB438" t="str">
        <f t="shared" si="122"/>
        <v/>
      </c>
      <c r="AC438" t="str">
        <f t="shared" si="123"/>
        <v/>
      </c>
      <c r="AD438" t="str">
        <f t="shared" si="124"/>
        <v/>
      </c>
      <c r="AE438">
        <f t="shared" si="125"/>
        <v>0</v>
      </c>
    </row>
    <row r="439" spans="1:31" ht="15" customHeight="1" x14ac:dyDescent="0.35">
      <c r="A439" s="2"/>
      <c r="B439" s="3"/>
      <c r="C439" s="3"/>
      <c r="D439" s="4"/>
      <c r="E439" s="5"/>
      <c r="F439" s="11" t="str">
        <f t="shared" ca="1" si="108"/>
        <v/>
      </c>
      <c r="G439" s="5"/>
      <c r="H439" s="6" t="str">
        <f>IF(AND($A439&lt;&gt;"",$B439&lt;&gt;"",$C439&lt;&gt;"",$D439&lt;&gt;"",$E439&lt;&gt;""),IF(AND($B439="s",OR($C439="SER",$C439="PLH",$C439="CSF")),"Case CDI Plate "&amp;(INT(((COUNTIFS($B$2:$B439,"s",$C$2:$C439,"SER")+COUNTIFS($B$2:$B439,"s",$C$2:$C439,"PLH")+COUNTIFS($B$2:$B439,"s",$C$2:$C439,"CSF"))-1)/96)+1)&amp;": "&amp;CHAR(65+INT(MOD((COUNTIFS($B$2:$B439,"s",$C$2:$C439,"SER")+COUNTIFS($B$2:$B439,"s",$C$2:$C439,"PLH")+COUNTIFS($B$2:$B439,"s",$C$2:$C439,"CSF"))-1,96)/12))&amp;(MOD((COUNTIFS($B$2:$B439,"s",$C$2:$C439,"SER")+COUNTIFS($B$2:$B439,"s",$C$2:$C439,"PLH")+COUNTIFS($B$2:$B439,"s",$C$2:$C439,"CSF"))-1,12)+1),"N/A"),"")</f>
        <v/>
      </c>
      <c r="I439" s="6" t="str">
        <f>IF(AND($A439&lt;&gt;"",$B439&lt;&gt;"",$C439&lt;&gt;"",$D439&lt;&gt;"",$E439&lt;&gt;""),IF(AND($B439="s",OR($C439="SER",$C439="PLH",$C439="CSF")),"Case NIH Plate "&amp;(INT(((COUNTIFS($B$2:$B439,"s",$C$2:$C439,"SER")+COUNTIFS($B$2:$B439,"s",$C$2:$C439,"PLH")+COUNTIFS($B$2:$B439,"s",$C$2:$C439,"CSF"))-1)/96)+1)&amp;": "&amp;CHAR(65+INT(MOD((COUNTIFS($B$2:$B439,"s",$C$2:$C439,"SER")+COUNTIFS($B$2:$B439,"s",$C$2:$C439,"PLH")+COUNTIFS($B$2:$B439,"s",$C$2:$C439,"CSF"))-1,96)/12))&amp;(MOD((COUNTIFS($B$2:$B439,"s",$C$2:$C439,"SER")+COUNTIFS($B$2:$B439,"s",$C$2:$C439,"PLH")+COUNTIFS($B$2:$B439,"s",$C$2:$C439,"CSF"))-1,12)+1),"N/A"),"")</f>
        <v/>
      </c>
      <c r="J439" s="6" t="str">
        <f>IF(AND($A439&lt;&gt;"",$B439&lt;&gt;"",$C439&lt;&gt;"",$D439&lt;&gt;"",$E439&lt;&gt;""),IF(AND($B439="s",OR($C439="SER",$C439="PLH")),"Case MAX Planck Plate "&amp;(INT(((COUNTIFS($B$2:$B439,"s",$C$2:$C439,"SER")+COUNTIFS($B$2:$B439,"s",$C$2:$C439,"PLH"))-1)/96)+1)&amp;": "&amp;CHAR(65+INT(MOD((COUNTIFS($B$2:$B439,"s",$C$2:$C439,"SER")+COUNTIFS($B$2:$B439,"s",$C$2:$C439,"PLH"))-1,96)/12))&amp;(MOD((COUNTIFS($B$2:$B439,"s",$C$2:$C439,"SER")+COUNTIFS($B$2:$B439,"s",$C$2:$C439,"PLH"))-1,12)+1),"N/A"),"")</f>
        <v/>
      </c>
      <c r="K439" s="6" t="str">
        <f>IF(AND($A439&lt;&gt;"",$B439&lt;&gt;"",$C439&lt;&gt;"",$D439&lt;&gt;"",$E439&lt;&gt;""),IF($C439="WB","Case WB Box "&amp;(INT((COUNTIFS($C$2:$C439,"WB")-1)/81)+1)&amp;": "&amp;CHAR(65+INT(MOD(COUNTIFS($C$2:$C439,"WB")-1,81)/9))&amp;(MOD(COUNTIFS($C$2:$C439,"WB")-1,9)+1),"N/A"),"")</f>
        <v/>
      </c>
      <c r="L439" s="2" t="str">
        <f t="shared" si="109"/>
        <v/>
      </c>
      <c r="M439" s="2"/>
      <c r="N439" s="2"/>
      <c r="O439" s="2"/>
      <c r="P439" s="7" t="str">
        <f t="shared" si="110"/>
        <v/>
      </c>
      <c r="Q439" s="7" t="str">
        <f t="shared" si="111"/>
        <v/>
      </c>
      <c r="R439" s="7" t="str">
        <f t="shared" si="112"/>
        <v/>
      </c>
      <c r="S439" s="7" t="str">
        <f t="shared" si="113"/>
        <v/>
      </c>
      <c r="T439" s="7" t="str">
        <f t="shared" si="114"/>
        <v/>
      </c>
      <c r="U439" s="7" t="str">
        <f t="shared" si="115"/>
        <v/>
      </c>
      <c r="V439" s="7" t="str">
        <f t="shared" si="116"/>
        <v/>
      </c>
      <c r="W439" s="7" t="str">
        <f t="shared" si="117"/>
        <v/>
      </c>
      <c r="X439" s="7" t="str">
        <f t="shared" si="118"/>
        <v/>
      </c>
      <c r="Y439" s="7" t="str">
        <f t="shared" si="119"/>
        <v/>
      </c>
      <c r="Z439">
        <f t="shared" si="120"/>
        <v>0</v>
      </c>
      <c r="AA439" t="str">
        <f t="shared" si="121"/>
        <v/>
      </c>
      <c r="AB439" t="str">
        <f t="shared" si="122"/>
        <v/>
      </c>
      <c r="AC439" t="str">
        <f t="shared" si="123"/>
        <v/>
      </c>
      <c r="AD439" t="str">
        <f t="shared" si="124"/>
        <v/>
      </c>
      <c r="AE439">
        <f t="shared" si="125"/>
        <v>0</v>
      </c>
    </row>
    <row r="440" spans="1:31" ht="15" customHeight="1" x14ac:dyDescent="0.35">
      <c r="A440" s="2"/>
      <c r="B440" s="3"/>
      <c r="C440" s="3"/>
      <c r="D440" s="4"/>
      <c r="E440" s="5"/>
      <c r="F440" s="11" t="str">
        <f t="shared" ca="1" si="108"/>
        <v/>
      </c>
      <c r="G440" s="5"/>
      <c r="H440" s="6" t="str">
        <f>IF(AND($A440&lt;&gt;"",$B440&lt;&gt;"",$C440&lt;&gt;"",$D440&lt;&gt;"",$E440&lt;&gt;""),IF(AND($B440="s",OR($C440="SER",$C440="PLH",$C440="CSF")),"Case CDI Plate "&amp;(INT(((COUNTIFS($B$2:$B440,"s",$C$2:$C440,"SER")+COUNTIFS($B$2:$B440,"s",$C$2:$C440,"PLH")+COUNTIFS($B$2:$B440,"s",$C$2:$C440,"CSF"))-1)/96)+1)&amp;": "&amp;CHAR(65+INT(MOD((COUNTIFS($B$2:$B440,"s",$C$2:$C440,"SER")+COUNTIFS($B$2:$B440,"s",$C$2:$C440,"PLH")+COUNTIFS($B$2:$B440,"s",$C$2:$C440,"CSF"))-1,96)/12))&amp;(MOD((COUNTIFS($B$2:$B440,"s",$C$2:$C440,"SER")+COUNTIFS($B$2:$B440,"s",$C$2:$C440,"PLH")+COUNTIFS($B$2:$B440,"s",$C$2:$C440,"CSF"))-1,12)+1),"N/A"),"")</f>
        <v/>
      </c>
      <c r="I440" s="6" t="str">
        <f>IF(AND($A440&lt;&gt;"",$B440&lt;&gt;"",$C440&lt;&gt;"",$D440&lt;&gt;"",$E440&lt;&gt;""),IF(AND($B440="s",OR($C440="SER",$C440="PLH",$C440="CSF")),"Case NIH Plate "&amp;(INT(((COUNTIFS($B$2:$B440,"s",$C$2:$C440,"SER")+COUNTIFS($B$2:$B440,"s",$C$2:$C440,"PLH")+COUNTIFS($B$2:$B440,"s",$C$2:$C440,"CSF"))-1)/96)+1)&amp;": "&amp;CHAR(65+INT(MOD((COUNTIFS($B$2:$B440,"s",$C$2:$C440,"SER")+COUNTIFS($B$2:$B440,"s",$C$2:$C440,"PLH")+COUNTIFS($B$2:$B440,"s",$C$2:$C440,"CSF"))-1,96)/12))&amp;(MOD((COUNTIFS($B$2:$B440,"s",$C$2:$C440,"SER")+COUNTIFS($B$2:$B440,"s",$C$2:$C440,"PLH")+COUNTIFS($B$2:$B440,"s",$C$2:$C440,"CSF"))-1,12)+1),"N/A"),"")</f>
        <v/>
      </c>
      <c r="J440" s="6" t="str">
        <f>IF(AND($A440&lt;&gt;"",$B440&lt;&gt;"",$C440&lt;&gt;"",$D440&lt;&gt;"",$E440&lt;&gt;""),IF(AND($B440="s",OR($C440="SER",$C440="PLH")),"Case MAX Planck Plate "&amp;(INT(((COUNTIFS($B$2:$B440,"s",$C$2:$C440,"SER")+COUNTIFS($B$2:$B440,"s",$C$2:$C440,"PLH"))-1)/96)+1)&amp;": "&amp;CHAR(65+INT(MOD((COUNTIFS($B$2:$B440,"s",$C$2:$C440,"SER")+COUNTIFS($B$2:$B440,"s",$C$2:$C440,"PLH"))-1,96)/12))&amp;(MOD((COUNTIFS($B$2:$B440,"s",$C$2:$C440,"SER")+COUNTIFS($B$2:$B440,"s",$C$2:$C440,"PLH"))-1,12)+1),"N/A"),"")</f>
        <v/>
      </c>
      <c r="K440" s="6" t="str">
        <f>IF(AND($A440&lt;&gt;"",$B440&lt;&gt;"",$C440&lt;&gt;"",$D440&lt;&gt;"",$E440&lt;&gt;""),IF($C440="WB","Case WB Box "&amp;(INT((COUNTIFS($C$2:$C440,"WB")-1)/81)+1)&amp;": "&amp;CHAR(65+INT(MOD(COUNTIFS($C$2:$C440,"WB")-1,81)/9))&amp;(MOD(COUNTIFS($C$2:$C440,"WB")-1,9)+1),"N/A"),"")</f>
        <v/>
      </c>
      <c r="L440" s="2" t="str">
        <f t="shared" si="109"/>
        <v/>
      </c>
      <c r="M440" s="2"/>
      <c r="N440" s="2"/>
      <c r="O440" s="2"/>
      <c r="P440" s="7" t="str">
        <f t="shared" si="110"/>
        <v/>
      </c>
      <c r="Q440" s="7" t="str">
        <f t="shared" si="111"/>
        <v/>
      </c>
      <c r="R440" s="7" t="str">
        <f t="shared" si="112"/>
        <v/>
      </c>
      <c r="S440" s="7" t="str">
        <f t="shared" si="113"/>
        <v/>
      </c>
      <c r="T440" s="7" t="str">
        <f t="shared" si="114"/>
        <v/>
      </c>
      <c r="U440" s="7" t="str">
        <f t="shared" si="115"/>
        <v/>
      </c>
      <c r="V440" s="7" t="str">
        <f t="shared" si="116"/>
        <v/>
      </c>
      <c r="W440" s="7" t="str">
        <f t="shared" si="117"/>
        <v/>
      </c>
      <c r="X440" s="7" t="str">
        <f t="shared" si="118"/>
        <v/>
      </c>
      <c r="Y440" s="7" t="str">
        <f t="shared" si="119"/>
        <v/>
      </c>
      <c r="Z440">
        <f t="shared" si="120"/>
        <v>0</v>
      </c>
      <c r="AA440" t="str">
        <f t="shared" si="121"/>
        <v/>
      </c>
      <c r="AB440" t="str">
        <f t="shared" si="122"/>
        <v/>
      </c>
      <c r="AC440" t="str">
        <f t="shared" si="123"/>
        <v/>
      </c>
      <c r="AD440" t="str">
        <f t="shared" si="124"/>
        <v/>
      </c>
      <c r="AE440">
        <f t="shared" si="125"/>
        <v>0</v>
      </c>
    </row>
    <row r="441" spans="1:31" ht="15" customHeight="1" x14ac:dyDescent="0.35">
      <c r="A441" s="2"/>
      <c r="B441" s="3"/>
      <c r="C441" s="3"/>
      <c r="D441" s="4"/>
      <c r="E441" s="5"/>
      <c r="F441" s="11" t="str">
        <f t="shared" ca="1" si="108"/>
        <v/>
      </c>
      <c r="G441" s="5"/>
      <c r="H441" s="6" t="str">
        <f>IF(AND($A441&lt;&gt;"",$B441&lt;&gt;"",$C441&lt;&gt;"",$D441&lt;&gt;"",$E441&lt;&gt;""),IF(AND($B441="s",OR($C441="SER",$C441="PLH",$C441="CSF")),"Case CDI Plate "&amp;(INT(((COUNTIFS($B$2:$B441,"s",$C$2:$C441,"SER")+COUNTIFS($B$2:$B441,"s",$C$2:$C441,"PLH")+COUNTIFS($B$2:$B441,"s",$C$2:$C441,"CSF"))-1)/96)+1)&amp;": "&amp;CHAR(65+INT(MOD((COUNTIFS($B$2:$B441,"s",$C$2:$C441,"SER")+COUNTIFS($B$2:$B441,"s",$C$2:$C441,"PLH")+COUNTIFS($B$2:$B441,"s",$C$2:$C441,"CSF"))-1,96)/12))&amp;(MOD((COUNTIFS($B$2:$B441,"s",$C$2:$C441,"SER")+COUNTIFS($B$2:$B441,"s",$C$2:$C441,"PLH")+COUNTIFS($B$2:$B441,"s",$C$2:$C441,"CSF"))-1,12)+1),"N/A"),"")</f>
        <v/>
      </c>
      <c r="I441" s="6" t="str">
        <f>IF(AND($A441&lt;&gt;"",$B441&lt;&gt;"",$C441&lt;&gt;"",$D441&lt;&gt;"",$E441&lt;&gt;""),IF(AND($B441="s",OR($C441="SER",$C441="PLH",$C441="CSF")),"Case NIH Plate "&amp;(INT(((COUNTIFS($B$2:$B441,"s",$C$2:$C441,"SER")+COUNTIFS($B$2:$B441,"s",$C$2:$C441,"PLH")+COUNTIFS($B$2:$B441,"s",$C$2:$C441,"CSF"))-1)/96)+1)&amp;": "&amp;CHAR(65+INT(MOD((COUNTIFS($B$2:$B441,"s",$C$2:$C441,"SER")+COUNTIFS($B$2:$B441,"s",$C$2:$C441,"PLH")+COUNTIFS($B$2:$B441,"s",$C$2:$C441,"CSF"))-1,96)/12))&amp;(MOD((COUNTIFS($B$2:$B441,"s",$C$2:$C441,"SER")+COUNTIFS($B$2:$B441,"s",$C$2:$C441,"PLH")+COUNTIFS($B$2:$B441,"s",$C$2:$C441,"CSF"))-1,12)+1),"N/A"),"")</f>
        <v/>
      </c>
      <c r="J441" s="6" t="str">
        <f>IF(AND($A441&lt;&gt;"",$B441&lt;&gt;"",$C441&lt;&gt;"",$D441&lt;&gt;"",$E441&lt;&gt;""),IF(AND($B441="s",OR($C441="SER",$C441="PLH")),"Case MAX Planck Plate "&amp;(INT(((COUNTIFS($B$2:$B441,"s",$C$2:$C441,"SER")+COUNTIFS($B$2:$B441,"s",$C$2:$C441,"PLH"))-1)/96)+1)&amp;": "&amp;CHAR(65+INT(MOD((COUNTIFS($B$2:$B441,"s",$C$2:$C441,"SER")+COUNTIFS($B$2:$B441,"s",$C$2:$C441,"PLH"))-1,96)/12))&amp;(MOD((COUNTIFS($B$2:$B441,"s",$C$2:$C441,"SER")+COUNTIFS($B$2:$B441,"s",$C$2:$C441,"PLH"))-1,12)+1),"N/A"),"")</f>
        <v/>
      </c>
      <c r="K441" s="6" t="str">
        <f>IF(AND($A441&lt;&gt;"",$B441&lt;&gt;"",$C441&lt;&gt;"",$D441&lt;&gt;"",$E441&lt;&gt;""),IF($C441="WB","Case WB Box "&amp;(INT((COUNTIFS($C$2:$C441,"WB")-1)/81)+1)&amp;": "&amp;CHAR(65+INT(MOD(COUNTIFS($C$2:$C441,"WB")-1,81)/9))&amp;(MOD(COUNTIFS($C$2:$C441,"WB")-1,9)+1),"N/A"),"")</f>
        <v/>
      </c>
      <c r="L441" s="2" t="str">
        <f t="shared" si="109"/>
        <v/>
      </c>
      <c r="M441" s="2"/>
      <c r="N441" s="2"/>
      <c r="O441" s="2"/>
      <c r="P441" s="7" t="str">
        <f t="shared" si="110"/>
        <v/>
      </c>
      <c r="Q441" s="7" t="str">
        <f t="shared" si="111"/>
        <v/>
      </c>
      <c r="R441" s="7" t="str">
        <f t="shared" si="112"/>
        <v/>
      </c>
      <c r="S441" s="7" t="str">
        <f t="shared" si="113"/>
        <v/>
      </c>
      <c r="T441" s="7" t="str">
        <f t="shared" si="114"/>
        <v/>
      </c>
      <c r="U441" s="7" t="str">
        <f t="shared" si="115"/>
        <v/>
      </c>
      <c r="V441" s="7" t="str">
        <f t="shared" si="116"/>
        <v/>
      </c>
      <c r="W441" s="7" t="str">
        <f t="shared" si="117"/>
        <v/>
      </c>
      <c r="X441" s="7" t="str">
        <f t="shared" si="118"/>
        <v/>
      </c>
      <c r="Y441" s="7" t="str">
        <f t="shared" si="119"/>
        <v/>
      </c>
      <c r="Z441">
        <f t="shared" si="120"/>
        <v>0</v>
      </c>
      <c r="AA441" t="str">
        <f t="shared" si="121"/>
        <v/>
      </c>
      <c r="AB441" t="str">
        <f t="shared" si="122"/>
        <v/>
      </c>
      <c r="AC441" t="str">
        <f t="shared" si="123"/>
        <v/>
      </c>
      <c r="AD441" t="str">
        <f t="shared" si="124"/>
        <v/>
      </c>
      <c r="AE441">
        <f t="shared" si="125"/>
        <v>0</v>
      </c>
    </row>
    <row r="442" spans="1:31" ht="15" customHeight="1" x14ac:dyDescent="0.35">
      <c r="A442" s="2"/>
      <c r="B442" s="3"/>
      <c r="C442" s="3"/>
      <c r="D442" s="4"/>
      <c r="E442" s="5"/>
      <c r="F442" s="11" t="str">
        <f t="shared" ca="1" si="108"/>
        <v/>
      </c>
      <c r="G442" s="5"/>
      <c r="H442" s="6" t="str">
        <f>IF(AND($A442&lt;&gt;"",$B442&lt;&gt;"",$C442&lt;&gt;"",$D442&lt;&gt;"",$E442&lt;&gt;""),IF(AND($B442="s",OR($C442="SER",$C442="PLH",$C442="CSF")),"Case CDI Plate "&amp;(INT(((COUNTIFS($B$2:$B442,"s",$C$2:$C442,"SER")+COUNTIFS($B$2:$B442,"s",$C$2:$C442,"PLH")+COUNTIFS($B$2:$B442,"s",$C$2:$C442,"CSF"))-1)/96)+1)&amp;": "&amp;CHAR(65+INT(MOD((COUNTIFS($B$2:$B442,"s",$C$2:$C442,"SER")+COUNTIFS($B$2:$B442,"s",$C$2:$C442,"PLH")+COUNTIFS($B$2:$B442,"s",$C$2:$C442,"CSF"))-1,96)/12))&amp;(MOD((COUNTIFS($B$2:$B442,"s",$C$2:$C442,"SER")+COUNTIFS($B$2:$B442,"s",$C$2:$C442,"PLH")+COUNTIFS($B$2:$B442,"s",$C$2:$C442,"CSF"))-1,12)+1),"N/A"),"")</f>
        <v/>
      </c>
      <c r="I442" s="6" t="str">
        <f>IF(AND($A442&lt;&gt;"",$B442&lt;&gt;"",$C442&lt;&gt;"",$D442&lt;&gt;"",$E442&lt;&gt;""),IF(AND($B442="s",OR($C442="SER",$C442="PLH",$C442="CSF")),"Case NIH Plate "&amp;(INT(((COUNTIFS($B$2:$B442,"s",$C$2:$C442,"SER")+COUNTIFS($B$2:$B442,"s",$C$2:$C442,"PLH")+COUNTIFS($B$2:$B442,"s",$C$2:$C442,"CSF"))-1)/96)+1)&amp;": "&amp;CHAR(65+INT(MOD((COUNTIFS($B$2:$B442,"s",$C$2:$C442,"SER")+COUNTIFS($B$2:$B442,"s",$C$2:$C442,"PLH")+COUNTIFS($B$2:$B442,"s",$C$2:$C442,"CSF"))-1,96)/12))&amp;(MOD((COUNTIFS($B$2:$B442,"s",$C$2:$C442,"SER")+COUNTIFS($B$2:$B442,"s",$C$2:$C442,"PLH")+COUNTIFS($B$2:$B442,"s",$C$2:$C442,"CSF"))-1,12)+1),"N/A"),"")</f>
        <v/>
      </c>
      <c r="J442" s="6" t="str">
        <f>IF(AND($A442&lt;&gt;"",$B442&lt;&gt;"",$C442&lt;&gt;"",$D442&lt;&gt;"",$E442&lt;&gt;""),IF(AND($B442="s",OR($C442="SER",$C442="PLH")),"Case MAX Planck Plate "&amp;(INT(((COUNTIFS($B$2:$B442,"s",$C$2:$C442,"SER")+COUNTIFS($B$2:$B442,"s",$C$2:$C442,"PLH"))-1)/96)+1)&amp;": "&amp;CHAR(65+INT(MOD((COUNTIFS($B$2:$B442,"s",$C$2:$C442,"SER")+COUNTIFS($B$2:$B442,"s",$C$2:$C442,"PLH"))-1,96)/12))&amp;(MOD((COUNTIFS($B$2:$B442,"s",$C$2:$C442,"SER")+COUNTIFS($B$2:$B442,"s",$C$2:$C442,"PLH"))-1,12)+1),"N/A"),"")</f>
        <v/>
      </c>
      <c r="K442" s="6" t="str">
        <f>IF(AND($A442&lt;&gt;"",$B442&lt;&gt;"",$C442&lt;&gt;"",$D442&lt;&gt;"",$E442&lt;&gt;""),IF($C442="WB","Case WB Box "&amp;(INT((COUNTIFS($C$2:$C442,"WB")-1)/81)+1)&amp;": "&amp;CHAR(65+INT(MOD(COUNTIFS($C$2:$C442,"WB")-1,81)/9))&amp;(MOD(COUNTIFS($C$2:$C442,"WB")-1,9)+1),"N/A"),"")</f>
        <v/>
      </c>
      <c r="L442" s="2" t="str">
        <f t="shared" si="109"/>
        <v/>
      </c>
      <c r="M442" s="2"/>
      <c r="N442" s="2"/>
      <c r="O442" s="2"/>
      <c r="P442" s="7" t="str">
        <f t="shared" si="110"/>
        <v/>
      </c>
      <c r="Q442" s="7" t="str">
        <f t="shared" si="111"/>
        <v/>
      </c>
      <c r="R442" s="7" t="str">
        <f t="shared" si="112"/>
        <v/>
      </c>
      <c r="S442" s="7" t="str">
        <f t="shared" si="113"/>
        <v/>
      </c>
      <c r="T442" s="7" t="str">
        <f t="shared" si="114"/>
        <v/>
      </c>
      <c r="U442" s="7" t="str">
        <f t="shared" si="115"/>
        <v/>
      </c>
      <c r="V442" s="7" t="str">
        <f t="shared" si="116"/>
        <v/>
      </c>
      <c r="W442" s="7" t="str">
        <f t="shared" si="117"/>
        <v/>
      </c>
      <c r="X442" s="7" t="str">
        <f t="shared" si="118"/>
        <v/>
      </c>
      <c r="Y442" s="7" t="str">
        <f t="shared" si="119"/>
        <v/>
      </c>
      <c r="Z442">
        <f t="shared" si="120"/>
        <v>0</v>
      </c>
      <c r="AA442" t="str">
        <f t="shared" si="121"/>
        <v/>
      </c>
      <c r="AB442" t="str">
        <f t="shared" si="122"/>
        <v/>
      </c>
      <c r="AC442" t="str">
        <f t="shared" si="123"/>
        <v/>
      </c>
      <c r="AD442" t="str">
        <f t="shared" si="124"/>
        <v/>
      </c>
      <c r="AE442">
        <f t="shared" si="125"/>
        <v>0</v>
      </c>
    </row>
    <row r="443" spans="1:31" ht="15" customHeight="1" x14ac:dyDescent="0.35">
      <c r="A443" s="2"/>
      <c r="B443" s="3"/>
      <c r="C443" s="3"/>
      <c r="D443" s="4"/>
      <c r="E443" s="5"/>
      <c r="F443" s="11" t="str">
        <f t="shared" ca="1" si="108"/>
        <v/>
      </c>
      <c r="G443" s="5"/>
      <c r="H443" s="6" t="str">
        <f>IF(AND($A443&lt;&gt;"",$B443&lt;&gt;"",$C443&lt;&gt;"",$D443&lt;&gt;"",$E443&lt;&gt;""),IF(AND($B443="s",OR($C443="SER",$C443="PLH",$C443="CSF")),"Case CDI Plate "&amp;(INT(((COUNTIFS($B$2:$B443,"s",$C$2:$C443,"SER")+COUNTIFS($B$2:$B443,"s",$C$2:$C443,"PLH")+COUNTIFS($B$2:$B443,"s",$C$2:$C443,"CSF"))-1)/96)+1)&amp;": "&amp;CHAR(65+INT(MOD((COUNTIFS($B$2:$B443,"s",$C$2:$C443,"SER")+COUNTIFS($B$2:$B443,"s",$C$2:$C443,"PLH")+COUNTIFS($B$2:$B443,"s",$C$2:$C443,"CSF"))-1,96)/12))&amp;(MOD((COUNTIFS($B$2:$B443,"s",$C$2:$C443,"SER")+COUNTIFS($B$2:$B443,"s",$C$2:$C443,"PLH")+COUNTIFS($B$2:$B443,"s",$C$2:$C443,"CSF"))-1,12)+1),"N/A"),"")</f>
        <v/>
      </c>
      <c r="I443" s="6" t="str">
        <f>IF(AND($A443&lt;&gt;"",$B443&lt;&gt;"",$C443&lt;&gt;"",$D443&lt;&gt;"",$E443&lt;&gt;""),IF(AND($B443="s",OR($C443="SER",$C443="PLH",$C443="CSF")),"Case NIH Plate "&amp;(INT(((COUNTIFS($B$2:$B443,"s",$C$2:$C443,"SER")+COUNTIFS($B$2:$B443,"s",$C$2:$C443,"PLH")+COUNTIFS($B$2:$B443,"s",$C$2:$C443,"CSF"))-1)/96)+1)&amp;": "&amp;CHAR(65+INT(MOD((COUNTIFS($B$2:$B443,"s",$C$2:$C443,"SER")+COUNTIFS($B$2:$B443,"s",$C$2:$C443,"PLH")+COUNTIFS($B$2:$B443,"s",$C$2:$C443,"CSF"))-1,96)/12))&amp;(MOD((COUNTIFS($B$2:$B443,"s",$C$2:$C443,"SER")+COUNTIFS($B$2:$B443,"s",$C$2:$C443,"PLH")+COUNTIFS($B$2:$B443,"s",$C$2:$C443,"CSF"))-1,12)+1),"N/A"),"")</f>
        <v/>
      </c>
      <c r="J443" s="6" t="str">
        <f>IF(AND($A443&lt;&gt;"",$B443&lt;&gt;"",$C443&lt;&gt;"",$D443&lt;&gt;"",$E443&lt;&gt;""),IF(AND($B443="s",OR($C443="SER",$C443="PLH")),"Case MAX Planck Plate "&amp;(INT(((COUNTIFS($B$2:$B443,"s",$C$2:$C443,"SER")+COUNTIFS($B$2:$B443,"s",$C$2:$C443,"PLH"))-1)/96)+1)&amp;": "&amp;CHAR(65+INT(MOD((COUNTIFS($B$2:$B443,"s",$C$2:$C443,"SER")+COUNTIFS($B$2:$B443,"s",$C$2:$C443,"PLH"))-1,96)/12))&amp;(MOD((COUNTIFS($B$2:$B443,"s",$C$2:$C443,"SER")+COUNTIFS($B$2:$B443,"s",$C$2:$C443,"PLH"))-1,12)+1),"N/A"),"")</f>
        <v/>
      </c>
      <c r="K443" s="6" t="str">
        <f>IF(AND($A443&lt;&gt;"",$B443&lt;&gt;"",$C443&lt;&gt;"",$D443&lt;&gt;"",$E443&lt;&gt;""),IF($C443="WB","Case WB Box "&amp;(INT((COUNTIFS($C$2:$C443,"WB")-1)/81)+1)&amp;": "&amp;CHAR(65+INT(MOD(COUNTIFS($C$2:$C443,"WB")-1,81)/9))&amp;(MOD(COUNTIFS($C$2:$C443,"WB")-1,9)+1),"N/A"),"")</f>
        <v/>
      </c>
      <c r="L443" s="2" t="str">
        <f t="shared" si="109"/>
        <v/>
      </c>
      <c r="M443" s="2"/>
      <c r="N443" s="2"/>
      <c r="O443" s="2"/>
      <c r="P443" s="7" t="str">
        <f t="shared" si="110"/>
        <v/>
      </c>
      <c r="Q443" s="7" t="str">
        <f t="shared" si="111"/>
        <v/>
      </c>
      <c r="R443" s="7" t="str">
        <f t="shared" si="112"/>
        <v/>
      </c>
      <c r="S443" s="7" t="str">
        <f t="shared" si="113"/>
        <v/>
      </c>
      <c r="T443" s="7" t="str">
        <f t="shared" si="114"/>
        <v/>
      </c>
      <c r="U443" s="7" t="str">
        <f t="shared" si="115"/>
        <v/>
      </c>
      <c r="V443" s="7" t="str">
        <f t="shared" si="116"/>
        <v/>
      </c>
      <c r="W443" s="7" t="str">
        <f t="shared" si="117"/>
        <v/>
      </c>
      <c r="X443" s="7" t="str">
        <f t="shared" si="118"/>
        <v/>
      </c>
      <c r="Y443" s="7" t="str">
        <f t="shared" si="119"/>
        <v/>
      </c>
      <c r="Z443">
        <f t="shared" si="120"/>
        <v>0</v>
      </c>
      <c r="AA443" t="str">
        <f t="shared" si="121"/>
        <v/>
      </c>
      <c r="AB443" t="str">
        <f t="shared" si="122"/>
        <v/>
      </c>
      <c r="AC443" t="str">
        <f t="shared" si="123"/>
        <v/>
      </c>
      <c r="AD443" t="str">
        <f t="shared" si="124"/>
        <v/>
      </c>
      <c r="AE443">
        <f t="shared" si="125"/>
        <v>0</v>
      </c>
    </row>
    <row r="444" spans="1:31" ht="15" customHeight="1" x14ac:dyDescent="0.35">
      <c r="A444" s="2"/>
      <c r="B444" s="3"/>
      <c r="C444" s="3"/>
      <c r="D444" s="4"/>
      <c r="E444" s="5"/>
      <c r="F444" s="11" t="str">
        <f t="shared" ca="1" si="108"/>
        <v/>
      </c>
      <c r="G444" s="5"/>
      <c r="H444" s="6" t="str">
        <f>IF(AND($A444&lt;&gt;"",$B444&lt;&gt;"",$C444&lt;&gt;"",$D444&lt;&gt;"",$E444&lt;&gt;""),IF(AND($B444="s",OR($C444="SER",$C444="PLH",$C444="CSF")),"Case CDI Plate "&amp;(INT(((COUNTIFS($B$2:$B444,"s",$C$2:$C444,"SER")+COUNTIFS($B$2:$B444,"s",$C$2:$C444,"PLH")+COUNTIFS($B$2:$B444,"s",$C$2:$C444,"CSF"))-1)/96)+1)&amp;": "&amp;CHAR(65+INT(MOD((COUNTIFS($B$2:$B444,"s",$C$2:$C444,"SER")+COUNTIFS($B$2:$B444,"s",$C$2:$C444,"PLH")+COUNTIFS($B$2:$B444,"s",$C$2:$C444,"CSF"))-1,96)/12))&amp;(MOD((COUNTIFS($B$2:$B444,"s",$C$2:$C444,"SER")+COUNTIFS($B$2:$B444,"s",$C$2:$C444,"PLH")+COUNTIFS($B$2:$B444,"s",$C$2:$C444,"CSF"))-1,12)+1),"N/A"),"")</f>
        <v/>
      </c>
      <c r="I444" s="6" t="str">
        <f>IF(AND($A444&lt;&gt;"",$B444&lt;&gt;"",$C444&lt;&gt;"",$D444&lt;&gt;"",$E444&lt;&gt;""),IF(AND($B444="s",OR($C444="SER",$C444="PLH",$C444="CSF")),"Case NIH Plate "&amp;(INT(((COUNTIFS($B$2:$B444,"s",$C$2:$C444,"SER")+COUNTIFS($B$2:$B444,"s",$C$2:$C444,"PLH")+COUNTIFS($B$2:$B444,"s",$C$2:$C444,"CSF"))-1)/96)+1)&amp;": "&amp;CHAR(65+INT(MOD((COUNTIFS($B$2:$B444,"s",$C$2:$C444,"SER")+COUNTIFS($B$2:$B444,"s",$C$2:$C444,"PLH")+COUNTIFS($B$2:$B444,"s",$C$2:$C444,"CSF"))-1,96)/12))&amp;(MOD((COUNTIFS($B$2:$B444,"s",$C$2:$C444,"SER")+COUNTIFS($B$2:$B444,"s",$C$2:$C444,"PLH")+COUNTIFS($B$2:$B444,"s",$C$2:$C444,"CSF"))-1,12)+1),"N/A"),"")</f>
        <v/>
      </c>
      <c r="J444" s="6" t="str">
        <f>IF(AND($A444&lt;&gt;"",$B444&lt;&gt;"",$C444&lt;&gt;"",$D444&lt;&gt;"",$E444&lt;&gt;""),IF(AND($B444="s",OR($C444="SER",$C444="PLH")),"Case MAX Planck Plate "&amp;(INT(((COUNTIFS($B$2:$B444,"s",$C$2:$C444,"SER")+COUNTIFS($B$2:$B444,"s",$C$2:$C444,"PLH"))-1)/96)+1)&amp;": "&amp;CHAR(65+INT(MOD((COUNTIFS($B$2:$B444,"s",$C$2:$C444,"SER")+COUNTIFS($B$2:$B444,"s",$C$2:$C444,"PLH"))-1,96)/12))&amp;(MOD((COUNTIFS($B$2:$B444,"s",$C$2:$C444,"SER")+COUNTIFS($B$2:$B444,"s",$C$2:$C444,"PLH"))-1,12)+1),"N/A"),"")</f>
        <v/>
      </c>
      <c r="K444" s="6" t="str">
        <f>IF(AND($A444&lt;&gt;"",$B444&lt;&gt;"",$C444&lt;&gt;"",$D444&lt;&gt;"",$E444&lt;&gt;""),IF($C444="WB","Case WB Box "&amp;(INT((COUNTIFS($C$2:$C444,"WB")-1)/81)+1)&amp;": "&amp;CHAR(65+INT(MOD(COUNTIFS($C$2:$C444,"WB")-1,81)/9))&amp;(MOD(COUNTIFS($C$2:$C444,"WB")-1,9)+1),"N/A"),"")</f>
        <v/>
      </c>
      <c r="L444" s="2" t="str">
        <f t="shared" si="109"/>
        <v/>
      </c>
      <c r="M444" s="2"/>
      <c r="N444" s="2"/>
      <c r="O444" s="2"/>
      <c r="P444" s="7" t="str">
        <f t="shared" si="110"/>
        <v/>
      </c>
      <c r="Q444" s="7" t="str">
        <f t="shared" si="111"/>
        <v/>
      </c>
      <c r="R444" s="7" t="str">
        <f t="shared" si="112"/>
        <v/>
      </c>
      <c r="S444" s="7" t="str">
        <f t="shared" si="113"/>
        <v/>
      </c>
      <c r="T444" s="7" t="str">
        <f t="shared" si="114"/>
        <v/>
      </c>
      <c r="U444" s="7" t="str">
        <f t="shared" si="115"/>
        <v/>
      </c>
      <c r="V444" s="7" t="str">
        <f t="shared" si="116"/>
        <v/>
      </c>
      <c r="W444" s="7" t="str">
        <f t="shared" si="117"/>
        <v/>
      </c>
      <c r="X444" s="7" t="str">
        <f t="shared" si="118"/>
        <v/>
      </c>
      <c r="Y444" s="7" t="str">
        <f t="shared" si="119"/>
        <v/>
      </c>
      <c r="Z444">
        <f t="shared" si="120"/>
        <v>0</v>
      </c>
      <c r="AA444" t="str">
        <f t="shared" si="121"/>
        <v/>
      </c>
      <c r="AB444" t="str">
        <f t="shared" si="122"/>
        <v/>
      </c>
      <c r="AC444" t="str">
        <f t="shared" si="123"/>
        <v/>
      </c>
      <c r="AD444" t="str">
        <f t="shared" si="124"/>
        <v/>
      </c>
      <c r="AE444">
        <f t="shared" si="125"/>
        <v>0</v>
      </c>
    </row>
    <row r="445" spans="1:31" ht="15" customHeight="1" x14ac:dyDescent="0.35">
      <c r="A445" s="2"/>
      <c r="B445" s="3"/>
      <c r="C445" s="3"/>
      <c r="D445" s="4"/>
      <c r="E445" s="5"/>
      <c r="F445" s="11" t="str">
        <f t="shared" ref="F445:F495" ca="1" si="126">IF(AND($A445&lt;&gt;"",$B445&lt;&gt;"",$C445&lt;&gt;"",$D445&lt;&gt;"",$E445&lt;&gt;""),TODAY(),"")</f>
        <v/>
      </c>
      <c r="G445" s="5"/>
      <c r="H445" s="6" t="str">
        <f>IF(AND($A445&lt;&gt;"",$B445&lt;&gt;"",$C445&lt;&gt;"",$D445&lt;&gt;"",$E445&lt;&gt;""),IF(AND($B445="s",OR($C445="SER",$C445="PLH",$C445="CSF")),"Case CDI Plate "&amp;(INT(((COUNTIFS($B$2:$B445,"s",$C$2:$C445,"SER")+COUNTIFS($B$2:$B445,"s",$C$2:$C445,"PLH")+COUNTIFS($B$2:$B445,"s",$C$2:$C445,"CSF"))-1)/96)+1)&amp;": "&amp;CHAR(65+INT(MOD((COUNTIFS($B$2:$B445,"s",$C$2:$C445,"SER")+COUNTIFS($B$2:$B445,"s",$C$2:$C445,"PLH")+COUNTIFS($B$2:$B445,"s",$C$2:$C445,"CSF"))-1,96)/12))&amp;(MOD((COUNTIFS($B$2:$B445,"s",$C$2:$C445,"SER")+COUNTIFS($B$2:$B445,"s",$C$2:$C445,"PLH")+COUNTIFS($B$2:$B445,"s",$C$2:$C445,"CSF"))-1,12)+1),"N/A"),"")</f>
        <v/>
      </c>
      <c r="I445" s="6" t="str">
        <f>IF(AND($A445&lt;&gt;"",$B445&lt;&gt;"",$C445&lt;&gt;"",$D445&lt;&gt;"",$E445&lt;&gt;""),IF(AND($B445="s",OR($C445="SER",$C445="PLH",$C445="CSF")),"Case NIH Plate "&amp;(INT(((COUNTIFS($B$2:$B445,"s",$C$2:$C445,"SER")+COUNTIFS($B$2:$B445,"s",$C$2:$C445,"PLH")+COUNTIFS($B$2:$B445,"s",$C$2:$C445,"CSF"))-1)/96)+1)&amp;": "&amp;CHAR(65+INT(MOD((COUNTIFS($B$2:$B445,"s",$C$2:$C445,"SER")+COUNTIFS($B$2:$B445,"s",$C$2:$C445,"PLH")+COUNTIFS($B$2:$B445,"s",$C$2:$C445,"CSF"))-1,96)/12))&amp;(MOD((COUNTIFS($B$2:$B445,"s",$C$2:$C445,"SER")+COUNTIFS($B$2:$B445,"s",$C$2:$C445,"PLH")+COUNTIFS($B$2:$B445,"s",$C$2:$C445,"CSF"))-1,12)+1),"N/A"),"")</f>
        <v/>
      </c>
      <c r="J445" s="6" t="str">
        <f>IF(AND($A445&lt;&gt;"",$B445&lt;&gt;"",$C445&lt;&gt;"",$D445&lt;&gt;"",$E445&lt;&gt;""),IF(AND($B445="s",OR($C445="SER",$C445="PLH")),"Case MAX Planck Plate "&amp;(INT(((COUNTIFS($B$2:$B445,"s",$C$2:$C445,"SER")+COUNTIFS($B$2:$B445,"s",$C$2:$C445,"PLH"))-1)/96)+1)&amp;": "&amp;CHAR(65+INT(MOD((COUNTIFS($B$2:$B445,"s",$C$2:$C445,"SER")+COUNTIFS($B$2:$B445,"s",$C$2:$C445,"PLH"))-1,96)/12))&amp;(MOD((COUNTIFS($B$2:$B445,"s",$C$2:$C445,"SER")+COUNTIFS($B$2:$B445,"s",$C$2:$C445,"PLH"))-1,12)+1),"N/A"),"")</f>
        <v/>
      </c>
      <c r="K445" s="6" t="str">
        <f>IF(AND($A445&lt;&gt;"",$B445&lt;&gt;"",$C445&lt;&gt;"",$D445&lt;&gt;"",$E445&lt;&gt;""),IF($C445="WB","Case WB Box "&amp;(INT((COUNTIFS($C$2:$C445,"WB")-1)/81)+1)&amp;": "&amp;CHAR(65+INT(MOD(COUNTIFS($C$2:$C445,"WB")-1,81)/9))&amp;(MOD(COUNTIFS($C$2:$C445,"WB")-1,9)+1),"N/A"),"")</f>
        <v/>
      </c>
      <c r="L445" s="2" t="str">
        <f t="shared" ref="L445:L495" si="127">IF(AND($A445&lt;&gt;"",$B445&lt;&gt;"",$C445&lt;&gt;"",$D445&lt;&gt;"",$E445&lt;&gt;""),IF($C445="WB","No",IF($B445="i","Yes","")),"")</f>
        <v/>
      </c>
      <c r="M445" s="2"/>
      <c r="N445" s="2"/>
      <c r="O445" s="2"/>
      <c r="P445" s="7" t="str">
        <f t="shared" ref="P445:P495" si="128">IF($A445&lt;&gt;"",MID($A445,5,4),"")</f>
        <v/>
      </c>
      <c r="Q445" s="7" t="str">
        <f t="shared" ref="Q445:Q495" si="129">IF($D445&lt;&gt;"",TEXT($D445,"mmddyy"),"")</f>
        <v/>
      </c>
      <c r="R445" s="7" t="str">
        <f t="shared" ref="R445:R495" si="130">IF(AND($A445&lt;&gt;"",$B445&lt;&gt;"",$C445&lt;&gt;"",$D445&lt;&gt;""),IF($C445="WB","cs_"&amp;$P445&amp;"_"&amp;$B445&amp;"_wb_"&amp;$Q445,"cs_"&amp;$P445&amp;"_"&amp;$B445&amp;"_"&amp;LOWER($C445)&amp;"_"&amp;IF($C445="CSF","0.50","0.20")&amp;"_"&amp;$Q445),"")</f>
        <v/>
      </c>
      <c r="S445" s="7" t="str">
        <f t="shared" ref="S445:S495" si="131">IF(AND($A445&lt;&gt;"",$B445&lt;&gt;"",$C445="WB",$D445&lt;&gt;""),"cs_"&amp;$P445&amp;"_"&amp;$B445&amp;"_wb_"&amp;$Q445,"")</f>
        <v/>
      </c>
      <c r="T445" s="7" t="str">
        <f t="shared" ref="T445:T495" si="132">IFERROR(VALUE(MID($M445,FIND("Box ",$M445)+4,FIND(":",$M445)-FIND("Box ",$M445)-4)),"")</f>
        <v/>
      </c>
      <c r="U445" s="7" t="str">
        <f t="shared" ref="U445:U495" si="133">IFERROR(CODE(UPPER(LEFT(LEFT(TRIM(MID(SUBSTITUTE(TRIM(MID($M445,FIND(":",$M445)+1,200)),",",REPT(" ",60)),1,60)),IFERROR(FIND("-",TRIM(MID(SUBSTITUTE(TRIM(MID($M445,FIND(":",$M445)+1,200)),",",REPT(" ",60)),1,60)))-1,LEN(TRIM(MID(SUBSTITUTE(TRIM(MID($M445,FIND(":",$M445)+1,200)),",",REPT(" ",60)),1,60))))),1)))-64,"")</f>
        <v/>
      </c>
      <c r="V445" s="7" t="str">
        <f t="shared" ref="V445:V495" si="134">IFERROR(VALUE(MID(LEFT(TRIM(MID(SUBSTITUTE(TRIM(MID($M445,FIND(":",$M445)+1,200)),",",REPT(" ",60)),1,60)),IFERROR(FIND("-",TRIM(MID(SUBSTITUTE(TRIM(MID($M445,FIND(":",$M445)+1,200)),",",REPT(" ",60)),1,60)))-1,LEN(TRIM(MID(SUBSTITUTE(TRIM(MID($M445,FIND(":",$M445)+1,200)),",",REPT(" ",60)),1,60))))),2,3)),"")</f>
        <v/>
      </c>
      <c r="W445" s="7" t="str">
        <f t="shared" ref="W445:W495" si="135">IFERROR(CODE(UPPER(LEFT(IFERROR(MID(TRIM(MID(SUBSTITUTE(TRIM(MID($M445,FIND(":",$M445)+1,200)),",",REPT(" ",60)),1,60)),FIND("-",TRIM(MID(SUBSTITUTE(TRIM(MID($M445,FIND(":",$M445)+1,200)),",",REPT(" ",60)),1,60)))+1,99),LEFT(TRIM(MID(SUBSTITUTE(TRIM(MID($M445,FIND(":",$M445)+1,200)),",",REPT(" ",60)),1,60)),IFERROR(FIND("-",TRIM(MID(SUBSTITUTE(TRIM(MID($M445,FIND(":",$M445)+1,200)),",",REPT(" ",60)),1,60)))-1,LEN(TRIM(MID(SUBSTITUTE(TRIM(MID($M445,FIND(":",$M445)+1,200)),",",REPT(" ",60)),1,60)))))),1)))-64,"")</f>
        <v/>
      </c>
      <c r="X445" s="7" t="str">
        <f t="shared" ref="X445:X495" si="136">IFERROR(VALUE(MID(IFERROR(MID(TRIM(MID(SUBSTITUTE(TRIM(MID($M445,FIND(":",$M445)+1,200)),",",REPT(" ",60)),1,60)),FIND("-",TRIM(MID(SUBSTITUTE(TRIM(MID($M445,FIND(":",$M445)+1,200)),",",REPT(" ",60)),1,60)))+1,99),LEFT(TRIM(MID(SUBSTITUTE(TRIM(MID($M445,FIND(":",$M445)+1,200)),",",REPT(" ",60)),1,60)),IFERROR(FIND("-",TRIM(MID(SUBSTITUTE(TRIM(MID($M445,FIND(":",$M445)+1,200)),",",REPT(" ",60)),1,60)))-1,LEN(TRIM(MID(SUBSTITUTE(TRIM(MID($M445,FIND(":",$M445)+1,200)),",",REPT(" ",60)),1,60)))))),2,3)),"")</f>
        <v/>
      </c>
      <c r="Y445" s="7" t="str">
        <f t="shared" ref="Y445:Y495" si="137">IF(AND($A445&lt;&gt;"",$B445&lt;&gt;"",$C445&lt;&gt;"",$D445&lt;&gt;""),"cs_"&amp;$P445&amp;"_"&amp;$B445&amp;"_"&amp;LOWER($C445)&amp;"_","")</f>
        <v/>
      </c>
      <c r="Z445">
        <f t="shared" ref="Z445:Z495" si="138">IFERROR(($W445-$U445+1)*($X445-$V445+1),0)</f>
        <v>0</v>
      </c>
      <c r="AA445" t="str">
        <f t="shared" ref="AA445:AA495" si="139">IFERROR(CODE(UPPER(LEFT(LEFT(TRIM(MID(SUBSTITUTE(TRIM(MID($M445,FIND(":",$M445)+1,200)),",",REPT(" ",60)),61,60)),IFERROR(FIND("-",TRIM(MID(SUBSTITUTE(TRIM(MID($M445,FIND(":",$M445)+1,200)),",",REPT(" ",60)),61,60)))-1,LEN(TRIM(MID(SUBSTITUTE(TRIM(MID($M445,FIND(":",$M445)+1,200)),",",REPT(" ",60)),61,60))))),1)))-64,"")</f>
        <v/>
      </c>
      <c r="AB445" t="str">
        <f t="shared" ref="AB445:AB495" si="140">IFERROR(VALUE(MID(LEFT(TRIM(MID(SUBSTITUTE(TRIM(MID($M445,FIND(":",$M445)+1,200)),",",REPT(" ",60)),61,60)),IFERROR(FIND("-",TRIM(MID(SUBSTITUTE(TRIM(MID($M445,FIND(":",$M445)+1,200)),",",REPT(" ",60)),61,60)))-1,LEN(TRIM(MID(SUBSTITUTE(TRIM(MID($M445,FIND(":",$M445)+1,200)),",",REPT(" ",60)),61,60))))),2,3)),"")</f>
        <v/>
      </c>
      <c r="AC445" t="str">
        <f t="shared" ref="AC445:AC495" si="141">IFERROR(CODE(UPPER(LEFT(IFERROR(MID(TRIM(MID(SUBSTITUTE(TRIM(MID($M445,FIND(":",$M445)+1,200)),",",REPT(" ",60)),61,60)),FIND("-",TRIM(MID(SUBSTITUTE(TRIM(MID($M445,FIND(":",$M445)+1,200)),",",REPT(" ",60)),61,60)))+1,99),LEFT(TRIM(MID(SUBSTITUTE(TRIM(MID($M445,FIND(":",$M445)+1,200)),",",REPT(" ",60)),61,60)),IFERROR(FIND("-",TRIM(MID(SUBSTITUTE(TRIM(MID($M445,FIND(":",$M445)+1,200)),",",REPT(" ",60)),61,60)))-1,LEN(TRIM(MID(SUBSTITUTE(TRIM(MID($M445,FIND(":",$M445)+1,200)),",",REPT(" ",60)),61,60)))))),1)))-64,"")</f>
        <v/>
      </c>
      <c r="AD445" t="str">
        <f t="shared" ref="AD445:AD495" si="142">IFERROR(VALUE(MID(IFERROR(MID(TRIM(MID(SUBSTITUTE(TRIM(MID($M445,FIND(":",$M445)+1,200)),",",REPT(" ",60)),61,60)),FIND("-",TRIM(MID(SUBSTITUTE(TRIM(MID($M445,FIND(":",$M445)+1,200)),",",REPT(" ",60)),61,60)))+1,99),LEFT(TRIM(MID(SUBSTITUTE(TRIM(MID($M445,FIND(":",$M445)+1,200)),",",REPT(" ",60)),61,60)),IFERROR(FIND("-",TRIM(MID(SUBSTITUTE(TRIM(MID($M445,FIND(":",$M445)+1,200)),",",REPT(" ",60)),61,60)))-1,LEN(TRIM(MID(SUBSTITUTE(TRIM(MID($M445,FIND(":",$M445)+1,200)),",",REPT(" ",60)),61,60)))))),2,3)),"")</f>
        <v/>
      </c>
      <c r="AE445">
        <f t="shared" ref="AE445:AE495" si="143">IFERROR(($AC445-$AA445+1)*($AD445-$AB445+1),0)</f>
        <v>0</v>
      </c>
    </row>
    <row r="446" spans="1:31" ht="15" customHeight="1" x14ac:dyDescent="0.35">
      <c r="A446" s="2"/>
      <c r="B446" s="3"/>
      <c r="C446" s="3"/>
      <c r="D446" s="4"/>
      <c r="E446" s="5"/>
      <c r="F446" s="11" t="str">
        <f t="shared" ca="1" si="126"/>
        <v/>
      </c>
      <c r="G446" s="5"/>
      <c r="H446" s="6" t="str">
        <f>IF(AND($A446&lt;&gt;"",$B446&lt;&gt;"",$C446&lt;&gt;"",$D446&lt;&gt;"",$E446&lt;&gt;""),IF(AND($B446="s",OR($C446="SER",$C446="PLH",$C446="CSF")),"Case CDI Plate "&amp;(INT(((COUNTIFS($B$2:$B446,"s",$C$2:$C446,"SER")+COUNTIFS($B$2:$B446,"s",$C$2:$C446,"PLH")+COUNTIFS($B$2:$B446,"s",$C$2:$C446,"CSF"))-1)/96)+1)&amp;": "&amp;CHAR(65+INT(MOD((COUNTIFS($B$2:$B446,"s",$C$2:$C446,"SER")+COUNTIFS($B$2:$B446,"s",$C$2:$C446,"PLH")+COUNTIFS($B$2:$B446,"s",$C$2:$C446,"CSF"))-1,96)/12))&amp;(MOD((COUNTIFS($B$2:$B446,"s",$C$2:$C446,"SER")+COUNTIFS($B$2:$B446,"s",$C$2:$C446,"PLH")+COUNTIFS($B$2:$B446,"s",$C$2:$C446,"CSF"))-1,12)+1),"N/A"),"")</f>
        <v/>
      </c>
      <c r="I446" s="6" t="str">
        <f>IF(AND($A446&lt;&gt;"",$B446&lt;&gt;"",$C446&lt;&gt;"",$D446&lt;&gt;"",$E446&lt;&gt;""),IF(AND($B446="s",OR($C446="SER",$C446="PLH",$C446="CSF")),"Case NIH Plate "&amp;(INT(((COUNTIFS($B$2:$B446,"s",$C$2:$C446,"SER")+COUNTIFS($B$2:$B446,"s",$C$2:$C446,"PLH")+COUNTIFS($B$2:$B446,"s",$C$2:$C446,"CSF"))-1)/96)+1)&amp;": "&amp;CHAR(65+INT(MOD((COUNTIFS($B$2:$B446,"s",$C$2:$C446,"SER")+COUNTIFS($B$2:$B446,"s",$C$2:$C446,"PLH")+COUNTIFS($B$2:$B446,"s",$C$2:$C446,"CSF"))-1,96)/12))&amp;(MOD((COUNTIFS($B$2:$B446,"s",$C$2:$C446,"SER")+COUNTIFS($B$2:$B446,"s",$C$2:$C446,"PLH")+COUNTIFS($B$2:$B446,"s",$C$2:$C446,"CSF"))-1,12)+1),"N/A"),"")</f>
        <v/>
      </c>
      <c r="J446" s="6" t="str">
        <f>IF(AND($A446&lt;&gt;"",$B446&lt;&gt;"",$C446&lt;&gt;"",$D446&lt;&gt;"",$E446&lt;&gt;""),IF(AND($B446="s",OR($C446="SER",$C446="PLH")),"Case MAX Planck Plate "&amp;(INT(((COUNTIFS($B$2:$B446,"s",$C$2:$C446,"SER")+COUNTIFS($B$2:$B446,"s",$C$2:$C446,"PLH"))-1)/96)+1)&amp;": "&amp;CHAR(65+INT(MOD((COUNTIFS($B$2:$B446,"s",$C$2:$C446,"SER")+COUNTIFS($B$2:$B446,"s",$C$2:$C446,"PLH"))-1,96)/12))&amp;(MOD((COUNTIFS($B$2:$B446,"s",$C$2:$C446,"SER")+COUNTIFS($B$2:$B446,"s",$C$2:$C446,"PLH"))-1,12)+1),"N/A"),"")</f>
        <v/>
      </c>
      <c r="K446" s="6" t="str">
        <f>IF(AND($A446&lt;&gt;"",$B446&lt;&gt;"",$C446&lt;&gt;"",$D446&lt;&gt;"",$E446&lt;&gt;""),IF($C446="WB","Case WB Box "&amp;(INT((COUNTIFS($C$2:$C446,"WB")-1)/81)+1)&amp;": "&amp;CHAR(65+INT(MOD(COUNTIFS($C$2:$C446,"WB")-1,81)/9))&amp;(MOD(COUNTIFS($C$2:$C446,"WB")-1,9)+1),"N/A"),"")</f>
        <v/>
      </c>
      <c r="L446" s="2" t="str">
        <f t="shared" si="127"/>
        <v/>
      </c>
      <c r="M446" s="2"/>
      <c r="N446" s="2"/>
      <c r="O446" s="2"/>
      <c r="P446" s="7" t="str">
        <f t="shared" si="128"/>
        <v/>
      </c>
      <c r="Q446" s="7" t="str">
        <f t="shared" si="129"/>
        <v/>
      </c>
      <c r="R446" s="7" t="str">
        <f t="shared" si="130"/>
        <v/>
      </c>
      <c r="S446" s="7" t="str">
        <f t="shared" si="131"/>
        <v/>
      </c>
      <c r="T446" s="7" t="str">
        <f t="shared" si="132"/>
        <v/>
      </c>
      <c r="U446" s="7" t="str">
        <f t="shared" si="133"/>
        <v/>
      </c>
      <c r="V446" s="7" t="str">
        <f t="shared" si="134"/>
        <v/>
      </c>
      <c r="W446" s="7" t="str">
        <f t="shared" si="135"/>
        <v/>
      </c>
      <c r="X446" s="7" t="str">
        <f t="shared" si="136"/>
        <v/>
      </c>
      <c r="Y446" s="7" t="str">
        <f t="shared" si="137"/>
        <v/>
      </c>
      <c r="Z446">
        <f t="shared" si="138"/>
        <v>0</v>
      </c>
      <c r="AA446" t="str">
        <f t="shared" si="139"/>
        <v/>
      </c>
      <c r="AB446" t="str">
        <f t="shared" si="140"/>
        <v/>
      </c>
      <c r="AC446" t="str">
        <f t="shared" si="141"/>
        <v/>
      </c>
      <c r="AD446" t="str">
        <f t="shared" si="142"/>
        <v/>
      </c>
      <c r="AE446">
        <f t="shared" si="143"/>
        <v>0</v>
      </c>
    </row>
    <row r="447" spans="1:31" ht="15" customHeight="1" x14ac:dyDescent="0.35">
      <c r="A447" s="2"/>
      <c r="B447" s="3"/>
      <c r="C447" s="3"/>
      <c r="D447" s="4"/>
      <c r="E447" s="5"/>
      <c r="F447" s="11" t="str">
        <f t="shared" ca="1" si="126"/>
        <v/>
      </c>
      <c r="G447" s="5"/>
      <c r="H447" s="6" t="str">
        <f>IF(AND($A447&lt;&gt;"",$B447&lt;&gt;"",$C447&lt;&gt;"",$D447&lt;&gt;"",$E447&lt;&gt;""),IF(AND($B447="s",OR($C447="SER",$C447="PLH",$C447="CSF")),"Case CDI Plate "&amp;(INT(((COUNTIFS($B$2:$B447,"s",$C$2:$C447,"SER")+COUNTIFS($B$2:$B447,"s",$C$2:$C447,"PLH")+COUNTIFS($B$2:$B447,"s",$C$2:$C447,"CSF"))-1)/96)+1)&amp;": "&amp;CHAR(65+INT(MOD((COUNTIFS($B$2:$B447,"s",$C$2:$C447,"SER")+COUNTIFS($B$2:$B447,"s",$C$2:$C447,"PLH")+COUNTIFS($B$2:$B447,"s",$C$2:$C447,"CSF"))-1,96)/12))&amp;(MOD((COUNTIFS($B$2:$B447,"s",$C$2:$C447,"SER")+COUNTIFS($B$2:$B447,"s",$C$2:$C447,"PLH")+COUNTIFS($B$2:$B447,"s",$C$2:$C447,"CSF"))-1,12)+1),"N/A"),"")</f>
        <v/>
      </c>
      <c r="I447" s="6" t="str">
        <f>IF(AND($A447&lt;&gt;"",$B447&lt;&gt;"",$C447&lt;&gt;"",$D447&lt;&gt;"",$E447&lt;&gt;""),IF(AND($B447="s",OR($C447="SER",$C447="PLH",$C447="CSF")),"Case NIH Plate "&amp;(INT(((COUNTIFS($B$2:$B447,"s",$C$2:$C447,"SER")+COUNTIFS($B$2:$B447,"s",$C$2:$C447,"PLH")+COUNTIFS($B$2:$B447,"s",$C$2:$C447,"CSF"))-1)/96)+1)&amp;": "&amp;CHAR(65+INT(MOD((COUNTIFS($B$2:$B447,"s",$C$2:$C447,"SER")+COUNTIFS($B$2:$B447,"s",$C$2:$C447,"PLH")+COUNTIFS($B$2:$B447,"s",$C$2:$C447,"CSF"))-1,96)/12))&amp;(MOD((COUNTIFS($B$2:$B447,"s",$C$2:$C447,"SER")+COUNTIFS($B$2:$B447,"s",$C$2:$C447,"PLH")+COUNTIFS($B$2:$B447,"s",$C$2:$C447,"CSF"))-1,12)+1),"N/A"),"")</f>
        <v/>
      </c>
      <c r="J447" s="6" t="str">
        <f>IF(AND($A447&lt;&gt;"",$B447&lt;&gt;"",$C447&lt;&gt;"",$D447&lt;&gt;"",$E447&lt;&gt;""),IF(AND($B447="s",OR($C447="SER",$C447="PLH")),"Case MAX Planck Plate "&amp;(INT(((COUNTIFS($B$2:$B447,"s",$C$2:$C447,"SER")+COUNTIFS($B$2:$B447,"s",$C$2:$C447,"PLH"))-1)/96)+1)&amp;": "&amp;CHAR(65+INT(MOD((COUNTIFS($B$2:$B447,"s",$C$2:$C447,"SER")+COUNTIFS($B$2:$B447,"s",$C$2:$C447,"PLH"))-1,96)/12))&amp;(MOD((COUNTIFS($B$2:$B447,"s",$C$2:$C447,"SER")+COUNTIFS($B$2:$B447,"s",$C$2:$C447,"PLH"))-1,12)+1),"N/A"),"")</f>
        <v/>
      </c>
      <c r="K447" s="6" t="str">
        <f>IF(AND($A447&lt;&gt;"",$B447&lt;&gt;"",$C447&lt;&gt;"",$D447&lt;&gt;"",$E447&lt;&gt;""),IF($C447="WB","Case WB Box "&amp;(INT((COUNTIFS($C$2:$C447,"WB")-1)/81)+1)&amp;": "&amp;CHAR(65+INT(MOD(COUNTIFS($C$2:$C447,"WB")-1,81)/9))&amp;(MOD(COUNTIFS($C$2:$C447,"WB")-1,9)+1),"N/A"),"")</f>
        <v/>
      </c>
      <c r="L447" s="2" t="str">
        <f t="shared" si="127"/>
        <v/>
      </c>
      <c r="M447" s="2"/>
      <c r="N447" s="2"/>
      <c r="O447" s="2"/>
      <c r="P447" s="7" t="str">
        <f t="shared" si="128"/>
        <v/>
      </c>
      <c r="Q447" s="7" t="str">
        <f t="shared" si="129"/>
        <v/>
      </c>
      <c r="R447" s="7" t="str">
        <f t="shared" si="130"/>
        <v/>
      </c>
      <c r="S447" s="7" t="str">
        <f t="shared" si="131"/>
        <v/>
      </c>
      <c r="T447" s="7" t="str">
        <f t="shared" si="132"/>
        <v/>
      </c>
      <c r="U447" s="7" t="str">
        <f t="shared" si="133"/>
        <v/>
      </c>
      <c r="V447" s="7" t="str">
        <f t="shared" si="134"/>
        <v/>
      </c>
      <c r="W447" s="7" t="str">
        <f t="shared" si="135"/>
        <v/>
      </c>
      <c r="X447" s="7" t="str">
        <f t="shared" si="136"/>
        <v/>
      </c>
      <c r="Y447" s="7" t="str">
        <f t="shared" si="137"/>
        <v/>
      </c>
      <c r="Z447">
        <f t="shared" si="138"/>
        <v>0</v>
      </c>
      <c r="AA447" t="str">
        <f t="shared" si="139"/>
        <v/>
      </c>
      <c r="AB447" t="str">
        <f t="shared" si="140"/>
        <v/>
      </c>
      <c r="AC447" t="str">
        <f t="shared" si="141"/>
        <v/>
      </c>
      <c r="AD447" t="str">
        <f t="shared" si="142"/>
        <v/>
      </c>
      <c r="AE447">
        <f t="shared" si="143"/>
        <v>0</v>
      </c>
    </row>
    <row r="448" spans="1:31" ht="15" customHeight="1" x14ac:dyDescent="0.35">
      <c r="A448" s="2"/>
      <c r="B448" s="3"/>
      <c r="C448" s="3"/>
      <c r="D448" s="4"/>
      <c r="E448" s="5"/>
      <c r="F448" s="11" t="str">
        <f t="shared" ca="1" si="126"/>
        <v/>
      </c>
      <c r="G448" s="5"/>
      <c r="H448" s="6" t="str">
        <f>IF(AND($A448&lt;&gt;"",$B448&lt;&gt;"",$C448&lt;&gt;"",$D448&lt;&gt;"",$E448&lt;&gt;""),IF(AND($B448="s",OR($C448="SER",$C448="PLH",$C448="CSF")),"Case CDI Plate "&amp;(INT(((COUNTIFS($B$2:$B448,"s",$C$2:$C448,"SER")+COUNTIFS($B$2:$B448,"s",$C$2:$C448,"PLH")+COUNTIFS($B$2:$B448,"s",$C$2:$C448,"CSF"))-1)/96)+1)&amp;": "&amp;CHAR(65+INT(MOD((COUNTIFS($B$2:$B448,"s",$C$2:$C448,"SER")+COUNTIFS($B$2:$B448,"s",$C$2:$C448,"PLH")+COUNTIFS($B$2:$B448,"s",$C$2:$C448,"CSF"))-1,96)/12))&amp;(MOD((COUNTIFS($B$2:$B448,"s",$C$2:$C448,"SER")+COUNTIFS($B$2:$B448,"s",$C$2:$C448,"PLH")+COUNTIFS($B$2:$B448,"s",$C$2:$C448,"CSF"))-1,12)+1),"N/A"),"")</f>
        <v/>
      </c>
      <c r="I448" s="6" t="str">
        <f>IF(AND($A448&lt;&gt;"",$B448&lt;&gt;"",$C448&lt;&gt;"",$D448&lt;&gt;"",$E448&lt;&gt;""),IF(AND($B448="s",OR($C448="SER",$C448="PLH",$C448="CSF")),"Case NIH Plate "&amp;(INT(((COUNTIFS($B$2:$B448,"s",$C$2:$C448,"SER")+COUNTIFS($B$2:$B448,"s",$C$2:$C448,"PLH")+COUNTIFS($B$2:$B448,"s",$C$2:$C448,"CSF"))-1)/96)+1)&amp;": "&amp;CHAR(65+INT(MOD((COUNTIFS($B$2:$B448,"s",$C$2:$C448,"SER")+COUNTIFS($B$2:$B448,"s",$C$2:$C448,"PLH")+COUNTIFS($B$2:$B448,"s",$C$2:$C448,"CSF"))-1,96)/12))&amp;(MOD((COUNTIFS($B$2:$B448,"s",$C$2:$C448,"SER")+COUNTIFS($B$2:$B448,"s",$C$2:$C448,"PLH")+COUNTIFS($B$2:$B448,"s",$C$2:$C448,"CSF"))-1,12)+1),"N/A"),"")</f>
        <v/>
      </c>
      <c r="J448" s="6" t="str">
        <f>IF(AND($A448&lt;&gt;"",$B448&lt;&gt;"",$C448&lt;&gt;"",$D448&lt;&gt;"",$E448&lt;&gt;""),IF(AND($B448="s",OR($C448="SER",$C448="PLH")),"Case MAX Planck Plate "&amp;(INT(((COUNTIFS($B$2:$B448,"s",$C$2:$C448,"SER")+COUNTIFS($B$2:$B448,"s",$C$2:$C448,"PLH"))-1)/96)+1)&amp;": "&amp;CHAR(65+INT(MOD((COUNTIFS($B$2:$B448,"s",$C$2:$C448,"SER")+COUNTIFS($B$2:$B448,"s",$C$2:$C448,"PLH"))-1,96)/12))&amp;(MOD((COUNTIFS($B$2:$B448,"s",$C$2:$C448,"SER")+COUNTIFS($B$2:$B448,"s",$C$2:$C448,"PLH"))-1,12)+1),"N/A"),"")</f>
        <v/>
      </c>
      <c r="K448" s="6" t="str">
        <f>IF(AND($A448&lt;&gt;"",$B448&lt;&gt;"",$C448&lt;&gt;"",$D448&lt;&gt;"",$E448&lt;&gt;""),IF($C448="WB","Case WB Box "&amp;(INT((COUNTIFS($C$2:$C448,"WB")-1)/81)+1)&amp;": "&amp;CHAR(65+INT(MOD(COUNTIFS($C$2:$C448,"WB")-1,81)/9))&amp;(MOD(COUNTIFS($C$2:$C448,"WB")-1,9)+1),"N/A"),"")</f>
        <v/>
      </c>
      <c r="L448" s="2" t="str">
        <f t="shared" si="127"/>
        <v/>
      </c>
      <c r="M448" s="2"/>
      <c r="N448" s="2"/>
      <c r="O448" s="2"/>
      <c r="P448" s="7" t="str">
        <f t="shared" si="128"/>
        <v/>
      </c>
      <c r="Q448" s="7" t="str">
        <f t="shared" si="129"/>
        <v/>
      </c>
      <c r="R448" s="7" t="str">
        <f t="shared" si="130"/>
        <v/>
      </c>
      <c r="S448" s="7" t="str">
        <f t="shared" si="131"/>
        <v/>
      </c>
      <c r="T448" s="7" t="str">
        <f t="shared" si="132"/>
        <v/>
      </c>
      <c r="U448" s="7" t="str">
        <f t="shared" si="133"/>
        <v/>
      </c>
      <c r="V448" s="7" t="str">
        <f t="shared" si="134"/>
        <v/>
      </c>
      <c r="W448" s="7" t="str">
        <f t="shared" si="135"/>
        <v/>
      </c>
      <c r="X448" s="7" t="str">
        <f t="shared" si="136"/>
        <v/>
      </c>
      <c r="Y448" s="7" t="str">
        <f t="shared" si="137"/>
        <v/>
      </c>
      <c r="Z448">
        <f t="shared" si="138"/>
        <v>0</v>
      </c>
      <c r="AA448" t="str">
        <f t="shared" si="139"/>
        <v/>
      </c>
      <c r="AB448" t="str">
        <f t="shared" si="140"/>
        <v/>
      </c>
      <c r="AC448" t="str">
        <f t="shared" si="141"/>
        <v/>
      </c>
      <c r="AD448" t="str">
        <f t="shared" si="142"/>
        <v/>
      </c>
      <c r="AE448">
        <f t="shared" si="143"/>
        <v>0</v>
      </c>
    </row>
    <row r="449" spans="1:31" ht="15" customHeight="1" x14ac:dyDescent="0.35">
      <c r="A449" s="2"/>
      <c r="B449" s="3"/>
      <c r="C449" s="3"/>
      <c r="D449" s="4"/>
      <c r="E449" s="5"/>
      <c r="F449" s="11" t="str">
        <f t="shared" ca="1" si="126"/>
        <v/>
      </c>
      <c r="G449" s="5"/>
      <c r="H449" s="6" t="str">
        <f>IF(AND($A449&lt;&gt;"",$B449&lt;&gt;"",$C449&lt;&gt;"",$D449&lt;&gt;"",$E449&lt;&gt;""),IF(AND($B449="s",OR($C449="SER",$C449="PLH",$C449="CSF")),"Case CDI Plate "&amp;(INT(((COUNTIFS($B$2:$B449,"s",$C$2:$C449,"SER")+COUNTIFS($B$2:$B449,"s",$C$2:$C449,"PLH")+COUNTIFS($B$2:$B449,"s",$C$2:$C449,"CSF"))-1)/96)+1)&amp;": "&amp;CHAR(65+INT(MOD((COUNTIFS($B$2:$B449,"s",$C$2:$C449,"SER")+COUNTIFS($B$2:$B449,"s",$C$2:$C449,"PLH")+COUNTIFS($B$2:$B449,"s",$C$2:$C449,"CSF"))-1,96)/12))&amp;(MOD((COUNTIFS($B$2:$B449,"s",$C$2:$C449,"SER")+COUNTIFS($B$2:$B449,"s",$C$2:$C449,"PLH")+COUNTIFS($B$2:$B449,"s",$C$2:$C449,"CSF"))-1,12)+1),"N/A"),"")</f>
        <v/>
      </c>
      <c r="I449" s="6" t="str">
        <f>IF(AND($A449&lt;&gt;"",$B449&lt;&gt;"",$C449&lt;&gt;"",$D449&lt;&gt;"",$E449&lt;&gt;""),IF(AND($B449="s",OR($C449="SER",$C449="PLH",$C449="CSF")),"Case NIH Plate "&amp;(INT(((COUNTIFS($B$2:$B449,"s",$C$2:$C449,"SER")+COUNTIFS($B$2:$B449,"s",$C$2:$C449,"PLH")+COUNTIFS($B$2:$B449,"s",$C$2:$C449,"CSF"))-1)/96)+1)&amp;": "&amp;CHAR(65+INT(MOD((COUNTIFS($B$2:$B449,"s",$C$2:$C449,"SER")+COUNTIFS($B$2:$B449,"s",$C$2:$C449,"PLH")+COUNTIFS($B$2:$B449,"s",$C$2:$C449,"CSF"))-1,96)/12))&amp;(MOD((COUNTIFS($B$2:$B449,"s",$C$2:$C449,"SER")+COUNTIFS($B$2:$B449,"s",$C$2:$C449,"PLH")+COUNTIFS($B$2:$B449,"s",$C$2:$C449,"CSF"))-1,12)+1),"N/A"),"")</f>
        <v/>
      </c>
      <c r="J449" s="6" t="str">
        <f>IF(AND($A449&lt;&gt;"",$B449&lt;&gt;"",$C449&lt;&gt;"",$D449&lt;&gt;"",$E449&lt;&gt;""),IF(AND($B449="s",OR($C449="SER",$C449="PLH")),"Case MAX Planck Plate "&amp;(INT(((COUNTIFS($B$2:$B449,"s",$C$2:$C449,"SER")+COUNTIFS($B$2:$B449,"s",$C$2:$C449,"PLH"))-1)/96)+1)&amp;": "&amp;CHAR(65+INT(MOD((COUNTIFS($B$2:$B449,"s",$C$2:$C449,"SER")+COUNTIFS($B$2:$B449,"s",$C$2:$C449,"PLH"))-1,96)/12))&amp;(MOD((COUNTIFS($B$2:$B449,"s",$C$2:$C449,"SER")+COUNTIFS($B$2:$B449,"s",$C$2:$C449,"PLH"))-1,12)+1),"N/A"),"")</f>
        <v/>
      </c>
      <c r="K449" s="6" t="str">
        <f>IF(AND($A449&lt;&gt;"",$B449&lt;&gt;"",$C449&lt;&gt;"",$D449&lt;&gt;"",$E449&lt;&gt;""),IF($C449="WB","Case WB Box "&amp;(INT((COUNTIFS($C$2:$C449,"WB")-1)/81)+1)&amp;": "&amp;CHAR(65+INT(MOD(COUNTIFS($C$2:$C449,"WB")-1,81)/9))&amp;(MOD(COUNTIFS($C$2:$C449,"WB")-1,9)+1),"N/A"),"")</f>
        <v/>
      </c>
      <c r="L449" s="2" t="str">
        <f t="shared" si="127"/>
        <v/>
      </c>
      <c r="M449" s="2"/>
      <c r="N449" s="2"/>
      <c r="O449" s="2"/>
      <c r="P449" s="7" t="str">
        <f t="shared" si="128"/>
        <v/>
      </c>
      <c r="Q449" s="7" t="str">
        <f t="shared" si="129"/>
        <v/>
      </c>
      <c r="R449" s="7" t="str">
        <f t="shared" si="130"/>
        <v/>
      </c>
      <c r="S449" s="7" t="str">
        <f t="shared" si="131"/>
        <v/>
      </c>
      <c r="T449" s="7" t="str">
        <f t="shared" si="132"/>
        <v/>
      </c>
      <c r="U449" s="7" t="str">
        <f t="shared" si="133"/>
        <v/>
      </c>
      <c r="V449" s="7" t="str">
        <f t="shared" si="134"/>
        <v/>
      </c>
      <c r="W449" s="7" t="str">
        <f t="shared" si="135"/>
        <v/>
      </c>
      <c r="X449" s="7" t="str">
        <f t="shared" si="136"/>
        <v/>
      </c>
      <c r="Y449" s="7" t="str">
        <f t="shared" si="137"/>
        <v/>
      </c>
      <c r="Z449">
        <f t="shared" si="138"/>
        <v>0</v>
      </c>
      <c r="AA449" t="str">
        <f t="shared" si="139"/>
        <v/>
      </c>
      <c r="AB449" t="str">
        <f t="shared" si="140"/>
        <v/>
      </c>
      <c r="AC449" t="str">
        <f t="shared" si="141"/>
        <v/>
      </c>
      <c r="AD449" t="str">
        <f t="shared" si="142"/>
        <v/>
      </c>
      <c r="AE449">
        <f t="shared" si="143"/>
        <v>0</v>
      </c>
    </row>
    <row r="450" spans="1:31" ht="15" customHeight="1" x14ac:dyDescent="0.35">
      <c r="A450" s="2"/>
      <c r="B450" s="3"/>
      <c r="C450" s="3"/>
      <c r="D450" s="4"/>
      <c r="E450" s="5"/>
      <c r="F450" s="11" t="str">
        <f t="shared" ca="1" si="126"/>
        <v/>
      </c>
      <c r="G450" s="5"/>
      <c r="H450" s="6" t="str">
        <f>IF(AND($A450&lt;&gt;"",$B450&lt;&gt;"",$C450&lt;&gt;"",$D450&lt;&gt;"",$E450&lt;&gt;""),IF(AND($B450="s",OR($C450="SER",$C450="PLH",$C450="CSF")),"Case CDI Plate "&amp;(INT(((COUNTIFS($B$2:$B450,"s",$C$2:$C450,"SER")+COUNTIFS($B$2:$B450,"s",$C$2:$C450,"PLH")+COUNTIFS($B$2:$B450,"s",$C$2:$C450,"CSF"))-1)/96)+1)&amp;": "&amp;CHAR(65+INT(MOD((COUNTIFS($B$2:$B450,"s",$C$2:$C450,"SER")+COUNTIFS($B$2:$B450,"s",$C$2:$C450,"PLH")+COUNTIFS($B$2:$B450,"s",$C$2:$C450,"CSF"))-1,96)/12))&amp;(MOD((COUNTIFS($B$2:$B450,"s",$C$2:$C450,"SER")+COUNTIFS($B$2:$B450,"s",$C$2:$C450,"PLH")+COUNTIFS($B$2:$B450,"s",$C$2:$C450,"CSF"))-1,12)+1),"N/A"),"")</f>
        <v/>
      </c>
      <c r="I450" s="6" t="str">
        <f>IF(AND($A450&lt;&gt;"",$B450&lt;&gt;"",$C450&lt;&gt;"",$D450&lt;&gt;"",$E450&lt;&gt;""),IF(AND($B450="s",OR($C450="SER",$C450="PLH",$C450="CSF")),"Case NIH Plate "&amp;(INT(((COUNTIFS($B$2:$B450,"s",$C$2:$C450,"SER")+COUNTIFS($B$2:$B450,"s",$C$2:$C450,"PLH")+COUNTIFS($B$2:$B450,"s",$C$2:$C450,"CSF"))-1)/96)+1)&amp;": "&amp;CHAR(65+INT(MOD((COUNTIFS($B$2:$B450,"s",$C$2:$C450,"SER")+COUNTIFS($B$2:$B450,"s",$C$2:$C450,"PLH")+COUNTIFS($B$2:$B450,"s",$C$2:$C450,"CSF"))-1,96)/12))&amp;(MOD((COUNTIFS($B$2:$B450,"s",$C$2:$C450,"SER")+COUNTIFS($B$2:$B450,"s",$C$2:$C450,"PLH")+COUNTIFS($B$2:$B450,"s",$C$2:$C450,"CSF"))-1,12)+1),"N/A"),"")</f>
        <v/>
      </c>
      <c r="J450" s="6" t="str">
        <f>IF(AND($A450&lt;&gt;"",$B450&lt;&gt;"",$C450&lt;&gt;"",$D450&lt;&gt;"",$E450&lt;&gt;""),IF(AND($B450="s",OR($C450="SER",$C450="PLH")),"Case MAX Planck Plate "&amp;(INT(((COUNTIFS($B$2:$B450,"s",$C$2:$C450,"SER")+COUNTIFS($B$2:$B450,"s",$C$2:$C450,"PLH"))-1)/96)+1)&amp;": "&amp;CHAR(65+INT(MOD((COUNTIFS($B$2:$B450,"s",$C$2:$C450,"SER")+COUNTIFS($B$2:$B450,"s",$C$2:$C450,"PLH"))-1,96)/12))&amp;(MOD((COUNTIFS($B$2:$B450,"s",$C$2:$C450,"SER")+COUNTIFS($B$2:$B450,"s",$C$2:$C450,"PLH"))-1,12)+1),"N/A"),"")</f>
        <v/>
      </c>
      <c r="K450" s="6" t="str">
        <f>IF(AND($A450&lt;&gt;"",$B450&lt;&gt;"",$C450&lt;&gt;"",$D450&lt;&gt;"",$E450&lt;&gt;""),IF($C450="WB","Case WB Box "&amp;(INT((COUNTIFS($C$2:$C450,"WB")-1)/81)+1)&amp;": "&amp;CHAR(65+INT(MOD(COUNTIFS($C$2:$C450,"WB")-1,81)/9))&amp;(MOD(COUNTIFS($C$2:$C450,"WB")-1,9)+1),"N/A"),"")</f>
        <v/>
      </c>
      <c r="L450" s="2" t="str">
        <f t="shared" si="127"/>
        <v/>
      </c>
      <c r="M450" s="2"/>
      <c r="N450" s="2"/>
      <c r="O450" s="2"/>
      <c r="P450" s="7" t="str">
        <f t="shared" si="128"/>
        <v/>
      </c>
      <c r="Q450" s="7" t="str">
        <f t="shared" si="129"/>
        <v/>
      </c>
      <c r="R450" s="7" t="str">
        <f t="shared" si="130"/>
        <v/>
      </c>
      <c r="S450" s="7" t="str">
        <f t="shared" si="131"/>
        <v/>
      </c>
      <c r="T450" s="7" t="str">
        <f t="shared" si="132"/>
        <v/>
      </c>
      <c r="U450" s="7" t="str">
        <f t="shared" si="133"/>
        <v/>
      </c>
      <c r="V450" s="7" t="str">
        <f t="shared" si="134"/>
        <v/>
      </c>
      <c r="W450" s="7" t="str">
        <f t="shared" si="135"/>
        <v/>
      </c>
      <c r="X450" s="7" t="str">
        <f t="shared" si="136"/>
        <v/>
      </c>
      <c r="Y450" s="7" t="str">
        <f t="shared" si="137"/>
        <v/>
      </c>
      <c r="Z450">
        <f t="shared" si="138"/>
        <v>0</v>
      </c>
      <c r="AA450" t="str">
        <f t="shared" si="139"/>
        <v/>
      </c>
      <c r="AB450" t="str">
        <f t="shared" si="140"/>
        <v/>
      </c>
      <c r="AC450" t="str">
        <f t="shared" si="141"/>
        <v/>
      </c>
      <c r="AD450" t="str">
        <f t="shared" si="142"/>
        <v/>
      </c>
      <c r="AE450">
        <f t="shared" si="143"/>
        <v>0</v>
      </c>
    </row>
    <row r="451" spans="1:31" ht="15" customHeight="1" x14ac:dyDescent="0.35">
      <c r="A451" s="2"/>
      <c r="B451" s="3"/>
      <c r="C451" s="3"/>
      <c r="D451" s="4"/>
      <c r="E451" s="5"/>
      <c r="F451" s="11" t="str">
        <f t="shared" ca="1" si="126"/>
        <v/>
      </c>
      <c r="G451" s="5"/>
      <c r="H451" s="6" t="str">
        <f>IF(AND($A451&lt;&gt;"",$B451&lt;&gt;"",$C451&lt;&gt;"",$D451&lt;&gt;"",$E451&lt;&gt;""),IF(AND($B451="s",OR($C451="SER",$C451="PLH",$C451="CSF")),"Case CDI Plate "&amp;(INT(((COUNTIFS($B$2:$B451,"s",$C$2:$C451,"SER")+COUNTIFS($B$2:$B451,"s",$C$2:$C451,"PLH")+COUNTIFS($B$2:$B451,"s",$C$2:$C451,"CSF"))-1)/96)+1)&amp;": "&amp;CHAR(65+INT(MOD((COUNTIFS($B$2:$B451,"s",$C$2:$C451,"SER")+COUNTIFS($B$2:$B451,"s",$C$2:$C451,"PLH")+COUNTIFS($B$2:$B451,"s",$C$2:$C451,"CSF"))-1,96)/12))&amp;(MOD((COUNTIFS($B$2:$B451,"s",$C$2:$C451,"SER")+COUNTIFS($B$2:$B451,"s",$C$2:$C451,"PLH")+COUNTIFS($B$2:$B451,"s",$C$2:$C451,"CSF"))-1,12)+1),"N/A"),"")</f>
        <v/>
      </c>
      <c r="I451" s="6" t="str">
        <f>IF(AND($A451&lt;&gt;"",$B451&lt;&gt;"",$C451&lt;&gt;"",$D451&lt;&gt;"",$E451&lt;&gt;""),IF(AND($B451="s",OR($C451="SER",$C451="PLH",$C451="CSF")),"Case NIH Plate "&amp;(INT(((COUNTIFS($B$2:$B451,"s",$C$2:$C451,"SER")+COUNTIFS($B$2:$B451,"s",$C$2:$C451,"PLH")+COUNTIFS($B$2:$B451,"s",$C$2:$C451,"CSF"))-1)/96)+1)&amp;": "&amp;CHAR(65+INT(MOD((COUNTIFS($B$2:$B451,"s",$C$2:$C451,"SER")+COUNTIFS($B$2:$B451,"s",$C$2:$C451,"PLH")+COUNTIFS($B$2:$B451,"s",$C$2:$C451,"CSF"))-1,96)/12))&amp;(MOD((COUNTIFS($B$2:$B451,"s",$C$2:$C451,"SER")+COUNTIFS($B$2:$B451,"s",$C$2:$C451,"PLH")+COUNTIFS($B$2:$B451,"s",$C$2:$C451,"CSF"))-1,12)+1),"N/A"),"")</f>
        <v/>
      </c>
      <c r="J451" s="6" t="str">
        <f>IF(AND($A451&lt;&gt;"",$B451&lt;&gt;"",$C451&lt;&gt;"",$D451&lt;&gt;"",$E451&lt;&gt;""),IF(AND($B451="s",OR($C451="SER",$C451="PLH")),"Case MAX Planck Plate "&amp;(INT(((COUNTIFS($B$2:$B451,"s",$C$2:$C451,"SER")+COUNTIFS($B$2:$B451,"s",$C$2:$C451,"PLH"))-1)/96)+1)&amp;": "&amp;CHAR(65+INT(MOD((COUNTIFS($B$2:$B451,"s",$C$2:$C451,"SER")+COUNTIFS($B$2:$B451,"s",$C$2:$C451,"PLH"))-1,96)/12))&amp;(MOD((COUNTIFS($B$2:$B451,"s",$C$2:$C451,"SER")+COUNTIFS($B$2:$B451,"s",$C$2:$C451,"PLH"))-1,12)+1),"N/A"),"")</f>
        <v/>
      </c>
      <c r="K451" s="6" t="str">
        <f>IF(AND($A451&lt;&gt;"",$B451&lt;&gt;"",$C451&lt;&gt;"",$D451&lt;&gt;"",$E451&lt;&gt;""),IF($C451="WB","Case WB Box "&amp;(INT((COUNTIFS($C$2:$C451,"WB")-1)/81)+1)&amp;": "&amp;CHAR(65+INT(MOD(COUNTIFS($C$2:$C451,"WB")-1,81)/9))&amp;(MOD(COUNTIFS($C$2:$C451,"WB")-1,9)+1),"N/A"),"")</f>
        <v/>
      </c>
      <c r="L451" s="2" t="str">
        <f t="shared" si="127"/>
        <v/>
      </c>
      <c r="M451" s="2"/>
      <c r="N451" s="2"/>
      <c r="O451" s="2"/>
      <c r="P451" s="7" t="str">
        <f t="shared" si="128"/>
        <v/>
      </c>
      <c r="Q451" s="7" t="str">
        <f t="shared" si="129"/>
        <v/>
      </c>
      <c r="R451" s="7" t="str">
        <f t="shared" si="130"/>
        <v/>
      </c>
      <c r="S451" s="7" t="str">
        <f t="shared" si="131"/>
        <v/>
      </c>
      <c r="T451" s="7" t="str">
        <f t="shared" si="132"/>
        <v/>
      </c>
      <c r="U451" s="7" t="str">
        <f t="shared" si="133"/>
        <v/>
      </c>
      <c r="V451" s="7" t="str">
        <f t="shared" si="134"/>
        <v/>
      </c>
      <c r="W451" s="7" t="str">
        <f t="shared" si="135"/>
        <v/>
      </c>
      <c r="X451" s="7" t="str">
        <f t="shared" si="136"/>
        <v/>
      </c>
      <c r="Y451" s="7" t="str">
        <f t="shared" si="137"/>
        <v/>
      </c>
      <c r="Z451">
        <f t="shared" si="138"/>
        <v>0</v>
      </c>
      <c r="AA451" t="str">
        <f t="shared" si="139"/>
        <v/>
      </c>
      <c r="AB451" t="str">
        <f t="shared" si="140"/>
        <v/>
      </c>
      <c r="AC451" t="str">
        <f t="shared" si="141"/>
        <v/>
      </c>
      <c r="AD451" t="str">
        <f t="shared" si="142"/>
        <v/>
      </c>
      <c r="AE451">
        <f t="shared" si="143"/>
        <v>0</v>
      </c>
    </row>
    <row r="452" spans="1:31" ht="15" customHeight="1" x14ac:dyDescent="0.35">
      <c r="A452" s="2"/>
      <c r="B452" s="3"/>
      <c r="C452" s="3"/>
      <c r="D452" s="4"/>
      <c r="E452" s="5"/>
      <c r="F452" s="11" t="str">
        <f t="shared" ca="1" si="126"/>
        <v/>
      </c>
      <c r="G452" s="5"/>
      <c r="H452" s="6" t="str">
        <f>IF(AND($A452&lt;&gt;"",$B452&lt;&gt;"",$C452&lt;&gt;"",$D452&lt;&gt;"",$E452&lt;&gt;""),IF(AND($B452="s",OR($C452="SER",$C452="PLH",$C452="CSF")),"Case CDI Plate "&amp;(INT(((COUNTIFS($B$2:$B452,"s",$C$2:$C452,"SER")+COUNTIFS($B$2:$B452,"s",$C$2:$C452,"PLH")+COUNTIFS($B$2:$B452,"s",$C$2:$C452,"CSF"))-1)/96)+1)&amp;": "&amp;CHAR(65+INT(MOD((COUNTIFS($B$2:$B452,"s",$C$2:$C452,"SER")+COUNTIFS($B$2:$B452,"s",$C$2:$C452,"PLH")+COUNTIFS($B$2:$B452,"s",$C$2:$C452,"CSF"))-1,96)/12))&amp;(MOD((COUNTIFS($B$2:$B452,"s",$C$2:$C452,"SER")+COUNTIFS($B$2:$B452,"s",$C$2:$C452,"PLH")+COUNTIFS($B$2:$B452,"s",$C$2:$C452,"CSF"))-1,12)+1),"N/A"),"")</f>
        <v/>
      </c>
      <c r="I452" s="6" t="str">
        <f>IF(AND($A452&lt;&gt;"",$B452&lt;&gt;"",$C452&lt;&gt;"",$D452&lt;&gt;"",$E452&lt;&gt;""),IF(AND($B452="s",OR($C452="SER",$C452="PLH",$C452="CSF")),"Case NIH Plate "&amp;(INT(((COUNTIFS($B$2:$B452,"s",$C$2:$C452,"SER")+COUNTIFS($B$2:$B452,"s",$C$2:$C452,"PLH")+COUNTIFS($B$2:$B452,"s",$C$2:$C452,"CSF"))-1)/96)+1)&amp;": "&amp;CHAR(65+INT(MOD((COUNTIFS($B$2:$B452,"s",$C$2:$C452,"SER")+COUNTIFS($B$2:$B452,"s",$C$2:$C452,"PLH")+COUNTIFS($B$2:$B452,"s",$C$2:$C452,"CSF"))-1,96)/12))&amp;(MOD((COUNTIFS($B$2:$B452,"s",$C$2:$C452,"SER")+COUNTIFS($B$2:$B452,"s",$C$2:$C452,"PLH")+COUNTIFS($B$2:$B452,"s",$C$2:$C452,"CSF"))-1,12)+1),"N/A"),"")</f>
        <v/>
      </c>
      <c r="J452" s="6" t="str">
        <f>IF(AND($A452&lt;&gt;"",$B452&lt;&gt;"",$C452&lt;&gt;"",$D452&lt;&gt;"",$E452&lt;&gt;""),IF(AND($B452="s",OR($C452="SER",$C452="PLH")),"Case MAX Planck Plate "&amp;(INT(((COUNTIFS($B$2:$B452,"s",$C$2:$C452,"SER")+COUNTIFS($B$2:$B452,"s",$C$2:$C452,"PLH"))-1)/96)+1)&amp;": "&amp;CHAR(65+INT(MOD((COUNTIFS($B$2:$B452,"s",$C$2:$C452,"SER")+COUNTIFS($B$2:$B452,"s",$C$2:$C452,"PLH"))-1,96)/12))&amp;(MOD((COUNTIFS($B$2:$B452,"s",$C$2:$C452,"SER")+COUNTIFS($B$2:$B452,"s",$C$2:$C452,"PLH"))-1,12)+1),"N/A"),"")</f>
        <v/>
      </c>
      <c r="K452" s="6" t="str">
        <f>IF(AND($A452&lt;&gt;"",$B452&lt;&gt;"",$C452&lt;&gt;"",$D452&lt;&gt;"",$E452&lt;&gt;""),IF($C452="WB","Case WB Box "&amp;(INT((COUNTIFS($C$2:$C452,"WB")-1)/81)+1)&amp;": "&amp;CHAR(65+INT(MOD(COUNTIFS($C$2:$C452,"WB")-1,81)/9))&amp;(MOD(COUNTIFS($C$2:$C452,"WB")-1,9)+1),"N/A"),"")</f>
        <v/>
      </c>
      <c r="L452" s="2" t="str">
        <f t="shared" si="127"/>
        <v/>
      </c>
      <c r="M452" s="2"/>
      <c r="N452" s="2"/>
      <c r="O452" s="2"/>
      <c r="P452" s="7" t="str">
        <f t="shared" si="128"/>
        <v/>
      </c>
      <c r="Q452" s="7" t="str">
        <f t="shared" si="129"/>
        <v/>
      </c>
      <c r="R452" s="7" t="str">
        <f t="shared" si="130"/>
        <v/>
      </c>
      <c r="S452" s="7" t="str">
        <f t="shared" si="131"/>
        <v/>
      </c>
      <c r="T452" s="7" t="str">
        <f t="shared" si="132"/>
        <v/>
      </c>
      <c r="U452" s="7" t="str">
        <f t="shared" si="133"/>
        <v/>
      </c>
      <c r="V452" s="7" t="str">
        <f t="shared" si="134"/>
        <v/>
      </c>
      <c r="W452" s="7" t="str">
        <f t="shared" si="135"/>
        <v/>
      </c>
      <c r="X452" s="7" t="str">
        <f t="shared" si="136"/>
        <v/>
      </c>
      <c r="Y452" s="7" t="str">
        <f t="shared" si="137"/>
        <v/>
      </c>
      <c r="Z452">
        <f t="shared" si="138"/>
        <v>0</v>
      </c>
      <c r="AA452" t="str">
        <f t="shared" si="139"/>
        <v/>
      </c>
      <c r="AB452" t="str">
        <f t="shared" si="140"/>
        <v/>
      </c>
      <c r="AC452" t="str">
        <f t="shared" si="141"/>
        <v/>
      </c>
      <c r="AD452" t="str">
        <f t="shared" si="142"/>
        <v/>
      </c>
      <c r="AE452">
        <f t="shared" si="143"/>
        <v>0</v>
      </c>
    </row>
    <row r="453" spans="1:31" ht="15" customHeight="1" x14ac:dyDescent="0.35">
      <c r="A453" s="2"/>
      <c r="B453" s="3"/>
      <c r="C453" s="3"/>
      <c r="D453" s="4"/>
      <c r="E453" s="5"/>
      <c r="F453" s="11" t="str">
        <f t="shared" ca="1" si="126"/>
        <v/>
      </c>
      <c r="G453" s="5"/>
      <c r="H453" s="6" t="str">
        <f>IF(AND($A453&lt;&gt;"",$B453&lt;&gt;"",$C453&lt;&gt;"",$D453&lt;&gt;"",$E453&lt;&gt;""),IF(AND($B453="s",OR($C453="SER",$C453="PLH",$C453="CSF")),"Case CDI Plate "&amp;(INT(((COUNTIFS($B$2:$B453,"s",$C$2:$C453,"SER")+COUNTIFS($B$2:$B453,"s",$C$2:$C453,"PLH")+COUNTIFS($B$2:$B453,"s",$C$2:$C453,"CSF"))-1)/96)+1)&amp;": "&amp;CHAR(65+INT(MOD((COUNTIFS($B$2:$B453,"s",$C$2:$C453,"SER")+COUNTIFS($B$2:$B453,"s",$C$2:$C453,"PLH")+COUNTIFS($B$2:$B453,"s",$C$2:$C453,"CSF"))-1,96)/12))&amp;(MOD((COUNTIFS($B$2:$B453,"s",$C$2:$C453,"SER")+COUNTIFS($B$2:$B453,"s",$C$2:$C453,"PLH")+COUNTIFS($B$2:$B453,"s",$C$2:$C453,"CSF"))-1,12)+1),"N/A"),"")</f>
        <v/>
      </c>
      <c r="I453" s="6" t="str">
        <f>IF(AND($A453&lt;&gt;"",$B453&lt;&gt;"",$C453&lt;&gt;"",$D453&lt;&gt;"",$E453&lt;&gt;""),IF(AND($B453="s",OR($C453="SER",$C453="PLH",$C453="CSF")),"Case NIH Plate "&amp;(INT(((COUNTIFS($B$2:$B453,"s",$C$2:$C453,"SER")+COUNTIFS($B$2:$B453,"s",$C$2:$C453,"PLH")+COUNTIFS($B$2:$B453,"s",$C$2:$C453,"CSF"))-1)/96)+1)&amp;": "&amp;CHAR(65+INT(MOD((COUNTIFS($B$2:$B453,"s",$C$2:$C453,"SER")+COUNTIFS($B$2:$B453,"s",$C$2:$C453,"PLH")+COUNTIFS($B$2:$B453,"s",$C$2:$C453,"CSF"))-1,96)/12))&amp;(MOD((COUNTIFS($B$2:$B453,"s",$C$2:$C453,"SER")+COUNTIFS($B$2:$B453,"s",$C$2:$C453,"PLH")+COUNTIFS($B$2:$B453,"s",$C$2:$C453,"CSF"))-1,12)+1),"N/A"),"")</f>
        <v/>
      </c>
      <c r="J453" s="6" t="str">
        <f>IF(AND($A453&lt;&gt;"",$B453&lt;&gt;"",$C453&lt;&gt;"",$D453&lt;&gt;"",$E453&lt;&gt;""),IF(AND($B453="s",OR($C453="SER",$C453="PLH")),"Case MAX Planck Plate "&amp;(INT(((COUNTIFS($B$2:$B453,"s",$C$2:$C453,"SER")+COUNTIFS($B$2:$B453,"s",$C$2:$C453,"PLH"))-1)/96)+1)&amp;": "&amp;CHAR(65+INT(MOD((COUNTIFS($B$2:$B453,"s",$C$2:$C453,"SER")+COUNTIFS($B$2:$B453,"s",$C$2:$C453,"PLH"))-1,96)/12))&amp;(MOD((COUNTIFS($B$2:$B453,"s",$C$2:$C453,"SER")+COUNTIFS($B$2:$B453,"s",$C$2:$C453,"PLH"))-1,12)+1),"N/A"),"")</f>
        <v/>
      </c>
      <c r="K453" s="6" t="str">
        <f>IF(AND($A453&lt;&gt;"",$B453&lt;&gt;"",$C453&lt;&gt;"",$D453&lt;&gt;"",$E453&lt;&gt;""),IF($C453="WB","Case WB Box "&amp;(INT((COUNTIFS($C$2:$C453,"WB")-1)/81)+1)&amp;": "&amp;CHAR(65+INT(MOD(COUNTIFS($C$2:$C453,"WB")-1,81)/9))&amp;(MOD(COUNTIFS($C$2:$C453,"WB")-1,9)+1),"N/A"),"")</f>
        <v/>
      </c>
      <c r="L453" s="2" t="str">
        <f t="shared" si="127"/>
        <v/>
      </c>
      <c r="M453" s="2"/>
      <c r="N453" s="2"/>
      <c r="O453" s="2"/>
      <c r="P453" s="7" t="str">
        <f t="shared" si="128"/>
        <v/>
      </c>
      <c r="Q453" s="7" t="str">
        <f t="shared" si="129"/>
        <v/>
      </c>
      <c r="R453" s="7" t="str">
        <f t="shared" si="130"/>
        <v/>
      </c>
      <c r="S453" s="7" t="str">
        <f t="shared" si="131"/>
        <v/>
      </c>
      <c r="T453" s="7" t="str">
        <f t="shared" si="132"/>
        <v/>
      </c>
      <c r="U453" s="7" t="str">
        <f t="shared" si="133"/>
        <v/>
      </c>
      <c r="V453" s="7" t="str">
        <f t="shared" si="134"/>
        <v/>
      </c>
      <c r="W453" s="7" t="str">
        <f t="shared" si="135"/>
        <v/>
      </c>
      <c r="X453" s="7" t="str">
        <f t="shared" si="136"/>
        <v/>
      </c>
      <c r="Y453" s="7" t="str">
        <f t="shared" si="137"/>
        <v/>
      </c>
      <c r="Z453">
        <f t="shared" si="138"/>
        <v>0</v>
      </c>
      <c r="AA453" t="str">
        <f t="shared" si="139"/>
        <v/>
      </c>
      <c r="AB453" t="str">
        <f t="shared" si="140"/>
        <v/>
      </c>
      <c r="AC453" t="str">
        <f t="shared" si="141"/>
        <v/>
      </c>
      <c r="AD453" t="str">
        <f t="shared" si="142"/>
        <v/>
      </c>
      <c r="AE453">
        <f t="shared" si="143"/>
        <v>0</v>
      </c>
    </row>
    <row r="454" spans="1:31" ht="15" customHeight="1" x14ac:dyDescent="0.35">
      <c r="A454" s="2"/>
      <c r="B454" s="3"/>
      <c r="C454" s="3"/>
      <c r="D454" s="4"/>
      <c r="E454" s="5"/>
      <c r="F454" s="11" t="str">
        <f t="shared" ca="1" si="126"/>
        <v/>
      </c>
      <c r="G454" s="5"/>
      <c r="H454" s="6" t="str">
        <f>IF(AND($A454&lt;&gt;"",$B454&lt;&gt;"",$C454&lt;&gt;"",$D454&lt;&gt;"",$E454&lt;&gt;""),IF(AND($B454="s",OR($C454="SER",$C454="PLH",$C454="CSF")),"Case CDI Plate "&amp;(INT(((COUNTIFS($B$2:$B454,"s",$C$2:$C454,"SER")+COUNTIFS($B$2:$B454,"s",$C$2:$C454,"PLH")+COUNTIFS($B$2:$B454,"s",$C$2:$C454,"CSF"))-1)/96)+1)&amp;": "&amp;CHAR(65+INT(MOD((COUNTIFS($B$2:$B454,"s",$C$2:$C454,"SER")+COUNTIFS($B$2:$B454,"s",$C$2:$C454,"PLH")+COUNTIFS($B$2:$B454,"s",$C$2:$C454,"CSF"))-1,96)/12))&amp;(MOD((COUNTIFS($B$2:$B454,"s",$C$2:$C454,"SER")+COUNTIFS($B$2:$B454,"s",$C$2:$C454,"PLH")+COUNTIFS($B$2:$B454,"s",$C$2:$C454,"CSF"))-1,12)+1),"N/A"),"")</f>
        <v/>
      </c>
      <c r="I454" s="6" t="str">
        <f>IF(AND($A454&lt;&gt;"",$B454&lt;&gt;"",$C454&lt;&gt;"",$D454&lt;&gt;"",$E454&lt;&gt;""),IF(AND($B454="s",OR($C454="SER",$C454="PLH",$C454="CSF")),"Case NIH Plate "&amp;(INT(((COUNTIFS($B$2:$B454,"s",$C$2:$C454,"SER")+COUNTIFS($B$2:$B454,"s",$C$2:$C454,"PLH")+COUNTIFS($B$2:$B454,"s",$C$2:$C454,"CSF"))-1)/96)+1)&amp;": "&amp;CHAR(65+INT(MOD((COUNTIFS($B$2:$B454,"s",$C$2:$C454,"SER")+COUNTIFS($B$2:$B454,"s",$C$2:$C454,"PLH")+COUNTIFS($B$2:$B454,"s",$C$2:$C454,"CSF"))-1,96)/12))&amp;(MOD((COUNTIFS($B$2:$B454,"s",$C$2:$C454,"SER")+COUNTIFS($B$2:$B454,"s",$C$2:$C454,"PLH")+COUNTIFS($B$2:$B454,"s",$C$2:$C454,"CSF"))-1,12)+1),"N/A"),"")</f>
        <v/>
      </c>
      <c r="J454" s="6" t="str">
        <f>IF(AND($A454&lt;&gt;"",$B454&lt;&gt;"",$C454&lt;&gt;"",$D454&lt;&gt;"",$E454&lt;&gt;""),IF(AND($B454="s",OR($C454="SER",$C454="PLH")),"Case MAX Planck Plate "&amp;(INT(((COUNTIFS($B$2:$B454,"s",$C$2:$C454,"SER")+COUNTIFS($B$2:$B454,"s",$C$2:$C454,"PLH"))-1)/96)+1)&amp;": "&amp;CHAR(65+INT(MOD((COUNTIFS($B$2:$B454,"s",$C$2:$C454,"SER")+COUNTIFS($B$2:$B454,"s",$C$2:$C454,"PLH"))-1,96)/12))&amp;(MOD((COUNTIFS($B$2:$B454,"s",$C$2:$C454,"SER")+COUNTIFS($B$2:$B454,"s",$C$2:$C454,"PLH"))-1,12)+1),"N/A"),"")</f>
        <v/>
      </c>
      <c r="K454" s="6" t="str">
        <f>IF(AND($A454&lt;&gt;"",$B454&lt;&gt;"",$C454&lt;&gt;"",$D454&lt;&gt;"",$E454&lt;&gt;""),IF($C454="WB","Case WB Box "&amp;(INT((COUNTIFS($C$2:$C454,"WB")-1)/81)+1)&amp;": "&amp;CHAR(65+INT(MOD(COUNTIFS($C$2:$C454,"WB")-1,81)/9))&amp;(MOD(COUNTIFS($C$2:$C454,"WB")-1,9)+1),"N/A"),"")</f>
        <v/>
      </c>
      <c r="L454" s="2" t="str">
        <f t="shared" si="127"/>
        <v/>
      </c>
      <c r="M454" s="2"/>
      <c r="N454" s="2"/>
      <c r="O454" s="2"/>
      <c r="P454" s="7" t="str">
        <f t="shared" si="128"/>
        <v/>
      </c>
      <c r="Q454" s="7" t="str">
        <f t="shared" si="129"/>
        <v/>
      </c>
      <c r="R454" s="7" t="str">
        <f t="shared" si="130"/>
        <v/>
      </c>
      <c r="S454" s="7" t="str">
        <f t="shared" si="131"/>
        <v/>
      </c>
      <c r="T454" s="7" t="str">
        <f t="shared" si="132"/>
        <v/>
      </c>
      <c r="U454" s="7" t="str">
        <f t="shared" si="133"/>
        <v/>
      </c>
      <c r="V454" s="7" t="str">
        <f t="shared" si="134"/>
        <v/>
      </c>
      <c r="W454" s="7" t="str">
        <f t="shared" si="135"/>
        <v/>
      </c>
      <c r="X454" s="7" t="str">
        <f t="shared" si="136"/>
        <v/>
      </c>
      <c r="Y454" s="7" t="str">
        <f t="shared" si="137"/>
        <v/>
      </c>
      <c r="Z454">
        <f t="shared" si="138"/>
        <v>0</v>
      </c>
      <c r="AA454" t="str">
        <f t="shared" si="139"/>
        <v/>
      </c>
      <c r="AB454" t="str">
        <f t="shared" si="140"/>
        <v/>
      </c>
      <c r="AC454" t="str">
        <f t="shared" si="141"/>
        <v/>
      </c>
      <c r="AD454" t="str">
        <f t="shared" si="142"/>
        <v/>
      </c>
      <c r="AE454">
        <f t="shared" si="143"/>
        <v>0</v>
      </c>
    </row>
    <row r="455" spans="1:31" ht="15" customHeight="1" x14ac:dyDescent="0.35">
      <c r="A455" s="2"/>
      <c r="B455" s="3"/>
      <c r="C455" s="3"/>
      <c r="D455" s="4"/>
      <c r="E455" s="5"/>
      <c r="F455" s="11" t="str">
        <f t="shared" ca="1" si="126"/>
        <v/>
      </c>
      <c r="G455" s="5"/>
      <c r="H455" s="6" t="str">
        <f>IF(AND($A455&lt;&gt;"",$B455&lt;&gt;"",$C455&lt;&gt;"",$D455&lt;&gt;"",$E455&lt;&gt;""),IF(AND($B455="s",OR($C455="SER",$C455="PLH",$C455="CSF")),"Case CDI Plate "&amp;(INT(((COUNTIFS($B$2:$B455,"s",$C$2:$C455,"SER")+COUNTIFS($B$2:$B455,"s",$C$2:$C455,"PLH")+COUNTIFS($B$2:$B455,"s",$C$2:$C455,"CSF"))-1)/96)+1)&amp;": "&amp;CHAR(65+INT(MOD((COUNTIFS($B$2:$B455,"s",$C$2:$C455,"SER")+COUNTIFS($B$2:$B455,"s",$C$2:$C455,"PLH")+COUNTIFS($B$2:$B455,"s",$C$2:$C455,"CSF"))-1,96)/12))&amp;(MOD((COUNTIFS($B$2:$B455,"s",$C$2:$C455,"SER")+COUNTIFS($B$2:$B455,"s",$C$2:$C455,"PLH")+COUNTIFS($B$2:$B455,"s",$C$2:$C455,"CSF"))-1,12)+1),"N/A"),"")</f>
        <v/>
      </c>
      <c r="I455" s="6" t="str">
        <f>IF(AND($A455&lt;&gt;"",$B455&lt;&gt;"",$C455&lt;&gt;"",$D455&lt;&gt;"",$E455&lt;&gt;""),IF(AND($B455="s",OR($C455="SER",$C455="PLH",$C455="CSF")),"Case NIH Plate "&amp;(INT(((COUNTIFS($B$2:$B455,"s",$C$2:$C455,"SER")+COUNTIFS($B$2:$B455,"s",$C$2:$C455,"PLH")+COUNTIFS($B$2:$B455,"s",$C$2:$C455,"CSF"))-1)/96)+1)&amp;": "&amp;CHAR(65+INT(MOD((COUNTIFS($B$2:$B455,"s",$C$2:$C455,"SER")+COUNTIFS($B$2:$B455,"s",$C$2:$C455,"PLH")+COUNTIFS($B$2:$B455,"s",$C$2:$C455,"CSF"))-1,96)/12))&amp;(MOD((COUNTIFS($B$2:$B455,"s",$C$2:$C455,"SER")+COUNTIFS($B$2:$B455,"s",$C$2:$C455,"PLH")+COUNTIFS($B$2:$B455,"s",$C$2:$C455,"CSF"))-1,12)+1),"N/A"),"")</f>
        <v/>
      </c>
      <c r="J455" s="6" t="str">
        <f>IF(AND($A455&lt;&gt;"",$B455&lt;&gt;"",$C455&lt;&gt;"",$D455&lt;&gt;"",$E455&lt;&gt;""),IF(AND($B455="s",OR($C455="SER",$C455="PLH")),"Case MAX Planck Plate "&amp;(INT(((COUNTIFS($B$2:$B455,"s",$C$2:$C455,"SER")+COUNTIFS($B$2:$B455,"s",$C$2:$C455,"PLH"))-1)/96)+1)&amp;": "&amp;CHAR(65+INT(MOD((COUNTIFS($B$2:$B455,"s",$C$2:$C455,"SER")+COUNTIFS($B$2:$B455,"s",$C$2:$C455,"PLH"))-1,96)/12))&amp;(MOD((COUNTIFS($B$2:$B455,"s",$C$2:$C455,"SER")+COUNTIFS($B$2:$B455,"s",$C$2:$C455,"PLH"))-1,12)+1),"N/A"),"")</f>
        <v/>
      </c>
      <c r="K455" s="6" t="str">
        <f>IF(AND($A455&lt;&gt;"",$B455&lt;&gt;"",$C455&lt;&gt;"",$D455&lt;&gt;"",$E455&lt;&gt;""),IF($C455="WB","Case WB Box "&amp;(INT((COUNTIFS($C$2:$C455,"WB")-1)/81)+1)&amp;": "&amp;CHAR(65+INT(MOD(COUNTIFS($C$2:$C455,"WB")-1,81)/9))&amp;(MOD(COUNTIFS($C$2:$C455,"WB")-1,9)+1),"N/A"),"")</f>
        <v/>
      </c>
      <c r="L455" s="2" t="str">
        <f t="shared" si="127"/>
        <v/>
      </c>
      <c r="M455" s="2"/>
      <c r="N455" s="2"/>
      <c r="O455" s="2"/>
      <c r="P455" s="7" t="str">
        <f t="shared" si="128"/>
        <v/>
      </c>
      <c r="Q455" s="7" t="str">
        <f t="shared" si="129"/>
        <v/>
      </c>
      <c r="R455" s="7" t="str">
        <f t="shared" si="130"/>
        <v/>
      </c>
      <c r="S455" s="7" t="str">
        <f t="shared" si="131"/>
        <v/>
      </c>
      <c r="T455" s="7" t="str">
        <f t="shared" si="132"/>
        <v/>
      </c>
      <c r="U455" s="7" t="str">
        <f t="shared" si="133"/>
        <v/>
      </c>
      <c r="V455" s="7" t="str">
        <f t="shared" si="134"/>
        <v/>
      </c>
      <c r="W455" s="7" t="str">
        <f t="shared" si="135"/>
        <v/>
      </c>
      <c r="X455" s="7" t="str">
        <f t="shared" si="136"/>
        <v/>
      </c>
      <c r="Y455" s="7" t="str">
        <f t="shared" si="137"/>
        <v/>
      </c>
      <c r="Z455">
        <f t="shared" si="138"/>
        <v>0</v>
      </c>
      <c r="AA455" t="str">
        <f t="shared" si="139"/>
        <v/>
      </c>
      <c r="AB455" t="str">
        <f t="shared" si="140"/>
        <v/>
      </c>
      <c r="AC455" t="str">
        <f t="shared" si="141"/>
        <v/>
      </c>
      <c r="AD455" t="str">
        <f t="shared" si="142"/>
        <v/>
      </c>
      <c r="AE455">
        <f t="shared" si="143"/>
        <v>0</v>
      </c>
    </row>
    <row r="456" spans="1:31" ht="15" customHeight="1" x14ac:dyDescent="0.35">
      <c r="A456" s="2"/>
      <c r="B456" s="3"/>
      <c r="C456" s="3"/>
      <c r="D456" s="4"/>
      <c r="E456" s="5"/>
      <c r="F456" s="11" t="str">
        <f t="shared" ca="1" si="126"/>
        <v/>
      </c>
      <c r="G456" s="5"/>
      <c r="H456" s="6" t="str">
        <f>IF(AND($A456&lt;&gt;"",$B456&lt;&gt;"",$C456&lt;&gt;"",$D456&lt;&gt;"",$E456&lt;&gt;""),IF(AND($B456="s",OR($C456="SER",$C456="PLH",$C456="CSF")),"Case CDI Plate "&amp;(INT(((COUNTIFS($B$2:$B456,"s",$C$2:$C456,"SER")+COUNTIFS($B$2:$B456,"s",$C$2:$C456,"PLH")+COUNTIFS($B$2:$B456,"s",$C$2:$C456,"CSF"))-1)/96)+1)&amp;": "&amp;CHAR(65+INT(MOD((COUNTIFS($B$2:$B456,"s",$C$2:$C456,"SER")+COUNTIFS($B$2:$B456,"s",$C$2:$C456,"PLH")+COUNTIFS($B$2:$B456,"s",$C$2:$C456,"CSF"))-1,96)/12))&amp;(MOD((COUNTIFS($B$2:$B456,"s",$C$2:$C456,"SER")+COUNTIFS($B$2:$B456,"s",$C$2:$C456,"PLH")+COUNTIFS($B$2:$B456,"s",$C$2:$C456,"CSF"))-1,12)+1),"N/A"),"")</f>
        <v/>
      </c>
      <c r="I456" s="6" t="str">
        <f>IF(AND($A456&lt;&gt;"",$B456&lt;&gt;"",$C456&lt;&gt;"",$D456&lt;&gt;"",$E456&lt;&gt;""),IF(AND($B456="s",OR($C456="SER",$C456="PLH",$C456="CSF")),"Case NIH Plate "&amp;(INT(((COUNTIFS($B$2:$B456,"s",$C$2:$C456,"SER")+COUNTIFS($B$2:$B456,"s",$C$2:$C456,"PLH")+COUNTIFS($B$2:$B456,"s",$C$2:$C456,"CSF"))-1)/96)+1)&amp;": "&amp;CHAR(65+INT(MOD((COUNTIFS($B$2:$B456,"s",$C$2:$C456,"SER")+COUNTIFS($B$2:$B456,"s",$C$2:$C456,"PLH")+COUNTIFS($B$2:$B456,"s",$C$2:$C456,"CSF"))-1,96)/12))&amp;(MOD((COUNTIFS($B$2:$B456,"s",$C$2:$C456,"SER")+COUNTIFS($B$2:$B456,"s",$C$2:$C456,"PLH")+COUNTIFS($B$2:$B456,"s",$C$2:$C456,"CSF"))-1,12)+1),"N/A"),"")</f>
        <v/>
      </c>
      <c r="J456" s="6" t="str">
        <f>IF(AND($A456&lt;&gt;"",$B456&lt;&gt;"",$C456&lt;&gt;"",$D456&lt;&gt;"",$E456&lt;&gt;""),IF(AND($B456="s",OR($C456="SER",$C456="PLH")),"Case MAX Planck Plate "&amp;(INT(((COUNTIFS($B$2:$B456,"s",$C$2:$C456,"SER")+COUNTIFS($B$2:$B456,"s",$C$2:$C456,"PLH"))-1)/96)+1)&amp;": "&amp;CHAR(65+INT(MOD((COUNTIFS($B$2:$B456,"s",$C$2:$C456,"SER")+COUNTIFS($B$2:$B456,"s",$C$2:$C456,"PLH"))-1,96)/12))&amp;(MOD((COUNTIFS($B$2:$B456,"s",$C$2:$C456,"SER")+COUNTIFS($B$2:$B456,"s",$C$2:$C456,"PLH"))-1,12)+1),"N/A"),"")</f>
        <v/>
      </c>
      <c r="K456" s="6" t="str">
        <f>IF(AND($A456&lt;&gt;"",$B456&lt;&gt;"",$C456&lt;&gt;"",$D456&lt;&gt;"",$E456&lt;&gt;""),IF($C456="WB","Case WB Box "&amp;(INT((COUNTIFS($C$2:$C456,"WB")-1)/81)+1)&amp;": "&amp;CHAR(65+INT(MOD(COUNTIFS($C$2:$C456,"WB")-1,81)/9))&amp;(MOD(COUNTIFS($C$2:$C456,"WB")-1,9)+1),"N/A"),"")</f>
        <v/>
      </c>
      <c r="L456" s="2" t="str">
        <f t="shared" si="127"/>
        <v/>
      </c>
      <c r="M456" s="2"/>
      <c r="N456" s="2"/>
      <c r="O456" s="2"/>
      <c r="P456" s="7" t="str">
        <f t="shared" si="128"/>
        <v/>
      </c>
      <c r="Q456" s="7" t="str">
        <f t="shared" si="129"/>
        <v/>
      </c>
      <c r="R456" s="7" t="str">
        <f t="shared" si="130"/>
        <v/>
      </c>
      <c r="S456" s="7" t="str">
        <f t="shared" si="131"/>
        <v/>
      </c>
      <c r="T456" s="7" t="str">
        <f t="shared" si="132"/>
        <v/>
      </c>
      <c r="U456" s="7" t="str">
        <f t="shared" si="133"/>
        <v/>
      </c>
      <c r="V456" s="7" t="str">
        <f t="shared" si="134"/>
        <v/>
      </c>
      <c r="W456" s="7" t="str">
        <f t="shared" si="135"/>
        <v/>
      </c>
      <c r="X456" s="7" t="str">
        <f t="shared" si="136"/>
        <v/>
      </c>
      <c r="Y456" s="7" t="str">
        <f t="shared" si="137"/>
        <v/>
      </c>
      <c r="Z456">
        <f t="shared" si="138"/>
        <v>0</v>
      </c>
      <c r="AA456" t="str">
        <f t="shared" si="139"/>
        <v/>
      </c>
      <c r="AB456" t="str">
        <f t="shared" si="140"/>
        <v/>
      </c>
      <c r="AC456" t="str">
        <f t="shared" si="141"/>
        <v/>
      </c>
      <c r="AD456" t="str">
        <f t="shared" si="142"/>
        <v/>
      </c>
      <c r="AE456">
        <f t="shared" si="143"/>
        <v>0</v>
      </c>
    </row>
    <row r="457" spans="1:31" ht="15" customHeight="1" x14ac:dyDescent="0.35">
      <c r="A457" s="2"/>
      <c r="B457" s="3"/>
      <c r="C457" s="3"/>
      <c r="D457" s="4"/>
      <c r="E457" s="5"/>
      <c r="F457" s="11" t="str">
        <f t="shared" ca="1" si="126"/>
        <v/>
      </c>
      <c r="G457" s="5"/>
      <c r="H457" s="6" t="str">
        <f>IF(AND($A457&lt;&gt;"",$B457&lt;&gt;"",$C457&lt;&gt;"",$D457&lt;&gt;"",$E457&lt;&gt;""),IF(AND($B457="s",OR($C457="SER",$C457="PLH",$C457="CSF")),"Case CDI Plate "&amp;(INT(((COUNTIFS($B$2:$B457,"s",$C$2:$C457,"SER")+COUNTIFS($B$2:$B457,"s",$C$2:$C457,"PLH")+COUNTIFS($B$2:$B457,"s",$C$2:$C457,"CSF"))-1)/96)+1)&amp;": "&amp;CHAR(65+INT(MOD((COUNTIFS($B$2:$B457,"s",$C$2:$C457,"SER")+COUNTIFS($B$2:$B457,"s",$C$2:$C457,"PLH")+COUNTIFS($B$2:$B457,"s",$C$2:$C457,"CSF"))-1,96)/12))&amp;(MOD((COUNTIFS($B$2:$B457,"s",$C$2:$C457,"SER")+COUNTIFS($B$2:$B457,"s",$C$2:$C457,"PLH")+COUNTIFS($B$2:$B457,"s",$C$2:$C457,"CSF"))-1,12)+1),"N/A"),"")</f>
        <v/>
      </c>
      <c r="I457" s="6" t="str">
        <f>IF(AND($A457&lt;&gt;"",$B457&lt;&gt;"",$C457&lt;&gt;"",$D457&lt;&gt;"",$E457&lt;&gt;""),IF(AND($B457="s",OR($C457="SER",$C457="PLH",$C457="CSF")),"Case NIH Plate "&amp;(INT(((COUNTIFS($B$2:$B457,"s",$C$2:$C457,"SER")+COUNTIFS($B$2:$B457,"s",$C$2:$C457,"PLH")+COUNTIFS($B$2:$B457,"s",$C$2:$C457,"CSF"))-1)/96)+1)&amp;": "&amp;CHAR(65+INT(MOD((COUNTIFS($B$2:$B457,"s",$C$2:$C457,"SER")+COUNTIFS($B$2:$B457,"s",$C$2:$C457,"PLH")+COUNTIFS($B$2:$B457,"s",$C$2:$C457,"CSF"))-1,96)/12))&amp;(MOD((COUNTIFS($B$2:$B457,"s",$C$2:$C457,"SER")+COUNTIFS($B$2:$B457,"s",$C$2:$C457,"PLH")+COUNTIFS($B$2:$B457,"s",$C$2:$C457,"CSF"))-1,12)+1),"N/A"),"")</f>
        <v/>
      </c>
      <c r="J457" s="6" t="str">
        <f>IF(AND($A457&lt;&gt;"",$B457&lt;&gt;"",$C457&lt;&gt;"",$D457&lt;&gt;"",$E457&lt;&gt;""),IF(AND($B457="s",OR($C457="SER",$C457="PLH")),"Case MAX Planck Plate "&amp;(INT(((COUNTIFS($B$2:$B457,"s",$C$2:$C457,"SER")+COUNTIFS($B$2:$B457,"s",$C$2:$C457,"PLH"))-1)/96)+1)&amp;": "&amp;CHAR(65+INT(MOD((COUNTIFS($B$2:$B457,"s",$C$2:$C457,"SER")+COUNTIFS($B$2:$B457,"s",$C$2:$C457,"PLH"))-1,96)/12))&amp;(MOD((COUNTIFS($B$2:$B457,"s",$C$2:$C457,"SER")+COUNTIFS($B$2:$B457,"s",$C$2:$C457,"PLH"))-1,12)+1),"N/A"),"")</f>
        <v/>
      </c>
      <c r="K457" s="6" t="str">
        <f>IF(AND($A457&lt;&gt;"",$B457&lt;&gt;"",$C457&lt;&gt;"",$D457&lt;&gt;"",$E457&lt;&gt;""),IF($C457="WB","Case WB Box "&amp;(INT((COUNTIFS($C$2:$C457,"WB")-1)/81)+1)&amp;": "&amp;CHAR(65+INT(MOD(COUNTIFS($C$2:$C457,"WB")-1,81)/9))&amp;(MOD(COUNTIFS($C$2:$C457,"WB")-1,9)+1),"N/A"),"")</f>
        <v/>
      </c>
      <c r="L457" s="2" t="str">
        <f t="shared" si="127"/>
        <v/>
      </c>
      <c r="M457" s="2"/>
      <c r="N457" s="2"/>
      <c r="O457" s="2"/>
      <c r="P457" s="7" t="str">
        <f t="shared" si="128"/>
        <v/>
      </c>
      <c r="Q457" s="7" t="str">
        <f t="shared" si="129"/>
        <v/>
      </c>
      <c r="R457" s="7" t="str">
        <f t="shared" si="130"/>
        <v/>
      </c>
      <c r="S457" s="7" t="str">
        <f t="shared" si="131"/>
        <v/>
      </c>
      <c r="T457" s="7" t="str">
        <f t="shared" si="132"/>
        <v/>
      </c>
      <c r="U457" s="7" t="str">
        <f t="shared" si="133"/>
        <v/>
      </c>
      <c r="V457" s="7" t="str">
        <f t="shared" si="134"/>
        <v/>
      </c>
      <c r="W457" s="7" t="str">
        <f t="shared" si="135"/>
        <v/>
      </c>
      <c r="X457" s="7" t="str">
        <f t="shared" si="136"/>
        <v/>
      </c>
      <c r="Y457" s="7" t="str">
        <f t="shared" si="137"/>
        <v/>
      </c>
      <c r="Z457">
        <f t="shared" si="138"/>
        <v>0</v>
      </c>
      <c r="AA457" t="str">
        <f t="shared" si="139"/>
        <v/>
      </c>
      <c r="AB457" t="str">
        <f t="shared" si="140"/>
        <v/>
      </c>
      <c r="AC457" t="str">
        <f t="shared" si="141"/>
        <v/>
      </c>
      <c r="AD457" t="str">
        <f t="shared" si="142"/>
        <v/>
      </c>
      <c r="AE457">
        <f t="shared" si="143"/>
        <v>0</v>
      </c>
    </row>
    <row r="458" spans="1:31" ht="15" customHeight="1" x14ac:dyDescent="0.35">
      <c r="A458" s="2"/>
      <c r="B458" s="3"/>
      <c r="C458" s="3"/>
      <c r="D458" s="4"/>
      <c r="E458" s="5"/>
      <c r="F458" s="11" t="str">
        <f t="shared" ca="1" si="126"/>
        <v/>
      </c>
      <c r="G458" s="5"/>
      <c r="H458" s="6" t="str">
        <f>IF(AND($A458&lt;&gt;"",$B458&lt;&gt;"",$C458&lt;&gt;"",$D458&lt;&gt;"",$E458&lt;&gt;""),IF(AND($B458="s",OR($C458="SER",$C458="PLH",$C458="CSF")),"Case CDI Plate "&amp;(INT(((COUNTIFS($B$2:$B458,"s",$C$2:$C458,"SER")+COUNTIFS($B$2:$B458,"s",$C$2:$C458,"PLH")+COUNTIFS($B$2:$B458,"s",$C$2:$C458,"CSF"))-1)/96)+1)&amp;": "&amp;CHAR(65+INT(MOD((COUNTIFS($B$2:$B458,"s",$C$2:$C458,"SER")+COUNTIFS($B$2:$B458,"s",$C$2:$C458,"PLH")+COUNTIFS($B$2:$B458,"s",$C$2:$C458,"CSF"))-1,96)/12))&amp;(MOD((COUNTIFS($B$2:$B458,"s",$C$2:$C458,"SER")+COUNTIFS($B$2:$B458,"s",$C$2:$C458,"PLH")+COUNTIFS($B$2:$B458,"s",$C$2:$C458,"CSF"))-1,12)+1),"N/A"),"")</f>
        <v/>
      </c>
      <c r="I458" s="6" t="str">
        <f>IF(AND($A458&lt;&gt;"",$B458&lt;&gt;"",$C458&lt;&gt;"",$D458&lt;&gt;"",$E458&lt;&gt;""),IF(AND($B458="s",OR($C458="SER",$C458="PLH",$C458="CSF")),"Case NIH Plate "&amp;(INT(((COUNTIFS($B$2:$B458,"s",$C$2:$C458,"SER")+COUNTIFS($B$2:$B458,"s",$C$2:$C458,"PLH")+COUNTIFS($B$2:$B458,"s",$C$2:$C458,"CSF"))-1)/96)+1)&amp;": "&amp;CHAR(65+INT(MOD((COUNTIFS($B$2:$B458,"s",$C$2:$C458,"SER")+COUNTIFS($B$2:$B458,"s",$C$2:$C458,"PLH")+COUNTIFS($B$2:$B458,"s",$C$2:$C458,"CSF"))-1,96)/12))&amp;(MOD((COUNTIFS($B$2:$B458,"s",$C$2:$C458,"SER")+COUNTIFS($B$2:$B458,"s",$C$2:$C458,"PLH")+COUNTIFS($B$2:$B458,"s",$C$2:$C458,"CSF"))-1,12)+1),"N/A"),"")</f>
        <v/>
      </c>
      <c r="J458" s="6" t="str">
        <f>IF(AND($A458&lt;&gt;"",$B458&lt;&gt;"",$C458&lt;&gt;"",$D458&lt;&gt;"",$E458&lt;&gt;""),IF(AND($B458="s",OR($C458="SER",$C458="PLH")),"Case MAX Planck Plate "&amp;(INT(((COUNTIFS($B$2:$B458,"s",$C$2:$C458,"SER")+COUNTIFS($B$2:$B458,"s",$C$2:$C458,"PLH"))-1)/96)+1)&amp;": "&amp;CHAR(65+INT(MOD((COUNTIFS($B$2:$B458,"s",$C$2:$C458,"SER")+COUNTIFS($B$2:$B458,"s",$C$2:$C458,"PLH"))-1,96)/12))&amp;(MOD((COUNTIFS($B$2:$B458,"s",$C$2:$C458,"SER")+COUNTIFS($B$2:$B458,"s",$C$2:$C458,"PLH"))-1,12)+1),"N/A"),"")</f>
        <v/>
      </c>
      <c r="K458" s="6" t="str">
        <f>IF(AND($A458&lt;&gt;"",$B458&lt;&gt;"",$C458&lt;&gt;"",$D458&lt;&gt;"",$E458&lt;&gt;""),IF($C458="WB","Case WB Box "&amp;(INT((COUNTIFS($C$2:$C458,"WB")-1)/81)+1)&amp;": "&amp;CHAR(65+INT(MOD(COUNTIFS($C$2:$C458,"WB")-1,81)/9))&amp;(MOD(COUNTIFS($C$2:$C458,"WB")-1,9)+1),"N/A"),"")</f>
        <v/>
      </c>
      <c r="L458" s="2" t="str">
        <f t="shared" si="127"/>
        <v/>
      </c>
      <c r="M458" s="2"/>
      <c r="N458" s="2"/>
      <c r="O458" s="2"/>
      <c r="P458" s="7" t="str">
        <f t="shared" si="128"/>
        <v/>
      </c>
      <c r="Q458" s="7" t="str">
        <f t="shared" si="129"/>
        <v/>
      </c>
      <c r="R458" s="7" t="str">
        <f t="shared" si="130"/>
        <v/>
      </c>
      <c r="S458" s="7" t="str">
        <f t="shared" si="131"/>
        <v/>
      </c>
      <c r="T458" s="7" t="str">
        <f t="shared" si="132"/>
        <v/>
      </c>
      <c r="U458" s="7" t="str">
        <f t="shared" si="133"/>
        <v/>
      </c>
      <c r="V458" s="7" t="str">
        <f t="shared" si="134"/>
        <v/>
      </c>
      <c r="W458" s="7" t="str">
        <f t="shared" si="135"/>
        <v/>
      </c>
      <c r="X458" s="7" t="str">
        <f t="shared" si="136"/>
        <v/>
      </c>
      <c r="Y458" s="7" t="str">
        <f t="shared" si="137"/>
        <v/>
      </c>
      <c r="Z458">
        <f t="shared" si="138"/>
        <v>0</v>
      </c>
      <c r="AA458" t="str">
        <f t="shared" si="139"/>
        <v/>
      </c>
      <c r="AB458" t="str">
        <f t="shared" si="140"/>
        <v/>
      </c>
      <c r="AC458" t="str">
        <f t="shared" si="141"/>
        <v/>
      </c>
      <c r="AD458" t="str">
        <f t="shared" si="142"/>
        <v/>
      </c>
      <c r="AE458">
        <f t="shared" si="143"/>
        <v>0</v>
      </c>
    </row>
    <row r="459" spans="1:31" ht="15" customHeight="1" x14ac:dyDescent="0.35">
      <c r="A459" s="2"/>
      <c r="B459" s="3"/>
      <c r="C459" s="3"/>
      <c r="D459" s="4"/>
      <c r="E459" s="5"/>
      <c r="F459" s="11" t="str">
        <f t="shared" ca="1" si="126"/>
        <v/>
      </c>
      <c r="G459" s="5"/>
      <c r="H459" s="6" t="str">
        <f>IF(AND($A459&lt;&gt;"",$B459&lt;&gt;"",$C459&lt;&gt;"",$D459&lt;&gt;"",$E459&lt;&gt;""),IF(AND($B459="s",OR($C459="SER",$C459="PLH",$C459="CSF")),"Case CDI Plate "&amp;(INT(((COUNTIFS($B$2:$B459,"s",$C$2:$C459,"SER")+COUNTIFS($B$2:$B459,"s",$C$2:$C459,"PLH")+COUNTIFS($B$2:$B459,"s",$C$2:$C459,"CSF"))-1)/96)+1)&amp;": "&amp;CHAR(65+INT(MOD((COUNTIFS($B$2:$B459,"s",$C$2:$C459,"SER")+COUNTIFS($B$2:$B459,"s",$C$2:$C459,"PLH")+COUNTIFS($B$2:$B459,"s",$C$2:$C459,"CSF"))-1,96)/12))&amp;(MOD((COUNTIFS($B$2:$B459,"s",$C$2:$C459,"SER")+COUNTIFS($B$2:$B459,"s",$C$2:$C459,"PLH")+COUNTIFS($B$2:$B459,"s",$C$2:$C459,"CSF"))-1,12)+1),"N/A"),"")</f>
        <v/>
      </c>
      <c r="I459" s="6" t="str">
        <f>IF(AND($A459&lt;&gt;"",$B459&lt;&gt;"",$C459&lt;&gt;"",$D459&lt;&gt;"",$E459&lt;&gt;""),IF(AND($B459="s",OR($C459="SER",$C459="PLH",$C459="CSF")),"Case NIH Plate "&amp;(INT(((COUNTIFS($B$2:$B459,"s",$C$2:$C459,"SER")+COUNTIFS($B$2:$B459,"s",$C$2:$C459,"PLH")+COUNTIFS($B$2:$B459,"s",$C$2:$C459,"CSF"))-1)/96)+1)&amp;": "&amp;CHAR(65+INT(MOD((COUNTIFS($B$2:$B459,"s",$C$2:$C459,"SER")+COUNTIFS($B$2:$B459,"s",$C$2:$C459,"PLH")+COUNTIFS($B$2:$B459,"s",$C$2:$C459,"CSF"))-1,96)/12))&amp;(MOD((COUNTIFS($B$2:$B459,"s",$C$2:$C459,"SER")+COUNTIFS($B$2:$B459,"s",$C$2:$C459,"PLH")+COUNTIFS($B$2:$B459,"s",$C$2:$C459,"CSF"))-1,12)+1),"N/A"),"")</f>
        <v/>
      </c>
      <c r="J459" s="6" t="str">
        <f>IF(AND($A459&lt;&gt;"",$B459&lt;&gt;"",$C459&lt;&gt;"",$D459&lt;&gt;"",$E459&lt;&gt;""),IF(AND($B459="s",OR($C459="SER",$C459="PLH")),"Case MAX Planck Plate "&amp;(INT(((COUNTIFS($B$2:$B459,"s",$C$2:$C459,"SER")+COUNTIFS($B$2:$B459,"s",$C$2:$C459,"PLH"))-1)/96)+1)&amp;": "&amp;CHAR(65+INT(MOD((COUNTIFS($B$2:$B459,"s",$C$2:$C459,"SER")+COUNTIFS($B$2:$B459,"s",$C$2:$C459,"PLH"))-1,96)/12))&amp;(MOD((COUNTIFS($B$2:$B459,"s",$C$2:$C459,"SER")+COUNTIFS($B$2:$B459,"s",$C$2:$C459,"PLH"))-1,12)+1),"N/A"),"")</f>
        <v/>
      </c>
      <c r="K459" s="6" t="str">
        <f>IF(AND($A459&lt;&gt;"",$B459&lt;&gt;"",$C459&lt;&gt;"",$D459&lt;&gt;"",$E459&lt;&gt;""),IF($C459="WB","Case WB Box "&amp;(INT((COUNTIFS($C$2:$C459,"WB")-1)/81)+1)&amp;": "&amp;CHAR(65+INT(MOD(COUNTIFS($C$2:$C459,"WB")-1,81)/9))&amp;(MOD(COUNTIFS($C$2:$C459,"WB")-1,9)+1),"N/A"),"")</f>
        <v/>
      </c>
      <c r="L459" s="2" t="str">
        <f t="shared" si="127"/>
        <v/>
      </c>
      <c r="M459" s="2"/>
      <c r="N459" s="2"/>
      <c r="O459" s="2"/>
      <c r="P459" s="7" t="str">
        <f t="shared" si="128"/>
        <v/>
      </c>
      <c r="Q459" s="7" t="str">
        <f t="shared" si="129"/>
        <v/>
      </c>
      <c r="R459" s="7" t="str">
        <f t="shared" si="130"/>
        <v/>
      </c>
      <c r="S459" s="7" t="str">
        <f t="shared" si="131"/>
        <v/>
      </c>
      <c r="T459" s="7" t="str">
        <f t="shared" si="132"/>
        <v/>
      </c>
      <c r="U459" s="7" t="str">
        <f t="shared" si="133"/>
        <v/>
      </c>
      <c r="V459" s="7" t="str">
        <f t="shared" si="134"/>
        <v/>
      </c>
      <c r="W459" s="7" t="str">
        <f t="shared" si="135"/>
        <v/>
      </c>
      <c r="X459" s="7" t="str">
        <f t="shared" si="136"/>
        <v/>
      </c>
      <c r="Y459" s="7" t="str">
        <f t="shared" si="137"/>
        <v/>
      </c>
      <c r="Z459">
        <f t="shared" si="138"/>
        <v>0</v>
      </c>
      <c r="AA459" t="str">
        <f t="shared" si="139"/>
        <v/>
      </c>
      <c r="AB459" t="str">
        <f t="shared" si="140"/>
        <v/>
      </c>
      <c r="AC459" t="str">
        <f t="shared" si="141"/>
        <v/>
      </c>
      <c r="AD459" t="str">
        <f t="shared" si="142"/>
        <v/>
      </c>
      <c r="AE459">
        <f t="shared" si="143"/>
        <v>0</v>
      </c>
    </row>
    <row r="460" spans="1:31" ht="15" customHeight="1" x14ac:dyDescent="0.35">
      <c r="A460" s="2"/>
      <c r="B460" s="3"/>
      <c r="C460" s="3"/>
      <c r="D460" s="4"/>
      <c r="E460" s="5"/>
      <c r="F460" s="11" t="str">
        <f t="shared" ca="1" si="126"/>
        <v/>
      </c>
      <c r="G460" s="5"/>
      <c r="H460" s="6" t="str">
        <f>IF(AND($A460&lt;&gt;"",$B460&lt;&gt;"",$C460&lt;&gt;"",$D460&lt;&gt;"",$E460&lt;&gt;""),IF(AND($B460="s",OR($C460="SER",$C460="PLH",$C460="CSF")),"Case CDI Plate "&amp;(INT(((COUNTIFS($B$2:$B460,"s",$C$2:$C460,"SER")+COUNTIFS($B$2:$B460,"s",$C$2:$C460,"PLH")+COUNTIFS($B$2:$B460,"s",$C$2:$C460,"CSF"))-1)/96)+1)&amp;": "&amp;CHAR(65+INT(MOD((COUNTIFS($B$2:$B460,"s",$C$2:$C460,"SER")+COUNTIFS($B$2:$B460,"s",$C$2:$C460,"PLH")+COUNTIFS($B$2:$B460,"s",$C$2:$C460,"CSF"))-1,96)/12))&amp;(MOD((COUNTIFS($B$2:$B460,"s",$C$2:$C460,"SER")+COUNTIFS($B$2:$B460,"s",$C$2:$C460,"PLH")+COUNTIFS($B$2:$B460,"s",$C$2:$C460,"CSF"))-1,12)+1),"N/A"),"")</f>
        <v/>
      </c>
      <c r="I460" s="6" t="str">
        <f>IF(AND($A460&lt;&gt;"",$B460&lt;&gt;"",$C460&lt;&gt;"",$D460&lt;&gt;"",$E460&lt;&gt;""),IF(AND($B460="s",OR($C460="SER",$C460="PLH",$C460="CSF")),"Case NIH Plate "&amp;(INT(((COUNTIFS($B$2:$B460,"s",$C$2:$C460,"SER")+COUNTIFS($B$2:$B460,"s",$C$2:$C460,"PLH")+COUNTIFS($B$2:$B460,"s",$C$2:$C460,"CSF"))-1)/96)+1)&amp;": "&amp;CHAR(65+INT(MOD((COUNTIFS($B$2:$B460,"s",$C$2:$C460,"SER")+COUNTIFS($B$2:$B460,"s",$C$2:$C460,"PLH")+COUNTIFS($B$2:$B460,"s",$C$2:$C460,"CSF"))-1,96)/12))&amp;(MOD((COUNTIFS($B$2:$B460,"s",$C$2:$C460,"SER")+COUNTIFS($B$2:$B460,"s",$C$2:$C460,"PLH")+COUNTIFS($B$2:$B460,"s",$C$2:$C460,"CSF"))-1,12)+1),"N/A"),"")</f>
        <v/>
      </c>
      <c r="J460" s="6" t="str">
        <f>IF(AND($A460&lt;&gt;"",$B460&lt;&gt;"",$C460&lt;&gt;"",$D460&lt;&gt;"",$E460&lt;&gt;""),IF(AND($B460="s",OR($C460="SER",$C460="PLH")),"Case MAX Planck Plate "&amp;(INT(((COUNTIFS($B$2:$B460,"s",$C$2:$C460,"SER")+COUNTIFS($B$2:$B460,"s",$C$2:$C460,"PLH"))-1)/96)+1)&amp;": "&amp;CHAR(65+INT(MOD((COUNTIFS($B$2:$B460,"s",$C$2:$C460,"SER")+COUNTIFS($B$2:$B460,"s",$C$2:$C460,"PLH"))-1,96)/12))&amp;(MOD((COUNTIFS($B$2:$B460,"s",$C$2:$C460,"SER")+COUNTIFS($B$2:$B460,"s",$C$2:$C460,"PLH"))-1,12)+1),"N/A"),"")</f>
        <v/>
      </c>
      <c r="K460" s="6" t="str">
        <f>IF(AND($A460&lt;&gt;"",$B460&lt;&gt;"",$C460&lt;&gt;"",$D460&lt;&gt;"",$E460&lt;&gt;""),IF($C460="WB","Case WB Box "&amp;(INT((COUNTIFS($C$2:$C460,"WB")-1)/81)+1)&amp;": "&amp;CHAR(65+INT(MOD(COUNTIFS($C$2:$C460,"WB")-1,81)/9))&amp;(MOD(COUNTIFS($C$2:$C460,"WB")-1,9)+1),"N/A"),"")</f>
        <v/>
      </c>
      <c r="L460" s="2" t="str">
        <f t="shared" si="127"/>
        <v/>
      </c>
      <c r="M460" s="2"/>
      <c r="N460" s="2"/>
      <c r="O460" s="2"/>
      <c r="P460" s="7" t="str">
        <f t="shared" si="128"/>
        <v/>
      </c>
      <c r="Q460" s="7" t="str">
        <f t="shared" si="129"/>
        <v/>
      </c>
      <c r="R460" s="7" t="str">
        <f t="shared" si="130"/>
        <v/>
      </c>
      <c r="S460" s="7" t="str">
        <f t="shared" si="131"/>
        <v/>
      </c>
      <c r="T460" s="7" t="str">
        <f t="shared" si="132"/>
        <v/>
      </c>
      <c r="U460" s="7" t="str">
        <f t="shared" si="133"/>
        <v/>
      </c>
      <c r="V460" s="7" t="str">
        <f t="shared" si="134"/>
        <v/>
      </c>
      <c r="W460" s="7" t="str">
        <f t="shared" si="135"/>
        <v/>
      </c>
      <c r="X460" s="7" t="str">
        <f t="shared" si="136"/>
        <v/>
      </c>
      <c r="Y460" s="7" t="str">
        <f t="shared" si="137"/>
        <v/>
      </c>
      <c r="Z460">
        <f t="shared" si="138"/>
        <v>0</v>
      </c>
      <c r="AA460" t="str">
        <f t="shared" si="139"/>
        <v/>
      </c>
      <c r="AB460" t="str">
        <f t="shared" si="140"/>
        <v/>
      </c>
      <c r="AC460" t="str">
        <f t="shared" si="141"/>
        <v/>
      </c>
      <c r="AD460" t="str">
        <f t="shared" si="142"/>
        <v/>
      </c>
      <c r="AE460">
        <f t="shared" si="143"/>
        <v>0</v>
      </c>
    </row>
    <row r="461" spans="1:31" ht="15" customHeight="1" x14ac:dyDescent="0.35">
      <c r="A461" s="2"/>
      <c r="B461" s="3"/>
      <c r="C461" s="3"/>
      <c r="D461" s="4"/>
      <c r="E461" s="5"/>
      <c r="F461" s="11" t="str">
        <f t="shared" ca="1" si="126"/>
        <v/>
      </c>
      <c r="G461" s="5"/>
      <c r="H461" s="6" t="str">
        <f>IF(AND($A461&lt;&gt;"",$B461&lt;&gt;"",$C461&lt;&gt;"",$D461&lt;&gt;"",$E461&lt;&gt;""),IF(AND($B461="s",OR($C461="SER",$C461="PLH",$C461="CSF")),"Case CDI Plate "&amp;(INT(((COUNTIFS($B$2:$B461,"s",$C$2:$C461,"SER")+COUNTIFS($B$2:$B461,"s",$C$2:$C461,"PLH")+COUNTIFS($B$2:$B461,"s",$C$2:$C461,"CSF"))-1)/96)+1)&amp;": "&amp;CHAR(65+INT(MOD((COUNTIFS($B$2:$B461,"s",$C$2:$C461,"SER")+COUNTIFS($B$2:$B461,"s",$C$2:$C461,"PLH")+COUNTIFS($B$2:$B461,"s",$C$2:$C461,"CSF"))-1,96)/12))&amp;(MOD((COUNTIFS($B$2:$B461,"s",$C$2:$C461,"SER")+COUNTIFS($B$2:$B461,"s",$C$2:$C461,"PLH")+COUNTIFS($B$2:$B461,"s",$C$2:$C461,"CSF"))-1,12)+1),"N/A"),"")</f>
        <v/>
      </c>
      <c r="I461" s="6" t="str">
        <f>IF(AND($A461&lt;&gt;"",$B461&lt;&gt;"",$C461&lt;&gt;"",$D461&lt;&gt;"",$E461&lt;&gt;""),IF(AND($B461="s",OR($C461="SER",$C461="PLH",$C461="CSF")),"Case NIH Plate "&amp;(INT(((COUNTIFS($B$2:$B461,"s",$C$2:$C461,"SER")+COUNTIFS($B$2:$B461,"s",$C$2:$C461,"PLH")+COUNTIFS($B$2:$B461,"s",$C$2:$C461,"CSF"))-1)/96)+1)&amp;": "&amp;CHAR(65+INT(MOD((COUNTIFS($B$2:$B461,"s",$C$2:$C461,"SER")+COUNTIFS($B$2:$B461,"s",$C$2:$C461,"PLH")+COUNTIFS($B$2:$B461,"s",$C$2:$C461,"CSF"))-1,96)/12))&amp;(MOD((COUNTIFS($B$2:$B461,"s",$C$2:$C461,"SER")+COUNTIFS($B$2:$B461,"s",$C$2:$C461,"PLH")+COUNTIFS($B$2:$B461,"s",$C$2:$C461,"CSF"))-1,12)+1),"N/A"),"")</f>
        <v/>
      </c>
      <c r="J461" s="6" t="str">
        <f>IF(AND($A461&lt;&gt;"",$B461&lt;&gt;"",$C461&lt;&gt;"",$D461&lt;&gt;"",$E461&lt;&gt;""),IF(AND($B461="s",OR($C461="SER",$C461="PLH")),"Case MAX Planck Plate "&amp;(INT(((COUNTIFS($B$2:$B461,"s",$C$2:$C461,"SER")+COUNTIFS($B$2:$B461,"s",$C$2:$C461,"PLH"))-1)/96)+1)&amp;": "&amp;CHAR(65+INT(MOD((COUNTIFS($B$2:$B461,"s",$C$2:$C461,"SER")+COUNTIFS($B$2:$B461,"s",$C$2:$C461,"PLH"))-1,96)/12))&amp;(MOD((COUNTIFS($B$2:$B461,"s",$C$2:$C461,"SER")+COUNTIFS($B$2:$B461,"s",$C$2:$C461,"PLH"))-1,12)+1),"N/A"),"")</f>
        <v/>
      </c>
      <c r="K461" s="6" t="str">
        <f>IF(AND($A461&lt;&gt;"",$B461&lt;&gt;"",$C461&lt;&gt;"",$D461&lt;&gt;"",$E461&lt;&gt;""),IF($C461="WB","Case WB Box "&amp;(INT((COUNTIFS($C$2:$C461,"WB")-1)/81)+1)&amp;": "&amp;CHAR(65+INT(MOD(COUNTIFS($C$2:$C461,"WB")-1,81)/9))&amp;(MOD(COUNTIFS($C$2:$C461,"WB")-1,9)+1),"N/A"),"")</f>
        <v/>
      </c>
      <c r="L461" s="2" t="str">
        <f t="shared" si="127"/>
        <v/>
      </c>
      <c r="M461" s="2"/>
      <c r="N461" s="2"/>
      <c r="O461" s="2"/>
      <c r="P461" s="7" t="str">
        <f t="shared" si="128"/>
        <v/>
      </c>
      <c r="Q461" s="7" t="str">
        <f t="shared" si="129"/>
        <v/>
      </c>
      <c r="R461" s="7" t="str">
        <f t="shared" si="130"/>
        <v/>
      </c>
      <c r="S461" s="7" t="str">
        <f t="shared" si="131"/>
        <v/>
      </c>
      <c r="T461" s="7" t="str">
        <f t="shared" si="132"/>
        <v/>
      </c>
      <c r="U461" s="7" t="str">
        <f t="shared" si="133"/>
        <v/>
      </c>
      <c r="V461" s="7" t="str">
        <f t="shared" si="134"/>
        <v/>
      </c>
      <c r="W461" s="7" t="str">
        <f t="shared" si="135"/>
        <v/>
      </c>
      <c r="X461" s="7" t="str">
        <f t="shared" si="136"/>
        <v/>
      </c>
      <c r="Y461" s="7" t="str">
        <f t="shared" si="137"/>
        <v/>
      </c>
      <c r="Z461">
        <f t="shared" si="138"/>
        <v>0</v>
      </c>
      <c r="AA461" t="str">
        <f t="shared" si="139"/>
        <v/>
      </c>
      <c r="AB461" t="str">
        <f t="shared" si="140"/>
        <v/>
      </c>
      <c r="AC461" t="str">
        <f t="shared" si="141"/>
        <v/>
      </c>
      <c r="AD461" t="str">
        <f t="shared" si="142"/>
        <v/>
      </c>
      <c r="AE461">
        <f t="shared" si="143"/>
        <v>0</v>
      </c>
    </row>
    <row r="462" spans="1:31" ht="15" customHeight="1" x14ac:dyDescent="0.35">
      <c r="A462" s="2"/>
      <c r="B462" s="3"/>
      <c r="C462" s="3"/>
      <c r="D462" s="4"/>
      <c r="E462" s="5"/>
      <c r="F462" s="11" t="str">
        <f t="shared" ca="1" si="126"/>
        <v/>
      </c>
      <c r="G462" s="5"/>
      <c r="H462" s="6" t="str">
        <f>IF(AND($A462&lt;&gt;"",$B462&lt;&gt;"",$C462&lt;&gt;"",$D462&lt;&gt;"",$E462&lt;&gt;""),IF(AND($B462="s",OR($C462="SER",$C462="PLH",$C462="CSF")),"Case CDI Plate "&amp;(INT(((COUNTIFS($B$2:$B462,"s",$C$2:$C462,"SER")+COUNTIFS($B$2:$B462,"s",$C$2:$C462,"PLH")+COUNTIFS($B$2:$B462,"s",$C$2:$C462,"CSF"))-1)/96)+1)&amp;": "&amp;CHAR(65+INT(MOD((COUNTIFS($B$2:$B462,"s",$C$2:$C462,"SER")+COUNTIFS($B$2:$B462,"s",$C$2:$C462,"PLH")+COUNTIFS($B$2:$B462,"s",$C$2:$C462,"CSF"))-1,96)/12))&amp;(MOD((COUNTIFS($B$2:$B462,"s",$C$2:$C462,"SER")+COUNTIFS($B$2:$B462,"s",$C$2:$C462,"PLH")+COUNTIFS($B$2:$B462,"s",$C$2:$C462,"CSF"))-1,12)+1),"N/A"),"")</f>
        <v/>
      </c>
      <c r="I462" s="6" t="str">
        <f>IF(AND($A462&lt;&gt;"",$B462&lt;&gt;"",$C462&lt;&gt;"",$D462&lt;&gt;"",$E462&lt;&gt;""),IF(AND($B462="s",OR($C462="SER",$C462="PLH",$C462="CSF")),"Case NIH Plate "&amp;(INT(((COUNTIFS($B$2:$B462,"s",$C$2:$C462,"SER")+COUNTIFS($B$2:$B462,"s",$C$2:$C462,"PLH")+COUNTIFS($B$2:$B462,"s",$C$2:$C462,"CSF"))-1)/96)+1)&amp;": "&amp;CHAR(65+INT(MOD((COUNTIFS($B$2:$B462,"s",$C$2:$C462,"SER")+COUNTIFS($B$2:$B462,"s",$C$2:$C462,"PLH")+COUNTIFS($B$2:$B462,"s",$C$2:$C462,"CSF"))-1,96)/12))&amp;(MOD((COUNTIFS($B$2:$B462,"s",$C$2:$C462,"SER")+COUNTIFS($B$2:$B462,"s",$C$2:$C462,"PLH")+COUNTIFS($B$2:$B462,"s",$C$2:$C462,"CSF"))-1,12)+1),"N/A"),"")</f>
        <v/>
      </c>
      <c r="J462" s="6" t="str">
        <f>IF(AND($A462&lt;&gt;"",$B462&lt;&gt;"",$C462&lt;&gt;"",$D462&lt;&gt;"",$E462&lt;&gt;""),IF(AND($B462="s",OR($C462="SER",$C462="PLH")),"Case MAX Planck Plate "&amp;(INT(((COUNTIFS($B$2:$B462,"s",$C$2:$C462,"SER")+COUNTIFS($B$2:$B462,"s",$C$2:$C462,"PLH"))-1)/96)+1)&amp;": "&amp;CHAR(65+INT(MOD((COUNTIFS($B$2:$B462,"s",$C$2:$C462,"SER")+COUNTIFS($B$2:$B462,"s",$C$2:$C462,"PLH"))-1,96)/12))&amp;(MOD((COUNTIFS($B$2:$B462,"s",$C$2:$C462,"SER")+COUNTIFS($B$2:$B462,"s",$C$2:$C462,"PLH"))-1,12)+1),"N/A"),"")</f>
        <v/>
      </c>
      <c r="K462" s="6" t="str">
        <f>IF(AND($A462&lt;&gt;"",$B462&lt;&gt;"",$C462&lt;&gt;"",$D462&lt;&gt;"",$E462&lt;&gt;""),IF($C462="WB","Case WB Box "&amp;(INT((COUNTIFS($C$2:$C462,"WB")-1)/81)+1)&amp;": "&amp;CHAR(65+INT(MOD(COUNTIFS($C$2:$C462,"WB")-1,81)/9))&amp;(MOD(COUNTIFS($C$2:$C462,"WB")-1,9)+1),"N/A"),"")</f>
        <v/>
      </c>
      <c r="L462" s="2" t="str">
        <f t="shared" si="127"/>
        <v/>
      </c>
      <c r="M462" s="2"/>
      <c r="N462" s="2"/>
      <c r="O462" s="2"/>
      <c r="P462" s="7" t="str">
        <f t="shared" si="128"/>
        <v/>
      </c>
      <c r="Q462" s="7" t="str">
        <f t="shared" si="129"/>
        <v/>
      </c>
      <c r="R462" s="7" t="str">
        <f t="shared" si="130"/>
        <v/>
      </c>
      <c r="S462" s="7" t="str">
        <f t="shared" si="131"/>
        <v/>
      </c>
      <c r="T462" s="7" t="str">
        <f t="shared" si="132"/>
        <v/>
      </c>
      <c r="U462" s="7" t="str">
        <f t="shared" si="133"/>
        <v/>
      </c>
      <c r="V462" s="7" t="str">
        <f t="shared" si="134"/>
        <v/>
      </c>
      <c r="W462" s="7" t="str">
        <f t="shared" si="135"/>
        <v/>
      </c>
      <c r="X462" s="7" t="str">
        <f t="shared" si="136"/>
        <v/>
      </c>
      <c r="Y462" s="7" t="str">
        <f t="shared" si="137"/>
        <v/>
      </c>
      <c r="Z462">
        <f t="shared" si="138"/>
        <v>0</v>
      </c>
      <c r="AA462" t="str">
        <f t="shared" si="139"/>
        <v/>
      </c>
      <c r="AB462" t="str">
        <f t="shared" si="140"/>
        <v/>
      </c>
      <c r="AC462" t="str">
        <f t="shared" si="141"/>
        <v/>
      </c>
      <c r="AD462" t="str">
        <f t="shared" si="142"/>
        <v/>
      </c>
      <c r="AE462">
        <f t="shared" si="143"/>
        <v>0</v>
      </c>
    </row>
    <row r="463" spans="1:31" ht="15" customHeight="1" x14ac:dyDescent="0.35">
      <c r="A463" s="2"/>
      <c r="B463" s="3"/>
      <c r="C463" s="3"/>
      <c r="D463" s="4"/>
      <c r="E463" s="5"/>
      <c r="F463" s="11" t="str">
        <f t="shared" ca="1" si="126"/>
        <v/>
      </c>
      <c r="G463" s="5"/>
      <c r="H463" s="6" t="str">
        <f>IF(AND($A463&lt;&gt;"",$B463&lt;&gt;"",$C463&lt;&gt;"",$D463&lt;&gt;"",$E463&lt;&gt;""),IF(AND($B463="s",OR($C463="SER",$C463="PLH",$C463="CSF")),"Case CDI Plate "&amp;(INT(((COUNTIFS($B$2:$B463,"s",$C$2:$C463,"SER")+COUNTIFS($B$2:$B463,"s",$C$2:$C463,"PLH")+COUNTIFS($B$2:$B463,"s",$C$2:$C463,"CSF"))-1)/96)+1)&amp;": "&amp;CHAR(65+INT(MOD((COUNTIFS($B$2:$B463,"s",$C$2:$C463,"SER")+COUNTIFS($B$2:$B463,"s",$C$2:$C463,"PLH")+COUNTIFS($B$2:$B463,"s",$C$2:$C463,"CSF"))-1,96)/12))&amp;(MOD((COUNTIFS($B$2:$B463,"s",$C$2:$C463,"SER")+COUNTIFS($B$2:$B463,"s",$C$2:$C463,"PLH")+COUNTIFS($B$2:$B463,"s",$C$2:$C463,"CSF"))-1,12)+1),"N/A"),"")</f>
        <v/>
      </c>
      <c r="I463" s="6" t="str">
        <f>IF(AND($A463&lt;&gt;"",$B463&lt;&gt;"",$C463&lt;&gt;"",$D463&lt;&gt;"",$E463&lt;&gt;""),IF(AND($B463="s",OR($C463="SER",$C463="PLH",$C463="CSF")),"Case NIH Plate "&amp;(INT(((COUNTIFS($B$2:$B463,"s",$C$2:$C463,"SER")+COUNTIFS($B$2:$B463,"s",$C$2:$C463,"PLH")+COUNTIFS($B$2:$B463,"s",$C$2:$C463,"CSF"))-1)/96)+1)&amp;": "&amp;CHAR(65+INT(MOD((COUNTIFS($B$2:$B463,"s",$C$2:$C463,"SER")+COUNTIFS($B$2:$B463,"s",$C$2:$C463,"PLH")+COUNTIFS($B$2:$B463,"s",$C$2:$C463,"CSF"))-1,96)/12))&amp;(MOD((COUNTIFS($B$2:$B463,"s",$C$2:$C463,"SER")+COUNTIFS($B$2:$B463,"s",$C$2:$C463,"PLH")+COUNTIFS($B$2:$B463,"s",$C$2:$C463,"CSF"))-1,12)+1),"N/A"),"")</f>
        <v/>
      </c>
      <c r="J463" s="6" t="str">
        <f>IF(AND($A463&lt;&gt;"",$B463&lt;&gt;"",$C463&lt;&gt;"",$D463&lt;&gt;"",$E463&lt;&gt;""),IF(AND($B463="s",OR($C463="SER",$C463="PLH")),"Case MAX Planck Plate "&amp;(INT(((COUNTIFS($B$2:$B463,"s",$C$2:$C463,"SER")+COUNTIFS($B$2:$B463,"s",$C$2:$C463,"PLH"))-1)/96)+1)&amp;": "&amp;CHAR(65+INT(MOD((COUNTIFS($B$2:$B463,"s",$C$2:$C463,"SER")+COUNTIFS($B$2:$B463,"s",$C$2:$C463,"PLH"))-1,96)/12))&amp;(MOD((COUNTIFS($B$2:$B463,"s",$C$2:$C463,"SER")+COUNTIFS($B$2:$B463,"s",$C$2:$C463,"PLH"))-1,12)+1),"N/A"),"")</f>
        <v/>
      </c>
      <c r="K463" s="6" t="str">
        <f>IF(AND($A463&lt;&gt;"",$B463&lt;&gt;"",$C463&lt;&gt;"",$D463&lt;&gt;"",$E463&lt;&gt;""),IF($C463="WB","Case WB Box "&amp;(INT((COUNTIFS($C$2:$C463,"WB")-1)/81)+1)&amp;": "&amp;CHAR(65+INT(MOD(COUNTIFS($C$2:$C463,"WB")-1,81)/9))&amp;(MOD(COUNTIFS($C$2:$C463,"WB")-1,9)+1),"N/A"),"")</f>
        <v/>
      </c>
      <c r="L463" s="2" t="str">
        <f t="shared" si="127"/>
        <v/>
      </c>
      <c r="M463" s="2"/>
      <c r="N463" s="2"/>
      <c r="O463" s="2"/>
      <c r="P463" s="7" t="str">
        <f t="shared" si="128"/>
        <v/>
      </c>
      <c r="Q463" s="7" t="str">
        <f t="shared" si="129"/>
        <v/>
      </c>
      <c r="R463" s="7" t="str">
        <f t="shared" si="130"/>
        <v/>
      </c>
      <c r="S463" s="7" t="str">
        <f t="shared" si="131"/>
        <v/>
      </c>
      <c r="T463" s="7" t="str">
        <f t="shared" si="132"/>
        <v/>
      </c>
      <c r="U463" s="7" t="str">
        <f t="shared" si="133"/>
        <v/>
      </c>
      <c r="V463" s="7" t="str">
        <f t="shared" si="134"/>
        <v/>
      </c>
      <c r="W463" s="7" t="str">
        <f t="shared" si="135"/>
        <v/>
      </c>
      <c r="X463" s="7" t="str">
        <f t="shared" si="136"/>
        <v/>
      </c>
      <c r="Y463" s="7" t="str">
        <f t="shared" si="137"/>
        <v/>
      </c>
      <c r="Z463">
        <f t="shared" si="138"/>
        <v>0</v>
      </c>
      <c r="AA463" t="str">
        <f t="shared" si="139"/>
        <v/>
      </c>
      <c r="AB463" t="str">
        <f t="shared" si="140"/>
        <v/>
      </c>
      <c r="AC463" t="str">
        <f t="shared" si="141"/>
        <v/>
      </c>
      <c r="AD463" t="str">
        <f t="shared" si="142"/>
        <v/>
      </c>
      <c r="AE463">
        <f t="shared" si="143"/>
        <v>0</v>
      </c>
    </row>
    <row r="464" spans="1:31" ht="15" customHeight="1" x14ac:dyDescent="0.35">
      <c r="A464" s="2"/>
      <c r="B464" s="3"/>
      <c r="C464" s="3"/>
      <c r="D464" s="4"/>
      <c r="E464" s="5"/>
      <c r="F464" s="11" t="str">
        <f t="shared" ca="1" si="126"/>
        <v/>
      </c>
      <c r="G464" s="5"/>
      <c r="H464" s="6" t="str">
        <f>IF(AND($A464&lt;&gt;"",$B464&lt;&gt;"",$C464&lt;&gt;"",$D464&lt;&gt;"",$E464&lt;&gt;""),IF(AND($B464="s",OR($C464="SER",$C464="PLH",$C464="CSF")),"Case CDI Plate "&amp;(INT(((COUNTIFS($B$2:$B464,"s",$C$2:$C464,"SER")+COUNTIFS($B$2:$B464,"s",$C$2:$C464,"PLH")+COUNTIFS($B$2:$B464,"s",$C$2:$C464,"CSF"))-1)/96)+1)&amp;": "&amp;CHAR(65+INT(MOD((COUNTIFS($B$2:$B464,"s",$C$2:$C464,"SER")+COUNTIFS($B$2:$B464,"s",$C$2:$C464,"PLH")+COUNTIFS($B$2:$B464,"s",$C$2:$C464,"CSF"))-1,96)/12))&amp;(MOD((COUNTIFS($B$2:$B464,"s",$C$2:$C464,"SER")+COUNTIFS($B$2:$B464,"s",$C$2:$C464,"PLH")+COUNTIFS($B$2:$B464,"s",$C$2:$C464,"CSF"))-1,12)+1),"N/A"),"")</f>
        <v/>
      </c>
      <c r="I464" s="6" t="str">
        <f>IF(AND($A464&lt;&gt;"",$B464&lt;&gt;"",$C464&lt;&gt;"",$D464&lt;&gt;"",$E464&lt;&gt;""),IF(AND($B464="s",OR($C464="SER",$C464="PLH",$C464="CSF")),"Case NIH Plate "&amp;(INT(((COUNTIFS($B$2:$B464,"s",$C$2:$C464,"SER")+COUNTIFS($B$2:$B464,"s",$C$2:$C464,"PLH")+COUNTIFS($B$2:$B464,"s",$C$2:$C464,"CSF"))-1)/96)+1)&amp;": "&amp;CHAR(65+INT(MOD((COUNTIFS($B$2:$B464,"s",$C$2:$C464,"SER")+COUNTIFS($B$2:$B464,"s",$C$2:$C464,"PLH")+COUNTIFS($B$2:$B464,"s",$C$2:$C464,"CSF"))-1,96)/12))&amp;(MOD((COUNTIFS($B$2:$B464,"s",$C$2:$C464,"SER")+COUNTIFS($B$2:$B464,"s",$C$2:$C464,"PLH")+COUNTIFS($B$2:$B464,"s",$C$2:$C464,"CSF"))-1,12)+1),"N/A"),"")</f>
        <v/>
      </c>
      <c r="J464" s="6" t="str">
        <f>IF(AND($A464&lt;&gt;"",$B464&lt;&gt;"",$C464&lt;&gt;"",$D464&lt;&gt;"",$E464&lt;&gt;""),IF(AND($B464="s",OR($C464="SER",$C464="PLH")),"Case MAX Planck Plate "&amp;(INT(((COUNTIFS($B$2:$B464,"s",$C$2:$C464,"SER")+COUNTIFS($B$2:$B464,"s",$C$2:$C464,"PLH"))-1)/96)+1)&amp;": "&amp;CHAR(65+INT(MOD((COUNTIFS($B$2:$B464,"s",$C$2:$C464,"SER")+COUNTIFS($B$2:$B464,"s",$C$2:$C464,"PLH"))-1,96)/12))&amp;(MOD((COUNTIFS($B$2:$B464,"s",$C$2:$C464,"SER")+COUNTIFS($B$2:$B464,"s",$C$2:$C464,"PLH"))-1,12)+1),"N/A"),"")</f>
        <v/>
      </c>
      <c r="K464" s="6" t="str">
        <f>IF(AND($A464&lt;&gt;"",$B464&lt;&gt;"",$C464&lt;&gt;"",$D464&lt;&gt;"",$E464&lt;&gt;""),IF($C464="WB","Case WB Box "&amp;(INT((COUNTIFS($C$2:$C464,"WB")-1)/81)+1)&amp;": "&amp;CHAR(65+INT(MOD(COUNTIFS($C$2:$C464,"WB")-1,81)/9))&amp;(MOD(COUNTIFS($C$2:$C464,"WB")-1,9)+1),"N/A"),"")</f>
        <v/>
      </c>
      <c r="L464" s="2" t="str">
        <f t="shared" si="127"/>
        <v/>
      </c>
      <c r="M464" s="2"/>
      <c r="N464" s="2"/>
      <c r="O464" s="2"/>
      <c r="P464" s="7" t="str">
        <f t="shared" si="128"/>
        <v/>
      </c>
      <c r="Q464" s="7" t="str">
        <f t="shared" si="129"/>
        <v/>
      </c>
      <c r="R464" s="7" t="str">
        <f t="shared" si="130"/>
        <v/>
      </c>
      <c r="S464" s="7" t="str">
        <f t="shared" si="131"/>
        <v/>
      </c>
      <c r="T464" s="7" t="str">
        <f t="shared" si="132"/>
        <v/>
      </c>
      <c r="U464" s="7" t="str">
        <f t="shared" si="133"/>
        <v/>
      </c>
      <c r="V464" s="7" t="str">
        <f t="shared" si="134"/>
        <v/>
      </c>
      <c r="W464" s="7" t="str">
        <f t="shared" si="135"/>
        <v/>
      </c>
      <c r="X464" s="7" t="str">
        <f t="shared" si="136"/>
        <v/>
      </c>
      <c r="Y464" s="7" t="str">
        <f t="shared" si="137"/>
        <v/>
      </c>
      <c r="Z464">
        <f t="shared" si="138"/>
        <v>0</v>
      </c>
      <c r="AA464" t="str">
        <f t="shared" si="139"/>
        <v/>
      </c>
      <c r="AB464" t="str">
        <f t="shared" si="140"/>
        <v/>
      </c>
      <c r="AC464" t="str">
        <f t="shared" si="141"/>
        <v/>
      </c>
      <c r="AD464" t="str">
        <f t="shared" si="142"/>
        <v/>
      </c>
      <c r="AE464">
        <f t="shared" si="143"/>
        <v>0</v>
      </c>
    </row>
    <row r="465" spans="1:31" ht="15" customHeight="1" x14ac:dyDescent="0.35">
      <c r="A465" s="2"/>
      <c r="B465" s="3"/>
      <c r="C465" s="3"/>
      <c r="D465" s="4"/>
      <c r="E465" s="5"/>
      <c r="F465" s="11" t="str">
        <f t="shared" ca="1" si="126"/>
        <v/>
      </c>
      <c r="G465" s="5"/>
      <c r="H465" s="6" t="str">
        <f>IF(AND($A465&lt;&gt;"",$B465&lt;&gt;"",$C465&lt;&gt;"",$D465&lt;&gt;"",$E465&lt;&gt;""),IF(AND($B465="s",OR($C465="SER",$C465="PLH",$C465="CSF")),"Case CDI Plate "&amp;(INT(((COUNTIFS($B$2:$B465,"s",$C$2:$C465,"SER")+COUNTIFS($B$2:$B465,"s",$C$2:$C465,"PLH")+COUNTIFS($B$2:$B465,"s",$C$2:$C465,"CSF"))-1)/96)+1)&amp;": "&amp;CHAR(65+INT(MOD((COUNTIFS($B$2:$B465,"s",$C$2:$C465,"SER")+COUNTIFS($B$2:$B465,"s",$C$2:$C465,"PLH")+COUNTIFS($B$2:$B465,"s",$C$2:$C465,"CSF"))-1,96)/12))&amp;(MOD((COUNTIFS($B$2:$B465,"s",$C$2:$C465,"SER")+COUNTIFS($B$2:$B465,"s",$C$2:$C465,"PLH")+COUNTIFS($B$2:$B465,"s",$C$2:$C465,"CSF"))-1,12)+1),"N/A"),"")</f>
        <v/>
      </c>
      <c r="I465" s="6" t="str">
        <f>IF(AND($A465&lt;&gt;"",$B465&lt;&gt;"",$C465&lt;&gt;"",$D465&lt;&gt;"",$E465&lt;&gt;""),IF(AND($B465="s",OR($C465="SER",$C465="PLH",$C465="CSF")),"Case NIH Plate "&amp;(INT(((COUNTIFS($B$2:$B465,"s",$C$2:$C465,"SER")+COUNTIFS($B$2:$B465,"s",$C$2:$C465,"PLH")+COUNTIFS($B$2:$B465,"s",$C$2:$C465,"CSF"))-1)/96)+1)&amp;": "&amp;CHAR(65+INT(MOD((COUNTIFS($B$2:$B465,"s",$C$2:$C465,"SER")+COUNTIFS($B$2:$B465,"s",$C$2:$C465,"PLH")+COUNTIFS($B$2:$B465,"s",$C$2:$C465,"CSF"))-1,96)/12))&amp;(MOD((COUNTIFS($B$2:$B465,"s",$C$2:$C465,"SER")+COUNTIFS($B$2:$B465,"s",$C$2:$C465,"PLH")+COUNTIFS($B$2:$B465,"s",$C$2:$C465,"CSF"))-1,12)+1),"N/A"),"")</f>
        <v/>
      </c>
      <c r="J465" s="6" t="str">
        <f>IF(AND($A465&lt;&gt;"",$B465&lt;&gt;"",$C465&lt;&gt;"",$D465&lt;&gt;"",$E465&lt;&gt;""),IF(AND($B465="s",OR($C465="SER",$C465="PLH")),"Case MAX Planck Plate "&amp;(INT(((COUNTIFS($B$2:$B465,"s",$C$2:$C465,"SER")+COUNTIFS($B$2:$B465,"s",$C$2:$C465,"PLH"))-1)/96)+1)&amp;": "&amp;CHAR(65+INT(MOD((COUNTIFS($B$2:$B465,"s",$C$2:$C465,"SER")+COUNTIFS($B$2:$B465,"s",$C$2:$C465,"PLH"))-1,96)/12))&amp;(MOD((COUNTIFS($B$2:$B465,"s",$C$2:$C465,"SER")+COUNTIFS($B$2:$B465,"s",$C$2:$C465,"PLH"))-1,12)+1),"N/A"),"")</f>
        <v/>
      </c>
      <c r="K465" s="6" t="str">
        <f>IF(AND($A465&lt;&gt;"",$B465&lt;&gt;"",$C465&lt;&gt;"",$D465&lt;&gt;"",$E465&lt;&gt;""),IF($C465="WB","Case WB Box "&amp;(INT((COUNTIFS($C$2:$C465,"WB")-1)/81)+1)&amp;": "&amp;CHAR(65+INT(MOD(COUNTIFS($C$2:$C465,"WB")-1,81)/9))&amp;(MOD(COUNTIFS($C$2:$C465,"WB")-1,9)+1),"N/A"),"")</f>
        <v/>
      </c>
      <c r="L465" s="2" t="str">
        <f t="shared" si="127"/>
        <v/>
      </c>
      <c r="M465" s="2"/>
      <c r="N465" s="2"/>
      <c r="O465" s="2"/>
      <c r="P465" s="7" t="str">
        <f t="shared" si="128"/>
        <v/>
      </c>
      <c r="Q465" s="7" t="str">
        <f t="shared" si="129"/>
        <v/>
      </c>
      <c r="R465" s="7" t="str">
        <f t="shared" si="130"/>
        <v/>
      </c>
      <c r="S465" s="7" t="str">
        <f t="shared" si="131"/>
        <v/>
      </c>
      <c r="T465" s="7" t="str">
        <f t="shared" si="132"/>
        <v/>
      </c>
      <c r="U465" s="7" t="str">
        <f t="shared" si="133"/>
        <v/>
      </c>
      <c r="V465" s="7" t="str">
        <f t="shared" si="134"/>
        <v/>
      </c>
      <c r="W465" s="7" t="str">
        <f t="shared" si="135"/>
        <v/>
      </c>
      <c r="X465" s="7" t="str">
        <f t="shared" si="136"/>
        <v/>
      </c>
      <c r="Y465" s="7" t="str">
        <f t="shared" si="137"/>
        <v/>
      </c>
      <c r="Z465">
        <f t="shared" si="138"/>
        <v>0</v>
      </c>
      <c r="AA465" t="str">
        <f t="shared" si="139"/>
        <v/>
      </c>
      <c r="AB465" t="str">
        <f t="shared" si="140"/>
        <v/>
      </c>
      <c r="AC465" t="str">
        <f t="shared" si="141"/>
        <v/>
      </c>
      <c r="AD465" t="str">
        <f t="shared" si="142"/>
        <v/>
      </c>
      <c r="AE465">
        <f t="shared" si="143"/>
        <v>0</v>
      </c>
    </row>
    <row r="466" spans="1:31" ht="15" customHeight="1" x14ac:dyDescent="0.35">
      <c r="A466" s="2"/>
      <c r="B466" s="3"/>
      <c r="C466" s="3"/>
      <c r="D466" s="4"/>
      <c r="E466" s="5"/>
      <c r="F466" s="11" t="str">
        <f t="shared" ca="1" si="126"/>
        <v/>
      </c>
      <c r="G466" s="5"/>
      <c r="H466" s="6" t="str">
        <f>IF(AND($A466&lt;&gt;"",$B466&lt;&gt;"",$C466&lt;&gt;"",$D466&lt;&gt;"",$E466&lt;&gt;""),IF(AND($B466="s",OR($C466="SER",$C466="PLH",$C466="CSF")),"Case CDI Plate "&amp;(INT(((COUNTIFS($B$2:$B466,"s",$C$2:$C466,"SER")+COUNTIFS($B$2:$B466,"s",$C$2:$C466,"PLH")+COUNTIFS($B$2:$B466,"s",$C$2:$C466,"CSF"))-1)/96)+1)&amp;": "&amp;CHAR(65+INT(MOD((COUNTIFS($B$2:$B466,"s",$C$2:$C466,"SER")+COUNTIFS($B$2:$B466,"s",$C$2:$C466,"PLH")+COUNTIFS($B$2:$B466,"s",$C$2:$C466,"CSF"))-1,96)/12))&amp;(MOD((COUNTIFS($B$2:$B466,"s",$C$2:$C466,"SER")+COUNTIFS($B$2:$B466,"s",$C$2:$C466,"PLH")+COUNTIFS($B$2:$B466,"s",$C$2:$C466,"CSF"))-1,12)+1),"N/A"),"")</f>
        <v/>
      </c>
      <c r="I466" s="6" t="str">
        <f>IF(AND($A466&lt;&gt;"",$B466&lt;&gt;"",$C466&lt;&gt;"",$D466&lt;&gt;"",$E466&lt;&gt;""),IF(AND($B466="s",OR($C466="SER",$C466="PLH",$C466="CSF")),"Case NIH Plate "&amp;(INT(((COUNTIFS($B$2:$B466,"s",$C$2:$C466,"SER")+COUNTIFS($B$2:$B466,"s",$C$2:$C466,"PLH")+COUNTIFS($B$2:$B466,"s",$C$2:$C466,"CSF"))-1)/96)+1)&amp;": "&amp;CHAR(65+INT(MOD((COUNTIFS($B$2:$B466,"s",$C$2:$C466,"SER")+COUNTIFS($B$2:$B466,"s",$C$2:$C466,"PLH")+COUNTIFS($B$2:$B466,"s",$C$2:$C466,"CSF"))-1,96)/12))&amp;(MOD((COUNTIFS($B$2:$B466,"s",$C$2:$C466,"SER")+COUNTIFS($B$2:$B466,"s",$C$2:$C466,"PLH")+COUNTIFS($B$2:$B466,"s",$C$2:$C466,"CSF"))-1,12)+1),"N/A"),"")</f>
        <v/>
      </c>
      <c r="J466" s="6" t="str">
        <f>IF(AND($A466&lt;&gt;"",$B466&lt;&gt;"",$C466&lt;&gt;"",$D466&lt;&gt;"",$E466&lt;&gt;""),IF(AND($B466="s",OR($C466="SER",$C466="PLH")),"Case MAX Planck Plate "&amp;(INT(((COUNTIFS($B$2:$B466,"s",$C$2:$C466,"SER")+COUNTIFS($B$2:$B466,"s",$C$2:$C466,"PLH"))-1)/96)+1)&amp;": "&amp;CHAR(65+INT(MOD((COUNTIFS($B$2:$B466,"s",$C$2:$C466,"SER")+COUNTIFS($B$2:$B466,"s",$C$2:$C466,"PLH"))-1,96)/12))&amp;(MOD((COUNTIFS($B$2:$B466,"s",$C$2:$C466,"SER")+COUNTIFS($B$2:$B466,"s",$C$2:$C466,"PLH"))-1,12)+1),"N/A"),"")</f>
        <v/>
      </c>
      <c r="K466" s="6" t="str">
        <f>IF(AND($A466&lt;&gt;"",$B466&lt;&gt;"",$C466&lt;&gt;"",$D466&lt;&gt;"",$E466&lt;&gt;""),IF($C466="WB","Case WB Box "&amp;(INT((COUNTIFS($C$2:$C466,"WB")-1)/81)+1)&amp;": "&amp;CHAR(65+INT(MOD(COUNTIFS($C$2:$C466,"WB")-1,81)/9))&amp;(MOD(COUNTIFS($C$2:$C466,"WB")-1,9)+1),"N/A"),"")</f>
        <v/>
      </c>
      <c r="L466" s="2" t="str">
        <f t="shared" si="127"/>
        <v/>
      </c>
      <c r="M466" s="2"/>
      <c r="N466" s="2"/>
      <c r="O466" s="2"/>
      <c r="P466" s="7" t="str">
        <f t="shared" si="128"/>
        <v/>
      </c>
      <c r="Q466" s="7" t="str">
        <f t="shared" si="129"/>
        <v/>
      </c>
      <c r="R466" s="7" t="str">
        <f t="shared" si="130"/>
        <v/>
      </c>
      <c r="S466" s="7" t="str">
        <f t="shared" si="131"/>
        <v/>
      </c>
      <c r="T466" s="7" t="str">
        <f t="shared" si="132"/>
        <v/>
      </c>
      <c r="U466" s="7" t="str">
        <f t="shared" si="133"/>
        <v/>
      </c>
      <c r="V466" s="7" t="str">
        <f t="shared" si="134"/>
        <v/>
      </c>
      <c r="W466" s="7" t="str">
        <f t="shared" si="135"/>
        <v/>
      </c>
      <c r="X466" s="7" t="str">
        <f t="shared" si="136"/>
        <v/>
      </c>
      <c r="Y466" s="7" t="str">
        <f t="shared" si="137"/>
        <v/>
      </c>
      <c r="Z466">
        <f t="shared" si="138"/>
        <v>0</v>
      </c>
      <c r="AA466" t="str">
        <f t="shared" si="139"/>
        <v/>
      </c>
      <c r="AB466" t="str">
        <f t="shared" si="140"/>
        <v/>
      </c>
      <c r="AC466" t="str">
        <f t="shared" si="141"/>
        <v/>
      </c>
      <c r="AD466" t="str">
        <f t="shared" si="142"/>
        <v/>
      </c>
      <c r="AE466">
        <f t="shared" si="143"/>
        <v>0</v>
      </c>
    </row>
    <row r="467" spans="1:31" ht="15" customHeight="1" x14ac:dyDescent="0.35">
      <c r="A467" s="2"/>
      <c r="B467" s="3"/>
      <c r="C467" s="3"/>
      <c r="D467" s="4"/>
      <c r="E467" s="5"/>
      <c r="F467" s="11" t="str">
        <f t="shared" ca="1" si="126"/>
        <v/>
      </c>
      <c r="G467" s="5"/>
      <c r="H467" s="6" t="str">
        <f>IF(AND($A467&lt;&gt;"",$B467&lt;&gt;"",$C467&lt;&gt;"",$D467&lt;&gt;"",$E467&lt;&gt;""),IF(AND($B467="s",OR($C467="SER",$C467="PLH",$C467="CSF")),"Case CDI Plate "&amp;(INT(((COUNTIFS($B$2:$B467,"s",$C$2:$C467,"SER")+COUNTIFS($B$2:$B467,"s",$C$2:$C467,"PLH")+COUNTIFS($B$2:$B467,"s",$C$2:$C467,"CSF"))-1)/96)+1)&amp;": "&amp;CHAR(65+INT(MOD((COUNTIFS($B$2:$B467,"s",$C$2:$C467,"SER")+COUNTIFS($B$2:$B467,"s",$C$2:$C467,"PLH")+COUNTIFS($B$2:$B467,"s",$C$2:$C467,"CSF"))-1,96)/12))&amp;(MOD((COUNTIFS($B$2:$B467,"s",$C$2:$C467,"SER")+COUNTIFS($B$2:$B467,"s",$C$2:$C467,"PLH")+COUNTIFS($B$2:$B467,"s",$C$2:$C467,"CSF"))-1,12)+1),"N/A"),"")</f>
        <v/>
      </c>
      <c r="I467" s="6" t="str">
        <f>IF(AND($A467&lt;&gt;"",$B467&lt;&gt;"",$C467&lt;&gt;"",$D467&lt;&gt;"",$E467&lt;&gt;""),IF(AND($B467="s",OR($C467="SER",$C467="PLH",$C467="CSF")),"Case NIH Plate "&amp;(INT(((COUNTIFS($B$2:$B467,"s",$C$2:$C467,"SER")+COUNTIFS($B$2:$B467,"s",$C$2:$C467,"PLH")+COUNTIFS($B$2:$B467,"s",$C$2:$C467,"CSF"))-1)/96)+1)&amp;": "&amp;CHAR(65+INT(MOD((COUNTIFS($B$2:$B467,"s",$C$2:$C467,"SER")+COUNTIFS($B$2:$B467,"s",$C$2:$C467,"PLH")+COUNTIFS($B$2:$B467,"s",$C$2:$C467,"CSF"))-1,96)/12))&amp;(MOD((COUNTIFS($B$2:$B467,"s",$C$2:$C467,"SER")+COUNTIFS($B$2:$B467,"s",$C$2:$C467,"PLH")+COUNTIFS($B$2:$B467,"s",$C$2:$C467,"CSF"))-1,12)+1),"N/A"),"")</f>
        <v/>
      </c>
      <c r="J467" s="6" t="str">
        <f>IF(AND($A467&lt;&gt;"",$B467&lt;&gt;"",$C467&lt;&gt;"",$D467&lt;&gt;"",$E467&lt;&gt;""),IF(AND($B467="s",OR($C467="SER",$C467="PLH")),"Case MAX Planck Plate "&amp;(INT(((COUNTIFS($B$2:$B467,"s",$C$2:$C467,"SER")+COUNTIFS($B$2:$B467,"s",$C$2:$C467,"PLH"))-1)/96)+1)&amp;": "&amp;CHAR(65+INT(MOD((COUNTIFS($B$2:$B467,"s",$C$2:$C467,"SER")+COUNTIFS($B$2:$B467,"s",$C$2:$C467,"PLH"))-1,96)/12))&amp;(MOD((COUNTIFS($B$2:$B467,"s",$C$2:$C467,"SER")+COUNTIFS($B$2:$B467,"s",$C$2:$C467,"PLH"))-1,12)+1),"N/A"),"")</f>
        <v/>
      </c>
      <c r="K467" s="6" t="str">
        <f>IF(AND($A467&lt;&gt;"",$B467&lt;&gt;"",$C467&lt;&gt;"",$D467&lt;&gt;"",$E467&lt;&gt;""),IF($C467="WB","Case WB Box "&amp;(INT((COUNTIFS($C$2:$C467,"WB")-1)/81)+1)&amp;": "&amp;CHAR(65+INT(MOD(COUNTIFS($C$2:$C467,"WB")-1,81)/9))&amp;(MOD(COUNTIFS($C$2:$C467,"WB")-1,9)+1),"N/A"),"")</f>
        <v/>
      </c>
      <c r="L467" s="2" t="str">
        <f t="shared" si="127"/>
        <v/>
      </c>
      <c r="M467" s="2"/>
      <c r="N467" s="2"/>
      <c r="O467" s="2"/>
      <c r="P467" s="7" t="str">
        <f t="shared" si="128"/>
        <v/>
      </c>
      <c r="Q467" s="7" t="str">
        <f t="shared" si="129"/>
        <v/>
      </c>
      <c r="R467" s="7" t="str">
        <f t="shared" si="130"/>
        <v/>
      </c>
      <c r="S467" s="7" t="str">
        <f t="shared" si="131"/>
        <v/>
      </c>
      <c r="T467" s="7" t="str">
        <f t="shared" si="132"/>
        <v/>
      </c>
      <c r="U467" s="7" t="str">
        <f t="shared" si="133"/>
        <v/>
      </c>
      <c r="V467" s="7" t="str">
        <f t="shared" si="134"/>
        <v/>
      </c>
      <c r="W467" s="7" t="str">
        <f t="shared" si="135"/>
        <v/>
      </c>
      <c r="X467" s="7" t="str">
        <f t="shared" si="136"/>
        <v/>
      </c>
      <c r="Y467" s="7" t="str">
        <f t="shared" si="137"/>
        <v/>
      </c>
      <c r="Z467">
        <f t="shared" si="138"/>
        <v>0</v>
      </c>
      <c r="AA467" t="str">
        <f t="shared" si="139"/>
        <v/>
      </c>
      <c r="AB467" t="str">
        <f t="shared" si="140"/>
        <v/>
      </c>
      <c r="AC467" t="str">
        <f t="shared" si="141"/>
        <v/>
      </c>
      <c r="AD467" t="str">
        <f t="shared" si="142"/>
        <v/>
      </c>
      <c r="AE467">
        <f t="shared" si="143"/>
        <v>0</v>
      </c>
    </row>
    <row r="468" spans="1:31" ht="15" customHeight="1" x14ac:dyDescent="0.35">
      <c r="A468" s="2"/>
      <c r="B468" s="3"/>
      <c r="C468" s="3"/>
      <c r="D468" s="4"/>
      <c r="E468" s="5"/>
      <c r="F468" s="11" t="str">
        <f t="shared" ca="1" si="126"/>
        <v/>
      </c>
      <c r="G468" s="5"/>
      <c r="H468" s="6" t="str">
        <f>IF(AND($A468&lt;&gt;"",$B468&lt;&gt;"",$C468&lt;&gt;"",$D468&lt;&gt;"",$E468&lt;&gt;""),IF(AND($B468="s",OR($C468="SER",$C468="PLH",$C468="CSF")),"Case CDI Plate "&amp;(INT(((COUNTIFS($B$2:$B468,"s",$C$2:$C468,"SER")+COUNTIFS($B$2:$B468,"s",$C$2:$C468,"PLH")+COUNTIFS($B$2:$B468,"s",$C$2:$C468,"CSF"))-1)/96)+1)&amp;": "&amp;CHAR(65+INT(MOD((COUNTIFS($B$2:$B468,"s",$C$2:$C468,"SER")+COUNTIFS($B$2:$B468,"s",$C$2:$C468,"PLH")+COUNTIFS($B$2:$B468,"s",$C$2:$C468,"CSF"))-1,96)/12))&amp;(MOD((COUNTIFS($B$2:$B468,"s",$C$2:$C468,"SER")+COUNTIFS($B$2:$B468,"s",$C$2:$C468,"PLH")+COUNTIFS($B$2:$B468,"s",$C$2:$C468,"CSF"))-1,12)+1),"N/A"),"")</f>
        <v/>
      </c>
      <c r="I468" s="6" t="str">
        <f>IF(AND($A468&lt;&gt;"",$B468&lt;&gt;"",$C468&lt;&gt;"",$D468&lt;&gt;"",$E468&lt;&gt;""),IF(AND($B468="s",OR($C468="SER",$C468="PLH",$C468="CSF")),"Case NIH Plate "&amp;(INT(((COUNTIFS($B$2:$B468,"s",$C$2:$C468,"SER")+COUNTIFS($B$2:$B468,"s",$C$2:$C468,"PLH")+COUNTIFS($B$2:$B468,"s",$C$2:$C468,"CSF"))-1)/96)+1)&amp;": "&amp;CHAR(65+INT(MOD((COUNTIFS($B$2:$B468,"s",$C$2:$C468,"SER")+COUNTIFS($B$2:$B468,"s",$C$2:$C468,"PLH")+COUNTIFS($B$2:$B468,"s",$C$2:$C468,"CSF"))-1,96)/12))&amp;(MOD((COUNTIFS($B$2:$B468,"s",$C$2:$C468,"SER")+COUNTIFS($B$2:$B468,"s",$C$2:$C468,"PLH")+COUNTIFS($B$2:$B468,"s",$C$2:$C468,"CSF"))-1,12)+1),"N/A"),"")</f>
        <v/>
      </c>
      <c r="J468" s="6" t="str">
        <f>IF(AND($A468&lt;&gt;"",$B468&lt;&gt;"",$C468&lt;&gt;"",$D468&lt;&gt;"",$E468&lt;&gt;""),IF(AND($B468="s",OR($C468="SER",$C468="PLH")),"Case MAX Planck Plate "&amp;(INT(((COUNTIFS($B$2:$B468,"s",$C$2:$C468,"SER")+COUNTIFS($B$2:$B468,"s",$C$2:$C468,"PLH"))-1)/96)+1)&amp;": "&amp;CHAR(65+INT(MOD((COUNTIFS($B$2:$B468,"s",$C$2:$C468,"SER")+COUNTIFS($B$2:$B468,"s",$C$2:$C468,"PLH"))-1,96)/12))&amp;(MOD((COUNTIFS($B$2:$B468,"s",$C$2:$C468,"SER")+COUNTIFS($B$2:$B468,"s",$C$2:$C468,"PLH"))-1,12)+1),"N/A"),"")</f>
        <v/>
      </c>
      <c r="K468" s="6" t="str">
        <f>IF(AND($A468&lt;&gt;"",$B468&lt;&gt;"",$C468&lt;&gt;"",$D468&lt;&gt;"",$E468&lt;&gt;""),IF($C468="WB","Case WB Box "&amp;(INT((COUNTIFS($C$2:$C468,"WB")-1)/81)+1)&amp;": "&amp;CHAR(65+INT(MOD(COUNTIFS($C$2:$C468,"WB")-1,81)/9))&amp;(MOD(COUNTIFS($C$2:$C468,"WB")-1,9)+1),"N/A"),"")</f>
        <v/>
      </c>
      <c r="L468" s="2" t="str">
        <f t="shared" si="127"/>
        <v/>
      </c>
      <c r="M468" s="2"/>
      <c r="N468" s="2"/>
      <c r="O468" s="2"/>
      <c r="P468" s="7" t="str">
        <f t="shared" si="128"/>
        <v/>
      </c>
      <c r="Q468" s="7" t="str">
        <f t="shared" si="129"/>
        <v/>
      </c>
      <c r="R468" s="7" t="str">
        <f t="shared" si="130"/>
        <v/>
      </c>
      <c r="S468" s="7" t="str">
        <f t="shared" si="131"/>
        <v/>
      </c>
      <c r="T468" s="7" t="str">
        <f t="shared" si="132"/>
        <v/>
      </c>
      <c r="U468" s="7" t="str">
        <f t="shared" si="133"/>
        <v/>
      </c>
      <c r="V468" s="7" t="str">
        <f t="shared" si="134"/>
        <v/>
      </c>
      <c r="W468" s="7" t="str">
        <f t="shared" si="135"/>
        <v/>
      </c>
      <c r="X468" s="7" t="str">
        <f t="shared" si="136"/>
        <v/>
      </c>
      <c r="Y468" s="7" t="str">
        <f t="shared" si="137"/>
        <v/>
      </c>
      <c r="Z468">
        <f t="shared" si="138"/>
        <v>0</v>
      </c>
      <c r="AA468" t="str">
        <f t="shared" si="139"/>
        <v/>
      </c>
      <c r="AB468" t="str">
        <f t="shared" si="140"/>
        <v/>
      </c>
      <c r="AC468" t="str">
        <f t="shared" si="141"/>
        <v/>
      </c>
      <c r="AD468" t="str">
        <f t="shared" si="142"/>
        <v/>
      </c>
      <c r="AE468">
        <f t="shared" si="143"/>
        <v>0</v>
      </c>
    </row>
    <row r="469" spans="1:31" ht="15" customHeight="1" x14ac:dyDescent="0.35">
      <c r="A469" s="2"/>
      <c r="B469" s="3"/>
      <c r="C469" s="3"/>
      <c r="D469" s="4"/>
      <c r="E469" s="5"/>
      <c r="F469" s="11" t="str">
        <f t="shared" ca="1" si="126"/>
        <v/>
      </c>
      <c r="G469" s="5"/>
      <c r="H469" s="6" t="str">
        <f>IF(AND($A469&lt;&gt;"",$B469&lt;&gt;"",$C469&lt;&gt;"",$D469&lt;&gt;"",$E469&lt;&gt;""),IF(AND($B469="s",OR($C469="SER",$C469="PLH",$C469="CSF")),"Case CDI Plate "&amp;(INT(((COUNTIFS($B$2:$B469,"s",$C$2:$C469,"SER")+COUNTIFS($B$2:$B469,"s",$C$2:$C469,"PLH")+COUNTIFS($B$2:$B469,"s",$C$2:$C469,"CSF"))-1)/96)+1)&amp;": "&amp;CHAR(65+INT(MOD((COUNTIFS($B$2:$B469,"s",$C$2:$C469,"SER")+COUNTIFS($B$2:$B469,"s",$C$2:$C469,"PLH")+COUNTIFS($B$2:$B469,"s",$C$2:$C469,"CSF"))-1,96)/12))&amp;(MOD((COUNTIFS($B$2:$B469,"s",$C$2:$C469,"SER")+COUNTIFS($B$2:$B469,"s",$C$2:$C469,"PLH")+COUNTIFS($B$2:$B469,"s",$C$2:$C469,"CSF"))-1,12)+1),"N/A"),"")</f>
        <v/>
      </c>
      <c r="I469" s="6" t="str">
        <f>IF(AND($A469&lt;&gt;"",$B469&lt;&gt;"",$C469&lt;&gt;"",$D469&lt;&gt;"",$E469&lt;&gt;""),IF(AND($B469="s",OR($C469="SER",$C469="PLH",$C469="CSF")),"Case NIH Plate "&amp;(INT(((COUNTIFS($B$2:$B469,"s",$C$2:$C469,"SER")+COUNTIFS($B$2:$B469,"s",$C$2:$C469,"PLH")+COUNTIFS($B$2:$B469,"s",$C$2:$C469,"CSF"))-1)/96)+1)&amp;": "&amp;CHAR(65+INT(MOD((COUNTIFS($B$2:$B469,"s",$C$2:$C469,"SER")+COUNTIFS($B$2:$B469,"s",$C$2:$C469,"PLH")+COUNTIFS($B$2:$B469,"s",$C$2:$C469,"CSF"))-1,96)/12))&amp;(MOD((COUNTIFS($B$2:$B469,"s",$C$2:$C469,"SER")+COUNTIFS($B$2:$B469,"s",$C$2:$C469,"PLH")+COUNTIFS($B$2:$B469,"s",$C$2:$C469,"CSF"))-1,12)+1),"N/A"),"")</f>
        <v/>
      </c>
      <c r="J469" s="6" t="str">
        <f>IF(AND($A469&lt;&gt;"",$B469&lt;&gt;"",$C469&lt;&gt;"",$D469&lt;&gt;"",$E469&lt;&gt;""),IF(AND($B469="s",OR($C469="SER",$C469="PLH")),"Case MAX Planck Plate "&amp;(INT(((COUNTIFS($B$2:$B469,"s",$C$2:$C469,"SER")+COUNTIFS($B$2:$B469,"s",$C$2:$C469,"PLH"))-1)/96)+1)&amp;": "&amp;CHAR(65+INT(MOD((COUNTIFS($B$2:$B469,"s",$C$2:$C469,"SER")+COUNTIFS($B$2:$B469,"s",$C$2:$C469,"PLH"))-1,96)/12))&amp;(MOD((COUNTIFS($B$2:$B469,"s",$C$2:$C469,"SER")+COUNTIFS($B$2:$B469,"s",$C$2:$C469,"PLH"))-1,12)+1),"N/A"),"")</f>
        <v/>
      </c>
      <c r="K469" s="6" t="str">
        <f>IF(AND($A469&lt;&gt;"",$B469&lt;&gt;"",$C469&lt;&gt;"",$D469&lt;&gt;"",$E469&lt;&gt;""),IF($C469="WB","Case WB Box "&amp;(INT((COUNTIFS($C$2:$C469,"WB")-1)/81)+1)&amp;": "&amp;CHAR(65+INT(MOD(COUNTIFS($C$2:$C469,"WB")-1,81)/9))&amp;(MOD(COUNTIFS($C$2:$C469,"WB")-1,9)+1),"N/A"),"")</f>
        <v/>
      </c>
      <c r="L469" s="2" t="str">
        <f t="shared" si="127"/>
        <v/>
      </c>
      <c r="M469" s="2"/>
      <c r="N469" s="2"/>
      <c r="O469" s="2"/>
      <c r="P469" s="7" t="str">
        <f t="shared" si="128"/>
        <v/>
      </c>
      <c r="Q469" s="7" t="str">
        <f t="shared" si="129"/>
        <v/>
      </c>
      <c r="R469" s="7" t="str">
        <f t="shared" si="130"/>
        <v/>
      </c>
      <c r="S469" s="7" t="str">
        <f t="shared" si="131"/>
        <v/>
      </c>
      <c r="T469" s="7" t="str">
        <f t="shared" si="132"/>
        <v/>
      </c>
      <c r="U469" s="7" t="str">
        <f t="shared" si="133"/>
        <v/>
      </c>
      <c r="V469" s="7" t="str">
        <f t="shared" si="134"/>
        <v/>
      </c>
      <c r="W469" s="7" t="str">
        <f t="shared" si="135"/>
        <v/>
      </c>
      <c r="X469" s="7" t="str">
        <f t="shared" si="136"/>
        <v/>
      </c>
      <c r="Y469" s="7" t="str">
        <f t="shared" si="137"/>
        <v/>
      </c>
      <c r="Z469">
        <f t="shared" si="138"/>
        <v>0</v>
      </c>
      <c r="AA469" t="str">
        <f t="shared" si="139"/>
        <v/>
      </c>
      <c r="AB469" t="str">
        <f t="shared" si="140"/>
        <v/>
      </c>
      <c r="AC469" t="str">
        <f t="shared" si="141"/>
        <v/>
      </c>
      <c r="AD469" t="str">
        <f t="shared" si="142"/>
        <v/>
      </c>
      <c r="AE469">
        <f t="shared" si="143"/>
        <v>0</v>
      </c>
    </row>
    <row r="470" spans="1:31" ht="15" customHeight="1" x14ac:dyDescent="0.35">
      <c r="A470" s="2"/>
      <c r="B470" s="3"/>
      <c r="C470" s="3"/>
      <c r="D470" s="4"/>
      <c r="E470" s="5"/>
      <c r="F470" s="11" t="str">
        <f t="shared" ca="1" si="126"/>
        <v/>
      </c>
      <c r="G470" s="5"/>
      <c r="H470" s="6" t="str">
        <f>IF(AND($A470&lt;&gt;"",$B470&lt;&gt;"",$C470&lt;&gt;"",$D470&lt;&gt;"",$E470&lt;&gt;""),IF(AND($B470="s",OR($C470="SER",$C470="PLH",$C470="CSF")),"Case CDI Plate "&amp;(INT(((COUNTIFS($B$2:$B470,"s",$C$2:$C470,"SER")+COUNTIFS($B$2:$B470,"s",$C$2:$C470,"PLH")+COUNTIFS($B$2:$B470,"s",$C$2:$C470,"CSF"))-1)/96)+1)&amp;": "&amp;CHAR(65+INT(MOD((COUNTIFS($B$2:$B470,"s",$C$2:$C470,"SER")+COUNTIFS($B$2:$B470,"s",$C$2:$C470,"PLH")+COUNTIFS($B$2:$B470,"s",$C$2:$C470,"CSF"))-1,96)/12))&amp;(MOD((COUNTIFS($B$2:$B470,"s",$C$2:$C470,"SER")+COUNTIFS($B$2:$B470,"s",$C$2:$C470,"PLH")+COUNTIFS($B$2:$B470,"s",$C$2:$C470,"CSF"))-1,12)+1),"N/A"),"")</f>
        <v/>
      </c>
      <c r="I470" s="6" t="str">
        <f>IF(AND($A470&lt;&gt;"",$B470&lt;&gt;"",$C470&lt;&gt;"",$D470&lt;&gt;"",$E470&lt;&gt;""),IF(AND($B470="s",OR($C470="SER",$C470="PLH",$C470="CSF")),"Case NIH Plate "&amp;(INT(((COUNTIFS($B$2:$B470,"s",$C$2:$C470,"SER")+COUNTIFS($B$2:$B470,"s",$C$2:$C470,"PLH")+COUNTIFS($B$2:$B470,"s",$C$2:$C470,"CSF"))-1)/96)+1)&amp;": "&amp;CHAR(65+INT(MOD((COUNTIFS($B$2:$B470,"s",$C$2:$C470,"SER")+COUNTIFS($B$2:$B470,"s",$C$2:$C470,"PLH")+COUNTIFS($B$2:$B470,"s",$C$2:$C470,"CSF"))-1,96)/12))&amp;(MOD((COUNTIFS($B$2:$B470,"s",$C$2:$C470,"SER")+COUNTIFS($B$2:$B470,"s",$C$2:$C470,"PLH")+COUNTIFS($B$2:$B470,"s",$C$2:$C470,"CSF"))-1,12)+1),"N/A"),"")</f>
        <v/>
      </c>
      <c r="J470" s="6" t="str">
        <f>IF(AND($A470&lt;&gt;"",$B470&lt;&gt;"",$C470&lt;&gt;"",$D470&lt;&gt;"",$E470&lt;&gt;""),IF(AND($B470="s",OR($C470="SER",$C470="PLH")),"Case MAX Planck Plate "&amp;(INT(((COUNTIFS($B$2:$B470,"s",$C$2:$C470,"SER")+COUNTIFS($B$2:$B470,"s",$C$2:$C470,"PLH"))-1)/96)+1)&amp;": "&amp;CHAR(65+INT(MOD((COUNTIFS($B$2:$B470,"s",$C$2:$C470,"SER")+COUNTIFS($B$2:$B470,"s",$C$2:$C470,"PLH"))-1,96)/12))&amp;(MOD((COUNTIFS($B$2:$B470,"s",$C$2:$C470,"SER")+COUNTIFS($B$2:$B470,"s",$C$2:$C470,"PLH"))-1,12)+1),"N/A"),"")</f>
        <v/>
      </c>
      <c r="K470" s="6" t="str">
        <f>IF(AND($A470&lt;&gt;"",$B470&lt;&gt;"",$C470&lt;&gt;"",$D470&lt;&gt;"",$E470&lt;&gt;""),IF($C470="WB","Case WB Box "&amp;(INT((COUNTIFS($C$2:$C470,"WB")-1)/81)+1)&amp;": "&amp;CHAR(65+INT(MOD(COUNTIFS($C$2:$C470,"WB")-1,81)/9))&amp;(MOD(COUNTIFS($C$2:$C470,"WB")-1,9)+1),"N/A"),"")</f>
        <v/>
      </c>
      <c r="L470" s="2" t="str">
        <f t="shared" si="127"/>
        <v/>
      </c>
      <c r="M470" s="2"/>
      <c r="N470" s="2"/>
      <c r="O470" s="2"/>
      <c r="P470" s="7" t="str">
        <f t="shared" si="128"/>
        <v/>
      </c>
      <c r="Q470" s="7" t="str">
        <f t="shared" si="129"/>
        <v/>
      </c>
      <c r="R470" s="7" t="str">
        <f t="shared" si="130"/>
        <v/>
      </c>
      <c r="S470" s="7" t="str">
        <f t="shared" si="131"/>
        <v/>
      </c>
      <c r="T470" s="7" t="str">
        <f t="shared" si="132"/>
        <v/>
      </c>
      <c r="U470" s="7" t="str">
        <f t="shared" si="133"/>
        <v/>
      </c>
      <c r="V470" s="7" t="str">
        <f t="shared" si="134"/>
        <v/>
      </c>
      <c r="W470" s="7" t="str">
        <f t="shared" si="135"/>
        <v/>
      </c>
      <c r="X470" s="7" t="str">
        <f t="shared" si="136"/>
        <v/>
      </c>
      <c r="Y470" s="7" t="str">
        <f t="shared" si="137"/>
        <v/>
      </c>
      <c r="Z470">
        <f t="shared" si="138"/>
        <v>0</v>
      </c>
      <c r="AA470" t="str">
        <f t="shared" si="139"/>
        <v/>
      </c>
      <c r="AB470" t="str">
        <f t="shared" si="140"/>
        <v/>
      </c>
      <c r="AC470" t="str">
        <f t="shared" si="141"/>
        <v/>
      </c>
      <c r="AD470" t="str">
        <f t="shared" si="142"/>
        <v/>
      </c>
      <c r="AE470">
        <f t="shared" si="143"/>
        <v>0</v>
      </c>
    </row>
    <row r="471" spans="1:31" ht="15" customHeight="1" x14ac:dyDescent="0.35">
      <c r="A471" s="2"/>
      <c r="B471" s="3"/>
      <c r="C471" s="3"/>
      <c r="D471" s="4"/>
      <c r="E471" s="5"/>
      <c r="F471" s="11" t="str">
        <f t="shared" ca="1" si="126"/>
        <v/>
      </c>
      <c r="G471" s="5"/>
      <c r="H471" s="6" t="str">
        <f>IF(AND($A471&lt;&gt;"",$B471&lt;&gt;"",$C471&lt;&gt;"",$D471&lt;&gt;"",$E471&lt;&gt;""),IF(AND($B471="s",OR($C471="SER",$C471="PLH",$C471="CSF")),"Case CDI Plate "&amp;(INT(((COUNTIFS($B$2:$B471,"s",$C$2:$C471,"SER")+COUNTIFS($B$2:$B471,"s",$C$2:$C471,"PLH")+COUNTIFS($B$2:$B471,"s",$C$2:$C471,"CSF"))-1)/96)+1)&amp;": "&amp;CHAR(65+INT(MOD((COUNTIFS($B$2:$B471,"s",$C$2:$C471,"SER")+COUNTIFS($B$2:$B471,"s",$C$2:$C471,"PLH")+COUNTIFS($B$2:$B471,"s",$C$2:$C471,"CSF"))-1,96)/12))&amp;(MOD((COUNTIFS($B$2:$B471,"s",$C$2:$C471,"SER")+COUNTIFS($B$2:$B471,"s",$C$2:$C471,"PLH")+COUNTIFS($B$2:$B471,"s",$C$2:$C471,"CSF"))-1,12)+1),"N/A"),"")</f>
        <v/>
      </c>
      <c r="I471" s="6" t="str">
        <f>IF(AND($A471&lt;&gt;"",$B471&lt;&gt;"",$C471&lt;&gt;"",$D471&lt;&gt;"",$E471&lt;&gt;""),IF(AND($B471="s",OR($C471="SER",$C471="PLH",$C471="CSF")),"Case NIH Plate "&amp;(INT(((COUNTIFS($B$2:$B471,"s",$C$2:$C471,"SER")+COUNTIFS($B$2:$B471,"s",$C$2:$C471,"PLH")+COUNTIFS($B$2:$B471,"s",$C$2:$C471,"CSF"))-1)/96)+1)&amp;": "&amp;CHAR(65+INT(MOD((COUNTIFS($B$2:$B471,"s",$C$2:$C471,"SER")+COUNTIFS($B$2:$B471,"s",$C$2:$C471,"PLH")+COUNTIFS($B$2:$B471,"s",$C$2:$C471,"CSF"))-1,96)/12))&amp;(MOD((COUNTIFS($B$2:$B471,"s",$C$2:$C471,"SER")+COUNTIFS($B$2:$B471,"s",$C$2:$C471,"PLH")+COUNTIFS($B$2:$B471,"s",$C$2:$C471,"CSF"))-1,12)+1),"N/A"),"")</f>
        <v/>
      </c>
      <c r="J471" s="6" t="str">
        <f>IF(AND($A471&lt;&gt;"",$B471&lt;&gt;"",$C471&lt;&gt;"",$D471&lt;&gt;"",$E471&lt;&gt;""),IF(AND($B471="s",OR($C471="SER",$C471="PLH")),"Case MAX Planck Plate "&amp;(INT(((COUNTIFS($B$2:$B471,"s",$C$2:$C471,"SER")+COUNTIFS($B$2:$B471,"s",$C$2:$C471,"PLH"))-1)/96)+1)&amp;": "&amp;CHAR(65+INT(MOD((COUNTIFS($B$2:$B471,"s",$C$2:$C471,"SER")+COUNTIFS($B$2:$B471,"s",$C$2:$C471,"PLH"))-1,96)/12))&amp;(MOD((COUNTIFS($B$2:$B471,"s",$C$2:$C471,"SER")+COUNTIFS($B$2:$B471,"s",$C$2:$C471,"PLH"))-1,12)+1),"N/A"),"")</f>
        <v/>
      </c>
      <c r="K471" s="6" t="str">
        <f>IF(AND($A471&lt;&gt;"",$B471&lt;&gt;"",$C471&lt;&gt;"",$D471&lt;&gt;"",$E471&lt;&gt;""),IF($C471="WB","Case WB Box "&amp;(INT((COUNTIFS($C$2:$C471,"WB")-1)/81)+1)&amp;": "&amp;CHAR(65+INT(MOD(COUNTIFS($C$2:$C471,"WB")-1,81)/9))&amp;(MOD(COUNTIFS($C$2:$C471,"WB")-1,9)+1),"N/A"),"")</f>
        <v/>
      </c>
      <c r="L471" s="2" t="str">
        <f t="shared" si="127"/>
        <v/>
      </c>
      <c r="M471" s="2"/>
      <c r="N471" s="2"/>
      <c r="O471" s="2"/>
      <c r="P471" s="7" t="str">
        <f t="shared" si="128"/>
        <v/>
      </c>
      <c r="Q471" s="7" t="str">
        <f t="shared" si="129"/>
        <v/>
      </c>
      <c r="R471" s="7" t="str">
        <f t="shared" si="130"/>
        <v/>
      </c>
      <c r="S471" s="7" t="str">
        <f t="shared" si="131"/>
        <v/>
      </c>
      <c r="T471" s="7" t="str">
        <f t="shared" si="132"/>
        <v/>
      </c>
      <c r="U471" s="7" t="str">
        <f t="shared" si="133"/>
        <v/>
      </c>
      <c r="V471" s="7" t="str">
        <f t="shared" si="134"/>
        <v/>
      </c>
      <c r="W471" s="7" t="str">
        <f t="shared" si="135"/>
        <v/>
      </c>
      <c r="X471" s="7" t="str">
        <f t="shared" si="136"/>
        <v/>
      </c>
      <c r="Y471" s="7" t="str">
        <f t="shared" si="137"/>
        <v/>
      </c>
      <c r="Z471">
        <f t="shared" si="138"/>
        <v>0</v>
      </c>
      <c r="AA471" t="str">
        <f t="shared" si="139"/>
        <v/>
      </c>
      <c r="AB471" t="str">
        <f t="shared" si="140"/>
        <v/>
      </c>
      <c r="AC471" t="str">
        <f t="shared" si="141"/>
        <v/>
      </c>
      <c r="AD471" t="str">
        <f t="shared" si="142"/>
        <v/>
      </c>
      <c r="AE471">
        <f t="shared" si="143"/>
        <v>0</v>
      </c>
    </row>
    <row r="472" spans="1:31" ht="15" customHeight="1" x14ac:dyDescent="0.35">
      <c r="A472" s="2"/>
      <c r="B472" s="3"/>
      <c r="C472" s="3"/>
      <c r="D472" s="4"/>
      <c r="E472" s="5"/>
      <c r="F472" s="11" t="str">
        <f t="shared" ca="1" si="126"/>
        <v/>
      </c>
      <c r="G472" s="5"/>
      <c r="H472" s="6" t="str">
        <f>IF(AND($A472&lt;&gt;"",$B472&lt;&gt;"",$C472&lt;&gt;"",$D472&lt;&gt;"",$E472&lt;&gt;""),IF(AND($B472="s",OR($C472="SER",$C472="PLH",$C472="CSF")),"Case CDI Plate "&amp;(INT(((COUNTIFS($B$2:$B472,"s",$C$2:$C472,"SER")+COUNTIFS($B$2:$B472,"s",$C$2:$C472,"PLH")+COUNTIFS($B$2:$B472,"s",$C$2:$C472,"CSF"))-1)/96)+1)&amp;": "&amp;CHAR(65+INT(MOD((COUNTIFS($B$2:$B472,"s",$C$2:$C472,"SER")+COUNTIFS($B$2:$B472,"s",$C$2:$C472,"PLH")+COUNTIFS($B$2:$B472,"s",$C$2:$C472,"CSF"))-1,96)/12))&amp;(MOD((COUNTIFS($B$2:$B472,"s",$C$2:$C472,"SER")+COUNTIFS($B$2:$B472,"s",$C$2:$C472,"PLH")+COUNTIFS($B$2:$B472,"s",$C$2:$C472,"CSF"))-1,12)+1),"N/A"),"")</f>
        <v/>
      </c>
      <c r="I472" s="6" t="str">
        <f>IF(AND($A472&lt;&gt;"",$B472&lt;&gt;"",$C472&lt;&gt;"",$D472&lt;&gt;"",$E472&lt;&gt;""),IF(AND($B472="s",OR($C472="SER",$C472="PLH",$C472="CSF")),"Case NIH Plate "&amp;(INT(((COUNTIFS($B$2:$B472,"s",$C$2:$C472,"SER")+COUNTIFS($B$2:$B472,"s",$C$2:$C472,"PLH")+COUNTIFS($B$2:$B472,"s",$C$2:$C472,"CSF"))-1)/96)+1)&amp;": "&amp;CHAR(65+INT(MOD((COUNTIFS($B$2:$B472,"s",$C$2:$C472,"SER")+COUNTIFS($B$2:$B472,"s",$C$2:$C472,"PLH")+COUNTIFS($B$2:$B472,"s",$C$2:$C472,"CSF"))-1,96)/12))&amp;(MOD((COUNTIFS($B$2:$B472,"s",$C$2:$C472,"SER")+COUNTIFS($B$2:$B472,"s",$C$2:$C472,"PLH")+COUNTIFS($B$2:$B472,"s",$C$2:$C472,"CSF"))-1,12)+1),"N/A"),"")</f>
        <v/>
      </c>
      <c r="J472" s="6" t="str">
        <f>IF(AND($A472&lt;&gt;"",$B472&lt;&gt;"",$C472&lt;&gt;"",$D472&lt;&gt;"",$E472&lt;&gt;""),IF(AND($B472="s",OR($C472="SER",$C472="PLH")),"Case MAX Planck Plate "&amp;(INT(((COUNTIFS($B$2:$B472,"s",$C$2:$C472,"SER")+COUNTIFS($B$2:$B472,"s",$C$2:$C472,"PLH"))-1)/96)+1)&amp;": "&amp;CHAR(65+INT(MOD((COUNTIFS($B$2:$B472,"s",$C$2:$C472,"SER")+COUNTIFS($B$2:$B472,"s",$C$2:$C472,"PLH"))-1,96)/12))&amp;(MOD((COUNTIFS($B$2:$B472,"s",$C$2:$C472,"SER")+COUNTIFS($B$2:$B472,"s",$C$2:$C472,"PLH"))-1,12)+1),"N/A"),"")</f>
        <v/>
      </c>
      <c r="K472" s="6" t="str">
        <f>IF(AND($A472&lt;&gt;"",$B472&lt;&gt;"",$C472&lt;&gt;"",$D472&lt;&gt;"",$E472&lt;&gt;""),IF($C472="WB","Case WB Box "&amp;(INT((COUNTIFS($C$2:$C472,"WB")-1)/81)+1)&amp;": "&amp;CHAR(65+INT(MOD(COUNTIFS($C$2:$C472,"WB")-1,81)/9))&amp;(MOD(COUNTIFS($C$2:$C472,"WB")-1,9)+1),"N/A"),"")</f>
        <v/>
      </c>
      <c r="L472" s="2" t="str">
        <f t="shared" si="127"/>
        <v/>
      </c>
      <c r="M472" s="2"/>
      <c r="N472" s="2"/>
      <c r="O472" s="2"/>
      <c r="P472" s="7" t="str">
        <f t="shared" si="128"/>
        <v/>
      </c>
      <c r="Q472" s="7" t="str">
        <f t="shared" si="129"/>
        <v/>
      </c>
      <c r="R472" s="7" t="str">
        <f t="shared" si="130"/>
        <v/>
      </c>
      <c r="S472" s="7" t="str">
        <f t="shared" si="131"/>
        <v/>
      </c>
      <c r="T472" s="7" t="str">
        <f t="shared" si="132"/>
        <v/>
      </c>
      <c r="U472" s="7" t="str">
        <f t="shared" si="133"/>
        <v/>
      </c>
      <c r="V472" s="7" t="str">
        <f t="shared" si="134"/>
        <v/>
      </c>
      <c r="W472" s="7" t="str">
        <f t="shared" si="135"/>
        <v/>
      </c>
      <c r="X472" s="7" t="str">
        <f t="shared" si="136"/>
        <v/>
      </c>
      <c r="Y472" s="7" t="str">
        <f t="shared" si="137"/>
        <v/>
      </c>
      <c r="Z472">
        <f t="shared" si="138"/>
        <v>0</v>
      </c>
      <c r="AA472" t="str">
        <f t="shared" si="139"/>
        <v/>
      </c>
      <c r="AB472" t="str">
        <f t="shared" si="140"/>
        <v/>
      </c>
      <c r="AC472" t="str">
        <f t="shared" si="141"/>
        <v/>
      </c>
      <c r="AD472" t="str">
        <f t="shared" si="142"/>
        <v/>
      </c>
      <c r="AE472">
        <f t="shared" si="143"/>
        <v>0</v>
      </c>
    </row>
    <row r="473" spans="1:31" ht="15" customHeight="1" x14ac:dyDescent="0.35">
      <c r="A473" s="2"/>
      <c r="B473" s="3"/>
      <c r="C473" s="3"/>
      <c r="D473" s="4"/>
      <c r="E473" s="5"/>
      <c r="F473" s="11" t="str">
        <f t="shared" ca="1" si="126"/>
        <v/>
      </c>
      <c r="G473" s="5"/>
      <c r="H473" s="6" t="str">
        <f>IF(AND($A473&lt;&gt;"",$B473&lt;&gt;"",$C473&lt;&gt;"",$D473&lt;&gt;"",$E473&lt;&gt;""),IF(AND($B473="s",OR($C473="SER",$C473="PLH",$C473="CSF")),"Case CDI Plate "&amp;(INT(((COUNTIFS($B$2:$B473,"s",$C$2:$C473,"SER")+COUNTIFS($B$2:$B473,"s",$C$2:$C473,"PLH")+COUNTIFS($B$2:$B473,"s",$C$2:$C473,"CSF"))-1)/96)+1)&amp;": "&amp;CHAR(65+INT(MOD((COUNTIFS($B$2:$B473,"s",$C$2:$C473,"SER")+COUNTIFS($B$2:$B473,"s",$C$2:$C473,"PLH")+COUNTIFS($B$2:$B473,"s",$C$2:$C473,"CSF"))-1,96)/12))&amp;(MOD((COUNTIFS($B$2:$B473,"s",$C$2:$C473,"SER")+COUNTIFS($B$2:$B473,"s",$C$2:$C473,"PLH")+COUNTIFS($B$2:$B473,"s",$C$2:$C473,"CSF"))-1,12)+1),"N/A"),"")</f>
        <v/>
      </c>
      <c r="I473" s="6" t="str">
        <f>IF(AND($A473&lt;&gt;"",$B473&lt;&gt;"",$C473&lt;&gt;"",$D473&lt;&gt;"",$E473&lt;&gt;""),IF(AND($B473="s",OR($C473="SER",$C473="PLH",$C473="CSF")),"Case NIH Plate "&amp;(INT(((COUNTIFS($B$2:$B473,"s",$C$2:$C473,"SER")+COUNTIFS($B$2:$B473,"s",$C$2:$C473,"PLH")+COUNTIFS($B$2:$B473,"s",$C$2:$C473,"CSF"))-1)/96)+1)&amp;": "&amp;CHAR(65+INT(MOD((COUNTIFS($B$2:$B473,"s",$C$2:$C473,"SER")+COUNTIFS($B$2:$B473,"s",$C$2:$C473,"PLH")+COUNTIFS($B$2:$B473,"s",$C$2:$C473,"CSF"))-1,96)/12))&amp;(MOD((COUNTIFS($B$2:$B473,"s",$C$2:$C473,"SER")+COUNTIFS($B$2:$B473,"s",$C$2:$C473,"PLH")+COUNTIFS($B$2:$B473,"s",$C$2:$C473,"CSF"))-1,12)+1),"N/A"),"")</f>
        <v/>
      </c>
      <c r="J473" s="6" t="str">
        <f>IF(AND($A473&lt;&gt;"",$B473&lt;&gt;"",$C473&lt;&gt;"",$D473&lt;&gt;"",$E473&lt;&gt;""),IF(AND($B473="s",OR($C473="SER",$C473="PLH")),"Case MAX Planck Plate "&amp;(INT(((COUNTIFS($B$2:$B473,"s",$C$2:$C473,"SER")+COUNTIFS($B$2:$B473,"s",$C$2:$C473,"PLH"))-1)/96)+1)&amp;": "&amp;CHAR(65+INT(MOD((COUNTIFS($B$2:$B473,"s",$C$2:$C473,"SER")+COUNTIFS($B$2:$B473,"s",$C$2:$C473,"PLH"))-1,96)/12))&amp;(MOD((COUNTIFS($B$2:$B473,"s",$C$2:$C473,"SER")+COUNTIFS($B$2:$B473,"s",$C$2:$C473,"PLH"))-1,12)+1),"N/A"),"")</f>
        <v/>
      </c>
      <c r="K473" s="6" t="str">
        <f>IF(AND($A473&lt;&gt;"",$B473&lt;&gt;"",$C473&lt;&gt;"",$D473&lt;&gt;"",$E473&lt;&gt;""),IF($C473="WB","Case WB Box "&amp;(INT((COUNTIFS($C$2:$C473,"WB")-1)/81)+1)&amp;": "&amp;CHAR(65+INT(MOD(COUNTIFS($C$2:$C473,"WB")-1,81)/9))&amp;(MOD(COUNTIFS($C$2:$C473,"WB")-1,9)+1),"N/A"),"")</f>
        <v/>
      </c>
      <c r="L473" s="2" t="str">
        <f t="shared" si="127"/>
        <v/>
      </c>
      <c r="M473" s="2"/>
      <c r="N473" s="2"/>
      <c r="O473" s="2"/>
      <c r="P473" s="7" t="str">
        <f t="shared" si="128"/>
        <v/>
      </c>
      <c r="Q473" s="7" t="str">
        <f t="shared" si="129"/>
        <v/>
      </c>
      <c r="R473" s="7" t="str">
        <f t="shared" si="130"/>
        <v/>
      </c>
      <c r="S473" s="7" t="str">
        <f t="shared" si="131"/>
        <v/>
      </c>
      <c r="T473" s="7" t="str">
        <f t="shared" si="132"/>
        <v/>
      </c>
      <c r="U473" s="7" t="str">
        <f t="shared" si="133"/>
        <v/>
      </c>
      <c r="V473" s="7" t="str">
        <f t="shared" si="134"/>
        <v/>
      </c>
      <c r="W473" s="7" t="str">
        <f t="shared" si="135"/>
        <v/>
      </c>
      <c r="X473" s="7" t="str">
        <f t="shared" si="136"/>
        <v/>
      </c>
      <c r="Y473" s="7" t="str">
        <f t="shared" si="137"/>
        <v/>
      </c>
      <c r="Z473">
        <f t="shared" si="138"/>
        <v>0</v>
      </c>
      <c r="AA473" t="str">
        <f t="shared" si="139"/>
        <v/>
      </c>
      <c r="AB473" t="str">
        <f t="shared" si="140"/>
        <v/>
      </c>
      <c r="AC473" t="str">
        <f t="shared" si="141"/>
        <v/>
      </c>
      <c r="AD473" t="str">
        <f t="shared" si="142"/>
        <v/>
      </c>
      <c r="AE473">
        <f t="shared" si="143"/>
        <v>0</v>
      </c>
    </row>
    <row r="474" spans="1:31" ht="15" customHeight="1" x14ac:dyDescent="0.35">
      <c r="A474" s="2"/>
      <c r="B474" s="3"/>
      <c r="C474" s="3"/>
      <c r="D474" s="4"/>
      <c r="E474" s="5"/>
      <c r="F474" s="11" t="str">
        <f t="shared" ca="1" si="126"/>
        <v/>
      </c>
      <c r="G474" s="5"/>
      <c r="H474" s="6" t="str">
        <f>IF(AND($A474&lt;&gt;"",$B474&lt;&gt;"",$C474&lt;&gt;"",$D474&lt;&gt;"",$E474&lt;&gt;""),IF(AND($B474="s",OR($C474="SER",$C474="PLH",$C474="CSF")),"Case CDI Plate "&amp;(INT(((COUNTIFS($B$2:$B474,"s",$C$2:$C474,"SER")+COUNTIFS($B$2:$B474,"s",$C$2:$C474,"PLH")+COUNTIFS($B$2:$B474,"s",$C$2:$C474,"CSF"))-1)/96)+1)&amp;": "&amp;CHAR(65+INT(MOD((COUNTIFS($B$2:$B474,"s",$C$2:$C474,"SER")+COUNTIFS($B$2:$B474,"s",$C$2:$C474,"PLH")+COUNTIFS($B$2:$B474,"s",$C$2:$C474,"CSF"))-1,96)/12))&amp;(MOD((COUNTIFS($B$2:$B474,"s",$C$2:$C474,"SER")+COUNTIFS($B$2:$B474,"s",$C$2:$C474,"PLH")+COUNTIFS($B$2:$B474,"s",$C$2:$C474,"CSF"))-1,12)+1),"N/A"),"")</f>
        <v/>
      </c>
      <c r="I474" s="6" t="str">
        <f>IF(AND($A474&lt;&gt;"",$B474&lt;&gt;"",$C474&lt;&gt;"",$D474&lt;&gt;"",$E474&lt;&gt;""),IF(AND($B474="s",OR($C474="SER",$C474="PLH",$C474="CSF")),"Case NIH Plate "&amp;(INT(((COUNTIFS($B$2:$B474,"s",$C$2:$C474,"SER")+COUNTIFS($B$2:$B474,"s",$C$2:$C474,"PLH")+COUNTIFS($B$2:$B474,"s",$C$2:$C474,"CSF"))-1)/96)+1)&amp;": "&amp;CHAR(65+INT(MOD((COUNTIFS($B$2:$B474,"s",$C$2:$C474,"SER")+COUNTIFS($B$2:$B474,"s",$C$2:$C474,"PLH")+COUNTIFS($B$2:$B474,"s",$C$2:$C474,"CSF"))-1,96)/12))&amp;(MOD((COUNTIFS($B$2:$B474,"s",$C$2:$C474,"SER")+COUNTIFS($B$2:$B474,"s",$C$2:$C474,"PLH")+COUNTIFS($B$2:$B474,"s",$C$2:$C474,"CSF"))-1,12)+1),"N/A"),"")</f>
        <v/>
      </c>
      <c r="J474" s="6" t="str">
        <f>IF(AND($A474&lt;&gt;"",$B474&lt;&gt;"",$C474&lt;&gt;"",$D474&lt;&gt;"",$E474&lt;&gt;""),IF(AND($B474="s",OR($C474="SER",$C474="PLH")),"Case MAX Planck Plate "&amp;(INT(((COUNTIFS($B$2:$B474,"s",$C$2:$C474,"SER")+COUNTIFS($B$2:$B474,"s",$C$2:$C474,"PLH"))-1)/96)+1)&amp;": "&amp;CHAR(65+INT(MOD((COUNTIFS($B$2:$B474,"s",$C$2:$C474,"SER")+COUNTIFS($B$2:$B474,"s",$C$2:$C474,"PLH"))-1,96)/12))&amp;(MOD((COUNTIFS($B$2:$B474,"s",$C$2:$C474,"SER")+COUNTIFS($B$2:$B474,"s",$C$2:$C474,"PLH"))-1,12)+1),"N/A"),"")</f>
        <v/>
      </c>
      <c r="K474" s="6" t="str">
        <f>IF(AND($A474&lt;&gt;"",$B474&lt;&gt;"",$C474&lt;&gt;"",$D474&lt;&gt;"",$E474&lt;&gt;""),IF($C474="WB","Case WB Box "&amp;(INT((COUNTIFS($C$2:$C474,"WB")-1)/81)+1)&amp;": "&amp;CHAR(65+INT(MOD(COUNTIFS($C$2:$C474,"WB")-1,81)/9))&amp;(MOD(COUNTIFS($C$2:$C474,"WB")-1,9)+1),"N/A"),"")</f>
        <v/>
      </c>
      <c r="L474" s="2" t="str">
        <f t="shared" si="127"/>
        <v/>
      </c>
      <c r="M474" s="2"/>
      <c r="N474" s="2"/>
      <c r="O474" s="2"/>
      <c r="P474" s="7" t="str">
        <f t="shared" si="128"/>
        <v/>
      </c>
      <c r="Q474" s="7" t="str">
        <f t="shared" si="129"/>
        <v/>
      </c>
      <c r="R474" s="7" t="str">
        <f t="shared" si="130"/>
        <v/>
      </c>
      <c r="S474" s="7" t="str">
        <f t="shared" si="131"/>
        <v/>
      </c>
      <c r="T474" s="7" t="str">
        <f t="shared" si="132"/>
        <v/>
      </c>
      <c r="U474" s="7" t="str">
        <f t="shared" si="133"/>
        <v/>
      </c>
      <c r="V474" s="7" t="str">
        <f t="shared" si="134"/>
        <v/>
      </c>
      <c r="W474" s="7" t="str">
        <f t="shared" si="135"/>
        <v/>
      </c>
      <c r="X474" s="7" t="str">
        <f t="shared" si="136"/>
        <v/>
      </c>
      <c r="Y474" s="7" t="str">
        <f t="shared" si="137"/>
        <v/>
      </c>
      <c r="Z474">
        <f t="shared" si="138"/>
        <v>0</v>
      </c>
      <c r="AA474" t="str">
        <f t="shared" si="139"/>
        <v/>
      </c>
      <c r="AB474" t="str">
        <f t="shared" si="140"/>
        <v/>
      </c>
      <c r="AC474" t="str">
        <f t="shared" si="141"/>
        <v/>
      </c>
      <c r="AD474" t="str">
        <f t="shared" si="142"/>
        <v/>
      </c>
      <c r="AE474">
        <f t="shared" si="143"/>
        <v>0</v>
      </c>
    </row>
    <row r="475" spans="1:31" ht="15" customHeight="1" x14ac:dyDescent="0.35">
      <c r="A475" s="2"/>
      <c r="B475" s="3"/>
      <c r="C475" s="3"/>
      <c r="D475" s="4"/>
      <c r="E475" s="5"/>
      <c r="F475" s="11" t="str">
        <f t="shared" ca="1" si="126"/>
        <v/>
      </c>
      <c r="G475" s="5"/>
      <c r="H475" s="6" t="str">
        <f>IF(AND($A475&lt;&gt;"",$B475&lt;&gt;"",$C475&lt;&gt;"",$D475&lt;&gt;"",$E475&lt;&gt;""),IF(AND($B475="s",OR($C475="SER",$C475="PLH",$C475="CSF")),"Case CDI Plate "&amp;(INT(((COUNTIFS($B$2:$B475,"s",$C$2:$C475,"SER")+COUNTIFS($B$2:$B475,"s",$C$2:$C475,"PLH")+COUNTIFS($B$2:$B475,"s",$C$2:$C475,"CSF"))-1)/96)+1)&amp;": "&amp;CHAR(65+INT(MOD((COUNTIFS($B$2:$B475,"s",$C$2:$C475,"SER")+COUNTIFS($B$2:$B475,"s",$C$2:$C475,"PLH")+COUNTIFS($B$2:$B475,"s",$C$2:$C475,"CSF"))-1,96)/12))&amp;(MOD((COUNTIFS($B$2:$B475,"s",$C$2:$C475,"SER")+COUNTIFS($B$2:$B475,"s",$C$2:$C475,"PLH")+COUNTIFS($B$2:$B475,"s",$C$2:$C475,"CSF"))-1,12)+1),"N/A"),"")</f>
        <v/>
      </c>
      <c r="I475" s="6" t="str">
        <f>IF(AND($A475&lt;&gt;"",$B475&lt;&gt;"",$C475&lt;&gt;"",$D475&lt;&gt;"",$E475&lt;&gt;""),IF(AND($B475="s",OR($C475="SER",$C475="PLH",$C475="CSF")),"Case NIH Plate "&amp;(INT(((COUNTIFS($B$2:$B475,"s",$C$2:$C475,"SER")+COUNTIFS($B$2:$B475,"s",$C$2:$C475,"PLH")+COUNTIFS($B$2:$B475,"s",$C$2:$C475,"CSF"))-1)/96)+1)&amp;": "&amp;CHAR(65+INT(MOD((COUNTIFS($B$2:$B475,"s",$C$2:$C475,"SER")+COUNTIFS($B$2:$B475,"s",$C$2:$C475,"PLH")+COUNTIFS($B$2:$B475,"s",$C$2:$C475,"CSF"))-1,96)/12))&amp;(MOD((COUNTIFS($B$2:$B475,"s",$C$2:$C475,"SER")+COUNTIFS($B$2:$B475,"s",$C$2:$C475,"PLH")+COUNTIFS($B$2:$B475,"s",$C$2:$C475,"CSF"))-1,12)+1),"N/A"),"")</f>
        <v/>
      </c>
      <c r="J475" s="6" t="str">
        <f>IF(AND($A475&lt;&gt;"",$B475&lt;&gt;"",$C475&lt;&gt;"",$D475&lt;&gt;"",$E475&lt;&gt;""),IF(AND($B475="s",OR($C475="SER",$C475="PLH")),"Case MAX Planck Plate "&amp;(INT(((COUNTIFS($B$2:$B475,"s",$C$2:$C475,"SER")+COUNTIFS($B$2:$B475,"s",$C$2:$C475,"PLH"))-1)/96)+1)&amp;": "&amp;CHAR(65+INT(MOD((COUNTIFS($B$2:$B475,"s",$C$2:$C475,"SER")+COUNTIFS($B$2:$B475,"s",$C$2:$C475,"PLH"))-1,96)/12))&amp;(MOD((COUNTIFS($B$2:$B475,"s",$C$2:$C475,"SER")+COUNTIFS($B$2:$B475,"s",$C$2:$C475,"PLH"))-1,12)+1),"N/A"),"")</f>
        <v/>
      </c>
      <c r="K475" s="6" t="str">
        <f>IF(AND($A475&lt;&gt;"",$B475&lt;&gt;"",$C475&lt;&gt;"",$D475&lt;&gt;"",$E475&lt;&gt;""),IF($C475="WB","Case WB Box "&amp;(INT((COUNTIFS($C$2:$C475,"WB")-1)/81)+1)&amp;": "&amp;CHAR(65+INT(MOD(COUNTIFS($C$2:$C475,"WB")-1,81)/9))&amp;(MOD(COUNTIFS($C$2:$C475,"WB")-1,9)+1),"N/A"),"")</f>
        <v/>
      </c>
      <c r="L475" s="2" t="str">
        <f t="shared" si="127"/>
        <v/>
      </c>
      <c r="M475" s="2"/>
      <c r="N475" s="2"/>
      <c r="O475" s="2"/>
      <c r="P475" s="7" t="str">
        <f t="shared" si="128"/>
        <v/>
      </c>
      <c r="Q475" s="7" t="str">
        <f t="shared" si="129"/>
        <v/>
      </c>
      <c r="R475" s="7" t="str">
        <f t="shared" si="130"/>
        <v/>
      </c>
      <c r="S475" s="7" t="str">
        <f t="shared" si="131"/>
        <v/>
      </c>
      <c r="T475" s="7" t="str">
        <f t="shared" si="132"/>
        <v/>
      </c>
      <c r="U475" s="7" t="str">
        <f t="shared" si="133"/>
        <v/>
      </c>
      <c r="V475" s="7" t="str">
        <f t="shared" si="134"/>
        <v/>
      </c>
      <c r="W475" s="7" t="str">
        <f t="shared" si="135"/>
        <v/>
      </c>
      <c r="X475" s="7" t="str">
        <f t="shared" si="136"/>
        <v/>
      </c>
      <c r="Y475" s="7" t="str">
        <f t="shared" si="137"/>
        <v/>
      </c>
      <c r="Z475">
        <f t="shared" si="138"/>
        <v>0</v>
      </c>
      <c r="AA475" t="str">
        <f t="shared" si="139"/>
        <v/>
      </c>
      <c r="AB475" t="str">
        <f t="shared" si="140"/>
        <v/>
      </c>
      <c r="AC475" t="str">
        <f t="shared" si="141"/>
        <v/>
      </c>
      <c r="AD475" t="str">
        <f t="shared" si="142"/>
        <v/>
      </c>
      <c r="AE475">
        <f t="shared" si="143"/>
        <v>0</v>
      </c>
    </row>
    <row r="476" spans="1:31" ht="15" customHeight="1" x14ac:dyDescent="0.35">
      <c r="A476" s="2"/>
      <c r="B476" s="3"/>
      <c r="C476" s="3"/>
      <c r="D476" s="4"/>
      <c r="E476" s="5"/>
      <c r="F476" s="11" t="str">
        <f t="shared" ca="1" si="126"/>
        <v/>
      </c>
      <c r="G476" s="5"/>
      <c r="H476" s="6" t="str">
        <f>IF(AND($A476&lt;&gt;"",$B476&lt;&gt;"",$C476&lt;&gt;"",$D476&lt;&gt;"",$E476&lt;&gt;""),IF(AND($B476="s",OR($C476="SER",$C476="PLH",$C476="CSF")),"Case CDI Plate "&amp;(INT(((COUNTIFS($B$2:$B476,"s",$C$2:$C476,"SER")+COUNTIFS($B$2:$B476,"s",$C$2:$C476,"PLH")+COUNTIFS($B$2:$B476,"s",$C$2:$C476,"CSF"))-1)/96)+1)&amp;": "&amp;CHAR(65+INT(MOD((COUNTIFS($B$2:$B476,"s",$C$2:$C476,"SER")+COUNTIFS($B$2:$B476,"s",$C$2:$C476,"PLH")+COUNTIFS($B$2:$B476,"s",$C$2:$C476,"CSF"))-1,96)/12))&amp;(MOD((COUNTIFS($B$2:$B476,"s",$C$2:$C476,"SER")+COUNTIFS($B$2:$B476,"s",$C$2:$C476,"PLH")+COUNTIFS($B$2:$B476,"s",$C$2:$C476,"CSF"))-1,12)+1),"N/A"),"")</f>
        <v/>
      </c>
      <c r="I476" s="6" t="str">
        <f>IF(AND($A476&lt;&gt;"",$B476&lt;&gt;"",$C476&lt;&gt;"",$D476&lt;&gt;"",$E476&lt;&gt;""),IF(AND($B476="s",OR($C476="SER",$C476="PLH",$C476="CSF")),"Case NIH Plate "&amp;(INT(((COUNTIFS($B$2:$B476,"s",$C$2:$C476,"SER")+COUNTIFS($B$2:$B476,"s",$C$2:$C476,"PLH")+COUNTIFS($B$2:$B476,"s",$C$2:$C476,"CSF"))-1)/96)+1)&amp;": "&amp;CHAR(65+INT(MOD((COUNTIFS($B$2:$B476,"s",$C$2:$C476,"SER")+COUNTIFS($B$2:$B476,"s",$C$2:$C476,"PLH")+COUNTIFS($B$2:$B476,"s",$C$2:$C476,"CSF"))-1,96)/12))&amp;(MOD((COUNTIFS($B$2:$B476,"s",$C$2:$C476,"SER")+COUNTIFS($B$2:$B476,"s",$C$2:$C476,"PLH")+COUNTIFS($B$2:$B476,"s",$C$2:$C476,"CSF"))-1,12)+1),"N/A"),"")</f>
        <v/>
      </c>
      <c r="J476" s="6" t="str">
        <f>IF(AND($A476&lt;&gt;"",$B476&lt;&gt;"",$C476&lt;&gt;"",$D476&lt;&gt;"",$E476&lt;&gt;""),IF(AND($B476="s",OR($C476="SER",$C476="PLH")),"Case MAX Planck Plate "&amp;(INT(((COUNTIFS($B$2:$B476,"s",$C$2:$C476,"SER")+COUNTIFS($B$2:$B476,"s",$C$2:$C476,"PLH"))-1)/96)+1)&amp;": "&amp;CHAR(65+INT(MOD((COUNTIFS($B$2:$B476,"s",$C$2:$C476,"SER")+COUNTIFS($B$2:$B476,"s",$C$2:$C476,"PLH"))-1,96)/12))&amp;(MOD((COUNTIFS($B$2:$B476,"s",$C$2:$C476,"SER")+COUNTIFS($B$2:$B476,"s",$C$2:$C476,"PLH"))-1,12)+1),"N/A"),"")</f>
        <v/>
      </c>
      <c r="K476" s="6" t="str">
        <f>IF(AND($A476&lt;&gt;"",$B476&lt;&gt;"",$C476&lt;&gt;"",$D476&lt;&gt;"",$E476&lt;&gt;""),IF($C476="WB","Case WB Box "&amp;(INT((COUNTIFS($C$2:$C476,"WB")-1)/81)+1)&amp;": "&amp;CHAR(65+INT(MOD(COUNTIFS($C$2:$C476,"WB")-1,81)/9))&amp;(MOD(COUNTIFS($C$2:$C476,"WB")-1,9)+1),"N/A"),"")</f>
        <v/>
      </c>
      <c r="L476" s="2" t="str">
        <f t="shared" si="127"/>
        <v/>
      </c>
      <c r="M476" s="2"/>
      <c r="N476" s="2"/>
      <c r="O476" s="2"/>
      <c r="P476" s="7" t="str">
        <f t="shared" si="128"/>
        <v/>
      </c>
      <c r="Q476" s="7" t="str">
        <f t="shared" si="129"/>
        <v/>
      </c>
      <c r="R476" s="7" t="str">
        <f t="shared" si="130"/>
        <v/>
      </c>
      <c r="S476" s="7" t="str">
        <f t="shared" si="131"/>
        <v/>
      </c>
      <c r="T476" s="7" t="str">
        <f t="shared" si="132"/>
        <v/>
      </c>
      <c r="U476" s="7" t="str">
        <f t="shared" si="133"/>
        <v/>
      </c>
      <c r="V476" s="7" t="str">
        <f t="shared" si="134"/>
        <v/>
      </c>
      <c r="W476" s="7" t="str">
        <f t="shared" si="135"/>
        <v/>
      </c>
      <c r="X476" s="7" t="str">
        <f t="shared" si="136"/>
        <v/>
      </c>
      <c r="Y476" s="7" t="str">
        <f t="shared" si="137"/>
        <v/>
      </c>
      <c r="Z476">
        <f t="shared" si="138"/>
        <v>0</v>
      </c>
      <c r="AA476" t="str">
        <f t="shared" si="139"/>
        <v/>
      </c>
      <c r="AB476" t="str">
        <f t="shared" si="140"/>
        <v/>
      </c>
      <c r="AC476" t="str">
        <f t="shared" si="141"/>
        <v/>
      </c>
      <c r="AD476" t="str">
        <f t="shared" si="142"/>
        <v/>
      </c>
      <c r="AE476">
        <f t="shared" si="143"/>
        <v>0</v>
      </c>
    </row>
    <row r="477" spans="1:31" ht="15" customHeight="1" x14ac:dyDescent="0.35">
      <c r="A477" s="2"/>
      <c r="B477" s="3"/>
      <c r="C477" s="3"/>
      <c r="D477" s="4"/>
      <c r="E477" s="5"/>
      <c r="F477" s="11" t="str">
        <f t="shared" ca="1" si="126"/>
        <v/>
      </c>
      <c r="G477" s="5"/>
      <c r="H477" s="6" t="str">
        <f>IF(AND($A477&lt;&gt;"",$B477&lt;&gt;"",$C477&lt;&gt;"",$D477&lt;&gt;"",$E477&lt;&gt;""),IF(AND($B477="s",OR($C477="SER",$C477="PLH",$C477="CSF")),"Case CDI Plate "&amp;(INT(((COUNTIFS($B$2:$B477,"s",$C$2:$C477,"SER")+COUNTIFS($B$2:$B477,"s",$C$2:$C477,"PLH")+COUNTIFS($B$2:$B477,"s",$C$2:$C477,"CSF"))-1)/96)+1)&amp;": "&amp;CHAR(65+INT(MOD((COUNTIFS($B$2:$B477,"s",$C$2:$C477,"SER")+COUNTIFS($B$2:$B477,"s",$C$2:$C477,"PLH")+COUNTIFS($B$2:$B477,"s",$C$2:$C477,"CSF"))-1,96)/12))&amp;(MOD((COUNTIFS($B$2:$B477,"s",$C$2:$C477,"SER")+COUNTIFS($B$2:$B477,"s",$C$2:$C477,"PLH")+COUNTIFS($B$2:$B477,"s",$C$2:$C477,"CSF"))-1,12)+1),"N/A"),"")</f>
        <v/>
      </c>
      <c r="I477" s="6" t="str">
        <f>IF(AND($A477&lt;&gt;"",$B477&lt;&gt;"",$C477&lt;&gt;"",$D477&lt;&gt;"",$E477&lt;&gt;""),IF(AND($B477="s",OR($C477="SER",$C477="PLH",$C477="CSF")),"Case NIH Plate "&amp;(INT(((COUNTIFS($B$2:$B477,"s",$C$2:$C477,"SER")+COUNTIFS($B$2:$B477,"s",$C$2:$C477,"PLH")+COUNTIFS($B$2:$B477,"s",$C$2:$C477,"CSF"))-1)/96)+1)&amp;": "&amp;CHAR(65+INT(MOD((COUNTIFS($B$2:$B477,"s",$C$2:$C477,"SER")+COUNTIFS($B$2:$B477,"s",$C$2:$C477,"PLH")+COUNTIFS($B$2:$B477,"s",$C$2:$C477,"CSF"))-1,96)/12))&amp;(MOD((COUNTIFS($B$2:$B477,"s",$C$2:$C477,"SER")+COUNTIFS($B$2:$B477,"s",$C$2:$C477,"PLH")+COUNTIFS($B$2:$B477,"s",$C$2:$C477,"CSF"))-1,12)+1),"N/A"),"")</f>
        <v/>
      </c>
      <c r="J477" s="6" t="str">
        <f>IF(AND($A477&lt;&gt;"",$B477&lt;&gt;"",$C477&lt;&gt;"",$D477&lt;&gt;"",$E477&lt;&gt;""),IF(AND($B477="s",OR($C477="SER",$C477="PLH")),"Case MAX Planck Plate "&amp;(INT(((COUNTIFS($B$2:$B477,"s",$C$2:$C477,"SER")+COUNTIFS($B$2:$B477,"s",$C$2:$C477,"PLH"))-1)/96)+1)&amp;": "&amp;CHAR(65+INT(MOD((COUNTIFS($B$2:$B477,"s",$C$2:$C477,"SER")+COUNTIFS($B$2:$B477,"s",$C$2:$C477,"PLH"))-1,96)/12))&amp;(MOD((COUNTIFS($B$2:$B477,"s",$C$2:$C477,"SER")+COUNTIFS($B$2:$B477,"s",$C$2:$C477,"PLH"))-1,12)+1),"N/A"),"")</f>
        <v/>
      </c>
      <c r="K477" s="6" t="str">
        <f>IF(AND($A477&lt;&gt;"",$B477&lt;&gt;"",$C477&lt;&gt;"",$D477&lt;&gt;"",$E477&lt;&gt;""),IF($C477="WB","Case WB Box "&amp;(INT((COUNTIFS($C$2:$C477,"WB")-1)/81)+1)&amp;": "&amp;CHAR(65+INT(MOD(COUNTIFS($C$2:$C477,"WB")-1,81)/9))&amp;(MOD(COUNTIFS($C$2:$C477,"WB")-1,9)+1),"N/A"),"")</f>
        <v/>
      </c>
      <c r="L477" s="2" t="str">
        <f t="shared" si="127"/>
        <v/>
      </c>
      <c r="M477" s="2"/>
      <c r="N477" s="2"/>
      <c r="O477" s="2"/>
      <c r="P477" s="7" t="str">
        <f t="shared" si="128"/>
        <v/>
      </c>
      <c r="Q477" s="7" t="str">
        <f t="shared" si="129"/>
        <v/>
      </c>
      <c r="R477" s="7" t="str">
        <f t="shared" si="130"/>
        <v/>
      </c>
      <c r="S477" s="7" t="str">
        <f t="shared" si="131"/>
        <v/>
      </c>
      <c r="T477" s="7" t="str">
        <f t="shared" si="132"/>
        <v/>
      </c>
      <c r="U477" s="7" t="str">
        <f t="shared" si="133"/>
        <v/>
      </c>
      <c r="V477" s="7" t="str">
        <f t="shared" si="134"/>
        <v/>
      </c>
      <c r="W477" s="7" t="str">
        <f t="shared" si="135"/>
        <v/>
      </c>
      <c r="X477" s="7" t="str">
        <f t="shared" si="136"/>
        <v/>
      </c>
      <c r="Y477" s="7" t="str">
        <f t="shared" si="137"/>
        <v/>
      </c>
      <c r="Z477">
        <f t="shared" si="138"/>
        <v>0</v>
      </c>
      <c r="AA477" t="str">
        <f t="shared" si="139"/>
        <v/>
      </c>
      <c r="AB477" t="str">
        <f t="shared" si="140"/>
        <v/>
      </c>
      <c r="AC477" t="str">
        <f t="shared" si="141"/>
        <v/>
      </c>
      <c r="AD477" t="str">
        <f t="shared" si="142"/>
        <v/>
      </c>
      <c r="AE477">
        <f t="shared" si="143"/>
        <v>0</v>
      </c>
    </row>
    <row r="478" spans="1:31" ht="15" customHeight="1" x14ac:dyDescent="0.35">
      <c r="A478" s="2"/>
      <c r="B478" s="3"/>
      <c r="C478" s="3"/>
      <c r="D478" s="4"/>
      <c r="E478" s="5"/>
      <c r="F478" s="11" t="str">
        <f t="shared" ca="1" si="126"/>
        <v/>
      </c>
      <c r="G478" s="5"/>
      <c r="H478" s="6" t="str">
        <f>IF(AND($A478&lt;&gt;"",$B478&lt;&gt;"",$C478&lt;&gt;"",$D478&lt;&gt;"",$E478&lt;&gt;""),IF(AND($B478="s",OR($C478="SER",$C478="PLH",$C478="CSF")),"Case CDI Plate "&amp;(INT(((COUNTIFS($B$2:$B478,"s",$C$2:$C478,"SER")+COUNTIFS($B$2:$B478,"s",$C$2:$C478,"PLH")+COUNTIFS($B$2:$B478,"s",$C$2:$C478,"CSF"))-1)/96)+1)&amp;": "&amp;CHAR(65+INT(MOD((COUNTIFS($B$2:$B478,"s",$C$2:$C478,"SER")+COUNTIFS($B$2:$B478,"s",$C$2:$C478,"PLH")+COUNTIFS($B$2:$B478,"s",$C$2:$C478,"CSF"))-1,96)/12))&amp;(MOD((COUNTIFS($B$2:$B478,"s",$C$2:$C478,"SER")+COUNTIFS($B$2:$B478,"s",$C$2:$C478,"PLH")+COUNTIFS($B$2:$B478,"s",$C$2:$C478,"CSF"))-1,12)+1),"N/A"),"")</f>
        <v/>
      </c>
      <c r="I478" s="6" t="str">
        <f>IF(AND($A478&lt;&gt;"",$B478&lt;&gt;"",$C478&lt;&gt;"",$D478&lt;&gt;"",$E478&lt;&gt;""),IF(AND($B478="s",OR($C478="SER",$C478="PLH",$C478="CSF")),"Case NIH Plate "&amp;(INT(((COUNTIFS($B$2:$B478,"s",$C$2:$C478,"SER")+COUNTIFS($B$2:$B478,"s",$C$2:$C478,"PLH")+COUNTIFS($B$2:$B478,"s",$C$2:$C478,"CSF"))-1)/96)+1)&amp;": "&amp;CHAR(65+INT(MOD((COUNTIFS($B$2:$B478,"s",$C$2:$C478,"SER")+COUNTIFS($B$2:$B478,"s",$C$2:$C478,"PLH")+COUNTIFS($B$2:$B478,"s",$C$2:$C478,"CSF"))-1,96)/12))&amp;(MOD((COUNTIFS($B$2:$B478,"s",$C$2:$C478,"SER")+COUNTIFS($B$2:$B478,"s",$C$2:$C478,"PLH")+COUNTIFS($B$2:$B478,"s",$C$2:$C478,"CSF"))-1,12)+1),"N/A"),"")</f>
        <v/>
      </c>
      <c r="J478" s="6" t="str">
        <f>IF(AND($A478&lt;&gt;"",$B478&lt;&gt;"",$C478&lt;&gt;"",$D478&lt;&gt;"",$E478&lt;&gt;""),IF(AND($B478="s",OR($C478="SER",$C478="PLH")),"Case MAX Planck Plate "&amp;(INT(((COUNTIFS($B$2:$B478,"s",$C$2:$C478,"SER")+COUNTIFS($B$2:$B478,"s",$C$2:$C478,"PLH"))-1)/96)+1)&amp;": "&amp;CHAR(65+INT(MOD((COUNTIFS($B$2:$B478,"s",$C$2:$C478,"SER")+COUNTIFS($B$2:$B478,"s",$C$2:$C478,"PLH"))-1,96)/12))&amp;(MOD((COUNTIFS($B$2:$B478,"s",$C$2:$C478,"SER")+COUNTIFS($B$2:$B478,"s",$C$2:$C478,"PLH"))-1,12)+1),"N/A"),"")</f>
        <v/>
      </c>
      <c r="K478" s="6" t="str">
        <f>IF(AND($A478&lt;&gt;"",$B478&lt;&gt;"",$C478&lt;&gt;"",$D478&lt;&gt;"",$E478&lt;&gt;""),IF($C478="WB","Case WB Box "&amp;(INT((COUNTIFS($C$2:$C478,"WB")-1)/81)+1)&amp;": "&amp;CHAR(65+INT(MOD(COUNTIFS($C$2:$C478,"WB")-1,81)/9))&amp;(MOD(COUNTIFS($C$2:$C478,"WB")-1,9)+1),"N/A"),"")</f>
        <v/>
      </c>
      <c r="L478" s="2" t="str">
        <f t="shared" si="127"/>
        <v/>
      </c>
      <c r="M478" s="2"/>
      <c r="N478" s="2"/>
      <c r="O478" s="2"/>
      <c r="P478" s="7" t="str">
        <f t="shared" si="128"/>
        <v/>
      </c>
      <c r="Q478" s="7" t="str">
        <f t="shared" si="129"/>
        <v/>
      </c>
      <c r="R478" s="7" t="str">
        <f t="shared" si="130"/>
        <v/>
      </c>
      <c r="S478" s="7" t="str">
        <f t="shared" si="131"/>
        <v/>
      </c>
      <c r="T478" s="7" t="str">
        <f t="shared" si="132"/>
        <v/>
      </c>
      <c r="U478" s="7" t="str">
        <f t="shared" si="133"/>
        <v/>
      </c>
      <c r="V478" s="7" t="str">
        <f t="shared" si="134"/>
        <v/>
      </c>
      <c r="W478" s="7" t="str">
        <f t="shared" si="135"/>
        <v/>
      </c>
      <c r="X478" s="7" t="str">
        <f t="shared" si="136"/>
        <v/>
      </c>
      <c r="Y478" s="7" t="str">
        <f t="shared" si="137"/>
        <v/>
      </c>
      <c r="Z478">
        <f t="shared" si="138"/>
        <v>0</v>
      </c>
      <c r="AA478" t="str">
        <f t="shared" si="139"/>
        <v/>
      </c>
      <c r="AB478" t="str">
        <f t="shared" si="140"/>
        <v/>
      </c>
      <c r="AC478" t="str">
        <f t="shared" si="141"/>
        <v/>
      </c>
      <c r="AD478" t="str">
        <f t="shared" si="142"/>
        <v/>
      </c>
      <c r="AE478">
        <f t="shared" si="143"/>
        <v>0</v>
      </c>
    </row>
    <row r="479" spans="1:31" ht="15" customHeight="1" x14ac:dyDescent="0.35">
      <c r="A479" s="2"/>
      <c r="B479" s="3"/>
      <c r="C479" s="3"/>
      <c r="D479" s="4"/>
      <c r="E479" s="5"/>
      <c r="F479" s="11" t="str">
        <f t="shared" ca="1" si="126"/>
        <v/>
      </c>
      <c r="G479" s="5"/>
      <c r="H479" s="6" t="str">
        <f>IF(AND($A479&lt;&gt;"",$B479&lt;&gt;"",$C479&lt;&gt;"",$D479&lt;&gt;"",$E479&lt;&gt;""),IF(AND($B479="s",OR($C479="SER",$C479="PLH",$C479="CSF")),"Case CDI Plate "&amp;(INT(((COUNTIFS($B$2:$B479,"s",$C$2:$C479,"SER")+COUNTIFS($B$2:$B479,"s",$C$2:$C479,"PLH")+COUNTIFS($B$2:$B479,"s",$C$2:$C479,"CSF"))-1)/96)+1)&amp;": "&amp;CHAR(65+INT(MOD((COUNTIFS($B$2:$B479,"s",$C$2:$C479,"SER")+COUNTIFS($B$2:$B479,"s",$C$2:$C479,"PLH")+COUNTIFS($B$2:$B479,"s",$C$2:$C479,"CSF"))-1,96)/12))&amp;(MOD((COUNTIFS($B$2:$B479,"s",$C$2:$C479,"SER")+COUNTIFS($B$2:$B479,"s",$C$2:$C479,"PLH")+COUNTIFS($B$2:$B479,"s",$C$2:$C479,"CSF"))-1,12)+1),"N/A"),"")</f>
        <v/>
      </c>
      <c r="I479" s="6" t="str">
        <f>IF(AND($A479&lt;&gt;"",$B479&lt;&gt;"",$C479&lt;&gt;"",$D479&lt;&gt;"",$E479&lt;&gt;""),IF(AND($B479="s",OR($C479="SER",$C479="PLH",$C479="CSF")),"Case NIH Plate "&amp;(INT(((COUNTIFS($B$2:$B479,"s",$C$2:$C479,"SER")+COUNTIFS($B$2:$B479,"s",$C$2:$C479,"PLH")+COUNTIFS($B$2:$B479,"s",$C$2:$C479,"CSF"))-1)/96)+1)&amp;": "&amp;CHAR(65+INT(MOD((COUNTIFS($B$2:$B479,"s",$C$2:$C479,"SER")+COUNTIFS($B$2:$B479,"s",$C$2:$C479,"PLH")+COUNTIFS($B$2:$B479,"s",$C$2:$C479,"CSF"))-1,96)/12))&amp;(MOD((COUNTIFS($B$2:$B479,"s",$C$2:$C479,"SER")+COUNTIFS($B$2:$B479,"s",$C$2:$C479,"PLH")+COUNTIFS($B$2:$B479,"s",$C$2:$C479,"CSF"))-1,12)+1),"N/A"),"")</f>
        <v/>
      </c>
      <c r="J479" s="6" t="str">
        <f>IF(AND($A479&lt;&gt;"",$B479&lt;&gt;"",$C479&lt;&gt;"",$D479&lt;&gt;"",$E479&lt;&gt;""),IF(AND($B479="s",OR($C479="SER",$C479="PLH")),"Case MAX Planck Plate "&amp;(INT(((COUNTIFS($B$2:$B479,"s",$C$2:$C479,"SER")+COUNTIFS($B$2:$B479,"s",$C$2:$C479,"PLH"))-1)/96)+1)&amp;": "&amp;CHAR(65+INT(MOD((COUNTIFS($B$2:$B479,"s",$C$2:$C479,"SER")+COUNTIFS($B$2:$B479,"s",$C$2:$C479,"PLH"))-1,96)/12))&amp;(MOD((COUNTIFS($B$2:$B479,"s",$C$2:$C479,"SER")+COUNTIFS($B$2:$B479,"s",$C$2:$C479,"PLH"))-1,12)+1),"N/A"),"")</f>
        <v/>
      </c>
      <c r="K479" s="6" t="str">
        <f>IF(AND($A479&lt;&gt;"",$B479&lt;&gt;"",$C479&lt;&gt;"",$D479&lt;&gt;"",$E479&lt;&gt;""),IF($C479="WB","Case WB Box "&amp;(INT((COUNTIFS($C$2:$C479,"WB")-1)/81)+1)&amp;": "&amp;CHAR(65+INT(MOD(COUNTIFS($C$2:$C479,"WB")-1,81)/9))&amp;(MOD(COUNTIFS($C$2:$C479,"WB")-1,9)+1),"N/A"),"")</f>
        <v/>
      </c>
      <c r="L479" s="2" t="str">
        <f t="shared" si="127"/>
        <v/>
      </c>
      <c r="M479" s="2"/>
      <c r="N479" s="2"/>
      <c r="O479" s="2"/>
      <c r="P479" s="7" t="str">
        <f t="shared" si="128"/>
        <v/>
      </c>
      <c r="Q479" s="7" t="str">
        <f t="shared" si="129"/>
        <v/>
      </c>
      <c r="R479" s="7" t="str">
        <f t="shared" si="130"/>
        <v/>
      </c>
      <c r="S479" s="7" t="str">
        <f t="shared" si="131"/>
        <v/>
      </c>
      <c r="T479" s="7" t="str">
        <f t="shared" si="132"/>
        <v/>
      </c>
      <c r="U479" s="7" t="str">
        <f t="shared" si="133"/>
        <v/>
      </c>
      <c r="V479" s="7" t="str">
        <f t="shared" si="134"/>
        <v/>
      </c>
      <c r="W479" s="7" t="str">
        <f t="shared" si="135"/>
        <v/>
      </c>
      <c r="X479" s="7" t="str">
        <f t="shared" si="136"/>
        <v/>
      </c>
      <c r="Y479" s="7" t="str">
        <f t="shared" si="137"/>
        <v/>
      </c>
      <c r="Z479">
        <f t="shared" si="138"/>
        <v>0</v>
      </c>
      <c r="AA479" t="str">
        <f t="shared" si="139"/>
        <v/>
      </c>
      <c r="AB479" t="str">
        <f t="shared" si="140"/>
        <v/>
      </c>
      <c r="AC479" t="str">
        <f t="shared" si="141"/>
        <v/>
      </c>
      <c r="AD479" t="str">
        <f t="shared" si="142"/>
        <v/>
      </c>
      <c r="AE479">
        <f t="shared" si="143"/>
        <v>0</v>
      </c>
    </row>
    <row r="480" spans="1:31" ht="15" customHeight="1" x14ac:dyDescent="0.35">
      <c r="A480" s="2"/>
      <c r="B480" s="3"/>
      <c r="C480" s="3"/>
      <c r="D480" s="4"/>
      <c r="E480" s="5"/>
      <c r="F480" s="11" t="str">
        <f t="shared" ca="1" si="126"/>
        <v/>
      </c>
      <c r="G480" s="5"/>
      <c r="H480" s="6" t="str">
        <f>IF(AND($A480&lt;&gt;"",$B480&lt;&gt;"",$C480&lt;&gt;"",$D480&lt;&gt;"",$E480&lt;&gt;""),IF(AND($B480="s",OR($C480="SER",$C480="PLH",$C480="CSF")),"Case CDI Plate "&amp;(INT(((COUNTIFS($B$2:$B480,"s",$C$2:$C480,"SER")+COUNTIFS($B$2:$B480,"s",$C$2:$C480,"PLH")+COUNTIFS($B$2:$B480,"s",$C$2:$C480,"CSF"))-1)/96)+1)&amp;": "&amp;CHAR(65+INT(MOD((COUNTIFS($B$2:$B480,"s",$C$2:$C480,"SER")+COUNTIFS($B$2:$B480,"s",$C$2:$C480,"PLH")+COUNTIFS($B$2:$B480,"s",$C$2:$C480,"CSF"))-1,96)/12))&amp;(MOD((COUNTIFS($B$2:$B480,"s",$C$2:$C480,"SER")+COUNTIFS($B$2:$B480,"s",$C$2:$C480,"PLH")+COUNTIFS($B$2:$B480,"s",$C$2:$C480,"CSF"))-1,12)+1),"N/A"),"")</f>
        <v/>
      </c>
      <c r="I480" s="6" t="str">
        <f>IF(AND($A480&lt;&gt;"",$B480&lt;&gt;"",$C480&lt;&gt;"",$D480&lt;&gt;"",$E480&lt;&gt;""),IF(AND($B480="s",OR($C480="SER",$C480="PLH",$C480="CSF")),"Case NIH Plate "&amp;(INT(((COUNTIFS($B$2:$B480,"s",$C$2:$C480,"SER")+COUNTIFS($B$2:$B480,"s",$C$2:$C480,"PLH")+COUNTIFS($B$2:$B480,"s",$C$2:$C480,"CSF"))-1)/96)+1)&amp;": "&amp;CHAR(65+INT(MOD((COUNTIFS($B$2:$B480,"s",$C$2:$C480,"SER")+COUNTIFS($B$2:$B480,"s",$C$2:$C480,"PLH")+COUNTIFS($B$2:$B480,"s",$C$2:$C480,"CSF"))-1,96)/12))&amp;(MOD((COUNTIFS($B$2:$B480,"s",$C$2:$C480,"SER")+COUNTIFS($B$2:$B480,"s",$C$2:$C480,"PLH")+COUNTIFS($B$2:$B480,"s",$C$2:$C480,"CSF"))-1,12)+1),"N/A"),"")</f>
        <v/>
      </c>
      <c r="J480" s="6" t="str">
        <f>IF(AND($A480&lt;&gt;"",$B480&lt;&gt;"",$C480&lt;&gt;"",$D480&lt;&gt;"",$E480&lt;&gt;""),IF(AND($B480="s",OR($C480="SER",$C480="PLH")),"Case MAX Planck Plate "&amp;(INT(((COUNTIFS($B$2:$B480,"s",$C$2:$C480,"SER")+COUNTIFS($B$2:$B480,"s",$C$2:$C480,"PLH"))-1)/96)+1)&amp;": "&amp;CHAR(65+INT(MOD((COUNTIFS($B$2:$B480,"s",$C$2:$C480,"SER")+COUNTIFS($B$2:$B480,"s",$C$2:$C480,"PLH"))-1,96)/12))&amp;(MOD((COUNTIFS($B$2:$B480,"s",$C$2:$C480,"SER")+COUNTIFS($B$2:$B480,"s",$C$2:$C480,"PLH"))-1,12)+1),"N/A"),"")</f>
        <v/>
      </c>
      <c r="K480" s="6" t="str">
        <f>IF(AND($A480&lt;&gt;"",$B480&lt;&gt;"",$C480&lt;&gt;"",$D480&lt;&gt;"",$E480&lt;&gt;""),IF($C480="WB","Case WB Box "&amp;(INT((COUNTIFS($C$2:$C480,"WB")-1)/81)+1)&amp;": "&amp;CHAR(65+INT(MOD(COUNTIFS($C$2:$C480,"WB")-1,81)/9))&amp;(MOD(COUNTIFS($C$2:$C480,"WB")-1,9)+1),"N/A"),"")</f>
        <v/>
      </c>
      <c r="L480" s="2" t="str">
        <f t="shared" si="127"/>
        <v/>
      </c>
      <c r="M480" s="2"/>
      <c r="N480" s="2"/>
      <c r="O480" s="2"/>
      <c r="P480" s="7" t="str">
        <f t="shared" si="128"/>
        <v/>
      </c>
      <c r="Q480" s="7" t="str">
        <f t="shared" si="129"/>
        <v/>
      </c>
      <c r="R480" s="7" t="str">
        <f t="shared" si="130"/>
        <v/>
      </c>
      <c r="S480" s="7" t="str">
        <f t="shared" si="131"/>
        <v/>
      </c>
      <c r="T480" s="7" t="str">
        <f t="shared" si="132"/>
        <v/>
      </c>
      <c r="U480" s="7" t="str">
        <f t="shared" si="133"/>
        <v/>
      </c>
      <c r="V480" s="7" t="str">
        <f t="shared" si="134"/>
        <v/>
      </c>
      <c r="W480" s="7" t="str">
        <f t="shared" si="135"/>
        <v/>
      </c>
      <c r="X480" s="7" t="str">
        <f t="shared" si="136"/>
        <v/>
      </c>
      <c r="Y480" s="7" t="str">
        <f t="shared" si="137"/>
        <v/>
      </c>
      <c r="Z480">
        <f t="shared" si="138"/>
        <v>0</v>
      </c>
      <c r="AA480" t="str">
        <f t="shared" si="139"/>
        <v/>
      </c>
      <c r="AB480" t="str">
        <f t="shared" si="140"/>
        <v/>
      </c>
      <c r="AC480" t="str">
        <f t="shared" si="141"/>
        <v/>
      </c>
      <c r="AD480" t="str">
        <f t="shared" si="142"/>
        <v/>
      </c>
      <c r="AE480">
        <f t="shared" si="143"/>
        <v>0</v>
      </c>
    </row>
    <row r="481" spans="1:31" ht="15" customHeight="1" x14ac:dyDescent="0.35">
      <c r="A481" s="2"/>
      <c r="B481" s="3"/>
      <c r="C481" s="3"/>
      <c r="D481" s="4"/>
      <c r="E481" s="5"/>
      <c r="F481" s="11" t="str">
        <f t="shared" ca="1" si="126"/>
        <v/>
      </c>
      <c r="G481" s="5"/>
      <c r="H481" s="6" t="str">
        <f>IF(AND($A481&lt;&gt;"",$B481&lt;&gt;"",$C481&lt;&gt;"",$D481&lt;&gt;"",$E481&lt;&gt;""),IF(AND($B481="s",OR($C481="SER",$C481="PLH",$C481="CSF")),"Case CDI Plate "&amp;(INT(((COUNTIFS($B$2:$B481,"s",$C$2:$C481,"SER")+COUNTIFS($B$2:$B481,"s",$C$2:$C481,"PLH")+COUNTIFS($B$2:$B481,"s",$C$2:$C481,"CSF"))-1)/96)+1)&amp;": "&amp;CHAR(65+INT(MOD((COUNTIFS($B$2:$B481,"s",$C$2:$C481,"SER")+COUNTIFS($B$2:$B481,"s",$C$2:$C481,"PLH")+COUNTIFS($B$2:$B481,"s",$C$2:$C481,"CSF"))-1,96)/12))&amp;(MOD((COUNTIFS($B$2:$B481,"s",$C$2:$C481,"SER")+COUNTIFS($B$2:$B481,"s",$C$2:$C481,"PLH")+COUNTIFS($B$2:$B481,"s",$C$2:$C481,"CSF"))-1,12)+1),"N/A"),"")</f>
        <v/>
      </c>
      <c r="I481" s="6" t="str">
        <f>IF(AND($A481&lt;&gt;"",$B481&lt;&gt;"",$C481&lt;&gt;"",$D481&lt;&gt;"",$E481&lt;&gt;""),IF(AND($B481="s",OR($C481="SER",$C481="PLH",$C481="CSF")),"Case NIH Plate "&amp;(INT(((COUNTIFS($B$2:$B481,"s",$C$2:$C481,"SER")+COUNTIFS($B$2:$B481,"s",$C$2:$C481,"PLH")+COUNTIFS($B$2:$B481,"s",$C$2:$C481,"CSF"))-1)/96)+1)&amp;": "&amp;CHAR(65+INT(MOD((COUNTIFS($B$2:$B481,"s",$C$2:$C481,"SER")+COUNTIFS($B$2:$B481,"s",$C$2:$C481,"PLH")+COUNTIFS($B$2:$B481,"s",$C$2:$C481,"CSF"))-1,96)/12))&amp;(MOD((COUNTIFS($B$2:$B481,"s",$C$2:$C481,"SER")+COUNTIFS($B$2:$B481,"s",$C$2:$C481,"PLH")+COUNTIFS($B$2:$B481,"s",$C$2:$C481,"CSF"))-1,12)+1),"N/A"),"")</f>
        <v/>
      </c>
      <c r="J481" s="6" t="str">
        <f>IF(AND($A481&lt;&gt;"",$B481&lt;&gt;"",$C481&lt;&gt;"",$D481&lt;&gt;"",$E481&lt;&gt;""),IF(AND($B481="s",OR($C481="SER",$C481="PLH")),"Case MAX Planck Plate "&amp;(INT(((COUNTIFS($B$2:$B481,"s",$C$2:$C481,"SER")+COUNTIFS($B$2:$B481,"s",$C$2:$C481,"PLH"))-1)/96)+1)&amp;": "&amp;CHAR(65+INT(MOD((COUNTIFS($B$2:$B481,"s",$C$2:$C481,"SER")+COUNTIFS($B$2:$B481,"s",$C$2:$C481,"PLH"))-1,96)/12))&amp;(MOD((COUNTIFS($B$2:$B481,"s",$C$2:$C481,"SER")+COUNTIFS($B$2:$B481,"s",$C$2:$C481,"PLH"))-1,12)+1),"N/A"),"")</f>
        <v/>
      </c>
      <c r="K481" s="6" t="str">
        <f>IF(AND($A481&lt;&gt;"",$B481&lt;&gt;"",$C481&lt;&gt;"",$D481&lt;&gt;"",$E481&lt;&gt;""),IF($C481="WB","Case WB Box "&amp;(INT((COUNTIFS($C$2:$C481,"WB")-1)/81)+1)&amp;": "&amp;CHAR(65+INT(MOD(COUNTIFS($C$2:$C481,"WB")-1,81)/9))&amp;(MOD(COUNTIFS($C$2:$C481,"WB")-1,9)+1),"N/A"),"")</f>
        <v/>
      </c>
      <c r="L481" s="2" t="str">
        <f t="shared" si="127"/>
        <v/>
      </c>
      <c r="M481" s="2"/>
      <c r="N481" s="2"/>
      <c r="O481" s="2"/>
      <c r="P481" s="7" t="str">
        <f t="shared" si="128"/>
        <v/>
      </c>
      <c r="Q481" s="7" t="str">
        <f t="shared" si="129"/>
        <v/>
      </c>
      <c r="R481" s="7" t="str">
        <f t="shared" si="130"/>
        <v/>
      </c>
      <c r="S481" s="7" t="str">
        <f t="shared" si="131"/>
        <v/>
      </c>
      <c r="T481" s="7" t="str">
        <f t="shared" si="132"/>
        <v/>
      </c>
      <c r="U481" s="7" t="str">
        <f t="shared" si="133"/>
        <v/>
      </c>
      <c r="V481" s="7" t="str">
        <f t="shared" si="134"/>
        <v/>
      </c>
      <c r="W481" s="7" t="str">
        <f t="shared" si="135"/>
        <v/>
      </c>
      <c r="X481" s="7" t="str">
        <f t="shared" si="136"/>
        <v/>
      </c>
      <c r="Y481" s="7" t="str">
        <f t="shared" si="137"/>
        <v/>
      </c>
      <c r="Z481">
        <f t="shared" si="138"/>
        <v>0</v>
      </c>
      <c r="AA481" t="str">
        <f t="shared" si="139"/>
        <v/>
      </c>
      <c r="AB481" t="str">
        <f t="shared" si="140"/>
        <v/>
      </c>
      <c r="AC481" t="str">
        <f t="shared" si="141"/>
        <v/>
      </c>
      <c r="AD481" t="str">
        <f t="shared" si="142"/>
        <v/>
      </c>
      <c r="AE481">
        <f t="shared" si="143"/>
        <v>0</v>
      </c>
    </row>
    <row r="482" spans="1:31" ht="15" customHeight="1" x14ac:dyDescent="0.35">
      <c r="A482" s="2"/>
      <c r="B482" s="3"/>
      <c r="C482" s="3"/>
      <c r="D482" s="4"/>
      <c r="E482" s="5"/>
      <c r="F482" s="11" t="str">
        <f t="shared" ca="1" si="126"/>
        <v/>
      </c>
      <c r="G482" s="5"/>
      <c r="H482" s="6" t="str">
        <f>IF(AND($A482&lt;&gt;"",$B482&lt;&gt;"",$C482&lt;&gt;"",$D482&lt;&gt;"",$E482&lt;&gt;""),IF(AND($B482="s",OR($C482="SER",$C482="PLH",$C482="CSF")),"Case CDI Plate "&amp;(INT(((COUNTIFS($B$2:$B482,"s",$C$2:$C482,"SER")+COUNTIFS($B$2:$B482,"s",$C$2:$C482,"PLH")+COUNTIFS($B$2:$B482,"s",$C$2:$C482,"CSF"))-1)/96)+1)&amp;": "&amp;CHAR(65+INT(MOD((COUNTIFS($B$2:$B482,"s",$C$2:$C482,"SER")+COUNTIFS($B$2:$B482,"s",$C$2:$C482,"PLH")+COUNTIFS($B$2:$B482,"s",$C$2:$C482,"CSF"))-1,96)/12))&amp;(MOD((COUNTIFS($B$2:$B482,"s",$C$2:$C482,"SER")+COUNTIFS($B$2:$B482,"s",$C$2:$C482,"PLH")+COUNTIFS($B$2:$B482,"s",$C$2:$C482,"CSF"))-1,12)+1),"N/A"),"")</f>
        <v/>
      </c>
      <c r="I482" s="6" t="str">
        <f>IF(AND($A482&lt;&gt;"",$B482&lt;&gt;"",$C482&lt;&gt;"",$D482&lt;&gt;"",$E482&lt;&gt;""),IF(AND($B482="s",OR($C482="SER",$C482="PLH",$C482="CSF")),"Case NIH Plate "&amp;(INT(((COUNTIFS($B$2:$B482,"s",$C$2:$C482,"SER")+COUNTIFS($B$2:$B482,"s",$C$2:$C482,"PLH")+COUNTIFS($B$2:$B482,"s",$C$2:$C482,"CSF"))-1)/96)+1)&amp;": "&amp;CHAR(65+INT(MOD((COUNTIFS($B$2:$B482,"s",$C$2:$C482,"SER")+COUNTIFS($B$2:$B482,"s",$C$2:$C482,"PLH")+COUNTIFS($B$2:$B482,"s",$C$2:$C482,"CSF"))-1,96)/12))&amp;(MOD((COUNTIFS($B$2:$B482,"s",$C$2:$C482,"SER")+COUNTIFS($B$2:$B482,"s",$C$2:$C482,"PLH")+COUNTIFS($B$2:$B482,"s",$C$2:$C482,"CSF"))-1,12)+1),"N/A"),"")</f>
        <v/>
      </c>
      <c r="J482" s="6" t="str">
        <f>IF(AND($A482&lt;&gt;"",$B482&lt;&gt;"",$C482&lt;&gt;"",$D482&lt;&gt;"",$E482&lt;&gt;""),IF(AND($B482="s",OR($C482="SER",$C482="PLH")),"Case MAX Planck Plate "&amp;(INT(((COUNTIFS($B$2:$B482,"s",$C$2:$C482,"SER")+COUNTIFS($B$2:$B482,"s",$C$2:$C482,"PLH"))-1)/96)+1)&amp;": "&amp;CHAR(65+INT(MOD((COUNTIFS($B$2:$B482,"s",$C$2:$C482,"SER")+COUNTIFS($B$2:$B482,"s",$C$2:$C482,"PLH"))-1,96)/12))&amp;(MOD((COUNTIFS($B$2:$B482,"s",$C$2:$C482,"SER")+COUNTIFS($B$2:$B482,"s",$C$2:$C482,"PLH"))-1,12)+1),"N/A"),"")</f>
        <v/>
      </c>
      <c r="K482" s="6" t="str">
        <f>IF(AND($A482&lt;&gt;"",$B482&lt;&gt;"",$C482&lt;&gt;"",$D482&lt;&gt;"",$E482&lt;&gt;""),IF($C482="WB","Case WB Box "&amp;(INT((COUNTIFS($C$2:$C482,"WB")-1)/81)+1)&amp;": "&amp;CHAR(65+INT(MOD(COUNTIFS($C$2:$C482,"WB")-1,81)/9))&amp;(MOD(COUNTIFS($C$2:$C482,"WB")-1,9)+1),"N/A"),"")</f>
        <v/>
      </c>
      <c r="L482" s="2" t="str">
        <f t="shared" si="127"/>
        <v/>
      </c>
      <c r="M482" s="2"/>
      <c r="N482" s="2"/>
      <c r="O482" s="2"/>
      <c r="P482" s="7" t="str">
        <f t="shared" si="128"/>
        <v/>
      </c>
      <c r="Q482" s="7" t="str">
        <f t="shared" si="129"/>
        <v/>
      </c>
      <c r="R482" s="7" t="str">
        <f t="shared" si="130"/>
        <v/>
      </c>
      <c r="S482" s="7" t="str">
        <f t="shared" si="131"/>
        <v/>
      </c>
      <c r="T482" s="7" t="str">
        <f t="shared" si="132"/>
        <v/>
      </c>
      <c r="U482" s="7" t="str">
        <f t="shared" si="133"/>
        <v/>
      </c>
      <c r="V482" s="7" t="str">
        <f t="shared" si="134"/>
        <v/>
      </c>
      <c r="W482" s="7" t="str">
        <f t="shared" si="135"/>
        <v/>
      </c>
      <c r="X482" s="7" t="str">
        <f t="shared" si="136"/>
        <v/>
      </c>
      <c r="Y482" s="7" t="str">
        <f t="shared" si="137"/>
        <v/>
      </c>
      <c r="Z482">
        <f t="shared" si="138"/>
        <v>0</v>
      </c>
      <c r="AA482" t="str">
        <f t="shared" si="139"/>
        <v/>
      </c>
      <c r="AB482" t="str">
        <f t="shared" si="140"/>
        <v/>
      </c>
      <c r="AC482" t="str">
        <f t="shared" si="141"/>
        <v/>
      </c>
      <c r="AD482" t="str">
        <f t="shared" si="142"/>
        <v/>
      </c>
      <c r="AE482">
        <f t="shared" si="143"/>
        <v>0</v>
      </c>
    </row>
    <row r="483" spans="1:31" ht="15" customHeight="1" x14ac:dyDescent="0.35">
      <c r="A483" s="2"/>
      <c r="B483" s="3"/>
      <c r="C483" s="3"/>
      <c r="D483" s="4"/>
      <c r="E483" s="5"/>
      <c r="F483" s="11" t="str">
        <f t="shared" ca="1" si="126"/>
        <v/>
      </c>
      <c r="G483" s="5"/>
      <c r="H483" s="6" t="str">
        <f>IF(AND($A483&lt;&gt;"",$B483&lt;&gt;"",$C483&lt;&gt;"",$D483&lt;&gt;"",$E483&lt;&gt;""),IF(AND($B483="s",OR($C483="SER",$C483="PLH",$C483="CSF")),"Case CDI Plate "&amp;(INT(((COUNTIFS($B$2:$B483,"s",$C$2:$C483,"SER")+COUNTIFS($B$2:$B483,"s",$C$2:$C483,"PLH")+COUNTIFS($B$2:$B483,"s",$C$2:$C483,"CSF"))-1)/96)+1)&amp;": "&amp;CHAR(65+INT(MOD((COUNTIFS($B$2:$B483,"s",$C$2:$C483,"SER")+COUNTIFS($B$2:$B483,"s",$C$2:$C483,"PLH")+COUNTIFS($B$2:$B483,"s",$C$2:$C483,"CSF"))-1,96)/12))&amp;(MOD((COUNTIFS($B$2:$B483,"s",$C$2:$C483,"SER")+COUNTIFS($B$2:$B483,"s",$C$2:$C483,"PLH")+COUNTIFS($B$2:$B483,"s",$C$2:$C483,"CSF"))-1,12)+1),"N/A"),"")</f>
        <v/>
      </c>
      <c r="I483" s="6" t="str">
        <f>IF(AND($A483&lt;&gt;"",$B483&lt;&gt;"",$C483&lt;&gt;"",$D483&lt;&gt;"",$E483&lt;&gt;""),IF(AND($B483="s",OR($C483="SER",$C483="PLH",$C483="CSF")),"Case NIH Plate "&amp;(INT(((COUNTIFS($B$2:$B483,"s",$C$2:$C483,"SER")+COUNTIFS($B$2:$B483,"s",$C$2:$C483,"PLH")+COUNTIFS($B$2:$B483,"s",$C$2:$C483,"CSF"))-1)/96)+1)&amp;": "&amp;CHAR(65+INT(MOD((COUNTIFS($B$2:$B483,"s",$C$2:$C483,"SER")+COUNTIFS($B$2:$B483,"s",$C$2:$C483,"PLH")+COUNTIFS($B$2:$B483,"s",$C$2:$C483,"CSF"))-1,96)/12))&amp;(MOD((COUNTIFS($B$2:$B483,"s",$C$2:$C483,"SER")+COUNTIFS($B$2:$B483,"s",$C$2:$C483,"PLH")+COUNTIFS($B$2:$B483,"s",$C$2:$C483,"CSF"))-1,12)+1),"N/A"),"")</f>
        <v/>
      </c>
      <c r="J483" s="6" t="str">
        <f>IF(AND($A483&lt;&gt;"",$B483&lt;&gt;"",$C483&lt;&gt;"",$D483&lt;&gt;"",$E483&lt;&gt;""),IF(AND($B483="s",OR($C483="SER",$C483="PLH")),"Case MAX Planck Plate "&amp;(INT(((COUNTIFS($B$2:$B483,"s",$C$2:$C483,"SER")+COUNTIFS($B$2:$B483,"s",$C$2:$C483,"PLH"))-1)/96)+1)&amp;": "&amp;CHAR(65+INT(MOD((COUNTIFS($B$2:$B483,"s",$C$2:$C483,"SER")+COUNTIFS($B$2:$B483,"s",$C$2:$C483,"PLH"))-1,96)/12))&amp;(MOD((COUNTIFS($B$2:$B483,"s",$C$2:$C483,"SER")+COUNTIFS($B$2:$B483,"s",$C$2:$C483,"PLH"))-1,12)+1),"N/A"),"")</f>
        <v/>
      </c>
      <c r="K483" s="6" t="str">
        <f>IF(AND($A483&lt;&gt;"",$B483&lt;&gt;"",$C483&lt;&gt;"",$D483&lt;&gt;"",$E483&lt;&gt;""),IF($C483="WB","Case WB Box "&amp;(INT((COUNTIFS($C$2:$C483,"WB")-1)/81)+1)&amp;": "&amp;CHAR(65+INT(MOD(COUNTIFS($C$2:$C483,"WB")-1,81)/9))&amp;(MOD(COUNTIFS($C$2:$C483,"WB")-1,9)+1),"N/A"),"")</f>
        <v/>
      </c>
      <c r="L483" s="2" t="str">
        <f t="shared" si="127"/>
        <v/>
      </c>
      <c r="M483" s="2"/>
      <c r="N483" s="2"/>
      <c r="O483" s="2"/>
      <c r="P483" s="7" t="str">
        <f t="shared" si="128"/>
        <v/>
      </c>
      <c r="Q483" s="7" t="str">
        <f t="shared" si="129"/>
        <v/>
      </c>
      <c r="R483" s="7" t="str">
        <f t="shared" si="130"/>
        <v/>
      </c>
      <c r="S483" s="7" t="str">
        <f t="shared" si="131"/>
        <v/>
      </c>
      <c r="T483" s="7" t="str">
        <f t="shared" si="132"/>
        <v/>
      </c>
      <c r="U483" s="7" t="str">
        <f t="shared" si="133"/>
        <v/>
      </c>
      <c r="V483" s="7" t="str">
        <f t="shared" si="134"/>
        <v/>
      </c>
      <c r="W483" s="7" t="str">
        <f t="shared" si="135"/>
        <v/>
      </c>
      <c r="X483" s="7" t="str">
        <f t="shared" si="136"/>
        <v/>
      </c>
      <c r="Y483" s="7" t="str">
        <f t="shared" si="137"/>
        <v/>
      </c>
      <c r="Z483">
        <f t="shared" si="138"/>
        <v>0</v>
      </c>
      <c r="AA483" t="str">
        <f t="shared" si="139"/>
        <v/>
      </c>
      <c r="AB483" t="str">
        <f t="shared" si="140"/>
        <v/>
      </c>
      <c r="AC483" t="str">
        <f t="shared" si="141"/>
        <v/>
      </c>
      <c r="AD483" t="str">
        <f t="shared" si="142"/>
        <v/>
      </c>
      <c r="AE483">
        <f t="shared" si="143"/>
        <v>0</v>
      </c>
    </row>
    <row r="484" spans="1:31" ht="15" customHeight="1" x14ac:dyDescent="0.35">
      <c r="A484" s="2"/>
      <c r="B484" s="3"/>
      <c r="C484" s="3"/>
      <c r="D484" s="4"/>
      <c r="E484" s="5"/>
      <c r="F484" s="11" t="str">
        <f t="shared" ca="1" si="126"/>
        <v/>
      </c>
      <c r="G484" s="5"/>
      <c r="H484" s="6" t="str">
        <f>IF(AND($A484&lt;&gt;"",$B484&lt;&gt;"",$C484&lt;&gt;"",$D484&lt;&gt;"",$E484&lt;&gt;""),IF(AND($B484="s",OR($C484="SER",$C484="PLH",$C484="CSF")),"Case CDI Plate "&amp;(INT(((COUNTIFS($B$2:$B484,"s",$C$2:$C484,"SER")+COUNTIFS($B$2:$B484,"s",$C$2:$C484,"PLH")+COUNTIFS($B$2:$B484,"s",$C$2:$C484,"CSF"))-1)/96)+1)&amp;": "&amp;CHAR(65+INT(MOD((COUNTIFS($B$2:$B484,"s",$C$2:$C484,"SER")+COUNTIFS($B$2:$B484,"s",$C$2:$C484,"PLH")+COUNTIFS($B$2:$B484,"s",$C$2:$C484,"CSF"))-1,96)/12))&amp;(MOD((COUNTIFS($B$2:$B484,"s",$C$2:$C484,"SER")+COUNTIFS($B$2:$B484,"s",$C$2:$C484,"PLH")+COUNTIFS($B$2:$B484,"s",$C$2:$C484,"CSF"))-1,12)+1),"N/A"),"")</f>
        <v/>
      </c>
      <c r="I484" s="6" t="str">
        <f>IF(AND($A484&lt;&gt;"",$B484&lt;&gt;"",$C484&lt;&gt;"",$D484&lt;&gt;"",$E484&lt;&gt;""),IF(AND($B484="s",OR($C484="SER",$C484="PLH",$C484="CSF")),"Case NIH Plate "&amp;(INT(((COUNTIFS($B$2:$B484,"s",$C$2:$C484,"SER")+COUNTIFS($B$2:$B484,"s",$C$2:$C484,"PLH")+COUNTIFS($B$2:$B484,"s",$C$2:$C484,"CSF"))-1)/96)+1)&amp;": "&amp;CHAR(65+INT(MOD((COUNTIFS($B$2:$B484,"s",$C$2:$C484,"SER")+COUNTIFS($B$2:$B484,"s",$C$2:$C484,"PLH")+COUNTIFS($B$2:$B484,"s",$C$2:$C484,"CSF"))-1,96)/12))&amp;(MOD((COUNTIFS($B$2:$B484,"s",$C$2:$C484,"SER")+COUNTIFS($B$2:$B484,"s",$C$2:$C484,"PLH")+COUNTIFS($B$2:$B484,"s",$C$2:$C484,"CSF"))-1,12)+1),"N/A"),"")</f>
        <v/>
      </c>
      <c r="J484" s="6" t="str">
        <f>IF(AND($A484&lt;&gt;"",$B484&lt;&gt;"",$C484&lt;&gt;"",$D484&lt;&gt;"",$E484&lt;&gt;""),IF(AND($B484="s",OR($C484="SER",$C484="PLH")),"Case MAX Planck Plate "&amp;(INT(((COUNTIFS($B$2:$B484,"s",$C$2:$C484,"SER")+COUNTIFS($B$2:$B484,"s",$C$2:$C484,"PLH"))-1)/96)+1)&amp;": "&amp;CHAR(65+INT(MOD((COUNTIFS($B$2:$B484,"s",$C$2:$C484,"SER")+COUNTIFS($B$2:$B484,"s",$C$2:$C484,"PLH"))-1,96)/12))&amp;(MOD((COUNTIFS($B$2:$B484,"s",$C$2:$C484,"SER")+COUNTIFS($B$2:$B484,"s",$C$2:$C484,"PLH"))-1,12)+1),"N/A"),"")</f>
        <v/>
      </c>
      <c r="K484" s="6" t="str">
        <f>IF(AND($A484&lt;&gt;"",$B484&lt;&gt;"",$C484&lt;&gt;"",$D484&lt;&gt;"",$E484&lt;&gt;""),IF($C484="WB","Case WB Box "&amp;(INT((COUNTIFS($C$2:$C484,"WB")-1)/81)+1)&amp;": "&amp;CHAR(65+INT(MOD(COUNTIFS($C$2:$C484,"WB")-1,81)/9))&amp;(MOD(COUNTIFS($C$2:$C484,"WB")-1,9)+1),"N/A"),"")</f>
        <v/>
      </c>
      <c r="L484" s="2" t="str">
        <f t="shared" si="127"/>
        <v/>
      </c>
      <c r="M484" s="2"/>
      <c r="N484" s="2"/>
      <c r="O484" s="2"/>
      <c r="P484" s="7" t="str">
        <f t="shared" si="128"/>
        <v/>
      </c>
      <c r="Q484" s="7" t="str">
        <f t="shared" si="129"/>
        <v/>
      </c>
      <c r="R484" s="7" t="str">
        <f t="shared" si="130"/>
        <v/>
      </c>
      <c r="S484" s="7" t="str">
        <f t="shared" si="131"/>
        <v/>
      </c>
      <c r="T484" s="7" t="str">
        <f t="shared" si="132"/>
        <v/>
      </c>
      <c r="U484" s="7" t="str">
        <f t="shared" si="133"/>
        <v/>
      </c>
      <c r="V484" s="7" t="str">
        <f t="shared" si="134"/>
        <v/>
      </c>
      <c r="W484" s="7" t="str">
        <f t="shared" si="135"/>
        <v/>
      </c>
      <c r="X484" s="7" t="str">
        <f t="shared" si="136"/>
        <v/>
      </c>
      <c r="Y484" s="7" t="str">
        <f t="shared" si="137"/>
        <v/>
      </c>
      <c r="Z484">
        <f t="shared" si="138"/>
        <v>0</v>
      </c>
      <c r="AA484" t="str">
        <f t="shared" si="139"/>
        <v/>
      </c>
      <c r="AB484" t="str">
        <f t="shared" si="140"/>
        <v/>
      </c>
      <c r="AC484" t="str">
        <f t="shared" si="141"/>
        <v/>
      </c>
      <c r="AD484" t="str">
        <f t="shared" si="142"/>
        <v/>
      </c>
      <c r="AE484">
        <f t="shared" si="143"/>
        <v>0</v>
      </c>
    </row>
    <row r="485" spans="1:31" ht="15" customHeight="1" x14ac:dyDescent="0.35">
      <c r="A485" s="2"/>
      <c r="B485" s="3"/>
      <c r="C485" s="3"/>
      <c r="D485" s="4"/>
      <c r="E485" s="5"/>
      <c r="F485" s="11" t="str">
        <f t="shared" ca="1" si="126"/>
        <v/>
      </c>
      <c r="G485" s="5"/>
      <c r="H485" s="6" t="str">
        <f>IF(AND($A485&lt;&gt;"",$B485&lt;&gt;"",$C485&lt;&gt;"",$D485&lt;&gt;"",$E485&lt;&gt;""),IF(AND($B485="s",OR($C485="SER",$C485="PLH",$C485="CSF")),"Case CDI Plate "&amp;(INT(((COUNTIFS($B$2:$B485,"s",$C$2:$C485,"SER")+COUNTIFS($B$2:$B485,"s",$C$2:$C485,"PLH")+COUNTIFS($B$2:$B485,"s",$C$2:$C485,"CSF"))-1)/96)+1)&amp;": "&amp;CHAR(65+INT(MOD((COUNTIFS($B$2:$B485,"s",$C$2:$C485,"SER")+COUNTIFS($B$2:$B485,"s",$C$2:$C485,"PLH")+COUNTIFS($B$2:$B485,"s",$C$2:$C485,"CSF"))-1,96)/12))&amp;(MOD((COUNTIFS($B$2:$B485,"s",$C$2:$C485,"SER")+COUNTIFS($B$2:$B485,"s",$C$2:$C485,"PLH")+COUNTIFS($B$2:$B485,"s",$C$2:$C485,"CSF"))-1,12)+1),"N/A"),"")</f>
        <v/>
      </c>
      <c r="I485" s="6" t="str">
        <f>IF(AND($A485&lt;&gt;"",$B485&lt;&gt;"",$C485&lt;&gt;"",$D485&lt;&gt;"",$E485&lt;&gt;""),IF(AND($B485="s",OR($C485="SER",$C485="PLH",$C485="CSF")),"Case NIH Plate "&amp;(INT(((COUNTIFS($B$2:$B485,"s",$C$2:$C485,"SER")+COUNTIFS($B$2:$B485,"s",$C$2:$C485,"PLH")+COUNTIFS($B$2:$B485,"s",$C$2:$C485,"CSF"))-1)/96)+1)&amp;": "&amp;CHAR(65+INT(MOD((COUNTIFS($B$2:$B485,"s",$C$2:$C485,"SER")+COUNTIFS($B$2:$B485,"s",$C$2:$C485,"PLH")+COUNTIFS($B$2:$B485,"s",$C$2:$C485,"CSF"))-1,96)/12))&amp;(MOD((COUNTIFS($B$2:$B485,"s",$C$2:$C485,"SER")+COUNTIFS($B$2:$B485,"s",$C$2:$C485,"PLH")+COUNTIFS($B$2:$B485,"s",$C$2:$C485,"CSF"))-1,12)+1),"N/A"),"")</f>
        <v/>
      </c>
      <c r="J485" s="6" t="str">
        <f>IF(AND($A485&lt;&gt;"",$B485&lt;&gt;"",$C485&lt;&gt;"",$D485&lt;&gt;"",$E485&lt;&gt;""),IF(AND($B485="s",OR($C485="SER",$C485="PLH")),"Case MAX Planck Plate "&amp;(INT(((COUNTIFS($B$2:$B485,"s",$C$2:$C485,"SER")+COUNTIFS($B$2:$B485,"s",$C$2:$C485,"PLH"))-1)/96)+1)&amp;": "&amp;CHAR(65+INT(MOD((COUNTIFS($B$2:$B485,"s",$C$2:$C485,"SER")+COUNTIFS($B$2:$B485,"s",$C$2:$C485,"PLH"))-1,96)/12))&amp;(MOD((COUNTIFS($B$2:$B485,"s",$C$2:$C485,"SER")+COUNTIFS($B$2:$B485,"s",$C$2:$C485,"PLH"))-1,12)+1),"N/A"),"")</f>
        <v/>
      </c>
      <c r="K485" s="6" t="str">
        <f>IF(AND($A485&lt;&gt;"",$B485&lt;&gt;"",$C485&lt;&gt;"",$D485&lt;&gt;"",$E485&lt;&gt;""),IF($C485="WB","Case WB Box "&amp;(INT((COUNTIFS($C$2:$C485,"WB")-1)/81)+1)&amp;": "&amp;CHAR(65+INT(MOD(COUNTIFS($C$2:$C485,"WB")-1,81)/9))&amp;(MOD(COUNTIFS($C$2:$C485,"WB")-1,9)+1),"N/A"),"")</f>
        <v/>
      </c>
      <c r="L485" s="2" t="str">
        <f t="shared" si="127"/>
        <v/>
      </c>
      <c r="M485" s="2"/>
      <c r="N485" s="2"/>
      <c r="O485" s="2"/>
      <c r="P485" s="7" t="str">
        <f t="shared" si="128"/>
        <v/>
      </c>
      <c r="Q485" s="7" t="str">
        <f t="shared" si="129"/>
        <v/>
      </c>
      <c r="R485" s="7" t="str">
        <f t="shared" si="130"/>
        <v/>
      </c>
      <c r="S485" s="7" t="str">
        <f t="shared" si="131"/>
        <v/>
      </c>
      <c r="T485" s="7" t="str">
        <f t="shared" si="132"/>
        <v/>
      </c>
      <c r="U485" s="7" t="str">
        <f t="shared" si="133"/>
        <v/>
      </c>
      <c r="V485" s="7" t="str">
        <f t="shared" si="134"/>
        <v/>
      </c>
      <c r="W485" s="7" t="str">
        <f t="shared" si="135"/>
        <v/>
      </c>
      <c r="X485" s="7" t="str">
        <f t="shared" si="136"/>
        <v/>
      </c>
      <c r="Y485" s="7" t="str">
        <f t="shared" si="137"/>
        <v/>
      </c>
      <c r="Z485">
        <f t="shared" si="138"/>
        <v>0</v>
      </c>
      <c r="AA485" t="str">
        <f t="shared" si="139"/>
        <v/>
      </c>
      <c r="AB485" t="str">
        <f t="shared" si="140"/>
        <v/>
      </c>
      <c r="AC485" t="str">
        <f t="shared" si="141"/>
        <v/>
      </c>
      <c r="AD485" t="str">
        <f t="shared" si="142"/>
        <v/>
      </c>
      <c r="AE485">
        <f t="shared" si="143"/>
        <v>0</v>
      </c>
    </row>
    <row r="486" spans="1:31" ht="15" customHeight="1" x14ac:dyDescent="0.35">
      <c r="A486" s="2"/>
      <c r="B486" s="3"/>
      <c r="C486" s="3"/>
      <c r="D486" s="4"/>
      <c r="E486" s="5"/>
      <c r="F486" s="11" t="str">
        <f t="shared" ca="1" si="126"/>
        <v/>
      </c>
      <c r="G486" s="5"/>
      <c r="H486" s="6" t="str">
        <f>IF(AND($A486&lt;&gt;"",$B486&lt;&gt;"",$C486&lt;&gt;"",$D486&lt;&gt;"",$E486&lt;&gt;""),IF(AND($B486="s",OR($C486="SER",$C486="PLH",$C486="CSF")),"Case CDI Plate "&amp;(INT(((COUNTIFS($B$2:$B486,"s",$C$2:$C486,"SER")+COUNTIFS($B$2:$B486,"s",$C$2:$C486,"PLH")+COUNTIFS($B$2:$B486,"s",$C$2:$C486,"CSF"))-1)/96)+1)&amp;": "&amp;CHAR(65+INT(MOD((COUNTIFS($B$2:$B486,"s",$C$2:$C486,"SER")+COUNTIFS($B$2:$B486,"s",$C$2:$C486,"PLH")+COUNTIFS($B$2:$B486,"s",$C$2:$C486,"CSF"))-1,96)/12))&amp;(MOD((COUNTIFS($B$2:$B486,"s",$C$2:$C486,"SER")+COUNTIFS($B$2:$B486,"s",$C$2:$C486,"PLH")+COUNTIFS($B$2:$B486,"s",$C$2:$C486,"CSF"))-1,12)+1),"N/A"),"")</f>
        <v/>
      </c>
      <c r="I486" s="6" t="str">
        <f>IF(AND($A486&lt;&gt;"",$B486&lt;&gt;"",$C486&lt;&gt;"",$D486&lt;&gt;"",$E486&lt;&gt;""),IF(AND($B486="s",OR($C486="SER",$C486="PLH",$C486="CSF")),"Case NIH Plate "&amp;(INT(((COUNTIFS($B$2:$B486,"s",$C$2:$C486,"SER")+COUNTIFS($B$2:$B486,"s",$C$2:$C486,"PLH")+COUNTIFS($B$2:$B486,"s",$C$2:$C486,"CSF"))-1)/96)+1)&amp;": "&amp;CHAR(65+INT(MOD((COUNTIFS($B$2:$B486,"s",$C$2:$C486,"SER")+COUNTIFS($B$2:$B486,"s",$C$2:$C486,"PLH")+COUNTIFS($B$2:$B486,"s",$C$2:$C486,"CSF"))-1,96)/12))&amp;(MOD((COUNTIFS($B$2:$B486,"s",$C$2:$C486,"SER")+COUNTIFS($B$2:$B486,"s",$C$2:$C486,"PLH")+COUNTIFS($B$2:$B486,"s",$C$2:$C486,"CSF"))-1,12)+1),"N/A"),"")</f>
        <v/>
      </c>
      <c r="J486" s="6" t="str">
        <f>IF(AND($A486&lt;&gt;"",$B486&lt;&gt;"",$C486&lt;&gt;"",$D486&lt;&gt;"",$E486&lt;&gt;""),IF(AND($B486="s",OR($C486="SER",$C486="PLH")),"Case MAX Planck Plate "&amp;(INT(((COUNTIFS($B$2:$B486,"s",$C$2:$C486,"SER")+COUNTIFS($B$2:$B486,"s",$C$2:$C486,"PLH"))-1)/96)+1)&amp;": "&amp;CHAR(65+INT(MOD((COUNTIFS($B$2:$B486,"s",$C$2:$C486,"SER")+COUNTIFS($B$2:$B486,"s",$C$2:$C486,"PLH"))-1,96)/12))&amp;(MOD((COUNTIFS($B$2:$B486,"s",$C$2:$C486,"SER")+COUNTIFS($B$2:$B486,"s",$C$2:$C486,"PLH"))-1,12)+1),"N/A"),"")</f>
        <v/>
      </c>
      <c r="K486" s="6" t="str">
        <f>IF(AND($A486&lt;&gt;"",$B486&lt;&gt;"",$C486&lt;&gt;"",$D486&lt;&gt;"",$E486&lt;&gt;""),IF($C486="WB","Case WB Box "&amp;(INT((COUNTIFS($C$2:$C486,"WB")-1)/81)+1)&amp;": "&amp;CHAR(65+INT(MOD(COUNTIFS($C$2:$C486,"WB")-1,81)/9))&amp;(MOD(COUNTIFS($C$2:$C486,"WB")-1,9)+1),"N/A"),"")</f>
        <v/>
      </c>
      <c r="L486" s="2" t="str">
        <f t="shared" si="127"/>
        <v/>
      </c>
      <c r="M486" s="2"/>
      <c r="N486" s="2"/>
      <c r="O486" s="2"/>
      <c r="P486" s="7" t="str">
        <f t="shared" si="128"/>
        <v/>
      </c>
      <c r="Q486" s="7" t="str">
        <f t="shared" si="129"/>
        <v/>
      </c>
      <c r="R486" s="7" t="str">
        <f t="shared" si="130"/>
        <v/>
      </c>
      <c r="S486" s="7" t="str">
        <f t="shared" si="131"/>
        <v/>
      </c>
      <c r="T486" s="7" t="str">
        <f t="shared" si="132"/>
        <v/>
      </c>
      <c r="U486" s="7" t="str">
        <f t="shared" si="133"/>
        <v/>
      </c>
      <c r="V486" s="7" t="str">
        <f t="shared" si="134"/>
        <v/>
      </c>
      <c r="W486" s="7" t="str">
        <f t="shared" si="135"/>
        <v/>
      </c>
      <c r="X486" s="7" t="str">
        <f t="shared" si="136"/>
        <v/>
      </c>
      <c r="Y486" s="7" t="str">
        <f t="shared" si="137"/>
        <v/>
      </c>
      <c r="Z486">
        <f t="shared" si="138"/>
        <v>0</v>
      </c>
      <c r="AA486" t="str">
        <f t="shared" si="139"/>
        <v/>
      </c>
      <c r="AB486" t="str">
        <f t="shared" si="140"/>
        <v/>
      </c>
      <c r="AC486" t="str">
        <f t="shared" si="141"/>
        <v/>
      </c>
      <c r="AD486" t="str">
        <f t="shared" si="142"/>
        <v/>
      </c>
      <c r="AE486">
        <f t="shared" si="143"/>
        <v>0</v>
      </c>
    </row>
    <row r="487" spans="1:31" ht="15" customHeight="1" x14ac:dyDescent="0.35">
      <c r="A487" s="2"/>
      <c r="B487" s="3"/>
      <c r="C487" s="3"/>
      <c r="D487" s="4"/>
      <c r="E487" s="5"/>
      <c r="F487" s="11" t="str">
        <f t="shared" ca="1" si="126"/>
        <v/>
      </c>
      <c r="G487" s="5"/>
      <c r="H487" s="6" t="str">
        <f>IF(AND($A487&lt;&gt;"",$B487&lt;&gt;"",$C487&lt;&gt;"",$D487&lt;&gt;"",$E487&lt;&gt;""),IF(AND($B487="s",OR($C487="SER",$C487="PLH",$C487="CSF")),"Case CDI Plate "&amp;(INT(((COUNTIFS($B$2:$B487,"s",$C$2:$C487,"SER")+COUNTIFS($B$2:$B487,"s",$C$2:$C487,"PLH")+COUNTIFS($B$2:$B487,"s",$C$2:$C487,"CSF"))-1)/96)+1)&amp;": "&amp;CHAR(65+INT(MOD((COUNTIFS($B$2:$B487,"s",$C$2:$C487,"SER")+COUNTIFS($B$2:$B487,"s",$C$2:$C487,"PLH")+COUNTIFS($B$2:$B487,"s",$C$2:$C487,"CSF"))-1,96)/12))&amp;(MOD((COUNTIFS($B$2:$B487,"s",$C$2:$C487,"SER")+COUNTIFS($B$2:$B487,"s",$C$2:$C487,"PLH")+COUNTIFS($B$2:$B487,"s",$C$2:$C487,"CSF"))-1,12)+1),"N/A"),"")</f>
        <v/>
      </c>
      <c r="I487" s="6" t="str">
        <f>IF(AND($A487&lt;&gt;"",$B487&lt;&gt;"",$C487&lt;&gt;"",$D487&lt;&gt;"",$E487&lt;&gt;""),IF(AND($B487="s",OR($C487="SER",$C487="PLH",$C487="CSF")),"Case NIH Plate "&amp;(INT(((COUNTIFS($B$2:$B487,"s",$C$2:$C487,"SER")+COUNTIFS($B$2:$B487,"s",$C$2:$C487,"PLH")+COUNTIFS($B$2:$B487,"s",$C$2:$C487,"CSF"))-1)/96)+1)&amp;": "&amp;CHAR(65+INT(MOD((COUNTIFS($B$2:$B487,"s",$C$2:$C487,"SER")+COUNTIFS($B$2:$B487,"s",$C$2:$C487,"PLH")+COUNTIFS($B$2:$B487,"s",$C$2:$C487,"CSF"))-1,96)/12))&amp;(MOD((COUNTIFS($B$2:$B487,"s",$C$2:$C487,"SER")+COUNTIFS($B$2:$B487,"s",$C$2:$C487,"PLH")+COUNTIFS($B$2:$B487,"s",$C$2:$C487,"CSF"))-1,12)+1),"N/A"),"")</f>
        <v/>
      </c>
      <c r="J487" s="6" t="str">
        <f>IF(AND($A487&lt;&gt;"",$B487&lt;&gt;"",$C487&lt;&gt;"",$D487&lt;&gt;"",$E487&lt;&gt;""),IF(AND($B487="s",OR($C487="SER",$C487="PLH")),"Case MAX Planck Plate "&amp;(INT(((COUNTIFS($B$2:$B487,"s",$C$2:$C487,"SER")+COUNTIFS($B$2:$B487,"s",$C$2:$C487,"PLH"))-1)/96)+1)&amp;": "&amp;CHAR(65+INT(MOD((COUNTIFS($B$2:$B487,"s",$C$2:$C487,"SER")+COUNTIFS($B$2:$B487,"s",$C$2:$C487,"PLH"))-1,96)/12))&amp;(MOD((COUNTIFS($B$2:$B487,"s",$C$2:$C487,"SER")+COUNTIFS($B$2:$B487,"s",$C$2:$C487,"PLH"))-1,12)+1),"N/A"),"")</f>
        <v/>
      </c>
      <c r="K487" s="6" t="str">
        <f>IF(AND($A487&lt;&gt;"",$B487&lt;&gt;"",$C487&lt;&gt;"",$D487&lt;&gt;"",$E487&lt;&gt;""),IF($C487="WB","Case WB Box "&amp;(INT((COUNTIFS($C$2:$C487,"WB")-1)/81)+1)&amp;": "&amp;CHAR(65+INT(MOD(COUNTIFS($C$2:$C487,"WB")-1,81)/9))&amp;(MOD(COUNTIFS($C$2:$C487,"WB")-1,9)+1),"N/A"),"")</f>
        <v/>
      </c>
      <c r="L487" s="2" t="str">
        <f t="shared" si="127"/>
        <v/>
      </c>
      <c r="M487" s="2"/>
      <c r="N487" s="2"/>
      <c r="O487" s="2"/>
      <c r="P487" s="7" t="str">
        <f t="shared" si="128"/>
        <v/>
      </c>
      <c r="Q487" s="7" t="str">
        <f t="shared" si="129"/>
        <v/>
      </c>
      <c r="R487" s="7" t="str">
        <f t="shared" si="130"/>
        <v/>
      </c>
      <c r="S487" s="7" t="str">
        <f t="shared" si="131"/>
        <v/>
      </c>
      <c r="T487" s="7" t="str">
        <f t="shared" si="132"/>
        <v/>
      </c>
      <c r="U487" s="7" t="str">
        <f t="shared" si="133"/>
        <v/>
      </c>
      <c r="V487" s="7" t="str">
        <f t="shared" si="134"/>
        <v/>
      </c>
      <c r="W487" s="7" t="str">
        <f t="shared" si="135"/>
        <v/>
      </c>
      <c r="X487" s="7" t="str">
        <f t="shared" si="136"/>
        <v/>
      </c>
      <c r="Y487" s="7" t="str">
        <f t="shared" si="137"/>
        <v/>
      </c>
      <c r="Z487">
        <f t="shared" si="138"/>
        <v>0</v>
      </c>
      <c r="AA487" t="str">
        <f t="shared" si="139"/>
        <v/>
      </c>
      <c r="AB487" t="str">
        <f t="shared" si="140"/>
        <v/>
      </c>
      <c r="AC487" t="str">
        <f t="shared" si="141"/>
        <v/>
      </c>
      <c r="AD487" t="str">
        <f t="shared" si="142"/>
        <v/>
      </c>
      <c r="AE487">
        <f t="shared" si="143"/>
        <v>0</v>
      </c>
    </row>
    <row r="488" spans="1:31" ht="15" customHeight="1" x14ac:dyDescent="0.35">
      <c r="A488" s="2"/>
      <c r="B488" s="3"/>
      <c r="C488" s="3"/>
      <c r="D488" s="4"/>
      <c r="E488" s="5"/>
      <c r="F488" s="11" t="str">
        <f t="shared" ca="1" si="126"/>
        <v/>
      </c>
      <c r="G488" s="5"/>
      <c r="H488" s="6" t="str">
        <f>IF(AND($A488&lt;&gt;"",$B488&lt;&gt;"",$C488&lt;&gt;"",$D488&lt;&gt;"",$E488&lt;&gt;""),IF(AND($B488="s",OR($C488="SER",$C488="PLH",$C488="CSF")),"Case CDI Plate "&amp;(INT(((COUNTIFS($B$2:$B488,"s",$C$2:$C488,"SER")+COUNTIFS($B$2:$B488,"s",$C$2:$C488,"PLH")+COUNTIFS($B$2:$B488,"s",$C$2:$C488,"CSF"))-1)/96)+1)&amp;": "&amp;CHAR(65+INT(MOD((COUNTIFS($B$2:$B488,"s",$C$2:$C488,"SER")+COUNTIFS($B$2:$B488,"s",$C$2:$C488,"PLH")+COUNTIFS($B$2:$B488,"s",$C$2:$C488,"CSF"))-1,96)/12))&amp;(MOD((COUNTIFS($B$2:$B488,"s",$C$2:$C488,"SER")+COUNTIFS($B$2:$B488,"s",$C$2:$C488,"PLH")+COUNTIFS($B$2:$B488,"s",$C$2:$C488,"CSF"))-1,12)+1),"N/A"),"")</f>
        <v/>
      </c>
      <c r="I488" s="6" t="str">
        <f>IF(AND($A488&lt;&gt;"",$B488&lt;&gt;"",$C488&lt;&gt;"",$D488&lt;&gt;"",$E488&lt;&gt;""),IF(AND($B488="s",OR($C488="SER",$C488="PLH",$C488="CSF")),"Case NIH Plate "&amp;(INT(((COUNTIFS($B$2:$B488,"s",$C$2:$C488,"SER")+COUNTIFS($B$2:$B488,"s",$C$2:$C488,"PLH")+COUNTIFS($B$2:$B488,"s",$C$2:$C488,"CSF"))-1)/96)+1)&amp;": "&amp;CHAR(65+INT(MOD((COUNTIFS($B$2:$B488,"s",$C$2:$C488,"SER")+COUNTIFS($B$2:$B488,"s",$C$2:$C488,"PLH")+COUNTIFS($B$2:$B488,"s",$C$2:$C488,"CSF"))-1,96)/12))&amp;(MOD((COUNTIFS($B$2:$B488,"s",$C$2:$C488,"SER")+COUNTIFS($B$2:$B488,"s",$C$2:$C488,"PLH")+COUNTIFS($B$2:$B488,"s",$C$2:$C488,"CSF"))-1,12)+1),"N/A"),"")</f>
        <v/>
      </c>
      <c r="J488" s="6" t="str">
        <f>IF(AND($A488&lt;&gt;"",$B488&lt;&gt;"",$C488&lt;&gt;"",$D488&lt;&gt;"",$E488&lt;&gt;""),IF(AND($B488="s",OR($C488="SER",$C488="PLH")),"Case MAX Planck Plate "&amp;(INT(((COUNTIFS($B$2:$B488,"s",$C$2:$C488,"SER")+COUNTIFS($B$2:$B488,"s",$C$2:$C488,"PLH"))-1)/96)+1)&amp;": "&amp;CHAR(65+INT(MOD((COUNTIFS($B$2:$B488,"s",$C$2:$C488,"SER")+COUNTIFS($B$2:$B488,"s",$C$2:$C488,"PLH"))-1,96)/12))&amp;(MOD((COUNTIFS($B$2:$B488,"s",$C$2:$C488,"SER")+COUNTIFS($B$2:$B488,"s",$C$2:$C488,"PLH"))-1,12)+1),"N/A"),"")</f>
        <v/>
      </c>
      <c r="K488" s="6" t="str">
        <f>IF(AND($A488&lt;&gt;"",$B488&lt;&gt;"",$C488&lt;&gt;"",$D488&lt;&gt;"",$E488&lt;&gt;""),IF($C488="WB","Case WB Box "&amp;(INT((COUNTIFS($C$2:$C488,"WB")-1)/81)+1)&amp;": "&amp;CHAR(65+INT(MOD(COUNTIFS($C$2:$C488,"WB")-1,81)/9))&amp;(MOD(COUNTIFS($C$2:$C488,"WB")-1,9)+1),"N/A"),"")</f>
        <v/>
      </c>
      <c r="L488" s="2" t="str">
        <f t="shared" si="127"/>
        <v/>
      </c>
      <c r="M488" s="2"/>
      <c r="N488" s="2"/>
      <c r="O488" s="2"/>
      <c r="P488" s="7" t="str">
        <f t="shared" si="128"/>
        <v/>
      </c>
      <c r="Q488" s="7" t="str">
        <f t="shared" si="129"/>
        <v/>
      </c>
      <c r="R488" s="7" t="str">
        <f t="shared" si="130"/>
        <v/>
      </c>
      <c r="S488" s="7" t="str">
        <f t="shared" si="131"/>
        <v/>
      </c>
      <c r="T488" s="7" t="str">
        <f t="shared" si="132"/>
        <v/>
      </c>
      <c r="U488" s="7" t="str">
        <f t="shared" si="133"/>
        <v/>
      </c>
      <c r="V488" s="7" t="str">
        <f t="shared" si="134"/>
        <v/>
      </c>
      <c r="W488" s="7" t="str">
        <f t="shared" si="135"/>
        <v/>
      </c>
      <c r="X488" s="7" t="str">
        <f t="shared" si="136"/>
        <v/>
      </c>
      <c r="Y488" s="7" t="str">
        <f t="shared" si="137"/>
        <v/>
      </c>
      <c r="Z488">
        <f t="shared" si="138"/>
        <v>0</v>
      </c>
      <c r="AA488" t="str">
        <f t="shared" si="139"/>
        <v/>
      </c>
      <c r="AB488" t="str">
        <f t="shared" si="140"/>
        <v/>
      </c>
      <c r="AC488" t="str">
        <f t="shared" si="141"/>
        <v/>
      </c>
      <c r="AD488" t="str">
        <f t="shared" si="142"/>
        <v/>
      </c>
      <c r="AE488">
        <f t="shared" si="143"/>
        <v>0</v>
      </c>
    </row>
    <row r="489" spans="1:31" ht="15" customHeight="1" x14ac:dyDescent="0.35">
      <c r="A489" s="2"/>
      <c r="B489" s="3"/>
      <c r="C489" s="3"/>
      <c r="D489" s="4"/>
      <c r="E489" s="5"/>
      <c r="F489" s="11" t="str">
        <f t="shared" ca="1" si="126"/>
        <v/>
      </c>
      <c r="G489" s="5"/>
      <c r="H489" s="6" t="str">
        <f>IF(AND($A489&lt;&gt;"",$B489&lt;&gt;"",$C489&lt;&gt;"",$D489&lt;&gt;"",$E489&lt;&gt;""),IF(AND($B489="s",OR($C489="SER",$C489="PLH",$C489="CSF")),"Case CDI Plate "&amp;(INT(((COUNTIFS($B$2:$B489,"s",$C$2:$C489,"SER")+COUNTIFS($B$2:$B489,"s",$C$2:$C489,"PLH")+COUNTIFS($B$2:$B489,"s",$C$2:$C489,"CSF"))-1)/96)+1)&amp;": "&amp;CHAR(65+INT(MOD((COUNTIFS($B$2:$B489,"s",$C$2:$C489,"SER")+COUNTIFS($B$2:$B489,"s",$C$2:$C489,"PLH")+COUNTIFS($B$2:$B489,"s",$C$2:$C489,"CSF"))-1,96)/12))&amp;(MOD((COUNTIFS($B$2:$B489,"s",$C$2:$C489,"SER")+COUNTIFS($B$2:$B489,"s",$C$2:$C489,"PLH")+COUNTIFS($B$2:$B489,"s",$C$2:$C489,"CSF"))-1,12)+1),"N/A"),"")</f>
        <v/>
      </c>
      <c r="I489" s="6" t="str">
        <f>IF(AND($A489&lt;&gt;"",$B489&lt;&gt;"",$C489&lt;&gt;"",$D489&lt;&gt;"",$E489&lt;&gt;""),IF(AND($B489="s",OR($C489="SER",$C489="PLH",$C489="CSF")),"Case NIH Plate "&amp;(INT(((COUNTIFS($B$2:$B489,"s",$C$2:$C489,"SER")+COUNTIFS($B$2:$B489,"s",$C$2:$C489,"PLH")+COUNTIFS($B$2:$B489,"s",$C$2:$C489,"CSF"))-1)/96)+1)&amp;": "&amp;CHAR(65+INT(MOD((COUNTIFS($B$2:$B489,"s",$C$2:$C489,"SER")+COUNTIFS($B$2:$B489,"s",$C$2:$C489,"PLH")+COUNTIFS($B$2:$B489,"s",$C$2:$C489,"CSF"))-1,96)/12))&amp;(MOD((COUNTIFS($B$2:$B489,"s",$C$2:$C489,"SER")+COUNTIFS($B$2:$B489,"s",$C$2:$C489,"PLH")+COUNTIFS($B$2:$B489,"s",$C$2:$C489,"CSF"))-1,12)+1),"N/A"),"")</f>
        <v/>
      </c>
      <c r="J489" s="6" t="str">
        <f>IF(AND($A489&lt;&gt;"",$B489&lt;&gt;"",$C489&lt;&gt;"",$D489&lt;&gt;"",$E489&lt;&gt;""),IF(AND($B489="s",OR($C489="SER",$C489="PLH")),"Case MAX Planck Plate "&amp;(INT(((COUNTIFS($B$2:$B489,"s",$C$2:$C489,"SER")+COUNTIFS($B$2:$B489,"s",$C$2:$C489,"PLH"))-1)/96)+1)&amp;": "&amp;CHAR(65+INT(MOD((COUNTIFS($B$2:$B489,"s",$C$2:$C489,"SER")+COUNTIFS($B$2:$B489,"s",$C$2:$C489,"PLH"))-1,96)/12))&amp;(MOD((COUNTIFS($B$2:$B489,"s",$C$2:$C489,"SER")+COUNTIFS($B$2:$B489,"s",$C$2:$C489,"PLH"))-1,12)+1),"N/A"),"")</f>
        <v/>
      </c>
      <c r="K489" s="6" t="str">
        <f>IF(AND($A489&lt;&gt;"",$B489&lt;&gt;"",$C489&lt;&gt;"",$D489&lt;&gt;"",$E489&lt;&gt;""),IF($C489="WB","Case WB Box "&amp;(INT((COUNTIFS($C$2:$C489,"WB")-1)/81)+1)&amp;": "&amp;CHAR(65+INT(MOD(COUNTIFS($C$2:$C489,"WB")-1,81)/9))&amp;(MOD(COUNTIFS($C$2:$C489,"WB")-1,9)+1),"N/A"),"")</f>
        <v/>
      </c>
      <c r="L489" s="2" t="str">
        <f t="shared" si="127"/>
        <v/>
      </c>
      <c r="M489" s="2"/>
      <c r="N489" s="2"/>
      <c r="O489" s="2"/>
      <c r="P489" s="7" t="str">
        <f t="shared" si="128"/>
        <v/>
      </c>
      <c r="Q489" s="7" t="str">
        <f t="shared" si="129"/>
        <v/>
      </c>
      <c r="R489" s="7" t="str">
        <f t="shared" si="130"/>
        <v/>
      </c>
      <c r="S489" s="7" t="str">
        <f t="shared" si="131"/>
        <v/>
      </c>
      <c r="T489" s="7" t="str">
        <f t="shared" si="132"/>
        <v/>
      </c>
      <c r="U489" s="7" t="str">
        <f t="shared" si="133"/>
        <v/>
      </c>
      <c r="V489" s="7" t="str">
        <f t="shared" si="134"/>
        <v/>
      </c>
      <c r="W489" s="7" t="str">
        <f t="shared" si="135"/>
        <v/>
      </c>
      <c r="X489" s="7" t="str">
        <f t="shared" si="136"/>
        <v/>
      </c>
      <c r="Y489" s="7" t="str">
        <f t="shared" si="137"/>
        <v/>
      </c>
      <c r="Z489">
        <f t="shared" si="138"/>
        <v>0</v>
      </c>
      <c r="AA489" t="str">
        <f t="shared" si="139"/>
        <v/>
      </c>
      <c r="AB489" t="str">
        <f t="shared" si="140"/>
        <v/>
      </c>
      <c r="AC489" t="str">
        <f t="shared" si="141"/>
        <v/>
      </c>
      <c r="AD489" t="str">
        <f t="shared" si="142"/>
        <v/>
      </c>
      <c r="AE489">
        <f t="shared" si="143"/>
        <v>0</v>
      </c>
    </row>
    <row r="490" spans="1:31" ht="15" customHeight="1" x14ac:dyDescent="0.35">
      <c r="A490" s="2"/>
      <c r="B490" s="3"/>
      <c r="C490" s="3"/>
      <c r="D490" s="4"/>
      <c r="E490" s="5"/>
      <c r="F490" s="11" t="str">
        <f t="shared" ca="1" si="126"/>
        <v/>
      </c>
      <c r="G490" s="5"/>
      <c r="H490" s="6" t="str">
        <f>IF(AND($A490&lt;&gt;"",$B490&lt;&gt;"",$C490&lt;&gt;"",$D490&lt;&gt;"",$E490&lt;&gt;""),IF(AND($B490="s",OR($C490="SER",$C490="PLH",$C490="CSF")),"Case CDI Plate "&amp;(INT(((COUNTIFS($B$2:$B490,"s",$C$2:$C490,"SER")+COUNTIFS($B$2:$B490,"s",$C$2:$C490,"PLH")+COUNTIFS($B$2:$B490,"s",$C$2:$C490,"CSF"))-1)/96)+1)&amp;": "&amp;CHAR(65+INT(MOD((COUNTIFS($B$2:$B490,"s",$C$2:$C490,"SER")+COUNTIFS($B$2:$B490,"s",$C$2:$C490,"PLH")+COUNTIFS($B$2:$B490,"s",$C$2:$C490,"CSF"))-1,96)/12))&amp;(MOD((COUNTIFS($B$2:$B490,"s",$C$2:$C490,"SER")+COUNTIFS($B$2:$B490,"s",$C$2:$C490,"PLH")+COUNTIFS($B$2:$B490,"s",$C$2:$C490,"CSF"))-1,12)+1),"N/A"),"")</f>
        <v/>
      </c>
      <c r="I490" s="6" t="str">
        <f>IF(AND($A490&lt;&gt;"",$B490&lt;&gt;"",$C490&lt;&gt;"",$D490&lt;&gt;"",$E490&lt;&gt;""),IF(AND($B490="s",OR($C490="SER",$C490="PLH",$C490="CSF")),"Case NIH Plate "&amp;(INT(((COUNTIFS($B$2:$B490,"s",$C$2:$C490,"SER")+COUNTIFS($B$2:$B490,"s",$C$2:$C490,"PLH")+COUNTIFS($B$2:$B490,"s",$C$2:$C490,"CSF"))-1)/96)+1)&amp;": "&amp;CHAR(65+INT(MOD((COUNTIFS($B$2:$B490,"s",$C$2:$C490,"SER")+COUNTIFS($B$2:$B490,"s",$C$2:$C490,"PLH")+COUNTIFS($B$2:$B490,"s",$C$2:$C490,"CSF"))-1,96)/12))&amp;(MOD((COUNTIFS($B$2:$B490,"s",$C$2:$C490,"SER")+COUNTIFS($B$2:$B490,"s",$C$2:$C490,"PLH")+COUNTIFS($B$2:$B490,"s",$C$2:$C490,"CSF"))-1,12)+1),"N/A"),"")</f>
        <v/>
      </c>
      <c r="J490" s="6" t="str">
        <f>IF(AND($A490&lt;&gt;"",$B490&lt;&gt;"",$C490&lt;&gt;"",$D490&lt;&gt;"",$E490&lt;&gt;""),IF(AND($B490="s",OR($C490="SER",$C490="PLH")),"Case MAX Planck Plate "&amp;(INT(((COUNTIFS($B$2:$B490,"s",$C$2:$C490,"SER")+COUNTIFS($B$2:$B490,"s",$C$2:$C490,"PLH"))-1)/96)+1)&amp;": "&amp;CHAR(65+INT(MOD((COUNTIFS($B$2:$B490,"s",$C$2:$C490,"SER")+COUNTIFS($B$2:$B490,"s",$C$2:$C490,"PLH"))-1,96)/12))&amp;(MOD((COUNTIFS($B$2:$B490,"s",$C$2:$C490,"SER")+COUNTIFS($B$2:$B490,"s",$C$2:$C490,"PLH"))-1,12)+1),"N/A"),"")</f>
        <v/>
      </c>
      <c r="K490" s="6" t="str">
        <f>IF(AND($A490&lt;&gt;"",$B490&lt;&gt;"",$C490&lt;&gt;"",$D490&lt;&gt;"",$E490&lt;&gt;""),IF($C490="WB","Case WB Box "&amp;(INT((COUNTIFS($C$2:$C490,"WB")-1)/81)+1)&amp;": "&amp;CHAR(65+INT(MOD(COUNTIFS($C$2:$C490,"WB")-1,81)/9))&amp;(MOD(COUNTIFS($C$2:$C490,"WB")-1,9)+1),"N/A"),"")</f>
        <v/>
      </c>
      <c r="L490" s="2" t="str">
        <f t="shared" si="127"/>
        <v/>
      </c>
      <c r="M490" s="2"/>
      <c r="N490" s="2"/>
      <c r="O490" s="2"/>
      <c r="P490" s="7" t="str">
        <f t="shared" si="128"/>
        <v/>
      </c>
      <c r="Q490" s="7" t="str">
        <f t="shared" si="129"/>
        <v/>
      </c>
      <c r="R490" s="7" t="str">
        <f t="shared" si="130"/>
        <v/>
      </c>
      <c r="S490" s="7" t="str">
        <f t="shared" si="131"/>
        <v/>
      </c>
      <c r="T490" s="7" t="str">
        <f t="shared" si="132"/>
        <v/>
      </c>
      <c r="U490" s="7" t="str">
        <f t="shared" si="133"/>
        <v/>
      </c>
      <c r="V490" s="7" t="str">
        <f t="shared" si="134"/>
        <v/>
      </c>
      <c r="W490" s="7" t="str">
        <f t="shared" si="135"/>
        <v/>
      </c>
      <c r="X490" s="7" t="str">
        <f t="shared" si="136"/>
        <v/>
      </c>
      <c r="Y490" s="7" t="str">
        <f t="shared" si="137"/>
        <v/>
      </c>
      <c r="Z490">
        <f t="shared" si="138"/>
        <v>0</v>
      </c>
      <c r="AA490" t="str">
        <f t="shared" si="139"/>
        <v/>
      </c>
      <c r="AB490" t="str">
        <f t="shared" si="140"/>
        <v/>
      </c>
      <c r="AC490" t="str">
        <f t="shared" si="141"/>
        <v/>
      </c>
      <c r="AD490" t="str">
        <f t="shared" si="142"/>
        <v/>
      </c>
      <c r="AE490">
        <f t="shared" si="143"/>
        <v>0</v>
      </c>
    </row>
    <row r="491" spans="1:31" ht="15" customHeight="1" x14ac:dyDescent="0.35">
      <c r="A491" s="2"/>
      <c r="B491" s="3"/>
      <c r="C491" s="3"/>
      <c r="D491" s="4"/>
      <c r="E491" s="5"/>
      <c r="F491" s="11" t="str">
        <f t="shared" ca="1" si="126"/>
        <v/>
      </c>
      <c r="G491" s="5"/>
      <c r="H491" s="6" t="str">
        <f>IF(AND($A491&lt;&gt;"",$B491&lt;&gt;"",$C491&lt;&gt;"",$D491&lt;&gt;"",$E491&lt;&gt;""),IF(AND($B491="s",OR($C491="SER",$C491="PLH",$C491="CSF")),"Case CDI Plate "&amp;(INT(((COUNTIFS($B$2:$B491,"s",$C$2:$C491,"SER")+COUNTIFS($B$2:$B491,"s",$C$2:$C491,"PLH")+COUNTIFS($B$2:$B491,"s",$C$2:$C491,"CSF"))-1)/96)+1)&amp;": "&amp;CHAR(65+INT(MOD((COUNTIFS($B$2:$B491,"s",$C$2:$C491,"SER")+COUNTIFS($B$2:$B491,"s",$C$2:$C491,"PLH")+COUNTIFS($B$2:$B491,"s",$C$2:$C491,"CSF"))-1,96)/12))&amp;(MOD((COUNTIFS($B$2:$B491,"s",$C$2:$C491,"SER")+COUNTIFS($B$2:$B491,"s",$C$2:$C491,"PLH")+COUNTIFS($B$2:$B491,"s",$C$2:$C491,"CSF"))-1,12)+1),"N/A"),"")</f>
        <v/>
      </c>
      <c r="I491" s="6" t="str">
        <f>IF(AND($A491&lt;&gt;"",$B491&lt;&gt;"",$C491&lt;&gt;"",$D491&lt;&gt;"",$E491&lt;&gt;""),IF(AND($B491="s",OR($C491="SER",$C491="PLH",$C491="CSF")),"Case NIH Plate "&amp;(INT(((COUNTIFS($B$2:$B491,"s",$C$2:$C491,"SER")+COUNTIFS($B$2:$B491,"s",$C$2:$C491,"PLH")+COUNTIFS($B$2:$B491,"s",$C$2:$C491,"CSF"))-1)/96)+1)&amp;": "&amp;CHAR(65+INT(MOD((COUNTIFS($B$2:$B491,"s",$C$2:$C491,"SER")+COUNTIFS($B$2:$B491,"s",$C$2:$C491,"PLH")+COUNTIFS($B$2:$B491,"s",$C$2:$C491,"CSF"))-1,96)/12))&amp;(MOD((COUNTIFS($B$2:$B491,"s",$C$2:$C491,"SER")+COUNTIFS($B$2:$B491,"s",$C$2:$C491,"PLH")+COUNTIFS($B$2:$B491,"s",$C$2:$C491,"CSF"))-1,12)+1),"N/A"),"")</f>
        <v/>
      </c>
      <c r="J491" s="6" t="str">
        <f>IF(AND($A491&lt;&gt;"",$B491&lt;&gt;"",$C491&lt;&gt;"",$D491&lt;&gt;"",$E491&lt;&gt;""),IF(AND($B491="s",OR($C491="SER",$C491="PLH")),"Case MAX Planck Plate "&amp;(INT(((COUNTIFS($B$2:$B491,"s",$C$2:$C491,"SER")+COUNTIFS($B$2:$B491,"s",$C$2:$C491,"PLH"))-1)/96)+1)&amp;": "&amp;CHAR(65+INT(MOD((COUNTIFS($B$2:$B491,"s",$C$2:$C491,"SER")+COUNTIFS($B$2:$B491,"s",$C$2:$C491,"PLH"))-1,96)/12))&amp;(MOD((COUNTIFS($B$2:$B491,"s",$C$2:$C491,"SER")+COUNTIFS($B$2:$B491,"s",$C$2:$C491,"PLH"))-1,12)+1),"N/A"),"")</f>
        <v/>
      </c>
      <c r="K491" s="6" t="str">
        <f>IF(AND($A491&lt;&gt;"",$B491&lt;&gt;"",$C491&lt;&gt;"",$D491&lt;&gt;"",$E491&lt;&gt;""),IF($C491="WB","Case WB Box "&amp;(INT((COUNTIFS($C$2:$C491,"WB")-1)/81)+1)&amp;": "&amp;CHAR(65+INT(MOD(COUNTIFS($C$2:$C491,"WB")-1,81)/9))&amp;(MOD(COUNTIFS($C$2:$C491,"WB")-1,9)+1),"N/A"),"")</f>
        <v/>
      </c>
      <c r="L491" s="2" t="str">
        <f t="shared" si="127"/>
        <v/>
      </c>
      <c r="M491" s="2"/>
      <c r="N491" s="2"/>
      <c r="O491" s="2"/>
      <c r="P491" s="7" t="str">
        <f t="shared" si="128"/>
        <v/>
      </c>
      <c r="Q491" s="7" t="str">
        <f t="shared" si="129"/>
        <v/>
      </c>
      <c r="R491" s="7" t="str">
        <f t="shared" si="130"/>
        <v/>
      </c>
      <c r="S491" s="7" t="str">
        <f t="shared" si="131"/>
        <v/>
      </c>
      <c r="T491" s="7" t="str">
        <f t="shared" si="132"/>
        <v/>
      </c>
      <c r="U491" s="7" t="str">
        <f t="shared" si="133"/>
        <v/>
      </c>
      <c r="V491" s="7" t="str">
        <f t="shared" si="134"/>
        <v/>
      </c>
      <c r="W491" s="7" t="str">
        <f t="shared" si="135"/>
        <v/>
      </c>
      <c r="X491" s="7" t="str">
        <f t="shared" si="136"/>
        <v/>
      </c>
      <c r="Y491" s="7" t="str">
        <f t="shared" si="137"/>
        <v/>
      </c>
      <c r="Z491">
        <f t="shared" si="138"/>
        <v>0</v>
      </c>
      <c r="AA491" t="str">
        <f t="shared" si="139"/>
        <v/>
      </c>
      <c r="AB491" t="str">
        <f t="shared" si="140"/>
        <v/>
      </c>
      <c r="AC491" t="str">
        <f t="shared" si="141"/>
        <v/>
      </c>
      <c r="AD491" t="str">
        <f t="shared" si="142"/>
        <v/>
      </c>
      <c r="AE491">
        <f t="shared" si="143"/>
        <v>0</v>
      </c>
    </row>
    <row r="492" spans="1:31" ht="15" customHeight="1" x14ac:dyDescent="0.35">
      <c r="A492" s="2"/>
      <c r="B492" s="3"/>
      <c r="C492" s="3"/>
      <c r="D492" s="4"/>
      <c r="E492" s="5"/>
      <c r="F492" s="11" t="str">
        <f t="shared" ca="1" si="126"/>
        <v/>
      </c>
      <c r="G492" s="5"/>
      <c r="H492" s="6" t="str">
        <f>IF(AND($A492&lt;&gt;"",$B492&lt;&gt;"",$C492&lt;&gt;"",$D492&lt;&gt;"",$E492&lt;&gt;""),IF(AND($B492="s",OR($C492="SER",$C492="PLH",$C492="CSF")),"Case CDI Plate "&amp;(INT(((COUNTIFS($B$2:$B492,"s",$C$2:$C492,"SER")+COUNTIFS($B$2:$B492,"s",$C$2:$C492,"PLH")+COUNTIFS($B$2:$B492,"s",$C$2:$C492,"CSF"))-1)/96)+1)&amp;": "&amp;CHAR(65+INT(MOD((COUNTIFS($B$2:$B492,"s",$C$2:$C492,"SER")+COUNTIFS($B$2:$B492,"s",$C$2:$C492,"PLH")+COUNTIFS($B$2:$B492,"s",$C$2:$C492,"CSF"))-1,96)/12))&amp;(MOD((COUNTIFS($B$2:$B492,"s",$C$2:$C492,"SER")+COUNTIFS($B$2:$B492,"s",$C$2:$C492,"PLH")+COUNTIFS($B$2:$B492,"s",$C$2:$C492,"CSF"))-1,12)+1),"N/A"),"")</f>
        <v/>
      </c>
      <c r="I492" s="6" t="str">
        <f>IF(AND($A492&lt;&gt;"",$B492&lt;&gt;"",$C492&lt;&gt;"",$D492&lt;&gt;"",$E492&lt;&gt;""),IF(AND($B492="s",OR($C492="SER",$C492="PLH",$C492="CSF")),"Case NIH Plate "&amp;(INT(((COUNTIFS($B$2:$B492,"s",$C$2:$C492,"SER")+COUNTIFS($B$2:$B492,"s",$C$2:$C492,"PLH")+COUNTIFS($B$2:$B492,"s",$C$2:$C492,"CSF"))-1)/96)+1)&amp;": "&amp;CHAR(65+INT(MOD((COUNTIFS($B$2:$B492,"s",$C$2:$C492,"SER")+COUNTIFS($B$2:$B492,"s",$C$2:$C492,"PLH")+COUNTIFS($B$2:$B492,"s",$C$2:$C492,"CSF"))-1,96)/12))&amp;(MOD((COUNTIFS($B$2:$B492,"s",$C$2:$C492,"SER")+COUNTIFS($B$2:$B492,"s",$C$2:$C492,"PLH")+COUNTIFS($B$2:$B492,"s",$C$2:$C492,"CSF"))-1,12)+1),"N/A"),"")</f>
        <v/>
      </c>
      <c r="J492" s="6" t="str">
        <f>IF(AND($A492&lt;&gt;"",$B492&lt;&gt;"",$C492&lt;&gt;"",$D492&lt;&gt;"",$E492&lt;&gt;""),IF(AND($B492="s",OR($C492="SER",$C492="PLH")),"Case MAX Planck Plate "&amp;(INT(((COUNTIFS($B$2:$B492,"s",$C$2:$C492,"SER")+COUNTIFS($B$2:$B492,"s",$C$2:$C492,"PLH"))-1)/96)+1)&amp;": "&amp;CHAR(65+INT(MOD((COUNTIFS($B$2:$B492,"s",$C$2:$C492,"SER")+COUNTIFS($B$2:$B492,"s",$C$2:$C492,"PLH"))-1,96)/12))&amp;(MOD((COUNTIFS($B$2:$B492,"s",$C$2:$C492,"SER")+COUNTIFS($B$2:$B492,"s",$C$2:$C492,"PLH"))-1,12)+1),"N/A"),"")</f>
        <v/>
      </c>
      <c r="K492" s="6" t="str">
        <f>IF(AND($A492&lt;&gt;"",$B492&lt;&gt;"",$C492&lt;&gt;"",$D492&lt;&gt;"",$E492&lt;&gt;""),IF($C492="WB","Case WB Box "&amp;(INT((COUNTIFS($C$2:$C492,"WB")-1)/81)+1)&amp;": "&amp;CHAR(65+INT(MOD(COUNTIFS($C$2:$C492,"WB")-1,81)/9))&amp;(MOD(COUNTIFS($C$2:$C492,"WB")-1,9)+1),"N/A"),"")</f>
        <v/>
      </c>
      <c r="L492" s="2" t="str">
        <f t="shared" si="127"/>
        <v/>
      </c>
      <c r="M492" s="2"/>
      <c r="N492" s="2"/>
      <c r="O492" s="2"/>
      <c r="P492" s="7" t="str">
        <f t="shared" si="128"/>
        <v/>
      </c>
      <c r="Q492" s="7" t="str">
        <f t="shared" si="129"/>
        <v/>
      </c>
      <c r="R492" s="7" t="str">
        <f t="shared" si="130"/>
        <v/>
      </c>
      <c r="S492" s="7" t="str">
        <f t="shared" si="131"/>
        <v/>
      </c>
      <c r="T492" s="7" t="str">
        <f t="shared" si="132"/>
        <v/>
      </c>
      <c r="U492" s="7" t="str">
        <f t="shared" si="133"/>
        <v/>
      </c>
      <c r="V492" s="7" t="str">
        <f t="shared" si="134"/>
        <v/>
      </c>
      <c r="W492" s="7" t="str">
        <f t="shared" si="135"/>
        <v/>
      </c>
      <c r="X492" s="7" t="str">
        <f t="shared" si="136"/>
        <v/>
      </c>
      <c r="Y492" s="7" t="str">
        <f t="shared" si="137"/>
        <v/>
      </c>
      <c r="Z492">
        <f t="shared" si="138"/>
        <v>0</v>
      </c>
      <c r="AA492" t="str">
        <f t="shared" si="139"/>
        <v/>
      </c>
      <c r="AB492" t="str">
        <f t="shared" si="140"/>
        <v/>
      </c>
      <c r="AC492" t="str">
        <f t="shared" si="141"/>
        <v/>
      </c>
      <c r="AD492" t="str">
        <f t="shared" si="142"/>
        <v/>
      </c>
      <c r="AE492">
        <f t="shared" si="143"/>
        <v>0</v>
      </c>
    </row>
    <row r="493" spans="1:31" ht="15" customHeight="1" x14ac:dyDescent="0.35">
      <c r="A493" s="2"/>
      <c r="B493" s="3"/>
      <c r="C493" s="3"/>
      <c r="D493" s="4"/>
      <c r="E493" s="5"/>
      <c r="F493" s="11" t="str">
        <f t="shared" ca="1" si="126"/>
        <v/>
      </c>
      <c r="G493" s="5"/>
      <c r="H493" s="6" t="str">
        <f>IF(AND($A493&lt;&gt;"",$B493&lt;&gt;"",$C493&lt;&gt;"",$D493&lt;&gt;"",$E493&lt;&gt;""),IF(AND($B493="s",OR($C493="SER",$C493="PLH",$C493="CSF")),"Case CDI Plate "&amp;(INT(((COUNTIFS($B$2:$B493,"s",$C$2:$C493,"SER")+COUNTIFS($B$2:$B493,"s",$C$2:$C493,"PLH")+COUNTIFS($B$2:$B493,"s",$C$2:$C493,"CSF"))-1)/96)+1)&amp;": "&amp;CHAR(65+INT(MOD((COUNTIFS($B$2:$B493,"s",$C$2:$C493,"SER")+COUNTIFS($B$2:$B493,"s",$C$2:$C493,"PLH")+COUNTIFS($B$2:$B493,"s",$C$2:$C493,"CSF"))-1,96)/12))&amp;(MOD((COUNTIFS($B$2:$B493,"s",$C$2:$C493,"SER")+COUNTIFS($B$2:$B493,"s",$C$2:$C493,"PLH")+COUNTIFS($B$2:$B493,"s",$C$2:$C493,"CSF"))-1,12)+1),"N/A"),"")</f>
        <v/>
      </c>
      <c r="I493" s="6" t="str">
        <f>IF(AND($A493&lt;&gt;"",$B493&lt;&gt;"",$C493&lt;&gt;"",$D493&lt;&gt;"",$E493&lt;&gt;""),IF(AND($B493="s",OR($C493="SER",$C493="PLH",$C493="CSF")),"Case NIH Plate "&amp;(INT(((COUNTIFS($B$2:$B493,"s",$C$2:$C493,"SER")+COUNTIFS($B$2:$B493,"s",$C$2:$C493,"PLH")+COUNTIFS($B$2:$B493,"s",$C$2:$C493,"CSF"))-1)/96)+1)&amp;": "&amp;CHAR(65+INT(MOD((COUNTIFS($B$2:$B493,"s",$C$2:$C493,"SER")+COUNTIFS($B$2:$B493,"s",$C$2:$C493,"PLH")+COUNTIFS($B$2:$B493,"s",$C$2:$C493,"CSF"))-1,96)/12))&amp;(MOD((COUNTIFS($B$2:$B493,"s",$C$2:$C493,"SER")+COUNTIFS($B$2:$B493,"s",$C$2:$C493,"PLH")+COUNTIFS($B$2:$B493,"s",$C$2:$C493,"CSF"))-1,12)+1),"N/A"),"")</f>
        <v/>
      </c>
      <c r="J493" s="6" t="str">
        <f>IF(AND($A493&lt;&gt;"",$B493&lt;&gt;"",$C493&lt;&gt;"",$D493&lt;&gt;"",$E493&lt;&gt;""),IF(AND($B493="s",OR($C493="SER",$C493="PLH")),"Case MAX Planck Plate "&amp;(INT(((COUNTIFS($B$2:$B493,"s",$C$2:$C493,"SER")+COUNTIFS($B$2:$B493,"s",$C$2:$C493,"PLH"))-1)/96)+1)&amp;": "&amp;CHAR(65+INT(MOD((COUNTIFS($B$2:$B493,"s",$C$2:$C493,"SER")+COUNTIFS($B$2:$B493,"s",$C$2:$C493,"PLH"))-1,96)/12))&amp;(MOD((COUNTIFS($B$2:$B493,"s",$C$2:$C493,"SER")+COUNTIFS($B$2:$B493,"s",$C$2:$C493,"PLH"))-1,12)+1),"N/A"),"")</f>
        <v/>
      </c>
      <c r="K493" s="6" t="str">
        <f>IF(AND($A493&lt;&gt;"",$B493&lt;&gt;"",$C493&lt;&gt;"",$D493&lt;&gt;"",$E493&lt;&gt;""),IF($C493="WB","Case WB Box "&amp;(INT((COUNTIFS($C$2:$C493,"WB")-1)/81)+1)&amp;": "&amp;CHAR(65+INT(MOD(COUNTIFS($C$2:$C493,"WB")-1,81)/9))&amp;(MOD(COUNTIFS($C$2:$C493,"WB")-1,9)+1),"N/A"),"")</f>
        <v/>
      </c>
      <c r="L493" s="2" t="str">
        <f t="shared" si="127"/>
        <v/>
      </c>
      <c r="M493" s="2"/>
      <c r="N493" s="2"/>
      <c r="O493" s="2"/>
      <c r="P493" s="7" t="str">
        <f t="shared" si="128"/>
        <v/>
      </c>
      <c r="Q493" s="7" t="str">
        <f t="shared" si="129"/>
        <v/>
      </c>
      <c r="R493" s="7" t="str">
        <f t="shared" si="130"/>
        <v/>
      </c>
      <c r="S493" s="7" t="str">
        <f t="shared" si="131"/>
        <v/>
      </c>
      <c r="T493" s="7" t="str">
        <f t="shared" si="132"/>
        <v/>
      </c>
      <c r="U493" s="7" t="str">
        <f t="shared" si="133"/>
        <v/>
      </c>
      <c r="V493" s="7" t="str">
        <f t="shared" si="134"/>
        <v/>
      </c>
      <c r="W493" s="7" t="str">
        <f t="shared" si="135"/>
        <v/>
      </c>
      <c r="X493" s="7" t="str">
        <f t="shared" si="136"/>
        <v/>
      </c>
      <c r="Y493" s="7" t="str">
        <f t="shared" si="137"/>
        <v/>
      </c>
      <c r="Z493">
        <f t="shared" si="138"/>
        <v>0</v>
      </c>
      <c r="AA493" t="str">
        <f t="shared" si="139"/>
        <v/>
      </c>
      <c r="AB493" t="str">
        <f t="shared" si="140"/>
        <v/>
      </c>
      <c r="AC493" t="str">
        <f t="shared" si="141"/>
        <v/>
      </c>
      <c r="AD493" t="str">
        <f t="shared" si="142"/>
        <v/>
      </c>
      <c r="AE493">
        <f t="shared" si="143"/>
        <v>0</v>
      </c>
    </row>
    <row r="494" spans="1:31" ht="15" customHeight="1" x14ac:dyDescent="0.35">
      <c r="A494" s="2"/>
      <c r="B494" s="3"/>
      <c r="C494" s="3"/>
      <c r="D494" s="4"/>
      <c r="E494" s="5"/>
      <c r="F494" s="11" t="str">
        <f t="shared" ca="1" si="126"/>
        <v/>
      </c>
      <c r="G494" s="5"/>
      <c r="H494" s="6" t="str">
        <f>IF(AND($A494&lt;&gt;"",$B494&lt;&gt;"",$C494&lt;&gt;"",$D494&lt;&gt;"",$E494&lt;&gt;""),IF(AND($B494="s",OR($C494="SER",$C494="PLH",$C494="CSF")),"Case CDI Plate "&amp;(INT(((COUNTIFS($B$2:$B494,"s",$C$2:$C494,"SER")+COUNTIFS($B$2:$B494,"s",$C$2:$C494,"PLH")+COUNTIFS($B$2:$B494,"s",$C$2:$C494,"CSF"))-1)/96)+1)&amp;": "&amp;CHAR(65+INT(MOD((COUNTIFS($B$2:$B494,"s",$C$2:$C494,"SER")+COUNTIFS($B$2:$B494,"s",$C$2:$C494,"PLH")+COUNTIFS($B$2:$B494,"s",$C$2:$C494,"CSF"))-1,96)/12))&amp;(MOD((COUNTIFS($B$2:$B494,"s",$C$2:$C494,"SER")+COUNTIFS($B$2:$B494,"s",$C$2:$C494,"PLH")+COUNTIFS($B$2:$B494,"s",$C$2:$C494,"CSF"))-1,12)+1),"N/A"),"")</f>
        <v/>
      </c>
      <c r="I494" s="6" t="str">
        <f>IF(AND($A494&lt;&gt;"",$B494&lt;&gt;"",$C494&lt;&gt;"",$D494&lt;&gt;"",$E494&lt;&gt;""),IF(AND($B494="s",OR($C494="SER",$C494="PLH",$C494="CSF")),"Case NIH Plate "&amp;(INT(((COUNTIFS($B$2:$B494,"s",$C$2:$C494,"SER")+COUNTIFS($B$2:$B494,"s",$C$2:$C494,"PLH")+COUNTIFS($B$2:$B494,"s",$C$2:$C494,"CSF"))-1)/96)+1)&amp;": "&amp;CHAR(65+INT(MOD((COUNTIFS($B$2:$B494,"s",$C$2:$C494,"SER")+COUNTIFS($B$2:$B494,"s",$C$2:$C494,"PLH")+COUNTIFS($B$2:$B494,"s",$C$2:$C494,"CSF"))-1,96)/12))&amp;(MOD((COUNTIFS($B$2:$B494,"s",$C$2:$C494,"SER")+COUNTIFS($B$2:$B494,"s",$C$2:$C494,"PLH")+COUNTIFS($B$2:$B494,"s",$C$2:$C494,"CSF"))-1,12)+1),"N/A"),"")</f>
        <v/>
      </c>
      <c r="J494" s="6" t="str">
        <f>IF(AND($A494&lt;&gt;"",$B494&lt;&gt;"",$C494&lt;&gt;"",$D494&lt;&gt;"",$E494&lt;&gt;""),IF(AND($B494="s",OR($C494="SER",$C494="PLH")),"Case MAX Planck Plate "&amp;(INT(((COUNTIFS($B$2:$B494,"s",$C$2:$C494,"SER")+COUNTIFS($B$2:$B494,"s",$C$2:$C494,"PLH"))-1)/96)+1)&amp;": "&amp;CHAR(65+INT(MOD((COUNTIFS($B$2:$B494,"s",$C$2:$C494,"SER")+COUNTIFS($B$2:$B494,"s",$C$2:$C494,"PLH"))-1,96)/12))&amp;(MOD((COUNTIFS($B$2:$B494,"s",$C$2:$C494,"SER")+COUNTIFS($B$2:$B494,"s",$C$2:$C494,"PLH"))-1,12)+1),"N/A"),"")</f>
        <v/>
      </c>
      <c r="K494" s="6" t="str">
        <f>IF(AND($A494&lt;&gt;"",$B494&lt;&gt;"",$C494&lt;&gt;"",$D494&lt;&gt;"",$E494&lt;&gt;""),IF($C494="WB","Case WB Box "&amp;(INT((COUNTIFS($C$2:$C494,"WB")-1)/81)+1)&amp;": "&amp;CHAR(65+INT(MOD(COUNTIFS($C$2:$C494,"WB")-1,81)/9))&amp;(MOD(COUNTIFS($C$2:$C494,"WB")-1,9)+1),"N/A"),"")</f>
        <v/>
      </c>
      <c r="L494" s="2" t="str">
        <f t="shared" si="127"/>
        <v/>
      </c>
      <c r="M494" s="2"/>
      <c r="N494" s="2"/>
      <c r="O494" s="2"/>
      <c r="P494" s="7" t="str">
        <f t="shared" si="128"/>
        <v/>
      </c>
      <c r="Q494" s="7" t="str">
        <f t="shared" si="129"/>
        <v/>
      </c>
      <c r="R494" s="7" t="str">
        <f t="shared" si="130"/>
        <v/>
      </c>
      <c r="S494" s="7" t="str">
        <f t="shared" si="131"/>
        <v/>
      </c>
      <c r="T494" s="7" t="str">
        <f t="shared" si="132"/>
        <v/>
      </c>
      <c r="U494" s="7" t="str">
        <f t="shared" si="133"/>
        <v/>
      </c>
      <c r="V494" s="7" t="str">
        <f t="shared" si="134"/>
        <v/>
      </c>
      <c r="W494" s="7" t="str">
        <f t="shared" si="135"/>
        <v/>
      </c>
      <c r="X494" s="7" t="str">
        <f t="shared" si="136"/>
        <v/>
      </c>
      <c r="Y494" s="7" t="str">
        <f t="shared" si="137"/>
        <v/>
      </c>
      <c r="Z494">
        <f t="shared" si="138"/>
        <v>0</v>
      </c>
      <c r="AA494" t="str">
        <f t="shared" si="139"/>
        <v/>
      </c>
      <c r="AB494" t="str">
        <f t="shared" si="140"/>
        <v/>
      </c>
      <c r="AC494" t="str">
        <f t="shared" si="141"/>
        <v/>
      </c>
      <c r="AD494" t="str">
        <f t="shared" si="142"/>
        <v/>
      </c>
      <c r="AE494">
        <f t="shared" si="143"/>
        <v>0</v>
      </c>
    </row>
    <row r="495" spans="1:31" ht="15" customHeight="1" x14ac:dyDescent="0.35">
      <c r="A495" s="2"/>
      <c r="B495" s="3"/>
      <c r="C495" s="3"/>
      <c r="D495" s="4"/>
      <c r="E495" s="5"/>
      <c r="F495" s="11" t="str">
        <f t="shared" ca="1" si="126"/>
        <v/>
      </c>
      <c r="G495" s="5"/>
      <c r="H495" s="6" t="str">
        <f>IF(AND($A495&lt;&gt;"",$B495&lt;&gt;"",$C495&lt;&gt;"",$D495&lt;&gt;"",$E495&lt;&gt;""),IF(AND($B495="s",OR($C495="SER",$C495="PLH",$C495="CSF")),"Case CDI Plate "&amp;(INT(((COUNTIFS($B$2:$B495,"s",$C$2:$C495,"SER")+COUNTIFS($B$2:$B495,"s",$C$2:$C495,"PLH")+COUNTIFS($B$2:$B495,"s",$C$2:$C495,"CSF"))-1)/96)+1)&amp;": "&amp;CHAR(65+INT(MOD((COUNTIFS($B$2:$B495,"s",$C$2:$C495,"SER")+COUNTIFS($B$2:$B495,"s",$C$2:$C495,"PLH")+COUNTIFS($B$2:$B495,"s",$C$2:$C495,"CSF"))-1,96)/12))&amp;(MOD((COUNTIFS($B$2:$B495,"s",$C$2:$C495,"SER")+COUNTIFS($B$2:$B495,"s",$C$2:$C495,"PLH")+COUNTIFS($B$2:$B495,"s",$C$2:$C495,"CSF"))-1,12)+1),"N/A"),"")</f>
        <v/>
      </c>
      <c r="I495" s="6" t="str">
        <f>IF(AND($A495&lt;&gt;"",$B495&lt;&gt;"",$C495&lt;&gt;"",$D495&lt;&gt;"",$E495&lt;&gt;""),IF(AND($B495="s",OR($C495="SER",$C495="PLH",$C495="CSF")),"Case NIH Plate "&amp;(INT(((COUNTIFS($B$2:$B495,"s",$C$2:$C495,"SER")+COUNTIFS($B$2:$B495,"s",$C$2:$C495,"PLH")+COUNTIFS($B$2:$B495,"s",$C$2:$C495,"CSF"))-1)/96)+1)&amp;": "&amp;CHAR(65+INT(MOD((COUNTIFS($B$2:$B495,"s",$C$2:$C495,"SER")+COUNTIFS($B$2:$B495,"s",$C$2:$C495,"PLH")+COUNTIFS($B$2:$B495,"s",$C$2:$C495,"CSF"))-1,96)/12))&amp;(MOD((COUNTIFS($B$2:$B495,"s",$C$2:$C495,"SER")+COUNTIFS($B$2:$B495,"s",$C$2:$C495,"PLH")+COUNTIFS($B$2:$B495,"s",$C$2:$C495,"CSF"))-1,12)+1),"N/A"),"")</f>
        <v/>
      </c>
      <c r="J495" s="6" t="str">
        <f>IF(AND($A495&lt;&gt;"",$B495&lt;&gt;"",$C495&lt;&gt;"",$D495&lt;&gt;"",$E495&lt;&gt;""),IF(AND($B495="s",OR($C495="SER",$C495="PLH")),"Case MAX Planck Plate "&amp;(INT(((COUNTIFS($B$2:$B495,"s",$C$2:$C495,"SER")+COUNTIFS($B$2:$B495,"s",$C$2:$C495,"PLH"))-1)/96)+1)&amp;": "&amp;CHAR(65+INT(MOD((COUNTIFS($B$2:$B495,"s",$C$2:$C495,"SER")+COUNTIFS($B$2:$B495,"s",$C$2:$C495,"PLH"))-1,96)/12))&amp;(MOD((COUNTIFS($B$2:$B495,"s",$C$2:$C495,"SER")+COUNTIFS($B$2:$B495,"s",$C$2:$C495,"PLH"))-1,12)+1),"N/A"),"")</f>
        <v/>
      </c>
      <c r="K495" s="6" t="str">
        <f>IF(AND($A495&lt;&gt;"",$B495&lt;&gt;"",$C495&lt;&gt;"",$D495&lt;&gt;"",$E495&lt;&gt;""),IF($C495="WB","Case WB Box "&amp;(INT((COUNTIFS($C$2:$C495,"WB")-1)/81)+1)&amp;": "&amp;CHAR(65+INT(MOD(COUNTIFS($C$2:$C495,"WB")-1,81)/9))&amp;(MOD(COUNTIFS($C$2:$C495,"WB")-1,9)+1),"N/A"),"")</f>
        <v/>
      </c>
      <c r="L495" s="2" t="str">
        <f t="shared" si="127"/>
        <v/>
      </c>
      <c r="M495" s="2"/>
      <c r="N495" s="2"/>
      <c r="O495" s="2"/>
      <c r="P495" s="7" t="str">
        <f t="shared" si="128"/>
        <v/>
      </c>
      <c r="Q495" s="7" t="str">
        <f t="shared" si="129"/>
        <v/>
      </c>
      <c r="R495" s="7" t="str">
        <f t="shared" si="130"/>
        <v/>
      </c>
      <c r="S495" s="7" t="str">
        <f t="shared" si="131"/>
        <v/>
      </c>
      <c r="T495" s="7" t="str">
        <f t="shared" si="132"/>
        <v/>
      </c>
      <c r="U495" s="7" t="str">
        <f t="shared" si="133"/>
        <v/>
      </c>
      <c r="V495" s="7" t="str">
        <f t="shared" si="134"/>
        <v/>
      </c>
      <c r="W495" s="7" t="str">
        <f t="shared" si="135"/>
        <v/>
      </c>
      <c r="X495" s="7" t="str">
        <f t="shared" si="136"/>
        <v/>
      </c>
      <c r="Y495" s="7" t="str">
        <f t="shared" si="137"/>
        <v/>
      </c>
      <c r="Z495">
        <f t="shared" si="138"/>
        <v>0</v>
      </c>
      <c r="AA495" t="str">
        <f t="shared" si="139"/>
        <v/>
      </c>
      <c r="AB495" t="str">
        <f t="shared" si="140"/>
        <v/>
      </c>
      <c r="AC495" t="str">
        <f t="shared" si="141"/>
        <v/>
      </c>
      <c r="AD495" t="str">
        <f t="shared" si="142"/>
        <v/>
      </c>
      <c r="AE495">
        <f t="shared" si="143"/>
        <v>0</v>
      </c>
    </row>
  </sheetData>
  <conditionalFormatting sqref="H2:K495">
    <cfRule type="expression" dxfId="1" priority="2">
      <formula>H2="N/A"</formula>
    </cfRule>
  </conditionalFormatting>
  <dataValidations count="3">
    <dataValidation type="list" allowBlank="1" sqref="B2:B495" xr:uid="{00000000-0002-0000-0000-000000000000}">
      <formula1>"s,i"</formula1>
      <formula2>0</formula2>
    </dataValidation>
    <dataValidation type="list" allowBlank="1" sqref="C2:C495" xr:uid="{00000000-0002-0000-0000-000001000000}">
      <formula1>"SER,PLH,CSF,WB"</formula1>
      <formula2>0</formula2>
    </dataValidation>
    <dataValidation type="list" allowBlank="1" sqref="L2:L495" xr:uid="{00000000-0002-0000-0000-000002000000}">
      <formula1>"Yes,No"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30A0"/>
  </sheetPr>
  <dimension ref="A1:AD495"/>
  <sheetViews>
    <sheetView showGridLines="0" zoomScaleNormal="100" workbookViewId="0">
      <pane ySplit="1" topLeftCell="A2" activePane="bottomLeft" state="frozen"/>
      <selection pane="bottomLeft" activeCell="J2" sqref="A2:XFD6"/>
    </sheetView>
  </sheetViews>
  <sheetFormatPr defaultColWidth="8.6328125" defaultRowHeight="15" customHeight="1" x14ac:dyDescent="0.35"/>
  <cols>
    <col min="1" max="1" width="22" customWidth="1"/>
    <col min="2" max="2" width="13" customWidth="1"/>
    <col min="3" max="3" width="15" customWidth="1"/>
    <col min="4" max="4" width="16" customWidth="1"/>
    <col min="5" max="5" width="15" customWidth="1"/>
    <col min="6" max="6" width="14" customWidth="1"/>
    <col min="7" max="8" width="24" customWidth="1"/>
    <col min="9" max="9" width="28" customWidth="1"/>
    <col min="10" max="10" width="24" customWidth="1"/>
    <col min="11" max="11" width="17" customWidth="1"/>
    <col min="12" max="12" width="26" customWidth="1"/>
    <col min="13" max="14" width="30" customWidth="1"/>
    <col min="15" max="30" width="13" hidden="1" customWidth="1"/>
  </cols>
  <sheetData>
    <row r="1" spans="1:30" ht="28.4" customHeight="1" x14ac:dyDescent="0.35">
      <c r="A1" s="1" t="s">
        <v>187</v>
      </c>
      <c r="B1" s="1" t="s">
        <v>1</v>
      </c>
      <c r="C1" s="1" t="s">
        <v>2</v>
      </c>
      <c r="D1" s="1" t="s">
        <v>3</v>
      </c>
      <c r="E1" s="1" t="s">
        <v>188</v>
      </c>
      <c r="F1" s="1" t="s">
        <v>189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190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</row>
    <row r="2" spans="1:30" ht="15" customHeight="1" x14ac:dyDescent="0.35">
      <c r="A2" s="2"/>
      <c r="B2" s="3"/>
      <c r="C2" s="4"/>
      <c r="D2" s="5"/>
      <c r="E2" s="11" t="str">
        <f t="shared" ref="E2:E60" ca="1" si="0">IF(AND($A2&lt;&gt;"",$B2&lt;&gt;"",$C2&lt;&gt;"",$D2&lt;&gt;""),TODAY(),"")</f>
        <v/>
      </c>
      <c r="F2" s="5"/>
      <c r="G2" s="6" t="str">
        <f>IF(AND($A2&lt;&gt;"",$B2&lt;&gt;"",$C2&lt;&gt;"",$D2&lt;&gt;""),IF(OR($B2="SER",$B2="PLH",$B2="CSF"),"Control CDI Plate "&amp;(INT(((COUNTIFS($B$2:$B2,"SER")+COUNTIFS($B$2:$B2,"PLH")+COUNTIFS($B$2:$B2,"CSF"))-1)/96)+1)&amp;": "&amp;CHAR(65+INT(MOD((COUNTIFS($B$2:$B2,"SER")+COUNTIFS($B$2:$B2,"PLH")+COUNTIFS($B$2:$B2,"CSF"))-1,96)/12))&amp;(MOD((COUNTIFS($B$2:$B2,"SER")+COUNTIFS($B$2:$B2,"PLH")+COUNTIFS($B$2:$B2,"CSF"))-1,12)+1),"N/A"),"")</f>
        <v/>
      </c>
      <c r="H2" s="6" t="str">
        <f>IF(AND($A2&lt;&gt;"",$B2&lt;&gt;"",$C2&lt;&gt;"",$D2&lt;&gt;""),IF(OR($B2="SER",$B2="PLH",$B2="CSF"),"Control NIH Plate "&amp;(INT(((COUNTIFS($B$2:$B2,"SER")+COUNTIFS($B$2:$B2,"PLH")+COUNTIFS($B$2:$B2,"CSF"))-1)/96)+1)&amp;": "&amp;CHAR(65+INT(MOD((COUNTIFS($B$2:$B2,"SER")+COUNTIFS($B$2:$B2,"PLH")+COUNTIFS($B$2:$B2,"CSF"))-1,96)/12))&amp;(MOD((COUNTIFS($B$2:$B2,"SER")+COUNTIFS($B$2:$B2,"PLH")+COUNTIFS($B$2:$B2,"CSF"))-1,12)+1),"N/A"),"")</f>
        <v/>
      </c>
      <c r="I2" s="6" t="str">
        <f>IF(AND($A2&lt;&gt;"",$B2&lt;&gt;"",$C2&lt;&gt;"",$D2&lt;&gt;""),IF(OR($B2="SER",$B2="PLH"),"Control MAX Planck Plate "&amp;(INT(((COUNTIFS($B$2:$B2,"SER")+COUNTIFS($B$2:$B2,"PLH"))-1)/96)+1)&amp;": "&amp;CHAR(65+INT(MOD((COUNTIFS($B$2:$B2,"SER")+COUNTIFS($B$2:$B2,"PLH"))-1,96)/12))&amp;(MOD((COUNTIFS($B$2:$B2,"SER")+COUNTIFS($B$2:$B2,"PLH"))-1,12)+1),"N/A"),"")</f>
        <v/>
      </c>
      <c r="J2" s="6" t="str">
        <f>IF(AND($A2&lt;&gt;"",$B2&lt;&gt;"",$C2&lt;&gt;"",$D2&lt;&gt;""),IF($B2="WB","Control WB Box "&amp;(INT((COUNTIFS($B$2:$B2,"WB")-1)/81)+1)&amp;": "&amp;CHAR(65+INT(MOD(COUNTIFS($B$2:$B2,"WB")-1,81)/9))&amp;(MOD(COUNTIFS($B$2:$B2,"WB")-1,9)+1),"N/A"),"")</f>
        <v/>
      </c>
      <c r="K2" s="3" t="str">
        <f t="shared" ref="K2:K60" si="1">IF(AND($A2&lt;&gt;"",$B2&lt;&gt;"",$C2&lt;&gt;"",$D2&lt;&gt;""),IF($B2="WB","No",""),"")</f>
        <v/>
      </c>
      <c r="L2" s="2"/>
      <c r="M2" s="2"/>
      <c r="N2" s="2"/>
      <c r="O2" s="7" t="str">
        <f t="shared" ref="O2:O60" si="2">IF($A2&lt;&gt;"",MID($A2,7,4),"")</f>
        <v/>
      </c>
      <c r="P2" s="7" t="str">
        <f t="shared" ref="P2:P60" si="3">IF($C2&lt;&gt;"",TEXT($C2,"mmddyy"),"")</f>
        <v/>
      </c>
      <c r="Q2" s="7" t="str">
        <f t="shared" ref="Q2:Q60" si="4">IF(AND($A2&lt;&gt;"",$B2&lt;&gt;"",$C2&lt;&gt;""),IF($B2="WB","cn_"&amp;$O2&amp;"_wb_"&amp;$P2,"cn_"&amp;$O2&amp;"_"&amp;LOWER($B2)&amp;"_"&amp;IF($B2="CSF","0.50","0.20")&amp;"_"&amp;$P2),"")</f>
        <v/>
      </c>
      <c r="R2" s="7" t="str">
        <f t="shared" ref="R2:R60" si="5">IF(AND($A2&lt;&gt;"",$B2="WB",$C2&lt;&gt;""),"cn_"&amp;$O2&amp;"_wb_"&amp;$P2,"")</f>
        <v/>
      </c>
      <c r="S2" s="7" t="str">
        <f t="shared" ref="S2:S60" si="6">IFERROR(VALUE(MID($L2,FIND("Box ",$L2)+4,FIND(":",$L2)-FIND("Box ",$L2)-4)),"")</f>
        <v/>
      </c>
      <c r="T2" s="7" t="str">
        <f t="shared" ref="T2:T60" si="7">IFERROR(CODE(UPPER(LEFT(LEFT(TRIM(MID(SUBSTITUTE(TRIM(MID($L2,FIND(":",$L2)+1,200)),",",REPT(" ",60)),1,60)),IFERROR(FIND("-",TRIM(MID(SUBSTITUTE(TRIM(MID($L2,FIND(":",$L2)+1,200)),",",REPT(" ",60)),1,60)))-1,LEN(TRIM(MID(SUBSTITUTE(TRIM(MID($L2,FIND(":",$L2)+1,200)),",",REPT(" ",60)),1,60))))),1)))-64,"")</f>
        <v/>
      </c>
      <c r="U2" s="7" t="str">
        <f t="shared" ref="U2:U60" si="8">IFERROR(VALUE(MID(LEFT(TRIM(MID(SUBSTITUTE(TRIM(MID($L2,FIND(":",$L2)+1,200)),",",REPT(" ",60)),1,60)),IFERROR(FIND("-",TRIM(MID(SUBSTITUTE(TRIM(MID($L2,FIND(":",$L2)+1,200)),",",REPT(" ",60)),1,60)))-1,LEN(TRIM(MID(SUBSTITUTE(TRIM(MID($L2,FIND(":",$L2)+1,200)),",",REPT(" ",60)),1,60))))),2,3)),"")</f>
        <v/>
      </c>
      <c r="V2" s="7" t="str">
        <f t="shared" ref="V2:V60" si="9">IFERROR(CODE(UPPER(LEFT(IFERROR(MID(TRIM(MID(SUBSTITUTE(TRIM(MID($L2,FIND(":",$L2)+1,200)),",",REPT(" ",60)),1,60)),FIND("-",TRIM(MID(SUBSTITUTE(TRIM(MID($L2,FIND(":",$L2)+1,200)),",",REPT(" ",60)),1,60)))+1,99),LEFT(TRIM(MID(SUBSTITUTE(TRIM(MID($L2,FIND(":",$L2)+1,200)),",",REPT(" ",60)),1,60)),IFERROR(FIND("-",TRIM(MID(SUBSTITUTE(TRIM(MID($L2,FIND(":",$L2)+1,200)),",",REPT(" ",60)),1,60)))-1,LEN(TRIM(MID(SUBSTITUTE(TRIM(MID($L2,FIND(":",$L2)+1,200)),",",REPT(" ",60)),1,60)))))),1)))-64,"")</f>
        <v/>
      </c>
      <c r="W2" s="7" t="str">
        <f t="shared" ref="W2:W60" si="10">IFERROR(VALUE(MID(IFERROR(MID(TRIM(MID(SUBSTITUTE(TRIM(MID($L2,FIND(":",$L2)+1,200)),",",REPT(" ",60)),1,60)),FIND("-",TRIM(MID(SUBSTITUTE(TRIM(MID($L2,FIND(":",$L2)+1,200)),",",REPT(" ",60)),1,60)))+1,99),LEFT(TRIM(MID(SUBSTITUTE(TRIM(MID($L2,FIND(":",$L2)+1,200)),",",REPT(" ",60)),1,60)),IFERROR(FIND("-",TRIM(MID(SUBSTITUTE(TRIM(MID($L2,FIND(":",$L2)+1,200)),",",REPT(" ",60)),1,60)))-1,LEN(TRIM(MID(SUBSTITUTE(TRIM(MID($L2,FIND(":",$L2)+1,200)),",",REPT(" ",60)),1,60)))))),2,3)),"")</f>
        <v/>
      </c>
      <c r="X2" s="7" t="str">
        <f t="shared" ref="X2:X60" si="11">IF(AND($A2&lt;&gt;"",$B2&lt;&gt;"",$C2&lt;&gt;""),"cn_"&amp;$O2&amp;"_"&amp;LOWER($B2)&amp;"_","")</f>
        <v/>
      </c>
      <c r="Y2">
        <f t="shared" ref="Y2:Y60" si="12">IFERROR(($V2-$T2+1)*($W2-$U2+1),0)</f>
        <v>0</v>
      </c>
      <c r="Z2" t="str">
        <f t="shared" ref="Z2:Z60" si="13">IFERROR(CODE(UPPER(LEFT(LEFT(TRIM(MID(SUBSTITUTE(TRIM(MID($L2,FIND(":",$L2)+1,200)),",",REPT(" ",60)),61,60)),IFERROR(FIND("-",TRIM(MID(SUBSTITUTE(TRIM(MID($L2,FIND(":",$L2)+1,200)),",",REPT(" ",60)),61,60)))-1,LEN(TRIM(MID(SUBSTITUTE(TRIM(MID($L2,FIND(":",$L2)+1,200)),",",REPT(" ",60)),61,60))))),1)))-64,"")</f>
        <v/>
      </c>
      <c r="AA2" t="str">
        <f t="shared" ref="AA2:AA60" si="14">IFERROR(VALUE(MID(LEFT(TRIM(MID(SUBSTITUTE(TRIM(MID($L2,FIND(":",$L2)+1,200)),",",REPT(" ",60)),61,60)),IFERROR(FIND("-",TRIM(MID(SUBSTITUTE(TRIM(MID($L2,FIND(":",$L2)+1,200)),",",REPT(" ",60)),61,60)))-1,LEN(TRIM(MID(SUBSTITUTE(TRIM(MID($L2,FIND(":",$L2)+1,200)),",",REPT(" ",60)),61,60))))),2,3)),"")</f>
        <v/>
      </c>
      <c r="AB2" t="str">
        <f t="shared" ref="AB2:AB60" si="15">IFERROR(CODE(UPPER(LEFT(IFERROR(MID(TRIM(MID(SUBSTITUTE(TRIM(MID($L2,FIND(":",$L2)+1,200)),",",REPT(" ",60)),61,60)),FIND("-",TRIM(MID(SUBSTITUTE(TRIM(MID($L2,FIND(":",$L2)+1,200)),",",REPT(" ",60)),61,60)))+1,99),LEFT(TRIM(MID(SUBSTITUTE(TRIM(MID($L2,FIND(":",$L2)+1,200)),",",REPT(" ",60)),61,60)),IFERROR(FIND("-",TRIM(MID(SUBSTITUTE(TRIM(MID($L2,FIND(":",$L2)+1,200)),",",REPT(" ",60)),61,60)))-1,LEN(TRIM(MID(SUBSTITUTE(TRIM(MID($L2,FIND(":",$L2)+1,200)),",",REPT(" ",60)),61,60)))))),1)))-64,"")</f>
        <v/>
      </c>
      <c r="AC2" t="str">
        <f t="shared" ref="AC2:AC60" si="16">IFERROR(VALUE(MID(IFERROR(MID(TRIM(MID(SUBSTITUTE(TRIM(MID($L2,FIND(":",$L2)+1,200)),",",REPT(" ",60)),61,60)),FIND("-",TRIM(MID(SUBSTITUTE(TRIM(MID($L2,FIND(":",$L2)+1,200)),",",REPT(" ",60)),61,60)))+1,99),LEFT(TRIM(MID(SUBSTITUTE(TRIM(MID($L2,FIND(":",$L2)+1,200)),",",REPT(" ",60)),61,60)),IFERROR(FIND("-",TRIM(MID(SUBSTITUTE(TRIM(MID($L2,FIND(":",$L2)+1,200)),",",REPT(" ",60)),61,60)))-1,LEN(TRIM(MID(SUBSTITUTE(TRIM(MID($L2,FIND(":",$L2)+1,200)),",",REPT(" ",60)),61,60)))))),2,3)),"")</f>
        <v/>
      </c>
      <c r="AD2">
        <f t="shared" ref="AD2:AD60" si="17">IFERROR(($AB2-$Z2+1)*($AC2-$AA2+1),0)</f>
        <v>0</v>
      </c>
    </row>
    <row r="3" spans="1:30" ht="15" customHeight="1" x14ac:dyDescent="0.35">
      <c r="A3" s="2"/>
      <c r="B3" s="3"/>
      <c r="C3" s="4"/>
      <c r="D3" s="5"/>
      <c r="E3" s="11" t="str">
        <f t="shared" ca="1" si="0"/>
        <v/>
      </c>
      <c r="F3" s="5"/>
      <c r="G3" s="6" t="str">
        <f>IF(AND($A3&lt;&gt;"",$B3&lt;&gt;"",$C3&lt;&gt;"",$D3&lt;&gt;""),IF(OR($B3="SER",$B3="PLH",$B3="CSF"),"Control CDI Plate "&amp;(INT(((COUNTIFS($B$2:$B3,"SER")+COUNTIFS($B$2:$B3,"PLH")+COUNTIFS($B$2:$B3,"CSF"))-1)/96)+1)&amp;": "&amp;CHAR(65+INT(MOD((COUNTIFS($B$2:$B3,"SER")+COUNTIFS($B$2:$B3,"PLH")+COUNTIFS($B$2:$B3,"CSF"))-1,96)/12))&amp;(MOD((COUNTIFS($B$2:$B3,"SER")+COUNTIFS($B$2:$B3,"PLH")+COUNTIFS($B$2:$B3,"CSF"))-1,12)+1),"N/A"),"")</f>
        <v/>
      </c>
      <c r="H3" s="6" t="str">
        <f>IF(AND($A3&lt;&gt;"",$B3&lt;&gt;"",$C3&lt;&gt;"",$D3&lt;&gt;""),IF(OR($B3="SER",$B3="PLH",$B3="CSF"),"Control NIH Plate "&amp;(INT(((COUNTIFS($B$2:$B3,"SER")+COUNTIFS($B$2:$B3,"PLH")+COUNTIFS($B$2:$B3,"CSF"))-1)/96)+1)&amp;": "&amp;CHAR(65+INT(MOD((COUNTIFS($B$2:$B3,"SER")+COUNTIFS($B$2:$B3,"PLH")+COUNTIFS($B$2:$B3,"CSF"))-1,96)/12))&amp;(MOD((COUNTIFS($B$2:$B3,"SER")+COUNTIFS($B$2:$B3,"PLH")+COUNTIFS($B$2:$B3,"CSF"))-1,12)+1),"N/A"),"")</f>
        <v/>
      </c>
      <c r="I3" s="6" t="str">
        <f>IF(AND($A3&lt;&gt;"",$B3&lt;&gt;"",$C3&lt;&gt;"",$D3&lt;&gt;""),IF(OR($B3="SER",$B3="PLH"),"Control MAX Planck Plate "&amp;(INT(((COUNTIFS($B$2:$B3,"SER")+COUNTIFS($B$2:$B3,"PLH"))-1)/96)+1)&amp;": "&amp;CHAR(65+INT(MOD((COUNTIFS($B$2:$B3,"SER")+COUNTIFS($B$2:$B3,"PLH"))-1,96)/12))&amp;(MOD((COUNTIFS($B$2:$B3,"SER")+COUNTIFS($B$2:$B3,"PLH"))-1,12)+1),"N/A"),"")</f>
        <v/>
      </c>
      <c r="J3" s="6" t="str">
        <f>IF(AND($A3&lt;&gt;"",$B3&lt;&gt;"",$C3&lt;&gt;"",$D3&lt;&gt;""),IF($B3="WB","Control WB Box "&amp;(INT((COUNTIFS($B$2:$B3,"WB")-1)/81)+1)&amp;": "&amp;CHAR(65+INT(MOD(COUNTIFS($B$2:$B3,"WB")-1,81)/9))&amp;(MOD(COUNTIFS($B$2:$B3,"WB")-1,9)+1),"N/A"),"")</f>
        <v/>
      </c>
      <c r="K3" s="3" t="str">
        <f t="shared" si="1"/>
        <v/>
      </c>
      <c r="L3" s="2"/>
      <c r="M3" s="2"/>
      <c r="N3" s="2"/>
      <c r="O3" s="7" t="str">
        <f t="shared" si="2"/>
        <v/>
      </c>
      <c r="P3" s="7" t="str">
        <f t="shared" si="3"/>
        <v/>
      </c>
      <c r="Q3" s="7" t="str">
        <f t="shared" si="4"/>
        <v/>
      </c>
      <c r="R3" s="7" t="str">
        <f t="shared" si="5"/>
        <v/>
      </c>
      <c r="S3" s="7" t="str">
        <f t="shared" si="6"/>
        <v/>
      </c>
      <c r="T3" s="7" t="str">
        <f t="shared" si="7"/>
        <v/>
      </c>
      <c r="U3" s="7" t="str">
        <f t="shared" si="8"/>
        <v/>
      </c>
      <c r="V3" s="7" t="str">
        <f t="shared" si="9"/>
        <v/>
      </c>
      <c r="W3" s="7" t="str">
        <f t="shared" si="10"/>
        <v/>
      </c>
      <c r="X3" s="7" t="str">
        <f t="shared" si="11"/>
        <v/>
      </c>
      <c r="Y3">
        <f t="shared" si="12"/>
        <v>0</v>
      </c>
      <c r="Z3" t="str">
        <f t="shared" si="13"/>
        <v/>
      </c>
      <c r="AA3" t="str">
        <f t="shared" si="14"/>
        <v/>
      </c>
      <c r="AB3" t="str">
        <f t="shared" si="15"/>
        <v/>
      </c>
      <c r="AC3" t="str">
        <f t="shared" si="16"/>
        <v/>
      </c>
      <c r="AD3">
        <f t="shared" si="17"/>
        <v>0</v>
      </c>
    </row>
    <row r="4" spans="1:30" ht="15" customHeight="1" x14ac:dyDescent="0.35">
      <c r="A4" s="2"/>
      <c r="B4" s="3"/>
      <c r="C4" s="4"/>
      <c r="D4" s="5"/>
      <c r="E4" s="11" t="str">
        <f t="shared" ca="1" si="0"/>
        <v/>
      </c>
      <c r="F4" s="5"/>
      <c r="G4" s="6" t="str">
        <f>IF(AND($A4&lt;&gt;"",$B4&lt;&gt;"",$C4&lt;&gt;"",$D4&lt;&gt;""),IF(OR($B4="SER",$B4="PLH",$B4="CSF"),"Control CDI Plate "&amp;(INT(((COUNTIFS($B$2:$B4,"SER")+COUNTIFS($B$2:$B4,"PLH")+COUNTIFS($B$2:$B4,"CSF"))-1)/96)+1)&amp;": "&amp;CHAR(65+INT(MOD((COUNTIFS($B$2:$B4,"SER")+COUNTIFS($B$2:$B4,"PLH")+COUNTIFS($B$2:$B4,"CSF"))-1,96)/12))&amp;(MOD((COUNTIFS($B$2:$B4,"SER")+COUNTIFS($B$2:$B4,"PLH")+COUNTIFS($B$2:$B4,"CSF"))-1,12)+1),"N/A"),"")</f>
        <v/>
      </c>
      <c r="H4" s="6" t="str">
        <f>IF(AND($A4&lt;&gt;"",$B4&lt;&gt;"",$C4&lt;&gt;"",$D4&lt;&gt;""),IF(OR($B4="SER",$B4="PLH",$B4="CSF"),"Control NIH Plate "&amp;(INT(((COUNTIFS($B$2:$B4,"SER")+COUNTIFS($B$2:$B4,"PLH")+COUNTIFS($B$2:$B4,"CSF"))-1)/96)+1)&amp;": "&amp;CHAR(65+INT(MOD((COUNTIFS($B$2:$B4,"SER")+COUNTIFS($B$2:$B4,"PLH")+COUNTIFS($B$2:$B4,"CSF"))-1,96)/12))&amp;(MOD((COUNTIFS($B$2:$B4,"SER")+COUNTIFS($B$2:$B4,"PLH")+COUNTIFS($B$2:$B4,"CSF"))-1,12)+1),"N/A"),"")</f>
        <v/>
      </c>
      <c r="I4" s="6" t="str">
        <f>IF(AND($A4&lt;&gt;"",$B4&lt;&gt;"",$C4&lt;&gt;"",$D4&lt;&gt;""),IF(OR($B4="SER",$B4="PLH"),"Control MAX Planck Plate "&amp;(INT(((COUNTIFS($B$2:$B4,"SER")+COUNTIFS($B$2:$B4,"PLH"))-1)/96)+1)&amp;": "&amp;CHAR(65+INT(MOD((COUNTIFS($B$2:$B4,"SER")+COUNTIFS($B$2:$B4,"PLH"))-1,96)/12))&amp;(MOD((COUNTIFS($B$2:$B4,"SER")+COUNTIFS($B$2:$B4,"PLH"))-1,12)+1),"N/A"),"")</f>
        <v/>
      </c>
      <c r="J4" s="6" t="str">
        <f>IF(AND($A4&lt;&gt;"",$B4&lt;&gt;"",$C4&lt;&gt;"",$D4&lt;&gt;""),IF($B4="WB","Control WB Box "&amp;(INT((COUNTIFS($B$2:$B4,"WB")-1)/81)+1)&amp;": "&amp;CHAR(65+INT(MOD(COUNTIFS($B$2:$B4,"WB")-1,81)/9))&amp;(MOD(COUNTIFS($B$2:$B4,"WB")-1,9)+1),"N/A"),"")</f>
        <v/>
      </c>
      <c r="K4" s="3" t="str">
        <f t="shared" si="1"/>
        <v/>
      </c>
      <c r="L4" s="2"/>
      <c r="M4" s="2"/>
      <c r="N4" s="2"/>
      <c r="O4" s="7" t="str">
        <f t="shared" si="2"/>
        <v/>
      </c>
      <c r="P4" s="7" t="str">
        <f t="shared" si="3"/>
        <v/>
      </c>
      <c r="Q4" s="7" t="str">
        <f t="shared" si="4"/>
        <v/>
      </c>
      <c r="R4" s="7" t="str">
        <f t="shared" si="5"/>
        <v/>
      </c>
      <c r="S4" s="7" t="str">
        <f t="shared" si="6"/>
        <v/>
      </c>
      <c r="T4" s="7" t="str">
        <f t="shared" si="7"/>
        <v/>
      </c>
      <c r="U4" s="7" t="str">
        <f t="shared" si="8"/>
        <v/>
      </c>
      <c r="V4" s="7" t="str">
        <f t="shared" si="9"/>
        <v/>
      </c>
      <c r="W4" s="7" t="str">
        <f t="shared" si="10"/>
        <v/>
      </c>
      <c r="X4" s="7" t="str">
        <f t="shared" si="11"/>
        <v/>
      </c>
      <c r="Y4">
        <f t="shared" si="12"/>
        <v>0</v>
      </c>
      <c r="Z4" t="str">
        <f t="shared" si="13"/>
        <v/>
      </c>
      <c r="AA4" t="str">
        <f t="shared" si="14"/>
        <v/>
      </c>
      <c r="AB4" t="str">
        <f t="shared" si="15"/>
        <v/>
      </c>
      <c r="AC4" t="str">
        <f t="shared" si="16"/>
        <v/>
      </c>
      <c r="AD4">
        <f t="shared" si="17"/>
        <v>0</v>
      </c>
    </row>
    <row r="5" spans="1:30" ht="15" customHeight="1" x14ac:dyDescent="0.35">
      <c r="A5" s="2"/>
      <c r="B5" s="3"/>
      <c r="C5" s="4"/>
      <c r="D5" s="5"/>
      <c r="E5" s="11" t="str">
        <f t="shared" ca="1" si="0"/>
        <v/>
      </c>
      <c r="F5" s="5"/>
      <c r="G5" s="6" t="str">
        <f>IF(AND($A5&lt;&gt;"",$B5&lt;&gt;"",$C5&lt;&gt;"",$D5&lt;&gt;""),IF(OR($B5="SER",$B5="PLH",$B5="CSF"),"Control CDI Plate "&amp;(INT(((COUNTIFS($B$2:$B5,"SER")+COUNTIFS($B$2:$B5,"PLH")+COUNTIFS($B$2:$B5,"CSF"))-1)/96)+1)&amp;": "&amp;CHAR(65+INT(MOD((COUNTIFS($B$2:$B5,"SER")+COUNTIFS($B$2:$B5,"PLH")+COUNTIFS($B$2:$B5,"CSF"))-1,96)/12))&amp;(MOD((COUNTIFS($B$2:$B5,"SER")+COUNTIFS($B$2:$B5,"PLH")+COUNTIFS($B$2:$B5,"CSF"))-1,12)+1),"N/A"),"")</f>
        <v/>
      </c>
      <c r="H5" s="6" t="str">
        <f>IF(AND($A5&lt;&gt;"",$B5&lt;&gt;"",$C5&lt;&gt;"",$D5&lt;&gt;""),IF(OR($B5="SER",$B5="PLH",$B5="CSF"),"Control NIH Plate "&amp;(INT(((COUNTIFS($B$2:$B5,"SER")+COUNTIFS($B$2:$B5,"PLH")+COUNTIFS($B$2:$B5,"CSF"))-1)/96)+1)&amp;": "&amp;CHAR(65+INT(MOD((COUNTIFS($B$2:$B5,"SER")+COUNTIFS($B$2:$B5,"PLH")+COUNTIFS($B$2:$B5,"CSF"))-1,96)/12))&amp;(MOD((COUNTIFS($B$2:$B5,"SER")+COUNTIFS($B$2:$B5,"PLH")+COUNTIFS($B$2:$B5,"CSF"))-1,12)+1),"N/A"),"")</f>
        <v/>
      </c>
      <c r="I5" s="6" t="str">
        <f>IF(AND($A5&lt;&gt;"",$B5&lt;&gt;"",$C5&lt;&gt;"",$D5&lt;&gt;""),IF(OR($B5="SER",$B5="PLH"),"Control MAX Planck Plate "&amp;(INT(((COUNTIFS($B$2:$B5,"SER")+COUNTIFS($B$2:$B5,"PLH"))-1)/96)+1)&amp;": "&amp;CHAR(65+INT(MOD((COUNTIFS($B$2:$B5,"SER")+COUNTIFS($B$2:$B5,"PLH"))-1,96)/12))&amp;(MOD((COUNTIFS($B$2:$B5,"SER")+COUNTIFS($B$2:$B5,"PLH"))-1,12)+1),"N/A"),"")</f>
        <v/>
      </c>
      <c r="J5" s="6" t="str">
        <f>IF(AND($A5&lt;&gt;"",$B5&lt;&gt;"",$C5&lt;&gt;"",$D5&lt;&gt;""),IF($B5="WB","Control WB Box "&amp;(INT((COUNTIFS($B$2:$B5,"WB")-1)/81)+1)&amp;": "&amp;CHAR(65+INT(MOD(COUNTIFS($B$2:$B5,"WB")-1,81)/9))&amp;(MOD(COUNTIFS($B$2:$B5,"WB")-1,9)+1),"N/A"),"")</f>
        <v/>
      </c>
      <c r="K5" s="3" t="str">
        <f t="shared" si="1"/>
        <v/>
      </c>
      <c r="L5" s="2"/>
      <c r="M5" s="2"/>
      <c r="N5" s="2"/>
      <c r="O5" s="7" t="str">
        <f t="shared" si="2"/>
        <v/>
      </c>
      <c r="P5" s="7" t="str">
        <f t="shared" si="3"/>
        <v/>
      </c>
      <c r="Q5" s="7" t="str">
        <f t="shared" si="4"/>
        <v/>
      </c>
      <c r="R5" s="7" t="str">
        <f t="shared" si="5"/>
        <v/>
      </c>
      <c r="S5" s="7" t="str">
        <f t="shared" si="6"/>
        <v/>
      </c>
      <c r="T5" s="7" t="str">
        <f t="shared" si="7"/>
        <v/>
      </c>
      <c r="U5" s="7" t="str">
        <f t="shared" si="8"/>
        <v/>
      </c>
      <c r="V5" s="7" t="str">
        <f t="shared" si="9"/>
        <v/>
      </c>
      <c r="W5" s="7" t="str">
        <f t="shared" si="10"/>
        <v/>
      </c>
      <c r="X5" s="7" t="str">
        <f t="shared" si="11"/>
        <v/>
      </c>
      <c r="Y5">
        <f t="shared" si="12"/>
        <v>0</v>
      </c>
      <c r="Z5" t="str">
        <f t="shared" si="13"/>
        <v/>
      </c>
      <c r="AA5" t="str">
        <f t="shared" si="14"/>
        <v/>
      </c>
      <c r="AB5" t="str">
        <f t="shared" si="15"/>
        <v/>
      </c>
      <c r="AC5" t="str">
        <f t="shared" si="16"/>
        <v/>
      </c>
      <c r="AD5">
        <f t="shared" si="17"/>
        <v>0</v>
      </c>
    </row>
    <row r="6" spans="1:30" ht="15" customHeight="1" x14ac:dyDescent="0.35">
      <c r="A6" s="2"/>
      <c r="B6" s="3"/>
      <c r="C6" s="4"/>
      <c r="D6" s="5"/>
      <c r="E6" s="11" t="str">
        <f t="shared" ca="1" si="0"/>
        <v/>
      </c>
      <c r="F6" s="5"/>
      <c r="G6" s="6" t="str">
        <f>IF(AND($A6&lt;&gt;"",$B6&lt;&gt;"",$C6&lt;&gt;"",$D6&lt;&gt;""),IF(OR($B6="SER",$B6="PLH",$B6="CSF"),"Control CDI Plate "&amp;(INT(((COUNTIFS($B$2:$B6,"SER")+COUNTIFS($B$2:$B6,"PLH")+COUNTIFS($B$2:$B6,"CSF"))-1)/96)+1)&amp;": "&amp;CHAR(65+INT(MOD((COUNTIFS($B$2:$B6,"SER")+COUNTIFS($B$2:$B6,"PLH")+COUNTIFS($B$2:$B6,"CSF"))-1,96)/12))&amp;(MOD((COUNTIFS($B$2:$B6,"SER")+COUNTIFS($B$2:$B6,"PLH")+COUNTIFS($B$2:$B6,"CSF"))-1,12)+1),"N/A"),"")</f>
        <v/>
      </c>
      <c r="H6" s="6" t="str">
        <f>IF(AND($A6&lt;&gt;"",$B6&lt;&gt;"",$C6&lt;&gt;"",$D6&lt;&gt;""),IF(OR($B6="SER",$B6="PLH",$B6="CSF"),"Control NIH Plate "&amp;(INT(((COUNTIFS($B$2:$B6,"SER")+COUNTIFS($B$2:$B6,"PLH")+COUNTIFS($B$2:$B6,"CSF"))-1)/96)+1)&amp;": "&amp;CHAR(65+INT(MOD((COUNTIFS($B$2:$B6,"SER")+COUNTIFS($B$2:$B6,"PLH")+COUNTIFS($B$2:$B6,"CSF"))-1,96)/12))&amp;(MOD((COUNTIFS($B$2:$B6,"SER")+COUNTIFS($B$2:$B6,"PLH")+COUNTIFS($B$2:$B6,"CSF"))-1,12)+1),"N/A"),"")</f>
        <v/>
      </c>
      <c r="I6" s="6" t="str">
        <f>IF(AND($A6&lt;&gt;"",$B6&lt;&gt;"",$C6&lt;&gt;"",$D6&lt;&gt;""),IF(OR($B6="SER",$B6="PLH"),"Control MAX Planck Plate "&amp;(INT(((COUNTIFS($B$2:$B6,"SER")+COUNTIFS($B$2:$B6,"PLH"))-1)/96)+1)&amp;": "&amp;CHAR(65+INT(MOD((COUNTIFS($B$2:$B6,"SER")+COUNTIFS($B$2:$B6,"PLH"))-1,96)/12))&amp;(MOD((COUNTIFS($B$2:$B6,"SER")+COUNTIFS($B$2:$B6,"PLH"))-1,12)+1),"N/A"),"")</f>
        <v/>
      </c>
      <c r="J6" s="6" t="str">
        <f>IF(AND($A6&lt;&gt;"",$B6&lt;&gt;"",$C6&lt;&gt;"",$D6&lt;&gt;""),IF($B6="WB","Control WB Box "&amp;(INT((COUNTIFS($B$2:$B6,"WB")-1)/81)+1)&amp;": "&amp;CHAR(65+INT(MOD(COUNTIFS($B$2:$B6,"WB")-1,81)/9))&amp;(MOD(COUNTIFS($B$2:$B6,"WB")-1,9)+1),"N/A"),"")</f>
        <v/>
      </c>
      <c r="K6" s="3" t="str">
        <f t="shared" si="1"/>
        <v/>
      </c>
      <c r="L6" s="2"/>
      <c r="M6" s="2"/>
      <c r="N6" s="2"/>
      <c r="O6" s="7" t="str">
        <f t="shared" si="2"/>
        <v/>
      </c>
      <c r="P6" s="7" t="str">
        <f t="shared" si="3"/>
        <v/>
      </c>
      <c r="Q6" s="7" t="str">
        <f t="shared" si="4"/>
        <v/>
      </c>
      <c r="R6" s="7" t="str">
        <f t="shared" si="5"/>
        <v/>
      </c>
      <c r="S6" s="7" t="str">
        <f t="shared" si="6"/>
        <v/>
      </c>
      <c r="T6" s="7" t="str">
        <f t="shared" si="7"/>
        <v/>
      </c>
      <c r="U6" s="7" t="str">
        <f t="shared" si="8"/>
        <v/>
      </c>
      <c r="V6" s="7" t="str">
        <f t="shared" si="9"/>
        <v/>
      </c>
      <c r="W6" s="7" t="str">
        <f t="shared" si="10"/>
        <v/>
      </c>
      <c r="X6" s="7" t="str">
        <f t="shared" si="11"/>
        <v/>
      </c>
      <c r="Y6">
        <f t="shared" si="12"/>
        <v>0</v>
      </c>
      <c r="Z6" t="str">
        <f t="shared" si="13"/>
        <v/>
      </c>
      <c r="AA6" t="str">
        <f t="shared" si="14"/>
        <v/>
      </c>
      <c r="AB6" t="str">
        <f t="shared" si="15"/>
        <v/>
      </c>
      <c r="AC6" t="str">
        <f t="shared" si="16"/>
        <v/>
      </c>
      <c r="AD6">
        <f t="shared" si="17"/>
        <v>0</v>
      </c>
    </row>
    <row r="7" spans="1:30" ht="15" customHeight="1" x14ac:dyDescent="0.35">
      <c r="A7" s="2"/>
      <c r="B7" s="3"/>
      <c r="C7" s="4"/>
      <c r="D7" s="5"/>
      <c r="E7" s="11" t="str">
        <f t="shared" ca="1" si="0"/>
        <v/>
      </c>
      <c r="F7" s="5"/>
      <c r="G7" s="6" t="str">
        <f>IF(AND($A7&lt;&gt;"",$B7&lt;&gt;"",$C7&lt;&gt;"",$D7&lt;&gt;""),IF(OR($B7="SER",$B7="PLH",$B7="CSF"),"Control CDI Plate "&amp;(INT(((COUNTIFS($B$2:$B7,"SER")+COUNTIFS($B$2:$B7,"PLH")+COUNTIFS($B$2:$B7,"CSF"))-1)/96)+1)&amp;": "&amp;CHAR(65+INT(MOD((COUNTIFS($B$2:$B7,"SER")+COUNTIFS($B$2:$B7,"PLH")+COUNTIFS($B$2:$B7,"CSF"))-1,96)/12))&amp;(MOD((COUNTIFS($B$2:$B7,"SER")+COUNTIFS($B$2:$B7,"PLH")+COUNTIFS($B$2:$B7,"CSF"))-1,12)+1),"N/A"),"")</f>
        <v/>
      </c>
      <c r="H7" s="6" t="str">
        <f>IF(AND($A7&lt;&gt;"",$B7&lt;&gt;"",$C7&lt;&gt;"",$D7&lt;&gt;""),IF(OR($B7="SER",$B7="PLH",$B7="CSF"),"Control NIH Plate "&amp;(INT(((COUNTIFS($B$2:$B7,"SER")+COUNTIFS($B$2:$B7,"PLH")+COUNTIFS($B$2:$B7,"CSF"))-1)/96)+1)&amp;": "&amp;CHAR(65+INT(MOD((COUNTIFS($B$2:$B7,"SER")+COUNTIFS($B$2:$B7,"PLH")+COUNTIFS($B$2:$B7,"CSF"))-1,96)/12))&amp;(MOD((COUNTIFS($B$2:$B7,"SER")+COUNTIFS($B$2:$B7,"PLH")+COUNTIFS($B$2:$B7,"CSF"))-1,12)+1),"N/A"),"")</f>
        <v/>
      </c>
      <c r="I7" s="6" t="str">
        <f>IF(AND($A7&lt;&gt;"",$B7&lt;&gt;"",$C7&lt;&gt;"",$D7&lt;&gt;""),IF(OR($B7="SER",$B7="PLH"),"Control MAX Planck Plate "&amp;(INT(((COUNTIFS($B$2:$B7,"SER")+COUNTIFS($B$2:$B7,"PLH"))-1)/96)+1)&amp;": "&amp;CHAR(65+INT(MOD((COUNTIFS($B$2:$B7,"SER")+COUNTIFS($B$2:$B7,"PLH"))-1,96)/12))&amp;(MOD((COUNTIFS($B$2:$B7,"SER")+COUNTIFS($B$2:$B7,"PLH"))-1,12)+1),"N/A"),"")</f>
        <v/>
      </c>
      <c r="J7" s="6" t="str">
        <f>IF(AND($A7&lt;&gt;"",$B7&lt;&gt;"",$C7&lt;&gt;"",$D7&lt;&gt;""),IF($B7="WB","Control WB Box "&amp;(INT((COUNTIFS($B$2:$B7,"WB")-1)/81)+1)&amp;": "&amp;CHAR(65+INT(MOD(COUNTIFS($B$2:$B7,"WB")-1,81)/9))&amp;(MOD(COUNTIFS($B$2:$B7,"WB")-1,9)+1),"N/A"),"")</f>
        <v/>
      </c>
      <c r="K7" s="3" t="str">
        <f t="shared" si="1"/>
        <v/>
      </c>
      <c r="L7" s="2"/>
      <c r="M7" s="2"/>
      <c r="N7" s="2"/>
      <c r="O7" s="7" t="str">
        <f t="shared" si="2"/>
        <v/>
      </c>
      <c r="P7" s="7" t="str">
        <f t="shared" si="3"/>
        <v/>
      </c>
      <c r="Q7" s="7" t="str">
        <f t="shared" si="4"/>
        <v/>
      </c>
      <c r="R7" s="7" t="str">
        <f t="shared" si="5"/>
        <v/>
      </c>
      <c r="S7" s="7" t="str">
        <f t="shared" si="6"/>
        <v/>
      </c>
      <c r="T7" s="7" t="str">
        <f t="shared" si="7"/>
        <v/>
      </c>
      <c r="U7" s="7" t="str">
        <f t="shared" si="8"/>
        <v/>
      </c>
      <c r="V7" s="7" t="str">
        <f t="shared" si="9"/>
        <v/>
      </c>
      <c r="W7" s="7" t="str">
        <f t="shared" si="10"/>
        <v/>
      </c>
      <c r="X7" s="7" t="str">
        <f t="shared" si="11"/>
        <v/>
      </c>
      <c r="Y7">
        <f t="shared" si="12"/>
        <v>0</v>
      </c>
      <c r="Z7" t="str">
        <f t="shared" si="13"/>
        <v/>
      </c>
      <c r="AA7" t="str">
        <f t="shared" si="14"/>
        <v/>
      </c>
      <c r="AB7" t="str">
        <f t="shared" si="15"/>
        <v/>
      </c>
      <c r="AC7" t="str">
        <f t="shared" si="16"/>
        <v/>
      </c>
      <c r="AD7">
        <f t="shared" si="17"/>
        <v>0</v>
      </c>
    </row>
    <row r="8" spans="1:30" ht="15" customHeight="1" x14ac:dyDescent="0.35">
      <c r="A8" s="2"/>
      <c r="B8" s="3"/>
      <c r="C8" s="4"/>
      <c r="D8" s="5"/>
      <c r="E8" s="11" t="str">
        <f t="shared" ca="1" si="0"/>
        <v/>
      </c>
      <c r="F8" s="5"/>
      <c r="G8" s="6" t="str">
        <f>IF(AND($A8&lt;&gt;"",$B8&lt;&gt;"",$C8&lt;&gt;"",$D8&lt;&gt;""),IF(OR($B8="SER",$B8="PLH",$B8="CSF"),"Control CDI Plate "&amp;(INT(((COUNTIFS($B$2:$B8,"SER")+COUNTIFS($B$2:$B8,"PLH")+COUNTIFS($B$2:$B8,"CSF"))-1)/96)+1)&amp;": "&amp;CHAR(65+INT(MOD((COUNTIFS($B$2:$B8,"SER")+COUNTIFS($B$2:$B8,"PLH")+COUNTIFS($B$2:$B8,"CSF"))-1,96)/12))&amp;(MOD((COUNTIFS($B$2:$B8,"SER")+COUNTIFS($B$2:$B8,"PLH")+COUNTIFS($B$2:$B8,"CSF"))-1,12)+1),"N/A"),"")</f>
        <v/>
      </c>
      <c r="H8" s="6" t="str">
        <f>IF(AND($A8&lt;&gt;"",$B8&lt;&gt;"",$C8&lt;&gt;"",$D8&lt;&gt;""),IF(OR($B8="SER",$B8="PLH",$B8="CSF"),"Control NIH Plate "&amp;(INT(((COUNTIFS($B$2:$B8,"SER")+COUNTIFS($B$2:$B8,"PLH")+COUNTIFS($B$2:$B8,"CSF"))-1)/96)+1)&amp;": "&amp;CHAR(65+INT(MOD((COUNTIFS($B$2:$B8,"SER")+COUNTIFS($B$2:$B8,"PLH")+COUNTIFS($B$2:$B8,"CSF"))-1,96)/12))&amp;(MOD((COUNTIFS($B$2:$B8,"SER")+COUNTIFS($B$2:$B8,"PLH")+COUNTIFS($B$2:$B8,"CSF"))-1,12)+1),"N/A"),"")</f>
        <v/>
      </c>
      <c r="I8" s="6" t="str">
        <f>IF(AND($A8&lt;&gt;"",$B8&lt;&gt;"",$C8&lt;&gt;"",$D8&lt;&gt;""),IF(OR($B8="SER",$B8="PLH"),"Control MAX Planck Plate "&amp;(INT(((COUNTIFS($B$2:$B8,"SER")+COUNTIFS($B$2:$B8,"PLH"))-1)/96)+1)&amp;": "&amp;CHAR(65+INT(MOD((COUNTIFS($B$2:$B8,"SER")+COUNTIFS($B$2:$B8,"PLH"))-1,96)/12))&amp;(MOD((COUNTIFS($B$2:$B8,"SER")+COUNTIFS($B$2:$B8,"PLH"))-1,12)+1),"N/A"),"")</f>
        <v/>
      </c>
      <c r="J8" s="6" t="str">
        <f>IF(AND($A8&lt;&gt;"",$B8&lt;&gt;"",$C8&lt;&gt;"",$D8&lt;&gt;""),IF($B8="WB","Control WB Box "&amp;(INT((COUNTIFS($B$2:$B8,"WB")-1)/81)+1)&amp;": "&amp;CHAR(65+INT(MOD(COUNTIFS($B$2:$B8,"WB")-1,81)/9))&amp;(MOD(COUNTIFS($B$2:$B8,"WB")-1,9)+1),"N/A"),"")</f>
        <v/>
      </c>
      <c r="K8" s="3" t="str">
        <f t="shared" si="1"/>
        <v/>
      </c>
      <c r="L8" s="2"/>
      <c r="M8" s="2"/>
      <c r="N8" s="2"/>
      <c r="O8" s="7" t="str">
        <f t="shared" si="2"/>
        <v/>
      </c>
      <c r="P8" s="7" t="str">
        <f t="shared" si="3"/>
        <v/>
      </c>
      <c r="Q8" s="7" t="str">
        <f t="shared" si="4"/>
        <v/>
      </c>
      <c r="R8" s="7" t="str">
        <f t="shared" si="5"/>
        <v/>
      </c>
      <c r="S8" s="7" t="str">
        <f t="shared" si="6"/>
        <v/>
      </c>
      <c r="T8" s="7" t="str">
        <f t="shared" si="7"/>
        <v/>
      </c>
      <c r="U8" s="7" t="str">
        <f t="shared" si="8"/>
        <v/>
      </c>
      <c r="V8" s="7" t="str">
        <f t="shared" si="9"/>
        <v/>
      </c>
      <c r="W8" s="7" t="str">
        <f t="shared" si="10"/>
        <v/>
      </c>
      <c r="X8" s="7" t="str">
        <f t="shared" si="11"/>
        <v/>
      </c>
      <c r="Y8">
        <f t="shared" si="12"/>
        <v>0</v>
      </c>
      <c r="Z8" t="str">
        <f t="shared" si="13"/>
        <v/>
      </c>
      <c r="AA8" t="str">
        <f t="shared" si="14"/>
        <v/>
      </c>
      <c r="AB8" t="str">
        <f t="shared" si="15"/>
        <v/>
      </c>
      <c r="AC8" t="str">
        <f t="shared" si="16"/>
        <v/>
      </c>
      <c r="AD8">
        <f t="shared" si="17"/>
        <v>0</v>
      </c>
    </row>
    <row r="9" spans="1:30" ht="15" customHeight="1" x14ac:dyDescent="0.35">
      <c r="A9" s="2"/>
      <c r="B9" s="3"/>
      <c r="C9" s="4"/>
      <c r="D9" s="5"/>
      <c r="E9" s="11" t="str">
        <f t="shared" ca="1" si="0"/>
        <v/>
      </c>
      <c r="F9" s="5"/>
      <c r="G9" s="6" t="str">
        <f>IF(AND($A9&lt;&gt;"",$B9&lt;&gt;"",$C9&lt;&gt;"",$D9&lt;&gt;""),IF(OR($B9="SER",$B9="PLH",$B9="CSF"),"Control CDI Plate "&amp;(INT(((COUNTIFS($B$2:$B9,"SER")+COUNTIFS($B$2:$B9,"PLH")+COUNTIFS($B$2:$B9,"CSF"))-1)/96)+1)&amp;": "&amp;CHAR(65+INT(MOD((COUNTIFS($B$2:$B9,"SER")+COUNTIFS($B$2:$B9,"PLH")+COUNTIFS($B$2:$B9,"CSF"))-1,96)/12))&amp;(MOD((COUNTIFS($B$2:$B9,"SER")+COUNTIFS($B$2:$B9,"PLH")+COUNTIFS($B$2:$B9,"CSF"))-1,12)+1),"N/A"),"")</f>
        <v/>
      </c>
      <c r="H9" s="6" t="str">
        <f>IF(AND($A9&lt;&gt;"",$B9&lt;&gt;"",$C9&lt;&gt;"",$D9&lt;&gt;""),IF(OR($B9="SER",$B9="PLH",$B9="CSF"),"Control NIH Plate "&amp;(INT(((COUNTIFS($B$2:$B9,"SER")+COUNTIFS($B$2:$B9,"PLH")+COUNTIFS($B$2:$B9,"CSF"))-1)/96)+1)&amp;": "&amp;CHAR(65+INT(MOD((COUNTIFS($B$2:$B9,"SER")+COUNTIFS($B$2:$B9,"PLH")+COUNTIFS($B$2:$B9,"CSF"))-1,96)/12))&amp;(MOD((COUNTIFS($B$2:$B9,"SER")+COUNTIFS($B$2:$B9,"PLH")+COUNTIFS($B$2:$B9,"CSF"))-1,12)+1),"N/A"),"")</f>
        <v/>
      </c>
      <c r="I9" s="6" t="str">
        <f>IF(AND($A9&lt;&gt;"",$B9&lt;&gt;"",$C9&lt;&gt;"",$D9&lt;&gt;""),IF(OR($B9="SER",$B9="PLH"),"Control MAX Planck Plate "&amp;(INT(((COUNTIFS($B$2:$B9,"SER")+COUNTIFS($B$2:$B9,"PLH"))-1)/96)+1)&amp;": "&amp;CHAR(65+INT(MOD((COUNTIFS($B$2:$B9,"SER")+COUNTIFS($B$2:$B9,"PLH"))-1,96)/12))&amp;(MOD((COUNTIFS($B$2:$B9,"SER")+COUNTIFS($B$2:$B9,"PLH"))-1,12)+1),"N/A"),"")</f>
        <v/>
      </c>
      <c r="J9" s="6" t="str">
        <f>IF(AND($A9&lt;&gt;"",$B9&lt;&gt;"",$C9&lt;&gt;"",$D9&lt;&gt;""),IF($B9="WB","Control WB Box "&amp;(INT((COUNTIFS($B$2:$B9,"WB")-1)/81)+1)&amp;": "&amp;CHAR(65+INT(MOD(COUNTIFS($B$2:$B9,"WB")-1,81)/9))&amp;(MOD(COUNTIFS($B$2:$B9,"WB")-1,9)+1),"N/A"),"")</f>
        <v/>
      </c>
      <c r="K9" s="3" t="str">
        <f t="shared" si="1"/>
        <v/>
      </c>
      <c r="L9" s="2"/>
      <c r="M9" s="2"/>
      <c r="N9" s="2"/>
      <c r="O9" s="7" t="str">
        <f t="shared" si="2"/>
        <v/>
      </c>
      <c r="P9" s="7" t="str">
        <f t="shared" si="3"/>
        <v/>
      </c>
      <c r="Q9" s="7" t="str">
        <f t="shared" si="4"/>
        <v/>
      </c>
      <c r="R9" s="7" t="str">
        <f t="shared" si="5"/>
        <v/>
      </c>
      <c r="S9" s="7" t="str">
        <f t="shared" si="6"/>
        <v/>
      </c>
      <c r="T9" s="7" t="str">
        <f t="shared" si="7"/>
        <v/>
      </c>
      <c r="U9" s="7" t="str">
        <f t="shared" si="8"/>
        <v/>
      </c>
      <c r="V9" s="7" t="str">
        <f t="shared" si="9"/>
        <v/>
      </c>
      <c r="W9" s="7" t="str">
        <f t="shared" si="10"/>
        <v/>
      </c>
      <c r="X9" s="7" t="str">
        <f t="shared" si="11"/>
        <v/>
      </c>
      <c r="Y9">
        <f t="shared" si="12"/>
        <v>0</v>
      </c>
      <c r="Z9" t="str">
        <f t="shared" si="13"/>
        <v/>
      </c>
      <c r="AA9" t="str">
        <f t="shared" si="14"/>
        <v/>
      </c>
      <c r="AB9" t="str">
        <f t="shared" si="15"/>
        <v/>
      </c>
      <c r="AC9" t="str">
        <f t="shared" si="16"/>
        <v/>
      </c>
      <c r="AD9">
        <f t="shared" si="17"/>
        <v>0</v>
      </c>
    </row>
    <row r="10" spans="1:30" ht="15" customHeight="1" x14ac:dyDescent="0.35">
      <c r="A10" s="2"/>
      <c r="B10" s="3"/>
      <c r="C10" s="4"/>
      <c r="D10" s="5"/>
      <c r="E10" s="11" t="str">
        <f t="shared" ca="1" si="0"/>
        <v/>
      </c>
      <c r="F10" s="5"/>
      <c r="G10" s="6" t="str">
        <f>IF(AND($A10&lt;&gt;"",$B10&lt;&gt;"",$C10&lt;&gt;"",$D10&lt;&gt;""),IF(OR($B10="SER",$B10="PLH",$B10="CSF"),"Control CDI Plate "&amp;(INT(((COUNTIFS($B$2:$B10,"SER")+COUNTIFS($B$2:$B10,"PLH")+COUNTIFS($B$2:$B10,"CSF"))-1)/96)+1)&amp;": "&amp;CHAR(65+INT(MOD((COUNTIFS($B$2:$B10,"SER")+COUNTIFS($B$2:$B10,"PLH")+COUNTIFS($B$2:$B10,"CSF"))-1,96)/12))&amp;(MOD((COUNTIFS($B$2:$B10,"SER")+COUNTIFS($B$2:$B10,"PLH")+COUNTIFS($B$2:$B10,"CSF"))-1,12)+1),"N/A"),"")</f>
        <v/>
      </c>
      <c r="H10" s="6" t="str">
        <f>IF(AND($A10&lt;&gt;"",$B10&lt;&gt;"",$C10&lt;&gt;"",$D10&lt;&gt;""),IF(OR($B10="SER",$B10="PLH",$B10="CSF"),"Control NIH Plate "&amp;(INT(((COUNTIFS($B$2:$B10,"SER")+COUNTIFS($B$2:$B10,"PLH")+COUNTIFS($B$2:$B10,"CSF"))-1)/96)+1)&amp;": "&amp;CHAR(65+INT(MOD((COUNTIFS($B$2:$B10,"SER")+COUNTIFS($B$2:$B10,"PLH")+COUNTIFS($B$2:$B10,"CSF"))-1,96)/12))&amp;(MOD((COUNTIFS($B$2:$B10,"SER")+COUNTIFS($B$2:$B10,"PLH")+COUNTIFS($B$2:$B10,"CSF"))-1,12)+1),"N/A"),"")</f>
        <v/>
      </c>
      <c r="I10" s="6" t="str">
        <f>IF(AND($A10&lt;&gt;"",$B10&lt;&gt;"",$C10&lt;&gt;"",$D10&lt;&gt;""),IF(OR($B10="SER",$B10="PLH"),"Control MAX Planck Plate "&amp;(INT(((COUNTIFS($B$2:$B10,"SER")+COUNTIFS($B$2:$B10,"PLH"))-1)/96)+1)&amp;": "&amp;CHAR(65+INT(MOD((COUNTIFS($B$2:$B10,"SER")+COUNTIFS($B$2:$B10,"PLH"))-1,96)/12))&amp;(MOD((COUNTIFS($B$2:$B10,"SER")+COUNTIFS($B$2:$B10,"PLH"))-1,12)+1),"N/A"),"")</f>
        <v/>
      </c>
      <c r="J10" s="6" t="str">
        <f>IF(AND($A10&lt;&gt;"",$B10&lt;&gt;"",$C10&lt;&gt;"",$D10&lt;&gt;""),IF($B10="WB","Control WB Box "&amp;(INT((COUNTIFS($B$2:$B10,"WB")-1)/81)+1)&amp;": "&amp;CHAR(65+INT(MOD(COUNTIFS($B$2:$B10,"WB")-1,81)/9))&amp;(MOD(COUNTIFS($B$2:$B10,"WB")-1,9)+1),"N/A"),"")</f>
        <v/>
      </c>
      <c r="K10" s="3" t="str">
        <f t="shared" si="1"/>
        <v/>
      </c>
      <c r="L10" s="2"/>
      <c r="M10" s="2"/>
      <c r="N10" s="2"/>
      <c r="O10" s="7" t="str">
        <f t="shared" si="2"/>
        <v/>
      </c>
      <c r="P10" s="7" t="str">
        <f t="shared" si="3"/>
        <v/>
      </c>
      <c r="Q10" s="7" t="str">
        <f t="shared" si="4"/>
        <v/>
      </c>
      <c r="R10" s="7" t="str">
        <f t="shared" si="5"/>
        <v/>
      </c>
      <c r="S10" s="7" t="str">
        <f t="shared" si="6"/>
        <v/>
      </c>
      <c r="T10" s="7" t="str">
        <f t="shared" si="7"/>
        <v/>
      </c>
      <c r="U10" s="7" t="str">
        <f t="shared" si="8"/>
        <v/>
      </c>
      <c r="V10" s="7" t="str">
        <f t="shared" si="9"/>
        <v/>
      </c>
      <c r="W10" s="7" t="str">
        <f t="shared" si="10"/>
        <v/>
      </c>
      <c r="X10" s="7" t="str">
        <f t="shared" si="11"/>
        <v/>
      </c>
      <c r="Y10">
        <f t="shared" si="12"/>
        <v>0</v>
      </c>
      <c r="Z10" t="str">
        <f t="shared" si="13"/>
        <v/>
      </c>
      <c r="AA10" t="str">
        <f t="shared" si="14"/>
        <v/>
      </c>
      <c r="AB10" t="str">
        <f t="shared" si="15"/>
        <v/>
      </c>
      <c r="AC10" t="str">
        <f t="shared" si="16"/>
        <v/>
      </c>
      <c r="AD10">
        <f t="shared" si="17"/>
        <v>0</v>
      </c>
    </row>
    <row r="11" spans="1:30" ht="15" customHeight="1" x14ac:dyDescent="0.35">
      <c r="A11" s="2"/>
      <c r="B11" s="3"/>
      <c r="C11" s="4"/>
      <c r="D11" s="5"/>
      <c r="E11" s="11" t="str">
        <f t="shared" ca="1" si="0"/>
        <v/>
      </c>
      <c r="F11" s="5"/>
      <c r="G11" s="6" t="str">
        <f>IF(AND($A11&lt;&gt;"",$B11&lt;&gt;"",$C11&lt;&gt;"",$D11&lt;&gt;""),IF(OR($B11="SER",$B11="PLH",$B11="CSF"),"Control CDI Plate "&amp;(INT(((COUNTIFS($B$2:$B11,"SER")+COUNTIFS($B$2:$B11,"PLH")+COUNTIFS($B$2:$B11,"CSF"))-1)/96)+1)&amp;": "&amp;CHAR(65+INT(MOD((COUNTIFS($B$2:$B11,"SER")+COUNTIFS($B$2:$B11,"PLH")+COUNTIFS($B$2:$B11,"CSF"))-1,96)/12))&amp;(MOD((COUNTIFS($B$2:$B11,"SER")+COUNTIFS($B$2:$B11,"PLH")+COUNTIFS($B$2:$B11,"CSF"))-1,12)+1),"N/A"),"")</f>
        <v/>
      </c>
      <c r="H11" s="6" t="str">
        <f>IF(AND($A11&lt;&gt;"",$B11&lt;&gt;"",$C11&lt;&gt;"",$D11&lt;&gt;""),IF(OR($B11="SER",$B11="PLH",$B11="CSF"),"Control NIH Plate "&amp;(INT(((COUNTIFS($B$2:$B11,"SER")+COUNTIFS($B$2:$B11,"PLH")+COUNTIFS($B$2:$B11,"CSF"))-1)/96)+1)&amp;": "&amp;CHAR(65+INT(MOD((COUNTIFS($B$2:$B11,"SER")+COUNTIFS($B$2:$B11,"PLH")+COUNTIFS($B$2:$B11,"CSF"))-1,96)/12))&amp;(MOD((COUNTIFS($B$2:$B11,"SER")+COUNTIFS($B$2:$B11,"PLH")+COUNTIFS($B$2:$B11,"CSF"))-1,12)+1),"N/A"),"")</f>
        <v/>
      </c>
      <c r="I11" s="6" t="str">
        <f>IF(AND($A11&lt;&gt;"",$B11&lt;&gt;"",$C11&lt;&gt;"",$D11&lt;&gt;""),IF(OR($B11="SER",$B11="PLH"),"Control MAX Planck Plate "&amp;(INT(((COUNTIFS($B$2:$B11,"SER")+COUNTIFS($B$2:$B11,"PLH"))-1)/96)+1)&amp;": "&amp;CHAR(65+INT(MOD((COUNTIFS($B$2:$B11,"SER")+COUNTIFS($B$2:$B11,"PLH"))-1,96)/12))&amp;(MOD((COUNTIFS($B$2:$B11,"SER")+COUNTIFS($B$2:$B11,"PLH"))-1,12)+1),"N/A"),"")</f>
        <v/>
      </c>
      <c r="J11" s="6" t="str">
        <f>IF(AND($A11&lt;&gt;"",$B11&lt;&gt;"",$C11&lt;&gt;"",$D11&lt;&gt;""),IF($B11="WB","Control WB Box "&amp;(INT((COUNTIFS($B$2:$B11,"WB")-1)/81)+1)&amp;": "&amp;CHAR(65+INT(MOD(COUNTIFS($B$2:$B11,"WB")-1,81)/9))&amp;(MOD(COUNTIFS($B$2:$B11,"WB")-1,9)+1),"N/A"),"")</f>
        <v/>
      </c>
      <c r="K11" s="3" t="str">
        <f t="shared" si="1"/>
        <v/>
      </c>
      <c r="L11" s="2"/>
      <c r="M11" s="2"/>
      <c r="N11" s="2"/>
      <c r="O11" s="7" t="str">
        <f t="shared" si="2"/>
        <v/>
      </c>
      <c r="P11" s="7" t="str">
        <f t="shared" si="3"/>
        <v/>
      </c>
      <c r="Q11" s="7" t="str">
        <f t="shared" si="4"/>
        <v/>
      </c>
      <c r="R11" s="7" t="str">
        <f t="shared" si="5"/>
        <v/>
      </c>
      <c r="S11" s="7" t="str">
        <f t="shared" si="6"/>
        <v/>
      </c>
      <c r="T11" s="7" t="str">
        <f t="shared" si="7"/>
        <v/>
      </c>
      <c r="U11" s="7" t="str">
        <f t="shared" si="8"/>
        <v/>
      </c>
      <c r="V11" s="7" t="str">
        <f t="shared" si="9"/>
        <v/>
      </c>
      <c r="W11" s="7" t="str">
        <f t="shared" si="10"/>
        <v/>
      </c>
      <c r="X11" s="7" t="str">
        <f t="shared" si="11"/>
        <v/>
      </c>
      <c r="Y11">
        <f t="shared" si="12"/>
        <v>0</v>
      </c>
      <c r="Z11" t="str">
        <f t="shared" si="13"/>
        <v/>
      </c>
      <c r="AA11" t="str">
        <f t="shared" si="14"/>
        <v/>
      </c>
      <c r="AB11" t="str">
        <f t="shared" si="15"/>
        <v/>
      </c>
      <c r="AC11" t="str">
        <f t="shared" si="16"/>
        <v/>
      </c>
      <c r="AD11">
        <f t="shared" si="17"/>
        <v>0</v>
      </c>
    </row>
    <row r="12" spans="1:30" ht="15" customHeight="1" x14ac:dyDescent="0.35">
      <c r="A12" s="2"/>
      <c r="B12" s="3"/>
      <c r="C12" s="4"/>
      <c r="D12" s="5"/>
      <c r="E12" s="11" t="str">
        <f t="shared" ca="1" si="0"/>
        <v/>
      </c>
      <c r="F12" s="5"/>
      <c r="G12" s="6" t="str">
        <f>IF(AND($A12&lt;&gt;"",$B12&lt;&gt;"",$C12&lt;&gt;"",$D12&lt;&gt;""),IF(OR($B12="SER",$B12="PLH",$B12="CSF"),"Control CDI Plate "&amp;(INT(((COUNTIFS($B$2:$B12,"SER")+COUNTIFS($B$2:$B12,"PLH")+COUNTIFS($B$2:$B12,"CSF"))-1)/96)+1)&amp;": "&amp;CHAR(65+INT(MOD((COUNTIFS($B$2:$B12,"SER")+COUNTIFS($B$2:$B12,"PLH")+COUNTIFS($B$2:$B12,"CSF"))-1,96)/12))&amp;(MOD((COUNTIFS($B$2:$B12,"SER")+COUNTIFS($B$2:$B12,"PLH")+COUNTIFS($B$2:$B12,"CSF"))-1,12)+1),"N/A"),"")</f>
        <v/>
      </c>
      <c r="H12" s="6" t="str">
        <f>IF(AND($A12&lt;&gt;"",$B12&lt;&gt;"",$C12&lt;&gt;"",$D12&lt;&gt;""),IF(OR($B12="SER",$B12="PLH",$B12="CSF"),"Control NIH Plate "&amp;(INT(((COUNTIFS($B$2:$B12,"SER")+COUNTIFS($B$2:$B12,"PLH")+COUNTIFS($B$2:$B12,"CSF"))-1)/96)+1)&amp;": "&amp;CHAR(65+INT(MOD((COUNTIFS($B$2:$B12,"SER")+COUNTIFS($B$2:$B12,"PLH")+COUNTIFS($B$2:$B12,"CSF"))-1,96)/12))&amp;(MOD((COUNTIFS($B$2:$B12,"SER")+COUNTIFS($B$2:$B12,"PLH")+COUNTIFS($B$2:$B12,"CSF"))-1,12)+1),"N/A"),"")</f>
        <v/>
      </c>
      <c r="I12" s="6" t="str">
        <f>IF(AND($A12&lt;&gt;"",$B12&lt;&gt;"",$C12&lt;&gt;"",$D12&lt;&gt;""),IF(OR($B12="SER",$B12="PLH"),"Control MAX Planck Plate "&amp;(INT(((COUNTIFS($B$2:$B12,"SER")+COUNTIFS($B$2:$B12,"PLH"))-1)/96)+1)&amp;": "&amp;CHAR(65+INT(MOD((COUNTIFS($B$2:$B12,"SER")+COUNTIFS($B$2:$B12,"PLH"))-1,96)/12))&amp;(MOD((COUNTIFS($B$2:$B12,"SER")+COUNTIFS($B$2:$B12,"PLH"))-1,12)+1),"N/A"),"")</f>
        <v/>
      </c>
      <c r="J12" s="6" t="str">
        <f>IF(AND($A12&lt;&gt;"",$B12&lt;&gt;"",$C12&lt;&gt;"",$D12&lt;&gt;""),IF($B12="WB","Control WB Box "&amp;(INT((COUNTIFS($B$2:$B12,"WB")-1)/81)+1)&amp;": "&amp;CHAR(65+INT(MOD(COUNTIFS($B$2:$B12,"WB")-1,81)/9))&amp;(MOD(COUNTIFS($B$2:$B12,"WB")-1,9)+1),"N/A"),"")</f>
        <v/>
      </c>
      <c r="K12" s="3" t="str">
        <f t="shared" si="1"/>
        <v/>
      </c>
      <c r="L12" s="2"/>
      <c r="M12" s="2"/>
      <c r="N12" s="2"/>
      <c r="O12" s="7" t="str">
        <f t="shared" si="2"/>
        <v/>
      </c>
      <c r="P12" s="7" t="str">
        <f t="shared" si="3"/>
        <v/>
      </c>
      <c r="Q12" s="7" t="str">
        <f t="shared" si="4"/>
        <v/>
      </c>
      <c r="R12" s="7" t="str">
        <f t="shared" si="5"/>
        <v/>
      </c>
      <c r="S12" s="7" t="str">
        <f t="shared" si="6"/>
        <v/>
      </c>
      <c r="T12" s="7" t="str">
        <f t="shared" si="7"/>
        <v/>
      </c>
      <c r="U12" s="7" t="str">
        <f t="shared" si="8"/>
        <v/>
      </c>
      <c r="V12" s="7" t="str">
        <f t="shared" si="9"/>
        <v/>
      </c>
      <c r="W12" s="7" t="str">
        <f t="shared" si="10"/>
        <v/>
      </c>
      <c r="X12" s="7" t="str">
        <f t="shared" si="11"/>
        <v/>
      </c>
      <c r="Y12">
        <f t="shared" si="12"/>
        <v>0</v>
      </c>
      <c r="Z12" t="str">
        <f t="shared" si="13"/>
        <v/>
      </c>
      <c r="AA12" t="str">
        <f t="shared" si="14"/>
        <v/>
      </c>
      <c r="AB12" t="str">
        <f t="shared" si="15"/>
        <v/>
      </c>
      <c r="AC12" t="str">
        <f t="shared" si="16"/>
        <v/>
      </c>
      <c r="AD12">
        <f t="shared" si="17"/>
        <v>0</v>
      </c>
    </row>
    <row r="13" spans="1:30" ht="15" customHeight="1" x14ac:dyDescent="0.35">
      <c r="A13" s="2"/>
      <c r="B13" s="3"/>
      <c r="C13" s="4"/>
      <c r="D13" s="5"/>
      <c r="E13" s="11" t="str">
        <f t="shared" ca="1" si="0"/>
        <v/>
      </c>
      <c r="F13" s="5"/>
      <c r="G13" s="6" t="str">
        <f>IF(AND($A13&lt;&gt;"",$B13&lt;&gt;"",$C13&lt;&gt;"",$D13&lt;&gt;""),IF(OR($B13="SER",$B13="PLH",$B13="CSF"),"Control CDI Plate "&amp;(INT(((COUNTIFS($B$2:$B13,"SER")+COUNTIFS($B$2:$B13,"PLH")+COUNTIFS($B$2:$B13,"CSF"))-1)/96)+1)&amp;": "&amp;CHAR(65+INT(MOD((COUNTIFS($B$2:$B13,"SER")+COUNTIFS($B$2:$B13,"PLH")+COUNTIFS($B$2:$B13,"CSF"))-1,96)/12))&amp;(MOD((COUNTIFS($B$2:$B13,"SER")+COUNTIFS($B$2:$B13,"PLH")+COUNTIFS($B$2:$B13,"CSF"))-1,12)+1),"N/A"),"")</f>
        <v/>
      </c>
      <c r="H13" s="6" t="str">
        <f>IF(AND($A13&lt;&gt;"",$B13&lt;&gt;"",$C13&lt;&gt;"",$D13&lt;&gt;""),IF(OR($B13="SER",$B13="PLH",$B13="CSF"),"Control NIH Plate "&amp;(INT(((COUNTIFS($B$2:$B13,"SER")+COUNTIFS($B$2:$B13,"PLH")+COUNTIFS($B$2:$B13,"CSF"))-1)/96)+1)&amp;": "&amp;CHAR(65+INT(MOD((COUNTIFS($B$2:$B13,"SER")+COUNTIFS($B$2:$B13,"PLH")+COUNTIFS($B$2:$B13,"CSF"))-1,96)/12))&amp;(MOD((COUNTIFS($B$2:$B13,"SER")+COUNTIFS($B$2:$B13,"PLH")+COUNTIFS($B$2:$B13,"CSF"))-1,12)+1),"N/A"),"")</f>
        <v/>
      </c>
      <c r="I13" s="6" t="str">
        <f>IF(AND($A13&lt;&gt;"",$B13&lt;&gt;"",$C13&lt;&gt;"",$D13&lt;&gt;""),IF(OR($B13="SER",$B13="PLH"),"Control MAX Planck Plate "&amp;(INT(((COUNTIFS($B$2:$B13,"SER")+COUNTIFS($B$2:$B13,"PLH"))-1)/96)+1)&amp;": "&amp;CHAR(65+INT(MOD((COUNTIFS($B$2:$B13,"SER")+COUNTIFS($B$2:$B13,"PLH"))-1,96)/12))&amp;(MOD((COUNTIFS($B$2:$B13,"SER")+COUNTIFS($B$2:$B13,"PLH"))-1,12)+1),"N/A"),"")</f>
        <v/>
      </c>
      <c r="J13" s="6" t="str">
        <f>IF(AND($A13&lt;&gt;"",$B13&lt;&gt;"",$C13&lt;&gt;"",$D13&lt;&gt;""),IF($B13="WB","Control WB Box "&amp;(INT((COUNTIFS($B$2:$B13,"WB")-1)/81)+1)&amp;": "&amp;CHAR(65+INT(MOD(COUNTIFS($B$2:$B13,"WB")-1,81)/9))&amp;(MOD(COUNTIFS($B$2:$B13,"WB")-1,9)+1),"N/A"),"")</f>
        <v/>
      </c>
      <c r="K13" s="3" t="str">
        <f t="shared" si="1"/>
        <v/>
      </c>
      <c r="L13" s="2"/>
      <c r="M13" s="2"/>
      <c r="N13" s="2"/>
      <c r="O13" s="7" t="str">
        <f t="shared" si="2"/>
        <v/>
      </c>
      <c r="P13" s="7" t="str">
        <f t="shared" si="3"/>
        <v/>
      </c>
      <c r="Q13" s="7" t="str">
        <f t="shared" si="4"/>
        <v/>
      </c>
      <c r="R13" s="7" t="str">
        <f t="shared" si="5"/>
        <v/>
      </c>
      <c r="S13" s="7" t="str">
        <f t="shared" si="6"/>
        <v/>
      </c>
      <c r="T13" s="7" t="str">
        <f t="shared" si="7"/>
        <v/>
      </c>
      <c r="U13" s="7" t="str">
        <f t="shared" si="8"/>
        <v/>
      </c>
      <c r="V13" s="7" t="str">
        <f t="shared" si="9"/>
        <v/>
      </c>
      <c r="W13" s="7" t="str">
        <f t="shared" si="10"/>
        <v/>
      </c>
      <c r="X13" s="7" t="str">
        <f t="shared" si="11"/>
        <v/>
      </c>
      <c r="Y13">
        <f t="shared" si="12"/>
        <v>0</v>
      </c>
      <c r="Z13" t="str">
        <f t="shared" si="13"/>
        <v/>
      </c>
      <c r="AA13" t="str">
        <f t="shared" si="14"/>
        <v/>
      </c>
      <c r="AB13" t="str">
        <f t="shared" si="15"/>
        <v/>
      </c>
      <c r="AC13" t="str">
        <f t="shared" si="16"/>
        <v/>
      </c>
      <c r="AD13">
        <f t="shared" si="17"/>
        <v>0</v>
      </c>
    </row>
    <row r="14" spans="1:30" ht="15" customHeight="1" x14ac:dyDescent="0.35">
      <c r="A14" s="2"/>
      <c r="B14" s="3"/>
      <c r="C14" s="4"/>
      <c r="D14" s="5"/>
      <c r="E14" s="11" t="str">
        <f t="shared" ca="1" si="0"/>
        <v/>
      </c>
      <c r="F14" s="5"/>
      <c r="G14" s="6" t="str">
        <f>IF(AND($A14&lt;&gt;"",$B14&lt;&gt;"",$C14&lt;&gt;"",$D14&lt;&gt;""),IF(OR($B14="SER",$B14="PLH",$B14="CSF"),"Control CDI Plate "&amp;(INT(((COUNTIFS($B$2:$B14,"SER")+COUNTIFS($B$2:$B14,"PLH")+COUNTIFS($B$2:$B14,"CSF"))-1)/96)+1)&amp;": "&amp;CHAR(65+INT(MOD((COUNTIFS($B$2:$B14,"SER")+COUNTIFS($B$2:$B14,"PLH")+COUNTIFS($B$2:$B14,"CSF"))-1,96)/12))&amp;(MOD((COUNTIFS($B$2:$B14,"SER")+COUNTIFS($B$2:$B14,"PLH")+COUNTIFS($B$2:$B14,"CSF"))-1,12)+1),"N/A"),"")</f>
        <v/>
      </c>
      <c r="H14" s="6" t="str">
        <f>IF(AND($A14&lt;&gt;"",$B14&lt;&gt;"",$C14&lt;&gt;"",$D14&lt;&gt;""),IF(OR($B14="SER",$B14="PLH",$B14="CSF"),"Control NIH Plate "&amp;(INT(((COUNTIFS($B$2:$B14,"SER")+COUNTIFS($B$2:$B14,"PLH")+COUNTIFS($B$2:$B14,"CSF"))-1)/96)+1)&amp;": "&amp;CHAR(65+INT(MOD((COUNTIFS($B$2:$B14,"SER")+COUNTIFS($B$2:$B14,"PLH")+COUNTIFS($B$2:$B14,"CSF"))-1,96)/12))&amp;(MOD((COUNTIFS($B$2:$B14,"SER")+COUNTIFS($B$2:$B14,"PLH")+COUNTIFS($B$2:$B14,"CSF"))-1,12)+1),"N/A"),"")</f>
        <v/>
      </c>
      <c r="I14" s="6" t="str">
        <f>IF(AND($A14&lt;&gt;"",$B14&lt;&gt;"",$C14&lt;&gt;"",$D14&lt;&gt;""),IF(OR($B14="SER",$B14="PLH"),"Control MAX Planck Plate "&amp;(INT(((COUNTIFS($B$2:$B14,"SER")+COUNTIFS($B$2:$B14,"PLH"))-1)/96)+1)&amp;": "&amp;CHAR(65+INT(MOD((COUNTIFS($B$2:$B14,"SER")+COUNTIFS($B$2:$B14,"PLH"))-1,96)/12))&amp;(MOD((COUNTIFS($B$2:$B14,"SER")+COUNTIFS($B$2:$B14,"PLH"))-1,12)+1),"N/A"),"")</f>
        <v/>
      </c>
      <c r="J14" s="6" t="str">
        <f>IF(AND($A14&lt;&gt;"",$B14&lt;&gt;"",$C14&lt;&gt;"",$D14&lt;&gt;""),IF($B14="WB","Control WB Box "&amp;(INT((COUNTIFS($B$2:$B14,"WB")-1)/81)+1)&amp;": "&amp;CHAR(65+INT(MOD(COUNTIFS($B$2:$B14,"WB")-1,81)/9))&amp;(MOD(COUNTIFS($B$2:$B14,"WB")-1,9)+1),"N/A"),"")</f>
        <v/>
      </c>
      <c r="K14" s="3" t="str">
        <f t="shared" si="1"/>
        <v/>
      </c>
      <c r="L14" s="2"/>
      <c r="M14" s="2"/>
      <c r="N14" s="2"/>
      <c r="O14" s="7" t="str">
        <f t="shared" si="2"/>
        <v/>
      </c>
      <c r="P14" s="7" t="str">
        <f t="shared" si="3"/>
        <v/>
      </c>
      <c r="Q14" s="7" t="str">
        <f t="shared" si="4"/>
        <v/>
      </c>
      <c r="R14" s="7" t="str">
        <f t="shared" si="5"/>
        <v/>
      </c>
      <c r="S14" s="7" t="str">
        <f t="shared" si="6"/>
        <v/>
      </c>
      <c r="T14" s="7" t="str">
        <f t="shared" si="7"/>
        <v/>
      </c>
      <c r="U14" s="7" t="str">
        <f t="shared" si="8"/>
        <v/>
      </c>
      <c r="V14" s="7" t="str">
        <f t="shared" si="9"/>
        <v/>
      </c>
      <c r="W14" s="7" t="str">
        <f t="shared" si="10"/>
        <v/>
      </c>
      <c r="X14" s="7" t="str">
        <f t="shared" si="11"/>
        <v/>
      </c>
      <c r="Y14">
        <f t="shared" si="12"/>
        <v>0</v>
      </c>
      <c r="Z14" t="str">
        <f t="shared" si="13"/>
        <v/>
      </c>
      <c r="AA14" t="str">
        <f t="shared" si="14"/>
        <v/>
      </c>
      <c r="AB14" t="str">
        <f t="shared" si="15"/>
        <v/>
      </c>
      <c r="AC14" t="str">
        <f t="shared" si="16"/>
        <v/>
      </c>
      <c r="AD14">
        <f t="shared" si="17"/>
        <v>0</v>
      </c>
    </row>
    <row r="15" spans="1:30" ht="15" customHeight="1" x14ac:dyDescent="0.35">
      <c r="A15" s="2"/>
      <c r="B15" s="3"/>
      <c r="C15" s="4"/>
      <c r="D15" s="5"/>
      <c r="E15" s="11" t="str">
        <f t="shared" ca="1" si="0"/>
        <v/>
      </c>
      <c r="F15" s="5"/>
      <c r="G15" s="6" t="str">
        <f>IF(AND($A15&lt;&gt;"",$B15&lt;&gt;"",$C15&lt;&gt;"",$D15&lt;&gt;""),IF(OR($B15="SER",$B15="PLH",$B15="CSF"),"Control CDI Plate "&amp;(INT(((COUNTIFS($B$2:$B15,"SER")+COUNTIFS($B$2:$B15,"PLH")+COUNTIFS($B$2:$B15,"CSF"))-1)/96)+1)&amp;": "&amp;CHAR(65+INT(MOD((COUNTIFS($B$2:$B15,"SER")+COUNTIFS($B$2:$B15,"PLH")+COUNTIFS($B$2:$B15,"CSF"))-1,96)/12))&amp;(MOD((COUNTIFS($B$2:$B15,"SER")+COUNTIFS($B$2:$B15,"PLH")+COUNTIFS($B$2:$B15,"CSF"))-1,12)+1),"N/A"),"")</f>
        <v/>
      </c>
      <c r="H15" s="6" t="str">
        <f>IF(AND($A15&lt;&gt;"",$B15&lt;&gt;"",$C15&lt;&gt;"",$D15&lt;&gt;""),IF(OR($B15="SER",$B15="PLH",$B15="CSF"),"Control NIH Plate "&amp;(INT(((COUNTIFS($B$2:$B15,"SER")+COUNTIFS($B$2:$B15,"PLH")+COUNTIFS($B$2:$B15,"CSF"))-1)/96)+1)&amp;": "&amp;CHAR(65+INT(MOD((COUNTIFS($B$2:$B15,"SER")+COUNTIFS($B$2:$B15,"PLH")+COUNTIFS($B$2:$B15,"CSF"))-1,96)/12))&amp;(MOD((COUNTIFS($B$2:$B15,"SER")+COUNTIFS($B$2:$B15,"PLH")+COUNTIFS($B$2:$B15,"CSF"))-1,12)+1),"N/A"),"")</f>
        <v/>
      </c>
      <c r="I15" s="6" t="str">
        <f>IF(AND($A15&lt;&gt;"",$B15&lt;&gt;"",$C15&lt;&gt;"",$D15&lt;&gt;""),IF(OR($B15="SER",$B15="PLH"),"Control MAX Planck Plate "&amp;(INT(((COUNTIFS($B$2:$B15,"SER")+COUNTIFS($B$2:$B15,"PLH"))-1)/96)+1)&amp;": "&amp;CHAR(65+INT(MOD((COUNTIFS($B$2:$B15,"SER")+COUNTIFS($B$2:$B15,"PLH"))-1,96)/12))&amp;(MOD((COUNTIFS($B$2:$B15,"SER")+COUNTIFS($B$2:$B15,"PLH"))-1,12)+1),"N/A"),"")</f>
        <v/>
      </c>
      <c r="J15" s="6" t="str">
        <f>IF(AND($A15&lt;&gt;"",$B15&lt;&gt;"",$C15&lt;&gt;"",$D15&lt;&gt;""),IF($B15="WB","Control WB Box "&amp;(INT((COUNTIFS($B$2:$B15,"WB")-1)/81)+1)&amp;": "&amp;CHAR(65+INT(MOD(COUNTIFS($B$2:$B15,"WB")-1,81)/9))&amp;(MOD(COUNTIFS($B$2:$B15,"WB")-1,9)+1),"N/A"),"")</f>
        <v/>
      </c>
      <c r="K15" s="3" t="str">
        <f t="shared" si="1"/>
        <v/>
      </c>
      <c r="L15" s="2"/>
      <c r="M15" s="2"/>
      <c r="N15" s="2"/>
      <c r="O15" s="7" t="str">
        <f t="shared" si="2"/>
        <v/>
      </c>
      <c r="P15" s="7" t="str">
        <f t="shared" si="3"/>
        <v/>
      </c>
      <c r="Q15" s="7" t="str">
        <f t="shared" si="4"/>
        <v/>
      </c>
      <c r="R15" s="7" t="str">
        <f t="shared" si="5"/>
        <v/>
      </c>
      <c r="S15" s="7" t="str">
        <f t="shared" si="6"/>
        <v/>
      </c>
      <c r="T15" s="7" t="str">
        <f t="shared" si="7"/>
        <v/>
      </c>
      <c r="U15" s="7" t="str">
        <f t="shared" si="8"/>
        <v/>
      </c>
      <c r="V15" s="7" t="str">
        <f t="shared" si="9"/>
        <v/>
      </c>
      <c r="W15" s="7" t="str">
        <f t="shared" si="10"/>
        <v/>
      </c>
      <c r="X15" s="7" t="str">
        <f t="shared" si="11"/>
        <v/>
      </c>
      <c r="Y15">
        <f t="shared" si="12"/>
        <v>0</v>
      </c>
      <c r="Z15" t="str">
        <f t="shared" si="13"/>
        <v/>
      </c>
      <c r="AA15" t="str">
        <f t="shared" si="14"/>
        <v/>
      </c>
      <c r="AB15" t="str">
        <f t="shared" si="15"/>
        <v/>
      </c>
      <c r="AC15" t="str">
        <f t="shared" si="16"/>
        <v/>
      </c>
      <c r="AD15">
        <f t="shared" si="17"/>
        <v>0</v>
      </c>
    </row>
    <row r="16" spans="1:30" ht="15" customHeight="1" x14ac:dyDescent="0.35">
      <c r="A16" s="2"/>
      <c r="B16" s="3"/>
      <c r="C16" s="4"/>
      <c r="D16" s="5"/>
      <c r="E16" s="11" t="str">
        <f t="shared" ca="1" si="0"/>
        <v/>
      </c>
      <c r="F16" s="5"/>
      <c r="G16" s="6" t="str">
        <f>IF(AND($A16&lt;&gt;"",$B16&lt;&gt;"",$C16&lt;&gt;"",$D16&lt;&gt;""),IF(OR($B16="SER",$B16="PLH",$B16="CSF"),"Control CDI Plate "&amp;(INT(((COUNTIFS($B$2:$B16,"SER")+COUNTIFS($B$2:$B16,"PLH")+COUNTIFS($B$2:$B16,"CSF"))-1)/96)+1)&amp;": "&amp;CHAR(65+INT(MOD((COUNTIFS($B$2:$B16,"SER")+COUNTIFS($B$2:$B16,"PLH")+COUNTIFS($B$2:$B16,"CSF"))-1,96)/12))&amp;(MOD((COUNTIFS($B$2:$B16,"SER")+COUNTIFS($B$2:$B16,"PLH")+COUNTIFS($B$2:$B16,"CSF"))-1,12)+1),"N/A"),"")</f>
        <v/>
      </c>
      <c r="H16" s="6" t="str">
        <f>IF(AND($A16&lt;&gt;"",$B16&lt;&gt;"",$C16&lt;&gt;"",$D16&lt;&gt;""),IF(OR($B16="SER",$B16="PLH",$B16="CSF"),"Control NIH Plate "&amp;(INT(((COUNTIFS($B$2:$B16,"SER")+COUNTIFS($B$2:$B16,"PLH")+COUNTIFS($B$2:$B16,"CSF"))-1)/96)+1)&amp;": "&amp;CHAR(65+INT(MOD((COUNTIFS($B$2:$B16,"SER")+COUNTIFS($B$2:$B16,"PLH")+COUNTIFS($B$2:$B16,"CSF"))-1,96)/12))&amp;(MOD((COUNTIFS($B$2:$B16,"SER")+COUNTIFS($B$2:$B16,"PLH")+COUNTIFS($B$2:$B16,"CSF"))-1,12)+1),"N/A"),"")</f>
        <v/>
      </c>
      <c r="I16" s="6" t="str">
        <f>IF(AND($A16&lt;&gt;"",$B16&lt;&gt;"",$C16&lt;&gt;"",$D16&lt;&gt;""),IF(OR($B16="SER",$B16="PLH"),"Control MAX Planck Plate "&amp;(INT(((COUNTIFS($B$2:$B16,"SER")+COUNTIFS($B$2:$B16,"PLH"))-1)/96)+1)&amp;": "&amp;CHAR(65+INT(MOD((COUNTIFS($B$2:$B16,"SER")+COUNTIFS($B$2:$B16,"PLH"))-1,96)/12))&amp;(MOD((COUNTIFS($B$2:$B16,"SER")+COUNTIFS($B$2:$B16,"PLH"))-1,12)+1),"N/A"),"")</f>
        <v/>
      </c>
      <c r="J16" s="6" t="str">
        <f>IF(AND($A16&lt;&gt;"",$B16&lt;&gt;"",$C16&lt;&gt;"",$D16&lt;&gt;""),IF($B16="WB","Control WB Box "&amp;(INT((COUNTIFS($B$2:$B16,"WB")-1)/81)+1)&amp;": "&amp;CHAR(65+INT(MOD(COUNTIFS($B$2:$B16,"WB")-1,81)/9))&amp;(MOD(COUNTIFS($B$2:$B16,"WB")-1,9)+1),"N/A"),"")</f>
        <v/>
      </c>
      <c r="K16" s="3" t="str">
        <f t="shared" si="1"/>
        <v/>
      </c>
      <c r="L16" s="2"/>
      <c r="M16" s="2"/>
      <c r="N16" s="2"/>
      <c r="O16" s="7" t="str">
        <f t="shared" si="2"/>
        <v/>
      </c>
      <c r="P16" s="7" t="str">
        <f t="shared" si="3"/>
        <v/>
      </c>
      <c r="Q16" s="7" t="str">
        <f t="shared" si="4"/>
        <v/>
      </c>
      <c r="R16" s="7" t="str">
        <f t="shared" si="5"/>
        <v/>
      </c>
      <c r="S16" s="7" t="str">
        <f t="shared" si="6"/>
        <v/>
      </c>
      <c r="T16" s="7" t="str">
        <f t="shared" si="7"/>
        <v/>
      </c>
      <c r="U16" s="7" t="str">
        <f t="shared" si="8"/>
        <v/>
      </c>
      <c r="V16" s="7" t="str">
        <f t="shared" si="9"/>
        <v/>
      </c>
      <c r="W16" s="7" t="str">
        <f t="shared" si="10"/>
        <v/>
      </c>
      <c r="X16" s="7" t="str">
        <f t="shared" si="11"/>
        <v/>
      </c>
      <c r="Y16">
        <f t="shared" si="12"/>
        <v>0</v>
      </c>
      <c r="Z16" t="str">
        <f t="shared" si="13"/>
        <v/>
      </c>
      <c r="AA16" t="str">
        <f t="shared" si="14"/>
        <v/>
      </c>
      <c r="AB16" t="str">
        <f t="shared" si="15"/>
        <v/>
      </c>
      <c r="AC16" t="str">
        <f t="shared" si="16"/>
        <v/>
      </c>
      <c r="AD16">
        <f t="shared" si="17"/>
        <v>0</v>
      </c>
    </row>
    <row r="17" spans="1:30" ht="15" customHeight="1" x14ac:dyDescent="0.35">
      <c r="A17" s="2"/>
      <c r="B17" s="3"/>
      <c r="C17" s="4"/>
      <c r="D17" s="5"/>
      <c r="E17" s="11" t="str">
        <f t="shared" ca="1" si="0"/>
        <v/>
      </c>
      <c r="F17" s="5"/>
      <c r="G17" s="6" t="str">
        <f>IF(AND($A17&lt;&gt;"",$B17&lt;&gt;"",$C17&lt;&gt;"",$D17&lt;&gt;""),IF(OR($B17="SER",$B17="PLH",$B17="CSF"),"Control CDI Plate "&amp;(INT(((COUNTIFS($B$2:$B17,"SER")+COUNTIFS($B$2:$B17,"PLH")+COUNTIFS($B$2:$B17,"CSF"))-1)/96)+1)&amp;": "&amp;CHAR(65+INT(MOD((COUNTIFS($B$2:$B17,"SER")+COUNTIFS($B$2:$B17,"PLH")+COUNTIFS($B$2:$B17,"CSF"))-1,96)/12))&amp;(MOD((COUNTIFS($B$2:$B17,"SER")+COUNTIFS($B$2:$B17,"PLH")+COUNTIFS($B$2:$B17,"CSF"))-1,12)+1),"N/A"),"")</f>
        <v/>
      </c>
      <c r="H17" s="6" t="str">
        <f>IF(AND($A17&lt;&gt;"",$B17&lt;&gt;"",$C17&lt;&gt;"",$D17&lt;&gt;""),IF(OR($B17="SER",$B17="PLH",$B17="CSF"),"Control NIH Plate "&amp;(INT(((COUNTIFS($B$2:$B17,"SER")+COUNTIFS($B$2:$B17,"PLH")+COUNTIFS($B$2:$B17,"CSF"))-1)/96)+1)&amp;": "&amp;CHAR(65+INT(MOD((COUNTIFS($B$2:$B17,"SER")+COUNTIFS($B$2:$B17,"PLH")+COUNTIFS($B$2:$B17,"CSF"))-1,96)/12))&amp;(MOD((COUNTIFS($B$2:$B17,"SER")+COUNTIFS($B$2:$B17,"PLH")+COUNTIFS($B$2:$B17,"CSF"))-1,12)+1),"N/A"),"")</f>
        <v/>
      </c>
      <c r="I17" s="6" t="str">
        <f>IF(AND($A17&lt;&gt;"",$B17&lt;&gt;"",$C17&lt;&gt;"",$D17&lt;&gt;""),IF(OR($B17="SER",$B17="PLH"),"Control MAX Planck Plate "&amp;(INT(((COUNTIFS($B$2:$B17,"SER")+COUNTIFS($B$2:$B17,"PLH"))-1)/96)+1)&amp;": "&amp;CHAR(65+INT(MOD((COUNTIFS($B$2:$B17,"SER")+COUNTIFS($B$2:$B17,"PLH"))-1,96)/12))&amp;(MOD((COUNTIFS($B$2:$B17,"SER")+COUNTIFS($B$2:$B17,"PLH"))-1,12)+1),"N/A"),"")</f>
        <v/>
      </c>
      <c r="J17" s="6" t="str">
        <f>IF(AND($A17&lt;&gt;"",$B17&lt;&gt;"",$C17&lt;&gt;"",$D17&lt;&gt;""),IF($B17="WB","Control WB Box "&amp;(INT((COUNTIFS($B$2:$B17,"WB")-1)/81)+1)&amp;": "&amp;CHAR(65+INT(MOD(COUNTIFS($B$2:$B17,"WB")-1,81)/9))&amp;(MOD(COUNTIFS($B$2:$B17,"WB")-1,9)+1),"N/A"),"")</f>
        <v/>
      </c>
      <c r="K17" s="3" t="str">
        <f t="shared" si="1"/>
        <v/>
      </c>
      <c r="L17" s="2"/>
      <c r="M17" s="2"/>
      <c r="N17" s="2"/>
      <c r="O17" s="7" t="str">
        <f t="shared" si="2"/>
        <v/>
      </c>
      <c r="P17" s="7" t="str">
        <f t="shared" si="3"/>
        <v/>
      </c>
      <c r="Q17" s="7" t="str">
        <f t="shared" si="4"/>
        <v/>
      </c>
      <c r="R17" s="7" t="str">
        <f t="shared" si="5"/>
        <v/>
      </c>
      <c r="S17" s="7" t="str">
        <f t="shared" si="6"/>
        <v/>
      </c>
      <c r="T17" s="7" t="str">
        <f t="shared" si="7"/>
        <v/>
      </c>
      <c r="U17" s="7" t="str">
        <f t="shared" si="8"/>
        <v/>
      </c>
      <c r="V17" s="7" t="str">
        <f t="shared" si="9"/>
        <v/>
      </c>
      <c r="W17" s="7" t="str">
        <f t="shared" si="10"/>
        <v/>
      </c>
      <c r="X17" s="7" t="str">
        <f t="shared" si="11"/>
        <v/>
      </c>
      <c r="Y17">
        <f t="shared" si="12"/>
        <v>0</v>
      </c>
      <c r="Z17" t="str">
        <f t="shared" si="13"/>
        <v/>
      </c>
      <c r="AA17" t="str">
        <f t="shared" si="14"/>
        <v/>
      </c>
      <c r="AB17" t="str">
        <f t="shared" si="15"/>
        <v/>
      </c>
      <c r="AC17" t="str">
        <f t="shared" si="16"/>
        <v/>
      </c>
      <c r="AD17">
        <f t="shared" si="17"/>
        <v>0</v>
      </c>
    </row>
    <row r="18" spans="1:30" ht="15" customHeight="1" x14ac:dyDescent="0.35">
      <c r="A18" s="2"/>
      <c r="B18" s="3"/>
      <c r="C18" s="4"/>
      <c r="D18" s="5"/>
      <c r="E18" s="11" t="str">
        <f t="shared" ca="1" si="0"/>
        <v/>
      </c>
      <c r="F18" s="5"/>
      <c r="G18" s="6" t="str">
        <f>IF(AND($A18&lt;&gt;"",$B18&lt;&gt;"",$C18&lt;&gt;"",$D18&lt;&gt;""),IF(OR($B18="SER",$B18="PLH",$B18="CSF"),"Control CDI Plate "&amp;(INT(((COUNTIFS($B$2:$B18,"SER")+COUNTIFS($B$2:$B18,"PLH")+COUNTIFS($B$2:$B18,"CSF"))-1)/96)+1)&amp;": "&amp;CHAR(65+INT(MOD((COUNTIFS($B$2:$B18,"SER")+COUNTIFS($B$2:$B18,"PLH")+COUNTIFS($B$2:$B18,"CSF"))-1,96)/12))&amp;(MOD((COUNTIFS($B$2:$B18,"SER")+COUNTIFS($B$2:$B18,"PLH")+COUNTIFS($B$2:$B18,"CSF"))-1,12)+1),"N/A"),"")</f>
        <v/>
      </c>
      <c r="H18" s="6" t="str">
        <f>IF(AND($A18&lt;&gt;"",$B18&lt;&gt;"",$C18&lt;&gt;"",$D18&lt;&gt;""),IF(OR($B18="SER",$B18="PLH",$B18="CSF"),"Control NIH Plate "&amp;(INT(((COUNTIFS($B$2:$B18,"SER")+COUNTIFS($B$2:$B18,"PLH")+COUNTIFS($B$2:$B18,"CSF"))-1)/96)+1)&amp;": "&amp;CHAR(65+INT(MOD((COUNTIFS($B$2:$B18,"SER")+COUNTIFS($B$2:$B18,"PLH")+COUNTIFS($B$2:$B18,"CSF"))-1,96)/12))&amp;(MOD((COUNTIFS($B$2:$B18,"SER")+COUNTIFS($B$2:$B18,"PLH")+COUNTIFS($B$2:$B18,"CSF"))-1,12)+1),"N/A"),"")</f>
        <v/>
      </c>
      <c r="I18" s="6" t="str">
        <f>IF(AND($A18&lt;&gt;"",$B18&lt;&gt;"",$C18&lt;&gt;"",$D18&lt;&gt;""),IF(OR($B18="SER",$B18="PLH"),"Control MAX Planck Plate "&amp;(INT(((COUNTIFS($B$2:$B18,"SER")+COUNTIFS($B$2:$B18,"PLH"))-1)/96)+1)&amp;": "&amp;CHAR(65+INT(MOD((COUNTIFS($B$2:$B18,"SER")+COUNTIFS($B$2:$B18,"PLH"))-1,96)/12))&amp;(MOD((COUNTIFS($B$2:$B18,"SER")+COUNTIFS($B$2:$B18,"PLH"))-1,12)+1),"N/A"),"")</f>
        <v/>
      </c>
      <c r="J18" s="6" t="str">
        <f>IF(AND($A18&lt;&gt;"",$B18&lt;&gt;"",$C18&lt;&gt;"",$D18&lt;&gt;""),IF($B18="WB","Control WB Box "&amp;(INT((COUNTIFS($B$2:$B18,"WB")-1)/81)+1)&amp;": "&amp;CHAR(65+INT(MOD(COUNTIFS($B$2:$B18,"WB")-1,81)/9))&amp;(MOD(COUNTIFS($B$2:$B18,"WB")-1,9)+1),"N/A"),"")</f>
        <v/>
      </c>
      <c r="K18" s="3" t="str">
        <f t="shared" si="1"/>
        <v/>
      </c>
      <c r="L18" s="2"/>
      <c r="M18" s="2"/>
      <c r="N18" s="2"/>
      <c r="O18" s="7" t="str">
        <f t="shared" si="2"/>
        <v/>
      </c>
      <c r="P18" s="7" t="str">
        <f t="shared" si="3"/>
        <v/>
      </c>
      <c r="Q18" s="7" t="str">
        <f t="shared" si="4"/>
        <v/>
      </c>
      <c r="R18" s="7" t="str">
        <f t="shared" si="5"/>
        <v/>
      </c>
      <c r="S18" s="7" t="str">
        <f t="shared" si="6"/>
        <v/>
      </c>
      <c r="T18" s="7" t="str">
        <f t="shared" si="7"/>
        <v/>
      </c>
      <c r="U18" s="7" t="str">
        <f t="shared" si="8"/>
        <v/>
      </c>
      <c r="V18" s="7" t="str">
        <f t="shared" si="9"/>
        <v/>
      </c>
      <c r="W18" s="7" t="str">
        <f t="shared" si="10"/>
        <v/>
      </c>
      <c r="X18" s="7" t="str">
        <f t="shared" si="11"/>
        <v/>
      </c>
      <c r="Y18">
        <f t="shared" si="12"/>
        <v>0</v>
      </c>
      <c r="Z18" t="str">
        <f t="shared" si="13"/>
        <v/>
      </c>
      <c r="AA18" t="str">
        <f t="shared" si="14"/>
        <v/>
      </c>
      <c r="AB18" t="str">
        <f t="shared" si="15"/>
        <v/>
      </c>
      <c r="AC18" t="str">
        <f t="shared" si="16"/>
        <v/>
      </c>
      <c r="AD18">
        <f t="shared" si="17"/>
        <v>0</v>
      </c>
    </row>
    <row r="19" spans="1:30" ht="15" customHeight="1" x14ac:dyDescent="0.35">
      <c r="A19" s="2"/>
      <c r="B19" s="3"/>
      <c r="C19" s="4"/>
      <c r="D19" s="5"/>
      <c r="E19" s="11" t="str">
        <f t="shared" ca="1" si="0"/>
        <v/>
      </c>
      <c r="F19" s="5"/>
      <c r="G19" s="6" t="str">
        <f>IF(AND($A19&lt;&gt;"",$B19&lt;&gt;"",$C19&lt;&gt;"",$D19&lt;&gt;""),IF(OR($B19="SER",$B19="PLH",$B19="CSF"),"Control CDI Plate "&amp;(INT(((COUNTIFS($B$2:$B19,"SER")+COUNTIFS($B$2:$B19,"PLH")+COUNTIFS($B$2:$B19,"CSF"))-1)/96)+1)&amp;": "&amp;CHAR(65+INT(MOD((COUNTIFS($B$2:$B19,"SER")+COUNTIFS($B$2:$B19,"PLH")+COUNTIFS($B$2:$B19,"CSF"))-1,96)/12))&amp;(MOD((COUNTIFS($B$2:$B19,"SER")+COUNTIFS($B$2:$B19,"PLH")+COUNTIFS($B$2:$B19,"CSF"))-1,12)+1),"N/A"),"")</f>
        <v/>
      </c>
      <c r="H19" s="6" t="str">
        <f>IF(AND($A19&lt;&gt;"",$B19&lt;&gt;"",$C19&lt;&gt;"",$D19&lt;&gt;""),IF(OR($B19="SER",$B19="PLH",$B19="CSF"),"Control NIH Plate "&amp;(INT(((COUNTIFS($B$2:$B19,"SER")+COUNTIFS($B$2:$B19,"PLH")+COUNTIFS($B$2:$B19,"CSF"))-1)/96)+1)&amp;": "&amp;CHAR(65+INT(MOD((COUNTIFS($B$2:$B19,"SER")+COUNTIFS($B$2:$B19,"PLH")+COUNTIFS($B$2:$B19,"CSF"))-1,96)/12))&amp;(MOD((COUNTIFS($B$2:$B19,"SER")+COUNTIFS($B$2:$B19,"PLH")+COUNTIFS($B$2:$B19,"CSF"))-1,12)+1),"N/A"),"")</f>
        <v/>
      </c>
      <c r="I19" s="6" t="str">
        <f>IF(AND($A19&lt;&gt;"",$B19&lt;&gt;"",$C19&lt;&gt;"",$D19&lt;&gt;""),IF(OR($B19="SER",$B19="PLH"),"Control MAX Planck Plate "&amp;(INT(((COUNTIFS($B$2:$B19,"SER")+COUNTIFS($B$2:$B19,"PLH"))-1)/96)+1)&amp;": "&amp;CHAR(65+INT(MOD((COUNTIFS($B$2:$B19,"SER")+COUNTIFS($B$2:$B19,"PLH"))-1,96)/12))&amp;(MOD((COUNTIFS($B$2:$B19,"SER")+COUNTIFS($B$2:$B19,"PLH"))-1,12)+1),"N/A"),"")</f>
        <v/>
      </c>
      <c r="J19" s="6" t="str">
        <f>IF(AND($A19&lt;&gt;"",$B19&lt;&gt;"",$C19&lt;&gt;"",$D19&lt;&gt;""),IF($B19="WB","Control WB Box "&amp;(INT((COUNTIFS($B$2:$B19,"WB")-1)/81)+1)&amp;": "&amp;CHAR(65+INT(MOD(COUNTIFS($B$2:$B19,"WB")-1,81)/9))&amp;(MOD(COUNTIFS($B$2:$B19,"WB")-1,9)+1),"N/A"),"")</f>
        <v/>
      </c>
      <c r="K19" s="3" t="str">
        <f t="shared" si="1"/>
        <v/>
      </c>
      <c r="L19" s="2"/>
      <c r="M19" s="2"/>
      <c r="N19" s="2"/>
      <c r="O19" s="7" t="str">
        <f t="shared" si="2"/>
        <v/>
      </c>
      <c r="P19" s="7" t="str">
        <f t="shared" si="3"/>
        <v/>
      </c>
      <c r="Q19" s="7" t="str">
        <f t="shared" si="4"/>
        <v/>
      </c>
      <c r="R19" s="7" t="str">
        <f t="shared" si="5"/>
        <v/>
      </c>
      <c r="S19" s="7" t="str">
        <f t="shared" si="6"/>
        <v/>
      </c>
      <c r="T19" s="7" t="str">
        <f t="shared" si="7"/>
        <v/>
      </c>
      <c r="U19" s="7" t="str">
        <f t="shared" si="8"/>
        <v/>
      </c>
      <c r="V19" s="7" t="str">
        <f t="shared" si="9"/>
        <v/>
      </c>
      <c r="W19" s="7" t="str">
        <f t="shared" si="10"/>
        <v/>
      </c>
      <c r="X19" s="7" t="str">
        <f t="shared" si="11"/>
        <v/>
      </c>
      <c r="Y19">
        <f t="shared" si="12"/>
        <v>0</v>
      </c>
      <c r="Z19" t="str">
        <f t="shared" si="13"/>
        <v/>
      </c>
      <c r="AA19" t="str">
        <f t="shared" si="14"/>
        <v/>
      </c>
      <c r="AB19" t="str">
        <f t="shared" si="15"/>
        <v/>
      </c>
      <c r="AC19" t="str">
        <f t="shared" si="16"/>
        <v/>
      </c>
      <c r="AD19">
        <f t="shared" si="17"/>
        <v>0</v>
      </c>
    </row>
    <row r="20" spans="1:30" ht="15" customHeight="1" x14ac:dyDescent="0.35">
      <c r="A20" s="2"/>
      <c r="B20" s="3"/>
      <c r="C20" s="4"/>
      <c r="D20" s="5"/>
      <c r="E20" s="11" t="str">
        <f t="shared" ca="1" si="0"/>
        <v/>
      </c>
      <c r="F20" s="5"/>
      <c r="G20" s="6" t="str">
        <f>IF(AND($A20&lt;&gt;"",$B20&lt;&gt;"",$C20&lt;&gt;"",$D20&lt;&gt;""),IF(OR($B20="SER",$B20="PLH",$B20="CSF"),"Control CDI Plate "&amp;(INT(((COUNTIFS($B$2:$B20,"SER")+COUNTIFS($B$2:$B20,"PLH")+COUNTIFS($B$2:$B20,"CSF"))-1)/96)+1)&amp;": "&amp;CHAR(65+INT(MOD((COUNTIFS($B$2:$B20,"SER")+COUNTIFS($B$2:$B20,"PLH")+COUNTIFS($B$2:$B20,"CSF"))-1,96)/12))&amp;(MOD((COUNTIFS($B$2:$B20,"SER")+COUNTIFS($B$2:$B20,"PLH")+COUNTIFS($B$2:$B20,"CSF"))-1,12)+1),"N/A"),"")</f>
        <v/>
      </c>
      <c r="H20" s="6" t="str">
        <f>IF(AND($A20&lt;&gt;"",$B20&lt;&gt;"",$C20&lt;&gt;"",$D20&lt;&gt;""),IF(OR($B20="SER",$B20="PLH",$B20="CSF"),"Control NIH Plate "&amp;(INT(((COUNTIFS($B$2:$B20,"SER")+COUNTIFS($B$2:$B20,"PLH")+COUNTIFS($B$2:$B20,"CSF"))-1)/96)+1)&amp;": "&amp;CHAR(65+INT(MOD((COUNTIFS($B$2:$B20,"SER")+COUNTIFS($B$2:$B20,"PLH")+COUNTIFS($B$2:$B20,"CSF"))-1,96)/12))&amp;(MOD((COUNTIFS($B$2:$B20,"SER")+COUNTIFS($B$2:$B20,"PLH")+COUNTIFS($B$2:$B20,"CSF"))-1,12)+1),"N/A"),"")</f>
        <v/>
      </c>
      <c r="I20" s="6" t="str">
        <f>IF(AND($A20&lt;&gt;"",$B20&lt;&gt;"",$C20&lt;&gt;"",$D20&lt;&gt;""),IF(OR($B20="SER",$B20="PLH"),"Control MAX Planck Plate "&amp;(INT(((COUNTIFS($B$2:$B20,"SER")+COUNTIFS($B$2:$B20,"PLH"))-1)/96)+1)&amp;": "&amp;CHAR(65+INT(MOD((COUNTIFS($B$2:$B20,"SER")+COUNTIFS($B$2:$B20,"PLH"))-1,96)/12))&amp;(MOD((COUNTIFS($B$2:$B20,"SER")+COUNTIFS($B$2:$B20,"PLH"))-1,12)+1),"N/A"),"")</f>
        <v/>
      </c>
      <c r="J20" s="6" t="str">
        <f>IF(AND($A20&lt;&gt;"",$B20&lt;&gt;"",$C20&lt;&gt;"",$D20&lt;&gt;""),IF($B20="WB","Control WB Box "&amp;(INT((COUNTIFS($B$2:$B20,"WB")-1)/81)+1)&amp;": "&amp;CHAR(65+INT(MOD(COUNTIFS($B$2:$B20,"WB")-1,81)/9))&amp;(MOD(COUNTIFS($B$2:$B20,"WB")-1,9)+1),"N/A"),"")</f>
        <v/>
      </c>
      <c r="K20" s="3" t="str">
        <f t="shared" si="1"/>
        <v/>
      </c>
      <c r="L20" s="2"/>
      <c r="M20" s="2"/>
      <c r="N20" s="2"/>
      <c r="O20" s="7" t="str">
        <f t="shared" si="2"/>
        <v/>
      </c>
      <c r="P20" s="7" t="str">
        <f t="shared" si="3"/>
        <v/>
      </c>
      <c r="Q20" s="7" t="str">
        <f t="shared" si="4"/>
        <v/>
      </c>
      <c r="R20" s="7" t="str">
        <f t="shared" si="5"/>
        <v/>
      </c>
      <c r="S20" s="7" t="str">
        <f t="shared" si="6"/>
        <v/>
      </c>
      <c r="T20" s="7" t="str">
        <f t="shared" si="7"/>
        <v/>
      </c>
      <c r="U20" s="7" t="str">
        <f t="shared" si="8"/>
        <v/>
      </c>
      <c r="V20" s="7" t="str">
        <f t="shared" si="9"/>
        <v/>
      </c>
      <c r="W20" s="7" t="str">
        <f t="shared" si="10"/>
        <v/>
      </c>
      <c r="X20" s="7" t="str">
        <f t="shared" si="11"/>
        <v/>
      </c>
      <c r="Y20">
        <f t="shared" si="12"/>
        <v>0</v>
      </c>
      <c r="Z20" t="str">
        <f t="shared" si="13"/>
        <v/>
      </c>
      <c r="AA20" t="str">
        <f t="shared" si="14"/>
        <v/>
      </c>
      <c r="AB20" t="str">
        <f t="shared" si="15"/>
        <v/>
      </c>
      <c r="AC20" t="str">
        <f t="shared" si="16"/>
        <v/>
      </c>
      <c r="AD20">
        <f t="shared" si="17"/>
        <v>0</v>
      </c>
    </row>
    <row r="21" spans="1:30" ht="15" customHeight="1" x14ac:dyDescent="0.35">
      <c r="A21" s="2"/>
      <c r="B21" s="3"/>
      <c r="C21" s="4"/>
      <c r="D21" s="5"/>
      <c r="E21" s="11" t="str">
        <f t="shared" ca="1" si="0"/>
        <v/>
      </c>
      <c r="F21" s="5"/>
      <c r="G21" s="6" t="str">
        <f>IF(AND($A21&lt;&gt;"",$B21&lt;&gt;"",$C21&lt;&gt;"",$D21&lt;&gt;""),IF(OR($B21="SER",$B21="PLH",$B21="CSF"),"Control CDI Plate "&amp;(INT(((COUNTIFS($B$2:$B21,"SER")+COUNTIFS($B$2:$B21,"PLH")+COUNTIFS($B$2:$B21,"CSF"))-1)/96)+1)&amp;": "&amp;CHAR(65+INT(MOD((COUNTIFS($B$2:$B21,"SER")+COUNTIFS($B$2:$B21,"PLH")+COUNTIFS($B$2:$B21,"CSF"))-1,96)/12))&amp;(MOD((COUNTIFS($B$2:$B21,"SER")+COUNTIFS($B$2:$B21,"PLH")+COUNTIFS($B$2:$B21,"CSF"))-1,12)+1),"N/A"),"")</f>
        <v/>
      </c>
      <c r="H21" s="6" t="str">
        <f>IF(AND($A21&lt;&gt;"",$B21&lt;&gt;"",$C21&lt;&gt;"",$D21&lt;&gt;""),IF(OR($B21="SER",$B21="PLH",$B21="CSF"),"Control NIH Plate "&amp;(INT(((COUNTIFS($B$2:$B21,"SER")+COUNTIFS($B$2:$B21,"PLH")+COUNTIFS($B$2:$B21,"CSF"))-1)/96)+1)&amp;": "&amp;CHAR(65+INT(MOD((COUNTIFS($B$2:$B21,"SER")+COUNTIFS($B$2:$B21,"PLH")+COUNTIFS($B$2:$B21,"CSF"))-1,96)/12))&amp;(MOD((COUNTIFS($B$2:$B21,"SER")+COUNTIFS($B$2:$B21,"PLH")+COUNTIFS($B$2:$B21,"CSF"))-1,12)+1),"N/A"),"")</f>
        <v/>
      </c>
      <c r="I21" s="6" t="str">
        <f>IF(AND($A21&lt;&gt;"",$B21&lt;&gt;"",$C21&lt;&gt;"",$D21&lt;&gt;""),IF(OR($B21="SER",$B21="PLH"),"Control MAX Planck Plate "&amp;(INT(((COUNTIFS($B$2:$B21,"SER")+COUNTIFS($B$2:$B21,"PLH"))-1)/96)+1)&amp;": "&amp;CHAR(65+INT(MOD((COUNTIFS($B$2:$B21,"SER")+COUNTIFS($B$2:$B21,"PLH"))-1,96)/12))&amp;(MOD((COUNTIFS($B$2:$B21,"SER")+COUNTIFS($B$2:$B21,"PLH"))-1,12)+1),"N/A"),"")</f>
        <v/>
      </c>
      <c r="J21" s="6" t="str">
        <f>IF(AND($A21&lt;&gt;"",$B21&lt;&gt;"",$C21&lt;&gt;"",$D21&lt;&gt;""),IF($B21="WB","Control WB Box "&amp;(INT((COUNTIFS($B$2:$B21,"WB")-1)/81)+1)&amp;": "&amp;CHAR(65+INT(MOD(COUNTIFS($B$2:$B21,"WB")-1,81)/9))&amp;(MOD(COUNTIFS($B$2:$B21,"WB")-1,9)+1),"N/A"),"")</f>
        <v/>
      </c>
      <c r="K21" s="3" t="str">
        <f t="shared" si="1"/>
        <v/>
      </c>
      <c r="L21" s="2"/>
      <c r="M21" s="2"/>
      <c r="N21" s="2"/>
      <c r="O21" s="7" t="str">
        <f t="shared" si="2"/>
        <v/>
      </c>
      <c r="P21" s="7" t="str">
        <f t="shared" si="3"/>
        <v/>
      </c>
      <c r="Q21" s="7" t="str">
        <f t="shared" si="4"/>
        <v/>
      </c>
      <c r="R21" s="7" t="str">
        <f t="shared" si="5"/>
        <v/>
      </c>
      <c r="S21" s="7" t="str">
        <f t="shared" si="6"/>
        <v/>
      </c>
      <c r="T21" s="7" t="str">
        <f t="shared" si="7"/>
        <v/>
      </c>
      <c r="U21" s="7" t="str">
        <f t="shared" si="8"/>
        <v/>
      </c>
      <c r="V21" s="7" t="str">
        <f t="shared" si="9"/>
        <v/>
      </c>
      <c r="W21" s="7" t="str">
        <f t="shared" si="10"/>
        <v/>
      </c>
      <c r="X21" s="7" t="str">
        <f t="shared" si="11"/>
        <v/>
      </c>
      <c r="Y21">
        <f t="shared" si="12"/>
        <v>0</v>
      </c>
      <c r="Z21" t="str">
        <f t="shared" si="13"/>
        <v/>
      </c>
      <c r="AA21" t="str">
        <f t="shared" si="14"/>
        <v/>
      </c>
      <c r="AB21" t="str">
        <f t="shared" si="15"/>
        <v/>
      </c>
      <c r="AC21" t="str">
        <f t="shared" si="16"/>
        <v/>
      </c>
      <c r="AD21">
        <f t="shared" si="17"/>
        <v>0</v>
      </c>
    </row>
    <row r="22" spans="1:30" ht="15" customHeight="1" x14ac:dyDescent="0.35">
      <c r="A22" s="2"/>
      <c r="B22" s="3"/>
      <c r="C22" s="4"/>
      <c r="D22" s="5"/>
      <c r="E22" s="11" t="str">
        <f t="shared" ca="1" si="0"/>
        <v/>
      </c>
      <c r="F22" s="5"/>
      <c r="G22" s="6" t="str">
        <f>IF(AND($A22&lt;&gt;"",$B22&lt;&gt;"",$C22&lt;&gt;"",$D22&lt;&gt;""),IF(OR($B22="SER",$B22="PLH",$B22="CSF"),"Control CDI Plate "&amp;(INT(((COUNTIFS($B$2:$B22,"SER")+COUNTIFS($B$2:$B22,"PLH")+COUNTIFS($B$2:$B22,"CSF"))-1)/96)+1)&amp;": "&amp;CHAR(65+INT(MOD((COUNTIFS($B$2:$B22,"SER")+COUNTIFS($B$2:$B22,"PLH")+COUNTIFS($B$2:$B22,"CSF"))-1,96)/12))&amp;(MOD((COUNTIFS($B$2:$B22,"SER")+COUNTIFS($B$2:$B22,"PLH")+COUNTIFS($B$2:$B22,"CSF"))-1,12)+1),"N/A"),"")</f>
        <v/>
      </c>
      <c r="H22" s="6" t="str">
        <f>IF(AND($A22&lt;&gt;"",$B22&lt;&gt;"",$C22&lt;&gt;"",$D22&lt;&gt;""),IF(OR($B22="SER",$B22="PLH",$B22="CSF"),"Control NIH Plate "&amp;(INT(((COUNTIFS($B$2:$B22,"SER")+COUNTIFS($B$2:$B22,"PLH")+COUNTIFS($B$2:$B22,"CSF"))-1)/96)+1)&amp;": "&amp;CHAR(65+INT(MOD((COUNTIFS($B$2:$B22,"SER")+COUNTIFS($B$2:$B22,"PLH")+COUNTIFS($B$2:$B22,"CSF"))-1,96)/12))&amp;(MOD((COUNTIFS($B$2:$B22,"SER")+COUNTIFS($B$2:$B22,"PLH")+COUNTIFS($B$2:$B22,"CSF"))-1,12)+1),"N/A"),"")</f>
        <v/>
      </c>
      <c r="I22" s="6" t="str">
        <f>IF(AND($A22&lt;&gt;"",$B22&lt;&gt;"",$C22&lt;&gt;"",$D22&lt;&gt;""),IF(OR($B22="SER",$B22="PLH"),"Control MAX Planck Plate "&amp;(INT(((COUNTIFS($B$2:$B22,"SER")+COUNTIFS($B$2:$B22,"PLH"))-1)/96)+1)&amp;": "&amp;CHAR(65+INT(MOD((COUNTIFS($B$2:$B22,"SER")+COUNTIFS($B$2:$B22,"PLH"))-1,96)/12))&amp;(MOD((COUNTIFS($B$2:$B22,"SER")+COUNTIFS($B$2:$B22,"PLH"))-1,12)+1),"N/A"),"")</f>
        <v/>
      </c>
      <c r="J22" s="6" t="str">
        <f>IF(AND($A22&lt;&gt;"",$B22&lt;&gt;"",$C22&lt;&gt;"",$D22&lt;&gt;""),IF($B22="WB","Control WB Box "&amp;(INT((COUNTIFS($B$2:$B22,"WB")-1)/81)+1)&amp;": "&amp;CHAR(65+INT(MOD(COUNTIFS($B$2:$B22,"WB")-1,81)/9))&amp;(MOD(COUNTIFS($B$2:$B22,"WB")-1,9)+1),"N/A"),"")</f>
        <v/>
      </c>
      <c r="K22" s="3" t="str">
        <f t="shared" si="1"/>
        <v/>
      </c>
      <c r="L22" s="2"/>
      <c r="M22" s="2"/>
      <c r="N22" s="2"/>
      <c r="O22" s="7" t="str">
        <f t="shared" si="2"/>
        <v/>
      </c>
      <c r="P22" s="7" t="str">
        <f t="shared" si="3"/>
        <v/>
      </c>
      <c r="Q22" s="7" t="str">
        <f t="shared" si="4"/>
        <v/>
      </c>
      <c r="R22" s="7" t="str">
        <f t="shared" si="5"/>
        <v/>
      </c>
      <c r="S22" s="7" t="str">
        <f t="shared" si="6"/>
        <v/>
      </c>
      <c r="T22" s="7" t="str">
        <f t="shared" si="7"/>
        <v/>
      </c>
      <c r="U22" s="7" t="str">
        <f t="shared" si="8"/>
        <v/>
      </c>
      <c r="V22" s="7" t="str">
        <f t="shared" si="9"/>
        <v/>
      </c>
      <c r="W22" s="7" t="str">
        <f t="shared" si="10"/>
        <v/>
      </c>
      <c r="X22" s="7" t="str">
        <f t="shared" si="11"/>
        <v/>
      </c>
      <c r="Y22">
        <f t="shared" si="12"/>
        <v>0</v>
      </c>
      <c r="Z22" t="str">
        <f t="shared" si="13"/>
        <v/>
      </c>
      <c r="AA22" t="str">
        <f t="shared" si="14"/>
        <v/>
      </c>
      <c r="AB22" t="str">
        <f t="shared" si="15"/>
        <v/>
      </c>
      <c r="AC22" t="str">
        <f t="shared" si="16"/>
        <v/>
      </c>
      <c r="AD22">
        <f t="shared" si="17"/>
        <v>0</v>
      </c>
    </row>
    <row r="23" spans="1:30" ht="15" customHeight="1" x14ac:dyDescent="0.35">
      <c r="A23" s="2"/>
      <c r="B23" s="3"/>
      <c r="C23" s="4"/>
      <c r="D23" s="5"/>
      <c r="E23" s="11" t="str">
        <f t="shared" ca="1" si="0"/>
        <v/>
      </c>
      <c r="F23" s="5"/>
      <c r="G23" s="6" t="str">
        <f>IF(AND($A23&lt;&gt;"",$B23&lt;&gt;"",$C23&lt;&gt;"",$D23&lt;&gt;""),IF(OR($B23="SER",$B23="PLH",$B23="CSF"),"Control CDI Plate "&amp;(INT(((COUNTIFS($B$2:$B23,"SER")+COUNTIFS($B$2:$B23,"PLH")+COUNTIFS($B$2:$B23,"CSF"))-1)/96)+1)&amp;": "&amp;CHAR(65+INT(MOD((COUNTIFS($B$2:$B23,"SER")+COUNTIFS($B$2:$B23,"PLH")+COUNTIFS($B$2:$B23,"CSF"))-1,96)/12))&amp;(MOD((COUNTIFS($B$2:$B23,"SER")+COUNTIFS($B$2:$B23,"PLH")+COUNTIFS($B$2:$B23,"CSF"))-1,12)+1),"N/A"),"")</f>
        <v/>
      </c>
      <c r="H23" s="6" t="str">
        <f>IF(AND($A23&lt;&gt;"",$B23&lt;&gt;"",$C23&lt;&gt;"",$D23&lt;&gt;""),IF(OR($B23="SER",$B23="PLH",$B23="CSF"),"Control NIH Plate "&amp;(INT(((COUNTIFS($B$2:$B23,"SER")+COUNTIFS($B$2:$B23,"PLH")+COUNTIFS($B$2:$B23,"CSF"))-1)/96)+1)&amp;": "&amp;CHAR(65+INT(MOD((COUNTIFS($B$2:$B23,"SER")+COUNTIFS($B$2:$B23,"PLH")+COUNTIFS($B$2:$B23,"CSF"))-1,96)/12))&amp;(MOD((COUNTIFS($B$2:$B23,"SER")+COUNTIFS($B$2:$B23,"PLH")+COUNTIFS($B$2:$B23,"CSF"))-1,12)+1),"N/A"),"")</f>
        <v/>
      </c>
      <c r="I23" s="6" t="str">
        <f>IF(AND($A23&lt;&gt;"",$B23&lt;&gt;"",$C23&lt;&gt;"",$D23&lt;&gt;""),IF(OR($B23="SER",$B23="PLH"),"Control MAX Planck Plate "&amp;(INT(((COUNTIFS($B$2:$B23,"SER")+COUNTIFS($B$2:$B23,"PLH"))-1)/96)+1)&amp;": "&amp;CHAR(65+INT(MOD((COUNTIFS($B$2:$B23,"SER")+COUNTIFS($B$2:$B23,"PLH"))-1,96)/12))&amp;(MOD((COUNTIFS($B$2:$B23,"SER")+COUNTIFS($B$2:$B23,"PLH"))-1,12)+1),"N/A"),"")</f>
        <v/>
      </c>
      <c r="J23" s="6" t="str">
        <f>IF(AND($A23&lt;&gt;"",$B23&lt;&gt;"",$C23&lt;&gt;"",$D23&lt;&gt;""),IF($B23="WB","Control WB Box "&amp;(INT((COUNTIFS($B$2:$B23,"WB")-1)/81)+1)&amp;": "&amp;CHAR(65+INT(MOD(COUNTIFS($B$2:$B23,"WB")-1,81)/9))&amp;(MOD(COUNTIFS($B$2:$B23,"WB")-1,9)+1),"N/A"),"")</f>
        <v/>
      </c>
      <c r="K23" s="3" t="str">
        <f t="shared" si="1"/>
        <v/>
      </c>
      <c r="L23" s="2"/>
      <c r="M23" s="2"/>
      <c r="N23" s="2"/>
      <c r="O23" s="7" t="str">
        <f t="shared" si="2"/>
        <v/>
      </c>
      <c r="P23" s="7" t="str">
        <f t="shared" si="3"/>
        <v/>
      </c>
      <c r="Q23" s="7" t="str">
        <f t="shared" si="4"/>
        <v/>
      </c>
      <c r="R23" s="7" t="str">
        <f t="shared" si="5"/>
        <v/>
      </c>
      <c r="S23" s="7" t="str">
        <f t="shared" si="6"/>
        <v/>
      </c>
      <c r="T23" s="7" t="str">
        <f t="shared" si="7"/>
        <v/>
      </c>
      <c r="U23" s="7" t="str">
        <f t="shared" si="8"/>
        <v/>
      </c>
      <c r="V23" s="7" t="str">
        <f t="shared" si="9"/>
        <v/>
      </c>
      <c r="W23" s="7" t="str">
        <f t="shared" si="10"/>
        <v/>
      </c>
      <c r="X23" s="7" t="str">
        <f t="shared" si="11"/>
        <v/>
      </c>
      <c r="Y23">
        <f t="shared" si="12"/>
        <v>0</v>
      </c>
      <c r="Z23" t="str">
        <f t="shared" si="13"/>
        <v/>
      </c>
      <c r="AA23" t="str">
        <f t="shared" si="14"/>
        <v/>
      </c>
      <c r="AB23" t="str">
        <f t="shared" si="15"/>
        <v/>
      </c>
      <c r="AC23" t="str">
        <f t="shared" si="16"/>
        <v/>
      </c>
      <c r="AD23">
        <f t="shared" si="17"/>
        <v>0</v>
      </c>
    </row>
    <row r="24" spans="1:30" ht="15" customHeight="1" x14ac:dyDescent="0.35">
      <c r="A24" s="2"/>
      <c r="B24" s="3"/>
      <c r="C24" s="4"/>
      <c r="D24" s="5"/>
      <c r="E24" s="11" t="str">
        <f t="shared" ca="1" si="0"/>
        <v/>
      </c>
      <c r="F24" s="5"/>
      <c r="G24" s="6" t="str">
        <f>IF(AND($A24&lt;&gt;"",$B24&lt;&gt;"",$C24&lt;&gt;"",$D24&lt;&gt;""),IF(OR($B24="SER",$B24="PLH",$B24="CSF"),"Control CDI Plate "&amp;(INT(((COUNTIFS($B$2:$B24,"SER")+COUNTIFS($B$2:$B24,"PLH")+COUNTIFS($B$2:$B24,"CSF"))-1)/96)+1)&amp;": "&amp;CHAR(65+INT(MOD((COUNTIFS($B$2:$B24,"SER")+COUNTIFS($B$2:$B24,"PLH")+COUNTIFS($B$2:$B24,"CSF"))-1,96)/12))&amp;(MOD((COUNTIFS($B$2:$B24,"SER")+COUNTIFS($B$2:$B24,"PLH")+COUNTIFS($B$2:$B24,"CSF"))-1,12)+1),"N/A"),"")</f>
        <v/>
      </c>
      <c r="H24" s="6" t="str">
        <f>IF(AND($A24&lt;&gt;"",$B24&lt;&gt;"",$C24&lt;&gt;"",$D24&lt;&gt;""),IF(OR($B24="SER",$B24="PLH",$B24="CSF"),"Control NIH Plate "&amp;(INT(((COUNTIFS($B$2:$B24,"SER")+COUNTIFS($B$2:$B24,"PLH")+COUNTIFS($B$2:$B24,"CSF"))-1)/96)+1)&amp;": "&amp;CHAR(65+INT(MOD((COUNTIFS($B$2:$B24,"SER")+COUNTIFS($B$2:$B24,"PLH")+COUNTIFS($B$2:$B24,"CSF"))-1,96)/12))&amp;(MOD((COUNTIFS($B$2:$B24,"SER")+COUNTIFS($B$2:$B24,"PLH")+COUNTIFS($B$2:$B24,"CSF"))-1,12)+1),"N/A"),"")</f>
        <v/>
      </c>
      <c r="I24" s="6" t="str">
        <f>IF(AND($A24&lt;&gt;"",$B24&lt;&gt;"",$C24&lt;&gt;"",$D24&lt;&gt;""),IF(OR($B24="SER",$B24="PLH"),"Control MAX Planck Plate "&amp;(INT(((COUNTIFS($B$2:$B24,"SER")+COUNTIFS($B$2:$B24,"PLH"))-1)/96)+1)&amp;": "&amp;CHAR(65+INT(MOD((COUNTIFS($B$2:$B24,"SER")+COUNTIFS($B$2:$B24,"PLH"))-1,96)/12))&amp;(MOD((COUNTIFS($B$2:$B24,"SER")+COUNTIFS($B$2:$B24,"PLH"))-1,12)+1),"N/A"),"")</f>
        <v/>
      </c>
      <c r="J24" s="6" t="str">
        <f>IF(AND($A24&lt;&gt;"",$B24&lt;&gt;"",$C24&lt;&gt;"",$D24&lt;&gt;""),IF($B24="WB","Control WB Box "&amp;(INT((COUNTIFS($B$2:$B24,"WB")-1)/81)+1)&amp;": "&amp;CHAR(65+INT(MOD(COUNTIFS($B$2:$B24,"WB")-1,81)/9))&amp;(MOD(COUNTIFS($B$2:$B24,"WB")-1,9)+1),"N/A"),"")</f>
        <v/>
      </c>
      <c r="K24" s="3" t="str">
        <f t="shared" si="1"/>
        <v/>
      </c>
      <c r="L24" s="2"/>
      <c r="M24" s="2"/>
      <c r="N24" s="2"/>
      <c r="O24" s="7" t="str">
        <f t="shared" si="2"/>
        <v/>
      </c>
      <c r="P24" s="7" t="str">
        <f t="shared" si="3"/>
        <v/>
      </c>
      <c r="Q24" s="7" t="str">
        <f t="shared" si="4"/>
        <v/>
      </c>
      <c r="R24" s="7" t="str">
        <f t="shared" si="5"/>
        <v/>
      </c>
      <c r="S24" s="7" t="str">
        <f t="shared" si="6"/>
        <v/>
      </c>
      <c r="T24" s="7" t="str">
        <f t="shared" si="7"/>
        <v/>
      </c>
      <c r="U24" s="7" t="str">
        <f t="shared" si="8"/>
        <v/>
      </c>
      <c r="V24" s="7" t="str">
        <f t="shared" si="9"/>
        <v/>
      </c>
      <c r="W24" s="7" t="str">
        <f t="shared" si="10"/>
        <v/>
      </c>
      <c r="X24" s="7" t="str">
        <f t="shared" si="11"/>
        <v/>
      </c>
      <c r="Y24">
        <f t="shared" si="12"/>
        <v>0</v>
      </c>
      <c r="Z24" t="str">
        <f t="shared" si="13"/>
        <v/>
      </c>
      <c r="AA24" t="str">
        <f t="shared" si="14"/>
        <v/>
      </c>
      <c r="AB24" t="str">
        <f t="shared" si="15"/>
        <v/>
      </c>
      <c r="AC24" t="str">
        <f t="shared" si="16"/>
        <v/>
      </c>
      <c r="AD24">
        <f t="shared" si="17"/>
        <v>0</v>
      </c>
    </row>
    <row r="25" spans="1:30" ht="15" customHeight="1" x14ac:dyDescent="0.35">
      <c r="A25" s="2"/>
      <c r="B25" s="3"/>
      <c r="C25" s="4"/>
      <c r="D25" s="5"/>
      <c r="E25" s="11" t="str">
        <f t="shared" ca="1" si="0"/>
        <v/>
      </c>
      <c r="F25" s="5"/>
      <c r="G25" s="6" t="str">
        <f>IF(AND($A25&lt;&gt;"",$B25&lt;&gt;"",$C25&lt;&gt;"",$D25&lt;&gt;""),IF(OR($B25="SER",$B25="PLH",$B25="CSF"),"Control CDI Plate "&amp;(INT(((COUNTIFS($B$2:$B25,"SER")+COUNTIFS($B$2:$B25,"PLH")+COUNTIFS($B$2:$B25,"CSF"))-1)/96)+1)&amp;": "&amp;CHAR(65+INT(MOD((COUNTIFS($B$2:$B25,"SER")+COUNTIFS($B$2:$B25,"PLH")+COUNTIFS($B$2:$B25,"CSF"))-1,96)/12))&amp;(MOD((COUNTIFS($B$2:$B25,"SER")+COUNTIFS($B$2:$B25,"PLH")+COUNTIFS($B$2:$B25,"CSF"))-1,12)+1),"N/A"),"")</f>
        <v/>
      </c>
      <c r="H25" s="6" t="str">
        <f>IF(AND($A25&lt;&gt;"",$B25&lt;&gt;"",$C25&lt;&gt;"",$D25&lt;&gt;""),IF(OR($B25="SER",$B25="PLH",$B25="CSF"),"Control NIH Plate "&amp;(INT(((COUNTIFS($B$2:$B25,"SER")+COUNTIFS($B$2:$B25,"PLH")+COUNTIFS($B$2:$B25,"CSF"))-1)/96)+1)&amp;": "&amp;CHAR(65+INT(MOD((COUNTIFS($B$2:$B25,"SER")+COUNTIFS($B$2:$B25,"PLH")+COUNTIFS($B$2:$B25,"CSF"))-1,96)/12))&amp;(MOD((COUNTIFS($B$2:$B25,"SER")+COUNTIFS($B$2:$B25,"PLH")+COUNTIFS($B$2:$B25,"CSF"))-1,12)+1),"N/A"),"")</f>
        <v/>
      </c>
      <c r="I25" s="6" t="str">
        <f>IF(AND($A25&lt;&gt;"",$B25&lt;&gt;"",$C25&lt;&gt;"",$D25&lt;&gt;""),IF(OR($B25="SER",$B25="PLH"),"Control MAX Planck Plate "&amp;(INT(((COUNTIFS($B$2:$B25,"SER")+COUNTIFS($B$2:$B25,"PLH"))-1)/96)+1)&amp;": "&amp;CHAR(65+INT(MOD((COUNTIFS($B$2:$B25,"SER")+COUNTIFS($B$2:$B25,"PLH"))-1,96)/12))&amp;(MOD((COUNTIFS($B$2:$B25,"SER")+COUNTIFS($B$2:$B25,"PLH"))-1,12)+1),"N/A"),"")</f>
        <v/>
      </c>
      <c r="J25" s="6" t="str">
        <f>IF(AND($A25&lt;&gt;"",$B25&lt;&gt;"",$C25&lt;&gt;"",$D25&lt;&gt;""),IF($B25="WB","Control WB Box "&amp;(INT((COUNTIFS($B$2:$B25,"WB")-1)/81)+1)&amp;": "&amp;CHAR(65+INT(MOD(COUNTIFS($B$2:$B25,"WB")-1,81)/9))&amp;(MOD(COUNTIFS($B$2:$B25,"WB")-1,9)+1),"N/A"),"")</f>
        <v/>
      </c>
      <c r="K25" s="3" t="str">
        <f t="shared" si="1"/>
        <v/>
      </c>
      <c r="L25" s="2"/>
      <c r="M25" s="2"/>
      <c r="N25" s="2"/>
      <c r="O25" s="7" t="str">
        <f t="shared" si="2"/>
        <v/>
      </c>
      <c r="P25" s="7" t="str">
        <f t="shared" si="3"/>
        <v/>
      </c>
      <c r="Q25" s="7" t="str">
        <f t="shared" si="4"/>
        <v/>
      </c>
      <c r="R25" s="7" t="str">
        <f t="shared" si="5"/>
        <v/>
      </c>
      <c r="S25" s="7" t="str">
        <f t="shared" si="6"/>
        <v/>
      </c>
      <c r="T25" s="7" t="str">
        <f t="shared" si="7"/>
        <v/>
      </c>
      <c r="U25" s="7" t="str">
        <f t="shared" si="8"/>
        <v/>
      </c>
      <c r="V25" s="7" t="str">
        <f t="shared" si="9"/>
        <v/>
      </c>
      <c r="W25" s="7" t="str">
        <f t="shared" si="10"/>
        <v/>
      </c>
      <c r="X25" s="7" t="str">
        <f t="shared" si="11"/>
        <v/>
      </c>
      <c r="Y25">
        <f t="shared" si="12"/>
        <v>0</v>
      </c>
      <c r="Z25" t="str">
        <f t="shared" si="13"/>
        <v/>
      </c>
      <c r="AA25" t="str">
        <f t="shared" si="14"/>
        <v/>
      </c>
      <c r="AB25" t="str">
        <f t="shared" si="15"/>
        <v/>
      </c>
      <c r="AC25" t="str">
        <f t="shared" si="16"/>
        <v/>
      </c>
      <c r="AD25">
        <f t="shared" si="17"/>
        <v>0</v>
      </c>
    </row>
    <row r="26" spans="1:30" ht="15" customHeight="1" x14ac:dyDescent="0.35">
      <c r="A26" s="2"/>
      <c r="B26" s="3"/>
      <c r="C26" s="4"/>
      <c r="D26" s="5"/>
      <c r="E26" s="11" t="str">
        <f t="shared" ca="1" si="0"/>
        <v/>
      </c>
      <c r="F26" s="5"/>
      <c r="G26" s="6" t="str">
        <f>IF(AND($A26&lt;&gt;"",$B26&lt;&gt;"",$C26&lt;&gt;"",$D26&lt;&gt;""),IF(OR($B26="SER",$B26="PLH",$B26="CSF"),"Control CDI Plate "&amp;(INT(((COUNTIFS($B$2:$B26,"SER")+COUNTIFS($B$2:$B26,"PLH")+COUNTIFS($B$2:$B26,"CSF"))-1)/96)+1)&amp;": "&amp;CHAR(65+INT(MOD((COUNTIFS($B$2:$B26,"SER")+COUNTIFS($B$2:$B26,"PLH")+COUNTIFS($B$2:$B26,"CSF"))-1,96)/12))&amp;(MOD((COUNTIFS($B$2:$B26,"SER")+COUNTIFS($B$2:$B26,"PLH")+COUNTIFS($B$2:$B26,"CSF"))-1,12)+1),"N/A"),"")</f>
        <v/>
      </c>
      <c r="H26" s="6" t="str">
        <f>IF(AND($A26&lt;&gt;"",$B26&lt;&gt;"",$C26&lt;&gt;"",$D26&lt;&gt;""),IF(OR($B26="SER",$B26="PLH",$B26="CSF"),"Control NIH Plate "&amp;(INT(((COUNTIFS($B$2:$B26,"SER")+COUNTIFS($B$2:$B26,"PLH")+COUNTIFS($B$2:$B26,"CSF"))-1)/96)+1)&amp;": "&amp;CHAR(65+INT(MOD((COUNTIFS($B$2:$B26,"SER")+COUNTIFS($B$2:$B26,"PLH")+COUNTIFS($B$2:$B26,"CSF"))-1,96)/12))&amp;(MOD((COUNTIFS($B$2:$B26,"SER")+COUNTIFS($B$2:$B26,"PLH")+COUNTIFS($B$2:$B26,"CSF"))-1,12)+1),"N/A"),"")</f>
        <v/>
      </c>
      <c r="I26" s="6" t="str">
        <f>IF(AND($A26&lt;&gt;"",$B26&lt;&gt;"",$C26&lt;&gt;"",$D26&lt;&gt;""),IF(OR($B26="SER",$B26="PLH"),"Control MAX Planck Plate "&amp;(INT(((COUNTIFS($B$2:$B26,"SER")+COUNTIFS($B$2:$B26,"PLH"))-1)/96)+1)&amp;": "&amp;CHAR(65+INT(MOD((COUNTIFS($B$2:$B26,"SER")+COUNTIFS($B$2:$B26,"PLH"))-1,96)/12))&amp;(MOD((COUNTIFS($B$2:$B26,"SER")+COUNTIFS($B$2:$B26,"PLH"))-1,12)+1),"N/A"),"")</f>
        <v/>
      </c>
      <c r="J26" s="6" t="str">
        <f>IF(AND($A26&lt;&gt;"",$B26&lt;&gt;"",$C26&lt;&gt;"",$D26&lt;&gt;""),IF($B26="WB","Control WB Box "&amp;(INT((COUNTIFS($B$2:$B26,"WB")-1)/81)+1)&amp;": "&amp;CHAR(65+INT(MOD(COUNTIFS($B$2:$B26,"WB")-1,81)/9))&amp;(MOD(COUNTIFS($B$2:$B26,"WB")-1,9)+1),"N/A"),"")</f>
        <v/>
      </c>
      <c r="K26" s="3" t="str">
        <f t="shared" si="1"/>
        <v/>
      </c>
      <c r="L26" s="2"/>
      <c r="M26" s="2"/>
      <c r="N26" s="2"/>
      <c r="O26" s="7" t="str">
        <f t="shared" si="2"/>
        <v/>
      </c>
      <c r="P26" s="7" t="str">
        <f t="shared" si="3"/>
        <v/>
      </c>
      <c r="Q26" s="7" t="str">
        <f t="shared" si="4"/>
        <v/>
      </c>
      <c r="R26" s="7" t="str">
        <f t="shared" si="5"/>
        <v/>
      </c>
      <c r="S26" s="7" t="str">
        <f t="shared" si="6"/>
        <v/>
      </c>
      <c r="T26" s="7" t="str">
        <f t="shared" si="7"/>
        <v/>
      </c>
      <c r="U26" s="7" t="str">
        <f t="shared" si="8"/>
        <v/>
      </c>
      <c r="V26" s="7" t="str">
        <f t="shared" si="9"/>
        <v/>
      </c>
      <c r="W26" s="7" t="str">
        <f t="shared" si="10"/>
        <v/>
      </c>
      <c r="X26" s="7" t="str">
        <f t="shared" si="11"/>
        <v/>
      </c>
      <c r="Y26">
        <f t="shared" si="12"/>
        <v>0</v>
      </c>
      <c r="Z26" t="str">
        <f t="shared" si="13"/>
        <v/>
      </c>
      <c r="AA26" t="str">
        <f t="shared" si="14"/>
        <v/>
      </c>
      <c r="AB26" t="str">
        <f t="shared" si="15"/>
        <v/>
      </c>
      <c r="AC26" t="str">
        <f t="shared" si="16"/>
        <v/>
      </c>
      <c r="AD26">
        <f t="shared" si="17"/>
        <v>0</v>
      </c>
    </row>
    <row r="27" spans="1:30" ht="15" customHeight="1" x14ac:dyDescent="0.35">
      <c r="A27" s="2"/>
      <c r="B27" s="3"/>
      <c r="C27" s="4"/>
      <c r="D27" s="5"/>
      <c r="E27" s="11" t="str">
        <f t="shared" ca="1" si="0"/>
        <v/>
      </c>
      <c r="F27" s="5"/>
      <c r="G27" s="6" t="str">
        <f>IF(AND($A27&lt;&gt;"",$B27&lt;&gt;"",$C27&lt;&gt;"",$D27&lt;&gt;""),IF(OR($B27="SER",$B27="PLH",$B27="CSF"),"Control CDI Plate "&amp;(INT(((COUNTIFS($B$2:$B27,"SER")+COUNTIFS($B$2:$B27,"PLH")+COUNTIFS($B$2:$B27,"CSF"))-1)/96)+1)&amp;": "&amp;CHAR(65+INT(MOD((COUNTIFS($B$2:$B27,"SER")+COUNTIFS($B$2:$B27,"PLH")+COUNTIFS($B$2:$B27,"CSF"))-1,96)/12))&amp;(MOD((COUNTIFS($B$2:$B27,"SER")+COUNTIFS($B$2:$B27,"PLH")+COUNTIFS($B$2:$B27,"CSF"))-1,12)+1),"N/A"),"")</f>
        <v/>
      </c>
      <c r="H27" s="6" t="str">
        <f>IF(AND($A27&lt;&gt;"",$B27&lt;&gt;"",$C27&lt;&gt;"",$D27&lt;&gt;""),IF(OR($B27="SER",$B27="PLH",$B27="CSF"),"Control NIH Plate "&amp;(INT(((COUNTIFS($B$2:$B27,"SER")+COUNTIFS($B$2:$B27,"PLH")+COUNTIFS($B$2:$B27,"CSF"))-1)/96)+1)&amp;": "&amp;CHAR(65+INT(MOD((COUNTIFS($B$2:$B27,"SER")+COUNTIFS($B$2:$B27,"PLH")+COUNTIFS($B$2:$B27,"CSF"))-1,96)/12))&amp;(MOD((COUNTIFS($B$2:$B27,"SER")+COUNTIFS($B$2:$B27,"PLH")+COUNTIFS($B$2:$B27,"CSF"))-1,12)+1),"N/A"),"")</f>
        <v/>
      </c>
      <c r="I27" s="6" t="str">
        <f>IF(AND($A27&lt;&gt;"",$B27&lt;&gt;"",$C27&lt;&gt;"",$D27&lt;&gt;""),IF(OR($B27="SER",$B27="PLH"),"Control MAX Planck Plate "&amp;(INT(((COUNTIFS($B$2:$B27,"SER")+COUNTIFS($B$2:$B27,"PLH"))-1)/96)+1)&amp;": "&amp;CHAR(65+INT(MOD((COUNTIFS($B$2:$B27,"SER")+COUNTIFS($B$2:$B27,"PLH"))-1,96)/12))&amp;(MOD((COUNTIFS($B$2:$B27,"SER")+COUNTIFS($B$2:$B27,"PLH"))-1,12)+1),"N/A"),"")</f>
        <v/>
      </c>
      <c r="J27" s="6" t="str">
        <f>IF(AND($A27&lt;&gt;"",$B27&lt;&gt;"",$C27&lt;&gt;"",$D27&lt;&gt;""),IF($B27="WB","Control WB Box "&amp;(INT((COUNTIFS($B$2:$B27,"WB")-1)/81)+1)&amp;": "&amp;CHAR(65+INT(MOD(COUNTIFS($B$2:$B27,"WB")-1,81)/9))&amp;(MOD(COUNTIFS($B$2:$B27,"WB")-1,9)+1),"N/A"),"")</f>
        <v/>
      </c>
      <c r="K27" s="3" t="str">
        <f t="shared" si="1"/>
        <v/>
      </c>
      <c r="L27" s="2"/>
      <c r="M27" s="2"/>
      <c r="N27" s="2"/>
      <c r="O27" s="7" t="str">
        <f t="shared" si="2"/>
        <v/>
      </c>
      <c r="P27" s="7" t="str">
        <f t="shared" si="3"/>
        <v/>
      </c>
      <c r="Q27" s="7" t="str">
        <f t="shared" si="4"/>
        <v/>
      </c>
      <c r="R27" s="7" t="str">
        <f t="shared" si="5"/>
        <v/>
      </c>
      <c r="S27" s="7" t="str">
        <f t="shared" si="6"/>
        <v/>
      </c>
      <c r="T27" s="7" t="str">
        <f t="shared" si="7"/>
        <v/>
      </c>
      <c r="U27" s="7" t="str">
        <f t="shared" si="8"/>
        <v/>
      </c>
      <c r="V27" s="7" t="str">
        <f t="shared" si="9"/>
        <v/>
      </c>
      <c r="W27" s="7" t="str">
        <f t="shared" si="10"/>
        <v/>
      </c>
      <c r="X27" s="7" t="str">
        <f t="shared" si="11"/>
        <v/>
      </c>
      <c r="Y27">
        <f t="shared" si="12"/>
        <v>0</v>
      </c>
      <c r="Z27" t="str">
        <f t="shared" si="13"/>
        <v/>
      </c>
      <c r="AA27" t="str">
        <f t="shared" si="14"/>
        <v/>
      </c>
      <c r="AB27" t="str">
        <f t="shared" si="15"/>
        <v/>
      </c>
      <c r="AC27" t="str">
        <f t="shared" si="16"/>
        <v/>
      </c>
      <c r="AD27">
        <f t="shared" si="17"/>
        <v>0</v>
      </c>
    </row>
    <row r="28" spans="1:30" ht="15" customHeight="1" x14ac:dyDescent="0.35">
      <c r="A28" s="2"/>
      <c r="B28" s="3"/>
      <c r="C28" s="4"/>
      <c r="D28" s="5"/>
      <c r="E28" s="11" t="str">
        <f t="shared" ca="1" si="0"/>
        <v/>
      </c>
      <c r="F28" s="5"/>
      <c r="G28" s="6" t="str">
        <f>IF(AND($A28&lt;&gt;"",$B28&lt;&gt;"",$C28&lt;&gt;"",$D28&lt;&gt;""),IF(OR($B28="SER",$B28="PLH",$B28="CSF"),"Control CDI Plate "&amp;(INT(((COUNTIFS($B$2:$B28,"SER")+COUNTIFS($B$2:$B28,"PLH")+COUNTIFS($B$2:$B28,"CSF"))-1)/96)+1)&amp;": "&amp;CHAR(65+INT(MOD((COUNTIFS($B$2:$B28,"SER")+COUNTIFS($B$2:$B28,"PLH")+COUNTIFS($B$2:$B28,"CSF"))-1,96)/12))&amp;(MOD((COUNTIFS($B$2:$B28,"SER")+COUNTIFS($B$2:$B28,"PLH")+COUNTIFS($B$2:$B28,"CSF"))-1,12)+1),"N/A"),"")</f>
        <v/>
      </c>
      <c r="H28" s="6" t="str">
        <f>IF(AND($A28&lt;&gt;"",$B28&lt;&gt;"",$C28&lt;&gt;"",$D28&lt;&gt;""),IF(OR($B28="SER",$B28="PLH",$B28="CSF"),"Control NIH Plate "&amp;(INT(((COUNTIFS($B$2:$B28,"SER")+COUNTIFS($B$2:$B28,"PLH")+COUNTIFS($B$2:$B28,"CSF"))-1)/96)+1)&amp;": "&amp;CHAR(65+INT(MOD((COUNTIFS($B$2:$B28,"SER")+COUNTIFS($B$2:$B28,"PLH")+COUNTIFS($B$2:$B28,"CSF"))-1,96)/12))&amp;(MOD((COUNTIFS($B$2:$B28,"SER")+COUNTIFS($B$2:$B28,"PLH")+COUNTIFS($B$2:$B28,"CSF"))-1,12)+1),"N/A"),"")</f>
        <v/>
      </c>
      <c r="I28" s="6" t="str">
        <f>IF(AND($A28&lt;&gt;"",$B28&lt;&gt;"",$C28&lt;&gt;"",$D28&lt;&gt;""),IF(OR($B28="SER",$B28="PLH"),"Control MAX Planck Plate "&amp;(INT(((COUNTIFS($B$2:$B28,"SER")+COUNTIFS($B$2:$B28,"PLH"))-1)/96)+1)&amp;": "&amp;CHAR(65+INT(MOD((COUNTIFS($B$2:$B28,"SER")+COUNTIFS($B$2:$B28,"PLH"))-1,96)/12))&amp;(MOD((COUNTIFS($B$2:$B28,"SER")+COUNTIFS($B$2:$B28,"PLH"))-1,12)+1),"N/A"),"")</f>
        <v/>
      </c>
      <c r="J28" s="6" t="str">
        <f>IF(AND($A28&lt;&gt;"",$B28&lt;&gt;"",$C28&lt;&gt;"",$D28&lt;&gt;""),IF($B28="WB","Control WB Box "&amp;(INT((COUNTIFS($B$2:$B28,"WB")-1)/81)+1)&amp;": "&amp;CHAR(65+INT(MOD(COUNTIFS($B$2:$B28,"WB")-1,81)/9))&amp;(MOD(COUNTIFS($B$2:$B28,"WB")-1,9)+1),"N/A"),"")</f>
        <v/>
      </c>
      <c r="K28" s="3" t="str">
        <f t="shared" si="1"/>
        <v/>
      </c>
      <c r="L28" s="2"/>
      <c r="M28" s="2"/>
      <c r="N28" s="2"/>
      <c r="O28" s="7" t="str">
        <f t="shared" si="2"/>
        <v/>
      </c>
      <c r="P28" s="7" t="str">
        <f t="shared" si="3"/>
        <v/>
      </c>
      <c r="Q28" s="7" t="str">
        <f t="shared" si="4"/>
        <v/>
      </c>
      <c r="R28" s="7" t="str">
        <f t="shared" si="5"/>
        <v/>
      </c>
      <c r="S28" s="7" t="str">
        <f t="shared" si="6"/>
        <v/>
      </c>
      <c r="T28" s="7" t="str">
        <f t="shared" si="7"/>
        <v/>
      </c>
      <c r="U28" s="7" t="str">
        <f t="shared" si="8"/>
        <v/>
      </c>
      <c r="V28" s="7" t="str">
        <f t="shared" si="9"/>
        <v/>
      </c>
      <c r="W28" s="7" t="str">
        <f t="shared" si="10"/>
        <v/>
      </c>
      <c r="X28" s="7" t="str">
        <f t="shared" si="11"/>
        <v/>
      </c>
      <c r="Y28">
        <f t="shared" si="12"/>
        <v>0</v>
      </c>
      <c r="Z28" t="str">
        <f t="shared" si="13"/>
        <v/>
      </c>
      <c r="AA28" t="str">
        <f t="shared" si="14"/>
        <v/>
      </c>
      <c r="AB28" t="str">
        <f t="shared" si="15"/>
        <v/>
      </c>
      <c r="AC28" t="str">
        <f t="shared" si="16"/>
        <v/>
      </c>
      <c r="AD28">
        <f t="shared" si="17"/>
        <v>0</v>
      </c>
    </row>
    <row r="29" spans="1:30" ht="15" customHeight="1" x14ac:dyDescent="0.35">
      <c r="A29" s="2"/>
      <c r="B29" s="3"/>
      <c r="C29" s="4"/>
      <c r="D29" s="5"/>
      <c r="E29" s="11" t="str">
        <f t="shared" ca="1" si="0"/>
        <v/>
      </c>
      <c r="F29" s="5"/>
      <c r="G29" s="6" t="str">
        <f>IF(AND($A29&lt;&gt;"",$B29&lt;&gt;"",$C29&lt;&gt;"",$D29&lt;&gt;""),IF(OR($B29="SER",$B29="PLH",$B29="CSF"),"Control CDI Plate "&amp;(INT(((COUNTIFS($B$2:$B29,"SER")+COUNTIFS($B$2:$B29,"PLH")+COUNTIFS($B$2:$B29,"CSF"))-1)/96)+1)&amp;": "&amp;CHAR(65+INT(MOD((COUNTIFS($B$2:$B29,"SER")+COUNTIFS($B$2:$B29,"PLH")+COUNTIFS($B$2:$B29,"CSF"))-1,96)/12))&amp;(MOD((COUNTIFS($B$2:$B29,"SER")+COUNTIFS($B$2:$B29,"PLH")+COUNTIFS($B$2:$B29,"CSF"))-1,12)+1),"N/A"),"")</f>
        <v/>
      </c>
      <c r="H29" s="6" t="str">
        <f>IF(AND($A29&lt;&gt;"",$B29&lt;&gt;"",$C29&lt;&gt;"",$D29&lt;&gt;""),IF(OR($B29="SER",$B29="PLH",$B29="CSF"),"Control NIH Plate "&amp;(INT(((COUNTIFS($B$2:$B29,"SER")+COUNTIFS($B$2:$B29,"PLH")+COUNTIFS($B$2:$B29,"CSF"))-1)/96)+1)&amp;": "&amp;CHAR(65+INT(MOD((COUNTIFS($B$2:$B29,"SER")+COUNTIFS($B$2:$B29,"PLH")+COUNTIFS($B$2:$B29,"CSF"))-1,96)/12))&amp;(MOD((COUNTIFS($B$2:$B29,"SER")+COUNTIFS($B$2:$B29,"PLH")+COUNTIFS($B$2:$B29,"CSF"))-1,12)+1),"N/A"),"")</f>
        <v/>
      </c>
      <c r="I29" s="6" t="str">
        <f>IF(AND($A29&lt;&gt;"",$B29&lt;&gt;"",$C29&lt;&gt;"",$D29&lt;&gt;""),IF(OR($B29="SER",$B29="PLH"),"Control MAX Planck Plate "&amp;(INT(((COUNTIFS($B$2:$B29,"SER")+COUNTIFS($B$2:$B29,"PLH"))-1)/96)+1)&amp;": "&amp;CHAR(65+INT(MOD((COUNTIFS($B$2:$B29,"SER")+COUNTIFS($B$2:$B29,"PLH"))-1,96)/12))&amp;(MOD((COUNTIFS($B$2:$B29,"SER")+COUNTIFS($B$2:$B29,"PLH"))-1,12)+1),"N/A"),"")</f>
        <v/>
      </c>
      <c r="J29" s="6" t="str">
        <f>IF(AND($A29&lt;&gt;"",$B29&lt;&gt;"",$C29&lt;&gt;"",$D29&lt;&gt;""),IF($B29="WB","Control WB Box "&amp;(INT((COUNTIFS($B$2:$B29,"WB")-1)/81)+1)&amp;": "&amp;CHAR(65+INT(MOD(COUNTIFS($B$2:$B29,"WB")-1,81)/9))&amp;(MOD(COUNTIFS($B$2:$B29,"WB")-1,9)+1),"N/A"),"")</f>
        <v/>
      </c>
      <c r="K29" s="3" t="str">
        <f t="shared" si="1"/>
        <v/>
      </c>
      <c r="L29" s="2"/>
      <c r="M29" s="2"/>
      <c r="N29" s="2"/>
      <c r="O29" s="7" t="str">
        <f t="shared" si="2"/>
        <v/>
      </c>
      <c r="P29" s="7" t="str">
        <f t="shared" si="3"/>
        <v/>
      </c>
      <c r="Q29" s="7" t="str">
        <f t="shared" si="4"/>
        <v/>
      </c>
      <c r="R29" s="7" t="str">
        <f t="shared" si="5"/>
        <v/>
      </c>
      <c r="S29" s="7" t="str">
        <f t="shared" si="6"/>
        <v/>
      </c>
      <c r="T29" s="7" t="str">
        <f t="shared" si="7"/>
        <v/>
      </c>
      <c r="U29" s="7" t="str">
        <f t="shared" si="8"/>
        <v/>
      </c>
      <c r="V29" s="7" t="str">
        <f t="shared" si="9"/>
        <v/>
      </c>
      <c r="W29" s="7" t="str">
        <f t="shared" si="10"/>
        <v/>
      </c>
      <c r="X29" s="7" t="str">
        <f t="shared" si="11"/>
        <v/>
      </c>
      <c r="Y29">
        <f t="shared" si="12"/>
        <v>0</v>
      </c>
      <c r="Z29" t="str">
        <f t="shared" si="13"/>
        <v/>
      </c>
      <c r="AA29" t="str">
        <f t="shared" si="14"/>
        <v/>
      </c>
      <c r="AB29" t="str">
        <f t="shared" si="15"/>
        <v/>
      </c>
      <c r="AC29" t="str">
        <f t="shared" si="16"/>
        <v/>
      </c>
      <c r="AD29">
        <f t="shared" si="17"/>
        <v>0</v>
      </c>
    </row>
    <row r="30" spans="1:30" ht="15" customHeight="1" x14ac:dyDescent="0.35">
      <c r="A30" s="2"/>
      <c r="B30" s="3"/>
      <c r="C30" s="4"/>
      <c r="D30" s="5"/>
      <c r="E30" s="11" t="str">
        <f t="shared" ca="1" si="0"/>
        <v/>
      </c>
      <c r="F30" s="5"/>
      <c r="G30" s="6" t="str">
        <f>IF(AND($A30&lt;&gt;"",$B30&lt;&gt;"",$C30&lt;&gt;"",$D30&lt;&gt;""),IF(OR($B30="SER",$B30="PLH",$B30="CSF"),"Control CDI Plate "&amp;(INT(((COUNTIFS($B$2:$B30,"SER")+COUNTIFS($B$2:$B30,"PLH")+COUNTIFS($B$2:$B30,"CSF"))-1)/96)+1)&amp;": "&amp;CHAR(65+INT(MOD((COUNTIFS($B$2:$B30,"SER")+COUNTIFS($B$2:$B30,"PLH")+COUNTIFS($B$2:$B30,"CSF"))-1,96)/12))&amp;(MOD((COUNTIFS($B$2:$B30,"SER")+COUNTIFS($B$2:$B30,"PLH")+COUNTIFS($B$2:$B30,"CSF"))-1,12)+1),"N/A"),"")</f>
        <v/>
      </c>
      <c r="H30" s="6" t="str">
        <f>IF(AND($A30&lt;&gt;"",$B30&lt;&gt;"",$C30&lt;&gt;"",$D30&lt;&gt;""),IF(OR($B30="SER",$B30="PLH",$B30="CSF"),"Control NIH Plate "&amp;(INT(((COUNTIFS($B$2:$B30,"SER")+COUNTIFS($B$2:$B30,"PLH")+COUNTIFS($B$2:$B30,"CSF"))-1)/96)+1)&amp;": "&amp;CHAR(65+INT(MOD((COUNTIFS($B$2:$B30,"SER")+COUNTIFS($B$2:$B30,"PLH")+COUNTIFS($B$2:$B30,"CSF"))-1,96)/12))&amp;(MOD((COUNTIFS($B$2:$B30,"SER")+COUNTIFS($B$2:$B30,"PLH")+COUNTIFS($B$2:$B30,"CSF"))-1,12)+1),"N/A"),"")</f>
        <v/>
      </c>
      <c r="I30" s="6" t="str">
        <f>IF(AND($A30&lt;&gt;"",$B30&lt;&gt;"",$C30&lt;&gt;"",$D30&lt;&gt;""),IF(OR($B30="SER",$B30="PLH"),"Control MAX Planck Plate "&amp;(INT(((COUNTIFS($B$2:$B30,"SER")+COUNTIFS($B$2:$B30,"PLH"))-1)/96)+1)&amp;": "&amp;CHAR(65+INT(MOD((COUNTIFS($B$2:$B30,"SER")+COUNTIFS($B$2:$B30,"PLH"))-1,96)/12))&amp;(MOD((COUNTIFS($B$2:$B30,"SER")+COUNTIFS($B$2:$B30,"PLH"))-1,12)+1),"N/A"),"")</f>
        <v/>
      </c>
      <c r="J30" s="6" t="str">
        <f>IF(AND($A30&lt;&gt;"",$B30&lt;&gt;"",$C30&lt;&gt;"",$D30&lt;&gt;""),IF($B30="WB","Control WB Box "&amp;(INT((COUNTIFS($B$2:$B30,"WB")-1)/81)+1)&amp;": "&amp;CHAR(65+INT(MOD(COUNTIFS($B$2:$B30,"WB")-1,81)/9))&amp;(MOD(COUNTIFS($B$2:$B30,"WB")-1,9)+1),"N/A"),"")</f>
        <v/>
      </c>
      <c r="K30" s="3" t="str">
        <f t="shared" si="1"/>
        <v/>
      </c>
      <c r="L30" s="2"/>
      <c r="M30" s="2"/>
      <c r="N30" s="2"/>
      <c r="O30" s="7" t="str">
        <f t="shared" si="2"/>
        <v/>
      </c>
      <c r="P30" s="7" t="str">
        <f t="shared" si="3"/>
        <v/>
      </c>
      <c r="Q30" s="7" t="str">
        <f t="shared" si="4"/>
        <v/>
      </c>
      <c r="R30" s="7" t="str">
        <f t="shared" si="5"/>
        <v/>
      </c>
      <c r="S30" s="7" t="str">
        <f t="shared" si="6"/>
        <v/>
      </c>
      <c r="T30" s="7" t="str">
        <f t="shared" si="7"/>
        <v/>
      </c>
      <c r="U30" s="7" t="str">
        <f t="shared" si="8"/>
        <v/>
      </c>
      <c r="V30" s="7" t="str">
        <f t="shared" si="9"/>
        <v/>
      </c>
      <c r="W30" s="7" t="str">
        <f t="shared" si="10"/>
        <v/>
      </c>
      <c r="X30" s="7" t="str">
        <f t="shared" si="11"/>
        <v/>
      </c>
      <c r="Y30">
        <f t="shared" si="12"/>
        <v>0</v>
      </c>
      <c r="Z30" t="str">
        <f t="shared" si="13"/>
        <v/>
      </c>
      <c r="AA30" t="str">
        <f t="shared" si="14"/>
        <v/>
      </c>
      <c r="AB30" t="str">
        <f t="shared" si="15"/>
        <v/>
      </c>
      <c r="AC30" t="str">
        <f t="shared" si="16"/>
        <v/>
      </c>
      <c r="AD30">
        <f t="shared" si="17"/>
        <v>0</v>
      </c>
    </row>
    <row r="31" spans="1:30" ht="15" customHeight="1" x14ac:dyDescent="0.35">
      <c r="A31" s="2"/>
      <c r="B31" s="3"/>
      <c r="C31" s="4"/>
      <c r="D31" s="5"/>
      <c r="E31" s="11" t="str">
        <f t="shared" ca="1" si="0"/>
        <v/>
      </c>
      <c r="F31" s="5"/>
      <c r="G31" s="6" t="str">
        <f>IF(AND($A31&lt;&gt;"",$B31&lt;&gt;"",$C31&lt;&gt;"",$D31&lt;&gt;""),IF(OR($B31="SER",$B31="PLH",$B31="CSF"),"Control CDI Plate "&amp;(INT(((COUNTIFS($B$2:$B31,"SER")+COUNTIFS($B$2:$B31,"PLH")+COUNTIFS($B$2:$B31,"CSF"))-1)/96)+1)&amp;": "&amp;CHAR(65+INT(MOD((COUNTIFS($B$2:$B31,"SER")+COUNTIFS($B$2:$B31,"PLH")+COUNTIFS($B$2:$B31,"CSF"))-1,96)/12))&amp;(MOD((COUNTIFS($B$2:$B31,"SER")+COUNTIFS($B$2:$B31,"PLH")+COUNTIFS($B$2:$B31,"CSF"))-1,12)+1),"N/A"),"")</f>
        <v/>
      </c>
      <c r="H31" s="6" t="str">
        <f>IF(AND($A31&lt;&gt;"",$B31&lt;&gt;"",$C31&lt;&gt;"",$D31&lt;&gt;""),IF(OR($B31="SER",$B31="PLH",$B31="CSF"),"Control NIH Plate "&amp;(INT(((COUNTIFS($B$2:$B31,"SER")+COUNTIFS($B$2:$B31,"PLH")+COUNTIFS($B$2:$B31,"CSF"))-1)/96)+1)&amp;": "&amp;CHAR(65+INT(MOD((COUNTIFS($B$2:$B31,"SER")+COUNTIFS($B$2:$B31,"PLH")+COUNTIFS($B$2:$B31,"CSF"))-1,96)/12))&amp;(MOD((COUNTIFS($B$2:$B31,"SER")+COUNTIFS($B$2:$B31,"PLH")+COUNTIFS($B$2:$B31,"CSF"))-1,12)+1),"N/A"),"")</f>
        <v/>
      </c>
      <c r="I31" s="6" t="str">
        <f>IF(AND($A31&lt;&gt;"",$B31&lt;&gt;"",$C31&lt;&gt;"",$D31&lt;&gt;""),IF(OR($B31="SER",$B31="PLH"),"Control MAX Planck Plate "&amp;(INT(((COUNTIFS($B$2:$B31,"SER")+COUNTIFS($B$2:$B31,"PLH"))-1)/96)+1)&amp;": "&amp;CHAR(65+INT(MOD((COUNTIFS($B$2:$B31,"SER")+COUNTIFS($B$2:$B31,"PLH"))-1,96)/12))&amp;(MOD((COUNTIFS($B$2:$B31,"SER")+COUNTIFS($B$2:$B31,"PLH"))-1,12)+1),"N/A"),"")</f>
        <v/>
      </c>
      <c r="J31" s="6" t="str">
        <f>IF(AND($A31&lt;&gt;"",$B31&lt;&gt;"",$C31&lt;&gt;"",$D31&lt;&gt;""),IF($B31="WB","Control WB Box "&amp;(INT((COUNTIFS($B$2:$B31,"WB")-1)/81)+1)&amp;": "&amp;CHAR(65+INT(MOD(COUNTIFS($B$2:$B31,"WB")-1,81)/9))&amp;(MOD(COUNTIFS($B$2:$B31,"WB")-1,9)+1),"N/A"),"")</f>
        <v/>
      </c>
      <c r="K31" s="3" t="str">
        <f t="shared" si="1"/>
        <v/>
      </c>
      <c r="L31" s="2"/>
      <c r="M31" s="2"/>
      <c r="N31" s="2"/>
      <c r="O31" s="7" t="str">
        <f t="shared" si="2"/>
        <v/>
      </c>
      <c r="P31" s="7" t="str">
        <f t="shared" si="3"/>
        <v/>
      </c>
      <c r="Q31" s="7" t="str">
        <f t="shared" si="4"/>
        <v/>
      </c>
      <c r="R31" s="7" t="str">
        <f t="shared" si="5"/>
        <v/>
      </c>
      <c r="S31" s="7" t="str">
        <f t="shared" si="6"/>
        <v/>
      </c>
      <c r="T31" s="7" t="str">
        <f t="shared" si="7"/>
        <v/>
      </c>
      <c r="U31" s="7" t="str">
        <f t="shared" si="8"/>
        <v/>
      </c>
      <c r="V31" s="7" t="str">
        <f t="shared" si="9"/>
        <v/>
      </c>
      <c r="W31" s="7" t="str">
        <f t="shared" si="10"/>
        <v/>
      </c>
      <c r="X31" s="7" t="str">
        <f t="shared" si="11"/>
        <v/>
      </c>
      <c r="Y31">
        <f t="shared" si="12"/>
        <v>0</v>
      </c>
      <c r="Z31" t="str">
        <f t="shared" si="13"/>
        <v/>
      </c>
      <c r="AA31" t="str">
        <f t="shared" si="14"/>
        <v/>
      </c>
      <c r="AB31" t="str">
        <f t="shared" si="15"/>
        <v/>
      </c>
      <c r="AC31" t="str">
        <f t="shared" si="16"/>
        <v/>
      </c>
      <c r="AD31">
        <f t="shared" si="17"/>
        <v>0</v>
      </c>
    </row>
    <row r="32" spans="1:30" ht="15" customHeight="1" x14ac:dyDescent="0.35">
      <c r="A32" s="2"/>
      <c r="B32" s="3"/>
      <c r="C32" s="4"/>
      <c r="D32" s="5"/>
      <c r="E32" s="11" t="str">
        <f t="shared" ca="1" si="0"/>
        <v/>
      </c>
      <c r="F32" s="5"/>
      <c r="G32" s="6" t="str">
        <f>IF(AND($A32&lt;&gt;"",$B32&lt;&gt;"",$C32&lt;&gt;"",$D32&lt;&gt;""),IF(OR($B32="SER",$B32="PLH",$B32="CSF"),"Control CDI Plate "&amp;(INT(((COUNTIFS($B$2:$B32,"SER")+COUNTIFS($B$2:$B32,"PLH")+COUNTIFS($B$2:$B32,"CSF"))-1)/96)+1)&amp;": "&amp;CHAR(65+INT(MOD((COUNTIFS($B$2:$B32,"SER")+COUNTIFS($B$2:$B32,"PLH")+COUNTIFS($B$2:$B32,"CSF"))-1,96)/12))&amp;(MOD((COUNTIFS($B$2:$B32,"SER")+COUNTIFS($B$2:$B32,"PLH")+COUNTIFS($B$2:$B32,"CSF"))-1,12)+1),"N/A"),"")</f>
        <v/>
      </c>
      <c r="H32" s="6" t="str">
        <f>IF(AND($A32&lt;&gt;"",$B32&lt;&gt;"",$C32&lt;&gt;"",$D32&lt;&gt;""),IF(OR($B32="SER",$B32="PLH",$B32="CSF"),"Control NIH Plate "&amp;(INT(((COUNTIFS($B$2:$B32,"SER")+COUNTIFS($B$2:$B32,"PLH")+COUNTIFS($B$2:$B32,"CSF"))-1)/96)+1)&amp;": "&amp;CHAR(65+INT(MOD((COUNTIFS($B$2:$B32,"SER")+COUNTIFS($B$2:$B32,"PLH")+COUNTIFS($B$2:$B32,"CSF"))-1,96)/12))&amp;(MOD((COUNTIFS($B$2:$B32,"SER")+COUNTIFS($B$2:$B32,"PLH")+COUNTIFS($B$2:$B32,"CSF"))-1,12)+1),"N/A"),"")</f>
        <v/>
      </c>
      <c r="I32" s="6" t="str">
        <f>IF(AND($A32&lt;&gt;"",$B32&lt;&gt;"",$C32&lt;&gt;"",$D32&lt;&gt;""),IF(OR($B32="SER",$B32="PLH"),"Control MAX Planck Plate "&amp;(INT(((COUNTIFS($B$2:$B32,"SER")+COUNTIFS($B$2:$B32,"PLH"))-1)/96)+1)&amp;": "&amp;CHAR(65+INT(MOD((COUNTIFS($B$2:$B32,"SER")+COUNTIFS($B$2:$B32,"PLH"))-1,96)/12))&amp;(MOD((COUNTIFS($B$2:$B32,"SER")+COUNTIFS($B$2:$B32,"PLH"))-1,12)+1),"N/A"),"")</f>
        <v/>
      </c>
      <c r="J32" s="6" t="str">
        <f>IF(AND($A32&lt;&gt;"",$B32&lt;&gt;"",$C32&lt;&gt;"",$D32&lt;&gt;""),IF($B32="WB","Control WB Box "&amp;(INT((COUNTIFS($B$2:$B32,"WB")-1)/81)+1)&amp;": "&amp;CHAR(65+INT(MOD(COUNTIFS($B$2:$B32,"WB")-1,81)/9))&amp;(MOD(COUNTIFS($B$2:$B32,"WB")-1,9)+1),"N/A"),"")</f>
        <v/>
      </c>
      <c r="K32" s="3" t="str">
        <f t="shared" si="1"/>
        <v/>
      </c>
      <c r="L32" s="2"/>
      <c r="M32" s="2"/>
      <c r="N32" s="2"/>
      <c r="O32" s="7" t="str">
        <f t="shared" si="2"/>
        <v/>
      </c>
      <c r="P32" s="7" t="str">
        <f t="shared" si="3"/>
        <v/>
      </c>
      <c r="Q32" s="7" t="str">
        <f t="shared" si="4"/>
        <v/>
      </c>
      <c r="R32" s="7" t="str">
        <f t="shared" si="5"/>
        <v/>
      </c>
      <c r="S32" s="7" t="str">
        <f t="shared" si="6"/>
        <v/>
      </c>
      <c r="T32" s="7" t="str">
        <f t="shared" si="7"/>
        <v/>
      </c>
      <c r="U32" s="7" t="str">
        <f t="shared" si="8"/>
        <v/>
      </c>
      <c r="V32" s="7" t="str">
        <f t="shared" si="9"/>
        <v/>
      </c>
      <c r="W32" s="7" t="str">
        <f t="shared" si="10"/>
        <v/>
      </c>
      <c r="X32" s="7" t="str">
        <f t="shared" si="11"/>
        <v/>
      </c>
      <c r="Y32">
        <f t="shared" si="12"/>
        <v>0</v>
      </c>
      <c r="Z32" t="str">
        <f t="shared" si="13"/>
        <v/>
      </c>
      <c r="AA32" t="str">
        <f t="shared" si="14"/>
        <v/>
      </c>
      <c r="AB32" t="str">
        <f t="shared" si="15"/>
        <v/>
      </c>
      <c r="AC32" t="str">
        <f t="shared" si="16"/>
        <v/>
      </c>
      <c r="AD32">
        <f t="shared" si="17"/>
        <v>0</v>
      </c>
    </row>
    <row r="33" spans="1:30" ht="15" customHeight="1" x14ac:dyDescent="0.35">
      <c r="A33" s="2"/>
      <c r="B33" s="3"/>
      <c r="C33" s="4"/>
      <c r="D33" s="5"/>
      <c r="E33" s="11" t="str">
        <f t="shared" ca="1" si="0"/>
        <v/>
      </c>
      <c r="F33" s="5"/>
      <c r="G33" s="6" t="str">
        <f>IF(AND($A33&lt;&gt;"",$B33&lt;&gt;"",$C33&lt;&gt;"",$D33&lt;&gt;""),IF(OR($B33="SER",$B33="PLH",$B33="CSF"),"Control CDI Plate "&amp;(INT(((COUNTIFS($B$2:$B33,"SER")+COUNTIFS($B$2:$B33,"PLH")+COUNTIFS($B$2:$B33,"CSF"))-1)/96)+1)&amp;": "&amp;CHAR(65+INT(MOD((COUNTIFS($B$2:$B33,"SER")+COUNTIFS($B$2:$B33,"PLH")+COUNTIFS($B$2:$B33,"CSF"))-1,96)/12))&amp;(MOD((COUNTIFS($B$2:$B33,"SER")+COUNTIFS($B$2:$B33,"PLH")+COUNTIFS($B$2:$B33,"CSF"))-1,12)+1),"N/A"),"")</f>
        <v/>
      </c>
      <c r="H33" s="6" t="str">
        <f>IF(AND($A33&lt;&gt;"",$B33&lt;&gt;"",$C33&lt;&gt;"",$D33&lt;&gt;""),IF(OR($B33="SER",$B33="PLH",$B33="CSF"),"Control NIH Plate "&amp;(INT(((COUNTIFS($B$2:$B33,"SER")+COUNTIFS($B$2:$B33,"PLH")+COUNTIFS($B$2:$B33,"CSF"))-1)/96)+1)&amp;": "&amp;CHAR(65+INT(MOD((COUNTIFS($B$2:$B33,"SER")+COUNTIFS($B$2:$B33,"PLH")+COUNTIFS($B$2:$B33,"CSF"))-1,96)/12))&amp;(MOD((COUNTIFS($B$2:$B33,"SER")+COUNTIFS($B$2:$B33,"PLH")+COUNTIFS($B$2:$B33,"CSF"))-1,12)+1),"N/A"),"")</f>
        <v/>
      </c>
      <c r="I33" s="6" t="str">
        <f>IF(AND($A33&lt;&gt;"",$B33&lt;&gt;"",$C33&lt;&gt;"",$D33&lt;&gt;""),IF(OR($B33="SER",$B33="PLH"),"Control MAX Planck Plate "&amp;(INT(((COUNTIFS($B$2:$B33,"SER")+COUNTIFS($B$2:$B33,"PLH"))-1)/96)+1)&amp;": "&amp;CHAR(65+INT(MOD((COUNTIFS($B$2:$B33,"SER")+COUNTIFS($B$2:$B33,"PLH"))-1,96)/12))&amp;(MOD((COUNTIFS($B$2:$B33,"SER")+COUNTIFS($B$2:$B33,"PLH"))-1,12)+1),"N/A"),"")</f>
        <v/>
      </c>
      <c r="J33" s="6" t="str">
        <f>IF(AND($A33&lt;&gt;"",$B33&lt;&gt;"",$C33&lt;&gt;"",$D33&lt;&gt;""),IF($B33="WB","Control WB Box "&amp;(INT((COUNTIFS($B$2:$B33,"WB")-1)/81)+1)&amp;": "&amp;CHAR(65+INT(MOD(COUNTIFS($B$2:$B33,"WB")-1,81)/9))&amp;(MOD(COUNTIFS($B$2:$B33,"WB")-1,9)+1),"N/A"),"")</f>
        <v/>
      </c>
      <c r="K33" s="3" t="str">
        <f t="shared" si="1"/>
        <v/>
      </c>
      <c r="L33" s="2"/>
      <c r="M33" s="2"/>
      <c r="N33" s="2"/>
      <c r="O33" s="7" t="str">
        <f t="shared" si="2"/>
        <v/>
      </c>
      <c r="P33" s="7" t="str">
        <f t="shared" si="3"/>
        <v/>
      </c>
      <c r="Q33" s="7" t="str">
        <f t="shared" si="4"/>
        <v/>
      </c>
      <c r="R33" s="7" t="str">
        <f t="shared" si="5"/>
        <v/>
      </c>
      <c r="S33" s="7" t="str">
        <f t="shared" si="6"/>
        <v/>
      </c>
      <c r="T33" s="7" t="str">
        <f t="shared" si="7"/>
        <v/>
      </c>
      <c r="U33" s="7" t="str">
        <f t="shared" si="8"/>
        <v/>
      </c>
      <c r="V33" s="7" t="str">
        <f t="shared" si="9"/>
        <v/>
      </c>
      <c r="W33" s="7" t="str">
        <f t="shared" si="10"/>
        <v/>
      </c>
      <c r="X33" s="7" t="str">
        <f t="shared" si="11"/>
        <v/>
      </c>
      <c r="Y33">
        <f t="shared" si="12"/>
        <v>0</v>
      </c>
      <c r="Z33" t="str">
        <f t="shared" si="13"/>
        <v/>
      </c>
      <c r="AA33" t="str">
        <f t="shared" si="14"/>
        <v/>
      </c>
      <c r="AB33" t="str">
        <f t="shared" si="15"/>
        <v/>
      </c>
      <c r="AC33" t="str">
        <f t="shared" si="16"/>
        <v/>
      </c>
      <c r="AD33">
        <f t="shared" si="17"/>
        <v>0</v>
      </c>
    </row>
    <row r="34" spans="1:30" ht="15" customHeight="1" x14ac:dyDescent="0.35">
      <c r="A34" s="2"/>
      <c r="B34" s="3"/>
      <c r="C34" s="4"/>
      <c r="D34" s="5"/>
      <c r="E34" s="11" t="str">
        <f t="shared" ca="1" si="0"/>
        <v/>
      </c>
      <c r="F34" s="5"/>
      <c r="G34" s="6" t="str">
        <f>IF(AND($A34&lt;&gt;"",$B34&lt;&gt;"",$C34&lt;&gt;"",$D34&lt;&gt;""),IF(OR($B34="SER",$B34="PLH",$B34="CSF"),"Control CDI Plate "&amp;(INT(((COUNTIFS($B$2:$B34,"SER")+COUNTIFS($B$2:$B34,"PLH")+COUNTIFS($B$2:$B34,"CSF"))-1)/96)+1)&amp;": "&amp;CHAR(65+INT(MOD((COUNTIFS($B$2:$B34,"SER")+COUNTIFS($B$2:$B34,"PLH")+COUNTIFS($B$2:$B34,"CSF"))-1,96)/12))&amp;(MOD((COUNTIFS($B$2:$B34,"SER")+COUNTIFS($B$2:$B34,"PLH")+COUNTIFS($B$2:$B34,"CSF"))-1,12)+1),"N/A"),"")</f>
        <v/>
      </c>
      <c r="H34" s="6" t="str">
        <f>IF(AND($A34&lt;&gt;"",$B34&lt;&gt;"",$C34&lt;&gt;"",$D34&lt;&gt;""),IF(OR($B34="SER",$B34="PLH",$B34="CSF"),"Control NIH Plate "&amp;(INT(((COUNTIFS($B$2:$B34,"SER")+COUNTIFS($B$2:$B34,"PLH")+COUNTIFS($B$2:$B34,"CSF"))-1)/96)+1)&amp;": "&amp;CHAR(65+INT(MOD((COUNTIFS($B$2:$B34,"SER")+COUNTIFS($B$2:$B34,"PLH")+COUNTIFS($B$2:$B34,"CSF"))-1,96)/12))&amp;(MOD((COUNTIFS($B$2:$B34,"SER")+COUNTIFS($B$2:$B34,"PLH")+COUNTIFS($B$2:$B34,"CSF"))-1,12)+1),"N/A"),"")</f>
        <v/>
      </c>
      <c r="I34" s="6" t="str">
        <f>IF(AND($A34&lt;&gt;"",$B34&lt;&gt;"",$C34&lt;&gt;"",$D34&lt;&gt;""),IF(OR($B34="SER",$B34="PLH"),"Control MAX Planck Plate "&amp;(INT(((COUNTIFS($B$2:$B34,"SER")+COUNTIFS($B$2:$B34,"PLH"))-1)/96)+1)&amp;": "&amp;CHAR(65+INT(MOD((COUNTIFS($B$2:$B34,"SER")+COUNTIFS($B$2:$B34,"PLH"))-1,96)/12))&amp;(MOD((COUNTIFS($B$2:$B34,"SER")+COUNTIFS($B$2:$B34,"PLH"))-1,12)+1),"N/A"),"")</f>
        <v/>
      </c>
      <c r="J34" s="6" t="str">
        <f>IF(AND($A34&lt;&gt;"",$B34&lt;&gt;"",$C34&lt;&gt;"",$D34&lt;&gt;""),IF($B34="WB","Control WB Box "&amp;(INT((COUNTIFS($B$2:$B34,"WB")-1)/81)+1)&amp;": "&amp;CHAR(65+INT(MOD(COUNTIFS($B$2:$B34,"WB")-1,81)/9))&amp;(MOD(COUNTIFS($B$2:$B34,"WB")-1,9)+1),"N/A"),"")</f>
        <v/>
      </c>
      <c r="K34" s="3" t="str">
        <f t="shared" si="1"/>
        <v/>
      </c>
      <c r="L34" s="2"/>
      <c r="M34" s="2"/>
      <c r="N34" s="2"/>
      <c r="O34" s="7" t="str">
        <f t="shared" si="2"/>
        <v/>
      </c>
      <c r="P34" s="7" t="str">
        <f t="shared" si="3"/>
        <v/>
      </c>
      <c r="Q34" s="7" t="str">
        <f t="shared" si="4"/>
        <v/>
      </c>
      <c r="R34" s="7" t="str">
        <f t="shared" si="5"/>
        <v/>
      </c>
      <c r="S34" s="7" t="str">
        <f t="shared" si="6"/>
        <v/>
      </c>
      <c r="T34" s="7" t="str">
        <f t="shared" si="7"/>
        <v/>
      </c>
      <c r="U34" s="7" t="str">
        <f t="shared" si="8"/>
        <v/>
      </c>
      <c r="V34" s="7" t="str">
        <f t="shared" si="9"/>
        <v/>
      </c>
      <c r="W34" s="7" t="str">
        <f t="shared" si="10"/>
        <v/>
      </c>
      <c r="X34" s="7" t="str">
        <f t="shared" si="11"/>
        <v/>
      </c>
      <c r="Y34">
        <f t="shared" si="12"/>
        <v>0</v>
      </c>
      <c r="Z34" t="str">
        <f t="shared" si="13"/>
        <v/>
      </c>
      <c r="AA34" t="str">
        <f t="shared" si="14"/>
        <v/>
      </c>
      <c r="AB34" t="str">
        <f t="shared" si="15"/>
        <v/>
      </c>
      <c r="AC34" t="str">
        <f t="shared" si="16"/>
        <v/>
      </c>
      <c r="AD34">
        <f t="shared" si="17"/>
        <v>0</v>
      </c>
    </row>
    <row r="35" spans="1:30" ht="15" customHeight="1" x14ac:dyDescent="0.35">
      <c r="A35" s="2"/>
      <c r="B35" s="3"/>
      <c r="C35" s="4"/>
      <c r="D35" s="5"/>
      <c r="E35" s="11" t="str">
        <f t="shared" ca="1" si="0"/>
        <v/>
      </c>
      <c r="F35" s="5"/>
      <c r="G35" s="6" t="str">
        <f>IF(AND($A35&lt;&gt;"",$B35&lt;&gt;"",$C35&lt;&gt;"",$D35&lt;&gt;""),IF(OR($B35="SER",$B35="PLH",$B35="CSF"),"Control CDI Plate "&amp;(INT(((COUNTIFS($B$2:$B35,"SER")+COUNTIFS($B$2:$B35,"PLH")+COUNTIFS($B$2:$B35,"CSF"))-1)/96)+1)&amp;": "&amp;CHAR(65+INT(MOD((COUNTIFS($B$2:$B35,"SER")+COUNTIFS($B$2:$B35,"PLH")+COUNTIFS($B$2:$B35,"CSF"))-1,96)/12))&amp;(MOD((COUNTIFS($B$2:$B35,"SER")+COUNTIFS($B$2:$B35,"PLH")+COUNTIFS($B$2:$B35,"CSF"))-1,12)+1),"N/A"),"")</f>
        <v/>
      </c>
      <c r="H35" s="6" t="str">
        <f>IF(AND($A35&lt;&gt;"",$B35&lt;&gt;"",$C35&lt;&gt;"",$D35&lt;&gt;""),IF(OR($B35="SER",$B35="PLH",$B35="CSF"),"Control NIH Plate "&amp;(INT(((COUNTIFS($B$2:$B35,"SER")+COUNTIFS($B$2:$B35,"PLH")+COUNTIFS($B$2:$B35,"CSF"))-1)/96)+1)&amp;": "&amp;CHAR(65+INT(MOD((COUNTIFS($B$2:$B35,"SER")+COUNTIFS($B$2:$B35,"PLH")+COUNTIFS($B$2:$B35,"CSF"))-1,96)/12))&amp;(MOD((COUNTIFS($B$2:$B35,"SER")+COUNTIFS($B$2:$B35,"PLH")+COUNTIFS($B$2:$B35,"CSF"))-1,12)+1),"N/A"),"")</f>
        <v/>
      </c>
      <c r="I35" s="6" t="str">
        <f>IF(AND($A35&lt;&gt;"",$B35&lt;&gt;"",$C35&lt;&gt;"",$D35&lt;&gt;""),IF(OR($B35="SER",$B35="PLH"),"Control MAX Planck Plate "&amp;(INT(((COUNTIFS($B$2:$B35,"SER")+COUNTIFS($B$2:$B35,"PLH"))-1)/96)+1)&amp;": "&amp;CHAR(65+INT(MOD((COUNTIFS($B$2:$B35,"SER")+COUNTIFS($B$2:$B35,"PLH"))-1,96)/12))&amp;(MOD((COUNTIFS($B$2:$B35,"SER")+COUNTIFS($B$2:$B35,"PLH"))-1,12)+1),"N/A"),"")</f>
        <v/>
      </c>
      <c r="J35" s="6" t="str">
        <f>IF(AND($A35&lt;&gt;"",$B35&lt;&gt;"",$C35&lt;&gt;"",$D35&lt;&gt;""),IF($B35="WB","Control WB Box "&amp;(INT((COUNTIFS($B$2:$B35,"WB")-1)/81)+1)&amp;": "&amp;CHAR(65+INT(MOD(COUNTIFS($B$2:$B35,"WB")-1,81)/9))&amp;(MOD(COUNTIFS($B$2:$B35,"WB")-1,9)+1),"N/A"),"")</f>
        <v/>
      </c>
      <c r="K35" s="3" t="str">
        <f t="shared" si="1"/>
        <v/>
      </c>
      <c r="L35" s="2"/>
      <c r="M35" s="2"/>
      <c r="N35" s="2"/>
      <c r="O35" s="7" t="str">
        <f t="shared" si="2"/>
        <v/>
      </c>
      <c r="P35" s="7" t="str">
        <f t="shared" si="3"/>
        <v/>
      </c>
      <c r="Q35" s="7" t="str">
        <f t="shared" si="4"/>
        <v/>
      </c>
      <c r="R35" s="7" t="str">
        <f t="shared" si="5"/>
        <v/>
      </c>
      <c r="S35" s="7" t="str">
        <f t="shared" si="6"/>
        <v/>
      </c>
      <c r="T35" s="7" t="str">
        <f t="shared" si="7"/>
        <v/>
      </c>
      <c r="U35" s="7" t="str">
        <f t="shared" si="8"/>
        <v/>
      </c>
      <c r="V35" s="7" t="str">
        <f t="shared" si="9"/>
        <v/>
      </c>
      <c r="W35" s="7" t="str">
        <f t="shared" si="10"/>
        <v/>
      </c>
      <c r="X35" s="7" t="str">
        <f t="shared" si="11"/>
        <v/>
      </c>
      <c r="Y35">
        <f t="shared" si="12"/>
        <v>0</v>
      </c>
      <c r="Z35" t="str">
        <f t="shared" si="13"/>
        <v/>
      </c>
      <c r="AA35" t="str">
        <f t="shared" si="14"/>
        <v/>
      </c>
      <c r="AB35" t="str">
        <f t="shared" si="15"/>
        <v/>
      </c>
      <c r="AC35" t="str">
        <f t="shared" si="16"/>
        <v/>
      </c>
      <c r="AD35">
        <f t="shared" si="17"/>
        <v>0</v>
      </c>
    </row>
    <row r="36" spans="1:30" ht="15" customHeight="1" x14ac:dyDescent="0.35">
      <c r="A36" s="2"/>
      <c r="B36" s="3"/>
      <c r="C36" s="4"/>
      <c r="D36" s="5"/>
      <c r="E36" s="11" t="str">
        <f t="shared" ca="1" si="0"/>
        <v/>
      </c>
      <c r="F36" s="5"/>
      <c r="G36" s="6" t="str">
        <f>IF(AND($A36&lt;&gt;"",$B36&lt;&gt;"",$C36&lt;&gt;"",$D36&lt;&gt;""),IF(OR($B36="SER",$B36="PLH",$B36="CSF"),"Control CDI Plate "&amp;(INT(((COUNTIFS($B$2:$B36,"SER")+COUNTIFS($B$2:$B36,"PLH")+COUNTIFS($B$2:$B36,"CSF"))-1)/96)+1)&amp;": "&amp;CHAR(65+INT(MOD((COUNTIFS($B$2:$B36,"SER")+COUNTIFS($B$2:$B36,"PLH")+COUNTIFS($B$2:$B36,"CSF"))-1,96)/12))&amp;(MOD((COUNTIFS($B$2:$B36,"SER")+COUNTIFS($B$2:$B36,"PLH")+COUNTIFS($B$2:$B36,"CSF"))-1,12)+1),"N/A"),"")</f>
        <v/>
      </c>
      <c r="H36" s="6" t="str">
        <f>IF(AND($A36&lt;&gt;"",$B36&lt;&gt;"",$C36&lt;&gt;"",$D36&lt;&gt;""),IF(OR($B36="SER",$B36="PLH",$B36="CSF"),"Control NIH Plate "&amp;(INT(((COUNTIFS($B$2:$B36,"SER")+COUNTIFS($B$2:$B36,"PLH")+COUNTIFS($B$2:$B36,"CSF"))-1)/96)+1)&amp;": "&amp;CHAR(65+INT(MOD((COUNTIFS($B$2:$B36,"SER")+COUNTIFS($B$2:$B36,"PLH")+COUNTIFS($B$2:$B36,"CSF"))-1,96)/12))&amp;(MOD((COUNTIFS($B$2:$B36,"SER")+COUNTIFS($B$2:$B36,"PLH")+COUNTIFS($B$2:$B36,"CSF"))-1,12)+1),"N/A"),"")</f>
        <v/>
      </c>
      <c r="I36" s="6" t="str">
        <f>IF(AND($A36&lt;&gt;"",$B36&lt;&gt;"",$C36&lt;&gt;"",$D36&lt;&gt;""),IF(OR($B36="SER",$B36="PLH"),"Control MAX Planck Plate "&amp;(INT(((COUNTIFS($B$2:$B36,"SER")+COUNTIFS($B$2:$B36,"PLH"))-1)/96)+1)&amp;": "&amp;CHAR(65+INT(MOD((COUNTIFS($B$2:$B36,"SER")+COUNTIFS($B$2:$B36,"PLH"))-1,96)/12))&amp;(MOD((COUNTIFS($B$2:$B36,"SER")+COUNTIFS($B$2:$B36,"PLH"))-1,12)+1),"N/A"),"")</f>
        <v/>
      </c>
      <c r="J36" s="6" t="str">
        <f>IF(AND($A36&lt;&gt;"",$B36&lt;&gt;"",$C36&lt;&gt;"",$D36&lt;&gt;""),IF($B36="WB","Control WB Box "&amp;(INT((COUNTIFS($B$2:$B36,"WB")-1)/81)+1)&amp;": "&amp;CHAR(65+INT(MOD(COUNTIFS($B$2:$B36,"WB")-1,81)/9))&amp;(MOD(COUNTIFS($B$2:$B36,"WB")-1,9)+1),"N/A"),"")</f>
        <v/>
      </c>
      <c r="K36" s="3" t="str">
        <f t="shared" si="1"/>
        <v/>
      </c>
      <c r="L36" s="2"/>
      <c r="M36" s="2"/>
      <c r="N36" s="2"/>
      <c r="O36" s="7" t="str">
        <f t="shared" si="2"/>
        <v/>
      </c>
      <c r="P36" s="7" t="str">
        <f t="shared" si="3"/>
        <v/>
      </c>
      <c r="Q36" s="7" t="str">
        <f t="shared" si="4"/>
        <v/>
      </c>
      <c r="R36" s="7" t="str">
        <f t="shared" si="5"/>
        <v/>
      </c>
      <c r="S36" s="7" t="str">
        <f t="shared" si="6"/>
        <v/>
      </c>
      <c r="T36" s="7" t="str">
        <f t="shared" si="7"/>
        <v/>
      </c>
      <c r="U36" s="7" t="str">
        <f t="shared" si="8"/>
        <v/>
      </c>
      <c r="V36" s="7" t="str">
        <f t="shared" si="9"/>
        <v/>
      </c>
      <c r="W36" s="7" t="str">
        <f t="shared" si="10"/>
        <v/>
      </c>
      <c r="X36" s="7" t="str">
        <f t="shared" si="11"/>
        <v/>
      </c>
      <c r="Y36">
        <f t="shared" si="12"/>
        <v>0</v>
      </c>
      <c r="Z36" t="str">
        <f t="shared" si="13"/>
        <v/>
      </c>
      <c r="AA36" t="str">
        <f t="shared" si="14"/>
        <v/>
      </c>
      <c r="AB36" t="str">
        <f t="shared" si="15"/>
        <v/>
      </c>
      <c r="AC36" t="str">
        <f t="shared" si="16"/>
        <v/>
      </c>
      <c r="AD36">
        <f t="shared" si="17"/>
        <v>0</v>
      </c>
    </row>
    <row r="37" spans="1:30" ht="15" customHeight="1" x14ac:dyDescent="0.35">
      <c r="A37" s="2"/>
      <c r="B37" s="3"/>
      <c r="C37" s="4"/>
      <c r="D37" s="5"/>
      <c r="E37" s="11" t="str">
        <f t="shared" ca="1" si="0"/>
        <v/>
      </c>
      <c r="F37" s="5"/>
      <c r="G37" s="6" t="str">
        <f>IF(AND($A37&lt;&gt;"",$B37&lt;&gt;"",$C37&lt;&gt;"",$D37&lt;&gt;""),IF(OR($B37="SER",$B37="PLH",$B37="CSF"),"Control CDI Plate "&amp;(INT(((COUNTIFS($B$2:$B37,"SER")+COUNTIFS($B$2:$B37,"PLH")+COUNTIFS($B$2:$B37,"CSF"))-1)/96)+1)&amp;": "&amp;CHAR(65+INT(MOD((COUNTIFS($B$2:$B37,"SER")+COUNTIFS($B$2:$B37,"PLH")+COUNTIFS($B$2:$B37,"CSF"))-1,96)/12))&amp;(MOD((COUNTIFS($B$2:$B37,"SER")+COUNTIFS($B$2:$B37,"PLH")+COUNTIFS($B$2:$B37,"CSF"))-1,12)+1),"N/A"),"")</f>
        <v/>
      </c>
      <c r="H37" s="6" t="str">
        <f>IF(AND($A37&lt;&gt;"",$B37&lt;&gt;"",$C37&lt;&gt;"",$D37&lt;&gt;""),IF(OR($B37="SER",$B37="PLH",$B37="CSF"),"Control NIH Plate "&amp;(INT(((COUNTIFS($B$2:$B37,"SER")+COUNTIFS($B$2:$B37,"PLH")+COUNTIFS($B$2:$B37,"CSF"))-1)/96)+1)&amp;": "&amp;CHAR(65+INT(MOD((COUNTIFS($B$2:$B37,"SER")+COUNTIFS($B$2:$B37,"PLH")+COUNTIFS($B$2:$B37,"CSF"))-1,96)/12))&amp;(MOD((COUNTIFS($B$2:$B37,"SER")+COUNTIFS($B$2:$B37,"PLH")+COUNTIFS($B$2:$B37,"CSF"))-1,12)+1),"N/A"),"")</f>
        <v/>
      </c>
      <c r="I37" s="6" t="str">
        <f>IF(AND($A37&lt;&gt;"",$B37&lt;&gt;"",$C37&lt;&gt;"",$D37&lt;&gt;""),IF(OR($B37="SER",$B37="PLH"),"Control MAX Planck Plate "&amp;(INT(((COUNTIFS($B$2:$B37,"SER")+COUNTIFS($B$2:$B37,"PLH"))-1)/96)+1)&amp;": "&amp;CHAR(65+INT(MOD((COUNTIFS($B$2:$B37,"SER")+COUNTIFS($B$2:$B37,"PLH"))-1,96)/12))&amp;(MOD((COUNTIFS($B$2:$B37,"SER")+COUNTIFS($B$2:$B37,"PLH"))-1,12)+1),"N/A"),"")</f>
        <v/>
      </c>
      <c r="J37" s="6" t="str">
        <f>IF(AND($A37&lt;&gt;"",$B37&lt;&gt;"",$C37&lt;&gt;"",$D37&lt;&gt;""),IF($B37="WB","Control WB Box "&amp;(INT((COUNTIFS($B$2:$B37,"WB")-1)/81)+1)&amp;": "&amp;CHAR(65+INT(MOD(COUNTIFS($B$2:$B37,"WB")-1,81)/9))&amp;(MOD(COUNTIFS($B$2:$B37,"WB")-1,9)+1),"N/A"),"")</f>
        <v/>
      </c>
      <c r="K37" s="3" t="str">
        <f t="shared" si="1"/>
        <v/>
      </c>
      <c r="L37" s="2"/>
      <c r="M37" s="2"/>
      <c r="N37" s="2"/>
      <c r="O37" s="7" t="str">
        <f t="shared" si="2"/>
        <v/>
      </c>
      <c r="P37" s="7" t="str">
        <f t="shared" si="3"/>
        <v/>
      </c>
      <c r="Q37" s="7" t="str">
        <f t="shared" si="4"/>
        <v/>
      </c>
      <c r="R37" s="7" t="str">
        <f t="shared" si="5"/>
        <v/>
      </c>
      <c r="S37" s="7" t="str">
        <f t="shared" si="6"/>
        <v/>
      </c>
      <c r="T37" s="7" t="str">
        <f t="shared" si="7"/>
        <v/>
      </c>
      <c r="U37" s="7" t="str">
        <f t="shared" si="8"/>
        <v/>
      </c>
      <c r="V37" s="7" t="str">
        <f t="shared" si="9"/>
        <v/>
      </c>
      <c r="W37" s="7" t="str">
        <f t="shared" si="10"/>
        <v/>
      </c>
      <c r="X37" s="7" t="str">
        <f t="shared" si="11"/>
        <v/>
      </c>
      <c r="Y37">
        <f t="shared" si="12"/>
        <v>0</v>
      </c>
      <c r="Z37" t="str">
        <f t="shared" si="13"/>
        <v/>
      </c>
      <c r="AA37" t="str">
        <f t="shared" si="14"/>
        <v/>
      </c>
      <c r="AB37" t="str">
        <f t="shared" si="15"/>
        <v/>
      </c>
      <c r="AC37" t="str">
        <f t="shared" si="16"/>
        <v/>
      </c>
      <c r="AD37">
        <f t="shared" si="17"/>
        <v>0</v>
      </c>
    </row>
    <row r="38" spans="1:30" ht="15" customHeight="1" x14ac:dyDescent="0.35">
      <c r="A38" s="2"/>
      <c r="B38" s="3"/>
      <c r="C38" s="4"/>
      <c r="D38" s="5"/>
      <c r="E38" s="11" t="str">
        <f t="shared" ca="1" si="0"/>
        <v/>
      </c>
      <c r="F38" s="5"/>
      <c r="G38" s="6" t="str">
        <f>IF(AND($A38&lt;&gt;"",$B38&lt;&gt;"",$C38&lt;&gt;"",$D38&lt;&gt;""),IF(OR($B38="SER",$B38="PLH",$B38="CSF"),"Control CDI Plate "&amp;(INT(((COUNTIFS($B$2:$B38,"SER")+COUNTIFS($B$2:$B38,"PLH")+COUNTIFS($B$2:$B38,"CSF"))-1)/96)+1)&amp;": "&amp;CHAR(65+INT(MOD((COUNTIFS($B$2:$B38,"SER")+COUNTIFS($B$2:$B38,"PLH")+COUNTIFS($B$2:$B38,"CSF"))-1,96)/12))&amp;(MOD((COUNTIFS($B$2:$B38,"SER")+COUNTIFS($B$2:$B38,"PLH")+COUNTIFS($B$2:$B38,"CSF"))-1,12)+1),"N/A"),"")</f>
        <v/>
      </c>
      <c r="H38" s="6" t="str">
        <f>IF(AND($A38&lt;&gt;"",$B38&lt;&gt;"",$C38&lt;&gt;"",$D38&lt;&gt;""),IF(OR($B38="SER",$B38="PLH",$B38="CSF"),"Control NIH Plate "&amp;(INT(((COUNTIFS($B$2:$B38,"SER")+COUNTIFS($B$2:$B38,"PLH")+COUNTIFS($B$2:$B38,"CSF"))-1)/96)+1)&amp;": "&amp;CHAR(65+INT(MOD((COUNTIFS($B$2:$B38,"SER")+COUNTIFS($B$2:$B38,"PLH")+COUNTIFS($B$2:$B38,"CSF"))-1,96)/12))&amp;(MOD((COUNTIFS($B$2:$B38,"SER")+COUNTIFS($B$2:$B38,"PLH")+COUNTIFS($B$2:$B38,"CSF"))-1,12)+1),"N/A"),"")</f>
        <v/>
      </c>
      <c r="I38" s="6" t="str">
        <f>IF(AND($A38&lt;&gt;"",$B38&lt;&gt;"",$C38&lt;&gt;"",$D38&lt;&gt;""),IF(OR($B38="SER",$B38="PLH"),"Control MAX Planck Plate "&amp;(INT(((COUNTIFS($B$2:$B38,"SER")+COUNTIFS($B$2:$B38,"PLH"))-1)/96)+1)&amp;": "&amp;CHAR(65+INT(MOD((COUNTIFS($B$2:$B38,"SER")+COUNTIFS($B$2:$B38,"PLH"))-1,96)/12))&amp;(MOD((COUNTIFS($B$2:$B38,"SER")+COUNTIFS($B$2:$B38,"PLH"))-1,12)+1),"N/A"),"")</f>
        <v/>
      </c>
      <c r="J38" s="6" t="str">
        <f>IF(AND($A38&lt;&gt;"",$B38&lt;&gt;"",$C38&lt;&gt;"",$D38&lt;&gt;""),IF($B38="WB","Control WB Box "&amp;(INT((COUNTIFS($B$2:$B38,"WB")-1)/81)+1)&amp;": "&amp;CHAR(65+INT(MOD(COUNTIFS($B$2:$B38,"WB")-1,81)/9))&amp;(MOD(COUNTIFS($B$2:$B38,"WB")-1,9)+1),"N/A"),"")</f>
        <v/>
      </c>
      <c r="K38" s="3" t="str">
        <f t="shared" si="1"/>
        <v/>
      </c>
      <c r="L38" s="2"/>
      <c r="M38" s="2"/>
      <c r="N38" s="2"/>
      <c r="O38" s="7" t="str">
        <f t="shared" si="2"/>
        <v/>
      </c>
      <c r="P38" s="7" t="str">
        <f t="shared" si="3"/>
        <v/>
      </c>
      <c r="Q38" s="7" t="str">
        <f t="shared" si="4"/>
        <v/>
      </c>
      <c r="R38" s="7" t="str">
        <f t="shared" si="5"/>
        <v/>
      </c>
      <c r="S38" s="7" t="str">
        <f t="shared" si="6"/>
        <v/>
      </c>
      <c r="T38" s="7" t="str">
        <f t="shared" si="7"/>
        <v/>
      </c>
      <c r="U38" s="7" t="str">
        <f t="shared" si="8"/>
        <v/>
      </c>
      <c r="V38" s="7" t="str">
        <f t="shared" si="9"/>
        <v/>
      </c>
      <c r="W38" s="7" t="str">
        <f t="shared" si="10"/>
        <v/>
      </c>
      <c r="X38" s="7" t="str">
        <f t="shared" si="11"/>
        <v/>
      </c>
      <c r="Y38">
        <f t="shared" si="12"/>
        <v>0</v>
      </c>
      <c r="Z38" t="str">
        <f t="shared" si="13"/>
        <v/>
      </c>
      <c r="AA38" t="str">
        <f t="shared" si="14"/>
        <v/>
      </c>
      <c r="AB38" t="str">
        <f t="shared" si="15"/>
        <v/>
      </c>
      <c r="AC38" t="str">
        <f t="shared" si="16"/>
        <v/>
      </c>
      <c r="AD38">
        <f t="shared" si="17"/>
        <v>0</v>
      </c>
    </row>
    <row r="39" spans="1:30" ht="15" customHeight="1" x14ac:dyDescent="0.35">
      <c r="A39" s="2"/>
      <c r="B39" s="3"/>
      <c r="C39" s="4"/>
      <c r="D39" s="5"/>
      <c r="E39" s="11" t="str">
        <f t="shared" ca="1" si="0"/>
        <v/>
      </c>
      <c r="F39" s="5"/>
      <c r="G39" s="6" t="str">
        <f>IF(AND($A39&lt;&gt;"",$B39&lt;&gt;"",$C39&lt;&gt;"",$D39&lt;&gt;""),IF(OR($B39="SER",$B39="PLH",$B39="CSF"),"Control CDI Plate "&amp;(INT(((COUNTIFS($B$2:$B39,"SER")+COUNTIFS($B$2:$B39,"PLH")+COUNTIFS($B$2:$B39,"CSF"))-1)/96)+1)&amp;": "&amp;CHAR(65+INT(MOD((COUNTIFS($B$2:$B39,"SER")+COUNTIFS($B$2:$B39,"PLH")+COUNTIFS($B$2:$B39,"CSF"))-1,96)/12))&amp;(MOD((COUNTIFS($B$2:$B39,"SER")+COUNTIFS($B$2:$B39,"PLH")+COUNTIFS($B$2:$B39,"CSF"))-1,12)+1),"N/A"),"")</f>
        <v/>
      </c>
      <c r="H39" s="6" t="str">
        <f>IF(AND($A39&lt;&gt;"",$B39&lt;&gt;"",$C39&lt;&gt;"",$D39&lt;&gt;""),IF(OR($B39="SER",$B39="PLH",$B39="CSF"),"Control NIH Plate "&amp;(INT(((COUNTIFS($B$2:$B39,"SER")+COUNTIFS($B$2:$B39,"PLH")+COUNTIFS($B$2:$B39,"CSF"))-1)/96)+1)&amp;": "&amp;CHAR(65+INT(MOD((COUNTIFS($B$2:$B39,"SER")+COUNTIFS($B$2:$B39,"PLH")+COUNTIFS($B$2:$B39,"CSF"))-1,96)/12))&amp;(MOD((COUNTIFS($B$2:$B39,"SER")+COUNTIFS($B$2:$B39,"PLH")+COUNTIFS($B$2:$B39,"CSF"))-1,12)+1),"N/A"),"")</f>
        <v/>
      </c>
      <c r="I39" s="6" t="str">
        <f>IF(AND($A39&lt;&gt;"",$B39&lt;&gt;"",$C39&lt;&gt;"",$D39&lt;&gt;""),IF(OR($B39="SER",$B39="PLH"),"Control MAX Planck Plate "&amp;(INT(((COUNTIFS($B$2:$B39,"SER")+COUNTIFS($B$2:$B39,"PLH"))-1)/96)+1)&amp;": "&amp;CHAR(65+INT(MOD((COUNTIFS($B$2:$B39,"SER")+COUNTIFS($B$2:$B39,"PLH"))-1,96)/12))&amp;(MOD((COUNTIFS($B$2:$B39,"SER")+COUNTIFS($B$2:$B39,"PLH"))-1,12)+1),"N/A"),"")</f>
        <v/>
      </c>
      <c r="J39" s="6" t="str">
        <f>IF(AND($A39&lt;&gt;"",$B39&lt;&gt;"",$C39&lt;&gt;"",$D39&lt;&gt;""),IF($B39="WB","Control WB Box "&amp;(INT((COUNTIFS($B$2:$B39,"WB")-1)/81)+1)&amp;": "&amp;CHAR(65+INT(MOD(COUNTIFS($B$2:$B39,"WB")-1,81)/9))&amp;(MOD(COUNTIFS($B$2:$B39,"WB")-1,9)+1),"N/A"),"")</f>
        <v/>
      </c>
      <c r="K39" s="3" t="str">
        <f t="shared" si="1"/>
        <v/>
      </c>
      <c r="L39" s="2"/>
      <c r="M39" s="2"/>
      <c r="N39" s="2"/>
      <c r="O39" s="7" t="str">
        <f t="shared" si="2"/>
        <v/>
      </c>
      <c r="P39" s="7" t="str">
        <f t="shared" si="3"/>
        <v/>
      </c>
      <c r="Q39" s="7" t="str">
        <f t="shared" si="4"/>
        <v/>
      </c>
      <c r="R39" s="7" t="str">
        <f t="shared" si="5"/>
        <v/>
      </c>
      <c r="S39" s="7" t="str">
        <f t="shared" si="6"/>
        <v/>
      </c>
      <c r="T39" s="7" t="str">
        <f t="shared" si="7"/>
        <v/>
      </c>
      <c r="U39" s="7" t="str">
        <f t="shared" si="8"/>
        <v/>
      </c>
      <c r="V39" s="7" t="str">
        <f t="shared" si="9"/>
        <v/>
      </c>
      <c r="W39" s="7" t="str">
        <f t="shared" si="10"/>
        <v/>
      </c>
      <c r="X39" s="7" t="str">
        <f t="shared" si="11"/>
        <v/>
      </c>
      <c r="Y39">
        <f t="shared" si="12"/>
        <v>0</v>
      </c>
      <c r="Z39" t="str">
        <f t="shared" si="13"/>
        <v/>
      </c>
      <c r="AA39" t="str">
        <f t="shared" si="14"/>
        <v/>
      </c>
      <c r="AB39" t="str">
        <f t="shared" si="15"/>
        <v/>
      </c>
      <c r="AC39" t="str">
        <f t="shared" si="16"/>
        <v/>
      </c>
      <c r="AD39">
        <f t="shared" si="17"/>
        <v>0</v>
      </c>
    </row>
    <row r="40" spans="1:30" ht="15" customHeight="1" x14ac:dyDescent="0.35">
      <c r="A40" s="2"/>
      <c r="B40" s="3"/>
      <c r="C40" s="4"/>
      <c r="D40" s="5"/>
      <c r="E40" s="11" t="str">
        <f t="shared" ca="1" si="0"/>
        <v/>
      </c>
      <c r="F40" s="5"/>
      <c r="G40" s="6" t="str">
        <f>IF(AND($A40&lt;&gt;"",$B40&lt;&gt;"",$C40&lt;&gt;"",$D40&lt;&gt;""),IF(OR($B40="SER",$B40="PLH",$B40="CSF"),"Control CDI Plate "&amp;(INT(((COUNTIFS($B$2:$B40,"SER")+COUNTIFS($B$2:$B40,"PLH")+COUNTIFS($B$2:$B40,"CSF"))-1)/96)+1)&amp;": "&amp;CHAR(65+INT(MOD((COUNTIFS($B$2:$B40,"SER")+COUNTIFS($B$2:$B40,"PLH")+COUNTIFS($B$2:$B40,"CSF"))-1,96)/12))&amp;(MOD((COUNTIFS($B$2:$B40,"SER")+COUNTIFS($B$2:$B40,"PLH")+COUNTIFS($B$2:$B40,"CSF"))-1,12)+1),"N/A"),"")</f>
        <v/>
      </c>
      <c r="H40" s="6" t="str">
        <f>IF(AND($A40&lt;&gt;"",$B40&lt;&gt;"",$C40&lt;&gt;"",$D40&lt;&gt;""),IF(OR($B40="SER",$B40="PLH",$B40="CSF"),"Control NIH Plate "&amp;(INT(((COUNTIFS($B$2:$B40,"SER")+COUNTIFS($B$2:$B40,"PLH")+COUNTIFS($B$2:$B40,"CSF"))-1)/96)+1)&amp;": "&amp;CHAR(65+INT(MOD((COUNTIFS($B$2:$B40,"SER")+COUNTIFS($B$2:$B40,"PLH")+COUNTIFS($B$2:$B40,"CSF"))-1,96)/12))&amp;(MOD((COUNTIFS($B$2:$B40,"SER")+COUNTIFS($B$2:$B40,"PLH")+COUNTIFS($B$2:$B40,"CSF"))-1,12)+1),"N/A"),"")</f>
        <v/>
      </c>
      <c r="I40" s="6" t="str">
        <f>IF(AND($A40&lt;&gt;"",$B40&lt;&gt;"",$C40&lt;&gt;"",$D40&lt;&gt;""),IF(OR($B40="SER",$B40="PLH"),"Control MAX Planck Plate "&amp;(INT(((COUNTIFS($B$2:$B40,"SER")+COUNTIFS($B$2:$B40,"PLH"))-1)/96)+1)&amp;": "&amp;CHAR(65+INT(MOD((COUNTIFS($B$2:$B40,"SER")+COUNTIFS($B$2:$B40,"PLH"))-1,96)/12))&amp;(MOD((COUNTIFS($B$2:$B40,"SER")+COUNTIFS($B$2:$B40,"PLH"))-1,12)+1),"N/A"),"")</f>
        <v/>
      </c>
      <c r="J40" s="6" t="str">
        <f>IF(AND($A40&lt;&gt;"",$B40&lt;&gt;"",$C40&lt;&gt;"",$D40&lt;&gt;""),IF($B40="WB","Control WB Box "&amp;(INT((COUNTIFS($B$2:$B40,"WB")-1)/81)+1)&amp;": "&amp;CHAR(65+INT(MOD(COUNTIFS($B$2:$B40,"WB")-1,81)/9))&amp;(MOD(COUNTIFS($B$2:$B40,"WB")-1,9)+1),"N/A"),"")</f>
        <v/>
      </c>
      <c r="K40" s="3" t="str">
        <f t="shared" si="1"/>
        <v/>
      </c>
      <c r="L40" s="2"/>
      <c r="M40" s="2"/>
      <c r="N40" s="2"/>
      <c r="O40" s="7" t="str">
        <f t="shared" si="2"/>
        <v/>
      </c>
      <c r="P40" s="7" t="str">
        <f t="shared" si="3"/>
        <v/>
      </c>
      <c r="Q40" s="7" t="str">
        <f t="shared" si="4"/>
        <v/>
      </c>
      <c r="R40" s="7" t="str">
        <f t="shared" si="5"/>
        <v/>
      </c>
      <c r="S40" s="7" t="str">
        <f t="shared" si="6"/>
        <v/>
      </c>
      <c r="T40" s="7" t="str">
        <f t="shared" si="7"/>
        <v/>
      </c>
      <c r="U40" s="7" t="str">
        <f t="shared" si="8"/>
        <v/>
      </c>
      <c r="V40" s="7" t="str">
        <f t="shared" si="9"/>
        <v/>
      </c>
      <c r="W40" s="7" t="str">
        <f t="shared" si="10"/>
        <v/>
      </c>
      <c r="X40" s="7" t="str">
        <f t="shared" si="11"/>
        <v/>
      </c>
      <c r="Y40">
        <f t="shared" si="12"/>
        <v>0</v>
      </c>
      <c r="Z40" t="str">
        <f t="shared" si="13"/>
        <v/>
      </c>
      <c r="AA40" t="str">
        <f t="shared" si="14"/>
        <v/>
      </c>
      <c r="AB40" t="str">
        <f t="shared" si="15"/>
        <v/>
      </c>
      <c r="AC40" t="str">
        <f t="shared" si="16"/>
        <v/>
      </c>
      <c r="AD40">
        <f t="shared" si="17"/>
        <v>0</v>
      </c>
    </row>
    <row r="41" spans="1:30" ht="15" customHeight="1" x14ac:dyDescent="0.35">
      <c r="A41" s="2"/>
      <c r="B41" s="3"/>
      <c r="C41" s="4"/>
      <c r="D41" s="5"/>
      <c r="E41" s="11" t="str">
        <f t="shared" ca="1" si="0"/>
        <v/>
      </c>
      <c r="F41" s="5"/>
      <c r="G41" s="6" t="str">
        <f>IF(AND($A41&lt;&gt;"",$B41&lt;&gt;"",$C41&lt;&gt;"",$D41&lt;&gt;""),IF(OR($B41="SER",$B41="PLH",$B41="CSF"),"Control CDI Plate "&amp;(INT(((COUNTIFS($B$2:$B41,"SER")+COUNTIFS($B$2:$B41,"PLH")+COUNTIFS($B$2:$B41,"CSF"))-1)/96)+1)&amp;": "&amp;CHAR(65+INT(MOD((COUNTIFS($B$2:$B41,"SER")+COUNTIFS($B$2:$B41,"PLH")+COUNTIFS($B$2:$B41,"CSF"))-1,96)/12))&amp;(MOD((COUNTIFS($B$2:$B41,"SER")+COUNTIFS($B$2:$B41,"PLH")+COUNTIFS($B$2:$B41,"CSF"))-1,12)+1),"N/A"),"")</f>
        <v/>
      </c>
      <c r="H41" s="6" t="str">
        <f>IF(AND($A41&lt;&gt;"",$B41&lt;&gt;"",$C41&lt;&gt;"",$D41&lt;&gt;""),IF(OR($B41="SER",$B41="PLH",$B41="CSF"),"Control NIH Plate "&amp;(INT(((COUNTIFS($B$2:$B41,"SER")+COUNTIFS($B$2:$B41,"PLH")+COUNTIFS($B$2:$B41,"CSF"))-1)/96)+1)&amp;": "&amp;CHAR(65+INT(MOD((COUNTIFS($B$2:$B41,"SER")+COUNTIFS($B$2:$B41,"PLH")+COUNTIFS($B$2:$B41,"CSF"))-1,96)/12))&amp;(MOD((COUNTIFS($B$2:$B41,"SER")+COUNTIFS($B$2:$B41,"PLH")+COUNTIFS($B$2:$B41,"CSF"))-1,12)+1),"N/A"),"")</f>
        <v/>
      </c>
      <c r="I41" s="6" t="str">
        <f>IF(AND($A41&lt;&gt;"",$B41&lt;&gt;"",$C41&lt;&gt;"",$D41&lt;&gt;""),IF(OR($B41="SER",$B41="PLH"),"Control MAX Planck Plate "&amp;(INT(((COUNTIFS($B$2:$B41,"SER")+COUNTIFS($B$2:$B41,"PLH"))-1)/96)+1)&amp;": "&amp;CHAR(65+INT(MOD((COUNTIFS($B$2:$B41,"SER")+COUNTIFS($B$2:$B41,"PLH"))-1,96)/12))&amp;(MOD((COUNTIFS($B$2:$B41,"SER")+COUNTIFS($B$2:$B41,"PLH"))-1,12)+1),"N/A"),"")</f>
        <v/>
      </c>
      <c r="J41" s="6" t="str">
        <f>IF(AND($A41&lt;&gt;"",$B41&lt;&gt;"",$C41&lt;&gt;"",$D41&lt;&gt;""),IF($B41="WB","Control WB Box "&amp;(INT((COUNTIFS($B$2:$B41,"WB")-1)/81)+1)&amp;": "&amp;CHAR(65+INT(MOD(COUNTIFS($B$2:$B41,"WB")-1,81)/9))&amp;(MOD(COUNTIFS($B$2:$B41,"WB")-1,9)+1),"N/A"),"")</f>
        <v/>
      </c>
      <c r="K41" s="3" t="str">
        <f t="shared" si="1"/>
        <v/>
      </c>
      <c r="L41" s="2"/>
      <c r="M41" s="2"/>
      <c r="N41" s="2"/>
      <c r="O41" s="7" t="str">
        <f t="shared" si="2"/>
        <v/>
      </c>
      <c r="P41" s="7" t="str">
        <f t="shared" si="3"/>
        <v/>
      </c>
      <c r="Q41" s="7" t="str">
        <f t="shared" si="4"/>
        <v/>
      </c>
      <c r="R41" s="7" t="str">
        <f t="shared" si="5"/>
        <v/>
      </c>
      <c r="S41" s="7" t="str">
        <f t="shared" si="6"/>
        <v/>
      </c>
      <c r="T41" s="7" t="str">
        <f t="shared" si="7"/>
        <v/>
      </c>
      <c r="U41" s="7" t="str">
        <f t="shared" si="8"/>
        <v/>
      </c>
      <c r="V41" s="7" t="str">
        <f t="shared" si="9"/>
        <v/>
      </c>
      <c r="W41" s="7" t="str">
        <f t="shared" si="10"/>
        <v/>
      </c>
      <c r="X41" s="7" t="str">
        <f t="shared" si="11"/>
        <v/>
      </c>
      <c r="Y41">
        <f t="shared" si="12"/>
        <v>0</v>
      </c>
      <c r="Z41" t="str">
        <f t="shared" si="13"/>
        <v/>
      </c>
      <c r="AA41" t="str">
        <f t="shared" si="14"/>
        <v/>
      </c>
      <c r="AB41" t="str">
        <f t="shared" si="15"/>
        <v/>
      </c>
      <c r="AC41" t="str">
        <f t="shared" si="16"/>
        <v/>
      </c>
      <c r="AD41">
        <f t="shared" si="17"/>
        <v>0</v>
      </c>
    </row>
    <row r="42" spans="1:30" ht="15" customHeight="1" x14ac:dyDescent="0.35">
      <c r="A42" s="2"/>
      <c r="B42" s="3"/>
      <c r="C42" s="4"/>
      <c r="D42" s="5"/>
      <c r="E42" s="11" t="str">
        <f t="shared" ca="1" si="0"/>
        <v/>
      </c>
      <c r="F42" s="5"/>
      <c r="G42" s="6" t="str">
        <f>IF(AND($A42&lt;&gt;"",$B42&lt;&gt;"",$C42&lt;&gt;"",$D42&lt;&gt;""),IF(OR($B42="SER",$B42="PLH",$B42="CSF"),"Control CDI Plate "&amp;(INT(((COUNTIFS($B$2:$B42,"SER")+COUNTIFS($B$2:$B42,"PLH")+COUNTIFS($B$2:$B42,"CSF"))-1)/96)+1)&amp;": "&amp;CHAR(65+INT(MOD((COUNTIFS($B$2:$B42,"SER")+COUNTIFS($B$2:$B42,"PLH")+COUNTIFS($B$2:$B42,"CSF"))-1,96)/12))&amp;(MOD((COUNTIFS($B$2:$B42,"SER")+COUNTIFS($B$2:$B42,"PLH")+COUNTIFS($B$2:$B42,"CSF"))-1,12)+1),"N/A"),"")</f>
        <v/>
      </c>
      <c r="H42" s="6" t="str">
        <f>IF(AND($A42&lt;&gt;"",$B42&lt;&gt;"",$C42&lt;&gt;"",$D42&lt;&gt;""),IF(OR($B42="SER",$B42="PLH",$B42="CSF"),"Control NIH Plate "&amp;(INT(((COUNTIFS($B$2:$B42,"SER")+COUNTIFS($B$2:$B42,"PLH")+COUNTIFS($B$2:$B42,"CSF"))-1)/96)+1)&amp;": "&amp;CHAR(65+INT(MOD((COUNTIFS($B$2:$B42,"SER")+COUNTIFS($B$2:$B42,"PLH")+COUNTIFS($B$2:$B42,"CSF"))-1,96)/12))&amp;(MOD((COUNTIFS($B$2:$B42,"SER")+COUNTIFS($B$2:$B42,"PLH")+COUNTIFS($B$2:$B42,"CSF"))-1,12)+1),"N/A"),"")</f>
        <v/>
      </c>
      <c r="I42" s="6" t="str">
        <f>IF(AND($A42&lt;&gt;"",$B42&lt;&gt;"",$C42&lt;&gt;"",$D42&lt;&gt;""),IF(OR($B42="SER",$B42="PLH"),"Control MAX Planck Plate "&amp;(INT(((COUNTIFS($B$2:$B42,"SER")+COUNTIFS($B$2:$B42,"PLH"))-1)/96)+1)&amp;": "&amp;CHAR(65+INT(MOD((COUNTIFS($B$2:$B42,"SER")+COUNTIFS($B$2:$B42,"PLH"))-1,96)/12))&amp;(MOD((COUNTIFS($B$2:$B42,"SER")+COUNTIFS($B$2:$B42,"PLH"))-1,12)+1),"N/A"),"")</f>
        <v/>
      </c>
      <c r="J42" s="6" t="str">
        <f>IF(AND($A42&lt;&gt;"",$B42&lt;&gt;"",$C42&lt;&gt;"",$D42&lt;&gt;""),IF($B42="WB","Control WB Box "&amp;(INT((COUNTIFS($B$2:$B42,"WB")-1)/81)+1)&amp;": "&amp;CHAR(65+INT(MOD(COUNTIFS($B$2:$B42,"WB")-1,81)/9))&amp;(MOD(COUNTIFS($B$2:$B42,"WB")-1,9)+1),"N/A"),"")</f>
        <v/>
      </c>
      <c r="K42" s="3" t="str">
        <f t="shared" si="1"/>
        <v/>
      </c>
      <c r="L42" s="2"/>
      <c r="M42" s="2"/>
      <c r="N42" s="2"/>
      <c r="O42" s="7" t="str">
        <f t="shared" si="2"/>
        <v/>
      </c>
      <c r="P42" s="7" t="str">
        <f t="shared" si="3"/>
        <v/>
      </c>
      <c r="Q42" s="7" t="str">
        <f t="shared" si="4"/>
        <v/>
      </c>
      <c r="R42" s="7" t="str">
        <f t="shared" si="5"/>
        <v/>
      </c>
      <c r="S42" s="7" t="str">
        <f t="shared" si="6"/>
        <v/>
      </c>
      <c r="T42" s="7" t="str">
        <f t="shared" si="7"/>
        <v/>
      </c>
      <c r="U42" s="7" t="str">
        <f t="shared" si="8"/>
        <v/>
      </c>
      <c r="V42" s="7" t="str">
        <f t="shared" si="9"/>
        <v/>
      </c>
      <c r="W42" s="7" t="str">
        <f t="shared" si="10"/>
        <v/>
      </c>
      <c r="X42" s="7" t="str">
        <f t="shared" si="11"/>
        <v/>
      </c>
      <c r="Y42">
        <f t="shared" si="12"/>
        <v>0</v>
      </c>
      <c r="Z42" t="str">
        <f t="shared" si="13"/>
        <v/>
      </c>
      <c r="AA42" t="str">
        <f t="shared" si="14"/>
        <v/>
      </c>
      <c r="AB42" t="str">
        <f t="shared" si="15"/>
        <v/>
      </c>
      <c r="AC42" t="str">
        <f t="shared" si="16"/>
        <v/>
      </c>
      <c r="AD42">
        <f t="shared" si="17"/>
        <v>0</v>
      </c>
    </row>
    <row r="43" spans="1:30" ht="15" customHeight="1" x14ac:dyDescent="0.35">
      <c r="A43" s="2"/>
      <c r="B43" s="3"/>
      <c r="C43" s="4"/>
      <c r="D43" s="5"/>
      <c r="E43" s="11" t="str">
        <f t="shared" ca="1" si="0"/>
        <v/>
      </c>
      <c r="F43" s="5"/>
      <c r="G43" s="6" t="str">
        <f>IF(AND($A43&lt;&gt;"",$B43&lt;&gt;"",$C43&lt;&gt;"",$D43&lt;&gt;""),IF(OR($B43="SER",$B43="PLH",$B43="CSF"),"Control CDI Plate "&amp;(INT(((COUNTIFS($B$2:$B43,"SER")+COUNTIFS($B$2:$B43,"PLH")+COUNTIFS($B$2:$B43,"CSF"))-1)/96)+1)&amp;": "&amp;CHAR(65+INT(MOD((COUNTIFS($B$2:$B43,"SER")+COUNTIFS($B$2:$B43,"PLH")+COUNTIFS($B$2:$B43,"CSF"))-1,96)/12))&amp;(MOD((COUNTIFS($B$2:$B43,"SER")+COUNTIFS($B$2:$B43,"PLH")+COUNTIFS($B$2:$B43,"CSF"))-1,12)+1),"N/A"),"")</f>
        <v/>
      </c>
      <c r="H43" s="6" t="str">
        <f>IF(AND($A43&lt;&gt;"",$B43&lt;&gt;"",$C43&lt;&gt;"",$D43&lt;&gt;""),IF(OR($B43="SER",$B43="PLH",$B43="CSF"),"Control NIH Plate "&amp;(INT(((COUNTIFS($B$2:$B43,"SER")+COUNTIFS($B$2:$B43,"PLH")+COUNTIFS($B$2:$B43,"CSF"))-1)/96)+1)&amp;": "&amp;CHAR(65+INT(MOD((COUNTIFS($B$2:$B43,"SER")+COUNTIFS($B$2:$B43,"PLH")+COUNTIFS($B$2:$B43,"CSF"))-1,96)/12))&amp;(MOD((COUNTIFS($B$2:$B43,"SER")+COUNTIFS($B$2:$B43,"PLH")+COUNTIFS($B$2:$B43,"CSF"))-1,12)+1),"N/A"),"")</f>
        <v/>
      </c>
      <c r="I43" s="6" t="str">
        <f>IF(AND($A43&lt;&gt;"",$B43&lt;&gt;"",$C43&lt;&gt;"",$D43&lt;&gt;""),IF(OR($B43="SER",$B43="PLH"),"Control MAX Planck Plate "&amp;(INT(((COUNTIFS($B$2:$B43,"SER")+COUNTIFS($B$2:$B43,"PLH"))-1)/96)+1)&amp;": "&amp;CHAR(65+INT(MOD((COUNTIFS($B$2:$B43,"SER")+COUNTIFS($B$2:$B43,"PLH"))-1,96)/12))&amp;(MOD((COUNTIFS($B$2:$B43,"SER")+COUNTIFS($B$2:$B43,"PLH"))-1,12)+1),"N/A"),"")</f>
        <v/>
      </c>
      <c r="J43" s="6" t="str">
        <f>IF(AND($A43&lt;&gt;"",$B43&lt;&gt;"",$C43&lt;&gt;"",$D43&lt;&gt;""),IF($B43="WB","Control WB Box "&amp;(INT((COUNTIFS($B$2:$B43,"WB")-1)/81)+1)&amp;": "&amp;CHAR(65+INT(MOD(COUNTIFS($B$2:$B43,"WB")-1,81)/9))&amp;(MOD(COUNTIFS($B$2:$B43,"WB")-1,9)+1),"N/A"),"")</f>
        <v/>
      </c>
      <c r="K43" s="3" t="str">
        <f t="shared" si="1"/>
        <v/>
      </c>
      <c r="L43" s="2"/>
      <c r="M43" s="2"/>
      <c r="N43" s="2"/>
      <c r="O43" s="7" t="str">
        <f t="shared" si="2"/>
        <v/>
      </c>
      <c r="P43" s="7" t="str">
        <f t="shared" si="3"/>
        <v/>
      </c>
      <c r="Q43" s="7" t="str">
        <f t="shared" si="4"/>
        <v/>
      </c>
      <c r="R43" s="7" t="str">
        <f t="shared" si="5"/>
        <v/>
      </c>
      <c r="S43" s="7" t="str">
        <f t="shared" si="6"/>
        <v/>
      </c>
      <c r="T43" s="7" t="str">
        <f t="shared" si="7"/>
        <v/>
      </c>
      <c r="U43" s="7" t="str">
        <f t="shared" si="8"/>
        <v/>
      </c>
      <c r="V43" s="7" t="str">
        <f t="shared" si="9"/>
        <v/>
      </c>
      <c r="W43" s="7" t="str">
        <f t="shared" si="10"/>
        <v/>
      </c>
      <c r="X43" s="7" t="str">
        <f t="shared" si="11"/>
        <v/>
      </c>
      <c r="Y43">
        <f t="shared" si="12"/>
        <v>0</v>
      </c>
      <c r="Z43" t="str">
        <f t="shared" si="13"/>
        <v/>
      </c>
      <c r="AA43" t="str">
        <f t="shared" si="14"/>
        <v/>
      </c>
      <c r="AB43" t="str">
        <f t="shared" si="15"/>
        <v/>
      </c>
      <c r="AC43" t="str">
        <f t="shared" si="16"/>
        <v/>
      </c>
      <c r="AD43">
        <f t="shared" si="17"/>
        <v>0</v>
      </c>
    </row>
    <row r="44" spans="1:30" ht="15" customHeight="1" x14ac:dyDescent="0.35">
      <c r="A44" s="2"/>
      <c r="B44" s="3"/>
      <c r="C44" s="4"/>
      <c r="D44" s="5"/>
      <c r="E44" s="11" t="str">
        <f t="shared" ca="1" si="0"/>
        <v/>
      </c>
      <c r="F44" s="5"/>
      <c r="G44" s="6" t="str">
        <f>IF(AND($A44&lt;&gt;"",$B44&lt;&gt;"",$C44&lt;&gt;"",$D44&lt;&gt;""),IF(OR($B44="SER",$B44="PLH",$B44="CSF"),"Control CDI Plate "&amp;(INT(((COUNTIFS($B$2:$B44,"SER")+COUNTIFS($B$2:$B44,"PLH")+COUNTIFS($B$2:$B44,"CSF"))-1)/96)+1)&amp;": "&amp;CHAR(65+INT(MOD((COUNTIFS($B$2:$B44,"SER")+COUNTIFS($B$2:$B44,"PLH")+COUNTIFS($B$2:$B44,"CSF"))-1,96)/12))&amp;(MOD((COUNTIFS($B$2:$B44,"SER")+COUNTIFS($B$2:$B44,"PLH")+COUNTIFS($B$2:$B44,"CSF"))-1,12)+1),"N/A"),"")</f>
        <v/>
      </c>
      <c r="H44" s="6" t="str">
        <f>IF(AND($A44&lt;&gt;"",$B44&lt;&gt;"",$C44&lt;&gt;"",$D44&lt;&gt;""),IF(OR($B44="SER",$B44="PLH",$B44="CSF"),"Control NIH Plate "&amp;(INT(((COUNTIFS($B$2:$B44,"SER")+COUNTIFS($B$2:$B44,"PLH")+COUNTIFS($B$2:$B44,"CSF"))-1)/96)+1)&amp;": "&amp;CHAR(65+INT(MOD((COUNTIFS($B$2:$B44,"SER")+COUNTIFS($B$2:$B44,"PLH")+COUNTIFS($B$2:$B44,"CSF"))-1,96)/12))&amp;(MOD((COUNTIFS($B$2:$B44,"SER")+COUNTIFS($B$2:$B44,"PLH")+COUNTIFS($B$2:$B44,"CSF"))-1,12)+1),"N/A"),"")</f>
        <v/>
      </c>
      <c r="I44" s="6" t="str">
        <f>IF(AND($A44&lt;&gt;"",$B44&lt;&gt;"",$C44&lt;&gt;"",$D44&lt;&gt;""),IF(OR($B44="SER",$B44="PLH"),"Control MAX Planck Plate "&amp;(INT(((COUNTIFS($B$2:$B44,"SER")+COUNTIFS($B$2:$B44,"PLH"))-1)/96)+1)&amp;": "&amp;CHAR(65+INT(MOD((COUNTIFS($B$2:$B44,"SER")+COUNTIFS($B$2:$B44,"PLH"))-1,96)/12))&amp;(MOD((COUNTIFS($B$2:$B44,"SER")+COUNTIFS($B$2:$B44,"PLH"))-1,12)+1),"N/A"),"")</f>
        <v/>
      </c>
      <c r="J44" s="6" t="str">
        <f>IF(AND($A44&lt;&gt;"",$B44&lt;&gt;"",$C44&lt;&gt;"",$D44&lt;&gt;""),IF($B44="WB","Control WB Box "&amp;(INT((COUNTIFS($B$2:$B44,"WB")-1)/81)+1)&amp;": "&amp;CHAR(65+INT(MOD(COUNTIFS($B$2:$B44,"WB")-1,81)/9))&amp;(MOD(COUNTIFS($B$2:$B44,"WB")-1,9)+1),"N/A"),"")</f>
        <v/>
      </c>
      <c r="K44" s="3" t="str">
        <f t="shared" si="1"/>
        <v/>
      </c>
      <c r="L44" s="2"/>
      <c r="M44" s="2"/>
      <c r="N44" s="2"/>
      <c r="O44" s="7" t="str">
        <f t="shared" si="2"/>
        <v/>
      </c>
      <c r="P44" s="7" t="str">
        <f t="shared" si="3"/>
        <v/>
      </c>
      <c r="Q44" s="7" t="str">
        <f t="shared" si="4"/>
        <v/>
      </c>
      <c r="R44" s="7" t="str">
        <f t="shared" si="5"/>
        <v/>
      </c>
      <c r="S44" s="7" t="str">
        <f t="shared" si="6"/>
        <v/>
      </c>
      <c r="T44" s="7" t="str">
        <f t="shared" si="7"/>
        <v/>
      </c>
      <c r="U44" s="7" t="str">
        <f t="shared" si="8"/>
        <v/>
      </c>
      <c r="V44" s="7" t="str">
        <f t="shared" si="9"/>
        <v/>
      </c>
      <c r="W44" s="7" t="str">
        <f t="shared" si="10"/>
        <v/>
      </c>
      <c r="X44" s="7" t="str">
        <f t="shared" si="11"/>
        <v/>
      </c>
      <c r="Y44">
        <f t="shared" si="12"/>
        <v>0</v>
      </c>
      <c r="Z44" t="str">
        <f t="shared" si="13"/>
        <v/>
      </c>
      <c r="AA44" t="str">
        <f t="shared" si="14"/>
        <v/>
      </c>
      <c r="AB44" t="str">
        <f t="shared" si="15"/>
        <v/>
      </c>
      <c r="AC44" t="str">
        <f t="shared" si="16"/>
        <v/>
      </c>
      <c r="AD44">
        <f t="shared" si="17"/>
        <v>0</v>
      </c>
    </row>
    <row r="45" spans="1:30" ht="15" customHeight="1" x14ac:dyDescent="0.35">
      <c r="A45" s="2"/>
      <c r="B45" s="3"/>
      <c r="C45" s="4"/>
      <c r="D45" s="5"/>
      <c r="E45" s="11" t="str">
        <f t="shared" ca="1" si="0"/>
        <v/>
      </c>
      <c r="F45" s="5"/>
      <c r="G45" s="6" t="str">
        <f>IF(AND($A45&lt;&gt;"",$B45&lt;&gt;"",$C45&lt;&gt;"",$D45&lt;&gt;""),IF(OR($B45="SER",$B45="PLH",$B45="CSF"),"Control CDI Plate "&amp;(INT(((COUNTIFS($B$2:$B45,"SER")+COUNTIFS($B$2:$B45,"PLH")+COUNTIFS($B$2:$B45,"CSF"))-1)/96)+1)&amp;": "&amp;CHAR(65+INT(MOD((COUNTIFS($B$2:$B45,"SER")+COUNTIFS($B$2:$B45,"PLH")+COUNTIFS($B$2:$B45,"CSF"))-1,96)/12))&amp;(MOD((COUNTIFS($B$2:$B45,"SER")+COUNTIFS($B$2:$B45,"PLH")+COUNTIFS($B$2:$B45,"CSF"))-1,12)+1),"N/A"),"")</f>
        <v/>
      </c>
      <c r="H45" s="6" t="str">
        <f>IF(AND($A45&lt;&gt;"",$B45&lt;&gt;"",$C45&lt;&gt;"",$D45&lt;&gt;""),IF(OR($B45="SER",$B45="PLH",$B45="CSF"),"Control NIH Plate "&amp;(INT(((COUNTIFS($B$2:$B45,"SER")+COUNTIFS($B$2:$B45,"PLH")+COUNTIFS($B$2:$B45,"CSF"))-1)/96)+1)&amp;": "&amp;CHAR(65+INT(MOD((COUNTIFS($B$2:$B45,"SER")+COUNTIFS($B$2:$B45,"PLH")+COUNTIFS($B$2:$B45,"CSF"))-1,96)/12))&amp;(MOD((COUNTIFS($B$2:$B45,"SER")+COUNTIFS($B$2:$B45,"PLH")+COUNTIFS($B$2:$B45,"CSF"))-1,12)+1),"N/A"),"")</f>
        <v/>
      </c>
      <c r="I45" s="6" t="str">
        <f>IF(AND($A45&lt;&gt;"",$B45&lt;&gt;"",$C45&lt;&gt;"",$D45&lt;&gt;""),IF(OR($B45="SER",$B45="PLH"),"Control MAX Planck Plate "&amp;(INT(((COUNTIFS($B$2:$B45,"SER")+COUNTIFS($B$2:$B45,"PLH"))-1)/96)+1)&amp;": "&amp;CHAR(65+INT(MOD((COUNTIFS($B$2:$B45,"SER")+COUNTIFS($B$2:$B45,"PLH"))-1,96)/12))&amp;(MOD((COUNTIFS($B$2:$B45,"SER")+COUNTIFS($B$2:$B45,"PLH"))-1,12)+1),"N/A"),"")</f>
        <v/>
      </c>
      <c r="J45" s="6" t="str">
        <f>IF(AND($A45&lt;&gt;"",$B45&lt;&gt;"",$C45&lt;&gt;"",$D45&lt;&gt;""),IF($B45="WB","Control WB Box "&amp;(INT((COUNTIFS($B$2:$B45,"WB")-1)/81)+1)&amp;": "&amp;CHAR(65+INT(MOD(COUNTIFS($B$2:$B45,"WB")-1,81)/9))&amp;(MOD(COUNTIFS($B$2:$B45,"WB")-1,9)+1),"N/A"),"")</f>
        <v/>
      </c>
      <c r="K45" s="3" t="str">
        <f t="shared" si="1"/>
        <v/>
      </c>
      <c r="L45" s="2"/>
      <c r="M45" s="2"/>
      <c r="N45" s="2"/>
      <c r="O45" s="7" t="str">
        <f t="shared" si="2"/>
        <v/>
      </c>
      <c r="P45" s="7" t="str">
        <f t="shared" si="3"/>
        <v/>
      </c>
      <c r="Q45" s="7" t="str">
        <f t="shared" si="4"/>
        <v/>
      </c>
      <c r="R45" s="7" t="str">
        <f t="shared" si="5"/>
        <v/>
      </c>
      <c r="S45" s="7" t="str">
        <f t="shared" si="6"/>
        <v/>
      </c>
      <c r="T45" s="7" t="str">
        <f t="shared" si="7"/>
        <v/>
      </c>
      <c r="U45" s="7" t="str">
        <f t="shared" si="8"/>
        <v/>
      </c>
      <c r="V45" s="7" t="str">
        <f t="shared" si="9"/>
        <v/>
      </c>
      <c r="W45" s="7" t="str">
        <f t="shared" si="10"/>
        <v/>
      </c>
      <c r="X45" s="7" t="str">
        <f t="shared" si="11"/>
        <v/>
      </c>
      <c r="Y45">
        <f t="shared" si="12"/>
        <v>0</v>
      </c>
      <c r="Z45" t="str">
        <f t="shared" si="13"/>
        <v/>
      </c>
      <c r="AA45" t="str">
        <f t="shared" si="14"/>
        <v/>
      </c>
      <c r="AB45" t="str">
        <f t="shared" si="15"/>
        <v/>
      </c>
      <c r="AC45" t="str">
        <f t="shared" si="16"/>
        <v/>
      </c>
      <c r="AD45">
        <f t="shared" si="17"/>
        <v>0</v>
      </c>
    </row>
    <row r="46" spans="1:30" ht="15" customHeight="1" x14ac:dyDescent="0.35">
      <c r="A46" s="2"/>
      <c r="B46" s="3"/>
      <c r="C46" s="4"/>
      <c r="D46" s="5"/>
      <c r="E46" s="11" t="str">
        <f t="shared" ca="1" si="0"/>
        <v/>
      </c>
      <c r="F46" s="5"/>
      <c r="G46" s="6" t="str">
        <f>IF(AND($A46&lt;&gt;"",$B46&lt;&gt;"",$C46&lt;&gt;"",$D46&lt;&gt;""),IF(OR($B46="SER",$B46="PLH",$B46="CSF"),"Control CDI Plate "&amp;(INT(((COUNTIFS($B$2:$B46,"SER")+COUNTIFS($B$2:$B46,"PLH")+COUNTIFS($B$2:$B46,"CSF"))-1)/96)+1)&amp;": "&amp;CHAR(65+INT(MOD((COUNTIFS($B$2:$B46,"SER")+COUNTIFS($B$2:$B46,"PLH")+COUNTIFS($B$2:$B46,"CSF"))-1,96)/12))&amp;(MOD((COUNTIFS($B$2:$B46,"SER")+COUNTIFS($B$2:$B46,"PLH")+COUNTIFS($B$2:$B46,"CSF"))-1,12)+1),"N/A"),"")</f>
        <v/>
      </c>
      <c r="H46" s="6" t="str">
        <f>IF(AND($A46&lt;&gt;"",$B46&lt;&gt;"",$C46&lt;&gt;"",$D46&lt;&gt;""),IF(OR($B46="SER",$B46="PLH",$B46="CSF"),"Control NIH Plate "&amp;(INT(((COUNTIFS($B$2:$B46,"SER")+COUNTIFS($B$2:$B46,"PLH")+COUNTIFS($B$2:$B46,"CSF"))-1)/96)+1)&amp;": "&amp;CHAR(65+INT(MOD((COUNTIFS($B$2:$B46,"SER")+COUNTIFS($B$2:$B46,"PLH")+COUNTIFS($B$2:$B46,"CSF"))-1,96)/12))&amp;(MOD((COUNTIFS($B$2:$B46,"SER")+COUNTIFS($B$2:$B46,"PLH")+COUNTIFS($B$2:$B46,"CSF"))-1,12)+1),"N/A"),"")</f>
        <v/>
      </c>
      <c r="I46" s="6" t="str">
        <f>IF(AND($A46&lt;&gt;"",$B46&lt;&gt;"",$C46&lt;&gt;"",$D46&lt;&gt;""),IF(OR($B46="SER",$B46="PLH"),"Control MAX Planck Plate "&amp;(INT(((COUNTIFS($B$2:$B46,"SER")+COUNTIFS($B$2:$B46,"PLH"))-1)/96)+1)&amp;": "&amp;CHAR(65+INT(MOD((COUNTIFS($B$2:$B46,"SER")+COUNTIFS($B$2:$B46,"PLH"))-1,96)/12))&amp;(MOD((COUNTIFS($B$2:$B46,"SER")+COUNTIFS($B$2:$B46,"PLH"))-1,12)+1),"N/A"),"")</f>
        <v/>
      </c>
      <c r="J46" s="6" t="str">
        <f>IF(AND($A46&lt;&gt;"",$B46&lt;&gt;"",$C46&lt;&gt;"",$D46&lt;&gt;""),IF($B46="WB","Control WB Box "&amp;(INT((COUNTIFS($B$2:$B46,"WB")-1)/81)+1)&amp;": "&amp;CHAR(65+INT(MOD(COUNTIFS($B$2:$B46,"WB")-1,81)/9))&amp;(MOD(COUNTIFS($B$2:$B46,"WB")-1,9)+1),"N/A"),"")</f>
        <v/>
      </c>
      <c r="K46" s="3" t="str">
        <f t="shared" si="1"/>
        <v/>
      </c>
      <c r="L46" s="2"/>
      <c r="M46" s="2"/>
      <c r="N46" s="2"/>
      <c r="O46" s="7" t="str">
        <f t="shared" si="2"/>
        <v/>
      </c>
      <c r="P46" s="7" t="str">
        <f t="shared" si="3"/>
        <v/>
      </c>
      <c r="Q46" s="7" t="str">
        <f t="shared" si="4"/>
        <v/>
      </c>
      <c r="R46" s="7" t="str">
        <f t="shared" si="5"/>
        <v/>
      </c>
      <c r="S46" s="7" t="str">
        <f t="shared" si="6"/>
        <v/>
      </c>
      <c r="T46" s="7" t="str">
        <f t="shared" si="7"/>
        <v/>
      </c>
      <c r="U46" s="7" t="str">
        <f t="shared" si="8"/>
        <v/>
      </c>
      <c r="V46" s="7" t="str">
        <f t="shared" si="9"/>
        <v/>
      </c>
      <c r="W46" s="7" t="str">
        <f t="shared" si="10"/>
        <v/>
      </c>
      <c r="X46" s="7" t="str">
        <f t="shared" si="11"/>
        <v/>
      </c>
      <c r="Y46">
        <f t="shared" si="12"/>
        <v>0</v>
      </c>
      <c r="Z46" t="str">
        <f t="shared" si="13"/>
        <v/>
      </c>
      <c r="AA46" t="str">
        <f t="shared" si="14"/>
        <v/>
      </c>
      <c r="AB46" t="str">
        <f t="shared" si="15"/>
        <v/>
      </c>
      <c r="AC46" t="str">
        <f t="shared" si="16"/>
        <v/>
      </c>
      <c r="AD46">
        <f t="shared" si="17"/>
        <v>0</v>
      </c>
    </row>
    <row r="47" spans="1:30" ht="15" customHeight="1" x14ac:dyDescent="0.35">
      <c r="A47" s="2"/>
      <c r="B47" s="3"/>
      <c r="C47" s="4"/>
      <c r="D47" s="5"/>
      <c r="E47" s="11" t="str">
        <f t="shared" ca="1" si="0"/>
        <v/>
      </c>
      <c r="F47" s="5"/>
      <c r="G47" s="6" t="str">
        <f>IF(AND($A47&lt;&gt;"",$B47&lt;&gt;"",$C47&lt;&gt;"",$D47&lt;&gt;""),IF(OR($B47="SER",$B47="PLH",$B47="CSF"),"Control CDI Plate "&amp;(INT(((COUNTIFS($B$2:$B47,"SER")+COUNTIFS($B$2:$B47,"PLH")+COUNTIFS($B$2:$B47,"CSF"))-1)/96)+1)&amp;": "&amp;CHAR(65+INT(MOD((COUNTIFS($B$2:$B47,"SER")+COUNTIFS($B$2:$B47,"PLH")+COUNTIFS($B$2:$B47,"CSF"))-1,96)/12))&amp;(MOD((COUNTIFS($B$2:$B47,"SER")+COUNTIFS($B$2:$B47,"PLH")+COUNTIFS($B$2:$B47,"CSF"))-1,12)+1),"N/A"),"")</f>
        <v/>
      </c>
      <c r="H47" s="6" t="str">
        <f>IF(AND($A47&lt;&gt;"",$B47&lt;&gt;"",$C47&lt;&gt;"",$D47&lt;&gt;""),IF(OR($B47="SER",$B47="PLH",$B47="CSF"),"Control NIH Plate "&amp;(INT(((COUNTIFS($B$2:$B47,"SER")+COUNTIFS($B$2:$B47,"PLH")+COUNTIFS($B$2:$B47,"CSF"))-1)/96)+1)&amp;": "&amp;CHAR(65+INT(MOD((COUNTIFS($B$2:$B47,"SER")+COUNTIFS($B$2:$B47,"PLH")+COUNTIFS($B$2:$B47,"CSF"))-1,96)/12))&amp;(MOD((COUNTIFS($B$2:$B47,"SER")+COUNTIFS($B$2:$B47,"PLH")+COUNTIFS($B$2:$B47,"CSF"))-1,12)+1),"N/A"),"")</f>
        <v/>
      </c>
      <c r="I47" s="6" t="str">
        <f>IF(AND($A47&lt;&gt;"",$B47&lt;&gt;"",$C47&lt;&gt;"",$D47&lt;&gt;""),IF(OR($B47="SER",$B47="PLH"),"Control MAX Planck Plate "&amp;(INT(((COUNTIFS($B$2:$B47,"SER")+COUNTIFS($B$2:$B47,"PLH"))-1)/96)+1)&amp;": "&amp;CHAR(65+INT(MOD((COUNTIFS($B$2:$B47,"SER")+COUNTIFS($B$2:$B47,"PLH"))-1,96)/12))&amp;(MOD((COUNTIFS($B$2:$B47,"SER")+COUNTIFS($B$2:$B47,"PLH"))-1,12)+1),"N/A"),"")</f>
        <v/>
      </c>
      <c r="J47" s="6" t="str">
        <f>IF(AND($A47&lt;&gt;"",$B47&lt;&gt;"",$C47&lt;&gt;"",$D47&lt;&gt;""),IF($B47="WB","Control WB Box "&amp;(INT((COUNTIFS($B$2:$B47,"WB")-1)/81)+1)&amp;": "&amp;CHAR(65+INT(MOD(COUNTIFS($B$2:$B47,"WB")-1,81)/9))&amp;(MOD(COUNTIFS($B$2:$B47,"WB")-1,9)+1),"N/A"),"")</f>
        <v/>
      </c>
      <c r="K47" s="3" t="str">
        <f t="shared" si="1"/>
        <v/>
      </c>
      <c r="L47" s="2"/>
      <c r="M47" s="2"/>
      <c r="N47" s="2"/>
      <c r="O47" s="7" t="str">
        <f t="shared" si="2"/>
        <v/>
      </c>
      <c r="P47" s="7" t="str">
        <f t="shared" si="3"/>
        <v/>
      </c>
      <c r="Q47" s="7" t="str">
        <f t="shared" si="4"/>
        <v/>
      </c>
      <c r="R47" s="7" t="str">
        <f t="shared" si="5"/>
        <v/>
      </c>
      <c r="S47" s="7" t="str">
        <f t="shared" si="6"/>
        <v/>
      </c>
      <c r="T47" s="7" t="str">
        <f t="shared" si="7"/>
        <v/>
      </c>
      <c r="U47" s="7" t="str">
        <f t="shared" si="8"/>
        <v/>
      </c>
      <c r="V47" s="7" t="str">
        <f t="shared" si="9"/>
        <v/>
      </c>
      <c r="W47" s="7" t="str">
        <f t="shared" si="10"/>
        <v/>
      </c>
      <c r="X47" s="7" t="str">
        <f t="shared" si="11"/>
        <v/>
      </c>
      <c r="Y47">
        <f t="shared" si="12"/>
        <v>0</v>
      </c>
      <c r="Z47" t="str">
        <f t="shared" si="13"/>
        <v/>
      </c>
      <c r="AA47" t="str">
        <f t="shared" si="14"/>
        <v/>
      </c>
      <c r="AB47" t="str">
        <f t="shared" si="15"/>
        <v/>
      </c>
      <c r="AC47" t="str">
        <f t="shared" si="16"/>
        <v/>
      </c>
      <c r="AD47">
        <f t="shared" si="17"/>
        <v>0</v>
      </c>
    </row>
    <row r="48" spans="1:30" ht="15" customHeight="1" x14ac:dyDescent="0.35">
      <c r="A48" s="2"/>
      <c r="B48" s="3"/>
      <c r="C48" s="4"/>
      <c r="D48" s="5"/>
      <c r="E48" s="11" t="str">
        <f t="shared" ca="1" si="0"/>
        <v/>
      </c>
      <c r="F48" s="5"/>
      <c r="G48" s="6" t="str">
        <f>IF(AND($A48&lt;&gt;"",$B48&lt;&gt;"",$C48&lt;&gt;"",$D48&lt;&gt;""),IF(OR($B48="SER",$B48="PLH",$B48="CSF"),"Control CDI Plate "&amp;(INT(((COUNTIFS($B$2:$B48,"SER")+COUNTIFS($B$2:$B48,"PLH")+COUNTIFS($B$2:$B48,"CSF"))-1)/96)+1)&amp;": "&amp;CHAR(65+INT(MOD((COUNTIFS($B$2:$B48,"SER")+COUNTIFS($B$2:$B48,"PLH")+COUNTIFS($B$2:$B48,"CSF"))-1,96)/12))&amp;(MOD((COUNTIFS($B$2:$B48,"SER")+COUNTIFS($B$2:$B48,"PLH")+COUNTIFS($B$2:$B48,"CSF"))-1,12)+1),"N/A"),"")</f>
        <v/>
      </c>
      <c r="H48" s="6" t="str">
        <f>IF(AND($A48&lt;&gt;"",$B48&lt;&gt;"",$C48&lt;&gt;"",$D48&lt;&gt;""),IF(OR($B48="SER",$B48="PLH",$B48="CSF"),"Control NIH Plate "&amp;(INT(((COUNTIFS($B$2:$B48,"SER")+COUNTIFS($B$2:$B48,"PLH")+COUNTIFS($B$2:$B48,"CSF"))-1)/96)+1)&amp;": "&amp;CHAR(65+INT(MOD((COUNTIFS($B$2:$B48,"SER")+COUNTIFS($B$2:$B48,"PLH")+COUNTIFS($B$2:$B48,"CSF"))-1,96)/12))&amp;(MOD((COUNTIFS($B$2:$B48,"SER")+COUNTIFS($B$2:$B48,"PLH")+COUNTIFS($B$2:$B48,"CSF"))-1,12)+1),"N/A"),"")</f>
        <v/>
      </c>
      <c r="I48" s="6" t="str">
        <f>IF(AND($A48&lt;&gt;"",$B48&lt;&gt;"",$C48&lt;&gt;"",$D48&lt;&gt;""),IF(OR($B48="SER",$B48="PLH"),"Control MAX Planck Plate "&amp;(INT(((COUNTIFS($B$2:$B48,"SER")+COUNTIFS($B$2:$B48,"PLH"))-1)/96)+1)&amp;": "&amp;CHAR(65+INT(MOD((COUNTIFS($B$2:$B48,"SER")+COUNTIFS($B$2:$B48,"PLH"))-1,96)/12))&amp;(MOD((COUNTIFS($B$2:$B48,"SER")+COUNTIFS($B$2:$B48,"PLH"))-1,12)+1),"N/A"),"")</f>
        <v/>
      </c>
      <c r="J48" s="6" t="str">
        <f>IF(AND($A48&lt;&gt;"",$B48&lt;&gt;"",$C48&lt;&gt;"",$D48&lt;&gt;""),IF($B48="WB","Control WB Box "&amp;(INT((COUNTIFS($B$2:$B48,"WB")-1)/81)+1)&amp;": "&amp;CHAR(65+INT(MOD(COUNTIFS($B$2:$B48,"WB")-1,81)/9))&amp;(MOD(COUNTIFS($B$2:$B48,"WB")-1,9)+1),"N/A"),"")</f>
        <v/>
      </c>
      <c r="K48" s="3" t="str">
        <f t="shared" si="1"/>
        <v/>
      </c>
      <c r="L48" s="2"/>
      <c r="M48" s="2"/>
      <c r="N48" s="2"/>
      <c r="O48" s="7" t="str">
        <f t="shared" si="2"/>
        <v/>
      </c>
      <c r="P48" s="7" t="str">
        <f t="shared" si="3"/>
        <v/>
      </c>
      <c r="Q48" s="7" t="str">
        <f t="shared" si="4"/>
        <v/>
      </c>
      <c r="R48" s="7" t="str">
        <f t="shared" si="5"/>
        <v/>
      </c>
      <c r="S48" s="7" t="str">
        <f t="shared" si="6"/>
        <v/>
      </c>
      <c r="T48" s="7" t="str">
        <f t="shared" si="7"/>
        <v/>
      </c>
      <c r="U48" s="7" t="str">
        <f t="shared" si="8"/>
        <v/>
      </c>
      <c r="V48" s="7" t="str">
        <f t="shared" si="9"/>
        <v/>
      </c>
      <c r="W48" s="7" t="str">
        <f t="shared" si="10"/>
        <v/>
      </c>
      <c r="X48" s="7" t="str">
        <f t="shared" si="11"/>
        <v/>
      </c>
      <c r="Y48">
        <f t="shared" si="12"/>
        <v>0</v>
      </c>
      <c r="Z48" t="str">
        <f t="shared" si="13"/>
        <v/>
      </c>
      <c r="AA48" t="str">
        <f t="shared" si="14"/>
        <v/>
      </c>
      <c r="AB48" t="str">
        <f t="shared" si="15"/>
        <v/>
      </c>
      <c r="AC48" t="str">
        <f t="shared" si="16"/>
        <v/>
      </c>
      <c r="AD48">
        <f t="shared" si="17"/>
        <v>0</v>
      </c>
    </row>
    <row r="49" spans="1:30" ht="15" customHeight="1" x14ac:dyDescent="0.35">
      <c r="A49" s="2"/>
      <c r="B49" s="3"/>
      <c r="C49" s="4"/>
      <c r="D49" s="5"/>
      <c r="E49" s="11" t="str">
        <f t="shared" ca="1" si="0"/>
        <v/>
      </c>
      <c r="F49" s="5"/>
      <c r="G49" s="6" t="str">
        <f>IF(AND($A49&lt;&gt;"",$B49&lt;&gt;"",$C49&lt;&gt;"",$D49&lt;&gt;""),IF(OR($B49="SER",$B49="PLH",$B49="CSF"),"Control CDI Plate "&amp;(INT(((COUNTIFS($B$2:$B49,"SER")+COUNTIFS($B$2:$B49,"PLH")+COUNTIFS($B$2:$B49,"CSF"))-1)/96)+1)&amp;": "&amp;CHAR(65+INT(MOD((COUNTIFS($B$2:$B49,"SER")+COUNTIFS($B$2:$B49,"PLH")+COUNTIFS($B$2:$B49,"CSF"))-1,96)/12))&amp;(MOD((COUNTIFS($B$2:$B49,"SER")+COUNTIFS($B$2:$B49,"PLH")+COUNTIFS($B$2:$B49,"CSF"))-1,12)+1),"N/A"),"")</f>
        <v/>
      </c>
      <c r="H49" s="6" t="str">
        <f>IF(AND($A49&lt;&gt;"",$B49&lt;&gt;"",$C49&lt;&gt;"",$D49&lt;&gt;""),IF(OR($B49="SER",$B49="PLH",$B49="CSF"),"Control NIH Plate "&amp;(INT(((COUNTIFS($B$2:$B49,"SER")+COUNTIFS($B$2:$B49,"PLH")+COUNTIFS($B$2:$B49,"CSF"))-1)/96)+1)&amp;": "&amp;CHAR(65+INT(MOD((COUNTIFS($B$2:$B49,"SER")+COUNTIFS($B$2:$B49,"PLH")+COUNTIFS($B$2:$B49,"CSF"))-1,96)/12))&amp;(MOD((COUNTIFS($B$2:$B49,"SER")+COUNTIFS($B$2:$B49,"PLH")+COUNTIFS($B$2:$B49,"CSF"))-1,12)+1),"N/A"),"")</f>
        <v/>
      </c>
      <c r="I49" s="6" t="str">
        <f>IF(AND($A49&lt;&gt;"",$B49&lt;&gt;"",$C49&lt;&gt;"",$D49&lt;&gt;""),IF(OR($B49="SER",$B49="PLH"),"Control MAX Planck Plate "&amp;(INT(((COUNTIFS($B$2:$B49,"SER")+COUNTIFS($B$2:$B49,"PLH"))-1)/96)+1)&amp;": "&amp;CHAR(65+INT(MOD((COUNTIFS($B$2:$B49,"SER")+COUNTIFS($B$2:$B49,"PLH"))-1,96)/12))&amp;(MOD((COUNTIFS($B$2:$B49,"SER")+COUNTIFS($B$2:$B49,"PLH"))-1,12)+1),"N/A"),"")</f>
        <v/>
      </c>
      <c r="J49" s="6" t="str">
        <f>IF(AND($A49&lt;&gt;"",$B49&lt;&gt;"",$C49&lt;&gt;"",$D49&lt;&gt;""),IF($B49="WB","Control WB Box "&amp;(INT((COUNTIFS($B$2:$B49,"WB")-1)/81)+1)&amp;": "&amp;CHAR(65+INT(MOD(COUNTIFS($B$2:$B49,"WB")-1,81)/9))&amp;(MOD(COUNTIFS($B$2:$B49,"WB")-1,9)+1),"N/A"),"")</f>
        <v/>
      </c>
      <c r="K49" s="3" t="str">
        <f t="shared" si="1"/>
        <v/>
      </c>
      <c r="L49" s="2"/>
      <c r="M49" s="2"/>
      <c r="N49" s="2"/>
      <c r="O49" s="7" t="str">
        <f t="shared" si="2"/>
        <v/>
      </c>
      <c r="P49" s="7" t="str">
        <f t="shared" si="3"/>
        <v/>
      </c>
      <c r="Q49" s="7" t="str">
        <f t="shared" si="4"/>
        <v/>
      </c>
      <c r="R49" s="7" t="str">
        <f t="shared" si="5"/>
        <v/>
      </c>
      <c r="S49" s="7" t="str">
        <f t="shared" si="6"/>
        <v/>
      </c>
      <c r="T49" s="7" t="str">
        <f t="shared" si="7"/>
        <v/>
      </c>
      <c r="U49" s="7" t="str">
        <f t="shared" si="8"/>
        <v/>
      </c>
      <c r="V49" s="7" t="str">
        <f t="shared" si="9"/>
        <v/>
      </c>
      <c r="W49" s="7" t="str">
        <f t="shared" si="10"/>
        <v/>
      </c>
      <c r="X49" s="7" t="str">
        <f t="shared" si="11"/>
        <v/>
      </c>
      <c r="Y49">
        <f t="shared" si="12"/>
        <v>0</v>
      </c>
      <c r="Z49" t="str">
        <f t="shared" si="13"/>
        <v/>
      </c>
      <c r="AA49" t="str">
        <f t="shared" si="14"/>
        <v/>
      </c>
      <c r="AB49" t="str">
        <f t="shared" si="15"/>
        <v/>
      </c>
      <c r="AC49" t="str">
        <f t="shared" si="16"/>
        <v/>
      </c>
      <c r="AD49">
        <f t="shared" si="17"/>
        <v>0</v>
      </c>
    </row>
    <row r="50" spans="1:30" ht="15" customHeight="1" x14ac:dyDescent="0.35">
      <c r="A50" s="2"/>
      <c r="B50" s="3"/>
      <c r="C50" s="4"/>
      <c r="D50" s="5"/>
      <c r="E50" s="11" t="str">
        <f t="shared" ca="1" si="0"/>
        <v/>
      </c>
      <c r="F50" s="5"/>
      <c r="G50" s="6" t="str">
        <f>IF(AND($A50&lt;&gt;"",$B50&lt;&gt;"",$C50&lt;&gt;"",$D50&lt;&gt;""),IF(OR($B50="SER",$B50="PLH",$B50="CSF"),"Control CDI Plate "&amp;(INT(((COUNTIFS($B$2:$B50,"SER")+COUNTIFS($B$2:$B50,"PLH")+COUNTIFS($B$2:$B50,"CSF"))-1)/96)+1)&amp;": "&amp;CHAR(65+INT(MOD((COUNTIFS($B$2:$B50,"SER")+COUNTIFS($B$2:$B50,"PLH")+COUNTIFS($B$2:$B50,"CSF"))-1,96)/12))&amp;(MOD((COUNTIFS($B$2:$B50,"SER")+COUNTIFS($B$2:$B50,"PLH")+COUNTIFS($B$2:$B50,"CSF"))-1,12)+1),"N/A"),"")</f>
        <v/>
      </c>
      <c r="H50" s="6" t="str">
        <f>IF(AND($A50&lt;&gt;"",$B50&lt;&gt;"",$C50&lt;&gt;"",$D50&lt;&gt;""),IF(OR($B50="SER",$B50="PLH",$B50="CSF"),"Control NIH Plate "&amp;(INT(((COUNTIFS($B$2:$B50,"SER")+COUNTIFS($B$2:$B50,"PLH")+COUNTIFS($B$2:$B50,"CSF"))-1)/96)+1)&amp;": "&amp;CHAR(65+INT(MOD((COUNTIFS($B$2:$B50,"SER")+COUNTIFS($B$2:$B50,"PLH")+COUNTIFS($B$2:$B50,"CSF"))-1,96)/12))&amp;(MOD((COUNTIFS($B$2:$B50,"SER")+COUNTIFS($B$2:$B50,"PLH")+COUNTIFS($B$2:$B50,"CSF"))-1,12)+1),"N/A"),"")</f>
        <v/>
      </c>
      <c r="I50" s="6" t="str">
        <f>IF(AND($A50&lt;&gt;"",$B50&lt;&gt;"",$C50&lt;&gt;"",$D50&lt;&gt;""),IF(OR($B50="SER",$B50="PLH"),"Control MAX Planck Plate "&amp;(INT(((COUNTIFS($B$2:$B50,"SER")+COUNTIFS($B$2:$B50,"PLH"))-1)/96)+1)&amp;": "&amp;CHAR(65+INT(MOD((COUNTIFS($B$2:$B50,"SER")+COUNTIFS($B$2:$B50,"PLH"))-1,96)/12))&amp;(MOD((COUNTIFS($B$2:$B50,"SER")+COUNTIFS($B$2:$B50,"PLH"))-1,12)+1),"N/A"),"")</f>
        <v/>
      </c>
      <c r="J50" s="6" t="str">
        <f>IF(AND($A50&lt;&gt;"",$B50&lt;&gt;"",$C50&lt;&gt;"",$D50&lt;&gt;""),IF($B50="WB","Control WB Box "&amp;(INT((COUNTIFS($B$2:$B50,"WB")-1)/81)+1)&amp;": "&amp;CHAR(65+INT(MOD(COUNTIFS($B$2:$B50,"WB")-1,81)/9))&amp;(MOD(COUNTIFS($B$2:$B50,"WB")-1,9)+1),"N/A"),"")</f>
        <v/>
      </c>
      <c r="K50" s="3" t="str">
        <f t="shared" si="1"/>
        <v/>
      </c>
      <c r="L50" s="2"/>
      <c r="M50" s="2"/>
      <c r="N50" s="2"/>
      <c r="O50" s="7" t="str">
        <f t="shared" si="2"/>
        <v/>
      </c>
      <c r="P50" s="7" t="str">
        <f t="shared" si="3"/>
        <v/>
      </c>
      <c r="Q50" s="7" t="str">
        <f t="shared" si="4"/>
        <v/>
      </c>
      <c r="R50" s="7" t="str">
        <f t="shared" si="5"/>
        <v/>
      </c>
      <c r="S50" s="7" t="str">
        <f t="shared" si="6"/>
        <v/>
      </c>
      <c r="T50" s="7" t="str">
        <f t="shared" si="7"/>
        <v/>
      </c>
      <c r="U50" s="7" t="str">
        <f t="shared" si="8"/>
        <v/>
      </c>
      <c r="V50" s="7" t="str">
        <f t="shared" si="9"/>
        <v/>
      </c>
      <c r="W50" s="7" t="str">
        <f t="shared" si="10"/>
        <v/>
      </c>
      <c r="X50" s="7" t="str">
        <f t="shared" si="11"/>
        <v/>
      </c>
      <c r="Y50">
        <f t="shared" si="12"/>
        <v>0</v>
      </c>
      <c r="Z50" t="str">
        <f t="shared" si="13"/>
        <v/>
      </c>
      <c r="AA50" t="str">
        <f t="shared" si="14"/>
        <v/>
      </c>
      <c r="AB50" t="str">
        <f t="shared" si="15"/>
        <v/>
      </c>
      <c r="AC50" t="str">
        <f t="shared" si="16"/>
        <v/>
      </c>
      <c r="AD50">
        <f t="shared" si="17"/>
        <v>0</v>
      </c>
    </row>
    <row r="51" spans="1:30" ht="15" customHeight="1" x14ac:dyDescent="0.35">
      <c r="A51" s="2"/>
      <c r="B51" s="3"/>
      <c r="C51" s="4"/>
      <c r="D51" s="5"/>
      <c r="E51" s="11" t="str">
        <f t="shared" ca="1" si="0"/>
        <v/>
      </c>
      <c r="F51" s="5"/>
      <c r="G51" s="6" t="str">
        <f>IF(AND($A51&lt;&gt;"",$B51&lt;&gt;"",$C51&lt;&gt;"",$D51&lt;&gt;""),IF(OR($B51="SER",$B51="PLH",$B51="CSF"),"Control CDI Plate "&amp;(INT(((COUNTIFS($B$2:$B51,"SER")+COUNTIFS($B$2:$B51,"PLH")+COUNTIFS($B$2:$B51,"CSF"))-1)/96)+1)&amp;": "&amp;CHAR(65+INT(MOD((COUNTIFS($B$2:$B51,"SER")+COUNTIFS($B$2:$B51,"PLH")+COUNTIFS($B$2:$B51,"CSF"))-1,96)/12))&amp;(MOD((COUNTIFS($B$2:$B51,"SER")+COUNTIFS($B$2:$B51,"PLH")+COUNTIFS($B$2:$B51,"CSF"))-1,12)+1),"N/A"),"")</f>
        <v/>
      </c>
      <c r="H51" s="6" t="str">
        <f>IF(AND($A51&lt;&gt;"",$B51&lt;&gt;"",$C51&lt;&gt;"",$D51&lt;&gt;""),IF(OR($B51="SER",$B51="PLH",$B51="CSF"),"Control NIH Plate "&amp;(INT(((COUNTIFS($B$2:$B51,"SER")+COUNTIFS($B$2:$B51,"PLH")+COUNTIFS($B$2:$B51,"CSF"))-1)/96)+1)&amp;": "&amp;CHAR(65+INT(MOD((COUNTIFS($B$2:$B51,"SER")+COUNTIFS($B$2:$B51,"PLH")+COUNTIFS($B$2:$B51,"CSF"))-1,96)/12))&amp;(MOD((COUNTIFS($B$2:$B51,"SER")+COUNTIFS($B$2:$B51,"PLH")+COUNTIFS($B$2:$B51,"CSF"))-1,12)+1),"N/A"),"")</f>
        <v/>
      </c>
      <c r="I51" s="6" t="str">
        <f>IF(AND($A51&lt;&gt;"",$B51&lt;&gt;"",$C51&lt;&gt;"",$D51&lt;&gt;""),IF(OR($B51="SER",$B51="PLH"),"Control MAX Planck Plate "&amp;(INT(((COUNTIFS($B$2:$B51,"SER")+COUNTIFS($B$2:$B51,"PLH"))-1)/96)+1)&amp;": "&amp;CHAR(65+INT(MOD((COUNTIFS($B$2:$B51,"SER")+COUNTIFS($B$2:$B51,"PLH"))-1,96)/12))&amp;(MOD((COUNTIFS($B$2:$B51,"SER")+COUNTIFS($B$2:$B51,"PLH"))-1,12)+1),"N/A"),"")</f>
        <v/>
      </c>
      <c r="J51" s="6" t="str">
        <f>IF(AND($A51&lt;&gt;"",$B51&lt;&gt;"",$C51&lt;&gt;"",$D51&lt;&gt;""),IF($B51="WB","Control WB Box "&amp;(INT((COUNTIFS($B$2:$B51,"WB")-1)/81)+1)&amp;": "&amp;CHAR(65+INT(MOD(COUNTIFS($B$2:$B51,"WB")-1,81)/9))&amp;(MOD(COUNTIFS($B$2:$B51,"WB")-1,9)+1),"N/A"),"")</f>
        <v/>
      </c>
      <c r="K51" s="3" t="str">
        <f t="shared" si="1"/>
        <v/>
      </c>
      <c r="L51" s="2"/>
      <c r="M51" s="2"/>
      <c r="N51" s="2"/>
      <c r="O51" s="7" t="str">
        <f t="shared" si="2"/>
        <v/>
      </c>
      <c r="P51" s="7" t="str">
        <f t="shared" si="3"/>
        <v/>
      </c>
      <c r="Q51" s="7" t="str">
        <f t="shared" si="4"/>
        <v/>
      </c>
      <c r="R51" s="7" t="str">
        <f t="shared" si="5"/>
        <v/>
      </c>
      <c r="S51" s="7" t="str">
        <f t="shared" si="6"/>
        <v/>
      </c>
      <c r="T51" s="7" t="str">
        <f t="shared" si="7"/>
        <v/>
      </c>
      <c r="U51" s="7" t="str">
        <f t="shared" si="8"/>
        <v/>
      </c>
      <c r="V51" s="7" t="str">
        <f t="shared" si="9"/>
        <v/>
      </c>
      <c r="W51" s="7" t="str">
        <f t="shared" si="10"/>
        <v/>
      </c>
      <c r="X51" s="7" t="str">
        <f t="shared" si="11"/>
        <v/>
      </c>
      <c r="Y51">
        <f t="shared" si="12"/>
        <v>0</v>
      </c>
      <c r="Z51" t="str">
        <f t="shared" si="13"/>
        <v/>
      </c>
      <c r="AA51" t="str">
        <f t="shared" si="14"/>
        <v/>
      </c>
      <c r="AB51" t="str">
        <f t="shared" si="15"/>
        <v/>
      </c>
      <c r="AC51" t="str">
        <f t="shared" si="16"/>
        <v/>
      </c>
      <c r="AD51">
        <f t="shared" si="17"/>
        <v>0</v>
      </c>
    </row>
    <row r="52" spans="1:30" ht="15" customHeight="1" x14ac:dyDescent="0.35">
      <c r="A52" s="2"/>
      <c r="B52" s="3"/>
      <c r="C52" s="4"/>
      <c r="D52" s="5"/>
      <c r="E52" s="11" t="str">
        <f t="shared" ca="1" si="0"/>
        <v/>
      </c>
      <c r="F52" s="5"/>
      <c r="G52" s="6" t="str">
        <f>IF(AND($A52&lt;&gt;"",$B52&lt;&gt;"",$C52&lt;&gt;"",$D52&lt;&gt;""),IF(OR($B52="SER",$B52="PLH",$B52="CSF"),"Control CDI Plate "&amp;(INT(((COUNTIFS($B$2:$B52,"SER")+COUNTIFS($B$2:$B52,"PLH")+COUNTIFS($B$2:$B52,"CSF"))-1)/96)+1)&amp;": "&amp;CHAR(65+INT(MOD((COUNTIFS($B$2:$B52,"SER")+COUNTIFS($B$2:$B52,"PLH")+COUNTIFS($B$2:$B52,"CSF"))-1,96)/12))&amp;(MOD((COUNTIFS($B$2:$B52,"SER")+COUNTIFS($B$2:$B52,"PLH")+COUNTIFS($B$2:$B52,"CSF"))-1,12)+1),"N/A"),"")</f>
        <v/>
      </c>
      <c r="H52" s="6" t="str">
        <f>IF(AND($A52&lt;&gt;"",$B52&lt;&gt;"",$C52&lt;&gt;"",$D52&lt;&gt;""),IF(OR($B52="SER",$B52="PLH",$B52="CSF"),"Control NIH Plate "&amp;(INT(((COUNTIFS($B$2:$B52,"SER")+COUNTIFS($B$2:$B52,"PLH")+COUNTIFS($B$2:$B52,"CSF"))-1)/96)+1)&amp;": "&amp;CHAR(65+INT(MOD((COUNTIFS($B$2:$B52,"SER")+COUNTIFS($B$2:$B52,"PLH")+COUNTIFS($B$2:$B52,"CSF"))-1,96)/12))&amp;(MOD((COUNTIFS($B$2:$B52,"SER")+COUNTIFS($B$2:$B52,"PLH")+COUNTIFS($B$2:$B52,"CSF"))-1,12)+1),"N/A"),"")</f>
        <v/>
      </c>
      <c r="I52" s="6" t="str">
        <f>IF(AND($A52&lt;&gt;"",$B52&lt;&gt;"",$C52&lt;&gt;"",$D52&lt;&gt;""),IF(OR($B52="SER",$B52="PLH"),"Control MAX Planck Plate "&amp;(INT(((COUNTIFS($B$2:$B52,"SER")+COUNTIFS($B$2:$B52,"PLH"))-1)/96)+1)&amp;": "&amp;CHAR(65+INT(MOD((COUNTIFS($B$2:$B52,"SER")+COUNTIFS($B$2:$B52,"PLH"))-1,96)/12))&amp;(MOD((COUNTIFS($B$2:$B52,"SER")+COUNTIFS($B$2:$B52,"PLH"))-1,12)+1),"N/A"),"")</f>
        <v/>
      </c>
      <c r="J52" s="6" t="str">
        <f>IF(AND($A52&lt;&gt;"",$B52&lt;&gt;"",$C52&lt;&gt;"",$D52&lt;&gt;""),IF($B52="WB","Control WB Box "&amp;(INT((COUNTIFS($B$2:$B52,"WB")-1)/81)+1)&amp;": "&amp;CHAR(65+INT(MOD(COUNTIFS($B$2:$B52,"WB")-1,81)/9))&amp;(MOD(COUNTIFS($B$2:$B52,"WB")-1,9)+1),"N/A"),"")</f>
        <v/>
      </c>
      <c r="K52" s="3" t="str">
        <f t="shared" si="1"/>
        <v/>
      </c>
      <c r="L52" s="2"/>
      <c r="M52" s="2"/>
      <c r="N52" s="2"/>
      <c r="O52" s="7" t="str">
        <f t="shared" si="2"/>
        <v/>
      </c>
      <c r="P52" s="7" t="str">
        <f t="shared" si="3"/>
        <v/>
      </c>
      <c r="Q52" s="7" t="str">
        <f t="shared" si="4"/>
        <v/>
      </c>
      <c r="R52" s="7" t="str">
        <f t="shared" si="5"/>
        <v/>
      </c>
      <c r="S52" s="7" t="str">
        <f t="shared" si="6"/>
        <v/>
      </c>
      <c r="T52" s="7" t="str">
        <f t="shared" si="7"/>
        <v/>
      </c>
      <c r="U52" s="7" t="str">
        <f t="shared" si="8"/>
        <v/>
      </c>
      <c r="V52" s="7" t="str">
        <f t="shared" si="9"/>
        <v/>
      </c>
      <c r="W52" s="7" t="str">
        <f t="shared" si="10"/>
        <v/>
      </c>
      <c r="X52" s="7" t="str">
        <f t="shared" si="11"/>
        <v/>
      </c>
      <c r="Y52">
        <f t="shared" si="12"/>
        <v>0</v>
      </c>
      <c r="Z52" t="str">
        <f t="shared" si="13"/>
        <v/>
      </c>
      <c r="AA52" t="str">
        <f t="shared" si="14"/>
        <v/>
      </c>
      <c r="AB52" t="str">
        <f t="shared" si="15"/>
        <v/>
      </c>
      <c r="AC52" t="str">
        <f t="shared" si="16"/>
        <v/>
      </c>
      <c r="AD52">
        <f t="shared" si="17"/>
        <v>0</v>
      </c>
    </row>
    <row r="53" spans="1:30" ht="15" customHeight="1" x14ac:dyDescent="0.35">
      <c r="A53" s="2"/>
      <c r="B53" s="3"/>
      <c r="C53" s="4"/>
      <c r="D53" s="5"/>
      <c r="E53" s="11" t="str">
        <f t="shared" ca="1" si="0"/>
        <v/>
      </c>
      <c r="F53" s="5"/>
      <c r="G53" s="6" t="str">
        <f>IF(AND($A53&lt;&gt;"",$B53&lt;&gt;"",$C53&lt;&gt;"",$D53&lt;&gt;""),IF(OR($B53="SER",$B53="PLH",$B53="CSF"),"Control CDI Plate "&amp;(INT(((COUNTIFS($B$2:$B53,"SER")+COUNTIFS($B$2:$B53,"PLH")+COUNTIFS($B$2:$B53,"CSF"))-1)/96)+1)&amp;": "&amp;CHAR(65+INT(MOD((COUNTIFS($B$2:$B53,"SER")+COUNTIFS($B$2:$B53,"PLH")+COUNTIFS($B$2:$B53,"CSF"))-1,96)/12))&amp;(MOD((COUNTIFS($B$2:$B53,"SER")+COUNTIFS($B$2:$B53,"PLH")+COUNTIFS($B$2:$B53,"CSF"))-1,12)+1),"N/A"),"")</f>
        <v/>
      </c>
      <c r="H53" s="6" t="str">
        <f>IF(AND($A53&lt;&gt;"",$B53&lt;&gt;"",$C53&lt;&gt;"",$D53&lt;&gt;""),IF(OR($B53="SER",$B53="PLH",$B53="CSF"),"Control NIH Plate "&amp;(INT(((COUNTIFS($B$2:$B53,"SER")+COUNTIFS($B$2:$B53,"PLH")+COUNTIFS($B$2:$B53,"CSF"))-1)/96)+1)&amp;": "&amp;CHAR(65+INT(MOD((COUNTIFS($B$2:$B53,"SER")+COUNTIFS($B$2:$B53,"PLH")+COUNTIFS($B$2:$B53,"CSF"))-1,96)/12))&amp;(MOD((COUNTIFS($B$2:$B53,"SER")+COUNTIFS($B$2:$B53,"PLH")+COUNTIFS($B$2:$B53,"CSF"))-1,12)+1),"N/A"),"")</f>
        <v/>
      </c>
      <c r="I53" s="6" t="str">
        <f>IF(AND($A53&lt;&gt;"",$B53&lt;&gt;"",$C53&lt;&gt;"",$D53&lt;&gt;""),IF(OR($B53="SER",$B53="PLH"),"Control MAX Planck Plate "&amp;(INT(((COUNTIFS($B$2:$B53,"SER")+COUNTIFS($B$2:$B53,"PLH"))-1)/96)+1)&amp;": "&amp;CHAR(65+INT(MOD((COUNTIFS($B$2:$B53,"SER")+COUNTIFS($B$2:$B53,"PLH"))-1,96)/12))&amp;(MOD((COUNTIFS($B$2:$B53,"SER")+COUNTIFS($B$2:$B53,"PLH"))-1,12)+1),"N/A"),"")</f>
        <v/>
      </c>
      <c r="J53" s="6" t="str">
        <f>IF(AND($A53&lt;&gt;"",$B53&lt;&gt;"",$C53&lt;&gt;"",$D53&lt;&gt;""),IF($B53="WB","Control WB Box "&amp;(INT((COUNTIFS($B$2:$B53,"WB")-1)/81)+1)&amp;": "&amp;CHAR(65+INT(MOD(COUNTIFS($B$2:$B53,"WB")-1,81)/9))&amp;(MOD(COUNTIFS($B$2:$B53,"WB")-1,9)+1),"N/A"),"")</f>
        <v/>
      </c>
      <c r="K53" s="3" t="str">
        <f t="shared" si="1"/>
        <v/>
      </c>
      <c r="L53" s="2"/>
      <c r="M53" s="2"/>
      <c r="N53" s="2"/>
      <c r="O53" s="7" t="str">
        <f t="shared" si="2"/>
        <v/>
      </c>
      <c r="P53" s="7" t="str">
        <f t="shared" si="3"/>
        <v/>
      </c>
      <c r="Q53" s="7" t="str">
        <f t="shared" si="4"/>
        <v/>
      </c>
      <c r="R53" s="7" t="str">
        <f t="shared" si="5"/>
        <v/>
      </c>
      <c r="S53" s="7" t="str">
        <f t="shared" si="6"/>
        <v/>
      </c>
      <c r="T53" s="7" t="str">
        <f t="shared" si="7"/>
        <v/>
      </c>
      <c r="U53" s="7" t="str">
        <f t="shared" si="8"/>
        <v/>
      </c>
      <c r="V53" s="7" t="str">
        <f t="shared" si="9"/>
        <v/>
      </c>
      <c r="W53" s="7" t="str">
        <f t="shared" si="10"/>
        <v/>
      </c>
      <c r="X53" s="7" t="str">
        <f t="shared" si="11"/>
        <v/>
      </c>
      <c r="Y53">
        <f t="shared" si="12"/>
        <v>0</v>
      </c>
      <c r="Z53" t="str">
        <f t="shared" si="13"/>
        <v/>
      </c>
      <c r="AA53" t="str">
        <f t="shared" si="14"/>
        <v/>
      </c>
      <c r="AB53" t="str">
        <f t="shared" si="15"/>
        <v/>
      </c>
      <c r="AC53" t="str">
        <f t="shared" si="16"/>
        <v/>
      </c>
      <c r="AD53">
        <f t="shared" si="17"/>
        <v>0</v>
      </c>
    </row>
    <row r="54" spans="1:30" ht="15" customHeight="1" x14ac:dyDescent="0.35">
      <c r="A54" s="2"/>
      <c r="B54" s="3"/>
      <c r="C54" s="4"/>
      <c r="D54" s="5"/>
      <c r="E54" s="11" t="str">
        <f t="shared" ca="1" si="0"/>
        <v/>
      </c>
      <c r="F54" s="5"/>
      <c r="G54" s="6" t="str">
        <f>IF(AND($A54&lt;&gt;"",$B54&lt;&gt;"",$C54&lt;&gt;"",$D54&lt;&gt;""),IF(OR($B54="SER",$B54="PLH",$B54="CSF"),"Control CDI Plate "&amp;(INT(((COUNTIFS($B$2:$B54,"SER")+COUNTIFS($B$2:$B54,"PLH")+COUNTIFS($B$2:$B54,"CSF"))-1)/96)+1)&amp;": "&amp;CHAR(65+INT(MOD((COUNTIFS($B$2:$B54,"SER")+COUNTIFS($B$2:$B54,"PLH")+COUNTIFS($B$2:$B54,"CSF"))-1,96)/12))&amp;(MOD((COUNTIFS($B$2:$B54,"SER")+COUNTIFS($B$2:$B54,"PLH")+COUNTIFS($B$2:$B54,"CSF"))-1,12)+1),"N/A"),"")</f>
        <v/>
      </c>
      <c r="H54" s="6" t="str">
        <f>IF(AND($A54&lt;&gt;"",$B54&lt;&gt;"",$C54&lt;&gt;"",$D54&lt;&gt;""),IF(OR($B54="SER",$B54="PLH",$B54="CSF"),"Control NIH Plate "&amp;(INT(((COUNTIFS($B$2:$B54,"SER")+COUNTIFS($B$2:$B54,"PLH")+COUNTIFS($B$2:$B54,"CSF"))-1)/96)+1)&amp;": "&amp;CHAR(65+INT(MOD((COUNTIFS($B$2:$B54,"SER")+COUNTIFS($B$2:$B54,"PLH")+COUNTIFS($B$2:$B54,"CSF"))-1,96)/12))&amp;(MOD((COUNTIFS($B$2:$B54,"SER")+COUNTIFS($B$2:$B54,"PLH")+COUNTIFS($B$2:$B54,"CSF"))-1,12)+1),"N/A"),"")</f>
        <v/>
      </c>
      <c r="I54" s="6" t="str">
        <f>IF(AND($A54&lt;&gt;"",$B54&lt;&gt;"",$C54&lt;&gt;"",$D54&lt;&gt;""),IF(OR($B54="SER",$B54="PLH"),"Control MAX Planck Plate "&amp;(INT(((COUNTIFS($B$2:$B54,"SER")+COUNTIFS($B$2:$B54,"PLH"))-1)/96)+1)&amp;": "&amp;CHAR(65+INT(MOD((COUNTIFS($B$2:$B54,"SER")+COUNTIFS($B$2:$B54,"PLH"))-1,96)/12))&amp;(MOD((COUNTIFS($B$2:$B54,"SER")+COUNTIFS($B$2:$B54,"PLH"))-1,12)+1),"N/A"),"")</f>
        <v/>
      </c>
      <c r="J54" s="6" t="str">
        <f>IF(AND($A54&lt;&gt;"",$B54&lt;&gt;"",$C54&lt;&gt;"",$D54&lt;&gt;""),IF($B54="WB","Control WB Box "&amp;(INT((COUNTIFS($B$2:$B54,"WB")-1)/81)+1)&amp;": "&amp;CHAR(65+INT(MOD(COUNTIFS($B$2:$B54,"WB")-1,81)/9))&amp;(MOD(COUNTIFS($B$2:$B54,"WB")-1,9)+1),"N/A"),"")</f>
        <v/>
      </c>
      <c r="K54" s="3" t="str">
        <f t="shared" si="1"/>
        <v/>
      </c>
      <c r="L54" s="2"/>
      <c r="M54" s="2"/>
      <c r="N54" s="2"/>
      <c r="O54" s="7" t="str">
        <f t="shared" si="2"/>
        <v/>
      </c>
      <c r="P54" s="7" t="str">
        <f t="shared" si="3"/>
        <v/>
      </c>
      <c r="Q54" s="7" t="str">
        <f t="shared" si="4"/>
        <v/>
      </c>
      <c r="R54" s="7" t="str">
        <f t="shared" si="5"/>
        <v/>
      </c>
      <c r="S54" s="7" t="str">
        <f t="shared" si="6"/>
        <v/>
      </c>
      <c r="T54" s="7" t="str">
        <f t="shared" si="7"/>
        <v/>
      </c>
      <c r="U54" s="7" t="str">
        <f t="shared" si="8"/>
        <v/>
      </c>
      <c r="V54" s="7" t="str">
        <f t="shared" si="9"/>
        <v/>
      </c>
      <c r="W54" s="7" t="str">
        <f t="shared" si="10"/>
        <v/>
      </c>
      <c r="X54" s="7" t="str">
        <f t="shared" si="11"/>
        <v/>
      </c>
      <c r="Y54">
        <f t="shared" si="12"/>
        <v>0</v>
      </c>
      <c r="Z54" t="str">
        <f t="shared" si="13"/>
        <v/>
      </c>
      <c r="AA54" t="str">
        <f t="shared" si="14"/>
        <v/>
      </c>
      <c r="AB54" t="str">
        <f t="shared" si="15"/>
        <v/>
      </c>
      <c r="AC54" t="str">
        <f t="shared" si="16"/>
        <v/>
      </c>
      <c r="AD54">
        <f t="shared" si="17"/>
        <v>0</v>
      </c>
    </row>
    <row r="55" spans="1:30" ht="15" customHeight="1" x14ac:dyDescent="0.35">
      <c r="A55" s="2"/>
      <c r="B55" s="3"/>
      <c r="C55" s="4"/>
      <c r="D55" s="5"/>
      <c r="E55" s="11" t="str">
        <f t="shared" ca="1" si="0"/>
        <v/>
      </c>
      <c r="F55" s="5"/>
      <c r="G55" s="6" t="str">
        <f>IF(AND($A55&lt;&gt;"",$B55&lt;&gt;"",$C55&lt;&gt;"",$D55&lt;&gt;""),IF(OR($B55="SER",$B55="PLH",$B55="CSF"),"Control CDI Plate "&amp;(INT(((COUNTIFS($B$2:$B55,"SER")+COUNTIFS($B$2:$B55,"PLH")+COUNTIFS($B$2:$B55,"CSF"))-1)/96)+1)&amp;": "&amp;CHAR(65+INT(MOD((COUNTIFS($B$2:$B55,"SER")+COUNTIFS($B$2:$B55,"PLH")+COUNTIFS($B$2:$B55,"CSF"))-1,96)/12))&amp;(MOD((COUNTIFS($B$2:$B55,"SER")+COUNTIFS($B$2:$B55,"PLH")+COUNTIFS($B$2:$B55,"CSF"))-1,12)+1),"N/A"),"")</f>
        <v/>
      </c>
      <c r="H55" s="6" t="str">
        <f>IF(AND($A55&lt;&gt;"",$B55&lt;&gt;"",$C55&lt;&gt;"",$D55&lt;&gt;""),IF(OR($B55="SER",$B55="PLH",$B55="CSF"),"Control NIH Plate "&amp;(INT(((COUNTIFS($B$2:$B55,"SER")+COUNTIFS($B$2:$B55,"PLH")+COUNTIFS($B$2:$B55,"CSF"))-1)/96)+1)&amp;": "&amp;CHAR(65+INT(MOD((COUNTIFS($B$2:$B55,"SER")+COUNTIFS($B$2:$B55,"PLH")+COUNTIFS($B$2:$B55,"CSF"))-1,96)/12))&amp;(MOD((COUNTIFS($B$2:$B55,"SER")+COUNTIFS($B$2:$B55,"PLH")+COUNTIFS($B$2:$B55,"CSF"))-1,12)+1),"N/A"),"")</f>
        <v/>
      </c>
      <c r="I55" s="6" t="str">
        <f>IF(AND($A55&lt;&gt;"",$B55&lt;&gt;"",$C55&lt;&gt;"",$D55&lt;&gt;""),IF(OR($B55="SER",$B55="PLH"),"Control MAX Planck Plate "&amp;(INT(((COUNTIFS($B$2:$B55,"SER")+COUNTIFS($B$2:$B55,"PLH"))-1)/96)+1)&amp;": "&amp;CHAR(65+INT(MOD((COUNTIFS($B$2:$B55,"SER")+COUNTIFS($B$2:$B55,"PLH"))-1,96)/12))&amp;(MOD((COUNTIFS($B$2:$B55,"SER")+COUNTIFS($B$2:$B55,"PLH"))-1,12)+1),"N/A"),"")</f>
        <v/>
      </c>
      <c r="J55" s="6" t="str">
        <f>IF(AND($A55&lt;&gt;"",$B55&lt;&gt;"",$C55&lt;&gt;"",$D55&lt;&gt;""),IF($B55="WB","Control WB Box "&amp;(INT((COUNTIFS($B$2:$B55,"WB")-1)/81)+1)&amp;": "&amp;CHAR(65+INT(MOD(COUNTIFS($B$2:$B55,"WB")-1,81)/9))&amp;(MOD(COUNTIFS($B$2:$B55,"WB")-1,9)+1),"N/A"),"")</f>
        <v/>
      </c>
      <c r="K55" s="3" t="str">
        <f t="shared" si="1"/>
        <v/>
      </c>
      <c r="L55" s="2"/>
      <c r="M55" s="2"/>
      <c r="N55" s="2"/>
      <c r="O55" s="7" t="str">
        <f t="shared" si="2"/>
        <v/>
      </c>
      <c r="P55" s="7" t="str">
        <f t="shared" si="3"/>
        <v/>
      </c>
      <c r="Q55" s="7" t="str">
        <f t="shared" si="4"/>
        <v/>
      </c>
      <c r="R55" s="7" t="str">
        <f t="shared" si="5"/>
        <v/>
      </c>
      <c r="S55" s="7" t="str">
        <f t="shared" si="6"/>
        <v/>
      </c>
      <c r="T55" s="7" t="str">
        <f t="shared" si="7"/>
        <v/>
      </c>
      <c r="U55" s="7" t="str">
        <f t="shared" si="8"/>
        <v/>
      </c>
      <c r="V55" s="7" t="str">
        <f t="shared" si="9"/>
        <v/>
      </c>
      <c r="W55" s="7" t="str">
        <f t="shared" si="10"/>
        <v/>
      </c>
      <c r="X55" s="7" t="str">
        <f t="shared" si="11"/>
        <v/>
      </c>
      <c r="Y55">
        <f t="shared" si="12"/>
        <v>0</v>
      </c>
      <c r="Z55" t="str">
        <f t="shared" si="13"/>
        <v/>
      </c>
      <c r="AA55" t="str">
        <f t="shared" si="14"/>
        <v/>
      </c>
      <c r="AB55" t="str">
        <f t="shared" si="15"/>
        <v/>
      </c>
      <c r="AC55" t="str">
        <f t="shared" si="16"/>
        <v/>
      </c>
      <c r="AD55">
        <f t="shared" si="17"/>
        <v>0</v>
      </c>
    </row>
    <row r="56" spans="1:30" ht="15" customHeight="1" x14ac:dyDescent="0.35">
      <c r="A56" s="2"/>
      <c r="B56" s="3"/>
      <c r="C56" s="4"/>
      <c r="D56" s="5"/>
      <c r="E56" s="11" t="str">
        <f t="shared" ca="1" si="0"/>
        <v/>
      </c>
      <c r="F56" s="5"/>
      <c r="G56" s="6" t="str">
        <f>IF(AND($A56&lt;&gt;"",$B56&lt;&gt;"",$C56&lt;&gt;"",$D56&lt;&gt;""),IF(OR($B56="SER",$B56="PLH",$B56="CSF"),"Control CDI Plate "&amp;(INT(((COUNTIFS($B$2:$B56,"SER")+COUNTIFS($B$2:$B56,"PLH")+COUNTIFS($B$2:$B56,"CSF"))-1)/96)+1)&amp;": "&amp;CHAR(65+INT(MOD((COUNTIFS($B$2:$B56,"SER")+COUNTIFS($B$2:$B56,"PLH")+COUNTIFS($B$2:$B56,"CSF"))-1,96)/12))&amp;(MOD((COUNTIFS($B$2:$B56,"SER")+COUNTIFS($B$2:$B56,"PLH")+COUNTIFS($B$2:$B56,"CSF"))-1,12)+1),"N/A"),"")</f>
        <v/>
      </c>
      <c r="H56" s="6" t="str">
        <f>IF(AND($A56&lt;&gt;"",$B56&lt;&gt;"",$C56&lt;&gt;"",$D56&lt;&gt;""),IF(OR($B56="SER",$B56="PLH",$B56="CSF"),"Control NIH Plate "&amp;(INT(((COUNTIFS($B$2:$B56,"SER")+COUNTIFS($B$2:$B56,"PLH")+COUNTIFS($B$2:$B56,"CSF"))-1)/96)+1)&amp;": "&amp;CHAR(65+INT(MOD((COUNTIFS($B$2:$B56,"SER")+COUNTIFS($B$2:$B56,"PLH")+COUNTIFS($B$2:$B56,"CSF"))-1,96)/12))&amp;(MOD((COUNTIFS($B$2:$B56,"SER")+COUNTIFS($B$2:$B56,"PLH")+COUNTIFS($B$2:$B56,"CSF"))-1,12)+1),"N/A"),"")</f>
        <v/>
      </c>
      <c r="I56" s="6" t="str">
        <f>IF(AND($A56&lt;&gt;"",$B56&lt;&gt;"",$C56&lt;&gt;"",$D56&lt;&gt;""),IF(OR($B56="SER",$B56="PLH"),"Control MAX Planck Plate "&amp;(INT(((COUNTIFS($B$2:$B56,"SER")+COUNTIFS($B$2:$B56,"PLH"))-1)/96)+1)&amp;": "&amp;CHAR(65+INT(MOD((COUNTIFS($B$2:$B56,"SER")+COUNTIFS($B$2:$B56,"PLH"))-1,96)/12))&amp;(MOD((COUNTIFS($B$2:$B56,"SER")+COUNTIFS($B$2:$B56,"PLH"))-1,12)+1),"N/A"),"")</f>
        <v/>
      </c>
      <c r="J56" s="6" t="str">
        <f>IF(AND($A56&lt;&gt;"",$B56&lt;&gt;"",$C56&lt;&gt;"",$D56&lt;&gt;""),IF($B56="WB","Control WB Box "&amp;(INT((COUNTIFS($B$2:$B56,"WB")-1)/81)+1)&amp;": "&amp;CHAR(65+INT(MOD(COUNTIFS($B$2:$B56,"WB")-1,81)/9))&amp;(MOD(COUNTIFS($B$2:$B56,"WB")-1,9)+1),"N/A"),"")</f>
        <v/>
      </c>
      <c r="K56" s="3" t="str">
        <f t="shared" si="1"/>
        <v/>
      </c>
      <c r="L56" s="2"/>
      <c r="M56" s="2"/>
      <c r="N56" s="2"/>
      <c r="O56" s="7" t="str">
        <f t="shared" si="2"/>
        <v/>
      </c>
      <c r="P56" s="7" t="str">
        <f t="shared" si="3"/>
        <v/>
      </c>
      <c r="Q56" s="7" t="str">
        <f t="shared" si="4"/>
        <v/>
      </c>
      <c r="R56" s="7" t="str">
        <f t="shared" si="5"/>
        <v/>
      </c>
      <c r="S56" s="7" t="str">
        <f t="shared" si="6"/>
        <v/>
      </c>
      <c r="T56" s="7" t="str">
        <f t="shared" si="7"/>
        <v/>
      </c>
      <c r="U56" s="7" t="str">
        <f t="shared" si="8"/>
        <v/>
      </c>
      <c r="V56" s="7" t="str">
        <f t="shared" si="9"/>
        <v/>
      </c>
      <c r="W56" s="7" t="str">
        <f t="shared" si="10"/>
        <v/>
      </c>
      <c r="X56" s="7" t="str">
        <f t="shared" si="11"/>
        <v/>
      </c>
      <c r="Y56">
        <f t="shared" si="12"/>
        <v>0</v>
      </c>
      <c r="Z56" t="str">
        <f t="shared" si="13"/>
        <v/>
      </c>
      <c r="AA56" t="str">
        <f t="shared" si="14"/>
        <v/>
      </c>
      <c r="AB56" t="str">
        <f t="shared" si="15"/>
        <v/>
      </c>
      <c r="AC56" t="str">
        <f t="shared" si="16"/>
        <v/>
      </c>
      <c r="AD56">
        <f t="shared" si="17"/>
        <v>0</v>
      </c>
    </row>
    <row r="57" spans="1:30" ht="15" customHeight="1" x14ac:dyDescent="0.35">
      <c r="A57" s="2"/>
      <c r="B57" s="3"/>
      <c r="C57" s="4"/>
      <c r="D57" s="5"/>
      <c r="E57" s="11" t="str">
        <f t="shared" ca="1" si="0"/>
        <v/>
      </c>
      <c r="F57" s="5"/>
      <c r="G57" s="6" t="str">
        <f>IF(AND($A57&lt;&gt;"",$B57&lt;&gt;"",$C57&lt;&gt;"",$D57&lt;&gt;""),IF(OR($B57="SER",$B57="PLH",$B57="CSF"),"Control CDI Plate "&amp;(INT(((COUNTIFS($B$2:$B57,"SER")+COUNTIFS($B$2:$B57,"PLH")+COUNTIFS($B$2:$B57,"CSF"))-1)/96)+1)&amp;": "&amp;CHAR(65+INT(MOD((COUNTIFS($B$2:$B57,"SER")+COUNTIFS($B$2:$B57,"PLH")+COUNTIFS($B$2:$B57,"CSF"))-1,96)/12))&amp;(MOD((COUNTIFS($B$2:$B57,"SER")+COUNTIFS($B$2:$B57,"PLH")+COUNTIFS($B$2:$B57,"CSF"))-1,12)+1),"N/A"),"")</f>
        <v/>
      </c>
      <c r="H57" s="6" t="str">
        <f>IF(AND($A57&lt;&gt;"",$B57&lt;&gt;"",$C57&lt;&gt;"",$D57&lt;&gt;""),IF(OR($B57="SER",$B57="PLH",$B57="CSF"),"Control NIH Plate "&amp;(INT(((COUNTIFS($B$2:$B57,"SER")+COUNTIFS($B$2:$B57,"PLH")+COUNTIFS($B$2:$B57,"CSF"))-1)/96)+1)&amp;": "&amp;CHAR(65+INT(MOD((COUNTIFS($B$2:$B57,"SER")+COUNTIFS($B$2:$B57,"PLH")+COUNTIFS($B$2:$B57,"CSF"))-1,96)/12))&amp;(MOD((COUNTIFS($B$2:$B57,"SER")+COUNTIFS($B$2:$B57,"PLH")+COUNTIFS($B$2:$B57,"CSF"))-1,12)+1),"N/A"),"")</f>
        <v/>
      </c>
      <c r="I57" s="6" t="str">
        <f>IF(AND($A57&lt;&gt;"",$B57&lt;&gt;"",$C57&lt;&gt;"",$D57&lt;&gt;""),IF(OR($B57="SER",$B57="PLH"),"Control MAX Planck Plate "&amp;(INT(((COUNTIFS($B$2:$B57,"SER")+COUNTIFS($B$2:$B57,"PLH"))-1)/96)+1)&amp;": "&amp;CHAR(65+INT(MOD((COUNTIFS($B$2:$B57,"SER")+COUNTIFS($B$2:$B57,"PLH"))-1,96)/12))&amp;(MOD((COUNTIFS($B$2:$B57,"SER")+COUNTIFS($B$2:$B57,"PLH"))-1,12)+1),"N/A"),"")</f>
        <v/>
      </c>
      <c r="J57" s="6" t="str">
        <f>IF(AND($A57&lt;&gt;"",$B57&lt;&gt;"",$C57&lt;&gt;"",$D57&lt;&gt;""),IF($B57="WB","Control WB Box "&amp;(INT((COUNTIFS($B$2:$B57,"WB")-1)/81)+1)&amp;": "&amp;CHAR(65+INT(MOD(COUNTIFS($B$2:$B57,"WB")-1,81)/9))&amp;(MOD(COUNTIFS($B$2:$B57,"WB")-1,9)+1),"N/A"),"")</f>
        <v/>
      </c>
      <c r="K57" s="3" t="str">
        <f t="shared" si="1"/>
        <v/>
      </c>
      <c r="L57" s="2"/>
      <c r="M57" s="2"/>
      <c r="N57" s="2"/>
      <c r="O57" s="7" t="str">
        <f t="shared" si="2"/>
        <v/>
      </c>
      <c r="P57" s="7" t="str">
        <f t="shared" si="3"/>
        <v/>
      </c>
      <c r="Q57" s="7" t="str">
        <f t="shared" si="4"/>
        <v/>
      </c>
      <c r="R57" s="7" t="str">
        <f t="shared" si="5"/>
        <v/>
      </c>
      <c r="S57" s="7" t="str">
        <f t="shared" si="6"/>
        <v/>
      </c>
      <c r="T57" s="7" t="str">
        <f t="shared" si="7"/>
        <v/>
      </c>
      <c r="U57" s="7" t="str">
        <f t="shared" si="8"/>
        <v/>
      </c>
      <c r="V57" s="7" t="str">
        <f t="shared" si="9"/>
        <v/>
      </c>
      <c r="W57" s="7" t="str">
        <f t="shared" si="10"/>
        <v/>
      </c>
      <c r="X57" s="7" t="str">
        <f t="shared" si="11"/>
        <v/>
      </c>
      <c r="Y57">
        <f t="shared" si="12"/>
        <v>0</v>
      </c>
      <c r="Z57" t="str">
        <f t="shared" si="13"/>
        <v/>
      </c>
      <c r="AA57" t="str">
        <f t="shared" si="14"/>
        <v/>
      </c>
      <c r="AB57" t="str">
        <f t="shared" si="15"/>
        <v/>
      </c>
      <c r="AC57" t="str">
        <f t="shared" si="16"/>
        <v/>
      </c>
      <c r="AD57">
        <f t="shared" si="17"/>
        <v>0</v>
      </c>
    </row>
    <row r="58" spans="1:30" ht="15" customHeight="1" x14ac:dyDescent="0.35">
      <c r="A58" s="2"/>
      <c r="B58" s="3"/>
      <c r="C58" s="4"/>
      <c r="D58" s="5"/>
      <c r="E58" s="11" t="str">
        <f t="shared" ca="1" si="0"/>
        <v/>
      </c>
      <c r="F58" s="5"/>
      <c r="G58" s="6" t="str">
        <f>IF(AND($A58&lt;&gt;"",$B58&lt;&gt;"",$C58&lt;&gt;"",$D58&lt;&gt;""),IF(OR($B58="SER",$B58="PLH",$B58="CSF"),"Control CDI Plate "&amp;(INT(((COUNTIFS($B$2:$B58,"SER")+COUNTIFS($B$2:$B58,"PLH")+COUNTIFS($B$2:$B58,"CSF"))-1)/96)+1)&amp;": "&amp;CHAR(65+INT(MOD((COUNTIFS($B$2:$B58,"SER")+COUNTIFS($B$2:$B58,"PLH")+COUNTIFS($B$2:$B58,"CSF"))-1,96)/12))&amp;(MOD((COUNTIFS($B$2:$B58,"SER")+COUNTIFS($B$2:$B58,"PLH")+COUNTIFS($B$2:$B58,"CSF"))-1,12)+1),"N/A"),"")</f>
        <v/>
      </c>
      <c r="H58" s="6" t="str">
        <f>IF(AND($A58&lt;&gt;"",$B58&lt;&gt;"",$C58&lt;&gt;"",$D58&lt;&gt;""),IF(OR($B58="SER",$B58="PLH",$B58="CSF"),"Control NIH Plate "&amp;(INT(((COUNTIFS($B$2:$B58,"SER")+COUNTIFS($B$2:$B58,"PLH")+COUNTIFS($B$2:$B58,"CSF"))-1)/96)+1)&amp;": "&amp;CHAR(65+INT(MOD((COUNTIFS($B$2:$B58,"SER")+COUNTIFS($B$2:$B58,"PLH")+COUNTIFS($B$2:$B58,"CSF"))-1,96)/12))&amp;(MOD((COUNTIFS($B$2:$B58,"SER")+COUNTIFS($B$2:$B58,"PLH")+COUNTIFS($B$2:$B58,"CSF"))-1,12)+1),"N/A"),"")</f>
        <v/>
      </c>
      <c r="I58" s="6" t="str">
        <f>IF(AND($A58&lt;&gt;"",$B58&lt;&gt;"",$C58&lt;&gt;"",$D58&lt;&gt;""),IF(OR($B58="SER",$B58="PLH"),"Control MAX Planck Plate "&amp;(INT(((COUNTIFS($B$2:$B58,"SER")+COUNTIFS($B$2:$B58,"PLH"))-1)/96)+1)&amp;": "&amp;CHAR(65+INT(MOD((COUNTIFS($B$2:$B58,"SER")+COUNTIFS($B$2:$B58,"PLH"))-1,96)/12))&amp;(MOD((COUNTIFS($B$2:$B58,"SER")+COUNTIFS($B$2:$B58,"PLH"))-1,12)+1),"N/A"),"")</f>
        <v/>
      </c>
      <c r="J58" s="6" t="str">
        <f>IF(AND($A58&lt;&gt;"",$B58&lt;&gt;"",$C58&lt;&gt;"",$D58&lt;&gt;""),IF($B58="WB","Control WB Box "&amp;(INT((COUNTIFS($B$2:$B58,"WB")-1)/81)+1)&amp;": "&amp;CHAR(65+INT(MOD(COUNTIFS($B$2:$B58,"WB")-1,81)/9))&amp;(MOD(COUNTIFS($B$2:$B58,"WB")-1,9)+1),"N/A"),"")</f>
        <v/>
      </c>
      <c r="K58" s="3" t="str">
        <f t="shared" si="1"/>
        <v/>
      </c>
      <c r="L58" s="2"/>
      <c r="M58" s="2"/>
      <c r="N58" s="2"/>
      <c r="O58" s="7" t="str">
        <f t="shared" si="2"/>
        <v/>
      </c>
      <c r="P58" s="7" t="str">
        <f t="shared" si="3"/>
        <v/>
      </c>
      <c r="Q58" s="7" t="str">
        <f t="shared" si="4"/>
        <v/>
      </c>
      <c r="R58" s="7" t="str">
        <f t="shared" si="5"/>
        <v/>
      </c>
      <c r="S58" s="7" t="str">
        <f t="shared" si="6"/>
        <v/>
      </c>
      <c r="T58" s="7" t="str">
        <f t="shared" si="7"/>
        <v/>
      </c>
      <c r="U58" s="7" t="str">
        <f t="shared" si="8"/>
        <v/>
      </c>
      <c r="V58" s="7" t="str">
        <f t="shared" si="9"/>
        <v/>
      </c>
      <c r="W58" s="7" t="str">
        <f t="shared" si="10"/>
        <v/>
      </c>
      <c r="X58" s="7" t="str">
        <f t="shared" si="11"/>
        <v/>
      </c>
      <c r="Y58">
        <f t="shared" si="12"/>
        <v>0</v>
      </c>
      <c r="Z58" t="str">
        <f t="shared" si="13"/>
        <v/>
      </c>
      <c r="AA58" t="str">
        <f t="shared" si="14"/>
        <v/>
      </c>
      <c r="AB58" t="str">
        <f t="shared" si="15"/>
        <v/>
      </c>
      <c r="AC58" t="str">
        <f t="shared" si="16"/>
        <v/>
      </c>
      <c r="AD58">
        <f t="shared" si="17"/>
        <v>0</v>
      </c>
    </row>
    <row r="59" spans="1:30" ht="15" customHeight="1" x14ac:dyDescent="0.35">
      <c r="A59" s="2"/>
      <c r="B59" s="3"/>
      <c r="C59" s="4"/>
      <c r="D59" s="5"/>
      <c r="E59" s="11" t="str">
        <f t="shared" ca="1" si="0"/>
        <v/>
      </c>
      <c r="F59" s="5"/>
      <c r="G59" s="6" t="str">
        <f>IF(AND($A59&lt;&gt;"",$B59&lt;&gt;"",$C59&lt;&gt;"",$D59&lt;&gt;""),IF(OR($B59="SER",$B59="PLH",$B59="CSF"),"Control CDI Plate "&amp;(INT(((COUNTIFS($B$2:$B59,"SER")+COUNTIFS($B$2:$B59,"PLH")+COUNTIFS($B$2:$B59,"CSF"))-1)/96)+1)&amp;": "&amp;CHAR(65+INT(MOD((COUNTIFS($B$2:$B59,"SER")+COUNTIFS($B$2:$B59,"PLH")+COUNTIFS($B$2:$B59,"CSF"))-1,96)/12))&amp;(MOD((COUNTIFS($B$2:$B59,"SER")+COUNTIFS($B$2:$B59,"PLH")+COUNTIFS($B$2:$B59,"CSF"))-1,12)+1),"N/A"),"")</f>
        <v/>
      </c>
      <c r="H59" s="6" t="str">
        <f>IF(AND($A59&lt;&gt;"",$B59&lt;&gt;"",$C59&lt;&gt;"",$D59&lt;&gt;""),IF(OR($B59="SER",$B59="PLH",$B59="CSF"),"Control NIH Plate "&amp;(INT(((COUNTIFS($B$2:$B59,"SER")+COUNTIFS($B$2:$B59,"PLH")+COUNTIFS($B$2:$B59,"CSF"))-1)/96)+1)&amp;": "&amp;CHAR(65+INT(MOD((COUNTIFS($B$2:$B59,"SER")+COUNTIFS($B$2:$B59,"PLH")+COUNTIFS($B$2:$B59,"CSF"))-1,96)/12))&amp;(MOD((COUNTIFS($B$2:$B59,"SER")+COUNTIFS($B$2:$B59,"PLH")+COUNTIFS($B$2:$B59,"CSF"))-1,12)+1),"N/A"),"")</f>
        <v/>
      </c>
      <c r="I59" s="6" t="str">
        <f>IF(AND($A59&lt;&gt;"",$B59&lt;&gt;"",$C59&lt;&gt;"",$D59&lt;&gt;""),IF(OR($B59="SER",$B59="PLH"),"Control MAX Planck Plate "&amp;(INT(((COUNTIFS($B$2:$B59,"SER")+COUNTIFS($B$2:$B59,"PLH"))-1)/96)+1)&amp;": "&amp;CHAR(65+INT(MOD((COUNTIFS($B$2:$B59,"SER")+COUNTIFS($B$2:$B59,"PLH"))-1,96)/12))&amp;(MOD((COUNTIFS($B$2:$B59,"SER")+COUNTIFS($B$2:$B59,"PLH"))-1,12)+1),"N/A"),"")</f>
        <v/>
      </c>
      <c r="J59" s="6" t="str">
        <f>IF(AND($A59&lt;&gt;"",$B59&lt;&gt;"",$C59&lt;&gt;"",$D59&lt;&gt;""),IF($B59="WB","Control WB Box "&amp;(INT((COUNTIFS($B$2:$B59,"WB")-1)/81)+1)&amp;": "&amp;CHAR(65+INT(MOD(COUNTIFS($B$2:$B59,"WB")-1,81)/9))&amp;(MOD(COUNTIFS($B$2:$B59,"WB")-1,9)+1),"N/A"),"")</f>
        <v/>
      </c>
      <c r="K59" s="3" t="str">
        <f t="shared" si="1"/>
        <v/>
      </c>
      <c r="L59" s="2"/>
      <c r="M59" s="2"/>
      <c r="N59" s="2"/>
      <c r="O59" s="7" t="str">
        <f t="shared" si="2"/>
        <v/>
      </c>
      <c r="P59" s="7" t="str">
        <f t="shared" si="3"/>
        <v/>
      </c>
      <c r="Q59" s="7" t="str">
        <f t="shared" si="4"/>
        <v/>
      </c>
      <c r="R59" s="7" t="str">
        <f t="shared" si="5"/>
        <v/>
      </c>
      <c r="S59" s="7" t="str">
        <f t="shared" si="6"/>
        <v/>
      </c>
      <c r="T59" s="7" t="str">
        <f t="shared" si="7"/>
        <v/>
      </c>
      <c r="U59" s="7" t="str">
        <f t="shared" si="8"/>
        <v/>
      </c>
      <c r="V59" s="7" t="str">
        <f t="shared" si="9"/>
        <v/>
      </c>
      <c r="W59" s="7" t="str">
        <f t="shared" si="10"/>
        <v/>
      </c>
      <c r="X59" s="7" t="str">
        <f t="shared" si="11"/>
        <v/>
      </c>
      <c r="Y59">
        <f t="shared" si="12"/>
        <v>0</v>
      </c>
      <c r="Z59" t="str">
        <f t="shared" si="13"/>
        <v/>
      </c>
      <c r="AA59" t="str">
        <f t="shared" si="14"/>
        <v/>
      </c>
      <c r="AB59" t="str">
        <f t="shared" si="15"/>
        <v/>
      </c>
      <c r="AC59" t="str">
        <f t="shared" si="16"/>
        <v/>
      </c>
      <c r="AD59">
        <f t="shared" si="17"/>
        <v>0</v>
      </c>
    </row>
    <row r="60" spans="1:30" ht="15" customHeight="1" x14ac:dyDescent="0.35">
      <c r="A60" s="2"/>
      <c r="B60" s="3"/>
      <c r="C60" s="4"/>
      <c r="D60" s="5"/>
      <c r="E60" s="11" t="str">
        <f t="shared" ca="1" si="0"/>
        <v/>
      </c>
      <c r="F60" s="5"/>
      <c r="G60" s="6" t="str">
        <f>IF(AND($A60&lt;&gt;"",$B60&lt;&gt;"",$C60&lt;&gt;"",$D60&lt;&gt;""),IF(OR($B60="SER",$B60="PLH",$B60="CSF"),"Control CDI Plate "&amp;(INT(((COUNTIFS($B$2:$B60,"SER")+COUNTIFS($B$2:$B60,"PLH")+COUNTIFS($B$2:$B60,"CSF"))-1)/96)+1)&amp;": "&amp;CHAR(65+INT(MOD((COUNTIFS($B$2:$B60,"SER")+COUNTIFS($B$2:$B60,"PLH")+COUNTIFS($B$2:$B60,"CSF"))-1,96)/12))&amp;(MOD((COUNTIFS($B$2:$B60,"SER")+COUNTIFS($B$2:$B60,"PLH")+COUNTIFS($B$2:$B60,"CSF"))-1,12)+1),"N/A"),"")</f>
        <v/>
      </c>
      <c r="H60" s="6" t="str">
        <f>IF(AND($A60&lt;&gt;"",$B60&lt;&gt;"",$C60&lt;&gt;"",$D60&lt;&gt;""),IF(OR($B60="SER",$B60="PLH",$B60="CSF"),"Control NIH Plate "&amp;(INT(((COUNTIFS($B$2:$B60,"SER")+COUNTIFS($B$2:$B60,"PLH")+COUNTIFS($B$2:$B60,"CSF"))-1)/96)+1)&amp;": "&amp;CHAR(65+INT(MOD((COUNTIFS($B$2:$B60,"SER")+COUNTIFS($B$2:$B60,"PLH")+COUNTIFS($B$2:$B60,"CSF"))-1,96)/12))&amp;(MOD((COUNTIFS($B$2:$B60,"SER")+COUNTIFS($B$2:$B60,"PLH")+COUNTIFS($B$2:$B60,"CSF"))-1,12)+1),"N/A"),"")</f>
        <v/>
      </c>
      <c r="I60" s="6" t="str">
        <f>IF(AND($A60&lt;&gt;"",$B60&lt;&gt;"",$C60&lt;&gt;"",$D60&lt;&gt;""),IF(OR($B60="SER",$B60="PLH"),"Control MAX Planck Plate "&amp;(INT(((COUNTIFS($B$2:$B60,"SER")+COUNTIFS($B$2:$B60,"PLH"))-1)/96)+1)&amp;": "&amp;CHAR(65+INT(MOD((COUNTIFS($B$2:$B60,"SER")+COUNTIFS($B$2:$B60,"PLH"))-1,96)/12))&amp;(MOD((COUNTIFS($B$2:$B60,"SER")+COUNTIFS($B$2:$B60,"PLH"))-1,12)+1),"N/A"),"")</f>
        <v/>
      </c>
      <c r="J60" s="6" t="str">
        <f>IF(AND($A60&lt;&gt;"",$B60&lt;&gt;"",$C60&lt;&gt;"",$D60&lt;&gt;""),IF($B60="WB","Control WB Box "&amp;(INT((COUNTIFS($B$2:$B60,"WB")-1)/81)+1)&amp;": "&amp;CHAR(65+INT(MOD(COUNTIFS($B$2:$B60,"WB")-1,81)/9))&amp;(MOD(COUNTIFS($B$2:$B60,"WB")-1,9)+1),"N/A"),"")</f>
        <v/>
      </c>
      <c r="K60" s="3" t="str">
        <f t="shared" si="1"/>
        <v/>
      </c>
      <c r="L60" s="2"/>
      <c r="M60" s="2"/>
      <c r="N60" s="2"/>
      <c r="O60" s="7" t="str">
        <f t="shared" si="2"/>
        <v/>
      </c>
      <c r="P60" s="7" t="str">
        <f t="shared" si="3"/>
        <v/>
      </c>
      <c r="Q60" s="7" t="str">
        <f t="shared" si="4"/>
        <v/>
      </c>
      <c r="R60" s="7" t="str">
        <f t="shared" si="5"/>
        <v/>
      </c>
      <c r="S60" s="7" t="str">
        <f t="shared" si="6"/>
        <v/>
      </c>
      <c r="T60" s="7" t="str">
        <f t="shared" si="7"/>
        <v/>
      </c>
      <c r="U60" s="7" t="str">
        <f t="shared" si="8"/>
        <v/>
      </c>
      <c r="V60" s="7" t="str">
        <f t="shared" si="9"/>
        <v/>
      </c>
      <c r="W60" s="7" t="str">
        <f t="shared" si="10"/>
        <v/>
      </c>
      <c r="X60" s="7" t="str">
        <f t="shared" si="11"/>
        <v/>
      </c>
      <c r="Y60">
        <f t="shared" si="12"/>
        <v>0</v>
      </c>
      <c r="Z60" t="str">
        <f t="shared" si="13"/>
        <v/>
      </c>
      <c r="AA60" t="str">
        <f t="shared" si="14"/>
        <v/>
      </c>
      <c r="AB60" t="str">
        <f t="shared" si="15"/>
        <v/>
      </c>
      <c r="AC60" t="str">
        <f t="shared" si="16"/>
        <v/>
      </c>
      <c r="AD60">
        <f t="shared" si="17"/>
        <v>0</v>
      </c>
    </row>
    <row r="61" spans="1:30" ht="15" customHeight="1" x14ac:dyDescent="0.35">
      <c r="A61" s="2"/>
      <c r="B61" s="3"/>
      <c r="C61" s="4"/>
      <c r="D61" s="5"/>
      <c r="E61" s="11" t="str">
        <f t="shared" ref="E61:E124" ca="1" si="18">IF(AND($A61&lt;&gt;"",$B61&lt;&gt;"",$C61&lt;&gt;"",$D61&lt;&gt;""),TODAY(),"")</f>
        <v/>
      </c>
      <c r="F61" s="5"/>
      <c r="G61" s="6" t="str">
        <f>IF(AND($A61&lt;&gt;"",$B61&lt;&gt;"",$C61&lt;&gt;"",$D61&lt;&gt;""),IF(OR($B61="SER",$B61="PLH",$B61="CSF"),"Control CDI Plate "&amp;(INT(((COUNTIFS($B$2:$B61,"SER")+COUNTIFS($B$2:$B61,"PLH")+COUNTIFS($B$2:$B61,"CSF"))-1)/96)+1)&amp;": "&amp;CHAR(65+INT(MOD((COUNTIFS($B$2:$B61,"SER")+COUNTIFS($B$2:$B61,"PLH")+COUNTIFS($B$2:$B61,"CSF"))-1,96)/12))&amp;(MOD((COUNTIFS($B$2:$B61,"SER")+COUNTIFS($B$2:$B61,"PLH")+COUNTIFS($B$2:$B61,"CSF"))-1,12)+1),"N/A"),"")</f>
        <v/>
      </c>
      <c r="H61" s="6" t="str">
        <f>IF(AND($A61&lt;&gt;"",$B61&lt;&gt;"",$C61&lt;&gt;"",$D61&lt;&gt;""),IF(OR($B61="SER",$B61="PLH",$B61="CSF"),"Control NIH Plate "&amp;(INT(((COUNTIFS($B$2:$B61,"SER")+COUNTIFS($B$2:$B61,"PLH")+COUNTIFS($B$2:$B61,"CSF"))-1)/96)+1)&amp;": "&amp;CHAR(65+INT(MOD((COUNTIFS($B$2:$B61,"SER")+COUNTIFS($B$2:$B61,"PLH")+COUNTIFS($B$2:$B61,"CSF"))-1,96)/12))&amp;(MOD((COUNTIFS($B$2:$B61,"SER")+COUNTIFS($B$2:$B61,"PLH")+COUNTIFS($B$2:$B61,"CSF"))-1,12)+1),"N/A"),"")</f>
        <v/>
      </c>
      <c r="I61" s="6" t="str">
        <f>IF(AND($A61&lt;&gt;"",$B61&lt;&gt;"",$C61&lt;&gt;"",$D61&lt;&gt;""),IF(OR($B61="SER",$B61="PLH"),"Control MAX Planck Plate "&amp;(INT(((COUNTIFS($B$2:$B61,"SER")+COUNTIFS($B$2:$B61,"PLH"))-1)/96)+1)&amp;": "&amp;CHAR(65+INT(MOD((COUNTIFS($B$2:$B61,"SER")+COUNTIFS($B$2:$B61,"PLH"))-1,96)/12))&amp;(MOD((COUNTIFS($B$2:$B61,"SER")+COUNTIFS($B$2:$B61,"PLH"))-1,12)+1),"N/A"),"")</f>
        <v/>
      </c>
      <c r="J61" s="6" t="str">
        <f>IF(AND($A61&lt;&gt;"",$B61&lt;&gt;"",$C61&lt;&gt;"",$D61&lt;&gt;""),IF($B61="WB","Control WB Box "&amp;(INT((COUNTIFS($B$2:$B61,"WB")-1)/81)+1)&amp;": "&amp;CHAR(65+INT(MOD(COUNTIFS($B$2:$B61,"WB")-1,81)/9))&amp;(MOD(COUNTIFS($B$2:$B61,"WB")-1,9)+1),"N/A"),"")</f>
        <v/>
      </c>
      <c r="K61" s="3" t="str">
        <f t="shared" ref="K61:K124" si="19">IF(AND($A61&lt;&gt;"",$B61&lt;&gt;"",$C61&lt;&gt;"",$D61&lt;&gt;""),IF($B61="WB","No",""),"")</f>
        <v/>
      </c>
      <c r="L61" s="2"/>
      <c r="M61" s="2"/>
      <c r="N61" s="2"/>
      <c r="O61" s="7" t="str">
        <f t="shared" ref="O61:O124" si="20">IF($A61&lt;&gt;"",MID($A61,7,4),"")</f>
        <v/>
      </c>
      <c r="P61" s="7" t="str">
        <f t="shared" ref="P61:P124" si="21">IF($C61&lt;&gt;"",TEXT($C61,"mmddyy"),"")</f>
        <v/>
      </c>
      <c r="Q61" s="7" t="str">
        <f t="shared" ref="Q61:Q124" si="22">IF(AND($A61&lt;&gt;"",$B61&lt;&gt;"",$C61&lt;&gt;""),IF($B61="WB","cn_"&amp;$O61&amp;"_wb_"&amp;$P61,"cn_"&amp;$O61&amp;"_"&amp;LOWER($B61)&amp;"_"&amp;IF($B61="CSF","0.50","0.20")&amp;"_"&amp;$P61),"")</f>
        <v/>
      </c>
      <c r="R61" s="7" t="str">
        <f t="shared" ref="R61:R124" si="23">IF(AND($A61&lt;&gt;"",$B61="WB",$C61&lt;&gt;""),"cn_"&amp;$O61&amp;"_wb_"&amp;$P61,"")</f>
        <v/>
      </c>
      <c r="S61" s="7" t="str">
        <f t="shared" ref="S61:S124" si="24">IFERROR(VALUE(MID($L61,FIND("Box ",$L61)+4,FIND(":",$L61)-FIND("Box ",$L61)-4)),"")</f>
        <v/>
      </c>
      <c r="T61" s="7" t="str">
        <f t="shared" ref="T61:T124" si="25">IFERROR(CODE(UPPER(LEFT(LEFT(TRIM(MID(SUBSTITUTE(TRIM(MID($L61,FIND(":",$L61)+1,200)),",",REPT(" ",60)),1,60)),IFERROR(FIND("-",TRIM(MID(SUBSTITUTE(TRIM(MID($L61,FIND(":",$L61)+1,200)),",",REPT(" ",60)),1,60)))-1,LEN(TRIM(MID(SUBSTITUTE(TRIM(MID($L61,FIND(":",$L61)+1,200)),",",REPT(" ",60)),1,60))))),1)))-64,"")</f>
        <v/>
      </c>
      <c r="U61" s="7" t="str">
        <f t="shared" ref="U61:U124" si="26">IFERROR(VALUE(MID(LEFT(TRIM(MID(SUBSTITUTE(TRIM(MID($L61,FIND(":",$L61)+1,200)),",",REPT(" ",60)),1,60)),IFERROR(FIND("-",TRIM(MID(SUBSTITUTE(TRIM(MID($L61,FIND(":",$L61)+1,200)),",",REPT(" ",60)),1,60)))-1,LEN(TRIM(MID(SUBSTITUTE(TRIM(MID($L61,FIND(":",$L61)+1,200)),",",REPT(" ",60)),1,60))))),2,3)),"")</f>
        <v/>
      </c>
      <c r="V61" s="7" t="str">
        <f t="shared" ref="V61:V124" si="27">IFERROR(CODE(UPPER(LEFT(IFERROR(MID(TRIM(MID(SUBSTITUTE(TRIM(MID($L61,FIND(":",$L61)+1,200)),",",REPT(" ",60)),1,60)),FIND("-",TRIM(MID(SUBSTITUTE(TRIM(MID($L61,FIND(":",$L61)+1,200)),",",REPT(" ",60)),1,60)))+1,99),LEFT(TRIM(MID(SUBSTITUTE(TRIM(MID($L61,FIND(":",$L61)+1,200)),",",REPT(" ",60)),1,60)),IFERROR(FIND("-",TRIM(MID(SUBSTITUTE(TRIM(MID($L61,FIND(":",$L61)+1,200)),",",REPT(" ",60)),1,60)))-1,LEN(TRIM(MID(SUBSTITUTE(TRIM(MID($L61,FIND(":",$L61)+1,200)),",",REPT(" ",60)),1,60)))))),1)))-64,"")</f>
        <v/>
      </c>
      <c r="W61" s="7" t="str">
        <f t="shared" ref="W61:W124" si="28">IFERROR(VALUE(MID(IFERROR(MID(TRIM(MID(SUBSTITUTE(TRIM(MID($L61,FIND(":",$L61)+1,200)),",",REPT(" ",60)),1,60)),FIND("-",TRIM(MID(SUBSTITUTE(TRIM(MID($L61,FIND(":",$L61)+1,200)),",",REPT(" ",60)),1,60)))+1,99),LEFT(TRIM(MID(SUBSTITUTE(TRIM(MID($L61,FIND(":",$L61)+1,200)),",",REPT(" ",60)),1,60)),IFERROR(FIND("-",TRIM(MID(SUBSTITUTE(TRIM(MID($L61,FIND(":",$L61)+1,200)),",",REPT(" ",60)),1,60)))-1,LEN(TRIM(MID(SUBSTITUTE(TRIM(MID($L61,FIND(":",$L61)+1,200)),",",REPT(" ",60)),1,60)))))),2,3)),"")</f>
        <v/>
      </c>
      <c r="X61" s="7" t="str">
        <f t="shared" ref="X61:X124" si="29">IF(AND($A61&lt;&gt;"",$B61&lt;&gt;"",$C61&lt;&gt;""),"cn_"&amp;$O61&amp;"_"&amp;LOWER($B61)&amp;"_","")</f>
        <v/>
      </c>
      <c r="Y61">
        <f t="shared" ref="Y61:Y124" si="30">IFERROR(($V61-$T61+1)*($W61-$U61+1),0)</f>
        <v>0</v>
      </c>
      <c r="Z61" t="str">
        <f t="shared" ref="Z61:Z124" si="31">IFERROR(CODE(UPPER(LEFT(LEFT(TRIM(MID(SUBSTITUTE(TRIM(MID($L61,FIND(":",$L61)+1,200)),",",REPT(" ",60)),61,60)),IFERROR(FIND("-",TRIM(MID(SUBSTITUTE(TRIM(MID($L61,FIND(":",$L61)+1,200)),",",REPT(" ",60)),61,60)))-1,LEN(TRIM(MID(SUBSTITUTE(TRIM(MID($L61,FIND(":",$L61)+1,200)),",",REPT(" ",60)),61,60))))),1)))-64,"")</f>
        <v/>
      </c>
      <c r="AA61" t="str">
        <f t="shared" ref="AA61:AA124" si="32">IFERROR(VALUE(MID(LEFT(TRIM(MID(SUBSTITUTE(TRIM(MID($L61,FIND(":",$L61)+1,200)),",",REPT(" ",60)),61,60)),IFERROR(FIND("-",TRIM(MID(SUBSTITUTE(TRIM(MID($L61,FIND(":",$L61)+1,200)),",",REPT(" ",60)),61,60)))-1,LEN(TRIM(MID(SUBSTITUTE(TRIM(MID($L61,FIND(":",$L61)+1,200)),",",REPT(" ",60)),61,60))))),2,3)),"")</f>
        <v/>
      </c>
      <c r="AB61" t="str">
        <f t="shared" ref="AB61:AB124" si="33">IFERROR(CODE(UPPER(LEFT(IFERROR(MID(TRIM(MID(SUBSTITUTE(TRIM(MID($L61,FIND(":",$L61)+1,200)),",",REPT(" ",60)),61,60)),FIND("-",TRIM(MID(SUBSTITUTE(TRIM(MID($L61,FIND(":",$L61)+1,200)),",",REPT(" ",60)),61,60)))+1,99),LEFT(TRIM(MID(SUBSTITUTE(TRIM(MID($L61,FIND(":",$L61)+1,200)),",",REPT(" ",60)),61,60)),IFERROR(FIND("-",TRIM(MID(SUBSTITUTE(TRIM(MID($L61,FIND(":",$L61)+1,200)),",",REPT(" ",60)),61,60)))-1,LEN(TRIM(MID(SUBSTITUTE(TRIM(MID($L61,FIND(":",$L61)+1,200)),",",REPT(" ",60)),61,60)))))),1)))-64,"")</f>
        <v/>
      </c>
      <c r="AC61" t="str">
        <f t="shared" ref="AC61:AC124" si="34">IFERROR(VALUE(MID(IFERROR(MID(TRIM(MID(SUBSTITUTE(TRIM(MID($L61,FIND(":",$L61)+1,200)),",",REPT(" ",60)),61,60)),FIND("-",TRIM(MID(SUBSTITUTE(TRIM(MID($L61,FIND(":",$L61)+1,200)),",",REPT(" ",60)),61,60)))+1,99),LEFT(TRIM(MID(SUBSTITUTE(TRIM(MID($L61,FIND(":",$L61)+1,200)),",",REPT(" ",60)),61,60)),IFERROR(FIND("-",TRIM(MID(SUBSTITUTE(TRIM(MID($L61,FIND(":",$L61)+1,200)),",",REPT(" ",60)),61,60)))-1,LEN(TRIM(MID(SUBSTITUTE(TRIM(MID($L61,FIND(":",$L61)+1,200)),",",REPT(" ",60)),61,60)))))),2,3)),"")</f>
        <v/>
      </c>
      <c r="AD61">
        <f t="shared" ref="AD61:AD124" si="35">IFERROR(($AB61-$Z61+1)*($AC61-$AA61+1),0)</f>
        <v>0</v>
      </c>
    </row>
    <row r="62" spans="1:30" ht="15" customHeight="1" x14ac:dyDescent="0.35">
      <c r="A62" s="2"/>
      <c r="B62" s="3"/>
      <c r="C62" s="4"/>
      <c r="D62" s="5"/>
      <c r="E62" s="11" t="str">
        <f t="shared" ca="1" si="18"/>
        <v/>
      </c>
      <c r="F62" s="5"/>
      <c r="G62" s="6" t="str">
        <f>IF(AND($A62&lt;&gt;"",$B62&lt;&gt;"",$C62&lt;&gt;"",$D62&lt;&gt;""),IF(OR($B62="SER",$B62="PLH",$B62="CSF"),"Control CDI Plate "&amp;(INT(((COUNTIFS($B$2:$B62,"SER")+COUNTIFS($B$2:$B62,"PLH")+COUNTIFS($B$2:$B62,"CSF"))-1)/96)+1)&amp;": "&amp;CHAR(65+INT(MOD((COUNTIFS($B$2:$B62,"SER")+COUNTIFS($B$2:$B62,"PLH")+COUNTIFS($B$2:$B62,"CSF"))-1,96)/12))&amp;(MOD((COUNTIFS($B$2:$B62,"SER")+COUNTIFS($B$2:$B62,"PLH")+COUNTIFS($B$2:$B62,"CSF"))-1,12)+1),"N/A"),"")</f>
        <v/>
      </c>
      <c r="H62" s="6" t="str">
        <f>IF(AND($A62&lt;&gt;"",$B62&lt;&gt;"",$C62&lt;&gt;"",$D62&lt;&gt;""),IF(OR($B62="SER",$B62="PLH",$B62="CSF"),"Control NIH Plate "&amp;(INT(((COUNTIFS($B$2:$B62,"SER")+COUNTIFS($B$2:$B62,"PLH")+COUNTIFS($B$2:$B62,"CSF"))-1)/96)+1)&amp;": "&amp;CHAR(65+INT(MOD((COUNTIFS($B$2:$B62,"SER")+COUNTIFS($B$2:$B62,"PLH")+COUNTIFS($B$2:$B62,"CSF"))-1,96)/12))&amp;(MOD((COUNTIFS($B$2:$B62,"SER")+COUNTIFS($B$2:$B62,"PLH")+COUNTIFS($B$2:$B62,"CSF"))-1,12)+1),"N/A"),"")</f>
        <v/>
      </c>
      <c r="I62" s="6" t="str">
        <f>IF(AND($A62&lt;&gt;"",$B62&lt;&gt;"",$C62&lt;&gt;"",$D62&lt;&gt;""),IF(OR($B62="SER",$B62="PLH"),"Control MAX Planck Plate "&amp;(INT(((COUNTIFS($B$2:$B62,"SER")+COUNTIFS($B$2:$B62,"PLH"))-1)/96)+1)&amp;": "&amp;CHAR(65+INT(MOD((COUNTIFS($B$2:$B62,"SER")+COUNTIFS($B$2:$B62,"PLH"))-1,96)/12))&amp;(MOD((COUNTIFS($B$2:$B62,"SER")+COUNTIFS($B$2:$B62,"PLH"))-1,12)+1),"N/A"),"")</f>
        <v/>
      </c>
      <c r="J62" s="6" t="str">
        <f>IF(AND($A62&lt;&gt;"",$B62&lt;&gt;"",$C62&lt;&gt;"",$D62&lt;&gt;""),IF($B62="WB","Control WB Box "&amp;(INT((COUNTIFS($B$2:$B62,"WB")-1)/81)+1)&amp;": "&amp;CHAR(65+INT(MOD(COUNTIFS($B$2:$B62,"WB")-1,81)/9))&amp;(MOD(COUNTIFS($B$2:$B62,"WB")-1,9)+1),"N/A"),"")</f>
        <v/>
      </c>
      <c r="K62" s="3" t="str">
        <f t="shared" si="19"/>
        <v/>
      </c>
      <c r="L62" s="2"/>
      <c r="M62" s="2"/>
      <c r="N62" s="2"/>
      <c r="O62" s="7" t="str">
        <f t="shared" si="20"/>
        <v/>
      </c>
      <c r="P62" s="7" t="str">
        <f t="shared" si="21"/>
        <v/>
      </c>
      <c r="Q62" s="7" t="str">
        <f t="shared" si="22"/>
        <v/>
      </c>
      <c r="R62" s="7" t="str">
        <f t="shared" si="23"/>
        <v/>
      </c>
      <c r="S62" s="7" t="str">
        <f t="shared" si="24"/>
        <v/>
      </c>
      <c r="T62" s="7" t="str">
        <f t="shared" si="25"/>
        <v/>
      </c>
      <c r="U62" s="7" t="str">
        <f t="shared" si="26"/>
        <v/>
      </c>
      <c r="V62" s="7" t="str">
        <f t="shared" si="27"/>
        <v/>
      </c>
      <c r="W62" s="7" t="str">
        <f t="shared" si="28"/>
        <v/>
      </c>
      <c r="X62" s="7" t="str">
        <f t="shared" si="29"/>
        <v/>
      </c>
      <c r="Y62">
        <f t="shared" si="30"/>
        <v>0</v>
      </c>
      <c r="Z62" t="str">
        <f t="shared" si="31"/>
        <v/>
      </c>
      <c r="AA62" t="str">
        <f t="shared" si="32"/>
        <v/>
      </c>
      <c r="AB62" t="str">
        <f t="shared" si="33"/>
        <v/>
      </c>
      <c r="AC62" t="str">
        <f t="shared" si="34"/>
        <v/>
      </c>
      <c r="AD62">
        <f t="shared" si="35"/>
        <v>0</v>
      </c>
    </row>
    <row r="63" spans="1:30" ht="15" customHeight="1" x14ac:dyDescent="0.35">
      <c r="A63" s="2"/>
      <c r="B63" s="3"/>
      <c r="C63" s="4"/>
      <c r="D63" s="5"/>
      <c r="E63" s="11" t="str">
        <f t="shared" ca="1" si="18"/>
        <v/>
      </c>
      <c r="F63" s="5"/>
      <c r="G63" s="6" t="str">
        <f>IF(AND($A63&lt;&gt;"",$B63&lt;&gt;"",$C63&lt;&gt;"",$D63&lt;&gt;""),IF(OR($B63="SER",$B63="PLH",$B63="CSF"),"Control CDI Plate "&amp;(INT(((COUNTIFS($B$2:$B63,"SER")+COUNTIFS($B$2:$B63,"PLH")+COUNTIFS($B$2:$B63,"CSF"))-1)/96)+1)&amp;": "&amp;CHAR(65+INT(MOD((COUNTIFS($B$2:$B63,"SER")+COUNTIFS($B$2:$B63,"PLH")+COUNTIFS($B$2:$B63,"CSF"))-1,96)/12))&amp;(MOD((COUNTIFS($B$2:$B63,"SER")+COUNTIFS($B$2:$B63,"PLH")+COUNTIFS($B$2:$B63,"CSF"))-1,12)+1),"N/A"),"")</f>
        <v/>
      </c>
      <c r="H63" s="6" t="str">
        <f>IF(AND($A63&lt;&gt;"",$B63&lt;&gt;"",$C63&lt;&gt;"",$D63&lt;&gt;""),IF(OR($B63="SER",$B63="PLH",$B63="CSF"),"Control NIH Plate "&amp;(INT(((COUNTIFS($B$2:$B63,"SER")+COUNTIFS($B$2:$B63,"PLH")+COUNTIFS($B$2:$B63,"CSF"))-1)/96)+1)&amp;": "&amp;CHAR(65+INT(MOD((COUNTIFS($B$2:$B63,"SER")+COUNTIFS($B$2:$B63,"PLH")+COUNTIFS($B$2:$B63,"CSF"))-1,96)/12))&amp;(MOD((COUNTIFS($B$2:$B63,"SER")+COUNTIFS($B$2:$B63,"PLH")+COUNTIFS($B$2:$B63,"CSF"))-1,12)+1),"N/A"),"")</f>
        <v/>
      </c>
      <c r="I63" s="6" t="str">
        <f>IF(AND($A63&lt;&gt;"",$B63&lt;&gt;"",$C63&lt;&gt;"",$D63&lt;&gt;""),IF(OR($B63="SER",$B63="PLH"),"Control MAX Planck Plate "&amp;(INT(((COUNTIFS($B$2:$B63,"SER")+COUNTIFS($B$2:$B63,"PLH"))-1)/96)+1)&amp;": "&amp;CHAR(65+INT(MOD((COUNTIFS($B$2:$B63,"SER")+COUNTIFS($B$2:$B63,"PLH"))-1,96)/12))&amp;(MOD((COUNTIFS($B$2:$B63,"SER")+COUNTIFS($B$2:$B63,"PLH"))-1,12)+1),"N/A"),"")</f>
        <v/>
      </c>
      <c r="J63" s="6" t="str">
        <f>IF(AND($A63&lt;&gt;"",$B63&lt;&gt;"",$C63&lt;&gt;"",$D63&lt;&gt;""),IF($B63="WB","Control WB Box "&amp;(INT((COUNTIFS($B$2:$B63,"WB")-1)/81)+1)&amp;": "&amp;CHAR(65+INT(MOD(COUNTIFS($B$2:$B63,"WB")-1,81)/9))&amp;(MOD(COUNTIFS($B$2:$B63,"WB")-1,9)+1),"N/A"),"")</f>
        <v/>
      </c>
      <c r="K63" s="3" t="str">
        <f t="shared" si="19"/>
        <v/>
      </c>
      <c r="L63" s="2"/>
      <c r="M63" s="2"/>
      <c r="N63" s="2"/>
      <c r="O63" s="7" t="str">
        <f t="shared" si="20"/>
        <v/>
      </c>
      <c r="P63" s="7" t="str">
        <f t="shared" si="21"/>
        <v/>
      </c>
      <c r="Q63" s="7" t="str">
        <f t="shared" si="22"/>
        <v/>
      </c>
      <c r="R63" s="7" t="str">
        <f t="shared" si="23"/>
        <v/>
      </c>
      <c r="S63" s="7" t="str">
        <f t="shared" si="24"/>
        <v/>
      </c>
      <c r="T63" s="7" t="str">
        <f t="shared" si="25"/>
        <v/>
      </c>
      <c r="U63" s="7" t="str">
        <f t="shared" si="26"/>
        <v/>
      </c>
      <c r="V63" s="7" t="str">
        <f t="shared" si="27"/>
        <v/>
      </c>
      <c r="W63" s="7" t="str">
        <f t="shared" si="28"/>
        <v/>
      </c>
      <c r="X63" s="7" t="str">
        <f t="shared" si="29"/>
        <v/>
      </c>
      <c r="Y63">
        <f t="shared" si="30"/>
        <v>0</v>
      </c>
      <c r="Z63" t="str">
        <f t="shared" si="31"/>
        <v/>
      </c>
      <c r="AA63" t="str">
        <f t="shared" si="32"/>
        <v/>
      </c>
      <c r="AB63" t="str">
        <f t="shared" si="33"/>
        <v/>
      </c>
      <c r="AC63" t="str">
        <f t="shared" si="34"/>
        <v/>
      </c>
      <c r="AD63">
        <f t="shared" si="35"/>
        <v>0</v>
      </c>
    </row>
    <row r="64" spans="1:30" ht="15" customHeight="1" x14ac:dyDescent="0.35">
      <c r="A64" s="2"/>
      <c r="B64" s="3"/>
      <c r="C64" s="4"/>
      <c r="D64" s="5"/>
      <c r="E64" s="11" t="str">
        <f t="shared" ca="1" si="18"/>
        <v/>
      </c>
      <c r="F64" s="5"/>
      <c r="G64" s="6" t="str">
        <f>IF(AND($A64&lt;&gt;"",$B64&lt;&gt;"",$C64&lt;&gt;"",$D64&lt;&gt;""),IF(OR($B64="SER",$B64="PLH",$B64="CSF"),"Control CDI Plate "&amp;(INT(((COUNTIFS($B$2:$B64,"SER")+COUNTIFS($B$2:$B64,"PLH")+COUNTIFS($B$2:$B64,"CSF"))-1)/96)+1)&amp;": "&amp;CHAR(65+INT(MOD((COUNTIFS($B$2:$B64,"SER")+COUNTIFS($B$2:$B64,"PLH")+COUNTIFS($B$2:$B64,"CSF"))-1,96)/12))&amp;(MOD((COUNTIFS($B$2:$B64,"SER")+COUNTIFS($B$2:$B64,"PLH")+COUNTIFS($B$2:$B64,"CSF"))-1,12)+1),"N/A"),"")</f>
        <v/>
      </c>
      <c r="H64" s="6" t="str">
        <f>IF(AND($A64&lt;&gt;"",$B64&lt;&gt;"",$C64&lt;&gt;"",$D64&lt;&gt;""),IF(OR($B64="SER",$B64="PLH",$B64="CSF"),"Control NIH Plate "&amp;(INT(((COUNTIFS($B$2:$B64,"SER")+COUNTIFS($B$2:$B64,"PLH")+COUNTIFS($B$2:$B64,"CSF"))-1)/96)+1)&amp;": "&amp;CHAR(65+INT(MOD((COUNTIFS($B$2:$B64,"SER")+COUNTIFS($B$2:$B64,"PLH")+COUNTIFS($B$2:$B64,"CSF"))-1,96)/12))&amp;(MOD((COUNTIFS($B$2:$B64,"SER")+COUNTIFS($B$2:$B64,"PLH")+COUNTIFS($B$2:$B64,"CSF"))-1,12)+1),"N/A"),"")</f>
        <v/>
      </c>
      <c r="I64" s="6" t="str">
        <f>IF(AND($A64&lt;&gt;"",$B64&lt;&gt;"",$C64&lt;&gt;"",$D64&lt;&gt;""),IF(OR($B64="SER",$B64="PLH"),"Control MAX Planck Plate "&amp;(INT(((COUNTIFS($B$2:$B64,"SER")+COUNTIFS($B$2:$B64,"PLH"))-1)/96)+1)&amp;": "&amp;CHAR(65+INT(MOD((COUNTIFS($B$2:$B64,"SER")+COUNTIFS($B$2:$B64,"PLH"))-1,96)/12))&amp;(MOD((COUNTIFS($B$2:$B64,"SER")+COUNTIFS($B$2:$B64,"PLH"))-1,12)+1),"N/A"),"")</f>
        <v/>
      </c>
      <c r="J64" s="6" t="str">
        <f>IF(AND($A64&lt;&gt;"",$B64&lt;&gt;"",$C64&lt;&gt;"",$D64&lt;&gt;""),IF($B64="WB","Control WB Box "&amp;(INT((COUNTIFS($B$2:$B64,"WB")-1)/81)+1)&amp;": "&amp;CHAR(65+INT(MOD(COUNTIFS($B$2:$B64,"WB")-1,81)/9))&amp;(MOD(COUNTIFS($B$2:$B64,"WB")-1,9)+1),"N/A"),"")</f>
        <v/>
      </c>
      <c r="K64" s="3" t="str">
        <f t="shared" si="19"/>
        <v/>
      </c>
      <c r="L64" s="2"/>
      <c r="M64" s="2"/>
      <c r="N64" s="2"/>
      <c r="O64" s="7" t="str">
        <f t="shared" si="20"/>
        <v/>
      </c>
      <c r="P64" s="7" t="str">
        <f t="shared" si="21"/>
        <v/>
      </c>
      <c r="Q64" s="7" t="str">
        <f t="shared" si="22"/>
        <v/>
      </c>
      <c r="R64" s="7" t="str">
        <f t="shared" si="23"/>
        <v/>
      </c>
      <c r="S64" s="7" t="str">
        <f t="shared" si="24"/>
        <v/>
      </c>
      <c r="T64" s="7" t="str">
        <f t="shared" si="25"/>
        <v/>
      </c>
      <c r="U64" s="7" t="str">
        <f t="shared" si="26"/>
        <v/>
      </c>
      <c r="V64" s="7" t="str">
        <f t="shared" si="27"/>
        <v/>
      </c>
      <c r="W64" s="7" t="str">
        <f t="shared" si="28"/>
        <v/>
      </c>
      <c r="X64" s="7" t="str">
        <f t="shared" si="29"/>
        <v/>
      </c>
      <c r="Y64">
        <f t="shared" si="30"/>
        <v>0</v>
      </c>
      <c r="Z64" t="str">
        <f t="shared" si="31"/>
        <v/>
      </c>
      <c r="AA64" t="str">
        <f t="shared" si="32"/>
        <v/>
      </c>
      <c r="AB64" t="str">
        <f t="shared" si="33"/>
        <v/>
      </c>
      <c r="AC64" t="str">
        <f t="shared" si="34"/>
        <v/>
      </c>
      <c r="AD64">
        <f t="shared" si="35"/>
        <v>0</v>
      </c>
    </row>
    <row r="65" spans="1:30" ht="15" customHeight="1" x14ac:dyDescent="0.35">
      <c r="A65" s="2"/>
      <c r="B65" s="3"/>
      <c r="C65" s="4"/>
      <c r="D65" s="5"/>
      <c r="E65" s="11" t="str">
        <f t="shared" ca="1" si="18"/>
        <v/>
      </c>
      <c r="F65" s="5"/>
      <c r="G65" s="6" t="str">
        <f>IF(AND($A65&lt;&gt;"",$B65&lt;&gt;"",$C65&lt;&gt;"",$D65&lt;&gt;""),IF(OR($B65="SER",$B65="PLH",$B65="CSF"),"Control CDI Plate "&amp;(INT(((COUNTIFS($B$2:$B65,"SER")+COUNTIFS($B$2:$B65,"PLH")+COUNTIFS($B$2:$B65,"CSF"))-1)/96)+1)&amp;": "&amp;CHAR(65+INT(MOD((COUNTIFS($B$2:$B65,"SER")+COUNTIFS($B$2:$B65,"PLH")+COUNTIFS($B$2:$B65,"CSF"))-1,96)/12))&amp;(MOD((COUNTIFS($B$2:$B65,"SER")+COUNTIFS($B$2:$B65,"PLH")+COUNTIFS($B$2:$B65,"CSF"))-1,12)+1),"N/A"),"")</f>
        <v/>
      </c>
      <c r="H65" s="6" t="str">
        <f>IF(AND($A65&lt;&gt;"",$B65&lt;&gt;"",$C65&lt;&gt;"",$D65&lt;&gt;""),IF(OR($B65="SER",$B65="PLH",$B65="CSF"),"Control NIH Plate "&amp;(INT(((COUNTIFS($B$2:$B65,"SER")+COUNTIFS($B$2:$B65,"PLH")+COUNTIFS($B$2:$B65,"CSF"))-1)/96)+1)&amp;": "&amp;CHAR(65+INT(MOD((COUNTIFS($B$2:$B65,"SER")+COUNTIFS($B$2:$B65,"PLH")+COUNTIFS($B$2:$B65,"CSF"))-1,96)/12))&amp;(MOD((COUNTIFS($B$2:$B65,"SER")+COUNTIFS($B$2:$B65,"PLH")+COUNTIFS($B$2:$B65,"CSF"))-1,12)+1),"N/A"),"")</f>
        <v/>
      </c>
      <c r="I65" s="6" t="str">
        <f>IF(AND($A65&lt;&gt;"",$B65&lt;&gt;"",$C65&lt;&gt;"",$D65&lt;&gt;""),IF(OR($B65="SER",$B65="PLH"),"Control MAX Planck Plate "&amp;(INT(((COUNTIFS($B$2:$B65,"SER")+COUNTIFS($B$2:$B65,"PLH"))-1)/96)+1)&amp;": "&amp;CHAR(65+INT(MOD((COUNTIFS($B$2:$B65,"SER")+COUNTIFS($B$2:$B65,"PLH"))-1,96)/12))&amp;(MOD((COUNTIFS($B$2:$B65,"SER")+COUNTIFS($B$2:$B65,"PLH"))-1,12)+1),"N/A"),"")</f>
        <v/>
      </c>
      <c r="J65" s="6" t="str">
        <f>IF(AND($A65&lt;&gt;"",$B65&lt;&gt;"",$C65&lt;&gt;"",$D65&lt;&gt;""),IF($B65="WB","Control WB Box "&amp;(INT((COUNTIFS($B$2:$B65,"WB")-1)/81)+1)&amp;": "&amp;CHAR(65+INT(MOD(COUNTIFS($B$2:$B65,"WB")-1,81)/9))&amp;(MOD(COUNTIFS($B$2:$B65,"WB")-1,9)+1),"N/A"),"")</f>
        <v/>
      </c>
      <c r="K65" s="3" t="str">
        <f t="shared" si="19"/>
        <v/>
      </c>
      <c r="L65" s="2"/>
      <c r="M65" s="2"/>
      <c r="N65" s="2"/>
      <c r="O65" s="7" t="str">
        <f t="shared" si="20"/>
        <v/>
      </c>
      <c r="P65" s="7" t="str">
        <f t="shared" si="21"/>
        <v/>
      </c>
      <c r="Q65" s="7" t="str">
        <f t="shared" si="22"/>
        <v/>
      </c>
      <c r="R65" s="7" t="str">
        <f t="shared" si="23"/>
        <v/>
      </c>
      <c r="S65" s="7" t="str">
        <f t="shared" si="24"/>
        <v/>
      </c>
      <c r="T65" s="7" t="str">
        <f t="shared" si="25"/>
        <v/>
      </c>
      <c r="U65" s="7" t="str">
        <f t="shared" si="26"/>
        <v/>
      </c>
      <c r="V65" s="7" t="str">
        <f t="shared" si="27"/>
        <v/>
      </c>
      <c r="W65" s="7" t="str">
        <f t="shared" si="28"/>
        <v/>
      </c>
      <c r="X65" s="7" t="str">
        <f t="shared" si="29"/>
        <v/>
      </c>
      <c r="Y65">
        <f t="shared" si="30"/>
        <v>0</v>
      </c>
      <c r="Z65" t="str">
        <f t="shared" si="31"/>
        <v/>
      </c>
      <c r="AA65" t="str">
        <f t="shared" si="32"/>
        <v/>
      </c>
      <c r="AB65" t="str">
        <f t="shared" si="33"/>
        <v/>
      </c>
      <c r="AC65" t="str">
        <f t="shared" si="34"/>
        <v/>
      </c>
      <c r="AD65">
        <f t="shared" si="35"/>
        <v>0</v>
      </c>
    </row>
    <row r="66" spans="1:30" ht="15" customHeight="1" x14ac:dyDescent="0.35">
      <c r="A66" s="2"/>
      <c r="B66" s="3"/>
      <c r="C66" s="4"/>
      <c r="D66" s="5"/>
      <c r="E66" s="11" t="str">
        <f t="shared" ca="1" si="18"/>
        <v/>
      </c>
      <c r="F66" s="5"/>
      <c r="G66" s="6" t="str">
        <f>IF(AND($A66&lt;&gt;"",$B66&lt;&gt;"",$C66&lt;&gt;"",$D66&lt;&gt;""),IF(OR($B66="SER",$B66="PLH",$B66="CSF"),"Control CDI Plate "&amp;(INT(((COUNTIFS($B$2:$B66,"SER")+COUNTIFS($B$2:$B66,"PLH")+COUNTIFS($B$2:$B66,"CSF"))-1)/96)+1)&amp;": "&amp;CHAR(65+INT(MOD((COUNTIFS($B$2:$B66,"SER")+COUNTIFS($B$2:$B66,"PLH")+COUNTIFS($B$2:$B66,"CSF"))-1,96)/12))&amp;(MOD((COUNTIFS($B$2:$B66,"SER")+COUNTIFS($B$2:$B66,"PLH")+COUNTIFS($B$2:$B66,"CSF"))-1,12)+1),"N/A"),"")</f>
        <v/>
      </c>
      <c r="H66" s="6" t="str">
        <f>IF(AND($A66&lt;&gt;"",$B66&lt;&gt;"",$C66&lt;&gt;"",$D66&lt;&gt;""),IF(OR($B66="SER",$B66="PLH",$B66="CSF"),"Control NIH Plate "&amp;(INT(((COUNTIFS($B$2:$B66,"SER")+COUNTIFS($B$2:$B66,"PLH")+COUNTIFS($B$2:$B66,"CSF"))-1)/96)+1)&amp;": "&amp;CHAR(65+INT(MOD((COUNTIFS($B$2:$B66,"SER")+COUNTIFS($B$2:$B66,"PLH")+COUNTIFS($B$2:$B66,"CSF"))-1,96)/12))&amp;(MOD((COUNTIFS($B$2:$B66,"SER")+COUNTIFS($B$2:$B66,"PLH")+COUNTIFS($B$2:$B66,"CSF"))-1,12)+1),"N/A"),"")</f>
        <v/>
      </c>
      <c r="I66" s="6" t="str">
        <f>IF(AND($A66&lt;&gt;"",$B66&lt;&gt;"",$C66&lt;&gt;"",$D66&lt;&gt;""),IF(OR($B66="SER",$B66="PLH"),"Control MAX Planck Plate "&amp;(INT(((COUNTIFS($B$2:$B66,"SER")+COUNTIFS($B$2:$B66,"PLH"))-1)/96)+1)&amp;": "&amp;CHAR(65+INT(MOD((COUNTIFS($B$2:$B66,"SER")+COUNTIFS($B$2:$B66,"PLH"))-1,96)/12))&amp;(MOD((COUNTIFS($B$2:$B66,"SER")+COUNTIFS($B$2:$B66,"PLH"))-1,12)+1),"N/A"),"")</f>
        <v/>
      </c>
      <c r="J66" s="6" t="str">
        <f>IF(AND($A66&lt;&gt;"",$B66&lt;&gt;"",$C66&lt;&gt;"",$D66&lt;&gt;""),IF($B66="WB","Control WB Box "&amp;(INT((COUNTIFS($B$2:$B66,"WB")-1)/81)+1)&amp;": "&amp;CHAR(65+INT(MOD(COUNTIFS($B$2:$B66,"WB")-1,81)/9))&amp;(MOD(COUNTIFS($B$2:$B66,"WB")-1,9)+1),"N/A"),"")</f>
        <v/>
      </c>
      <c r="K66" s="3" t="str">
        <f t="shared" si="19"/>
        <v/>
      </c>
      <c r="L66" s="2"/>
      <c r="M66" s="2"/>
      <c r="N66" s="2"/>
      <c r="O66" s="7" t="str">
        <f t="shared" si="20"/>
        <v/>
      </c>
      <c r="P66" s="7" t="str">
        <f t="shared" si="21"/>
        <v/>
      </c>
      <c r="Q66" s="7" t="str">
        <f t="shared" si="22"/>
        <v/>
      </c>
      <c r="R66" s="7" t="str">
        <f t="shared" si="23"/>
        <v/>
      </c>
      <c r="S66" s="7" t="str">
        <f t="shared" si="24"/>
        <v/>
      </c>
      <c r="T66" s="7" t="str">
        <f t="shared" si="25"/>
        <v/>
      </c>
      <c r="U66" s="7" t="str">
        <f t="shared" si="26"/>
        <v/>
      </c>
      <c r="V66" s="7" t="str">
        <f t="shared" si="27"/>
        <v/>
      </c>
      <c r="W66" s="7" t="str">
        <f t="shared" si="28"/>
        <v/>
      </c>
      <c r="X66" s="7" t="str">
        <f t="shared" si="29"/>
        <v/>
      </c>
      <c r="Y66">
        <f t="shared" si="30"/>
        <v>0</v>
      </c>
      <c r="Z66" t="str">
        <f t="shared" si="31"/>
        <v/>
      </c>
      <c r="AA66" t="str">
        <f t="shared" si="32"/>
        <v/>
      </c>
      <c r="AB66" t="str">
        <f t="shared" si="33"/>
        <v/>
      </c>
      <c r="AC66" t="str">
        <f t="shared" si="34"/>
        <v/>
      </c>
      <c r="AD66">
        <f t="shared" si="35"/>
        <v>0</v>
      </c>
    </row>
    <row r="67" spans="1:30" ht="15" customHeight="1" x14ac:dyDescent="0.35">
      <c r="A67" s="2"/>
      <c r="B67" s="3"/>
      <c r="C67" s="4"/>
      <c r="D67" s="5"/>
      <c r="E67" s="11" t="str">
        <f t="shared" ca="1" si="18"/>
        <v/>
      </c>
      <c r="F67" s="5"/>
      <c r="G67" s="6" t="str">
        <f>IF(AND($A67&lt;&gt;"",$B67&lt;&gt;"",$C67&lt;&gt;"",$D67&lt;&gt;""),IF(OR($B67="SER",$B67="PLH",$B67="CSF"),"Control CDI Plate "&amp;(INT(((COUNTIFS($B$2:$B67,"SER")+COUNTIFS($B$2:$B67,"PLH")+COUNTIFS($B$2:$B67,"CSF"))-1)/96)+1)&amp;": "&amp;CHAR(65+INT(MOD((COUNTIFS($B$2:$B67,"SER")+COUNTIFS($B$2:$B67,"PLH")+COUNTIFS($B$2:$B67,"CSF"))-1,96)/12))&amp;(MOD((COUNTIFS($B$2:$B67,"SER")+COUNTIFS($B$2:$B67,"PLH")+COUNTIFS($B$2:$B67,"CSF"))-1,12)+1),"N/A"),"")</f>
        <v/>
      </c>
      <c r="H67" s="6" t="str">
        <f>IF(AND($A67&lt;&gt;"",$B67&lt;&gt;"",$C67&lt;&gt;"",$D67&lt;&gt;""),IF(OR($B67="SER",$B67="PLH",$B67="CSF"),"Control NIH Plate "&amp;(INT(((COUNTIFS($B$2:$B67,"SER")+COUNTIFS($B$2:$B67,"PLH")+COUNTIFS($B$2:$B67,"CSF"))-1)/96)+1)&amp;": "&amp;CHAR(65+INT(MOD((COUNTIFS($B$2:$B67,"SER")+COUNTIFS($B$2:$B67,"PLH")+COUNTIFS($B$2:$B67,"CSF"))-1,96)/12))&amp;(MOD((COUNTIFS($B$2:$B67,"SER")+COUNTIFS($B$2:$B67,"PLH")+COUNTIFS($B$2:$B67,"CSF"))-1,12)+1),"N/A"),"")</f>
        <v/>
      </c>
      <c r="I67" s="6" t="str">
        <f>IF(AND($A67&lt;&gt;"",$B67&lt;&gt;"",$C67&lt;&gt;"",$D67&lt;&gt;""),IF(OR($B67="SER",$B67="PLH"),"Control MAX Planck Plate "&amp;(INT(((COUNTIFS($B$2:$B67,"SER")+COUNTIFS($B$2:$B67,"PLH"))-1)/96)+1)&amp;": "&amp;CHAR(65+INT(MOD((COUNTIFS($B$2:$B67,"SER")+COUNTIFS($B$2:$B67,"PLH"))-1,96)/12))&amp;(MOD((COUNTIFS($B$2:$B67,"SER")+COUNTIFS($B$2:$B67,"PLH"))-1,12)+1),"N/A"),"")</f>
        <v/>
      </c>
      <c r="J67" s="6" t="str">
        <f>IF(AND($A67&lt;&gt;"",$B67&lt;&gt;"",$C67&lt;&gt;"",$D67&lt;&gt;""),IF($B67="WB","Control WB Box "&amp;(INT((COUNTIFS($B$2:$B67,"WB")-1)/81)+1)&amp;": "&amp;CHAR(65+INT(MOD(COUNTIFS($B$2:$B67,"WB")-1,81)/9))&amp;(MOD(COUNTIFS($B$2:$B67,"WB")-1,9)+1),"N/A"),"")</f>
        <v/>
      </c>
      <c r="K67" s="3" t="str">
        <f t="shared" si="19"/>
        <v/>
      </c>
      <c r="L67" s="2"/>
      <c r="M67" s="2"/>
      <c r="N67" s="2"/>
      <c r="O67" s="7" t="str">
        <f t="shared" si="20"/>
        <v/>
      </c>
      <c r="P67" s="7" t="str">
        <f t="shared" si="21"/>
        <v/>
      </c>
      <c r="Q67" s="7" t="str">
        <f t="shared" si="22"/>
        <v/>
      </c>
      <c r="R67" s="7" t="str">
        <f t="shared" si="23"/>
        <v/>
      </c>
      <c r="S67" s="7" t="str">
        <f t="shared" si="24"/>
        <v/>
      </c>
      <c r="T67" s="7" t="str">
        <f t="shared" si="25"/>
        <v/>
      </c>
      <c r="U67" s="7" t="str">
        <f t="shared" si="26"/>
        <v/>
      </c>
      <c r="V67" s="7" t="str">
        <f t="shared" si="27"/>
        <v/>
      </c>
      <c r="W67" s="7" t="str">
        <f t="shared" si="28"/>
        <v/>
      </c>
      <c r="X67" s="7" t="str">
        <f t="shared" si="29"/>
        <v/>
      </c>
      <c r="Y67">
        <f t="shared" si="30"/>
        <v>0</v>
      </c>
      <c r="Z67" t="str">
        <f t="shared" si="31"/>
        <v/>
      </c>
      <c r="AA67" t="str">
        <f t="shared" si="32"/>
        <v/>
      </c>
      <c r="AB67" t="str">
        <f t="shared" si="33"/>
        <v/>
      </c>
      <c r="AC67" t="str">
        <f t="shared" si="34"/>
        <v/>
      </c>
      <c r="AD67">
        <f t="shared" si="35"/>
        <v>0</v>
      </c>
    </row>
    <row r="68" spans="1:30" ht="15" customHeight="1" x14ac:dyDescent="0.35">
      <c r="A68" s="2"/>
      <c r="B68" s="3"/>
      <c r="C68" s="4"/>
      <c r="D68" s="5"/>
      <c r="E68" s="11" t="str">
        <f t="shared" ca="1" si="18"/>
        <v/>
      </c>
      <c r="F68" s="5"/>
      <c r="G68" s="6" t="str">
        <f>IF(AND($A68&lt;&gt;"",$B68&lt;&gt;"",$C68&lt;&gt;"",$D68&lt;&gt;""),IF(OR($B68="SER",$B68="PLH",$B68="CSF"),"Control CDI Plate "&amp;(INT(((COUNTIFS($B$2:$B68,"SER")+COUNTIFS($B$2:$B68,"PLH")+COUNTIFS($B$2:$B68,"CSF"))-1)/96)+1)&amp;": "&amp;CHAR(65+INT(MOD((COUNTIFS($B$2:$B68,"SER")+COUNTIFS($B$2:$B68,"PLH")+COUNTIFS($B$2:$B68,"CSF"))-1,96)/12))&amp;(MOD((COUNTIFS($B$2:$B68,"SER")+COUNTIFS($B$2:$B68,"PLH")+COUNTIFS($B$2:$B68,"CSF"))-1,12)+1),"N/A"),"")</f>
        <v/>
      </c>
      <c r="H68" s="6" t="str">
        <f>IF(AND($A68&lt;&gt;"",$B68&lt;&gt;"",$C68&lt;&gt;"",$D68&lt;&gt;""),IF(OR($B68="SER",$B68="PLH",$B68="CSF"),"Control NIH Plate "&amp;(INT(((COUNTIFS($B$2:$B68,"SER")+COUNTIFS($B$2:$B68,"PLH")+COUNTIFS($B$2:$B68,"CSF"))-1)/96)+1)&amp;": "&amp;CHAR(65+INT(MOD((COUNTIFS($B$2:$B68,"SER")+COUNTIFS($B$2:$B68,"PLH")+COUNTIFS($B$2:$B68,"CSF"))-1,96)/12))&amp;(MOD((COUNTIFS($B$2:$B68,"SER")+COUNTIFS($B$2:$B68,"PLH")+COUNTIFS($B$2:$B68,"CSF"))-1,12)+1),"N/A"),"")</f>
        <v/>
      </c>
      <c r="I68" s="6" t="str">
        <f>IF(AND($A68&lt;&gt;"",$B68&lt;&gt;"",$C68&lt;&gt;"",$D68&lt;&gt;""),IF(OR($B68="SER",$B68="PLH"),"Control MAX Planck Plate "&amp;(INT(((COUNTIFS($B$2:$B68,"SER")+COUNTIFS($B$2:$B68,"PLH"))-1)/96)+1)&amp;": "&amp;CHAR(65+INT(MOD((COUNTIFS($B$2:$B68,"SER")+COUNTIFS($B$2:$B68,"PLH"))-1,96)/12))&amp;(MOD((COUNTIFS($B$2:$B68,"SER")+COUNTIFS($B$2:$B68,"PLH"))-1,12)+1),"N/A"),"")</f>
        <v/>
      </c>
      <c r="J68" s="6" t="str">
        <f>IF(AND($A68&lt;&gt;"",$B68&lt;&gt;"",$C68&lt;&gt;"",$D68&lt;&gt;""),IF($B68="WB","Control WB Box "&amp;(INT((COUNTIFS($B$2:$B68,"WB")-1)/81)+1)&amp;": "&amp;CHAR(65+INT(MOD(COUNTIFS($B$2:$B68,"WB")-1,81)/9))&amp;(MOD(COUNTIFS($B$2:$B68,"WB")-1,9)+1),"N/A"),"")</f>
        <v/>
      </c>
      <c r="K68" s="3" t="str">
        <f t="shared" si="19"/>
        <v/>
      </c>
      <c r="L68" s="2"/>
      <c r="M68" s="2"/>
      <c r="N68" s="2"/>
      <c r="O68" s="7" t="str">
        <f t="shared" si="20"/>
        <v/>
      </c>
      <c r="P68" s="7" t="str">
        <f t="shared" si="21"/>
        <v/>
      </c>
      <c r="Q68" s="7" t="str">
        <f t="shared" si="22"/>
        <v/>
      </c>
      <c r="R68" s="7" t="str">
        <f t="shared" si="23"/>
        <v/>
      </c>
      <c r="S68" s="7" t="str">
        <f t="shared" si="24"/>
        <v/>
      </c>
      <c r="T68" s="7" t="str">
        <f t="shared" si="25"/>
        <v/>
      </c>
      <c r="U68" s="7" t="str">
        <f t="shared" si="26"/>
        <v/>
      </c>
      <c r="V68" s="7" t="str">
        <f t="shared" si="27"/>
        <v/>
      </c>
      <c r="W68" s="7" t="str">
        <f t="shared" si="28"/>
        <v/>
      </c>
      <c r="X68" s="7" t="str">
        <f t="shared" si="29"/>
        <v/>
      </c>
      <c r="Y68">
        <f t="shared" si="30"/>
        <v>0</v>
      </c>
      <c r="Z68" t="str">
        <f t="shared" si="31"/>
        <v/>
      </c>
      <c r="AA68" t="str">
        <f t="shared" si="32"/>
        <v/>
      </c>
      <c r="AB68" t="str">
        <f t="shared" si="33"/>
        <v/>
      </c>
      <c r="AC68" t="str">
        <f t="shared" si="34"/>
        <v/>
      </c>
      <c r="AD68">
        <f t="shared" si="35"/>
        <v>0</v>
      </c>
    </row>
    <row r="69" spans="1:30" ht="15" customHeight="1" x14ac:dyDescent="0.35">
      <c r="A69" s="2"/>
      <c r="B69" s="3"/>
      <c r="C69" s="4"/>
      <c r="D69" s="5"/>
      <c r="E69" s="11" t="str">
        <f t="shared" ca="1" si="18"/>
        <v/>
      </c>
      <c r="F69" s="5"/>
      <c r="G69" s="6" t="str">
        <f>IF(AND($A69&lt;&gt;"",$B69&lt;&gt;"",$C69&lt;&gt;"",$D69&lt;&gt;""),IF(OR($B69="SER",$B69="PLH",$B69="CSF"),"Control CDI Plate "&amp;(INT(((COUNTIFS($B$2:$B69,"SER")+COUNTIFS($B$2:$B69,"PLH")+COUNTIFS($B$2:$B69,"CSF"))-1)/96)+1)&amp;": "&amp;CHAR(65+INT(MOD((COUNTIFS($B$2:$B69,"SER")+COUNTIFS($B$2:$B69,"PLH")+COUNTIFS($B$2:$B69,"CSF"))-1,96)/12))&amp;(MOD((COUNTIFS($B$2:$B69,"SER")+COUNTIFS($B$2:$B69,"PLH")+COUNTIFS($B$2:$B69,"CSF"))-1,12)+1),"N/A"),"")</f>
        <v/>
      </c>
      <c r="H69" s="6" t="str">
        <f>IF(AND($A69&lt;&gt;"",$B69&lt;&gt;"",$C69&lt;&gt;"",$D69&lt;&gt;""),IF(OR($B69="SER",$B69="PLH",$B69="CSF"),"Control NIH Plate "&amp;(INT(((COUNTIFS($B$2:$B69,"SER")+COUNTIFS($B$2:$B69,"PLH")+COUNTIFS($B$2:$B69,"CSF"))-1)/96)+1)&amp;": "&amp;CHAR(65+INT(MOD((COUNTIFS($B$2:$B69,"SER")+COUNTIFS($B$2:$B69,"PLH")+COUNTIFS($B$2:$B69,"CSF"))-1,96)/12))&amp;(MOD((COUNTIFS($B$2:$B69,"SER")+COUNTIFS($B$2:$B69,"PLH")+COUNTIFS($B$2:$B69,"CSF"))-1,12)+1),"N/A"),"")</f>
        <v/>
      </c>
      <c r="I69" s="6" t="str">
        <f>IF(AND($A69&lt;&gt;"",$B69&lt;&gt;"",$C69&lt;&gt;"",$D69&lt;&gt;""),IF(OR($B69="SER",$B69="PLH"),"Control MAX Planck Plate "&amp;(INT(((COUNTIFS($B$2:$B69,"SER")+COUNTIFS($B$2:$B69,"PLH"))-1)/96)+1)&amp;": "&amp;CHAR(65+INT(MOD((COUNTIFS($B$2:$B69,"SER")+COUNTIFS($B$2:$B69,"PLH"))-1,96)/12))&amp;(MOD((COUNTIFS($B$2:$B69,"SER")+COUNTIFS($B$2:$B69,"PLH"))-1,12)+1),"N/A"),"")</f>
        <v/>
      </c>
      <c r="J69" s="6" t="str">
        <f>IF(AND($A69&lt;&gt;"",$B69&lt;&gt;"",$C69&lt;&gt;"",$D69&lt;&gt;""),IF($B69="WB","Control WB Box "&amp;(INT((COUNTIFS($B$2:$B69,"WB")-1)/81)+1)&amp;": "&amp;CHAR(65+INT(MOD(COUNTIFS($B$2:$B69,"WB")-1,81)/9))&amp;(MOD(COUNTIFS($B$2:$B69,"WB")-1,9)+1),"N/A"),"")</f>
        <v/>
      </c>
      <c r="K69" s="3" t="str">
        <f t="shared" si="19"/>
        <v/>
      </c>
      <c r="L69" s="2"/>
      <c r="M69" s="2"/>
      <c r="N69" s="2"/>
      <c r="O69" s="7" t="str">
        <f t="shared" si="20"/>
        <v/>
      </c>
      <c r="P69" s="7" t="str">
        <f t="shared" si="21"/>
        <v/>
      </c>
      <c r="Q69" s="7" t="str">
        <f t="shared" si="22"/>
        <v/>
      </c>
      <c r="R69" s="7" t="str">
        <f t="shared" si="23"/>
        <v/>
      </c>
      <c r="S69" s="7" t="str">
        <f t="shared" si="24"/>
        <v/>
      </c>
      <c r="T69" s="7" t="str">
        <f t="shared" si="25"/>
        <v/>
      </c>
      <c r="U69" s="7" t="str">
        <f t="shared" si="26"/>
        <v/>
      </c>
      <c r="V69" s="7" t="str">
        <f t="shared" si="27"/>
        <v/>
      </c>
      <c r="W69" s="7" t="str">
        <f t="shared" si="28"/>
        <v/>
      </c>
      <c r="X69" s="7" t="str">
        <f t="shared" si="29"/>
        <v/>
      </c>
      <c r="Y69">
        <f t="shared" si="30"/>
        <v>0</v>
      </c>
      <c r="Z69" t="str">
        <f t="shared" si="31"/>
        <v/>
      </c>
      <c r="AA69" t="str">
        <f t="shared" si="32"/>
        <v/>
      </c>
      <c r="AB69" t="str">
        <f t="shared" si="33"/>
        <v/>
      </c>
      <c r="AC69" t="str">
        <f t="shared" si="34"/>
        <v/>
      </c>
      <c r="AD69">
        <f t="shared" si="35"/>
        <v>0</v>
      </c>
    </row>
    <row r="70" spans="1:30" ht="15" customHeight="1" x14ac:dyDescent="0.35">
      <c r="A70" s="2"/>
      <c r="B70" s="3"/>
      <c r="C70" s="4"/>
      <c r="D70" s="5"/>
      <c r="E70" s="11" t="str">
        <f t="shared" ca="1" si="18"/>
        <v/>
      </c>
      <c r="F70" s="5"/>
      <c r="G70" s="6" t="str">
        <f>IF(AND($A70&lt;&gt;"",$B70&lt;&gt;"",$C70&lt;&gt;"",$D70&lt;&gt;""),IF(OR($B70="SER",$B70="PLH",$B70="CSF"),"Control CDI Plate "&amp;(INT(((COUNTIFS($B$2:$B70,"SER")+COUNTIFS($B$2:$B70,"PLH")+COUNTIFS($B$2:$B70,"CSF"))-1)/96)+1)&amp;": "&amp;CHAR(65+INT(MOD((COUNTIFS($B$2:$B70,"SER")+COUNTIFS($B$2:$B70,"PLH")+COUNTIFS($B$2:$B70,"CSF"))-1,96)/12))&amp;(MOD((COUNTIFS($B$2:$B70,"SER")+COUNTIFS($B$2:$B70,"PLH")+COUNTIFS($B$2:$B70,"CSF"))-1,12)+1),"N/A"),"")</f>
        <v/>
      </c>
      <c r="H70" s="6" t="str">
        <f>IF(AND($A70&lt;&gt;"",$B70&lt;&gt;"",$C70&lt;&gt;"",$D70&lt;&gt;""),IF(OR($B70="SER",$B70="PLH",$B70="CSF"),"Control NIH Plate "&amp;(INT(((COUNTIFS($B$2:$B70,"SER")+COUNTIFS($B$2:$B70,"PLH")+COUNTIFS($B$2:$B70,"CSF"))-1)/96)+1)&amp;": "&amp;CHAR(65+INT(MOD((COUNTIFS($B$2:$B70,"SER")+COUNTIFS($B$2:$B70,"PLH")+COUNTIFS($B$2:$B70,"CSF"))-1,96)/12))&amp;(MOD((COUNTIFS($B$2:$B70,"SER")+COUNTIFS($B$2:$B70,"PLH")+COUNTIFS($B$2:$B70,"CSF"))-1,12)+1),"N/A"),"")</f>
        <v/>
      </c>
      <c r="I70" s="6" t="str">
        <f>IF(AND($A70&lt;&gt;"",$B70&lt;&gt;"",$C70&lt;&gt;"",$D70&lt;&gt;""),IF(OR($B70="SER",$B70="PLH"),"Control MAX Planck Plate "&amp;(INT(((COUNTIFS($B$2:$B70,"SER")+COUNTIFS($B$2:$B70,"PLH"))-1)/96)+1)&amp;": "&amp;CHAR(65+INT(MOD((COUNTIFS($B$2:$B70,"SER")+COUNTIFS($B$2:$B70,"PLH"))-1,96)/12))&amp;(MOD((COUNTIFS($B$2:$B70,"SER")+COUNTIFS($B$2:$B70,"PLH"))-1,12)+1),"N/A"),"")</f>
        <v/>
      </c>
      <c r="J70" s="6" t="str">
        <f>IF(AND($A70&lt;&gt;"",$B70&lt;&gt;"",$C70&lt;&gt;"",$D70&lt;&gt;""),IF($B70="WB","Control WB Box "&amp;(INT((COUNTIFS($B$2:$B70,"WB")-1)/81)+1)&amp;": "&amp;CHAR(65+INT(MOD(COUNTIFS($B$2:$B70,"WB")-1,81)/9))&amp;(MOD(COUNTIFS($B$2:$B70,"WB")-1,9)+1),"N/A"),"")</f>
        <v/>
      </c>
      <c r="K70" s="3" t="str">
        <f t="shared" si="19"/>
        <v/>
      </c>
      <c r="L70" s="2"/>
      <c r="M70" s="2"/>
      <c r="N70" s="2"/>
      <c r="O70" s="7" t="str">
        <f t="shared" si="20"/>
        <v/>
      </c>
      <c r="P70" s="7" t="str">
        <f t="shared" si="21"/>
        <v/>
      </c>
      <c r="Q70" s="7" t="str">
        <f t="shared" si="22"/>
        <v/>
      </c>
      <c r="R70" s="7" t="str">
        <f t="shared" si="23"/>
        <v/>
      </c>
      <c r="S70" s="7" t="str">
        <f t="shared" si="24"/>
        <v/>
      </c>
      <c r="T70" s="7" t="str">
        <f t="shared" si="25"/>
        <v/>
      </c>
      <c r="U70" s="7" t="str">
        <f t="shared" si="26"/>
        <v/>
      </c>
      <c r="V70" s="7" t="str">
        <f t="shared" si="27"/>
        <v/>
      </c>
      <c r="W70" s="7" t="str">
        <f t="shared" si="28"/>
        <v/>
      </c>
      <c r="X70" s="7" t="str">
        <f t="shared" si="29"/>
        <v/>
      </c>
      <c r="Y70">
        <f t="shared" si="30"/>
        <v>0</v>
      </c>
      <c r="Z70" t="str">
        <f t="shared" si="31"/>
        <v/>
      </c>
      <c r="AA70" t="str">
        <f t="shared" si="32"/>
        <v/>
      </c>
      <c r="AB70" t="str">
        <f t="shared" si="33"/>
        <v/>
      </c>
      <c r="AC70" t="str">
        <f t="shared" si="34"/>
        <v/>
      </c>
      <c r="AD70">
        <f t="shared" si="35"/>
        <v>0</v>
      </c>
    </row>
    <row r="71" spans="1:30" ht="15" customHeight="1" x14ac:dyDescent="0.35">
      <c r="A71" s="2"/>
      <c r="B71" s="3"/>
      <c r="C71" s="4"/>
      <c r="D71" s="5"/>
      <c r="E71" s="11" t="str">
        <f t="shared" ca="1" si="18"/>
        <v/>
      </c>
      <c r="F71" s="5"/>
      <c r="G71" s="6" t="str">
        <f>IF(AND($A71&lt;&gt;"",$B71&lt;&gt;"",$C71&lt;&gt;"",$D71&lt;&gt;""),IF(OR($B71="SER",$B71="PLH",$B71="CSF"),"Control CDI Plate "&amp;(INT(((COUNTIFS($B$2:$B71,"SER")+COUNTIFS($B$2:$B71,"PLH")+COUNTIFS($B$2:$B71,"CSF"))-1)/96)+1)&amp;": "&amp;CHAR(65+INT(MOD((COUNTIFS($B$2:$B71,"SER")+COUNTIFS($B$2:$B71,"PLH")+COUNTIFS($B$2:$B71,"CSF"))-1,96)/12))&amp;(MOD((COUNTIFS($B$2:$B71,"SER")+COUNTIFS($B$2:$B71,"PLH")+COUNTIFS($B$2:$B71,"CSF"))-1,12)+1),"N/A"),"")</f>
        <v/>
      </c>
      <c r="H71" s="6" t="str">
        <f>IF(AND($A71&lt;&gt;"",$B71&lt;&gt;"",$C71&lt;&gt;"",$D71&lt;&gt;""),IF(OR($B71="SER",$B71="PLH",$B71="CSF"),"Control NIH Plate "&amp;(INT(((COUNTIFS($B$2:$B71,"SER")+COUNTIFS($B$2:$B71,"PLH")+COUNTIFS($B$2:$B71,"CSF"))-1)/96)+1)&amp;": "&amp;CHAR(65+INT(MOD((COUNTIFS($B$2:$B71,"SER")+COUNTIFS($B$2:$B71,"PLH")+COUNTIFS($B$2:$B71,"CSF"))-1,96)/12))&amp;(MOD((COUNTIFS($B$2:$B71,"SER")+COUNTIFS($B$2:$B71,"PLH")+COUNTIFS($B$2:$B71,"CSF"))-1,12)+1),"N/A"),"")</f>
        <v/>
      </c>
      <c r="I71" s="6" t="str">
        <f>IF(AND($A71&lt;&gt;"",$B71&lt;&gt;"",$C71&lt;&gt;"",$D71&lt;&gt;""),IF(OR($B71="SER",$B71="PLH"),"Control MAX Planck Plate "&amp;(INT(((COUNTIFS($B$2:$B71,"SER")+COUNTIFS($B$2:$B71,"PLH"))-1)/96)+1)&amp;": "&amp;CHAR(65+INT(MOD((COUNTIFS($B$2:$B71,"SER")+COUNTIFS($B$2:$B71,"PLH"))-1,96)/12))&amp;(MOD((COUNTIFS($B$2:$B71,"SER")+COUNTIFS($B$2:$B71,"PLH"))-1,12)+1),"N/A"),"")</f>
        <v/>
      </c>
      <c r="J71" s="6" t="str">
        <f>IF(AND($A71&lt;&gt;"",$B71&lt;&gt;"",$C71&lt;&gt;"",$D71&lt;&gt;""),IF($B71="WB","Control WB Box "&amp;(INT((COUNTIFS($B$2:$B71,"WB")-1)/81)+1)&amp;": "&amp;CHAR(65+INT(MOD(COUNTIFS($B$2:$B71,"WB")-1,81)/9))&amp;(MOD(COUNTIFS($B$2:$B71,"WB")-1,9)+1),"N/A"),"")</f>
        <v/>
      </c>
      <c r="K71" s="3" t="str">
        <f t="shared" si="19"/>
        <v/>
      </c>
      <c r="L71" s="2"/>
      <c r="M71" s="2"/>
      <c r="N71" s="2"/>
      <c r="O71" s="7" t="str">
        <f t="shared" si="20"/>
        <v/>
      </c>
      <c r="P71" s="7" t="str">
        <f t="shared" si="21"/>
        <v/>
      </c>
      <c r="Q71" s="7" t="str">
        <f t="shared" si="22"/>
        <v/>
      </c>
      <c r="R71" s="7" t="str">
        <f t="shared" si="23"/>
        <v/>
      </c>
      <c r="S71" s="7" t="str">
        <f t="shared" si="24"/>
        <v/>
      </c>
      <c r="T71" s="7" t="str">
        <f t="shared" si="25"/>
        <v/>
      </c>
      <c r="U71" s="7" t="str">
        <f t="shared" si="26"/>
        <v/>
      </c>
      <c r="V71" s="7" t="str">
        <f t="shared" si="27"/>
        <v/>
      </c>
      <c r="W71" s="7" t="str">
        <f t="shared" si="28"/>
        <v/>
      </c>
      <c r="X71" s="7" t="str">
        <f t="shared" si="29"/>
        <v/>
      </c>
      <c r="Y71">
        <f t="shared" si="30"/>
        <v>0</v>
      </c>
      <c r="Z71" t="str">
        <f t="shared" si="31"/>
        <v/>
      </c>
      <c r="AA71" t="str">
        <f t="shared" si="32"/>
        <v/>
      </c>
      <c r="AB71" t="str">
        <f t="shared" si="33"/>
        <v/>
      </c>
      <c r="AC71" t="str">
        <f t="shared" si="34"/>
        <v/>
      </c>
      <c r="AD71">
        <f t="shared" si="35"/>
        <v>0</v>
      </c>
    </row>
    <row r="72" spans="1:30" ht="15" customHeight="1" x14ac:dyDescent="0.35">
      <c r="A72" s="2"/>
      <c r="B72" s="3"/>
      <c r="C72" s="4"/>
      <c r="D72" s="5"/>
      <c r="E72" s="11" t="str">
        <f t="shared" ca="1" si="18"/>
        <v/>
      </c>
      <c r="F72" s="5"/>
      <c r="G72" s="6" t="str">
        <f>IF(AND($A72&lt;&gt;"",$B72&lt;&gt;"",$C72&lt;&gt;"",$D72&lt;&gt;""),IF(OR($B72="SER",$B72="PLH",$B72="CSF"),"Control CDI Plate "&amp;(INT(((COUNTIFS($B$2:$B72,"SER")+COUNTIFS($B$2:$B72,"PLH")+COUNTIFS($B$2:$B72,"CSF"))-1)/96)+1)&amp;": "&amp;CHAR(65+INT(MOD((COUNTIFS($B$2:$B72,"SER")+COUNTIFS($B$2:$B72,"PLH")+COUNTIFS($B$2:$B72,"CSF"))-1,96)/12))&amp;(MOD((COUNTIFS($B$2:$B72,"SER")+COUNTIFS($B$2:$B72,"PLH")+COUNTIFS($B$2:$B72,"CSF"))-1,12)+1),"N/A"),"")</f>
        <v/>
      </c>
      <c r="H72" s="6" t="str">
        <f>IF(AND($A72&lt;&gt;"",$B72&lt;&gt;"",$C72&lt;&gt;"",$D72&lt;&gt;""),IF(OR($B72="SER",$B72="PLH",$B72="CSF"),"Control NIH Plate "&amp;(INT(((COUNTIFS($B$2:$B72,"SER")+COUNTIFS($B$2:$B72,"PLH")+COUNTIFS($B$2:$B72,"CSF"))-1)/96)+1)&amp;": "&amp;CHAR(65+INT(MOD((COUNTIFS($B$2:$B72,"SER")+COUNTIFS($B$2:$B72,"PLH")+COUNTIFS($B$2:$B72,"CSF"))-1,96)/12))&amp;(MOD((COUNTIFS($B$2:$B72,"SER")+COUNTIFS($B$2:$B72,"PLH")+COUNTIFS($B$2:$B72,"CSF"))-1,12)+1),"N/A"),"")</f>
        <v/>
      </c>
      <c r="I72" s="6" t="str">
        <f>IF(AND($A72&lt;&gt;"",$B72&lt;&gt;"",$C72&lt;&gt;"",$D72&lt;&gt;""),IF(OR($B72="SER",$B72="PLH"),"Control MAX Planck Plate "&amp;(INT(((COUNTIFS($B$2:$B72,"SER")+COUNTIFS($B$2:$B72,"PLH"))-1)/96)+1)&amp;": "&amp;CHAR(65+INT(MOD((COUNTIFS($B$2:$B72,"SER")+COUNTIFS($B$2:$B72,"PLH"))-1,96)/12))&amp;(MOD((COUNTIFS($B$2:$B72,"SER")+COUNTIFS($B$2:$B72,"PLH"))-1,12)+1),"N/A"),"")</f>
        <v/>
      </c>
      <c r="J72" s="6" t="str">
        <f>IF(AND($A72&lt;&gt;"",$B72&lt;&gt;"",$C72&lt;&gt;"",$D72&lt;&gt;""),IF($B72="WB","Control WB Box "&amp;(INT((COUNTIFS($B$2:$B72,"WB")-1)/81)+1)&amp;": "&amp;CHAR(65+INT(MOD(COUNTIFS($B$2:$B72,"WB")-1,81)/9))&amp;(MOD(COUNTIFS($B$2:$B72,"WB")-1,9)+1),"N/A"),"")</f>
        <v/>
      </c>
      <c r="K72" s="3" t="str">
        <f t="shared" si="19"/>
        <v/>
      </c>
      <c r="L72" s="2"/>
      <c r="M72" s="2"/>
      <c r="N72" s="2"/>
      <c r="O72" s="7" t="str">
        <f t="shared" si="20"/>
        <v/>
      </c>
      <c r="P72" s="7" t="str">
        <f t="shared" si="21"/>
        <v/>
      </c>
      <c r="Q72" s="7" t="str">
        <f t="shared" si="22"/>
        <v/>
      </c>
      <c r="R72" s="7" t="str">
        <f t="shared" si="23"/>
        <v/>
      </c>
      <c r="S72" s="7" t="str">
        <f t="shared" si="24"/>
        <v/>
      </c>
      <c r="T72" s="7" t="str">
        <f t="shared" si="25"/>
        <v/>
      </c>
      <c r="U72" s="7" t="str">
        <f t="shared" si="26"/>
        <v/>
      </c>
      <c r="V72" s="7" t="str">
        <f t="shared" si="27"/>
        <v/>
      </c>
      <c r="W72" s="7" t="str">
        <f t="shared" si="28"/>
        <v/>
      </c>
      <c r="X72" s="7" t="str">
        <f t="shared" si="29"/>
        <v/>
      </c>
      <c r="Y72">
        <f t="shared" si="30"/>
        <v>0</v>
      </c>
      <c r="Z72" t="str">
        <f t="shared" si="31"/>
        <v/>
      </c>
      <c r="AA72" t="str">
        <f t="shared" si="32"/>
        <v/>
      </c>
      <c r="AB72" t="str">
        <f t="shared" si="33"/>
        <v/>
      </c>
      <c r="AC72" t="str">
        <f t="shared" si="34"/>
        <v/>
      </c>
      <c r="AD72">
        <f t="shared" si="35"/>
        <v>0</v>
      </c>
    </row>
    <row r="73" spans="1:30" ht="15" customHeight="1" x14ac:dyDescent="0.35">
      <c r="A73" s="2"/>
      <c r="B73" s="3"/>
      <c r="C73" s="4"/>
      <c r="D73" s="5"/>
      <c r="E73" s="11" t="str">
        <f t="shared" ca="1" si="18"/>
        <v/>
      </c>
      <c r="F73" s="5"/>
      <c r="G73" s="6" t="str">
        <f>IF(AND($A73&lt;&gt;"",$B73&lt;&gt;"",$C73&lt;&gt;"",$D73&lt;&gt;""),IF(OR($B73="SER",$B73="PLH",$B73="CSF"),"Control CDI Plate "&amp;(INT(((COUNTIFS($B$2:$B73,"SER")+COUNTIFS($B$2:$B73,"PLH")+COUNTIFS($B$2:$B73,"CSF"))-1)/96)+1)&amp;": "&amp;CHAR(65+INT(MOD((COUNTIFS($B$2:$B73,"SER")+COUNTIFS($B$2:$B73,"PLH")+COUNTIFS($B$2:$B73,"CSF"))-1,96)/12))&amp;(MOD((COUNTIFS($B$2:$B73,"SER")+COUNTIFS($B$2:$B73,"PLH")+COUNTIFS($B$2:$B73,"CSF"))-1,12)+1),"N/A"),"")</f>
        <v/>
      </c>
      <c r="H73" s="6" t="str">
        <f>IF(AND($A73&lt;&gt;"",$B73&lt;&gt;"",$C73&lt;&gt;"",$D73&lt;&gt;""),IF(OR($B73="SER",$B73="PLH",$B73="CSF"),"Control NIH Plate "&amp;(INT(((COUNTIFS($B$2:$B73,"SER")+COUNTIFS($B$2:$B73,"PLH")+COUNTIFS($B$2:$B73,"CSF"))-1)/96)+1)&amp;": "&amp;CHAR(65+INT(MOD((COUNTIFS($B$2:$B73,"SER")+COUNTIFS($B$2:$B73,"PLH")+COUNTIFS($B$2:$B73,"CSF"))-1,96)/12))&amp;(MOD((COUNTIFS($B$2:$B73,"SER")+COUNTIFS($B$2:$B73,"PLH")+COUNTIFS($B$2:$B73,"CSF"))-1,12)+1),"N/A"),"")</f>
        <v/>
      </c>
      <c r="I73" s="6" t="str">
        <f>IF(AND($A73&lt;&gt;"",$B73&lt;&gt;"",$C73&lt;&gt;"",$D73&lt;&gt;""),IF(OR($B73="SER",$B73="PLH"),"Control MAX Planck Plate "&amp;(INT(((COUNTIFS($B$2:$B73,"SER")+COUNTIFS($B$2:$B73,"PLH"))-1)/96)+1)&amp;": "&amp;CHAR(65+INT(MOD((COUNTIFS($B$2:$B73,"SER")+COUNTIFS($B$2:$B73,"PLH"))-1,96)/12))&amp;(MOD((COUNTIFS($B$2:$B73,"SER")+COUNTIFS($B$2:$B73,"PLH"))-1,12)+1),"N/A"),"")</f>
        <v/>
      </c>
      <c r="J73" s="6" t="str">
        <f>IF(AND($A73&lt;&gt;"",$B73&lt;&gt;"",$C73&lt;&gt;"",$D73&lt;&gt;""),IF($B73="WB","Control WB Box "&amp;(INT((COUNTIFS($B$2:$B73,"WB")-1)/81)+1)&amp;": "&amp;CHAR(65+INT(MOD(COUNTIFS($B$2:$B73,"WB")-1,81)/9))&amp;(MOD(COUNTIFS($B$2:$B73,"WB")-1,9)+1),"N/A"),"")</f>
        <v/>
      </c>
      <c r="K73" s="3" t="str">
        <f t="shared" si="19"/>
        <v/>
      </c>
      <c r="L73" s="2"/>
      <c r="M73" s="2"/>
      <c r="N73" s="2"/>
      <c r="O73" s="7" t="str">
        <f t="shared" si="20"/>
        <v/>
      </c>
      <c r="P73" s="7" t="str">
        <f t="shared" si="21"/>
        <v/>
      </c>
      <c r="Q73" s="7" t="str">
        <f t="shared" si="22"/>
        <v/>
      </c>
      <c r="R73" s="7" t="str">
        <f t="shared" si="23"/>
        <v/>
      </c>
      <c r="S73" s="7" t="str">
        <f t="shared" si="24"/>
        <v/>
      </c>
      <c r="T73" s="7" t="str">
        <f t="shared" si="25"/>
        <v/>
      </c>
      <c r="U73" s="7" t="str">
        <f t="shared" si="26"/>
        <v/>
      </c>
      <c r="V73" s="7" t="str">
        <f t="shared" si="27"/>
        <v/>
      </c>
      <c r="W73" s="7" t="str">
        <f t="shared" si="28"/>
        <v/>
      </c>
      <c r="X73" s="7" t="str">
        <f t="shared" si="29"/>
        <v/>
      </c>
      <c r="Y73">
        <f t="shared" si="30"/>
        <v>0</v>
      </c>
      <c r="Z73" t="str">
        <f t="shared" si="31"/>
        <v/>
      </c>
      <c r="AA73" t="str">
        <f t="shared" si="32"/>
        <v/>
      </c>
      <c r="AB73" t="str">
        <f t="shared" si="33"/>
        <v/>
      </c>
      <c r="AC73" t="str">
        <f t="shared" si="34"/>
        <v/>
      </c>
      <c r="AD73">
        <f t="shared" si="35"/>
        <v>0</v>
      </c>
    </row>
    <row r="74" spans="1:30" ht="15" customHeight="1" x14ac:dyDescent="0.35">
      <c r="A74" s="2"/>
      <c r="B74" s="3"/>
      <c r="C74" s="4"/>
      <c r="D74" s="5"/>
      <c r="E74" s="11" t="str">
        <f t="shared" ca="1" si="18"/>
        <v/>
      </c>
      <c r="F74" s="5"/>
      <c r="G74" s="6" t="str">
        <f>IF(AND($A74&lt;&gt;"",$B74&lt;&gt;"",$C74&lt;&gt;"",$D74&lt;&gt;""),IF(OR($B74="SER",$B74="PLH",$B74="CSF"),"Control CDI Plate "&amp;(INT(((COUNTIFS($B$2:$B74,"SER")+COUNTIFS($B$2:$B74,"PLH")+COUNTIFS($B$2:$B74,"CSF"))-1)/96)+1)&amp;": "&amp;CHAR(65+INT(MOD((COUNTIFS($B$2:$B74,"SER")+COUNTIFS($B$2:$B74,"PLH")+COUNTIFS($B$2:$B74,"CSF"))-1,96)/12))&amp;(MOD((COUNTIFS($B$2:$B74,"SER")+COUNTIFS($B$2:$B74,"PLH")+COUNTIFS($B$2:$B74,"CSF"))-1,12)+1),"N/A"),"")</f>
        <v/>
      </c>
      <c r="H74" s="6" t="str">
        <f>IF(AND($A74&lt;&gt;"",$B74&lt;&gt;"",$C74&lt;&gt;"",$D74&lt;&gt;""),IF(OR($B74="SER",$B74="PLH",$B74="CSF"),"Control NIH Plate "&amp;(INT(((COUNTIFS($B$2:$B74,"SER")+COUNTIFS($B$2:$B74,"PLH")+COUNTIFS($B$2:$B74,"CSF"))-1)/96)+1)&amp;": "&amp;CHAR(65+INT(MOD((COUNTIFS($B$2:$B74,"SER")+COUNTIFS($B$2:$B74,"PLH")+COUNTIFS($B$2:$B74,"CSF"))-1,96)/12))&amp;(MOD((COUNTIFS($B$2:$B74,"SER")+COUNTIFS($B$2:$B74,"PLH")+COUNTIFS($B$2:$B74,"CSF"))-1,12)+1),"N/A"),"")</f>
        <v/>
      </c>
      <c r="I74" s="6" t="str">
        <f>IF(AND($A74&lt;&gt;"",$B74&lt;&gt;"",$C74&lt;&gt;"",$D74&lt;&gt;""),IF(OR($B74="SER",$B74="PLH"),"Control MAX Planck Plate "&amp;(INT(((COUNTIFS($B$2:$B74,"SER")+COUNTIFS($B$2:$B74,"PLH"))-1)/96)+1)&amp;": "&amp;CHAR(65+INT(MOD((COUNTIFS($B$2:$B74,"SER")+COUNTIFS($B$2:$B74,"PLH"))-1,96)/12))&amp;(MOD((COUNTIFS($B$2:$B74,"SER")+COUNTIFS($B$2:$B74,"PLH"))-1,12)+1),"N/A"),"")</f>
        <v/>
      </c>
      <c r="J74" s="6" t="str">
        <f>IF(AND($A74&lt;&gt;"",$B74&lt;&gt;"",$C74&lt;&gt;"",$D74&lt;&gt;""),IF($B74="WB","Control WB Box "&amp;(INT((COUNTIFS($B$2:$B74,"WB")-1)/81)+1)&amp;": "&amp;CHAR(65+INT(MOD(COUNTIFS($B$2:$B74,"WB")-1,81)/9))&amp;(MOD(COUNTIFS($B$2:$B74,"WB")-1,9)+1),"N/A"),"")</f>
        <v/>
      </c>
      <c r="K74" s="3" t="str">
        <f t="shared" si="19"/>
        <v/>
      </c>
      <c r="L74" s="2"/>
      <c r="M74" s="2"/>
      <c r="N74" s="2"/>
      <c r="O74" s="7" t="str">
        <f t="shared" si="20"/>
        <v/>
      </c>
      <c r="P74" s="7" t="str">
        <f t="shared" si="21"/>
        <v/>
      </c>
      <c r="Q74" s="7" t="str">
        <f t="shared" si="22"/>
        <v/>
      </c>
      <c r="R74" s="7" t="str">
        <f t="shared" si="23"/>
        <v/>
      </c>
      <c r="S74" s="7" t="str">
        <f t="shared" si="24"/>
        <v/>
      </c>
      <c r="T74" s="7" t="str">
        <f t="shared" si="25"/>
        <v/>
      </c>
      <c r="U74" s="7" t="str">
        <f t="shared" si="26"/>
        <v/>
      </c>
      <c r="V74" s="7" t="str">
        <f t="shared" si="27"/>
        <v/>
      </c>
      <c r="W74" s="7" t="str">
        <f t="shared" si="28"/>
        <v/>
      </c>
      <c r="X74" s="7" t="str">
        <f t="shared" si="29"/>
        <v/>
      </c>
      <c r="Y74">
        <f t="shared" si="30"/>
        <v>0</v>
      </c>
      <c r="Z74" t="str">
        <f t="shared" si="31"/>
        <v/>
      </c>
      <c r="AA74" t="str">
        <f t="shared" si="32"/>
        <v/>
      </c>
      <c r="AB74" t="str">
        <f t="shared" si="33"/>
        <v/>
      </c>
      <c r="AC74" t="str">
        <f t="shared" si="34"/>
        <v/>
      </c>
      <c r="AD74">
        <f t="shared" si="35"/>
        <v>0</v>
      </c>
    </row>
    <row r="75" spans="1:30" ht="15" customHeight="1" x14ac:dyDescent="0.35">
      <c r="A75" s="2"/>
      <c r="B75" s="3"/>
      <c r="C75" s="4"/>
      <c r="D75" s="5"/>
      <c r="E75" s="11" t="str">
        <f t="shared" ca="1" si="18"/>
        <v/>
      </c>
      <c r="F75" s="5"/>
      <c r="G75" s="6" t="str">
        <f>IF(AND($A75&lt;&gt;"",$B75&lt;&gt;"",$C75&lt;&gt;"",$D75&lt;&gt;""),IF(OR($B75="SER",$B75="PLH",$B75="CSF"),"Control CDI Plate "&amp;(INT(((COUNTIFS($B$2:$B75,"SER")+COUNTIFS($B$2:$B75,"PLH")+COUNTIFS($B$2:$B75,"CSF"))-1)/96)+1)&amp;": "&amp;CHAR(65+INT(MOD((COUNTIFS($B$2:$B75,"SER")+COUNTIFS($B$2:$B75,"PLH")+COUNTIFS($B$2:$B75,"CSF"))-1,96)/12))&amp;(MOD((COUNTIFS($B$2:$B75,"SER")+COUNTIFS($B$2:$B75,"PLH")+COUNTIFS($B$2:$B75,"CSF"))-1,12)+1),"N/A"),"")</f>
        <v/>
      </c>
      <c r="H75" s="6" t="str">
        <f>IF(AND($A75&lt;&gt;"",$B75&lt;&gt;"",$C75&lt;&gt;"",$D75&lt;&gt;""),IF(OR($B75="SER",$B75="PLH",$B75="CSF"),"Control NIH Plate "&amp;(INT(((COUNTIFS($B$2:$B75,"SER")+COUNTIFS($B$2:$B75,"PLH")+COUNTIFS($B$2:$B75,"CSF"))-1)/96)+1)&amp;": "&amp;CHAR(65+INT(MOD((COUNTIFS($B$2:$B75,"SER")+COUNTIFS($B$2:$B75,"PLH")+COUNTIFS($B$2:$B75,"CSF"))-1,96)/12))&amp;(MOD((COUNTIFS($B$2:$B75,"SER")+COUNTIFS($B$2:$B75,"PLH")+COUNTIFS($B$2:$B75,"CSF"))-1,12)+1),"N/A"),"")</f>
        <v/>
      </c>
      <c r="I75" s="6" t="str">
        <f>IF(AND($A75&lt;&gt;"",$B75&lt;&gt;"",$C75&lt;&gt;"",$D75&lt;&gt;""),IF(OR($B75="SER",$B75="PLH"),"Control MAX Planck Plate "&amp;(INT(((COUNTIFS($B$2:$B75,"SER")+COUNTIFS($B$2:$B75,"PLH"))-1)/96)+1)&amp;": "&amp;CHAR(65+INT(MOD((COUNTIFS($B$2:$B75,"SER")+COUNTIFS($B$2:$B75,"PLH"))-1,96)/12))&amp;(MOD((COUNTIFS($B$2:$B75,"SER")+COUNTIFS($B$2:$B75,"PLH"))-1,12)+1),"N/A"),"")</f>
        <v/>
      </c>
      <c r="J75" s="6" t="str">
        <f>IF(AND($A75&lt;&gt;"",$B75&lt;&gt;"",$C75&lt;&gt;"",$D75&lt;&gt;""),IF($B75="WB","Control WB Box "&amp;(INT((COUNTIFS($B$2:$B75,"WB")-1)/81)+1)&amp;": "&amp;CHAR(65+INT(MOD(COUNTIFS($B$2:$B75,"WB")-1,81)/9))&amp;(MOD(COUNTIFS($B$2:$B75,"WB")-1,9)+1),"N/A"),"")</f>
        <v/>
      </c>
      <c r="K75" s="3" t="str">
        <f t="shared" si="19"/>
        <v/>
      </c>
      <c r="L75" s="2"/>
      <c r="M75" s="2"/>
      <c r="N75" s="2"/>
      <c r="O75" s="7" t="str">
        <f t="shared" si="20"/>
        <v/>
      </c>
      <c r="P75" s="7" t="str">
        <f t="shared" si="21"/>
        <v/>
      </c>
      <c r="Q75" s="7" t="str">
        <f t="shared" si="22"/>
        <v/>
      </c>
      <c r="R75" s="7" t="str">
        <f t="shared" si="23"/>
        <v/>
      </c>
      <c r="S75" s="7" t="str">
        <f t="shared" si="24"/>
        <v/>
      </c>
      <c r="T75" s="7" t="str">
        <f t="shared" si="25"/>
        <v/>
      </c>
      <c r="U75" s="7" t="str">
        <f t="shared" si="26"/>
        <v/>
      </c>
      <c r="V75" s="7" t="str">
        <f t="shared" si="27"/>
        <v/>
      </c>
      <c r="W75" s="7" t="str">
        <f t="shared" si="28"/>
        <v/>
      </c>
      <c r="X75" s="7" t="str">
        <f t="shared" si="29"/>
        <v/>
      </c>
      <c r="Y75">
        <f t="shared" si="30"/>
        <v>0</v>
      </c>
      <c r="Z75" t="str">
        <f t="shared" si="31"/>
        <v/>
      </c>
      <c r="AA75" t="str">
        <f t="shared" si="32"/>
        <v/>
      </c>
      <c r="AB75" t="str">
        <f t="shared" si="33"/>
        <v/>
      </c>
      <c r="AC75" t="str">
        <f t="shared" si="34"/>
        <v/>
      </c>
      <c r="AD75">
        <f t="shared" si="35"/>
        <v>0</v>
      </c>
    </row>
    <row r="76" spans="1:30" ht="15" customHeight="1" x14ac:dyDescent="0.35">
      <c r="A76" s="2"/>
      <c r="B76" s="3"/>
      <c r="C76" s="4"/>
      <c r="D76" s="5"/>
      <c r="E76" s="11" t="str">
        <f t="shared" ca="1" si="18"/>
        <v/>
      </c>
      <c r="F76" s="5"/>
      <c r="G76" s="6" t="str">
        <f>IF(AND($A76&lt;&gt;"",$B76&lt;&gt;"",$C76&lt;&gt;"",$D76&lt;&gt;""),IF(OR($B76="SER",$B76="PLH",$B76="CSF"),"Control CDI Plate "&amp;(INT(((COUNTIFS($B$2:$B76,"SER")+COUNTIFS($B$2:$B76,"PLH")+COUNTIFS($B$2:$B76,"CSF"))-1)/96)+1)&amp;": "&amp;CHAR(65+INT(MOD((COUNTIFS($B$2:$B76,"SER")+COUNTIFS($B$2:$B76,"PLH")+COUNTIFS($B$2:$B76,"CSF"))-1,96)/12))&amp;(MOD((COUNTIFS($B$2:$B76,"SER")+COUNTIFS($B$2:$B76,"PLH")+COUNTIFS($B$2:$B76,"CSF"))-1,12)+1),"N/A"),"")</f>
        <v/>
      </c>
      <c r="H76" s="6" t="str">
        <f>IF(AND($A76&lt;&gt;"",$B76&lt;&gt;"",$C76&lt;&gt;"",$D76&lt;&gt;""),IF(OR($B76="SER",$B76="PLH",$B76="CSF"),"Control NIH Plate "&amp;(INT(((COUNTIFS($B$2:$B76,"SER")+COUNTIFS($B$2:$B76,"PLH")+COUNTIFS($B$2:$B76,"CSF"))-1)/96)+1)&amp;": "&amp;CHAR(65+INT(MOD((COUNTIFS($B$2:$B76,"SER")+COUNTIFS($B$2:$B76,"PLH")+COUNTIFS($B$2:$B76,"CSF"))-1,96)/12))&amp;(MOD((COUNTIFS($B$2:$B76,"SER")+COUNTIFS($B$2:$B76,"PLH")+COUNTIFS($B$2:$B76,"CSF"))-1,12)+1),"N/A"),"")</f>
        <v/>
      </c>
      <c r="I76" s="6" t="str">
        <f>IF(AND($A76&lt;&gt;"",$B76&lt;&gt;"",$C76&lt;&gt;"",$D76&lt;&gt;""),IF(OR($B76="SER",$B76="PLH"),"Control MAX Planck Plate "&amp;(INT(((COUNTIFS($B$2:$B76,"SER")+COUNTIFS($B$2:$B76,"PLH"))-1)/96)+1)&amp;": "&amp;CHAR(65+INT(MOD((COUNTIFS($B$2:$B76,"SER")+COUNTIFS($B$2:$B76,"PLH"))-1,96)/12))&amp;(MOD((COUNTIFS($B$2:$B76,"SER")+COUNTIFS($B$2:$B76,"PLH"))-1,12)+1),"N/A"),"")</f>
        <v/>
      </c>
      <c r="J76" s="6" t="str">
        <f>IF(AND($A76&lt;&gt;"",$B76&lt;&gt;"",$C76&lt;&gt;"",$D76&lt;&gt;""),IF($B76="WB","Control WB Box "&amp;(INT((COUNTIFS($B$2:$B76,"WB")-1)/81)+1)&amp;": "&amp;CHAR(65+INT(MOD(COUNTIFS($B$2:$B76,"WB")-1,81)/9))&amp;(MOD(COUNTIFS($B$2:$B76,"WB")-1,9)+1),"N/A"),"")</f>
        <v/>
      </c>
      <c r="K76" s="3" t="str">
        <f t="shared" si="19"/>
        <v/>
      </c>
      <c r="L76" s="2"/>
      <c r="M76" s="2"/>
      <c r="N76" s="2"/>
      <c r="O76" s="7" t="str">
        <f t="shared" si="20"/>
        <v/>
      </c>
      <c r="P76" s="7" t="str">
        <f t="shared" si="21"/>
        <v/>
      </c>
      <c r="Q76" s="7" t="str">
        <f t="shared" si="22"/>
        <v/>
      </c>
      <c r="R76" s="7" t="str">
        <f t="shared" si="23"/>
        <v/>
      </c>
      <c r="S76" s="7" t="str">
        <f t="shared" si="24"/>
        <v/>
      </c>
      <c r="T76" s="7" t="str">
        <f t="shared" si="25"/>
        <v/>
      </c>
      <c r="U76" s="7" t="str">
        <f t="shared" si="26"/>
        <v/>
      </c>
      <c r="V76" s="7" t="str">
        <f t="shared" si="27"/>
        <v/>
      </c>
      <c r="W76" s="7" t="str">
        <f t="shared" si="28"/>
        <v/>
      </c>
      <c r="X76" s="7" t="str">
        <f t="shared" si="29"/>
        <v/>
      </c>
      <c r="Y76">
        <f t="shared" si="30"/>
        <v>0</v>
      </c>
      <c r="Z76" t="str">
        <f t="shared" si="31"/>
        <v/>
      </c>
      <c r="AA76" t="str">
        <f t="shared" si="32"/>
        <v/>
      </c>
      <c r="AB76" t="str">
        <f t="shared" si="33"/>
        <v/>
      </c>
      <c r="AC76" t="str">
        <f t="shared" si="34"/>
        <v/>
      </c>
      <c r="AD76">
        <f t="shared" si="35"/>
        <v>0</v>
      </c>
    </row>
    <row r="77" spans="1:30" ht="15" customHeight="1" x14ac:dyDescent="0.35">
      <c r="A77" s="2"/>
      <c r="B77" s="3"/>
      <c r="C77" s="4"/>
      <c r="D77" s="5"/>
      <c r="E77" s="11" t="str">
        <f t="shared" ca="1" si="18"/>
        <v/>
      </c>
      <c r="F77" s="5"/>
      <c r="G77" s="6" t="str">
        <f>IF(AND($A77&lt;&gt;"",$B77&lt;&gt;"",$C77&lt;&gt;"",$D77&lt;&gt;""),IF(OR($B77="SER",$B77="PLH",$B77="CSF"),"Control CDI Plate "&amp;(INT(((COUNTIFS($B$2:$B77,"SER")+COUNTIFS($B$2:$B77,"PLH")+COUNTIFS($B$2:$B77,"CSF"))-1)/96)+1)&amp;": "&amp;CHAR(65+INT(MOD((COUNTIFS($B$2:$B77,"SER")+COUNTIFS($B$2:$B77,"PLH")+COUNTIFS($B$2:$B77,"CSF"))-1,96)/12))&amp;(MOD((COUNTIFS($B$2:$B77,"SER")+COUNTIFS($B$2:$B77,"PLH")+COUNTIFS($B$2:$B77,"CSF"))-1,12)+1),"N/A"),"")</f>
        <v/>
      </c>
      <c r="H77" s="6" t="str">
        <f>IF(AND($A77&lt;&gt;"",$B77&lt;&gt;"",$C77&lt;&gt;"",$D77&lt;&gt;""),IF(OR($B77="SER",$B77="PLH",$B77="CSF"),"Control NIH Plate "&amp;(INT(((COUNTIFS($B$2:$B77,"SER")+COUNTIFS($B$2:$B77,"PLH")+COUNTIFS($B$2:$B77,"CSF"))-1)/96)+1)&amp;": "&amp;CHAR(65+INT(MOD((COUNTIFS($B$2:$B77,"SER")+COUNTIFS($B$2:$B77,"PLH")+COUNTIFS($B$2:$B77,"CSF"))-1,96)/12))&amp;(MOD((COUNTIFS($B$2:$B77,"SER")+COUNTIFS($B$2:$B77,"PLH")+COUNTIFS($B$2:$B77,"CSF"))-1,12)+1),"N/A"),"")</f>
        <v/>
      </c>
      <c r="I77" s="6" t="str">
        <f>IF(AND($A77&lt;&gt;"",$B77&lt;&gt;"",$C77&lt;&gt;"",$D77&lt;&gt;""),IF(OR($B77="SER",$B77="PLH"),"Control MAX Planck Plate "&amp;(INT(((COUNTIFS($B$2:$B77,"SER")+COUNTIFS($B$2:$B77,"PLH"))-1)/96)+1)&amp;": "&amp;CHAR(65+INT(MOD((COUNTIFS($B$2:$B77,"SER")+COUNTIFS($B$2:$B77,"PLH"))-1,96)/12))&amp;(MOD((COUNTIFS($B$2:$B77,"SER")+COUNTIFS($B$2:$B77,"PLH"))-1,12)+1),"N/A"),"")</f>
        <v/>
      </c>
      <c r="J77" s="6" t="str">
        <f>IF(AND($A77&lt;&gt;"",$B77&lt;&gt;"",$C77&lt;&gt;"",$D77&lt;&gt;""),IF($B77="WB","Control WB Box "&amp;(INT((COUNTIFS($B$2:$B77,"WB")-1)/81)+1)&amp;": "&amp;CHAR(65+INT(MOD(COUNTIFS($B$2:$B77,"WB")-1,81)/9))&amp;(MOD(COUNTIFS($B$2:$B77,"WB")-1,9)+1),"N/A"),"")</f>
        <v/>
      </c>
      <c r="K77" s="3" t="str">
        <f t="shared" si="19"/>
        <v/>
      </c>
      <c r="L77" s="2"/>
      <c r="M77" s="2"/>
      <c r="N77" s="2"/>
      <c r="O77" s="7" t="str">
        <f t="shared" si="20"/>
        <v/>
      </c>
      <c r="P77" s="7" t="str">
        <f t="shared" si="21"/>
        <v/>
      </c>
      <c r="Q77" s="7" t="str">
        <f t="shared" si="22"/>
        <v/>
      </c>
      <c r="R77" s="7" t="str">
        <f t="shared" si="23"/>
        <v/>
      </c>
      <c r="S77" s="7" t="str">
        <f t="shared" si="24"/>
        <v/>
      </c>
      <c r="T77" s="7" t="str">
        <f t="shared" si="25"/>
        <v/>
      </c>
      <c r="U77" s="7" t="str">
        <f t="shared" si="26"/>
        <v/>
      </c>
      <c r="V77" s="7" t="str">
        <f t="shared" si="27"/>
        <v/>
      </c>
      <c r="W77" s="7" t="str">
        <f t="shared" si="28"/>
        <v/>
      </c>
      <c r="X77" s="7" t="str">
        <f t="shared" si="29"/>
        <v/>
      </c>
      <c r="Y77">
        <f t="shared" si="30"/>
        <v>0</v>
      </c>
      <c r="Z77" t="str">
        <f t="shared" si="31"/>
        <v/>
      </c>
      <c r="AA77" t="str">
        <f t="shared" si="32"/>
        <v/>
      </c>
      <c r="AB77" t="str">
        <f t="shared" si="33"/>
        <v/>
      </c>
      <c r="AC77" t="str">
        <f t="shared" si="34"/>
        <v/>
      </c>
      <c r="AD77">
        <f t="shared" si="35"/>
        <v>0</v>
      </c>
    </row>
    <row r="78" spans="1:30" ht="15" customHeight="1" x14ac:dyDescent="0.35">
      <c r="A78" s="2"/>
      <c r="B78" s="3"/>
      <c r="C78" s="4"/>
      <c r="D78" s="5"/>
      <c r="E78" s="11" t="str">
        <f t="shared" ca="1" si="18"/>
        <v/>
      </c>
      <c r="F78" s="5"/>
      <c r="G78" s="6" t="str">
        <f>IF(AND($A78&lt;&gt;"",$B78&lt;&gt;"",$C78&lt;&gt;"",$D78&lt;&gt;""),IF(OR($B78="SER",$B78="PLH",$B78="CSF"),"Control CDI Plate "&amp;(INT(((COUNTIFS($B$2:$B78,"SER")+COUNTIFS($B$2:$B78,"PLH")+COUNTIFS($B$2:$B78,"CSF"))-1)/96)+1)&amp;": "&amp;CHAR(65+INT(MOD((COUNTIFS($B$2:$B78,"SER")+COUNTIFS($B$2:$B78,"PLH")+COUNTIFS($B$2:$B78,"CSF"))-1,96)/12))&amp;(MOD((COUNTIFS($B$2:$B78,"SER")+COUNTIFS($B$2:$B78,"PLH")+COUNTIFS($B$2:$B78,"CSF"))-1,12)+1),"N/A"),"")</f>
        <v/>
      </c>
      <c r="H78" s="6" t="str">
        <f>IF(AND($A78&lt;&gt;"",$B78&lt;&gt;"",$C78&lt;&gt;"",$D78&lt;&gt;""),IF(OR($B78="SER",$B78="PLH",$B78="CSF"),"Control NIH Plate "&amp;(INT(((COUNTIFS($B$2:$B78,"SER")+COUNTIFS($B$2:$B78,"PLH")+COUNTIFS($B$2:$B78,"CSF"))-1)/96)+1)&amp;": "&amp;CHAR(65+INT(MOD((COUNTIFS($B$2:$B78,"SER")+COUNTIFS($B$2:$B78,"PLH")+COUNTIFS($B$2:$B78,"CSF"))-1,96)/12))&amp;(MOD((COUNTIFS($B$2:$B78,"SER")+COUNTIFS($B$2:$B78,"PLH")+COUNTIFS($B$2:$B78,"CSF"))-1,12)+1),"N/A"),"")</f>
        <v/>
      </c>
      <c r="I78" s="6" t="str">
        <f>IF(AND($A78&lt;&gt;"",$B78&lt;&gt;"",$C78&lt;&gt;"",$D78&lt;&gt;""),IF(OR($B78="SER",$B78="PLH"),"Control MAX Planck Plate "&amp;(INT(((COUNTIFS($B$2:$B78,"SER")+COUNTIFS($B$2:$B78,"PLH"))-1)/96)+1)&amp;": "&amp;CHAR(65+INT(MOD((COUNTIFS($B$2:$B78,"SER")+COUNTIFS($B$2:$B78,"PLH"))-1,96)/12))&amp;(MOD((COUNTIFS($B$2:$B78,"SER")+COUNTIFS($B$2:$B78,"PLH"))-1,12)+1),"N/A"),"")</f>
        <v/>
      </c>
      <c r="J78" s="6" t="str">
        <f>IF(AND($A78&lt;&gt;"",$B78&lt;&gt;"",$C78&lt;&gt;"",$D78&lt;&gt;""),IF($B78="WB","Control WB Box "&amp;(INT((COUNTIFS($B$2:$B78,"WB")-1)/81)+1)&amp;": "&amp;CHAR(65+INT(MOD(COUNTIFS($B$2:$B78,"WB")-1,81)/9))&amp;(MOD(COUNTIFS($B$2:$B78,"WB")-1,9)+1),"N/A"),"")</f>
        <v/>
      </c>
      <c r="K78" s="3" t="str">
        <f t="shared" si="19"/>
        <v/>
      </c>
      <c r="L78" s="2"/>
      <c r="M78" s="2"/>
      <c r="N78" s="2"/>
      <c r="O78" s="7" t="str">
        <f t="shared" si="20"/>
        <v/>
      </c>
      <c r="P78" s="7" t="str">
        <f t="shared" si="21"/>
        <v/>
      </c>
      <c r="Q78" s="7" t="str">
        <f t="shared" si="22"/>
        <v/>
      </c>
      <c r="R78" s="7" t="str">
        <f t="shared" si="23"/>
        <v/>
      </c>
      <c r="S78" s="7" t="str">
        <f t="shared" si="24"/>
        <v/>
      </c>
      <c r="T78" s="7" t="str">
        <f t="shared" si="25"/>
        <v/>
      </c>
      <c r="U78" s="7" t="str">
        <f t="shared" si="26"/>
        <v/>
      </c>
      <c r="V78" s="7" t="str">
        <f t="shared" si="27"/>
        <v/>
      </c>
      <c r="W78" s="7" t="str">
        <f t="shared" si="28"/>
        <v/>
      </c>
      <c r="X78" s="7" t="str">
        <f t="shared" si="29"/>
        <v/>
      </c>
      <c r="Y78">
        <f t="shared" si="30"/>
        <v>0</v>
      </c>
      <c r="Z78" t="str">
        <f t="shared" si="31"/>
        <v/>
      </c>
      <c r="AA78" t="str">
        <f t="shared" si="32"/>
        <v/>
      </c>
      <c r="AB78" t="str">
        <f t="shared" si="33"/>
        <v/>
      </c>
      <c r="AC78" t="str">
        <f t="shared" si="34"/>
        <v/>
      </c>
      <c r="AD78">
        <f t="shared" si="35"/>
        <v>0</v>
      </c>
    </row>
    <row r="79" spans="1:30" ht="15" customHeight="1" x14ac:dyDescent="0.35">
      <c r="A79" s="2"/>
      <c r="B79" s="3"/>
      <c r="C79" s="4"/>
      <c r="D79" s="5"/>
      <c r="E79" s="11" t="str">
        <f t="shared" ca="1" si="18"/>
        <v/>
      </c>
      <c r="F79" s="5"/>
      <c r="G79" s="6" t="str">
        <f>IF(AND($A79&lt;&gt;"",$B79&lt;&gt;"",$C79&lt;&gt;"",$D79&lt;&gt;""),IF(OR($B79="SER",$B79="PLH",$B79="CSF"),"Control CDI Plate "&amp;(INT(((COUNTIFS($B$2:$B79,"SER")+COUNTIFS($B$2:$B79,"PLH")+COUNTIFS($B$2:$B79,"CSF"))-1)/96)+1)&amp;": "&amp;CHAR(65+INT(MOD((COUNTIFS($B$2:$B79,"SER")+COUNTIFS($B$2:$B79,"PLH")+COUNTIFS($B$2:$B79,"CSF"))-1,96)/12))&amp;(MOD((COUNTIFS($B$2:$B79,"SER")+COUNTIFS($B$2:$B79,"PLH")+COUNTIFS($B$2:$B79,"CSF"))-1,12)+1),"N/A"),"")</f>
        <v/>
      </c>
      <c r="H79" s="6" t="str">
        <f>IF(AND($A79&lt;&gt;"",$B79&lt;&gt;"",$C79&lt;&gt;"",$D79&lt;&gt;""),IF(OR($B79="SER",$B79="PLH",$B79="CSF"),"Control NIH Plate "&amp;(INT(((COUNTIFS($B$2:$B79,"SER")+COUNTIFS($B$2:$B79,"PLH")+COUNTIFS($B$2:$B79,"CSF"))-1)/96)+1)&amp;": "&amp;CHAR(65+INT(MOD((COUNTIFS($B$2:$B79,"SER")+COUNTIFS($B$2:$B79,"PLH")+COUNTIFS($B$2:$B79,"CSF"))-1,96)/12))&amp;(MOD((COUNTIFS($B$2:$B79,"SER")+COUNTIFS($B$2:$B79,"PLH")+COUNTIFS($B$2:$B79,"CSF"))-1,12)+1),"N/A"),"")</f>
        <v/>
      </c>
      <c r="I79" s="6" t="str">
        <f>IF(AND($A79&lt;&gt;"",$B79&lt;&gt;"",$C79&lt;&gt;"",$D79&lt;&gt;""),IF(OR($B79="SER",$B79="PLH"),"Control MAX Planck Plate "&amp;(INT(((COUNTIFS($B$2:$B79,"SER")+COUNTIFS($B$2:$B79,"PLH"))-1)/96)+1)&amp;": "&amp;CHAR(65+INT(MOD((COUNTIFS($B$2:$B79,"SER")+COUNTIFS($B$2:$B79,"PLH"))-1,96)/12))&amp;(MOD((COUNTIFS($B$2:$B79,"SER")+COUNTIFS($B$2:$B79,"PLH"))-1,12)+1),"N/A"),"")</f>
        <v/>
      </c>
      <c r="J79" s="6" t="str">
        <f>IF(AND($A79&lt;&gt;"",$B79&lt;&gt;"",$C79&lt;&gt;"",$D79&lt;&gt;""),IF($B79="WB","Control WB Box "&amp;(INT((COUNTIFS($B$2:$B79,"WB")-1)/81)+1)&amp;": "&amp;CHAR(65+INT(MOD(COUNTIFS($B$2:$B79,"WB")-1,81)/9))&amp;(MOD(COUNTIFS($B$2:$B79,"WB")-1,9)+1),"N/A"),"")</f>
        <v/>
      </c>
      <c r="K79" s="3" t="str">
        <f t="shared" si="19"/>
        <v/>
      </c>
      <c r="L79" s="2"/>
      <c r="M79" s="2"/>
      <c r="N79" s="2"/>
      <c r="O79" s="7" t="str">
        <f t="shared" si="20"/>
        <v/>
      </c>
      <c r="P79" s="7" t="str">
        <f t="shared" si="21"/>
        <v/>
      </c>
      <c r="Q79" s="7" t="str">
        <f t="shared" si="22"/>
        <v/>
      </c>
      <c r="R79" s="7" t="str">
        <f t="shared" si="23"/>
        <v/>
      </c>
      <c r="S79" s="7" t="str">
        <f t="shared" si="24"/>
        <v/>
      </c>
      <c r="T79" s="7" t="str">
        <f t="shared" si="25"/>
        <v/>
      </c>
      <c r="U79" s="7" t="str">
        <f t="shared" si="26"/>
        <v/>
      </c>
      <c r="V79" s="7" t="str">
        <f t="shared" si="27"/>
        <v/>
      </c>
      <c r="W79" s="7" t="str">
        <f t="shared" si="28"/>
        <v/>
      </c>
      <c r="X79" s="7" t="str">
        <f t="shared" si="29"/>
        <v/>
      </c>
      <c r="Y79">
        <f t="shared" si="30"/>
        <v>0</v>
      </c>
      <c r="Z79" t="str">
        <f t="shared" si="31"/>
        <v/>
      </c>
      <c r="AA79" t="str">
        <f t="shared" si="32"/>
        <v/>
      </c>
      <c r="AB79" t="str">
        <f t="shared" si="33"/>
        <v/>
      </c>
      <c r="AC79" t="str">
        <f t="shared" si="34"/>
        <v/>
      </c>
      <c r="AD79">
        <f t="shared" si="35"/>
        <v>0</v>
      </c>
    </row>
    <row r="80" spans="1:30" ht="15" customHeight="1" x14ac:dyDescent="0.35">
      <c r="A80" s="2"/>
      <c r="B80" s="3"/>
      <c r="C80" s="4"/>
      <c r="D80" s="5"/>
      <c r="E80" s="11" t="str">
        <f t="shared" ca="1" si="18"/>
        <v/>
      </c>
      <c r="F80" s="5"/>
      <c r="G80" s="6" t="str">
        <f>IF(AND($A80&lt;&gt;"",$B80&lt;&gt;"",$C80&lt;&gt;"",$D80&lt;&gt;""),IF(OR($B80="SER",$B80="PLH",$B80="CSF"),"Control CDI Plate "&amp;(INT(((COUNTIFS($B$2:$B80,"SER")+COUNTIFS($B$2:$B80,"PLH")+COUNTIFS($B$2:$B80,"CSF"))-1)/96)+1)&amp;": "&amp;CHAR(65+INT(MOD((COUNTIFS($B$2:$B80,"SER")+COUNTIFS($B$2:$B80,"PLH")+COUNTIFS($B$2:$B80,"CSF"))-1,96)/12))&amp;(MOD((COUNTIFS($B$2:$B80,"SER")+COUNTIFS($B$2:$B80,"PLH")+COUNTIFS($B$2:$B80,"CSF"))-1,12)+1),"N/A"),"")</f>
        <v/>
      </c>
      <c r="H80" s="6" t="str">
        <f>IF(AND($A80&lt;&gt;"",$B80&lt;&gt;"",$C80&lt;&gt;"",$D80&lt;&gt;""),IF(OR($B80="SER",$B80="PLH",$B80="CSF"),"Control NIH Plate "&amp;(INT(((COUNTIFS($B$2:$B80,"SER")+COUNTIFS($B$2:$B80,"PLH")+COUNTIFS($B$2:$B80,"CSF"))-1)/96)+1)&amp;": "&amp;CHAR(65+INT(MOD((COUNTIFS($B$2:$B80,"SER")+COUNTIFS($B$2:$B80,"PLH")+COUNTIFS($B$2:$B80,"CSF"))-1,96)/12))&amp;(MOD((COUNTIFS($B$2:$B80,"SER")+COUNTIFS($B$2:$B80,"PLH")+COUNTIFS($B$2:$B80,"CSF"))-1,12)+1),"N/A"),"")</f>
        <v/>
      </c>
      <c r="I80" s="6" t="str">
        <f>IF(AND($A80&lt;&gt;"",$B80&lt;&gt;"",$C80&lt;&gt;"",$D80&lt;&gt;""),IF(OR($B80="SER",$B80="PLH"),"Control MAX Planck Plate "&amp;(INT(((COUNTIFS($B$2:$B80,"SER")+COUNTIFS($B$2:$B80,"PLH"))-1)/96)+1)&amp;": "&amp;CHAR(65+INT(MOD((COUNTIFS($B$2:$B80,"SER")+COUNTIFS($B$2:$B80,"PLH"))-1,96)/12))&amp;(MOD((COUNTIFS($B$2:$B80,"SER")+COUNTIFS($B$2:$B80,"PLH"))-1,12)+1),"N/A"),"")</f>
        <v/>
      </c>
      <c r="J80" s="6" t="str">
        <f>IF(AND($A80&lt;&gt;"",$B80&lt;&gt;"",$C80&lt;&gt;"",$D80&lt;&gt;""),IF($B80="WB","Control WB Box "&amp;(INT((COUNTIFS($B$2:$B80,"WB")-1)/81)+1)&amp;": "&amp;CHAR(65+INT(MOD(COUNTIFS($B$2:$B80,"WB")-1,81)/9))&amp;(MOD(COUNTIFS($B$2:$B80,"WB")-1,9)+1),"N/A"),"")</f>
        <v/>
      </c>
      <c r="K80" s="3" t="str">
        <f t="shared" si="19"/>
        <v/>
      </c>
      <c r="L80" s="2"/>
      <c r="M80" s="2"/>
      <c r="N80" s="2"/>
      <c r="O80" s="7" t="str">
        <f t="shared" si="20"/>
        <v/>
      </c>
      <c r="P80" s="7" t="str">
        <f t="shared" si="21"/>
        <v/>
      </c>
      <c r="Q80" s="7" t="str">
        <f t="shared" si="22"/>
        <v/>
      </c>
      <c r="R80" s="7" t="str">
        <f t="shared" si="23"/>
        <v/>
      </c>
      <c r="S80" s="7" t="str">
        <f t="shared" si="24"/>
        <v/>
      </c>
      <c r="T80" s="7" t="str">
        <f t="shared" si="25"/>
        <v/>
      </c>
      <c r="U80" s="7" t="str">
        <f t="shared" si="26"/>
        <v/>
      </c>
      <c r="V80" s="7" t="str">
        <f t="shared" si="27"/>
        <v/>
      </c>
      <c r="W80" s="7" t="str">
        <f t="shared" si="28"/>
        <v/>
      </c>
      <c r="X80" s="7" t="str">
        <f t="shared" si="29"/>
        <v/>
      </c>
      <c r="Y80">
        <f t="shared" si="30"/>
        <v>0</v>
      </c>
      <c r="Z80" t="str">
        <f t="shared" si="31"/>
        <v/>
      </c>
      <c r="AA80" t="str">
        <f t="shared" si="32"/>
        <v/>
      </c>
      <c r="AB80" t="str">
        <f t="shared" si="33"/>
        <v/>
      </c>
      <c r="AC80" t="str">
        <f t="shared" si="34"/>
        <v/>
      </c>
      <c r="AD80">
        <f t="shared" si="35"/>
        <v>0</v>
      </c>
    </row>
    <row r="81" spans="1:30" ht="15" customHeight="1" x14ac:dyDescent="0.35">
      <c r="A81" s="2"/>
      <c r="B81" s="3"/>
      <c r="C81" s="4"/>
      <c r="D81" s="5"/>
      <c r="E81" s="11" t="str">
        <f t="shared" ca="1" si="18"/>
        <v/>
      </c>
      <c r="F81" s="5"/>
      <c r="G81" s="6" t="str">
        <f>IF(AND($A81&lt;&gt;"",$B81&lt;&gt;"",$C81&lt;&gt;"",$D81&lt;&gt;""),IF(OR($B81="SER",$B81="PLH",$B81="CSF"),"Control CDI Plate "&amp;(INT(((COUNTIFS($B$2:$B81,"SER")+COUNTIFS($B$2:$B81,"PLH")+COUNTIFS($B$2:$B81,"CSF"))-1)/96)+1)&amp;": "&amp;CHAR(65+INT(MOD((COUNTIFS($B$2:$B81,"SER")+COUNTIFS($B$2:$B81,"PLH")+COUNTIFS($B$2:$B81,"CSF"))-1,96)/12))&amp;(MOD((COUNTIFS($B$2:$B81,"SER")+COUNTIFS($B$2:$B81,"PLH")+COUNTIFS($B$2:$B81,"CSF"))-1,12)+1),"N/A"),"")</f>
        <v/>
      </c>
      <c r="H81" s="6" t="str">
        <f>IF(AND($A81&lt;&gt;"",$B81&lt;&gt;"",$C81&lt;&gt;"",$D81&lt;&gt;""),IF(OR($B81="SER",$B81="PLH",$B81="CSF"),"Control NIH Plate "&amp;(INT(((COUNTIFS($B$2:$B81,"SER")+COUNTIFS($B$2:$B81,"PLH")+COUNTIFS($B$2:$B81,"CSF"))-1)/96)+1)&amp;": "&amp;CHAR(65+INT(MOD((COUNTIFS($B$2:$B81,"SER")+COUNTIFS($B$2:$B81,"PLH")+COUNTIFS($B$2:$B81,"CSF"))-1,96)/12))&amp;(MOD((COUNTIFS($B$2:$B81,"SER")+COUNTIFS($B$2:$B81,"PLH")+COUNTIFS($B$2:$B81,"CSF"))-1,12)+1),"N/A"),"")</f>
        <v/>
      </c>
      <c r="I81" s="6" t="str">
        <f>IF(AND($A81&lt;&gt;"",$B81&lt;&gt;"",$C81&lt;&gt;"",$D81&lt;&gt;""),IF(OR($B81="SER",$B81="PLH"),"Control MAX Planck Plate "&amp;(INT(((COUNTIFS($B$2:$B81,"SER")+COUNTIFS($B$2:$B81,"PLH"))-1)/96)+1)&amp;": "&amp;CHAR(65+INT(MOD((COUNTIFS($B$2:$B81,"SER")+COUNTIFS($B$2:$B81,"PLH"))-1,96)/12))&amp;(MOD((COUNTIFS($B$2:$B81,"SER")+COUNTIFS($B$2:$B81,"PLH"))-1,12)+1),"N/A"),"")</f>
        <v/>
      </c>
      <c r="J81" s="6" t="str">
        <f>IF(AND($A81&lt;&gt;"",$B81&lt;&gt;"",$C81&lt;&gt;"",$D81&lt;&gt;""),IF($B81="WB","Control WB Box "&amp;(INT((COUNTIFS($B$2:$B81,"WB")-1)/81)+1)&amp;": "&amp;CHAR(65+INT(MOD(COUNTIFS($B$2:$B81,"WB")-1,81)/9))&amp;(MOD(COUNTIFS($B$2:$B81,"WB")-1,9)+1),"N/A"),"")</f>
        <v/>
      </c>
      <c r="K81" s="3" t="str">
        <f t="shared" si="19"/>
        <v/>
      </c>
      <c r="L81" s="2"/>
      <c r="M81" s="2"/>
      <c r="N81" s="2"/>
      <c r="O81" s="7" t="str">
        <f t="shared" si="20"/>
        <v/>
      </c>
      <c r="P81" s="7" t="str">
        <f t="shared" si="21"/>
        <v/>
      </c>
      <c r="Q81" s="7" t="str">
        <f t="shared" si="22"/>
        <v/>
      </c>
      <c r="R81" s="7" t="str">
        <f t="shared" si="23"/>
        <v/>
      </c>
      <c r="S81" s="7" t="str">
        <f t="shared" si="24"/>
        <v/>
      </c>
      <c r="T81" s="7" t="str">
        <f t="shared" si="25"/>
        <v/>
      </c>
      <c r="U81" s="7" t="str">
        <f t="shared" si="26"/>
        <v/>
      </c>
      <c r="V81" s="7" t="str">
        <f t="shared" si="27"/>
        <v/>
      </c>
      <c r="W81" s="7" t="str">
        <f t="shared" si="28"/>
        <v/>
      </c>
      <c r="X81" s="7" t="str">
        <f t="shared" si="29"/>
        <v/>
      </c>
      <c r="Y81">
        <f t="shared" si="30"/>
        <v>0</v>
      </c>
      <c r="Z81" t="str">
        <f t="shared" si="31"/>
        <v/>
      </c>
      <c r="AA81" t="str">
        <f t="shared" si="32"/>
        <v/>
      </c>
      <c r="AB81" t="str">
        <f t="shared" si="33"/>
        <v/>
      </c>
      <c r="AC81" t="str">
        <f t="shared" si="34"/>
        <v/>
      </c>
      <c r="AD81">
        <f t="shared" si="35"/>
        <v>0</v>
      </c>
    </row>
    <row r="82" spans="1:30" ht="15" customHeight="1" x14ac:dyDescent="0.35">
      <c r="A82" s="2"/>
      <c r="B82" s="3"/>
      <c r="C82" s="4"/>
      <c r="D82" s="5"/>
      <c r="E82" s="11" t="str">
        <f t="shared" ca="1" si="18"/>
        <v/>
      </c>
      <c r="F82" s="5"/>
      <c r="G82" s="6" t="str">
        <f>IF(AND($A82&lt;&gt;"",$B82&lt;&gt;"",$C82&lt;&gt;"",$D82&lt;&gt;""),IF(OR($B82="SER",$B82="PLH",$B82="CSF"),"Control CDI Plate "&amp;(INT(((COUNTIFS($B$2:$B82,"SER")+COUNTIFS($B$2:$B82,"PLH")+COUNTIFS($B$2:$B82,"CSF"))-1)/96)+1)&amp;": "&amp;CHAR(65+INT(MOD((COUNTIFS($B$2:$B82,"SER")+COUNTIFS($B$2:$B82,"PLH")+COUNTIFS($B$2:$B82,"CSF"))-1,96)/12))&amp;(MOD((COUNTIFS($B$2:$B82,"SER")+COUNTIFS($B$2:$B82,"PLH")+COUNTIFS($B$2:$B82,"CSF"))-1,12)+1),"N/A"),"")</f>
        <v/>
      </c>
      <c r="H82" s="6" t="str">
        <f>IF(AND($A82&lt;&gt;"",$B82&lt;&gt;"",$C82&lt;&gt;"",$D82&lt;&gt;""),IF(OR($B82="SER",$B82="PLH",$B82="CSF"),"Control NIH Plate "&amp;(INT(((COUNTIFS($B$2:$B82,"SER")+COUNTIFS($B$2:$B82,"PLH")+COUNTIFS($B$2:$B82,"CSF"))-1)/96)+1)&amp;": "&amp;CHAR(65+INT(MOD((COUNTIFS($B$2:$B82,"SER")+COUNTIFS($B$2:$B82,"PLH")+COUNTIFS($B$2:$B82,"CSF"))-1,96)/12))&amp;(MOD((COUNTIFS($B$2:$B82,"SER")+COUNTIFS($B$2:$B82,"PLH")+COUNTIFS($B$2:$B82,"CSF"))-1,12)+1),"N/A"),"")</f>
        <v/>
      </c>
      <c r="I82" s="6" t="str">
        <f>IF(AND($A82&lt;&gt;"",$B82&lt;&gt;"",$C82&lt;&gt;"",$D82&lt;&gt;""),IF(OR($B82="SER",$B82="PLH"),"Control MAX Planck Plate "&amp;(INT(((COUNTIFS($B$2:$B82,"SER")+COUNTIFS($B$2:$B82,"PLH"))-1)/96)+1)&amp;": "&amp;CHAR(65+INT(MOD((COUNTIFS($B$2:$B82,"SER")+COUNTIFS($B$2:$B82,"PLH"))-1,96)/12))&amp;(MOD((COUNTIFS($B$2:$B82,"SER")+COUNTIFS($B$2:$B82,"PLH"))-1,12)+1),"N/A"),"")</f>
        <v/>
      </c>
      <c r="J82" s="6" t="str">
        <f>IF(AND($A82&lt;&gt;"",$B82&lt;&gt;"",$C82&lt;&gt;"",$D82&lt;&gt;""),IF($B82="WB","Control WB Box "&amp;(INT((COUNTIFS($B$2:$B82,"WB")-1)/81)+1)&amp;": "&amp;CHAR(65+INT(MOD(COUNTIFS($B$2:$B82,"WB")-1,81)/9))&amp;(MOD(COUNTIFS($B$2:$B82,"WB")-1,9)+1),"N/A"),"")</f>
        <v/>
      </c>
      <c r="K82" s="3" t="str">
        <f t="shared" si="19"/>
        <v/>
      </c>
      <c r="L82" s="2"/>
      <c r="M82" s="2"/>
      <c r="N82" s="2"/>
      <c r="O82" s="7" t="str">
        <f t="shared" si="20"/>
        <v/>
      </c>
      <c r="P82" s="7" t="str">
        <f t="shared" si="21"/>
        <v/>
      </c>
      <c r="Q82" s="7" t="str">
        <f t="shared" si="22"/>
        <v/>
      </c>
      <c r="R82" s="7" t="str">
        <f t="shared" si="23"/>
        <v/>
      </c>
      <c r="S82" s="7" t="str">
        <f t="shared" si="24"/>
        <v/>
      </c>
      <c r="T82" s="7" t="str">
        <f t="shared" si="25"/>
        <v/>
      </c>
      <c r="U82" s="7" t="str">
        <f t="shared" si="26"/>
        <v/>
      </c>
      <c r="V82" s="7" t="str">
        <f t="shared" si="27"/>
        <v/>
      </c>
      <c r="W82" s="7" t="str">
        <f t="shared" si="28"/>
        <v/>
      </c>
      <c r="X82" s="7" t="str">
        <f t="shared" si="29"/>
        <v/>
      </c>
      <c r="Y82">
        <f t="shared" si="30"/>
        <v>0</v>
      </c>
      <c r="Z82" t="str">
        <f t="shared" si="31"/>
        <v/>
      </c>
      <c r="AA82" t="str">
        <f t="shared" si="32"/>
        <v/>
      </c>
      <c r="AB82" t="str">
        <f t="shared" si="33"/>
        <v/>
      </c>
      <c r="AC82" t="str">
        <f t="shared" si="34"/>
        <v/>
      </c>
      <c r="AD82">
        <f t="shared" si="35"/>
        <v>0</v>
      </c>
    </row>
    <row r="83" spans="1:30" ht="15" customHeight="1" x14ac:dyDescent="0.35">
      <c r="A83" s="2"/>
      <c r="B83" s="3"/>
      <c r="C83" s="4"/>
      <c r="D83" s="5"/>
      <c r="E83" s="11" t="str">
        <f t="shared" ca="1" si="18"/>
        <v/>
      </c>
      <c r="F83" s="5"/>
      <c r="G83" s="6" t="str">
        <f>IF(AND($A83&lt;&gt;"",$B83&lt;&gt;"",$C83&lt;&gt;"",$D83&lt;&gt;""),IF(OR($B83="SER",$B83="PLH",$B83="CSF"),"Control CDI Plate "&amp;(INT(((COUNTIFS($B$2:$B83,"SER")+COUNTIFS($B$2:$B83,"PLH")+COUNTIFS($B$2:$B83,"CSF"))-1)/96)+1)&amp;": "&amp;CHAR(65+INT(MOD((COUNTIFS($B$2:$B83,"SER")+COUNTIFS($B$2:$B83,"PLH")+COUNTIFS($B$2:$B83,"CSF"))-1,96)/12))&amp;(MOD((COUNTIFS($B$2:$B83,"SER")+COUNTIFS($B$2:$B83,"PLH")+COUNTIFS($B$2:$B83,"CSF"))-1,12)+1),"N/A"),"")</f>
        <v/>
      </c>
      <c r="H83" s="6" t="str">
        <f>IF(AND($A83&lt;&gt;"",$B83&lt;&gt;"",$C83&lt;&gt;"",$D83&lt;&gt;""),IF(OR($B83="SER",$B83="PLH",$B83="CSF"),"Control NIH Plate "&amp;(INT(((COUNTIFS($B$2:$B83,"SER")+COUNTIFS($B$2:$B83,"PLH")+COUNTIFS($B$2:$B83,"CSF"))-1)/96)+1)&amp;": "&amp;CHAR(65+INT(MOD((COUNTIFS($B$2:$B83,"SER")+COUNTIFS($B$2:$B83,"PLH")+COUNTIFS($B$2:$B83,"CSF"))-1,96)/12))&amp;(MOD((COUNTIFS($B$2:$B83,"SER")+COUNTIFS($B$2:$B83,"PLH")+COUNTIFS($B$2:$B83,"CSF"))-1,12)+1),"N/A"),"")</f>
        <v/>
      </c>
      <c r="I83" s="6" t="str">
        <f>IF(AND($A83&lt;&gt;"",$B83&lt;&gt;"",$C83&lt;&gt;"",$D83&lt;&gt;""),IF(OR($B83="SER",$B83="PLH"),"Control MAX Planck Plate "&amp;(INT(((COUNTIFS($B$2:$B83,"SER")+COUNTIFS($B$2:$B83,"PLH"))-1)/96)+1)&amp;": "&amp;CHAR(65+INT(MOD((COUNTIFS($B$2:$B83,"SER")+COUNTIFS($B$2:$B83,"PLH"))-1,96)/12))&amp;(MOD((COUNTIFS($B$2:$B83,"SER")+COUNTIFS($B$2:$B83,"PLH"))-1,12)+1),"N/A"),"")</f>
        <v/>
      </c>
      <c r="J83" s="6" t="str">
        <f>IF(AND($A83&lt;&gt;"",$B83&lt;&gt;"",$C83&lt;&gt;"",$D83&lt;&gt;""),IF($B83="WB","Control WB Box "&amp;(INT((COUNTIFS($B$2:$B83,"WB")-1)/81)+1)&amp;": "&amp;CHAR(65+INT(MOD(COUNTIFS($B$2:$B83,"WB")-1,81)/9))&amp;(MOD(COUNTIFS($B$2:$B83,"WB")-1,9)+1),"N/A"),"")</f>
        <v/>
      </c>
      <c r="K83" s="3" t="str">
        <f t="shared" si="19"/>
        <v/>
      </c>
      <c r="L83" s="2"/>
      <c r="M83" s="2"/>
      <c r="N83" s="2"/>
      <c r="O83" s="7" t="str">
        <f t="shared" si="20"/>
        <v/>
      </c>
      <c r="P83" s="7" t="str">
        <f t="shared" si="21"/>
        <v/>
      </c>
      <c r="Q83" s="7" t="str">
        <f t="shared" si="22"/>
        <v/>
      </c>
      <c r="R83" s="7" t="str">
        <f t="shared" si="23"/>
        <v/>
      </c>
      <c r="S83" s="7" t="str">
        <f t="shared" si="24"/>
        <v/>
      </c>
      <c r="T83" s="7" t="str">
        <f t="shared" si="25"/>
        <v/>
      </c>
      <c r="U83" s="7" t="str">
        <f t="shared" si="26"/>
        <v/>
      </c>
      <c r="V83" s="7" t="str">
        <f t="shared" si="27"/>
        <v/>
      </c>
      <c r="W83" s="7" t="str">
        <f t="shared" si="28"/>
        <v/>
      </c>
      <c r="X83" s="7" t="str">
        <f t="shared" si="29"/>
        <v/>
      </c>
      <c r="Y83">
        <f t="shared" si="30"/>
        <v>0</v>
      </c>
      <c r="Z83" t="str">
        <f t="shared" si="31"/>
        <v/>
      </c>
      <c r="AA83" t="str">
        <f t="shared" si="32"/>
        <v/>
      </c>
      <c r="AB83" t="str">
        <f t="shared" si="33"/>
        <v/>
      </c>
      <c r="AC83" t="str">
        <f t="shared" si="34"/>
        <v/>
      </c>
      <c r="AD83">
        <f t="shared" si="35"/>
        <v>0</v>
      </c>
    </row>
    <row r="84" spans="1:30" ht="15" customHeight="1" x14ac:dyDescent="0.35">
      <c r="A84" s="2"/>
      <c r="B84" s="3"/>
      <c r="C84" s="4"/>
      <c r="D84" s="5"/>
      <c r="E84" s="11" t="str">
        <f t="shared" ca="1" si="18"/>
        <v/>
      </c>
      <c r="F84" s="5"/>
      <c r="G84" s="6" t="str">
        <f>IF(AND($A84&lt;&gt;"",$B84&lt;&gt;"",$C84&lt;&gt;"",$D84&lt;&gt;""),IF(OR($B84="SER",$B84="PLH",$B84="CSF"),"Control CDI Plate "&amp;(INT(((COUNTIFS($B$2:$B84,"SER")+COUNTIFS($B$2:$B84,"PLH")+COUNTIFS($B$2:$B84,"CSF"))-1)/96)+1)&amp;": "&amp;CHAR(65+INT(MOD((COUNTIFS($B$2:$B84,"SER")+COUNTIFS($B$2:$B84,"PLH")+COUNTIFS($B$2:$B84,"CSF"))-1,96)/12))&amp;(MOD((COUNTIFS($B$2:$B84,"SER")+COUNTIFS($B$2:$B84,"PLH")+COUNTIFS($B$2:$B84,"CSF"))-1,12)+1),"N/A"),"")</f>
        <v/>
      </c>
      <c r="H84" s="6" t="str">
        <f>IF(AND($A84&lt;&gt;"",$B84&lt;&gt;"",$C84&lt;&gt;"",$D84&lt;&gt;""),IF(OR($B84="SER",$B84="PLH",$B84="CSF"),"Control NIH Plate "&amp;(INT(((COUNTIFS($B$2:$B84,"SER")+COUNTIFS($B$2:$B84,"PLH")+COUNTIFS($B$2:$B84,"CSF"))-1)/96)+1)&amp;": "&amp;CHAR(65+INT(MOD((COUNTIFS($B$2:$B84,"SER")+COUNTIFS($B$2:$B84,"PLH")+COUNTIFS($B$2:$B84,"CSF"))-1,96)/12))&amp;(MOD((COUNTIFS($B$2:$B84,"SER")+COUNTIFS($B$2:$B84,"PLH")+COUNTIFS($B$2:$B84,"CSF"))-1,12)+1),"N/A"),"")</f>
        <v/>
      </c>
      <c r="I84" s="6" t="str">
        <f>IF(AND($A84&lt;&gt;"",$B84&lt;&gt;"",$C84&lt;&gt;"",$D84&lt;&gt;""),IF(OR($B84="SER",$B84="PLH"),"Control MAX Planck Plate "&amp;(INT(((COUNTIFS($B$2:$B84,"SER")+COUNTIFS($B$2:$B84,"PLH"))-1)/96)+1)&amp;": "&amp;CHAR(65+INT(MOD((COUNTIFS($B$2:$B84,"SER")+COUNTIFS($B$2:$B84,"PLH"))-1,96)/12))&amp;(MOD((COUNTIFS($B$2:$B84,"SER")+COUNTIFS($B$2:$B84,"PLH"))-1,12)+1),"N/A"),"")</f>
        <v/>
      </c>
      <c r="J84" s="6" t="str">
        <f>IF(AND($A84&lt;&gt;"",$B84&lt;&gt;"",$C84&lt;&gt;"",$D84&lt;&gt;""),IF($B84="WB","Control WB Box "&amp;(INT((COUNTIFS($B$2:$B84,"WB")-1)/81)+1)&amp;": "&amp;CHAR(65+INT(MOD(COUNTIFS($B$2:$B84,"WB")-1,81)/9))&amp;(MOD(COUNTIFS($B$2:$B84,"WB")-1,9)+1),"N/A"),"")</f>
        <v/>
      </c>
      <c r="K84" s="3" t="str">
        <f t="shared" si="19"/>
        <v/>
      </c>
      <c r="L84" s="2"/>
      <c r="M84" s="2"/>
      <c r="N84" s="2"/>
      <c r="O84" s="7" t="str">
        <f t="shared" si="20"/>
        <v/>
      </c>
      <c r="P84" s="7" t="str">
        <f t="shared" si="21"/>
        <v/>
      </c>
      <c r="Q84" s="7" t="str">
        <f t="shared" si="22"/>
        <v/>
      </c>
      <c r="R84" s="7" t="str">
        <f t="shared" si="23"/>
        <v/>
      </c>
      <c r="S84" s="7" t="str">
        <f t="shared" si="24"/>
        <v/>
      </c>
      <c r="T84" s="7" t="str">
        <f t="shared" si="25"/>
        <v/>
      </c>
      <c r="U84" s="7" t="str">
        <f t="shared" si="26"/>
        <v/>
      </c>
      <c r="V84" s="7" t="str">
        <f t="shared" si="27"/>
        <v/>
      </c>
      <c r="W84" s="7" t="str">
        <f t="shared" si="28"/>
        <v/>
      </c>
      <c r="X84" s="7" t="str">
        <f t="shared" si="29"/>
        <v/>
      </c>
      <c r="Y84">
        <f t="shared" si="30"/>
        <v>0</v>
      </c>
      <c r="Z84" t="str">
        <f t="shared" si="31"/>
        <v/>
      </c>
      <c r="AA84" t="str">
        <f t="shared" si="32"/>
        <v/>
      </c>
      <c r="AB84" t="str">
        <f t="shared" si="33"/>
        <v/>
      </c>
      <c r="AC84" t="str">
        <f t="shared" si="34"/>
        <v/>
      </c>
      <c r="AD84">
        <f t="shared" si="35"/>
        <v>0</v>
      </c>
    </row>
    <row r="85" spans="1:30" ht="15" customHeight="1" x14ac:dyDescent="0.35">
      <c r="A85" s="2"/>
      <c r="B85" s="3"/>
      <c r="C85" s="4"/>
      <c r="D85" s="5"/>
      <c r="E85" s="11" t="str">
        <f t="shared" ca="1" si="18"/>
        <v/>
      </c>
      <c r="F85" s="5"/>
      <c r="G85" s="6" t="str">
        <f>IF(AND($A85&lt;&gt;"",$B85&lt;&gt;"",$C85&lt;&gt;"",$D85&lt;&gt;""),IF(OR($B85="SER",$B85="PLH",$B85="CSF"),"Control CDI Plate "&amp;(INT(((COUNTIFS($B$2:$B85,"SER")+COUNTIFS($B$2:$B85,"PLH")+COUNTIFS($B$2:$B85,"CSF"))-1)/96)+1)&amp;": "&amp;CHAR(65+INT(MOD((COUNTIFS($B$2:$B85,"SER")+COUNTIFS($B$2:$B85,"PLH")+COUNTIFS($B$2:$B85,"CSF"))-1,96)/12))&amp;(MOD((COUNTIFS($B$2:$B85,"SER")+COUNTIFS($B$2:$B85,"PLH")+COUNTIFS($B$2:$B85,"CSF"))-1,12)+1),"N/A"),"")</f>
        <v/>
      </c>
      <c r="H85" s="6" t="str">
        <f>IF(AND($A85&lt;&gt;"",$B85&lt;&gt;"",$C85&lt;&gt;"",$D85&lt;&gt;""),IF(OR($B85="SER",$B85="PLH",$B85="CSF"),"Control NIH Plate "&amp;(INT(((COUNTIFS($B$2:$B85,"SER")+COUNTIFS($B$2:$B85,"PLH")+COUNTIFS($B$2:$B85,"CSF"))-1)/96)+1)&amp;": "&amp;CHAR(65+INT(MOD((COUNTIFS($B$2:$B85,"SER")+COUNTIFS($B$2:$B85,"PLH")+COUNTIFS($B$2:$B85,"CSF"))-1,96)/12))&amp;(MOD((COUNTIFS($B$2:$B85,"SER")+COUNTIFS($B$2:$B85,"PLH")+COUNTIFS($B$2:$B85,"CSF"))-1,12)+1),"N/A"),"")</f>
        <v/>
      </c>
      <c r="I85" s="6" t="str">
        <f>IF(AND($A85&lt;&gt;"",$B85&lt;&gt;"",$C85&lt;&gt;"",$D85&lt;&gt;""),IF(OR($B85="SER",$B85="PLH"),"Control MAX Planck Plate "&amp;(INT(((COUNTIFS($B$2:$B85,"SER")+COUNTIFS($B$2:$B85,"PLH"))-1)/96)+1)&amp;": "&amp;CHAR(65+INT(MOD((COUNTIFS($B$2:$B85,"SER")+COUNTIFS($B$2:$B85,"PLH"))-1,96)/12))&amp;(MOD((COUNTIFS($B$2:$B85,"SER")+COUNTIFS($B$2:$B85,"PLH"))-1,12)+1),"N/A"),"")</f>
        <v/>
      </c>
      <c r="J85" s="6" t="str">
        <f>IF(AND($A85&lt;&gt;"",$B85&lt;&gt;"",$C85&lt;&gt;"",$D85&lt;&gt;""),IF($B85="WB","Control WB Box "&amp;(INT((COUNTIFS($B$2:$B85,"WB")-1)/81)+1)&amp;": "&amp;CHAR(65+INT(MOD(COUNTIFS($B$2:$B85,"WB")-1,81)/9))&amp;(MOD(COUNTIFS($B$2:$B85,"WB")-1,9)+1),"N/A"),"")</f>
        <v/>
      </c>
      <c r="K85" s="3" t="str">
        <f t="shared" si="19"/>
        <v/>
      </c>
      <c r="L85" s="2"/>
      <c r="M85" s="2"/>
      <c r="N85" s="2"/>
      <c r="O85" s="7" t="str">
        <f t="shared" si="20"/>
        <v/>
      </c>
      <c r="P85" s="7" t="str">
        <f t="shared" si="21"/>
        <v/>
      </c>
      <c r="Q85" s="7" t="str">
        <f t="shared" si="22"/>
        <v/>
      </c>
      <c r="R85" s="7" t="str">
        <f t="shared" si="23"/>
        <v/>
      </c>
      <c r="S85" s="7" t="str">
        <f t="shared" si="24"/>
        <v/>
      </c>
      <c r="T85" s="7" t="str">
        <f t="shared" si="25"/>
        <v/>
      </c>
      <c r="U85" s="7" t="str">
        <f t="shared" si="26"/>
        <v/>
      </c>
      <c r="V85" s="7" t="str">
        <f t="shared" si="27"/>
        <v/>
      </c>
      <c r="W85" s="7" t="str">
        <f t="shared" si="28"/>
        <v/>
      </c>
      <c r="X85" s="7" t="str">
        <f t="shared" si="29"/>
        <v/>
      </c>
      <c r="Y85">
        <f t="shared" si="30"/>
        <v>0</v>
      </c>
      <c r="Z85" t="str">
        <f t="shared" si="31"/>
        <v/>
      </c>
      <c r="AA85" t="str">
        <f t="shared" si="32"/>
        <v/>
      </c>
      <c r="AB85" t="str">
        <f t="shared" si="33"/>
        <v/>
      </c>
      <c r="AC85" t="str">
        <f t="shared" si="34"/>
        <v/>
      </c>
      <c r="AD85">
        <f t="shared" si="35"/>
        <v>0</v>
      </c>
    </row>
    <row r="86" spans="1:30" ht="15" customHeight="1" x14ac:dyDescent="0.35">
      <c r="A86" s="2"/>
      <c r="B86" s="3"/>
      <c r="C86" s="4"/>
      <c r="D86" s="5"/>
      <c r="E86" s="11" t="str">
        <f t="shared" ca="1" si="18"/>
        <v/>
      </c>
      <c r="F86" s="5"/>
      <c r="G86" s="6" t="str">
        <f>IF(AND($A86&lt;&gt;"",$B86&lt;&gt;"",$C86&lt;&gt;"",$D86&lt;&gt;""),IF(OR($B86="SER",$B86="PLH",$B86="CSF"),"Control CDI Plate "&amp;(INT(((COUNTIFS($B$2:$B86,"SER")+COUNTIFS($B$2:$B86,"PLH")+COUNTIFS($B$2:$B86,"CSF"))-1)/96)+1)&amp;": "&amp;CHAR(65+INT(MOD((COUNTIFS($B$2:$B86,"SER")+COUNTIFS($B$2:$B86,"PLH")+COUNTIFS($B$2:$B86,"CSF"))-1,96)/12))&amp;(MOD((COUNTIFS($B$2:$B86,"SER")+COUNTIFS($B$2:$B86,"PLH")+COUNTIFS($B$2:$B86,"CSF"))-1,12)+1),"N/A"),"")</f>
        <v/>
      </c>
      <c r="H86" s="6" t="str">
        <f>IF(AND($A86&lt;&gt;"",$B86&lt;&gt;"",$C86&lt;&gt;"",$D86&lt;&gt;""),IF(OR($B86="SER",$B86="PLH",$B86="CSF"),"Control NIH Plate "&amp;(INT(((COUNTIFS($B$2:$B86,"SER")+COUNTIFS($B$2:$B86,"PLH")+COUNTIFS($B$2:$B86,"CSF"))-1)/96)+1)&amp;": "&amp;CHAR(65+INT(MOD((COUNTIFS($B$2:$B86,"SER")+COUNTIFS($B$2:$B86,"PLH")+COUNTIFS($B$2:$B86,"CSF"))-1,96)/12))&amp;(MOD((COUNTIFS($B$2:$B86,"SER")+COUNTIFS($B$2:$B86,"PLH")+COUNTIFS($B$2:$B86,"CSF"))-1,12)+1),"N/A"),"")</f>
        <v/>
      </c>
      <c r="I86" s="6" t="str">
        <f>IF(AND($A86&lt;&gt;"",$B86&lt;&gt;"",$C86&lt;&gt;"",$D86&lt;&gt;""),IF(OR($B86="SER",$B86="PLH"),"Control MAX Planck Plate "&amp;(INT(((COUNTIFS($B$2:$B86,"SER")+COUNTIFS($B$2:$B86,"PLH"))-1)/96)+1)&amp;": "&amp;CHAR(65+INT(MOD((COUNTIFS($B$2:$B86,"SER")+COUNTIFS($B$2:$B86,"PLH"))-1,96)/12))&amp;(MOD((COUNTIFS($B$2:$B86,"SER")+COUNTIFS($B$2:$B86,"PLH"))-1,12)+1),"N/A"),"")</f>
        <v/>
      </c>
      <c r="J86" s="6" t="str">
        <f>IF(AND($A86&lt;&gt;"",$B86&lt;&gt;"",$C86&lt;&gt;"",$D86&lt;&gt;""),IF($B86="WB","Control WB Box "&amp;(INT((COUNTIFS($B$2:$B86,"WB")-1)/81)+1)&amp;": "&amp;CHAR(65+INT(MOD(COUNTIFS($B$2:$B86,"WB")-1,81)/9))&amp;(MOD(COUNTIFS($B$2:$B86,"WB")-1,9)+1),"N/A"),"")</f>
        <v/>
      </c>
      <c r="K86" s="3" t="str">
        <f t="shared" si="19"/>
        <v/>
      </c>
      <c r="L86" s="2"/>
      <c r="M86" s="2"/>
      <c r="N86" s="2"/>
      <c r="O86" s="7" t="str">
        <f t="shared" si="20"/>
        <v/>
      </c>
      <c r="P86" s="7" t="str">
        <f t="shared" si="21"/>
        <v/>
      </c>
      <c r="Q86" s="7" t="str">
        <f t="shared" si="22"/>
        <v/>
      </c>
      <c r="R86" s="7" t="str">
        <f t="shared" si="23"/>
        <v/>
      </c>
      <c r="S86" s="7" t="str">
        <f t="shared" si="24"/>
        <v/>
      </c>
      <c r="T86" s="7" t="str">
        <f t="shared" si="25"/>
        <v/>
      </c>
      <c r="U86" s="7" t="str">
        <f t="shared" si="26"/>
        <v/>
      </c>
      <c r="V86" s="7" t="str">
        <f t="shared" si="27"/>
        <v/>
      </c>
      <c r="W86" s="7" t="str">
        <f t="shared" si="28"/>
        <v/>
      </c>
      <c r="X86" s="7" t="str">
        <f t="shared" si="29"/>
        <v/>
      </c>
      <c r="Y86">
        <f t="shared" si="30"/>
        <v>0</v>
      </c>
      <c r="Z86" t="str">
        <f t="shared" si="31"/>
        <v/>
      </c>
      <c r="AA86" t="str">
        <f t="shared" si="32"/>
        <v/>
      </c>
      <c r="AB86" t="str">
        <f t="shared" si="33"/>
        <v/>
      </c>
      <c r="AC86" t="str">
        <f t="shared" si="34"/>
        <v/>
      </c>
      <c r="AD86">
        <f t="shared" si="35"/>
        <v>0</v>
      </c>
    </row>
    <row r="87" spans="1:30" ht="15" customHeight="1" x14ac:dyDescent="0.35">
      <c r="A87" s="2"/>
      <c r="B87" s="3"/>
      <c r="C87" s="4"/>
      <c r="D87" s="5"/>
      <c r="E87" s="11" t="str">
        <f t="shared" ca="1" si="18"/>
        <v/>
      </c>
      <c r="F87" s="5"/>
      <c r="G87" s="6" t="str">
        <f>IF(AND($A87&lt;&gt;"",$B87&lt;&gt;"",$C87&lt;&gt;"",$D87&lt;&gt;""),IF(OR($B87="SER",$B87="PLH",$B87="CSF"),"Control CDI Plate "&amp;(INT(((COUNTIFS($B$2:$B87,"SER")+COUNTIFS($B$2:$B87,"PLH")+COUNTIFS($B$2:$B87,"CSF"))-1)/96)+1)&amp;": "&amp;CHAR(65+INT(MOD((COUNTIFS($B$2:$B87,"SER")+COUNTIFS($B$2:$B87,"PLH")+COUNTIFS($B$2:$B87,"CSF"))-1,96)/12))&amp;(MOD((COUNTIFS($B$2:$B87,"SER")+COUNTIFS($B$2:$B87,"PLH")+COUNTIFS($B$2:$B87,"CSF"))-1,12)+1),"N/A"),"")</f>
        <v/>
      </c>
      <c r="H87" s="6" t="str">
        <f>IF(AND($A87&lt;&gt;"",$B87&lt;&gt;"",$C87&lt;&gt;"",$D87&lt;&gt;""),IF(OR($B87="SER",$B87="PLH",$B87="CSF"),"Control NIH Plate "&amp;(INT(((COUNTIFS($B$2:$B87,"SER")+COUNTIFS($B$2:$B87,"PLH")+COUNTIFS($B$2:$B87,"CSF"))-1)/96)+1)&amp;": "&amp;CHAR(65+INT(MOD((COUNTIFS($B$2:$B87,"SER")+COUNTIFS($B$2:$B87,"PLH")+COUNTIFS($B$2:$B87,"CSF"))-1,96)/12))&amp;(MOD((COUNTIFS($B$2:$B87,"SER")+COUNTIFS($B$2:$B87,"PLH")+COUNTIFS($B$2:$B87,"CSF"))-1,12)+1),"N/A"),"")</f>
        <v/>
      </c>
      <c r="I87" s="6" t="str">
        <f>IF(AND($A87&lt;&gt;"",$B87&lt;&gt;"",$C87&lt;&gt;"",$D87&lt;&gt;""),IF(OR($B87="SER",$B87="PLH"),"Control MAX Planck Plate "&amp;(INT(((COUNTIFS($B$2:$B87,"SER")+COUNTIFS($B$2:$B87,"PLH"))-1)/96)+1)&amp;": "&amp;CHAR(65+INT(MOD((COUNTIFS($B$2:$B87,"SER")+COUNTIFS($B$2:$B87,"PLH"))-1,96)/12))&amp;(MOD((COUNTIFS($B$2:$B87,"SER")+COUNTIFS($B$2:$B87,"PLH"))-1,12)+1),"N/A"),"")</f>
        <v/>
      </c>
      <c r="J87" s="6" t="str">
        <f>IF(AND($A87&lt;&gt;"",$B87&lt;&gt;"",$C87&lt;&gt;"",$D87&lt;&gt;""),IF($B87="WB","Control WB Box "&amp;(INT((COUNTIFS($B$2:$B87,"WB")-1)/81)+1)&amp;": "&amp;CHAR(65+INT(MOD(COUNTIFS($B$2:$B87,"WB")-1,81)/9))&amp;(MOD(COUNTIFS($B$2:$B87,"WB")-1,9)+1),"N/A"),"")</f>
        <v/>
      </c>
      <c r="K87" s="3" t="str">
        <f t="shared" si="19"/>
        <v/>
      </c>
      <c r="L87" s="2"/>
      <c r="M87" s="2"/>
      <c r="N87" s="2"/>
      <c r="O87" s="7" t="str">
        <f t="shared" si="20"/>
        <v/>
      </c>
      <c r="P87" s="7" t="str">
        <f t="shared" si="21"/>
        <v/>
      </c>
      <c r="Q87" s="7" t="str">
        <f t="shared" si="22"/>
        <v/>
      </c>
      <c r="R87" s="7" t="str">
        <f t="shared" si="23"/>
        <v/>
      </c>
      <c r="S87" s="7" t="str">
        <f t="shared" si="24"/>
        <v/>
      </c>
      <c r="T87" s="7" t="str">
        <f t="shared" si="25"/>
        <v/>
      </c>
      <c r="U87" s="7" t="str">
        <f t="shared" si="26"/>
        <v/>
      </c>
      <c r="V87" s="7" t="str">
        <f t="shared" si="27"/>
        <v/>
      </c>
      <c r="W87" s="7" t="str">
        <f t="shared" si="28"/>
        <v/>
      </c>
      <c r="X87" s="7" t="str">
        <f t="shared" si="29"/>
        <v/>
      </c>
      <c r="Y87">
        <f t="shared" si="30"/>
        <v>0</v>
      </c>
      <c r="Z87" t="str">
        <f t="shared" si="31"/>
        <v/>
      </c>
      <c r="AA87" t="str">
        <f t="shared" si="32"/>
        <v/>
      </c>
      <c r="AB87" t="str">
        <f t="shared" si="33"/>
        <v/>
      </c>
      <c r="AC87" t="str">
        <f t="shared" si="34"/>
        <v/>
      </c>
      <c r="AD87">
        <f t="shared" si="35"/>
        <v>0</v>
      </c>
    </row>
    <row r="88" spans="1:30" ht="15" customHeight="1" x14ac:dyDescent="0.35">
      <c r="A88" s="2"/>
      <c r="B88" s="3"/>
      <c r="C88" s="4"/>
      <c r="D88" s="5"/>
      <c r="E88" s="11" t="str">
        <f t="shared" ca="1" si="18"/>
        <v/>
      </c>
      <c r="F88" s="5"/>
      <c r="G88" s="6" t="str">
        <f>IF(AND($A88&lt;&gt;"",$B88&lt;&gt;"",$C88&lt;&gt;"",$D88&lt;&gt;""),IF(OR($B88="SER",$B88="PLH",$B88="CSF"),"Control CDI Plate "&amp;(INT(((COUNTIFS($B$2:$B88,"SER")+COUNTIFS($B$2:$B88,"PLH")+COUNTIFS($B$2:$B88,"CSF"))-1)/96)+1)&amp;": "&amp;CHAR(65+INT(MOD((COUNTIFS($B$2:$B88,"SER")+COUNTIFS($B$2:$B88,"PLH")+COUNTIFS($B$2:$B88,"CSF"))-1,96)/12))&amp;(MOD((COUNTIFS($B$2:$B88,"SER")+COUNTIFS($B$2:$B88,"PLH")+COUNTIFS($B$2:$B88,"CSF"))-1,12)+1),"N/A"),"")</f>
        <v/>
      </c>
      <c r="H88" s="6" t="str">
        <f>IF(AND($A88&lt;&gt;"",$B88&lt;&gt;"",$C88&lt;&gt;"",$D88&lt;&gt;""),IF(OR($B88="SER",$B88="PLH",$B88="CSF"),"Control NIH Plate "&amp;(INT(((COUNTIFS($B$2:$B88,"SER")+COUNTIFS($B$2:$B88,"PLH")+COUNTIFS($B$2:$B88,"CSF"))-1)/96)+1)&amp;": "&amp;CHAR(65+INT(MOD((COUNTIFS($B$2:$B88,"SER")+COUNTIFS($B$2:$B88,"PLH")+COUNTIFS($B$2:$B88,"CSF"))-1,96)/12))&amp;(MOD((COUNTIFS($B$2:$B88,"SER")+COUNTIFS($B$2:$B88,"PLH")+COUNTIFS($B$2:$B88,"CSF"))-1,12)+1),"N/A"),"")</f>
        <v/>
      </c>
      <c r="I88" s="6" t="str">
        <f>IF(AND($A88&lt;&gt;"",$B88&lt;&gt;"",$C88&lt;&gt;"",$D88&lt;&gt;""),IF(OR($B88="SER",$B88="PLH"),"Control MAX Planck Plate "&amp;(INT(((COUNTIFS($B$2:$B88,"SER")+COUNTIFS($B$2:$B88,"PLH"))-1)/96)+1)&amp;": "&amp;CHAR(65+INT(MOD((COUNTIFS($B$2:$B88,"SER")+COUNTIFS($B$2:$B88,"PLH"))-1,96)/12))&amp;(MOD((COUNTIFS($B$2:$B88,"SER")+COUNTIFS($B$2:$B88,"PLH"))-1,12)+1),"N/A"),"")</f>
        <v/>
      </c>
      <c r="J88" s="6" t="str">
        <f>IF(AND($A88&lt;&gt;"",$B88&lt;&gt;"",$C88&lt;&gt;"",$D88&lt;&gt;""),IF($B88="WB","Control WB Box "&amp;(INT((COUNTIFS($B$2:$B88,"WB")-1)/81)+1)&amp;": "&amp;CHAR(65+INT(MOD(COUNTIFS($B$2:$B88,"WB")-1,81)/9))&amp;(MOD(COUNTIFS($B$2:$B88,"WB")-1,9)+1),"N/A"),"")</f>
        <v/>
      </c>
      <c r="K88" s="3" t="str">
        <f t="shared" si="19"/>
        <v/>
      </c>
      <c r="L88" s="2"/>
      <c r="M88" s="2"/>
      <c r="N88" s="2"/>
      <c r="O88" s="7" t="str">
        <f t="shared" si="20"/>
        <v/>
      </c>
      <c r="P88" s="7" t="str">
        <f t="shared" si="21"/>
        <v/>
      </c>
      <c r="Q88" s="7" t="str">
        <f t="shared" si="22"/>
        <v/>
      </c>
      <c r="R88" s="7" t="str">
        <f t="shared" si="23"/>
        <v/>
      </c>
      <c r="S88" s="7" t="str">
        <f t="shared" si="24"/>
        <v/>
      </c>
      <c r="T88" s="7" t="str">
        <f t="shared" si="25"/>
        <v/>
      </c>
      <c r="U88" s="7" t="str">
        <f t="shared" si="26"/>
        <v/>
      </c>
      <c r="V88" s="7" t="str">
        <f t="shared" si="27"/>
        <v/>
      </c>
      <c r="W88" s="7" t="str">
        <f t="shared" si="28"/>
        <v/>
      </c>
      <c r="X88" s="7" t="str">
        <f t="shared" si="29"/>
        <v/>
      </c>
      <c r="Y88">
        <f t="shared" si="30"/>
        <v>0</v>
      </c>
      <c r="Z88" t="str">
        <f t="shared" si="31"/>
        <v/>
      </c>
      <c r="AA88" t="str">
        <f t="shared" si="32"/>
        <v/>
      </c>
      <c r="AB88" t="str">
        <f t="shared" si="33"/>
        <v/>
      </c>
      <c r="AC88" t="str">
        <f t="shared" si="34"/>
        <v/>
      </c>
      <c r="AD88">
        <f t="shared" si="35"/>
        <v>0</v>
      </c>
    </row>
    <row r="89" spans="1:30" ht="15" customHeight="1" x14ac:dyDescent="0.35">
      <c r="A89" s="2"/>
      <c r="B89" s="3"/>
      <c r="C89" s="4"/>
      <c r="D89" s="5"/>
      <c r="E89" s="11" t="str">
        <f t="shared" ca="1" si="18"/>
        <v/>
      </c>
      <c r="F89" s="5"/>
      <c r="G89" s="6" t="str">
        <f>IF(AND($A89&lt;&gt;"",$B89&lt;&gt;"",$C89&lt;&gt;"",$D89&lt;&gt;""),IF(OR($B89="SER",$B89="PLH",$B89="CSF"),"Control CDI Plate "&amp;(INT(((COUNTIFS($B$2:$B89,"SER")+COUNTIFS($B$2:$B89,"PLH")+COUNTIFS($B$2:$B89,"CSF"))-1)/96)+1)&amp;": "&amp;CHAR(65+INT(MOD((COUNTIFS($B$2:$B89,"SER")+COUNTIFS($B$2:$B89,"PLH")+COUNTIFS($B$2:$B89,"CSF"))-1,96)/12))&amp;(MOD((COUNTIFS($B$2:$B89,"SER")+COUNTIFS($B$2:$B89,"PLH")+COUNTIFS($B$2:$B89,"CSF"))-1,12)+1),"N/A"),"")</f>
        <v/>
      </c>
      <c r="H89" s="6" t="str">
        <f>IF(AND($A89&lt;&gt;"",$B89&lt;&gt;"",$C89&lt;&gt;"",$D89&lt;&gt;""),IF(OR($B89="SER",$B89="PLH",$B89="CSF"),"Control NIH Plate "&amp;(INT(((COUNTIFS($B$2:$B89,"SER")+COUNTIFS($B$2:$B89,"PLH")+COUNTIFS($B$2:$B89,"CSF"))-1)/96)+1)&amp;": "&amp;CHAR(65+INT(MOD((COUNTIFS($B$2:$B89,"SER")+COUNTIFS($B$2:$B89,"PLH")+COUNTIFS($B$2:$B89,"CSF"))-1,96)/12))&amp;(MOD((COUNTIFS($B$2:$B89,"SER")+COUNTIFS($B$2:$B89,"PLH")+COUNTIFS($B$2:$B89,"CSF"))-1,12)+1),"N/A"),"")</f>
        <v/>
      </c>
      <c r="I89" s="6" t="str">
        <f>IF(AND($A89&lt;&gt;"",$B89&lt;&gt;"",$C89&lt;&gt;"",$D89&lt;&gt;""),IF(OR($B89="SER",$B89="PLH"),"Control MAX Planck Plate "&amp;(INT(((COUNTIFS($B$2:$B89,"SER")+COUNTIFS($B$2:$B89,"PLH"))-1)/96)+1)&amp;": "&amp;CHAR(65+INT(MOD((COUNTIFS($B$2:$B89,"SER")+COUNTIFS($B$2:$B89,"PLH"))-1,96)/12))&amp;(MOD((COUNTIFS($B$2:$B89,"SER")+COUNTIFS($B$2:$B89,"PLH"))-1,12)+1),"N/A"),"")</f>
        <v/>
      </c>
      <c r="J89" s="6" t="str">
        <f>IF(AND($A89&lt;&gt;"",$B89&lt;&gt;"",$C89&lt;&gt;"",$D89&lt;&gt;""),IF($B89="WB","Control WB Box "&amp;(INT((COUNTIFS($B$2:$B89,"WB")-1)/81)+1)&amp;": "&amp;CHAR(65+INT(MOD(COUNTIFS($B$2:$B89,"WB")-1,81)/9))&amp;(MOD(COUNTIFS($B$2:$B89,"WB")-1,9)+1),"N/A"),"")</f>
        <v/>
      </c>
      <c r="K89" s="3" t="str">
        <f t="shared" si="19"/>
        <v/>
      </c>
      <c r="L89" s="2"/>
      <c r="M89" s="2"/>
      <c r="N89" s="2"/>
      <c r="O89" s="7" t="str">
        <f t="shared" si="20"/>
        <v/>
      </c>
      <c r="P89" s="7" t="str">
        <f t="shared" si="21"/>
        <v/>
      </c>
      <c r="Q89" s="7" t="str">
        <f t="shared" si="22"/>
        <v/>
      </c>
      <c r="R89" s="7" t="str">
        <f t="shared" si="23"/>
        <v/>
      </c>
      <c r="S89" s="7" t="str">
        <f t="shared" si="24"/>
        <v/>
      </c>
      <c r="T89" s="7" t="str">
        <f t="shared" si="25"/>
        <v/>
      </c>
      <c r="U89" s="7" t="str">
        <f t="shared" si="26"/>
        <v/>
      </c>
      <c r="V89" s="7" t="str">
        <f t="shared" si="27"/>
        <v/>
      </c>
      <c r="W89" s="7" t="str">
        <f t="shared" si="28"/>
        <v/>
      </c>
      <c r="X89" s="7" t="str">
        <f t="shared" si="29"/>
        <v/>
      </c>
      <c r="Y89">
        <f t="shared" si="30"/>
        <v>0</v>
      </c>
      <c r="Z89" t="str">
        <f t="shared" si="31"/>
        <v/>
      </c>
      <c r="AA89" t="str">
        <f t="shared" si="32"/>
        <v/>
      </c>
      <c r="AB89" t="str">
        <f t="shared" si="33"/>
        <v/>
      </c>
      <c r="AC89" t="str">
        <f t="shared" si="34"/>
        <v/>
      </c>
      <c r="AD89">
        <f t="shared" si="35"/>
        <v>0</v>
      </c>
    </row>
    <row r="90" spans="1:30" ht="15" customHeight="1" x14ac:dyDescent="0.35">
      <c r="A90" s="2"/>
      <c r="B90" s="3"/>
      <c r="C90" s="4"/>
      <c r="D90" s="5"/>
      <c r="E90" s="11" t="str">
        <f t="shared" ca="1" si="18"/>
        <v/>
      </c>
      <c r="F90" s="5"/>
      <c r="G90" s="6" t="str">
        <f>IF(AND($A90&lt;&gt;"",$B90&lt;&gt;"",$C90&lt;&gt;"",$D90&lt;&gt;""),IF(OR($B90="SER",$B90="PLH",$B90="CSF"),"Control CDI Plate "&amp;(INT(((COUNTIFS($B$2:$B90,"SER")+COUNTIFS($B$2:$B90,"PLH")+COUNTIFS($B$2:$B90,"CSF"))-1)/96)+1)&amp;": "&amp;CHAR(65+INT(MOD((COUNTIFS($B$2:$B90,"SER")+COUNTIFS($B$2:$B90,"PLH")+COUNTIFS($B$2:$B90,"CSF"))-1,96)/12))&amp;(MOD((COUNTIFS($B$2:$B90,"SER")+COUNTIFS($B$2:$B90,"PLH")+COUNTIFS($B$2:$B90,"CSF"))-1,12)+1),"N/A"),"")</f>
        <v/>
      </c>
      <c r="H90" s="6" t="str">
        <f>IF(AND($A90&lt;&gt;"",$B90&lt;&gt;"",$C90&lt;&gt;"",$D90&lt;&gt;""),IF(OR($B90="SER",$B90="PLH",$B90="CSF"),"Control NIH Plate "&amp;(INT(((COUNTIFS($B$2:$B90,"SER")+COUNTIFS($B$2:$B90,"PLH")+COUNTIFS($B$2:$B90,"CSF"))-1)/96)+1)&amp;": "&amp;CHAR(65+INT(MOD((COUNTIFS($B$2:$B90,"SER")+COUNTIFS($B$2:$B90,"PLH")+COUNTIFS($B$2:$B90,"CSF"))-1,96)/12))&amp;(MOD((COUNTIFS($B$2:$B90,"SER")+COUNTIFS($B$2:$B90,"PLH")+COUNTIFS($B$2:$B90,"CSF"))-1,12)+1),"N/A"),"")</f>
        <v/>
      </c>
      <c r="I90" s="6" t="str">
        <f>IF(AND($A90&lt;&gt;"",$B90&lt;&gt;"",$C90&lt;&gt;"",$D90&lt;&gt;""),IF(OR($B90="SER",$B90="PLH"),"Control MAX Planck Plate "&amp;(INT(((COUNTIFS($B$2:$B90,"SER")+COUNTIFS($B$2:$B90,"PLH"))-1)/96)+1)&amp;": "&amp;CHAR(65+INT(MOD((COUNTIFS($B$2:$B90,"SER")+COUNTIFS($B$2:$B90,"PLH"))-1,96)/12))&amp;(MOD((COUNTIFS($B$2:$B90,"SER")+COUNTIFS($B$2:$B90,"PLH"))-1,12)+1),"N/A"),"")</f>
        <v/>
      </c>
      <c r="J90" s="6" t="str">
        <f>IF(AND($A90&lt;&gt;"",$B90&lt;&gt;"",$C90&lt;&gt;"",$D90&lt;&gt;""),IF($B90="WB","Control WB Box "&amp;(INT((COUNTIFS($B$2:$B90,"WB")-1)/81)+1)&amp;": "&amp;CHAR(65+INT(MOD(COUNTIFS($B$2:$B90,"WB")-1,81)/9))&amp;(MOD(COUNTIFS($B$2:$B90,"WB")-1,9)+1),"N/A"),"")</f>
        <v/>
      </c>
      <c r="K90" s="3" t="str">
        <f t="shared" si="19"/>
        <v/>
      </c>
      <c r="L90" s="2"/>
      <c r="M90" s="2"/>
      <c r="N90" s="2"/>
      <c r="O90" s="7" t="str">
        <f t="shared" si="20"/>
        <v/>
      </c>
      <c r="P90" s="7" t="str">
        <f t="shared" si="21"/>
        <v/>
      </c>
      <c r="Q90" s="7" t="str">
        <f t="shared" si="22"/>
        <v/>
      </c>
      <c r="R90" s="7" t="str">
        <f t="shared" si="23"/>
        <v/>
      </c>
      <c r="S90" s="7" t="str">
        <f t="shared" si="24"/>
        <v/>
      </c>
      <c r="T90" s="7" t="str">
        <f t="shared" si="25"/>
        <v/>
      </c>
      <c r="U90" s="7" t="str">
        <f t="shared" si="26"/>
        <v/>
      </c>
      <c r="V90" s="7" t="str">
        <f t="shared" si="27"/>
        <v/>
      </c>
      <c r="W90" s="7" t="str">
        <f t="shared" si="28"/>
        <v/>
      </c>
      <c r="X90" s="7" t="str">
        <f t="shared" si="29"/>
        <v/>
      </c>
      <c r="Y90">
        <f t="shared" si="30"/>
        <v>0</v>
      </c>
      <c r="Z90" t="str">
        <f t="shared" si="31"/>
        <v/>
      </c>
      <c r="AA90" t="str">
        <f t="shared" si="32"/>
        <v/>
      </c>
      <c r="AB90" t="str">
        <f t="shared" si="33"/>
        <v/>
      </c>
      <c r="AC90" t="str">
        <f t="shared" si="34"/>
        <v/>
      </c>
      <c r="AD90">
        <f t="shared" si="35"/>
        <v>0</v>
      </c>
    </row>
    <row r="91" spans="1:30" ht="15" customHeight="1" x14ac:dyDescent="0.35">
      <c r="A91" s="2"/>
      <c r="B91" s="3"/>
      <c r="C91" s="4"/>
      <c r="D91" s="5"/>
      <c r="E91" s="11" t="str">
        <f t="shared" ca="1" si="18"/>
        <v/>
      </c>
      <c r="F91" s="5"/>
      <c r="G91" s="6" t="str">
        <f>IF(AND($A91&lt;&gt;"",$B91&lt;&gt;"",$C91&lt;&gt;"",$D91&lt;&gt;""),IF(OR($B91="SER",$B91="PLH",$B91="CSF"),"Control CDI Plate "&amp;(INT(((COUNTIFS($B$2:$B91,"SER")+COUNTIFS($B$2:$B91,"PLH")+COUNTIFS($B$2:$B91,"CSF"))-1)/96)+1)&amp;": "&amp;CHAR(65+INT(MOD((COUNTIFS($B$2:$B91,"SER")+COUNTIFS($B$2:$B91,"PLH")+COUNTIFS($B$2:$B91,"CSF"))-1,96)/12))&amp;(MOD((COUNTIFS($B$2:$B91,"SER")+COUNTIFS($B$2:$B91,"PLH")+COUNTIFS($B$2:$B91,"CSF"))-1,12)+1),"N/A"),"")</f>
        <v/>
      </c>
      <c r="H91" s="6" t="str">
        <f>IF(AND($A91&lt;&gt;"",$B91&lt;&gt;"",$C91&lt;&gt;"",$D91&lt;&gt;""),IF(OR($B91="SER",$B91="PLH",$B91="CSF"),"Control NIH Plate "&amp;(INT(((COUNTIFS($B$2:$B91,"SER")+COUNTIFS($B$2:$B91,"PLH")+COUNTIFS($B$2:$B91,"CSF"))-1)/96)+1)&amp;": "&amp;CHAR(65+INT(MOD((COUNTIFS($B$2:$B91,"SER")+COUNTIFS($B$2:$B91,"PLH")+COUNTIFS($B$2:$B91,"CSF"))-1,96)/12))&amp;(MOD((COUNTIFS($B$2:$B91,"SER")+COUNTIFS($B$2:$B91,"PLH")+COUNTIFS($B$2:$B91,"CSF"))-1,12)+1),"N/A"),"")</f>
        <v/>
      </c>
      <c r="I91" s="6" t="str">
        <f>IF(AND($A91&lt;&gt;"",$B91&lt;&gt;"",$C91&lt;&gt;"",$D91&lt;&gt;""),IF(OR($B91="SER",$B91="PLH"),"Control MAX Planck Plate "&amp;(INT(((COUNTIFS($B$2:$B91,"SER")+COUNTIFS($B$2:$B91,"PLH"))-1)/96)+1)&amp;": "&amp;CHAR(65+INT(MOD((COUNTIFS($B$2:$B91,"SER")+COUNTIFS($B$2:$B91,"PLH"))-1,96)/12))&amp;(MOD((COUNTIFS($B$2:$B91,"SER")+COUNTIFS($B$2:$B91,"PLH"))-1,12)+1),"N/A"),"")</f>
        <v/>
      </c>
      <c r="J91" s="6" t="str">
        <f>IF(AND($A91&lt;&gt;"",$B91&lt;&gt;"",$C91&lt;&gt;"",$D91&lt;&gt;""),IF($B91="WB","Control WB Box "&amp;(INT((COUNTIFS($B$2:$B91,"WB")-1)/81)+1)&amp;": "&amp;CHAR(65+INT(MOD(COUNTIFS($B$2:$B91,"WB")-1,81)/9))&amp;(MOD(COUNTIFS($B$2:$B91,"WB")-1,9)+1),"N/A"),"")</f>
        <v/>
      </c>
      <c r="K91" s="3" t="str">
        <f t="shared" si="19"/>
        <v/>
      </c>
      <c r="L91" s="2"/>
      <c r="M91" s="2"/>
      <c r="N91" s="2"/>
      <c r="O91" s="7" t="str">
        <f t="shared" si="20"/>
        <v/>
      </c>
      <c r="P91" s="7" t="str">
        <f t="shared" si="21"/>
        <v/>
      </c>
      <c r="Q91" s="7" t="str">
        <f t="shared" si="22"/>
        <v/>
      </c>
      <c r="R91" s="7" t="str">
        <f t="shared" si="23"/>
        <v/>
      </c>
      <c r="S91" s="7" t="str">
        <f t="shared" si="24"/>
        <v/>
      </c>
      <c r="T91" s="7" t="str">
        <f t="shared" si="25"/>
        <v/>
      </c>
      <c r="U91" s="7" t="str">
        <f t="shared" si="26"/>
        <v/>
      </c>
      <c r="V91" s="7" t="str">
        <f t="shared" si="27"/>
        <v/>
      </c>
      <c r="W91" s="7" t="str">
        <f t="shared" si="28"/>
        <v/>
      </c>
      <c r="X91" s="7" t="str">
        <f t="shared" si="29"/>
        <v/>
      </c>
      <c r="Y91">
        <f t="shared" si="30"/>
        <v>0</v>
      </c>
      <c r="Z91" t="str">
        <f t="shared" si="31"/>
        <v/>
      </c>
      <c r="AA91" t="str">
        <f t="shared" si="32"/>
        <v/>
      </c>
      <c r="AB91" t="str">
        <f t="shared" si="33"/>
        <v/>
      </c>
      <c r="AC91" t="str">
        <f t="shared" si="34"/>
        <v/>
      </c>
      <c r="AD91">
        <f t="shared" si="35"/>
        <v>0</v>
      </c>
    </row>
    <row r="92" spans="1:30" ht="15" customHeight="1" x14ac:dyDescent="0.35">
      <c r="A92" s="2"/>
      <c r="B92" s="3"/>
      <c r="C92" s="4"/>
      <c r="D92" s="5"/>
      <c r="E92" s="11" t="str">
        <f t="shared" ca="1" si="18"/>
        <v/>
      </c>
      <c r="F92" s="5"/>
      <c r="G92" s="6" t="str">
        <f>IF(AND($A92&lt;&gt;"",$B92&lt;&gt;"",$C92&lt;&gt;"",$D92&lt;&gt;""),IF(OR($B92="SER",$B92="PLH",$B92="CSF"),"Control CDI Plate "&amp;(INT(((COUNTIFS($B$2:$B92,"SER")+COUNTIFS($B$2:$B92,"PLH")+COUNTIFS($B$2:$B92,"CSF"))-1)/96)+1)&amp;": "&amp;CHAR(65+INT(MOD((COUNTIFS($B$2:$B92,"SER")+COUNTIFS($B$2:$B92,"PLH")+COUNTIFS($B$2:$B92,"CSF"))-1,96)/12))&amp;(MOD((COUNTIFS($B$2:$B92,"SER")+COUNTIFS($B$2:$B92,"PLH")+COUNTIFS($B$2:$B92,"CSF"))-1,12)+1),"N/A"),"")</f>
        <v/>
      </c>
      <c r="H92" s="6" t="str">
        <f>IF(AND($A92&lt;&gt;"",$B92&lt;&gt;"",$C92&lt;&gt;"",$D92&lt;&gt;""),IF(OR($B92="SER",$B92="PLH",$B92="CSF"),"Control NIH Plate "&amp;(INT(((COUNTIFS($B$2:$B92,"SER")+COUNTIFS($B$2:$B92,"PLH")+COUNTIFS($B$2:$B92,"CSF"))-1)/96)+1)&amp;": "&amp;CHAR(65+INT(MOD((COUNTIFS($B$2:$B92,"SER")+COUNTIFS($B$2:$B92,"PLH")+COUNTIFS($B$2:$B92,"CSF"))-1,96)/12))&amp;(MOD((COUNTIFS($B$2:$B92,"SER")+COUNTIFS($B$2:$B92,"PLH")+COUNTIFS($B$2:$B92,"CSF"))-1,12)+1),"N/A"),"")</f>
        <v/>
      </c>
      <c r="I92" s="6" t="str">
        <f>IF(AND($A92&lt;&gt;"",$B92&lt;&gt;"",$C92&lt;&gt;"",$D92&lt;&gt;""),IF(OR($B92="SER",$B92="PLH"),"Control MAX Planck Plate "&amp;(INT(((COUNTIFS($B$2:$B92,"SER")+COUNTIFS($B$2:$B92,"PLH"))-1)/96)+1)&amp;": "&amp;CHAR(65+INT(MOD((COUNTIFS($B$2:$B92,"SER")+COUNTIFS($B$2:$B92,"PLH"))-1,96)/12))&amp;(MOD((COUNTIFS($B$2:$B92,"SER")+COUNTIFS($B$2:$B92,"PLH"))-1,12)+1),"N/A"),"")</f>
        <v/>
      </c>
      <c r="J92" s="6" t="str">
        <f>IF(AND($A92&lt;&gt;"",$B92&lt;&gt;"",$C92&lt;&gt;"",$D92&lt;&gt;""),IF($B92="WB","Control WB Box "&amp;(INT((COUNTIFS($B$2:$B92,"WB")-1)/81)+1)&amp;": "&amp;CHAR(65+INT(MOD(COUNTIFS($B$2:$B92,"WB")-1,81)/9))&amp;(MOD(COUNTIFS($B$2:$B92,"WB")-1,9)+1),"N/A"),"")</f>
        <v/>
      </c>
      <c r="K92" s="3" t="str">
        <f t="shared" si="19"/>
        <v/>
      </c>
      <c r="L92" s="2"/>
      <c r="M92" s="2"/>
      <c r="N92" s="2"/>
      <c r="O92" s="7" t="str">
        <f t="shared" si="20"/>
        <v/>
      </c>
      <c r="P92" s="7" t="str">
        <f t="shared" si="21"/>
        <v/>
      </c>
      <c r="Q92" s="7" t="str">
        <f t="shared" si="22"/>
        <v/>
      </c>
      <c r="R92" s="7" t="str">
        <f t="shared" si="23"/>
        <v/>
      </c>
      <c r="S92" s="7" t="str">
        <f t="shared" si="24"/>
        <v/>
      </c>
      <c r="T92" s="7" t="str">
        <f t="shared" si="25"/>
        <v/>
      </c>
      <c r="U92" s="7" t="str">
        <f t="shared" si="26"/>
        <v/>
      </c>
      <c r="V92" s="7" t="str">
        <f t="shared" si="27"/>
        <v/>
      </c>
      <c r="W92" s="7" t="str">
        <f t="shared" si="28"/>
        <v/>
      </c>
      <c r="X92" s="7" t="str">
        <f t="shared" si="29"/>
        <v/>
      </c>
      <c r="Y92">
        <f t="shared" si="30"/>
        <v>0</v>
      </c>
      <c r="Z92" t="str">
        <f t="shared" si="31"/>
        <v/>
      </c>
      <c r="AA92" t="str">
        <f t="shared" si="32"/>
        <v/>
      </c>
      <c r="AB92" t="str">
        <f t="shared" si="33"/>
        <v/>
      </c>
      <c r="AC92" t="str">
        <f t="shared" si="34"/>
        <v/>
      </c>
      <c r="AD92">
        <f t="shared" si="35"/>
        <v>0</v>
      </c>
    </row>
    <row r="93" spans="1:30" ht="15" customHeight="1" x14ac:dyDescent="0.35">
      <c r="A93" s="2"/>
      <c r="B93" s="3"/>
      <c r="C93" s="4"/>
      <c r="D93" s="5"/>
      <c r="E93" s="11" t="str">
        <f t="shared" ca="1" si="18"/>
        <v/>
      </c>
      <c r="F93" s="5"/>
      <c r="G93" s="6" t="str">
        <f>IF(AND($A93&lt;&gt;"",$B93&lt;&gt;"",$C93&lt;&gt;"",$D93&lt;&gt;""),IF(OR($B93="SER",$B93="PLH",$B93="CSF"),"Control CDI Plate "&amp;(INT(((COUNTIFS($B$2:$B93,"SER")+COUNTIFS($B$2:$B93,"PLH")+COUNTIFS($B$2:$B93,"CSF"))-1)/96)+1)&amp;": "&amp;CHAR(65+INT(MOD((COUNTIFS($B$2:$B93,"SER")+COUNTIFS($B$2:$B93,"PLH")+COUNTIFS($B$2:$B93,"CSF"))-1,96)/12))&amp;(MOD((COUNTIFS($B$2:$B93,"SER")+COUNTIFS($B$2:$B93,"PLH")+COUNTIFS($B$2:$B93,"CSF"))-1,12)+1),"N/A"),"")</f>
        <v/>
      </c>
      <c r="H93" s="6" t="str">
        <f>IF(AND($A93&lt;&gt;"",$B93&lt;&gt;"",$C93&lt;&gt;"",$D93&lt;&gt;""),IF(OR($B93="SER",$B93="PLH",$B93="CSF"),"Control NIH Plate "&amp;(INT(((COUNTIFS($B$2:$B93,"SER")+COUNTIFS($B$2:$B93,"PLH")+COUNTIFS($B$2:$B93,"CSF"))-1)/96)+1)&amp;": "&amp;CHAR(65+INT(MOD((COUNTIFS($B$2:$B93,"SER")+COUNTIFS($B$2:$B93,"PLH")+COUNTIFS($B$2:$B93,"CSF"))-1,96)/12))&amp;(MOD((COUNTIFS($B$2:$B93,"SER")+COUNTIFS($B$2:$B93,"PLH")+COUNTIFS($B$2:$B93,"CSF"))-1,12)+1),"N/A"),"")</f>
        <v/>
      </c>
      <c r="I93" s="6" t="str">
        <f>IF(AND($A93&lt;&gt;"",$B93&lt;&gt;"",$C93&lt;&gt;"",$D93&lt;&gt;""),IF(OR($B93="SER",$B93="PLH"),"Control MAX Planck Plate "&amp;(INT(((COUNTIFS($B$2:$B93,"SER")+COUNTIFS($B$2:$B93,"PLH"))-1)/96)+1)&amp;": "&amp;CHAR(65+INT(MOD((COUNTIFS($B$2:$B93,"SER")+COUNTIFS($B$2:$B93,"PLH"))-1,96)/12))&amp;(MOD((COUNTIFS($B$2:$B93,"SER")+COUNTIFS($B$2:$B93,"PLH"))-1,12)+1),"N/A"),"")</f>
        <v/>
      </c>
      <c r="J93" s="6" t="str">
        <f>IF(AND($A93&lt;&gt;"",$B93&lt;&gt;"",$C93&lt;&gt;"",$D93&lt;&gt;""),IF($B93="WB","Control WB Box "&amp;(INT((COUNTIFS($B$2:$B93,"WB")-1)/81)+1)&amp;": "&amp;CHAR(65+INT(MOD(COUNTIFS($B$2:$B93,"WB")-1,81)/9))&amp;(MOD(COUNTIFS($B$2:$B93,"WB")-1,9)+1),"N/A"),"")</f>
        <v/>
      </c>
      <c r="K93" s="3" t="str">
        <f t="shared" si="19"/>
        <v/>
      </c>
      <c r="L93" s="2"/>
      <c r="M93" s="2"/>
      <c r="N93" s="2"/>
      <c r="O93" s="7" t="str">
        <f t="shared" si="20"/>
        <v/>
      </c>
      <c r="P93" s="7" t="str">
        <f t="shared" si="21"/>
        <v/>
      </c>
      <c r="Q93" s="7" t="str">
        <f t="shared" si="22"/>
        <v/>
      </c>
      <c r="R93" s="7" t="str">
        <f t="shared" si="23"/>
        <v/>
      </c>
      <c r="S93" s="7" t="str">
        <f t="shared" si="24"/>
        <v/>
      </c>
      <c r="T93" s="7" t="str">
        <f t="shared" si="25"/>
        <v/>
      </c>
      <c r="U93" s="7" t="str">
        <f t="shared" si="26"/>
        <v/>
      </c>
      <c r="V93" s="7" t="str">
        <f t="shared" si="27"/>
        <v/>
      </c>
      <c r="W93" s="7" t="str">
        <f t="shared" si="28"/>
        <v/>
      </c>
      <c r="X93" s="7" t="str">
        <f t="shared" si="29"/>
        <v/>
      </c>
      <c r="Y93">
        <f t="shared" si="30"/>
        <v>0</v>
      </c>
      <c r="Z93" t="str">
        <f t="shared" si="31"/>
        <v/>
      </c>
      <c r="AA93" t="str">
        <f t="shared" si="32"/>
        <v/>
      </c>
      <c r="AB93" t="str">
        <f t="shared" si="33"/>
        <v/>
      </c>
      <c r="AC93" t="str">
        <f t="shared" si="34"/>
        <v/>
      </c>
      <c r="AD93">
        <f t="shared" si="35"/>
        <v>0</v>
      </c>
    </row>
    <row r="94" spans="1:30" ht="15" customHeight="1" x14ac:dyDescent="0.35">
      <c r="A94" s="2"/>
      <c r="B94" s="3"/>
      <c r="C94" s="4"/>
      <c r="D94" s="5"/>
      <c r="E94" s="11" t="str">
        <f t="shared" ca="1" si="18"/>
        <v/>
      </c>
      <c r="F94" s="5"/>
      <c r="G94" s="6" t="str">
        <f>IF(AND($A94&lt;&gt;"",$B94&lt;&gt;"",$C94&lt;&gt;"",$D94&lt;&gt;""),IF(OR($B94="SER",$B94="PLH",$B94="CSF"),"Control CDI Plate "&amp;(INT(((COUNTIFS($B$2:$B94,"SER")+COUNTIFS($B$2:$B94,"PLH")+COUNTIFS($B$2:$B94,"CSF"))-1)/96)+1)&amp;": "&amp;CHAR(65+INT(MOD((COUNTIFS($B$2:$B94,"SER")+COUNTIFS($B$2:$B94,"PLH")+COUNTIFS($B$2:$B94,"CSF"))-1,96)/12))&amp;(MOD((COUNTIFS($B$2:$B94,"SER")+COUNTIFS($B$2:$B94,"PLH")+COUNTIFS($B$2:$B94,"CSF"))-1,12)+1),"N/A"),"")</f>
        <v/>
      </c>
      <c r="H94" s="6" t="str">
        <f>IF(AND($A94&lt;&gt;"",$B94&lt;&gt;"",$C94&lt;&gt;"",$D94&lt;&gt;""),IF(OR($B94="SER",$B94="PLH",$B94="CSF"),"Control NIH Plate "&amp;(INT(((COUNTIFS($B$2:$B94,"SER")+COUNTIFS($B$2:$B94,"PLH")+COUNTIFS($B$2:$B94,"CSF"))-1)/96)+1)&amp;": "&amp;CHAR(65+INT(MOD((COUNTIFS($B$2:$B94,"SER")+COUNTIFS($B$2:$B94,"PLH")+COUNTIFS($B$2:$B94,"CSF"))-1,96)/12))&amp;(MOD((COUNTIFS($B$2:$B94,"SER")+COUNTIFS($B$2:$B94,"PLH")+COUNTIFS($B$2:$B94,"CSF"))-1,12)+1),"N/A"),"")</f>
        <v/>
      </c>
      <c r="I94" s="6" t="str">
        <f>IF(AND($A94&lt;&gt;"",$B94&lt;&gt;"",$C94&lt;&gt;"",$D94&lt;&gt;""),IF(OR($B94="SER",$B94="PLH"),"Control MAX Planck Plate "&amp;(INT(((COUNTIFS($B$2:$B94,"SER")+COUNTIFS($B$2:$B94,"PLH"))-1)/96)+1)&amp;": "&amp;CHAR(65+INT(MOD((COUNTIFS($B$2:$B94,"SER")+COUNTIFS($B$2:$B94,"PLH"))-1,96)/12))&amp;(MOD((COUNTIFS($B$2:$B94,"SER")+COUNTIFS($B$2:$B94,"PLH"))-1,12)+1),"N/A"),"")</f>
        <v/>
      </c>
      <c r="J94" s="6" t="str">
        <f>IF(AND($A94&lt;&gt;"",$B94&lt;&gt;"",$C94&lt;&gt;"",$D94&lt;&gt;""),IF($B94="WB","Control WB Box "&amp;(INT((COUNTIFS($B$2:$B94,"WB")-1)/81)+1)&amp;": "&amp;CHAR(65+INT(MOD(COUNTIFS($B$2:$B94,"WB")-1,81)/9))&amp;(MOD(COUNTIFS($B$2:$B94,"WB")-1,9)+1),"N/A"),"")</f>
        <v/>
      </c>
      <c r="K94" s="3" t="str">
        <f t="shared" si="19"/>
        <v/>
      </c>
      <c r="L94" s="2"/>
      <c r="M94" s="2"/>
      <c r="N94" s="2"/>
      <c r="O94" s="7" t="str">
        <f t="shared" si="20"/>
        <v/>
      </c>
      <c r="P94" s="7" t="str">
        <f t="shared" si="21"/>
        <v/>
      </c>
      <c r="Q94" s="7" t="str">
        <f t="shared" si="22"/>
        <v/>
      </c>
      <c r="R94" s="7" t="str">
        <f t="shared" si="23"/>
        <v/>
      </c>
      <c r="S94" s="7" t="str">
        <f t="shared" si="24"/>
        <v/>
      </c>
      <c r="T94" s="7" t="str">
        <f t="shared" si="25"/>
        <v/>
      </c>
      <c r="U94" s="7" t="str">
        <f t="shared" si="26"/>
        <v/>
      </c>
      <c r="V94" s="7" t="str">
        <f t="shared" si="27"/>
        <v/>
      </c>
      <c r="W94" s="7" t="str">
        <f t="shared" si="28"/>
        <v/>
      </c>
      <c r="X94" s="7" t="str">
        <f t="shared" si="29"/>
        <v/>
      </c>
      <c r="Y94">
        <f t="shared" si="30"/>
        <v>0</v>
      </c>
      <c r="Z94" t="str">
        <f t="shared" si="31"/>
        <v/>
      </c>
      <c r="AA94" t="str">
        <f t="shared" si="32"/>
        <v/>
      </c>
      <c r="AB94" t="str">
        <f t="shared" si="33"/>
        <v/>
      </c>
      <c r="AC94" t="str">
        <f t="shared" si="34"/>
        <v/>
      </c>
      <c r="AD94">
        <f t="shared" si="35"/>
        <v>0</v>
      </c>
    </row>
    <row r="95" spans="1:30" ht="15" customHeight="1" x14ac:dyDescent="0.35">
      <c r="A95" s="2"/>
      <c r="B95" s="3"/>
      <c r="C95" s="4"/>
      <c r="D95" s="5"/>
      <c r="E95" s="11" t="str">
        <f t="shared" ca="1" si="18"/>
        <v/>
      </c>
      <c r="F95" s="5"/>
      <c r="G95" s="6" t="str">
        <f>IF(AND($A95&lt;&gt;"",$B95&lt;&gt;"",$C95&lt;&gt;"",$D95&lt;&gt;""),IF(OR($B95="SER",$B95="PLH",$B95="CSF"),"Control CDI Plate "&amp;(INT(((COUNTIFS($B$2:$B95,"SER")+COUNTIFS($B$2:$B95,"PLH")+COUNTIFS($B$2:$B95,"CSF"))-1)/96)+1)&amp;": "&amp;CHAR(65+INT(MOD((COUNTIFS($B$2:$B95,"SER")+COUNTIFS($B$2:$B95,"PLH")+COUNTIFS($B$2:$B95,"CSF"))-1,96)/12))&amp;(MOD((COUNTIFS($B$2:$B95,"SER")+COUNTIFS($B$2:$B95,"PLH")+COUNTIFS($B$2:$B95,"CSF"))-1,12)+1),"N/A"),"")</f>
        <v/>
      </c>
      <c r="H95" s="6" t="str">
        <f>IF(AND($A95&lt;&gt;"",$B95&lt;&gt;"",$C95&lt;&gt;"",$D95&lt;&gt;""),IF(OR($B95="SER",$B95="PLH",$B95="CSF"),"Control NIH Plate "&amp;(INT(((COUNTIFS($B$2:$B95,"SER")+COUNTIFS($B$2:$B95,"PLH")+COUNTIFS($B$2:$B95,"CSF"))-1)/96)+1)&amp;": "&amp;CHAR(65+INT(MOD((COUNTIFS($B$2:$B95,"SER")+COUNTIFS($B$2:$B95,"PLH")+COUNTIFS($B$2:$B95,"CSF"))-1,96)/12))&amp;(MOD((COUNTIFS($B$2:$B95,"SER")+COUNTIFS($B$2:$B95,"PLH")+COUNTIFS($B$2:$B95,"CSF"))-1,12)+1),"N/A"),"")</f>
        <v/>
      </c>
      <c r="I95" s="6" t="str">
        <f>IF(AND($A95&lt;&gt;"",$B95&lt;&gt;"",$C95&lt;&gt;"",$D95&lt;&gt;""),IF(OR($B95="SER",$B95="PLH"),"Control MAX Planck Plate "&amp;(INT(((COUNTIFS($B$2:$B95,"SER")+COUNTIFS($B$2:$B95,"PLH"))-1)/96)+1)&amp;": "&amp;CHAR(65+INT(MOD((COUNTIFS($B$2:$B95,"SER")+COUNTIFS($B$2:$B95,"PLH"))-1,96)/12))&amp;(MOD((COUNTIFS($B$2:$B95,"SER")+COUNTIFS($B$2:$B95,"PLH"))-1,12)+1),"N/A"),"")</f>
        <v/>
      </c>
      <c r="J95" s="6" t="str">
        <f>IF(AND($A95&lt;&gt;"",$B95&lt;&gt;"",$C95&lt;&gt;"",$D95&lt;&gt;""),IF($B95="WB","Control WB Box "&amp;(INT((COUNTIFS($B$2:$B95,"WB")-1)/81)+1)&amp;": "&amp;CHAR(65+INT(MOD(COUNTIFS($B$2:$B95,"WB")-1,81)/9))&amp;(MOD(COUNTIFS($B$2:$B95,"WB")-1,9)+1),"N/A"),"")</f>
        <v/>
      </c>
      <c r="K95" s="3" t="str">
        <f t="shared" si="19"/>
        <v/>
      </c>
      <c r="L95" s="2"/>
      <c r="M95" s="2"/>
      <c r="N95" s="2"/>
      <c r="O95" s="7" t="str">
        <f t="shared" si="20"/>
        <v/>
      </c>
      <c r="P95" s="7" t="str">
        <f t="shared" si="21"/>
        <v/>
      </c>
      <c r="Q95" s="7" t="str">
        <f t="shared" si="22"/>
        <v/>
      </c>
      <c r="R95" s="7" t="str">
        <f t="shared" si="23"/>
        <v/>
      </c>
      <c r="S95" s="7" t="str">
        <f t="shared" si="24"/>
        <v/>
      </c>
      <c r="T95" s="7" t="str">
        <f t="shared" si="25"/>
        <v/>
      </c>
      <c r="U95" s="7" t="str">
        <f t="shared" si="26"/>
        <v/>
      </c>
      <c r="V95" s="7" t="str">
        <f t="shared" si="27"/>
        <v/>
      </c>
      <c r="W95" s="7" t="str">
        <f t="shared" si="28"/>
        <v/>
      </c>
      <c r="X95" s="7" t="str">
        <f t="shared" si="29"/>
        <v/>
      </c>
      <c r="Y95">
        <f t="shared" si="30"/>
        <v>0</v>
      </c>
      <c r="Z95" t="str">
        <f t="shared" si="31"/>
        <v/>
      </c>
      <c r="AA95" t="str">
        <f t="shared" si="32"/>
        <v/>
      </c>
      <c r="AB95" t="str">
        <f t="shared" si="33"/>
        <v/>
      </c>
      <c r="AC95" t="str">
        <f t="shared" si="34"/>
        <v/>
      </c>
      <c r="AD95">
        <f t="shared" si="35"/>
        <v>0</v>
      </c>
    </row>
    <row r="96" spans="1:30" ht="15" customHeight="1" x14ac:dyDescent="0.35">
      <c r="A96" s="2"/>
      <c r="B96" s="3"/>
      <c r="C96" s="4"/>
      <c r="D96" s="5"/>
      <c r="E96" s="11" t="str">
        <f t="shared" ca="1" si="18"/>
        <v/>
      </c>
      <c r="F96" s="5"/>
      <c r="G96" s="6" t="str">
        <f>IF(AND($A96&lt;&gt;"",$B96&lt;&gt;"",$C96&lt;&gt;"",$D96&lt;&gt;""),IF(OR($B96="SER",$B96="PLH",$B96="CSF"),"Control CDI Plate "&amp;(INT(((COUNTIFS($B$2:$B96,"SER")+COUNTIFS($B$2:$B96,"PLH")+COUNTIFS($B$2:$B96,"CSF"))-1)/96)+1)&amp;": "&amp;CHAR(65+INT(MOD((COUNTIFS($B$2:$B96,"SER")+COUNTIFS($B$2:$B96,"PLH")+COUNTIFS($B$2:$B96,"CSF"))-1,96)/12))&amp;(MOD((COUNTIFS($B$2:$B96,"SER")+COUNTIFS($B$2:$B96,"PLH")+COUNTIFS($B$2:$B96,"CSF"))-1,12)+1),"N/A"),"")</f>
        <v/>
      </c>
      <c r="H96" s="6" t="str">
        <f>IF(AND($A96&lt;&gt;"",$B96&lt;&gt;"",$C96&lt;&gt;"",$D96&lt;&gt;""),IF(OR($B96="SER",$B96="PLH",$B96="CSF"),"Control NIH Plate "&amp;(INT(((COUNTIFS($B$2:$B96,"SER")+COUNTIFS($B$2:$B96,"PLH")+COUNTIFS($B$2:$B96,"CSF"))-1)/96)+1)&amp;": "&amp;CHAR(65+INT(MOD((COUNTIFS($B$2:$B96,"SER")+COUNTIFS($B$2:$B96,"PLH")+COUNTIFS($B$2:$B96,"CSF"))-1,96)/12))&amp;(MOD((COUNTIFS($B$2:$B96,"SER")+COUNTIFS($B$2:$B96,"PLH")+COUNTIFS($B$2:$B96,"CSF"))-1,12)+1),"N/A"),"")</f>
        <v/>
      </c>
      <c r="I96" s="6" t="str">
        <f>IF(AND($A96&lt;&gt;"",$B96&lt;&gt;"",$C96&lt;&gt;"",$D96&lt;&gt;""),IF(OR($B96="SER",$B96="PLH"),"Control MAX Planck Plate "&amp;(INT(((COUNTIFS($B$2:$B96,"SER")+COUNTIFS($B$2:$B96,"PLH"))-1)/96)+1)&amp;": "&amp;CHAR(65+INT(MOD((COUNTIFS($B$2:$B96,"SER")+COUNTIFS($B$2:$B96,"PLH"))-1,96)/12))&amp;(MOD((COUNTIFS($B$2:$B96,"SER")+COUNTIFS($B$2:$B96,"PLH"))-1,12)+1),"N/A"),"")</f>
        <v/>
      </c>
      <c r="J96" s="6" t="str">
        <f>IF(AND($A96&lt;&gt;"",$B96&lt;&gt;"",$C96&lt;&gt;"",$D96&lt;&gt;""),IF($B96="WB","Control WB Box "&amp;(INT((COUNTIFS($B$2:$B96,"WB")-1)/81)+1)&amp;": "&amp;CHAR(65+INT(MOD(COUNTIFS($B$2:$B96,"WB")-1,81)/9))&amp;(MOD(COUNTIFS($B$2:$B96,"WB")-1,9)+1),"N/A"),"")</f>
        <v/>
      </c>
      <c r="K96" s="3" t="str">
        <f t="shared" si="19"/>
        <v/>
      </c>
      <c r="L96" s="2"/>
      <c r="M96" s="2"/>
      <c r="N96" s="2"/>
      <c r="O96" s="7" t="str">
        <f t="shared" si="20"/>
        <v/>
      </c>
      <c r="P96" s="7" t="str">
        <f t="shared" si="21"/>
        <v/>
      </c>
      <c r="Q96" s="7" t="str">
        <f t="shared" si="22"/>
        <v/>
      </c>
      <c r="R96" s="7" t="str">
        <f t="shared" si="23"/>
        <v/>
      </c>
      <c r="S96" s="7" t="str">
        <f t="shared" si="24"/>
        <v/>
      </c>
      <c r="T96" s="7" t="str">
        <f t="shared" si="25"/>
        <v/>
      </c>
      <c r="U96" s="7" t="str">
        <f t="shared" si="26"/>
        <v/>
      </c>
      <c r="V96" s="7" t="str">
        <f t="shared" si="27"/>
        <v/>
      </c>
      <c r="W96" s="7" t="str">
        <f t="shared" si="28"/>
        <v/>
      </c>
      <c r="X96" s="7" t="str">
        <f t="shared" si="29"/>
        <v/>
      </c>
      <c r="Y96">
        <f t="shared" si="30"/>
        <v>0</v>
      </c>
      <c r="Z96" t="str">
        <f t="shared" si="31"/>
        <v/>
      </c>
      <c r="AA96" t="str">
        <f t="shared" si="32"/>
        <v/>
      </c>
      <c r="AB96" t="str">
        <f t="shared" si="33"/>
        <v/>
      </c>
      <c r="AC96" t="str">
        <f t="shared" si="34"/>
        <v/>
      </c>
      <c r="AD96">
        <f t="shared" si="35"/>
        <v>0</v>
      </c>
    </row>
    <row r="97" spans="1:30" ht="15" customHeight="1" x14ac:dyDescent="0.35">
      <c r="A97" s="2"/>
      <c r="B97" s="3"/>
      <c r="C97" s="4"/>
      <c r="D97" s="5"/>
      <c r="E97" s="11" t="str">
        <f t="shared" ca="1" si="18"/>
        <v/>
      </c>
      <c r="F97" s="5"/>
      <c r="G97" s="6" t="str">
        <f>IF(AND($A97&lt;&gt;"",$B97&lt;&gt;"",$C97&lt;&gt;"",$D97&lt;&gt;""),IF(OR($B97="SER",$B97="PLH",$B97="CSF"),"Control CDI Plate "&amp;(INT(((COUNTIFS($B$2:$B97,"SER")+COUNTIFS($B$2:$B97,"PLH")+COUNTIFS($B$2:$B97,"CSF"))-1)/96)+1)&amp;": "&amp;CHAR(65+INT(MOD((COUNTIFS($B$2:$B97,"SER")+COUNTIFS($B$2:$B97,"PLH")+COUNTIFS($B$2:$B97,"CSF"))-1,96)/12))&amp;(MOD((COUNTIFS($B$2:$B97,"SER")+COUNTIFS($B$2:$B97,"PLH")+COUNTIFS($B$2:$B97,"CSF"))-1,12)+1),"N/A"),"")</f>
        <v/>
      </c>
      <c r="H97" s="6" t="str">
        <f>IF(AND($A97&lt;&gt;"",$B97&lt;&gt;"",$C97&lt;&gt;"",$D97&lt;&gt;""),IF(OR($B97="SER",$B97="PLH",$B97="CSF"),"Control NIH Plate "&amp;(INT(((COUNTIFS($B$2:$B97,"SER")+COUNTIFS($B$2:$B97,"PLH")+COUNTIFS($B$2:$B97,"CSF"))-1)/96)+1)&amp;": "&amp;CHAR(65+INT(MOD((COUNTIFS($B$2:$B97,"SER")+COUNTIFS($B$2:$B97,"PLH")+COUNTIFS($B$2:$B97,"CSF"))-1,96)/12))&amp;(MOD((COUNTIFS($B$2:$B97,"SER")+COUNTIFS($B$2:$B97,"PLH")+COUNTIFS($B$2:$B97,"CSF"))-1,12)+1),"N/A"),"")</f>
        <v/>
      </c>
      <c r="I97" s="6" t="str">
        <f>IF(AND($A97&lt;&gt;"",$B97&lt;&gt;"",$C97&lt;&gt;"",$D97&lt;&gt;""),IF(OR($B97="SER",$B97="PLH"),"Control MAX Planck Plate "&amp;(INT(((COUNTIFS($B$2:$B97,"SER")+COUNTIFS($B$2:$B97,"PLH"))-1)/96)+1)&amp;": "&amp;CHAR(65+INT(MOD((COUNTIFS($B$2:$B97,"SER")+COUNTIFS($B$2:$B97,"PLH"))-1,96)/12))&amp;(MOD((COUNTIFS($B$2:$B97,"SER")+COUNTIFS($B$2:$B97,"PLH"))-1,12)+1),"N/A"),"")</f>
        <v/>
      </c>
      <c r="J97" s="6" t="str">
        <f>IF(AND($A97&lt;&gt;"",$B97&lt;&gt;"",$C97&lt;&gt;"",$D97&lt;&gt;""),IF($B97="WB","Control WB Box "&amp;(INT((COUNTIFS($B$2:$B97,"WB")-1)/81)+1)&amp;": "&amp;CHAR(65+INT(MOD(COUNTIFS($B$2:$B97,"WB")-1,81)/9))&amp;(MOD(COUNTIFS($B$2:$B97,"WB")-1,9)+1),"N/A"),"")</f>
        <v/>
      </c>
      <c r="K97" s="3" t="str">
        <f t="shared" si="19"/>
        <v/>
      </c>
      <c r="L97" s="2"/>
      <c r="M97" s="2"/>
      <c r="N97" s="2"/>
      <c r="O97" s="7" t="str">
        <f t="shared" si="20"/>
        <v/>
      </c>
      <c r="P97" s="7" t="str">
        <f t="shared" si="21"/>
        <v/>
      </c>
      <c r="Q97" s="7" t="str">
        <f t="shared" si="22"/>
        <v/>
      </c>
      <c r="R97" s="7" t="str">
        <f t="shared" si="23"/>
        <v/>
      </c>
      <c r="S97" s="7" t="str">
        <f t="shared" si="24"/>
        <v/>
      </c>
      <c r="T97" s="7" t="str">
        <f t="shared" si="25"/>
        <v/>
      </c>
      <c r="U97" s="7" t="str">
        <f t="shared" si="26"/>
        <v/>
      </c>
      <c r="V97" s="7" t="str">
        <f t="shared" si="27"/>
        <v/>
      </c>
      <c r="W97" s="7" t="str">
        <f t="shared" si="28"/>
        <v/>
      </c>
      <c r="X97" s="7" t="str">
        <f t="shared" si="29"/>
        <v/>
      </c>
      <c r="Y97">
        <f t="shared" si="30"/>
        <v>0</v>
      </c>
      <c r="Z97" t="str">
        <f t="shared" si="31"/>
        <v/>
      </c>
      <c r="AA97" t="str">
        <f t="shared" si="32"/>
        <v/>
      </c>
      <c r="AB97" t="str">
        <f t="shared" si="33"/>
        <v/>
      </c>
      <c r="AC97" t="str">
        <f t="shared" si="34"/>
        <v/>
      </c>
      <c r="AD97">
        <f t="shared" si="35"/>
        <v>0</v>
      </c>
    </row>
    <row r="98" spans="1:30" ht="15" customHeight="1" x14ac:dyDescent="0.35">
      <c r="A98" s="2"/>
      <c r="B98" s="3"/>
      <c r="C98" s="4"/>
      <c r="D98" s="5"/>
      <c r="E98" s="11" t="str">
        <f t="shared" ca="1" si="18"/>
        <v/>
      </c>
      <c r="F98" s="5"/>
      <c r="G98" s="6" t="str">
        <f>IF(AND($A98&lt;&gt;"",$B98&lt;&gt;"",$C98&lt;&gt;"",$D98&lt;&gt;""),IF(OR($B98="SER",$B98="PLH",$B98="CSF"),"Control CDI Plate "&amp;(INT(((COUNTIFS($B$2:$B98,"SER")+COUNTIFS($B$2:$B98,"PLH")+COUNTIFS($B$2:$B98,"CSF"))-1)/96)+1)&amp;": "&amp;CHAR(65+INT(MOD((COUNTIFS($B$2:$B98,"SER")+COUNTIFS($B$2:$B98,"PLH")+COUNTIFS($B$2:$B98,"CSF"))-1,96)/12))&amp;(MOD((COUNTIFS($B$2:$B98,"SER")+COUNTIFS($B$2:$B98,"PLH")+COUNTIFS($B$2:$B98,"CSF"))-1,12)+1),"N/A"),"")</f>
        <v/>
      </c>
      <c r="H98" s="6" t="str">
        <f>IF(AND($A98&lt;&gt;"",$B98&lt;&gt;"",$C98&lt;&gt;"",$D98&lt;&gt;""),IF(OR($B98="SER",$B98="PLH",$B98="CSF"),"Control NIH Plate "&amp;(INT(((COUNTIFS($B$2:$B98,"SER")+COUNTIFS($B$2:$B98,"PLH")+COUNTIFS($B$2:$B98,"CSF"))-1)/96)+1)&amp;": "&amp;CHAR(65+INT(MOD((COUNTIFS($B$2:$B98,"SER")+COUNTIFS($B$2:$B98,"PLH")+COUNTIFS($B$2:$B98,"CSF"))-1,96)/12))&amp;(MOD((COUNTIFS($B$2:$B98,"SER")+COUNTIFS($B$2:$B98,"PLH")+COUNTIFS($B$2:$B98,"CSF"))-1,12)+1),"N/A"),"")</f>
        <v/>
      </c>
      <c r="I98" s="6" t="str">
        <f>IF(AND($A98&lt;&gt;"",$B98&lt;&gt;"",$C98&lt;&gt;"",$D98&lt;&gt;""),IF(OR($B98="SER",$B98="PLH"),"Control MAX Planck Plate "&amp;(INT(((COUNTIFS($B$2:$B98,"SER")+COUNTIFS($B$2:$B98,"PLH"))-1)/96)+1)&amp;": "&amp;CHAR(65+INT(MOD((COUNTIFS($B$2:$B98,"SER")+COUNTIFS($B$2:$B98,"PLH"))-1,96)/12))&amp;(MOD((COUNTIFS($B$2:$B98,"SER")+COUNTIFS($B$2:$B98,"PLH"))-1,12)+1),"N/A"),"")</f>
        <v/>
      </c>
      <c r="J98" s="6" t="str">
        <f>IF(AND($A98&lt;&gt;"",$B98&lt;&gt;"",$C98&lt;&gt;"",$D98&lt;&gt;""),IF($B98="WB","Control WB Box "&amp;(INT((COUNTIFS($B$2:$B98,"WB")-1)/81)+1)&amp;": "&amp;CHAR(65+INT(MOD(COUNTIFS($B$2:$B98,"WB")-1,81)/9))&amp;(MOD(COUNTIFS($B$2:$B98,"WB")-1,9)+1),"N/A"),"")</f>
        <v/>
      </c>
      <c r="K98" s="3" t="str">
        <f t="shared" si="19"/>
        <v/>
      </c>
      <c r="L98" s="2"/>
      <c r="M98" s="2"/>
      <c r="N98" s="2"/>
      <c r="O98" s="7" t="str">
        <f t="shared" si="20"/>
        <v/>
      </c>
      <c r="P98" s="7" t="str">
        <f t="shared" si="21"/>
        <v/>
      </c>
      <c r="Q98" s="7" t="str">
        <f t="shared" si="22"/>
        <v/>
      </c>
      <c r="R98" s="7" t="str">
        <f t="shared" si="23"/>
        <v/>
      </c>
      <c r="S98" s="7" t="str">
        <f t="shared" si="24"/>
        <v/>
      </c>
      <c r="T98" s="7" t="str">
        <f t="shared" si="25"/>
        <v/>
      </c>
      <c r="U98" s="7" t="str">
        <f t="shared" si="26"/>
        <v/>
      </c>
      <c r="V98" s="7" t="str">
        <f t="shared" si="27"/>
        <v/>
      </c>
      <c r="W98" s="7" t="str">
        <f t="shared" si="28"/>
        <v/>
      </c>
      <c r="X98" s="7" t="str">
        <f t="shared" si="29"/>
        <v/>
      </c>
      <c r="Y98">
        <f t="shared" si="30"/>
        <v>0</v>
      </c>
      <c r="Z98" t="str">
        <f t="shared" si="31"/>
        <v/>
      </c>
      <c r="AA98" t="str">
        <f t="shared" si="32"/>
        <v/>
      </c>
      <c r="AB98" t="str">
        <f t="shared" si="33"/>
        <v/>
      </c>
      <c r="AC98" t="str">
        <f t="shared" si="34"/>
        <v/>
      </c>
      <c r="AD98">
        <f t="shared" si="35"/>
        <v>0</v>
      </c>
    </row>
    <row r="99" spans="1:30" ht="15" customHeight="1" x14ac:dyDescent="0.35">
      <c r="A99" s="2"/>
      <c r="B99" s="3"/>
      <c r="C99" s="4"/>
      <c r="D99" s="5"/>
      <c r="E99" s="11" t="str">
        <f t="shared" ca="1" si="18"/>
        <v/>
      </c>
      <c r="F99" s="5"/>
      <c r="G99" s="6" t="str">
        <f>IF(AND($A99&lt;&gt;"",$B99&lt;&gt;"",$C99&lt;&gt;"",$D99&lt;&gt;""),IF(OR($B99="SER",$B99="PLH",$B99="CSF"),"Control CDI Plate "&amp;(INT(((COUNTIFS($B$2:$B99,"SER")+COUNTIFS($B$2:$B99,"PLH")+COUNTIFS($B$2:$B99,"CSF"))-1)/96)+1)&amp;": "&amp;CHAR(65+INT(MOD((COUNTIFS($B$2:$B99,"SER")+COUNTIFS($B$2:$B99,"PLH")+COUNTIFS($B$2:$B99,"CSF"))-1,96)/12))&amp;(MOD((COUNTIFS($B$2:$B99,"SER")+COUNTIFS($B$2:$B99,"PLH")+COUNTIFS($B$2:$B99,"CSF"))-1,12)+1),"N/A"),"")</f>
        <v/>
      </c>
      <c r="H99" s="6" t="str">
        <f>IF(AND($A99&lt;&gt;"",$B99&lt;&gt;"",$C99&lt;&gt;"",$D99&lt;&gt;""),IF(OR($B99="SER",$B99="PLH",$B99="CSF"),"Control NIH Plate "&amp;(INT(((COUNTIFS($B$2:$B99,"SER")+COUNTIFS($B$2:$B99,"PLH")+COUNTIFS($B$2:$B99,"CSF"))-1)/96)+1)&amp;": "&amp;CHAR(65+INT(MOD((COUNTIFS($B$2:$B99,"SER")+COUNTIFS($B$2:$B99,"PLH")+COUNTIFS($B$2:$B99,"CSF"))-1,96)/12))&amp;(MOD((COUNTIFS($B$2:$B99,"SER")+COUNTIFS($B$2:$B99,"PLH")+COUNTIFS($B$2:$B99,"CSF"))-1,12)+1),"N/A"),"")</f>
        <v/>
      </c>
      <c r="I99" s="6" t="str">
        <f>IF(AND($A99&lt;&gt;"",$B99&lt;&gt;"",$C99&lt;&gt;"",$D99&lt;&gt;""),IF(OR($B99="SER",$B99="PLH"),"Control MAX Planck Plate "&amp;(INT(((COUNTIFS($B$2:$B99,"SER")+COUNTIFS($B$2:$B99,"PLH"))-1)/96)+1)&amp;": "&amp;CHAR(65+INT(MOD((COUNTIFS($B$2:$B99,"SER")+COUNTIFS($B$2:$B99,"PLH"))-1,96)/12))&amp;(MOD((COUNTIFS($B$2:$B99,"SER")+COUNTIFS($B$2:$B99,"PLH"))-1,12)+1),"N/A"),"")</f>
        <v/>
      </c>
      <c r="J99" s="6" t="str">
        <f>IF(AND($A99&lt;&gt;"",$B99&lt;&gt;"",$C99&lt;&gt;"",$D99&lt;&gt;""),IF($B99="WB","Control WB Box "&amp;(INT((COUNTIFS($B$2:$B99,"WB")-1)/81)+1)&amp;": "&amp;CHAR(65+INT(MOD(COUNTIFS($B$2:$B99,"WB")-1,81)/9))&amp;(MOD(COUNTIFS($B$2:$B99,"WB")-1,9)+1),"N/A"),"")</f>
        <v/>
      </c>
      <c r="K99" s="3" t="str">
        <f t="shared" si="19"/>
        <v/>
      </c>
      <c r="L99" s="2"/>
      <c r="M99" s="2"/>
      <c r="N99" s="2"/>
      <c r="O99" s="7" t="str">
        <f t="shared" si="20"/>
        <v/>
      </c>
      <c r="P99" s="7" t="str">
        <f t="shared" si="21"/>
        <v/>
      </c>
      <c r="Q99" s="7" t="str">
        <f t="shared" si="22"/>
        <v/>
      </c>
      <c r="R99" s="7" t="str">
        <f t="shared" si="23"/>
        <v/>
      </c>
      <c r="S99" s="7" t="str">
        <f t="shared" si="24"/>
        <v/>
      </c>
      <c r="T99" s="7" t="str">
        <f t="shared" si="25"/>
        <v/>
      </c>
      <c r="U99" s="7" t="str">
        <f t="shared" si="26"/>
        <v/>
      </c>
      <c r="V99" s="7" t="str">
        <f t="shared" si="27"/>
        <v/>
      </c>
      <c r="W99" s="7" t="str">
        <f t="shared" si="28"/>
        <v/>
      </c>
      <c r="X99" s="7" t="str">
        <f t="shared" si="29"/>
        <v/>
      </c>
      <c r="Y99">
        <f t="shared" si="30"/>
        <v>0</v>
      </c>
      <c r="Z99" t="str">
        <f t="shared" si="31"/>
        <v/>
      </c>
      <c r="AA99" t="str">
        <f t="shared" si="32"/>
        <v/>
      </c>
      <c r="AB99" t="str">
        <f t="shared" si="33"/>
        <v/>
      </c>
      <c r="AC99" t="str">
        <f t="shared" si="34"/>
        <v/>
      </c>
      <c r="AD99">
        <f t="shared" si="35"/>
        <v>0</v>
      </c>
    </row>
    <row r="100" spans="1:30" ht="15" customHeight="1" x14ac:dyDescent="0.35">
      <c r="A100" s="2"/>
      <c r="B100" s="3"/>
      <c r="C100" s="4"/>
      <c r="D100" s="5"/>
      <c r="E100" s="11" t="str">
        <f t="shared" ca="1" si="18"/>
        <v/>
      </c>
      <c r="F100" s="5"/>
      <c r="G100" s="6" t="str">
        <f>IF(AND($A100&lt;&gt;"",$B100&lt;&gt;"",$C100&lt;&gt;"",$D100&lt;&gt;""),IF(OR($B100="SER",$B100="PLH",$B100="CSF"),"Control CDI Plate "&amp;(INT(((COUNTIFS($B$2:$B100,"SER")+COUNTIFS($B$2:$B100,"PLH")+COUNTIFS($B$2:$B100,"CSF"))-1)/96)+1)&amp;": "&amp;CHAR(65+INT(MOD((COUNTIFS($B$2:$B100,"SER")+COUNTIFS($B$2:$B100,"PLH")+COUNTIFS($B$2:$B100,"CSF"))-1,96)/12))&amp;(MOD((COUNTIFS($B$2:$B100,"SER")+COUNTIFS($B$2:$B100,"PLH")+COUNTIFS($B$2:$B100,"CSF"))-1,12)+1),"N/A"),"")</f>
        <v/>
      </c>
      <c r="H100" s="6" t="str">
        <f>IF(AND($A100&lt;&gt;"",$B100&lt;&gt;"",$C100&lt;&gt;"",$D100&lt;&gt;""),IF(OR($B100="SER",$B100="PLH",$B100="CSF"),"Control NIH Plate "&amp;(INT(((COUNTIFS($B$2:$B100,"SER")+COUNTIFS($B$2:$B100,"PLH")+COUNTIFS($B$2:$B100,"CSF"))-1)/96)+1)&amp;": "&amp;CHAR(65+INT(MOD((COUNTIFS($B$2:$B100,"SER")+COUNTIFS($B$2:$B100,"PLH")+COUNTIFS($B$2:$B100,"CSF"))-1,96)/12))&amp;(MOD((COUNTIFS($B$2:$B100,"SER")+COUNTIFS($B$2:$B100,"PLH")+COUNTIFS($B$2:$B100,"CSF"))-1,12)+1),"N/A"),"")</f>
        <v/>
      </c>
      <c r="I100" s="6" t="str">
        <f>IF(AND($A100&lt;&gt;"",$B100&lt;&gt;"",$C100&lt;&gt;"",$D100&lt;&gt;""),IF(OR($B100="SER",$B100="PLH"),"Control MAX Planck Plate "&amp;(INT(((COUNTIFS($B$2:$B100,"SER")+COUNTIFS($B$2:$B100,"PLH"))-1)/96)+1)&amp;": "&amp;CHAR(65+INT(MOD((COUNTIFS($B$2:$B100,"SER")+COUNTIFS($B$2:$B100,"PLH"))-1,96)/12))&amp;(MOD((COUNTIFS($B$2:$B100,"SER")+COUNTIFS($B$2:$B100,"PLH"))-1,12)+1),"N/A"),"")</f>
        <v/>
      </c>
      <c r="J100" s="6" t="str">
        <f>IF(AND($A100&lt;&gt;"",$B100&lt;&gt;"",$C100&lt;&gt;"",$D100&lt;&gt;""),IF($B100="WB","Control WB Box "&amp;(INT((COUNTIFS($B$2:$B100,"WB")-1)/81)+1)&amp;": "&amp;CHAR(65+INT(MOD(COUNTIFS($B$2:$B100,"WB")-1,81)/9))&amp;(MOD(COUNTIFS($B$2:$B100,"WB")-1,9)+1),"N/A"),"")</f>
        <v/>
      </c>
      <c r="K100" s="3" t="str">
        <f t="shared" si="19"/>
        <v/>
      </c>
      <c r="L100" s="2"/>
      <c r="M100" s="2"/>
      <c r="N100" s="2"/>
      <c r="O100" s="7" t="str">
        <f t="shared" si="20"/>
        <v/>
      </c>
      <c r="P100" s="7" t="str">
        <f t="shared" si="21"/>
        <v/>
      </c>
      <c r="Q100" s="7" t="str">
        <f t="shared" si="22"/>
        <v/>
      </c>
      <c r="R100" s="7" t="str">
        <f t="shared" si="23"/>
        <v/>
      </c>
      <c r="S100" s="7" t="str">
        <f t="shared" si="24"/>
        <v/>
      </c>
      <c r="T100" s="7" t="str">
        <f t="shared" si="25"/>
        <v/>
      </c>
      <c r="U100" s="7" t="str">
        <f t="shared" si="26"/>
        <v/>
      </c>
      <c r="V100" s="7" t="str">
        <f t="shared" si="27"/>
        <v/>
      </c>
      <c r="W100" s="7" t="str">
        <f t="shared" si="28"/>
        <v/>
      </c>
      <c r="X100" s="7" t="str">
        <f t="shared" si="29"/>
        <v/>
      </c>
      <c r="Y100">
        <f t="shared" si="30"/>
        <v>0</v>
      </c>
      <c r="Z100" t="str">
        <f t="shared" si="31"/>
        <v/>
      </c>
      <c r="AA100" t="str">
        <f t="shared" si="32"/>
        <v/>
      </c>
      <c r="AB100" t="str">
        <f t="shared" si="33"/>
        <v/>
      </c>
      <c r="AC100" t="str">
        <f t="shared" si="34"/>
        <v/>
      </c>
      <c r="AD100">
        <f t="shared" si="35"/>
        <v>0</v>
      </c>
    </row>
    <row r="101" spans="1:30" ht="15" customHeight="1" x14ac:dyDescent="0.35">
      <c r="A101" s="2"/>
      <c r="B101" s="3"/>
      <c r="C101" s="4"/>
      <c r="D101" s="5"/>
      <c r="E101" s="11" t="str">
        <f t="shared" ca="1" si="18"/>
        <v/>
      </c>
      <c r="F101" s="5"/>
      <c r="G101" s="6" t="str">
        <f>IF(AND($A101&lt;&gt;"",$B101&lt;&gt;"",$C101&lt;&gt;"",$D101&lt;&gt;""),IF(OR($B101="SER",$B101="PLH",$B101="CSF"),"Control CDI Plate "&amp;(INT(((COUNTIFS($B$2:$B101,"SER")+COUNTIFS($B$2:$B101,"PLH")+COUNTIFS($B$2:$B101,"CSF"))-1)/96)+1)&amp;": "&amp;CHAR(65+INT(MOD((COUNTIFS($B$2:$B101,"SER")+COUNTIFS($B$2:$B101,"PLH")+COUNTIFS($B$2:$B101,"CSF"))-1,96)/12))&amp;(MOD((COUNTIFS($B$2:$B101,"SER")+COUNTIFS($B$2:$B101,"PLH")+COUNTIFS($B$2:$B101,"CSF"))-1,12)+1),"N/A"),"")</f>
        <v/>
      </c>
      <c r="H101" s="6" t="str">
        <f>IF(AND($A101&lt;&gt;"",$B101&lt;&gt;"",$C101&lt;&gt;"",$D101&lt;&gt;""),IF(OR($B101="SER",$B101="PLH",$B101="CSF"),"Control NIH Plate "&amp;(INT(((COUNTIFS($B$2:$B101,"SER")+COUNTIFS($B$2:$B101,"PLH")+COUNTIFS($B$2:$B101,"CSF"))-1)/96)+1)&amp;": "&amp;CHAR(65+INT(MOD((COUNTIFS($B$2:$B101,"SER")+COUNTIFS($B$2:$B101,"PLH")+COUNTIFS($B$2:$B101,"CSF"))-1,96)/12))&amp;(MOD((COUNTIFS($B$2:$B101,"SER")+COUNTIFS($B$2:$B101,"PLH")+COUNTIFS($B$2:$B101,"CSF"))-1,12)+1),"N/A"),"")</f>
        <v/>
      </c>
      <c r="I101" s="6" t="str">
        <f>IF(AND($A101&lt;&gt;"",$B101&lt;&gt;"",$C101&lt;&gt;"",$D101&lt;&gt;""),IF(OR($B101="SER",$B101="PLH"),"Control MAX Planck Plate "&amp;(INT(((COUNTIFS($B$2:$B101,"SER")+COUNTIFS($B$2:$B101,"PLH"))-1)/96)+1)&amp;": "&amp;CHAR(65+INT(MOD((COUNTIFS($B$2:$B101,"SER")+COUNTIFS($B$2:$B101,"PLH"))-1,96)/12))&amp;(MOD((COUNTIFS($B$2:$B101,"SER")+COUNTIFS($B$2:$B101,"PLH"))-1,12)+1),"N/A"),"")</f>
        <v/>
      </c>
      <c r="J101" s="6" t="str">
        <f>IF(AND($A101&lt;&gt;"",$B101&lt;&gt;"",$C101&lt;&gt;"",$D101&lt;&gt;""),IF($B101="WB","Control WB Box "&amp;(INT((COUNTIFS($B$2:$B101,"WB")-1)/81)+1)&amp;": "&amp;CHAR(65+INT(MOD(COUNTIFS($B$2:$B101,"WB")-1,81)/9))&amp;(MOD(COUNTIFS($B$2:$B101,"WB")-1,9)+1),"N/A"),"")</f>
        <v/>
      </c>
      <c r="K101" s="3" t="str">
        <f t="shared" si="19"/>
        <v/>
      </c>
      <c r="L101" s="2"/>
      <c r="M101" s="2"/>
      <c r="N101" s="2"/>
      <c r="O101" s="7" t="str">
        <f t="shared" si="20"/>
        <v/>
      </c>
      <c r="P101" s="7" t="str">
        <f t="shared" si="21"/>
        <v/>
      </c>
      <c r="Q101" s="7" t="str">
        <f t="shared" si="22"/>
        <v/>
      </c>
      <c r="R101" s="7" t="str">
        <f t="shared" si="23"/>
        <v/>
      </c>
      <c r="S101" s="7" t="str">
        <f t="shared" si="24"/>
        <v/>
      </c>
      <c r="T101" s="7" t="str">
        <f t="shared" si="25"/>
        <v/>
      </c>
      <c r="U101" s="7" t="str">
        <f t="shared" si="26"/>
        <v/>
      </c>
      <c r="V101" s="7" t="str">
        <f t="shared" si="27"/>
        <v/>
      </c>
      <c r="W101" s="7" t="str">
        <f t="shared" si="28"/>
        <v/>
      </c>
      <c r="X101" s="7" t="str">
        <f t="shared" si="29"/>
        <v/>
      </c>
      <c r="Y101">
        <f t="shared" si="30"/>
        <v>0</v>
      </c>
      <c r="Z101" t="str">
        <f t="shared" si="31"/>
        <v/>
      </c>
      <c r="AA101" t="str">
        <f t="shared" si="32"/>
        <v/>
      </c>
      <c r="AB101" t="str">
        <f t="shared" si="33"/>
        <v/>
      </c>
      <c r="AC101" t="str">
        <f t="shared" si="34"/>
        <v/>
      </c>
      <c r="AD101">
        <f t="shared" si="35"/>
        <v>0</v>
      </c>
    </row>
    <row r="102" spans="1:30" ht="15" customHeight="1" x14ac:dyDescent="0.35">
      <c r="A102" s="2"/>
      <c r="B102" s="3"/>
      <c r="C102" s="4"/>
      <c r="D102" s="5"/>
      <c r="E102" s="11" t="str">
        <f t="shared" ca="1" si="18"/>
        <v/>
      </c>
      <c r="F102" s="5"/>
      <c r="G102" s="6" t="str">
        <f>IF(AND($A102&lt;&gt;"",$B102&lt;&gt;"",$C102&lt;&gt;"",$D102&lt;&gt;""),IF(OR($B102="SER",$B102="PLH",$B102="CSF"),"Control CDI Plate "&amp;(INT(((COUNTIFS($B$2:$B102,"SER")+COUNTIFS($B$2:$B102,"PLH")+COUNTIFS($B$2:$B102,"CSF"))-1)/96)+1)&amp;": "&amp;CHAR(65+INT(MOD((COUNTIFS($B$2:$B102,"SER")+COUNTIFS($B$2:$B102,"PLH")+COUNTIFS($B$2:$B102,"CSF"))-1,96)/12))&amp;(MOD((COUNTIFS($B$2:$B102,"SER")+COUNTIFS($B$2:$B102,"PLH")+COUNTIFS($B$2:$B102,"CSF"))-1,12)+1),"N/A"),"")</f>
        <v/>
      </c>
      <c r="H102" s="6" t="str">
        <f>IF(AND($A102&lt;&gt;"",$B102&lt;&gt;"",$C102&lt;&gt;"",$D102&lt;&gt;""),IF(OR($B102="SER",$B102="PLH",$B102="CSF"),"Control NIH Plate "&amp;(INT(((COUNTIFS($B$2:$B102,"SER")+COUNTIFS($B$2:$B102,"PLH")+COUNTIFS($B$2:$B102,"CSF"))-1)/96)+1)&amp;": "&amp;CHAR(65+INT(MOD((COUNTIFS($B$2:$B102,"SER")+COUNTIFS($B$2:$B102,"PLH")+COUNTIFS($B$2:$B102,"CSF"))-1,96)/12))&amp;(MOD((COUNTIFS($B$2:$B102,"SER")+COUNTIFS($B$2:$B102,"PLH")+COUNTIFS($B$2:$B102,"CSF"))-1,12)+1),"N/A"),"")</f>
        <v/>
      </c>
      <c r="I102" s="6" t="str">
        <f>IF(AND($A102&lt;&gt;"",$B102&lt;&gt;"",$C102&lt;&gt;"",$D102&lt;&gt;""),IF(OR($B102="SER",$B102="PLH"),"Control MAX Planck Plate "&amp;(INT(((COUNTIFS($B$2:$B102,"SER")+COUNTIFS($B$2:$B102,"PLH"))-1)/96)+1)&amp;": "&amp;CHAR(65+INT(MOD((COUNTIFS($B$2:$B102,"SER")+COUNTIFS($B$2:$B102,"PLH"))-1,96)/12))&amp;(MOD((COUNTIFS($B$2:$B102,"SER")+COUNTIFS($B$2:$B102,"PLH"))-1,12)+1),"N/A"),"")</f>
        <v/>
      </c>
      <c r="J102" s="6" t="str">
        <f>IF(AND($A102&lt;&gt;"",$B102&lt;&gt;"",$C102&lt;&gt;"",$D102&lt;&gt;""),IF($B102="WB","Control WB Box "&amp;(INT((COUNTIFS($B$2:$B102,"WB")-1)/81)+1)&amp;": "&amp;CHAR(65+INT(MOD(COUNTIFS($B$2:$B102,"WB")-1,81)/9))&amp;(MOD(COUNTIFS($B$2:$B102,"WB")-1,9)+1),"N/A"),"")</f>
        <v/>
      </c>
      <c r="K102" s="3" t="str">
        <f t="shared" si="19"/>
        <v/>
      </c>
      <c r="L102" s="2"/>
      <c r="M102" s="2"/>
      <c r="N102" s="2"/>
      <c r="O102" s="7" t="str">
        <f t="shared" si="20"/>
        <v/>
      </c>
      <c r="P102" s="7" t="str">
        <f t="shared" si="21"/>
        <v/>
      </c>
      <c r="Q102" s="7" t="str">
        <f t="shared" si="22"/>
        <v/>
      </c>
      <c r="R102" s="7" t="str">
        <f t="shared" si="23"/>
        <v/>
      </c>
      <c r="S102" s="7" t="str">
        <f t="shared" si="24"/>
        <v/>
      </c>
      <c r="T102" s="7" t="str">
        <f t="shared" si="25"/>
        <v/>
      </c>
      <c r="U102" s="7" t="str">
        <f t="shared" si="26"/>
        <v/>
      </c>
      <c r="V102" s="7" t="str">
        <f t="shared" si="27"/>
        <v/>
      </c>
      <c r="W102" s="7" t="str">
        <f t="shared" si="28"/>
        <v/>
      </c>
      <c r="X102" s="7" t="str">
        <f t="shared" si="29"/>
        <v/>
      </c>
      <c r="Y102">
        <f t="shared" si="30"/>
        <v>0</v>
      </c>
      <c r="Z102" t="str">
        <f t="shared" si="31"/>
        <v/>
      </c>
      <c r="AA102" t="str">
        <f t="shared" si="32"/>
        <v/>
      </c>
      <c r="AB102" t="str">
        <f t="shared" si="33"/>
        <v/>
      </c>
      <c r="AC102" t="str">
        <f t="shared" si="34"/>
        <v/>
      </c>
      <c r="AD102">
        <f t="shared" si="35"/>
        <v>0</v>
      </c>
    </row>
    <row r="103" spans="1:30" ht="15" customHeight="1" x14ac:dyDescent="0.35">
      <c r="A103" s="2"/>
      <c r="B103" s="3"/>
      <c r="C103" s="4"/>
      <c r="D103" s="5"/>
      <c r="E103" s="11" t="str">
        <f t="shared" ca="1" si="18"/>
        <v/>
      </c>
      <c r="F103" s="5"/>
      <c r="G103" s="6" t="str">
        <f>IF(AND($A103&lt;&gt;"",$B103&lt;&gt;"",$C103&lt;&gt;"",$D103&lt;&gt;""),IF(OR($B103="SER",$B103="PLH",$B103="CSF"),"Control CDI Plate "&amp;(INT(((COUNTIFS($B$2:$B103,"SER")+COUNTIFS($B$2:$B103,"PLH")+COUNTIFS($B$2:$B103,"CSF"))-1)/96)+1)&amp;": "&amp;CHAR(65+INT(MOD((COUNTIFS($B$2:$B103,"SER")+COUNTIFS($B$2:$B103,"PLH")+COUNTIFS($B$2:$B103,"CSF"))-1,96)/12))&amp;(MOD((COUNTIFS($B$2:$B103,"SER")+COUNTIFS($B$2:$B103,"PLH")+COUNTIFS($B$2:$B103,"CSF"))-1,12)+1),"N/A"),"")</f>
        <v/>
      </c>
      <c r="H103" s="6" t="str">
        <f>IF(AND($A103&lt;&gt;"",$B103&lt;&gt;"",$C103&lt;&gt;"",$D103&lt;&gt;""),IF(OR($B103="SER",$B103="PLH",$B103="CSF"),"Control NIH Plate "&amp;(INT(((COUNTIFS($B$2:$B103,"SER")+COUNTIFS($B$2:$B103,"PLH")+COUNTIFS($B$2:$B103,"CSF"))-1)/96)+1)&amp;": "&amp;CHAR(65+INT(MOD((COUNTIFS($B$2:$B103,"SER")+COUNTIFS($B$2:$B103,"PLH")+COUNTIFS($B$2:$B103,"CSF"))-1,96)/12))&amp;(MOD((COUNTIFS($B$2:$B103,"SER")+COUNTIFS($B$2:$B103,"PLH")+COUNTIFS($B$2:$B103,"CSF"))-1,12)+1),"N/A"),"")</f>
        <v/>
      </c>
      <c r="I103" s="6" t="str">
        <f>IF(AND($A103&lt;&gt;"",$B103&lt;&gt;"",$C103&lt;&gt;"",$D103&lt;&gt;""),IF(OR($B103="SER",$B103="PLH"),"Control MAX Planck Plate "&amp;(INT(((COUNTIFS($B$2:$B103,"SER")+COUNTIFS($B$2:$B103,"PLH"))-1)/96)+1)&amp;": "&amp;CHAR(65+INT(MOD((COUNTIFS($B$2:$B103,"SER")+COUNTIFS($B$2:$B103,"PLH"))-1,96)/12))&amp;(MOD((COUNTIFS($B$2:$B103,"SER")+COUNTIFS($B$2:$B103,"PLH"))-1,12)+1),"N/A"),"")</f>
        <v/>
      </c>
      <c r="J103" s="6" t="str">
        <f>IF(AND($A103&lt;&gt;"",$B103&lt;&gt;"",$C103&lt;&gt;"",$D103&lt;&gt;""),IF($B103="WB","Control WB Box "&amp;(INT((COUNTIFS($B$2:$B103,"WB")-1)/81)+1)&amp;": "&amp;CHAR(65+INT(MOD(COUNTIFS($B$2:$B103,"WB")-1,81)/9))&amp;(MOD(COUNTIFS($B$2:$B103,"WB")-1,9)+1),"N/A"),"")</f>
        <v/>
      </c>
      <c r="K103" s="3" t="str">
        <f t="shared" si="19"/>
        <v/>
      </c>
      <c r="L103" s="2"/>
      <c r="M103" s="2"/>
      <c r="N103" s="2"/>
      <c r="O103" s="7" t="str">
        <f t="shared" si="20"/>
        <v/>
      </c>
      <c r="P103" s="7" t="str">
        <f t="shared" si="21"/>
        <v/>
      </c>
      <c r="Q103" s="7" t="str">
        <f t="shared" si="22"/>
        <v/>
      </c>
      <c r="R103" s="7" t="str">
        <f t="shared" si="23"/>
        <v/>
      </c>
      <c r="S103" s="7" t="str">
        <f t="shared" si="24"/>
        <v/>
      </c>
      <c r="T103" s="7" t="str">
        <f t="shared" si="25"/>
        <v/>
      </c>
      <c r="U103" s="7" t="str">
        <f t="shared" si="26"/>
        <v/>
      </c>
      <c r="V103" s="7" t="str">
        <f t="shared" si="27"/>
        <v/>
      </c>
      <c r="W103" s="7" t="str">
        <f t="shared" si="28"/>
        <v/>
      </c>
      <c r="X103" s="7" t="str">
        <f t="shared" si="29"/>
        <v/>
      </c>
      <c r="Y103">
        <f t="shared" si="30"/>
        <v>0</v>
      </c>
      <c r="Z103" t="str">
        <f t="shared" si="31"/>
        <v/>
      </c>
      <c r="AA103" t="str">
        <f t="shared" si="32"/>
        <v/>
      </c>
      <c r="AB103" t="str">
        <f t="shared" si="33"/>
        <v/>
      </c>
      <c r="AC103" t="str">
        <f t="shared" si="34"/>
        <v/>
      </c>
      <c r="AD103">
        <f t="shared" si="35"/>
        <v>0</v>
      </c>
    </row>
    <row r="104" spans="1:30" ht="15" customHeight="1" x14ac:dyDescent="0.35">
      <c r="A104" s="2"/>
      <c r="B104" s="3"/>
      <c r="C104" s="4"/>
      <c r="D104" s="5"/>
      <c r="E104" s="11" t="str">
        <f t="shared" ca="1" si="18"/>
        <v/>
      </c>
      <c r="F104" s="5"/>
      <c r="G104" s="6" t="str">
        <f>IF(AND($A104&lt;&gt;"",$B104&lt;&gt;"",$C104&lt;&gt;"",$D104&lt;&gt;""),IF(OR($B104="SER",$B104="PLH",$B104="CSF"),"Control CDI Plate "&amp;(INT(((COUNTIFS($B$2:$B104,"SER")+COUNTIFS($B$2:$B104,"PLH")+COUNTIFS($B$2:$B104,"CSF"))-1)/96)+1)&amp;": "&amp;CHAR(65+INT(MOD((COUNTIFS($B$2:$B104,"SER")+COUNTIFS($B$2:$B104,"PLH")+COUNTIFS($B$2:$B104,"CSF"))-1,96)/12))&amp;(MOD((COUNTIFS($B$2:$B104,"SER")+COUNTIFS($B$2:$B104,"PLH")+COUNTIFS($B$2:$B104,"CSF"))-1,12)+1),"N/A"),"")</f>
        <v/>
      </c>
      <c r="H104" s="6" t="str">
        <f>IF(AND($A104&lt;&gt;"",$B104&lt;&gt;"",$C104&lt;&gt;"",$D104&lt;&gt;""),IF(OR($B104="SER",$B104="PLH",$B104="CSF"),"Control NIH Plate "&amp;(INT(((COUNTIFS($B$2:$B104,"SER")+COUNTIFS($B$2:$B104,"PLH")+COUNTIFS($B$2:$B104,"CSF"))-1)/96)+1)&amp;": "&amp;CHAR(65+INT(MOD((COUNTIFS($B$2:$B104,"SER")+COUNTIFS($B$2:$B104,"PLH")+COUNTIFS($B$2:$B104,"CSF"))-1,96)/12))&amp;(MOD((COUNTIFS($B$2:$B104,"SER")+COUNTIFS($B$2:$B104,"PLH")+COUNTIFS($B$2:$B104,"CSF"))-1,12)+1),"N/A"),"")</f>
        <v/>
      </c>
      <c r="I104" s="6" t="str">
        <f>IF(AND($A104&lt;&gt;"",$B104&lt;&gt;"",$C104&lt;&gt;"",$D104&lt;&gt;""),IF(OR($B104="SER",$B104="PLH"),"Control MAX Planck Plate "&amp;(INT(((COUNTIFS($B$2:$B104,"SER")+COUNTIFS($B$2:$B104,"PLH"))-1)/96)+1)&amp;": "&amp;CHAR(65+INT(MOD((COUNTIFS($B$2:$B104,"SER")+COUNTIFS($B$2:$B104,"PLH"))-1,96)/12))&amp;(MOD((COUNTIFS($B$2:$B104,"SER")+COUNTIFS($B$2:$B104,"PLH"))-1,12)+1),"N/A"),"")</f>
        <v/>
      </c>
      <c r="J104" s="6" t="str">
        <f>IF(AND($A104&lt;&gt;"",$B104&lt;&gt;"",$C104&lt;&gt;"",$D104&lt;&gt;""),IF($B104="WB","Control WB Box "&amp;(INT((COUNTIFS($B$2:$B104,"WB")-1)/81)+1)&amp;": "&amp;CHAR(65+INT(MOD(COUNTIFS($B$2:$B104,"WB")-1,81)/9))&amp;(MOD(COUNTIFS($B$2:$B104,"WB")-1,9)+1),"N/A"),"")</f>
        <v/>
      </c>
      <c r="K104" s="3" t="str">
        <f t="shared" si="19"/>
        <v/>
      </c>
      <c r="L104" s="2"/>
      <c r="M104" s="2"/>
      <c r="N104" s="2"/>
      <c r="O104" s="7" t="str">
        <f t="shared" si="20"/>
        <v/>
      </c>
      <c r="P104" s="7" t="str">
        <f t="shared" si="21"/>
        <v/>
      </c>
      <c r="Q104" s="7" t="str">
        <f t="shared" si="22"/>
        <v/>
      </c>
      <c r="R104" s="7" t="str">
        <f t="shared" si="23"/>
        <v/>
      </c>
      <c r="S104" s="7" t="str">
        <f t="shared" si="24"/>
        <v/>
      </c>
      <c r="T104" s="7" t="str">
        <f t="shared" si="25"/>
        <v/>
      </c>
      <c r="U104" s="7" t="str">
        <f t="shared" si="26"/>
        <v/>
      </c>
      <c r="V104" s="7" t="str">
        <f t="shared" si="27"/>
        <v/>
      </c>
      <c r="W104" s="7" t="str">
        <f t="shared" si="28"/>
        <v/>
      </c>
      <c r="X104" s="7" t="str">
        <f t="shared" si="29"/>
        <v/>
      </c>
      <c r="Y104">
        <f t="shared" si="30"/>
        <v>0</v>
      </c>
      <c r="Z104" t="str">
        <f t="shared" si="31"/>
        <v/>
      </c>
      <c r="AA104" t="str">
        <f t="shared" si="32"/>
        <v/>
      </c>
      <c r="AB104" t="str">
        <f t="shared" si="33"/>
        <v/>
      </c>
      <c r="AC104" t="str">
        <f t="shared" si="34"/>
        <v/>
      </c>
      <c r="AD104">
        <f t="shared" si="35"/>
        <v>0</v>
      </c>
    </row>
    <row r="105" spans="1:30" ht="15" customHeight="1" x14ac:dyDescent="0.35">
      <c r="A105" s="2"/>
      <c r="B105" s="3"/>
      <c r="C105" s="4"/>
      <c r="D105" s="5"/>
      <c r="E105" s="11" t="str">
        <f t="shared" ca="1" si="18"/>
        <v/>
      </c>
      <c r="F105" s="5"/>
      <c r="G105" s="6" t="str">
        <f>IF(AND($A105&lt;&gt;"",$B105&lt;&gt;"",$C105&lt;&gt;"",$D105&lt;&gt;""),IF(OR($B105="SER",$B105="PLH",$B105="CSF"),"Control CDI Plate "&amp;(INT(((COUNTIFS($B$2:$B105,"SER")+COUNTIFS($B$2:$B105,"PLH")+COUNTIFS($B$2:$B105,"CSF"))-1)/96)+1)&amp;": "&amp;CHAR(65+INT(MOD((COUNTIFS($B$2:$B105,"SER")+COUNTIFS($B$2:$B105,"PLH")+COUNTIFS($B$2:$B105,"CSF"))-1,96)/12))&amp;(MOD((COUNTIFS($B$2:$B105,"SER")+COUNTIFS($B$2:$B105,"PLH")+COUNTIFS($B$2:$B105,"CSF"))-1,12)+1),"N/A"),"")</f>
        <v/>
      </c>
      <c r="H105" s="6" t="str">
        <f>IF(AND($A105&lt;&gt;"",$B105&lt;&gt;"",$C105&lt;&gt;"",$D105&lt;&gt;""),IF(OR($B105="SER",$B105="PLH",$B105="CSF"),"Control NIH Plate "&amp;(INT(((COUNTIFS($B$2:$B105,"SER")+COUNTIFS($B$2:$B105,"PLH")+COUNTIFS($B$2:$B105,"CSF"))-1)/96)+1)&amp;": "&amp;CHAR(65+INT(MOD((COUNTIFS($B$2:$B105,"SER")+COUNTIFS($B$2:$B105,"PLH")+COUNTIFS($B$2:$B105,"CSF"))-1,96)/12))&amp;(MOD((COUNTIFS($B$2:$B105,"SER")+COUNTIFS($B$2:$B105,"PLH")+COUNTIFS($B$2:$B105,"CSF"))-1,12)+1),"N/A"),"")</f>
        <v/>
      </c>
      <c r="I105" s="6" t="str">
        <f>IF(AND($A105&lt;&gt;"",$B105&lt;&gt;"",$C105&lt;&gt;"",$D105&lt;&gt;""),IF(OR($B105="SER",$B105="PLH"),"Control MAX Planck Plate "&amp;(INT(((COUNTIFS($B$2:$B105,"SER")+COUNTIFS($B$2:$B105,"PLH"))-1)/96)+1)&amp;": "&amp;CHAR(65+INT(MOD((COUNTIFS($B$2:$B105,"SER")+COUNTIFS($B$2:$B105,"PLH"))-1,96)/12))&amp;(MOD((COUNTIFS($B$2:$B105,"SER")+COUNTIFS($B$2:$B105,"PLH"))-1,12)+1),"N/A"),"")</f>
        <v/>
      </c>
      <c r="J105" s="6" t="str">
        <f>IF(AND($A105&lt;&gt;"",$B105&lt;&gt;"",$C105&lt;&gt;"",$D105&lt;&gt;""),IF($B105="WB","Control WB Box "&amp;(INT((COUNTIFS($B$2:$B105,"WB")-1)/81)+1)&amp;": "&amp;CHAR(65+INT(MOD(COUNTIFS($B$2:$B105,"WB")-1,81)/9))&amp;(MOD(COUNTIFS($B$2:$B105,"WB")-1,9)+1),"N/A"),"")</f>
        <v/>
      </c>
      <c r="K105" s="3" t="str">
        <f t="shared" si="19"/>
        <v/>
      </c>
      <c r="L105" s="2"/>
      <c r="M105" s="2"/>
      <c r="N105" s="2"/>
      <c r="O105" s="7" t="str">
        <f t="shared" si="20"/>
        <v/>
      </c>
      <c r="P105" s="7" t="str">
        <f t="shared" si="21"/>
        <v/>
      </c>
      <c r="Q105" s="7" t="str">
        <f t="shared" si="22"/>
        <v/>
      </c>
      <c r="R105" s="7" t="str">
        <f t="shared" si="23"/>
        <v/>
      </c>
      <c r="S105" s="7" t="str">
        <f t="shared" si="24"/>
        <v/>
      </c>
      <c r="T105" s="7" t="str">
        <f t="shared" si="25"/>
        <v/>
      </c>
      <c r="U105" s="7" t="str">
        <f t="shared" si="26"/>
        <v/>
      </c>
      <c r="V105" s="7" t="str">
        <f t="shared" si="27"/>
        <v/>
      </c>
      <c r="W105" s="7" t="str">
        <f t="shared" si="28"/>
        <v/>
      </c>
      <c r="X105" s="7" t="str">
        <f t="shared" si="29"/>
        <v/>
      </c>
      <c r="Y105">
        <f t="shared" si="30"/>
        <v>0</v>
      </c>
      <c r="Z105" t="str">
        <f t="shared" si="31"/>
        <v/>
      </c>
      <c r="AA105" t="str">
        <f t="shared" si="32"/>
        <v/>
      </c>
      <c r="AB105" t="str">
        <f t="shared" si="33"/>
        <v/>
      </c>
      <c r="AC105" t="str">
        <f t="shared" si="34"/>
        <v/>
      </c>
      <c r="AD105">
        <f t="shared" si="35"/>
        <v>0</v>
      </c>
    </row>
    <row r="106" spans="1:30" ht="15" customHeight="1" x14ac:dyDescent="0.35">
      <c r="A106" s="2"/>
      <c r="B106" s="3"/>
      <c r="C106" s="4"/>
      <c r="D106" s="5"/>
      <c r="E106" s="11" t="str">
        <f t="shared" ca="1" si="18"/>
        <v/>
      </c>
      <c r="F106" s="5"/>
      <c r="G106" s="6" t="str">
        <f>IF(AND($A106&lt;&gt;"",$B106&lt;&gt;"",$C106&lt;&gt;"",$D106&lt;&gt;""),IF(OR($B106="SER",$B106="PLH",$B106="CSF"),"Control CDI Plate "&amp;(INT(((COUNTIFS($B$2:$B106,"SER")+COUNTIFS($B$2:$B106,"PLH")+COUNTIFS($B$2:$B106,"CSF"))-1)/96)+1)&amp;": "&amp;CHAR(65+INT(MOD((COUNTIFS($B$2:$B106,"SER")+COUNTIFS($B$2:$B106,"PLH")+COUNTIFS($B$2:$B106,"CSF"))-1,96)/12))&amp;(MOD((COUNTIFS($B$2:$B106,"SER")+COUNTIFS($B$2:$B106,"PLH")+COUNTIFS($B$2:$B106,"CSF"))-1,12)+1),"N/A"),"")</f>
        <v/>
      </c>
      <c r="H106" s="6" t="str">
        <f>IF(AND($A106&lt;&gt;"",$B106&lt;&gt;"",$C106&lt;&gt;"",$D106&lt;&gt;""),IF(OR($B106="SER",$B106="PLH",$B106="CSF"),"Control NIH Plate "&amp;(INT(((COUNTIFS($B$2:$B106,"SER")+COUNTIFS($B$2:$B106,"PLH")+COUNTIFS($B$2:$B106,"CSF"))-1)/96)+1)&amp;": "&amp;CHAR(65+INT(MOD((COUNTIFS($B$2:$B106,"SER")+COUNTIFS($B$2:$B106,"PLH")+COUNTIFS($B$2:$B106,"CSF"))-1,96)/12))&amp;(MOD((COUNTIFS($B$2:$B106,"SER")+COUNTIFS($B$2:$B106,"PLH")+COUNTIFS($B$2:$B106,"CSF"))-1,12)+1),"N/A"),"")</f>
        <v/>
      </c>
      <c r="I106" s="6" t="str">
        <f>IF(AND($A106&lt;&gt;"",$B106&lt;&gt;"",$C106&lt;&gt;"",$D106&lt;&gt;""),IF(OR($B106="SER",$B106="PLH"),"Control MAX Planck Plate "&amp;(INT(((COUNTIFS($B$2:$B106,"SER")+COUNTIFS($B$2:$B106,"PLH"))-1)/96)+1)&amp;": "&amp;CHAR(65+INT(MOD((COUNTIFS($B$2:$B106,"SER")+COUNTIFS($B$2:$B106,"PLH"))-1,96)/12))&amp;(MOD((COUNTIFS($B$2:$B106,"SER")+COUNTIFS($B$2:$B106,"PLH"))-1,12)+1),"N/A"),"")</f>
        <v/>
      </c>
      <c r="J106" s="6" t="str">
        <f>IF(AND($A106&lt;&gt;"",$B106&lt;&gt;"",$C106&lt;&gt;"",$D106&lt;&gt;""),IF($B106="WB","Control WB Box "&amp;(INT((COUNTIFS($B$2:$B106,"WB")-1)/81)+1)&amp;": "&amp;CHAR(65+INT(MOD(COUNTIFS($B$2:$B106,"WB")-1,81)/9))&amp;(MOD(COUNTIFS($B$2:$B106,"WB")-1,9)+1),"N/A"),"")</f>
        <v/>
      </c>
      <c r="K106" s="3" t="str">
        <f t="shared" si="19"/>
        <v/>
      </c>
      <c r="L106" s="2"/>
      <c r="M106" s="2"/>
      <c r="N106" s="2"/>
      <c r="O106" s="7" t="str">
        <f t="shared" si="20"/>
        <v/>
      </c>
      <c r="P106" s="7" t="str">
        <f t="shared" si="21"/>
        <v/>
      </c>
      <c r="Q106" s="7" t="str">
        <f t="shared" si="22"/>
        <v/>
      </c>
      <c r="R106" s="7" t="str">
        <f t="shared" si="23"/>
        <v/>
      </c>
      <c r="S106" s="7" t="str">
        <f t="shared" si="24"/>
        <v/>
      </c>
      <c r="T106" s="7" t="str">
        <f t="shared" si="25"/>
        <v/>
      </c>
      <c r="U106" s="7" t="str">
        <f t="shared" si="26"/>
        <v/>
      </c>
      <c r="V106" s="7" t="str">
        <f t="shared" si="27"/>
        <v/>
      </c>
      <c r="W106" s="7" t="str">
        <f t="shared" si="28"/>
        <v/>
      </c>
      <c r="X106" s="7" t="str">
        <f t="shared" si="29"/>
        <v/>
      </c>
      <c r="Y106">
        <f t="shared" si="30"/>
        <v>0</v>
      </c>
      <c r="Z106" t="str">
        <f t="shared" si="31"/>
        <v/>
      </c>
      <c r="AA106" t="str">
        <f t="shared" si="32"/>
        <v/>
      </c>
      <c r="AB106" t="str">
        <f t="shared" si="33"/>
        <v/>
      </c>
      <c r="AC106" t="str">
        <f t="shared" si="34"/>
        <v/>
      </c>
      <c r="AD106">
        <f t="shared" si="35"/>
        <v>0</v>
      </c>
    </row>
    <row r="107" spans="1:30" ht="15" customHeight="1" x14ac:dyDescent="0.35">
      <c r="A107" s="2"/>
      <c r="B107" s="3"/>
      <c r="C107" s="4"/>
      <c r="D107" s="5"/>
      <c r="E107" s="11" t="str">
        <f t="shared" ca="1" si="18"/>
        <v/>
      </c>
      <c r="F107" s="5"/>
      <c r="G107" s="6" t="str">
        <f>IF(AND($A107&lt;&gt;"",$B107&lt;&gt;"",$C107&lt;&gt;"",$D107&lt;&gt;""),IF(OR($B107="SER",$B107="PLH",$B107="CSF"),"Control CDI Plate "&amp;(INT(((COUNTIFS($B$2:$B107,"SER")+COUNTIFS($B$2:$B107,"PLH")+COUNTIFS($B$2:$B107,"CSF"))-1)/96)+1)&amp;": "&amp;CHAR(65+INT(MOD((COUNTIFS($B$2:$B107,"SER")+COUNTIFS($B$2:$B107,"PLH")+COUNTIFS($B$2:$B107,"CSF"))-1,96)/12))&amp;(MOD((COUNTIFS($B$2:$B107,"SER")+COUNTIFS($B$2:$B107,"PLH")+COUNTIFS($B$2:$B107,"CSF"))-1,12)+1),"N/A"),"")</f>
        <v/>
      </c>
      <c r="H107" s="6" t="str">
        <f>IF(AND($A107&lt;&gt;"",$B107&lt;&gt;"",$C107&lt;&gt;"",$D107&lt;&gt;""),IF(OR($B107="SER",$B107="PLH",$B107="CSF"),"Control NIH Plate "&amp;(INT(((COUNTIFS($B$2:$B107,"SER")+COUNTIFS($B$2:$B107,"PLH")+COUNTIFS($B$2:$B107,"CSF"))-1)/96)+1)&amp;": "&amp;CHAR(65+INT(MOD((COUNTIFS($B$2:$B107,"SER")+COUNTIFS($B$2:$B107,"PLH")+COUNTIFS($B$2:$B107,"CSF"))-1,96)/12))&amp;(MOD((COUNTIFS($B$2:$B107,"SER")+COUNTIFS($B$2:$B107,"PLH")+COUNTIFS($B$2:$B107,"CSF"))-1,12)+1),"N/A"),"")</f>
        <v/>
      </c>
      <c r="I107" s="6" t="str">
        <f>IF(AND($A107&lt;&gt;"",$B107&lt;&gt;"",$C107&lt;&gt;"",$D107&lt;&gt;""),IF(OR($B107="SER",$B107="PLH"),"Control MAX Planck Plate "&amp;(INT(((COUNTIFS($B$2:$B107,"SER")+COUNTIFS($B$2:$B107,"PLH"))-1)/96)+1)&amp;": "&amp;CHAR(65+INT(MOD((COUNTIFS($B$2:$B107,"SER")+COUNTIFS($B$2:$B107,"PLH"))-1,96)/12))&amp;(MOD((COUNTIFS($B$2:$B107,"SER")+COUNTIFS($B$2:$B107,"PLH"))-1,12)+1),"N/A"),"")</f>
        <v/>
      </c>
      <c r="J107" s="6" t="str">
        <f>IF(AND($A107&lt;&gt;"",$B107&lt;&gt;"",$C107&lt;&gt;"",$D107&lt;&gt;""),IF($B107="WB","Control WB Box "&amp;(INT((COUNTIFS($B$2:$B107,"WB")-1)/81)+1)&amp;": "&amp;CHAR(65+INT(MOD(COUNTIFS($B$2:$B107,"WB")-1,81)/9))&amp;(MOD(COUNTIFS($B$2:$B107,"WB")-1,9)+1),"N/A"),"")</f>
        <v/>
      </c>
      <c r="K107" s="3" t="str">
        <f t="shared" si="19"/>
        <v/>
      </c>
      <c r="L107" s="2"/>
      <c r="M107" s="2"/>
      <c r="N107" s="2"/>
      <c r="O107" s="7" t="str">
        <f t="shared" si="20"/>
        <v/>
      </c>
      <c r="P107" s="7" t="str">
        <f t="shared" si="21"/>
        <v/>
      </c>
      <c r="Q107" s="7" t="str">
        <f t="shared" si="22"/>
        <v/>
      </c>
      <c r="R107" s="7" t="str">
        <f t="shared" si="23"/>
        <v/>
      </c>
      <c r="S107" s="7" t="str">
        <f t="shared" si="24"/>
        <v/>
      </c>
      <c r="T107" s="7" t="str">
        <f t="shared" si="25"/>
        <v/>
      </c>
      <c r="U107" s="7" t="str">
        <f t="shared" si="26"/>
        <v/>
      </c>
      <c r="V107" s="7" t="str">
        <f t="shared" si="27"/>
        <v/>
      </c>
      <c r="W107" s="7" t="str">
        <f t="shared" si="28"/>
        <v/>
      </c>
      <c r="X107" s="7" t="str">
        <f t="shared" si="29"/>
        <v/>
      </c>
      <c r="Y107">
        <f t="shared" si="30"/>
        <v>0</v>
      </c>
      <c r="Z107" t="str">
        <f t="shared" si="31"/>
        <v/>
      </c>
      <c r="AA107" t="str">
        <f t="shared" si="32"/>
        <v/>
      </c>
      <c r="AB107" t="str">
        <f t="shared" si="33"/>
        <v/>
      </c>
      <c r="AC107" t="str">
        <f t="shared" si="34"/>
        <v/>
      </c>
      <c r="AD107">
        <f t="shared" si="35"/>
        <v>0</v>
      </c>
    </row>
    <row r="108" spans="1:30" ht="15" customHeight="1" x14ac:dyDescent="0.35">
      <c r="A108" s="2"/>
      <c r="B108" s="3"/>
      <c r="C108" s="4"/>
      <c r="D108" s="5"/>
      <c r="E108" s="11" t="str">
        <f t="shared" ca="1" si="18"/>
        <v/>
      </c>
      <c r="F108" s="5"/>
      <c r="G108" s="6" t="str">
        <f>IF(AND($A108&lt;&gt;"",$B108&lt;&gt;"",$C108&lt;&gt;"",$D108&lt;&gt;""),IF(OR($B108="SER",$B108="PLH",$B108="CSF"),"Control CDI Plate "&amp;(INT(((COUNTIFS($B$2:$B108,"SER")+COUNTIFS($B$2:$B108,"PLH")+COUNTIFS($B$2:$B108,"CSF"))-1)/96)+1)&amp;": "&amp;CHAR(65+INT(MOD((COUNTIFS($B$2:$B108,"SER")+COUNTIFS($B$2:$B108,"PLH")+COUNTIFS($B$2:$B108,"CSF"))-1,96)/12))&amp;(MOD((COUNTIFS($B$2:$B108,"SER")+COUNTIFS($B$2:$B108,"PLH")+COUNTIFS($B$2:$B108,"CSF"))-1,12)+1),"N/A"),"")</f>
        <v/>
      </c>
      <c r="H108" s="6" t="str">
        <f>IF(AND($A108&lt;&gt;"",$B108&lt;&gt;"",$C108&lt;&gt;"",$D108&lt;&gt;""),IF(OR($B108="SER",$B108="PLH",$B108="CSF"),"Control NIH Plate "&amp;(INT(((COUNTIFS($B$2:$B108,"SER")+COUNTIFS($B$2:$B108,"PLH")+COUNTIFS($B$2:$B108,"CSF"))-1)/96)+1)&amp;": "&amp;CHAR(65+INT(MOD((COUNTIFS($B$2:$B108,"SER")+COUNTIFS($B$2:$B108,"PLH")+COUNTIFS($B$2:$B108,"CSF"))-1,96)/12))&amp;(MOD((COUNTIFS($B$2:$B108,"SER")+COUNTIFS($B$2:$B108,"PLH")+COUNTIFS($B$2:$B108,"CSF"))-1,12)+1),"N/A"),"")</f>
        <v/>
      </c>
      <c r="I108" s="6" t="str">
        <f>IF(AND($A108&lt;&gt;"",$B108&lt;&gt;"",$C108&lt;&gt;"",$D108&lt;&gt;""),IF(OR($B108="SER",$B108="PLH"),"Control MAX Planck Plate "&amp;(INT(((COUNTIFS($B$2:$B108,"SER")+COUNTIFS($B$2:$B108,"PLH"))-1)/96)+1)&amp;": "&amp;CHAR(65+INT(MOD((COUNTIFS($B$2:$B108,"SER")+COUNTIFS($B$2:$B108,"PLH"))-1,96)/12))&amp;(MOD((COUNTIFS($B$2:$B108,"SER")+COUNTIFS($B$2:$B108,"PLH"))-1,12)+1),"N/A"),"")</f>
        <v/>
      </c>
      <c r="J108" s="6" t="str">
        <f>IF(AND($A108&lt;&gt;"",$B108&lt;&gt;"",$C108&lt;&gt;"",$D108&lt;&gt;""),IF($B108="WB","Control WB Box "&amp;(INT((COUNTIFS($B$2:$B108,"WB")-1)/81)+1)&amp;": "&amp;CHAR(65+INT(MOD(COUNTIFS($B$2:$B108,"WB")-1,81)/9))&amp;(MOD(COUNTIFS($B$2:$B108,"WB")-1,9)+1),"N/A"),"")</f>
        <v/>
      </c>
      <c r="K108" s="3" t="str">
        <f t="shared" si="19"/>
        <v/>
      </c>
      <c r="L108" s="2"/>
      <c r="M108" s="2"/>
      <c r="N108" s="2"/>
      <c r="O108" s="7" t="str">
        <f t="shared" si="20"/>
        <v/>
      </c>
      <c r="P108" s="7" t="str">
        <f t="shared" si="21"/>
        <v/>
      </c>
      <c r="Q108" s="7" t="str">
        <f t="shared" si="22"/>
        <v/>
      </c>
      <c r="R108" s="7" t="str">
        <f t="shared" si="23"/>
        <v/>
      </c>
      <c r="S108" s="7" t="str">
        <f t="shared" si="24"/>
        <v/>
      </c>
      <c r="T108" s="7" t="str">
        <f t="shared" si="25"/>
        <v/>
      </c>
      <c r="U108" s="7" t="str">
        <f t="shared" si="26"/>
        <v/>
      </c>
      <c r="V108" s="7" t="str">
        <f t="shared" si="27"/>
        <v/>
      </c>
      <c r="W108" s="7" t="str">
        <f t="shared" si="28"/>
        <v/>
      </c>
      <c r="X108" s="7" t="str">
        <f t="shared" si="29"/>
        <v/>
      </c>
      <c r="Y108">
        <f t="shared" si="30"/>
        <v>0</v>
      </c>
      <c r="Z108" t="str">
        <f t="shared" si="31"/>
        <v/>
      </c>
      <c r="AA108" t="str">
        <f t="shared" si="32"/>
        <v/>
      </c>
      <c r="AB108" t="str">
        <f t="shared" si="33"/>
        <v/>
      </c>
      <c r="AC108" t="str">
        <f t="shared" si="34"/>
        <v/>
      </c>
      <c r="AD108">
        <f t="shared" si="35"/>
        <v>0</v>
      </c>
    </row>
    <row r="109" spans="1:30" ht="15" customHeight="1" x14ac:dyDescent="0.35">
      <c r="A109" s="2"/>
      <c r="B109" s="3"/>
      <c r="C109" s="4"/>
      <c r="D109" s="5"/>
      <c r="E109" s="11" t="str">
        <f t="shared" ca="1" si="18"/>
        <v/>
      </c>
      <c r="F109" s="5"/>
      <c r="G109" s="6" t="str">
        <f>IF(AND($A109&lt;&gt;"",$B109&lt;&gt;"",$C109&lt;&gt;"",$D109&lt;&gt;""),IF(OR($B109="SER",$B109="PLH",$B109="CSF"),"Control CDI Plate "&amp;(INT(((COUNTIFS($B$2:$B109,"SER")+COUNTIFS($B$2:$B109,"PLH")+COUNTIFS($B$2:$B109,"CSF"))-1)/96)+1)&amp;": "&amp;CHAR(65+INT(MOD((COUNTIFS($B$2:$B109,"SER")+COUNTIFS($B$2:$B109,"PLH")+COUNTIFS($B$2:$B109,"CSF"))-1,96)/12))&amp;(MOD((COUNTIFS($B$2:$B109,"SER")+COUNTIFS($B$2:$B109,"PLH")+COUNTIFS($B$2:$B109,"CSF"))-1,12)+1),"N/A"),"")</f>
        <v/>
      </c>
      <c r="H109" s="6" t="str">
        <f>IF(AND($A109&lt;&gt;"",$B109&lt;&gt;"",$C109&lt;&gt;"",$D109&lt;&gt;""),IF(OR($B109="SER",$B109="PLH",$B109="CSF"),"Control NIH Plate "&amp;(INT(((COUNTIFS($B$2:$B109,"SER")+COUNTIFS($B$2:$B109,"PLH")+COUNTIFS($B$2:$B109,"CSF"))-1)/96)+1)&amp;": "&amp;CHAR(65+INT(MOD((COUNTIFS($B$2:$B109,"SER")+COUNTIFS($B$2:$B109,"PLH")+COUNTIFS($B$2:$B109,"CSF"))-1,96)/12))&amp;(MOD((COUNTIFS($B$2:$B109,"SER")+COUNTIFS($B$2:$B109,"PLH")+COUNTIFS($B$2:$B109,"CSF"))-1,12)+1),"N/A"),"")</f>
        <v/>
      </c>
      <c r="I109" s="6" t="str">
        <f>IF(AND($A109&lt;&gt;"",$B109&lt;&gt;"",$C109&lt;&gt;"",$D109&lt;&gt;""),IF(OR($B109="SER",$B109="PLH"),"Control MAX Planck Plate "&amp;(INT(((COUNTIFS($B$2:$B109,"SER")+COUNTIFS($B$2:$B109,"PLH"))-1)/96)+1)&amp;": "&amp;CHAR(65+INT(MOD((COUNTIFS($B$2:$B109,"SER")+COUNTIFS($B$2:$B109,"PLH"))-1,96)/12))&amp;(MOD((COUNTIFS($B$2:$B109,"SER")+COUNTIFS($B$2:$B109,"PLH"))-1,12)+1),"N/A"),"")</f>
        <v/>
      </c>
      <c r="J109" s="6" t="str">
        <f>IF(AND($A109&lt;&gt;"",$B109&lt;&gt;"",$C109&lt;&gt;"",$D109&lt;&gt;""),IF($B109="WB","Control WB Box "&amp;(INT((COUNTIFS($B$2:$B109,"WB")-1)/81)+1)&amp;": "&amp;CHAR(65+INT(MOD(COUNTIFS($B$2:$B109,"WB")-1,81)/9))&amp;(MOD(COUNTIFS($B$2:$B109,"WB")-1,9)+1),"N/A"),"")</f>
        <v/>
      </c>
      <c r="K109" s="3" t="str">
        <f t="shared" si="19"/>
        <v/>
      </c>
      <c r="L109" s="2"/>
      <c r="M109" s="2"/>
      <c r="N109" s="2"/>
      <c r="O109" s="7" t="str">
        <f t="shared" si="20"/>
        <v/>
      </c>
      <c r="P109" s="7" t="str">
        <f t="shared" si="21"/>
        <v/>
      </c>
      <c r="Q109" s="7" t="str">
        <f t="shared" si="22"/>
        <v/>
      </c>
      <c r="R109" s="7" t="str">
        <f t="shared" si="23"/>
        <v/>
      </c>
      <c r="S109" s="7" t="str">
        <f t="shared" si="24"/>
        <v/>
      </c>
      <c r="T109" s="7" t="str">
        <f t="shared" si="25"/>
        <v/>
      </c>
      <c r="U109" s="7" t="str">
        <f t="shared" si="26"/>
        <v/>
      </c>
      <c r="V109" s="7" t="str">
        <f t="shared" si="27"/>
        <v/>
      </c>
      <c r="W109" s="7" t="str">
        <f t="shared" si="28"/>
        <v/>
      </c>
      <c r="X109" s="7" t="str">
        <f t="shared" si="29"/>
        <v/>
      </c>
      <c r="Y109">
        <f t="shared" si="30"/>
        <v>0</v>
      </c>
      <c r="Z109" t="str">
        <f t="shared" si="31"/>
        <v/>
      </c>
      <c r="AA109" t="str">
        <f t="shared" si="32"/>
        <v/>
      </c>
      <c r="AB109" t="str">
        <f t="shared" si="33"/>
        <v/>
      </c>
      <c r="AC109" t="str">
        <f t="shared" si="34"/>
        <v/>
      </c>
      <c r="AD109">
        <f t="shared" si="35"/>
        <v>0</v>
      </c>
    </row>
    <row r="110" spans="1:30" ht="15" customHeight="1" x14ac:dyDescent="0.35">
      <c r="A110" s="2"/>
      <c r="B110" s="3"/>
      <c r="C110" s="4"/>
      <c r="D110" s="5"/>
      <c r="E110" s="11" t="str">
        <f t="shared" ca="1" si="18"/>
        <v/>
      </c>
      <c r="F110" s="5"/>
      <c r="G110" s="6" t="str">
        <f>IF(AND($A110&lt;&gt;"",$B110&lt;&gt;"",$C110&lt;&gt;"",$D110&lt;&gt;""),IF(OR($B110="SER",$B110="PLH",$B110="CSF"),"Control CDI Plate "&amp;(INT(((COUNTIFS($B$2:$B110,"SER")+COUNTIFS($B$2:$B110,"PLH")+COUNTIFS($B$2:$B110,"CSF"))-1)/96)+1)&amp;": "&amp;CHAR(65+INT(MOD((COUNTIFS($B$2:$B110,"SER")+COUNTIFS($B$2:$B110,"PLH")+COUNTIFS($B$2:$B110,"CSF"))-1,96)/12))&amp;(MOD((COUNTIFS($B$2:$B110,"SER")+COUNTIFS($B$2:$B110,"PLH")+COUNTIFS($B$2:$B110,"CSF"))-1,12)+1),"N/A"),"")</f>
        <v/>
      </c>
      <c r="H110" s="6" t="str">
        <f>IF(AND($A110&lt;&gt;"",$B110&lt;&gt;"",$C110&lt;&gt;"",$D110&lt;&gt;""),IF(OR($B110="SER",$B110="PLH",$B110="CSF"),"Control NIH Plate "&amp;(INT(((COUNTIFS($B$2:$B110,"SER")+COUNTIFS($B$2:$B110,"PLH")+COUNTIFS($B$2:$B110,"CSF"))-1)/96)+1)&amp;": "&amp;CHAR(65+INT(MOD((COUNTIFS($B$2:$B110,"SER")+COUNTIFS($B$2:$B110,"PLH")+COUNTIFS($B$2:$B110,"CSF"))-1,96)/12))&amp;(MOD((COUNTIFS($B$2:$B110,"SER")+COUNTIFS($B$2:$B110,"PLH")+COUNTIFS($B$2:$B110,"CSF"))-1,12)+1),"N/A"),"")</f>
        <v/>
      </c>
      <c r="I110" s="6" t="str">
        <f>IF(AND($A110&lt;&gt;"",$B110&lt;&gt;"",$C110&lt;&gt;"",$D110&lt;&gt;""),IF(OR($B110="SER",$B110="PLH"),"Control MAX Planck Plate "&amp;(INT(((COUNTIFS($B$2:$B110,"SER")+COUNTIFS($B$2:$B110,"PLH"))-1)/96)+1)&amp;": "&amp;CHAR(65+INT(MOD((COUNTIFS($B$2:$B110,"SER")+COUNTIFS($B$2:$B110,"PLH"))-1,96)/12))&amp;(MOD((COUNTIFS($B$2:$B110,"SER")+COUNTIFS($B$2:$B110,"PLH"))-1,12)+1),"N/A"),"")</f>
        <v/>
      </c>
      <c r="J110" s="6" t="str">
        <f>IF(AND($A110&lt;&gt;"",$B110&lt;&gt;"",$C110&lt;&gt;"",$D110&lt;&gt;""),IF($B110="WB","Control WB Box "&amp;(INT((COUNTIFS($B$2:$B110,"WB")-1)/81)+1)&amp;": "&amp;CHAR(65+INT(MOD(COUNTIFS($B$2:$B110,"WB")-1,81)/9))&amp;(MOD(COUNTIFS($B$2:$B110,"WB")-1,9)+1),"N/A"),"")</f>
        <v/>
      </c>
      <c r="K110" s="3" t="str">
        <f t="shared" si="19"/>
        <v/>
      </c>
      <c r="L110" s="2"/>
      <c r="M110" s="2"/>
      <c r="N110" s="2"/>
      <c r="O110" s="7" t="str">
        <f t="shared" si="20"/>
        <v/>
      </c>
      <c r="P110" s="7" t="str">
        <f t="shared" si="21"/>
        <v/>
      </c>
      <c r="Q110" s="7" t="str">
        <f t="shared" si="22"/>
        <v/>
      </c>
      <c r="R110" s="7" t="str">
        <f t="shared" si="23"/>
        <v/>
      </c>
      <c r="S110" s="7" t="str">
        <f t="shared" si="24"/>
        <v/>
      </c>
      <c r="T110" s="7" t="str">
        <f t="shared" si="25"/>
        <v/>
      </c>
      <c r="U110" s="7" t="str">
        <f t="shared" si="26"/>
        <v/>
      </c>
      <c r="V110" s="7" t="str">
        <f t="shared" si="27"/>
        <v/>
      </c>
      <c r="W110" s="7" t="str">
        <f t="shared" si="28"/>
        <v/>
      </c>
      <c r="X110" s="7" t="str">
        <f t="shared" si="29"/>
        <v/>
      </c>
      <c r="Y110">
        <f t="shared" si="30"/>
        <v>0</v>
      </c>
      <c r="Z110" t="str">
        <f t="shared" si="31"/>
        <v/>
      </c>
      <c r="AA110" t="str">
        <f t="shared" si="32"/>
        <v/>
      </c>
      <c r="AB110" t="str">
        <f t="shared" si="33"/>
        <v/>
      </c>
      <c r="AC110" t="str">
        <f t="shared" si="34"/>
        <v/>
      </c>
      <c r="AD110">
        <f t="shared" si="35"/>
        <v>0</v>
      </c>
    </row>
    <row r="111" spans="1:30" ht="15" customHeight="1" x14ac:dyDescent="0.35">
      <c r="A111" s="2"/>
      <c r="B111" s="3"/>
      <c r="C111" s="4"/>
      <c r="D111" s="5"/>
      <c r="E111" s="11" t="str">
        <f t="shared" ca="1" si="18"/>
        <v/>
      </c>
      <c r="F111" s="5"/>
      <c r="G111" s="6" t="str">
        <f>IF(AND($A111&lt;&gt;"",$B111&lt;&gt;"",$C111&lt;&gt;"",$D111&lt;&gt;""),IF(OR($B111="SER",$B111="PLH",$B111="CSF"),"Control CDI Plate "&amp;(INT(((COUNTIFS($B$2:$B111,"SER")+COUNTIFS($B$2:$B111,"PLH")+COUNTIFS($B$2:$B111,"CSF"))-1)/96)+1)&amp;": "&amp;CHAR(65+INT(MOD((COUNTIFS($B$2:$B111,"SER")+COUNTIFS($B$2:$B111,"PLH")+COUNTIFS($B$2:$B111,"CSF"))-1,96)/12))&amp;(MOD((COUNTIFS($B$2:$B111,"SER")+COUNTIFS($B$2:$B111,"PLH")+COUNTIFS($B$2:$B111,"CSF"))-1,12)+1),"N/A"),"")</f>
        <v/>
      </c>
      <c r="H111" s="6" t="str">
        <f>IF(AND($A111&lt;&gt;"",$B111&lt;&gt;"",$C111&lt;&gt;"",$D111&lt;&gt;""),IF(OR($B111="SER",$B111="PLH",$B111="CSF"),"Control NIH Plate "&amp;(INT(((COUNTIFS($B$2:$B111,"SER")+COUNTIFS($B$2:$B111,"PLH")+COUNTIFS($B$2:$B111,"CSF"))-1)/96)+1)&amp;": "&amp;CHAR(65+INT(MOD((COUNTIFS($B$2:$B111,"SER")+COUNTIFS($B$2:$B111,"PLH")+COUNTIFS($B$2:$B111,"CSF"))-1,96)/12))&amp;(MOD((COUNTIFS($B$2:$B111,"SER")+COUNTIFS($B$2:$B111,"PLH")+COUNTIFS($B$2:$B111,"CSF"))-1,12)+1),"N/A"),"")</f>
        <v/>
      </c>
      <c r="I111" s="6" t="str">
        <f>IF(AND($A111&lt;&gt;"",$B111&lt;&gt;"",$C111&lt;&gt;"",$D111&lt;&gt;""),IF(OR($B111="SER",$B111="PLH"),"Control MAX Planck Plate "&amp;(INT(((COUNTIFS($B$2:$B111,"SER")+COUNTIFS($B$2:$B111,"PLH"))-1)/96)+1)&amp;": "&amp;CHAR(65+INT(MOD((COUNTIFS($B$2:$B111,"SER")+COUNTIFS($B$2:$B111,"PLH"))-1,96)/12))&amp;(MOD((COUNTIFS($B$2:$B111,"SER")+COUNTIFS($B$2:$B111,"PLH"))-1,12)+1),"N/A"),"")</f>
        <v/>
      </c>
      <c r="J111" s="6" t="str">
        <f>IF(AND($A111&lt;&gt;"",$B111&lt;&gt;"",$C111&lt;&gt;"",$D111&lt;&gt;""),IF($B111="WB","Control WB Box "&amp;(INT((COUNTIFS($B$2:$B111,"WB")-1)/81)+1)&amp;": "&amp;CHAR(65+INT(MOD(COUNTIFS($B$2:$B111,"WB")-1,81)/9))&amp;(MOD(COUNTIFS($B$2:$B111,"WB")-1,9)+1),"N/A"),"")</f>
        <v/>
      </c>
      <c r="K111" s="3" t="str">
        <f t="shared" si="19"/>
        <v/>
      </c>
      <c r="L111" s="2"/>
      <c r="M111" s="2"/>
      <c r="N111" s="2"/>
      <c r="O111" s="7" t="str">
        <f t="shared" si="20"/>
        <v/>
      </c>
      <c r="P111" s="7" t="str">
        <f t="shared" si="21"/>
        <v/>
      </c>
      <c r="Q111" s="7" t="str">
        <f t="shared" si="22"/>
        <v/>
      </c>
      <c r="R111" s="7" t="str">
        <f t="shared" si="23"/>
        <v/>
      </c>
      <c r="S111" s="7" t="str">
        <f t="shared" si="24"/>
        <v/>
      </c>
      <c r="T111" s="7" t="str">
        <f t="shared" si="25"/>
        <v/>
      </c>
      <c r="U111" s="7" t="str">
        <f t="shared" si="26"/>
        <v/>
      </c>
      <c r="V111" s="7" t="str">
        <f t="shared" si="27"/>
        <v/>
      </c>
      <c r="W111" s="7" t="str">
        <f t="shared" si="28"/>
        <v/>
      </c>
      <c r="X111" s="7" t="str">
        <f t="shared" si="29"/>
        <v/>
      </c>
      <c r="Y111">
        <f t="shared" si="30"/>
        <v>0</v>
      </c>
      <c r="Z111" t="str">
        <f t="shared" si="31"/>
        <v/>
      </c>
      <c r="AA111" t="str">
        <f t="shared" si="32"/>
        <v/>
      </c>
      <c r="AB111" t="str">
        <f t="shared" si="33"/>
        <v/>
      </c>
      <c r="AC111" t="str">
        <f t="shared" si="34"/>
        <v/>
      </c>
      <c r="AD111">
        <f t="shared" si="35"/>
        <v>0</v>
      </c>
    </row>
    <row r="112" spans="1:30" ht="15" customHeight="1" x14ac:dyDescent="0.35">
      <c r="A112" s="2"/>
      <c r="B112" s="3"/>
      <c r="C112" s="4"/>
      <c r="D112" s="5"/>
      <c r="E112" s="11" t="str">
        <f t="shared" ca="1" si="18"/>
        <v/>
      </c>
      <c r="F112" s="5"/>
      <c r="G112" s="6" t="str">
        <f>IF(AND($A112&lt;&gt;"",$B112&lt;&gt;"",$C112&lt;&gt;"",$D112&lt;&gt;""),IF(OR($B112="SER",$B112="PLH",$B112="CSF"),"Control CDI Plate "&amp;(INT(((COUNTIFS($B$2:$B112,"SER")+COUNTIFS($B$2:$B112,"PLH")+COUNTIFS($B$2:$B112,"CSF"))-1)/96)+1)&amp;": "&amp;CHAR(65+INT(MOD((COUNTIFS($B$2:$B112,"SER")+COUNTIFS($B$2:$B112,"PLH")+COUNTIFS($B$2:$B112,"CSF"))-1,96)/12))&amp;(MOD((COUNTIFS($B$2:$B112,"SER")+COUNTIFS($B$2:$B112,"PLH")+COUNTIFS($B$2:$B112,"CSF"))-1,12)+1),"N/A"),"")</f>
        <v/>
      </c>
      <c r="H112" s="6" t="str">
        <f>IF(AND($A112&lt;&gt;"",$B112&lt;&gt;"",$C112&lt;&gt;"",$D112&lt;&gt;""),IF(OR($B112="SER",$B112="PLH",$B112="CSF"),"Control NIH Plate "&amp;(INT(((COUNTIFS($B$2:$B112,"SER")+COUNTIFS($B$2:$B112,"PLH")+COUNTIFS($B$2:$B112,"CSF"))-1)/96)+1)&amp;": "&amp;CHAR(65+INT(MOD((COUNTIFS($B$2:$B112,"SER")+COUNTIFS($B$2:$B112,"PLH")+COUNTIFS($B$2:$B112,"CSF"))-1,96)/12))&amp;(MOD((COUNTIFS($B$2:$B112,"SER")+COUNTIFS($B$2:$B112,"PLH")+COUNTIFS($B$2:$B112,"CSF"))-1,12)+1),"N/A"),"")</f>
        <v/>
      </c>
      <c r="I112" s="6" t="str">
        <f>IF(AND($A112&lt;&gt;"",$B112&lt;&gt;"",$C112&lt;&gt;"",$D112&lt;&gt;""),IF(OR($B112="SER",$B112="PLH"),"Control MAX Planck Plate "&amp;(INT(((COUNTIFS($B$2:$B112,"SER")+COUNTIFS($B$2:$B112,"PLH"))-1)/96)+1)&amp;": "&amp;CHAR(65+INT(MOD((COUNTIFS($B$2:$B112,"SER")+COUNTIFS($B$2:$B112,"PLH"))-1,96)/12))&amp;(MOD((COUNTIFS($B$2:$B112,"SER")+COUNTIFS($B$2:$B112,"PLH"))-1,12)+1),"N/A"),"")</f>
        <v/>
      </c>
      <c r="J112" s="6" t="str">
        <f>IF(AND($A112&lt;&gt;"",$B112&lt;&gt;"",$C112&lt;&gt;"",$D112&lt;&gt;""),IF($B112="WB","Control WB Box "&amp;(INT((COUNTIFS($B$2:$B112,"WB")-1)/81)+1)&amp;": "&amp;CHAR(65+INT(MOD(COUNTIFS($B$2:$B112,"WB")-1,81)/9))&amp;(MOD(COUNTIFS($B$2:$B112,"WB")-1,9)+1),"N/A"),"")</f>
        <v/>
      </c>
      <c r="K112" s="3" t="str">
        <f t="shared" si="19"/>
        <v/>
      </c>
      <c r="L112" s="2"/>
      <c r="M112" s="2"/>
      <c r="N112" s="2"/>
      <c r="O112" s="7" t="str">
        <f t="shared" si="20"/>
        <v/>
      </c>
      <c r="P112" s="7" t="str">
        <f t="shared" si="21"/>
        <v/>
      </c>
      <c r="Q112" s="7" t="str">
        <f t="shared" si="22"/>
        <v/>
      </c>
      <c r="R112" s="7" t="str">
        <f t="shared" si="23"/>
        <v/>
      </c>
      <c r="S112" s="7" t="str">
        <f t="shared" si="24"/>
        <v/>
      </c>
      <c r="T112" s="7" t="str">
        <f t="shared" si="25"/>
        <v/>
      </c>
      <c r="U112" s="7" t="str">
        <f t="shared" si="26"/>
        <v/>
      </c>
      <c r="V112" s="7" t="str">
        <f t="shared" si="27"/>
        <v/>
      </c>
      <c r="W112" s="7" t="str">
        <f t="shared" si="28"/>
        <v/>
      </c>
      <c r="X112" s="7" t="str">
        <f t="shared" si="29"/>
        <v/>
      </c>
      <c r="Y112">
        <f t="shared" si="30"/>
        <v>0</v>
      </c>
      <c r="Z112" t="str">
        <f t="shared" si="31"/>
        <v/>
      </c>
      <c r="AA112" t="str">
        <f t="shared" si="32"/>
        <v/>
      </c>
      <c r="AB112" t="str">
        <f t="shared" si="33"/>
        <v/>
      </c>
      <c r="AC112" t="str">
        <f t="shared" si="34"/>
        <v/>
      </c>
      <c r="AD112">
        <f t="shared" si="35"/>
        <v>0</v>
      </c>
    </row>
    <row r="113" spans="1:30" ht="15" customHeight="1" x14ac:dyDescent="0.35">
      <c r="A113" s="2"/>
      <c r="B113" s="3"/>
      <c r="C113" s="4"/>
      <c r="D113" s="5"/>
      <c r="E113" s="11" t="str">
        <f t="shared" ca="1" si="18"/>
        <v/>
      </c>
      <c r="F113" s="5"/>
      <c r="G113" s="6" t="str">
        <f>IF(AND($A113&lt;&gt;"",$B113&lt;&gt;"",$C113&lt;&gt;"",$D113&lt;&gt;""),IF(OR($B113="SER",$B113="PLH",$B113="CSF"),"Control CDI Plate "&amp;(INT(((COUNTIFS($B$2:$B113,"SER")+COUNTIFS($B$2:$B113,"PLH")+COUNTIFS($B$2:$B113,"CSF"))-1)/96)+1)&amp;": "&amp;CHAR(65+INT(MOD((COUNTIFS($B$2:$B113,"SER")+COUNTIFS($B$2:$B113,"PLH")+COUNTIFS($B$2:$B113,"CSF"))-1,96)/12))&amp;(MOD((COUNTIFS($B$2:$B113,"SER")+COUNTIFS($B$2:$B113,"PLH")+COUNTIFS($B$2:$B113,"CSF"))-1,12)+1),"N/A"),"")</f>
        <v/>
      </c>
      <c r="H113" s="6" t="str">
        <f>IF(AND($A113&lt;&gt;"",$B113&lt;&gt;"",$C113&lt;&gt;"",$D113&lt;&gt;""),IF(OR($B113="SER",$B113="PLH",$B113="CSF"),"Control NIH Plate "&amp;(INT(((COUNTIFS($B$2:$B113,"SER")+COUNTIFS($B$2:$B113,"PLH")+COUNTIFS($B$2:$B113,"CSF"))-1)/96)+1)&amp;": "&amp;CHAR(65+INT(MOD((COUNTIFS($B$2:$B113,"SER")+COUNTIFS($B$2:$B113,"PLH")+COUNTIFS($B$2:$B113,"CSF"))-1,96)/12))&amp;(MOD((COUNTIFS($B$2:$B113,"SER")+COUNTIFS($B$2:$B113,"PLH")+COUNTIFS($B$2:$B113,"CSF"))-1,12)+1),"N/A"),"")</f>
        <v/>
      </c>
      <c r="I113" s="6" t="str">
        <f>IF(AND($A113&lt;&gt;"",$B113&lt;&gt;"",$C113&lt;&gt;"",$D113&lt;&gt;""),IF(OR($B113="SER",$B113="PLH"),"Control MAX Planck Plate "&amp;(INT(((COUNTIFS($B$2:$B113,"SER")+COUNTIFS($B$2:$B113,"PLH"))-1)/96)+1)&amp;": "&amp;CHAR(65+INT(MOD((COUNTIFS($B$2:$B113,"SER")+COUNTIFS($B$2:$B113,"PLH"))-1,96)/12))&amp;(MOD((COUNTIFS($B$2:$B113,"SER")+COUNTIFS($B$2:$B113,"PLH"))-1,12)+1),"N/A"),"")</f>
        <v/>
      </c>
      <c r="J113" s="6" t="str">
        <f>IF(AND($A113&lt;&gt;"",$B113&lt;&gt;"",$C113&lt;&gt;"",$D113&lt;&gt;""),IF($B113="WB","Control WB Box "&amp;(INT((COUNTIFS($B$2:$B113,"WB")-1)/81)+1)&amp;": "&amp;CHAR(65+INT(MOD(COUNTIFS($B$2:$B113,"WB")-1,81)/9))&amp;(MOD(COUNTIFS($B$2:$B113,"WB")-1,9)+1),"N/A"),"")</f>
        <v/>
      </c>
      <c r="K113" s="3" t="str">
        <f t="shared" si="19"/>
        <v/>
      </c>
      <c r="L113" s="2"/>
      <c r="M113" s="2"/>
      <c r="N113" s="2"/>
      <c r="O113" s="7" t="str">
        <f t="shared" si="20"/>
        <v/>
      </c>
      <c r="P113" s="7" t="str">
        <f t="shared" si="21"/>
        <v/>
      </c>
      <c r="Q113" s="7" t="str">
        <f t="shared" si="22"/>
        <v/>
      </c>
      <c r="R113" s="7" t="str">
        <f t="shared" si="23"/>
        <v/>
      </c>
      <c r="S113" s="7" t="str">
        <f t="shared" si="24"/>
        <v/>
      </c>
      <c r="T113" s="7" t="str">
        <f t="shared" si="25"/>
        <v/>
      </c>
      <c r="U113" s="7" t="str">
        <f t="shared" si="26"/>
        <v/>
      </c>
      <c r="V113" s="7" t="str">
        <f t="shared" si="27"/>
        <v/>
      </c>
      <c r="W113" s="7" t="str">
        <f t="shared" si="28"/>
        <v/>
      </c>
      <c r="X113" s="7" t="str">
        <f t="shared" si="29"/>
        <v/>
      </c>
      <c r="Y113">
        <f t="shared" si="30"/>
        <v>0</v>
      </c>
      <c r="Z113" t="str">
        <f t="shared" si="31"/>
        <v/>
      </c>
      <c r="AA113" t="str">
        <f t="shared" si="32"/>
        <v/>
      </c>
      <c r="AB113" t="str">
        <f t="shared" si="33"/>
        <v/>
      </c>
      <c r="AC113" t="str">
        <f t="shared" si="34"/>
        <v/>
      </c>
      <c r="AD113">
        <f t="shared" si="35"/>
        <v>0</v>
      </c>
    </row>
    <row r="114" spans="1:30" ht="15" customHeight="1" x14ac:dyDescent="0.35">
      <c r="A114" s="2"/>
      <c r="B114" s="3"/>
      <c r="C114" s="4"/>
      <c r="D114" s="5"/>
      <c r="E114" s="11" t="str">
        <f t="shared" ca="1" si="18"/>
        <v/>
      </c>
      <c r="F114" s="5"/>
      <c r="G114" s="6" t="str">
        <f>IF(AND($A114&lt;&gt;"",$B114&lt;&gt;"",$C114&lt;&gt;"",$D114&lt;&gt;""),IF(OR($B114="SER",$B114="PLH",$B114="CSF"),"Control CDI Plate "&amp;(INT(((COUNTIFS($B$2:$B114,"SER")+COUNTIFS($B$2:$B114,"PLH")+COUNTIFS($B$2:$B114,"CSF"))-1)/96)+1)&amp;": "&amp;CHAR(65+INT(MOD((COUNTIFS($B$2:$B114,"SER")+COUNTIFS($B$2:$B114,"PLH")+COUNTIFS($B$2:$B114,"CSF"))-1,96)/12))&amp;(MOD((COUNTIFS($B$2:$B114,"SER")+COUNTIFS($B$2:$B114,"PLH")+COUNTIFS($B$2:$B114,"CSF"))-1,12)+1),"N/A"),"")</f>
        <v/>
      </c>
      <c r="H114" s="6" t="str">
        <f>IF(AND($A114&lt;&gt;"",$B114&lt;&gt;"",$C114&lt;&gt;"",$D114&lt;&gt;""),IF(OR($B114="SER",$B114="PLH",$B114="CSF"),"Control NIH Plate "&amp;(INT(((COUNTIFS($B$2:$B114,"SER")+COUNTIFS($B$2:$B114,"PLH")+COUNTIFS($B$2:$B114,"CSF"))-1)/96)+1)&amp;": "&amp;CHAR(65+INT(MOD((COUNTIFS($B$2:$B114,"SER")+COUNTIFS($B$2:$B114,"PLH")+COUNTIFS($B$2:$B114,"CSF"))-1,96)/12))&amp;(MOD((COUNTIFS($B$2:$B114,"SER")+COUNTIFS($B$2:$B114,"PLH")+COUNTIFS($B$2:$B114,"CSF"))-1,12)+1),"N/A"),"")</f>
        <v/>
      </c>
      <c r="I114" s="6" t="str">
        <f>IF(AND($A114&lt;&gt;"",$B114&lt;&gt;"",$C114&lt;&gt;"",$D114&lt;&gt;""),IF(OR($B114="SER",$B114="PLH"),"Control MAX Planck Plate "&amp;(INT(((COUNTIFS($B$2:$B114,"SER")+COUNTIFS($B$2:$B114,"PLH"))-1)/96)+1)&amp;": "&amp;CHAR(65+INT(MOD((COUNTIFS($B$2:$B114,"SER")+COUNTIFS($B$2:$B114,"PLH"))-1,96)/12))&amp;(MOD((COUNTIFS($B$2:$B114,"SER")+COUNTIFS($B$2:$B114,"PLH"))-1,12)+1),"N/A"),"")</f>
        <v/>
      </c>
      <c r="J114" s="6" t="str">
        <f>IF(AND($A114&lt;&gt;"",$B114&lt;&gt;"",$C114&lt;&gt;"",$D114&lt;&gt;""),IF($B114="WB","Control WB Box "&amp;(INT((COUNTIFS($B$2:$B114,"WB")-1)/81)+1)&amp;": "&amp;CHAR(65+INT(MOD(COUNTIFS($B$2:$B114,"WB")-1,81)/9))&amp;(MOD(COUNTIFS($B$2:$B114,"WB")-1,9)+1),"N/A"),"")</f>
        <v/>
      </c>
      <c r="K114" s="3" t="str">
        <f t="shared" si="19"/>
        <v/>
      </c>
      <c r="L114" s="2"/>
      <c r="M114" s="2"/>
      <c r="N114" s="2"/>
      <c r="O114" s="7" t="str">
        <f t="shared" si="20"/>
        <v/>
      </c>
      <c r="P114" s="7" t="str">
        <f t="shared" si="21"/>
        <v/>
      </c>
      <c r="Q114" s="7" t="str">
        <f t="shared" si="22"/>
        <v/>
      </c>
      <c r="R114" s="7" t="str">
        <f t="shared" si="23"/>
        <v/>
      </c>
      <c r="S114" s="7" t="str">
        <f t="shared" si="24"/>
        <v/>
      </c>
      <c r="T114" s="7" t="str">
        <f t="shared" si="25"/>
        <v/>
      </c>
      <c r="U114" s="7" t="str">
        <f t="shared" si="26"/>
        <v/>
      </c>
      <c r="V114" s="7" t="str">
        <f t="shared" si="27"/>
        <v/>
      </c>
      <c r="W114" s="7" t="str">
        <f t="shared" si="28"/>
        <v/>
      </c>
      <c r="X114" s="7" t="str">
        <f t="shared" si="29"/>
        <v/>
      </c>
      <c r="Y114">
        <f t="shared" si="30"/>
        <v>0</v>
      </c>
      <c r="Z114" t="str">
        <f t="shared" si="31"/>
        <v/>
      </c>
      <c r="AA114" t="str">
        <f t="shared" si="32"/>
        <v/>
      </c>
      <c r="AB114" t="str">
        <f t="shared" si="33"/>
        <v/>
      </c>
      <c r="AC114" t="str">
        <f t="shared" si="34"/>
        <v/>
      </c>
      <c r="AD114">
        <f t="shared" si="35"/>
        <v>0</v>
      </c>
    </row>
    <row r="115" spans="1:30" ht="15" customHeight="1" x14ac:dyDescent="0.35">
      <c r="A115" s="2"/>
      <c r="B115" s="3"/>
      <c r="C115" s="4"/>
      <c r="D115" s="5"/>
      <c r="E115" s="11" t="str">
        <f t="shared" ca="1" si="18"/>
        <v/>
      </c>
      <c r="F115" s="5"/>
      <c r="G115" s="6" t="str">
        <f>IF(AND($A115&lt;&gt;"",$B115&lt;&gt;"",$C115&lt;&gt;"",$D115&lt;&gt;""),IF(OR($B115="SER",$B115="PLH",$B115="CSF"),"Control CDI Plate "&amp;(INT(((COUNTIFS($B$2:$B115,"SER")+COUNTIFS($B$2:$B115,"PLH")+COUNTIFS($B$2:$B115,"CSF"))-1)/96)+1)&amp;": "&amp;CHAR(65+INT(MOD((COUNTIFS($B$2:$B115,"SER")+COUNTIFS($B$2:$B115,"PLH")+COUNTIFS($B$2:$B115,"CSF"))-1,96)/12))&amp;(MOD((COUNTIFS($B$2:$B115,"SER")+COUNTIFS($B$2:$B115,"PLH")+COUNTIFS($B$2:$B115,"CSF"))-1,12)+1),"N/A"),"")</f>
        <v/>
      </c>
      <c r="H115" s="6" t="str">
        <f>IF(AND($A115&lt;&gt;"",$B115&lt;&gt;"",$C115&lt;&gt;"",$D115&lt;&gt;""),IF(OR($B115="SER",$B115="PLH",$B115="CSF"),"Control NIH Plate "&amp;(INT(((COUNTIFS($B$2:$B115,"SER")+COUNTIFS($B$2:$B115,"PLH")+COUNTIFS($B$2:$B115,"CSF"))-1)/96)+1)&amp;": "&amp;CHAR(65+INT(MOD((COUNTIFS($B$2:$B115,"SER")+COUNTIFS($B$2:$B115,"PLH")+COUNTIFS($B$2:$B115,"CSF"))-1,96)/12))&amp;(MOD((COUNTIFS($B$2:$B115,"SER")+COUNTIFS($B$2:$B115,"PLH")+COUNTIFS($B$2:$B115,"CSF"))-1,12)+1),"N/A"),"")</f>
        <v/>
      </c>
      <c r="I115" s="6" t="str">
        <f>IF(AND($A115&lt;&gt;"",$B115&lt;&gt;"",$C115&lt;&gt;"",$D115&lt;&gt;""),IF(OR($B115="SER",$B115="PLH"),"Control MAX Planck Plate "&amp;(INT(((COUNTIFS($B$2:$B115,"SER")+COUNTIFS($B$2:$B115,"PLH"))-1)/96)+1)&amp;": "&amp;CHAR(65+INT(MOD((COUNTIFS($B$2:$B115,"SER")+COUNTIFS($B$2:$B115,"PLH"))-1,96)/12))&amp;(MOD((COUNTIFS($B$2:$B115,"SER")+COUNTIFS($B$2:$B115,"PLH"))-1,12)+1),"N/A"),"")</f>
        <v/>
      </c>
      <c r="J115" s="6" t="str">
        <f>IF(AND($A115&lt;&gt;"",$B115&lt;&gt;"",$C115&lt;&gt;"",$D115&lt;&gt;""),IF($B115="WB","Control WB Box "&amp;(INT((COUNTIFS($B$2:$B115,"WB")-1)/81)+1)&amp;": "&amp;CHAR(65+INT(MOD(COUNTIFS($B$2:$B115,"WB")-1,81)/9))&amp;(MOD(COUNTIFS($B$2:$B115,"WB")-1,9)+1),"N/A"),"")</f>
        <v/>
      </c>
      <c r="K115" s="3" t="str">
        <f t="shared" si="19"/>
        <v/>
      </c>
      <c r="L115" s="2"/>
      <c r="M115" s="2"/>
      <c r="N115" s="2"/>
      <c r="O115" s="7" t="str">
        <f t="shared" si="20"/>
        <v/>
      </c>
      <c r="P115" s="7" t="str">
        <f t="shared" si="21"/>
        <v/>
      </c>
      <c r="Q115" s="7" t="str">
        <f t="shared" si="22"/>
        <v/>
      </c>
      <c r="R115" s="7" t="str">
        <f t="shared" si="23"/>
        <v/>
      </c>
      <c r="S115" s="7" t="str">
        <f t="shared" si="24"/>
        <v/>
      </c>
      <c r="T115" s="7" t="str">
        <f t="shared" si="25"/>
        <v/>
      </c>
      <c r="U115" s="7" t="str">
        <f t="shared" si="26"/>
        <v/>
      </c>
      <c r="V115" s="7" t="str">
        <f t="shared" si="27"/>
        <v/>
      </c>
      <c r="W115" s="7" t="str">
        <f t="shared" si="28"/>
        <v/>
      </c>
      <c r="X115" s="7" t="str">
        <f t="shared" si="29"/>
        <v/>
      </c>
      <c r="Y115">
        <f t="shared" si="30"/>
        <v>0</v>
      </c>
      <c r="Z115" t="str">
        <f t="shared" si="31"/>
        <v/>
      </c>
      <c r="AA115" t="str">
        <f t="shared" si="32"/>
        <v/>
      </c>
      <c r="AB115" t="str">
        <f t="shared" si="33"/>
        <v/>
      </c>
      <c r="AC115" t="str">
        <f t="shared" si="34"/>
        <v/>
      </c>
      <c r="AD115">
        <f t="shared" si="35"/>
        <v>0</v>
      </c>
    </row>
    <row r="116" spans="1:30" ht="15" customHeight="1" x14ac:dyDescent="0.35">
      <c r="A116" s="2"/>
      <c r="B116" s="3"/>
      <c r="C116" s="4"/>
      <c r="D116" s="5"/>
      <c r="E116" s="11" t="str">
        <f t="shared" ca="1" si="18"/>
        <v/>
      </c>
      <c r="F116" s="5"/>
      <c r="G116" s="6" t="str">
        <f>IF(AND($A116&lt;&gt;"",$B116&lt;&gt;"",$C116&lt;&gt;"",$D116&lt;&gt;""),IF(OR($B116="SER",$B116="PLH",$B116="CSF"),"Control CDI Plate "&amp;(INT(((COUNTIFS($B$2:$B116,"SER")+COUNTIFS($B$2:$B116,"PLH")+COUNTIFS($B$2:$B116,"CSF"))-1)/96)+1)&amp;": "&amp;CHAR(65+INT(MOD((COUNTIFS($B$2:$B116,"SER")+COUNTIFS($B$2:$B116,"PLH")+COUNTIFS($B$2:$B116,"CSF"))-1,96)/12))&amp;(MOD((COUNTIFS($B$2:$B116,"SER")+COUNTIFS($B$2:$B116,"PLH")+COUNTIFS($B$2:$B116,"CSF"))-1,12)+1),"N/A"),"")</f>
        <v/>
      </c>
      <c r="H116" s="6" t="str">
        <f>IF(AND($A116&lt;&gt;"",$B116&lt;&gt;"",$C116&lt;&gt;"",$D116&lt;&gt;""),IF(OR($B116="SER",$B116="PLH",$B116="CSF"),"Control NIH Plate "&amp;(INT(((COUNTIFS($B$2:$B116,"SER")+COUNTIFS($B$2:$B116,"PLH")+COUNTIFS($B$2:$B116,"CSF"))-1)/96)+1)&amp;": "&amp;CHAR(65+INT(MOD((COUNTIFS($B$2:$B116,"SER")+COUNTIFS($B$2:$B116,"PLH")+COUNTIFS($B$2:$B116,"CSF"))-1,96)/12))&amp;(MOD((COUNTIFS($B$2:$B116,"SER")+COUNTIFS($B$2:$B116,"PLH")+COUNTIFS($B$2:$B116,"CSF"))-1,12)+1),"N/A"),"")</f>
        <v/>
      </c>
      <c r="I116" s="6" t="str">
        <f>IF(AND($A116&lt;&gt;"",$B116&lt;&gt;"",$C116&lt;&gt;"",$D116&lt;&gt;""),IF(OR($B116="SER",$B116="PLH"),"Control MAX Planck Plate "&amp;(INT(((COUNTIFS($B$2:$B116,"SER")+COUNTIFS($B$2:$B116,"PLH"))-1)/96)+1)&amp;": "&amp;CHAR(65+INT(MOD((COUNTIFS($B$2:$B116,"SER")+COUNTIFS($B$2:$B116,"PLH"))-1,96)/12))&amp;(MOD((COUNTIFS($B$2:$B116,"SER")+COUNTIFS($B$2:$B116,"PLH"))-1,12)+1),"N/A"),"")</f>
        <v/>
      </c>
      <c r="J116" s="6" t="str">
        <f>IF(AND($A116&lt;&gt;"",$B116&lt;&gt;"",$C116&lt;&gt;"",$D116&lt;&gt;""),IF($B116="WB","Control WB Box "&amp;(INT((COUNTIFS($B$2:$B116,"WB")-1)/81)+1)&amp;": "&amp;CHAR(65+INT(MOD(COUNTIFS($B$2:$B116,"WB")-1,81)/9))&amp;(MOD(COUNTIFS($B$2:$B116,"WB")-1,9)+1),"N/A"),"")</f>
        <v/>
      </c>
      <c r="K116" s="3" t="str">
        <f t="shared" si="19"/>
        <v/>
      </c>
      <c r="L116" s="2"/>
      <c r="M116" s="2"/>
      <c r="N116" s="2"/>
      <c r="O116" s="7" t="str">
        <f t="shared" si="20"/>
        <v/>
      </c>
      <c r="P116" s="7" t="str">
        <f t="shared" si="21"/>
        <v/>
      </c>
      <c r="Q116" s="7" t="str">
        <f t="shared" si="22"/>
        <v/>
      </c>
      <c r="R116" s="7" t="str">
        <f t="shared" si="23"/>
        <v/>
      </c>
      <c r="S116" s="7" t="str">
        <f t="shared" si="24"/>
        <v/>
      </c>
      <c r="T116" s="7" t="str">
        <f t="shared" si="25"/>
        <v/>
      </c>
      <c r="U116" s="7" t="str">
        <f t="shared" si="26"/>
        <v/>
      </c>
      <c r="V116" s="7" t="str">
        <f t="shared" si="27"/>
        <v/>
      </c>
      <c r="W116" s="7" t="str">
        <f t="shared" si="28"/>
        <v/>
      </c>
      <c r="X116" s="7" t="str">
        <f t="shared" si="29"/>
        <v/>
      </c>
      <c r="Y116">
        <f t="shared" si="30"/>
        <v>0</v>
      </c>
      <c r="Z116" t="str">
        <f t="shared" si="31"/>
        <v/>
      </c>
      <c r="AA116" t="str">
        <f t="shared" si="32"/>
        <v/>
      </c>
      <c r="AB116" t="str">
        <f t="shared" si="33"/>
        <v/>
      </c>
      <c r="AC116" t="str">
        <f t="shared" si="34"/>
        <v/>
      </c>
      <c r="AD116">
        <f t="shared" si="35"/>
        <v>0</v>
      </c>
    </row>
    <row r="117" spans="1:30" ht="15" customHeight="1" x14ac:dyDescent="0.35">
      <c r="A117" s="2"/>
      <c r="B117" s="3"/>
      <c r="C117" s="4"/>
      <c r="D117" s="5"/>
      <c r="E117" s="11" t="str">
        <f t="shared" ca="1" si="18"/>
        <v/>
      </c>
      <c r="F117" s="5"/>
      <c r="G117" s="6" t="str">
        <f>IF(AND($A117&lt;&gt;"",$B117&lt;&gt;"",$C117&lt;&gt;"",$D117&lt;&gt;""),IF(OR($B117="SER",$B117="PLH",$B117="CSF"),"Control CDI Plate "&amp;(INT(((COUNTIFS($B$2:$B117,"SER")+COUNTIFS($B$2:$B117,"PLH")+COUNTIFS($B$2:$B117,"CSF"))-1)/96)+1)&amp;": "&amp;CHAR(65+INT(MOD((COUNTIFS($B$2:$B117,"SER")+COUNTIFS($B$2:$B117,"PLH")+COUNTIFS($B$2:$B117,"CSF"))-1,96)/12))&amp;(MOD((COUNTIFS($B$2:$B117,"SER")+COUNTIFS($B$2:$B117,"PLH")+COUNTIFS($B$2:$B117,"CSF"))-1,12)+1),"N/A"),"")</f>
        <v/>
      </c>
      <c r="H117" s="6" t="str">
        <f>IF(AND($A117&lt;&gt;"",$B117&lt;&gt;"",$C117&lt;&gt;"",$D117&lt;&gt;""),IF(OR($B117="SER",$B117="PLH",$B117="CSF"),"Control NIH Plate "&amp;(INT(((COUNTIFS($B$2:$B117,"SER")+COUNTIFS($B$2:$B117,"PLH")+COUNTIFS($B$2:$B117,"CSF"))-1)/96)+1)&amp;": "&amp;CHAR(65+INT(MOD((COUNTIFS($B$2:$B117,"SER")+COUNTIFS($B$2:$B117,"PLH")+COUNTIFS($B$2:$B117,"CSF"))-1,96)/12))&amp;(MOD((COUNTIFS($B$2:$B117,"SER")+COUNTIFS($B$2:$B117,"PLH")+COUNTIFS($B$2:$B117,"CSF"))-1,12)+1),"N/A"),"")</f>
        <v/>
      </c>
      <c r="I117" s="6" t="str">
        <f>IF(AND($A117&lt;&gt;"",$B117&lt;&gt;"",$C117&lt;&gt;"",$D117&lt;&gt;""),IF(OR($B117="SER",$B117="PLH"),"Control MAX Planck Plate "&amp;(INT(((COUNTIFS($B$2:$B117,"SER")+COUNTIFS($B$2:$B117,"PLH"))-1)/96)+1)&amp;": "&amp;CHAR(65+INT(MOD((COUNTIFS($B$2:$B117,"SER")+COUNTIFS($B$2:$B117,"PLH"))-1,96)/12))&amp;(MOD((COUNTIFS($B$2:$B117,"SER")+COUNTIFS($B$2:$B117,"PLH"))-1,12)+1),"N/A"),"")</f>
        <v/>
      </c>
      <c r="J117" s="6" t="str">
        <f>IF(AND($A117&lt;&gt;"",$B117&lt;&gt;"",$C117&lt;&gt;"",$D117&lt;&gt;""),IF($B117="WB","Control WB Box "&amp;(INT((COUNTIFS($B$2:$B117,"WB")-1)/81)+1)&amp;": "&amp;CHAR(65+INT(MOD(COUNTIFS($B$2:$B117,"WB")-1,81)/9))&amp;(MOD(COUNTIFS($B$2:$B117,"WB")-1,9)+1),"N/A"),"")</f>
        <v/>
      </c>
      <c r="K117" s="3" t="str">
        <f t="shared" si="19"/>
        <v/>
      </c>
      <c r="L117" s="2"/>
      <c r="M117" s="2"/>
      <c r="N117" s="2"/>
      <c r="O117" s="7" t="str">
        <f t="shared" si="20"/>
        <v/>
      </c>
      <c r="P117" s="7" t="str">
        <f t="shared" si="21"/>
        <v/>
      </c>
      <c r="Q117" s="7" t="str">
        <f t="shared" si="22"/>
        <v/>
      </c>
      <c r="R117" s="7" t="str">
        <f t="shared" si="23"/>
        <v/>
      </c>
      <c r="S117" s="7" t="str">
        <f t="shared" si="24"/>
        <v/>
      </c>
      <c r="T117" s="7" t="str">
        <f t="shared" si="25"/>
        <v/>
      </c>
      <c r="U117" s="7" t="str">
        <f t="shared" si="26"/>
        <v/>
      </c>
      <c r="V117" s="7" t="str">
        <f t="shared" si="27"/>
        <v/>
      </c>
      <c r="W117" s="7" t="str">
        <f t="shared" si="28"/>
        <v/>
      </c>
      <c r="X117" s="7" t="str">
        <f t="shared" si="29"/>
        <v/>
      </c>
      <c r="Y117">
        <f t="shared" si="30"/>
        <v>0</v>
      </c>
      <c r="Z117" t="str">
        <f t="shared" si="31"/>
        <v/>
      </c>
      <c r="AA117" t="str">
        <f t="shared" si="32"/>
        <v/>
      </c>
      <c r="AB117" t="str">
        <f t="shared" si="33"/>
        <v/>
      </c>
      <c r="AC117" t="str">
        <f t="shared" si="34"/>
        <v/>
      </c>
      <c r="AD117">
        <f t="shared" si="35"/>
        <v>0</v>
      </c>
    </row>
    <row r="118" spans="1:30" ht="15" customHeight="1" x14ac:dyDescent="0.35">
      <c r="A118" s="2"/>
      <c r="B118" s="3"/>
      <c r="C118" s="4"/>
      <c r="D118" s="5"/>
      <c r="E118" s="11" t="str">
        <f t="shared" ca="1" si="18"/>
        <v/>
      </c>
      <c r="F118" s="5"/>
      <c r="G118" s="6" t="str">
        <f>IF(AND($A118&lt;&gt;"",$B118&lt;&gt;"",$C118&lt;&gt;"",$D118&lt;&gt;""),IF(OR($B118="SER",$B118="PLH",$B118="CSF"),"Control CDI Plate "&amp;(INT(((COUNTIFS($B$2:$B118,"SER")+COUNTIFS($B$2:$B118,"PLH")+COUNTIFS($B$2:$B118,"CSF"))-1)/96)+1)&amp;": "&amp;CHAR(65+INT(MOD((COUNTIFS($B$2:$B118,"SER")+COUNTIFS($B$2:$B118,"PLH")+COUNTIFS($B$2:$B118,"CSF"))-1,96)/12))&amp;(MOD((COUNTIFS($B$2:$B118,"SER")+COUNTIFS($B$2:$B118,"PLH")+COUNTIFS($B$2:$B118,"CSF"))-1,12)+1),"N/A"),"")</f>
        <v/>
      </c>
      <c r="H118" s="6" t="str">
        <f>IF(AND($A118&lt;&gt;"",$B118&lt;&gt;"",$C118&lt;&gt;"",$D118&lt;&gt;""),IF(OR($B118="SER",$B118="PLH",$B118="CSF"),"Control NIH Plate "&amp;(INT(((COUNTIFS($B$2:$B118,"SER")+COUNTIFS($B$2:$B118,"PLH")+COUNTIFS($B$2:$B118,"CSF"))-1)/96)+1)&amp;": "&amp;CHAR(65+INT(MOD((COUNTIFS($B$2:$B118,"SER")+COUNTIFS($B$2:$B118,"PLH")+COUNTIFS($B$2:$B118,"CSF"))-1,96)/12))&amp;(MOD((COUNTIFS($B$2:$B118,"SER")+COUNTIFS($B$2:$B118,"PLH")+COUNTIFS($B$2:$B118,"CSF"))-1,12)+1),"N/A"),"")</f>
        <v/>
      </c>
      <c r="I118" s="6" t="str">
        <f>IF(AND($A118&lt;&gt;"",$B118&lt;&gt;"",$C118&lt;&gt;"",$D118&lt;&gt;""),IF(OR($B118="SER",$B118="PLH"),"Control MAX Planck Plate "&amp;(INT(((COUNTIFS($B$2:$B118,"SER")+COUNTIFS($B$2:$B118,"PLH"))-1)/96)+1)&amp;": "&amp;CHAR(65+INT(MOD((COUNTIFS($B$2:$B118,"SER")+COUNTIFS($B$2:$B118,"PLH"))-1,96)/12))&amp;(MOD((COUNTIFS($B$2:$B118,"SER")+COUNTIFS($B$2:$B118,"PLH"))-1,12)+1),"N/A"),"")</f>
        <v/>
      </c>
      <c r="J118" s="6" t="str">
        <f>IF(AND($A118&lt;&gt;"",$B118&lt;&gt;"",$C118&lt;&gt;"",$D118&lt;&gt;""),IF($B118="WB","Control WB Box "&amp;(INT((COUNTIFS($B$2:$B118,"WB")-1)/81)+1)&amp;": "&amp;CHAR(65+INT(MOD(COUNTIFS($B$2:$B118,"WB")-1,81)/9))&amp;(MOD(COUNTIFS($B$2:$B118,"WB")-1,9)+1),"N/A"),"")</f>
        <v/>
      </c>
      <c r="K118" s="3" t="str">
        <f t="shared" si="19"/>
        <v/>
      </c>
      <c r="L118" s="2"/>
      <c r="M118" s="2"/>
      <c r="N118" s="2"/>
      <c r="O118" s="7" t="str">
        <f t="shared" si="20"/>
        <v/>
      </c>
      <c r="P118" s="7" t="str">
        <f t="shared" si="21"/>
        <v/>
      </c>
      <c r="Q118" s="7" t="str">
        <f t="shared" si="22"/>
        <v/>
      </c>
      <c r="R118" s="7" t="str">
        <f t="shared" si="23"/>
        <v/>
      </c>
      <c r="S118" s="7" t="str">
        <f t="shared" si="24"/>
        <v/>
      </c>
      <c r="T118" s="7" t="str">
        <f t="shared" si="25"/>
        <v/>
      </c>
      <c r="U118" s="7" t="str">
        <f t="shared" si="26"/>
        <v/>
      </c>
      <c r="V118" s="7" t="str">
        <f t="shared" si="27"/>
        <v/>
      </c>
      <c r="W118" s="7" t="str">
        <f t="shared" si="28"/>
        <v/>
      </c>
      <c r="X118" s="7" t="str">
        <f t="shared" si="29"/>
        <v/>
      </c>
      <c r="Y118">
        <f t="shared" si="30"/>
        <v>0</v>
      </c>
      <c r="Z118" t="str">
        <f t="shared" si="31"/>
        <v/>
      </c>
      <c r="AA118" t="str">
        <f t="shared" si="32"/>
        <v/>
      </c>
      <c r="AB118" t="str">
        <f t="shared" si="33"/>
        <v/>
      </c>
      <c r="AC118" t="str">
        <f t="shared" si="34"/>
        <v/>
      </c>
      <c r="AD118">
        <f t="shared" si="35"/>
        <v>0</v>
      </c>
    </row>
    <row r="119" spans="1:30" ht="15" customHeight="1" x14ac:dyDescent="0.35">
      <c r="A119" s="2"/>
      <c r="B119" s="3"/>
      <c r="C119" s="4"/>
      <c r="D119" s="5"/>
      <c r="E119" s="11" t="str">
        <f t="shared" ca="1" si="18"/>
        <v/>
      </c>
      <c r="F119" s="5"/>
      <c r="G119" s="6" t="str">
        <f>IF(AND($A119&lt;&gt;"",$B119&lt;&gt;"",$C119&lt;&gt;"",$D119&lt;&gt;""),IF(OR($B119="SER",$B119="PLH",$B119="CSF"),"Control CDI Plate "&amp;(INT(((COUNTIFS($B$2:$B119,"SER")+COUNTIFS($B$2:$B119,"PLH")+COUNTIFS($B$2:$B119,"CSF"))-1)/96)+1)&amp;": "&amp;CHAR(65+INT(MOD((COUNTIFS($B$2:$B119,"SER")+COUNTIFS($B$2:$B119,"PLH")+COUNTIFS($B$2:$B119,"CSF"))-1,96)/12))&amp;(MOD((COUNTIFS($B$2:$B119,"SER")+COUNTIFS($B$2:$B119,"PLH")+COUNTIFS($B$2:$B119,"CSF"))-1,12)+1),"N/A"),"")</f>
        <v/>
      </c>
      <c r="H119" s="6" t="str">
        <f>IF(AND($A119&lt;&gt;"",$B119&lt;&gt;"",$C119&lt;&gt;"",$D119&lt;&gt;""),IF(OR($B119="SER",$B119="PLH",$B119="CSF"),"Control NIH Plate "&amp;(INT(((COUNTIFS($B$2:$B119,"SER")+COUNTIFS($B$2:$B119,"PLH")+COUNTIFS($B$2:$B119,"CSF"))-1)/96)+1)&amp;": "&amp;CHAR(65+INT(MOD((COUNTIFS($B$2:$B119,"SER")+COUNTIFS($B$2:$B119,"PLH")+COUNTIFS($B$2:$B119,"CSF"))-1,96)/12))&amp;(MOD((COUNTIFS($B$2:$B119,"SER")+COUNTIFS($B$2:$B119,"PLH")+COUNTIFS($B$2:$B119,"CSF"))-1,12)+1),"N/A"),"")</f>
        <v/>
      </c>
      <c r="I119" s="6" t="str">
        <f>IF(AND($A119&lt;&gt;"",$B119&lt;&gt;"",$C119&lt;&gt;"",$D119&lt;&gt;""),IF(OR($B119="SER",$B119="PLH"),"Control MAX Planck Plate "&amp;(INT(((COUNTIFS($B$2:$B119,"SER")+COUNTIFS($B$2:$B119,"PLH"))-1)/96)+1)&amp;": "&amp;CHAR(65+INT(MOD((COUNTIFS($B$2:$B119,"SER")+COUNTIFS($B$2:$B119,"PLH"))-1,96)/12))&amp;(MOD((COUNTIFS($B$2:$B119,"SER")+COUNTIFS($B$2:$B119,"PLH"))-1,12)+1),"N/A"),"")</f>
        <v/>
      </c>
      <c r="J119" s="6" t="str">
        <f>IF(AND($A119&lt;&gt;"",$B119&lt;&gt;"",$C119&lt;&gt;"",$D119&lt;&gt;""),IF($B119="WB","Control WB Box "&amp;(INT((COUNTIFS($B$2:$B119,"WB")-1)/81)+1)&amp;": "&amp;CHAR(65+INT(MOD(COUNTIFS($B$2:$B119,"WB")-1,81)/9))&amp;(MOD(COUNTIFS($B$2:$B119,"WB")-1,9)+1),"N/A"),"")</f>
        <v/>
      </c>
      <c r="K119" s="3" t="str">
        <f t="shared" si="19"/>
        <v/>
      </c>
      <c r="L119" s="2"/>
      <c r="M119" s="2"/>
      <c r="N119" s="2"/>
      <c r="O119" s="7" t="str">
        <f t="shared" si="20"/>
        <v/>
      </c>
      <c r="P119" s="7" t="str">
        <f t="shared" si="21"/>
        <v/>
      </c>
      <c r="Q119" s="7" t="str">
        <f t="shared" si="22"/>
        <v/>
      </c>
      <c r="R119" s="7" t="str">
        <f t="shared" si="23"/>
        <v/>
      </c>
      <c r="S119" s="7" t="str">
        <f t="shared" si="24"/>
        <v/>
      </c>
      <c r="T119" s="7" t="str">
        <f t="shared" si="25"/>
        <v/>
      </c>
      <c r="U119" s="7" t="str">
        <f t="shared" si="26"/>
        <v/>
      </c>
      <c r="V119" s="7" t="str">
        <f t="shared" si="27"/>
        <v/>
      </c>
      <c r="W119" s="7" t="str">
        <f t="shared" si="28"/>
        <v/>
      </c>
      <c r="X119" s="7" t="str">
        <f t="shared" si="29"/>
        <v/>
      </c>
      <c r="Y119">
        <f t="shared" si="30"/>
        <v>0</v>
      </c>
      <c r="Z119" t="str">
        <f t="shared" si="31"/>
        <v/>
      </c>
      <c r="AA119" t="str">
        <f t="shared" si="32"/>
        <v/>
      </c>
      <c r="AB119" t="str">
        <f t="shared" si="33"/>
        <v/>
      </c>
      <c r="AC119" t="str">
        <f t="shared" si="34"/>
        <v/>
      </c>
      <c r="AD119">
        <f t="shared" si="35"/>
        <v>0</v>
      </c>
    </row>
    <row r="120" spans="1:30" ht="15" customHeight="1" x14ac:dyDescent="0.35">
      <c r="A120" s="2"/>
      <c r="B120" s="3"/>
      <c r="C120" s="4"/>
      <c r="D120" s="5"/>
      <c r="E120" s="11" t="str">
        <f t="shared" ca="1" si="18"/>
        <v/>
      </c>
      <c r="F120" s="5"/>
      <c r="G120" s="6" t="str">
        <f>IF(AND($A120&lt;&gt;"",$B120&lt;&gt;"",$C120&lt;&gt;"",$D120&lt;&gt;""),IF(OR($B120="SER",$B120="PLH",$B120="CSF"),"Control CDI Plate "&amp;(INT(((COUNTIFS($B$2:$B120,"SER")+COUNTIFS($B$2:$B120,"PLH")+COUNTIFS($B$2:$B120,"CSF"))-1)/96)+1)&amp;": "&amp;CHAR(65+INT(MOD((COUNTIFS($B$2:$B120,"SER")+COUNTIFS($B$2:$B120,"PLH")+COUNTIFS($B$2:$B120,"CSF"))-1,96)/12))&amp;(MOD((COUNTIFS($B$2:$B120,"SER")+COUNTIFS($B$2:$B120,"PLH")+COUNTIFS($B$2:$B120,"CSF"))-1,12)+1),"N/A"),"")</f>
        <v/>
      </c>
      <c r="H120" s="6" t="str">
        <f>IF(AND($A120&lt;&gt;"",$B120&lt;&gt;"",$C120&lt;&gt;"",$D120&lt;&gt;""),IF(OR($B120="SER",$B120="PLH",$B120="CSF"),"Control NIH Plate "&amp;(INT(((COUNTIFS($B$2:$B120,"SER")+COUNTIFS($B$2:$B120,"PLH")+COUNTIFS($B$2:$B120,"CSF"))-1)/96)+1)&amp;": "&amp;CHAR(65+INT(MOD((COUNTIFS($B$2:$B120,"SER")+COUNTIFS($B$2:$B120,"PLH")+COUNTIFS($B$2:$B120,"CSF"))-1,96)/12))&amp;(MOD((COUNTIFS($B$2:$B120,"SER")+COUNTIFS($B$2:$B120,"PLH")+COUNTIFS($B$2:$B120,"CSF"))-1,12)+1),"N/A"),"")</f>
        <v/>
      </c>
      <c r="I120" s="6" t="str">
        <f>IF(AND($A120&lt;&gt;"",$B120&lt;&gt;"",$C120&lt;&gt;"",$D120&lt;&gt;""),IF(OR($B120="SER",$B120="PLH"),"Control MAX Planck Plate "&amp;(INT(((COUNTIFS($B$2:$B120,"SER")+COUNTIFS($B$2:$B120,"PLH"))-1)/96)+1)&amp;": "&amp;CHAR(65+INT(MOD((COUNTIFS($B$2:$B120,"SER")+COUNTIFS($B$2:$B120,"PLH"))-1,96)/12))&amp;(MOD((COUNTIFS($B$2:$B120,"SER")+COUNTIFS($B$2:$B120,"PLH"))-1,12)+1),"N/A"),"")</f>
        <v/>
      </c>
      <c r="J120" s="6" t="str">
        <f>IF(AND($A120&lt;&gt;"",$B120&lt;&gt;"",$C120&lt;&gt;"",$D120&lt;&gt;""),IF($B120="WB","Control WB Box "&amp;(INT((COUNTIFS($B$2:$B120,"WB")-1)/81)+1)&amp;": "&amp;CHAR(65+INT(MOD(COUNTIFS($B$2:$B120,"WB")-1,81)/9))&amp;(MOD(COUNTIFS($B$2:$B120,"WB")-1,9)+1),"N/A"),"")</f>
        <v/>
      </c>
      <c r="K120" s="3" t="str">
        <f t="shared" si="19"/>
        <v/>
      </c>
      <c r="L120" s="2"/>
      <c r="M120" s="2"/>
      <c r="N120" s="2"/>
      <c r="O120" s="7" t="str">
        <f t="shared" si="20"/>
        <v/>
      </c>
      <c r="P120" s="7" t="str">
        <f t="shared" si="21"/>
        <v/>
      </c>
      <c r="Q120" s="7" t="str">
        <f t="shared" si="22"/>
        <v/>
      </c>
      <c r="R120" s="7" t="str">
        <f t="shared" si="23"/>
        <v/>
      </c>
      <c r="S120" s="7" t="str">
        <f t="shared" si="24"/>
        <v/>
      </c>
      <c r="T120" s="7" t="str">
        <f t="shared" si="25"/>
        <v/>
      </c>
      <c r="U120" s="7" t="str">
        <f t="shared" si="26"/>
        <v/>
      </c>
      <c r="V120" s="7" t="str">
        <f t="shared" si="27"/>
        <v/>
      </c>
      <c r="W120" s="7" t="str">
        <f t="shared" si="28"/>
        <v/>
      </c>
      <c r="X120" s="7" t="str">
        <f t="shared" si="29"/>
        <v/>
      </c>
      <c r="Y120">
        <f t="shared" si="30"/>
        <v>0</v>
      </c>
      <c r="Z120" t="str">
        <f t="shared" si="31"/>
        <v/>
      </c>
      <c r="AA120" t="str">
        <f t="shared" si="32"/>
        <v/>
      </c>
      <c r="AB120" t="str">
        <f t="shared" si="33"/>
        <v/>
      </c>
      <c r="AC120" t="str">
        <f t="shared" si="34"/>
        <v/>
      </c>
      <c r="AD120">
        <f t="shared" si="35"/>
        <v>0</v>
      </c>
    </row>
    <row r="121" spans="1:30" ht="15" customHeight="1" x14ac:dyDescent="0.35">
      <c r="A121" s="2"/>
      <c r="B121" s="3"/>
      <c r="C121" s="4"/>
      <c r="D121" s="5"/>
      <c r="E121" s="11" t="str">
        <f t="shared" ca="1" si="18"/>
        <v/>
      </c>
      <c r="F121" s="5"/>
      <c r="G121" s="6" t="str">
        <f>IF(AND($A121&lt;&gt;"",$B121&lt;&gt;"",$C121&lt;&gt;"",$D121&lt;&gt;""),IF(OR($B121="SER",$B121="PLH",$B121="CSF"),"Control CDI Plate "&amp;(INT(((COUNTIFS($B$2:$B121,"SER")+COUNTIFS($B$2:$B121,"PLH")+COUNTIFS($B$2:$B121,"CSF"))-1)/96)+1)&amp;": "&amp;CHAR(65+INT(MOD((COUNTIFS($B$2:$B121,"SER")+COUNTIFS($B$2:$B121,"PLH")+COUNTIFS($B$2:$B121,"CSF"))-1,96)/12))&amp;(MOD((COUNTIFS($B$2:$B121,"SER")+COUNTIFS($B$2:$B121,"PLH")+COUNTIFS($B$2:$B121,"CSF"))-1,12)+1),"N/A"),"")</f>
        <v/>
      </c>
      <c r="H121" s="6" t="str">
        <f>IF(AND($A121&lt;&gt;"",$B121&lt;&gt;"",$C121&lt;&gt;"",$D121&lt;&gt;""),IF(OR($B121="SER",$B121="PLH",$B121="CSF"),"Control NIH Plate "&amp;(INT(((COUNTIFS($B$2:$B121,"SER")+COUNTIFS($B$2:$B121,"PLH")+COUNTIFS($B$2:$B121,"CSF"))-1)/96)+1)&amp;": "&amp;CHAR(65+INT(MOD((COUNTIFS($B$2:$B121,"SER")+COUNTIFS($B$2:$B121,"PLH")+COUNTIFS($B$2:$B121,"CSF"))-1,96)/12))&amp;(MOD((COUNTIFS($B$2:$B121,"SER")+COUNTIFS($B$2:$B121,"PLH")+COUNTIFS($B$2:$B121,"CSF"))-1,12)+1),"N/A"),"")</f>
        <v/>
      </c>
      <c r="I121" s="6" t="str">
        <f>IF(AND($A121&lt;&gt;"",$B121&lt;&gt;"",$C121&lt;&gt;"",$D121&lt;&gt;""),IF(OR($B121="SER",$B121="PLH"),"Control MAX Planck Plate "&amp;(INT(((COUNTIFS($B$2:$B121,"SER")+COUNTIFS($B$2:$B121,"PLH"))-1)/96)+1)&amp;": "&amp;CHAR(65+INT(MOD((COUNTIFS($B$2:$B121,"SER")+COUNTIFS($B$2:$B121,"PLH"))-1,96)/12))&amp;(MOD((COUNTIFS($B$2:$B121,"SER")+COUNTIFS($B$2:$B121,"PLH"))-1,12)+1),"N/A"),"")</f>
        <v/>
      </c>
      <c r="J121" s="6" t="str">
        <f>IF(AND($A121&lt;&gt;"",$B121&lt;&gt;"",$C121&lt;&gt;"",$D121&lt;&gt;""),IF($B121="WB","Control WB Box "&amp;(INT((COUNTIFS($B$2:$B121,"WB")-1)/81)+1)&amp;": "&amp;CHAR(65+INT(MOD(COUNTIFS($B$2:$B121,"WB")-1,81)/9))&amp;(MOD(COUNTIFS($B$2:$B121,"WB")-1,9)+1),"N/A"),"")</f>
        <v/>
      </c>
      <c r="K121" s="3" t="str">
        <f t="shared" si="19"/>
        <v/>
      </c>
      <c r="L121" s="2"/>
      <c r="M121" s="2"/>
      <c r="N121" s="2"/>
      <c r="O121" s="7" t="str">
        <f t="shared" si="20"/>
        <v/>
      </c>
      <c r="P121" s="7" t="str">
        <f t="shared" si="21"/>
        <v/>
      </c>
      <c r="Q121" s="7" t="str">
        <f t="shared" si="22"/>
        <v/>
      </c>
      <c r="R121" s="7" t="str">
        <f t="shared" si="23"/>
        <v/>
      </c>
      <c r="S121" s="7" t="str">
        <f t="shared" si="24"/>
        <v/>
      </c>
      <c r="T121" s="7" t="str">
        <f t="shared" si="25"/>
        <v/>
      </c>
      <c r="U121" s="7" t="str">
        <f t="shared" si="26"/>
        <v/>
      </c>
      <c r="V121" s="7" t="str">
        <f t="shared" si="27"/>
        <v/>
      </c>
      <c r="W121" s="7" t="str">
        <f t="shared" si="28"/>
        <v/>
      </c>
      <c r="X121" s="7" t="str">
        <f t="shared" si="29"/>
        <v/>
      </c>
      <c r="Y121">
        <f t="shared" si="30"/>
        <v>0</v>
      </c>
      <c r="Z121" t="str">
        <f t="shared" si="31"/>
        <v/>
      </c>
      <c r="AA121" t="str">
        <f t="shared" si="32"/>
        <v/>
      </c>
      <c r="AB121" t="str">
        <f t="shared" si="33"/>
        <v/>
      </c>
      <c r="AC121" t="str">
        <f t="shared" si="34"/>
        <v/>
      </c>
      <c r="AD121">
        <f t="shared" si="35"/>
        <v>0</v>
      </c>
    </row>
    <row r="122" spans="1:30" ht="15" customHeight="1" x14ac:dyDescent="0.35">
      <c r="A122" s="2"/>
      <c r="B122" s="3"/>
      <c r="C122" s="4"/>
      <c r="D122" s="5"/>
      <c r="E122" s="11" t="str">
        <f t="shared" ca="1" si="18"/>
        <v/>
      </c>
      <c r="F122" s="5"/>
      <c r="G122" s="6" t="str">
        <f>IF(AND($A122&lt;&gt;"",$B122&lt;&gt;"",$C122&lt;&gt;"",$D122&lt;&gt;""),IF(OR($B122="SER",$B122="PLH",$B122="CSF"),"Control CDI Plate "&amp;(INT(((COUNTIFS($B$2:$B122,"SER")+COUNTIFS($B$2:$B122,"PLH")+COUNTIFS($B$2:$B122,"CSF"))-1)/96)+1)&amp;": "&amp;CHAR(65+INT(MOD((COUNTIFS($B$2:$B122,"SER")+COUNTIFS($B$2:$B122,"PLH")+COUNTIFS($B$2:$B122,"CSF"))-1,96)/12))&amp;(MOD((COUNTIFS($B$2:$B122,"SER")+COUNTIFS($B$2:$B122,"PLH")+COUNTIFS($B$2:$B122,"CSF"))-1,12)+1),"N/A"),"")</f>
        <v/>
      </c>
      <c r="H122" s="6" t="str">
        <f>IF(AND($A122&lt;&gt;"",$B122&lt;&gt;"",$C122&lt;&gt;"",$D122&lt;&gt;""),IF(OR($B122="SER",$B122="PLH",$B122="CSF"),"Control NIH Plate "&amp;(INT(((COUNTIFS($B$2:$B122,"SER")+COUNTIFS($B$2:$B122,"PLH")+COUNTIFS($B$2:$B122,"CSF"))-1)/96)+1)&amp;": "&amp;CHAR(65+INT(MOD((COUNTIFS($B$2:$B122,"SER")+COUNTIFS($B$2:$B122,"PLH")+COUNTIFS($B$2:$B122,"CSF"))-1,96)/12))&amp;(MOD((COUNTIFS($B$2:$B122,"SER")+COUNTIFS($B$2:$B122,"PLH")+COUNTIFS($B$2:$B122,"CSF"))-1,12)+1),"N/A"),"")</f>
        <v/>
      </c>
      <c r="I122" s="6" t="str">
        <f>IF(AND($A122&lt;&gt;"",$B122&lt;&gt;"",$C122&lt;&gt;"",$D122&lt;&gt;""),IF(OR($B122="SER",$B122="PLH"),"Control MAX Planck Plate "&amp;(INT(((COUNTIFS($B$2:$B122,"SER")+COUNTIFS($B$2:$B122,"PLH"))-1)/96)+1)&amp;": "&amp;CHAR(65+INT(MOD((COUNTIFS($B$2:$B122,"SER")+COUNTIFS($B$2:$B122,"PLH"))-1,96)/12))&amp;(MOD((COUNTIFS($B$2:$B122,"SER")+COUNTIFS($B$2:$B122,"PLH"))-1,12)+1),"N/A"),"")</f>
        <v/>
      </c>
      <c r="J122" s="6" t="str">
        <f>IF(AND($A122&lt;&gt;"",$B122&lt;&gt;"",$C122&lt;&gt;"",$D122&lt;&gt;""),IF($B122="WB","Control WB Box "&amp;(INT((COUNTIFS($B$2:$B122,"WB")-1)/81)+1)&amp;": "&amp;CHAR(65+INT(MOD(COUNTIFS($B$2:$B122,"WB")-1,81)/9))&amp;(MOD(COUNTIFS($B$2:$B122,"WB")-1,9)+1),"N/A"),"")</f>
        <v/>
      </c>
      <c r="K122" s="3" t="str">
        <f t="shared" si="19"/>
        <v/>
      </c>
      <c r="L122" s="2"/>
      <c r="M122" s="2"/>
      <c r="N122" s="2"/>
      <c r="O122" s="7" t="str">
        <f t="shared" si="20"/>
        <v/>
      </c>
      <c r="P122" s="7" t="str">
        <f t="shared" si="21"/>
        <v/>
      </c>
      <c r="Q122" s="7" t="str">
        <f t="shared" si="22"/>
        <v/>
      </c>
      <c r="R122" s="7" t="str">
        <f t="shared" si="23"/>
        <v/>
      </c>
      <c r="S122" s="7" t="str">
        <f t="shared" si="24"/>
        <v/>
      </c>
      <c r="T122" s="7" t="str">
        <f t="shared" si="25"/>
        <v/>
      </c>
      <c r="U122" s="7" t="str">
        <f t="shared" si="26"/>
        <v/>
      </c>
      <c r="V122" s="7" t="str">
        <f t="shared" si="27"/>
        <v/>
      </c>
      <c r="W122" s="7" t="str">
        <f t="shared" si="28"/>
        <v/>
      </c>
      <c r="X122" s="7" t="str">
        <f t="shared" si="29"/>
        <v/>
      </c>
      <c r="Y122">
        <f t="shared" si="30"/>
        <v>0</v>
      </c>
      <c r="Z122" t="str">
        <f t="shared" si="31"/>
        <v/>
      </c>
      <c r="AA122" t="str">
        <f t="shared" si="32"/>
        <v/>
      </c>
      <c r="AB122" t="str">
        <f t="shared" si="33"/>
        <v/>
      </c>
      <c r="AC122" t="str">
        <f t="shared" si="34"/>
        <v/>
      </c>
      <c r="AD122">
        <f t="shared" si="35"/>
        <v>0</v>
      </c>
    </row>
    <row r="123" spans="1:30" ht="15" customHeight="1" x14ac:dyDescent="0.35">
      <c r="A123" s="2"/>
      <c r="B123" s="3"/>
      <c r="C123" s="4"/>
      <c r="D123" s="5"/>
      <c r="E123" s="11" t="str">
        <f t="shared" ca="1" si="18"/>
        <v/>
      </c>
      <c r="F123" s="5"/>
      <c r="G123" s="6" t="str">
        <f>IF(AND($A123&lt;&gt;"",$B123&lt;&gt;"",$C123&lt;&gt;"",$D123&lt;&gt;""),IF(OR($B123="SER",$B123="PLH",$B123="CSF"),"Control CDI Plate "&amp;(INT(((COUNTIFS($B$2:$B123,"SER")+COUNTIFS($B$2:$B123,"PLH")+COUNTIFS($B$2:$B123,"CSF"))-1)/96)+1)&amp;": "&amp;CHAR(65+INT(MOD((COUNTIFS($B$2:$B123,"SER")+COUNTIFS($B$2:$B123,"PLH")+COUNTIFS($B$2:$B123,"CSF"))-1,96)/12))&amp;(MOD((COUNTIFS($B$2:$B123,"SER")+COUNTIFS($B$2:$B123,"PLH")+COUNTIFS($B$2:$B123,"CSF"))-1,12)+1),"N/A"),"")</f>
        <v/>
      </c>
      <c r="H123" s="6" t="str">
        <f>IF(AND($A123&lt;&gt;"",$B123&lt;&gt;"",$C123&lt;&gt;"",$D123&lt;&gt;""),IF(OR($B123="SER",$B123="PLH",$B123="CSF"),"Control NIH Plate "&amp;(INT(((COUNTIFS($B$2:$B123,"SER")+COUNTIFS($B$2:$B123,"PLH")+COUNTIFS($B$2:$B123,"CSF"))-1)/96)+1)&amp;": "&amp;CHAR(65+INT(MOD((COUNTIFS($B$2:$B123,"SER")+COUNTIFS($B$2:$B123,"PLH")+COUNTIFS($B$2:$B123,"CSF"))-1,96)/12))&amp;(MOD((COUNTIFS($B$2:$B123,"SER")+COUNTIFS($B$2:$B123,"PLH")+COUNTIFS($B$2:$B123,"CSF"))-1,12)+1),"N/A"),"")</f>
        <v/>
      </c>
      <c r="I123" s="6" t="str">
        <f>IF(AND($A123&lt;&gt;"",$B123&lt;&gt;"",$C123&lt;&gt;"",$D123&lt;&gt;""),IF(OR($B123="SER",$B123="PLH"),"Control MAX Planck Plate "&amp;(INT(((COUNTIFS($B$2:$B123,"SER")+COUNTIFS($B$2:$B123,"PLH"))-1)/96)+1)&amp;": "&amp;CHAR(65+INT(MOD((COUNTIFS($B$2:$B123,"SER")+COUNTIFS($B$2:$B123,"PLH"))-1,96)/12))&amp;(MOD((COUNTIFS($B$2:$B123,"SER")+COUNTIFS($B$2:$B123,"PLH"))-1,12)+1),"N/A"),"")</f>
        <v/>
      </c>
      <c r="J123" s="6" t="str">
        <f>IF(AND($A123&lt;&gt;"",$B123&lt;&gt;"",$C123&lt;&gt;"",$D123&lt;&gt;""),IF($B123="WB","Control WB Box "&amp;(INT((COUNTIFS($B$2:$B123,"WB")-1)/81)+1)&amp;": "&amp;CHAR(65+INT(MOD(COUNTIFS($B$2:$B123,"WB")-1,81)/9))&amp;(MOD(COUNTIFS($B$2:$B123,"WB")-1,9)+1),"N/A"),"")</f>
        <v/>
      </c>
      <c r="K123" s="3" t="str">
        <f t="shared" si="19"/>
        <v/>
      </c>
      <c r="L123" s="2"/>
      <c r="M123" s="2"/>
      <c r="N123" s="2"/>
      <c r="O123" s="7" t="str">
        <f t="shared" si="20"/>
        <v/>
      </c>
      <c r="P123" s="7" t="str">
        <f t="shared" si="21"/>
        <v/>
      </c>
      <c r="Q123" s="7" t="str">
        <f t="shared" si="22"/>
        <v/>
      </c>
      <c r="R123" s="7" t="str">
        <f t="shared" si="23"/>
        <v/>
      </c>
      <c r="S123" s="7" t="str">
        <f t="shared" si="24"/>
        <v/>
      </c>
      <c r="T123" s="7" t="str">
        <f t="shared" si="25"/>
        <v/>
      </c>
      <c r="U123" s="7" t="str">
        <f t="shared" si="26"/>
        <v/>
      </c>
      <c r="V123" s="7" t="str">
        <f t="shared" si="27"/>
        <v/>
      </c>
      <c r="W123" s="7" t="str">
        <f t="shared" si="28"/>
        <v/>
      </c>
      <c r="X123" s="7" t="str">
        <f t="shared" si="29"/>
        <v/>
      </c>
      <c r="Y123">
        <f t="shared" si="30"/>
        <v>0</v>
      </c>
      <c r="Z123" t="str">
        <f t="shared" si="31"/>
        <v/>
      </c>
      <c r="AA123" t="str">
        <f t="shared" si="32"/>
        <v/>
      </c>
      <c r="AB123" t="str">
        <f t="shared" si="33"/>
        <v/>
      </c>
      <c r="AC123" t="str">
        <f t="shared" si="34"/>
        <v/>
      </c>
      <c r="AD123">
        <f t="shared" si="35"/>
        <v>0</v>
      </c>
    </row>
    <row r="124" spans="1:30" ht="15" customHeight="1" x14ac:dyDescent="0.35">
      <c r="A124" s="2"/>
      <c r="B124" s="3"/>
      <c r="C124" s="4"/>
      <c r="D124" s="5"/>
      <c r="E124" s="11" t="str">
        <f t="shared" ca="1" si="18"/>
        <v/>
      </c>
      <c r="F124" s="5"/>
      <c r="G124" s="6" t="str">
        <f>IF(AND($A124&lt;&gt;"",$B124&lt;&gt;"",$C124&lt;&gt;"",$D124&lt;&gt;""),IF(OR($B124="SER",$B124="PLH",$B124="CSF"),"Control CDI Plate "&amp;(INT(((COUNTIFS($B$2:$B124,"SER")+COUNTIFS($B$2:$B124,"PLH")+COUNTIFS($B$2:$B124,"CSF"))-1)/96)+1)&amp;": "&amp;CHAR(65+INT(MOD((COUNTIFS($B$2:$B124,"SER")+COUNTIFS($B$2:$B124,"PLH")+COUNTIFS($B$2:$B124,"CSF"))-1,96)/12))&amp;(MOD((COUNTIFS($B$2:$B124,"SER")+COUNTIFS($B$2:$B124,"PLH")+COUNTIFS($B$2:$B124,"CSF"))-1,12)+1),"N/A"),"")</f>
        <v/>
      </c>
      <c r="H124" s="6" t="str">
        <f>IF(AND($A124&lt;&gt;"",$B124&lt;&gt;"",$C124&lt;&gt;"",$D124&lt;&gt;""),IF(OR($B124="SER",$B124="PLH",$B124="CSF"),"Control NIH Plate "&amp;(INT(((COUNTIFS($B$2:$B124,"SER")+COUNTIFS($B$2:$B124,"PLH")+COUNTIFS($B$2:$B124,"CSF"))-1)/96)+1)&amp;": "&amp;CHAR(65+INT(MOD((COUNTIFS($B$2:$B124,"SER")+COUNTIFS($B$2:$B124,"PLH")+COUNTIFS($B$2:$B124,"CSF"))-1,96)/12))&amp;(MOD((COUNTIFS($B$2:$B124,"SER")+COUNTIFS($B$2:$B124,"PLH")+COUNTIFS($B$2:$B124,"CSF"))-1,12)+1),"N/A"),"")</f>
        <v/>
      </c>
      <c r="I124" s="6" t="str">
        <f>IF(AND($A124&lt;&gt;"",$B124&lt;&gt;"",$C124&lt;&gt;"",$D124&lt;&gt;""),IF(OR($B124="SER",$B124="PLH"),"Control MAX Planck Plate "&amp;(INT(((COUNTIFS($B$2:$B124,"SER")+COUNTIFS($B$2:$B124,"PLH"))-1)/96)+1)&amp;": "&amp;CHAR(65+INT(MOD((COUNTIFS($B$2:$B124,"SER")+COUNTIFS($B$2:$B124,"PLH"))-1,96)/12))&amp;(MOD((COUNTIFS($B$2:$B124,"SER")+COUNTIFS($B$2:$B124,"PLH"))-1,12)+1),"N/A"),"")</f>
        <v/>
      </c>
      <c r="J124" s="6" t="str">
        <f>IF(AND($A124&lt;&gt;"",$B124&lt;&gt;"",$C124&lt;&gt;"",$D124&lt;&gt;""),IF($B124="WB","Control WB Box "&amp;(INT((COUNTIFS($B$2:$B124,"WB")-1)/81)+1)&amp;": "&amp;CHAR(65+INT(MOD(COUNTIFS($B$2:$B124,"WB")-1,81)/9))&amp;(MOD(COUNTIFS($B$2:$B124,"WB")-1,9)+1),"N/A"),"")</f>
        <v/>
      </c>
      <c r="K124" s="3" t="str">
        <f t="shared" si="19"/>
        <v/>
      </c>
      <c r="L124" s="2"/>
      <c r="M124" s="2"/>
      <c r="N124" s="2"/>
      <c r="O124" s="7" t="str">
        <f t="shared" si="20"/>
        <v/>
      </c>
      <c r="P124" s="7" t="str">
        <f t="shared" si="21"/>
        <v/>
      </c>
      <c r="Q124" s="7" t="str">
        <f t="shared" si="22"/>
        <v/>
      </c>
      <c r="R124" s="7" t="str">
        <f t="shared" si="23"/>
        <v/>
      </c>
      <c r="S124" s="7" t="str">
        <f t="shared" si="24"/>
        <v/>
      </c>
      <c r="T124" s="7" t="str">
        <f t="shared" si="25"/>
        <v/>
      </c>
      <c r="U124" s="7" t="str">
        <f t="shared" si="26"/>
        <v/>
      </c>
      <c r="V124" s="7" t="str">
        <f t="shared" si="27"/>
        <v/>
      </c>
      <c r="W124" s="7" t="str">
        <f t="shared" si="28"/>
        <v/>
      </c>
      <c r="X124" s="7" t="str">
        <f t="shared" si="29"/>
        <v/>
      </c>
      <c r="Y124">
        <f t="shared" si="30"/>
        <v>0</v>
      </c>
      <c r="Z124" t="str">
        <f t="shared" si="31"/>
        <v/>
      </c>
      <c r="AA124" t="str">
        <f t="shared" si="32"/>
        <v/>
      </c>
      <c r="AB124" t="str">
        <f t="shared" si="33"/>
        <v/>
      </c>
      <c r="AC124" t="str">
        <f t="shared" si="34"/>
        <v/>
      </c>
      <c r="AD124">
        <f t="shared" si="35"/>
        <v>0</v>
      </c>
    </row>
    <row r="125" spans="1:30" ht="15" customHeight="1" x14ac:dyDescent="0.35">
      <c r="A125" s="2"/>
      <c r="B125" s="3"/>
      <c r="C125" s="4"/>
      <c r="D125" s="5"/>
      <c r="E125" s="11" t="str">
        <f t="shared" ref="E125:E188" ca="1" si="36">IF(AND($A125&lt;&gt;"",$B125&lt;&gt;"",$C125&lt;&gt;"",$D125&lt;&gt;""),TODAY(),"")</f>
        <v/>
      </c>
      <c r="F125" s="5"/>
      <c r="G125" s="6" t="str">
        <f>IF(AND($A125&lt;&gt;"",$B125&lt;&gt;"",$C125&lt;&gt;"",$D125&lt;&gt;""),IF(OR($B125="SER",$B125="PLH",$B125="CSF"),"Control CDI Plate "&amp;(INT(((COUNTIFS($B$2:$B125,"SER")+COUNTIFS($B$2:$B125,"PLH")+COUNTIFS($B$2:$B125,"CSF"))-1)/96)+1)&amp;": "&amp;CHAR(65+INT(MOD((COUNTIFS($B$2:$B125,"SER")+COUNTIFS($B$2:$B125,"PLH")+COUNTIFS($B$2:$B125,"CSF"))-1,96)/12))&amp;(MOD((COUNTIFS($B$2:$B125,"SER")+COUNTIFS($B$2:$B125,"PLH")+COUNTIFS($B$2:$B125,"CSF"))-1,12)+1),"N/A"),"")</f>
        <v/>
      </c>
      <c r="H125" s="6" t="str">
        <f>IF(AND($A125&lt;&gt;"",$B125&lt;&gt;"",$C125&lt;&gt;"",$D125&lt;&gt;""),IF(OR($B125="SER",$B125="PLH",$B125="CSF"),"Control NIH Plate "&amp;(INT(((COUNTIFS($B$2:$B125,"SER")+COUNTIFS($B$2:$B125,"PLH")+COUNTIFS($B$2:$B125,"CSF"))-1)/96)+1)&amp;": "&amp;CHAR(65+INT(MOD((COUNTIFS($B$2:$B125,"SER")+COUNTIFS($B$2:$B125,"PLH")+COUNTIFS($B$2:$B125,"CSF"))-1,96)/12))&amp;(MOD((COUNTIFS($B$2:$B125,"SER")+COUNTIFS($B$2:$B125,"PLH")+COUNTIFS($B$2:$B125,"CSF"))-1,12)+1),"N/A"),"")</f>
        <v/>
      </c>
      <c r="I125" s="6" t="str">
        <f>IF(AND($A125&lt;&gt;"",$B125&lt;&gt;"",$C125&lt;&gt;"",$D125&lt;&gt;""),IF(OR($B125="SER",$B125="PLH"),"Control MAX Planck Plate "&amp;(INT(((COUNTIFS($B$2:$B125,"SER")+COUNTIFS($B$2:$B125,"PLH"))-1)/96)+1)&amp;": "&amp;CHAR(65+INT(MOD((COUNTIFS($B$2:$B125,"SER")+COUNTIFS($B$2:$B125,"PLH"))-1,96)/12))&amp;(MOD((COUNTIFS($B$2:$B125,"SER")+COUNTIFS($B$2:$B125,"PLH"))-1,12)+1),"N/A"),"")</f>
        <v/>
      </c>
      <c r="J125" s="6" t="str">
        <f>IF(AND($A125&lt;&gt;"",$B125&lt;&gt;"",$C125&lt;&gt;"",$D125&lt;&gt;""),IF($B125="WB","Control WB Box "&amp;(INT((COUNTIFS($B$2:$B125,"WB")-1)/81)+1)&amp;": "&amp;CHAR(65+INT(MOD(COUNTIFS($B$2:$B125,"WB")-1,81)/9))&amp;(MOD(COUNTIFS($B$2:$B125,"WB")-1,9)+1),"N/A"),"")</f>
        <v/>
      </c>
      <c r="K125" s="3" t="str">
        <f t="shared" ref="K125:K188" si="37">IF(AND($A125&lt;&gt;"",$B125&lt;&gt;"",$C125&lt;&gt;"",$D125&lt;&gt;""),IF($B125="WB","No",""),"")</f>
        <v/>
      </c>
      <c r="L125" s="2"/>
      <c r="M125" s="2"/>
      <c r="N125" s="2"/>
      <c r="O125" s="7" t="str">
        <f t="shared" ref="O125:O188" si="38">IF($A125&lt;&gt;"",MID($A125,7,4),"")</f>
        <v/>
      </c>
      <c r="P125" s="7" t="str">
        <f t="shared" ref="P125:P188" si="39">IF($C125&lt;&gt;"",TEXT($C125,"mmddyy"),"")</f>
        <v/>
      </c>
      <c r="Q125" s="7" t="str">
        <f t="shared" ref="Q125:Q188" si="40">IF(AND($A125&lt;&gt;"",$B125&lt;&gt;"",$C125&lt;&gt;""),IF($B125="WB","cn_"&amp;$O125&amp;"_wb_"&amp;$P125,"cn_"&amp;$O125&amp;"_"&amp;LOWER($B125)&amp;"_"&amp;IF($B125="CSF","0.50","0.20")&amp;"_"&amp;$P125),"")</f>
        <v/>
      </c>
      <c r="R125" s="7" t="str">
        <f t="shared" ref="R125:R188" si="41">IF(AND($A125&lt;&gt;"",$B125="WB",$C125&lt;&gt;""),"cn_"&amp;$O125&amp;"_wb_"&amp;$P125,"")</f>
        <v/>
      </c>
      <c r="S125" s="7" t="str">
        <f t="shared" ref="S125:S188" si="42">IFERROR(VALUE(MID($L125,FIND("Box ",$L125)+4,FIND(":",$L125)-FIND("Box ",$L125)-4)),"")</f>
        <v/>
      </c>
      <c r="T125" s="7" t="str">
        <f t="shared" ref="T125:T188" si="43">IFERROR(CODE(UPPER(LEFT(LEFT(TRIM(MID(SUBSTITUTE(TRIM(MID($L125,FIND(":",$L125)+1,200)),",",REPT(" ",60)),1,60)),IFERROR(FIND("-",TRIM(MID(SUBSTITUTE(TRIM(MID($L125,FIND(":",$L125)+1,200)),",",REPT(" ",60)),1,60)))-1,LEN(TRIM(MID(SUBSTITUTE(TRIM(MID($L125,FIND(":",$L125)+1,200)),",",REPT(" ",60)),1,60))))),1)))-64,"")</f>
        <v/>
      </c>
      <c r="U125" s="7" t="str">
        <f t="shared" ref="U125:U188" si="44">IFERROR(VALUE(MID(LEFT(TRIM(MID(SUBSTITUTE(TRIM(MID($L125,FIND(":",$L125)+1,200)),",",REPT(" ",60)),1,60)),IFERROR(FIND("-",TRIM(MID(SUBSTITUTE(TRIM(MID($L125,FIND(":",$L125)+1,200)),",",REPT(" ",60)),1,60)))-1,LEN(TRIM(MID(SUBSTITUTE(TRIM(MID($L125,FIND(":",$L125)+1,200)),",",REPT(" ",60)),1,60))))),2,3)),"")</f>
        <v/>
      </c>
      <c r="V125" s="7" t="str">
        <f t="shared" ref="V125:V188" si="45">IFERROR(CODE(UPPER(LEFT(IFERROR(MID(TRIM(MID(SUBSTITUTE(TRIM(MID($L125,FIND(":",$L125)+1,200)),",",REPT(" ",60)),1,60)),FIND("-",TRIM(MID(SUBSTITUTE(TRIM(MID($L125,FIND(":",$L125)+1,200)),",",REPT(" ",60)),1,60)))+1,99),LEFT(TRIM(MID(SUBSTITUTE(TRIM(MID($L125,FIND(":",$L125)+1,200)),",",REPT(" ",60)),1,60)),IFERROR(FIND("-",TRIM(MID(SUBSTITUTE(TRIM(MID($L125,FIND(":",$L125)+1,200)),",",REPT(" ",60)),1,60)))-1,LEN(TRIM(MID(SUBSTITUTE(TRIM(MID($L125,FIND(":",$L125)+1,200)),",",REPT(" ",60)),1,60)))))),1)))-64,"")</f>
        <v/>
      </c>
      <c r="W125" s="7" t="str">
        <f t="shared" ref="W125:W188" si="46">IFERROR(VALUE(MID(IFERROR(MID(TRIM(MID(SUBSTITUTE(TRIM(MID($L125,FIND(":",$L125)+1,200)),",",REPT(" ",60)),1,60)),FIND("-",TRIM(MID(SUBSTITUTE(TRIM(MID($L125,FIND(":",$L125)+1,200)),",",REPT(" ",60)),1,60)))+1,99),LEFT(TRIM(MID(SUBSTITUTE(TRIM(MID($L125,FIND(":",$L125)+1,200)),",",REPT(" ",60)),1,60)),IFERROR(FIND("-",TRIM(MID(SUBSTITUTE(TRIM(MID($L125,FIND(":",$L125)+1,200)),",",REPT(" ",60)),1,60)))-1,LEN(TRIM(MID(SUBSTITUTE(TRIM(MID($L125,FIND(":",$L125)+1,200)),",",REPT(" ",60)),1,60)))))),2,3)),"")</f>
        <v/>
      </c>
      <c r="X125" s="7" t="str">
        <f t="shared" ref="X125:X188" si="47">IF(AND($A125&lt;&gt;"",$B125&lt;&gt;"",$C125&lt;&gt;""),"cn_"&amp;$O125&amp;"_"&amp;LOWER($B125)&amp;"_","")</f>
        <v/>
      </c>
      <c r="Y125">
        <f t="shared" ref="Y125:Y188" si="48">IFERROR(($V125-$T125+1)*($W125-$U125+1),0)</f>
        <v>0</v>
      </c>
      <c r="Z125" t="str">
        <f t="shared" ref="Z125:Z188" si="49">IFERROR(CODE(UPPER(LEFT(LEFT(TRIM(MID(SUBSTITUTE(TRIM(MID($L125,FIND(":",$L125)+1,200)),",",REPT(" ",60)),61,60)),IFERROR(FIND("-",TRIM(MID(SUBSTITUTE(TRIM(MID($L125,FIND(":",$L125)+1,200)),",",REPT(" ",60)),61,60)))-1,LEN(TRIM(MID(SUBSTITUTE(TRIM(MID($L125,FIND(":",$L125)+1,200)),",",REPT(" ",60)),61,60))))),1)))-64,"")</f>
        <v/>
      </c>
      <c r="AA125" t="str">
        <f t="shared" ref="AA125:AA188" si="50">IFERROR(VALUE(MID(LEFT(TRIM(MID(SUBSTITUTE(TRIM(MID($L125,FIND(":",$L125)+1,200)),",",REPT(" ",60)),61,60)),IFERROR(FIND("-",TRIM(MID(SUBSTITUTE(TRIM(MID($L125,FIND(":",$L125)+1,200)),",",REPT(" ",60)),61,60)))-1,LEN(TRIM(MID(SUBSTITUTE(TRIM(MID($L125,FIND(":",$L125)+1,200)),",",REPT(" ",60)),61,60))))),2,3)),"")</f>
        <v/>
      </c>
      <c r="AB125" t="str">
        <f t="shared" ref="AB125:AB188" si="51">IFERROR(CODE(UPPER(LEFT(IFERROR(MID(TRIM(MID(SUBSTITUTE(TRIM(MID($L125,FIND(":",$L125)+1,200)),",",REPT(" ",60)),61,60)),FIND("-",TRIM(MID(SUBSTITUTE(TRIM(MID($L125,FIND(":",$L125)+1,200)),",",REPT(" ",60)),61,60)))+1,99),LEFT(TRIM(MID(SUBSTITUTE(TRIM(MID($L125,FIND(":",$L125)+1,200)),",",REPT(" ",60)),61,60)),IFERROR(FIND("-",TRIM(MID(SUBSTITUTE(TRIM(MID($L125,FIND(":",$L125)+1,200)),",",REPT(" ",60)),61,60)))-1,LEN(TRIM(MID(SUBSTITUTE(TRIM(MID($L125,FIND(":",$L125)+1,200)),",",REPT(" ",60)),61,60)))))),1)))-64,"")</f>
        <v/>
      </c>
      <c r="AC125" t="str">
        <f t="shared" ref="AC125:AC188" si="52">IFERROR(VALUE(MID(IFERROR(MID(TRIM(MID(SUBSTITUTE(TRIM(MID($L125,FIND(":",$L125)+1,200)),",",REPT(" ",60)),61,60)),FIND("-",TRIM(MID(SUBSTITUTE(TRIM(MID($L125,FIND(":",$L125)+1,200)),",",REPT(" ",60)),61,60)))+1,99),LEFT(TRIM(MID(SUBSTITUTE(TRIM(MID($L125,FIND(":",$L125)+1,200)),",",REPT(" ",60)),61,60)),IFERROR(FIND("-",TRIM(MID(SUBSTITUTE(TRIM(MID($L125,FIND(":",$L125)+1,200)),",",REPT(" ",60)),61,60)))-1,LEN(TRIM(MID(SUBSTITUTE(TRIM(MID($L125,FIND(":",$L125)+1,200)),",",REPT(" ",60)),61,60)))))),2,3)),"")</f>
        <v/>
      </c>
      <c r="AD125">
        <f t="shared" ref="AD125:AD188" si="53">IFERROR(($AB125-$Z125+1)*($AC125-$AA125+1),0)</f>
        <v>0</v>
      </c>
    </row>
    <row r="126" spans="1:30" ht="15" customHeight="1" x14ac:dyDescent="0.35">
      <c r="A126" s="2"/>
      <c r="B126" s="3"/>
      <c r="C126" s="4"/>
      <c r="D126" s="5"/>
      <c r="E126" s="11" t="str">
        <f t="shared" ca="1" si="36"/>
        <v/>
      </c>
      <c r="F126" s="5"/>
      <c r="G126" s="6" t="str">
        <f>IF(AND($A126&lt;&gt;"",$B126&lt;&gt;"",$C126&lt;&gt;"",$D126&lt;&gt;""),IF(OR($B126="SER",$B126="PLH",$B126="CSF"),"Control CDI Plate "&amp;(INT(((COUNTIFS($B$2:$B126,"SER")+COUNTIFS($B$2:$B126,"PLH")+COUNTIFS($B$2:$B126,"CSF"))-1)/96)+1)&amp;": "&amp;CHAR(65+INT(MOD((COUNTIFS($B$2:$B126,"SER")+COUNTIFS($B$2:$B126,"PLH")+COUNTIFS($B$2:$B126,"CSF"))-1,96)/12))&amp;(MOD((COUNTIFS($B$2:$B126,"SER")+COUNTIFS($B$2:$B126,"PLH")+COUNTIFS($B$2:$B126,"CSF"))-1,12)+1),"N/A"),"")</f>
        <v/>
      </c>
      <c r="H126" s="6" t="str">
        <f>IF(AND($A126&lt;&gt;"",$B126&lt;&gt;"",$C126&lt;&gt;"",$D126&lt;&gt;""),IF(OR($B126="SER",$B126="PLH",$B126="CSF"),"Control NIH Plate "&amp;(INT(((COUNTIFS($B$2:$B126,"SER")+COUNTIFS($B$2:$B126,"PLH")+COUNTIFS($B$2:$B126,"CSF"))-1)/96)+1)&amp;": "&amp;CHAR(65+INT(MOD((COUNTIFS($B$2:$B126,"SER")+COUNTIFS($B$2:$B126,"PLH")+COUNTIFS($B$2:$B126,"CSF"))-1,96)/12))&amp;(MOD((COUNTIFS($B$2:$B126,"SER")+COUNTIFS($B$2:$B126,"PLH")+COUNTIFS($B$2:$B126,"CSF"))-1,12)+1),"N/A"),"")</f>
        <v/>
      </c>
      <c r="I126" s="6" t="str">
        <f>IF(AND($A126&lt;&gt;"",$B126&lt;&gt;"",$C126&lt;&gt;"",$D126&lt;&gt;""),IF(OR($B126="SER",$B126="PLH"),"Control MAX Planck Plate "&amp;(INT(((COUNTIFS($B$2:$B126,"SER")+COUNTIFS($B$2:$B126,"PLH"))-1)/96)+1)&amp;": "&amp;CHAR(65+INT(MOD((COUNTIFS($B$2:$B126,"SER")+COUNTIFS($B$2:$B126,"PLH"))-1,96)/12))&amp;(MOD((COUNTIFS($B$2:$B126,"SER")+COUNTIFS($B$2:$B126,"PLH"))-1,12)+1),"N/A"),"")</f>
        <v/>
      </c>
      <c r="J126" s="6" t="str">
        <f>IF(AND($A126&lt;&gt;"",$B126&lt;&gt;"",$C126&lt;&gt;"",$D126&lt;&gt;""),IF($B126="WB","Control WB Box "&amp;(INT((COUNTIFS($B$2:$B126,"WB")-1)/81)+1)&amp;": "&amp;CHAR(65+INT(MOD(COUNTIFS($B$2:$B126,"WB")-1,81)/9))&amp;(MOD(COUNTIFS($B$2:$B126,"WB")-1,9)+1),"N/A"),"")</f>
        <v/>
      </c>
      <c r="K126" s="3" t="str">
        <f t="shared" si="37"/>
        <v/>
      </c>
      <c r="L126" s="2"/>
      <c r="M126" s="2"/>
      <c r="N126" s="2"/>
      <c r="O126" s="7" t="str">
        <f t="shared" si="38"/>
        <v/>
      </c>
      <c r="P126" s="7" t="str">
        <f t="shared" si="39"/>
        <v/>
      </c>
      <c r="Q126" s="7" t="str">
        <f t="shared" si="40"/>
        <v/>
      </c>
      <c r="R126" s="7" t="str">
        <f t="shared" si="41"/>
        <v/>
      </c>
      <c r="S126" s="7" t="str">
        <f t="shared" si="42"/>
        <v/>
      </c>
      <c r="T126" s="7" t="str">
        <f t="shared" si="43"/>
        <v/>
      </c>
      <c r="U126" s="7" t="str">
        <f t="shared" si="44"/>
        <v/>
      </c>
      <c r="V126" s="7" t="str">
        <f t="shared" si="45"/>
        <v/>
      </c>
      <c r="W126" s="7" t="str">
        <f t="shared" si="46"/>
        <v/>
      </c>
      <c r="X126" s="7" t="str">
        <f t="shared" si="47"/>
        <v/>
      </c>
      <c r="Y126">
        <f t="shared" si="48"/>
        <v>0</v>
      </c>
      <c r="Z126" t="str">
        <f t="shared" si="49"/>
        <v/>
      </c>
      <c r="AA126" t="str">
        <f t="shared" si="50"/>
        <v/>
      </c>
      <c r="AB126" t="str">
        <f t="shared" si="51"/>
        <v/>
      </c>
      <c r="AC126" t="str">
        <f t="shared" si="52"/>
        <v/>
      </c>
      <c r="AD126">
        <f t="shared" si="53"/>
        <v>0</v>
      </c>
    </row>
    <row r="127" spans="1:30" ht="15" customHeight="1" x14ac:dyDescent="0.35">
      <c r="A127" s="2"/>
      <c r="B127" s="3"/>
      <c r="C127" s="4"/>
      <c r="D127" s="5"/>
      <c r="E127" s="11" t="str">
        <f t="shared" ca="1" si="36"/>
        <v/>
      </c>
      <c r="F127" s="5"/>
      <c r="G127" s="6" t="str">
        <f>IF(AND($A127&lt;&gt;"",$B127&lt;&gt;"",$C127&lt;&gt;"",$D127&lt;&gt;""),IF(OR($B127="SER",$B127="PLH",$B127="CSF"),"Control CDI Plate "&amp;(INT(((COUNTIFS($B$2:$B127,"SER")+COUNTIFS($B$2:$B127,"PLH")+COUNTIFS($B$2:$B127,"CSF"))-1)/96)+1)&amp;": "&amp;CHAR(65+INT(MOD((COUNTIFS($B$2:$B127,"SER")+COUNTIFS($B$2:$B127,"PLH")+COUNTIFS($B$2:$B127,"CSF"))-1,96)/12))&amp;(MOD((COUNTIFS($B$2:$B127,"SER")+COUNTIFS($B$2:$B127,"PLH")+COUNTIFS($B$2:$B127,"CSF"))-1,12)+1),"N/A"),"")</f>
        <v/>
      </c>
      <c r="H127" s="6" t="str">
        <f>IF(AND($A127&lt;&gt;"",$B127&lt;&gt;"",$C127&lt;&gt;"",$D127&lt;&gt;""),IF(OR($B127="SER",$B127="PLH",$B127="CSF"),"Control NIH Plate "&amp;(INT(((COUNTIFS($B$2:$B127,"SER")+COUNTIFS($B$2:$B127,"PLH")+COUNTIFS($B$2:$B127,"CSF"))-1)/96)+1)&amp;": "&amp;CHAR(65+INT(MOD((COUNTIFS($B$2:$B127,"SER")+COUNTIFS($B$2:$B127,"PLH")+COUNTIFS($B$2:$B127,"CSF"))-1,96)/12))&amp;(MOD((COUNTIFS($B$2:$B127,"SER")+COUNTIFS($B$2:$B127,"PLH")+COUNTIFS($B$2:$B127,"CSF"))-1,12)+1),"N/A"),"")</f>
        <v/>
      </c>
      <c r="I127" s="6" t="str">
        <f>IF(AND($A127&lt;&gt;"",$B127&lt;&gt;"",$C127&lt;&gt;"",$D127&lt;&gt;""),IF(OR($B127="SER",$B127="PLH"),"Control MAX Planck Plate "&amp;(INT(((COUNTIFS($B$2:$B127,"SER")+COUNTIFS($B$2:$B127,"PLH"))-1)/96)+1)&amp;": "&amp;CHAR(65+INT(MOD((COUNTIFS($B$2:$B127,"SER")+COUNTIFS($B$2:$B127,"PLH"))-1,96)/12))&amp;(MOD((COUNTIFS($B$2:$B127,"SER")+COUNTIFS($B$2:$B127,"PLH"))-1,12)+1),"N/A"),"")</f>
        <v/>
      </c>
      <c r="J127" s="6" t="str">
        <f>IF(AND($A127&lt;&gt;"",$B127&lt;&gt;"",$C127&lt;&gt;"",$D127&lt;&gt;""),IF($B127="WB","Control WB Box "&amp;(INT((COUNTIFS($B$2:$B127,"WB")-1)/81)+1)&amp;": "&amp;CHAR(65+INT(MOD(COUNTIFS($B$2:$B127,"WB")-1,81)/9))&amp;(MOD(COUNTIFS($B$2:$B127,"WB")-1,9)+1),"N/A"),"")</f>
        <v/>
      </c>
      <c r="K127" s="3" t="str">
        <f t="shared" si="37"/>
        <v/>
      </c>
      <c r="L127" s="2"/>
      <c r="M127" s="2"/>
      <c r="N127" s="2"/>
      <c r="O127" s="7" t="str">
        <f t="shared" si="38"/>
        <v/>
      </c>
      <c r="P127" s="7" t="str">
        <f t="shared" si="39"/>
        <v/>
      </c>
      <c r="Q127" s="7" t="str">
        <f t="shared" si="40"/>
        <v/>
      </c>
      <c r="R127" s="7" t="str">
        <f t="shared" si="41"/>
        <v/>
      </c>
      <c r="S127" s="7" t="str">
        <f t="shared" si="42"/>
        <v/>
      </c>
      <c r="T127" s="7" t="str">
        <f t="shared" si="43"/>
        <v/>
      </c>
      <c r="U127" s="7" t="str">
        <f t="shared" si="44"/>
        <v/>
      </c>
      <c r="V127" s="7" t="str">
        <f t="shared" si="45"/>
        <v/>
      </c>
      <c r="W127" s="7" t="str">
        <f t="shared" si="46"/>
        <v/>
      </c>
      <c r="X127" s="7" t="str">
        <f t="shared" si="47"/>
        <v/>
      </c>
      <c r="Y127">
        <f t="shared" si="48"/>
        <v>0</v>
      </c>
      <c r="Z127" t="str">
        <f t="shared" si="49"/>
        <v/>
      </c>
      <c r="AA127" t="str">
        <f t="shared" si="50"/>
        <v/>
      </c>
      <c r="AB127" t="str">
        <f t="shared" si="51"/>
        <v/>
      </c>
      <c r="AC127" t="str">
        <f t="shared" si="52"/>
        <v/>
      </c>
      <c r="AD127">
        <f t="shared" si="53"/>
        <v>0</v>
      </c>
    </row>
    <row r="128" spans="1:30" ht="15" customHeight="1" x14ac:dyDescent="0.35">
      <c r="A128" s="2"/>
      <c r="B128" s="3"/>
      <c r="C128" s="4"/>
      <c r="D128" s="5"/>
      <c r="E128" s="11" t="str">
        <f t="shared" ca="1" si="36"/>
        <v/>
      </c>
      <c r="F128" s="5"/>
      <c r="G128" s="6" t="str">
        <f>IF(AND($A128&lt;&gt;"",$B128&lt;&gt;"",$C128&lt;&gt;"",$D128&lt;&gt;""),IF(OR($B128="SER",$B128="PLH",$B128="CSF"),"Control CDI Plate "&amp;(INT(((COUNTIFS($B$2:$B128,"SER")+COUNTIFS($B$2:$B128,"PLH")+COUNTIFS($B$2:$B128,"CSF"))-1)/96)+1)&amp;": "&amp;CHAR(65+INT(MOD((COUNTIFS($B$2:$B128,"SER")+COUNTIFS($B$2:$B128,"PLH")+COUNTIFS($B$2:$B128,"CSF"))-1,96)/12))&amp;(MOD((COUNTIFS($B$2:$B128,"SER")+COUNTIFS($B$2:$B128,"PLH")+COUNTIFS($B$2:$B128,"CSF"))-1,12)+1),"N/A"),"")</f>
        <v/>
      </c>
      <c r="H128" s="6" t="str">
        <f>IF(AND($A128&lt;&gt;"",$B128&lt;&gt;"",$C128&lt;&gt;"",$D128&lt;&gt;""),IF(OR($B128="SER",$B128="PLH",$B128="CSF"),"Control NIH Plate "&amp;(INT(((COUNTIFS($B$2:$B128,"SER")+COUNTIFS($B$2:$B128,"PLH")+COUNTIFS($B$2:$B128,"CSF"))-1)/96)+1)&amp;": "&amp;CHAR(65+INT(MOD((COUNTIFS($B$2:$B128,"SER")+COUNTIFS($B$2:$B128,"PLH")+COUNTIFS($B$2:$B128,"CSF"))-1,96)/12))&amp;(MOD((COUNTIFS($B$2:$B128,"SER")+COUNTIFS($B$2:$B128,"PLH")+COUNTIFS($B$2:$B128,"CSF"))-1,12)+1),"N/A"),"")</f>
        <v/>
      </c>
      <c r="I128" s="6" t="str">
        <f>IF(AND($A128&lt;&gt;"",$B128&lt;&gt;"",$C128&lt;&gt;"",$D128&lt;&gt;""),IF(OR($B128="SER",$B128="PLH"),"Control MAX Planck Plate "&amp;(INT(((COUNTIFS($B$2:$B128,"SER")+COUNTIFS($B$2:$B128,"PLH"))-1)/96)+1)&amp;": "&amp;CHAR(65+INT(MOD((COUNTIFS($B$2:$B128,"SER")+COUNTIFS($B$2:$B128,"PLH"))-1,96)/12))&amp;(MOD((COUNTIFS($B$2:$B128,"SER")+COUNTIFS($B$2:$B128,"PLH"))-1,12)+1),"N/A"),"")</f>
        <v/>
      </c>
      <c r="J128" s="6" t="str">
        <f>IF(AND($A128&lt;&gt;"",$B128&lt;&gt;"",$C128&lt;&gt;"",$D128&lt;&gt;""),IF($B128="WB","Control WB Box "&amp;(INT((COUNTIFS($B$2:$B128,"WB")-1)/81)+1)&amp;": "&amp;CHAR(65+INT(MOD(COUNTIFS($B$2:$B128,"WB")-1,81)/9))&amp;(MOD(COUNTIFS($B$2:$B128,"WB")-1,9)+1),"N/A"),"")</f>
        <v/>
      </c>
      <c r="K128" s="3" t="str">
        <f t="shared" si="37"/>
        <v/>
      </c>
      <c r="L128" s="2"/>
      <c r="M128" s="2"/>
      <c r="N128" s="2"/>
      <c r="O128" s="7" t="str">
        <f t="shared" si="38"/>
        <v/>
      </c>
      <c r="P128" s="7" t="str">
        <f t="shared" si="39"/>
        <v/>
      </c>
      <c r="Q128" s="7" t="str">
        <f t="shared" si="40"/>
        <v/>
      </c>
      <c r="R128" s="7" t="str">
        <f t="shared" si="41"/>
        <v/>
      </c>
      <c r="S128" s="7" t="str">
        <f t="shared" si="42"/>
        <v/>
      </c>
      <c r="T128" s="7" t="str">
        <f t="shared" si="43"/>
        <v/>
      </c>
      <c r="U128" s="7" t="str">
        <f t="shared" si="44"/>
        <v/>
      </c>
      <c r="V128" s="7" t="str">
        <f t="shared" si="45"/>
        <v/>
      </c>
      <c r="W128" s="7" t="str">
        <f t="shared" si="46"/>
        <v/>
      </c>
      <c r="X128" s="7" t="str">
        <f t="shared" si="47"/>
        <v/>
      </c>
      <c r="Y128">
        <f t="shared" si="48"/>
        <v>0</v>
      </c>
      <c r="Z128" t="str">
        <f t="shared" si="49"/>
        <v/>
      </c>
      <c r="AA128" t="str">
        <f t="shared" si="50"/>
        <v/>
      </c>
      <c r="AB128" t="str">
        <f t="shared" si="51"/>
        <v/>
      </c>
      <c r="AC128" t="str">
        <f t="shared" si="52"/>
        <v/>
      </c>
      <c r="AD128">
        <f t="shared" si="53"/>
        <v>0</v>
      </c>
    </row>
    <row r="129" spans="1:30" ht="15" customHeight="1" x14ac:dyDescent="0.35">
      <c r="A129" s="2"/>
      <c r="B129" s="3"/>
      <c r="C129" s="4"/>
      <c r="D129" s="5"/>
      <c r="E129" s="11" t="str">
        <f t="shared" ca="1" si="36"/>
        <v/>
      </c>
      <c r="F129" s="5"/>
      <c r="G129" s="6" t="str">
        <f>IF(AND($A129&lt;&gt;"",$B129&lt;&gt;"",$C129&lt;&gt;"",$D129&lt;&gt;""),IF(OR($B129="SER",$B129="PLH",$B129="CSF"),"Control CDI Plate "&amp;(INT(((COUNTIFS($B$2:$B129,"SER")+COUNTIFS($B$2:$B129,"PLH")+COUNTIFS($B$2:$B129,"CSF"))-1)/96)+1)&amp;": "&amp;CHAR(65+INT(MOD((COUNTIFS($B$2:$B129,"SER")+COUNTIFS($B$2:$B129,"PLH")+COUNTIFS($B$2:$B129,"CSF"))-1,96)/12))&amp;(MOD((COUNTIFS($B$2:$B129,"SER")+COUNTIFS($B$2:$B129,"PLH")+COUNTIFS($B$2:$B129,"CSF"))-1,12)+1),"N/A"),"")</f>
        <v/>
      </c>
      <c r="H129" s="6" t="str">
        <f>IF(AND($A129&lt;&gt;"",$B129&lt;&gt;"",$C129&lt;&gt;"",$D129&lt;&gt;""),IF(OR($B129="SER",$B129="PLH",$B129="CSF"),"Control NIH Plate "&amp;(INT(((COUNTIFS($B$2:$B129,"SER")+COUNTIFS($B$2:$B129,"PLH")+COUNTIFS($B$2:$B129,"CSF"))-1)/96)+1)&amp;": "&amp;CHAR(65+INT(MOD((COUNTIFS($B$2:$B129,"SER")+COUNTIFS($B$2:$B129,"PLH")+COUNTIFS($B$2:$B129,"CSF"))-1,96)/12))&amp;(MOD((COUNTIFS($B$2:$B129,"SER")+COUNTIFS($B$2:$B129,"PLH")+COUNTIFS($B$2:$B129,"CSF"))-1,12)+1),"N/A"),"")</f>
        <v/>
      </c>
      <c r="I129" s="6" t="str">
        <f>IF(AND($A129&lt;&gt;"",$B129&lt;&gt;"",$C129&lt;&gt;"",$D129&lt;&gt;""),IF(OR($B129="SER",$B129="PLH"),"Control MAX Planck Plate "&amp;(INT(((COUNTIFS($B$2:$B129,"SER")+COUNTIFS($B$2:$B129,"PLH"))-1)/96)+1)&amp;": "&amp;CHAR(65+INT(MOD((COUNTIFS($B$2:$B129,"SER")+COUNTIFS($B$2:$B129,"PLH"))-1,96)/12))&amp;(MOD((COUNTIFS($B$2:$B129,"SER")+COUNTIFS($B$2:$B129,"PLH"))-1,12)+1),"N/A"),"")</f>
        <v/>
      </c>
      <c r="J129" s="6" t="str">
        <f>IF(AND($A129&lt;&gt;"",$B129&lt;&gt;"",$C129&lt;&gt;"",$D129&lt;&gt;""),IF($B129="WB","Control WB Box "&amp;(INT((COUNTIFS($B$2:$B129,"WB")-1)/81)+1)&amp;": "&amp;CHAR(65+INT(MOD(COUNTIFS($B$2:$B129,"WB")-1,81)/9))&amp;(MOD(COUNTIFS($B$2:$B129,"WB")-1,9)+1),"N/A"),"")</f>
        <v/>
      </c>
      <c r="K129" s="3" t="str">
        <f t="shared" si="37"/>
        <v/>
      </c>
      <c r="L129" s="2"/>
      <c r="M129" s="2"/>
      <c r="N129" s="2"/>
      <c r="O129" s="7" t="str">
        <f t="shared" si="38"/>
        <v/>
      </c>
      <c r="P129" s="7" t="str">
        <f t="shared" si="39"/>
        <v/>
      </c>
      <c r="Q129" s="7" t="str">
        <f t="shared" si="40"/>
        <v/>
      </c>
      <c r="R129" s="7" t="str">
        <f t="shared" si="41"/>
        <v/>
      </c>
      <c r="S129" s="7" t="str">
        <f t="shared" si="42"/>
        <v/>
      </c>
      <c r="T129" s="7" t="str">
        <f t="shared" si="43"/>
        <v/>
      </c>
      <c r="U129" s="7" t="str">
        <f t="shared" si="44"/>
        <v/>
      </c>
      <c r="V129" s="7" t="str">
        <f t="shared" si="45"/>
        <v/>
      </c>
      <c r="W129" s="7" t="str">
        <f t="shared" si="46"/>
        <v/>
      </c>
      <c r="X129" s="7" t="str">
        <f t="shared" si="47"/>
        <v/>
      </c>
      <c r="Y129">
        <f t="shared" si="48"/>
        <v>0</v>
      </c>
      <c r="Z129" t="str">
        <f t="shared" si="49"/>
        <v/>
      </c>
      <c r="AA129" t="str">
        <f t="shared" si="50"/>
        <v/>
      </c>
      <c r="AB129" t="str">
        <f t="shared" si="51"/>
        <v/>
      </c>
      <c r="AC129" t="str">
        <f t="shared" si="52"/>
        <v/>
      </c>
      <c r="AD129">
        <f t="shared" si="53"/>
        <v>0</v>
      </c>
    </row>
    <row r="130" spans="1:30" ht="15" customHeight="1" x14ac:dyDescent="0.35">
      <c r="A130" s="2"/>
      <c r="B130" s="3"/>
      <c r="C130" s="4"/>
      <c r="D130" s="5"/>
      <c r="E130" s="11" t="str">
        <f t="shared" ca="1" si="36"/>
        <v/>
      </c>
      <c r="F130" s="5"/>
      <c r="G130" s="6" t="str">
        <f>IF(AND($A130&lt;&gt;"",$B130&lt;&gt;"",$C130&lt;&gt;"",$D130&lt;&gt;""),IF(OR($B130="SER",$B130="PLH",$B130="CSF"),"Control CDI Plate "&amp;(INT(((COUNTIFS($B$2:$B130,"SER")+COUNTIFS($B$2:$B130,"PLH")+COUNTIFS($B$2:$B130,"CSF"))-1)/96)+1)&amp;": "&amp;CHAR(65+INT(MOD((COUNTIFS($B$2:$B130,"SER")+COUNTIFS($B$2:$B130,"PLH")+COUNTIFS($B$2:$B130,"CSF"))-1,96)/12))&amp;(MOD((COUNTIFS($B$2:$B130,"SER")+COUNTIFS($B$2:$B130,"PLH")+COUNTIFS($B$2:$B130,"CSF"))-1,12)+1),"N/A"),"")</f>
        <v/>
      </c>
      <c r="H130" s="6" t="str">
        <f>IF(AND($A130&lt;&gt;"",$B130&lt;&gt;"",$C130&lt;&gt;"",$D130&lt;&gt;""),IF(OR($B130="SER",$B130="PLH",$B130="CSF"),"Control NIH Plate "&amp;(INT(((COUNTIFS($B$2:$B130,"SER")+COUNTIFS($B$2:$B130,"PLH")+COUNTIFS($B$2:$B130,"CSF"))-1)/96)+1)&amp;": "&amp;CHAR(65+INT(MOD((COUNTIFS($B$2:$B130,"SER")+COUNTIFS($B$2:$B130,"PLH")+COUNTIFS($B$2:$B130,"CSF"))-1,96)/12))&amp;(MOD((COUNTIFS($B$2:$B130,"SER")+COUNTIFS($B$2:$B130,"PLH")+COUNTIFS($B$2:$B130,"CSF"))-1,12)+1),"N/A"),"")</f>
        <v/>
      </c>
      <c r="I130" s="6" t="str">
        <f>IF(AND($A130&lt;&gt;"",$B130&lt;&gt;"",$C130&lt;&gt;"",$D130&lt;&gt;""),IF(OR($B130="SER",$B130="PLH"),"Control MAX Planck Plate "&amp;(INT(((COUNTIFS($B$2:$B130,"SER")+COUNTIFS($B$2:$B130,"PLH"))-1)/96)+1)&amp;": "&amp;CHAR(65+INT(MOD((COUNTIFS($B$2:$B130,"SER")+COUNTIFS($B$2:$B130,"PLH"))-1,96)/12))&amp;(MOD((COUNTIFS($B$2:$B130,"SER")+COUNTIFS($B$2:$B130,"PLH"))-1,12)+1),"N/A"),"")</f>
        <v/>
      </c>
      <c r="J130" s="6" t="str">
        <f>IF(AND($A130&lt;&gt;"",$B130&lt;&gt;"",$C130&lt;&gt;"",$D130&lt;&gt;""),IF($B130="WB","Control WB Box "&amp;(INT((COUNTIFS($B$2:$B130,"WB")-1)/81)+1)&amp;": "&amp;CHAR(65+INT(MOD(COUNTIFS($B$2:$B130,"WB")-1,81)/9))&amp;(MOD(COUNTIFS($B$2:$B130,"WB")-1,9)+1),"N/A"),"")</f>
        <v/>
      </c>
      <c r="K130" s="3" t="str">
        <f t="shared" si="37"/>
        <v/>
      </c>
      <c r="L130" s="2"/>
      <c r="M130" s="2"/>
      <c r="N130" s="2"/>
      <c r="O130" s="7" t="str">
        <f t="shared" si="38"/>
        <v/>
      </c>
      <c r="P130" s="7" t="str">
        <f t="shared" si="39"/>
        <v/>
      </c>
      <c r="Q130" s="7" t="str">
        <f t="shared" si="40"/>
        <v/>
      </c>
      <c r="R130" s="7" t="str">
        <f t="shared" si="41"/>
        <v/>
      </c>
      <c r="S130" s="7" t="str">
        <f t="shared" si="42"/>
        <v/>
      </c>
      <c r="T130" s="7" t="str">
        <f t="shared" si="43"/>
        <v/>
      </c>
      <c r="U130" s="7" t="str">
        <f t="shared" si="44"/>
        <v/>
      </c>
      <c r="V130" s="7" t="str">
        <f t="shared" si="45"/>
        <v/>
      </c>
      <c r="W130" s="7" t="str">
        <f t="shared" si="46"/>
        <v/>
      </c>
      <c r="X130" s="7" t="str">
        <f t="shared" si="47"/>
        <v/>
      </c>
      <c r="Y130">
        <f t="shared" si="48"/>
        <v>0</v>
      </c>
      <c r="Z130" t="str">
        <f t="shared" si="49"/>
        <v/>
      </c>
      <c r="AA130" t="str">
        <f t="shared" si="50"/>
        <v/>
      </c>
      <c r="AB130" t="str">
        <f t="shared" si="51"/>
        <v/>
      </c>
      <c r="AC130" t="str">
        <f t="shared" si="52"/>
        <v/>
      </c>
      <c r="AD130">
        <f t="shared" si="53"/>
        <v>0</v>
      </c>
    </row>
    <row r="131" spans="1:30" ht="15" customHeight="1" x14ac:dyDescent="0.35">
      <c r="A131" s="2"/>
      <c r="B131" s="3"/>
      <c r="C131" s="4"/>
      <c r="D131" s="5"/>
      <c r="E131" s="11" t="str">
        <f t="shared" ca="1" si="36"/>
        <v/>
      </c>
      <c r="F131" s="5"/>
      <c r="G131" s="6" t="str">
        <f>IF(AND($A131&lt;&gt;"",$B131&lt;&gt;"",$C131&lt;&gt;"",$D131&lt;&gt;""),IF(OR($B131="SER",$B131="PLH",$B131="CSF"),"Control CDI Plate "&amp;(INT(((COUNTIFS($B$2:$B131,"SER")+COUNTIFS($B$2:$B131,"PLH")+COUNTIFS($B$2:$B131,"CSF"))-1)/96)+1)&amp;": "&amp;CHAR(65+INT(MOD((COUNTIFS($B$2:$B131,"SER")+COUNTIFS($B$2:$B131,"PLH")+COUNTIFS($B$2:$B131,"CSF"))-1,96)/12))&amp;(MOD((COUNTIFS($B$2:$B131,"SER")+COUNTIFS($B$2:$B131,"PLH")+COUNTIFS($B$2:$B131,"CSF"))-1,12)+1),"N/A"),"")</f>
        <v/>
      </c>
      <c r="H131" s="6" t="str">
        <f>IF(AND($A131&lt;&gt;"",$B131&lt;&gt;"",$C131&lt;&gt;"",$D131&lt;&gt;""),IF(OR($B131="SER",$B131="PLH",$B131="CSF"),"Control NIH Plate "&amp;(INT(((COUNTIFS($B$2:$B131,"SER")+COUNTIFS($B$2:$B131,"PLH")+COUNTIFS($B$2:$B131,"CSF"))-1)/96)+1)&amp;": "&amp;CHAR(65+INT(MOD((COUNTIFS($B$2:$B131,"SER")+COUNTIFS($B$2:$B131,"PLH")+COUNTIFS($B$2:$B131,"CSF"))-1,96)/12))&amp;(MOD((COUNTIFS($B$2:$B131,"SER")+COUNTIFS($B$2:$B131,"PLH")+COUNTIFS($B$2:$B131,"CSF"))-1,12)+1),"N/A"),"")</f>
        <v/>
      </c>
      <c r="I131" s="6" t="str">
        <f>IF(AND($A131&lt;&gt;"",$B131&lt;&gt;"",$C131&lt;&gt;"",$D131&lt;&gt;""),IF(OR($B131="SER",$B131="PLH"),"Control MAX Planck Plate "&amp;(INT(((COUNTIFS($B$2:$B131,"SER")+COUNTIFS($B$2:$B131,"PLH"))-1)/96)+1)&amp;": "&amp;CHAR(65+INT(MOD((COUNTIFS($B$2:$B131,"SER")+COUNTIFS($B$2:$B131,"PLH"))-1,96)/12))&amp;(MOD((COUNTIFS($B$2:$B131,"SER")+COUNTIFS($B$2:$B131,"PLH"))-1,12)+1),"N/A"),"")</f>
        <v/>
      </c>
      <c r="J131" s="6" t="str">
        <f>IF(AND($A131&lt;&gt;"",$B131&lt;&gt;"",$C131&lt;&gt;"",$D131&lt;&gt;""),IF($B131="WB","Control WB Box "&amp;(INT((COUNTIFS($B$2:$B131,"WB")-1)/81)+1)&amp;": "&amp;CHAR(65+INT(MOD(COUNTIFS($B$2:$B131,"WB")-1,81)/9))&amp;(MOD(COUNTIFS($B$2:$B131,"WB")-1,9)+1),"N/A"),"")</f>
        <v/>
      </c>
      <c r="K131" s="3" t="str">
        <f t="shared" si="37"/>
        <v/>
      </c>
      <c r="L131" s="2"/>
      <c r="M131" s="2"/>
      <c r="N131" s="2"/>
      <c r="O131" s="7" t="str">
        <f t="shared" si="38"/>
        <v/>
      </c>
      <c r="P131" s="7" t="str">
        <f t="shared" si="39"/>
        <v/>
      </c>
      <c r="Q131" s="7" t="str">
        <f t="shared" si="40"/>
        <v/>
      </c>
      <c r="R131" s="7" t="str">
        <f t="shared" si="41"/>
        <v/>
      </c>
      <c r="S131" s="7" t="str">
        <f t="shared" si="42"/>
        <v/>
      </c>
      <c r="T131" s="7" t="str">
        <f t="shared" si="43"/>
        <v/>
      </c>
      <c r="U131" s="7" t="str">
        <f t="shared" si="44"/>
        <v/>
      </c>
      <c r="V131" s="7" t="str">
        <f t="shared" si="45"/>
        <v/>
      </c>
      <c r="W131" s="7" t="str">
        <f t="shared" si="46"/>
        <v/>
      </c>
      <c r="X131" s="7" t="str">
        <f t="shared" si="47"/>
        <v/>
      </c>
      <c r="Y131">
        <f t="shared" si="48"/>
        <v>0</v>
      </c>
      <c r="Z131" t="str">
        <f t="shared" si="49"/>
        <v/>
      </c>
      <c r="AA131" t="str">
        <f t="shared" si="50"/>
        <v/>
      </c>
      <c r="AB131" t="str">
        <f t="shared" si="51"/>
        <v/>
      </c>
      <c r="AC131" t="str">
        <f t="shared" si="52"/>
        <v/>
      </c>
      <c r="AD131">
        <f t="shared" si="53"/>
        <v>0</v>
      </c>
    </row>
    <row r="132" spans="1:30" ht="15" customHeight="1" x14ac:dyDescent="0.35">
      <c r="A132" s="2"/>
      <c r="B132" s="3"/>
      <c r="C132" s="4"/>
      <c r="D132" s="5"/>
      <c r="E132" s="11" t="str">
        <f t="shared" ca="1" si="36"/>
        <v/>
      </c>
      <c r="F132" s="5"/>
      <c r="G132" s="6" t="str">
        <f>IF(AND($A132&lt;&gt;"",$B132&lt;&gt;"",$C132&lt;&gt;"",$D132&lt;&gt;""),IF(OR($B132="SER",$B132="PLH",$B132="CSF"),"Control CDI Plate "&amp;(INT(((COUNTIFS($B$2:$B132,"SER")+COUNTIFS($B$2:$B132,"PLH")+COUNTIFS($B$2:$B132,"CSF"))-1)/96)+1)&amp;": "&amp;CHAR(65+INT(MOD((COUNTIFS($B$2:$B132,"SER")+COUNTIFS($B$2:$B132,"PLH")+COUNTIFS($B$2:$B132,"CSF"))-1,96)/12))&amp;(MOD((COUNTIFS($B$2:$B132,"SER")+COUNTIFS($B$2:$B132,"PLH")+COUNTIFS($B$2:$B132,"CSF"))-1,12)+1),"N/A"),"")</f>
        <v/>
      </c>
      <c r="H132" s="6" t="str">
        <f>IF(AND($A132&lt;&gt;"",$B132&lt;&gt;"",$C132&lt;&gt;"",$D132&lt;&gt;""),IF(OR($B132="SER",$B132="PLH",$B132="CSF"),"Control NIH Plate "&amp;(INT(((COUNTIFS($B$2:$B132,"SER")+COUNTIFS($B$2:$B132,"PLH")+COUNTIFS($B$2:$B132,"CSF"))-1)/96)+1)&amp;": "&amp;CHAR(65+INT(MOD((COUNTIFS($B$2:$B132,"SER")+COUNTIFS($B$2:$B132,"PLH")+COUNTIFS($B$2:$B132,"CSF"))-1,96)/12))&amp;(MOD((COUNTIFS($B$2:$B132,"SER")+COUNTIFS($B$2:$B132,"PLH")+COUNTIFS($B$2:$B132,"CSF"))-1,12)+1),"N/A"),"")</f>
        <v/>
      </c>
      <c r="I132" s="6" t="str">
        <f>IF(AND($A132&lt;&gt;"",$B132&lt;&gt;"",$C132&lt;&gt;"",$D132&lt;&gt;""),IF(OR($B132="SER",$B132="PLH"),"Control MAX Planck Plate "&amp;(INT(((COUNTIFS($B$2:$B132,"SER")+COUNTIFS($B$2:$B132,"PLH"))-1)/96)+1)&amp;": "&amp;CHAR(65+INT(MOD((COUNTIFS($B$2:$B132,"SER")+COUNTIFS($B$2:$B132,"PLH"))-1,96)/12))&amp;(MOD((COUNTIFS($B$2:$B132,"SER")+COUNTIFS($B$2:$B132,"PLH"))-1,12)+1),"N/A"),"")</f>
        <v/>
      </c>
      <c r="J132" s="6" t="str">
        <f>IF(AND($A132&lt;&gt;"",$B132&lt;&gt;"",$C132&lt;&gt;"",$D132&lt;&gt;""),IF($B132="WB","Control WB Box "&amp;(INT((COUNTIFS($B$2:$B132,"WB")-1)/81)+1)&amp;": "&amp;CHAR(65+INT(MOD(COUNTIFS($B$2:$B132,"WB")-1,81)/9))&amp;(MOD(COUNTIFS($B$2:$B132,"WB")-1,9)+1),"N/A"),"")</f>
        <v/>
      </c>
      <c r="K132" s="3" t="str">
        <f t="shared" si="37"/>
        <v/>
      </c>
      <c r="L132" s="2"/>
      <c r="M132" s="2"/>
      <c r="N132" s="2"/>
      <c r="O132" s="7" t="str">
        <f t="shared" si="38"/>
        <v/>
      </c>
      <c r="P132" s="7" t="str">
        <f t="shared" si="39"/>
        <v/>
      </c>
      <c r="Q132" s="7" t="str">
        <f t="shared" si="40"/>
        <v/>
      </c>
      <c r="R132" s="7" t="str">
        <f t="shared" si="41"/>
        <v/>
      </c>
      <c r="S132" s="7" t="str">
        <f t="shared" si="42"/>
        <v/>
      </c>
      <c r="T132" s="7" t="str">
        <f t="shared" si="43"/>
        <v/>
      </c>
      <c r="U132" s="7" t="str">
        <f t="shared" si="44"/>
        <v/>
      </c>
      <c r="V132" s="7" t="str">
        <f t="shared" si="45"/>
        <v/>
      </c>
      <c r="W132" s="7" t="str">
        <f t="shared" si="46"/>
        <v/>
      </c>
      <c r="X132" s="7" t="str">
        <f t="shared" si="47"/>
        <v/>
      </c>
      <c r="Y132">
        <f t="shared" si="48"/>
        <v>0</v>
      </c>
      <c r="Z132" t="str">
        <f t="shared" si="49"/>
        <v/>
      </c>
      <c r="AA132" t="str">
        <f t="shared" si="50"/>
        <v/>
      </c>
      <c r="AB132" t="str">
        <f t="shared" si="51"/>
        <v/>
      </c>
      <c r="AC132" t="str">
        <f t="shared" si="52"/>
        <v/>
      </c>
      <c r="AD132">
        <f t="shared" si="53"/>
        <v>0</v>
      </c>
    </row>
    <row r="133" spans="1:30" ht="15" customHeight="1" x14ac:dyDescent="0.35">
      <c r="A133" s="2"/>
      <c r="B133" s="3"/>
      <c r="C133" s="4"/>
      <c r="D133" s="5"/>
      <c r="E133" s="11" t="str">
        <f t="shared" ca="1" si="36"/>
        <v/>
      </c>
      <c r="F133" s="5"/>
      <c r="G133" s="6" t="str">
        <f>IF(AND($A133&lt;&gt;"",$B133&lt;&gt;"",$C133&lt;&gt;"",$D133&lt;&gt;""),IF(OR($B133="SER",$B133="PLH",$B133="CSF"),"Control CDI Plate "&amp;(INT(((COUNTIFS($B$2:$B133,"SER")+COUNTIFS($B$2:$B133,"PLH")+COUNTIFS($B$2:$B133,"CSF"))-1)/96)+1)&amp;": "&amp;CHAR(65+INT(MOD((COUNTIFS($B$2:$B133,"SER")+COUNTIFS($B$2:$B133,"PLH")+COUNTIFS($B$2:$B133,"CSF"))-1,96)/12))&amp;(MOD((COUNTIFS($B$2:$B133,"SER")+COUNTIFS($B$2:$B133,"PLH")+COUNTIFS($B$2:$B133,"CSF"))-1,12)+1),"N/A"),"")</f>
        <v/>
      </c>
      <c r="H133" s="6" t="str">
        <f>IF(AND($A133&lt;&gt;"",$B133&lt;&gt;"",$C133&lt;&gt;"",$D133&lt;&gt;""),IF(OR($B133="SER",$B133="PLH",$B133="CSF"),"Control NIH Plate "&amp;(INT(((COUNTIFS($B$2:$B133,"SER")+COUNTIFS($B$2:$B133,"PLH")+COUNTIFS($B$2:$B133,"CSF"))-1)/96)+1)&amp;": "&amp;CHAR(65+INT(MOD((COUNTIFS($B$2:$B133,"SER")+COUNTIFS($B$2:$B133,"PLH")+COUNTIFS($B$2:$B133,"CSF"))-1,96)/12))&amp;(MOD((COUNTIFS($B$2:$B133,"SER")+COUNTIFS($B$2:$B133,"PLH")+COUNTIFS($B$2:$B133,"CSF"))-1,12)+1),"N/A"),"")</f>
        <v/>
      </c>
      <c r="I133" s="6" t="str">
        <f>IF(AND($A133&lt;&gt;"",$B133&lt;&gt;"",$C133&lt;&gt;"",$D133&lt;&gt;""),IF(OR($B133="SER",$B133="PLH"),"Control MAX Planck Plate "&amp;(INT(((COUNTIFS($B$2:$B133,"SER")+COUNTIFS($B$2:$B133,"PLH"))-1)/96)+1)&amp;": "&amp;CHAR(65+INT(MOD((COUNTIFS($B$2:$B133,"SER")+COUNTIFS($B$2:$B133,"PLH"))-1,96)/12))&amp;(MOD((COUNTIFS($B$2:$B133,"SER")+COUNTIFS($B$2:$B133,"PLH"))-1,12)+1),"N/A"),"")</f>
        <v/>
      </c>
      <c r="J133" s="6" t="str">
        <f>IF(AND($A133&lt;&gt;"",$B133&lt;&gt;"",$C133&lt;&gt;"",$D133&lt;&gt;""),IF($B133="WB","Control WB Box "&amp;(INT((COUNTIFS($B$2:$B133,"WB")-1)/81)+1)&amp;": "&amp;CHAR(65+INT(MOD(COUNTIFS($B$2:$B133,"WB")-1,81)/9))&amp;(MOD(COUNTIFS($B$2:$B133,"WB")-1,9)+1),"N/A"),"")</f>
        <v/>
      </c>
      <c r="K133" s="3" t="str">
        <f t="shared" si="37"/>
        <v/>
      </c>
      <c r="L133" s="2"/>
      <c r="M133" s="2"/>
      <c r="N133" s="2"/>
      <c r="O133" s="7" t="str">
        <f t="shared" si="38"/>
        <v/>
      </c>
      <c r="P133" s="7" t="str">
        <f t="shared" si="39"/>
        <v/>
      </c>
      <c r="Q133" s="7" t="str">
        <f t="shared" si="40"/>
        <v/>
      </c>
      <c r="R133" s="7" t="str">
        <f t="shared" si="41"/>
        <v/>
      </c>
      <c r="S133" s="7" t="str">
        <f t="shared" si="42"/>
        <v/>
      </c>
      <c r="T133" s="7" t="str">
        <f t="shared" si="43"/>
        <v/>
      </c>
      <c r="U133" s="7" t="str">
        <f t="shared" si="44"/>
        <v/>
      </c>
      <c r="V133" s="7" t="str">
        <f t="shared" si="45"/>
        <v/>
      </c>
      <c r="W133" s="7" t="str">
        <f t="shared" si="46"/>
        <v/>
      </c>
      <c r="X133" s="7" t="str">
        <f t="shared" si="47"/>
        <v/>
      </c>
      <c r="Y133">
        <f t="shared" si="48"/>
        <v>0</v>
      </c>
      <c r="Z133" t="str">
        <f t="shared" si="49"/>
        <v/>
      </c>
      <c r="AA133" t="str">
        <f t="shared" si="50"/>
        <v/>
      </c>
      <c r="AB133" t="str">
        <f t="shared" si="51"/>
        <v/>
      </c>
      <c r="AC133" t="str">
        <f t="shared" si="52"/>
        <v/>
      </c>
      <c r="AD133">
        <f t="shared" si="53"/>
        <v>0</v>
      </c>
    </row>
    <row r="134" spans="1:30" ht="15" customHeight="1" x14ac:dyDescent="0.35">
      <c r="A134" s="2"/>
      <c r="B134" s="3"/>
      <c r="C134" s="4"/>
      <c r="D134" s="5"/>
      <c r="E134" s="11" t="str">
        <f t="shared" ca="1" si="36"/>
        <v/>
      </c>
      <c r="F134" s="5"/>
      <c r="G134" s="6" t="str">
        <f>IF(AND($A134&lt;&gt;"",$B134&lt;&gt;"",$C134&lt;&gt;"",$D134&lt;&gt;""),IF(OR($B134="SER",$B134="PLH",$B134="CSF"),"Control CDI Plate "&amp;(INT(((COUNTIFS($B$2:$B134,"SER")+COUNTIFS($B$2:$B134,"PLH")+COUNTIFS($B$2:$B134,"CSF"))-1)/96)+1)&amp;": "&amp;CHAR(65+INT(MOD((COUNTIFS($B$2:$B134,"SER")+COUNTIFS($B$2:$B134,"PLH")+COUNTIFS($B$2:$B134,"CSF"))-1,96)/12))&amp;(MOD((COUNTIFS($B$2:$B134,"SER")+COUNTIFS($B$2:$B134,"PLH")+COUNTIFS($B$2:$B134,"CSF"))-1,12)+1),"N/A"),"")</f>
        <v/>
      </c>
      <c r="H134" s="6" t="str">
        <f>IF(AND($A134&lt;&gt;"",$B134&lt;&gt;"",$C134&lt;&gt;"",$D134&lt;&gt;""),IF(OR($B134="SER",$B134="PLH",$B134="CSF"),"Control NIH Plate "&amp;(INT(((COUNTIFS($B$2:$B134,"SER")+COUNTIFS($B$2:$B134,"PLH")+COUNTIFS($B$2:$B134,"CSF"))-1)/96)+1)&amp;": "&amp;CHAR(65+INT(MOD((COUNTIFS($B$2:$B134,"SER")+COUNTIFS($B$2:$B134,"PLH")+COUNTIFS($B$2:$B134,"CSF"))-1,96)/12))&amp;(MOD((COUNTIFS($B$2:$B134,"SER")+COUNTIFS($B$2:$B134,"PLH")+COUNTIFS($B$2:$B134,"CSF"))-1,12)+1),"N/A"),"")</f>
        <v/>
      </c>
      <c r="I134" s="6" t="str">
        <f>IF(AND($A134&lt;&gt;"",$B134&lt;&gt;"",$C134&lt;&gt;"",$D134&lt;&gt;""),IF(OR($B134="SER",$B134="PLH"),"Control MAX Planck Plate "&amp;(INT(((COUNTIFS($B$2:$B134,"SER")+COUNTIFS($B$2:$B134,"PLH"))-1)/96)+1)&amp;": "&amp;CHAR(65+INT(MOD((COUNTIFS($B$2:$B134,"SER")+COUNTIFS($B$2:$B134,"PLH"))-1,96)/12))&amp;(MOD((COUNTIFS($B$2:$B134,"SER")+COUNTIFS($B$2:$B134,"PLH"))-1,12)+1),"N/A"),"")</f>
        <v/>
      </c>
      <c r="J134" s="6" t="str">
        <f>IF(AND($A134&lt;&gt;"",$B134&lt;&gt;"",$C134&lt;&gt;"",$D134&lt;&gt;""),IF($B134="WB","Control WB Box "&amp;(INT((COUNTIFS($B$2:$B134,"WB")-1)/81)+1)&amp;": "&amp;CHAR(65+INT(MOD(COUNTIFS($B$2:$B134,"WB")-1,81)/9))&amp;(MOD(COUNTIFS($B$2:$B134,"WB")-1,9)+1),"N/A"),"")</f>
        <v/>
      </c>
      <c r="K134" s="3" t="str">
        <f t="shared" si="37"/>
        <v/>
      </c>
      <c r="L134" s="2"/>
      <c r="M134" s="2"/>
      <c r="N134" s="2"/>
      <c r="O134" s="7" t="str">
        <f t="shared" si="38"/>
        <v/>
      </c>
      <c r="P134" s="7" t="str">
        <f t="shared" si="39"/>
        <v/>
      </c>
      <c r="Q134" s="7" t="str">
        <f t="shared" si="40"/>
        <v/>
      </c>
      <c r="R134" s="7" t="str">
        <f t="shared" si="41"/>
        <v/>
      </c>
      <c r="S134" s="7" t="str">
        <f t="shared" si="42"/>
        <v/>
      </c>
      <c r="T134" s="7" t="str">
        <f t="shared" si="43"/>
        <v/>
      </c>
      <c r="U134" s="7" t="str">
        <f t="shared" si="44"/>
        <v/>
      </c>
      <c r="V134" s="7" t="str">
        <f t="shared" si="45"/>
        <v/>
      </c>
      <c r="W134" s="7" t="str">
        <f t="shared" si="46"/>
        <v/>
      </c>
      <c r="X134" s="7" t="str">
        <f t="shared" si="47"/>
        <v/>
      </c>
      <c r="Y134">
        <f t="shared" si="48"/>
        <v>0</v>
      </c>
      <c r="Z134" t="str">
        <f t="shared" si="49"/>
        <v/>
      </c>
      <c r="AA134" t="str">
        <f t="shared" si="50"/>
        <v/>
      </c>
      <c r="AB134" t="str">
        <f t="shared" si="51"/>
        <v/>
      </c>
      <c r="AC134" t="str">
        <f t="shared" si="52"/>
        <v/>
      </c>
      <c r="AD134">
        <f t="shared" si="53"/>
        <v>0</v>
      </c>
    </row>
    <row r="135" spans="1:30" ht="15" customHeight="1" x14ac:dyDescent="0.35">
      <c r="A135" s="2"/>
      <c r="B135" s="3"/>
      <c r="C135" s="4"/>
      <c r="D135" s="5"/>
      <c r="E135" s="11" t="str">
        <f t="shared" ca="1" si="36"/>
        <v/>
      </c>
      <c r="F135" s="5"/>
      <c r="G135" s="6" t="str">
        <f>IF(AND($A135&lt;&gt;"",$B135&lt;&gt;"",$C135&lt;&gt;"",$D135&lt;&gt;""),IF(OR($B135="SER",$B135="PLH",$B135="CSF"),"Control CDI Plate "&amp;(INT(((COUNTIFS($B$2:$B135,"SER")+COUNTIFS($B$2:$B135,"PLH")+COUNTIFS($B$2:$B135,"CSF"))-1)/96)+1)&amp;": "&amp;CHAR(65+INT(MOD((COUNTIFS($B$2:$B135,"SER")+COUNTIFS($B$2:$B135,"PLH")+COUNTIFS($B$2:$B135,"CSF"))-1,96)/12))&amp;(MOD((COUNTIFS($B$2:$B135,"SER")+COUNTIFS($B$2:$B135,"PLH")+COUNTIFS($B$2:$B135,"CSF"))-1,12)+1),"N/A"),"")</f>
        <v/>
      </c>
      <c r="H135" s="6" t="str">
        <f>IF(AND($A135&lt;&gt;"",$B135&lt;&gt;"",$C135&lt;&gt;"",$D135&lt;&gt;""),IF(OR($B135="SER",$B135="PLH",$B135="CSF"),"Control NIH Plate "&amp;(INT(((COUNTIFS($B$2:$B135,"SER")+COUNTIFS($B$2:$B135,"PLH")+COUNTIFS($B$2:$B135,"CSF"))-1)/96)+1)&amp;": "&amp;CHAR(65+INT(MOD((COUNTIFS($B$2:$B135,"SER")+COUNTIFS($B$2:$B135,"PLH")+COUNTIFS($B$2:$B135,"CSF"))-1,96)/12))&amp;(MOD((COUNTIFS($B$2:$B135,"SER")+COUNTIFS($B$2:$B135,"PLH")+COUNTIFS($B$2:$B135,"CSF"))-1,12)+1),"N/A"),"")</f>
        <v/>
      </c>
      <c r="I135" s="6" t="str">
        <f>IF(AND($A135&lt;&gt;"",$B135&lt;&gt;"",$C135&lt;&gt;"",$D135&lt;&gt;""),IF(OR($B135="SER",$B135="PLH"),"Control MAX Planck Plate "&amp;(INT(((COUNTIFS($B$2:$B135,"SER")+COUNTIFS($B$2:$B135,"PLH"))-1)/96)+1)&amp;": "&amp;CHAR(65+INT(MOD((COUNTIFS($B$2:$B135,"SER")+COUNTIFS($B$2:$B135,"PLH"))-1,96)/12))&amp;(MOD((COUNTIFS($B$2:$B135,"SER")+COUNTIFS($B$2:$B135,"PLH"))-1,12)+1),"N/A"),"")</f>
        <v/>
      </c>
      <c r="J135" s="6" t="str">
        <f>IF(AND($A135&lt;&gt;"",$B135&lt;&gt;"",$C135&lt;&gt;"",$D135&lt;&gt;""),IF($B135="WB","Control WB Box "&amp;(INT((COUNTIFS($B$2:$B135,"WB")-1)/81)+1)&amp;": "&amp;CHAR(65+INT(MOD(COUNTIFS($B$2:$B135,"WB")-1,81)/9))&amp;(MOD(COUNTIFS($B$2:$B135,"WB")-1,9)+1),"N/A"),"")</f>
        <v/>
      </c>
      <c r="K135" s="3" t="str">
        <f t="shared" si="37"/>
        <v/>
      </c>
      <c r="L135" s="2"/>
      <c r="M135" s="2"/>
      <c r="N135" s="2"/>
      <c r="O135" s="7" t="str">
        <f t="shared" si="38"/>
        <v/>
      </c>
      <c r="P135" s="7" t="str">
        <f t="shared" si="39"/>
        <v/>
      </c>
      <c r="Q135" s="7" t="str">
        <f t="shared" si="40"/>
        <v/>
      </c>
      <c r="R135" s="7" t="str">
        <f t="shared" si="41"/>
        <v/>
      </c>
      <c r="S135" s="7" t="str">
        <f t="shared" si="42"/>
        <v/>
      </c>
      <c r="T135" s="7" t="str">
        <f t="shared" si="43"/>
        <v/>
      </c>
      <c r="U135" s="7" t="str">
        <f t="shared" si="44"/>
        <v/>
      </c>
      <c r="V135" s="7" t="str">
        <f t="shared" si="45"/>
        <v/>
      </c>
      <c r="W135" s="7" t="str">
        <f t="shared" si="46"/>
        <v/>
      </c>
      <c r="X135" s="7" t="str">
        <f t="shared" si="47"/>
        <v/>
      </c>
      <c r="Y135">
        <f t="shared" si="48"/>
        <v>0</v>
      </c>
      <c r="Z135" t="str">
        <f t="shared" si="49"/>
        <v/>
      </c>
      <c r="AA135" t="str">
        <f t="shared" si="50"/>
        <v/>
      </c>
      <c r="AB135" t="str">
        <f t="shared" si="51"/>
        <v/>
      </c>
      <c r="AC135" t="str">
        <f t="shared" si="52"/>
        <v/>
      </c>
      <c r="AD135">
        <f t="shared" si="53"/>
        <v>0</v>
      </c>
    </row>
    <row r="136" spans="1:30" ht="15" customHeight="1" x14ac:dyDescent="0.35">
      <c r="A136" s="2"/>
      <c r="B136" s="3"/>
      <c r="C136" s="4"/>
      <c r="D136" s="5"/>
      <c r="E136" s="11" t="str">
        <f t="shared" ca="1" si="36"/>
        <v/>
      </c>
      <c r="F136" s="5"/>
      <c r="G136" s="6" t="str">
        <f>IF(AND($A136&lt;&gt;"",$B136&lt;&gt;"",$C136&lt;&gt;"",$D136&lt;&gt;""),IF(OR($B136="SER",$B136="PLH",$B136="CSF"),"Control CDI Plate "&amp;(INT(((COUNTIFS($B$2:$B136,"SER")+COUNTIFS($B$2:$B136,"PLH")+COUNTIFS($B$2:$B136,"CSF"))-1)/96)+1)&amp;": "&amp;CHAR(65+INT(MOD((COUNTIFS($B$2:$B136,"SER")+COUNTIFS($B$2:$B136,"PLH")+COUNTIFS($B$2:$B136,"CSF"))-1,96)/12))&amp;(MOD((COUNTIFS($B$2:$B136,"SER")+COUNTIFS($B$2:$B136,"PLH")+COUNTIFS($B$2:$B136,"CSF"))-1,12)+1),"N/A"),"")</f>
        <v/>
      </c>
      <c r="H136" s="6" t="str">
        <f>IF(AND($A136&lt;&gt;"",$B136&lt;&gt;"",$C136&lt;&gt;"",$D136&lt;&gt;""),IF(OR($B136="SER",$B136="PLH",$B136="CSF"),"Control NIH Plate "&amp;(INT(((COUNTIFS($B$2:$B136,"SER")+COUNTIFS($B$2:$B136,"PLH")+COUNTIFS($B$2:$B136,"CSF"))-1)/96)+1)&amp;": "&amp;CHAR(65+INT(MOD((COUNTIFS($B$2:$B136,"SER")+COUNTIFS($B$2:$B136,"PLH")+COUNTIFS($B$2:$B136,"CSF"))-1,96)/12))&amp;(MOD((COUNTIFS($B$2:$B136,"SER")+COUNTIFS($B$2:$B136,"PLH")+COUNTIFS($B$2:$B136,"CSF"))-1,12)+1),"N/A"),"")</f>
        <v/>
      </c>
      <c r="I136" s="6" t="str">
        <f>IF(AND($A136&lt;&gt;"",$B136&lt;&gt;"",$C136&lt;&gt;"",$D136&lt;&gt;""),IF(OR($B136="SER",$B136="PLH"),"Control MAX Planck Plate "&amp;(INT(((COUNTIFS($B$2:$B136,"SER")+COUNTIFS($B$2:$B136,"PLH"))-1)/96)+1)&amp;": "&amp;CHAR(65+INT(MOD((COUNTIFS($B$2:$B136,"SER")+COUNTIFS($B$2:$B136,"PLH"))-1,96)/12))&amp;(MOD((COUNTIFS($B$2:$B136,"SER")+COUNTIFS($B$2:$B136,"PLH"))-1,12)+1),"N/A"),"")</f>
        <v/>
      </c>
      <c r="J136" s="6" t="str">
        <f>IF(AND($A136&lt;&gt;"",$B136&lt;&gt;"",$C136&lt;&gt;"",$D136&lt;&gt;""),IF($B136="WB","Control WB Box "&amp;(INT((COUNTIFS($B$2:$B136,"WB")-1)/81)+1)&amp;": "&amp;CHAR(65+INT(MOD(COUNTIFS($B$2:$B136,"WB")-1,81)/9))&amp;(MOD(COUNTIFS($B$2:$B136,"WB")-1,9)+1),"N/A"),"")</f>
        <v/>
      </c>
      <c r="K136" s="3" t="str">
        <f t="shared" si="37"/>
        <v/>
      </c>
      <c r="L136" s="2"/>
      <c r="M136" s="2"/>
      <c r="N136" s="2"/>
      <c r="O136" s="7" t="str">
        <f t="shared" si="38"/>
        <v/>
      </c>
      <c r="P136" s="7" t="str">
        <f t="shared" si="39"/>
        <v/>
      </c>
      <c r="Q136" s="7" t="str">
        <f t="shared" si="40"/>
        <v/>
      </c>
      <c r="R136" s="7" t="str">
        <f t="shared" si="41"/>
        <v/>
      </c>
      <c r="S136" s="7" t="str">
        <f t="shared" si="42"/>
        <v/>
      </c>
      <c r="T136" s="7" t="str">
        <f t="shared" si="43"/>
        <v/>
      </c>
      <c r="U136" s="7" t="str">
        <f t="shared" si="44"/>
        <v/>
      </c>
      <c r="V136" s="7" t="str">
        <f t="shared" si="45"/>
        <v/>
      </c>
      <c r="W136" s="7" t="str">
        <f t="shared" si="46"/>
        <v/>
      </c>
      <c r="X136" s="7" t="str">
        <f t="shared" si="47"/>
        <v/>
      </c>
      <c r="Y136">
        <f t="shared" si="48"/>
        <v>0</v>
      </c>
      <c r="Z136" t="str">
        <f t="shared" si="49"/>
        <v/>
      </c>
      <c r="AA136" t="str">
        <f t="shared" si="50"/>
        <v/>
      </c>
      <c r="AB136" t="str">
        <f t="shared" si="51"/>
        <v/>
      </c>
      <c r="AC136" t="str">
        <f t="shared" si="52"/>
        <v/>
      </c>
      <c r="AD136">
        <f t="shared" si="53"/>
        <v>0</v>
      </c>
    </row>
    <row r="137" spans="1:30" ht="15" customHeight="1" x14ac:dyDescent="0.35">
      <c r="A137" s="2"/>
      <c r="B137" s="3"/>
      <c r="C137" s="4"/>
      <c r="D137" s="5"/>
      <c r="E137" s="11" t="str">
        <f t="shared" ca="1" si="36"/>
        <v/>
      </c>
      <c r="F137" s="5"/>
      <c r="G137" s="6" t="str">
        <f>IF(AND($A137&lt;&gt;"",$B137&lt;&gt;"",$C137&lt;&gt;"",$D137&lt;&gt;""),IF(OR($B137="SER",$B137="PLH",$B137="CSF"),"Control CDI Plate "&amp;(INT(((COUNTIFS($B$2:$B137,"SER")+COUNTIFS($B$2:$B137,"PLH")+COUNTIFS($B$2:$B137,"CSF"))-1)/96)+1)&amp;": "&amp;CHAR(65+INT(MOD((COUNTIFS($B$2:$B137,"SER")+COUNTIFS($B$2:$B137,"PLH")+COUNTIFS($B$2:$B137,"CSF"))-1,96)/12))&amp;(MOD((COUNTIFS($B$2:$B137,"SER")+COUNTIFS($B$2:$B137,"PLH")+COUNTIFS($B$2:$B137,"CSF"))-1,12)+1),"N/A"),"")</f>
        <v/>
      </c>
      <c r="H137" s="6" t="str">
        <f>IF(AND($A137&lt;&gt;"",$B137&lt;&gt;"",$C137&lt;&gt;"",$D137&lt;&gt;""),IF(OR($B137="SER",$B137="PLH",$B137="CSF"),"Control NIH Plate "&amp;(INT(((COUNTIFS($B$2:$B137,"SER")+COUNTIFS($B$2:$B137,"PLH")+COUNTIFS($B$2:$B137,"CSF"))-1)/96)+1)&amp;": "&amp;CHAR(65+INT(MOD((COUNTIFS($B$2:$B137,"SER")+COUNTIFS($B$2:$B137,"PLH")+COUNTIFS($B$2:$B137,"CSF"))-1,96)/12))&amp;(MOD((COUNTIFS($B$2:$B137,"SER")+COUNTIFS($B$2:$B137,"PLH")+COUNTIFS($B$2:$B137,"CSF"))-1,12)+1),"N/A"),"")</f>
        <v/>
      </c>
      <c r="I137" s="6" t="str">
        <f>IF(AND($A137&lt;&gt;"",$B137&lt;&gt;"",$C137&lt;&gt;"",$D137&lt;&gt;""),IF(OR($B137="SER",$B137="PLH"),"Control MAX Planck Plate "&amp;(INT(((COUNTIFS($B$2:$B137,"SER")+COUNTIFS($B$2:$B137,"PLH"))-1)/96)+1)&amp;": "&amp;CHAR(65+INT(MOD((COUNTIFS($B$2:$B137,"SER")+COUNTIFS($B$2:$B137,"PLH"))-1,96)/12))&amp;(MOD((COUNTIFS($B$2:$B137,"SER")+COUNTIFS($B$2:$B137,"PLH"))-1,12)+1),"N/A"),"")</f>
        <v/>
      </c>
      <c r="J137" s="6" t="str">
        <f>IF(AND($A137&lt;&gt;"",$B137&lt;&gt;"",$C137&lt;&gt;"",$D137&lt;&gt;""),IF($B137="WB","Control WB Box "&amp;(INT((COUNTIFS($B$2:$B137,"WB")-1)/81)+1)&amp;": "&amp;CHAR(65+INT(MOD(COUNTIFS($B$2:$B137,"WB")-1,81)/9))&amp;(MOD(COUNTIFS($B$2:$B137,"WB")-1,9)+1),"N/A"),"")</f>
        <v/>
      </c>
      <c r="K137" s="3" t="str">
        <f t="shared" si="37"/>
        <v/>
      </c>
      <c r="L137" s="2"/>
      <c r="M137" s="2"/>
      <c r="N137" s="2"/>
      <c r="O137" s="7" t="str">
        <f t="shared" si="38"/>
        <v/>
      </c>
      <c r="P137" s="7" t="str">
        <f t="shared" si="39"/>
        <v/>
      </c>
      <c r="Q137" s="7" t="str">
        <f t="shared" si="40"/>
        <v/>
      </c>
      <c r="R137" s="7" t="str">
        <f t="shared" si="41"/>
        <v/>
      </c>
      <c r="S137" s="7" t="str">
        <f t="shared" si="42"/>
        <v/>
      </c>
      <c r="T137" s="7" t="str">
        <f t="shared" si="43"/>
        <v/>
      </c>
      <c r="U137" s="7" t="str">
        <f t="shared" si="44"/>
        <v/>
      </c>
      <c r="V137" s="7" t="str">
        <f t="shared" si="45"/>
        <v/>
      </c>
      <c r="W137" s="7" t="str">
        <f t="shared" si="46"/>
        <v/>
      </c>
      <c r="X137" s="7" t="str">
        <f t="shared" si="47"/>
        <v/>
      </c>
      <c r="Y137">
        <f t="shared" si="48"/>
        <v>0</v>
      </c>
      <c r="Z137" t="str">
        <f t="shared" si="49"/>
        <v/>
      </c>
      <c r="AA137" t="str">
        <f t="shared" si="50"/>
        <v/>
      </c>
      <c r="AB137" t="str">
        <f t="shared" si="51"/>
        <v/>
      </c>
      <c r="AC137" t="str">
        <f t="shared" si="52"/>
        <v/>
      </c>
      <c r="AD137">
        <f t="shared" si="53"/>
        <v>0</v>
      </c>
    </row>
    <row r="138" spans="1:30" ht="15" customHeight="1" x14ac:dyDescent="0.35">
      <c r="A138" s="2"/>
      <c r="B138" s="3"/>
      <c r="C138" s="4"/>
      <c r="D138" s="5"/>
      <c r="E138" s="11" t="str">
        <f t="shared" ca="1" si="36"/>
        <v/>
      </c>
      <c r="F138" s="5"/>
      <c r="G138" s="6" t="str">
        <f>IF(AND($A138&lt;&gt;"",$B138&lt;&gt;"",$C138&lt;&gt;"",$D138&lt;&gt;""),IF(OR($B138="SER",$B138="PLH",$B138="CSF"),"Control CDI Plate "&amp;(INT(((COUNTIFS($B$2:$B138,"SER")+COUNTIFS($B$2:$B138,"PLH")+COUNTIFS($B$2:$B138,"CSF"))-1)/96)+1)&amp;": "&amp;CHAR(65+INT(MOD((COUNTIFS($B$2:$B138,"SER")+COUNTIFS($B$2:$B138,"PLH")+COUNTIFS($B$2:$B138,"CSF"))-1,96)/12))&amp;(MOD((COUNTIFS($B$2:$B138,"SER")+COUNTIFS($B$2:$B138,"PLH")+COUNTIFS($B$2:$B138,"CSF"))-1,12)+1),"N/A"),"")</f>
        <v/>
      </c>
      <c r="H138" s="6" t="str">
        <f>IF(AND($A138&lt;&gt;"",$B138&lt;&gt;"",$C138&lt;&gt;"",$D138&lt;&gt;""),IF(OR($B138="SER",$B138="PLH",$B138="CSF"),"Control NIH Plate "&amp;(INT(((COUNTIFS($B$2:$B138,"SER")+COUNTIFS($B$2:$B138,"PLH")+COUNTIFS($B$2:$B138,"CSF"))-1)/96)+1)&amp;": "&amp;CHAR(65+INT(MOD((COUNTIFS($B$2:$B138,"SER")+COUNTIFS($B$2:$B138,"PLH")+COUNTIFS($B$2:$B138,"CSF"))-1,96)/12))&amp;(MOD((COUNTIFS($B$2:$B138,"SER")+COUNTIFS($B$2:$B138,"PLH")+COUNTIFS($B$2:$B138,"CSF"))-1,12)+1),"N/A"),"")</f>
        <v/>
      </c>
      <c r="I138" s="6" t="str">
        <f>IF(AND($A138&lt;&gt;"",$B138&lt;&gt;"",$C138&lt;&gt;"",$D138&lt;&gt;""),IF(OR($B138="SER",$B138="PLH"),"Control MAX Planck Plate "&amp;(INT(((COUNTIFS($B$2:$B138,"SER")+COUNTIFS($B$2:$B138,"PLH"))-1)/96)+1)&amp;": "&amp;CHAR(65+INT(MOD((COUNTIFS($B$2:$B138,"SER")+COUNTIFS($B$2:$B138,"PLH"))-1,96)/12))&amp;(MOD((COUNTIFS($B$2:$B138,"SER")+COUNTIFS($B$2:$B138,"PLH"))-1,12)+1),"N/A"),"")</f>
        <v/>
      </c>
      <c r="J138" s="6" t="str">
        <f>IF(AND($A138&lt;&gt;"",$B138&lt;&gt;"",$C138&lt;&gt;"",$D138&lt;&gt;""),IF($B138="WB","Control WB Box "&amp;(INT((COUNTIFS($B$2:$B138,"WB")-1)/81)+1)&amp;": "&amp;CHAR(65+INT(MOD(COUNTIFS($B$2:$B138,"WB")-1,81)/9))&amp;(MOD(COUNTIFS($B$2:$B138,"WB")-1,9)+1),"N/A"),"")</f>
        <v/>
      </c>
      <c r="K138" s="3" t="str">
        <f t="shared" si="37"/>
        <v/>
      </c>
      <c r="L138" s="2"/>
      <c r="M138" s="2"/>
      <c r="N138" s="2"/>
      <c r="O138" s="7" t="str">
        <f t="shared" si="38"/>
        <v/>
      </c>
      <c r="P138" s="7" t="str">
        <f t="shared" si="39"/>
        <v/>
      </c>
      <c r="Q138" s="7" t="str">
        <f t="shared" si="40"/>
        <v/>
      </c>
      <c r="R138" s="7" t="str">
        <f t="shared" si="41"/>
        <v/>
      </c>
      <c r="S138" s="7" t="str">
        <f t="shared" si="42"/>
        <v/>
      </c>
      <c r="T138" s="7" t="str">
        <f t="shared" si="43"/>
        <v/>
      </c>
      <c r="U138" s="7" t="str">
        <f t="shared" si="44"/>
        <v/>
      </c>
      <c r="V138" s="7" t="str">
        <f t="shared" si="45"/>
        <v/>
      </c>
      <c r="W138" s="7" t="str">
        <f t="shared" si="46"/>
        <v/>
      </c>
      <c r="X138" s="7" t="str">
        <f t="shared" si="47"/>
        <v/>
      </c>
      <c r="Y138">
        <f t="shared" si="48"/>
        <v>0</v>
      </c>
      <c r="Z138" t="str">
        <f t="shared" si="49"/>
        <v/>
      </c>
      <c r="AA138" t="str">
        <f t="shared" si="50"/>
        <v/>
      </c>
      <c r="AB138" t="str">
        <f t="shared" si="51"/>
        <v/>
      </c>
      <c r="AC138" t="str">
        <f t="shared" si="52"/>
        <v/>
      </c>
      <c r="AD138">
        <f t="shared" si="53"/>
        <v>0</v>
      </c>
    </row>
    <row r="139" spans="1:30" ht="15" customHeight="1" x14ac:dyDescent="0.35">
      <c r="A139" s="2"/>
      <c r="B139" s="3"/>
      <c r="C139" s="4"/>
      <c r="D139" s="5"/>
      <c r="E139" s="11" t="str">
        <f t="shared" ca="1" si="36"/>
        <v/>
      </c>
      <c r="F139" s="5"/>
      <c r="G139" s="6" t="str">
        <f>IF(AND($A139&lt;&gt;"",$B139&lt;&gt;"",$C139&lt;&gt;"",$D139&lt;&gt;""),IF(OR($B139="SER",$B139="PLH",$B139="CSF"),"Control CDI Plate "&amp;(INT(((COUNTIFS($B$2:$B139,"SER")+COUNTIFS($B$2:$B139,"PLH")+COUNTIFS($B$2:$B139,"CSF"))-1)/96)+1)&amp;": "&amp;CHAR(65+INT(MOD((COUNTIFS($B$2:$B139,"SER")+COUNTIFS($B$2:$B139,"PLH")+COUNTIFS($B$2:$B139,"CSF"))-1,96)/12))&amp;(MOD((COUNTIFS($B$2:$B139,"SER")+COUNTIFS($B$2:$B139,"PLH")+COUNTIFS($B$2:$B139,"CSF"))-1,12)+1),"N/A"),"")</f>
        <v/>
      </c>
      <c r="H139" s="6" t="str">
        <f>IF(AND($A139&lt;&gt;"",$B139&lt;&gt;"",$C139&lt;&gt;"",$D139&lt;&gt;""),IF(OR($B139="SER",$B139="PLH",$B139="CSF"),"Control NIH Plate "&amp;(INT(((COUNTIFS($B$2:$B139,"SER")+COUNTIFS($B$2:$B139,"PLH")+COUNTIFS($B$2:$B139,"CSF"))-1)/96)+1)&amp;": "&amp;CHAR(65+INT(MOD((COUNTIFS($B$2:$B139,"SER")+COUNTIFS($B$2:$B139,"PLH")+COUNTIFS($B$2:$B139,"CSF"))-1,96)/12))&amp;(MOD((COUNTIFS($B$2:$B139,"SER")+COUNTIFS($B$2:$B139,"PLH")+COUNTIFS($B$2:$B139,"CSF"))-1,12)+1),"N/A"),"")</f>
        <v/>
      </c>
      <c r="I139" s="6" t="str">
        <f>IF(AND($A139&lt;&gt;"",$B139&lt;&gt;"",$C139&lt;&gt;"",$D139&lt;&gt;""),IF(OR($B139="SER",$B139="PLH"),"Control MAX Planck Plate "&amp;(INT(((COUNTIFS($B$2:$B139,"SER")+COUNTIFS($B$2:$B139,"PLH"))-1)/96)+1)&amp;": "&amp;CHAR(65+INT(MOD((COUNTIFS($B$2:$B139,"SER")+COUNTIFS($B$2:$B139,"PLH"))-1,96)/12))&amp;(MOD((COUNTIFS($B$2:$B139,"SER")+COUNTIFS($B$2:$B139,"PLH"))-1,12)+1),"N/A"),"")</f>
        <v/>
      </c>
      <c r="J139" s="6" t="str">
        <f>IF(AND($A139&lt;&gt;"",$B139&lt;&gt;"",$C139&lt;&gt;"",$D139&lt;&gt;""),IF($B139="WB","Control WB Box "&amp;(INT((COUNTIFS($B$2:$B139,"WB")-1)/81)+1)&amp;": "&amp;CHAR(65+INT(MOD(COUNTIFS($B$2:$B139,"WB")-1,81)/9))&amp;(MOD(COUNTIFS($B$2:$B139,"WB")-1,9)+1),"N/A"),"")</f>
        <v/>
      </c>
      <c r="K139" s="3" t="str">
        <f t="shared" si="37"/>
        <v/>
      </c>
      <c r="L139" s="2"/>
      <c r="M139" s="2"/>
      <c r="N139" s="2"/>
      <c r="O139" s="7" t="str">
        <f t="shared" si="38"/>
        <v/>
      </c>
      <c r="P139" s="7" t="str">
        <f t="shared" si="39"/>
        <v/>
      </c>
      <c r="Q139" s="7" t="str">
        <f t="shared" si="40"/>
        <v/>
      </c>
      <c r="R139" s="7" t="str">
        <f t="shared" si="41"/>
        <v/>
      </c>
      <c r="S139" s="7" t="str">
        <f t="shared" si="42"/>
        <v/>
      </c>
      <c r="T139" s="7" t="str">
        <f t="shared" si="43"/>
        <v/>
      </c>
      <c r="U139" s="7" t="str">
        <f t="shared" si="44"/>
        <v/>
      </c>
      <c r="V139" s="7" t="str">
        <f t="shared" si="45"/>
        <v/>
      </c>
      <c r="W139" s="7" t="str">
        <f t="shared" si="46"/>
        <v/>
      </c>
      <c r="X139" s="7" t="str">
        <f t="shared" si="47"/>
        <v/>
      </c>
      <c r="Y139">
        <f t="shared" si="48"/>
        <v>0</v>
      </c>
      <c r="Z139" t="str">
        <f t="shared" si="49"/>
        <v/>
      </c>
      <c r="AA139" t="str">
        <f t="shared" si="50"/>
        <v/>
      </c>
      <c r="AB139" t="str">
        <f t="shared" si="51"/>
        <v/>
      </c>
      <c r="AC139" t="str">
        <f t="shared" si="52"/>
        <v/>
      </c>
      <c r="AD139">
        <f t="shared" si="53"/>
        <v>0</v>
      </c>
    </row>
    <row r="140" spans="1:30" ht="15" customHeight="1" x14ac:dyDescent="0.35">
      <c r="A140" s="2"/>
      <c r="B140" s="3"/>
      <c r="C140" s="4"/>
      <c r="D140" s="5"/>
      <c r="E140" s="11" t="str">
        <f t="shared" ca="1" si="36"/>
        <v/>
      </c>
      <c r="F140" s="5"/>
      <c r="G140" s="6" t="str">
        <f>IF(AND($A140&lt;&gt;"",$B140&lt;&gt;"",$C140&lt;&gt;"",$D140&lt;&gt;""),IF(OR($B140="SER",$B140="PLH",$B140="CSF"),"Control CDI Plate "&amp;(INT(((COUNTIFS($B$2:$B140,"SER")+COUNTIFS($B$2:$B140,"PLH")+COUNTIFS($B$2:$B140,"CSF"))-1)/96)+1)&amp;": "&amp;CHAR(65+INT(MOD((COUNTIFS($B$2:$B140,"SER")+COUNTIFS($B$2:$B140,"PLH")+COUNTIFS($B$2:$B140,"CSF"))-1,96)/12))&amp;(MOD((COUNTIFS($B$2:$B140,"SER")+COUNTIFS($B$2:$B140,"PLH")+COUNTIFS($B$2:$B140,"CSF"))-1,12)+1),"N/A"),"")</f>
        <v/>
      </c>
      <c r="H140" s="6" t="str">
        <f>IF(AND($A140&lt;&gt;"",$B140&lt;&gt;"",$C140&lt;&gt;"",$D140&lt;&gt;""),IF(OR($B140="SER",$B140="PLH",$B140="CSF"),"Control NIH Plate "&amp;(INT(((COUNTIFS($B$2:$B140,"SER")+COUNTIFS($B$2:$B140,"PLH")+COUNTIFS($B$2:$B140,"CSF"))-1)/96)+1)&amp;": "&amp;CHAR(65+INT(MOD((COUNTIFS($B$2:$B140,"SER")+COUNTIFS($B$2:$B140,"PLH")+COUNTIFS($B$2:$B140,"CSF"))-1,96)/12))&amp;(MOD((COUNTIFS($B$2:$B140,"SER")+COUNTIFS($B$2:$B140,"PLH")+COUNTIFS($B$2:$B140,"CSF"))-1,12)+1),"N/A"),"")</f>
        <v/>
      </c>
      <c r="I140" s="6" t="str">
        <f>IF(AND($A140&lt;&gt;"",$B140&lt;&gt;"",$C140&lt;&gt;"",$D140&lt;&gt;""),IF(OR($B140="SER",$B140="PLH"),"Control MAX Planck Plate "&amp;(INT(((COUNTIFS($B$2:$B140,"SER")+COUNTIFS($B$2:$B140,"PLH"))-1)/96)+1)&amp;": "&amp;CHAR(65+INT(MOD((COUNTIFS($B$2:$B140,"SER")+COUNTIFS($B$2:$B140,"PLH"))-1,96)/12))&amp;(MOD((COUNTIFS($B$2:$B140,"SER")+COUNTIFS($B$2:$B140,"PLH"))-1,12)+1),"N/A"),"")</f>
        <v/>
      </c>
      <c r="J140" s="6" t="str">
        <f>IF(AND($A140&lt;&gt;"",$B140&lt;&gt;"",$C140&lt;&gt;"",$D140&lt;&gt;""),IF($B140="WB","Control WB Box "&amp;(INT((COUNTIFS($B$2:$B140,"WB")-1)/81)+1)&amp;": "&amp;CHAR(65+INT(MOD(COUNTIFS($B$2:$B140,"WB")-1,81)/9))&amp;(MOD(COUNTIFS($B$2:$B140,"WB")-1,9)+1),"N/A"),"")</f>
        <v/>
      </c>
      <c r="K140" s="3" t="str">
        <f t="shared" si="37"/>
        <v/>
      </c>
      <c r="L140" s="2"/>
      <c r="M140" s="2"/>
      <c r="N140" s="2"/>
      <c r="O140" s="7" t="str">
        <f t="shared" si="38"/>
        <v/>
      </c>
      <c r="P140" s="7" t="str">
        <f t="shared" si="39"/>
        <v/>
      </c>
      <c r="Q140" s="7" t="str">
        <f t="shared" si="40"/>
        <v/>
      </c>
      <c r="R140" s="7" t="str">
        <f t="shared" si="41"/>
        <v/>
      </c>
      <c r="S140" s="7" t="str">
        <f t="shared" si="42"/>
        <v/>
      </c>
      <c r="T140" s="7" t="str">
        <f t="shared" si="43"/>
        <v/>
      </c>
      <c r="U140" s="7" t="str">
        <f t="shared" si="44"/>
        <v/>
      </c>
      <c r="V140" s="7" t="str">
        <f t="shared" si="45"/>
        <v/>
      </c>
      <c r="W140" s="7" t="str">
        <f t="shared" si="46"/>
        <v/>
      </c>
      <c r="X140" s="7" t="str">
        <f t="shared" si="47"/>
        <v/>
      </c>
      <c r="Y140">
        <f t="shared" si="48"/>
        <v>0</v>
      </c>
      <c r="Z140" t="str">
        <f t="shared" si="49"/>
        <v/>
      </c>
      <c r="AA140" t="str">
        <f t="shared" si="50"/>
        <v/>
      </c>
      <c r="AB140" t="str">
        <f t="shared" si="51"/>
        <v/>
      </c>
      <c r="AC140" t="str">
        <f t="shared" si="52"/>
        <v/>
      </c>
      <c r="AD140">
        <f t="shared" si="53"/>
        <v>0</v>
      </c>
    </row>
    <row r="141" spans="1:30" ht="15" customHeight="1" x14ac:dyDescent="0.35">
      <c r="A141" s="2"/>
      <c r="B141" s="3"/>
      <c r="C141" s="4"/>
      <c r="D141" s="5"/>
      <c r="E141" s="11" t="str">
        <f t="shared" ca="1" si="36"/>
        <v/>
      </c>
      <c r="F141" s="5"/>
      <c r="G141" s="6" t="str">
        <f>IF(AND($A141&lt;&gt;"",$B141&lt;&gt;"",$C141&lt;&gt;"",$D141&lt;&gt;""),IF(OR($B141="SER",$B141="PLH",$B141="CSF"),"Control CDI Plate "&amp;(INT(((COUNTIFS($B$2:$B141,"SER")+COUNTIFS($B$2:$B141,"PLH")+COUNTIFS($B$2:$B141,"CSF"))-1)/96)+1)&amp;": "&amp;CHAR(65+INT(MOD((COUNTIFS($B$2:$B141,"SER")+COUNTIFS($B$2:$B141,"PLH")+COUNTIFS($B$2:$B141,"CSF"))-1,96)/12))&amp;(MOD((COUNTIFS($B$2:$B141,"SER")+COUNTIFS($B$2:$B141,"PLH")+COUNTIFS($B$2:$B141,"CSF"))-1,12)+1),"N/A"),"")</f>
        <v/>
      </c>
      <c r="H141" s="6" t="str">
        <f>IF(AND($A141&lt;&gt;"",$B141&lt;&gt;"",$C141&lt;&gt;"",$D141&lt;&gt;""),IF(OR($B141="SER",$B141="PLH",$B141="CSF"),"Control NIH Plate "&amp;(INT(((COUNTIFS($B$2:$B141,"SER")+COUNTIFS($B$2:$B141,"PLH")+COUNTIFS($B$2:$B141,"CSF"))-1)/96)+1)&amp;": "&amp;CHAR(65+INT(MOD((COUNTIFS($B$2:$B141,"SER")+COUNTIFS($B$2:$B141,"PLH")+COUNTIFS($B$2:$B141,"CSF"))-1,96)/12))&amp;(MOD((COUNTIFS($B$2:$B141,"SER")+COUNTIFS($B$2:$B141,"PLH")+COUNTIFS($B$2:$B141,"CSF"))-1,12)+1),"N/A"),"")</f>
        <v/>
      </c>
      <c r="I141" s="6" t="str">
        <f>IF(AND($A141&lt;&gt;"",$B141&lt;&gt;"",$C141&lt;&gt;"",$D141&lt;&gt;""),IF(OR($B141="SER",$B141="PLH"),"Control MAX Planck Plate "&amp;(INT(((COUNTIFS($B$2:$B141,"SER")+COUNTIFS($B$2:$B141,"PLH"))-1)/96)+1)&amp;": "&amp;CHAR(65+INT(MOD((COUNTIFS($B$2:$B141,"SER")+COUNTIFS($B$2:$B141,"PLH"))-1,96)/12))&amp;(MOD((COUNTIFS($B$2:$B141,"SER")+COUNTIFS($B$2:$B141,"PLH"))-1,12)+1),"N/A"),"")</f>
        <v/>
      </c>
      <c r="J141" s="6" t="str">
        <f>IF(AND($A141&lt;&gt;"",$B141&lt;&gt;"",$C141&lt;&gt;"",$D141&lt;&gt;""),IF($B141="WB","Control WB Box "&amp;(INT((COUNTIFS($B$2:$B141,"WB")-1)/81)+1)&amp;": "&amp;CHAR(65+INT(MOD(COUNTIFS($B$2:$B141,"WB")-1,81)/9))&amp;(MOD(COUNTIFS($B$2:$B141,"WB")-1,9)+1),"N/A"),"")</f>
        <v/>
      </c>
      <c r="K141" s="3" t="str">
        <f t="shared" si="37"/>
        <v/>
      </c>
      <c r="L141" s="2"/>
      <c r="M141" s="2"/>
      <c r="N141" s="2"/>
      <c r="O141" s="7" t="str">
        <f t="shared" si="38"/>
        <v/>
      </c>
      <c r="P141" s="7" t="str">
        <f t="shared" si="39"/>
        <v/>
      </c>
      <c r="Q141" s="7" t="str">
        <f t="shared" si="40"/>
        <v/>
      </c>
      <c r="R141" s="7" t="str">
        <f t="shared" si="41"/>
        <v/>
      </c>
      <c r="S141" s="7" t="str">
        <f t="shared" si="42"/>
        <v/>
      </c>
      <c r="T141" s="7" t="str">
        <f t="shared" si="43"/>
        <v/>
      </c>
      <c r="U141" s="7" t="str">
        <f t="shared" si="44"/>
        <v/>
      </c>
      <c r="V141" s="7" t="str">
        <f t="shared" si="45"/>
        <v/>
      </c>
      <c r="W141" s="7" t="str">
        <f t="shared" si="46"/>
        <v/>
      </c>
      <c r="X141" s="7" t="str">
        <f t="shared" si="47"/>
        <v/>
      </c>
      <c r="Y141">
        <f t="shared" si="48"/>
        <v>0</v>
      </c>
      <c r="Z141" t="str">
        <f t="shared" si="49"/>
        <v/>
      </c>
      <c r="AA141" t="str">
        <f t="shared" si="50"/>
        <v/>
      </c>
      <c r="AB141" t="str">
        <f t="shared" si="51"/>
        <v/>
      </c>
      <c r="AC141" t="str">
        <f t="shared" si="52"/>
        <v/>
      </c>
      <c r="AD141">
        <f t="shared" si="53"/>
        <v>0</v>
      </c>
    </row>
    <row r="142" spans="1:30" ht="15" customHeight="1" x14ac:dyDescent="0.35">
      <c r="A142" s="2"/>
      <c r="B142" s="3"/>
      <c r="C142" s="4"/>
      <c r="D142" s="5"/>
      <c r="E142" s="11" t="str">
        <f t="shared" ca="1" si="36"/>
        <v/>
      </c>
      <c r="F142" s="5"/>
      <c r="G142" s="6" t="str">
        <f>IF(AND($A142&lt;&gt;"",$B142&lt;&gt;"",$C142&lt;&gt;"",$D142&lt;&gt;""),IF(OR($B142="SER",$B142="PLH",$B142="CSF"),"Control CDI Plate "&amp;(INT(((COUNTIFS($B$2:$B142,"SER")+COUNTIFS($B$2:$B142,"PLH")+COUNTIFS($B$2:$B142,"CSF"))-1)/96)+1)&amp;": "&amp;CHAR(65+INT(MOD((COUNTIFS($B$2:$B142,"SER")+COUNTIFS($B$2:$B142,"PLH")+COUNTIFS($B$2:$B142,"CSF"))-1,96)/12))&amp;(MOD((COUNTIFS($B$2:$B142,"SER")+COUNTIFS($B$2:$B142,"PLH")+COUNTIFS($B$2:$B142,"CSF"))-1,12)+1),"N/A"),"")</f>
        <v/>
      </c>
      <c r="H142" s="6" t="str">
        <f>IF(AND($A142&lt;&gt;"",$B142&lt;&gt;"",$C142&lt;&gt;"",$D142&lt;&gt;""),IF(OR($B142="SER",$B142="PLH",$B142="CSF"),"Control NIH Plate "&amp;(INT(((COUNTIFS($B$2:$B142,"SER")+COUNTIFS($B$2:$B142,"PLH")+COUNTIFS($B$2:$B142,"CSF"))-1)/96)+1)&amp;": "&amp;CHAR(65+INT(MOD((COUNTIFS($B$2:$B142,"SER")+COUNTIFS($B$2:$B142,"PLH")+COUNTIFS($B$2:$B142,"CSF"))-1,96)/12))&amp;(MOD((COUNTIFS($B$2:$B142,"SER")+COUNTIFS($B$2:$B142,"PLH")+COUNTIFS($B$2:$B142,"CSF"))-1,12)+1),"N/A"),"")</f>
        <v/>
      </c>
      <c r="I142" s="6" t="str">
        <f>IF(AND($A142&lt;&gt;"",$B142&lt;&gt;"",$C142&lt;&gt;"",$D142&lt;&gt;""),IF(OR($B142="SER",$B142="PLH"),"Control MAX Planck Plate "&amp;(INT(((COUNTIFS($B$2:$B142,"SER")+COUNTIFS($B$2:$B142,"PLH"))-1)/96)+1)&amp;": "&amp;CHAR(65+INT(MOD((COUNTIFS($B$2:$B142,"SER")+COUNTIFS($B$2:$B142,"PLH"))-1,96)/12))&amp;(MOD((COUNTIFS($B$2:$B142,"SER")+COUNTIFS($B$2:$B142,"PLH"))-1,12)+1),"N/A"),"")</f>
        <v/>
      </c>
      <c r="J142" s="6" t="str">
        <f>IF(AND($A142&lt;&gt;"",$B142&lt;&gt;"",$C142&lt;&gt;"",$D142&lt;&gt;""),IF($B142="WB","Control WB Box "&amp;(INT((COUNTIFS($B$2:$B142,"WB")-1)/81)+1)&amp;": "&amp;CHAR(65+INT(MOD(COUNTIFS($B$2:$B142,"WB")-1,81)/9))&amp;(MOD(COUNTIFS($B$2:$B142,"WB")-1,9)+1),"N/A"),"")</f>
        <v/>
      </c>
      <c r="K142" s="3" t="str">
        <f t="shared" si="37"/>
        <v/>
      </c>
      <c r="L142" s="2"/>
      <c r="M142" s="2"/>
      <c r="N142" s="2"/>
      <c r="O142" s="7" t="str">
        <f t="shared" si="38"/>
        <v/>
      </c>
      <c r="P142" s="7" t="str">
        <f t="shared" si="39"/>
        <v/>
      </c>
      <c r="Q142" s="7" t="str">
        <f t="shared" si="40"/>
        <v/>
      </c>
      <c r="R142" s="7" t="str">
        <f t="shared" si="41"/>
        <v/>
      </c>
      <c r="S142" s="7" t="str">
        <f t="shared" si="42"/>
        <v/>
      </c>
      <c r="T142" s="7" t="str">
        <f t="shared" si="43"/>
        <v/>
      </c>
      <c r="U142" s="7" t="str">
        <f t="shared" si="44"/>
        <v/>
      </c>
      <c r="V142" s="7" t="str">
        <f t="shared" si="45"/>
        <v/>
      </c>
      <c r="W142" s="7" t="str">
        <f t="shared" si="46"/>
        <v/>
      </c>
      <c r="X142" s="7" t="str">
        <f t="shared" si="47"/>
        <v/>
      </c>
      <c r="Y142">
        <f t="shared" si="48"/>
        <v>0</v>
      </c>
      <c r="Z142" t="str">
        <f t="shared" si="49"/>
        <v/>
      </c>
      <c r="AA142" t="str">
        <f t="shared" si="50"/>
        <v/>
      </c>
      <c r="AB142" t="str">
        <f t="shared" si="51"/>
        <v/>
      </c>
      <c r="AC142" t="str">
        <f t="shared" si="52"/>
        <v/>
      </c>
      <c r="AD142">
        <f t="shared" si="53"/>
        <v>0</v>
      </c>
    </row>
    <row r="143" spans="1:30" ht="15" customHeight="1" x14ac:dyDescent="0.35">
      <c r="A143" s="2"/>
      <c r="B143" s="3"/>
      <c r="C143" s="4"/>
      <c r="D143" s="5"/>
      <c r="E143" s="11" t="str">
        <f t="shared" ca="1" si="36"/>
        <v/>
      </c>
      <c r="F143" s="5"/>
      <c r="G143" s="6" t="str">
        <f>IF(AND($A143&lt;&gt;"",$B143&lt;&gt;"",$C143&lt;&gt;"",$D143&lt;&gt;""),IF(OR($B143="SER",$B143="PLH",$B143="CSF"),"Control CDI Plate "&amp;(INT(((COUNTIFS($B$2:$B143,"SER")+COUNTIFS($B$2:$B143,"PLH")+COUNTIFS($B$2:$B143,"CSF"))-1)/96)+1)&amp;": "&amp;CHAR(65+INT(MOD((COUNTIFS($B$2:$B143,"SER")+COUNTIFS($B$2:$B143,"PLH")+COUNTIFS($B$2:$B143,"CSF"))-1,96)/12))&amp;(MOD((COUNTIFS($B$2:$B143,"SER")+COUNTIFS($B$2:$B143,"PLH")+COUNTIFS($B$2:$B143,"CSF"))-1,12)+1),"N/A"),"")</f>
        <v/>
      </c>
      <c r="H143" s="6" t="str">
        <f>IF(AND($A143&lt;&gt;"",$B143&lt;&gt;"",$C143&lt;&gt;"",$D143&lt;&gt;""),IF(OR($B143="SER",$B143="PLH",$B143="CSF"),"Control NIH Plate "&amp;(INT(((COUNTIFS($B$2:$B143,"SER")+COUNTIFS($B$2:$B143,"PLH")+COUNTIFS($B$2:$B143,"CSF"))-1)/96)+1)&amp;": "&amp;CHAR(65+INT(MOD((COUNTIFS($B$2:$B143,"SER")+COUNTIFS($B$2:$B143,"PLH")+COUNTIFS($B$2:$B143,"CSF"))-1,96)/12))&amp;(MOD((COUNTIFS($B$2:$B143,"SER")+COUNTIFS($B$2:$B143,"PLH")+COUNTIFS($B$2:$B143,"CSF"))-1,12)+1),"N/A"),"")</f>
        <v/>
      </c>
      <c r="I143" s="6" t="str">
        <f>IF(AND($A143&lt;&gt;"",$B143&lt;&gt;"",$C143&lt;&gt;"",$D143&lt;&gt;""),IF(OR($B143="SER",$B143="PLH"),"Control MAX Planck Plate "&amp;(INT(((COUNTIFS($B$2:$B143,"SER")+COUNTIFS($B$2:$B143,"PLH"))-1)/96)+1)&amp;": "&amp;CHAR(65+INT(MOD((COUNTIFS($B$2:$B143,"SER")+COUNTIFS($B$2:$B143,"PLH"))-1,96)/12))&amp;(MOD((COUNTIFS($B$2:$B143,"SER")+COUNTIFS($B$2:$B143,"PLH"))-1,12)+1),"N/A"),"")</f>
        <v/>
      </c>
      <c r="J143" s="6" t="str">
        <f>IF(AND($A143&lt;&gt;"",$B143&lt;&gt;"",$C143&lt;&gt;"",$D143&lt;&gt;""),IF($B143="WB","Control WB Box "&amp;(INT((COUNTIFS($B$2:$B143,"WB")-1)/81)+1)&amp;": "&amp;CHAR(65+INT(MOD(COUNTIFS($B$2:$B143,"WB")-1,81)/9))&amp;(MOD(COUNTIFS($B$2:$B143,"WB")-1,9)+1),"N/A"),"")</f>
        <v/>
      </c>
      <c r="K143" s="3" t="str">
        <f t="shared" si="37"/>
        <v/>
      </c>
      <c r="L143" s="2"/>
      <c r="M143" s="2"/>
      <c r="N143" s="2"/>
      <c r="O143" s="7" t="str">
        <f t="shared" si="38"/>
        <v/>
      </c>
      <c r="P143" s="7" t="str">
        <f t="shared" si="39"/>
        <v/>
      </c>
      <c r="Q143" s="7" t="str">
        <f t="shared" si="40"/>
        <v/>
      </c>
      <c r="R143" s="7" t="str">
        <f t="shared" si="41"/>
        <v/>
      </c>
      <c r="S143" s="7" t="str">
        <f t="shared" si="42"/>
        <v/>
      </c>
      <c r="T143" s="7" t="str">
        <f t="shared" si="43"/>
        <v/>
      </c>
      <c r="U143" s="7" t="str">
        <f t="shared" si="44"/>
        <v/>
      </c>
      <c r="V143" s="7" t="str">
        <f t="shared" si="45"/>
        <v/>
      </c>
      <c r="W143" s="7" t="str">
        <f t="shared" si="46"/>
        <v/>
      </c>
      <c r="X143" s="7" t="str">
        <f t="shared" si="47"/>
        <v/>
      </c>
      <c r="Y143">
        <f t="shared" si="48"/>
        <v>0</v>
      </c>
      <c r="Z143" t="str">
        <f t="shared" si="49"/>
        <v/>
      </c>
      <c r="AA143" t="str">
        <f t="shared" si="50"/>
        <v/>
      </c>
      <c r="AB143" t="str">
        <f t="shared" si="51"/>
        <v/>
      </c>
      <c r="AC143" t="str">
        <f t="shared" si="52"/>
        <v/>
      </c>
      <c r="AD143">
        <f t="shared" si="53"/>
        <v>0</v>
      </c>
    </row>
    <row r="144" spans="1:30" ht="15" customHeight="1" x14ac:dyDescent="0.35">
      <c r="A144" s="2"/>
      <c r="B144" s="3"/>
      <c r="C144" s="4"/>
      <c r="D144" s="5"/>
      <c r="E144" s="11" t="str">
        <f t="shared" ca="1" si="36"/>
        <v/>
      </c>
      <c r="F144" s="5"/>
      <c r="G144" s="6" t="str">
        <f>IF(AND($A144&lt;&gt;"",$B144&lt;&gt;"",$C144&lt;&gt;"",$D144&lt;&gt;""),IF(OR($B144="SER",$B144="PLH",$B144="CSF"),"Control CDI Plate "&amp;(INT(((COUNTIFS($B$2:$B144,"SER")+COUNTIFS($B$2:$B144,"PLH")+COUNTIFS($B$2:$B144,"CSF"))-1)/96)+1)&amp;": "&amp;CHAR(65+INT(MOD((COUNTIFS($B$2:$B144,"SER")+COUNTIFS($B$2:$B144,"PLH")+COUNTIFS($B$2:$B144,"CSF"))-1,96)/12))&amp;(MOD((COUNTIFS($B$2:$B144,"SER")+COUNTIFS($B$2:$B144,"PLH")+COUNTIFS($B$2:$B144,"CSF"))-1,12)+1),"N/A"),"")</f>
        <v/>
      </c>
      <c r="H144" s="6" t="str">
        <f>IF(AND($A144&lt;&gt;"",$B144&lt;&gt;"",$C144&lt;&gt;"",$D144&lt;&gt;""),IF(OR($B144="SER",$B144="PLH",$B144="CSF"),"Control NIH Plate "&amp;(INT(((COUNTIFS($B$2:$B144,"SER")+COUNTIFS($B$2:$B144,"PLH")+COUNTIFS($B$2:$B144,"CSF"))-1)/96)+1)&amp;": "&amp;CHAR(65+INT(MOD((COUNTIFS($B$2:$B144,"SER")+COUNTIFS($B$2:$B144,"PLH")+COUNTIFS($B$2:$B144,"CSF"))-1,96)/12))&amp;(MOD((COUNTIFS($B$2:$B144,"SER")+COUNTIFS($B$2:$B144,"PLH")+COUNTIFS($B$2:$B144,"CSF"))-1,12)+1),"N/A"),"")</f>
        <v/>
      </c>
      <c r="I144" s="6" t="str">
        <f>IF(AND($A144&lt;&gt;"",$B144&lt;&gt;"",$C144&lt;&gt;"",$D144&lt;&gt;""),IF(OR($B144="SER",$B144="PLH"),"Control MAX Planck Plate "&amp;(INT(((COUNTIFS($B$2:$B144,"SER")+COUNTIFS($B$2:$B144,"PLH"))-1)/96)+1)&amp;": "&amp;CHAR(65+INT(MOD((COUNTIFS($B$2:$B144,"SER")+COUNTIFS($B$2:$B144,"PLH"))-1,96)/12))&amp;(MOD((COUNTIFS($B$2:$B144,"SER")+COUNTIFS($B$2:$B144,"PLH"))-1,12)+1),"N/A"),"")</f>
        <v/>
      </c>
      <c r="J144" s="6" t="str">
        <f>IF(AND($A144&lt;&gt;"",$B144&lt;&gt;"",$C144&lt;&gt;"",$D144&lt;&gt;""),IF($B144="WB","Control WB Box "&amp;(INT((COUNTIFS($B$2:$B144,"WB")-1)/81)+1)&amp;": "&amp;CHAR(65+INT(MOD(COUNTIFS($B$2:$B144,"WB")-1,81)/9))&amp;(MOD(COUNTIFS($B$2:$B144,"WB")-1,9)+1),"N/A"),"")</f>
        <v/>
      </c>
      <c r="K144" s="3" t="str">
        <f t="shared" si="37"/>
        <v/>
      </c>
      <c r="L144" s="2"/>
      <c r="M144" s="2"/>
      <c r="N144" s="2"/>
      <c r="O144" s="7" t="str">
        <f t="shared" si="38"/>
        <v/>
      </c>
      <c r="P144" s="7" t="str">
        <f t="shared" si="39"/>
        <v/>
      </c>
      <c r="Q144" s="7" t="str">
        <f t="shared" si="40"/>
        <v/>
      </c>
      <c r="R144" s="7" t="str">
        <f t="shared" si="41"/>
        <v/>
      </c>
      <c r="S144" s="7" t="str">
        <f t="shared" si="42"/>
        <v/>
      </c>
      <c r="T144" s="7" t="str">
        <f t="shared" si="43"/>
        <v/>
      </c>
      <c r="U144" s="7" t="str">
        <f t="shared" si="44"/>
        <v/>
      </c>
      <c r="V144" s="7" t="str">
        <f t="shared" si="45"/>
        <v/>
      </c>
      <c r="W144" s="7" t="str">
        <f t="shared" si="46"/>
        <v/>
      </c>
      <c r="X144" s="7" t="str">
        <f t="shared" si="47"/>
        <v/>
      </c>
      <c r="Y144">
        <f t="shared" si="48"/>
        <v>0</v>
      </c>
      <c r="Z144" t="str">
        <f t="shared" si="49"/>
        <v/>
      </c>
      <c r="AA144" t="str">
        <f t="shared" si="50"/>
        <v/>
      </c>
      <c r="AB144" t="str">
        <f t="shared" si="51"/>
        <v/>
      </c>
      <c r="AC144" t="str">
        <f t="shared" si="52"/>
        <v/>
      </c>
      <c r="AD144">
        <f t="shared" si="53"/>
        <v>0</v>
      </c>
    </row>
    <row r="145" spans="1:30" ht="15" customHeight="1" x14ac:dyDescent="0.35">
      <c r="A145" s="2"/>
      <c r="B145" s="3"/>
      <c r="C145" s="4"/>
      <c r="D145" s="5"/>
      <c r="E145" s="11" t="str">
        <f t="shared" ca="1" si="36"/>
        <v/>
      </c>
      <c r="F145" s="5"/>
      <c r="G145" s="6" t="str">
        <f>IF(AND($A145&lt;&gt;"",$B145&lt;&gt;"",$C145&lt;&gt;"",$D145&lt;&gt;""),IF(OR($B145="SER",$B145="PLH",$B145="CSF"),"Control CDI Plate "&amp;(INT(((COUNTIFS($B$2:$B145,"SER")+COUNTIFS($B$2:$B145,"PLH")+COUNTIFS($B$2:$B145,"CSF"))-1)/96)+1)&amp;": "&amp;CHAR(65+INT(MOD((COUNTIFS($B$2:$B145,"SER")+COUNTIFS($B$2:$B145,"PLH")+COUNTIFS($B$2:$B145,"CSF"))-1,96)/12))&amp;(MOD((COUNTIFS($B$2:$B145,"SER")+COUNTIFS($B$2:$B145,"PLH")+COUNTIFS($B$2:$B145,"CSF"))-1,12)+1),"N/A"),"")</f>
        <v/>
      </c>
      <c r="H145" s="6" t="str">
        <f>IF(AND($A145&lt;&gt;"",$B145&lt;&gt;"",$C145&lt;&gt;"",$D145&lt;&gt;""),IF(OR($B145="SER",$B145="PLH",$B145="CSF"),"Control NIH Plate "&amp;(INT(((COUNTIFS($B$2:$B145,"SER")+COUNTIFS($B$2:$B145,"PLH")+COUNTIFS($B$2:$B145,"CSF"))-1)/96)+1)&amp;": "&amp;CHAR(65+INT(MOD((COUNTIFS($B$2:$B145,"SER")+COUNTIFS($B$2:$B145,"PLH")+COUNTIFS($B$2:$B145,"CSF"))-1,96)/12))&amp;(MOD((COUNTIFS($B$2:$B145,"SER")+COUNTIFS($B$2:$B145,"PLH")+COUNTIFS($B$2:$B145,"CSF"))-1,12)+1),"N/A"),"")</f>
        <v/>
      </c>
      <c r="I145" s="6" t="str">
        <f>IF(AND($A145&lt;&gt;"",$B145&lt;&gt;"",$C145&lt;&gt;"",$D145&lt;&gt;""),IF(OR($B145="SER",$B145="PLH"),"Control MAX Planck Plate "&amp;(INT(((COUNTIFS($B$2:$B145,"SER")+COUNTIFS($B$2:$B145,"PLH"))-1)/96)+1)&amp;": "&amp;CHAR(65+INT(MOD((COUNTIFS($B$2:$B145,"SER")+COUNTIFS($B$2:$B145,"PLH"))-1,96)/12))&amp;(MOD((COUNTIFS($B$2:$B145,"SER")+COUNTIFS($B$2:$B145,"PLH"))-1,12)+1),"N/A"),"")</f>
        <v/>
      </c>
      <c r="J145" s="6" t="str">
        <f>IF(AND($A145&lt;&gt;"",$B145&lt;&gt;"",$C145&lt;&gt;"",$D145&lt;&gt;""),IF($B145="WB","Control WB Box "&amp;(INT((COUNTIFS($B$2:$B145,"WB")-1)/81)+1)&amp;": "&amp;CHAR(65+INT(MOD(COUNTIFS($B$2:$B145,"WB")-1,81)/9))&amp;(MOD(COUNTIFS($B$2:$B145,"WB")-1,9)+1),"N/A"),"")</f>
        <v/>
      </c>
      <c r="K145" s="3" t="str">
        <f t="shared" si="37"/>
        <v/>
      </c>
      <c r="L145" s="2"/>
      <c r="M145" s="2"/>
      <c r="N145" s="2"/>
      <c r="O145" s="7" t="str">
        <f t="shared" si="38"/>
        <v/>
      </c>
      <c r="P145" s="7" t="str">
        <f t="shared" si="39"/>
        <v/>
      </c>
      <c r="Q145" s="7" t="str">
        <f t="shared" si="40"/>
        <v/>
      </c>
      <c r="R145" s="7" t="str">
        <f t="shared" si="41"/>
        <v/>
      </c>
      <c r="S145" s="7" t="str">
        <f t="shared" si="42"/>
        <v/>
      </c>
      <c r="T145" s="7" t="str">
        <f t="shared" si="43"/>
        <v/>
      </c>
      <c r="U145" s="7" t="str">
        <f t="shared" si="44"/>
        <v/>
      </c>
      <c r="V145" s="7" t="str">
        <f t="shared" si="45"/>
        <v/>
      </c>
      <c r="W145" s="7" t="str">
        <f t="shared" si="46"/>
        <v/>
      </c>
      <c r="X145" s="7" t="str">
        <f t="shared" si="47"/>
        <v/>
      </c>
      <c r="Y145">
        <f t="shared" si="48"/>
        <v>0</v>
      </c>
      <c r="Z145" t="str">
        <f t="shared" si="49"/>
        <v/>
      </c>
      <c r="AA145" t="str">
        <f t="shared" si="50"/>
        <v/>
      </c>
      <c r="AB145" t="str">
        <f t="shared" si="51"/>
        <v/>
      </c>
      <c r="AC145" t="str">
        <f t="shared" si="52"/>
        <v/>
      </c>
      <c r="AD145">
        <f t="shared" si="53"/>
        <v>0</v>
      </c>
    </row>
    <row r="146" spans="1:30" ht="15" customHeight="1" x14ac:dyDescent="0.35">
      <c r="A146" s="2"/>
      <c r="B146" s="3"/>
      <c r="C146" s="4"/>
      <c r="D146" s="5"/>
      <c r="E146" s="11" t="str">
        <f t="shared" ca="1" si="36"/>
        <v/>
      </c>
      <c r="F146" s="5"/>
      <c r="G146" s="6" t="str">
        <f>IF(AND($A146&lt;&gt;"",$B146&lt;&gt;"",$C146&lt;&gt;"",$D146&lt;&gt;""),IF(OR($B146="SER",$B146="PLH",$B146="CSF"),"Control CDI Plate "&amp;(INT(((COUNTIFS($B$2:$B146,"SER")+COUNTIFS($B$2:$B146,"PLH")+COUNTIFS($B$2:$B146,"CSF"))-1)/96)+1)&amp;": "&amp;CHAR(65+INT(MOD((COUNTIFS($B$2:$B146,"SER")+COUNTIFS($B$2:$B146,"PLH")+COUNTIFS($B$2:$B146,"CSF"))-1,96)/12))&amp;(MOD((COUNTIFS($B$2:$B146,"SER")+COUNTIFS($B$2:$B146,"PLH")+COUNTIFS($B$2:$B146,"CSF"))-1,12)+1),"N/A"),"")</f>
        <v/>
      </c>
      <c r="H146" s="6" t="str">
        <f>IF(AND($A146&lt;&gt;"",$B146&lt;&gt;"",$C146&lt;&gt;"",$D146&lt;&gt;""),IF(OR($B146="SER",$B146="PLH",$B146="CSF"),"Control NIH Plate "&amp;(INT(((COUNTIFS($B$2:$B146,"SER")+COUNTIFS($B$2:$B146,"PLH")+COUNTIFS($B$2:$B146,"CSF"))-1)/96)+1)&amp;": "&amp;CHAR(65+INT(MOD((COUNTIFS($B$2:$B146,"SER")+COUNTIFS($B$2:$B146,"PLH")+COUNTIFS($B$2:$B146,"CSF"))-1,96)/12))&amp;(MOD((COUNTIFS($B$2:$B146,"SER")+COUNTIFS($B$2:$B146,"PLH")+COUNTIFS($B$2:$B146,"CSF"))-1,12)+1),"N/A"),"")</f>
        <v/>
      </c>
      <c r="I146" s="6" t="str">
        <f>IF(AND($A146&lt;&gt;"",$B146&lt;&gt;"",$C146&lt;&gt;"",$D146&lt;&gt;""),IF(OR($B146="SER",$B146="PLH"),"Control MAX Planck Plate "&amp;(INT(((COUNTIFS($B$2:$B146,"SER")+COUNTIFS($B$2:$B146,"PLH"))-1)/96)+1)&amp;": "&amp;CHAR(65+INT(MOD((COUNTIFS($B$2:$B146,"SER")+COUNTIFS($B$2:$B146,"PLH"))-1,96)/12))&amp;(MOD((COUNTIFS($B$2:$B146,"SER")+COUNTIFS($B$2:$B146,"PLH"))-1,12)+1),"N/A"),"")</f>
        <v/>
      </c>
      <c r="J146" s="6" t="str">
        <f>IF(AND($A146&lt;&gt;"",$B146&lt;&gt;"",$C146&lt;&gt;"",$D146&lt;&gt;""),IF($B146="WB","Control WB Box "&amp;(INT((COUNTIFS($B$2:$B146,"WB")-1)/81)+1)&amp;": "&amp;CHAR(65+INT(MOD(COUNTIFS($B$2:$B146,"WB")-1,81)/9))&amp;(MOD(COUNTIFS($B$2:$B146,"WB")-1,9)+1),"N/A"),"")</f>
        <v/>
      </c>
      <c r="K146" s="3" t="str">
        <f t="shared" si="37"/>
        <v/>
      </c>
      <c r="L146" s="2"/>
      <c r="M146" s="2"/>
      <c r="N146" s="2"/>
      <c r="O146" s="7" t="str">
        <f t="shared" si="38"/>
        <v/>
      </c>
      <c r="P146" s="7" t="str">
        <f t="shared" si="39"/>
        <v/>
      </c>
      <c r="Q146" s="7" t="str">
        <f t="shared" si="40"/>
        <v/>
      </c>
      <c r="R146" s="7" t="str">
        <f t="shared" si="41"/>
        <v/>
      </c>
      <c r="S146" s="7" t="str">
        <f t="shared" si="42"/>
        <v/>
      </c>
      <c r="T146" s="7" t="str">
        <f t="shared" si="43"/>
        <v/>
      </c>
      <c r="U146" s="7" t="str">
        <f t="shared" si="44"/>
        <v/>
      </c>
      <c r="V146" s="7" t="str">
        <f t="shared" si="45"/>
        <v/>
      </c>
      <c r="W146" s="7" t="str">
        <f t="shared" si="46"/>
        <v/>
      </c>
      <c r="X146" s="7" t="str">
        <f t="shared" si="47"/>
        <v/>
      </c>
      <c r="Y146">
        <f t="shared" si="48"/>
        <v>0</v>
      </c>
      <c r="Z146" t="str">
        <f t="shared" si="49"/>
        <v/>
      </c>
      <c r="AA146" t="str">
        <f t="shared" si="50"/>
        <v/>
      </c>
      <c r="AB146" t="str">
        <f t="shared" si="51"/>
        <v/>
      </c>
      <c r="AC146" t="str">
        <f t="shared" si="52"/>
        <v/>
      </c>
      <c r="AD146">
        <f t="shared" si="53"/>
        <v>0</v>
      </c>
    </row>
    <row r="147" spans="1:30" ht="15" customHeight="1" x14ac:dyDescent="0.35">
      <c r="A147" s="2"/>
      <c r="B147" s="3"/>
      <c r="C147" s="4"/>
      <c r="D147" s="5"/>
      <c r="E147" s="11" t="str">
        <f t="shared" ca="1" si="36"/>
        <v/>
      </c>
      <c r="F147" s="5"/>
      <c r="G147" s="6" t="str">
        <f>IF(AND($A147&lt;&gt;"",$B147&lt;&gt;"",$C147&lt;&gt;"",$D147&lt;&gt;""),IF(OR($B147="SER",$B147="PLH",$B147="CSF"),"Control CDI Plate "&amp;(INT(((COUNTIFS($B$2:$B147,"SER")+COUNTIFS($B$2:$B147,"PLH")+COUNTIFS($B$2:$B147,"CSF"))-1)/96)+1)&amp;": "&amp;CHAR(65+INT(MOD((COUNTIFS($B$2:$B147,"SER")+COUNTIFS($B$2:$B147,"PLH")+COUNTIFS($B$2:$B147,"CSF"))-1,96)/12))&amp;(MOD((COUNTIFS($B$2:$B147,"SER")+COUNTIFS($B$2:$B147,"PLH")+COUNTIFS($B$2:$B147,"CSF"))-1,12)+1),"N/A"),"")</f>
        <v/>
      </c>
      <c r="H147" s="6" t="str">
        <f>IF(AND($A147&lt;&gt;"",$B147&lt;&gt;"",$C147&lt;&gt;"",$D147&lt;&gt;""),IF(OR($B147="SER",$B147="PLH",$B147="CSF"),"Control NIH Plate "&amp;(INT(((COUNTIFS($B$2:$B147,"SER")+COUNTIFS($B$2:$B147,"PLH")+COUNTIFS($B$2:$B147,"CSF"))-1)/96)+1)&amp;": "&amp;CHAR(65+INT(MOD((COUNTIFS($B$2:$B147,"SER")+COUNTIFS($B$2:$B147,"PLH")+COUNTIFS($B$2:$B147,"CSF"))-1,96)/12))&amp;(MOD((COUNTIFS($B$2:$B147,"SER")+COUNTIFS($B$2:$B147,"PLH")+COUNTIFS($B$2:$B147,"CSF"))-1,12)+1),"N/A"),"")</f>
        <v/>
      </c>
      <c r="I147" s="6" t="str">
        <f>IF(AND($A147&lt;&gt;"",$B147&lt;&gt;"",$C147&lt;&gt;"",$D147&lt;&gt;""),IF(OR($B147="SER",$B147="PLH"),"Control MAX Planck Plate "&amp;(INT(((COUNTIFS($B$2:$B147,"SER")+COUNTIFS($B$2:$B147,"PLH"))-1)/96)+1)&amp;": "&amp;CHAR(65+INT(MOD((COUNTIFS($B$2:$B147,"SER")+COUNTIFS($B$2:$B147,"PLH"))-1,96)/12))&amp;(MOD((COUNTIFS($B$2:$B147,"SER")+COUNTIFS($B$2:$B147,"PLH"))-1,12)+1),"N/A"),"")</f>
        <v/>
      </c>
      <c r="J147" s="6" t="str">
        <f>IF(AND($A147&lt;&gt;"",$B147&lt;&gt;"",$C147&lt;&gt;"",$D147&lt;&gt;""),IF($B147="WB","Control WB Box "&amp;(INT((COUNTIFS($B$2:$B147,"WB")-1)/81)+1)&amp;": "&amp;CHAR(65+INT(MOD(COUNTIFS($B$2:$B147,"WB")-1,81)/9))&amp;(MOD(COUNTIFS($B$2:$B147,"WB")-1,9)+1),"N/A"),"")</f>
        <v/>
      </c>
      <c r="K147" s="3" t="str">
        <f t="shared" si="37"/>
        <v/>
      </c>
      <c r="L147" s="2"/>
      <c r="M147" s="2"/>
      <c r="N147" s="2"/>
      <c r="O147" s="7" t="str">
        <f t="shared" si="38"/>
        <v/>
      </c>
      <c r="P147" s="7" t="str">
        <f t="shared" si="39"/>
        <v/>
      </c>
      <c r="Q147" s="7" t="str">
        <f t="shared" si="40"/>
        <v/>
      </c>
      <c r="R147" s="7" t="str">
        <f t="shared" si="41"/>
        <v/>
      </c>
      <c r="S147" s="7" t="str">
        <f t="shared" si="42"/>
        <v/>
      </c>
      <c r="T147" s="7" t="str">
        <f t="shared" si="43"/>
        <v/>
      </c>
      <c r="U147" s="7" t="str">
        <f t="shared" si="44"/>
        <v/>
      </c>
      <c r="V147" s="7" t="str">
        <f t="shared" si="45"/>
        <v/>
      </c>
      <c r="W147" s="7" t="str">
        <f t="shared" si="46"/>
        <v/>
      </c>
      <c r="X147" s="7" t="str">
        <f t="shared" si="47"/>
        <v/>
      </c>
      <c r="Y147">
        <f t="shared" si="48"/>
        <v>0</v>
      </c>
      <c r="Z147" t="str">
        <f t="shared" si="49"/>
        <v/>
      </c>
      <c r="AA147" t="str">
        <f t="shared" si="50"/>
        <v/>
      </c>
      <c r="AB147" t="str">
        <f t="shared" si="51"/>
        <v/>
      </c>
      <c r="AC147" t="str">
        <f t="shared" si="52"/>
        <v/>
      </c>
      <c r="AD147">
        <f t="shared" si="53"/>
        <v>0</v>
      </c>
    </row>
    <row r="148" spans="1:30" ht="15" customHeight="1" x14ac:dyDescent="0.35">
      <c r="A148" s="2"/>
      <c r="B148" s="3"/>
      <c r="C148" s="4"/>
      <c r="D148" s="5"/>
      <c r="E148" s="11" t="str">
        <f t="shared" ca="1" si="36"/>
        <v/>
      </c>
      <c r="F148" s="5"/>
      <c r="G148" s="6" t="str">
        <f>IF(AND($A148&lt;&gt;"",$B148&lt;&gt;"",$C148&lt;&gt;"",$D148&lt;&gt;""),IF(OR($B148="SER",$B148="PLH",$B148="CSF"),"Control CDI Plate "&amp;(INT(((COUNTIFS($B$2:$B148,"SER")+COUNTIFS($B$2:$B148,"PLH")+COUNTIFS($B$2:$B148,"CSF"))-1)/96)+1)&amp;": "&amp;CHAR(65+INT(MOD((COUNTIFS($B$2:$B148,"SER")+COUNTIFS($B$2:$B148,"PLH")+COUNTIFS($B$2:$B148,"CSF"))-1,96)/12))&amp;(MOD((COUNTIFS($B$2:$B148,"SER")+COUNTIFS($B$2:$B148,"PLH")+COUNTIFS($B$2:$B148,"CSF"))-1,12)+1),"N/A"),"")</f>
        <v/>
      </c>
      <c r="H148" s="6" t="str">
        <f>IF(AND($A148&lt;&gt;"",$B148&lt;&gt;"",$C148&lt;&gt;"",$D148&lt;&gt;""),IF(OR($B148="SER",$B148="PLH",$B148="CSF"),"Control NIH Plate "&amp;(INT(((COUNTIFS($B$2:$B148,"SER")+COUNTIFS($B$2:$B148,"PLH")+COUNTIFS($B$2:$B148,"CSF"))-1)/96)+1)&amp;": "&amp;CHAR(65+INT(MOD((COUNTIFS($B$2:$B148,"SER")+COUNTIFS($B$2:$B148,"PLH")+COUNTIFS($B$2:$B148,"CSF"))-1,96)/12))&amp;(MOD((COUNTIFS($B$2:$B148,"SER")+COUNTIFS($B$2:$B148,"PLH")+COUNTIFS($B$2:$B148,"CSF"))-1,12)+1),"N/A"),"")</f>
        <v/>
      </c>
      <c r="I148" s="6" t="str">
        <f>IF(AND($A148&lt;&gt;"",$B148&lt;&gt;"",$C148&lt;&gt;"",$D148&lt;&gt;""),IF(OR($B148="SER",$B148="PLH"),"Control MAX Planck Plate "&amp;(INT(((COUNTIFS($B$2:$B148,"SER")+COUNTIFS($B$2:$B148,"PLH"))-1)/96)+1)&amp;": "&amp;CHAR(65+INT(MOD((COUNTIFS($B$2:$B148,"SER")+COUNTIFS($B$2:$B148,"PLH"))-1,96)/12))&amp;(MOD((COUNTIFS($B$2:$B148,"SER")+COUNTIFS($B$2:$B148,"PLH"))-1,12)+1),"N/A"),"")</f>
        <v/>
      </c>
      <c r="J148" s="6" t="str">
        <f>IF(AND($A148&lt;&gt;"",$B148&lt;&gt;"",$C148&lt;&gt;"",$D148&lt;&gt;""),IF($B148="WB","Control WB Box "&amp;(INT((COUNTIFS($B$2:$B148,"WB")-1)/81)+1)&amp;": "&amp;CHAR(65+INT(MOD(COUNTIFS($B$2:$B148,"WB")-1,81)/9))&amp;(MOD(COUNTIFS($B$2:$B148,"WB")-1,9)+1),"N/A"),"")</f>
        <v/>
      </c>
      <c r="K148" s="3" t="str">
        <f t="shared" si="37"/>
        <v/>
      </c>
      <c r="L148" s="2"/>
      <c r="M148" s="2"/>
      <c r="N148" s="2"/>
      <c r="O148" s="7" t="str">
        <f t="shared" si="38"/>
        <v/>
      </c>
      <c r="P148" s="7" t="str">
        <f t="shared" si="39"/>
        <v/>
      </c>
      <c r="Q148" s="7" t="str">
        <f t="shared" si="40"/>
        <v/>
      </c>
      <c r="R148" s="7" t="str">
        <f t="shared" si="41"/>
        <v/>
      </c>
      <c r="S148" s="7" t="str">
        <f t="shared" si="42"/>
        <v/>
      </c>
      <c r="T148" s="7" t="str">
        <f t="shared" si="43"/>
        <v/>
      </c>
      <c r="U148" s="7" t="str">
        <f t="shared" si="44"/>
        <v/>
      </c>
      <c r="V148" s="7" t="str">
        <f t="shared" si="45"/>
        <v/>
      </c>
      <c r="W148" s="7" t="str">
        <f t="shared" si="46"/>
        <v/>
      </c>
      <c r="X148" s="7" t="str">
        <f t="shared" si="47"/>
        <v/>
      </c>
      <c r="Y148">
        <f t="shared" si="48"/>
        <v>0</v>
      </c>
      <c r="Z148" t="str">
        <f t="shared" si="49"/>
        <v/>
      </c>
      <c r="AA148" t="str">
        <f t="shared" si="50"/>
        <v/>
      </c>
      <c r="AB148" t="str">
        <f t="shared" si="51"/>
        <v/>
      </c>
      <c r="AC148" t="str">
        <f t="shared" si="52"/>
        <v/>
      </c>
      <c r="AD148">
        <f t="shared" si="53"/>
        <v>0</v>
      </c>
    </row>
    <row r="149" spans="1:30" ht="15" customHeight="1" x14ac:dyDescent="0.35">
      <c r="A149" s="2"/>
      <c r="B149" s="3"/>
      <c r="C149" s="4"/>
      <c r="D149" s="5"/>
      <c r="E149" s="11" t="str">
        <f t="shared" ca="1" si="36"/>
        <v/>
      </c>
      <c r="F149" s="5"/>
      <c r="G149" s="6" t="str">
        <f>IF(AND($A149&lt;&gt;"",$B149&lt;&gt;"",$C149&lt;&gt;"",$D149&lt;&gt;""),IF(OR($B149="SER",$B149="PLH",$B149="CSF"),"Control CDI Plate "&amp;(INT(((COUNTIFS($B$2:$B149,"SER")+COUNTIFS($B$2:$B149,"PLH")+COUNTIFS($B$2:$B149,"CSF"))-1)/96)+1)&amp;": "&amp;CHAR(65+INT(MOD((COUNTIFS($B$2:$B149,"SER")+COUNTIFS($B$2:$B149,"PLH")+COUNTIFS($B$2:$B149,"CSF"))-1,96)/12))&amp;(MOD((COUNTIFS($B$2:$B149,"SER")+COUNTIFS($B$2:$B149,"PLH")+COUNTIFS($B$2:$B149,"CSF"))-1,12)+1),"N/A"),"")</f>
        <v/>
      </c>
      <c r="H149" s="6" t="str">
        <f>IF(AND($A149&lt;&gt;"",$B149&lt;&gt;"",$C149&lt;&gt;"",$D149&lt;&gt;""),IF(OR($B149="SER",$B149="PLH",$B149="CSF"),"Control NIH Plate "&amp;(INT(((COUNTIFS($B$2:$B149,"SER")+COUNTIFS($B$2:$B149,"PLH")+COUNTIFS($B$2:$B149,"CSF"))-1)/96)+1)&amp;": "&amp;CHAR(65+INT(MOD((COUNTIFS($B$2:$B149,"SER")+COUNTIFS($B$2:$B149,"PLH")+COUNTIFS($B$2:$B149,"CSF"))-1,96)/12))&amp;(MOD((COUNTIFS($B$2:$B149,"SER")+COUNTIFS($B$2:$B149,"PLH")+COUNTIFS($B$2:$B149,"CSF"))-1,12)+1),"N/A"),"")</f>
        <v/>
      </c>
      <c r="I149" s="6" t="str">
        <f>IF(AND($A149&lt;&gt;"",$B149&lt;&gt;"",$C149&lt;&gt;"",$D149&lt;&gt;""),IF(OR($B149="SER",$B149="PLH"),"Control MAX Planck Plate "&amp;(INT(((COUNTIFS($B$2:$B149,"SER")+COUNTIFS($B$2:$B149,"PLH"))-1)/96)+1)&amp;": "&amp;CHAR(65+INT(MOD((COUNTIFS($B$2:$B149,"SER")+COUNTIFS($B$2:$B149,"PLH"))-1,96)/12))&amp;(MOD((COUNTIFS($B$2:$B149,"SER")+COUNTIFS($B$2:$B149,"PLH"))-1,12)+1),"N/A"),"")</f>
        <v/>
      </c>
      <c r="J149" s="6" t="str">
        <f>IF(AND($A149&lt;&gt;"",$B149&lt;&gt;"",$C149&lt;&gt;"",$D149&lt;&gt;""),IF($B149="WB","Control WB Box "&amp;(INT((COUNTIFS($B$2:$B149,"WB")-1)/81)+1)&amp;": "&amp;CHAR(65+INT(MOD(COUNTIFS($B$2:$B149,"WB")-1,81)/9))&amp;(MOD(COUNTIFS($B$2:$B149,"WB")-1,9)+1),"N/A"),"")</f>
        <v/>
      </c>
      <c r="K149" s="3" t="str">
        <f t="shared" si="37"/>
        <v/>
      </c>
      <c r="L149" s="2"/>
      <c r="M149" s="2"/>
      <c r="N149" s="2"/>
      <c r="O149" s="7" t="str">
        <f t="shared" si="38"/>
        <v/>
      </c>
      <c r="P149" s="7" t="str">
        <f t="shared" si="39"/>
        <v/>
      </c>
      <c r="Q149" s="7" t="str">
        <f t="shared" si="40"/>
        <v/>
      </c>
      <c r="R149" s="7" t="str">
        <f t="shared" si="41"/>
        <v/>
      </c>
      <c r="S149" s="7" t="str">
        <f t="shared" si="42"/>
        <v/>
      </c>
      <c r="T149" s="7" t="str">
        <f t="shared" si="43"/>
        <v/>
      </c>
      <c r="U149" s="7" t="str">
        <f t="shared" si="44"/>
        <v/>
      </c>
      <c r="V149" s="7" t="str">
        <f t="shared" si="45"/>
        <v/>
      </c>
      <c r="W149" s="7" t="str">
        <f t="shared" si="46"/>
        <v/>
      </c>
      <c r="X149" s="7" t="str">
        <f t="shared" si="47"/>
        <v/>
      </c>
      <c r="Y149">
        <f t="shared" si="48"/>
        <v>0</v>
      </c>
      <c r="Z149" t="str">
        <f t="shared" si="49"/>
        <v/>
      </c>
      <c r="AA149" t="str">
        <f t="shared" si="50"/>
        <v/>
      </c>
      <c r="AB149" t="str">
        <f t="shared" si="51"/>
        <v/>
      </c>
      <c r="AC149" t="str">
        <f t="shared" si="52"/>
        <v/>
      </c>
      <c r="AD149">
        <f t="shared" si="53"/>
        <v>0</v>
      </c>
    </row>
    <row r="150" spans="1:30" ht="15" customHeight="1" x14ac:dyDescent="0.35">
      <c r="A150" s="2"/>
      <c r="B150" s="3"/>
      <c r="C150" s="4"/>
      <c r="D150" s="5"/>
      <c r="E150" s="11" t="str">
        <f t="shared" ca="1" si="36"/>
        <v/>
      </c>
      <c r="F150" s="5"/>
      <c r="G150" s="6" t="str">
        <f>IF(AND($A150&lt;&gt;"",$B150&lt;&gt;"",$C150&lt;&gt;"",$D150&lt;&gt;""),IF(OR($B150="SER",$B150="PLH",$B150="CSF"),"Control CDI Plate "&amp;(INT(((COUNTIFS($B$2:$B150,"SER")+COUNTIFS($B$2:$B150,"PLH")+COUNTIFS($B$2:$B150,"CSF"))-1)/96)+1)&amp;": "&amp;CHAR(65+INT(MOD((COUNTIFS($B$2:$B150,"SER")+COUNTIFS($B$2:$B150,"PLH")+COUNTIFS($B$2:$B150,"CSF"))-1,96)/12))&amp;(MOD((COUNTIFS($B$2:$B150,"SER")+COUNTIFS($B$2:$B150,"PLH")+COUNTIFS($B$2:$B150,"CSF"))-1,12)+1),"N/A"),"")</f>
        <v/>
      </c>
      <c r="H150" s="6" t="str">
        <f>IF(AND($A150&lt;&gt;"",$B150&lt;&gt;"",$C150&lt;&gt;"",$D150&lt;&gt;""),IF(OR($B150="SER",$B150="PLH",$B150="CSF"),"Control NIH Plate "&amp;(INT(((COUNTIFS($B$2:$B150,"SER")+COUNTIFS($B$2:$B150,"PLH")+COUNTIFS($B$2:$B150,"CSF"))-1)/96)+1)&amp;": "&amp;CHAR(65+INT(MOD((COUNTIFS($B$2:$B150,"SER")+COUNTIFS($B$2:$B150,"PLH")+COUNTIFS($B$2:$B150,"CSF"))-1,96)/12))&amp;(MOD((COUNTIFS($B$2:$B150,"SER")+COUNTIFS($B$2:$B150,"PLH")+COUNTIFS($B$2:$B150,"CSF"))-1,12)+1),"N/A"),"")</f>
        <v/>
      </c>
      <c r="I150" s="6" t="str">
        <f>IF(AND($A150&lt;&gt;"",$B150&lt;&gt;"",$C150&lt;&gt;"",$D150&lt;&gt;""),IF(OR($B150="SER",$B150="PLH"),"Control MAX Planck Plate "&amp;(INT(((COUNTIFS($B$2:$B150,"SER")+COUNTIFS($B$2:$B150,"PLH"))-1)/96)+1)&amp;": "&amp;CHAR(65+INT(MOD((COUNTIFS($B$2:$B150,"SER")+COUNTIFS($B$2:$B150,"PLH"))-1,96)/12))&amp;(MOD((COUNTIFS($B$2:$B150,"SER")+COUNTIFS($B$2:$B150,"PLH"))-1,12)+1),"N/A"),"")</f>
        <v/>
      </c>
      <c r="J150" s="6" t="str">
        <f>IF(AND($A150&lt;&gt;"",$B150&lt;&gt;"",$C150&lt;&gt;"",$D150&lt;&gt;""),IF($B150="WB","Control WB Box "&amp;(INT((COUNTIFS($B$2:$B150,"WB")-1)/81)+1)&amp;": "&amp;CHAR(65+INT(MOD(COUNTIFS($B$2:$B150,"WB")-1,81)/9))&amp;(MOD(COUNTIFS($B$2:$B150,"WB")-1,9)+1),"N/A"),"")</f>
        <v/>
      </c>
      <c r="K150" s="3" t="str">
        <f t="shared" si="37"/>
        <v/>
      </c>
      <c r="L150" s="2"/>
      <c r="M150" s="2"/>
      <c r="N150" s="2"/>
      <c r="O150" s="7" t="str">
        <f t="shared" si="38"/>
        <v/>
      </c>
      <c r="P150" s="7" t="str">
        <f t="shared" si="39"/>
        <v/>
      </c>
      <c r="Q150" s="7" t="str">
        <f t="shared" si="40"/>
        <v/>
      </c>
      <c r="R150" s="7" t="str">
        <f t="shared" si="41"/>
        <v/>
      </c>
      <c r="S150" s="7" t="str">
        <f t="shared" si="42"/>
        <v/>
      </c>
      <c r="T150" s="7" t="str">
        <f t="shared" si="43"/>
        <v/>
      </c>
      <c r="U150" s="7" t="str">
        <f t="shared" si="44"/>
        <v/>
      </c>
      <c r="V150" s="7" t="str">
        <f t="shared" si="45"/>
        <v/>
      </c>
      <c r="W150" s="7" t="str">
        <f t="shared" si="46"/>
        <v/>
      </c>
      <c r="X150" s="7" t="str">
        <f t="shared" si="47"/>
        <v/>
      </c>
      <c r="Y150">
        <f t="shared" si="48"/>
        <v>0</v>
      </c>
      <c r="Z150" t="str">
        <f t="shared" si="49"/>
        <v/>
      </c>
      <c r="AA150" t="str">
        <f t="shared" si="50"/>
        <v/>
      </c>
      <c r="AB150" t="str">
        <f t="shared" si="51"/>
        <v/>
      </c>
      <c r="AC150" t="str">
        <f t="shared" si="52"/>
        <v/>
      </c>
      <c r="AD150">
        <f t="shared" si="53"/>
        <v>0</v>
      </c>
    </row>
    <row r="151" spans="1:30" ht="15" customHeight="1" x14ac:dyDescent="0.35">
      <c r="A151" s="2"/>
      <c r="B151" s="3"/>
      <c r="C151" s="4"/>
      <c r="D151" s="5"/>
      <c r="E151" s="11" t="str">
        <f t="shared" ca="1" si="36"/>
        <v/>
      </c>
      <c r="F151" s="5"/>
      <c r="G151" s="6" t="str">
        <f>IF(AND($A151&lt;&gt;"",$B151&lt;&gt;"",$C151&lt;&gt;"",$D151&lt;&gt;""),IF(OR($B151="SER",$B151="PLH",$B151="CSF"),"Control CDI Plate "&amp;(INT(((COUNTIFS($B$2:$B151,"SER")+COUNTIFS($B$2:$B151,"PLH")+COUNTIFS($B$2:$B151,"CSF"))-1)/96)+1)&amp;": "&amp;CHAR(65+INT(MOD((COUNTIFS($B$2:$B151,"SER")+COUNTIFS($B$2:$B151,"PLH")+COUNTIFS($B$2:$B151,"CSF"))-1,96)/12))&amp;(MOD((COUNTIFS($B$2:$B151,"SER")+COUNTIFS($B$2:$B151,"PLH")+COUNTIFS($B$2:$B151,"CSF"))-1,12)+1),"N/A"),"")</f>
        <v/>
      </c>
      <c r="H151" s="6" t="str">
        <f>IF(AND($A151&lt;&gt;"",$B151&lt;&gt;"",$C151&lt;&gt;"",$D151&lt;&gt;""),IF(OR($B151="SER",$B151="PLH",$B151="CSF"),"Control NIH Plate "&amp;(INT(((COUNTIFS($B$2:$B151,"SER")+COUNTIFS($B$2:$B151,"PLH")+COUNTIFS($B$2:$B151,"CSF"))-1)/96)+1)&amp;": "&amp;CHAR(65+INT(MOD((COUNTIFS($B$2:$B151,"SER")+COUNTIFS($B$2:$B151,"PLH")+COUNTIFS($B$2:$B151,"CSF"))-1,96)/12))&amp;(MOD((COUNTIFS($B$2:$B151,"SER")+COUNTIFS($B$2:$B151,"PLH")+COUNTIFS($B$2:$B151,"CSF"))-1,12)+1),"N/A"),"")</f>
        <v/>
      </c>
      <c r="I151" s="6" t="str">
        <f>IF(AND($A151&lt;&gt;"",$B151&lt;&gt;"",$C151&lt;&gt;"",$D151&lt;&gt;""),IF(OR($B151="SER",$B151="PLH"),"Control MAX Planck Plate "&amp;(INT(((COUNTIFS($B$2:$B151,"SER")+COUNTIFS($B$2:$B151,"PLH"))-1)/96)+1)&amp;": "&amp;CHAR(65+INT(MOD((COUNTIFS($B$2:$B151,"SER")+COUNTIFS($B$2:$B151,"PLH"))-1,96)/12))&amp;(MOD((COUNTIFS($B$2:$B151,"SER")+COUNTIFS($B$2:$B151,"PLH"))-1,12)+1),"N/A"),"")</f>
        <v/>
      </c>
      <c r="J151" s="6" t="str">
        <f>IF(AND($A151&lt;&gt;"",$B151&lt;&gt;"",$C151&lt;&gt;"",$D151&lt;&gt;""),IF($B151="WB","Control WB Box "&amp;(INT((COUNTIFS($B$2:$B151,"WB")-1)/81)+1)&amp;": "&amp;CHAR(65+INT(MOD(COUNTIFS($B$2:$B151,"WB")-1,81)/9))&amp;(MOD(COUNTIFS($B$2:$B151,"WB")-1,9)+1),"N/A"),"")</f>
        <v/>
      </c>
      <c r="K151" s="3" t="str">
        <f t="shared" si="37"/>
        <v/>
      </c>
      <c r="L151" s="2"/>
      <c r="M151" s="2"/>
      <c r="N151" s="2"/>
      <c r="O151" s="7" t="str">
        <f t="shared" si="38"/>
        <v/>
      </c>
      <c r="P151" s="7" t="str">
        <f t="shared" si="39"/>
        <v/>
      </c>
      <c r="Q151" s="7" t="str">
        <f t="shared" si="40"/>
        <v/>
      </c>
      <c r="R151" s="7" t="str">
        <f t="shared" si="41"/>
        <v/>
      </c>
      <c r="S151" s="7" t="str">
        <f t="shared" si="42"/>
        <v/>
      </c>
      <c r="T151" s="7" t="str">
        <f t="shared" si="43"/>
        <v/>
      </c>
      <c r="U151" s="7" t="str">
        <f t="shared" si="44"/>
        <v/>
      </c>
      <c r="V151" s="7" t="str">
        <f t="shared" si="45"/>
        <v/>
      </c>
      <c r="W151" s="7" t="str">
        <f t="shared" si="46"/>
        <v/>
      </c>
      <c r="X151" s="7" t="str">
        <f t="shared" si="47"/>
        <v/>
      </c>
      <c r="Y151">
        <f t="shared" si="48"/>
        <v>0</v>
      </c>
      <c r="Z151" t="str">
        <f t="shared" si="49"/>
        <v/>
      </c>
      <c r="AA151" t="str">
        <f t="shared" si="50"/>
        <v/>
      </c>
      <c r="AB151" t="str">
        <f t="shared" si="51"/>
        <v/>
      </c>
      <c r="AC151" t="str">
        <f t="shared" si="52"/>
        <v/>
      </c>
      <c r="AD151">
        <f t="shared" si="53"/>
        <v>0</v>
      </c>
    </row>
    <row r="152" spans="1:30" ht="15" customHeight="1" x14ac:dyDescent="0.35">
      <c r="A152" s="2"/>
      <c r="B152" s="3"/>
      <c r="C152" s="4"/>
      <c r="D152" s="5"/>
      <c r="E152" s="11" t="str">
        <f t="shared" ca="1" si="36"/>
        <v/>
      </c>
      <c r="F152" s="5"/>
      <c r="G152" s="6" t="str">
        <f>IF(AND($A152&lt;&gt;"",$B152&lt;&gt;"",$C152&lt;&gt;"",$D152&lt;&gt;""),IF(OR($B152="SER",$B152="PLH",$B152="CSF"),"Control CDI Plate "&amp;(INT(((COUNTIFS($B$2:$B152,"SER")+COUNTIFS($B$2:$B152,"PLH")+COUNTIFS($B$2:$B152,"CSF"))-1)/96)+1)&amp;": "&amp;CHAR(65+INT(MOD((COUNTIFS($B$2:$B152,"SER")+COUNTIFS($B$2:$B152,"PLH")+COUNTIFS($B$2:$B152,"CSF"))-1,96)/12))&amp;(MOD((COUNTIFS($B$2:$B152,"SER")+COUNTIFS($B$2:$B152,"PLH")+COUNTIFS($B$2:$B152,"CSF"))-1,12)+1),"N/A"),"")</f>
        <v/>
      </c>
      <c r="H152" s="6" t="str">
        <f>IF(AND($A152&lt;&gt;"",$B152&lt;&gt;"",$C152&lt;&gt;"",$D152&lt;&gt;""),IF(OR($B152="SER",$B152="PLH",$B152="CSF"),"Control NIH Plate "&amp;(INT(((COUNTIFS($B$2:$B152,"SER")+COUNTIFS($B$2:$B152,"PLH")+COUNTIFS($B$2:$B152,"CSF"))-1)/96)+1)&amp;": "&amp;CHAR(65+INT(MOD((COUNTIFS($B$2:$B152,"SER")+COUNTIFS($B$2:$B152,"PLH")+COUNTIFS($B$2:$B152,"CSF"))-1,96)/12))&amp;(MOD((COUNTIFS($B$2:$B152,"SER")+COUNTIFS($B$2:$B152,"PLH")+COUNTIFS($B$2:$B152,"CSF"))-1,12)+1),"N/A"),"")</f>
        <v/>
      </c>
      <c r="I152" s="6" t="str">
        <f>IF(AND($A152&lt;&gt;"",$B152&lt;&gt;"",$C152&lt;&gt;"",$D152&lt;&gt;""),IF(OR($B152="SER",$B152="PLH"),"Control MAX Planck Plate "&amp;(INT(((COUNTIFS($B$2:$B152,"SER")+COUNTIFS($B$2:$B152,"PLH"))-1)/96)+1)&amp;": "&amp;CHAR(65+INT(MOD((COUNTIFS($B$2:$B152,"SER")+COUNTIFS($B$2:$B152,"PLH"))-1,96)/12))&amp;(MOD((COUNTIFS($B$2:$B152,"SER")+COUNTIFS($B$2:$B152,"PLH"))-1,12)+1),"N/A"),"")</f>
        <v/>
      </c>
      <c r="J152" s="6" t="str">
        <f>IF(AND($A152&lt;&gt;"",$B152&lt;&gt;"",$C152&lt;&gt;"",$D152&lt;&gt;""),IF($B152="WB","Control WB Box "&amp;(INT((COUNTIFS($B$2:$B152,"WB")-1)/81)+1)&amp;": "&amp;CHAR(65+INT(MOD(COUNTIFS($B$2:$B152,"WB")-1,81)/9))&amp;(MOD(COUNTIFS($B$2:$B152,"WB")-1,9)+1),"N/A"),"")</f>
        <v/>
      </c>
      <c r="K152" s="3" t="str">
        <f t="shared" si="37"/>
        <v/>
      </c>
      <c r="L152" s="2"/>
      <c r="M152" s="2"/>
      <c r="N152" s="2"/>
      <c r="O152" s="7" t="str">
        <f t="shared" si="38"/>
        <v/>
      </c>
      <c r="P152" s="7" t="str">
        <f t="shared" si="39"/>
        <v/>
      </c>
      <c r="Q152" s="7" t="str">
        <f t="shared" si="40"/>
        <v/>
      </c>
      <c r="R152" s="7" t="str">
        <f t="shared" si="41"/>
        <v/>
      </c>
      <c r="S152" s="7" t="str">
        <f t="shared" si="42"/>
        <v/>
      </c>
      <c r="T152" s="7" t="str">
        <f t="shared" si="43"/>
        <v/>
      </c>
      <c r="U152" s="7" t="str">
        <f t="shared" si="44"/>
        <v/>
      </c>
      <c r="V152" s="7" t="str">
        <f t="shared" si="45"/>
        <v/>
      </c>
      <c r="W152" s="7" t="str">
        <f t="shared" si="46"/>
        <v/>
      </c>
      <c r="X152" s="7" t="str">
        <f t="shared" si="47"/>
        <v/>
      </c>
      <c r="Y152">
        <f t="shared" si="48"/>
        <v>0</v>
      </c>
      <c r="Z152" t="str">
        <f t="shared" si="49"/>
        <v/>
      </c>
      <c r="AA152" t="str">
        <f t="shared" si="50"/>
        <v/>
      </c>
      <c r="AB152" t="str">
        <f t="shared" si="51"/>
        <v/>
      </c>
      <c r="AC152" t="str">
        <f t="shared" si="52"/>
        <v/>
      </c>
      <c r="AD152">
        <f t="shared" si="53"/>
        <v>0</v>
      </c>
    </row>
    <row r="153" spans="1:30" ht="15" customHeight="1" x14ac:dyDescent="0.35">
      <c r="A153" s="2"/>
      <c r="B153" s="3"/>
      <c r="C153" s="4"/>
      <c r="D153" s="5"/>
      <c r="E153" s="11" t="str">
        <f t="shared" ca="1" si="36"/>
        <v/>
      </c>
      <c r="F153" s="5"/>
      <c r="G153" s="6" t="str">
        <f>IF(AND($A153&lt;&gt;"",$B153&lt;&gt;"",$C153&lt;&gt;"",$D153&lt;&gt;""),IF(OR($B153="SER",$B153="PLH",$B153="CSF"),"Control CDI Plate "&amp;(INT(((COUNTIFS($B$2:$B153,"SER")+COUNTIFS($B$2:$B153,"PLH")+COUNTIFS($B$2:$B153,"CSF"))-1)/96)+1)&amp;": "&amp;CHAR(65+INT(MOD((COUNTIFS($B$2:$B153,"SER")+COUNTIFS($B$2:$B153,"PLH")+COUNTIFS($B$2:$B153,"CSF"))-1,96)/12))&amp;(MOD((COUNTIFS($B$2:$B153,"SER")+COUNTIFS($B$2:$B153,"PLH")+COUNTIFS($B$2:$B153,"CSF"))-1,12)+1),"N/A"),"")</f>
        <v/>
      </c>
      <c r="H153" s="6" t="str">
        <f>IF(AND($A153&lt;&gt;"",$B153&lt;&gt;"",$C153&lt;&gt;"",$D153&lt;&gt;""),IF(OR($B153="SER",$B153="PLH",$B153="CSF"),"Control NIH Plate "&amp;(INT(((COUNTIFS($B$2:$B153,"SER")+COUNTIFS($B$2:$B153,"PLH")+COUNTIFS($B$2:$B153,"CSF"))-1)/96)+1)&amp;": "&amp;CHAR(65+INT(MOD((COUNTIFS($B$2:$B153,"SER")+COUNTIFS($B$2:$B153,"PLH")+COUNTIFS($B$2:$B153,"CSF"))-1,96)/12))&amp;(MOD((COUNTIFS($B$2:$B153,"SER")+COUNTIFS($B$2:$B153,"PLH")+COUNTIFS($B$2:$B153,"CSF"))-1,12)+1),"N/A"),"")</f>
        <v/>
      </c>
      <c r="I153" s="6" t="str">
        <f>IF(AND($A153&lt;&gt;"",$B153&lt;&gt;"",$C153&lt;&gt;"",$D153&lt;&gt;""),IF(OR($B153="SER",$B153="PLH"),"Control MAX Planck Plate "&amp;(INT(((COUNTIFS($B$2:$B153,"SER")+COUNTIFS($B$2:$B153,"PLH"))-1)/96)+1)&amp;": "&amp;CHAR(65+INT(MOD((COUNTIFS($B$2:$B153,"SER")+COUNTIFS($B$2:$B153,"PLH"))-1,96)/12))&amp;(MOD((COUNTIFS($B$2:$B153,"SER")+COUNTIFS($B$2:$B153,"PLH"))-1,12)+1),"N/A"),"")</f>
        <v/>
      </c>
      <c r="J153" s="6" t="str">
        <f>IF(AND($A153&lt;&gt;"",$B153&lt;&gt;"",$C153&lt;&gt;"",$D153&lt;&gt;""),IF($B153="WB","Control WB Box "&amp;(INT((COUNTIFS($B$2:$B153,"WB")-1)/81)+1)&amp;": "&amp;CHAR(65+INT(MOD(COUNTIFS($B$2:$B153,"WB")-1,81)/9))&amp;(MOD(COUNTIFS($B$2:$B153,"WB")-1,9)+1),"N/A"),"")</f>
        <v/>
      </c>
      <c r="K153" s="3" t="str">
        <f t="shared" si="37"/>
        <v/>
      </c>
      <c r="L153" s="2"/>
      <c r="M153" s="2"/>
      <c r="N153" s="2"/>
      <c r="O153" s="7" t="str">
        <f t="shared" si="38"/>
        <v/>
      </c>
      <c r="P153" s="7" t="str">
        <f t="shared" si="39"/>
        <v/>
      </c>
      <c r="Q153" s="7" t="str">
        <f t="shared" si="40"/>
        <v/>
      </c>
      <c r="R153" s="7" t="str">
        <f t="shared" si="41"/>
        <v/>
      </c>
      <c r="S153" s="7" t="str">
        <f t="shared" si="42"/>
        <v/>
      </c>
      <c r="T153" s="7" t="str">
        <f t="shared" si="43"/>
        <v/>
      </c>
      <c r="U153" s="7" t="str">
        <f t="shared" si="44"/>
        <v/>
      </c>
      <c r="V153" s="7" t="str">
        <f t="shared" si="45"/>
        <v/>
      </c>
      <c r="W153" s="7" t="str">
        <f t="shared" si="46"/>
        <v/>
      </c>
      <c r="X153" s="7" t="str">
        <f t="shared" si="47"/>
        <v/>
      </c>
      <c r="Y153">
        <f t="shared" si="48"/>
        <v>0</v>
      </c>
      <c r="Z153" t="str">
        <f t="shared" si="49"/>
        <v/>
      </c>
      <c r="AA153" t="str">
        <f t="shared" si="50"/>
        <v/>
      </c>
      <c r="AB153" t="str">
        <f t="shared" si="51"/>
        <v/>
      </c>
      <c r="AC153" t="str">
        <f t="shared" si="52"/>
        <v/>
      </c>
      <c r="AD153">
        <f t="shared" si="53"/>
        <v>0</v>
      </c>
    </row>
    <row r="154" spans="1:30" ht="15" customHeight="1" x14ac:dyDescent="0.35">
      <c r="A154" s="2"/>
      <c r="B154" s="3"/>
      <c r="C154" s="4"/>
      <c r="D154" s="5"/>
      <c r="E154" s="11" t="str">
        <f t="shared" ca="1" si="36"/>
        <v/>
      </c>
      <c r="F154" s="5"/>
      <c r="G154" s="6" t="str">
        <f>IF(AND($A154&lt;&gt;"",$B154&lt;&gt;"",$C154&lt;&gt;"",$D154&lt;&gt;""),IF(OR($B154="SER",$B154="PLH",$B154="CSF"),"Control CDI Plate "&amp;(INT(((COUNTIFS($B$2:$B154,"SER")+COUNTIFS($B$2:$B154,"PLH")+COUNTIFS($B$2:$B154,"CSF"))-1)/96)+1)&amp;": "&amp;CHAR(65+INT(MOD((COUNTIFS($B$2:$B154,"SER")+COUNTIFS($B$2:$B154,"PLH")+COUNTIFS($B$2:$B154,"CSF"))-1,96)/12))&amp;(MOD((COUNTIFS($B$2:$B154,"SER")+COUNTIFS($B$2:$B154,"PLH")+COUNTIFS($B$2:$B154,"CSF"))-1,12)+1),"N/A"),"")</f>
        <v/>
      </c>
      <c r="H154" s="6" t="str">
        <f>IF(AND($A154&lt;&gt;"",$B154&lt;&gt;"",$C154&lt;&gt;"",$D154&lt;&gt;""),IF(OR($B154="SER",$B154="PLH",$B154="CSF"),"Control NIH Plate "&amp;(INT(((COUNTIFS($B$2:$B154,"SER")+COUNTIFS($B$2:$B154,"PLH")+COUNTIFS($B$2:$B154,"CSF"))-1)/96)+1)&amp;": "&amp;CHAR(65+INT(MOD((COUNTIFS($B$2:$B154,"SER")+COUNTIFS($B$2:$B154,"PLH")+COUNTIFS($B$2:$B154,"CSF"))-1,96)/12))&amp;(MOD((COUNTIFS($B$2:$B154,"SER")+COUNTIFS($B$2:$B154,"PLH")+COUNTIFS($B$2:$B154,"CSF"))-1,12)+1),"N/A"),"")</f>
        <v/>
      </c>
      <c r="I154" s="6" t="str">
        <f>IF(AND($A154&lt;&gt;"",$B154&lt;&gt;"",$C154&lt;&gt;"",$D154&lt;&gt;""),IF(OR($B154="SER",$B154="PLH"),"Control MAX Planck Plate "&amp;(INT(((COUNTIFS($B$2:$B154,"SER")+COUNTIFS($B$2:$B154,"PLH"))-1)/96)+1)&amp;": "&amp;CHAR(65+INT(MOD((COUNTIFS($B$2:$B154,"SER")+COUNTIFS($B$2:$B154,"PLH"))-1,96)/12))&amp;(MOD((COUNTIFS($B$2:$B154,"SER")+COUNTIFS($B$2:$B154,"PLH"))-1,12)+1),"N/A"),"")</f>
        <v/>
      </c>
      <c r="J154" s="6" t="str">
        <f>IF(AND($A154&lt;&gt;"",$B154&lt;&gt;"",$C154&lt;&gt;"",$D154&lt;&gt;""),IF($B154="WB","Control WB Box "&amp;(INT((COUNTIFS($B$2:$B154,"WB")-1)/81)+1)&amp;": "&amp;CHAR(65+INT(MOD(COUNTIFS($B$2:$B154,"WB")-1,81)/9))&amp;(MOD(COUNTIFS($B$2:$B154,"WB")-1,9)+1),"N/A"),"")</f>
        <v/>
      </c>
      <c r="K154" s="3" t="str">
        <f t="shared" si="37"/>
        <v/>
      </c>
      <c r="L154" s="2"/>
      <c r="M154" s="2"/>
      <c r="N154" s="2"/>
      <c r="O154" s="7" t="str">
        <f t="shared" si="38"/>
        <v/>
      </c>
      <c r="P154" s="7" t="str">
        <f t="shared" si="39"/>
        <v/>
      </c>
      <c r="Q154" s="7" t="str">
        <f t="shared" si="40"/>
        <v/>
      </c>
      <c r="R154" s="7" t="str">
        <f t="shared" si="41"/>
        <v/>
      </c>
      <c r="S154" s="7" t="str">
        <f t="shared" si="42"/>
        <v/>
      </c>
      <c r="T154" s="7" t="str">
        <f t="shared" si="43"/>
        <v/>
      </c>
      <c r="U154" s="7" t="str">
        <f t="shared" si="44"/>
        <v/>
      </c>
      <c r="V154" s="7" t="str">
        <f t="shared" si="45"/>
        <v/>
      </c>
      <c r="W154" s="7" t="str">
        <f t="shared" si="46"/>
        <v/>
      </c>
      <c r="X154" s="7" t="str">
        <f t="shared" si="47"/>
        <v/>
      </c>
      <c r="Y154">
        <f t="shared" si="48"/>
        <v>0</v>
      </c>
      <c r="Z154" t="str">
        <f t="shared" si="49"/>
        <v/>
      </c>
      <c r="AA154" t="str">
        <f t="shared" si="50"/>
        <v/>
      </c>
      <c r="AB154" t="str">
        <f t="shared" si="51"/>
        <v/>
      </c>
      <c r="AC154" t="str">
        <f t="shared" si="52"/>
        <v/>
      </c>
      <c r="AD154">
        <f t="shared" si="53"/>
        <v>0</v>
      </c>
    </row>
    <row r="155" spans="1:30" ht="15" customHeight="1" x14ac:dyDescent="0.35">
      <c r="A155" s="2"/>
      <c r="B155" s="3"/>
      <c r="C155" s="4"/>
      <c r="D155" s="5"/>
      <c r="E155" s="11" t="str">
        <f t="shared" ca="1" si="36"/>
        <v/>
      </c>
      <c r="F155" s="5"/>
      <c r="G155" s="6" t="str">
        <f>IF(AND($A155&lt;&gt;"",$B155&lt;&gt;"",$C155&lt;&gt;"",$D155&lt;&gt;""),IF(OR($B155="SER",$B155="PLH",$B155="CSF"),"Control CDI Plate "&amp;(INT(((COUNTIFS($B$2:$B155,"SER")+COUNTIFS($B$2:$B155,"PLH")+COUNTIFS($B$2:$B155,"CSF"))-1)/96)+1)&amp;": "&amp;CHAR(65+INT(MOD((COUNTIFS($B$2:$B155,"SER")+COUNTIFS($B$2:$B155,"PLH")+COUNTIFS($B$2:$B155,"CSF"))-1,96)/12))&amp;(MOD((COUNTIFS($B$2:$B155,"SER")+COUNTIFS($B$2:$B155,"PLH")+COUNTIFS($B$2:$B155,"CSF"))-1,12)+1),"N/A"),"")</f>
        <v/>
      </c>
      <c r="H155" s="6" t="str">
        <f>IF(AND($A155&lt;&gt;"",$B155&lt;&gt;"",$C155&lt;&gt;"",$D155&lt;&gt;""),IF(OR($B155="SER",$B155="PLH",$B155="CSF"),"Control NIH Plate "&amp;(INT(((COUNTIFS($B$2:$B155,"SER")+COUNTIFS($B$2:$B155,"PLH")+COUNTIFS($B$2:$B155,"CSF"))-1)/96)+1)&amp;": "&amp;CHAR(65+INT(MOD((COUNTIFS($B$2:$B155,"SER")+COUNTIFS($B$2:$B155,"PLH")+COUNTIFS($B$2:$B155,"CSF"))-1,96)/12))&amp;(MOD((COUNTIFS($B$2:$B155,"SER")+COUNTIFS($B$2:$B155,"PLH")+COUNTIFS($B$2:$B155,"CSF"))-1,12)+1),"N/A"),"")</f>
        <v/>
      </c>
      <c r="I155" s="6" t="str">
        <f>IF(AND($A155&lt;&gt;"",$B155&lt;&gt;"",$C155&lt;&gt;"",$D155&lt;&gt;""),IF(OR($B155="SER",$B155="PLH"),"Control MAX Planck Plate "&amp;(INT(((COUNTIFS($B$2:$B155,"SER")+COUNTIFS($B$2:$B155,"PLH"))-1)/96)+1)&amp;": "&amp;CHAR(65+INT(MOD((COUNTIFS($B$2:$B155,"SER")+COUNTIFS($B$2:$B155,"PLH"))-1,96)/12))&amp;(MOD((COUNTIFS($B$2:$B155,"SER")+COUNTIFS($B$2:$B155,"PLH"))-1,12)+1),"N/A"),"")</f>
        <v/>
      </c>
      <c r="J155" s="6" t="str">
        <f>IF(AND($A155&lt;&gt;"",$B155&lt;&gt;"",$C155&lt;&gt;"",$D155&lt;&gt;""),IF($B155="WB","Control WB Box "&amp;(INT((COUNTIFS($B$2:$B155,"WB")-1)/81)+1)&amp;": "&amp;CHAR(65+INT(MOD(COUNTIFS($B$2:$B155,"WB")-1,81)/9))&amp;(MOD(COUNTIFS($B$2:$B155,"WB")-1,9)+1),"N/A"),"")</f>
        <v/>
      </c>
      <c r="K155" s="3" t="str">
        <f t="shared" si="37"/>
        <v/>
      </c>
      <c r="L155" s="2"/>
      <c r="M155" s="2"/>
      <c r="N155" s="2"/>
      <c r="O155" s="7" t="str">
        <f t="shared" si="38"/>
        <v/>
      </c>
      <c r="P155" s="7" t="str">
        <f t="shared" si="39"/>
        <v/>
      </c>
      <c r="Q155" s="7" t="str">
        <f t="shared" si="40"/>
        <v/>
      </c>
      <c r="R155" s="7" t="str">
        <f t="shared" si="41"/>
        <v/>
      </c>
      <c r="S155" s="7" t="str">
        <f t="shared" si="42"/>
        <v/>
      </c>
      <c r="T155" s="7" t="str">
        <f t="shared" si="43"/>
        <v/>
      </c>
      <c r="U155" s="7" t="str">
        <f t="shared" si="44"/>
        <v/>
      </c>
      <c r="V155" s="7" t="str">
        <f t="shared" si="45"/>
        <v/>
      </c>
      <c r="W155" s="7" t="str">
        <f t="shared" si="46"/>
        <v/>
      </c>
      <c r="X155" s="7" t="str">
        <f t="shared" si="47"/>
        <v/>
      </c>
      <c r="Y155">
        <f t="shared" si="48"/>
        <v>0</v>
      </c>
      <c r="Z155" t="str">
        <f t="shared" si="49"/>
        <v/>
      </c>
      <c r="AA155" t="str">
        <f t="shared" si="50"/>
        <v/>
      </c>
      <c r="AB155" t="str">
        <f t="shared" si="51"/>
        <v/>
      </c>
      <c r="AC155" t="str">
        <f t="shared" si="52"/>
        <v/>
      </c>
      <c r="AD155">
        <f t="shared" si="53"/>
        <v>0</v>
      </c>
    </row>
    <row r="156" spans="1:30" ht="15" customHeight="1" x14ac:dyDescent="0.35">
      <c r="A156" s="2"/>
      <c r="B156" s="3"/>
      <c r="C156" s="4"/>
      <c r="D156" s="5"/>
      <c r="E156" s="11" t="str">
        <f t="shared" ca="1" si="36"/>
        <v/>
      </c>
      <c r="F156" s="5"/>
      <c r="G156" s="6" t="str">
        <f>IF(AND($A156&lt;&gt;"",$B156&lt;&gt;"",$C156&lt;&gt;"",$D156&lt;&gt;""),IF(OR($B156="SER",$B156="PLH",$B156="CSF"),"Control CDI Plate "&amp;(INT(((COUNTIFS($B$2:$B156,"SER")+COUNTIFS($B$2:$B156,"PLH")+COUNTIFS($B$2:$B156,"CSF"))-1)/96)+1)&amp;": "&amp;CHAR(65+INT(MOD((COUNTIFS($B$2:$B156,"SER")+COUNTIFS($B$2:$B156,"PLH")+COUNTIFS($B$2:$B156,"CSF"))-1,96)/12))&amp;(MOD((COUNTIFS($B$2:$B156,"SER")+COUNTIFS($B$2:$B156,"PLH")+COUNTIFS($B$2:$B156,"CSF"))-1,12)+1),"N/A"),"")</f>
        <v/>
      </c>
      <c r="H156" s="6" t="str">
        <f>IF(AND($A156&lt;&gt;"",$B156&lt;&gt;"",$C156&lt;&gt;"",$D156&lt;&gt;""),IF(OR($B156="SER",$B156="PLH",$B156="CSF"),"Control NIH Plate "&amp;(INT(((COUNTIFS($B$2:$B156,"SER")+COUNTIFS($B$2:$B156,"PLH")+COUNTIFS($B$2:$B156,"CSF"))-1)/96)+1)&amp;": "&amp;CHAR(65+INT(MOD((COUNTIFS($B$2:$B156,"SER")+COUNTIFS($B$2:$B156,"PLH")+COUNTIFS($B$2:$B156,"CSF"))-1,96)/12))&amp;(MOD((COUNTIFS($B$2:$B156,"SER")+COUNTIFS($B$2:$B156,"PLH")+COUNTIFS($B$2:$B156,"CSF"))-1,12)+1),"N/A"),"")</f>
        <v/>
      </c>
      <c r="I156" s="6" t="str">
        <f>IF(AND($A156&lt;&gt;"",$B156&lt;&gt;"",$C156&lt;&gt;"",$D156&lt;&gt;""),IF(OR($B156="SER",$B156="PLH"),"Control MAX Planck Plate "&amp;(INT(((COUNTIFS($B$2:$B156,"SER")+COUNTIFS($B$2:$B156,"PLH"))-1)/96)+1)&amp;": "&amp;CHAR(65+INT(MOD((COUNTIFS($B$2:$B156,"SER")+COUNTIFS($B$2:$B156,"PLH"))-1,96)/12))&amp;(MOD((COUNTIFS($B$2:$B156,"SER")+COUNTIFS($B$2:$B156,"PLH"))-1,12)+1),"N/A"),"")</f>
        <v/>
      </c>
      <c r="J156" s="6" t="str">
        <f>IF(AND($A156&lt;&gt;"",$B156&lt;&gt;"",$C156&lt;&gt;"",$D156&lt;&gt;""),IF($B156="WB","Control WB Box "&amp;(INT((COUNTIFS($B$2:$B156,"WB")-1)/81)+1)&amp;": "&amp;CHAR(65+INT(MOD(COUNTIFS($B$2:$B156,"WB")-1,81)/9))&amp;(MOD(COUNTIFS($B$2:$B156,"WB")-1,9)+1),"N/A"),"")</f>
        <v/>
      </c>
      <c r="K156" s="3" t="str">
        <f t="shared" si="37"/>
        <v/>
      </c>
      <c r="L156" s="2"/>
      <c r="M156" s="2"/>
      <c r="N156" s="2"/>
      <c r="O156" s="7" t="str">
        <f t="shared" si="38"/>
        <v/>
      </c>
      <c r="P156" s="7" t="str">
        <f t="shared" si="39"/>
        <v/>
      </c>
      <c r="Q156" s="7" t="str">
        <f t="shared" si="40"/>
        <v/>
      </c>
      <c r="R156" s="7" t="str">
        <f t="shared" si="41"/>
        <v/>
      </c>
      <c r="S156" s="7" t="str">
        <f t="shared" si="42"/>
        <v/>
      </c>
      <c r="T156" s="7" t="str">
        <f t="shared" si="43"/>
        <v/>
      </c>
      <c r="U156" s="7" t="str">
        <f t="shared" si="44"/>
        <v/>
      </c>
      <c r="V156" s="7" t="str">
        <f t="shared" si="45"/>
        <v/>
      </c>
      <c r="W156" s="7" t="str">
        <f t="shared" si="46"/>
        <v/>
      </c>
      <c r="X156" s="7" t="str">
        <f t="shared" si="47"/>
        <v/>
      </c>
      <c r="Y156">
        <f t="shared" si="48"/>
        <v>0</v>
      </c>
      <c r="Z156" t="str">
        <f t="shared" si="49"/>
        <v/>
      </c>
      <c r="AA156" t="str">
        <f t="shared" si="50"/>
        <v/>
      </c>
      <c r="AB156" t="str">
        <f t="shared" si="51"/>
        <v/>
      </c>
      <c r="AC156" t="str">
        <f t="shared" si="52"/>
        <v/>
      </c>
      <c r="AD156">
        <f t="shared" si="53"/>
        <v>0</v>
      </c>
    </row>
    <row r="157" spans="1:30" ht="15" customHeight="1" x14ac:dyDescent="0.35">
      <c r="A157" s="2"/>
      <c r="B157" s="3"/>
      <c r="C157" s="4"/>
      <c r="D157" s="5"/>
      <c r="E157" s="11" t="str">
        <f t="shared" ca="1" si="36"/>
        <v/>
      </c>
      <c r="F157" s="5"/>
      <c r="G157" s="6" t="str">
        <f>IF(AND($A157&lt;&gt;"",$B157&lt;&gt;"",$C157&lt;&gt;"",$D157&lt;&gt;""),IF(OR($B157="SER",$B157="PLH",$B157="CSF"),"Control CDI Plate "&amp;(INT(((COUNTIFS($B$2:$B157,"SER")+COUNTIFS($B$2:$B157,"PLH")+COUNTIFS($B$2:$B157,"CSF"))-1)/96)+1)&amp;": "&amp;CHAR(65+INT(MOD((COUNTIFS($B$2:$B157,"SER")+COUNTIFS($B$2:$B157,"PLH")+COUNTIFS($B$2:$B157,"CSF"))-1,96)/12))&amp;(MOD((COUNTIFS($B$2:$B157,"SER")+COUNTIFS($B$2:$B157,"PLH")+COUNTIFS($B$2:$B157,"CSF"))-1,12)+1),"N/A"),"")</f>
        <v/>
      </c>
      <c r="H157" s="6" t="str">
        <f>IF(AND($A157&lt;&gt;"",$B157&lt;&gt;"",$C157&lt;&gt;"",$D157&lt;&gt;""),IF(OR($B157="SER",$B157="PLH",$B157="CSF"),"Control NIH Plate "&amp;(INT(((COUNTIFS($B$2:$B157,"SER")+COUNTIFS($B$2:$B157,"PLH")+COUNTIFS($B$2:$B157,"CSF"))-1)/96)+1)&amp;": "&amp;CHAR(65+INT(MOD((COUNTIFS($B$2:$B157,"SER")+COUNTIFS($B$2:$B157,"PLH")+COUNTIFS($B$2:$B157,"CSF"))-1,96)/12))&amp;(MOD((COUNTIFS($B$2:$B157,"SER")+COUNTIFS($B$2:$B157,"PLH")+COUNTIFS($B$2:$B157,"CSF"))-1,12)+1),"N/A"),"")</f>
        <v/>
      </c>
      <c r="I157" s="6" t="str">
        <f>IF(AND($A157&lt;&gt;"",$B157&lt;&gt;"",$C157&lt;&gt;"",$D157&lt;&gt;""),IF(OR($B157="SER",$B157="PLH"),"Control MAX Planck Plate "&amp;(INT(((COUNTIFS($B$2:$B157,"SER")+COUNTIFS($B$2:$B157,"PLH"))-1)/96)+1)&amp;": "&amp;CHAR(65+INT(MOD((COUNTIFS($B$2:$B157,"SER")+COUNTIFS($B$2:$B157,"PLH"))-1,96)/12))&amp;(MOD((COUNTIFS($B$2:$B157,"SER")+COUNTIFS($B$2:$B157,"PLH"))-1,12)+1),"N/A"),"")</f>
        <v/>
      </c>
      <c r="J157" s="6" t="str">
        <f>IF(AND($A157&lt;&gt;"",$B157&lt;&gt;"",$C157&lt;&gt;"",$D157&lt;&gt;""),IF($B157="WB","Control WB Box "&amp;(INT((COUNTIFS($B$2:$B157,"WB")-1)/81)+1)&amp;": "&amp;CHAR(65+INT(MOD(COUNTIFS($B$2:$B157,"WB")-1,81)/9))&amp;(MOD(COUNTIFS($B$2:$B157,"WB")-1,9)+1),"N/A"),"")</f>
        <v/>
      </c>
      <c r="K157" s="3" t="str">
        <f t="shared" si="37"/>
        <v/>
      </c>
      <c r="L157" s="2"/>
      <c r="M157" s="2"/>
      <c r="N157" s="2"/>
      <c r="O157" s="7" t="str">
        <f t="shared" si="38"/>
        <v/>
      </c>
      <c r="P157" s="7" t="str">
        <f t="shared" si="39"/>
        <v/>
      </c>
      <c r="Q157" s="7" t="str">
        <f t="shared" si="40"/>
        <v/>
      </c>
      <c r="R157" s="7" t="str">
        <f t="shared" si="41"/>
        <v/>
      </c>
      <c r="S157" s="7" t="str">
        <f t="shared" si="42"/>
        <v/>
      </c>
      <c r="T157" s="7" t="str">
        <f t="shared" si="43"/>
        <v/>
      </c>
      <c r="U157" s="7" t="str">
        <f t="shared" si="44"/>
        <v/>
      </c>
      <c r="V157" s="7" t="str">
        <f t="shared" si="45"/>
        <v/>
      </c>
      <c r="W157" s="7" t="str">
        <f t="shared" si="46"/>
        <v/>
      </c>
      <c r="X157" s="7" t="str">
        <f t="shared" si="47"/>
        <v/>
      </c>
      <c r="Y157">
        <f t="shared" si="48"/>
        <v>0</v>
      </c>
      <c r="Z157" t="str">
        <f t="shared" si="49"/>
        <v/>
      </c>
      <c r="AA157" t="str">
        <f t="shared" si="50"/>
        <v/>
      </c>
      <c r="AB157" t="str">
        <f t="shared" si="51"/>
        <v/>
      </c>
      <c r="AC157" t="str">
        <f t="shared" si="52"/>
        <v/>
      </c>
      <c r="AD157">
        <f t="shared" si="53"/>
        <v>0</v>
      </c>
    </row>
    <row r="158" spans="1:30" ht="15" customHeight="1" x14ac:dyDescent="0.35">
      <c r="A158" s="2"/>
      <c r="B158" s="3"/>
      <c r="C158" s="4"/>
      <c r="D158" s="5"/>
      <c r="E158" s="11" t="str">
        <f t="shared" ca="1" si="36"/>
        <v/>
      </c>
      <c r="F158" s="5"/>
      <c r="G158" s="6" t="str">
        <f>IF(AND($A158&lt;&gt;"",$B158&lt;&gt;"",$C158&lt;&gt;"",$D158&lt;&gt;""),IF(OR($B158="SER",$B158="PLH",$B158="CSF"),"Control CDI Plate "&amp;(INT(((COUNTIFS($B$2:$B158,"SER")+COUNTIFS($B$2:$B158,"PLH")+COUNTIFS($B$2:$B158,"CSF"))-1)/96)+1)&amp;": "&amp;CHAR(65+INT(MOD((COUNTIFS($B$2:$B158,"SER")+COUNTIFS($B$2:$B158,"PLH")+COUNTIFS($B$2:$B158,"CSF"))-1,96)/12))&amp;(MOD((COUNTIFS($B$2:$B158,"SER")+COUNTIFS($B$2:$B158,"PLH")+COUNTIFS($B$2:$B158,"CSF"))-1,12)+1),"N/A"),"")</f>
        <v/>
      </c>
      <c r="H158" s="6" t="str">
        <f>IF(AND($A158&lt;&gt;"",$B158&lt;&gt;"",$C158&lt;&gt;"",$D158&lt;&gt;""),IF(OR($B158="SER",$B158="PLH",$B158="CSF"),"Control NIH Plate "&amp;(INT(((COUNTIFS($B$2:$B158,"SER")+COUNTIFS($B$2:$B158,"PLH")+COUNTIFS($B$2:$B158,"CSF"))-1)/96)+1)&amp;": "&amp;CHAR(65+INT(MOD((COUNTIFS($B$2:$B158,"SER")+COUNTIFS($B$2:$B158,"PLH")+COUNTIFS($B$2:$B158,"CSF"))-1,96)/12))&amp;(MOD((COUNTIFS($B$2:$B158,"SER")+COUNTIFS($B$2:$B158,"PLH")+COUNTIFS($B$2:$B158,"CSF"))-1,12)+1),"N/A"),"")</f>
        <v/>
      </c>
      <c r="I158" s="6" t="str">
        <f>IF(AND($A158&lt;&gt;"",$B158&lt;&gt;"",$C158&lt;&gt;"",$D158&lt;&gt;""),IF(OR($B158="SER",$B158="PLH"),"Control MAX Planck Plate "&amp;(INT(((COUNTIFS($B$2:$B158,"SER")+COUNTIFS($B$2:$B158,"PLH"))-1)/96)+1)&amp;": "&amp;CHAR(65+INT(MOD((COUNTIFS($B$2:$B158,"SER")+COUNTIFS($B$2:$B158,"PLH"))-1,96)/12))&amp;(MOD((COUNTIFS($B$2:$B158,"SER")+COUNTIFS($B$2:$B158,"PLH"))-1,12)+1),"N/A"),"")</f>
        <v/>
      </c>
      <c r="J158" s="6" t="str">
        <f>IF(AND($A158&lt;&gt;"",$B158&lt;&gt;"",$C158&lt;&gt;"",$D158&lt;&gt;""),IF($B158="WB","Control WB Box "&amp;(INT((COUNTIFS($B$2:$B158,"WB")-1)/81)+1)&amp;": "&amp;CHAR(65+INT(MOD(COUNTIFS($B$2:$B158,"WB")-1,81)/9))&amp;(MOD(COUNTIFS($B$2:$B158,"WB")-1,9)+1),"N/A"),"")</f>
        <v/>
      </c>
      <c r="K158" s="3" t="str">
        <f t="shared" si="37"/>
        <v/>
      </c>
      <c r="L158" s="2"/>
      <c r="M158" s="2"/>
      <c r="N158" s="2"/>
      <c r="O158" s="7" t="str">
        <f t="shared" si="38"/>
        <v/>
      </c>
      <c r="P158" s="7" t="str">
        <f t="shared" si="39"/>
        <v/>
      </c>
      <c r="Q158" s="7" t="str">
        <f t="shared" si="40"/>
        <v/>
      </c>
      <c r="R158" s="7" t="str">
        <f t="shared" si="41"/>
        <v/>
      </c>
      <c r="S158" s="7" t="str">
        <f t="shared" si="42"/>
        <v/>
      </c>
      <c r="T158" s="7" t="str">
        <f t="shared" si="43"/>
        <v/>
      </c>
      <c r="U158" s="7" t="str">
        <f t="shared" si="44"/>
        <v/>
      </c>
      <c r="V158" s="7" t="str">
        <f t="shared" si="45"/>
        <v/>
      </c>
      <c r="W158" s="7" t="str">
        <f t="shared" si="46"/>
        <v/>
      </c>
      <c r="X158" s="7" t="str">
        <f t="shared" si="47"/>
        <v/>
      </c>
      <c r="Y158">
        <f t="shared" si="48"/>
        <v>0</v>
      </c>
      <c r="Z158" t="str">
        <f t="shared" si="49"/>
        <v/>
      </c>
      <c r="AA158" t="str">
        <f t="shared" si="50"/>
        <v/>
      </c>
      <c r="AB158" t="str">
        <f t="shared" si="51"/>
        <v/>
      </c>
      <c r="AC158" t="str">
        <f t="shared" si="52"/>
        <v/>
      </c>
      <c r="AD158">
        <f t="shared" si="53"/>
        <v>0</v>
      </c>
    </row>
    <row r="159" spans="1:30" ht="15" customHeight="1" x14ac:dyDescent="0.35">
      <c r="A159" s="2"/>
      <c r="B159" s="3"/>
      <c r="C159" s="4"/>
      <c r="D159" s="5"/>
      <c r="E159" s="11" t="str">
        <f t="shared" ca="1" si="36"/>
        <v/>
      </c>
      <c r="F159" s="5"/>
      <c r="G159" s="6" t="str">
        <f>IF(AND($A159&lt;&gt;"",$B159&lt;&gt;"",$C159&lt;&gt;"",$D159&lt;&gt;""),IF(OR($B159="SER",$B159="PLH",$B159="CSF"),"Control CDI Plate "&amp;(INT(((COUNTIFS($B$2:$B159,"SER")+COUNTIFS($B$2:$B159,"PLH")+COUNTIFS($B$2:$B159,"CSF"))-1)/96)+1)&amp;": "&amp;CHAR(65+INT(MOD((COUNTIFS($B$2:$B159,"SER")+COUNTIFS($B$2:$B159,"PLH")+COUNTIFS($B$2:$B159,"CSF"))-1,96)/12))&amp;(MOD((COUNTIFS($B$2:$B159,"SER")+COUNTIFS($B$2:$B159,"PLH")+COUNTIFS($B$2:$B159,"CSF"))-1,12)+1),"N/A"),"")</f>
        <v/>
      </c>
      <c r="H159" s="6" t="str">
        <f>IF(AND($A159&lt;&gt;"",$B159&lt;&gt;"",$C159&lt;&gt;"",$D159&lt;&gt;""),IF(OR($B159="SER",$B159="PLH",$B159="CSF"),"Control NIH Plate "&amp;(INT(((COUNTIFS($B$2:$B159,"SER")+COUNTIFS($B$2:$B159,"PLH")+COUNTIFS($B$2:$B159,"CSF"))-1)/96)+1)&amp;": "&amp;CHAR(65+INT(MOD((COUNTIFS($B$2:$B159,"SER")+COUNTIFS($B$2:$B159,"PLH")+COUNTIFS($B$2:$B159,"CSF"))-1,96)/12))&amp;(MOD((COUNTIFS($B$2:$B159,"SER")+COUNTIFS($B$2:$B159,"PLH")+COUNTIFS($B$2:$B159,"CSF"))-1,12)+1),"N/A"),"")</f>
        <v/>
      </c>
      <c r="I159" s="6" t="str">
        <f>IF(AND($A159&lt;&gt;"",$B159&lt;&gt;"",$C159&lt;&gt;"",$D159&lt;&gt;""),IF(OR($B159="SER",$B159="PLH"),"Control MAX Planck Plate "&amp;(INT(((COUNTIFS($B$2:$B159,"SER")+COUNTIFS($B$2:$B159,"PLH"))-1)/96)+1)&amp;": "&amp;CHAR(65+INT(MOD((COUNTIFS($B$2:$B159,"SER")+COUNTIFS($B$2:$B159,"PLH"))-1,96)/12))&amp;(MOD((COUNTIFS($B$2:$B159,"SER")+COUNTIFS($B$2:$B159,"PLH"))-1,12)+1),"N/A"),"")</f>
        <v/>
      </c>
      <c r="J159" s="6" t="str">
        <f>IF(AND($A159&lt;&gt;"",$B159&lt;&gt;"",$C159&lt;&gt;"",$D159&lt;&gt;""),IF($B159="WB","Control WB Box "&amp;(INT((COUNTIFS($B$2:$B159,"WB")-1)/81)+1)&amp;": "&amp;CHAR(65+INT(MOD(COUNTIFS($B$2:$B159,"WB")-1,81)/9))&amp;(MOD(COUNTIFS($B$2:$B159,"WB")-1,9)+1),"N/A"),"")</f>
        <v/>
      </c>
      <c r="K159" s="3" t="str">
        <f t="shared" si="37"/>
        <v/>
      </c>
      <c r="L159" s="2"/>
      <c r="M159" s="2"/>
      <c r="N159" s="2"/>
      <c r="O159" s="7" t="str">
        <f t="shared" si="38"/>
        <v/>
      </c>
      <c r="P159" s="7" t="str">
        <f t="shared" si="39"/>
        <v/>
      </c>
      <c r="Q159" s="7" t="str">
        <f t="shared" si="40"/>
        <v/>
      </c>
      <c r="R159" s="7" t="str">
        <f t="shared" si="41"/>
        <v/>
      </c>
      <c r="S159" s="7" t="str">
        <f t="shared" si="42"/>
        <v/>
      </c>
      <c r="T159" s="7" t="str">
        <f t="shared" si="43"/>
        <v/>
      </c>
      <c r="U159" s="7" t="str">
        <f t="shared" si="44"/>
        <v/>
      </c>
      <c r="V159" s="7" t="str">
        <f t="shared" si="45"/>
        <v/>
      </c>
      <c r="W159" s="7" t="str">
        <f t="shared" si="46"/>
        <v/>
      </c>
      <c r="X159" s="7" t="str">
        <f t="shared" si="47"/>
        <v/>
      </c>
      <c r="Y159">
        <f t="shared" si="48"/>
        <v>0</v>
      </c>
      <c r="Z159" t="str">
        <f t="shared" si="49"/>
        <v/>
      </c>
      <c r="AA159" t="str">
        <f t="shared" si="50"/>
        <v/>
      </c>
      <c r="AB159" t="str">
        <f t="shared" si="51"/>
        <v/>
      </c>
      <c r="AC159" t="str">
        <f t="shared" si="52"/>
        <v/>
      </c>
      <c r="AD159">
        <f t="shared" si="53"/>
        <v>0</v>
      </c>
    </row>
    <row r="160" spans="1:30" ht="15" customHeight="1" x14ac:dyDescent="0.35">
      <c r="A160" s="2"/>
      <c r="B160" s="3"/>
      <c r="C160" s="4"/>
      <c r="D160" s="5"/>
      <c r="E160" s="11" t="str">
        <f t="shared" ca="1" si="36"/>
        <v/>
      </c>
      <c r="F160" s="5"/>
      <c r="G160" s="6" t="str">
        <f>IF(AND($A160&lt;&gt;"",$B160&lt;&gt;"",$C160&lt;&gt;"",$D160&lt;&gt;""),IF(OR($B160="SER",$B160="PLH",$B160="CSF"),"Control CDI Plate "&amp;(INT(((COUNTIFS($B$2:$B160,"SER")+COUNTIFS($B$2:$B160,"PLH")+COUNTIFS($B$2:$B160,"CSF"))-1)/96)+1)&amp;": "&amp;CHAR(65+INT(MOD((COUNTIFS($B$2:$B160,"SER")+COUNTIFS($B$2:$B160,"PLH")+COUNTIFS($B$2:$B160,"CSF"))-1,96)/12))&amp;(MOD((COUNTIFS($B$2:$B160,"SER")+COUNTIFS($B$2:$B160,"PLH")+COUNTIFS($B$2:$B160,"CSF"))-1,12)+1),"N/A"),"")</f>
        <v/>
      </c>
      <c r="H160" s="6" t="str">
        <f>IF(AND($A160&lt;&gt;"",$B160&lt;&gt;"",$C160&lt;&gt;"",$D160&lt;&gt;""),IF(OR($B160="SER",$B160="PLH",$B160="CSF"),"Control NIH Plate "&amp;(INT(((COUNTIFS($B$2:$B160,"SER")+COUNTIFS($B$2:$B160,"PLH")+COUNTIFS($B$2:$B160,"CSF"))-1)/96)+1)&amp;": "&amp;CHAR(65+INT(MOD((COUNTIFS($B$2:$B160,"SER")+COUNTIFS($B$2:$B160,"PLH")+COUNTIFS($B$2:$B160,"CSF"))-1,96)/12))&amp;(MOD((COUNTIFS($B$2:$B160,"SER")+COUNTIFS($B$2:$B160,"PLH")+COUNTIFS($B$2:$B160,"CSF"))-1,12)+1),"N/A"),"")</f>
        <v/>
      </c>
      <c r="I160" s="6" t="str">
        <f>IF(AND($A160&lt;&gt;"",$B160&lt;&gt;"",$C160&lt;&gt;"",$D160&lt;&gt;""),IF(OR($B160="SER",$B160="PLH"),"Control MAX Planck Plate "&amp;(INT(((COUNTIFS($B$2:$B160,"SER")+COUNTIFS($B$2:$B160,"PLH"))-1)/96)+1)&amp;": "&amp;CHAR(65+INT(MOD((COUNTIFS($B$2:$B160,"SER")+COUNTIFS($B$2:$B160,"PLH"))-1,96)/12))&amp;(MOD((COUNTIFS($B$2:$B160,"SER")+COUNTIFS($B$2:$B160,"PLH"))-1,12)+1),"N/A"),"")</f>
        <v/>
      </c>
      <c r="J160" s="6" t="str">
        <f>IF(AND($A160&lt;&gt;"",$B160&lt;&gt;"",$C160&lt;&gt;"",$D160&lt;&gt;""),IF($B160="WB","Control WB Box "&amp;(INT((COUNTIFS($B$2:$B160,"WB")-1)/81)+1)&amp;": "&amp;CHAR(65+INT(MOD(COUNTIFS($B$2:$B160,"WB")-1,81)/9))&amp;(MOD(COUNTIFS($B$2:$B160,"WB")-1,9)+1),"N/A"),"")</f>
        <v/>
      </c>
      <c r="K160" s="3" t="str">
        <f t="shared" si="37"/>
        <v/>
      </c>
      <c r="L160" s="2"/>
      <c r="M160" s="2"/>
      <c r="N160" s="2"/>
      <c r="O160" s="7" t="str">
        <f t="shared" si="38"/>
        <v/>
      </c>
      <c r="P160" s="7" t="str">
        <f t="shared" si="39"/>
        <v/>
      </c>
      <c r="Q160" s="7" t="str">
        <f t="shared" si="40"/>
        <v/>
      </c>
      <c r="R160" s="7" t="str">
        <f t="shared" si="41"/>
        <v/>
      </c>
      <c r="S160" s="7" t="str">
        <f t="shared" si="42"/>
        <v/>
      </c>
      <c r="T160" s="7" t="str">
        <f t="shared" si="43"/>
        <v/>
      </c>
      <c r="U160" s="7" t="str">
        <f t="shared" si="44"/>
        <v/>
      </c>
      <c r="V160" s="7" t="str">
        <f t="shared" si="45"/>
        <v/>
      </c>
      <c r="W160" s="7" t="str">
        <f t="shared" si="46"/>
        <v/>
      </c>
      <c r="X160" s="7" t="str">
        <f t="shared" si="47"/>
        <v/>
      </c>
      <c r="Y160">
        <f t="shared" si="48"/>
        <v>0</v>
      </c>
      <c r="Z160" t="str">
        <f t="shared" si="49"/>
        <v/>
      </c>
      <c r="AA160" t="str">
        <f t="shared" si="50"/>
        <v/>
      </c>
      <c r="AB160" t="str">
        <f t="shared" si="51"/>
        <v/>
      </c>
      <c r="AC160" t="str">
        <f t="shared" si="52"/>
        <v/>
      </c>
      <c r="AD160">
        <f t="shared" si="53"/>
        <v>0</v>
      </c>
    </row>
    <row r="161" spans="1:30" ht="15" customHeight="1" x14ac:dyDescent="0.35">
      <c r="A161" s="2"/>
      <c r="B161" s="3"/>
      <c r="C161" s="4"/>
      <c r="D161" s="5"/>
      <c r="E161" s="11" t="str">
        <f t="shared" ca="1" si="36"/>
        <v/>
      </c>
      <c r="F161" s="5"/>
      <c r="G161" s="6" t="str">
        <f>IF(AND($A161&lt;&gt;"",$B161&lt;&gt;"",$C161&lt;&gt;"",$D161&lt;&gt;""),IF(OR($B161="SER",$B161="PLH",$B161="CSF"),"Control CDI Plate "&amp;(INT(((COUNTIFS($B$2:$B161,"SER")+COUNTIFS($B$2:$B161,"PLH")+COUNTIFS($B$2:$B161,"CSF"))-1)/96)+1)&amp;": "&amp;CHAR(65+INT(MOD((COUNTIFS($B$2:$B161,"SER")+COUNTIFS($B$2:$B161,"PLH")+COUNTIFS($B$2:$B161,"CSF"))-1,96)/12))&amp;(MOD((COUNTIFS($B$2:$B161,"SER")+COUNTIFS($B$2:$B161,"PLH")+COUNTIFS($B$2:$B161,"CSF"))-1,12)+1),"N/A"),"")</f>
        <v/>
      </c>
      <c r="H161" s="6" t="str">
        <f>IF(AND($A161&lt;&gt;"",$B161&lt;&gt;"",$C161&lt;&gt;"",$D161&lt;&gt;""),IF(OR($B161="SER",$B161="PLH",$B161="CSF"),"Control NIH Plate "&amp;(INT(((COUNTIFS($B$2:$B161,"SER")+COUNTIFS($B$2:$B161,"PLH")+COUNTIFS($B$2:$B161,"CSF"))-1)/96)+1)&amp;": "&amp;CHAR(65+INT(MOD((COUNTIFS($B$2:$B161,"SER")+COUNTIFS($B$2:$B161,"PLH")+COUNTIFS($B$2:$B161,"CSF"))-1,96)/12))&amp;(MOD((COUNTIFS($B$2:$B161,"SER")+COUNTIFS($B$2:$B161,"PLH")+COUNTIFS($B$2:$B161,"CSF"))-1,12)+1),"N/A"),"")</f>
        <v/>
      </c>
      <c r="I161" s="6" t="str">
        <f>IF(AND($A161&lt;&gt;"",$B161&lt;&gt;"",$C161&lt;&gt;"",$D161&lt;&gt;""),IF(OR($B161="SER",$B161="PLH"),"Control MAX Planck Plate "&amp;(INT(((COUNTIFS($B$2:$B161,"SER")+COUNTIFS($B$2:$B161,"PLH"))-1)/96)+1)&amp;": "&amp;CHAR(65+INT(MOD((COUNTIFS($B$2:$B161,"SER")+COUNTIFS($B$2:$B161,"PLH"))-1,96)/12))&amp;(MOD((COUNTIFS($B$2:$B161,"SER")+COUNTIFS($B$2:$B161,"PLH"))-1,12)+1),"N/A"),"")</f>
        <v/>
      </c>
      <c r="J161" s="6" t="str">
        <f>IF(AND($A161&lt;&gt;"",$B161&lt;&gt;"",$C161&lt;&gt;"",$D161&lt;&gt;""),IF($B161="WB","Control WB Box "&amp;(INT((COUNTIFS($B$2:$B161,"WB")-1)/81)+1)&amp;": "&amp;CHAR(65+INT(MOD(COUNTIFS($B$2:$B161,"WB")-1,81)/9))&amp;(MOD(COUNTIFS($B$2:$B161,"WB")-1,9)+1),"N/A"),"")</f>
        <v/>
      </c>
      <c r="K161" s="3" t="str">
        <f t="shared" si="37"/>
        <v/>
      </c>
      <c r="L161" s="2"/>
      <c r="M161" s="2"/>
      <c r="N161" s="2"/>
      <c r="O161" s="7" t="str">
        <f t="shared" si="38"/>
        <v/>
      </c>
      <c r="P161" s="7" t="str">
        <f t="shared" si="39"/>
        <v/>
      </c>
      <c r="Q161" s="7" t="str">
        <f t="shared" si="40"/>
        <v/>
      </c>
      <c r="R161" s="7" t="str">
        <f t="shared" si="41"/>
        <v/>
      </c>
      <c r="S161" s="7" t="str">
        <f t="shared" si="42"/>
        <v/>
      </c>
      <c r="T161" s="7" t="str">
        <f t="shared" si="43"/>
        <v/>
      </c>
      <c r="U161" s="7" t="str">
        <f t="shared" si="44"/>
        <v/>
      </c>
      <c r="V161" s="7" t="str">
        <f t="shared" si="45"/>
        <v/>
      </c>
      <c r="W161" s="7" t="str">
        <f t="shared" si="46"/>
        <v/>
      </c>
      <c r="X161" s="7" t="str">
        <f t="shared" si="47"/>
        <v/>
      </c>
      <c r="Y161">
        <f t="shared" si="48"/>
        <v>0</v>
      </c>
      <c r="Z161" t="str">
        <f t="shared" si="49"/>
        <v/>
      </c>
      <c r="AA161" t="str">
        <f t="shared" si="50"/>
        <v/>
      </c>
      <c r="AB161" t="str">
        <f t="shared" si="51"/>
        <v/>
      </c>
      <c r="AC161" t="str">
        <f t="shared" si="52"/>
        <v/>
      </c>
      <c r="AD161">
        <f t="shared" si="53"/>
        <v>0</v>
      </c>
    </row>
    <row r="162" spans="1:30" ht="15" customHeight="1" x14ac:dyDescent="0.35">
      <c r="A162" s="2"/>
      <c r="B162" s="3"/>
      <c r="C162" s="4"/>
      <c r="D162" s="5"/>
      <c r="E162" s="11" t="str">
        <f t="shared" ca="1" si="36"/>
        <v/>
      </c>
      <c r="F162" s="5"/>
      <c r="G162" s="6" t="str">
        <f>IF(AND($A162&lt;&gt;"",$B162&lt;&gt;"",$C162&lt;&gt;"",$D162&lt;&gt;""),IF(OR($B162="SER",$B162="PLH",$B162="CSF"),"Control CDI Plate "&amp;(INT(((COUNTIFS($B$2:$B162,"SER")+COUNTIFS($B$2:$B162,"PLH")+COUNTIFS($B$2:$B162,"CSF"))-1)/96)+1)&amp;": "&amp;CHAR(65+INT(MOD((COUNTIFS($B$2:$B162,"SER")+COUNTIFS($B$2:$B162,"PLH")+COUNTIFS($B$2:$B162,"CSF"))-1,96)/12))&amp;(MOD((COUNTIFS($B$2:$B162,"SER")+COUNTIFS($B$2:$B162,"PLH")+COUNTIFS($B$2:$B162,"CSF"))-1,12)+1),"N/A"),"")</f>
        <v/>
      </c>
      <c r="H162" s="6" t="str">
        <f>IF(AND($A162&lt;&gt;"",$B162&lt;&gt;"",$C162&lt;&gt;"",$D162&lt;&gt;""),IF(OR($B162="SER",$B162="PLH",$B162="CSF"),"Control NIH Plate "&amp;(INT(((COUNTIFS($B$2:$B162,"SER")+COUNTIFS($B$2:$B162,"PLH")+COUNTIFS($B$2:$B162,"CSF"))-1)/96)+1)&amp;": "&amp;CHAR(65+INT(MOD((COUNTIFS($B$2:$B162,"SER")+COUNTIFS($B$2:$B162,"PLH")+COUNTIFS($B$2:$B162,"CSF"))-1,96)/12))&amp;(MOD((COUNTIFS($B$2:$B162,"SER")+COUNTIFS($B$2:$B162,"PLH")+COUNTIFS($B$2:$B162,"CSF"))-1,12)+1),"N/A"),"")</f>
        <v/>
      </c>
      <c r="I162" s="6" t="str">
        <f>IF(AND($A162&lt;&gt;"",$B162&lt;&gt;"",$C162&lt;&gt;"",$D162&lt;&gt;""),IF(OR($B162="SER",$B162="PLH"),"Control MAX Planck Plate "&amp;(INT(((COUNTIFS($B$2:$B162,"SER")+COUNTIFS($B$2:$B162,"PLH"))-1)/96)+1)&amp;": "&amp;CHAR(65+INT(MOD((COUNTIFS($B$2:$B162,"SER")+COUNTIFS($B$2:$B162,"PLH"))-1,96)/12))&amp;(MOD((COUNTIFS($B$2:$B162,"SER")+COUNTIFS($B$2:$B162,"PLH"))-1,12)+1),"N/A"),"")</f>
        <v/>
      </c>
      <c r="J162" s="6" t="str">
        <f>IF(AND($A162&lt;&gt;"",$B162&lt;&gt;"",$C162&lt;&gt;"",$D162&lt;&gt;""),IF($B162="WB","Control WB Box "&amp;(INT((COUNTIFS($B$2:$B162,"WB")-1)/81)+1)&amp;": "&amp;CHAR(65+INT(MOD(COUNTIFS($B$2:$B162,"WB")-1,81)/9))&amp;(MOD(COUNTIFS($B$2:$B162,"WB")-1,9)+1),"N/A"),"")</f>
        <v/>
      </c>
      <c r="K162" s="3" t="str">
        <f t="shared" si="37"/>
        <v/>
      </c>
      <c r="L162" s="2"/>
      <c r="M162" s="2"/>
      <c r="N162" s="2"/>
      <c r="O162" s="7" t="str">
        <f t="shared" si="38"/>
        <v/>
      </c>
      <c r="P162" s="7" t="str">
        <f t="shared" si="39"/>
        <v/>
      </c>
      <c r="Q162" s="7" t="str">
        <f t="shared" si="40"/>
        <v/>
      </c>
      <c r="R162" s="7" t="str">
        <f t="shared" si="41"/>
        <v/>
      </c>
      <c r="S162" s="7" t="str">
        <f t="shared" si="42"/>
        <v/>
      </c>
      <c r="T162" s="7" t="str">
        <f t="shared" si="43"/>
        <v/>
      </c>
      <c r="U162" s="7" t="str">
        <f t="shared" si="44"/>
        <v/>
      </c>
      <c r="V162" s="7" t="str">
        <f t="shared" si="45"/>
        <v/>
      </c>
      <c r="W162" s="7" t="str">
        <f t="shared" si="46"/>
        <v/>
      </c>
      <c r="X162" s="7" t="str">
        <f t="shared" si="47"/>
        <v/>
      </c>
      <c r="Y162">
        <f t="shared" si="48"/>
        <v>0</v>
      </c>
      <c r="Z162" t="str">
        <f t="shared" si="49"/>
        <v/>
      </c>
      <c r="AA162" t="str">
        <f t="shared" si="50"/>
        <v/>
      </c>
      <c r="AB162" t="str">
        <f t="shared" si="51"/>
        <v/>
      </c>
      <c r="AC162" t="str">
        <f t="shared" si="52"/>
        <v/>
      </c>
      <c r="AD162">
        <f t="shared" si="53"/>
        <v>0</v>
      </c>
    </row>
    <row r="163" spans="1:30" ht="15" customHeight="1" x14ac:dyDescent="0.35">
      <c r="A163" s="2"/>
      <c r="B163" s="3"/>
      <c r="C163" s="4"/>
      <c r="D163" s="5"/>
      <c r="E163" s="11" t="str">
        <f t="shared" ca="1" si="36"/>
        <v/>
      </c>
      <c r="F163" s="5"/>
      <c r="G163" s="6" t="str">
        <f>IF(AND($A163&lt;&gt;"",$B163&lt;&gt;"",$C163&lt;&gt;"",$D163&lt;&gt;""),IF(OR($B163="SER",$B163="PLH",$B163="CSF"),"Control CDI Plate "&amp;(INT(((COUNTIFS($B$2:$B163,"SER")+COUNTIFS($B$2:$B163,"PLH")+COUNTIFS($B$2:$B163,"CSF"))-1)/96)+1)&amp;": "&amp;CHAR(65+INT(MOD((COUNTIFS($B$2:$B163,"SER")+COUNTIFS($B$2:$B163,"PLH")+COUNTIFS($B$2:$B163,"CSF"))-1,96)/12))&amp;(MOD((COUNTIFS($B$2:$B163,"SER")+COUNTIFS($B$2:$B163,"PLH")+COUNTIFS($B$2:$B163,"CSF"))-1,12)+1),"N/A"),"")</f>
        <v/>
      </c>
      <c r="H163" s="6" t="str">
        <f>IF(AND($A163&lt;&gt;"",$B163&lt;&gt;"",$C163&lt;&gt;"",$D163&lt;&gt;""),IF(OR($B163="SER",$B163="PLH",$B163="CSF"),"Control NIH Plate "&amp;(INT(((COUNTIFS($B$2:$B163,"SER")+COUNTIFS($B$2:$B163,"PLH")+COUNTIFS($B$2:$B163,"CSF"))-1)/96)+1)&amp;": "&amp;CHAR(65+INT(MOD((COUNTIFS($B$2:$B163,"SER")+COUNTIFS($B$2:$B163,"PLH")+COUNTIFS($B$2:$B163,"CSF"))-1,96)/12))&amp;(MOD((COUNTIFS($B$2:$B163,"SER")+COUNTIFS($B$2:$B163,"PLH")+COUNTIFS($B$2:$B163,"CSF"))-1,12)+1),"N/A"),"")</f>
        <v/>
      </c>
      <c r="I163" s="6" t="str">
        <f>IF(AND($A163&lt;&gt;"",$B163&lt;&gt;"",$C163&lt;&gt;"",$D163&lt;&gt;""),IF(OR($B163="SER",$B163="PLH"),"Control MAX Planck Plate "&amp;(INT(((COUNTIFS($B$2:$B163,"SER")+COUNTIFS($B$2:$B163,"PLH"))-1)/96)+1)&amp;": "&amp;CHAR(65+INT(MOD((COUNTIFS($B$2:$B163,"SER")+COUNTIFS($B$2:$B163,"PLH"))-1,96)/12))&amp;(MOD((COUNTIFS($B$2:$B163,"SER")+COUNTIFS($B$2:$B163,"PLH"))-1,12)+1),"N/A"),"")</f>
        <v/>
      </c>
      <c r="J163" s="6" t="str">
        <f>IF(AND($A163&lt;&gt;"",$B163&lt;&gt;"",$C163&lt;&gt;"",$D163&lt;&gt;""),IF($B163="WB","Control WB Box "&amp;(INT((COUNTIFS($B$2:$B163,"WB")-1)/81)+1)&amp;": "&amp;CHAR(65+INT(MOD(COUNTIFS($B$2:$B163,"WB")-1,81)/9))&amp;(MOD(COUNTIFS($B$2:$B163,"WB")-1,9)+1),"N/A"),"")</f>
        <v/>
      </c>
      <c r="K163" s="3" t="str">
        <f t="shared" si="37"/>
        <v/>
      </c>
      <c r="L163" s="2"/>
      <c r="M163" s="2"/>
      <c r="N163" s="2"/>
      <c r="O163" s="7" t="str">
        <f t="shared" si="38"/>
        <v/>
      </c>
      <c r="P163" s="7" t="str">
        <f t="shared" si="39"/>
        <v/>
      </c>
      <c r="Q163" s="7" t="str">
        <f t="shared" si="40"/>
        <v/>
      </c>
      <c r="R163" s="7" t="str">
        <f t="shared" si="41"/>
        <v/>
      </c>
      <c r="S163" s="7" t="str">
        <f t="shared" si="42"/>
        <v/>
      </c>
      <c r="T163" s="7" t="str">
        <f t="shared" si="43"/>
        <v/>
      </c>
      <c r="U163" s="7" t="str">
        <f t="shared" si="44"/>
        <v/>
      </c>
      <c r="V163" s="7" t="str">
        <f t="shared" si="45"/>
        <v/>
      </c>
      <c r="W163" s="7" t="str">
        <f t="shared" si="46"/>
        <v/>
      </c>
      <c r="X163" s="7" t="str">
        <f t="shared" si="47"/>
        <v/>
      </c>
      <c r="Y163">
        <f t="shared" si="48"/>
        <v>0</v>
      </c>
      <c r="Z163" t="str">
        <f t="shared" si="49"/>
        <v/>
      </c>
      <c r="AA163" t="str">
        <f t="shared" si="50"/>
        <v/>
      </c>
      <c r="AB163" t="str">
        <f t="shared" si="51"/>
        <v/>
      </c>
      <c r="AC163" t="str">
        <f t="shared" si="52"/>
        <v/>
      </c>
      <c r="AD163">
        <f t="shared" si="53"/>
        <v>0</v>
      </c>
    </row>
    <row r="164" spans="1:30" ht="15" customHeight="1" x14ac:dyDescent="0.35">
      <c r="A164" s="2"/>
      <c r="B164" s="3"/>
      <c r="C164" s="4"/>
      <c r="D164" s="5"/>
      <c r="E164" s="11" t="str">
        <f t="shared" ca="1" si="36"/>
        <v/>
      </c>
      <c r="F164" s="5"/>
      <c r="G164" s="6" t="str">
        <f>IF(AND($A164&lt;&gt;"",$B164&lt;&gt;"",$C164&lt;&gt;"",$D164&lt;&gt;""),IF(OR($B164="SER",$B164="PLH",$B164="CSF"),"Control CDI Plate "&amp;(INT(((COUNTIFS($B$2:$B164,"SER")+COUNTIFS($B$2:$B164,"PLH")+COUNTIFS($B$2:$B164,"CSF"))-1)/96)+1)&amp;": "&amp;CHAR(65+INT(MOD((COUNTIFS($B$2:$B164,"SER")+COUNTIFS($B$2:$B164,"PLH")+COUNTIFS($B$2:$B164,"CSF"))-1,96)/12))&amp;(MOD((COUNTIFS($B$2:$B164,"SER")+COUNTIFS($B$2:$B164,"PLH")+COUNTIFS($B$2:$B164,"CSF"))-1,12)+1),"N/A"),"")</f>
        <v/>
      </c>
      <c r="H164" s="6" t="str">
        <f>IF(AND($A164&lt;&gt;"",$B164&lt;&gt;"",$C164&lt;&gt;"",$D164&lt;&gt;""),IF(OR($B164="SER",$B164="PLH",$B164="CSF"),"Control NIH Plate "&amp;(INT(((COUNTIFS($B$2:$B164,"SER")+COUNTIFS($B$2:$B164,"PLH")+COUNTIFS($B$2:$B164,"CSF"))-1)/96)+1)&amp;": "&amp;CHAR(65+INT(MOD((COUNTIFS($B$2:$B164,"SER")+COUNTIFS($B$2:$B164,"PLH")+COUNTIFS($B$2:$B164,"CSF"))-1,96)/12))&amp;(MOD((COUNTIFS($B$2:$B164,"SER")+COUNTIFS($B$2:$B164,"PLH")+COUNTIFS($B$2:$B164,"CSF"))-1,12)+1),"N/A"),"")</f>
        <v/>
      </c>
      <c r="I164" s="6" t="str">
        <f>IF(AND($A164&lt;&gt;"",$B164&lt;&gt;"",$C164&lt;&gt;"",$D164&lt;&gt;""),IF(OR($B164="SER",$B164="PLH"),"Control MAX Planck Plate "&amp;(INT(((COUNTIFS($B$2:$B164,"SER")+COUNTIFS($B$2:$B164,"PLH"))-1)/96)+1)&amp;": "&amp;CHAR(65+INT(MOD((COUNTIFS($B$2:$B164,"SER")+COUNTIFS($B$2:$B164,"PLH"))-1,96)/12))&amp;(MOD((COUNTIFS($B$2:$B164,"SER")+COUNTIFS($B$2:$B164,"PLH"))-1,12)+1),"N/A"),"")</f>
        <v/>
      </c>
      <c r="J164" s="6" t="str">
        <f>IF(AND($A164&lt;&gt;"",$B164&lt;&gt;"",$C164&lt;&gt;"",$D164&lt;&gt;""),IF($B164="WB","Control WB Box "&amp;(INT((COUNTIFS($B$2:$B164,"WB")-1)/81)+1)&amp;": "&amp;CHAR(65+INT(MOD(COUNTIFS($B$2:$B164,"WB")-1,81)/9))&amp;(MOD(COUNTIFS($B$2:$B164,"WB")-1,9)+1),"N/A"),"")</f>
        <v/>
      </c>
      <c r="K164" s="3" t="str">
        <f t="shared" si="37"/>
        <v/>
      </c>
      <c r="L164" s="2"/>
      <c r="M164" s="2"/>
      <c r="N164" s="2"/>
      <c r="O164" s="7" t="str">
        <f t="shared" si="38"/>
        <v/>
      </c>
      <c r="P164" s="7" t="str">
        <f t="shared" si="39"/>
        <v/>
      </c>
      <c r="Q164" s="7" t="str">
        <f t="shared" si="40"/>
        <v/>
      </c>
      <c r="R164" s="7" t="str">
        <f t="shared" si="41"/>
        <v/>
      </c>
      <c r="S164" s="7" t="str">
        <f t="shared" si="42"/>
        <v/>
      </c>
      <c r="T164" s="7" t="str">
        <f t="shared" si="43"/>
        <v/>
      </c>
      <c r="U164" s="7" t="str">
        <f t="shared" si="44"/>
        <v/>
      </c>
      <c r="V164" s="7" t="str">
        <f t="shared" si="45"/>
        <v/>
      </c>
      <c r="W164" s="7" t="str">
        <f t="shared" si="46"/>
        <v/>
      </c>
      <c r="X164" s="7" t="str">
        <f t="shared" si="47"/>
        <v/>
      </c>
      <c r="Y164">
        <f t="shared" si="48"/>
        <v>0</v>
      </c>
      <c r="Z164" t="str">
        <f t="shared" si="49"/>
        <v/>
      </c>
      <c r="AA164" t="str">
        <f t="shared" si="50"/>
        <v/>
      </c>
      <c r="AB164" t="str">
        <f t="shared" si="51"/>
        <v/>
      </c>
      <c r="AC164" t="str">
        <f t="shared" si="52"/>
        <v/>
      </c>
      <c r="AD164">
        <f t="shared" si="53"/>
        <v>0</v>
      </c>
    </row>
    <row r="165" spans="1:30" ht="15" customHeight="1" x14ac:dyDescent="0.35">
      <c r="A165" s="2"/>
      <c r="B165" s="3"/>
      <c r="C165" s="4"/>
      <c r="D165" s="5"/>
      <c r="E165" s="11" t="str">
        <f t="shared" ca="1" si="36"/>
        <v/>
      </c>
      <c r="F165" s="5"/>
      <c r="G165" s="6" t="str">
        <f>IF(AND($A165&lt;&gt;"",$B165&lt;&gt;"",$C165&lt;&gt;"",$D165&lt;&gt;""),IF(OR($B165="SER",$B165="PLH",$B165="CSF"),"Control CDI Plate "&amp;(INT(((COUNTIFS($B$2:$B165,"SER")+COUNTIFS($B$2:$B165,"PLH")+COUNTIFS($B$2:$B165,"CSF"))-1)/96)+1)&amp;": "&amp;CHAR(65+INT(MOD((COUNTIFS($B$2:$B165,"SER")+COUNTIFS($B$2:$B165,"PLH")+COUNTIFS($B$2:$B165,"CSF"))-1,96)/12))&amp;(MOD((COUNTIFS($B$2:$B165,"SER")+COUNTIFS($B$2:$B165,"PLH")+COUNTIFS($B$2:$B165,"CSF"))-1,12)+1),"N/A"),"")</f>
        <v/>
      </c>
      <c r="H165" s="6" t="str">
        <f>IF(AND($A165&lt;&gt;"",$B165&lt;&gt;"",$C165&lt;&gt;"",$D165&lt;&gt;""),IF(OR($B165="SER",$B165="PLH",$B165="CSF"),"Control NIH Plate "&amp;(INT(((COUNTIFS($B$2:$B165,"SER")+COUNTIFS($B$2:$B165,"PLH")+COUNTIFS($B$2:$B165,"CSF"))-1)/96)+1)&amp;": "&amp;CHAR(65+INT(MOD((COUNTIFS($B$2:$B165,"SER")+COUNTIFS($B$2:$B165,"PLH")+COUNTIFS($B$2:$B165,"CSF"))-1,96)/12))&amp;(MOD((COUNTIFS($B$2:$B165,"SER")+COUNTIFS($B$2:$B165,"PLH")+COUNTIFS($B$2:$B165,"CSF"))-1,12)+1),"N/A"),"")</f>
        <v/>
      </c>
      <c r="I165" s="6" t="str">
        <f>IF(AND($A165&lt;&gt;"",$B165&lt;&gt;"",$C165&lt;&gt;"",$D165&lt;&gt;""),IF(OR($B165="SER",$B165="PLH"),"Control MAX Planck Plate "&amp;(INT(((COUNTIFS($B$2:$B165,"SER")+COUNTIFS($B$2:$B165,"PLH"))-1)/96)+1)&amp;": "&amp;CHAR(65+INT(MOD((COUNTIFS($B$2:$B165,"SER")+COUNTIFS($B$2:$B165,"PLH"))-1,96)/12))&amp;(MOD((COUNTIFS($B$2:$B165,"SER")+COUNTIFS($B$2:$B165,"PLH"))-1,12)+1),"N/A"),"")</f>
        <v/>
      </c>
      <c r="J165" s="6" t="str">
        <f>IF(AND($A165&lt;&gt;"",$B165&lt;&gt;"",$C165&lt;&gt;"",$D165&lt;&gt;""),IF($B165="WB","Control WB Box "&amp;(INT((COUNTIFS($B$2:$B165,"WB")-1)/81)+1)&amp;": "&amp;CHAR(65+INT(MOD(COUNTIFS($B$2:$B165,"WB")-1,81)/9))&amp;(MOD(COUNTIFS($B$2:$B165,"WB")-1,9)+1),"N/A"),"")</f>
        <v/>
      </c>
      <c r="K165" s="3" t="str">
        <f t="shared" si="37"/>
        <v/>
      </c>
      <c r="L165" s="2"/>
      <c r="M165" s="2"/>
      <c r="N165" s="2"/>
      <c r="O165" s="7" t="str">
        <f t="shared" si="38"/>
        <v/>
      </c>
      <c r="P165" s="7" t="str">
        <f t="shared" si="39"/>
        <v/>
      </c>
      <c r="Q165" s="7" t="str">
        <f t="shared" si="40"/>
        <v/>
      </c>
      <c r="R165" s="7" t="str">
        <f t="shared" si="41"/>
        <v/>
      </c>
      <c r="S165" s="7" t="str">
        <f t="shared" si="42"/>
        <v/>
      </c>
      <c r="T165" s="7" t="str">
        <f t="shared" si="43"/>
        <v/>
      </c>
      <c r="U165" s="7" t="str">
        <f t="shared" si="44"/>
        <v/>
      </c>
      <c r="V165" s="7" t="str">
        <f t="shared" si="45"/>
        <v/>
      </c>
      <c r="W165" s="7" t="str">
        <f t="shared" si="46"/>
        <v/>
      </c>
      <c r="X165" s="7" t="str">
        <f t="shared" si="47"/>
        <v/>
      </c>
      <c r="Y165">
        <f t="shared" si="48"/>
        <v>0</v>
      </c>
      <c r="Z165" t="str">
        <f t="shared" si="49"/>
        <v/>
      </c>
      <c r="AA165" t="str">
        <f t="shared" si="50"/>
        <v/>
      </c>
      <c r="AB165" t="str">
        <f t="shared" si="51"/>
        <v/>
      </c>
      <c r="AC165" t="str">
        <f t="shared" si="52"/>
        <v/>
      </c>
      <c r="AD165">
        <f t="shared" si="53"/>
        <v>0</v>
      </c>
    </row>
    <row r="166" spans="1:30" ht="15" customHeight="1" x14ac:dyDescent="0.35">
      <c r="A166" s="2"/>
      <c r="B166" s="3"/>
      <c r="C166" s="4"/>
      <c r="D166" s="5"/>
      <c r="E166" s="11" t="str">
        <f t="shared" ca="1" si="36"/>
        <v/>
      </c>
      <c r="F166" s="5"/>
      <c r="G166" s="6" t="str">
        <f>IF(AND($A166&lt;&gt;"",$B166&lt;&gt;"",$C166&lt;&gt;"",$D166&lt;&gt;""),IF(OR($B166="SER",$B166="PLH",$B166="CSF"),"Control CDI Plate "&amp;(INT(((COUNTIFS($B$2:$B166,"SER")+COUNTIFS($B$2:$B166,"PLH")+COUNTIFS($B$2:$B166,"CSF"))-1)/96)+1)&amp;": "&amp;CHAR(65+INT(MOD((COUNTIFS($B$2:$B166,"SER")+COUNTIFS($B$2:$B166,"PLH")+COUNTIFS($B$2:$B166,"CSF"))-1,96)/12))&amp;(MOD((COUNTIFS($B$2:$B166,"SER")+COUNTIFS($B$2:$B166,"PLH")+COUNTIFS($B$2:$B166,"CSF"))-1,12)+1),"N/A"),"")</f>
        <v/>
      </c>
      <c r="H166" s="6" t="str">
        <f>IF(AND($A166&lt;&gt;"",$B166&lt;&gt;"",$C166&lt;&gt;"",$D166&lt;&gt;""),IF(OR($B166="SER",$B166="PLH",$B166="CSF"),"Control NIH Plate "&amp;(INT(((COUNTIFS($B$2:$B166,"SER")+COUNTIFS($B$2:$B166,"PLH")+COUNTIFS($B$2:$B166,"CSF"))-1)/96)+1)&amp;": "&amp;CHAR(65+INT(MOD((COUNTIFS($B$2:$B166,"SER")+COUNTIFS($B$2:$B166,"PLH")+COUNTIFS($B$2:$B166,"CSF"))-1,96)/12))&amp;(MOD((COUNTIFS($B$2:$B166,"SER")+COUNTIFS($B$2:$B166,"PLH")+COUNTIFS($B$2:$B166,"CSF"))-1,12)+1),"N/A"),"")</f>
        <v/>
      </c>
      <c r="I166" s="6" t="str">
        <f>IF(AND($A166&lt;&gt;"",$B166&lt;&gt;"",$C166&lt;&gt;"",$D166&lt;&gt;""),IF(OR($B166="SER",$B166="PLH"),"Control MAX Planck Plate "&amp;(INT(((COUNTIFS($B$2:$B166,"SER")+COUNTIFS($B$2:$B166,"PLH"))-1)/96)+1)&amp;": "&amp;CHAR(65+INT(MOD((COUNTIFS($B$2:$B166,"SER")+COUNTIFS($B$2:$B166,"PLH"))-1,96)/12))&amp;(MOD((COUNTIFS($B$2:$B166,"SER")+COUNTIFS($B$2:$B166,"PLH"))-1,12)+1),"N/A"),"")</f>
        <v/>
      </c>
      <c r="J166" s="6" t="str">
        <f>IF(AND($A166&lt;&gt;"",$B166&lt;&gt;"",$C166&lt;&gt;"",$D166&lt;&gt;""),IF($B166="WB","Control WB Box "&amp;(INT((COUNTIFS($B$2:$B166,"WB")-1)/81)+1)&amp;": "&amp;CHAR(65+INT(MOD(COUNTIFS($B$2:$B166,"WB")-1,81)/9))&amp;(MOD(COUNTIFS($B$2:$B166,"WB")-1,9)+1),"N/A"),"")</f>
        <v/>
      </c>
      <c r="K166" s="3" t="str">
        <f t="shared" si="37"/>
        <v/>
      </c>
      <c r="L166" s="2"/>
      <c r="M166" s="2"/>
      <c r="N166" s="2"/>
      <c r="O166" s="7" t="str">
        <f t="shared" si="38"/>
        <v/>
      </c>
      <c r="P166" s="7" t="str">
        <f t="shared" si="39"/>
        <v/>
      </c>
      <c r="Q166" s="7" t="str">
        <f t="shared" si="40"/>
        <v/>
      </c>
      <c r="R166" s="7" t="str">
        <f t="shared" si="41"/>
        <v/>
      </c>
      <c r="S166" s="7" t="str">
        <f t="shared" si="42"/>
        <v/>
      </c>
      <c r="T166" s="7" t="str">
        <f t="shared" si="43"/>
        <v/>
      </c>
      <c r="U166" s="7" t="str">
        <f t="shared" si="44"/>
        <v/>
      </c>
      <c r="V166" s="7" t="str">
        <f t="shared" si="45"/>
        <v/>
      </c>
      <c r="W166" s="7" t="str">
        <f t="shared" si="46"/>
        <v/>
      </c>
      <c r="X166" s="7" t="str">
        <f t="shared" si="47"/>
        <v/>
      </c>
      <c r="Y166">
        <f t="shared" si="48"/>
        <v>0</v>
      </c>
      <c r="Z166" t="str">
        <f t="shared" si="49"/>
        <v/>
      </c>
      <c r="AA166" t="str">
        <f t="shared" si="50"/>
        <v/>
      </c>
      <c r="AB166" t="str">
        <f t="shared" si="51"/>
        <v/>
      </c>
      <c r="AC166" t="str">
        <f t="shared" si="52"/>
        <v/>
      </c>
      <c r="AD166">
        <f t="shared" si="53"/>
        <v>0</v>
      </c>
    </row>
    <row r="167" spans="1:30" ht="15" customHeight="1" x14ac:dyDescent="0.35">
      <c r="A167" s="2"/>
      <c r="B167" s="3"/>
      <c r="C167" s="4"/>
      <c r="D167" s="5"/>
      <c r="E167" s="11" t="str">
        <f t="shared" ca="1" si="36"/>
        <v/>
      </c>
      <c r="F167" s="5"/>
      <c r="G167" s="6" t="str">
        <f>IF(AND($A167&lt;&gt;"",$B167&lt;&gt;"",$C167&lt;&gt;"",$D167&lt;&gt;""),IF(OR($B167="SER",$B167="PLH",$B167="CSF"),"Control CDI Plate "&amp;(INT(((COUNTIFS($B$2:$B167,"SER")+COUNTIFS($B$2:$B167,"PLH")+COUNTIFS($B$2:$B167,"CSF"))-1)/96)+1)&amp;": "&amp;CHAR(65+INT(MOD((COUNTIFS($B$2:$B167,"SER")+COUNTIFS($B$2:$B167,"PLH")+COUNTIFS($B$2:$B167,"CSF"))-1,96)/12))&amp;(MOD((COUNTIFS($B$2:$B167,"SER")+COUNTIFS($B$2:$B167,"PLH")+COUNTIFS($B$2:$B167,"CSF"))-1,12)+1),"N/A"),"")</f>
        <v/>
      </c>
      <c r="H167" s="6" t="str">
        <f>IF(AND($A167&lt;&gt;"",$B167&lt;&gt;"",$C167&lt;&gt;"",$D167&lt;&gt;""),IF(OR($B167="SER",$B167="PLH",$B167="CSF"),"Control NIH Plate "&amp;(INT(((COUNTIFS($B$2:$B167,"SER")+COUNTIFS($B$2:$B167,"PLH")+COUNTIFS($B$2:$B167,"CSF"))-1)/96)+1)&amp;": "&amp;CHAR(65+INT(MOD((COUNTIFS($B$2:$B167,"SER")+COUNTIFS($B$2:$B167,"PLH")+COUNTIFS($B$2:$B167,"CSF"))-1,96)/12))&amp;(MOD((COUNTIFS($B$2:$B167,"SER")+COUNTIFS($B$2:$B167,"PLH")+COUNTIFS($B$2:$B167,"CSF"))-1,12)+1),"N/A"),"")</f>
        <v/>
      </c>
      <c r="I167" s="6" t="str">
        <f>IF(AND($A167&lt;&gt;"",$B167&lt;&gt;"",$C167&lt;&gt;"",$D167&lt;&gt;""),IF(OR($B167="SER",$B167="PLH"),"Control MAX Planck Plate "&amp;(INT(((COUNTIFS($B$2:$B167,"SER")+COUNTIFS($B$2:$B167,"PLH"))-1)/96)+1)&amp;": "&amp;CHAR(65+INT(MOD((COUNTIFS($B$2:$B167,"SER")+COUNTIFS($B$2:$B167,"PLH"))-1,96)/12))&amp;(MOD((COUNTIFS($B$2:$B167,"SER")+COUNTIFS($B$2:$B167,"PLH"))-1,12)+1),"N/A"),"")</f>
        <v/>
      </c>
      <c r="J167" s="6" t="str">
        <f>IF(AND($A167&lt;&gt;"",$B167&lt;&gt;"",$C167&lt;&gt;"",$D167&lt;&gt;""),IF($B167="WB","Control WB Box "&amp;(INT((COUNTIFS($B$2:$B167,"WB")-1)/81)+1)&amp;": "&amp;CHAR(65+INT(MOD(COUNTIFS($B$2:$B167,"WB")-1,81)/9))&amp;(MOD(COUNTIFS($B$2:$B167,"WB")-1,9)+1),"N/A"),"")</f>
        <v/>
      </c>
      <c r="K167" s="3" t="str">
        <f t="shared" si="37"/>
        <v/>
      </c>
      <c r="L167" s="2"/>
      <c r="M167" s="2"/>
      <c r="N167" s="2"/>
      <c r="O167" s="7" t="str">
        <f t="shared" si="38"/>
        <v/>
      </c>
      <c r="P167" s="7" t="str">
        <f t="shared" si="39"/>
        <v/>
      </c>
      <c r="Q167" s="7" t="str">
        <f t="shared" si="40"/>
        <v/>
      </c>
      <c r="R167" s="7" t="str">
        <f t="shared" si="41"/>
        <v/>
      </c>
      <c r="S167" s="7" t="str">
        <f t="shared" si="42"/>
        <v/>
      </c>
      <c r="T167" s="7" t="str">
        <f t="shared" si="43"/>
        <v/>
      </c>
      <c r="U167" s="7" t="str">
        <f t="shared" si="44"/>
        <v/>
      </c>
      <c r="V167" s="7" t="str">
        <f t="shared" si="45"/>
        <v/>
      </c>
      <c r="W167" s="7" t="str">
        <f t="shared" si="46"/>
        <v/>
      </c>
      <c r="X167" s="7" t="str">
        <f t="shared" si="47"/>
        <v/>
      </c>
      <c r="Y167">
        <f t="shared" si="48"/>
        <v>0</v>
      </c>
      <c r="Z167" t="str">
        <f t="shared" si="49"/>
        <v/>
      </c>
      <c r="AA167" t="str">
        <f t="shared" si="50"/>
        <v/>
      </c>
      <c r="AB167" t="str">
        <f t="shared" si="51"/>
        <v/>
      </c>
      <c r="AC167" t="str">
        <f t="shared" si="52"/>
        <v/>
      </c>
      <c r="AD167">
        <f t="shared" si="53"/>
        <v>0</v>
      </c>
    </row>
    <row r="168" spans="1:30" ht="15" customHeight="1" x14ac:dyDescent="0.35">
      <c r="A168" s="2"/>
      <c r="B168" s="3"/>
      <c r="C168" s="4"/>
      <c r="D168" s="5"/>
      <c r="E168" s="11" t="str">
        <f t="shared" ca="1" si="36"/>
        <v/>
      </c>
      <c r="F168" s="5"/>
      <c r="G168" s="6" t="str">
        <f>IF(AND($A168&lt;&gt;"",$B168&lt;&gt;"",$C168&lt;&gt;"",$D168&lt;&gt;""),IF(OR($B168="SER",$B168="PLH",$B168="CSF"),"Control CDI Plate "&amp;(INT(((COUNTIFS($B$2:$B168,"SER")+COUNTIFS($B$2:$B168,"PLH")+COUNTIFS($B$2:$B168,"CSF"))-1)/96)+1)&amp;": "&amp;CHAR(65+INT(MOD((COUNTIFS($B$2:$B168,"SER")+COUNTIFS($B$2:$B168,"PLH")+COUNTIFS($B$2:$B168,"CSF"))-1,96)/12))&amp;(MOD((COUNTIFS($B$2:$B168,"SER")+COUNTIFS($B$2:$B168,"PLH")+COUNTIFS($B$2:$B168,"CSF"))-1,12)+1),"N/A"),"")</f>
        <v/>
      </c>
      <c r="H168" s="6" t="str">
        <f>IF(AND($A168&lt;&gt;"",$B168&lt;&gt;"",$C168&lt;&gt;"",$D168&lt;&gt;""),IF(OR($B168="SER",$B168="PLH",$B168="CSF"),"Control NIH Plate "&amp;(INT(((COUNTIFS($B$2:$B168,"SER")+COUNTIFS($B$2:$B168,"PLH")+COUNTIFS($B$2:$B168,"CSF"))-1)/96)+1)&amp;": "&amp;CHAR(65+INT(MOD((COUNTIFS($B$2:$B168,"SER")+COUNTIFS($B$2:$B168,"PLH")+COUNTIFS($B$2:$B168,"CSF"))-1,96)/12))&amp;(MOD((COUNTIFS($B$2:$B168,"SER")+COUNTIFS($B$2:$B168,"PLH")+COUNTIFS($B$2:$B168,"CSF"))-1,12)+1),"N/A"),"")</f>
        <v/>
      </c>
      <c r="I168" s="6" t="str">
        <f>IF(AND($A168&lt;&gt;"",$B168&lt;&gt;"",$C168&lt;&gt;"",$D168&lt;&gt;""),IF(OR($B168="SER",$B168="PLH"),"Control MAX Planck Plate "&amp;(INT(((COUNTIFS($B$2:$B168,"SER")+COUNTIFS($B$2:$B168,"PLH"))-1)/96)+1)&amp;": "&amp;CHAR(65+INT(MOD((COUNTIFS($B$2:$B168,"SER")+COUNTIFS($B$2:$B168,"PLH"))-1,96)/12))&amp;(MOD((COUNTIFS($B$2:$B168,"SER")+COUNTIFS($B$2:$B168,"PLH"))-1,12)+1),"N/A"),"")</f>
        <v/>
      </c>
      <c r="J168" s="6" t="str">
        <f>IF(AND($A168&lt;&gt;"",$B168&lt;&gt;"",$C168&lt;&gt;"",$D168&lt;&gt;""),IF($B168="WB","Control WB Box "&amp;(INT((COUNTIFS($B$2:$B168,"WB")-1)/81)+1)&amp;": "&amp;CHAR(65+INT(MOD(COUNTIFS($B$2:$B168,"WB")-1,81)/9))&amp;(MOD(COUNTIFS($B$2:$B168,"WB")-1,9)+1),"N/A"),"")</f>
        <v/>
      </c>
      <c r="K168" s="3" t="str">
        <f t="shared" si="37"/>
        <v/>
      </c>
      <c r="L168" s="2"/>
      <c r="M168" s="2"/>
      <c r="N168" s="2"/>
      <c r="O168" s="7" t="str">
        <f t="shared" si="38"/>
        <v/>
      </c>
      <c r="P168" s="7" t="str">
        <f t="shared" si="39"/>
        <v/>
      </c>
      <c r="Q168" s="7" t="str">
        <f t="shared" si="40"/>
        <v/>
      </c>
      <c r="R168" s="7" t="str">
        <f t="shared" si="41"/>
        <v/>
      </c>
      <c r="S168" s="7" t="str">
        <f t="shared" si="42"/>
        <v/>
      </c>
      <c r="T168" s="7" t="str">
        <f t="shared" si="43"/>
        <v/>
      </c>
      <c r="U168" s="7" t="str">
        <f t="shared" si="44"/>
        <v/>
      </c>
      <c r="V168" s="7" t="str">
        <f t="shared" si="45"/>
        <v/>
      </c>
      <c r="W168" s="7" t="str">
        <f t="shared" si="46"/>
        <v/>
      </c>
      <c r="X168" s="7" t="str">
        <f t="shared" si="47"/>
        <v/>
      </c>
      <c r="Y168">
        <f t="shared" si="48"/>
        <v>0</v>
      </c>
      <c r="Z168" t="str">
        <f t="shared" si="49"/>
        <v/>
      </c>
      <c r="AA168" t="str">
        <f t="shared" si="50"/>
        <v/>
      </c>
      <c r="AB168" t="str">
        <f t="shared" si="51"/>
        <v/>
      </c>
      <c r="AC168" t="str">
        <f t="shared" si="52"/>
        <v/>
      </c>
      <c r="AD168">
        <f t="shared" si="53"/>
        <v>0</v>
      </c>
    </row>
    <row r="169" spans="1:30" ht="15" customHeight="1" x14ac:dyDescent="0.35">
      <c r="A169" s="2"/>
      <c r="B169" s="3"/>
      <c r="C169" s="4"/>
      <c r="D169" s="5"/>
      <c r="E169" s="11" t="str">
        <f t="shared" ca="1" si="36"/>
        <v/>
      </c>
      <c r="F169" s="5"/>
      <c r="G169" s="6" t="str">
        <f>IF(AND($A169&lt;&gt;"",$B169&lt;&gt;"",$C169&lt;&gt;"",$D169&lt;&gt;""),IF(OR($B169="SER",$B169="PLH",$B169="CSF"),"Control CDI Plate "&amp;(INT(((COUNTIFS($B$2:$B169,"SER")+COUNTIFS($B$2:$B169,"PLH")+COUNTIFS($B$2:$B169,"CSF"))-1)/96)+1)&amp;": "&amp;CHAR(65+INT(MOD((COUNTIFS($B$2:$B169,"SER")+COUNTIFS($B$2:$B169,"PLH")+COUNTIFS($B$2:$B169,"CSF"))-1,96)/12))&amp;(MOD((COUNTIFS($B$2:$B169,"SER")+COUNTIFS($B$2:$B169,"PLH")+COUNTIFS($B$2:$B169,"CSF"))-1,12)+1),"N/A"),"")</f>
        <v/>
      </c>
      <c r="H169" s="6" t="str">
        <f>IF(AND($A169&lt;&gt;"",$B169&lt;&gt;"",$C169&lt;&gt;"",$D169&lt;&gt;""),IF(OR($B169="SER",$B169="PLH",$B169="CSF"),"Control NIH Plate "&amp;(INT(((COUNTIFS($B$2:$B169,"SER")+COUNTIFS($B$2:$B169,"PLH")+COUNTIFS($B$2:$B169,"CSF"))-1)/96)+1)&amp;": "&amp;CHAR(65+INT(MOD((COUNTIFS($B$2:$B169,"SER")+COUNTIFS($B$2:$B169,"PLH")+COUNTIFS($B$2:$B169,"CSF"))-1,96)/12))&amp;(MOD((COUNTIFS($B$2:$B169,"SER")+COUNTIFS($B$2:$B169,"PLH")+COUNTIFS($B$2:$B169,"CSF"))-1,12)+1),"N/A"),"")</f>
        <v/>
      </c>
      <c r="I169" s="6" t="str">
        <f>IF(AND($A169&lt;&gt;"",$B169&lt;&gt;"",$C169&lt;&gt;"",$D169&lt;&gt;""),IF(OR($B169="SER",$B169="PLH"),"Control MAX Planck Plate "&amp;(INT(((COUNTIFS($B$2:$B169,"SER")+COUNTIFS($B$2:$B169,"PLH"))-1)/96)+1)&amp;": "&amp;CHAR(65+INT(MOD((COUNTIFS($B$2:$B169,"SER")+COUNTIFS($B$2:$B169,"PLH"))-1,96)/12))&amp;(MOD((COUNTIFS($B$2:$B169,"SER")+COUNTIFS($B$2:$B169,"PLH"))-1,12)+1),"N/A"),"")</f>
        <v/>
      </c>
      <c r="J169" s="6" t="str">
        <f>IF(AND($A169&lt;&gt;"",$B169&lt;&gt;"",$C169&lt;&gt;"",$D169&lt;&gt;""),IF($B169="WB","Control WB Box "&amp;(INT((COUNTIFS($B$2:$B169,"WB")-1)/81)+1)&amp;": "&amp;CHAR(65+INT(MOD(COUNTIFS($B$2:$B169,"WB")-1,81)/9))&amp;(MOD(COUNTIFS($B$2:$B169,"WB")-1,9)+1),"N/A"),"")</f>
        <v/>
      </c>
      <c r="K169" s="3" t="str">
        <f t="shared" si="37"/>
        <v/>
      </c>
      <c r="L169" s="2"/>
      <c r="M169" s="2"/>
      <c r="N169" s="2"/>
      <c r="O169" s="7" t="str">
        <f t="shared" si="38"/>
        <v/>
      </c>
      <c r="P169" s="7" t="str">
        <f t="shared" si="39"/>
        <v/>
      </c>
      <c r="Q169" s="7" t="str">
        <f t="shared" si="40"/>
        <v/>
      </c>
      <c r="R169" s="7" t="str">
        <f t="shared" si="41"/>
        <v/>
      </c>
      <c r="S169" s="7" t="str">
        <f t="shared" si="42"/>
        <v/>
      </c>
      <c r="T169" s="7" t="str">
        <f t="shared" si="43"/>
        <v/>
      </c>
      <c r="U169" s="7" t="str">
        <f t="shared" si="44"/>
        <v/>
      </c>
      <c r="V169" s="7" t="str">
        <f t="shared" si="45"/>
        <v/>
      </c>
      <c r="W169" s="7" t="str">
        <f t="shared" si="46"/>
        <v/>
      </c>
      <c r="X169" s="7" t="str">
        <f t="shared" si="47"/>
        <v/>
      </c>
      <c r="Y169">
        <f t="shared" si="48"/>
        <v>0</v>
      </c>
      <c r="Z169" t="str">
        <f t="shared" si="49"/>
        <v/>
      </c>
      <c r="AA169" t="str">
        <f t="shared" si="50"/>
        <v/>
      </c>
      <c r="AB169" t="str">
        <f t="shared" si="51"/>
        <v/>
      </c>
      <c r="AC169" t="str">
        <f t="shared" si="52"/>
        <v/>
      </c>
      <c r="AD169">
        <f t="shared" si="53"/>
        <v>0</v>
      </c>
    </row>
    <row r="170" spans="1:30" ht="15" customHeight="1" x14ac:dyDescent="0.35">
      <c r="A170" s="2"/>
      <c r="B170" s="3"/>
      <c r="C170" s="4"/>
      <c r="D170" s="5"/>
      <c r="E170" s="11" t="str">
        <f t="shared" ca="1" si="36"/>
        <v/>
      </c>
      <c r="F170" s="5"/>
      <c r="G170" s="6" t="str">
        <f>IF(AND($A170&lt;&gt;"",$B170&lt;&gt;"",$C170&lt;&gt;"",$D170&lt;&gt;""),IF(OR($B170="SER",$B170="PLH",$B170="CSF"),"Control CDI Plate "&amp;(INT(((COUNTIFS($B$2:$B170,"SER")+COUNTIFS($B$2:$B170,"PLH")+COUNTIFS($B$2:$B170,"CSF"))-1)/96)+1)&amp;": "&amp;CHAR(65+INT(MOD((COUNTIFS($B$2:$B170,"SER")+COUNTIFS($B$2:$B170,"PLH")+COUNTIFS($B$2:$B170,"CSF"))-1,96)/12))&amp;(MOD((COUNTIFS($B$2:$B170,"SER")+COUNTIFS($B$2:$B170,"PLH")+COUNTIFS($B$2:$B170,"CSF"))-1,12)+1),"N/A"),"")</f>
        <v/>
      </c>
      <c r="H170" s="6" t="str">
        <f>IF(AND($A170&lt;&gt;"",$B170&lt;&gt;"",$C170&lt;&gt;"",$D170&lt;&gt;""),IF(OR($B170="SER",$B170="PLH",$B170="CSF"),"Control NIH Plate "&amp;(INT(((COUNTIFS($B$2:$B170,"SER")+COUNTIFS($B$2:$B170,"PLH")+COUNTIFS($B$2:$B170,"CSF"))-1)/96)+1)&amp;": "&amp;CHAR(65+INT(MOD((COUNTIFS($B$2:$B170,"SER")+COUNTIFS($B$2:$B170,"PLH")+COUNTIFS($B$2:$B170,"CSF"))-1,96)/12))&amp;(MOD((COUNTIFS($B$2:$B170,"SER")+COUNTIFS($B$2:$B170,"PLH")+COUNTIFS($B$2:$B170,"CSF"))-1,12)+1),"N/A"),"")</f>
        <v/>
      </c>
      <c r="I170" s="6" t="str">
        <f>IF(AND($A170&lt;&gt;"",$B170&lt;&gt;"",$C170&lt;&gt;"",$D170&lt;&gt;""),IF(OR($B170="SER",$B170="PLH"),"Control MAX Planck Plate "&amp;(INT(((COUNTIFS($B$2:$B170,"SER")+COUNTIFS($B$2:$B170,"PLH"))-1)/96)+1)&amp;": "&amp;CHAR(65+INT(MOD((COUNTIFS($B$2:$B170,"SER")+COUNTIFS($B$2:$B170,"PLH"))-1,96)/12))&amp;(MOD((COUNTIFS($B$2:$B170,"SER")+COUNTIFS($B$2:$B170,"PLH"))-1,12)+1),"N/A"),"")</f>
        <v/>
      </c>
      <c r="J170" s="6" t="str">
        <f>IF(AND($A170&lt;&gt;"",$B170&lt;&gt;"",$C170&lt;&gt;"",$D170&lt;&gt;""),IF($B170="WB","Control WB Box "&amp;(INT((COUNTIFS($B$2:$B170,"WB")-1)/81)+1)&amp;": "&amp;CHAR(65+INT(MOD(COUNTIFS($B$2:$B170,"WB")-1,81)/9))&amp;(MOD(COUNTIFS($B$2:$B170,"WB")-1,9)+1),"N/A"),"")</f>
        <v/>
      </c>
      <c r="K170" s="3" t="str">
        <f t="shared" si="37"/>
        <v/>
      </c>
      <c r="L170" s="2"/>
      <c r="M170" s="2"/>
      <c r="N170" s="2"/>
      <c r="O170" s="7" t="str">
        <f t="shared" si="38"/>
        <v/>
      </c>
      <c r="P170" s="7" t="str">
        <f t="shared" si="39"/>
        <v/>
      </c>
      <c r="Q170" s="7" t="str">
        <f t="shared" si="40"/>
        <v/>
      </c>
      <c r="R170" s="7" t="str">
        <f t="shared" si="41"/>
        <v/>
      </c>
      <c r="S170" s="7" t="str">
        <f t="shared" si="42"/>
        <v/>
      </c>
      <c r="T170" s="7" t="str">
        <f t="shared" si="43"/>
        <v/>
      </c>
      <c r="U170" s="7" t="str">
        <f t="shared" si="44"/>
        <v/>
      </c>
      <c r="V170" s="7" t="str">
        <f t="shared" si="45"/>
        <v/>
      </c>
      <c r="W170" s="7" t="str">
        <f t="shared" si="46"/>
        <v/>
      </c>
      <c r="X170" s="7" t="str">
        <f t="shared" si="47"/>
        <v/>
      </c>
      <c r="Y170">
        <f t="shared" si="48"/>
        <v>0</v>
      </c>
      <c r="Z170" t="str">
        <f t="shared" si="49"/>
        <v/>
      </c>
      <c r="AA170" t="str">
        <f t="shared" si="50"/>
        <v/>
      </c>
      <c r="AB170" t="str">
        <f t="shared" si="51"/>
        <v/>
      </c>
      <c r="AC170" t="str">
        <f t="shared" si="52"/>
        <v/>
      </c>
      <c r="AD170">
        <f t="shared" si="53"/>
        <v>0</v>
      </c>
    </row>
    <row r="171" spans="1:30" ht="15" customHeight="1" x14ac:dyDescent="0.35">
      <c r="A171" s="2"/>
      <c r="B171" s="3"/>
      <c r="C171" s="4"/>
      <c r="D171" s="5"/>
      <c r="E171" s="11" t="str">
        <f t="shared" ca="1" si="36"/>
        <v/>
      </c>
      <c r="F171" s="5"/>
      <c r="G171" s="6" t="str">
        <f>IF(AND($A171&lt;&gt;"",$B171&lt;&gt;"",$C171&lt;&gt;"",$D171&lt;&gt;""),IF(OR($B171="SER",$B171="PLH",$B171="CSF"),"Control CDI Plate "&amp;(INT(((COUNTIFS($B$2:$B171,"SER")+COUNTIFS($B$2:$B171,"PLH")+COUNTIFS($B$2:$B171,"CSF"))-1)/96)+1)&amp;": "&amp;CHAR(65+INT(MOD((COUNTIFS($B$2:$B171,"SER")+COUNTIFS($B$2:$B171,"PLH")+COUNTIFS($B$2:$B171,"CSF"))-1,96)/12))&amp;(MOD((COUNTIFS($B$2:$B171,"SER")+COUNTIFS($B$2:$B171,"PLH")+COUNTIFS($B$2:$B171,"CSF"))-1,12)+1),"N/A"),"")</f>
        <v/>
      </c>
      <c r="H171" s="6" t="str">
        <f>IF(AND($A171&lt;&gt;"",$B171&lt;&gt;"",$C171&lt;&gt;"",$D171&lt;&gt;""),IF(OR($B171="SER",$B171="PLH",$B171="CSF"),"Control NIH Plate "&amp;(INT(((COUNTIFS($B$2:$B171,"SER")+COUNTIFS($B$2:$B171,"PLH")+COUNTIFS($B$2:$B171,"CSF"))-1)/96)+1)&amp;": "&amp;CHAR(65+INT(MOD((COUNTIFS($B$2:$B171,"SER")+COUNTIFS($B$2:$B171,"PLH")+COUNTIFS($B$2:$B171,"CSF"))-1,96)/12))&amp;(MOD((COUNTIFS($B$2:$B171,"SER")+COUNTIFS($B$2:$B171,"PLH")+COUNTIFS($B$2:$B171,"CSF"))-1,12)+1),"N/A"),"")</f>
        <v/>
      </c>
      <c r="I171" s="6" t="str">
        <f>IF(AND($A171&lt;&gt;"",$B171&lt;&gt;"",$C171&lt;&gt;"",$D171&lt;&gt;""),IF(OR($B171="SER",$B171="PLH"),"Control MAX Planck Plate "&amp;(INT(((COUNTIFS($B$2:$B171,"SER")+COUNTIFS($B$2:$B171,"PLH"))-1)/96)+1)&amp;": "&amp;CHAR(65+INT(MOD((COUNTIFS($B$2:$B171,"SER")+COUNTIFS($B$2:$B171,"PLH"))-1,96)/12))&amp;(MOD((COUNTIFS($B$2:$B171,"SER")+COUNTIFS($B$2:$B171,"PLH"))-1,12)+1),"N/A"),"")</f>
        <v/>
      </c>
      <c r="J171" s="6" t="str">
        <f>IF(AND($A171&lt;&gt;"",$B171&lt;&gt;"",$C171&lt;&gt;"",$D171&lt;&gt;""),IF($B171="WB","Control WB Box "&amp;(INT((COUNTIFS($B$2:$B171,"WB")-1)/81)+1)&amp;": "&amp;CHAR(65+INT(MOD(COUNTIFS($B$2:$B171,"WB")-1,81)/9))&amp;(MOD(COUNTIFS($B$2:$B171,"WB")-1,9)+1),"N/A"),"")</f>
        <v/>
      </c>
      <c r="K171" s="3" t="str">
        <f t="shared" si="37"/>
        <v/>
      </c>
      <c r="L171" s="2"/>
      <c r="M171" s="2"/>
      <c r="N171" s="2"/>
      <c r="O171" s="7" t="str">
        <f t="shared" si="38"/>
        <v/>
      </c>
      <c r="P171" s="7" t="str">
        <f t="shared" si="39"/>
        <v/>
      </c>
      <c r="Q171" s="7" t="str">
        <f t="shared" si="40"/>
        <v/>
      </c>
      <c r="R171" s="7" t="str">
        <f t="shared" si="41"/>
        <v/>
      </c>
      <c r="S171" s="7" t="str">
        <f t="shared" si="42"/>
        <v/>
      </c>
      <c r="T171" s="7" t="str">
        <f t="shared" si="43"/>
        <v/>
      </c>
      <c r="U171" s="7" t="str">
        <f t="shared" si="44"/>
        <v/>
      </c>
      <c r="V171" s="7" t="str">
        <f t="shared" si="45"/>
        <v/>
      </c>
      <c r="W171" s="7" t="str">
        <f t="shared" si="46"/>
        <v/>
      </c>
      <c r="X171" s="7" t="str">
        <f t="shared" si="47"/>
        <v/>
      </c>
      <c r="Y171">
        <f t="shared" si="48"/>
        <v>0</v>
      </c>
      <c r="Z171" t="str">
        <f t="shared" si="49"/>
        <v/>
      </c>
      <c r="AA171" t="str">
        <f t="shared" si="50"/>
        <v/>
      </c>
      <c r="AB171" t="str">
        <f t="shared" si="51"/>
        <v/>
      </c>
      <c r="AC171" t="str">
        <f t="shared" si="52"/>
        <v/>
      </c>
      <c r="AD171">
        <f t="shared" si="53"/>
        <v>0</v>
      </c>
    </row>
    <row r="172" spans="1:30" ht="15" customHeight="1" x14ac:dyDescent="0.35">
      <c r="A172" s="2"/>
      <c r="B172" s="3"/>
      <c r="C172" s="4"/>
      <c r="D172" s="5"/>
      <c r="E172" s="11" t="str">
        <f t="shared" ca="1" si="36"/>
        <v/>
      </c>
      <c r="F172" s="5"/>
      <c r="G172" s="6" t="str">
        <f>IF(AND($A172&lt;&gt;"",$B172&lt;&gt;"",$C172&lt;&gt;"",$D172&lt;&gt;""),IF(OR($B172="SER",$B172="PLH",$B172="CSF"),"Control CDI Plate "&amp;(INT(((COUNTIFS($B$2:$B172,"SER")+COUNTIFS($B$2:$B172,"PLH")+COUNTIFS($B$2:$B172,"CSF"))-1)/96)+1)&amp;": "&amp;CHAR(65+INT(MOD((COUNTIFS($B$2:$B172,"SER")+COUNTIFS($B$2:$B172,"PLH")+COUNTIFS($B$2:$B172,"CSF"))-1,96)/12))&amp;(MOD((COUNTIFS($B$2:$B172,"SER")+COUNTIFS($B$2:$B172,"PLH")+COUNTIFS($B$2:$B172,"CSF"))-1,12)+1),"N/A"),"")</f>
        <v/>
      </c>
      <c r="H172" s="6" t="str">
        <f>IF(AND($A172&lt;&gt;"",$B172&lt;&gt;"",$C172&lt;&gt;"",$D172&lt;&gt;""),IF(OR($B172="SER",$B172="PLH",$B172="CSF"),"Control NIH Plate "&amp;(INT(((COUNTIFS($B$2:$B172,"SER")+COUNTIFS($B$2:$B172,"PLH")+COUNTIFS($B$2:$B172,"CSF"))-1)/96)+1)&amp;": "&amp;CHAR(65+INT(MOD((COUNTIFS($B$2:$B172,"SER")+COUNTIFS($B$2:$B172,"PLH")+COUNTIFS($B$2:$B172,"CSF"))-1,96)/12))&amp;(MOD((COUNTIFS($B$2:$B172,"SER")+COUNTIFS($B$2:$B172,"PLH")+COUNTIFS($B$2:$B172,"CSF"))-1,12)+1),"N/A"),"")</f>
        <v/>
      </c>
      <c r="I172" s="6" t="str">
        <f>IF(AND($A172&lt;&gt;"",$B172&lt;&gt;"",$C172&lt;&gt;"",$D172&lt;&gt;""),IF(OR($B172="SER",$B172="PLH"),"Control MAX Planck Plate "&amp;(INT(((COUNTIFS($B$2:$B172,"SER")+COUNTIFS($B$2:$B172,"PLH"))-1)/96)+1)&amp;": "&amp;CHAR(65+INT(MOD((COUNTIFS($B$2:$B172,"SER")+COUNTIFS($B$2:$B172,"PLH"))-1,96)/12))&amp;(MOD((COUNTIFS($B$2:$B172,"SER")+COUNTIFS($B$2:$B172,"PLH"))-1,12)+1),"N/A"),"")</f>
        <v/>
      </c>
      <c r="J172" s="6" t="str">
        <f>IF(AND($A172&lt;&gt;"",$B172&lt;&gt;"",$C172&lt;&gt;"",$D172&lt;&gt;""),IF($B172="WB","Control WB Box "&amp;(INT((COUNTIFS($B$2:$B172,"WB")-1)/81)+1)&amp;": "&amp;CHAR(65+INT(MOD(COUNTIFS($B$2:$B172,"WB")-1,81)/9))&amp;(MOD(COUNTIFS($B$2:$B172,"WB")-1,9)+1),"N/A"),"")</f>
        <v/>
      </c>
      <c r="K172" s="3" t="str">
        <f t="shared" si="37"/>
        <v/>
      </c>
      <c r="L172" s="2"/>
      <c r="M172" s="2"/>
      <c r="N172" s="2"/>
      <c r="O172" s="7" t="str">
        <f t="shared" si="38"/>
        <v/>
      </c>
      <c r="P172" s="7" t="str">
        <f t="shared" si="39"/>
        <v/>
      </c>
      <c r="Q172" s="7" t="str">
        <f t="shared" si="40"/>
        <v/>
      </c>
      <c r="R172" s="7" t="str">
        <f t="shared" si="41"/>
        <v/>
      </c>
      <c r="S172" s="7" t="str">
        <f t="shared" si="42"/>
        <v/>
      </c>
      <c r="T172" s="7" t="str">
        <f t="shared" si="43"/>
        <v/>
      </c>
      <c r="U172" s="7" t="str">
        <f t="shared" si="44"/>
        <v/>
      </c>
      <c r="V172" s="7" t="str">
        <f t="shared" si="45"/>
        <v/>
      </c>
      <c r="W172" s="7" t="str">
        <f t="shared" si="46"/>
        <v/>
      </c>
      <c r="X172" s="7" t="str">
        <f t="shared" si="47"/>
        <v/>
      </c>
      <c r="Y172">
        <f t="shared" si="48"/>
        <v>0</v>
      </c>
      <c r="Z172" t="str">
        <f t="shared" si="49"/>
        <v/>
      </c>
      <c r="AA172" t="str">
        <f t="shared" si="50"/>
        <v/>
      </c>
      <c r="AB172" t="str">
        <f t="shared" si="51"/>
        <v/>
      </c>
      <c r="AC172" t="str">
        <f t="shared" si="52"/>
        <v/>
      </c>
      <c r="AD172">
        <f t="shared" si="53"/>
        <v>0</v>
      </c>
    </row>
    <row r="173" spans="1:30" ht="15" customHeight="1" x14ac:dyDescent="0.35">
      <c r="A173" s="2"/>
      <c r="B173" s="3"/>
      <c r="C173" s="4"/>
      <c r="D173" s="5"/>
      <c r="E173" s="11" t="str">
        <f t="shared" ca="1" si="36"/>
        <v/>
      </c>
      <c r="F173" s="5"/>
      <c r="G173" s="6" t="str">
        <f>IF(AND($A173&lt;&gt;"",$B173&lt;&gt;"",$C173&lt;&gt;"",$D173&lt;&gt;""),IF(OR($B173="SER",$B173="PLH",$B173="CSF"),"Control CDI Plate "&amp;(INT(((COUNTIFS($B$2:$B173,"SER")+COUNTIFS($B$2:$B173,"PLH")+COUNTIFS($B$2:$B173,"CSF"))-1)/96)+1)&amp;": "&amp;CHAR(65+INT(MOD((COUNTIFS($B$2:$B173,"SER")+COUNTIFS($B$2:$B173,"PLH")+COUNTIFS($B$2:$B173,"CSF"))-1,96)/12))&amp;(MOD((COUNTIFS($B$2:$B173,"SER")+COUNTIFS($B$2:$B173,"PLH")+COUNTIFS($B$2:$B173,"CSF"))-1,12)+1),"N/A"),"")</f>
        <v/>
      </c>
      <c r="H173" s="6" t="str">
        <f>IF(AND($A173&lt;&gt;"",$B173&lt;&gt;"",$C173&lt;&gt;"",$D173&lt;&gt;""),IF(OR($B173="SER",$B173="PLH",$B173="CSF"),"Control NIH Plate "&amp;(INT(((COUNTIFS($B$2:$B173,"SER")+COUNTIFS($B$2:$B173,"PLH")+COUNTIFS($B$2:$B173,"CSF"))-1)/96)+1)&amp;": "&amp;CHAR(65+INT(MOD((COUNTIFS($B$2:$B173,"SER")+COUNTIFS($B$2:$B173,"PLH")+COUNTIFS($B$2:$B173,"CSF"))-1,96)/12))&amp;(MOD((COUNTIFS($B$2:$B173,"SER")+COUNTIFS($B$2:$B173,"PLH")+COUNTIFS($B$2:$B173,"CSF"))-1,12)+1),"N/A"),"")</f>
        <v/>
      </c>
      <c r="I173" s="6" t="str">
        <f>IF(AND($A173&lt;&gt;"",$B173&lt;&gt;"",$C173&lt;&gt;"",$D173&lt;&gt;""),IF(OR($B173="SER",$B173="PLH"),"Control MAX Planck Plate "&amp;(INT(((COUNTIFS($B$2:$B173,"SER")+COUNTIFS($B$2:$B173,"PLH"))-1)/96)+1)&amp;": "&amp;CHAR(65+INT(MOD((COUNTIFS($B$2:$B173,"SER")+COUNTIFS($B$2:$B173,"PLH"))-1,96)/12))&amp;(MOD((COUNTIFS($B$2:$B173,"SER")+COUNTIFS($B$2:$B173,"PLH"))-1,12)+1),"N/A"),"")</f>
        <v/>
      </c>
      <c r="J173" s="6" t="str">
        <f>IF(AND($A173&lt;&gt;"",$B173&lt;&gt;"",$C173&lt;&gt;"",$D173&lt;&gt;""),IF($B173="WB","Control WB Box "&amp;(INT((COUNTIFS($B$2:$B173,"WB")-1)/81)+1)&amp;": "&amp;CHAR(65+INT(MOD(COUNTIFS($B$2:$B173,"WB")-1,81)/9))&amp;(MOD(COUNTIFS($B$2:$B173,"WB")-1,9)+1),"N/A"),"")</f>
        <v/>
      </c>
      <c r="K173" s="3" t="str">
        <f t="shared" si="37"/>
        <v/>
      </c>
      <c r="L173" s="2"/>
      <c r="M173" s="2"/>
      <c r="N173" s="2"/>
      <c r="O173" s="7" t="str">
        <f t="shared" si="38"/>
        <v/>
      </c>
      <c r="P173" s="7" t="str">
        <f t="shared" si="39"/>
        <v/>
      </c>
      <c r="Q173" s="7" t="str">
        <f t="shared" si="40"/>
        <v/>
      </c>
      <c r="R173" s="7" t="str">
        <f t="shared" si="41"/>
        <v/>
      </c>
      <c r="S173" s="7" t="str">
        <f t="shared" si="42"/>
        <v/>
      </c>
      <c r="T173" s="7" t="str">
        <f t="shared" si="43"/>
        <v/>
      </c>
      <c r="U173" s="7" t="str">
        <f t="shared" si="44"/>
        <v/>
      </c>
      <c r="V173" s="7" t="str">
        <f t="shared" si="45"/>
        <v/>
      </c>
      <c r="W173" s="7" t="str">
        <f t="shared" si="46"/>
        <v/>
      </c>
      <c r="X173" s="7" t="str">
        <f t="shared" si="47"/>
        <v/>
      </c>
      <c r="Y173">
        <f t="shared" si="48"/>
        <v>0</v>
      </c>
      <c r="Z173" t="str">
        <f t="shared" si="49"/>
        <v/>
      </c>
      <c r="AA173" t="str">
        <f t="shared" si="50"/>
        <v/>
      </c>
      <c r="AB173" t="str">
        <f t="shared" si="51"/>
        <v/>
      </c>
      <c r="AC173" t="str">
        <f t="shared" si="52"/>
        <v/>
      </c>
      <c r="AD173">
        <f t="shared" si="53"/>
        <v>0</v>
      </c>
    </row>
    <row r="174" spans="1:30" ht="15" customHeight="1" x14ac:dyDescent="0.35">
      <c r="A174" s="2"/>
      <c r="B174" s="3"/>
      <c r="C174" s="4"/>
      <c r="D174" s="5"/>
      <c r="E174" s="11" t="str">
        <f t="shared" ca="1" si="36"/>
        <v/>
      </c>
      <c r="F174" s="5"/>
      <c r="G174" s="6" t="str">
        <f>IF(AND($A174&lt;&gt;"",$B174&lt;&gt;"",$C174&lt;&gt;"",$D174&lt;&gt;""),IF(OR($B174="SER",$B174="PLH",$B174="CSF"),"Control CDI Plate "&amp;(INT(((COUNTIFS($B$2:$B174,"SER")+COUNTIFS($B$2:$B174,"PLH")+COUNTIFS($B$2:$B174,"CSF"))-1)/96)+1)&amp;": "&amp;CHAR(65+INT(MOD((COUNTIFS($B$2:$B174,"SER")+COUNTIFS($B$2:$B174,"PLH")+COUNTIFS($B$2:$B174,"CSF"))-1,96)/12))&amp;(MOD((COUNTIFS($B$2:$B174,"SER")+COUNTIFS($B$2:$B174,"PLH")+COUNTIFS($B$2:$B174,"CSF"))-1,12)+1),"N/A"),"")</f>
        <v/>
      </c>
      <c r="H174" s="6" t="str">
        <f>IF(AND($A174&lt;&gt;"",$B174&lt;&gt;"",$C174&lt;&gt;"",$D174&lt;&gt;""),IF(OR($B174="SER",$B174="PLH",$B174="CSF"),"Control NIH Plate "&amp;(INT(((COUNTIFS($B$2:$B174,"SER")+COUNTIFS($B$2:$B174,"PLH")+COUNTIFS($B$2:$B174,"CSF"))-1)/96)+1)&amp;": "&amp;CHAR(65+INT(MOD((COUNTIFS($B$2:$B174,"SER")+COUNTIFS($B$2:$B174,"PLH")+COUNTIFS($B$2:$B174,"CSF"))-1,96)/12))&amp;(MOD((COUNTIFS($B$2:$B174,"SER")+COUNTIFS($B$2:$B174,"PLH")+COUNTIFS($B$2:$B174,"CSF"))-1,12)+1),"N/A"),"")</f>
        <v/>
      </c>
      <c r="I174" s="6" t="str">
        <f>IF(AND($A174&lt;&gt;"",$B174&lt;&gt;"",$C174&lt;&gt;"",$D174&lt;&gt;""),IF(OR($B174="SER",$B174="PLH"),"Control MAX Planck Plate "&amp;(INT(((COUNTIFS($B$2:$B174,"SER")+COUNTIFS($B$2:$B174,"PLH"))-1)/96)+1)&amp;": "&amp;CHAR(65+INT(MOD((COUNTIFS($B$2:$B174,"SER")+COUNTIFS($B$2:$B174,"PLH"))-1,96)/12))&amp;(MOD((COUNTIFS($B$2:$B174,"SER")+COUNTIFS($B$2:$B174,"PLH"))-1,12)+1),"N/A"),"")</f>
        <v/>
      </c>
      <c r="J174" s="6" t="str">
        <f>IF(AND($A174&lt;&gt;"",$B174&lt;&gt;"",$C174&lt;&gt;"",$D174&lt;&gt;""),IF($B174="WB","Control WB Box "&amp;(INT((COUNTIFS($B$2:$B174,"WB")-1)/81)+1)&amp;": "&amp;CHAR(65+INT(MOD(COUNTIFS($B$2:$B174,"WB")-1,81)/9))&amp;(MOD(COUNTIFS($B$2:$B174,"WB")-1,9)+1),"N/A"),"")</f>
        <v/>
      </c>
      <c r="K174" s="3" t="str">
        <f t="shared" si="37"/>
        <v/>
      </c>
      <c r="L174" s="2"/>
      <c r="M174" s="2"/>
      <c r="N174" s="2"/>
      <c r="O174" s="7" t="str">
        <f t="shared" si="38"/>
        <v/>
      </c>
      <c r="P174" s="7" t="str">
        <f t="shared" si="39"/>
        <v/>
      </c>
      <c r="Q174" s="7" t="str">
        <f t="shared" si="40"/>
        <v/>
      </c>
      <c r="R174" s="7" t="str">
        <f t="shared" si="41"/>
        <v/>
      </c>
      <c r="S174" s="7" t="str">
        <f t="shared" si="42"/>
        <v/>
      </c>
      <c r="T174" s="7" t="str">
        <f t="shared" si="43"/>
        <v/>
      </c>
      <c r="U174" s="7" t="str">
        <f t="shared" si="44"/>
        <v/>
      </c>
      <c r="V174" s="7" t="str">
        <f t="shared" si="45"/>
        <v/>
      </c>
      <c r="W174" s="7" t="str">
        <f t="shared" si="46"/>
        <v/>
      </c>
      <c r="X174" s="7" t="str">
        <f t="shared" si="47"/>
        <v/>
      </c>
      <c r="Y174">
        <f t="shared" si="48"/>
        <v>0</v>
      </c>
      <c r="Z174" t="str">
        <f t="shared" si="49"/>
        <v/>
      </c>
      <c r="AA174" t="str">
        <f t="shared" si="50"/>
        <v/>
      </c>
      <c r="AB174" t="str">
        <f t="shared" si="51"/>
        <v/>
      </c>
      <c r="AC174" t="str">
        <f t="shared" si="52"/>
        <v/>
      </c>
      <c r="AD174">
        <f t="shared" si="53"/>
        <v>0</v>
      </c>
    </row>
    <row r="175" spans="1:30" ht="15" customHeight="1" x14ac:dyDescent="0.35">
      <c r="A175" s="2"/>
      <c r="B175" s="3"/>
      <c r="C175" s="4"/>
      <c r="D175" s="5"/>
      <c r="E175" s="11" t="str">
        <f t="shared" ca="1" si="36"/>
        <v/>
      </c>
      <c r="F175" s="5"/>
      <c r="G175" s="6" t="str">
        <f>IF(AND($A175&lt;&gt;"",$B175&lt;&gt;"",$C175&lt;&gt;"",$D175&lt;&gt;""),IF(OR($B175="SER",$B175="PLH",$B175="CSF"),"Control CDI Plate "&amp;(INT(((COUNTIFS($B$2:$B175,"SER")+COUNTIFS($B$2:$B175,"PLH")+COUNTIFS($B$2:$B175,"CSF"))-1)/96)+1)&amp;": "&amp;CHAR(65+INT(MOD((COUNTIFS($B$2:$B175,"SER")+COUNTIFS($B$2:$B175,"PLH")+COUNTIFS($B$2:$B175,"CSF"))-1,96)/12))&amp;(MOD((COUNTIFS($B$2:$B175,"SER")+COUNTIFS($B$2:$B175,"PLH")+COUNTIFS($B$2:$B175,"CSF"))-1,12)+1),"N/A"),"")</f>
        <v/>
      </c>
      <c r="H175" s="6" t="str">
        <f>IF(AND($A175&lt;&gt;"",$B175&lt;&gt;"",$C175&lt;&gt;"",$D175&lt;&gt;""),IF(OR($B175="SER",$B175="PLH",$B175="CSF"),"Control NIH Plate "&amp;(INT(((COUNTIFS($B$2:$B175,"SER")+COUNTIFS($B$2:$B175,"PLH")+COUNTIFS($B$2:$B175,"CSF"))-1)/96)+1)&amp;": "&amp;CHAR(65+INT(MOD((COUNTIFS($B$2:$B175,"SER")+COUNTIFS($B$2:$B175,"PLH")+COUNTIFS($B$2:$B175,"CSF"))-1,96)/12))&amp;(MOD((COUNTIFS($B$2:$B175,"SER")+COUNTIFS($B$2:$B175,"PLH")+COUNTIFS($B$2:$B175,"CSF"))-1,12)+1),"N/A"),"")</f>
        <v/>
      </c>
      <c r="I175" s="6" t="str">
        <f>IF(AND($A175&lt;&gt;"",$B175&lt;&gt;"",$C175&lt;&gt;"",$D175&lt;&gt;""),IF(OR($B175="SER",$B175="PLH"),"Control MAX Planck Plate "&amp;(INT(((COUNTIFS($B$2:$B175,"SER")+COUNTIFS($B$2:$B175,"PLH"))-1)/96)+1)&amp;": "&amp;CHAR(65+INT(MOD((COUNTIFS($B$2:$B175,"SER")+COUNTIFS($B$2:$B175,"PLH"))-1,96)/12))&amp;(MOD((COUNTIFS($B$2:$B175,"SER")+COUNTIFS($B$2:$B175,"PLH"))-1,12)+1),"N/A"),"")</f>
        <v/>
      </c>
      <c r="J175" s="6" t="str">
        <f>IF(AND($A175&lt;&gt;"",$B175&lt;&gt;"",$C175&lt;&gt;"",$D175&lt;&gt;""),IF($B175="WB","Control WB Box "&amp;(INT((COUNTIFS($B$2:$B175,"WB")-1)/81)+1)&amp;": "&amp;CHAR(65+INT(MOD(COUNTIFS($B$2:$B175,"WB")-1,81)/9))&amp;(MOD(COUNTIFS($B$2:$B175,"WB")-1,9)+1),"N/A"),"")</f>
        <v/>
      </c>
      <c r="K175" s="3" t="str">
        <f t="shared" si="37"/>
        <v/>
      </c>
      <c r="L175" s="2"/>
      <c r="M175" s="2"/>
      <c r="N175" s="2"/>
      <c r="O175" s="7" t="str">
        <f t="shared" si="38"/>
        <v/>
      </c>
      <c r="P175" s="7" t="str">
        <f t="shared" si="39"/>
        <v/>
      </c>
      <c r="Q175" s="7" t="str">
        <f t="shared" si="40"/>
        <v/>
      </c>
      <c r="R175" s="7" t="str">
        <f t="shared" si="41"/>
        <v/>
      </c>
      <c r="S175" s="7" t="str">
        <f t="shared" si="42"/>
        <v/>
      </c>
      <c r="T175" s="7" t="str">
        <f t="shared" si="43"/>
        <v/>
      </c>
      <c r="U175" s="7" t="str">
        <f t="shared" si="44"/>
        <v/>
      </c>
      <c r="V175" s="7" t="str">
        <f t="shared" si="45"/>
        <v/>
      </c>
      <c r="W175" s="7" t="str">
        <f t="shared" si="46"/>
        <v/>
      </c>
      <c r="X175" s="7" t="str">
        <f t="shared" si="47"/>
        <v/>
      </c>
      <c r="Y175">
        <f t="shared" si="48"/>
        <v>0</v>
      </c>
      <c r="Z175" t="str">
        <f t="shared" si="49"/>
        <v/>
      </c>
      <c r="AA175" t="str">
        <f t="shared" si="50"/>
        <v/>
      </c>
      <c r="AB175" t="str">
        <f t="shared" si="51"/>
        <v/>
      </c>
      <c r="AC175" t="str">
        <f t="shared" si="52"/>
        <v/>
      </c>
      <c r="AD175">
        <f t="shared" si="53"/>
        <v>0</v>
      </c>
    </row>
    <row r="176" spans="1:30" ht="15" customHeight="1" x14ac:dyDescent="0.35">
      <c r="A176" s="2"/>
      <c r="B176" s="3"/>
      <c r="C176" s="4"/>
      <c r="D176" s="5"/>
      <c r="E176" s="11" t="str">
        <f t="shared" ca="1" si="36"/>
        <v/>
      </c>
      <c r="F176" s="5"/>
      <c r="G176" s="6" t="str">
        <f>IF(AND($A176&lt;&gt;"",$B176&lt;&gt;"",$C176&lt;&gt;"",$D176&lt;&gt;""),IF(OR($B176="SER",$B176="PLH",$B176="CSF"),"Control CDI Plate "&amp;(INT(((COUNTIFS($B$2:$B176,"SER")+COUNTIFS($B$2:$B176,"PLH")+COUNTIFS($B$2:$B176,"CSF"))-1)/96)+1)&amp;": "&amp;CHAR(65+INT(MOD((COUNTIFS($B$2:$B176,"SER")+COUNTIFS($B$2:$B176,"PLH")+COUNTIFS($B$2:$B176,"CSF"))-1,96)/12))&amp;(MOD((COUNTIFS($B$2:$B176,"SER")+COUNTIFS($B$2:$B176,"PLH")+COUNTIFS($B$2:$B176,"CSF"))-1,12)+1),"N/A"),"")</f>
        <v/>
      </c>
      <c r="H176" s="6" t="str">
        <f>IF(AND($A176&lt;&gt;"",$B176&lt;&gt;"",$C176&lt;&gt;"",$D176&lt;&gt;""),IF(OR($B176="SER",$B176="PLH",$B176="CSF"),"Control NIH Plate "&amp;(INT(((COUNTIFS($B$2:$B176,"SER")+COUNTIFS($B$2:$B176,"PLH")+COUNTIFS($B$2:$B176,"CSF"))-1)/96)+1)&amp;": "&amp;CHAR(65+INT(MOD((COUNTIFS($B$2:$B176,"SER")+COUNTIFS($B$2:$B176,"PLH")+COUNTIFS($B$2:$B176,"CSF"))-1,96)/12))&amp;(MOD((COUNTIFS($B$2:$B176,"SER")+COUNTIFS($B$2:$B176,"PLH")+COUNTIFS($B$2:$B176,"CSF"))-1,12)+1),"N/A"),"")</f>
        <v/>
      </c>
      <c r="I176" s="6" t="str">
        <f>IF(AND($A176&lt;&gt;"",$B176&lt;&gt;"",$C176&lt;&gt;"",$D176&lt;&gt;""),IF(OR($B176="SER",$B176="PLH"),"Control MAX Planck Plate "&amp;(INT(((COUNTIFS($B$2:$B176,"SER")+COUNTIFS($B$2:$B176,"PLH"))-1)/96)+1)&amp;": "&amp;CHAR(65+INT(MOD((COUNTIFS($B$2:$B176,"SER")+COUNTIFS($B$2:$B176,"PLH"))-1,96)/12))&amp;(MOD((COUNTIFS($B$2:$B176,"SER")+COUNTIFS($B$2:$B176,"PLH"))-1,12)+1),"N/A"),"")</f>
        <v/>
      </c>
      <c r="J176" s="6" t="str">
        <f>IF(AND($A176&lt;&gt;"",$B176&lt;&gt;"",$C176&lt;&gt;"",$D176&lt;&gt;""),IF($B176="WB","Control WB Box "&amp;(INT((COUNTIFS($B$2:$B176,"WB")-1)/81)+1)&amp;": "&amp;CHAR(65+INT(MOD(COUNTIFS($B$2:$B176,"WB")-1,81)/9))&amp;(MOD(COUNTIFS($B$2:$B176,"WB")-1,9)+1),"N/A"),"")</f>
        <v/>
      </c>
      <c r="K176" s="3" t="str">
        <f t="shared" si="37"/>
        <v/>
      </c>
      <c r="L176" s="2"/>
      <c r="M176" s="2"/>
      <c r="N176" s="2"/>
      <c r="O176" s="7" t="str">
        <f t="shared" si="38"/>
        <v/>
      </c>
      <c r="P176" s="7" t="str">
        <f t="shared" si="39"/>
        <v/>
      </c>
      <c r="Q176" s="7" t="str">
        <f t="shared" si="40"/>
        <v/>
      </c>
      <c r="R176" s="7" t="str">
        <f t="shared" si="41"/>
        <v/>
      </c>
      <c r="S176" s="7" t="str">
        <f t="shared" si="42"/>
        <v/>
      </c>
      <c r="T176" s="7" t="str">
        <f t="shared" si="43"/>
        <v/>
      </c>
      <c r="U176" s="7" t="str">
        <f t="shared" si="44"/>
        <v/>
      </c>
      <c r="V176" s="7" t="str">
        <f t="shared" si="45"/>
        <v/>
      </c>
      <c r="W176" s="7" t="str">
        <f t="shared" si="46"/>
        <v/>
      </c>
      <c r="X176" s="7" t="str">
        <f t="shared" si="47"/>
        <v/>
      </c>
      <c r="Y176">
        <f t="shared" si="48"/>
        <v>0</v>
      </c>
      <c r="Z176" t="str">
        <f t="shared" si="49"/>
        <v/>
      </c>
      <c r="AA176" t="str">
        <f t="shared" si="50"/>
        <v/>
      </c>
      <c r="AB176" t="str">
        <f t="shared" si="51"/>
        <v/>
      </c>
      <c r="AC176" t="str">
        <f t="shared" si="52"/>
        <v/>
      </c>
      <c r="AD176">
        <f t="shared" si="53"/>
        <v>0</v>
      </c>
    </row>
    <row r="177" spans="1:30" ht="15" customHeight="1" x14ac:dyDescent="0.35">
      <c r="A177" s="2"/>
      <c r="B177" s="3"/>
      <c r="C177" s="4"/>
      <c r="D177" s="5"/>
      <c r="E177" s="11" t="str">
        <f t="shared" ca="1" si="36"/>
        <v/>
      </c>
      <c r="F177" s="5"/>
      <c r="G177" s="6" t="str">
        <f>IF(AND($A177&lt;&gt;"",$B177&lt;&gt;"",$C177&lt;&gt;"",$D177&lt;&gt;""),IF(OR($B177="SER",$B177="PLH",$B177="CSF"),"Control CDI Plate "&amp;(INT(((COUNTIFS($B$2:$B177,"SER")+COUNTIFS($B$2:$B177,"PLH")+COUNTIFS($B$2:$B177,"CSF"))-1)/96)+1)&amp;": "&amp;CHAR(65+INT(MOD((COUNTIFS($B$2:$B177,"SER")+COUNTIFS($B$2:$B177,"PLH")+COUNTIFS($B$2:$B177,"CSF"))-1,96)/12))&amp;(MOD((COUNTIFS($B$2:$B177,"SER")+COUNTIFS($B$2:$B177,"PLH")+COUNTIFS($B$2:$B177,"CSF"))-1,12)+1),"N/A"),"")</f>
        <v/>
      </c>
      <c r="H177" s="6" t="str">
        <f>IF(AND($A177&lt;&gt;"",$B177&lt;&gt;"",$C177&lt;&gt;"",$D177&lt;&gt;""),IF(OR($B177="SER",$B177="PLH",$B177="CSF"),"Control NIH Plate "&amp;(INT(((COUNTIFS($B$2:$B177,"SER")+COUNTIFS($B$2:$B177,"PLH")+COUNTIFS($B$2:$B177,"CSF"))-1)/96)+1)&amp;": "&amp;CHAR(65+INT(MOD((COUNTIFS($B$2:$B177,"SER")+COUNTIFS($B$2:$B177,"PLH")+COUNTIFS($B$2:$B177,"CSF"))-1,96)/12))&amp;(MOD((COUNTIFS($B$2:$B177,"SER")+COUNTIFS($B$2:$B177,"PLH")+COUNTIFS($B$2:$B177,"CSF"))-1,12)+1),"N/A"),"")</f>
        <v/>
      </c>
      <c r="I177" s="6" t="str">
        <f>IF(AND($A177&lt;&gt;"",$B177&lt;&gt;"",$C177&lt;&gt;"",$D177&lt;&gt;""),IF(OR($B177="SER",$B177="PLH"),"Control MAX Planck Plate "&amp;(INT(((COUNTIFS($B$2:$B177,"SER")+COUNTIFS($B$2:$B177,"PLH"))-1)/96)+1)&amp;": "&amp;CHAR(65+INT(MOD((COUNTIFS($B$2:$B177,"SER")+COUNTIFS($B$2:$B177,"PLH"))-1,96)/12))&amp;(MOD((COUNTIFS($B$2:$B177,"SER")+COUNTIFS($B$2:$B177,"PLH"))-1,12)+1),"N/A"),"")</f>
        <v/>
      </c>
      <c r="J177" s="6" t="str">
        <f>IF(AND($A177&lt;&gt;"",$B177&lt;&gt;"",$C177&lt;&gt;"",$D177&lt;&gt;""),IF($B177="WB","Control WB Box "&amp;(INT((COUNTIFS($B$2:$B177,"WB")-1)/81)+1)&amp;": "&amp;CHAR(65+INT(MOD(COUNTIFS($B$2:$B177,"WB")-1,81)/9))&amp;(MOD(COUNTIFS($B$2:$B177,"WB")-1,9)+1),"N/A"),"")</f>
        <v/>
      </c>
      <c r="K177" s="3" t="str">
        <f t="shared" si="37"/>
        <v/>
      </c>
      <c r="L177" s="2"/>
      <c r="M177" s="2"/>
      <c r="N177" s="2"/>
      <c r="O177" s="7" t="str">
        <f t="shared" si="38"/>
        <v/>
      </c>
      <c r="P177" s="7" t="str">
        <f t="shared" si="39"/>
        <v/>
      </c>
      <c r="Q177" s="7" t="str">
        <f t="shared" si="40"/>
        <v/>
      </c>
      <c r="R177" s="7" t="str">
        <f t="shared" si="41"/>
        <v/>
      </c>
      <c r="S177" s="7" t="str">
        <f t="shared" si="42"/>
        <v/>
      </c>
      <c r="T177" s="7" t="str">
        <f t="shared" si="43"/>
        <v/>
      </c>
      <c r="U177" s="7" t="str">
        <f t="shared" si="44"/>
        <v/>
      </c>
      <c r="V177" s="7" t="str">
        <f t="shared" si="45"/>
        <v/>
      </c>
      <c r="W177" s="7" t="str">
        <f t="shared" si="46"/>
        <v/>
      </c>
      <c r="X177" s="7" t="str">
        <f t="shared" si="47"/>
        <v/>
      </c>
      <c r="Y177">
        <f t="shared" si="48"/>
        <v>0</v>
      </c>
      <c r="Z177" t="str">
        <f t="shared" si="49"/>
        <v/>
      </c>
      <c r="AA177" t="str">
        <f t="shared" si="50"/>
        <v/>
      </c>
      <c r="AB177" t="str">
        <f t="shared" si="51"/>
        <v/>
      </c>
      <c r="AC177" t="str">
        <f t="shared" si="52"/>
        <v/>
      </c>
      <c r="AD177">
        <f t="shared" si="53"/>
        <v>0</v>
      </c>
    </row>
    <row r="178" spans="1:30" ht="15" customHeight="1" x14ac:dyDescent="0.35">
      <c r="A178" s="2"/>
      <c r="B178" s="3"/>
      <c r="C178" s="4"/>
      <c r="D178" s="5"/>
      <c r="E178" s="11" t="str">
        <f t="shared" ca="1" si="36"/>
        <v/>
      </c>
      <c r="F178" s="5"/>
      <c r="G178" s="6" t="str">
        <f>IF(AND($A178&lt;&gt;"",$B178&lt;&gt;"",$C178&lt;&gt;"",$D178&lt;&gt;""),IF(OR($B178="SER",$B178="PLH",$B178="CSF"),"Control CDI Plate "&amp;(INT(((COUNTIFS($B$2:$B178,"SER")+COUNTIFS($B$2:$B178,"PLH")+COUNTIFS($B$2:$B178,"CSF"))-1)/96)+1)&amp;": "&amp;CHAR(65+INT(MOD((COUNTIFS($B$2:$B178,"SER")+COUNTIFS($B$2:$B178,"PLH")+COUNTIFS($B$2:$B178,"CSF"))-1,96)/12))&amp;(MOD((COUNTIFS($B$2:$B178,"SER")+COUNTIFS($B$2:$B178,"PLH")+COUNTIFS($B$2:$B178,"CSF"))-1,12)+1),"N/A"),"")</f>
        <v/>
      </c>
      <c r="H178" s="6" t="str">
        <f>IF(AND($A178&lt;&gt;"",$B178&lt;&gt;"",$C178&lt;&gt;"",$D178&lt;&gt;""),IF(OR($B178="SER",$B178="PLH",$B178="CSF"),"Control NIH Plate "&amp;(INT(((COUNTIFS($B$2:$B178,"SER")+COUNTIFS($B$2:$B178,"PLH")+COUNTIFS($B$2:$B178,"CSF"))-1)/96)+1)&amp;": "&amp;CHAR(65+INT(MOD((COUNTIFS($B$2:$B178,"SER")+COUNTIFS($B$2:$B178,"PLH")+COUNTIFS($B$2:$B178,"CSF"))-1,96)/12))&amp;(MOD((COUNTIFS($B$2:$B178,"SER")+COUNTIFS($B$2:$B178,"PLH")+COUNTIFS($B$2:$B178,"CSF"))-1,12)+1),"N/A"),"")</f>
        <v/>
      </c>
      <c r="I178" s="6" t="str">
        <f>IF(AND($A178&lt;&gt;"",$B178&lt;&gt;"",$C178&lt;&gt;"",$D178&lt;&gt;""),IF(OR($B178="SER",$B178="PLH"),"Control MAX Planck Plate "&amp;(INT(((COUNTIFS($B$2:$B178,"SER")+COUNTIFS($B$2:$B178,"PLH"))-1)/96)+1)&amp;": "&amp;CHAR(65+INT(MOD((COUNTIFS($B$2:$B178,"SER")+COUNTIFS($B$2:$B178,"PLH"))-1,96)/12))&amp;(MOD((COUNTIFS($B$2:$B178,"SER")+COUNTIFS($B$2:$B178,"PLH"))-1,12)+1),"N/A"),"")</f>
        <v/>
      </c>
      <c r="J178" s="6" t="str">
        <f>IF(AND($A178&lt;&gt;"",$B178&lt;&gt;"",$C178&lt;&gt;"",$D178&lt;&gt;""),IF($B178="WB","Control WB Box "&amp;(INT((COUNTIFS($B$2:$B178,"WB")-1)/81)+1)&amp;": "&amp;CHAR(65+INT(MOD(COUNTIFS($B$2:$B178,"WB")-1,81)/9))&amp;(MOD(COUNTIFS($B$2:$B178,"WB")-1,9)+1),"N/A"),"")</f>
        <v/>
      </c>
      <c r="K178" s="3" t="str">
        <f t="shared" si="37"/>
        <v/>
      </c>
      <c r="L178" s="2"/>
      <c r="M178" s="2"/>
      <c r="N178" s="2"/>
      <c r="O178" s="7" t="str">
        <f t="shared" si="38"/>
        <v/>
      </c>
      <c r="P178" s="7" t="str">
        <f t="shared" si="39"/>
        <v/>
      </c>
      <c r="Q178" s="7" t="str">
        <f t="shared" si="40"/>
        <v/>
      </c>
      <c r="R178" s="7" t="str">
        <f t="shared" si="41"/>
        <v/>
      </c>
      <c r="S178" s="7" t="str">
        <f t="shared" si="42"/>
        <v/>
      </c>
      <c r="T178" s="7" t="str">
        <f t="shared" si="43"/>
        <v/>
      </c>
      <c r="U178" s="7" t="str">
        <f t="shared" si="44"/>
        <v/>
      </c>
      <c r="V178" s="7" t="str">
        <f t="shared" si="45"/>
        <v/>
      </c>
      <c r="W178" s="7" t="str">
        <f t="shared" si="46"/>
        <v/>
      </c>
      <c r="X178" s="7" t="str">
        <f t="shared" si="47"/>
        <v/>
      </c>
      <c r="Y178">
        <f t="shared" si="48"/>
        <v>0</v>
      </c>
      <c r="Z178" t="str">
        <f t="shared" si="49"/>
        <v/>
      </c>
      <c r="AA178" t="str">
        <f t="shared" si="50"/>
        <v/>
      </c>
      <c r="AB178" t="str">
        <f t="shared" si="51"/>
        <v/>
      </c>
      <c r="AC178" t="str">
        <f t="shared" si="52"/>
        <v/>
      </c>
      <c r="AD178">
        <f t="shared" si="53"/>
        <v>0</v>
      </c>
    </row>
    <row r="179" spans="1:30" ht="15" customHeight="1" x14ac:dyDescent="0.35">
      <c r="A179" s="2"/>
      <c r="B179" s="3"/>
      <c r="C179" s="4"/>
      <c r="D179" s="5"/>
      <c r="E179" s="11" t="str">
        <f t="shared" ca="1" si="36"/>
        <v/>
      </c>
      <c r="F179" s="5"/>
      <c r="G179" s="6" t="str">
        <f>IF(AND($A179&lt;&gt;"",$B179&lt;&gt;"",$C179&lt;&gt;"",$D179&lt;&gt;""),IF(OR($B179="SER",$B179="PLH",$B179="CSF"),"Control CDI Plate "&amp;(INT(((COUNTIFS($B$2:$B179,"SER")+COUNTIFS($B$2:$B179,"PLH")+COUNTIFS($B$2:$B179,"CSF"))-1)/96)+1)&amp;": "&amp;CHAR(65+INT(MOD((COUNTIFS($B$2:$B179,"SER")+COUNTIFS($B$2:$B179,"PLH")+COUNTIFS($B$2:$B179,"CSF"))-1,96)/12))&amp;(MOD((COUNTIFS($B$2:$B179,"SER")+COUNTIFS($B$2:$B179,"PLH")+COUNTIFS($B$2:$B179,"CSF"))-1,12)+1),"N/A"),"")</f>
        <v/>
      </c>
      <c r="H179" s="6" t="str">
        <f>IF(AND($A179&lt;&gt;"",$B179&lt;&gt;"",$C179&lt;&gt;"",$D179&lt;&gt;""),IF(OR($B179="SER",$B179="PLH",$B179="CSF"),"Control NIH Plate "&amp;(INT(((COUNTIFS($B$2:$B179,"SER")+COUNTIFS($B$2:$B179,"PLH")+COUNTIFS($B$2:$B179,"CSF"))-1)/96)+1)&amp;": "&amp;CHAR(65+INT(MOD((COUNTIFS($B$2:$B179,"SER")+COUNTIFS($B$2:$B179,"PLH")+COUNTIFS($B$2:$B179,"CSF"))-1,96)/12))&amp;(MOD((COUNTIFS($B$2:$B179,"SER")+COUNTIFS($B$2:$B179,"PLH")+COUNTIFS($B$2:$B179,"CSF"))-1,12)+1),"N/A"),"")</f>
        <v/>
      </c>
      <c r="I179" s="6" t="str">
        <f>IF(AND($A179&lt;&gt;"",$B179&lt;&gt;"",$C179&lt;&gt;"",$D179&lt;&gt;""),IF(OR($B179="SER",$B179="PLH"),"Control MAX Planck Plate "&amp;(INT(((COUNTIFS($B$2:$B179,"SER")+COUNTIFS($B$2:$B179,"PLH"))-1)/96)+1)&amp;": "&amp;CHAR(65+INT(MOD((COUNTIFS($B$2:$B179,"SER")+COUNTIFS($B$2:$B179,"PLH"))-1,96)/12))&amp;(MOD((COUNTIFS($B$2:$B179,"SER")+COUNTIFS($B$2:$B179,"PLH"))-1,12)+1),"N/A"),"")</f>
        <v/>
      </c>
      <c r="J179" s="6" t="str">
        <f>IF(AND($A179&lt;&gt;"",$B179&lt;&gt;"",$C179&lt;&gt;"",$D179&lt;&gt;""),IF($B179="WB","Control WB Box "&amp;(INT((COUNTIFS($B$2:$B179,"WB")-1)/81)+1)&amp;": "&amp;CHAR(65+INT(MOD(COUNTIFS($B$2:$B179,"WB")-1,81)/9))&amp;(MOD(COUNTIFS($B$2:$B179,"WB")-1,9)+1),"N/A"),"")</f>
        <v/>
      </c>
      <c r="K179" s="3" t="str">
        <f t="shared" si="37"/>
        <v/>
      </c>
      <c r="L179" s="2"/>
      <c r="M179" s="2"/>
      <c r="N179" s="2"/>
      <c r="O179" s="7" t="str">
        <f t="shared" si="38"/>
        <v/>
      </c>
      <c r="P179" s="7" t="str">
        <f t="shared" si="39"/>
        <v/>
      </c>
      <c r="Q179" s="7" t="str">
        <f t="shared" si="40"/>
        <v/>
      </c>
      <c r="R179" s="7" t="str">
        <f t="shared" si="41"/>
        <v/>
      </c>
      <c r="S179" s="7" t="str">
        <f t="shared" si="42"/>
        <v/>
      </c>
      <c r="T179" s="7" t="str">
        <f t="shared" si="43"/>
        <v/>
      </c>
      <c r="U179" s="7" t="str">
        <f t="shared" si="44"/>
        <v/>
      </c>
      <c r="V179" s="7" t="str">
        <f t="shared" si="45"/>
        <v/>
      </c>
      <c r="W179" s="7" t="str">
        <f t="shared" si="46"/>
        <v/>
      </c>
      <c r="X179" s="7" t="str">
        <f t="shared" si="47"/>
        <v/>
      </c>
      <c r="Y179">
        <f t="shared" si="48"/>
        <v>0</v>
      </c>
      <c r="Z179" t="str">
        <f t="shared" si="49"/>
        <v/>
      </c>
      <c r="AA179" t="str">
        <f t="shared" si="50"/>
        <v/>
      </c>
      <c r="AB179" t="str">
        <f t="shared" si="51"/>
        <v/>
      </c>
      <c r="AC179" t="str">
        <f t="shared" si="52"/>
        <v/>
      </c>
      <c r="AD179">
        <f t="shared" si="53"/>
        <v>0</v>
      </c>
    </row>
    <row r="180" spans="1:30" ht="15" customHeight="1" x14ac:dyDescent="0.35">
      <c r="A180" s="2"/>
      <c r="B180" s="3"/>
      <c r="C180" s="4"/>
      <c r="D180" s="5"/>
      <c r="E180" s="11" t="str">
        <f t="shared" ca="1" si="36"/>
        <v/>
      </c>
      <c r="F180" s="5"/>
      <c r="G180" s="6" t="str">
        <f>IF(AND($A180&lt;&gt;"",$B180&lt;&gt;"",$C180&lt;&gt;"",$D180&lt;&gt;""),IF(OR($B180="SER",$B180="PLH",$B180="CSF"),"Control CDI Plate "&amp;(INT(((COUNTIFS($B$2:$B180,"SER")+COUNTIFS($B$2:$B180,"PLH")+COUNTIFS($B$2:$B180,"CSF"))-1)/96)+1)&amp;": "&amp;CHAR(65+INT(MOD((COUNTIFS($B$2:$B180,"SER")+COUNTIFS($B$2:$B180,"PLH")+COUNTIFS($B$2:$B180,"CSF"))-1,96)/12))&amp;(MOD((COUNTIFS($B$2:$B180,"SER")+COUNTIFS($B$2:$B180,"PLH")+COUNTIFS($B$2:$B180,"CSF"))-1,12)+1),"N/A"),"")</f>
        <v/>
      </c>
      <c r="H180" s="6" t="str">
        <f>IF(AND($A180&lt;&gt;"",$B180&lt;&gt;"",$C180&lt;&gt;"",$D180&lt;&gt;""),IF(OR($B180="SER",$B180="PLH",$B180="CSF"),"Control NIH Plate "&amp;(INT(((COUNTIFS($B$2:$B180,"SER")+COUNTIFS($B$2:$B180,"PLH")+COUNTIFS($B$2:$B180,"CSF"))-1)/96)+1)&amp;": "&amp;CHAR(65+INT(MOD((COUNTIFS($B$2:$B180,"SER")+COUNTIFS($B$2:$B180,"PLH")+COUNTIFS($B$2:$B180,"CSF"))-1,96)/12))&amp;(MOD((COUNTIFS($B$2:$B180,"SER")+COUNTIFS($B$2:$B180,"PLH")+COUNTIFS($B$2:$B180,"CSF"))-1,12)+1),"N/A"),"")</f>
        <v/>
      </c>
      <c r="I180" s="6" t="str">
        <f>IF(AND($A180&lt;&gt;"",$B180&lt;&gt;"",$C180&lt;&gt;"",$D180&lt;&gt;""),IF(OR($B180="SER",$B180="PLH"),"Control MAX Planck Plate "&amp;(INT(((COUNTIFS($B$2:$B180,"SER")+COUNTIFS($B$2:$B180,"PLH"))-1)/96)+1)&amp;": "&amp;CHAR(65+INT(MOD((COUNTIFS($B$2:$B180,"SER")+COUNTIFS($B$2:$B180,"PLH"))-1,96)/12))&amp;(MOD((COUNTIFS($B$2:$B180,"SER")+COUNTIFS($B$2:$B180,"PLH"))-1,12)+1),"N/A"),"")</f>
        <v/>
      </c>
      <c r="J180" s="6" t="str">
        <f>IF(AND($A180&lt;&gt;"",$B180&lt;&gt;"",$C180&lt;&gt;"",$D180&lt;&gt;""),IF($B180="WB","Control WB Box "&amp;(INT((COUNTIFS($B$2:$B180,"WB")-1)/81)+1)&amp;": "&amp;CHAR(65+INT(MOD(COUNTIFS($B$2:$B180,"WB")-1,81)/9))&amp;(MOD(COUNTIFS($B$2:$B180,"WB")-1,9)+1),"N/A"),"")</f>
        <v/>
      </c>
      <c r="K180" s="3" t="str">
        <f t="shared" si="37"/>
        <v/>
      </c>
      <c r="L180" s="2"/>
      <c r="M180" s="2"/>
      <c r="N180" s="2"/>
      <c r="O180" s="7" t="str">
        <f t="shared" si="38"/>
        <v/>
      </c>
      <c r="P180" s="7" t="str">
        <f t="shared" si="39"/>
        <v/>
      </c>
      <c r="Q180" s="7" t="str">
        <f t="shared" si="40"/>
        <v/>
      </c>
      <c r="R180" s="7" t="str">
        <f t="shared" si="41"/>
        <v/>
      </c>
      <c r="S180" s="7" t="str">
        <f t="shared" si="42"/>
        <v/>
      </c>
      <c r="T180" s="7" t="str">
        <f t="shared" si="43"/>
        <v/>
      </c>
      <c r="U180" s="7" t="str">
        <f t="shared" si="44"/>
        <v/>
      </c>
      <c r="V180" s="7" t="str">
        <f t="shared" si="45"/>
        <v/>
      </c>
      <c r="W180" s="7" t="str">
        <f t="shared" si="46"/>
        <v/>
      </c>
      <c r="X180" s="7" t="str">
        <f t="shared" si="47"/>
        <v/>
      </c>
      <c r="Y180">
        <f t="shared" si="48"/>
        <v>0</v>
      </c>
      <c r="Z180" t="str">
        <f t="shared" si="49"/>
        <v/>
      </c>
      <c r="AA180" t="str">
        <f t="shared" si="50"/>
        <v/>
      </c>
      <c r="AB180" t="str">
        <f t="shared" si="51"/>
        <v/>
      </c>
      <c r="AC180" t="str">
        <f t="shared" si="52"/>
        <v/>
      </c>
      <c r="AD180">
        <f t="shared" si="53"/>
        <v>0</v>
      </c>
    </row>
    <row r="181" spans="1:30" ht="15" customHeight="1" x14ac:dyDescent="0.35">
      <c r="A181" s="2"/>
      <c r="B181" s="3"/>
      <c r="C181" s="4"/>
      <c r="D181" s="5"/>
      <c r="E181" s="11" t="str">
        <f t="shared" ca="1" si="36"/>
        <v/>
      </c>
      <c r="F181" s="5"/>
      <c r="G181" s="6" t="str">
        <f>IF(AND($A181&lt;&gt;"",$B181&lt;&gt;"",$C181&lt;&gt;"",$D181&lt;&gt;""),IF(OR($B181="SER",$B181="PLH",$B181="CSF"),"Control CDI Plate "&amp;(INT(((COUNTIFS($B$2:$B181,"SER")+COUNTIFS($B$2:$B181,"PLH")+COUNTIFS($B$2:$B181,"CSF"))-1)/96)+1)&amp;": "&amp;CHAR(65+INT(MOD((COUNTIFS($B$2:$B181,"SER")+COUNTIFS($B$2:$B181,"PLH")+COUNTIFS($B$2:$B181,"CSF"))-1,96)/12))&amp;(MOD((COUNTIFS($B$2:$B181,"SER")+COUNTIFS($B$2:$B181,"PLH")+COUNTIFS($B$2:$B181,"CSF"))-1,12)+1),"N/A"),"")</f>
        <v/>
      </c>
      <c r="H181" s="6" t="str">
        <f>IF(AND($A181&lt;&gt;"",$B181&lt;&gt;"",$C181&lt;&gt;"",$D181&lt;&gt;""),IF(OR($B181="SER",$B181="PLH",$B181="CSF"),"Control NIH Plate "&amp;(INT(((COUNTIFS($B$2:$B181,"SER")+COUNTIFS($B$2:$B181,"PLH")+COUNTIFS($B$2:$B181,"CSF"))-1)/96)+1)&amp;": "&amp;CHAR(65+INT(MOD((COUNTIFS($B$2:$B181,"SER")+COUNTIFS($B$2:$B181,"PLH")+COUNTIFS($B$2:$B181,"CSF"))-1,96)/12))&amp;(MOD((COUNTIFS($B$2:$B181,"SER")+COUNTIFS($B$2:$B181,"PLH")+COUNTIFS($B$2:$B181,"CSF"))-1,12)+1),"N/A"),"")</f>
        <v/>
      </c>
      <c r="I181" s="6" t="str">
        <f>IF(AND($A181&lt;&gt;"",$B181&lt;&gt;"",$C181&lt;&gt;"",$D181&lt;&gt;""),IF(OR($B181="SER",$B181="PLH"),"Control MAX Planck Plate "&amp;(INT(((COUNTIFS($B$2:$B181,"SER")+COUNTIFS($B$2:$B181,"PLH"))-1)/96)+1)&amp;": "&amp;CHAR(65+INT(MOD((COUNTIFS($B$2:$B181,"SER")+COUNTIFS($B$2:$B181,"PLH"))-1,96)/12))&amp;(MOD((COUNTIFS($B$2:$B181,"SER")+COUNTIFS($B$2:$B181,"PLH"))-1,12)+1),"N/A"),"")</f>
        <v/>
      </c>
      <c r="J181" s="6" t="str">
        <f>IF(AND($A181&lt;&gt;"",$B181&lt;&gt;"",$C181&lt;&gt;"",$D181&lt;&gt;""),IF($B181="WB","Control WB Box "&amp;(INT((COUNTIFS($B$2:$B181,"WB")-1)/81)+1)&amp;": "&amp;CHAR(65+INT(MOD(COUNTIFS($B$2:$B181,"WB")-1,81)/9))&amp;(MOD(COUNTIFS($B$2:$B181,"WB")-1,9)+1),"N/A"),"")</f>
        <v/>
      </c>
      <c r="K181" s="3" t="str">
        <f t="shared" si="37"/>
        <v/>
      </c>
      <c r="L181" s="2"/>
      <c r="M181" s="2"/>
      <c r="N181" s="2"/>
      <c r="O181" s="7" t="str">
        <f t="shared" si="38"/>
        <v/>
      </c>
      <c r="P181" s="7" t="str">
        <f t="shared" si="39"/>
        <v/>
      </c>
      <c r="Q181" s="7" t="str">
        <f t="shared" si="40"/>
        <v/>
      </c>
      <c r="R181" s="7" t="str">
        <f t="shared" si="41"/>
        <v/>
      </c>
      <c r="S181" s="7" t="str">
        <f t="shared" si="42"/>
        <v/>
      </c>
      <c r="T181" s="7" t="str">
        <f t="shared" si="43"/>
        <v/>
      </c>
      <c r="U181" s="7" t="str">
        <f t="shared" si="44"/>
        <v/>
      </c>
      <c r="V181" s="7" t="str">
        <f t="shared" si="45"/>
        <v/>
      </c>
      <c r="W181" s="7" t="str">
        <f t="shared" si="46"/>
        <v/>
      </c>
      <c r="X181" s="7" t="str">
        <f t="shared" si="47"/>
        <v/>
      </c>
      <c r="Y181">
        <f t="shared" si="48"/>
        <v>0</v>
      </c>
      <c r="Z181" t="str">
        <f t="shared" si="49"/>
        <v/>
      </c>
      <c r="AA181" t="str">
        <f t="shared" si="50"/>
        <v/>
      </c>
      <c r="AB181" t="str">
        <f t="shared" si="51"/>
        <v/>
      </c>
      <c r="AC181" t="str">
        <f t="shared" si="52"/>
        <v/>
      </c>
      <c r="AD181">
        <f t="shared" si="53"/>
        <v>0</v>
      </c>
    </row>
    <row r="182" spans="1:30" ht="15" customHeight="1" x14ac:dyDescent="0.35">
      <c r="A182" s="2"/>
      <c r="B182" s="3"/>
      <c r="C182" s="4"/>
      <c r="D182" s="5"/>
      <c r="E182" s="11" t="str">
        <f t="shared" ca="1" si="36"/>
        <v/>
      </c>
      <c r="F182" s="5"/>
      <c r="G182" s="6" t="str">
        <f>IF(AND($A182&lt;&gt;"",$B182&lt;&gt;"",$C182&lt;&gt;"",$D182&lt;&gt;""),IF(OR($B182="SER",$B182="PLH",$B182="CSF"),"Control CDI Plate "&amp;(INT(((COUNTIFS($B$2:$B182,"SER")+COUNTIFS($B$2:$B182,"PLH")+COUNTIFS($B$2:$B182,"CSF"))-1)/96)+1)&amp;": "&amp;CHAR(65+INT(MOD((COUNTIFS($B$2:$B182,"SER")+COUNTIFS($B$2:$B182,"PLH")+COUNTIFS($B$2:$B182,"CSF"))-1,96)/12))&amp;(MOD((COUNTIFS($B$2:$B182,"SER")+COUNTIFS($B$2:$B182,"PLH")+COUNTIFS($B$2:$B182,"CSF"))-1,12)+1),"N/A"),"")</f>
        <v/>
      </c>
      <c r="H182" s="6" t="str">
        <f>IF(AND($A182&lt;&gt;"",$B182&lt;&gt;"",$C182&lt;&gt;"",$D182&lt;&gt;""),IF(OR($B182="SER",$B182="PLH",$B182="CSF"),"Control NIH Plate "&amp;(INT(((COUNTIFS($B$2:$B182,"SER")+COUNTIFS($B$2:$B182,"PLH")+COUNTIFS($B$2:$B182,"CSF"))-1)/96)+1)&amp;": "&amp;CHAR(65+INT(MOD((COUNTIFS($B$2:$B182,"SER")+COUNTIFS($B$2:$B182,"PLH")+COUNTIFS($B$2:$B182,"CSF"))-1,96)/12))&amp;(MOD((COUNTIFS($B$2:$B182,"SER")+COUNTIFS($B$2:$B182,"PLH")+COUNTIFS($B$2:$B182,"CSF"))-1,12)+1),"N/A"),"")</f>
        <v/>
      </c>
      <c r="I182" s="6" t="str">
        <f>IF(AND($A182&lt;&gt;"",$B182&lt;&gt;"",$C182&lt;&gt;"",$D182&lt;&gt;""),IF(OR($B182="SER",$B182="PLH"),"Control MAX Planck Plate "&amp;(INT(((COUNTIFS($B$2:$B182,"SER")+COUNTIFS($B$2:$B182,"PLH"))-1)/96)+1)&amp;": "&amp;CHAR(65+INT(MOD((COUNTIFS($B$2:$B182,"SER")+COUNTIFS($B$2:$B182,"PLH"))-1,96)/12))&amp;(MOD((COUNTIFS($B$2:$B182,"SER")+COUNTIFS($B$2:$B182,"PLH"))-1,12)+1),"N/A"),"")</f>
        <v/>
      </c>
      <c r="J182" s="6" t="str">
        <f>IF(AND($A182&lt;&gt;"",$B182&lt;&gt;"",$C182&lt;&gt;"",$D182&lt;&gt;""),IF($B182="WB","Control WB Box "&amp;(INT((COUNTIFS($B$2:$B182,"WB")-1)/81)+1)&amp;": "&amp;CHAR(65+INT(MOD(COUNTIFS($B$2:$B182,"WB")-1,81)/9))&amp;(MOD(COUNTIFS($B$2:$B182,"WB")-1,9)+1),"N/A"),"")</f>
        <v/>
      </c>
      <c r="K182" s="3" t="str">
        <f t="shared" si="37"/>
        <v/>
      </c>
      <c r="L182" s="2"/>
      <c r="M182" s="2"/>
      <c r="N182" s="2"/>
      <c r="O182" s="7" t="str">
        <f t="shared" si="38"/>
        <v/>
      </c>
      <c r="P182" s="7" t="str">
        <f t="shared" si="39"/>
        <v/>
      </c>
      <c r="Q182" s="7" t="str">
        <f t="shared" si="40"/>
        <v/>
      </c>
      <c r="R182" s="7" t="str">
        <f t="shared" si="41"/>
        <v/>
      </c>
      <c r="S182" s="7" t="str">
        <f t="shared" si="42"/>
        <v/>
      </c>
      <c r="T182" s="7" t="str">
        <f t="shared" si="43"/>
        <v/>
      </c>
      <c r="U182" s="7" t="str">
        <f t="shared" si="44"/>
        <v/>
      </c>
      <c r="V182" s="7" t="str">
        <f t="shared" si="45"/>
        <v/>
      </c>
      <c r="W182" s="7" t="str">
        <f t="shared" si="46"/>
        <v/>
      </c>
      <c r="X182" s="7" t="str">
        <f t="shared" si="47"/>
        <v/>
      </c>
      <c r="Y182">
        <f t="shared" si="48"/>
        <v>0</v>
      </c>
      <c r="Z182" t="str">
        <f t="shared" si="49"/>
        <v/>
      </c>
      <c r="AA182" t="str">
        <f t="shared" si="50"/>
        <v/>
      </c>
      <c r="AB182" t="str">
        <f t="shared" si="51"/>
        <v/>
      </c>
      <c r="AC182" t="str">
        <f t="shared" si="52"/>
        <v/>
      </c>
      <c r="AD182">
        <f t="shared" si="53"/>
        <v>0</v>
      </c>
    </row>
    <row r="183" spans="1:30" ht="15" customHeight="1" x14ac:dyDescent="0.35">
      <c r="A183" s="2"/>
      <c r="B183" s="3"/>
      <c r="C183" s="4"/>
      <c r="D183" s="5"/>
      <c r="E183" s="11" t="str">
        <f t="shared" ca="1" si="36"/>
        <v/>
      </c>
      <c r="F183" s="5"/>
      <c r="G183" s="6" t="str">
        <f>IF(AND($A183&lt;&gt;"",$B183&lt;&gt;"",$C183&lt;&gt;"",$D183&lt;&gt;""),IF(OR($B183="SER",$B183="PLH",$B183="CSF"),"Control CDI Plate "&amp;(INT(((COUNTIFS($B$2:$B183,"SER")+COUNTIFS($B$2:$B183,"PLH")+COUNTIFS($B$2:$B183,"CSF"))-1)/96)+1)&amp;": "&amp;CHAR(65+INT(MOD((COUNTIFS($B$2:$B183,"SER")+COUNTIFS($B$2:$B183,"PLH")+COUNTIFS($B$2:$B183,"CSF"))-1,96)/12))&amp;(MOD((COUNTIFS($B$2:$B183,"SER")+COUNTIFS($B$2:$B183,"PLH")+COUNTIFS($B$2:$B183,"CSF"))-1,12)+1),"N/A"),"")</f>
        <v/>
      </c>
      <c r="H183" s="6" t="str">
        <f>IF(AND($A183&lt;&gt;"",$B183&lt;&gt;"",$C183&lt;&gt;"",$D183&lt;&gt;""),IF(OR($B183="SER",$B183="PLH",$B183="CSF"),"Control NIH Plate "&amp;(INT(((COUNTIFS($B$2:$B183,"SER")+COUNTIFS($B$2:$B183,"PLH")+COUNTIFS($B$2:$B183,"CSF"))-1)/96)+1)&amp;": "&amp;CHAR(65+INT(MOD((COUNTIFS($B$2:$B183,"SER")+COUNTIFS($B$2:$B183,"PLH")+COUNTIFS($B$2:$B183,"CSF"))-1,96)/12))&amp;(MOD((COUNTIFS($B$2:$B183,"SER")+COUNTIFS($B$2:$B183,"PLH")+COUNTIFS($B$2:$B183,"CSF"))-1,12)+1),"N/A"),"")</f>
        <v/>
      </c>
      <c r="I183" s="6" t="str">
        <f>IF(AND($A183&lt;&gt;"",$B183&lt;&gt;"",$C183&lt;&gt;"",$D183&lt;&gt;""),IF(OR($B183="SER",$B183="PLH"),"Control MAX Planck Plate "&amp;(INT(((COUNTIFS($B$2:$B183,"SER")+COUNTIFS($B$2:$B183,"PLH"))-1)/96)+1)&amp;": "&amp;CHAR(65+INT(MOD((COUNTIFS($B$2:$B183,"SER")+COUNTIFS($B$2:$B183,"PLH"))-1,96)/12))&amp;(MOD((COUNTIFS($B$2:$B183,"SER")+COUNTIFS($B$2:$B183,"PLH"))-1,12)+1),"N/A"),"")</f>
        <v/>
      </c>
      <c r="J183" s="6" t="str">
        <f>IF(AND($A183&lt;&gt;"",$B183&lt;&gt;"",$C183&lt;&gt;"",$D183&lt;&gt;""),IF($B183="WB","Control WB Box "&amp;(INT((COUNTIFS($B$2:$B183,"WB")-1)/81)+1)&amp;": "&amp;CHAR(65+INT(MOD(COUNTIFS($B$2:$B183,"WB")-1,81)/9))&amp;(MOD(COUNTIFS($B$2:$B183,"WB")-1,9)+1),"N/A"),"")</f>
        <v/>
      </c>
      <c r="K183" s="3" t="str">
        <f t="shared" si="37"/>
        <v/>
      </c>
      <c r="L183" s="2"/>
      <c r="M183" s="2"/>
      <c r="N183" s="2"/>
      <c r="O183" s="7" t="str">
        <f t="shared" si="38"/>
        <v/>
      </c>
      <c r="P183" s="7" t="str">
        <f t="shared" si="39"/>
        <v/>
      </c>
      <c r="Q183" s="7" t="str">
        <f t="shared" si="40"/>
        <v/>
      </c>
      <c r="R183" s="7" t="str">
        <f t="shared" si="41"/>
        <v/>
      </c>
      <c r="S183" s="7" t="str">
        <f t="shared" si="42"/>
        <v/>
      </c>
      <c r="T183" s="7" t="str">
        <f t="shared" si="43"/>
        <v/>
      </c>
      <c r="U183" s="7" t="str">
        <f t="shared" si="44"/>
        <v/>
      </c>
      <c r="V183" s="7" t="str">
        <f t="shared" si="45"/>
        <v/>
      </c>
      <c r="W183" s="7" t="str">
        <f t="shared" si="46"/>
        <v/>
      </c>
      <c r="X183" s="7" t="str">
        <f t="shared" si="47"/>
        <v/>
      </c>
      <c r="Y183">
        <f t="shared" si="48"/>
        <v>0</v>
      </c>
      <c r="Z183" t="str">
        <f t="shared" si="49"/>
        <v/>
      </c>
      <c r="AA183" t="str">
        <f t="shared" si="50"/>
        <v/>
      </c>
      <c r="AB183" t="str">
        <f t="shared" si="51"/>
        <v/>
      </c>
      <c r="AC183" t="str">
        <f t="shared" si="52"/>
        <v/>
      </c>
      <c r="AD183">
        <f t="shared" si="53"/>
        <v>0</v>
      </c>
    </row>
    <row r="184" spans="1:30" ht="15" customHeight="1" x14ac:dyDescent="0.35">
      <c r="A184" s="2"/>
      <c r="B184" s="3"/>
      <c r="C184" s="4"/>
      <c r="D184" s="5"/>
      <c r="E184" s="11" t="str">
        <f t="shared" ca="1" si="36"/>
        <v/>
      </c>
      <c r="F184" s="5"/>
      <c r="G184" s="6" t="str">
        <f>IF(AND($A184&lt;&gt;"",$B184&lt;&gt;"",$C184&lt;&gt;"",$D184&lt;&gt;""),IF(OR($B184="SER",$B184="PLH",$B184="CSF"),"Control CDI Plate "&amp;(INT(((COUNTIFS($B$2:$B184,"SER")+COUNTIFS($B$2:$B184,"PLH")+COUNTIFS($B$2:$B184,"CSF"))-1)/96)+1)&amp;": "&amp;CHAR(65+INT(MOD((COUNTIFS($B$2:$B184,"SER")+COUNTIFS($B$2:$B184,"PLH")+COUNTIFS($B$2:$B184,"CSF"))-1,96)/12))&amp;(MOD((COUNTIFS($B$2:$B184,"SER")+COUNTIFS($B$2:$B184,"PLH")+COUNTIFS($B$2:$B184,"CSF"))-1,12)+1),"N/A"),"")</f>
        <v/>
      </c>
      <c r="H184" s="6" t="str">
        <f>IF(AND($A184&lt;&gt;"",$B184&lt;&gt;"",$C184&lt;&gt;"",$D184&lt;&gt;""),IF(OR($B184="SER",$B184="PLH",$B184="CSF"),"Control NIH Plate "&amp;(INT(((COUNTIFS($B$2:$B184,"SER")+COUNTIFS($B$2:$B184,"PLH")+COUNTIFS($B$2:$B184,"CSF"))-1)/96)+1)&amp;": "&amp;CHAR(65+INT(MOD((COUNTIFS($B$2:$B184,"SER")+COUNTIFS($B$2:$B184,"PLH")+COUNTIFS($B$2:$B184,"CSF"))-1,96)/12))&amp;(MOD((COUNTIFS($B$2:$B184,"SER")+COUNTIFS($B$2:$B184,"PLH")+COUNTIFS($B$2:$B184,"CSF"))-1,12)+1),"N/A"),"")</f>
        <v/>
      </c>
      <c r="I184" s="6" t="str">
        <f>IF(AND($A184&lt;&gt;"",$B184&lt;&gt;"",$C184&lt;&gt;"",$D184&lt;&gt;""),IF(OR($B184="SER",$B184="PLH"),"Control MAX Planck Plate "&amp;(INT(((COUNTIFS($B$2:$B184,"SER")+COUNTIFS($B$2:$B184,"PLH"))-1)/96)+1)&amp;": "&amp;CHAR(65+INT(MOD((COUNTIFS($B$2:$B184,"SER")+COUNTIFS($B$2:$B184,"PLH"))-1,96)/12))&amp;(MOD((COUNTIFS($B$2:$B184,"SER")+COUNTIFS($B$2:$B184,"PLH"))-1,12)+1),"N/A"),"")</f>
        <v/>
      </c>
      <c r="J184" s="6" t="str">
        <f>IF(AND($A184&lt;&gt;"",$B184&lt;&gt;"",$C184&lt;&gt;"",$D184&lt;&gt;""),IF($B184="WB","Control WB Box "&amp;(INT((COUNTIFS($B$2:$B184,"WB")-1)/81)+1)&amp;": "&amp;CHAR(65+INT(MOD(COUNTIFS($B$2:$B184,"WB")-1,81)/9))&amp;(MOD(COUNTIFS($B$2:$B184,"WB")-1,9)+1),"N/A"),"")</f>
        <v/>
      </c>
      <c r="K184" s="3" t="str">
        <f t="shared" si="37"/>
        <v/>
      </c>
      <c r="L184" s="2"/>
      <c r="M184" s="2"/>
      <c r="N184" s="2"/>
      <c r="O184" s="7" t="str">
        <f t="shared" si="38"/>
        <v/>
      </c>
      <c r="P184" s="7" t="str">
        <f t="shared" si="39"/>
        <v/>
      </c>
      <c r="Q184" s="7" t="str">
        <f t="shared" si="40"/>
        <v/>
      </c>
      <c r="R184" s="7" t="str">
        <f t="shared" si="41"/>
        <v/>
      </c>
      <c r="S184" s="7" t="str">
        <f t="shared" si="42"/>
        <v/>
      </c>
      <c r="T184" s="7" t="str">
        <f t="shared" si="43"/>
        <v/>
      </c>
      <c r="U184" s="7" t="str">
        <f t="shared" si="44"/>
        <v/>
      </c>
      <c r="V184" s="7" t="str">
        <f t="shared" si="45"/>
        <v/>
      </c>
      <c r="W184" s="7" t="str">
        <f t="shared" si="46"/>
        <v/>
      </c>
      <c r="X184" s="7" t="str">
        <f t="shared" si="47"/>
        <v/>
      </c>
      <c r="Y184">
        <f t="shared" si="48"/>
        <v>0</v>
      </c>
      <c r="Z184" t="str">
        <f t="shared" si="49"/>
        <v/>
      </c>
      <c r="AA184" t="str">
        <f t="shared" si="50"/>
        <v/>
      </c>
      <c r="AB184" t="str">
        <f t="shared" si="51"/>
        <v/>
      </c>
      <c r="AC184" t="str">
        <f t="shared" si="52"/>
        <v/>
      </c>
      <c r="AD184">
        <f t="shared" si="53"/>
        <v>0</v>
      </c>
    </row>
    <row r="185" spans="1:30" ht="15" customHeight="1" x14ac:dyDescent="0.35">
      <c r="A185" s="2"/>
      <c r="B185" s="3"/>
      <c r="C185" s="4"/>
      <c r="D185" s="5"/>
      <c r="E185" s="11" t="str">
        <f t="shared" ca="1" si="36"/>
        <v/>
      </c>
      <c r="F185" s="5"/>
      <c r="G185" s="6" t="str">
        <f>IF(AND($A185&lt;&gt;"",$B185&lt;&gt;"",$C185&lt;&gt;"",$D185&lt;&gt;""),IF(OR($B185="SER",$B185="PLH",$B185="CSF"),"Control CDI Plate "&amp;(INT(((COUNTIFS($B$2:$B185,"SER")+COUNTIFS($B$2:$B185,"PLH")+COUNTIFS($B$2:$B185,"CSF"))-1)/96)+1)&amp;": "&amp;CHAR(65+INT(MOD((COUNTIFS($B$2:$B185,"SER")+COUNTIFS($B$2:$B185,"PLH")+COUNTIFS($B$2:$B185,"CSF"))-1,96)/12))&amp;(MOD((COUNTIFS($B$2:$B185,"SER")+COUNTIFS($B$2:$B185,"PLH")+COUNTIFS($B$2:$B185,"CSF"))-1,12)+1),"N/A"),"")</f>
        <v/>
      </c>
      <c r="H185" s="6" t="str">
        <f>IF(AND($A185&lt;&gt;"",$B185&lt;&gt;"",$C185&lt;&gt;"",$D185&lt;&gt;""),IF(OR($B185="SER",$B185="PLH",$B185="CSF"),"Control NIH Plate "&amp;(INT(((COUNTIFS($B$2:$B185,"SER")+COUNTIFS($B$2:$B185,"PLH")+COUNTIFS($B$2:$B185,"CSF"))-1)/96)+1)&amp;": "&amp;CHAR(65+INT(MOD((COUNTIFS($B$2:$B185,"SER")+COUNTIFS($B$2:$B185,"PLH")+COUNTIFS($B$2:$B185,"CSF"))-1,96)/12))&amp;(MOD((COUNTIFS($B$2:$B185,"SER")+COUNTIFS($B$2:$B185,"PLH")+COUNTIFS($B$2:$B185,"CSF"))-1,12)+1),"N/A"),"")</f>
        <v/>
      </c>
      <c r="I185" s="6" t="str">
        <f>IF(AND($A185&lt;&gt;"",$B185&lt;&gt;"",$C185&lt;&gt;"",$D185&lt;&gt;""),IF(OR($B185="SER",$B185="PLH"),"Control MAX Planck Plate "&amp;(INT(((COUNTIFS($B$2:$B185,"SER")+COUNTIFS($B$2:$B185,"PLH"))-1)/96)+1)&amp;": "&amp;CHAR(65+INT(MOD((COUNTIFS($B$2:$B185,"SER")+COUNTIFS($B$2:$B185,"PLH"))-1,96)/12))&amp;(MOD((COUNTIFS($B$2:$B185,"SER")+COUNTIFS($B$2:$B185,"PLH"))-1,12)+1),"N/A"),"")</f>
        <v/>
      </c>
      <c r="J185" s="6" t="str">
        <f>IF(AND($A185&lt;&gt;"",$B185&lt;&gt;"",$C185&lt;&gt;"",$D185&lt;&gt;""),IF($B185="WB","Control WB Box "&amp;(INT((COUNTIFS($B$2:$B185,"WB")-1)/81)+1)&amp;": "&amp;CHAR(65+INT(MOD(COUNTIFS($B$2:$B185,"WB")-1,81)/9))&amp;(MOD(COUNTIFS($B$2:$B185,"WB")-1,9)+1),"N/A"),"")</f>
        <v/>
      </c>
      <c r="K185" s="3" t="str">
        <f t="shared" si="37"/>
        <v/>
      </c>
      <c r="L185" s="2"/>
      <c r="M185" s="2"/>
      <c r="N185" s="2"/>
      <c r="O185" s="7" t="str">
        <f t="shared" si="38"/>
        <v/>
      </c>
      <c r="P185" s="7" t="str">
        <f t="shared" si="39"/>
        <v/>
      </c>
      <c r="Q185" s="7" t="str">
        <f t="shared" si="40"/>
        <v/>
      </c>
      <c r="R185" s="7" t="str">
        <f t="shared" si="41"/>
        <v/>
      </c>
      <c r="S185" s="7" t="str">
        <f t="shared" si="42"/>
        <v/>
      </c>
      <c r="T185" s="7" t="str">
        <f t="shared" si="43"/>
        <v/>
      </c>
      <c r="U185" s="7" t="str">
        <f t="shared" si="44"/>
        <v/>
      </c>
      <c r="V185" s="7" t="str">
        <f t="shared" si="45"/>
        <v/>
      </c>
      <c r="W185" s="7" t="str">
        <f t="shared" si="46"/>
        <v/>
      </c>
      <c r="X185" s="7" t="str">
        <f t="shared" si="47"/>
        <v/>
      </c>
      <c r="Y185">
        <f t="shared" si="48"/>
        <v>0</v>
      </c>
      <c r="Z185" t="str">
        <f t="shared" si="49"/>
        <v/>
      </c>
      <c r="AA185" t="str">
        <f t="shared" si="50"/>
        <v/>
      </c>
      <c r="AB185" t="str">
        <f t="shared" si="51"/>
        <v/>
      </c>
      <c r="AC185" t="str">
        <f t="shared" si="52"/>
        <v/>
      </c>
      <c r="AD185">
        <f t="shared" si="53"/>
        <v>0</v>
      </c>
    </row>
    <row r="186" spans="1:30" ht="15" customHeight="1" x14ac:dyDescent="0.35">
      <c r="A186" s="2"/>
      <c r="B186" s="3"/>
      <c r="C186" s="4"/>
      <c r="D186" s="5"/>
      <c r="E186" s="11" t="str">
        <f t="shared" ca="1" si="36"/>
        <v/>
      </c>
      <c r="F186" s="5"/>
      <c r="G186" s="6" t="str">
        <f>IF(AND($A186&lt;&gt;"",$B186&lt;&gt;"",$C186&lt;&gt;"",$D186&lt;&gt;""),IF(OR($B186="SER",$B186="PLH",$B186="CSF"),"Control CDI Plate "&amp;(INT(((COUNTIFS($B$2:$B186,"SER")+COUNTIFS($B$2:$B186,"PLH")+COUNTIFS($B$2:$B186,"CSF"))-1)/96)+1)&amp;": "&amp;CHAR(65+INT(MOD((COUNTIFS($B$2:$B186,"SER")+COUNTIFS($B$2:$B186,"PLH")+COUNTIFS($B$2:$B186,"CSF"))-1,96)/12))&amp;(MOD((COUNTIFS($B$2:$B186,"SER")+COUNTIFS($B$2:$B186,"PLH")+COUNTIFS($B$2:$B186,"CSF"))-1,12)+1),"N/A"),"")</f>
        <v/>
      </c>
      <c r="H186" s="6" t="str">
        <f>IF(AND($A186&lt;&gt;"",$B186&lt;&gt;"",$C186&lt;&gt;"",$D186&lt;&gt;""),IF(OR($B186="SER",$B186="PLH",$B186="CSF"),"Control NIH Plate "&amp;(INT(((COUNTIFS($B$2:$B186,"SER")+COUNTIFS($B$2:$B186,"PLH")+COUNTIFS($B$2:$B186,"CSF"))-1)/96)+1)&amp;": "&amp;CHAR(65+INT(MOD((COUNTIFS($B$2:$B186,"SER")+COUNTIFS($B$2:$B186,"PLH")+COUNTIFS($B$2:$B186,"CSF"))-1,96)/12))&amp;(MOD((COUNTIFS($B$2:$B186,"SER")+COUNTIFS($B$2:$B186,"PLH")+COUNTIFS($B$2:$B186,"CSF"))-1,12)+1),"N/A"),"")</f>
        <v/>
      </c>
      <c r="I186" s="6" t="str">
        <f>IF(AND($A186&lt;&gt;"",$B186&lt;&gt;"",$C186&lt;&gt;"",$D186&lt;&gt;""),IF(OR($B186="SER",$B186="PLH"),"Control MAX Planck Plate "&amp;(INT(((COUNTIFS($B$2:$B186,"SER")+COUNTIFS($B$2:$B186,"PLH"))-1)/96)+1)&amp;": "&amp;CHAR(65+INT(MOD((COUNTIFS($B$2:$B186,"SER")+COUNTIFS($B$2:$B186,"PLH"))-1,96)/12))&amp;(MOD((COUNTIFS($B$2:$B186,"SER")+COUNTIFS($B$2:$B186,"PLH"))-1,12)+1),"N/A"),"")</f>
        <v/>
      </c>
      <c r="J186" s="6" t="str">
        <f>IF(AND($A186&lt;&gt;"",$B186&lt;&gt;"",$C186&lt;&gt;"",$D186&lt;&gt;""),IF($B186="WB","Control WB Box "&amp;(INT((COUNTIFS($B$2:$B186,"WB")-1)/81)+1)&amp;": "&amp;CHAR(65+INT(MOD(COUNTIFS($B$2:$B186,"WB")-1,81)/9))&amp;(MOD(COUNTIFS($B$2:$B186,"WB")-1,9)+1),"N/A"),"")</f>
        <v/>
      </c>
      <c r="K186" s="3" t="str">
        <f t="shared" si="37"/>
        <v/>
      </c>
      <c r="L186" s="2"/>
      <c r="M186" s="2"/>
      <c r="N186" s="2"/>
      <c r="O186" s="7" t="str">
        <f t="shared" si="38"/>
        <v/>
      </c>
      <c r="P186" s="7" t="str">
        <f t="shared" si="39"/>
        <v/>
      </c>
      <c r="Q186" s="7" t="str">
        <f t="shared" si="40"/>
        <v/>
      </c>
      <c r="R186" s="7" t="str">
        <f t="shared" si="41"/>
        <v/>
      </c>
      <c r="S186" s="7" t="str">
        <f t="shared" si="42"/>
        <v/>
      </c>
      <c r="T186" s="7" t="str">
        <f t="shared" si="43"/>
        <v/>
      </c>
      <c r="U186" s="7" t="str">
        <f t="shared" si="44"/>
        <v/>
      </c>
      <c r="V186" s="7" t="str">
        <f t="shared" si="45"/>
        <v/>
      </c>
      <c r="W186" s="7" t="str">
        <f t="shared" si="46"/>
        <v/>
      </c>
      <c r="X186" s="7" t="str">
        <f t="shared" si="47"/>
        <v/>
      </c>
      <c r="Y186">
        <f t="shared" si="48"/>
        <v>0</v>
      </c>
      <c r="Z186" t="str">
        <f t="shared" si="49"/>
        <v/>
      </c>
      <c r="AA186" t="str">
        <f t="shared" si="50"/>
        <v/>
      </c>
      <c r="AB186" t="str">
        <f t="shared" si="51"/>
        <v/>
      </c>
      <c r="AC186" t="str">
        <f t="shared" si="52"/>
        <v/>
      </c>
      <c r="AD186">
        <f t="shared" si="53"/>
        <v>0</v>
      </c>
    </row>
    <row r="187" spans="1:30" ht="15" customHeight="1" x14ac:dyDescent="0.35">
      <c r="A187" s="2"/>
      <c r="B187" s="3"/>
      <c r="C187" s="4"/>
      <c r="D187" s="5"/>
      <c r="E187" s="11" t="str">
        <f t="shared" ca="1" si="36"/>
        <v/>
      </c>
      <c r="F187" s="5"/>
      <c r="G187" s="6" t="str">
        <f>IF(AND($A187&lt;&gt;"",$B187&lt;&gt;"",$C187&lt;&gt;"",$D187&lt;&gt;""),IF(OR($B187="SER",$B187="PLH",$B187="CSF"),"Control CDI Plate "&amp;(INT(((COUNTIFS($B$2:$B187,"SER")+COUNTIFS($B$2:$B187,"PLH")+COUNTIFS($B$2:$B187,"CSF"))-1)/96)+1)&amp;": "&amp;CHAR(65+INT(MOD((COUNTIFS($B$2:$B187,"SER")+COUNTIFS($B$2:$B187,"PLH")+COUNTIFS($B$2:$B187,"CSF"))-1,96)/12))&amp;(MOD((COUNTIFS($B$2:$B187,"SER")+COUNTIFS($B$2:$B187,"PLH")+COUNTIFS($B$2:$B187,"CSF"))-1,12)+1),"N/A"),"")</f>
        <v/>
      </c>
      <c r="H187" s="6" t="str">
        <f>IF(AND($A187&lt;&gt;"",$B187&lt;&gt;"",$C187&lt;&gt;"",$D187&lt;&gt;""),IF(OR($B187="SER",$B187="PLH",$B187="CSF"),"Control NIH Plate "&amp;(INT(((COUNTIFS($B$2:$B187,"SER")+COUNTIFS($B$2:$B187,"PLH")+COUNTIFS($B$2:$B187,"CSF"))-1)/96)+1)&amp;": "&amp;CHAR(65+INT(MOD((COUNTIFS($B$2:$B187,"SER")+COUNTIFS($B$2:$B187,"PLH")+COUNTIFS($B$2:$B187,"CSF"))-1,96)/12))&amp;(MOD((COUNTIFS($B$2:$B187,"SER")+COUNTIFS($B$2:$B187,"PLH")+COUNTIFS($B$2:$B187,"CSF"))-1,12)+1),"N/A"),"")</f>
        <v/>
      </c>
      <c r="I187" s="6" t="str">
        <f>IF(AND($A187&lt;&gt;"",$B187&lt;&gt;"",$C187&lt;&gt;"",$D187&lt;&gt;""),IF(OR($B187="SER",$B187="PLH"),"Control MAX Planck Plate "&amp;(INT(((COUNTIFS($B$2:$B187,"SER")+COUNTIFS($B$2:$B187,"PLH"))-1)/96)+1)&amp;": "&amp;CHAR(65+INT(MOD((COUNTIFS($B$2:$B187,"SER")+COUNTIFS($B$2:$B187,"PLH"))-1,96)/12))&amp;(MOD((COUNTIFS($B$2:$B187,"SER")+COUNTIFS($B$2:$B187,"PLH"))-1,12)+1),"N/A"),"")</f>
        <v/>
      </c>
      <c r="J187" s="6" t="str">
        <f>IF(AND($A187&lt;&gt;"",$B187&lt;&gt;"",$C187&lt;&gt;"",$D187&lt;&gt;""),IF($B187="WB","Control WB Box "&amp;(INT((COUNTIFS($B$2:$B187,"WB")-1)/81)+1)&amp;": "&amp;CHAR(65+INT(MOD(COUNTIFS($B$2:$B187,"WB")-1,81)/9))&amp;(MOD(COUNTIFS($B$2:$B187,"WB")-1,9)+1),"N/A"),"")</f>
        <v/>
      </c>
      <c r="K187" s="3" t="str">
        <f t="shared" si="37"/>
        <v/>
      </c>
      <c r="L187" s="2"/>
      <c r="M187" s="2"/>
      <c r="N187" s="2"/>
      <c r="O187" s="7" t="str">
        <f t="shared" si="38"/>
        <v/>
      </c>
      <c r="P187" s="7" t="str">
        <f t="shared" si="39"/>
        <v/>
      </c>
      <c r="Q187" s="7" t="str">
        <f t="shared" si="40"/>
        <v/>
      </c>
      <c r="R187" s="7" t="str">
        <f t="shared" si="41"/>
        <v/>
      </c>
      <c r="S187" s="7" t="str">
        <f t="shared" si="42"/>
        <v/>
      </c>
      <c r="T187" s="7" t="str">
        <f t="shared" si="43"/>
        <v/>
      </c>
      <c r="U187" s="7" t="str">
        <f t="shared" si="44"/>
        <v/>
      </c>
      <c r="V187" s="7" t="str">
        <f t="shared" si="45"/>
        <v/>
      </c>
      <c r="W187" s="7" t="str">
        <f t="shared" si="46"/>
        <v/>
      </c>
      <c r="X187" s="7" t="str">
        <f t="shared" si="47"/>
        <v/>
      </c>
      <c r="Y187">
        <f t="shared" si="48"/>
        <v>0</v>
      </c>
      <c r="Z187" t="str">
        <f t="shared" si="49"/>
        <v/>
      </c>
      <c r="AA187" t="str">
        <f t="shared" si="50"/>
        <v/>
      </c>
      <c r="AB187" t="str">
        <f t="shared" si="51"/>
        <v/>
      </c>
      <c r="AC187" t="str">
        <f t="shared" si="52"/>
        <v/>
      </c>
      <c r="AD187">
        <f t="shared" si="53"/>
        <v>0</v>
      </c>
    </row>
    <row r="188" spans="1:30" ht="15" customHeight="1" x14ac:dyDescent="0.35">
      <c r="A188" s="2"/>
      <c r="B188" s="3"/>
      <c r="C188" s="4"/>
      <c r="D188" s="5"/>
      <c r="E188" s="11" t="str">
        <f t="shared" ca="1" si="36"/>
        <v/>
      </c>
      <c r="F188" s="5"/>
      <c r="G188" s="6" t="str">
        <f>IF(AND($A188&lt;&gt;"",$B188&lt;&gt;"",$C188&lt;&gt;"",$D188&lt;&gt;""),IF(OR($B188="SER",$B188="PLH",$B188="CSF"),"Control CDI Plate "&amp;(INT(((COUNTIFS($B$2:$B188,"SER")+COUNTIFS($B$2:$B188,"PLH")+COUNTIFS($B$2:$B188,"CSF"))-1)/96)+1)&amp;": "&amp;CHAR(65+INT(MOD((COUNTIFS($B$2:$B188,"SER")+COUNTIFS($B$2:$B188,"PLH")+COUNTIFS($B$2:$B188,"CSF"))-1,96)/12))&amp;(MOD((COUNTIFS($B$2:$B188,"SER")+COUNTIFS($B$2:$B188,"PLH")+COUNTIFS($B$2:$B188,"CSF"))-1,12)+1),"N/A"),"")</f>
        <v/>
      </c>
      <c r="H188" s="6" t="str">
        <f>IF(AND($A188&lt;&gt;"",$B188&lt;&gt;"",$C188&lt;&gt;"",$D188&lt;&gt;""),IF(OR($B188="SER",$B188="PLH",$B188="CSF"),"Control NIH Plate "&amp;(INT(((COUNTIFS($B$2:$B188,"SER")+COUNTIFS($B$2:$B188,"PLH")+COUNTIFS($B$2:$B188,"CSF"))-1)/96)+1)&amp;": "&amp;CHAR(65+INT(MOD((COUNTIFS($B$2:$B188,"SER")+COUNTIFS($B$2:$B188,"PLH")+COUNTIFS($B$2:$B188,"CSF"))-1,96)/12))&amp;(MOD((COUNTIFS($B$2:$B188,"SER")+COUNTIFS($B$2:$B188,"PLH")+COUNTIFS($B$2:$B188,"CSF"))-1,12)+1),"N/A"),"")</f>
        <v/>
      </c>
      <c r="I188" s="6" t="str">
        <f>IF(AND($A188&lt;&gt;"",$B188&lt;&gt;"",$C188&lt;&gt;"",$D188&lt;&gt;""),IF(OR($B188="SER",$B188="PLH"),"Control MAX Planck Plate "&amp;(INT(((COUNTIFS($B$2:$B188,"SER")+COUNTIFS($B$2:$B188,"PLH"))-1)/96)+1)&amp;": "&amp;CHAR(65+INT(MOD((COUNTIFS($B$2:$B188,"SER")+COUNTIFS($B$2:$B188,"PLH"))-1,96)/12))&amp;(MOD((COUNTIFS($B$2:$B188,"SER")+COUNTIFS($B$2:$B188,"PLH"))-1,12)+1),"N/A"),"")</f>
        <v/>
      </c>
      <c r="J188" s="6" t="str">
        <f>IF(AND($A188&lt;&gt;"",$B188&lt;&gt;"",$C188&lt;&gt;"",$D188&lt;&gt;""),IF($B188="WB","Control WB Box "&amp;(INT((COUNTIFS($B$2:$B188,"WB")-1)/81)+1)&amp;": "&amp;CHAR(65+INT(MOD(COUNTIFS($B$2:$B188,"WB")-1,81)/9))&amp;(MOD(COUNTIFS($B$2:$B188,"WB")-1,9)+1),"N/A"),"")</f>
        <v/>
      </c>
      <c r="K188" s="3" t="str">
        <f t="shared" si="37"/>
        <v/>
      </c>
      <c r="L188" s="2"/>
      <c r="M188" s="2"/>
      <c r="N188" s="2"/>
      <c r="O188" s="7" t="str">
        <f t="shared" si="38"/>
        <v/>
      </c>
      <c r="P188" s="7" t="str">
        <f t="shared" si="39"/>
        <v/>
      </c>
      <c r="Q188" s="7" t="str">
        <f t="shared" si="40"/>
        <v/>
      </c>
      <c r="R188" s="7" t="str">
        <f t="shared" si="41"/>
        <v/>
      </c>
      <c r="S188" s="7" t="str">
        <f t="shared" si="42"/>
        <v/>
      </c>
      <c r="T188" s="7" t="str">
        <f t="shared" si="43"/>
        <v/>
      </c>
      <c r="U188" s="7" t="str">
        <f t="shared" si="44"/>
        <v/>
      </c>
      <c r="V188" s="7" t="str">
        <f t="shared" si="45"/>
        <v/>
      </c>
      <c r="W188" s="7" t="str">
        <f t="shared" si="46"/>
        <v/>
      </c>
      <c r="X188" s="7" t="str">
        <f t="shared" si="47"/>
        <v/>
      </c>
      <c r="Y188">
        <f t="shared" si="48"/>
        <v>0</v>
      </c>
      <c r="Z188" t="str">
        <f t="shared" si="49"/>
        <v/>
      </c>
      <c r="AA188" t="str">
        <f t="shared" si="50"/>
        <v/>
      </c>
      <c r="AB188" t="str">
        <f t="shared" si="51"/>
        <v/>
      </c>
      <c r="AC188" t="str">
        <f t="shared" si="52"/>
        <v/>
      </c>
      <c r="AD188">
        <f t="shared" si="53"/>
        <v>0</v>
      </c>
    </row>
    <row r="189" spans="1:30" ht="15" customHeight="1" x14ac:dyDescent="0.35">
      <c r="A189" s="2"/>
      <c r="B189" s="3"/>
      <c r="C189" s="4"/>
      <c r="D189" s="5"/>
      <c r="E189" s="11" t="str">
        <f t="shared" ref="E189:E252" ca="1" si="54">IF(AND($A189&lt;&gt;"",$B189&lt;&gt;"",$C189&lt;&gt;"",$D189&lt;&gt;""),TODAY(),"")</f>
        <v/>
      </c>
      <c r="F189" s="5"/>
      <c r="G189" s="6" t="str">
        <f>IF(AND($A189&lt;&gt;"",$B189&lt;&gt;"",$C189&lt;&gt;"",$D189&lt;&gt;""),IF(OR($B189="SER",$B189="PLH",$B189="CSF"),"Control CDI Plate "&amp;(INT(((COUNTIFS($B$2:$B189,"SER")+COUNTIFS($B$2:$B189,"PLH")+COUNTIFS($B$2:$B189,"CSF"))-1)/96)+1)&amp;": "&amp;CHAR(65+INT(MOD((COUNTIFS($B$2:$B189,"SER")+COUNTIFS($B$2:$B189,"PLH")+COUNTIFS($B$2:$B189,"CSF"))-1,96)/12))&amp;(MOD((COUNTIFS($B$2:$B189,"SER")+COUNTIFS($B$2:$B189,"PLH")+COUNTIFS($B$2:$B189,"CSF"))-1,12)+1),"N/A"),"")</f>
        <v/>
      </c>
      <c r="H189" s="6" t="str">
        <f>IF(AND($A189&lt;&gt;"",$B189&lt;&gt;"",$C189&lt;&gt;"",$D189&lt;&gt;""),IF(OR($B189="SER",$B189="PLH",$B189="CSF"),"Control NIH Plate "&amp;(INT(((COUNTIFS($B$2:$B189,"SER")+COUNTIFS($B$2:$B189,"PLH")+COUNTIFS($B$2:$B189,"CSF"))-1)/96)+1)&amp;": "&amp;CHAR(65+INT(MOD((COUNTIFS($B$2:$B189,"SER")+COUNTIFS($B$2:$B189,"PLH")+COUNTIFS($B$2:$B189,"CSF"))-1,96)/12))&amp;(MOD((COUNTIFS($B$2:$B189,"SER")+COUNTIFS($B$2:$B189,"PLH")+COUNTIFS($B$2:$B189,"CSF"))-1,12)+1),"N/A"),"")</f>
        <v/>
      </c>
      <c r="I189" s="6" t="str">
        <f>IF(AND($A189&lt;&gt;"",$B189&lt;&gt;"",$C189&lt;&gt;"",$D189&lt;&gt;""),IF(OR($B189="SER",$B189="PLH"),"Control MAX Planck Plate "&amp;(INT(((COUNTIFS($B$2:$B189,"SER")+COUNTIFS($B$2:$B189,"PLH"))-1)/96)+1)&amp;": "&amp;CHAR(65+INT(MOD((COUNTIFS($B$2:$B189,"SER")+COUNTIFS($B$2:$B189,"PLH"))-1,96)/12))&amp;(MOD((COUNTIFS($B$2:$B189,"SER")+COUNTIFS($B$2:$B189,"PLH"))-1,12)+1),"N/A"),"")</f>
        <v/>
      </c>
      <c r="J189" s="6" t="str">
        <f>IF(AND($A189&lt;&gt;"",$B189&lt;&gt;"",$C189&lt;&gt;"",$D189&lt;&gt;""),IF($B189="WB","Control WB Box "&amp;(INT((COUNTIFS($B$2:$B189,"WB")-1)/81)+1)&amp;": "&amp;CHAR(65+INT(MOD(COUNTIFS($B$2:$B189,"WB")-1,81)/9))&amp;(MOD(COUNTIFS($B$2:$B189,"WB")-1,9)+1),"N/A"),"")</f>
        <v/>
      </c>
      <c r="K189" s="3" t="str">
        <f t="shared" ref="K189:K252" si="55">IF(AND($A189&lt;&gt;"",$B189&lt;&gt;"",$C189&lt;&gt;"",$D189&lt;&gt;""),IF($B189="WB","No",""),"")</f>
        <v/>
      </c>
      <c r="L189" s="2"/>
      <c r="M189" s="2"/>
      <c r="N189" s="2"/>
      <c r="O189" s="7" t="str">
        <f t="shared" ref="O189:O252" si="56">IF($A189&lt;&gt;"",MID($A189,7,4),"")</f>
        <v/>
      </c>
      <c r="P189" s="7" t="str">
        <f t="shared" ref="P189:P252" si="57">IF($C189&lt;&gt;"",TEXT($C189,"mmddyy"),"")</f>
        <v/>
      </c>
      <c r="Q189" s="7" t="str">
        <f t="shared" ref="Q189:Q252" si="58">IF(AND($A189&lt;&gt;"",$B189&lt;&gt;"",$C189&lt;&gt;""),IF($B189="WB","cn_"&amp;$O189&amp;"_wb_"&amp;$P189,"cn_"&amp;$O189&amp;"_"&amp;LOWER($B189)&amp;"_"&amp;IF($B189="CSF","0.50","0.20")&amp;"_"&amp;$P189),"")</f>
        <v/>
      </c>
      <c r="R189" s="7" t="str">
        <f t="shared" ref="R189:R252" si="59">IF(AND($A189&lt;&gt;"",$B189="WB",$C189&lt;&gt;""),"cn_"&amp;$O189&amp;"_wb_"&amp;$P189,"")</f>
        <v/>
      </c>
      <c r="S189" s="7" t="str">
        <f t="shared" ref="S189:S252" si="60">IFERROR(VALUE(MID($L189,FIND("Box ",$L189)+4,FIND(":",$L189)-FIND("Box ",$L189)-4)),"")</f>
        <v/>
      </c>
      <c r="T189" s="7" t="str">
        <f t="shared" ref="T189:T252" si="61">IFERROR(CODE(UPPER(LEFT(LEFT(TRIM(MID(SUBSTITUTE(TRIM(MID($L189,FIND(":",$L189)+1,200)),",",REPT(" ",60)),1,60)),IFERROR(FIND("-",TRIM(MID(SUBSTITUTE(TRIM(MID($L189,FIND(":",$L189)+1,200)),",",REPT(" ",60)),1,60)))-1,LEN(TRIM(MID(SUBSTITUTE(TRIM(MID($L189,FIND(":",$L189)+1,200)),",",REPT(" ",60)),1,60))))),1)))-64,"")</f>
        <v/>
      </c>
      <c r="U189" s="7" t="str">
        <f t="shared" ref="U189:U252" si="62">IFERROR(VALUE(MID(LEFT(TRIM(MID(SUBSTITUTE(TRIM(MID($L189,FIND(":",$L189)+1,200)),",",REPT(" ",60)),1,60)),IFERROR(FIND("-",TRIM(MID(SUBSTITUTE(TRIM(MID($L189,FIND(":",$L189)+1,200)),",",REPT(" ",60)),1,60)))-1,LEN(TRIM(MID(SUBSTITUTE(TRIM(MID($L189,FIND(":",$L189)+1,200)),",",REPT(" ",60)),1,60))))),2,3)),"")</f>
        <v/>
      </c>
      <c r="V189" s="7" t="str">
        <f t="shared" ref="V189:V252" si="63">IFERROR(CODE(UPPER(LEFT(IFERROR(MID(TRIM(MID(SUBSTITUTE(TRIM(MID($L189,FIND(":",$L189)+1,200)),",",REPT(" ",60)),1,60)),FIND("-",TRIM(MID(SUBSTITUTE(TRIM(MID($L189,FIND(":",$L189)+1,200)),",",REPT(" ",60)),1,60)))+1,99),LEFT(TRIM(MID(SUBSTITUTE(TRIM(MID($L189,FIND(":",$L189)+1,200)),",",REPT(" ",60)),1,60)),IFERROR(FIND("-",TRIM(MID(SUBSTITUTE(TRIM(MID($L189,FIND(":",$L189)+1,200)),",",REPT(" ",60)),1,60)))-1,LEN(TRIM(MID(SUBSTITUTE(TRIM(MID($L189,FIND(":",$L189)+1,200)),",",REPT(" ",60)),1,60)))))),1)))-64,"")</f>
        <v/>
      </c>
      <c r="W189" s="7" t="str">
        <f t="shared" ref="W189:W252" si="64">IFERROR(VALUE(MID(IFERROR(MID(TRIM(MID(SUBSTITUTE(TRIM(MID($L189,FIND(":",$L189)+1,200)),",",REPT(" ",60)),1,60)),FIND("-",TRIM(MID(SUBSTITUTE(TRIM(MID($L189,FIND(":",$L189)+1,200)),",",REPT(" ",60)),1,60)))+1,99),LEFT(TRIM(MID(SUBSTITUTE(TRIM(MID($L189,FIND(":",$L189)+1,200)),",",REPT(" ",60)),1,60)),IFERROR(FIND("-",TRIM(MID(SUBSTITUTE(TRIM(MID($L189,FIND(":",$L189)+1,200)),",",REPT(" ",60)),1,60)))-1,LEN(TRIM(MID(SUBSTITUTE(TRIM(MID($L189,FIND(":",$L189)+1,200)),",",REPT(" ",60)),1,60)))))),2,3)),"")</f>
        <v/>
      </c>
      <c r="X189" s="7" t="str">
        <f t="shared" ref="X189:X252" si="65">IF(AND($A189&lt;&gt;"",$B189&lt;&gt;"",$C189&lt;&gt;""),"cn_"&amp;$O189&amp;"_"&amp;LOWER($B189)&amp;"_","")</f>
        <v/>
      </c>
      <c r="Y189">
        <f t="shared" ref="Y189:Y252" si="66">IFERROR(($V189-$T189+1)*($W189-$U189+1),0)</f>
        <v>0</v>
      </c>
      <c r="Z189" t="str">
        <f t="shared" ref="Z189:Z252" si="67">IFERROR(CODE(UPPER(LEFT(LEFT(TRIM(MID(SUBSTITUTE(TRIM(MID($L189,FIND(":",$L189)+1,200)),",",REPT(" ",60)),61,60)),IFERROR(FIND("-",TRIM(MID(SUBSTITUTE(TRIM(MID($L189,FIND(":",$L189)+1,200)),",",REPT(" ",60)),61,60)))-1,LEN(TRIM(MID(SUBSTITUTE(TRIM(MID($L189,FIND(":",$L189)+1,200)),",",REPT(" ",60)),61,60))))),1)))-64,"")</f>
        <v/>
      </c>
      <c r="AA189" t="str">
        <f t="shared" ref="AA189:AA252" si="68">IFERROR(VALUE(MID(LEFT(TRIM(MID(SUBSTITUTE(TRIM(MID($L189,FIND(":",$L189)+1,200)),",",REPT(" ",60)),61,60)),IFERROR(FIND("-",TRIM(MID(SUBSTITUTE(TRIM(MID($L189,FIND(":",$L189)+1,200)),",",REPT(" ",60)),61,60)))-1,LEN(TRIM(MID(SUBSTITUTE(TRIM(MID($L189,FIND(":",$L189)+1,200)),",",REPT(" ",60)),61,60))))),2,3)),"")</f>
        <v/>
      </c>
      <c r="AB189" t="str">
        <f t="shared" ref="AB189:AB252" si="69">IFERROR(CODE(UPPER(LEFT(IFERROR(MID(TRIM(MID(SUBSTITUTE(TRIM(MID($L189,FIND(":",$L189)+1,200)),",",REPT(" ",60)),61,60)),FIND("-",TRIM(MID(SUBSTITUTE(TRIM(MID($L189,FIND(":",$L189)+1,200)),",",REPT(" ",60)),61,60)))+1,99),LEFT(TRIM(MID(SUBSTITUTE(TRIM(MID($L189,FIND(":",$L189)+1,200)),",",REPT(" ",60)),61,60)),IFERROR(FIND("-",TRIM(MID(SUBSTITUTE(TRIM(MID($L189,FIND(":",$L189)+1,200)),",",REPT(" ",60)),61,60)))-1,LEN(TRIM(MID(SUBSTITUTE(TRIM(MID($L189,FIND(":",$L189)+1,200)),",",REPT(" ",60)),61,60)))))),1)))-64,"")</f>
        <v/>
      </c>
      <c r="AC189" t="str">
        <f t="shared" ref="AC189:AC252" si="70">IFERROR(VALUE(MID(IFERROR(MID(TRIM(MID(SUBSTITUTE(TRIM(MID($L189,FIND(":",$L189)+1,200)),",",REPT(" ",60)),61,60)),FIND("-",TRIM(MID(SUBSTITUTE(TRIM(MID($L189,FIND(":",$L189)+1,200)),",",REPT(" ",60)),61,60)))+1,99),LEFT(TRIM(MID(SUBSTITUTE(TRIM(MID($L189,FIND(":",$L189)+1,200)),",",REPT(" ",60)),61,60)),IFERROR(FIND("-",TRIM(MID(SUBSTITUTE(TRIM(MID($L189,FIND(":",$L189)+1,200)),",",REPT(" ",60)),61,60)))-1,LEN(TRIM(MID(SUBSTITUTE(TRIM(MID($L189,FIND(":",$L189)+1,200)),",",REPT(" ",60)),61,60)))))),2,3)),"")</f>
        <v/>
      </c>
      <c r="AD189">
        <f t="shared" ref="AD189:AD252" si="71">IFERROR(($AB189-$Z189+1)*($AC189-$AA189+1),0)</f>
        <v>0</v>
      </c>
    </row>
    <row r="190" spans="1:30" ht="15" customHeight="1" x14ac:dyDescent="0.35">
      <c r="A190" s="2"/>
      <c r="B190" s="3"/>
      <c r="C190" s="4"/>
      <c r="D190" s="5"/>
      <c r="E190" s="11" t="str">
        <f t="shared" ca="1" si="54"/>
        <v/>
      </c>
      <c r="F190" s="5"/>
      <c r="G190" s="6" t="str">
        <f>IF(AND($A190&lt;&gt;"",$B190&lt;&gt;"",$C190&lt;&gt;"",$D190&lt;&gt;""),IF(OR($B190="SER",$B190="PLH",$B190="CSF"),"Control CDI Plate "&amp;(INT(((COUNTIFS($B$2:$B190,"SER")+COUNTIFS($B$2:$B190,"PLH")+COUNTIFS($B$2:$B190,"CSF"))-1)/96)+1)&amp;": "&amp;CHAR(65+INT(MOD((COUNTIFS($B$2:$B190,"SER")+COUNTIFS($B$2:$B190,"PLH")+COUNTIFS($B$2:$B190,"CSF"))-1,96)/12))&amp;(MOD((COUNTIFS($B$2:$B190,"SER")+COUNTIFS($B$2:$B190,"PLH")+COUNTIFS($B$2:$B190,"CSF"))-1,12)+1),"N/A"),"")</f>
        <v/>
      </c>
      <c r="H190" s="6" t="str">
        <f>IF(AND($A190&lt;&gt;"",$B190&lt;&gt;"",$C190&lt;&gt;"",$D190&lt;&gt;""),IF(OR($B190="SER",$B190="PLH",$B190="CSF"),"Control NIH Plate "&amp;(INT(((COUNTIFS($B$2:$B190,"SER")+COUNTIFS($B$2:$B190,"PLH")+COUNTIFS($B$2:$B190,"CSF"))-1)/96)+1)&amp;": "&amp;CHAR(65+INT(MOD((COUNTIFS($B$2:$B190,"SER")+COUNTIFS($B$2:$B190,"PLH")+COUNTIFS($B$2:$B190,"CSF"))-1,96)/12))&amp;(MOD((COUNTIFS($B$2:$B190,"SER")+COUNTIFS($B$2:$B190,"PLH")+COUNTIFS($B$2:$B190,"CSF"))-1,12)+1),"N/A"),"")</f>
        <v/>
      </c>
      <c r="I190" s="6" t="str">
        <f>IF(AND($A190&lt;&gt;"",$B190&lt;&gt;"",$C190&lt;&gt;"",$D190&lt;&gt;""),IF(OR($B190="SER",$B190="PLH"),"Control MAX Planck Plate "&amp;(INT(((COUNTIFS($B$2:$B190,"SER")+COUNTIFS($B$2:$B190,"PLH"))-1)/96)+1)&amp;": "&amp;CHAR(65+INT(MOD((COUNTIFS($B$2:$B190,"SER")+COUNTIFS($B$2:$B190,"PLH"))-1,96)/12))&amp;(MOD((COUNTIFS($B$2:$B190,"SER")+COUNTIFS($B$2:$B190,"PLH"))-1,12)+1),"N/A"),"")</f>
        <v/>
      </c>
      <c r="J190" s="6" t="str">
        <f>IF(AND($A190&lt;&gt;"",$B190&lt;&gt;"",$C190&lt;&gt;"",$D190&lt;&gt;""),IF($B190="WB","Control WB Box "&amp;(INT((COUNTIFS($B$2:$B190,"WB")-1)/81)+1)&amp;": "&amp;CHAR(65+INT(MOD(COUNTIFS($B$2:$B190,"WB")-1,81)/9))&amp;(MOD(COUNTIFS($B$2:$B190,"WB")-1,9)+1),"N/A"),"")</f>
        <v/>
      </c>
      <c r="K190" s="3" t="str">
        <f t="shared" si="55"/>
        <v/>
      </c>
      <c r="L190" s="2"/>
      <c r="M190" s="2"/>
      <c r="N190" s="2"/>
      <c r="O190" s="7" t="str">
        <f t="shared" si="56"/>
        <v/>
      </c>
      <c r="P190" s="7" t="str">
        <f t="shared" si="57"/>
        <v/>
      </c>
      <c r="Q190" s="7" t="str">
        <f t="shared" si="58"/>
        <v/>
      </c>
      <c r="R190" s="7" t="str">
        <f t="shared" si="59"/>
        <v/>
      </c>
      <c r="S190" s="7" t="str">
        <f t="shared" si="60"/>
        <v/>
      </c>
      <c r="T190" s="7" t="str">
        <f t="shared" si="61"/>
        <v/>
      </c>
      <c r="U190" s="7" t="str">
        <f t="shared" si="62"/>
        <v/>
      </c>
      <c r="V190" s="7" t="str">
        <f t="shared" si="63"/>
        <v/>
      </c>
      <c r="W190" s="7" t="str">
        <f t="shared" si="64"/>
        <v/>
      </c>
      <c r="X190" s="7" t="str">
        <f t="shared" si="65"/>
        <v/>
      </c>
      <c r="Y190">
        <f t="shared" si="66"/>
        <v>0</v>
      </c>
      <c r="Z190" t="str">
        <f t="shared" si="67"/>
        <v/>
      </c>
      <c r="AA190" t="str">
        <f t="shared" si="68"/>
        <v/>
      </c>
      <c r="AB190" t="str">
        <f t="shared" si="69"/>
        <v/>
      </c>
      <c r="AC190" t="str">
        <f t="shared" si="70"/>
        <v/>
      </c>
      <c r="AD190">
        <f t="shared" si="71"/>
        <v>0</v>
      </c>
    </row>
    <row r="191" spans="1:30" ht="15" customHeight="1" x14ac:dyDescent="0.35">
      <c r="A191" s="2"/>
      <c r="B191" s="3"/>
      <c r="C191" s="4"/>
      <c r="D191" s="5"/>
      <c r="E191" s="11" t="str">
        <f t="shared" ca="1" si="54"/>
        <v/>
      </c>
      <c r="F191" s="5"/>
      <c r="G191" s="6" t="str">
        <f>IF(AND($A191&lt;&gt;"",$B191&lt;&gt;"",$C191&lt;&gt;"",$D191&lt;&gt;""),IF(OR($B191="SER",$B191="PLH",$B191="CSF"),"Control CDI Plate "&amp;(INT(((COUNTIFS($B$2:$B191,"SER")+COUNTIFS($B$2:$B191,"PLH")+COUNTIFS($B$2:$B191,"CSF"))-1)/96)+1)&amp;": "&amp;CHAR(65+INT(MOD((COUNTIFS($B$2:$B191,"SER")+COUNTIFS($B$2:$B191,"PLH")+COUNTIFS($B$2:$B191,"CSF"))-1,96)/12))&amp;(MOD((COUNTIFS($B$2:$B191,"SER")+COUNTIFS($B$2:$B191,"PLH")+COUNTIFS($B$2:$B191,"CSF"))-1,12)+1),"N/A"),"")</f>
        <v/>
      </c>
      <c r="H191" s="6" t="str">
        <f>IF(AND($A191&lt;&gt;"",$B191&lt;&gt;"",$C191&lt;&gt;"",$D191&lt;&gt;""),IF(OR($B191="SER",$B191="PLH",$B191="CSF"),"Control NIH Plate "&amp;(INT(((COUNTIFS($B$2:$B191,"SER")+COUNTIFS($B$2:$B191,"PLH")+COUNTIFS($B$2:$B191,"CSF"))-1)/96)+1)&amp;": "&amp;CHAR(65+INT(MOD((COUNTIFS($B$2:$B191,"SER")+COUNTIFS($B$2:$B191,"PLH")+COUNTIFS($B$2:$B191,"CSF"))-1,96)/12))&amp;(MOD((COUNTIFS($B$2:$B191,"SER")+COUNTIFS($B$2:$B191,"PLH")+COUNTIFS($B$2:$B191,"CSF"))-1,12)+1),"N/A"),"")</f>
        <v/>
      </c>
      <c r="I191" s="6" t="str">
        <f>IF(AND($A191&lt;&gt;"",$B191&lt;&gt;"",$C191&lt;&gt;"",$D191&lt;&gt;""),IF(OR($B191="SER",$B191="PLH"),"Control MAX Planck Plate "&amp;(INT(((COUNTIFS($B$2:$B191,"SER")+COUNTIFS($B$2:$B191,"PLH"))-1)/96)+1)&amp;": "&amp;CHAR(65+INT(MOD((COUNTIFS($B$2:$B191,"SER")+COUNTIFS($B$2:$B191,"PLH"))-1,96)/12))&amp;(MOD((COUNTIFS($B$2:$B191,"SER")+COUNTIFS($B$2:$B191,"PLH"))-1,12)+1),"N/A"),"")</f>
        <v/>
      </c>
      <c r="J191" s="6" t="str">
        <f>IF(AND($A191&lt;&gt;"",$B191&lt;&gt;"",$C191&lt;&gt;"",$D191&lt;&gt;""),IF($B191="WB","Control WB Box "&amp;(INT((COUNTIFS($B$2:$B191,"WB")-1)/81)+1)&amp;": "&amp;CHAR(65+INT(MOD(COUNTIFS($B$2:$B191,"WB")-1,81)/9))&amp;(MOD(COUNTIFS($B$2:$B191,"WB")-1,9)+1),"N/A"),"")</f>
        <v/>
      </c>
      <c r="K191" s="3" t="str">
        <f t="shared" si="55"/>
        <v/>
      </c>
      <c r="L191" s="2"/>
      <c r="M191" s="2"/>
      <c r="N191" s="2"/>
      <c r="O191" s="7" t="str">
        <f t="shared" si="56"/>
        <v/>
      </c>
      <c r="P191" s="7" t="str">
        <f t="shared" si="57"/>
        <v/>
      </c>
      <c r="Q191" s="7" t="str">
        <f t="shared" si="58"/>
        <v/>
      </c>
      <c r="R191" s="7" t="str">
        <f t="shared" si="59"/>
        <v/>
      </c>
      <c r="S191" s="7" t="str">
        <f t="shared" si="60"/>
        <v/>
      </c>
      <c r="T191" s="7" t="str">
        <f t="shared" si="61"/>
        <v/>
      </c>
      <c r="U191" s="7" t="str">
        <f t="shared" si="62"/>
        <v/>
      </c>
      <c r="V191" s="7" t="str">
        <f t="shared" si="63"/>
        <v/>
      </c>
      <c r="W191" s="7" t="str">
        <f t="shared" si="64"/>
        <v/>
      </c>
      <c r="X191" s="7" t="str">
        <f t="shared" si="65"/>
        <v/>
      </c>
      <c r="Y191">
        <f t="shared" si="66"/>
        <v>0</v>
      </c>
      <c r="Z191" t="str">
        <f t="shared" si="67"/>
        <v/>
      </c>
      <c r="AA191" t="str">
        <f t="shared" si="68"/>
        <v/>
      </c>
      <c r="AB191" t="str">
        <f t="shared" si="69"/>
        <v/>
      </c>
      <c r="AC191" t="str">
        <f t="shared" si="70"/>
        <v/>
      </c>
      <c r="AD191">
        <f t="shared" si="71"/>
        <v>0</v>
      </c>
    </row>
    <row r="192" spans="1:30" ht="15" customHeight="1" x14ac:dyDescent="0.35">
      <c r="A192" s="2"/>
      <c r="B192" s="3"/>
      <c r="C192" s="4"/>
      <c r="D192" s="5"/>
      <c r="E192" s="11" t="str">
        <f t="shared" ca="1" si="54"/>
        <v/>
      </c>
      <c r="F192" s="5"/>
      <c r="G192" s="6" t="str">
        <f>IF(AND($A192&lt;&gt;"",$B192&lt;&gt;"",$C192&lt;&gt;"",$D192&lt;&gt;""),IF(OR($B192="SER",$B192="PLH",$B192="CSF"),"Control CDI Plate "&amp;(INT(((COUNTIFS($B$2:$B192,"SER")+COUNTIFS($B$2:$B192,"PLH")+COUNTIFS($B$2:$B192,"CSF"))-1)/96)+1)&amp;": "&amp;CHAR(65+INT(MOD((COUNTIFS($B$2:$B192,"SER")+COUNTIFS($B$2:$B192,"PLH")+COUNTIFS($B$2:$B192,"CSF"))-1,96)/12))&amp;(MOD((COUNTIFS($B$2:$B192,"SER")+COUNTIFS($B$2:$B192,"PLH")+COUNTIFS($B$2:$B192,"CSF"))-1,12)+1),"N/A"),"")</f>
        <v/>
      </c>
      <c r="H192" s="6" t="str">
        <f>IF(AND($A192&lt;&gt;"",$B192&lt;&gt;"",$C192&lt;&gt;"",$D192&lt;&gt;""),IF(OR($B192="SER",$B192="PLH",$B192="CSF"),"Control NIH Plate "&amp;(INT(((COUNTIFS($B$2:$B192,"SER")+COUNTIFS($B$2:$B192,"PLH")+COUNTIFS($B$2:$B192,"CSF"))-1)/96)+1)&amp;": "&amp;CHAR(65+INT(MOD((COUNTIFS($B$2:$B192,"SER")+COUNTIFS($B$2:$B192,"PLH")+COUNTIFS($B$2:$B192,"CSF"))-1,96)/12))&amp;(MOD((COUNTIFS($B$2:$B192,"SER")+COUNTIFS($B$2:$B192,"PLH")+COUNTIFS($B$2:$B192,"CSF"))-1,12)+1),"N/A"),"")</f>
        <v/>
      </c>
      <c r="I192" s="6" t="str">
        <f>IF(AND($A192&lt;&gt;"",$B192&lt;&gt;"",$C192&lt;&gt;"",$D192&lt;&gt;""),IF(OR($B192="SER",$B192="PLH"),"Control MAX Planck Plate "&amp;(INT(((COUNTIFS($B$2:$B192,"SER")+COUNTIFS($B$2:$B192,"PLH"))-1)/96)+1)&amp;": "&amp;CHAR(65+INT(MOD((COUNTIFS($B$2:$B192,"SER")+COUNTIFS($B$2:$B192,"PLH"))-1,96)/12))&amp;(MOD((COUNTIFS($B$2:$B192,"SER")+COUNTIFS($B$2:$B192,"PLH"))-1,12)+1),"N/A"),"")</f>
        <v/>
      </c>
      <c r="J192" s="6" t="str">
        <f>IF(AND($A192&lt;&gt;"",$B192&lt;&gt;"",$C192&lt;&gt;"",$D192&lt;&gt;""),IF($B192="WB","Control WB Box "&amp;(INT((COUNTIFS($B$2:$B192,"WB")-1)/81)+1)&amp;": "&amp;CHAR(65+INT(MOD(COUNTIFS($B$2:$B192,"WB")-1,81)/9))&amp;(MOD(COUNTIFS($B$2:$B192,"WB")-1,9)+1),"N/A"),"")</f>
        <v/>
      </c>
      <c r="K192" s="3" t="str">
        <f t="shared" si="55"/>
        <v/>
      </c>
      <c r="L192" s="2"/>
      <c r="M192" s="2"/>
      <c r="N192" s="2"/>
      <c r="O192" s="7" t="str">
        <f t="shared" si="56"/>
        <v/>
      </c>
      <c r="P192" s="7" t="str">
        <f t="shared" si="57"/>
        <v/>
      </c>
      <c r="Q192" s="7" t="str">
        <f t="shared" si="58"/>
        <v/>
      </c>
      <c r="R192" s="7" t="str">
        <f t="shared" si="59"/>
        <v/>
      </c>
      <c r="S192" s="7" t="str">
        <f t="shared" si="60"/>
        <v/>
      </c>
      <c r="T192" s="7" t="str">
        <f t="shared" si="61"/>
        <v/>
      </c>
      <c r="U192" s="7" t="str">
        <f t="shared" si="62"/>
        <v/>
      </c>
      <c r="V192" s="7" t="str">
        <f t="shared" si="63"/>
        <v/>
      </c>
      <c r="W192" s="7" t="str">
        <f t="shared" si="64"/>
        <v/>
      </c>
      <c r="X192" s="7" t="str">
        <f t="shared" si="65"/>
        <v/>
      </c>
      <c r="Y192">
        <f t="shared" si="66"/>
        <v>0</v>
      </c>
      <c r="Z192" t="str">
        <f t="shared" si="67"/>
        <v/>
      </c>
      <c r="AA192" t="str">
        <f t="shared" si="68"/>
        <v/>
      </c>
      <c r="AB192" t="str">
        <f t="shared" si="69"/>
        <v/>
      </c>
      <c r="AC192" t="str">
        <f t="shared" si="70"/>
        <v/>
      </c>
      <c r="AD192">
        <f t="shared" si="71"/>
        <v>0</v>
      </c>
    </row>
    <row r="193" spans="1:30" ht="15" customHeight="1" x14ac:dyDescent="0.35">
      <c r="A193" s="2"/>
      <c r="B193" s="3"/>
      <c r="C193" s="4"/>
      <c r="D193" s="5"/>
      <c r="E193" s="11" t="str">
        <f t="shared" ca="1" si="54"/>
        <v/>
      </c>
      <c r="F193" s="5"/>
      <c r="G193" s="6" t="str">
        <f>IF(AND($A193&lt;&gt;"",$B193&lt;&gt;"",$C193&lt;&gt;"",$D193&lt;&gt;""),IF(OR($B193="SER",$B193="PLH",$B193="CSF"),"Control CDI Plate "&amp;(INT(((COUNTIFS($B$2:$B193,"SER")+COUNTIFS($B$2:$B193,"PLH")+COUNTIFS($B$2:$B193,"CSF"))-1)/96)+1)&amp;": "&amp;CHAR(65+INT(MOD((COUNTIFS($B$2:$B193,"SER")+COUNTIFS($B$2:$B193,"PLH")+COUNTIFS($B$2:$B193,"CSF"))-1,96)/12))&amp;(MOD((COUNTIFS($B$2:$B193,"SER")+COUNTIFS($B$2:$B193,"PLH")+COUNTIFS($B$2:$B193,"CSF"))-1,12)+1),"N/A"),"")</f>
        <v/>
      </c>
      <c r="H193" s="6" t="str">
        <f>IF(AND($A193&lt;&gt;"",$B193&lt;&gt;"",$C193&lt;&gt;"",$D193&lt;&gt;""),IF(OR($B193="SER",$B193="PLH",$B193="CSF"),"Control NIH Plate "&amp;(INT(((COUNTIFS($B$2:$B193,"SER")+COUNTIFS($B$2:$B193,"PLH")+COUNTIFS($B$2:$B193,"CSF"))-1)/96)+1)&amp;": "&amp;CHAR(65+INT(MOD((COUNTIFS($B$2:$B193,"SER")+COUNTIFS($B$2:$B193,"PLH")+COUNTIFS($B$2:$B193,"CSF"))-1,96)/12))&amp;(MOD((COUNTIFS($B$2:$B193,"SER")+COUNTIFS($B$2:$B193,"PLH")+COUNTIFS($B$2:$B193,"CSF"))-1,12)+1),"N/A"),"")</f>
        <v/>
      </c>
      <c r="I193" s="6" t="str">
        <f>IF(AND($A193&lt;&gt;"",$B193&lt;&gt;"",$C193&lt;&gt;"",$D193&lt;&gt;""),IF(OR($B193="SER",$B193="PLH"),"Control MAX Planck Plate "&amp;(INT(((COUNTIFS($B$2:$B193,"SER")+COUNTIFS($B$2:$B193,"PLH"))-1)/96)+1)&amp;": "&amp;CHAR(65+INT(MOD((COUNTIFS($B$2:$B193,"SER")+COUNTIFS($B$2:$B193,"PLH"))-1,96)/12))&amp;(MOD((COUNTIFS($B$2:$B193,"SER")+COUNTIFS($B$2:$B193,"PLH"))-1,12)+1),"N/A"),"")</f>
        <v/>
      </c>
      <c r="J193" s="6" t="str">
        <f>IF(AND($A193&lt;&gt;"",$B193&lt;&gt;"",$C193&lt;&gt;"",$D193&lt;&gt;""),IF($B193="WB","Control WB Box "&amp;(INT((COUNTIFS($B$2:$B193,"WB")-1)/81)+1)&amp;": "&amp;CHAR(65+INT(MOD(COUNTIFS($B$2:$B193,"WB")-1,81)/9))&amp;(MOD(COUNTIFS($B$2:$B193,"WB")-1,9)+1),"N/A"),"")</f>
        <v/>
      </c>
      <c r="K193" s="3" t="str">
        <f t="shared" si="55"/>
        <v/>
      </c>
      <c r="L193" s="2"/>
      <c r="M193" s="2"/>
      <c r="N193" s="2"/>
      <c r="O193" s="7" t="str">
        <f t="shared" si="56"/>
        <v/>
      </c>
      <c r="P193" s="7" t="str">
        <f t="shared" si="57"/>
        <v/>
      </c>
      <c r="Q193" s="7" t="str">
        <f t="shared" si="58"/>
        <v/>
      </c>
      <c r="R193" s="7" t="str">
        <f t="shared" si="59"/>
        <v/>
      </c>
      <c r="S193" s="7" t="str">
        <f t="shared" si="60"/>
        <v/>
      </c>
      <c r="T193" s="7" t="str">
        <f t="shared" si="61"/>
        <v/>
      </c>
      <c r="U193" s="7" t="str">
        <f t="shared" si="62"/>
        <v/>
      </c>
      <c r="V193" s="7" t="str">
        <f t="shared" si="63"/>
        <v/>
      </c>
      <c r="W193" s="7" t="str">
        <f t="shared" si="64"/>
        <v/>
      </c>
      <c r="X193" s="7" t="str">
        <f t="shared" si="65"/>
        <v/>
      </c>
      <c r="Y193">
        <f t="shared" si="66"/>
        <v>0</v>
      </c>
      <c r="Z193" t="str">
        <f t="shared" si="67"/>
        <v/>
      </c>
      <c r="AA193" t="str">
        <f t="shared" si="68"/>
        <v/>
      </c>
      <c r="AB193" t="str">
        <f t="shared" si="69"/>
        <v/>
      </c>
      <c r="AC193" t="str">
        <f t="shared" si="70"/>
        <v/>
      </c>
      <c r="AD193">
        <f t="shared" si="71"/>
        <v>0</v>
      </c>
    </row>
    <row r="194" spans="1:30" ht="15" customHeight="1" x14ac:dyDescent="0.35">
      <c r="A194" s="2"/>
      <c r="B194" s="3"/>
      <c r="C194" s="4"/>
      <c r="D194" s="5"/>
      <c r="E194" s="11" t="str">
        <f t="shared" ca="1" si="54"/>
        <v/>
      </c>
      <c r="F194" s="5"/>
      <c r="G194" s="6" t="str">
        <f>IF(AND($A194&lt;&gt;"",$B194&lt;&gt;"",$C194&lt;&gt;"",$D194&lt;&gt;""),IF(OR($B194="SER",$B194="PLH",$B194="CSF"),"Control CDI Plate "&amp;(INT(((COUNTIFS($B$2:$B194,"SER")+COUNTIFS($B$2:$B194,"PLH")+COUNTIFS($B$2:$B194,"CSF"))-1)/96)+1)&amp;": "&amp;CHAR(65+INT(MOD((COUNTIFS($B$2:$B194,"SER")+COUNTIFS($B$2:$B194,"PLH")+COUNTIFS($B$2:$B194,"CSF"))-1,96)/12))&amp;(MOD((COUNTIFS($B$2:$B194,"SER")+COUNTIFS($B$2:$B194,"PLH")+COUNTIFS($B$2:$B194,"CSF"))-1,12)+1),"N/A"),"")</f>
        <v/>
      </c>
      <c r="H194" s="6" t="str">
        <f>IF(AND($A194&lt;&gt;"",$B194&lt;&gt;"",$C194&lt;&gt;"",$D194&lt;&gt;""),IF(OR($B194="SER",$B194="PLH",$B194="CSF"),"Control NIH Plate "&amp;(INT(((COUNTIFS($B$2:$B194,"SER")+COUNTIFS($B$2:$B194,"PLH")+COUNTIFS($B$2:$B194,"CSF"))-1)/96)+1)&amp;": "&amp;CHAR(65+INT(MOD((COUNTIFS($B$2:$B194,"SER")+COUNTIFS($B$2:$B194,"PLH")+COUNTIFS($B$2:$B194,"CSF"))-1,96)/12))&amp;(MOD((COUNTIFS($B$2:$B194,"SER")+COUNTIFS($B$2:$B194,"PLH")+COUNTIFS($B$2:$B194,"CSF"))-1,12)+1),"N/A"),"")</f>
        <v/>
      </c>
      <c r="I194" s="6" t="str">
        <f>IF(AND($A194&lt;&gt;"",$B194&lt;&gt;"",$C194&lt;&gt;"",$D194&lt;&gt;""),IF(OR($B194="SER",$B194="PLH"),"Control MAX Planck Plate "&amp;(INT(((COUNTIFS($B$2:$B194,"SER")+COUNTIFS($B$2:$B194,"PLH"))-1)/96)+1)&amp;": "&amp;CHAR(65+INT(MOD((COUNTIFS($B$2:$B194,"SER")+COUNTIFS($B$2:$B194,"PLH"))-1,96)/12))&amp;(MOD((COUNTIFS($B$2:$B194,"SER")+COUNTIFS($B$2:$B194,"PLH"))-1,12)+1),"N/A"),"")</f>
        <v/>
      </c>
      <c r="J194" s="6" t="str">
        <f>IF(AND($A194&lt;&gt;"",$B194&lt;&gt;"",$C194&lt;&gt;"",$D194&lt;&gt;""),IF($B194="WB","Control WB Box "&amp;(INT((COUNTIFS($B$2:$B194,"WB")-1)/81)+1)&amp;": "&amp;CHAR(65+INT(MOD(COUNTIFS($B$2:$B194,"WB")-1,81)/9))&amp;(MOD(COUNTIFS($B$2:$B194,"WB")-1,9)+1),"N/A"),"")</f>
        <v/>
      </c>
      <c r="K194" s="3" t="str">
        <f t="shared" si="55"/>
        <v/>
      </c>
      <c r="L194" s="2"/>
      <c r="M194" s="2"/>
      <c r="N194" s="2"/>
      <c r="O194" s="7" t="str">
        <f t="shared" si="56"/>
        <v/>
      </c>
      <c r="P194" s="7" t="str">
        <f t="shared" si="57"/>
        <v/>
      </c>
      <c r="Q194" s="7" t="str">
        <f t="shared" si="58"/>
        <v/>
      </c>
      <c r="R194" s="7" t="str">
        <f t="shared" si="59"/>
        <v/>
      </c>
      <c r="S194" s="7" t="str">
        <f t="shared" si="60"/>
        <v/>
      </c>
      <c r="T194" s="7" t="str">
        <f t="shared" si="61"/>
        <v/>
      </c>
      <c r="U194" s="7" t="str">
        <f t="shared" si="62"/>
        <v/>
      </c>
      <c r="V194" s="7" t="str">
        <f t="shared" si="63"/>
        <v/>
      </c>
      <c r="W194" s="7" t="str">
        <f t="shared" si="64"/>
        <v/>
      </c>
      <c r="X194" s="7" t="str">
        <f t="shared" si="65"/>
        <v/>
      </c>
      <c r="Y194">
        <f t="shared" si="66"/>
        <v>0</v>
      </c>
      <c r="Z194" t="str">
        <f t="shared" si="67"/>
        <v/>
      </c>
      <c r="AA194" t="str">
        <f t="shared" si="68"/>
        <v/>
      </c>
      <c r="AB194" t="str">
        <f t="shared" si="69"/>
        <v/>
      </c>
      <c r="AC194" t="str">
        <f t="shared" si="70"/>
        <v/>
      </c>
      <c r="AD194">
        <f t="shared" si="71"/>
        <v>0</v>
      </c>
    </row>
    <row r="195" spans="1:30" ht="15" customHeight="1" x14ac:dyDescent="0.35">
      <c r="A195" s="2"/>
      <c r="B195" s="3"/>
      <c r="C195" s="4"/>
      <c r="D195" s="5"/>
      <c r="E195" s="11" t="str">
        <f t="shared" ca="1" si="54"/>
        <v/>
      </c>
      <c r="F195" s="5"/>
      <c r="G195" s="6" t="str">
        <f>IF(AND($A195&lt;&gt;"",$B195&lt;&gt;"",$C195&lt;&gt;"",$D195&lt;&gt;""),IF(OR($B195="SER",$B195="PLH",$B195="CSF"),"Control CDI Plate "&amp;(INT(((COUNTIFS($B$2:$B195,"SER")+COUNTIFS($B$2:$B195,"PLH")+COUNTIFS($B$2:$B195,"CSF"))-1)/96)+1)&amp;": "&amp;CHAR(65+INT(MOD((COUNTIFS($B$2:$B195,"SER")+COUNTIFS($B$2:$B195,"PLH")+COUNTIFS($B$2:$B195,"CSF"))-1,96)/12))&amp;(MOD((COUNTIFS($B$2:$B195,"SER")+COUNTIFS($B$2:$B195,"PLH")+COUNTIFS($B$2:$B195,"CSF"))-1,12)+1),"N/A"),"")</f>
        <v/>
      </c>
      <c r="H195" s="6" t="str">
        <f>IF(AND($A195&lt;&gt;"",$B195&lt;&gt;"",$C195&lt;&gt;"",$D195&lt;&gt;""),IF(OR($B195="SER",$B195="PLH",$B195="CSF"),"Control NIH Plate "&amp;(INT(((COUNTIFS($B$2:$B195,"SER")+COUNTIFS($B$2:$B195,"PLH")+COUNTIFS($B$2:$B195,"CSF"))-1)/96)+1)&amp;": "&amp;CHAR(65+INT(MOD((COUNTIFS($B$2:$B195,"SER")+COUNTIFS($B$2:$B195,"PLH")+COUNTIFS($B$2:$B195,"CSF"))-1,96)/12))&amp;(MOD((COUNTIFS($B$2:$B195,"SER")+COUNTIFS($B$2:$B195,"PLH")+COUNTIFS($B$2:$B195,"CSF"))-1,12)+1),"N/A"),"")</f>
        <v/>
      </c>
      <c r="I195" s="6" t="str">
        <f>IF(AND($A195&lt;&gt;"",$B195&lt;&gt;"",$C195&lt;&gt;"",$D195&lt;&gt;""),IF(OR($B195="SER",$B195="PLH"),"Control MAX Planck Plate "&amp;(INT(((COUNTIFS($B$2:$B195,"SER")+COUNTIFS($B$2:$B195,"PLH"))-1)/96)+1)&amp;": "&amp;CHAR(65+INT(MOD((COUNTIFS($B$2:$B195,"SER")+COUNTIFS($B$2:$B195,"PLH"))-1,96)/12))&amp;(MOD((COUNTIFS($B$2:$B195,"SER")+COUNTIFS($B$2:$B195,"PLH"))-1,12)+1),"N/A"),"")</f>
        <v/>
      </c>
      <c r="J195" s="6" t="str">
        <f>IF(AND($A195&lt;&gt;"",$B195&lt;&gt;"",$C195&lt;&gt;"",$D195&lt;&gt;""),IF($B195="WB","Control WB Box "&amp;(INT((COUNTIFS($B$2:$B195,"WB")-1)/81)+1)&amp;": "&amp;CHAR(65+INT(MOD(COUNTIFS($B$2:$B195,"WB")-1,81)/9))&amp;(MOD(COUNTIFS($B$2:$B195,"WB")-1,9)+1),"N/A"),"")</f>
        <v/>
      </c>
      <c r="K195" s="3" t="str">
        <f t="shared" si="55"/>
        <v/>
      </c>
      <c r="L195" s="2"/>
      <c r="M195" s="2"/>
      <c r="N195" s="2"/>
      <c r="O195" s="7" t="str">
        <f t="shared" si="56"/>
        <v/>
      </c>
      <c r="P195" s="7" t="str">
        <f t="shared" si="57"/>
        <v/>
      </c>
      <c r="Q195" s="7" t="str">
        <f t="shared" si="58"/>
        <v/>
      </c>
      <c r="R195" s="7" t="str">
        <f t="shared" si="59"/>
        <v/>
      </c>
      <c r="S195" s="7" t="str">
        <f t="shared" si="60"/>
        <v/>
      </c>
      <c r="T195" s="7" t="str">
        <f t="shared" si="61"/>
        <v/>
      </c>
      <c r="U195" s="7" t="str">
        <f t="shared" si="62"/>
        <v/>
      </c>
      <c r="V195" s="7" t="str">
        <f t="shared" si="63"/>
        <v/>
      </c>
      <c r="W195" s="7" t="str">
        <f t="shared" si="64"/>
        <v/>
      </c>
      <c r="X195" s="7" t="str">
        <f t="shared" si="65"/>
        <v/>
      </c>
      <c r="Y195">
        <f t="shared" si="66"/>
        <v>0</v>
      </c>
      <c r="Z195" t="str">
        <f t="shared" si="67"/>
        <v/>
      </c>
      <c r="AA195" t="str">
        <f t="shared" si="68"/>
        <v/>
      </c>
      <c r="AB195" t="str">
        <f t="shared" si="69"/>
        <v/>
      </c>
      <c r="AC195" t="str">
        <f t="shared" si="70"/>
        <v/>
      </c>
      <c r="AD195">
        <f t="shared" si="71"/>
        <v>0</v>
      </c>
    </row>
    <row r="196" spans="1:30" ht="15" customHeight="1" x14ac:dyDescent="0.35">
      <c r="A196" s="2"/>
      <c r="B196" s="3"/>
      <c r="C196" s="4"/>
      <c r="D196" s="5"/>
      <c r="E196" s="11" t="str">
        <f t="shared" ca="1" si="54"/>
        <v/>
      </c>
      <c r="F196" s="5"/>
      <c r="G196" s="6" t="str">
        <f>IF(AND($A196&lt;&gt;"",$B196&lt;&gt;"",$C196&lt;&gt;"",$D196&lt;&gt;""),IF(OR($B196="SER",$B196="PLH",$B196="CSF"),"Control CDI Plate "&amp;(INT(((COUNTIFS($B$2:$B196,"SER")+COUNTIFS($B$2:$B196,"PLH")+COUNTIFS($B$2:$B196,"CSF"))-1)/96)+1)&amp;": "&amp;CHAR(65+INT(MOD((COUNTIFS($B$2:$B196,"SER")+COUNTIFS($B$2:$B196,"PLH")+COUNTIFS($B$2:$B196,"CSF"))-1,96)/12))&amp;(MOD((COUNTIFS($B$2:$B196,"SER")+COUNTIFS($B$2:$B196,"PLH")+COUNTIFS($B$2:$B196,"CSF"))-1,12)+1),"N/A"),"")</f>
        <v/>
      </c>
      <c r="H196" s="6" t="str">
        <f>IF(AND($A196&lt;&gt;"",$B196&lt;&gt;"",$C196&lt;&gt;"",$D196&lt;&gt;""),IF(OR($B196="SER",$B196="PLH",$B196="CSF"),"Control NIH Plate "&amp;(INT(((COUNTIFS($B$2:$B196,"SER")+COUNTIFS($B$2:$B196,"PLH")+COUNTIFS($B$2:$B196,"CSF"))-1)/96)+1)&amp;": "&amp;CHAR(65+INT(MOD((COUNTIFS($B$2:$B196,"SER")+COUNTIFS($B$2:$B196,"PLH")+COUNTIFS($B$2:$B196,"CSF"))-1,96)/12))&amp;(MOD((COUNTIFS($B$2:$B196,"SER")+COUNTIFS($B$2:$B196,"PLH")+COUNTIFS($B$2:$B196,"CSF"))-1,12)+1),"N/A"),"")</f>
        <v/>
      </c>
      <c r="I196" s="6" t="str">
        <f>IF(AND($A196&lt;&gt;"",$B196&lt;&gt;"",$C196&lt;&gt;"",$D196&lt;&gt;""),IF(OR($B196="SER",$B196="PLH"),"Control MAX Planck Plate "&amp;(INT(((COUNTIFS($B$2:$B196,"SER")+COUNTIFS($B$2:$B196,"PLH"))-1)/96)+1)&amp;": "&amp;CHAR(65+INT(MOD((COUNTIFS($B$2:$B196,"SER")+COUNTIFS($B$2:$B196,"PLH"))-1,96)/12))&amp;(MOD((COUNTIFS($B$2:$B196,"SER")+COUNTIFS($B$2:$B196,"PLH"))-1,12)+1),"N/A"),"")</f>
        <v/>
      </c>
      <c r="J196" s="6" t="str">
        <f>IF(AND($A196&lt;&gt;"",$B196&lt;&gt;"",$C196&lt;&gt;"",$D196&lt;&gt;""),IF($B196="WB","Control WB Box "&amp;(INT((COUNTIFS($B$2:$B196,"WB")-1)/81)+1)&amp;": "&amp;CHAR(65+INT(MOD(COUNTIFS($B$2:$B196,"WB")-1,81)/9))&amp;(MOD(COUNTIFS($B$2:$B196,"WB")-1,9)+1),"N/A"),"")</f>
        <v/>
      </c>
      <c r="K196" s="3" t="str">
        <f t="shared" si="55"/>
        <v/>
      </c>
      <c r="L196" s="2"/>
      <c r="M196" s="2"/>
      <c r="N196" s="2"/>
      <c r="O196" s="7" t="str">
        <f t="shared" si="56"/>
        <v/>
      </c>
      <c r="P196" s="7" t="str">
        <f t="shared" si="57"/>
        <v/>
      </c>
      <c r="Q196" s="7" t="str">
        <f t="shared" si="58"/>
        <v/>
      </c>
      <c r="R196" s="7" t="str">
        <f t="shared" si="59"/>
        <v/>
      </c>
      <c r="S196" s="7" t="str">
        <f t="shared" si="60"/>
        <v/>
      </c>
      <c r="T196" s="7" t="str">
        <f t="shared" si="61"/>
        <v/>
      </c>
      <c r="U196" s="7" t="str">
        <f t="shared" si="62"/>
        <v/>
      </c>
      <c r="V196" s="7" t="str">
        <f t="shared" si="63"/>
        <v/>
      </c>
      <c r="W196" s="7" t="str">
        <f t="shared" si="64"/>
        <v/>
      </c>
      <c r="X196" s="7" t="str">
        <f t="shared" si="65"/>
        <v/>
      </c>
      <c r="Y196">
        <f t="shared" si="66"/>
        <v>0</v>
      </c>
      <c r="Z196" t="str">
        <f t="shared" si="67"/>
        <v/>
      </c>
      <c r="AA196" t="str">
        <f t="shared" si="68"/>
        <v/>
      </c>
      <c r="AB196" t="str">
        <f t="shared" si="69"/>
        <v/>
      </c>
      <c r="AC196" t="str">
        <f t="shared" si="70"/>
        <v/>
      </c>
      <c r="AD196">
        <f t="shared" si="71"/>
        <v>0</v>
      </c>
    </row>
    <row r="197" spans="1:30" ht="15" customHeight="1" x14ac:dyDescent="0.35">
      <c r="A197" s="2"/>
      <c r="B197" s="3"/>
      <c r="C197" s="4"/>
      <c r="D197" s="5"/>
      <c r="E197" s="11" t="str">
        <f t="shared" ca="1" si="54"/>
        <v/>
      </c>
      <c r="F197" s="5"/>
      <c r="G197" s="6" t="str">
        <f>IF(AND($A197&lt;&gt;"",$B197&lt;&gt;"",$C197&lt;&gt;"",$D197&lt;&gt;""),IF(OR($B197="SER",$B197="PLH",$B197="CSF"),"Control CDI Plate "&amp;(INT(((COUNTIFS($B$2:$B197,"SER")+COUNTIFS($B$2:$B197,"PLH")+COUNTIFS($B$2:$B197,"CSF"))-1)/96)+1)&amp;": "&amp;CHAR(65+INT(MOD((COUNTIFS($B$2:$B197,"SER")+COUNTIFS($B$2:$B197,"PLH")+COUNTIFS($B$2:$B197,"CSF"))-1,96)/12))&amp;(MOD((COUNTIFS($B$2:$B197,"SER")+COUNTIFS($B$2:$B197,"PLH")+COUNTIFS($B$2:$B197,"CSF"))-1,12)+1),"N/A"),"")</f>
        <v/>
      </c>
      <c r="H197" s="6" t="str">
        <f>IF(AND($A197&lt;&gt;"",$B197&lt;&gt;"",$C197&lt;&gt;"",$D197&lt;&gt;""),IF(OR($B197="SER",$B197="PLH",$B197="CSF"),"Control NIH Plate "&amp;(INT(((COUNTIFS($B$2:$B197,"SER")+COUNTIFS($B$2:$B197,"PLH")+COUNTIFS($B$2:$B197,"CSF"))-1)/96)+1)&amp;": "&amp;CHAR(65+INT(MOD((COUNTIFS($B$2:$B197,"SER")+COUNTIFS($B$2:$B197,"PLH")+COUNTIFS($B$2:$B197,"CSF"))-1,96)/12))&amp;(MOD((COUNTIFS($B$2:$B197,"SER")+COUNTIFS($B$2:$B197,"PLH")+COUNTIFS($B$2:$B197,"CSF"))-1,12)+1),"N/A"),"")</f>
        <v/>
      </c>
      <c r="I197" s="6" t="str">
        <f>IF(AND($A197&lt;&gt;"",$B197&lt;&gt;"",$C197&lt;&gt;"",$D197&lt;&gt;""),IF(OR($B197="SER",$B197="PLH"),"Control MAX Planck Plate "&amp;(INT(((COUNTIFS($B$2:$B197,"SER")+COUNTIFS($B$2:$B197,"PLH"))-1)/96)+1)&amp;": "&amp;CHAR(65+INT(MOD((COUNTIFS($B$2:$B197,"SER")+COUNTIFS($B$2:$B197,"PLH"))-1,96)/12))&amp;(MOD((COUNTIFS($B$2:$B197,"SER")+COUNTIFS($B$2:$B197,"PLH"))-1,12)+1),"N/A"),"")</f>
        <v/>
      </c>
      <c r="J197" s="6" t="str">
        <f>IF(AND($A197&lt;&gt;"",$B197&lt;&gt;"",$C197&lt;&gt;"",$D197&lt;&gt;""),IF($B197="WB","Control WB Box "&amp;(INT((COUNTIFS($B$2:$B197,"WB")-1)/81)+1)&amp;": "&amp;CHAR(65+INT(MOD(COUNTIFS($B$2:$B197,"WB")-1,81)/9))&amp;(MOD(COUNTIFS($B$2:$B197,"WB")-1,9)+1),"N/A"),"")</f>
        <v/>
      </c>
      <c r="K197" s="3" t="str">
        <f t="shared" si="55"/>
        <v/>
      </c>
      <c r="L197" s="2"/>
      <c r="M197" s="2"/>
      <c r="N197" s="2"/>
      <c r="O197" s="7" t="str">
        <f t="shared" si="56"/>
        <v/>
      </c>
      <c r="P197" s="7" t="str">
        <f t="shared" si="57"/>
        <v/>
      </c>
      <c r="Q197" s="7" t="str">
        <f t="shared" si="58"/>
        <v/>
      </c>
      <c r="R197" s="7" t="str">
        <f t="shared" si="59"/>
        <v/>
      </c>
      <c r="S197" s="7" t="str">
        <f t="shared" si="60"/>
        <v/>
      </c>
      <c r="T197" s="7" t="str">
        <f t="shared" si="61"/>
        <v/>
      </c>
      <c r="U197" s="7" t="str">
        <f t="shared" si="62"/>
        <v/>
      </c>
      <c r="V197" s="7" t="str">
        <f t="shared" si="63"/>
        <v/>
      </c>
      <c r="W197" s="7" t="str">
        <f t="shared" si="64"/>
        <v/>
      </c>
      <c r="X197" s="7" t="str">
        <f t="shared" si="65"/>
        <v/>
      </c>
      <c r="Y197">
        <f t="shared" si="66"/>
        <v>0</v>
      </c>
      <c r="Z197" t="str">
        <f t="shared" si="67"/>
        <v/>
      </c>
      <c r="AA197" t="str">
        <f t="shared" si="68"/>
        <v/>
      </c>
      <c r="AB197" t="str">
        <f t="shared" si="69"/>
        <v/>
      </c>
      <c r="AC197" t="str">
        <f t="shared" si="70"/>
        <v/>
      </c>
      <c r="AD197">
        <f t="shared" si="71"/>
        <v>0</v>
      </c>
    </row>
    <row r="198" spans="1:30" ht="15" customHeight="1" x14ac:dyDescent="0.35">
      <c r="A198" s="2"/>
      <c r="B198" s="3"/>
      <c r="C198" s="4"/>
      <c r="D198" s="5"/>
      <c r="E198" s="11" t="str">
        <f t="shared" ca="1" si="54"/>
        <v/>
      </c>
      <c r="F198" s="5"/>
      <c r="G198" s="6" t="str">
        <f>IF(AND($A198&lt;&gt;"",$B198&lt;&gt;"",$C198&lt;&gt;"",$D198&lt;&gt;""),IF(OR($B198="SER",$B198="PLH",$B198="CSF"),"Control CDI Plate "&amp;(INT(((COUNTIFS($B$2:$B198,"SER")+COUNTIFS($B$2:$B198,"PLH")+COUNTIFS($B$2:$B198,"CSF"))-1)/96)+1)&amp;": "&amp;CHAR(65+INT(MOD((COUNTIFS($B$2:$B198,"SER")+COUNTIFS($B$2:$B198,"PLH")+COUNTIFS($B$2:$B198,"CSF"))-1,96)/12))&amp;(MOD((COUNTIFS($B$2:$B198,"SER")+COUNTIFS($B$2:$B198,"PLH")+COUNTIFS($B$2:$B198,"CSF"))-1,12)+1),"N/A"),"")</f>
        <v/>
      </c>
      <c r="H198" s="6" t="str">
        <f>IF(AND($A198&lt;&gt;"",$B198&lt;&gt;"",$C198&lt;&gt;"",$D198&lt;&gt;""),IF(OR($B198="SER",$B198="PLH",$B198="CSF"),"Control NIH Plate "&amp;(INT(((COUNTIFS($B$2:$B198,"SER")+COUNTIFS($B$2:$B198,"PLH")+COUNTIFS($B$2:$B198,"CSF"))-1)/96)+1)&amp;": "&amp;CHAR(65+INT(MOD((COUNTIFS($B$2:$B198,"SER")+COUNTIFS($B$2:$B198,"PLH")+COUNTIFS($B$2:$B198,"CSF"))-1,96)/12))&amp;(MOD((COUNTIFS($B$2:$B198,"SER")+COUNTIFS($B$2:$B198,"PLH")+COUNTIFS($B$2:$B198,"CSF"))-1,12)+1),"N/A"),"")</f>
        <v/>
      </c>
      <c r="I198" s="6" t="str">
        <f>IF(AND($A198&lt;&gt;"",$B198&lt;&gt;"",$C198&lt;&gt;"",$D198&lt;&gt;""),IF(OR($B198="SER",$B198="PLH"),"Control MAX Planck Plate "&amp;(INT(((COUNTIFS($B$2:$B198,"SER")+COUNTIFS($B$2:$B198,"PLH"))-1)/96)+1)&amp;": "&amp;CHAR(65+INT(MOD((COUNTIFS($B$2:$B198,"SER")+COUNTIFS($B$2:$B198,"PLH"))-1,96)/12))&amp;(MOD((COUNTIFS($B$2:$B198,"SER")+COUNTIFS($B$2:$B198,"PLH"))-1,12)+1),"N/A"),"")</f>
        <v/>
      </c>
      <c r="J198" s="6" t="str">
        <f>IF(AND($A198&lt;&gt;"",$B198&lt;&gt;"",$C198&lt;&gt;"",$D198&lt;&gt;""),IF($B198="WB","Control WB Box "&amp;(INT((COUNTIFS($B$2:$B198,"WB")-1)/81)+1)&amp;": "&amp;CHAR(65+INT(MOD(COUNTIFS($B$2:$B198,"WB")-1,81)/9))&amp;(MOD(COUNTIFS($B$2:$B198,"WB")-1,9)+1),"N/A"),"")</f>
        <v/>
      </c>
      <c r="K198" s="3" t="str">
        <f t="shared" si="55"/>
        <v/>
      </c>
      <c r="L198" s="2"/>
      <c r="M198" s="2"/>
      <c r="N198" s="2"/>
      <c r="O198" s="7" t="str">
        <f t="shared" si="56"/>
        <v/>
      </c>
      <c r="P198" s="7" t="str">
        <f t="shared" si="57"/>
        <v/>
      </c>
      <c r="Q198" s="7" t="str">
        <f t="shared" si="58"/>
        <v/>
      </c>
      <c r="R198" s="7" t="str">
        <f t="shared" si="59"/>
        <v/>
      </c>
      <c r="S198" s="7" t="str">
        <f t="shared" si="60"/>
        <v/>
      </c>
      <c r="T198" s="7" t="str">
        <f t="shared" si="61"/>
        <v/>
      </c>
      <c r="U198" s="7" t="str">
        <f t="shared" si="62"/>
        <v/>
      </c>
      <c r="V198" s="7" t="str">
        <f t="shared" si="63"/>
        <v/>
      </c>
      <c r="W198" s="7" t="str">
        <f t="shared" si="64"/>
        <v/>
      </c>
      <c r="X198" s="7" t="str">
        <f t="shared" si="65"/>
        <v/>
      </c>
      <c r="Y198">
        <f t="shared" si="66"/>
        <v>0</v>
      </c>
      <c r="Z198" t="str">
        <f t="shared" si="67"/>
        <v/>
      </c>
      <c r="AA198" t="str">
        <f t="shared" si="68"/>
        <v/>
      </c>
      <c r="AB198" t="str">
        <f t="shared" si="69"/>
        <v/>
      </c>
      <c r="AC198" t="str">
        <f t="shared" si="70"/>
        <v/>
      </c>
      <c r="AD198">
        <f t="shared" si="71"/>
        <v>0</v>
      </c>
    </row>
    <row r="199" spans="1:30" ht="15" customHeight="1" x14ac:dyDescent="0.35">
      <c r="A199" s="2"/>
      <c r="B199" s="3"/>
      <c r="C199" s="4"/>
      <c r="D199" s="5"/>
      <c r="E199" s="11" t="str">
        <f t="shared" ca="1" si="54"/>
        <v/>
      </c>
      <c r="F199" s="5"/>
      <c r="G199" s="6" t="str">
        <f>IF(AND($A199&lt;&gt;"",$B199&lt;&gt;"",$C199&lt;&gt;"",$D199&lt;&gt;""),IF(OR($B199="SER",$B199="PLH",$B199="CSF"),"Control CDI Plate "&amp;(INT(((COUNTIFS($B$2:$B199,"SER")+COUNTIFS($B$2:$B199,"PLH")+COUNTIFS($B$2:$B199,"CSF"))-1)/96)+1)&amp;": "&amp;CHAR(65+INT(MOD((COUNTIFS($B$2:$B199,"SER")+COUNTIFS($B$2:$B199,"PLH")+COUNTIFS($B$2:$B199,"CSF"))-1,96)/12))&amp;(MOD((COUNTIFS($B$2:$B199,"SER")+COUNTIFS($B$2:$B199,"PLH")+COUNTIFS($B$2:$B199,"CSF"))-1,12)+1),"N/A"),"")</f>
        <v/>
      </c>
      <c r="H199" s="6" t="str">
        <f>IF(AND($A199&lt;&gt;"",$B199&lt;&gt;"",$C199&lt;&gt;"",$D199&lt;&gt;""),IF(OR($B199="SER",$B199="PLH",$B199="CSF"),"Control NIH Plate "&amp;(INT(((COUNTIFS($B$2:$B199,"SER")+COUNTIFS($B$2:$B199,"PLH")+COUNTIFS($B$2:$B199,"CSF"))-1)/96)+1)&amp;": "&amp;CHAR(65+INT(MOD((COUNTIFS($B$2:$B199,"SER")+COUNTIFS($B$2:$B199,"PLH")+COUNTIFS($B$2:$B199,"CSF"))-1,96)/12))&amp;(MOD((COUNTIFS($B$2:$B199,"SER")+COUNTIFS($B$2:$B199,"PLH")+COUNTIFS($B$2:$B199,"CSF"))-1,12)+1),"N/A"),"")</f>
        <v/>
      </c>
      <c r="I199" s="6" t="str">
        <f>IF(AND($A199&lt;&gt;"",$B199&lt;&gt;"",$C199&lt;&gt;"",$D199&lt;&gt;""),IF(OR($B199="SER",$B199="PLH"),"Control MAX Planck Plate "&amp;(INT(((COUNTIFS($B$2:$B199,"SER")+COUNTIFS($B$2:$B199,"PLH"))-1)/96)+1)&amp;": "&amp;CHAR(65+INT(MOD((COUNTIFS($B$2:$B199,"SER")+COUNTIFS($B$2:$B199,"PLH"))-1,96)/12))&amp;(MOD((COUNTIFS($B$2:$B199,"SER")+COUNTIFS($B$2:$B199,"PLH"))-1,12)+1),"N/A"),"")</f>
        <v/>
      </c>
      <c r="J199" s="6" t="str">
        <f>IF(AND($A199&lt;&gt;"",$B199&lt;&gt;"",$C199&lt;&gt;"",$D199&lt;&gt;""),IF($B199="WB","Control WB Box "&amp;(INT((COUNTIFS($B$2:$B199,"WB")-1)/81)+1)&amp;": "&amp;CHAR(65+INT(MOD(COUNTIFS($B$2:$B199,"WB")-1,81)/9))&amp;(MOD(COUNTIFS($B$2:$B199,"WB")-1,9)+1),"N/A"),"")</f>
        <v/>
      </c>
      <c r="K199" s="3" t="str">
        <f t="shared" si="55"/>
        <v/>
      </c>
      <c r="L199" s="2"/>
      <c r="M199" s="2"/>
      <c r="N199" s="2"/>
      <c r="O199" s="7" t="str">
        <f t="shared" si="56"/>
        <v/>
      </c>
      <c r="P199" s="7" t="str">
        <f t="shared" si="57"/>
        <v/>
      </c>
      <c r="Q199" s="7" t="str">
        <f t="shared" si="58"/>
        <v/>
      </c>
      <c r="R199" s="7" t="str">
        <f t="shared" si="59"/>
        <v/>
      </c>
      <c r="S199" s="7" t="str">
        <f t="shared" si="60"/>
        <v/>
      </c>
      <c r="T199" s="7" t="str">
        <f t="shared" si="61"/>
        <v/>
      </c>
      <c r="U199" s="7" t="str">
        <f t="shared" si="62"/>
        <v/>
      </c>
      <c r="V199" s="7" t="str">
        <f t="shared" si="63"/>
        <v/>
      </c>
      <c r="W199" s="7" t="str">
        <f t="shared" si="64"/>
        <v/>
      </c>
      <c r="X199" s="7" t="str">
        <f t="shared" si="65"/>
        <v/>
      </c>
      <c r="Y199">
        <f t="shared" si="66"/>
        <v>0</v>
      </c>
      <c r="Z199" t="str">
        <f t="shared" si="67"/>
        <v/>
      </c>
      <c r="AA199" t="str">
        <f t="shared" si="68"/>
        <v/>
      </c>
      <c r="AB199" t="str">
        <f t="shared" si="69"/>
        <v/>
      </c>
      <c r="AC199" t="str">
        <f t="shared" si="70"/>
        <v/>
      </c>
      <c r="AD199">
        <f t="shared" si="71"/>
        <v>0</v>
      </c>
    </row>
    <row r="200" spans="1:30" ht="15" customHeight="1" x14ac:dyDescent="0.35">
      <c r="A200" s="2"/>
      <c r="B200" s="3"/>
      <c r="C200" s="4"/>
      <c r="D200" s="5"/>
      <c r="E200" s="11" t="str">
        <f t="shared" ca="1" si="54"/>
        <v/>
      </c>
      <c r="F200" s="5"/>
      <c r="G200" s="6" t="str">
        <f>IF(AND($A200&lt;&gt;"",$B200&lt;&gt;"",$C200&lt;&gt;"",$D200&lt;&gt;""),IF(OR($B200="SER",$B200="PLH",$B200="CSF"),"Control CDI Plate "&amp;(INT(((COUNTIFS($B$2:$B200,"SER")+COUNTIFS($B$2:$B200,"PLH")+COUNTIFS($B$2:$B200,"CSF"))-1)/96)+1)&amp;": "&amp;CHAR(65+INT(MOD((COUNTIFS($B$2:$B200,"SER")+COUNTIFS($B$2:$B200,"PLH")+COUNTIFS($B$2:$B200,"CSF"))-1,96)/12))&amp;(MOD((COUNTIFS($B$2:$B200,"SER")+COUNTIFS($B$2:$B200,"PLH")+COUNTIFS($B$2:$B200,"CSF"))-1,12)+1),"N/A"),"")</f>
        <v/>
      </c>
      <c r="H200" s="6" t="str">
        <f>IF(AND($A200&lt;&gt;"",$B200&lt;&gt;"",$C200&lt;&gt;"",$D200&lt;&gt;""),IF(OR($B200="SER",$B200="PLH",$B200="CSF"),"Control NIH Plate "&amp;(INT(((COUNTIFS($B$2:$B200,"SER")+COUNTIFS($B$2:$B200,"PLH")+COUNTIFS($B$2:$B200,"CSF"))-1)/96)+1)&amp;": "&amp;CHAR(65+INT(MOD((COUNTIFS($B$2:$B200,"SER")+COUNTIFS($B$2:$B200,"PLH")+COUNTIFS($B$2:$B200,"CSF"))-1,96)/12))&amp;(MOD((COUNTIFS($B$2:$B200,"SER")+COUNTIFS($B$2:$B200,"PLH")+COUNTIFS($B$2:$B200,"CSF"))-1,12)+1),"N/A"),"")</f>
        <v/>
      </c>
      <c r="I200" s="6" t="str">
        <f>IF(AND($A200&lt;&gt;"",$B200&lt;&gt;"",$C200&lt;&gt;"",$D200&lt;&gt;""),IF(OR($B200="SER",$B200="PLH"),"Control MAX Planck Plate "&amp;(INT(((COUNTIFS($B$2:$B200,"SER")+COUNTIFS($B$2:$B200,"PLH"))-1)/96)+1)&amp;": "&amp;CHAR(65+INT(MOD((COUNTIFS($B$2:$B200,"SER")+COUNTIFS($B$2:$B200,"PLH"))-1,96)/12))&amp;(MOD((COUNTIFS($B$2:$B200,"SER")+COUNTIFS($B$2:$B200,"PLH"))-1,12)+1),"N/A"),"")</f>
        <v/>
      </c>
      <c r="J200" s="6" t="str">
        <f>IF(AND($A200&lt;&gt;"",$B200&lt;&gt;"",$C200&lt;&gt;"",$D200&lt;&gt;""),IF($B200="WB","Control WB Box "&amp;(INT((COUNTIFS($B$2:$B200,"WB")-1)/81)+1)&amp;": "&amp;CHAR(65+INT(MOD(COUNTIFS($B$2:$B200,"WB")-1,81)/9))&amp;(MOD(COUNTIFS($B$2:$B200,"WB")-1,9)+1),"N/A"),"")</f>
        <v/>
      </c>
      <c r="K200" s="3" t="str">
        <f t="shared" si="55"/>
        <v/>
      </c>
      <c r="L200" s="2"/>
      <c r="M200" s="2"/>
      <c r="N200" s="2"/>
      <c r="O200" s="7" t="str">
        <f t="shared" si="56"/>
        <v/>
      </c>
      <c r="P200" s="7" t="str">
        <f t="shared" si="57"/>
        <v/>
      </c>
      <c r="Q200" s="7" t="str">
        <f t="shared" si="58"/>
        <v/>
      </c>
      <c r="R200" s="7" t="str">
        <f t="shared" si="59"/>
        <v/>
      </c>
      <c r="S200" s="7" t="str">
        <f t="shared" si="60"/>
        <v/>
      </c>
      <c r="T200" s="7" t="str">
        <f t="shared" si="61"/>
        <v/>
      </c>
      <c r="U200" s="7" t="str">
        <f t="shared" si="62"/>
        <v/>
      </c>
      <c r="V200" s="7" t="str">
        <f t="shared" si="63"/>
        <v/>
      </c>
      <c r="W200" s="7" t="str">
        <f t="shared" si="64"/>
        <v/>
      </c>
      <c r="X200" s="7" t="str">
        <f t="shared" si="65"/>
        <v/>
      </c>
      <c r="Y200">
        <f t="shared" si="66"/>
        <v>0</v>
      </c>
      <c r="Z200" t="str">
        <f t="shared" si="67"/>
        <v/>
      </c>
      <c r="AA200" t="str">
        <f t="shared" si="68"/>
        <v/>
      </c>
      <c r="AB200" t="str">
        <f t="shared" si="69"/>
        <v/>
      </c>
      <c r="AC200" t="str">
        <f t="shared" si="70"/>
        <v/>
      </c>
      <c r="AD200">
        <f t="shared" si="71"/>
        <v>0</v>
      </c>
    </row>
    <row r="201" spans="1:30" ht="15" customHeight="1" x14ac:dyDescent="0.35">
      <c r="A201" s="2"/>
      <c r="B201" s="3"/>
      <c r="C201" s="4"/>
      <c r="D201" s="5"/>
      <c r="E201" s="11" t="str">
        <f t="shared" ca="1" si="54"/>
        <v/>
      </c>
      <c r="F201" s="5"/>
      <c r="G201" s="6" t="str">
        <f>IF(AND($A201&lt;&gt;"",$B201&lt;&gt;"",$C201&lt;&gt;"",$D201&lt;&gt;""),IF(OR($B201="SER",$B201="PLH",$B201="CSF"),"Control CDI Plate "&amp;(INT(((COUNTIFS($B$2:$B201,"SER")+COUNTIFS($B$2:$B201,"PLH")+COUNTIFS($B$2:$B201,"CSF"))-1)/96)+1)&amp;": "&amp;CHAR(65+INT(MOD((COUNTIFS($B$2:$B201,"SER")+COUNTIFS($B$2:$B201,"PLH")+COUNTIFS($B$2:$B201,"CSF"))-1,96)/12))&amp;(MOD((COUNTIFS($B$2:$B201,"SER")+COUNTIFS($B$2:$B201,"PLH")+COUNTIFS($B$2:$B201,"CSF"))-1,12)+1),"N/A"),"")</f>
        <v/>
      </c>
      <c r="H201" s="6" t="str">
        <f>IF(AND($A201&lt;&gt;"",$B201&lt;&gt;"",$C201&lt;&gt;"",$D201&lt;&gt;""),IF(OR($B201="SER",$B201="PLH",$B201="CSF"),"Control NIH Plate "&amp;(INT(((COUNTIFS($B$2:$B201,"SER")+COUNTIFS($B$2:$B201,"PLH")+COUNTIFS($B$2:$B201,"CSF"))-1)/96)+1)&amp;": "&amp;CHAR(65+INT(MOD((COUNTIFS($B$2:$B201,"SER")+COUNTIFS($B$2:$B201,"PLH")+COUNTIFS($B$2:$B201,"CSF"))-1,96)/12))&amp;(MOD((COUNTIFS($B$2:$B201,"SER")+COUNTIFS($B$2:$B201,"PLH")+COUNTIFS($B$2:$B201,"CSF"))-1,12)+1),"N/A"),"")</f>
        <v/>
      </c>
      <c r="I201" s="6" t="str">
        <f>IF(AND($A201&lt;&gt;"",$B201&lt;&gt;"",$C201&lt;&gt;"",$D201&lt;&gt;""),IF(OR($B201="SER",$B201="PLH"),"Control MAX Planck Plate "&amp;(INT(((COUNTIFS($B$2:$B201,"SER")+COUNTIFS($B$2:$B201,"PLH"))-1)/96)+1)&amp;": "&amp;CHAR(65+INT(MOD((COUNTIFS($B$2:$B201,"SER")+COUNTIFS($B$2:$B201,"PLH"))-1,96)/12))&amp;(MOD((COUNTIFS($B$2:$B201,"SER")+COUNTIFS($B$2:$B201,"PLH"))-1,12)+1),"N/A"),"")</f>
        <v/>
      </c>
      <c r="J201" s="6" t="str">
        <f>IF(AND($A201&lt;&gt;"",$B201&lt;&gt;"",$C201&lt;&gt;"",$D201&lt;&gt;""),IF($B201="WB","Control WB Box "&amp;(INT((COUNTIFS($B$2:$B201,"WB")-1)/81)+1)&amp;": "&amp;CHAR(65+INT(MOD(COUNTIFS($B$2:$B201,"WB")-1,81)/9))&amp;(MOD(COUNTIFS($B$2:$B201,"WB")-1,9)+1),"N/A"),"")</f>
        <v/>
      </c>
      <c r="K201" s="3" t="str">
        <f t="shared" si="55"/>
        <v/>
      </c>
      <c r="L201" s="2"/>
      <c r="M201" s="2"/>
      <c r="N201" s="2"/>
      <c r="O201" s="7" t="str">
        <f t="shared" si="56"/>
        <v/>
      </c>
      <c r="P201" s="7" t="str">
        <f t="shared" si="57"/>
        <v/>
      </c>
      <c r="Q201" s="7" t="str">
        <f t="shared" si="58"/>
        <v/>
      </c>
      <c r="R201" s="7" t="str">
        <f t="shared" si="59"/>
        <v/>
      </c>
      <c r="S201" s="7" t="str">
        <f t="shared" si="60"/>
        <v/>
      </c>
      <c r="T201" s="7" t="str">
        <f t="shared" si="61"/>
        <v/>
      </c>
      <c r="U201" s="7" t="str">
        <f t="shared" si="62"/>
        <v/>
      </c>
      <c r="V201" s="7" t="str">
        <f t="shared" si="63"/>
        <v/>
      </c>
      <c r="W201" s="7" t="str">
        <f t="shared" si="64"/>
        <v/>
      </c>
      <c r="X201" s="7" t="str">
        <f t="shared" si="65"/>
        <v/>
      </c>
      <c r="Y201">
        <f t="shared" si="66"/>
        <v>0</v>
      </c>
      <c r="Z201" t="str">
        <f t="shared" si="67"/>
        <v/>
      </c>
      <c r="AA201" t="str">
        <f t="shared" si="68"/>
        <v/>
      </c>
      <c r="AB201" t="str">
        <f t="shared" si="69"/>
        <v/>
      </c>
      <c r="AC201" t="str">
        <f t="shared" si="70"/>
        <v/>
      </c>
      <c r="AD201">
        <f t="shared" si="71"/>
        <v>0</v>
      </c>
    </row>
    <row r="202" spans="1:30" ht="15" customHeight="1" x14ac:dyDescent="0.35">
      <c r="A202" s="2"/>
      <c r="B202" s="3"/>
      <c r="C202" s="4"/>
      <c r="D202" s="5"/>
      <c r="E202" s="11" t="str">
        <f t="shared" ca="1" si="54"/>
        <v/>
      </c>
      <c r="F202" s="5"/>
      <c r="G202" s="6" t="str">
        <f>IF(AND($A202&lt;&gt;"",$B202&lt;&gt;"",$C202&lt;&gt;"",$D202&lt;&gt;""),IF(OR($B202="SER",$B202="PLH",$B202="CSF"),"Control CDI Plate "&amp;(INT(((COUNTIFS($B$2:$B202,"SER")+COUNTIFS($B$2:$B202,"PLH")+COUNTIFS($B$2:$B202,"CSF"))-1)/96)+1)&amp;": "&amp;CHAR(65+INT(MOD((COUNTIFS($B$2:$B202,"SER")+COUNTIFS($B$2:$B202,"PLH")+COUNTIFS($B$2:$B202,"CSF"))-1,96)/12))&amp;(MOD((COUNTIFS($B$2:$B202,"SER")+COUNTIFS($B$2:$B202,"PLH")+COUNTIFS($B$2:$B202,"CSF"))-1,12)+1),"N/A"),"")</f>
        <v/>
      </c>
      <c r="H202" s="6" t="str">
        <f>IF(AND($A202&lt;&gt;"",$B202&lt;&gt;"",$C202&lt;&gt;"",$D202&lt;&gt;""),IF(OR($B202="SER",$B202="PLH",$B202="CSF"),"Control NIH Plate "&amp;(INT(((COUNTIFS($B$2:$B202,"SER")+COUNTIFS($B$2:$B202,"PLH")+COUNTIFS($B$2:$B202,"CSF"))-1)/96)+1)&amp;": "&amp;CHAR(65+INT(MOD((COUNTIFS($B$2:$B202,"SER")+COUNTIFS($B$2:$B202,"PLH")+COUNTIFS($B$2:$B202,"CSF"))-1,96)/12))&amp;(MOD((COUNTIFS($B$2:$B202,"SER")+COUNTIFS($B$2:$B202,"PLH")+COUNTIFS($B$2:$B202,"CSF"))-1,12)+1),"N/A"),"")</f>
        <v/>
      </c>
      <c r="I202" s="6" t="str">
        <f>IF(AND($A202&lt;&gt;"",$B202&lt;&gt;"",$C202&lt;&gt;"",$D202&lt;&gt;""),IF(OR($B202="SER",$B202="PLH"),"Control MAX Planck Plate "&amp;(INT(((COUNTIFS($B$2:$B202,"SER")+COUNTIFS($B$2:$B202,"PLH"))-1)/96)+1)&amp;": "&amp;CHAR(65+INT(MOD((COUNTIFS($B$2:$B202,"SER")+COUNTIFS($B$2:$B202,"PLH"))-1,96)/12))&amp;(MOD((COUNTIFS($B$2:$B202,"SER")+COUNTIFS($B$2:$B202,"PLH"))-1,12)+1),"N/A"),"")</f>
        <v/>
      </c>
      <c r="J202" s="6" t="str">
        <f>IF(AND($A202&lt;&gt;"",$B202&lt;&gt;"",$C202&lt;&gt;"",$D202&lt;&gt;""),IF($B202="WB","Control WB Box "&amp;(INT((COUNTIFS($B$2:$B202,"WB")-1)/81)+1)&amp;": "&amp;CHAR(65+INT(MOD(COUNTIFS($B$2:$B202,"WB")-1,81)/9))&amp;(MOD(COUNTIFS($B$2:$B202,"WB")-1,9)+1),"N/A"),"")</f>
        <v/>
      </c>
      <c r="K202" s="3" t="str">
        <f t="shared" si="55"/>
        <v/>
      </c>
      <c r="L202" s="2"/>
      <c r="M202" s="2"/>
      <c r="N202" s="2"/>
      <c r="O202" s="7" t="str">
        <f t="shared" si="56"/>
        <v/>
      </c>
      <c r="P202" s="7" t="str">
        <f t="shared" si="57"/>
        <v/>
      </c>
      <c r="Q202" s="7" t="str">
        <f t="shared" si="58"/>
        <v/>
      </c>
      <c r="R202" s="7" t="str">
        <f t="shared" si="59"/>
        <v/>
      </c>
      <c r="S202" s="7" t="str">
        <f t="shared" si="60"/>
        <v/>
      </c>
      <c r="T202" s="7" t="str">
        <f t="shared" si="61"/>
        <v/>
      </c>
      <c r="U202" s="7" t="str">
        <f t="shared" si="62"/>
        <v/>
      </c>
      <c r="V202" s="7" t="str">
        <f t="shared" si="63"/>
        <v/>
      </c>
      <c r="W202" s="7" t="str">
        <f t="shared" si="64"/>
        <v/>
      </c>
      <c r="X202" s="7" t="str">
        <f t="shared" si="65"/>
        <v/>
      </c>
      <c r="Y202">
        <f t="shared" si="66"/>
        <v>0</v>
      </c>
      <c r="Z202" t="str">
        <f t="shared" si="67"/>
        <v/>
      </c>
      <c r="AA202" t="str">
        <f t="shared" si="68"/>
        <v/>
      </c>
      <c r="AB202" t="str">
        <f t="shared" si="69"/>
        <v/>
      </c>
      <c r="AC202" t="str">
        <f t="shared" si="70"/>
        <v/>
      </c>
      <c r="AD202">
        <f t="shared" si="71"/>
        <v>0</v>
      </c>
    </row>
    <row r="203" spans="1:30" ht="15" customHeight="1" x14ac:dyDescent="0.35">
      <c r="A203" s="2"/>
      <c r="B203" s="3"/>
      <c r="C203" s="4"/>
      <c r="D203" s="5"/>
      <c r="E203" s="11" t="str">
        <f t="shared" ca="1" si="54"/>
        <v/>
      </c>
      <c r="F203" s="5"/>
      <c r="G203" s="6" t="str">
        <f>IF(AND($A203&lt;&gt;"",$B203&lt;&gt;"",$C203&lt;&gt;"",$D203&lt;&gt;""),IF(OR($B203="SER",$B203="PLH",$B203="CSF"),"Control CDI Plate "&amp;(INT(((COUNTIFS($B$2:$B203,"SER")+COUNTIFS($B$2:$B203,"PLH")+COUNTIFS($B$2:$B203,"CSF"))-1)/96)+1)&amp;": "&amp;CHAR(65+INT(MOD((COUNTIFS($B$2:$B203,"SER")+COUNTIFS($B$2:$B203,"PLH")+COUNTIFS($B$2:$B203,"CSF"))-1,96)/12))&amp;(MOD((COUNTIFS($B$2:$B203,"SER")+COUNTIFS($B$2:$B203,"PLH")+COUNTIFS($B$2:$B203,"CSF"))-1,12)+1),"N/A"),"")</f>
        <v/>
      </c>
      <c r="H203" s="6" t="str">
        <f>IF(AND($A203&lt;&gt;"",$B203&lt;&gt;"",$C203&lt;&gt;"",$D203&lt;&gt;""),IF(OR($B203="SER",$B203="PLH",$B203="CSF"),"Control NIH Plate "&amp;(INT(((COUNTIFS($B$2:$B203,"SER")+COUNTIFS($B$2:$B203,"PLH")+COUNTIFS($B$2:$B203,"CSF"))-1)/96)+1)&amp;": "&amp;CHAR(65+INT(MOD((COUNTIFS($B$2:$B203,"SER")+COUNTIFS($B$2:$B203,"PLH")+COUNTIFS($B$2:$B203,"CSF"))-1,96)/12))&amp;(MOD((COUNTIFS($B$2:$B203,"SER")+COUNTIFS($B$2:$B203,"PLH")+COUNTIFS($B$2:$B203,"CSF"))-1,12)+1),"N/A"),"")</f>
        <v/>
      </c>
      <c r="I203" s="6" t="str">
        <f>IF(AND($A203&lt;&gt;"",$B203&lt;&gt;"",$C203&lt;&gt;"",$D203&lt;&gt;""),IF(OR($B203="SER",$B203="PLH"),"Control MAX Planck Plate "&amp;(INT(((COUNTIFS($B$2:$B203,"SER")+COUNTIFS($B$2:$B203,"PLH"))-1)/96)+1)&amp;": "&amp;CHAR(65+INT(MOD((COUNTIFS($B$2:$B203,"SER")+COUNTIFS($B$2:$B203,"PLH"))-1,96)/12))&amp;(MOD((COUNTIFS($B$2:$B203,"SER")+COUNTIFS($B$2:$B203,"PLH"))-1,12)+1),"N/A"),"")</f>
        <v/>
      </c>
      <c r="J203" s="6" t="str">
        <f>IF(AND($A203&lt;&gt;"",$B203&lt;&gt;"",$C203&lt;&gt;"",$D203&lt;&gt;""),IF($B203="WB","Control WB Box "&amp;(INT((COUNTIFS($B$2:$B203,"WB")-1)/81)+1)&amp;": "&amp;CHAR(65+INT(MOD(COUNTIFS($B$2:$B203,"WB")-1,81)/9))&amp;(MOD(COUNTIFS($B$2:$B203,"WB")-1,9)+1),"N/A"),"")</f>
        <v/>
      </c>
      <c r="K203" s="3" t="str">
        <f t="shared" si="55"/>
        <v/>
      </c>
      <c r="L203" s="2"/>
      <c r="M203" s="2"/>
      <c r="N203" s="2"/>
      <c r="O203" s="7" t="str">
        <f t="shared" si="56"/>
        <v/>
      </c>
      <c r="P203" s="7" t="str">
        <f t="shared" si="57"/>
        <v/>
      </c>
      <c r="Q203" s="7" t="str">
        <f t="shared" si="58"/>
        <v/>
      </c>
      <c r="R203" s="7" t="str">
        <f t="shared" si="59"/>
        <v/>
      </c>
      <c r="S203" s="7" t="str">
        <f t="shared" si="60"/>
        <v/>
      </c>
      <c r="T203" s="7" t="str">
        <f t="shared" si="61"/>
        <v/>
      </c>
      <c r="U203" s="7" t="str">
        <f t="shared" si="62"/>
        <v/>
      </c>
      <c r="V203" s="7" t="str">
        <f t="shared" si="63"/>
        <v/>
      </c>
      <c r="W203" s="7" t="str">
        <f t="shared" si="64"/>
        <v/>
      </c>
      <c r="X203" s="7" t="str">
        <f t="shared" si="65"/>
        <v/>
      </c>
      <c r="Y203">
        <f t="shared" si="66"/>
        <v>0</v>
      </c>
      <c r="Z203" t="str">
        <f t="shared" si="67"/>
        <v/>
      </c>
      <c r="AA203" t="str">
        <f t="shared" si="68"/>
        <v/>
      </c>
      <c r="AB203" t="str">
        <f t="shared" si="69"/>
        <v/>
      </c>
      <c r="AC203" t="str">
        <f t="shared" si="70"/>
        <v/>
      </c>
      <c r="AD203">
        <f t="shared" si="71"/>
        <v>0</v>
      </c>
    </row>
    <row r="204" spans="1:30" ht="15" customHeight="1" x14ac:dyDescent="0.35">
      <c r="A204" s="2"/>
      <c r="B204" s="3"/>
      <c r="C204" s="4"/>
      <c r="D204" s="5"/>
      <c r="E204" s="11" t="str">
        <f t="shared" ca="1" si="54"/>
        <v/>
      </c>
      <c r="F204" s="5"/>
      <c r="G204" s="6" t="str">
        <f>IF(AND($A204&lt;&gt;"",$B204&lt;&gt;"",$C204&lt;&gt;"",$D204&lt;&gt;""),IF(OR($B204="SER",$B204="PLH",$B204="CSF"),"Control CDI Plate "&amp;(INT(((COUNTIFS($B$2:$B204,"SER")+COUNTIFS($B$2:$B204,"PLH")+COUNTIFS($B$2:$B204,"CSF"))-1)/96)+1)&amp;": "&amp;CHAR(65+INT(MOD((COUNTIFS($B$2:$B204,"SER")+COUNTIFS($B$2:$B204,"PLH")+COUNTIFS($B$2:$B204,"CSF"))-1,96)/12))&amp;(MOD((COUNTIFS($B$2:$B204,"SER")+COUNTIFS($B$2:$B204,"PLH")+COUNTIFS($B$2:$B204,"CSF"))-1,12)+1),"N/A"),"")</f>
        <v/>
      </c>
      <c r="H204" s="6" t="str">
        <f>IF(AND($A204&lt;&gt;"",$B204&lt;&gt;"",$C204&lt;&gt;"",$D204&lt;&gt;""),IF(OR($B204="SER",$B204="PLH",$B204="CSF"),"Control NIH Plate "&amp;(INT(((COUNTIFS($B$2:$B204,"SER")+COUNTIFS($B$2:$B204,"PLH")+COUNTIFS($B$2:$B204,"CSF"))-1)/96)+1)&amp;": "&amp;CHAR(65+INT(MOD((COUNTIFS($B$2:$B204,"SER")+COUNTIFS($B$2:$B204,"PLH")+COUNTIFS($B$2:$B204,"CSF"))-1,96)/12))&amp;(MOD((COUNTIFS($B$2:$B204,"SER")+COUNTIFS($B$2:$B204,"PLH")+COUNTIFS($B$2:$B204,"CSF"))-1,12)+1),"N/A"),"")</f>
        <v/>
      </c>
      <c r="I204" s="6" t="str">
        <f>IF(AND($A204&lt;&gt;"",$B204&lt;&gt;"",$C204&lt;&gt;"",$D204&lt;&gt;""),IF(OR($B204="SER",$B204="PLH"),"Control MAX Planck Plate "&amp;(INT(((COUNTIFS($B$2:$B204,"SER")+COUNTIFS($B$2:$B204,"PLH"))-1)/96)+1)&amp;": "&amp;CHAR(65+INT(MOD((COUNTIFS($B$2:$B204,"SER")+COUNTIFS($B$2:$B204,"PLH"))-1,96)/12))&amp;(MOD((COUNTIFS($B$2:$B204,"SER")+COUNTIFS($B$2:$B204,"PLH"))-1,12)+1),"N/A"),"")</f>
        <v/>
      </c>
      <c r="J204" s="6" t="str">
        <f>IF(AND($A204&lt;&gt;"",$B204&lt;&gt;"",$C204&lt;&gt;"",$D204&lt;&gt;""),IF($B204="WB","Control WB Box "&amp;(INT((COUNTIFS($B$2:$B204,"WB")-1)/81)+1)&amp;": "&amp;CHAR(65+INT(MOD(COUNTIFS($B$2:$B204,"WB")-1,81)/9))&amp;(MOD(COUNTIFS($B$2:$B204,"WB")-1,9)+1),"N/A"),"")</f>
        <v/>
      </c>
      <c r="K204" s="3" t="str">
        <f t="shared" si="55"/>
        <v/>
      </c>
      <c r="L204" s="2"/>
      <c r="M204" s="2"/>
      <c r="N204" s="2"/>
      <c r="O204" s="7" t="str">
        <f t="shared" si="56"/>
        <v/>
      </c>
      <c r="P204" s="7" t="str">
        <f t="shared" si="57"/>
        <v/>
      </c>
      <c r="Q204" s="7" t="str">
        <f t="shared" si="58"/>
        <v/>
      </c>
      <c r="R204" s="7" t="str">
        <f t="shared" si="59"/>
        <v/>
      </c>
      <c r="S204" s="7" t="str">
        <f t="shared" si="60"/>
        <v/>
      </c>
      <c r="T204" s="7" t="str">
        <f t="shared" si="61"/>
        <v/>
      </c>
      <c r="U204" s="7" t="str">
        <f t="shared" si="62"/>
        <v/>
      </c>
      <c r="V204" s="7" t="str">
        <f t="shared" si="63"/>
        <v/>
      </c>
      <c r="W204" s="7" t="str">
        <f t="shared" si="64"/>
        <v/>
      </c>
      <c r="X204" s="7" t="str">
        <f t="shared" si="65"/>
        <v/>
      </c>
      <c r="Y204">
        <f t="shared" si="66"/>
        <v>0</v>
      </c>
      <c r="Z204" t="str">
        <f t="shared" si="67"/>
        <v/>
      </c>
      <c r="AA204" t="str">
        <f t="shared" si="68"/>
        <v/>
      </c>
      <c r="AB204" t="str">
        <f t="shared" si="69"/>
        <v/>
      </c>
      <c r="AC204" t="str">
        <f t="shared" si="70"/>
        <v/>
      </c>
      <c r="AD204">
        <f t="shared" si="71"/>
        <v>0</v>
      </c>
    </row>
    <row r="205" spans="1:30" ht="15" customHeight="1" x14ac:dyDescent="0.35">
      <c r="A205" s="2"/>
      <c r="B205" s="3"/>
      <c r="C205" s="4"/>
      <c r="D205" s="5"/>
      <c r="E205" s="11" t="str">
        <f t="shared" ca="1" si="54"/>
        <v/>
      </c>
      <c r="F205" s="5"/>
      <c r="G205" s="6" t="str">
        <f>IF(AND($A205&lt;&gt;"",$B205&lt;&gt;"",$C205&lt;&gt;"",$D205&lt;&gt;""),IF(OR($B205="SER",$B205="PLH",$B205="CSF"),"Control CDI Plate "&amp;(INT(((COUNTIFS($B$2:$B205,"SER")+COUNTIFS($B$2:$B205,"PLH")+COUNTIFS($B$2:$B205,"CSF"))-1)/96)+1)&amp;": "&amp;CHAR(65+INT(MOD((COUNTIFS($B$2:$B205,"SER")+COUNTIFS($B$2:$B205,"PLH")+COUNTIFS($B$2:$B205,"CSF"))-1,96)/12))&amp;(MOD((COUNTIFS($B$2:$B205,"SER")+COUNTIFS($B$2:$B205,"PLH")+COUNTIFS($B$2:$B205,"CSF"))-1,12)+1),"N/A"),"")</f>
        <v/>
      </c>
      <c r="H205" s="6" t="str">
        <f>IF(AND($A205&lt;&gt;"",$B205&lt;&gt;"",$C205&lt;&gt;"",$D205&lt;&gt;""),IF(OR($B205="SER",$B205="PLH",$B205="CSF"),"Control NIH Plate "&amp;(INT(((COUNTIFS($B$2:$B205,"SER")+COUNTIFS($B$2:$B205,"PLH")+COUNTIFS($B$2:$B205,"CSF"))-1)/96)+1)&amp;": "&amp;CHAR(65+INT(MOD((COUNTIFS($B$2:$B205,"SER")+COUNTIFS($B$2:$B205,"PLH")+COUNTIFS($B$2:$B205,"CSF"))-1,96)/12))&amp;(MOD((COUNTIFS($B$2:$B205,"SER")+COUNTIFS($B$2:$B205,"PLH")+COUNTIFS($B$2:$B205,"CSF"))-1,12)+1),"N/A"),"")</f>
        <v/>
      </c>
      <c r="I205" s="6" t="str">
        <f>IF(AND($A205&lt;&gt;"",$B205&lt;&gt;"",$C205&lt;&gt;"",$D205&lt;&gt;""),IF(OR($B205="SER",$B205="PLH"),"Control MAX Planck Plate "&amp;(INT(((COUNTIFS($B$2:$B205,"SER")+COUNTIFS($B$2:$B205,"PLH"))-1)/96)+1)&amp;": "&amp;CHAR(65+INT(MOD((COUNTIFS($B$2:$B205,"SER")+COUNTIFS($B$2:$B205,"PLH"))-1,96)/12))&amp;(MOD((COUNTIFS($B$2:$B205,"SER")+COUNTIFS($B$2:$B205,"PLH"))-1,12)+1),"N/A"),"")</f>
        <v/>
      </c>
      <c r="J205" s="6" t="str">
        <f>IF(AND($A205&lt;&gt;"",$B205&lt;&gt;"",$C205&lt;&gt;"",$D205&lt;&gt;""),IF($B205="WB","Control WB Box "&amp;(INT((COUNTIFS($B$2:$B205,"WB")-1)/81)+1)&amp;": "&amp;CHAR(65+INT(MOD(COUNTIFS($B$2:$B205,"WB")-1,81)/9))&amp;(MOD(COUNTIFS($B$2:$B205,"WB")-1,9)+1),"N/A"),"")</f>
        <v/>
      </c>
      <c r="K205" s="3" t="str">
        <f t="shared" si="55"/>
        <v/>
      </c>
      <c r="L205" s="2"/>
      <c r="M205" s="2"/>
      <c r="N205" s="2"/>
      <c r="O205" s="7" t="str">
        <f t="shared" si="56"/>
        <v/>
      </c>
      <c r="P205" s="7" t="str">
        <f t="shared" si="57"/>
        <v/>
      </c>
      <c r="Q205" s="7" t="str">
        <f t="shared" si="58"/>
        <v/>
      </c>
      <c r="R205" s="7" t="str">
        <f t="shared" si="59"/>
        <v/>
      </c>
      <c r="S205" s="7" t="str">
        <f t="shared" si="60"/>
        <v/>
      </c>
      <c r="T205" s="7" t="str">
        <f t="shared" si="61"/>
        <v/>
      </c>
      <c r="U205" s="7" t="str">
        <f t="shared" si="62"/>
        <v/>
      </c>
      <c r="V205" s="7" t="str">
        <f t="shared" si="63"/>
        <v/>
      </c>
      <c r="W205" s="7" t="str">
        <f t="shared" si="64"/>
        <v/>
      </c>
      <c r="X205" s="7" t="str">
        <f t="shared" si="65"/>
        <v/>
      </c>
      <c r="Y205">
        <f t="shared" si="66"/>
        <v>0</v>
      </c>
      <c r="Z205" t="str">
        <f t="shared" si="67"/>
        <v/>
      </c>
      <c r="AA205" t="str">
        <f t="shared" si="68"/>
        <v/>
      </c>
      <c r="AB205" t="str">
        <f t="shared" si="69"/>
        <v/>
      </c>
      <c r="AC205" t="str">
        <f t="shared" si="70"/>
        <v/>
      </c>
      <c r="AD205">
        <f t="shared" si="71"/>
        <v>0</v>
      </c>
    </row>
    <row r="206" spans="1:30" ht="15" customHeight="1" x14ac:dyDescent="0.35">
      <c r="A206" s="2"/>
      <c r="B206" s="3"/>
      <c r="C206" s="4"/>
      <c r="D206" s="5"/>
      <c r="E206" s="11" t="str">
        <f t="shared" ca="1" si="54"/>
        <v/>
      </c>
      <c r="F206" s="5"/>
      <c r="G206" s="6" t="str">
        <f>IF(AND($A206&lt;&gt;"",$B206&lt;&gt;"",$C206&lt;&gt;"",$D206&lt;&gt;""),IF(OR($B206="SER",$B206="PLH",$B206="CSF"),"Control CDI Plate "&amp;(INT(((COUNTIFS($B$2:$B206,"SER")+COUNTIFS($B$2:$B206,"PLH")+COUNTIFS($B$2:$B206,"CSF"))-1)/96)+1)&amp;": "&amp;CHAR(65+INT(MOD((COUNTIFS($B$2:$B206,"SER")+COUNTIFS($B$2:$B206,"PLH")+COUNTIFS($B$2:$B206,"CSF"))-1,96)/12))&amp;(MOD((COUNTIFS($B$2:$B206,"SER")+COUNTIFS($B$2:$B206,"PLH")+COUNTIFS($B$2:$B206,"CSF"))-1,12)+1),"N/A"),"")</f>
        <v/>
      </c>
      <c r="H206" s="6" t="str">
        <f>IF(AND($A206&lt;&gt;"",$B206&lt;&gt;"",$C206&lt;&gt;"",$D206&lt;&gt;""),IF(OR($B206="SER",$B206="PLH",$B206="CSF"),"Control NIH Plate "&amp;(INT(((COUNTIFS($B$2:$B206,"SER")+COUNTIFS($B$2:$B206,"PLH")+COUNTIFS($B$2:$B206,"CSF"))-1)/96)+1)&amp;": "&amp;CHAR(65+INT(MOD((COUNTIFS($B$2:$B206,"SER")+COUNTIFS($B$2:$B206,"PLH")+COUNTIFS($B$2:$B206,"CSF"))-1,96)/12))&amp;(MOD((COUNTIFS($B$2:$B206,"SER")+COUNTIFS($B$2:$B206,"PLH")+COUNTIFS($B$2:$B206,"CSF"))-1,12)+1),"N/A"),"")</f>
        <v/>
      </c>
      <c r="I206" s="6" t="str">
        <f>IF(AND($A206&lt;&gt;"",$B206&lt;&gt;"",$C206&lt;&gt;"",$D206&lt;&gt;""),IF(OR($B206="SER",$B206="PLH"),"Control MAX Planck Plate "&amp;(INT(((COUNTIFS($B$2:$B206,"SER")+COUNTIFS($B$2:$B206,"PLH"))-1)/96)+1)&amp;": "&amp;CHAR(65+INT(MOD((COUNTIFS($B$2:$B206,"SER")+COUNTIFS($B$2:$B206,"PLH"))-1,96)/12))&amp;(MOD((COUNTIFS($B$2:$B206,"SER")+COUNTIFS($B$2:$B206,"PLH"))-1,12)+1),"N/A"),"")</f>
        <v/>
      </c>
      <c r="J206" s="6" t="str">
        <f>IF(AND($A206&lt;&gt;"",$B206&lt;&gt;"",$C206&lt;&gt;"",$D206&lt;&gt;""),IF($B206="WB","Control WB Box "&amp;(INT((COUNTIFS($B$2:$B206,"WB")-1)/81)+1)&amp;": "&amp;CHAR(65+INT(MOD(COUNTIFS($B$2:$B206,"WB")-1,81)/9))&amp;(MOD(COUNTIFS($B$2:$B206,"WB")-1,9)+1),"N/A"),"")</f>
        <v/>
      </c>
      <c r="K206" s="3" t="str">
        <f t="shared" si="55"/>
        <v/>
      </c>
      <c r="L206" s="2"/>
      <c r="M206" s="2"/>
      <c r="N206" s="2"/>
      <c r="O206" s="7" t="str">
        <f t="shared" si="56"/>
        <v/>
      </c>
      <c r="P206" s="7" t="str">
        <f t="shared" si="57"/>
        <v/>
      </c>
      <c r="Q206" s="7" t="str">
        <f t="shared" si="58"/>
        <v/>
      </c>
      <c r="R206" s="7" t="str">
        <f t="shared" si="59"/>
        <v/>
      </c>
      <c r="S206" s="7" t="str">
        <f t="shared" si="60"/>
        <v/>
      </c>
      <c r="T206" s="7" t="str">
        <f t="shared" si="61"/>
        <v/>
      </c>
      <c r="U206" s="7" t="str">
        <f t="shared" si="62"/>
        <v/>
      </c>
      <c r="V206" s="7" t="str">
        <f t="shared" si="63"/>
        <v/>
      </c>
      <c r="W206" s="7" t="str">
        <f t="shared" si="64"/>
        <v/>
      </c>
      <c r="X206" s="7" t="str">
        <f t="shared" si="65"/>
        <v/>
      </c>
      <c r="Y206">
        <f t="shared" si="66"/>
        <v>0</v>
      </c>
      <c r="Z206" t="str">
        <f t="shared" si="67"/>
        <v/>
      </c>
      <c r="AA206" t="str">
        <f t="shared" si="68"/>
        <v/>
      </c>
      <c r="AB206" t="str">
        <f t="shared" si="69"/>
        <v/>
      </c>
      <c r="AC206" t="str">
        <f t="shared" si="70"/>
        <v/>
      </c>
      <c r="AD206">
        <f t="shared" si="71"/>
        <v>0</v>
      </c>
    </row>
    <row r="207" spans="1:30" ht="15" customHeight="1" x14ac:dyDescent="0.35">
      <c r="A207" s="2"/>
      <c r="B207" s="3"/>
      <c r="C207" s="4"/>
      <c r="D207" s="5"/>
      <c r="E207" s="11" t="str">
        <f t="shared" ca="1" si="54"/>
        <v/>
      </c>
      <c r="F207" s="5"/>
      <c r="G207" s="6" t="str">
        <f>IF(AND($A207&lt;&gt;"",$B207&lt;&gt;"",$C207&lt;&gt;"",$D207&lt;&gt;""),IF(OR($B207="SER",$B207="PLH",$B207="CSF"),"Control CDI Plate "&amp;(INT(((COUNTIFS($B$2:$B207,"SER")+COUNTIFS($B$2:$B207,"PLH")+COUNTIFS($B$2:$B207,"CSF"))-1)/96)+1)&amp;": "&amp;CHAR(65+INT(MOD((COUNTIFS($B$2:$B207,"SER")+COUNTIFS($B$2:$B207,"PLH")+COUNTIFS($B$2:$B207,"CSF"))-1,96)/12))&amp;(MOD((COUNTIFS($B$2:$B207,"SER")+COUNTIFS($B$2:$B207,"PLH")+COUNTIFS($B$2:$B207,"CSF"))-1,12)+1),"N/A"),"")</f>
        <v/>
      </c>
      <c r="H207" s="6" t="str">
        <f>IF(AND($A207&lt;&gt;"",$B207&lt;&gt;"",$C207&lt;&gt;"",$D207&lt;&gt;""),IF(OR($B207="SER",$B207="PLH",$B207="CSF"),"Control NIH Plate "&amp;(INT(((COUNTIFS($B$2:$B207,"SER")+COUNTIFS($B$2:$B207,"PLH")+COUNTIFS($B$2:$B207,"CSF"))-1)/96)+1)&amp;": "&amp;CHAR(65+INT(MOD((COUNTIFS($B$2:$B207,"SER")+COUNTIFS($B$2:$B207,"PLH")+COUNTIFS($B$2:$B207,"CSF"))-1,96)/12))&amp;(MOD((COUNTIFS($B$2:$B207,"SER")+COUNTIFS($B$2:$B207,"PLH")+COUNTIFS($B$2:$B207,"CSF"))-1,12)+1),"N/A"),"")</f>
        <v/>
      </c>
      <c r="I207" s="6" t="str">
        <f>IF(AND($A207&lt;&gt;"",$B207&lt;&gt;"",$C207&lt;&gt;"",$D207&lt;&gt;""),IF(OR($B207="SER",$B207="PLH"),"Control MAX Planck Plate "&amp;(INT(((COUNTIFS($B$2:$B207,"SER")+COUNTIFS($B$2:$B207,"PLH"))-1)/96)+1)&amp;": "&amp;CHAR(65+INT(MOD((COUNTIFS($B$2:$B207,"SER")+COUNTIFS($B$2:$B207,"PLH"))-1,96)/12))&amp;(MOD((COUNTIFS($B$2:$B207,"SER")+COUNTIFS($B$2:$B207,"PLH"))-1,12)+1),"N/A"),"")</f>
        <v/>
      </c>
      <c r="J207" s="6" t="str">
        <f>IF(AND($A207&lt;&gt;"",$B207&lt;&gt;"",$C207&lt;&gt;"",$D207&lt;&gt;""),IF($B207="WB","Control WB Box "&amp;(INT((COUNTIFS($B$2:$B207,"WB")-1)/81)+1)&amp;": "&amp;CHAR(65+INT(MOD(COUNTIFS($B$2:$B207,"WB")-1,81)/9))&amp;(MOD(COUNTIFS($B$2:$B207,"WB")-1,9)+1),"N/A"),"")</f>
        <v/>
      </c>
      <c r="K207" s="3" t="str">
        <f t="shared" si="55"/>
        <v/>
      </c>
      <c r="L207" s="2"/>
      <c r="M207" s="2"/>
      <c r="N207" s="2"/>
      <c r="O207" s="7" t="str">
        <f t="shared" si="56"/>
        <v/>
      </c>
      <c r="P207" s="7" t="str">
        <f t="shared" si="57"/>
        <v/>
      </c>
      <c r="Q207" s="7" t="str">
        <f t="shared" si="58"/>
        <v/>
      </c>
      <c r="R207" s="7" t="str">
        <f t="shared" si="59"/>
        <v/>
      </c>
      <c r="S207" s="7" t="str">
        <f t="shared" si="60"/>
        <v/>
      </c>
      <c r="T207" s="7" t="str">
        <f t="shared" si="61"/>
        <v/>
      </c>
      <c r="U207" s="7" t="str">
        <f t="shared" si="62"/>
        <v/>
      </c>
      <c r="V207" s="7" t="str">
        <f t="shared" si="63"/>
        <v/>
      </c>
      <c r="W207" s="7" t="str">
        <f t="shared" si="64"/>
        <v/>
      </c>
      <c r="X207" s="7" t="str">
        <f t="shared" si="65"/>
        <v/>
      </c>
      <c r="Y207">
        <f t="shared" si="66"/>
        <v>0</v>
      </c>
      <c r="Z207" t="str">
        <f t="shared" si="67"/>
        <v/>
      </c>
      <c r="AA207" t="str">
        <f t="shared" si="68"/>
        <v/>
      </c>
      <c r="AB207" t="str">
        <f t="shared" si="69"/>
        <v/>
      </c>
      <c r="AC207" t="str">
        <f t="shared" si="70"/>
        <v/>
      </c>
      <c r="AD207">
        <f t="shared" si="71"/>
        <v>0</v>
      </c>
    </row>
    <row r="208" spans="1:30" ht="15" customHeight="1" x14ac:dyDescent="0.35">
      <c r="A208" s="2"/>
      <c r="B208" s="3"/>
      <c r="C208" s="4"/>
      <c r="D208" s="5"/>
      <c r="E208" s="11" t="str">
        <f t="shared" ca="1" si="54"/>
        <v/>
      </c>
      <c r="F208" s="5"/>
      <c r="G208" s="6" t="str">
        <f>IF(AND($A208&lt;&gt;"",$B208&lt;&gt;"",$C208&lt;&gt;"",$D208&lt;&gt;""),IF(OR($B208="SER",$B208="PLH",$B208="CSF"),"Control CDI Plate "&amp;(INT(((COUNTIFS($B$2:$B208,"SER")+COUNTIFS($B$2:$B208,"PLH")+COUNTIFS($B$2:$B208,"CSF"))-1)/96)+1)&amp;": "&amp;CHAR(65+INT(MOD((COUNTIFS($B$2:$B208,"SER")+COUNTIFS($B$2:$B208,"PLH")+COUNTIFS($B$2:$B208,"CSF"))-1,96)/12))&amp;(MOD((COUNTIFS($B$2:$B208,"SER")+COUNTIFS($B$2:$B208,"PLH")+COUNTIFS($B$2:$B208,"CSF"))-1,12)+1),"N/A"),"")</f>
        <v/>
      </c>
      <c r="H208" s="6" t="str">
        <f>IF(AND($A208&lt;&gt;"",$B208&lt;&gt;"",$C208&lt;&gt;"",$D208&lt;&gt;""),IF(OR($B208="SER",$B208="PLH",$B208="CSF"),"Control NIH Plate "&amp;(INT(((COUNTIFS($B$2:$B208,"SER")+COUNTIFS($B$2:$B208,"PLH")+COUNTIFS($B$2:$B208,"CSF"))-1)/96)+1)&amp;": "&amp;CHAR(65+INT(MOD((COUNTIFS($B$2:$B208,"SER")+COUNTIFS($B$2:$B208,"PLH")+COUNTIFS($B$2:$B208,"CSF"))-1,96)/12))&amp;(MOD((COUNTIFS($B$2:$B208,"SER")+COUNTIFS($B$2:$B208,"PLH")+COUNTIFS($B$2:$B208,"CSF"))-1,12)+1),"N/A"),"")</f>
        <v/>
      </c>
      <c r="I208" s="6" t="str">
        <f>IF(AND($A208&lt;&gt;"",$B208&lt;&gt;"",$C208&lt;&gt;"",$D208&lt;&gt;""),IF(OR($B208="SER",$B208="PLH"),"Control MAX Planck Plate "&amp;(INT(((COUNTIFS($B$2:$B208,"SER")+COUNTIFS($B$2:$B208,"PLH"))-1)/96)+1)&amp;": "&amp;CHAR(65+INT(MOD((COUNTIFS($B$2:$B208,"SER")+COUNTIFS($B$2:$B208,"PLH"))-1,96)/12))&amp;(MOD((COUNTIFS($B$2:$B208,"SER")+COUNTIFS($B$2:$B208,"PLH"))-1,12)+1),"N/A"),"")</f>
        <v/>
      </c>
      <c r="J208" s="6" t="str">
        <f>IF(AND($A208&lt;&gt;"",$B208&lt;&gt;"",$C208&lt;&gt;"",$D208&lt;&gt;""),IF($B208="WB","Control WB Box "&amp;(INT((COUNTIFS($B$2:$B208,"WB")-1)/81)+1)&amp;": "&amp;CHAR(65+INT(MOD(COUNTIFS($B$2:$B208,"WB")-1,81)/9))&amp;(MOD(COUNTIFS($B$2:$B208,"WB")-1,9)+1),"N/A"),"")</f>
        <v/>
      </c>
      <c r="K208" s="3" t="str">
        <f t="shared" si="55"/>
        <v/>
      </c>
      <c r="L208" s="2"/>
      <c r="M208" s="2"/>
      <c r="N208" s="2"/>
      <c r="O208" s="7" t="str">
        <f t="shared" si="56"/>
        <v/>
      </c>
      <c r="P208" s="7" t="str">
        <f t="shared" si="57"/>
        <v/>
      </c>
      <c r="Q208" s="7" t="str">
        <f t="shared" si="58"/>
        <v/>
      </c>
      <c r="R208" s="7" t="str">
        <f t="shared" si="59"/>
        <v/>
      </c>
      <c r="S208" s="7" t="str">
        <f t="shared" si="60"/>
        <v/>
      </c>
      <c r="T208" s="7" t="str">
        <f t="shared" si="61"/>
        <v/>
      </c>
      <c r="U208" s="7" t="str">
        <f t="shared" si="62"/>
        <v/>
      </c>
      <c r="V208" s="7" t="str">
        <f t="shared" si="63"/>
        <v/>
      </c>
      <c r="W208" s="7" t="str">
        <f t="shared" si="64"/>
        <v/>
      </c>
      <c r="X208" s="7" t="str">
        <f t="shared" si="65"/>
        <v/>
      </c>
      <c r="Y208">
        <f t="shared" si="66"/>
        <v>0</v>
      </c>
      <c r="Z208" t="str">
        <f t="shared" si="67"/>
        <v/>
      </c>
      <c r="AA208" t="str">
        <f t="shared" si="68"/>
        <v/>
      </c>
      <c r="AB208" t="str">
        <f t="shared" si="69"/>
        <v/>
      </c>
      <c r="AC208" t="str">
        <f t="shared" si="70"/>
        <v/>
      </c>
      <c r="AD208">
        <f t="shared" si="71"/>
        <v>0</v>
      </c>
    </row>
    <row r="209" spans="1:30" ht="15" customHeight="1" x14ac:dyDescent="0.35">
      <c r="A209" s="2"/>
      <c r="B209" s="3"/>
      <c r="C209" s="4"/>
      <c r="D209" s="5"/>
      <c r="E209" s="11" t="str">
        <f t="shared" ca="1" si="54"/>
        <v/>
      </c>
      <c r="F209" s="5"/>
      <c r="G209" s="6" t="str">
        <f>IF(AND($A209&lt;&gt;"",$B209&lt;&gt;"",$C209&lt;&gt;"",$D209&lt;&gt;""),IF(OR($B209="SER",$B209="PLH",$B209="CSF"),"Control CDI Plate "&amp;(INT(((COUNTIFS($B$2:$B209,"SER")+COUNTIFS($B$2:$B209,"PLH")+COUNTIFS($B$2:$B209,"CSF"))-1)/96)+1)&amp;": "&amp;CHAR(65+INT(MOD((COUNTIFS($B$2:$B209,"SER")+COUNTIFS($B$2:$B209,"PLH")+COUNTIFS($B$2:$B209,"CSF"))-1,96)/12))&amp;(MOD((COUNTIFS($B$2:$B209,"SER")+COUNTIFS($B$2:$B209,"PLH")+COUNTIFS($B$2:$B209,"CSF"))-1,12)+1),"N/A"),"")</f>
        <v/>
      </c>
      <c r="H209" s="6" t="str">
        <f>IF(AND($A209&lt;&gt;"",$B209&lt;&gt;"",$C209&lt;&gt;"",$D209&lt;&gt;""),IF(OR($B209="SER",$B209="PLH",$B209="CSF"),"Control NIH Plate "&amp;(INT(((COUNTIFS($B$2:$B209,"SER")+COUNTIFS($B$2:$B209,"PLH")+COUNTIFS($B$2:$B209,"CSF"))-1)/96)+1)&amp;": "&amp;CHAR(65+INT(MOD((COUNTIFS($B$2:$B209,"SER")+COUNTIFS($B$2:$B209,"PLH")+COUNTIFS($B$2:$B209,"CSF"))-1,96)/12))&amp;(MOD((COUNTIFS($B$2:$B209,"SER")+COUNTIFS($B$2:$B209,"PLH")+COUNTIFS($B$2:$B209,"CSF"))-1,12)+1),"N/A"),"")</f>
        <v/>
      </c>
      <c r="I209" s="6" t="str">
        <f>IF(AND($A209&lt;&gt;"",$B209&lt;&gt;"",$C209&lt;&gt;"",$D209&lt;&gt;""),IF(OR($B209="SER",$B209="PLH"),"Control MAX Planck Plate "&amp;(INT(((COUNTIFS($B$2:$B209,"SER")+COUNTIFS($B$2:$B209,"PLH"))-1)/96)+1)&amp;": "&amp;CHAR(65+INT(MOD((COUNTIFS($B$2:$B209,"SER")+COUNTIFS($B$2:$B209,"PLH"))-1,96)/12))&amp;(MOD((COUNTIFS($B$2:$B209,"SER")+COUNTIFS($B$2:$B209,"PLH"))-1,12)+1),"N/A"),"")</f>
        <v/>
      </c>
      <c r="J209" s="6" t="str">
        <f>IF(AND($A209&lt;&gt;"",$B209&lt;&gt;"",$C209&lt;&gt;"",$D209&lt;&gt;""),IF($B209="WB","Control WB Box "&amp;(INT((COUNTIFS($B$2:$B209,"WB")-1)/81)+1)&amp;": "&amp;CHAR(65+INT(MOD(COUNTIFS($B$2:$B209,"WB")-1,81)/9))&amp;(MOD(COUNTIFS($B$2:$B209,"WB")-1,9)+1),"N/A"),"")</f>
        <v/>
      </c>
      <c r="K209" s="3" t="str">
        <f t="shared" si="55"/>
        <v/>
      </c>
      <c r="L209" s="2"/>
      <c r="M209" s="2"/>
      <c r="N209" s="2"/>
      <c r="O209" s="7" t="str">
        <f t="shared" si="56"/>
        <v/>
      </c>
      <c r="P209" s="7" t="str">
        <f t="shared" si="57"/>
        <v/>
      </c>
      <c r="Q209" s="7" t="str">
        <f t="shared" si="58"/>
        <v/>
      </c>
      <c r="R209" s="7" t="str">
        <f t="shared" si="59"/>
        <v/>
      </c>
      <c r="S209" s="7" t="str">
        <f t="shared" si="60"/>
        <v/>
      </c>
      <c r="T209" s="7" t="str">
        <f t="shared" si="61"/>
        <v/>
      </c>
      <c r="U209" s="7" t="str">
        <f t="shared" si="62"/>
        <v/>
      </c>
      <c r="V209" s="7" t="str">
        <f t="shared" si="63"/>
        <v/>
      </c>
      <c r="W209" s="7" t="str">
        <f t="shared" si="64"/>
        <v/>
      </c>
      <c r="X209" s="7" t="str">
        <f t="shared" si="65"/>
        <v/>
      </c>
      <c r="Y209">
        <f t="shared" si="66"/>
        <v>0</v>
      </c>
      <c r="Z209" t="str">
        <f t="shared" si="67"/>
        <v/>
      </c>
      <c r="AA209" t="str">
        <f t="shared" si="68"/>
        <v/>
      </c>
      <c r="AB209" t="str">
        <f t="shared" si="69"/>
        <v/>
      </c>
      <c r="AC209" t="str">
        <f t="shared" si="70"/>
        <v/>
      </c>
      <c r="AD209">
        <f t="shared" si="71"/>
        <v>0</v>
      </c>
    </row>
    <row r="210" spans="1:30" ht="15" customHeight="1" x14ac:dyDescent="0.35">
      <c r="A210" s="2"/>
      <c r="B210" s="3"/>
      <c r="C210" s="4"/>
      <c r="D210" s="5"/>
      <c r="E210" s="11" t="str">
        <f t="shared" ca="1" si="54"/>
        <v/>
      </c>
      <c r="F210" s="5"/>
      <c r="G210" s="6" t="str">
        <f>IF(AND($A210&lt;&gt;"",$B210&lt;&gt;"",$C210&lt;&gt;"",$D210&lt;&gt;""),IF(OR($B210="SER",$B210="PLH",$B210="CSF"),"Control CDI Plate "&amp;(INT(((COUNTIFS($B$2:$B210,"SER")+COUNTIFS($B$2:$B210,"PLH")+COUNTIFS($B$2:$B210,"CSF"))-1)/96)+1)&amp;": "&amp;CHAR(65+INT(MOD((COUNTIFS($B$2:$B210,"SER")+COUNTIFS($B$2:$B210,"PLH")+COUNTIFS($B$2:$B210,"CSF"))-1,96)/12))&amp;(MOD((COUNTIFS($B$2:$B210,"SER")+COUNTIFS($B$2:$B210,"PLH")+COUNTIFS($B$2:$B210,"CSF"))-1,12)+1),"N/A"),"")</f>
        <v/>
      </c>
      <c r="H210" s="6" t="str">
        <f>IF(AND($A210&lt;&gt;"",$B210&lt;&gt;"",$C210&lt;&gt;"",$D210&lt;&gt;""),IF(OR($B210="SER",$B210="PLH",$B210="CSF"),"Control NIH Plate "&amp;(INT(((COUNTIFS($B$2:$B210,"SER")+COUNTIFS($B$2:$B210,"PLH")+COUNTIFS($B$2:$B210,"CSF"))-1)/96)+1)&amp;": "&amp;CHAR(65+INT(MOD((COUNTIFS($B$2:$B210,"SER")+COUNTIFS($B$2:$B210,"PLH")+COUNTIFS($B$2:$B210,"CSF"))-1,96)/12))&amp;(MOD((COUNTIFS($B$2:$B210,"SER")+COUNTIFS($B$2:$B210,"PLH")+COUNTIFS($B$2:$B210,"CSF"))-1,12)+1),"N/A"),"")</f>
        <v/>
      </c>
      <c r="I210" s="6" t="str">
        <f>IF(AND($A210&lt;&gt;"",$B210&lt;&gt;"",$C210&lt;&gt;"",$D210&lt;&gt;""),IF(OR($B210="SER",$B210="PLH"),"Control MAX Planck Plate "&amp;(INT(((COUNTIFS($B$2:$B210,"SER")+COUNTIFS($B$2:$B210,"PLH"))-1)/96)+1)&amp;": "&amp;CHAR(65+INT(MOD((COUNTIFS($B$2:$B210,"SER")+COUNTIFS($B$2:$B210,"PLH"))-1,96)/12))&amp;(MOD((COUNTIFS($B$2:$B210,"SER")+COUNTIFS($B$2:$B210,"PLH"))-1,12)+1),"N/A"),"")</f>
        <v/>
      </c>
      <c r="J210" s="6" t="str">
        <f>IF(AND($A210&lt;&gt;"",$B210&lt;&gt;"",$C210&lt;&gt;"",$D210&lt;&gt;""),IF($B210="WB","Control WB Box "&amp;(INT((COUNTIFS($B$2:$B210,"WB")-1)/81)+1)&amp;": "&amp;CHAR(65+INT(MOD(COUNTIFS($B$2:$B210,"WB")-1,81)/9))&amp;(MOD(COUNTIFS($B$2:$B210,"WB")-1,9)+1),"N/A"),"")</f>
        <v/>
      </c>
      <c r="K210" s="3" t="str">
        <f t="shared" si="55"/>
        <v/>
      </c>
      <c r="L210" s="2"/>
      <c r="M210" s="2"/>
      <c r="N210" s="2"/>
      <c r="O210" s="7" t="str">
        <f t="shared" si="56"/>
        <v/>
      </c>
      <c r="P210" s="7" t="str">
        <f t="shared" si="57"/>
        <v/>
      </c>
      <c r="Q210" s="7" t="str">
        <f t="shared" si="58"/>
        <v/>
      </c>
      <c r="R210" s="7" t="str">
        <f t="shared" si="59"/>
        <v/>
      </c>
      <c r="S210" s="7" t="str">
        <f t="shared" si="60"/>
        <v/>
      </c>
      <c r="T210" s="7" t="str">
        <f t="shared" si="61"/>
        <v/>
      </c>
      <c r="U210" s="7" t="str">
        <f t="shared" si="62"/>
        <v/>
      </c>
      <c r="V210" s="7" t="str">
        <f t="shared" si="63"/>
        <v/>
      </c>
      <c r="W210" s="7" t="str">
        <f t="shared" si="64"/>
        <v/>
      </c>
      <c r="X210" s="7" t="str">
        <f t="shared" si="65"/>
        <v/>
      </c>
      <c r="Y210">
        <f t="shared" si="66"/>
        <v>0</v>
      </c>
      <c r="Z210" t="str">
        <f t="shared" si="67"/>
        <v/>
      </c>
      <c r="AA210" t="str">
        <f t="shared" si="68"/>
        <v/>
      </c>
      <c r="AB210" t="str">
        <f t="shared" si="69"/>
        <v/>
      </c>
      <c r="AC210" t="str">
        <f t="shared" si="70"/>
        <v/>
      </c>
      <c r="AD210">
        <f t="shared" si="71"/>
        <v>0</v>
      </c>
    </row>
    <row r="211" spans="1:30" ht="15" customHeight="1" x14ac:dyDescent="0.35">
      <c r="A211" s="2"/>
      <c r="B211" s="3"/>
      <c r="C211" s="4"/>
      <c r="D211" s="5"/>
      <c r="E211" s="11" t="str">
        <f t="shared" ca="1" si="54"/>
        <v/>
      </c>
      <c r="F211" s="5"/>
      <c r="G211" s="6" t="str">
        <f>IF(AND($A211&lt;&gt;"",$B211&lt;&gt;"",$C211&lt;&gt;"",$D211&lt;&gt;""),IF(OR($B211="SER",$B211="PLH",$B211="CSF"),"Control CDI Plate "&amp;(INT(((COUNTIFS($B$2:$B211,"SER")+COUNTIFS($B$2:$B211,"PLH")+COUNTIFS($B$2:$B211,"CSF"))-1)/96)+1)&amp;": "&amp;CHAR(65+INT(MOD((COUNTIFS($B$2:$B211,"SER")+COUNTIFS($B$2:$B211,"PLH")+COUNTIFS($B$2:$B211,"CSF"))-1,96)/12))&amp;(MOD((COUNTIFS($B$2:$B211,"SER")+COUNTIFS($B$2:$B211,"PLH")+COUNTIFS($B$2:$B211,"CSF"))-1,12)+1),"N/A"),"")</f>
        <v/>
      </c>
      <c r="H211" s="6" t="str">
        <f>IF(AND($A211&lt;&gt;"",$B211&lt;&gt;"",$C211&lt;&gt;"",$D211&lt;&gt;""),IF(OR($B211="SER",$B211="PLH",$B211="CSF"),"Control NIH Plate "&amp;(INT(((COUNTIFS($B$2:$B211,"SER")+COUNTIFS($B$2:$B211,"PLH")+COUNTIFS($B$2:$B211,"CSF"))-1)/96)+1)&amp;": "&amp;CHAR(65+INT(MOD((COUNTIFS($B$2:$B211,"SER")+COUNTIFS($B$2:$B211,"PLH")+COUNTIFS($B$2:$B211,"CSF"))-1,96)/12))&amp;(MOD((COUNTIFS($B$2:$B211,"SER")+COUNTIFS($B$2:$B211,"PLH")+COUNTIFS($B$2:$B211,"CSF"))-1,12)+1),"N/A"),"")</f>
        <v/>
      </c>
      <c r="I211" s="6" t="str">
        <f>IF(AND($A211&lt;&gt;"",$B211&lt;&gt;"",$C211&lt;&gt;"",$D211&lt;&gt;""),IF(OR($B211="SER",$B211="PLH"),"Control MAX Planck Plate "&amp;(INT(((COUNTIFS($B$2:$B211,"SER")+COUNTIFS($B$2:$B211,"PLH"))-1)/96)+1)&amp;": "&amp;CHAR(65+INT(MOD((COUNTIFS($B$2:$B211,"SER")+COUNTIFS($B$2:$B211,"PLH"))-1,96)/12))&amp;(MOD((COUNTIFS($B$2:$B211,"SER")+COUNTIFS($B$2:$B211,"PLH"))-1,12)+1),"N/A"),"")</f>
        <v/>
      </c>
      <c r="J211" s="6" t="str">
        <f>IF(AND($A211&lt;&gt;"",$B211&lt;&gt;"",$C211&lt;&gt;"",$D211&lt;&gt;""),IF($B211="WB","Control WB Box "&amp;(INT((COUNTIFS($B$2:$B211,"WB")-1)/81)+1)&amp;": "&amp;CHAR(65+INT(MOD(COUNTIFS($B$2:$B211,"WB")-1,81)/9))&amp;(MOD(COUNTIFS($B$2:$B211,"WB")-1,9)+1),"N/A"),"")</f>
        <v/>
      </c>
      <c r="K211" s="3" t="str">
        <f t="shared" si="55"/>
        <v/>
      </c>
      <c r="L211" s="2"/>
      <c r="M211" s="2"/>
      <c r="N211" s="2"/>
      <c r="O211" s="7" t="str">
        <f t="shared" si="56"/>
        <v/>
      </c>
      <c r="P211" s="7" t="str">
        <f t="shared" si="57"/>
        <v/>
      </c>
      <c r="Q211" s="7" t="str">
        <f t="shared" si="58"/>
        <v/>
      </c>
      <c r="R211" s="7" t="str">
        <f t="shared" si="59"/>
        <v/>
      </c>
      <c r="S211" s="7" t="str">
        <f t="shared" si="60"/>
        <v/>
      </c>
      <c r="T211" s="7" t="str">
        <f t="shared" si="61"/>
        <v/>
      </c>
      <c r="U211" s="7" t="str">
        <f t="shared" si="62"/>
        <v/>
      </c>
      <c r="V211" s="7" t="str">
        <f t="shared" si="63"/>
        <v/>
      </c>
      <c r="W211" s="7" t="str">
        <f t="shared" si="64"/>
        <v/>
      </c>
      <c r="X211" s="7" t="str">
        <f t="shared" si="65"/>
        <v/>
      </c>
      <c r="Y211">
        <f t="shared" si="66"/>
        <v>0</v>
      </c>
      <c r="Z211" t="str">
        <f t="shared" si="67"/>
        <v/>
      </c>
      <c r="AA211" t="str">
        <f t="shared" si="68"/>
        <v/>
      </c>
      <c r="AB211" t="str">
        <f t="shared" si="69"/>
        <v/>
      </c>
      <c r="AC211" t="str">
        <f t="shared" si="70"/>
        <v/>
      </c>
      <c r="AD211">
        <f t="shared" si="71"/>
        <v>0</v>
      </c>
    </row>
    <row r="212" spans="1:30" ht="15" customHeight="1" x14ac:dyDescent="0.35">
      <c r="A212" s="2"/>
      <c r="B212" s="3"/>
      <c r="C212" s="4"/>
      <c r="D212" s="5"/>
      <c r="E212" s="11" t="str">
        <f t="shared" ca="1" si="54"/>
        <v/>
      </c>
      <c r="F212" s="5"/>
      <c r="G212" s="6" t="str">
        <f>IF(AND($A212&lt;&gt;"",$B212&lt;&gt;"",$C212&lt;&gt;"",$D212&lt;&gt;""),IF(OR($B212="SER",$B212="PLH",$B212="CSF"),"Control CDI Plate "&amp;(INT(((COUNTIFS($B$2:$B212,"SER")+COUNTIFS($B$2:$B212,"PLH")+COUNTIFS($B$2:$B212,"CSF"))-1)/96)+1)&amp;": "&amp;CHAR(65+INT(MOD((COUNTIFS($B$2:$B212,"SER")+COUNTIFS($B$2:$B212,"PLH")+COUNTIFS($B$2:$B212,"CSF"))-1,96)/12))&amp;(MOD((COUNTIFS($B$2:$B212,"SER")+COUNTIFS($B$2:$B212,"PLH")+COUNTIFS($B$2:$B212,"CSF"))-1,12)+1),"N/A"),"")</f>
        <v/>
      </c>
      <c r="H212" s="6" t="str">
        <f>IF(AND($A212&lt;&gt;"",$B212&lt;&gt;"",$C212&lt;&gt;"",$D212&lt;&gt;""),IF(OR($B212="SER",$B212="PLH",$B212="CSF"),"Control NIH Plate "&amp;(INT(((COUNTIFS($B$2:$B212,"SER")+COUNTIFS($B$2:$B212,"PLH")+COUNTIFS($B$2:$B212,"CSF"))-1)/96)+1)&amp;": "&amp;CHAR(65+INT(MOD((COUNTIFS($B$2:$B212,"SER")+COUNTIFS($B$2:$B212,"PLH")+COUNTIFS($B$2:$B212,"CSF"))-1,96)/12))&amp;(MOD((COUNTIFS($B$2:$B212,"SER")+COUNTIFS($B$2:$B212,"PLH")+COUNTIFS($B$2:$B212,"CSF"))-1,12)+1),"N/A"),"")</f>
        <v/>
      </c>
      <c r="I212" s="6" t="str">
        <f>IF(AND($A212&lt;&gt;"",$B212&lt;&gt;"",$C212&lt;&gt;"",$D212&lt;&gt;""),IF(OR($B212="SER",$B212="PLH"),"Control MAX Planck Plate "&amp;(INT(((COUNTIFS($B$2:$B212,"SER")+COUNTIFS($B$2:$B212,"PLH"))-1)/96)+1)&amp;": "&amp;CHAR(65+INT(MOD((COUNTIFS($B$2:$B212,"SER")+COUNTIFS($B$2:$B212,"PLH"))-1,96)/12))&amp;(MOD((COUNTIFS($B$2:$B212,"SER")+COUNTIFS($B$2:$B212,"PLH"))-1,12)+1),"N/A"),"")</f>
        <v/>
      </c>
      <c r="J212" s="6" t="str">
        <f>IF(AND($A212&lt;&gt;"",$B212&lt;&gt;"",$C212&lt;&gt;"",$D212&lt;&gt;""),IF($B212="WB","Control WB Box "&amp;(INT((COUNTIFS($B$2:$B212,"WB")-1)/81)+1)&amp;": "&amp;CHAR(65+INT(MOD(COUNTIFS($B$2:$B212,"WB")-1,81)/9))&amp;(MOD(COUNTIFS($B$2:$B212,"WB")-1,9)+1),"N/A"),"")</f>
        <v/>
      </c>
      <c r="K212" s="3" t="str">
        <f t="shared" si="55"/>
        <v/>
      </c>
      <c r="L212" s="2"/>
      <c r="M212" s="2"/>
      <c r="N212" s="2"/>
      <c r="O212" s="7" t="str">
        <f t="shared" si="56"/>
        <v/>
      </c>
      <c r="P212" s="7" t="str">
        <f t="shared" si="57"/>
        <v/>
      </c>
      <c r="Q212" s="7" t="str">
        <f t="shared" si="58"/>
        <v/>
      </c>
      <c r="R212" s="7" t="str">
        <f t="shared" si="59"/>
        <v/>
      </c>
      <c r="S212" s="7" t="str">
        <f t="shared" si="60"/>
        <v/>
      </c>
      <c r="T212" s="7" t="str">
        <f t="shared" si="61"/>
        <v/>
      </c>
      <c r="U212" s="7" t="str">
        <f t="shared" si="62"/>
        <v/>
      </c>
      <c r="V212" s="7" t="str">
        <f t="shared" si="63"/>
        <v/>
      </c>
      <c r="W212" s="7" t="str">
        <f t="shared" si="64"/>
        <v/>
      </c>
      <c r="X212" s="7" t="str">
        <f t="shared" si="65"/>
        <v/>
      </c>
      <c r="Y212">
        <f t="shared" si="66"/>
        <v>0</v>
      </c>
      <c r="Z212" t="str">
        <f t="shared" si="67"/>
        <v/>
      </c>
      <c r="AA212" t="str">
        <f t="shared" si="68"/>
        <v/>
      </c>
      <c r="AB212" t="str">
        <f t="shared" si="69"/>
        <v/>
      </c>
      <c r="AC212" t="str">
        <f t="shared" si="70"/>
        <v/>
      </c>
      <c r="AD212">
        <f t="shared" si="71"/>
        <v>0</v>
      </c>
    </row>
    <row r="213" spans="1:30" ht="15" customHeight="1" x14ac:dyDescent="0.35">
      <c r="A213" s="2"/>
      <c r="B213" s="3"/>
      <c r="C213" s="4"/>
      <c r="D213" s="5"/>
      <c r="E213" s="11" t="str">
        <f t="shared" ca="1" si="54"/>
        <v/>
      </c>
      <c r="F213" s="5"/>
      <c r="G213" s="6" t="str">
        <f>IF(AND($A213&lt;&gt;"",$B213&lt;&gt;"",$C213&lt;&gt;"",$D213&lt;&gt;""),IF(OR($B213="SER",$B213="PLH",$B213="CSF"),"Control CDI Plate "&amp;(INT(((COUNTIFS($B$2:$B213,"SER")+COUNTIFS($B$2:$B213,"PLH")+COUNTIFS($B$2:$B213,"CSF"))-1)/96)+1)&amp;": "&amp;CHAR(65+INT(MOD((COUNTIFS($B$2:$B213,"SER")+COUNTIFS($B$2:$B213,"PLH")+COUNTIFS($B$2:$B213,"CSF"))-1,96)/12))&amp;(MOD((COUNTIFS($B$2:$B213,"SER")+COUNTIFS($B$2:$B213,"PLH")+COUNTIFS($B$2:$B213,"CSF"))-1,12)+1),"N/A"),"")</f>
        <v/>
      </c>
      <c r="H213" s="6" t="str">
        <f>IF(AND($A213&lt;&gt;"",$B213&lt;&gt;"",$C213&lt;&gt;"",$D213&lt;&gt;""),IF(OR($B213="SER",$B213="PLH",$B213="CSF"),"Control NIH Plate "&amp;(INT(((COUNTIFS($B$2:$B213,"SER")+COUNTIFS($B$2:$B213,"PLH")+COUNTIFS($B$2:$B213,"CSF"))-1)/96)+1)&amp;": "&amp;CHAR(65+INT(MOD((COUNTIFS($B$2:$B213,"SER")+COUNTIFS($B$2:$B213,"PLH")+COUNTIFS($B$2:$B213,"CSF"))-1,96)/12))&amp;(MOD((COUNTIFS($B$2:$B213,"SER")+COUNTIFS($B$2:$B213,"PLH")+COUNTIFS($B$2:$B213,"CSF"))-1,12)+1),"N/A"),"")</f>
        <v/>
      </c>
      <c r="I213" s="6" t="str">
        <f>IF(AND($A213&lt;&gt;"",$B213&lt;&gt;"",$C213&lt;&gt;"",$D213&lt;&gt;""),IF(OR($B213="SER",$B213="PLH"),"Control MAX Planck Plate "&amp;(INT(((COUNTIFS($B$2:$B213,"SER")+COUNTIFS($B$2:$B213,"PLH"))-1)/96)+1)&amp;": "&amp;CHAR(65+INT(MOD((COUNTIFS($B$2:$B213,"SER")+COUNTIFS($B$2:$B213,"PLH"))-1,96)/12))&amp;(MOD((COUNTIFS($B$2:$B213,"SER")+COUNTIFS($B$2:$B213,"PLH"))-1,12)+1),"N/A"),"")</f>
        <v/>
      </c>
      <c r="J213" s="6" t="str">
        <f>IF(AND($A213&lt;&gt;"",$B213&lt;&gt;"",$C213&lt;&gt;"",$D213&lt;&gt;""),IF($B213="WB","Control WB Box "&amp;(INT((COUNTIFS($B$2:$B213,"WB")-1)/81)+1)&amp;": "&amp;CHAR(65+INT(MOD(COUNTIFS($B$2:$B213,"WB")-1,81)/9))&amp;(MOD(COUNTIFS($B$2:$B213,"WB")-1,9)+1),"N/A"),"")</f>
        <v/>
      </c>
      <c r="K213" s="3" t="str">
        <f t="shared" si="55"/>
        <v/>
      </c>
      <c r="L213" s="2"/>
      <c r="M213" s="2"/>
      <c r="N213" s="2"/>
      <c r="O213" s="7" t="str">
        <f t="shared" si="56"/>
        <v/>
      </c>
      <c r="P213" s="7" t="str">
        <f t="shared" si="57"/>
        <v/>
      </c>
      <c r="Q213" s="7" t="str">
        <f t="shared" si="58"/>
        <v/>
      </c>
      <c r="R213" s="7" t="str">
        <f t="shared" si="59"/>
        <v/>
      </c>
      <c r="S213" s="7" t="str">
        <f t="shared" si="60"/>
        <v/>
      </c>
      <c r="T213" s="7" t="str">
        <f t="shared" si="61"/>
        <v/>
      </c>
      <c r="U213" s="7" t="str">
        <f t="shared" si="62"/>
        <v/>
      </c>
      <c r="V213" s="7" t="str">
        <f t="shared" si="63"/>
        <v/>
      </c>
      <c r="W213" s="7" t="str">
        <f t="shared" si="64"/>
        <v/>
      </c>
      <c r="X213" s="7" t="str">
        <f t="shared" si="65"/>
        <v/>
      </c>
      <c r="Y213">
        <f t="shared" si="66"/>
        <v>0</v>
      </c>
      <c r="Z213" t="str">
        <f t="shared" si="67"/>
        <v/>
      </c>
      <c r="AA213" t="str">
        <f t="shared" si="68"/>
        <v/>
      </c>
      <c r="AB213" t="str">
        <f t="shared" si="69"/>
        <v/>
      </c>
      <c r="AC213" t="str">
        <f t="shared" si="70"/>
        <v/>
      </c>
      <c r="AD213">
        <f t="shared" si="71"/>
        <v>0</v>
      </c>
    </row>
    <row r="214" spans="1:30" ht="15" customHeight="1" x14ac:dyDescent="0.35">
      <c r="A214" s="2"/>
      <c r="B214" s="3"/>
      <c r="C214" s="4"/>
      <c r="D214" s="5"/>
      <c r="E214" s="11" t="str">
        <f t="shared" ca="1" si="54"/>
        <v/>
      </c>
      <c r="F214" s="5"/>
      <c r="G214" s="6" t="str">
        <f>IF(AND($A214&lt;&gt;"",$B214&lt;&gt;"",$C214&lt;&gt;"",$D214&lt;&gt;""),IF(OR($B214="SER",$B214="PLH",$B214="CSF"),"Control CDI Plate "&amp;(INT(((COUNTIFS($B$2:$B214,"SER")+COUNTIFS($B$2:$B214,"PLH")+COUNTIFS($B$2:$B214,"CSF"))-1)/96)+1)&amp;": "&amp;CHAR(65+INT(MOD((COUNTIFS($B$2:$B214,"SER")+COUNTIFS($B$2:$B214,"PLH")+COUNTIFS($B$2:$B214,"CSF"))-1,96)/12))&amp;(MOD((COUNTIFS($B$2:$B214,"SER")+COUNTIFS($B$2:$B214,"PLH")+COUNTIFS($B$2:$B214,"CSF"))-1,12)+1),"N/A"),"")</f>
        <v/>
      </c>
      <c r="H214" s="6" t="str">
        <f>IF(AND($A214&lt;&gt;"",$B214&lt;&gt;"",$C214&lt;&gt;"",$D214&lt;&gt;""),IF(OR($B214="SER",$B214="PLH",$B214="CSF"),"Control NIH Plate "&amp;(INT(((COUNTIFS($B$2:$B214,"SER")+COUNTIFS($B$2:$B214,"PLH")+COUNTIFS($B$2:$B214,"CSF"))-1)/96)+1)&amp;": "&amp;CHAR(65+INT(MOD((COUNTIFS($B$2:$B214,"SER")+COUNTIFS($B$2:$B214,"PLH")+COUNTIFS($B$2:$B214,"CSF"))-1,96)/12))&amp;(MOD((COUNTIFS($B$2:$B214,"SER")+COUNTIFS($B$2:$B214,"PLH")+COUNTIFS($B$2:$B214,"CSF"))-1,12)+1),"N/A"),"")</f>
        <v/>
      </c>
      <c r="I214" s="6" t="str">
        <f>IF(AND($A214&lt;&gt;"",$B214&lt;&gt;"",$C214&lt;&gt;"",$D214&lt;&gt;""),IF(OR($B214="SER",$B214="PLH"),"Control MAX Planck Plate "&amp;(INT(((COUNTIFS($B$2:$B214,"SER")+COUNTIFS($B$2:$B214,"PLH"))-1)/96)+1)&amp;": "&amp;CHAR(65+INT(MOD((COUNTIFS($B$2:$B214,"SER")+COUNTIFS($B$2:$B214,"PLH"))-1,96)/12))&amp;(MOD((COUNTIFS($B$2:$B214,"SER")+COUNTIFS($B$2:$B214,"PLH"))-1,12)+1),"N/A"),"")</f>
        <v/>
      </c>
      <c r="J214" s="6" t="str">
        <f>IF(AND($A214&lt;&gt;"",$B214&lt;&gt;"",$C214&lt;&gt;"",$D214&lt;&gt;""),IF($B214="WB","Control WB Box "&amp;(INT((COUNTIFS($B$2:$B214,"WB")-1)/81)+1)&amp;": "&amp;CHAR(65+INT(MOD(COUNTIFS($B$2:$B214,"WB")-1,81)/9))&amp;(MOD(COUNTIFS($B$2:$B214,"WB")-1,9)+1),"N/A"),"")</f>
        <v/>
      </c>
      <c r="K214" s="3" t="str">
        <f t="shared" si="55"/>
        <v/>
      </c>
      <c r="L214" s="2"/>
      <c r="M214" s="2"/>
      <c r="N214" s="2"/>
      <c r="O214" s="7" t="str">
        <f t="shared" si="56"/>
        <v/>
      </c>
      <c r="P214" s="7" t="str">
        <f t="shared" si="57"/>
        <v/>
      </c>
      <c r="Q214" s="7" t="str">
        <f t="shared" si="58"/>
        <v/>
      </c>
      <c r="R214" s="7" t="str">
        <f t="shared" si="59"/>
        <v/>
      </c>
      <c r="S214" s="7" t="str">
        <f t="shared" si="60"/>
        <v/>
      </c>
      <c r="T214" s="7" t="str">
        <f t="shared" si="61"/>
        <v/>
      </c>
      <c r="U214" s="7" t="str">
        <f t="shared" si="62"/>
        <v/>
      </c>
      <c r="V214" s="7" t="str">
        <f t="shared" si="63"/>
        <v/>
      </c>
      <c r="W214" s="7" t="str">
        <f t="shared" si="64"/>
        <v/>
      </c>
      <c r="X214" s="7" t="str">
        <f t="shared" si="65"/>
        <v/>
      </c>
      <c r="Y214">
        <f t="shared" si="66"/>
        <v>0</v>
      </c>
      <c r="Z214" t="str">
        <f t="shared" si="67"/>
        <v/>
      </c>
      <c r="AA214" t="str">
        <f t="shared" si="68"/>
        <v/>
      </c>
      <c r="AB214" t="str">
        <f t="shared" si="69"/>
        <v/>
      </c>
      <c r="AC214" t="str">
        <f t="shared" si="70"/>
        <v/>
      </c>
      <c r="AD214">
        <f t="shared" si="71"/>
        <v>0</v>
      </c>
    </row>
    <row r="215" spans="1:30" ht="15" customHeight="1" x14ac:dyDescent="0.35">
      <c r="A215" s="2"/>
      <c r="B215" s="3"/>
      <c r="C215" s="4"/>
      <c r="D215" s="5"/>
      <c r="E215" s="11" t="str">
        <f t="shared" ca="1" si="54"/>
        <v/>
      </c>
      <c r="F215" s="5"/>
      <c r="G215" s="6" t="str">
        <f>IF(AND($A215&lt;&gt;"",$B215&lt;&gt;"",$C215&lt;&gt;"",$D215&lt;&gt;""),IF(OR($B215="SER",$B215="PLH",$B215="CSF"),"Control CDI Plate "&amp;(INT(((COUNTIFS($B$2:$B215,"SER")+COUNTIFS($B$2:$B215,"PLH")+COUNTIFS($B$2:$B215,"CSF"))-1)/96)+1)&amp;": "&amp;CHAR(65+INT(MOD((COUNTIFS($B$2:$B215,"SER")+COUNTIFS($B$2:$B215,"PLH")+COUNTIFS($B$2:$B215,"CSF"))-1,96)/12))&amp;(MOD((COUNTIFS($B$2:$B215,"SER")+COUNTIFS($B$2:$B215,"PLH")+COUNTIFS($B$2:$B215,"CSF"))-1,12)+1),"N/A"),"")</f>
        <v/>
      </c>
      <c r="H215" s="6" t="str">
        <f>IF(AND($A215&lt;&gt;"",$B215&lt;&gt;"",$C215&lt;&gt;"",$D215&lt;&gt;""),IF(OR($B215="SER",$B215="PLH",$B215="CSF"),"Control NIH Plate "&amp;(INT(((COUNTIFS($B$2:$B215,"SER")+COUNTIFS($B$2:$B215,"PLH")+COUNTIFS($B$2:$B215,"CSF"))-1)/96)+1)&amp;": "&amp;CHAR(65+INT(MOD((COUNTIFS($B$2:$B215,"SER")+COUNTIFS($B$2:$B215,"PLH")+COUNTIFS($B$2:$B215,"CSF"))-1,96)/12))&amp;(MOD((COUNTIFS($B$2:$B215,"SER")+COUNTIFS($B$2:$B215,"PLH")+COUNTIFS($B$2:$B215,"CSF"))-1,12)+1),"N/A"),"")</f>
        <v/>
      </c>
      <c r="I215" s="6" t="str">
        <f>IF(AND($A215&lt;&gt;"",$B215&lt;&gt;"",$C215&lt;&gt;"",$D215&lt;&gt;""),IF(OR($B215="SER",$B215="PLH"),"Control MAX Planck Plate "&amp;(INT(((COUNTIFS($B$2:$B215,"SER")+COUNTIFS($B$2:$B215,"PLH"))-1)/96)+1)&amp;": "&amp;CHAR(65+INT(MOD((COUNTIFS($B$2:$B215,"SER")+COUNTIFS($B$2:$B215,"PLH"))-1,96)/12))&amp;(MOD((COUNTIFS($B$2:$B215,"SER")+COUNTIFS($B$2:$B215,"PLH"))-1,12)+1),"N/A"),"")</f>
        <v/>
      </c>
      <c r="J215" s="6" t="str">
        <f>IF(AND($A215&lt;&gt;"",$B215&lt;&gt;"",$C215&lt;&gt;"",$D215&lt;&gt;""),IF($B215="WB","Control WB Box "&amp;(INT((COUNTIFS($B$2:$B215,"WB")-1)/81)+1)&amp;": "&amp;CHAR(65+INT(MOD(COUNTIFS($B$2:$B215,"WB")-1,81)/9))&amp;(MOD(COUNTIFS($B$2:$B215,"WB")-1,9)+1),"N/A"),"")</f>
        <v/>
      </c>
      <c r="K215" s="3" t="str">
        <f t="shared" si="55"/>
        <v/>
      </c>
      <c r="L215" s="2"/>
      <c r="M215" s="2"/>
      <c r="N215" s="2"/>
      <c r="O215" s="7" t="str">
        <f t="shared" si="56"/>
        <v/>
      </c>
      <c r="P215" s="7" t="str">
        <f t="shared" si="57"/>
        <v/>
      </c>
      <c r="Q215" s="7" t="str">
        <f t="shared" si="58"/>
        <v/>
      </c>
      <c r="R215" s="7" t="str">
        <f t="shared" si="59"/>
        <v/>
      </c>
      <c r="S215" s="7" t="str">
        <f t="shared" si="60"/>
        <v/>
      </c>
      <c r="T215" s="7" t="str">
        <f t="shared" si="61"/>
        <v/>
      </c>
      <c r="U215" s="7" t="str">
        <f t="shared" si="62"/>
        <v/>
      </c>
      <c r="V215" s="7" t="str">
        <f t="shared" si="63"/>
        <v/>
      </c>
      <c r="W215" s="7" t="str">
        <f t="shared" si="64"/>
        <v/>
      </c>
      <c r="X215" s="7" t="str">
        <f t="shared" si="65"/>
        <v/>
      </c>
      <c r="Y215">
        <f t="shared" si="66"/>
        <v>0</v>
      </c>
      <c r="Z215" t="str">
        <f t="shared" si="67"/>
        <v/>
      </c>
      <c r="AA215" t="str">
        <f t="shared" si="68"/>
        <v/>
      </c>
      <c r="AB215" t="str">
        <f t="shared" si="69"/>
        <v/>
      </c>
      <c r="AC215" t="str">
        <f t="shared" si="70"/>
        <v/>
      </c>
      <c r="AD215">
        <f t="shared" si="71"/>
        <v>0</v>
      </c>
    </row>
    <row r="216" spans="1:30" ht="15" customHeight="1" x14ac:dyDescent="0.35">
      <c r="A216" s="2"/>
      <c r="B216" s="3"/>
      <c r="C216" s="4"/>
      <c r="D216" s="5"/>
      <c r="E216" s="11" t="str">
        <f t="shared" ca="1" si="54"/>
        <v/>
      </c>
      <c r="F216" s="5"/>
      <c r="G216" s="6" t="str">
        <f>IF(AND($A216&lt;&gt;"",$B216&lt;&gt;"",$C216&lt;&gt;"",$D216&lt;&gt;""),IF(OR($B216="SER",$B216="PLH",$B216="CSF"),"Control CDI Plate "&amp;(INT(((COUNTIFS($B$2:$B216,"SER")+COUNTIFS($B$2:$B216,"PLH")+COUNTIFS($B$2:$B216,"CSF"))-1)/96)+1)&amp;": "&amp;CHAR(65+INT(MOD((COUNTIFS($B$2:$B216,"SER")+COUNTIFS($B$2:$B216,"PLH")+COUNTIFS($B$2:$B216,"CSF"))-1,96)/12))&amp;(MOD((COUNTIFS($B$2:$B216,"SER")+COUNTIFS($B$2:$B216,"PLH")+COUNTIFS($B$2:$B216,"CSF"))-1,12)+1),"N/A"),"")</f>
        <v/>
      </c>
      <c r="H216" s="6" t="str">
        <f>IF(AND($A216&lt;&gt;"",$B216&lt;&gt;"",$C216&lt;&gt;"",$D216&lt;&gt;""),IF(OR($B216="SER",$B216="PLH",$B216="CSF"),"Control NIH Plate "&amp;(INT(((COUNTIFS($B$2:$B216,"SER")+COUNTIFS($B$2:$B216,"PLH")+COUNTIFS($B$2:$B216,"CSF"))-1)/96)+1)&amp;": "&amp;CHAR(65+INT(MOD((COUNTIFS($B$2:$B216,"SER")+COUNTIFS($B$2:$B216,"PLH")+COUNTIFS($B$2:$B216,"CSF"))-1,96)/12))&amp;(MOD((COUNTIFS($B$2:$B216,"SER")+COUNTIFS($B$2:$B216,"PLH")+COUNTIFS($B$2:$B216,"CSF"))-1,12)+1),"N/A"),"")</f>
        <v/>
      </c>
      <c r="I216" s="6" t="str">
        <f>IF(AND($A216&lt;&gt;"",$B216&lt;&gt;"",$C216&lt;&gt;"",$D216&lt;&gt;""),IF(OR($B216="SER",$B216="PLH"),"Control MAX Planck Plate "&amp;(INT(((COUNTIFS($B$2:$B216,"SER")+COUNTIFS($B$2:$B216,"PLH"))-1)/96)+1)&amp;": "&amp;CHAR(65+INT(MOD((COUNTIFS($B$2:$B216,"SER")+COUNTIFS($B$2:$B216,"PLH"))-1,96)/12))&amp;(MOD((COUNTIFS($B$2:$B216,"SER")+COUNTIFS($B$2:$B216,"PLH"))-1,12)+1),"N/A"),"")</f>
        <v/>
      </c>
      <c r="J216" s="6" t="str">
        <f>IF(AND($A216&lt;&gt;"",$B216&lt;&gt;"",$C216&lt;&gt;"",$D216&lt;&gt;""),IF($B216="WB","Control WB Box "&amp;(INT((COUNTIFS($B$2:$B216,"WB")-1)/81)+1)&amp;": "&amp;CHAR(65+INT(MOD(COUNTIFS($B$2:$B216,"WB")-1,81)/9))&amp;(MOD(COUNTIFS($B$2:$B216,"WB")-1,9)+1),"N/A"),"")</f>
        <v/>
      </c>
      <c r="K216" s="3" t="str">
        <f t="shared" si="55"/>
        <v/>
      </c>
      <c r="L216" s="2"/>
      <c r="M216" s="2"/>
      <c r="N216" s="2"/>
      <c r="O216" s="7" t="str">
        <f t="shared" si="56"/>
        <v/>
      </c>
      <c r="P216" s="7" t="str">
        <f t="shared" si="57"/>
        <v/>
      </c>
      <c r="Q216" s="7" t="str">
        <f t="shared" si="58"/>
        <v/>
      </c>
      <c r="R216" s="7" t="str">
        <f t="shared" si="59"/>
        <v/>
      </c>
      <c r="S216" s="7" t="str">
        <f t="shared" si="60"/>
        <v/>
      </c>
      <c r="T216" s="7" t="str">
        <f t="shared" si="61"/>
        <v/>
      </c>
      <c r="U216" s="7" t="str">
        <f t="shared" si="62"/>
        <v/>
      </c>
      <c r="V216" s="7" t="str">
        <f t="shared" si="63"/>
        <v/>
      </c>
      <c r="W216" s="7" t="str">
        <f t="shared" si="64"/>
        <v/>
      </c>
      <c r="X216" s="7" t="str">
        <f t="shared" si="65"/>
        <v/>
      </c>
      <c r="Y216">
        <f t="shared" si="66"/>
        <v>0</v>
      </c>
      <c r="Z216" t="str">
        <f t="shared" si="67"/>
        <v/>
      </c>
      <c r="AA216" t="str">
        <f t="shared" si="68"/>
        <v/>
      </c>
      <c r="AB216" t="str">
        <f t="shared" si="69"/>
        <v/>
      </c>
      <c r="AC216" t="str">
        <f t="shared" si="70"/>
        <v/>
      </c>
      <c r="AD216">
        <f t="shared" si="71"/>
        <v>0</v>
      </c>
    </row>
    <row r="217" spans="1:30" ht="15" customHeight="1" x14ac:dyDescent="0.35">
      <c r="A217" s="2"/>
      <c r="B217" s="3"/>
      <c r="C217" s="4"/>
      <c r="D217" s="5"/>
      <c r="E217" s="11" t="str">
        <f t="shared" ca="1" si="54"/>
        <v/>
      </c>
      <c r="F217" s="5"/>
      <c r="G217" s="6" t="str">
        <f>IF(AND($A217&lt;&gt;"",$B217&lt;&gt;"",$C217&lt;&gt;"",$D217&lt;&gt;""),IF(OR($B217="SER",$B217="PLH",$B217="CSF"),"Control CDI Plate "&amp;(INT(((COUNTIFS($B$2:$B217,"SER")+COUNTIFS($B$2:$B217,"PLH")+COUNTIFS($B$2:$B217,"CSF"))-1)/96)+1)&amp;": "&amp;CHAR(65+INT(MOD((COUNTIFS($B$2:$B217,"SER")+COUNTIFS($B$2:$B217,"PLH")+COUNTIFS($B$2:$B217,"CSF"))-1,96)/12))&amp;(MOD((COUNTIFS($B$2:$B217,"SER")+COUNTIFS($B$2:$B217,"PLH")+COUNTIFS($B$2:$B217,"CSF"))-1,12)+1),"N/A"),"")</f>
        <v/>
      </c>
      <c r="H217" s="6" t="str">
        <f>IF(AND($A217&lt;&gt;"",$B217&lt;&gt;"",$C217&lt;&gt;"",$D217&lt;&gt;""),IF(OR($B217="SER",$B217="PLH",$B217="CSF"),"Control NIH Plate "&amp;(INT(((COUNTIFS($B$2:$B217,"SER")+COUNTIFS($B$2:$B217,"PLH")+COUNTIFS($B$2:$B217,"CSF"))-1)/96)+1)&amp;": "&amp;CHAR(65+INT(MOD((COUNTIFS($B$2:$B217,"SER")+COUNTIFS($B$2:$B217,"PLH")+COUNTIFS($B$2:$B217,"CSF"))-1,96)/12))&amp;(MOD((COUNTIFS($B$2:$B217,"SER")+COUNTIFS($B$2:$B217,"PLH")+COUNTIFS($B$2:$B217,"CSF"))-1,12)+1),"N/A"),"")</f>
        <v/>
      </c>
      <c r="I217" s="6" t="str">
        <f>IF(AND($A217&lt;&gt;"",$B217&lt;&gt;"",$C217&lt;&gt;"",$D217&lt;&gt;""),IF(OR($B217="SER",$B217="PLH"),"Control MAX Planck Plate "&amp;(INT(((COUNTIFS($B$2:$B217,"SER")+COUNTIFS($B$2:$B217,"PLH"))-1)/96)+1)&amp;": "&amp;CHAR(65+INT(MOD((COUNTIFS($B$2:$B217,"SER")+COUNTIFS($B$2:$B217,"PLH"))-1,96)/12))&amp;(MOD((COUNTIFS($B$2:$B217,"SER")+COUNTIFS($B$2:$B217,"PLH"))-1,12)+1),"N/A"),"")</f>
        <v/>
      </c>
      <c r="J217" s="6" t="str">
        <f>IF(AND($A217&lt;&gt;"",$B217&lt;&gt;"",$C217&lt;&gt;"",$D217&lt;&gt;""),IF($B217="WB","Control WB Box "&amp;(INT((COUNTIFS($B$2:$B217,"WB")-1)/81)+1)&amp;": "&amp;CHAR(65+INT(MOD(COUNTIFS($B$2:$B217,"WB")-1,81)/9))&amp;(MOD(COUNTIFS($B$2:$B217,"WB")-1,9)+1),"N/A"),"")</f>
        <v/>
      </c>
      <c r="K217" s="3" t="str">
        <f t="shared" si="55"/>
        <v/>
      </c>
      <c r="L217" s="2"/>
      <c r="M217" s="2"/>
      <c r="N217" s="2"/>
      <c r="O217" s="7" t="str">
        <f t="shared" si="56"/>
        <v/>
      </c>
      <c r="P217" s="7" t="str">
        <f t="shared" si="57"/>
        <v/>
      </c>
      <c r="Q217" s="7" t="str">
        <f t="shared" si="58"/>
        <v/>
      </c>
      <c r="R217" s="7" t="str">
        <f t="shared" si="59"/>
        <v/>
      </c>
      <c r="S217" s="7" t="str">
        <f t="shared" si="60"/>
        <v/>
      </c>
      <c r="T217" s="7" t="str">
        <f t="shared" si="61"/>
        <v/>
      </c>
      <c r="U217" s="7" t="str">
        <f t="shared" si="62"/>
        <v/>
      </c>
      <c r="V217" s="7" t="str">
        <f t="shared" si="63"/>
        <v/>
      </c>
      <c r="W217" s="7" t="str">
        <f t="shared" si="64"/>
        <v/>
      </c>
      <c r="X217" s="7" t="str">
        <f t="shared" si="65"/>
        <v/>
      </c>
      <c r="Y217">
        <f t="shared" si="66"/>
        <v>0</v>
      </c>
      <c r="Z217" t="str">
        <f t="shared" si="67"/>
        <v/>
      </c>
      <c r="AA217" t="str">
        <f t="shared" si="68"/>
        <v/>
      </c>
      <c r="AB217" t="str">
        <f t="shared" si="69"/>
        <v/>
      </c>
      <c r="AC217" t="str">
        <f t="shared" si="70"/>
        <v/>
      </c>
      <c r="AD217">
        <f t="shared" si="71"/>
        <v>0</v>
      </c>
    </row>
    <row r="218" spans="1:30" ht="15" customHeight="1" x14ac:dyDescent="0.35">
      <c r="A218" s="2"/>
      <c r="B218" s="3"/>
      <c r="C218" s="4"/>
      <c r="D218" s="5"/>
      <c r="E218" s="11" t="str">
        <f t="shared" ca="1" si="54"/>
        <v/>
      </c>
      <c r="F218" s="5"/>
      <c r="G218" s="6" t="str">
        <f>IF(AND($A218&lt;&gt;"",$B218&lt;&gt;"",$C218&lt;&gt;"",$D218&lt;&gt;""),IF(OR($B218="SER",$B218="PLH",$B218="CSF"),"Control CDI Plate "&amp;(INT(((COUNTIFS($B$2:$B218,"SER")+COUNTIFS($B$2:$B218,"PLH")+COUNTIFS($B$2:$B218,"CSF"))-1)/96)+1)&amp;": "&amp;CHAR(65+INT(MOD((COUNTIFS($B$2:$B218,"SER")+COUNTIFS($B$2:$B218,"PLH")+COUNTIFS($B$2:$B218,"CSF"))-1,96)/12))&amp;(MOD((COUNTIFS($B$2:$B218,"SER")+COUNTIFS($B$2:$B218,"PLH")+COUNTIFS($B$2:$B218,"CSF"))-1,12)+1),"N/A"),"")</f>
        <v/>
      </c>
      <c r="H218" s="6" t="str">
        <f>IF(AND($A218&lt;&gt;"",$B218&lt;&gt;"",$C218&lt;&gt;"",$D218&lt;&gt;""),IF(OR($B218="SER",$B218="PLH",$B218="CSF"),"Control NIH Plate "&amp;(INT(((COUNTIFS($B$2:$B218,"SER")+COUNTIFS($B$2:$B218,"PLH")+COUNTIFS($B$2:$B218,"CSF"))-1)/96)+1)&amp;": "&amp;CHAR(65+INT(MOD((COUNTIFS($B$2:$B218,"SER")+COUNTIFS($B$2:$B218,"PLH")+COUNTIFS($B$2:$B218,"CSF"))-1,96)/12))&amp;(MOD((COUNTIFS($B$2:$B218,"SER")+COUNTIFS($B$2:$B218,"PLH")+COUNTIFS($B$2:$B218,"CSF"))-1,12)+1),"N/A"),"")</f>
        <v/>
      </c>
      <c r="I218" s="6" t="str">
        <f>IF(AND($A218&lt;&gt;"",$B218&lt;&gt;"",$C218&lt;&gt;"",$D218&lt;&gt;""),IF(OR($B218="SER",$B218="PLH"),"Control MAX Planck Plate "&amp;(INT(((COUNTIFS($B$2:$B218,"SER")+COUNTIFS($B$2:$B218,"PLH"))-1)/96)+1)&amp;": "&amp;CHAR(65+INT(MOD((COUNTIFS($B$2:$B218,"SER")+COUNTIFS($B$2:$B218,"PLH"))-1,96)/12))&amp;(MOD((COUNTIFS($B$2:$B218,"SER")+COUNTIFS($B$2:$B218,"PLH"))-1,12)+1),"N/A"),"")</f>
        <v/>
      </c>
      <c r="J218" s="6" t="str">
        <f>IF(AND($A218&lt;&gt;"",$B218&lt;&gt;"",$C218&lt;&gt;"",$D218&lt;&gt;""),IF($B218="WB","Control WB Box "&amp;(INT((COUNTIFS($B$2:$B218,"WB")-1)/81)+1)&amp;": "&amp;CHAR(65+INT(MOD(COUNTIFS($B$2:$B218,"WB")-1,81)/9))&amp;(MOD(COUNTIFS($B$2:$B218,"WB")-1,9)+1),"N/A"),"")</f>
        <v/>
      </c>
      <c r="K218" s="3" t="str">
        <f t="shared" si="55"/>
        <v/>
      </c>
      <c r="L218" s="2"/>
      <c r="M218" s="2"/>
      <c r="N218" s="2"/>
      <c r="O218" s="7" t="str">
        <f t="shared" si="56"/>
        <v/>
      </c>
      <c r="P218" s="7" t="str">
        <f t="shared" si="57"/>
        <v/>
      </c>
      <c r="Q218" s="7" t="str">
        <f t="shared" si="58"/>
        <v/>
      </c>
      <c r="R218" s="7" t="str">
        <f t="shared" si="59"/>
        <v/>
      </c>
      <c r="S218" s="7" t="str">
        <f t="shared" si="60"/>
        <v/>
      </c>
      <c r="T218" s="7" t="str">
        <f t="shared" si="61"/>
        <v/>
      </c>
      <c r="U218" s="7" t="str">
        <f t="shared" si="62"/>
        <v/>
      </c>
      <c r="V218" s="7" t="str">
        <f t="shared" si="63"/>
        <v/>
      </c>
      <c r="W218" s="7" t="str">
        <f t="shared" si="64"/>
        <v/>
      </c>
      <c r="X218" s="7" t="str">
        <f t="shared" si="65"/>
        <v/>
      </c>
      <c r="Y218">
        <f t="shared" si="66"/>
        <v>0</v>
      </c>
      <c r="Z218" t="str">
        <f t="shared" si="67"/>
        <v/>
      </c>
      <c r="AA218" t="str">
        <f t="shared" si="68"/>
        <v/>
      </c>
      <c r="AB218" t="str">
        <f t="shared" si="69"/>
        <v/>
      </c>
      <c r="AC218" t="str">
        <f t="shared" si="70"/>
        <v/>
      </c>
      <c r="AD218">
        <f t="shared" si="71"/>
        <v>0</v>
      </c>
    </row>
    <row r="219" spans="1:30" ht="15" customHeight="1" x14ac:dyDescent="0.35">
      <c r="A219" s="2"/>
      <c r="B219" s="3"/>
      <c r="C219" s="4"/>
      <c r="D219" s="5"/>
      <c r="E219" s="11" t="str">
        <f t="shared" ca="1" si="54"/>
        <v/>
      </c>
      <c r="F219" s="5"/>
      <c r="G219" s="6" t="str">
        <f>IF(AND($A219&lt;&gt;"",$B219&lt;&gt;"",$C219&lt;&gt;"",$D219&lt;&gt;""),IF(OR($B219="SER",$B219="PLH",$B219="CSF"),"Control CDI Plate "&amp;(INT(((COUNTIFS($B$2:$B219,"SER")+COUNTIFS($B$2:$B219,"PLH")+COUNTIFS($B$2:$B219,"CSF"))-1)/96)+1)&amp;": "&amp;CHAR(65+INT(MOD((COUNTIFS($B$2:$B219,"SER")+COUNTIFS($B$2:$B219,"PLH")+COUNTIFS($B$2:$B219,"CSF"))-1,96)/12))&amp;(MOD((COUNTIFS($B$2:$B219,"SER")+COUNTIFS($B$2:$B219,"PLH")+COUNTIFS($B$2:$B219,"CSF"))-1,12)+1),"N/A"),"")</f>
        <v/>
      </c>
      <c r="H219" s="6" t="str">
        <f>IF(AND($A219&lt;&gt;"",$B219&lt;&gt;"",$C219&lt;&gt;"",$D219&lt;&gt;""),IF(OR($B219="SER",$B219="PLH",$B219="CSF"),"Control NIH Plate "&amp;(INT(((COUNTIFS($B$2:$B219,"SER")+COUNTIFS($B$2:$B219,"PLH")+COUNTIFS($B$2:$B219,"CSF"))-1)/96)+1)&amp;": "&amp;CHAR(65+INT(MOD((COUNTIFS($B$2:$B219,"SER")+COUNTIFS($B$2:$B219,"PLH")+COUNTIFS($B$2:$B219,"CSF"))-1,96)/12))&amp;(MOD((COUNTIFS($B$2:$B219,"SER")+COUNTIFS($B$2:$B219,"PLH")+COUNTIFS($B$2:$B219,"CSF"))-1,12)+1),"N/A"),"")</f>
        <v/>
      </c>
      <c r="I219" s="6" t="str">
        <f>IF(AND($A219&lt;&gt;"",$B219&lt;&gt;"",$C219&lt;&gt;"",$D219&lt;&gt;""),IF(OR($B219="SER",$B219="PLH"),"Control MAX Planck Plate "&amp;(INT(((COUNTIFS($B$2:$B219,"SER")+COUNTIFS($B$2:$B219,"PLH"))-1)/96)+1)&amp;": "&amp;CHAR(65+INT(MOD((COUNTIFS($B$2:$B219,"SER")+COUNTIFS($B$2:$B219,"PLH"))-1,96)/12))&amp;(MOD((COUNTIFS($B$2:$B219,"SER")+COUNTIFS($B$2:$B219,"PLH"))-1,12)+1),"N/A"),"")</f>
        <v/>
      </c>
      <c r="J219" s="6" t="str">
        <f>IF(AND($A219&lt;&gt;"",$B219&lt;&gt;"",$C219&lt;&gt;"",$D219&lt;&gt;""),IF($B219="WB","Control WB Box "&amp;(INT((COUNTIFS($B$2:$B219,"WB")-1)/81)+1)&amp;": "&amp;CHAR(65+INT(MOD(COUNTIFS($B$2:$B219,"WB")-1,81)/9))&amp;(MOD(COUNTIFS($B$2:$B219,"WB")-1,9)+1),"N/A"),"")</f>
        <v/>
      </c>
      <c r="K219" s="3" t="str">
        <f t="shared" si="55"/>
        <v/>
      </c>
      <c r="L219" s="2"/>
      <c r="M219" s="2"/>
      <c r="N219" s="2"/>
      <c r="O219" s="7" t="str">
        <f t="shared" si="56"/>
        <v/>
      </c>
      <c r="P219" s="7" t="str">
        <f t="shared" si="57"/>
        <v/>
      </c>
      <c r="Q219" s="7" t="str">
        <f t="shared" si="58"/>
        <v/>
      </c>
      <c r="R219" s="7" t="str">
        <f t="shared" si="59"/>
        <v/>
      </c>
      <c r="S219" s="7" t="str">
        <f t="shared" si="60"/>
        <v/>
      </c>
      <c r="T219" s="7" t="str">
        <f t="shared" si="61"/>
        <v/>
      </c>
      <c r="U219" s="7" t="str">
        <f t="shared" si="62"/>
        <v/>
      </c>
      <c r="V219" s="7" t="str">
        <f t="shared" si="63"/>
        <v/>
      </c>
      <c r="W219" s="7" t="str">
        <f t="shared" si="64"/>
        <v/>
      </c>
      <c r="X219" s="7" t="str">
        <f t="shared" si="65"/>
        <v/>
      </c>
      <c r="Y219">
        <f t="shared" si="66"/>
        <v>0</v>
      </c>
      <c r="Z219" t="str">
        <f t="shared" si="67"/>
        <v/>
      </c>
      <c r="AA219" t="str">
        <f t="shared" si="68"/>
        <v/>
      </c>
      <c r="AB219" t="str">
        <f t="shared" si="69"/>
        <v/>
      </c>
      <c r="AC219" t="str">
        <f t="shared" si="70"/>
        <v/>
      </c>
      <c r="AD219">
        <f t="shared" si="71"/>
        <v>0</v>
      </c>
    </row>
    <row r="220" spans="1:30" ht="15" customHeight="1" x14ac:dyDescent="0.35">
      <c r="A220" s="2"/>
      <c r="B220" s="3"/>
      <c r="C220" s="4"/>
      <c r="D220" s="5"/>
      <c r="E220" s="11" t="str">
        <f t="shared" ca="1" si="54"/>
        <v/>
      </c>
      <c r="F220" s="5"/>
      <c r="G220" s="6" t="str">
        <f>IF(AND($A220&lt;&gt;"",$B220&lt;&gt;"",$C220&lt;&gt;"",$D220&lt;&gt;""),IF(OR($B220="SER",$B220="PLH",$B220="CSF"),"Control CDI Plate "&amp;(INT(((COUNTIFS($B$2:$B220,"SER")+COUNTIFS($B$2:$B220,"PLH")+COUNTIFS($B$2:$B220,"CSF"))-1)/96)+1)&amp;": "&amp;CHAR(65+INT(MOD((COUNTIFS($B$2:$B220,"SER")+COUNTIFS($B$2:$B220,"PLH")+COUNTIFS($B$2:$B220,"CSF"))-1,96)/12))&amp;(MOD((COUNTIFS($B$2:$B220,"SER")+COUNTIFS($B$2:$B220,"PLH")+COUNTIFS($B$2:$B220,"CSF"))-1,12)+1),"N/A"),"")</f>
        <v/>
      </c>
      <c r="H220" s="6" t="str">
        <f>IF(AND($A220&lt;&gt;"",$B220&lt;&gt;"",$C220&lt;&gt;"",$D220&lt;&gt;""),IF(OR($B220="SER",$B220="PLH",$B220="CSF"),"Control NIH Plate "&amp;(INT(((COUNTIFS($B$2:$B220,"SER")+COUNTIFS($B$2:$B220,"PLH")+COUNTIFS($B$2:$B220,"CSF"))-1)/96)+1)&amp;": "&amp;CHAR(65+INT(MOD((COUNTIFS($B$2:$B220,"SER")+COUNTIFS($B$2:$B220,"PLH")+COUNTIFS($B$2:$B220,"CSF"))-1,96)/12))&amp;(MOD((COUNTIFS($B$2:$B220,"SER")+COUNTIFS($B$2:$B220,"PLH")+COUNTIFS($B$2:$B220,"CSF"))-1,12)+1),"N/A"),"")</f>
        <v/>
      </c>
      <c r="I220" s="6" t="str">
        <f>IF(AND($A220&lt;&gt;"",$B220&lt;&gt;"",$C220&lt;&gt;"",$D220&lt;&gt;""),IF(OR($B220="SER",$B220="PLH"),"Control MAX Planck Plate "&amp;(INT(((COUNTIFS($B$2:$B220,"SER")+COUNTIFS($B$2:$B220,"PLH"))-1)/96)+1)&amp;": "&amp;CHAR(65+INT(MOD((COUNTIFS($B$2:$B220,"SER")+COUNTIFS($B$2:$B220,"PLH"))-1,96)/12))&amp;(MOD((COUNTIFS($B$2:$B220,"SER")+COUNTIFS($B$2:$B220,"PLH"))-1,12)+1),"N/A"),"")</f>
        <v/>
      </c>
      <c r="J220" s="6" t="str">
        <f>IF(AND($A220&lt;&gt;"",$B220&lt;&gt;"",$C220&lt;&gt;"",$D220&lt;&gt;""),IF($B220="WB","Control WB Box "&amp;(INT((COUNTIFS($B$2:$B220,"WB")-1)/81)+1)&amp;": "&amp;CHAR(65+INT(MOD(COUNTIFS($B$2:$B220,"WB")-1,81)/9))&amp;(MOD(COUNTIFS($B$2:$B220,"WB")-1,9)+1),"N/A"),"")</f>
        <v/>
      </c>
      <c r="K220" s="3" t="str">
        <f t="shared" si="55"/>
        <v/>
      </c>
      <c r="L220" s="2"/>
      <c r="M220" s="2"/>
      <c r="N220" s="2"/>
      <c r="O220" s="7" t="str">
        <f t="shared" si="56"/>
        <v/>
      </c>
      <c r="P220" s="7" t="str">
        <f t="shared" si="57"/>
        <v/>
      </c>
      <c r="Q220" s="7" t="str">
        <f t="shared" si="58"/>
        <v/>
      </c>
      <c r="R220" s="7" t="str">
        <f t="shared" si="59"/>
        <v/>
      </c>
      <c r="S220" s="7" t="str">
        <f t="shared" si="60"/>
        <v/>
      </c>
      <c r="T220" s="7" t="str">
        <f t="shared" si="61"/>
        <v/>
      </c>
      <c r="U220" s="7" t="str">
        <f t="shared" si="62"/>
        <v/>
      </c>
      <c r="V220" s="7" t="str">
        <f t="shared" si="63"/>
        <v/>
      </c>
      <c r="W220" s="7" t="str">
        <f t="shared" si="64"/>
        <v/>
      </c>
      <c r="X220" s="7" t="str">
        <f t="shared" si="65"/>
        <v/>
      </c>
      <c r="Y220">
        <f t="shared" si="66"/>
        <v>0</v>
      </c>
      <c r="Z220" t="str">
        <f t="shared" si="67"/>
        <v/>
      </c>
      <c r="AA220" t="str">
        <f t="shared" si="68"/>
        <v/>
      </c>
      <c r="AB220" t="str">
        <f t="shared" si="69"/>
        <v/>
      </c>
      <c r="AC220" t="str">
        <f t="shared" si="70"/>
        <v/>
      </c>
      <c r="AD220">
        <f t="shared" si="71"/>
        <v>0</v>
      </c>
    </row>
    <row r="221" spans="1:30" ht="15" customHeight="1" x14ac:dyDescent="0.35">
      <c r="A221" s="2"/>
      <c r="B221" s="3"/>
      <c r="C221" s="4"/>
      <c r="D221" s="5"/>
      <c r="E221" s="11" t="str">
        <f t="shared" ca="1" si="54"/>
        <v/>
      </c>
      <c r="F221" s="5"/>
      <c r="G221" s="6" t="str">
        <f>IF(AND($A221&lt;&gt;"",$B221&lt;&gt;"",$C221&lt;&gt;"",$D221&lt;&gt;""),IF(OR($B221="SER",$B221="PLH",$B221="CSF"),"Control CDI Plate "&amp;(INT(((COUNTIFS($B$2:$B221,"SER")+COUNTIFS($B$2:$B221,"PLH")+COUNTIFS($B$2:$B221,"CSF"))-1)/96)+1)&amp;": "&amp;CHAR(65+INT(MOD((COUNTIFS($B$2:$B221,"SER")+COUNTIFS($B$2:$B221,"PLH")+COUNTIFS($B$2:$B221,"CSF"))-1,96)/12))&amp;(MOD((COUNTIFS($B$2:$B221,"SER")+COUNTIFS($B$2:$B221,"PLH")+COUNTIFS($B$2:$B221,"CSF"))-1,12)+1),"N/A"),"")</f>
        <v/>
      </c>
      <c r="H221" s="6" t="str">
        <f>IF(AND($A221&lt;&gt;"",$B221&lt;&gt;"",$C221&lt;&gt;"",$D221&lt;&gt;""),IF(OR($B221="SER",$B221="PLH",$B221="CSF"),"Control NIH Plate "&amp;(INT(((COUNTIFS($B$2:$B221,"SER")+COUNTIFS($B$2:$B221,"PLH")+COUNTIFS($B$2:$B221,"CSF"))-1)/96)+1)&amp;": "&amp;CHAR(65+INT(MOD((COUNTIFS($B$2:$B221,"SER")+COUNTIFS($B$2:$B221,"PLH")+COUNTIFS($B$2:$B221,"CSF"))-1,96)/12))&amp;(MOD((COUNTIFS($B$2:$B221,"SER")+COUNTIFS($B$2:$B221,"PLH")+COUNTIFS($B$2:$B221,"CSF"))-1,12)+1),"N/A"),"")</f>
        <v/>
      </c>
      <c r="I221" s="6" t="str">
        <f>IF(AND($A221&lt;&gt;"",$B221&lt;&gt;"",$C221&lt;&gt;"",$D221&lt;&gt;""),IF(OR($B221="SER",$B221="PLH"),"Control MAX Planck Plate "&amp;(INT(((COUNTIFS($B$2:$B221,"SER")+COUNTIFS($B$2:$B221,"PLH"))-1)/96)+1)&amp;": "&amp;CHAR(65+INT(MOD((COUNTIFS($B$2:$B221,"SER")+COUNTIFS($B$2:$B221,"PLH"))-1,96)/12))&amp;(MOD((COUNTIFS($B$2:$B221,"SER")+COUNTIFS($B$2:$B221,"PLH"))-1,12)+1),"N/A"),"")</f>
        <v/>
      </c>
      <c r="J221" s="6" t="str">
        <f>IF(AND($A221&lt;&gt;"",$B221&lt;&gt;"",$C221&lt;&gt;"",$D221&lt;&gt;""),IF($B221="WB","Control WB Box "&amp;(INT((COUNTIFS($B$2:$B221,"WB")-1)/81)+1)&amp;": "&amp;CHAR(65+INT(MOD(COUNTIFS($B$2:$B221,"WB")-1,81)/9))&amp;(MOD(COUNTIFS($B$2:$B221,"WB")-1,9)+1),"N/A"),"")</f>
        <v/>
      </c>
      <c r="K221" s="3" t="str">
        <f t="shared" si="55"/>
        <v/>
      </c>
      <c r="L221" s="2"/>
      <c r="M221" s="2"/>
      <c r="N221" s="2"/>
      <c r="O221" s="7" t="str">
        <f t="shared" si="56"/>
        <v/>
      </c>
      <c r="P221" s="7" t="str">
        <f t="shared" si="57"/>
        <v/>
      </c>
      <c r="Q221" s="7" t="str">
        <f t="shared" si="58"/>
        <v/>
      </c>
      <c r="R221" s="7" t="str">
        <f t="shared" si="59"/>
        <v/>
      </c>
      <c r="S221" s="7" t="str">
        <f t="shared" si="60"/>
        <v/>
      </c>
      <c r="T221" s="7" t="str">
        <f t="shared" si="61"/>
        <v/>
      </c>
      <c r="U221" s="7" t="str">
        <f t="shared" si="62"/>
        <v/>
      </c>
      <c r="V221" s="7" t="str">
        <f t="shared" si="63"/>
        <v/>
      </c>
      <c r="W221" s="7" t="str">
        <f t="shared" si="64"/>
        <v/>
      </c>
      <c r="X221" s="7" t="str">
        <f t="shared" si="65"/>
        <v/>
      </c>
      <c r="Y221">
        <f t="shared" si="66"/>
        <v>0</v>
      </c>
      <c r="Z221" t="str">
        <f t="shared" si="67"/>
        <v/>
      </c>
      <c r="AA221" t="str">
        <f t="shared" si="68"/>
        <v/>
      </c>
      <c r="AB221" t="str">
        <f t="shared" si="69"/>
        <v/>
      </c>
      <c r="AC221" t="str">
        <f t="shared" si="70"/>
        <v/>
      </c>
      <c r="AD221">
        <f t="shared" si="71"/>
        <v>0</v>
      </c>
    </row>
    <row r="222" spans="1:30" ht="15" customHeight="1" x14ac:dyDescent="0.35">
      <c r="A222" s="2"/>
      <c r="B222" s="3"/>
      <c r="C222" s="4"/>
      <c r="D222" s="5"/>
      <c r="E222" s="11" t="str">
        <f t="shared" ca="1" si="54"/>
        <v/>
      </c>
      <c r="F222" s="5"/>
      <c r="G222" s="6" t="str">
        <f>IF(AND($A222&lt;&gt;"",$B222&lt;&gt;"",$C222&lt;&gt;"",$D222&lt;&gt;""),IF(OR($B222="SER",$B222="PLH",$B222="CSF"),"Control CDI Plate "&amp;(INT(((COUNTIFS($B$2:$B222,"SER")+COUNTIFS($B$2:$B222,"PLH")+COUNTIFS($B$2:$B222,"CSF"))-1)/96)+1)&amp;": "&amp;CHAR(65+INT(MOD((COUNTIFS($B$2:$B222,"SER")+COUNTIFS($B$2:$B222,"PLH")+COUNTIFS($B$2:$B222,"CSF"))-1,96)/12))&amp;(MOD((COUNTIFS($B$2:$B222,"SER")+COUNTIFS($B$2:$B222,"PLH")+COUNTIFS($B$2:$B222,"CSF"))-1,12)+1),"N/A"),"")</f>
        <v/>
      </c>
      <c r="H222" s="6" t="str">
        <f>IF(AND($A222&lt;&gt;"",$B222&lt;&gt;"",$C222&lt;&gt;"",$D222&lt;&gt;""),IF(OR($B222="SER",$B222="PLH",$B222="CSF"),"Control NIH Plate "&amp;(INT(((COUNTIFS($B$2:$B222,"SER")+COUNTIFS($B$2:$B222,"PLH")+COUNTIFS($B$2:$B222,"CSF"))-1)/96)+1)&amp;": "&amp;CHAR(65+INT(MOD((COUNTIFS($B$2:$B222,"SER")+COUNTIFS($B$2:$B222,"PLH")+COUNTIFS($B$2:$B222,"CSF"))-1,96)/12))&amp;(MOD((COUNTIFS($B$2:$B222,"SER")+COUNTIFS($B$2:$B222,"PLH")+COUNTIFS($B$2:$B222,"CSF"))-1,12)+1),"N/A"),"")</f>
        <v/>
      </c>
      <c r="I222" s="6" t="str">
        <f>IF(AND($A222&lt;&gt;"",$B222&lt;&gt;"",$C222&lt;&gt;"",$D222&lt;&gt;""),IF(OR($B222="SER",$B222="PLH"),"Control MAX Planck Plate "&amp;(INT(((COUNTIFS($B$2:$B222,"SER")+COUNTIFS($B$2:$B222,"PLH"))-1)/96)+1)&amp;": "&amp;CHAR(65+INT(MOD((COUNTIFS($B$2:$B222,"SER")+COUNTIFS($B$2:$B222,"PLH"))-1,96)/12))&amp;(MOD((COUNTIFS($B$2:$B222,"SER")+COUNTIFS($B$2:$B222,"PLH"))-1,12)+1),"N/A"),"")</f>
        <v/>
      </c>
      <c r="J222" s="6" t="str">
        <f>IF(AND($A222&lt;&gt;"",$B222&lt;&gt;"",$C222&lt;&gt;"",$D222&lt;&gt;""),IF($B222="WB","Control WB Box "&amp;(INT((COUNTIFS($B$2:$B222,"WB")-1)/81)+1)&amp;": "&amp;CHAR(65+INT(MOD(COUNTIFS($B$2:$B222,"WB")-1,81)/9))&amp;(MOD(COUNTIFS($B$2:$B222,"WB")-1,9)+1),"N/A"),"")</f>
        <v/>
      </c>
      <c r="K222" s="3" t="str">
        <f t="shared" si="55"/>
        <v/>
      </c>
      <c r="L222" s="2"/>
      <c r="M222" s="2"/>
      <c r="N222" s="2"/>
      <c r="O222" s="7" t="str">
        <f t="shared" si="56"/>
        <v/>
      </c>
      <c r="P222" s="7" t="str">
        <f t="shared" si="57"/>
        <v/>
      </c>
      <c r="Q222" s="7" t="str">
        <f t="shared" si="58"/>
        <v/>
      </c>
      <c r="R222" s="7" t="str">
        <f t="shared" si="59"/>
        <v/>
      </c>
      <c r="S222" s="7" t="str">
        <f t="shared" si="60"/>
        <v/>
      </c>
      <c r="T222" s="7" t="str">
        <f t="shared" si="61"/>
        <v/>
      </c>
      <c r="U222" s="7" t="str">
        <f t="shared" si="62"/>
        <v/>
      </c>
      <c r="V222" s="7" t="str">
        <f t="shared" si="63"/>
        <v/>
      </c>
      <c r="W222" s="7" t="str">
        <f t="shared" si="64"/>
        <v/>
      </c>
      <c r="X222" s="7" t="str">
        <f t="shared" si="65"/>
        <v/>
      </c>
      <c r="Y222">
        <f t="shared" si="66"/>
        <v>0</v>
      </c>
      <c r="Z222" t="str">
        <f t="shared" si="67"/>
        <v/>
      </c>
      <c r="AA222" t="str">
        <f t="shared" si="68"/>
        <v/>
      </c>
      <c r="AB222" t="str">
        <f t="shared" si="69"/>
        <v/>
      </c>
      <c r="AC222" t="str">
        <f t="shared" si="70"/>
        <v/>
      </c>
      <c r="AD222">
        <f t="shared" si="71"/>
        <v>0</v>
      </c>
    </row>
    <row r="223" spans="1:30" ht="15" customHeight="1" x14ac:dyDescent="0.35">
      <c r="A223" s="2"/>
      <c r="B223" s="3"/>
      <c r="C223" s="4"/>
      <c r="D223" s="5"/>
      <c r="E223" s="11" t="str">
        <f t="shared" ca="1" si="54"/>
        <v/>
      </c>
      <c r="F223" s="5"/>
      <c r="G223" s="6" t="str">
        <f>IF(AND($A223&lt;&gt;"",$B223&lt;&gt;"",$C223&lt;&gt;"",$D223&lt;&gt;""),IF(OR($B223="SER",$B223="PLH",$B223="CSF"),"Control CDI Plate "&amp;(INT(((COUNTIFS($B$2:$B223,"SER")+COUNTIFS($B$2:$B223,"PLH")+COUNTIFS($B$2:$B223,"CSF"))-1)/96)+1)&amp;": "&amp;CHAR(65+INT(MOD((COUNTIFS($B$2:$B223,"SER")+COUNTIFS($B$2:$B223,"PLH")+COUNTIFS($B$2:$B223,"CSF"))-1,96)/12))&amp;(MOD((COUNTIFS($B$2:$B223,"SER")+COUNTIFS($B$2:$B223,"PLH")+COUNTIFS($B$2:$B223,"CSF"))-1,12)+1),"N/A"),"")</f>
        <v/>
      </c>
      <c r="H223" s="6" t="str">
        <f>IF(AND($A223&lt;&gt;"",$B223&lt;&gt;"",$C223&lt;&gt;"",$D223&lt;&gt;""),IF(OR($B223="SER",$B223="PLH",$B223="CSF"),"Control NIH Plate "&amp;(INT(((COUNTIFS($B$2:$B223,"SER")+COUNTIFS($B$2:$B223,"PLH")+COUNTIFS($B$2:$B223,"CSF"))-1)/96)+1)&amp;": "&amp;CHAR(65+INT(MOD((COUNTIFS($B$2:$B223,"SER")+COUNTIFS($B$2:$B223,"PLH")+COUNTIFS($B$2:$B223,"CSF"))-1,96)/12))&amp;(MOD((COUNTIFS($B$2:$B223,"SER")+COUNTIFS($B$2:$B223,"PLH")+COUNTIFS($B$2:$B223,"CSF"))-1,12)+1),"N/A"),"")</f>
        <v/>
      </c>
      <c r="I223" s="6" t="str">
        <f>IF(AND($A223&lt;&gt;"",$B223&lt;&gt;"",$C223&lt;&gt;"",$D223&lt;&gt;""),IF(OR($B223="SER",$B223="PLH"),"Control MAX Planck Plate "&amp;(INT(((COUNTIFS($B$2:$B223,"SER")+COUNTIFS($B$2:$B223,"PLH"))-1)/96)+1)&amp;": "&amp;CHAR(65+INT(MOD((COUNTIFS($B$2:$B223,"SER")+COUNTIFS($B$2:$B223,"PLH"))-1,96)/12))&amp;(MOD((COUNTIFS($B$2:$B223,"SER")+COUNTIFS($B$2:$B223,"PLH"))-1,12)+1),"N/A"),"")</f>
        <v/>
      </c>
      <c r="J223" s="6" t="str">
        <f>IF(AND($A223&lt;&gt;"",$B223&lt;&gt;"",$C223&lt;&gt;"",$D223&lt;&gt;""),IF($B223="WB","Control WB Box "&amp;(INT((COUNTIFS($B$2:$B223,"WB")-1)/81)+1)&amp;": "&amp;CHAR(65+INT(MOD(COUNTIFS($B$2:$B223,"WB")-1,81)/9))&amp;(MOD(COUNTIFS($B$2:$B223,"WB")-1,9)+1),"N/A"),"")</f>
        <v/>
      </c>
      <c r="K223" s="3" t="str">
        <f t="shared" si="55"/>
        <v/>
      </c>
      <c r="L223" s="2"/>
      <c r="M223" s="2"/>
      <c r="N223" s="2"/>
      <c r="O223" s="7" t="str">
        <f t="shared" si="56"/>
        <v/>
      </c>
      <c r="P223" s="7" t="str">
        <f t="shared" si="57"/>
        <v/>
      </c>
      <c r="Q223" s="7" t="str">
        <f t="shared" si="58"/>
        <v/>
      </c>
      <c r="R223" s="7" t="str">
        <f t="shared" si="59"/>
        <v/>
      </c>
      <c r="S223" s="7" t="str">
        <f t="shared" si="60"/>
        <v/>
      </c>
      <c r="T223" s="7" t="str">
        <f t="shared" si="61"/>
        <v/>
      </c>
      <c r="U223" s="7" t="str">
        <f t="shared" si="62"/>
        <v/>
      </c>
      <c r="V223" s="7" t="str">
        <f t="shared" si="63"/>
        <v/>
      </c>
      <c r="W223" s="7" t="str">
        <f t="shared" si="64"/>
        <v/>
      </c>
      <c r="X223" s="7" t="str">
        <f t="shared" si="65"/>
        <v/>
      </c>
      <c r="Y223">
        <f t="shared" si="66"/>
        <v>0</v>
      </c>
      <c r="Z223" t="str">
        <f t="shared" si="67"/>
        <v/>
      </c>
      <c r="AA223" t="str">
        <f t="shared" si="68"/>
        <v/>
      </c>
      <c r="AB223" t="str">
        <f t="shared" si="69"/>
        <v/>
      </c>
      <c r="AC223" t="str">
        <f t="shared" si="70"/>
        <v/>
      </c>
      <c r="AD223">
        <f t="shared" si="71"/>
        <v>0</v>
      </c>
    </row>
    <row r="224" spans="1:30" ht="15" customHeight="1" x14ac:dyDescent="0.35">
      <c r="A224" s="2"/>
      <c r="B224" s="3"/>
      <c r="C224" s="4"/>
      <c r="D224" s="5"/>
      <c r="E224" s="11" t="str">
        <f t="shared" ca="1" si="54"/>
        <v/>
      </c>
      <c r="F224" s="5"/>
      <c r="G224" s="6" t="str">
        <f>IF(AND($A224&lt;&gt;"",$B224&lt;&gt;"",$C224&lt;&gt;"",$D224&lt;&gt;""),IF(OR($B224="SER",$B224="PLH",$B224="CSF"),"Control CDI Plate "&amp;(INT(((COUNTIFS($B$2:$B224,"SER")+COUNTIFS($B$2:$B224,"PLH")+COUNTIFS($B$2:$B224,"CSF"))-1)/96)+1)&amp;": "&amp;CHAR(65+INT(MOD((COUNTIFS($B$2:$B224,"SER")+COUNTIFS($B$2:$B224,"PLH")+COUNTIFS($B$2:$B224,"CSF"))-1,96)/12))&amp;(MOD((COUNTIFS($B$2:$B224,"SER")+COUNTIFS($B$2:$B224,"PLH")+COUNTIFS($B$2:$B224,"CSF"))-1,12)+1),"N/A"),"")</f>
        <v/>
      </c>
      <c r="H224" s="6" t="str">
        <f>IF(AND($A224&lt;&gt;"",$B224&lt;&gt;"",$C224&lt;&gt;"",$D224&lt;&gt;""),IF(OR($B224="SER",$B224="PLH",$B224="CSF"),"Control NIH Plate "&amp;(INT(((COUNTIFS($B$2:$B224,"SER")+COUNTIFS($B$2:$B224,"PLH")+COUNTIFS($B$2:$B224,"CSF"))-1)/96)+1)&amp;": "&amp;CHAR(65+INT(MOD((COUNTIFS($B$2:$B224,"SER")+COUNTIFS($B$2:$B224,"PLH")+COUNTIFS($B$2:$B224,"CSF"))-1,96)/12))&amp;(MOD((COUNTIFS($B$2:$B224,"SER")+COUNTIFS($B$2:$B224,"PLH")+COUNTIFS($B$2:$B224,"CSF"))-1,12)+1),"N/A"),"")</f>
        <v/>
      </c>
      <c r="I224" s="6" t="str">
        <f>IF(AND($A224&lt;&gt;"",$B224&lt;&gt;"",$C224&lt;&gt;"",$D224&lt;&gt;""),IF(OR($B224="SER",$B224="PLH"),"Control MAX Planck Plate "&amp;(INT(((COUNTIFS($B$2:$B224,"SER")+COUNTIFS($B$2:$B224,"PLH"))-1)/96)+1)&amp;": "&amp;CHAR(65+INT(MOD((COUNTIFS($B$2:$B224,"SER")+COUNTIFS($B$2:$B224,"PLH"))-1,96)/12))&amp;(MOD((COUNTIFS($B$2:$B224,"SER")+COUNTIFS($B$2:$B224,"PLH"))-1,12)+1),"N/A"),"")</f>
        <v/>
      </c>
      <c r="J224" s="6" t="str">
        <f>IF(AND($A224&lt;&gt;"",$B224&lt;&gt;"",$C224&lt;&gt;"",$D224&lt;&gt;""),IF($B224="WB","Control WB Box "&amp;(INT((COUNTIFS($B$2:$B224,"WB")-1)/81)+1)&amp;": "&amp;CHAR(65+INT(MOD(COUNTIFS($B$2:$B224,"WB")-1,81)/9))&amp;(MOD(COUNTIFS($B$2:$B224,"WB")-1,9)+1),"N/A"),"")</f>
        <v/>
      </c>
      <c r="K224" s="3" t="str">
        <f t="shared" si="55"/>
        <v/>
      </c>
      <c r="L224" s="2"/>
      <c r="M224" s="2"/>
      <c r="N224" s="2"/>
      <c r="O224" s="7" t="str">
        <f t="shared" si="56"/>
        <v/>
      </c>
      <c r="P224" s="7" t="str">
        <f t="shared" si="57"/>
        <v/>
      </c>
      <c r="Q224" s="7" t="str">
        <f t="shared" si="58"/>
        <v/>
      </c>
      <c r="R224" s="7" t="str">
        <f t="shared" si="59"/>
        <v/>
      </c>
      <c r="S224" s="7" t="str">
        <f t="shared" si="60"/>
        <v/>
      </c>
      <c r="T224" s="7" t="str">
        <f t="shared" si="61"/>
        <v/>
      </c>
      <c r="U224" s="7" t="str">
        <f t="shared" si="62"/>
        <v/>
      </c>
      <c r="V224" s="7" t="str">
        <f t="shared" si="63"/>
        <v/>
      </c>
      <c r="W224" s="7" t="str">
        <f t="shared" si="64"/>
        <v/>
      </c>
      <c r="X224" s="7" t="str">
        <f t="shared" si="65"/>
        <v/>
      </c>
      <c r="Y224">
        <f t="shared" si="66"/>
        <v>0</v>
      </c>
      <c r="Z224" t="str">
        <f t="shared" si="67"/>
        <v/>
      </c>
      <c r="AA224" t="str">
        <f t="shared" si="68"/>
        <v/>
      </c>
      <c r="AB224" t="str">
        <f t="shared" si="69"/>
        <v/>
      </c>
      <c r="AC224" t="str">
        <f t="shared" si="70"/>
        <v/>
      </c>
      <c r="AD224">
        <f t="shared" si="71"/>
        <v>0</v>
      </c>
    </row>
    <row r="225" spans="1:30" ht="15" customHeight="1" x14ac:dyDescent="0.35">
      <c r="A225" s="2"/>
      <c r="B225" s="3"/>
      <c r="C225" s="4"/>
      <c r="D225" s="5"/>
      <c r="E225" s="11" t="str">
        <f t="shared" ca="1" si="54"/>
        <v/>
      </c>
      <c r="F225" s="5"/>
      <c r="G225" s="6" t="str">
        <f>IF(AND($A225&lt;&gt;"",$B225&lt;&gt;"",$C225&lt;&gt;"",$D225&lt;&gt;""),IF(OR($B225="SER",$B225="PLH",$B225="CSF"),"Control CDI Plate "&amp;(INT(((COUNTIFS($B$2:$B225,"SER")+COUNTIFS($B$2:$B225,"PLH")+COUNTIFS($B$2:$B225,"CSF"))-1)/96)+1)&amp;": "&amp;CHAR(65+INT(MOD((COUNTIFS($B$2:$B225,"SER")+COUNTIFS($B$2:$B225,"PLH")+COUNTIFS($B$2:$B225,"CSF"))-1,96)/12))&amp;(MOD((COUNTIFS($B$2:$B225,"SER")+COUNTIFS($B$2:$B225,"PLH")+COUNTIFS($B$2:$B225,"CSF"))-1,12)+1),"N/A"),"")</f>
        <v/>
      </c>
      <c r="H225" s="6" t="str">
        <f>IF(AND($A225&lt;&gt;"",$B225&lt;&gt;"",$C225&lt;&gt;"",$D225&lt;&gt;""),IF(OR($B225="SER",$B225="PLH",$B225="CSF"),"Control NIH Plate "&amp;(INT(((COUNTIFS($B$2:$B225,"SER")+COUNTIFS($B$2:$B225,"PLH")+COUNTIFS($B$2:$B225,"CSF"))-1)/96)+1)&amp;": "&amp;CHAR(65+INT(MOD((COUNTIFS($B$2:$B225,"SER")+COUNTIFS($B$2:$B225,"PLH")+COUNTIFS($B$2:$B225,"CSF"))-1,96)/12))&amp;(MOD((COUNTIFS($B$2:$B225,"SER")+COUNTIFS($B$2:$B225,"PLH")+COUNTIFS($B$2:$B225,"CSF"))-1,12)+1),"N/A"),"")</f>
        <v/>
      </c>
      <c r="I225" s="6" t="str">
        <f>IF(AND($A225&lt;&gt;"",$B225&lt;&gt;"",$C225&lt;&gt;"",$D225&lt;&gt;""),IF(OR($B225="SER",$B225="PLH"),"Control MAX Planck Plate "&amp;(INT(((COUNTIFS($B$2:$B225,"SER")+COUNTIFS($B$2:$B225,"PLH"))-1)/96)+1)&amp;": "&amp;CHAR(65+INT(MOD((COUNTIFS($B$2:$B225,"SER")+COUNTIFS($B$2:$B225,"PLH"))-1,96)/12))&amp;(MOD((COUNTIFS($B$2:$B225,"SER")+COUNTIFS($B$2:$B225,"PLH"))-1,12)+1),"N/A"),"")</f>
        <v/>
      </c>
      <c r="J225" s="6" t="str">
        <f>IF(AND($A225&lt;&gt;"",$B225&lt;&gt;"",$C225&lt;&gt;"",$D225&lt;&gt;""),IF($B225="WB","Control WB Box "&amp;(INT((COUNTIFS($B$2:$B225,"WB")-1)/81)+1)&amp;": "&amp;CHAR(65+INT(MOD(COUNTIFS($B$2:$B225,"WB")-1,81)/9))&amp;(MOD(COUNTIFS($B$2:$B225,"WB")-1,9)+1),"N/A"),"")</f>
        <v/>
      </c>
      <c r="K225" s="3" t="str">
        <f t="shared" si="55"/>
        <v/>
      </c>
      <c r="L225" s="2"/>
      <c r="M225" s="2"/>
      <c r="N225" s="2"/>
      <c r="O225" s="7" t="str">
        <f t="shared" si="56"/>
        <v/>
      </c>
      <c r="P225" s="7" t="str">
        <f t="shared" si="57"/>
        <v/>
      </c>
      <c r="Q225" s="7" t="str">
        <f t="shared" si="58"/>
        <v/>
      </c>
      <c r="R225" s="7" t="str">
        <f t="shared" si="59"/>
        <v/>
      </c>
      <c r="S225" s="7" t="str">
        <f t="shared" si="60"/>
        <v/>
      </c>
      <c r="T225" s="7" t="str">
        <f t="shared" si="61"/>
        <v/>
      </c>
      <c r="U225" s="7" t="str">
        <f t="shared" si="62"/>
        <v/>
      </c>
      <c r="V225" s="7" t="str">
        <f t="shared" si="63"/>
        <v/>
      </c>
      <c r="W225" s="7" t="str">
        <f t="shared" si="64"/>
        <v/>
      </c>
      <c r="X225" s="7" t="str">
        <f t="shared" si="65"/>
        <v/>
      </c>
      <c r="Y225">
        <f t="shared" si="66"/>
        <v>0</v>
      </c>
      <c r="Z225" t="str">
        <f t="shared" si="67"/>
        <v/>
      </c>
      <c r="AA225" t="str">
        <f t="shared" si="68"/>
        <v/>
      </c>
      <c r="AB225" t="str">
        <f t="shared" si="69"/>
        <v/>
      </c>
      <c r="AC225" t="str">
        <f t="shared" si="70"/>
        <v/>
      </c>
      <c r="AD225">
        <f t="shared" si="71"/>
        <v>0</v>
      </c>
    </row>
    <row r="226" spans="1:30" ht="15" customHeight="1" x14ac:dyDescent="0.35">
      <c r="A226" s="2"/>
      <c r="B226" s="3"/>
      <c r="C226" s="4"/>
      <c r="D226" s="5"/>
      <c r="E226" s="11" t="str">
        <f t="shared" ca="1" si="54"/>
        <v/>
      </c>
      <c r="F226" s="5"/>
      <c r="G226" s="6" t="str">
        <f>IF(AND($A226&lt;&gt;"",$B226&lt;&gt;"",$C226&lt;&gt;"",$D226&lt;&gt;""),IF(OR($B226="SER",$B226="PLH",$B226="CSF"),"Control CDI Plate "&amp;(INT(((COUNTIFS($B$2:$B226,"SER")+COUNTIFS($B$2:$B226,"PLH")+COUNTIFS($B$2:$B226,"CSF"))-1)/96)+1)&amp;": "&amp;CHAR(65+INT(MOD((COUNTIFS($B$2:$B226,"SER")+COUNTIFS($B$2:$B226,"PLH")+COUNTIFS($B$2:$B226,"CSF"))-1,96)/12))&amp;(MOD((COUNTIFS($B$2:$B226,"SER")+COUNTIFS($B$2:$B226,"PLH")+COUNTIFS($B$2:$B226,"CSF"))-1,12)+1),"N/A"),"")</f>
        <v/>
      </c>
      <c r="H226" s="6" t="str">
        <f>IF(AND($A226&lt;&gt;"",$B226&lt;&gt;"",$C226&lt;&gt;"",$D226&lt;&gt;""),IF(OR($B226="SER",$B226="PLH",$B226="CSF"),"Control NIH Plate "&amp;(INT(((COUNTIFS($B$2:$B226,"SER")+COUNTIFS($B$2:$B226,"PLH")+COUNTIFS($B$2:$B226,"CSF"))-1)/96)+1)&amp;": "&amp;CHAR(65+INT(MOD((COUNTIFS($B$2:$B226,"SER")+COUNTIFS($B$2:$B226,"PLH")+COUNTIFS($B$2:$B226,"CSF"))-1,96)/12))&amp;(MOD((COUNTIFS($B$2:$B226,"SER")+COUNTIFS($B$2:$B226,"PLH")+COUNTIFS($B$2:$B226,"CSF"))-1,12)+1),"N/A"),"")</f>
        <v/>
      </c>
      <c r="I226" s="6" t="str">
        <f>IF(AND($A226&lt;&gt;"",$B226&lt;&gt;"",$C226&lt;&gt;"",$D226&lt;&gt;""),IF(OR($B226="SER",$B226="PLH"),"Control MAX Planck Plate "&amp;(INT(((COUNTIFS($B$2:$B226,"SER")+COUNTIFS($B$2:$B226,"PLH"))-1)/96)+1)&amp;": "&amp;CHAR(65+INT(MOD((COUNTIFS($B$2:$B226,"SER")+COUNTIFS($B$2:$B226,"PLH"))-1,96)/12))&amp;(MOD((COUNTIFS($B$2:$B226,"SER")+COUNTIFS($B$2:$B226,"PLH"))-1,12)+1),"N/A"),"")</f>
        <v/>
      </c>
      <c r="J226" s="6" t="str">
        <f>IF(AND($A226&lt;&gt;"",$B226&lt;&gt;"",$C226&lt;&gt;"",$D226&lt;&gt;""),IF($B226="WB","Control WB Box "&amp;(INT((COUNTIFS($B$2:$B226,"WB")-1)/81)+1)&amp;": "&amp;CHAR(65+INT(MOD(COUNTIFS($B$2:$B226,"WB")-1,81)/9))&amp;(MOD(COUNTIFS($B$2:$B226,"WB")-1,9)+1),"N/A"),"")</f>
        <v/>
      </c>
      <c r="K226" s="3" t="str">
        <f t="shared" si="55"/>
        <v/>
      </c>
      <c r="L226" s="2"/>
      <c r="M226" s="2"/>
      <c r="N226" s="2"/>
      <c r="O226" s="7" t="str">
        <f t="shared" si="56"/>
        <v/>
      </c>
      <c r="P226" s="7" t="str">
        <f t="shared" si="57"/>
        <v/>
      </c>
      <c r="Q226" s="7" t="str">
        <f t="shared" si="58"/>
        <v/>
      </c>
      <c r="R226" s="7" t="str">
        <f t="shared" si="59"/>
        <v/>
      </c>
      <c r="S226" s="7" t="str">
        <f t="shared" si="60"/>
        <v/>
      </c>
      <c r="T226" s="7" t="str">
        <f t="shared" si="61"/>
        <v/>
      </c>
      <c r="U226" s="7" t="str">
        <f t="shared" si="62"/>
        <v/>
      </c>
      <c r="V226" s="7" t="str">
        <f t="shared" si="63"/>
        <v/>
      </c>
      <c r="W226" s="7" t="str">
        <f t="shared" si="64"/>
        <v/>
      </c>
      <c r="X226" s="7" t="str">
        <f t="shared" si="65"/>
        <v/>
      </c>
      <c r="Y226">
        <f t="shared" si="66"/>
        <v>0</v>
      </c>
      <c r="Z226" t="str">
        <f t="shared" si="67"/>
        <v/>
      </c>
      <c r="AA226" t="str">
        <f t="shared" si="68"/>
        <v/>
      </c>
      <c r="AB226" t="str">
        <f t="shared" si="69"/>
        <v/>
      </c>
      <c r="AC226" t="str">
        <f t="shared" si="70"/>
        <v/>
      </c>
      <c r="AD226">
        <f t="shared" si="71"/>
        <v>0</v>
      </c>
    </row>
    <row r="227" spans="1:30" ht="15" customHeight="1" x14ac:dyDescent="0.35">
      <c r="A227" s="2"/>
      <c r="B227" s="3"/>
      <c r="C227" s="4"/>
      <c r="D227" s="5"/>
      <c r="E227" s="11" t="str">
        <f t="shared" ca="1" si="54"/>
        <v/>
      </c>
      <c r="F227" s="5"/>
      <c r="G227" s="6" t="str">
        <f>IF(AND($A227&lt;&gt;"",$B227&lt;&gt;"",$C227&lt;&gt;"",$D227&lt;&gt;""),IF(OR($B227="SER",$B227="PLH",$B227="CSF"),"Control CDI Plate "&amp;(INT(((COUNTIFS($B$2:$B227,"SER")+COUNTIFS($B$2:$B227,"PLH")+COUNTIFS($B$2:$B227,"CSF"))-1)/96)+1)&amp;": "&amp;CHAR(65+INT(MOD((COUNTIFS($B$2:$B227,"SER")+COUNTIFS($B$2:$B227,"PLH")+COUNTIFS($B$2:$B227,"CSF"))-1,96)/12))&amp;(MOD((COUNTIFS($B$2:$B227,"SER")+COUNTIFS($B$2:$B227,"PLH")+COUNTIFS($B$2:$B227,"CSF"))-1,12)+1),"N/A"),"")</f>
        <v/>
      </c>
      <c r="H227" s="6" t="str">
        <f>IF(AND($A227&lt;&gt;"",$B227&lt;&gt;"",$C227&lt;&gt;"",$D227&lt;&gt;""),IF(OR($B227="SER",$B227="PLH",$B227="CSF"),"Control NIH Plate "&amp;(INT(((COUNTIFS($B$2:$B227,"SER")+COUNTIFS($B$2:$B227,"PLH")+COUNTIFS($B$2:$B227,"CSF"))-1)/96)+1)&amp;": "&amp;CHAR(65+INT(MOD((COUNTIFS($B$2:$B227,"SER")+COUNTIFS($B$2:$B227,"PLH")+COUNTIFS($B$2:$B227,"CSF"))-1,96)/12))&amp;(MOD((COUNTIFS($B$2:$B227,"SER")+COUNTIFS($B$2:$B227,"PLH")+COUNTIFS($B$2:$B227,"CSF"))-1,12)+1),"N/A"),"")</f>
        <v/>
      </c>
      <c r="I227" s="6" t="str">
        <f>IF(AND($A227&lt;&gt;"",$B227&lt;&gt;"",$C227&lt;&gt;"",$D227&lt;&gt;""),IF(OR($B227="SER",$B227="PLH"),"Control MAX Planck Plate "&amp;(INT(((COUNTIFS($B$2:$B227,"SER")+COUNTIFS($B$2:$B227,"PLH"))-1)/96)+1)&amp;": "&amp;CHAR(65+INT(MOD((COUNTIFS($B$2:$B227,"SER")+COUNTIFS($B$2:$B227,"PLH"))-1,96)/12))&amp;(MOD((COUNTIFS($B$2:$B227,"SER")+COUNTIFS($B$2:$B227,"PLH"))-1,12)+1),"N/A"),"")</f>
        <v/>
      </c>
      <c r="J227" s="6" t="str">
        <f>IF(AND($A227&lt;&gt;"",$B227&lt;&gt;"",$C227&lt;&gt;"",$D227&lt;&gt;""),IF($B227="WB","Control WB Box "&amp;(INT((COUNTIFS($B$2:$B227,"WB")-1)/81)+1)&amp;": "&amp;CHAR(65+INT(MOD(COUNTIFS($B$2:$B227,"WB")-1,81)/9))&amp;(MOD(COUNTIFS($B$2:$B227,"WB")-1,9)+1),"N/A"),"")</f>
        <v/>
      </c>
      <c r="K227" s="3" t="str">
        <f t="shared" si="55"/>
        <v/>
      </c>
      <c r="L227" s="2"/>
      <c r="M227" s="2"/>
      <c r="N227" s="2"/>
      <c r="O227" s="7" t="str">
        <f t="shared" si="56"/>
        <v/>
      </c>
      <c r="P227" s="7" t="str">
        <f t="shared" si="57"/>
        <v/>
      </c>
      <c r="Q227" s="7" t="str">
        <f t="shared" si="58"/>
        <v/>
      </c>
      <c r="R227" s="7" t="str">
        <f t="shared" si="59"/>
        <v/>
      </c>
      <c r="S227" s="7" t="str">
        <f t="shared" si="60"/>
        <v/>
      </c>
      <c r="T227" s="7" t="str">
        <f t="shared" si="61"/>
        <v/>
      </c>
      <c r="U227" s="7" t="str">
        <f t="shared" si="62"/>
        <v/>
      </c>
      <c r="V227" s="7" t="str">
        <f t="shared" si="63"/>
        <v/>
      </c>
      <c r="W227" s="7" t="str">
        <f t="shared" si="64"/>
        <v/>
      </c>
      <c r="X227" s="7" t="str">
        <f t="shared" si="65"/>
        <v/>
      </c>
      <c r="Y227">
        <f t="shared" si="66"/>
        <v>0</v>
      </c>
      <c r="Z227" t="str">
        <f t="shared" si="67"/>
        <v/>
      </c>
      <c r="AA227" t="str">
        <f t="shared" si="68"/>
        <v/>
      </c>
      <c r="AB227" t="str">
        <f t="shared" si="69"/>
        <v/>
      </c>
      <c r="AC227" t="str">
        <f t="shared" si="70"/>
        <v/>
      </c>
      <c r="AD227">
        <f t="shared" si="71"/>
        <v>0</v>
      </c>
    </row>
    <row r="228" spans="1:30" ht="15" customHeight="1" x14ac:dyDescent="0.35">
      <c r="A228" s="2"/>
      <c r="B228" s="3"/>
      <c r="C228" s="4"/>
      <c r="D228" s="5"/>
      <c r="E228" s="11" t="str">
        <f t="shared" ca="1" si="54"/>
        <v/>
      </c>
      <c r="F228" s="5"/>
      <c r="G228" s="6" t="str">
        <f>IF(AND($A228&lt;&gt;"",$B228&lt;&gt;"",$C228&lt;&gt;"",$D228&lt;&gt;""),IF(OR($B228="SER",$B228="PLH",$B228="CSF"),"Control CDI Plate "&amp;(INT(((COUNTIFS($B$2:$B228,"SER")+COUNTIFS($B$2:$B228,"PLH")+COUNTIFS($B$2:$B228,"CSF"))-1)/96)+1)&amp;": "&amp;CHAR(65+INT(MOD((COUNTIFS($B$2:$B228,"SER")+COUNTIFS($B$2:$B228,"PLH")+COUNTIFS($B$2:$B228,"CSF"))-1,96)/12))&amp;(MOD((COUNTIFS($B$2:$B228,"SER")+COUNTIFS($B$2:$B228,"PLH")+COUNTIFS($B$2:$B228,"CSF"))-1,12)+1),"N/A"),"")</f>
        <v/>
      </c>
      <c r="H228" s="6" t="str">
        <f>IF(AND($A228&lt;&gt;"",$B228&lt;&gt;"",$C228&lt;&gt;"",$D228&lt;&gt;""),IF(OR($B228="SER",$B228="PLH",$B228="CSF"),"Control NIH Plate "&amp;(INT(((COUNTIFS($B$2:$B228,"SER")+COUNTIFS($B$2:$B228,"PLH")+COUNTIFS($B$2:$B228,"CSF"))-1)/96)+1)&amp;": "&amp;CHAR(65+INT(MOD((COUNTIFS($B$2:$B228,"SER")+COUNTIFS($B$2:$B228,"PLH")+COUNTIFS($B$2:$B228,"CSF"))-1,96)/12))&amp;(MOD((COUNTIFS($B$2:$B228,"SER")+COUNTIFS($B$2:$B228,"PLH")+COUNTIFS($B$2:$B228,"CSF"))-1,12)+1),"N/A"),"")</f>
        <v/>
      </c>
      <c r="I228" s="6" t="str">
        <f>IF(AND($A228&lt;&gt;"",$B228&lt;&gt;"",$C228&lt;&gt;"",$D228&lt;&gt;""),IF(OR($B228="SER",$B228="PLH"),"Control MAX Planck Plate "&amp;(INT(((COUNTIFS($B$2:$B228,"SER")+COUNTIFS($B$2:$B228,"PLH"))-1)/96)+1)&amp;": "&amp;CHAR(65+INT(MOD((COUNTIFS($B$2:$B228,"SER")+COUNTIFS($B$2:$B228,"PLH"))-1,96)/12))&amp;(MOD((COUNTIFS($B$2:$B228,"SER")+COUNTIFS($B$2:$B228,"PLH"))-1,12)+1),"N/A"),"")</f>
        <v/>
      </c>
      <c r="J228" s="6" t="str">
        <f>IF(AND($A228&lt;&gt;"",$B228&lt;&gt;"",$C228&lt;&gt;"",$D228&lt;&gt;""),IF($B228="WB","Control WB Box "&amp;(INT((COUNTIFS($B$2:$B228,"WB")-1)/81)+1)&amp;": "&amp;CHAR(65+INT(MOD(COUNTIFS($B$2:$B228,"WB")-1,81)/9))&amp;(MOD(COUNTIFS($B$2:$B228,"WB")-1,9)+1),"N/A"),"")</f>
        <v/>
      </c>
      <c r="K228" s="3" t="str">
        <f t="shared" si="55"/>
        <v/>
      </c>
      <c r="L228" s="2"/>
      <c r="M228" s="2"/>
      <c r="N228" s="2"/>
      <c r="O228" s="7" t="str">
        <f t="shared" si="56"/>
        <v/>
      </c>
      <c r="P228" s="7" t="str">
        <f t="shared" si="57"/>
        <v/>
      </c>
      <c r="Q228" s="7" t="str">
        <f t="shared" si="58"/>
        <v/>
      </c>
      <c r="R228" s="7" t="str">
        <f t="shared" si="59"/>
        <v/>
      </c>
      <c r="S228" s="7" t="str">
        <f t="shared" si="60"/>
        <v/>
      </c>
      <c r="T228" s="7" t="str">
        <f t="shared" si="61"/>
        <v/>
      </c>
      <c r="U228" s="7" t="str">
        <f t="shared" si="62"/>
        <v/>
      </c>
      <c r="V228" s="7" t="str">
        <f t="shared" si="63"/>
        <v/>
      </c>
      <c r="W228" s="7" t="str">
        <f t="shared" si="64"/>
        <v/>
      </c>
      <c r="X228" s="7" t="str">
        <f t="shared" si="65"/>
        <v/>
      </c>
      <c r="Y228">
        <f t="shared" si="66"/>
        <v>0</v>
      </c>
      <c r="Z228" t="str">
        <f t="shared" si="67"/>
        <v/>
      </c>
      <c r="AA228" t="str">
        <f t="shared" si="68"/>
        <v/>
      </c>
      <c r="AB228" t="str">
        <f t="shared" si="69"/>
        <v/>
      </c>
      <c r="AC228" t="str">
        <f t="shared" si="70"/>
        <v/>
      </c>
      <c r="AD228">
        <f t="shared" si="71"/>
        <v>0</v>
      </c>
    </row>
    <row r="229" spans="1:30" ht="15" customHeight="1" x14ac:dyDescent="0.35">
      <c r="A229" s="2"/>
      <c r="B229" s="3"/>
      <c r="C229" s="4"/>
      <c r="D229" s="5"/>
      <c r="E229" s="11" t="str">
        <f t="shared" ca="1" si="54"/>
        <v/>
      </c>
      <c r="F229" s="5"/>
      <c r="G229" s="6" t="str">
        <f>IF(AND($A229&lt;&gt;"",$B229&lt;&gt;"",$C229&lt;&gt;"",$D229&lt;&gt;""),IF(OR($B229="SER",$B229="PLH",$B229="CSF"),"Control CDI Plate "&amp;(INT(((COUNTIFS($B$2:$B229,"SER")+COUNTIFS($B$2:$B229,"PLH")+COUNTIFS($B$2:$B229,"CSF"))-1)/96)+1)&amp;": "&amp;CHAR(65+INT(MOD((COUNTIFS($B$2:$B229,"SER")+COUNTIFS($B$2:$B229,"PLH")+COUNTIFS($B$2:$B229,"CSF"))-1,96)/12))&amp;(MOD((COUNTIFS($B$2:$B229,"SER")+COUNTIFS($B$2:$B229,"PLH")+COUNTIFS($B$2:$B229,"CSF"))-1,12)+1),"N/A"),"")</f>
        <v/>
      </c>
      <c r="H229" s="6" t="str">
        <f>IF(AND($A229&lt;&gt;"",$B229&lt;&gt;"",$C229&lt;&gt;"",$D229&lt;&gt;""),IF(OR($B229="SER",$B229="PLH",$B229="CSF"),"Control NIH Plate "&amp;(INT(((COUNTIFS($B$2:$B229,"SER")+COUNTIFS($B$2:$B229,"PLH")+COUNTIFS($B$2:$B229,"CSF"))-1)/96)+1)&amp;": "&amp;CHAR(65+INT(MOD((COUNTIFS($B$2:$B229,"SER")+COUNTIFS($B$2:$B229,"PLH")+COUNTIFS($B$2:$B229,"CSF"))-1,96)/12))&amp;(MOD((COUNTIFS($B$2:$B229,"SER")+COUNTIFS($B$2:$B229,"PLH")+COUNTIFS($B$2:$B229,"CSF"))-1,12)+1),"N/A"),"")</f>
        <v/>
      </c>
      <c r="I229" s="6" t="str">
        <f>IF(AND($A229&lt;&gt;"",$B229&lt;&gt;"",$C229&lt;&gt;"",$D229&lt;&gt;""),IF(OR($B229="SER",$B229="PLH"),"Control MAX Planck Plate "&amp;(INT(((COUNTIFS($B$2:$B229,"SER")+COUNTIFS($B$2:$B229,"PLH"))-1)/96)+1)&amp;": "&amp;CHAR(65+INT(MOD((COUNTIFS($B$2:$B229,"SER")+COUNTIFS($B$2:$B229,"PLH"))-1,96)/12))&amp;(MOD((COUNTIFS($B$2:$B229,"SER")+COUNTIFS($B$2:$B229,"PLH"))-1,12)+1),"N/A"),"")</f>
        <v/>
      </c>
      <c r="J229" s="6" t="str">
        <f>IF(AND($A229&lt;&gt;"",$B229&lt;&gt;"",$C229&lt;&gt;"",$D229&lt;&gt;""),IF($B229="WB","Control WB Box "&amp;(INT((COUNTIFS($B$2:$B229,"WB")-1)/81)+1)&amp;": "&amp;CHAR(65+INT(MOD(COUNTIFS($B$2:$B229,"WB")-1,81)/9))&amp;(MOD(COUNTIFS($B$2:$B229,"WB")-1,9)+1),"N/A"),"")</f>
        <v/>
      </c>
      <c r="K229" s="3" t="str">
        <f t="shared" si="55"/>
        <v/>
      </c>
      <c r="L229" s="2"/>
      <c r="M229" s="2"/>
      <c r="N229" s="2"/>
      <c r="O229" s="7" t="str">
        <f t="shared" si="56"/>
        <v/>
      </c>
      <c r="P229" s="7" t="str">
        <f t="shared" si="57"/>
        <v/>
      </c>
      <c r="Q229" s="7" t="str">
        <f t="shared" si="58"/>
        <v/>
      </c>
      <c r="R229" s="7" t="str">
        <f t="shared" si="59"/>
        <v/>
      </c>
      <c r="S229" s="7" t="str">
        <f t="shared" si="60"/>
        <v/>
      </c>
      <c r="T229" s="7" t="str">
        <f t="shared" si="61"/>
        <v/>
      </c>
      <c r="U229" s="7" t="str">
        <f t="shared" si="62"/>
        <v/>
      </c>
      <c r="V229" s="7" t="str">
        <f t="shared" si="63"/>
        <v/>
      </c>
      <c r="W229" s="7" t="str">
        <f t="shared" si="64"/>
        <v/>
      </c>
      <c r="X229" s="7" t="str">
        <f t="shared" si="65"/>
        <v/>
      </c>
      <c r="Y229">
        <f t="shared" si="66"/>
        <v>0</v>
      </c>
      <c r="Z229" t="str">
        <f t="shared" si="67"/>
        <v/>
      </c>
      <c r="AA229" t="str">
        <f t="shared" si="68"/>
        <v/>
      </c>
      <c r="AB229" t="str">
        <f t="shared" si="69"/>
        <v/>
      </c>
      <c r="AC229" t="str">
        <f t="shared" si="70"/>
        <v/>
      </c>
      <c r="AD229">
        <f t="shared" si="71"/>
        <v>0</v>
      </c>
    </row>
    <row r="230" spans="1:30" ht="15" customHeight="1" x14ac:dyDescent="0.35">
      <c r="A230" s="2"/>
      <c r="B230" s="3"/>
      <c r="C230" s="4"/>
      <c r="D230" s="5"/>
      <c r="E230" s="11" t="str">
        <f t="shared" ca="1" si="54"/>
        <v/>
      </c>
      <c r="F230" s="5"/>
      <c r="G230" s="6" t="str">
        <f>IF(AND($A230&lt;&gt;"",$B230&lt;&gt;"",$C230&lt;&gt;"",$D230&lt;&gt;""),IF(OR($B230="SER",$B230="PLH",$B230="CSF"),"Control CDI Plate "&amp;(INT(((COUNTIFS($B$2:$B230,"SER")+COUNTIFS($B$2:$B230,"PLH")+COUNTIFS($B$2:$B230,"CSF"))-1)/96)+1)&amp;": "&amp;CHAR(65+INT(MOD((COUNTIFS($B$2:$B230,"SER")+COUNTIFS($B$2:$B230,"PLH")+COUNTIFS($B$2:$B230,"CSF"))-1,96)/12))&amp;(MOD((COUNTIFS($B$2:$B230,"SER")+COUNTIFS($B$2:$B230,"PLH")+COUNTIFS($B$2:$B230,"CSF"))-1,12)+1),"N/A"),"")</f>
        <v/>
      </c>
      <c r="H230" s="6" t="str">
        <f>IF(AND($A230&lt;&gt;"",$B230&lt;&gt;"",$C230&lt;&gt;"",$D230&lt;&gt;""),IF(OR($B230="SER",$B230="PLH",$B230="CSF"),"Control NIH Plate "&amp;(INT(((COUNTIFS($B$2:$B230,"SER")+COUNTIFS($B$2:$B230,"PLH")+COUNTIFS($B$2:$B230,"CSF"))-1)/96)+1)&amp;": "&amp;CHAR(65+INT(MOD((COUNTIFS($B$2:$B230,"SER")+COUNTIFS($B$2:$B230,"PLH")+COUNTIFS($B$2:$B230,"CSF"))-1,96)/12))&amp;(MOD((COUNTIFS($B$2:$B230,"SER")+COUNTIFS($B$2:$B230,"PLH")+COUNTIFS($B$2:$B230,"CSF"))-1,12)+1),"N/A"),"")</f>
        <v/>
      </c>
      <c r="I230" s="6" t="str">
        <f>IF(AND($A230&lt;&gt;"",$B230&lt;&gt;"",$C230&lt;&gt;"",$D230&lt;&gt;""),IF(OR($B230="SER",$B230="PLH"),"Control MAX Planck Plate "&amp;(INT(((COUNTIFS($B$2:$B230,"SER")+COUNTIFS($B$2:$B230,"PLH"))-1)/96)+1)&amp;": "&amp;CHAR(65+INT(MOD((COUNTIFS($B$2:$B230,"SER")+COUNTIFS($B$2:$B230,"PLH"))-1,96)/12))&amp;(MOD((COUNTIFS($B$2:$B230,"SER")+COUNTIFS($B$2:$B230,"PLH"))-1,12)+1),"N/A"),"")</f>
        <v/>
      </c>
      <c r="J230" s="6" t="str">
        <f>IF(AND($A230&lt;&gt;"",$B230&lt;&gt;"",$C230&lt;&gt;"",$D230&lt;&gt;""),IF($B230="WB","Control WB Box "&amp;(INT((COUNTIFS($B$2:$B230,"WB")-1)/81)+1)&amp;": "&amp;CHAR(65+INT(MOD(COUNTIFS($B$2:$B230,"WB")-1,81)/9))&amp;(MOD(COUNTIFS($B$2:$B230,"WB")-1,9)+1),"N/A"),"")</f>
        <v/>
      </c>
      <c r="K230" s="3" t="str">
        <f t="shared" si="55"/>
        <v/>
      </c>
      <c r="L230" s="2"/>
      <c r="M230" s="2"/>
      <c r="N230" s="2"/>
      <c r="O230" s="7" t="str">
        <f t="shared" si="56"/>
        <v/>
      </c>
      <c r="P230" s="7" t="str">
        <f t="shared" si="57"/>
        <v/>
      </c>
      <c r="Q230" s="7" t="str">
        <f t="shared" si="58"/>
        <v/>
      </c>
      <c r="R230" s="7" t="str">
        <f t="shared" si="59"/>
        <v/>
      </c>
      <c r="S230" s="7" t="str">
        <f t="shared" si="60"/>
        <v/>
      </c>
      <c r="T230" s="7" t="str">
        <f t="shared" si="61"/>
        <v/>
      </c>
      <c r="U230" s="7" t="str">
        <f t="shared" si="62"/>
        <v/>
      </c>
      <c r="V230" s="7" t="str">
        <f t="shared" si="63"/>
        <v/>
      </c>
      <c r="W230" s="7" t="str">
        <f t="shared" si="64"/>
        <v/>
      </c>
      <c r="X230" s="7" t="str">
        <f t="shared" si="65"/>
        <v/>
      </c>
      <c r="Y230">
        <f t="shared" si="66"/>
        <v>0</v>
      </c>
      <c r="Z230" t="str">
        <f t="shared" si="67"/>
        <v/>
      </c>
      <c r="AA230" t="str">
        <f t="shared" si="68"/>
        <v/>
      </c>
      <c r="AB230" t="str">
        <f t="shared" si="69"/>
        <v/>
      </c>
      <c r="AC230" t="str">
        <f t="shared" si="70"/>
        <v/>
      </c>
      <c r="AD230">
        <f t="shared" si="71"/>
        <v>0</v>
      </c>
    </row>
    <row r="231" spans="1:30" ht="15" customHeight="1" x14ac:dyDescent="0.35">
      <c r="A231" s="2"/>
      <c r="B231" s="3"/>
      <c r="C231" s="4"/>
      <c r="D231" s="5"/>
      <c r="E231" s="11" t="str">
        <f t="shared" ca="1" si="54"/>
        <v/>
      </c>
      <c r="F231" s="5"/>
      <c r="G231" s="6" t="str">
        <f>IF(AND($A231&lt;&gt;"",$B231&lt;&gt;"",$C231&lt;&gt;"",$D231&lt;&gt;""),IF(OR($B231="SER",$B231="PLH",$B231="CSF"),"Control CDI Plate "&amp;(INT(((COUNTIFS($B$2:$B231,"SER")+COUNTIFS($B$2:$B231,"PLH")+COUNTIFS($B$2:$B231,"CSF"))-1)/96)+1)&amp;": "&amp;CHAR(65+INT(MOD((COUNTIFS($B$2:$B231,"SER")+COUNTIFS($B$2:$B231,"PLH")+COUNTIFS($B$2:$B231,"CSF"))-1,96)/12))&amp;(MOD((COUNTIFS($B$2:$B231,"SER")+COUNTIFS($B$2:$B231,"PLH")+COUNTIFS($B$2:$B231,"CSF"))-1,12)+1),"N/A"),"")</f>
        <v/>
      </c>
      <c r="H231" s="6" t="str">
        <f>IF(AND($A231&lt;&gt;"",$B231&lt;&gt;"",$C231&lt;&gt;"",$D231&lt;&gt;""),IF(OR($B231="SER",$B231="PLH",$B231="CSF"),"Control NIH Plate "&amp;(INT(((COUNTIFS($B$2:$B231,"SER")+COUNTIFS($B$2:$B231,"PLH")+COUNTIFS($B$2:$B231,"CSF"))-1)/96)+1)&amp;": "&amp;CHAR(65+INT(MOD((COUNTIFS($B$2:$B231,"SER")+COUNTIFS($B$2:$B231,"PLH")+COUNTIFS($B$2:$B231,"CSF"))-1,96)/12))&amp;(MOD((COUNTIFS($B$2:$B231,"SER")+COUNTIFS($B$2:$B231,"PLH")+COUNTIFS($B$2:$B231,"CSF"))-1,12)+1),"N/A"),"")</f>
        <v/>
      </c>
      <c r="I231" s="6" t="str">
        <f>IF(AND($A231&lt;&gt;"",$B231&lt;&gt;"",$C231&lt;&gt;"",$D231&lt;&gt;""),IF(OR($B231="SER",$B231="PLH"),"Control MAX Planck Plate "&amp;(INT(((COUNTIFS($B$2:$B231,"SER")+COUNTIFS($B$2:$B231,"PLH"))-1)/96)+1)&amp;": "&amp;CHAR(65+INT(MOD((COUNTIFS($B$2:$B231,"SER")+COUNTIFS($B$2:$B231,"PLH"))-1,96)/12))&amp;(MOD((COUNTIFS($B$2:$B231,"SER")+COUNTIFS($B$2:$B231,"PLH"))-1,12)+1),"N/A"),"")</f>
        <v/>
      </c>
      <c r="J231" s="6" t="str">
        <f>IF(AND($A231&lt;&gt;"",$B231&lt;&gt;"",$C231&lt;&gt;"",$D231&lt;&gt;""),IF($B231="WB","Control WB Box "&amp;(INT((COUNTIFS($B$2:$B231,"WB")-1)/81)+1)&amp;": "&amp;CHAR(65+INT(MOD(COUNTIFS($B$2:$B231,"WB")-1,81)/9))&amp;(MOD(COUNTIFS($B$2:$B231,"WB")-1,9)+1),"N/A"),"")</f>
        <v/>
      </c>
      <c r="K231" s="3" t="str">
        <f t="shared" si="55"/>
        <v/>
      </c>
      <c r="L231" s="2"/>
      <c r="M231" s="2"/>
      <c r="N231" s="2"/>
      <c r="O231" s="7" t="str">
        <f t="shared" si="56"/>
        <v/>
      </c>
      <c r="P231" s="7" t="str">
        <f t="shared" si="57"/>
        <v/>
      </c>
      <c r="Q231" s="7" t="str">
        <f t="shared" si="58"/>
        <v/>
      </c>
      <c r="R231" s="7" t="str">
        <f t="shared" si="59"/>
        <v/>
      </c>
      <c r="S231" s="7" t="str">
        <f t="shared" si="60"/>
        <v/>
      </c>
      <c r="T231" s="7" t="str">
        <f t="shared" si="61"/>
        <v/>
      </c>
      <c r="U231" s="7" t="str">
        <f t="shared" si="62"/>
        <v/>
      </c>
      <c r="V231" s="7" t="str">
        <f t="shared" si="63"/>
        <v/>
      </c>
      <c r="W231" s="7" t="str">
        <f t="shared" si="64"/>
        <v/>
      </c>
      <c r="X231" s="7" t="str">
        <f t="shared" si="65"/>
        <v/>
      </c>
      <c r="Y231">
        <f t="shared" si="66"/>
        <v>0</v>
      </c>
      <c r="Z231" t="str">
        <f t="shared" si="67"/>
        <v/>
      </c>
      <c r="AA231" t="str">
        <f t="shared" si="68"/>
        <v/>
      </c>
      <c r="AB231" t="str">
        <f t="shared" si="69"/>
        <v/>
      </c>
      <c r="AC231" t="str">
        <f t="shared" si="70"/>
        <v/>
      </c>
      <c r="AD231">
        <f t="shared" si="71"/>
        <v>0</v>
      </c>
    </row>
    <row r="232" spans="1:30" ht="15" customHeight="1" x14ac:dyDescent="0.35">
      <c r="A232" s="2"/>
      <c r="B232" s="3"/>
      <c r="C232" s="4"/>
      <c r="D232" s="5"/>
      <c r="E232" s="11" t="str">
        <f t="shared" ca="1" si="54"/>
        <v/>
      </c>
      <c r="F232" s="5"/>
      <c r="G232" s="6" t="str">
        <f>IF(AND($A232&lt;&gt;"",$B232&lt;&gt;"",$C232&lt;&gt;"",$D232&lt;&gt;""),IF(OR($B232="SER",$B232="PLH",$B232="CSF"),"Control CDI Plate "&amp;(INT(((COUNTIFS($B$2:$B232,"SER")+COUNTIFS($B$2:$B232,"PLH")+COUNTIFS($B$2:$B232,"CSF"))-1)/96)+1)&amp;": "&amp;CHAR(65+INT(MOD((COUNTIFS($B$2:$B232,"SER")+COUNTIFS($B$2:$B232,"PLH")+COUNTIFS($B$2:$B232,"CSF"))-1,96)/12))&amp;(MOD((COUNTIFS($B$2:$B232,"SER")+COUNTIFS($B$2:$B232,"PLH")+COUNTIFS($B$2:$B232,"CSF"))-1,12)+1),"N/A"),"")</f>
        <v/>
      </c>
      <c r="H232" s="6" t="str">
        <f>IF(AND($A232&lt;&gt;"",$B232&lt;&gt;"",$C232&lt;&gt;"",$D232&lt;&gt;""),IF(OR($B232="SER",$B232="PLH",$B232="CSF"),"Control NIH Plate "&amp;(INT(((COUNTIFS($B$2:$B232,"SER")+COUNTIFS($B$2:$B232,"PLH")+COUNTIFS($B$2:$B232,"CSF"))-1)/96)+1)&amp;": "&amp;CHAR(65+INT(MOD((COUNTIFS($B$2:$B232,"SER")+COUNTIFS($B$2:$B232,"PLH")+COUNTIFS($B$2:$B232,"CSF"))-1,96)/12))&amp;(MOD((COUNTIFS($B$2:$B232,"SER")+COUNTIFS($B$2:$B232,"PLH")+COUNTIFS($B$2:$B232,"CSF"))-1,12)+1),"N/A"),"")</f>
        <v/>
      </c>
      <c r="I232" s="6" t="str">
        <f>IF(AND($A232&lt;&gt;"",$B232&lt;&gt;"",$C232&lt;&gt;"",$D232&lt;&gt;""),IF(OR($B232="SER",$B232="PLH"),"Control MAX Planck Plate "&amp;(INT(((COUNTIFS($B$2:$B232,"SER")+COUNTIFS($B$2:$B232,"PLH"))-1)/96)+1)&amp;": "&amp;CHAR(65+INT(MOD((COUNTIFS($B$2:$B232,"SER")+COUNTIFS($B$2:$B232,"PLH"))-1,96)/12))&amp;(MOD((COUNTIFS($B$2:$B232,"SER")+COUNTIFS($B$2:$B232,"PLH"))-1,12)+1),"N/A"),"")</f>
        <v/>
      </c>
      <c r="J232" s="6" t="str">
        <f>IF(AND($A232&lt;&gt;"",$B232&lt;&gt;"",$C232&lt;&gt;"",$D232&lt;&gt;""),IF($B232="WB","Control WB Box "&amp;(INT((COUNTIFS($B$2:$B232,"WB")-1)/81)+1)&amp;": "&amp;CHAR(65+INT(MOD(COUNTIFS($B$2:$B232,"WB")-1,81)/9))&amp;(MOD(COUNTIFS($B$2:$B232,"WB")-1,9)+1),"N/A"),"")</f>
        <v/>
      </c>
      <c r="K232" s="3" t="str">
        <f t="shared" si="55"/>
        <v/>
      </c>
      <c r="L232" s="2"/>
      <c r="M232" s="2"/>
      <c r="N232" s="2"/>
      <c r="O232" s="7" t="str">
        <f t="shared" si="56"/>
        <v/>
      </c>
      <c r="P232" s="7" t="str">
        <f t="shared" si="57"/>
        <v/>
      </c>
      <c r="Q232" s="7" t="str">
        <f t="shared" si="58"/>
        <v/>
      </c>
      <c r="R232" s="7" t="str">
        <f t="shared" si="59"/>
        <v/>
      </c>
      <c r="S232" s="7" t="str">
        <f t="shared" si="60"/>
        <v/>
      </c>
      <c r="T232" s="7" t="str">
        <f t="shared" si="61"/>
        <v/>
      </c>
      <c r="U232" s="7" t="str">
        <f t="shared" si="62"/>
        <v/>
      </c>
      <c r="V232" s="7" t="str">
        <f t="shared" si="63"/>
        <v/>
      </c>
      <c r="W232" s="7" t="str">
        <f t="shared" si="64"/>
        <v/>
      </c>
      <c r="X232" s="7" t="str">
        <f t="shared" si="65"/>
        <v/>
      </c>
      <c r="Y232">
        <f t="shared" si="66"/>
        <v>0</v>
      </c>
      <c r="Z232" t="str">
        <f t="shared" si="67"/>
        <v/>
      </c>
      <c r="AA232" t="str">
        <f t="shared" si="68"/>
        <v/>
      </c>
      <c r="AB232" t="str">
        <f t="shared" si="69"/>
        <v/>
      </c>
      <c r="AC232" t="str">
        <f t="shared" si="70"/>
        <v/>
      </c>
      <c r="AD232">
        <f t="shared" si="71"/>
        <v>0</v>
      </c>
    </row>
    <row r="233" spans="1:30" ht="15" customHeight="1" x14ac:dyDescent="0.35">
      <c r="A233" s="2"/>
      <c r="B233" s="3"/>
      <c r="C233" s="4"/>
      <c r="D233" s="5"/>
      <c r="E233" s="11" t="str">
        <f t="shared" ca="1" si="54"/>
        <v/>
      </c>
      <c r="F233" s="5"/>
      <c r="G233" s="6" t="str">
        <f>IF(AND($A233&lt;&gt;"",$B233&lt;&gt;"",$C233&lt;&gt;"",$D233&lt;&gt;""),IF(OR($B233="SER",$B233="PLH",$B233="CSF"),"Control CDI Plate "&amp;(INT(((COUNTIFS($B$2:$B233,"SER")+COUNTIFS($B$2:$B233,"PLH")+COUNTIFS($B$2:$B233,"CSF"))-1)/96)+1)&amp;": "&amp;CHAR(65+INT(MOD((COUNTIFS($B$2:$B233,"SER")+COUNTIFS($B$2:$B233,"PLH")+COUNTIFS($B$2:$B233,"CSF"))-1,96)/12))&amp;(MOD((COUNTIFS($B$2:$B233,"SER")+COUNTIFS($B$2:$B233,"PLH")+COUNTIFS($B$2:$B233,"CSF"))-1,12)+1),"N/A"),"")</f>
        <v/>
      </c>
      <c r="H233" s="6" t="str">
        <f>IF(AND($A233&lt;&gt;"",$B233&lt;&gt;"",$C233&lt;&gt;"",$D233&lt;&gt;""),IF(OR($B233="SER",$B233="PLH",$B233="CSF"),"Control NIH Plate "&amp;(INT(((COUNTIFS($B$2:$B233,"SER")+COUNTIFS($B$2:$B233,"PLH")+COUNTIFS($B$2:$B233,"CSF"))-1)/96)+1)&amp;": "&amp;CHAR(65+INT(MOD((COUNTIFS($B$2:$B233,"SER")+COUNTIFS($B$2:$B233,"PLH")+COUNTIFS($B$2:$B233,"CSF"))-1,96)/12))&amp;(MOD((COUNTIFS($B$2:$B233,"SER")+COUNTIFS($B$2:$B233,"PLH")+COUNTIFS($B$2:$B233,"CSF"))-1,12)+1),"N/A"),"")</f>
        <v/>
      </c>
      <c r="I233" s="6" t="str">
        <f>IF(AND($A233&lt;&gt;"",$B233&lt;&gt;"",$C233&lt;&gt;"",$D233&lt;&gt;""),IF(OR($B233="SER",$B233="PLH"),"Control MAX Planck Plate "&amp;(INT(((COUNTIFS($B$2:$B233,"SER")+COUNTIFS($B$2:$B233,"PLH"))-1)/96)+1)&amp;": "&amp;CHAR(65+INT(MOD((COUNTIFS($B$2:$B233,"SER")+COUNTIFS($B$2:$B233,"PLH"))-1,96)/12))&amp;(MOD((COUNTIFS($B$2:$B233,"SER")+COUNTIFS($B$2:$B233,"PLH"))-1,12)+1),"N/A"),"")</f>
        <v/>
      </c>
      <c r="J233" s="6" t="str">
        <f>IF(AND($A233&lt;&gt;"",$B233&lt;&gt;"",$C233&lt;&gt;"",$D233&lt;&gt;""),IF($B233="WB","Control WB Box "&amp;(INT((COUNTIFS($B$2:$B233,"WB")-1)/81)+1)&amp;": "&amp;CHAR(65+INT(MOD(COUNTIFS($B$2:$B233,"WB")-1,81)/9))&amp;(MOD(COUNTIFS($B$2:$B233,"WB")-1,9)+1),"N/A"),"")</f>
        <v/>
      </c>
      <c r="K233" s="3" t="str">
        <f t="shared" si="55"/>
        <v/>
      </c>
      <c r="L233" s="2"/>
      <c r="M233" s="2"/>
      <c r="N233" s="2"/>
      <c r="O233" s="7" t="str">
        <f t="shared" si="56"/>
        <v/>
      </c>
      <c r="P233" s="7" t="str">
        <f t="shared" si="57"/>
        <v/>
      </c>
      <c r="Q233" s="7" t="str">
        <f t="shared" si="58"/>
        <v/>
      </c>
      <c r="R233" s="7" t="str">
        <f t="shared" si="59"/>
        <v/>
      </c>
      <c r="S233" s="7" t="str">
        <f t="shared" si="60"/>
        <v/>
      </c>
      <c r="T233" s="7" t="str">
        <f t="shared" si="61"/>
        <v/>
      </c>
      <c r="U233" s="7" t="str">
        <f t="shared" si="62"/>
        <v/>
      </c>
      <c r="V233" s="7" t="str">
        <f t="shared" si="63"/>
        <v/>
      </c>
      <c r="W233" s="7" t="str">
        <f t="shared" si="64"/>
        <v/>
      </c>
      <c r="X233" s="7" t="str">
        <f t="shared" si="65"/>
        <v/>
      </c>
      <c r="Y233">
        <f t="shared" si="66"/>
        <v>0</v>
      </c>
      <c r="Z233" t="str">
        <f t="shared" si="67"/>
        <v/>
      </c>
      <c r="AA233" t="str">
        <f t="shared" si="68"/>
        <v/>
      </c>
      <c r="AB233" t="str">
        <f t="shared" si="69"/>
        <v/>
      </c>
      <c r="AC233" t="str">
        <f t="shared" si="70"/>
        <v/>
      </c>
      <c r="AD233">
        <f t="shared" si="71"/>
        <v>0</v>
      </c>
    </row>
    <row r="234" spans="1:30" ht="15" customHeight="1" x14ac:dyDescent="0.35">
      <c r="A234" s="2"/>
      <c r="B234" s="3"/>
      <c r="C234" s="4"/>
      <c r="D234" s="5"/>
      <c r="E234" s="11" t="str">
        <f t="shared" ca="1" si="54"/>
        <v/>
      </c>
      <c r="F234" s="5"/>
      <c r="G234" s="6" t="str">
        <f>IF(AND($A234&lt;&gt;"",$B234&lt;&gt;"",$C234&lt;&gt;"",$D234&lt;&gt;""),IF(OR($B234="SER",$B234="PLH",$B234="CSF"),"Control CDI Plate "&amp;(INT(((COUNTIFS($B$2:$B234,"SER")+COUNTIFS($B$2:$B234,"PLH")+COUNTIFS($B$2:$B234,"CSF"))-1)/96)+1)&amp;": "&amp;CHAR(65+INT(MOD((COUNTIFS($B$2:$B234,"SER")+COUNTIFS($B$2:$B234,"PLH")+COUNTIFS($B$2:$B234,"CSF"))-1,96)/12))&amp;(MOD((COUNTIFS($B$2:$B234,"SER")+COUNTIFS($B$2:$B234,"PLH")+COUNTIFS($B$2:$B234,"CSF"))-1,12)+1),"N/A"),"")</f>
        <v/>
      </c>
      <c r="H234" s="6" t="str">
        <f>IF(AND($A234&lt;&gt;"",$B234&lt;&gt;"",$C234&lt;&gt;"",$D234&lt;&gt;""),IF(OR($B234="SER",$B234="PLH",$B234="CSF"),"Control NIH Plate "&amp;(INT(((COUNTIFS($B$2:$B234,"SER")+COUNTIFS($B$2:$B234,"PLH")+COUNTIFS($B$2:$B234,"CSF"))-1)/96)+1)&amp;": "&amp;CHAR(65+INT(MOD((COUNTIFS($B$2:$B234,"SER")+COUNTIFS($B$2:$B234,"PLH")+COUNTIFS($B$2:$B234,"CSF"))-1,96)/12))&amp;(MOD((COUNTIFS($B$2:$B234,"SER")+COUNTIFS($B$2:$B234,"PLH")+COUNTIFS($B$2:$B234,"CSF"))-1,12)+1),"N/A"),"")</f>
        <v/>
      </c>
      <c r="I234" s="6" t="str">
        <f>IF(AND($A234&lt;&gt;"",$B234&lt;&gt;"",$C234&lt;&gt;"",$D234&lt;&gt;""),IF(OR($B234="SER",$B234="PLH"),"Control MAX Planck Plate "&amp;(INT(((COUNTIFS($B$2:$B234,"SER")+COUNTIFS($B$2:$B234,"PLH"))-1)/96)+1)&amp;": "&amp;CHAR(65+INT(MOD((COUNTIFS($B$2:$B234,"SER")+COUNTIFS($B$2:$B234,"PLH"))-1,96)/12))&amp;(MOD((COUNTIFS($B$2:$B234,"SER")+COUNTIFS($B$2:$B234,"PLH"))-1,12)+1),"N/A"),"")</f>
        <v/>
      </c>
      <c r="J234" s="6" t="str">
        <f>IF(AND($A234&lt;&gt;"",$B234&lt;&gt;"",$C234&lt;&gt;"",$D234&lt;&gt;""),IF($B234="WB","Control WB Box "&amp;(INT((COUNTIFS($B$2:$B234,"WB")-1)/81)+1)&amp;": "&amp;CHAR(65+INT(MOD(COUNTIFS($B$2:$B234,"WB")-1,81)/9))&amp;(MOD(COUNTIFS($B$2:$B234,"WB")-1,9)+1),"N/A"),"")</f>
        <v/>
      </c>
      <c r="K234" s="3" t="str">
        <f t="shared" si="55"/>
        <v/>
      </c>
      <c r="L234" s="2"/>
      <c r="M234" s="2"/>
      <c r="N234" s="2"/>
      <c r="O234" s="7" t="str">
        <f t="shared" si="56"/>
        <v/>
      </c>
      <c r="P234" s="7" t="str">
        <f t="shared" si="57"/>
        <v/>
      </c>
      <c r="Q234" s="7" t="str">
        <f t="shared" si="58"/>
        <v/>
      </c>
      <c r="R234" s="7" t="str">
        <f t="shared" si="59"/>
        <v/>
      </c>
      <c r="S234" s="7" t="str">
        <f t="shared" si="60"/>
        <v/>
      </c>
      <c r="T234" s="7" t="str">
        <f t="shared" si="61"/>
        <v/>
      </c>
      <c r="U234" s="7" t="str">
        <f t="shared" si="62"/>
        <v/>
      </c>
      <c r="V234" s="7" t="str">
        <f t="shared" si="63"/>
        <v/>
      </c>
      <c r="W234" s="7" t="str">
        <f t="shared" si="64"/>
        <v/>
      </c>
      <c r="X234" s="7" t="str">
        <f t="shared" si="65"/>
        <v/>
      </c>
      <c r="Y234">
        <f t="shared" si="66"/>
        <v>0</v>
      </c>
      <c r="Z234" t="str">
        <f t="shared" si="67"/>
        <v/>
      </c>
      <c r="AA234" t="str">
        <f t="shared" si="68"/>
        <v/>
      </c>
      <c r="AB234" t="str">
        <f t="shared" si="69"/>
        <v/>
      </c>
      <c r="AC234" t="str">
        <f t="shared" si="70"/>
        <v/>
      </c>
      <c r="AD234">
        <f t="shared" si="71"/>
        <v>0</v>
      </c>
    </row>
    <row r="235" spans="1:30" ht="15" customHeight="1" x14ac:dyDescent="0.35">
      <c r="A235" s="2"/>
      <c r="B235" s="3"/>
      <c r="C235" s="4"/>
      <c r="D235" s="5"/>
      <c r="E235" s="11" t="str">
        <f t="shared" ca="1" si="54"/>
        <v/>
      </c>
      <c r="F235" s="5"/>
      <c r="G235" s="6" t="str">
        <f>IF(AND($A235&lt;&gt;"",$B235&lt;&gt;"",$C235&lt;&gt;"",$D235&lt;&gt;""),IF(OR($B235="SER",$B235="PLH",$B235="CSF"),"Control CDI Plate "&amp;(INT(((COUNTIFS($B$2:$B235,"SER")+COUNTIFS($B$2:$B235,"PLH")+COUNTIFS($B$2:$B235,"CSF"))-1)/96)+1)&amp;": "&amp;CHAR(65+INT(MOD((COUNTIFS($B$2:$B235,"SER")+COUNTIFS($B$2:$B235,"PLH")+COUNTIFS($B$2:$B235,"CSF"))-1,96)/12))&amp;(MOD((COUNTIFS($B$2:$B235,"SER")+COUNTIFS($B$2:$B235,"PLH")+COUNTIFS($B$2:$B235,"CSF"))-1,12)+1),"N/A"),"")</f>
        <v/>
      </c>
      <c r="H235" s="6" t="str">
        <f>IF(AND($A235&lt;&gt;"",$B235&lt;&gt;"",$C235&lt;&gt;"",$D235&lt;&gt;""),IF(OR($B235="SER",$B235="PLH",$B235="CSF"),"Control NIH Plate "&amp;(INT(((COUNTIFS($B$2:$B235,"SER")+COUNTIFS($B$2:$B235,"PLH")+COUNTIFS($B$2:$B235,"CSF"))-1)/96)+1)&amp;": "&amp;CHAR(65+INT(MOD((COUNTIFS($B$2:$B235,"SER")+COUNTIFS($B$2:$B235,"PLH")+COUNTIFS($B$2:$B235,"CSF"))-1,96)/12))&amp;(MOD((COUNTIFS($B$2:$B235,"SER")+COUNTIFS($B$2:$B235,"PLH")+COUNTIFS($B$2:$B235,"CSF"))-1,12)+1),"N/A"),"")</f>
        <v/>
      </c>
      <c r="I235" s="6" t="str">
        <f>IF(AND($A235&lt;&gt;"",$B235&lt;&gt;"",$C235&lt;&gt;"",$D235&lt;&gt;""),IF(OR($B235="SER",$B235="PLH"),"Control MAX Planck Plate "&amp;(INT(((COUNTIFS($B$2:$B235,"SER")+COUNTIFS($B$2:$B235,"PLH"))-1)/96)+1)&amp;": "&amp;CHAR(65+INT(MOD((COUNTIFS($B$2:$B235,"SER")+COUNTIFS($B$2:$B235,"PLH"))-1,96)/12))&amp;(MOD((COUNTIFS($B$2:$B235,"SER")+COUNTIFS($B$2:$B235,"PLH"))-1,12)+1),"N/A"),"")</f>
        <v/>
      </c>
      <c r="J235" s="6" t="str">
        <f>IF(AND($A235&lt;&gt;"",$B235&lt;&gt;"",$C235&lt;&gt;"",$D235&lt;&gt;""),IF($B235="WB","Control WB Box "&amp;(INT((COUNTIFS($B$2:$B235,"WB")-1)/81)+1)&amp;": "&amp;CHAR(65+INT(MOD(COUNTIFS($B$2:$B235,"WB")-1,81)/9))&amp;(MOD(COUNTIFS($B$2:$B235,"WB")-1,9)+1),"N/A"),"")</f>
        <v/>
      </c>
      <c r="K235" s="3" t="str">
        <f t="shared" si="55"/>
        <v/>
      </c>
      <c r="L235" s="2"/>
      <c r="M235" s="2"/>
      <c r="N235" s="2"/>
      <c r="O235" s="7" t="str">
        <f t="shared" si="56"/>
        <v/>
      </c>
      <c r="P235" s="7" t="str">
        <f t="shared" si="57"/>
        <v/>
      </c>
      <c r="Q235" s="7" t="str">
        <f t="shared" si="58"/>
        <v/>
      </c>
      <c r="R235" s="7" t="str">
        <f t="shared" si="59"/>
        <v/>
      </c>
      <c r="S235" s="7" t="str">
        <f t="shared" si="60"/>
        <v/>
      </c>
      <c r="T235" s="7" t="str">
        <f t="shared" si="61"/>
        <v/>
      </c>
      <c r="U235" s="7" t="str">
        <f t="shared" si="62"/>
        <v/>
      </c>
      <c r="V235" s="7" t="str">
        <f t="shared" si="63"/>
        <v/>
      </c>
      <c r="W235" s="7" t="str">
        <f t="shared" si="64"/>
        <v/>
      </c>
      <c r="X235" s="7" t="str">
        <f t="shared" si="65"/>
        <v/>
      </c>
      <c r="Y235">
        <f t="shared" si="66"/>
        <v>0</v>
      </c>
      <c r="Z235" t="str">
        <f t="shared" si="67"/>
        <v/>
      </c>
      <c r="AA235" t="str">
        <f t="shared" si="68"/>
        <v/>
      </c>
      <c r="AB235" t="str">
        <f t="shared" si="69"/>
        <v/>
      </c>
      <c r="AC235" t="str">
        <f t="shared" si="70"/>
        <v/>
      </c>
      <c r="AD235">
        <f t="shared" si="71"/>
        <v>0</v>
      </c>
    </row>
    <row r="236" spans="1:30" ht="15" customHeight="1" x14ac:dyDescent="0.35">
      <c r="A236" s="2"/>
      <c r="B236" s="3"/>
      <c r="C236" s="4"/>
      <c r="D236" s="5"/>
      <c r="E236" s="11" t="str">
        <f t="shared" ca="1" si="54"/>
        <v/>
      </c>
      <c r="F236" s="5"/>
      <c r="G236" s="6" t="str">
        <f>IF(AND($A236&lt;&gt;"",$B236&lt;&gt;"",$C236&lt;&gt;"",$D236&lt;&gt;""),IF(OR($B236="SER",$B236="PLH",$B236="CSF"),"Control CDI Plate "&amp;(INT(((COUNTIFS($B$2:$B236,"SER")+COUNTIFS($B$2:$B236,"PLH")+COUNTIFS($B$2:$B236,"CSF"))-1)/96)+1)&amp;": "&amp;CHAR(65+INT(MOD((COUNTIFS($B$2:$B236,"SER")+COUNTIFS($B$2:$B236,"PLH")+COUNTIFS($B$2:$B236,"CSF"))-1,96)/12))&amp;(MOD((COUNTIFS($B$2:$B236,"SER")+COUNTIFS($B$2:$B236,"PLH")+COUNTIFS($B$2:$B236,"CSF"))-1,12)+1),"N/A"),"")</f>
        <v/>
      </c>
      <c r="H236" s="6" t="str">
        <f>IF(AND($A236&lt;&gt;"",$B236&lt;&gt;"",$C236&lt;&gt;"",$D236&lt;&gt;""),IF(OR($B236="SER",$B236="PLH",$B236="CSF"),"Control NIH Plate "&amp;(INT(((COUNTIFS($B$2:$B236,"SER")+COUNTIFS($B$2:$B236,"PLH")+COUNTIFS($B$2:$B236,"CSF"))-1)/96)+1)&amp;": "&amp;CHAR(65+INT(MOD((COUNTIFS($B$2:$B236,"SER")+COUNTIFS($B$2:$B236,"PLH")+COUNTIFS($B$2:$B236,"CSF"))-1,96)/12))&amp;(MOD((COUNTIFS($B$2:$B236,"SER")+COUNTIFS($B$2:$B236,"PLH")+COUNTIFS($B$2:$B236,"CSF"))-1,12)+1),"N/A"),"")</f>
        <v/>
      </c>
      <c r="I236" s="6" t="str">
        <f>IF(AND($A236&lt;&gt;"",$B236&lt;&gt;"",$C236&lt;&gt;"",$D236&lt;&gt;""),IF(OR($B236="SER",$B236="PLH"),"Control MAX Planck Plate "&amp;(INT(((COUNTIFS($B$2:$B236,"SER")+COUNTIFS($B$2:$B236,"PLH"))-1)/96)+1)&amp;": "&amp;CHAR(65+INT(MOD((COUNTIFS($B$2:$B236,"SER")+COUNTIFS($B$2:$B236,"PLH"))-1,96)/12))&amp;(MOD((COUNTIFS($B$2:$B236,"SER")+COUNTIFS($B$2:$B236,"PLH"))-1,12)+1),"N/A"),"")</f>
        <v/>
      </c>
      <c r="J236" s="6" t="str">
        <f>IF(AND($A236&lt;&gt;"",$B236&lt;&gt;"",$C236&lt;&gt;"",$D236&lt;&gt;""),IF($B236="WB","Control WB Box "&amp;(INT((COUNTIFS($B$2:$B236,"WB")-1)/81)+1)&amp;": "&amp;CHAR(65+INT(MOD(COUNTIFS($B$2:$B236,"WB")-1,81)/9))&amp;(MOD(COUNTIFS($B$2:$B236,"WB")-1,9)+1),"N/A"),"")</f>
        <v/>
      </c>
      <c r="K236" s="3" t="str">
        <f t="shared" si="55"/>
        <v/>
      </c>
      <c r="L236" s="2"/>
      <c r="M236" s="2"/>
      <c r="N236" s="2"/>
      <c r="O236" s="7" t="str">
        <f t="shared" si="56"/>
        <v/>
      </c>
      <c r="P236" s="7" t="str">
        <f t="shared" si="57"/>
        <v/>
      </c>
      <c r="Q236" s="7" t="str">
        <f t="shared" si="58"/>
        <v/>
      </c>
      <c r="R236" s="7" t="str">
        <f t="shared" si="59"/>
        <v/>
      </c>
      <c r="S236" s="7" t="str">
        <f t="shared" si="60"/>
        <v/>
      </c>
      <c r="T236" s="7" t="str">
        <f t="shared" si="61"/>
        <v/>
      </c>
      <c r="U236" s="7" t="str">
        <f t="shared" si="62"/>
        <v/>
      </c>
      <c r="V236" s="7" t="str">
        <f t="shared" si="63"/>
        <v/>
      </c>
      <c r="W236" s="7" t="str">
        <f t="shared" si="64"/>
        <v/>
      </c>
      <c r="X236" s="7" t="str">
        <f t="shared" si="65"/>
        <v/>
      </c>
      <c r="Y236">
        <f t="shared" si="66"/>
        <v>0</v>
      </c>
      <c r="Z236" t="str">
        <f t="shared" si="67"/>
        <v/>
      </c>
      <c r="AA236" t="str">
        <f t="shared" si="68"/>
        <v/>
      </c>
      <c r="AB236" t="str">
        <f t="shared" si="69"/>
        <v/>
      </c>
      <c r="AC236" t="str">
        <f t="shared" si="70"/>
        <v/>
      </c>
      <c r="AD236">
        <f t="shared" si="71"/>
        <v>0</v>
      </c>
    </row>
    <row r="237" spans="1:30" ht="15" customHeight="1" x14ac:dyDescent="0.35">
      <c r="A237" s="2"/>
      <c r="B237" s="3"/>
      <c r="C237" s="4"/>
      <c r="D237" s="5"/>
      <c r="E237" s="11" t="str">
        <f t="shared" ca="1" si="54"/>
        <v/>
      </c>
      <c r="F237" s="5"/>
      <c r="G237" s="6" t="str">
        <f>IF(AND($A237&lt;&gt;"",$B237&lt;&gt;"",$C237&lt;&gt;"",$D237&lt;&gt;""),IF(OR($B237="SER",$B237="PLH",$B237="CSF"),"Control CDI Plate "&amp;(INT(((COUNTIFS($B$2:$B237,"SER")+COUNTIFS($B$2:$B237,"PLH")+COUNTIFS($B$2:$B237,"CSF"))-1)/96)+1)&amp;": "&amp;CHAR(65+INT(MOD((COUNTIFS($B$2:$B237,"SER")+COUNTIFS($B$2:$B237,"PLH")+COUNTIFS($B$2:$B237,"CSF"))-1,96)/12))&amp;(MOD((COUNTIFS($B$2:$B237,"SER")+COUNTIFS($B$2:$B237,"PLH")+COUNTIFS($B$2:$B237,"CSF"))-1,12)+1),"N/A"),"")</f>
        <v/>
      </c>
      <c r="H237" s="6" t="str">
        <f>IF(AND($A237&lt;&gt;"",$B237&lt;&gt;"",$C237&lt;&gt;"",$D237&lt;&gt;""),IF(OR($B237="SER",$B237="PLH",$B237="CSF"),"Control NIH Plate "&amp;(INT(((COUNTIFS($B$2:$B237,"SER")+COUNTIFS($B$2:$B237,"PLH")+COUNTIFS($B$2:$B237,"CSF"))-1)/96)+1)&amp;": "&amp;CHAR(65+INT(MOD((COUNTIFS($B$2:$B237,"SER")+COUNTIFS($B$2:$B237,"PLH")+COUNTIFS($B$2:$B237,"CSF"))-1,96)/12))&amp;(MOD((COUNTIFS($B$2:$B237,"SER")+COUNTIFS($B$2:$B237,"PLH")+COUNTIFS($B$2:$B237,"CSF"))-1,12)+1),"N/A"),"")</f>
        <v/>
      </c>
      <c r="I237" s="6" t="str">
        <f>IF(AND($A237&lt;&gt;"",$B237&lt;&gt;"",$C237&lt;&gt;"",$D237&lt;&gt;""),IF(OR($B237="SER",$B237="PLH"),"Control MAX Planck Plate "&amp;(INT(((COUNTIFS($B$2:$B237,"SER")+COUNTIFS($B$2:$B237,"PLH"))-1)/96)+1)&amp;": "&amp;CHAR(65+INT(MOD((COUNTIFS($B$2:$B237,"SER")+COUNTIFS($B$2:$B237,"PLH"))-1,96)/12))&amp;(MOD((COUNTIFS($B$2:$B237,"SER")+COUNTIFS($B$2:$B237,"PLH"))-1,12)+1),"N/A"),"")</f>
        <v/>
      </c>
      <c r="J237" s="6" t="str">
        <f>IF(AND($A237&lt;&gt;"",$B237&lt;&gt;"",$C237&lt;&gt;"",$D237&lt;&gt;""),IF($B237="WB","Control WB Box "&amp;(INT((COUNTIFS($B$2:$B237,"WB")-1)/81)+1)&amp;": "&amp;CHAR(65+INT(MOD(COUNTIFS($B$2:$B237,"WB")-1,81)/9))&amp;(MOD(COUNTIFS($B$2:$B237,"WB")-1,9)+1),"N/A"),"")</f>
        <v/>
      </c>
      <c r="K237" s="3" t="str">
        <f t="shared" si="55"/>
        <v/>
      </c>
      <c r="L237" s="2"/>
      <c r="M237" s="2"/>
      <c r="N237" s="2"/>
      <c r="O237" s="7" t="str">
        <f t="shared" si="56"/>
        <v/>
      </c>
      <c r="P237" s="7" t="str">
        <f t="shared" si="57"/>
        <v/>
      </c>
      <c r="Q237" s="7" t="str">
        <f t="shared" si="58"/>
        <v/>
      </c>
      <c r="R237" s="7" t="str">
        <f t="shared" si="59"/>
        <v/>
      </c>
      <c r="S237" s="7" t="str">
        <f t="shared" si="60"/>
        <v/>
      </c>
      <c r="T237" s="7" t="str">
        <f t="shared" si="61"/>
        <v/>
      </c>
      <c r="U237" s="7" t="str">
        <f t="shared" si="62"/>
        <v/>
      </c>
      <c r="V237" s="7" t="str">
        <f t="shared" si="63"/>
        <v/>
      </c>
      <c r="W237" s="7" t="str">
        <f t="shared" si="64"/>
        <v/>
      </c>
      <c r="X237" s="7" t="str">
        <f t="shared" si="65"/>
        <v/>
      </c>
      <c r="Y237">
        <f t="shared" si="66"/>
        <v>0</v>
      </c>
      <c r="Z237" t="str">
        <f t="shared" si="67"/>
        <v/>
      </c>
      <c r="AA237" t="str">
        <f t="shared" si="68"/>
        <v/>
      </c>
      <c r="AB237" t="str">
        <f t="shared" si="69"/>
        <v/>
      </c>
      <c r="AC237" t="str">
        <f t="shared" si="70"/>
        <v/>
      </c>
      <c r="AD237">
        <f t="shared" si="71"/>
        <v>0</v>
      </c>
    </row>
    <row r="238" spans="1:30" ht="15" customHeight="1" x14ac:dyDescent="0.35">
      <c r="A238" s="2"/>
      <c r="B238" s="3"/>
      <c r="C238" s="4"/>
      <c r="D238" s="5"/>
      <c r="E238" s="11" t="str">
        <f t="shared" ca="1" si="54"/>
        <v/>
      </c>
      <c r="F238" s="5"/>
      <c r="G238" s="6" t="str">
        <f>IF(AND($A238&lt;&gt;"",$B238&lt;&gt;"",$C238&lt;&gt;"",$D238&lt;&gt;""),IF(OR($B238="SER",$B238="PLH",$B238="CSF"),"Control CDI Plate "&amp;(INT(((COUNTIFS($B$2:$B238,"SER")+COUNTIFS($B$2:$B238,"PLH")+COUNTIFS($B$2:$B238,"CSF"))-1)/96)+1)&amp;": "&amp;CHAR(65+INT(MOD((COUNTIFS($B$2:$B238,"SER")+COUNTIFS($B$2:$B238,"PLH")+COUNTIFS($B$2:$B238,"CSF"))-1,96)/12))&amp;(MOD((COUNTIFS($B$2:$B238,"SER")+COUNTIFS($B$2:$B238,"PLH")+COUNTIFS($B$2:$B238,"CSF"))-1,12)+1),"N/A"),"")</f>
        <v/>
      </c>
      <c r="H238" s="6" t="str">
        <f>IF(AND($A238&lt;&gt;"",$B238&lt;&gt;"",$C238&lt;&gt;"",$D238&lt;&gt;""),IF(OR($B238="SER",$B238="PLH",$B238="CSF"),"Control NIH Plate "&amp;(INT(((COUNTIFS($B$2:$B238,"SER")+COUNTIFS($B$2:$B238,"PLH")+COUNTIFS($B$2:$B238,"CSF"))-1)/96)+1)&amp;": "&amp;CHAR(65+INT(MOD((COUNTIFS($B$2:$B238,"SER")+COUNTIFS($B$2:$B238,"PLH")+COUNTIFS($B$2:$B238,"CSF"))-1,96)/12))&amp;(MOD((COUNTIFS($B$2:$B238,"SER")+COUNTIFS($B$2:$B238,"PLH")+COUNTIFS($B$2:$B238,"CSF"))-1,12)+1),"N/A"),"")</f>
        <v/>
      </c>
      <c r="I238" s="6" t="str">
        <f>IF(AND($A238&lt;&gt;"",$B238&lt;&gt;"",$C238&lt;&gt;"",$D238&lt;&gt;""),IF(OR($B238="SER",$B238="PLH"),"Control MAX Planck Plate "&amp;(INT(((COUNTIFS($B$2:$B238,"SER")+COUNTIFS($B$2:$B238,"PLH"))-1)/96)+1)&amp;": "&amp;CHAR(65+INT(MOD((COUNTIFS($B$2:$B238,"SER")+COUNTIFS($B$2:$B238,"PLH"))-1,96)/12))&amp;(MOD((COUNTIFS($B$2:$B238,"SER")+COUNTIFS($B$2:$B238,"PLH"))-1,12)+1),"N/A"),"")</f>
        <v/>
      </c>
      <c r="J238" s="6" t="str">
        <f>IF(AND($A238&lt;&gt;"",$B238&lt;&gt;"",$C238&lt;&gt;"",$D238&lt;&gt;""),IF($B238="WB","Control WB Box "&amp;(INT((COUNTIFS($B$2:$B238,"WB")-1)/81)+1)&amp;": "&amp;CHAR(65+INT(MOD(COUNTIFS($B$2:$B238,"WB")-1,81)/9))&amp;(MOD(COUNTIFS($B$2:$B238,"WB")-1,9)+1),"N/A"),"")</f>
        <v/>
      </c>
      <c r="K238" s="3" t="str">
        <f t="shared" si="55"/>
        <v/>
      </c>
      <c r="L238" s="2"/>
      <c r="M238" s="2"/>
      <c r="N238" s="2"/>
      <c r="O238" s="7" t="str">
        <f t="shared" si="56"/>
        <v/>
      </c>
      <c r="P238" s="7" t="str">
        <f t="shared" si="57"/>
        <v/>
      </c>
      <c r="Q238" s="7" t="str">
        <f t="shared" si="58"/>
        <v/>
      </c>
      <c r="R238" s="7" t="str">
        <f t="shared" si="59"/>
        <v/>
      </c>
      <c r="S238" s="7" t="str">
        <f t="shared" si="60"/>
        <v/>
      </c>
      <c r="T238" s="7" t="str">
        <f t="shared" si="61"/>
        <v/>
      </c>
      <c r="U238" s="7" t="str">
        <f t="shared" si="62"/>
        <v/>
      </c>
      <c r="V238" s="7" t="str">
        <f t="shared" si="63"/>
        <v/>
      </c>
      <c r="W238" s="7" t="str">
        <f t="shared" si="64"/>
        <v/>
      </c>
      <c r="X238" s="7" t="str">
        <f t="shared" si="65"/>
        <v/>
      </c>
      <c r="Y238">
        <f t="shared" si="66"/>
        <v>0</v>
      </c>
      <c r="Z238" t="str">
        <f t="shared" si="67"/>
        <v/>
      </c>
      <c r="AA238" t="str">
        <f t="shared" si="68"/>
        <v/>
      </c>
      <c r="AB238" t="str">
        <f t="shared" si="69"/>
        <v/>
      </c>
      <c r="AC238" t="str">
        <f t="shared" si="70"/>
        <v/>
      </c>
      <c r="AD238">
        <f t="shared" si="71"/>
        <v>0</v>
      </c>
    </row>
    <row r="239" spans="1:30" ht="15" customHeight="1" x14ac:dyDescent="0.35">
      <c r="A239" s="2"/>
      <c r="B239" s="3"/>
      <c r="C239" s="4"/>
      <c r="D239" s="5"/>
      <c r="E239" s="11" t="str">
        <f t="shared" ca="1" si="54"/>
        <v/>
      </c>
      <c r="F239" s="5"/>
      <c r="G239" s="6" t="str">
        <f>IF(AND($A239&lt;&gt;"",$B239&lt;&gt;"",$C239&lt;&gt;"",$D239&lt;&gt;""),IF(OR($B239="SER",$B239="PLH",$B239="CSF"),"Control CDI Plate "&amp;(INT(((COUNTIFS($B$2:$B239,"SER")+COUNTIFS($B$2:$B239,"PLH")+COUNTIFS($B$2:$B239,"CSF"))-1)/96)+1)&amp;": "&amp;CHAR(65+INT(MOD((COUNTIFS($B$2:$B239,"SER")+COUNTIFS($B$2:$B239,"PLH")+COUNTIFS($B$2:$B239,"CSF"))-1,96)/12))&amp;(MOD((COUNTIFS($B$2:$B239,"SER")+COUNTIFS($B$2:$B239,"PLH")+COUNTIFS($B$2:$B239,"CSF"))-1,12)+1),"N/A"),"")</f>
        <v/>
      </c>
      <c r="H239" s="6" t="str">
        <f>IF(AND($A239&lt;&gt;"",$B239&lt;&gt;"",$C239&lt;&gt;"",$D239&lt;&gt;""),IF(OR($B239="SER",$B239="PLH",$B239="CSF"),"Control NIH Plate "&amp;(INT(((COUNTIFS($B$2:$B239,"SER")+COUNTIFS($B$2:$B239,"PLH")+COUNTIFS($B$2:$B239,"CSF"))-1)/96)+1)&amp;": "&amp;CHAR(65+INT(MOD((COUNTIFS($B$2:$B239,"SER")+COUNTIFS($B$2:$B239,"PLH")+COUNTIFS($B$2:$B239,"CSF"))-1,96)/12))&amp;(MOD((COUNTIFS($B$2:$B239,"SER")+COUNTIFS($B$2:$B239,"PLH")+COUNTIFS($B$2:$B239,"CSF"))-1,12)+1),"N/A"),"")</f>
        <v/>
      </c>
      <c r="I239" s="6" t="str">
        <f>IF(AND($A239&lt;&gt;"",$B239&lt;&gt;"",$C239&lt;&gt;"",$D239&lt;&gt;""),IF(OR($B239="SER",$B239="PLH"),"Control MAX Planck Plate "&amp;(INT(((COUNTIFS($B$2:$B239,"SER")+COUNTIFS($B$2:$B239,"PLH"))-1)/96)+1)&amp;": "&amp;CHAR(65+INT(MOD((COUNTIFS($B$2:$B239,"SER")+COUNTIFS($B$2:$B239,"PLH"))-1,96)/12))&amp;(MOD((COUNTIFS($B$2:$B239,"SER")+COUNTIFS($B$2:$B239,"PLH"))-1,12)+1),"N/A"),"")</f>
        <v/>
      </c>
      <c r="J239" s="6" t="str">
        <f>IF(AND($A239&lt;&gt;"",$B239&lt;&gt;"",$C239&lt;&gt;"",$D239&lt;&gt;""),IF($B239="WB","Control WB Box "&amp;(INT((COUNTIFS($B$2:$B239,"WB")-1)/81)+1)&amp;": "&amp;CHAR(65+INT(MOD(COUNTIFS($B$2:$B239,"WB")-1,81)/9))&amp;(MOD(COUNTIFS($B$2:$B239,"WB")-1,9)+1),"N/A"),"")</f>
        <v/>
      </c>
      <c r="K239" s="3" t="str">
        <f t="shared" si="55"/>
        <v/>
      </c>
      <c r="L239" s="2"/>
      <c r="M239" s="2"/>
      <c r="N239" s="2"/>
      <c r="O239" s="7" t="str">
        <f t="shared" si="56"/>
        <v/>
      </c>
      <c r="P239" s="7" t="str">
        <f t="shared" si="57"/>
        <v/>
      </c>
      <c r="Q239" s="7" t="str">
        <f t="shared" si="58"/>
        <v/>
      </c>
      <c r="R239" s="7" t="str">
        <f t="shared" si="59"/>
        <v/>
      </c>
      <c r="S239" s="7" t="str">
        <f t="shared" si="60"/>
        <v/>
      </c>
      <c r="T239" s="7" t="str">
        <f t="shared" si="61"/>
        <v/>
      </c>
      <c r="U239" s="7" t="str">
        <f t="shared" si="62"/>
        <v/>
      </c>
      <c r="V239" s="7" t="str">
        <f t="shared" si="63"/>
        <v/>
      </c>
      <c r="W239" s="7" t="str">
        <f t="shared" si="64"/>
        <v/>
      </c>
      <c r="X239" s="7" t="str">
        <f t="shared" si="65"/>
        <v/>
      </c>
      <c r="Y239">
        <f t="shared" si="66"/>
        <v>0</v>
      </c>
      <c r="Z239" t="str">
        <f t="shared" si="67"/>
        <v/>
      </c>
      <c r="AA239" t="str">
        <f t="shared" si="68"/>
        <v/>
      </c>
      <c r="AB239" t="str">
        <f t="shared" si="69"/>
        <v/>
      </c>
      <c r="AC239" t="str">
        <f t="shared" si="70"/>
        <v/>
      </c>
      <c r="AD239">
        <f t="shared" si="71"/>
        <v>0</v>
      </c>
    </row>
    <row r="240" spans="1:30" ht="15" customHeight="1" x14ac:dyDescent="0.35">
      <c r="A240" s="2"/>
      <c r="B240" s="3"/>
      <c r="C240" s="4"/>
      <c r="D240" s="5"/>
      <c r="E240" s="11" t="str">
        <f t="shared" ca="1" si="54"/>
        <v/>
      </c>
      <c r="F240" s="5"/>
      <c r="G240" s="6" t="str">
        <f>IF(AND($A240&lt;&gt;"",$B240&lt;&gt;"",$C240&lt;&gt;"",$D240&lt;&gt;""),IF(OR($B240="SER",$B240="PLH",$B240="CSF"),"Control CDI Plate "&amp;(INT(((COUNTIFS($B$2:$B240,"SER")+COUNTIFS($B$2:$B240,"PLH")+COUNTIFS($B$2:$B240,"CSF"))-1)/96)+1)&amp;": "&amp;CHAR(65+INT(MOD((COUNTIFS($B$2:$B240,"SER")+COUNTIFS($B$2:$B240,"PLH")+COUNTIFS($B$2:$B240,"CSF"))-1,96)/12))&amp;(MOD((COUNTIFS($B$2:$B240,"SER")+COUNTIFS($B$2:$B240,"PLH")+COUNTIFS($B$2:$B240,"CSF"))-1,12)+1),"N/A"),"")</f>
        <v/>
      </c>
      <c r="H240" s="6" t="str">
        <f>IF(AND($A240&lt;&gt;"",$B240&lt;&gt;"",$C240&lt;&gt;"",$D240&lt;&gt;""),IF(OR($B240="SER",$B240="PLH",$B240="CSF"),"Control NIH Plate "&amp;(INT(((COUNTIFS($B$2:$B240,"SER")+COUNTIFS($B$2:$B240,"PLH")+COUNTIFS($B$2:$B240,"CSF"))-1)/96)+1)&amp;": "&amp;CHAR(65+INT(MOD((COUNTIFS($B$2:$B240,"SER")+COUNTIFS($B$2:$B240,"PLH")+COUNTIFS($B$2:$B240,"CSF"))-1,96)/12))&amp;(MOD((COUNTIFS($B$2:$B240,"SER")+COUNTIFS($B$2:$B240,"PLH")+COUNTIFS($B$2:$B240,"CSF"))-1,12)+1),"N/A"),"")</f>
        <v/>
      </c>
      <c r="I240" s="6" t="str">
        <f>IF(AND($A240&lt;&gt;"",$B240&lt;&gt;"",$C240&lt;&gt;"",$D240&lt;&gt;""),IF(OR($B240="SER",$B240="PLH"),"Control MAX Planck Plate "&amp;(INT(((COUNTIFS($B$2:$B240,"SER")+COUNTIFS($B$2:$B240,"PLH"))-1)/96)+1)&amp;": "&amp;CHAR(65+INT(MOD((COUNTIFS($B$2:$B240,"SER")+COUNTIFS($B$2:$B240,"PLH"))-1,96)/12))&amp;(MOD((COUNTIFS($B$2:$B240,"SER")+COUNTIFS($B$2:$B240,"PLH"))-1,12)+1),"N/A"),"")</f>
        <v/>
      </c>
      <c r="J240" s="6" t="str">
        <f>IF(AND($A240&lt;&gt;"",$B240&lt;&gt;"",$C240&lt;&gt;"",$D240&lt;&gt;""),IF($B240="WB","Control WB Box "&amp;(INT((COUNTIFS($B$2:$B240,"WB")-1)/81)+1)&amp;": "&amp;CHAR(65+INT(MOD(COUNTIFS($B$2:$B240,"WB")-1,81)/9))&amp;(MOD(COUNTIFS($B$2:$B240,"WB")-1,9)+1),"N/A"),"")</f>
        <v/>
      </c>
      <c r="K240" s="3" t="str">
        <f t="shared" si="55"/>
        <v/>
      </c>
      <c r="L240" s="2"/>
      <c r="M240" s="2"/>
      <c r="N240" s="2"/>
      <c r="O240" s="7" t="str">
        <f t="shared" si="56"/>
        <v/>
      </c>
      <c r="P240" s="7" t="str">
        <f t="shared" si="57"/>
        <v/>
      </c>
      <c r="Q240" s="7" t="str">
        <f t="shared" si="58"/>
        <v/>
      </c>
      <c r="R240" s="7" t="str">
        <f t="shared" si="59"/>
        <v/>
      </c>
      <c r="S240" s="7" t="str">
        <f t="shared" si="60"/>
        <v/>
      </c>
      <c r="T240" s="7" t="str">
        <f t="shared" si="61"/>
        <v/>
      </c>
      <c r="U240" s="7" t="str">
        <f t="shared" si="62"/>
        <v/>
      </c>
      <c r="V240" s="7" t="str">
        <f t="shared" si="63"/>
        <v/>
      </c>
      <c r="W240" s="7" t="str">
        <f t="shared" si="64"/>
        <v/>
      </c>
      <c r="X240" s="7" t="str">
        <f t="shared" si="65"/>
        <v/>
      </c>
      <c r="Y240">
        <f t="shared" si="66"/>
        <v>0</v>
      </c>
      <c r="Z240" t="str">
        <f t="shared" si="67"/>
        <v/>
      </c>
      <c r="AA240" t="str">
        <f t="shared" si="68"/>
        <v/>
      </c>
      <c r="AB240" t="str">
        <f t="shared" si="69"/>
        <v/>
      </c>
      <c r="AC240" t="str">
        <f t="shared" si="70"/>
        <v/>
      </c>
      <c r="AD240">
        <f t="shared" si="71"/>
        <v>0</v>
      </c>
    </row>
    <row r="241" spans="1:30" ht="15" customHeight="1" x14ac:dyDescent="0.35">
      <c r="A241" s="2"/>
      <c r="B241" s="3"/>
      <c r="C241" s="4"/>
      <c r="D241" s="5"/>
      <c r="E241" s="11" t="str">
        <f t="shared" ca="1" si="54"/>
        <v/>
      </c>
      <c r="F241" s="5"/>
      <c r="G241" s="6" t="str">
        <f>IF(AND($A241&lt;&gt;"",$B241&lt;&gt;"",$C241&lt;&gt;"",$D241&lt;&gt;""),IF(OR($B241="SER",$B241="PLH",$B241="CSF"),"Control CDI Plate "&amp;(INT(((COUNTIFS($B$2:$B241,"SER")+COUNTIFS($B$2:$B241,"PLH")+COUNTIFS($B$2:$B241,"CSF"))-1)/96)+1)&amp;": "&amp;CHAR(65+INT(MOD((COUNTIFS($B$2:$B241,"SER")+COUNTIFS($B$2:$B241,"PLH")+COUNTIFS($B$2:$B241,"CSF"))-1,96)/12))&amp;(MOD((COUNTIFS($B$2:$B241,"SER")+COUNTIFS($B$2:$B241,"PLH")+COUNTIFS($B$2:$B241,"CSF"))-1,12)+1),"N/A"),"")</f>
        <v/>
      </c>
      <c r="H241" s="6" t="str">
        <f>IF(AND($A241&lt;&gt;"",$B241&lt;&gt;"",$C241&lt;&gt;"",$D241&lt;&gt;""),IF(OR($B241="SER",$B241="PLH",$B241="CSF"),"Control NIH Plate "&amp;(INT(((COUNTIFS($B$2:$B241,"SER")+COUNTIFS($B$2:$B241,"PLH")+COUNTIFS($B$2:$B241,"CSF"))-1)/96)+1)&amp;": "&amp;CHAR(65+INT(MOD((COUNTIFS($B$2:$B241,"SER")+COUNTIFS($B$2:$B241,"PLH")+COUNTIFS($B$2:$B241,"CSF"))-1,96)/12))&amp;(MOD((COUNTIFS($B$2:$B241,"SER")+COUNTIFS($B$2:$B241,"PLH")+COUNTIFS($B$2:$B241,"CSF"))-1,12)+1),"N/A"),"")</f>
        <v/>
      </c>
      <c r="I241" s="6" t="str">
        <f>IF(AND($A241&lt;&gt;"",$B241&lt;&gt;"",$C241&lt;&gt;"",$D241&lt;&gt;""),IF(OR($B241="SER",$B241="PLH"),"Control MAX Planck Plate "&amp;(INT(((COUNTIFS($B$2:$B241,"SER")+COUNTIFS($B$2:$B241,"PLH"))-1)/96)+1)&amp;": "&amp;CHAR(65+INT(MOD((COUNTIFS($B$2:$B241,"SER")+COUNTIFS($B$2:$B241,"PLH"))-1,96)/12))&amp;(MOD((COUNTIFS($B$2:$B241,"SER")+COUNTIFS($B$2:$B241,"PLH"))-1,12)+1),"N/A"),"")</f>
        <v/>
      </c>
      <c r="J241" s="6" t="str">
        <f>IF(AND($A241&lt;&gt;"",$B241&lt;&gt;"",$C241&lt;&gt;"",$D241&lt;&gt;""),IF($B241="WB","Control WB Box "&amp;(INT((COUNTIFS($B$2:$B241,"WB")-1)/81)+1)&amp;": "&amp;CHAR(65+INT(MOD(COUNTIFS($B$2:$B241,"WB")-1,81)/9))&amp;(MOD(COUNTIFS($B$2:$B241,"WB")-1,9)+1),"N/A"),"")</f>
        <v/>
      </c>
      <c r="K241" s="3" t="str">
        <f t="shared" si="55"/>
        <v/>
      </c>
      <c r="L241" s="2"/>
      <c r="M241" s="2"/>
      <c r="N241" s="2"/>
      <c r="O241" s="7" t="str">
        <f t="shared" si="56"/>
        <v/>
      </c>
      <c r="P241" s="7" t="str">
        <f t="shared" si="57"/>
        <v/>
      </c>
      <c r="Q241" s="7" t="str">
        <f t="shared" si="58"/>
        <v/>
      </c>
      <c r="R241" s="7" t="str">
        <f t="shared" si="59"/>
        <v/>
      </c>
      <c r="S241" s="7" t="str">
        <f t="shared" si="60"/>
        <v/>
      </c>
      <c r="T241" s="7" t="str">
        <f t="shared" si="61"/>
        <v/>
      </c>
      <c r="U241" s="7" t="str">
        <f t="shared" si="62"/>
        <v/>
      </c>
      <c r="V241" s="7" t="str">
        <f t="shared" si="63"/>
        <v/>
      </c>
      <c r="W241" s="7" t="str">
        <f t="shared" si="64"/>
        <v/>
      </c>
      <c r="X241" s="7" t="str">
        <f t="shared" si="65"/>
        <v/>
      </c>
      <c r="Y241">
        <f t="shared" si="66"/>
        <v>0</v>
      </c>
      <c r="Z241" t="str">
        <f t="shared" si="67"/>
        <v/>
      </c>
      <c r="AA241" t="str">
        <f t="shared" si="68"/>
        <v/>
      </c>
      <c r="AB241" t="str">
        <f t="shared" si="69"/>
        <v/>
      </c>
      <c r="AC241" t="str">
        <f t="shared" si="70"/>
        <v/>
      </c>
      <c r="AD241">
        <f t="shared" si="71"/>
        <v>0</v>
      </c>
    </row>
    <row r="242" spans="1:30" ht="15" customHeight="1" x14ac:dyDescent="0.35">
      <c r="A242" s="2"/>
      <c r="B242" s="3"/>
      <c r="C242" s="4"/>
      <c r="D242" s="5"/>
      <c r="E242" s="11" t="str">
        <f t="shared" ca="1" si="54"/>
        <v/>
      </c>
      <c r="F242" s="5"/>
      <c r="G242" s="6" t="str">
        <f>IF(AND($A242&lt;&gt;"",$B242&lt;&gt;"",$C242&lt;&gt;"",$D242&lt;&gt;""),IF(OR($B242="SER",$B242="PLH",$B242="CSF"),"Control CDI Plate "&amp;(INT(((COUNTIFS($B$2:$B242,"SER")+COUNTIFS($B$2:$B242,"PLH")+COUNTIFS($B$2:$B242,"CSF"))-1)/96)+1)&amp;": "&amp;CHAR(65+INT(MOD((COUNTIFS($B$2:$B242,"SER")+COUNTIFS($B$2:$B242,"PLH")+COUNTIFS($B$2:$B242,"CSF"))-1,96)/12))&amp;(MOD((COUNTIFS($B$2:$B242,"SER")+COUNTIFS($B$2:$B242,"PLH")+COUNTIFS($B$2:$B242,"CSF"))-1,12)+1),"N/A"),"")</f>
        <v/>
      </c>
      <c r="H242" s="6" t="str">
        <f>IF(AND($A242&lt;&gt;"",$B242&lt;&gt;"",$C242&lt;&gt;"",$D242&lt;&gt;""),IF(OR($B242="SER",$B242="PLH",$B242="CSF"),"Control NIH Plate "&amp;(INT(((COUNTIFS($B$2:$B242,"SER")+COUNTIFS($B$2:$B242,"PLH")+COUNTIFS($B$2:$B242,"CSF"))-1)/96)+1)&amp;": "&amp;CHAR(65+INT(MOD((COUNTIFS($B$2:$B242,"SER")+COUNTIFS($B$2:$B242,"PLH")+COUNTIFS($B$2:$B242,"CSF"))-1,96)/12))&amp;(MOD((COUNTIFS($B$2:$B242,"SER")+COUNTIFS($B$2:$B242,"PLH")+COUNTIFS($B$2:$B242,"CSF"))-1,12)+1),"N/A"),"")</f>
        <v/>
      </c>
      <c r="I242" s="6" t="str">
        <f>IF(AND($A242&lt;&gt;"",$B242&lt;&gt;"",$C242&lt;&gt;"",$D242&lt;&gt;""),IF(OR($B242="SER",$B242="PLH"),"Control MAX Planck Plate "&amp;(INT(((COUNTIFS($B$2:$B242,"SER")+COUNTIFS($B$2:$B242,"PLH"))-1)/96)+1)&amp;": "&amp;CHAR(65+INT(MOD((COUNTIFS($B$2:$B242,"SER")+COUNTIFS($B$2:$B242,"PLH"))-1,96)/12))&amp;(MOD((COUNTIFS($B$2:$B242,"SER")+COUNTIFS($B$2:$B242,"PLH"))-1,12)+1),"N/A"),"")</f>
        <v/>
      </c>
      <c r="J242" s="6" t="str">
        <f>IF(AND($A242&lt;&gt;"",$B242&lt;&gt;"",$C242&lt;&gt;"",$D242&lt;&gt;""),IF($B242="WB","Control WB Box "&amp;(INT((COUNTIFS($B$2:$B242,"WB")-1)/81)+1)&amp;": "&amp;CHAR(65+INT(MOD(COUNTIFS($B$2:$B242,"WB")-1,81)/9))&amp;(MOD(COUNTIFS($B$2:$B242,"WB")-1,9)+1),"N/A"),"")</f>
        <v/>
      </c>
      <c r="K242" s="3" t="str">
        <f t="shared" si="55"/>
        <v/>
      </c>
      <c r="L242" s="2"/>
      <c r="M242" s="2"/>
      <c r="N242" s="2"/>
      <c r="O242" s="7" t="str">
        <f t="shared" si="56"/>
        <v/>
      </c>
      <c r="P242" s="7" t="str">
        <f t="shared" si="57"/>
        <v/>
      </c>
      <c r="Q242" s="7" t="str">
        <f t="shared" si="58"/>
        <v/>
      </c>
      <c r="R242" s="7" t="str">
        <f t="shared" si="59"/>
        <v/>
      </c>
      <c r="S242" s="7" t="str">
        <f t="shared" si="60"/>
        <v/>
      </c>
      <c r="T242" s="7" t="str">
        <f t="shared" si="61"/>
        <v/>
      </c>
      <c r="U242" s="7" t="str">
        <f t="shared" si="62"/>
        <v/>
      </c>
      <c r="V242" s="7" t="str">
        <f t="shared" si="63"/>
        <v/>
      </c>
      <c r="W242" s="7" t="str">
        <f t="shared" si="64"/>
        <v/>
      </c>
      <c r="X242" s="7" t="str">
        <f t="shared" si="65"/>
        <v/>
      </c>
      <c r="Y242">
        <f t="shared" si="66"/>
        <v>0</v>
      </c>
      <c r="Z242" t="str">
        <f t="shared" si="67"/>
        <v/>
      </c>
      <c r="AA242" t="str">
        <f t="shared" si="68"/>
        <v/>
      </c>
      <c r="AB242" t="str">
        <f t="shared" si="69"/>
        <v/>
      </c>
      <c r="AC242" t="str">
        <f t="shared" si="70"/>
        <v/>
      </c>
      <c r="AD242">
        <f t="shared" si="71"/>
        <v>0</v>
      </c>
    </row>
    <row r="243" spans="1:30" ht="15" customHeight="1" x14ac:dyDescent="0.35">
      <c r="A243" s="2"/>
      <c r="B243" s="3"/>
      <c r="C243" s="4"/>
      <c r="D243" s="5"/>
      <c r="E243" s="11" t="str">
        <f t="shared" ca="1" si="54"/>
        <v/>
      </c>
      <c r="F243" s="5"/>
      <c r="G243" s="6" t="str">
        <f>IF(AND($A243&lt;&gt;"",$B243&lt;&gt;"",$C243&lt;&gt;"",$D243&lt;&gt;""),IF(OR($B243="SER",$B243="PLH",$B243="CSF"),"Control CDI Plate "&amp;(INT(((COUNTIFS($B$2:$B243,"SER")+COUNTIFS($B$2:$B243,"PLH")+COUNTIFS($B$2:$B243,"CSF"))-1)/96)+1)&amp;": "&amp;CHAR(65+INT(MOD((COUNTIFS($B$2:$B243,"SER")+COUNTIFS($B$2:$B243,"PLH")+COUNTIFS($B$2:$B243,"CSF"))-1,96)/12))&amp;(MOD((COUNTIFS($B$2:$B243,"SER")+COUNTIFS($B$2:$B243,"PLH")+COUNTIFS($B$2:$B243,"CSF"))-1,12)+1),"N/A"),"")</f>
        <v/>
      </c>
      <c r="H243" s="6" t="str">
        <f>IF(AND($A243&lt;&gt;"",$B243&lt;&gt;"",$C243&lt;&gt;"",$D243&lt;&gt;""),IF(OR($B243="SER",$B243="PLH",$B243="CSF"),"Control NIH Plate "&amp;(INT(((COUNTIFS($B$2:$B243,"SER")+COUNTIFS($B$2:$B243,"PLH")+COUNTIFS($B$2:$B243,"CSF"))-1)/96)+1)&amp;": "&amp;CHAR(65+INT(MOD((COUNTIFS($B$2:$B243,"SER")+COUNTIFS($B$2:$B243,"PLH")+COUNTIFS($B$2:$B243,"CSF"))-1,96)/12))&amp;(MOD((COUNTIFS($B$2:$B243,"SER")+COUNTIFS($B$2:$B243,"PLH")+COUNTIFS($B$2:$B243,"CSF"))-1,12)+1),"N/A"),"")</f>
        <v/>
      </c>
      <c r="I243" s="6" t="str">
        <f>IF(AND($A243&lt;&gt;"",$B243&lt;&gt;"",$C243&lt;&gt;"",$D243&lt;&gt;""),IF(OR($B243="SER",$B243="PLH"),"Control MAX Planck Plate "&amp;(INT(((COUNTIFS($B$2:$B243,"SER")+COUNTIFS($B$2:$B243,"PLH"))-1)/96)+1)&amp;": "&amp;CHAR(65+INT(MOD((COUNTIFS($B$2:$B243,"SER")+COUNTIFS($B$2:$B243,"PLH"))-1,96)/12))&amp;(MOD((COUNTIFS($B$2:$B243,"SER")+COUNTIFS($B$2:$B243,"PLH"))-1,12)+1),"N/A"),"")</f>
        <v/>
      </c>
      <c r="J243" s="6" t="str">
        <f>IF(AND($A243&lt;&gt;"",$B243&lt;&gt;"",$C243&lt;&gt;"",$D243&lt;&gt;""),IF($B243="WB","Control WB Box "&amp;(INT((COUNTIFS($B$2:$B243,"WB")-1)/81)+1)&amp;": "&amp;CHAR(65+INT(MOD(COUNTIFS($B$2:$B243,"WB")-1,81)/9))&amp;(MOD(COUNTIFS($B$2:$B243,"WB")-1,9)+1),"N/A"),"")</f>
        <v/>
      </c>
      <c r="K243" s="3" t="str">
        <f t="shared" si="55"/>
        <v/>
      </c>
      <c r="L243" s="2"/>
      <c r="M243" s="2"/>
      <c r="N243" s="2"/>
      <c r="O243" s="7" t="str">
        <f t="shared" si="56"/>
        <v/>
      </c>
      <c r="P243" s="7" t="str">
        <f t="shared" si="57"/>
        <v/>
      </c>
      <c r="Q243" s="7" t="str">
        <f t="shared" si="58"/>
        <v/>
      </c>
      <c r="R243" s="7" t="str">
        <f t="shared" si="59"/>
        <v/>
      </c>
      <c r="S243" s="7" t="str">
        <f t="shared" si="60"/>
        <v/>
      </c>
      <c r="T243" s="7" t="str">
        <f t="shared" si="61"/>
        <v/>
      </c>
      <c r="U243" s="7" t="str">
        <f t="shared" si="62"/>
        <v/>
      </c>
      <c r="V243" s="7" t="str">
        <f t="shared" si="63"/>
        <v/>
      </c>
      <c r="W243" s="7" t="str">
        <f t="shared" si="64"/>
        <v/>
      </c>
      <c r="X243" s="7" t="str">
        <f t="shared" si="65"/>
        <v/>
      </c>
      <c r="Y243">
        <f t="shared" si="66"/>
        <v>0</v>
      </c>
      <c r="Z243" t="str">
        <f t="shared" si="67"/>
        <v/>
      </c>
      <c r="AA243" t="str">
        <f t="shared" si="68"/>
        <v/>
      </c>
      <c r="AB243" t="str">
        <f t="shared" si="69"/>
        <v/>
      </c>
      <c r="AC243" t="str">
        <f t="shared" si="70"/>
        <v/>
      </c>
      <c r="AD243">
        <f t="shared" si="71"/>
        <v>0</v>
      </c>
    </row>
    <row r="244" spans="1:30" ht="15" customHeight="1" x14ac:dyDescent="0.35">
      <c r="A244" s="2"/>
      <c r="B244" s="3"/>
      <c r="C244" s="4"/>
      <c r="D244" s="5"/>
      <c r="E244" s="11" t="str">
        <f t="shared" ca="1" si="54"/>
        <v/>
      </c>
      <c r="F244" s="5"/>
      <c r="G244" s="6" t="str">
        <f>IF(AND($A244&lt;&gt;"",$B244&lt;&gt;"",$C244&lt;&gt;"",$D244&lt;&gt;""),IF(OR($B244="SER",$B244="PLH",$B244="CSF"),"Control CDI Plate "&amp;(INT(((COUNTIFS($B$2:$B244,"SER")+COUNTIFS($B$2:$B244,"PLH")+COUNTIFS($B$2:$B244,"CSF"))-1)/96)+1)&amp;": "&amp;CHAR(65+INT(MOD((COUNTIFS($B$2:$B244,"SER")+COUNTIFS($B$2:$B244,"PLH")+COUNTIFS($B$2:$B244,"CSF"))-1,96)/12))&amp;(MOD((COUNTIFS($B$2:$B244,"SER")+COUNTIFS($B$2:$B244,"PLH")+COUNTIFS($B$2:$B244,"CSF"))-1,12)+1),"N/A"),"")</f>
        <v/>
      </c>
      <c r="H244" s="6" t="str">
        <f>IF(AND($A244&lt;&gt;"",$B244&lt;&gt;"",$C244&lt;&gt;"",$D244&lt;&gt;""),IF(OR($B244="SER",$B244="PLH",$B244="CSF"),"Control NIH Plate "&amp;(INT(((COUNTIFS($B$2:$B244,"SER")+COUNTIFS($B$2:$B244,"PLH")+COUNTIFS($B$2:$B244,"CSF"))-1)/96)+1)&amp;": "&amp;CHAR(65+INT(MOD((COUNTIFS($B$2:$B244,"SER")+COUNTIFS($B$2:$B244,"PLH")+COUNTIFS($B$2:$B244,"CSF"))-1,96)/12))&amp;(MOD((COUNTIFS($B$2:$B244,"SER")+COUNTIFS($B$2:$B244,"PLH")+COUNTIFS($B$2:$B244,"CSF"))-1,12)+1),"N/A"),"")</f>
        <v/>
      </c>
      <c r="I244" s="6" t="str">
        <f>IF(AND($A244&lt;&gt;"",$B244&lt;&gt;"",$C244&lt;&gt;"",$D244&lt;&gt;""),IF(OR($B244="SER",$B244="PLH"),"Control MAX Planck Plate "&amp;(INT(((COUNTIFS($B$2:$B244,"SER")+COUNTIFS($B$2:$B244,"PLH"))-1)/96)+1)&amp;": "&amp;CHAR(65+INT(MOD((COUNTIFS($B$2:$B244,"SER")+COUNTIFS($B$2:$B244,"PLH"))-1,96)/12))&amp;(MOD((COUNTIFS($B$2:$B244,"SER")+COUNTIFS($B$2:$B244,"PLH"))-1,12)+1),"N/A"),"")</f>
        <v/>
      </c>
      <c r="J244" s="6" t="str">
        <f>IF(AND($A244&lt;&gt;"",$B244&lt;&gt;"",$C244&lt;&gt;"",$D244&lt;&gt;""),IF($B244="WB","Control WB Box "&amp;(INT((COUNTIFS($B$2:$B244,"WB")-1)/81)+1)&amp;": "&amp;CHAR(65+INT(MOD(COUNTIFS($B$2:$B244,"WB")-1,81)/9))&amp;(MOD(COUNTIFS($B$2:$B244,"WB")-1,9)+1),"N/A"),"")</f>
        <v/>
      </c>
      <c r="K244" s="3" t="str">
        <f t="shared" si="55"/>
        <v/>
      </c>
      <c r="L244" s="2"/>
      <c r="M244" s="2"/>
      <c r="N244" s="2"/>
      <c r="O244" s="7" t="str">
        <f t="shared" si="56"/>
        <v/>
      </c>
      <c r="P244" s="7" t="str">
        <f t="shared" si="57"/>
        <v/>
      </c>
      <c r="Q244" s="7" t="str">
        <f t="shared" si="58"/>
        <v/>
      </c>
      <c r="R244" s="7" t="str">
        <f t="shared" si="59"/>
        <v/>
      </c>
      <c r="S244" s="7" t="str">
        <f t="shared" si="60"/>
        <v/>
      </c>
      <c r="T244" s="7" t="str">
        <f t="shared" si="61"/>
        <v/>
      </c>
      <c r="U244" s="7" t="str">
        <f t="shared" si="62"/>
        <v/>
      </c>
      <c r="V244" s="7" t="str">
        <f t="shared" si="63"/>
        <v/>
      </c>
      <c r="W244" s="7" t="str">
        <f t="shared" si="64"/>
        <v/>
      </c>
      <c r="X244" s="7" t="str">
        <f t="shared" si="65"/>
        <v/>
      </c>
      <c r="Y244">
        <f t="shared" si="66"/>
        <v>0</v>
      </c>
      <c r="Z244" t="str">
        <f t="shared" si="67"/>
        <v/>
      </c>
      <c r="AA244" t="str">
        <f t="shared" si="68"/>
        <v/>
      </c>
      <c r="AB244" t="str">
        <f t="shared" si="69"/>
        <v/>
      </c>
      <c r="AC244" t="str">
        <f t="shared" si="70"/>
        <v/>
      </c>
      <c r="AD244">
        <f t="shared" si="71"/>
        <v>0</v>
      </c>
    </row>
    <row r="245" spans="1:30" ht="15" customHeight="1" x14ac:dyDescent="0.35">
      <c r="A245" s="2"/>
      <c r="B245" s="3"/>
      <c r="C245" s="4"/>
      <c r="D245" s="5"/>
      <c r="E245" s="11" t="str">
        <f t="shared" ca="1" si="54"/>
        <v/>
      </c>
      <c r="F245" s="5"/>
      <c r="G245" s="6" t="str">
        <f>IF(AND($A245&lt;&gt;"",$B245&lt;&gt;"",$C245&lt;&gt;"",$D245&lt;&gt;""),IF(OR($B245="SER",$B245="PLH",$B245="CSF"),"Control CDI Plate "&amp;(INT(((COUNTIFS($B$2:$B245,"SER")+COUNTIFS($B$2:$B245,"PLH")+COUNTIFS($B$2:$B245,"CSF"))-1)/96)+1)&amp;": "&amp;CHAR(65+INT(MOD((COUNTIFS($B$2:$B245,"SER")+COUNTIFS($B$2:$B245,"PLH")+COUNTIFS($B$2:$B245,"CSF"))-1,96)/12))&amp;(MOD((COUNTIFS($B$2:$B245,"SER")+COUNTIFS($B$2:$B245,"PLH")+COUNTIFS($B$2:$B245,"CSF"))-1,12)+1),"N/A"),"")</f>
        <v/>
      </c>
      <c r="H245" s="6" t="str">
        <f>IF(AND($A245&lt;&gt;"",$B245&lt;&gt;"",$C245&lt;&gt;"",$D245&lt;&gt;""),IF(OR($B245="SER",$B245="PLH",$B245="CSF"),"Control NIH Plate "&amp;(INT(((COUNTIFS($B$2:$B245,"SER")+COUNTIFS($B$2:$B245,"PLH")+COUNTIFS($B$2:$B245,"CSF"))-1)/96)+1)&amp;": "&amp;CHAR(65+INT(MOD((COUNTIFS($B$2:$B245,"SER")+COUNTIFS($B$2:$B245,"PLH")+COUNTIFS($B$2:$B245,"CSF"))-1,96)/12))&amp;(MOD((COUNTIFS($B$2:$B245,"SER")+COUNTIFS($B$2:$B245,"PLH")+COUNTIFS($B$2:$B245,"CSF"))-1,12)+1),"N/A"),"")</f>
        <v/>
      </c>
      <c r="I245" s="6" t="str">
        <f>IF(AND($A245&lt;&gt;"",$B245&lt;&gt;"",$C245&lt;&gt;"",$D245&lt;&gt;""),IF(OR($B245="SER",$B245="PLH"),"Control MAX Planck Plate "&amp;(INT(((COUNTIFS($B$2:$B245,"SER")+COUNTIFS($B$2:$B245,"PLH"))-1)/96)+1)&amp;": "&amp;CHAR(65+INT(MOD((COUNTIFS($B$2:$B245,"SER")+COUNTIFS($B$2:$B245,"PLH"))-1,96)/12))&amp;(MOD((COUNTIFS($B$2:$B245,"SER")+COUNTIFS($B$2:$B245,"PLH"))-1,12)+1),"N/A"),"")</f>
        <v/>
      </c>
      <c r="J245" s="6" t="str">
        <f>IF(AND($A245&lt;&gt;"",$B245&lt;&gt;"",$C245&lt;&gt;"",$D245&lt;&gt;""),IF($B245="WB","Control WB Box "&amp;(INT((COUNTIFS($B$2:$B245,"WB")-1)/81)+1)&amp;": "&amp;CHAR(65+INT(MOD(COUNTIFS($B$2:$B245,"WB")-1,81)/9))&amp;(MOD(COUNTIFS($B$2:$B245,"WB")-1,9)+1),"N/A"),"")</f>
        <v/>
      </c>
      <c r="K245" s="3" t="str">
        <f t="shared" si="55"/>
        <v/>
      </c>
      <c r="L245" s="2"/>
      <c r="M245" s="2"/>
      <c r="N245" s="2"/>
      <c r="O245" s="7" t="str">
        <f t="shared" si="56"/>
        <v/>
      </c>
      <c r="P245" s="7" t="str">
        <f t="shared" si="57"/>
        <v/>
      </c>
      <c r="Q245" s="7" t="str">
        <f t="shared" si="58"/>
        <v/>
      </c>
      <c r="R245" s="7" t="str">
        <f t="shared" si="59"/>
        <v/>
      </c>
      <c r="S245" s="7" t="str">
        <f t="shared" si="60"/>
        <v/>
      </c>
      <c r="T245" s="7" t="str">
        <f t="shared" si="61"/>
        <v/>
      </c>
      <c r="U245" s="7" t="str">
        <f t="shared" si="62"/>
        <v/>
      </c>
      <c r="V245" s="7" t="str">
        <f t="shared" si="63"/>
        <v/>
      </c>
      <c r="W245" s="7" t="str">
        <f t="shared" si="64"/>
        <v/>
      </c>
      <c r="X245" s="7" t="str">
        <f t="shared" si="65"/>
        <v/>
      </c>
      <c r="Y245">
        <f t="shared" si="66"/>
        <v>0</v>
      </c>
      <c r="Z245" t="str">
        <f t="shared" si="67"/>
        <v/>
      </c>
      <c r="AA245" t="str">
        <f t="shared" si="68"/>
        <v/>
      </c>
      <c r="AB245" t="str">
        <f t="shared" si="69"/>
        <v/>
      </c>
      <c r="AC245" t="str">
        <f t="shared" si="70"/>
        <v/>
      </c>
      <c r="AD245">
        <f t="shared" si="71"/>
        <v>0</v>
      </c>
    </row>
    <row r="246" spans="1:30" ht="15" customHeight="1" x14ac:dyDescent="0.35">
      <c r="A246" s="2"/>
      <c r="B246" s="3"/>
      <c r="C246" s="4"/>
      <c r="D246" s="5"/>
      <c r="E246" s="11" t="str">
        <f t="shared" ca="1" si="54"/>
        <v/>
      </c>
      <c r="F246" s="5"/>
      <c r="G246" s="6" t="str">
        <f>IF(AND($A246&lt;&gt;"",$B246&lt;&gt;"",$C246&lt;&gt;"",$D246&lt;&gt;""),IF(OR($B246="SER",$B246="PLH",$B246="CSF"),"Control CDI Plate "&amp;(INT(((COUNTIFS($B$2:$B246,"SER")+COUNTIFS($B$2:$B246,"PLH")+COUNTIFS($B$2:$B246,"CSF"))-1)/96)+1)&amp;": "&amp;CHAR(65+INT(MOD((COUNTIFS($B$2:$B246,"SER")+COUNTIFS($B$2:$B246,"PLH")+COUNTIFS($B$2:$B246,"CSF"))-1,96)/12))&amp;(MOD((COUNTIFS($B$2:$B246,"SER")+COUNTIFS($B$2:$B246,"PLH")+COUNTIFS($B$2:$B246,"CSF"))-1,12)+1),"N/A"),"")</f>
        <v/>
      </c>
      <c r="H246" s="6" t="str">
        <f>IF(AND($A246&lt;&gt;"",$B246&lt;&gt;"",$C246&lt;&gt;"",$D246&lt;&gt;""),IF(OR($B246="SER",$B246="PLH",$B246="CSF"),"Control NIH Plate "&amp;(INT(((COUNTIFS($B$2:$B246,"SER")+COUNTIFS($B$2:$B246,"PLH")+COUNTIFS($B$2:$B246,"CSF"))-1)/96)+1)&amp;": "&amp;CHAR(65+INT(MOD((COUNTIFS($B$2:$B246,"SER")+COUNTIFS($B$2:$B246,"PLH")+COUNTIFS($B$2:$B246,"CSF"))-1,96)/12))&amp;(MOD((COUNTIFS($B$2:$B246,"SER")+COUNTIFS($B$2:$B246,"PLH")+COUNTIFS($B$2:$B246,"CSF"))-1,12)+1),"N/A"),"")</f>
        <v/>
      </c>
      <c r="I246" s="6" t="str">
        <f>IF(AND($A246&lt;&gt;"",$B246&lt;&gt;"",$C246&lt;&gt;"",$D246&lt;&gt;""),IF(OR($B246="SER",$B246="PLH"),"Control MAX Planck Plate "&amp;(INT(((COUNTIFS($B$2:$B246,"SER")+COUNTIFS($B$2:$B246,"PLH"))-1)/96)+1)&amp;": "&amp;CHAR(65+INT(MOD((COUNTIFS($B$2:$B246,"SER")+COUNTIFS($B$2:$B246,"PLH"))-1,96)/12))&amp;(MOD((COUNTIFS($B$2:$B246,"SER")+COUNTIFS($B$2:$B246,"PLH"))-1,12)+1),"N/A"),"")</f>
        <v/>
      </c>
      <c r="J246" s="6" t="str">
        <f>IF(AND($A246&lt;&gt;"",$B246&lt;&gt;"",$C246&lt;&gt;"",$D246&lt;&gt;""),IF($B246="WB","Control WB Box "&amp;(INT((COUNTIFS($B$2:$B246,"WB")-1)/81)+1)&amp;": "&amp;CHAR(65+INT(MOD(COUNTIFS($B$2:$B246,"WB")-1,81)/9))&amp;(MOD(COUNTIFS($B$2:$B246,"WB")-1,9)+1),"N/A"),"")</f>
        <v/>
      </c>
      <c r="K246" s="3" t="str">
        <f t="shared" si="55"/>
        <v/>
      </c>
      <c r="L246" s="2"/>
      <c r="M246" s="2"/>
      <c r="N246" s="2"/>
      <c r="O246" s="7" t="str">
        <f t="shared" si="56"/>
        <v/>
      </c>
      <c r="P246" s="7" t="str">
        <f t="shared" si="57"/>
        <v/>
      </c>
      <c r="Q246" s="7" t="str">
        <f t="shared" si="58"/>
        <v/>
      </c>
      <c r="R246" s="7" t="str">
        <f t="shared" si="59"/>
        <v/>
      </c>
      <c r="S246" s="7" t="str">
        <f t="shared" si="60"/>
        <v/>
      </c>
      <c r="T246" s="7" t="str">
        <f t="shared" si="61"/>
        <v/>
      </c>
      <c r="U246" s="7" t="str">
        <f t="shared" si="62"/>
        <v/>
      </c>
      <c r="V246" s="7" t="str">
        <f t="shared" si="63"/>
        <v/>
      </c>
      <c r="W246" s="7" t="str">
        <f t="shared" si="64"/>
        <v/>
      </c>
      <c r="X246" s="7" t="str">
        <f t="shared" si="65"/>
        <v/>
      </c>
      <c r="Y246">
        <f t="shared" si="66"/>
        <v>0</v>
      </c>
      <c r="Z246" t="str">
        <f t="shared" si="67"/>
        <v/>
      </c>
      <c r="AA246" t="str">
        <f t="shared" si="68"/>
        <v/>
      </c>
      <c r="AB246" t="str">
        <f t="shared" si="69"/>
        <v/>
      </c>
      <c r="AC246" t="str">
        <f t="shared" si="70"/>
        <v/>
      </c>
      <c r="AD246">
        <f t="shared" si="71"/>
        <v>0</v>
      </c>
    </row>
    <row r="247" spans="1:30" ht="15" customHeight="1" x14ac:dyDescent="0.35">
      <c r="A247" s="2"/>
      <c r="B247" s="3"/>
      <c r="C247" s="4"/>
      <c r="D247" s="5"/>
      <c r="E247" s="11" t="str">
        <f t="shared" ca="1" si="54"/>
        <v/>
      </c>
      <c r="F247" s="5"/>
      <c r="G247" s="6" t="str">
        <f>IF(AND($A247&lt;&gt;"",$B247&lt;&gt;"",$C247&lt;&gt;"",$D247&lt;&gt;""),IF(OR($B247="SER",$B247="PLH",$B247="CSF"),"Control CDI Plate "&amp;(INT(((COUNTIFS($B$2:$B247,"SER")+COUNTIFS($B$2:$B247,"PLH")+COUNTIFS($B$2:$B247,"CSF"))-1)/96)+1)&amp;": "&amp;CHAR(65+INT(MOD((COUNTIFS($B$2:$B247,"SER")+COUNTIFS($B$2:$B247,"PLH")+COUNTIFS($B$2:$B247,"CSF"))-1,96)/12))&amp;(MOD((COUNTIFS($B$2:$B247,"SER")+COUNTIFS($B$2:$B247,"PLH")+COUNTIFS($B$2:$B247,"CSF"))-1,12)+1),"N/A"),"")</f>
        <v/>
      </c>
      <c r="H247" s="6" t="str">
        <f>IF(AND($A247&lt;&gt;"",$B247&lt;&gt;"",$C247&lt;&gt;"",$D247&lt;&gt;""),IF(OR($B247="SER",$B247="PLH",$B247="CSF"),"Control NIH Plate "&amp;(INT(((COUNTIFS($B$2:$B247,"SER")+COUNTIFS($B$2:$B247,"PLH")+COUNTIFS($B$2:$B247,"CSF"))-1)/96)+1)&amp;": "&amp;CHAR(65+INT(MOD((COUNTIFS($B$2:$B247,"SER")+COUNTIFS($B$2:$B247,"PLH")+COUNTIFS($B$2:$B247,"CSF"))-1,96)/12))&amp;(MOD((COUNTIFS($B$2:$B247,"SER")+COUNTIFS($B$2:$B247,"PLH")+COUNTIFS($B$2:$B247,"CSF"))-1,12)+1),"N/A"),"")</f>
        <v/>
      </c>
      <c r="I247" s="6" t="str">
        <f>IF(AND($A247&lt;&gt;"",$B247&lt;&gt;"",$C247&lt;&gt;"",$D247&lt;&gt;""),IF(OR($B247="SER",$B247="PLH"),"Control MAX Planck Plate "&amp;(INT(((COUNTIFS($B$2:$B247,"SER")+COUNTIFS($B$2:$B247,"PLH"))-1)/96)+1)&amp;": "&amp;CHAR(65+INT(MOD((COUNTIFS($B$2:$B247,"SER")+COUNTIFS($B$2:$B247,"PLH"))-1,96)/12))&amp;(MOD((COUNTIFS($B$2:$B247,"SER")+COUNTIFS($B$2:$B247,"PLH"))-1,12)+1),"N/A"),"")</f>
        <v/>
      </c>
      <c r="J247" s="6" t="str">
        <f>IF(AND($A247&lt;&gt;"",$B247&lt;&gt;"",$C247&lt;&gt;"",$D247&lt;&gt;""),IF($B247="WB","Control WB Box "&amp;(INT((COUNTIFS($B$2:$B247,"WB")-1)/81)+1)&amp;": "&amp;CHAR(65+INT(MOD(COUNTIFS($B$2:$B247,"WB")-1,81)/9))&amp;(MOD(COUNTIFS($B$2:$B247,"WB")-1,9)+1),"N/A"),"")</f>
        <v/>
      </c>
      <c r="K247" s="3" t="str">
        <f t="shared" si="55"/>
        <v/>
      </c>
      <c r="L247" s="2"/>
      <c r="M247" s="2"/>
      <c r="N247" s="2"/>
      <c r="O247" s="7" t="str">
        <f t="shared" si="56"/>
        <v/>
      </c>
      <c r="P247" s="7" t="str">
        <f t="shared" si="57"/>
        <v/>
      </c>
      <c r="Q247" s="7" t="str">
        <f t="shared" si="58"/>
        <v/>
      </c>
      <c r="R247" s="7" t="str">
        <f t="shared" si="59"/>
        <v/>
      </c>
      <c r="S247" s="7" t="str">
        <f t="shared" si="60"/>
        <v/>
      </c>
      <c r="T247" s="7" t="str">
        <f t="shared" si="61"/>
        <v/>
      </c>
      <c r="U247" s="7" t="str">
        <f t="shared" si="62"/>
        <v/>
      </c>
      <c r="V247" s="7" t="str">
        <f t="shared" si="63"/>
        <v/>
      </c>
      <c r="W247" s="7" t="str">
        <f t="shared" si="64"/>
        <v/>
      </c>
      <c r="X247" s="7" t="str">
        <f t="shared" si="65"/>
        <v/>
      </c>
      <c r="Y247">
        <f t="shared" si="66"/>
        <v>0</v>
      </c>
      <c r="Z247" t="str">
        <f t="shared" si="67"/>
        <v/>
      </c>
      <c r="AA247" t="str">
        <f t="shared" si="68"/>
        <v/>
      </c>
      <c r="AB247" t="str">
        <f t="shared" si="69"/>
        <v/>
      </c>
      <c r="AC247" t="str">
        <f t="shared" si="70"/>
        <v/>
      </c>
      <c r="AD247">
        <f t="shared" si="71"/>
        <v>0</v>
      </c>
    </row>
    <row r="248" spans="1:30" ht="15" customHeight="1" x14ac:dyDescent="0.35">
      <c r="A248" s="2"/>
      <c r="B248" s="3"/>
      <c r="C248" s="4"/>
      <c r="D248" s="5"/>
      <c r="E248" s="11" t="str">
        <f t="shared" ca="1" si="54"/>
        <v/>
      </c>
      <c r="F248" s="5"/>
      <c r="G248" s="6" t="str">
        <f>IF(AND($A248&lt;&gt;"",$B248&lt;&gt;"",$C248&lt;&gt;"",$D248&lt;&gt;""),IF(OR($B248="SER",$B248="PLH",$B248="CSF"),"Control CDI Plate "&amp;(INT(((COUNTIFS($B$2:$B248,"SER")+COUNTIFS($B$2:$B248,"PLH")+COUNTIFS($B$2:$B248,"CSF"))-1)/96)+1)&amp;": "&amp;CHAR(65+INT(MOD((COUNTIFS($B$2:$B248,"SER")+COUNTIFS($B$2:$B248,"PLH")+COUNTIFS($B$2:$B248,"CSF"))-1,96)/12))&amp;(MOD((COUNTIFS($B$2:$B248,"SER")+COUNTIFS($B$2:$B248,"PLH")+COUNTIFS($B$2:$B248,"CSF"))-1,12)+1),"N/A"),"")</f>
        <v/>
      </c>
      <c r="H248" s="6" t="str">
        <f>IF(AND($A248&lt;&gt;"",$B248&lt;&gt;"",$C248&lt;&gt;"",$D248&lt;&gt;""),IF(OR($B248="SER",$B248="PLH",$B248="CSF"),"Control NIH Plate "&amp;(INT(((COUNTIFS($B$2:$B248,"SER")+COUNTIFS($B$2:$B248,"PLH")+COUNTIFS($B$2:$B248,"CSF"))-1)/96)+1)&amp;": "&amp;CHAR(65+INT(MOD((COUNTIFS($B$2:$B248,"SER")+COUNTIFS($B$2:$B248,"PLH")+COUNTIFS($B$2:$B248,"CSF"))-1,96)/12))&amp;(MOD((COUNTIFS($B$2:$B248,"SER")+COUNTIFS($B$2:$B248,"PLH")+COUNTIFS($B$2:$B248,"CSF"))-1,12)+1),"N/A"),"")</f>
        <v/>
      </c>
      <c r="I248" s="6" t="str">
        <f>IF(AND($A248&lt;&gt;"",$B248&lt;&gt;"",$C248&lt;&gt;"",$D248&lt;&gt;""),IF(OR($B248="SER",$B248="PLH"),"Control MAX Planck Plate "&amp;(INT(((COUNTIFS($B$2:$B248,"SER")+COUNTIFS($B$2:$B248,"PLH"))-1)/96)+1)&amp;": "&amp;CHAR(65+INT(MOD((COUNTIFS($B$2:$B248,"SER")+COUNTIFS($B$2:$B248,"PLH"))-1,96)/12))&amp;(MOD((COUNTIFS($B$2:$B248,"SER")+COUNTIFS($B$2:$B248,"PLH"))-1,12)+1),"N/A"),"")</f>
        <v/>
      </c>
      <c r="J248" s="6" t="str">
        <f>IF(AND($A248&lt;&gt;"",$B248&lt;&gt;"",$C248&lt;&gt;"",$D248&lt;&gt;""),IF($B248="WB","Control WB Box "&amp;(INT((COUNTIFS($B$2:$B248,"WB")-1)/81)+1)&amp;": "&amp;CHAR(65+INT(MOD(COUNTIFS($B$2:$B248,"WB")-1,81)/9))&amp;(MOD(COUNTIFS($B$2:$B248,"WB")-1,9)+1),"N/A"),"")</f>
        <v/>
      </c>
      <c r="K248" s="3" t="str">
        <f t="shared" si="55"/>
        <v/>
      </c>
      <c r="L248" s="2"/>
      <c r="M248" s="2"/>
      <c r="N248" s="2"/>
      <c r="O248" s="7" t="str">
        <f t="shared" si="56"/>
        <v/>
      </c>
      <c r="P248" s="7" t="str">
        <f t="shared" si="57"/>
        <v/>
      </c>
      <c r="Q248" s="7" t="str">
        <f t="shared" si="58"/>
        <v/>
      </c>
      <c r="R248" s="7" t="str">
        <f t="shared" si="59"/>
        <v/>
      </c>
      <c r="S248" s="7" t="str">
        <f t="shared" si="60"/>
        <v/>
      </c>
      <c r="T248" s="7" t="str">
        <f t="shared" si="61"/>
        <v/>
      </c>
      <c r="U248" s="7" t="str">
        <f t="shared" si="62"/>
        <v/>
      </c>
      <c r="V248" s="7" t="str">
        <f t="shared" si="63"/>
        <v/>
      </c>
      <c r="W248" s="7" t="str">
        <f t="shared" si="64"/>
        <v/>
      </c>
      <c r="X248" s="7" t="str">
        <f t="shared" si="65"/>
        <v/>
      </c>
      <c r="Y248">
        <f t="shared" si="66"/>
        <v>0</v>
      </c>
      <c r="Z248" t="str">
        <f t="shared" si="67"/>
        <v/>
      </c>
      <c r="AA248" t="str">
        <f t="shared" si="68"/>
        <v/>
      </c>
      <c r="AB248" t="str">
        <f t="shared" si="69"/>
        <v/>
      </c>
      <c r="AC248" t="str">
        <f t="shared" si="70"/>
        <v/>
      </c>
      <c r="AD248">
        <f t="shared" si="71"/>
        <v>0</v>
      </c>
    </row>
    <row r="249" spans="1:30" ht="15" customHeight="1" x14ac:dyDescent="0.35">
      <c r="A249" s="2"/>
      <c r="B249" s="3"/>
      <c r="C249" s="4"/>
      <c r="D249" s="5"/>
      <c r="E249" s="11" t="str">
        <f t="shared" ca="1" si="54"/>
        <v/>
      </c>
      <c r="F249" s="5"/>
      <c r="G249" s="6" t="str">
        <f>IF(AND($A249&lt;&gt;"",$B249&lt;&gt;"",$C249&lt;&gt;"",$D249&lt;&gt;""),IF(OR($B249="SER",$B249="PLH",$B249="CSF"),"Control CDI Plate "&amp;(INT(((COUNTIFS($B$2:$B249,"SER")+COUNTIFS($B$2:$B249,"PLH")+COUNTIFS($B$2:$B249,"CSF"))-1)/96)+1)&amp;": "&amp;CHAR(65+INT(MOD((COUNTIFS($B$2:$B249,"SER")+COUNTIFS($B$2:$B249,"PLH")+COUNTIFS($B$2:$B249,"CSF"))-1,96)/12))&amp;(MOD((COUNTIFS($B$2:$B249,"SER")+COUNTIFS($B$2:$B249,"PLH")+COUNTIFS($B$2:$B249,"CSF"))-1,12)+1),"N/A"),"")</f>
        <v/>
      </c>
      <c r="H249" s="6" t="str">
        <f>IF(AND($A249&lt;&gt;"",$B249&lt;&gt;"",$C249&lt;&gt;"",$D249&lt;&gt;""),IF(OR($B249="SER",$B249="PLH",$B249="CSF"),"Control NIH Plate "&amp;(INT(((COUNTIFS($B$2:$B249,"SER")+COUNTIFS($B$2:$B249,"PLH")+COUNTIFS($B$2:$B249,"CSF"))-1)/96)+1)&amp;": "&amp;CHAR(65+INT(MOD((COUNTIFS($B$2:$B249,"SER")+COUNTIFS($B$2:$B249,"PLH")+COUNTIFS($B$2:$B249,"CSF"))-1,96)/12))&amp;(MOD((COUNTIFS($B$2:$B249,"SER")+COUNTIFS($B$2:$B249,"PLH")+COUNTIFS($B$2:$B249,"CSF"))-1,12)+1),"N/A"),"")</f>
        <v/>
      </c>
      <c r="I249" s="6" t="str">
        <f>IF(AND($A249&lt;&gt;"",$B249&lt;&gt;"",$C249&lt;&gt;"",$D249&lt;&gt;""),IF(OR($B249="SER",$B249="PLH"),"Control MAX Planck Plate "&amp;(INT(((COUNTIFS($B$2:$B249,"SER")+COUNTIFS($B$2:$B249,"PLH"))-1)/96)+1)&amp;": "&amp;CHAR(65+INT(MOD((COUNTIFS($B$2:$B249,"SER")+COUNTIFS($B$2:$B249,"PLH"))-1,96)/12))&amp;(MOD((COUNTIFS($B$2:$B249,"SER")+COUNTIFS($B$2:$B249,"PLH"))-1,12)+1),"N/A"),"")</f>
        <v/>
      </c>
      <c r="J249" s="6" t="str">
        <f>IF(AND($A249&lt;&gt;"",$B249&lt;&gt;"",$C249&lt;&gt;"",$D249&lt;&gt;""),IF($B249="WB","Control WB Box "&amp;(INT((COUNTIFS($B$2:$B249,"WB")-1)/81)+1)&amp;": "&amp;CHAR(65+INT(MOD(COUNTIFS($B$2:$B249,"WB")-1,81)/9))&amp;(MOD(COUNTIFS($B$2:$B249,"WB")-1,9)+1),"N/A"),"")</f>
        <v/>
      </c>
      <c r="K249" s="3" t="str">
        <f t="shared" si="55"/>
        <v/>
      </c>
      <c r="L249" s="2"/>
      <c r="M249" s="2"/>
      <c r="N249" s="2"/>
      <c r="O249" s="7" t="str">
        <f t="shared" si="56"/>
        <v/>
      </c>
      <c r="P249" s="7" t="str">
        <f t="shared" si="57"/>
        <v/>
      </c>
      <c r="Q249" s="7" t="str">
        <f t="shared" si="58"/>
        <v/>
      </c>
      <c r="R249" s="7" t="str">
        <f t="shared" si="59"/>
        <v/>
      </c>
      <c r="S249" s="7" t="str">
        <f t="shared" si="60"/>
        <v/>
      </c>
      <c r="T249" s="7" t="str">
        <f t="shared" si="61"/>
        <v/>
      </c>
      <c r="U249" s="7" t="str">
        <f t="shared" si="62"/>
        <v/>
      </c>
      <c r="V249" s="7" t="str">
        <f t="shared" si="63"/>
        <v/>
      </c>
      <c r="W249" s="7" t="str">
        <f t="shared" si="64"/>
        <v/>
      </c>
      <c r="X249" s="7" t="str">
        <f t="shared" si="65"/>
        <v/>
      </c>
      <c r="Y249">
        <f t="shared" si="66"/>
        <v>0</v>
      </c>
      <c r="Z249" t="str">
        <f t="shared" si="67"/>
        <v/>
      </c>
      <c r="AA249" t="str">
        <f t="shared" si="68"/>
        <v/>
      </c>
      <c r="AB249" t="str">
        <f t="shared" si="69"/>
        <v/>
      </c>
      <c r="AC249" t="str">
        <f t="shared" si="70"/>
        <v/>
      </c>
      <c r="AD249">
        <f t="shared" si="71"/>
        <v>0</v>
      </c>
    </row>
    <row r="250" spans="1:30" ht="15" customHeight="1" x14ac:dyDescent="0.35">
      <c r="A250" s="2"/>
      <c r="B250" s="3"/>
      <c r="C250" s="4"/>
      <c r="D250" s="5"/>
      <c r="E250" s="11" t="str">
        <f t="shared" ca="1" si="54"/>
        <v/>
      </c>
      <c r="F250" s="5"/>
      <c r="G250" s="6" t="str">
        <f>IF(AND($A250&lt;&gt;"",$B250&lt;&gt;"",$C250&lt;&gt;"",$D250&lt;&gt;""),IF(OR($B250="SER",$B250="PLH",$B250="CSF"),"Control CDI Plate "&amp;(INT(((COUNTIFS($B$2:$B250,"SER")+COUNTIFS($B$2:$B250,"PLH")+COUNTIFS($B$2:$B250,"CSF"))-1)/96)+1)&amp;": "&amp;CHAR(65+INT(MOD((COUNTIFS($B$2:$B250,"SER")+COUNTIFS($B$2:$B250,"PLH")+COUNTIFS($B$2:$B250,"CSF"))-1,96)/12))&amp;(MOD((COUNTIFS($B$2:$B250,"SER")+COUNTIFS($B$2:$B250,"PLH")+COUNTIFS($B$2:$B250,"CSF"))-1,12)+1),"N/A"),"")</f>
        <v/>
      </c>
      <c r="H250" s="6" t="str">
        <f>IF(AND($A250&lt;&gt;"",$B250&lt;&gt;"",$C250&lt;&gt;"",$D250&lt;&gt;""),IF(OR($B250="SER",$B250="PLH",$B250="CSF"),"Control NIH Plate "&amp;(INT(((COUNTIFS($B$2:$B250,"SER")+COUNTIFS($B$2:$B250,"PLH")+COUNTIFS($B$2:$B250,"CSF"))-1)/96)+1)&amp;": "&amp;CHAR(65+INT(MOD((COUNTIFS($B$2:$B250,"SER")+COUNTIFS($B$2:$B250,"PLH")+COUNTIFS($B$2:$B250,"CSF"))-1,96)/12))&amp;(MOD((COUNTIFS($B$2:$B250,"SER")+COUNTIFS($B$2:$B250,"PLH")+COUNTIFS($B$2:$B250,"CSF"))-1,12)+1),"N/A"),"")</f>
        <v/>
      </c>
      <c r="I250" s="6" t="str">
        <f>IF(AND($A250&lt;&gt;"",$B250&lt;&gt;"",$C250&lt;&gt;"",$D250&lt;&gt;""),IF(OR($B250="SER",$B250="PLH"),"Control MAX Planck Plate "&amp;(INT(((COUNTIFS($B$2:$B250,"SER")+COUNTIFS($B$2:$B250,"PLH"))-1)/96)+1)&amp;": "&amp;CHAR(65+INT(MOD((COUNTIFS($B$2:$B250,"SER")+COUNTIFS($B$2:$B250,"PLH"))-1,96)/12))&amp;(MOD((COUNTIFS($B$2:$B250,"SER")+COUNTIFS($B$2:$B250,"PLH"))-1,12)+1),"N/A"),"")</f>
        <v/>
      </c>
      <c r="J250" s="6" t="str">
        <f>IF(AND($A250&lt;&gt;"",$B250&lt;&gt;"",$C250&lt;&gt;"",$D250&lt;&gt;""),IF($B250="WB","Control WB Box "&amp;(INT((COUNTIFS($B$2:$B250,"WB")-1)/81)+1)&amp;": "&amp;CHAR(65+INT(MOD(COUNTIFS($B$2:$B250,"WB")-1,81)/9))&amp;(MOD(COUNTIFS($B$2:$B250,"WB")-1,9)+1),"N/A"),"")</f>
        <v/>
      </c>
      <c r="K250" s="3" t="str">
        <f t="shared" si="55"/>
        <v/>
      </c>
      <c r="L250" s="2"/>
      <c r="M250" s="2"/>
      <c r="N250" s="2"/>
      <c r="O250" s="7" t="str">
        <f t="shared" si="56"/>
        <v/>
      </c>
      <c r="P250" s="7" t="str">
        <f t="shared" si="57"/>
        <v/>
      </c>
      <c r="Q250" s="7" t="str">
        <f t="shared" si="58"/>
        <v/>
      </c>
      <c r="R250" s="7" t="str">
        <f t="shared" si="59"/>
        <v/>
      </c>
      <c r="S250" s="7" t="str">
        <f t="shared" si="60"/>
        <v/>
      </c>
      <c r="T250" s="7" t="str">
        <f t="shared" si="61"/>
        <v/>
      </c>
      <c r="U250" s="7" t="str">
        <f t="shared" si="62"/>
        <v/>
      </c>
      <c r="V250" s="7" t="str">
        <f t="shared" si="63"/>
        <v/>
      </c>
      <c r="W250" s="7" t="str">
        <f t="shared" si="64"/>
        <v/>
      </c>
      <c r="X250" s="7" t="str">
        <f t="shared" si="65"/>
        <v/>
      </c>
      <c r="Y250">
        <f t="shared" si="66"/>
        <v>0</v>
      </c>
      <c r="Z250" t="str">
        <f t="shared" si="67"/>
        <v/>
      </c>
      <c r="AA250" t="str">
        <f t="shared" si="68"/>
        <v/>
      </c>
      <c r="AB250" t="str">
        <f t="shared" si="69"/>
        <v/>
      </c>
      <c r="AC250" t="str">
        <f t="shared" si="70"/>
        <v/>
      </c>
      <c r="AD250">
        <f t="shared" si="71"/>
        <v>0</v>
      </c>
    </row>
    <row r="251" spans="1:30" ht="15" customHeight="1" x14ac:dyDescent="0.35">
      <c r="A251" s="2"/>
      <c r="B251" s="3"/>
      <c r="C251" s="4"/>
      <c r="D251" s="5"/>
      <c r="E251" s="11" t="str">
        <f t="shared" ca="1" si="54"/>
        <v/>
      </c>
      <c r="F251" s="5"/>
      <c r="G251" s="6" t="str">
        <f>IF(AND($A251&lt;&gt;"",$B251&lt;&gt;"",$C251&lt;&gt;"",$D251&lt;&gt;""),IF(OR($B251="SER",$B251="PLH",$B251="CSF"),"Control CDI Plate "&amp;(INT(((COUNTIFS($B$2:$B251,"SER")+COUNTIFS($B$2:$B251,"PLH")+COUNTIFS($B$2:$B251,"CSF"))-1)/96)+1)&amp;": "&amp;CHAR(65+INT(MOD((COUNTIFS($B$2:$B251,"SER")+COUNTIFS($B$2:$B251,"PLH")+COUNTIFS($B$2:$B251,"CSF"))-1,96)/12))&amp;(MOD((COUNTIFS($B$2:$B251,"SER")+COUNTIFS($B$2:$B251,"PLH")+COUNTIFS($B$2:$B251,"CSF"))-1,12)+1),"N/A"),"")</f>
        <v/>
      </c>
      <c r="H251" s="6" t="str">
        <f>IF(AND($A251&lt;&gt;"",$B251&lt;&gt;"",$C251&lt;&gt;"",$D251&lt;&gt;""),IF(OR($B251="SER",$B251="PLH",$B251="CSF"),"Control NIH Plate "&amp;(INT(((COUNTIFS($B$2:$B251,"SER")+COUNTIFS($B$2:$B251,"PLH")+COUNTIFS($B$2:$B251,"CSF"))-1)/96)+1)&amp;": "&amp;CHAR(65+INT(MOD((COUNTIFS($B$2:$B251,"SER")+COUNTIFS($B$2:$B251,"PLH")+COUNTIFS($B$2:$B251,"CSF"))-1,96)/12))&amp;(MOD((COUNTIFS($B$2:$B251,"SER")+COUNTIFS($B$2:$B251,"PLH")+COUNTIFS($B$2:$B251,"CSF"))-1,12)+1),"N/A"),"")</f>
        <v/>
      </c>
      <c r="I251" s="6" t="str">
        <f>IF(AND($A251&lt;&gt;"",$B251&lt;&gt;"",$C251&lt;&gt;"",$D251&lt;&gt;""),IF(OR($B251="SER",$B251="PLH"),"Control MAX Planck Plate "&amp;(INT(((COUNTIFS($B$2:$B251,"SER")+COUNTIFS($B$2:$B251,"PLH"))-1)/96)+1)&amp;": "&amp;CHAR(65+INT(MOD((COUNTIFS($B$2:$B251,"SER")+COUNTIFS($B$2:$B251,"PLH"))-1,96)/12))&amp;(MOD((COUNTIFS($B$2:$B251,"SER")+COUNTIFS($B$2:$B251,"PLH"))-1,12)+1),"N/A"),"")</f>
        <v/>
      </c>
      <c r="J251" s="6" t="str">
        <f>IF(AND($A251&lt;&gt;"",$B251&lt;&gt;"",$C251&lt;&gt;"",$D251&lt;&gt;""),IF($B251="WB","Control WB Box "&amp;(INT((COUNTIFS($B$2:$B251,"WB")-1)/81)+1)&amp;": "&amp;CHAR(65+INT(MOD(COUNTIFS($B$2:$B251,"WB")-1,81)/9))&amp;(MOD(COUNTIFS($B$2:$B251,"WB")-1,9)+1),"N/A"),"")</f>
        <v/>
      </c>
      <c r="K251" s="3" t="str">
        <f t="shared" si="55"/>
        <v/>
      </c>
      <c r="L251" s="2"/>
      <c r="M251" s="2"/>
      <c r="N251" s="2"/>
      <c r="O251" s="7" t="str">
        <f t="shared" si="56"/>
        <v/>
      </c>
      <c r="P251" s="7" t="str">
        <f t="shared" si="57"/>
        <v/>
      </c>
      <c r="Q251" s="7" t="str">
        <f t="shared" si="58"/>
        <v/>
      </c>
      <c r="R251" s="7" t="str">
        <f t="shared" si="59"/>
        <v/>
      </c>
      <c r="S251" s="7" t="str">
        <f t="shared" si="60"/>
        <v/>
      </c>
      <c r="T251" s="7" t="str">
        <f t="shared" si="61"/>
        <v/>
      </c>
      <c r="U251" s="7" t="str">
        <f t="shared" si="62"/>
        <v/>
      </c>
      <c r="V251" s="7" t="str">
        <f t="shared" si="63"/>
        <v/>
      </c>
      <c r="W251" s="7" t="str">
        <f t="shared" si="64"/>
        <v/>
      </c>
      <c r="X251" s="7" t="str">
        <f t="shared" si="65"/>
        <v/>
      </c>
      <c r="Y251">
        <f t="shared" si="66"/>
        <v>0</v>
      </c>
      <c r="Z251" t="str">
        <f t="shared" si="67"/>
        <v/>
      </c>
      <c r="AA251" t="str">
        <f t="shared" si="68"/>
        <v/>
      </c>
      <c r="AB251" t="str">
        <f t="shared" si="69"/>
        <v/>
      </c>
      <c r="AC251" t="str">
        <f t="shared" si="70"/>
        <v/>
      </c>
      <c r="AD251">
        <f t="shared" si="71"/>
        <v>0</v>
      </c>
    </row>
    <row r="252" spans="1:30" ht="15" customHeight="1" x14ac:dyDescent="0.35">
      <c r="A252" s="2"/>
      <c r="B252" s="3"/>
      <c r="C252" s="4"/>
      <c r="D252" s="5"/>
      <c r="E252" s="11" t="str">
        <f t="shared" ca="1" si="54"/>
        <v/>
      </c>
      <c r="F252" s="5"/>
      <c r="G252" s="6" t="str">
        <f>IF(AND($A252&lt;&gt;"",$B252&lt;&gt;"",$C252&lt;&gt;"",$D252&lt;&gt;""),IF(OR($B252="SER",$B252="PLH",$B252="CSF"),"Control CDI Plate "&amp;(INT(((COUNTIFS($B$2:$B252,"SER")+COUNTIFS($B$2:$B252,"PLH")+COUNTIFS($B$2:$B252,"CSF"))-1)/96)+1)&amp;": "&amp;CHAR(65+INT(MOD((COUNTIFS($B$2:$B252,"SER")+COUNTIFS($B$2:$B252,"PLH")+COUNTIFS($B$2:$B252,"CSF"))-1,96)/12))&amp;(MOD((COUNTIFS($B$2:$B252,"SER")+COUNTIFS($B$2:$B252,"PLH")+COUNTIFS($B$2:$B252,"CSF"))-1,12)+1),"N/A"),"")</f>
        <v/>
      </c>
      <c r="H252" s="6" t="str">
        <f>IF(AND($A252&lt;&gt;"",$B252&lt;&gt;"",$C252&lt;&gt;"",$D252&lt;&gt;""),IF(OR($B252="SER",$B252="PLH",$B252="CSF"),"Control NIH Plate "&amp;(INT(((COUNTIFS($B$2:$B252,"SER")+COUNTIFS($B$2:$B252,"PLH")+COUNTIFS($B$2:$B252,"CSF"))-1)/96)+1)&amp;": "&amp;CHAR(65+INT(MOD((COUNTIFS($B$2:$B252,"SER")+COUNTIFS($B$2:$B252,"PLH")+COUNTIFS($B$2:$B252,"CSF"))-1,96)/12))&amp;(MOD((COUNTIFS($B$2:$B252,"SER")+COUNTIFS($B$2:$B252,"PLH")+COUNTIFS($B$2:$B252,"CSF"))-1,12)+1),"N/A"),"")</f>
        <v/>
      </c>
      <c r="I252" s="6" t="str">
        <f>IF(AND($A252&lt;&gt;"",$B252&lt;&gt;"",$C252&lt;&gt;"",$D252&lt;&gt;""),IF(OR($B252="SER",$B252="PLH"),"Control MAX Planck Plate "&amp;(INT(((COUNTIFS($B$2:$B252,"SER")+COUNTIFS($B$2:$B252,"PLH"))-1)/96)+1)&amp;": "&amp;CHAR(65+INT(MOD((COUNTIFS($B$2:$B252,"SER")+COUNTIFS($B$2:$B252,"PLH"))-1,96)/12))&amp;(MOD((COUNTIFS($B$2:$B252,"SER")+COUNTIFS($B$2:$B252,"PLH"))-1,12)+1),"N/A"),"")</f>
        <v/>
      </c>
      <c r="J252" s="6" t="str">
        <f>IF(AND($A252&lt;&gt;"",$B252&lt;&gt;"",$C252&lt;&gt;"",$D252&lt;&gt;""),IF($B252="WB","Control WB Box "&amp;(INT((COUNTIFS($B$2:$B252,"WB")-1)/81)+1)&amp;": "&amp;CHAR(65+INT(MOD(COUNTIFS($B$2:$B252,"WB")-1,81)/9))&amp;(MOD(COUNTIFS($B$2:$B252,"WB")-1,9)+1),"N/A"),"")</f>
        <v/>
      </c>
      <c r="K252" s="3" t="str">
        <f t="shared" si="55"/>
        <v/>
      </c>
      <c r="L252" s="2"/>
      <c r="M252" s="2"/>
      <c r="N252" s="2"/>
      <c r="O252" s="7" t="str">
        <f t="shared" si="56"/>
        <v/>
      </c>
      <c r="P252" s="7" t="str">
        <f t="shared" si="57"/>
        <v/>
      </c>
      <c r="Q252" s="7" t="str">
        <f t="shared" si="58"/>
        <v/>
      </c>
      <c r="R252" s="7" t="str">
        <f t="shared" si="59"/>
        <v/>
      </c>
      <c r="S252" s="7" t="str">
        <f t="shared" si="60"/>
        <v/>
      </c>
      <c r="T252" s="7" t="str">
        <f t="shared" si="61"/>
        <v/>
      </c>
      <c r="U252" s="7" t="str">
        <f t="shared" si="62"/>
        <v/>
      </c>
      <c r="V252" s="7" t="str">
        <f t="shared" si="63"/>
        <v/>
      </c>
      <c r="W252" s="7" t="str">
        <f t="shared" si="64"/>
        <v/>
      </c>
      <c r="X252" s="7" t="str">
        <f t="shared" si="65"/>
        <v/>
      </c>
      <c r="Y252">
        <f t="shared" si="66"/>
        <v>0</v>
      </c>
      <c r="Z252" t="str">
        <f t="shared" si="67"/>
        <v/>
      </c>
      <c r="AA252" t="str">
        <f t="shared" si="68"/>
        <v/>
      </c>
      <c r="AB252" t="str">
        <f t="shared" si="69"/>
        <v/>
      </c>
      <c r="AC252" t="str">
        <f t="shared" si="70"/>
        <v/>
      </c>
      <c r="AD252">
        <f t="shared" si="71"/>
        <v>0</v>
      </c>
    </row>
    <row r="253" spans="1:30" ht="15" customHeight="1" x14ac:dyDescent="0.35">
      <c r="A253" s="2"/>
      <c r="B253" s="3"/>
      <c r="C253" s="4"/>
      <c r="D253" s="5"/>
      <c r="E253" s="11" t="str">
        <f t="shared" ref="E253:E316" ca="1" si="72">IF(AND($A253&lt;&gt;"",$B253&lt;&gt;"",$C253&lt;&gt;"",$D253&lt;&gt;""),TODAY(),"")</f>
        <v/>
      </c>
      <c r="F253" s="5"/>
      <c r="G253" s="6" t="str">
        <f>IF(AND($A253&lt;&gt;"",$B253&lt;&gt;"",$C253&lt;&gt;"",$D253&lt;&gt;""),IF(OR($B253="SER",$B253="PLH",$B253="CSF"),"Control CDI Plate "&amp;(INT(((COUNTIFS($B$2:$B253,"SER")+COUNTIFS($B$2:$B253,"PLH")+COUNTIFS($B$2:$B253,"CSF"))-1)/96)+1)&amp;": "&amp;CHAR(65+INT(MOD((COUNTIFS($B$2:$B253,"SER")+COUNTIFS($B$2:$B253,"PLH")+COUNTIFS($B$2:$B253,"CSF"))-1,96)/12))&amp;(MOD((COUNTIFS($B$2:$B253,"SER")+COUNTIFS($B$2:$B253,"PLH")+COUNTIFS($B$2:$B253,"CSF"))-1,12)+1),"N/A"),"")</f>
        <v/>
      </c>
      <c r="H253" s="6" t="str">
        <f>IF(AND($A253&lt;&gt;"",$B253&lt;&gt;"",$C253&lt;&gt;"",$D253&lt;&gt;""),IF(OR($B253="SER",$B253="PLH",$B253="CSF"),"Control NIH Plate "&amp;(INT(((COUNTIFS($B$2:$B253,"SER")+COUNTIFS($B$2:$B253,"PLH")+COUNTIFS($B$2:$B253,"CSF"))-1)/96)+1)&amp;": "&amp;CHAR(65+INT(MOD((COUNTIFS($B$2:$B253,"SER")+COUNTIFS($B$2:$B253,"PLH")+COUNTIFS($B$2:$B253,"CSF"))-1,96)/12))&amp;(MOD((COUNTIFS($B$2:$B253,"SER")+COUNTIFS($B$2:$B253,"PLH")+COUNTIFS($B$2:$B253,"CSF"))-1,12)+1),"N/A"),"")</f>
        <v/>
      </c>
      <c r="I253" s="6" t="str">
        <f>IF(AND($A253&lt;&gt;"",$B253&lt;&gt;"",$C253&lt;&gt;"",$D253&lt;&gt;""),IF(OR($B253="SER",$B253="PLH"),"Control MAX Planck Plate "&amp;(INT(((COUNTIFS($B$2:$B253,"SER")+COUNTIFS($B$2:$B253,"PLH"))-1)/96)+1)&amp;": "&amp;CHAR(65+INT(MOD((COUNTIFS($B$2:$B253,"SER")+COUNTIFS($B$2:$B253,"PLH"))-1,96)/12))&amp;(MOD((COUNTIFS($B$2:$B253,"SER")+COUNTIFS($B$2:$B253,"PLH"))-1,12)+1),"N/A"),"")</f>
        <v/>
      </c>
      <c r="J253" s="6" t="str">
        <f>IF(AND($A253&lt;&gt;"",$B253&lt;&gt;"",$C253&lt;&gt;"",$D253&lt;&gt;""),IF($B253="WB","Control WB Box "&amp;(INT((COUNTIFS($B$2:$B253,"WB")-1)/81)+1)&amp;": "&amp;CHAR(65+INT(MOD(COUNTIFS($B$2:$B253,"WB")-1,81)/9))&amp;(MOD(COUNTIFS($B$2:$B253,"WB")-1,9)+1),"N/A"),"")</f>
        <v/>
      </c>
      <c r="K253" s="3" t="str">
        <f t="shared" ref="K253:K316" si="73">IF(AND($A253&lt;&gt;"",$B253&lt;&gt;"",$C253&lt;&gt;"",$D253&lt;&gt;""),IF($B253="WB","No",""),"")</f>
        <v/>
      </c>
      <c r="L253" s="2"/>
      <c r="M253" s="2"/>
      <c r="N253" s="2"/>
      <c r="O253" s="7" t="str">
        <f t="shared" ref="O253:O316" si="74">IF($A253&lt;&gt;"",MID($A253,7,4),"")</f>
        <v/>
      </c>
      <c r="P253" s="7" t="str">
        <f t="shared" ref="P253:P316" si="75">IF($C253&lt;&gt;"",TEXT($C253,"mmddyy"),"")</f>
        <v/>
      </c>
      <c r="Q253" s="7" t="str">
        <f t="shared" ref="Q253:Q316" si="76">IF(AND($A253&lt;&gt;"",$B253&lt;&gt;"",$C253&lt;&gt;""),IF($B253="WB","cn_"&amp;$O253&amp;"_wb_"&amp;$P253,"cn_"&amp;$O253&amp;"_"&amp;LOWER($B253)&amp;"_"&amp;IF($B253="CSF","0.50","0.20")&amp;"_"&amp;$P253),"")</f>
        <v/>
      </c>
      <c r="R253" s="7" t="str">
        <f t="shared" ref="R253:R316" si="77">IF(AND($A253&lt;&gt;"",$B253="WB",$C253&lt;&gt;""),"cn_"&amp;$O253&amp;"_wb_"&amp;$P253,"")</f>
        <v/>
      </c>
      <c r="S253" s="7" t="str">
        <f t="shared" ref="S253:S316" si="78">IFERROR(VALUE(MID($L253,FIND("Box ",$L253)+4,FIND(":",$L253)-FIND("Box ",$L253)-4)),"")</f>
        <v/>
      </c>
      <c r="T253" s="7" t="str">
        <f t="shared" ref="T253:T316" si="79">IFERROR(CODE(UPPER(LEFT(LEFT(TRIM(MID(SUBSTITUTE(TRIM(MID($L253,FIND(":",$L253)+1,200)),",",REPT(" ",60)),1,60)),IFERROR(FIND("-",TRIM(MID(SUBSTITUTE(TRIM(MID($L253,FIND(":",$L253)+1,200)),",",REPT(" ",60)),1,60)))-1,LEN(TRIM(MID(SUBSTITUTE(TRIM(MID($L253,FIND(":",$L253)+1,200)),",",REPT(" ",60)),1,60))))),1)))-64,"")</f>
        <v/>
      </c>
      <c r="U253" s="7" t="str">
        <f t="shared" ref="U253:U316" si="80">IFERROR(VALUE(MID(LEFT(TRIM(MID(SUBSTITUTE(TRIM(MID($L253,FIND(":",$L253)+1,200)),",",REPT(" ",60)),1,60)),IFERROR(FIND("-",TRIM(MID(SUBSTITUTE(TRIM(MID($L253,FIND(":",$L253)+1,200)),",",REPT(" ",60)),1,60)))-1,LEN(TRIM(MID(SUBSTITUTE(TRIM(MID($L253,FIND(":",$L253)+1,200)),",",REPT(" ",60)),1,60))))),2,3)),"")</f>
        <v/>
      </c>
      <c r="V253" s="7" t="str">
        <f t="shared" ref="V253:V316" si="81">IFERROR(CODE(UPPER(LEFT(IFERROR(MID(TRIM(MID(SUBSTITUTE(TRIM(MID($L253,FIND(":",$L253)+1,200)),",",REPT(" ",60)),1,60)),FIND("-",TRIM(MID(SUBSTITUTE(TRIM(MID($L253,FIND(":",$L253)+1,200)),",",REPT(" ",60)),1,60)))+1,99),LEFT(TRIM(MID(SUBSTITUTE(TRIM(MID($L253,FIND(":",$L253)+1,200)),",",REPT(" ",60)),1,60)),IFERROR(FIND("-",TRIM(MID(SUBSTITUTE(TRIM(MID($L253,FIND(":",$L253)+1,200)),",",REPT(" ",60)),1,60)))-1,LEN(TRIM(MID(SUBSTITUTE(TRIM(MID($L253,FIND(":",$L253)+1,200)),",",REPT(" ",60)),1,60)))))),1)))-64,"")</f>
        <v/>
      </c>
      <c r="W253" s="7" t="str">
        <f t="shared" ref="W253:W316" si="82">IFERROR(VALUE(MID(IFERROR(MID(TRIM(MID(SUBSTITUTE(TRIM(MID($L253,FIND(":",$L253)+1,200)),",",REPT(" ",60)),1,60)),FIND("-",TRIM(MID(SUBSTITUTE(TRIM(MID($L253,FIND(":",$L253)+1,200)),",",REPT(" ",60)),1,60)))+1,99),LEFT(TRIM(MID(SUBSTITUTE(TRIM(MID($L253,FIND(":",$L253)+1,200)),",",REPT(" ",60)),1,60)),IFERROR(FIND("-",TRIM(MID(SUBSTITUTE(TRIM(MID($L253,FIND(":",$L253)+1,200)),",",REPT(" ",60)),1,60)))-1,LEN(TRIM(MID(SUBSTITUTE(TRIM(MID($L253,FIND(":",$L253)+1,200)),",",REPT(" ",60)),1,60)))))),2,3)),"")</f>
        <v/>
      </c>
      <c r="X253" s="7" t="str">
        <f t="shared" ref="X253:X316" si="83">IF(AND($A253&lt;&gt;"",$B253&lt;&gt;"",$C253&lt;&gt;""),"cn_"&amp;$O253&amp;"_"&amp;LOWER($B253)&amp;"_","")</f>
        <v/>
      </c>
      <c r="Y253">
        <f t="shared" ref="Y253:Y316" si="84">IFERROR(($V253-$T253+1)*($W253-$U253+1),0)</f>
        <v>0</v>
      </c>
      <c r="Z253" t="str">
        <f t="shared" ref="Z253:Z316" si="85">IFERROR(CODE(UPPER(LEFT(LEFT(TRIM(MID(SUBSTITUTE(TRIM(MID($L253,FIND(":",$L253)+1,200)),",",REPT(" ",60)),61,60)),IFERROR(FIND("-",TRIM(MID(SUBSTITUTE(TRIM(MID($L253,FIND(":",$L253)+1,200)),",",REPT(" ",60)),61,60)))-1,LEN(TRIM(MID(SUBSTITUTE(TRIM(MID($L253,FIND(":",$L253)+1,200)),",",REPT(" ",60)),61,60))))),1)))-64,"")</f>
        <v/>
      </c>
      <c r="AA253" t="str">
        <f t="shared" ref="AA253:AA316" si="86">IFERROR(VALUE(MID(LEFT(TRIM(MID(SUBSTITUTE(TRIM(MID($L253,FIND(":",$L253)+1,200)),",",REPT(" ",60)),61,60)),IFERROR(FIND("-",TRIM(MID(SUBSTITUTE(TRIM(MID($L253,FIND(":",$L253)+1,200)),",",REPT(" ",60)),61,60)))-1,LEN(TRIM(MID(SUBSTITUTE(TRIM(MID($L253,FIND(":",$L253)+1,200)),",",REPT(" ",60)),61,60))))),2,3)),"")</f>
        <v/>
      </c>
      <c r="AB253" t="str">
        <f t="shared" ref="AB253:AB316" si="87">IFERROR(CODE(UPPER(LEFT(IFERROR(MID(TRIM(MID(SUBSTITUTE(TRIM(MID($L253,FIND(":",$L253)+1,200)),",",REPT(" ",60)),61,60)),FIND("-",TRIM(MID(SUBSTITUTE(TRIM(MID($L253,FIND(":",$L253)+1,200)),",",REPT(" ",60)),61,60)))+1,99),LEFT(TRIM(MID(SUBSTITUTE(TRIM(MID($L253,FIND(":",$L253)+1,200)),",",REPT(" ",60)),61,60)),IFERROR(FIND("-",TRIM(MID(SUBSTITUTE(TRIM(MID($L253,FIND(":",$L253)+1,200)),",",REPT(" ",60)),61,60)))-1,LEN(TRIM(MID(SUBSTITUTE(TRIM(MID($L253,FIND(":",$L253)+1,200)),",",REPT(" ",60)),61,60)))))),1)))-64,"")</f>
        <v/>
      </c>
      <c r="AC253" t="str">
        <f t="shared" ref="AC253:AC316" si="88">IFERROR(VALUE(MID(IFERROR(MID(TRIM(MID(SUBSTITUTE(TRIM(MID($L253,FIND(":",$L253)+1,200)),",",REPT(" ",60)),61,60)),FIND("-",TRIM(MID(SUBSTITUTE(TRIM(MID($L253,FIND(":",$L253)+1,200)),",",REPT(" ",60)),61,60)))+1,99),LEFT(TRIM(MID(SUBSTITUTE(TRIM(MID($L253,FIND(":",$L253)+1,200)),",",REPT(" ",60)),61,60)),IFERROR(FIND("-",TRIM(MID(SUBSTITUTE(TRIM(MID($L253,FIND(":",$L253)+1,200)),",",REPT(" ",60)),61,60)))-1,LEN(TRIM(MID(SUBSTITUTE(TRIM(MID($L253,FIND(":",$L253)+1,200)),",",REPT(" ",60)),61,60)))))),2,3)),"")</f>
        <v/>
      </c>
      <c r="AD253">
        <f t="shared" ref="AD253:AD316" si="89">IFERROR(($AB253-$Z253+1)*($AC253-$AA253+1),0)</f>
        <v>0</v>
      </c>
    </row>
    <row r="254" spans="1:30" ht="15" customHeight="1" x14ac:dyDescent="0.35">
      <c r="A254" s="2"/>
      <c r="B254" s="3"/>
      <c r="C254" s="4"/>
      <c r="D254" s="5"/>
      <c r="E254" s="11" t="str">
        <f t="shared" ca="1" si="72"/>
        <v/>
      </c>
      <c r="F254" s="5"/>
      <c r="G254" s="6" t="str">
        <f>IF(AND($A254&lt;&gt;"",$B254&lt;&gt;"",$C254&lt;&gt;"",$D254&lt;&gt;""),IF(OR($B254="SER",$B254="PLH",$B254="CSF"),"Control CDI Plate "&amp;(INT(((COUNTIFS($B$2:$B254,"SER")+COUNTIFS($B$2:$B254,"PLH")+COUNTIFS($B$2:$B254,"CSF"))-1)/96)+1)&amp;": "&amp;CHAR(65+INT(MOD((COUNTIFS($B$2:$B254,"SER")+COUNTIFS($B$2:$B254,"PLH")+COUNTIFS($B$2:$B254,"CSF"))-1,96)/12))&amp;(MOD((COUNTIFS($B$2:$B254,"SER")+COUNTIFS($B$2:$B254,"PLH")+COUNTIFS($B$2:$B254,"CSF"))-1,12)+1),"N/A"),"")</f>
        <v/>
      </c>
      <c r="H254" s="6" t="str">
        <f>IF(AND($A254&lt;&gt;"",$B254&lt;&gt;"",$C254&lt;&gt;"",$D254&lt;&gt;""),IF(OR($B254="SER",$B254="PLH",$B254="CSF"),"Control NIH Plate "&amp;(INT(((COUNTIFS($B$2:$B254,"SER")+COUNTIFS($B$2:$B254,"PLH")+COUNTIFS($B$2:$B254,"CSF"))-1)/96)+1)&amp;": "&amp;CHAR(65+INT(MOD((COUNTIFS($B$2:$B254,"SER")+COUNTIFS($B$2:$B254,"PLH")+COUNTIFS($B$2:$B254,"CSF"))-1,96)/12))&amp;(MOD((COUNTIFS($B$2:$B254,"SER")+COUNTIFS($B$2:$B254,"PLH")+COUNTIFS($B$2:$B254,"CSF"))-1,12)+1),"N/A"),"")</f>
        <v/>
      </c>
      <c r="I254" s="6" t="str">
        <f>IF(AND($A254&lt;&gt;"",$B254&lt;&gt;"",$C254&lt;&gt;"",$D254&lt;&gt;""),IF(OR($B254="SER",$B254="PLH"),"Control MAX Planck Plate "&amp;(INT(((COUNTIFS($B$2:$B254,"SER")+COUNTIFS($B$2:$B254,"PLH"))-1)/96)+1)&amp;": "&amp;CHAR(65+INT(MOD((COUNTIFS($B$2:$B254,"SER")+COUNTIFS($B$2:$B254,"PLH"))-1,96)/12))&amp;(MOD((COUNTIFS($B$2:$B254,"SER")+COUNTIFS($B$2:$B254,"PLH"))-1,12)+1),"N/A"),"")</f>
        <v/>
      </c>
      <c r="J254" s="6" t="str">
        <f>IF(AND($A254&lt;&gt;"",$B254&lt;&gt;"",$C254&lt;&gt;"",$D254&lt;&gt;""),IF($B254="WB","Control WB Box "&amp;(INT((COUNTIFS($B$2:$B254,"WB")-1)/81)+1)&amp;": "&amp;CHAR(65+INT(MOD(COUNTIFS($B$2:$B254,"WB")-1,81)/9))&amp;(MOD(COUNTIFS($B$2:$B254,"WB")-1,9)+1),"N/A"),"")</f>
        <v/>
      </c>
      <c r="K254" s="3" t="str">
        <f t="shared" si="73"/>
        <v/>
      </c>
      <c r="L254" s="2"/>
      <c r="M254" s="2"/>
      <c r="N254" s="2"/>
      <c r="O254" s="7" t="str">
        <f t="shared" si="74"/>
        <v/>
      </c>
      <c r="P254" s="7" t="str">
        <f t="shared" si="75"/>
        <v/>
      </c>
      <c r="Q254" s="7" t="str">
        <f t="shared" si="76"/>
        <v/>
      </c>
      <c r="R254" s="7" t="str">
        <f t="shared" si="77"/>
        <v/>
      </c>
      <c r="S254" s="7" t="str">
        <f t="shared" si="78"/>
        <v/>
      </c>
      <c r="T254" s="7" t="str">
        <f t="shared" si="79"/>
        <v/>
      </c>
      <c r="U254" s="7" t="str">
        <f t="shared" si="80"/>
        <v/>
      </c>
      <c r="V254" s="7" t="str">
        <f t="shared" si="81"/>
        <v/>
      </c>
      <c r="W254" s="7" t="str">
        <f t="shared" si="82"/>
        <v/>
      </c>
      <c r="X254" s="7" t="str">
        <f t="shared" si="83"/>
        <v/>
      </c>
      <c r="Y254">
        <f t="shared" si="84"/>
        <v>0</v>
      </c>
      <c r="Z254" t="str">
        <f t="shared" si="85"/>
        <v/>
      </c>
      <c r="AA254" t="str">
        <f t="shared" si="86"/>
        <v/>
      </c>
      <c r="AB254" t="str">
        <f t="shared" si="87"/>
        <v/>
      </c>
      <c r="AC254" t="str">
        <f t="shared" si="88"/>
        <v/>
      </c>
      <c r="AD254">
        <f t="shared" si="89"/>
        <v>0</v>
      </c>
    </row>
    <row r="255" spans="1:30" ht="15" customHeight="1" x14ac:dyDescent="0.35">
      <c r="A255" s="2"/>
      <c r="B255" s="3"/>
      <c r="C255" s="4"/>
      <c r="D255" s="5"/>
      <c r="E255" s="11" t="str">
        <f t="shared" ca="1" si="72"/>
        <v/>
      </c>
      <c r="F255" s="5"/>
      <c r="G255" s="6" t="str">
        <f>IF(AND($A255&lt;&gt;"",$B255&lt;&gt;"",$C255&lt;&gt;"",$D255&lt;&gt;""),IF(OR($B255="SER",$B255="PLH",$B255="CSF"),"Control CDI Plate "&amp;(INT(((COUNTIFS($B$2:$B255,"SER")+COUNTIFS($B$2:$B255,"PLH")+COUNTIFS($B$2:$B255,"CSF"))-1)/96)+1)&amp;": "&amp;CHAR(65+INT(MOD((COUNTIFS($B$2:$B255,"SER")+COUNTIFS($B$2:$B255,"PLH")+COUNTIFS($B$2:$B255,"CSF"))-1,96)/12))&amp;(MOD((COUNTIFS($B$2:$B255,"SER")+COUNTIFS($B$2:$B255,"PLH")+COUNTIFS($B$2:$B255,"CSF"))-1,12)+1),"N/A"),"")</f>
        <v/>
      </c>
      <c r="H255" s="6" t="str">
        <f>IF(AND($A255&lt;&gt;"",$B255&lt;&gt;"",$C255&lt;&gt;"",$D255&lt;&gt;""),IF(OR($B255="SER",$B255="PLH",$B255="CSF"),"Control NIH Plate "&amp;(INT(((COUNTIFS($B$2:$B255,"SER")+COUNTIFS($B$2:$B255,"PLH")+COUNTIFS($B$2:$B255,"CSF"))-1)/96)+1)&amp;": "&amp;CHAR(65+INT(MOD((COUNTIFS($B$2:$B255,"SER")+COUNTIFS($B$2:$B255,"PLH")+COUNTIFS($B$2:$B255,"CSF"))-1,96)/12))&amp;(MOD((COUNTIFS($B$2:$B255,"SER")+COUNTIFS($B$2:$B255,"PLH")+COUNTIFS($B$2:$B255,"CSF"))-1,12)+1),"N/A"),"")</f>
        <v/>
      </c>
      <c r="I255" s="6" t="str">
        <f>IF(AND($A255&lt;&gt;"",$B255&lt;&gt;"",$C255&lt;&gt;"",$D255&lt;&gt;""),IF(OR($B255="SER",$B255="PLH"),"Control MAX Planck Plate "&amp;(INT(((COUNTIFS($B$2:$B255,"SER")+COUNTIFS($B$2:$B255,"PLH"))-1)/96)+1)&amp;": "&amp;CHAR(65+INT(MOD((COUNTIFS($B$2:$B255,"SER")+COUNTIFS($B$2:$B255,"PLH"))-1,96)/12))&amp;(MOD((COUNTIFS($B$2:$B255,"SER")+COUNTIFS($B$2:$B255,"PLH"))-1,12)+1),"N/A"),"")</f>
        <v/>
      </c>
      <c r="J255" s="6" t="str">
        <f>IF(AND($A255&lt;&gt;"",$B255&lt;&gt;"",$C255&lt;&gt;"",$D255&lt;&gt;""),IF($B255="WB","Control WB Box "&amp;(INT((COUNTIFS($B$2:$B255,"WB")-1)/81)+1)&amp;": "&amp;CHAR(65+INT(MOD(COUNTIFS($B$2:$B255,"WB")-1,81)/9))&amp;(MOD(COUNTIFS($B$2:$B255,"WB")-1,9)+1),"N/A"),"")</f>
        <v/>
      </c>
      <c r="K255" s="3" t="str">
        <f t="shared" si="73"/>
        <v/>
      </c>
      <c r="L255" s="2"/>
      <c r="M255" s="2"/>
      <c r="N255" s="2"/>
      <c r="O255" s="7" t="str">
        <f t="shared" si="74"/>
        <v/>
      </c>
      <c r="P255" s="7" t="str">
        <f t="shared" si="75"/>
        <v/>
      </c>
      <c r="Q255" s="7" t="str">
        <f t="shared" si="76"/>
        <v/>
      </c>
      <c r="R255" s="7" t="str">
        <f t="shared" si="77"/>
        <v/>
      </c>
      <c r="S255" s="7" t="str">
        <f t="shared" si="78"/>
        <v/>
      </c>
      <c r="T255" s="7" t="str">
        <f t="shared" si="79"/>
        <v/>
      </c>
      <c r="U255" s="7" t="str">
        <f t="shared" si="80"/>
        <v/>
      </c>
      <c r="V255" s="7" t="str">
        <f t="shared" si="81"/>
        <v/>
      </c>
      <c r="W255" s="7" t="str">
        <f t="shared" si="82"/>
        <v/>
      </c>
      <c r="X255" s="7" t="str">
        <f t="shared" si="83"/>
        <v/>
      </c>
      <c r="Y255">
        <f t="shared" si="84"/>
        <v>0</v>
      </c>
      <c r="Z255" t="str">
        <f t="shared" si="85"/>
        <v/>
      </c>
      <c r="AA255" t="str">
        <f t="shared" si="86"/>
        <v/>
      </c>
      <c r="AB255" t="str">
        <f t="shared" si="87"/>
        <v/>
      </c>
      <c r="AC255" t="str">
        <f t="shared" si="88"/>
        <v/>
      </c>
      <c r="AD255">
        <f t="shared" si="89"/>
        <v>0</v>
      </c>
    </row>
    <row r="256" spans="1:30" ht="15" customHeight="1" x14ac:dyDescent="0.35">
      <c r="A256" s="2"/>
      <c r="B256" s="3"/>
      <c r="C256" s="4"/>
      <c r="D256" s="5"/>
      <c r="E256" s="11" t="str">
        <f t="shared" ca="1" si="72"/>
        <v/>
      </c>
      <c r="F256" s="5"/>
      <c r="G256" s="6" t="str">
        <f>IF(AND($A256&lt;&gt;"",$B256&lt;&gt;"",$C256&lt;&gt;"",$D256&lt;&gt;""),IF(OR($B256="SER",$B256="PLH",$B256="CSF"),"Control CDI Plate "&amp;(INT(((COUNTIFS($B$2:$B256,"SER")+COUNTIFS($B$2:$B256,"PLH")+COUNTIFS($B$2:$B256,"CSF"))-1)/96)+1)&amp;": "&amp;CHAR(65+INT(MOD((COUNTIFS($B$2:$B256,"SER")+COUNTIFS($B$2:$B256,"PLH")+COUNTIFS($B$2:$B256,"CSF"))-1,96)/12))&amp;(MOD((COUNTIFS($B$2:$B256,"SER")+COUNTIFS($B$2:$B256,"PLH")+COUNTIFS($B$2:$B256,"CSF"))-1,12)+1),"N/A"),"")</f>
        <v/>
      </c>
      <c r="H256" s="6" t="str">
        <f>IF(AND($A256&lt;&gt;"",$B256&lt;&gt;"",$C256&lt;&gt;"",$D256&lt;&gt;""),IF(OR($B256="SER",$B256="PLH",$B256="CSF"),"Control NIH Plate "&amp;(INT(((COUNTIFS($B$2:$B256,"SER")+COUNTIFS($B$2:$B256,"PLH")+COUNTIFS($B$2:$B256,"CSF"))-1)/96)+1)&amp;": "&amp;CHAR(65+INT(MOD((COUNTIFS($B$2:$B256,"SER")+COUNTIFS($B$2:$B256,"PLH")+COUNTIFS($B$2:$B256,"CSF"))-1,96)/12))&amp;(MOD((COUNTIFS($B$2:$B256,"SER")+COUNTIFS($B$2:$B256,"PLH")+COUNTIFS($B$2:$B256,"CSF"))-1,12)+1),"N/A"),"")</f>
        <v/>
      </c>
      <c r="I256" s="6" t="str">
        <f>IF(AND($A256&lt;&gt;"",$B256&lt;&gt;"",$C256&lt;&gt;"",$D256&lt;&gt;""),IF(OR($B256="SER",$B256="PLH"),"Control MAX Planck Plate "&amp;(INT(((COUNTIFS($B$2:$B256,"SER")+COUNTIFS($B$2:$B256,"PLH"))-1)/96)+1)&amp;": "&amp;CHAR(65+INT(MOD((COUNTIFS($B$2:$B256,"SER")+COUNTIFS($B$2:$B256,"PLH"))-1,96)/12))&amp;(MOD((COUNTIFS($B$2:$B256,"SER")+COUNTIFS($B$2:$B256,"PLH"))-1,12)+1),"N/A"),"")</f>
        <v/>
      </c>
      <c r="J256" s="6" t="str">
        <f>IF(AND($A256&lt;&gt;"",$B256&lt;&gt;"",$C256&lt;&gt;"",$D256&lt;&gt;""),IF($B256="WB","Control WB Box "&amp;(INT((COUNTIFS($B$2:$B256,"WB")-1)/81)+1)&amp;": "&amp;CHAR(65+INT(MOD(COUNTIFS($B$2:$B256,"WB")-1,81)/9))&amp;(MOD(COUNTIFS($B$2:$B256,"WB")-1,9)+1),"N/A"),"")</f>
        <v/>
      </c>
      <c r="K256" s="3" t="str">
        <f t="shared" si="73"/>
        <v/>
      </c>
      <c r="L256" s="2"/>
      <c r="M256" s="2"/>
      <c r="N256" s="2"/>
      <c r="O256" s="7" t="str">
        <f t="shared" si="74"/>
        <v/>
      </c>
      <c r="P256" s="7" t="str">
        <f t="shared" si="75"/>
        <v/>
      </c>
      <c r="Q256" s="7" t="str">
        <f t="shared" si="76"/>
        <v/>
      </c>
      <c r="R256" s="7" t="str">
        <f t="shared" si="77"/>
        <v/>
      </c>
      <c r="S256" s="7" t="str">
        <f t="shared" si="78"/>
        <v/>
      </c>
      <c r="T256" s="7" t="str">
        <f t="shared" si="79"/>
        <v/>
      </c>
      <c r="U256" s="7" t="str">
        <f t="shared" si="80"/>
        <v/>
      </c>
      <c r="V256" s="7" t="str">
        <f t="shared" si="81"/>
        <v/>
      </c>
      <c r="W256" s="7" t="str">
        <f t="shared" si="82"/>
        <v/>
      </c>
      <c r="X256" s="7" t="str">
        <f t="shared" si="83"/>
        <v/>
      </c>
      <c r="Y256">
        <f t="shared" si="84"/>
        <v>0</v>
      </c>
      <c r="Z256" t="str">
        <f t="shared" si="85"/>
        <v/>
      </c>
      <c r="AA256" t="str">
        <f t="shared" si="86"/>
        <v/>
      </c>
      <c r="AB256" t="str">
        <f t="shared" si="87"/>
        <v/>
      </c>
      <c r="AC256" t="str">
        <f t="shared" si="88"/>
        <v/>
      </c>
      <c r="AD256">
        <f t="shared" si="89"/>
        <v>0</v>
      </c>
    </row>
    <row r="257" spans="1:30" ht="15" customHeight="1" x14ac:dyDescent="0.35">
      <c r="A257" s="2"/>
      <c r="B257" s="3"/>
      <c r="C257" s="4"/>
      <c r="D257" s="5"/>
      <c r="E257" s="11" t="str">
        <f t="shared" ca="1" si="72"/>
        <v/>
      </c>
      <c r="F257" s="5"/>
      <c r="G257" s="6" t="str">
        <f>IF(AND($A257&lt;&gt;"",$B257&lt;&gt;"",$C257&lt;&gt;"",$D257&lt;&gt;""),IF(OR($B257="SER",$B257="PLH",$B257="CSF"),"Control CDI Plate "&amp;(INT(((COUNTIFS($B$2:$B257,"SER")+COUNTIFS($B$2:$B257,"PLH")+COUNTIFS($B$2:$B257,"CSF"))-1)/96)+1)&amp;": "&amp;CHAR(65+INT(MOD((COUNTIFS($B$2:$B257,"SER")+COUNTIFS($B$2:$B257,"PLH")+COUNTIFS($B$2:$B257,"CSF"))-1,96)/12))&amp;(MOD((COUNTIFS($B$2:$B257,"SER")+COUNTIFS($B$2:$B257,"PLH")+COUNTIFS($B$2:$B257,"CSF"))-1,12)+1),"N/A"),"")</f>
        <v/>
      </c>
      <c r="H257" s="6" t="str">
        <f>IF(AND($A257&lt;&gt;"",$B257&lt;&gt;"",$C257&lt;&gt;"",$D257&lt;&gt;""),IF(OR($B257="SER",$B257="PLH",$B257="CSF"),"Control NIH Plate "&amp;(INT(((COUNTIFS($B$2:$B257,"SER")+COUNTIFS($B$2:$B257,"PLH")+COUNTIFS($B$2:$B257,"CSF"))-1)/96)+1)&amp;": "&amp;CHAR(65+INT(MOD((COUNTIFS($B$2:$B257,"SER")+COUNTIFS($B$2:$B257,"PLH")+COUNTIFS($B$2:$B257,"CSF"))-1,96)/12))&amp;(MOD((COUNTIFS($B$2:$B257,"SER")+COUNTIFS($B$2:$B257,"PLH")+COUNTIFS($B$2:$B257,"CSF"))-1,12)+1),"N/A"),"")</f>
        <v/>
      </c>
      <c r="I257" s="6" t="str">
        <f>IF(AND($A257&lt;&gt;"",$B257&lt;&gt;"",$C257&lt;&gt;"",$D257&lt;&gt;""),IF(OR($B257="SER",$B257="PLH"),"Control MAX Planck Plate "&amp;(INT(((COUNTIFS($B$2:$B257,"SER")+COUNTIFS($B$2:$B257,"PLH"))-1)/96)+1)&amp;": "&amp;CHAR(65+INT(MOD((COUNTIFS($B$2:$B257,"SER")+COUNTIFS($B$2:$B257,"PLH"))-1,96)/12))&amp;(MOD((COUNTIFS($B$2:$B257,"SER")+COUNTIFS($B$2:$B257,"PLH"))-1,12)+1),"N/A"),"")</f>
        <v/>
      </c>
      <c r="J257" s="6" t="str">
        <f>IF(AND($A257&lt;&gt;"",$B257&lt;&gt;"",$C257&lt;&gt;"",$D257&lt;&gt;""),IF($B257="WB","Control WB Box "&amp;(INT((COUNTIFS($B$2:$B257,"WB")-1)/81)+1)&amp;": "&amp;CHAR(65+INT(MOD(COUNTIFS($B$2:$B257,"WB")-1,81)/9))&amp;(MOD(COUNTIFS($B$2:$B257,"WB")-1,9)+1),"N/A"),"")</f>
        <v/>
      </c>
      <c r="K257" s="3" t="str">
        <f t="shared" si="73"/>
        <v/>
      </c>
      <c r="L257" s="2"/>
      <c r="M257" s="2"/>
      <c r="N257" s="2"/>
      <c r="O257" s="7" t="str">
        <f t="shared" si="74"/>
        <v/>
      </c>
      <c r="P257" s="7" t="str">
        <f t="shared" si="75"/>
        <v/>
      </c>
      <c r="Q257" s="7" t="str">
        <f t="shared" si="76"/>
        <v/>
      </c>
      <c r="R257" s="7" t="str">
        <f t="shared" si="77"/>
        <v/>
      </c>
      <c r="S257" s="7" t="str">
        <f t="shared" si="78"/>
        <v/>
      </c>
      <c r="T257" s="7" t="str">
        <f t="shared" si="79"/>
        <v/>
      </c>
      <c r="U257" s="7" t="str">
        <f t="shared" si="80"/>
        <v/>
      </c>
      <c r="V257" s="7" t="str">
        <f t="shared" si="81"/>
        <v/>
      </c>
      <c r="W257" s="7" t="str">
        <f t="shared" si="82"/>
        <v/>
      </c>
      <c r="X257" s="7" t="str">
        <f t="shared" si="83"/>
        <v/>
      </c>
      <c r="Y257">
        <f t="shared" si="84"/>
        <v>0</v>
      </c>
      <c r="Z257" t="str">
        <f t="shared" si="85"/>
        <v/>
      </c>
      <c r="AA257" t="str">
        <f t="shared" si="86"/>
        <v/>
      </c>
      <c r="AB257" t="str">
        <f t="shared" si="87"/>
        <v/>
      </c>
      <c r="AC257" t="str">
        <f t="shared" si="88"/>
        <v/>
      </c>
      <c r="AD257">
        <f t="shared" si="89"/>
        <v>0</v>
      </c>
    </row>
    <row r="258" spans="1:30" ht="15" customHeight="1" x14ac:dyDescent="0.35">
      <c r="A258" s="2"/>
      <c r="B258" s="3"/>
      <c r="C258" s="4"/>
      <c r="D258" s="5"/>
      <c r="E258" s="11" t="str">
        <f t="shared" ca="1" si="72"/>
        <v/>
      </c>
      <c r="F258" s="5"/>
      <c r="G258" s="6" t="str">
        <f>IF(AND($A258&lt;&gt;"",$B258&lt;&gt;"",$C258&lt;&gt;"",$D258&lt;&gt;""),IF(OR($B258="SER",$B258="PLH",$B258="CSF"),"Control CDI Plate "&amp;(INT(((COUNTIFS($B$2:$B258,"SER")+COUNTIFS($B$2:$B258,"PLH")+COUNTIFS($B$2:$B258,"CSF"))-1)/96)+1)&amp;": "&amp;CHAR(65+INT(MOD((COUNTIFS($B$2:$B258,"SER")+COUNTIFS($B$2:$B258,"PLH")+COUNTIFS($B$2:$B258,"CSF"))-1,96)/12))&amp;(MOD((COUNTIFS($B$2:$B258,"SER")+COUNTIFS($B$2:$B258,"PLH")+COUNTIFS($B$2:$B258,"CSF"))-1,12)+1),"N/A"),"")</f>
        <v/>
      </c>
      <c r="H258" s="6" t="str">
        <f>IF(AND($A258&lt;&gt;"",$B258&lt;&gt;"",$C258&lt;&gt;"",$D258&lt;&gt;""),IF(OR($B258="SER",$B258="PLH",$B258="CSF"),"Control NIH Plate "&amp;(INT(((COUNTIFS($B$2:$B258,"SER")+COUNTIFS($B$2:$B258,"PLH")+COUNTIFS($B$2:$B258,"CSF"))-1)/96)+1)&amp;": "&amp;CHAR(65+INT(MOD((COUNTIFS($B$2:$B258,"SER")+COUNTIFS($B$2:$B258,"PLH")+COUNTIFS($B$2:$B258,"CSF"))-1,96)/12))&amp;(MOD((COUNTIFS($B$2:$B258,"SER")+COUNTIFS($B$2:$B258,"PLH")+COUNTIFS($B$2:$B258,"CSF"))-1,12)+1),"N/A"),"")</f>
        <v/>
      </c>
      <c r="I258" s="6" t="str">
        <f>IF(AND($A258&lt;&gt;"",$B258&lt;&gt;"",$C258&lt;&gt;"",$D258&lt;&gt;""),IF(OR($B258="SER",$B258="PLH"),"Control MAX Planck Plate "&amp;(INT(((COUNTIFS($B$2:$B258,"SER")+COUNTIFS($B$2:$B258,"PLH"))-1)/96)+1)&amp;": "&amp;CHAR(65+INT(MOD((COUNTIFS($B$2:$B258,"SER")+COUNTIFS($B$2:$B258,"PLH"))-1,96)/12))&amp;(MOD((COUNTIFS($B$2:$B258,"SER")+COUNTIFS($B$2:$B258,"PLH"))-1,12)+1),"N/A"),"")</f>
        <v/>
      </c>
      <c r="J258" s="6" t="str">
        <f>IF(AND($A258&lt;&gt;"",$B258&lt;&gt;"",$C258&lt;&gt;"",$D258&lt;&gt;""),IF($B258="WB","Control WB Box "&amp;(INT((COUNTIFS($B$2:$B258,"WB")-1)/81)+1)&amp;": "&amp;CHAR(65+INT(MOD(COUNTIFS($B$2:$B258,"WB")-1,81)/9))&amp;(MOD(COUNTIFS($B$2:$B258,"WB")-1,9)+1),"N/A"),"")</f>
        <v/>
      </c>
      <c r="K258" s="3" t="str">
        <f t="shared" si="73"/>
        <v/>
      </c>
      <c r="L258" s="2"/>
      <c r="M258" s="2"/>
      <c r="N258" s="2"/>
      <c r="O258" s="7" t="str">
        <f t="shared" si="74"/>
        <v/>
      </c>
      <c r="P258" s="7" t="str">
        <f t="shared" si="75"/>
        <v/>
      </c>
      <c r="Q258" s="7" t="str">
        <f t="shared" si="76"/>
        <v/>
      </c>
      <c r="R258" s="7" t="str">
        <f t="shared" si="77"/>
        <v/>
      </c>
      <c r="S258" s="7" t="str">
        <f t="shared" si="78"/>
        <v/>
      </c>
      <c r="T258" s="7" t="str">
        <f t="shared" si="79"/>
        <v/>
      </c>
      <c r="U258" s="7" t="str">
        <f t="shared" si="80"/>
        <v/>
      </c>
      <c r="V258" s="7" t="str">
        <f t="shared" si="81"/>
        <v/>
      </c>
      <c r="W258" s="7" t="str">
        <f t="shared" si="82"/>
        <v/>
      </c>
      <c r="X258" s="7" t="str">
        <f t="shared" si="83"/>
        <v/>
      </c>
      <c r="Y258">
        <f t="shared" si="84"/>
        <v>0</v>
      </c>
      <c r="Z258" t="str">
        <f t="shared" si="85"/>
        <v/>
      </c>
      <c r="AA258" t="str">
        <f t="shared" si="86"/>
        <v/>
      </c>
      <c r="AB258" t="str">
        <f t="shared" si="87"/>
        <v/>
      </c>
      <c r="AC258" t="str">
        <f t="shared" si="88"/>
        <v/>
      </c>
      <c r="AD258">
        <f t="shared" si="89"/>
        <v>0</v>
      </c>
    </row>
    <row r="259" spans="1:30" ht="15" customHeight="1" x14ac:dyDescent="0.35">
      <c r="A259" s="2"/>
      <c r="B259" s="3"/>
      <c r="C259" s="4"/>
      <c r="D259" s="5"/>
      <c r="E259" s="11" t="str">
        <f t="shared" ca="1" si="72"/>
        <v/>
      </c>
      <c r="F259" s="5"/>
      <c r="G259" s="6" t="str">
        <f>IF(AND($A259&lt;&gt;"",$B259&lt;&gt;"",$C259&lt;&gt;"",$D259&lt;&gt;""),IF(OR($B259="SER",$B259="PLH",$B259="CSF"),"Control CDI Plate "&amp;(INT(((COUNTIFS($B$2:$B259,"SER")+COUNTIFS($B$2:$B259,"PLH")+COUNTIFS($B$2:$B259,"CSF"))-1)/96)+1)&amp;": "&amp;CHAR(65+INT(MOD((COUNTIFS($B$2:$B259,"SER")+COUNTIFS($B$2:$B259,"PLH")+COUNTIFS($B$2:$B259,"CSF"))-1,96)/12))&amp;(MOD((COUNTIFS($B$2:$B259,"SER")+COUNTIFS($B$2:$B259,"PLH")+COUNTIFS($B$2:$B259,"CSF"))-1,12)+1),"N/A"),"")</f>
        <v/>
      </c>
      <c r="H259" s="6" t="str">
        <f>IF(AND($A259&lt;&gt;"",$B259&lt;&gt;"",$C259&lt;&gt;"",$D259&lt;&gt;""),IF(OR($B259="SER",$B259="PLH",$B259="CSF"),"Control NIH Plate "&amp;(INT(((COUNTIFS($B$2:$B259,"SER")+COUNTIFS($B$2:$B259,"PLH")+COUNTIFS($B$2:$B259,"CSF"))-1)/96)+1)&amp;": "&amp;CHAR(65+INT(MOD((COUNTIFS($B$2:$B259,"SER")+COUNTIFS($B$2:$B259,"PLH")+COUNTIFS($B$2:$B259,"CSF"))-1,96)/12))&amp;(MOD((COUNTIFS($B$2:$B259,"SER")+COUNTIFS($B$2:$B259,"PLH")+COUNTIFS($B$2:$B259,"CSF"))-1,12)+1),"N/A"),"")</f>
        <v/>
      </c>
      <c r="I259" s="6" t="str">
        <f>IF(AND($A259&lt;&gt;"",$B259&lt;&gt;"",$C259&lt;&gt;"",$D259&lt;&gt;""),IF(OR($B259="SER",$B259="PLH"),"Control MAX Planck Plate "&amp;(INT(((COUNTIFS($B$2:$B259,"SER")+COUNTIFS($B$2:$B259,"PLH"))-1)/96)+1)&amp;": "&amp;CHAR(65+INT(MOD((COUNTIFS($B$2:$B259,"SER")+COUNTIFS($B$2:$B259,"PLH"))-1,96)/12))&amp;(MOD((COUNTIFS($B$2:$B259,"SER")+COUNTIFS($B$2:$B259,"PLH"))-1,12)+1),"N/A"),"")</f>
        <v/>
      </c>
      <c r="J259" s="6" t="str">
        <f>IF(AND($A259&lt;&gt;"",$B259&lt;&gt;"",$C259&lt;&gt;"",$D259&lt;&gt;""),IF($B259="WB","Control WB Box "&amp;(INT((COUNTIFS($B$2:$B259,"WB")-1)/81)+1)&amp;": "&amp;CHAR(65+INT(MOD(COUNTIFS($B$2:$B259,"WB")-1,81)/9))&amp;(MOD(COUNTIFS($B$2:$B259,"WB")-1,9)+1),"N/A"),"")</f>
        <v/>
      </c>
      <c r="K259" s="3" t="str">
        <f t="shared" si="73"/>
        <v/>
      </c>
      <c r="L259" s="2"/>
      <c r="M259" s="2"/>
      <c r="N259" s="2"/>
      <c r="O259" s="7" t="str">
        <f t="shared" si="74"/>
        <v/>
      </c>
      <c r="P259" s="7" t="str">
        <f t="shared" si="75"/>
        <v/>
      </c>
      <c r="Q259" s="7" t="str">
        <f t="shared" si="76"/>
        <v/>
      </c>
      <c r="R259" s="7" t="str">
        <f t="shared" si="77"/>
        <v/>
      </c>
      <c r="S259" s="7" t="str">
        <f t="shared" si="78"/>
        <v/>
      </c>
      <c r="T259" s="7" t="str">
        <f t="shared" si="79"/>
        <v/>
      </c>
      <c r="U259" s="7" t="str">
        <f t="shared" si="80"/>
        <v/>
      </c>
      <c r="V259" s="7" t="str">
        <f t="shared" si="81"/>
        <v/>
      </c>
      <c r="W259" s="7" t="str">
        <f t="shared" si="82"/>
        <v/>
      </c>
      <c r="X259" s="7" t="str">
        <f t="shared" si="83"/>
        <v/>
      </c>
      <c r="Y259">
        <f t="shared" si="84"/>
        <v>0</v>
      </c>
      <c r="Z259" t="str">
        <f t="shared" si="85"/>
        <v/>
      </c>
      <c r="AA259" t="str">
        <f t="shared" si="86"/>
        <v/>
      </c>
      <c r="AB259" t="str">
        <f t="shared" si="87"/>
        <v/>
      </c>
      <c r="AC259" t="str">
        <f t="shared" si="88"/>
        <v/>
      </c>
      <c r="AD259">
        <f t="shared" si="89"/>
        <v>0</v>
      </c>
    </row>
    <row r="260" spans="1:30" ht="15" customHeight="1" x14ac:dyDescent="0.35">
      <c r="A260" s="2"/>
      <c r="B260" s="3"/>
      <c r="C260" s="4"/>
      <c r="D260" s="5"/>
      <c r="E260" s="11" t="str">
        <f t="shared" ca="1" si="72"/>
        <v/>
      </c>
      <c r="F260" s="5"/>
      <c r="G260" s="6" t="str">
        <f>IF(AND($A260&lt;&gt;"",$B260&lt;&gt;"",$C260&lt;&gt;"",$D260&lt;&gt;""),IF(OR($B260="SER",$B260="PLH",$B260="CSF"),"Control CDI Plate "&amp;(INT(((COUNTIFS($B$2:$B260,"SER")+COUNTIFS($B$2:$B260,"PLH")+COUNTIFS($B$2:$B260,"CSF"))-1)/96)+1)&amp;": "&amp;CHAR(65+INT(MOD((COUNTIFS($B$2:$B260,"SER")+COUNTIFS($B$2:$B260,"PLH")+COUNTIFS($B$2:$B260,"CSF"))-1,96)/12))&amp;(MOD((COUNTIFS($B$2:$B260,"SER")+COUNTIFS($B$2:$B260,"PLH")+COUNTIFS($B$2:$B260,"CSF"))-1,12)+1),"N/A"),"")</f>
        <v/>
      </c>
      <c r="H260" s="6" t="str">
        <f>IF(AND($A260&lt;&gt;"",$B260&lt;&gt;"",$C260&lt;&gt;"",$D260&lt;&gt;""),IF(OR($B260="SER",$B260="PLH",$B260="CSF"),"Control NIH Plate "&amp;(INT(((COUNTIFS($B$2:$B260,"SER")+COUNTIFS($B$2:$B260,"PLH")+COUNTIFS($B$2:$B260,"CSF"))-1)/96)+1)&amp;": "&amp;CHAR(65+INT(MOD((COUNTIFS($B$2:$B260,"SER")+COUNTIFS($B$2:$B260,"PLH")+COUNTIFS($B$2:$B260,"CSF"))-1,96)/12))&amp;(MOD((COUNTIFS($B$2:$B260,"SER")+COUNTIFS($B$2:$B260,"PLH")+COUNTIFS($B$2:$B260,"CSF"))-1,12)+1),"N/A"),"")</f>
        <v/>
      </c>
      <c r="I260" s="6" t="str">
        <f>IF(AND($A260&lt;&gt;"",$B260&lt;&gt;"",$C260&lt;&gt;"",$D260&lt;&gt;""),IF(OR($B260="SER",$B260="PLH"),"Control MAX Planck Plate "&amp;(INT(((COUNTIFS($B$2:$B260,"SER")+COUNTIFS($B$2:$B260,"PLH"))-1)/96)+1)&amp;": "&amp;CHAR(65+INT(MOD((COUNTIFS($B$2:$B260,"SER")+COUNTIFS($B$2:$B260,"PLH"))-1,96)/12))&amp;(MOD((COUNTIFS($B$2:$B260,"SER")+COUNTIFS($B$2:$B260,"PLH"))-1,12)+1),"N/A"),"")</f>
        <v/>
      </c>
      <c r="J260" s="6" t="str">
        <f>IF(AND($A260&lt;&gt;"",$B260&lt;&gt;"",$C260&lt;&gt;"",$D260&lt;&gt;""),IF($B260="WB","Control WB Box "&amp;(INT((COUNTIFS($B$2:$B260,"WB")-1)/81)+1)&amp;": "&amp;CHAR(65+INT(MOD(COUNTIFS($B$2:$B260,"WB")-1,81)/9))&amp;(MOD(COUNTIFS($B$2:$B260,"WB")-1,9)+1),"N/A"),"")</f>
        <v/>
      </c>
      <c r="K260" s="3" t="str">
        <f t="shared" si="73"/>
        <v/>
      </c>
      <c r="L260" s="2"/>
      <c r="M260" s="2"/>
      <c r="N260" s="2"/>
      <c r="O260" s="7" t="str">
        <f t="shared" si="74"/>
        <v/>
      </c>
      <c r="P260" s="7" t="str">
        <f t="shared" si="75"/>
        <v/>
      </c>
      <c r="Q260" s="7" t="str">
        <f t="shared" si="76"/>
        <v/>
      </c>
      <c r="R260" s="7" t="str">
        <f t="shared" si="77"/>
        <v/>
      </c>
      <c r="S260" s="7" t="str">
        <f t="shared" si="78"/>
        <v/>
      </c>
      <c r="T260" s="7" t="str">
        <f t="shared" si="79"/>
        <v/>
      </c>
      <c r="U260" s="7" t="str">
        <f t="shared" si="80"/>
        <v/>
      </c>
      <c r="V260" s="7" t="str">
        <f t="shared" si="81"/>
        <v/>
      </c>
      <c r="W260" s="7" t="str">
        <f t="shared" si="82"/>
        <v/>
      </c>
      <c r="X260" s="7" t="str">
        <f t="shared" si="83"/>
        <v/>
      </c>
      <c r="Y260">
        <f t="shared" si="84"/>
        <v>0</v>
      </c>
      <c r="Z260" t="str">
        <f t="shared" si="85"/>
        <v/>
      </c>
      <c r="AA260" t="str">
        <f t="shared" si="86"/>
        <v/>
      </c>
      <c r="AB260" t="str">
        <f t="shared" si="87"/>
        <v/>
      </c>
      <c r="AC260" t="str">
        <f t="shared" si="88"/>
        <v/>
      </c>
      <c r="AD260">
        <f t="shared" si="89"/>
        <v>0</v>
      </c>
    </row>
    <row r="261" spans="1:30" ht="15" customHeight="1" x14ac:dyDescent="0.35">
      <c r="A261" s="2"/>
      <c r="B261" s="3"/>
      <c r="C261" s="4"/>
      <c r="D261" s="5"/>
      <c r="E261" s="11" t="str">
        <f t="shared" ca="1" si="72"/>
        <v/>
      </c>
      <c r="F261" s="5"/>
      <c r="G261" s="6" t="str">
        <f>IF(AND($A261&lt;&gt;"",$B261&lt;&gt;"",$C261&lt;&gt;"",$D261&lt;&gt;""),IF(OR($B261="SER",$B261="PLH",$B261="CSF"),"Control CDI Plate "&amp;(INT(((COUNTIFS($B$2:$B261,"SER")+COUNTIFS($B$2:$B261,"PLH")+COUNTIFS($B$2:$B261,"CSF"))-1)/96)+1)&amp;": "&amp;CHAR(65+INT(MOD((COUNTIFS($B$2:$B261,"SER")+COUNTIFS($B$2:$B261,"PLH")+COUNTIFS($B$2:$B261,"CSF"))-1,96)/12))&amp;(MOD((COUNTIFS($B$2:$B261,"SER")+COUNTIFS($B$2:$B261,"PLH")+COUNTIFS($B$2:$B261,"CSF"))-1,12)+1),"N/A"),"")</f>
        <v/>
      </c>
      <c r="H261" s="6" t="str">
        <f>IF(AND($A261&lt;&gt;"",$B261&lt;&gt;"",$C261&lt;&gt;"",$D261&lt;&gt;""),IF(OR($B261="SER",$B261="PLH",$B261="CSF"),"Control NIH Plate "&amp;(INT(((COUNTIFS($B$2:$B261,"SER")+COUNTIFS($B$2:$B261,"PLH")+COUNTIFS($B$2:$B261,"CSF"))-1)/96)+1)&amp;": "&amp;CHAR(65+INT(MOD((COUNTIFS($B$2:$B261,"SER")+COUNTIFS($B$2:$B261,"PLH")+COUNTIFS($B$2:$B261,"CSF"))-1,96)/12))&amp;(MOD((COUNTIFS($B$2:$B261,"SER")+COUNTIFS($B$2:$B261,"PLH")+COUNTIFS($B$2:$B261,"CSF"))-1,12)+1),"N/A"),"")</f>
        <v/>
      </c>
      <c r="I261" s="6" t="str">
        <f>IF(AND($A261&lt;&gt;"",$B261&lt;&gt;"",$C261&lt;&gt;"",$D261&lt;&gt;""),IF(OR($B261="SER",$B261="PLH"),"Control MAX Planck Plate "&amp;(INT(((COUNTIFS($B$2:$B261,"SER")+COUNTIFS($B$2:$B261,"PLH"))-1)/96)+1)&amp;": "&amp;CHAR(65+INT(MOD((COUNTIFS($B$2:$B261,"SER")+COUNTIFS($B$2:$B261,"PLH"))-1,96)/12))&amp;(MOD((COUNTIFS($B$2:$B261,"SER")+COUNTIFS($B$2:$B261,"PLH"))-1,12)+1),"N/A"),"")</f>
        <v/>
      </c>
      <c r="J261" s="6" t="str">
        <f>IF(AND($A261&lt;&gt;"",$B261&lt;&gt;"",$C261&lt;&gt;"",$D261&lt;&gt;""),IF($B261="WB","Control WB Box "&amp;(INT((COUNTIFS($B$2:$B261,"WB")-1)/81)+1)&amp;": "&amp;CHAR(65+INT(MOD(COUNTIFS($B$2:$B261,"WB")-1,81)/9))&amp;(MOD(COUNTIFS($B$2:$B261,"WB")-1,9)+1),"N/A"),"")</f>
        <v/>
      </c>
      <c r="K261" s="3" t="str">
        <f t="shared" si="73"/>
        <v/>
      </c>
      <c r="L261" s="2"/>
      <c r="M261" s="2"/>
      <c r="N261" s="2"/>
      <c r="O261" s="7" t="str">
        <f t="shared" si="74"/>
        <v/>
      </c>
      <c r="P261" s="7" t="str">
        <f t="shared" si="75"/>
        <v/>
      </c>
      <c r="Q261" s="7" t="str">
        <f t="shared" si="76"/>
        <v/>
      </c>
      <c r="R261" s="7" t="str">
        <f t="shared" si="77"/>
        <v/>
      </c>
      <c r="S261" s="7" t="str">
        <f t="shared" si="78"/>
        <v/>
      </c>
      <c r="T261" s="7" t="str">
        <f t="shared" si="79"/>
        <v/>
      </c>
      <c r="U261" s="7" t="str">
        <f t="shared" si="80"/>
        <v/>
      </c>
      <c r="V261" s="7" t="str">
        <f t="shared" si="81"/>
        <v/>
      </c>
      <c r="W261" s="7" t="str">
        <f t="shared" si="82"/>
        <v/>
      </c>
      <c r="X261" s="7" t="str">
        <f t="shared" si="83"/>
        <v/>
      </c>
      <c r="Y261">
        <f t="shared" si="84"/>
        <v>0</v>
      </c>
      <c r="Z261" t="str">
        <f t="shared" si="85"/>
        <v/>
      </c>
      <c r="AA261" t="str">
        <f t="shared" si="86"/>
        <v/>
      </c>
      <c r="AB261" t="str">
        <f t="shared" si="87"/>
        <v/>
      </c>
      <c r="AC261" t="str">
        <f t="shared" si="88"/>
        <v/>
      </c>
      <c r="AD261">
        <f t="shared" si="89"/>
        <v>0</v>
      </c>
    </row>
    <row r="262" spans="1:30" ht="15" customHeight="1" x14ac:dyDescent="0.35">
      <c r="A262" s="2"/>
      <c r="B262" s="3"/>
      <c r="C262" s="4"/>
      <c r="D262" s="5"/>
      <c r="E262" s="11" t="str">
        <f t="shared" ca="1" si="72"/>
        <v/>
      </c>
      <c r="F262" s="5"/>
      <c r="G262" s="6" t="str">
        <f>IF(AND($A262&lt;&gt;"",$B262&lt;&gt;"",$C262&lt;&gt;"",$D262&lt;&gt;""),IF(OR($B262="SER",$B262="PLH",$B262="CSF"),"Control CDI Plate "&amp;(INT(((COUNTIFS($B$2:$B262,"SER")+COUNTIFS($B$2:$B262,"PLH")+COUNTIFS($B$2:$B262,"CSF"))-1)/96)+1)&amp;": "&amp;CHAR(65+INT(MOD((COUNTIFS($B$2:$B262,"SER")+COUNTIFS($B$2:$B262,"PLH")+COUNTIFS($B$2:$B262,"CSF"))-1,96)/12))&amp;(MOD((COUNTIFS($B$2:$B262,"SER")+COUNTIFS($B$2:$B262,"PLH")+COUNTIFS($B$2:$B262,"CSF"))-1,12)+1),"N/A"),"")</f>
        <v/>
      </c>
      <c r="H262" s="6" t="str">
        <f>IF(AND($A262&lt;&gt;"",$B262&lt;&gt;"",$C262&lt;&gt;"",$D262&lt;&gt;""),IF(OR($B262="SER",$B262="PLH",$B262="CSF"),"Control NIH Plate "&amp;(INT(((COUNTIFS($B$2:$B262,"SER")+COUNTIFS($B$2:$B262,"PLH")+COUNTIFS($B$2:$B262,"CSF"))-1)/96)+1)&amp;": "&amp;CHAR(65+INT(MOD((COUNTIFS($B$2:$B262,"SER")+COUNTIFS($B$2:$B262,"PLH")+COUNTIFS($B$2:$B262,"CSF"))-1,96)/12))&amp;(MOD((COUNTIFS($B$2:$B262,"SER")+COUNTIFS($B$2:$B262,"PLH")+COUNTIFS($B$2:$B262,"CSF"))-1,12)+1),"N/A"),"")</f>
        <v/>
      </c>
      <c r="I262" s="6" t="str">
        <f>IF(AND($A262&lt;&gt;"",$B262&lt;&gt;"",$C262&lt;&gt;"",$D262&lt;&gt;""),IF(OR($B262="SER",$B262="PLH"),"Control MAX Planck Plate "&amp;(INT(((COUNTIFS($B$2:$B262,"SER")+COUNTIFS($B$2:$B262,"PLH"))-1)/96)+1)&amp;": "&amp;CHAR(65+INT(MOD((COUNTIFS($B$2:$B262,"SER")+COUNTIFS($B$2:$B262,"PLH"))-1,96)/12))&amp;(MOD((COUNTIFS($B$2:$B262,"SER")+COUNTIFS($B$2:$B262,"PLH"))-1,12)+1),"N/A"),"")</f>
        <v/>
      </c>
      <c r="J262" s="6" t="str">
        <f>IF(AND($A262&lt;&gt;"",$B262&lt;&gt;"",$C262&lt;&gt;"",$D262&lt;&gt;""),IF($B262="WB","Control WB Box "&amp;(INT((COUNTIFS($B$2:$B262,"WB")-1)/81)+1)&amp;": "&amp;CHAR(65+INT(MOD(COUNTIFS($B$2:$B262,"WB")-1,81)/9))&amp;(MOD(COUNTIFS($B$2:$B262,"WB")-1,9)+1),"N/A"),"")</f>
        <v/>
      </c>
      <c r="K262" s="3" t="str">
        <f t="shared" si="73"/>
        <v/>
      </c>
      <c r="L262" s="2"/>
      <c r="M262" s="2"/>
      <c r="N262" s="2"/>
      <c r="O262" s="7" t="str">
        <f t="shared" si="74"/>
        <v/>
      </c>
      <c r="P262" s="7" t="str">
        <f t="shared" si="75"/>
        <v/>
      </c>
      <c r="Q262" s="7" t="str">
        <f t="shared" si="76"/>
        <v/>
      </c>
      <c r="R262" s="7" t="str">
        <f t="shared" si="77"/>
        <v/>
      </c>
      <c r="S262" s="7" t="str">
        <f t="shared" si="78"/>
        <v/>
      </c>
      <c r="T262" s="7" t="str">
        <f t="shared" si="79"/>
        <v/>
      </c>
      <c r="U262" s="7" t="str">
        <f t="shared" si="80"/>
        <v/>
      </c>
      <c r="V262" s="7" t="str">
        <f t="shared" si="81"/>
        <v/>
      </c>
      <c r="W262" s="7" t="str">
        <f t="shared" si="82"/>
        <v/>
      </c>
      <c r="X262" s="7" t="str">
        <f t="shared" si="83"/>
        <v/>
      </c>
      <c r="Y262">
        <f t="shared" si="84"/>
        <v>0</v>
      </c>
      <c r="Z262" t="str">
        <f t="shared" si="85"/>
        <v/>
      </c>
      <c r="AA262" t="str">
        <f t="shared" si="86"/>
        <v/>
      </c>
      <c r="AB262" t="str">
        <f t="shared" si="87"/>
        <v/>
      </c>
      <c r="AC262" t="str">
        <f t="shared" si="88"/>
        <v/>
      </c>
      <c r="AD262">
        <f t="shared" si="89"/>
        <v>0</v>
      </c>
    </row>
    <row r="263" spans="1:30" ht="15" customHeight="1" x14ac:dyDescent="0.35">
      <c r="A263" s="2"/>
      <c r="B263" s="3"/>
      <c r="C263" s="4"/>
      <c r="D263" s="5"/>
      <c r="E263" s="11" t="str">
        <f t="shared" ca="1" si="72"/>
        <v/>
      </c>
      <c r="F263" s="5"/>
      <c r="G263" s="6" t="str">
        <f>IF(AND($A263&lt;&gt;"",$B263&lt;&gt;"",$C263&lt;&gt;"",$D263&lt;&gt;""),IF(OR($B263="SER",$B263="PLH",$B263="CSF"),"Control CDI Plate "&amp;(INT(((COUNTIFS($B$2:$B263,"SER")+COUNTIFS($B$2:$B263,"PLH")+COUNTIFS($B$2:$B263,"CSF"))-1)/96)+1)&amp;": "&amp;CHAR(65+INT(MOD((COUNTIFS($B$2:$B263,"SER")+COUNTIFS($B$2:$B263,"PLH")+COUNTIFS($B$2:$B263,"CSF"))-1,96)/12))&amp;(MOD((COUNTIFS($B$2:$B263,"SER")+COUNTIFS($B$2:$B263,"PLH")+COUNTIFS($B$2:$B263,"CSF"))-1,12)+1),"N/A"),"")</f>
        <v/>
      </c>
      <c r="H263" s="6" t="str">
        <f>IF(AND($A263&lt;&gt;"",$B263&lt;&gt;"",$C263&lt;&gt;"",$D263&lt;&gt;""),IF(OR($B263="SER",$B263="PLH",$B263="CSF"),"Control NIH Plate "&amp;(INT(((COUNTIFS($B$2:$B263,"SER")+COUNTIFS($B$2:$B263,"PLH")+COUNTIFS($B$2:$B263,"CSF"))-1)/96)+1)&amp;": "&amp;CHAR(65+INT(MOD((COUNTIFS($B$2:$B263,"SER")+COUNTIFS($B$2:$B263,"PLH")+COUNTIFS($B$2:$B263,"CSF"))-1,96)/12))&amp;(MOD((COUNTIFS($B$2:$B263,"SER")+COUNTIFS($B$2:$B263,"PLH")+COUNTIFS($B$2:$B263,"CSF"))-1,12)+1),"N/A"),"")</f>
        <v/>
      </c>
      <c r="I263" s="6" t="str">
        <f>IF(AND($A263&lt;&gt;"",$B263&lt;&gt;"",$C263&lt;&gt;"",$D263&lt;&gt;""),IF(OR($B263="SER",$B263="PLH"),"Control MAX Planck Plate "&amp;(INT(((COUNTIFS($B$2:$B263,"SER")+COUNTIFS($B$2:$B263,"PLH"))-1)/96)+1)&amp;": "&amp;CHAR(65+INT(MOD((COUNTIFS($B$2:$B263,"SER")+COUNTIFS($B$2:$B263,"PLH"))-1,96)/12))&amp;(MOD((COUNTIFS($B$2:$B263,"SER")+COUNTIFS($B$2:$B263,"PLH"))-1,12)+1),"N/A"),"")</f>
        <v/>
      </c>
      <c r="J263" s="6" t="str">
        <f>IF(AND($A263&lt;&gt;"",$B263&lt;&gt;"",$C263&lt;&gt;"",$D263&lt;&gt;""),IF($B263="WB","Control WB Box "&amp;(INT((COUNTIFS($B$2:$B263,"WB")-1)/81)+1)&amp;": "&amp;CHAR(65+INT(MOD(COUNTIFS($B$2:$B263,"WB")-1,81)/9))&amp;(MOD(COUNTIFS($B$2:$B263,"WB")-1,9)+1),"N/A"),"")</f>
        <v/>
      </c>
      <c r="K263" s="3" t="str">
        <f t="shared" si="73"/>
        <v/>
      </c>
      <c r="L263" s="2"/>
      <c r="M263" s="2"/>
      <c r="N263" s="2"/>
      <c r="O263" s="7" t="str">
        <f t="shared" si="74"/>
        <v/>
      </c>
      <c r="P263" s="7" t="str">
        <f t="shared" si="75"/>
        <v/>
      </c>
      <c r="Q263" s="7" t="str">
        <f t="shared" si="76"/>
        <v/>
      </c>
      <c r="R263" s="7" t="str">
        <f t="shared" si="77"/>
        <v/>
      </c>
      <c r="S263" s="7" t="str">
        <f t="shared" si="78"/>
        <v/>
      </c>
      <c r="T263" s="7" t="str">
        <f t="shared" si="79"/>
        <v/>
      </c>
      <c r="U263" s="7" t="str">
        <f t="shared" si="80"/>
        <v/>
      </c>
      <c r="V263" s="7" t="str">
        <f t="shared" si="81"/>
        <v/>
      </c>
      <c r="W263" s="7" t="str">
        <f t="shared" si="82"/>
        <v/>
      </c>
      <c r="X263" s="7" t="str">
        <f t="shared" si="83"/>
        <v/>
      </c>
      <c r="Y263">
        <f t="shared" si="84"/>
        <v>0</v>
      </c>
      <c r="Z263" t="str">
        <f t="shared" si="85"/>
        <v/>
      </c>
      <c r="AA263" t="str">
        <f t="shared" si="86"/>
        <v/>
      </c>
      <c r="AB263" t="str">
        <f t="shared" si="87"/>
        <v/>
      </c>
      <c r="AC263" t="str">
        <f t="shared" si="88"/>
        <v/>
      </c>
      <c r="AD263">
        <f t="shared" si="89"/>
        <v>0</v>
      </c>
    </row>
    <row r="264" spans="1:30" ht="15" customHeight="1" x14ac:dyDescent="0.35">
      <c r="A264" s="2"/>
      <c r="B264" s="3"/>
      <c r="C264" s="4"/>
      <c r="D264" s="5"/>
      <c r="E264" s="11" t="str">
        <f t="shared" ca="1" si="72"/>
        <v/>
      </c>
      <c r="F264" s="5"/>
      <c r="G264" s="6" t="str">
        <f>IF(AND($A264&lt;&gt;"",$B264&lt;&gt;"",$C264&lt;&gt;"",$D264&lt;&gt;""),IF(OR($B264="SER",$B264="PLH",$B264="CSF"),"Control CDI Plate "&amp;(INT(((COUNTIFS($B$2:$B264,"SER")+COUNTIFS($B$2:$B264,"PLH")+COUNTIFS($B$2:$B264,"CSF"))-1)/96)+1)&amp;": "&amp;CHAR(65+INT(MOD((COUNTIFS($B$2:$B264,"SER")+COUNTIFS($B$2:$B264,"PLH")+COUNTIFS($B$2:$B264,"CSF"))-1,96)/12))&amp;(MOD((COUNTIFS($B$2:$B264,"SER")+COUNTIFS($B$2:$B264,"PLH")+COUNTIFS($B$2:$B264,"CSF"))-1,12)+1),"N/A"),"")</f>
        <v/>
      </c>
      <c r="H264" s="6" t="str">
        <f>IF(AND($A264&lt;&gt;"",$B264&lt;&gt;"",$C264&lt;&gt;"",$D264&lt;&gt;""),IF(OR($B264="SER",$B264="PLH",$B264="CSF"),"Control NIH Plate "&amp;(INT(((COUNTIFS($B$2:$B264,"SER")+COUNTIFS($B$2:$B264,"PLH")+COUNTIFS($B$2:$B264,"CSF"))-1)/96)+1)&amp;": "&amp;CHAR(65+INT(MOD((COUNTIFS($B$2:$B264,"SER")+COUNTIFS($B$2:$B264,"PLH")+COUNTIFS($B$2:$B264,"CSF"))-1,96)/12))&amp;(MOD((COUNTIFS($B$2:$B264,"SER")+COUNTIFS($B$2:$B264,"PLH")+COUNTIFS($B$2:$B264,"CSF"))-1,12)+1),"N/A"),"")</f>
        <v/>
      </c>
      <c r="I264" s="6" t="str">
        <f>IF(AND($A264&lt;&gt;"",$B264&lt;&gt;"",$C264&lt;&gt;"",$D264&lt;&gt;""),IF(OR($B264="SER",$B264="PLH"),"Control MAX Planck Plate "&amp;(INT(((COUNTIFS($B$2:$B264,"SER")+COUNTIFS($B$2:$B264,"PLH"))-1)/96)+1)&amp;": "&amp;CHAR(65+INT(MOD((COUNTIFS($B$2:$B264,"SER")+COUNTIFS($B$2:$B264,"PLH"))-1,96)/12))&amp;(MOD((COUNTIFS($B$2:$B264,"SER")+COUNTIFS($B$2:$B264,"PLH"))-1,12)+1),"N/A"),"")</f>
        <v/>
      </c>
      <c r="J264" s="6" t="str">
        <f>IF(AND($A264&lt;&gt;"",$B264&lt;&gt;"",$C264&lt;&gt;"",$D264&lt;&gt;""),IF($B264="WB","Control WB Box "&amp;(INT((COUNTIFS($B$2:$B264,"WB")-1)/81)+1)&amp;": "&amp;CHAR(65+INT(MOD(COUNTIFS($B$2:$B264,"WB")-1,81)/9))&amp;(MOD(COUNTIFS($B$2:$B264,"WB")-1,9)+1),"N/A"),"")</f>
        <v/>
      </c>
      <c r="K264" s="3" t="str">
        <f t="shared" si="73"/>
        <v/>
      </c>
      <c r="L264" s="2"/>
      <c r="M264" s="2"/>
      <c r="N264" s="2"/>
      <c r="O264" s="7" t="str">
        <f t="shared" si="74"/>
        <v/>
      </c>
      <c r="P264" s="7" t="str">
        <f t="shared" si="75"/>
        <v/>
      </c>
      <c r="Q264" s="7" t="str">
        <f t="shared" si="76"/>
        <v/>
      </c>
      <c r="R264" s="7" t="str">
        <f t="shared" si="77"/>
        <v/>
      </c>
      <c r="S264" s="7" t="str">
        <f t="shared" si="78"/>
        <v/>
      </c>
      <c r="T264" s="7" t="str">
        <f t="shared" si="79"/>
        <v/>
      </c>
      <c r="U264" s="7" t="str">
        <f t="shared" si="80"/>
        <v/>
      </c>
      <c r="V264" s="7" t="str">
        <f t="shared" si="81"/>
        <v/>
      </c>
      <c r="W264" s="7" t="str">
        <f t="shared" si="82"/>
        <v/>
      </c>
      <c r="X264" s="7" t="str">
        <f t="shared" si="83"/>
        <v/>
      </c>
      <c r="Y264">
        <f t="shared" si="84"/>
        <v>0</v>
      </c>
      <c r="Z264" t="str">
        <f t="shared" si="85"/>
        <v/>
      </c>
      <c r="AA264" t="str">
        <f t="shared" si="86"/>
        <v/>
      </c>
      <c r="AB264" t="str">
        <f t="shared" si="87"/>
        <v/>
      </c>
      <c r="AC264" t="str">
        <f t="shared" si="88"/>
        <v/>
      </c>
      <c r="AD264">
        <f t="shared" si="89"/>
        <v>0</v>
      </c>
    </row>
    <row r="265" spans="1:30" ht="15" customHeight="1" x14ac:dyDescent="0.35">
      <c r="A265" s="2"/>
      <c r="B265" s="3"/>
      <c r="C265" s="4"/>
      <c r="D265" s="5"/>
      <c r="E265" s="11" t="str">
        <f t="shared" ca="1" si="72"/>
        <v/>
      </c>
      <c r="F265" s="5"/>
      <c r="G265" s="6" t="str">
        <f>IF(AND($A265&lt;&gt;"",$B265&lt;&gt;"",$C265&lt;&gt;"",$D265&lt;&gt;""),IF(OR($B265="SER",$B265="PLH",$B265="CSF"),"Control CDI Plate "&amp;(INT(((COUNTIFS($B$2:$B265,"SER")+COUNTIFS($B$2:$B265,"PLH")+COUNTIFS($B$2:$B265,"CSF"))-1)/96)+1)&amp;": "&amp;CHAR(65+INT(MOD((COUNTIFS($B$2:$B265,"SER")+COUNTIFS($B$2:$B265,"PLH")+COUNTIFS($B$2:$B265,"CSF"))-1,96)/12))&amp;(MOD((COUNTIFS($B$2:$B265,"SER")+COUNTIFS($B$2:$B265,"PLH")+COUNTIFS($B$2:$B265,"CSF"))-1,12)+1),"N/A"),"")</f>
        <v/>
      </c>
      <c r="H265" s="6" t="str">
        <f>IF(AND($A265&lt;&gt;"",$B265&lt;&gt;"",$C265&lt;&gt;"",$D265&lt;&gt;""),IF(OR($B265="SER",$B265="PLH",$B265="CSF"),"Control NIH Plate "&amp;(INT(((COUNTIFS($B$2:$B265,"SER")+COUNTIFS($B$2:$B265,"PLH")+COUNTIFS($B$2:$B265,"CSF"))-1)/96)+1)&amp;": "&amp;CHAR(65+INT(MOD((COUNTIFS($B$2:$B265,"SER")+COUNTIFS($B$2:$B265,"PLH")+COUNTIFS($B$2:$B265,"CSF"))-1,96)/12))&amp;(MOD((COUNTIFS($B$2:$B265,"SER")+COUNTIFS($B$2:$B265,"PLH")+COUNTIFS($B$2:$B265,"CSF"))-1,12)+1),"N/A"),"")</f>
        <v/>
      </c>
      <c r="I265" s="6" t="str">
        <f>IF(AND($A265&lt;&gt;"",$B265&lt;&gt;"",$C265&lt;&gt;"",$D265&lt;&gt;""),IF(OR($B265="SER",$B265="PLH"),"Control MAX Planck Plate "&amp;(INT(((COUNTIFS($B$2:$B265,"SER")+COUNTIFS($B$2:$B265,"PLH"))-1)/96)+1)&amp;": "&amp;CHAR(65+INT(MOD((COUNTIFS($B$2:$B265,"SER")+COUNTIFS($B$2:$B265,"PLH"))-1,96)/12))&amp;(MOD((COUNTIFS($B$2:$B265,"SER")+COUNTIFS($B$2:$B265,"PLH"))-1,12)+1),"N/A"),"")</f>
        <v/>
      </c>
      <c r="J265" s="6" t="str">
        <f>IF(AND($A265&lt;&gt;"",$B265&lt;&gt;"",$C265&lt;&gt;"",$D265&lt;&gt;""),IF($B265="WB","Control WB Box "&amp;(INT((COUNTIFS($B$2:$B265,"WB")-1)/81)+1)&amp;": "&amp;CHAR(65+INT(MOD(COUNTIFS($B$2:$B265,"WB")-1,81)/9))&amp;(MOD(COUNTIFS($B$2:$B265,"WB")-1,9)+1),"N/A"),"")</f>
        <v/>
      </c>
      <c r="K265" s="3" t="str">
        <f t="shared" si="73"/>
        <v/>
      </c>
      <c r="L265" s="2"/>
      <c r="M265" s="2"/>
      <c r="N265" s="2"/>
      <c r="O265" s="7" t="str">
        <f t="shared" si="74"/>
        <v/>
      </c>
      <c r="P265" s="7" t="str">
        <f t="shared" si="75"/>
        <v/>
      </c>
      <c r="Q265" s="7" t="str">
        <f t="shared" si="76"/>
        <v/>
      </c>
      <c r="R265" s="7" t="str">
        <f t="shared" si="77"/>
        <v/>
      </c>
      <c r="S265" s="7" t="str">
        <f t="shared" si="78"/>
        <v/>
      </c>
      <c r="T265" s="7" t="str">
        <f t="shared" si="79"/>
        <v/>
      </c>
      <c r="U265" s="7" t="str">
        <f t="shared" si="80"/>
        <v/>
      </c>
      <c r="V265" s="7" t="str">
        <f t="shared" si="81"/>
        <v/>
      </c>
      <c r="W265" s="7" t="str">
        <f t="shared" si="82"/>
        <v/>
      </c>
      <c r="X265" s="7" t="str">
        <f t="shared" si="83"/>
        <v/>
      </c>
      <c r="Y265">
        <f t="shared" si="84"/>
        <v>0</v>
      </c>
      <c r="Z265" t="str">
        <f t="shared" si="85"/>
        <v/>
      </c>
      <c r="AA265" t="str">
        <f t="shared" si="86"/>
        <v/>
      </c>
      <c r="AB265" t="str">
        <f t="shared" si="87"/>
        <v/>
      </c>
      <c r="AC265" t="str">
        <f t="shared" si="88"/>
        <v/>
      </c>
      <c r="AD265">
        <f t="shared" si="89"/>
        <v>0</v>
      </c>
    </row>
    <row r="266" spans="1:30" ht="15" customHeight="1" x14ac:dyDescent="0.35">
      <c r="A266" s="2"/>
      <c r="B266" s="3"/>
      <c r="C266" s="4"/>
      <c r="D266" s="5"/>
      <c r="E266" s="11" t="str">
        <f t="shared" ca="1" si="72"/>
        <v/>
      </c>
      <c r="F266" s="5"/>
      <c r="G266" s="6" t="str">
        <f>IF(AND($A266&lt;&gt;"",$B266&lt;&gt;"",$C266&lt;&gt;"",$D266&lt;&gt;""),IF(OR($B266="SER",$B266="PLH",$B266="CSF"),"Control CDI Plate "&amp;(INT(((COUNTIFS($B$2:$B266,"SER")+COUNTIFS($B$2:$B266,"PLH")+COUNTIFS($B$2:$B266,"CSF"))-1)/96)+1)&amp;": "&amp;CHAR(65+INT(MOD((COUNTIFS($B$2:$B266,"SER")+COUNTIFS($B$2:$B266,"PLH")+COUNTIFS($B$2:$B266,"CSF"))-1,96)/12))&amp;(MOD((COUNTIFS($B$2:$B266,"SER")+COUNTIFS($B$2:$B266,"PLH")+COUNTIFS($B$2:$B266,"CSF"))-1,12)+1),"N/A"),"")</f>
        <v/>
      </c>
      <c r="H266" s="6" t="str">
        <f>IF(AND($A266&lt;&gt;"",$B266&lt;&gt;"",$C266&lt;&gt;"",$D266&lt;&gt;""),IF(OR($B266="SER",$B266="PLH",$B266="CSF"),"Control NIH Plate "&amp;(INT(((COUNTIFS($B$2:$B266,"SER")+COUNTIFS($B$2:$B266,"PLH")+COUNTIFS($B$2:$B266,"CSF"))-1)/96)+1)&amp;": "&amp;CHAR(65+INT(MOD((COUNTIFS($B$2:$B266,"SER")+COUNTIFS($B$2:$B266,"PLH")+COUNTIFS($B$2:$B266,"CSF"))-1,96)/12))&amp;(MOD((COUNTIFS($B$2:$B266,"SER")+COUNTIFS($B$2:$B266,"PLH")+COUNTIFS($B$2:$B266,"CSF"))-1,12)+1),"N/A"),"")</f>
        <v/>
      </c>
      <c r="I266" s="6" t="str">
        <f>IF(AND($A266&lt;&gt;"",$B266&lt;&gt;"",$C266&lt;&gt;"",$D266&lt;&gt;""),IF(OR($B266="SER",$B266="PLH"),"Control MAX Planck Plate "&amp;(INT(((COUNTIFS($B$2:$B266,"SER")+COUNTIFS($B$2:$B266,"PLH"))-1)/96)+1)&amp;": "&amp;CHAR(65+INT(MOD((COUNTIFS($B$2:$B266,"SER")+COUNTIFS($B$2:$B266,"PLH"))-1,96)/12))&amp;(MOD((COUNTIFS($B$2:$B266,"SER")+COUNTIFS($B$2:$B266,"PLH"))-1,12)+1),"N/A"),"")</f>
        <v/>
      </c>
      <c r="J266" s="6" t="str">
        <f>IF(AND($A266&lt;&gt;"",$B266&lt;&gt;"",$C266&lt;&gt;"",$D266&lt;&gt;""),IF($B266="WB","Control WB Box "&amp;(INT((COUNTIFS($B$2:$B266,"WB")-1)/81)+1)&amp;": "&amp;CHAR(65+INT(MOD(COUNTIFS($B$2:$B266,"WB")-1,81)/9))&amp;(MOD(COUNTIFS($B$2:$B266,"WB")-1,9)+1),"N/A"),"")</f>
        <v/>
      </c>
      <c r="K266" s="3" t="str">
        <f t="shared" si="73"/>
        <v/>
      </c>
      <c r="L266" s="2"/>
      <c r="M266" s="2"/>
      <c r="N266" s="2"/>
      <c r="O266" s="7" t="str">
        <f t="shared" si="74"/>
        <v/>
      </c>
      <c r="P266" s="7" t="str">
        <f t="shared" si="75"/>
        <v/>
      </c>
      <c r="Q266" s="7" t="str">
        <f t="shared" si="76"/>
        <v/>
      </c>
      <c r="R266" s="7" t="str">
        <f t="shared" si="77"/>
        <v/>
      </c>
      <c r="S266" s="7" t="str">
        <f t="shared" si="78"/>
        <v/>
      </c>
      <c r="T266" s="7" t="str">
        <f t="shared" si="79"/>
        <v/>
      </c>
      <c r="U266" s="7" t="str">
        <f t="shared" si="80"/>
        <v/>
      </c>
      <c r="V266" s="7" t="str">
        <f t="shared" si="81"/>
        <v/>
      </c>
      <c r="W266" s="7" t="str">
        <f t="shared" si="82"/>
        <v/>
      </c>
      <c r="X266" s="7" t="str">
        <f t="shared" si="83"/>
        <v/>
      </c>
      <c r="Y266">
        <f t="shared" si="84"/>
        <v>0</v>
      </c>
      <c r="Z266" t="str">
        <f t="shared" si="85"/>
        <v/>
      </c>
      <c r="AA266" t="str">
        <f t="shared" si="86"/>
        <v/>
      </c>
      <c r="AB266" t="str">
        <f t="shared" si="87"/>
        <v/>
      </c>
      <c r="AC266" t="str">
        <f t="shared" si="88"/>
        <v/>
      </c>
      <c r="AD266">
        <f t="shared" si="89"/>
        <v>0</v>
      </c>
    </row>
    <row r="267" spans="1:30" ht="15" customHeight="1" x14ac:dyDescent="0.35">
      <c r="A267" s="2"/>
      <c r="B267" s="3"/>
      <c r="C267" s="4"/>
      <c r="D267" s="5"/>
      <c r="E267" s="11" t="str">
        <f t="shared" ca="1" si="72"/>
        <v/>
      </c>
      <c r="F267" s="5"/>
      <c r="G267" s="6" t="str">
        <f>IF(AND($A267&lt;&gt;"",$B267&lt;&gt;"",$C267&lt;&gt;"",$D267&lt;&gt;""),IF(OR($B267="SER",$B267="PLH",$B267="CSF"),"Control CDI Plate "&amp;(INT(((COUNTIFS($B$2:$B267,"SER")+COUNTIFS($B$2:$B267,"PLH")+COUNTIFS($B$2:$B267,"CSF"))-1)/96)+1)&amp;": "&amp;CHAR(65+INT(MOD((COUNTIFS($B$2:$B267,"SER")+COUNTIFS($B$2:$B267,"PLH")+COUNTIFS($B$2:$B267,"CSF"))-1,96)/12))&amp;(MOD((COUNTIFS($B$2:$B267,"SER")+COUNTIFS($B$2:$B267,"PLH")+COUNTIFS($B$2:$B267,"CSF"))-1,12)+1),"N/A"),"")</f>
        <v/>
      </c>
      <c r="H267" s="6" t="str">
        <f>IF(AND($A267&lt;&gt;"",$B267&lt;&gt;"",$C267&lt;&gt;"",$D267&lt;&gt;""),IF(OR($B267="SER",$B267="PLH",$B267="CSF"),"Control NIH Plate "&amp;(INT(((COUNTIFS($B$2:$B267,"SER")+COUNTIFS($B$2:$B267,"PLH")+COUNTIFS($B$2:$B267,"CSF"))-1)/96)+1)&amp;": "&amp;CHAR(65+INT(MOD((COUNTIFS($B$2:$B267,"SER")+COUNTIFS($B$2:$B267,"PLH")+COUNTIFS($B$2:$B267,"CSF"))-1,96)/12))&amp;(MOD((COUNTIFS($B$2:$B267,"SER")+COUNTIFS($B$2:$B267,"PLH")+COUNTIFS($B$2:$B267,"CSF"))-1,12)+1),"N/A"),"")</f>
        <v/>
      </c>
      <c r="I267" s="6" t="str">
        <f>IF(AND($A267&lt;&gt;"",$B267&lt;&gt;"",$C267&lt;&gt;"",$D267&lt;&gt;""),IF(OR($B267="SER",$B267="PLH"),"Control MAX Planck Plate "&amp;(INT(((COUNTIFS($B$2:$B267,"SER")+COUNTIFS($B$2:$B267,"PLH"))-1)/96)+1)&amp;": "&amp;CHAR(65+INT(MOD((COUNTIFS($B$2:$B267,"SER")+COUNTIFS($B$2:$B267,"PLH"))-1,96)/12))&amp;(MOD((COUNTIFS($B$2:$B267,"SER")+COUNTIFS($B$2:$B267,"PLH"))-1,12)+1),"N/A"),"")</f>
        <v/>
      </c>
      <c r="J267" s="6" t="str">
        <f>IF(AND($A267&lt;&gt;"",$B267&lt;&gt;"",$C267&lt;&gt;"",$D267&lt;&gt;""),IF($B267="WB","Control WB Box "&amp;(INT((COUNTIFS($B$2:$B267,"WB")-1)/81)+1)&amp;": "&amp;CHAR(65+INT(MOD(COUNTIFS($B$2:$B267,"WB")-1,81)/9))&amp;(MOD(COUNTIFS($B$2:$B267,"WB")-1,9)+1),"N/A"),"")</f>
        <v/>
      </c>
      <c r="K267" s="3" t="str">
        <f t="shared" si="73"/>
        <v/>
      </c>
      <c r="L267" s="2"/>
      <c r="M267" s="2"/>
      <c r="N267" s="2"/>
      <c r="O267" s="7" t="str">
        <f t="shared" si="74"/>
        <v/>
      </c>
      <c r="P267" s="7" t="str">
        <f t="shared" si="75"/>
        <v/>
      </c>
      <c r="Q267" s="7" t="str">
        <f t="shared" si="76"/>
        <v/>
      </c>
      <c r="R267" s="7" t="str">
        <f t="shared" si="77"/>
        <v/>
      </c>
      <c r="S267" s="7" t="str">
        <f t="shared" si="78"/>
        <v/>
      </c>
      <c r="T267" s="7" t="str">
        <f t="shared" si="79"/>
        <v/>
      </c>
      <c r="U267" s="7" t="str">
        <f t="shared" si="80"/>
        <v/>
      </c>
      <c r="V267" s="7" t="str">
        <f t="shared" si="81"/>
        <v/>
      </c>
      <c r="W267" s="7" t="str">
        <f t="shared" si="82"/>
        <v/>
      </c>
      <c r="X267" s="7" t="str">
        <f t="shared" si="83"/>
        <v/>
      </c>
      <c r="Y267">
        <f t="shared" si="84"/>
        <v>0</v>
      </c>
      <c r="Z267" t="str">
        <f t="shared" si="85"/>
        <v/>
      </c>
      <c r="AA267" t="str">
        <f t="shared" si="86"/>
        <v/>
      </c>
      <c r="AB267" t="str">
        <f t="shared" si="87"/>
        <v/>
      </c>
      <c r="AC267" t="str">
        <f t="shared" si="88"/>
        <v/>
      </c>
      <c r="AD267">
        <f t="shared" si="89"/>
        <v>0</v>
      </c>
    </row>
    <row r="268" spans="1:30" ht="15" customHeight="1" x14ac:dyDescent="0.35">
      <c r="A268" s="2"/>
      <c r="B268" s="3"/>
      <c r="C268" s="4"/>
      <c r="D268" s="5"/>
      <c r="E268" s="11" t="str">
        <f t="shared" ca="1" si="72"/>
        <v/>
      </c>
      <c r="F268" s="5"/>
      <c r="G268" s="6" t="str">
        <f>IF(AND($A268&lt;&gt;"",$B268&lt;&gt;"",$C268&lt;&gt;"",$D268&lt;&gt;""),IF(OR($B268="SER",$B268="PLH",$B268="CSF"),"Control CDI Plate "&amp;(INT(((COUNTIFS($B$2:$B268,"SER")+COUNTIFS($B$2:$B268,"PLH")+COUNTIFS($B$2:$B268,"CSF"))-1)/96)+1)&amp;": "&amp;CHAR(65+INT(MOD((COUNTIFS($B$2:$B268,"SER")+COUNTIFS($B$2:$B268,"PLH")+COUNTIFS($B$2:$B268,"CSF"))-1,96)/12))&amp;(MOD((COUNTIFS($B$2:$B268,"SER")+COUNTIFS($B$2:$B268,"PLH")+COUNTIFS($B$2:$B268,"CSF"))-1,12)+1),"N/A"),"")</f>
        <v/>
      </c>
      <c r="H268" s="6" t="str">
        <f>IF(AND($A268&lt;&gt;"",$B268&lt;&gt;"",$C268&lt;&gt;"",$D268&lt;&gt;""),IF(OR($B268="SER",$B268="PLH",$B268="CSF"),"Control NIH Plate "&amp;(INT(((COUNTIFS($B$2:$B268,"SER")+COUNTIFS($B$2:$B268,"PLH")+COUNTIFS($B$2:$B268,"CSF"))-1)/96)+1)&amp;": "&amp;CHAR(65+INT(MOD((COUNTIFS($B$2:$B268,"SER")+COUNTIFS($B$2:$B268,"PLH")+COUNTIFS($B$2:$B268,"CSF"))-1,96)/12))&amp;(MOD((COUNTIFS($B$2:$B268,"SER")+COUNTIFS($B$2:$B268,"PLH")+COUNTIFS($B$2:$B268,"CSF"))-1,12)+1),"N/A"),"")</f>
        <v/>
      </c>
      <c r="I268" s="6" t="str">
        <f>IF(AND($A268&lt;&gt;"",$B268&lt;&gt;"",$C268&lt;&gt;"",$D268&lt;&gt;""),IF(OR($B268="SER",$B268="PLH"),"Control MAX Planck Plate "&amp;(INT(((COUNTIFS($B$2:$B268,"SER")+COUNTIFS($B$2:$B268,"PLH"))-1)/96)+1)&amp;": "&amp;CHAR(65+INT(MOD((COUNTIFS($B$2:$B268,"SER")+COUNTIFS($B$2:$B268,"PLH"))-1,96)/12))&amp;(MOD((COUNTIFS($B$2:$B268,"SER")+COUNTIFS($B$2:$B268,"PLH"))-1,12)+1),"N/A"),"")</f>
        <v/>
      </c>
      <c r="J268" s="6" t="str">
        <f>IF(AND($A268&lt;&gt;"",$B268&lt;&gt;"",$C268&lt;&gt;"",$D268&lt;&gt;""),IF($B268="WB","Control WB Box "&amp;(INT((COUNTIFS($B$2:$B268,"WB")-1)/81)+1)&amp;": "&amp;CHAR(65+INT(MOD(COUNTIFS($B$2:$B268,"WB")-1,81)/9))&amp;(MOD(COUNTIFS($B$2:$B268,"WB")-1,9)+1),"N/A"),"")</f>
        <v/>
      </c>
      <c r="K268" s="3" t="str">
        <f t="shared" si="73"/>
        <v/>
      </c>
      <c r="L268" s="2"/>
      <c r="M268" s="2"/>
      <c r="N268" s="2"/>
      <c r="O268" s="7" t="str">
        <f t="shared" si="74"/>
        <v/>
      </c>
      <c r="P268" s="7" t="str">
        <f t="shared" si="75"/>
        <v/>
      </c>
      <c r="Q268" s="7" t="str">
        <f t="shared" si="76"/>
        <v/>
      </c>
      <c r="R268" s="7" t="str">
        <f t="shared" si="77"/>
        <v/>
      </c>
      <c r="S268" s="7" t="str">
        <f t="shared" si="78"/>
        <v/>
      </c>
      <c r="T268" s="7" t="str">
        <f t="shared" si="79"/>
        <v/>
      </c>
      <c r="U268" s="7" t="str">
        <f t="shared" si="80"/>
        <v/>
      </c>
      <c r="V268" s="7" t="str">
        <f t="shared" si="81"/>
        <v/>
      </c>
      <c r="W268" s="7" t="str">
        <f t="shared" si="82"/>
        <v/>
      </c>
      <c r="X268" s="7" t="str">
        <f t="shared" si="83"/>
        <v/>
      </c>
      <c r="Y268">
        <f t="shared" si="84"/>
        <v>0</v>
      </c>
      <c r="Z268" t="str">
        <f t="shared" si="85"/>
        <v/>
      </c>
      <c r="AA268" t="str">
        <f t="shared" si="86"/>
        <v/>
      </c>
      <c r="AB268" t="str">
        <f t="shared" si="87"/>
        <v/>
      </c>
      <c r="AC268" t="str">
        <f t="shared" si="88"/>
        <v/>
      </c>
      <c r="AD268">
        <f t="shared" si="89"/>
        <v>0</v>
      </c>
    </row>
    <row r="269" spans="1:30" ht="15" customHeight="1" x14ac:dyDescent="0.35">
      <c r="A269" s="2"/>
      <c r="B269" s="3"/>
      <c r="C269" s="4"/>
      <c r="D269" s="5"/>
      <c r="E269" s="11" t="str">
        <f t="shared" ca="1" si="72"/>
        <v/>
      </c>
      <c r="F269" s="5"/>
      <c r="G269" s="6" t="str">
        <f>IF(AND($A269&lt;&gt;"",$B269&lt;&gt;"",$C269&lt;&gt;"",$D269&lt;&gt;""),IF(OR($B269="SER",$B269="PLH",$B269="CSF"),"Control CDI Plate "&amp;(INT(((COUNTIFS($B$2:$B269,"SER")+COUNTIFS($B$2:$B269,"PLH")+COUNTIFS($B$2:$B269,"CSF"))-1)/96)+1)&amp;": "&amp;CHAR(65+INT(MOD((COUNTIFS($B$2:$B269,"SER")+COUNTIFS($B$2:$B269,"PLH")+COUNTIFS($B$2:$B269,"CSF"))-1,96)/12))&amp;(MOD((COUNTIFS($B$2:$B269,"SER")+COUNTIFS($B$2:$B269,"PLH")+COUNTIFS($B$2:$B269,"CSF"))-1,12)+1),"N/A"),"")</f>
        <v/>
      </c>
      <c r="H269" s="6" t="str">
        <f>IF(AND($A269&lt;&gt;"",$B269&lt;&gt;"",$C269&lt;&gt;"",$D269&lt;&gt;""),IF(OR($B269="SER",$B269="PLH",$B269="CSF"),"Control NIH Plate "&amp;(INT(((COUNTIFS($B$2:$B269,"SER")+COUNTIFS($B$2:$B269,"PLH")+COUNTIFS($B$2:$B269,"CSF"))-1)/96)+1)&amp;": "&amp;CHAR(65+INT(MOD((COUNTIFS($B$2:$B269,"SER")+COUNTIFS($B$2:$B269,"PLH")+COUNTIFS($B$2:$B269,"CSF"))-1,96)/12))&amp;(MOD((COUNTIFS($B$2:$B269,"SER")+COUNTIFS($B$2:$B269,"PLH")+COUNTIFS($B$2:$B269,"CSF"))-1,12)+1),"N/A"),"")</f>
        <v/>
      </c>
      <c r="I269" s="6" t="str">
        <f>IF(AND($A269&lt;&gt;"",$B269&lt;&gt;"",$C269&lt;&gt;"",$D269&lt;&gt;""),IF(OR($B269="SER",$B269="PLH"),"Control MAX Planck Plate "&amp;(INT(((COUNTIFS($B$2:$B269,"SER")+COUNTIFS($B$2:$B269,"PLH"))-1)/96)+1)&amp;": "&amp;CHAR(65+INT(MOD((COUNTIFS($B$2:$B269,"SER")+COUNTIFS($B$2:$B269,"PLH"))-1,96)/12))&amp;(MOD((COUNTIFS($B$2:$B269,"SER")+COUNTIFS($B$2:$B269,"PLH"))-1,12)+1),"N/A"),"")</f>
        <v/>
      </c>
      <c r="J269" s="6" t="str">
        <f>IF(AND($A269&lt;&gt;"",$B269&lt;&gt;"",$C269&lt;&gt;"",$D269&lt;&gt;""),IF($B269="WB","Control WB Box "&amp;(INT((COUNTIFS($B$2:$B269,"WB")-1)/81)+1)&amp;": "&amp;CHAR(65+INT(MOD(COUNTIFS($B$2:$B269,"WB")-1,81)/9))&amp;(MOD(COUNTIFS($B$2:$B269,"WB")-1,9)+1),"N/A"),"")</f>
        <v/>
      </c>
      <c r="K269" s="3" t="str">
        <f t="shared" si="73"/>
        <v/>
      </c>
      <c r="L269" s="2"/>
      <c r="M269" s="2"/>
      <c r="N269" s="2"/>
      <c r="O269" s="7" t="str">
        <f t="shared" si="74"/>
        <v/>
      </c>
      <c r="P269" s="7" t="str">
        <f t="shared" si="75"/>
        <v/>
      </c>
      <c r="Q269" s="7" t="str">
        <f t="shared" si="76"/>
        <v/>
      </c>
      <c r="R269" s="7" t="str">
        <f t="shared" si="77"/>
        <v/>
      </c>
      <c r="S269" s="7" t="str">
        <f t="shared" si="78"/>
        <v/>
      </c>
      <c r="T269" s="7" t="str">
        <f t="shared" si="79"/>
        <v/>
      </c>
      <c r="U269" s="7" t="str">
        <f t="shared" si="80"/>
        <v/>
      </c>
      <c r="V269" s="7" t="str">
        <f t="shared" si="81"/>
        <v/>
      </c>
      <c r="W269" s="7" t="str">
        <f t="shared" si="82"/>
        <v/>
      </c>
      <c r="X269" s="7" t="str">
        <f t="shared" si="83"/>
        <v/>
      </c>
      <c r="Y269">
        <f t="shared" si="84"/>
        <v>0</v>
      </c>
      <c r="Z269" t="str">
        <f t="shared" si="85"/>
        <v/>
      </c>
      <c r="AA269" t="str">
        <f t="shared" si="86"/>
        <v/>
      </c>
      <c r="AB269" t="str">
        <f t="shared" si="87"/>
        <v/>
      </c>
      <c r="AC269" t="str">
        <f t="shared" si="88"/>
        <v/>
      </c>
      <c r="AD269">
        <f t="shared" si="89"/>
        <v>0</v>
      </c>
    </row>
    <row r="270" spans="1:30" ht="15" customHeight="1" x14ac:dyDescent="0.35">
      <c r="A270" s="2"/>
      <c r="B270" s="3"/>
      <c r="C270" s="4"/>
      <c r="D270" s="5"/>
      <c r="E270" s="11" t="str">
        <f t="shared" ca="1" si="72"/>
        <v/>
      </c>
      <c r="F270" s="5"/>
      <c r="G270" s="6" t="str">
        <f>IF(AND($A270&lt;&gt;"",$B270&lt;&gt;"",$C270&lt;&gt;"",$D270&lt;&gt;""),IF(OR($B270="SER",$B270="PLH",$B270="CSF"),"Control CDI Plate "&amp;(INT(((COUNTIFS($B$2:$B270,"SER")+COUNTIFS($B$2:$B270,"PLH")+COUNTIFS($B$2:$B270,"CSF"))-1)/96)+1)&amp;": "&amp;CHAR(65+INT(MOD((COUNTIFS($B$2:$B270,"SER")+COUNTIFS($B$2:$B270,"PLH")+COUNTIFS($B$2:$B270,"CSF"))-1,96)/12))&amp;(MOD((COUNTIFS($B$2:$B270,"SER")+COUNTIFS($B$2:$B270,"PLH")+COUNTIFS($B$2:$B270,"CSF"))-1,12)+1),"N/A"),"")</f>
        <v/>
      </c>
      <c r="H270" s="6" t="str">
        <f>IF(AND($A270&lt;&gt;"",$B270&lt;&gt;"",$C270&lt;&gt;"",$D270&lt;&gt;""),IF(OR($B270="SER",$B270="PLH",$B270="CSF"),"Control NIH Plate "&amp;(INT(((COUNTIFS($B$2:$B270,"SER")+COUNTIFS($B$2:$B270,"PLH")+COUNTIFS($B$2:$B270,"CSF"))-1)/96)+1)&amp;": "&amp;CHAR(65+INT(MOD((COUNTIFS($B$2:$B270,"SER")+COUNTIFS($B$2:$B270,"PLH")+COUNTIFS($B$2:$B270,"CSF"))-1,96)/12))&amp;(MOD((COUNTIFS($B$2:$B270,"SER")+COUNTIFS($B$2:$B270,"PLH")+COUNTIFS($B$2:$B270,"CSF"))-1,12)+1),"N/A"),"")</f>
        <v/>
      </c>
      <c r="I270" s="6" t="str">
        <f>IF(AND($A270&lt;&gt;"",$B270&lt;&gt;"",$C270&lt;&gt;"",$D270&lt;&gt;""),IF(OR($B270="SER",$B270="PLH"),"Control MAX Planck Plate "&amp;(INT(((COUNTIFS($B$2:$B270,"SER")+COUNTIFS($B$2:$B270,"PLH"))-1)/96)+1)&amp;": "&amp;CHAR(65+INT(MOD((COUNTIFS($B$2:$B270,"SER")+COUNTIFS($B$2:$B270,"PLH"))-1,96)/12))&amp;(MOD((COUNTIFS($B$2:$B270,"SER")+COUNTIFS($B$2:$B270,"PLH"))-1,12)+1),"N/A"),"")</f>
        <v/>
      </c>
      <c r="J270" s="6" t="str">
        <f>IF(AND($A270&lt;&gt;"",$B270&lt;&gt;"",$C270&lt;&gt;"",$D270&lt;&gt;""),IF($B270="WB","Control WB Box "&amp;(INT((COUNTIFS($B$2:$B270,"WB")-1)/81)+1)&amp;": "&amp;CHAR(65+INT(MOD(COUNTIFS($B$2:$B270,"WB")-1,81)/9))&amp;(MOD(COUNTIFS($B$2:$B270,"WB")-1,9)+1),"N/A"),"")</f>
        <v/>
      </c>
      <c r="K270" s="3" t="str">
        <f t="shared" si="73"/>
        <v/>
      </c>
      <c r="L270" s="2"/>
      <c r="M270" s="2"/>
      <c r="N270" s="2"/>
      <c r="O270" s="7" t="str">
        <f t="shared" si="74"/>
        <v/>
      </c>
      <c r="P270" s="7" t="str">
        <f t="shared" si="75"/>
        <v/>
      </c>
      <c r="Q270" s="7" t="str">
        <f t="shared" si="76"/>
        <v/>
      </c>
      <c r="R270" s="7" t="str">
        <f t="shared" si="77"/>
        <v/>
      </c>
      <c r="S270" s="7" t="str">
        <f t="shared" si="78"/>
        <v/>
      </c>
      <c r="T270" s="7" t="str">
        <f t="shared" si="79"/>
        <v/>
      </c>
      <c r="U270" s="7" t="str">
        <f t="shared" si="80"/>
        <v/>
      </c>
      <c r="V270" s="7" t="str">
        <f t="shared" si="81"/>
        <v/>
      </c>
      <c r="W270" s="7" t="str">
        <f t="shared" si="82"/>
        <v/>
      </c>
      <c r="X270" s="7" t="str">
        <f t="shared" si="83"/>
        <v/>
      </c>
      <c r="Y270">
        <f t="shared" si="84"/>
        <v>0</v>
      </c>
      <c r="Z270" t="str">
        <f t="shared" si="85"/>
        <v/>
      </c>
      <c r="AA270" t="str">
        <f t="shared" si="86"/>
        <v/>
      </c>
      <c r="AB270" t="str">
        <f t="shared" si="87"/>
        <v/>
      </c>
      <c r="AC270" t="str">
        <f t="shared" si="88"/>
        <v/>
      </c>
      <c r="AD270">
        <f t="shared" si="89"/>
        <v>0</v>
      </c>
    </row>
    <row r="271" spans="1:30" ht="15" customHeight="1" x14ac:dyDescent="0.35">
      <c r="A271" s="2"/>
      <c r="B271" s="3"/>
      <c r="C271" s="4"/>
      <c r="D271" s="5"/>
      <c r="E271" s="11" t="str">
        <f t="shared" ca="1" si="72"/>
        <v/>
      </c>
      <c r="F271" s="5"/>
      <c r="G271" s="6" t="str">
        <f>IF(AND($A271&lt;&gt;"",$B271&lt;&gt;"",$C271&lt;&gt;"",$D271&lt;&gt;""),IF(OR($B271="SER",$B271="PLH",$B271="CSF"),"Control CDI Plate "&amp;(INT(((COUNTIFS($B$2:$B271,"SER")+COUNTIFS($B$2:$B271,"PLH")+COUNTIFS($B$2:$B271,"CSF"))-1)/96)+1)&amp;": "&amp;CHAR(65+INT(MOD((COUNTIFS($B$2:$B271,"SER")+COUNTIFS($B$2:$B271,"PLH")+COUNTIFS($B$2:$B271,"CSF"))-1,96)/12))&amp;(MOD((COUNTIFS($B$2:$B271,"SER")+COUNTIFS($B$2:$B271,"PLH")+COUNTIFS($B$2:$B271,"CSF"))-1,12)+1),"N/A"),"")</f>
        <v/>
      </c>
      <c r="H271" s="6" t="str">
        <f>IF(AND($A271&lt;&gt;"",$B271&lt;&gt;"",$C271&lt;&gt;"",$D271&lt;&gt;""),IF(OR($B271="SER",$B271="PLH",$B271="CSF"),"Control NIH Plate "&amp;(INT(((COUNTIFS($B$2:$B271,"SER")+COUNTIFS($B$2:$B271,"PLH")+COUNTIFS($B$2:$B271,"CSF"))-1)/96)+1)&amp;": "&amp;CHAR(65+INT(MOD((COUNTIFS($B$2:$B271,"SER")+COUNTIFS($B$2:$B271,"PLH")+COUNTIFS($B$2:$B271,"CSF"))-1,96)/12))&amp;(MOD((COUNTIFS($B$2:$B271,"SER")+COUNTIFS($B$2:$B271,"PLH")+COUNTIFS($B$2:$B271,"CSF"))-1,12)+1),"N/A"),"")</f>
        <v/>
      </c>
      <c r="I271" s="6" t="str">
        <f>IF(AND($A271&lt;&gt;"",$B271&lt;&gt;"",$C271&lt;&gt;"",$D271&lt;&gt;""),IF(OR($B271="SER",$B271="PLH"),"Control MAX Planck Plate "&amp;(INT(((COUNTIFS($B$2:$B271,"SER")+COUNTIFS($B$2:$B271,"PLH"))-1)/96)+1)&amp;": "&amp;CHAR(65+INT(MOD((COUNTIFS($B$2:$B271,"SER")+COUNTIFS($B$2:$B271,"PLH"))-1,96)/12))&amp;(MOD((COUNTIFS($B$2:$B271,"SER")+COUNTIFS($B$2:$B271,"PLH"))-1,12)+1),"N/A"),"")</f>
        <v/>
      </c>
      <c r="J271" s="6" t="str">
        <f>IF(AND($A271&lt;&gt;"",$B271&lt;&gt;"",$C271&lt;&gt;"",$D271&lt;&gt;""),IF($B271="WB","Control WB Box "&amp;(INT((COUNTIFS($B$2:$B271,"WB")-1)/81)+1)&amp;": "&amp;CHAR(65+INT(MOD(COUNTIFS($B$2:$B271,"WB")-1,81)/9))&amp;(MOD(COUNTIFS($B$2:$B271,"WB")-1,9)+1),"N/A"),"")</f>
        <v/>
      </c>
      <c r="K271" s="3" t="str">
        <f t="shared" si="73"/>
        <v/>
      </c>
      <c r="L271" s="2"/>
      <c r="M271" s="2"/>
      <c r="N271" s="2"/>
      <c r="O271" s="7" t="str">
        <f t="shared" si="74"/>
        <v/>
      </c>
      <c r="P271" s="7" t="str">
        <f t="shared" si="75"/>
        <v/>
      </c>
      <c r="Q271" s="7" t="str">
        <f t="shared" si="76"/>
        <v/>
      </c>
      <c r="R271" s="7" t="str">
        <f t="shared" si="77"/>
        <v/>
      </c>
      <c r="S271" s="7" t="str">
        <f t="shared" si="78"/>
        <v/>
      </c>
      <c r="T271" s="7" t="str">
        <f t="shared" si="79"/>
        <v/>
      </c>
      <c r="U271" s="7" t="str">
        <f t="shared" si="80"/>
        <v/>
      </c>
      <c r="V271" s="7" t="str">
        <f t="shared" si="81"/>
        <v/>
      </c>
      <c r="W271" s="7" t="str">
        <f t="shared" si="82"/>
        <v/>
      </c>
      <c r="X271" s="7" t="str">
        <f t="shared" si="83"/>
        <v/>
      </c>
      <c r="Y271">
        <f t="shared" si="84"/>
        <v>0</v>
      </c>
      <c r="Z271" t="str">
        <f t="shared" si="85"/>
        <v/>
      </c>
      <c r="AA271" t="str">
        <f t="shared" si="86"/>
        <v/>
      </c>
      <c r="AB271" t="str">
        <f t="shared" si="87"/>
        <v/>
      </c>
      <c r="AC271" t="str">
        <f t="shared" si="88"/>
        <v/>
      </c>
      <c r="AD271">
        <f t="shared" si="89"/>
        <v>0</v>
      </c>
    </row>
    <row r="272" spans="1:30" ht="15" customHeight="1" x14ac:dyDescent="0.35">
      <c r="A272" s="2"/>
      <c r="B272" s="3"/>
      <c r="C272" s="4"/>
      <c r="D272" s="5"/>
      <c r="E272" s="11" t="str">
        <f t="shared" ca="1" si="72"/>
        <v/>
      </c>
      <c r="F272" s="5"/>
      <c r="G272" s="6" t="str">
        <f>IF(AND($A272&lt;&gt;"",$B272&lt;&gt;"",$C272&lt;&gt;"",$D272&lt;&gt;""),IF(OR($B272="SER",$B272="PLH",$B272="CSF"),"Control CDI Plate "&amp;(INT(((COUNTIFS($B$2:$B272,"SER")+COUNTIFS($B$2:$B272,"PLH")+COUNTIFS($B$2:$B272,"CSF"))-1)/96)+1)&amp;": "&amp;CHAR(65+INT(MOD((COUNTIFS($B$2:$B272,"SER")+COUNTIFS($B$2:$B272,"PLH")+COUNTIFS($B$2:$B272,"CSF"))-1,96)/12))&amp;(MOD((COUNTIFS($B$2:$B272,"SER")+COUNTIFS($B$2:$B272,"PLH")+COUNTIFS($B$2:$B272,"CSF"))-1,12)+1),"N/A"),"")</f>
        <v/>
      </c>
      <c r="H272" s="6" t="str">
        <f>IF(AND($A272&lt;&gt;"",$B272&lt;&gt;"",$C272&lt;&gt;"",$D272&lt;&gt;""),IF(OR($B272="SER",$B272="PLH",$B272="CSF"),"Control NIH Plate "&amp;(INT(((COUNTIFS($B$2:$B272,"SER")+COUNTIFS($B$2:$B272,"PLH")+COUNTIFS($B$2:$B272,"CSF"))-1)/96)+1)&amp;": "&amp;CHAR(65+INT(MOD((COUNTIFS($B$2:$B272,"SER")+COUNTIFS($B$2:$B272,"PLH")+COUNTIFS($B$2:$B272,"CSF"))-1,96)/12))&amp;(MOD((COUNTIFS($B$2:$B272,"SER")+COUNTIFS($B$2:$B272,"PLH")+COUNTIFS($B$2:$B272,"CSF"))-1,12)+1),"N/A"),"")</f>
        <v/>
      </c>
      <c r="I272" s="6" t="str">
        <f>IF(AND($A272&lt;&gt;"",$B272&lt;&gt;"",$C272&lt;&gt;"",$D272&lt;&gt;""),IF(OR($B272="SER",$B272="PLH"),"Control MAX Planck Plate "&amp;(INT(((COUNTIFS($B$2:$B272,"SER")+COUNTIFS($B$2:$B272,"PLH"))-1)/96)+1)&amp;": "&amp;CHAR(65+INT(MOD((COUNTIFS($B$2:$B272,"SER")+COUNTIFS($B$2:$B272,"PLH"))-1,96)/12))&amp;(MOD((COUNTIFS($B$2:$B272,"SER")+COUNTIFS($B$2:$B272,"PLH"))-1,12)+1),"N/A"),"")</f>
        <v/>
      </c>
      <c r="J272" s="6" t="str">
        <f>IF(AND($A272&lt;&gt;"",$B272&lt;&gt;"",$C272&lt;&gt;"",$D272&lt;&gt;""),IF($B272="WB","Control WB Box "&amp;(INT((COUNTIFS($B$2:$B272,"WB")-1)/81)+1)&amp;": "&amp;CHAR(65+INT(MOD(COUNTIFS($B$2:$B272,"WB")-1,81)/9))&amp;(MOD(COUNTIFS($B$2:$B272,"WB")-1,9)+1),"N/A"),"")</f>
        <v/>
      </c>
      <c r="K272" s="3" t="str">
        <f t="shared" si="73"/>
        <v/>
      </c>
      <c r="L272" s="2"/>
      <c r="M272" s="2"/>
      <c r="N272" s="2"/>
      <c r="O272" s="7" t="str">
        <f t="shared" si="74"/>
        <v/>
      </c>
      <c r="P272" s="7" t="str">
        <f t="shared" si="75"/>
        <v/>
      </c>
      <c r="Q272" s="7" t="str">
        <f t="shared" si="76"/>
        <v/>
      </c>
      <c r="R272" s="7" t="str">
        <f t="shared" si="77"/>
        <v/>
      </c>
      <c r="S272" s="7" t="str">
        <f t="shared" si="78"/>
        <v/>
      </c>
      <c r="T272" s="7" t="str">
        <f t="shared" si="79"/>
        <v/>
      </c>
      <c r="U272" s="7" t="str">
        <f t="shared" si="80"/>
        <v/>
      </c>
      <c r="V272" s="7" t="str">
        <f t="shared" si="81"/>
        <v/>
      </c>
      <c r="W272" s="7" t="str">
        <f t="shared" si="82"/>
        <v/>
      </c>
      <c r="X272" s="7" t="str">
        <f t="shared" si="83"/>
        <v/>
      </c>
      <c r="Y272">
        <f t="shared" si="84"/>
        <v>0</v>
      </c>
      <c r="Z272" t="str">
        <f t="shared" si="85"/>
        <v/>
      </c>
      <c r="AA272" t="str">
        <f t="shared" si="86"/>
        <v/>
      </c>
      <c r="AB272" t="str">
        <f t="shared" si="87"/>
        <v/>
      </c>
      <c r="AC272" t="str">
        <f t="shared" si="88"/>
        <v/>
      </c>
      <c r="AD272">
        <f t="shared" si="89"/>
        <v>0</v>
      </c>
    </row>
    <row r="273" spans="1:30" ht="15" customHeight="1" x14ac:dyDescent="0.35">
      <c r="A273" s="2"/>
      <c r="B273" s="3"/>
      <c r="C273" s="4"/>
      <c r="D273" s="5"/>
      <c r="E273" s="11" t="str">
        <f t="shared" ca="1" si="72"/>
        <v/>
      </c>
      <c r="F273" s="5"/>
      <c r="G273" s="6" t="str">
        <f>IF(AND($A273&lt;&gt;"",$B273&lt;&gt;"",$C273&lt;&gt;"",$D273&lt;&gt;""),IF(OR($B273="SER",$B273="PLH",$B273="CSF"),"Control CDI Plate "&amp;(INT(((COUNTIFS($B$2:$B273,"SER")+COUNTIFS($B$2:$B273,"PLH")+COUNTIFS($B$2:$B273,"CSF"))-1)/96)+1)&amp;": "&amp;CHAR(65+INT(MOD((COUNTIFS($B$2:$B273,"SER")+COUNTIFS($B$2:$B273,"PLH")+COUNTIFS($B$2:$B273,"CSF"))-1,96)/12))&amp;(MOD((COUNTIFS($B$2:$B273,"SER")+COUNTIFS($B$2:$B273,"PLH")+COUNTIFS($B$2:$B273,"CSF"))-1,12)+1),"N/A"),"")</f>
        <v/>
      </c>
      <c r="H273" s="6" t="str">
        <f>IF(AND($A273&lt;&gt;"",$B273&lt;&gt;"",$C273&lt;&gt;"",$D273&lt;&gt;""),IF(OR($B273="SER",$B273="PLH",$B273="CSF"),"Control NIH Plate "&amp;(INT(((COUNTIFS($B$2:$B273,"SER")+COUNTIFS($B$2:$B273,"PLH")+COUNTIFS($B$2:$B273,"CSF"))-1)/96)+1)&amp;": "&amp;CHAR(65+INT(MOD((COUNTIFS($B$2:$B273,"SER")+COUNTIFS($B$2:$B273,"PLH")+COUNTIFS($B$2:$B273,"CSF"))-1,96)/12))&amp;(MOD((COUNTIFS($B$2:$B273,"SER")+COUNTIFS($B$2:$B273,"PLH")+COUNTIFS($B$2:$B273,"CSF"))-1,12)+1),"N/A"),"")</f>
        <v/>
      </c>
      <c r="I273" s="6" t="str">
        <f>IF(AND($A273&lt;&gt;"",$B273&lt;&gt;"",$C273&lt;&gt;"",$D273&lt;&gt;""),IF(OR($B273="SER",$B273="PLH"),"Control MAX Planck Plate "&amp;(INT(((COUNTIFS($B$2:$B273,"SER")+COUNTIFS($B$2:$B273,"PLH"))-1)/96)+1)&amp;": "&amp;CHAR(65+INT(MOD((COUNTIFS($B$2:$B273,"SER")+COUNTIFS($B$2:$B273,"PLH"))-1,96)/12))&amp;(MOD((COUNTIFS($B$2:$B273,"SER")+COUNTIFS($B$2:$B273,"PLH"))-1,12)+1),"N/A"),"")</f>
        <v/>
      </c>
      <c r="J273" s="6" t="str">
        <f>IF(AND($A273&lt;&gt;"",$B273&lt;&gt;"",$C273&lt;&gt;"",$D273&lt;&gt;""),IF($B273="WB","Control WB Box "&amp;(INT((COUNTIFS($B$2:$B273,"WB")-1)/81)+1)&amp;": "&amp;CHAR(65+INT(MOD(COUNTIFS($B$2:$B273,"WB")-1,81)/9))&amp;(MOD(COUNTIFS($B$2:$B273,"WB")-1,9)+1),"N/A"),"")</f>
        <v/>
      </c>
      <c r="K273" s="3" t="str">
        <f t="shared" si="73"/>
        <v/>
      </c>
      <c r="L273" s="2"/>
      <c r="M273" s="2"/>
      <c r="N273" s="2"/>
      <c r="O273" s="7" t="str">
        <f t="shared" si="74"/>
        <v/>
      </c>
      <c r="P273" s="7" t="str">
        <f t="shared" si="75"/>
        <v/>
      </c>
      <c r="Q273" s="7" t="str">
        <f t="shared" si="76"/>
        <v/>
      </c>
      <c r="R273" s="7" t="str">
        <f t="shared" si="77"/>
        <v/>
      </c>
      <c r="S273" s="7" t="str">
        <f t="shared" si="78"/>
        <v/>
      </c>
      <c r="T273" s="7" t="str">
        <f t="shared" si="79"/>
        <v/>
      </c>
      <c r="U273" s="7" t="str">
        <f t="shared" si="80"/>
        <v/>
      </c>
      <c r="V273" s="7" t="str">
        <f t="shared" si="81"/>
        <v/>
      </c>
      <c r="W273" s="7" t="str">
        <f t="shared" si="82"/>
        <v/>
      </c>
      <c r="X273" s="7" t="str">
        <f t="shared" si="83"/>
        <v/>
      </c>
      <c r="Y273">
        <f t="shared" si="84"/>
        <v>0</v>
      </c>
      <c r="Z273" t="str">
        <f t="shared" si="85"/>
        <v/>
      </c>
      <c r="AA273" t="str">
        <f t="shared" si="86"/>
        <v/>
      </c>
      <c r="AB273" t="str">
        <f t="shared" si="87"/>
        <v/>
      </c>
      <c r="AC273" t="str">
        <f t="shared" si="88"/>
        <v/>
      </c>
      <c r="AD273">
        <f t="shared" si="89"/>
        <v>0</v>
      </c>
    </row>
    <row r="274" spans="1:30" ht="15" customHeight="1" x14ac:dyDescent="0.35">
      <c r="A274" s="2"/>
      <c r="B274" s="3"/>
      <c r="C274" s="4"/>
      <c r="D274" s="5"/>
      <c r="E274" s="11" t="str">
        <f t="shared" ca="1" si="72"/>
        <v/>
      </c>
      <c r="F274" s="5"/>
      <c r="G274" s="6" t="str">
        <f>IF(AND($A274&lt;&gt;"",$B274&lt;&gt;"",$C274&lt;&gt;"",$D274&lt;&gt;""),IF(OR($B274="SER",$B274="PLH",$B274="CSF"),"Control CDI Plate "&amp;(INT(((COUNTIFS($B$2:$B274,"SER")+COUNTIFS($B$2:$B274,"PLH")+COUNTIFS($B$2:$B274,"CSF"))-1)/96)+1)&amp;": "&amp;CHAR(65+INT(MOD((COUNTIFS($B$2:$B274,"SER")+COUNTIFS($B$2:$B274,"PLH")+COUNTIFS($B$2:$B274,"CSF"))-1,96)/12))&amp;(MOD((COUNTIFS($B$2:$B274,"SER")+COUNTIFS($B$2:$B274,"PLH")+COUNTIFS($B$2:$B274,"CSF"))-1,12)+1),"N/A"),"")</f>
        <v/>
      </c>
      <c r="H274" s="6" t="str">
        <f>IF(AND($A274&lt;&gt;"",$B274&lt;&gt;"",$C274&lt;&gt;"",$D274&lt;&gt;""),IF(OR($B274="SER",$B274="PLH",$B274="CSF"),"Control NIH Plate "&amp;(INT(((COUNTIFS($B$2:$B274,"SER")+COUNTIFS($B$2:$B274,"PLH")+COUNTIFS($B$2:$B274,"CSF"))-1)/96)+1)&amp;": "&amp;CHAR(65+INT(MOD((COUNTIFS($B$2:$B274,"SER")+COUNTIFS($B$2:$B274,"PLH")+COUNTIFS($B$2:$B274,"CSF"))-1,96)/12))&amp;(MOD((COUNTIFS($B$2:$B274,"SER")+COUNTIFS($B$2:$B274,"PLH")+COUNTIFS($B$2:$B274,"CSF"))-1,12)+1),"N/A"),"")</f>
        <v/>
      </c>
      <c r="I274" s="6" t="str">
        <f>IF(AND($A274&lt;&gt;"",$B274&lt;&gt;"",$C274&lt;&gt;"",$D274&lt;&gt;""),IF(OR($B274="SER",$B274="PLH"),"Control MAX Planck Plate "&amp;(INT(((COUNTIFS($B$2:$B274,"SER")+COUNTIFS($B$2:$B274,"PLH"))-1)/96)+1)&amp;": "&amp;CHAR(65+INT(MOD((COUNTIFS($B$2:$B274,"SER")+COUNTIFS($B$2:$B274,"PLH"))-1,96)/12))&amp;(MOD((COUNTIFS($B$2:$B274,"SER")+COUNTIFS($B$2:$B274,"PLH"))-1,12)+1),"N/A"),"")</f>
        <v/>
      </c>
      <c r="J274" s="6" t="str">
        <f>IF(AND($A274&lt;&gt;"",$B274&lt;&gt;"",$C274&lt;&gt;"",$D274&lt;&gt;""),IF($B274="WB","Control WB Box "&amp;(INT((COUNTIFS($B$2:$B274,"WB")-1)/81)+1)&amp;": "&amp;CHAR(65+INT(MOD(COUNTIFS($B$2:$B274,"WB")-1,81)/9))&amp;(MOD(COUNTIFS($B$2:$B274,"WB")-1,9)+1),"N/A"),"")</f>
        <v/>
      </c>
      <c r="K274" s="3" t="str">
        <f t="shared" si="73"/>
        <v/>
      </c>
      <c r="L274" s="2"/>
      <c r="M274" s="2"/>
      <c r="N274" s="2"/>
      <c r="O274" s="7" t="str">
        <f t="shared" si="74"/>
        <v/>
      </c>
      <c r="P274" s="7" t="str">
        <f t="shared" si="75"/>
        <v/>
      </c>
      <c r="Q274" s="7" t="str">
        <f t="shared" si="76"/>
        <v/>
      </c>
      <c r="R274" s="7" t="str">
        <f t="shared" si="77"/>
        <v/>
      </c>
      <c r="S274" s="7" t="str">
        <f t="shared" si="78"/>
        <v/>
      </c>
      <c r="T274" s="7" t="str">
        <f t="shared" si="79"/>
        <v/>
      </c>
      <c r="U274" s="7" t="str">
        <f t="shared" si="80"/>
        <v/>
      </c>
      <c r="V274" s="7" t="str">
        <f t="shared" si="81"/>
        <v/>
      </c>
      <c r="W274" s="7" t="str">
        <f t="shared" si="82"/>
        <v/>
      </c>
      <c r="X274" s="7" t="str">
        <f t="shared" si="83"/>
        <v/>
      </c>
      <c r="Y274">
        <f t="shared" si="84"/>
        <v>0</v>
      </c>
      <c r="Z274" t="str">
        <f t="shared" si="85"/>
        <v/>
      </c>
      <c r="AA274" t="str">
        <f t="shared" si="86"/>
        <v/>
      </c>
      <c r="AB274" t="str">
        <f t="shared" si="87"/>
        <v/>
      </c>
      <c r="AC274" t="str">
        <f t="shared" si="88"/>
        <v/>
      </c>
      <c r="AD274">
        <f t="shared" si="89"/>
        <v>0</v>
      </c>
    </row>
    <row r="275" spans="1:30" ht="15" customHeight="1" x14ac:dyDescent="0.35">
      <c r="A275" s="2"/>
      <c r="B275" s="3"/>
      <c r="C275" s="4"/>
      <c r="D275" s="5"/>
      <c r="E275" s="11" t="str">
        <f t="shared" ca="1" si="72"/>
        <v/>
      </c>
      <c r="F275" s="5"/>
      <c r="G275" s="6" t="str">
        <f>IF(AND($A275&lt;&gt;"",$B275&lt;&gt;"",$C275&lt;&gt;"",$D275&lt;&gt;""),IF(OR($B275="SER",$B275="PLH",$B275="CSF"),"Control CDI Plate "&amp;(INT(((COUNTIFS($B$2:$B275,"SER")+COUNTIFS($B$2:$B275,"PLH")+COUNTIFS($B$2:$B275,"CSF"))-1)/96)+1)&amp;": "&amp;CHAR(65+INT(MOD((COUNTIFS($B$2:$B275,"SER")+COUNTIFS($B$2:$B275,"PLH")+COUNTIFS($B$2:$B275,"CSF"))-1,96)/12))&amp;(MOD((COUNTIFS($B$2:$B275,"SER")+COUNTIFS($B$2:$B275,"PLH")+COUNTIFS($B$2:$B275,"CSF"))-1,12)+1),"N/A"),"")</f>
        <v/>
      </c>
      <c r="H275" s="6" t="str">
        <f>IF(AND($A275&lt;&gt;"",$B275&lt;&gt;"",$C275&lt;&gt;"",$D275&lt;&gt;""),IF(OR($B275="SER",$B275="PLH",$B275="CSF"),"Control NIH Plate "&amp;(INT(((COUNTIFS($B$2:$B275,"SER")+COUNTIFS($B$2:$B275,"PLH")+COUNTIFS($B$2:$B275,"CSF"))-1)/96)+1)&amp;": "&amp;CHAR(65+INT(MOD((COUNTIFS($B$2:$B275,"SER")+COUNTIFS($B$2:$B275,"PLH")+COUNTIFS($B$2:$B275,"CSF"))-1,96)/12))&amp;(MOD((COUNTIFS($B$2:$B275,"SER")+COUNTIFS($B$2:$B275,"PLH")+COUNTIFS($B$2:$B275,"CSF"))-1,12)+1),"N/A"),"")</f>
        <v/>
      </c>
      <c r="I275" s="6" t="str">
        <f>IF(AND($A275&lt;&gt;"",$B275&lt;&gt;"",$C275&lt;&gt;"",$D275&lt;&gt;""),IF(OR($B275="SER",$B275="PLH"),"Control MAX Planck Plate "&amp;(INT(((COUNTIFS($B$2:$B275,"SER")+COUNTIFS($B$2:$B275,"PLH"))-1)/96)+1)&amp;": "&amp;CHAR(65+INT(MOD((COUNTIFS($B$2:$B275,"SER")+COUNTIFS($B$2:$B275,"PLH"))-1,96)/12))&amp;(MOD((COUNTIFS($B$2:$B275,"SER")+COUNTIFS($B$2:$B275,"PLH"))-1,12)+1),"N/A"),"")</f>
        <v/>
      </c>
      <c r="J275" s="6" t="str">
        <f>IF(AND($A275&lt;&gt;"",$B275&lt;&gt;"",$C275&lt;&gt;"",$D275&lt;&gt;""),IF($B275="WB","Control WB Box "&amp;(INT((COUNTIFS($B$2:$B275,"WB")-1)/81)+1)&amp;": "&amp;CHAR(65+INT(MOD(COUNTIFS($B$2:$B275,"WB")-1,81)/9))&amp;(MOD(COUNTIFS($B$2:$B275,"WB")-1,9)+1),"N/A"),"")</f>
        <v/>
      </c>
      <c r="K275" s="3" t="str">
        <f t="shared" si="73"/>
        <v/>
      </c>
      <c r="L275" s="2"/>
      <c r="M275" s="2"/>
      <c r="N275" s="2"/>
      <c r="O275" s="7" t="str">
        <f t="shared" si="74"/>
        <v/>
      </c>
      <c r="P275" s="7" t="str">
        <f t="shared" si="75"/>
        <v/>
      </c>
      <c r="Q275" s="7" t="str">
        <f t="shared" si="76"/>
        <v/>
      </c>
      <c r="R275" s="7" t="str">
        <f t="shared" si="77"/>
        <v/>
      </c>
      <c r="S275" s="7" t="str">
        <f t="shared" si="78"/>
        <v/>
      </c>
      <c r="T275" s="7" t="str">
        <f t="shared" si="79"/>
        <v/>
      </c>
      <c r="U275" s="7" t="str">
        <f t="shared" si="80"/>
        <v/>
      </c>
      <c r="V275" s="7" t="str">
        <f t="shared" si="81"/>
        <v/>
      </c>
      <c r="W275" s="7" t="str">
        <f t="shared" si="82"/>
        <v/>
      </c>
      <c r="X275" s="7" t="str">
        <f t="shared" si="83"/>
        <v/>
      </c>
      <c r="Y275">
        <f t="shared" si="84"/>
        <v>0</v>
      </c>
      <c r="Z275" t="str">
        <f t="shared" si="85"/>
        <v/>
      </c>
      <c r="AA275" t="str">
        <f t="shared" si="86"/>
        <v/>
      </c>
      <c r="AB275" t="str">
        <f t="shared" si="87"/>
        <v/>
      </c>
      <c r="AC275" t="str">
        <f t="shared" si="88"/>
        <v/>
      </c>
      <c r="AD275">
        <f t="shared" si="89"/>
        <v>0</v>
      </c>
    </row>
    <row r="276" spans="1:30" ht="15" customHeight="1" x14ac:dyDescent="0.35">
      <c r="A276" s="2"/>
      <c r="B276" s="3"/>
      <c r="C276" s="4"/>
      <c r="D276" s="5"/>
      <c r="E276" s="11" t="str">
        <f t="shared" ca="1" si="72"/>
        <v/>
      </c>
      <c r="F276" s="5"/>
      <c r="G276" s="6" t="str">
        <f>IF(AND($A276&lt;&gt;"",$B276&lt;&gt;"",$C276&lt;&gt;"",$D276&lt;&gt;""),IF(OR($B276="SER",$B276="PLH",$B276="CSF"),"Control CDI Plate "&amp;(INT(((COUNTIFS($B$2:$B276,"SER")+COUNTIFS($B$2:$B276,"PLH")+COUNTIFS($B$2:$B276,"CSF"))-1)/96)+1)&amp;": "&amp;CHAR(65+INT(MOD((COUNTIFS($B$2:$B276,"SER")+COUNTIFS($B$2:$B276,"PLH")+COUNTIFS($B$2:$B276,"CSF"))-1,96)/12))&amp;(MOD((COUNTIFS($B$2:$B276,"SER")+COUNTIFS($B$2:$B276,"PLH")+COUNTIFS($B$2:$B276,"CSF"))-1,12)+1),"N/A"),"")</f>
        <v/>
      </c>
      <c r="H276" s="6" t="str">
        <f>IF(AND($A276&lt;&gt;"",$B276&lt;&gt;"",$C276&lt;&gt;"",$D276&lt;&gt;""),IF(OR($B276="SER",$B276="PLH",$B276="CSF"),"Control NIH Plate "&amp;(INT(((COUNTIFS($B$2:$B276,"SER")+COUNTIFS($B$2:$B276,"PLH")+COUNTIFS($B$2:$B276,"CSF"))-1)/96)+1)&amp;": "&amp;CHAR(65+INT(MOD((COUNTIFS($B$2:$B276,"SER")+COUNTIFS($B$2:$B276,"PLH")+COUNTIFS($B$2:$B276,"CSF"))-1,96)/12))&amp;(MOD((COUNTIFS($B$2:$B276,"SER")+COUNTIFS($B$2:$B276,"PLH")+COUNTIFS($B$2:$B276,"CSF"))-1,12)+1),"N/A"),"")</f>
        <v/>
      </c>
      <c r="I276" s="6" t="str">
        <f>IF(AND($A276&lt;&gt;"",$B276&lt;&gt;"",$C276&lt;&gt;"",$D276&lt;&gt;""),IF(OR($B276="SER",$B276="PLH"),"Control MAX Planck Plate "&amp;(INT(((COUNTIFS($B$2:$B276,"SER")+COUNTIFS($B$2:$B276,"PLH"))-1)/96)+1)&amp;": "&amp;CHAR(65+INT(MOD((COUNTIFS($B$2:$B276,"SER")+COUNTIFS($B$2:$B276,"PLH"))-1,96)/12))&amp;(MOD((COUNTIFS($B$2:$B276,"SER")+COUNTIFS($B$2:$B276,"PLH"))-1,12)+1),"N/A"),"")</f>
        <v/>
      </c>
      <c r="J276" s="6" t="str">
        <f>IF(AND($A276&lt;&gt;"",$B276&lt;&gt;"",$C276&lt;&gt;"",$D276&lt;&gt;""),IF($B276="WB","Control WB Box "&amp;(INT((COUNTIFS($B$2:$B276,"WB")-1)/81)+1)&amp;": "&amp;CHAR(65+INT(MOD(COUNTIFS($B$2:$B276,"WB")-1,81)/9))&amp;(MOD(COUNTIFS($B$2:$B276,"WB")-1,9)+1),"N/A"),"")</f>
        <v/>
      </c>
      <c r="K276" s="3" t="str">
        <f t="shared" si="73"/>
        <v/>
      </c>
      <c r="L276" s="2"/>
      <c r="M276" s="2"/>
      <c r="N276" s="2"/>
      <c r="O276" s="7" t="str">
        <f t="shared" si="74"/>
        <v/>
      </c>
      <c r="P276" s="7" t="str">
        <f t="shared" si="75"/>
        <v/>
      </c>
      <c r="Q276" s="7" t="str">
        <f t="shared" si="76"/>
        <v/>
      </c>
      <c r="R276" s="7" t="str">
        <f t="shared" si="77"/>
        <v/>
      </c>
      <c r="S276" s="7" t="str">
        <f t="shared" si="78"/>
        <v/>
      </c>
      <c r="T276" s="7" t="str">
        <f t="shared" si="79"/>
        <v/>
      </c>
      <c r="U276" s="7" t="str">
        <f t="shared" si="80"/>
        <v/>
      </c>
      <c r="V276" s="7" t="str">
        <f t="shared" si="81"/>
        <v/>
      </c>
      <c r="W276" s="7" t="str">
        <f t="shared" si="82"/>
        <v/>
      </c>
      <c r="X276" s="7" t="str">
        <f t="shared" si="83"/>
        <v/>
      </c>
      <c r="Y276">
        <f t="shared" si="84"/>
        <v>0</v>
      </c>
      <c r="Z276" t="str">
        <f t="shared" si="85"/>
        <v/>
      </c>
      <c r="AA276" t="str">
        <f t="shared" si="86"/>
        <v/>
      </c>
      <c r="AB276" t="str">
        <f t="shared" si="87"/>
        <v/>
      </c>
      <c r="AC276" t="str">
        <f t="shared" si="88"/>
        <v/>
      </c>
      <c r="AD276">
        <f t="shared" si="89"/>
        <v>0</v>
      </c>
    </row>
    <row r="277" spans="1:30" ht="15" customHeight="1" x14ac:dyDescent="0.35">
      <c r="A277" s="2"/>
      <c r="B277" s="3"/>
      <c r="C277" s="4"/>
      <c r="D277" s="5"/>
      <c r="E277" s="11" t="str">
        <f t="shared" ca="1" si="72"/>
        <v/>
      </c>
      <c r="F277" s="5"/>
      <c r="G277" s="6" t="str">
        <f>IF(AND($A277&lt;&gt;"",$B277&lt;&gt;"",$C277&lt;&gt;"",$D277&lt;&gt;""),IF(OR($B277="SER",$B277="PLH",$B277="CSF"),"Control CDI Plate "&amp;(INT(((COUNTIFS($B$2:$B277,"SER")+COUNTIFS($B$2:$B277,"PLH")+COUNTIFS($B$2:$B277,"CSF"))-1)/96)+1)&amp;": "&amp;CHAR(65+INT(MOD((COUNTIFS($B$2:$B277,"SER")+COUNTIFS($B$2:$B277,"PLH")+COUNTIFS($B$2:$B277,"CSF"))-1,96)/12))&amp;(MOD((COUNTIFS($B$2:$B277,"SER")+COUNTIFS($B$2:$B277,"PLH")+COUNTIFS($B$2:$B277,"CSF"))-1,12)+1),"N/A"),"")</f>
        <v/>
      </c>
      <c r="H277" s="6" t="str">
        <f>IF(AND($A277&lt;&gt;"",$B277&lt;&gt;"",$C277&lt;&gt;"",$D277&lt;&gt;""),IF(OR($B277="SER",$B277="PLH",$B277="CSF"),"Control NIH Plate "&amp;(INT(((COUNTIFS($B$2:$B277,"SER")+COUNTIFS($B$2:$B277,"PLH")+COUNTIFS($B$2:$B277,"CSF"))-1)/96)+1)&amp;": "&amp;CHAR(65+INT(MOD((COUNTIFS($B$2:$B277,"SER")+COUNTIFS($B$2:$B277,"PLH")+COUNTIFS($B$2:$B277,"CSF"))-1,96)/12))&amp;(MOD((COUNTIFS($B$2:$B277,"SER")+COUNTIFS($B$2:$B277,"PLH")+COUNTIFS($B$2:$B277,"CSF"))-1,12)+1),"N/A"),"")</f>
        <v/>
      </c>
      <c r="I277" s="6" t="str">
        <f>IF(AND($A277&lt;&gt;"",$B277&lt;&gt;"",$C277&lt;&gt;"",$D277&lt;&gt;""),IF(OR($B277="SER",$B277="PLH"),"Control MAX Planck Plate "&amp;(INT(((COUNTIFS($B$2:$B277,"SER")+COUNTIFS($B$2:$B277,"PLH"))-1)/96)+1)&amp;": "&amp;CHAR(65+INT(MOD((COUNTIFS($B$2:$B277,"SER")+COUNTIFS($B$2:$B277,"PLH"))-1,96)/12))&amp;(MOD((COUNTIFS($B$2:$B277,"SER")+COUNTIFS($B$2:$B277,"PLH"))-1,12)+1),"N/A"),"")</f>
        <v/>
      </c>
      <c r="J277" s="6" t="str">
        <f>IF(AND($A277&lt;&gt;"",$B277&lt;&gt;"",$C277&lt;&gt;"",$D277&lt;&gt;""),IF($B277="WB","Control WB Box "&amp;(INT((COUNTIFS($B$2:$B277,"WB")-1)/81)+1)&amp;": "&amp;CHAR(65+INT(MOD(COUNTIFS($B$2:$B277,"WB")-1,81)/9))&amp;(MOD(COUNTIFS($B$2:$B277,"WB")-1,9)+1),"N/A"),"")</f>
        <v/>
      </c>
      <c r="K277" s="3" t="str">
        <f t="shared" si="73"/>
        <v/>
      </c>
      <c r="L277" s="2"/>
      <c r="M277" s="2"/>
      <c r="N277" s="2"/>
      <c r="O277" s="7" t="str">
        <f t="shared" si="74"/>
        <v/>
      </c>
      <c r="P277" s="7" t="str">
        <f t="shared" si="75"/>
        <v/>
      </c>
      <c r="Q277" s="7" t="str">
        <f t="shared" si="76"/>
        <v/>
      </c>
      <c r="R277" s="7" t="str">
        <f t="shared" si="77"/>
        <v/>
      </c>
      <c r="S277" s="7" t="str">
        <f t="shared" si="78"/>
        <v/>
      </c>
      <c r="T277" s="7" t="str">
        <f t="shared" si="79"/>
        <v/>
      </c>
      <c r="U277" s="7" t="str">
        <f t="shared" si="80"/>
        <v/>
      </c>
      <c r="V277" s="7" t="str">
        <f t="shared" si="81"/>
        <v/>
      </c>
      <c r="W277" s="7" t="str">
        <f t="shared" si="82"/>
        <v/>
      </c>
      <c r="X277" s="7" t="str">
        <f t="shared" si="83"/>
        <v/>
      </c>
      <c r="Y277">
        <f t="shared" si="84"/>
        <v>0</v>
      </c>
      <c r="Z277" t="str">
        <f t="shared" si="85"/>
        <v/>
      </c>
      <c r="AA277" t="str">
        <f t="shared" si="86"/>
        <v/>
      </c>
      <c r="AB277" t="str">
        <f t="shared" si="87"/>
        <v/>
      </c>
      <c r="AC277" t="str">
        <f t="shared" si="88"/>
        <v/>
      </c>
      <c r="AD277">
        <f t="shared" si="89"/>
        <v>0</v>
      </c>
    </row>
    <row r="278" spans="1:30" ht="15" customHeight="1" x14ac:dyDescent="0.35">
      <c r="A278" s="2"/>
      <c r="B278" s="3"/>
      <c r="C278" s="4"/>
      <c r="D278" s="5"/>
      <c r="E278" s="11" t="str">
        <f t="shared" ca="1" si="72"/>
        <v/>
      </c>
      <c r="F278" s="5"/>
      <c r="G278" s="6" t="str">
        <f>IF(AND($A278&lt;&gt;"",$B278&lt;&gt;"",$C278&lt;&gt;"",$D278&lt;&gt;""),IF(OR($B278="SER",$B278="PLH",$B278="CSF"),"Control CDI Plate "&amp;(INT(((COUNTIFS($B$2:$B278,"SER")+COUNTIFS($B$2:$B278,"PLH")+COUNTIFS($B$2:$B278,"CSF"))-1)/96)+1)&amp;": "&amp;CHAR(65+INT(MOD((COUNTIFS($B$2:$B278,"SER")+COUNTIFS($B$2:$B278,"PLH")+COUNTIFS($B$2:$B278,"CSF"))-1,96)/12))&amp;(MOD((COUNTIFS($B$2:$B278,"SER")+COUNTIFS($B$2:$B278,"PLH")+COUNTIFS($B$2:$B278,"CSF"))-1,12)+1),"N/A"),"")</f>
        <v/>
      </c>
      <c r="H278" s="6" t="str">
        <f>IF(AND($A278&lt;&gt;"",$B278&lt;&gt;"",$C278&lt;&gt;"",$D278&lt;&gt;""),IF(OR($B278="SER",$B278="PLH",$B278="CSF"),"Control NIH Plate "&amp;(INT(((COUNTIFS($B$2:$B278,"SER")+COUNTIFS($B$2:$B278,"PLH")+COUNTIFS($B$2:$B278,"CSF"))-1)/96)+1)&amp;": "&amp;CHAR(65+INT(MOD((COUNTIFS($B$2:$B278,"SER")+COUNTIFS($B$2:$B278,"PLH")+COUNTIFS($B$2:$B278,"CSF"))-1,96)/12))&amp;(MOD((COUNTIFS($B$2:$B278,"SER")+COUNTIFS($B$2:$B278,"PLH")+COUNTIFS($B$2:$B278,"CSF"))-1,12)+1),"N/A"),"")</f>
        <v/>
      </c>
      <c r="I278" s="6" t="str">
        <f>IF(AND($A278&lt;&gt;"",$B278&lt;&gt;"",$C278&lt;&gt;"",$D278&lt;&gt;""),IF(OR($B278="SER",$B278="PLH"),"Control MAX Planck Plate "&amp;(INT(((COUNTIFS($B$2:$B278,"SER")+COUNTIFS($B$2:$B278,"PLH"))-1)/96)+1)&amp;": "&amp;CHAR(65+INT(MOD((COUNTIFS($B$2:$B278,"SER")+COUNTIFS($B$2:$B278,"PLH"))-1,96)/12))&amp;(MOD((COUNTIFS($B$2:$B278,"SER")+COUNTIFS($B$2:$B278,"PLH"))-1,12)+1),"N/A"),"")</f>
        <v/>
      </c>
      <c r="J278" s="6" t="str">
        <f>IF(AND($A278&lt;&gt;"",$B278&lt;&gt;"",$C278&lt;&gt;"",$D278&lt;&gt;""),IF($B278="WB","Control WB Box "&amp;(INT((COUNTIFS($B$2:$B278,"WB")-1)/81)+1)&amp;": "&amp;CHAR(65+INT(MOD(COUNTIFS($B$2:$B278,"WB")-1,81)/9))&amp;(MOD(COUNTIFS($B$2:$B278,"WB")-1,9)+1),"N/A"),"")</f>
        <v/>
      </c>
      <c r="K278" s="3" t="str">
        <f t="shared" si="73"/>
        <v/>
      </c>
      <c r="L278" s="2"/>
      <c r="M278" s="2"/>
      <c r="N278" s="2"/>
      <c r="O278" s="7" t="str">
        <f t="shared" si="74"/>
        <v/>
      </c>
      <c r="P278" s="7" t="str">
        <f t="shared" si="75"/>
        <v/>
      </c>
      <c r="Q278" s="7" t="str">
        <f t="shared" si="76"/>
        <v/>
      </c>
      <c r="R278" s="7" t="str">
        <f t="shared" si="77"/>
        <v/>
      </c>
      <c r="S278" s="7" t="str">
        <f t="shared" si="78"/>
        <v/>
      </c>
      <c r="T278" s="7" t="str">
        <f t="shared" si="79"/>
        <v/>
      </c>
      <c r="U278" s="7" t="str">
        <f t="shared" si="80"/>
        <v/>
      </c>
      <c r="V278" s="7" t="str">
        <f t="shared" si="81"/>
        <v/>
      </c>
      <c r="W278" s="7" t="str">
        <f t="shared" si="82"/>
        <v/>
      </c>
      <c r="X278" s="7" t="str">
        <f t="shared" si="83"/>
        <v/>
      </c>
      <c r="Y278">
        <f t="shared" si="84"/>
        <v>0</v>
      </c>
      <c r="Z278" t="str">
        <f t="shared" si="85"/>
        <v/>
      </c>
      <c r="AA278" t="str">
        <f t="shared" si="86"/>
        <v/>
      </c>
      <c r="AB278" t="str">
        <f t="shared" si="87"/>
        <v/>
      </c>
      <c r="AC278" t="str">
        <f t="shared" si="88"/>
        <v/>
      </c>
      <c r="AD278">
        <f t="shared" si="89"/>
        <v>0</v>
      </c>
    </row>
    <row r="279" spans="1:30" ht="15" customHeight="1" x14ac:dyDescent="0.35">
      <c r="A279" s="2"/>
      <c r="B279" s="3"/>
      <c r="C279" s="4"/>
      <c r="D279" s="5"/>
      <c r="E279" s="11" t="str">
        <f t="shared" ca="1" si="72"/>
        <v/>
      </c>
      <c r="F279" s="5"/>
      <c r="G279" s="6" t="str">
        <f>IF(AND($A279&lt;&gt;"",$B279&lt;&gt;"",$C279&lt;&gt;"",$D279&lt;&gt;""),IF(OR($B279="SER",$B279="PLH",$B279="CSF"),"Control CDI Plate "&amp;(INT(((COUNTIFS($B$2:$B279,"SER")+COUNTIFS($B$2:$B279,"PLH")+COUNTIFS($B$2:$B279,"CSF"))-1)/96)+1)&amp;": "&amp;CHAR(65+INT(MOD((COUNTIFS($B$2:$B279,"SER")+COUNTIFS($B$2:$B279,"PLH")+COUNTIFS($B$2:$B279,"CSF"))-1,96)/12))&amp;(MOD((COUNTIFS($B$2:$B279,"SER")+COUNTIFS($B$2:$B279,"PLH")+COUNTIFS($B$2:$B279,"CSF"))-1,12)+1),"N/A"),"")</f>
        <v/>
      </c>
      <c r="H279" s="6" t="str">
        <f>IF(AND($A279&lt;&gt;"",$B279&lt;&gt;"",$C279&lt;&gt;"",$D279&lt;&gt;""),IF(OR($B279="SER",$B279="PLH",$B279="CSF"),"Control NIH Plate "&amp;(INT(((COUNTIFS($B$2:$B279,"SER")+COUNTIFS($B$2:$B279,"PLH")+COUNTIFS($B$2:$B279,"CSF"))-1)/96)+1)&amp;": "&amp;CHAR(65+INT(MOD((COUNTIFS($B$2:$B279,"SER")+COUNTIFS($B$2:$B279,"PLH")+COUNTIFS($B$2:$B279,"CSF"))-1,96)/12))&amp;(MOD((COUNTIFS($B$2:$B279,"SER")+COUNTIFS($B$2:$B279,"PLH")+COUNTIFS($B$2:$B279,"CSF"))-1,12)+1),"N/A"),"")</f>
        <v/>
      </c>
      <c r="I279" s="6" t="str">
        <f>IF(AND($A279&lt;&gt;"",$B279&lt;&gt;"",$C279&lt;&gt;"",$D279&lt;&gt;""),IF(OR($B279="SER",$B279="PLH"),"Control MAX Planck Plate "&amp;(INT(((COUNTIFS($B$2:$B279,"SER")+COUNTIFS($B$2:$B279,"PLH"))-1)/96)+1)&amp;": "&amp;CHAR(65+INT(MOD((COUNTIFS($B$2:$B279,"SER")+COUNTIFS($B$2:$B279,"PLH"))-1,96)/12))&amp;(MOD((COUNTIFS($B$2:$B279,"SER")+COUNTIFS($B$2:$B279,"PLH"))-1,12)+1),"N/A"),"")</f>
        <v/>
      </c>
      <c r="J279" s="6" t="str">
        <f>IF(AND($A279&lt;&gt;"",$B279&lt;&gt;"",$C279&lt;&gt;"",$D279&lt;&gt;""),IF($B279="WB","Control WB Box "&amp;(INT((COUNTIFS($B$2:$B279,"WB")-1)/81)+1)&amp;": "&amp;CHAR(65+INT(MOD(COUNTIFS($B$2:$B279,"WB")-1,81)/9))&amp;(MOD(COUNTIFS($B$2:$B279,"WB")-1,9)+1),"N/A"),"")</f>
        <v/>
      </c>
      <c r="K279" s="3" t="str">
        <f t="shared" si="73"/>
        <v/>
      </c>
      <c r="L279" s="2"/>
      <c r="M279" s="2"/>
      <c r="N279" s="2"/>
      <c r="O279" s="7" t="str">
        <f t="shared" si="74"/>
        <v/>
      </c>
      <c r="P279" s="7" t="str">
        <f t="shared" si="75"/>
        <v/>
      </c>
      <c r="Q279" s="7" t="str">
        <f t="shared" si="76"/>
        <v/>
      </c>
      <c r="R279" s="7" t="str">
        <f t="shared" si="77"/>
        <v/>
      </c>
      <c r="S279" s="7" t="str">
        <f t="shared" si="78"/>
        <v/>
      </c>
      <c r="T279" s="7" t="str">
        <f t="shared" si="79"/>
        <v/>
      </c>
      <c r="U279" s="7" t="str">
        <f t="shared" si="80"/>
        <v/>
      </c>
      <c r="V279" s="7" t="str">
        <f t="shared" si="81"/>
        <v/>
      </c>
      <c r="W279" s="7" t="str">
        <f t="shared" si="82"/>
        <v/>
      </c>
      <c r="X279" s="7" t="str">
        <f t="shared" si="83"/>
        <v/>
      </c>
      <c r="Y279">
        <f t="shared" si="84"/>
        <v>0</v>
      </c>
      <c r="Z279" t="str">
        <f t="shared" si="85"/>
        <v/>
      </c>
      <c r="AA279" t="str">
        <f t="shared" si="86"/>
        <v/>
      </c>
      <c r="AB279" t="str">
        <f t="shared" si="87"/>
        <v/>
      </c>
      <c r="AC279" t="str">
        <f t="shared" si="88"/>
        <v/>
      </c>
      <c r="AD279">
        <f t="shared" si="89"/>
        <v>0</v>
      </c>
    </row>
    <row r="280" spans="1:30" ht="15" customHeight="1" x14ac:dyDescent="0.35">
      <c r="A280" s="2"/>
      <c r="B280" s="3"/>
      <c r="C280" s="4"/>
      <c r="D280" s="5"/>
      <c r="E280" s="11" t="str">
        <f t="shared" ca="1" si="72"/>
        <v/>
      </c>
      <c r="F280" s="5"/>
      <c r="G280" s="6" t="str">
        <f>IF(AND($A280&lt;&gt;"",$B280&lt;&gt;"",$C280&lt;&gt;"",$D280&lt;&gt;""),IF(OR($B280="SER",$B280="PLH",$B280="CSF"),"Control CDI Plate "&amp;(INT(((COUNTIFS($B$2:$B280,"SER")+COUNTIFS($B$2:$B280,"PLH")+COUNTIFS($B$2:$B280,"CSF"))-1)/96)+1)&amp;": "&amp;CHAR(65+INT(MOD((COUNTIFS($B$2:$B280,"SER")+COUNTIFS($B$2:$B280,"PLH")+COUNTIFS($B$2:$B280,"CSF"))-1,96)/12))&amp;(MOD((COUNTIFS($B$2:$B280,"SER")+COUNTIFS($B$2:$B280,"PLH")+COUNTIFS($B$2:$B280,"CSF"))-1,12)+1),"N/A"),"")</f>
        <v/>
      </c>
      <c r="H280" s="6" t="str">
        <f>IF(AND($A280&lt;&gt;"",$B280&lt;&gt;"",$C280&lt;&gt;"",$D280&lt;&gt;""),IF(OR($B280="SER",$B280="PLH",$B280="CSF"),"Control NIH Plate "&amp;(INT(((COUNTIFS($B$2:$B280,"SER")+COUNTIFS($B$2:$B280,"PLH")+COUNTIFS($B$2:$B280,"CSF"))-1)/96)+1)&amp;": "&amp;CHAR(65+INT(MOD((COUNTIFS($B$2:$B280,"SER")+COUNTIFS($B$2:$B280,"PLH")+COUNTIFS($B$2:$B280,"CSF"))-1,96)/12))&amp;(MOD((COUNTIFS($B$2:$B280,"SER")+COUNTIFS($B$2:$B280,"PLH")+COUNTIFS($B$2:$B280,"CSF"))-1,12)+1),"N/A"),"")</f>
        <v/>
      </c>
      <c r="I280" s="6" t="str">
        <f>IF(AND($A280&lt;&gt;"",$B280&lt;&gt;"",$C280&lt;&gt;"",$D280&lt;&gt;""),IF(OR($B280="SER",$B280="PLH"),"Control MAX Planck Plate "&amp;(INT(((COUNTIFS($B$2:$B280,"SER")+COUNTIFS($B$2:$B280,"PLH"))-1)/96)+1)&amp;": "&amp;CHAR(65+INT(MOD((COUNTIFS($B$2:$B280,"SER")+COUNTIFS($B$2:$B280,"PLH"))-1,96)/12))&amp;(MOD((COUNTIFS($B$2:$B280,"SER")+COUNTIFS($B$2:$B280,"PLH"))-1,12)+1),"N/A"),"")</f>
        <v/>
      </c>
      <c r="J280" s="6" t="str">
        <f>IF(AND($A280&lt;&gt;"",$B280&lt;&gt;"",$C280&lt;&gt;"",$D280&lt;&gt;""),IF($B280="WB","Control WB Box "&amp;(INT((COUNTIFS($B$2:$B280,"WB")-1)/81)+1)&amp;": "&amp;CHAR(65+INT(MOD(COUNTIFS($B$2:$B280,"WB")-1,81)/9))&amp;(MOD(COUNTIFS($B$2:$B280,"WB")-1,9)+1),"N/A"),"")</f>
        <v/>
      </c>
      <c r="K280" s="3" t="str">
        <f t="shared" si="73"/>
        <v/>
      </c>
      <c r="L280" s="2"/>
      <c r="M280" s="2"/>
      <c r="N280" s="2"/>
      <c r="O280" s="7" t="str">
        <f t="shared" si="74"/>
        <v/>
      </c>
      <c r="P280" s="7" t="str">
        <f t="shared" si="75"/>
        <v/>
      </c>
      <c r="Q280" s="7" t="str">
        <f t="shared" si="76"/>
        <v/>
      </c>
      <c r="R280" s="7" t="str">
        <f t="shared" si="77"/>
        <v/>
      </c>
      <c r="S280" s="7" t="str">
        <f t="shared" si="78"/>
        <v/>
      </c>
      <c r="T280" s="7" t="str">
        <f t="shared" si="79"/>
        <v/>
      </c>
      <c r="U280" s="7" t="str">
        <f t="shared" si="80"/>
        <v/>
      </c>
      <c r="V280" s="7" t="str">
        <f t="shared" si="81"/>
        <v/>
      </c>
      <c r="W280" s="7" t="str">
        <f t="shared" si="82"/>
        <v/>
      </c>
      <c r="X280" s="7" t="str">
        <f t="shared" si="83"/>
        <v/>
      </c>
      <c r="Y280">
        <f t="shared" si="84"/>
        <v>0</v>
      </c>
      <c r="Z280" t="str">
        <f t="shared" si="85"/>
        <v/>
      </c>
      <c r="AA280" t="str">
        <f t="shared" si="86"/>
        <v/>
      </c>
      <c r="AB280" t="str">
        <f t="shared" si="87"/>
        <v/>
      </c>
      <c r="AC280" t="str">
        <f t="shared" si="88"/>
        <v/>
      </c>
      <c r="AD280">
        <f t="shared" si="89"/>
        <v>0</v>
      </c>
    </row>
    <row r="281" spans="1:30" ht="15" customHeight="1" x14ac:dyDescent="0.35">
      <c r="A281" s="2"/>
      <c r="B281" s="3"/>
      <c r="C281" s="4"/>
      <c r="D281" s="5"/>
      <c r="E281" s="11" t="str">
        <f t="shared" ca="1" si="72"/>
        <v/>
      </c>
      <c r="F281" s="5"/>
      <c r="G281" s="6" t="str">
        <f>IF(AND($A281&lt;&gt;"",$B281&lt;&gt;"",$C281&lt;&gt;"",$D281&lt;&gt;""),IF(OR($B281="SER",$B281="PLH",$B281="CSF"),"Control CDI Plate "&amp;(INT(((COUNTIFS($B$2:$B281,"SER")+COUNTIFS($B$2:$B281,"PLH")+COUNTIFS($B$2:$B281,"CSF"))-1)/96)+1)&amp;": "&amp;CHAR(65+INT(MOD((COUNTIFS($B$2:$B281,"SER")+COUNTIFS($B$2:$B281,"PLH")+COUNTIFS($B$2:$B281,"CSF"))-1,96)/12))&amp;(MOD((COUNTIFS($B$2:$B281,"SER")+COUNTIFS($B$2:$B281,"PLH")+COUNTIFS($B$2:$B281,"CSF"))-1,12)+1),"N/A"),"")</f>
        <v/>
      </c>
      <c r="H281" s="6" t="str">
        <f>IF(AND($A281&lt;&gt;"",$B281&lt;&gt;"",$C281&lt;&gt;"",$D281&lt;&gt;""),IF(OR($B281="SER",$B281="PLH",$B281="CSF"),"Control NIH Plate "&amp;(INT(((COUNTIFS($B$2:$B281,"SER")+COUNTIFS($B$2:$B281,"PLH")+COUNTIFS($B$2:$B281,"CSF"))-1)/96)+1)&amp;": "&amp;CHAR(65+INT(MOD((COUNTIFS($B$2:$B281,"SER")+COUNTIFS($B$2:$B281,"PLH")+COUNTIFS($B$2:$B281,"CSF"))-1,96)/12))&amp;(MOD((COUNTIFS($B$2:$B281,"SER")+COUNTIFS($B$2:$B281,"PLH")+COUNTIFS($B$2:$B281,"CSF"))-1,12)+1),"N/A"),"")</f>
        <v/>
      </c>
      <c r="I281" s="6" t="str">
        <f>IF(AND($A281&lt;&gt;"",$B281&lt;&gt;"",$C281&lt;&gt;"",$D281&lt;&gt;""),IF(OR($B281="SER",$B281="PLH"),"Control MAX Planck Plate "&amp;(INT(((COUNTIFS($B$2:$B281,"SER")+COUNTIFS($B$2:$B281,"PLH"))-1)/96)+1)&amp;": "&amp;CHAR(65+INT(MOD((COUNTIFS($B$2:$B281,"SER")+COUNTIFS($B$2:$B281,"PLH"))-1,96)/12))&amp;(MOD((COUNTIFS($B$2:$B281,"SER")+COUNTIFS($B$2:$B281,"PLH"))-1,12)+1),"N/A"),"")</f>
        <v/>
      </c>
      <c r="J281" s="6" t="str">
        <f>IF(AND($A281&lt;&gt;"",$B281&lt;&gt;"",$C281&lt;&gt;"",$D281&lt;&gt;""),IF($B281="WB","Control WB Box "&amp;(INT((COUNTIFS($B$2:$B281,"WB")-1)/81)+1)&amp;": "&amp;CHAR(65+INT(MOD(COUNTIFS($B$2:$B281,"WB")-1,81)/9))&amp;(MOD(COUNTIFS($B$2:$B281,"WB")-1,9)+1),"N/A"),"")</f>
        <v/>
      </c>
      <c r="K281" s="3" t="str">
        <f t="shared" si="73"/>
        <v/>
      </c>
      <c r="L281" s="2"/>
      <c r="M281" s="2"/>
      <c r="N281" s="2"/>
      <c r="O281" s="7" t="str">
        <f t="shared" si="74"/>
        <v/>
      </c>
      <c r="P281" s="7" t="str">
        <f t="shared" si="75"/>
        <v/>
      </c>
      <c r="Q281" s="7" t="str">
        <f t="shared" si="76"/>
        <v/>
      </c>
      <c r="R281" s="7" t="str">
        <f t="shared" si="77"/>
        <v/>
      </c>
      <c r="S281" s="7" t="str">
        <f t="shared" si="78"/>
        <v/>
      </c>
      <c r="T281" s="7" t="str">
        <f t="shared" si="79"/>
        <v/>
      </c>
      <c r="U281" s="7" t="str">
        <f t="shared" si="80"/>
        <v/>
      </c>
      <c r="V281" s="7" t="str">
        <f t="shared" si="81"/>
        <v/>
      </c>
      <c r="W281" s="7" t="str">
        <f t="shared" si="82"/>
        <v/>
      </c>
      <c r="X281" s="7" t="str">
        <f t="shared" si="83"/>
        <v/>
      </c>
      <c r="Y281">
        <f t="shared" si="84"/>
        <v>0</v>
      </c>
      <c r="Z281" t="str">
        <f t="shared" si="85"/>
        <v/>
      </c>
      <c r="AA281" t="str">
        <f t="shared" si="86"/>
        <v/>
      </c>
      <c r="AB281" t="str">
        <f t="shared" si="87"/>
        <v/>
      </c>
      <c r="AC281" t="str">
        <f t="shared" si="88"/>
        <v/>
      </c>
      <c r="AD281">
        <f t="shared" si="89"/>
        <v>0</v>
      </c>
    </row>
    <row r="282" spans="1:30" ht="15" customHeight="1" x14ac:dyDescent="0.35">
      <c r="A282" s="2"/>
      <c r="B282" s="3"/>
      <c r="C282" s="4"/>
      <c r="D282" s="5"/>
      <c r="E282" s="11" t="str">
        <f t="shared" ca="1" si="72"/>
        <v/>
      </c>
      <c r="F282" s="5"/>
      <c r="G282" s="6" t="str">
        <f>IF(AND($A282&lt;&gt;"",$B282&lt;&gt;"",$C282&lt;&gt;"",$D282&lt;&gt;""),IF(OR($B282="SER",$B282="PLH",$B282="CSF"),"Control CDI Plate "&amp;(INT(((COUNTIFS($B$2:$B282,"SER")+COUNTIFS($B$2:$B282,"PLH")+COUNTIFS($B$2:$B282,"CSF"))-1)/96)+1)&amp;": "&amp;CHAR(65+INT(MOD((COUNTIFS($B$2:$B282,"SER")+COUNTIFS($B$2:$B282,"PLH")+COUNTIFS($B$2:$B282,"CSF"))-1,96)/12))&amp;(MOD((COUNTIFS($B$2:$B282,"SER")+COUNTIFS($B$2:$B282,"PLH")+COUNTIFS($B$2:$B282,"CSF"))-1,12)+1),"N/A"),"")</f>
        <v/>
      </c>
      <c r="H282" s="6" t="str">
        <f>IF(AND($A282&lt;&gt;"",$B282&lt;&gt;"",$C282&lt;&gt;"",$D282&lt;&gt;""),IF(OR($B282="SER",$B282="PLH",$B282="CSF"),"Control NIH Plate "&amp;(INT(((COUNTIFS($B$2:$B282,"SER")+COUNTIFS($B$2:$B282,"PLH")+COUNTIFS($B$2:$B282,"CSF"))-1)/96)+1)&amp;": "&amp;CHAR(65+INT(MOD((COUNTIFS($B$2:$B282,"SER")+COUNTIFS($B$2:$B282,"PLH")+COUNTIFS($B$2:$B282,"CSF"))-1,96)/12))&amp;(MOD((COUNTIFS($B$2:$B282,"SER")+COUNTIFS($B$2:$B282,"PLH")+COUNTIFS($B$2:$B282,"CSF"))-1,12)+1),"N/A"),"")</f>
        <v/>
      </c>
      <c r="I282" s="6" t="str">
        <f>IF(AND($A282&lt;&gt;"",$B282&lt;&gt;"",$C282&lt;&gt;"",$D282&lt;&gt;""),IF(OR($B282="SER",$B282="PLH"),"Control MAX Planck Plate "&amp;(INT(((COUNTIFS($B$2:$B282,"SER")+COUNTIFS($B$2:$B282,"PLH"))-1)/96)+1)&amp;": "&amp;CHAR(65+INT(MOD((COUNTIFS($B$2:$B282,"SER")+COUNTIFS($B$2:$B282,"PLH"))-1,96)/12))&amp;(MOD((COUNTIFS($B$2:$B282,"SER")+COUNTIFS($B$2:$B282,"PLH"))-1,12)+1),"N/A"),"")</f>
        <v/>
      </c>
      <c r="J282" s="6" t="str">
        <f>IF(AND($A282&lt;&gt;"",$B282&lt;&gt;"",$C282&lt;&gt;"",$D282&lt;&gt;""),IF($B282="WB","Control WB Box "&amp;(INT((COUNTIFS($B$2:$B282,"WB")-1)/81)+1)&amp;": "&amp;CHAR(65+INT(MOD(COUNTIFS($B$2:$B282,"WB")-1,81)/9))&amp;(MOD(COUNTIFS($B$2:$B282,"WB")-1,9)+1),"N/A"),"")</f>
        <v/>
      </c>
      <c r="K282" s="3" t="str">
        <f t="shared" si="73"/>
        <v/>
      </c>
      <c r="L282" s="2"/>
      <c r="M282" s="2"/>
      <c r="N282" s="2"/>
      <c r="O282" s="7" t="str">
        <f t="shared" si="74"/>
        <v/>
      </c>
      <c r="P282" s="7" t="str">
        <f t="shared" si="75"/>
        <v/>
      </c>
      <c r="Q282" s="7" t="str">
        <f t="shared" si="76"/>
        <v/>
      </c>
      <c r="R282" s="7" t="str">
        <f t="shared" si="77"/>
        <v/>
      </c>
      <c r="S282" s="7" t="str">
        <f t="shared" si="78"/>
        <v/>
      </c>
      <c r="T282" s="7" t="str">
        <f t="shared" si="79"/>
        <v/>
      </c>
      <c r="U282" s="7" t="str">
        <f t="shared" si="80"/>
        <v/>
      </c>
      <c r="V282" s="7" t="str">
        <f t="shared" si="81"/>
        <v/>
      </c>
      <c r="W282" s="7" t="str">
        <f t="shared" si="82"/>
        <v/>
      </c>
      <c r="X282" s="7" t="str">
        <f t="shared" si="83"/>
        <v/>
      </c>
      <c r="Y282">
        <f t="shared" si="84"/>
        <v>0</v>
      </c>
      <c r="Z282" t="str">
        <f t="shared" si="85"/>
        <v/>
      </c>
      <c r="AA282" t="str">
        <f t="shared" si="86"/>
        <v/>
      </c>
      <c r="AB282" t="str">
        <f t="shared" si="87"/>
        <v/>
      </c>
      <c r="AC282" t="str">
        <f t="shared" si="88"/>
        <v/>
      </c>
      <c r="AD282">
        <f t="shared" si="89"/>
        <v>0</v>
      </c>
    </row>
    <row r="283" spans="1:30" ht="15" customHeight="1" x14ac:dyDescent="0.35">
      <c r="A283" s="2"/>
      <c r="B283" s="3"/>
      <c r="C283" s="4"/>
      <c r="D283" s="5"/>
      <c r="E283" s="11" t="str">
        <f t="shared" ca="1" si="72"/>
        <v/>
      </c>
      <c r="F283" s="5"/>
      <c r="G283" s="6" t="str">
        <f>IF(AND($A283&lt;&gt;"",$B283&lt;&gt;"",$C283&lt;&gt;"",$D283&lt;&gt;""),IF(OR($B283="SER",$B283="PLH",$B283="CSF"),"Control CDI Plate "&amp;(INT(((COUNTIFS($B$2:$B283,"SER")+COUNTIFS($B$2:$B283,"PLH")+COUNTIFS($B$2:$B283,"CSF"))-1)/96)+1)&amp;": "&amp;CHAR(65+INT(MOD((COUNTIFS($B$2:$B283,"SER")+COUNTIFS($B$2:$B283,"PLH")+COUNTIFS($B$2:$B283,"CSF"))-1,96)/12))&amp;(MOD((COUNTIFS($B$2:$B283,"SER")+COUNTIFS($B$2:$B283,"PLH")+COUNTIFS($B$2:$B283,"CSF"))-1,12)+1),"N/A"),"")</f>
        <v/>
      </c>
      <c r="H283" s="6" t="str">
        <f>IF(AND($A283&lt;&gt;"",$B283&lt;&gt;"",$C283&lt;&gt;"",$D283&lt;&gt;""),IF(OR($B283="SER",$B283="PLH",$B283="CSF"),"Control NIH Plate "&amp;(INT(((COUNTIFS($B$2:$B283,"SER")+COUNTIFS($B$2:$B283,"PLH")+COUNTIFS($B$2:$B283,"CSF"))-1)/96)+1)&amp;": "&amp;CHAR(65+INT(MOD((COUNTIFS($B$2:$B283,"SER")+COUNTIFS($B$2:$B283,"PLH")+COUNTIFS($B$2:$B283,"CSF"))-1,96)/12))&amp;(MOD((COUNTIFS($B$2:$B283,"SER")+COUNTIFS($B$2:$B283,"PLH")+COUNTIFS($B$2:$B283,"CSF"))-1,12)+1),"N/A"),"")</f>
        <v/>
      </c>
      <c r="I283" s="6" t="str">
        <f>IF(AND($A283&lt;&gt;"",$B283&lt;&gt;"",$C283&lt;&gt;"",$D283&lt;&gt;""),IF(OR($B283="SER",$B283="PLH"),"Control MAX Planck Plate "&amp;(INT(((COUNTIFS($B$2:$B283,"SER")+COUNTIFS($B$2:$B283,"PLH"))-1)/96)+1)&amp;": "&amp;CHAR(65+INT(MOD((COUNTIFS($B$2:$B283,"SER")+COUNTIFS($B$2:$B283,"PLH"))-1,96)/12))&amp;(MOD((COUNTIFS($B$2:$B283,"SER")+COUNTIFS($B$2:$B283,"PLH"))-1,12)+1),"N/A"),"")</f>
        <v/>
      </c>
      <c r="J283" s="6" t="str">
        <f>IF(AND($A283&lt;&gt;"",$B283&lt;&gt;"",$C283&lt;&gt;"",$D283&lt;&gt;""),IF($B283="WB","Control WB Box "&amp;(INT((COUNTIFS($B$2:$B283,"WB")-1)/81)+1)&amp;": "&amp;CHAR(65+INT(MOD(COUNTIFS($B$2:$B283,"WB")-1,81)/9))&amp;(MOD(COUNTIFS($B$2:$B283,"WB")-1,9)+1),"N/A"),"")</f>
        <v/>
      </c>
      <c r="K283" s="3" t="str">
        <f t="shared" si="73"/>
        <v/>
      </c>
      <c r="L283" s="2"/>
      <c r="M283" s="2"/>
      <c r="N283" s="2"/>
      <c r="O283" s="7" t="str">
        <f t="shared" si="74"/>
        <v/>
      </c>
      <c r="P283" s="7" t="str">
        <f t="shared" si="75"/>
        <v/>
      </c>
      <c r="Q283" s="7" t="str">
        <f t="shared" si="76"/>
        <v/>
      </c>
      <c r="R283" s="7" t="str">
        <f t="shared" si="77"/>
        <v/>
      </c>
      <c r="S283" s="7" t="str">
        <f t="shared" si="78"/>
        <v/>
      </c>
      <c r="T283" s="7" t="str">
        <f t="shared" si="79"/>
        <v/>
      </c>
      <c r="U283" s="7" t="str">
        <f t="shared" si="80"/>
        <v/>
      </c>
      <c r="V283" s="7" t="str">
        <f t="shared" si="81"/>
        <v/>
      </c>
      <c r="W283" s="7" t="str">
        <f t="shared" si="82"/>
        <v/>
      </c>
      <c r="X283" s="7" t="str">
        <f t="shared" si="83"/>
        <v/>
      </c>
      <c r="Y283">
        <f t="shared" si="84"/>
        <v>0</v>
      </c>
      <c r="Z283" t="str">
        <f t="shared" si="85"/>
        <v/>
      </c>
      <c r="AA283" t="str">
        <f t="shared" si="86"/>
        <v/>
      </c>
      <c r="AB283" t="str">
        <f t="shared" si="87"/>
        <v/>
      </c>
      <c r="AC283" t="str">
        <f t="shared" si="88"/>
        <v/>
      </c>
      <c r="AD283">
        <f t="shared" si="89"/>
        <v>0</v>
      </c>
    </row>
    <row r="284" spans="1:30" ht="15" customHeight="1" x14ac:dyDescent="0.35">
      <c r="A284" s="2"/>
      <c r="B284" s="3"/>
      <c r="C284" s="4"/>
      <c r="D284" s="5"/>
      <c r="E284" s="11" t="str">
        <f t="shared" ca="1" si="72"/>
        <v/>
      </c>
      <c r="F284" s="5"/>
      <c r="G284" s="6" t="str">
        <f>IF(AND($A284&lt;&gt;"",$B284&lt;&gt;"",$C284&lt;&gt;"",$D284&lt;&gt;""),IF(OR($B284="SER",$B284="PLH",$B284="CSF"),"Control CDI Plate "&amp;(INT(((COUNTIFS($B$2:$B284,"SER")+COUNTIFS($B$2:$B284,"PLH")+COUNTIFS($B$2:$B284,"CSF"))-1)/96)+1)&amp;": "&amp;CHAR(65+INT(MOD((COUNTIFS($B$2:$B284,"SER")+COUNTIFS($B$2:$B284,"PLH")+COUNTIFS($B$2:$B284,"CSF"))-1,96)/12))&amp;(MOD((COUNTIFS($B$2:$B284,"SER")+COUNTIFS($B$2:$B284,"PLH")+COUNTIFS($B$2:$B284,"CSF"))-1,12)+1),"N/A"),"")</f>
        <v/>
      </c>
      <c r="H284" s="6" t="str">
        <f>IF(AND($A284&lt;&gt;"",$B284&lt;&gt;"",$C284&lt;&gt;"",$D284&lt;&gt;""),IF(OR($B284="SER",$B284="PLH",$B284="CSF"),"Control NIH Plate "&amp;(INT(((COUNTIFS($B$2:$B284,"SER")+COUNTIFS($B$2:$B284,"PLH")+COUNTIFS($B$2:$B284,"CSF"))-1)/96)+1)&amp;": "&amp;CHAR(65+INT(MOD((COUNTIFS($B$2:$B284,"SER")+COUNTIFS($B$2:$B284,"PLH")+COUNTIFS($B$2:$B284,"CSF"))-1,96)/12))&amp;(MOD((COUNTIFS($B$2:$B284,"SER")+COUNTIFS($B$2:$B284,"PLH")+COUNTIFS($B$2:$B284,"CSF"))-1,12)+1),"N/A"),"")</f>
        <v/>
      </c>
      <c r="I284" s="6" t="str">
        <f>IF(AND($A284&lt;&gt;"",$B284&lt;&gt;"",$C284&lt;&gt;"",$D284&lt;&gt;""),IF(OR($B284="SER",$B284="PLH"),"Control MAX Planck Plate "&amp;(INT(((COUNTIFS($B$2:$B284,"SER")+COUNTIFS($B$2:$B284,"PLH"))-1)/96)+1)&amp;": "&amp;CHAR(65+INT(MOD((COUNTIFS($B$2:$B284,"SER")+COUNTIFS($B$2:$B284,"PLH"))-1,96)/12))&amp;(MOD((COUNTIFS($B$2:$B284,"SER")+COUNTIFS($B$2:$B284,"PLH"))-1,12)+1),"N/A"),"")</f>
        <v/>
      </c>
      <c r="J284" s="6" t="str">
        <f>IF(AND($A284&lt;&gt;"",$B284&lt;&gt;"",$C284&lt;&gt;"",$D284&lt;&gt;""),IF($B284="WB","Control WB Box "&amp;(INT((COUNTIFS($B$2:$B284,"WB")-1)/81)+1)&amp;": "&amp;CHAR(65+INT(MOD(COUNTIFS($B$2:$B284,"WB")-1,81)/9))&amp;(MOD(COUNTIFS($B$2:$B284,"WB")-1,9)+1),"N/A"),"")</f>
        <v/>
      </c>
      <c r="K284" s="3" t="str">
        <f t="shared" si="73"/>
        <v/>
      </c>
      <c r="L284" s="2"/>
      <c r="M284" s="2"/>
      <c r="N284" s="2"/>
      <c r="O284" s="7" t="str">
        <f t="shared" si="74"/>
        <v/>
      </c>
      <c r="P284" s="7" t="str">
        <f t="shared" si="75"/>
        <v/>
      </c>
      <c r="Q284" s="7" t="str">
        <f t="shared" si="76"/>
        <v/>
      </c>
      <c r="R284" s="7" t="str">
        <f t="shared" si="77"/>
        <v/>
      </c>
      <c r="S284" s="7" t="str">
        <f t="shared" si="78"/>
        <v/>
      </c>
      <c r="T284" s="7" t="str">
        <f t="shared" si="79"/>
        <v/>
      </c>
      <c r="U284" s="7" t="str">
        <f t="shared" si="80"/>
        <v/>
      </c>
      <c r="V284" s="7" t="str">
        <f t="shared" si="81"/>
        <v/>
      </c>
      <c r="W284" s="7" t="str">
        <f t="shared" si="82"/>
        <v/>
      </c>
      <c r="X284" s="7" t="str">
        <f t="shared" si="83"/>
        <v/>
      </c>
      <c r="Y284">
        <f t="shared" si="84"/>
        <v>0</v>
      </c>
      <c r="Z284" t="str">
        <f t="shared" si="85"/>
        <v/>
      </c>
      <c r="AA284" t="str">
        <f t="shared" si="86"/>
        <v/>
      </c>
      <c r="AB284" t="str">
        <f t="shared" si="87"/>
        <v/>
      </c>
      <c r="AC284" t="str">
        <f t="shared" si="88"/>
        <v/>
      </c>
      <c r="AD284">
        <f t="shared" si="89"/>
        <v>0</v>
      </c>
    </row>
    <row r="285" spans="1:30" ht="15" customHeight="1" x14ac:dyDescent="0.35">
      <c r="A285" s="2"/>
      <c r="B285" s="3"/>
      <c r="C285" s="4"/>
      <c r="D285" s="5"/>
      <c r="E285" s="11" t="str">
        <f t="shared" ca="1" si="72"/>
        <v/>
      </c>
      <c r="F285" s="5"/>
      <c r="G285" s="6" t="str">
        <f>IF(AND($A285&lt;&gt;"",$B285&lt;&gt;"",$C285&lt;&gt;"",$D285&lt;&gt;""),IF(OR($B285="SER",$B285="PLH",$B285="CSF"),"Control CDI Plate "&amp;(INT(((COUNTIFS($B$2:$B285,"SER")+COUNTIFS($B$2:$B285,"PLH")+COUNTIFS($B$2:$B285,"CSF"))-1)/96)+1)&amp;": "&amp;CHAR(65+INT(MOD((COUNTIFS($B$2:$B285,"SER")+COUNTIFS($B$2:$B285,"PLH")+COUNTIFS($B$2:$B285,"CSF"))-1,96)/12))&amp;(MOD((COUNTIFS($B$2:$B285,"SER")+COUNTIFS($B$2:$B285,"PLH")+COUNTIFS($B$2:$B285,"CSF"))-1,12)+1),"N/A"),"")</f>
        <v/>
      </c>
      <c r="H285" s="6" t="str">
        <f>IF(AND($A285&lt;&gt;"",$B285&lt;&gt;"",$C285&lt;&gt;"",$D285&lt;&gt;""),IF(OR($B285="SER",$B285="PLH",$B285="CSF"),"Control NIH Plate "&amp;(INT(((COUNTIFS($B$2:$B285,"SER")+COUNTIFS($B$2:$B285,"PLH")+COUNTIFS($B$2:$B285,"CSF"))-1)/96)+1)&amp;": "&amp;CHAR(65+INT(MOD((COUNTIFS($B$2:$B285,"SER")+COUNTIFS($B$2:$B285,"PLH")+COUNTIFS($B$2:$B285,"CSF"))-1,96)/12))&amp;(MOD((COUNTIFS($B$2:$B285,"SER")+COUNTIFS($B$2:$B285,"PLH")+COUNTIFS($B$2:$B285,"CSF"))-1,12)+1),"N/A"),"")</f>
        <v/>
      </c>
      <c r="I285" s="6" t="str">
        <f>IF(AND($A285&lt;&gt;"",$B285&lt;&gt;"",$C285&lt;&gt;"",$D285&lt;&gt;""),IF(OR($B285="SER",$B285="PLH"),"Control MAX Planck Plate "&amp;(INT(((COUNTIFS($B$2:$B285,"SER")+COUNTIFS($B$2:$B285,"PLH"))-1)/96)+1)&amp;": "&amp;CHAR(65+INT(MOD((COUNTIFS($B$2:$B285,"SER")+COUNTIFS($B$2:$B285,"PLH"))-1,96)/12))&amp;(MOD((COUNTIFS($B$2:$B285,"SER")+COUNTIFS($B$2:$B285,"PLH"))-1,12)+1),"N/A"),"")</f>
        <v/>
      </c>
      <c r="J285" s="6" t="str">
        <f>IF(AND($A285&lt;&gt;"",$B285&lt;&gt;"",$C285&lt;&gt;"",$D285&lt;&gt;""),IF($B285="WB","Control WB Box "&amp;(INT((COUNTIFS($B$2:$B285,"WB")-1)/81)+1)&amp;": "&amp;CHAR(65+INT(MOD(COUNTIFS($B$2:$B285,"WB")-1,81)/9))&amp;(MOD(COUNTIFS($B$2:$B285,"WB")-1,9)+1),"N/A"),"")</f>
        <v/>
      </c>
      <c r="K285" s="3" t="str">
        <f t="shared" si="73"/>
        <v/>
      </c>
      <c r="L285" s="2"/>
      <c r="M285" s="2"/>
      <c r="N285" s="2"/>
      <c r="O285" s="7" t="str">
        <f t="shared" si="74"/>
        <v/>
      </c>
      <c r="P285" s="7" t="str">
        <f t="shared" si="75"/>
        <v/>
      </c>
      <c r="Q285" s="7" t="str">
        <f t="shared" si="76"/>
        <v/>
      </c>
      <c r="R285" s="7" t="str">
        <f t="shared" si="77"/>
        <v/>
      </c>
      <c r="S285" s="7" t="str">
        <f t="shared" si="78"/>
        <v/>
      </c>
      <c r="T285" s="7" t="str">
        <f t="shared" si="79"/>
        <v/>
      </c>
      <c r="U285" s="7" t="str">
        <f t="shared" si="80"/>
        <v/>
      </c>
      <c r="V285" s="7" t="str">
        <f t="shared" si="81"/>
        <v/>
      </c>
      <c r="W285" s="7" t="str">
        <f t="shared" si="82"/>
        <v/>
      </c>
      <c r="X285" s="7" t="str">
        <f t="shared" si="83"/>
        <v/>
      </c>
      <c r="Y285">
        <f t="shared" si="84"/>
        <v>0</v>
      </c>
      <c r="Z285" t="str">
        <f t="shared" si="85"/>
        <v/>
      </c>
      <c r="AA285" t="str">
        <f t="shared" si="86"/>
        <v/>
      </c>
      <c r="AB285" t="str">
        <f t="shared" si="87"/>
        <v/>
      </c>
      <c r="AC285" t="str">
        <f t="shared" si="88"/>
        <v/>
      </c>
      <c r="AD285">
        <f t="shared" si="89"/>
        <v>0</v>
      </c>
    </row>
    <row r="286" spans="1:30" ht="15" customHeight="1" x14ac:dyDescent="0.35">
      <c r="A286" s="2"/>
      <c r="B286" s="3"/>
      <c r="C286" s="4"/>
      <c r="D286" s="5"/>
      <c r="E286" s="11" t="str">
        <f t="shared" ca="1" si="72"/>
        <v/>
      </c>
      <c r="F286" s="5"/>
      <c r="G286" s="6" t="str">
        <f>IF(AND($A286&lt;&gt;"",$B286&lt;&gt;"",$C286&lt;&gt;"",$D286&lt;&gt;""),IF(OR($B286="SER",$B286="PLH",$B286="CSF"),"Control CDI Plate "&amp;(INT(((COUNTIFS($B$2:$B286,"SER")+COUNTIFS($B$2:$B286,"PLH")+COUNTIFS($B$2:$B286,"CSF"))-1)/96)+1)&amp;": "&amp;CHAR(65+INT(MOD((COUNTIFS($B$2:$B286,"SER")+COUNTIFS($B$2:$B286,"PLH")+COUNTIFS($B$2:$B286,"CSF"))-1,96)/12))&amp;(MOD((COUNTIFS($B$2:$B286,"SER")+COUNTIFS($B$2:$B286,"PLH")+COUNTIFS($B$2:$B286,"CSF"))-1,12)+1),"N/A"),"")</f>
        <v/>
      </c>
      <c r="H286" s="6" t="str">
        <f>IF(AND($A286&lt;&gt;"",$B286&lt;&gt;"",$C286&lt;&gt;"",$D286&lt;&gt;""),IF(OR($B286="SER",$B286="PLH",$B286="CSF"),"Control NIH Plate "&amp;(INT(((COUNTIFS($B$2:$B286,"SER")+COUNTIFS($B$2:$B286,"PLH")+COUNTIFS($B$2:$B286,"CSF"))-1)/96)+1)&amp;": "&amp;CHAR(65+INT(MOD((COUNTIFS($B$2:$B286,"SER")+COUNTIFS($B$2:$B286,"PLH")+COUNTIFS($B$2:$B286,"CSF"))-1,96)/12))&amp;(MOD((COUNTIFS($B$2:$B286,"SER")+COUNTIFS($B$2:$B286,"PLH")+COUNTIFS($B$2:$B286,"CSF"))-1,12)+1),"N/A"),"")</f>
        <v/>
      </c>
      <c r="I286" s="6" t="str">
        <f>IF(AND($A286&lt;&gt;"",$B286&lt;&gt;"",$C286&lt;&gt;"",$D286&lt;&gt;""),IF(OR($B286="SER",$B286="PLH"),"Control MAX Planck Plate "&amp;(INT(((COUNTIFS($B$2:$B286,"SER")+COUNTIFS($B$2:$B286,"PLH"))-1)/96)+1)&amp;": "&amp;CHAR(65+INT(MOD((COUNTIFS($B$2:$B286,"SER")+COUNTIFS($B$2:$B286,"PLH"))-1,96)/12))&amp;(MOD((COUNTIFS($B$2:$B286,"SER")+COUNTIFS($B$2:$B286,"PLH"))-1,12)+1),"N/A"),"")</f>
        <v/>
      </c>
      <c r="J286" s="6" t="str">
        <f>IF(AND($A286&lt;&gt;"",$B286&lt;&gt;"",$C286&lt;&gt;"",$D286&lt;&gt;""),IF($B286="WB","Control WB Box "&amp;(INT((COUNTIFS($B$2:$B286,"WB")-1)/81)+1)&amp;": "&amp;CHAR(65+INT(MOD(COUNTIFS($B$2:$B286,"WB")-1,81)/9))&amp;(MOD(COUNTIFS($B$2:$B286,"WB")-1,9)+1),"N/A"),"")</f>
        <v/>
      </c>
      <c r="K286" s="3" t="str">
        <f t="shared" si="73"/>
        <v/>
      </c>
      <c r="L286" s="2"/>
      <c r="M286" s="2"/>
      <c r="N286" s="2"/>
      <c r="O286" s="7" t="str">
        <f t="shared" si="74"/>
        <v/>
      </c>
      <c r="P286" s="7" t="str">
        <f t="shared" si="75"/>
        <v/>
      </c>
      <c r="Q286" s="7" t="str">
        <f t="shared" si="76"/>
        <v/>
      </c>
      <c r="R286" s="7" t="str">
        <f t="shared" si="77"/>
        <v/>
      </c>
      <c r="S286" s="7" t="str">
        <f t="shared" si="78"/>
        <v/>
      </c>
      <c r="T286" s="7" t="str">
        <f t="shared" si="79"/>
        <v/>
      </c>
      <c r="U286" s="7" t="str">
        <f t="shared" si="80"/>
        <v/>
      </c>
      <c r="V286" s="7" t="str">
        <f t="shared" si="81"/>
        <v/>
      </c>
      <c r="W286" s="7" t="str">
        <f t="shared" si="82"/>
        <v/>
      </c>
      <c r="X286" s="7" t="str">
        <f t="shared" si="83"/>
        <v/>
      </c>
      <c r="Y286">
        <f t="shared" si="84"/>
        <v>0</v>
      </c>
      <c r="Z286" t="str">
        <f t="shared" si="85"/>
        <v/>
      </c>
      <c r="AA286" t="str">
        <f t="shared" si="86"/>
        <v/>
      </c>
      <c r="AB286" t="str">
        <f t="shared" si="87"/>
        <v/>
      </c>
      <c r="AC286" t="str">
        <f t="shared" si="88"/>
        <v/>
      </c>
      <c r="AD286">
        <f t="shared" si="89"/>
        <v>0</v>
      </c>
    </row>
    <row r="287" spans="1:30" ht="15" customHeight="1" x14ac:dyDescent="0.35">
      <c r="A287" s="2"/>
      <c r="B287" s="3"/>
      <c r="C287" s="4"/>
      <c r="D287" s="5"/>
      <c r="E287" s="11" t="str">
        <f t="shared" ca="1" si="72"/>
        <v/>
      </c>
      <c r="F287" s="5"/>
      <c r="G287" s="6" t="str">
        <f>IF(AND($A287&lt;&gt;"",$B287&lt;&gt;"",$C287&lt;&gt;"",$D287&lt;&gt;""),IF(OR($B287="SER",$B287="PLH",$B287="CSF"),"Control CDI Plate "&amp;(INT(((COUNTIFS($B$2:$B287,"SER")+COUNTIFS($B$2:$B287,"PLH")+COUNTIFS($B$2:$B287,"CSF"))-1)/96)+1)&amp;": "&amp;CHAR(65+INT(MOD((COUNTIFS($B$2:$B287,"SER")+COUNTIFS($B$2:$B287,"PLH")+COUNTIFS($B$2:$B287,"CSF"))-1,96)/12))&amp;(MOD((COUNTIFS($B$2:$B287,"SER")+COUNTIFS($B$2:$B287,"PLH")+COUNTIFS($B$2:$B287,"CSF"))-1,12)+1),"N/A"),"")</f>
        <v/>
      </c>
      <c r="H287" s="6" t="str">
        <f>IF(AND($A287&lt;&gt;"",$B287&lt;&gt;"",$C287&lt;&gt;"",$D287&lt;&gt;""),IF(OR($B287="SER",$B287="PLH",$B287="CSF"),"Control NIH Plate "&amp;(INT(((COUNTIFS($B$2:$B287,"SER")+COUNTIFS($B$2:$B287,"PLH")+COUNTIFS($B$2:$B287,"CSF"))-1)/96)+1)&amp;": "&amp;CHAR(65+INT(MOD((COUNTIFS($B$2:$B287,"SER")+COUNTIFS($B$2:$B287,"PLH")+COUNTIFS($B$2:$B287,"CSF"))-1,96)/12))&amp;(MOD((COUNTIFS($B$2:$B287,"SER")+COUNTIFS($B$2:$B287,"PLH")+COUNTIFS($B$2:$B287,"CSF"))-1,12)+1),"N/A"),"")</f>
        <v/>
      </c>
      <c r="I287" s="6" t="str">
        <f>IF(AND($A287&lt;&gt;"",$B287&lt;&gt;"",$C287&lt;&gt;"",$D287&lt;&gt;""),IF(OR($B287="SER",$B287="PLH"),"Control MAX Planck Plate "&amp;(INT(((COUNTIFS($B$2:$B287,"SER")+COUNTIFS($B$2:$B287,"PLH"))-1)/96)+1)&amp;": "&amp;CHAR(65+INT(MOD((COUNTIFS($B$2:$B287,"SER")+COUNTIFS($B$2:$B287,"PLH"))-1,96)/12))&amp;(MOD((COUNTIFS($B$2:$B287,"SER")+COUNTIFS($B$2:$B287,"PLH"))-1,12)+1),"N/A"),"")</f>
        <v/>
      </c>
      <c r="J287" s="6" t="str">
        <f>IF(AND($A287&lt;&gt;"",$B287&lt;&gt;"",$C287&lt;&gt;"",$D287&lt;&gt;""),IF($B287="WB","Control WB Box "&amp;(INT((COUNTIFS($B$2:$B287,"WB")-1)/81)+1)&amp;": "&amp;CHAR(65+INT(MOD(COUNTIFS($B$2:$B287,"WB")-1,81)/9))&amp;(MOD(COUNTIFS($B$2:$B287,"WB")-1,9)+1),"N/A"),"")</f>
        <v/>
      </c>
      <c r="K287" s="3" t="str">
        <f t="shared" si="73"/>
        <v/>
      </c>
      <c r="L287" s="2"/>
      <c r="M287" s="2"/>
      <c r="N287" s="2"/>
      <c r="O287" s="7" t="str">
        <f t="shared" si="74"/>
        <v/>
      </c>
      <c r="P287" s="7" t="str">
        <f t="shared" si="75"/>
        <v/>
      </c>
      <c r="Q287" s="7" t="str">
        <f t="shared" si="76"/>
        <v/>
      </c>
      <c r="R287" s="7" t="str">
        <f t="shared" si="77"/>
        <v/>
      </c>
      <c r="S287" s="7" t="str">
        <f t="shared" si="78"/>
        <v/>
      </c>
      <c r="T287" s="7" t="str">
        <f t="shared" si="79"/>
        <v/>
      </c>
      <c r="U287" s="7" t="str">
        <f t="shared" si="80"/>
        <v/>
      </c>
      <c r="V287" s="7" t="str">
        <f t="shared" si="81"/>
        <v/>
      </c>
      <c r="W287" s="7" t="str">
        <f t="shared" si="82"/>
        <v/>
      </c>
      <c r="X287" s="7" t="str">
        <f t="shared" si="83"/>
        <v/>
      </c>
      <c r="Y287">
        <f t="shared" si="84"/>
        <v>0</v>
      </c>
      <c r="Z287" t="str">
        <f t="shared" si="85"/>
        <v/>
      </c>
      <c r="AA287" t="str">
        <f t="shared" si="86"/>
        <v/>
      </c>
      <c r="AB287" t="str">
        <f t="shared" si="87"/>
        <v/>
      </c>
      <c r="AC287" t="str">
        <f t="shared" si="88"/>
        <v/>
      </c>
      <c r="AD287">
        <f t="shared" si="89"/>
        <v>0</v>
      </c>
    </row>
    <row r="288" spans="1:30" ht="15" customHeight="1" x14ac:dyDescent="0.35">
      <c r="A288" s="2"/>
      <c r="B288" s="3"/>
      <c r="C288" s="4"/>
      <c r="D288" s="5"/>
      <c r="E288" s="11" t="str">
        <f t="shared" ca="1" si="72"/>
        <v/>
      </c>
      <c r="F288" s="5"/>
      <c r="G288" s="6" t="str">
        <f>IF(AND($A288&lt;&gt;"",$B288&lt;&gt;"",$C288&lt;&gt;"",$D288&lt;&gt;""),IF(OR($B288="SER",$B288="PLH",$B288="CSF"),"Control CDI Plate "&amp;(INT(((COUNTIFS($B$2:$B288,"SER")+COUNTIFS($B$2:$B288,"PLH")+COUNTIFS($B$2:$B288,"CSF"))-1)/96)+1)&amp;": "&amp;CHAR(65+INT(MOD((COUNTIFS($B$2:$B288,"SER")+COUNTIFS($B$2:$B288,"PLH")+COUNTIFS($B$2:$B288,"CSF"))-1,96)/12))&amp;(MOD((COUNTIFS($B$2:$B288,"SER")+COUNTIFS($B$2:$B288,"PLH")+COUNTIFS($B$2:$B288,"CSF"))-1,12)+1),"N/A"),"")</f>
        <v/>
      </c>
      <c r="H288" s="6" t="str">
        <f>IF(AND($A288&lt;&gt;"",$B288&lt;&gt;"",$C288&lt;&gt;"",$D288&lt;&gt;""),IF(OR($B288="SER",$B288="PLH",$B288="CSF"),"Control NIH Plate "&amp;(INT(((COUNTIFS($B$2:$B288,"SER")+COUNTIFS($B$2:$B288,"PLH")+COUNTIFS($B$2:$B288,"CSF"))-1)/96)+1)&amp;": "&amp;CHAR(65+INT(MOD((COUNTIFS($B$2:$B288,"SER")+COUNTIFS($B$2:$B288,"PLH")+COUNTIFS($B$2:$B288,"CSF"))-1,96)/12))&amp;(MOD((COUNTIFS($B$2:$B288,"SER")+COUNTIFS($B$2:$B288,"PLH")+COUNTIFS($B$2:$B288,"CSF"))-1,12)+1),"N/A"),"")</f>
        <v/>
      </c>
      <c r="I288" s="6" t="str">
        <f>IF(AND($A288&lt;&gt;"",$B288&lt;&gt;"",$C288&lt;&gt;"",$D288&lt;&gt;""),IF(OR($B288="SER",$B288="PLH"),"Control MAX Planck Plate "&amp;(INT(((COUNTIFS($B$2:$B288,"SER")+COUNTIFS($B$2:$B288,"PLH"))-1)/96)+1)&amp;": "&amp;CHAR(65+INT(MOD((COUNTIFS($B$2:$B288,"SER")+COUNTIFS($B$2:$B288,"PLH"))-1,96)/12))&amp;(MOD((COUNTIFS($B$2:$B288,"SER")+COUNTIFS($B$2:$B288,"PLH"))-1,12)+1),"N/A"),"")</f>
        <v/>
      </c>
      <c r="J288" s="6" t="str">
        <f>IF(AND($A288&lt;&gt;"",$B288&lt;&gt;"",$C288&lt;&gt;"",$D288&lt;&gt;""),IF($B288="WB","Control WB Box "&amp;(INT((COUNTIFS($B$2:$B288,"WB")-1)/81)+1)&amp;": "&amp;CHAR(65+INT(MOD(COUNTIFS($B$2:$B288,"WB")-1,81)/9))&amp;(MOD(COUNTIFS($B$2:$B288,"WB")-1,9)+1),"N/A"),"")</f>
        <v/>
      </c>
      <c r="K288" s="3" t="str">
        <f t="shared" si="73"/>
        <v/>
      </c>
      <c r="L288" s="2"/>
      <c r="M288" s="2"/>
      <c r="N288" s="2"/>
      <c r="O288" s="7" t="str">
        <f t="shared" si="74"/>
        <v/>
      </c>
      <c r="P288" s="7" t="str">
        <f t="shared" si="75"/>
        <v/>
      </c>
      <c r="Q288" s="7" t="str">
        <f t="shared" si="76"/>
        <v/>
      </c>
      <c r="R288" s="7" t="str">
        <f t="shared" si="77"/>
        <v/>
      </c>
      <c r="S288" s="7" t="str">
        <f t="shared" si="78"/>
        <v/>
      </c>
      <c r="T288" s="7" t="str">
        <f t="shared" si="79"/>
        <v/>
      </c>
      <c r="U288" s="7" t="str">
        <f t="shared" si="80"/>
        <v/>
      </c>
      <c r="V288" s="7" t="str">
        <f t="shared" si="81"/>
        <v/>
      </c>
      <c r="W288" s="7" t="str">
        <f t="shared" si="82"/>
        <v/>
      </c>
      <c r="X288" s="7" t="str">
        <f t="shared" si="83"/>
        <v/>
      </c>
      <c r="Y288">
        <f t="shared" si="84"/>
        <v>0</v>
      </c>
      <c r="Z288" t="str">
        <f t="shared" si="85"/>
        <v/>
      </c>
      <c r="AA288" t="str">
        <f t="shared" si="86"/>
        <v/>
      </c>
      <c r="AB288" t="str">
        <f t="shared" si="87"/>
        <v/>
      </c>
      <c r="AC288" t="str">
        <f t="shared" si="88"/>
        <v/>
      </c>
      <c r="AD288">
        <f t="shared" si="89"/>
        <v>0</v>
      </c>
    </row>
    <row r="289" spans="1:30" ht="15" customHeight="1" x14ac:dyDescent="0.35">
      <c r="A289" s="2"/>
      <c r="B289" s="3"/>
      <c r="C289" s="4"/>
      <c r="D289" s="5"/>
      <c r="E289" s="11" t="str">
        <f t="shared" ca="1" si="72"/>
        <v/>
      </c>
      <c r="F289" s="5"/>
      <c r="G289" s="6" t="str">
        <f>IF(AND($A289&lt;&gt;"",$B289&lt;&gt;"",$C289&lt;&gt;"",$D289&lt;&gt;""),IF(OR($B289="SER",$B289="PLH",$B289="CSF"),"Control CDI Plate "&amp;(INT(((COUNTIFS($B$2:$B289,"SER")+COUNTIFS($B$2:$B289,"PLH")+COUNTIFS($B$2:$B289,"CSF"))-1)/96)+1)&amp;": "&amp;CHAR(65+INT(MOD((COUNTIFS($B$2:$B289,"SER")+COUNTIFS($B$2:$B289,"PLH")+COUNTIFS($B$2:$B289,"CSF"))-1,96)/12))&amp;(MOD((COUNTIFS($B$2:$B289,"SER")+COUNTIFS($B$2:$B289,"PLH")+COUNTIFS($B$2:$B289,"CSF"))-1,12)+1),"N/A"),"")</f>
        <v/>
      </c>
      <c r="H289" s="6" t="str">
        <f>IF(AND($A289&lt;&gt;"",$B289&lt;&gt;"",$C289&lt;&gt;"",$D289&lt;&gt;""),IF(OR($B289="SER",$B289="PLH",$B289="CSF"),"Control NIH Plate "&amp;(INT(((COUNTIFS($B$2:$B289,"SER")+COUNTIFS($B$2:$B289,"PLH")+COUNTIFS($B$2:$B289,"CSF"))-1)/96)+1)&amp;": "&amp;CHAR(65+INT(MOD((COUNTIFS($B$2:$B289,"SER")+COUNTIFS($B$2:$B289,"PLH")+COUNTIFS($B$2:$B289,"CSF"))-1,96)/12))&amp;(MOD((COUNTIFS($B$2:$B289,"SER")+COUNTIFS($B$2:$B289,"PLH")+COUNTIFS($B$2:$B289,"CSF"))-1,12)+1),"N/A"),"")</f>
        <v/>
      </c>
      <c r="I289" s="6" t="str">
        <f>IF(AND($A289&lt;&gt;"",$B289&lt;&gt;"",$C289&lt;&gt;"",$D289&lt;&gt;""),IF(OR($B289="SER",$B289="PLH"),"Control MAX Planck Plate "&amp;(INT(((COUNTIFS($B$2:$B289,"SER")+COUNTIFS($B$2:$B289,"PLH"))-1)/96)+1)&amp;": "&amp;CHAR(65+INT(MOD((COUNTIFS($B$2:$B289,"SER")+COUNTIFS($B$2:$B289,"PLH"))-1,96)/12))&amp;(MOD((COUNTIFS($B$2:$B289,"SER")+COUNTIFS($B$2:$B289,"PLH"))-1,12)+1),"N/A"),"")</f>
        <v/>
      </c>
      <c r="J289" s="6" t="str">
        <f>IF(AND($A289&lt;&gt;"",$B289&lt;&gt;"",$C289&lt;&gt;"",$D289&lt;&gt;""),IF($B289="WB","Control WB Box "&amp;(INT((COUNTIFS($B$2:$B289,"WB")-1)/81)+1)&amp;": "&amp;CHAR(65+INT(MOD(COUNTIFS($B$2:$B289,"WB")-1,81)/9))&amp;(MOD(COUNTIFS($B$2:$B289,"WB")-1,9)+1),"N/A"),"")</f>
        <v/>
      </c>
      <c r="K289" s="3" t="str">
        <f t="shared" si="73"/>
        <v/>
      </c>
      <c r="L289" s="2"/>
      <c r="M289" s="2"/>
      <c r="N289" s="2"/>
      <c r="O289" s="7" t="str">
        <f t="shared" si="74"/>
        <v/>
      </c>
      <c r="P289" s="7" t="str">
        <f t="shared" si="75"/>
        <v/>
      </c>
      <c r="Q289" s="7" t="str">
        <f t="shared" si="76"/>
        <v/>
      </c>
      <c r="R289" s="7" t="str">
        <f t="shared" si="77"/>
        <v/>
      </c>
      <c r="S289" s="7" t="str">
        <f t="shared" si="78"/>
        <v/>
      </c>
      <c r="T289" s="7" t="str">
        <f t="shared" si="79"/>
        <v/>
      </c>
      <c r="U289" s="7" t="str">
        <f t="shared" si="80"/>
        <v/>
      </c>
      <c r="V289" s="7" t="str">
        <f t="shared" si="81"/>
        <v/>
      </c>
      <c r="W289" s="7" t="str">
        <f t="shared" si="82"/>
        <v/>
      </c>
      <c r="X289" s="7" t="str">
        <f t="shared" si="83"/>
        <v/>
      </c>
      <c r="Y289">
        <f t="shared" si="84"/>
        <v>0</v>
      </c>
      <c r="Z289" t="str">
        <f t="shared" si="85"/>
        <v/>
      </c>
      <c r="AA289" t="str">
        <f t="shared" si="86"/>
        <v/>
      </c>
      <c r="AB289" t="str">
        <f t="shared" si="87"/>
        <v/>
      </c>
      <c r="AC289" t="str">
        <f t="shared" si="88"/>
        <v/>
      </c>
      <c r="AD289">
        <f t="shared" si="89"/>
        <v>0</v>
      </c>
    </row>
    <row r="290" spans="1:30" ht="15" customHeight="1" x14ac:dyDescent="0.35">
      <c r="A290" s="2"/>
      <c r="B290" s="3"/>
      <c r="C290" s="4"/>
      <c r="D290" s="5"/>
      <c r="E290" s="11" t="str">
        <f t="shared" ca="1" si="72"/>
        <v/>
      </c>
      <c r="F290" s="5"/>
      <c r="G290" s="6" t="str">
        <f>IF(AND($A290&lt;&gt;"",$B290&lt;&gt;"",$C290&lt;&gt;"",$D290&lt;&gt;""),IF(OR($B290="SER",$B290="PLH",$B290="CSF"),"Control CDI Plate "&amp;(INT(((COUNTIFS($B$2:$B290,"SER")+COUNTIFS($B$2:$B290,"PLH")+COUNTIFS($B$2:$B290,"CSF"))-1)/96)+1)&amp;": "&amp;CHAR(65+INT(MOD((COUNTIFS($B$2:$B290,"SER")+COUNTIFS($B$2:$B290,"PLH")+COUNTIFS($B$2:$B290,"CSF"))-1,96)/12))&amp;(MOD((COUNTIFS($B$2:$B290,"SER")+COUNTIFS($B$2:$B290,"PLH")+COUNTIFS($B$2:$B290,"CSF"))-1,12)+1),"N/A"),"")</f>
        <v/>
      </c>
      <c r="H290" s="6" t="str">
        <f>IF(AND($A290&lt;&gt;"",$B290&lt;&gt;"",$C290&lt;&gt;"",$D290&lt;&gt;""),IF(OR($B290="SER",$B290="PLH",$B290="CSF"),"Control NIH Plate "&amp;(INT(((COUNTIFS($B$2:$B290,"SER")+COUNTIFS($B$2:$B290,"PLH")+COUNTIFS($B$2:$B290,"CSF"))-1)/96)+1)&amp;": "&amp;CHAR(65+INT(MOD((COUNTIFS($B$2:$B290,"SER")+COUNTIFS($B$2:$B290,"PLH")+COUNTIFS($B$2:$B290,"CSF"))-1,96)/12))&amp;(MOD((COUNTIFS($B$2:$B290,"SER")+COUNTIFS($B$2:$B290,"PLH")+COUNTIFS($B$2:$B290,"CSF"))-1,12)+1),"N/A"),"")</f>
        <v/>
      </c>
      <c r="I290" s="6" t="str">
        <f>IF(AND($A290&lt;&gt;"",$B290&lt;&gt;"",$C290&lt;&gt;"",$D290&lt;&gt;""),IF(OR($B290="SER",$B290="PLH"),"Control MAX Planck Plate "&amp;(INT(((COUNTIFS($B$2:$B290,"SER")+COUNTIFS($B$2:$B290,"PLH"))-1)/96)+1)&amp;": "&amp;CHAR(65+INT(MOD((COUNTIFS($B$2:$B290,"SER")+COUNTIFS($B$2:$B290,"PLH"))-1,96)/12))&amp;(MOD((COUNTIFS($B$2:$B290,"SER")+COUNTIFS($B$2:$B290,"PLH"))-1,12)+1),"N/A"),"")</f>
        <v/>
      </c>
      <c r="J290" s="6" t="str">
        <f>IF(AND($A290&lt;&gt;"",$B290&lt;&gt;"",$C290&lt;&gt;"",$D290&lt;&gt;""),IF($B290="WB","Control WB Box "&amp;(INT((COUNTIFS($B$2:$B290,"WB")-1)/81)+1)&amp;": "&amp;CHAR(65+INT(MOD(COUNTIFS($B$2:$B290,"WB")-1,81)/9))&amp;(MOD(COUNTIFS($B$2:$B290,"WB")-1,9)+1),"N/A"),"")</f>
        <v/>
      </c>
      <c r="K290" s="3" t="str">
        <f t="shared" si="73"/>
        <v/>
      </c>
      <c r="L290" s="2"/>
      <c r="M290" s="2"/>
      <c r="N290" s="2"/>
      <c r="O290" s="7" t="str">
        <f t="shared" si="74"/>
        <v/>
      </c>
      <c r="P290" s="7" t="str">
        <f t="shared" si="75"/>
        <v/>
      </c>
      <c r="Q290" s="7" t="str">
        <f t="shared" si="76"/>
        <v/>
      </c>
      <c r="R290" s="7" t="str">
        <f t="shared" si="77"/>
        <v/>
      </c>
      <c r="S290" s="7" t="str">
        <f t="shared" si="78"/>
        <v/>
      </c>
      <c r="T290" s="7" t="str">
        <f t="shared" si="79"/>
        <v/>
      </c>
      <c r="U290" s="7" t="str">
        <f t="shared" si="80"/>
        <v/>
      </c>
      <c r="V290" s="7" t="str">
        <f t="shared" si="81"/>
        <v/>
      </c>
      <c r="W290" s="7" t="str">
        <f t="shared" si="82"/>
        <v/>
      </c>
      <c r="X290" s="7" t="str">
        <f t="shared" si="83"/>
        <v/>
      </c>
      <c r="Y290">
        <f t="shared" si="84"/>
        <v>0</v>
      </c>
      <c r="Z290" t="str">
        <f t="shared" si="85"/>
        <v/>
      </c>
      <c r="AA290" t="str">
        <f t="shared" si="86"/>
        <v/>
      </c>
      <c r="AB290" t="str">
        <f t="shared" si="87"/>
        <v/>
      </c>
      <c r="AC290" t="str">
        <f t="shared" si="88"/>
        <v/>
      </c>
      <c r="AD290">
        <f t="shared" si="89"/>
        <v>0</v>
      </c>
    </row>
    <row r="291" spans="1:30" ht="15" customHeight="1" x14ac:dyDescent="0.35">
      <c r="A291" s="2"/>
      <c r="B291" s="3"/>
      <c r="C291" s="4"/>
      <c r="D291" s="5"/>
      <c r="E291" s="11" t="str">
        <f t="shared" ca="1" si="72"/>
        <v/>
      </c>
      <c r="F291" s="5"/>
      <c r="G291" s="6" t="str">
        <f>IF(AND($A291&lt;&gt;"",$B291&lt;&gt;"",$C291&lt;&gt;"",$D291&lt;&gt;""),IF(OR($B291="SER",$B291="PLH",$B291="CSF"),"Control CDI Plate "&amp;(INT(((COUNTIFS($B$2:$B291,"SER")+COUNTIFS($B$2:$B291,"PLH")+COUNTIFS($B$2:$B291,"CSF"))-1)/96)+1)&amp;": "&amp;CHAR(65+INT(MOD((COUNTIFS($B$2:$B291,"SER")+COUNTIFS($B$2:$B291,"PLH")+COUNTIFS($B$2:$B291,"CSF"))-1,96)/12))&amp;(MOD((COUNTIFS($B$2:$B291,"SER")+COUNTIFS($B$2:$B291,"PLH")+COUNTIFS($B$2:$B291,"CSF"))-1,12)+1),"N/A"),"")</f>
        <v/>
      </c>
      <c r="H291" s="6" t="str">
        <f>IF(AND($A291&lt;&gt;"",$B291&lt;&gt;"",$C291&lt;&gt;"",$D291&lt;&gt;""),IF(OR($B291="SER",$B291="PLH",$B291="CSF"),"Control NIH Plate "&amp;(INT(((COUNTIFS($B$2:$B291,"SER")+COUNTIFS($B$2:$B291,"PLH")+COUNTIFS($B$2:$B291,"CSF"))-1)/96)+1)&amp;": "&amp;CHAR(65+INT(MOD((COUNTIFS($B$2:$B291,"SER")+COUNTIFS($B$2:$B291,"PLH")+COUNTIFS($B$2:$B291,"CSF"))-1,96)/12))&amp;(MOD((COUNTIFS($B$2:$B291,"SER")+COUNTIFS($B$2:$B291,"PLH")+COUNTIFS($B$2:$B291,"CSF"))-1,12)+1),"N/A"),"")</f>
        <v/>
      </c>
      <c r="I291" s="6" t="str">
        <f>IF(AND($A291&lt;&gt;"",$B291&lt;&gt;"",$C291&lt;&gt;"",$D291&lt;&gt;""),IF(OR($B291="SER",$B291="PLH"),"Control MAX Planck Plate "&amp;(INT(((COUNTIFS($B$2:$B291,"SER")+COUNTIFS($B$2:$B291,"PLH"))-1)/96)+1)&amp;": "&amp;CHAR(65+INT(MOD((COUNTIFS($B$2:$B291,"SER")+COUNTIFS($B$2:$B291,"PLH"))-1,96)/12))&amp;(MOD((COUNTIFS($B$2:$B291,"SER")+COUNTIFS($B$2:$B291,"PLH"))-1,12)+1),"N/A"),"")</f>
        <v/>
      </c>
      <c r="J291" s="6" t="str">
        <f>IF(AND($A291&lt;&gt;"",$B291&lt;&gt;"",$C291&lt;&gt;"",$D291&lt;&gt;""),IF($B291="WB","Control WB Box "&amp;(INT((COUNTIFS($B$2:$B291,"WB")-1)/81)+1)&amp;": "&amp;CHAR(65+INT(MOD(COUNTIFS($B$2:$B291,"WB")-1,81)/9))&amp;(MOD(COUNTIFS($B$2:$B291,"WB")-1,9)+1),"N/A"),"")</f>
        <v/>
      </c>
      <c r="K291" s="3" t="str">
        <f t="shared" si="73"/>
        <v/>
      </c>
      <c r="L291" s="2"/>
      <c r="M291" s="2"/>
      <c r="N291" s="2"/>
      <c r="O291" s="7" t="str">
        <f t="shared" si="74"/>
        <v/>
      </c>
      <c r="P291" s="7" t="str">
        <f t="shared" si="75"/>
        <v/>
      </c>
      <c r="Q291" s="7" t="str">
        <f t="shared" si="76"/>
        <v/>
      </c>
      <c r="R291" s="7" t="str">
        <f t="shared" si="77"/>
        <v/>
      </c>
      <c r="S291" s="7" t="str">
        <f t="shared" si="78"/>
        <v/>
      </c>
      <c r="T291" s="7" t="str">
        <f t="shared" si="79"/>
        <v/>
      </c>
      <c r="U291" s="7" t="str">
        <f t="shared" si="80"/>
        <v/>
      </c>
      <c r="V291" s="7" t="str">
        <f t="shared" si="81"/>
        <v/>
      </c>
      <c r="W291" s="7" t="str">
        <f t="shared" si="82"/>
        <v/>
      </c>
      <c r="X291" s="7" t="str">
        <f t="shared" si="83"/>
        <v/>
      </c>
      <c r="Y291">
        <f t="shared" si="84"/>
        <v>0</v>
      </c>
      <c r="Z291" t="str">
        <f t="shared" si="85"/>
        <v/>
      </c>
      <c r="AA291" t="str">
        <f t="shared" si="86"/>
        <v/>
      </c>
      <c r="AB291" t="str">
        <f t="shared" si="87"/>
        <v/>
      </c>
      <c r="AC291" t="str">
        <f t="shared" si="88"/>
        <v/>
      </c>
      <c r="AD291">
        <f t="shared" si="89"/>
        <v>0</v>
      </c>
    </row>
    <row r="292" spans="1:30" ht="15" customHeight="1" x14ac:dyDescent="0.35">
      <c r="A292" s="2"/>
      <c r="B292" s="3"/>
      <c r="C292" s="4"/>
      <c r="D292" s="5"/>
      <c r="E292" s="11" t="str">
        <f t="shared" ca="1" si="72"/>
        <v/>
      </c>
      <c r="F292" s="5"/>
      <c r="G292" s="6" t="str">
        <f>IF(AND($A292&lt;&gt;"",$B292&lt;&gt;"",$C292&lt;&gt;"",$D292&lt;&gt;""),IF(OR($B292="SER",$B292="PLH",$B292="CSF"),"Control CDI Plate "&amp;(INT(((COUNTIFS($B$2:$B292,"SER")+COUNTIFS($B$2:$B292,"PLH")+COUNTIFS($B$2:$B292,"CSF"))-1)/96)+1)&amp;": "&amp;CHAR(65+INT(MOD((COUNTIFS($B$2:$B292,"SER")+COUNTIFS($B$2:$B292,"PLH")+COUNTIFS($B$2:$B292,"CSF"))-1,96)/12))&amp;(MOD((COUNTIFS($B$2:$B292,"SER")+COUNTIFS($B$2:$B292,"PLH")+COUNTIFS($B$2:$B292,"CSF"))-1,12)+1),"N/A"),"")</f>
        <v/>
      </c>
      <c r="H292" s="6" t="str">
        <f>IF(AND($A292&lt;&gt;"",$B292&lt;&gt;"",$C292&lt;&gt;"",$D292&lt;&gt;""),IF(OR($B292="SER",$B292="PLH",$B292="CSF"),"Control NIH Plate "&amp;(INT(((COUNTIFS($B$2:$B292,"SER")+COUNTIFS($B$2:$B292,"PLH")+COUNTIFS($B$2:$B292,"CSF"))-1)/96)+1)&amp;": "&amp;CHAR(65+INT(MOD((COUNTIFS($B$2:$B292,"SER")+COUNTIFS($B$2:$B292,"PLH")+COUNTIFS($B$2:$B292,"CSF"))-1,96)/12))&amp;(MOD((COUNTIFS($B$2:$B292,"SER")+COUNTIFS($B$2:$B292,"PLH")+COUNTIFS($B$2:$B292,"CSF"))-1,12)+1),"N/A"),"")</f>
        <v/>
      </c>
      <c r="I292" s="6" t="str">
        <f>IF(AND($A292&lt;&gt;"",$B292&lt;&gt;"",$C292&lt;&gt;"",$D292&lt;&gt;""),IF(OR($B292="SER",$B292="PLH"),"Control MAX Planck Plate "&amp;(INT(((COUNTIFS($B$2:$B292,"SER")+COUNTIFS($B$2:$B292,"PLH"))-1)/96)+1)&amp;": "&amp;CHAR(65+INT(MOD((COUNTIFS($B$2:$B292,"SER")+COUNTIFS($B$2:$B292,"PLH"))-1,96)/12))&amp;(MOD((COUNTIFS($B$2:$B292,"SER")+COUNTIFS($B$2:$B292,"PLH"))-1,12)+1),"N/A"),"")</f>
        <v/>
      </c>
      <c r="J292" s="6" t="str">
        <f>IF(AND($A292&lt;&gt;"",$B292&lt;&gt;"",$C292&lt;&gt;"",$D292&lt;&gt;""),IF($B292="WB","Control WB Box "&amp;(INT((COUNTIFS($B$2:$B292,"WB")-1)/81)+1)&amp;": "&amp;CHAR(65+INT(MOD(COUNTIFS($B$2:$B292,"WB")-1,81)/9))&amp;(MOD(COUNTIFS($B$2:$B292,"WB")-1,9)+1),"N/A"),"")</f>
        <v/>
      </c>
      <c r="K292" s="3" t="str">
        <f t="shared" si="73"/>
        <v/>
      </c>
      <c r="L292" s="2"/>
      <c r="M292" s="2"/>
      <c r="N292" s="2"/>
      <c r="O292" s="7" t="str">
        <f t="shared" si="74"/>
        <v/>
      </c>
      <c r="P292" s="7" t="str">
        <f t="shared" si="75"/>
        <v/>
      </c>
      <c r="Q292" s="7" t="str">
        <f t="shared" si="76"/>
        <v/>
      </c>
      <c r="R292" s="7" t="str">
        <f t="shared" si="77"/>
        <v/>
      </c>
      <c r="S292" s="7" t="str">
        <f t="shared" si="78"/>
        <v/>
      </c>
      <c r="T292" s="7" t="str">
        <f t="shared" si="79"/>
        <v/>
      </c>
      <c r="U292" s="7" t="str">
        <f t="shared" si="80"/>
        <v/>
      </c>
      <c r="V292" s="7" t="str">
        <f t="shared" si="81"/>
        <v/>
      </c>
      <c r="W292" s="7" t="str">
        <f t="shared" si="82"/>
        <v/>
      </c>
      <c r="X292" s="7" t="str">
        <f t="shared" si="83"/>
        <v/>
      </c>
      <c r="Y292">
        <f t="shared" si="84"/>
        <v>0</v>
      </c>
      <c r="Z292" t="str">
        <f t="shared" si="85"/>
        <v/>
      </c>
      <c r="AA292" t="str">
        <f t="shared" si="86"/>
        <v/>
      </c>
      <c r="AB292" t="str">
        <f t="shared" si="87"/>
        <v/>
      </c>
      <c r="AC292" t="str">
        <f t="shared" si="88"/>
        <v/>
      </c>
      <c r="AD292">
        <f t="shared" si="89"/>
        <v>0</v>
      </c>
    </row>
    <row r="293" spans="1:30" ht="15" customHeight="1" x14ac:dyDescent="0.35">
      <c r="A293" s="2"/>
      <c r="B293" s="3"/>
      <c r="C293" s="4"/>
      <c r="D293" s="5"/>
      <c r="E293" s="11" t="str">
        <f t="shared" ca="1" si="72"/>
        <v/>
      </c>
      <c r="F293" s="5"/>
      <c r="G293" s="6" t="str">
        <f>IF(AND($A293&lt;&gt;"",$B293&lt;&gt;"",$C293&lt;&gt;"",$D293&lt;&gt;""),IF(OR($B293="SER",$B293="PLH",$B293="CSF"),"Control CDI Plate "&amp;(INT(((COUNTIFS($B$2:$B293,"SER")+COUNTIFS($B$2:$B293,"PLH")+COUNTIFS($B$2:$B293,"CSF"))-1)/96)+1)&amp;": "&amp;CHAR(65+INT(MOD((COUNTIFS($B$2:$B293,"SER")+COUNTIFS($B$2:$B293,"PLH")+COUNTIFS($B$2:$B293,"CSF"))-1,96)/12))&amp;(MOD((COUNTIFS($B$2:$B293,"SER")+COUNTIFS($B$2:$B293,"PLH")+COUNTIFS($B$2:$B293,"CSF"))-1,12)+1),"N/A"),"")</f>
        <v/>
      </c>
      <c r="H293" s="6" t="str">
        <f>IF(AND($A293&lt;&gt;"",$B293&lt;&gt;"",$C293&lt;&gt;"",$D293&lt;&gt;""),IF(OR($B293="SER",$B293="PLH",$B293="CSF"),"Control NIH Plate "&amp;(INT(((COUNTIFS($B$2:$B293,"SER")+COUNTIFS($B$2:$B293,"PLH")+COUNTIFS($B$2:$B293,"CSF"))-1)/96)+1)&amp;": "&amp;CHAR(65+INT(MOD((COUNTIFS($B$2:$B293,"SER")+COUNTIFS($B$2:$B293,"PLH")+COUNTIFS($B$2:$B293,"CSF"))-1,96)/12))&amp;(MOD((COUNTIFS($B$2:$B293,"SER")+COUNTIFS($B$2:$B293,"PLH")+COUNTIFS($B$2:$B293,"CSF"))-1,12)+1),"N/A"),"")</f>
        <v/>
      </c>
      <c r="I293" s="6" t="str">
        <f>IF(AND($A293&lt;&gt;"",$B293&lt;&gt;"",$C293&lt;&gt;"",$D293&lt;&gt;""),IF(OR($B293="SER",$B293="PLH"),"Control MAX Planck Plate "&amp;(INT(((COUNTIFS($B$2:$B293,"SER")+COUNTIFS($B$2:$B293,"PLH"))-1)/96)+1)&amp;": "&amp;CHAR(65+INT(MOD((COUNTIFS($B$2:$B293,"SER")+COUNTIFS($B$2:$B293,"PLH"))-1,96)/12))&amp;(MOD((COUNTIFS($B$2:$B293,"SER")+COUNTIFS($B$2:$B293,"PLH"))-1,12)+1),"N/A"),"")</f>
        <v/>
      </c>
      <c r="J293" s="6" t="str">
        <f>IF(AND($A293&lt;&gt;"",$B293&lt;&gt;"",$C293&lt;&gt;"",$D293&lt;&gt;""),IF($B293="WB","Control WB Box "&amp;(INT((COUNTIFS($B$2:$B293,"WB")-1)/81)+1)&amp;": "&amp;CHAR(65+INT(MOD(COUNTIFS($B$2:$B293,"WB")-1,81)/9))&amp;(MOD(COUNTIFS($B$2:$B293,"WB")-1,9)+1),"N/A"),"")</f>
        <v/>
      </c>
      <c r="K293" s="3" t="str">
        <f t="shared" si="73"/>
        <v/>
      </c>
      <c r="L293" s="2"/>
      <c r="M293" s="2"/>
      <c r="N293" s="2"/>
      <c r="O293" s="7" t="str">
        <f t="shared" si="74"/>
        <v/>
      </c>
      <c r="P293" s="7" t="str">
        <f t="shared" si="75"/>
        <v/>
      </c>
      <c r="Q293" s="7" t="str">
        <f t="shared" si="76"/>
        <v/>
      </c>
      <c r="R293" s="7" t="str">
        <f t="shared" si="77"/>
        <v/>
      </c>
      <c r="S293" s="7" t="str">
        <f t="shared" si="78"/>
        <v/>
      </c>
      <c r="T293" s="7" t="str">
        <f t="shared" si="79"/>
        <v/>
      </c>
      <c r="U293" s="7" t="str">
        <f t="shared" si="80"/>
        <v/>
      </c>
      <c r="V293" s="7" t="str">
        <f t="shared" si="81"/>
        <v/>
      </c>
      <c r="W293" s="7" t="str">
        <f t="shared" si="82"/>
        <v/>
      </c>
      <c r="X293" s="7" t="str">
        <f t="shared" si="83"/>
        <v/>
      </c>
      <c r="Y293">
        <f t="shared" si="84"/>
        <v>0</v>
      </c>
      <c r="Z293" t="str">
        <f t="shared" si="85"/>
        <v/>
      </c>
      <c r="AA293" t="str">
        <f t="shared" si="86"/>
        <v/>
      </c>
      <c r="AB293" t="str">
        <f t="shared" si="87"/>
        <v/>
      </c>
      <c r="AC293" t="str">
        <f t="shared" si="88"/>
        <v/>
      </c>
      <c r="AD293">
        <f t="shared" si="89"/>
        <v>0</v>
      </c>
    </row>
    <row r="294" spans="1:30" ht="15" customHeight="1" x14ac:dyDescent="0.35">
      <c r="A294" s="2"/>
      <c r="B294" s="3"/>
      <c r="C294" s="4"/>
      <c r="D294" s="5"/>
      <c r="E294" s="11" t="str">
        <f t="shared" ca="1" si="72"/>
        <v/>
      </c>
      <c r="F294" s="5"/>
      <c r="G294" s="6" t="str">
        <f>IF(AND($A294&lt;&gt;"",$B294&lt;&gt;"",$C294&lt;&gt;"",$D294&lt;&gt;""),IF(OR($B294="SER",$B294="PLH",$B294="CSF"),"Control CDI Plate "&amp;(INT(((COUNTIFS($B$2:$B294,"SER")+COUNTIFS($B$2:$B294,"PLH")+COUNTIFS($B$2:$B294,"CSF"))-1)/96)+1)&amp;": "&amp;CHAR(65+INT(MOD((COUNTIFS($B$2:$B294,"SER")+COUNTIFS($B$2:$B294,"PLH")+COUNTIFS($B$2:$B294,"CSF"))-1,96)/12))&amp;(MOD((COUNTIFS($B$2:$B294,"SER")+COUNTIFS($B$2:$B294,"PLH")+COUNTIFS($B$2:$B294,"CSF"))-1,12)+1),"N/A"),"")</f>
        <v/>
      </c>
      <c r="H294" s="6" t="str">
        <f>IF(AND($A294&lt;&gt;"",$B294&lt;&gt;"",$C294&lt;&gt;"",$D294&lt;&gt;""),IF(OR($B294="SER",$B294="PLH",$B294="CSF"),"Control NIH Plate "&amp;(INT(((COUNTIFS($B$2:$B294,"SER")+COUNTIFS($B$2:$B294,"PLH")+COUNTIFS($B$2:$B294,"CSF"))-1)/96)+1)&amp;": "&amp;CHAR(65+INT(MOD((COUNTIFS($B$2:$B294,"SER")+COUNTIFS($B$2:$B294,"PLH")+COUNTIFS($B$2:$B294,"CSF"))-1,96)/12))&amp;(MOD((COUNTIFS($B$2:$B294,"SER")+COUNTIFS($B$2:$B294,"PLH")+COUNTIFS($B$2:$B294,"CSF"))-1,12)+1),"N/A"),"")</f>
        <v/>
      </c>
      <c r="I294" s="6" t="str">
        <f>IF(AND($A294&lt;&gt;"",$B294&lt;&gt;"",$C294&lt;&gt;"",$D294&lt;&gt;""),IF(OR($B294="SER",$B294="PLH"),"Control MAX Planck Plate "&amp;(INT(((COUNTIFS($B$2:$B294,"SER")+COUNTIFS($B$2:$B294,"PLH"))-1)/96)+1)&amp;": "&amp;CHAR(65+INT(MOD((COUNTIFS($B$2:$B294,"SER")+COUNTIFS($B$2:$B294,"PLH"))-1,96)/12))&amp;(MOD((COUNTIFS($B$2:$B294,"SER")+COUNTIFS($B$2:$B294,"PLH"))-1,12)+1),"N/A"),"")</f>
        <v/>
      </c>
      <c r="J294" s="6" t="str">
        <f>IF(AND($A294&lt;&gt;"",$B294&lt;&gt;"",$C294&lt;&gt;"",$D294&lt;&gt;""),IF($B294="WB","Control WB Box "&amp;(INT((COUNTIFS($B$2:$B294,"WB")-1)/81)+1)&amp;": "&amp;CHAR(65+INT(MOD(COUNTIFS($B$2:$B294,"WB")-1,81)/9))&amp;(MOD(COUNTIFS($B$2:$B294,"WB")-1,9)+1),"N/A"),"")</f>
        <v/>
      </c>
      <c r="K294" s="3" t="str">
        <f t="shared" si="73"/>
        <v/>
      </c>
      <c r="L294" s="2"/>
      <c r="M294" s="2"/>
      <c r="N294" s="2"/>
      <c r="O294" s="7" t="str">
        <f t="shared" si="74"/>
        <v/>
      </c>
      <c r="P294" s="7" t="str">
        <f t="shared" si="75"/>
        <v/>
      </c>
      <c r="Q294" s="7" t="str">
        <f t="shared" si="76"/>
        <v/>
      </c>
      <c r="R294" s="7" t="str">
        <f t="shared" si="77"/>
        <v/>
      </c>
      <c r="S294" s="7" t="str">
        <f t="shared" si="78"/>
        <v/>
      </c>
      <c r="T294" s="7" t="str">
        <f t="shared" si="79"/>
        <v/>
      </c>
      <c r="U294" s="7" t="str">
        <f t="shared" si="80"/>
        <v/>
      </c>
      <c r="V294" s="7" t="str">
        <f t="shared" si="81"/>
        <v/>
      </c>
      <c r="W294" s="7" t="str">
        <f t="shared" si="82"/>
        <v/>
      </c>
      <c r="X294" s="7" t="str">
        <f t="shared" si="83"/>
        <v/>
      </c>
      <c r="Y294">
        <f t="shared" si="84"/>
        <v>0</v>
      </c>
      <c r="Z294" t="str">
        <f t="shared" si="85"/>
        <v/>
      </c>
      <c r="AA294" t="str">
        <f t="shared" si="86"/>
        <v/>
      </c>
      <c r="AB294" t="str">
        <f t="shared" si="87"/>
        <v/>
      </c>
      <c r="AC294" t="str">
        <f t="shared" si="88"/>
        <v/>
      </c>
      <c r="AD294">
        <f t="shared" si="89"/>
        <v>0</v>
      </c>
    </row>
    <row r="295" spans="1:30" ht="15" customHeight="1" x14ac:dyDescent="0.35">
      <c r="A295" s="2"/>
      <c r="B295" s="3"/>
      <c r="C295" s="4"/>
      <c r="D295" s="5"/>
      <c r="E295" s="11" t="str">
        <f t="shared" ca="1" si="72"/>
        <v/>
      </c>
      <c r="F295" s="5"/>
      <c r="G295" s="6" t="str">
        <f>IF(AND($A295&lt;&gt;"",$B295&lt;&gt;"",$C295&lt;&gt;"",$D295&lt;&gt;""),IF(OR($B295="SER",$B295="PLH",$B295="CSF"),"Control CDI Plate "&amp;(INT(((COUNTIFS($B$2:$B295,"SER")+COUNTIFS($B$2:$B295,"PLH")+COUNTIFS($B$2:$B295,"CSF"))-1)/96)+1)&amp;": "&amp;CHAR(65+INT(MOD((COUNTIFS($B$2:$B295,"SER")+COUNTIFS($B$2:$B295,"PLH")+COUNTIFS($B$2:$B295,"CSF"))-1,96)/12))&amp;(MOD((COUNTIFS($B$2:$B295,"SER")+COUNTIFS($B$2:$B295,"PLH")+COUNTIFS($B$2:$B295,"CSF"))-1,12)+1),"N/A"),"")</f>
        <v/>
      </c>
      <c r="H295" s="6" t="str">
        <f>IF(AND($A295&lt;&gt;"",$B295&lt;&gt;"",$C295&lt;&gt;"",$D295&lt;&gt;""),IF(OR($B295="SER",$B295="PLH",$B295="CSF"),"Control NIH Plate "&amp;(INT(((COUNTIFS($B$2:$B295,"SER")+COUNTIFS($B$2:$B295,"PLH")+COUNTIFS($B$2:$B295,"CSF"))-1)/96)+1)&amp;": "&amp;CHAR(65+INT(MOD((COUNTIFS($B$2:$B295,"SER")+COUNTIFS($B$2:$B295,"PLH")+COUNTIFS($B$2:$B295,"CSF"))-1,96)/12))&amp;(MOD((COUNTIFS($B$2:$B295,"SER")+COUNTIFS($B$2:$B295,"PLH")+COUNTIFS($B$2:$B295,"CSF"))-1,12)+1),"N/A"),"")</f>
        <v/>
      </c>
      <c r="I295" s="6" t="str">
        <f>IF(AND($A295&lt;&gt;"",$B295&lt;&gt;"",$C295&lt;&gt;"",$D295&lt;&gt;""),IF(OR($B295="SER",$B295="PLH"),"Control MAX Planck Plate "&amp;(INT(((COUNTIFS($B$2:$B295,"SER")+COUNTIFS($B$2:$B295,"PLH"))-1)/96)+1)&amp;": "&amp;CHAR(65+INT(MOD((COUNTIFS($B$2:$B295,"SER")+COUNTIFS($B$2:$B295,"PLH"))-1,96)/12))&amp;(MOD((COUNTIFS($B$2:$B295,"SER")+COUNTIFS($B$2:$B295,"PLH"))-1,12)+1),"N/A"),"")</f>
        <v/>
      </c>
      <c r="J295" s="6" t="str">
        <f>IF(AND($A295&lt;&gt;"",$B295&lt;&gt;"",$C295&lt;&gt;"",$D295&lt;&gt;""),IF($B295="WB","Control WB Box "&amp;(INT((COUNTIFS($B$2:$B295,"WB")-1)/81)+1)&amp;": "&amp;CHAR(65+INT(MOD(COUNTIFS($B$2:$B295,"WB")-1,81)/9))&amp;(MOD(COUNTIFS($B$2:$B295,"WB")-1,9)+1),"N/A"),"")</f>
        <v/>
      </c>
      <c r="K295" s="3" t="str">
        <f t="shared" si="73"/>
        <v/>
      </c>
      <c r="L295" s="2"/>
      <c r="M295" s="2"/>
      <c r="N295" s="2"/>
      <c r="O295" s="7" t="str">
        <f t="shared" si="74"/>
        <v/>
      </c>
      <c r="P295" s="7" t="str">
        <f t="shared" si="75"/>
        <v/>
      </c>
      <c r="Q295" s="7" t="str">
        <f t="shared" si="76"/>
        <v/>
      </c>
      <c r="R295" s="7" t="str">
        <f t="shared" si="77"/>
        <v/>
      </c>
      <c r="S295" s="7" t="str">
        <f t="shared" si="78"/>
        <v/>
      </c>
      <c r="T295" s="7" t="str">
        <f t="shared" si="79"/>
        <v/>
      </c>
      <c r="U295" s="7" t="str">
        <f t="shared" si="80"/>
        <v/>
      </c>
      <c r="V295" s="7" t="str">
        <f t="shared" si="81"/>
        <v/>
      </c>
      <c r="W295" s="7" t="str">
        <f t="shared" si="82"/>
        <v/>
      </c>
      <c r="X295" s="7" t="str">
        <f t="shared" si="83"/>
        <v/>
      </c>
      <c r="Y295">
        <f t="shared" si="84"/>
        <v>0</v>
      </c>
      <c r="Z295" t="str">
        <f t="shared" si="85"/>
        <v/>
      </c>
      <c r="AA295" t="str">
        <f t="shared" si="86"/>
        <v/>
      </c>
      <c r="AB295" t="str">
        <f t="shared" si="87"/>
        <v/>
      </c>
      <c r="AC295" t="str">
        <f t="shared" si="88"/>
        <v/>
      </c>
      <c r="AD295">
        <f t="shared" si="89"/>
        <v>0</v>
      </c>
    </row>
    <row r="296" spans="1:30" ht="15" customHeight="1" x14ac:dyDescent="0.35">
      <c r="A296" s="2"/>
      <c r="B296" s="3"/>
      <c r="C296" s="4"/>
      <c r="D296" s="5"/>
      <c r="E296" s="11" t="str">
        <f t="shared" ca="1" si="72"/>
        <v/>
      </c>
      <c r="F296" s="5"/>
      <c r="G296" s="6" t="str">
        <f>IF(AND($A296&lt;&gt;"",$B296&lt;&gt;"",$C296&lt;&gt;"",$D296&lt;&gt;""),IF(OR($B296="SER",$B296="PLH",$B296="CSF"),"Control CDI Plate "&amp;(INT(((COUNTIFS($B$2:$B296,"SER")+COUNTIFS($B$2:$B296,"PLH")+COUNTIFS($B$2:$B296,"CSF"))-1)/96)+1)&amp;": "&amp;CHAR(65+INT(MOD((COUNTIFS($B$2:$B296,"SER")+COUNTIFS($B$2:$B296,"PLH")+COUNTIFS($B$2:$B296,"CSF"))-1,96)/12))&amp;(MOD((COUNTIFS($B$2:$B296,"SER")+COUNTIFS($B$2:$B296,"PLH")+COUNTIFS($B$2:$B296,"CSF"))-1,12)+1),"N/A"),"")</f>
        <v/>
      </c>
      <c r="H296" s="6" t="str">
        <f>IF(AND($A296&lt;&gt;"",$B296&lt;&gt;"",$C296&lt;&gt;"",$D296&lt;&gt;""),IF(OR($B296="SER",$B296="PLH",$B296="CSF"),"Control NIH Plate "&amp;(INT(((COUNTIFS($B$2:$B296,"SER")+COUNTIFS($B$2:$B296,"PLH")+COUNTIFS($B$2:$B296,"CSF"))-1)/96)+1)&amp;": "&amp;CHAR(65+INT(MOD((COUNTIFS($B$2:$B296,"SER")+COUNTIFS($B$2:$B296,"PLH")+COUNTIFS($B$2:$B296,"CSF"))-1,96)/12))&amp;(MOD((COUNTIFS($B$2:$B296,"SER")+COUNTIFS($B$2:$B296,"PLH")+COUNTIFS($B$2:$B296,"CSF"))-1,12)+1),"N/A"),"")</f>
        <v/>
      </c>
      <c r="I296" s="6" t="str">
        <f>IF(AND($A296&lt;&gt;"",$B296&lt;&gt;"",$C296&lt;&gt;"",$D296&lt;&gt;""),IF(OR($B296="SER",$B296="PLH"),"Control MAX Planck Plate "&amp;(INT(((COUNTIFS($B$2:$B296,"SER")+COUNTIFS($B$2:$B296,"PLH"))-1)/96)+1)&amp;": "&amp;CHAR(65+INT(MOD((COUNTIFS($B$2:$B296,"SER")+COUNTIFS($B$2:$B296,"PLH"))-1,96)/12))&amp;(MOD((COUNTIFS($B$2:$B296,"SER")+COUNTIFS($B$2:$B296,"PLH"))-1,12)+1),"N/A"),"")</f>
        <v/>
      </c>
      <c r="J296" s="6" t="str">
        <f>IF(AND($A296&lt;&gt;"",$B296&lt;&gt;"",$C296&lt;&gt;"",$D296&lt;&gt;""),IF($B296="WB","Control WB Box "&amp;(INT((COUNTIFS($B$2:$B296,"WB")-1)/81)+1)&amp;": "&amp;CHAR(65+INT(MOD(COUNTIFS($B$2:$B296,"WB")-1,81)/9))&amp;(MOD(COUNTIFS($B$2:$B296,"WB")-1,9)+1),"N/A"),"")</f>
        <v/>
      </c>
      <c r="K296" s="3" t="str">
        <f t="shared" si="73"/>
        <v/>
      </c>
      <c r="L296" s="2"/>
      <c r="M296" s="2"/>
      <c r="N296" s="2"/>
      <c r="O296" s="7" t="str">
        <f t="shared" si="74"/>
        <v/>
      </c>
      <c r="P296" s="7" t="str">
        <f t="shared" si="75"/>
        <v/>
      </c>
      <c r="Q296" s="7" t="str">
        <f t="shared" si="76"/>
        <v/>
      </c>
      <c r="R296" s="7" t="str">
        <f t="shared" si="77"/>
        <v/>
      </c>
      <c r="S296" s="7" t="str">
        <f t="shared" si="78"/>
        <v/>
      </c>
      <c r="T296" s="7" t="str">
        <f t="shared" si="79"/>
        <v/>
      </c>
      <c r="U296" s="7" t="str">
        <f t="shared" si="80"/>
        <v/>
      </c>
      <c r="V296" s="7" t="str">
        <f t="shared" si="81"/>
        <v/>
      </c>
      <c r="W296" s="7" t="str">
        <f t="shared" si="82"/>
        <v/>
      </c>
      <c r="X296" s="7" t="str">
        <f t="shared" si="83"/>
        <v/>
      </c>
      <c r="Y296">
        <f t="shared" si="84"/>
        <v>0</v>
      </c>
      <c r="Z296" t="str">
        <f t="shared" si="85"/>
        <v/>
      </c>
      <c r="AA296" t="str">
        <f t="shared" si="86"/>
        <v/>
      </c>
      <c r="AB296" t="str">
        <f t="shared" si="87"/>
        <v/>
      </c>
      <c r="AC296" t="str">
        <f t="shared" si="88"/>
        <v/>
      </c>
      <c r="AD296">
        <f t="shared" si="89"/>
        <v>0</v>
      </c>
    </row>
    <row r="297" spans="1:30" ht="15" customHeight="1" x14ac:dyDescent="0.35">
      <c r="A297" s="2"/>
      <c r="B297" s="3"/>
      <c r="C297" s="4"/>
      <c r="D297" s="5"/>
      <c r="E297" s="11" t="str">
        <f t="shared" ca="1" si="72"/>
        <v/>
      </c>
      <c r="F297" s="5"/>
      <c r="G297" s="6" t="str">
        <f>IF(AND($A297&lt;&gt;"",$B297&lt;&gt;"",$C297&lt;&gt;"",$D297&lt;&gt;""),IF(OR($B297="SER",$B297="PLH",$B297="CSF"),"Control CDI Plate "&amp;(INT(((COUNTIFS($B$2:$B297,"SER")+COUNTIFS($B$2:$B297,"PLH")+COUNTIFS($B$2:$B297,"CSF"))-1)/96)+1)&amp;": "&amp;CHAR(65+INT(MOD((COUNTIFS($B$2:$B297,"SER")+COUNTIFS($B$2:$B297,"PLH")+COUNTIFS($B$2:$B297,"CSF"))-1,96)/12))&amp;(MOD((COUNTIFS($B$2:$B297,"SER")+COUNTIFS($B$2:$B297,"PLH")+COUNTIFS($B$2:$B297,"CSF"))-1,12)+1),"N/A"),"")</f>
        <v/>
      </c>
      <c r="H297" s="6" t="str">
        <f>IF(AND($A297&lt;&gt;"",$B297&lt;&gt;"",$C297&lt;&gt;"",$D297&lt;&gt;""),IF(OR($B297="SER",$B297="PLH",$B297="CSF"),"Control NIH Plate "&amp;(INT(((COUNTIFS($B$2:$B297,"SER")+COUNTIFS($B$2:$B297,"PLH")+COUNTIFS($B$2:$B297,"CSF"))-1)/96)+1)&amp;": "&amp;CHAR(65+INT(MOD((COUNTIFS($B$2:$B297,"SER")+COUNTIFS($B$2:$B297,"PLH")+COUNTIFS($B$2:$B297,"CSF"))-1,96)/12))&amp;(MOD((COUNTIFS($B$2:$B297,"SER")+COUNTIFS($B$2:$B297,"PLH")+COUNTIFS($B$2:$B297,"CSF"))-1,12)+1),"N/A"),"")</f>
        <v/>
      </c>
      <c r="I297" s="6" t="str">
        <f>IF(AND($A297&lt;&gt;"",$B297&lt;&gt;"",$C297&lt;&gt;"",$D297&lt;&gt;""),IF(OR($B297="SER",$B297="PLH"),"Control MAX Planck Plate "&amp;(INT(((COUNTIFS($B$2:$B297,"SER")+COUNTIFS($B$2:$B297,"PLH"))-1)/96)+1)&amp;": "&amp;CHAR(65+INT(MOD((COUNTIFS($B$2:$B297,"SER")+COUNTIFS($B$2:$B297,"PLH"))-1,96)/12))&amp;(MOD((COUNTIFS($B$2:$B297,"SER")+COUNTIFS($B$2:$B297,"PLH"))-1,12)+1),"N/A"),"")</f>
        <v/>
      </c>
      <c r="J297" s="6" t="str">
        <f>IF(AND($A297&lt;&gt;"",$B297&lt;&gt;"",$C297&lt;&gt;"",$D297&lt;&gt;""),IF($B297="WB","Control WB Box "&amp;(INT((COUNTIFS($B$2:$B297,"WB")-1)/81)+1)&amp;": "&amp;CHAR(65+INT(MOD(COUNTIFS($B$2:$B297,"WB")-1,81)/9))&amp;(MOD(COUNTIFS($B$2:$B297,"WB")-1,9)+1),"N/A"),"")</f>
        <v/>
      </c>
      <c r="K297" s="3" t="str">
        <f t="shared" si="73"/>
        <v/>
      </c>
      <c r="L297" s="2"/>
      <c r="M297" s="2"/>
      <c r="N297" s="2"/>
      <c r="O297" s="7" t="str">
        <f t="shared" si="74"/>
        <v/>
      </c>
      <c r="P297" s="7" t="str">
        <f t="shared" si="75"/>
        <v/>
      </c>
      <c r="Q297" s="7" t="str">
        <f t="shared" si="76"/>
        <v/>
      </c>
      <c r="R297" s="7" t="str">
        <f t="shared" si="77"/>
        <v/>
      </c>
      <c r="S297" s="7" t="str">
        <f t="shared" si="78"/>
        <v/>
      </c>
      <c r="T297" s="7" t="str">
        <f t="shared" si="79"/>
        <v/>
      </c>
      <c r="U297" s="7" t="str">
        <f t="shared" si="80"/>
        <v/>
      </c>
      <c r="V297" s="7" t="str">
        <f t="shared" si="81"/>
        <v/>
      </c>
      <c r="W297" s="7" t="str">
        <f t="shared" si="82"/>
        <v/>
      </c>
      <c r="X297" s="7" t="str">
        <f t="shared" si="83"/>
        <v/>
      </c>
      <c r="Y297">
        <f t="shared" si="84"/>
        <v>0</v>
      </c>
      <c r="Z297" t="str">
        <f t="shared" si="85"/>
        <v/>
      </c>
      <c r="AA297" t="str">
        <f t="shared" si="86"/>
        <v/>
      </c>
      <c r="AB297" t="str">
        <f t="shared" si="87"/>
        <v/>
      </c>
      <c r="AC297" t="str">
        <f t="shared" si="88"/>
        <v/>
      </c>
      <c r="AD297">
        <f t="shared" si="89"/>
        <v>0</v>
      </c>
    </row>
    <row r="298" spans="1:30" ht="15" customHeight="1" x14ac:dyDescent="0.35">
      <c r="A298" s="2"/>
      <c r="B298" s="3"/>
      <c r="C298" s="4"/>
      <c r="D298" s="5"/>
      <c r="E298" s="11" t="str">
        <f t="shared" ca="1" si="72"/>
        <v/>
      </c>
      <c r="F298" s="5"/>
      <c r="G298" s="6" t="str">
        <f>IF(AND($A298&lt;&gt;"",$B298&lt;&gt;"",$C298&lt;&gt;"",$D298&lt;&gt;""),IF(OR($B298="SER",$B298="PLH",$B298="CSF"),"Control CDI Plate "&amp;(INT(((COUNTIFS($B$2:$B298,"SER")+COUNTIFS($B$2:$B298,"PLH")+COUNTIFS($B$2:$B298,"CSF"))-1)/96)+1)&amp;": "&amp;CHAR(65+INT(MOD((COUNTIFS($B$2:$B298,"SER")+COUNTIFS($B$2:$B298,"PLH")+COUNTIFS($B$2:$B298,"CSF"))-1,96)/12))&amp;(MOD((COUNTIFS($B$2:$B298,"SER")+COUNTIFS($B$2:$B298,"PLH")+COUNTIFS($B$2:$B298,"CSF"))-1,12)+1),"N/A"),"")</f>
        <v/>
      </c>
      <c r="H298" s="6" t="str">
        <f>IF(AND($A298&lt;&gt;"",$B298&lt;&gt;"",$C298&lt;&gt;"",$D298&lt;&gt;""),IF(OR($B298="SER",$B298="PLH",$B298="CSF"),"Control NIH Plate "&amp;(INT(((COUNTIFS($B$2:$B298,"SER")+COUNTIFS($B$2:$B298,"PLH")+COUNTIFS($B$2:$B298,"CSF"))-1)/96)+1)&amp;": "&amp;CHAR(65+INT(MOD((COUNTIFS($B$2:$B298,"SER")+COUNTIFS($B$2:$B298,"PLH")+COUNTIFS($B$2:$B298,"CSF"))-1,96)/12))&amp;(MOD((COUNTIFS($B$2:$B298,"SER")+COUNTIFS($B$2:$B298,"PLH")+COUNTIFS($B$2:$B298,"CSF"))-1,12)+1),"N/A"),"")</f>
        <v/>
      </c>
      <c r="I298" s="6" t="str">
        <f>IF(AND($A298&lt;&gt;"",$B298&lt;&gt;"",$C298&lt;&gt;"",$D298&lt;&gt;""),IF(OR($B298="SER",$B298="PLH"),"Control MAX Planck Plate "&amp;(INT(((COUNTIFS($B$2:$B298,"SER")+COUNTIFS($B$2:$B298,"PLH"))-1)/96)+1)&amp;": "&amp;CHAR(65+INT(MOD((COUNTIFS($B$2:$B298,"SER")+COUNTIFS($B$2:$B298,"PLH"))-1,96)/12))&amp;(MOD((COUNTIFS($B$2:$B298,"SER")+COUNTIFS($B$2:$B298,"PLH"))-1,12)+1),"N/A"),"")</f>
        <v/>
      </c>
      <c r="J298" s="6" t="str">
        <f>IF(AND($A298&lt;&gt;"",$B298&lt;&gt;"",$C298&lt;&gt;"",$D298&lt;&gt;""),IF($B298="WB","Control WB Box "&amp;(INT((COUNTIFS($B$2:$B298,"WB")-1)/81)+1)&amp;": "&amp;CHAR(65+INT(MOD(COUNTIFS($B$2:$B298,"WB")-1,81)/9))&amp;(MOD(COUNTIFS($B$2:$B298,"WB")-1,9)+1),"N/A"),"")</f>
        <v/>
      </c>
      <c r="K298" s="3" t="str">
        <f t="shared" si="73"/>
        <v/>
      </c>
      <c r="L298" s="2"/>
      <c r="M298" s="2"/>
      <c r="N298" s="2"/>
      <c r="O298" s="7" t="str">
        <f t="shared" si="74"/>
        <v/>
      </c>
      <c r="P298" s="7" t="str">
        <f t="shared" si="75"/>
        <v/>
      </c>
      <c r="Q298" s="7" t="str">
        <f t="shared" si="76"/>
        <v/>
      </c>
      <c r="R298" s="7" t="str">
        <f t="shared" si="77"/>
        <v/>
      </c>
      <c r="S298" s="7" t="str">
        <f t="shared" si="78"/>
        <v/>
      </c>
      <c r="T298" s="7" t="str">
        <f t="shared" si="79"/>
        <v/>
      </c>
      <c r="U298" s="7" t="str">
        <f t="shared" si="80"/>
        <v/>
      </c>
      <c r="V298" s="7" t="str">
        <f t="shared" si="81"/>
        <v/>
      </c>
      <c r="W298" s="7" t="str">
        <f t="shared" si="82"/>
        <v/>
      </c>
      <c r="X298" s="7" t="str">
        <f t="shared" si="83"/>
        <v/>
      </c>
      <c r="Y298">
        <f t="shared" si="84"/>
        <v>0</v>
      </c>
      <c r="Z298" t="str">
        <f t="shared" si="85"/>
        <v/>
      </c>
      <c r="AA298" t="str">
        <f t="shared" si="86"/>
        <v/>
      </c>
      <c r="AB298" t="str">
        <f t="shared" si="87"/>
        <v/>
      </c>
      <c r="AC298" t="str">
        <f t="shared" si="88"/>
        <v/>
      </c>
      <c r="AD298">
        <f t="shared" si="89"/>
        <v>0</v>
      </c>
    </row>
    <row r="299" spans="1:30" ht="15" customHeight="1" x14ac:dyDescent="0.35">
      <c r="A299" s="2"/>
      <c r="B299" s="3"/>
      <c r="C299" s="4"/>
      <c r="D299" s="5"/>
      <c r="E299" s="11" t="str">
        <f t="shared" ca="1" si="72"/>
        <v/>
      </c>
      <c r="F299" s="5"/>
      <c r="G299" s="6" t="str">
        <f>IF(AND($A299&lt;&gt;"",$B299&lt;&gt;"",$C299&lt;&gt;"",$D299&lt;&gt;""),IF(OR($B299="SER",$B299="PLH",$B299="CSF"),"Control CDI Plate "&amp;(INT(((COUNTIFS($B$2:$B299,"SER")+COUNTIFS($B$2:$B299,"PLH")+COUNTIFS($B$2:$B299,"CSF"))-1)/96)+1)&amp;": "&amp;CHAR(65+INT(MOD((COUNTIFS($B$2:$B299,"SER")+COUNTIFS($B$2:$B299,"PLH")+COUNTIFS($B$2:$B299,"CSF"))-1,96)/12))&amp;(MOD((COUNTIFS($B$2:$B299,"SER")+COUNTIFS($B$2:$B299,"PLH")+COUNTIFS($B$2:$B299,"CSF"))-1,12)+1),"N/A"),"")</f>
        <v/>
      </c>
      <c r="H299" s="6" t="str">
        <f>IF(AND($A299&lt;&gt;"",$B299&lt;&gt;"",$C299&lt;&gt;"",$D299&lt;&gt;""),IF(OR($B299="SER",$B299="PLH",$B299="CSF"),"Control NIH Plate "&amp;(INT(((COUNTIFS($B$2:$B299,"SER")+COUNTIFS($B$2:$B299,"PLH")+COUNTIFS($B$2:$B299,"CSF"))-1)/96)+1)&amp;": "&amp;CHAR(65+INT(MOD((COUNTIFS($B$2:$B299,"SER")+COUNTIFS($B$2:$B299,"PLH")+COUNTIFS($B$2:$B299,"CSF"))-1,96)/12))&amp;(MOD((COUNTIFS($B$2:$B299,"SER")+COUNTIFS($B$2:$B299,"PLH")+COUNTIFS($B$2:$B299,"CSF"))-1,12)+1),"N/A"),"")</f>
        <v/>
      </c>
      <c r="I299" s="6" t="str">
        <f>IF(AND($A299&lt;&gt;"",$B299&lt;&gt;"",$C299&lt;&gt;"",$D299&lt;&gt;""),IF(OR($B299="SER",$B299="PLH"),"Control MAX Planck Plate "&amp;(INT(((COUNTIFS($B$2:$B299,"SER")+COUNTIFS($B$2:$B299,"PLH"))-1)/96)+1)&amp;": "&amp;CHAR(65+INT(MOD((COUNTIFS($B$2:$B299,"SER")+COUNTIFS($B$2:$B299,"PLH"))-1,96)/12))&amp;(MOD((COUNTIFS($B$2:$B299,"SER")+COUNTIFS($B$2:$B299,"PLH"))-1,12)+1),"N/A"),"")</f>
        <v/>
      </c>
      <c r="J299" s="6" t="str">
        <f>IF(AND($A299&lt;&gt;"",$B299&lt;&gt;"",$C299&lt;&gt;"",$D299&lt;&gt;""),IF($B299="WB","Control WB Box "&amp;(INT((COUNTIFS($B$2:$B299,"WB")-1)/81)+1)&amp;": "&amp;CHAR(65+INT(MOD(COUNTIFS($B$2:$B299,"WB")-1,81)/9))&amp;(MOD(COUNTIFS($B$2:$B299,"WB")-1,9)+1),"N/A"),"")</f>
        <v/>
      </c>
      <c r="K299" s="3" t="str">
        <f t="shared" si="73"/>
        <v/>
      </c>
      <c r="L299" s="2"/>
      <c r="M299" s="2"/>
      <c r="N299" s="2"/>
      <c r="O299" s="7" t="str">
        <f t="shared" si="74"/>
        <v/>
      </c>
      <c r="P299" s="7" t="str">
        <f t="shared" si="75"/>
        <v/>
      </c>
      <c r="Q299" s="7" t="str">
        <f t="shared" si="76"/>
        <v/>
      </c>
      <c r="R299" s="7" t="str">
        <f t="shared" si="77"/>
        <v/>
      </c>
      <c r="S299" s="7" t="str">
        <f t="shared" si="78"/>
        <v/>
      </c>
      <c r="T299" s="7" t="str">
        <f t="shared" si="79"/>
        <v/>
      </c>
      <c r="U299" s="7" t="str">
        <f t="shared" si="80"/>
        <v/>
      </c>
      <c r="V299" s="7" t="str">
        <f t="shared" si="81"/>
        <v/>
      </c>
      <c r="W299" s="7" t="str">
        <f t="shared" si="82"/>
        <v/>
      </c>
      <c r="X299" s="7" t="str">
        <f t="shared" si="83"/>
        <v/>
      </c>
      <c r="Y299">
        <f t="shared" si="84"/>
        <v>0</v>
      </c>
      <c r="Z299" t="str">
        <f t="shared" si="85"/>
        <v/>
      </c>
      <c r="AA299" t="str">
        <f t="shared" si="86"/>
        <v/>
      </c>
      <c r="AB299" t="str">
        <f t="shared" si="87"/>
        <v/>
      </c>
      <c r="AC299" t="str">
        <f t="shared" si="88"/>
        <v/>
      </c>
      <c r="AD299">
        <f t="shared" si="89"/>
        <v>0</v>
      </c>
    </row>
    <row r="300" spans="1:30" ht="15" customHeight="1" x14ac:dyDescent="0.35">
      <c r="A300" s="2"/>
      <c r="B300" s="3"/>
      <c r="C300" s="4"/>
      <c r="D300" s="5"/>
      <c r="E300" s="11" t="str">
        <f t="shared" ca="1" si="72"/>
        <v/>
      </c>
      <c r="F300" s="5"/>
      <c r="G300" s="6" t="str">
        <f>IF(AND($A300&lt;&gt;"",$B300&lt;&gt;"",$C300&lt;&gt;"",$D300&lt;&gt;""),IF(OR($B300="SER",$B300="PLH",$B300="CSF"),"Control CDI Plate "&amp;(INT(((COUNTIFS($B$2:$B300,"SER")+COUNTIFS($B$2:$B300,"PLH")+COUNTIFS($B$2:$B300,"CSF"))-1)/96)+1)&amp;": "&amp;CHAR(65+INT(MOD((COUNTIFS($B$2:$B300,"SER")+COUNTIFS($B$2:$B300,"PLH")+COUNTIFS($B$2:$B300,"CSF"))-1,96)/12))&amp;(MOD((COUNTIFS($B$2:$B300,"SER")+COUNTIFS($B$2:$B300,"PLH")+COUNTIFS($B$2:$B300,"CSF"))-1,12)+1),"N/A"),"")</f>
        <v/>
      </c>
      <c r="H300" s="6" t="str">
        <f>IF(AND($A300&lt;&gt;"",$B300&lt;&gt;"",$C300&lt;&gt;"",$D300&lt;&gt;""),IF(OR($B300="SER",$B300="PLH",$B300="CSF"),"Control NIH Plate "&amp;(INT(((COUNTIFS($B$2:$B300,"SER")+COUNTIFS($B$2:$B300,"PLH")+COUNTIFS($B$2:$B300,"CSF"))-1)/96)+1)&amp;": "&amp;CHAR(65+INT(MOD((COUNTIFS($B$2:$B300,"SER")+COUNTIFS($B$2:$B300,"PLH")+COUNTIFS($B$2:$B300,"CSF"))-1,96)/12))&amp;(MOD((COUNTIFS($B$2:$B300,"SER")+COUNTIFS($B$2:$B300,"PLH")+COUNTIFS($B$2:$B300,"CSF"))-1,12)+1),"N/A"),"")</f>
        <v/>
      </c>
      <c r="I300" s="6" t="str">
        <f>IF(AND($A300&lt;&gt;"",$B300&lt;&gt;"",$C300&lt;&gt;"",$D300&lt;&gt;""),IF(OR($B300="SER",$B300="PLH"),"Control MAX Planck Plate "&amp;(INT(((COUNTIFS($B$2:$B300,"SER")+COUNTIFS($B$2:$B300,"PLH"))-1)/96)+1)&amp;": "&amp;CHAR(65+INT(MOD((COUNTIFS($B$2:$B300,"SER")+COUNTIFS($B$2:$B300,"PLH"))-1,96)/12))&amp;(MOD((COUNTIFS($B$2:$B300,"SER")+COUNTIFS($B$2:$B300,"PLH"))-1,12)+1),"N/A"),"")</f>
        <v/>
      </c>
      <c r="J300" s="6" t="str">
        <f>IF(AND($A300&lt;&gt;"",$B300&lt;&gt;"",$C300&lt;&gt;"",$D300&lt;&gt;""),IF($B300="WB","Control WB Box "&amp;(INT((COUNTIFS($B$2:$B300,"WB")-1)/81)+1)&amp;": "&amp;CHAR(65+INT(MOD(COUNTIFS($B$2:$B300,"WB")-1,81)/9))&amp;(MOD(COUNTIFS($B$2:$B300,"WB")-1,9)+1),"N/A"),"")</f>
        <v/>
      </c>
      <c r="K300" s="3" t="str">
        <f t="shared" si="73"/>
        <v/>
      </c>
      <c r="L300" s="2"/>
      <c r="M300" s="2"/>
      <c r="N300" s="2"/>
      <c r="O300" s="7" t="str">
        <f t="shared" si="74"/>
        <v/>
      </c>
      <c r="P300" s="7" t="str">
        <f t="shared" si="75"/>
        <v/>
      </c>
      <c r="Q300" s="7" t="str">
        <f t="shared" si="76"/>
        <v/>
      </c>
      <c r="R300" s="7" t="str">
        <f t="shared" si="77"/>
        <v/>
      </c>
      <c r="S300" s="7" t="str">
        <f t="shared" si="78"/>
        <v/>
      </c>
      <c r="T300" s="7" t="str">
        <f t="shared" si="79"/>
        <v/>
      </c>
      <c r="U300" s="7" t="str">
        <f t="shared" si="80"/>
        <v/>
      </c>
      <c r="V300" s="7" t="str">
        <f t="shared" si="81"/>
        <v/>
      </c>
      <c r="W300" s="7" t="str">
        <f t="shared" si="82"/>
        <v/>
      </c>
      <c r="X300" s="7" t="str">
        <f t="shared" si="83"/>
        <v/>
      </c>
      <c r="Y300">
        <f t="shared" si="84"/>
        <v>0</v>
      </c>
      <c r="Z300" t="str">
        <f t="shared" si="85"/>
        <v/>
      </c>
      <c r="AA300" t="str">
        <f t="shared" si="86"/>
        <v/>
      </c>
      <c r="AB300" t="str">
        <f t="shared" si="87"/>
        <v/>
      </c>
      <c r="AC300" t="str">
        <f t="shared" si="88"/>
        <v/>
      </c>
      <c r="AD300">
        <f t="shared" si="89"/>
        <v>0</v>
      </c>
    </row>
    <row r="301" spans="1:30" ht="15" customHeight="1" x14ac:dyDescent="0.35">
      <c r="A301" s="2"/>
      <c r="B301" s="3"/>
      <c r="C301" s="4"/>
      <c r="D301" s="5"/>
      <c r="E301" s="11" t="str">
        <f t="shared" ca="1" si="72"/>
        <v/>
      </c>
      <c r="F301" s="5"/>
      <c r="G301" s="6" t="str">
        <f>IF(AND($A301&lt;&gt;"",$B301&lt;&gt;"",$C301&lt;&gt;"",$D301&lt;&gt;""),IF(OR($B301="SER",$B301="PLH",$B301="CSF"),"Control CDI Plate "&amp;(INT(((COUNTIFS($B$2:$B301,"SER")+COUNTIFS($B$2:$B301,"PLH")+COUNTIFS($B$2:$B301,"CSF"))-1)/96)+1)&amp;": "&amp;CHAR(65+INT(MOD((COUNTIFS($B$2:$B301,"SER")+COUNTIFS($B$2:$B301,"PLH")+COUNTIFS($B$2:$B301,"CSF"))-1,96)/12))&amp;(MOD((COUNTIFS($B$2:$B301,"SER")+COUNTIFS($B$2:$B301,"PLH")+COUNTIFS($B$2:$B301,"CSF"))-1,12)+1),"N/A"),"")</f>
        <v/>
      </c>
      <c r="H301" s="6" t="str">
        <f>IF(AND($A301&lt;&gt;"",$B301&lt;&gt;"",$C301&lt;&gt;"",$D301&lt;&gt;""),IF(OR($B301="SER",$B301="PLH",$B301="CSF"),"Control NIH Plate "&amp;(INT(((COUNTIFS($B$2:$B301,"SER")+COUNTIFS($B$2:$B301,"PLH")+COUNTIFS($B$2:$B301,"CSF"))-1)/96)+1)&amp;": "&amp;CHAR(65+INT(MOD((COUNTIFS($B$2:$B301,"SER")+COUNTIFS($B$2:$B301,"PLH")+COUNTIFS($B$2:$B301,"CSF"))-1,96)/12))&amp;(MOD((COUNTIFS($B$2:$B301,"SER")+COUNTIFS($B$2:$B301,"PLH")+COUNTIFS($B$2:$B301,"CSF"))-1,12)+1),"N/A"),"")</f>
        <v/>
      </c>
      <c r="I301" s="6" t="str">
        <f>IF(AND($A301&lt;&gt;"",$B301&lt;&gt;"",$C301&lt;&gt;"",$D301&lt;&gt;""),IF(OR($B301="SER",$B301="PLH"),"Control MAX Planck Plate "&amp;(INT(((COUNTIFS($B$2:$B301,"SER")+COUNTIFS($B$2:$B301,"PLH"))-1)/96)+1)&amp;": "&amp;CHAR(65+INT(MOD((COUNTIFS($B$2:$B301,"SER")+COUNTIFS($B$2:$B301,"PLH"))-1,96)/12))&amp;(MOD((COUNTIFS($B$2:$B301,"SER")+COUNTIFS($B$2:$B301,"PLH"))-1,12)+1),"N/A"),"")</f>
        <v/>
      </c>
      <c r="J301" s="6" t="str">
        <f>IF(AND($A301&lt;&gt;"",$B301&lt;&gt;"",$C301&lt;&gt;"",$D301&lt;&gt;""),IF($B301="WB","Control WB Box "&amp;(INT((COUNTIFS($B$2:$B301,"WB")-1)/81)+1)&amp;": "&amp;CHAR(65+INT(MOD(COUNTIFS($B$2:$B301,"WB")-1,81)/9))&amp;(MOD(COUNTIFS($B$2:$B301,"WB")-1,9)+1),"N/A"),"")</f>
        <v/>
      </c>
      <c r="K301" s="3" t="str">
        <f t="shared" si="73"/>
        <v/>
      </c>
      <c r="L301" s="2"/>
      <c r="M301" s="2"/>
      <c r="N301" s="2"/>
      <c r="O301" s="7" t="str">
        <f t="shared" si="74"/>
        <v/>
      </c>
      <c r="P301" s="7" t="str">
        <f t="shared" si="75"/>
        <v/>
      </c>
      <c r="Q301" s="7" t="str">
        <f t="shared" si="76"/>
        <v/>
      </c>
      <c r="R301" s="7" t="str">
        <f t="shared" si="77"/>
        <v/>
      </c>
      <c r="S301" s="7" t="str">
        <f t="shared" si="78"/>
        <v/>
      </c>
      <c r="T301" s="7" t="str">
        <f t="shared" si="79"/>
        <v/>
      </c>
      <c r="U301" s="7" t="str">
        <f t="shared" si="80"/>
        <v/>
      </c>
      <c r="V301" s="7" t="str">
        <f t="shared" si="81"/>
        <v/>
      </c>
      <c r="W301" s="7" t="str">
        <f t="shared" si="82"/>
        <v/>
      </c>
      <c r="X301" s="7" t="str">
        <f t="shared" si="83"/>
        <v/>
      </c>
      <c r="Y301">
        <f t="shared" si="84"/>
        <v>0</v>
      </c>
      <c r="Z301" t="str">
        <f t="shared" si="85"/>
        <v/>
      </c>
      <c r="AA301" t="str">
        <f t="shared" si="86"/>
        <v/>
      </c>
      <c r="AB301" t="str">
        <f t="shared" si="87"/>
        <v/>
      </c>
      <c r="AC301" t="str">
        <f t="shared" si="88"/>
        <v/>
      </c>
      <c r="AD301">
        <f t="shared" si="89"/>
        <v>0</v>
      </c>
    </row>
    <row r="302" spans="1:30" ht="15" customHeight="1" x14ac:dyDescent="0.35">
      <c r="A302" s="2"/>
      <c r="B302" s="3"/>
      <c r="C302" s="4"/>
      <c r="D302" s="5"/>
      <c r="E302" s="11" t="str">
        <f t="shared" ca="1" si="72"/>
        <v/>
      </c>
      <c r="F302" s="5"/>
      <c r="G302" s="6" t="str">
        <f>IF(AND($A302&lt;&gt;"",$B302&lt;&gt;"",$C302&lt;&gt;"",$D302&lt;&gt;""),IF(OR($B302="SER",$B302="PLH",$B302="CSF"),"Control CDI Plate "&amp;(INT(((COUNTIFS($B$2:$B302,"SER")+COUNTIFS($B$2:$B302,"PLH")+COUNTIFS($B$2:$B302,"CSF"))-1)/96)+1)&amp;": "&amp;CHAR(65+INT(MOD((COUNTIFS($B$2:$B302,"SER")+COUNTIFS($B$2:$B302,"PLH")+COUNTIFS($B$2:$B302,"CSF"))-1,96)/12))&amp;(MOD((COUNTIFS($B$2:$B302,"SER")+COUNTIFS($B$2:$B302,"PLH")+COUNTIFS($B$2:$B302,"CSF"))-1,12)+1),"N/A"),"")</f>
        <v/>
      </c>
      <c r="H302" s="6" t="str">
        <f>IF(AND($A302&lt;&gt;"",$B302&lt;&gt;"",$C302&lt;&gt;"",$D302&lt;&gt;""),IF(OR($B302="SER",$B302="PLH",$B302="CSF"),"Control NIH Plate "&amp;(INT(((COUNTIFS($B$2:$B302,"SER")+COUNTIFS($B$2:$B302,"PLH")+COUNTIFS($B$2:$B302,"CSF"))-1)/96)+1)&amp;": "&amp;CHAR(65+INT(MOD((COUNTIFS($B$2:$B302,"SER")+COUNTIFS($B$2:$B302,"PLH")+COUNTIFS($B$2:$B302,"CSF"))-1,96)/12))&amp;(MOD((COUNTIFS($B$2:$B302,"SER")+COUNTIFS($B$2:$B302,"PLH")+COUNTIFS($B$2:$B302,"CSF"))-1,12)+1),"N/A"),"")</f>
        <v/>
      </c>
      <c r="I302" s="6" t="str">
        <f>IF(AND($A302&lt;&gt;"",$B302&lt;&gt;"",$C302&lt;&gt;"",$D302&lt;&gt;""),IF(OR($B302="SER",$B302="PLH"),"Control MAX Planck Plate "&amp;(INT(((COUNTIFS($B$2:$B302,"SER")+COUNTIFS($B$2:$B302,"PLH"))-1)/96)+1)&amp;": "&amp;CHAR(65+INT(MOD((COUNTIFS($B$2:$B302,"SER")+COUNTIFS($B$2:$B302,"PLH"))-1,96)/12))&amp;(MOD((COUNTIFS($B$2:$B302,"SER")+COUNTIFS($B$2:$B302,"PLH"))-1,12)+1),"N/A"),"")</f>
        <v/>
      </c>
      <c r="J302" s="6" t="str">
        <f>IF(AND($A302&lt;&gt;"",$B302&lt;&gt;"",$C302&lt;&gt;"",$D302&lt;&gt;""),IF($B302="WB","Control WB Box "&amp;(INT((COUNTIFS($B$2:$B302,"WB")-1)/81)+1)&amp;": "&amp;CHAR(65+INT(MOD(COUNTIFS($B$2:$B302,"WB")-1,81)/9))&amp;(MOD(COUNTIFS($B$2:$B302,"WB")-1,9)+1),"N/A"),"")</f>
        <v/>
      </c>
      <c r="K302" s="3" t="str">
        <f t="shared" si="73"/>
        <v/>
      </c>
      <c r="L302" s="2"/>
      <c r="M302" s="2"/>
      <c r="N302" s="2"/>
      <c r="O302" s="7" t="str">
        <f t="shared" si="74"/>
        <v/>
      </c>
      <c r="P302" s="7" t="str">
        <f t="shared" si="75"/>
        <v/>
      </c>
      <c r="Q302" s="7" t="str">
        <f t="shared" si="76"/>
        <v/>
      </c>
      <c r="R302" s="7" t="str">
        <f t="shared" si="77"/>
        <v/>
      </c>
      <c r="S302" s="7" t="str">
        <f t="shared" si="78"/>
        <v/>
      </c>
      <c r="T302" s="7" t="str">
        <f t="shared" si="79"/>
        <v/>
      </c>
      <c r="U302" s="7" t="str">
        <f t="shared" si="80"/>
        <v/>
      </c>
      <c r="V302" s="7" t="str">
        <f t="shared" si="81"/>
        <v/>
      </c>
      <c r="W302" s="7" t="str">
        <f t="shared" si="82"/>
        <v/>
      </c>
      <c r="X302" s="7" t="str">
        <f t="shared" si="83"/>
        <v/>
      </c>
      <c r="Y302">
        <f t="shared" si="84"/>
        <v>0</v>
      </c>
      <c r="Z302" t="str">
        <f t="shared" si="85"/>
        <v/>
      </c>
      <c r="AA302" t="str">
        <f t="shared" si="86"/>
        <v/>
      </c>
      <c r="AB302" t="str">
        <f t="shared" si="87"/>
        <v/>
      </c>
      <c r="AC302" t="str">
        <f t="shared" si="88"/>
        <v/>
      </c>
      <c r="AD302">
        <f t="shared" si="89"/>
        <v>0</v>
      </c>
    </row>
    <row r="303" spans="1:30" ht="15" customHeight="1" x14ac:dyDescent="0.35">
      <c r="A303" s="2"/>
      <c r="B303" s="3"/>
      <c r="C303" s="4"/>
      <c r="D303" s="5"/>
      <c r="E303" s="11" t="str">
        <f t="shared" ca="1" si="72"/>
        <v/>
      </c>
      <c r="F303" s="5"/>
      <c r="G303" s="6" t="str">
        <f>IF(AND($A303&lt;&gt;"",$B303&lt;&gt;"",$C303&lt;&gt;"",$D303&lt;&gt;""),IF(OR($B303="SER",$B303="PLH",$B303="CSF"),"Control CDI Plate "&amp;(INT(((COUNTIFS($B$2:$B303,"SER")+COUNTIFS($B$2:$B303,"PLH")+COUNTIFS($B$2:$B303,"CSF"))-1)/96)+1)&amp;": "&amp;CHAR(65+INT(MOD((COUNTIFS($B$2:$B303,"SER")+COUNTIFS($B$2:$B303,"PLH")+COUNTIFS($B$2:$B303,"CSF"))-1,96)/12))&amp;(MOD((COUNTIFS($B$2:$B303,"SER")+COUNTIFS($B$2:$B303,"PLH")+COUNTIFS($B$2:$B303,"CSF"))-1,12)+1),"N/A"),"")</f>
        <v/>
      </c>
      <c r="H303" s="6" t="str">
        <f>IF(AND($A303&lt;&gt;"",$B303&lt;&gt;"",$C303&lt;&gt;"",$D303&lt;&gt;""),IF(OR($B303="SER",$B303="PLH",$B303="CSF"),"Control NIH Plate "&amp;(INT(((COUNTIFS($B$2:$B303,"SER")+COUNTIFS($B$2:$B303,"PLH")+COUNTIFS($B$2:$B303,"CSF"))-1)/96)+1)&amp;": "&amp;CHAR(65+INT(MOD((COUNTIFS($B$2:$B303,"SER")+COUNTIFS($B$2:$B303,"PLH")+COUNTIFS($B$2:$B303,"CSF"))-1,96)/12))&amp;(MOD((COUNTIFS($B$2:$B303,"SER")+COUNTIFS($B$2:$B303,"PLH")+COUNTIFS($B$2:$B303,"CSF"))-1,12)+1),"N/A"),"")</f>
        <v/>
      </c>
      <c r="I303" s="6" t="str">
        <f>IF(AND($A303&lt;&gt;"",$B303&lt;&gt;"",$C303&lt;&gt;"",$D303&lt;&gt;""),IF(OR($B303="SER",$B303="PLH"),"Control MAX Planck Plate "&amp;(INT(((COUNTIFS($B$2:$B303,"SER")+COUNTIFS($B$2:$B303,"PLH"))-1)/96)+1)&amp;": "&amp;CHAR(65+INT(MOD((COUNTIFS($B$2:$B303,"SER")+COUNTIFS($B$2:$B303,"PLH"))-1,96)/12))&amp;(MOD((COUNTIFS($B$2:$B303,"SER")+COUNTIFS($B$2:$B303,"PLH"))-1,12)+1),"N/A"),"")</f>
        <v/>
      </c>
      <c r="J303" s="6" t="str">
        <f>IF(AND($A303&lt;&gt;"",$B303&lt;&gt;"",$C303&lt;&gt;"",$D303&lt;&gt;""),IF($B303="WB","Control WB Box "&amp;(INT((COUNTIFS($B$2:$B303,"WB")-1)/81)+1)&amp;": "&amp;CHAR(65+INT(MOD(COUNTIFS($B$2:$B303,"WB")-1,81)/9))&amp;(MOD(COUNTIFS($B$2:$B303,"WB")-1,9)+1),"N/A"),"")</f>
        <v/>
      </c>
      <c r="K303" s="3" t="str">
        <f t="shared" si="73"/>
        <v/>
      </c>
      <c r="L303" s="2"/>
      <c r="M303" s="2"/>
      <c r="N303" s="2"/>
      <c r="O303" s="7" t="str">
        <f t="shared" si="74"/>
        <v/>
      </c>
      <c r="P303" s="7" t="str">
        <f t="shared" si="75"/>
        <v/>
      </c>
      <c r="Q303" s="7" t="str">
        <f t="shared" si="76"/>
        <v/>
      </c>
      <c r="R303" s="7" t="str">
        <f t="shared" si="77"/>
        <v/>
      </c>
      <c r="S303" s="7" t="str">
        <f t="shared" si="78"/>
        <v/>
      </c>
      <c r="T303" s="7" t="str">
        <f t="shared" si="79"/>
        <v/>
      </c>
      <c r="U303" s="7" t="str">
        <f t="shared" si="80"/>
        <v/>
      </c>
      <c r="V303" s="7" t="str">
        <f t="shared" si="81"/>
        <v/>
      </c>
      <c r="W303" s="7" t="str">
        <f t="shared" si="82"/>
        <v/>
      </c>
      <c r="X303" s="7" t="str">
        <f t="shared" si="83"/>
        <v/>
      </c>
      <c r="Y303">
        <f t="shared" si="84"/>
        <v>0</v>
      </c>
      <c r="Z303" t="str">
        <f t="shared" si="85"/>
        <v/>
      </c>
      <c r="AA303" t="str">
        <f t="shared" si="86"/>
        <v/>
      </c>
      <c r="AB303" t="str">
        <f t="shared" si="87"/>
        <v/>
      </c>
      <c r="AC303" t="str">
        <f t="shared" si="88"/>
        <v/>
      </c>
      <c r="AD303">
        <f t="shared" si="89"/>
        <v>0</v>
      </c>
    </row>
    <row r="304" spans="1:30" ht="15" customHeight="1" x14ac:dyDescent="0.35">
      <c r="A304" s="2"/>
      <c r="B304" s="3"/>
      <c r="C304" s="4"/>
      <c r="D304" s="5"/>
      <c r="E304" s="11" t="str">
        <f t="shared" ca="1" si="72"/>
        <v/>
      </c>
      <c r="F304" s="5"/>
      <c r="G304" s="6" t="str">
        <f>IF(AND($A304&lt;&gt;"",$B304&lt;&gt;"",$C304&lt;&gt;"",$D304&lt;&gt;""),IF(OR($B304="SER",$B304="PLH",$B304="CSF"),"Control CDI Plate "&amp;(INT(((COUNTIFS($B$2:$B304,"SER")+COUNTIFS($B$2:$B304,"PLH")+COUNTIFS($B$2:$B304,"CSF"))-1)/96)+1)&amp;": "&amp;CHAR(65+INT(MOD((COUNTIFS($B$2:$B304,"SER")+COUNTIFS($B$2:$B304,"PLH")+COUNTIFS($B$2:$B304,"CSF"))-1,96)/12))&amp;(MOD((COUNTIFS($B$2:$B304,"SER")+COUNTIFS($B$2:$B304,"PLH")+COUNTIFS($B$2:$B304,"CSF"))-1,12)+1),"N/A"),"")</f>
        <v/>
      </c>
      <c r="H304" s="6" t="str">
        <f>IF(AND($A304&lt;&gt;"",$B304&lt;&gt;"",$C304&lt;&gt;"",$D304&lt;&gt;""),IF(OR($B304="SER",$B304="PLH",$B304="CSF"),"Control NIH Plate "&amp;(INT(((COUNTIFS($B$2:$B304,"SER")+COUNTIFS($B$2:$B304,"PLH")+COUNTIFS($B$2:$B304,"CSF"))-1)/96)+1)&amp;": "&amp;CHAR(65+INT(MOD((COUNTIFS($B$2:$B304,"SER")+COUNTIFS($B$2:$B304,"PLH")+COUNTIFS($B$2:$B304,"CSF"))-1,96)/12))&amp;(MOD((COUNTIFS($B$2:$B304,"SER")+COUNTIFS($B$2:$B304,"PLH")+COUNTIFS($B$2:$B304,"CSF"))-1,12)+1),"N/A"),"")</f>
        <v/>
      </c>
      <c r="I304" s="6" t="str">
        <f>IF(AND($A304&lt;&gt;"",$B304&lt;&gt;"",$C304&lt;&gt;"",$D304&lt;&gt;""),IF(OR($B304="SER",$B304="PLH"),"Control MAX Planck Plate "&amp;(INT(((COUNTIFS($B$2:$B304,"SER")+COUNTIFS($B$2:$B304,"PLH"))-1)/96)+1)&amp;": "&amp;CHAR(65+INT(MOD((COUNTIFS($B$2:$B304,"SER")+COUNTIFS($B$2:$B304,"PLH"))-1,96)/12))&amp;(MOD((COUNTIFS($B$2:$B304,"SER")+COUNTIFS($B$2:$B304,"PLH"))-1,12)+1),"N/A"),"")</f>
        <v/>
      </c>
      <c r="J304" s="6" t="str">
        <f>IF(AND($A304&lt;&gt;"",$B304&lt;&gt;"",$C304&lt;&gt;"",$D304&lt;&gt;""),IF($B304="WB","Control WB Box "&amp;(INT((COUNTIFS($B$2:$B304,"WB")-1)/81)+1)&amp;": "&amp;CHAR(65+INT(MOD(COUNTIFS($B$2:$B304,"WB")-1,81)/9))&amp;(MOD(COUNTIFS($B$2:$B304,"WB")-1,9)+1),"N/A"),"")</f>
        <v/>
      </c>
      <c r="K304" s="3" t="str">
        <f t="shared" si="73"/>
        <v/>
      </c>
      <c r="L304" s="2"/>
      <c r="M304" s="2"/>
      <c r="N304" s="2"/>
      <c r="O304" s="7" t="str">
        <f t="shared" si="74"/>
        <v/>
      </c>
      <c r="P304" s="7" t="str">
        <f t="shared" si="75"/>
        <v/>
      </c>
      <c r="Q304" s="7" t="str">
        <f t="shared" si="76"/>
        <v/>
      </c>
      <c r="R304" s="7" t="str">
        <f t="shared" si="77"/>
        <v/>
      </c>
      <c r="S304" s="7" t="str">
        <f t="shared" si="78"/>
        <v/>
      </c>
      <c r="T304" s="7" t="str">
        <f t="shared" si="79"/>
        <v/>
      </c>
      <c r="U304" s="7" t="str">
        <f t="shared" si="80"/>
        <v/>
      </c>
      <c r="V304" s="7" t="str">
        <f t="shared" si="81"/>
        <v/>
      </c>
      <c r="W304" s="7" t="str">
        <f t="shared" si="82"/>
        <v/>
      </c>
      <c r="X304" s="7" t="str">
        <f t="shared" si="83"/>
        <v/>
      </c>
      <c r="Y304">
        <f t="shared" si="84"/>
        <v>0</v>
      </c>
      <c r="Z304" t="str">
        <f t="shared" si="85"/>
        <v/>
      </c>
      <c r="AA304" t="str">
        <f t="shared" si="86"/>
        <v/>
      </c>
      <c r="AB304" t="str">
        <f t="shared" si="87"/>
        <v/>
      </c>
      <c r="AC304" t="str">
        <f t="shared" si="88"/>
        <v/>
      </c>
      <c r="AD304">
        <f t="shared" si="89"/>
        <v>0</v>
      </c>
    </row>
    <row r="305" spans="1:30" ht="15" customHeight="1" x14ac:dyDescent="0.35">
      <c r="A305" s="2"/>
      <c r="B305" s="3"/>
      <c r="C305" s="4"/>
      <c r="D305" s="5"/>
      <c r="E305" s="11" t="str">
        <f t="shared" ca="1" si="72"/>
        <v/>
      </c>
      <c r="F305" s="5"/>
      <c r="G305" s="6" t="str">
        <f>IF(AND($A305&lt;&gt;"",$B305&lt;&gt;"",$C305&lt;&gt;"",$D305&lt;&gt;""),IF(OR($B305="SER",$B305="PLH",$B305="CSF"),"Control CDI Plate "&amp;(INT(((COUNTIFS($B$2:$B305,"SER")+COUNTIFS($B$2:$B305,"PLH")+COUNTIFS($B$2:$B305,"CSF"))-1)/96)+1)&amp;": "&amp;CHAR(65+INT(MOD((COUNTIFS($B$2:$B305,"SER")+COUNTIFS($B$2:$B305,"PLH")+COUNTIFS($B$2:$B305,"CSF"))-1,96)/12))&amp;(MOD((COUNTIFS($B$2:$B305,"SER")+COUNTIFS($B$2:$B305,"PLH")+COUNTIFS($B$2:$B305,"CSF"))-1,12)+1),"N/A"),"")</f>
        <v/>
      </c>
      <c r="H305" s="6" t="str">
        <f>IF(AND($A305&lt;&gt;"",$B305&lt;&gt;"",$C305&lt;&gt;"",$D305&lt;&gt;""),IF(OR($B305="SER",$B305="PLH",$B305="CSF"),"Control NIH Plate "&amp;(INT(((COUNTIFS($B$2:$B305,"SER")+COUNTIFS($B$2:$B305,"PLH")+COUNTIFS($B$2:$B305,"CSF"))-1)/96)+1)&amp;": "&amp;CHAR(65+INT(MOD((COUNTIFS($B$2:$B305,"SER")+COUNTIFS($B$2:$B305,"PLH")+COUNTIFS($B$2:$B305,"CSF"))-1,96)/12))&amp;(MOD((COUNTIFS($B$2:$B305,"SER")+COUNTIFS($B$2:$B305,"PLH")+COUNTIFS($B$2:$B305,"CSF"))-1,12)+1),"N/A"),"")</f>
        <v/>
      </c>
      <c r="I305" s="6" t="str">
        <f>IF(AND($A305&lt;&gt;"",$B305&lt;&gt;"",$C305&lt;&gt;"",$D305&lt;&gt;""),IF(OR($B305="SER",$B305="PLH"),"Control MAX Planck Plate "&amp;(INT(((COUNTIFS($B$2:$B305,"SER")+COUNTIFS($B$2:$B305,"PLH"))-1)/96)+1)&amp;": "&amp;CHAR(65+INT(MOD((COUNTIFS($B$2:$B305,"SER")+COUNTIFS($B$2:$B305,"PLH"))-1,96)/12))&amp;(MOD((COUNTIFS($B$2:$B305,"SER")+COUNTIFS($B$2:$B305,"PLH"))-1,12)+1),"N/A"),"")</f>
        <v/>
      </c>
      <c r="J305" s="6" t="str">
        <f>IF(AND($A305&lt;&gt;"",$B305&lt;&gt;"",$C305&lt;&gt;"",$D305&lt;&gt;""),IF($B305="WB","Control WB Box "&amp;(INT((COUNTIFS($B$2:$B305,"WB")-1)/81)+1)&amp;": "&amp;CHAR(65+INT(MOD(COUNTIFS($B$2:$B305,"WB")-1,81)/9))&amp;(MOD(COUNTIFS($B$2:$B305,"WB")-1,9)+1),"N/A"),"")</f>
        <v/>
      </c>
      <c r="K305" s="3" t="str">
        <f t="shared" si="73"/>
        <v/>
      </c>
      <c r="L305" s="2"/>
      <c r="M305" s="2"/>
      <c r="N305" s="2"/>
      <c r="O305" s="7" t="str">
        <f t="shared" si="74"/>
        <v/>
      </c>
      <c r="P305" s="7" t="str">
        <f t="shared" si="75"/>
        <v/>
      </c>
      <c r="Q305" s="7" t="str">
        <f t="shared" si="76"/>
        <v/>
      </c>
      <c r="R305" s="7" t="str">
        <f t="shared" si="77"/>
        <v/>
      </c>
      <c r="S305" s="7" t="str">
        <f t="shared" si="78"/>
        <v/>
      </c>
      <c r="T305" s="7" t="str">
        <f t="shared" si="79"/>
        <v/>
      </c>
      <c r="U305" s="7" t="str">
        <f t="shared" si="80"/>
        <v/>
      </c>
      <c r="V305" s="7" t="str">
        <f t="shared" si="81"/>
        <v/>
      </c>
      <c r="W305" s="7" t="str">
        <f t="shared" si="82"/>
        <v/>
      </c>
      <c r="X305" s="7" t="str">
        <f t="shared" si="83"/>
        <v/>
      </c>
      <c r="Y305">
        <f t="shared" si="84"/>
        <v>0</v>
      </c>
      <c r="Z305" t="str">
        <f t="shared" si="85"/>
        <v/>
      </c>
      <c r="AA305" t="str">
        <f t="shared" si="86"/>
        <v/>
      </c>
      <c r="AB305" t="str">
        <f t="shared" si="87"/>
        <v/>
      </c>
      <c r="AC305" t="str">
        <f t="shared" si="88"/>
        <v/>
      </c>
      <c r="AD305">
        <f t="shared" si="89"/>
        <v>0</v>
      </c>
    </row>
    <row r="306" spans="1:30" ht="15" customHeight="1" x14ac:dyDescent="0.35">
      <c r="A306" s="2"/>
      <c r="B306" s="3"/>
      <c r="C306" s="4"/>
      <c r="D306" s="5"/>
      <c r="E306" s="11" t="str">
        <f t="shared" ca="1" si="72"/>
        <v/>
      </c>
      <c r="F306" s="5"/>
      <c r="G306" s="6" t="str">
        <f>IF(AND($A306&lt;&gt;"",$B306&lt;&gt;"",$C306&lt;&gt;"",$D306&lt;&gt;""),IF(OR($B306="SER",$B306="PLH",$B306="CSF"),"Control CDI Plate "&amp;(INT(((COUNTIFS($B$2:$B306,"SER")+COUNTIFS($B$2:$B306,"PLH")+COUNTIFS($B$2:$B306,"CSF"))-1)/96)+1)&amp;": "&amp;CHAR(65+INT(MOD((COUNTIFS($B$2:$B306,"SER")+COUNTIFS($B$2:$B306,"PLH")+COUNTIFS($B$2:$B306,"CSF"))-1,96)/12))&amp;(MOD((COUNTIFS($B$2:$B306,"SER")+COUNTIFS($B$2:$B306,"PLH")+COUNTIFS($B$2:$B306,"CSF"))-1,12)+1),"N/A"),"")</f>
        <v/>
      </c>
      <c r="H306" s="6" t="str">
        <f>IF(AND($A306&lt;&gt;"",$B306&lt;&gt;"",$C306&lt;&gt;"",$D306&lt;&gt;""),IF(OR($B306="SER",$B306="PLH",$B306="CSF"),"Control NIH Plate "&amp;(INT(((COUNTIFS($B$2:$B306,"SER")+COUNTIFS($B$2:$B306,"PLH")+COUNTIFS($B$2:$B306,"CSF"))-1)/96)+1)&amp;": "&amp;CHAR(65+INT(MOD((COUNTIFS($B$2:$B306,"SER")+COUNTIFS($B$2:$B306,"PLH")+COUNTIFS($B$2:$B306,"CSF"))-1,96)/12))&amp;(MOD((COUNTIFS($B$2:$B306,"SER")+COUNTIFS($B$2:$B306,"PLH")+COUNTIFS($B$2:$B306,"CSF"))-1,12)+1),"N/A"),"")</f>
        <v/>
      </c>
      <c r="I306" s="6" t="str">
        <f>IF(AND($A306&lt;&gt;"",$B306&lt;&gt;"",$C306&lt;&gt;"",$D306&lt;&gt;""),IF(OR($B306="SER",$B306="PLH"),"Control MAX Planck Plate "&amp;(INT(((COUNTIFS($B$2:$B306,"SER")+COUNTIFS($B$2:$B306,"PLH"))-1)/96)+1)&amp;": "&amp;CHAR(65+INT(MOD((COUNTIFS($B$2:$B306,"SER")+COUNTIFS($B$2:$B306,"PLH"))-1,96)/12))&amp;(MOD((COUNTIFS($B$2:$B306,"SER")+COUNTIFS($B$2:$B306,"PLH"))-1,12)+1),"N/A"),"")</f>
        <v/>
      </c>
      <c r="J306" s="6" t="str">
        <f>IF(AND($A306&lt;&gt;"",$B306&lt;&gt;"",$C306&lt;&gt;"",$D306&lt;&gt;""),IF($B306="WB","Control WB Box "&amp;(INT((COUNTIFS($B$2:$B306,"WB")-1)/81)+1)&amp;": "&amp;CHAR(65+INT(MOD(COUNTIFS($B$2:$B306,"WB")-1,81)/9))&amp;(MOD(COUNTIFS($B$2:$B306,"WB")-1,9)+1),"N/A"),"")</f>
        <v/>
      </c>
      <c r="K306" s="3" t="str">
        <f t="shared" si="73"/>
        <v/>
      </c>
      <c r="L306" s="2"/>
      <c r="M306" s="2"/>
      <c r="N306" s="2"/>
      <c r="O306" s="7" t="str">
        <f t="shared" si="74"/>
        <v/>
      </c>
      <c r="P306" s="7" t="str">
        <f t="shared" si="75"/>
        <v/>
      </c>
      <c r="Q306" s="7" t="str">
        <f t="shared" si="76"/>
        <v/>
      </c>
      <c r="R306" s="7" t="str">
        <f t="shared" si="77"/>
        <v/>
      </c>
      <c r="S306" s="7" t="str">
        <f t="shared" si="78"/>
        <v/>
      </c>
      <c r="T306" s="7" t="str">
        <f t="shared" si="79"/>
        <v/>
      </c>
      <c r="U306" s="7" t="str">
        <f t="shared" si="80"/>
        <v/>
      </c>
      <c r="V306" s="7" t="str">
        <f t="shared" si="81"/>
        <v/>
      </c>
      <c r="W306" s="7" t="str">
        <f t="shared" si="82"/>
        <v/>
      </c>
      <c r="X306" s="7" t="str">
        <f t="shared" si="83"/>
        <v/>
      </c>
      <c r="Y306">
        <f t="shared" si="84"/>
        <v>0</v>
      </c>
      <c r="Z306" t="str">
        <f t="shared" si="85"/>
        <v/>
      </c>
      <c r="AA306" t="str">
        <f t="shared" si="86"/>
        <v/>
      </c>
      <c r="AB306" t="str">
        <f t="shared" si="87"/>
        <v/>
      </c>
      <c r="AC306" t="str">
        <f t="shared" si="88"/>
        <v/>
      </c>
      <c r="AD306">
        <f t="shared" si="89"/>
        <v>0</v>
      </c>
    </row>
    <row r="307" spans="1:30" ht="15" customHeight="1" x14ac:dyDescent="0.35">
      <c r="A307" s="2"/>
      <c r="B307" s="3"/>
      <c r="C307" s="4"/>
      <c r="D307" s="5"/>
      <c r="E307" s="11" t="str">
        <f t="shared" ca="1" si="72"/>
        <v/>
      </c>
      <c r="F307" s="5"/>
      <c r="G307" s="6" t="str">
        <f>IF(AND($A307&lt;&gt;"",$B307&lt;&gt;"",$C307&lt;&gt;"",$D307&lt;&gt;""),IF(OR($B307="SER",$B307="PLH",$B307="CSF"),"Control CDI Plate "&amp;(INT(((COUNTIFS($B$2:$B307,"SER")+COUNTIFS($B$2:$B307,"PLH")+COUNTIFS($B$2:$B307,"CSF"))-1)/96)+1)&amp;": "&amp;CHAR(65+INT(MOD((COUNTIFS($B$2:$B307,"SER")+COUNTIFS($B$2:$B307,"PLH")+COUNTIFS($B$2:$B307,"CSF"))-1,96)/12))&amp;(MOD((COUNTIFS($B$2:$B307,"SER")+COUNTIFS($B$2:$B307,"PLH")+COUNTIFS($B$2:$B307,"CSF"))-1,12)+1),"N/A"),"")</f>
        <v/>
      </c>
      <c r="H307" s="6" t="str">
        <f>IF(AND($A307&lt;&gt;"",$B307&lt;&gt;"",$C307&lt;&gt;"",$D307&lt;&gt;""),IF(OR($B307="SER",$B307="PLH",$B307="CSF"),"Control NIH Plate "&amp;(INT(((COUNTIFS($B$2:$B307,"SER")+COUNTIFS($B$2:$B307,"PLH")+COUNTIFS($B$2:$B307,"CSF"))-1)/96)+1)&amp;": "&amp;CHAR(65+INT(MOD((COUNTIFS($B$2:$B307,"SER")+COUNTIFS($B$2:$B307,"PLH")+COUNTIFS($B$2:$B307,"CSF"))-1,96)/12))&amp;(MOD((COUNTIFS($B$2:$B307,"SER")+COUNTIFS($B$2:$B307,"PLH")+COUNTIFS($B$2:$B307,"CSF"))-1,12)+1),"N/A"),"")</f>
        <v/>
      </c>
      <c r="I307" s="6" t="str">
        <f>IF(AND($A307&lt;&gt;"",$B307&lt;&gt;"",$C307&lt;&gt;"",$D307&lt;&gt;""),IF(OR($B307="SER",$B307="PLH"),"Control MAX Planck Plate "&amp;(INT(((COUNTIFS($B$2:$B307,"SER")+COUNTIFS($B$2:$B307,"PLH"))-1)/96)+1)&amp;": "&amp;CHAR(65+INT(MOD((COUNTIFS($B$2:$B307,"SER")+COUNTIFS($B$2:$B307,"PLH"))-1,96)/12))&amp;(MOD((COUNTIFS($B$2:$B307,"SER")+COUNTIFS($B$2:$B307,"PLH"))-1,12)+1),"N/A"),"")</f>
        <v/>
      </c>
      <c r="J307" s="6" t="str">
        <f>IF(AND($A307&lt;&gt;"",$B307&lt;&gt;"",$C307&lt;&gt;"",$D307&lt;&gt;""),IF($B307="WB","Control WB Box "&amp;(INT((COUNTIFS($B$2:$B307,"WB")-1)/81)+1)&amp;": "&amp;CHAR(65+INT(MOD(COUNTIFS($B$2:$B307,"WB")-1,81)/9))&amp;(MOD(COUNTIFS($B$2:$B307,"WB")-1,9)+1),"N/A"),"")</f>
        <v/>
      </c>
      <c r="K307" s="3" t="str">
        <f t="shared" si="73"/>
        <v/>
      </c>
      <c r="L307" s="2"/>
      <c r="M307" s="2"/>
      <c r="N307" s="2"/>
      <c r="O307" s="7" t="str">
        <f t="shared" si="74"/>
        <v/>
      </c>
      <c r="P307" s="7" t="str">
        <f t="shared" si="75"/>
        <v/>
      </c>
      <c r="Q307" s="7" t="str">
        <f t="shared" si="76"/>
        <v/>
      </c>
      <c r="R307" s="7" t="str">
        <f t="shared" si="77"/>
        <v/>
      </c>
      <c r="S307" s="7" t="str">
        <f t="shared" si="78"/>
        <v/>
      </c>
      <c r="T307" s="7" t="str">
        <f t="shared" si="79"/>
        <v/>
      </c>
      <c r="U307" s="7" t="str">
        <f t="shared" si="80"/>
        <v/>
      </c>
      <c r="V307" s="7" t="str">
        <f t="shared" si="81"/>
        <v/>
      </c>
      <c r="W307" s="7" t="str">
        <f t="shared" si="82"/>
        <v/>
      </c>
      <c r="X307" s="7" t="str">
        <f t="shared" si="83"/>
        <v/>
      </c>
      <c r="Y307">
        <f t="shared" si="84"/>
        <v>0</v>
      </c>
      <c r="Z307" t="str">
        <f t="shared" si="85"/>
        <v/>
      </c>
      <c r="AA307" t="str">
        <f t="shared" si="86"/>
        <v/>
      </c>
      <c r="AB307" t="str">
        <f t="shared" si="87"/>
        <v/>
      </c>
      <c r="AC307" t="str">
        <f t="shared" si="88"/>
        <v/>
      </c>
      <c r="AD307">
        <f t="shared" si="89"/>
        <v>0</v>
      </c>
    </row>
    <row r="308" spans="1:30" ht="15" customHeight="1" x14ac:dyDescent="0.35">
      <c r="A308" s="2"/>
      <c r="B308" s="3"/>
      <c r="C308" s="4"/>
      <c r="D308" s="5"/>
      <c r="E308" s="11" t="str">
        <f t="shared" ca="1" si="72"/>
        <v/>
      </c>
      <c r="F308" s="5"/>
      <c r="G308" s="6" t="str">
        <f>IF(AND($A308&lt;&gt;"",$B308&lt;&gt;"",$C308&lt;&gt;"",$D308&lt;&gt;""),IF(OR($B308="SER",$B308="PLH",$B308="CSF"),"Control CDI Plate "&amp;(INT(((COUNTIFS($B$2:$B308,"SER")+COUNTIFS($B$2:$B308,"PLH")+COUNTIFS($B$2:$B308,"CSF"))-1)/96)+1)&amp;": "&amp;CHAR(65+INT(MOD((COUNTIFS($B$2:$B308,"SER")+COUNTIFS($B$2:$B308,"PLH")+COUNTIFS($B$2:$B308,"CSF"))-1,96)/12))&amp;(MOD((COUNTIFS($B$2:$B308,"SER")+COUNTIFS($B$2:$B308,"PLH")+COUNTIFS($B$2:$B308,"CSF"))-1,12)+1),"N/A"),"")</f>
        <v/>
      </c>
      <c r="H308" s="6" t="str">
        <f>IF(AND($A308&lt;&gt;"",$B308&lt;&gt;"",$C308&lt;&gt;"",$D308&lt;&gt;""),IF(OR($B308="SER",$B308="PLH",$B308="CSF"),"Control NIH Plate "&amp;(INT(((COUNTIFS($B$2:$B308,"SER")+COUNTIFS($B$2:$B308,"PLH")+COUNTIFS($B$2:$B308,"CSF"))-1)/96)+1)&amp;": "&amp;CHAR(65+INT(MOD((COUNTIFS($B$2:$B308,"SER")+COUNTIFS($B$2:$B308,"PLH")+COUNTIFS($B$2:$B308,"CSF"))-1,96)/12))&amp;(MOD((COUNTIFS($B$2:$B308,"SER")+COUNTIFS($B$2:$B308,"PLH")+COUNTIFS($B$2:$B308,"CSF"))-1,12)+1),"N/A"),"")</f>
        <v/>
      </c>
      <c r="I308" s="6" t="str">
        <f>IF(AND($A308&lt;&gt;"",$B308&lt;&gt;"",$C308&lt;&gt;"",$D308&lt;&gt;""),IF(OR($B308="SER",$B308="PLH"),"Control MAX Planck Plate "&amp;(INT(((COUNTIFS($B$2:$B308,"SER")+COUNTIFS($B$2:$B308,"PLH"))-1)/96)+1)&amp;": "&amp;CHAR(65+INT(MOD((COUNTIFS($B$2:$B308,"SER")+COUNTIFS($B$2:$B308,"PLH"))-1,96)/12))&amp;(MOD((COUNTIFS($B$2:$B308,"SER")+COUNTIFS($B$2:$B308,"PLH"))-1,12)+1),"N/A"),"")</f>
        <v/>
      </c>
      <c r="J308" s="6" t="str">
        <f>IF(AND($A308&lt;&gt;"",$B308&lt;&gt;"",$C308&lt;&gt;"",$D308&lt;&gt;""),IF($B308="WB","Control WB Box "&amp;(INT((COUNTIFS($B$2:$B308,"WB")-1)/81)+1)&amp;": "&amp;CHAR(65+INT(MOD(COUNTIFS($B$2:$B308,"WB")-1,81)/9))&amp;(MOD(COUNTIFS($B$2:$B308,"WB")-1,9)+1),"N/A"),"")</f>
        <v/>
      </c>
      <c r="K308" s="3" t="str">
        <f t="shared" si="73"/>
        <v/>
      </c>
      <c r="L308" s="2"/>
      <c r="M308" s="2"/>
      <c r="N308" s="2"/>
      <c r="O308" s="7" t="str">
        <f t="shared" si="74"/>
        <v/>
      </c>
      <c r="P308" s="7" t="str">
        <f t="shared" si="75"/>
        <v/>
      </c>
      <c r="Q308" s="7" t="str">
        <f t="shared" si="76"/>
        <v/>
      </c>
      <c r="R308" s="7" t="str">
        <f t="shared" si="77"/>
        <v/>
      </c>
      <c r="S308" s="7" t="str">
        <f t="shared" si="78"/>
        <v/>
      </c>
      <c r="T308" s="7" t="str">
        <f t="shared" si="79"/>
        <v/>
      </c>
      <c r="U308" s="7" t="str">
        <f t="shared" si="80"/>
        <v/>
      </c>
      <c r="V308" s="7" t="str">
        <f t="shared" si="81"/>
        <v/>
      </c>
      <c r="W308" s="7" t="str">
        <f t="shared" si="82"/>
        <v/>
      </c>
      <c r="X308" s="7" t="str">
        <f t="shared" si="83"/>
        <v/>
      </c>
      <c r="Y308">
        <f t="shared" si="84"/>
        <v>0</v>
      </c>
      <c r="Z308" t="str">
        <f t="shared" si="85"/>
        <v/>
      </c>
      <c r="AA308" t="str">
        <f t="shared" si="86"/>
        <v/>
      </c>
      <c r="AB308" t="str">
        <f t="shared" si="87"/>
        <v/>
      </c>
      <c r="AC308" t="str">
        <f t="shared" si="88"/>
        <v/>
      </c>
      <c r="AD308">
        <f t="shared" si="89"/>
        <v>0</v>
      </c>
    </row>
    <row r="309" spans="1:30" ht="15" customHeight="1" x14ac:dyDescent="0.35">
      <c r="A309" s="2"/>
      <c r="B309" s="3"/>
      <c r="C309" s="4"/>
      <c r="D309" s="5"/>
      <c r="E309" s="11" t="str">
        <f t="shared" ca="1" si="72"/>
        <v/>
      </c>
      <c r="F309" s="5"/>
      <c r="G309" s="6" t="str">
        <f>IF(AND($A309&lt;&gt;"",$B309&lt;&gt;"",$C309&lt;&gt;"",$D309&lt;&gt;""),IF(OR($B309="SER",$B309="PLH",$B309="CSF"),"Control CDI Plate "&amp;(INT(((COUNTIFS($B$2:$B309,"SER")+COUNTIFS($B$2:$B309,"PLH")+COUNTIFS($B$2:$B309,"CSF"))-1)/96)+1)&amp;": "&amp;CHAR(65+INT(MOD((COUNTIFS($B$2:$B309,"SER")+COUNTIFS($B$2:$B309,"PLH")+COUNTIFS($B$2:$B309,"CSF"))-1,96)/12))&amp;(MOD((COUNTIFS($B$2:$B309,"SER")+COUNTIFS($B$2:$B309,"PLH")+COUNTIFS($B$2:$B309,"CSF"))-1,12)+1),"N/A"),"")</f>
        <v/>
      </c>
      <c r="H309" s="6" t="str">
        <f>IF(AND($A309&lt;&gt;"",$B309&lt;&gt;"",$C309&lt;&gt;"",$D309&lt;&gt;""),IF(OR($B309="SER",$B309="PLH",$B309="CSF"),"Control NIH Plate "&amp;(INT(((COUNTIFS($B$2:$B309,"SER")+COUNTIFS($B$2:$B309,"PLH")+COUNTIFS($B$2:$B309,"CSF"))-1)/96)+1)&amp;": "&amp;CHAR(65+INT(MOD((COUNTIFS($B$2:$B309,"SER")+COUNTIFS($B$2:$B309,"PLH")+COUNTIFS($B$2:$B309,"CSF"))-1,96)/12))&amp;(MOD((COUNTIFS($B$2:$B309,"SER")+COUNTIFS($B$2:$B309,"PLH")+COUNTIFS($B$2:$B309,"CSF"))-1,12)+1),"N/A"),"")</f>
        <v/>
      </c>
      <c r="I309" s="6" t="str">
        <f>IF(AND($A309&lt;&gt;"",$B309&lt;&gt;"",$C309&lt;&gt;"",$D309&lt;&gt;""),IF(OR($B309="SER",$B309="PLH"),"Control MAX Planck Plate "&amp;(INT(((COUNTIFS($B$2:$B309,"SER")+COUNTIFS($B$2:$B309,"PLH"))-1)/96)+1)&amp;": "&amp;CHAR(65+INT(MOD((COUNTIFS($B$2:$B309,"SER")+COUNTIFS($B$2:$B309,"PLH"))-1,96)/12))&amp;(MOD((COUNTIFS($B$2:$B309,"SER")+COUNTIFS($B$2:$B309,"PLH"))-1,12)+1),"N/A"),"")</f>
        <v/>
      </c>
      <c r="J309" s="6" t="str">
        <f>IF(AND($A309&lt;&gt;"",$B309&lt;&gt;"",$C309&lt;&gt;"",$D309&lt;&gt;""),IF($B309="WB","Control WB Box "&amp;(INT((COUNTIFS($B$2:$B309,"WB")-1)/81)+1)&amp;": "&amp;CHAR(65+INT(MOD(COUNTIFS($B$2:$B309,"WB")-1,81)/9))&amp;(MOD(COUNTIFS($B$2:$B309,"WB")-1,9)+1),"N/A"),"")</f>
        <v/>
      </c>
      <c r="K309" s="3" t="str">
        <f t="shared" si="73"/>
        <v/>
      </c>
      <c r="L309" s="2"/>
      <c r="M309" s="2"/>
      <c r="N309" s="2"/>
      <c r="O309" s="7" t="str">
        <f t="shared" si="74"/>
        <v/>
      </c>
      <c r="P309" s="7" t="str">
        <f t="shared" si="75"/>
        <v/>
      </c>
      <c r="Q309" s="7" t="str">
        <f t="shared" si="76"/>
        <v/>
      </c>
      <c r="R309" s="7" t="str">
        <f t="shared" si="77"/>
        <v/>
      </c>
      <c r="S309" s="7" t="str">
        <f t="shared" si="78"/>
        <v/>
      </c>
      <c r="T309" s="7" t="str">
        <f t="shared" si="79"/>
        <v/>
      </c>
      <c r="U309" s="7" t="str">
        <f t="shared" si="80"/>
        <v/>
      </c>
      <c r="V309" s="7" t="str">
        <f t="shared" si="81"/>
        <v/>
      </c>
      <c r="W309" s="7" t="str">
        <f t="shared" si="82"/>
        <v/>
      </c>
      <c r="X309" s="7" t="str">
        <f t="shared" si="83"/>
        <v/>
      </c>
      <c r="Y309">
        <f t="shared" si="84"/>
        <v>0</v>
      </c>
      <c r="Z309" t="str">
        <f t="shared" si="85"/>
        <v/>
      </c>
      <c r="AA309" t="str">
        <f t="shared" si="86"/>
        <v/>
      </c>
      <c r="AB309" t="str">
        <f t="shared" si="87"/>
        <v/>
      </c>
      <c r="AC309" t="str">
        <f t="shared" si="88"/>
        <v/>
      </c>
      <c r="AD309">
        <f t="shared" si="89"/>
        <v>0</v>
      </c>
    </row>
    <row r="310" spans="1:30" ht="15" customHeight="1" x14ac:dyDescent="0.35">
      <c r="A310" s="2"/>
      <c r="B310" s="3"/>
      <c r="C310" s="4"/>
      <c r="D310" s="5"/>
      <c r="E310" s="11" t="str">
        <f t="shared" ca="1" si="72"/>
        <v/>
      </c>
      <c r="F310" s="5"/>
      <c r="G310" s="6" t="str">
        <f>IF(AND($A310&lt;&gt;"",$B310&lt;&gt;"",$C310&lt;&gt;"",$D310&lt;&gt;""),IF(OR($B310="SER",$B310="PLH",$B310="CSF"),"Control CDI Plate "&amp;(INT(((COUNTIFS($B$2:$B310,"SER")+COUNTIFS($B$2:$B310,"PLH")+COUNTIFS($B$2:$B310,"CSF"))-1)/96)+1)&amp;": "&amp;CHAR(65+INT(MOD((COUNTIFS($B$2:$B310,"SER")+COUNTIFS($B$2:$B310,"PLH")+COUNTIFS($B$2:$B310,"CSF"))-1,96)/12))&amp;(MOD((COUNTIFS($B$2:$B310,"SER")+COUNTIFS($B$2:$B310,"PLH")+COUNTIFS($B$2:$B310,"CSF"))-1,12)+1),"N/A"),"")</f>
        <v/>
      </c>
      <c r="H310" s="6" t="str">
        <f>IF(AND($A310&lt;&gt;"",$B310&lt;&gt;"",$C310&lt;&gt;"",$D310&lt;&gt;""),IF(OR($B310="SER",$B310="PLH",$B310="CSF"),"Control NIH Plate "&amp;(INT(((COUNTIFS($B$2:$B310,"SER")+COUNTIFS($B$2:$B310,"PLH")+COUNTIFS($B$2:$B310,"CSF"))-1)/96)+1)&amp;": "&amp;CHAR(65+INT(MOD((COUNTIFS($B$2:$B310,"SER")+COUNTIFS($B$2:$B310,"PLH")+COUNTIFS($B$2:$B310,"CSF"))-1,96)/12))&amp;(MOD((COUNTIFS($B$2:$B310,"SER")+COUNTIFS($B$2:$B310,"PLH")+COUNTIFS($B$2:$B310,"CSF"))-1,12)+1),"N/A"),"")</f>
        <v/>
      </c>
      <c r="I310" s="6" t="str">
        <f>IF(AND($A310&lt;&gt;"",$B310&lt;&gt;"",$C310&lt;&gt;"",$D310&lt;&gt;""),IF(OR($B310="SER",$B310="PLH"),"Control MAX Planck Plate "&amp;(INT(((COUNTIFS($B$2:$B310,"SER")+COUNTIFS($B$2:$B310,"PLH"))-1)/96)+1)&amp;": "&amp;CHAR(65+INT(MOD((COUNTIFS($B$2:$B310,"SER")+COUNTIFS($B$2:$B310,"PLH"))-1,96)/12))&amp;(MOD((COUNTIFS($B$2:$B310,"SER")+COUNTIFS($B$2:$B310,"PLH"))-1,12)+1),"N/A"),"")</f>
        <v/>
      </c>
      <c r="J310" s="6" t="str">
        <f>IF(AND($A310&lt;&gt;"",$B310&lt;&gt;"",$C310&lt;&gt;"",$D310&lt;&gt;""),IF($B310="WB","Control WB Box "&amp;(INT((COUNTIFS($B$2:$B310,"WB")-1)/81)+1)&amp;": "&amp;CHAR(65+INT(MOD(COUNTIFS($B$2:$B310,"WB")-1,81)/9))&amp;(MOD(COUNTIFS($B$2:$B310,"WB")-1,9)+1),"N/A"),"")</f>
        <v/>
      </c>
      <c r="K310" s="3" t="str">
        <f t="shared" si="73"/>
        <v/>
      </c>
      <c r="L310" s="2"/>
      <c r="M310" s="2"/>
      <c r="N310" s="2"/>
      <c r="O310" s="7" t="str">
        <f t="shared" si="74"/>
        <v/>
      </c>
      <c r="P310" s="7" t="str">
        <f t="shared" si="75"/>
        <v/>
      </c>
      <c r="Q310" s="7" t="str">
        <f t="shared" si="76"/>
        <v/>
      </c>
      <c r="R310" s="7" t="str">
        <f t="shared" si="77"/>
        <v/>
      </c>
      <c r="S310" s="7" t="str">
        <f t="shared" si="78"/>
        <v/>
      </c>
      <c r="T310" s="7" t="str">
        <f t="shared" si="79"/>
        <v/>
      </c>
      <c r="U310" s="7" t="str">
        <f t="shared" si="80"/>
        <v/>
      </c>
      <c r="V310" s="7" t="str">
        <f t="shared" si="81"/>
        <v/>
      </c>
      <c r="W310" s="7" t="str">
        <f t="shared" si="82"/>
        <v/>
      </c>
      <c r="X310" s="7" t="str">
        <f t="shared" si="83"/>
        <v/>
      </c>
      <c r="Y310">
        <f t="shared" si="84"/>
        <v>0</v>
      </c>
      <c r="Z310" t="str">
        <f t="shared" si="85"/>
        <v/>
      </c>
      <c r="AA310" t="str">
        <f t="shared" si="86"/>
        <v/>
      </c>
      <c r="AB310" t="str">
        <f t="shared" si="87"/>
        <v/>
      </c>
      <c r="AC310" t="str">
        <f t="shared" si="88"/>
        <v/>
      </c>
      <c r="AD310">
        <f t="shared" si="89"/>
        <v>0</v>
      </c>
    </row>
    <row r="311" spans="1:30" ht="15" customHeight="1" x14ac:dyDescent="0.35">
      <c r="A311" s="2"/>
      <c r="B311" s="3"/>
      <c r="C311" s="4"/>
      <c r="D311" s="5"/>
      <c r="E311" s="11" t="str">
        <f t="shared" ca="1" si="72"/>
        <v/>
      </c>
      <c r="F311" s="5"/>
      <c r="G311" s="6" t="str">
        <f>IF(AND($A311&lt;&gt;"",$B311&lt;&gt;"",$C311&lt;&gt;"",$D311&lt;&gt;""),IF(OR($B311="SER",$B311="PLH",$B311="CSF"),"Control CDI Plate "&amp;(INT(((COUNTIFS($B$2:$B311,"SER")+COUNTIFS($B$2:$B311,"PLH")+COUNTIFS($B$2:$B311,"CSF"))-1)/96)+1)&amp;": "&amp;CHAR(65+INT(MOD((COUNTIFS($B$2:$B311,"SER")+COUNTIFS($B$2:$B311,"PLH")+COUNTIFS($B$2:$B311,"CSF"))-1,96)/12))&amp;(MOD((COUNTIFS($B$2:$B311,"SER")+COUNTIFS($B$2:$B311,"PLH")+COUNTIFS($B$2:$B311,"CSF"))-1,12)+1),"N/A"),"")</f>
        <v/>
      </c>
      <c r="H311" s="6" t="str">
        <f>IF(AND($A311&lt;&gt;"",$B311&lt;&gt;"",$C311&lt;&gt;"",$D311&lt;&gt;""),IF(OR($B311="SER",$B311="PLH",$B311="CSF"),"Control NIH Plate "&amp;(INT(((COUNTIFS($B$2:$B311,"SER")+COUNTIFS($B$2:$B311,"PLH")+COUNTIFS($B$2:$B311,"CSF"))-1)/96)+1)&amp;": "&amp;CHAR(65+INT(MOD((COUNTIFS($B$2:$B311,"SER")+COUNTIFS($B$2:$B311,"PLH")+COUNTIFS($B$2:$B311,"CSF"))-1,96)/12))&amp;(MOD((COUNTIFS($B$2:$B311,"SER")+COUNTIFS($B$2:$B311,"PLH")+COUNTIFS($B$2:$B311,"CSF"))-1,12)+1),"N/A"),"")</f>
        <v/>
      </c>
      <c r="I311" s="6" t="str">
        <f>IF(AND($A311&lt;&gt;"",$B311&lt;&gt;"",$C311&lt;&gt;"",$D311&lt;&gt;""),IF(OR($B311="SER",$B311="PLH"),"Control MAX Planck Plate "&amp;(INT(((COUNTIFS($B$2:$B311,"SER")+COUNTIFS($B$2:$B311,"PLH"))-1)/96)+1)&amp;": "&amp;CHAR(65+INT(MOD((COUNTIFS($B$2:$B311,"SER")+COUNTIFS($B$2:$B311,"PLH"))-1,96)/12))&amp;(MOD((COUNTIFS($B$2:$B311,"SER")+COUNTIFS($B$2:$B311,"PLH"))-1,12)+1),"N/A"),"")</f>
        <v/>
      </c>
      <c r="J311" s="6" t="str">
        <f>IF(AND($A311&lt;&gt;"",$B311&lt;&gt;"",$C311&lt;&gt;"",$D311&lt;&gt;""),IF($B311="WB","Control WB Box "&amp;(INT((COUNTIFS($B$2:$B311,"WB")-1)/81)+1)&amp;": "&amp;CHAR(65+INT(MOD(COUNTIFS($B$2:$B311,"WB")-1,81)/9))&amp;(MOD(COUNTIFS($B$2:$B311,"WB")-1,9)+1),"N/A"),"")</f>
        <v/>
      </c>
      <c r="K311" s="3" t="str">
        <f t="shared" si="73"/>
        <v/>
      </c>
      <c r="L311" s="2"/>
      <c r="M311" s="2"/>
      <c r="N311" s="2"/>
      <c r="O311" s="7" t="str">
        <f t="shared" si="74"/>
        <v/>
      </c>
      <c r="P311" s="7" t="str">
        <f t="shared" si="75"/>
        <v/>
      </c>
      <c r="Q311" s="7" t="str">
        <f t="shared" si="76"/>
        <v/>
      </c>
      <c r="R311" s="7" t="str">
        <f t="shared" si="77"/>
        <v/>
      </c>
      <c r="S311" s="7" t="str">
        <f t="shared" si="78"/>
        <v/>
      </c>
      <c r="T311" s="7" t="str">
        <f t="shared" si="79"/>
        <v/>
      </c>
      <c r="U311" s="7" t="str">
        <f t="shared" si="80"/>
        <v/>
      </c>
      <c r="V311" s="7" t="str">
        <f t="shared" si="81"/>
        <v/>
      </c>
      <c r="W311" s="7" t="str">
        <f t="shared" si="82"/>
        <v/>
      </c>
      <c r="X311" s="7" t="str">
        <f t="shared" si="83"/>
        <v/>
      </c>
      <c r="Y311">
        <f t="shared" si="84"/>
        <v>0</v>
      </c>
      <c r="Z311" t="str">
        <f t="shared" si="85"/>
        <v/>
      </c>
      <c r="AA311" t="str">
        <f t="shared" si="86"/>
        <v/>
      </c>
      <c r="AB311" t="str">
        <f t="shared" si="87"/>
        <v/>
      </c>
      <c r="AC311" t="str">
        <f t="shared" si="88"/>
        <v/>
      </c>
      <c r="AD311">
        <f t="shared" si="89"/>
        <v>0</v>
      </c>
    </row>
    <row r="312" spans="1:30" ht="15" customHeight="1" x14ac:dyDescent="0.35">
      <c r="A312" s="2"/>
      <c r="B312" s="3"/>
      <c r="C312" s="4"/>
      <c r="D312" s="5"/>
      <c r="E312" s="11" t="str">
        <f t="shared" ca="1" si="72"/>
        <v/>
      </c>
      <c r="F312" s="5"/>
      <c r="G312" s="6" t="str">
        <f>IF(AND($A312&lt;&gt;"",$B312&lt;&gt;"",$C312&lt;&gt;"",$D312&lt;&gt;""),IF(OR($B312="SER",$B312="PLH",$B312="CSF"),"Control CDI Plate "&amp;(INT(((COUNTIFS($B$2:$B312,"SER")+COUNTIFS($B$2:$B312,"PLH")+COUNTIFS($B$2:$B312,"CSF"))-1)/96)+1)&amp;": "&amp;CHAR(65+INT(MOD((COUNTIFS($B$2:$B312,"SER")+COUNTIFS($B$2:$B312,"PLH")+COUNTIFS($B$2:$B312,"CSF"))-1,96)/12))&amp;(MOD((COUNTIFS($B$2:$B312,"SER")+COUNTIFS($B$2:$B312,"PLH")+COUNTIFS($B$2:$B312,"CSF"))-1,12)+1),"N/A"),"")</f>
        <v/>
      </c>
      <c r="H312" s="6" t="str">
        <f>IF(AND($A312&lt;&gt;"",$B312&lt;&gt;"",$C312&lt;&gt;"",$D312&lt;&gt;""),IF(OR($B312="SER",$B312="PLH",$B312="CSF"),"Control NIH Plate "&amp;(INT(((COUNTIFS($B$2:$B312,"SER")+COUNTIFS($B$2:$B312,"PLH")+COUNTIFS($B$2:$B312,"CSF"))-1)/96)+1)&amp;": "&amp;CHAR(65+INT(MOD((COUNTIFS($B$2:$B312,"SER")+COUNTIFS($B$2:$B312,"PLH")+COUNTIFS($B$2:$B312,"CSF"))-1,96)/12))&amp;(MOD((COUNTIFS($B$2:$B312,"SER")+COUNTIFS($B$2:$B312,"PLH")+COUNTIFS($B$2:$B312,"CSF"))-1,12)+1),"N/A"),"")</f>
        <v/>
      </c>
      <c r="I312" s="6" t="str">
        <f>IF(AND($A312&lt;&gt;"",$B312&lt;&gt;"",$C312&lt;&gt;"",$D312&lt;&gt;""),IF(OR($B312="SER",$B312="PLH"),"Control MAX Planck Plate "&amp;(INT(((COUNTIFS($B$2:$B312,"SER")+COUNTIFS($B$2:$B312,"PLH"))-1)/96)+1)&amp;": "&amp;CHAR(65+INT(MOD((COUNTIFS($B$2:$B312,"SER")+COUNTIFS($B$2:$B312,"PLH"))-1,96)/12))&amp;(MOD((COUNTIFS($B$2:$B312,"SER")+COUNTIFS($B$2:$B312,"PLH"))-1,12)+1),"N/A"),"")</f>
        <v/>
      </c>
      <c r="J312" s="6" t="str">
        <f>IF(AND($A312&lt;&gt;"",$B312&lt;&gt;"",$C312&lt;&gt;"",$D312&lt;&gt;""),IF($B312="WB","Control WB Box "&amp;(INT((COUNTIFS($B$2:$B312,"WB")-1)/81)+1)&amp;": "&amp;CHAR(65+INT(MOD(COUNTIFS($B$2:$B312,"WB")-1,81)/9))&amp;(MOD(COUNTIFS($B$2:$B312,"WB")-1,9)+1),"N/A"),"")</f>
        <v/>
      </c>
      <c r="K312" s="3" t="str">
        <f t="shared" si="73"/>
        <v/>
      </c>
      <c r="L312" s="2"/>
      <c r="M312" s="2"/>
      <c r="N312" s="2"/>
      <c r="O312" s="7" t="str">
        <f t="shared" si="74"/>
        <v/>
      </c>
      <c r="P312" s="7" t="str">
        <f t="shared" si="75"/>
        <v/>
      </c>
      <c r="Q312" s="7" t="str">
        <f t="shared" si="76"/>
        <v/>
      </c>
      <c r="R312" s="7" t="str">
        <f t="shared" si="77"/>
        <v/>
      </c>
      <c r="S312" s="7" t="str">
        <f t="shared" si="78"/>
        <v/>
      </c>
      <c r="T312" s="7" t="str">
        <f t="shared" si="79"/>
        <v/>
      </c>
      <c r="U312" s="7" t="str">
        <f t="shared" si="80"/>
        <v/>
      </c>
      <c r="V312" s="7" t="str">
        <f t="shared" si="81"/>
        <v/>
      </c>
      <c r="W312" s="7" t="str">
        <f t="shared" si="82"/>
        <v/>
      </c>
      <c r="X312" s="7" t="str">
        <f t="shared" si="83"/>
        <v/>
      </c>
      <c r="Y312">
        <f t="shared" si="84"/>
        <v>0</v>
      </c>
      <c r="Z312" t="str">
        <f t="shared" si="85"/>
        <v/>
      </c>
      <c r="AA312" t="str">
        <f t="shared" si="86"/>
        <v/>
      </c>
      <c r="AB312" t="str">
        <f t="shared" si="87"/>
        <v/>
      </c>
      <c r="AC312" t="str">
        <f t="shared" si="88"/>
        <v/>
      </c>
      <c r="AD312">
        <f t="shared" si="89"/>
        <v>0</v>
      </c>
    </row>
    <row r="313" spans="1:30" ht="15" customHeight="1" x14ac:dyDescent="0.35">
      <c r="A313" s="2"/>
      <c r="B313" s="3"/>
      <c r="C313" s="4"/>
      <c r="D313" s="5"/>
      <c r="E313" s="11" t="str">
        <f t="shared" ca="1" si="72"/>
        <v/>
      </c>
      <c r="F313" s="5"/>
      <c r="G313" s="6" t="str">
        <f>IF(AND($A313&lt;&gt;"",$B313&lt;&gt;"",$C313&lt;&gt;"",$D313&lt;&gt;""),IF(OR($B313="SER",$B313="PLH",$B313="CSF"),"Control CDI Plate "&amp;(INT(((COUNTIFS($B$2:$B313,"SER")+COUNTIFS($B$2:$B313,"PLH")+COUNTIFS($B$2:$B313,"CSF"))-1)/96)+1)&amp;": "&amp;CHAR(65+INT(MOD((COUNTIFS($B$2:$B313,"SER")+COUNTIFS($B$2:$B313,"PLH")+COUNTIFS($B$2:$B313,"CSF"))-1,96)/12))&amp;(MOD((COUNTIFS($B$2:$B313,"SER")+COUNTIFS($B$2:$B313,"PLH")+COUNTIFS($B$2:$B313,"CSF"))-1,12)+1),"N/A"),"")</f>
        <v/>
      </c>
      <c r="H313" s="6" t="str">
        <f>IF(AND($A313&lt;&gt;"",$B313&lt;&gt;"",$C313&lt;&gt;"",$D313&lt;&gt;""),IF(OR($B313="SER",$B313="PLH",$B313="CSF"),"Control NIH Plate "&amp;(INT(((COUNTIFS($B$2:$B313,"SER")+COUNTIFS($B$2:$B313,"PLH")+COUNTIFS($B$2:$B313,"CSF"))-1)/96)+1)&amp;": "&amp;CHAR(65+INT(MOD((COUNTIFS($B$2:$B313,"SER")+COUNTIFS($B$2:$B313,"PLH")+COUNTIFS($B$2:$B313,"CSF"))-1,96)/12))&amp;(MOD((COUNTIFS($B$2:$B313,"SER")+COUNTIFS($B$2:$B313,"PLH")+COUNTIFS($B$2:$B313,"CSF"))-1,12)+1),"N/A"),"")</f>
        <v/>
      </c>
      <c r="I313" s="6" t="str">
        <f>IF(AND($A313&lt;&gt;"",$B313&lt;&gt;"",$C313&lt;&gt;"",$D313&lt;&gt;""),IF(OR($B313="SER",$B313="PLH"),"Control MAX Planck Plate "&amp;(INT(((COUNTIFS($B$2:$B313,"SER")+COUNTIFS($B$2:$B313,"PLH"))-1)/96)+1)&amp;": "&amp;CHAR(65+INT(MOD((COUNTIFS($B$2:$B313,"SER")+COUNTIFS($B$2:$B313,"PLH"))-1,96)/12))&amp;(MOD((COUNTIFS($B$2:$B313,"SER")+COUNTIFS($B$2:$B313,"PLH"))-1,12)+1),"N/A"),"")</f>
        <v/>
      </c>
      <c r="J313" s="6" t="str">
        <f>IF(AND($A313&lt;&gt;"",$B313&lt;&gt;"",$C313&lt;&gt;"",$D313&lt;&gt;""),IF($B313="WB","Control WB Box "&amp;(INT((COUNTIFS($B$2:$B313,"WB")-1)/81)+1)&amp;": "&amp;CHAR(65+INT(MOD(COUNTIFS($B$2:$B313,"WB")-1,81)/9))&amp;(MOD(COUNTIFS($B$2:$B313,"WB")-1,9)+1),"N/A"),"")</f>
        <v/>
      </c>
      <c r="K313" s="3" t="str">
        <f t="shared" si="73"/>
        <v/>
      </c>
      <c r="L313" s="2"/>
      <c r="M313" s="2"/>
      <c r="N313" s="2"/>
      <c r="O313" s="7" t="str">
        <f t="shared" si="74"/>
        <v/>
      </c>
      <c r="P313" s="7" t="str">
        <f t="shared" si="75"/>
        <v/>
      </c>
      <c r="Q313" s="7" t="str">
        <f t="shared" si="76"/>
        <v/>
      </c>
      <c r="R313" s="7" t="str">
        <f t="shared" si="77"/>
        <v/>
      </c>
      <c r="S313" s="7" t="str">
        <f t="shared" si="78"/>
        <v/>
      </c>
      <c r="T313" s="7" t="str">
        <f t="shared" si="79"/>
        <v/>
      </c>
      <c r="U313" s="7" t="str">
        <f t="shared" si="80"/>
        <v/>
      </c>
      <c r="V313" s="7" t="str">
        <f t="shared" si="81"/>
        <v/>
      </c>
      <c r="W313" s="7" t="str">
        <f t="shared" si="82"/>
        <v/>
      </c>
      <c r="X313" s="7" t="str">
        <f t="shared" si="83"/>
        <v/>
      </c>
      <c r="Y313">
        <f t="shared" si="84"/>
        <v>0</v>
      </c>
      <c r="Z313" t="str">
        <f t="shared" si="85"/>
        <v/>
      </c>
      <c r="AA313" t="str">
        <f t="shared" si="86"/>
        <v/>
      </c>
      <c r="AB313" t="str">
        <f t="shared" si="87"/>
        <v/>
      </c>
      <c r="AC313" t="str">
        <f t="shared" si="88"/>
        <v/>
      </c>
      <c r="AD313">
        <f t="shared" si="89"/>
        <v>0</v>
      </c>
    </row>
    <row r="314" spans="1:30" ht="15" customHeight="1" x14ac:dyDescent="0.35">
      <c r="A314" s="2"/>
      <c r="B314" s="3"/>
      <c r="C314" s="4"/>
      <c r="D314" s="5"/>
      <c r="E314" s="11" t="str">
        <f t="shared" ca="1" si="72"/>
        <v/>
      </c>
      <c r="F314" s="5"/>
      <c r="G314" s="6" t="str">
        <f>IF(AND($A314&lt;&gt;"",$B314&lt;&gt;"",$C314&lt;&gt;"",$D314&lt;&gt;""),IF(OR($B314="SER",$B314="PLH",$B314="CSF"),"Control CDI Plate "&amp;(INT(((COUNTIFS($B$2:$B314,"SER")+COUNTIFS($B$2:$B314,"PLH")+COUNTIFS($B$2:$B314,"CSF"))-1)/96)+1)&amp;": "&amp;CHAR(65+INT(MOD((COUNTIFS($B$2:$B314,"SER")+COUNTIFS($B$2:$B314,"PLH")+COUNTIFS($B$2:$B314,"CSF"))-1,96)/12))&amp;(MOD((COUNTIFS($B$2:$B314,"SER")+COUNTIFS($B$2:$B314,"PLH")+COUNTIFS($B$2:$B314,"CSF"))-1,12)+1),"N/A"),"")</f>
        <v/>
      </c>
      <c r="H314" s="6" t="str">
        <f>IF(AND($A314&lt;&gt;"",$B314&lt;&gt;"",$C314&lt;&gt;"",$D314&lt;&gt;""),IF(OR($B314="SER",$B314="PLH",$B314="CSF"),"Control NIH Plate "&amp;(INT(((COUNTIFS($B$2:$B314,"SER")+COUNTIFS($B$2:$B314,"PLH")+COUNTIFS($B$2:$B314,"CSF"))-1)/96)+1)&amp;": "&amp;CHAR(65+INT(MOD((COUNTIFS($B$2:$B314,"SER")+COUNTIFS($B$2:$B314,"PLH")+COUNTIFS($B$2:$B314,"CSF"))-1,96)/12))&amp;(MOD((COUNTIFS($B$2:$B314,"SER")+COUNTIFS($B$2:$B314,"PLH")+COUNTIFS($B$2:$B314,"CSF"))-1,12)+1),"N/A"),"")</f>
        <v/>
      </c>
      <c r="I314" s="6" t="str">
        <f>IF(AND($A314&lt;&gt;"",$B314&lt;&gt;"",$C314&lt;&gt;"",$D314&lt;&gt;""),IF(OR($B314="SER",$B314="PLH"),"Control MAX Planck Plate "&amp;(INT(((COUNTIFS($B$2:$B314,"SER")+COUNTIFS($B$2:$B314,"PLH"))-1)/96)+1)&amp;": "&amp;CHAR(65+INT(MOD((COUNTIFS($B$2:$B314,"SER")+COUNTIFS($B$2:$B314,"PLH"))-1,96)/12))&amp;(MOD((COUNTIFS($B$2:$B314,"SER")+COUNTIFS($B$2:$B314,"PLH"))-1,12)+1),"N/A"),"")</f>
        <v/>
      </c>
      <c r="J314" s="6" t="str">
        <f>IF(AND($A314&lt;&gt;"",$B314&lt;&gt;"",$C314&lt;&gt;"",$D314&lt;&gt;""),IF($B314="WB","Control WB Box "&amp;(INT((COUNTIFS($B$2:$B314,"WB")-1)/81)+1)&amp;": "&amp;CHAR(65+INT(MOD(COUNTIFS($B$2:$B314,"WB")-1,81)/9))&amp;(MOD(COUNTIFS($B$2:$B314,"WB")-1,9)+1),"N/A"),"")</f>
        <v/>
      </c>
      <c r="K314" s="3" t="str">
        <f t="shared" si="73"/>
        <v/>
      </c>
      <c r="L314" s="2"/>
      <c r="M314" s="2"/>
      <c r="N314" s="2"/>
      <c r="O314" s="7" t="str">
        <f t="shared" si="74"/>
        <v/>
      </c>
      <c r="P314" s="7" t="str">
        <f t="shared" si="75"/>
        <v/>
      </c>
      <c r="Q314" s="7" t="str">
        <f t="shared" si="76"/>
        <v/>
      </c>
      <c r="R314" s="7" t="str">
        <f t="shared" si="77"/>
        <v/>
      </c>
      <c r="S314" s="7" t="str">
        <f t="shared" si="78"/>
        <v/>
      </c>
      <c r="T314" s="7" t="str">
        <f t="shared" si="79"/>
        <v/>
      </c>
      <c r="U314" s="7" t="str">
        <f t="shared" si="80"/>
        <v/>
      </c>
      <c r="V314" s="7" t="str">
        <f t="shared" si="81"/>
        <v/>
      </c>
      <c r="W314" s="7" t="str">
        <f t="shared" si="82"/>
        <v/>
      </c>
      <c r="X314" s="7" t="str">
        <f t="shared" si="83"/>
        <v/>
      </c>
      <c r="Y314">
        <f t="shared" si="84"/>
        <v>0</v>
      </c>
      <c r="Z314" t="str">
        <f t="shared" si="85"/>
        <v/>
      </c>
      <c r="AA314" t="str">
        <f t="shared" si="86"/>
        <v/>
      </c>
      <c r="AB314" t="str">
        <f t="shared" si="87"/>
        <v/>
      </c>
      <c r="AC314" t="str">
        <f t="shared" si="88"/>
        <v/>
      </c>
      <c r="AD314">
        <f t="shared" si="89"/>
        <v>0</v>
      </c>
    </row>
    <row r="315" spans="1:30" ht="15" customHeight="1" x14ac:dyDescent="0.35">
      <c r="A315" s="2"/>
      <c r="B315" s="3"/>
      <c r="C315" s="4"/>
      <c r="D315" s="5"/>
      <c r="E315" s="11" t="str">
        <f t="shared" ca="1" si="72"/>
        <v/>
      </c>
      <c r="F315" s="5"/>
      <c r="G315" s="6" t="str">
        <f>IF(AND($A315&lt;&gt;"",$B315&lt;&gt;"",$C315&lt;&gt;"",$D315&lt;&gt;""),IF(OR($B315="SER",$B315="PLH",$B315="CSF"),"Control CDI Plate "&amp;(INT(((COUNTIFS($B$2:$B315,"SER")+COUNTIFS($B$2:$B315,"PLH")+COUNTIFS($B$2:$B315,"CSF"))-1)/96)+1)&amp;": "&amp;CHAR(65+INT(MOD((COUNTIFS($B$2:$B315,"SER")+COUNTIFS($B$2:$B315,"PLH")+COUNTIFS($B$2:$B315,"CSF"))-1,96)/12))&amp;(MOD((COUNTIFS($B$2:$B315,"SER")+COUNTIFS($B$2:$B315,"PLH")+COUNTIFS($B$2:$B315,"CSF"))-1,12)+1),"N/A"),"")</f>
        <v/>
      </c>
      <c r="H315" s="6" t="str">
        <f>IF(AND($A315&lt;&gt;"",$B315&lt;&gt;"",$C315&lt;&gt;"",$D315&lt;&gt;""),IF(OR($B315="SER",$B315="PLH",$B315="CSF"),"Control NIH Plate "&amp;(INT(((COUNTIFS($B$2:$B315,"SER")+COUNTIFS($B$2:$B315,"PLH")+COUNTIFS($B$2:$B315,"CSF"))-1)/96)+1)&amp;": "&amp;CHAR(65+INT(MOD((COUNTIFS($B$2:$B315,"SER")+COUNTIFS($B$2:$B315,"PLH")+COUNTIFS($B$2:$B315,"CSF"))-1,96)/12))&amp;(MOD((COUNTIFS($B$2:$B315,"SER")+COUNTIFS($B$2:$B315,"PLH")+COUNTIFS($B$2:$B315,"CSF"))-1,12)+1),"N/A"),"")</f>
        <v/>
      </c>
      <c r="I315" s="6" t="str">
        <f>IF(AND($A315&lt;&gt;"",$B315&lt;&gt;"",$C315&lt;&gt;"",$D315&lt;&gt;""),IF(OR($B315="SER",$B315="PLH"),"Control MAX Planck Plate "&amp;(INT(((COUNTIFS($B$2:$B315,"SER")+COUNTIFS($B$2:$B315,"PLH"))-1)/96)+1)&amp;": "&amp;CHAR(65+INT(MOD((COUNTIFS($B$2:$B315,"SER")+COUNTIFS($B$2:$B315,"PLH"))-1,96)/12))&amp;(MOD((COUNTIFS($B$2:$B315,"SER")+COUNTIFS($B$2:$B315,"PLH"))-1,12)+1),"N/A"),"")</f>
        <v/>
      </c>
      <c r="J315" s="6" t="str">
        <f>IF(AND($A315&lt;&gt;"",$B315&lt;&gt;"",$C315&lt;&gt;"",$D315&lt;&gt;""),IF($B315="WB","Control WB Box "&amp;(INT((COUNTIFS($B$2:$B315,"WB")-1)/81)+1)&amp;": "&amp;CHAR(65+INT(MOD(COUNTIFS($B$2:$B315,"WB")-1,81)/9))&amp;(MOD(COUNTIFS($B$2:$B315,"WB")-1,9)+1),"N/A"),"")</f>
        <v/>
      </c>
      <c r="K315" s="3" t="str">
        <f t="shared" si="73"/>
        <v/>
      </c>
      <c r="L315" s="2"/>
      <c r="M315" s="2"/>
      <c r="N315" s="2"/>
      <c r="O315" s="7" t="str">
        <f t="shared" si="74"/>
        <v/>
      </c>
      <c r="P315" s="7" t="str">
        <f t="shared" si="75"/>
        <v/>
      </c>
      <c r="Q315" s="7" t="str">
        <f t="shared" si="76"/>
        <v/>
      </c>
      <c r="R315" s="7" t="str">
        <f t="shared" si="77"/>
        <v/>
      </c>
      <c r="S315" s="7" t="str">
        <f t="shared" si="78"/>
        <v/>
      </c>
      <c r="T315" s="7" t="str">
        <f t="shared" si="79"/>
        <v/>
      </c>
      <c r="U315" s="7" t="str">
        <f t="shared" si="80"/>
        <v/>
      </c>
      <c r="V315" s="7" t="str">
        <f t="shared" si="81"/>
        <v/>
      </c>
      <c r="W315" s="7" t="str">
        <f t="shared" si="82"/>
        <v/>
      </c>
      <c r="X315" s="7" t="str">
        <f t="shared" si="83"/>
        <v/>
      </c>
      <c r="Y315">
        <f t="shared" si="84"/>
        <v>0</v>
      </c>
      <c r="Z315" t="str">
        <f t="shared" si="85"/>
        <v/>
      </c>
      <c r="AA315" t="str">
        <f t="shared" si="86"/>
        <v/>
      </c>
      <c r="AB315" t="str">
        <f t="shared" si="87"/>
        <v/>
      </c>
      <c r="AC315" t="str">
        <f t="shared" si="88"/>
        <v/>
      </c>
      <c r="AD315">
        <f t="shared" si="89"/>
        <v>0</v>
      </c>
    </row>
    <row r="316" spans="1:30" ht="15" customHeight="1" x14ac:dyDescent="0.35">
      <c r="A316" s="2"/>
      <c r="B316" s="3"/>
      <c r="C316" s="4"/>
      <c r="D316" s="5"/>
      <c r="E316" s="11" t="str">
        <f t="shared" ca="1" si="72"/>
        <v/>
      </c>
      <c r="F316" s="5"/>
      <c r="G316" s="6" t="str">
        <f>IF(AND($A316&lt;&gt;"",$B316&lt;&gt;"",$C316&lt;&gt;"",$D316&lt;&gt;""),IF(OR($B316="SER",$B316="PLH",$B316="CSF"),"Control CDI Plate "&amp;(INT(((COUNTIFS($B$2:$B316,"SER")+COUNTIFS($B$2:$B316,"PLH")+COUNTIFS($B$2:$B316,"CSF"))-1)/96)+1)&amp;": "&amp;CHAR(65+INT(MOD((COUNTIFS($B$2:$B316,"SER")+COUNTIFS($B$2:$B316,"PLH")+COUNTIFS($B$2:$B316,"CSF"))-1,96)/12))&amp;(MOD((COUNTIFS($B$2:$B316,"SER")+COUNTIFS($B$2:$B316,"PLH")+COUNTIFS($B$2:$B316,"CSF"))-1,12)+1),"N/A"),"")</f>
        <v/>
      </c>
      <c r="H316" s="6" t="str">
        <f>IF(AND($A316&lt;&gt;"",$B316&lt;&gt;"",$C316&lt;&gt;"",$D316&lt;&gt;""),IF(OR($B316="SER",$B316="PLH",$B316="CSF"),"Control NIH Plate "&amp;(INT(((COUNTIFS($B$2:$B316,"SER")+COUNTIFS($B$2:$B316,"PLH")+COUNTIFS($B$2:$B316,"CSF"))-1)/96)+1)&amp;": "&amp;CHAR(65+INT(MOD((COUNTIFS($B$2:$B316,"SER")+COUNTIFS($B$2:$B316,"PLH")+COUNTIFS($B$2:$B316,"CSF"))-1,96)/12))&amp;(MOD((COUNTIFS($B$2:$B316,"SER")+COUNTIFS($B$2:$B316,"PLH")+COUNTIFS($B$2:$B316,"CSF"))-1,12)+1),"N/A"),"")</f>
        <v/>
      </c>
      <c r="I316" s="6" t="str">
        <f>IF(AND($A316&lt;&gt;"",$B316&lt;&gt;"",$C316&lt;&gt;"",$D316&lt;&gt;""),IF(OR($B316="SER",$B316="PLH"),"Control MAX Planck Plate "&amp;(INT(((COUNTIFS($B$2:$B316,"SER")+COUNTIFS($B$2:$B316,"PLH"))-1)/96)+1)&amp;": "&amp;CHAR(65+INT(MOD((COUNTIFS($B$2:$B316,"SER")+COUNTIFS($B$2:$B316,"PLH"))-1,96)/12))&amp;(MOD((COUNTIFS($B$2:$B316,"SER")+COUNTIFS($B$2:$B316,"PLH"))-1,12)+1),"N/A"),"")</f>
        <v/>
      </c>
      <c r="J316" s="6" t="str">
        <f>IF(AND($A316&lt;&gt;"",$B316&lt;&gt;"",$C316&lt;&gt;"",$D316&lt;&gt;""),IF($B316="WB","Control WB Box "&amp;(INT((COUNTIFS($B$2:$B316,"WB")-1)/81)+1)&amp;": "&amp;CHAR(65+INT(MOD(COUNTIFS($B$2:$B316,"WB")-1,81)/9))&amp;(MOD(COUNTIFS($B$2:$B316,"WB")-1,9)+1),"N/A"),"")</f>
        <v/>
      </c>
      <c r="K316" s="3" t="str">
        <f t="shared" si="73"/>
        <v/>
      </c>
      <c r="L316" s="2"/>
      <c r="M316" s="2"/>
      <c r="N316" s="2"/>
      <c r="O316" s="7" t="str">
        <f t="shared" si="74"/>
        <v/>
      </c>
      <c r="P316" s="7" t="str">
        <f t="shared" si="75"/>
        <v/>
      </c>
      <c r="Q316" s="7" t="str">
        <f t="shared" si="76"/>
        <v/>
      </c>
      <c r="R316" s="7" t="str">
        <f t="shared" si="77"/>
        <v/>
      </c>
      <c r="S316" s="7" t="str">
        <f t="shared" si="78"/>
        <v/>
      </c>
      <c r="T316" s="7" t="str">
        <f t="shared" si="79"/>
        <v/>
      </c>
      <c r="U316" s="7" t="str">
        <f t="shared" si="80"/>
        <v/>
      </c>
      <c r="V316" s="7" t="str">
        <f t="shared" si="81"/>
        <v/>
      </c>
      <c r="W316" s="7" t="str">
        <f t="shared" si="82"/>
        <v/>
      </c>
      <c r="X316" s="7" t="str">
        <f t="shared" si="83"/>
        <v/>
      </c>
      <c r="Y316">
        <f t="shared" si="84"/>
        <v>0</v>
      </c>
      <c r="Z316" t="str">
        <f t="shared" si="85"/>
        <v/>
      </c>
      <c r="AA316" t="str">
        <f t="shared" si="86"/>
        <v/>
      </c>
      <c r="AB316" t="str">
        <f t="shared" si="87"/>
        <v/>
      </c>
      <c r="AC316" t="str">
        <f t="shared" si="88"/>
        <v/>
      </c>
      <c r="AD316">
        <f t="shared" si="89"/>
        <v>0</v>
      </c>
    </row>
    <row r="317" spans="1:30" ht="15" customHeight="1" x14ac:dyDescent="0.35">
      <c r="A317" s="2"/>
      <c r="B317" s="3"/>
      <c r="C317" s="4"/>
      <c r="D317" s="5"/>
      <c r="E317" s="11" t="str">
        <f t="shared" ref="E317:E380" ca="1" si="90">IF(AND($A317&lt;&gt;"",$B317&lt;&gt;"",$C317&lt;&gt;"",$D317&lt;&gt;""),TODAY(),"")</f>
        <v/>
      </c>
      <c r="F317" s="5"/>
      <c r="G317" s="6" t="str">
        <f>IF(AND($A317&lt;&gt;"",$B317&lt;&gt;"",$C317&lt;&gt;"",$D317&lt;&gt;""),IF(OR($B317="SER",$B317="PLH",$B317="CSF"),"Control CDI Plate "&amp;(INT(((COUNTIFS($B$2:$B317,"SER")+COUNTIFS($B$2:$B317,"PLH")+COUNTIFS($B$2:$B317,"CSF"))-1)/96)+1)&amp;": "&amp;CHAR(65+INT(MOD((COUNTIFS($B$2:$B317,"SER")+COUNTIFS($B$2:$B317,"PLH")+COUNTIFS($B$2:$B317,"CSF"))-1,96)/12))&amp;(MOD((COUNTIFS($B$2:$B317,"SER")+COUNTIFS($B$2:$B317,"PLH")+COUNTIFS($B$2:$B317,"CSF"))-1,12)+1),"N/A"),"")</f>
        <v/>
      </c>
      <c r="H317" s="6" t="str">
        <f>IF(AND($A317&lt;&gt;"",$B317&lt;&gt;"",$C317&lt;&gt;"",$D317&lt;&gt;""),IF(OR($B317="SER",$B317="PLH",$B317="CSF"),"Control NIH Plate "&amp;(INT(((COUNTIFS($B$2:$B317,"SER")+COUNTIFS($B$2:$B317,"PLH")+COUNTIFS($B$2:$B317,"CSF"))-1)/96)+1)&amp;": "&amp;CHAR(65+INT(MOD((COUNTIFS($B$2:$B317,"SER")+COUNTIFS($B$2:$B317,"PLH")+COUNTIFS($B$2:$B317,"CSF"))-1,96)/12))&amp;(MOD((COUNTIFS($B$2:$B317,"SER")+COUNTIFS($B$2:$B317,"PLH")+COUNTIFS($B$2:$B317,"CSF"))-1,12)+1),"N/A"),"")</f>
        <v/>
      </c>
      <c r="I317" s="6" t="str">
        <f>IF(AND($A317&lt;&gt;"",$B317&lt;&gt;"",$C317&lt;&gt;"",$D317&lt;&gt;""),IF(OR($B317="SER",$B317="PLH"),"Control MAX Planck Plate "&amp;(INT(((COUNTIFS($B$2:$B317,"SER")+COUNTIFS($B$2:$B317,"PLH"))-1)/96)+1)&amp;": "&amp;CHAR(65+INT(MOD((COUNTIFS($B$2:$B317,"SER")+COUNTIFS($B$2:$B317,"PLH"))-1,96)/12))&amp;(MOD((COUNTIFS($B$2:$B317,"SER")+COUNTIFS($B$2:$B317,"PLH"))-1,12)+1),"N/A"),"")</f>
        <v/>
      </c>
      <c r="J317" s="6" t="str">
        <f>IF(AND($A317&lt;&gt;"",$B317&lt;&gt;"",$C317&lt;&gt;"",$D317&lt;&gt;""),IF($B317="WB","Control WB Box "&amp;(INT((COUNTIFS($B$2:$B317,"WB")-1)/81)+1)&amp;": "&amp;CHAR(65+INT(MOD(COUNTIFS($B$2:$B317,"WB")-1,81)/9))&amp;(MOD(COUNTIFS($B$2:$B317,"WB")-1,9)+1),"N/A"),"")</f>
        <v/>
      </c>
      <c r="K317" s="3" t="str">
        <f t="shared" ref="K317:K380" si="91">IF(AND($A317&lt;&gt;"",$B317&lt;&gt;"",$C317&lt;&gt;"",$D317&lt;&gt;""),IF($B317="WB","No",""),"")</f>
        <v/>
      </c>
      <c r="L317" s="2"/>
      <c r="M317" s="2"/>
      <c r="N317" s="2"/>
      <c r="O317" s="7" t="str">
        <f t="shared" ref="O317:O380" si="92">IF($A317&lt;&gt;"",MID($A317,7,4),"")</f>
        <v/>
      </c>
      <c r="P317" s="7" t="str">
        <f t="shared" ref="P317:P380" si="93">IF($C317&lt;&gt;"",TEXT($C317,"mmddyy"),"")</f>
        <v/>
      </c>
      <c r="Q317" s="7" t="str">
        <f t="shared" ref="Q317:Q380" si="94">IF(AND($A317&lt;&gt;"",$B317&lt;&gt;"",$C317&lt;&gt;""),IF($B317="WB","cn_"&amp;$O317&amp;"_wb_"&amp;$P317,"cn_"&amp;$O317&amp;"_"&amp;LOWER($B317)&amp;"_"&amp;IF($B317="CSF","0.50","0.20")&amp;"_"&amp;$P317),"")</f>
        <v/>
      </c>
      <c r="R317" s="7" t="str">
        <f t="shared" ref="R317:R380" si="95">IF(AND($A317&lt;&gt;"",$B317="WB",$C317&lt;&gt;""),"cn_"&amp;$O317&amp;"_wb_"&amp;$P317,"")</f>
        <v/>
      </c>
      <c r="S317" s="7" t="str">
        <f t="shared" ref="S317:S380" si="96">IFERROR(VALUE(MID($L317,FIND("Box ",$L317)+4,FIND(":",$L317)-FIND("Box ",$L317)-4)),"")</f>
        <v/>
      </c>
      <c r="T317" s="7" t="str">
        <f t="shared" ref="T317:T380" si="97">IFERROR(CODE(UPPER(LEFT(LEFT(TRIM(MID(SUBSTITUTE(TRIM(MID($L317,FIND(":",$L317)+1,200)),",",REPT(" ",60)),1,60)),IFERROR(FIND("-",TRIM(MID(SUBSTITUTE(TRIM(MID($L317,FIND(":",$L317)+1,200)),",",REPT(" ",60)),1,60)))-1,LEN(TRIM(MID(SUBSTITUTE(TRIM(MID($L317,FIND(":",$L317)+1,200)),",",REPT(" ",60)),1,60))))),1)))-64,"")</f>
        <v/>
      </c>
      <c r="U317" s="7" t="str">
        <f t="shared" ref="U317:U380" si="98">IFERROR(VALUE(MID(LEFT(TRIM(MID(SUBSTITUTE(TRIM(MID($L317,FIND(":",$L317)+1,200)),",",REPT(" ",60)),1,60)),IFERROR(FIND("-",TRIM(MID(SUBSTITUTE(TRIM(MID($L317,FIND(":",$L317)+1,200)),",",REPT(" ",60)),1,60)))-1,LEN(TRIM(MID(SUBSTITUTE(TRIM(MID($L317,FIND(":",$L317)+1,200)),",",REPT(" ",60)),1,60))))),2,3)),"")</f>
        <v/>
      </c>
      <c r="V317" s="7" t="str">
        <f t="shared" ref="V317:V380" si="99">IFERROR(CODE(UPPER(LEFT(IFERROR(MID(TRIM(MID(SUBSTITUTE(TRIM(MID($L317,FIND(":",$L317)+1,200)),",",REPT(" ",60)),1,60)),FIND("-",TRIM(MID(SUBSTITUTE(TRIM(MID($L317,FIND(":",$L317)+1,200)),",",REPT(" ",60)),1,60)))+1,99),LEFT(TRIM(MID(SUBSTITUTE(TRIM(MID($L317,FIND(":",$L317)+1,200)),",",REPT(" ",60)),1,60)),IFERROR(FIND("-",TRIM(MID(SUBSTITUTE(TRIM(MID($L317,FIND(":",$L317)+1,200)),",",REPT(" ",60)),1,60)))-1,LEN(TRIM(MID(SUBSTITUTE(TRIM(MID($L317,FIND(":",$L317)+1,200)),",",REPT(" ",60)),1,60)))))),1)))-64,"")</f>
        <v/>
      </c>
      <c r="W317" s="7" t="str">
        <f t="shared" ref="W317:W380" si="100">IFERROR(VALUE(MID(IFERROR(MID(TRIM(MID(SUBSTITUTE(TRIM(MID($L317,FIND(":",$L317)+1,200)),",",REPT(" ",60)),1,60)),FIND("-",TRIM(MID(SUBSTITUTE(TRIM(MID($L317,FIND(":",$L317)+1,200)),",",REPT(" ",60)),1,60)))+1,99),LEFT(TRIM(MID(SUBSTITUTE(TRIM(MID($L317,FIND(":",$L317)+1,200)),",",REPT(" ",60)),1,60)),IFERROR(FIND("-",TRIM(MID(SUBSTITUTE(TRIM(MID($L317,FIND(":",$L317)+1,200)),",",REPT(" ",60)),1,60)))-1,LEN(TRIM(MID(SUBSTITUTE(TRIM(MID($L317,FIND(":",$L317)+1,200)),",",REPT(" ",60)),1,60)))))),2,3)),"")</f>
        <v/>
      </c>
      <c r="X317" s="7" t="str">
        <f t="shared" ref="X317:X380" si="101">IF(AND($A317&lt;&gt;"",$B317&lt;&gt;"",$C317&lt;&gt;""),"cn_"&amp;$O317&amp;"_"&amp;LOWER($B317)&amp;"_","")</f>
        <v/>
      </c>
      <c r="Y317">
        <f t="shared" ref="Y317:Y380" si="102">IFERROR(($V317-$T317+1)*($W317-$U317+1),0)</f>
        <v>0</v>
      </c>
      <c r="Z317" t="str">
        <f t="shared" ref="Z317:Z380" si="103">IFERROR(CODE(UPPER(LEFT(LEFT(TRIM(MID(SUBSTITUTE(TRIM(MID($L317,FIND(":",$L317)+1,200)),",",REPT(" ",60)),61,60)),IFERROR(FIND("-",TRIM(MID(SUBSTITUTE(TRIM(MID($L317,FIND(":",$L317)+1,200)),",",REPT(" ",60)),61,60)))-1,LEN(TRIM(MID(SUBSTITUTE(TRIM(MID($L317,FIND(":",$L317)+1,200)),",",REPT(" ",60)),61,60))))),1)))-64,"")</f>
        <v/>
      </c>
      <c r="AA317" t="str">
        <f t="shared" ref="AA317:AA380" si="104">IFERROR(VALUE(MID(LEFT(TRIM(MID(SUBSTITUTE(TRIM(MID($L317,FIND(":",$L317)+1,200)),",",REPT(" ",60)),61,60)),IFERROR(FIND("-",TRIM(MID(SUBSTITUTE(TRIM(MID($L317,FIND(":",$L317)+1,200)),",",REPT(" ",60)),61,60)))-1,LEN(TRIM(MID(SUBSTITUTE(TRIM(MID($L317,FIND(":",$L317)+1,200)),",",REPT(" ",60)),61,60))))),2,3)),"")</f>
        <v/>
      </c>
      <c r="AB317" t="str">
        <f t="shared" ref="AB317:AB380" si="105">IFERROR(CODE(UPPER(LEFT(IFERROR(MID(TRIM(MID(SUBSTITUTE(TRIM(MID($L317,FIND(":",$L317)+1,200)),",",REPT(" ",60)),61,60)),FIND("-",TRIM(MID(SUBSTITUTE(TRIM(MID($L317,FIND(":",$L317)+1,200)),",",REPT(" ",60)),61,60)))+1,99),LEFT(TRIM(MID(SUBSTITUTE(TRIM(MID($L317,FIND(":",$L317)+1,200)),",",REPT(" ",60)),61,60)),IFERROR(FIND("-",TRIM(MID(SUBSTITUTE(TRIM(MID($L317,FIND(":",$L317)+1,200)),",",REPT(" ",60)),61,60)))-1,LEN(TRIM(MID(SUBSTITUTE(TRIM(MID($L317,FIND(":",$L317)+1,200)),",",REPT(" ",60)),61,60)))))),1)))-64,"")</f>
        <v/>
      </c>
      <c r="AC317" t="str">
        <f t="shared" ref="AC317:AC380" si="106">IFERROR(VALUE(MID(IFERROR(MID(TRIM(MID(SUBSTITUTE(TRIM(MID($L317,FIND(":",$L317)+1,200)),",",REPT(" ",60)),61,60)),FIND("-",TRIM(MID(SUBSTITUTE(TRIM(MID($L317,FIND(":",$L317)+1,200)),",",REPT(" ",60)),61,60)))+1,99),LEFT(TRIM(MID(SUBSTITUTE(TRIM(MID($L317,FIND(":",$L317)+1,200)),",",REPT(" ",60)),61,60)),IFERROR(FIND("-",TRIM(MID(SUBSTITUTE(TRIM(MID($L317,FIND(":",$L317)+1,200)),",",REPT(" ",60)),61,60)))-1,LEN(TRIM(MID(SUBSTITUTE(TRIM(MID($L317,FIND(":",$L317)+1,200)),",",REPT(" ",60)),61,60)))))),2,3)),"")</f>
        <v/>
      </c>
      <c r="AD317">
        <f t="shared" ref="AD317:AD380" si="107">IFERROR(($AB317-$Z317+1)*($AC317-$AA317+1),0)</f>
        <v>0</v>
      </c>
    </row>
    <row r="318" spans="1:30" ht="15" customHeight="1" x14ac:dyDescent="0.35">
      <c r="A318" s="2"/>
      <c r="B318" s="3"/>
      <c r="C318" s="4"/>
      <c r="D318" s="5"/>
      <c r="E318" s="11" t="str">
        <f t="shared" ca="1" si="90"/>
        <v/>
      </c>
      <c r="F318" s="5"/>
      <c r="G318" s="6" t="str">
        <f>IF(AND($A318&lt;&gt;"",$B318&lt;&gt;"",$C318&lt;&gt;"",$D318&lt;&gt;""),IF(OR($B318="SER",$B318="PLH",$B318="CSF"),"Control CDI Plate "&amp;(INT(((COUNTIFS($B$2:$B318,"SER")+COUNTIFS($B$2:$B318,"PLH")+COUNTIFS($B$2:$B318,"CSF"))-1)/96)+1)&amp;": "&amp;CHAR(65+INT(MOD((COUNTIFS($B$2:$B318,"SER")+COUNTIFS($B$2:$B318,"PLH")+COUNTIFS($B$2:$B318,"CSF"))-1,96)/12))&amp;(MOD((COUNTIFS($B$2:$B318,"SER")+COUNTIFS($B$2:$B318,"PLH")+COUNTIFS($B$2:$B318,"CSF"))-1,12)+1),"N/A"),"")</f>
        <v/>
      </c>
      <c r="H318" s="6" t="str">
        <f>IF(AND($A318&lt;&gt;"",$B318&lt;&gt;"",$C318&lt;&gt;"",$D318&lt;&gt;""),IF(OR($B318="SER",$B318="PLH",$B318="CSF"),"Control NIH Plate "&amp;(INT(((COUNTIFS($B$2:$B318,"SER")+COUNTIFS($B$2:$B318,"PLH")+COUNTIFS($B$2:$B318,"CSF"))-1)/96)+1)&amp;": "&amp;CHAR(65+INT(MOD((COUNTIFS($B$2:$B318,"SER")+COUNTIFS($B$2:$B318,"PLH")+COUNTIFS($B$2:$B318,"CSF"))-1,96)/12))&amp;(MOD((COUNTIFS($B$2:$B318,"SER")+COUNTIFS($B$2:$B318,"PLH")+COUNTIFS($B$2:$B318,"CSF"))-1,12)+1),"N/A"),"")</f>
        <v/>
      </c>
      <c r="I318" s="6" t="str">
        <f>IF(AND($A318&lt;&gt;"",$B318&lt;&gt;"",$C318&lt;&gt;"",$D318&lt;&gt;""),IF(OR($B318="SER",$B318="PLH"),"Control MAX Planck Plate "&amp;(INT(((COUNTIFS($B$2:$B318,"SER")+COUNTIFS($B$2:$B318,"PLH"))-1)/96)+1)&amp;": "&amp;CHAR(65+INT(MOD((COUNTIFS($B$2:$B318,"SER")+COUNTIFS($B$2:$B318,"PLH"))-1,96)/12))&amp;(MOD((COUNTIFS($B$2:$B318,"SER")+COUNTIFS($B$2:$B318,"PLH"))-1,12)+1),"N/A"),"")</f>
        <v/>
      </c>
      <c r="J318" s="6" t="str">
        <f>IF(AND($A318&lt;&gt;"",$B318&lt;&gt;"",$C318&lt;&gt;"",$D318&lt;&gt;""),IF($B318="WB","Control WB Box "&amp;(INT((COUNTIFS($B$2:$B318,"WB")-1)/81)+1)&amp;": "&amp;CHAR(65+INT(MOD(COUNTIFS($B$2:$B318,"WB")-1,81)/9))&amp;(MOD(COUNTIFS($B$2:$B318,"WB")-1,9)+1),"N/A"),"")</f>
        <v/>
      </c>
      <c r="K318" s="3" t="str">
        <f t="shared" si="91"/>
        <v/>
      </c>
      <c r="L318" s="2"/>
      <c r="M318" s="2"/>
      <c r="N318" s="2"/>
      <c r="O318" s="7" t="str">
        <f t="shared" si="92"/>
        <v/>
      </c>
      <c r="P318" s="7" t="str">
        <f t="shared" si="93"/>
        <v/>
      </c>
      <c r="Q318" s="7" t="str">
        <f t="shared" si="94"/>
        <v/>
      </c>
      <c r="R318" s="7" t="str">
        <f t="shared" si="95"/>
        <v/>
      </c>
      <c r="S318" s="7" t="str">
        <f t="shared" si="96"/>
        <v/>
      </c>
      <c r="T318" s="7" t="str">
        <f t="shared" si="97"/>
        <v/>
      </c>
      <c r="U318" s="7" t="str">
        <f t="shared" si="98"/>
        <v/>
      </c>
      <c r="V318" s="7" t="str">
        <f t="shared" si="99"/>
        <v/>
      </c>
      <c r="W318" s="7" t="str">
        <f t="shared" si="100"/>
        <v/>
      </c>
      <c r="X318" s="7" t="str">
        <f t="shared" si="101"/>
        <v/>
      </c>
      <c r="Y318">
        <f t="shared" si="102"/>
        <v>0</v>
      </c>
      <c r="Z318" t="str">
        <f t="shared" si="103"/>
        <v/>
      </c>
      <c r="AA318" t="str">
        <f t="shared" si="104"/>
        <v/>
      </c>
      <c r="AB318" t="str">
        <f t="shared" si="105"/>
        <v/>
      </c>
      <c r="AC318" t="str">
        <f t="shared" si="106"/>
        <v/>
      </c>
      <c r="AD318">
        <f t="shared" si="107"/>
        <v>0</v>
      </c>
    </row>
    <row r="319" spans="1:30" ht="15" customHeight="1" x14ac:dyDescent="0.35">
      <c r="A319" s="2"/>
      <c r="B319" s="3"/>
      <c r="C319" s="4"/>
      <c r="D319" s="5"/>
      <c r="E319" s="11" t="str">
        <f t="shared" ca="1" si="90"/>
        <v/>
      </c>
      <c r="F319" s="5"/>
      <c r="G319" s="6" t="str">
        <f>IF(AND($A319&lt;&gt;"",$B319&lt;&gt;"",$C319&lt;&gt;"",$D319&lt;&gt;""),IF(OR($B319="SER",$B319="PLH",$B319="CSF"),"Control CDI Plate "&amp;(INT(((COUNTIFS($B$2:$B319,"SER")+COUNTIFS($B$2:$B319,"PLH")+COUNTIFS($B$2:$B319,"CSF"))-1)/96)+1)&amp;": "&amp;CHAR(65+INT(MOD((COUNTIFS($B$2:$B319,"SER")+COUNTIFS($B$2:$B319,"PLH")+COUNTIFS($B$2:$B319,"CSF"))-1,96)/12))&amp;(MOD((COUNTIFS($B$2:$B319,"SER")+COUNTIFS($B$2:$B319,"PLH")+COUNTIFS($B$2:$B319,"CSF"))-1,12)+1),"N/A"),"")</f>
        <v/>
      </c>
      <c r="H319" s="6" t="str">
        <f>IF(AND($A319&lt;&gt;"",$B319&lt;&gt;"",$C319&lt;&gt;"",$D319&lt;&gt;""),IF(OR($B319="SER",$B319="PLH",$B319="CSF"),"Control NIH Plate "&amp;(INT(((COUNTIFS($B$2:$B319,"SER")+COUNTIFS($B$2:$B319,"PLH")+COUNTIFS($B$2:$B319,"CSF"))-1)/96)+1)&amp;": "&amp;CHAR(65+INT(MOD((COUNTIFS($B$2:$B319,"SER")+COUNTIFS($B$2:$B319,"PLH")+COUNTIFS($B$2:$B319,"CSF"))-1,96)/12))&amp;(MOD((COUNTIFS($B$2:$B319,"SER")+COUNTIFS($B$2:$B319,"PLH")+COUNTIFS($B$2:$B319,"CSF"))-1,12)+1),"N/A"),"")</f>
        <v/>
      </c>
      <c r="I319" s="6" t="str">
        <f>IF(AND($A319&lt;&gt;"",$B319&lt;&gt;"",$C319&lt;&gt;"",$D319&lt;&gt;""),IF(OR($B319="SER",$B319="PLH"),"Control MAX Planck Plate "&amp;(INT(((COUNTIFS($B$2:$B319,"SER")+COUNTIFS($B$2:$B319,"PLH"))-1)/96)+1)&amp;": "&amp;CHAR(65+INT(MOD((COUNTIFS($B$2:$B319,"SER")+COUNTIFS($B$2:$B319,"PLH"))-1,96)/12))&amp;(MOD((COUNTIFS($B$2:$B319,"SER")+COUNTIFS($B$2:$B319,"PLH"))-1,12)+1),"N/A"),"")</f>
        <v/>
      </c>
      <c r="J319" s="6" t="str">
        <f>IF(AND($A319&lt;&gt;"",$B319&lt;&gt;"",$C319&lt;&gt;"",$D319&lt;&gt;""),IF($B319="WB","Control WB Box "&amp;(INT((COUNTIFS($B$2:$B319,"WB")-1)/81)+1)&amp;": "&amp;CHAR(65+INT(MOD(COUNTIFS($B$2:$B319,"WB")-1,81)/9))&amp;(MOD(COUNTIFS($B$2:$B319,"WB")-1,9)+1),"N/A"),"")</f>
        <v/>
      </c>
      <c r="K319" s="3" t="str">
        <f t="shared" si="91"/>
        <v/>
      </c>
      <c r="L319" s="2"/>
      <c r="M319" s="2"/>
      <c r="N319" s="2"/>
      <c r="O319" s="7" t="str">
        <f t="shared" si="92"/>
        <v/>
      </c>
      <c r="P319" s="7" t="str">
        <f t="shared" si="93"/>
        <v/>
      </c>
      <c r="Q319" s="7" t="str">
        <f t="shared" si="94"/>
        <v/>
      </c>
      <c r="R319" s="7" t="str">
        <f t="shared" si="95"/>
        <v/>
      </c>
      <c r="S319" s="7" t="str">
        <f t="shared" si="96"/>
        <v/>
      </c>
      <c r="T319" s="7" t="str">
        <f t="shared" si="97"/>
        <v/>
      </c>
      <c r="U319" s="7" t="str">
        <f t="shared" si="98"/>
        <v/>
      </c>
      <c r="V319" s="7" t="str">
        <f t="shared" si="99"/>
        <v/>
      </c>
      <c r="W319" s="7" t="str">
        <f t="shared" si="100"/>
        <v/>
      </c>
      <c r="X319" s="7" t="str">
        <f t="shared" si="101"/>
        <v/>
      </c>
      <c r="Y319">
        <f t="shared" si="102"/>
        <v>0</v>
      </c>
      <c r="Z319" t="str">
        <f t="shared" si="103"/>
        <v/>
      </c>
      <c r="AA319" t="str">
        <f t="shared" si="104"/>
        <v/>
      </c>
      <c r="AB319" t="str">
        <f t="shared" si="105"/>
        <v/>
      </c>
      <c r="AC319" t="str">
        <f t="shared" si="106"/>
        <v/>
      </c>
      <c r="AD319">
        <f t="shared" si="107"/>
        <v>0</v>
      </c>
    </row>
    <row r="320" spans="1:30" ht="15" customHeight="1" x14ac:dyDescent="0.35">
      <c r="A320" s="2"/>
      <c r="B320" s="3"/>
      <c r="C320" s="4"/>
      <c r="D320" s="5"/>
      <c r="E320" s="11" t="str">
        <f t="shared" ca="1" si="90"/>
        <v/>
      </c>
      <c r="F320" s="5"/>
      <c r="G320" s="6" t="str">
        <f>IF(AND($A320&lt;&gt;"",$B320&lt;&gt;"",$C320&lt;&gt;"",$D320&lt;&gt;""),IF(OR($B320="SER",$B320="PLH",$B320="CSF"),"Control CDI Plate "&amp;(INT(((COUNTIFS($B$2:$B320,"SER")+COUNTIFS($B$2:$B320,"PLH")+COUNTIFS($B$2:$B320,"CSF"))-1)/96)+1)&amp;": "&amp;CHAR(65+INT(MOD((COUNTIFS($B$2:$B320,"SER")+COUNTIFS($B$2:$B320,"PLH")+COUNTIFS($B$2:$B320,"CSF"))-1,96)/12))&amp;(MOD((COUNTIFS($B$2:$B320,"SER")+COUNTIFS($B$2:$B320,"PLH")+COUNTIFS($B$2:$B320,"CSF"))-1,12)+1),"N/A"),"")</f>
        <v/>
      </c>
      <c r="H320" s="6" t="str">
        <f>IF(AND($A320&lt;&gt;"",$B320&lt;&gt;"",$C320&lt;&gt;"",$D320&lt;&gt;""),IF(OR($B320="SER",$B320="PLH",$B320="CSF"),"Control NIH Plate "&amp;(INT(((COUNTIFS($B$2:$B320,"SER")+COUNTIFS($B$2:$B320,"PLH")+COUNTIFS($B$2:$B320,"CSF"))-1)/96)+1)&amp;": "&amp;CHAR(65+INT(MOD((COUNTIFS($B$2:$B320,"SER")+COUNTIFS($B$2:$B320,"PLH")+COUNTIFS($B$2:$B320,"CSF"))-1,96)/12))&amp;(MOD((COUNTIFS($B$2:$B320,"SER")+COUNTIFS($B$2:$B320,"PLH")+COUNTIFS($B$2:$B320,"CSF"))-1,12)+1),"N/A"),"")</f>
        <v/>
      </c>
      <c r="I320" s="6" t="str">
        <f>IF(AND($A320&lt;&gt;"",$B320&lt;&gt;"",$C320&lt;&gt;"",$D320&lt;&gt;""),IF(OR($B320="SER",$B320="PLH"),"Control MAX Planck Plate "&amp;(INT(((COUNTIFS($B$2:$B320,"SER")+COUNTIFS($B$2:$B320,"PLH"))-1)/96)+1)&amp;": "&amp;CHAR(65+INT(MOD((COUNTIFS($B$2:$B320,"SER")+COUNTIFS($B$2:$B320,"PLH"))-1,96)/12))&amp;(MOD((COUNTIFS($B$2:$B320,"SER")+COUNTIFS($B$2:$B320,"PLH"))-1,12)+1),"N/A"),"")</f>
        <v/>
      </c>
      <c r="J320" s="6" t="str">
        <f>IF(AND($A320&lt;&gt;"",$B320&lt;&gt;"",$C320&lt;&gt;"",$D320&lt;&gt;""),IF($B320="WB","Control WB Box "&amp;(INT((COUNTIFS($B$2:$B320,"WB")-1)/81)+1)&amp;": "&amp;CHAR(65+INT(MOD(COUNTIFS($B$2:$B320,"WB")-1,81)/9))&amp;(MOD(COUNTIFS($B$2:$B320,"WB")-1,9)+1),"N/A"),"")</f>
        <v/>
      </c>
      <c r="K320" s="3" t="str">
        <f t="shared" si="91"/>
        <v/>
      </c>
      <c r="L320" s="2"/>
      <c r="M320" s="2"/>
      <c r="N320" s="2"/>
      <c r="O320" s="7" t="str">
        <f t="shared" si="92"/>
        <v/>
      </c>
      <c r="P320" s="7" t="str">
        <f t="shared" si="93"/>
        <v/>
      </c>
      <c r="Q320" s="7" t="str">
        <f t="shared" si="94"/>
        <v/>
      </c>
      <c r="R320" s="7" t="str">
        <f t="shared" si="95"/>
        <v/>
      </c>
      <c r="S320" s="7" t="str">
        <f t="shared" si="96"/>
        <v/>
      </c>
      <c r="T320" s="7" t="str">
        <f t="shared" si="97"/>
        <v/>
      </c>
      <c r="U320" s="7" t="str">
        <f t="shared" si="98"/>
        <v/>
      </c>
      <c r="V320" s="7" t="str">
        <f t="shared" si="99"/>
        <v/>
      </c>
      <c r="W320" s="7" t="str">
        <f t="shared" si="100"/>
        <v/>
      </c>
      <c r="X320" s="7" t="str">
        <f t="shared" si="101"/>
        <v/>
      </c>
      <c r="Y320">
        <f t="shared" si="102"/>
        <v>0</v>
      </c>
      <c r="Z320" t="str">
        <f t="shared" si="103"/>
        <v/>
      </c>
      <c r="AA320" t="str">
        <f t="shared" si="104"/>
        <v/>
      </c>
      <c r="AB320" t="str">
        <f t="shared" si="105"/>
        <v/>
      </c>
      <c r="AC320" t="str">
        <f t="shared" si="106"/>
        <v/>
      </c>
      <c r="AD320">
        <f t="shared" si="107"/>
        <v>0</v>
      </c>
    </row>
    <row r="321" spans="1:30" ht="15" customHeight="1" x14ac:dyDescent="0.35">
      <c r="A321" s="2"/>
      <c r="B321" s="3"/>
      <c r="C321" s="4"/>
      <c r="D321" s="5"/>
      <c r="E321" s="11" t="str">
        <f t="shared" ca="1" si="90"/>
        <v/>
      </c>
      <c r="F321" s="5"/>
      <c r="G321" s="6" t="str">
        <f>IF(AND($A321&lt;&gt;"",$B321&lt;&gt;"",$C321&lt;&gt;"",$D321&lt;&gt;""),IF(OR($B321="SER",$B321="PLH",$B321="CSF"),"Control CDI Plate "&amp;(INT(((COUNTIFS($B$2:$B321,"SER")+COUNTIFS($B$2:$B321,"PLH")+COUNTIFS($B$2:$B321,"CSF"))-1)/96)+1)&amp;": "&amp;CHAR(65+INT(MOD((COUNTIFS($B$2:$B321,"SER")+COUNTIFS($B$2:$B321,"PLH")+COUNTIFS($B$2:$B321,"CSF"))-1,96)/12))&amp;(MOD((COUNTIFS($B$2:$B321,"SER")+COUNTIFS($B$2:$B321,"PLH")+COUNTIFS($B$2:$B321,"CSF"))-1,12)+1),"N/A"),"")</f>
        <v/>
      </c>
      <c r="H321" s="6" t="str">
        <f>IF(AND($A321&lt;&gt;"",$B321&lt;&gt;"",$C321&lt;&gt;"",$D321&lt;&gt;""),IF(OR($B321="SER",$B321="PLH",$B321="CSF"),"Control NIH Plate "&amp;(INT(((COUNTIFS($B$2:$B321,"SER")+COUNTIFS($B$2:$B321,"PLH")+COUNTIFS($B$2:$B321,"CSF"))-1)/96)+1)&amp;": "&amp;CHAR(65+INT(MOD((COUNTIFS($B$2:$B321,"SER")+COUNTIFS($B$2:$B321,"PLH")+COUNTIFS($B$2:$B321,"CSF"))-1,96)/12))&amp;(MOD((COUNTIFS($B$2:$B321,"SER")+COUNTIFS($B$2:$B321,"PLH")+COUNTIFS($B$2:$B321,"CSF"))-1,12)+1),"N/A"),"")</f>
        <v/>
      </c>
      <c r="I321" s="6" t="str">
        <f>IF(AND($A321&lt;&gt;"",$B321&lt;&gt;"",$C321&lt;&gt;"",$D321&lt;&gt;""),IF(OR($B321="SER",$B321="PLH"),"Control MAX Planck Plate "&amp;(INT(((COUNTIFS($B$2:$B321,"SER")+COUNTIFS($B$2:$B321,"PLH"))-1)/96)+1)&amp;": "&amp;CHAR(65+INT(MOD((COUNTIFS($B$2:$B321,"SER")+COUNTIFS($B$2:$B321,"PLH"))-1,96)/12))&amp;(MOD((COUNTIFS($B$2:$B321,"SER")+COUNTIFS($B$2:$B321,"PLH"))-1,12)+1),"N/A"),"")</f>
        <v/>
      </c>
      <c r="J321" s="6" t="str">
        <f>IF(AND($A321&lt;&gt;"",$B321&lt;&gt;"",$C321&lt;&gt;"",$D321&lt;&gt;""),IF($B321="WB","Control WB Box "&amp;(INT((COUNTIFS($B$2:$B321,"WB")-1)/81)+1)&amp;": "&amp;CHAR(65+INT(MOD(COUNTIFS($B$2:$B321,"WB")-1,81)/9))&amp;(MOD(COUNTIFS($B$2:$B321,"WB")-1,9)+1),"N/A"),"")</f>
        <v/>
      </c>
      <c r="K321" s="3" t="str">
        <f t="shared" si="91"/>
        <v/>
      </c>
      <c r="L321" s="2"/>
      <c r="M321" s="2"/>
      <c r="N321" s="2"/>
      <c r="O321" s="7" t="str">
        <f t="shared" si="92"/>
        <v/>
      </c>
      <c r="P321" s="7" t="str">
        <f t="shared" si="93"/>
        <v/>
      </c>
      <c r="Q321" s="7" t="str">
        <f t="shared" si="94"/>
        <v/>
      </c>
      <c r="R321" s="7" t="str">
        <f t="shared" si="95"/>
        <v/>
      </c>
      <c r="S321" s="7" t="str">
        <f t="shared" si="96"/>
        <v/>
      </c>
      <c r="T321" s="7" t="str">
        <f t="shared" si="97"/>
        <v/>
      </c>
      <c r="U321" s="7" t="str">
        <f t="shared" si="98"/>
        <v/>
      </c>
      <c r="V321" s="7" t="str">
        <f t="shared" si="99"/>
        <v/>
      </c>
      <c r="W321" s="7" t="str">
        <f t="shared" si="100"/>
        <v/>
      </c>
      <c r="X321" s="7" t="str">
        <f t="shared" si="101"/>
        <v/>
      </c>
      <c r="Y321">
        <f t="shared" si="102"/>
        <v>0</v>
      </c>
      <c r="Z321" t="str">
        <f t="shared" si="103"/>
        <v/>
      </c>
      <c r="AA321" t="str">
        <f t="shared" si="104"/>
        <v/>
      </c>
      <c r="AB321" t="str">
        <f t="shared" si="105"/>
        <v/>
      </c>
      <c r="AC321" t="str">
        <f t="shared" si="106"/>
        <v/>
      </c>
      <c r="AD321">
        <f t="shared" si="107"/>
        <v>0</v>
      </c>
    </row>
    <row r="322" spans="1:30" ht="15" customHeight="1" x14ac:dyDescent="0.35">
      <c r="A322" s="2"/>
      <c r="B322" s="3"/>
      <c r="C322" s="4"/>
      <c r="D322" s="5"/>
      <c r="E322" s="11" t="str">
        <f t="shared" ca="1" si="90"/>
        <v/>
      </c>
      <c r="F322" s="5"/>
      <c r="G322" s="6" t="str">
        <f>IF(AND($A322&lt;&gt;"",$B322&lt;&gt;"",$C322&lt;&gt;"",$D322&lt;&gt;""),IF(OR($B322="SER",$B322="PLH",$B322="CSF"),"Control CDI Plate "&amp;(INT(((COUNTIFS($B$2:$B322,"SER")+COUNTIFS($B$2:$B322,"PLH")+COUNTIFS($B$2:$B322,"CSF"))-1)/96)+1)&amp;": "&amp;CHAR(65+INT(MOD((COUNTIFS($B$2:$B322,"SER")+COUNTIFS($B$2:$B322,"PLH")+COUNTIFS($B$2:$B322,"CSF"))-1,96)/12))&amp;(MOD((COUNTIFS($B$2:$B322,"SER")+COUNTIFS($B$2:$B322,"PLH")+COUNTIFS($B$2:$B322,"CSF"))-1,12)+1),"N/A"),"")</f>
        <v/>
      </c>
      <c r="H322" s="6" t="str">
        <f>IF(AND($A322&lt;&gt;"",$B322&lt;&gt;"",$C322&lt;&gt;"",$D322&lt;&gt;""),IF(OR($B322="SER",$B322="PLH",$B322="CSF"),"Control NIH Plate "&amp;(INT(((COUNTIFS($B$2:$B322,"SER")+COUNTIFS($B$2:$B322,"PLH")+COUNTIFS($B$2:$B322,"CSF"))-1)/96)+1)&amp;": "&amp;CHAR(65+INT(MOD((COUNTIFS($B$2:$B322,"SER")+COUNTIFS($B$2:$B322,"PLH")+COUNTIFS($B$2:$B322,"CSF"))-1,96)/12))&amp;(MOD((COUNTIFS($B$2:$B322,"SER")+COUNTIFS($B$2:$B322,"PLH")+COUNTIFS($B$2:$B322,"CSF"))-1,12)+1),"N/A"),"")</f>
        <v/>
      </c>
      <c r="I322" s="6" t="str">
        <f>IF(AND($A322&lt;&gt;"",$B322&lt;&gt;"",$C322&lt;&gt;"",$D322&lt;&gt;""),IF(OR($B322="SER",$B322="PLH"),"Control MAX Planck Plate "&amp;(INT(((COUNTIFS($B$2:$B322,"SER")+COUNTIFS($B$2:$B322,"PLH"))-1)/96)+1)&amp;": "&amp;CHAR(65+INT(MOD((COUNTIFS($B$2:$B322,"SER")+COUNTIFS($B$2:$B322,"PLH"))-1,96)/12))&amp;(MOD((COUNTIFS($B$2:$B322,"SER")+COUNTIFS($B$2:$B322,"PLH"))-1,12)+1),"N/A"),"")</f>
        <v/>
      </c>
      <c r="J322" s="6" t="str">
        <f>IF(AND($A322&lt;&gt;"",$B322&lt;&gt;"",$C322&lt;&gt;"",$D322&lt;&gt;""),IF($B322="WB","Control WB Box "&amp;(INT((COUNTIFS($B$2:$B322,"WB")-1)/81)+1)&amp;": "&amp;CHAR(65+INT(MOD(COUNTIFS($B$2:$B322,"WB")-1,81)/9))&amp;(MOD(COUNTIFS($B$2:$B322,"WB")-1,9)+1),"N/A"),"")</f>
        <v/>
      </c>
      <c r="K322" s="3" t="str">
        <f t="shared" si="91"/>
        <v/>
      </c>
      <c r="L322" s="2"/>
      <c r="M322" s="2"/>
      <c r="N322" s="2"/>
      <c r="O322" s="7" t="str">
        <f t="shared" si="92"/>
        <v/>
      </c>
      <c r="P322" s="7" t="str">
        <f t="shared" si="93"/>
        <v/>
      </c>
      <c r="Q322" s="7" t="str">
        <f t="shared" si="94"/>
        <v/>
      </c>
      <c r="R322" s="7" t="str">
        <f t="shared" si="95"/>
        <v/>
      </c>
      <c r="S322" s="7" t="str">
        <f t="shared" si="96"/>
        <v/>
      </c>
      <c r="T322" s="7" t="str">
        <f t="shared" si="97"/>
        <v/>
      </c>
      <c r="U322" s="7" t="str">
        <f t="shared" si="98"/>
        <v/>
      </c>
      <c r="V322" s="7" t="str">
        <f t="shared" si="99"/>
        <v/>
      </c>
      <c r="W322" s="7" t="str">
        <f t="shared" si="100"/>
        <v/>
      </c>
      <c r="X322" s="7" t="str">
        <f t="shared" si="101"/>
        <v/>
      </c>
      <c r="Y322">
        <f t="shared" si="102"/>
        <v>0</v>
      </c>
      <c r="Z322" t="str">
        <f t="shared" si="103"/>
        <v/>
      </c>
      <c r="AA322" t="str">
        <f t="shared" si="104"/>
        <v/>
      </c>
      <c r="AB322" t="str">
        <f t="shared" si="105"/>
        <v/>
      </c>
      <c r="AC322" t="str">
        <f t="shared" si="106"/>
        <v/>
      </c>
      <c r="AD322">
        <f t="shared" si="107"/>
        <v>0</v>
      </c>
    </row>
    <row r="323" spans="1:30" ht="15" customHeight="1" x14ac:dyDescent="0.35">
      <c r="A323" s="2"/>
      <c r="B323" s="3"/>
      <c r="C323" s="4"/>
      <c r="D323" s="5"/>
      <c r="E323" s="11" t="str">
        <f t="shared" ca="1" si="90"/>
        <v/>
      </c>
      <c r="F323" s="5"/>
      <c r="G323" s="6" t="str">
        <f>IF(AND($A323&lt;&gt;"",$B323&lt;&gt;"",$C323&lt;&gt;"",$D323&lt;&gt;""),IF(OR($B323="SER",$B323="PLH",$B323="CSF"),"Control CDI Plate "&amp;(INT(((COUNTIFS($B$2:$B323,"SER")+COUNTIFS($B$2:$B323,"PLH")+COUNTIFS($B$2:$B323,"CSF"))-1)/96)+1)&amp;": "&amp;CHAR(65+INT(MOD((COUNTIFS($B$2:$B323,"SER")+COUNTIFS($B$2:$B323,"PLH")+COUNTIFS($B$2:$B323,"CSF"))-1,96)/12))&amp;(MOD((COUNTIFS($B$2:$B323,"SER")+COUNTIFS($B$2:$B323,"PLH")+COUNTIFS($B$2:$B323,"CSF"))-1,12)+1),"N/A"),"")</f>
        <v/>
      </c>
      <c r="H323" s="6" t="str">
        <f>IF(AND($A323&lt;&gt;"",$B323&lt;&gt;"",$C323&lt;&gt;"",$D323&lt;&gt;""),IF(OR($B323="SER",$B323="PLH",$B323="CSF"),"Control NIH Plate "&amp;(INT(((COUNTIFS($B$2:$B323,"SER")+COUNTIFS($B$2:$B323,"PLH")+COUNTIFS($B$2:$B323,"CSF"))-1)/96)+1)&amp;": "&amp;CHAR(65+INT(MOD((COUNTIFS($B$2:$B323,"SER")+COUNTIFS($B$2:$B323,"PLH")+COUNTIFS($B$2:$B323,"CSF"))-1,96)/12))&amp;(MOD((COUNTIFS($B$2:$B323,"SER")+COUNTIFS($B$2:$B323,"PLH")+COUNTIFS($B$2:$B323,"CSF"))-1,12)+1),"N/A"),"")</f>
        <v/>
      </c>
      <c r="I323" s="6" t="str">
        <f>IF(AND($A323&lt;&gt;"",$B323&lt;&gt;"",$C323&lt;&gt;"",$D323&lt;&gt;""),IF(OR($B323="SER",$B323="PLH"),"Control MAX Planck Plate "&amp;(INT(((COUNTIFS($B$2:$B323,"SER")+COUNTIFS($B$2:$B323,"PLH"))-1)/96)+1)&amp;": "&amp;CHAR(65+INT(MOD((COUNTIFS($B$2:$B323,"SER")+COUNTIFS($B$2:$B323,"PLH"))-1,96)/12))&amp;(MOD((COUNTIFS($B$2:$B323,"SER")+COUNTIFS($B$2:$B323,"PLH"))-1,12)+1),"N/A"),"")</f>
        <v/>
      </c>
      <c r="J323" s="6" t="str">
        <f>IF(AND($A323&lt;&gt;"",$B323&lt;&gt;"",$C323&lt;&gt;"",$D323&lt;&gt;""),IF($B323="WB","Control WB Box "&amp;(INT((COUNTIFS($B$2:$B323,"WB")-1)/81)+1)&amp;": "&amp;CHAR(65+INT(MOD(COUNTIFS($B$2:$B323,"WB")-1,81)/9))&amp;(MOD(COUNTIFS($B$2:$B323,"WB")-1,9)+1),"N/A"),"")</f>
        <v/>
      </c>
      <c r="K323" s="3" t="str">
        <f t="shared" si="91"/>
        <v/>
      </c>
      <c r="L323" s="2"/>
      <c r="M323" s="2"/>
      <c r="N323" s="2"/>
      <c r="O323" s="7" t="str">
        <f t="shared" si="92"/>
        <v/>
      </c>
      <c r="P323" s="7" t="str">
        <f t="shared" si="93"/>
        <v/>
      </c>
      <c r="Q323" s="7" t="str">
        <f t="shared" si="94"/>
        <v/>
      </c>
      <c r="R323" s="7" t="str">
        <f t="shared" si="95"/>
        <v/>
      </c>
      <c r="S323" s="7" t="str">
        <f t="shared" si="96"/>
        <v/>
      </c>
      <c r="T323" s="7" t="str">
        <f t="shared" si="97"/>
        <v/>
      </c>
      <c r="U323" s="7" t="str">
        <f t="shared" si="98"/>
        <v/>
      </c>
      <c r="V323" s="7" t="str">
        <f t="shared" si="99"/>
        <v/>
      </c>
      <c r="W323" s="7" t="str">
        <f t="shared" si="100"/>
        <v/>
      </c>
      <c r="X323" s="7" t="str">
        <f t="shared" si="101"/>
        <v/>
      </c>
      <c r="Y323">
        <f t="shared" si="102"/>
        <v>0</v>
      </c>
      <c r="Z323" t="str">
        <f t="shared" si="103"/>
        <v/>
      </c>
      <c r="AA323" t="str">
        <f t="shared" si="104"/>
        <v/>
      </c>
      <c r="AB323" t="str">
        <f t="shared" si="105"/>
        <v/>
      </c>
      <c r="AC323" t="str">
        <f t="shared" si="106"/>
        <v/>
      </c>
      <c r="AD323">
        <f t="shared" si="107"/>
        <v>0</v>
      </c>
    </row>
    <row r="324" spans="1:30" ht="15" customHeight="1" x14ac:dyDescent="0.35">
      <c r="A324" s="2"/>
      <c r="B324" s="3"/>
      <c r="C324" s="4"/>
      <c r="D324" s="5"/>
      <c r="E324" s="11" t="str">
        <f t="shared" ca="1" si="90"/>
        <v/>
      </c>
      <c r="F324" s="5"/>
      <c r="G324" s="6" t="str">
        <f>IF(AND($A324&lt;&gt;"",$B324&lt;&gt;"",$C324&lt;&gt;"",$D324&lt;&gt;""),IF(OR($B324="SER",$B324="PLH",$B324="CSF"),"Control CDI Plate "&amp;(INT(((COUNTIFS($B$2:$B324,"SER")+COUNTIFS($B$2:$B324,"PLH")+COUNTIFS($B$2:$B324,"CSF"))-1)/96)+1)&amp;": "&amp;CHAR(65+INT(MOD((COUNTIFS($B$2:$B324,"SER")+COUNTIFS($B$2:$B324,"PLH")+COUNTIFS($B$2:$B324,"CSF"))-1,96)/12))&amp;(MOD((COUNTIFS($B$2:$B324,"SER")+COUNTIFS($B$2:$B324,"PLH")+COUNTIFS($B$2:$B324,"CSF"))-1,12)+1),"N/A"),"")</f>
        <v/>
      </c>
      <c r="H324" s="6" t="str">
        <f>IF(AND($A324&lt;&gt;"",$B324&lt;&gt;"",$C324&lt;&gt;"",$D324&lt;&gt;""),IF(OR($B324="SER",$B324="PLH",$B324="CSF"),"Control NIH Plate "&amp;(INT(((COUNTIFS($B$2:$B324,"SER")+COUNTIFS($B$2:$B324,"PLH")+COUNTIFS($B$2:$B324,"CSF"))-1)/96)+1)&amp;": "&amp;CHAR(65+INT(MOD((COUNTIFS($B$2:$B324,"SER")+COUNTIFS($B$2:$B324,"PLH")+COUNTIFS($B$2:$B324,"CSF"))-1,96)/12))&amp;(MOD((COUNTIFS($B$2:$B324,"SER")+COUNTIFS($B$2:$B324,"PLH")+COUNTIFS($B$2:$B324,"CSF"))-1,12)+1),"N/A"),"")</f>
        <v/>
      </c>
      <c r="I324" s="6" t="str">
        <f>IF(AND($A324&lt;&gt;"",$B324&lt;&gt;"",$C324&lt;&gt;"",$D324&lt;&gt;""),IF(OR($B324="SER",$B324="PLH"),"Control MAX Planck Plate "&amp;(INT(((COUNTIFS($B$2:$B324,"SER")+COUNTIFS($B$2:$B324,"PLH"))-1)/96)+1)&amp;": "&amp;CHAR(65+INT(MOD((COUNTIFS($B$2:$B324,"SER")+COUNTIFS($B$2:$B324,"PLH"))-1,96)/12))&amp;(MOD((COUNTIFS($B$2:$B324,"SER")+COUNTIFS($B$2:$B324,"PLH"))-1,12)+1),"N/A"),"")</f>
        <v/>
      </c>
      <c r="J324" s="6" t="str">
        <f>IF(AND($A324&lt;&gt;"",$B324&lt;&gt;"",$C324&lt;&gt;"",$D324&lt;&gt;""),IF($B324="WB","Control WB Box "&amp;(INT((COUNTIFS($B$2:$B324,"WB")-1)/81)+1)&amp;": "&amp;CHAR(65+INT(MOD(COUNTIFS($B$2:$B324,"WB")-1,81)/9))&amp;(MOD(COUNTIFS($B$2:$B324,"WB")-1,9)+1),"N/A"),"")</f>
        <v/>
      </c>
      <c r="K324" s="3" t="str">
        <f t="shared" si="91"/>
        <v/>
      </c>
      <c r="L324" s="2"/>
      <c r="M324" s="2"/>
      <c r="N324" s="2"/>
      <c r="O324" s="7" t="str">
        <f t="shared" si="92"/>
        <v/>
      </c>
      <c r="P324" s="7" t="str">
        <f t="shared" si="93"/>
        <v/>
      </c>
      <c r="Q324" s="7" t="str">
        <f t="shared" si="94"/>
        <v/>
      </c>
      <c r="R324" s="7" t="str">
        <f t="shared" si="95"/>
        <v/>
      </c>
      <c r="S324" s="7" t="str">
        <f t="shared" si="96"/>
        <v/>
      </c>
      <c r="T324" s="7" t="str">
        <f t="shared" si="97"/>
        <v/>
      </c>
      <c r="U324" s="7" t="str">
        <f t="shared" si="98"/>
        <v/>
      </c>
      <c r="V324" s="7" t="str">
        <f t="shared" si="99"/>
        <v/>
      </c>
      <c r="W324" s="7" t="str">
        <f t="shared" si="100"/>
        <v/>
      </c>
      <c r="X324" s="7" t="str">
        <f t="shared" si="101"/>
        <v/>
      </c>
      <c r="Y324">
        <f t="shared" si="102"/>
        <v>0</v>
      </c>
      <c r="Z324" t="str">
        <f t="shared" si="103"/>
        <v/>
      </c>
      <c r="AA324" t="str">
        <f t="shared" si="104"/>
        <v/>
      </c>
      <c r="AB324" t="str">
        <f t="shared" si="105"/>
        <v/>
      </c>
      <c r="AC324" t="str">
        <f t="shared" si="106"/>
        <v/>
      </c>
      <c r="AD324">
        <f t="shared" si="107"/>
        <v>0</v>
      </c>
    </row>
    <row r="325" spans="1:30" ht="15" customHeight="1" x14ac:dyDescent="0.35">
      <c r="A325" s="2"/>
      <c r="B325" s="3"/>
      <c r="C325" s="4"/>
      <c r="D325" s="5"/>
      <c r="E325" s="11" t="str">
        <f t="shared" ca="1" si="90"/>
        <v/>
      </c>
      <c r="F325" s="5"/>
      <c r="G325" s="6" t="str">
        <f>IF(AND($A325&lt;&gt;"",$B325&lt;&gt;"",$C325&lt;&gt;"",$D325&lt;&gt;""),IF(OR($B325="SER",$B325="PLH",$B325="CSF"),"Control CDI Plate "&amp;(INT(((COUNTIFS($B$2:$B325,"SER")+COUNTIFS($B$2:$B325,"PLH")+COUNTIFS($B$2:$B325,"CSF"))-1)/96)+1)&amp;": "&amp;CHAR(65+INT(MOD((COUNTIFS($B$2:$B325,"SER")+COUNTIFS($B$2:$B325,"PLH")+COUNTIFS($B$2:$B325,"CSF"))-1,96)/12))&amp;(MOD((COUNTIFS($B$2:$B325,"SER")+COUNTIFS($B$2:$B325,"PLH")+COUNTIFS($B$2:$B325,"CSF"))-1,12)+1),"N/A"),"")</f>
        <v/>
      </c>
      <c r="H325" s="6" t="str">
        <f>IF(AND($A325&lt;&gt;"",$B325&lt;&gt;"",$C325&lt;&gt;"",$D325&lt;&gt;""),IF(OR($B325="SER",$B325="PLH",$B325="CSF"),"Control NIH Plate "&amp;(INT(((COUNTIFS($B$2:$B325,"SER")+COUNTIFS($B$2:$B325,"PLH")+COUNTIFS($B$2:$B325,"CSF"))-1)/96)+1)&amp;": "&amp;CHAR(65+INT(MOD((COUNTIFS($B$2:$B325,"SER")+COUNTIFS($B$2:$B325,"PLH")+COUNTIFS($B$2:$B325,"CSF"))-1,96)/12))&amp;(MOD((COUNTIFS($B$2:$B325,"SER")+COUNTIFS($B$2:$B325,"PLH")+COUNTIFS($B$2:$B325,"CSF"))-1,12)+1),"N/A"),"")</f>
        <v/>
      </c>
      <c r="I325" s="6" t="str">
        <f>IF(AND($A325&lt;&gt;"",$B325&lt;&gt;"",$C325&lt;&gt;"",$D325&lt;&gt;""),IF(OR($B325="SER",$B325="PLH"),"Control MAX Planck Plate "&amp;(INT(((COUNTIFS($B$2:$B325,"SER")+COUNTIFS($B$2:$B325,"PLH"))-1)/96)+1)&amp;": "&amp;CHAR(65+INT(MOD((COUNTIFS($B$2:$B325,"SER")+COUNTIFS($B$2:$B325,"PLH"))-1,96)/12))&amp;(MOD((COUNTIFS($B$2:$B325,"SER")+COUNTIFS($B$2:$B325,"PLH"))-1,12)+1),"N/A"),"")</f>
        <v/>
      </c>
      <c r="J325" s="6" t="str">
        <f>IF(AND($A325&lt;&gt;"",$B325&lt;&gt;"",$C325&lt;&gt;"",$D325&lt;&gt;""),IF($B325="WB","Control WB Box "&amp;(INT((COUNTIFS($B$2:$B325,"WB")-1)/81)+1)&amp;": "&amp;CHAR(65+INT(MOD(COUNTIFS($B$2:$B325,"WB")-1,81)/9))&amp;(MOD(COUNTIFS($B$2:$B325,"WB")-1,9)+1),"N/A"),"")</f>
        <v/>
      </c>
      <c r="K325" s="3" t="str">
        <f t="shared" si="91"/>
        <v/>
      </c>
      <c r="L325" s="2"/>
      <c r="M325" s="2"/>
      <c r="N325" s="2"/>
      <c r="O325" s="7" t="str">
        <f t="shared" si="92"/>
        <v/>
      </c>
      <c r="P325" s="7" t="str">
        <f t="shared" si="93"/>
        <v/>
      </c>
      <c r="Q325" s="7" t="str">
        <f t="shared" si="94"/>
        <v/>
      </c>
      <c r="R325" s="7" t="str">
        <f t="shared" si="95"/>
        <v/>
      </c>
      <c r="S325" s="7" t="str">
        <f t="shared" si="96"/>
        <v/>
      </c>
      <c r="T325" s="7" t="str">
        <f t="shared" si="97"/>
        <v/>
      </c>
      <c r="U325" s="7" t="str">
        <f t="shared" si="98"/>
        <v/>
      </c>
      <c r="V325" s="7" t="str">
        <f t="shared" si="99"/>
        <v/>
      </c>
      <c r="W325" s="7" t="str">
        <f t="shared" si="100"/>
        <v/>
      </c>
      <c r="X325" s="7" t="str">
        <f t="shared" si="101"/>
        <v/>
      </c>
      <c r="Y325">
        <f t="shared" si="102"/>
        <v>0</v>
      </c>
      <c r="Z325" t="str">
        <f t="shared" si="103"/>
        <v/>
      </c>
      <c r="AA325" t="str">
        <f t="shared" si="104"/>
        <v/>
      </c>
      <c r="AB325" t="str">
        <f t="shared" si="105"/>
        <v/>
      </c>
      <c r="AC325" t="str">
        <f t="shared" si="106"/>
        <v/>
      </c>
      <c r="AD325">
        <f t="shared" si="107"/>
        <v>0</v>
      </c>
    </row>
    <row r="326" spans="1:30" ht="15" customHeight="1" x14ac:dyDescent="0.35">
      <c r="A326" s="2"/>
      <c r="B326" s="3"/>
      <c r="C326" s="4"/>
      <c r="D326" s="5"/>
      <c r="E326" s="11" t="str">
        <f t="shared" ca="1" si="90"/>
        <v/>
      </c>
      <c r="F326" s="5"/>
      <c r="G326" s="6" t="str">
        <f>IF(AND($A326&lt;&gt;"",$B326&lt;&gt;"",$C326&lt;&gt;"",$D326&lt;&gt;""),IF(OR($B326="SER",$B326="PLH",$B326="CSF"),"Control CDI Plate "&amp;(INT(((COUNTIFS($B$2:$B326,"SER")+COUNTIFS($B$2:$B326,"PLH")+COUNTIFS($B$2:$B326,"CSF"))-1)/96)+1)&amp;": "&amp;CHAR(65+INT(MOD((COUNTIFS($B$2:$B326,"SER")+COUNTIFS($B$2:$B326,"PLH")+COUNTIFS($B$2:$B326,"CSF"))-1,96)/12))&amp;(MOD((COUNTIFS($B$2:$B326,"SER")+COUNTIFS($B$2:$B326,"PLH")+COUNTIFS($B$2:$B326,"CSF"))-1,12)+1),"N/A"),"")</f>
        <v/>
      </c>
      <c r="H326" s="6" t="str">
        <f>IF(AND($A326&lt;&gt;"",$B326&lt;&gt;"",$C326&lt;&gt;"",$D326&lt;&gt;""),IF(OR($B326="SER",$B326="PLH",$B326="CSF"),"Control NIH Plate "&amp;(INT(((COUNTIFS($B$2:$B326,"SER")+COUNTIFS($B$2:$B326,"PLH")+COUNTIFS($B$2:$B326,"CSF"))-1)/96)+1)&amp;": "&amp;CHAR(65+INT(MOD((COUNTIFS($B$2:$B326,"SER")+COUNTIFS($B$2:$B326,"PLH")+COUNTIFS($B$2:$B326,"CSF"))-1,96)/12))&amp;(MOD((COUNTIFS($B$2:$B326,"SER")+COUNTIFS($B$2:$B326,"PLH")+COUNTIFS($B$2:$B326,"CSF"))-1,12)+1),"N/A"),"")</f>
        <v/>
      </c>
      <c r="I326" s="6" t="str">
        <f>IF(AND($A326&lt;&gt;"",$B326&lt;&gt;"",$C326&lt;&gt;"",$D326&lt;&gt;""),IF(OR($B326="SER",$B326="PLH"),"Control MAX Planck Plate "&amp;(INT(((COUNTIFS($B$2:$B326,"SER")+COUNTIFS($B$2:$B326,"PLH"))-1)/96)+1)&amp;": "&amp;CHAR(65+INT(MOD((COUNTIFS($B$2:$B326,"SER")+COUNTIFS($B$2:$B326,"PLH"))-1,96)/12))&amp;(MOD((COUNTIFS($B$2:$B326,"SER")+COUNTIFS($B$2:$B326,"PLH"))-1,12)+1),"N/A"),"")</f>
        <v/>
      </c>
      <c r="J326" s="6" t="str">
        <f>IF(AND($A326&lt;&gt;"",$B326&lt;&gt;"",$C326&lt;&gt;"",$D326&lt;&gt;""),IF($B326="WB","Control WB Box "&amp;(INT((COUNTIFS($B$2:$B326,"WB")-1)/81)+1)&amp;": "&amp;CHAR(65+INT(MOD(COUNTIFS($B$2:$B326,"WB")-1,81)/9))&amp;(MOD(COUNTIFS($B$2:$B326,"WB")-1,9)+1),"N/A"),"")</f>
        <v/>
      </c>
      <c r="K326" s="3" t="str">
        <f t="shared" si="91"/>
        <v/>
      </c>
      <c r="L326" s="2"/>
      <c r="M326" s="2"/>
      <c r="N326" s="2"/>
      <c r="O326" s="7" t="str">
        <f t="shared" si="92"/>
        <v/>
      </c>
      <c r="P326" s="7" t="str">
        <f t="shared" si="93"/>
        <v/>
      </c>
      <c r="Q326" s="7" t="str">
        <f t="shared" si="94"/>
        <v/>
      </c>
      <c r="R326" s="7" t="str">
        <f t="shared" si="95"/>
        <v/>
      </c>
      <c r="S326" s="7" t="str">
        <f t="shared" si="96"/>
        <v/>
      </c>
      <c r="T326" s="7" t="str">
        <f t="shared" si="97"/>
        <v/>
      </c>
      <c r="U326" s="7" t="str">
        <f t="shared" si="98"/>
        <v/>
      </c>
      <c r="V326" s="7" t="str">
        <f t="shared" si="99"/>
        <v/>
      </c>
      <c r="W326" s="7" t="str">
        <f t="shared" si="100"/>
        <v/>
      </c>
      <c r="X326" s="7" t="str">
        <f t="shared" si="101"/>
        <v/>
      </c>
      <c r="Y326">
        <f t="shared" si="102"/>
        <v>0</v>
      </c>
      <c r="Z326" t="str">
        <f t="shared" si="103"/>
        <v/>
      </c>
      <c r="AA326" t="str">
        <f t="shared" si="104"/>
        <v/>
      </c>
      <c r="AB326" t="str">
        <f t="shared" si="105"/>
        <v/>
      </c>
      <c r="AC326" t="str">
        <f t="shared" si="106"/>
        <v/>
      </c>
      <c r="AD326">
        <f t="shared" si="107"/>
        <v>0</v>
      </c>
    </row>
    <row r="327" spans="1:30" ht="15" customHeight="1" x14ac:dyDescent="0.35">
      <c r="A327" s="2"/>
      <c r="B327" s="3"/>
      <c r="C327" s="4"/>
      <c r="D327" s="5"/>
      <c r="E327" s="11" t="str">
        <f t="shared" ca="1" si="90"/>
        <v/>
      </c>
      <c r="F327" s="5"/>
      <c r="G327" s="6" t="str">
        <f>IF(AND($A327&lt;&gt;"",$B327&lt;&gt;"",$C327&lt;&gt;"",$D327&lt;&gt;""),IF(OR($B327="SER",$B327="PLH",$B327="CSF"),"Control CDI Plate "&amp;(INT(((COUNTIFS($B$2:$B327,"SER")+COUNTIFS($B$2:$B327,"PLH")+COUNTIFS($B$2:$B327,"CSF"))-1)/96)+1)&amp;": "&amp;CHAR(65+INT(MOD((COUNTIFS($B$2:$B327,"SER")+COUNTIFS($B$2:$B327,"PLH")+COUNTIFS($B$2:$B327,"CSF"))-1,96)/12))&amp;(MOD((COUNTIFS($B$2:$B327,"SER")+COUNTIFS($B$2:$B327,"PLH")+COUNTIFS($B$2:$B327,"CSF"))-1,12)+1),"N/A"),"")</f>
        <v/>
      </c>
      <c r="H327" s="6" t="str">
        <f>IF(AND($A327&lt;&gt;"",$B327&lt;&gt;"",$C327&lt;&gt;"",$D327&lt;&gt;""),IF(OR($B327="SER",$B327="PLH",$B327="CSF"),"Control NIH Plate "&amp;(INT(((COUNTIFS($B$2:$B327,"SER")+COUNTIFS($B$2:$B327,"PLH")+COUNTIFS($B$2:$B327,"CSF"))-1)/96)+1)&amp;": "&amp;CHAR(65+INT(MOD((COUNTIFS($B$2:$B327,"SER")+COUNTIFS($B$2:$B327,"PLH")+COUNTIFS($B$2:$B327,"CSF"))-1,96)/12))&amp;(MOD((COUNTIFS($B$2:$B327,"SER")+COUNTIFS($B$2:$B327,"PLH")+COUNTIFS($B$2:$B327,"CSF"))-1,12)+1),"N/A"),"")</f>
        <v/>
      </c>
      <c r="I327" s="6" t="str">
        <f>IF(AND($A327&lt;&gt;"",$B327&lt;&gt;"",$C327&lt;&gt;"",$D327&lt;&gt;""),IF(OR($B327="SER",$B327="PLH"),"Control MAX Planck Plate "&amp;(INT(((COUNTIFS($B$2:$B327,"SER")+COUNTIFS($B$2:$B327,"PLH"))-1)/96)+1)&amp;": "&amp;CHAR(65+INT(MOD((COUNTIFS($B$2:$B327,"SER")+COUNTIFS($B$2:$B327,"PLH"))-1,96)/12))&amp;(MOD((COUNTIFS($B$2:$B327,"SER")+COUNTIFS($B$2:$B327,"PLH"))-1,12)+1),"N/A"),"")</f>
        <v/>
      </c>
      <c r="J327" s="6" t="str">
        <f>IF(AND($A327&lt;&gt;"",$B327&lt;&gt;"",$C327&lt;&gt;"",$D327&lt;&gt;""),IF($B327="WB","Control WB Box "&amp;(INT((COUNTIFS($B$2:$B327,"WB")-1)/81)+1)&amp;": "&amp;CHAR(65+INT(MOD(COUNTIFS($B$2:$B327,"WB")-1,81)/9))&amp;(MOD(COUNTIFS($B$2:$B327,"WB")-1,9)+1),"N/A"),"")</f>
        <v/>
      </c>
      <c r="K327" s="3" t="str">
        <f t="shared" si="91"/>
        <v/>
      </c>
      <c r="L327" s="2"/>
      <c r="M327" s="2"/>
      <c r="N327" s="2"/>
      <c r="O327" s="7" t="str">
        <f t="shared" si="92"/>
        <v/>
      </c>
      <c r="P327" s="7" t="str">
        <f t="shared" si="93"/>
        <v/>
      </c>
      <c r="Q327" s="7" t="str">
        <f t="shared" si="94"/>
        <v/>
      </c>
      <c r="R327" s="7" t="str">
        <f t="shared" si="95"/>
        <v/>
      </c>
      <c r="S327" s="7" t="str">
        <f t="shared" si="96"/>
        <v/>
      </c>
      <c r="T327" s="7" t="str">
        <f t="shared" si="97"/>
        <v/>
      </c>
      <c r="U327" s="7" t="str">
        <f t="shared" si="98"/>
        <v/>
      </c>
      <c r="V327" s="7" t="str">
        <f t="shared" si="99"/>
        <v/>
      </c>
      <c r="W327" s="7" t="str">
        <f t="shared" si="100"/>
        <v/>
      </c>
      <c r="X327" s="7" t="str">
        <f t="shared" si="101"/>
        <v/>
      </c>
      <c r="Y327">
        <f t="shared" si="102"/>
        <v>0</v>
      </c>
      <c r="Z327" t="str">
        <f t="shared" si="103"/>
        <v/>
      </c>
      <c r="AA327" t="str">
        <f t="shared" si="104"/>
        <v/>
      </c>
      <c r="AB327" t="str">
        <f t="shared" si="105"/>
        <v/>
      </c>
      <c r="AC327" t="str">
        <f t="shared" si="106"/>
        <v/>
      </c>
      <c r="AD327">
        <f t="shared" si="107"/>
        <v>0</v>
      </c>
    </row>
    <row r="328" spans="1:30" ht="15" customHeight="1" x14ac:dyDescent="0.35">
      <c r="A328" s="2"/>
      <c r="B328" s="3"/>
      <c r="C328" s="4"/>
      <c r="D328" s="5"/>
      <c r="E328" s="11" t="str">
        <f t="shared" ca="1" si="90"/>
        <v/>
      </c>
      <c r="F328" s="5"/>
      <c r="G328" s="6" t="str">
        <f>IF(AND($A328&lt;&gt;"",$B328&lt;&gt;"",$C328&lt;&gt;"",$D328&lt;&gt;""),IF(OR($B328="SER",$B328="PLH",$B328="CSF"),"Control CDI Plate "&amp;(INT(((COUNTIFS($B$2:$B328,"SER")+COUNTIFS($B$2:$B328,"PLH")+COUNTIFS($B$2:$B328,"CSF"))-1)/96)+1)&amp;": "&amp;CHAR(65+INT(MOD((COUNTIFS($B$2:$B328,"SER")+COUNTIFS($B$2:$B328,"PLH")+COUNTIFS($B$2:$B328,"CSF"))-1,96)/12))&amp;(MOD((COUNTIFS($B$2:$B328,"SER")+COUNTIFS($B$2:$B328,"PLH")+COUNTIFS($B$2:$B328,"CSF"))-1,12)+1),"N/A"),"")</f>
        <v/>
      </c>
      <c r="H328" s="6" t="str">
        <f>IF(AND($A328&lt;&gt;"",$B328&lt;&gt;"",$C328&lt;&gt;"",$D328&lt;&gt;""),IF(OR($B328="SER",$B328="PLH",$B328="CSF"),"Control NIH Plate "&amp;(INT(((COUNTIFS($B$2:$B328,"SER")+COUNTIFS($B$2:$B328,"PLH")+COUNTIFS($B$2:$B328,"CSF"))-1)/96)+1)&amp;": "&amp;CHAR(65+INT(MOD((COUNTIFS($B$2:$B328,"SER")+COUNTIFS($B$2:$B328,"PLH")+COUNTIFS($B$2:$B328,"CSF"))-1,96)/12))&amp;(MOD((COUNTIFS($B$2:$B328,"SER")+COUNTIFS($B$2:$B328,"PLH")+COUNTIFS($B$2:$B328,"CSF"))-1,12)+1),"N/A"),"")</f>
        <v/>
      </c>
      <c r="I328" s="6" t="str">
        <f>IF(AND($A328&lt;&gt;"",$B328&lt;&gt;"",$C328&lt;&gt;"",$D328&lt;&gt;""),IF(OR($B328="SER",$B328="PLH"),"Control MAX Planck Plate "&amp;(INT(((COUNTIFS($B$2:$B328,"SER")+COUNTIFS($B$2:$B328,"PLH"))-1)/96)+1)&amp;": "&amp;CHAR(65+INT(MOD((COUNTIFS($B$2:$B328,"SER")+COUNTIFS($B$2:$B328,"PLH"))-1,96)/12))&amp;(MOD((COUNTIFS($B$2:$B328,"SER")+COUNTIFS($B$2:$B328,"PLH"))-1,12)+1),"N/A"),"")</f>
        <v/>
      </c>
      <c r="J328" s="6" t="str">
        <f>IF(AND($A328&lt;&gt;"",$B328&lt;&gt;"",$C328&lt;&gt;"",$D328&lt;&gt;""),IF($B328="WB","Control WB Box "&amp;(INT((COUNTIFS($B$2:$B328,"WB")-1)/81)+1)&amp;": "&amp;CHAR(65+INT(MOD(COUNTIFS($B$2:$B328,"WB")-1,81)/9))&amp;(MOD(COUNTIFS($B$2:$B328,"WB")-1,9)+1),"N/A"),"")</f>
        <v/>
      </c>
      <c r="K328" s="3" t="str">
        <f t="shared" si="91"/>
        <v/>
      </c>
      <c r="L328" s="2"/>
      <c r="M328" s="2"/>
      <c r="N328" s="2"/>
      <c r="O328" s="7" t="str">
        <f t="shared" si="92"/>
        <v/>
      </c>
      <c r="P328" s="7" t="str">
        <f t="shared" si="93"/>
        <v/>
      </c>
      <c r="Q328" s="7" t="str">
        <f t="shared" si="94"/>
        <v/>
      </c>
      <c r="R328" s="7" t="str">
        <f t="shared" si="95"/>
        <v/>
      </c>
      <c r="S328" s="7" t="str">
        <f t="shared" si="96"/>
        <v/>
      </c>
      <c r="T328" s="7" t="str">
        <f t="shared" si="97"/>
        <v/>
      </c>
      <c r="U328" s="7" t="str">
        <f t="shared" si="98"/>
        <v/>
      </c>
      <c r="V328" s="7" t="str">
        <f t="shared" si="99"/>
        <v/>
      </c>
      <c r="W328" s="7" t="str">
        <f t="shared" si="100"/>
        <v/>
      </c>
      <c r="X328" s="7" t="str">
        <f t="shared" si="101"/>
        <v/>
      </c>
      <c r="Y328">
        <f t="shared" si="102"/>
        <v>0</v>
      </c>
      <c r="Z328" t="str">
        <f t="shared" si="103"/>
        <v/>
      </c>
      <c r="AA328" t="str">
        <f t="shared" si="104"/>
        <v/>
      </c>
      <c r="AB328" t="str">
        <f t="shared" si="105"/>
        <v/>
      </c>
      <c r="AC328" t="str">
        <f t="shared" si="106"/>
        <v/>
      </c>
      <c r="AD328">
        <f t="shared" si="107"/>
        <v>0</v>
      </c>
    </row>
    <row r="329" spans="1:30" ht="15" customHeight="1" x14ac:dyDescent="0.35">
      <c r="A329" s="2"/>
      <c r="B329" s="3"/>
      <c r="C329" s="4"/>
      <c r="D329" s="5"/>
      <c r="E329" s="11" t="str">
        <f t="shared" ca="1" si="90"/>
        <v/>
      </c>
      <c r="F329" s="5"/>
      <c r="G329" s="6" t="str">
        <f>IF(AND($A329&lt;&gt;"",$B329&lt;&gt;"",$C329&lt;&gt;"",$D329&lt;&gt;""),IF(OR($B329="SER",$B329="PLH",$B329="CSF"),"Control CDI Plate "&amp;(INT(((COUNTIFS($B$2:$B329,"SER")+COUNTIFS($B$2:$B329,"PLH")+COUNTIFS($B$2:$B329,"CSF"))-1)/96)+1)&amp;": "&amp;CHAR(65+INT(MOD((COUNTIFS($B$2:$B329,"SER")+COUNTIFS($B$2:$B329,"PLH")+COUNTIFS($B$2:$B329,"CSF"))-1,96)/12))&amp;(MOD((COUNTIFS($B$2:$B329,"SER")+COUNTIFS($B$2:$B329,"PLH")+COUNTIFS($B$2:$B329,"CSF"))-1,12)+1),"N/A"),"")</f>
        <v/>
      </c>
      <c r="H329" s="6" t="str">
        <f>IF(AND($A329&lt;&gt;"",$B329&lt;&gt;"",$C329&lt;&gt;"",$D329&lt;&gt;""),IF(OR($B329="SER",$B329="PLH",$B329="CSF"),"Control NIH Plate "&amp;(INT(((COUNTIFS($B$2:$B329,"SER")+COUNTIFS($B$2:$B329,"PLH")+COUNTIFS($B$2:$B329,"CSF"))-1)/96)+1)&amp;": "&amp;CHAR(65+INT(MOD((COUNTIFS($B$2:$B329,"SER")+COUNTIFS($B$2:$B329,"PLH")+COUNTIFS($B$2:$B329,"CSF"))-1,96)/12))&amp;(MOD((COUNTIFS($B$2:$B329,"SER")+COUNTIFS($B$2:$B329,"PLH")+COUNTIFS($B$2:$B329,"CSF"))-1,12)+1),"N/A"),"")</f>
        <v/>
      </c>
      <c r="I329" s="6" t="str">
        <f>IF(AND($A329&lt;&gt;"",$B329&lt;&gt;"",$C329&lt;&gt;"",$D329&lt;&gt;""),IF(OR($B329="SER",$B329="PLH"),"Control MAX Planck Plate "&amp;(INT(((COUNTIFS($B$2:$B329,"SER")+COUNTIFS($B$2:$B329,"PLH"))-1)/96)+1)&amp;": "&amp;CHAR(65+INT(MOD((COUNTIFS($B$2:$B329,"SER")+COUNTIFS($B$2:$B329,"PLH"))-1,96)/12))&amp;(MOD((COUNTIFS($B$2:$B329,"SER")+COUNTIFS($B$2:$B329,"PLH"))-1,12)+1),"N/A"),"")</f>
        <v/>
      </c>
      <c r="J329" s="6" t="str">
        <f>IF(AND($A329&lt;&gt;"",$B329&lt;&gt;"",$C329&lt;&gt;"",$D329&lt;&gt;""),IF($B329="WB","Control WB Box "&amp;(INT((COUNTIFS($B$2:$B329,"WB")-1)/81)+1)&amp;": "&amp;CHAR(65+INT(MOD(COUNTIFS($B$2:$B329,"WB")-1,81)/9))&amp;(MOD(COUNTIFS($B$2:$B329,"WB")-1,9)+1),"N/A"),"")</f>
        <v/>
      </c>
      <c r="K329" s="3" t="str">
        <f t="shared" si="91"/>
        <v/>
      </c>
      <c r="L329" s="2"/>
      <c r="M329" s="2"/>
      <c r="N329" s="2"/>
      <c r="O329" s="7" t="str">
        <f t="shared" si="92"/>
        <v/>
      </c>
      <c r="P329" s="7" t="str">
        <f t="shared" si="93"/>
        <v/>
      </c>
      <c r="Q329" s="7" t="str">
        <f t="shared" si="94"/>
        <v/>
      </c>
      <c r="R329" s="7" t="str">
        <f t="shared" si="95"/>
        <v/>
      </c>
      <c r="S329" s="7" t="str">
        <f t="shared" si="96"/>
        <v/>
      </c>
      <c r="T329" s="7" t="str">
        <f t="shared" si="97"/>
        <v/>
      </c>
      <c r="U329" s="7" t="str">
        <f t="shared" si="98"/>
        <v/>
      </c>
      <c r="V329" s="7" t="str">
        <f t="shared" si="99"/>
        <v/>
      </c>
      <c r="W329" s="7" t="str">
        <f t="shared" si="100"/>
        <v/>
      </c>
      <c r="X329" s="7" t="str">
        <f t="shared" si="101"/>
        <v/>
      </c>
      <c r="Y329">
        <f t="shared" si="102"/>
        <v>0</v>
      </c>
      <c r="Z329" t="str">
        <f t="shared" si="103"/>
        <v/>
      </c>
      <c r="AA329" t="str">
        <f t="shared" si="104"/>
        <v/>
      </c>
      <c r="AB329" t="str">
        <f t="shared" si="105"/>
        <v/>
      </c>
      <c r="AC329" t="str">
        <f t="shared" si="106"/>
        <v/>
      </c>
      <c r="AD329">
        <f t="shared" si="107"/>
        <v>0</v>
      </c>
    </row>
    <row r="330" spans="1:30" ht="15" customHeight="1" x14ac:dyDescent="0.35">
      <c r="A330" s="2"/>
      <c r="B330" s="3"/>
      <c r="C330" s="4"/>
      <c r="D330" s="5"/>
      <c r="E330" s="11" t="str">
        <f t="shared" ca="1" si="90"/>
        <v/>
      </c>
      <c r="F330" s="5"/>
      <c r="G330" s="6" t="str">
        <f>IF(AND($A330&lt;&gt;"",$B330&lt;&gt;"",$C330&lt;&gt;"",$D330&lt;&gt;""),IF(OR($B330="SER",$B330="PLH",$B330="CSF"),"Control CDI Plate "&amp;(INT(((COUNTIFS($B$2:$B330,"SER")+COUNTIFS($B$2:$B330,"PLH")+COUNTIFS($B$2:$B330,"CSF"))-1)/96)+1)&amp;": "&amp;CHAR(65+INT(MOD((COUNTIFS($B$2:$B330,"SER")+COUNTIFS($B$2:$B330,"PLH")+COUNTIFS($B$2:$B330,"CSF"))-1,96)/12))&amp;(MOD((COUNTIFS($B$2:$B330,"SER")+COUNTIFS($B$2:$B330,"PLH")+COUNTIFS($B$2:$B330,"CSF"))-1,12)+1),"N/A"),"")</f>
        <v/>
      </c>
      <c r="H330" s="6" t="str">
        <f>IF(AND($A330&lt;&gt;"",$B330&lt;&gt;"",$C330&lt;&gt;"",$D330&lt;&gt;""),IF(OR($B330="SER",$B330="PLH",$B330="CSF"),"Control NIH Plate "&amp;(INT(((COUNTIFS($B$2:$B330,"SER")+COUNTIFS($B$2:$B330,"PLH")+COUNTIFS($B$2:$B330,"CSF"))-1)/96)+1)&amp;": "&amp;CHAR(65+INT(MOD((COUNTIFS($B$2:$B330,"SER")+COUNTIFS($B$2:$B330,"PLH")+COUNTIFS($B$2:$B330,"CSF"))-1,96)/12))&amp;(MOD((COUNTIFS($B$2:$B330,"SER")+COUNTIFS($B$2:$B330,"PLH")+COUNTIFS($B$2:$B330,"CSF"))-1,12)+1),"N/A"),"")</f>
        <v/>
      </c>
      <c r="I330" s="6" t="str">
        <f>IF(AND($A330&lt;&gt;"",$B330&lt;&gt;"",$C330&lt;&gt;"",$D330&lt;&gt;""),IF(OR($B330="SER",$B330="PLH"),"Control MAX Planck Plate "&amp;(INT(((COUNTIFS($B$2:$B330,"SER")+COUNTIFS($B$2:$B330,"PLH"))-1)/96)+1)&amp;": "&amp;CHAR(65+INT(MOD((COUNTIFS($B$2:$B330,"SER")+COUNTIFS($B$2:$B330,"PLH"))-1,96)/12))&amp;(MOD((COUNTIFS($B$2:$B330,"SER")+COUNTIFS($B$2:$B330,"PLH"))-1,12)+1),"N/A"),"")</f>
        <v/>
      </c>
      <c r="J330" s="6" t="str">
        <f>IF(AND($A330&lt;&gt;"",$B330&lt;&gt;"",$C330&lt;&gt;"",$D330&lt;&gt;""),IF($B330="WB","Control WB Box "&amp;(INT((COUNTIFS($B$2:$B330,"WB")-1)/81)+1)&amp;": "&amp;CHAR(65+INT(MOD(COUNTIFS($B$2:$B330,"WB")-1,81)/9))&amp;(MOD(COUNTIFS($B$2:$B330,"WB")-1,9)+1),"N/A"),"")</f>
        <v/>
      </c>
      <c r="K330" s="3" t="str">
        <f t="shared" si="91"/>
        <v/>
      </c>
      <c r="L330" s="2"/>
      <c r="M330" s="2"/>
      <c r="N330" s="2"/>
      <c r="O330" s="7" t="str">
        <f t="shared" si="92"/>
        <v/>
      </c>
      <c r="P330" s="7" t="str">
        <f t="shared" si="93"/>
        <v/>
      </c>
      <c r="Q330" s="7" t="str">
        <f t="shared" si="94"/>
        <v/>
      </c>
      <c r="R330" s="7" t="str">
        <f t="shared" si="95"/>
        <v/>
      </c>
      <c r="S330" s="7" t="str">
        <f t="shared" si="96"/>
        <v/>
      </c>
      <c r="T330" s="7" t="str">
        <f t="shared" si="97"/>
        <v/>
      </c>
      <c r="U330" s="7" t="str">
        <f t="shared" si="98"/>
        <v/>
      </c>
      <c r="V330" s="7" t="str">
        <f t="shared" si="99"/>
        <v/>
      </c>
      <c r="W330" s="7" t="str">
        <f t="shared" si="100"/>
        <v/>
      </c>
      <c r="X330" s="7" t="str">
        <f t="shared" si="101"/>
        <v/>
      </c>
      <c r="Y330">
        <f t="shared" si="102"/>
        <v>0</v>
      </c>
      <c r="Z330" t="str">
        <f t="shared" si="103"/>
        <v/>
      </c>
      <c r="AA330" t="str">
        <f t="shared" si="104"/>
        <v/>
      </c>
      <c r="AB330" t="str">
        <f t="shared" si="105"/>
        <v/>
      </c>
      <c r="AC330" t="str">
        <f t="shared" si="106"/>
        <v/>
      </c>
      <c r="AD330">
        <f t="shared" si="107"/>
        <v>0</v>
      </c>
    </row>
    <row r="331" spans="1:30" ht="15" customHeight="1" x14ac:dyDescent="0.35">
      <c r="A331" s="2"/>
      <c r="B331" s="3"/>
      <c r="C331" s="4"/>
      <c r="D331" s="5"/>
      <c r="E331" s="11" t="str">
        <f t="shared" ca="1" si="90"/>
        <v/>
      </c>
      <c r="F331" s="5"/>
      <c r="G331" s="6" t="str">
        <f>IF(AND($A331&lt;&gt;"",$B331&lt;&gt;"",$C331&lt;&gt;"",$D331&lt;&gt;""),IF(OR($B331="SER",$B331="PLH",$B331="CSF"),"Control CDI Plate "&amp;(INT(((COUNTIFS($B$2:$B331,"SER")+COUNTIFS($B$2:$B331,"PLH")+COUNTIFS($B$2:$B331,"CSF"))-1)/96)+1)&amp;": "&amp;CHAR(65+INT(MOD((COUNTIFS($B$2:$B331,"SER")+COUNTIFS($B$2:$B331,"PLH")+COUNTIFS($B$2:$B331,"CSF"))-1,96)/12))&amp;(MOD((COUNTIFS($B$2:$B331,"SER")+COUNTIFS($B$2:$B331,"PLH")+COUNTIFS($B$2:$B331,"CSF"))-1,12)+1),"N/A"),"")</f>
        <v/>
      </c>
      <c r="H331" s="6" t="str">
        <f>IF(AND($A331&lt;&gt;"",$B331&lt;&gt;"",$C331&lt;&gt;"",$D331&lt;&gt;""),IF(OR($B331="SER",$B331="PLH",$B331="CSF"),"Control NIH Plate "&amp;(INT(((COUNTIFS($B$2:$B331,"SER")+COUNTIFS($B$2:$B331,"PLH")+COUNTIFS($B$2:$B331,"CSF"))-1)/96)+1)&amp;": "&amp;CHAR(65+INT(MOD((COUNTIFS($B$2:$B331,"SER")+COUNTIFS($B$2:$B331,"PLH")+COUNTIFS($B$2:$B331,"CSF"))-1,96)/12))&amp;(MOD((COUNTIFS($B$2:$B331,"SER")+COUNTIFS($B$2:$B331,"PLH")+COUNTIFS($B$2:$B331,"CSF"))-1,12)+1),"N/A"),"")</f>
        <v/>
      </c>
      <c r="I331" s="6" t="str">
        <f>IF(AND($A331&lt;&gt;"",$B331&lt;&gt;"",$C331&lt;&gt;"",$D331&lt;&gt;""),IF(OR($B331="SER",$B331="PLH"),"Control MAX Planck Plate "&amp;(INT(((COUNTIFS($B$2:$B331,"SER")+COUNTIFS($B$2:$B331,"PLH"))-1)/96)+1)&amp;": "&amp;CHAR(65+INT(MOD((COUNTIFS($B$2:$B331,"SER")+COUNTIFS($B$2:$B331,"PLH"))-1,96)/12))&amp;(MOD((COUNTIFS($B$2:$B331,"SER")+COUNTIFS($B$2:$B331,"PLH"))-1,12)+1),"N/A"),"")</f>
        <v/>
      </c>
      <c r="J331" s="6" t="str">
        <f>IF(AND($A331&lt;&gt;"",$B331&lt;&gt;"",$C331&lt;&gt;"",$D331&lt;&gt;""),IF($B331="WB","Control WB Box "&amp;(INT((COUNTIFS($B$2:$B331,"WB")-1)/81)+1)&amp;": "&amp;CHAR(65+INT(MOD(COUNTIFS($B$2:$B331,"WB")-1,81)/9))&amp;(MOD(COUNTIFS($B$2:$B331,"WB")-1,9)+1),"N/A"),"")</f>
        <v/>
      </c>
      <c r="K331" s="3" t="str">
        <f t="shared" si="91"/>
        <v/>
      </c>
      <c r="L331" s="2"/>
      <c r="M331" s="2"/>
      <c r="N331" s="2"/>
      <c r="O331" s="7" t="str">
        <f t="shared" si="92"/>
        <v/>
      </c>
      <c r="P331" s="7" t="str">
        <f t="shared" si="93"/>
        <v/>
      </c>
      <c r="Q331" s="7" t="str">
        <f t="shared" si="94"/>
        <v/>
      </c>
      <c r="R331" s="7" t="str">
        <f t="shared" si="95"/>
        <v/>
      </c>
      <c r="S331" s="7" t="str">
        <f t="shared" si="96"/>
        <v/>
      </c>
      <c r="T331" s="7" t="str">
        <f t="shared" si="97"/>
        <v/>
      </c>
      <c r="U331" s="7" t="str">
        <f t="shared" si="98"/>
        <v/>
      </c>
      <c r="V331" s="7" t="str">
        <f t="shared" si="99"/>
        <v/>
      </c>
      <c r="W331" s="7" t="str">
        <f t="shared" si="100"/>
        <v/>
      </c>
      <c r="X331" s="7" t="str">
        <f t="shared" si="101"/>
        <v/>
      </c>
      <c r="Y331">
        <f t="shared" si="102"/>
        <v>0</v>
      </c>
      <c r="Z331" t="str">
        <f t="shared" si="103"/>
        <v/>
      </c>
      <c r="AA331" t="str">
        <f t="shared" si="104"/>
        <v/>
      </c>
      <c r="AB331" t="str">
        <f t="shared" si="105"/>
        <v/>
      </c>
      <c r="AC331" t="str">
        <f t="shared" si="106"/>
        <v/>
      </c>
      <c r="AD331">
        <f t="shared" si="107"/>
        <v>0</v>
      </c>
    </row>
    <row r="332" spans="1:30" ht="15" customHeight="1" x14ac:dyDescent="0.35">
      <c r="A332" s="2"/>
      <c r="B332" s="3"/>
      <c r="C332" s="4"/>
      <c r="D332" s="5"/>
      <c r="E332" s="11" t="str">
        <f t="shared" ca="1" si="90"/>
        <v/>
      </c>
      <c r="F332" s="5"/>
      <c r="G332" s="6" t="str">
        <f>IF(AND($A332&lt;&gt;"",$B332&lt;&gt;"",$C332&lt;&gt;"",$D332&lt;&gt;""),IF(OR($B332="SER",$B332="PLH",$B332="CSF"),"Control CDI Plate "&amp;(INT(((COUNTIFS($B$2:$B332,"SER")+COUNTIFS($B$2:$B332,"PLH")+COUNTIFS($B$2:$B332,"CSF"))-1)/96)+1)&amp;": "&amp;CHAR(65+INT(MOD((COUNTIFS($B$2:$B332,"SER")+COUNTIFS($B$2:$B332,"PLH")+COUNTIFS($B$2:$B332,"CSF"))-1,96)/12))&amp;(MOD((COUNTIFS($B$2:$B332,"SER")+COUNTIFS($B$2:$B332,"PLH")+COUNTIFS($B$2:$B332,"CSF"))-1,12)+1),"N/A"),"")</f>
        <v/>
      </c>
      <c r="H332" s="6" t="str">
        <f>IF(AND($A332&lt;&gt;"",$B332&lt;&gt;"",$C332&lt;&gt;"",$D332&lt;&gt;""),IF(OR($B332="SER",$B332="PLH",$B332="CSF"),"Control NIH Plate "&amp;(INT(((COUNTIFS($B$2:$B332,"SER")+COUNTIFS($B$2:$B332,"PLH")+COUNTIFS($B$2:$B332,"CSF"))-1)/96)+1)&amp;": "&amp;CHAR(65+INT(MOD((COUNTIFS($B$2:$B332,"SER")+COUNTIFS($B$2:$B332,"PLH")+COUNTIFS($B$2:$B332,"CSF"))-1,96)/12))&amp;(MOD((COUNTIFS($B$2:$B332,"SER")+COUNTIFS($B$2:$B332,"PLH")+COUNTIFS($B$2:$B332,"CSF"))-1,12)+1),"N/A"),"")</f>
        <v/>
      </c>
      <c r="I332" s="6" t="str">
        <f>IF(AND($A332&lt;&gt;"",$B332&lt;&gt;"",$C332&lt;&gt;"",$D332&lt;&gt;""),IF(OR($B332="SER",$B332="PLH"),"Control MAX Planck Plate "&amp;(INT(((COUNTIFS($B$2:$B332,"SER")+COUNTIFS($B$2:$B332,"PLH"))-1)/96)+1)&amp;": "&amp;CHAR(65+INT(MOD((COUNTIFS($B$2:$B332,"SER")+COUNTIFS($B$2:$B332,"PLH"))-1,96)/12))&amp;(MOD((COUNTIFS($B$2:$B332,"SER")+COUNTIFS($B$2:$B332,"PLH"))-1,12)+1),"N/A"),"")</f>
        <v/>
      </c>
      <c r="J332" s="6" t="str">
        <f>IF(AND($A332&lt;&gt;"",$B332&lt;&gt;"",$C332&lt;&gt;"",$D332&lt;&gt;""),IF($B332="WB","Control WB Box "&amp;(INT((COUNTIFS($B$2:$B332,"WB")-1)/81)+1)&amp;": "&amp;CHAR(65+INT(MOD(COUNTIFS($B$2:$B332,"WB")-1,81)/9))&amp;(MOD(COUNTIFS($B$2:$B332,"WB")-1,9)+1),"N/A"),"")</f>
        <v/>
      </c>
      <c r="K332" s="3" t="str">
        <f t="shared" si="91"/>
        <v/>
      </c>
      <c r="L332" s="2"/>
      <c r="M332" s="2"/>
      <c r="N332" s="2"/>
      <c r="O332" s="7" t="str">
        <f t="shared" si="92"/>
        <v/>
      </c>
      <c r="P332" s="7" t="str">
        <f t="shared" si="93"/>
        <v/>
      </c>
      <c r="Q332" s="7" t="str">
        <f t="shared" si="94"/>
        <v/>
      </c>
      <c r="R332" s="7" t="str">
        <f t="shared" si="95"/>
        <v/>
      </c>
      <c r="S332" s="7" t="str">
        <f t="shared" si="96"/>
        <v/>
      </c>
      <c r="T332" s="7" t="str">
        <f t="shared" si="97"/>
        <v/>
      </c>
      <c r="U332" s="7" t="str">
        <f t="shared" si="98"/>
        <v/>
      </c>
      <c r="V332" s="7" t="str">
        <f t="shared" si="99"/>
        <v/>
      </c>
      <c r="W332" s="7" t="str">
        <f t="shared" si="100"/>
        <v/>
      </c>
      <c r="X332" s="7" t="str">
        <f t="shared" si="101"/>
        <v/>
      </c>
      <c r="Y332">
        <f t="shared" si="102"/>
        <v>0</v>
      </c>
      <c r="Z332" t="str">
        <f t="shared" si="103"/>
        <v/>
      </c>
      <c r="AA332" t="str">
        <f t="shared" si="104"/>
        <v/>
      </c>
      <c r="AB332" t="str">
        <f t="shared" si="105"/>
        <v/>
      </c>
      <c r="AC332" t="str">
        <f t="shared" si="106"/>
        <v/>
      </c>
      <c r="AD332">
        <f t="shared" si="107"/>
        <v>0</v>
      </c>
    </row>
    <row r="333" spans="1:30" ht="15" customHeight="1" x14ac:dyDescent="0.35">
      <c r="A333" s="2"/>
      <c r="B333" s="3"/>
      <c r="C333" s="4"/>
      <c r="D333" s="5"/>
      <c r="E333" s="11" t="str">
        <f t="shared" ca="1" si="90"/>
        <v/>
      </c>
      <c r="F333" s="5"/>
      <c r="G333" s="6" t="str">
        <f>IF(AND($A333&lt;&gt;"",$B333&lt;&gt;"",$C333&lt;&gt;"",$D333&lt;&gt;""),IF(OR($B333="SER",$B333="PLH",$B333="CSF"),"Control CDI Plate "&amp;(INT(((COUNTIFS($B$2:$B333,"SER")+COUNTIFS($B$2:$B333,"PLH")+COUNTIFS($B$2:$B333,"CSF"))-1)/96)+1)&amp;": "&amp;CHAR(65+INT(MOD((COUNTIFS($B$2:$B333,"SER")+COUNTIFS($B$2:$B333,"PLH")+COUNTIFS($B$2:$B333,"CSF"))-1,96)/12))&amp;(MOD((COUNTIFS($B$2:$B333,"SER")+COUNTIFS($B$2:$B333,"PLH")+COUNTIFS($B$2:$B333,"CSF"))-1,12)+1),"N/A"),"")</f>
        <v/>
      </c>
      <c r="H333" s="6" t="str">
        <f>IF(AND($A333&lt;&gt;"",$B333&lt;&gt;"",$C333&lt;&gt;"",$D333&lt;&gt;""),IF(OR($B333="SER",$B333="PLH",$B333="CSF"),"Control NIH Plate "&amp;(INT(((COUNTIFS($B$2:$B333,"SER")+COUNTIFS($B$2:$B333,"PLH")+COUNTIFS($B$2:$B333,"CSF"))-1)/96)+1)&amp;": "&amp;CHAR(65+INT(MOD((COUNTIFS($B$2:$B333,"SER")+COUNTIFS($B$2:$B333,"PLH")+COUNTIFS($B$2:$B333,"CSF"))-1,96)/12))&amp;(MOD((COUNTIFS($B$2:$B333,"SER")+COUNTIFS($B$2:$B333,"PLH")+COUNTIFS($B$2:$B333,"CSF"))-1,12)+1),"N/A"),"")</f>
        <v/>
      </c>
      <c r="I333" s="6" t="str">
        <f>IF(AND($A333&lt;&gt;"",$B333&lt;&gt;"",$C333&lt;&gt;"",$D333&lt;&gt;""),IF(OR($B333="SER",$B333="PLH"),"Control MAX Planck Plate "&amp;(INT(((COUNTIFS($B$2:$B333,"SER")+COUNTIFS($B$2:$B333,"PLH"))-1)/96)+1)&amp;": "&amp;CHAR(65+INT(MOD((COUNTIFS($B$2:$B333,"SER")+COUNTIFS($B$2:$B333,"PLH"))-1,96)/12))&amp;(MOD((COUNTIFS($B$2:$B333,"SER")+COUNTIFS($B$2:$B333,"PLH"))-1,12)+1),"N/A"),"")</f>
        <v/>
      </c>
      <c r="J333" s="6" t="str">
        <f>IF(AND($A333&lt;&gt;"",$B333&lt;&gt;"",$C333&lt;&gt;"",$D333&lt;&gt;""),IF($B333="WB","Control WB Box "&amp;(INT((COUNTIFS($B$2:$B333,"WB")-1)/81)+1)&amp;": "&amp;CHAR(65+INT(MOD(COUNTIFS($B$2:$B333,"WB")-1,81)/9))&amp;(MOD(COUNTIFS($B$2:$B333,"WB")-1,9)+1),"N/A"),"")</f>
        <v/>
      </c>
      <c r="K333" s="3" t="str">
        <f t="shared" si="91"/>
        <v/>
      </c>
      <c r="L333" s="2"/>
      <c r="M333" s="2"/>
      <c r="N333" s="2"/>
      <c r="O333" s="7" t="str">
        <f t="shared" si="92"/>
        <v/>
      </c>
      <c r="P333" s="7" t="str">
        <f t="shared" si="93"/>
        <v/>
      </c>
      <c r="Q333" s="7" t="str">
        <f t="shared" si="94"/>
        <v/>
      </c>
      <c r="R333" s="7" t="str">
        <f t="shared" si="95"/>
        <v/>
      </c>
      <c r="S333" s="7" t="str">
        <f t="shared" si="96"/>
        <v/>
      </c>
      <c r="T333" s="7" t="str">
        <f t="shared" si="97"/>
        <v/>
      </c>
      <c r="U333" s="7" t="str">
        <f t="shared" si="98"/>
        <v/>
      </c>
      <c r="V333" s="7" t="str">
        <f t="shared" si="99"/>
        <v/>
      </c>
      <c r="W333" s="7" t="str">
        <f t="shared" si="100"/>
        <v/>
      </c>
      <c r="X333" s="7" t="str">
        <f t="shared" si="101"/>
        <v/>
      </c>
      <c r="Y333">
        <f t="shared" si="102"/>
        <v>0</v>
      </c>
      <c r="Z333" t="str">
        <f t="shared" si="103"/>
        <v/>
      </c>
      <c r="AA333" t="str">
        <f t="shared" si="104"/>
        <v/>
      </c>
      <c r="AB333" t="str">
        <f t="shared" si="105"/>
        <v/>
      </c>
      <c r="AC333" t="str">
        <f t="shared" si="106"/>
        <v/>
      </c>
      <c r="AD333">
        <f t="shared" si="107"/>
        <v>0</v>
      </c>
    </row>
    <row r="334" spans="1:30" ht="15" customHeight="1" x14ac:dyDescent="0.35">
      <c r="A334" s="2"/>
      <c r="B334" s="3"/>
      <c r="C334" s="4"/>
      <c r="D334" s="5"/>
      <c r="E334" s="11" t="str">
        <f t="shared" ca="1" si="90"/>
        <v/>
      </c>
      <c r="F334" s="5"/>
      <c r="G334" s="6" t="str">
        <f>IF(AND($A334&lt;&gt;"",$B334&lt;&gt;"",$C334&lt;&gt;"",$D334&lt;&gt;""),IF(OR($B334="SER",$B334="PLH",$B334="CSF"),"Control CDI Plate "&amp;(INT(((COUNTIFS($B$2:$B334,"SER")+COUNTIFS($B$2:$B334,"PLH")+COUNTIFS($B$2:$B334,"CSF"))-1)/96)+1)&amp;": "&amp;CHAR(65+INT(MOD((COUNTIFS($B$2:$B334,"SER")+COUNTIFS($B$2:$B334,"PLH")+COUNTIFS($B$2:$B334,"CSF"))-1,96)/12))&amp;(MOD((COUNTIFS($B$2:$B334,"SER")+COUNTIFS($B$2:$B334,"PLH")+COUNTIFS($B$2:$B334,"CSF"))-1,12)+1),"N/A"),"")</f>
        <v/>
      </c>
      <c r="H334" s="6" t="str">
        <f>IF(AND($A334&lt;&gt;"",$B334&lt;&gt;"",$C334&lt;&gt;"",$D334&lt;&gt;""),IF(OR($B334="SER",$B334="PLH",$B334="CSF"),"Control NIH Plate "&amp;(INT(((COUNTIFS($B$2:$B334,"SER")+COUNTIFS($B$2:$B334,"PLH")+COUNTIFS($B$2:$B334,"CSF"))-1)/96)+1)&amp;": "&amp;CHAR(65+INT(MOD((COUNTIFS($B$2:$B334,"SER")+COUNTIFS($B$2:$B334,"PLH")+COUNTIFS($B$2:$B334,"CSF"))-1,96)/12))&amp;(MOD((COUNTIFS($B$2:$B334,"SER")+COUNTIFS($B$2:$B334,"PLH")+COUNTIFS($B$2:$B334,"CSF"))-1,12)+1),"N/A"),"")</f>
        <v/>
      </c>
      <c r="I334" s="6" t="str">
        <f>IF(AND($A334&lt;&gt;"",$B334&lt;&gt;"",$C334&lt;&gt;"",$D334&lt;&gt;""),IF(OR($B334="SER",$B334="PLH"),"Control MAX Planck Plate "&amp;(INT(((COUNTIFS($B$2:$B334,"SER")+COUNTIFS($B$2:$B334,"PLH"))-1)/96)+1)&amp;": "&amp;CHAR(65+INT(MOD((COUNTIFS($B$2:$B334,"SER")+COUNTIFS($B$2:$B334,"PLH"))-1,96)/12))&amp;(MOD((COUNTIFS($B$2:$B334,"SER")+COUNTIFS($B$2:$B334,"PLH"))-1,12)+1),"N/A"),"")</f>
        <v/>
      </c>
      <c r="J334" s="6" t="str">
        <f>IF(AND($A334&lt;&gt;"",$B334&lt;&gt;"",$C334&lt;&gt;"",$D334&lt;&gt;""),IF($B334="WB","Control WB Box "&amp;(INT((COUNTIFS($B$2:$B334,"WB")-1)/81)+1)&amp;": "&amp;CHAR(65+INT(MOD(COUNTIFS($B$2:$B334,"WB")-1,81)/9))&amp;(MOD(COUNTIFS($B$2:$B334,"WB")-1,9)+1),"N/A"),"")</f>
        <v/>
      </c>
      <c r="K334" s="3" t="str">
        <f t="shared" si="91"/>
        <v/>
      </c>
      <c r="L334" s="2"/>
      <c r="M334" s="2"/>
      <c r="N334" s="2"/>
      <c r="O334" s="7" t="str">
        <f t="shared" si="92"/>
        <v/>
      </c>
      <c r="P334" s="7" t="str">
        <f t="shared" si="93"/>
        <v/>
      </c>
      <c r="Q334" s="7" t="str">
        <f t="shared" si="94"/>
        <v/>
      </c>
      <c r="R334" s="7" t="str">
        <f t="shared" si="95"/>
        <v/>
      </c>
      <c r="S334" s="7" t="str">
        <f t="shared" si="96"/>
        <v/>
      </c>
      <c r="T334" s="7" t="str">
        <f t="shared" si="97"/>
        <v/>
      </c>
      <c r="U334" s="7" t="str">
        <f t="shared" si="98"/>
        <v/>
      </c>
      <c r="V334" s="7" t="str">
        <f t="shared" si="99"/>
        <v/>
      </c>
      <c r="W334" s="7" t="str">
        <f t="shared" si="100"/>
        <v/>
      </c>
      <c r="X334" s="7" t="str">
        <f t="shared" si="101"/>
        <v/>
      </c>
      <c r="Y334">
        <f t="shared" si="102"/>
        <v>0</v>
      </c>
      <c r="Z334" t="str">
        <f t="shared" si="103"/>
        <v/>
      </c>
      <c r="AA334" t="str">
        <f t="shared" si="104"/>
        <v/>
      </c>
      <c r="AB334" t="str">
        <f t="shared" si="105"/>
        <v/>
      </c>
      <c r="AC334" t="str">
        <f t="shared" si="106"/>
        <v/>
      </c>
      <c r="AD334">
        <f t="shared" si="107"/>
        <v>0</v>
      </c>
    </row>
    <row r="335" spans="1:30" ht="15" customHeight="1" x14ac:dyDescent="0.35">
      <c r="A335" s="2"/>
      <c r="B335" s="3"/>
      <c r="C335" s="4"/>
      <c r="D335" s="5"/>
      <c r="E335" s="11" t="str">
        <f t="shared" ca="1" si="90"/>
        <v/>
      </c>
      <c r="F335" s="5"/>
      <c r="G335" s="6" t="str">
        <f>IF(AND($A335&lt;&gt;"",$B335&lt;&gt;"",$C335&lt;&gt;"",$D335&lt;&gt;""),IF(OR($B335="SER",$B335="PLH",$B335="CSF"),"Control CDI Plate "&amp;(INT(((COUNTIFS($B$2:$B335,"SER")+COUNTIFS($B$2:$B335,"PLH")+COUNTIFS($B$2:$B335,"CSF"))-1)/96)+1)&amp;": "&amp;CHAR(65+INT(MOD((COUNTIFS($B$2:$B335,"SER")+COUNTIFS($B$2:$B335,"PLH")+COUNTIFS($B$2:$B335,"CSF"))-1,96)/12))&amp;(MOD((COUNTIFS($B$2:$B335,"SER")+COUNTIFS($B$2:$B335,"PLH")+COUNTIFS($B$2:$B335,"CSF"))-1,12)+1),"N/A"),"")</f>
        <v/>
      </c>
      <c r="H335" s="6" t="str">
        <f>IF(AND($A335&lt;&gt;"",$B335&lt;&gt;"",$C335&lt;&gt;"",$D335&lt;&gt;""),IF(OR($B335="SER",$B335="PLH",$B335="CSF"),"Control NIH Plate "&amp;(INT(((COUNTIFS($B$2:$B335,"SER")+COUNTIFS($B$2:$B335,"PLH")+COUNTIFS($B$2:$B335,"CSF"))-1)/96)+1)&amp;": "&amp;CHAR(65+INT(MOD((COUNTIFS($B$2:$B335,"SER")+COUNTIFS($B$2:$B335,"PLH")+COUNTIFS($B$2:$B335,"CSF"))-1,96)/12))&amp;(MOD((COUNTIFS($B$2:$B335,"SER")+COUNTIFS($B$2:$B335,"PLH")+COUNTIFS($B$2:$B335,"CSF"))-1,12)+1),"N/A"),"")</f>
        <v/>
      </c>
      <c r="I335" s="6" t="str">
        <f>IF(AND($A335&lt;&gt;"",$B335&lt;&gt;"",$C335&lt;&gt;"",$D335&lt;&gt;""),IF(OR($B335="SER",$B335="PLH"),"Control MAX Planck Plate "&amp;(INT(((COUNTIFS($B$2:$B335,"SER")+COUNTIFS($B$2:$B335,"PLH"))-1)/96)+1)&amp;": "&amp;CHAR(65+INT(MOD((COUNTIFS($B$2:$B335,"SER")+COUNTIFS($B$2:$B335,"PLH"))-1,96)/12))&amp;(MOD((COUNTIFS($B$2:$B335,"SER")+COUNTIFS($B$2:$B335,"PLH"))-1,12)+1),"N/A"),"")</f>
        <v/>
      </c>
      <c r="J335" s="6" t="str">
        <f>IF(AND($A335&lt;&gt;"",$B335&lt;&gt;"",$C335&lt;&gt;"",$D335&lt;&gt;""),IF($B335="WB","Control WB Box "&amp;(INT((COUNTIFS($B$2:$B335,"WB")-1)/81)+1)&amp;": "&amp;CHAR(65+INT(MOD(COUNTIFS($B$2:$B335,"WB")-1,81)/9))&amp;(MOD(COUNTIFS($B$2:$B335,"WB")-1,9)+1),"N/A"),"")</f>
        <v/>
      </c>
      <c r="K335" s="3" t="str">
        <f t="shared" si="91"/>
        <v/>
      </c>
      <c r="L335" s="2"/>
      <c r="M335" s="2"/>
      <c r="N335" s="2"/>
      <c r="O335" s="7" t="str">
        <f t="shared" si="92"/>
        <v/>
      </c>
      <c r="P335" s="7" t="str">
        <f t="shared" si="93"/>
        <v/>
      </c>
      <c r="Q335" s="7" t="str">
        <f t="shared" si="94"/>
        <v/>
      </c>
      <c r="R335" s="7" t="str">
        <f t="shared" si="95"/>
        <v/>
      </c>
      <c r="S335" s="7" t="str">
        <f t="shared" si="96"/>
        <v/>
      </c>
      <c r="T335" s="7" t="str">
        <f t="shared" si="97"/>
        <v/>
      </c>
      <c r="U335" s="7" t="str">
        <f t="shared" si="98"/>
        <v/>
      </c>
      <c r="V335" s="7" t="str">
        <f t="shared" si="99"/>
        <v/>
      </c>
      <c r="W335" s="7" t="str">
        <f t="shared" si="100"/>
        <v/>
      </c>
      <c r="X335" s="7" t="str">
        <f t="shared" si="101"/>
        <v/>
      </c>
      <c r="Y335">
        <f t="shared" si="102"/>
        <v>0</v>
      </c>
      <c r="Z335" t="str">
        <f t="shared" si="103"/>
        <v/>
      </c>
      <c r="AA335" t="str">
        <f t="shared" si="104"/>
        <v/>
      </c>
      <c r="AB335" t="str">
        <f t="shared" si="105"/>
        <v/>
      </c>
      <c r="AC335" t="str">
        <f t="shared" si="106"/>
        <v/>
      </c>
      <c r="AD335">
        <f t="shared" si="107"/>
        <v>0</v>
      </c>
    </row>
    <row r="336" spans="1:30" ht="15" customHeight="1" x14ac:dyDescent="0.35">
      <c r="A336" s="2"/>
      <c r="B336" s="3"/>
      <c r="C336" s="4"/>
      <c r="D336" s="5"/>
      <c r="E336" s="11" t="str">
        <f t="shared" ca="1" si="90"/>
        <v/>
      </c>
      <c r="F336" s="5"/>
      <c r="G336" s="6" t="str">
        <f>IF(AND($A336&lt;&gt;"",$B336&lt;&gt;"",$C336&lt;&gt;"",$D336&lt;&gt;""),IF(OR($B336="SER",$B336="PLH",$B336="CSF"),"Control CDI Plate "&amp;(INT(((COUNTIFS($B$2:$B336,"SER")+COUNTIFS($B$2:$B336,"PLH")+COUNTIFS($B$2:$B336,"CSF"))-1)/96)+1)&amp;": "&amp;CHAR(65+INT(MOD((COUNTIFS($B$2:$B336,"SER")+COUNTIFS($B$2:$B336,"PLH")+COUNTIFS($B$2:$B336,"CSF"))-1,96)/12))&amp;(MOD((COUNTIFS($B$2:$B336,"SER")+COUNTIFS($B$2:$B336,"PLH")+COUNTIFS($B$2:$B336,"CSF"))-1,12)+1),"N/A"),"")</f>
        <v/>
      </c>
      <c r="H336" s="6" t="str">
        <f>IF(AND($A336&lt;&gt;"",$B336&lt;&gt;"",$C336&lt;&gt;"",$D336&lt;&gt;""),IF(OR($B336="SER",$B336="PLH",$B336="CSF"),"Control NIH Plate "&amp;(INT(((COUNTIFS($B$2:$B336,"SER")+COUNTIFS($B$2:$B336,"PLH")+COUNTIFS($B$2:$B336,"CSF"))-1)/96)+1)&amp;": "&amp;CHAR(65+INT(MOD((COUNTIFS($B$2:$B336,"SER")+COUNTIFS($B$2:$B336,"PLH")+COUNTIFS($B$2:$B336,"CSF"))-1,96)/12))&amp;(MOD((COUNTIFS($B$2:$B336,"SER")+COUNTIFS($B$2:$B336,"PLH")+COUNTIFS($B$2:$B336,"CSF"))-1,12)+1),"N/A"),"")</f>
        <v/>
      </c>
      <c r="I336" s="6" t="str">
        <f>IF(AND($A336&lt;&gt;"",$B336&lt;&gt;"",$C336&lt;&gt;"",$D336&lt;&gt;""),IF(OR($B336="SER",$B336="PLH"),"Control MAX Planck Plate "&amp;(INT(((COUNTIFS($B$2:$B336,"SER")+COUNTIFS($B$2:$B336,"PLH"))-1)/96)+1)&amp;": "&amp;CHAR(65+INT(MOD((COUNTIFS($B$2:$B336,"SER")+COUNTIFS($B$2:$B336,"PLH"))-1,96)/12))&amp;(MOD((COUNTIFS($B$2:$B336,"SER")+COUNTIFS($B$2:$B336,"PLH"))-1,12)+1),"N/A"),"")</f>
        <v/>
      </c>
      <c r="J336" s="6" t="str">
        <f>IF(AND($A336&lt;&gt;"",$B336&lt;&gt;"",$C336&lt;&gt;"",$D336&lt;&gt;""),IF($B336="WB","Control WB Box "&amp;(INT((COUNTIFS($B$2:$B336,"WB")-1)/81)+1)&amp;": "&amp;CHAR(65+INT(MOD(COUNTIFS($B$2:$B336,"WB")-1,81)/9))&amp;(MOD(COUNTIFS($B$2:$B336,"WB")-1,9)+1),"N/A"),"")</f>
        <v/>
      </c>
      <c r="K336" s="3" t="str">
        <f t="shared" si="91"/>
        <v/>
      </c>
      <c r="L336" s="2"/>
      <c r="M336" s="2"/>
      <c r="N336" s="2"/>
      <c r="O336" s="7" t="str">
        <f t="shared" si="92"/>
        <v/>
      </c>
      <c r="P336" s="7" t="str">
        <f t="shared" si="93"/>
        <v/>
      </c>
      <c r="Q336" s="7" t="str">
        <f t="shared" si="94"/>
        <v/>
      </c>
      <c r="R336" s="7" t="str">
        <f t="shared" si="95"/>
        <v/>
      </c>
      <c r="S336" s="7" t="str">
        <f t="shared" si="96"/>
        <v/>
      </c>
      <c r="T336" s="7" t="str">
        <f t="shared" si="97"/>
        <v/>
      </c>
      <c r="U336" s="7" t="str">
        <f t="shared" si="98"/>
        <v/>
      </c>
      <c r="V336" s="7" t="str">
        <f t="shared" si="99"/>
        <v/>
      </c>
      <c r="W336" s="7" t="str">
        <f t="shared" si="100"/>
        <v/>
      </c>
      <c r="X336" s="7" t="str">
        <f t="shared" si="101"/>
        <v/>
      </c>
      <c r="Y336">
        <f t="shared" si="102"/>
        <v>0</v>
      </c>
      <c r="Z336" t="str">
        <f t="shared" si="103"/>
        <v/>
      </c>
      <c r="AA336" t="str">
        <f t="shared" si="104"/>
        <v/>
      </c>
      <c r="AB336" t="str">
        <f t="shared" si="105"/>
        <v/>
      </c>
      <c r="AC336" t="str">
        <f t="shared" si="106"/>
        <v/>
      </c>
      <c r="AD336">
        <f t="shared" si="107"/>
        <v>0</v>
      </c>
    </row>
    <row r="337" spans="1:30" ht="15" customHeight="1" x14ac:dyDescent="0.35">
      <c r="A337" s="2"/>
      <c r="B337" s="3"/>
      <c r="C337" s="4"/>
      <c r="D337" s="5"/>
      <c r="E337" s="11" t="str">
        <f t="shared" ca="1" si="90"/>
        <v/>
      </c>
      <c r="F337" s="5"/>
      <c r="G337" s="6" t="str">
        <f>IF(AND($A337&lt;&gt;"",$B337&lt;&gt;"",$C337&lt;&gt;"",$D337&lt;&gt;""),IF(OR($B337="SER",$B337="PLH",$B337="CSF"),"Control CDI Plate "&amp;(INT(((COUNTIFS($B$2:$B337,"SER")+COUNTIFS($B$2:$B337,"PLH")+COUNTIFS($B$2:$B337,"CSF"))-1)/96)+1)&amp;": "&amp;CHAR(65+INT(MOD((COUNTIFS($B$2:$B337,"SER")+COUNTIFS($B$2:$B337,"PLH")+COUNTIFS($B$2:$B337,"CSF"))-1,96)/12))&amp;(MOD((COUNTIFS($B$2:$B337,"SER")+COUNTIFS($B$2:$B337,"PLH")+COUNTIFS($B$2:$B337,"CSF"))-1,12)+1),"N/A"),"")</f>
        <v/>
      </c>
      <c r="H337" s="6" t="str">
        <f>IF(AND($A337&lt;&gt;"",$B337&lt;&gt;"",$C337&lt;&gt;"",$D337&lt;&gt;""),IF(OR($B337="SER",$B337="PLH",$B337="CSF"),"Control NIH Plate "&amp;(INT(((COUNTIFS($B$2:$B337,"SER")+COUNTIFS($B$2:$B337,"PLH")+COUNTIFS($B$2:$B337,"CSF"))-1)/96)+1)&amp;": "&amp;CHAR(65+INT(MOD((COUNTIFS($B$2:$B337,"SER")+COUNTIFS($B$2:$B337,"PLH")+COUNTIFS($B$2:$B337,"CSF"))-1,96)/12))&amp;(MOD((COUNTIFS($B$2:$B337,"SER")+COUNTIFS($B$2:$B337,"PLH")+COUNTIFS($B$2:$B337,"CSF"))-1,12)+1),"N/A"),"")</f>
        <v/>
      </c>
      <c r="I337" s="6" t="str">
        <f>IF(AND($A337&lt;&gt;"",$B337&lt;&gt;"",$C337&lt;&gt;"",$D337&lt;&gt;""),IF(OR($B337="SER",$B337="PLH"),"Control MAX Planck Plate "&amp;(INT(((COUNTIFS($B$2:$B337,"SER")+COUNTIFS($B$2:$B337,"PLH"))-1)/96)+1)&amp;": "&amp;CHAR(65+INT(MOD((COUNTIFS($B$2:$B337,"SER")+COUNTIFS($B$2:$B337,"PLH"))-1,96)/12))&amp;(MOD((COUNTIFS($B$2:$B337,"SER")+COUNTIFS($B$2:$B337,"PLH"))-1,12)+1),"N/A"),"")</f>
        <v/>
      </c>
      <c r="J337" s="6" t="str">
        <f>IF(AND($A337&lt;&gt;"",$B337&lt;&gt;"",$C337&lt;&gt;"",$D337&lt;&gt;""),IF($B337="WB","Control WB Box "&amp;(INT((COUNTIFS($B$2:$B337,"WB")-1)/81)+1)&amp;": "&amp;CHAR(65+INT(MOD(COUNTIFS($B$2:$B337,"WB")-1,81)/9))&amp;(MOD(COUNTIFS($B$2:$B337,"WB")-1,9)+1),"N/A"),"")</f>
        <v/>
      </c>
      <c r="K337" s="3" t="str">
        <f t="shared" si="91"/>
        <v/>
      </c>
      <c r="L337" s="2"/>
      <c r="M337" s="2"/>
      <c r="N337" s="2"/>
      <c r="O337" s="7" t="str">
        <f t="shared" si="92"/>
        <v/>
      </c>
      <c r="P337" s="7" t="str">
        <f t="shared" si="93"/>
        <v/>
      </c>
      <c r="Q337" s="7" t="str">
        <f t="shared" si="94"/>
        <v/>
      </c>
      <c r="R337" s="7" t="str">
        <f t="shared" si="95"/>
        <v/>
      </c>
      <c r="S337" s="7" t="str">
        <f t="shared" si="96"/>
        <v/>
      </c>
      <c r="T337" s="7" t="str">
        <f t="shared" si="97"/>
        <v/>
      </c>
      <c r="U337" s="7" t="str">
        <f t="shared" si="98"/>
        <v/>
      </c>
      <c r="V337" s="7" t="str">
        <f t="shared" si="99"/>
        <v/>
      </c>
      <c r="W337" s="7" t="str">
        <f t="shared" si="100"/>
        <v/>
      </c>
      <c r="X337" s="7" t="str">
        <f t="shared" si="101"/>
        <v/>
      </c>
      <c r="Y337">
        <f t="shared" si="102"/>
        <v>0</v>
      </c>
      <c r="Z337" t="str">
        <f t="shared" si="103"/>
        <v/>
      </c>
      <c r="AA337" t="str">
        <f t="shared" si="104"/>
        <v/>
      </c>
      <c r="AB337" t="str">
        <f t="shared" si="105"/>
        <v/>
      </c>
      <c r="AC337" t="str">
        <f t="shared" si="106"/>
        <v/>
      </c>
      <c r="AD337">
        <f t="shared" si="107"/>
        <v>0</v>
      </c>
    </row>
    <row r="338" spans="1:30" ht="15" customHeight="1" x14ac:dyDescent="0.35">
      <c r="A338" s="2"/>
      <c r="B338" s="3"/>
      <c r="C338" s="4"/>
      <c r="D338" s="5"/>
      <c r="E338" s="11" t="str">
        <f t="shared" ca="1" si="90"/>
        <v/>
      </c>
      <c r="F338" s="5"/>
      <c r="G338" s="6" t="str">
        <f>IF(AND($A338&lt;&gt;"",$B338&lt;&gt;"",$C338&lt;&gt;"",$D338&lt;&gt;""),IF(OR($B338="SER",$B338="PLH",$B338="CSF"),"Control CDI Plate "&amp;(INT(((COUNTIFS($B$2:$B338,"SER")+COUNTIFS($B$2:$B338,"PLH")+COUNTIFS($B$2:$B338,"CSF"))-1)/96)+1)&amp;": "&amp;CHAR(65+INT(MOD((COUNTIFS($B$2:$B338,"SER")+COUNTIFS($B$2:$B338,"PLH")+COUNTIFS($B$2:$B338,"CSF"))-1,96)/12))&amp;(MOD((COUNTIFS($B$2:$B338,"SER")+COUNTIFS($B$2:$B338,"PLH")+COUNTIFS($B$2:$B338,"CSF"))-1,12)+1),"N/A"),"")</f>
        <v/>
      </c>
      <c r="H338" s="6" t="str">
        <f>IF(AND($A338&lt;&gt;"",$B338&lt;&gt;"",$C338&lt;&gt;"",$D338&lt;&gt;""),IF(OR($B338="SER",$B338="PLH",$B338="CSF"),"Control NIH Plate "&amp;(INT(((COUNTIFS($B$2:$B338,"SER")+COUNTIFS($B$2:$B338,"PLH")+COUNTIFS($B$2:$B338,"CSF"))-1)/96)+1)&amp;": "&amp;CHAR(65+INT(MOD((COUNTIFS($B$2:$B338,"SER")+COUNTIFS($B$2:$B338,"PLH")+COUNTIFS($B$2:$B338,"CSF"))-1,96)/12))&amp;(MOD((COUNTIFS($B$2:$B338,"SER")+COUNTIFS($B$2:$B338,"PLH")+COUNTIFS($B$2:$B338,"CSF"))-1,12)+1),"N/A"),"")</f>
        <v/>
      </c>
      <c r="I338" s="6" t="str">
        <f>IF(AND($A338&lt;&gt;"",$B338&lt;&gt;"",$C338&lt;&gt;"",$D338&lt;&gt;""),IF(OR($B338="SER",$B338="PLH"),"Control MAX Planck Plate "&amp;(INT(((COUNTIFS($B$2:$B338,"SER")+COUNTIFS($B$2:$B338,"PLH"))-1)/96)+1)&amp;": "&amp;CHAR(65+INT(MOD((COUNTIFS($B$2:$B338,"SER")+COUNTIFS($B$2:$B338,"PLH"))-1,96)/12))&amp;(MOD((COUNTIFS($B$2:$B338,"SER")+COUNTIFS($B$2:$B338,"PLH"))-1,12)+1),"N/A"),"")</f>
        <v/>
      </c>
      <c r="J338" s="6" t="str">
        <f>IF(AND($A338&lt;&gt;"",$B338&lt;&gt;"",$C338&lt;&gt;"",$D338&lt;&gt;""),IF($B338="WB","Control WB Box "&amp;(INT((COUNTIFS($B$2:$B338,"WB")-1)/81)+1)&amp;": "&amp;CHAR(65+INT(MOD(COUNTIFS($B$2:$B338,"WB")-1,81)/9))&amp;(MOD(COUNTIFS($B$2:$B338,"WB")-1,9)+1),"N/A"),"")</f>
        <v/>
      </c>
      <c r="K338" s="3" t="str">
        <f t="shared" si="91"/>
        <v/>
      </c>
      <c r="L338" s="2"/>
      <c r="M338" s="2"/>
      <c r="N338" s="2"/>
      <c r="O338" s="7" t="str">
        <f t="shared" si="92"/>
        <v/>
      </c>
      <c r="P338" s="7" t="str">
        <f t="shared" si="93"/>
        <v/>
      </c>
      <c r="Q338" s="7" t="str">
        <f t="shared" si="94"/>
        <v/>
      </c>
      <c r="R338" s="7" t="str">
        <f t="shared" si="95"/>
        <v/>
      </c>
      <c r="S338" s="7" t="str">
        <f t="shared" si="96"/>
        <v/>
      </c>
      <c r="T338" s="7" t="str">
        <f t="shared" si="97"/>
        <v/>
      </c>
      <c r="U338" s="7" t="str">
        <f t="shared" si="98"/>
        <v/>
      </c>
      <c r="V338" s="7" t="str">
        <f t="shared" si="99"/>
        <v/>
      </c>
      <c r="W338" s="7" t="str">
        <f t="shared" si="100"/>
        <v/>
      </c>
      <c r="X338" s="7" t="str">
        <f t="shared" si="101"/>
        <v/>
      </c>
      <c r="Y338">
        <f t="shared" si="102"/>
        <v>0</v>
      </c>
      <c r="Z338" t="str">
        <f t="shared" si="103"/>
        <v/>
      </c>
      <c r="AA338" t="str">
        <f t="shared" si="104"/>
        <v/>
      </c>
      <c r="AB338" t="str">
        <f t="shared" si="105"/>
        <v/>
      </c>
      <c r="AC338" t="str">
        <f t="shared" si="106"/>
        <v/>
      </c>
      <c r="AD338">
        <f t="shared" si="107"/>
        <v>0</v>
      </c>
    </row>
    <row r="339" spans="1:30" ht="15" customHeight="1" x14ac:dyDescent="0.35">
      <c r="A339" s="2"/>
      <c r="B339" s="3"/>
      <c r="C339" s="4"/>
      <c r="D339" s="5"/>
      <c r="E339" s="11" t="str">
        <f t="shared" ca="1" si="90"/>
        <v/>
      </c>
      <c r="F339" s="5"/>
      <c r="G339" s="6" t="str">
        <f>IF(AND($A339&lt;&gt;"",$B339&lt;&gt;"",$C339&lt;&gt;"",$D339&lt;&gt;""),IF(OR($B339="SER",$B339="PLH",$B339="CSF"),"Control CDI Plate "&amp;(INT(((COUNTIFS($B$2:$B339,"SER")+COUNTIFS($B$2:$B339,"PLH")+COUNTIFS($B$2:$B339,"CSF"))-1)/96)+1)&amp;": "&amp;CHAR(65+INT(MOD((COUNTIFS($B$2:$B339,"SER")+COUNTIFS($B$2:$B339,"PLH")+COUNTIFS($B$2:$B339,"CSF"))-1,96)/12))&amp;(MOD((COUNTIFS($B$2:$B339,"SER")+COUNTIFS($B$2:$B339,"PLH")+COUNTIFS($B$2:$B339,"CSF"))-1,12)+1),"N/A"),"")</f>
        <v/>
      </c>
      <c r="H339" s="6" t="str">
        <f>IF(AND($A339&lt;&gt;"",$B339&lt;&gt;"",$C339&lt;&gt;"",$D339&lt;&gt;""),IF(OR($B339="SER",$B339="PLH",$B339="CSF"),"Control NIH Plate "&amp;(INT(((COUNTIFS($B$2:$B339,"SER")+COUNTIFS($B$2:$B339,"PLH")+COUNTIFS($B$2:$B339,"CSF"))-1)/96)+1)&amp;": "&amp;CHAR(65+INT(MOD((COUNTIFS($B$2:$B339,"SER")+COUNTIFS($B$2:$B339,"PLH")+COUNTIFS($B$2:$B339,"CSF"))-1,96)/12))&amp;(MOD((COUNTIFS($B$2:$B339,"SER")+COUNTIFS($B$2:$B339,"PLH")+COUNTIFS($B$2:$B339,"CSF"))-1,12)+1),"N/A"),"")</f>
        <v/>
      </c>
      <c r="I339" s="6" t="str">
        <f>IF(AND($A339&lt;&gt;"",$B339&lt;&gt;"",$C339&lt;&gt;"",$D339&lt;&gt;""),IF(OR($B339="SER",$B339="PLH"),"Control MAX Planck Plate "&amp;(INT(((COUNTIFS($B$2:$B339,"SER")+COUNTIFS($B$2:$B339,"PLH"))-1)/96)+1)&amp;": "&amp;CHAR(65+INT(MOD((COUNTIFS($B$2:$B339,"SER")+COUNTIFS($B$2:$B339,"PLH"))-1,96)/12))&amp;(MOD((COUNTIFS($B$2:$B339,"SER")+COUNTIFS($B$2:$B339,"PLH"))-1,12)+1),"N/A"),"")</f>
        <v/>
      </c>
      <c r="J339" s="6" t="str">
        <f>IF(AND($A339&lt;&gt;"",$B339&lt;&gt;"",$C339&lt;&gt;"",$D339&lt;&gt;""),IF($B339="WB","Control WB Box "&amp;(INT((COUNTIFS($B$2:$B339,"WB")-1)/81)+1)&amp;": "&amp;CHAR(65+INT(MOD(COUNTIFS($B$2:$B339,"WB")-1,81)/9))&amp;(MOD(COUNTIFS($B$2:$B339,"WB")-1,9)+1),"N/A"),"")</f>
        <v/>
      </c>
      <c r="K339" s="3" t="str">
        <f t="shared" si="91"/>
        <v/>
      </c>
      <c r="L339" s="2"/>
      <c r="M339" s="2"/>
      <c r="N339" s="2"/>
      <c r="O339" s="7" t="str">
        <f t="shared" si="92"/>
        <v/>
      </c>
      <c r="P339" s="7" t="str">
        <f t="shared" si="93"/>
        <v/>
      </c>
      <c r="Q339" s="7" t="str">
        <f t="shared" si="94"/>
        <v/>
      </c>
      <c r="R339" s="7" t="str">
        <f t="shared" si="95"/>
        <v/>
      </c>
      <c r="S339" s="7" t="str">
        <f t="shared" si="96"/>
        <v/>
      </c>
      <c r="T339" s="7" t="str">
        <f t="shared" si="97"/>
        <v/>
      </c>
      <c r="U339" s="7" t="str">
        <f t="shared" si="98"/>
        <v/>
      </c>
      <c r="V339" s="7" t="str">
        <f t="shared" si="99"/>
        <v/>
      </c>
      <c r="W339" s="7" t="str">
        <f t="shared" si="100"/>
        <v/>
      </c>
      <c r="X339" s="7" t="str">
        <f t="shared" si="101"/>
        <v/>
      </c>
      <c r="Y339">
        <f t="shared" si="102"/>
        <v>0</v>
      </c>
      <c r="Z339" t="str">
        <f t="shared" si="103"/>
        <v/>
      </c>
      <c r="AA339" t="str">
        <f t="shared" si="104"/>
        <v/>
      </c>
      <c r="AB339" t="str">
        <f t="shared" si="105"/>
        <v/>
      </c>
      <c r="AC339" t="str">
        <f t="shared" si="106"/>
        <v/>
      </c>
      <c r="AD339">
        <f t="shared" si="107"/>
        <v>0</v>
      </c>
    </row>
    <row r="340" spans="1:30" ht="15" customHeight="1" x14ac:dyDescent="0.35">
      <c r="A340" s="2"/>
      <c r="B340" s="3"/>
      <c r="C340" s="4"/>
      <c r="D340" s="5"/>
      <c r="E340" s="11" t="str">
        <f t="shared" ca="1" si="90"/>
        <v/>
      </c>
      <c r="F340" s="5"/>
      <c r="G340" s="6" t="str">
        <f>IF(AND($A340&lt;&gt;"",$B340&lt;&gt;"",$C340&lt;&gt;"",$D340&lt;&gt;""),IF(OR($B340="SER",$B340="PLH",$B340="CSF"),"Control CDI Plate "&amp;(INT(((COUNTIFS($B$2:$B340,"SER")+COUNTIFS($B$2:$B340,"PLH")+COUNTIFS($B$2:$B340,"CSF"))-1)/96)+1)&amp;": "&amp;CHAR(65+INT(MOD((COUNTIFS($B$2:$B340,"SER")+COUNTIFS($B$2:$B340,"PLH")+COUNTIFS($B$2:$B340,"CSF"))-1,96)/12))&amp;(MOD((COUNTIFS($B$2:$B340,"SER")+COUNTIFS($B$2:$B340,"PLH")+COUNTIFS($B$2:$B340,"CSF"))-1,12)+1),"N/A"),"")</f>
        <v/>
      </c>
      <c r="H340" s="6" t="str">
        <f>IF(AND($A340&lt;&gt;"",$B340&lt;&gt;"",$C340&lt;&gt;"",$D340&lt;&gt;""),IF(OR($B340="SER",$B340="PLH",$B340="CSF"),"Control NIH Plate "&amp;(INT(((COUNTIFS($B$2:$B340,"SER")+COUNTIFS($B$2:$B340,"PLH")+COUNTIFS($B$2:$B340,"CSF"))-1)/96)+1)&amp;": "&amp;CHAR(65+INT(MOD((COUNTIFS($B$2:$B340,"SER")+COUNTIFS($B$2:$B340,"PLH")+COUNTIFS($B$2:$B340,"CSF"))-1,96)/12))&amp;(MOD((COUNTIFS($B$2:$B340,"SER")+COUNTIFS($B$2:$B340,"PLH")+COUNTIFS($B$2:$B340,"CSF"))-1,12)+1),"N/A"),"")</f>
        <v/>
      </c>
      <c r="I340" s="6" t="str">
        <f>IF(AND($A340&lt;&gt;"",$B340&lt;&gt;"",$C340&lt;&gt;"",$D340&lt;&gt;""),IF(OR($B340="SER",$B340="PLH"),"Control MAX Planck Plate "&amp;(INT(((COUNTIFS($B$2:$B340,"SER")+COUNTIFS($B$2:$B340,"PLH"))-1)/96)+1)&amp;": "&amp;CHAR(65+INT(MOD((COUNTIFS($B$2:$B340,"SER")+COUNTIFS($B$2:$B340,"PLH"))-1,96)/12))&amp;(MOD((COUNTIFS($B$2:$B340,"SER")+COUNTIFS($B$2:$B340,"PLH"))-1,12)+1),"N/A"),"")</f>
        <v/>
      </c>
      <c r="J340" s="6" t="str">
        <f>IF(AND($A340&lt;&gt;"",$B340&lt;&gt;"",$C340&lt;&gt;"",$D340&lt;&gt;""),IF($B340="WB","Control WB Box "&amp;(INT((COUNTIFS($B$2:$B340,"WB")-1)/81)+1)&amp;": "&amp;CHAR(65+INT(MOD(COUNTIFS($B$2:$B340,"WB")-1,81)/9))&amp;(MOD(COUNTIFS($B$2:$B340,"WB")-1,9)+1),"N/A"),"")</f>
        <v/>
      </c>
      <c r="K340" s="3" t="str">
        <f t="shared" si="91"/>
        <v/>
      </c>
      <c r="L340" s="2"/>
      <c r="M340" s="2"/>
      <c r="N340" s="2"/>
      <c r="O340" s="7" t="str">
        <f t="shared" si="92"/>
        <v/>
      </c>
      <c r="P340" s="7" t="str">
        <f t="shared" si="93"/>
        <v/>
      </c>
      <c r="Q340" s="7" t="str">
        <f t="shared" si="94"/>
        <v/>
      </c>
      <c r="R340" s="7" t="str">
        <f t="shared" si="95"/>
        <v/>
      </c>
      <c r="S340" s="7" t="str">
        <f t="shared" si="96"/>
        <v/>
      </c>
      <c r="T340" s="7" t="str">
        <f t="shared" si="97"/>
        <v/>
      </c>
      <c r="U340" s="7" t="str">
        <f t="shared" si="98"/>
        <v/>
      </c>
      <c r="V340" s="7" t="str">
        <f t="shared" si="99"/>
        <v/>
      </c>
      <c r="W340" s="7" t="str">
        <f t="shared" si="100"/>
        <v/>
      </c>
      <c r="X340" s="7" t="str">
        <f t="shared" si="101"/>
        <v/>
      </c>
      <c r="Y340">
        <f t="shared" si="102"/>
        <v>0</v>
      </c>
      <c r="Z340" t="str">
        <f t="shared" si="103"/>
        <v/>
      </c>
      <c r="AA340" t="str">
        <f t="shared" si="104"/>
        <v/>
      </c>
      <c r="AB340" t="str">
        <f t="shared" si="105"/>
        <v/>
      </c>
      <c r="AC340" t="str">
        <f t="shared" si="106"/>
        <v/>
      </c>
      <c r="AD340">
        <f t="shared" si="107"/>
        <v>0</v>
      </c>
    </row>
    <row r="341" spans="1:30" ht="15" customHeight="1" x14ac:dyDescent="0.35">
      <c r="A341" s="2"/>
      <c r="B341" s="3"/>
      <c r="C341" s="4"/>
      <c r="D341" s="5"/>
      <c r="E341" s="11" t="str">
        <f t="shared" ca="1" si="90"/>
        <v/>
      </c>
      <c r="F341" s="5"/>
      <c r="G341" s="6" t="str">
        <f>IF(AND($A341&lt;&gt;"",$B341&lt;&gt;"",$C341&lt;&gt;"",$D341&lt;&gt;""),IF(OR($B341="SER",$B341="PLH",$B341="CSF"),"Control CDI Plate "&amp;(INT(((COUNTIFS($B$2:$B341,"SER")+COUNTIFS($B$2:$B341,"PLH")+COUNTIFS($B$2:$B341,"CSF"))-1)/96)+1)&amp;": "&amp;CHAR(65+INT(MOD((COUNTIFS($B$2:$B341,"SER")+COUNTIFS($B$2:$B341,"PLH")+COUNTIFS($B$2:$B341,"CSF"))-1,96)/12))&amp;(MOD((COUNTIFS($B$2:$B341,"SER")+COUNTIFS($B$2:$B341,"PLH")+COUNTIFS($B$2:$B341,"CSF"))-1,12)+1),"N/A"),"")</f>
        <v/>
      </c>
      <c r="H341" s="6" t="str">
        <f>IF(AND($A341&lt;&gt;"",$B341&lt;&gt;"",$C341&lt;&gt;"",$D341&lt;&gt;""),IF(OR($B341="SER",$B341="PLH",$B341="CSF"),"Control NIH Plate "&amp;(INT(((COUNTIFS($B$2:$B341,"SER")+COUNTIFS($B$2:$B341,"PLH")+COUNTIFS($B$2:$B341,"CSF"))-1)/96)+1)&amp;": "&amp;CHAR(65+INT(MOD((COUNTIFS($B$2:$B341,"SER")+COUNTIFS($B$2:$B341,"PLH")+COUNTIFS($B$2:$B341,"CSF"))-1,96)/12))&amp;(MOD((COUNTIFS($B$2:$B341,"SER")+COUNTIFS($B$2:$B341,"PLH")+COUNTIFS($B$2:$B341,"CSF"))-1,12)+1),"N/A"),"")</f>
        <v/>
      </c>
      <c r="I341" s="6" t="str">
        <f>IF(AND($A341&lt;&gt;"",$B341&lt;&gt;"",$C341&lt;&gt;"",$D341&lt;&gt;""),IF(OR($B341="SER",$B341="PLH"),"Control MAX Planck Plate "&amp;(INT(((COUNTIFS($B$2:$B341,"SER")+COUNTIFS($B$2:$B341,"PLH"))-1)/96)+1)&amp;": "&amp;CHAR(65+INT(MOD((COUNTIFS($B$2:$B341,"SER")+COUNTIFS($B$2:$B341,"PLH"))-1,96)/12))&amp;(MOD((COUNTIFS($B$2:$B341,"SER")+COUNTIFS($B$2:$B341,"PLH"))-1,12)+1),"N/A"),"")</f>
        <v/>
      </c>
      <c r="J341" s="6" t="str">
        <f>IF(AND($A341&lt;&gt;"",$B341&lt;&gt;"",$C341&lt;&gt;"",$D341&lt;&gt;""),IF($B341="WB","Control WB Box "&amp;(INT((COUNTIFS($B$2:$B341,"WB")-1)/81)+1)&amp;": "&amp;CHAR(65+INT(MOD(COUNTIFS($B$2:$B341,"WB")-1,81)/9))&amp;(MOD(COUNTIFS($B$2:$B341,"WB")-1,9)+1),"N/A"),"")</f>
        <v/>
      </c>
      <c r="K341" s="3" t="str">
        <f t="shared" si="91"/>
        <v/>
      </c>
      <c r="L341" s="2"/>
      <c r="M341" s="2"/>
      <c r="N341" s="2"/>
      <c r="O341" s="7" t="str">
        <f t="shared" si="92"/>
        <v/>
      </c>
      <c r="P341" s="7" t="str">
        <f t="shared" si="93"/>
        <v/>
      </c>
      <c r="Q341" s="7" t="str">
        <f t="shared" si="94"/>
        <v/>
      </c>
      <c r="R341" s="7" t="str">
        <f t="shared" si="95"/>
        <v/>
      </c>
      <c r="S341" s="7" t="str">
        <f t="shared" si="96"/>
        <v/>
      </c>
      <c r="T341" s="7" t="str">
        <f t="shared" si="97"/>
        <v/>
      </c>
      <c r="U341" s="7" t="str">
        <f t="shared" si="98"/>
        <v/>
      </c>
      <c r="V341" s="7" t="str">
        <f t="shared" si="99"/>
        <v/>
      </c>
      <c r="W341" s="7" t="str">
        <f t="shared" si="100"/>
        <v/>
      </c>
      <c r="X341" s="7" t="str">
        <f t="shared" si="101"/>
        <v/>
      </c>
      <c r="Y341">
        <f t="shared" si="102"/>
        <v>0</v>
      </c>
      <c r="Z341" t="str">
        <f t="shared" si="103"/>
        <v/>
      </c>
      <c r="AA341" t="str">
        <f t="shared" si="104"/>
        <v/>
      </c>
      <c r="AB341" t="str">
        <f t="shared" si="105"/>
        <v/>
      </c>
      <c r="AC341" t="str">
        <f t="shared" si="106"/>
        <v/>
      </c>
      <c r="AD341">
        <f t="shared" si="107"/>
        <v>0</v>
      </c>
    </row>
    <row r="342" spans="1:30" ht="15" customHeight="1" x14ac:dyDescent="0.35">
      <c r="A342" s="2"/>
      <c r="B342" s="3"/>
      <c r="C342" s="4"/>
      <c r="D342" s="5"/>
      <c r="E342" s="11" t="str">
        <f t="shared" ca="1" si="90"/>
        <v/>
      </c>
      <c r="F342" s="5"/>
      <c r="G342" s="6" t="str">
        <f>IF(AND($A342&lt;&gt;"",$B342&lt;&gt;"",$C342&lt;&gt;"",$D342&lt;&gt;""),IF(OR($B342="SER",$B342="PLH",$B342="CSF"),"Control CDI Plate "&amp;(INT(((COUNTIFS($B$2:$B342,"SER")+COUNTIFS($B$2:$B342,"PLH")+COUNTIFS($B$2:$B342,"CSF"))-1)/96)+1)&amp;": "&amp;CHAR(65+INT(MOD((COUNTIFS($B$2:$B342,"SER")+COUNTIFS($B$2:$B342,"PLH")+COUNTIFS($B$2:$B342,"CSF"))-1,96)/12))&amp;(MOD((COUNTIFS($B$2:$B342,"SER")+COUNTIFS($B$2:$B342,"PLH")+COUNTIFS($B$2:$B342,"CSF"))-1,12)+1),"N/A"),"")</f>
        <v/>
      </c>
      <c r="H342" s="6" t="str">
        <f>IF(AND($A342&lt;&gt;"",$B342&lt;&gt;"",$C342&lt;&gt;"",$D342&lt;&gt;""),IF(OR($B342="SER",$B342="PLH",$B342="CSF"),"Control NIH Plate "&amp;(INT(((COUNTIFS($B$2:$B342,"SER")+COUNTIFS($B$2:$B342,"PLH")+COUNTIFS($B$2:$B342,"CSF"))-1)/96)+1)&amp;": "&amp;CHAR(65+INT(MOD((COUNTIFS($B$2:$B342,"SER")+COUNTIFS($B$2:$B342,"PLH")+COUNTIFS($B$2:$B342,"CSF"))-1,96)/12))&amp;(MOD((COUNTIFS($B$2:$B342,"SER")+COUNTIFS($B$2:$B342,"PLH")+COUNTIFS($B$2:$B342,"CSF"))-1,12)+1),"N/A"),"")</f>
        <v/>
      </c>
      <c r="I342" s="6" t="str">
        <f>IF(AND($A342&lt;&gt;"",$B342&lt;&gt;"",$C342&lt;&gt;"",$D342&lt;&gt;""),IF(OR($B342="SER",$B342="PLH"),"Control MAX Planck Plate "&amp;(INT(((COUNTIFS($B$2:$B342,"SER")+COUNTIFS($B$2:$B342,"PLH"))-1)/96)+1)&amp;": "&amp;CHAR(65+INT(MOD((COUNTIFS($B$2:$B342,"SER")+COUNTIFS($B$2:$B342,"PLH"))-1,96)/12))&amp;(MOD((COUNTIFS($B$2:$B342,"SER")+COUNTIFS($B$2:$B342,"PLH"))-1,12)+1),"N/A"),"")</f>
        <v/>
      </c>
      <c r="J342" s="6" t="str">
        <f>IF(AND($A342&lt;&gt;"",$B342&lt;&gt;"",$C342&lt;&gt;"",$D342&lt;&gt;""),IF($B342="WB","Control WB Box "&amp;(INT((COUNTIFS($B$2:$B342,"WB")-1)/81)+1)&amp;": "&amp;CHAR(65+INT(MOD(COUNTIFS($B$2:$B342,"WB")-1,81)/9))&amp;(MOD(COUNTIFS($B$2:$B342,"WB")-1,9)+1),"N/A"),"")</f>
        <v/>
      </c>
      <c r="K342" s="3" t="str">
        <f t="shared" si="91"/>
        <v/>
      </c>
      <c r="L342" s="2"/>
      <c r="M342" s="2"/>
      <c r="N342" s="2"/>
      <c r="O342" s="7" t="str">
        <f t="shared" si="92"/>
        <v/>
      </c>
      <c r="P342" s="7" t="str">
        <f t="shared" si="93"/>
        <v/>
      </c>
      <c r="Q342" s="7" t="str">
        <f t="shared" si="94"/>
        <v/>
      </c>
      <c r="R342" s="7" t="str">
        <f t="shared" si="95"/>
        <v/>
      </c>
      <c r="S342" s="7" t="str">
        <f t="shared" si="96"/>
        <v/>
      </c>
      <c r="T342" s="7" t="str">
        <f t="shared" si="97"/>
        <v/>
      </c>
      <c r="U342" s="7" t="str">
        <f t="shared" si="98"/>
        <v/>
      </c>
      <c r="V342" s="7" t="str">
        <f t="shared" si="99"/>
        <v/>
      </c>
      <c r="W342" s="7" t="str">
        <f t="shared" si="100"/>
        <v/>
      </c>
      <c r="X342" s="7" t="str">
        <f t="shared" si="101"/>
        <v/>
      </c>
      <c r="Y342">
        <f t="shared" si="102"/>
        <v>0</v>
      </c>
      <c r="Z342" t="str">
        <f t="shared" si="103"/>
        <v/>
      </c>
      <c r="AA342" t="str">
        <f t="shared" si="104"/>
        <v/>
      </c>
      <c r="AB342" t="str">
        <f t="shared" si="105"/>
        <v/>
      </c>
      <c r="AC342" t="str">
        <f t="shared" si="106"/>
        <v/>
      </c>
      <c r="AD342">
        <f t="shared" si="107"/>
        <v>0</v>
      </c>
    </row>
    <row r="343" spans="1:30" ht="15" customHeight="1" x14ac:dyDescent="0.35">
      <c r="A343" s="2"/>
      <c r="B343" s="3"/>
      <c r="C343" s="4"/>
      <c r="D343" s="5"/>
      <c r="E343" s="11" t="str">
        <f t="shared" ca="1" si="90"/>
        <v/>
      </c>
      <c r="F343" s="5"/>
      <c r="G343" s="6" t="str">
        <f>IF(AND($A343&lt;&gt;"",$B343&lt;&gt;"",$C343&lt;&gt;"",$D343&lt;&gt;""),IF(OR($B343="SER",$B343="PLH",$B343="CSF"),"Control CDI Plate "&amp;(INT(((COUNTIFS($B$2:$B343,"SER")+COUNTIFS($B$2:$B343,"PLH")+COUNTIFS($B$2:$B343,"CSF"))-1)/96)+1)&amp;": "&amp;CHAR(65+INT(MOD((COUNTIFS($B$2:$B343,"SER")+COUNTIFS($B$2:$B343,"PLH")+COUNTIFS($B$2:$B343,"CSF"))-1,96)/12))&amp;(MOD((COUNTIFS($B$2:$B343,"SER")+COUNTIFS($B$2:$B343,"PLH")+COUNTIFS($B$2:$B343,"CSF"))-1,12)+1),"N/A"),"")</f>
        <v/>
      </c>
      <c r="H343" s="6" t="str">
        <f>IF(AND($A343&lt;&gt;"",$B343&lt;&gt;"",$C343&lt;&gt;"",$D343&lt;&gt;""),IF(OR($B343="SER",$B343="PLH",$B343="CSF"),"Control NIH Plate "&amp;(INT(((COUNTIFS($B$2:$B343,"SER")+COUNTIFS($B$2:$B343,"PLH")+COUNTIFS($B$2:$B343,"CSF"))-1)/96)+1)&amp;": "&amp;CHAR(65+INT(MOD((COUNTIFS($B$2:$B343,"SER")+COUNTIFS($B$2:$B343,"PLH")+COUNTIFS($B$2:$B343,"CSF"))-1,96)/12))&amp;(MOD((COUNTIFS($B$2:$B343,"SER")+COUNTIFS($B$2:$B343,"PLH")+COUNTIFS($B$2:$B343,"CSF"))-1,12)+1),"N/A"),"")</f>
        <v/>
      </c>
      <c r="I343" s="6" t="str">
        <f>IF(AND($A343&lt;&gt;"",$B343&lt;&gt;"",$C343&lt;&gt;"",$D343&lt;&gt;""),IF(OR($B343="SER",$B343="PLH"),"Control MAX Planck Plate "&amp;(INT(((COUNTIFS($B$2:$B343,"SER")+COUNTIFS($B$2:$B343,"PLH"))-1)/96)+1)&amp;": "&amp;CHAR(65+INT(MOD((COUNTIFS($B$2:$B343,"SER")+COUNTIFS($B$2:$B343,"PLH"))-1,96)/12))&amp;(MOD((COUNTIFS($B$2:$B343,"SER")+COUNTIFS($B$2:$B343,"PLH"))-1,12)+1),"N/A"),"")</f>
        <v/>
      </c>
      <c r="J343" s="6" t="str">
        <f>IF(AND($A343&lt;&gt;"",$B343&lt;&gt;"",$C343&lt;&gt;"",$D343&lt;&gt;""),IF($B343="WB","Control WB Box "&amp;(INT((COUNTIFS($B$2:$B343,"WB")-1)/81)+1)&amp;": "&amp;CHAR(65+INT(MOD(COUNTIFS($B$2:$B343,"WB")-1,81)/9))&amp;(MOD(COUNTIFS($B$2:$B343,"WB")-1,9)+1),"N/A"),"")</f>
        <v/>
      </c>
      <c r="K343" s="3" t="str">
        <f t="shared" si="91"/>
        <v/>
      </c>
      <c r="L343" s="2"/>
      <c r="M343" s="2"/>
      <c r="N343" s="2"/>
      <c r="O343" s="7" t="str">
        <f t="shared" si="92"/>
        <v/>
      </c>
      <c r="P343" s="7" t="str">
        <f t="shared" si="93"/>
        <v/>
      </c>
      <c r="Q343" s="7" t="str">
        <f t="shared" si="94"/>
        <v/>
      </c>
      <c r="R343" s="7" t="str">
        <f t="shared" si="95"/>
        <v/>
      </c>
      <c r="S343" s="7" t="str">
        <f t="shared" si="96"/>
        <v/>
      </c>
      <c r="T343" s="7" t="str">
        <f t="shared" si="97"/>
        <v/>
      </c>
      <c r="U343" s="7" t="str">
        <f t="shared" si="98"/>
        <v/>
      </c>
      <c r="V343" s="7" t="str">
        <f t="shared" si="99"/>
        <v/>
      </c>
      <c r="W343" s="7" t="str">
        <f t="shared" si="100"/>
        <v/>
      </c>
      <c r="X343" s="7" t="str">
        <f t="shared" si="101"/>
        <v/>
      </c>
      <c r="Y343">
        <f t="shared" si="102"/>
        <v>0</v>
      </c>
      <c r="Z343" t="str">
        <f t="shared" si="103"/>
        <v/>
      </c>
      <c r="AA343" t="str">
        <f t="shared" si="104"/>
        <v/>
      </c>
      <c r="AB343" t="str">
        <f t="shared" si="105"/>
        <v/>
      </c>
      <c r="AC343" t="str">
        <f t="shared" si="106"/>
        <v/>
      </c>
      <c r="AD343">
        <f t="shared" si="107"/>
        <v>0</v>
      </c>
    </row>
    <row r="344" spans="1:30" ht="15" customHeight="1" x14ac:dyDescent="0.35">
      <c r="A344" s="2"/>
      <c r="B344" s="3"/>
      <c r="C344" s="4"/>
      <c r="D344" s="5"/>
      <c r="E344" s="11" t="str">
        <f t="shared" ca="1" si="90"/>
        <v/>
      </c>
      <c r="F344" s="5"/>
      <c r="G344" s="6" t="str">
        <f>IF(AND($A344&lt;&gt;"",$B344&lt;&gt;"",$C344&lt;&gt;"",$D344&lt;&gt;""),IF(OR($B344="SER",$B344="PLH",$B344="CSF"),"Control CDI Plate "&amp;(INT(((COUNTIFS($B$2:$B344,"SER")+COUNTIFS($B$2:$B344,"PLH")+COUNTIFS($B$2:$B344,"CSF"))-1)/96)+1)&amp;": "&amp;CHAR(65+INT(MOD((COUNTIFS($B$2:$B344,"SER")+COUNTIFS($B$2:$B344,"PLH")+COUNTIFS($B$2:$B344,"CSF"))-1,96)/12))&amp;(MOD((COUNTIFS($B$2:$B344,"SER")+COUNTIFS($B$2:$B344,"PLH")+COUNTIFS($B$2:$B344,"CSF"))-1,12)+1),"N/A"),"")</f>
        <v/>
      </c>
      <c r="H344" s="6" t="str">
        <f>IF(AND($A344&lt;&gt;"",$B344&lt;&gt;"",$C344&lt;&gt;"",$D344&lt;&gt;""),IF(OR($B344="SER",$B344="PLH",$B344="CSF"),"Control NIH Plate "&amp;(INT(((COUNTIFS($B$2:$B344,"SER")+COUNTIFS($B$2:$B344,"PLH")+COUNTIFS($B$2:$B344,"CSF"))-1)/96)+1)&amp;": "&amp;CHAR(65+INT(MOD((COUNTIFS($B$2:$B344,"SER")+COUNTIFS($B$2:$B344,"PLH")+COUNTIFS($B$2:$B344,"CSF"))-1,96)/12))&amp;(MOD((COUNTIFS($B$2:$B344,"SER")+COUNTIFS($B$2:$B344,"PLH")+COUNTIFS($B$2:$B344,"CSF"))-1,12)+1),"N/A"),"")</f>
        <v/>
      </c>
      <c r="I344" s="6" t="str">
        <f>IF(AND($A344&lt;&gt;"",$B344&lt;&gt;"",$C344&lt;&gt;"",$D344&lt;&gt;""),IF(OR($B344="SER",$B344="PLH"),"Control MAX Planck Plate "&amp;(INT(((COUNTIFS($B$2:$B344,"SER")+COUNTIFS($B$2:$B344,"PLH"))-1)/96)+1)&amp;": "&amp;CHAR(65+INT(MOD((COUNTIFS($B$2:$B344,"SER")+COUNTIFS($B$2:$B344,"PLH"))-1,96)/12))&amp;(MOD((COUNTIFS($B$2:$B344,"SER")+COUNTIFS($B$2:$B344,"PLH"))-1,12)+1),"N/A"),"")</f>
        <v/>
      </c>
      <c r="J344" s="6" t="str">
        <f>IF(AND($A344&lt;&gt;"",$B344&lt;&gt;"",$C344&lt;&gt;"",$D344&lt;&gt;""),IF($B344="WB","Control WB Box "&amp;(INT((COUNTIFS($B$2:$B344,"WB")-1)/81)+1)&amp;": "&amp;CHAR(65+INT(MOD(COUNTIFS($B$2:$B344,"WB")-1,81)/9))&amp;(MOD(COUNTIFS($B$2:$B344,"WB")-1,9)+1),"N/A"),"")</f>
        <v/>
      </c>
      <c r="K344" s="3" t="str">
        <f t="shared" si="91"/>
        <v/>
      </c>
      <c r="L344" s="2"/>
      <c r="M344" s="2"/>
      <c r="N344" s="2"/>
      <c r="O344" s="7" t="str">
        <f t="shared" si="92"/>
        <v/>
      </c>
      <c r="P344" s="7" t="str">
        <f t="shared" si="93"/>
        <v/>
      </c>
      <c r="Q344" s="7" t="str">
        <f t="shared" si="94"/>
        <v/>
      </c>
      <c r="R344" s="7" t="str">
        <f t="shared" si="95"/>
        <v/>
      </c>
      <c r="S344" s="7" t="str">
        <f t="shared" si="96"/>
        <v/>
      </c>
      <c r="T344" s="7" t="str">
        <f t="shared" si="97"/>
        <v/>
      </c>
      <c r="U344" s="7" t="str">
        <f t="shared" si="98"/>
        <v/>
      </c>
      <c r="V344" s="7" t="str">
        <f t="shared" si="99"/>
        <v/>
      </c>
      <c r="W344" s="7" t="str">
        <f t="shared" si="100"/>
        <v/>
      </c>
      <c r="X344" s="7" t="str">
        <f t="shared" si="101"/>
        <v/>
      </c>
      <c r="Y344">
        <f t="shared" si="102"/>
        <v>0</v>
      </c>
      <c r="Z344" t="str">
        <f t="shared" si="103"/>
        <v/>
      </c>
      <c r="AA344" t="str">
        <f t="shared" si="104"/>
        <v/>
      </c>
      <c r="AB344" t="str">
        <f t="shared" si="105"/>
        <v/>
      </c>
      <c r="AC344" t="str">
        <f t="shared" si="106"/>
        <v/>
      </c>
      <c r="AD344">
        <f t="shared" si="107"/>
        <v>0</v>
      </c>
    </row>
    <row r="345" spans="1:30" ht="15" customHeight="1" x14ac:dyDescent="0.35">
      <c r="A345" s="2"/>
      <c r="B345" s="3"/>
      <c r="C345" s="4"/>
      <c r="D345" s="5"/>
      <c r="E345" s="11" t="str">
        <f t="shared" ca="1" si="90"/>
        <v/>
      </c>
      <c r="F345" s="5"/>
      <c r="G345" s="6" t="str">
        <f>IF(AND($A345&lt;&gt;"",$B345&lt;&gt;"",$C345&lt;&gt;"",$D345&lt;&gt;""),IF(OR($B345="SER",$B345="PLH",$B345="CSF"),"Control CDI Plate "&amp;(INT(((COUNTIFS($B$2:$B345,"SER")+COUNTIFS($B$2:$B345,"PLH")+COUNTIFS($B$2:$B345,"CSF"))-1)/96)+1)&amp;": "&amp;CHAR(65+INT(MOD((COUNTIFS($B$2:$B345,"SER")+COUNTIFS($B$2:$B345,"PLH")+COUNTIFS($B$2:$B345,"CSF"))-1,96)/12))&amp;(MOD((COUNTIFS($B$2:$B345,"SER")+COUNTIFS($B$2:$B345,"PLH")+COUNTIFS($B$2:$B345,"CSF"))-1,12)+1),"N/A"),"")</f>
        <v/>
      </c>
      <c r="H345" s="6" t="str">
        <f>IF(AND($A345&lt;&gt;"",$B345&lt;&gt;"",$C345&lt;&gt;"",$D345&lt;&gt;""),IF(OR($B345="SER",$B345="PLH",$B345="CSF"),"Control NIH Plate "&amp;(INT(((COUNTIFS($B$2:$B345,"SER")+COUNTIFS($B$2:$B345,"PLH")+COUNTIFS($B$2:$B345,"CSF"))-1)/96)+1)&amp;": "&amp;CHAR(65+INT(MOD((COUNTIFS($B$2:$B345,"SER")+COUNTIFS($B$2:$B345,"PLH")+COUNTIFS($B$2:$B345,"CSF"))-1,96)/12))&amp;(MOD((COUNTIFS($B$2:$B345,"SER")+COUNTIFS($B$2:$B345,"PLH")+COUNTIFS($B$2:$B345,"CSF"))-1,12)+1),"N/A"),"")</f>
        <v/>
      </c>
      <c r="I345" s="6" t="str">
        <f>IF(AND($A345&lt;&gt;"",$B345&lt;&gt;"",$C345&lt;&gt;"",$D345&lt;&gt;""),IF(OR($B345="SER",$B345="PLH"),"Control MAX Planck Plate "&amp;(INT(((COUNTIFS($B$2:$B345,"SER")+COUNTIFS($B$2:$B345,"PLH"))-1)/96)+1)&amp;": "&amp;CHAR(65+INT(MOD((COUNTIFS($B$2:$B345,"SER")+COUNTIFS($B$2:$B345,"PLH"))-1,96)/12))&amp;(MOD((COUNTIFS($B$2:$B345,"SER")+COUNTIFS($B$2:$B345,"PLH"))-1,12)+1),"N/A"),"")</f>
        <v/>
      </c>
      <c r="J345" s="6" t="str">
        <f>IF(AND($A345&lt;&gt;"",$B345&lt;&gt;"",$C345&lt;&gt;"",$D345&lt;&gt;""),IF($B345="WB","Control WB Box "&amp;(INT((COUNTIFS($B$2:$B345,"WB")-1)/81)+1)&amp;": "&amp;CHAR(65+INT(MOD(COUNTIFS($B$2:$B345,"WB")-1,81)/9))&amp;(MOD(COUNTIFS($B$2:$B345,"WB")-1,9)+1),"N/A"),"")</f>
        <v/>
      </c>
      <c r="K345" s="3" t="str">
        <f t="shared" si="91"/>
        <v/>
      </c>
      <c r="L345" s="2"/>
      <c r="M345" s="2"/>
      <c r="N345" s="2"/>
      <c r="O345" s="7" t="str">
        <f t="shared" si="92"/>
        <v/>
      </c>
      <c r="P345" s="7" t="str">
        <f t="shared" si="93"/>
        <v/>
      </c>
      <c r="Q345" s="7" t="str">
        <f t="shared" si="94"/>
        <v/>
      </c>
      <c r="R345" s="7" t="str">
        <f t="shared" si="95"/>
        <v/>
      </c>
      <c r="S345" s="7" t="str">
        <f t="shared" si="96"/>
        <v/>
      </c>
      <c r="T345" s="7" t="str">
        <f t="shared" si="97"/>
        <v/>
      </c>
      <c r="U345" s="7" t="str">
        <f t="shared" si="98"/>
        <v/>
      </c>
      <c r="V345" s="7" t="str">
        <f t="shared" si="99"/>
        <v/>
      </c>
      <c r="W345" s="7" t="str">
        <f t="shared" si="100"/>
        <v/>
      </c>
      <c r="X345" s="7" t="str">
        <f t="shared" si="101"/>
        <v/>
      </c>
      <c r="Y345">
        <f t="shared" si="102"/>
        <v>0</v>
      </c>
      <c r="Z345" t="str">
        <f t="shared" si="103"/>
        <v/>
      </c>
      <c r="AA345" t="str">
        <f t="shared" si="104"/>
        <v/>
      </c>
      <c r="AB345" t="str">
        <f t="shared" si="105"/>
        <v/>
      </c>
      <c r="AC345" t="str">
        <f t="shared" si="106"/>
        <v/>
      </c>
      <c r="AD345">
        <f t="shared" si="107"/>
        <v>0</v>
      </c>
    </row>
    <row r="346" spans="1:30" ht="15" customHeight="1" x14ac:dyDescent="0.35">
      <c r="A346" s="2"/>
      <c r="B346" s="3"/>
      <c r="C346" s="4"/>
      <c r="D346" s="5"/>
      <c r="E346" s="11" t="str">
        <f t="shared" ca="1" si="90"/>
        <v/>
      </c>
      <c r="F346" s="5"/>
      <c r="G346" s="6" t="str">
        <f>IF(AND($A346&lt;&gt;"",$B346&lt;&gt;"",$C346&lt;&gt;"",$D346&lt;&gt;""),IF(OR($B346="SER",$B346="PLH",$B346="CSF"),"Control CDI Plate "&amp;(INT(((COUNTIFS($B$2:$B346,"SER")+COUNTIFS($B$2:$B346,"PLH")+COUNTIFS($B$2:$B346,"CSF"))-1)/96)+1)&amp;": "&amp;CHAR(65+INT(MOD((COUNTIFS($B$2:$B346,"SER")+COUNTIFS($B$2:$B346,"PLH")+COUNTIFS($B$2:$B346,"CSF"))-1,96)/12))&amp;(MOD((COUNTIFS($B$2:$B346,"SER")+COUNTIFS($B$2:$B346,"PLH")+COUNTIFS($B$2:$B346,"CSF"))-1,12)+1),"N/A"),"")</f>
        <v/>
      </c>
      <c r="H346" s="6" t="str">
        <f>IF(AND($A346&lt;&gt;"",$B346&lt;&gt;"",$C346&lt;&gt;"",$D346&lt;&gt;""),IF(OR($B346="SER",$B346="PLH",$B346="CSF"),"Control NIH Plate "&amp;(INT(((COUNTIFS($B$2:$B346,"SER")+COUNTIFS($B$2:$B346,"PLH")+COUNTIFS($B$2:$B346,"CSF"))-1)/96)+1)&amp;": "&amp;CHAR(65+INT(MOD((COUNTIFS($B$2:$B346,"SER")+COUNTIFS($B$2:$B346,"PLH")+COUNTIFS($B$2:$B346,"CSF"))-1,96)/12))&amp;(MOD((COUNTIFS($B$2:$B346,"SER")+COUNTIFS($B$2:$B346,"PLH")+COUNTIFS($B$2:$B346,"CSF"))-1,12)+1),"N/A"),"")</f>
        <v/>
      </c>
      <c r="I346" s="6" t="str">
        <f>IF(AND($A346&lt;&gt;"",$B346&lt;&gt;"",$C346&lt;&gt;"",$D346&lt;&gt;""),IF(OR($B346="SER",$B346="PLH"),"Control MAX Planck Plate "&amp;(INT(((COUNTIFS($B$2:$B346,"SER")+COUNTIFS($B$2:$B346,"PLH"))-1)/96)+1)&amp;": "&amp;CHAR(65+INT(MOD((COUNTIFS($B$2:$B346,"SER")+COUNTIFS($B$2:$B346,"PLH"))-1,96)/12))&amp;(MOD((COUNTIFS($B$2:$B346,"SER")+COUNTIFS($B$2:$B346,"PLH"))-1,12)+1),"N/A"),"")</f>
        <v/>
      </c>
      <c r="J346" s="6" t="str">
        <f>IF(AND($A346&lt;&gt;"",$B346&lt;&gt;"",$C346&lt;&gt;"",$D346&lt;&gt;""),IF($B346="WB","Control WB Box "&amp;(INT((COUNTIFS($B$2:$B346,"WB")-1)/81)+1)&amp;": "&amp;CHAR(65+INT(MOD(COUNTIFS($B$2:$B346,"WB")-1,81)/9))&amp;(MOD(COUNTIFS($B$2:$B346,"WB")-1,9)+1),"N/A"),"")</f>
        <v/>
      </c>
      <c r="K346" s="3" t="str">
        <f t="shared" si="91"/>
        <v/>
      </c>
      <c r="L346" s="2"/>
      <c r="M346" s="2"/>
      <c r="N346" s="2"/>
      <c r="O346" s="7" t="str">
        <f t="shared" si="92"/>
        <v/>
      </c>
      <c r="P346" s="7" t="str">
        <f t="shared" si="93"/>
        <v/>
      </c>
      <c r="Q346" s="7" t="str">
        <f t="shared" si="94"/>
        <v/>
      </c>
      <c r="R346" s="7" t="str">
        <f t="shared" si="95"/>
        <v/>
      </c>
      <c r="S346" s="7" t="str">
        <f t="shared" si="96"/>
        <v/>
      </c>
      <c r="T346" s="7" t="str">
        <f t="shared" si="97"/>
        <v/>
      </c>
      <c r="U346" s="7" t="str">
        <f t="shared" si="98"/>
        <v/>
      </c>
      <c r="V346" s="7" t="str">
        <f t="shared" si="99"/>
        <v/>
      </c>
      <c r="W346" s="7" t="str">
        <f t="shared" si="100"/>
        <v/>
      </c>
      <c r="X346" s="7" t="str">
        <f t="shared" si="101"/>
        <v/>
      </c>
      <c r="Y346">
        <f t="shared" si="102"/>
        <v>0</v>
      </c>
      <c r="Z346" t="str">
        <f t="shared" si="103"/>
        <v/>
      </c>
      <c r="AA346" t="str">
        <f t="shared" si="104"/>
        <v/>
      </c>
      <c r="AB346" t="str">
        <f t="shared" si="105"/>
        <v/>
      </c>
      <c r="AC346" t="str">
        <f t="shared" si="106"/>
        <v/>
      </c>
      <c r="AD346">
        <f t="shared" si="107"/>
        <v>0</v>
      </c>
    </row>
    <row r="347" spans="1:30" ht="15" customHeight="1" x14ac:dyDescent="0.35">
      <c r="A347" s="2"/>
      <c r="B347" s="3"/>
      <c r="C347" s="4"/>
      <c r="D347" s="5"/>
      <c r="E347" s="11" t="str">
        <f t="shared" ca="1" si="90"/>
        <v/>
      </c>
      <c r="F347" s="5"/>
      <c r="G347" s="6" t="str">
        <f>IF(AND($A347&lt;&gt;"",$B347&lt;&gt;"",$C347&lt;&gt;"",$D347&lt;&gt;""),IF(OR($B347="SER",$B347="PLH",$B347="CSF"),"Control CDI Plate "&amp;(INT(((COUNTIFS($B$2:$B347,"SER")+COUNTIFS($B$2:$B347,"PLH")+COUNTIFS($B$2:$B347,"CSF"))-1)/96)+1)&amp;": "&amp;CHAR(65+INT(MOD((COUNTIFS($B$2:$B347,"SER")+COUNTIFS($B$2:$B347,"PLH")+COUNTIFS($B$2:$B347,"CSF"))-1,96)/12))&amp;(MOD((COUNTIFS($B$2:$B347,"SER")+COUNTIFS($B$2:$B347,"PLH")+COUNTIFS($B$2:$B347,"CSF"))-1,12)+1),"N/A"),"")</f>
        <v/>
      </c>
      <c r="H347" s="6" t="str">
        <f>IF(AND($A347&lt;&gt;"",$B347&lt;&gt;"",$C347&lt;&gt;"",$D347&lt;&gt;""),IF(OR($B347="SER",$B347="PLH",$B347="CSF"),"Control NIH Plate "&amp;(INT(((COUNTIFS($B$2:$B347,"SER")+COUNTIFS($B$2:$B347,"PLH")+COUNTIFS($B$2:$B347,"CSF"))-1)/96)+1)&amp;": "&amp;CHAR(65+INT(MOD((COUNTIFS($B$2:$B347,"SER")+COUNTIFS($B$2:$B347,"PLH")+COUNTIFS($B$2:$B347,"CSF"))-1,96)/12))&amp;(MOD((COUNTIFS($B$2:$B347,"SER")+COUNTIFS($B$2:$B347,"PLH")+COUNTIFS($B$2:$B347,"CSF"))-1,12)+1),"N/A"),"")</f>
        <v/>
      </c>
      <c r="I347" s="6" t="str">
        <f>IF(AND($A347&lt;&gt;"",$B347&lt;&gt;"",$C347&lt;&gt;"",$D347&lt;&gt;""),IF(OR($B347="SER",$B347="PLH"),"Control MAX Planck Plate "&amp;(INT(((COUNTIFS($B$2:$B347,"SER")+COUNTIFS($B$2:$B347,"PLH"))-1)/96)+1)&amp;": "&amp;CHAR(65+INT(MOD((COUNTIFS($B$2:$B347,"SER")+COUNTIFS($B$2:$B347,"PLH"))-1,96)/12))&amp;(MOD((COUNTIFS($B$2:$B347,"SER")+COUNTIFS($B$2:$B347,"PLH"))-1,12)+1),"N/A"),"")</f>
        <v/>
      </c>
      <c r="J347" s="6" t="str">
        <f>IF(AND($A347&lt;&gt;"",$B347&lt;&gt;"",$C347&lt;&gt;"",$D347&lt;&gt;""),IF($B347="WB","Control WB Box "&amp;(INT((COUNTIFS($B$2:$B347,"WB")-1)/81)+1)&amp;": "&amp;CHAR(65+INT(MOD(COUNTIFS($B$2:$B347,"WB")-1,81)/9))&amp;(MOD(COUNTIFS($B$2:$B347,"WB")-1,9)+1),"N/A"),"")</f>
        <v/>
      </c>
      <c r="K347" s="3" t="str">
        <f t="shared" si="91"/>
        <v/>
      </c>
      <c r="L347" s="2"/>
      <c r="M347" s="2"/>
      <c r="N347" s="2"/>
      <c r="O347" s="7" t="str">
        <f t="shared" si="92"/>
        <v/>
      </c>
      <c r="P347" s="7" t="str">
        <f t="shared" si="93"/>
        <v/>
      </c>
      <c r="Q347" s="7" t="str">
        <f t="shared" si="94"/>
        <v/>
      </c>
      <c r="R347" s="7" t="str">
        <f t="shared" si="95"/>
        <v/>
      </c>
      <c r="S347" s="7" t="str">
        <f t="shared" si="96"/>
        <v/>
      </c>
      <c r="T347" s="7" t="str">
        <f t="shared" si="97"/>
        <v/>
      </c>
      <c r="U347" s="7" t="str">
        <f t="shared" si="98"/>
        <v/>
      </c>
      <c r="V347" s="7" t="str">
        <f t="shared" si="99"/>
        <v/>
      </c>
      <c r="W347" s="7" t="str">
        <f t="shared" si="100"/>
        <v/>
      </c>
      <c r="X347" s="7" t="str">
        <f t="shared" si="101"/>
        <v/>
      </c>
      <c r="Y347">
        <f t="shared" si="102"/>
        <v>0</v>
      </c>
      <c r="Z347" t="str">
        <f t="shared" si="103"/>
        <v/>
      </c>
      <c r="AA347" t="str">
        <f t="shared" si="104"/>
        <v/>
      </c>
      <c r="AB347" t="str">
        <f t="shared" si="105"/>
        <v/>
      </c>
      <c r="AC347" t="str">
        <f t="shared" si="106"/>
        <v/>
      </c>
      <c r="AD347">
        <f t="shared" si="107"/>
        <v>0</v>
      </c>
    </row>
    <row r="348" spans="1:30" ht="15" customHeight="1" x14ac:dyDescent="0.35">
      <c r="A348" s="2"/>
      <c r="B348" s="3"/>
      <c r="C348" s="4"/>
      <c r="D348" s="5"/>
      <c r="E348" s="11" t="str">
        <f t="shared" ca="1" si="90"/>
        <v/>
      </c>
      <c r="F348" s="5"/>
      <c r="G348" s="6" t="str">
        <f>IF(AND($A348&lt;&gt;"",$B348&lt;&gt;"",$C348&lt;&gt;"",$D348&lt;&gt;""),IF(OR($B348="SER",$B348="PLH",$B348="CSF"),"Control CDI Plate "&amp;(INT(((COUNTIFS($B$2:$B348,"SER")+COUNTIFS($B$2:$B348,"PLH")+COUNTIFS($B$2:$B348,"CSF"))-1)/96)+1)&amp;": "&amp;CHAR(65+INT(MOD((COUNTIFS($B$2:$B348,"SER")+COUNTIFS($B$2:$B348,"PLH")+COUNTIFS($B$2:$B348,"CSF"))-1,96)/12))&amp;(MOD((COUNTIFS($B$2:$B348,"SER")+COUNTIFS($B$2:$B348,"PLH")+COUNTIFS($B$2:$B348,"CSF"))-1,12)+1),"N/A"),"")</f>
        <v/>
      </c>
      <c r="H348" s="6" t="str">
        <f>IF(AND($A348&lt;&gt;"",$B348&lt;&gt;"",$C348&lt;&gt;"",$D348&lt;&gt;""),IF(OR($B348="SER",$B348="PLH",$B348="CSF"),"Control NIH Plate "&amp;(INT(((COUNTIFS($B$2:$B348,"SER")+COUNTIFS($B$2:$B348,"PLH")+COUNTIFS($B$2:$B348,"CSF"))-1)/96)+1)&amp;": "&amp;CHAR(65+INT(MOD((COUNTIFS($B$2:$B348,"SER")+COUNTIFS($B$2:$B348,"PLH")+COUNTIFS($B$2:$B348,"CSF"))-1,96)/12))&amp;(MOD((COUNTIFS($B$2:$B348,"SER")+COUNTIFS($B$2:$B348,"PLH")+COUNTIFS($B$2:$B348,"CSF"))-1,12)+1),"N/A"),"")</f>
        <v/>
      </c>
      <c r="I348" s="6" t="str">
        <f>IF(AND($A348&lt;&gt;"",$B348&lt;&gt;"",$C348&lt;&gt;"",$D348&lt;&gt;""),IF(OR($B348="SER",$B348="PLH"),"Control MAX Planck Plate "&amp;(INT(((COUNTIFS($B$2:$B348,"SER")+COUNTIFS($B$2:$B348,"PLH"))-1)/96)+1)&amp;": "&amp;CHAR(65+INT(MOD((COUNTIFS($B$2:$B348,"SER")+COUNTIFS($B$2:$B348,"PLH"))-1,96)/12))&amp;(MOD((COUNTIFS($B$2:$B348,"SER")+COUNTIFS($B$2:$B348,"PLH"))-1,12)+1),"N/A"),"")</f>
        <v/>
      </c>
      <c r="J348" s="6" t="str">
        <f>IF(AND($A348&lt;&gt;"",$B348&lt;&gt;"",$C348&lt;&gt;"",$D348&lt;&gt;""),IF($B348="WB","Control WB Box "&amp;(INT((COUNTIFS($B$2:$B348,"WB")-1)/81)+1)&amp;": "&amp;CHAR(65+INT(MOD(COUNTIFS($B$2:$B348,"WB")-1,81)/9))&amp;(MOD(COUNTIFS($B$2:$B348,"WB")-1,9)+1),"N/A"),"")</f>
        <v/>
      </c>
      <c r="K348" s="3" t="str">
        <f t="shared" si="91"/>
        <v/>
      </c>
      <c r="L348" s="2"/>
      <c r="M348" s="2"/>
      <c r="N348" s="2"/>
      <c r="O348" s="7" t="str">
        <f t="shared" si="92"/>
        <v/>
      </c>
      <c r="P348" s="7" t="str">
        <f t="shared" si="93"/>
        <v/>
      </c>
      <c r="Q348" s="7" t="str">
        <f t="shared" si="94"/>
        <v/>
      </c>
      <c r="R348" s="7" t="str">
        <f t="shared" si="95"/>
        <v/>
      </c>
      <c r="S348" s="7" t="str">
        <f t="shared" si="96"/>
        <v/>
      </c>
      <c r="T348" s="7" t="str">
        <f t="shared" si="97"/>
        <v/>
      </c>
      <c r="U348" s="7" t="str">
        <f t="shared" si="98"/>
        <v/>
      </c>
      <c r="V348" s="7" t="str">
        <f t="shared" si="99"/>
        <v/>
      </c>
      <c r="W348" s="7" t="str">
        <f t="shared" si="100"/>
        <v/>
      </c>
      <c r="X348" s="7" t="str">
        <f t="shared" si="101"/>
        <v/>
      </c>
      <c r="Y348">
        <f t="shared" si="102"/>
        <v>0</v>
      </c>
      <c r="Z348" t="str">
        <f t="shared" si="103"/>
        <v/>
      </c>
      <c r="AA348" t="str">
        <f t="shared" si="104"/>
        <v/>
      </c>
      <c r="AB348" t="str">
        <f t="shared" si="105"/>
        <v/>
      </c>
      <c r="AC348" t="str">
        <f t="shared" si="106"/>
        <v/>
      </c>
      <c r="AD348">
        <f t="shared" si="107"/>
        <v>0</v>
      </c>
    </row>
    <row r="349" spans="1:30" ht="15" customHeight="1" x14ac:dyDescent="0.35">
      <c r="A349" s="2"/>
      <c r="B349" s="3"/>
      <c r="C349" s="4"/>
      <c r="D349" s="5"/>
      <c r="E349" s="11" t="str">
        <f t="shared" ca="1" si="90"/>
        <v/>
      </c>
      <c r="F349" s="5"/>
      <c r="G349" s="6" t="str">
        <f>IF(AND($A349&lt;&gt;"",$B349&lt;&gt;"",$C349&lt;&gt;"",$D349&lt;&gt;""),IF(OR($B349="SER",$B349="PLH",$B349="CSF"),"Control CDI Plate "&amp;(INT(((COUNTIFS($B$2:$B349,"SER")+COUNTIFS($B$2:$B349,"PLH")+COUNTIFS($B$2:$B349,"CSF"))-1)/96)+1)&amp;": "&amp;CHAR(65+INT(MOD((COUNTIFS($B$2:$B349,"SER")+COUNTIFS($B$2:$B349,"PLH")+COUNTIFS($B$2:$B349,"CSF"))-1,96)/12))&amp;(MOD((COUNTIFS($B$2:$B349,"SER")+COUNTIFS($B$2:$B349,"PLH")+COUNTIFS($B$2:$B349,"CSF"))-1,12)+1),"N/A"),"")</f>
        <v/>
      </c>
      <c r="H349" s="6" t="str">
        <f>IF(AND($A349&lt;&gt;"",$B349&lt;&gt;"",$C349&lt;&gt;"",$D349&lt;&gt;""),IF(OR($B349="SER",$B349="PLH",$B349="CSF"),"Control NIH Plate "&amp;(INT(((COUNTIFS($B$2:$B349,"SER")+COUNTIFS($B$2:$B349,"PLH")+COUNTIFS($B$2:$B349,"CSF"))-1)/96)+1)&amp;": "&amp;CHAR(65+INT(MOD((COUNTIFS($B$2:$B349,"SER")+COUNTIFS($B$2:$B349,"PLH")+COUNTIFS($B$2:$B349,"CSF"))-1,96)/12))&amp;(MOD((COUNTIFS($B$2:$B349,"SER")+COUNTIFS($B$2:$B349,"PLH")+COUNTIFS($B$2:$B349,"CSF"))-1,12)+1),"N/A"),"")</f>
        <v/>
      </c>
      <c r="I349" s="6" t="str">
        <f>IF(AND($A349&lt;&gt;"",$B349&lt;&gt;"",$C349&lt;&gt;"",$D349&lt;&gt;""),IF(OR($B349="SER",$B349="PLH"),"Control MAX Planck Plate "&amp;(INT(((COUNTIFS($B$2:$B349,"SER")+COUNTIFS($B$2:$B349,"PLH"))-1)/96)+1)&amp;": "&amp;CHAR(65+INT(MOD((COUNTIFS($B$2:$B349,"SER")+COUNTIFS($B$2:$B349,"PLH"))-1,96)/12))&amp;(MOD((COUNTIFS($B$2:$B349,"SER")+COUNTIFS($B$2:$B349,"PLH"))-1,12)+1),"N/A"),"")</f>
        <v/>
      </c>
      <c r="J349" s="6" t="str">
        <f>IF(AND($A349&lt;&gt;"",$B349&lt;&gt;"",$C349&lt;&gt;"",$D349&lt;&gt;""),IF($B349="WB","Control WB Box "&amp;(INT((COUNTIFS($B$2:$B349,"WB")-1)/81)+1)&amp;": "&amp;CHAR(65+INT(MOD(COUNTIFS($B$2:$B349,"WB")-1,81)/9))&amp;(MOD(COUNTIFS($B$2:$B349,"WB")-1,9)+1),"N/A"),"")</f>
        <v/>
      </c>
      <c r="K349" s="3" t="str">
        <f t="shared" si="91"/>
        <v/>
      </c>
      <c r="L349" s="2"/>
      <c r="M349" s="2"/>
      <c r="N349" s="2"/>
      <c r="O349" s="7" t="str">
        <f t="shared" si="92"/>
        <v/>
      </c>
      <c r="P349" s="7" t="str">
        <f t="shared" si="93"/>
        <v/>
      </c>
      <c r="Q349" s="7" t="str">
        <f t="shared" si="94"/>
        <v/>
      </c>
      <c r="R349" s="7" t="str">
        <f t="shared" si="95"/>
        <v/>
      </c>
      <c r="S349" s="7" t="str">
        <f t="shared" si="96"/>
        <v/>
      </c>
      <c r="T349" s="7" t="str">
        <f t="shared" si="97"/>
        <v/>
      </c>
      <c r="U349" s="7" t="str">
        <f t="shared" si="98"/>
        <v/>
      </c>
      <c r="V349" s="7" t="str">
        <f t="shared" si="99"/>
        <v/>
      </c>
      <c r="W349" s="7" t="str">
        <f t="shared" si="100"/>
        <v/>
      </c>
      <c r="X349" s="7" t="str">
        <f t="shared" si="101"/>
        <v/>
      </c>
      <c r="Y349">
        <f t="shared" si="102"/>
        <v>0</v>
      </c>
      <c r="Z349" t="str">
        <f t="shared" si="103"/>
        <v/>
      </c>
      <c r="AA349" t="str">
        <f t="shared" si="104"/>
        <v/>
      </c>
      <c r="AB349" t="str">
        <f t="shared" si="105"/>
        <v/>
      </c>
      <c r="AC349" t="str">
        <f t="shared" si="106"/>
        <v/>
      </c>
      <c r="AD349">
        <f t="shared" si="107"/>
        <v>0</v>
      </c>
    </row>
    <row r="350" spans="1:30" ht="15" customHeight="1" x14ac:dyDescent="0.35">
      <c r="A350" s="2"/>
      <c r="B350" s="3"/>
      <c r="C350" s="4"/>
      <c r="D350" s="5"/>
      <c r="E350" s="11" t="str">
        <f t="shared" ca="1" si="90"/>
        <v/>
      </c>
      <c r="F350" s="5"/>
      <c r="G350" s="6" t="str">
        <f>IF(AND($A350&lt;&gt;"",$B350&lt;&gt;"",$C350&lt;&gt;"",$D350&lt;&gt;""),IF(OR($B350="SER",$B350="PLH",$B350="CSF"),"Control CDI Plate "&amp;(INT(((COUNTIFS($B$2:$B350,"SER")+COUNTIFS($B$2:$B350,"PLH")+COUNTIFS($B$2:$B350,"CSF"))-1)/96)+1)&amp;": "&amp;CHAR(65+INT(MOD((COUNTIFS($B$2:$B350,"SER")+COUNTIFS($B$2:$B350,"PLH")+COUNTIFS($B$2:$B350,"CSF"))-1,96)/12))&amp;(MOD((COUNTIFS($B$2:$B350,"SER")+COUNTIFS($B$2:$B350,"PLH")+COUNTIFS($B$2:$B350,"CSF"))-1,12)+1),"N/A"),"")</f>
        <v/>
      </c>
      <c r="H350" s="6" t="str">
        <f>IF(AND($A350&lt;&gt;"",$B350&lt;&gt;"",$C350&lt;&gt;"",$D350&lt;&gt;""),IF(OR($B350="SER",$B350="PLH",$B350="CSF"),"Control NIH Plate "&amp;(INT(((COUNTIFS($B$2:$B350,"SER")+COUNTIFS($B$2:$B350,"PLH")+COUNTIFS($B$2:$B350,"CSF"))-1)/96)+1)&amp;": "&amp;CHAR(65+INT(MOD((COUNTIFS($B$2:$B350,"SER")+COUNTIFS($B$2:$B350,"PLH")+COUNTIFS($B$2:$B350,"CSF"))-1,96)/12))&amp;(MOD((COUNTIFS($B$2:$B350,"SER")+COUNTIFS($B$2:$B350,"PLH")+COUNTIFS($B$2:$B350,"CSF"))-1,12)+1),"N/A"),"")</f>
        <v/>
      </c>
      <c r="I350" s="6" t="str">
        <f>IF(AND($A350&lt;&gt;"",$B350&lt;&gt;"",$C350&lt;&gt;"",$D350&lt;&gt;""),IF(OR($B350="SER",$B350="PLH"),"Control MAX Planck Plate "&amp;(INT(((COUNTIFS($B$2:$B350,"SER")+COUNTIFS($B$2:$B350,"PLH"))-1)/96)+1)&amp;": "&amp;CHAR(65+INT(MOD((COUNTIFS($B$2:$B350,"SER")+COUNTIFS($B$2:$B350,"PLH"))-1,96)/12))&amp;(MOD((COUNTIFS($B$2:$B350,"SER")+COUNTIFS($B$2:$B350,"PLH"))-1,12)+1),"N/A"),"")</f>
        <v/>
      </c>
      <c r="J350" s="6" t="str">
        <f>IF(AND($A350&lt;&gt;"",$B350&lt;&gt;"",$C350&lt;&gt;"",$D350&lt;&gt;""),IF($B350="WB","Control WB Box "&amp;(INT((COUNTIFS($B$2:$B350,"WB")-1)/81)+1)&amp;": "&amp;CHAR(65+INT(MOD(COUNTIFS($B$2:$B350,"WB")-1,81)/9))&amp;(MOD(COUNTIFS($B$2:$B350,"WB")-1,9)+1),"N/A"),"")</f>
        <v/>
      </c>
      <c r="K350" s="3" t="str">
        <f t="shared" si="91"/>
        <v/>
      </c>
      <c r="L350" s="2"/>
      <c r="M350" s="2"/>
      <c r="N350" s="2"/>
      <c r="O350" s="7" t="str">
        <f t="shared" si="92"/>
        <v/>
      </c>
      <c r="P350" s="7" t="str">
        <f t="shared" si="93"/>
        <v/>
      </c>
      <c r="Q350" s="7" t="str">
        <f t="shared" si="94"/>
        <v/>
      </c>
      <c r="R350" s="7" t="str">
        <f t="shared" si="95"/>
        <v/>
      </c>
      <c r="S350" s="7" t="str">
        <f t="shared" si="96"/>
        <v/>
      </c>
      <c r="T350" s="7" t="str">
        <f t="shared" si="97"/>
        <v/>
      </c>
      <c r="U350" s="7" t="str">
        <f t="shared" si="98"/>
        <v/>
      </c>
      <c r="V350" s="7" t="str">
        <f t="shared" si="99"/>
        <v/>
      </c>
      <c r="W350" s="7" t="str">
        <f t="shared" si="100"/>
        <v/>
      </c>
      <c r="X350" s="7" t="str">
        <f t="shared" si="101"/>
        <v/>
      </c>
      <c r="Y350">
        <f t="shared" si="102"/>
        <v>0</v>
      </c>
      <c r="Z350" t="str">
        <f t="shared" si="103"/>
        <v/>
      </c>
      <c r="AA350" t="str">
        <f t="shared" si="104"/>
        <v/>
      </c>
      <c r="AB350" t="str">
        <f t="shared" si="105"/>
        <v/>
      </c>
      <c r="AC350" t="str">
        <f t="shared" si="106"/>
        <v/>
      </c>
      <c r="AD350">
        <f t="shared" si="107"/>
        <v>0</v>
      </c>
    </row>
    <row r="351" spans="1:30" ht="15" customHeight="1" x14ac:dyDescent="0.35">
      <c r="A351" s="2"/>
      <c r="B351" s="3"/>
      <c r="C351" s="4"/>
      <c r="D351" s="5"/>
      <c r="E351" s="11" t="str">
        <f t="shared" ca="1" si="90"/>
        <v/>
      </c>
      <c r="F351" s="5"/>
      <c r="G351" s="6" t="str">
        <f>IF(AND($A351&lt;&gt;"",$B351&lt;&gt;"",$C351&lt;&gt;"",$D351&lt;&gt;""),IF(OR($B351="SER",$B351="PLH",$B351="CSF"),"Control CDI Plate "&amp;(INT(((COUNTIFS($B$2:$B351,"SER")+COUNTIFS($B$2:$B351,"PLH")+COUNTIFS($B$2:$B351,"CSF"))-1)/96)+1)&amp;": "&amp;CHAR(65+INT(MOD((COUNTIFS($B$2:$B351,"SER")+COUNTIFS($B$2:$B351,"PLH")+COUNTIFS($B$2:$B351,"CSF"))-1,96)/12))&amp;(MOD((COUNTIFS($B$2:$B351,"SER")+COUNTIFS($B$2:$B351,"PLH")+COUNTIFS($B$2:$B351,"CSF"))-1,12)+1),"N/A"),"")</f>
        <v/>
      </c>
      <c r="H351" s="6" t="str">
        <f>IF(AND($A351&lt;&gt;"",$B351&lt;&gt;"",$C351&lt;&gt;"",$D351&lt;&gt;""),IF(OR($B351="SER",$B351="PLH",$B351="CSF"),"Control NIH Plate "&amp;(INT(((COUNTIFS($B$2:$B351,"SER")+COUNTIFS($B$2:$B351,"PLH")+COUNTIFS($B$2:$B351,"CSF"))-1)/96)+1)&amp;": "&amp;CHAR(65+INT(MOD((COUNTIFS($B$2:$B351,"SER")+COUNTIFS($B$2:$B351,"PLH")+COUNTIFS($B$2:$B351,"CSF"))-1,96)/12))&amp;(MOD((COUNTIFS($B$2:$B351,"SER")+COUNTIFS($B$2:$B351,"PLH")+COUNTIFS($B$2:$B351,"CSF"))-1,12)+1),"N/A"),"")</f>
        <v/>
      </c>
      <c r="I351" s="6" t="str">
        <f>IF(AND($A351&lt;&gt;"",$B351&lt;&gt;"",$C351&lt;&gt;"",$D351&lt;&gt;""),IF(OR($B351="SER",$B351="PLH"),"Control MAX Planck Plate "&amp;(INT(((COUNTIFS($B$2:$B351,"SER")+COUNTIFS($B$2:$B351,"PLH"))-1)/96)+1)&amp;": "&amp;CHAR(65+INT(MOD((COUNTIFS($B$2:$B351,"SER")+COUNTIFS($B$2:$B351,"PLH"))-1,96)/12))&amp;(MOD((COUNTIFS($B$2:$B351,"SER")+COUNTIFS($B$2:$B351,"PLH"))-1,12)+1),"N/A"),"")</f>
        <v/>
      </c>
      <c r="J351" s="6" t="str">
        <f>IF(AND($A351&lt;&gt;"",$B351&lt;&gt;"",$C351&lt;&gt;"",$D351&lt;&gt;""),IF($B351="WB","Control WB Box "&amp;(INT((COUNTIFS($B$2:$B351,"WB")-1)/81)+1)&amp;": "&amp;CHAR(65+INT(MOD(COUNTIFS($B$2:$B351,"WB")-1,81)/9))&amp;(MOD(COUNTIFS($B$2:$B351,"WB")-1,9)+1),"N/A"),"")</f>
        <v/>
      </c>
      <c r="K351" s="3" t="str">
        <f t="shared" si="91"/>
        <v/>
      </c>
      <c r="L351" s="2"/>
      <c r="M351" s="2"/>
      <c r="N351" s="2"/>
      <c r="O351" s="7" t="str">
        <f t="shared" si="92"/>
        <v/>
      </c>
      <c r="P351" s="7" t="str">
        <f t="shared" si="93"/>
        <v/>
      </c>
      <c r="Q351" s="7" t="str">
        <f t="shared" si="94"/>
        <v/>
      </c>
      <c r="R351" s="7" t="str">
        <f t="shared" si="95"/>
        <v/>
      </c>
      <c r="S351" s="7" t="str">
        <f t="shared" si="96"/>
        <v/>
      </c>
      <c r="T351" s="7" t="str">
        <f t="shared" si="97"/>
        <v/>
      </c>
      <c r="U351" s="7" t="str">
        <f t="shared" si="98"/>
        <v/>
      </c>
      <c r="V351" s="7" t="str">
        <f t="shared" si="99"/>
        <v/>
      </c>
      <c r="W351" s="7" t="str">
        <f t="shared" si="100"/>
        <v/>
      </c>
      <c r="X351" s="7" t="str">
        <f t="shared" si="101"/>
        <v/>
      </c>
      <c r="Y351">
        <f t="shared" si="102"/>
        <v>0</v>
      </c>
      <c r="Z351" t="str">
        <f t="shared" si="103"/>
        <v/>
      </c>
      <c r="AA351" t="str">
        <f t="shared" si="104"/>
        <v/>
      </c>
      <c r="AB351" t="str">
        <f t="shared" si="105"/>
        <v/>
      </c>
      <c r="AC351" t="str">
        <f t="shared" si="106"/>
        <v/>
      </c>
      <c r="AD351">
        <f t="shared" si="107"/>
        <v>0</v>
      </c>
    </row>
    <row r="352" spans="1:30" ht="15" customHeight="1" x14ac:dyDescent="0.35">
      <c r="A352" s="2"/>
      <c r="B352" s="3"/>
      <c r="C352" s="4"/>
      <c r="D352" s="5"/>
      <c r="E352" s="11" t="str">
        <f t="shared" ca="1" si="90"/>
        <v/>
      </c>
      <c r="F352" s="5"/>
      <c r="G352" s="6" t="str">
        <f>IF(AND($A352&lt;&gt;"",$B352&lt;&gt;"",$C352&lt;&gt;"",$D352&lt;&gt;""),IF(OR($B352="SER",$B352="PLH",$B352="CSF"),"Control CDI Plate "&amp;(INT(((COUNTIFS($B$2:$B352,"SER")+COUNTIFS($B$2:$B352,"PLH")+COUNTIFS($B$2:$B352,"CSF"))-1)/96)+1)&amp;": "&amp;CHAR(65+INT(MOD((COUNTIFS($B$2:$B352,"SER")+COUNTIFS($B$2:$B352,"PLH")+COUNTIFS($B$2:$B352,"CSF"))-1,96)/12))&amp;(MOD((COUNTIFS($B$2:$B352,"SER")+COUNTIFS($B$2:$B352,"PLH")+COUNTIFS($B$2:$B352,"CSF"))-1,12)+1),"N/A"),"")</f>
        <v/>
      </c>
      <c r="H352" s="6" t="str">
        <f>IF(AND($A352&lt;&gt;"",$B352&lt;&gt;"",$C352&lt;&gt;"",$D352&lt;&gt;""),IF(OR($B352="SER",$B352="PLH",$B352="CSF"),"Control NIH Plate "&amp;(INT(((COUNTIFS($B$2:$B352,"SER")+COUNTIFS($B$2:$B352,"PLH")+COUNTIFS($B$2:$B352,"CSF"))-1)/96)+1)&amp;": "&amp;CHAR(65+INT(MOD((COUNTIFS($B$2:$B352,"SER")+COUNTIFS($B$2:$B352,"PLH")+COUNTIFS($B$2:$B352,"CSF"))-1,96)/12))&amp;(MOD((COUNTIFS($B$2:$B352,"SER")+COUNTIFS($B$2:$B352,"PLH")+COUNTIFS($B$2:$B352,"CSF"))-1,12)+1),"N/A"),"")</f>
        <v/>
      </c>
      <c r="I352" s="6" t="str">
        <f>IF(AND($A352&lt;&gt;"",$B352&lt;&gt;"",$C352&lt;&gt;"",$D352&lt;&gt;""),IF(OR($B352="SER",$B352="PLH"),"Control MAX Planck Plate "&amp;(INT(((COUNTIFS($B$2:$B352,"SER")+COUNTIFS($B$2:$B352,"PLH"))-1)/96)+1)&amp;": "&amp;CHAR(65+INT(MOD((COUNTIFS($B$2:$B352,"SER")+COUNTIFS($B$2:$B352,"PLH"))-1,96)/12))&amp;(MOD((COUNTIFS($B$2:$B352,"SER")+COUNTIFS($B$2:$B352,"PLH"))-1,12)+1),"N/A"),"")</f>
        <v/>
      </c>
      <c r="J352" s="6" t="str">
        <f>IF(AND($A352&lt;&gt;"",$B352&lt;&gt;"",$C352&lt;&gt;"",$D352&lt;&gt;""),IF($B352="WB","Control WB Box "&amp;(INT((COUNTIFS($B$2:$B352,"WB")-1)/81)+1)&amp;": "&amp;CHAR(65+INT(MOD(COUNTIFS($B$2:$B352,"WB")-1,81)/9))&amp;(MOD(COUNTIFS($B$2:$B352,"WB")-1,9)+1),"N/A"),"")</f>
        <v/>
      </c>
      <c r="K352" s="3" t="str">
        <f t="shared" si="91"/>
        <v/>
      </c>
      <c r="L352" s="2"/>
      <c r="M352" s="2"/>
      <c r="N352" s="2"/>
      <c r="O352" s="7" t="str">
        <f t="shared" si="92"/>
        <v/>
      </c>
      <c r="P352" s="7" t="str">
        <f t="shared" si="93"/>
        <v/>
      </c>
      <c r="Q352" s="7" t="str">
        <f t="shared" si="94"/>
        <v/>
      </c>
      <c r="R352" s="7" t="str">
        <f t="shared" si="95"/>
        <v/>
      </c>
      <c r="S352" s="7" t="str">
        <f t="shared" si="96"/>
        <v/>
      </c>
      <c r="T352" s="7" t="str">
        <f t="shared" si="97"/>
        <v/>
      </c>
      <c r="U352" s="7" t="str">
        <f t="shared" si="98"/>
        <v/>
      </c>
      <c r="V352" s="7" t="str">
        <f t="shared" si="99"/>
        <v/>
      </c>
      <c r="W352" s="7" t="str">
        <f t="shared" si="100"/>
        <v/>
      </c>
      <c r="X352" s="7" t="str">
        <f t="shared" si="101"/>
        <v/>
      </c>
      <c r="Y352">
        <f t="shared" si="102"/>
        <v>0</v>
      </c>
      <c r="Z352" t="str">
        <f t="shared" si="103"/>
        <v/>
      </c>
      <c r="AA352" t="str">
        <f t="shared" si="104"/>
        <v/>
      </c>
      <c r="AB352" t="str">
        <f t="shared" si="105"/>
        <v/>
      </c>
      <c r="AC352" t="str">
        <f t="shared" si="106"/>
        <v/>
      </c>
      <c r="AD352">
        <f t="shared" si="107"/>
        <v>0</v>
      </c>
    </row>
    <row r="353" spans="1:30" ht="15" customHeight="1" x14ac:dyDescent="0.35">
      <c r="A353" s="2"/>
      <c r="B353" s="3"/>
      <c r="C353" s="4"/>
      <c r="D353" s="5"/>
      <c r="E353" s="11" t="str">
        <f t="shared" ca="1" si="90"/>
        <v/>
      </c>
      <c r="F353" s="5"/>
      <c r="G353" s="6" t="str">
        <f>IF(AND($A353&lt;&gt;"",$B353&lt;&gt;"",$C353&lt;&gt;"",$D353&lt;&gt;""),IF(OR($B353="SER",$B353="PLH",$B353="CSF"),"Control CDI Plate "&amp;(INT(((COUNTIFS($B$2:$B353,"SER")+COUNTIFS($B$2:$B353,"PLH")+COUNTIFS($B$2:$B353,"CSF"))-1)/96)+1)&amp;": "&amp;CHAR(65+INT(MOD((COUNTIFS($B$2:$B353,"SER")+COUNTIFS($B$2:$B353,"PLH")+COUNTIFS($B$2:$B353,"CSF"))-1,96)/12))&amp;(MOD((COUNTIFS($B$2:$B353,"SER")+COUNTIFS($B$2:$B353,"PLH")+COUNTIFS($B$2:$B353,"CSF"))-1,12)+1),"N/A"),"")</f>
        <v/>
      </c>
      <c r="H353" s="6" t="str">
        <f>IF(AND($A353&lt;&gt;"",$B353&lt;&gt;"",$C353&lt;&gt;"",$D353&lt;&gt;""),IF(OR($B353="SER",$B353="PLH",$B353="CSF"),"Control NIH Plate "&amp;(INT(((COUNTIFS($B$2:$B353,"SER")+COUNTIFS($B$2:$B353,"PLH")+COUNTIFS($B$2:$B353,"CSF"))-1)/96)+1)&amp;": "&amp;CHAR(65+INT(MOD((COUNTIFS($B$2:$B353,"SER")+COUNTIFS($B$2:$B353,"PLH")+COUNTIFS($B$2:$B353,"CSF"))-1,96)/12))&amp;(MOD((COUNTIFS($B$2:$B353,"SER")+COUNTIFS($B$2:$B353,"PLH")+COUNTIFS($B$2:$B353,"CSF"))-1,12)+1),"N/A"),"")</f>
        <v/>
      </c>
      <c r="I353" s="6" t="str">
        <f>IF(AND($A353&lt;&gt;"",$B353&lt;&gt;"",$C353&lt;&gt;"",$D353&lt;&gt;""),IF(OR($B353="SER",$B353="PLH"),"Control MAX Planck Plate "&amp;(INT(((COUNTIFS($B$2:$B353,"SER")+COUNTIFS($B$2:$B353,"PLH"))-1)/96)+1)&amp;": "&amp;CHAR(65+INT(MOD((COUNTIFS($B$2:$B353,"SER")+COUNTIFS($B$2:$B353,"PLH"))-1,96)/12))&amp;(MOD((COUNTIFS($B$2:$B353,"SER")+COUNTIFS($B$2:$B353,"PLH"))-1,12)+1),"N/A"),"")</f>
        <v/>
      </c>
      <c r="J353" s="6" t="str">
        <f>IF(AND($A353&lt;&gt;"",$B353&lt;&gt;"",$C353&lt;&gt;"",$D353&lt;&gt;""),IF($B353="WB","Control WB Box "&amp;(INT((COUNTIFS($B$2:$B353,"WB")-1)/81)+1)&amp;": "&amp;CHAR(65+INT(MOD(COUNTIFS($B$2:$B353,"WB")-1,81)/9))&amp;(MOD(COUNTIFS($B$2:$B353,"WB")-1,9)+1),"N/A"),"")</f>
        <v/>
      </c>
      <c r="K353" s="3" t="str">
        <f t="shared" si="91"/>
        <v/>
      </c>
      <c r="L353" s="2"/>
      <c r="M353" s="2"/>
      <c r="N353" s="2"/>
      <c r="O353" s="7" t="str">
        <f t="shared" si="92"/>
        <v/>
      </c>
      <c r="P353" s="7" t="str">
        <f t="shared" si="93"/>
        <v/>
      </c>
      <c r="Q353" s="7" t="str">
        <f t="shared" si="94"/>
        <v/>
      </c>
      <c r="R353" s="7" t="str">
        <f t="shared" si="95"/>
        <v/>
      </c>
      <c r="S353" s="7" t="str">
        <f t="shared" si="96"/>
        <v/>
      </c>
      <c r="T353" s="7" t="str">
        <f t="shared" si="97"/>
        <v/>
      </c>
      <c r="U353" s="7" t="str">
        <f t="shared" si="98"/>
        <v/>
      </c>
      <c r="V353" s="7" t="str">
        <f t="shared" si="99"/>
        <v/>
      </c>
      <c r="W353" s="7" t="str">
        <f t="shared" si="100"/>
        <v/>
      </c>
      <c r="X353" s="7" t="str">
        <f t="shared" si="101"/>
        <v/>
      </c>
      <c r="Y353">
        <f t="shared" si="102"/>
        <v>0</v>
      </c>
      <c r="Z353" t="str">
        <f t="shared" si="103"/>
        <v/>
      </c>
      <c r="AA353" t="str">
        <f t="shared" si="104"/>
        <v/>
      </c>
      <c r="AB353" t="str">
        <f t="shared" si="105"/>
        <v/>
      </c>
      <c r="AC353" t="str">
        <f t="shared" si="106"/>
        <v/>
      </c>
      <c r="AD353">
        <f t="shared" si="107"/>
        <v>0</v>
      </c>
    </row>
    <row r="354" spans="1:30" ht="15" customHeight="1" x14ac:dyDescent="0.35">
      <c r="A354" s="2"/>
      <c r="B354" s="3"/>
      <c r="C354" s="4"/>
      <c r="D354" s="5"/>
      <c r="E354" s="11" t="str">
        <f t="shared" ca="1" si="90"/>
        <v/>
      </c>
      <c r="F354" s="5"/>
      <c r="G354" s="6" t="str">
        <f>IF(AND($A354&lt;&gt;"",$B354&lt;&gt;"",$C354&lt;&gt;"",$D354&lt;&gt;""),IF(OR($B354="SER",$B354="PLH",$B354="CSF"),"Control CDI Plate "&amp;(INT(((COUNTIFS($B$2:$B354,"SER")+COUNTIFS($B$2:$B354,"PLH")+COUNTIFS($B$2:$B354,"CSF"))-1)/96)+1)&amp;": "&amp;CHAR(65+INT(MOD((COUNTIFS($B$2:$B354,"SER")+COUNTIFS($B$2:$B354,"PLH")+COUNTIFS($B$2:$B354,"CSF"))-1,96)/12))&amp;(MOD((COUNTIFS($B$2:$B354,"SER")+COUNTIFS($B$2:$B354,"PLH")+COUNTIFS($B$2:$B354,"CSF"))-1,12)+1),"N/A"),"")</f>
        <v/>
      </c>
      <c r="H354" s="6" t="str">
        <f>IF(AND($A354&lt;&gt;"",$B354&lt;&gt;"",$C354&lt;&gt;"",$D354&lt;&gt;""),IF(OR($B354="SER",$B354="PLH",$B354="CSF"),"Control NIH Plate "&amp;(INT(((COUNTIFS($B$2:$B354,"SER")+COUNTIFS($B$2:$B354,"PLH")+COUNTIFS($B$2:$B354,"CSF"))-1)/96)+1)&amp;": "&amp;CHAR(65+INT(MOD((COUNTIFS($B$2:$B354,"SER")+COUNTIFS($B$2:$B354,"PLH")+COUNTIFS($B$2:$B354,"CSF"))-1,96)/12))&amp;(MOD((COUNTIFS($B$2:$B354,"SER")+COUNTIFS($B$2:$B354,"PLH")+COUNTIFS($B$2:$B354,"CSF"))-1,12)+1),"N/A"),"")</f>
        <v/>
      </c>
      <c r="I354" s="6" t="str">
        <f>IF(AND($A354&lt;&gt;"",$B354&lt;&gt;"",$C354&lt;&gt;"",$D354&lt;&gt;""),IF(OR($B354="SER",$B354="PLH"),"Control MAX Planck Plate "&amp;(INT(((COUNTIFS($B$2:$B354,"SER")+COUNTIFS($B$2:$B354,"PLH"))-1)/96)+1)&amp;": "&amp;CHAR(65+INT(MOD((COUNTIFS($B$2:$B354,"SER")+COUNTIFS($B$2:$B354,"PLH"))-1,96)/12))&amp;(MOD((COUNTIFS($B$2:$B354,"SER")+COUNTIFS($B$2:$B354,"PLH"))-1,12)+1),"N/A"),"")</f>
        <v/>
      </c>
      <c r="J354" s="6" t="str">
        <f>IF(AND($A354&lt;&gt;"",$B354&lt;&gt;"",$C354&lt;&gt;"",$D354&lt;&gt;""),IF($B354="WB","Control WB Box "&amp;(INT((COUNTIFS($B$2:$B354,"WB")-1)/81)+1)&amp;": "&amp;CHAR(65+INT(MOD(COUNTIFS($B$2:$B354,"WB")-1,81)/9))&amp;(MOD(COUNTIFS($B$2:$B354,"WB")-1,9)+1),"N/A"),"")</f>
        <v/>
      </c>
      <c r="K354" s="3" t="str">
        <f t="shared" si="91"/>
        <v/>
      </c>
      <c r="L354" s="2"/>
      <c r="M354" s="2"/>
      <c r="N354" s="2"/>
      <c r="O354" s="7" t="str">
        <f t="shared" si="92"/>
        <v/>
      </c>
      <c r="P354" s="7" t="str">
        <f t="shared" si="93"/>
        <v/>
      </c>
      <c r="Q354" s="7" t="str">
        <f t="shared" si="94"/>
        <v/>
      </c>
      <c r="R354" s="7" t="str">
        <f t="shared" si="95"/>
        <v/>
      </c>
      <c r="S354" s="7" t="str">
        <f t="shared" si="96"/>
        <v/>
      </c>
      <c r="T354" s="7" t="str">
        <f t="shared" si="97"/>
        <v/>
      </c>
      <c r="U354" s="7" t="str">
        <f t="shared" si="98"/>
        <v/>
      </c>
      <c r="V354" s="7" t="str">
        <f t="shared" si="99"/>
        <v/>
      </c>
      <c r="W354" s="7" t="str">
        <f t="shared" si="100"/>
        <v/>
      </c>
      <c r="X354" s="7" t="str">
        <f t="shared" si="101"/>
        <v/>
      </c>
      <c r="Y354">
        <f t="shared" si="102"/>
        <v>0</v>
      </c>
      <c r="Z354" t="str">
        <f t="shared" si="103"/>
        <v/>
      </c>
      <c r="AA354" t="str">
        <f t="shared" si="104"/>
        <v/>
      </c>
      <c r="AB354" t="str">
        <f t="shared" si="105"/>
        <v/>
      </c>
      <c r="AC354" t="str">
        <f t="shared" si="106"/>
        <v/>
      </c>
      <c r="AD354">
        <f t="shared" si="107"/>
        <v>0</v>
      </c>
    </row>
    <row r="355" spans="1:30" ht="15" customHeight="1" x14ac:dyDescent="0.35">
      <c r="A355" s="2"/>
      <c r="B355" s="3"/>
      <c r="C355" s="4"/>
      <c r="D355" s="5"/>
      <c r="E355" s="11" t="str">
        <f t="shared" ca="1" si="90"/>
        <v/>
      </c>
      <c r="F355" s="5"/>
      <c r="G355" s="6" t="str">
        <f>IF(AND($A355&lt;&gt;"",$B355&lt;&gt;"",$C355&lt;&gt;"",$D355&lt;&gt;""),IF(OR($B355="SER",$B355="PLH",$B355="CSF"),"Control CDI Plate "&amp;(INT(((COUNTIFS($B$2:$B355,"SER")+COUNTIFS($B$2:$B355,"PLH")+COUNTIFS($B$2:$B355,"CSF"))-1)/96)+1)&amp;": "&amp;CHAR(65+INT(MOD((COUNTIFS($B$2:$B355,"SER")+COUNTIFS($B$2:$B355,"PLH")+COUNTIFS($B$2:$B355,"CSF"))-1,96)/12))&amp;(MOD((COUNTIFS($B$2:$B355,"SER")+COUNTIFS($B$2:$B355,"PLH")+COUNTIFS($B$2:$B355,"CSF"))-1,12)+1),"N/A"),"")</f>
        <v/>
      </c>
      <c r="H355" s="6" t="str">
        <f>IF(AND($A355&lt;&gt;"",$B355&lt;&gt;"",$C355&lt;&gt;"",$D355&lt;&gt;""),IF(OR($B355="SER",$B355="PLH",$B355="CSF"),"Control NIH Plate "&amp;(INT(((COUNTIFS($B$2:$B355,"SER")+COUNTIFS($B$2:$B355,"PLH")+COUNTIFS($B$2:$B355,"CSF"))-1)/96)+1)&amp;": "&amp;CHAR(65+INT(MOD((COUNTIFS($B$2:$B355,"SER")+COUNTIFS($B$2:$B355,"PLH")+COUNTIFS($B$2:$B355,"CSF"))-1,96)/12))&amp;(MOD((COUNTIFS($B$2:$B355,"SER")+COUNTIFS($B$2:$B355,"PLH")+COUNTIFS($B$2:$B355,"CSF"))-1,12)+1),"N/A"),"")</f>
        <v/>
      </c>
      <c r="I355" s="6" t="str">
        <f>IF(AND($A355&lt;&gt;"",$B355&lt;&gt;"",$C355&lt;&gt;"",$D355&lt;&gt;""),IF(OR($B355="SER",$B355="PLH"),"Control MAX Planck Plate "&amp;(INT(((COUNTIFS($B$2:$B355,"SER")+COUNTIFS($B$2:$B355,"PLH"))-1)/96)+1)&amp;": "&amp;CHAR(65+INT(MOD((COUNTIFS($B$2:$B355,"SER")+COUNTIFS($B$2:$B355,"PLH"))-1,96)/12))&amp;(MOD((COUNTIFS($B$2:$B355,"SER")+COUNTIFS($B$2:$B355,"PLH"))-1,12)+1),"N/A"),"")</f>
        <v/>
      </c>
      <c r="J355" s="6" t="str">
        <f>IF(AND($A355&lt;&gt;"",$B355&lt;&gt;"",$C355&lt;&gt;"",$D355&lt;&gt;""),IF($B355="WB","Control WB Box "&amp;(INT((COUNTIFS($B$2:$B355,"WB")-1)/81)+1)&amp;": "&amp;CHAR(65+INT(MOD(COUNTIFS($B$2:$B355,"WB")-1,81)/9))&amp;(MOD(COUNTIFS($B$2:$B355,"WB")-1,9)+1),"N/A"),"")</f>
        <v/>
      </c>
      <c r="K355" s="3" t="str">
        <f t="shared" si="91"/>
        <v/>
      </c>
      <c r="L355" s="2"/>
      <c r="M355" s="2"/>
      <c r="N355" s="2"/>
      <c r="O355" s="7" t="str">
        <f t="shared" si="92"/>
        <v/>
      </c>
      <c r="P355" s="7" t="str">
        <f t="shared" si="93"/>
        <v/>
      </c>
      <c r="Q355" s="7" t="str">
        <f t="shared" si="94"/>
        <v/>
      </c>
      <c r="R355" s="7" t="str">
        <f t="shared" si="95"/>
        <v/>
      </c>
      <c r="S355" s="7" t="str">
        <f t="shared" si="96"/>
        <v/>
      </c>
      <c r="T355" s="7" t="str">
        <f t="shared" si="97"/>
        <v/>
      </c>
      <c r="U355" s="7" t="str">
        <f t="shared" si="98"/>
        <v/>
      </c>
      <c r="V355" s="7" t="str">
        <f t="shared" si="99"/>
        <v/>
      </c>
      <c r="W355" s="7" t="str">
        <f t="shared" si="100"/>
        <v/>
      </c>
      <c r="X355" s="7" t="str">
        <f t="shared" si="101"/>
        <v/>
      </c>
      <c r="Y355">
        <f t="shared" si="102"/>
        <v>0</v>
      </c>
      <c r="Z355" t="str">
        <f t="shared" si="103"/>
        <v/>
      </c>
      <c r="AA355" t="str">
        <f t="shared" si="104"/>
        <v/>
      </c>
      <c r="AB355" t="str">
        <f t="shared" si="105"/>
        <v/>
      </c>
      <c r="AC355" t="str">
        <f t="shared" si="106"/>
        <v/>
      </c>
      <c r="AD355">
        <f t="shared" si="107"/>
        <v>0</v>
      </c>
    </row>
    <row r="356" spans="1:30" ht="15" customHeight="1" x14ac:dyDescent="0.35">
      <c r="A356" s="2"/>
      <c r="B356" s="3"/>
      <c r="C356" s="4"/>
      <c r="D356" s="5"/>
      <c r="E356" s="11" t="str">
        <f t="shared" ca="1" si="90"/>
        <v/>
      </c>
      <c r="F356" s="5"/>
      <c r="G356" s="6" t="str">
        <f>IF(AND($A356&lt;&gt;"",$B356&lt;&gt;"",$C356&lt;&gt;"",$D356&lt;&gt;""),IF(OR($B356="SER",$B356="PLH",$B356="CSF"),"Control CDI Plate "&amp;(INT(((COUNTIFS($B$2:$B356,"SER")+COUNTIFS($B$2:$B356,"PLH")+COUNTIFS($B$2:$B356,"CSF"))-1)/96)+1)&amp;": "&amp;CHAR(65+INT(MOD((COUNTIFS($B$2:$B356,"SER")+COUNTIFS($B$2:$B356,"PLH")+COUNTIFS($B$2:$B356,"CSF"))-1,96)/12))&amp;(MOD((COUNTIFS($B$2:$B356,"SER")+COUNTIFS($B$2:$B356,"PLH")+COUNTIFS($B$2:$B356,"CSF"))-1,12)+1),"N/A"),"")</f>
        <v/>
      </c>
      <c r="H356" s="6" t="str">
        <f>IF(AND($A356&lt;&gt;"",$B356&lt;&gt;"",$C356&lt;&gt;"",$D356&lt;&gt;""),IF(OR($B356="SER",$B356="PLH",$B356="CSF"),"Control NIH Plate "&amp;(INT(((COUNTIFS($B$2:$B356,"SER")+COUNTIFS($B$2:$B356,"PLH")+COUNTIFS($B$2:$B356,"CSF"))-1)/96)+1)&amp;": "&amp;CHAR(65+INT(MOD((COUNTIFS($B$2:$B356,"SER")+COUNTIFS($B$2:$B356,"PLH")+COUNTIFS($B$2:$B356,"CSF"))-1,96)/12))&amp;(MOD((COUNTIFS($B$2:$B356,"SER")+COUNTIFS($B$2:$B356,"PLH")+COUNTIFS($B$2:$B356,"CSF"))-1,12)+1),"N/A"),"")</f>
        <v/>
      </c>
      <c r="I356" s="6" t="str">
        <f>IF(AND($A356&lt;&gt;"",$B356&lt;&gt;"",$C356&lt;&gt;"",$D356&lt;&gt;""),IF(OR($B356="SER",$B356="PLH"),"Control MAX Planck Plate "&amp;(INT(((COUNTIFS($B$2:$B356,"SER")+COUNTIFS($B$2:$B356,"PLH"))-1)/96)+1)&amp;": "&amp;CHAR(65+INT(MOD((COUNTIFS($B$2:$B356,"SER")+COUNTIFS($B$2:$B356,"PLH"))-1,96)/12))&amp;(MOD((COUNTIFS($B$2:$B356,"SER")+COUNTIFS($B$2:$B356,"PLH"))-1,12)+1),"N/A"),"")</f>
        <v/>
      </c>
      <c r="J356" s="6" t="str">
        <f>IF(AND($A356&lt;&gt;"",$B356&lt;&gt;"",$C356&lt;&gt;"",$D356&lt;&gt;""),IF($B356="WB","Control WB Box "&amp;(INT((COUNTIFS($B$2:$B356,"WB")-1)/81)+1)&amp;": "&amp;CHAR(65+INT(MOD(COUNTIFS($B$2:$B356,"WB")-1,81)/9))&amp;(MOD(COUNTIFS($B$2:$B356,"WB")-1,9)+1),"N/A"),"")</f>
        <v/>
      </c>
      <c r="K356" s="3" t="str">
        <f t="shared" si="91"/>
        <v/>
      </c>
      <c r="L356" s="2"/>
      <c r="M356" s="2"/>
      <c r="N356" s="2"/>
      <c r="O356" s="7" t="str">
        <f t="shared" si="92"/>
        <v/>
      </c>
      <c r="P356" s="7" t="str">
        <f t="shared" si="93"/>
        <v/>
      </c>
      <c r="Q356" s="7" t="str">
        <f t="shared" si="94"/>
        <v/>
      </c>
      <c r="R356" s="7" t="str">
        <f t="shared" si="95"/>
        <v/>
      </c>
      <c r="S356" s="7" t="str">
        <f t="shared" si="96"/>
        <v/>
      </c>
      <c r="T356" s="7" t="str">
        <f t="shared" si="97"/>
        <v/>
      </c>
      <c r="U356" s="7" t="str">
        <f t="shared" si="98"/>
        <v/>
      </c>
      <c r="V356" s="7" t="str">
        <f t="shared" si="99"/>
        <v/>
      </c>
      <c r="W356" s="7" t="str">
        <f t="shared" si="100"/>
        <v/>
      </c>
      <c r="X356" s="7" t="str">
        <f t="shared" si="101"/>
        <v/>
      </c>
      <c r="Y356">
        <f t="shared" si="102"/>
        <v>0</v>
      </c>
      <c r="Z356" t="str">
        <f t="shared" si="103"/>
        <v/>
      </c>
      <c r="AA356" t="str">
        <f t="shared" si="104"/>
        <v/>
      </c>
      <c r="AB356" t="str">
        <f t="shared" si="105"/>
        <v/>
      </c>
      <c r="AC356" t="str">
        <f t="shared" si="106"/>
        <v/>
      </c>
      <c r="AD356">
        <f t="shared" si="107"/>
        <v>0</v>
      </c>
    </row>
    <row r="357" spans="1:30" ht="15" customHeight="1" x14ac:dyDescent="0.35">
      <c r="A357" s="2"/>
      <c r="B357" s="3"/>
      <c r="C357" s="4"/>
      <c r="D357" s="5"/>
      <c r="E357" s="11" t="str">
        <f t="shared" ca="1" si="90"/>
        <v/>
      </c>
      <c r="F357" s="5"/>
      <c r="G357" s="6" t="str">
        <f>IF(AND($A357&lt;&gt;"",$B357&lt;&gt;"",$C357&lt;&gt;"",$D357&lt;&gt;""),IF(OR($B357="SER",$B357="PLH",$B357="CSF"),"Control CDI Plate "&amp;(INT(((COUNTIFS($B$2:$B357,"SER")+COUNTIFS($B$2:$B357,"PLH")+COUNTIFS($B$2:$B357,"CSF"))-1)/96)+1)&amp;": "&amp;CHAR(65+INT(MOD((COUNTIFS($B$2:$B357,"SER")+COUNTIFS($B$2:$B357,"PLH")+COUNTIFS($B$2:$B357,"CSF"))-1,96)/12))&amp;(MOD((COUNTIFS($B$2:$B357,"SER")+COUNTIFS($B$2:$B357,"PLH")+COUNTIFS($B$2:$B357,"CSF"))-1,12)+1),"N/A"),"")</f>
        <v/>
      </c>
      <c r="H357" s="6" t="str">
        <f>IF(AND($A357&lt;&gt;"",$B357&lt;&gt;"",$C357&lt;&gt;"",$D357&lt;&gt;""),IF(OR($B357="SER",$B357="PLH",$B357="CSF"),"Control NIH Plate "&amp;(INT(((COUNTIFS($B$2:$B357,"SER")+COUNTIFS($B$2:$B357,"PLH")+COUNTIFS($B$2:$B357,"CSF"))-1)/96)+1)&amp;": "&amp;CHAR(65+INT(MOD((COUNTIFS($B$2:$B357,"SER")+COUNTIFS($B$2:$B357,"PLH")+COUNTIFS($B$2:$B357,"CSF"))-1,96)/12))&amp;(MOD((COUNTIFS($B$2:$B357,"SER")+COUNTIFS($B$2:$B357,"PLH")+COUNTIFS($B$2:$B357,"CSF"))-1,12)+1),"N/A"),"")</f>
        <v/>
      </c>
      <c r="I357" s="6" t="str">
        <f>IF(AND($A357&lt;&gt;"",$B357&lt;&gt;"",$C357&lt;&gt;"",$D357&lt;&gt;""),IF(OR($B357="SER",$B357="PLH"),"Control MAX Planck Plate "&amp;(INT(((COUNTIFS($B$2:$B357,"SER")+COUNTIFS($B$2:$B357,"PLH"))-1)/96)+1)&amp;": "&amp;CHAR(65+INT(MOD((COUNTIFS($B$2:$B357,"SER")+COUNTIFS($B$2:$B357,"PLH"))-1,96)/12))&amp;(MOD((COUNTIFS($B$2:$B357,"SER")+COUNTIFS($B$2:$B357,"PLH"))-1,12)+1),"N/A"),"")</f>
        <v/>
      </c>
      <c r="J357" s="6" t="str">
        <f>IF(AND($A357&lt;&gt;"",$B357&lt;&gt;"",$C357&lt;&gt;"",$D357&lt;&gt;""),IF($B357="WB","Control WB Box "&amp;(INT((COUNTIFS($B$2:$B357,"WB")-1)/81)+1)&amp;": "&amp;CHAR(65+INT(MOD(COUNTIFS($B$2:$B357,"WB")-1,81)/9))&amp;(MOD(COUNTIFS($B$2:$B357,"WB")-1,9)+1),"N/A"),"")</f>
        <v/>
      </c>
      <c r="K357" s="3" t="str">
        <f t="shared" si="91"/>
        <v/>
      </c>
      <c r="L357" s="2"/>
      <c r="M357" s="2"/>
      <c r="N357" s="2"/>
      <c r="O357" s="7" t="str">
        <f t="shared" si="92"/>
        <v/>
      </c>
      <c r="P357" s="7" t="str">
        <f t="shared" si="93"/>
        <v/>
      </c>
      <c r="Q357" s="7" t="str">
        <f t="shared" si="94"/>
        <v/>
      </c>
      <c r="R357" s="7" t="str">
        <f t="shared" si="95"/>
        <v/>
      </c>
      <c r="S357" s="7" t="str">
        <f t="shared" si="96"/>
        <v/>
      </c>
      <c r="T357" s="7" t="str">
        <f t="shared" si="97"/>
        <v/>
      </c>
      <c r="U357" s="7" t="str">
        <f t="shared" si="98"/>
        <v/>
      </c>
      <c r="V357" s="7" t="str">
        <f t="shared" si="99"/>
        <v/>
      </c>
      <c r="W357" s="7" t="str">
        <f t="shared" si="100"/>
        <v/>
      </c>
      <c r="X357" s="7" t="str">
        <f t="shared" si="101"/>
        <v/>
      </c>
      <c r="Y357">
        <f t="shared" si="102"/>
        <v>0</v>
      </c>
      <c r="Z357" t="str">
        <f t="shared" si="103"/>
        <v/>
      </c>
      <c r="AA357" t="str">
        <f t="shared" si="104"/>
        <v/>
      </c>
      <c r="AB357" t="str">
        <f t="shared" si="105"/>
        <v/>
      </c>
      <c r="AC357" t="str">
        <f t="shared" si="106"/>
        <v/>
      </c>
      <c r="AD357">
        <f t="shared" si="107"/>
        <v>0</v>
      </c>
    </row>
    <row r="358" spans="1:30" ht="15" customHeight="1" x14ac:dyDescent="0.35">
      <c r="A358" s="2"/>
      <c r="B358" s="3"/>
      <c r="C358" s="4"/>
      <c r="D358" s="5"/>
      <c r="E358" s="11" t="str">
        <f t="shared" ca="1" si="90"/>
        <v/>
      </c>
      <c r="F358" s="5"/>
      <c r="G358" s="6" t="str">
        <f>IF(AND($A358&lt;&gt;"",$B358&lt;&gt;"",$C358&lt;&gt;"",$D358&lt;&gt;""),IF(OR($B358="SER",$B358="PLH",$B358="CSF"),"Control CDI Plate "&amp;(INT(((COUNTIFS($B$2:$B358,"SER")+COUNTIFS($B$2:$B358,"PLH")+COUNTIFS($B$2:$B358,"CSF"))-1)/96)+1)&amp;": "&amp;CHAR(65+INT(MOD((COUNTIFS($B$2:$B358,"SER")+COUNTIFS($B$2:$B358,"PLH")+COUNTIFS($B$2:$B358,"CSF"))-1,96)/12))&amp;(MOD((COUNTIFS($B$2:$B358,"SER")+COUNTIFS($B$2:$B358,"PLH")+COUNTIFS($B$2:$B358,"CSF"))-1,12)+1),"N/A"),"")</f>
        <v/>
      </c>
      <c r="H358" s="6" t="str">
        <f>IF(AND($A358&lt;&gt;"",$B358&lt;&gt;"",$C358&lt;&gt;"",$D358&lt;&gt;""),IF(OR($B358="SER",$B358="PLH",$B358="CSF"),"Control NIH Plate "&amp;(INT(((COUNTIFS($B$2:$B358,"SER")+COUNTIFS($B$2:$B358,"PLH")+COUNTIFS($B$2:$B358,"CSF"))-1)/96)+1)&amp;": "&amp;CHAR(65+INT(MOD((COUNTIFS($B$2:$B358,"SER")+COUNTIFS($B$2:$B358,"PLH")+COUNTIFS($B$2:$B358,"CSF"))-1,96)/12))&amp;(MOD((COUNTIFS($B$2:$B358,"SER")+COUNTIFS($B$2:$B358,"PLH")+COUNTIFS($B$2:$B358,"CSF"))-1,12)+1),"N/A"),"")</f>
        <v/>
      </c>
      <c r="I358" s="6" t="str">
        <f>IF(AND($A358&lt;&gt;"",$B358&lt;&gt;"",$C358&lt;&gt;"",$D358&lt;&gt;""),IF(OR($B358="SER",$B358="PLH"),"Control MAX Planck Plate "&amp;(INT(((COUNTIFS($B$2:$B358,"SER")+COUNTIFS($B$2:$B358,"PLH"))-1)/96)+1)&amp;": "&amp;CHAR(65+INT(MOD((COUNTIFS($B$2:$B358,"SER")+COUNTIFS($B$2:$B358,"PLH"))-1,96)/12))&amp;(MOD((COUNTIFS($B$2:$B358,"SER")+COUNTIFS($B$2:$B358,"PLH"))-1,12)+1),"N/A"),"")</f>
        <v/>
      </c>
      <c r="J358" s="6" t="str">
        <f>IF(AND($A358&lt;&gt;"",$B358&lt;&gt;"",$C358&lt;&gt;"",$D358&lt;&gt;""),IF($B358="WB","Control WB Box "&amp;(INT((COUNTIFS($B$2:$B358,"WB")-1)/81)+1)&amp;": "&amp;CHAR(65+INT(MOD(COUNTIFS($B$2:$B358,"WB")-1,81)/9))&amp;(MOD(COUNTIFS($B$2:$B358,"WB")-1,9)+1),"N/A"),"")</f>
        <v/>
      </c>
      <c r="K358" s="3" t="str">
        <f t="shared" si="91"/>
        <v/>
      </c>
      <c r="L358" s="2"/>
      <c r="M358" s="2"/>
      <c r="N358" s="2"/>
      <c r="O358" s="7" t="str">
        <f t="shared" si="92"/>
        <v/>
      </c>
      <c r="P358" s="7" t="str">
        <f t="shared" si="93"/>
        <v/>
      </c>
      <c r="Q358" s="7" t="str">
        <f t="shared" si="94"/>
        <v/>
      </c>
      <c r="R358" s="7" t="str">
        <f t="shared" si="95"/>
        <v/>
      </c>
      <c r="S358" s="7" t="str">
        <f t="shared" si="96"/>
        <v/>
      </c>
      <c r="T358" s="7" t="str">
        <f t="shared" si="97"/>
        <v/>
      </c>
      <c r="U358" s="7" t="str">
        <f t="shared" si="98"/>
        <v/>
      </c>
      <c r="V358" s="7" t="str">
        <f t="shared" si="99"/>
        <v/>
      </c>
      <c r="W358" s="7" t="str">
        <f t="shared" si="100"/>
        <v/>
      </c>
      <c r="X358" s="7" t="str">
        <f t="shared" si="101"/>
        <v/>
      </c>
      <c r="Y358">
        <f t="shared" si="102"/>
        <v>0</v>
      </c>
      <c r="Z358" t="str">
        <f t="shared" si="103"/>
        <v/>
      </c>
      <c r="AA358" t="str">
        <f t="shared" si="104"/>
        <v/>
      </c>
      <c r="AB358" t="str">
        <f t="shared" si="105"/>
        <v/>
      </c>
      <c r="AC358" t="str">
        <f t="shared" si="106"/>
        <v/>
      </c>
      <c r="AD358">
        <f t="shared" si="107"/>
        <v>0</v>
      </c>
    </row>
    <row r="359" spans="1:30" ht="15" customHeight="1" x14ac:dyDescent="0.35">
      <c r="A359" s="2"/>
      <c r="B359" s="3"/>
      <c r="C359" s="4"/>
      <c r="D359" s="5"/>
      <c r="E359" s="11" t="str">
        <f t="shared" ca="1" si="90"/>
        <v/>
      </c>
      <c r="F359" s="5"/>
      <c r="G359" s="6" t="str">
        <f>IF(AND($A359&lt;&gt;"",$B359&lt;&gt;"",$C359&lt;&gt;"",$D359&lt;&gt;""),IF(OR($B359="SER",$B359="PLH",$B359="CSF"),"Control CDI Plate "&amp;(INT(((COUNTIFS($B$2:$B359,"SER")+COUNTIFS($B$2:$B359,"PLH")+COUNTIFS($B$2:$B359,"CSF"))-1)/96)+1)&amp;": "&amp;CHAR(65+INT(MOD((COUNTIFS($B$2:$B359,"SER")+COUNTIFS($B$2:$B359,"PLH")+COUNTIFS($B$2:$B359,"CSF"))-1,96)/12))&amp;(MOD((COUNTIFS($B$2:$B359,"SER")+COUNTIFS($B$2:$B359,"PLH")+COUNTIFS($B$2:$B359,"CSF"))-1,12)+1),"N/A"),"")</f>
        <v/>
      </c>
      <c r="H359" s="6" t="str">
        <f>IF(AND($A359&lt;&gt;"",$B359&lt;&gt;"",$C359&lt;&gt;"",$D359&lt;&gt;""),IF(OR($B359="SER",$B359="PLH",$B359="CSF"),"Control NIH Plate "&amp;(INT(((COUNTIFS($B$2:$B359,"SER")+COUNTIFS($B$2:$B359,"PLH")+COUNTIFS($B$2:$B359,"CSF"))-1)/96)+1)&amp;": "&amp;CHAR(65+INT(MOD((COUNTIFS($B$2:$B359,"SER")+COUNTIFS($B$2:$B359,"PLH")+COUNTIFS($B$2:$B359,"CSF"))-1,96)/12))&amp;(MOD((COUNTIFS($B$2:$B359,"SER")+COUNTIFS($B$2:$B359,"PLH")+COUNTIFS($B$2:$B359,"CSF"))-1,12)+1),"N/A"),"")</f>
        <v/>
      </c>
      <c r="I359" s="6" t="str">
        <f>IF(AND($A359&lt;&gt;"",$B359&lt;&gt;"",$C359&lt;&gt;"",$D359&lt;&gt;""),IF(OR($B359="SER",$B359="PLH"),"Control MAX Planck Plate "&amp;(INT(((COUNTIFS($B$2:$B359,"SER")+COUNTIFS($B$2:$B359,"PLH"))-1)/96)+1)&amp;": "&amp;CHAR(65+INT(MOD((COUNTIFS($B$2:$B359,"SER")+COUNTIFS($B$2:$B359,"PLH"))-1,96)/12))&amp;(MOD((COUNTIFS($B$2:$B359,"SER")+COUNTIFS($B$2:$B359,"PLH"))-1,12)+1),"N/A"),"")</f>
        <v/>
      </c>
      <c r="J359" s="6" t="str">
        <f>IF(AND($A359&lt;&gt;"",$B359&lt;&gt;"",$C359&lt;&gt;"",$D359&lt;&gt;""),IF($B359="WB","Control WB Box "&amp;(INT((COUNTIFS($B$2:$B359,"WB")-1)/81)+1)&amp;": "&amp;CHAR(65+INT(MOD(COUNTIFS($B$2:$B359,"WB")-1,81)/9))&amp;(MOD(COUNTIFS($B$2:$B359,"WB")-1,9)+1),"N/A"),"")</f>
        <v/>
      </c>
      <c r="K359" s="3" t="str">
        <f t="shared" si="91"/>
        <v/>
      </c>
      <c r="L359" s="2"/>
      <c r="M359" s="2"/>
      <c r="N359" s="2"/>
      <c r="O359" s="7" t="str">
        <f t="shared" si="92"/>
        <v/>
      </c>
      <c r="P359" s="7" t="str">
        <f t="shared" si="93"/>
        <v/>
      </c>
      <c r="Q359" s="7" t="str">
        <f t="shared" si="94"/>
        <v/>
      </c>
      <c r="R359" s="7" t="str">
        <f t="shared" si="95"/>
        <v/>
      </c>
      <c r="S359" s="7" t="str">
        <f t="shared" si="96"/>
        <v/>
      </c>
      <c r="T359" s="7" t="str">
        <f t="shared" si="97"/>
        <v/>
      </c>
      <c r="U359" s="7" t="str">
        <f t="shared" si="98"/>
        <v/>
      </c>
      <c r="V359" s="7" t="str">
        <f t="shared" si="99"/>
        <v/>
      </c>
      <c r="W359" s="7" t="str">
        <f t="shared" si="100"/>
        <v/>
      </c>
      <c r="X359" s="7" t="str">
        <f t="shared" si="101"/>
        <v/>
      </c>
      <c r="Y359">
        <f t="shared" si="102"/>
        <v>0</v>
      </c>
      <c r="Z359" t="str">
        <f t="shared" si="103"/>
        <v/>
      </c>
      <c r="AA359" t="str">
        <f t="shared" si="104"/>
        <v/>
      </c>
      <c r="AB359" t="str">
        <f t="shared" si="105"/>
        <v/>
      </c>
      <c r="AC359" t="str">
        <f t="shared" si="106"/>
        <v/>
      </c>
      <c r="AD359">
        <f t="shared" si="107"/>
        <v>0</v>
      </c>
    </row>
    <row r="360" spans="1:30" ht="15" customHeight="1" x14ac:dyDescent="0.35">
      <c r="A360" s="2"/>
      <c r="B360" s="3"/>
      <c r="C360" s="4"/>
      <c r="D360" s="5"/>
      <c r="E360" s="11" t="str">
        <f t="shared" ca="1" si="90"/>
        <v/>
      </c>
      <c r="F360" s="5"/>
      <c r="G360" s="6" t="str">
        <f>IF(AND($A360&lt;&gt;"",$B360&lt;&gt;"",$C360&lt;&gt;"",$D360&lt;&gt;""),IF(OR($B360="SER",$B360="PLH",$B360="CSF"),"Control CDI Plate "&amp;(INT(((COUNTIFS($B$2:$B360,"SER")+COUNTIFS($B$2:$B360,"PLH")+COUNTIFS($B$2:$B360,"CSF"))-1)/96)+1)&amp;": "&amp;CHAR(65+INT(MOD((COUNTIFS($B$2:$B360,"SER")+COUNTIFS($B$2:$B360,"PLH")+COUNTIFS($B$2:$B360,"CSF"))-1,96)/12))&amp;(MOD((COUNTIFS($B$2:$B360,"SER")+COUNTIFS($B$2:$B360,"PLH")+COUNTIFS($B$2:$B360,"CSF"))-1,12)+1),"N/A"),"")</f>
        <v/>
      </c>
      <c r="H360" s="6" t="str">
        <f>IF(AND($A360&lt;&gt;"",$B360&lt;&gt;"",$C360&lt;&gt;"",$D360&lt;&gt;""),IF(OR($B360="SER",$B360="PLH",$B360="CSF"),"Control NIH Plate "&amp;(INT(((COUNTIFS($B$2:$B360,"SER")+COUNTIFS($B$2:$B360,"PLH")+COUNTIFS($B$2:$B360,"CSF"))-1)/96)+1)&amp;": "&amp;CHAR(65+INT(MOD((COUNTIFS($B$2:$B360,"SER")+COUNTIFS($B$2:$B360,"PLH")+COUNTIFS($B$2:$B360,"CSF"))-1,96)/12))&amp;(MOD((COUNTIFS($B$2:$B360,"SER")+COUNTIFS($B$2:$B360,"PLH")+COUNTIFS($B$2:$B360,"CSF"))-1,12)+1),"N/A"),"")</f>
        <v/>
      </c>
      <c r="I360" s="6" t="str">
        <f>IF(AND($A360&lt;&gt;"",$B360&lt;&gt;"",$C360&lt;&gt;"",$D360&lt;&gt;""),IF(OR($B360="SER",$B360="PLH"),"Control MAX Planck Plate "&amp;(INT(((COUNTIFS($B$2:$B360,"SER")+COUNTIFS($B$2:$B360,"PLH"))-1)/96)+1)&amp;": "&amp;CHAR(65+INT(MOD((COUNTIFS($B$2:$B360,"SER")+COUNTIFS($B$2:$B360,"PLH"))-1,96)/12))&amp;(MOD((COUNTIFS($B$2:$B360,"SER")+COUNTIFS($B$2:$B360,"PLH"))-1,12)+1),"N/A"),"")</f>
        <v/>
      </c>
      <c r="J360" s="6" t="str">
        <f>IF(AND($A360&lt;&gt;"",$B360&lt;&gt;"",$C360&lt;&gt;"",$D360&lt;&gt;""),IF($B360="WB","Control WB Box "&amp;(INT((COUNTIFS($B$2:$B360,"WB")-1)/81)+1)&amp;": "&amp;CHAR(65+INT(MOD(COUNTIFS($B$2:$B360,"WB")-1,81)/9))&amp;(MOD(COUNTIFS($B$2:$B360,"WB")-1,9)+1),"N/A"),"")</f>
        <v/>
      </c>
      <c r="K360" s="3" t="str">
        <f t="shared" si="91"/>
        <v/>
      </c>
      <c r="L360" s="2"/>
      <c r="M360" s="2"/>
      <c r="N360" s="2"/>
      <c r="O360" s="7" t="str">
        <f t="shared" si="92"/>
        <v/>
      </c>
      <c r="P360" s="7" t="str">
        <f t="shared" si="93"/>
        <v/>
      </c>
      <c r="Q360" s="7" t="str">
        <f t="shared" si="94"/>
        <v/>
      </c>
      <c r="R360" s="7" t="str">
        <f t="shared" si="95"/>
        <v/>
      </c>
      <c r="S360" s="7" t="str">
        <f t="shared" si="96"/>
        <v/>
      </c>
      <c r="T360" s="7" t="str">
        <f t="shared" si="97"/>
        <v/>
      </c>
      <c r="U360" s="7" t="str">
        <f t="shared" si="98"/>
        <v/>
      </c>
      <c r="V360" s="7" t="str">
        <f t="shared" si="99"/>
        <v/>
      </c>
      <c r="W360" s="7" t="str">
        <f t="shared" si="100"/>
        <v/>
      </c>
      <c r="X360" s="7" t="str">
        <f t="shared" si="101"/>
        <v/>
      </c>
      <c r="Y360">
        <f t="shared" si="102"/>
        <v>0</v>
      </c>
      <c r="Z360" t="str">
        <f t="shared" si="103"/>
        <v/>
      </c>
      <c r="AA360" t="str">
        <f t="shared" si="104"/>
        <v/>
      </c>
      <c r="AB360" t="str">
        <f t="shared" si="105"/>
        <v/>
      </c>
      <c r="AC360" t="str">
        <f t="shared" si="106"/>
        <v/>
      </c>
      <c r="AD360">
        <f t="shared" si="107"/>
        <v>0</v>
      </c>
    </row>
    <row r="361" spans="1:30" ht="15" customHeight="1" x14ac:dyDescent="0.35">
      <c r="A361" s="2"/>
      <c r="B361" s="3"/>
      <c r="C361" s="4"/>
      <c r="D361" s="5"/>
      <c r="E361" s="11" t="str">
        <f t="shared" ca="1" si="90"/>
        <v/>
      </c>
      <c r="F361" s="5"/>
      <c r="G361" s="6" t="str">
        <f>IF(AND($A361&lt;&gt;"",$B361&lt;&gt;"",$C361&lt;&gt;"",$D361&lt;&gt;""),IF(OR($B361="SER",$B361="PLH",$B361="CSF"),"Control CDI Plate "&amp;(INT(((COUNTIFS($B$2:$B361,"SER")+COUNTIFS($B$2:$B361,"PLH")+COUNTIFS($B$2:$B361,"CSF"))-1)/96)+1)&amp;": "&amp;CHAR(65+INT(MOD((COUNTIFS($B$2:$B361,"SER")+COUNTIFS($B$2:$B361,"PLH")+COUNTIFS($B$2:$B361,"CSF"))-1,96)/12))&amp;(MOD((COUNTIFS($B$2:$B361,"SER")+COUNTIFS($B$2:$B361,"PLH")+COUNTIFS($B$2:$B361,"CSF"))-1,12)+1),"N/A"),"")</f>
        <v/>
      </c>
      <c r="H361" s="6" t="str">
        <f>IF(AND($A361&lt;&gt;"",$B361&lt;&gt;"",$C361&lt;&gt;"",$D361&lt;&gt;""),IF(OR($B361="SER",$B361="PLH",$B361="CSF"),"Control NIH Plate "&amp;(INT(((COUNTIFS($B$2:$B361,"SER")+COUNTIFS($B$2:$B361,"PLH")+COUNTIFS($B$2:$B361,"CSF"))-1)/96)+1)&amp;": "&amp;CHAR(65+INT(MOD((COUNTIFS($B$2:$B361,"SER")+COUNTIFS($B$2:$B361,"PLH")+COUNTIFS($B$2:$B361,"CSF"))-1,96)/12))&amp;(MOD((COUNTIFS($B$2:$B361,"SER")+COUNTIFS($B$2:$B361,"PLH")+COUNTIFS($B$2:$B361,"CSF"))-1,12)+1),"N/A"),"")</f>
        <v/>
      </c>
      <c r="I361" s="6" t="str">
        <f>IF(AND($A361&lt;&gt;"",$B361&lt;&gt;"",$C361&lt;&gt;"",$D361&lt;&gt;""),IF(OR($B361="SER",$B361="PLH"),"Control MAX Planck Plate "&amp;(INT(((COUNTIFS($B$2:$B361,"SER")+COUNTIFS($B$2:$B361,"PLH"))-1)/96)+1)&amp;": "&amp;CHAR(65+INT(MOD((COUNTIFS($B$2:$B361,"SER")+COUNTIFS($B$2:$B361,"PLH"))-1,96)/12))&amp;(MOD((COUNTIFS($B$2:$B361,"SER")+COUNTIFS($B$2:$B361,"PLH"))-1,12)+1),"N/A"),"")</f>
        <v/>
      </c>
      <c r="J361" s="6" t="str">
        <f>IF(AND($A361&lt;&gt;"",$B361&lt;&gt;"",$C361&lt;&gt;"",$D361&lt;&gt;""),IF($B361="WB","Control WB Box "&amp;(INT((COUNTIFS($B$2:$B361,"WB")-1)/81)+1)&amp;": "&amp;CHAR(65+INT(MOD(COUNTIFS($B$2:$B361,"WB")-1,81)/9))&amp;(MOD(COUNTIFS($B$2:$B361,"WB")-1,9)+1),"N/A"),"")</f>
        <v/>
      </c>
      <c r="K361" s="3" t="str">
        <f t="shared" si="91"/>
        <v/>
      </c>
      <c r="L361" s="2"/>
      <c r="M361" s="2"/>
      <c r="N361" s="2"/>
      <c r="O361" s="7" t="str">
        <f t="shared" si="92"/>
        <v/>
      </c>
      <c r="P361" s="7" t="str">
        <f t="shared" si="93"/>
        <v/>
      </c>
      <c r="Q361" s="7" t="str">
        <f t="shared" si="94"/>
        <v/>
      </c>
      <c r="R361" s="7" t="str">
        <f t="shared" si="95"/>
        <v/>
      </c>
      <c r="S361" s="7" t="str">
        <f t="shared" si="96"/>
        <v/>
      </c>
      <c r="T361" s="7" t="str">
        <f t="shared" si="97"/>
        <v/>
      </c>
      <c r="U361" s="7" t="str">
        <f t="shared" si="98"/>
        <v/>
      </c>
      <c r="V361" s="7" t="str">
        <f t="shared" si="99"/>
        <v/>
      </c>
      <c r="W361" s="7" t="str">
        <f t="shared" si="100"/>
        <v/>
      </c>
      <c r="X361" s="7" t="str">
        <f t="shared" si="101"/>
        <v/>
      </c>
      <c r="Y361">
        <f t="shared" si="102"/>
        <v>0</v>
      </c>
      <c r="Z361" t="str">
        <f t="shared" si="103"/>
        <v/>
      </c>
      <c r="AA361" t="str">
        <f t="shared" si="104"/>
        <v/>
      </c>
      <c r="AB361" t="str">
        <f t="shared" si="105"/>
        <v/>
      </c>
      <c r="AC361" t="str">
        <f t="shared" si="106"/>
        <v/>
      </c>
      <c r="AD361">
        <f t="shared" si="107"/>
        <v>0</v>
      </c>
    </row>
    <row r="362" spans="1:30" ht="15" customHeight="1" x14ac:dyDescent="0.35">
      <c r="A362" s="2"/>
      <c r="B362" s="3"/>
      <c r="C362" s="4"/>
      <c r="D362" s="5"/>
      <c r="E362" s="11" t="str">
        <f t="shared" ca="1" si="90"/>
        <v/>
      </c>
      <c r="F362" s="5"/>
      <c r="G362" s="6" t="str">
        <f>IF(AND($A362&lt;&gt;"",$B362&lt;&gt;"",$C362&lt;&gt;"",$D362&lt;&gt;""),IF(OR($B362="SER",$B362="PLH",$B362="CSF"),"Control CDI Plate "&amp;(INT(((COUNTIFS($B$2:$B362,"SER")+COUNTIFS($B$2:$B362,"PLH")+COUNTIFS($B$2:$B362,"CSF"))-1)/96)+1)&amp;": "&amp;CHAR(65+INT(MOD((COUNTIFS($B$2:$B362,"SER")+COUNTIFS($B$2:$B362,"PLH")+COUNTIFS($B$2:$B362,"CSF"))-1,96)/12))&amp;(MOD((COUNTIFS($B$2:$B362,"SER")+COUNTIFS($B$2:$B362,"PLH")+COUNTIFS($B$2:$B362,"CSF"))-1,12)+1),"N/A"),"")</f>
        <v/>
      </c>
      <c r="H362" s="6" t="str">
        <f>IF(AND($A362&lt;&gt;"",$B362&lt;&gt;"",$C362&lt;&gt;"",$D362&lt;&gt;""),IF(OR($B362="SER",$B362="PLH",$B362="CSF"),"Control NIH Plate "&amp;(INT(((COUNTIFS($B$2:$B362,"SER")+COUNTIFS($B$2:$B362,"PLH")+COUNTIFS($B$2:$B362,"CSF"))-1)/96)+1)&amp;": "&amp;CHAR(65+INT(MOD((COUNTIFS($B$2:$B362,"SER")+COUNTIFS($B$2:$B362,"PLH")+COUNTIFS($B$2:$B362,"CSF"))-1,96)/12))&amp;(MOD((COUNTIFS($B$2:$B362,"SER")+COUNTIFS($B$2:$B362,"PLH")+COUNTIFS($B$2:$B362,"CSF"))-1,12)+1),"N/A"),"")</f>
        <v/>
      </c>
      <c r="I362" s="6" t="str">
        <f>IF(AND($A362&lt;&gt;"",$B362&lt;&gt;"",$C362&lt;&gt;"",$D362&lt;&gt;""),IF(OR($B362="SER",$B362="PLH"),"Control MAX Planck Plate "&amp;(INT(((COUNTIFS($B$2:$B362,"SER")+COUNTIFS($B$2:$B362,"PLH"))-1)/96)+1)&amp;": "&amp;CHAR(65+INT(MOD((COUNTIFS($B$2:$B362,"SER")+COUNTIFS($B$2:$B362,"PLH"))-1,96)/12))&amp;(MOD((COUNTIFS($B$2:$B362,"SER")+COUNTIFS($B$2:$B362,"PLH"))-1,12)+1),"N/A"),"")</f>
        <v/>
      </c>
      <c r="J362" s="6" t="str">
        <f>IF(AND($A362&lt;&gt;"",$B362&lt;&gt;"",$C362&lt;&gt;"",$D362&lt;&gt;""),IF($B362="WB","Control WB Box "&amp;(INT((COUNTIFS($B$2:$B362,"WB")-1)/81)+1)&amp;": "&amp;CHAR(65+INT(MOD(COUNTIFS($B$2:$B362,"WB")-1,81)/9))&amp;(MOD(COUNTIFS($B$2:$B362,"WB")-1,9)+1),"N/A"),"")</f>
        <v/>
      </c>
      <c r="K362" s="3" t="str">
        <f t="shared" si="91"/>
        <v/>
      </c>
      <c r="L362" s="2"/>
      <c r="M362" s="2"/>
      <c r="N362" s="2"/>
      <c r="O362" s="7" t="str">
        <f t="shared" si="92"/>
        <v/>
      </c>
      <c r="P362" s="7" t="str">
        <f t="shared" si="93"/>
        <v/>
      </c>
      <c r="Q362" s="7" t="str">
        <f t="shared" si="94"/>
        <v/>
      </c>
      <c r="R362" s="7" t="str">
        <f t="shared" si="95"/>
        <v/>
      </c>
      <c r="S362" s="7" t="str">
        <f t="shared" si="96"/>
        <v/>
      </c>
      <c r="T362" s="7" t="str">
        <f t="shared" si="97"/>
        <v/>
      </c>
      <c r="U362" s="7" t="str">
        <f t="shared" si="98"/>
        <v/>
      </c>
      <c r="V362" s="7" t="str">
        <f t="shared" si="99"/>
        <v/>
      </c>
      <c r="W362" s="7" t="str">
        <f t="shared" si="100"/>
        <v/>
      </c>
      <c r="X362" s="7" t="str">
        <f t="shared" si="101"/>
        <v/>
      </c>
      <c r="Y362">
        <f t="shared" si="102"/>
        <v>0</v>
      </c>
      <c r="Z362" t="str">
        <f t="shared" si="103"/>
        <v/>
      </c>
      <c r="AA362" t="str">
        <f t="shared" si="104"/>
        <v/>
      </c>
      <c r="AB362" t="str">
        <f t="shared" si="105"/>
        <v/>
      </c>
      <c r="AC362" t="str">
        <f t="shared" si="106"/>
        <v/>
      </c>
      <c r="AD362">
        <f t="shared" si="107"/>
        <v>0</v>
      </c>
    </row>
    <row r="363" spans="1:30" ht="15" customHeight="1" x14ac:dyDescent="0.35">
      <c r="A363" s="2"/>
      <c r="B363" s="3"/>
      <c r="C363" s="4"/>
      <c r="D363" s="5"/>
      <c r="E363" s="11" t="str">
        <f t="shared" ca="1" si="90"/>
        <v/>
      </c>
      <c r="F363" s="5"/>
      <c r="G363" s="6" t="str">
        <f>IF(AND($A363&lt;&gt;"",$B363&lt;&gt;"",$C363&lt;&gt;"",$D363&lt;&gt;""),IF(OR($B363="SER",$B363="PLH",$B363="CSF"),"Control CDI Plate "&amp;(INT(((COUNTIFS($B$2:$B363,"SER")+COUNTIFS($B$2:$B363,"PLH")+COUNTIFS($B$2:$B363,"CSF"))-1)/96)+1)&amp;": "&amp;CHAR(65+INT(MOD((COUNTIFS($B$2:$B363,"SER")+COUNTIFS($B$2:$B363,"PLH")+COUNTIFS($B$2:$B363,"CSF"))-1,96)/12))&amp;(MOD((COUNTIFS($B$2:$B363,"SER")+COUNTIFS($B$2:$B363,"PLH")+COUNTIFS($B$2:$B363,"CSF"))-1,12)+1),"N/A"),"")</f>
        <v/>
      </c>
      <c r="H363" s="6" t="str">
        <f>IF(AND($A363&lt;&gt;"",$B363&lt;&gt;"",$C363&lt;&gt;"",$D363&lt;&gt;""),IF(OR($B363="SER",$B363="PLH",$B363="CSF"),"Control NIH Plate "&amp;(INT(((COUNTIFS($B$2:$B363,"SER")+COUNTIFS($B$2:$B363,"PLH")+COUNTIFS($B$2:$B363,"CSF"))-1)/96)+1)&amp;": "&amp;CHAR(65+INT(MOD((COUNTIFS($B$2:$B363,"SER")+COUNTIFS($B$2:$B363,"PLH")+COUNTIFS($B$2:$B363,"CSF"))-1,96)/12))&amp;(MOD((COUNTIFS($B$2:$B363,"SER")+COUNTIFS($B$2:$B363,"PLH")+COUNTIFS($B$2:$B363,"CSF"))-1,12)+1),"N/A"),"")</f>
        <v/>
      </c>
      <c r="I363" s="6" t="str">
        <f>IF(AND($A363&lt;&gt;"",$B363&lt;&gt;"",$C363&lt;&gt;"",$D363&lt;&gt;""),IF(OR($B363="SER",$B363="PLH"),"Control MAX Planck Plate "&amp;(INT(((COUNTIFS($B$2:$B363,"SER")+COUNTIFS($B$2:$B363,"PLH"))-1)/96)+1)&amp;": "&amp;CHAR(65+INT(MOD((COUNTIFS($B$2:$B363,"SER")+COUNTIFS($B$2:$B363,"PLH"))-1,96)/12))&amp;(MOD((COUNTIFS($B$2:$B363,"SER")+COUNTIFS($B$2:$B363,"PLH"))-1,12)+1),"N/A"),"")</f>
        <v/>
      </c>
      <c r="J363" s="6" t="str">
        <f>IF(AND($A363&lt;&gt;"",$B363&lt;&gt;"",$C363&lt;&gt;"",$D363&lt;&gt;""),IF($B363="WB","Control WB Box "&amp;(INT((COUNTIFS($B$2:$B363,"WB")-1)/81)+1)&amp;": "&amp;CHAR(65+INT(MOD(COUNTIFS($B$2:$B363,"WB")-1,81)/9))&amp;(MOD(COUNTIFS($B$2:$B363,"WB")-1,9)+1),"N/A"),"")</f>
        <v/>
      </c>
      <c r="K363" s="3" t="str">
        <f t="shared" si="91"/>
        <v/>
      </c>
      <c r="L363" s="2"/>
      <c r="M363" s="2"/>
      <c r="N363" s="2"/>
      <c r="O363" s="7" t="str">
        <f t="shared" si="92"/>
        <v/>
      </c>
      <c r="P363" s="7" t="str">
        <f t="shared" si="93"/>
        <v/>
      </c>
      <c r="Q363" s="7" t="str">
        <f t="shared" si="94"/>
        <v/>
      </c>
      <c r="R363" s="7" t="str">
        <f t="shared" si="95"/>
        <v/>
      </c>
      <c r="S363" s="7" t="str">
        <f t="shared" si="96"/>
        <v/>
      </c>
      <c r="T363" s="7" t="str">
        <f t="shared" si="97"/>
        <v/>
      </c>
      <c r="U363" s="7" t="str">
        <f t="shared" si="98"/>
        <v/>
      </c>
      <c r="V363" s="7" t="str">
        <f t="shared" si="99"/>
        <v/>
      </c>
      <c r="W363" s="7" t="str">
        <f t="shared" si="100"/>
        <v/>
      </c>
      <c r="X363" s="7" t="str">
        <f t="shared" si="101"/>
        <v/>
      </c>
      <c r="Y363">
        <f t="shared" si="102"/>
        <v>0</v>
      </c>
      <c r="Z363" t="str">
        <f t="shared" si="103"/>
        <v/>
      </c>
      <c r="AA363" t="str">
        <f t="shared" si="104"/>
        <v/>
      </c>
      <c r="AB363" t="str">
        <f t="shared" si="105"/>
        <v/>
      </c>
      <c r="AC363" t="str">
        <f t="shared" si="106"/>
        <v/>
      </c>
      <c r="AD363">
        <f t="shared" si="107"/>
        <v>0</v>
      </c>
    </row>
    <row r="364" spans="1:30" ht="15" customHeight="1" x14ac:dyDescent="0.35">
      <c r="A364" s="2"/>
      <c r="B364" s="3"/>
      <c r="C364" s="4"/>
      <c r="D364" s="5"/>
      <c r="E364" s="11" t="str">
        <f t="shared" ca="1" si="90"/>
        <v/>
      </c>
      <c r="F364" s="5"/>
      <c r="G364" s="6" t="str">
        <f>IF(AND($A364&lt;&gt;"",$B364&lt;&gt;"",$C364&lt;&gt;"",$D364&lt;&gt;""),IF(OR($B364="SER",$B364="PLH",$B364="CSF"),"Control CDI Plate "&amp;(INT(((COUNTIFS($B$2:$B364,"SER")+COUNTIFS($B$2:$B364,"PLH")+COUNTIFS($B$2:$B364,"CSF"))-1)/96)+1)&amp;": "&amp;CHAR(65+INT(MOD((COUNTIFS($B$2:$B364,"SER")+COUNTIFS($B$2:$B364,"PLH")+COUNTIFS($B$2:$B364,"CSF"))-1,96)/12))&amp;(MOD((COUNTIFS($B$2:$B364,"SER")+COUNTIFS($B$2:$B364,"PLH")+COUNTIFS($B$2:$B364,"CSF"))-1,12)+1),"N/A"),"")</f>
        <v/>
      </c>
      <c r="H364" s="6" t="str">
        <f>IF(AND($A364&lt;&gt;"",$B364&lt;&gt;"",$C364&lt;&gt;"",$D364&lt;&gt;""),IF(OR($B364="SER",$B364="PLH",$B364="CSF"),"Control NIH Plate "&amp;(INT(((COUNTIFS($B$2:$B364,"SER")+COUNTIFS($B$2:$B364,"PLH")+COUNTIFS($B$2:$B364,"CSF"))-1)/96)+1)&amp;": "&amp;CHAR(65+INT(MOD((COUNTIFS($B$2:$B364,"SER")+COUNTIFS($B$2:$B364,"PLH")+COUNTIFS($B$2:$B364,"CSF"))-1,96)/12))&amp;(MOD((COUNTIFS($B$2:$B364,"SER")+COUNTIFS($B$2:$B364,"PLH")+COUNTIFS($B$2:$B364,"CSF"))-1,12)+1),"N/A"),"")</f>
        <v/>
      </c>
      <c r="I364" s="6" t="str">
        <f>IF(AND($A364&lt;&gt;"",$B364&lt;&gt;"",$C364&lt;&gt;"",$D364&lt;&gt;""),IF(OR($B364="SER",$B364="PLH"),"Control MAX Planck Plate "&amp;(INT(((COUNTIFS($B$2:$B364,"SER")+COUNTIFS($B$2:$B364,"PLH"))-1)/96)+1)&amp;": "&amp;CHAR(65+INT(MOD((COUNTIFS($B$2:$B364,"SER")+COUNTIFS($B$2:$B364,"PLH"))-1,96)/12))&amp;(MOD((COUNTIFS($B$2:$B364,"SER")+COUNTIFS($B$2:$B364,"PLH"))-1,12)+1),"N/A"),"")</f>
        <v/>
      </c>
      <c r="J364" s="6" t="str">
        <f>IF(AND($A364&lt;&gt;"",$B364&lt;&gt;"",$C364&lt;&gt;"",$D364&lt;&gt;""),IF($B364="WB","Control WB Box "&amp;(INT((COUNTIFS($B$2:$B364,"WB")-1)/81)+1)&amp;": "&amp;CHAR(65+INT(MOD(COUNTIFS($B$2:$B364,"WB")-1,81)/9))&amp;(MOD(COUNTIFS($B$2:$B364,"WB")-1,9)+1),"N/A"),"")</f>
        <v/>
      </c>
      <c r="K364" s="3" t="str">
        <f t="shared" si="91"/>
        <v/>
      </c>
      <c r="L364" s="2"/>
      <c r="M364" s="2"/>
      <c r="N364" s="2"/>
      <c r="O364" s="7" t="str">
        <f t="shared" si="92"/>
        <v/>
      </c>
      <c r="P364" s="7" t="str">
        <f t="shared" si="93"/>
        <v/>
      </c>
      <c r="Q364" s="7" t="str">
        <f t="shared" si="94"/>
        <v/>
      </c>
      <c r="R364" s="7" t="str">
        <f t="shared" si="95"/>
        <v/>
      </c>
      <c r="S364" s="7" t="str">
        <f t="shared" si="96"/>
        <v/>
      </c>
      <c r="T364" s="7" t="str">
        <f t="shared" si="97"/>
        <v/>
      </c>
      <c r="U364" s="7" t="str">
        <f t="shared" si="98"/>
        <v/>
      </c>
      <c r="V364" s="7" t="str">
        <f t="shared" si="99"/>
        <v/>
      </c>
      <c r="W364" s="7" t="str">
        <f t="shared" si="100"/>
        <v/>
      </c>
      <c r="X364" s="7" t="str">
        <f t="shared" si="101"/>
        <v/>
      </c>
      <c r="Y364">
        <f t="shared" si="102"/>
        <v>0</v>
      </c>
      <c r="Z364" t="str">
        <f t="shared" si="103"/>
        <v/>
      </c>
      <c r="AA364" t="str">
        <f t="shared" si="104"/>
        <v/>
      </c>
      <c r="AB364" t="str">
        <f t="shared" si="105"/>
        <v/>
      </c>
      <c r="AC364" t="str">
        <f t="shared" si="106"/>
        <v/>
      </c>
      <c r="AD364">
        <f t="shared" si="107"/>
        <v>0</v>
      </c>
    </row>
    <row r="365" spans="1:30" ht="15" customHeight="1" x14ac:dyDescent="0.35">
      <c r="A365" s="2"/>
      <c r="B365" s="3"/>
      <c r="C365" s="4"/>
      <c r="D365" s="5"/>
      <c r="E365" s="11" t="str">
        <f t="shared" ca="1" si="90"/>
        <v/>
      </c>
      <c r="F365" s="5"/>
      <c r="G365" s="6" t="str">
        <f>IF(AND($A365&lt;&gt;"",$B365&lt;&gt;"",$C365&lt;&gt;"",$D365&lt;&gt;""),IF(OR($B365="SER",$B365="PLH",$B365="CSF"),"Control CDI Plate "&amp;(INT(((COUNTIFS($B$2:$B365,"SER")+COUNTIFS($B$2:$B365,"PLH")+COUNTIFS($B$2:$B365,"CSF"))-1)/96)+1)&amp;": "&amp;CHAR(65+INT(MOD((COUNTIFS($B$2:$B365,"SER")+COUNTIFS($B$2:$B365,"PLH")+COUNTIFS($B$2:$B365,"CSF"))-1,96)/12))&amp;(MOD((COUNTIFS($B$2:$B365,"SER")+COUNTIFS($B$2:$B365,"PLH")+COUNTIFS($B$2:$B365,"CSF"))-1,12)+1),"N/A"),"")</f>
        <v/>
      </c>
      <c r="H365" s="6" t="str">
        <f>IF(AND($A365&lt;&gt;"",$B365&lt;&gt;"",$C365&lt;&gt;"",$D365&lt;&gt;""),IF(OR($B365="SER",$B365="PLH",$B365="CSF"),"Control NIH Plate "&amp;(INT(((COUNTIFS($B$2:$B365,"SER")+COUNTIFS($B$2:$B365,"PLH")+COUNTIFS($B$2:$B365,"CSF"))-1)/96)+1)&amp;": "&amp;CHAR(65+INT(MOD((COUNTIFS($B$2:$B365,"SER")+COUNTIFS($B$2:$B365,"PLH")+COUNTIFS($B$2:$B365,"CSF"))-1,96)/12))&amp;(MOD((COUNTIFS($B$2:$B365,"SER")+COUNTIFS($B$2:$B365,"PLH")+COUNTIFS($B$2:$B365,"CSF"))-1,12)+1),"N/A"),"")</f>
        <v/>
      </c>
      <c r="I365" s="6" t="str">
        <f>IF(AND($A365&lt;&gt;"",$B365&lt;&gt;"",$C365&lt;&gt;"",$D365&lt;&gt;""),IF(OR($B365="SER",$B365="PLH"),"Control MAX Planck Plate "&amp;(INT(((COUNTIFS($B$2:$B365,"SER")+COUNTIFS($B$2:$B365,"PLH"))-1)/96)+1)&amp;": "&amp;CHAR(65+INT(MOD((COUNTIFS($B$2:$B365,"SER")+COUNTIFS($B$2:$B365,"PLH"))-1,96)/12))&amp;(MOD((COUNTIFS($B$2:$B365,"SER")+COUNTIFS($B$2:$B365,"PLH"))-1,12)+1),"N/A"),"")</f>
        <v/>
      </c>
      <c r="J365" s="6" t="str">
        <f>IF(AND($A365&lt;&gt;"",$B365&lt;&gt;"",$C365&lt;&gt;"",$D365&lt;&gt;""),IF($B365="WB","Control WB Box "&amp;(INT((COUNTIFS($B$2:$B365,"WB")-1)/81)+1)&amp;": "&amp;CHAR(65+INT(MOD(COUNTIFS($B$2:$B365,"WB")-1,81)/9))&amp;(MOD(COUNTIFS($B$2:$B365,"WB")-1,9)+1),"N/A"),"")</f>
        <v/>
      </c>
      <c r="K365" s="3" t="str">
        <f t="shared" si="91"/>
        <v/>
      </c>
      <c r="L365" s="2"/>
      <c r="M365" s="2"/>
      <c r="N365" s="2"/>
      <c r="O365" s="7" t="str">
        <f t="shared" si="92"/>
        <v/>
      </c>
      <c r="P365" s="7" t="str">
        <f t="shared" si="93"/>
        <v/>
      </c>
      <c r="Q365" s="7" t="str">
        <f t="shared" si="94"/>
        <v/>
      </c>
      <c r="R365" s="7" t="str">
        <f t="shared" si="95"/>
        <v/>
      </c>
      <c r="S365" s="7" t="str">
        <f t="shared" si="96"/>
        <v/>
      </c>
      <c r="T365" s="7" t="str">
        <f t="shared" si="97"/>
        <v/>
      </c>
      <c r="U365" s="7" t="str">
        <f t="shared" si="98"/>
        <v/>
      </c>
      <c r="V365" s="7" t="str">
        <f t="shared" si="99"/>
        <v/>
      </c>
      <c r="W365" s="7" t="str">
        <f t="shared" si="100"/>
        <v/>
      </c>
      <c r="X365" s="7" t="str">
        <f t="shared" si="101"/>
        <v/>
      </c>
      <c r="Y365">
        <f t="shared" si="102"/>
        <v>0</v>
      </c>
      <c r="Z365" t="str">
        <f t="shared" si="103"/>
        <v/>
      </c>
      <c r="AA365" t="str">
        <f t="shared" si="104"/>
        <v/>
      </c>
      <c r="AB365" t="str">
        <f t="shared" si="105"/>
        <v/>
      </c>
      <c r="AC365" t="str">
        <f t="shared" si="106"/>
        <v/>
      </c>
      <c r="AD365">
        <f t="shared" si="107"/>
        <v>0</v>
      </c>
    </row>
    <row r="366" spans="1:30" ht="15" customHeight="1" x14ac:dyDescent="0.35">
      <c r="A366" s="2"/>
      <c r="B366" s="3"/>
      <c r="C366" s="4"/>
      <c r="D366" s="5"/>
      <c r="E366" s="11" t="str">
        <f t="shared" ca="1" si="90"/>
        <v/>
      </c>
      <c r="F366" s="5"/>
      <c r="G366" s="6" t="str">
        <f>IF(AND($A366&lt;&gt;"",$B366&lt;&gt;"",$C366&lt;&gt;"",$D366&lt;&gt;""),IF(OR($B366="SER",$B366="PLH",$B366="CSF"),"Control CDI Plate "&amp;(INT(((COUNTIFS($B$2:$B366,"SER")+COUNTIFS($B$2:$B366,"PLH")+COUNTIFS($B$2:$B366,"CSF"))-1)/96)+1)&amp;": "&amp;CHAR(65+INT(MOD((COUNTIFS($B$2:$B366,"SER")+COUNTIFS($B$2:$B366,"PLH")+COUNTIFS($B$2:$B366,"CSF"))-1,96)/12))&amp;(MOD((COUNTIFS($B$2:$B366,"SER")+COUNTIFS($B$2:$B366,"PLH")+COUNTIFS($B$2:$B366,"CSF"))-1,12)+1),"N/A"),"")</f>
        <v/>
      </c>
      <c r="H366" s="6" t="str">
        <f>IF(AND($A366&lt;&gt;"",$B366&lt;&gt;"",$C366&lt;&gt;"",$D366&lt;&gt;""),IF(OR($B366="SER",$B366="PLH",$B366="CSF"),"Control NIH Plate "&amp;(INT(((COUNTIFS($B$2:$B366,"SER")+COUNTIFS($B$2:$B366,"PLH")+COUNTIFS($B$2:$B366,"CSF"))-1)/96)+1)&amp;": "&amp;CHAR(65+INT(MOD((COUNTIFS($B$2:$B366,"SER")+COUNTIFS($B$2:$B366,"PLH")+COUNTIFS($B$2:$B366,"CSF"))-1,96)/12))&amp;(MOD((COUNTIFS($B$2:$B366,"SER")+COUNTIFS($B$2:$B366,"PLH")+COUNTIFS($B$2:$B366,"CSF"))-1,12)+1),"N/A"),"")</f>
        <v/>
      </c>
      <c r="I366" s="6" t="str">
        <f>IF(AND($A366&lt;&gt;"",$B366&lt;&gt;"",$C366&lt;&gt;"",$D366&lt;&gt;""),IF(OR($B366="SER",$B366="PLH"),"Control MAX Planck Plate "&amp;(INT(((COUNTIFS($B$2:$B366,"SER")+COUNTIFS($B$2:$B366,"PLH"))-1)/96)+1)&amp;": "&amp;CHAR(65+INT(MOD((COUNTIFS($B$2:$B366,"SER")+COUNTIFS($B$2:$B366,"PLH"))-1,96)/12))&amp;(MOD((COUNTIFS($B$2:$B366,"SER")+COUNTIFS($B$2:$B366,"PLH"))-1,12)+1),"N/A"),"")</f>
        <v/>
      </c>
      <c r="J366" s="6" t="str">
        <f>IF(AND($A366&lt;&gt;"",$B366&lt;&gt;"",$C366&lt;&gt;"",$D366&lt;&gt;""),IF($B366="WB","Control WB Box "&amp;(INT((COUNTIFS($B$2:$B366,"WB")-1)/81)+1)&amp;": "&amp;CHAR(65+INT(MOD(COUNTIFS($B$2:$B366,"WB")-1,81)/9))&amp;(MOD(COUNTIFS($B$2:$B366,"WB")-1,9)+1),"N/A"),"")</f>
        <v/>
      </c>
      <c r="K366" s="3" t="str">
        <f t="shared" si="91"/>
        <v/>
      </c>
      <c r="L366" s="2"/>
      <c r="M366" s="2"/>
      <c r="N366" s="2"/>
      <c r="O366" s="7" t="str">
        <f t="shared" si="92"/>
        <v/>
      </c>
      <c r="P366" s="7" t="str">
        <f t="shared" si="93"/>
        <v/>
      </c>
      <c r="Q366" s="7" t="str">
        <f t="shared" si="94"/>
        <v/>
      </c>
      <c r="R366" s="7" t="str">
        <f t="shared" si="95"/>
        <v/>
      </c>
      <c r="S366" s="7" t="str">
        <f t="shared" si="96"/>
        <v/>
      </c>
      <c r="T366" s="7" t="str">
        <f t="shared" si="97"/>
        <v/>
      </c>
      <c r="U366" s="7" t="str">
        <f t="shared" si="98"/>
        <v/>
      </c>
      <c r="V366" s="7" t="str">
        <f t="shared" si="99"/>
        <v/>
      </c>
      <c r="W366" s="7" t="str">
        <f t="shared" si="100"/>
        <v/>
      </c>
      <c r="X366" s="7" t="str">
        <f t="shared" si="101"/>
        <v/>
      </c>
      <c r="Y366">
        <f t="shared" si="102"/>
        <v>0</v>
      </c>
      <c r="Z366" t="str">
        <f t="shared" si="103"/>
        <v/>
      </c>
      <c r="AA366" t="str">
        <f t="shared" si="104"/>
        <v/>
      </c>
      <c r="AB366" t="str">
        <f t="shared" si="105"/>
        <v/>
      </c>
      <c r="AC366" t="str">
        <f t="shared" si="106"/>
        <v/>
      </c>
      <c r="AD366">
        <f t="shared" si="107"/>
        <v>0</v>
      </c>
    </row>
    <row r="367" spans="1:30" ht="15" customHeight="1" x14ac:dyDescent="0.35">
      <c r="A367" s="2"/>
      <c r="B367" s="3"/>
      <c r="C367" s="4"/>
      <c r="D367" s="5"/>
      <c r="E367" s="11" t="str">
        <f t="shared" ca="1" si="90"/>
        <v/>
      </c>
      <c r="F367" s="5"/>
      <c r="G367" s="6" t="str">
        <f>IF(AND($A367&lt;&gt;"",$B367&lt;&gt;"",$C367&lt;&gt;"",$D367&lt;&gt;""),IF(OR($B367="SER",$B367="PLH",$B367="CSF"),"Control CDI Plate "&amp;(INT(((COUNTIFS($B$2:$B367,"SER")+COUNTIFS($B$2:$B367,"PLH")+COUNTIFS($B$2:$B367,"CSF"))-1)/96)+1)&amp;": "&amp;CHAR(65+INT(MOD((COUNTIFS($B$2:$B367,"SER")+COUNTIFS($B$2:$B367,"PLH")+COUNTIFS($B$2:$B367,"CSF"))-1,96)/12))&amp;(MOD((COUNTIFS($B$2:$B367,"SER")+COUNTIFS($B$2:$B367,"PLH")+COUNTIFS($B$2:$B367,"CSF"))-1,12)+1),"N/A"),"")</f>
        <v/>
      </c>
      <c r="H367" s="6" t="str">
        <f>IF(AND($A367&lt;&gt;"",$B367&lt;&gt;"",$C367&lt;&gt;"",$D367&lt;&gt;""),IF(OR($B367="SER",$B367="PLH",$B367="CSF"),"Control NIH Plate "&amp;(INT(((COUNTIFS($B$2:$B367,"SER")+COUNTIFS($B$2:$B367,"PLH")+COUNTIFS($B$2:$B367,"CSF"))-1)/96)+1)&amp;": "&amp;CHAR(65+INT(MOD((COUNTIFS($B$2:$B367,"SER")+COUNTIFS($B$2:$B367,"PLH")+COUNTIFS($B$2:$B367,"CSF"))-1,96)/12))&amp;(MOD((COUNTIFS($B$2:$B367,"SER")+COUNTIFS($B$2:$B367,"PLH")+COUNTIFS($B$2:$B367,"CSF"))-1,12)+1),"N/A"),"")</f>
        <v/>
      </c>
      <c r="I367" s="6" t="str">
        <f>IF(AND($A367&lt;&gt;"",$B367&lt;&gt;"",$C367&lt;&gt;"",$D367&lt;&gt;""),IF(OR($B367="SER",$B367="PLH"),"Control MAX Planck Plate "&amp;(INT(((COUNTIFS($B$2:$B367,"SER")+COUNTIFS($B$2:$B367,"PLH"))-1)/96)+1)&amp;": "&amp;CHAR(65+INT(MOD((COUNTIFS($B$2:$B367,"SER")+COUNTIFS($B$2:$B367,"PLH"))-1,96)/12))&amp;(MOD((COUNTIFS($B$2:$B367,"SER")+COUNTIFS($B$2:$B367,"PLH"))-1,12)+1),"N/A"),"")</f>
        <v/>
      </c>
      <c r="J367" s="6" t="str">
        <f>IF(AND($A367&lt;&gt;"",$B367&lt;&gt;"",$C367&lt;&gt;"",$D367&lt;&gt;""),IF($B367="WB","Control WB Box "&amp;(INT((COUNTIFS($B$2:$B367,"WB")-1)/81)+1)&amp;": "&amp;CHAR(65+INT(MOD(COUNTIFS($B$2:$B367,"WB")-1,81)/9))&amp;(MOD(COUNTIFS($B$2:$B367,"WB")-1,9)+1),"N/A"),"")</f>
        <v/>
      </c>
      <c r="K367" s="3" t="str">
        <f t="shared" si="91"/>
        <v/>
      </c>
      <c r="L367" s="2"/>
      <c r="M367" s="2"/>
      <c r="N367" s="2"/>
      <c r="O367" s="7" t="str">
        <f t="shared" si="92"/>
        <v/>
      </c>
      <c r="P367" s="7" t="str">
        <f t="shared" si="93"/>
        <v/>
      </c>
      <c r="Q367" s="7" t="str">
        <f t="shared" si="94"/>
        <v/>
      </c>
      <c r="R367" s="7" t="str">
        <f t="shared" si="95"/>
        <v/>
      </c>
      <c r="S367" s="7" t="str">
        <f t="shared" si="96"/>
        <v/>
      </c>
      <c r="T367" s="7" t="str">
        <f t="shared" si="97"/>
        <v/>
      </c>
      <c r="U367" s="7" t="str">
        <f t="shared" si="98"/>
        <v/>
      </c>
      <c r="V367" s="7" t="str">
        <f t="shared" si="99"/>
        <v/>
      </c>
      <c r="W367" s="7" t="str">
        <f t="shared" si="100"/>
        <v/>
      </c>
      <c r="X367" s="7" t="str">
        <f t="shared" si="101"/>
        <v/>
      </c>
      <c r="Y367">
        <f t="shared" si="102"/>
        <v>0</v>
      </c>
      <c r="Z367" t="str">
        <f t="shared" si="103"/>
        <v/>
      </c>
      <c r="AA367" t="str">
        <f t="shared" si="104"/>
        <v/>
      </c>
      <c r="AB367" t="str">
        <f t="shared" si="105"/>
        <v/>
      </c>
      <c r="AC367" t="str">
        <f t="shared" si="106"/>
        <v/>
      </c>
      <c r="AD367">
        <f t="shared" si="107"/>
        <v>0</v>
      </c>
    </row>
    <row r="368" spans="1:30" ht="15" customHeight="1" x14ac:dyDescent="0.35">
      <c r="A368" s="2"/>
      <c r="B368" s="3"/>
      <c r="C368" s="4"/>
      <c r="D368" s="5"/>
      <c r="E368" s="11" t="str">
        <f t="shared" ca="1" si="90"/>
        <v/>
      </c>
      <c r="F368" s="5"/>
      <c r="G368" s="6" t="str">
        <f>IF(AND($A368&lt;&gt;"",$B368&lt;&gt;"",$C368&lt;&gt;"",$D368&lt;&gt;""),IF(OR($B368="SER",$B368="PLH",$B368="CSF"),"Control CDI Plate "&amp;(INT(((COUNTIFS($B$2:$B368,"SER")+COUNTIFS($B$2:$B368,"PLH")+COUNTIFS($B$2:$B368,"CSF"))-1)/96)+1)&amp;": "&amp;CHAR(65+INT(MOD((COUNTIFS($B$2:$B368,"SER")+COUNTIFS($B$2:$B368,"PLH")+COUNTIFS($B$2:$B368,"CSF"))-1,96)/12))&amp;(MOD((COUNTIFS($B$2:$B368,"SER")+COUNTIFS($B$2:$B368,"PLH")+COUNTIFS($B$2:$B368,"CSF"))-1,12)+1),"N/A"),"")</f>
        <v/>
      </c>
      <c r="H368" s="6" t="str">
        <f>IF(AND($A368&lt;&gt;"",$B368&lt;&gt;"",$C368&lt;&gt;"",$D368&lt;&gt;""),IF(OR($B368="SER",$B368="PLH",$B368="CSF"),"Control NIH Plate "&amp;(INT(((COUNTIFS($B$2:$B368,"SER")+COUNTIFS($B$2:$B368,"PLH")+COUNTIFS($B$2:$B368,"CSF"))-1)/96)+1)&amp;": "&amp;CHAR(65+INT(MOD((COUNTIFS($B$2:$B368,"SER")+COUNTIFS($B$2:$B368,"PLH")+COUNTIFS($B$2:$B368,"CSF"))-1,96)/12))&amp;(MOD((COUNTIFS($B$2:$B368,"SER")+COUNTIFS($B$2:$B368,"PLH")+COUNTIFS($B$2:$B368,"CSF"))-1,12)+1),"N/A"),"")</f>
        <v/>
      </c>
      <c r="I368" s="6" t="str">
        <f>IF(AND($A368&lt;&gt;"",$B368&lt;&gt;"",$C368&lt;&gt;"",$D368&lt;&gt;""),IF(OR($B368="SER",$B368="PLH"),"Control MAX Planck Plate "&amp;(INT(((COUNTIFS($B$2:$B368,"SER")+COUNTIFS($B$2:$B368,"PLH"))-1)/96)+1)&amp;": "&amp;CHAR(65+INT(MOD((COUNTIFS($B$2:$B368,"SER")+COUNTIFS($B$2:$B368,"PLH"))-1,96)/12))&amp;(MOD((COUNTIFS($B$2:$B368,"SER")+COUNTIFS($B$2:$B368,"PLH"))-1,12)+1),"N/A"),"")</f>
        <v/>
      </c>
      <c r="J368" s="6" t="str">
        <f>IF(AND($A368&lt;&gt;"",$B368&lt;&gt;"",$C368&lt;&gt;"",$D368&lt;&gt;""),IF($B368="WB","Control WB Box "&amp;(INT((COUNTIFS($B$2:$B368,"WB")-1)/81)+1)&amp;": "&amp;CHAR(65+INT(MOD(COUNTIFS($B$2:$B368,"WB")-1,81)/9))&amp;(MOD(COUNTIFS($B$2:$B368,"WB")-1,9)+1),"N/A"),"")</f>
        <v/>
      </c>
      <c r="K368" s="3" t="str">
        <f t="shared" si="91"/>
        <v/>
      </c>
      <c r="L368" s="2"/>
      <c r="M368" s="2"/>
      <c r="N368" s="2"/>
      <c r="O368" s="7" t="str">
        <f t="shared" si="92"/>
        <v/>
      </c>
      <c r="P368" s="7" t="str">
        <f t="shared" si="93"/>
        <v/>
      </c>
      <c r="Q368" s="7" t="str">
        <f t="shared" si="94"/>
        <v/>
      </c>
      <c r="R368" s="7" t="str">
        <f t="shared" si="95"/>
        <v/>
      </c>
      <c r="S368" s="7" t="str">
        <f t="shared" si="96"/>
        <v/>
      </c>
      <c r="T368" s="7" t="str">
        <f t="shared" si="97"/>
        <v/>
      </c>
      <c r="U368" s="7" t="str">
        <f t="shared" si="98"/>
        <v/>
      </c>
      <c r="V368" s="7" t="str">
        <f t="shared" si="99"/>
        <v/>
      </c>
      <c r="W368" s="7" t="str">
        <f t="shared" si="100"/>
        <v/>
      </c>
      <c r="X368" s="7" t="str">
        <f t="shared" si="101"/>
        <v/>
      </c>
      <c r="Y368">
        <f t="shared" si="102"/>
        <v>0</v>
      </c>
      <c r="Z368" t="str">
        <f t="shared" si="103"/>
        <v/>
      </c>
      <c r="AA368" t="str">
        <f t="shared" si="104"/>
        <v/>
      </c>
      <c r="AB368" t="str">
        <f t="shared" si="105"/>
        <v/>
      </c>
      <c r="AC368" t="str">
        <f t="shared" si="106"/>
        <v/>
      </c>
      <c r="AD368">
        <f t="shared" si="107"/>
        <v>0</v>
      </c>
    </row>
    <row r="369" spans="1:30" ht="15" customHeight="1" x14ac:dyDescent="0.35">
      <c r="A369" s="2"/>
      <c r="B369" s="3"/>
      <c r="C369" s="4"/>
      <c r="D369" s="5"/>
      <c r="E369" s="11" t="str">
        <f t="shared" ca="1" si="90"/>
        <v/>
      </c>
      <c r="F369" s="5"/>
      <c r="G369" s="6" t="str">
        <f>IF(AND($A369&lt;&gt;"",$B369&lt;&gt;"",$C369&lt;&gt;"",$D369&lt;&gt;""),IF(OR($B369="SER",$B369="PLH",$B369="CSF"),"Control CDI Plate "&amp;(INT(((COUNTIFS($B$2:$B369,"SER")+COUNTIFS($B$2:$B369,"PLH")+COUNTIFS($B$2:$B369,"CSF"))-1)/96)+1)&amp;": "&amp;CHAR(65+INT(MOD((COUNTIFS($B$2:$B369,"SER")+COUNTIFS($B$2:$B369,"PLH")+COUNTIFS($B$2:$B369,"CSF"))-1,96)/12))&amp;(MOD((COUNTIFS($B$2:$B369,"SER")+COUNTIFS($B$2:$B369,"PLH")+COUNTIFS($B$2:$B369,"CSF"))-1,12)+1),"N/A"),"")</f>
        <v/>
      </c>
      <c r="H369" s="6" t="str">
        <f>IF(AND($A369&lt;&gt;"",$B369&lt;&gt;"",$C369&lt;&gt;"",$D369&lt;&gt;""),IF(OR($B369="SER",$B369="PLH",$B369="CSF"),"Control NIH Plate "&amp;(INT(((COUNTIFS($B$2:$B369,"SER")+COUNTIFS($B$2:$B369,"PLH")+COUNTIFS($B$2:$B369,"CSF"))-1)/96)+1)&amp;": "&amp;CHAR(65+INT(MOD((COUNTIFS($B$2:$B369,"SER")+COUNTIFS($B$2:$B369,"PLH")+COUNTIFS($B$2:$B369,"CSF"))-1,96)/12))&amp;(MOD((COUNTIFS($B$2:$B369,"SER")+COUNTIFS($B$2:$B369,"PLH")+COUNTIFS($B$2:$B369,"CSF"))-1,12)+1),"N/A"),"")</f>
        <v/>
      </c>
      <c r="I369" s="6" t="str">
        <f>IF(AND($A369&lt;&gt;"",$B369&lt;&gt;"",$C369&lt;&gt;"",$D369&lt;&gt;""),IF(OR($B369="SER",$B369="PLH"),"Control MAX Planck Plate "&amp;(INT(((COUNTIFS($B$2:$B369,"SER")+COUNTIFS($B$2:$B369,"PLH"))-1)/96)+1)&amp;": "&amp;CHAR(65+INT(MOD((COUNTIFS($B$2:$B369,"SER")+COUNTIFS($B$2:$B369,"PLH"))-1,96)/12))&amp;(MOD((COUNTIFS($B$2:$B369,"SER")+COUNTIFS($B$2:$B369,"PLH"))-1,12)+1),"N/A"),"")</f>
        <v/>
      </c>
      <c r="J369" s="6" t="str">
        <f>IF(AND($A369&lt;&gt;"",$B369&lt;&gt;"",$C369&lt;&gt;"",$D369&lt;&gt;""),IF($B369="WB","Control WB Box "&amp;(INT((COUNTIFS($B$2:$B369,"WB")-1)/81)+1)&amp;": "&amp;CHAR(65+INT(MOD(COUNTIFS($B$2:$B369,"WB")-1,81)/9))&amp;(MOD(COUNTIFS($B$2:$B369,"WB")-1,9)+1),"N/A"),"")</f>
        <v/>
      </c>
      <c r="K369" s="3" t="str">
        <f t="shared" si="91"/>
        <v/>
      </c>
      <c r="L369" s="2"/>
      <c r="M369" s="2"/>
      <c r="N369" s="2"/>
      <c r="O369" s="7" t="str">
        <f t="shared" si="92"/>
        <v/>
      </c>
      <c r="P369" s="7" t="str">
        <f t="shared" si="93"/>
        <v/>
      </c>
      <c r="Q369" s="7" t="str">
        <f t="shared" si="94"/>
        <v/>
      </c>
      <c r="R369" s="7" t="str">
        <f t="shared" si="95"/>
        <v/>
      </c>
      <c r="S369" s="7" t="str">
        <f t="shared" si="96"/>
        <v/>
      </c>
      <c r="T369" s="7" t="str">
        <f t="shared" si="97"/>
        <v/>
      </c>
      <c r="U369" s="7" t="str">
        <f t="shared" si="98"/>
        <v/>
      </c>
      <c r="V369" s="7" t="str">
        <f t="shared" si="99"/>
        <v/>
      </c>
      <c r="W369" s="7" t="str">
        <f t="shared" si="100"/>
        <v/>
      </c>
      <c r="X369" s="7" t="str">
        <f t="shared" si="101"/>
        <v/>
      </c>
      <c r="Y369">
        <f t="shared" si="102"/>
        <v>0</v>
      </c>
      <c r="Z369" t="str">
        <f t="shared" si="103"/>
        <v/>
      </c>
      <c r="AA369" t="str">
        <f t="shared" si="104"/>
        <v/>
      </c>
      <c r="AB369" t="str">
        <f t="shared" si="105"/>
        <v/>
      </c>
      <c r="AC369" t="str">
        <f t="shared" si="106"/>
        <v/>
      </c>
      <c r="AD369">
        <f t="shared" si="107"/>
        <v>0</v>
      </c>
    </row>
    <row r="370" spans="1:30" ht="15" customHeight="1" x14ac:dyDescent="0.35">
      <c r="A370" s="2"/>
      <c r="B370" s="3"/>
      <c r="C370" s="4"/>
      <c r="D370" s="5"/>
      <c r="E370" s="11" t="str">
        <f t="shared" ca="1" si="90"/>
        <v/>
      </c>
      <c r="F370" s="5"/>
      <c r="G370" s="6" t="str">
        <f>IF(AND($A370&lt;&gt;"",$B370&lt;&gt;"",$C370&lt;&gt;"",$D370&lt;&gt;""),IF(OR($B370="SER",$B370="PLH",$B370="CSF"),"Control CDI Plate "&amp;(INT(((COUNTIFS($B$2:$B370,"SER")+COUNTIFS($B$2:$B370,"PLH")+COUNTIFS($B$2:$B370,"CSF"))-1)/96)+1)&amp;": "&amp;CHAR(65+INT(MOD((COUNTIFS($B$2:$B370,"SER")+COUNTIFS($B$2:$B370,"PLH")+COUNTIFS($B$2:$B370,"CSF"))-1,96)/12))&amp;(MOD((COUNTIFS($B$2:$B370,"SER")+COUNTIFS($B$2:$B370,"PLH")+COUNTIFS($B$2:$B370,"CSF"))-1,12)+1),"N/A"),"")</f>
        <v/>
      </c>
      <c r="H370" s="6" t="str">
        <f>IF(AND($A370&lt;&gt;"",$B370&lt;&gt;"",$C370&lt;&gt;"",$D370&lt;&gt;""),IF(OR($B370="SER",$B370="PLH",$B370="CSF"),"Control NIH Plate "&amp;(INT(((COUNTIFS($B$2:$B370,"SER")+COUNTIFS($B$2:$B370,"PLH")+COUNTIFS($B$2:$B370,"CSF"))-1)/96)+1)&amp;": "&amp;CHAR(65+INT(MOD((COUNTIFS($B$2:$B370,"SER")+COUNTIFS($B$2:$B370,"PLH")+COUNTIFS($B$2:$B370,"CSF"))-1,96)/12))&amp;(MOD((COUNTIFS($B$2:$B370,"SER")+COUNTIFS($B$2:$B370,"PLH")+COUNTIFS($B$2:$B370,"CSF"))-1,12)+1),"N/A"),"")</f>
        <v/>
      </c>
      <c r="I370" s="6" t="str">
        <f>IF(AND($A370&lt;&gt;"",$B370&lt;&gt;"",$C370&lt;&gt;"",$D370&lt;&gt;""),IF(OR($B370="SER",$B370="PLH"),"Control MAX Planck Plate "&amp;(INT(((COUNTIFS($B$2:$B370,"SER")+COUNTIFS($B$2:$B370,"PLH"))-1)/96)+1)&amp;": "&amp;CHAR(65+INT(MOD((COUNTIFS($B$2:$B370,"SER")+COUNTIFS($B$2:$B370,"PLH"))-1,96)/12))&amp;(MOD((COUNTIFS($B$2:$B370,"SER")+COUNTIFS($B$2:$B370,"PLH"))-1,12)+1),"N/A"),"")</f>
        <v/>
      </c>
      <c r="J370" s="6" t="str">
        <f>IF(AND($A370&lt;&gt;"",$B370&lt;&gt;"",$C370&lt;&gt;"",$D370&lt;&gt;""),IF($B370="WB","Control WB Box "&amp;(INT((COUNTIFS($B$2:$B370,"WB")-1)/81)+1)&amp;": "&amp;CHAR(65+INT(MOD(COUNTIFS($B$2:$B370,"WB")-1,81)/9))&amp;(MOD(COUNTIFS($B$2:$B370,"WB")-1,9)+1),"N/A"),"")</f>
        <v/>
      </c>
      <c r="K370" s="3" t="str">
        <f t="shared" si="91"/>
        <v/>
      </c>
      <c r="L370" s="2"/>
      <c r="M370" s="2"/>
      <c r="N370" s="2"/>
      <c r="O370" s="7" t="str">
        <f t="shared" si="92"/>
        <v/>
      </c>
      <c r="P370" s="7" t="str">
        <f t="shared" si="93"/>
        <v/>
      </c>
      <c r="Q370" s="7" t="str">
        <f t="shared" si="94"/>
        <v/>
      </c>
      <c r="R370" s="7" t="str">
        <f t="shared" si="95"/>
        <v/>
      </c>
      <c r="S370" s="7" t="str">
        <f t="shared" si="96"/>
        <v/>
      </c>
      <c r="T370" s="7" t="str">
        <f t="shared" si="97"/>
        <v/>
      </c>
      <c r="U370" s="7" t="str">
        <f t="shared" si="98"/>
        <v/>
      </c>
      <c r="V370" s="7" t="str">
        <f t="shared" si="99"/>
        <v/>
      </c>
      <c r="W370" s="7" t="str">
        <f t="shared" si="100"/>
        <v/>
      </c>
      <c r="X370" s="7" t="str">
        <f t="shared" si="101"/>
        <v/>
      </c>
      <c r="Y370">
        <f t="shared" si="102"/>
        <v>0</v>
      </c>
      <c r="Z370" t="str">
        <f t="shared" si="103"/>
        <v/>
      </c>
      <c r="AA370" t="str">
        <f t="shared" si="104"/>
        <v/>
      </c>
      <c r="AB370" t="str">
        <f t="shared" si="105"/>
        <v/>
      </c>
      <c r="AC370" t="str">
        <f t="shared" si="106"/>
        <v/>
      </c>
      <c r="AD370">
        <f t="shared" si="107"/>
        <v>0</v>
      </c>
    </row>
    <row r="371" spans="1:30" ht="15" customHeight="1" x14ac:dyDescent="0.35">
      <c r="A371" s="2"/>
      <c r="B371" s="3"/>
      <c r="C371" s="4"/>
      <c r="D371" s="5"/>
      <c r="E371" s="11" t="str">
        <f t="shared" ca="1" si="90"/>
        <v/>
      </c>
      <c r="F371" s="5"/>
      <c r="G371" s="6" t="str">
        <f>IF(AND($A371&lt;&gt;"",$B371&lt;&gt;"",$C371&lt;&gt;"",$D371&lt;&gt;""),IF(OR($B371="SER",$B371="PLH",$B371="CSF"),"Control CDI Plate "&amp;(INT(((COUNTIFS($B$2:$B371,"SER")+COUNTIFS($B$2:$B371,"PLH")+COUNTIFS($B$2:$B371,"CSF"))-1)/96)+1)&amp;": "&amp;CHAR(65+INT(MOD((COUNTIFS($B$2:$B371,"SER")+COUNTIFS($B$2:$B371,"PLH")+COUNTIFS($B$2:$B371,"CSF"))-1,96)/12))&amp;(MOD((COUNTIFS($B$2:$B371,"SER")+COUNTIFS($B$2:$B371,"PLH")+COUNTIFS($B$2:$B371,"CSF"))-1,12)+1),"N/A"),"")</f>
        <v/>
      </c>
      <c r="H371" s="6" t="str">
        <f>IF(AND($A371&lt;&gt;"",$B371&lt;&gt;"",$C371&lt;&gt;"",$D371&lt;&gt;""),IF(OR($B371="SER",$B371="PLH",$B371="CSF"),"Control NIH Plate "&amp;(INT(((COUNTIFS($B$2:$B371,"SER")+COUNTIFS($B$2:$B371,"PLH")+COUNTIFS($B$2:$B371,"CSF"))-1)/96)+1)&amp;": "&amp;CHAR(65+INT(MOD((COUNTIFS($B$2:$B371,"SER")+COUNTIFS($B$2:$B371,"PLH")+COUNTIFS($B$2:$B371,"CSF"))-1,96)/12))&amp;(MOD((COUNTIFS($B$2:$B371,"SER")+COUNTIFS($B$2:$B371,"PLH")+COUNTIFS($B$2:$B371,"CSF"))-1,12)+1),"N/A"),"")</f>
        <v/>
      </c>
      <c r="I371" s="6" t="str">
        <f>IF(AND($A371&lt;&gt;"",$B371&lt;&gt;"",$C371&lt;&gt;"",$D371&lt;&gt;""),IF(OR($B371="SER",$B371="PLH"),"Control MAX Planck Plate "&amp;(INT(((COUNTIFS($B$2:$B371,"SER")+COUNTIFS($B$2:$B371,"PLH"))-1)/96)+1)&amp;": "&amp;CHAR(65+INT(MOD((COUNTIFS($B$2:$B371,"SER")+COUNTIFS($B$2:$B371,"PLH"))-1,96)/12))&amp;(MOD((COUNTIFS($B$2:$B371,"SER")+COUNTIFS($B$2:$B371,"PLH"))-1,12)+1),"N/A"),"")</f>
        <v/>
      </c>
      <c r="J371" s="6" t="str">
        <f>IF(AND($A371&lt;&gt;"",$B371&lt;&gt;"",$C371&lt;&gt;"",$D371&lt;&gt;""),IF($B371="WB","Control WB Box "&amp;(INT((COUNTIFS($B$2:$B371,"WB")-1)/81)+1)&amp;": "&amp;CHAR(65+INT(MOD(COUNTIFS($B$2:$B371,"WB")-1,81)/9))&amp;(MOD(COUNTIFS($B$2:$B371,"WB")-1,9)+1),"N/A"),"")</f>
        <v/>
      </c>
      <c r="K371" s="3" t="str">
        <f t="shared" si="91"/>
        <v/>
      </c>
      <c r="L371" s="2"/>
      <c r="M371" s="2"/>
      <c r="N371" s="2"/>
      <c r="O371" s="7" t="str">
        <f t="shared" si="92"/>
        <v/>
      </c>
      <c r="P371" s="7" t="str">
        <f t="shared" si="93"/>
        <v/>
      </c>
      <c r="Q371" s="7" t="str">
        <f t="shared" si="94"/>
        <v/>
      </c>
      <c r="R371" s="7" t="str">
        <f t="shared" si="95"/>
        <v/>
      </c>
      <c r="S371" s="7" t="str">
        <f t="shared" si="96"/>
        <v/>
      </c>
      <c r="T371" s="7" t="str">
        <f t="shared" si="97"/>
        <v/>
      </c>
      <c r="U371" s="7" t="str">
        <f t="shared" si="98"/>
        <v/>
      </c>
      <c r="V371" s="7" t="str">
        <f t="shared" si="99"/>
        <v/>
      </c>
      <c r="W371" s="7" t="str">
        <f t="shared" si="100"/>
        <v/>
      </c>
      <c r="X371" s="7" t="str">
        <f t="shared" si="101"/>
        <v/>
      </c>
      <c r="Y371">
        <f t="shared" si="102"/>
        <v>0</v>
      </c>
      <c r="Z371" t="str">
        <f t="shared" si="103"/>
        <v/>
      </c>
      <c r="AA371" t="str">
        <f t="shared" si="104"/>
        <v/>
      </c>
      <c r="AB371" t="str">
        <f t="shared" si="105"/>
        <v/>
      </c>
      <c r="AC371" t="str">
        <f t="shared" si="106"/>
        <v/>
      </c>
      <c r="AD371">
        <f t="shared" si="107"/>
        <v>0</v>
      </c>
    </row>
    <row r="372" spans="1:30" ht="15" customHeight="1" x14ac:dyDescent="0.35">
      <c r="A372" s="2"/>
      <c r="B372" s="3"/>
      <c r="C372" s="4"/>
      <c r="D372" s="5"/>
      <c r="E372" s="11" t="str">
        <f t="shared" ca="1" si="90"/>
        <v/>
      </c>
      <c r="F372" s="5"/>
      <c r="G372" s="6" t="str">
        <f>IF(AND($A372&lt;&gt;"",$B372&lt;&gt;"",$C372&lt;&gt;"",$D372&lt;&gt;""),IF(OR($B372="SER",$B372="PLH",$B372="CSF"),"Control CDI Plate "&amp;(INT(((COUNTIFS($B$2:$B372,"SER")+COUNTIFS($B$2:$B372,"PLH")+COUNTIFS($B$2:$B372,"CSF"))-1)/96)+1)&amp;": "&amp;CHAR(65+INT(MOD((COUNTIFS($B$2:$B372,"SER")+COUNTIFS($B$2:$B372,"PLH")+COUNTIFS($B$2:$B372,"CSF"))-1,96)/12))&amp;(MOD((COUNTIFS($B$2:$B372,"SER")+COUNTIFS($B$2:$B372,"PLH")+COUNTIFS($B$2:$B372,"CSF"))-1,12)+1),"N/A"),"")</f>
        <v/>
      </c>
      <c r="H372" s="6" t="str">
        <f>IF(AND($A372&lt;&gt;"",$B372&lt;&gt;"",$C372&lt;&gt;"",$D372&lt;&gt;""),IF(OR($B372="SER",$B372="PLH",$B372="CSF"),"Control NIH Plate "&amp;(INT(((COUNTIFS($B$2:$B372,"SER")+COUNTIFS($B$2:$B372,"PLH")+COUNTIFS($B$2:$B372,"CSF"))-1)/96)+1)&amp;": "&amp;CHAR(65+INT(MOD((COUNTIFS($B$2:$B372,"SER")+COUNTIFS($B$2:$B372,"PLH")+COUNTIFS($B$2:$B372,"CSF"))-1,96)/12))&amp;(MOD((COUNTIFS($B$2:$B372,"SER")+COUNTIFS($B$2:$B372,"PLH")+COUNTIFS($B$2:$B372,"CSF"))-1,12)+1),"N/A"),"")</f>
        <v/>
      </c>
      <c r="I372" s="6" t="str">
        <f>IF(AND($A372&lt;&gt;"",$B372&lt;&gt;"",$C372&lt;&gt;"",$D372&lt;&gt;""),IF(OR($B372="SER",$B372="PLH"),"Control MAX Planck Plate "&amp;(INT(((COUNTIFS($B$2:$B372,"SER")+COUNTIFS($B$2:$B372,"PLH"))-1)/96)+1)&amp;": "&amp;CHAR(65+INT(MOD((COUNTIFS($B$2:$B372,"SER")+COUNTIFS($B$2:$B372,"PLH"))-1,96)/12))&amp;(MOD((COUNTIFS($B$2:$B372,"SER")+COUNTIFS($B$2:$B372,"PLH"))-1,12)+1),"N/A"),"")</f>
        <v/>
      </c>
      <c r="J372" s="6" t="str">
        <f>IF(AND($A372&lt;&gt;"",$B372&lt;&gt;"",$C372&lt;&gt;"",$D372&lt;&gt;""),IF($B372="WB","Control WB Box "&amp;(INT((COUNTIFS($B$2:$B372,"WB")-1)/81)+1)&amp;": "&amp;CHAR(65+INT(MOD(COUNTIFS($B$2:$B372,"WB")-1,81)/9))&amp;(MOD(COUNTIFS($B$2:$B372,"WB")-1,9)+1),"N/A"),"")</f>
        <v/>
      </c>
      <c r="K372" s="3" t="str">
        <f t="shared" si="91"/>
        <v/>
      </c>
      <c r="L372" s="2"/>
      <c r="M372" s="2"/>
      <c r="N372" s="2"/>
      <c r="O372" s="7" t="str">
        <f t="shared" si="92"/>
        <v/>
      </c>
      <c r="P372" s="7" t="str">
        <f t="shared" si="93"/>
        <v/>
      </c>
      <c r="Q372" s="7" t="str">
        <f t="shared" si="94"/>
        <v/>
      </c>
      <c r="R372" s="7" t="str">
        <f t="shared" si="95"/>
        <v/>
      </c>
      <c r="S372" s="7" t="str">
        <f t="shared" si="96"/>
        <v/>
      </c>
      <c r="T372" s="7" t="str">
        <f t="shared" si="97"/>
        <v/>
      </c>
      <c r="U372" s="7" t="str">
        <f t="shared" si="98"/>
        <v/>
      </c>
      <c r="V372" s="7" t="str">
        <f t="shared" si="99"/>
        <v/>
      </c>
      <c r="W372" s="7" t="str">
        <f t="shared" si="100"/>
        <v/>
      </c>
      <c r="X372" s="7" t="str">
        <f t="shared" si="101"/>
        <v/>
      </c>
      <c r="Y372">
        <f t="shared" si="102"/>
        <v>0</v>
      </c>
      <c r="Z372" t="str">
        <f t="shared" si="103"/>
        <v/>
      </c>
      <c r="AA372" t="str">
        <f t="shared" si="104"/>
        <v/>
      </c>
      <c r="AB372" t="str">
        <f t="shared" si="105"/>
        <v/>
      </c>
      <c r="AC372" t="str">
        <f t="shared" si="106"/>
        <v/>
      </c>
      <c r="AD372">
        <f t="shared" si="107"/>
        <v>0</v>
      </c>
    </row>
    <row r="373" spans="1:30" ht="15" customHeight="1" x14ac:dyDescent="0.35">
      <c r="A373" s="2"/>
      <c r="B373" s="3"/>
      <c r="C373" s="4"/>
      <c r="D373" s="5"/>
      <c r="E373" s="11" t="str">
        <f t="shared" ca="1" si="90"/>
        <v/>
      </c>
      <c r="F373" s="5"/>
      <c r="G373" s="6" t="str">
        <f>IF(AND($A373&lt;&gt;"",$B373&lt;&gt;"",$C373&lt;&gt;"",$D373&lt;&gt;""),IF(OR($B373="SER",$B373="PLH",$B373="CSF"),"Control CDI Plate "&amp;(INT(((COUNTIFS($B$2:$B373,"SER")+COUNTIFS($B$2:$B373,"PLH")+COUNTIFS($B$2:$B373,"CSF"))-1)/96)+1)&amp;": "&amp;CHAR(65+INT(MOD((COUNTIFS($B$2:$B373,"SER")+COUNTIFS($B$2:$B373,"PLH")+COUNTIFS($B$2:$B373,"CSF"))-1,96)/12))&amp;(MOD((COUNTIFS($B$2:$B373,"SER")+COUNTIFS($B$2:$B373,"PLH")+COUNTIFS($B$2:$B373,"CSF"))-1,12)+1),"N/A"),"")</f>
        <v/>
      </c>
      <c r="H373" s="6" t="str">
        <f>IF(AND($A373&lt;&gt;"",$B373&lt;&gt;"",$C373&lt;&gt;"",$D373&lt;&gt;""),IF(OR($B373="SER",$B373="PLH",$B373="CSF"),"Control NIH Plate "&amp;(INT(((COUNTIFS($B$2:$B373,"SER")+COUNTIFS($B$2:$B373,"PLH")+COUNTIFS($B$2:$B373,"CSF"))-1)/96)+1)&amp;": "&amp;CHAR(65+INT(MOD((COUNTIFS($B$2:$B373,"SER")+COUNTIFS($B$2:$B373,"PLH")+COUNTIFS($B$2:$B373,"CSF"))-1,96)/12))&amp;(MOD((COUNTIFS($B$2:$B373,"SER")+COUNTIFS($B$2:$B373,"PLH")+COUNTIFS($B$2:$B373,"CSF"))-1,12)+1),"N/A"),"")</f>
        <v/>
      </c>
      <c r="I373" s="6" t="str">
        <f>IF(AND($A373&lt;&gt;"",$B373&lt;&gt;"",$C373&lt;&gt;"",$D373&lt;&gt;""),IF(OR($B373="SER",$B373="PLH"),"Control MAX Planck Plate "&amp;(INT(((COUNTIFS($B$2:$B373,"SER")+COUNTIFS($B$2:$B373,"PLH"))-1)/96)+1)&amp;": "&amp;CHAR(65+INT(MOD((COUNTIFS($B$2:$B373,"SER")+COUNTIFS($B$2:$B373,"PLH"))-1,96)/12))&amp;(MOD((COUNTIFS($B$2:$B373,"SER")+COUNTIFS($B$2:$B373,"PLH"))-1,12)+1),"N/A"),"")</f>
        <v/>
      </c>
      <c r="J373" s="6" t="str">
        <f>IF(AND($A373&lt;&gt;"",$B373&lt;&gt;"",$C373&lt;&gt;"",$D373&lt;&gt;""),IF($B373="WB","Control WB Box "&amp;(INT((COUNTIFS($B$2:$B373,"WB")-1)/81)+1)&amp;": "&amp;CHAR(65+INT(MOD(COUNTIFS($B$2:$B373,"WB")-1,81)/9))&amp;(MOD(COUNTIFS($B$2:$B373,"WB")-1,9)+1),"N/A"),"")</f>
        <v/>
      </c>
      <c r="K373" s="3" t="str">
        <f t="shared" si="91"/>
        <v/>
      </c>
      <c r="L373" s="2"/>
      <c r="M373" s="2"/>
      <c r="N373" s="2"/>
      <c r="O373" s="7" t="str">
        <f t="shared" si="92"/>
        <v/>
      </c>
      <c r="P373" s="7" t="str">
        <f t="shared" si="93"/>
        <v/>
      </c>
      <c r="Q373" s="7" t="str">
        <f t="shared" si="94"/>
        <v/>
      </c>
      <c r="R373" s="7" t="str">
        <f t="shared" si="95"/>
        <v/>
      </c>
      <c r="S373" s="7" t="str">
        <f t="shared" si="96"/>
        <v/>
      </c>
      <c r="T373" s="7" t="str">
        <f t="shared" si="97"/>
        <v/>
      </c>
      <c r="U373" s="7" t="str">
        <f t="shared" si="98"/>
        <v/>
      </c>
      <c r="V373" s="7" t="str">
        <f t="shared" si="99"/>
        <v/>
      </c>
      <c r="W373" s="7" t="str">
        <f t="shared" si="100"/>
        <v/>
      </c>
      <c r="X373" s="7" t="str">
        <f t="shared" si="101"/>
        <v/>
      </c>
      <c r="Y373">
        <f t="shared" si="102"/>
        <v>0</v>
      </c>
      <c r="Z373" t="str">
        <f t="shared" si="103"/>
        <v/>
      </c>
      <c r="AA373" t="str">
        <f t="shared" si="104"/>
        <v/>
      </c>
      <c r="AB373" t="str">
        <f t="shared" si="105"/>
        <v/>
      </c>
      <c r="AC373" t="str">
        <f t="shared" si="106"/>
        <v/>
      </c>
      <c r="AD373">
        <f t="shared" si="107"/>
        <v>0</v>
      </c>
    </row>
    <row r="374" spans="1:30" ht="15" customHeight="1" x14ac:dyDescent="0.35">
      <c r="A374" s="2"/>
      <c r="B374" s="3"/>
      <c r="C374" s="4"/>
      <c r="D374" s="5"/>
      <c r="E374" s="11" t="str">
        <f t="shared" ca="1" si="90"/>
        <v/>
      </c>
      <c r="F374" s="5"/>
      <c r="G374" s="6" t="str">
        <f>IF(AND($A374&lt;&gt;"",$B374&lt;&gt;"",$C374&lt;&gt;"",$D374&lt;&gt;""),IF(OR($B374="SER",$B374="PLH",$B374="CSF"),"Control CDI Plate "&amp;(INT(((COUNTIFS($B$2:$B374,"SER")+COUNTIFS($B$2:$B374,"PLH")+COUNTIFS($B$2:$B374,"CSF"))-1)/96)+1)&amp;": "&amp;CHAR(65+INT(MOD((COUNTIFS($B$2:$B374,"SER")+COUNTIFS($B$2:$B374,"PLH")+COUNTIFS($B$2:$B374,"CSF"))-1,96)/12))&amp;(MOD((COUNTIFS($B$2:$B374,"SER")+COUNTIFS($B$2:$B374,"PLH")+COUNTIFS($B$2:$B374,"CSF"))-1,12)+1),"N/A"),"")</f>
        <v/>
      </c>
      <c r="H374" s="6" t="str">
        <f>IF(AND($A374&lt;&gt;"",$B374&lt;&gt;"",$C374&lt;&gt;"",$D374&lt;&gt;""),IF(OR($B374="SER",$B374="PLH",$B374="CSF"),"Control NIH Plate "&amp;(INT(((COUNTIFS($B$2:$B374,"SER")+COUNTIFS($B$2:$B374,"PLH")+COUNTIFS($B$2:$B374,"CSF"))-1)/96)+1)&amp;": "&amp;CHAR(65+INT(MOD((COUNTIFS($B$2:$B374,"SER")+COUNTIFS($B$2:$B374,"PLH")+COUNTIFS($B$2:$B374,"CSF"))-1,96)/12))&amp;(MOD((COUNTIFS($B$2:$B374,"SER")+COUNTIFS($B$2:$B374,"PLH")+COUNTIFS($B$2:$B374,"CSF"))-1,12)+1),"N/A"),"")</f>
        <v/>
      </c>
      <c r="I374" s="6" t="str">
        <f>IF(AND($A374&lt;&gt;"",$B374&lt;&gt;"",$C374&lt;&gt;"",$D374&lt;&gt;""),IF(OR($B374="SER",$B374="PLH"),"Control MAX Planck Plate "&amp;(INT(((COUNTIFS($B$2:$B374,"SER")+COUNTIFS($B$2:$B374,"PLH"))-1)/96)+1)&amp;": "&amp;CHAR(65+INT(MOD((COUNTIFS($B$2:$B374,"SER")+COUNTIFS($B$2:$B374,"PLH"))-1,96)/12))&amp;(MOD((COUNTIFS($B$2:$B374,"SER")+COUNTIFS($B$2:$B374,"PLH"))-1,12)+1),"N/A"),"")</f>
        <v/>
      </c>
      <c r="J374" s="6" t="str">
        <f>IF(AND($A374&lt;&gt;"",$B374&lt;&gt;"",$C374&lt;&gt;"",$D374&lt;&gt;""),IF($B374="WB","Control WB Box "&amp;(INT((COUNTIFS($B$2:$B374,"WB")-1)/81)+1)&amp;": "&amp;CHAR(65+INT(MOD(COUNTIFS($B$2:$B374,"WB")-1,81)/9))&amp;(MOD(COUNTIFS($B$2:$B374,"WB")-1,9)+1),"N/A"),"")</f>
        <v/>
      </c>
      <c r="K374" s="3" t="str">
        <f t="shared" si="91"/>
        <v/>
      </c>
      <c r="L374" s="2"/>
      <c r="M374" s="2"/>
      <c r="N374" s="2"/>
      <c r="O374" s="7" t="str">
        <f t="shared" si="92"/>
        <v/>
      </c>
      <c r="P374" s="7" t="str">
        <f t="shared" si="93"/>
        <v/>
      </c>
      <c r="Q374" s="7" t="str">
        <f t="shared" si="94"/>
        <v/>
      </c>
      <c r="R374" s="7" t="str">
        <f t="shared" si="95"/>
        <v/>
      </c>
      <c r="S374" s="7" t="str">
        <f t="shared" si="96"/>
        <v/>
      </c>
      <c r="T374" s="7" t="str">
        <f t="shared" si="97"/>
        <v/>
      </c>
      <c r="U374" s="7" t="str">
        <f t="shared" si="98"/>
        <v/>
      </c>
      <c r="V374" s="7" t="str">
        <f t="shared" si="99"/>
        <v/>
      </c>
      <c r="W374" s="7" t="str">
        <f t="shared" si="100"/>
        <v/>
      </c>
      <c r="X374" s="7" t="str">
        <f t="shared" si="101"/>
        <v/>
      </c>
      <c r="Y374">
        <f t="shared" si="102"/>
        <v>0</v>
      </c>
      <c r="Z374" t="str">
        <f t="shared" si="103"/>
        <v/>
      </c>
      <c r="AA374" t="str">
        <f t="shared" si="104"/>
        <v/>
      </c>
      <c r="AB374" t="str">
        <f t="shared" si="105"/>
        <v/>
      </c>
      <c r="AC374" t="str">
        <f t="shared" si="106"/>
        <v/>
      </c>
      <c r="AD374">
        <f t="shared" si="107"/>
        <v>0</v>
      </c>
    </row>
    <row r="375" spans="1:30" ht="15" customHeight="1" x14ac:dyDescent="0.35">
      <c r="A375" s="2"/>
      <c r="B375" s="3"/>
      <c r="C375" s="4"/>
      <c r="D375" s="5"/>
      <c r="E375" s="11" t="str">
        <f t="shared" ca="1" si="90"/>
        <v/>
      </c>
      <c r="F375" s="5"/>
      <c r="G375" s="6" t="str">
        <f>IF(AND($A375&lt;&gt;"",$B375&lt;&gt;"",$C375&lt;&gt;"",$D375&lt;&gt;""),IF(OR($B375="SER",$B375="PLH",$B375="CSF"),"Control CDI Plate "&amp;(INT(((COUNTIFS($B$2:$B375,"SER")+COUNTIFS($B$2:$B375,"PLH")+COUNTIFS($B$2:$B375,"CSF"))-1)/96)+1)&amp;": "&amp;CHAR(65+INT(MOD((COUNTIFS($B$2:$B375,"SER")+COUNTIFS($B$2:$B375,"PLH")+COUNTIFS($B$2:$B375,"CSF"))-1,96)/12))&amp;(MOD((COUNTIFS($B$2:$B375,"SER")+COUNTIFS($B$2:$B375,"PLH")+COUNTIFS($B$2:$B375,"CSF"))-1,12)+1),"N/A"),"")</f>
        <v/>
      </c>
      <c r="H375" s="6" t="str">
        <f>IF(AND($A375&lt;&gt;"",$B375&lt;&gt;"",$C375&lt;&gt;"",$D375&lt;&gt;""),IF(OR($B375="SER",$B375="PLH",$B375="CSF"),"Control NIH Plate "&amp;(INT(((COUNTIFS($B$2:$B375,"SER")+COUNTIFS($B$2:$B375,"PLH")+COUNTIFS($B$2:$B375,"CSF"))-1)/96)+1)&amp;": "&amp;CHAR(65+INT(MOD((COUNTIFS($B$2:$B375,"SER")+COUNTIFS($B$2:$B375,"PLH")+COUNTIFS($B$2:$B375,"CSF"))-1,96)/12))&amp;(MOD((COUNTIFS($B$2:$B375,"SER")+COUNTIFS($B$2:$B375,"PLH")+COUNTIFS($B$2:$B375,"CSF"))-1,12)+1),"N/A"),"")</f>
        <v/>
      </c>
      <c r="I375" s="6" t="str">
        <f>IF(AND($A375&lt;&gt;"",$B375&lt;&gt;"",$C375&lt;&gt;"",$D375&lt;&gt;""),IF(OR($B375="SER",$B375="PLH"),"Control MAX Planck Plate "&amp;(INT(((COUNTIFS($B$2:$B375,"SER")+COUNTIFS($B$2:$B375,"PLH"))-1)/96)+1)&amp;": "&amp;CHAR(65+INT(MOD((COUNTIFS($B$2:$B375,"SER")+COUNTIFS($B$2:$B375,"PLH"))-1,96)/12))&amp;(MOD((COUNTIFS($B$2:$B375,"SER")+COUNTIFS($B$2:$B375,"PLH"))-1,12)+1),"N/A"),"")</f>
        <v/>
      </c>
      <c r="J375" s="6" t="str">
        <f>IF(AND($A375&lt;&gt;"",$B375&lt;&gt;"",$C375&lt;&gt;"",$D375&lt;&gt;""),IF($B375="WB","Control WB Box "&amp;(INT((COUNTIFS($B$2:$B375,"WB")-1)/81)+1)&amp;": "&amp;CHAR(65+INT(MOD(COUNTIFS($B$2:$B375,"WB")-1,81)/9))&amp;(MOD(COUNTIFS($B$2:$B375,"WB")-1,9)+1),"N/A"),"")</f>
        <v/>
      </c>
      <c r="K375" s="3" t="str">
        <f t="shared" si="91"/>
        <v/>
      </c>
      <c r="L375" s="2"/>
      <c r="M375" s="2"/>
      <c r="N375" s="2"/>
      <c r="O375" s="7" t="str">
        <f t="shared" si="92"/>
        <v/>
      </c>
      <c r="P375" s="7" t="str">
        <f t="shared" si="93"/>
        <v/>
      </c>
      <c r="Q375" s="7" t="str">
        <f t="shared" si="94"/>
        <v/>
      </c>
      <c r="R375" s="7" t="str">
        <f t="shared" si="95"/>
        <v/>
      </c>
      <c r="S375" s="7" t="str">
        <f t="shared" si="96"/>
        <v/>
      </c>
      <c r="T375" s="7" t="str">
        <f t="shared" si="97"/>
        <v/>
      </c>
      <c r="U375" s="7" t="str">
        <f t="shared" si="98"/>
        <v/>
      </c>
      <c r="V375" s="7" t="str">
        <f t="shared" si="99"/>
        <v/>
      </c>
      <c r="W375" s="7" t="str">
        <f t="shared" si="100"/>
        <v/>
      </c>
      <c r="X375" s="7" t="str">
        <f t="shared" si="101"/>
        <v/>
      </c>
      <c r="Y375">
        <f t="shared" si="102"/>
        <v>0</v>
      </c>
      <c r="Z375" t="str">
        <f t="shared" si="103"/>
        <v/>
      </c>
      <c r="AA375" t="str">
        <f t="shared" si="104"/>
        <v/>
      </c>
      <c r="AB375" t="str">
        <f t="shared" si="105"/>
        <v/>
      </c>
      <c r="AC375" t="str">
        <f t="shared" si="106"/>
        <v/>
      </c>
      <c r="AD375">
        <f t="shared" si="107"/>
        <v>0</v>
      </c>
    </row>
    <row r="376" spans="1:30" ht="15" customHeight="1" x14ac:dyDescent="0.35">
      <c r="A376" s="2"/>
      <c r="B376" s="3"/>
      <c r="C376" s="4"/>
      <c r="D376" s="5"/>
      <c r="E376" s="11" t="str">
        <f t="shared" ca="1" si="90"/>
        <v/>
      </c>
      <c r="F376" s="5"/>
      <c r="G376" s="6" t="str">
        <f>IF(AND($A376&lt;&gt;"",$B376&lt;&gt;"",$C376&lt;&gt;"",$D376&lt;&gt;""),IF(OR($B376="SER",$B376="PLH",$B376="CSF"),"Control CDI Plate "&amp;(INT(((COUNTIFS($B$2:$B376,"SER")+COUNTIFS($B$2:$B376,"PLH")+COUNTIFS($B$2:$B376,"CSF"))-1)/96)+1)&amp;": "&amp;CHAR(65+INT(MOD((COUNTIFS($B$2:$B376,"SER")+COUNTIFS($B$2:$B376,"PLH")+COUNTIFS($B$2:$B376,"CSF"))-1,96)/12))&amp;(MOD((COUNTIFS($B$2:$B376,"SER")+COUNTIFS($B$2:$B376,"PLH")+COUNTIFS($B$2:$B376,"CSF"))-1,12)+1),"N/A"),"")</f>
        <v/>
      </c>
      <c r="H376" s="6" t="str">
        <f>IF(AND($A376&lt;&gt;"",$B376&lt;&gt;"",$C376&lt;&gt;"",$D376&lt;&gt;""),IF(OR($B376="SER",$B376="PLH",$B376="CSF"),"Control NIH Plate "&amp;(INT(((COUNTIFS($B$2:$B376,"SER")+COUNTIFS($B$2:$B376,"PLH")+COUNTIFS($B$2:$B376,"CSF"))-1)/96)+1)&amp;": "&amp;CHAR(65+INT(MOD((COUNTIFS($B$2:$B376,"SER")+COUNTIFS($B$2:$B376,"PLH")+COUNTIFS($B$2:$B376,"CSF"))-1,96)/12))&amp;(MOD((COUNTIFS($B$2:$B376,"SER")+COUNTIFS($B$2:$B376,"PLH")+COUNTIFS($B$2:$B376,"CSF"))-1,12)+1),"N/A"),"")</f>
        <v/>
      </c>
      <c r="I376" s="6" t="str">
        <f>IF(AND($A376&lt;&gt;"",$B376&lt;&gt;"",$C376&lt;&gt;"",$D376&lt;&gt;""),IF(OR($B376="SER",$B376="PLH"),"Control MAX Planck Plate "&amp;(INT(((COUNTIFS($B$2:$B376,"SER")+COUNTIFS($B$2:$B376,"PLH"))-1)/96)+1)&amp;": "&amp;CHAR(65+INT(MOD((COUNTIFS($B$2:$B376,"SER")+COUNTIFS($B$2:$B376,"PLH"))-1,96)/12))&amp;(MOD((COUNTIFS($B$2:$B376,"SER")+COUNTIFS($B$2:$B376,"PLH"))-1,12)+1),"N/A"),"")</f>
        <v/>
      </c>
      <c r="J376" s="6" t="str">
        <f>IF(AND($A376&lt;&gt;"",$B376&lt;&gt;"",$C376&lt;&gt;"",$D376&lt;&gt;""),IF($B376="WB","Control WB Box "&amp;(INT((COUNTIFS($B$2:$B376,"WB")-1)/81)+1)&amp;": "&amp;CHAR(65+INT(MOD(COUNTIFS($B$2:$B376,"WB")-1,81)/9))&amp;(MOD(COUNTIFS($B$2:$B376,"WB")-1,9)+1),"N/A"),"")</f>
        <v/>
      </c>
      <c r="K376" s="3" t="str">
        <f t="shared" si="91"/>
        <v/>
      </c>
      <c r="L376" s="2"/>
      <c r="M376" s="2"/>
      <c r="N376" s="2"/>
      <c r="O376" s="7" t="str">
        <f t="shared" si="92"/>
        <v/>
      </c>
      <c r="P376" s="7" t="str">
        <f t="shared" si="93"/>
        <v/>
      </c>
      <c r="Q376" s="7" t="str">
        <f t="shared" si="94"/>
        <v/>
      </c>
      <c r="R376" s="7" t="str">
        <f t="shared" si="95"/>
        <v/>
      </c>
      <c r="S376" s="7" t="str">
        <f t="shared" si="96"/>
        <v/>
      </c>
      <c r="T376" s="7" t="str">
        <f t="shared" si="97"/>
        <v/>
      </c>
      <c r="U376" s="7" t="str">
        <f t="shared" si="98"/>
        <v/>
      </c>
      <c r="V376" s="7" t="str">
        <f t="shared" si="99"/>
        <v/>
      </c>
      <c r="W376" s="7" t="str">
        <f t="shared" si="100"/>
        <v/>
      </c>
      <c r="X376" s="7" t="str">
        <f t="shared" si="101"/>
        <v/>
      </c>
      <c r="Y376">
        <f t="shared" si="102"/>
        <v>0</v>
      </c>
      <c r="Z376" t="str">
        <f t="shared" si="103"/>
        <v/>
      </c>
      <c r="AA376" t="str">
        <f t="shared" si="104"/>
        <v/>
      </c>
      <c r="AB376" t="str">
        <f t="shared" si="105"/>
        <v/>
      </c>
      <c r="AC376" t="str">
        <f t="shared" si="106"/>
        <v/>
      </c>
      <c r="AD376">
        <f t="shared" si="107"/>
        <v>0</v>
      </c>
    </row>
    <row r="377" spans="1:30" ht="15" customHeight="1" x14ac:dyDescent="0.35">
      <c r="A377" s="2"/>
      <c r="B377" s="3"/>
      <c r="C377" s="4"/>
      <c r="D377" s="5"/>
      <c r="E377" s="11" t="str">
        <f t="shared" ca="1" si="90"/>
        <v/>
      </c>
      <c r="F377" s="5"/>
      <c r="G377" s="6" t="str">
        <f>IF(AND($A377&lt;&gt;"",$B377&lt;&gt;"",$C377&lt;&gt;"",$D377&lt;&gt;""),IF(OR($B377="SER",$B377="PLH",$B377="CSF"),"Control CDI Plate "&amp;(INT(((COUNTIFS($B$2:$B377,"SER")+COUNTIFS($B$2:$B377,"PLH")+COUNTIFS($B$2:$B377,"CSF"))-1)/96)+1)&amp;": "&amp;CHAR(65+INT(MOD((COUNTIFS($B$2:$B377,"SER")+COUNTIFS($B$2:$B377,"PLH")+COUNTIFS($B$2:$B377,"CSF"))-1,96)/12))&amp;(MOD((COUNTIFS($B$2:$B377,"SER")+COUNTIFS($B$2:$B377,"PLH")+COUNTIFS($B$2:$B377,"CSF"))-1,12)+1),"N/A"),"")</f>
        <v/>
      </c>
      <c r="H377" s="6" t="str">
        <f>IF(AND($A377&lt;&gt;"",$B377&lt;&gt;"",$C377&lt;&gt;"",$D377&lt;&gt;""),IF(OR($B377="SER",$B377="PLH",$B377="CSF"),"Control NIH Plate "&amp;(INT(((COUNTIFS($B$2:$B377,"SER")+COUNTIFS($B$2:$B377,"PLH")+COUNTIFS($B$2:$B377,"CSF"))-1)/96)+1)&amp;": "&amp;CHAR(65+INT(MOD((COUNTIFS($B$2:$B377,"SER")+COUNTIFS($B$2:$B377,"PLH")+COUNTIFS($B$2:$B377,"CSF"))-1,96)/12))&amp;(MOD((COUNTIFS($B$2:$B377,"SER")+COUNTIFS($B$2:$B377,"PLH")+COUNTIFS($B$2:$B377,"CSF"))-1,12)+1),"N/A"),"")</f>
        <v/>
      </c>
      <c r="I377" s="6" t="str">
        <f>IF(AND($A377&lt;&gt;"",$B377&lt;&gt;"",$C377&lt;&gt;"",$D377&lt;&gt;""),IF(OR($B377="SER",$B377="PLH"),"Control MAX Planck Plate "&amp;(INT(((COUNTIFS($B$2:$B377,"SER")+COUNTIFS($B$2:$B377,"PLH"))-1)/96)+1)&amp;": "&amp;CHAR(65+INT(MOD((COUNTIFS($B$2:$B377,"SER")+COUNTIFS($B$2:$B377,"PLH"))-1,96)/12))&amp;(MOD((COUNTIFS($B$2:$B377,"SER")+COUNTIFS($B$2:$B377,"PLH"))-1,12)+1),"N/A"),"")</f>
        <v/>
      </c>
      <c r="J377" s="6" t="str">
        <f>IF(AND($A377&lt;&gt;"",$B377&lt;&gt;"",$C377&lt;&gt;"",$D377&lt;&gt;""),IF($B377="WB","Control WB Box "&amp;(INT((COUNTIFS($B$2:$B377,"WB")-1)/81)+1)&amp;": "&amp;CHAR(65+INT(MOD(COUNTIFS($B$2:$B377,"WB")-1,81)/9))&amp;(MOD(COUNTIFS($B$2:$B377,"WB")-1,9)+1),"N/A"),"")</f>
        <v/>
      </c>
      <c r="K377" s="3" t="str">
        <f t="shared" si="91"/>
        <v/>
      </c>
      <c r="L377" s="2"/>
      <c r="M377" s="2"/>
      <c r="N377" s="2"/>
      <c r="O377" s="7" t="str">
        <f t="shared" si="92"/>
        <v/>
      </c>
      <c r="P377" s="7" t="str">
        <f t="shared" si="93"/>
        <v/>
      </c>
      <c r="Q377" s="7" t="str">
        <f t="shared" si="94"/>
        <v/>
      </c>
      <c r="R377" s="7" t="str">
        <f t="shared" si="95"/>
        <v/>
      </c>
      <c r="S377" s="7" t="str">
        <f t="shared" si="96"/>
        <v/>
      </c>
      <c r="T377" s="7" t="str">
        <f t="shared" si="97"/>
        <v/>
      </c>
      <c r="U377" s="7" t="str">
        <f t="shared" si="98"/>
        <v/>
      </c>
      <c r="V377" s="7" t="str">
        <f t="shared" si="99"/>
        <v/>
      </c>
      <c r="W377" s="7" t="str">
        <f t="shared" si="100"/>
        <v/>
      </c>
      <c r="X377" s="7" t="str">
        <f t="shared" si="101"/>
        <v/>
      </c>
      <c r="Y377">
        <f t="shared" si="102"/>
        <v>0</v>
      </c>
      <c r="Z377" t="str">
        <f t="shared" si="103"/>
        <v/>
      </c>
      <c r="AA377" t="str">
        <f t="shared" si="104"/>
        <v/>
      </c>
      <c r="AB377" t="str">
        <f t="shared" si="105"/>
        <v/>
      </c>
      <c r="AC377" t="str">
        <f t="shared" si="106"/>
        <v/>
      </c>
      <c r="AD377">
        <f t="shared" si="107"/>
        <v>0</v>
      </c>
    </row>
    <row r="378" spans="1:30" ht="15" customHeight="1" x14ac:dyDescent="0.35">
      <c r="A378" s="2"/>
      <c r="B378" s="3"/>
      <c r="C378" s="4"/>
      <c r="D378" s="5"/>
      <c r="E378" s="11" t="str">
        <f t="shared" ca="1" si="90"/>
        <v/>
      </c>
      <c r="F378" s="5"/>
      <c r="G378" s="6" t="str">
        <f>IF(AND($A378&lt;&gt;"",$B378&lt;&gt;"",$C378&lt;&gt;"",$D378&lt;&gt;""),IF(OR($B378="SER",$B378="PLH",$B378="CSF"),"Control CDI Plate "&amp;(INT(((COUNTIFS($B$2:$B378,"SER")+COUNTIFS($B$2:$B378,"PLH")+COUNTIFS($B$2:$B378,"CSF"))-1)/96)+1)&amp;": "&amp;CHAR(65+INT(MOD((COUNTIFS($B$2:$B378,"SER")+COUNTIFS($B$2:$B378,"PLH")+COUNTIFS($B$2:$B378,"CSF"))-1,96)/12))&amp;(MOD((COUNTIFS($B$2:$B378,"SER")+COUNTIFS($B$2:$B378,"PLH")+COUNTIFS($B$2:$B378,"CSF"))-1,12)+1),"N/A"),"")</f>
        <v/>
      </c>
      <c r="H378" s="6" t="str">
        <f>IF(AND($A378&lt;&gt;"",$B378&lt;&gt;"",$C378&lt;&gt;"",$D378&lt;&gt;""),IF(OR($B378="SER",$B378="PLH",$B378="CSF"),"Control NIH Plate "&amp;(INT(((COUNTIFS($B$2:$B378,"SER")+COUNTIFS($B$2:$B378,"PLH")+COUNTIFS($B$2:$B378,"CSF"))-1)/96)+1)&amp;": "&amp;CHAR(65+INT(MOD((COUNTIFS($B$2:$B378,"SER")+COUNTIFS($B$2:$B378,"PLH")+COUNTIFS($B$2:$B378,"CSF"))-1,96)/12))&amp;(MOD((COUNTIFS($B$2:$B378,"SER")+COUNTIFS($B$2:$B378,"PLH")+COUNTIFS($B$2:$B378,"CSF"))-1,12)+1),"N/A"),"")</f>
        <v/>
      </c>
      <c r="I378" s="6" t="str">
        <f>IF(AND($A378&lt;&gt;"",$B378&lt;&gt;"",$C378&lt;&gt;"",$D378&lt;&gt;""),IF(OR($B378="SER",$B378="PLH"),"Control MAX Planck Plate "&amp;(INT(((COUNTIFS($B$2:$B378,"SER")+COUNTIFS($B$2:$B378,"PLH"))-1)/96)+1)&amp;": "&amp;CHAR(65+INT(MOD((COUNTIFS($B$2:$B378,"SER")+COUNTIFS($B$2:$B378,"PLH"))-1,96)/12))&amp;(MOD((COUNTIFS($B$2:$B378,"SER")+COUNTIFS($B$2:$B378,"PLH"))-1,12)+1),"N/A"),"")</f>
        <v/>
      </c>
      <c r="J378" s="6" t="str">
        <f>IF(AND($A378&lt;&gt;"",$B378&lt;&gt;"",$C378&lt;&gt;"",$D378&lt;&gt;""),IF($B378="WB","Control WB Box "&amp;(INT((COUNTIFS($B$2:$B378,"WB")-1)/81)+1)&amp;": "&amp;CHAR(65+INT(MOD(COUNTIFS($B$2:$B378,"WB")-1,81)/9))&amp;(MOD(COUNTIFS($B$2:$B378,"WB")-1,9)+1),"N/A"),"")</f>
        <v/>
      </c>
      <c r="K378" s="3" t="str">
        <f t="shared" si="91"/>
        <v/>
      </c>
      <c r="L378" s="2"/>
      <c r="M378" s="2"/>
      <c r="N378" s="2"/>
      <c r="O378" s="7" t="str">
        <f t="shared" si="92"/>
        <v/>
      </c>
      <c r="P378" s="7" t="str">
        <f t="shared" si="93"/>
        <v/>
      </c>
      <c r="Q378" s="7" t="str">
        <f t="shared" si="94"/>
        <v/>
      </c>
      <c r="R378" s="7" t="str">
        <f t="shared" si="95"/>
        <v/>
      </c>
      <c r="S378" s="7" t="str">
        <f t="shared" si="96"/>
        <v/>
      </c>
      <c r="T378" s="7" t="str">
        <f t="shared" si="97"/>
        <v/>
      </c>
      <c r="U378" s="7" t="str">
        <f t="shared" si="98"/>
        <v/>
      </c>
      <c r="V378" s="7" t="str">
        <f t="shared" si="99"/>
        <v/>
      </c>
      <c r="W378" s="7" t="str">
        <f t="shared" si="100"/>
        <v/>
      </c>
      <c r="X378" s="7" t="str">
        <f t="shared" si="101"/>
        <v/>
      </c>
      <c r="Y378">
        <f t="shared" si="102"/>
        <v>0</v>
      </c>
      <c r="Z378" t="str">
        <f t="shared" si="103"/>
        <v/>
      </c>
      <c r="AA378" t="str">
        <f t="shared" si="104"/>
        <v/>
      </c>
      <c r="AB378" t="str">
        <f t="shared" si="105"/>
        <v/>
      </c>
      <c r="AC378" t="str">
        <f t="shared" si="106"/>
        <v/>
      </c>
      <c r="AD378">
        <f t="shared" si="107"/>
        <v>0</v>
      </c>
    </row>
    <row r="379" spans="1:30" ht="15" customHeight="1" x14ac:dyDescent="0.35">
      <c r="A379" s="2"/>
      <c r="B379" s="3"/>
      <c r="C379" s="4"/>
      <c r="D379" s="5"/>
      <c r="E379" s="11" t="str">
        <f t="shared" ca="1" si="90"/>
        <v/>
      </c>
      <c r="F379" s="5"/>
      <c r="G379" s="6" t="str">
        <f>IF(AND($A379&lt;&gt;"",$B379&lt;&gt;"",$C379&lt;&gt;"",$D379&lt;&gt;""),IF(OR($B379="SER",$B379="PLH",$B379="CSF"),"Control CDI Plate "&amp;(INT(((COUNTIFS($B$2:$B379,"SER")+COUNTIFS($B$2:$B379,"PLH")+COUNTIFS($B$2:$B379,"CSF"))-1)/96)+1)&amp;": "&amp;CHAR(65+INT(MOD((COUNTIFS($B$2:$B379,"SER")+COUNTIFS($B$2:$B379,"PLH")+COUNTIFS($B$2:$B379,"CSF"))-1,96)/12))&amp;(MOD((COUNTIFS($B$2:$B379,"SER")+COUNTIFS($B$2:$B379,"PLH")+COUNTIFS($B$2:$B379,"CSF"))-1,12)+1),"N/A"),"")</f>
        <v/>
      </c>
      <c r="H379" s="6" t="str">
        <f>IF(AND($A379&lt;&gt;"",$B379&lt;&gt;"",$C379&lt;&gt;"",$D379&lt;&gt;""),IF(OR($B379="SER",$B379="PLH",$B379="CSF"),"Control NIH Plate "&amp;(INT(((COUNTIFS($B$2:$B379,"SER")+COUNTIFS($B$2:$B379,"PLH")+COUNTIFS($B$2:$B379,"CSF"))-1)/96)+1)&amp;": "&amp;CHAR(65+INT(MOD((COUNTIFS($B$2:$B379,"SER")+COUNTIFS($B$2:$B379,"PLH")+COUNTIFS($B$2:$B379,"CSF"))-1,96)/12))&amp;(MOD((COUNTIFS($B$2:$B379,"SER")+COUNTIFS($B$2:$B379,"PLH")+COUNTIFS($B$2:$B379,"CSF"))-1,12)+1),"N/A"),"")</f>
        <v/>
      </c>
      <c r="I379" s="6" t="str">
        <f>IF(AND($A379&lt;&gt;"",$B379&lt;&gt;"",$C379&lt;&gt;"",$D379&lt;&gt;""),IF(OR($B379="SER",$B379="PLH"),"Control MAX Planck Plate "&amp;(INT(((COUNTIFS($B$2:$B379,"SER")+COUNTIFS($B$2:$B379,"PLH"))-1)/96)+1)&amp;": "&amp;CHAR(65+INT(MOD((COUNTIFS($B$2:$B379,"SER")+COUNTIFS($B$2:$B379,"PLH"))-1,96)/12))&amp;(MOD((COUNTIFS($B$2:$B379,"SER")+COUNTIFS($B$2:$B379,"PLH"))-1,12)+1),"N/A"),"")</f>
        <v/>
      </c>
      <c r="J379" s="6" t="str">
        <f>IF(AND($A379&lt;&gt;"",$B379&lt;&gt;"",$C379&lt;&gt;"",$D379&lt;&gt;""),IF($B379="WB","Control WB Box "&amp;(INT((COUNTIFS($B$2:$B379,"WB")-1)/81)+1)&amp;": "&amp;CHAR(65+INT(MOD(COUNTIFS($B$2:$B379,"WB")-1,81)/9))&amp;(MOD(COUNTIFS($B$2:$B379,"WB")-1,9)+1),"N/A"),"")</f>
        <v/>
      </c>
      <c r="K379" s="3" t="str">
        <f t="shared" si="91"/>
        <v/>
      </c>
      <c r="L379" s="2"/>
      <c r="M379" s="2"/>
      <c r="N379" s="2"/>
      <c r="O379" s="7" t="str">
        <f t="shared" si="92"/>
        <v/>
      </c>
      <c r="P379" s="7" t="str">
        <f t="shared" si="93"/>
        <v/>
      </c>
      <c r="Q379" s="7" t="str">
        <f t="shared" si="94"/>
        <v/>
      </c>
      <c r="R379" s="7" t="str">
        <f t="shared" si="95"/>
        <v/>
      </c>
      <c r="S379" s="7" t="str">
        <f t="shared" si="96"/>
        <v/>
      </c>
      <c r="T379" s="7" t="str">
        <f t="shared" si="97"/>
        <v/>
      </c>
      <c r="U379" s="7" t="str">
        <f t="shared" si="98"/>
        <v/>
      </c>
      <c r="V379" s="7" t="str">
        <f t="shared" si="99"/>
        <v/>
      </c>
      <c r="W379" s="7" t="str">
        <f t="shared" si="100"/>
        <v/>
      </c>
      <c r="X379" s="7" t="str">
        <f t="shared" si="101"/>
        <v/>
      </c>
      <c r="Y379">
        <f t="shared" si="102"/>
        <v>0</v>
      </c>
      <c r="Z379" t="str">
        <f t="shared" si="103"/>
        <v/>
      </c>
      <c r="AA379" t="str">
        <f t="shared" si="104"/>
        <v/>
      </c>
      <c r="AB379" t="str">
        <f t="shared" si="105"/>
        <v/>
      </c>
      <c r="AC379" t="str">
        <f t="shared" si="106"/>
        <v/>
      </c>
      <c r="AD379">
        <f t="shared" si="107"/>
        <v>0</v>
      </c>
    </row>
    <row r="380" spans="1:30" ht="15" customHeight="1" x14ac:dyDescent="0.35">
      <c r="A380" s="2"/>
      <c r="B380" s="3"/>
      <c r="C380" s="4"/>
      <c r="D380" s="5"/>
      <c r="E380" s="11" t="str">
        <f t="shared" ca="1" si="90"/>
        <v/>
      </c>
      <c r="F380" s="5"/>
      <c r="G380" s="6" t="str">
        <f>IF(AND($A380&lt;&gt;"",$B380&lt;&gt;"",$C380&lt;&gt;"",$D380&lt;&gt;""),IF(OR($B380="SER",$B380="PLH",$B380="CSF"),"Control CDI Plate "&amp;(INT(((COUNTIFS($B$2:$B380,"SER")+COUNTIFS($B$2:$B380,"PLH")+COUNTIFS($B$2:$B380,"CSF"))-1)/96)+1)&amp;": "&amp;CHAR(65+INT(MOD((COUNTIFS($B$2:$B380,"SER")+COUNTIFS($B$2:$B380,"PLH")+COUNTIFS($B$2:$B380,"CSF"))-1,96)/12))&amp;(MOD((COUNTIFS($B$2:$B380,"SER")+COUNTIFS($B$2:$B380,"PLH")+COUNTIFS($B$2:$B380,"CSF"))-1,12)+1),"N/A"),"")</f>
        <v/>
      </c>
      <c r="H380" s="6" t="str">
        <f>IF(AND($A380&lt;&gt;"",$B380&lt;&gt;"",$C380&lt;&gt;"",$D380&lt;&gt;""),IF(OR($B380="SER",$B380="PLH",$B380="CSF"),"Control NIH Plate "&amp;(INT(((COUNTIFS($B$2:$B380,"SER")+COUNTIFS($B$2:$B380,"PLH")+COUNTIFS($B$2:$B380,"CSF"))-1)/96)+1)&amp;": "&amp;CHAR(65+INT(MOD((COUNTIFS($B$2:$B380,"SER")+COUNTIFS($B$2:$B380,"PLH")+COUNTIFS($B$2:$B380,"CSF"))-1,96)/12))&amp;(MOD((COUNTIFS($B$2:$B380,"SER")+COUNTIFS($B$2:$B380,"PLH")+COUNTIFS($B$2:$B380,"CSF"))-1,12)+1),"N/A"),"")</f>
        <v/>
      </c>
      <c r="I380" s="6" t="str">
        <f>IF(AND($A380&lt;&gt;"",$B380&lt;&gt;"",$C380&lt;&gt;"",$D380&lt;&gt;""),IF(OR($B380="SER",$B380="PLH"),"Control MAX Planck Plate "&amp;(INT(((COUNTIFS($B$2:$B380,"SER")+COUNTIFS($B$2:$B380,"PLH"))-1)/96)+1)&amp;": "&amp;CHAR(65+INT(MOD((COUNTIFS($B$2:$B380,"SER")+COUNTIFS($B$2:$B380,"PLH"))-1,96)/12))&amp;(MOD((COUNTIFS($B$2:$B380,"SER")+COUNTIFS($B$2:$B380,"PLH"))-1,12)+1),"N/A"),"")</f>
        <v/>
      </c>
      <c r="J380" s="6" t="str">
        <f>IF(AND($A380&lt;&gt;"",$B380&lt;&gt;"",$C380&lt;&gt;"",$D380&lt;&gt;""),IF($B380="WB","Control WB Box "&amp;(INT((COUNTIFS($B$2:$B380,"WB")-1)/81)+1)&amp;": "&amp;CHAR(65+INT(MOD(COUNTIFS($B$2:$B380,"WB")-1,81)/9))&amp;(MOD(COUNTIFS($B$2:$B380,"WB")-1,9)+1),"N/A"),"")</f>
        <v/>
      </c>
      <c r="K380" s="3" t="str">
        <f t="shared" si="91"/>
        <v/>
      </c>
      <c r="L380" s="2"/>
      <c r="M380" s="2"/>
      <c r="N380" s="2"/>
      <c r="O380" s="7" t="str">
        <f t="shared" si="92"/>
        <v/>
      </c>
      <c r="P380" s="7" t="str">
        <f t="shared" si="93"/>
        <v/>
      </c>
      <c r="Q380" s="7" t="str">
        <f t="shared" si="94"/>
        <v/>
      </c>
      <c r="R380" s="7" t="str">
        <f t="shared" si="95"/>
        <v/>
      </c>
      <c r="S380" s="7" t="str">
        <f t="shared" si="96"/>
        <v/>
      </c>
      <c r="T380" s="7" t="str">
        <f t="shared" si="97"/>
        <v/>
      </c>
      <c r="U380" s="7" t="str">
        <f t="shared" si="98"/>
        <v/>
      </c>
      <c r="V380" s="7" t="str">
        <f t="shared" si="99"/>
        <v/>
      </c>
      <c r="W380" s="7" t="str">
        <f t="shared" si="100"/>
        <v/>
      </c>
      <c r="X380" s="7" t="str">
        <f t="shared" si="101"/>
        <v/>
      </c>
      <c r="Y380">
        <f t="shared" si="102"/>
        <v>0</v>
      </c>
      <c r="Z380" t="str">
        <f t="shared" si="103"/>
        <v/>
      </c>
      <c r="AA380" t="str">
        <f t="shared" si="104"/>
        <v/>
      </c>
      <c r="AB380" t="str">
        <f t="shared" si="105"/>
        <v/>
      </c>
      <c r="AC380" t="str">
        <f t="shared" si="106"/>
        <v/>
      </c>
      <c r="AD380">
        <f t="shared" si="107"/>
        <v>0</v>
      </c>
    </row>
    <row r="381" spans="1:30" ht="15" customHeight="1" x14ac:dyDescent="0.35">
      <c r="A381" s="2"/>
      <c r="B381" s="3"/>
      <c r="C381" s="4"/>
      <c r="D381" s="5"/>
      <c r="E381" s="11" t="str">
        <f t="shared" ref="E381:E444" ca="1" si="108">IF(AND($A381&lt;&gt;"",$B381&lt;&gt;"",$C381&lt;&gt;"",$D381&lt;&gt;""),TODAY(),"")</f>
        <v/>
      </c>
      <c r="F381" s="5"/>
      <c r="G381" s="6" t="str">
        <f>IF(AND($A381&lt;&gt;"",$B381&lt;&gt;"",$C381&lt;&gt;"",$D381&lt;&gt;""),IF(OR($B381="SER",$B381="PLH",$B381="CSF"),"Control CDI Plate "&amp;(INT(((COUNTIFS($B$2:$B381,"SER")+COUNTIFS($B$2:$B381,"PLH")+COUNTIFS($B$2:$B381,"CSF"))-1)/96)+1)&amp;": "&amp;CHAR(65+INT(MOD((COUNTIFS($B$2:$B381,"SER")+COUNTIFS($B$2:$B381,"PLH")+COUNTIFS($B$2:$B381,"CSF"))-1,96)/12))&amp;(MOD((COUNTIFS($B$2:$B381,"SER")+COUNTIFS($B$2:$B381,"PLH")+COUNTIFS($B$2:$B381,"CSF"))-1,12)+1),"N/A"),"")</f>
        <v/>
      </c>
      <c r="H381" s="6" t="str">
        <f>IF(AND($A381&lt;&gt;"",$B381&lt;&gt;"",$C381&lt;&gt;"",$D381&lt;&gt;""),IF(OR($B381="SER",$B381="PLH",$B381="CSF"),"Control NIH Plate "&amp;(INT(((COUNTIFS($B$2:$B381,"SER")+COUNTIFS($B$2:$B381,"PLH")+COUNTIFS($B$2:$B381,"CSF"))-1)/96)+1)&amp;": "&amp;CHAR(65+INT(MOD((COUNTIFS($B$2:$B381,"SER")+COUNTIFS($B$2:$B381,"PLH")+COUNTIFS($B$2:$B381,"CSF"))-1,96)/12))&amp;(MOD((COUNTIFS($B$2:$B381,"SER")+COUNTIFS($B$2:$B381,"PLH")+COUNTIFS($B$2:$B381,"CSF"))-1,12)+1),"N/A"),"")</f>
        <v/>
      </c>
      <c r="I381" s="6" t="str">
        <f>IF(AND($A381&lt;&gt;"",$B381&lt;&gt;"",$C381&lt;&gt;"",$D381&lt;&gt;""),IF(OR($B381="SER",$B381="PLH"),"Control MAX Planck Plate "&amp;(INT(((COUNTIFS($B$2:$B381,"SER")+COUNTIFS($B$2:$B381,"PLH"))-1)/96)+1)&amp;": "&amp;CHAR(65+INT(MOD((COUNTIFS($B$2:$B381,"SER")+COUNTIFS($B$2:$B381,"PLH"))-1,96)/12))&amp;(MOD((COUNTIFS($B$2:$B381,"SER")+COUNTIFS($B$2:$B381,"PLH"))-1,12)+1),"N/A"),"")</f>
        <v/>
      </c>
      <c r="J381" s="6" t="str">
        <f>IF(AND($A381&lt;&gt;"",$B381&lt;&gt;"",$C381&lt;&gt;"",$D381&lt;&gt;""),IF($B381="WB","Control WB Box "&amp;(INT((COUNTIFS($B$2:$B381,"WB")-1)/81)+1)&amp;": "&amp;CHAR(65+INT(MOD(COUNTIFS($B$2:$B381,"WB")-1,81)/9))&amp;(MOD(COUNTIFS($B$2:$B381,"WB")-1,9)+1),"N/A"),"")</f>
        <v/>
      </c>
      <c r="K381" s="3" t="str">
        <f t="shared" ref="K381:K444" si="109">IF(AND($A381&lt;&gt;"",$B381&lt;&gt;"",$C381&lt;&gt;"",$D381&lt;&gt;""),IF($B381="WB","No",""),"")</f>
        <v/>
      </c>
      <c r="L381" s="2"/>
      <c r="M381" s="2"/>
      <c r="N381" s="2"/>
      <c r="O381" s="7" t="str">
        <f t="shared" ref="O381:O444" si="110">IF($A381&lt;&gt;"",MID($A381,7,4),"")</f>
        <v/>
      </c>
      <c r="P381" s="7" t="str">
        <f t="shared" ref="P381:P444" si="111">IF($C381&lt;&gt;"",TEXT($C381,"mmddyy"),"")</f>
        <v/>
      </c>
      <c r="Q381" s="7" t="str">
        <f t="shared" ref="Q381:Q444" si="112">IF(AND($A381&lt;&gt;"",$B381&lt;&gt;"",$C381&lt;&gt;""),IF($B381="WB","cn_"&amp;$O381&amp;"_wb_"&amp;$P381,"cn_"&amp;$O381&amp;"_"&amp;LOWER($B381)&amp;"_"&amp;IF($B381="CSF","0.50","0.20")&amp;"_"&amp;$P381),"")</f>
        <v/>
      </c>
      <c r="R381" s="7" t="str">
        <f t="shared" ref="R381:R444" si="113">IF(AND($A381&lt;&gt;"",$B381="WB",$C381&lt;&gt;""),"cn_"&amp;$O381&amp;"_wb_"&amp;$P381,"")</f>
        <v/>
      </c>
      <c r="S381" s="7" t="str">
        <f t="shared" ref="S381:S444" si="114">IFERROR(VALUE(MID($L381,FIND("Box ",$L381)+4,FIND(":",$L381)-FIND("Box ",$L381)-4)),"")</f>
        <v/>
      </c>
      <c r="T381" s="7" t="str">
        <f t="shared" ref="T381:T444" si="115">IFERROR(CODE(UPPER(LEFT(LEFT(TRIM(MID(SUBSTITUTE(TRIM(MID($L381,FIND(":",$L381)+1,200)),",",REPT(" ",60)),1,60)),IFERROR(FIND("-",TRIM(MID(SUBSTITUTE(TRIM(MID($L381,FIND(":",$L381)+1,200)),",",REPT(" ",60)),1,60)))-1,LEN(TRIM(MID(SUBSTITUTE(TRIM(MID($L381,FIND(":",$L381)+1,200)),",",REPT(" ",60)),1,60))))),1)))-64,"")</f>
        <v/>
      </c>
      <c r="U381" s="7" t="str">
        <f t="shared" ref="U381:U444" si="116">IFERROR(VALUE(MID(LEFT(TRIM(MID(SUBSTITUTE(TRIM(MID($L381,FIND(":",$L381)+1,200)),",",REPT(" ",60)),1,60)),IFERROR(FIND("-",TRIM(MID(SUBSTITUTE(TRIM(MID($L381,FIND(":",$L381)+1,200)),",",REPT(" ",60)),1,60)))-1,LEN(TRIM(MID(SUBSTITUTE(TRIM(MID($L381,FIND(":",$L381)+1,200)),",",REPT(" ",60)),1,60))))),2,3)),"")</f>
        <v/>
      </c>
      <c r="V381" s="7" t="str">
        <f t="shared" ref="V381:V444" si="117">IFERROR(CODE(UPPER(LEFT(IFERROR(MID(TRIM(MID(SUBSTITUTE(TRIM(MID($L381,FIND(":",$L381)+1,200)),",",REPT(" ",60)),1,60)),FIND("-",TRIM(MID(SUBSTITUTE(TRIM(MID($L381,FIND(":",$L381)+1,200)),",",REPT(" ",60)),1,60)))+1,99),LEFT(TRIM(MID(SUBSTITUTE(TRIM(MID($L381,FIND(":",$L381)+1,200)),",",REPT(" ",60)),1,60)),IFERROR(FIND("-",TRIM(MID(SUBSTITUTE(TRIM(MID($L381,FIND(":",$L381)+1,200)),",",REPT(" ",60)),1,60)))-1,LEN(TRIM(MID(SUBSTITUTE(TRIM(MID($L381,FIND(":",$L381)+1,200)),",",REPT(" ",60)),1,60)))))),1)))-64,"")</f>
        <v/>
      </c>
      <c r="W381" s="7" t="str">
        <f t="shared" ref="W381:W444" si="118">IFERROR(VALUE(MID(IFERROR(MID(TRIM(MID(SUBSTITUTE(TRIM(MID($L381,FIND(":",$L381)+1,200)),",",REPT(" ",60)),1,60)),FIND("-",TRIM(MID(SUBSTITUTE(TRIM(MID($L381,FIND(":",$L381)+1,200)),",",REPT(" ",60)),1,60)))+1,99),LEFT(TRIM(MID(SUBSTITUTE(TRIM(MID($L381,FIND(":",$L381)+1,200)),",",REPT(" ",60)),1,60)),IFERROR(FIND("-",TRIM(MID(SUBSTITUTE(TRIM(MID($L381,FIND(":",$L381)+1,200)),",",REPT(" ",60)),1,60)))-1,LEN(TRIM(MID(SUBSTITUTE(TRIM(MID($L381,FIND(":",$L381)+1,200)),",",REPT(" ",60)),1,60)))))),2,3)),"")</f>
        <v/>
      </c>
      <c r="X381" s="7" t="str">
        <f t="shared" ref="X381:X444" si="119">IF(AND($A381&lt;&gt;"",$B381&lt;&gt;"",$C381&lt;&gt;""),"cn_"&amp;$O381&amp;"_"&amp;LOWER($B381)&amp;"_","")</f>
        <v/>
      </c>
      <c r="Y381">
        <f t="shared" ref="Y381:Y444" si="120">IFERROR(($V381-$T381+1)*($W381-$U381+1),0)</f>
        <v>0</v>
      </c>
      <c r="Z381" t="str">
        <f t="shared" ref="Z381:Z444" si="121">IFERROR(CODE(UPPER(LEFT(LEFT(TRIM(MID(SUBSTITUTE(TRIM(MID($L381,FIND(":",$L381)+1,200)),",",REPT(" ",60)),61,60)),IFERROR(FIND("-",TRIM(MID(SUBSTITUTE(TRIM(MID($L381,FIND(":",$L381)+1,200)),",",REPT(" ",60)),61,60)))-1,LEN(TRIM(MID(SUBSTITUTE(TRIM(MID($L381,FIND(":",$L381)+1,200)),",",REPT(" ",60)),61,60))))),1)))-64,"")</f>
        <v/>
      </c>
      <c r="AA381" t="str">
        <f t="shared" ref="AA381:AA444" si="122">IFERROR(VALUE(MID(LEFT(TRIM(MID(SUBSTITUTE(TRIM(MID($L381,FIND(":",$L381)+1,200)),",",REPT(" ",60)),61,60)),IFERROR(FIND("-",TRIM(MID(SUBSTITUTE(TRIM(MID($L381,FIND(":",$L381)+1,200)),",",REPT(" ",60)),61,60)))-1,LEN(TRIM(MID(SUBSTITUTE(TRIM(MID($L381,FIND(":",$L381)+1,200)),",",REPT(" ",60)),61,60))))),2,3)),"")</f>
        <v/>
      </c>
      <c r="AB381" t="str">
        <f t="shared" ref="AB381:AB444" si="123">IFERROR(CODE(UPPER(LEFT(IFERROR(MID(TRIM(MID(SUBSTITUTE(TRIM(MID($L381,FIND(":",$L381)+1,200)),",",REPT(" ",60)),61,60)),FIND("-",TRIM(MID(SUBSTITUTE(TRIM(MID($L381,FIND(":",$L381)+1,200)),",",REPT(" ",60)),61,60)))+1,99),LEFT(TRIM(MID(SUBSTITUTE(TRIM(MID($L381,FIND(":",$L381)+1,200)),",",REPT(" ",60)),61,60)),IFERROR(FIND("-",TRIM(MID(SUBSTITUTE(TRIM(MID($L381,FIND(":",$L381)+1,200)),",",REPT(" ",60)),61,60)))-1,LEN(TRIM(MID(SUBSTITUTE(TRIM(MID($L381,FIND(":",$L381)+1,200)),",",REPT(" ",60)),61,60)))))),1)))-64,"")</f>
        <v/>
      </c>
      <c r="AC381" t="str">
        <f t="shared" ref="AC381:AC444" si="124">IFERROR(VALUE(MID(IFERROR(MID(TRIM(MID(SUBSTITUTE(TRIM(MID($L381,FIND(":",$L381)+1,200)),",",REPT(" ",60)),61,60)),FIND("-",TRIM(MID(SUBSTITUTE(TRIM(MID($L381,FIND(":",$L381)+1,200)),",",REPT(" ",60)),61,60)))+1,99),LEFT(TRIM(MID(SUBSTITUTE(TRIM(MID($L381,FIND(":",$L381)+1,200)),",",REPT(" ",60)),61,60)),IFERROR(FIND("-",TRIM(MID(SUBSTITUTE(TRIM(MID($L381,FIND(":",$L381)+1,200)),",",REPT(" ",60)),61,60)))-1,LEN(TRIM(MID(SUBSTITUTE(TRIM(MID($L381,FIND(":",$L381)+1,200)),",",REPT(" ",60)),61,60)))))),2,3)),"")</f>
        <v/>
      </c>
      <c r="AD381">
        <f t="shared" ref="AD381:AD444" si="125">IFERROR(($AB381-$Z381+1)*($AC381-$AA381+1),0)</f>
        <v>0</v>
      </c>
    </row>
    <row r="382" spans="1:30" ht="15" customHeight="1" x14ac:dyDescent="0.35">
      <c r="A382" s="2"/>
      <c r="B382" s="3"/>
      <c r="C382" s="4"/>
      <c r="D382" s="5"/>
      <c r="E382" s="11" t="str">
        <f t="shared" ca="1" si="108"/>
        <v/>
      </c>
      <c r="F382" s="5"/>
      <c r="G382" s="6" t="str">
        <f>IF(AND($A382&lt;&gt;"",$B382&lt;&gt;"",$C382&lt;&gt;"",$D382&lt;&gt;""),IF(OR($B382="SER",$B382="PLH",$B382="CSF"),"Control CDI Plate "&amp;(INT(((COUNTIFS($B$2:$B382,"SER")+COUNTIFS($B$2:$B382,"PLH")+COUNTIFS($B$2:$B382,"CSF"))-1)/96)+1)&amp;": "&amp;CHAR(65+INT(MOD((COUNTIFS($B$2:$B382,"SER")+COUNTIFS($B$2:$B382,"PLH")+COUNTIFS($B$2:$B382,"CSF"))-1,96)/12))&amp;(MOD((COUNTIFS($B$2:$B382,"SER")+COUNTIFS($B$2:$B382,"PLH")+COUNTIFS($B$2:$B382,"CSF"))-1,12)+1),"N/A"),"")</f>
        <v/>
      </c>
      <c r="H382" s="6" t="str">
        <f>IF(AND($A382&lt;&gt;"",$B382&lt;&gt;"",$C382&lt;&gt;"",$D382&lt;&gt;""),IF(OR($B382="SER",$B382="PLH",$B382="CSF"),"Control NIH Plate "&amp;(INT(((COUNTIFS($B$2:$B382,"SER")+COUNTIFS($B$2:$B382,"PLH")+COUNTIFS($B$2:$B382,"CSF"))-1)/96)+1)&amp;": "&amp;CHAR(65+INT(MOD((COUNTIFS($B$2:$B382,"SER")+COUNTIFS($B$2:$B382,"PLH")+COUNTIFS($B$2:$B382,"CSF"))-1,96)/12))&amp;(MOD((COUNTIFS($B$2:$B382,"SER")+COUNTIFS($B$2:$B382,"PLH")+COUNTIFS($B$2:$B382,"CSF"))-1,12)+1),"N/A"),"")</f>
        <v/>
      </c>
      <c r="I382" s="6" t="str">
        <f>IF(AND($A382&lt;&gt;"",$B382&lt;&gt;"",$C382&lt;&gt;"",$D382&lt;&gt;""),IF(OR($B382="SER",$B382="PLH"),"Control MAX Planck Plate "&amp;(INT(((COUNTIFS($B$2:$B382,"SER")+COUNTIFS($B$2:$B382,"PLH"))-1)/96)+1)&amp;": "&amp;CHAR(65+INT(MOD((COUNTIFS($B$2:$B382,"SER")+COUNTIFS($B$2:$B382,"PLH"))-1,96)/12))&amp;(MOD((COUNTIFS($B$2:$B382,"SER")+COUNTIFS($B$2:$B382,"PLH"))-1,12)+1),"N/A"),"")</f>
        <v/>
      </c>
      <c r="J382" s="6" t="str">
        <f>IF(AND($A382&lt;&gt;"",$B382&lt;&gt;"",$C382&lt;&gt;"",$D382&lt;&gt;""),IF($B382="WB","Control WB Box "&amp;(INT((COUNTIFS($B$2:$B382,"WB")-1)/81)+1)&amp;": "&amp;CHAR(65+INT(MOD(COUNTIFS($B$2:$B382,"WB")-1,81)/9))&amp;(MOD(COUNTIFS($B$2:$B382,"WB")-1,9)+1),"N/A"),"")</f>
        <v/>
      </c>
      <c r="K382" s="3" t="str">
        <f t="shared" si="109"/>
        <v/>
      </c>
      <c r="L382" s="2"/>
      <c r="M382" s="2"/>
      <c r="N382" s="2"/>
      <c r="O382" s="7" t="str">
        <f t="shared" si="110"/>
        <v/>
      </c>
      <c r="P382" s="7" t="str">
        <f t="shared" si="111"/>
        <v/>
      </c>
      <c r="Q382" s="7" t="str">
        <f t="shared" si="112"/>
        <v/>
      </c>
      <c r="R382" s="7" t="str">
        <f t="shared" si="113"/>
        <v/>
      </c>
      <c r="S382" s="7" t="str">
        <f t="shared" si="114"/>
        <v/>
      </c>
      <c r="T382" s="7" t="str">
        <f t="shared" si="115"/>
        <v/>
      </c>
      <c r="U382" s="7" t="str">
        <f t="shared" si="116"/>
        <v/>
      </c>
      <c r="V382" s="7" t="str">
        <f t="shared" si="117"/>
        <v/>
      </c>
      <c r="W382" s="7" t="str">
        <f t="shared" si="118"/>
        <v/>
      </c>
      <c r="X382" s="7" t="str">
        <f t="shared" si="119"/>
        <v/>
      </c>
      <c r="Y382">
        <f t="shared" si="120"/>
        <v>0</v>
      </c>
      <c r="Z382" t="str">
        <f t="shared" si="121"/>
        <v/>
      </c>
      <c r="AA382" t="str">
        <f t="shared" si="122"/>
        <v/>
      </c>
      <c r="AB382" t="str">
        <f t="shared" si="123"/>
        <v/>
      </c>
      <c r="AC382" t="str">
        <f t="shared" si="124"/>
        <v/>
      </c>
      <c r="AD382">
        <f t="shared" si="125"/>
        <v>0</v>
      </c>
    </row>
    <row r="383" spans="1:30" ht="15" customHeight="1" x14ac:dyDescent="0.35">
      <c r="A383" s="2"/>
      <c r="B383" s="3"/>
      <c r="C383" s="4"/>
      <c r="D383" s="5"/>
      <c r="E383" s="11" t="str">
        <f t="shared" ca="1" si="108"/>
        <v/>
      </c>
      <c r="F383" s="5"/>
      <c r="G383" s="6" t="str">
        <f>IF(AND($A383&lt;&gt;"",$B383&lt;&gt;"",$C383&lt;&gt;"",$D383&lt;&gt;""),IF(OR($B383="SER",$B383="PLH",$B383="CSF"),"Control CDI Plate "&amp;(INT(((COUNTIFS($B$2:$B383,"SER")+COUNTIFS($B$2:$B383,"PLH")+COUNTIFS($B$2:$B383,"CSF"))-1)/96)+1)&amp;": "&amp;CHAR(65+INT(MOD((COUNTIFS($B$2:$B383,"SER")+COUNTIFS($B$2:$B383,"PLH")+COUNTIFS($B$2:$B383,"CSF"))-1,96)/12))&amp;(MOD((COUNTIFS($B$2:$B383,"SER")+COUNTIFS($B$2:$B383,"PLH")+COUNTIFS($B$2:$B383,"CSF"))-1,12)+1),"N/A"),"")</f>
        <v/>
      </c>
      <c r="H383" s="6" t="str">
        <f>IF(AND($A383&lt;&gt;"",$B383&lt;&gt;"",$C383&lt;&gt;"",$D383&lt;&gt;""),IF(OR($B383="SER",$B383="PLH",$B383="CSF"),"Control NIH Plate "&amp;(INT(((COUNTIFS($B$2:$B383,"SER")+COUNTIFS($B$2:$B383,"PLH")+COUNTIFS($B$2:$B383,"CSF"))-1)/96)+1)&amp;": "&amp;CHAR(65+INT(MOD((COUNTIFS($B$2:$B383,"SER")+COUNTIFS($B$2:$B383,"PLH")+COUNTIFS($B$2:$B383,"CSF"))-1,96)/12))&amp;(MOD((COUNTIFS($B$2:$B383,"SER")+COUNTIFS($B$2:$B383,"PLH")+COUNTIFS($B$2:$B383,"CSF"))-1,12)+1),"N/A"),"")</f>
        <v/>
      </c>
      <c r="I383" s="6" t="str">
        <f>IF(AND($A383&lt;&gt;"",$B383&lt;&gt;"",$C383&lt;&gt;"",$D383&lt;&gt;""),IF(OR($B383="SER",$B383="PLH"),"Control MAX Planck Plate "&amp;(INT(((COUNTIFS($B$2:$B383,"SER")+COUNTIFS($B$2:$B383,"PLH"))-1)/96)+1)&amp;": "&amp;CHAR(65+INT(MOD((COUNTIFS($B$2:$B383,"SER")+COUNTIFS($B$2:$B383,"PLH"))-1,96)/12))&amp;(MOD((COUNTIFS($B$2:$B383,"SER")+COUNTIFS($B$2:$B383,"PLH"))-1,12)+1),"N/A"),"")</f>
        <v/>
      </c>
      <c r="J383" s="6" t="str">
        <f>IF(AND($A383&lt;&gt;"",$B383&lt;&gt;"",$C383&lt;&gt;"",$D383&lt;&gt;""),IF($B383="WB","Control WB Box "&amp;(INT((COUNTIFS($B$2:$B383,"WB")-1)/81)+1)&amp;": "&amp;CHAR(65+INT(MOD(COUNTIFS($B$2:$B383,"WB")-1,81)/9))&amp;(MOD(COUNTIFS($B$2:$B383,"WB")-1,9)+1),"N/A"),"")</f>
        <v/>
      </c>
      <c r="K383" s="3" t="str">
        <f t="shared" si="109"/>
        <v/>
      </c>
      <c r="L383" s="2"/>
      <c r="M383" s="2"/>
      <c r="N383" s="2"/>
      <c r="O383" s="7" t="str">
        <f t="shared" si="110"/>
        <v/>
      </c>
      <c r="P383" s="7" t="str">
        <f t="shared" si="111"/>
        <v/>
      </c>
      <c r="Q383" s="7" t="str">
        <f t="shared" si="112"/>
        <v/>
      </c>
      <c r="R383" s="7" t="str">
        <f t="shared" si="113"/>
        <v/>
      </c>
      <c r="S383" s="7" t="str">
        <f t="shared" si="114"/>
        <v/>
      </c>
      <c r="T383" s="7" t="str">
        <f t="shared" si="115"/>
        <v/>
      </c>
      <c r="U383" s="7" t="str">
        <f t="shared" si="116"/>
        <v/>
      </c>
      <c r="V383" s="7" t="str">
        <f t="shared" si="117"/>
        <v/>
      </c>
      <c r="W383" s="7" t="str">
        <f t="shared" si="118"/>
        <v/>
      </c>
      <c r="X383" s="7" t="str">
        <f t="shared" si="119"/>
        <v/>
      </c>
      <c r="Y383">
        <f t="shared" si="120"/>
        <v>0</v>
      </c>
      <c r="Z383" t="str">
        <f t="shared" si="121"/>
        <v/>
      </c>
      <c r="AA383" t="str">
        <f t="shared" si="122"/>
        <v/>
      </c>
      <c r="AB383" t="str">
        <f t="shared" si="123"/>
        <v/>
      </c>
      <c r="AC383" t="str">
        <f t="shared" si="124"/>
        <v/>
      </c>
      <c r="AD383">
        <f t="shared" si="125"/>
        <v>0</v>
      </c>
    </row>
    <row r="384" spans="1:30" ht="15" customHeight="1" x14ac:dyDescent="0.35">
      <c r="A384" s="2"/>
      <c r="B384" s="3"/>
      <c r="C384" s="4"/>
      <c r="D384" s="5"/>
      <c r="E384" s="11" t="str">
        <f t="shared" ca="1" si="108"/>
        <v/>
      </c>
      <c r="F384" s="5"/>
      <c r="G384" s="6" t="str">
        <f>IF(AND($A384&lt;&gt;"",$B384&lt;&gt;"",$C384&lt;&gt;"",$D384&lt;&gt;""),IF(OR($B384="SER",$B384="PLH",$B384="CSF"),"Control CDI Plate "&amp;(INT(((COUNTIFS($B$2:$B384,"SER")+COUNTIFS($B$2:$B384,"PLH")+COUNTIFS($B$2:$B384,"CSF"))-1)/96)+1)&amp;": "&amp;CHAR(65+INT(MOD((COUNTIFS($B$2:$B384,"SER")+COUNTIFS($B$2:$B384,"PLH")+COUNTIFS($B$2:$B384,"CSF"))-1,96)/12))&amp;(MOD((COUNTIFS($B$2:$B384,"SER")+COUNTIFS($B$2:$B384,"PLH")+COUNTIFS($B$2:$B384,"CSF"))-1,12)+1),"N/A"),"")</f>
        <v/>
      </c>
      <c r="H384" s="6" t="str">
        <f>IF(AND($A384&lt;&gt;"",$B384&lt;&gt;"",$C384&lt;&gt;"",$D384&lt;&gt;""),IF(OR($B384="SER",$B384="PLH",$B384="CSF"),"Control NIH Plate "&amp;(INT(((COUNTIFS($B$2:$B384,"SER")+COUNTIFS($B$2:$B384,"PLH")+COUNTIFS($B$2:$B384,"CSF"))-1)/96)+1)&amp;": "&amp;CHAR(65+INT(MOD((COUNTIFS($B$2:$B384,"SER")+COUNTIFS($B$2:$B384,"PLH")+COUNTIFS($B$2:$B384,"CSF"))-1,96)/12))&amp;(MOD((COUNTIFS($B$2:$B384,"SER")+COUNTIFS($B$2:$B384,"PLH")+COUNTIFS($B$2:$B384,"CSF"))-1,12)+1),"N/A"),"")</f>
        <v/>
      </c>
      <c r="I384" s="6" t="str">
        <f>IF(AND($A384&lt;&gt;"",$B384&lt;&gt;"",$C384&lt;&gt;"",$D384&lt;&gt;""),IF(OR($B384="SER",$B384="PLH"),"Control MAX Planck Plate "&amp;(INT(((COUNTIFS($B$2:$B384,"SER")+COUNTIFS($B$2:$B384,"PLH"))-1)/96)+1)&amp;": "&amp;CHAR(65+INT(MOD((COUNTIFS($B$2:$B384,"SER")+COUNTIFS($B$2:$B384,"PLH"))-1,96)/12))&amp;(MOD((COUNTIFS($B$2:$B384,"SER")+COUNTIFS($B$2:$B384,"PLH"))-1,12)+1),"N/A"),"")</f>
        <v/>
      </c>
      <c r="J384" s="6" t="str">
        <f>IF(AND($A384&lt;&gt;"",$B384&lt;&gt;"",$C384&lt;&gt;"",$D384&lt;&gt;""),IF($B384="WB","Control WB Box "&amp;(INT((COUNTIFS($B$2:$B384,"WB")-1)/81)+1)&amp;": "&amp;CHAR(65+INT(MOD(COUNTIFS($B$2:$B384,"WB")-1,81)/9))&amp;(MOD(COUNTIFS($B$2:$B384,"WB")-1,9)+1),"N/A"),"")</f>
        <v/>
      </c>
      <c r="K384" s="3" t="str">
        <f t="shared" si="109"/>
        <v/>
      </c>
      <c r="L384" s="2"/>
      <c r="M384" s="2"/>
      <c r="N384" s="2"/>
      <c r="O384" s="7" t="str">
        <f t="shared" si="110"/>
        <v/>
      </c>
      <c r="P384" s="7" t="str">
        <f t="shared" si="111"/>
        <v/>
      </c>
      <c r="Q384" s="7" t="str">
        <f t="shared" si="112"/>
        <v/>
      </c>
      <c r="R384" s="7" t="str">
        <f t="shared" si="113"/>
        <v/>
      </c>
      <c r="S384" s="7" t="str">
        <f t="shared" si="114"/>
        <v/>
      </c>
      <c r="T384" s="7" t="str">
        <f t="shared" si="115"/>
        <v/>
      </c>
      <c r="U384" s="7" t="str">
        <f t="shared" si="116"/>
        <v/>
      </c>
      <c r="V384" s="7" t="str">
        <f t="shared" si="117"/>
        <v/>
      </c>
      <c r="W384" s="7" t="str">
        <f t="shared" si="118"/>
        <v/>
      </c>
      <c r="X384" s="7" t="str">
        <f t="shared" si="119"/>
        <v/>
      </c>
      <c r="Y384">
        <f t="shared" si="120"/>
        <v>0</v>
      </c>
      <c r="Z384" t="str">
        <f t="shared" si="121"/>
        <v/>
      </c>
      <c r="AA384" t="str">
        <f t="shared" si="122"/>
        <v/>
      </c>
      <c r="AB384" t="str">
        <f t="shared" si="123"/>
        <v/>
      </c>
      <c r="AC384" t="str">
        <f t="shared" si="124"/>
        <v/>
      </c>
      <c r="AD384">
        <f t="shared" si="125"/>
        <v>0</v>
      </c>
    </row>
    <row r="385" spans="1:30" ht="15" customHeight="1" x14ac:dyDescent="0.35">
      <c r="A385" s="2"/>
      <c r="B385" s="3"/>
      <c r="C385" s="4"/>
      <c r="D385" s="5"/>
      <c r="E385" s="11" t="str">
        <f t="shared" ca="1" si="108"/>
        <v/>
      </c>
      <c r="F385" s="5"/>
      <c r="G385" s="6" t="str">
        <f>IF(AND($A385&lt;&gt;"",$B385&lt;&gt;"",$C385&lt;&gt;"",$D385&lt;&gt;""),IF(OR($B385="SER",$B385="PLH",$B385="CSF"),"Control CDI Plate "&amp;(INT(((COUNTIFS($B$2:$B385,"SER")+COUNTIFS($B$2:$B385,"PLH")+COUNTIFS($B$2:$B385,"CSF"))-1)/96)+1)&amp;": "&amp;CHAR(65+INT(MOD((COUNTIFS($B$2:$B385,"SER")+COUNTIFS($B$2:$B385,"PLH")+COUNTIFS($B$2:$B385,"CSF"))-1,96)/12))&amp;(MOD((COUNTIFS($B$2:$B385,"SER")+COUNTIFS($B$2:$B385,"PLH")+COUNTIFS($B$2:$B385,"CSF"))-1,12)+1),"N/A"),"")</f>
        <v/>
      </c>
      <c r="H385" s="6" t="str">
        <f>IF(AND($A385&lt;&gt;"",$B385&lt;&gt;"",$C385&lt;&gt;"",$D385&lt;&gt;""),IF(OR($B385="SER",$B385="PLH",$B385="CSF"),"Control NIH Plate "&amp;(INT(((COUNTIFS($B$2:$B385,"SER")+COUNTIFS($B$2:$B385,"PLH")+COUNTIFS($B$2:$B385,"CSF"))-1)/96)+1)&amp;": "&amp;CHAR(65+INT(MOD((COUNTIFS($B$2:$B385,"SER")+COUNTIFS($B$2:$B385,"PLH")+COUNTIFS($B$2:$B385,"CSF"))-1,96)/12))&amp;(MOD((COUNTIFS($B$2:$B385,"SER")+COUNTIFS($B$2:$B385,"PLH")+COUNTIFS($B$2:$B385,"CSF"))-1,12)+1),"N/A"),"")</f>
        <v/>
      </c>
      <c r="I385" s="6" t="str">
        <f>IF(AND($A385&lt;&gt;"",$B385&lt;&gt;"",$C385&lt;&gt;"",$D385&lt;&gt;""),IF(OR($B385="SER",$B385="PLH"),"Control MAX Planck Plate "&amp;(INT(((COUNTIFS($B$2:$B385,"SER")+COUNTIFS($B$2:$B385,"PLH"))-1)/96)+1)&amp;": "&amp;CHAR(65+INT(MOD((COUNTIFS($B$2:$B385,"SER")+COUNTIFS($B$2:$B385,"PLH"))-1,96)/12))&amp;(MOD((COUNTIFS($B$2:$B385,"SER")+COUNTIFS($B$2:$B385,"PLH"))-1,12)+1),"N/A"),"")</f>
        <v/>
      </c>
      <c r="J385" s="6" t="str">
        <f>IF(AND($A385&lt;&gt;"",$B385&lt;&gt;"",$C385&lt;&gt;"",$D385&lt;&gt;""),IF($B385="WB","Control WB Box "&amp;(INT((COUNTIFS($B$2:$B385,"WB")-1)/81)+1)&amp;": "&amp;CHAR(65+INT(MOD(COUNTIFS($B$2:$B385,"WB")-1,81)/9))&amp;(MOD(COUNTIFS($B$2:$B385,"WB")-1,9)+1),"N/A"),"")</f>
        <v/>
      </c>
      <c r="K385" s="3" t="str">
        <f t="shared" si="109"/>
        <v/>
      </c>
      <c r="L385" s="2"/>
      <c r="M385" s="2"/>
      <c r="N385" s="2"/>
      <c r="O385" s="7" t="str">
        <f t="shared" si="110"/>
        <v/>
      </c>
      <c r="P385" s="7" t="str">
        <f t="shared" si="111"/>
        <v/>
      </c>
      <c r="Q385" s="7" t="str">
        <f t="shared" si="112"/>
        <v/>
      </c>
      <c r="R385" s="7" t="str">
        <f t="shared" si="113"/>
        <v/>
      </c>
      <c r="S385" s="7" t="str">
        <f t="shared" si="114"/>
        <v/>
      </c>
      <c r="T385" s="7" t="str">
        <f t="shared" si="115"/>
        <v/>
      </c>
      <c r="U385" s="7" t="str">
        <f t="shared" si="116"/>
        <v/>
      </c>
      <c r="V385" s="7" t="str">
        <f t="shared" si="117"/>
        <v/>
      </c>
      <c r="W385" s="7" t="str">
        <f t="shared" si="118"/>
        <v/>
      </c>
      <c r="X385" s="7" t="str">
        <f t="shared" si="119"/>
        <v/>
      </c>
      <c r="Y385">
        <f t="shared" si="120"/>
        <v>0</v>
      </c>
      <c r="Z385" t="str">
        <f t="shared" si="121"/>
        <v/>
      </c>
      <c r="AA385" t="str">
        <f t="shared" si="122"/>
        <v/>
      </c>
      <c r="AB385" t="str">
        <f t="shared" si="123"/>
        <v/>
      </c>
      <c r="AC385" t="str">
        <f t="shared" si="124"/>
        <v/>
      </c>
      <c r="AD385">
        <f t="shared" si="125"/>
        <v>0</v>
      </c>
    </row>
    <row r="386" spans="1:30" ht="15" customHeight="1" x14ac:dyDescent="0.35">
      <c r="A386" s="2"/>
      <c r="B386" s="3"/>
      <c r="C386" s="4"/>
      <c r="D386" s="5"/>
      <c r="E386" s="11" t="str">
        <f t="shared" ca="1" si="108"/>
        <v/>
      </c>
      <c r="F386" s="5"/>
      <c r="G386" s="6" t="str">
        <f>IF(AND($A386&lt;&gt;"",$B386&lt;&gt;"",$C386&lt;&gt;"",$D386&lt;&gt;""),IF(OR($B386="SER",$B386="PLH",$B386="CSF"),"Control CDI Plate "&amp;(INT(((COUNTIFS($B$2:$B386,"SER")+COUNTIFS($B$2:$B386,"PLH")+COUNTIFS($B$2:$B386,"CSF"))-1)/96)+1)&amp;": "&amp;CHAR(65+INT(MOD((COUNTIFS($B$2:$B386,"SER")+COUNTIFS($B$2:$B386,"PLH")+COUNTIFS($B$2:$B386,"CSF"))-1,96)/12))&amp;(MOD((COUNTIFS($B$2:$B386,"SER")+COUNTIFS($B$2:$B386,"PLH")+COUNTIFS($B$2:$B386,"CSF"))-1,12)+1),"N/A"),"")</f>
        <v/>
      </c>
      <c r="H386" s="6" t="str">
        <f>IF(AND($A386&lt;&gt;"",$B386&lt;&gt;"",$C386&lt;&gt;"",$D386&lt;&gt;""),IF(OR($B386="SER",$B386="PLH",$B386="CSF"),"Control NIH Plate "&amp;(INT(((COUNTIFS($B$2:$B386,"SER")+COUNTIFS($B$2:$B386,"PLH")+COUNTIFS($B$2:$B386,"CSF"))-1)/96)+1)&amp;": "&amp;CHAR(65+INT(MOD((COUNTIFS($B$2:$B386,"SER")+COUNTIFS($B$2:$B386,"PLH")+COUNTIFS($B$2:$B386,"CSF"))-1,96)/12))&amp;(MOD((COUNTIFS($B$2:$B386,"SER")+COUNTIFS($B$2:$B386,"PLH")+COUNTIFS($B$2:$B386,"CSF"))-1,12)+1),"N/A"),"")</f>
        <v/>
      </c>
      <c r="I386" s="6" t="str">
        <f>IF(AND($A386&lt;&gt;"",$B386&lt;&gt;"",$C386&lt;&gt;"",$D386&lt;&gt;""),IF(OR($B386="SER",$B386="PLH"),"Control MAX Planck Plate "&amp;(INT(((COUNTIFS($B$2:$B386,"SER")+COUNTIFS($B$2:$B386,"PLH"))-1)/96)+1)&amp;": "&amp;CHAR(65+INT(MOD((COUNTIFS($B$2:$B386,"SER")+COUNTIFS($B$2:$B386,"PLH"))-1,96)/12))&amp;(MOD((COUNTIFS($B$2:$B386,"SER")+COUNTIFS($B$2:$B386,"PLH"))-1,12)+1),"N/A"),"")</f>
        <v/>
      </c>
      <c r="J386" s="6" t="str">
        <f>IF(AND($A386&lt;&gt;"",$B386&lt;&gt;"",$C386&lt;&gt;"",$D386&lt;&gt;""),IF($B386="WB","Control WB Box "&amp;(INT((COUNTIFS($B$2:$B386,"WB")-1)/81)+1)&amp;": "&amp;CHAR(65+INT(MOD(COUNTIFS($B$2:$B386,"WB")-1,81)/9))&amp;(MOD(COUNTIFS($B$2:$B386,"WB")-1,9)+1),"N/A"),"")</f>
        <v/>
      </c>
      <c r="K386" s="3" t="str">
        <f t="shared" si="109"/>
        <v/>
      </c>
      <c r="L386" s="2"/>
      <c r="M386" s="2"/>
      <c r="N386" s="2"/>
      <c r="O386" s="7" t="str">
        <f t="shared" si="110"/>
        <v/>
      </c>
      <c r="P386" s="7" t="str">
        <f t="shared" si="111"/>
        <v/>
      </c>
      <c r="Q386" s="7" t="str">
        <f t="shared" si="112"/>
        <v/>
      </c>
      <c r="R386" s="7" t="str">
        <f t="shared" si="113"/>
        <v/>
      </c>
      <c r="S386" s="7" t="str">
        <f t="shared" si="114"/>
        <v/>
      </c>
      <c r="T386" s="7" t="str">
        <f t="shared" si="115"/>
        <v/>
      </c>
      <c r="U386" s="7" t="str">
        <f t="shared" si="116"/>
        <v/>
      </c>
      <c r="V386" s="7" t="str">
        <f t="shared" si="117"/>
        <v/>
      </c>
      <c r="W386" s="7" t="str">
        <f t="shared" si="118"/>
        <v/>
      </c>
      <c r="X386" s="7" t="str">
        <f t="shared" si="119"/>
        <v/>
      </c>
      <c r="Y386">
        <f t="shared" si="120"/>
        <v>0</v>
      </c>
      <c r="Z386" t="str">
        <f t="shared" si="121"/>
        <v/>
      </c>
      <c r="AA386" t="str">
        <f t="shared" si="122"/>
        <v/>
      </c>
      <c r="AB386" t="str">
        <f t="shared" si="123"/>
        <v/>
      </c>
      <c r="AC386" t="str">
        <f t="shared" si="124"/>
        <v/>
      </c>
      <c r="AD386">
        <f t="shared" si="125"/>
        <v>0</v>
      </c>
    </row>
    <row r="387" spans="1:30" ht="15" customHeight="1" x14ac:dyDescent="0.35">
      <c r="A387" s="2"/>
      <c r="B387" s="3"/>
      <c r="C387" s="4"/>
      <c r="D387" s="5"/>
      <c r="E387" s="11" t="str">
        <f t="shared" ca="1" si="108"/>
        <v/>
      </c>
      <c r="F387" s="5"/>
      <c r="G387" s="6" t="str">
        <f>IF(AND($A387&lt;&gt;"",$B387&lt;&gt;"",$C387&lt;&gt;"",$D387&lt;&gt;""),IF(OR($B387="SER",$B387="PLH",$B387="CSF"),"Control CDI Plate "&amp;(INT(((COUNTIFS($B$2:$B387,"SER")+COUNTIFS($B$2:$B387,"PLH")+COUNTIFS($B$2:$B387,"CSF"))-1)/96)+1)&amp;": "&amp;CHAR(65+INT(MOD((COUNTIFS($B$2:$B387,"SER")+COUNTIFS($B$2:$B387,"PLH")+COUNTIFS($B$2:$B387,"CSF"))-1,96)/12))&amp;(MOD((COUNTIFS($B$2:$B387,"SER")+COUNTIFS($B$2:$B387,"PLH")+COUNTIFS($B$2:$B387,"CSF"))-1,12)+1),"N/A"),"")</f>
        <v/>
      </c>
      <c r="H387" s="6" t="str">
        <f>IF(AND($A387&lt;&gt;"",$B387&lt;&gt;"",$C387&lt;&gt;"",$D387&lt;&gt;""),IF(OR($B387="SER",$B387="PLH",$B387="CSF"),"Control NIH Plate "&amp;(INT(((COUNTIFS($B$2:$B387,"SER")+COUNTIFS($B$2:$B387,"PLH")+COUNTIFS($B$2:$B387,"CSF"))-1)/96)+1)&amp;": "&amp;CHAR(65+INT(MOD((COUNTIFS($B$2:$B387,"SER")+COUNTIFS($B$2:$B387,"PLH")+COUNTIFS($B$2:$B387,"CSF"))-1,96)/12))&amp;(MOD((COUNTIFS($B$2:$B387,"SER")+COUNTIFS($B$2:$B387,"PLH")+COUNTIFS($B$2:$B387,"CSF"))-1,12)+1),"N/A"),"")</f>
        <v/>
      </c>
      <c r="I387" s="6" t="str">
        <f>IF(AND($A387&lt;&gt;"",$B387&lt;&gt;"",$C387&lt;&gt;"",$D387&lt;&gt;""),IF(OR($B387="SER",$B387="PLH"),"Control MAX Planck Plate "&amp;(INT(((COUNTIFS($B$2:$B387,"SER")+COUNTIFS($B$2:$B387,"PLH"))-1)/96)+1)&amp;": "&amp;CHAR(65+INT(MOD((COUNTIFS($B$2:$B387,"SER")+COUNTIFS($B$2:$B387,"PLH"))-1,96)/12))&amp;(MOD((COUNTIFS($B$2:$B387,"SER")+COUNTIFS($B$2:$B387,"PLH"))-1,12)+1),"N/A"),"")</f>
        <v/>
      </c>
      <c r="J387" s="6" t="str">
        <f>IF(AND($A387&lt;&gt;"",$B387&lt;&gt;"",$C387&lt;&gt;"",$D387&lt;&gt;""),IF($B387="WB","Control WB Box "&amp;(INT((COUNTIFS($B$2:$B387,"WB")-1)/81)+1)&amp;": "&amp;CHAR(65+INT(MOD(COUNTIFS($B$2:$B387,"WB")-1,81)/9))&amp;(MOD(COUNTIFS($B$2:$B387,"WB")-1,9)+1),"N/A"),"")</f>
        <v/>
      </c>
      <c r="K387" s="3" t="str">
        <f t="shared" si="109"/>
        <v/>
      </c>
      <c r="L387" s="2"/>
      <c r="M387" s="2"/>
      <c r="N387" s="2"/>
      <c r="O387" s="7" t="str">
        <f t="shared" si="110"/>
        <v/>
      </c>
      <c r="P387" s="7" t="str">
        <f t="shared" si="111"/>
        <v/>
      </c>
      <c r="Q387" s="7" t="str">
        <f t="shared" si="112"/>
        <v/>
      </c>
      <c r="R387" s="7" t="str">
        <f t="shared" si="113"/>
        <v/>
      </c>
      <c r="S387" s="7" t="str">
        <f t="shared" si="114"/>
        <v/>
      </c>
      <c r="T387" s="7" t="str">
        <f t="shared" si="115"/>
        <v/>
      </c>
      <c r="U387" s="7" t="str">
        <f t="shared" si="116"/>
        <v/>
      </c>
      <c r="V387" s="7" t="str">
        <f t="shared" si="117"/>
        <v/>
      </c>
      <c r="W387" s="7" t="str">
        <f t="shared" si="118"/>
        <v/>
      </c>
      <c r="X387" s="7" t="str">
        <f t="shared" si="119"/>
        <v/>
      </c>
      <c r="Y387">
        <f t="shared" si="120"/>
        <v>0</v>
      </c>
      <c r="Z387" t="str">
        <f t="shared" si="121"/>
        <v/>
      </c>
      <c r="AA387" t="str">
        <f t="shared" si="122"/>
        <v/>
      </c>
      <c r="AB387" t="str">
        <f t="shared" si="123"/>
        <v/>
      </c>
      <c r="AC387" t="str">
        <f t="shared" si="124"/>
        <v/>
      </c>
      <c r="AD387">
        <f t="shared" si="125"/>
        <v>0</v>
      </c>
    </row>
    <row r="388" spans="1:30" ht="15" customHeight="1" x14ac:dyDescent="0.35">
      <c r="A388" s="2"/>
      <c r="B388" s="3"/>
      <c r="C388" s="4"/>
      <c r="D388" s="5"/>
      <c r="E388" s="11" t="str">
        <f t="shared" ca="1" si="108"/>
        <v/>
      </c>
      <c r="F388" s="5"/>
      <c r="G388" s="6" t="str">
        <f>IF(AND($A388&lt;&gt;"",$B388&lt;&gt;"",$C388&lt;&gt;"",$D388&lt;&gt;""),IF(OR($B388="SER",$B388="PLH",$B388="CSF"),"Control CDI Plate "&amp;(INT(((COUNTIFS($B$2:$B388,"SER")+COUNTIFS($B$2:$B388,"PLH")+COUNTIFS($B$2:$B388,"CSF"))-1)/96)+1)&amp;": "&amp;CHAR(65+INT(MOD((COUNTIFS($B$2:$B388,"SER")+COUNTIFS($B$2:$B388,"PLH")+COUNTIFS($B$2:$B388,"CSF"))-1,96)/12))&amp;(MOD((COUNTIFS($B$2:$B388,"SER")+COUNTIFS($B$2:$B388,"PLH")+COUNTIFS($B$2:$B388,"CSF"))-1,12)+1),"N/A"),"")</f>
        <v/>
      </c>
      <c r="H388" s="6" t="str">
        <f>IF(AND($A388&lt;&gt;"",$B388&lt;&gt;"",$C388&lt;&gt;"",$D388&lt;&gt;""),IF(OR($B388="SER",$B388="PLH",$B388="CSF"),"Control NIH Plate "&amp;(INT(((COUNTIFS($B$2:$B388,"SER")+COUNTIFS($B$2:$B388,"PLH")+COUNTIFS($B$2:$B388,"CSF"))-1)/96)+1)&amp;": "&amp;CHAR(65+INT(MOD((COUNTIFS($B$2:$B388,"SER")+COUNTIFS($B$2:$B388,"PLH")+COUNTIFS($B$2:$B388,"CSF"))-1,96)/12))&amp;(MOD((COUNTIFS($B$2:$B388,"SER")+COUNTIFS($B$2:$B388,"PLH")+COUNTIFS($B$2:$B388,"CSF"))-1,12)+1),"N/A"),"")</f>
        <v/>
      </c>
      <c r="I388" s="6" t="str">
        <f>IF(AND($A388&lt;&gt;"",$B388&lt;&gt;"",$C388&lt;&gt;"",$D388&lt;&gt;""),IF(OR($B388="SER",$B388="PLH"),"Control MAX Planck Plate "&amp;(INT(((COUNTIFS($B$2:$B388,"SER")+COUNTIFS($B$2:$B388,"PLH"))-1)/96)+1)&amp;": "&amp;CHAR(65+INT(MOD((COUNTIFS($B$2:$B388,"SER")+COUNTIFS($B$2:$B388,"PLH"))-1,96)/12))&amp;(MOD((COUNTIFS($B$2:$B388,"SER")+COUNTIFS($B$2:$B388,"PLH"))-1,12)+1),"N/A"),"")</f>
        <v/>
      </c>
      <c r="J388" s="6" t="str">
        <f>IF(AND($A388&lt;&gt;"",$B388&lt;&gt;"",$C388&lt;&gt;"",$D388&lt;&gt;""),IF($B388="WB","Control WB Box "&amp;(INT((COUNTIFS($B$2:$B388,"WB")-1)/81)+1)&amp;": "&amp;CHAR(65+INT(MOD(COUNTIFS($B$2:$B388,"WB")-1,81)/9))&amp;(MOD(COUNTIFS($B$2:$B388,"WB")-1,9)+1),"N/A"),"")</f>
        <v/>
      </c>
      <c r="K388" s="3" t="str">
        <f t="shared" si="109"/>
        <v/>
      </c>
      <c r="L388" s="2"/>
      <c r="M388" s="2"/>
      <c r="N388" s="2"/>
      <c r="O388" s="7" t="str">
        <f t="shared" si="110"/>
        <v/>
      </c>
      <c r="P388" s="7" t="str">
        <f t="shared" si="111"/>
        <v/>
      </c>
      <c r="Q388" s="7" t="str">
        <f t="shared" si="112"/>
        <v/>
      </c>
      <c r="R388" s="7" t="str">
        <f t="shared" si="113"/>
        <v/>
      </c>
      <c r="S388" s="7" t="str">
        <f t="shared" si="114"/>
        <v/>
      </c>
      <c r="T388" s="7" t="str">
        <f t="shared" si="115"/>
        <v/>
      </c>
      <c r="U388" s="7" t="str">
        <f t="shared" si="116"/>
        <v/>
      </c>
      <c r="V388" s="7" t="str">
        <f t="shared" si="117"/>
        <v/>
      </c>
      <c r="W388" s="7" t="str">
        <f t="shared" si="118"/>
        <v/>
      </c>
      <c r="X388" s="7" t="str">
        <f t="shared" si="119"/>
        <v/>
      </c>
      <c r="Y388">
        <f t="shared" si="120"/>
        <v>0</v>
      </c>
      <c r="Z388" t="str">
        <f t="shared" si="121"/>
        <v/>
      </c>
      <c r="AA388" t="str">
        <f t="shared" si="122"/>
        <v/>
      </c>
      <c r="AB388" t="str">
        <f t="shared" si="123"/>
        <v/>
      </c>
      <c r="AC388" t="str">
        <f t="shared" si="124"/>
        <v/>
      </c>
      <c r="AD388">
        <f t="shared" si="125"/>
        <v>0</v>
      </c>
    </row>
    <row r="389" spans="1:30" ht="15" customHeight="1" x14ac:dyDescent="0.35">
      <c r="A389" s="2"/>
      <c r="B389" s="3"/>
      <c r="C389" s="4"/>
      <c r="D389" s="5"/>
      <c r="E389" s="11" t="str">
        <f t="shared" ca="1" si="108"/>
        <v/>
      </c>
      <c r="F389" s="5"/>
      <c r="G389" s="6" t="str">
        <f>IF(AND($A389&lt;&gt;"",$B389&lt;&gt;"",$C389&lt;&gt;"",$D389&lt;&gt;""),IF(OR($B389="SER",$B389="PLH",$B389="CSF"),"Control CDI Plate "&amp;(INT(((COUNTIFS($B$2:$B389,"SER")+COUNTIFS($B$2:$B389,"PLH")+COUNTIFS($B$2:$B389,"CSF"))-1)/96)+1)&amp;": "&amp;CHAR(65+INT(MOD((COUNTIFS($B$2:$B389,"SER")+COUNTIFS($B$2:$B389,"PLH")+COUNTIFS($B$2:$B389,"CSF"))-1,96)/12))&amp;(MOD((COUNTIFS($B$2:$B389,"SER")+COUNTIFS($B$2:$B389,"PLH")+COUNTIFS($B$2:$B389,"CSF"))-1,12)+1),"N/A"),"")</f>
        <v/>
      </c>
      <c r="H389" s="6" t="str">
        <f>IF(AND($A389&lt;&gt;"",$B389&lt;&gt;"",$C389&lt;&gt;"",$D389&lt;&gt;""),IF(OR($B389="SER",$B389="PLH",$B389="CSF"),"Control NIH Plate "&amp;(INT(((COUNTIFS($B$2:$B389,"SER")+COUNTIFS($B$2:$B389,"PLH")+COUNTIFS($B$2:$B389,"CSF"))-1)/96)+1)&amp;": "&amp;CHAR(65+INT(MOD((COUNTIFS($B$2:$B389,"SER")+COUNTIFS($B$2:$B389,"PLH")+COUNTIFS($B$2:$B389,"CSF"))-1,96)/12))&amp;(MOD((COUNTIFS($B$2:$B389,"SER")+COUNTIFS($B$2:$B389,"PLH")+COUNTIFS($B$2:$B389,"CSF"))-1,12)+1),"N/A"),"")</f>
        <v/>
      </c>
      <c r="I389" s="6" t="str">
        <f>IF(AND($A389&lt;&gt;"",$B389&lt;&gt;"",$C389&lt;&gt;"",$D389&lt;&gt;""),IF(OR($B389="SER",$B389="PLH"),"Control MAX Planck Plate "&amp;(INT(((COUNTIFS($B$2:$B389,"SER")+COUNTIFS($B$2:$B389,"PLH"))-1)/96)+1)&amp;": "&amp;CHAR(65+INT(MOD((COUNTIFS($B$2:$B389,"SER")+COUNTIFS($B$2:$B389,"PLH"))-1,96)/12))&amp;(MOD((COUNTIFS($B$2:$B389,"SER")+COUNTIFS($B$2:$B389,"PLH"))-1,12)+1),"N/A"),"")</f>
        <v/>
      </c>
      <c r="J389" s="6" t="str">
        <f>IF(AND($A389&lt;&gt;"",$B389&lt;&gt;"",$C389&lt;&gt;"",$D389&lt;&gt;""),IF($B389="WB","Control WB Box "&amp;(INT((COUNTIFS($B$2:$B389,"WB")-1)/81)+1)&amp;": "&amp;CHAR(65+INT(MOD(COUNTIFS($B$2:$B389,"WB")-1,81)/9))&amp;(MOD(COUNTIFS($B$2:$B389,"WB")-1,9)+1),"N/A"),"")</f>
        <v/>
      </c>
      <c r="K389" s="3" t="str">
        <f t="shared" si="109"/>
        <v/>
      </c>
      <c r="L389" s="2"/>
      <c r="M389" s="2"/>
      <c r="N389" s="2"/>
      <c r="O389" s="7" t="str">
        <f t="shared" si="110"/>
        <v/>
      </c>
      <c r="P389" s="7" t="str">
        <f t="shared" si="111"/>
        <v/>
      </c>
      <c r="Q389" s="7" t="str">
        <f t="shared" si="112"/>
        <v/>
      </c>
      <c r="R389" s="7" t="str">
        <f t="shared" si="113"/>
        <v/>
      </c>
      <c r="S389" s="7" t="str">
        <f t="shared" si="114"/>
        <v/>
      </c>
      <c r="T389" s="7" t="str">
        <f t="shared" si="115"/>
        <v/>
      </c>
      <c r="U389" s="7" t="str">
        <f t="shared" si="116"/>
        <v/>
      </c>
      <c r="V389" s="7" t="str">
        <f t="shared" si="117"/>
        <v/>
      </c>
      <c r="W389" s="7" t="str">
        <f t="shared" si="118"/>
        <v/>
      </c>
      <c r="X389" s="7" t="str">
        <f t="shared" si="119"/>
        <v/>
      </c>
      <c r="Y389">
        <f t="shared" si="120"/>
        <v>0</v>
      </c>
      <c r="Z389" t="str">
        <f t="shared" si="121"/>
        <v/>
      </c>
      <c r="AA389" t="str">
        <f t="shared" si="122"/>
        <v/>
      </c>
      <c r="AB389" t="str">
        <f t="shared" si="123"/>
        <v/>
      </c>
      <c r="AC389" t="str">
        <f t="shared" si="124"/>
        <v/>
      </c>
      <c r="AD389">
        <f t="shared" si="125"/>
        <v>0</v>
      </c>
    </row>
    <row r="390" spans="1:30" ht="15" customHeight="1" x14ac:dyDescent="0.35">
      <c r="A390" s="2"/>
      <c r="B390" s="3"/>
      <c r="C390" s="4"/>
      <c r="D390" s="5"/>
      <c r="E390" s="11" t="str">
        <f t="shared" ca="1" si="108"/>
        <v/>
      </c>
      <c r="F390" s="5"/>
      <c r="G390" s="6" t="str">
        <f>IF(AND($A390&lt;&gt;"",$B390&lt;&gt;"",$C390&lt;&gt;"",$D390&lt;&gt;""),IF(OR($B390="SER",$B390="PLH",$B390="CSF"),"Control CDI Plate "&amp;(INT(((COUNTIFS($B$2:$B390,"SER")+COUNTIFS($B$2:$B390,"PLH")+COUNTIFS($B$2:$B390,"CSF"))-1)/96)+1)&amp;": "&amp;CHAR(65+INT(MOD((COUNTIFS($B$2:$B390,"SER")+COUNTIFS($B$2:$B390,"PLH")+COUNTIFS($B$2:$B390,"CSF"))-1,96)/12))&amp;(MOD((COUNTIFS($B$2:$B390,"SER")+COUNTIFS($B$2:$B390,"PLH")+COUNTIFS($B$2:$B390,"CSF"))-1,12)+1),"N/A"),"")</f>
        <v/>
      </c>
      <c r="H390" s="6" t="str">
        <f>IF(AND($A390&lt;&gt;"",$B390&lt;&gt;"",$C390&lt;&gt;"",$D390&lt;&gt;""),IF(OR($B390="SER",$B390="PLH",$B390="CSF"),"Control NIH Plate "&amp;(INT(((COUNTIFS($B$2:$B390,"SER")+COUNTIFS($B$2:$B390,"PLH")+COUNTIFS($B$2:$B390,"CSF"))-1)/96)+1)&amp;": "&amp;CHAR(65+INT(MOD((COUNTIFS($B$2:$B390,"SER")+COUNTIFS($B$2:$B390,"PLH")+COUNTIFS($B$2:$B390,"CSF"))-1,96)/12))&amp;(MOD((COUNTIFS($B$2:$B390,"SER")+COUNTIFS($B$2:$B390,"PLH")+COUNTIFS($B$2:$B390,"CSF"))-1,12)+1),"N/A"),"")</f>
        <v/>
      </c>
      <c r="I390" s="6" t="str">
        <f>IF(AND($A390&lt;&gt;"",$B390&lt;&gt;"",$C390&lt;&gt;"",$D390&lt;&gt;""),IF(OR($B390="SER",$B390="PLH"),"Control MAX Planck Plate "&amp;(INT(((COUNTIFS($B$2:$B390,"SER")+COUNTIFS($B$2:$B390,"PLH"))-1)/96)+1)&amp;": "&amp;CHAR(65+INT(MOD((COUNTIFS($B$2:$B390,"SER")+COUNTIFS($B$2:$B390,"PLH"))-1,96)/12))&amp;(MOD((COUNTIFS($B$2:$B390,"SER")+COUNTIFS($B$2:$B390,"PLH"))-1,12)+1),"N/A"),"")</f>
        <v/>
      </c>
      <c r="J390" s="6" t="str">
        <f>IF(AND($A390&lt;&gt;"",$B390&lt;&gt;"",$C390&lt;&gt;"",$D390&lt;&gt;""),IF($B390="WB","Control WB Box "&amp;(INT((COUNTIFS($B$2:$B390,"WB")-1)/81)+1)&amp;": "&amp;CHAR(65+INT(MOD(COUNTIFS($B$2:$B390,"WB")-1,81)/9))&amp;(MOD(COUNTIFS($B$2:$B390,"WB")-1,9)+1),"N/A"),"")</f>
        <v/>
      </c>
      <c r="K390" s="3" t="str">
        <f t="shared" si="109"/>
        <v/>
      </c>
      <c r="L390" s="2"/>
      <c r="M390" s="2"/>
      <c r="N390" s="2"/>
      <c r="O390" s="7" t="str">
        <f t="shared" si="110"/>
        <v/>
      </c>
      <c r="P390" s="7" t="str">
        <f t="shared" si="111"/>
        <v/>
      </c>
      <c r="Q390" s="7" t="str">
        <f t="shared" si="112"/>
        <v/>
      </c>
      <c r="R390" s="7" t="str">
        <f t="shared" si="113"/>
        <v/>
      </c>
      <c r="S390" s="7" t="str">
        <f t="shared" si="114"/>
        <v/>
      </c>
      <c r="T390" s="7" t="str">
        <f t="shared" si="115"/>
        <v/>
      </c>
      <c r="U390" s="7" t="str">
        <f t="shared" si="116"/>
        <v/>
      </c>
      <c r="V390" s="7" t="str">
        <f t="shared" si="117"/>
        <v/>
      </c>
      <c r="W390" s="7" t="str">
        <f t="shared" si="118"/>
        <v/>
      </c>
      <c r="X390" s="7" t="str">
        <f t="shared" si="119"/>
        <v/>
      </c>
      <c r="Y390">
        <f t="shared" si="120"/>
        <v>0</v>
      </c>
      <c r="Z390" t="str">
        <f t="shared" si="121"/>
        <v/>
      </c>
      <c r="AA390" t="str">
        <f t="shared" si="122"/>
        <v/>
      </c>
      <c r="AB390" t="str">
        <f t="shared" si="123"/>
        <v/>
      </c>
      <c r="AC390" t="str">
        <f t="shared" si="124"/>
        <v/>
      </c>
      <c r="AD390">
        <f t="shared" si="125"/>
        <v>0</v>
      </c>
    </row>
    <row r="391" spans="1:30" ht="15" customHeight="1" x14ac:dyDescent="0.35">
      <c r="A391" s="2"/>
      <c r="B391" s="3"/>
      <c r="C391" s="4"/>
      <c r="D391" s="5"/>
      <c r="E391" s="11" t="str">
        <f t="shared" ca="1" si="108"/>
        <v/>
      </c>
      <c r="F391" s="5"/>
      <c r="G391" s="6" t="str">
        <f>IF(AND($A391&lt;&gt;"",$B391&lt;&gt;"",$C391&lt;&gt;"",$D391&lt;&gt;""),IF(OR($B391="SER",$B391="PLH",$B391="CSF"),"Control CDI Plate "&amp;(INT(((COUNTIFS($B$2:$B391,"SER")+COUNTIFS($B$2:$B391,"PLH")+COUNTIFS($B$2:$B391,"CSF"))-1)/96)+1)&amp;": "&amp;CHAR(65+INT(MOD((COUNTIFS($B$2:$B391,"SER")+COUNTIFS($B$2:$B391,"PLH")+COUNTIFS($B$2:$B391,"CSF"))-1,96)/12))&amp;(MOD((COUNTIFS($B$2:$B391,"SER")+COUNTIFS($B$2:$B391,"PLH")+COUNTIFS($B$2:$B391,"CSF"))-1,12)+1),"N/A"),"")</f>
        <v/>
      </c>
      <c r="H391" s="6" t="str">
        <f>IF(AND($A391&lt;&gt;"",$B391&lt;&gt;"",$C391&lt;&gt;"",$D391&lt;&gt;""),IF(OR($B391="SER",$B391="PLH",$B391="CSF"),"Control NIH Plate "&amp;(INT(((COUNTIFS($B$2:$B391,"SER")+COUNTIFS($B$2:$B391,"PLH")+COUNTIFS($B$2:$B391,"CSF"))-1)/96)+1)&amp;": "&amp;CHAR(65+INT(MOD((COUNTIFS($B$2:$B391,"SER")+COUNTIFS($B$2:$B391,"PLH")+COUNTIFS($B$2:$B391,"CSF"))-1,96)/12))&amp;(MOD((COUNTIFS($B$2:$B391,"SER")+COUNTIFS($B$2:$B391,"PLH")+COUNTIFS($B$2:$B391,"CSF"))-1,12)+1),"N/A"),"")</f>
        <v/>
      </c>
      <c r="I391" s="6" t="str">
        <f>IF(AND($A391&lt;&gt;"",$B391&lt;&gt;"",$C391&lt;&gt;"",$D391&lt;&gt;""),IF(OR($B391="SER",$B391="PLH"),"Control MAX Planck Plate "&amp;(INT(((COUNTIFS($B$2:$B391,"SER")+COUNTIFS($B$2:$B391,"PLH"))-1)/96)+1)&amp;": "&amp;CHAR(65+INT(MOD((COUNTIFS($B$2:$B391,"SER")+COUNTIFS($B$2:$B391,"PLH"))-1,96)/12))&amp;(MOD((COUNTIFS($B$2:$B391,"SER")+COUNTIFS($B$2:$B391,"PLH"))-1,12)+1),"N/A"),"")</f>
        <v/>
      </c>
      <c r="J391" s="6" t="str">
        <f>IF(AND($A391&lt;&gt;"",$B391&lt;&gt;"",$C391&lt;&gt;"",$D391&lt;&gt;""),IF($B391="WB","Control WB Box "&amp;(INT((COUNTIFS($B$2:$B391,"WB")-1)/81)+1)&amp;": "&amp;CHAR(65+INT(MOD(COUNTIFS($B$2:$B391,"WB")-1,81)/9))&amp;(MOD(COUNTIFS($B$2:$B391,"WB")-1,9)+1),"N/A"),"")</f>
        <v/>
      </c>
      <c r="K391" s="3" t="str">
        <f t="shared" si="109"/>
        <v/>
      </c>
      <c r="L391" s="2"/>
      <c r="M391" s="2"/>
      <c r="N391" s="2"/>
      <c r="O391" s="7" t="str">
        <f t="shared" si="110"/>
        <v/>
      </c>
      <c r="P391" s="7" t="str">
        <f t="shared" si="111"/>
        <v/>
      </c>
      <c r="Q391" s="7" t="str">
        <f t="shared" si="112"/>
        <v/>
      </c>
      <c r="R391" s="7" t="str">
        <f t="shared" si="113"/>
        <v/>
      </c>
      <c r="S391" s="7" t="str">
        <f t="shared" si="114"/>
        <v/>
      </c>
      <c r="T391" s="7" t="str">
        <f t="shared" si="115"/>
        <v/>
      </c>
      <c r="U391" s="7" t="str">
        <f t="shared" si="116"/>
        <v/>
      </c>
      <c r="V391" s="7" t="str">
        <f t="shared" si="117"/>
        <v/>
      </c>
      <c r="W391" s="7" t="str">
        <f t="shared" si="118"/>
        <v/>
      </c>
      <c r="X391" s="7" t="str">
        <f t="shared" si="119"/>
        <v/>
      </c>
      <c r="Y391">
        <f t="shared" si="120"/>
        <v>0</v>
      </c>
      <c r="Z391" t="str">
        <f t="shared" si="121"/>
        <v/>
      </c>
      <c r="AA391" t="str">
        <f t="shared" si="122"/>
        <v/>
      </c>
      <c r="AB391" t="str">
        <f t="shared" si="123"/>
        <v/>
      </c>
      <c r="AC391" t="str">
        <f t="shared" si="124"/>
        <v/>
      </c>
      <c r="AD391">
        <f t="shared" si="125"/>
        <v>0</v>
      </c>
    </row>
    <row r="392" spans="1:30" ht="15" customHeight="1" x14ac:dyDescent="0.35">
      <c r="A392" s="2"/>
      <c r="B392" s="3"/>
      <c r="C392" s="4"/>
      <c r="D392" s="5"/>
      <c r="E392" s="11" t="str">
        <f t="shared" ca="1" si="108"/>
        <v/>
      </c>
      <c r="F392" s="5"/>
      <c r="G392" s="6" t="str">
        <f>IF(AND($A392&lt;&gt;"",$B392&lt;&gt;"",$C392&lt;&gt;"",$D392&lt;&gt;""),IF(OR($B392="SER",$B392="PLH",$B392="CSF"),"Control CDI Plate "&amp;(INT(((COUNTIFS($B$2:$B392,"SER")+COUNTIFS($B$2:$B392,"PLH")+COUNTIFS($B$2:$B392,"CSF"))-1)/96)+1)&amp;": "&amp;CHAR(65+INT(MOD((COUNTIFS($B$2:$B392,"SER")+COUNTIFS($B$2:$B392,"PLH")+COUNTIFS($B$2:$B392,"CSF"))-1,96)/12))&amp;(MOD((COUNTIFS($B$2:$B392,"SER")+COUNTIFS($B$2:$B392,"PLH")+COUNTIFS($B$2:$B392,"CSF"))-1,12)+1),"N/A"),"")</f>
        <v/>
      </c>
      <c r="H392" s="6" t="str">
        <f>IF(AND($A392&lt;&gt;"",$B392&lt;&gt;"",$C392&lt;&gt;"",$D392&lt;&gt;""),IF(OR($B392="SER",$B392="PLH",$B392="CSF"),"Control NIH Plate "&amp;(INT(((COUNTIFS($B$2:$B392,"SER")+COUNTIFS($B$2:$B392,"PLH")+COUNTIFS($B$2:$B392,"CSF"))-1)/96)+1)&amp;": "&amp;CHAR(65+INT(MOD((COUNTIFS($B$2:$B392,"SER")+COUNTIFS($B$2:$B392,"PLH")+COUNTIFS($B$2:$B392,"CSF"))-1,96)/12))&amp;(MOD((COUNTIFS($B$2:$B392,"SER")+COUNTIFS($B$2:$B392,"PLH")+COUNTIFS($B$2:$B392,"CSF"))-1,12)+1),"N/A"),"")</f>
        <v/>
      </c>
      <c r="I392" s="6" t="str">
        <f>IF(AND($A392&lt;&gt;"",$B392&lt;&gt;"",$C392&lt;&gt;"",$D392&lt;&gt;""),IF(OR($B392="SER",$B392="PLH"),"Control MAX Planck Plate "&amp;(INT(((COUNTIFS($B$2:$B392,"SER")+COUNTIFS($B$2:$B392,"PLH"))-1)/96)+1)&amp;": "&amp;CHAR(65+INT(MOD((COUNTIFS($B$2:$B392,"SER")+COUNTIFS($B$2:$B392,"PLH"))-1,96)/12))&amp;(MOD((COUNTIFS($B$2:$B392,"SER")+COUNTIFS($B$2:$B392,"PLH"))-1,12)+1),"N/A"),"")</f>
        <v/>
      </c>
      <c r="J392" s="6" t="str">
        <f>IF(AND($A392&lt;&gt;"",$B392&lt;&gt;"",$C392&lt;&gt;"",$D392&lt;&gt;""),IF($B392="WB","Control WB Box "&amp;(INT((COUNTIFS($B$2:$B392,"WB")-1)/81)+1)&amp;": "&amp;CHAR(65+INT(MOD(COUNTIFS($B$2:$B392,"WB")-1,81)/9))&amp;(MOD(COUNTIFS($B$2:$B392,"WB")-1,9)+1),"N/A"),"")</f>
        <v/>
      </c>
      <c r="K392" s="3" t="str">
        <f t="shared" si="109"/>
        <v/>
      </c>
      <c r="L392" s="2"/>
      <c r="M392" s="2"/>
      <c r="N392" s="2"/>
      <c r="O392" s="7" t="str">
        <f t="shared" si="110"/>
        <v/>
      </c>
      <c r="P392" s="7" t="str">
        <f t="shared" si="111"/>
        <v/>
      </c>
      <c r="Q392" s="7" t="str">
        <f t="shared" si="112"/>
        <v/>
      </c>
      <c r="R392" s="7" t="str">
        <f t="shared" si="113"/>
        <v/>
      </c>
      <c r="S392" s="7" t="str">
        <f t="shared" si="114"/>
        <v/>
      </c>
      <c r="T392" s="7" t="str">
        <f t="shared" si="115"/>
        <v/>
      </c>
      <c r="U392" s="7" t="str">
        <f t="shared" si="116"/>
        <v/>
      </c>
      <c r="V392" s="7" t="str">
        <f t="shared" si="117"/>
        <v/>
      </c>
      <c r="W392" s="7" t="str">
        <f t="shared" si="118"/>
        <v/>
      </c>
      <c r="X392" s="7" t="str">
        <f t="shared" si="119"/>
        <v/>
      </c>
      <c r="Y392">
        <f t="shared" si="120"/>
        <v>0</v>
      </c>
      <c r="Z392" t="str">
        <f t="shared" si="121"/>
        <v/>
      </c>
      <c r="AA392" t="str">
        <f t="shared" si="122"/>
        <v/>
      </c>
      <c r="AB392" t="str">
        <f t="shared" si="123"/>
        <v/>
      </c>
      <c r="AC392" t="str">
        <f t="shared" si="124"/>
        <v/>
      </c>
      <c r="AD392">
        <f t="shared" si="125"/>
        <v>0</v>
      </c>
    </row>
    <row r="393" spans="1:30" ht="15" customHeight="1" x14ac:dyDescent="0.35">
      <c r="A393" s="2"/>
      <c r="B393" s="3"/>
      <c r="C393" s="4"/>
      <c r="D393" s="5"/>
      <c r="E393" s="11" t="str">
        <f t="shared" ca="1" si="108"/>
        <v/>
      </c>
      <c r="F393" s="5"/>
      <c r="G393" s="6" t="str">
        <f>IF(AND($A393&lt;&gt;"",$B393&lt;&gt;"",$C393&lt;&gt;"",$D393&lt;&gt;""),IF(OR($B393="SER",$B393="PLH",$B393="CSF"),"Control CDI Plate "&amp;(INT(((COUNTIFS($B$2:$B393,"SER")+COUNTIFS($B$2:$B393,"PLH")+COUNTIFS($B$2:$B393,"CSF"))-1)/96)+1)&amp;": "&amp;CHAR(65+INT(MOD((COUNTIFS($B$2:$B393,"SER")+COUNTIFS($B$2:$B393,"PLH")+COUNTIFS($B$2:$B393,"CSF"))-1,96)/12))&amp;(MOD((COUNTIFS($B$2:$B393,"SER")+COUNTIFS($B$2:$B393,"PLH")+COUNTIFS($B$2:$B393,"CSF"))-1,12)+1),"N/A"),"")</f>
        <v/>
      </c>
      <c r="H393" s="6" t="str">
        <f>IF(AND($A393&lt;&gt;"",$B393&lt;&gt;"",$C393&lt;&gt;"",$D393&lt;&gt;""),IF(OR($B393="SER",$B393="PLH",$B393="CSF"),"Control NIH Plate "&amp;(INT(((COUNTIFS($B$2:$B393,"SER")+COUNTIFS($B$2:$B393,"PLH")+COUNTIFS($B$2:$B393,"CSF"))-1)/96)+1)&amp;": "&amp;CHAR(65+INT(MOD((COUNTIFS($B$2:$B393,"SER")+COUNTIFS($B$2:$B393,"PLH")+COUNTIFS($B$2:$B393,"CSF"))-1,96)/12))&amp;(MOD((COUNTIFS($B$2:$B393,"SER")+COUNTIFS($B$2:$B393,"PLH")+COUNTIFS($B$2:$B393,"CSF"))-1,12)+1),"N/A"),"")</f>
        <v/>
      </c>
      <c r="I393" s="6" t="str">
        <f>IF(AND($A393&lt;&gt;"",$B393&lt;&gt;"",$C393&lt;&gt;"",$D393&lt;&gt;""),IF(OR($B393="SER",$B393="PLH"),"Control MAX Planck Plate "&amp;(INT(((COUNTIFS($B$2:$B393,"SER")+COUNTIFS($B$2:$B393,"PLH"))-1)/96)+1)&amp;": "&amp;CHAR(65+INT(MOD((COUNTIFS($B$2:$B393,"SER")+COUNTIFS($B$2:$B393,"PLH"))-1,96)/12))&amp;(MOD((COUNTIFS($B$2:$B393,"SER")+COUNTIFS($B$2:$B393,"PLH"))-1,12)+1),"N/A"),"")</f>
        <v/>
      </c>
      <c r="J393" s="6" t="str">
        <f>IF(AND($A393&lt;&gt;"",$B393&lt;&gt;"",$C393&lt;&gt;"",$D393&lt;&gt;""),IF($B393="WB","Control WB Box "&amp;(INT((COUNTIFS($B$2:$B393,"WB")-1)/81)+1)&amp;": "&amp;CHAR(65+INT(MOD(COUNTIFS($B$2:$B393,"WB")-1,81)/9))&amp;(MOD(COUNTIFS($B$2:$B393,"WB")-1,9)+1),"N/A"),"")</f>
        <v/>
      </c>
      <c r="K393" s="3" t="str">
        <f t="shared" si="109"/>
        <v/>
      </c>
      <c r="L393" s="2"/>
      <c r="M393" s="2"/>
      <c r="N393" s="2"/>
      <c r="O393" s="7" t="str">
        <f t="shared" si="110"/>
        <v/>
      </c>
      <c r="P393" s="7" t="str">
        <f t="shared" si="111"/>
        <v/>
      </c>
      <c r="Q393" s="7" t="str">
        <f t="shared" si="112"/>
        <v/>
      </c>
      <c r="R393" s="7" t="str">
        <f t="shared" si="113"/>
        <v/>
      </c>
      <c r="S393" s="7" t="str">
        <f t="shared" si="114"/>
        <v/>
      </c>
      <c r="T393" s="7" t="str">
        <f t="shared" si="115"/>
        <v/>
      </c>
      <c r="U393" s="7" t="str">
        <f t="shared" si="116"/>
        <v/>
      </c>
      <c r="V393" s="7" t="str">
        <f t="shared" si="117"/>
        <v/>
      </c>
      <c r="W393" s="7" t="str">
        <f t="shared" si="118"/>
        <v/>
      </c>
      <c r="X393" s="7" t="str">
        <f t="shared" si="119"/>
        <v/>
      </c>
      <c r="Y393">
        <f t="shared" si="120"/>
        <v>0</v>
      </c>
      <c r="Z393" t="str">
        <f t="shared" si="121"/>
        <v/>
      </c>
      <c r="AA393" t="str">
        <f t="shared" si="122"/>
        <v/>
      </c>
      <c r="AB393" t="str">
        <f t="shared" si="123"/>
        <v/>
      </c>
      <c r="AC393" t="str">
        <f t="shared" si="124"/>
        <v/>
      </c>
      <c r="AD393">
        <f t="shared" si="125"/>
        <v>0</v>
      </c>
    </row>
    <row r="394" spans="1:30" ht="15" customHeight="1" x14ac:dyDescent="0.35">
      <c r="A394" s="2"/>
      <c r="B394" s="3"/>
      <c r="C394" s="4"/>
      <c r="D394" s="5"/>
      <c r="E394" s="11" t="str">
        <f t="shared" ca="1" si="108"/>
        <v/>
      </c>
      <c r="F394" s="5"/>
      <c r="G394" s="6" t="str">
        <f>IF(AND($A394&lt;&gt;"",$B394&lt;&gt;"",$C394&lt;&gt;"",$D394&lt;&gt;""),IF(OR($B394="SER",$B394="PLH",$B394="CSF"),"Control CDI Plate "&amp;(INT(((COUNTIFS($B$2:$B394,"SER")+COUNTIFS($B$2:$B394,"PLH")+COUNTIFS($B$2:$B394,"CSF"))-1)/96)+1)&amp;": "&amp;CHAR(65+INT(MOD((COUNTIFS($B$2:$B394,"SER")+COUNTIFS($B$2:$B394,"PLH")+COUNTIFS($B$2:$B394,"CSF"))-1,96)/12))&amp;(MOD((COUNTIFS($B$2:$B394,"SER")+COUNTIFS($B$2:$B394,"PLH")+COUNTIFS($B$2:$B394,"CSF"))-1,12)+1),"N/A"),"")</f>
        <v/>
      </c>
      <c r="H394" s="6" t="str">
        <f>IF(AND($A394&lt;&gt;"",$B394&lt;&gt;"",$C394&lt;&gt;"",$D394&lt;&gt;""),IF(OR($B394="SER",$B394="PLH",$B394="CSF"),"Control NIH Plate "&amp;(INT(((COUNTIFS($B$2:$B394,"SER")+COUNTIFS($B$2:$B394,"PLH")+COUNTIFS($B$2:$B394,"CSF"))-1)/96)+1)&amp;": "&amp;CHAR(65+INT(MOD((COUNTIFS($B$2:$B394,"SER")+COUNTIFS($B$2:$B394,"PLH")+COUNTIFS($B$2:$B394,"CSF"))-1,96)/12))&amp;(MOD((COUNTIFS($B$2:$B394,"SER")+COUNTIFS($B$2:$B394,"PLH")+COUNTIFS($B$2:$B394,"CSF"))-1,12)+1),"N/A"),"")</f>
        <v/>
      </c>
      <c r="I394" s="6" t="str">
        <f>IF(AND($A394&lt;&gt;"",$B394&lt;&gt;"",$C394&lt;&gt;"",$D394&lt;&gt;""),IF(OR($B394="SER",$B394="PLH"),"Control MAX Planck Plate "&amp;(INT(((COUNTIFS($B$2:$B394,"SER")+COUNTIFS($B$2:$B394,"PLH"))-1)/96)+1)&amp;": "&amp;CHAR(65+INT(MOD((COUNTIFS($B$2:$B394,"SER")+COUNTIFS($B$2:$B394,"PLH"))-1,96)/12))&amp;(MOD((COUNTIFS($B$2:$B394,"SER")+COUNTIFS($B$2:$B394,"PLH"))-1,12)+1),"N/A"),"")</f>
        <v/>
      </c>
      <c r="J394" s="6" t="str">
        <f>IF(AND($A394&lt;&gt;"",$B394&lt;&gt;"",$C394&lt;&gt;"",$D394&lt;&gt;""),IF($B394="WB","Control WB Box "&amp;(INT((COUNTIFS($B$2:$B394,"WB")-1)/81)+1)&amp;": "&amp;CHAR(65+INT(MOD(COUNTIFS($B$2:$B394,"WB")-1,81)/9))&amp;(MOD(COUNTIFS($B$2:$B394,"WB")-1,9)+1),"N/A"),"")</f>
        <v/>
      </c>
      <c r="K394" s="3" t="str">
        <f t="shared" si="109"/>
        <v/>
      </c>
      <c r="L394" s="2"/>
      <c r="M394" s="2"/>
      <c r="N394" s="2"/>
      <c r="O394" s="7" t="str">
        <f t="shared" si="110"/>
        <v/>
      </c>
      <c r="P394" s="7" t="str">
        <f t="shared" si="111"/>
        <v/>
      </c>
      <c r="Q394" s="7" t="str">
        <f t="shared" si="112"/>
        <v/>
      </c>
      <c r="R394" s="7" t="str">
        <f t="shared" si="113"/>
        <v/>
      </c>
      <c r="S394" s="7" t="str">
        <f t="shared" si="114"/>
        <v/>
      </c>
      <c r="T394" s="7" t="str">
        <f t="shared" si="115"/>
        <v/>
      </c>
      <c r="U394" s="7" t="str">
        <f t="shared" si="116"/>
        <v/>
      </c>
      <c r="V394" s="7" t="str">
        <f t="shared" si="117"/>
        <v/>
      </c>
      <c r="W394" s="7" t="str">
        <f t="shared" si="118"/>
        <v/>
      </c>
      <c r="X394" s="7" t="str">
        <f t="shared" si="119"/>
        <v/>
      </c>
      <c r="Y394">
        <f t="shared" si="120"/>
        <v>0</v>
      </c>
      <c r="Z394" t="str">
        <f t="shared" si="121"/>
        <v/>
      </c>
      <c r="AA394" t="str">
        <f t="shared" si="122"/>
        <v/>
      </c>
      <c r="AB394" t="str">
        <f t="shared" si="123"/>
        <v/>
      </c>
      <c r="AC394" t="str">
        <f t="shared" si="124"/>
        <v/>
      </c>
      <c r="AD394">
        <f t="shared" si="125"/>
        <v>0</v>
      </c>
    </row>
    <row r="395" spans="1:30" ht="15" customHeight="1" x14ac:dyDescent="0.35">
      <c r="A395" s="2"/>
      <c r="B395" s="3"/>
      <c r="C395" s="4"/>
      <c r="D395" s="5"/>
      <c r="E395" s="11" t="str">
        <f t="shared" ca="1" si="108"/>
        <v/>
      </c>
      <c r="F395" s="5"/>
      <c r="G395" s="6" t="str">
        <f>IF(AND($A395&lt;&gt;"",$B395&lt;&gt;"",$C395&lt;&gt;"",$D395&lt;&gt;""),IF(OR($B395="SER",$B395="PLH",$B395="CSF"),"Control CDI Plate "&amp;(INT(((COUNTIFS($B$2:$B395,"SER")+COUNTIFS($B$2:$B395,"PLH")+COUNTIFS($B$2:$B395,"CSF"))-1)/96)+1)&amp;": "&amp;CHAR(65+INT(MOD((COUNTIFS($B$2:$B395,"SER")+COUNTIFS($B$2:$B395,"PLH")+COUNTIFS($B$2:$B395,"CSF"))-1,96)/12))&amp;(MOD((COUNTIFS($B$2:$B395,"SER")+COUNTIFS($B$2:$B395,"PLH")+COUNTIFS($B$2:$B395,"CSF"))-1,12)+1),"N/A"),"")</f>
        <v/>
      </c>
      <c r="H395" s="6" t="str">
        <f>IF(AND($A395&lt;&gt;"",$B395&lt;&gt;"",$C395&lt;&gt;"",$D395&lt;&gt;""),IF(OR($B395="SER",$B395="PLH",$B395="CSF"),"Control NIH Plate "&amp;(INT(((COUNTIFS($B$2:$B395,"SER")+COUNTIFS($B$2:$B395,"PLH")+COUNTIFS($B$2:$B395,"CSF"))-1)/96)+1)&amp;": "&amp;CHAR(65+INT(MOD((COUNTIFS($B$2:$B395,"SER")+COUNTIFS($B$2:$B395,"PLH")+COUNTIFS($B$2:$B395,"CSF"))-1,96)/12))&amp;(MOD((COUNTIFS($B$2:$B395,"SER")+COUNTIFS($B$2:$B395,"PLH")+COUNTIFS($B$2:$B395,"CSF"))-1,12)+1),"N/A"),"")</f>
        <v/>
      </c>
      <c r="I395" s="6" t="str">
        <f>IF(AND($A395&lt;&gt;"",$B395&lt;&gt;"",$C395&lt;&gt;"",$D395&lt;&gt;""),IF(OR($B395="SER",$B395="PLH"),"Control MAX Planck Plate "&amp;(INT(((COUNTIFS($B$2:$B395,"SER")+COUNTIFS($B$2:$B395,"PLH"))-1)/96)+1)&amp;": "&amp;CHAR(65+INT(MOD((COUNTIFS($B$2:$B395,"SER")+COUNTIFS($B$2:$B395,"PLH"))-1,96)/12))&amp;(MOD((COUNTIFS($B$2:$B395,"SER")+COUNTIFS($B$2:$B395,"PLH"))-1,12)+1),"N/A"),"")</f>
        <v/>
      </c>
      <c r="J395" s="6" t="str">
        <f>IF(AND($A395&lt;&gt;"",$B395&lt;&gt;"",$C395&lt;&gt;"",$D395&lt;&gt;""),IF($B395="WB","Control WB Box "&amp;(INT((COUNTIFS($B$2:$B395,"WB")-1)/81)+1)&amp;": "&amp;CHAR(65+INT(MOD(COUNTIFS($B$2:$B395,"WB")-1,81)/9))&amp;(MOD(COUNTIFS($B$2:$B395,"WB")-1,9)+1),"N/A"),"")</f>
        <v/>
      </c>
      <c r="K395" s="3" t="str">
        <f t="shared" si="109"/>
        <v/>
      </c>
      <c r="L395" s="2"/>
      <c r="M395" s="2"/>
      <c r="N395" s="2"/>
      <c r="O395" s="7" t="str">
        <f t="shared" si="110"/>
        <v/>
      </c>
      <c r="P395" s="7" t="str">
        <f t="shared" si="111"/>
        <v/>
      </c>
      <c r="Q395" s="7" t="str">
        <f t="shared" si="112"/>
        <v/>
      </c>
      <c r="R395" s="7" t="str">
        <f t="shared" si="113"/>
        <v/>
      </c>
      <c r="S395" s="7" t="str">
        <f t="shared" si="114"/>
        <v/>
      </c>
      <c r="T395" s="7" t="str">
        <f t="shared" si="115"/>
        <v/>
      </c>
      <c r="U395" s="7" t="str">
        <f t="shared" si="116"/>
        <v/>
      </c>
      <c r="V395" s="7" t="str">
        <f t="shared" si="117"/>
        <v/>
      </c>
      <c r="W395" s="7" t="str">
        <f t="shared" si="118"/>
        <v/>
      </c>
      <c r="X395" s="7" t="str">
        <f t="shared" si="119"/>
        <v/>
      </c>
      <c r="Y395">
        <f t="shared" si="120"/>
        <v>0</v>
      </c>
      <c r="Z395" t="str">
        <f t="shared" si="121"/>
        <v/>
      </c>
      <c r="AA395" t="str">
        <f t="shared" si="122"/>
        <v/>
      </c>
      <c r="AB395" t="str">
        <f t="shared" si="123"/>
        <v/>
      </c>
      <c r="AC395" t="str">
        <f t="shared" si="124"/>
        <v/>
      </c>
      <c r="AD395">
        <f t="shared" si="125"/>
        <v>0</v>
      </c>
    </row>
    <row r="396" spans="1:30" ht="15" customHeight="1" x14ac:dyDescent="0.35">
      <c r="A396" s="2"/>
      <c r="B396" s="3"/>
      <c r="C396" s="4"/>
      <c r="D396" s="5"/>
      <c r="E396" s="11" t="str">
        <f t="shared" ca="1" si="108"/>
        <v/>
      </c>
      <c r="F396" s="5"/>
      <c r="G396" s="6" t="str">
        <f>IF(AND($A396&lt;&gt;"",$B396&lt;&gt;"",$C396&lt;&gt;"",$D396&lt;&gt;""),IF(OR($B396="SER",$B396="PLH",$B396="CSF"),"Control CDI Plate "&amp;(INT(((COUNTIFS($B$2:$B396,"SER")+COUNTIFS($B$2:$B396,"PLH")+COUNTIFS($B$2:$B396,"CSF"))-1)/96)+1)&amp;": "&amp;CHAR(65+INT(MOD((COUNTIFS($B$2:$B396,"SER")+COUNTIFS($B$2:$B396,"PLH")+COUNTIFS($B$2:$B396,"CSF"))-1,96)/12))&amp;(MOD((COUNTIFS($B$2:$B396,"SER")+COUNTIFS($B$2:$B396,"PLH")+COUNTIFS($B$2:$B396,"CSF"))-1,12)+1),"N/A"),"")</f>
        <v/>
      </c>
      <c r="H396" s="6" t="str">
        <f>IF(AND($A396&lt;&gt;"",$B396&lt;&gt;"",$C396&lt;&gt;"",$D396&lt;&gt;""),IF(OR($B396="SER",$B396="PLH",$B396="CSF"),"Control NIH Plate "&amp;(INT(((COUNTIFS($B$2:$B396,"SER")+COUNTIFS($B$2:$B396,"PLH")+COUNTIFS($B$2:$B396,"CSF"))-1)/96)+1)&amp;": "&amp;CHAR(65+INT(MOD((COUNTIFS($B$2:$B396,"SER")+COUNTIFS($B$2:$B396,"PLH")+COUNTIFS($B$2:$B396,"CSF"))-1,96)/12))&amp;(MOD((COUNTIFS($B$2:$B396,"SER")+COUNTIFS($B$2:$B396,"PLH")+COUNTIFS($B$2:$B396,"CSF"))-1,12)+1),"N/A"),"")</f>
        <v/>
      </c>
      <c r="I396" s="6" t="str">
        <f>IF(AND($A396&lt;&gt;"",$B396&lt;&gt;"",$C396&lt;&gt;"",$D396&lt;&gt;""),IF(OR($B396="SER",$B396="PLH"),"Control MAX Planck Plate "&amp;(INT(((COUNTIFS($B$2:$B396,"SER")+COUNTIFS($B$2:$B396,"PLH"))-1)/96)+1)&amp;": "&amp;CHAR(65+INT(MOD((COUNTIFS($B$2:$B396,"SER")+COUNTIFS($B$2:$B396,"PLH"))-1,96)/12))&amp;(MOD((COUNTIFS($B$2:$B396,"SER")+COUNTIFS($B$2:$B396,"PLH"))-1,12)+1),"N/A"),"")</f>
        <v/>
      </c>
      <c r="J396" s="6" t="str">
        <f>IF(AND($A396&lt;&gt;"",$B396&lt;&gt;"",$C396&lt;&gt;"",$D396&lt;&gt;""),IF($B396="WB","Control WB Box "&amp;(INT((COUNTIFS($B$2:$B396,"WB")-1)/81)+1)&amp;": "&amp;CHAR(65+INT(MOD(COUNTIFS($B$2:$B396,"WB")-1,81)/9))&amp;(MOD(COUNTIFS($B$2:$B396,"WB")-1,9)+1),"N/A"),"")</f>
        <v/>
      </c>
      <c r="K396" s="3" t="str">
        <f t="shared" si="109"/>
        <v/>
      </c>
      <c r="L396" s="2"/>
      <c r="M396" s="2"/>
      <c r="N396" s="2"/>
      <c r="O396" s="7" t="str">
        <f t="shared" si="110"/>
        <v/>
      </c>
      <c r="P396" s="7" t="str">
        <f t="shared" si="111"/>
        <v/>
      </c>
      <c r="Q396" s="7" t="str">
        <f t="shared" si="112"/>
        <v/>
      </c>
      <c r="R396" s="7" t="str">
        <f t="shared" si="113"/>
        <v/>
      </c>
      <c r="S396" s="7" t="str">
        <f t="shared" si="114"/>
        <v/>
      </c>
      <c r="T396" s="7" t="str">
        <f t="shared" si="115"/>
        <v/>
      </c>
      <c r="U396" s="7" t="str">
        <f t="shared" si="116"/>
        <v/>
      </c>
      <c r="V396" s="7" t="str">
        <f t="shared" si="117"/>
        <v/>
      </c>
      <c r="W396" s="7" t="str">
        <f t="shared" si="118"/>
        <v/>
      </c>
      <c r="X396" s="7" t="str">
        <f t="shared" si="119"/>
        <v/>
      </c>
      <c r="Y396">
        <f t="shared" si="120"/>
        <v>0</v>
      </c>
      <c r="Z396" t="str">
        <f t="shared" si="121"/>
        <v/>
      </c>
      <c r="AA396" t="str">
        <f t="shared" si="122"/>
        <v/>
      </c>
      <c r="AB396" t="str">
        <f t="shared" si="123"/>
        <v/>
      </c>
      <c r="AC396" t="str">
        <f t="shared" si="124"/>
        <v/>
      </c>
      <c r="AD396">
        <f t="shared" si="125"/>
        <v>0</v>
      </c>
    </row>
    <row r="397" spans="1:30" ht="15" customHeight="1" x14ac:dyDescent="0.35">
      <c r="A397" s="2"/>
      <c r="B397" s="3"/>
      <c r="C397" s="4"/>
      <c r="D397" s="5"/>
      <c r="E397" s="11" t="str">
        <f t="shared" ca="1" si="108"/>
        <v/>
      </c>
      <c r="F397" s="5"/>
      <c r="G397" s="6" t="str">
        <f>IF(AND($A397&lt;&gt;"",$B397&lt;&gt;"",$C397&lt;&gt;"",$D397&lt;&gt;""),IF(OR($B397="SER",$B397="PLH",$B397="CSF"),"Control CDI Plate "&amp;(INT(((COUNTIFS($B$2:$B397,"SER")+COUNTIFS($B$2:$B397,"PLH")+COUNTIFS($B$2:$B397,"CSF"))-1)/96)+1)&amp;": "&amp;CHAR(65+INT(MOD((COUNTIFS($B$2:$B397,"SER")+COUNTIFS($B$2:$B397,"PLH")+COUNTIFS($B$2:$B397,"CSF"))-1,96)/12))&amp;(MOD((COUNTIFS($B$2:$B397,"SER")+COUNTIFS($B$2:$B397,"PLH")+COUNTIFS($B$2:$B397,"CSF"))-1,12)+1),"N/A"),"")</f>
        <v/>
      </c>
      <c r="H397" s="6" t="str">
        <f>IF(AND($A397&lt;&gt;"",$B397&lt;&gt;"",$C397&lt;&gt;"",$D397&lt;&gt;""),IF(OR($B397="SER",$B397="PLH",$B397="CSF"),"Control NIH Plate "&amp;(INT(((COUNTIFS($B$2:$B397,"SER")+COUNTIFS($B$2:$B397,"PLH")+COUNTIFS($B$2:$B397,"CSF"))-1)/96)+1)&amp;": "&amp;CHAR(65+INT(MOD((COUNTIFS($B$2:$B397,"SER")+COUNTIFS($B$2:$B397,"PLH")+COUNTIFS($B$2:$B397,"CSF"))-1,96)/12))&amp;(MOD((COUNTIFS($B$2:$B397,"SER")+COUNTIFS($B$2:$B397,"PLH")+COUNTIFS($B$2:$B397,"CSF"))-1,12)+1),"N/A"),"")</f>
        <v/>
      </c>
      <c r="I397" s="6" t="str">
        <f>IF(AND($A397&lt;&gt;"",$B397&lt;&gt;"",$C397&lt;&gt;"",$D397&lt;&gt;""),IF(OR($B397="SER",$B397="PLH"),"Control MAX Planck Plate "&amp;(INT(((COUNTIFS($B$2:$B397,"SER")+COUNTIFS($B$2:$B397,"PLH"))-1)/96)+1)&amp;": "&amp;CHAR(65+INT(MOD((COUNTIFS($B$2:$B397,"SER")+COUNTIFS($B$2:$B397,"PLH"))-1,96)/12))&amp;(MOD((COUNTIFS($B$2:$B397,"SER")+COUNTIFS($B$2:$B397,"PLH"))-1,12)+1),"N/A"),"")</f>
        <v/>
      </c>
      <c r="J397" s="6" t="str">
        <f>IF(AND($A397&lt;&gt;"",$B397&lt;&gt;"",$C397&lt;&gt;"",$D397&lt;&gt;""),IF($B397="WB","Control WB Box "&amp;(INT((COUNTIFS($B$2:$B397,"WB")-1)/81)+1)&amp;": "&amp;CHAR(65+INT(MOD(COUNTIFS($B$2:$B397,"WB")-1,81)/9))&amp;(MOD(COUNTIFS($B$2:$B397,"WB")-1,9)+1),"N/A"),"")</f>
        <v/>
      </c>
      <c r="K397" s="3" t="str">
        <f t="shared" si="109"/>
        <v/>
      </c>
      <c r="L397" s="2"/>
      <c r="M397" s="2"/>
      <c r="N397" s="2"/>
      <c r="O397" s="7" t="str">
        <f t="shared" si="110"/>
        <v/>
      </c>
      <c r="P397" s="7" t="str">
        <f t="shared" si="111"/>
        <v/>
      </c>
      <c r="Q397" s="7" t="str">
        <f t="shared" si="112"/>
        <v/>
      </c>
      <c r="R397" s="7" t="str">
        <f t="shared" si="113"/>
        <v/>
      </c>
      <c r="S397" s="7" t="str">
        <f t="shared" si="114"/>
        <v/>
      </c>
      <c r="T397" s="7" t="str">
        <f t="shared" si="115"/>
        <v/>
      </c>
      <c r="U397" s="7" t="str">
        <f t="shared" si="116"/>
        <v/>
      </c>
      <c r="V397" s="7" t="str">
        <f t="shared" si="117"/>
        <v/>
      </c>
      <c r="W397" s="7" t="str">
        <f t="shared" si="118"/>
        <v/>
      </c>
      <c r="X397" s="7" t="str">
        <f t="shared" si="119"/>
        <v/>
      </c>
      <c r="Y397">
        <f t="shared" si="120"/>
        <v>0</v>
      </c>
      <c r="Z397" t="str">
        <f t="shared" si="121"/>
        <v/>
      </c>
      <c r="AA397" t="str">
        <f t="shared" si="122"/>
        <v/>
      </c>
      <c r="AB397" t="str">
        <f t="shared" si="123"/>
        <v/>
      </c>
      <c r="AC397" t="str">
        <f t="shared" si="124"/>
        <v/>
      </c>
      <c r="AD397">
        <f t="shared" si="125"/>
        <v>0</v>
      </c>
    </row>
    <row r="398" spans="1:30" ht="15" customHeight="1" x14ac:dyDescent="0.35">
      <c r="A398" s="2"/>
      <c r="B398" s="3"/>
      <c r="C398" s="4"/>
      <c r="D398" s="5"/>
      <c r="E398" s="11" t="str">
        <f t="shared" ca="1" si="108"/>
        <v/>
      </c>
      <c r="F398" s="5"/>
      <c r="G398" s="6" t="str">
        <f>IF(AND($A398&lt;&gt;"",$B398&lt;&gt;"",$C398&lt;&gt;"",$D398&lt;&gt;""),IF(OR($B398="SER",$B398="PLH",$B398="CSF"),"Control CDI Plate "&amp;(INT(((COUNTIFS($B$2:$B398,"SER")+COUNTIFS($B$2:$B398,"PLH")+COUNTIFS($B$2:$B398,"CSF"))-1)/96)+1)&amp;": "&amp;CHAR(65+INT(MOD((COUNTIFS($B$2:$B398,"SER")+COUNTIFS($B$2:$B398,"PLH")+COUNTIFS($B$2:$B398,"CSF"))-1,96)/12))&amp;(MOD((COUNTIFS($B$2:$B398,"SER")+COUNTIFS($B$2:$B398,"PLH")+COUNTIFS($B$2:$B398,"CSF"))-1,12)+1),"N/A"),"")</f>
        <v/>
      </c>
      <c r="H398" s="6" t="str">
        <f>IF(AND($A398&lt;&gt;"",$B398&lt;&gt;"",$C398&lt;&gt;"",$D398&lt;&gt;""),IF(OR($B398="SER",$B398="PLH",$B398="CSF"),"Control NIH Plate "&amp;(INT(((COUNTIFS($B$2:$B398,"SER")+COUNTIFS($B$2:$B398,"PLH")+COUNTIFS($B$2:$B398,"CSF"))-1)/96)+1)&amp;": "&amp;CHAR(65+INT(MOD((COUNTIFS($B$2:$B398,"SER")+COUNTIFS($B$2:$B398,"PLH")+COUNTIFS($B$2:$B398,"CSF"))-1,96)/12))&amp;(MOD((COUNTIFS($B$2:$B398,"SER")+COUNTIFS($B$2:$B398,"PLH")+COUNTIFS($B$2:$B398,"CSF"))-1,12)+1),"N/A"),"")</f>
        <v/>
      </c>
      <c r="I398" s="6" t="str">
        <f>IF(AND($A398&lt;&gt;"",$B398&lt;&gt;"",$C398&lt;&gt;"",$D398&lt;&gt;""),IF(OR($B398="SER",$B398="PLH"),"Control MAX Planck Plate "&amp;(INT(((COUNTIFS($B$2:$B398,"SER")+COUNTIFS($B$2:$B398,"PLH"))-1)/96)+1)&amp;": "&amp;CHAR(65+INT(MOD((COUNTIFS($B$2:$B398,"SER")+COUNTIFS($B$2:$B398,"PLH"))-1,96)/12))&amp;(MOD((COUNTIFS($B$2:$B398,"SER")+COUNTIFS($B$2:$B398,"PLH"))-1,12)+1),"N/A"),"")</f>
        <v/>
      </c>
      <c r="J398" s="6" t="str">
        <f>IF(AND($A398&lt;&gt;"",$B398&lt;&gt;"",$C398&lt;&gt;"",$D398&lt;&gt;""),IF($B398="WB","Control WB Box "&amp;(INT((COUNTIFS($B$2:$B398,"WB")-1)/81)+1)&amp;": "&amp;CHAR(65+INT(MOD(COUNTIFS($B$2:$B398,"WB")-1,81)/9))&amp;(MOD(COUNTIFS($B$2:$B398,"WB")-1,9)+1),"N/A"),"")</f>
        <v/>
      </c>
      <c r="K398" s="3" t="str">
        <f t="shared" si="109"/>
        <v/>
      </c>
      <c r="L398" s="2"/>
      <c r="M398" s="2"/>
      <c r="N398" s="2"/>
      <c r="O398" s="7" t="str">
        <f t="shared" si="110"/>
        <v/>
      </c>
      <c r="P398" s="7" t="str">
        <f t="shared" si="111"/>
        <v/>
      </c>
      <c r="Q398" s="7" t="str">
        <f t="shared" si="112"/>
        <v/>
      </c>
      <c r="R398" s="7" t="str">
        <f t="shared" si="113"/>
        <v/>
      </c>
      <c r="S398" s="7" t="str">
        <f t="shared" si="114"/>
        <v/>
      </c>
      <c r="T398" s="7" t="str">
        <f t="shared" si="115"/>
        <v/>
      </c>
      <c r="U398" s="7" t="str">
        <f t="shared" si="116"/>
        <v/>
      </c>
      <c r="V398" s="7" t="str">
        <f t="shared" si="117"/>
        <v/>
      </c>
      <c r="W398" s="7" t="str">
        <f t="shared" si="118"/>
        <v/>
      </c>
      <c r="X398" s="7" t="str">
        <f t="shared" si="119"/>
        <v/>
      </c>
      <c r="Y398">
        <f t="shared" si="120"/>
        <v>0</v>
      </c>
      <c r="Z398" t="str">
        <f t="shared" si="121"/>
        <v/>
      </c>
      <c r="AA398" t="str">
        <f t="shared" si="122"/>
        <v/>
      </c>
      <c r="AB398" t="str">
        <f t="shared" si="123"/>
        <v/>
      </c>
      <c r="AC398" t="str">
        <f t="shared" si="124"/>
        <v/>
      </c>
      <c r="AD398">
        <f t="shared" si="125"/>
        <v>0</v>
      </c>
    </row>
    <row r="399" spans="1:30" ht="15" customHeight="1" x14ac:dyDescent="0.35">
      <c r="A399" s="2"/>
      <c r="B399" s="3"/>
      <c r="C399" s="4"/>
      <c r="D399" s="5"/>
      <c r="E399" s="11" t="str">
        <f t="shared" ca="1" si="108"/>
        <v/>
      </c>
      <c r="F399" s="5"/>
      <c r="G399" s="6" t="str">
        <f>IF(AND($A399&lt;&gt;"",$B399&lt;&gt;"",$C399&lt;&gt;"",$D399&lt;&gt;""),IF(OR($B399="SER",$B399="PLH",$B399="CSF"),"Control CDI Plate "&amp;(INT(((COUNTIFS($B$2:$B399,"SER")+COUNTIFS($B$2:$B399,"PLH")+COUNTIFS($B$2:$B399,"CSF"))-1)/96)+1)&amp;": "&amp;CHAR(65+INT(MOD((COUNTIFS($B$2:$B399,"SER")+COUNTIFS($B$2:$B399,"PLH")+COUNTIFS($B$2:$B399,"CSF"))-1,96)/12))&amp;(MOD((COUNTIFS($B$2:$B399,"SER")+COUNTIFS($B$2:$B399,"PLH")+COUNTIFS($B$2:$B399,"CSF"))-1,12)+1),"N/A"),"")</f>
        <v/>
      </c>
      <c r="H399" s="6" t="str">
        <f>IF(AND($A399&lt;&gt;"",$B399&lt;&gt;"",$C399&lt;&gt;"",$D399&lt;&gt;""),IF(OR($B399="SER",$B399="PLH",$B399="CSF"),"Control NIH Plate "&amp;(INT(((COUNTIFS($B$2:$B399,"SER")+COUNTIFS($B$2:$B399,"PLH")+COUNTIFS($B$2:$B399,"CSF"))-1)/96)+1)&amp;": "&amp;CHAR(65+INT(MOD((COUNTIFS($B$2:$B399,"SER")+COUNTIFS($B$2:$B399,"PLH")+COUNTIFS($B$2:$B399,"CSF"))-1,96)/12))&amp;(MOD((COUNTIFS($B$2:$B399,"SER")+COUNTIFS($B$2:$B399,"PLH")+COUNTIFS($B$2:$B399,"CSF"))-1,12)+1),"N/A"),"")</f>
        <v/>
      </c>
      <c r="I399" s="6" t="str">
        <f>IF(AND($A399&lt;&gt;"",$B399&lt;&gt;"",$C399&lt;&gt;"",$D399&lt;&gt;""),IF(OR($B399="SER",$B399="PLH"),"Control MAX Planck Plate "&amp;(INT(((COUNTIFS($B$2:$B399,"SER")+COUNTIFS($B$2:$B399,"PLH"))-1)/96)+1)&amp;": "&amp;CHAR(65+INT(MOD((COUNTIFS($B$2:$B399,"SER")+COUNTIFS($B$2:$B399,"PLH"))-1,96)/12))&amp;(MOD((COUNTIFS($B$2:$B399,"SER")+COUNTIFS($B$2:$B399,"PLH"))-1,12)+1),"N/A"),"")</f>
        <v/>
      </c>
      <c r="J399" s="6" t="str">
        <f>IF(AND($A399&lt;&gt;"",$B399&lt;&gt;"",$C399&lt;&gt;"",$D399&lt;&gt;""),IF($B399="WB","Control WB Box "&amp;(INT((COUNTIFS($B$2:$B399,"WB")-1)/81)+1)&amp;": "&amp;CHAR(65+INT(MOD(COUNTIFS($B$2:$B399,"WB")-1,81)/9))&amp;(MOD(COUNTIFS($B$2:$B399,"WB")-1,9)+1),"N/A"),"")</f>
        <v/>
      </c>
      <c r="K399" s="3" t="str">
        <f t="shared" si="109"/>
        <v/>
      </c>
      <c r="L399" s="2"/>
      <c r="M399" s="2"/>
      <c r="N399" s="2"/>
      <c r="O399" s="7" t="str">
        <f t="shared" si="110"/>
        <v/>
      </c>
      <c r="P399" s="7" t="str">
        <f t="shared" si="111"/>
        <v/>
      </c>
      <c r="Q399" s="7" t="str">
        <f t="shared" si="112"/>
        <v/>
      </c>
      <c r="R399" s="7" t="str">
        <f t="shared" si="113"/>
        <v/>
      </c>
      <c r="S399" s="7" t="str">
        <f t="shared" si="114"/>
        <v/>
      </c>
      <c r="T399" s="7" t="str">
        <f t="shared" si="115"/>
        <v/>
      </c>
      <c r="U399" s="7" t="str">
        <f t="shared" si="116"/>
        <v/>
      </c>
      <c r="V399" s="7" t="str">
        <f t="shared" si="117"/>
        <v/>
      </c>
      <c r="W399" s="7" t="str">
        <f t="shared" si="118"/>
        <v/>
      </c>
      <c r="X399" s="7" t="str">
        <f t="shared" si="119"/>
        <v/>
      </c>
      <c r="Y399">
        <f t="shared" si="120"/>
        <v>0</v>
      </c>
      <c r="Z399" t="str">
        <f t="shared" si="121"/>
        <v/>
      </c>
      <c r="AA399" t="str">
        <f t="shared" si="122"/>
        <v/>
      </c>
      <c r="AB399" t="str">
        <f t="shared" si="123"/>
        <v/>
      </c>
      <c r="AC399" t="str">
        <f t="shared" si="124"/>
        <v/>
      </c>
      <c r="AD399">
        <f t="shared" si="125"/>
        <v>0</v>
      </c>
    </row>
    <row r="400" spans="1:30" ht="15" customHeight="1" x14ac:dyDescent="0.35">
      <c r="A400" s="2"/>
      <c r="B400" s="3"/>
      <c r="C400" s="4"/>
      <c r="D400" s="5"/>
      <c r="E400" s="11" t="str">
        <f t="shared" ca="1" si="108"/>
        <v/>
      </c>
      <c r="F400" s="5"/>
      <c r="G400" s="6" t="str">
        <f>IF(AND($A400&lt;&gt;"",$B400&lt;&gt;"",$C400&lt;&gt;"",$D400&lt;&gt;""),IF(OR($B400="SER",$B400="PLH",$B400="CSF"),"Control CDI Plate "&amp;(INT(((COUNTIFS($B$2:$B400,"SER")+COUNTIFS($B$2:$B400,"PLH")+COUNTIFS($B$2:$B400,"CSF"))-1)/96)+1)&amp;": "&amp;CHAR(65+INT(MOD((COUNTIFS($B$2:$B400,"SER")+COUNTIFS($B$2:$B400,"PLH")+COUNTIFS($B$2:$B400,"CSF"))-1,96)/12))&amp;(MOD((COUNTIFS($B$2:$B400,"SER")+COUNTIFS($B$2:$B400,"PLH")+COUNTIFS($B$2:$B400,"CSF"))-1,12)+1),"N/A"),"")</f>
        <v/>
      </c>
      <c r="H400" s="6" t="str">
        <f>IF(AND($A400&lt;&gt;"",$B400&lt;&gt;"",$C400&lt;&gt;"",$D400&lt;&gt;""),IF(OR($B400="SER",$B400="PLH",$B400="CSF"),"Control NIH Plate "&amp;(INT(((COUNTIFS($B$2:$B400,"SER")+COUNTIFS($B$2:$B400,"PLH")+COUNTIFS($B$2:$B400,"CSF"))-1)/96)+1)&amp;": "&amp;CHAR(65+INT(MOD((COUNTIFS($B$2:$B400,"SER")+COUNTIFS($B$2:$B400,"PLH")+COUNTIFS($B$2:$B400,"CSF"))-1,96)/12))&amp;(MOD((COUNTIFS($B$2:$B400,"SER")+COUNTIFS($B$2:$B400,"PLH")+COUNTIFS($B$2:$B400,"CSF"))-1,12)+1),"N/A"),"")</f>
        <v/>
      </c>
      <c r="I400" s="6" t="str">
        <f>IF(AND($A400&lt;&gt;"",$B400&lt;&gt;"",$C400&lt;&gt;"",$D400&lt;&gt;""),IF(OR($B400="SER",$B400="PLH"),"Control MAX Planck Plate "&amp;(INT(((COUNTIFS($B$2:$B400,"SER")+COUNTIFS($B$2:$B400,"PLH"))-1)/96)+1)&amp;": "&amp;CHAR(65+INT(MOD((COUNTIFS($B$2:$B400,"SER")+COUNTIFS($B$2:$B400,"PLH"))-1,96)/12))&amp;(MOD((COUNTIFS($B$2:$B400,"SER")+COUNTIFS($B$2:$B400,"PLH"))-1,12)+1),"N/A"),"")</f>
        <v/>
      </c>
      <c r="J400" s="6" t="str">
        <f>IF(AND($A400&lt;&gt;"",$B400&lt;&gt;"",$C400&lt;&gt;"",$D400&lt;&gt;""),IF($B400="WB","Control WB Box "&amp;(INT((COUNTIFS($B$2:$B400,"WB")-1)/81)+1)&amp;": "&amp;CHAR(65+INT(MOD(COUNTIFS($B$2:$B400,"WB")-1,81)/9))&amp;(MOD(COUNTIFS($B$2:$B400,"WB")-1,9)+1),"N/A"),"")</f>
        <v/>
      </c>
      <c r="K400" s="3" t="str">
        <f t="shared" si="109"/>
        <v/>
      </c>
      <c r="L400" s="2"/>
      <c r="M400" s="2"/>
      <c r="N400" s="2"/>
      <c r="O400" s="7" t="str">
        <f t="shared" si="110"/>
        <v/>
      </c>
      <c r="P400" s="7" t="str">
        <f t="shared" si="111"/>
        <v/>
      </c>
      <c r="Q400" s="7" t="str">
        <f t="shared" si="112"/>
        <v/>
      </c>
      <c r="R400" s="7" t="str">
        <f t="shared" si="113"/>
        <v/>
      </c>
      <c r="S400" s="7" t="str">
        <f t="shared" si="114"/>
        <v/>
      </c>
      <c r="T400" s="7" t="str">
        <f t="shared" si="115"/>
        <v/>
      </c>
      <c r="U400" s="7" t="str">
        <f t="shared" si="116"/>
        <v/>
      </c>
      <c r="V400" s="7" t="str">
        <f t="shared" si="117"/>
        <v/>
      </c>
      <c r="W400" s="7" t="str">
        <f t="shared" si="118"/>
        <v/>
      </c>
      <c r="X400" s="7" t="str">
        <f t="shared" si="119"/>
        <v/>
      </c>
      <c r="Y400">
        <f t="shared" si="120"/>
        <v>0</v>
      </c>
      <c r="Z400" t="str">
        <f t="shared" si="121"/>
        <v/>
      </c>
      <c r="AA400" t="str">
        <f t="shared" si="122"/>
        <v/>
      </c>
      <c r="AB400" t="str">
        <f t="shared" si="123"/>
        <v/>
      </c>
      <c r="AC400" t="str">
        <f t="shared" si="124"/>
        <v/>
      </c>
      <c r="AD400">
        <f t="shared" si="125"/>
        <v>0</v>
      </c>
    </row>
    <row r="401" spans="1:30" ht="15" customHeight="1" x14ac:dyDescent="0.35">
      <c r="A401" s="2"/>
      <c r="B401" s="3"/>
      <c r="C401" s="4"/>
      <c r="D401" s="5"/>
      <c r="E401" s="11" t="str">
        <f t="shared" ca="1" si="108"/>
        <v/>
      </c>
      <c r="F401" s="5"/>
      <c r="G401" s="6" t="str">
        <f>IF(AND($A401&lt;&gt;"",$B401&lt;&gt;"",$C401&lt;&gt;"",$D401&lt;&gt;""),IF(OR($B401="SER",$B401="PLH",$B401="CSF"),"Control CDI Plate "&amp;(INT(((COUNTIFS($B$2:$B401,"SER")+COUNTIFS($B$2:$B401,"PLH")+COUNTIFS($B$2:$B401,"CSF"))-1)/96)+1)&amp;": "&amp;CHAR(65+INT(MOD((COUNTIFS($B$2:$B401,"SER")+COUNTIFS($B$2:$B401,"PLH")+COUNTIFS($B$2:$B401,"CSF"))-1,96)/12))&amp;(MOD((COUNTIFS($B$2:$B401,"SER")+COUNTIFS($B$2:$B401,"PLH")+COUNTIFS($B$2:$B401,"CSF"))-1,12)+1),"N/A"),"")</f>
        <v/>
      </c>
      <c r="H401" s="6" t="str">
        <f>IF(AND($A401&lt;&gt;"",$B401&lt;&gt;"",$C401&lt;&gt;"",$D401&lt;&gt;""),IF(OR($B401="SER",$B401="PLH",$B401="CSF"),"Control NIH Plate "&amp;(INT(((COUNTIFS($B$2:$B401,"SER")+COUNTIFS($B$2:$B401,"PLH")+COUNTIFS($B$2:$B401,"CSF"))-1)/96)+1)&amp;": "&amp;CHAR(65+INT(MOD((COUNTIFS($B$2:$B401,"SER")+COUNTIFS($B$2:$B401,"PLH")+COUNTIFS($B$2:$B401,"CSF"))-1,96)/12))&amp;(MOD((COUNTIFS($B$2:$B401,"SER")+COUNTIFS($B$2:$B401,"PLH")+COUNTIFS($B$2:$B401,"CSF"))-1,12)+1),"N/A"),"")</f>
        <v/>
      </c>
      <c r="I401" s="6" t="str">
        <f>IF(AND($A401&lt;&gt;"",$B401&lt;&gt;"",$C401&lt;&gt;"",$D401&lt;&gt;""),IF(OR($B401="SER",$B401="PLH"),"Control MAX Planck Plate "&amp;(INT(((COUNTIFS($B$2:$B401,"SER")+COUNTIFS($B$2:$B401,"PLH"))-1)/96)+1)&amp;": "&amp;CHAR(65+INT(MOD((COUNTIFS($B$2:$B401,"SER")+COUNTIFS($B$2:$B401,"PLH"))-1,96)/12))&amp;(MOD((COUNTIFS($B$2:$B401,"SER")+COUNTIFS($B$2:$B401,"PLH"))-1,12)+1),"N/A"),"")</f>
        <v/>
      </c>
      <c r="J401" s="6" t="str">
        <f>IF(AND($A401&lt;&gt;"",$B401&lt;&gt;"",$C401&lt;&gt;"",$D401&lt;&gt;""),IF($B401="WB","Control WB Box "&amp;(INT((COUNTIFS($B$2:$B401,"WB")-1)/81)+1)&amp;": "&amp;CHAR(65+INT(MOD(COUNTIFS($B$2:$B401,"WB")-1,81)/9))&amp;(MOD(COUNTIFS($B$2:$B401,"WB")-1,9)+1),"N/A"),"")</f>
        <v/>
      </c>
      <c r="K401" s="3" t="str">
        <f t="shared" si="109"/>
        <v/>
      </c>
      <c r="L401" s="2"/>
      <c r="M401" s="2"/>
      <c r="N401" s="2"/>
      <c r="O401" s="7" t="str">
        <f t="shared" si="110"/>
        <v/>
      </c>
      <c r="P401" s="7" t="str">
        <f t="shared" si="111"/>
        <v/>
      </c>
      <c r="Q401" s="7" t="str">
        <f t="shared" si="112"/>
        <v/>
      </c>
      <c r="R401" s="7" t="str">
        <f t="shared" si="113"/>
        <v/>
      </c>
      <c r="S401" s="7" t="str">
        <f t="shared" si="114"/>
        <v/>
      </c>
      <c r="T401" s="7" t="str">
        <f t="shared" si="115"/>
        <v/>
      </c>
      <c r="U401" s="7" t="str">
        <f t="shared" si="116"/>
        <v/>
      </c>
      <c r="V401" s="7" t="str">
        <f t="shared" si="117"/>
        <v/>
      </c>
      <c r="W401" s="7" t="str">
        <f t="shared" si="118"/>
        <v/>
      </c>
      <c r="X401" s="7" t="str">
        <f t="shared" si="119"/>
        <v/>
      </c>
      <c r="Y401">
        <f t="shared" si="120"/>
        <v>0</v>
      </c>
      <c r="Z401" t="str">
        <f t="shared" si="121"/>
        <v/>
      </c>
      <c r="AA401" t="str">
        <f t="shared" si="122"/>
        <v/>
      </c>
      <c r="AB401" t="str">
        <f t="shared" si="123"/>
        <v/>
      </c>
      <c r="AC401" t="str">
        <f t="shared" si="124"/>
        <v/>
      </c>
      <c r="AD401">
        <f t="shared" si="125"/>
        <v>0</v>
      </c>
    </row>
    <row r="402" spans="1:30" ht="15" customHeight="1" x14ac:dyDescent="0.35">
      <c r="A402" s="2"/>
      <c r="B402" s="3"/>
      <c r="C402" s="4"/>
      <c r="D402" s="5"/>
      <c r="E402" s="11" t="str">
        <f t="shared" ca="1" si="108"/>
        <v/>
      </c>
      <c r="F402" s="5"/>
      <c r="G402" s="6" t="str">
        <f>IF(AND($A402&lt;&gt;"",$B402&lt;&gt;"",$C402&lt;&gt;"",$D402&lt;&gt;""),IF(OR($B402="SER",$B402="PLH",$B402="CSF"),"Control CDI Plate "&amp;(INT(((COUNTIFS($B$2:$B402,"SER")+COUNTIFS($B$2:$B402,"PLH")+COUNTIFS($B$2:$B402,"CSF"))-1)/96)+1)&amp;": "&amp;CHAR(65+INT(MOD((COUNTIFS($B$2:$B402,"SER")+COUNTIFS($B$2:$B402,"PLH")+COUNTIFS($B$2:$B402,"CSF"))-1,96)/12))&amp;(MOD((COUNTIFS($B$2:$B402,"SER")+COUNTIFS($B$2:$B402,"PLH")+COUNTIFS($B$2:$B402,"CSF"))-1,12)+1),"N/A"),"")</f>
        <v/>
      </c>
      <c r="H402" s="6" t="str">
        <f>IF(AND($A402&lt;&gt;"",$B402&lt;&gt;"",$C402&lt;&gt;"",$D402&lt;&gt;""),IF(OR($B402="SER",$B402="PLH",$B402="CSF"),"Control NIH Plate "&amp;(INT(((COUNTIFS($B$2:$B402,"SER")+COUNTIFS($B$2:$B402,"PLH")+COUNTIFS($B$2:$B402,"CSF"))-1)/96)+1)&amp;": "&amp;CHAR(65+INT(MOD((COUNTIFS($B$2:$B402,"SER")+COUNTIFS($B$2:$B402,"PLH")+COUNTIFS($B$2:$B402,"CSF"))-1,96)/12))&amp;(MOD((COUNTIFS($B$2:$B402,"SER")+COUNTIFS($B$2:$B402,"PLH")+COUNTIFS($B$2:$B402,"CSF"))-1,12)+1),"N/A"),"")</f>
        <v/>
      </c>
      <c r="I402" s="6" t="str">
        <f>IF(AND($A402&lt;&gt;"",$B402&lt;&gt;"",$C402&lt;&gt;"",$D402&lt;&gt;""),IF(OR($B402="SER",$B402="PLH"),"Control MAX Planck Plate "&amp;(INT(((COUNTIFS($B$2:$B402,"SER")+COUNTIFS($B$2:$B402,"PLH"))-1)/96)+1)&amp;": "&amp;CHAR(65+INT(MOD((COUNTIFS($B$2:$B402,"SER")+COUNTIFS($B$2:$B402,"PLH"))-1,96)/12))&amp;(MOD((COUNTIFS($B$2:$B402,"SER")+COUNTIFS($B$2:$B402,"PLH"))-1,12)+1),"N/A"),"")</f>
        <v/>
      </c>
      <c r="J402" s="6" t="str">
        <f>IF(AND($A402&lt;&gt;"",$B402&lt;&gt;"",$C402&lt;&gt;"",$D402&lt;&gt;""),IF($B402="WB","Control WB Box "&amp;(INT((COUNTIFS($B$2:$B402,"WB")-1)/81)+1)&amp;": "&amp;CHAR(65+INT(MOD(COUNTIFS($B$2:$B402,"WB")-1,81)/9))&amp;(MOD(COUNTIFS($B$2:$B402,"WB")-1,9)+1),"N/A"),"")</f>
        <v/>
      </c>
      <c r="K402" s="3" t="str">
        <f t="shared" si="109"/>
        <v/>
      </c>
      <c r="L402" s="2"/>
      <c r="M402" s="2"/>
      <c r="N402" s="2"/>
      <c r="O402" s="7" t="str">
        <f t="shared" si="110"/>
        <v/>
      </c>
      <c r="P402" s="7" t="str">
        <f t="shared" si="111"/>
        <v/>
      </c>
      <c r="Q402" s="7" t="str">
        <f t="shared" si="112"/>
        <v/>
      </c>
      <c r="R402" s="7" t="str">
        <f t="shared" si="113"/>
        <v/>
      </c>
      <c r="S402" s="7" t="str">
        <f t="shared" si="114"/>
        <v/>
      </c>
      <c r="T402" s="7" t="str">
        <f t="shared" si="115"/>
        <v/>
      </c>
      <c r="U402" s="7" t="str">
        <f t="shared" si="116"/>
        <v/>
      </c>
      <c r="V402" s="7" t="str">
        <f t="shared" si="117"/>
        <v/>
      </c>
      <c r="W402" s="7" t="str">
        <f t="shared" si="118"/>
        <v/>
      </c>
      <c r="X402" s="7" t="str">
        <f t="shared" si="119"/>
        <v/>
      </c>
      <c r="Y402">
        <f t="shared" si="120"/>
        <v>0</v>
      </c>
      <c r="Z402" t="str">
        <f t="shared" si="121"/>
        <v/>
      </c>
      <c r="AA402" t="str">
        <f t="shared" si="122"/>
        <v/>
      </c>
      <c r="AB402" t="str">
        <f t="shared" si="123"/>
        <v/>
      </c>
      <c r="AC402" t="str">
        <f t="shared" si="124"/>
        <v/>
      </c>
      <c r="AD402">
        <f t="shared" si="125"/>
        <v>0</v>
      </c>
    </row>
    <row r="403" spans="1:30" ht="15" customHeight="1" x14ac:dyDescent="0.35">
      <c r="A403" s="2"/>
      <c r="B403" s="3"/>
      <c r="C403" s="4"/>
      <c r="D403" s="5"/>
      <c r="E403" s="11" t="str">
        <f t="shared" ca="1" si="108"/>
        <v/>
      </c>
      <c r="F403" s="5"/>
      <c r="G403" s="6" t="str">
        <f>IF(AND($A403&lt;&gt;"",$B403&lt;&gt;"",$C403&lt;&gt;"",$D403&lt;&gt;""),IF(OR($B403="SER",$B403="PLH",$B403="CSF"),"Control CDI Plate "&amp;(INT(((COUNTIFS($B$2:$B403,"SER")+COUNTIFS($B$2:$B403,"PLH")+COUNTIFS($B$2:$B403,"CSF"))-1)/96)+1)&amp;": "&amp;CHAR(65+INT(MOD((COUNTIFS($B$2:$B403,"SER")+COUNTIFS($B$2:$B403,"PLH")+COUNTIFS($B$2:$B403,"CSF"))-1,96)/12))&amp;(MOD((COUNTIFS($B$2:$B403,"SER")+COUNTIFS($B$2:$B403,"PLH")+COUNTIFS($B$2:$B403,"CSF"))-1,12)+1),"N/A"),"")</f>
        <v/>
      </c>
      <c r="H403" s="6" t="str">
        <f>IF(AND($A403&lt;&gt;"",$B403&lt;&gt;"",$C403&lt;&gt;"",$D403&lt;&gt;""),IF(OR($B403="SER",$B403="PLH",$B403="CSF"),"Control NIH Plate "&amp;(INT(((COUNTIFS($B$2:$B403,"SER")+COUNTIFS($B$2:$B403,"PLH")+COUNTIFS($B$2:$B403,"CSF"))-1)/96)+1)&amp;": "&amp;CHAR(65+INT(MOD((COUNTIFS($B$2:$B403,"SER")+COUNTIFS($B$2:$B403,"PLH")+COUNTIFS($B$2:$B403,"CSF"))-1,96)/12))&amp;(MOD((COUNTIFS($B$2:$B403,"SER")+COUNTIFS($B$2:$B403,"PLH")+COUNTIFS($B$2:$B403,"CSF"))-1,12)+1),"N/A"),"")</f>
        <v/>
      </c>
      <c r="I403" s="6" t="str">
        <f>IF(AND($A403&lt;&gt;"",$B403&lt;&gt;"",$C403&lt;&gt;"",$D403&lt;&gt;""),IF(OR($B403="SER",$B403="PLH"),"Control MAX Planck Plate "&amp;(INT(((COUNTIFS($B$2:$B403,"SER")+COUNTIFS($B$2:$B403,"PLH"))-1)/96)+1)&amp;": "&amp;CHAR(65+INT(MOD((COUNTIFS($B$2:$B403,"SER")+COUNTIFS($B$2:$B403,"PLH"))-1,96)/12))&amp;(MOD((COUNTIFS($B$2:$B403,"SER")+COUNTIFS($B$2:$B403,"PLH"))-1,12)+1),"N/A"),"")</f>
        <v/>
      </c>
      <c r="J403" s="6" t="str">
        <f>IF(AND($A403&lt;&gt;"",$B403&lt;&gt;"",$C403&lt;&gt;"",$D403&lt;&gt;""),IF($B403="WB","Control WB Box "&amp;(INT((COUNTIFS($B$2:$B403,"WB")-1)/81)+1)&amp;": "&amp;CHAR(65+INT(MOD(COUNTIFS($B$2:$B403,"WB")-1,81)/9))&amp;(MOD(COUNTIFS($B$2:$B403,"WB")-1,9)+1),"N/A"),"")</f>
        <v/>
      </c>
      <c r="K403" s="3" t="str">
        <f t="shared" si="109"/>
        <v/>
      </c>
      <c r="L403" s="2"/>
      <c r="M403" s="2"/>
      <c r="N403" s="2"/>
      <c r="O403" s="7" t="str">
        <f t="shared" si="110"/>
        <v/>
      </c>
      <c r="P403" s="7" t="str">
        <f t="shared" si="111"/>
        <v/>
      </c>
      <c r="Q403" s="7" t="str">
        <f t="shared" si="112"/>
        <v/>
      </c>
      <c r="R403" s="7" t="str">
        <f t="shared" si="113"/>
        <v/>
      </c>
      <c r="S403" s="7" t="str">
        <f t="shared" si="114"/>
        <v/>
      </c>
      <c r="T403" s="7" t="str">
        <f t="shared" si="115"/>
        <v/>
      </c>
      <c r="U403" s="7" t="str">
        <f t="shared" si="116"/>
        <v/>
      </c>
      <c r="V403" s="7" t="str">
        <f t="shared" si="117"/>
        <v/>
      </c>
      <c r="W403" s="7" t="str">
        <f t="shared" si="118"/>
        <v/>
      </c>
      <c r="X403" s="7" t="str">
        <f t="shared" si="119"/>
        <v/>
      </c>
      <c r="Y403">
        <f t="shared" si="120"/>
        <v>0</v>
      </c>
      <c r="Z403" t="str">
        <f t="shared" si="121"/>
        <v/>
      </c>
      <c r="AA403" t="str">
        <f t="shared" si="122"/>
        <v/>
      </c>
      <c r="AB403" t="str">
        <f t="shared" si="123"/>
        <v/>
      </c>
      <c r="AC403" t="str">
        <f t="shared" si="124"/>
        <v/>
      </c>
      <c r="AD403">
        <f t="shared" si="125"/>
        <v>0</v>
      </c>
    </row>
    <row r="404" spans="1:30" ht="15" customHeight="1" x14ac:dyDescent="0.35">
      <c r="A404" s="2"/>
      <c r="B404" s="3"/>
      <c r="C404" s="4"/>
      <c r="D404" s="5"/>
      <c r="E404" s="11" t="str">
        <f t="shared" ca="1" si="108"/>
        <v/>
      </c>
      <c r="F404" s="5"/>
      <c r="G404" s="6" t="str">
        <f>IF(AND($A404&lt;&gt;"",$B404&lt;&gt;"",$C404&lt;&gt;"",$D404&lt;&gt;""),IF(OR($B404="SER",$B404="PLH",$B404="CSF"),"Control CDI Plate "&amp;(INT(((COUNTIFS($B$2:$B404,"SER")+COUNTIFS($B$2:$B404,"PLH")+COUNTIFS($B$2:$B404,"CSF"))-1)/96)+1)&amp;": "&amp;CHAR(65+INT(MOD((COUNTIFS($B$2:$B404,"SER")+COUNTIFS($B$2:$B404,"PLH")+COUNTIFS($B$2:$B404,"CSF"))-1,96)/12))&amp;(MOD((COUNTIFS($B$2:$B404,"SER")+COUNTIFS($B$2:$B404,"PLH")+COUNTIFS($B$2:$B404,"CSF"))-1,12)+1),"N/A"),"")</f>
        <v/>
      </c>
      <c r="H404" s="6" t="str">
        <f>IF(AND($A404&lt;&gt;"",$B404&lt;&gt;"",$C404&lt;&gt;"",$D404&lt;&gt;""),IF(OR($B404="SER",$B404="PLH",$B404="CSF"),"Control NIH Plate "&amp;(INT(((COUNTIFS($B$2:$B404,"SER")+COUNTIFS($B$2:$B404,"PLH")+COUNTIFS($B$2:$B404,"CSF"))-1)/96)+1)&amp;": "&amp;CHAR(65+INT(MOD((COUNTIFS($B$2:$B404,"SER")+COUNTIFS($B$2:$B404,"PLH")+COUNTIFS($B$2:$B404,"CSF"))-1,96)/12))&amp;(MOD((COUNTIFS($B$2:$B404,"SER")+COUNTIFS($B$2:$B404,"PLH")+COUNTIFS($B$2:$B404,"CSF"))-1,12)+1),"N/A"),"")</f>
        <v/>
      </c>
      <c r="I404" s="6" t="str">
        <f>IF(AND($A404&lt;&gt;"",$B404&lt;&gt;"",$C404&lt;&gt;"",$D404&lt;&gt;""),IF(OR($B404="SER",$B404="PLH"),"Control MAX Planck Plate "&amp;(INT(((COUNTIFS($B$2:$B404,"SER")+COUNTIFS($B$2:$B404,"PLH"))-1)/96)+1)&amp;": "&amp;CHAR(65+INT(MOD((COUNTIFS($B$2:$B404,"SER")+COUNTIFS($B$2:$B404,"PLH"))-1,96)/12))&amp;(MOD((COUNTIFS($B$2:$B404,"SER")+COUNTIFS($B$2:$B404,"PLH"))-1,12)+1),"N/A"),"")</f>
        <v/>
      </c>
      <c r="J404" s="6" t="str">
        <f>IF(AND($A404&lt;&gt;"",$B404&lt;&gt;"",$C404&lt;&gt;"",$D404&lt;&gt;""),IF($B404="WB","Control WB Box "&amp;(INT((COUNTIFS($B$2:$B404,"WB")-1)/81)+1)&amp;": "&amp;CHAR(65+INT(MOD(COUNTIFS($B$2:$B404,"WB")-1,81)/9))&amp;(MOD(COUNTIFS($B$2:$B404,"WB")-1,9)+1),"N/A"),"")</f>
        <v/>
      </c>
      <c r="K404" s="3" t="str">
        <f t="shared" si="109"/>
        <v/>
      </c>
      <c r="L404" s="2"/>
      <c r="M404" s="2"/>
      <c r="N404" s="2"/>
      <c r="O404" s="7" t="str">
        <f t="shared" si="110"/>
        <v/>
      </c>
      <c r="P404" s="7" t="str">
        <f t="shared" si="111"/>
        <v/>
      </c>
      <c r="Q404" s="7" t="str">
        <f t="shared" si="112"/>
        <v/>
      </c>
      <c r="R404" s="7" t="str">
        <f t="shared" si="113"/>
        <v/>
      </c>
      <c r="S404" s="7" t="str">
        <f t="shared" si="114"/>
        <v/>
      </c>
      <c r="T404" s="7" t="str">
        <f t="shared" si="115"/>
        <v/>
      </c>
      <c r="U404" s="7" t="str">
        <f t="shared" si="116"/>
        <v/>
      </c>
      <c r="V404" s="7" t="str">
        <f t="shared" si="117"/>
        <v/>
      </c>
      <c r="W404" s="7" t="str">
        <f t="shared" si="118"/>
        <v/>
      </c>
      <c r="X404" s="7" t="str">
        <f t="shared" si="119"/>
        <v/>
      </c>
      <c r="Y404">
        <f t="shared" si="120"/>
        <v>0</v>
      </c>
      <c r="Z404" t="str">
        <f t="shared" si="121"/>
        <v/>
      </c>
      <c r="AA404" t="str">
        <f t="shared" si="122"/>
        <v/>
      </c>
      <c r="AB404" t="str">
        <f t="shared" si="123"/>
        <v/>
      </c>
      <c r="AC404" t="str">
        <f t="shared" si="124"/>
        <v/>
      </c>
      <c r="AD404">
        <f t="shared" si="125"/>
        <v>0</v>
      </c>
    </row>
    <row r="405" spans="1:30" ht="15" customHeight="1" x14ac:dyDescent="0.35">
      <c r="A405" s="2"/>
      <c r="B405" s="3"/>
      <c r="C405" s="4"/>
      <c r="D405" s="5"/>
      <c r="E405" s="11" t="str">
        <f t="shared" ca="1" si="108"/>
        <v/>
      </c>
      <c r="F405" s="5"/>
      <c r="G405" s="6" t="str">
        <f>IF(AND($A405&lt;&gt;"",$B405&lt;&gt;"",$C405&lt;&gt;"",$D405&lt;&gt;""),IF(OR($B405="SER",$B405="PLH",$B405="CSF"),"Control CDI Plate "&amp;(INT(((COUNTIFS($B$2:$B405,"SER")+COUNTIFS($B$2:$B405,"PLH")+COUNTIFS($B$2:$B405,"CSF"))-1)/96)+1)&amp;": "&amp;CHAR(65+INT(MOD((COUNTIFS($B$2:$B405,"SER")+COUNTIFS($B$2:$B405,"PLH")+COUNTIFS($B$2:$B405,"CSF"))-1,96)/12))&amp;(MOD((COUNTIFS($B$2:$B405,"SER")+COUNTIFS($B$2:$B405,"PLH")+COUNTIFS($B$2:$B405,"CSF"))-1,12)+1),"N/A"),"")</f>
        <v/>
      </c>
      <c r="H405" s="6" t="str">
        <f>IF(AND($A405&lt;&gt;"",$B405&lt;&gt;"",$C405&lt;&gt;"",$D405&lt;&gt;""),IF(OR($B405="SER",$B405="PLH",$B405="CSF"),"Control NIH Plate "&amp;(INT(((COUNTIFS($B$2:$B405,"SER")+COUNTIFS($B$2:$B405,"PLH")+COUNTIFS($B$2:$B405,"CSF"))-1)/96)+1)&amp;": "&amp;CHAR(65+INT(MOD((COUNTIFS($B$2:$B405,"SER")+COUNTIFS($B$2:$B405,"PLH")+COUNTIFS($B$2:$B405,"CSF"))-1,96)/12))&amp;(MOD((COUNTIFS($B$2:$B405,"SER")+COUNTIFS($B$2:$B405,"PLH")+COUNTIFS($B$2:$B405,"CSF"))-1,12)+1),"N/A"),"")</f>
        <v/>
      </c>
      <c r="I405" s="6" t="str">
        <f>IF(AND($A405&lt;&gt;"",$B405&lt;&gt;"",$C405&lt;&gt;"",$D405&lt;&gt;""),IF(OR($B405="SER",$B405="PLH"),"Control MAX Planck Plate "&amp;(INT(((COUNTIFS($B$2:$B405,"SER")+COUNTIFS($B$2:$B405,"PLH"))-1)/96)+1)&amp;": "&amp;CHAR(65+INT(MOD((COUNTIFS($B$2:$B405,"SER")+COUNTIFS($B$2:$B405,"PLH"))-1,96)/12))&amp;(MOD((COUNTIFS($B$2:$B405,"SER")+COUNTIFS($B$2:$B405,"PLH"))-1,12)+1),"N/A"),"")</f>
        <v/>
      </c>
      <c r="J405" s="6" t="str">
        <f>IF(AND($A405&lt;&gt;"",$B405&lt;&gt;"",$C405&lt;&gt;"",$D405&lt;&gt;""),IF($B405="WB","Control WB Box "&amp;(INT((COUNTIFS($B$2:$B405,"WB")-1)/81)+1)&amp;": "&amp;CHAR(65+INT(MOD(COUNTIFS($B$2:$B405,"WB")-1,81)/9))&amp;(MOD(COUNTIFS($B$2:$B405,"WB")-1,9)+1),"N/A"),"")</f>
        <v/>
      </c>
      <c r="K405" s="3" t="str">
        <f t="shared" si="109"/>
        <v/>
      </c>
      <c r="L405" s="2"/>
      <c r="M405" s="2"/>
      <c r="N405" s="2"/>
      <c r="O405" s="7" t="str">
        <f t="shared" si="110"/>
        <v/>
      </c>
      <c r="P405" s="7" t="str">
        <f t="shared" si="111"/>
        <v/>
      </c>
      <c r="Q405" s="7" t="str">
        <f t="shared" si="112"/>
        <v/>
      </c>
      <c r="R405" s="7" t="str">
        <f t="shared" si="113"/>
        <v/>
      </c>
      <c r="S405" s="7" t="str">
        <f t="shared" si="114"/>
        <v/>
      </c>
      <c r="T405" s="7" t="str">
        <f t="shared" si="115"/>
        <v/>
      </c>
      <c r="U405" s="7" t="str">
        <f t="shared" si="116"/>
        <v/>
      </c>
      <c r="V405" s="7" t="str">
        <f t="shared" si="117"/>
        <v/>
      </c>
      <c r="W405" s="7" t="str">
        <f t="shared" si="118"/>
        <v/>
      </c>
      <c r="X405" s="7" t="str">
        <f t="shared" si="119"/>
        <v/>
      </c>
      <c r="Y405">
        <f t="shared" si="120"/>
        <v>0</v>
      </c>
      <c r="Z405" t="str">
        <f t="shared" si="121"/>
        <v/>
      </c>
      <c r="AA405" t="str">
        <f t="shared" si="122"/>
        <v/>
      </c>
      <c r="AB405" t="str">
        <f t="shared" si="123"/>
        <v/>
      </c>
      <c r="AC405" t="str">
        <f t="shared" si="124"/>
        <v/>
      </c>
      <c r="AD405">
        <f t="shared" si="125"/>
        <v>0</v>
      </c>
    </row>
    <row r="406" spans="1:30" ht="15" customHeight="1" x14ac:dyDescent="0.35">
      <c r="A406" s="2"/>
      <c r="B406" s="3"/>
      <c r="C406" s="4"/>
      <c r="D406" s="5"/>
      <c r="E406" s="11" t="str">
        <f t="shared" ca="1" si="108"/>
        <v/>
      </c>
      <c r="F406" s="5"/>
      <c r="G406" s="6" t="str">
        <f>IF(AND($A406&lt;&gt;"",$B406&lt;&gt;"",$C406&lt;&gt;"",$D406&lt;&gt;""),IF(OR($B406="SER",$B406="PLH",$B406="CSF"),"Control CDI Plate "&amp;(INT(((COUNTIFS($B$2:$B406,"SER")+COUNTIFS($B$2:$B406,"PLH")+COUNTIFS($B$2:$B406,"CSF"))-1)/96)+1)&amp;": "&amp;CHAR(65+INT(MOD((COUNTIFS($B$2:$B406,"SER")+COUNTIFS($B$2:$B406,"PLH")+COUNTIFS($B$2:$B406,"CSF"))-1,96)/12))&amp;(MOD((COUNTIFS($B$2:$B406,"SER")+COUNTIFS($B$2:$B406,"PLH")+COUNTIFS($B$2:$B406,"CSF"))-1,12)+1),"N/A"),"")</f>
        <v/>
      </c>
      <c r="H406" s="6" t="str">
        <f>IF(AND($A406&lt;&gt;"",$B406&lt;&gt;"",$C406&lt;&gt;"",$D406&lt;&gt;""),IF(OR($B406="SER",$B406="PLH",$B406="CSF"),"Control NIH Plate "&amp;(INT(((COUNTIFS($B$2:$B406,"SER")+COUNTIFS($B$2:$B406,"PLH")+COUNTIFS($B$2:$B406,"CSF"))-1)/96)+1)&amp;": "&amp;CHAR(65+INT(MOD((COUNTIFS($B$2:$B406,"SER")+COUNTIFS($B$2:$B406,"PLH")+COUNTIFS($B$2:$B406,"CSF"))-1,96)/12))&amp;(MOD((COUNTIFS($B$2:$B406,"SER")+COUNTIFS($B$2:$B406,"PLH")+COUNTIFS($B$2:$B406,"CSF"))-1,12)+1),"N/A"),"")</f>
        <v/>
      </c>
      <c r="I406" s="6" t="str">
        <f>IF(AND($A406&lt;&gt;"",$B406&lt;&gt;"",$C406&lt;&gt;"",$D406&lt;&gt;""),IF(OR($B406="SER",$B406="PLH"),"Control MAX Planck Plate "&amp;(INT(((COUNTIFS($B$2:$B406,"SER")+COUNTIFS($B$2:$B406,"PLH"))-1)/96)+1)&amp;": "&amp;CHAR(65+INT(MOD((COUNTIFS($B$2:$B406,"SER")+COUNTIFS($B$2:$B406,"PLH"))-1,96)/12))&amp;(MOD((COUNTIFS($B$2:$B406,"SER")+COUNTIFS($B$2:$B406,"PLH"))-1,12)+1),"N/A"),"")</f>
        <v/>
      </c>
      <c r="J406" s="6" t="str">
        <f>IF(AND($A406&lt;&gt;"",$B406&lt;&gt;"",$C406&lt;&gt;"",$D406&lt;&gt;""),IF($B406="WB","Control WB Box "&amp;(INT((COUNTIFS($B$2:$B406,"WB")-1)/81)+1)&amp;": "&amp;CHAR(65+INT(MOD(COUNTIFS($B$2:$B406,"WB")-1,81)/9))&amp;(MOD(COUNTIFS($B$2:$B406,"WB")-1,9)+1),"N/A"),"")</f>
        <v/>
      </c>
      <c r="K406" s="3" t="str">
        <f t="shared" si="109"/>
        <v/>
      </c>
      <c r="L406" s="2"/>
      <c r="M406" s="2"/>
      <c r="N406" s="2"/>
      <c r="O406" s="7" t="str">
        <f t="shared" si="110"/>
        <v/>
      </c>
      <c r="P406" s="7" t="str">
        <f t="shared" si="111"/>
        <v/>
      </c>
      <c r="Q406" s="7" t="str">
        <f t="shared" si="112"/>
        <v/>
      </c>
      <c r="R406" s="7" t="str">
        <f t="shared" si="113"/>
        <v/>
      </c>
      <c r="S406" s="7" t="str">
        <f t="shared" si="114"/>
        <v/>
      </c>
      <c r="T406" s="7" t="str">
        <f t="shared" si="115"/>
        <v/>
      </c>
      <c r="U406" s="7" t="str">
        <f t="shared" si="116"/>
        <v/>
      </c>
      <c r="V406" s="7" t="str">
        <f t="shared" si="117"/>
        <v/>
      </c>
      <c r="W406" s="7" t="str">
        <f t="shared" si="118"/>
        <v/>
      </c>
      <c r="X406" s="7" t="str">
        <f t="shared" si="119"/>
        <v/>
      </c>
      <c r="Y406">
        <f t="shared" si="120"/>
        <v>0</v>
      </c>
      <c r="Z406" t="str">
        <f t="shared" si="121"/>
        <v/>
      </c>
      <c r="AA406" t="str">
        <f t="shared" si="122"/>
        <v/>
      </c>
      <c r="AB406" t="str">
        <f t="shared" si="123"/>
        <v/>
      </c>
      <c r="AC406" t="str">
        <f t="shared" si="124"/>
        <v/>
      </c>
      <c r="AD406">
        <f t="shared" si="125"/>
        <v>0</v>
      </c>
    </row>
    <row r="407" spans="1:30" ht="15" customHeight="1" x14ac:dyDescent="0.35">
      <c r="A407" s="2"/>
      <c r="B407" s="3"/>
      <c r="C407" s="4"/>
      <c r="D407" s="5"/>
      <c r="E407" s="11" t="str">
        <f t="shared" ca="1" si="108"/>
        <v/>
      </c>
      <c r="F407" s="5"/>
      <c r="G407" s="6" t="str">
        <f>IF(AND($A407&lt;&gt;"",$B407&lt;&gt;"",$C407&lt;&gt;"",$D407&lt;&gt;""),IF(OR($B407="SER",$B407="PLH",$B407="CSF"),"Control CDI Plate "&amp;(INT(((COUNTIFS($B$2:$B407,"SER")+COUNTIFS($B$2:$B407,"PLH")+COUNTIFS($B$2:$B407,"CSF"))-1)/96)+1)&amp;": "&amp;CHAR(65+INT(MOD((COUNTIFS($B$2:$B407,"SER")+COUNTIFS($B$2:$B407,"PLH")+COUNTIFS($B$2:$B407,"CSF"))-1,96)/12))&amp;(MOD((COUNTIFS($B$2:$B407,"SER")+COUNTIFS($B$2:$B407,"PLH")+COUNTIFS($B$2:$B407,"CSF"))-1,12)+1),"N/A"),"")</f>
        <v/>
      </c>
      <c r="H407" s="6" t="str">
        <f>IF(AND($A407&lt;&gt;"",$B407&lt;&gt;"",$C407&lt;&gt;"",$D407&lt;&gt;""),IF(OR($B407="SER",$B407="PLH",$B407="CSF"),"Control NIH Plate "&amp;(INT(((COUNTIFS($B$2:$B407,"SER")+COUNTIFS($B$2:$B407,"PLH")+COUNTIFS($B$2:$B407,"CSF"))-1)/96)+1)&amp;": "&amp;CHAR(65+INT(MOD((COUNTIFS($B$2:$B407,"SER")+COUNTIFS($B$2:$B407,"PLH")+COUNTIFS($B$2:$B407,"CSF"))-1,96)/12))&amp;(MOD((COUNTIFS($B$2:$B407,"SER")+COUNTIFS($B$2:$B407,"PLH")+COUNTIFS($B$2:$B407,"CSF"))-1,12)+1),"N/A"),"")</f>
        <v/>
      </c>
      <c r="I407" s="6" t="str">
        <f>IF(AND($A407&lt;&gt;"",$B407&lt;&gt;"",$C407&lt;&gt;"",$D407&lt;&gt;""),IF(OR($B407="SER",$B407="PLH"),"Control MAX Planck Plate "&amp;(INT(((COUNTIFS($B$2:$B407,"SER")+COUNTIFS($B$2:$B407,"PLH"))-1)/96)+1)&amp;": "&amp;CHAR(65+INT(MOD((COUNTIFS($B$2:$B407,"SER")+COUNTIFS($B$2:$B407,"PLH"))-1,96)/12))&amp;(MOD((COUNTIFS($B$2:$B407,"SER")+COUNTIFS($B$2:$B407,"PLH"))-1,12)+1),"N/A"),"")</f>
        <v/>
      </c>
      <c r="J407" s="6" t="str">
        <f>IF(AND($A407&lt;&gt;"",$B407&lt;&gt;"",$C407&lt;&gt;"",$D407&lt;&gt;""),IF($B407="WB","Control WB Box "&amp;(INT((COUNTIFS($B$2:$B407,"WB")-1)/81)+1)&amp;": "&amp;CHAR(65+INT(MOD(COUNTIFS($B$2:$B407,"WB")-1,81)/9))&amp;(MOD(COUNTIFS($B$2:$B407,"WB")-1,9)+1),"N/A"),"")</f>
        <v/>
      </c>
      <c r="K407" s="3" t="str">
        <f t="shared" si="109"/>
        <v/>
      </c>
      <c r="L407" s="2"/>
      <c r="M407" s="2"/>
      <c r="N407" s="2"/>
      <c r="O407" s="7" t="str">
        <f t="shared" si="110"/>
        <v/>
      </c>
      <c r="P407" s="7" t="str">
        <f t="shared" si="111"/>
        <v/>
      </c>
      <c r="Q407" s="7" t="str">
        <f t="shared" si="112"/>
        <v/>
      </c>
      <c r="R407" s="7" t="str">
        <f t="shared" si="113"/>
        <v/>
      </c>
      <c r="S407" s="7" t="str">
        <f t="shared" si="114"/>
        <v/>
      </c>
      <c r="T407" s="7" t="str">
        <f t="shared" si="115"/>
        <v/>
      </c>
      <c r="U407" s="7" t="str">
        <f t="shared" si="116"/>
        <v/>
      </c>
      <c r="V407" s="7" t="str">
        <f t="shared" si="117"/>
        <v/>
      </c>
      <c r="W407" s="7" t="str">
        <f t="shared" si="118"/>
        <v/>
      </c>
      <c r="X407" s="7" t="str">
        <f t="shared" si="119"/>
        <v/>
      </c>
      <c r="Y407">
        <f t="shared" si="120"/>
        <v>0</v>
      </c>
      <c r="Z407" t="str">
        <f t="shared" si="121"/>
        <v/>
      </c>
      <c r="AA407" t="str">
        <f t="shared" si="122"/>
        <v/>
      </c>
      <c r="AB407" t="str">
        <f t="shared" si="123"/>
        <v/>
      </c>
      <c r="AC407" t="str">
        <f t="shared" si="124"/>
        <v/>
      </c>
      <c r="AD407">
        <f t="shared" si="125"/>
        <v>0</v>
      </c>
    </row>
    <row r="408" spans="1:30" ht="15" customHeight="1" x14ac:dyDescent="0.35">
      <c r="A408" s="2"/>
      <c r="B408" s="3"/>
      <c r="C408" s="4"/>
      <c r="D408" s="5"/>
      <c r="E408" s="11" t="str">
        <f t="shared" ca="1" si="108"/>
        <v/>
      </c>
      <c r="F408" s="5"/>
      <c r="G408" s="6" t="str">
        <f>IF(AND($A408&lt;&gt;"",$B408&lt;&gt;"",$C408&lt;&gt;"",$D408&lt;&gt;""),IF(OR($B408="SER",$B408="PLH",$B408="CSF"),"Control CDI Plate "&amp;(INT(((COUNTIFS($B$2:$B408,"SER")+COUNTIFS($B$2:$B408,"PLH")+COUNTIFS($B$2:$B408,"CSF"))-1)/96)+1)&amp;": "&amp;CHAR(65+INT(MOD((COUNTIFS($B$2:$B408,"SER")+COUNTIFS($B$2:$B408,"PLH")+COUNTIFS($B$2:$B408,"CSF"))-1,96)/12))&amp;(MOD((COUNTIFS($B$2:$B408,"SER")+COUNTIFS($B$2:$B408,"PLH")+COUNTIFS($B$2:$B408,"CSF"))-1,12)+1),"N/A"),"")</f>
        <v/>
      </c>
      <c r="H408" s="6" t="str">
        <f>IF(AND($A408&lt;&gt;"",$B408&lt;&gt;"",$C408&lt;&gt;"",$D408&lt;&gt;""),IF(OR($B408="SER",$B408="PLH",$B408="CSF"),"Control NIH Plate "&amp;(INT(((COUNTIFS($B$2:$B408,"SER")+COUNTIFS($B$2:$B408,"PLH")+COUNTIFS($B$2:$B408,"CSF"))-1)/96)+1)&amp;": "&amp;CHAR(65+INT(MOD((COUNTIFS($B$2:$B408,"SER")+COUNTIFS($B$2:$B408,"PLH")+COUNTIFS($B$2:$B408,"CSF"))-1,96)/12))&amp;(MOD((COUNTIFS($B$2:$B408,"SER")+COUNTIFS($B$2:$B408,"PLH")+COUNTIFS($B$2:$B408,"CSF"))-1,12)+1),"N/A"),"")</f>
        <v/>
      </c>
      <c r="I408" s="6" t="str">
        <f>IF(AND($A408&lt;&gt;"",$B408&lt;&gt;"",$C408&lt;&gt;"",$D408&lt;&gt;""),IF(OR($B408="SER",$B408="PLH"),"Control MAX Planck Plate "&amp;(INT(((COUNTIFS($B$2:$B408,"SER")+COUNTIFS($B$2:$B408,"PLH"))-1)/96)+1)&amp;": "&amp;CHAR(65+INT(MOD((COUNTIFS($B$2:$B408,"SER")+COUNTIFS($B$2:$B408,"PLH"))-1,96)/12))&amp;(MOD((COUNTIFS($B$2:$B408,"SER")+COUNTIFS($B$2:$B408,"PLH"))-1,12)+1),"N/A"),"")</f>
        <v/>
      </c>
      <c r="J408" s="6" t="str">
        <f>IF(AND($A408&lt;&gt;"",$B408&lt;&gt;"",$C408&lt;&gt;"",$D408&lt;&gt;""),IF($B408="WB","Control WB Box "&amp;(INT((COUNTIFS($B$2:$B408,"WB")-1)/81)+1)&amp;": "&amp;CHAR(65+INT(MOD(COUNTIFS($B$2:$B408,"WB")-1,81)/9))&amp;(MOD(COUNTIFS($B$2:$B408,"WB")-1,9)+1),"N/A"),"")</f>
        <v/>
      </c>
      <c r="K408" s="3" t="str">
        <f t="shared" si="109"/>
        <v/>
      </c>
      <c r="L408" s="2"/>
      <c r="M408" s="2"/>
      <c r="N408" s="2"/>
      <c r="O408" s="7" t="str">
        <f t="shared" si="110"/>
        <v/>
      </c>
      <c r="P408" s="7" t="str">
        <f t="shared" si="111"/>
        <v/>
      </c>
      <c r="Q408" s="7" t="str">
        <f t="shared" si="112"/>
        <v/>
      </c>
      <c r="R408" s="7" t="str">
        <f t="shared" si="113"/>
        <v/>
      </c>
      <c r="S408" s="7" t="str">
        <f t="shared" si="114"/>
        <v/>
      </c>
      <c r="T408" s="7" t="str">
        <f t="shared" si="115"/>
        <v/>
      </c>
      <c r="U408" s="7" t="str">
        <f t="shared" si="116"/>
        <v/>
      </c>
      <c r="V408" s="7" t="str">
        <f t="shared" si="117"/>
        <v/>
      </c>
      <c r="W408" s="7" t="str">
        <f t="shared" si="118"/>
        <v/>
      </c>
      <c r="X408" s="7" t="str">
        <f t="shared" si="119"/>
        <v/>
      </c>
      <c r="Y408">
        <f t="shared" si="120"/>
        <v>0</v>
      </c>
      <c r="Z408" t="str">
        <f t="shared" si="121"/>
        <v/>
      </c>
      <c r="AA408" t="str">
        <f t="shared" si="122"/>
        <v/>
      </c>
      <c r="AB408" t="str">
        <f t="shared" si="123"/>
        <v/>
      </c>
      <c r="AC408" t="str">
        <f t="shared" si="124"/>
        <v/>
      </c>
      <c r="AD408">
        <f t="shared" si="125"/>
        <v>0</v>
      </c>
    </row>
    <row r="409" spans="1:30" ht="15" customHeight="1" x14ac:dyDescent="0.35">
      <c r="A409" s="2"/>
      <c r="B409" s="3"/>
      <c r="C409" s="4"/>
      <c r="D409" s="5"/>
      <c r="E409" s="11" t="str">
        <f t="shared" ca="1" si="108"/>
        <v/>
      </c>
      <c r="F409" s="5"/>
      <c r="G409" s="6" t="str">
        <f>IF(AND($A409&lt;&gt;"",$B409&lt;&gt;"",$C409&lt;&gt;"",$D409&lt;&gt;""),IF(OR($B409="SER",$B409="PLH",$B409="CSF"),"Control CDI Plate "&amp;(INT(((COUNTIFS($B$2:$B409,"SER")+COUNTIFS($B$2:$B409,"PLH")+COUNTIFS($B$2:$B409,"CSF"))-1)/96)+1)&amp;": "&amp;CHAR(65+INT(MOD((COUNTIFS($B$2:$B409,"SER")+COUNTIFS($B$2:$B409,"PLH")+COUNTIFS($B$2:$B409,"CSF"))-1,96)/12))&amp;(MOD((COUNTIFS($B$2:$B409,"SER")+COUNTIFS($B$2:$B409,"PLH")+COUNTIFS($B$2:$B409,"CSF"))-1,12)+1),"N/A"),"")</f>
        <v/>
      </c>
      <c r="H409" s="6" t="str">
        <f>IF(AND($A409&lt;&gt;"",$B409&lt;&gt;"",$C409&lt;&gt;"",$D409&lt;&gt;""),IF(OR($B409="SER",$B409="PLH",$B409="CSF"),"Control NIH Plate "&amp;(INT(((COUNTIFS($B$2:$B409,"SER")+COUNTIFS($B$2:$B409,"PLH")+COUNTIFS($B$2:$B409,"CSF"))-1)/96)+1)&amp;": "&amp;CHAR(65+INT(MOD((COUNTIFS($B$2:$B409,"SER")+COUNTIFS($B$2:$B409,"PLH")+COUNTIFS($B$2:$B409,"CSF"))-1,96)/12))&amp;(MOD((COUNTIFS($B$2:$B409,"SER")+COUNTIFS($B$2:$B409,"PLH")+COUNTIFS($B$2:$B409,"CSF"))-1,12)+1),"N/A"),"")</f>
        <v/>
      </c>
      <c r="I409" s="6" t="str">
        <f>IF(AND($A409&lt;&gt;"",$B409&lt;&gt;"",$C409&lt;&gt;"",$D409&lt;&gt;""),IF(OR($B409="SER",$B409="PLH"),"Control MAX Planck Plate "&amp;(INT(((COUNTIFS($B$2:$B409,"SER")+COUNTIFS($B$2:$B409,"PLH"))-1)/96)+1)&amp;": "&amp;CHAR(65+INT(MOD((COUNTIFS($B$2:$B409,"SER")+COUNTIFS($B$2:$B409,"PLH"))-1,96)/12))&amp;(MOD((COUNTIFS($B$2:$B409,"SER")+COUNTIFS($B$2:$B409,"PLH"))-1,12)+1),"N/A"),"")</f>
        <v/>
      </c>
      <c r="J409" s="6" t="str">
        <f>IF(AND($A409&lt;&gt;"",$B409&lt;&gt;"",$C409&lt;&gt;"",$D409&lt;&gt;""),IF($B409="WB","Control WB Box "&amp;(INT((COUNTIFS($B$2:$B409,"WB")-1)/81)+1)&amp;": "&amp;CHAR(65+INT(MOD(COUNTIFS($B$2:$B409,"WB")-1,81)/9))&amp;(MOD(COUNTIFS($B$2:$B409,"WB")-1,9)+1),"N/A"),"")</f>
        <v/>
      </c>
      <c r="K409" s="3" t="str">
        <f t="shared" si="109"/>
        <v/>
      </c>
      <c r="L409" s="2"/>
      <c r="M409" s="2"/>
      <c r="N409" s="2"/>
      <c r="O409" s="7" t="str">
        <f t="shared" si="110"/>
        <v/>
      </c>
      <c r="P409" s="7" t="str">
        <f t="shared" si="111"/>
        <v/>
      </c>
      <c r="Q409" s="7" t="str">
        <f t="shared" si="112"/>
        <v/>
      </c>
      <c r="R409" s="7" t="str">
        <f t="shared" si="113"/>
        <v/>
      </c>
      <c r="S409" s="7" t="str">
        <f t="shared" si="114"/>
        <v/>
      </c>
      <c r="T409" s="7" t="str">
        <f t="shared" si="115"/>
        <v/>
      </c>
      <c r="U409" s="7" t="str">
        <f t="shared" si="116"/>
        <v/>
      </c>
      <c r="V409" s="7" t="str">
        <f t="shared" si="117"/>
        <v/>
      </c>
      <c r="W409" s="7" t="str">
        <f t="shared" si="118"/>
        <v/>
      </c>
      <c r="X409" s="7" t="str">
        <f t="shared" si="119"/>
        <v/>
      </c>
      <c r="Y409">
        <f t="shared" si="120"/>
        <v>0</v>
      </c>
      <c r="Z409" t="str">
        <f t="shared" si="121"/>
        <v/>
      </c>
      <c r="AA409" t="str">
        <f t="shared" si="122"/>
        <v/>
      </c>
      <c r="AB409" t="str">
        <f t="shared" si="123"/>
        <v/>
      </c>
      <c r="AC409" t="str">
        <f t="shared" si="124"/>
        <v/>
      </c>
      <c r="AD409">
        <f t="shared" si="125"/>
        <v>0</v>
      </c>
    </row>
    <row r="410" spans="1:30" ht="15" customHeight="1" x14ac:dyDescent="0.35">
      <c r="A410" s="2"/>
      <c r="B410" s="3"/>
      <c r="C410" s="4"/>
      <c r="D410" s="5"/>
      <c r="E410" s="11" t="str">
        <f t="shared" ca="1" si="108"/>
        <v/>
      </c>
      <c r="F410" s="5"/>
      <c r="G410" s="6" t="str">
        <f>IF(AND($A410&lt;&gt;"",$B410&lt;&gt;"",$C410&lt;&gt;"",$D410&lt;&gt;""),IF(OR($B410="SER",$B410="PLH",$B410="CSF"),"Control CDI Plate "&amp;(INT(((COUNTIFS($B$2:$B410,"SER")+COUNTIFS($B$2:$B410,"PLH")+COUNTIFS($B$2:$B410,"CSF"))-1)/96)+1)&amp;": "&amp;CHAR(65+INT(MOD((COUNTIFS($B$2:$B410,"SER")+COUNTIFS($B$2:$B410,"PLH")+COUNTIFS($B$2:$B410,"CSF"))-1,96)/12))&amp;(MOD((COUNTIFS($B$2:$B410,"SER")+COUNTIFS($B$2:$B410,"PLH")+COUNTIFS($B$2:$B410,"CSF"))-1,12)+1),"N/A"),"")</f>
        <v/>
      </c>
      <c r="H410" s="6" t="str">
        <f>IF(AND($A410&lt;&gt;"",$B410&lt;&gt;"",$C410&lt;&gt;"",$D410&lt;&gt;""),IF(OR($B410="SER",$B410="PLH",$B410="CSF"),"Control NIH Plate "&amp;(INT(((COUNTIFS($B$2:$B410,"SER")+COUNTIFS($B$2:$B410,"PLH")+COUNTIFS($B$2:$B410,"CSF"))-1)/96)+1)&amp;": "&amp;CHAR(65+INT(MOD((COUNTIFS($B$2:$B410,"SER")+COUNTIFS($B$2:$B410,"PLH")+COUNTIFS($B$2:$B410,"CSF"))-1,96)/12))&amp;(MOD((COUNTIFS($B$2:$B410,"SER")+COUNTIFS($B$2:$B410,"PLH")+COUNTIFS($B$2:$B410,"CSF"))-1,12)+1),"N/A"),"")</f>
        <v/>
      </c>
      <c r="I410" s="6" t="str">
        <f>IF(AND($A410&lt;&gt;"",$B410&lt;&gt;"",$C410&lt;&gt;"",$D410&lt;&gt;""),IF(OR($B410="SER",$B410="PLH"),"Control MAX Planck Plate "&amp;(INT(((COUNTIFS($B$2:$B410,"SER")+COUNTIFS($B$2:$B410,"PLH"))-1)/96)+1)&amp;": "&amp;CHAR(65+INT(MOD((COUNTIFS($B$2:$B410,"SER")+COUNTIFS($B$2:$B410,"PLH"))-1,96)/12))&amp;(MOD((COUNTIFS($B$2:$B410,"SER")+COUNTIFS($B$2:$B410,"PLH"))-1,12)+1),"N/A"),"")</f>
        <v/>
      </c>
      <c r="J410" s="6" t="str">
        <f>IF(AND($A410&lt;&gt;"",$B410&lt;&gt;"",$C410&lt;&gt;"",$D410&lt;&gt;""),IF($B410="WB","Control WB Box "&amp;(INT((COUNTIFS($B$2:$B410,"WB")-1)/81)+1)&amp;": "&amp;CHAR(65+INT(MOD(COUNTIFS($B$2:$B410,"WB")-1,81)/9))&amp;(MOD(COUNTIFS($B$2:$B410,"WB")-1,9)+1),"N/A"),"")</f>
        <v/>
      </c>
      <c r="K410" s="3" t="str">
        <f t="shared" si="109"/>
        <v/>
      </c>
      <c r="L410" s="2"/>
      <c r="M410" s="2"/>
      <c r="N410" s="2"/>
      <c r="O410" s="7" t="str">
        <f t="shared" si="110"/>
        <v/>
      </c>
      <c r="P410" s="7" t="str">
        <f t="shared" si="111"/>
        <v/>
      </c>
      <c r="Q410" s="7" t="str">
        <f t="shared" si="112"/>
        <v/>
      </c>
      <c r="R410" s="7" t="str">
        <f t="shared" si="113"/>
        <v/>
      </c>
      <c r="S410" s="7" t="str">
        <f t="shared" si="114"/>
        <v/>
      </c>
      <c r="T410" s="7" t="str">
        <f t="shared" si="115"/>
        <v/>
      </c>
      <c r="U410" s="7" t="str">
        <f t="shared" si="116"/>
        <v/>
      </c>
      <c r="V410" s="7" t="str">
        <f t="shared" si="117"/>
        <v/>
      </c>
      <c r="W410" s="7" t="str">
        <f t="shared" si="118"/>
        <v/>
      </c>
      <c r="X410" s="7" t="str">
        <f t="shared" si="119"/>
        <v/>
      </c>
      <c r="Y410">
        <f t="shared" si="120"/>
        <v>0</v>
      </c>
      <c r="Z410" t="str">
        <f t="shared" si="121"/>
        <v/>
      </c>
      <c r="AA410" t="str">
        <f t="shared" si="122"/>
        <v/>
      </c>
      <c r="AB410" t="str">
        <f t="shared" si="123"/>
        <v/>
      </c>
      <c r="AC410" t="str">
        <f t="shared" si="124"/>
        <v/>
      </c>
      <c r="AD410">
        <f t="shared" si="125"/>
        <v>0</v>
      </c>
    </row>
    <row r="411" spans="1:30" ht="15" customHeight="1" x14ac:dyDescent="0.35">
      <c r="A411" s="2"/>
      <c r="B411" s="3"/>
      <c r="C411" s="4"/>
      <c r="D411" s="5"/>
      <c r="E411" s="11" t="str">
        <f t="shared" ca="1" si="108"/>
        <v/>
      </c>
      <c r="F411" s="5"/>
      <c r="G411" s="6" t="str">
        <f>IF(AND($A411&lt;&gt;"",$B411&lt;&gt;"",$C411&lt;&gt;"",$D411&lt;&gt;""),IF(OR($B411="SER",$B411="PLH",$B411="CSF"),"Control CDI Plate "&amp;(INT(((COUNTIFS($B$2:$B411,"SER")+COUNTIFS($B$2:$B411,"PLH")+COUNTIFS($B$2:$B411,"CSF"))-1)/96)+1)&amp;": "&amp;CHAR(65+INT(MOD((COUNTIFS($B$2:$B411,"SER")+COUNTIFS($B$2:$B411,"PLH")+COUNTIFS($B$2:$B411,"CSF"))-1,96)/12))&amp;(MOD((COUNTIFS($B$2:$B411,"SER")+COUNTIFS($B$2:$B411,"PLH")+COUNTIFS($B$2:$B411,"CSF"))-1,12)+1),"N/A"),"")</f>
        <v/>
      </c>
      <c r="H411" s="6" t="str">
        <f>IF(AND($A411&lt;&gt;"",$B411&lt;&gt;"",$C411&lt;&gt;"",$D411&lt;&gt;""),IF(OR($B411="SER",$B411="PLH",$B411="CSF"),"Control NIH Plate "&amp;(INT(((COUNTIFS($B$2:$B411,"SER")+COUNTIFS($B$2:$B411,"PLH")+COUNTIFS($B$2:$B411,"CSF"))-1)/96)+1)&amp;": "&amp;CHAR(65+INT(MOD((COUNTIFS($B$2:$B411,"SER")+COUNTIFS($B$2:$B411,"PLH")+COUNTIFS($B$2:$B411,"CSF"))-1,96)/12))&amp;(MOD((COUNTIFS($B$2:$B411,"SER")+COUNTIFS($B$2:$B411,"PLH")+COUNTIFS($B$2:$B411,"CSF"))-1,12)+1),"N/A"),"")</f>
        <v/>
      </c>
      <c r="I411" s="6" t="str">
        <f>IF(AND($A411&lt;&gt;"",$B411&lt;&gt;"",$C411&lt;&gt;"",$D411&lt;&gt;""),IF(OR($B411="SER",$B411="PLH"),"Control MAX Planck Plate "&amp;(INT(((COUNTIFS($B$2:$B411,"SER")+COUNTIFS($B$2:$B411,"PLH"))-1)/96)+1)&amp;": "&amp;CHAR(65+INT(MOD((COUNTIFS($B$2:$B411,"SER")+COUNTIFS($B$2:$B411,"PLH"))-1,96)/12))&amp;(MOD((COUNTIFS($B$2:$B411,"SER")+COUNTIFS($B$2:$B411,"PLH"))-1,12)+1),"N/A"),"")</f>
        <v/>
      </c>
      <c r="J411" s="6" t="str">
        <f>IF(AND($A411&lt;&gt;"",$B411&lt;&gt;"",$C411&lt;&gt;"",$D411&lt;&gt;""),IF($B411="WB","Control WB Box "&amp;(INT((COUNTIFS($B$2:$B411,"WB")-1)/81)+1)&amp;": "&amp;CHAR(65+INT(MOD(COUNTIFS($B$2:$B411,"WB")-1,81)/9))&amp;(MOD(COUNTIFS($B$2:$B411,"WB")-1,9)+1),"N/A"),"")</f>
        <v/>
      </c>
      <c r="K411" s="3" t="str">
        <f t="shared" si="109"/>
        <v/>
      </c>
      <c r="L411" s="2"/>
      <c r="M411" s="2"/>
      <c r="N411" s="2"/>
      <c r="O411" s="7" t="str">
        <f t="shared" si="110"/>
        <v/>
      </c>
      <c r="P411" s="7" t="str">
        <f t="shared" si="111"/>
        <v/>
      </c>
      <c r="Q411" s="7" t="str">
        <f t="shared" si="112"/>
        <v/>
      </c>
      <c r="R411" s="7" t="str">
        <f t="shared" si="113"/>
        <v/>
      </c>
      <c r="S411" s="7" t="str">
        <f t="shared" si="114"/>
        <v/>
      </c>
      <c r="T411" s="7" t="str">
        <f t="shared" si="115"/>
        <v/>
      </c>
      <c r="U411" s="7" t="str">
        <f t="shared" si="116"/>
        <v/>
      </c>
      <c r="V411" s="7" t="str">
        <f t="shared" si="117"/>
        <v/>
      </c>
      <c r="W411" s="7" t="str">
        <f t="shared" si="118"/>
        <v/>
      </c>
      <c r="X411" s="7" t="str">
        <f t="shared" si="119"/>
        <v/>
      </c>
      <c r="Y411">
        <f t="shared" si="120"/>
        <v>0</v>
      </c>
      <c r="Z411" t="str">
        <f t="shared" si="121"/>
        <v/>
      </c>
      <c r="AA411" t="str">
        <f t="shared" si="122"/>
        <v/>
      </c>
      <c r="AB411" t="str">
        <f t="shared" si="123"/>
        <v/>
      </c>
      <c r="AC411" t="str">
        <f t="shared" si="124"/>
        <v/>
      </c>
      <c r="AD411">
        <f t="shared" si="125"/>
        <v>0</v>
      </c>
    </row>
    <row r="412" spans="1:30" ht="15" customHeight="1" x14ac:dyDescent="0.35">
      <c r="A412" s="2"/>
      <c r="B412" s="3"/>
      <c r="C412" s="4"/>
      <c r="D412" s="5"/>
      <c r="E412" s="11" t="str">
        <f t="shared" ca="1" si="108"/>
        <v/>
      </c>
      <c r="F412" s="5"/>
      <c r="G412" s="6" t="str">
        <f>IF(AND($A412&lt;&gt;"",$B412&lt;&gt;"",$C412&lt;&gt;"",$D412&lt;&gt;""),IF(OR($B412="SER",$B412="PLH",$B412="CSF"),"Control CDI Plate "&amp;(INT(((COUNTIFS($B$2:$B412,"SER")+COUNTIFS($B$2:$B412,"PLH")+COUNTIFS($B$2:$B412,"CSF"))-1)/96)+1)&amp;": "&amp;CHAR(65+INT(MOD((COUNTIFS($B$2:$B412,"SER")+COUNTIFS($B$2:$B412,"PLH")+COUNTIFS($B$2:$B412,"CSF"))-1,96)/12))&amp;(MOD((COUNTIFS($B$2:$B412,"SER")+COUNTIFS($B$2:$B412,"PLH")+COUNTIFS($B$2:$B412,"CSF"))-1,12)+1),"N/A"),"")</f>
        <v/>
      </c>
      <c r="H412" s="6" t="str">
        <f>IF(AND($A412&lt;&gt;"",$B412&lt;&gt;"",$C412&lt;&gt;"",$D412&lt;&gt;""),IF(OR($B412="SER",$B412="PLH",$B412="CSF"),"Control NIH Plate "&amp;(INT(((COUNTIFS($B$2:$B412,"SER")+COUNTIFS($B$2:$B412,"PLH")+COUNTIFS($B$2:$B412,"CSF"))-1)/96)+1)&amp;": "&amp;CHAR(65+INT(MOD((COUNTIFS($B$2:$B412,"SER")+COUNTIFS($B$2:$B412,"PLH")+COUNTIFS($B$2:$B412,"CSF"))-1,96)/12))&amp;(MOD((COUNTIFS($B$2:$B412,"SER")+COUNTIFS($B$2:$B412,"PLH")+COUNTIFS($B$2:$B412,"CSF"))-1,12)+1),"N/A"),"")</f>
        <v/>
      </c>
      <c r="I412" s="6" t="str">
        <f>IF(AND($A412&lt;&gt;"",$B412&lt;&gt;"",$C412&lt;&gt;"",$D412&lt;&gt;""),IF(OR($B412="SER",$B412="PLH"),"Control MAX Planck Plate "&amp;(INT(((COUNTIFS($B$2:$B412,"SER")+COUNTIFS($B$2:$B412,"PLH"))-1)/96)+1)&amp;": "&amp;CHAR(65+INT(MOD((COUNTIFS($B$2:$B412,"SER")+COUNTIFS($B$2:$B412,"PLH"))-1,96)/12))&amp;(MOD((COUNTIFS($B$2:$B412,"SER")+COUNTIFS($B$2:$B412,"PLH"))-1,12)+1),"N/A"),"")</f>
        <v/>
      </c>
      <c r="J412" s="6" t="str">
        <f>IF(AND($A412&lt;&gt;"",$B412&lt;&gt;"",$C412&lt;&gt;"",$D412&lt;&gt;""),IF($B412="WB","Control WB Box "&amp;(INT((COUNTIFS($B$2:$B412,"WB")-1)/81)+1)&amp;": "&amp;CHAR(65+INT(MOD(COUNTIFS($B$2:$B412,"WB")-1,81)/9))&amp;(MOD(COUNTIFS($B$2:$B412,"WB")-1,9)+1),"N/A"),"")</f>
        <v/>
      </c>
      <c r="K412" s="3" t="str">
        <f t="shared" si="109"/>
        <v/>
      </c>
      <c r="L412" s="2"/>
      <c r="M412" s="2"/>
      <c r="N412" s="2"/>
      <c r="O412" s="7" t="str">
        <f t="shared" si="110"/>
        <v/>
      </c>
      <c r="P412" s="7" t="str">
        <f t="shared" si="111"/>
        <v/>
      </c>
      <c r="Q412" s="7" t="str">
        <f t="shared" si="112"/>
        <v/>
      </c>
      <c r="R412" s="7" t="str">
        <f t="shared" si="113"/>
        <v/>
      </c>
      <c r="S412" s="7" t="str">
        <f t="shared" si="114"/>
        <v/>
      </c>
      <c r="T412" s="7" t="str">
        <f t="shared" si="115"/>
        <v/>
      </c>
      <c r="U412" s="7" t="str">
        <f t="shared" si="116"/>
        <v/>
      </c>
      <c r="V412" s="7" t="str">
        <f t="shared" si="117"/>
        <v/>
      </c>
      <c r="W412" s="7" t="str">
        <f t="shared" si="118"/>
        <v/>
      </c>
      <c r="X412" s="7" t="str">
        <f t="shared" si="119"/>
        <v/>
      </c>
      <c r="Y412">
        <f t="shared" si="120"/>
        <v>0</v>
      </c>
      <c r="Z412" t="str">
        <f t="shared" si="121"/>
        <v/>
      </c>
      <c r="AA412" t="str">
        <f t="shared" si="122"/>
        <v/>
      </c>
      <c r="AB412" t="str">
        <f t="shared" si="123"/>
        <v/>
      </c>
      <c r="AC412" t="str">
        <f t="shared" si="124"/>
        <v/>
      </c>
      <c r="AD412">
        <f t="shared" si="125"/>
        <v>0</v>
      </c>
    </row>
    <row r="413" spans="1:30" ht="15" customHeight="1" x14ac:dyDescent="0.35">
      <c r="A413" s="2"/>
      <c r="B413" s="3"/>
      <c r="C413" s="4"/>
      <c r="D413" s="5"/>
      <c r="E413" s="11" t="str">
        <f t="shared" ca="1" si="108"/>
        <v/>
      </c>
      <c r="F413" s="5"/>
      <c r="G413" s="6" t="str">
        <f>IF(AND($A413&lt;&gt;"",$B413&lt;&gt;"",$C413&lt;&gt;"",$D413&lt;&gt;""),IF(OR($B413="SER",$B413="PLH",$B413="CSF"),"Control CDI Plate "&amp;(INT(((COUNTIFS($B$2:$B413,"SER")+COUNTIFS($B$2:$B413,"PLH")+COUNTIFS($B$2:$B413,"CSF"))-1)/96)+1)&amp;": "&amp;CHAR(65+INT(MOD((COUNTIFS($B$2:$B413,"SER")+COUNTIFS($B$2:$B413,"PLH")+COUNTIFS($B$2:$B413,"CSF"))-1,96)/12))&amp;(MOD((COUNTIFS($B$2:$B413,"SER")+COUNTIFS($B$2:$B413,"PLH")+COUNTIFS($B$2:$B413,"CSF"))-1,12)+1),"N/A"),"")</f>
        <v/>
      </c>
      <c r="H413" s="6" t="str">
        <f>IF(AND($A413&lt;&gt;"",$B413&lt;&gt;"",$C413&lt;&gt;"",$D413&lt;&gt;""),IF(OR($B413="SER",$B413="PLH",$B413="CSF"),"Control NIH Plate "&amp;(INT(((COUNTIFS($B$2:$B413,"SER")+COUNTIFS($B$2:$B413,"PLH")+COUNTIFS($B$2:$B413,"CSF"))-1)/96)+1)&amp;": "&amp;CHAR(65+INT(MOD((COUNTIFS($B$2:$B413,"SER")+COUNTIFS($B$2:$B413,"PLH")+COUNTIFS($B$2:$B413,"CSF"))-1,96)/12))&amp;(MOD((COUNTIFS($B$2:$B413,"SER")+COUNTIFS($B$2:$B413,"PLH")+COUNTIFS($B$2:$B413,"CSF"))-1,12)+1),"N/A"),"")</f>
        <v/>
      </c>
      <c r="I413" s="6" t="str">
        <f>IF(AND($A413&lt;&gt;"",$B413&lt;&gt;"",$C413&lt;&gt;"",$D413&lt;&gt;""),IF(OR($B413="SER",$B413="PLH"),"Control MAX Planck Plate "&amp;(INT(((COUNTIFS($B$2:$B413,"SER")+COUNTIFS($B$2:$B413,"PLH"))-1)/96)+1)&amp;": "&amp;CHAR(65+INT(MOD((COUNTIFS($B$2:$B413,"SER")+COUNTIFS($B$2:$B413,"PLH"))-1,96)/12))&amp;(MOD((COUNTIFS($B$2:$B413,"SER")+COUNTIFS($B$2:$B413,"PLH"))-1,12)+1),"N/A"),"")</f>
        <v/>
      </c>
      <c r="J413" s="6" t="str">
        <f>IF(AND($A413&lt;&gt;"",$B413&lt;&gt;"",$C413&lt;&gt;"",$D413&lt;&gt;""),IF($B413="WB","Control WB Box "&amp;(INT((COUNTIFS($B$2:$B413,"WB")-1)/81)+1)&amp;": "&amp;CHAR(65+INT(MOD(COUNTIFS($B$2:$B413,"WB")-1,81)/9))&amp;(MOD(COUNTIFS($B$2:$B413,"WB")-1,9)+1),"N/A"),"")</f>
        <v/>
      </c>
      <c r="K413" s="3" t="str">
        <f t="shared" si="109"/>
        <v/>
      </c>
      <c r="L413" s="2"/>
      <c r="M413" s="2"/>
      <c r="N413" s="2"/>
      <c r="O413" s="7" t="str">
        <f t="shared" si="110"/>
        <v/>
      </c>
      <c r="P413" s="7" t="str">
        <f t="shared" si="111"/>
        <v/>
      </c>
      <c r="Q413" s="7" t="str">
        <f t="shared" si="112"/>
        <v/>
      </c>
      <c r="R413" s="7" t="str">
        <f t="shared" si="113"/>
        <v/>
      </c>
      <c r="S413" s="7" t="str">
        <f t="shared" si="114"/>
        <v/>
      </c>
      <c r="T413" s="7" t="str">
        <f t="shared" si="115"/>
        <v/>
      </c>
      <c r="U413" s="7" t="str">
        <f t="shared" si="116"/>
        <v/>
      </c>
      <c r="V413" s="7" t="str">
        <f t="shared" si="117"/>
        <v/>
      </c>
      <c r="W413" s="7" t="str">
        <f t="shared" si="118"/>
        <v/>
      </c>
      <c r="X413" s="7" t="str">
        <f t="shared" si="119"/>
        <v/>
      </c>
      <c r="Y413">
        <f t="shared" si="120"/>
        <v>0</v>
      </c>
      <c r="Z413" t="str">
        <f t="shared" si="121"/>
        <v/>
      </c>
      <c r="AA413" t="str">
        <f t="shared" si="122"/>
        <v/>
      </c>
      <c r="AB413" t="str">
        <f t="shared" si="123"/>
        <v/>
      </c>
      <c r="AC413" t="str">
        <f t="shared" si="124"/>
        <v/>
      </c>
      <c r="AD413">
        <f t="shared" si="125"/>
        <v>0</v>
      </c>
    </row>
    <row r="414" spans="1:30" ht="15" customHeight="1" x14ac:dyDescent="0.35">
      <c r="A414" s="2"/>
      <c r="B414" s="3"/>
      <c r="C414" s="4"/>
      <c r="D414" s="5"/>
      <c r="E414" s="11" t="str">
        <f t="shared" ca="1" si="108"/>
        <v/>
      </c>
      <c r="F414" s="5"/>
      <c r="G414" s="6" t="str">
        <f>IF(AND($A414&lt;&gt;"",$B414&lt;&gt;"",$C414&lt;&gt;"",$D414&lt;&gt;""),IF(OR($B414="SER",$B414="PLH",$B414="CSF"),"Control CDI Plate "&amp;(INT(((COUNTIFS($B$2:$B414,"SER")+COUNTIFS($B$2:$B414,"PLH")+COUNTIFS($B$2:$B414,"CSF"))-1)/96)+1)&amp;": "&amp;CHAR(65+INT(MOD((COUNTIFS($B$2:$B414,"SER")+COUNTIFS($B$2:$B414,"PLH")+COUNTIFS($B$2:$B414,"CSF"))-1,96)/12))&amp;(MOD((COUNTIFS($B$2:$B414,"SER")+COUNTIFS($B$2:$B414,"PLH")+COUNTIFS($B$2:$B414,"CSF"))-1,12)+1),"N/A"),"")</f>
        <v/>
      </c>
      <c r="H414" s="6" t="str">
        <f>IF(AND($A414&lt;&gt;"",$B414&lt;&gt;"",$C414&lt;&gt;"",$D414&lt;&gt;""),IF(OR($B414="SER",$B414="PLH",$B414="CSF"),"Control NIH Plate "&amp;(INT(((COUNTIFS($B$2:$B414,"SER")+COUNTIFS($B$2:$B414,"PLH")+COUNTIFS($B$2:$B414,"CSF"))-1)/96)+1)&amp;": "&amp;CHAR(65+INT(MOD((COUNTIFS($B$2:$B414,"SER")+COUNTIFS($B$2:$B414,"PLH")+COUNTIFS($B$2:$B414,"CSF"))-1,96)/12))&amp;(MOD((COUNTIFS($B$2:$B414,"SER")+COUNTIFS($B$2:$B414,"PLH")+COUNTIFS($B$2:$B414,"CSF"))-1,12)+1),"N/A"),"")</f>
        <v/>
      </c>
      <c r="I414" s="6" t="str">
        <f>IF(AND($A414&lt;&gt;"",$B414&lt;&gt;"",$C414&lt;&gt;"",$D414&lt;&gt;""),IF(OR($B414="SER",$B414="PLH"),"Control MAX Planck Plate "&amp;(INT(((COUNTIFS($B$2:$B414,"SER")+COUNTIFS($B$2:$B414,"PLH"))-1)/96)+1)&amp;": "&amp;CHAR(65+INT(MOD((COUNTIFS($B$2:$B414,"SER")+COUNTIFS($B$2:$B414,"PLH"))-1,96)/12))&amp;(MOD((COUNTIFS($B$2:$B414,"SER")+COUNTIFS($B$2:$B414,"PLH"))-1,12)+1),"N/A"),"")</f>
        <v/>
      </c>
      <c r="J414" s="6" t="str">
        <f>IF(AND($A414&lt;&gt;"",$B414&lt;&gt;"",$C414&lt;&gt;"",$D414&lt;&gt;""),IF($B414="WB","Control WB Box "&amp;(INT((COUNTIFS($B$2:$B414,"WB")-1)/81)+1)&amp;": "&amp;CHAR(65+INT(MOD(COUNTIFS($B$2:$B414,"WB")-1,81)/9))&amp;(MOD(COUNTIFS($B$2:$B414,"WB")-1,9)+1),"N/A"),"")</f>
        <v/>
      </c>
      <c r="K414" s="3" t="str">
        <f t="shared" si="109"/>
        <v/>
      </c>
      <c r="L414" s="2"/>
      <c r="M414" s="2"/>
      <c r="N414" s="2"/>
      <c r="O414" s="7" t="str">
        <f t="shared" si="110"/>
        <v/>
      </c>
      <c r="P414" s="7" t="str">
        <f t="shared" si="111"/>
        <v/>
      </c>
      <c r="Q414" s="7" t="str">
        <f t="shared" si="112"/>
        <v/>
      </c>
      <c r="R414" s="7" t="str">
        <f t="shared" si="113"/>
        <v/>
      </c>
      <c r="S414" s="7" t="str">
        <f t="shared" si="114"/>
        <v/>
      </c>
      <c r="T414" s="7" t="str">
        <f t="shared" si="115"/>
        <v/>
      </c>
      <c r="U414" s="7" t="str">
        <f t="shared" si="116"/>
        <v/>
      </c>
      <c r="V414" s="7" t="str">
        <f t="shared" si="117"/>
        <v/>
      </c>
      <c r="W414" s="7" t="str">
        <f t="shared" si="118"/>
        <v/>
      </c>
      <c r="X414" s="7" t="str">
        <f t="shared" si="119"/>
        <v/>
      </c>
      <c r="Y414">
        <f t="shared" si="120"/>
        <v>0</v>
      </c>
      <c r="Z414" t="str">
        <f t="shared" si="121"/>
        <v/>
      </c>
      <c r="AA414" t="str">
        <f t="shared" si="122"/>
        <v/>
      </c>
      <c r="AB414" t="str">
        <f t="shared" si="123"/>
        <v/>
      </c>
      <c r="AC414" t="str">
        <f t="shared" si="124"/>
        <v/>
      </c>
      <c r="AD414">
        <f t="shared" si="125"/>
        <v>0</v>
      </c>
    </row>
    <row r="415" spans="1:30" ht="15" customHeight="1" x14ac:dyDescent="0.35">
      <c r="A415" s="2"/>
      <c r="B415" s="3"/>
      <c r="C415" s="4"/>
      <c r="D415" s="5"/>
      <c r="E415" s="11" t="str">
        <f t="shared" ca="1" si="108"/>
        <v/>
      </c>
      <c r="F415" s="5"/>
      <c r="G415" s="6" t="str">
        <f>IF(AND($A415&lt;&gt;"",$B415&lt;&gt;"",$C415&lt;&gt;"",$D415&lt;&gt;""),IF(OR($B415="SER",$B415="PLH",$B415="CSF"),"Control CDI Plate "&amp;(INT(((COUNTIFS($B$2:$B415,"SER")+COUNTIFS($B$2:$B415,"PLH")+COUNTIFS($B$2:$B415,"CSF"))-1)/96)+1)&amp;": "&amp;CHAR(65+INT(MOD((COUNTIFS($B$2:$B415,"SER")+COUNTIFS($B$2:$B415,"PLH")+COUNTIFS($B$2:$B415,"CSF"))-1,96)/12))&amp;(MOD((COUNTIFS($B$2:$B415,"SER")+COUNTIFS($B$2:$B415,"PLH")+COUNTIFS($B$2:$B415,"CSF"))-1,12)+1),"N/A"),"")</f>
        <v/>
      </c>
      <c r="H415" s="6" t="str">
        <f>IF(AND($A415&lt;&gt;"",$B415&lt;&gt;"",$C415&lt;&gt;"",$D415&lt;&gt;""),IF(OR($B415="SER",$B415="PLH",$B415="CSF"),"Control NIH Plate "&amp;(INT(((COUNTIFS($B$2:$B415,"SER")+COUNTIFS($B$2:$B415,"PLH")+COUNTIFS($B$2:$B415,"CSF"))-1)/96)+1)&amp;": "&amp;CHAR(65+INT(MOD((COUNTIFS($B$2:$B415,"SER")+COUNTIFS($B$2:$B415,"PLH")+COUNTIFS($B$2:$B415,"CSF"))-1,96)/12))&amp;(MOD((COUNTIFS($B$2:$B415,"SER")+COUNTIFS($B$2:$B415,"PLH")+COUNTIFS($B$2:$B415,"CSF"))-1,12)+1),"N/A"),"")</f>
        <v/>
      </c>
      <c r="I415" s="6" t="str">
        <f>IF(AND($A415&lt;&gt;"",$B415&lt;&gt;"",$C415&lt;&gt;"",$D415&lt;&gt;""),IF(OR($B415="SER",$B415="PLH"),"Control MAX Planck Plate "&amp;(INT(((COUNTIFS($B$2:$B415,"SER")+COUNTIFS($B$2:$B415,"PLH"))-1)/96)+1)&amp;": "&amp;CHAR(65+INT(MOD((COUNTIFS($B$2:$B415,"SER")+COUNTIFS($B$2:$B415,"PLH"))-1,96)/12))&amp;(MOD((COUNTIFS($B$2:$B415,"SER")+COUNTIFS($B$2:$B415,"PLH"))-1,12)+1),"N/A"),"")</f>
        <v/>
      </c>
      <c r="J415" s="6" t="str">
        <f>IF(AND($A415&lt;&gt;"",$B415&lt;&gt;"",$C415&lt;&gt;"",$D415&lt;&gt;""),IF($B415="WB","Control WB Box "&amp;(INT((COUNTIFS($B$2:$B415,"WB")-1)/81)+1)&amp;": "&amp;CHAR(65+INT(MOD(COUNTIFS($B$2:$B415,"WB")-1,81)/9))&amp;(MOD(COUNTIFS($B$2:$B415,"WB")-1,9)+1),"N/A"),"")</f>
        <v/>
      </c>
      <c r="K415" s="3" t="str">
        <f t="shared" si="109"/>
        <v/>
      </c>
      <c r="L415" s="2"/>
      <c r="M415" s="2"/>
      <c r="N415" s="2"/>
      <c r="O415" s="7" t="str">
        <f t="shared" si="110"/>
        <v/>
      </c>
      <c r="P415" s="7" t="str">
        <f t="shared" si="111"/>
        <v/>
      </c>
      <c r="Q415" s="7" t="str">
        <f t="shared" si="112"/>
        <v/>
      </c>
      <c r="R415" s="7" t="str">
        <f t="shared" si="113"/>
        <v/>
      </c>
      <c r="S415" s="7" t="str">
        <f t="shared" si="114"/>
        <v/>
      </c>
      <c r="T415" s="7" t="str">
        <f t="shared" si="115"/>
        <v/>
      </c>
      <c r="U415" s="7" t="str">
        <f t="shared" si="116"/>
        <v/>
      </c>
      <c r="V415" s="7" t="str">
        <f t="shared" si="117"/>
        <v/>
      </c>
      <c r="W415" s="7" t="str">
        <f t="shared" si="118"/>
        <v/>
      </c>
      <c r="X415" s="7" t="str">
        <f t="shared" si="119"/>
        <v/>
      </c>
      <c r="Y415">
        <f t="shared" si="120"/>
        <v>0</v>
      </c>
      <c r="Z415" t="str">
        <f t="shared" si="121"/>
        <v/>
      </c>
      <c r="AA415" t="str">
        <f t="shared" si="122"/>
        <v/>
      </c>
      <c r="AB415" t="str">
        <f t="shared" si="123"/>
        <v/>
      </c>
      <c r="AC415" t="str">
        <f t="shared" si="124"/>
        <v/>
      </c>
      <c r="AD415">
        <f t="shared" si="125"/>
        <v>0</v>
      </c>
    </row>
    <row r="416" spans="1:30" ht="15" customHeight="1" x14ac:dyDescent="0.35">
      <c r="A416" s="2"/>
      <c r="B416" s="3"/>
      <c r="C416" s="4"/>
      <c r="D416" s="5"/>
      <c r="E416" s="11" t="str">
        <f t="shared" ca="1" si="108"/>
        <v/>
      </c>
      <c r="F416" s="5"/>
      <c r="G416" s="6" t="str">
        <f>IF(AND($A416&lt;&gt;"",$B416&lt;&gt;"",$C416&lt;&gt;"",$D416&lt;&gt;""),IF(OR($B416="SER",$B416="PLH",$B416="CSF"),"Control CDI Plate "&amp;(INT(((COUNTIFS($B$2:$B416,"SER")+COUNTIFS($B$2:$B416,"PLH")+COUNTIFS($B$2:$B416,"CSF"))-1)/96)+1)&amp;": "&amp;CHAR(65+INT(MOD((COUNTIFS($B$2:$B416,"SER")+COUNTIFS($B$2:$B416,"PLH")+COUNTIFS($B$2:$B416,"CSF"))-1,96)/12))&amp;(MOD((COUNTIFS($B$2:$B416,"SER")+COUNTIFS($B$2:$B416,"PLH")+COUNTIFS($B$2:$B416,"CSF"))-1,12)+1),"N/A"),"")</f>
        <v/>
      </c>
      <c r="H416" s="6" t="str">
        <f>IF(AND($A416&lt;&gt;"",$B416&lt;&gt;"",$C416&lt;&gt;"",$D416&lt;&gt;""),IF(OR($B416="SER",$B416="PLH",$B416="CSF"),"Control NIH Plate "&amp;(INT(((COUNTIFS($B$2:$B416,"SER")+COUNTIFS($B$2:$B416,"PLH")+COUNTIFS($B$2:$B416,"CSF"))-1)/96)+1)&amp;": "&amp;CHAR(65+INT(MOD((COUNTIFS($B$2:$B416,"SER")+COUNTIFS($B$2:$B416,"PLH")+COUNTIFS($B$2:$B416,"CSF"))-1,96)/12))&amp;(MOD((COUNTIFS($B$2:$B416,"SER")+COUNTIFS($B$2:$B416,"PLH")+COUNTIFS($B$2:$B416,"CSF"))-1,12)+1),"N/A"),"")</f>
        <v/>
      </c>
      <c r="I416" s="6" t="str">
        <f>IF(AND($A416&lt;&gt;"",$B416&lt;&gt;"",$C416&lt;&gt;"",$D416&lt;&gt;""),IF(OR($B416="SER",$B416="PLH"),"Control MAX Planck Plate "&amp;(INT(((COUNTIFS($B$2:$B416,"SER")+COUNTIFS($B$2:$B416,"PLH"))-1)/96)+1)&amp;": "&amp;CHAR(65+INT(MOD((COUNTIFS($B$2:$B416,"SER")+COUNTIFS($B$2:$B416,"PLH"))-1,96)/12))&amp;(MOD((COUNTIFS($B$2:$B416,"SER")+COUNTIFS($B$2:$B416,"PLH"))-1,12)+1),"N/A"),"")</f>
        <v/>
      </c>
      <c r="J416" s="6" t="str">
        <f>IF(AND($A416&lt;&gt;"",$B416&lt;&gt;"",$C416&lt;&gt;"",$D416&lt;&gt;""),IF($B416="WB","Control WB Box "&amp;(INT((COUNTIFS($B$2:$B416,"WB")-1)/81)+1)&amp;": "&amp;CHAR(65+INT(MOD(COUNTIFS($B$2:$B416,"WB")-1,81)/9))&amp;(MOD(COUNTIFS($B$2:$B416,"WB")-1,9)+1),"N/A"),"")</f>
        <v/>
      </c>
      <c r="K416" s="3" t="str">
        <f t="shared" si="109"/>
        <v/>
      </c>
      <c r="L416" s="2"/>
      <c r="M416" s="2"/>
      <c r="N416" s="2"/>
      <c r="O416" s="7" t="str">
        <f t="shared" si="110"/>
        <v/>
      </c>
      <c r="P416" s="7" t="str">
        <f t="shared" si="111"/>
        <v/>
      </c>
      <c r="Q416" s="7" t="str">
        <f t="shared" si="112"/>
        <v/>
      </c>
      <c r="R416" s="7" t="str">
        <f t="shared" si="113"/>
        <v/>
      </c>
      <c r="S416" s="7" t="str">
        <f t="shared" si="114"/>
        <v/>
      </c>
      <c r="T416" s="7" t="str">
        <f t="shared" si="115"/>
        <v/>
      </c>
      <c r="U416" s="7" t="str">
        <f t="shared" si="116"/>
        <v/>
      </c>
      <c r="V416" s="7" t="str">
        <f t="shared" si="117"/>
        <v/>
      </c>
      <c r="W416" s="7" t="str">
        <f t="shared" si="118"/>
        <v/>
      </c>
      <c r="X416" s="7" t="str">
        <f t="shared" si="119"/>
        <v/>
      </c>
      <c r="Y416">
        <f t="shared" si="120"/>
        <v>0</v>
      </c>
      <c r="Z416" t="str">
        <f t="shared" si="121"/>
        <v/>
      </c>
      <c r="AA416" t="str">
        <f t="shared" si="122"/>
        <v/>
      </c>
      <c r="AB416" t="str">
        <f t="shared" si="123"/>
        <v/>
      </c>
      <c r="AC416" t="str">
        <f t="shared" si="124"/>
        <v/>
      </c>
      <c r="AD416">
        <f t="shared" si="125"/>
        <v>0</v>
      </c>
    </row>
    <row r="417" spans="1:30" ht="15" customHeight="1" x14ac:dyDescent="0.35">
      <c r="A417" s="2"/>
      <c r="B417" s="3"/>
      <c r="C417" s="4"/>
      <c r="D417" s="5"/>
      <c r="E417" s="11" t="str">
        <f t="shared" ca="1" si="108"/>
        <v/>
      </c>
      <c r="F417" s="5"/>
      <c r="G417" s="6" t="str">
        <f>IF(AND($A417&lt;&gt;"",$B417&lt;&gt;"",$C417&lt;&gt;"",$D417&lt;&gt;""),IF(OR($B417="SER",$B417="PLH",$B417="CSF"),"Control CDI Plate "&amp;(INT(((COUNTIFS($B$2:$B417,"SER")+COUNTIFS($B$2:$B417,"PLH")+COUNTIFS($B$2:$B417,"CSF"))-1)/96)+1)&amp;": "&amp;CHAR(65+INT(MOD((COUNTIFS($B$2:$B417,"SER")+COUNTIFS($B$2:$B417,"PLH")+COUNTIFS($B$2:$B417,"CSF"))-1,96)/12))&amp;(MOD((COUNTIFS($B$2:$B417,"SER")+COUNTIFS($B$2:$B417,"PLH")+COUNTIFS($B$2:$B417,"CSF"))-1,12)+1),"N/A"),"")</f>
        <v/>
      </c>
      <c r="H417" s="6" t="str">
        <f>IF(AND($A417&lt;&gt;"",$B417&lt;&gt;"",$C417&lt;&gt;"",$D417&lt;&gt;""),IF(OR($B417="SER",$B417="PLH",$B417="CSF"),"Control NIH Plate "&amp;(INT(((COUNTIFS($B$2:$B417,"SER")+COUNTIFS($B$2:$B417,"PLH")+COUNTIFS($B$2:$B417,"CSF"))-1)/96)+1)&amp;": "&amp;CHAR(65+INT(MOD((COUNTIFS($B$2:$B417,"SER")+COUNTIFS($B$2:$B417,"PLH")+COUNTIFS($B$2:$B417,"CSF"))-1,96)/12))&amp;(MOD((COUNTIFS($B$2:$B417,"SER")+COUNTIFS($B$2:$B417,"PLH")+COUNTIFS($B$2:$B417,"CSF"))-1,12)+1),"N/A"),"")</f>
        <v/>
      </c>
      <c r="I417" s="6" t="str">
        <f>IF(AND($A417&lt;&gt;"",$B417&lt;&gt;"",$C417&lt;&gt;"",$D417&lt;&gt;""),IF(OR($B417="SER",$B417="PLH"),"Control MAX Planck Plate "&amp;(INT(((COUNTIFS($B$2:$B417,"SER")+COUNTIFS($B$2:$B417,"PLH"))-1)/96)+1)&amp;": "&amp;CHAR(65+INT(MOD((COUNTIFS($B$2:$B417,"SER")+COUNTIFS($B$2:$B417,"PLH"))-1,96)/12))&amp;(MOD((COUNTIFS($B$2:$B417,"SER")+COUNTIFS($B$2:$B417,"PLH"))-1,12)+1),"N/A"),"")</f>
        <v/>
      </c>
      <c r="J417" s="6" t="str">
        <f>IF(AND($A417&lt;&gt;"",$B417&lt;&gt;"",$C417&lt;&gt;"",$D417&lt;&gt;""),IF($B417="WB","Control WB Box "&amp;(INT((COUNTIFS($B$2:$B417,"WB")-1)/81)+1)&amp;": "&amp;CHAR(65+INT(MOD(COUNTIFS($B$2:$B417,"WB")-1,81)/9))&amp;(MOD(COUNTIFS($B$2:$B417,"WB")-1,9)+1),"N/A"),"")</f>
        <v/>
      </c>
      <c r="K417" s="3" t="str">
        <f t="shared" si="109"/>
        <v/>
      </c>
      <c r="L417" s="2"/>
      <c r="M417" s="2"/>
      <c r="N417" s="2"/>
      <c r="O417" s="7" t="str">
        <f t="shared" si="110"/>
        <v/>
      </c>
      <c r="P417" s="7" t="str">
        <f t="shared" si="111"/>
        <v/>
      </c>
      <c r="Q417" s="7" t="str">
        <f t="shared" si="112"/>
        <v/>
      </c>
      <c r="R417" s="7" t="str">
        <f t="shared" si="113"/>
        <v/>
      </c>
      <c r="S417" s="7" t="str">
        <f t="shared" si="114"/>
        <v/>
      </c>
      <c r="T417" s="7" t="str">
        <f t="shared" si="115"/>
        <v/>
      </c>
      <c r="U417" s="7" t="str">
        <f t="shared" si="116"/>
        <v/>
      </c>
      <c r="V417" s="7" t="str">
        <f t="shared" si="117"/>
        <v/>
      </c>
      <c r="W417" s="7" t="str">
        <f t="shared" si="118"/>
        <v/>
      </c>
      <c r="X417" s="7" t="str">
        <f t="shared" si="119"/>
        <v/>
      </c>
      <c r="Y417">
        <f t="shared" si="120"/>
        <v>0</v>
      </c>
      <c r="Z417" t="str">
        <f t="shared" si="121"/>
        <v/>
      </c>
      <c r="AA417" t="str">
        <f t="shared" si="122"/>
        <v/>
      </c>
      <c r="AB417" t="str">
        <f t="shared" si="123"/>
        <v/>
      </c>
      <c r="AC417" t="str">
        <f t="shared" si="124"/>
        <v/>
      </c>
      <c r="AD417">
        <f t="shared" si="125"/>
        <v>0</v>
      </c>
    </row>
    <row r="418" spans="1:30" ht="15" customHeight="1" x14ac:dyDescent="0.35">
      <c r="A418" s="2"/>
      <c r="B418" s="3"/>
      <c r="C418" s="4"/>
      <c r="D418" s="5"/>
      <c r="E418" s="11" t="str">
        <f t="shared" ca="1" si="108"/>
        <v/>
      </c>
      <c r="F418" s="5"/>
      <c r="G418" s="6" t="str">
        <f>IF(AND($A418&lt;&gt;"",$B418&lt;&gt;"",$C418&lt;&gt;"",$D418&lt;&gt;""),IF(OR($B418="SER",$B418="PLH",$B418="CSF"),"Control CDI Plate "&amp;(INT(((COUNTIFS($B$2:$B418,"SER")+COUNTIFS($B$2:$B418,"PLH")+COUNTIFS($B$2:$B418,"CSF"))-1)/96)+1)&amp;": "&amp;CHAR(65+INT(MOD((COUNTIFS($B$2:$B418,"SER")+COUNTIFS($B$2:$B418,"PLH")+COUNTIFS($B$2:$B418,"CSF"))-1,96)/12))&amp;(MOD((COUNTIFS($B$2:$B418,"SER")+COUNTIFS($B$2:$B418,"PLH")+COUNTIFS($B$2:$B418,"CSF"))-1,12)+1),"N/A"),"")</f>
        <v/>
      </c>
      <c r="H418" s="6" t="str">
        <f>IF(AND($A418&lt;&gt;"",$B418&lt;&gt;"",$C418&lt;&gt;"",$D418&lt;&gt;""),IF(OR($B418="SER",$B418="PLH",$B418="CSF"),"Control NIH Plate "&amp;(INT(((COUNTIFS($B$2:$B418,"SER")+COUNTIFS($B$2:$B418,"PLH")+COUNTIFS($B$2:$B418,"CSF"))-1)/96)+1)&amp;": "&amp;CHAR(65+INT(MOD((COUNTIFS($B$2:$B418,"SER")+COUNTIFS($B$2:$B418,"PLH")+COUNTIFS($B$2:$B418,"CSF"))-1,96)/12))&amp;(MOD((COUNTIFS($B$2:$B418,"SER")+COUNTIFS($B$2:$B418,"PLH")+COUNTIFS($B$2:$B418,"CSF"))-1,12)+1),"N/A"),"")</f>
        <v/>
      </c>
      <c r="I418" s="6" t="str">
        <f>IF(AND($A418&lt;&gt;"",$B418&lt;&gt;"",$C418&lt;&gt;"",$D418&lt;&gt;""),IF(OR($B418="SER",$B418="PLH"),"Control MAX Planck Plate "&amp;(INT(((COUNTIFS($B$2:$B418,"SER")+COUNTIFS($B$2:$B418,"PLH"))-1)/96)+1)&amp;": "&amp;CHAR(65+INT(MOD((COUNTIFS($B$2:$B418,"SER")+COUNTIFS($B$2:$B418,"PLH"))-1,96)/12))&amp;(MOD((COUNTIFS($B$2:$B418,"SER")+COUNTIFS($B$2:$B418,"PLH"))-1,12)+1),"N/A"),"")</f>
        <v/>
      </c>
      <c r="J418" s="6" t="str">
        <f>IF(AND($A418&lt;&gt;"",$B418&lt;&gt;"",$C418&lt;&gt;"",$D418&lt;&gt;""),IF($B418="WB","Control WB Box "&amp;(INT((COUNTIFS($B$2:$B418,"WB")-1)/81)+1)&amp;": "&amp;CHAR(65+INT(MOD(COUNTIFS($B$2:$B418,"WB")-1,81)/9))&amp;(MOD(COUNTIFS($B$2:$B418,"WB")-1,9)+1),"N/A"),"")</f>
        <v/>
      </c>
      <c r="K418" s="3" t="str">
        <f t="shared" si="109"/>
        <v/>
      </c>
      <c r="L418" s="2"/>
      <c r="M418" s="2"/>
      <c r="N418" s="2"/>
      <c r="O418" s="7" t="str">
        <f t="shared" si="110"/>
        <v/>
      </c>
      <c r="P418" s="7" t="str">
        <f t="shared" si="111"/>
        <v/>
      </c>
      <c r="Q418" s="7" t="str">
        <f t="shared" si="112"/>
        <v/>
      </c>
      <c r="R418" s="7" t="str">
        <f t="shared" si="113"/>
        <v/>
      </c>
      <c r="S418" s="7" t="str">
        <f t="shared" si="114"/>
        <v/>
      </c>
      <c r="T418" s="7" t="str">
        <f t="shared" si="115"/>
        <v/>
      </c>
      <c r="U418" s="7" t="str">
        <f t="shared" si="116"/>
        <v/>
      </c>
      <c r="V418" s="7" t="str">
        <f t="shared" si="117"/>
        <v/>
      </c>
      <c r="W418" s="7" t="str">
        <f t="shared" si="118"/>
        <v/>
      </c>
      <c r="X418" s="7" t="str">
        <f t="shared" si="119"/>
        <v/>
      </c>
      <c r="Y418">
        <f t="shared" si="120"/>
        <v>0</v>
      </c>
      <c r="Z418" t="str">
        <f t="shared" si="121"/>
        <v/>
      </c>
      <c r="AA418" t="str">
        <f t="shared" si="122"/>
        <v/>
      </c>
      <c r="AB418" t="str">
        <f t="shared" si="123"/>
        <v/>
      </c>
      <c r="AC418" t="str">
        <f t="shared" si="124"/>
        <v/>
      </c>
      <c r="AD418">
        <f t="shared" si="125"/>
        <v>0</v>
      </c>
    </row>
    <row r="419" spans="1:30" ht="15" customHeight="1" x14ac:dyDescent="0.35">
      <c r="A419" s="2"/>
      <c r="B419" s="3"/>
      <c r="C419" s="4"/>
      <c r="D419" s="5"/>
      <c r="E419" s="11" t="str">
        <f t="shared" ca="1" si="108"/>
        <v/>
      </c>
      <c r="F419" s="5"/>
      <c r="G419" s="6" t="str">
        <f>IF(AND($A419&lt;&gt;"",$B419&lt;&gt;"",$C419&lt;&gt;"",$D419&lt;&gt;""),IF(OR($B419="SER",$B419="PLH",$B419="CSF"),"Control CDI Plate "&amp;(INT(((COUNTIFS($B$2:$B419,"SER")+COUNTIFS($B$2:$B419,"PLH")+COUNTIFS($B$2:$B419,"CSF"))-1)/96)+1)&amp;": "&amp;CHAR(65+INT(MOD((COUNTIFS($B$2:$B419,"SER")+COUNTIFS($B$2:$B419,"PLH")+COUNTIFS($B$2:$B419,"CSF"))-1,96)/12))&amp;(MOD((COUNTIFS($B$2:$B419,"SER")+COUNTIFS($B$2:$B419,"PLH")+COUNTIFS($B$2:$B419,"CSF"))-1,12)+1),"N/A"),"")</f>
        <v/>
      </c>
      <c r="H419" s="6" t="str">
        <f>IF(AND($A419&lt;&gt;"",$B419&lt;&gt;"",$C419&lt;&gt;"",$D419&lt;&gt;""),IF(OR($B419="SER",$B419="PLH",$B419="CSF"),"Control NIH Plate "&amp;(INT(((COUNTIFS($B$2:$B419,"SER")+COUNTIFS($B$2:$B419,"PLH")+COUNTIFS($B$2:$B419,"CSF"))-1)/96)+1)&amp;": "&amp;CHAR(65+INT(MOD((COUNTIFS($B$2:$B419,"SER")+COUNTIFS($B$2:$B419,"PLH")+COUNTIFS($B$2:$B419,"CSF"))-1,96)/12))&amp;(MOD((COUNTIFS($B$2:$B419,"SER")+COUNTIFS($B$2:$B419,"PLH")+COUNTIFS($B$2:$B419,"CSF"))-1,12)+1),"N/A"),"")</f>
        <v/>
      </c>
      <c r="I419" s="6" t="str">
        <f>IF(AND($A419&lt;&gt;"",$B419&lt;&gt;"",$C419&lt;&gt;"",$D419&lt;&gt;""),IF(OR($B419="SER",$B419="PLH"),"Control MAX Planck Plate "&amp;(INT(((COUNTIFS($B$2:$B419,"SER")+COUNTIFS($B$2:$B419,"PLH"))-1)/96)+1)&amp;": "&amp;CHAR(65+INT(MOD((COUNTIFS($B$2:$B419,"SER")+COUNTIFS($B$2:$B419,"PLH"))-1,96)/12))&amp;(MOD((COUNTIFS($B$2:$B419,"SER")+COUNTIFS($B$2:$B419,"PLH"))-1,12)+1),"N/A"),"")</f>
        <v/>
      </c>
      <c r="J419" s="6" t="str">
        <f>IF(AND($A419&lt;&gt;"",$B419&lt;&gt;"",$C419&lt;&gt;"",$D419&lt;&gt;""),IF($B419="WB","Control WB Box "&amp;(INT((COUNTIFS($B$2:$B419,"WB")-1)/81)+1)&amp;": "&amp;CHAR(65+INT(MOD(COUNTIFS($B$2:$B419,"WB")-1,81)/9))&amp;(MOD(COUNTIFS($B$2:$B419,"WB")-1,9)+1),"N/A"),"")</f>
        <v/>
      </c>
      <c r="K419" s="3" t="str">
        <f t="shared" si="109"/>
        <v/>
      </c>
      <c r="L419" s="2"/>
      <c r="M419" s="2"/>
      <c r="N419" s="2"/>
      <c r="O419" s="7" t="str">
        <f t="shared" si="110"/>
        <v/>
      </c>
      <c r="P419" s="7" t="str">
        <f t="shared" si="111"/>
        <v/>
      </c>
      <c r="Q419" s="7" t="str">
        <f t="shared" si="112"/>
        <v/>
      </c>
      <c r="R419" s="7" t="str">
        <f t="shared" si="113"/>
        <v/>
      </c>
      <c r="S419" s="7" t="str">
        <f t="shared" si="114"/>
        <v/>
      </c>
      <c r="T419" s="7" t="str">
        <f t="shared" si="115"/>
        <v/>
      </c>
      <c r="U419" s="7" t="str">
        <f t="shared" si="116"/>
        <v/>
      </c>
      <c r="V419" s="7" t="str">
        <f t="shared" si="117"/>
        <v/>
      </c>
      <c r="W419" s="7" t="str">
        <f t="shared" si="118"/>
        <v/>
      </c>
      <c r="X419" s="7" t="str">
        <f t="shared" si="119"/>
        <v/>
      </c>
      <c r="Y419">
        <f t="shared" si="120"/>
        <v>0</v>
      </c>
      <c r="Z419" t="str">
        <f t="shared" si="121"/>
        <v/>
      </c>
      <c r="AA419" t="str">
        <f t="shared" si="122"/>
        <v/>
      </c>
      <c r="AB419" t="str">
        <f t="shared" si="123"/>
        <v/>
      </c>
      <c r="AC419" t="str">
        <f t="shared" si="124"/>
        <v/>
      </c>
      <c r="AD419">
        <f t="shared" si="125"/>
        <v>0</v>
      </c>
    </row>
    <row r="420" spans="1:30" ht="15" customHeight="1" x14ac:dyDescent="0.35">
      <c r="A420" s="2"/>
      <c r="B420" s="3"/>
      <c r="C420" s="4"/>
      <c r="D420" s="5"/>
      <c r="E420" s="11" t="str">
        <f t="shared" ca="1" si="108"/>
        <v/>
      </c>
      <c r="F420" s="5"/>
      <c r="G420" s="6" t="str">
        <f>IF(AND($A420&lt;&gt;"",$B420&lt;&gt;"",$C420&lt;&gt;"",$D420&lt;&gt;""),IF(OR($B420="SER",$B420="PLH",$B420="CSF"),"Control CDI Plate "&amp;(INT(((COUNTIFS($B$2:$B420,"SER")+COUNTIFS($B$2:$B420,"PLH")+COUNTIFS($B$2:$B420,"CSF"))-1)/96)+1)&amp;": "&amp;CHAR(65+INT(MOD((COUNTIFS($B$2:$B420,"SER")+COUNTIFS($B$2:$B420,"PLH")+COUNTIFS($B$2:$B420,"CSF"))-1,96)/12))&amp;(MOD((COUNTIFS($B$2:$B420,"SER")+COUNTIFS($B$2:$B420,"PLH")+COUNTIFS($B$2:$B420,"CSF"))-1,12)+1),"N/A"),"")</f>
        <v/>
      </c>
      <c r="H420" s="6" t="str">
        <f>IF(AND($A420&lt;&gt;"",$B420&lt;&gt;"",$C420&lt;&gt;"",$D420&lt;&gt;""),IF(OR($B420="SER",$B420="PLH",$B420="CSF"),"Control NIH Plate "&amp;(INT(((COUNTIFS($B$2:$B420,"SER")+COUNTIFS($B$2:$B420,"PLH")+COUNTIFS($B$2:$B420,"CSF"))-1)/96)+1)&amp;": "&amp;CHAR(65+INT(MOD((COUNTIFS($B$2:$B420,"SER")+COUNTIFS($B$2:$B420,"PLH")+COUNTIFS($B$2:$B420,"CSF"))-1,96)/12))&amp;(MOD((COUNTIFS($B$2:$B420,"SER")+COUNTIFS($B$2:$B420,"PLH")+COUNTIFS($B$2:$B420,"CSF"))-1,12)+1),"N/A"),"")</f>
        <v/>
      </c>
      <c r="I420" s="6" t="str">
        <f>IF(AND($A420&lt;&gt;"",$B420&lt;&gt;"",$C420&lt;&gt;"",$D420&lt;&gt;""),IF(OR($B420="SER",$B420="PLH"),"Control MAX Planck Plate "&amp;(INT(((COUNTIFS($B$2:$B420,"SER")+COUNTIFS($B$2:$B420,"PLH"))-1)/96)+1)&amp;": "&amp;CHAR(65+INT(MOD((COUNTIFS($B$2:$B420,"SER")+COUNTIFS($B$2:$B420,"PLH"))-1,96)/12))&amp;(MOD((COUNTIFS($B$2:$B420,"SER")+COUNTIFS($B$2:$B420,"PLH"))-1,12)+1),"N/A"),"")</f>
        <v/>
      </c>
      <c r="J420" s="6" t="str">
        <f>IF(AND($A420&lt;&gt;"",$B420&lt;&gt;"",$C420&lt;&gt;"",$D420&lt;&gt;""),IF($B420="WB","Control WB Box "&amp;(INT((COUNTIFS($B$2:$B420,"WB")-1)/81)+1)&amp;": "&amp;CHAR(65+INT(MOD(COUNTIFS($B$2:$B420,"WB")-1,81)/9))&amp;(MOD(COUNTIFS($B$2:$B420,"WB")-1,9)+1),"N/A"),"")</f>
        <v/>
      </c>
      <c r="K420" s="3" t="str">
        <f t="shared" si="109"/>
        <v/>
      </c>
      <c r="L420" s="2"/>
      <c r="M420" s="2"/>
      <c r="N420" s="2"/>
      <c r="O420" s="7" t="str">
        <f t="shared" si="110"/>
        <v/>
      </c>
      <c r="P420" s="7" t="str">
        <f t="shared" si="111"/>
        <v/>
      </c>
      <c r="Q420" s="7" t="str">
        <f t="shared" si="112"/>
        <v/>
      </c>
      <c r="R420" s="7" t="str">
        <f t="shared" si="113"/>
        <v/>
      </c>
      <c r="S420" s="7" t="str">
        <f t="shared" si="114"/>
        <v/>
      </c>
      <c r="T420" s="7" t="str">
        <f t="shared" si="115"/>
        <v/>
      </c>
      <c r="U420" s="7" t="str">
        <f t="shared" si="116"/>
        <v/>
      </c>
      <c r="V420" s="7" t="str">
        <f t="shared" si="117"/>
        <v/>
      </c>
      <c r="W420" s="7" t="str">
        <f t="shared" si="118"/>
        <v/>
      </c>
      <c r="X420" s="7" t="str">
        <f t="shared" si="119"/>
        <v/>
      </c>
      <c r="Y420">
        <f t="shared" si="120"/>
        <v>0</v>
      </c>
      <c r="Z420" t="str">
        <f t="shared" si="121"/>
        <v/>
      </c>
      <c r="AA420" t="str">
        <f t="shared" si="122"/>
        <v/>
      </c>
      <c r="AB420" t="str">
        <f t="shared" si="123"/>
        <v/>
      </c>
      <c r="AC420" t="str">
        <f t="shared" si="124"/>
        <v/>
      </c>
      <c r="AD420">
        <f t="shared" si="125"/>
        <v>0</v>
      </c>
    </row>
    <row r="421" spans="1:30" ht="15" customHeight="1" x14ac:dyDescent="0.35">
      <c r="A421" s="2"/>
      <c r="B421" s="3"/>
      <c r="C421" s="4"/>
      <c r="D421" s="5"/>
      <c r="E421" s="11" t="str">
        <f t="shared" ca="1" si="108"/>
        <v/>
      </c>
      <c r="F421" s="5"/>
      <c r="G421" s="6" t="str">
        <f>IF(AND($A421&lt;&gt;"",$B421&lt;&gt;"",$C421&lt;&gt;"",$D421&lt;&gt;""),IF(OR($B421="SER",$B421="PLH",$B421="CSF"),"Control CDI Plate "&amp;(INT(((COUNTIFS($B$2:$B421,"SER")+COUNTIFS($B$2:$B421,"PLH")+COUNTIFS($B$2:$B421,"CSF"))-1)/96)+1)&amp;": "&amp;CHAR(65+INT(MOD((COUNTIFS($B$2:$B421,"SER")+COUNTIFS($B$2:$B421,"PLH")+COUNTIFS($B$2:$B421,"CSF"))-1,96)/12))&amp;(MOD((COUNTIFS($B$2:$B421,"SER")+COUNTIFS($B$2:$B421,"PLH")+COUNTIFS($B$2:$B421,"CSF"))-1,12)+1),"N/A"),"")</f>
        <v/>
      </c>
      <c r="H421" s="6" t="str">
        <f>IF(AND($A421&lt;&gt;"",$B421&lt;&gt;"",$C421&lt;&gt;"",$D421&lt;&gt;""),IF(OR($B421="SER",$B421="PLH",$B421="CSF"),"Control NIH Plate "&amp;(INT(((COUNTIFS($B$2:$B421,"SER")+COUNTIFS($B$2:$B421,"PLH")+COUNTIFS($B$2:$B421,"CSF"))-1)/96)+1)&amp;": "&amp;CHAR(65+INT(MOD((COUNTIFS($B$2:$B421,"SER")+COUNTIFS($B$2:$B421,"PLH")+COUNTIFS($B$2:$B421,"CSF"))-1,96)/12))&amp;(MOD((COUNTIFS($B$2:$B421,"SER")+COUNTIFS($B$2:$B421,"PLH")+COUNTIFS($B$2:$B421,"CSF"))-1,12)+1),"N/A"),"")</f>
        <v/>
      </c>
      <c r="I421" s="6" t="str">
        <f>IF(AND($A421&lt;&gt;"",$B421&lt;&gt;"",$C421&lt;&gt;"",$D421&lt;&gt;""),IF(OR($B421="SER",$B421="PLH"),"Control MAX Planck Plate "&amp;(INT(((COUNTIFS($B$2:$B421,"SER")+COUNTIFS($B$2:$B421,"PLH"))-1)/96)+1)&amp;": "&amp;CHAR(65+INT(MOD((COUNTIFS($B$2:$B421,"SER")+COUNTIFS($B$2:$B421,"PLH"))-1,96)/12))&amp;(MOD((COUNTIFS($B$2:$B421,"SER")+COUNTIFS($B$2:$B421,"PLH"))-1,12)+1),"N/A"),"")</f>
        <v/>
      </c>
      <c r="J421" s="6" t="str">
        <f>IF(AND($A421&lt;&gt;"",$B421&lt;&gt;"",$C421&lt;&gt;"",$D421&lt;&gt;""),IF($B421="WB","Control WB Box "&amp;(INT((COUNTIFS($B$2:$B421,"WB")-1)/81)+1)&amp;": "&amp;CHAR(65+INT(MOD(COUNTIFS($B$2:$B421,"WB")-1,81)/9))&amp;(MOD(COUNTIFS($B$2:$B421,"WB")-1,9)+1),"N/A"),"")</f>
        <v/>
      </c>
      <c r="K421" s="3" t="str">
        <f t="shared" si="109"/>
        <v/>
      </c>
      <c r="L421" s="2"/>
      <c r="M421" s="2"/>
      <c r="N421" s="2"/>
      <c r="O421" s="7" t="str">
        <f t="shared" si="110"/>
        <v/>
      </c>
      <c r="P421" s="7" t="str">
        <f t="shared" si="111"/>
        <v/>
      </c>
      <c r="Q421" s="7" t="str">
        <f t="shared" si="112"/>
        <v/>
      </c>
      <c r="R421" s="7" t="str">
        <f t="shared" si="113"/>
        <v/>
      </c>
      <c r="S421" s="7" t="str">
        <f t="shared" si="114"/>
        <v/>
      </c>
      <c r="T421" s="7" t="str">
        <f t="shared" si="115"/>
        <v/>
      </c>
      <c r="U421" s="7" t="str">
        <f t="shared" si="116"/>
        <v/>
      </c>
      <c r="V421" s="7" t="str">
        <f t="shared" si="117"/>
        <v/>
      </c>
      <c r="W421" s="7" t="str">
        <f t="shared" si="118"/>
        <v/>
      </c>
      <c r="X421" s="7" t="str">
        <f t="shared" si="119"/>
        <v/>
      </c>
      <c r="Y421">
        <f t="shared" si="120"/>
        <v>0</v>
      </c>
      <c r="Z421" t="str">
        <f t="shared" si="121"/>
        <v/>
      </c>
      <c r="AA421" t="str">
        <f t="shared" si="122"/>
        <v/>
      </c>
      <c r="AB421" t="str">
        <f t="shared" si="123"/>
        <v/>
      </c>
      <c r="AC421" t="str">
        <f t="shared" si="124"/>
        <v/>
      </c>
      <c r="AD421">
        <f t="shared" si="125"/>
        <v>0</v>
      </c>
    </row>
    <row r="422" spans="1:30" ht="15" customHeight="1" x14ac:dyDescent="0.35">
      <c r="A422" s="2"/>
      <c r="B422" s="3"/>
      <c r="C422" s="4"/>
      <c r="D422" s="5"/>
      <c r="E422" s="11" t="str">
        <f t="shared" ca="1" si="108"/>
        <v/>
      </c>
      <c r="F422" s="5"/>
      <c r="G422" s="6" t="str">
        <f>IF(AND($A422&lt;&gt;"",$B422&lt;&gt;"",$C422&lt;&gt;"",$D422&lt;&gt;""),IF(OR($B422="SER",$B422="PLH",$B422="CSF"),"Control CDI Plate "&amp;(INT(((COUNTIFS($B$2:$B422,"SER")+COUNTIFS($B$2:$B422,"PLH")+COUNTIFS($B$2:$B422,"CSF"))-1)/96)+1)&amp;": "&amp;CHAR(65+INT(MOD((COUNTIFS($B$2:$B422,"SER")+COUNTIFS($B$2:$B422,"PLH")+COUNTIFS($B$2:$B422,"CSF"))-1,96)/12))&amp;(MOD((COUNTIFS($B$2:$B422,"SER")+COUNTIFS($B$2:$B422,"PLH")+COUNTIFS($B$2:$B422,"CSF"))-1,12)+1),"N/A"),"")</f>
        <v/>
      </c>
      <c r="H422" s="6" t="str">
        <f>IF(AND($A422&lt;&gt;"",$B422&lt;&gt;"",$C422&lt;&gt;"",$D422&lt;&gt;""),IF(OR($B422="SER",$B422="PLH",$B422="CSF"),"Control NIH Plate "&amp;(INT(((COUNTIFS($B$2:$B422,"SER")+COUNTIFS($B$2:$B422,"PLH")+COUNTIFS($B$2:$B422,"CSF"))-1)/96)+1)&amp;": "&amp;CHAR(65+INT(MOD((COUNTIFS($B$2:$B422,"SER")+COUNTIFS($B$2:$B422,"PLH")+COUNTIFS($B$2:$B422,"CSF"))-1,96)/12))&amp;(MOD((COUNTIFS($B$2:$B422,"SER")+COUNTIFS($B$2:$B422,"PLH")+COUNTIFS($B$2:$B422,"CSF"))-1,12)+1),"N/A"),"")</f>
        <v/>
      </c>
      <c r="I422" s="6" t="str">
        <f>IF(AND($A422&lt;&gt;"",$B422&lt;&gt;"",$C422&lt;&gt;"",$D422&lt;&gt;""),IF(OR($B422="SER",$B422="PLH"),"Control MAX Planck Plate "&amp;(INT(((COUNTIFS($B$2:$B422,"SER")+COUNTIFS($B$2:$B422,"PLH"))-1)/96)+1)&amp;": "&amp;CHAR(65+INT(MOD((COUNTIFS($B$2:$B422,"SER")+COUNTIFS($B$2:$B422,"PLH"))-1,96)/12))&amp;(MOD((COUNTIFS($B$2:$B422,"SER")+COUNTIFS($B$2:$B422,"PLH"))-1,12)+1),"N/A"),"")</f>
        <v/>
      </c>
      <c r="J422" s="6" t="str">
        <f>IF(AND($A422&lt;&gt;"",$B422&lt;&gt;"",$C422&lt;&gt;"",$D422&lt;&gt;""),IF($B422="WB","Control WB Box "&amp;(INT((COUNTIFS($B$2:$B422,"WB")-1)/81)+1)&amp;": "&amp;CHAR(65+INT(MOD(COUNTIFS($B$2:$B422,"WB")-1,81)/9))&amp;(MOD(COUNTIFS($B$2:$B422,"WB")-1,9)+1),"N/A"),"")</f>
        <v/>
      </c>
      <c r="K422" s="3" t="str">
        <f t="shared" si="109"/>
        <v/>
      </c>
      <c r="L422" s="2"/>
      <c r="M422" s="2"/>
      <c r="N422" s="2"/>
      <c r="O422" s="7" t="str">
        <f t="shared" si="110"/>
        <v/>
      </c>
      <c r="P422" s="7" t="str">
        <f t="shared" si="111"/>
        <v/>
      </c>
      <c r="Q422" s="7" t="str">
        <f t="shared" si="112"/>
        <v/>
      </c>
      <c r="R422" s="7" t="str">
        <f t="shared" si="113"/>
        <v/>
      </c>
      <c r="S422" s="7" t="str">
        <f t="shared" si="114"/>
        <v/>
      </c>
      <c r="T422" s="7" t="str">
        <f t="shared" si="115"/>
        <v/>
      </c>
      <c r="U422" s="7" t="str">
        <f t="shared" si="116"/>
        <v/>
      </c>
      <c r="V422" s="7" t="str">
        <f t="shared" si="117"/>
        <v/>
      </c>
      <c r="W422" s="7" t="str">
        <f t="shared" si="118"/>
        <v/>
      </c>
      <c r="X422" s="7" t="str">
        <f t="shared" si="119"/>
        <v/>
      </c>
      <c r="Y422">
        <f t="shared" si="120"/>
        <v>0</v>
      </c>
      <c r="Z422" t="str">
        <f t="shared" si="121"/>
        <v/>
      </c>
      <c r="AA422" t="str">
        <f t="shared" si="122"/>
        <v/>
      </c>
      <c r="AB422" t="str">
        <f t="shared" si="123"/>
        <v/>
      </c>
      <c r="AC422" t="str">
        <f t="shared" si="124"/>
        <v/>
      </c>
      <c r="AD422">
        <f t="shared" si="125"/>
        <v>0</v>
      </c>
    </row>
    <row r="423" spans="1:30" ht="15" customHeight="1" x14ac:dyDescent="0.35">
      <c r="A423" s="2"/>
      <c r="B423" s="3"/>
      <c r="C423" s="4"/>
      <c r="D423" s="5"/>
      <c r="E423" s="11" t="str">
        <f t="shared" ca="1" si="108"/>
        <v/>
      </c>
      <c r="F423" s="5"/>
      <c r="G423" s="6" t="str">
        <f>IF(AND($A423&lt;&gt;"",$B423&lt;&gt;"",$C423&lt;&gt;"",$D423&lt;&gt;""),IF(OR($B423="SER",$B423="PLH",$B423="CSF"),"Control CDI Plate "&amp;(INT(((COUNTIFS($B$2:$B423,"SER")+COUNTIFS($B$2:$B423,"PLH")+COUNTIFS($B$2:$B423,"CSF"))-1)/96)+1)&amp;": "&amp;CHAR(65+INT(MOD((COUNTIFS($B$2:$B423,"SER")+COUNTIFS($B$2:$B423,"PLH")+COUNTIFS($B$2:$B423,"CSF"))-1,96)/12))&amp;(MOD((COUNTIFS($B$2:$B423,"SER")+COUNTIFS($B$2:$B423,"PLH")+COUNTIFS($B$2:$B423,"CSF"))-1,12)+1),"N/A"),"")</f>
        <v/>
      </c>
      <c r="H423" s="6" t="str">
        <f>IF(AND($A423&lt;&gt;"",$B423&lt;&gt;"",$C423&lt;&gt;"",$D423&lt;&gt;""),IF(OR($B423="SER",$B423="PLH",$B423="CSF"),"Control NIH Plate "&amp;(INT(((COUNTIFS($B$2:$B423,"SER")+COUNTIFS($B$2:$B423,"PLH")+COUNTIFS($B$2:$B423,"CSF"))-1)/96)+1)&amp;": "&amp;CHAR(65+INT(MOD((COUNTIFS($B$2:$B423,"SER")+COUNTIFS($B$2:$B423,"PLH")+COUNTIFS($B$2:$B423,"CSF"))-1,96)/12))&amp;(MOD((COUNTIFS($B$2:$B423,"SER")+COUNTIFS($B$2:$B423,"PLH")+COUNTIFS($B$2:$B423,"CSF"))-1,12)+1),"N/A"),"")</f>
        <v/>
      </c>
      <c r="I423" s="6" t="str">
        <f>IF(AND($A423&lt;&gt;"",$B423&lt;&gt;"",$C423&lt;&gt;"",$D423&lt;&gt;""),IF(OR($B423="SER",$B423="PLH"),"Control MAX Planck Plate "&amp;(INT(((COUNTIFS($B$2:$B423,"SER")+COUNTIFS($B$2:$B423,"PLH"))-1)/96)+1)&amp;": "&amp;CHAR(65+INT(MOD((COUNTIFS($B$2:$B423,"SER")+COUNTIFS($B$2:$B423,"PLH"))-1,96)/12))&amp;(MOD((COUNTIFS($B$2:$B423,"SER")+COUNTIFS($B$2:$B423,"PLH"))-1,12)+1),"N/A"),"")</f>
        <v/>
      </c>
      <c r="J423" s="6" t="str">
        <f>IF(AND($A423&lt;&gt;"",$B423&lt;&gt;"",$C423&lt;&gt;"",$D423&lt;&gt;""),IF($B423="WB","Control WB Box "&amp;(INT((COUNTIFS($B$2:$B423,"WB")-1)/81)+1)&amp;": "&amp;CHAR(65+INT(MOD(COUNTIFS($B$2:$B423,"WB")-1,81)/9))&amp;(MOD(COUNTIFS($B$2:$B423,"WB")-1,9)+1),"N/A"),"")</f>
        <v/>
      </c>
      <c r="K423" s="3" t="str">
        <f t="shared" si="109"/>
        <v/>
      </c>
      <c r="L423" s="2"/>
      <c r="M423" s="2"/>
      <c r="N423" s="2"/>
      <c r="O423" s="7" t="str">
        <f t="shared" si="110"/>
        <v/>
      </c>
      <c r="P423" s="7" t="str">
        <f t="shared" si="111"/>
        <v/>
      </c>
      <c r="Q423" s="7" t="str">
        <f t="shared" si="112"/>
        <v/>
      </c>
      <c r="R423" s="7" t="str">
        <f t="shared" si="113"/>
        <v/>
      </c>
      <c r="S423" s="7" t="str">
        <f t="shared" si="114"/>
        <v/>
      </c>
      <c r="T423" s="7" t="str">
        <f t="shared" si="115"/>
        <v/>
      </c>
      <c r="U423" s="7" t="str">
        <f t="shared" si="116"/>
        <v/>
      </c>
      <c r="V423" s="7" t="str">
        <f t="shared" si="117"/>
        <v/>
      </c>
      <c r="W423" s="7" t="str">
        <f t="shared" si="118"/>
        <v/>
      </c>
      <c r="X423" s="7" t="str">
        <f t="shared" si="119"/>
        <v/>
      </c>
      <c r="Y423">
        <f t="shared" si="120"/>
        <v>0</v>
      </c>
      <c r="Z423" t="str">
        <f t="shared" si="121"/>
        <v/>
      </c>
      <c r="AA423" t="str">
        <f t="shared" si="122"/>
        <v/>
      </c>
      <c r="AB423" t="str">
        <f t="shared" si="123"/>
        <v/>
      </c>
      <c r="AC423" t="str">
        <f t="shared" si="124"/>
        <v/>
      </c>
      <c r="AD423">
        <f t="shared" si="125"/>
        <v>0</v>
      </c>
    </row>
    <row r="424" spans="1:30" ht="15" customHeight="1" x14ac:dyDescent="0.35">
      <c r="A424" s="2"/>
      <c r="B424" s="3"/>
      <c r="C424" s="4"/>
      <c r="D424" s="5"/>
      <c r="E424" s="11" t="str">
        <f t="shared" ca="1" si="108"/>
        <v/>
      </c>
      <c r="F424" s="5"/>
      <c r="G424" s="6" t="str">
        <f>IF(AND($A424&lt;&gt;"",$B424&lt;&gt;"",$C424&lt;&gt;"",$D424&lt;&gt;""),IF(OR($B424="SER",$B424="PLH",$B424="CSF"),"Control CDI Plate "&amp;(INT(((COUNTIFS($B$2:$B424,"SER")+COUNTIFS($B$2:$B424,"PLH")+COUNTIFS($B$2:$B424,"CSF"))-1)/96)+1)&amp;": "&amp;CHAR(65+INT(MOD((COUNTIFS($B$2:$B424,"SER")+COUNTIFS($B$2:$B424,"PLH")+COUNTIFS($B$2:$B424,"CSF"))-1,96)/12))&amp;(MOD((COUNTIFS($B$2:$B424,"SER")+COUNTIFS($B$2:$B424,"PLH")+COUNTIFS($B$2:$B424,"CSF"))-1,12)+1),"N/A"),"")</f>
        <v/>
      </c>
      <c r="H424" s="6" t="str">
        <f>IF(AND($A424&lt;&gt;"",$B424&lt;&gt;"",$C424&lt;&gt;"",$D424&lt;&gt;""),IF(OR($B424="SER",$B424="PLH",$B424="CSF"),"Control NIH Plate "&amp;(INT(((COUNTIFS($B$2:$B424,"SER")+COUNTIFS($B$2:$B424,"PLH")+COUNTIFS($B$2:$B424,"CSF"))-1)/96)+1)&amp;": "&amp;CHAR(65+INT(MOD((COUNTIFS($B$2:$B424,"SER")+COUNTIFS($B$2:$B424,"PLH")+COUNTIFS($B$2:$B424,"CSF"))-1,96)/12))&amp;(MOD((COUNTIFS($B$2:$B424,"SER")+COUNTIFS($B$2:$B424,"PLH")+COUNTIFS($B$2:$B424,"CSF"))-1,12)+1),"N/A"),"")</f>
        <v/>
      </c>
      <c r="I424" s="6" t="str">
        <f>IF(AND($A424&lt;&gt;"",$B424&lt;&gt;"",$C424&lt;&gt;"",$D424&lt;&gt;""),IF(OR($B424="SER",$B424="PLH"),"Control MAX Planck Plate "&amp;(INT(((COUNTIFS($B$2:$B424,"SER")+COUNTIFS($B$2:$B424,"PLH"))-1)/96)+1)&amp;": "&amp;CHAR(65+INT(MOD((COUNTIFS($B$2:$B424,"SER")+COUNTIFS($B$2:$B424,"PLH"))-1,96)/12))&amp;(MOD((COUNTIFS($B$2:$B424,"SER")+COUNTIFS($B$2:$B424,"PLH"))-1,12)+1),"N/A"),"")</f>
        <v/>
      </c>
      <c r="J424" s="6" t="str">
        <f>IF(AND($A424&lt;&gt;"",$B424&lt;&gt;"",$C424&lt;&gt;"",$D424&lt;&gt;""),IF($B424="WB","Control WB Box "&amp;(INT((COUNTIFS($B$2:$B424,"WB")-1)/81)+1)&amp;": "&amp;CHAR(65+INT(MOD(COUNTIFS($B$2:$B424,"WB")-1,81)/9))&amp;(MOD(COUNTIFS($B$2:$B424,"WB")-1,9)+1),"N/A"),"")</f>
        <v/>
      </c>
      <c r="K424" s="3" t="str">
        <f t="shared" si="109"/>
        <v/>
      </c>
      <c r="L424" s="2"/>
      <c r="M424" s="2"/>
      <c r="N424" s="2"/>
      <c r="O424" s="7" t="str">
        <f t="shared" si="110"/>
        <v/>
      </c>
      <c r="P424" s="7" t="str">
        <f t="shared" si="111"/>
        <v/>
      </c>
      <c r="Q424" s="7" t="str">
        <f t="shared" si="112"/>
        <v/>
      </c>
      <c r="R424" s="7" t="str">
        <f t="shared" si="113"/>
        <v/>
      </c>
      <c r="S424" s="7" t="str">
        <f t="shared" si="114"/>
        <v/>
      </c>
      <c r="T424" s="7" t="str">
        <f t="shared" si="115"/>
        <v/>
      </c>
      <c r="U424" s="7" t="str">
        <f t="shared" si="116"/>
        <v/>
      </c>
      <c r="V424" s="7" t="str">
        <f t="shared" si="117"/>
        <v/>
      </c>
      <c r="W424" s="7" t="str">
        <f t="shared" si="118"/>
        <v/>
      </c>
      <c r="X424" s="7" t="str">
        <f t="shared" si="119"/>
        <v/>
      </c>
      <c r="Y424">
        <f t="shared" si="120"/>
        <v>0</v>
      </c>
      <c r="Z424" t="str">
        <f t="shared" si="121"/>
        <v/>
      </c>
      <c r="AA424" t="str">
        <f t="shared" si="122"/>
        <v/>
      </c>
      <c r="AB424" t="str">
        <f t="shared" si="123"/>
        <v/>
      </c>
      <c r="AC424" t="str">
        <f t="shared" si="124"/>
        <v/>
      </c>
      <c r="AD424">
        <f t="shared" si="125"/>
        <v>0</v>
      </c>
    </row>
    <row r="425" spans="1:30" ht="15" customHeight="1" x14ac:dyDescent="0.35">
      <c r="A425" s="2"/>
      <c r="B425" s="3"/>
      <c r="C425" s="4"/>
      <c r="D425" s="5"/>
      <c r="E425" s="11" t="str">
        <f t="shared" ca="1" si="108"/>
        <v/>
      </c>
      <c r="F425" s="5"/>
      <c r="G425" s="6" t="str">
        <f>IF(AND($A425&lt;&gt;"",$B425&lt;&gt;"",$C425&lt;&gt;"",$D425&lt;&gt;""),IF(OR($B425="SER",$B425="PLH",$B425="CSF"),"Control CDI Plate "&amp;(INT(((COUNTIFS($B$2:$B425,"SER")+COUNTIFS($B$2:$B425,"PLH")+COUNTIFS($B$2:$B425,"CSF"))-1)/96)+1)&amp;": "&amp;CHAR(65+INT(MOD((COUNTIFS($B$2:$B425,"SER")+COUNTIFS($B$2:$B425,"PLH")+COUNTIFS($B$2:$B425,"CSF"))-1,96)/12))&amp;(MOD((COUNTIFS($B$2:$B425,"SER")+COUNTIFS($B$2:$B425,"PLH")+COUNTIFS($B$2:$B425,"CSF"))-1,12)+1),"N/A"),"")</f>
        <v/>
      </c>
      <c r="H425" s="6" t="str">
        <f>IF(AND($A425&lt;&gt;"",$B425&lt;&gt;"",$C425&lt;&gt;"",$D425&lt;&gt;""),IF(OR($B425="SER",$B425="PLH",$B425="CSF"),"Control NIH Plate "&amp;(INT(((COUNTIFS($B$2:$B425,"SER")+COUNTIFS($B$2:$B425,"PLH")+COUNTIFS($B$2:$B425,"CSF"))-1)/96)+1)&amp;": "&amp;CHAR(65+INT(MOD((COUNTIFS($B$2:$B425,"SER")+COUNTIFS($B$2:$B425,"PLH")+COUNTIFS($B$2:$B425,"CSF"))-1,96)/12))&amp;(MOD((COUNTIFS($B$2:$B425,"SER")+COUNTIFS($B$2:$B425,"PLH")+COUNTIFS($B$2:$B425,"CSF"))-1,12)+1),"N/A"),"")</f>
        <v/>
      </c>
      <c r="I425" s="6" t="str">
        <f>IF(AND($A425&lt;&gt;"",$B425&lt;&gt;"",$C425&lt;&gt;"",$D425&lt;&gt;""),IF(OR($B425="SER",$B425="PLH"),"Control MAX Planck Plate "&amp;(INT(((COUNTIFS($B$2:$B425,"SER")+COUNTIFS($B$2:$B425,"PLH"))-1)/96)+1)&amp;": "&amp;CHAR(65+INT(MOD((COUNTIFS($B$2:$B425,"SER")+COUNTIFS($B$2:$B425,"PLH"))-1,96)/12))&amp;(MOD((COUNTIFS($B$2:$B425,"SER")+COUNTIFS($B$2:$B425,"PLH"))-1,12)+1),"N/A"),"")</f>
        <v/>
      </c>
      <c r="J425" s="6" t="str">
        <f>IF(AND($A425&lt;&gt;"",$B425&lt;&gt;"",$C425&lt;&gt;"",$D425&lt;&gt;""),IF($B425="WB","Control WB Box "&amp;(INT((COUNTIFS($B$2:$B425,"WB")-1)/81)+1)&amp;": "&amp;CHAR(65+INT(MOD(COUNTIFS($B$2:$B425,"WB")-1,81)/9))&amp;(MOD(COUNTIFS($B$2:$B425,"WB")-1,9)+1),"N/A"),"")</f>
        <v/>
      </c>
      <c r="K425" s="3" t="str">
        <f t="shared" si="109"/>
        <v/>
      </c>
      <c r="L425" s="2"/>
      <c r="M425" s="2"/>
      <c r="N425" s="2"/>
      <c r="O425" s="7" t="str">
        <f t="shared" si="110"/>
        <v/>
      </c>
      <c r="P425" s="7" t="str">
        <f t="shared" si="111"/>
        <v/>
      </c>
      <c r="Q425" s="7" t="str">
        <f t="shared" si="112"/>
        <v/>
      </c>
      <c r="R425" s="7" t="str">
        <f t="shared" si="113"/>
        <v/>
      </c>
      <c r="S425" s="7" t="str">
        <f t="shared" si="114"/>
        <v/>
      </c>
      <c r="T425" s="7" t="str">
        <f t="shared" si="115"/>
        <v/>
      </c>
      <c r="U425" s="7" t="str">
        <f t="shared" si="116"/>
        <v/>
      </c>
      <c r="V425" s="7" t="str">
        <f t="shared" si="117"/>
        <v/>
      </c>
      <c r="W425" s="7" t="str">
        <f t="shared" si="118"/>
        <v/>
      </c>
      <c r="X425" s="7" t="str">
        <f t="shared" si="119"/>
        <v/>
      </c>
      <c r="Y425">
        <f t="shared" si="120"/>
        <v>0</v>
      </c>
      <c r="Z425" t="str">
        <f t="shared" si="121"/>
        <v/>
      </c>
      <c r="AA425" t="str">
        <f t="shared" si="122"/>
        <v/>
      </c>
      <c r="AB425" t="str">
        <f t="shared" si="123"/>
        <v/>
      </c>
      <c r="AC425" t="str">
        <f t="shared" si="124"/>
        <v/>
      </c>
      <c r="AD425">
        <f t="shared" si="125"/>
        <v>0</v>
      </c>
    </row>
    <row r="426" spans="1:30" ht="15" customHeight="1" x14ac:dyDescent="0.35">
      <c r="A426" s="2"/>
      <c r="B426" s="3"/>
      <c r="C426" s="4"/>
      <c r="D426" s="5"/>
      <c r="E426" s="11" t="str">
        <f t="shared" ca="1" si="108"/>
        <v/>
      </c>
      <c r="F426" s="5"/>
      <c r="G426" s="6" t="str">
        <f>IF(AND($A426&lt;&gt;"",$B426&lt;&gt;"",$C426&lt;&gt;"",$D426&lt;&gt;""),IF(OR($B426="SER",$B426="PLH",$B426="CSF"),"Control CDI Plate "&amp;(INT(((COUNTIFS($B$2:$B426,"SER")+COUNTIFS($B$2:$B426,"PLH")+COUNTIFS($B$2:$B426,"CSF"))-1)/96)+1)&amp;": "&amp;CHAR(65+INT(MOD((COUNTIFS($B$2:$B426,"SER")+COUNTIFS($B$2:$B426,"PLH")+COUNTIFS($B$2:$B426,"CSF"))-1,96)/12))&amp;(MOD((COUNTIFS($B$2:$B426,"SER")+COUNTIFS($B$2:$B426,"PLH")+COUNTIFS($B$2:$B426,"CSF"))-1,12)+1),"N/A"),"")</f>
        <v/>
      </c>
      <c r="H426" s="6" t="str">
        <f>IF(AND($A426&lt;&gt;"",$B426&lt;&gt;"",$C426&lt;&gt;"",$D426&lt;&gt;""),IF(OR($B426="SER",$B426="PLH",$B426="CSF"),"Control NIH Plate "&amp;(INT(((COUNTIFS($B$2:$B426,"SER")+COUNTIFS($B$2:$B426,"PLH")+COUNTIFS($B$2:$B426,"CSF"))-1)/96)+1)&amp;": "&amp;CHAR(65+INT(MOD((COUNTIFS($B$2:$B426,"SER")+COUNTIFS($B$2:$B426,"PLH")+COUNTIFS($B$2:$B426,"CSF"))-1,96)/12))&amp;(MOD((COUNTIFS($B$2:$B426,"SER")+COUNTIFS($B$2:$B426,"PLH")+COUNTIFS($B$2:$B426,"CSF"))-1,12)+1),"N/A"),"")</f>
        <v/>
      </c>
      <c r="I426" s="6" t="str">
        <f>IF(AND($A426&lt;&gt;"",$B426&lt;&gt;"",$C426&lt;&gt;"",$D426&lt;&gt;""),IF(OR($B426="SER",$B426="PLH"),"Control MAX Planck Plate "&amp;(INT(((COUNTIFS($B$2:$B426,"SER")+COUNTIFS($B$2:$B426,"PLH"))-1)/96)+1)&amp;": "&amp;CHAR(65+INT(MOD((COUNTIFS($B$2:$B426,"SER")+COUNTIFS($B$2:$B426,"PLH"))-1,96)/12))&amp;(MOD((COUNTIFS($B$2:$B426,"SER")+COUNTIFS($B$2:$B426,"PLH"))-1,12)+1),"N/A"),"")</f>
        <v/>
      </c>
      <c r="J426" s="6" t="str">
        <f>IF(AND($A426&lt;&gt;"",$B426&lt;&gt;"",$C426&lt;&gt;"",$D426&lt;&gt;""),IF($B426="WB","Control WB Box "&amp;(INT((COUNTIFS($B$2:$B426,"WB")-1)/81)+1)&amp;": "&amp;CHAR(65+INT(MOD(COUNTIFS($B$2:$B426,"WB")-1,81)/9))&amp;(MOD(COUNTIFS($B$2:$B426,"WB")-1,9)+1),"N/A"),"")</f>
        <v/>
      </c>
      <c r="K426" s="3" t="str">
        <f t="shared" si="109"/>
        <v/>
      </c>
      <c r="L426" s="2"/>
      <c r="M426" s="2"/>
      <c r="N426" s="2"/>
      <c r="O426" s="7" t="str">
        <f t="shared" si="110"/>
        <v/>
      </c>
      <c r="P426" s="7" t="str">
        <f t="shared" si="111"/>
        <v/>
      </c>
      <c r="Q426" s="7" t="str">
        <f t="shared" si="112"/>
        <v/>
      </c>
      <c r="R426" s="7" t="str">
        <f t="shared" si="113"/>
        <v/>
      </c>
      <c r="S426" s="7" t="str">
        <f t="shared" si="114"/>
        <v/>
      </c>
      <c r="T426" s="7" t="str">
        <f t="shared" si="115"/>
        <v/>
      </c>
      <c r="U426" s="7" t="str">
        <f t="shared" si="116"/>
        <v/>
      </c>
      <c r="V426" s="7" t="str">
        <f t="shared" si="117"/>
        <v/>
      </c>
      <c r="W426" s="7" t="str">
        <f t="shared" si="118"/>
        <v/>
      </c>
      <c r="X426" s="7" t="str">
        <f t="shared" si="119"/>
        <v/>
      </c>
      <c r="Y426">
        <f t="shared" si="120"/>
        <v>0</v>
      </c>
      <c r="Z426" t="str">
        <f t="shared" si="121"/>
        <v/>
      </c>
      <c r="AA426" t="str">
        <f t="shared" si="122"/>
        <v/>
      </c>
      <c r="AB426" t="str">
        <f t="shared" si="123"/>
        <v/>
      </c>
      <c r="AC426" t="str">
        <f t="shared" si="124"/>
        <v/>
      </c>
      <c r="AD426">
        <f t="shared" si="125"/>
        <v>0</v>
      </c>
    </row>
    <row r="427" spans="1:30" ht="15" customHeight="1" x14ac:dyDescent="0.35">
      <c r="A427" s="2"/>
      <c r="B427" s="3"/>
      <c r="C427" s="4"/>
      <c r="D427" s="5"/>
      <c r="E427" s="11" t="str">
        <f t="shared" ca="1" si="108"/>
        <v/>
      </c>
      <c r="F427" s="5"/>
      <c r="G427" s="6" t="str">
        <f>IF(AND($A427&lt;&gt;"",$B427&lt;&gt;"",$C427&lt;&gt;"",$D427&lt;&gt;""),IF(OR($B427="SER",$B427="PLH",$B427="CSF"),"Control CDI Plate "&amp;(INT(((COUNTIFS($B$2:$B427,"SER")+COUNTIFS($B$2:$B427,"PLH")+COUNTIFS($B$2:$B427,"CSF"))-1)/96)+1)&amp;": "&amp;CHAR(65+INT(MOD((COUNTIFS($B$2:$B427,"SER")+COUNTIFS($B$2:$B427,"PLH")+COUNTIFS($B$2:$B427,"CSF"))-1,96)/12))&amp;(MOD((COUNTIFS($B$2:$B427,"SER")+COUNTIFS($B$2:$B427,"PLH")+COUNTIFS($B$2:$B427,"CSF"))-1,12)+1),"N/A"),"")</f>
        <v/>
      </c>
      <c r="H427" s="6" t="str">
        <f>IF(AND($A427&lt;&gt;"",$B427&lt;&gt;"",$C427&lt;&gt;"",$D427&lt;&gt;""),IF(OR($B427="SER",$B427="PLH",$B427="CSF"),"Control NIH Plate "&amp;(INT(((COUNTIFS($B$2:$B427,"SER")+COUNTIFS($B$2:$B427,"PLH")+COUNTIFS($B$2:$B427,"CSF"))-1)/96)+1)&amp;": "&amp;CHAR(65+INT(MOD((COUNTIFS($B$2:$B427,"SER")+COUNTIFS($B$2:$B427,"PLH")+COUNTIFS($B$2:$B427,"CSF"))-1,96)/12))&amp;(MOD((COUNTIFS($B$2:$B427,"SER")+COUNTIFS($B$2:$B427,"PLH")+COUNTIFS($B$2:$B427,"CSF"))-1,12)+1),"N/A"),"")</f>
        <v/>
      </c>
      <c r="I427" s="6" t="str">
        <f>IF(AND($A427&lt;&gt;"",$B427&lt;&gt;"",$C427&lt;&gt;"",$D427&lt;&gt;""),IF(OR($B427="SER",$B427="PLH"),"Control MAX Planck Plate "&amp;(INT(((COUNTIFS($B$2:$B427,"SER")+COUNTIFS($B$2:$B427,"PLH"))-1)/96)+1)&amp;": "&amp;CHAR(65+INT(MOD((COUNTIFS($B$2:$B427,"SER")+COUNTIFS($B$2:$B427,"PLH"))-1,96)/12))&amp;(MOD((COUNTIFS($B$2:$B427,"SER")+COUNTIFS($B$2:$B427,"PLH"))-1,12)+1),"N/A"),"")</f>
        <v/>
      </c>
      <c r="J427" s="6" t="str">
        <f>IF(AND($A427&lt;&gt;"",$B427&lt;&gt;"",$C427&lt;&gt;"",$D427&lt;&gt;""),IF($B427="WB","Control WB Box "&amp;(INT((COUNTIFS($B$2:$B427,"WB")-1)/81)+1)&amp;": "&amp;CHAR(65+INT(MOD(COUNTIFS($B$2:$B427,"WB")-1,81)/9))&amp;(MOD(COUNTIFS($B$2:$B427,"WB")-1,9)+1),"N/A"),"")</f>
        <v/>
      </c>
      <c r="K427" s="3" t="str">
        <f t="shared" si="109"/>
        <v/>
      </c>
      <c r="L427" s="2"/>
      <c r="M427" s="2"/>
      <c r="N427" s="2"/>
      <c r="O427" s="7" t="str">
        <f t="shared" si="110"/>
        <v/>
      </c>
      <c r="P427" s="7" t="str">
        <f t="shared" si="111"/>
        <v/>
      </c>
      <c r="Q427" s="7" t="str">
        <f t="shared" si="112"/>
        <v/>
      </c>
      <c r="R427" s="7" t="str">
        <f t="shared" si="113"/>
        <v/>
      </c>
      <c r="S427" s="7" t="str">
        <f t="shared" si="114"/>
        <v/>
      </c>
      <c r="T427" s="7" t="str">
        <f t="shared" si="115"/>
        <v/>
      </c>
      <c r="U427" s="7" t="str">
        <f t="shared" si="116"/>
        <v/>
      </c>
      <c r="V427" s="7" t="str">
        <f t="shared" si="117"/>
        <v/>
      </c>
      <c r="W427" s="7" t="str">
        <f t="shared" si="118"/>
        <v/>
      </c>
      <c r="X427" s="7" t="str">
        <f t="shared" si="119"/>
        <v/>
      </c>
      <c r="Y427">
        <f t="shared" si="120"/>
        <v>0</v>
      </c>
      <c r="Z427" t="str">
        <f t="shared" si="121"/>
        <v/>
      </c>
      <c r="AA427" t="str">
        <f t="shared" si="122"/>
        <v/>
      </c>
      <c r="AB427" t="str">
        <f t="shared" si="123"/>
        <v/>
      </c>
      <c r="AC427" t="str">
        <f t="shared" si="124"/>
        <v/>
      </c>
      <c r="AD427">
        <f t="shared" si="125"/>
        <v>0</v>
      </c>
    </row>
    <row r="428" spans="1:30" ht="15" customHeight="1" x14ac:dyDescent="0.35">
      <c r="A428" s="2"/>
      <c r="B428" s="3"/>
      <c r="C428" s="4"/>
      <c r="D428" s="5"/>
      <c r="E428" s="11" t="str">
        <f t="shared" ca="1" si="108"/>
        <v/>
      </c>
      <c r="F428" s="5"/>
      <c r="G428" s="6" t="str">
        <f>IF(AND($A428&lt;&gt;"",$B428&lt;&gt;"",$C428&lt;&gt;"",$D428&lt;&gt;""),IF(OR($B428="SER",$B428="PLH",$B428="CSF"),"Control CDI Plate "&amp;(INT(((COUNTIFS($B$2:$B428,"SER")+COUNTIFS($B$2:$B428,"PLH")+COUNTIFS($B$2:$B428,"CSF"))-1)/96)+1)&amp;": "&amp;CHAR(65+INT(MOD((COUNTIFS($B$2:$B428,"SER")+COUNTIFS($B$2:$B428,"PLH")+COUNTIFS($B$2:$B428,"CSF"))-1,96)/12))&amp;(MOD((COUNTIFS($B$2:$B428,"SER")+COUNTIFS($B$2:$B428,"PLH")+COUNTIFS($B$2:$B428,"CSF"))-1,12)+1),"N/A"),"")</f>
        <v/>
      </c>
      <c r="H428" s="6" t="str">
        <f>IF(AND($A428&lt;&gt;"",$B428&lt;&gt;"",$C428&lt;&gt;"",$D428&lt;&gt;""),IF(OR($B428="SER",$B428="PLH",$B428="CSF"),"Control NIH Plate "&amp;(INT(((COUNTIFS($B$2:$B428,"SER")+COUNTIFS($B$2:$B428,"PLH")+COUNTIFS($B$2:$B428,"CSF"))-1)/96)+1)&amp;": "&amp;CHAR(65+INT(MOD((COUNTIFS($B$2:$B428,"SER")+COUNTIFS($B$2:$B428,"PLH")+COUNTIFS($B$2:$B428,"CSF"))-1,96)/12))&amp;(MOD((COUNTIFS($B$2:$B428,"SER")+COUNTIFS($B$2:$B428,"PLH")+COUNTIFS($B$2:$B428,"CSF"))-1,12)+1),"N/A"),"")</f>
        <v/>
      </c>
      <c r="I428" s="6" t="str">
        <f>IF(AND($A428&lt;&gt;"",$B428&lt;&gt;"",$C428&lt;&gt;"",$D428&lt;&gt;""),IF(OR($B428="SER",$B428="PLH"),"Control MAX Planck Plate "&amp;(INT(((COUNTIFS($B$2:$B428,"SER")+COUNTIFS($B$2:$B428,"PLH"))-1)/96)+1)&amp;": "&amp;CHAR(65+INT(MOD((COUNTIFS($B$2:$B428,"SER")+COUNTIFS($B$2:$B428,"PLH"))-1,96)/12))&amp;(MOD((COUNTIFS($B$2:$B428,"SER")+COUNTIFS($B$2:$B428,"PLH"))-1,12)+1),"N/A"),"")</f>
        <v/>
      </c>
      <c r="J428" s="6" t="str">
        <f>IF(AND($A428&lt;&gt;"",$B428&lt;&gt;"",$C428&lt;&gt;"",$D428&lt;&gt;""),IF($B428="WB","Control WB Box "&amp;(INT((COUNTIFS($B$2:$B428,"WB")-1)/81)+1)&amp;": "&amp;CHAR(65+INT(MOD(COUNTIFS($B$2:$B428,"WB")-1,81)/9))&amp;(MOD(COUNTIFS($B$2:$B428,"WB")-1,9)+1),"N/A"),"")</f>
        <v/>
      </c>
      <c r="K428" s="3" t="str">
        <f t="shared" si="109"/>
        <v/>
      </c>
      <c r="L428" s="2"/>
      <c r="M428" s="2"/>
      <c r="N428" s="2"/>
      <c r="O428" s="7" t="str">
        <f t="shared" si="110"/>
        <v/>
      </c>
      <c r="P428" s="7" t="str">
        <f t="shared" si="111"/>
        <v/>
      </c>
      <c r="Q428" s="7" t="str">
        <f t="shared" si="112"/>
        <v/>
      </c>
      <c r="R428" s="7" t="str">
        <f t="shared" si="113"/>
        <v/>
      </c>
      <c r="S428" s="7" t="str">
        <f t="shared" si="114"/>
        <v/>
      </c>
      <c r="T428" s="7" t="str">
        <f t="shared" si="115"/>
        <v/>
      </c>
      <c r="U428" s="7" t="str">
        <f t="shared" si="116"/>
        <v/>
      </c>
      <c r="V428" s="7" t="str">
        <f t="shared" si="117"/>
        <v/>
      </c>
      <c r="W428" s="7" t="str">
        <f t="shared" si="118"/>
        <v/>
      </c>
      <c r="X428" s="7" t="str">
        <f t="shared" si="119"/>
        <v/>
      </c>
      <c r="Y428">
        <f t="shared" si="120"/>
        <v>0</v>
      </c>
      <c r="Z428" t="str">
        <f t="shared" si="121"/>
        <v/>
      </c>
      <c r="AA428" t="str">
        <f t="shared" si="122"/>
        <v/>
      </c>
      <c r="AB428" t="str">
        <f t="shared" si="123"/>
        <v/>
      </c>
      <c r="AC428" t="str">
        <f t="shared" si="124"/>
        <v/>
      </c>
      <c r="AD428">
        <f t="shared" si="125"/>
        <v>0</v>
      </c>
    </row>
    <row r="429" spans="1:30" ht="15" customHeight="1" x14ac:dyDescent="0.35">
      <c r="A429" s="2"/>
      <c r="B429" s="3"/>
      <c r="C429" s="4"/>
      <c r="D429" s="5"/>
      <c r="E429" s="11" t="str">
        <f t="shared" ca="1" si="108"/>
        <v/>
      </c>
      <c r="F429" s="5"/>
      <c r="G429" s="6" t="str">
        <f>IF(AND($A429&lt;&gt;"",$B429&lt;&gt;"",$C429&lt;&gt;"",$D429&lt;&gt;""),IF(OR($B429="SER",$B429="PLH",$B429="CSF"),"Control CDI Plate "&amp;(INT(((COUNTIFS($B$2:$B429,"SER")+COUNTIFS($B$2:$B429,"PLH")+COUNTIFS($B$2:$B429,"CSF"))-1)/96)+1)&amp;": "&amp;CHAR(65+INT(MOD((COUNTIFS($B$2:$B429,"SER")+COUNTIFS($B$2:$B429,"PLH")+COUNTIFS($B$2:$B429,"CSF"))-1,96)/12))&amp;(MOD((COUNTIFS($B$2:$B429,"SER")+COUNTIFS($B$2:$B429,"PLH")+COUNTIFS($B$2:$B429,"CSF"))-1,12)+1),"N/A"),"")</f>
        <v/>
      </c>
      <c r="H429" s="6" t="str">
        <f>IF(AND($A429&lt;&gt;"",$B429&lt;&gt;"",$C429&lt;&gt;"",$D429&lt;&gt;""),IF(OR($B429="SER",$B429="PLH",$B429="CSF"),"Control NIH Plate "&amp;(INT(((COUNTIFS($B$2:$B429,"SER")+COUNTIFS($B$2:$B429,"PLH")+COUNTIFS($B$2:$B429,"CSF"))-1)/96)+1)&amp;": "&amp;CHAR(65+INT(MOD((COUNTIFS($B$2:$B429,"SER")+COUNTIFS($B$2:$B429,"PLH")+COUNTIFS($B$2:$B429,"CSF"))-1,96)/12))&amp;(MOD((COUNTIFS($B$2:$B429,"SER")+COUNTIFS($B$2:$B429,"PLH")+COUNTIFS($B$2:$B429,"CSF"))-1,12)+1),"N/A"),"")</f>
        <v/>
      </c>
      <c r="I429" s="6" t="str">
        <f>IF(AND($A429&lt;&gt;"",$B429&lt;&gt;"",$C429&lt;&gt;"",$D429&lt;&gt;""),IF(OR($B429="SER",$B429="PLH"),"Control MAX Planck Plate "&amp;(INT(((COUNTIFS($B$2:$B429,"SER")+COUNTIFS($B$2:$B429,"PLH"))-1)/96)+1)&amp;": "&amp;CHAR(65+INT(MOD((COUNTIFS($B$2:$B429,"SER")+COUNTIFS($B$2:$B429,"PLH"))-1,96)/12))&amp;(MOD((COUNTIFS($B$2:$B429,"SER")+COUNTIFS($B$2:$B429,"PLH"))-1,12)+1),"N/A"),"")</f>
        <v/>
      </c>
      <c r="J429" s="6" t="str">
        <f>IF(AND($A429&lt;&gt;"",$B429&lt;&gt;"",$C429&lt;&gt;"",$D429&lt;&gt;""),IF($B429="WB","Control WB Box "&amp;(INT((COUNTIFS($B$2:$B429,"WB")-1)/81)+1)&amp;": "&amp;CHAR(65+INT(MOD(COUNTIFS($B$2:$B429,"WB")-1,81)/9))&amp;(MOD(COUNTIFS($B$2:$B429,"WB")-1,9)+1),"N/A"),"")</f>
        <v/>
      </c>
      <c r="K429" s="3" t="str">
        <f t="shared" si="109"/>
        <v/>
      </c>
      <c r="L429" s="2"/>
      <c r="M429" s="2"/>
      <c r="N429" s="2"/>
      <c r="O429" s="7" t="str">
        <f t="shared" si="110"/>
        <v/>
      </c>
      <c r="P429" s="7" t="str">
        <f t="shared" si="111"/>
        <v/>
      </c>
      <c r="Q429" s="7" t="str">
        <f t="shared" si="112"/>
        <v/>
      </c>
      <c r="R429" s="7" t="str">
        <f t="shared" si="113"/>
        <v/>
      </c>
      <c r="S429" s="7" t="str">
        <f t="shared" si="114"/>
        <v/>
      </c>
      <c r="T429" s="7" t="str">
        <f t="shared" si="115"/>
        <v/>
      </c>
      <c r="U429" s="7" t="str">
        <f t="shared" si="116"/>
        <v/>
      </c>
      <c r="V429" s="7" t="str">
        <f t="shared" si="117"/>
        <v/>
      </c>
      <c r="W429" s="7" t="str">
        <f t="shared" si="118"/>
        <v/>
      </c>
      <c r="X429" s="7" t="str">
        <f t="shared" si="119"/>
        <v/>
      </c>
      <c r="Y429">
        <f t="shared" si="120"/>
        <v>0</v>
      </c>
      <c r="Z429" t="str">
        <f t="shared" si="121"/>
        <v/>
      </c>
      <c r="AA429" t="str">
        <f t="shared" si="122"/>
        <v/>
      </c>
      <c r="AB429" t="str">
        <f t="shared" si="123"/>
        <v/>
      </c>
      <c r="AC429" t="str">
        <f t="shared" si="124"/>
        <v/>
      </c>
      <c r="AD429">
        <f t="shared" si="125"/>
        <v>0</v>
      </c>
    </row>
    <row r="430" spans="1:30" ht="15" customHeight="1" x14ac:dyDescent="0.35">
      <c r="A430" s="2"/>
      <c r="B430" s="3"/>
      <c r="C430" s="4"/>
      <c r="D430" s="5"/>
      <c r="E430" s="11" t="str">
        <f t="shared" ca="1" si="108"/>
        <v/>
      </c>
      <c r="F430" s="5"/>
      <c r="G430" s="6" t="str">
        <f>IF(AND($A430&lt;&gt;"",$B430&lt;&gt;"",$C430&lt;&gt;"",$D430&lt;&gt;""),IF(OR($B430="SER",$B430="PLH",$B430="CSF"),"Control CDI Plate "&amp;(INT(((COUNTIFS($B$2:$B430,"SER")+COUNTIFS($B$2:$B430,"PLH")+COUNTIFS($B$2:$B430,"CSF"))-1)/96)+1)&amp;": "&amp;CHAR(65+INT(MOD((COUNTIFS($B$2:$B430,"SER")+COUNTIFS($B$2:$B430,"PLH")+COUNTIFS($B$2:$B430,"CSF"))-1,96)/12))&amp;(MOD((COUNTIFS($B$2:$B430,"SER")+COUNTIFS($B$2:$B430,"PLH")+COUNTIFS($B$2:$B430,"CSF"))-1,12)+1),"N/A"),"")</f>
        <v/>
      </c>
      <c r="H430" s="6" t="str">
        <f>IF(AND($A430&lt;&gt;"",$B430&lt;&gt;"",$C430&lt;&gt;"",$D430&lt;&gt;""),IF(OR($B430="SER",$B430="PLH",$B430="CSF"),"Control NIH Plate "&amp;(INT(((COUNTIFS($B$2:$B430,"SER")+COUNTIFS($B$2:$B430,"PLH")+COUNTIFS($B$2:$B430,"CSF"))-1)/96)+1)&amp;": "&amp;CHAR(65+INT(MOD((COUNTIFS($B$2:$B430,"SER")+COUNTIFS($B$2:$B430,"PLH")+COUNTIFS($B$2:$B430,"CSF"))-1,96)/12))&amp;(MOD((COUNTIFS($B$2:$B430,"SER")+COUNTIFS($B$2:$B430,"PLH")+COUNTIFS($B$2:$B430,"CSF"))-1,12)+1),"N/A"),"")</f>
        <v/>
      </c>
      <c r="I430" s="6" t="str">
        <f>IF(AND($A430&lt;&gt;"",$B430&lt;&gt;"",$C430&lt;&gt;"",$D430&lt;&gt;""),IF(OR($B430="SER",$B430="PLH"),"Control MAX Planck Plate "&amp;(INT(((COUNTIFS($B$2:$B430,"SER")+COUNTIFS($B$2:$B430,"PLH"))-1)/96)+1)&amp;": "&amp;CHAR(65+INT(MOD((COUNTIFS($B$2:$B430,"SER")+COUNTIFS($B$2:$B430,"PLH"))-1,96)/12))&amp;(MOD((COUNTIFS($B$2:$B430,"SER")+COUNTIFS($B$2:$B430,"PLH"))-1,12)+1),"N/A"),"")</f>
        <v/>
      </c>
      <c r="J430" s="6" t="str">
        <f>IF(AND($A430&lt;&gt;"",$B430&lt;&gt;"",$C430&lt;&gt;"",$D430&lt;&gt;""),IF($B430="WB","Control WB Box "&amp;(INT((COUNTIFS($B$2:$B430,"WB")-1)/81)+1)&amp;": "&amp;CHAR(65+INT(MOD(COUNTIFS($B$2:$B430,"WB")-1,81)/9))&amp;(MOD(COUNTIFS($B$2:$B430,"WB")-1,9)+1),"N/A"),"")</f>
        <v/>
      </c>
      <c r="K430" s="3" t="str">
        <f t="shared" si="109"/>
        <v/>
      </c>
      <c r="L430" s="2"/>
      <c r="M430" s="2"/>
      <c r="N430" s="2"/>
      <c r="O430" s="7" t="str">
        <f t="shared" si="110"/>
        <v/>
      </c>
      <c r="P430" s="7" t="str">
        <f t="shared" si="111"/>
        <v/>
      </c>
      <c r="Q430" s="7" t="str">
        <f t="shared" si="112"/>
        <v/>
      </c>
      <c r="R430" s="7" t="str">
        <f t="shared" si="113"/>
        <v/>
      </c>
      <c r="S430" s="7" t="str">
        <f t="shared" si="114"/>
        <v/>
      </c>
      <c r="T430" s="7" t="str">
        <f t="shared" si="115"/>
        <v/>
      </c>
      <c r="U430" s="7" t="str">
        <f t="shared" si="116"/>
        <v/>
      </c>
      <c r="V430" s="7" t="str">
        <f t="shared" si="117"/>
        <v/>
      </c>
      <c r="W430" s="7" t="str">
        <f t="shared" si="118"/>
        <v/>
      </c>
      <c r="X430" s="7" t="str">
        <f t="shared" si="119"/>
        <v/>
      </c>
      <c r="Y430">
        <f t="shared" si="120"/>
        <v>0</v>
      </c>
      <c r="Z430" t="str">
        <f t="shared" si="121"/>
        <v/>
      </c>
      <c r="AA430" t="str">
        <f t="shared" si="122"/>
        <v/>
      </c>
      <c r="AB430" t="str">
        <f t="shared" si="123"/>
        <v/>
      </c>
      <c r="AC430" t="str">
        <f t="shared" si="124"/>
        <v/>
      </c>
      <c r="AD430">
        <f t="shared" si="125"/>
        <v>0</v>
      </c>
    </row>
    <row r="431" spans="1:30" ht="15" customHeight="1" x14ac:dyDescent="0.35">
      <c r="A431" s="2"/>
      <c r="B431" s="3"/>
      <c r="C431" s="4"/>
      <c r="D431" s="5"/>
      <c r="E431" s="11" t="str">
        <f t="shared" ca="1" si="108"/>
        <v/>
      </c>
      <c r="F431" s="5"/>
      <c r="G431" s="6" t="str">
        <f>IF(AND($A431&lt;&gt;"",$B431&lt;&gt;"",$C431&lt;&gt;"",$D431&lt;&gt;""),IF(OR($B431="SER",$B431="PLH",$B431="CSF"),"Control CDI Plate "&amp;(INT(((COUNTIFS($B$2:$B431,"SER")+COUNTIFS($B$2:$B431,"PLH")+COUNTIFS($B$2:$B431,"CSF"))-1)/96)+1)&amp;": "&amp;CHAR(65+INT(MOD((COUNTIFS($B$2:$B431,"SER")+COUNTIFS($B$2:$B431,"PLH")+COUNTIFS($B$2:$B431,"CSF"))-1,96)/12))&amp;(MOD((COUNTIFS($B$2:$B431,"SER")+COUNTIFS($B$2:$B431,"PLH")+COUNTIFS($B$2:$B431,"CSF"))-1,12)+1),"N/A"),"")</f>
        <v/>
      </c>
      <c r="H431" s="6" t="str">
        <f>IF(AND($A431&lt;&gt;"",$B431&lt;&gt;"",$C431&lt;&gt;"",$D431&lt;&gt;""),IF(OR($B431="SER",$B431="PLH",$B431="CSF"),"Control NIH Plate "&amp;(INT(((COUNTIFS($B$2:$B431,"SER")+COUNTIFS($B$2:$B431,"PLH")+COUNTIFS($B$2:$B431,"CSF"))-1)/96)+1)&amp;": "&amp;CHAR(65+INT(MOD((COUNTIFS($B$2:$B431,"SER")+COUNTIFS($B$2:$B431,"PLH")+COUNTIFS($B$2:$B431,"CSF"))-1,96)/12))&amp;(MOD((COUNTIFS($B$2:$B431,"SER")+COUNTIFS($B$2:$B431,"PLH")+COUNTIFS($B$2:$B431,"CSF"))-1,12)+1),"N/A"),"")</f>
        <v/>
      </c>
      <c r="I431" s="6" t="str">
        <f>IF(AND($A431&lt;&gt;"",$B431&lt;&gt;"",$C431&lt;&gt;"",$D431&lt;&gt;""),IF(OR($B431="SER",$B431="PLH"),"Control MAX Planck Plate "&amp;(INT(((COUNTIFS($B$2:$B431,"SER")+COUNTIFS($B$2:$B431,"PLH"))-1)/96)+1)&amp;": "&amp;CHAR(65+INT(MOD((COUNTIFS($B$2:$B431,"SER")+COUNTIFS($B$2:$B431,"PLH"))-1,96)/12))&amp;(MOD((COUNTIFS($B$2:$B431,"SER")+COUNTIFS($B$2:$B431,"PLH"))-1,12)+1),"N/A"),"")</f>
        <v/>
      </c>
      <c r="J431" s="6" t="str">
        <f>IF(AND($A431&lt;&gt;"",$B431&lt;&gt;"",$C431&lt;&gt;"",$D431&lt;&gt;""),IF($B431="WB","Control WB Box "&amp;(INT((COUNTIFS($B$2:$B431,"WB")-1)/81)+1)&amp;": "&amp;CHAR(65+INT(MOD(COUNTIFS($B$2:$B431,"WB")-1,81)/9))&amp;(MOD(COUNTIFS($B$2:$B431,"WB")-1,9)+1),"N/A"),"")</f>
        <v/>
      </c>
      <c r="K431" s="3" t="str">
        <f t="shared" si="109"/>
        <v/>
      </c>
      <c r="L431" s="2"/>
      <c r="M431" s="2"/>
      <c r="N431" s="2"/>
      <c r="O431" s="7" t="str">
        <f t="shared" si="110"/>
        <v/>
      </c>
      <c r="P431" s="7" t="str">
        <f t="shared" si="111"/>
        <v/>
      </c>
      <c r="Q431" s="7" t="str">
        <f t="shared" si="112"/>
        <v/>
      </c>
      <c r="R431" s="7" t="str">
        <f t="shared" si="113"/>
        <v/>
      </c>
      <c r="S431" s="7" t="str">
        <f t="shared" si="114"/>
        <v/>
      </c>
      <c r="T431" s="7" t="str">
        <f t="shared" si="115"/>
        <v/>
      </c>
      <c r="U431" s="7" t="str">
        <f t="shared" si="116"/>
        <v/>
      </c>
      <c r="V431" s="7" t="str">
        <f t="shared" si="117"/>
        <v/>
      </c>
      <c r="W431" s="7" t="str">
        <f t="shared" si="118"/>
        <v/>
      </c>
      <c r="X431" s="7" t="str">
        <f t="shared" si="119"/>
        <v/>
      </c>
      <c r="Y431">
        <f t="shared" si="120"/>
        <v>0</v>
      </c>
      <c r="Z431" t="str">
        <f t="shared" si="121"/>
        <v/>
      </c>
      <c r="AA431" t="str">
        <f t="shared" si="122"/>
        <v/>
      </c>
      <c r="AB431" t="str">
        <f t="shared" si="123"/>
        <v/>
      </c>
      <c r="AC431" t="str">
        <f t="shared" si="124"/>
        <v/>
      </c>
      <c r="AD431">
        <f t="shared" si="125"/>
        <v>0</v>
      </c>
    </row>
    <row r="432" spans="1:30" ht="15" customHeight="1" x14ac:dyDescent="0.35">
      <c r="A432" s="2"/>
      <c r="B432" s="3"/>
      <c r="C432" s="4"/>
      <c r="D432" s="5"/>
      <c r="E432" s="11" t="str">
        <f t="shared" ca="1" si="108"/>
        <v/>
      </c>
      <c r="F432" s="5"/>
      <c r="G432" s="6" t="str">
        <f>IF(AND($A432&lt;&gt;"",$B432&lt;&gt;"",$C432&lt;&gt;"",$D432&lt;&gt;""),IF(OR($B432="SER",$B432="PLH",$B432="CSF"),"Control CDI Plate "&amp;(INT(((COUNTIFS($B$2:$B432,"SER")+COUNTIFS($B$2:$B432,"PLH")+COUNTIFS($B$2:$B432,"CSF"))-1)/96)+1)&amp;": "&amp;CHAR(65+INT(MOD((COUNTIFS($B$2:$B432,"SER")+COUNTIFS($B$2:$B432,"PLH")+COUNTIFS($B$2:$B432,"CSF"))-1,96)/12))&amp;(MOD((COUNTIFS($B$2:$B432,"SER")+COUNTIFS($B$2:$B432,"PLH")+COUNTIFS($B$2:$B432,"CSF"))-1,12)+1),"N/A"),"")</f>
        <v/>
      </c>
      <c r="H432" s="6" t="str">
        <f>IF(AND($A432&lt;&gt;"",$B432&lt;&gt;"",$C432&lt;&gt;"",$D432&lt;&gt;""),IF(OR($B432="SER",$B432="PLH",$B432="CSF"),"Control NIH Plate "&amp;(INT(((COUNTIFS($B$2:$B432,"SER")+COUNTIFS($B$2:$B432,"PLH")+COUNTIFS($B$2:$B432,"CSF"))-1)/96)+1)&amp;": "&amp;CHAR(65+INT(MOD((COUNTIFS($B$2:$B432,"SER")+COUNTIFS($B$2:$B432,"PLH")+COUNTIFS($B$2:$B432,"CSF"))-1,96)/12))&amp;(MOD((COUNTIFS($B$2:$B432,"SER")+COUNTIFS($B$2:$B432,"PLH")+COUNTIFS($B$2:$B432,"CSF"))-1,12)+1),"N/A"),"")</f>
        <v/>
      </c>
      <c r="I432" s="6" t="str">
        <f>IF(AND($A432&lt;&gt;"",$B432&lt;&gt;"",$C432&lt;&gt;"",$D432&lt;&gt;""),IF(OR($B432="SER",$B432="PLH"),"Control MAX Planck Plate "&amp;(INT(((COUNTIFS($B$2:$B432,"SER")+COUNTIFS($B$2:$B432,"PLH"))-1)/96)+1)&amp;": "&amp;CHAR(65+INT(MOD((COUNTIFS($B$2:$B432,"SER")+COUNTIFS($B$2:$B432,"PLH"))-1,96)/12))&amp;(MOD((COUNTIFS($B$2:$B432,"SER")+COUNTIFS($B$2:$B432,"PLH"))-1,12)+1),"N/A"),"")</f>
        <v/>
      </c>
      <c r="J432" s="6" t="str">
        <f>IF(AND($A432&lt;&gt;"",$B432&lt;&gt;"",$C432&lt;&gt;"",$D432&lt;&gt;""),IF($B432="WB","Control WB Box "&amp;(INT((COUNTIFS($B$2:$B432,"WB")-1)/81)+1)&amp;": "&amp;CHAR(65+INT(MOD(COUNTIFS($B$2:$B432,"WB")-1,81)/9))&amp;(MOD(COUNTIFS($B$2:$B432,"WB")-1,9)+1),"N/A"),"")</f>
        <v/>
      </c>
      <c r="K432" s="3" t="str">
        <f t="shared" si="109"/>
        <v/>
      </c>
      <c r="L432" s="2"/>
      <c r="M432" s="2"/>
      <c r="N432" s="2"/>
      <c r="O432" s="7" t="str">
        <f t="shared" si="110"/>
        <v/>
      </c>
      <c r="P432" s="7" t="str">
        <f t="shared" si="111"/>
        <v/>
      </c>
      <c r="Q432" s="7" t="str">
        <f t="shared" si="112"/>
        <v/>
      </c>
      <c r="R432" s="7" t="str">
        <f t="shared" si="113"/>
        <v/>
      </c>
      <c r="S432" s="7" t="str">
        <f t="shared" si="114"/>
        <v/>
      </c>
      <c r="T432" s="7" t="str">
        <f t="shared" si="115"/>
        <v/>
      </c>
      <c r="U432" s="7" t="str">
        <f t="shared" si="116"/>
        <v/>
      </c>
      <c r="V432" s="7" t="str">
        <f t="shared" si="117"/>
        <v/>
      </c>
      <c r="W432" s="7" t="str">
        <f t="shared" si="118"/>
        <v/>
      </c>
      <c r="X432" s="7" t="str">
        <f t="shared" si="119"/>
        <v/>
      </c>
      <c r="Y432">
        <f t="shared" si="120"/>
        <v>0</v>
      </c>
      <c r="Z432" t="str">
        <f t="shared" si="121"/>
        <v/>
      </c>
      <c r="AA432" t="str">
        <f t="shared" si="122"/>
        <v/>
      </c>
      <c r="AB432" t="str">
        <f t="shared" si="123"/>
        <v/>
      </c>
      <c r="AC432" t="str">
        <f t="shared" si="124"/>
        <v/>
      </c>
      <c r="AD432">
        <f t="shared" si="125"/>
        <v>0</v>
      </c>
    </row>
    <row r="433" spans="1:30" ht="15" customHeight="1" x14ac:dyDescent="0.35">
      <c r="A433" s="2"/>
      <c r="B433" s="3"/>
      <c r="C433" s="4"/>
      <c r="D433" s="5"/>
      <c r="E433" s="11" t="str">
        <f t="shared" ca="1" si="108"/>
        <v/>
      </c>
      <c r="F433" s="5"/>
      <c r="G433" s="6" t="str">
        <f>IF(AND($A433&lt;&gt;"",$B433&lt;&gt;"",$C433&lt;&gt;"",$D433&lt;&gt;""),IF(OR($B433="SER",$B433="PLH",$B433="CSF"),"Control CDI Plate "&amp;(INT(((COUNTIFS($B$2:$B433,"SER")+COUNTIFS($B$2:$B433,"PLH")+COUNTIFS($B$2:$B433,"CSF"))-1)/96)+1)&amp;": "&amp;CHAR(65+INT(MOD((COUNTIFS($B$2:$B433,"SER")+COUNTIFS($B$2:$B433,"PLH")+COUNTIFS($B$2:$B433,"CSF"))-1,96)/12))&amp;(MOD((COUNTIFS($B$2:$B433,"SER")+COUNTIFS($B$2:$B433,"PLH")+COUNTIFS($B$2:$B433,"CSF"))-1,12)+1),"N/A"),"")</f>
        <v/>
      </c>
      <c r="H433" s="6" t="str">
        <f>IF(AND($A433&lt;&gt;"",$B433&lt;&gt;"",$C433&lt;&gt;"",$D433&lt;&gt;""),IF(OR($B433="SER",$B433="PLH",$B433="CSF"),"Control NIH Plate "&amp;(INT(((COUNTIFS($B$2:$B433,"SER")+COUNTIFS($B$2:$B433,"PLH")+COUNTIFS($B$2:$B433,"CSF"))-1)/96)+1)&amp;": "&amp;CHAR(65+INT(MOD((COUNTIFS($B$2:$B433,"SER")+COUNTIFS($B$2:$B433,"PLH")+COUNTIFS($B$2:$B433,"CSF"))-1,96)/12))&amp;(MOD((COUNTIFS($B$2:$B433,"SER")+COUNTIFS($B$2:$B433,"PLH")+COUNTIFS($B$2:$B433,"CSF"))-1,12)+1),"N/A"),"")</f>
        <v/>
      </c>
      <c r="I433" s="6" t="str">
        <f>IF(AND($A433&lt;&gt;"",$B433&lt;&gt;"",$C433&lt;&gt;"",$D433&lt;&gt;""),IF(OR($B433="SER",$B433="PLH"),"Control MAX Planck Plate "&amp;(INT(((COUNTIFS($B$2:$B433,"SER")+COUNTIFS($B$2:$B433,"PLH"))-1)/96)+1)&amp;": "&amp;CHAR(65+INT(MOD((COUNTIFS($B$2:$B433,"SER")+COUNTIFS($B$2:$B433,"PLH"))-1,96)/12))&amp;(MOD((COUNTIFS($B$2:$B433,"SER")+COUNTIFS($B$2:$B433,"PLH"))-1,12)+1),"N/A"),"")</f>
        <v/>
      </c>
      <c r="J433" s="6" t="str">
        <f>IF(AND($A433&lt;&gt;"",$B433&lt;&gt;"",$C433&lt;&gt;"",$D433&lt;&gt;""),IF($B433="WB","Control WB Box "&amp;(INT((COUNTIFS($B$2:$B433,"WB")-1)/81)+1)&amp;": "&amp;CHAR(65+INT(MOD(COUNTIFS($B$2:$B433,"WB")-1,81)/9))&amp;(MOD(COUNTIFS($B$2:$B433,"WB")-1,9)+1),"N/A"),"")</f>
        <v/>
      </c>
      <c r="K433" s="3" t="str">
        <f t="shared" si="109"/>
        <v/>
      </c>
      <c r="L433" s="2"/>
      <c r="M433" s="2"/>
      <c r="N433" s="2"/>
      <c r="O433" s="7" t="str">
        <f t="shared" si="110"/>
        <v/>
      </c>
      <c r="P433" s="7" t="str">
        <f t="shared" si="111"/>
        <v/>
      </c>
      <c r="Q433" s="7" t="str">
        <f t="shared" si="112"/>
        <v/>
      </c>
      <c r="R433" s="7" t="str">
        <f t="shared" si="113"/>
        <v/>
      </c>
      <c r="S433" s="7" t="str">
        <f t="shared" si="114"/>
        <v/>
      </c>
      <c r="T433" s="7" t="str">
        <f t="shared" si="115"/>
        <v/>
      </c>
      <c r="U433" s="7" t="str">
        <f t="shared" si="116"/>
        <v/>
      </c>
      <c r="V433" s="7" t="str">
        <f t="shared" si="117"/>
        <v/>
      </c>
      <c r="W433" s="7" t="str">
        <f t="shared" si="118"/>
        <v/>
      </c>
      <c r="X433" s="7" t="str">
        <f t="shared" si="119"/>
        <v/>
      </c>
      <c r="Y433">
        <f t="shared" si="120"/>
        <v>0</v>
      </c>
      <c r="Z433" t="str">
        <f t="shared" si="121"/>
        <v/>
      </c>
      <c r="AA433" t="str">
        <f t="shared" si="122"/>
        <v/>
      </c>
      <c r="AB433" t="str">
        <f t="shared" si="123"/>
        <v/>
      </c>
      <c r="AC433" t="str">
        <f t="shared" si="124"/>
        <v/>
      </c>
      <c r="AD433">
        <f t="shared" si="125"/>
        <v>0</v>
      </c>
    </row>
    <row r="434" spans="1:30" ht="15" customHeight="1" x14ac:dyDescent="0.35">
      <c r="A434" s="2"/>
      <c r="B434" s="3"/>
      <c r="C434" s="4"/>
      <c r="D434" s="5"/>
      <c r="E434" s="11" t="str">
        <f t="shared" ca="1" si="108"/>
        <v/>
      </c>
      <c r="F434" s="5"/>
      <c r="G434" s="6" t="str">
        <f>IF(AND($A434&lt;&gt;"",$B434&lt;&gt;"",$C434&lt;&gt;"",$D434&lt;&gt;""),IF(OR($B434="SER",$B434="PLH",$B434="CSF"),"Control CDI Plate "&amp;(INT(((COUNTIFS($B$2:$B434,"SER")+COUNTIFS($B$2:$B434,"PLH")+COUNTIFS($B$2:$B434,"CSF"))-1)/96)+1)&amp;": "&amp;CHAR(65+INT(MOD((COUNTIFS($B$2:$B434,"SER")+COUNTIFS($B$2:$B434,"PLH")+COUNTIFS($B$2:$B434,"CSF"))-1,96)/12))&amp;(MOD((COUNTIFS($B$2:$B434,"SER")+COUNTIFS($B$2:$B434,"PLH")+COUNTIFS($B$2:$B434,"CSF"))-1,12)+1),"N/A"),"")</f>
        <v/>
      </c>
      <c r="H434" s="6" t="str">
        <f>IF(AND($A434&lt;&gt;"",$B434&lt;&gt;"",$C434&lt;&gt;"",$D434&lt;&gt;""),IF(OR($B434="SER",$B434="PLH",$B434="CSF"),"Control NIH Plate "&amp;(INT(((COUNTIFS($B$2:$B434,"SER")+COUNTIFS($B$2:$B434,"PLH")+COUNTIFS($B$2:$B434,"CSF"))-1)/96)+1)&amp;": "&amp;CHAR(65+INT(MOD((COUNTIFS($B$2:$B434,"SER")+COUNTIFS($B$2:$B434,"PLH")+COUNTIFS($B$2:$B434,"CSF"))-1,96)/12))&amp;(MOD((COUNTIFS($B$2:$B434,"SER")+COUNTIFS($B$2:$B434,"PLH")+COUNTIFS($B$2:$B434,"CSF"))-1,12)+1),"N/A"),"")</f>
        <v/>
      </c>
      <c r="I434" s="6" t="str">
        <f>IF(AND($A434&lt;&gt;"",$B434&lt;&gt;"",$C434&lt;&gt;"",$D434&lt;&gt;""),IF(OR($B434="SER",$B434="PLH"),"Control MAX Planck Plate "&amp;(INT(((COUNTIFS($B$2:$B434,"SER")+COUNTIFS($B$2:$B434,"PLH"))-1)/96)+1)&amp;": "&amp;CHAR(65+INT(MOD((COUNTIFS($B$2:$B434,"SER")+COUNTIFS($B$2:$B434,"PLH"))-1,96)/12))&amp;(MOD((COUNTIFS($B$2:$B434,"SER")+COUNTIFS($B$2:$B434,"PLH"))-1,12)+1),"N/A"),"")</f>
        <v/>
      </c>
      <c r="J434" s="6" t="str">
        <f>IF(AND($A434&lt;&gt;"",$B434&lt;&gt;"",$C434&lt;&gt;"",$D434&lt;&gt;""),IF($B434="WB","Control WB Box "&amp;(INT((COUNTIFS($B$2:$B434,"WB")-1)/81)+1)&amp;": "&amp;CHAR(65+INT(MOD(COUNTIFS($B$2:$B434,"WB")-1,81)/9))&amp;(MOD(COUNTIFS($B$2:$B434,"WB")-1,9)+1),"N/A"),"")</f>
        <v/>
      </c>
      <c r="K434" s="3" t="str">
        <f t="shared" si="109"/>
        <v/>
      </c>
      <c r="L434" s="2"/>
      <c r="M434" s="2"/>
      <c r="N434" s="2"/>
      <c r="O434" s="7" t="str">
        <f t="shared" si="110"/>
        <v/>
      </c>
      <c r="P434" s="7" t="str">
        <f t="shared" si="111"/>
        <v/>
      </c>
      <c r="Q434" s="7" t="str">
        <f t="shared" si="112"/>
        <v/>
      </c>
      <c r="R434" s="7" t="str">
        <f t="shared" si="113"/>
        <v/>
      </c>
      <c r="S434" s="7" t="str">
        <f t="shared" si="114"/>
        <v/>
      </c>
      <c r="T434" s="7" t="str">
        <f t="shared" si="115"/>
        <v/>
      </c>
      <c r="U434" s="7" t="str">
        <f t="shared" si="116"/>
        <v/>
      </c>
      <c r="V434" s="7" t="str">
        <f t="shared" si="117"/>
        <v/>
      </c>
      <c r="W434" s="7" t="str">
        <f t="shared" si="118"/>
        <v/>
      </c>
      <c r="X434" s="7" t="str">
        <f t="shared" si="119"/>
        <v/>
      </c>
      <c r="Y434">
        <f t="shared" si="120"/>
        <v>0</v>
      </c>
      <c r="Z434" t="str">
        <f t="shared" si="121"/>
        <v/>
      </c>
      <c r="AA434" t="str">
        <f t="shared" si="122"/>
        <v/>
      </c>
      <c r="AB434" t="str">
        <f t="shared" si="123"/>
        <v/>
      </c>
      <c r="AC434" t="str">
        <f t="shared" si="124"/>
        <v/>
      </c>
      <c r="AD434">
        <f t="shared" si="125"/>
        <v>0</v>
      </c>
    </row>
    <row r="435" spans="1:30" ht="15" customHeight="1" x14ac:dyDescent="0.35">
      <c r="A435" s="2"/>
      <c r="B435" s="3"/>
      <c r="C435" s="4"/>
      <c r="D435" s="5"/>
      <c r="E435" s="11" t="str">
        <f t="shared" ca="1" si="108"/>
        <v/>
      </c>
      <c r="F435" s="5"/>
      <c r="G435" s="6" t="str">
        <f>IF(AND($A435&lt;&gt;"",$B435&lt;&gt;"",$C435&lt;&gt;"",$D435&lt;&gt;""),IF(OR($B435="SER",$B435="PLH",$B435="CSF"),"Control CDI Plate "&amp;(INT(((COUNTIFS($B$2:$B435,"SER")+COUNTIFS($B$2:$B435,"PLH")+COUNTIFS($B$2:$B435,"CSF"))-1)/96)+1)&amp;": "&amp;CHAR(65+INT(MOD((COUNTIFS($B$2:$B435,"SER")+COUNTIFS($B$2:$B435,"PLH")+COUNTIFS($B$2:$B435,"CSF"))-1,96)/12))&amp;(MOD((COUNTIFS($B$2:$B435,"SER")+COUNTIFS($B$2:$B435,"PLH")+COUNTIFS($B$2:$B435,"CSF"))-1,12)+1),"N/A"),"")</f>
        <v/>
      </c>
      <c r="H435" s="6" t="str">
        <f>IF(AND($A435&lt;&gt;"",$B435&lt;&gt;"",$C435&lt;&gt;"",$D435&lt;&gt;""),IF(OR($B435="SER",$B435="PLH",$B435="CSF"),"Control NIH Plate "&amp;(INT(((COUNTIFS($B$2:$B435,"SER")+COUNTIFS($B$2:$B435,"PLH")+COUNTIFS($B$2:$B435,"CSF"))-1)/96)+1)&amp;": "&amp;CHAR(65+INT(MOD((COUNTIFS($B$2:$B435,"SER")+COUNTIFS($B$2:$B435,"PLH")+COUNTIFS($B$2:$B435,"CSF"))-1,96)/12))&amp;(MOD((COUNTIFS($B$2:$B435,"SER")+COUNTIFS($B$2:$B435,"PLH")+COUNTIFS($B$2:$B435,"CSF"))-1,12)+1),"N/A"),"")</f>
        <v/>
      </c>
      <c r="I435" s="6" t="str">
        <f>IF(AND($A435&lt;&gt;"",$B435&lt;&gt;"",$C435&lt;&gt;"",$D435&lt;&gt;""),IF(OR($B435="SER",$B435="PLH"),"Control MAX Planck Plate "&amp;(INT(((COUNTIFS($B$2:$B435,"SER")+COUNTIFS($B$2:$B435,"PLH"))-1)/96)+1)&amp;": "&amp;CHAR(65+INT(MOD((COUNTIFS($B$2:$B435,"SER")+COUNTIFS($B$2:$B435,"PLH"))-1,96)/12))&amp;(MOD((COUNTIFS($B$2:$B435,"SER")+COUNTIFS($B$2:$B435,"PLH"))-1,12)+1),"N/A"),"")</f>
        <v/>
      </c>
      <c r="J435" s="6" t="str">
        <f>IF(AND($A435&lt;&gt;"",$B435&lt;&gt;"",$C435&lt;&gt;"",$D435&lt;&gt;""),IF($B435="WB","Control WB Box "&amp;(INT((COUNTIFS($B$2:$B435,"WB")-1)/81)+1)&amp;": "&amp;CHAR(65+INT(MOD(COUNTIFS($B$2:$B435,"WB")-1,81)/9))&amp;(MOD(COUNTIFS($B$2:$B435,"WB")-1,9)+1),"N/A"),"")</f>
        <v/>
      </c>
      <c r="K435" s="3" t="str">
        <f t="shared" si="109"/>
        <v/>
      </c>
      <c r="L435" s="2"/>
      <c r="M435" s="2"/>
      <c r="N435" s="2"/>
      <c r="O435" s="7" t="str">
        <f t="shared" si="110"/>
        <v/>
      </c>
      <c r="P435" s="7" t="str">
        <f t="shared" si="111"/>
        <v/>
      </c>
      <c r="Q435" s="7" t="str">
        <f t="shared" si="112"/>
        <v/>
      </c>
      <c r="R435" s="7" t="str">
        <f t="shared" si="113"/>
        <v/>
      </c>
      <c r="S435" s="7" t="str">
        <f t="shared" si="114"/>
        <v/>
      </c>
      <c r="T435" s="7" t="str">
        <f t="shared" si="115"/>
        <v/>
      </c>
      <c r="U435" s="7" t="str">
        <f t="shared" si="116"/>
        <v/>
      </c>
      <c r="V435" s="7" t="str">
        <f t="shared" si="117"/>
        <v/>
      </c>
      <c r="W435" s="7" t="str">
        <f t="shared" si="118"/>
        <v/>
      </c>
      <c r="X435" s="7" t="str">
        <f t="shared" si="119"/>
        <v/>
      </c>
      <c r="Y435">
        <f t="shared" si="120"/>
        <v>0</v>
      </c>
      <c r="Z435" t="str">
        <f t="shared" si="121"/>
        <v/>
      </c>
      <c r="AA435" t="str">
        <f t="shared" si="122"/>
        <v/>
      </c>
      <c r="AB435" t="str">
        <f t="shared" si="123"/>
        <v/>
      </c>
      <c r="AC435" t="str">
        <f t="shared" si="124"/>
        <v/>
      </c>
      <c r="AD435">
        <f t="shared" si="125"/>
        <v>0</v>
      </c>
    </row>
    <row r="436" spans="1:30" ht="15" customHeight="1" x14ac:dyDescent="0.35">
      <c r="A436" s="2"/>
      <c r="B436" s="3"/>
      <c r="C436" s="4"/>
      <c r="D436" s="5"/>
      <c r="E436" s="11" t="str">
        <f t="shared" ca="1" si="108"/>
        <v/>
      </c>
      <c r="F436" s="5"/>
      <c r="G436" s="6" t="str">
        <f>IF(AND($A436&lt;&gt;"",$B436&lt;&gt;"",$C436&lt;&gt;"",$D436&lt;&gt;""),IF(OR($B436="SER",$B436="PLH",$B436="CSF"),"Control CDI Plate "&amp;(INT(((COUNTIFS($B$2:$B436,"SER")+COUNTIFS($B$2:$B436,"PLH")+COUNTIFS($B$2:$B436,"CSF"))-1)/96)+1)&amp;": "&amp;CHAR(65+INT(MOD((COUNTIFS($B$2:$B436,"SER")+COUNTIFS($B$2:$B436,"PLH")+COUNTIFS($B$2:$B436,"CSF"))-1,96)/12))&amp;(MOD((COUNTIFS($B$2:$B436,"SER")+COUNTIFS($B$2:$B436,"PLH")+COUNTIFS($B$2:$B436,"CSF"))-1,12)+1),"N/A"),"")</f>
        <v/>
      </c>
      <c r="H436" s="6" t="str">
        <f>IF(AND($A436&lt;&gt;"",$B436&lt;&gt;"",$C436&lt;&gt;"",$D436&lt;&gt;""),IF(OR($B436="SER",$B436="PLH",$B436="CSF"),"Control NIH Plate "&amp;(INT(((COUNTIFS($B$2:$B436,"SER")+COUNTIFS($B$2:$B436,"PLH")+COUNTIFS($B$2:$B436,"CSF"))-1)/96)+1)&amp;": "&amp;CHAR(65+INT(MOD((COUNTIFS($B$2:$B436,"SER")+COUNTIFS($B$2:$B436,"PLH")+COUNTIFS($B$2:$B436,"CSF"))-1,96)/12))&amp;(MOD((COUNTIFS($B$2:$B436,"SER")+COUNTIFS($B$2:$B436,"PLH")+COUNTIFS($B$2:$B436,"CSF"))-1,12)+1),"N/A"),"")</f>
        <v/>
      </c>
      <c r="I436" s="6" t="str">
        <f>IF(AND($A436&lt;&gt;"",$B436&lt;&gt;"",$C436&lt;&gt;"",$D436&lt;&gt;""),IF(OR($B436="SER",$B436="PLH"),"Control MAX Planck Plate "&amp;(INT(((COUNTIFS($B$2:$B436,"SER")+COUNTIFS($B$2:$B436,"PLH"))-1)/96)+1)&amp;": "&amp;CHAR(65+INT(MOD((COUNTIFS($B$2:$B436,"SER")+COUNTIFS($B$2:$B436,"PLH"))-1,96)/12))&amp;(MOD((COUNTIFS($B$2:$B436,"SER")+COUNTIFS($B$2:$B436,"PLH"))-1,12)+1),"N/A"),"")</f>
        <v/>
      </c>
      <c r="J436" s="6" t="str">
        <f>IF(AND($A436&lt;&gt;"",$B436&lt;&gt;"",$C436&lt;&gt;"",$D436&lt;&gt;""),IF($B436="WB","Control WB Box "&amp;(INT((COUNTIFS($B$2:$B436,"WB")-1)/81)+1)&amp;": "&amp;CHAR(65+INT(MOD(COUNTIFS($B$2:$B436,"WB")-1,81)/9))&amp;(MOD(COUNTIFS($B$2:$B436,"WB")-1,9)+1),"N/A"),"")</f>
        <v/>
      </c>
      <c r="K436" s="3" t="str">
        <f t="shared" si="109"/>
        <v/>
      </c>
      <c r="L436" s="2"/>
      <c r="M436" s="2"/>
      <c r="N436" s="2"/>
      <c r="O436" s="7" t="str">
        <f t="shared" si="110"/>
        <v/>
      </c>
      <c r="P436" s="7" t="str">
        <f t="shared" si="111"/>
        <v/>
      </c>
      <c r="Q436" s="7" t="str">
        <f t="shared" si="112"/>
        <v/>
      </c>
      <c r="R436" s="7" t="str">
        <f t="shared" si="113"/>
        <v/>
      </c>
      <c r="S436" s="7" t="str">
        <f t="shared" si="114"/>
        <v/>
      </c>
      <c r="T436" s="7" t="str">
        <f t="shared" si="115"/>
        <v/>
      </c>
      <c r="U436" s="7" t="str">
        <f t="shared" si="116"/>
        <v/>
      </c>
      <c r="V436" s="7" t="str">
        <f t="shared" si="117"/>
        <v/>
      </c>
      <c r="W436" s="7" t="str">
        <f t="shared" si="118"/>
        <v/>
      </c>
      <c r="X436" s="7" t="str">
        <f t="shared" si="119"/>
        <v/>
      </c>
      <c r="Y436">
        <f t="shared" si="120"/>
        <v>0</v>
      </c>
      <c r="Z436" t="str">
        <f t="shared" si="121"/>
        <v/>
      </c>
      <c r="AA436" t="str">
        <f t="shared" si="122"/>
        <v/>
      </c>
      <c r="AB436" t="str">
        <f t="shared" si="123"/>
        <v/>
      </c>
      <c r="AC436" t="str">
        <f t="shared" si="124"/>
        <v/>
      </c>
      <c r="AD436">
        <f t="shared" si="125"/>
        <v>0</v>
      </c>
    </row>
    <row r="437" spans="1:30" ht="15" customHeight="1" x14ac:dyDescent="0.35">
      <c r="A437" s="2"/>
      <c r="B437" s="3"/>
      <c r="C437" s="4"/>
      <c r="D437" s="5"/>
      <c r="E437" s="11" t="str">
        <f t="shared" ca="1" si="108"/>
        <v/>
      </c>
      <c r="F437" s="5"/>
      <c r="G437" s="6" t="str">
        <f>IF(AND($A437&lt;&gt;"",$B437&lt;&gt;"",$C437&lt;&gt;"",$D437&lt;&gt;""),IF(OR($B437="SER",$B437="PLH",$B437="CSF"),"Control CDI Plate "&amp;(INT(((COUNTIFS($B$2:$B437,"SER")+COUNTIFS($B$2:$B437,"PLH")+COUNTIFS($B$2:$B437,"CSF"))-1)/96)+1)&amp;": "&amp;CHAR(65+INT(MOD((COUNTIFS($B$2:$B437,"SER")+COUNTIFS($B$2:$B437,"PLH")+COUNTIFS($B$2:$B437,"CSF"))-1,96)/12))&amp;(MOD((COUNTIFS($B$2:$B437,"SER")+COUNTIFS($B$2:$B437,"PLH")+COUNTIFS($B$2:$B437,"CSF"))-1,12)+1),"N/A"),"")</f>
        <v/>
      </c>
      <c r="H437" s="6" t="str">
        <f>IF(AND($A437&lt;&gt;"",$B437&lt;&gt;"",$C437&lt;&gt;"",$D437&lt;&gt;""),IF(OR($B437="SER",$B437="PLH",$B437="CSF"),"Control NIH Plate "&amp;(INT(((COUNTIFS($B$2:$B437,"SER")+COUNTIFS($B$2:$B437,"PLH")+COUNTIFS($B$2:$B437,"CSF"))-1)/96)+1)&amp;": "&amp;CHAR(65+INT(MOD((COUNTIFS($B$2:$B437,"SER")+COUNTIFS($B$2:$B437,"PLH")+COUNTIFS($B$2:$B437,"CSF"))-1,96)/12))&amp;(MOD((COUNTIFS($B$2:$B437,"SER")+COUNTIFS($B$2:$B437,"PLH")+COUNTIFS($B$2:$B437,"CSF"))-1,12)+1),"N/A"),"")</f>
        <v/>
      </c>
      <c r="I437" s="6" t="str">
        <f>IF(AND($A437&lt;&gt;"",$B437&lt;&gt;"",$C437&lt;&gt;"",$D437&lt;&gt;""),IF(OR($B437="SER",$B437="PLH"),"Control MAX Planck Plate "&amp;(INT(((COUNTIFS($B$2:$B437,"SER")+COUNTIFS($B$2:$B437,"PLH"))-1)/96)+1)&amp;": "&amp;CHAR(65+INT(MOD((COUNTIFS($B$2:$B437,"SER")+COUNTIFS($B$2:$B437,"PLH"))-1,96)/12))&amp;(MOD((COUNTIFS($B$2:$B437,"SER")+COUNTIFS($B$2:$B437,"PLH"))-1,12)+1),"N/A"),"")</f>
        <v/>
      </c>
      <c r="J437" s="6" t="str">
        <f>IF(AND($A437&lt;&gt;"",$B437&lt;&gt;"",$C437&lt;&gt;"",$D437&lt;&gt;""),IF($B437="WB","Control WB Box "&amp;(INT((COUNTIFS($B$2:$B437,"WB")-1)/81)+1)&amp;": "&amp;CHAR(65+INT(MOD(COUNTIFS($B$2:$B437,"WB")-1,81)/9))&amp;(MOD(COUNTIFS($B$2:$B437,"WB")-1,9)+1),"N/A"),"")</f>
        <v/>
      </c>
      <c r="K437" s="3" t="str">
        <f t="shared" si="109"/>
        <v/>
      </c>
      <c r="L437" s="2"/>
      <c r="M437" s="2"/>
      <c r="N437" s="2"/>
      <c r="O437" s="7" t="str">
        <f t="shared" si="110"/>
        <v/>
      </c>
      <c r="P437" s="7" t="str">
        <f t="shared" si="111"/>
        <v/>
      </c>
      <c r="Q437" s="7" t="str">
        <f t="shared" si="112"/>
        <v/>
      </c>
      <c r="R437" s="7" t="str">
        <f t="shared" si="113"/>
        <v/>
      </c>
      <c r="S437" s="7" t="str">
        <f t="shared" si="114"/>
        <v/>
      </c>
      <c r="T437" s="7" t="str">
        <f t="shared" si="115"/>
        <v/>
      </c>
      <c r="U437" s="7" t="str">
        <f t="shared" si="116"/>
        <v/>
      </c>
      <c r="V437" s="7" t="str">
        <f t="shared" si="117"/>
        <v/>
      </c>
      <c r="W437" s="7" t="str">
        <f t="shared" si="118"/>
        <v/>
      </c>
      <c r="X437" s="7" t="str">
        <f t="shared" si="119"/>
        <v/>
      </c>
      <c r="Y437">
        <f t="shared" si="120"/>
        <v>0</v>
      </c>
      <c r="Z437" t="str">
        <f t="shared" si="121"/>
        <v/>
      </c>
      <c r="AA437" t="str">
        <f t="shared" si="122"/>
        <v/>
      </c>
      <c r="AB437" t="str">
        <f t="shared" si="123"/>
        <v/>
      </c>
      <c r="AC437" t="str">
        <f t="shared" si="124"/>
        <v/>
      </c>
      <c r="AD437">
        <f t="shared" si="125"/>
        <v>0</v>
      </c>
    </row>
    <row r="438" spans="1:30" ht="15" customHeight="1" x14ac:dyDescent="0.35">
      <c r="A438" s="2"/>
      <c r="B438" s="3"/>
      <c r="C438" s="4"/>
      <c r="D438" s="5"/>
      <c r="E438" s="11" t="str">
        <f t="shared" ca="1" si="108"/>
        <v/>
      </c>
      <c r="F438" s="5"/>
      <c r="G438" s="6" t="str">
        <f>IF(AND($A438&lt;&gt;"",$B438&lt;&gt;"",$C438&lt;&gt;"",$D438&lt;&gt;""),IF(OR($B438="SER",$B438="PLH",$B438="CSF"),"Control CDI Plate "&amp;(INT(((COUNTIFS($B$2:$B438,"SER")+COUNTIFS($B$2:$B438,"PLH")+COUNTIFS($B$2:$B438,"CSF"))-1)/96)+1)&amp;": "&amp;CHAR(65+INT(MOD((COUNTIFS($B$2:$B438,"SER")+COUNTIFS($B$2:$B438,"PLH")+COUNTIFS($B$2:$B438,"CSF"))-1,96)/12))&amp;(MOD((COUNTIFS($B$2:$B438,"SER")+COUNTIFS($B$2:$B438,"PLH")+COUNTIFS($B$2:$B438,"CSF"))-1,12)+1),"N/A"),"")</f>
        <v/>
      </c>
      <c r="H438" s="6" t="str">
        <f>IF(AND($A438&lt;&gt;"",$B438&lt;&gt;"",$C438&lt;&gt;"",$D438&lt;&gt;""),IF(OR($B438="SER",$B438="PLH",$B438="CSF"),"Control NIH Plate "&amp;(INT(((COUNTIFS($B$2:$B438,"SER")+COUNTIFS($B$2:$B438,"PLH")+COUNTIFS($B$2:$B438,"CSF"))-1)/96)+1)&amp;": "&amp;CHAR(65+INT(MOD((COUNTIFS($B$2:$B438,"SER")+COUNTIFS($B$2:$B438,"PLH")+COUNTIFS($B$2:$B438,"CSF"))-1,96)/12))&amp;(MOD((COUNTIFS($B$2:$B438,"SER")+COUNTIFS($B$2:$B438,"PLH")+COUNTIFS($B$2:$B438,"CSF"))-1,12)+1),"N/A"),"")</f>
        <v/>
      </c>
      <c r="I438" s="6" t="str">
        <f>IF(AND($A438&lt;&gt;"",$B438&lt;&gt;"",$C438&lt;&gt;"",$D438&lt;&gt;""),IF(OR($B438="SER",$B438="PLH"),"Control MAX Planck Plate "&amp;(INT(((COUNTIFS($B$2:$B438,"SER")+COUNTIFS($B$2:$B438,"PLH"))-1)/96)+1)&amp;": "&amp;CHAR(65+INT(MOD((COUNTIFS($B$2:$B438,"SER")+COUNTIFS($B$2:$B438,"PLH"))-1,96)/12))&amp;(MOD((COUNTIFS($B$2:$B438,"SER")+COUNTIFS($B$2:$B438,"PLH"))-1,12)+1),"N/A"),"")</f>
        <v/>
      </c>
      <c r="J438" s="6" t="str">
        <f>IF(AND($A438&lt;&gt;"",$B438&lt;&gt;"",$C438&lt;&gt;"",$D438&lt;&gt;""),IF($B438="WB","Control WB Box "&amp;(INT((COUNTIFS($B$2:$B438,"WB")-1)/81)+1)&amp;": "&amp;CHAR(65+INT(MOD(COUNTIFS($B$2:$B438,"WB")-1,81)/9))&amp;(MOD(COUNTIFS($B$2:$B438,"WB")-1,9)+1),"N/A"),"")</f>
        <v/>
      </c>
      <c r="K438" s="3" t="str">
        <f t="shared" si="109"/>
        <v/>
      </c>
      <c r="L438" s="2"/>
      <c r="M438" s="2"/>
      <c r="N438" s="2"/>
      <c r="O438" s="7" t="str">
        <f t="shared" si="110"/>
        <v/>
      </c>
      <c r="P438" s="7" t="str">
        <f t="shared" si="111"/>
        <v/>
      </c>
      <c r="Q438" s="7" t="str">
        <f t="shared" si="112"/>
        <v/>
      </c>
      <c r="R438" s="7" t="str">
        <f t="shared" si="113"/>
        <v/>
      </c>
      <c r="S438" s="7" t="str">
        <f t="shared" si="114"/>
        <v/>
      </c>
      <c r="T438" s="7" t="str">
        <f t="shared" si="115"/>
        <v/>
      </c>
      <c r="U438" s="7" t="str">
        <f t="shared" si="116"/>
        <v/>
      </c>
      <c r="V438" s="7" t="str">
        <f t="shared" si="117"/>
        <v/>
      </c>
      <c r="W438" s="7" t="str">
        <f t="shared" si="118"/>
        <v/>
      </c>
      <c r="X438" s="7" t="str">
        <f t="shared" si="119"/>
        <v/>
      </c>
      <c r="Y438">
        <f t="shared" si="120"/>
        <v>0</v>
      </c>
      <c r="Z438" t="str">
        <f t="shared" si="121"/>
        <v/>
      </c>
      <c r="AA438" t="str">
        <f t="shared" si="122"/>
        <v/>
      </c>
      <c r="AB438" t="str">
        <f t="shared" si="123"/>
        <v/>
      </c>
      <c r="AC438" t="str">
        <f t="shared" si="124"/>
        <v/>
      </c>
      <c r="AD438">
        <f t="shared" si="125"/>
        <v>0</v>
      </c>
    </row>
    <row r="439" spans="1:30" ht="15" customHeight="1" x14ac:dyDescent="0.35">
      <c r="A439" s="2"/>
      <c r="B439" s="3"/>
      <c r="C439" s="4"/>
      <c r="D439" s="5"/>
      <c r="E439" s="11" t="str">
        <f t="shared" ca="1" si="108"/>
        <v/>
      </c>
      <c r="F439" s="5"/>
      <c r="G439" s="6" t="str">
        <f>IF(AND($A439&lt;&gt;"",$B439&lt;&gt;"",$C439&lt;&gt;"",$D439&lt;&gt;""),IF(OR($B439="SER",$B439="PLH",$B439="CSF"),"Control CDI Plate "&amp;(INT(((COUNTIFS($B$2:$B439,"SER")+COUNTIFS($B$2:$B439,"PLH")+COUNTIFS($B$2:$B439,"CSF"))-1)/96)+1)&amp;": "&amp;CHAR(65+INT(MOD((COUNTIFS($B$2:$B439,"SER")+COUNTIFS($B$2:$B439,"PLH")+COUNTIFS($B$2:$B439,"CSF"))-1,96)/12))&amp;(MOD((COUNTIFS($B$2:$B439,"SER")+COUNTIFS($B$2:$B439,"PLH")+COUNTIFS($B$2:$B439,"CSF"))-1,12)+1),"N/A"),"")</f>
        <v/>
      </c>
      <c r="H439" s="6" t="str">
        <f>IF(AND($A439&lt;&gt;"",$B439&lt;&gt;"",$C439&lt;&gt;"",$D439&lt;&gt;""),IF(OR($B439="SER",$B439="PLH",$B439="CSF"),"Control NIH Plate "&amp;(INT(((COUNTIFS($B$2:$B439,"SER")+COUNTIFS($B$2:$B439,"PLH")+COUNTIFS($B$2:$B439,"CSF"))-1)/96)+1)&amp;": "&amp;CHAR(65+INT(MOD((COUNTIFS($B$2:$B439,"SER")+COUNTIFS($B$2:$B439,"PLH")+COUNTIFS($B$2:$B439,"CSF"))-1,96)/12))&amp;(MOD((COUNTIFS($B$2:$B439,"SER")+COUNTIFS($B$2:$B439,"PLH")+COUNTIFS($B$2:$B439,"CSF"))-1,12)+1),"N/A"),"")</f>
        <v/>
      </c>
      <c r="I439" s="6" t="str">
        <f>IF(AND($A439&lt;&gt;"",$B439&lt;&gt;"",$C439&lt;&gt;"",$D439&lt;&gt;""),IF(OR($B439="SER",$B439="PLH"),"Control MAX Planck Plate "&amp;(INT(((COUNTIFS($B$2:$B439,"SER")+COUNTIFS($B$2:$B439,"PLH"))-1)/96)+1)&amp;": "&amp;CHAR(65+INT(MOD((COUNTIFS($B$2:$B439,"SER")+COUNTIFS($B$2:$B439,"PLH"))-1,96)/12))&amp;(MOD((COUNTIFS($B$2:$B439,"SER")+COUNTIFS($B$2:$B439,"PLH"))-1,12)+1),"N/A"),"")</f>
        <v/>
      </c>
      <c r="J439" s="6" t="str">
        <f>IF(AND($A439&lt;&gt;"",$B439&lt;&gt;"",$C439&lt;&gt;"",$D439&lt;&gt;""),IF($B439="WB","Control WB Box "&amp;(INT((COUNTIFS($B$2:$B439,"WB")-1)/81)+1)&amp;": "&amp;CHAR(65+INT(MOD(COUNTIFS($B$2:$B439,"WB")-1,81)/9))&amp;(MOD(COUNTIFS($B$2:$B439,"WB")-1,9)+1),"N/A"),"")</f>
        <v/>
      </c>
      <c r="K439" s="3" t="str">
        <f t="shared" si="109"/>
        <v/>
      </c>
      <c r="L439" s="2"/>
      <c r="M439" s="2"/>
      <c r="N439" s="2"/>
      <c r="O439" s="7" t="str">
        <f t="shared" si="110"/>
        <v/>
      </c>
      <c r="P439" s="7" t="str">
        <f t="shared" si="111"/>
        <v/>
      </c>
      <c r="Q439" s="7" t="str">
        <f t="shared" si="112"/>
        <v/>
      </c>
      <c r="R439" s="7" t="str">
        <f t="shared" si="113"/>
        <v/>
      </c>
      <c r="S439" s="7" t="str">
        <f t="shared" si="114"/>
        <v/>
      </c>
      <c r="T439" s="7" t="str">
        <f t="shared" si="115"/>
        <v/>
      </c>
      <c r="U439" s="7" t="str">
        <f t="shared" si="116"/>
        <v/>
      </c>
      <c r="V439" s="7" t="str">
        <f t="shared" si="117"/>
        <v/>
      </c>
      <c r="W439" s="7" t="str">
        <f t="shared" si="118"/>
        <v/>
      </c>
      <c r="X439" s="7" t="str">
        <f t="shared" si="119"/>
        <v/>
      </c>
      <c r="Y439">
        <f t="shared" si="120"/>
        <v>0</v>
      </c>
      <c r="Z439" t="str">
        <f t="shared" si="121"/>
        <v/>
      </c>
      <c r="AA439" t="str">
        <f t="shared" si="122"/>
        <v/>
      </c>
      <c r="AB439" t="str">
        <f t="shared" si="123"/>
        <v/>
      </c>
      <c r="AC439" t="str">
        <f t="shared" si="124"/>
        <v/>
      </c>
      <c r="AD439">
        <f t="shared" si="125"/>
        <v>0</v>
      </c>
    </row>
    <row r="440" spans="1:30" ht="15" customHeight="1" x14ac:dyDescent="0.35">
      <c r="A440" s="2"/>
      <c r="B440" s="3"/>
      <c r="C440" s="4"/>
      <c r="D440" s="5"/>
      <c r="E440" s="11" t="str">
        <f t="shared" ca="1" si="108"/>
        <v/>
      </c>
      <c r="F440" s="5"/>
      <c r="G440" s="6" t="str">
        <f>IF(AND($A440&lt;&gt;"",$B440&lt;&gt;"",$C440&lt;&gt;"",$D440&lt;&gt;""),IF(OR($B440="SER",$B440="PLH",$B440="CSF"),"Control CDI Plate "&amp;(INT(((COUNTIFS($B$2:$B440,"SER")+COUNTIFS($B$2:$B440,"PLH")+COUNTIFS($B$2:$B440,"CSF"))-1)/96)+1)&amp;": "&amp;CHAR(65+INT(MOD((COUNTIFS($B$2:$B440,"SER")+COUNTIFS($B$2:$B440,"PLH")+COUNTIFS($B$2:$B440,"CSF"))-1,96)/12))&amp;(MOD((COUNTIFS($B$2:$B440,"SER")+COUNTIFS($B$2:$B440,"PLH")+COUNTIFS($B$2:$B440,"CSF"))-1,12)+1),"N/A"),"")</f>
        <v/>
      </c>
      <c r="H440" s="6" t="str">
        <f>IF(AND($A440&lt;&gt;"",$B440&lt;&gt;"",$C440&lt;&gt;"",$D440&lt;&gt;""),IF(OR($B440="SER",$B440="PLH",$B440="CSF"),"Control NIH Plate "&amp;(INT(((COUNTIFS($B$2:$B440,"SER")+COUNTIFS($B$2:$B440,"PLH")+COUNTIFS($B$2:$B440,"CSF"))-1)/96)+1)&amp;": "&amp;CHAR(65+INT(MOD((COUNTIFS($B$2:$B440,"SER")+COUNTIFS($B$2:$B440,"PLH")+COUNTIFS($B$2:$B440,"CSF"))-1,96)/12))&amp;(MOD((COUNTIFS($B$2:$B440,"SER")+COUNTIFS($B$2:$B440,"PLH")+COUNTIFS($B$2:$B440,"CSF"))-1,12)+1),"N/A"),"")</f>
        <v/>
      </c>
      <c r="I440" s="6" t="str">
        <f>IF(AND($A440&lt;&gt;"",$B440&lt;&gt;"",$C440&lt;&gt;"",$D440&lt;&gt;""),IF(OR($B440="SER",$B440="PLH"),"Control MAX Planck Plate "&amp;(INT(((COUNTIFS($B$2:$B440,"SER")+COUNTIFS($B$2:$B440,"PLH"))-1)/96)+1)&amp;": "&amp;CHAR(65+INT(MOD((COUNTIFS($B$2:$B440,"SER")+COUNTIFS($B$2:$B440,"PLH"))-1,96)/12))&amp;(MOD((COUNTIFS($B$2:$B440,"SER")+COUNTIFS($B$2:$B440,"PLH"))-1,12)+1),"N/A"),"")</f>
        <v/>
      </c>
      <c r="J440" s="6" t="str">
        <f>IF(AND($A440&lt;&gt;"",$B440&lt;&gt;"",$C440&lt;&gt;"",$D440&lt;&gt;""),IF($B440="WB","Control WB Box "&amp;(INT((COUNTIFS($B$2:$B440,"WB")-1)/81)+1)&amp;": "&amp;CHAR(65+INT(MOD(COUNTIFS($B$2:$B440,"WB")-1,81)/9))&amp;(MOD(COUNTIFS($B$2:$B440,"WB")-1,9)+1),"N/A"),"")</f>
        <v/>
      </c>
      <c r="K440" s="3" t="str">
        <f t="shared" si="109"/>
        <v/>
      </c>
      <c r="L440" s="2"/>
      <c r="M440" s="2"/>
      <c r="N440" s="2"/>
      <c r="O440" s="7" t="str">
        <f t="shared" si="110"/>
        <v/>
      </c>
      <c r="P440" s="7" t="str">
        <f t="shared" si="111"/>
        <v/>
      </c>
      <c r="Q440" s="7" t="str">
        <f t="shared" si="112"/>
        <v/>
      </c>
      <c r="R440" s="7" t="str">
        <f t="shared" si="113"/>
        <v/>
      </c>
      <c r="S440" s="7" t="str">
        <f t="shared" si="114"/>
        <v/>
      </c>
      <c r="T440" s="7" t="str">
        <f t="shared" si="115"/>
        <v/>
      </c>
      <c r="U440" s="7" t="str">
        <f t="shared" si="116"/>
        <v/>
      </c>
      <c r="V440" s="7" t="str">
        <f t="shared" si="117"/>
        <v/>
      </c>
      <c r="W440" s="7" t="str">
        <f t="shared" si="118"/>
        <v/>
      </c>
      <c r="X440" s="7" t="str">
        <f t="shared" si="119"/>
        <v/>
      </c>
      <c r="Y440">
        <f t="shared" si="120"/>
        <v>0</v>
      </c>
      <c r="Z440" t="str">
        <f t="shared" si="121"/>
        <v/>
      </c>
      <c r="AA440" t="str">
        <f t="shared" si="122"/>
        <v/>
      </c>
      <c r="AB440" t="str">
        <f t="shared" si="123"/>
        <v/>
      </c>
      <c r="AC440" t="str">
        <f t="shared" si="124"/>
        <v/>
      </c>
      <c r="AD440">
        <f t="shared" si="125"/>
        <v>0</v>
      </c>
    </row>
    <row r="441" spans="1:30" ht="15" customHeight="1" x14ac:dyDescent="0.35">
      <c r="A441" s="2"/>
      <c r="B441" s="3"/>
      <c r="C441" s="4"/>
      <c r="D441" s="5"/>
      <c r="E441" s="11" t="str">
        <f t="shared" ca="1" si="108"/>
        <v/>
      </c>
      <c r="F441" s="5"/>
      <c r="G441" s="6" t="str">
        <f>IF(AND($A441&lt;&gt;"",$B441&lt;&gt;"",$C441&lt;&gt;"",$D441&lt;&gt;""),IF(OR($B441="SER",$B441="PLH",$B441="CSF"),"Control CDI Plate "&amp;(INT(((COUNTIFS($B$2:$B441,"SER")+COUNTIFS($B$2:$B441,"PLH")+COUNTIFS($B$2:$B441,"CSF"))-1)/96)+1)&amp;": "&amp;CHAR(65+INT(MOD((COUNTIFS($B$2:$B441,"SER")+COUNTIFS($B$2:$B441,"PLH")+COUNTIFS($B$2:$B441,"CSF"))-1,96)/12))&amp;(MOD((COUNTIFS($B$2:$B441,"SER")+COUNTIFS($B$2:$B441,"PLH")+COUNTIFS($B$2:$B441,"CSF"))-1,12)+1),"N/A"),"")</f>
        <v/>
      </c>
      <c r="H441" s="6" t="str">
        <f>IF(AND($A441&lt;&gt;"",$B441&lt;&gt;"",$C441&lt;&gt;"",$D441&lt;&gt;""),IF(OR($B441="SER",$B441="PLH",$B441="CSF"),"Control NIH Plate "&amp;(INT(((COUNTIFS($B$2:$B441,"SER")+COUNTIFS($B$2:$B441,"PLH")+COUNTIFS($B$2:$B441,"CSF"))-1)/96)+1)&amp;": "&amp;CHAR(65+INT(MOD((COUNTIFS($B$2:$B441,"SER")+COUNTIFS($B$2:$B441,"PLH")+COUNTIFS($B$2:$B441,"CSF"))-1,96)/12))&amp;(MOD((COUNTIFS($B$2:$B441,"SER")+COUNTIFS($B$2:$B441,"PLH")+COUNTIFS($B$2:$B441,"CSF"))-1,12)+1),"N/A"),"")</f>
        <v/>
      </c>
      <c r="I441" s="6" t="str">
        <f>IF(AND($A441&lt;&gt;"",$B441&lt;&gt;"",$C441&lt;&gt;"",$D441&lt;&gt;""),IF(OR($B441="SER",$B441="PLH"),"Control MAX Planck Plate "&amp;(INT(((COUNTIFS($B$2:$B441,"SER")+COUNTIFS($B$2:$B441,"PLH"))-1)/96)+1)&amp;": "&amp;CHAR(65+INT(MOD((COUNTIFS($B$2:$B441,"SER")+COUNTIFS($B$2:$B441,"PLH"))-1,96)/12))&amp;(MOD((COUNTIFS($B$2:$B441,"SER")+COUNTIFS($B$2:$B441,"PLH"))-1,12)+1),"N/A"),"")</f>
        <v/>
      </c>
      <c r="J441" s="6" t="str">
        <f>IF(AND($A441&lt;&gt;"",$B441&lt;&gt;"",$C441&lt;&gt;"",$D441&lt;&gt;""),IF($B441="WB","Control WB Box "&amp;(INT((COUNTIFS($B$2:$B441,"WB")-1)/81)+1)&amp;": "&amp;CHAR(65+INT(MOD(COUNTIFS($B$2:$B441,"WB")-1,81)/9))&amp;(MOD(COUNTIFS($B$2:$B441,"WB")-1,9)+1),"N/A"),"")</f>
        <v/>
      </c>
      <c r="K441" s="3" t="str">
        <f t="shared" si="109"/>
        <v/>
      </c>
      <c r="L441" s="2"/>
      <c r="M441" s="2"/>
      <c r="N441" s="2"/>
      <c r="O441" s="7" t="str">
        <f t="shared" si="110"/>
        <v/>
      </c>
      <c r="P441" s="7" t="str">
        <f t="shared" si="111"/>
        <v/>
      </c>
      <c r="Q441" s="7" t="str">
        <f t="shared" si="112"/>
        <v/>
      </c>
      <c r="R441" s="7" t="str">
        <f t="shared" si="113"/>
        <v/>
      </c>
      <c r="S441" s="7" t="str">
        <f t="shared" si="114"/>
        <v/>
      </c>
      <c r="T441" s="7" t="str">
        <f t="shared" si="115"/>
        <v/>
      </c>
      <c r="U441" s="7" t="str">
        <f t="shared" si="116"/>
        <v/>
      </c>
      <c r="V441" s="7" t="str">
        <f t="shared" si="117"/>
        <v/>
      </c>
      <c r="W441" s="7" t="str">
        <f t="shared" si="118"/>
        <v/>
      </c>
      <c r="X441" s="7" t="str">
        <f t="shared" si="119"/>
        <v/>
      </c>
      <c r="Y441">
        <f t="shared" si="120"/>
        <v>0</v>
      </c>
      <c r="Z441" t="str">
        <f t="shared" si="121"/>
        <v/>
      </c>
      <c r="AA441" t="str">
        <f t="shared" si="122"/>
        <v/>
      </c>
      <c r="AB441" t="str">
        <f t="shared" si="123"/>
        <v/>
      </c>
      <c r="AC441" t="str">
        <f t="shared" si="124"/>
        <v/>
      </c>
      <c r="AD441">
        <f t="shared" si="125"/>
        <v>0</v>
      </c>
    </row>
    <row r="442" spans="1:30" ht="15" customHeight="1" x14ac:dyDescent="0.35">
      <c r="A442" s="2"/>
      <c r="B442" s="3"/>
      <c r="C442" s="4"/>
      <c r="D442" s="5"/>
      <c r="E442" s="11" t="str">
        <f t="shared" ca="1" si="108"/>
        <v/>
      </c>
      <c r="F442" s="5"/>
      <c r="G442" s="6" t="str">
        <f>IF(AND($A442&lt;&gt;"",$B442&lt;&gt;"",$C442&lt;&gt;"",$D442&lt;&gt;""),IF(OR($B442="SER",$B442="PLH",$B442="CSF"),"Control CDI Plate "&amp;(INT(((COUNTIFS($B$2:$B442,"SER")+COUNTIFS($B$2:$B442,"PLH")+COUNTIFS($B$2:$B442,"CSF"))-1)/96)+1)&amp;": "&amp;CHAR(65+INT(MOD((COUNTIFS($B$2:$B442,"SER")+COUNTIFS($B$2:$B442,"PLH")+COUNTIFS($B$2:$B442,"CSF"))-1,96)/12))&amp;(MOD((COUNTIFS($B$2:$B442,"SER")+COUNTIFS($B$2:$B442,"PLH")+COUNTIFS($B$2:$B442,"CSF"))-1,12)+1),"N/A"),"")</f>
        <v/>
      </c>
      <c r="H442" s="6" t="str">
        <f>IF(AND($A442&lt;&gt;"",$B442&lt;&gt;"",$C442&lt;&gt;"",$D442&lt;&gt;""),IF(OR($B442="SER",$B442="PLH",$B442="CSF"),"Control NIH Plate "&amp;(INT(((COUNTIFS($B$2:$B442,"SER")+COUNTIFS($B$2:$B442,"PLH")+COUNTIFS($B$2:$B442,"CSF"))-1)/96)+1)&amp;": "&amp;CHAR(65+INT(MOD((COUNTIFS($B$2:$B442,"SER")+COUNTIFS($B$2:$B442,"PLH")+COUNTIFS($B$2:$B442,"CSF"))-1,96)/12))&amp;(MOD((COUNTIFS($B$2:$B442,"SER")+COUNTIFS($B$2:$B442,"PLH")+COUNTIFS($B$2:$B442,"CSF"))-1,12)+1),"N/A"),"")</f>
        <v/>
      </c>
      <c r="I442" s="6" t="str">
        <f>IF(AND($A442&lt;&gt;"",$B442&lt;&gt;"",$C442&lt;&gt;"",$D442&lt;&gt;""),IF(OR($B442="SER",$B442="PLH"),"Control MAX Planck Plate "&amp;(INT(((COUNTIFS($B$2:$B442,"SER")+COUNTIFS($B$2:$B442,"PLH"))-1)/96)+1)&amp;": "&amp;CHAR(65+INT(MOD((COUNTIFS($B$2:$B442,"SER")+COUNTIFS($B$2:$B442,"PLH"))-1,96)/12))&amp;(MOD((COUNTIFS($B$2:$B442,"SER")+COUNTIFS($B$2:$B442,"PLH"))-1,12)+1),"N/A"),"")</f>
        <v/>
      </c>
      <c r="J442" s="6" t="str">
        <f>IF(AND($A442&lt;&gt;"",$B442&lt;&gt;"",$C442&lt;&gt;"",$D442&lt;&gt;""),IF($B442="WB","Control WB Box "&amp;(INT((COUNTIFS($B$2:$B442,"WB")-1)/81)+1)&amp;": "&amp;CHAR(65+INT(MOD(COUNTIFS($B$2:$B442,"WB")-1,81)/9))&amp;(MOD(COUNTIFS($B$2:$B442,"WB")-1,9)+1),"N/A"),"")</f>
        <v/>
      </c>
      <c r="K442" s="3" t="str">
        <f t="shared" si="109"/>
        <v/>
      </c>
      <c r="L442" s="2"/>
      <c r="M442" s="2"/>
      <c r="N442" s="2"/>
      <c r="O442" s="7" t="str">
        <f t="shared" si="110"/>
        <v/>
      </c>
      <c r="P442" s="7" t="str">
        <f t="shared" si="111"/>
        <v/>
      </c>
      <c r="Q442" s="7" t="str">
        <f t="shared" si="112"/>
        <v/>
      </c>
      <c r="R442" s="7" t="str">
        <f t="shared" si="113"/>
        <v/>
      </c>
      <c r="S442" s="7" t="str">
        <f t="shared" si="114"/>
        <v/>
      </c>
      <c r="T442" s="7" t="str">
        <f t="shared" si="115"/>
        <v/>
      </c>
      <c r="U442" s="7" t="str">
        <f t="shared" si="116"/>
        <v/>
      </c>
      <c r="V442" s="7" t="str">
        <f t="shared" si="117"/>
        <v/>
      </c>
      <c r="W442" s="7" t="str">
        <f t="shared" si="118"/>
        <v/>
      </c>
      <c r="X442" s="7" t="str">
        <f t="shared" si="119"/>
        <v/>
      </c>
      <c r="Y442">
        <f t="shared" si="120"/>
        <v>0</v>
      </c>
      <c r="Z442" t="str">
        <f t="shared" si="121"/>
        <v/>
      </c>
      <c r="AA442" t="str">
        <f t="shared" si="122"/>
        <v/>
      </c>
      <c r="AB442" t="str">
        <f t="shared" si="123"/>
        <v/>
      </c>
      <c r="AC442" t="str">
        <f t="shared" si="124"/>
        <v/>
      </c>
      <c r="AD442">
        <f t="shared" si="125"/>
        <v>0</v>
      </c>
    </row>
    <row r="443" spans="1:30" ht="15" customHeight="1" x14ac:dyDescent="0.35">
      <c r="A443" s="2"/>
      <c r="B443" s="3"/>
      <c r="C443" s="4"/>
      <c r="D443" s="5"/>
      <c r="E443" s="11" t="str">
        <f t="shared" ca="1" si="108"/>
        <v/>
      </c>
      <c r="F443" s="5"/>
      <c r="G443" s="6" t="str">
        <f>IF(AND($A443&lt;&gt;"",$B443&lt;&gt;"",$C443&lt;&gt;"",$D443&lt;&gt;""),IF(OR($B443="SER",$B443="PLH",$B443="CSF"),"Control CDI Plate "&amp;(INT(((COUNTIFS($B$2:$B443,"SER")+COUNTIFS($B$2:$B443,"PLH")+COUNTIFS($B$2:$B443,"CSF"))-1)/96)+1)&amp;": "&amp;CHAR(65+INT(MOD((COUNTIFS($B$2:$B443,"SER")+COUNTIFS($B$2:$B443,"PLH")+COUNTIFS($B$2:$B443,"CSF"))-1,96)/12))&amp;(MOD((COUNTIFS($B$2:$B443,"SER")+COUNTIFS($B$2:$B443,"PLH")+COUNTIFS($B$2:$B443,"CSF"))-1,12)+1),"N/A"),"")</f>
        <v/>
      </c>
      <c r="H443" s="6" t="str">
        <f>IF(AND($A443&lt;&gt;"",$B443&lt;&gt;"",$C443&lt;&gt;"",$D443&lt;&gt;""),IF(OR($B443="SER",$B443="PLH",$B443="CSF"),"Control NIH Plate "&amp;(INT(((COUNTIFS($B$2:$B443,"SER")+COUNTIFS($B$2:$B443,"PLH")+COUNTIFS($B$2:$B443,"CSF"))-1)/96)+1)&amp;": "&amp;CHAR(65+INT(MOD((COUNTIFS($B$2:$B443,"SER")+COUNTIFS($B$2:$B443,"PLH")+COUNTIFS($B$2:$B443,"CSF"))-1,96)/12))&amp;(MOD((COUNTIFS($B$2:$B443,"SER")+COUNTIFS($B$2:$B443,"PLH")+COUNTIFS($B$2:$B443,"CSF"))-1,12)+1),"N/A"),"")</f>
        <v/>
      </c>
      <c r="I443" s="6" t="str">
        <f>IF(AND($A443&lt;&gt;"",$B443&lt;&gt;"",$C443&lt;&gt;"",$D443&lt;&gt;""),IF(OR($B443="SER",$B443="PLH"),"Control MAX Planck Plate "&amp;(INT(((COUNTIFS($B$2:$B443,"SER")+COUNTIFS($B$2:$B443,"PLH"))-1)/96)+1)&amp;": "&amp;CHAR(65+INT(MOD((COUNTIFS($B$2:$B443,"SER")+COUNTIFS($B$2:$B443,"PLH"))-1,96)/12))&amp;(MOD((COUNTIFS($B$2:$B443,"SER")+COUNTIFS($B$2:$B443,"PLH"))-1,12)+1),"N/A"),"")</f>
        <v/>
      </c>
      <c r="J443" s="6" t="str">
        <f>IF(AND($A443&lt;&gt;"",$B443&lt;&gt;"",$C443&lt;&gt;"",$D443&lt;&gt;""),IF($B443="WB","Control WB Box "&amp;(INT((COUNTIFS($B$2:$B443,"WB")-1)/81)+1)&amp;": "&amp;CHAR(65+INT(MOD(COUNTIFS($B$2:$B443,"WB")-1,81)/9))&amp;(MOD(COUNTIFS($B$2:$B443,"WB")-1,9)+1),"N/A"),"")</f>
        <v/>
      </c>
      <c r="K443" s="3" t="str">
        <f t="shared" si="109"/>
        <v/>
      </c>
      <c r="L443" s="2"/>
      <c r="M443" s="2"/>
      <c r="N443" s="2"/>
      <c r="O443" s="7" t="str">
        <f t="shared" si="110"/>
        <v/>
      </c>
      <c r="P443" s="7" t="str">
        <f t="shared" si="111"/>
        <v/>
      </c>
      <c r="Q443" s="7" t="str">
        <f t="shared" si="112"/>
        <v/>
      </c>
      <c r="R443" s="7" t="str">
        <f t="shared" si="113"/>
        <v/>
      </c>
      <c r="S443" s="7" t="str">
        <f t="shared" si="114"/>
        <v/>
      </c>
      <c r="T443" s="7" t="str">
        <f t="shared" si="115"/>
        <v/>
      </c>
      <c r="U443" s="7" t="str">
        <f t="shared" si="116"/>
        <v/>
      </c>
      <c r="V443" s="7" t="str">
        <f t="shared" si="117"/>
        <v/>
      </c>
      <c r="W443" s="7" t="str">
        <f t="shared" si="118"/>
        <v/>
      </c>
      <c r="X443" s="7" t="str">
        <f t="shared" si="119"/>
        <v/>
      </c>
      <c r="Y443">
        <f t="shared" si="120"/>
        <v>0</v>
      </c>
      <c r="Z443" t="str">
        <f t="shared" si="121"/>
        <v/>
      </c>
      <c r="AA443" t="str">
        <f t="shared" si="122"/>
        <v/>
      </c>
      <c r="AB443" t="str">
        <f t="shared" si="123"/>
        <v/>
      </c>
      <c r="AC443" t="str">
        <f t="shared" si="124"/>
        <v/>
      </c>
      <c r="AD443">
        <f t="shared" si="125"/>
        <v>0</v>
      </c>
    </row>
    <row r="444" spans="1:30" ht="15" customHeight="1" x14ac:dyDescent="0.35">
      <c r="A444" s="2"/>
      <c r="B444" s="3"/>
      <c r="C444" s="4"/>
      <c r="D444" s="5"/>
      <c r="E444" s="11" t="str">
        <f t="shared" ca="1" si="108"/>
        <v/>
      </c>
      <c r="F444" s="5"/>
      <c r="G444" s="6" t="str">
        <f>IF(AND($A444&lt;&gt;"",$B444&lt;&gt;"",$C444&lt;&gt;"",$D444&lt;&gt;""),IF(OR($B444="SER",$B444="PLH",$B444="CSF"),"Control CDI Plate "&amp;(INT(((COUNTIFS($B$2:$B444,"SER")+COUNTIFS($B$2:$B444,"PLH")+COUNTIFS($B$2:$B444,"CSF"))-1)/96)+1)&amp;": "&amp;CHAR(65+INT(MOD((COUNTIFS($B$2:$B444,"SER")+COUNTIFS($B$2:$B444,"PLH")+COUNTIFS($B$2:$B444,"CSF"))-1,96)/12))&amp;(MOD((COUNTIFS($B$2:$B444,"SER")+COUNTIFS($B$2:$B444,"PLH")+COUNTIFS($B$2:$B444,"CSF"))-1,12)+1),"N/A"),"")</f>
        <v/>
      </c>
      <c r="H444" s="6" t="str">
        <f>IF(AND($A444&lt;&gt;"",$B444&lt;&gt;"",$C444&lt;&gt;"",$D444&lt;&gt;""),IF(OR($B444="SER",$B444="PLH",$B444="CSF"),"Control NIH Plate "&amp;(INT(((COUNTIFS($B$2:$B444,"SER")+COUNTIFS($B$2:$B444,"PLH")+COUNTIFS($B$2:$B444,"CSF"))-1)/96)+1)&amp;": "&amp;CHAR(65+INT(MOD((COUNTIFS($B$2:$B444,"SER")+COUNTIFS($B$2:$B444,"PLH")+COUNTIFS($B$2:$B444,"CSF"))-1,96)/12))&amp;(MOD((COUNTIFS($B$2:$B444,"SER")+COUNTIFS($B$2:$B444,"PLH")+COUNTIFS($B$2:$B444,"CSF"))-1,12)+1),"N/A"),"")</f>
        <v/>
      </c>
      <c r="I444" s="6" t="str">
        <f>IF(AND($A444&lt;&gt;"",$B444&lt;&gt;"",$C444&lt;&gt;"",$D444&lt;&gt;""),IF(OR($B444="SER",$B444="PLH"),"Control MAX Planck Plate "&amp;(INT(((COUNTIFS($B$2:$B444,"SER")+COUNTIFS($B$2:$B444,"PLH"))-1)/96)+1)&amp;": "&amp;CHAR(65+INT(MOD((COUNTIFS($B$2:$B444,"SER")+COUNTIFS($B$2:$B444,"PLH"))-1,96)/12))&amp;(MOD((COUNTIFS($B$2:$B444,"SER")+COUNTIFS($B$2:$B444,"PLH"))-1,12)+1),"N/A"),"")</f>
        <v/>
      </c>
      <c r="J444" s="6" t="str">
        <f>IF(AND($A444&lt;&gt;"",$B444&lt;&gt;"",$C444&lt;&gt;"",$D444&lt;&gt;""),IF($B444="WB","Control WB Box "&amp;(INT((COUNTIFS($B$2:$B444,"WB")-1)/81)+1)&amp;": "&amp;CHAR(65+INT(MOD(COUNTIFS($B$2:$B444,"WB")-1,81)/9))&amp;(MOD(COUNTIFS($B$2:$B444,"WB")-1,9)+1),"N/A"),"")</f>
        <v/>
      </c>
      <c r="K444" s="3" t="str">
        <f t="shared" si="109"/>
        <v/>
      </c>
      <c r="L444" s="2"/>
      <c r="M444" s="2"/>
      <c r="N444" s="2"/>
      <c r="O444" s="7" t="str">
        <f t="shared" si="110"/>
        <v/>
      </c>
      <c r="P444" s="7" t="str">
        <f t="shared" si="111"/>
        <v/>
      </c>
      <c r="Q444" s="7" t="str">
        <f t="shared" si="112"/>
        <v/>
      </c>
      <c r="R444" s="7" t="str">
        <f t="shared" si="113"/>
        <v/>
      </c>
      <c r="S444" s="7" t="str">
        <f t="shared" si="114"/>
        <v/>
      </c>
      <c r="T444" s="7" t="str">
        <f t="shared" si="115"/>
        <v/>
      </c>
      <c r="U444" s="7" t="str">
        <f t="shared" si="116"/>
        <v/>
      </c>
      <c r="V444" s="7" t="str">
        <f t="shared" si="117"/>
        <v/>
      </c>
      <c r="W444" s="7" t="str">
        <f t="shared" si="118"/>
        <v/>
      </c>
      <c r="X444" s="7" t="str">
        <f t="shared" si="119"/>
        <v/>
      </c>
      <c r="Y444">
        <f t="shared" si="120"/>
        <v>0</v>
      </c>
      <c r="Z444" t="str">
        <f t="shared" si="121"/>
        <v/>
      </c>
      <c r="AA444" t="str">
        <f t="shared" si="122"/>
        <v/>
      </c>
      <c r="AB444" t="str">
        <f t="shared" si="123"/>
        <v/>
      </c>
      <c r="AC444" t="str">
        <f t="shared" si="124"/>
        <v/>
      </c>
      <c r="AD444">
        <f t="shared" si="125"/>
        <v>0</v>
      </c>
    </row>
    <row r="445" spans="1:30" ht="15" customHeight="1" x14ac:dyDescent="0.35">
      <c r="A445" s="2"/>
      <c r="B445" s="3"/>
      <c r="C445" s="4"/>
      <c r="D445" s="5"/>
      <c r="E445" s="11" t="str">
        <f t="shared" ref="E445:E495" ca="1" si="126">IF(AND($A445&lt;&gt;"",$B445&lt;&gt;"",$C445&lt;&gt;"",$D445&lt;&gt;""),TODAY(),"")</f>
        <v/>
      </c>
      <c r="F445" s="5"/>
      <c r="G445" s="6" t="str">
        <f>IF(AND($A445&lt;&gt;"",$B445&lt;&gt;"",$C445&lt;&gt;"",$D445&lt;&gt;""),IF(OR($B445="SER",$B445="PLH",$B445="CSF"),"Control CDI Plate "&amp;(INT(((COUNTIFS($B$2:$B445,"SER")+COUNTIFS($B$2:$B445,"PLH")+COUNTIFS($B$2:$B445,"CSF"))-1)/96)+1)&amp;": "&amp;CHAR(65+INT(MOD((COUNTIFS($B$2:$B445,"SER")+COUNTIFS($B$2:$B445,"PLH")+COUNTIFS($B$2:$B445,"CSF"))-1,96)/12))&amp;(MOD((COUNTIFS($B$2:$B445,"SER")+COUNTIFS($B$2:$B445,"PLH")+COUNTIFS($B$2:$B445,"CSF"))-1,12)+1),"N/A"),"")</f>
        <v/>
      </c>
      <c r="H445" s="6" t="str">
        <f>IF(AND($A445&lt;&gt;"",$B445&lt;&gt;"",$C445&lt;&gt;"",$D445&lt;&gt;""),IF(OR($B445="SER",$B445="PLH",$B445="CSF"),"Control NIH Plate "&amp;(INT(((COUNTIFS($B$2:$B445,"SER")+COUNTIFS($B$2:$B445,"PLH")+COUNTIFS($B$2:$B445,"CSF"))-1)/96)+1)&amp;": "&amp;CHAR(65+INT(MOD((COUNTIFS($B$2:$B445,"SER")+COUNTIFS($B$2:$B445,"PLH")+COUNTIFS($B$2:$B445,"CSF"))-1,96)/12))&amp;(MOD((COUNTIFS($B$2:$B445,"SER")+COUNTIFS($B$2:$B445,"PLH")+COUNTIFS($B$2:$B445,"CSF"))-1,12)+1),"N/A"),"")</f>
        <v/>
      </c>
      <c r="I445" s="6" t="str">
        <f>IF(AND($A445&lt;&gt;"",$B445&lt;&gt;"",$C445&lt;&gt;"",$D445&lt;&gt;""),IF(OR($B445="SER",$B445="PLH"),"Control MAX Planck Plate "&amp;(INT(((COUNTIFS($B$2:$B445,"SER")+COUNTIFS($B$2:$B445,"PLH"))-1)/96)+1)&amp;": "&amp;CHAR(65+INT(MOD((COUNTIFS($B$2:$B445,"SER")+COUNTIFS($B$2:$B445,"PLH"))-1,96)/12))&amp;(MOD((COUNTIFS($B$2:$B445,"SER")+COUNTIFS($B$2:$B445,"PLH"))-1,12)+1),"N/A"),"")</f>
        <v/>
      </c>
      <c r="J445" s="6" t="str">
        <f>IF(AND($A445&lt;&gt;"",$B445&lt;&gt;"",$C445&lt;&gt;"",$D445&lt;&gt;""),IF($B445="WB","Control WB Box "&amp;(INT((COUNTIFS($B$2:$B445,"WB")-1)/81)+1)&amp;": "&amp;CHAR(65+INT(MOD(COUNTIFS($B$2:$B445,"WB")-1,81)/9))&amp;(MOD(COUNTIFS($B$2:$B445,"WB")-1,9)+1),"N/A"),"")</f>
        <v/>
      </c>
      <c r="K445" s="3" t="str">
        <f t="shared" ref="K445:K495" si="127">IF(AND($A445&lt;&gt;"",$B445&lt;&gt;"",$C445&lt;&gt;"",$D445&lt;&gt;""),IF($B445="WB","No",""),"")</f>
        <v/>
      </c>
      <c r="L445" s="2"/>
      <c r="M445" s="2"/>
      <c r="N445" s="2"/>
      <c r="O445" s="7" t="str">
        <f t="shared" ref="O445:O495" si="128">IF($A445&lt;&gt;"",MID($A445,7,4),"")</f>
        <v/>
      </c>
      <c r="P445" s="7" t="str">
        <f t="shared" ref="P445:P495" si="129">IF($C445&lt;&gt;"",TEXT($C445,"mmddyy"),"")</f>
        <v/>
      </c>
      <c r="Q445" s="7" t="str">
        <f t="shared" ref="Q445:Q495" si="130">IF(AND($A445&lt;&gt;"",$B445&lt;&gt;"",$C445&lt;&gt;""),IF($B445="WB","cn_"&amp;$O445&amp;"_wb_"&amp;$P445,"cn_"&amp;$O445&amp;"_"&amp;LOWER($B445)&amp;"_"&amp;IF($B445="CSF","0.50","0.20")&amp;"_"&amp;$P445),"")</f>
        <v/>
      </c>
      <c r="R445" s="7" t="str">
        <f t="shared" ref="R445:R495" si="131">IF(AND($A445&lt;&gt;"",$B445="WB",$C445&lt;&gt;""),"cn_"&amp;$O445&amp;"_wb_"&amp;$P445,"")</f>
        <v/>
      </c>
      <c r="S445" s="7" t="str">
        <f t="shared" ref="S445:S495" si="132">IFERROR(VALUE(MID($L445,FIND("Box ",$L445)+4,FIND(":",$L445)-FIND("Box ",$L445)-4)),"")</f>
        <v/>
      </c>
      <c r="T445" s="7" t="str">
        <f t="shared" ref="T445:T495" si="133">IFERROR(CODE(UPPER(LEFT(LEFT(TRIM(MID(SUBSTITUTE(TRIM(MID($L445,FIND(":",$L445)+1,200)),",",REPT(" ",60)),1,60)),IFERROR(FIND("-",TRIM(MID(SUBSTITUTE(TRIM(MID($L445,FIND(":",$L445)+1,200)),",",REPT(" ",60)),1,60)))-1,LEN(TRIM(MID(SUBSTITUTE(TRIM(MID($L445,FIND(":",$L445)+1,200)),",",REPT(" ",60)),1,60))))),1)))-64,"")</f>
        <v/>
      </c>
      <c r="U445" s="7" t="str">
        <f t="shared" ref="U445:U495" si="134">IFERROR(VALUE(MID(LEFT(TRIM(MID(SUBSTITUTE(TRIM(MID($L445,FIND(":",$L445)+1,200)),",",REPT(" ",60)),1,60)),IFERROR(FIND("-",TRIM(MID(SUBSTITUTE(TRIM(MID($L445,FIND(":",$L445)+1,200)),",",REPT(" ",60)),1,60)))-1,LEN(TRIM(MID(SUBSTITUTE(TRIM(MID($L445,FIND(":",$L445)+1,200)),",",REPT(" ",60)),1,60))))),2,3)),"")</f>
        <v/>
      </c>
      <c r="V445" s="7" t="str">
        <f t="shared" ref="V445:V495" si="135">IFERROR(CODE(UPPER(LEFT(IFERROR(MID(TRIM(MID(SUBSTITUTE(TRIM(MID($L445,FIND(":",$L445)+1,200)),",",REPT(" ",60)),1,60)),FIND("-",TRIM(MID(SUBSTITUTE(TRIM(MID($L445,FIND(":",$L445)+1,200)),",",REPT(" ",60)),1,60)))+1,99),LEFT(TRIM(MID(SUBSTITUTE(TRIM(MID($L445,FIND(":",$L445)+1,200)),",",REPT(" ",60)),1,60)),IFERROR(FIND("-",TRIM(MID(SUBSTITUTE(TRIM(MID($L445,FIND(":",$L445)+1,200)),",",REPT(" ",60)),1,60)))-1,LEN(TRIM(MID(SUBSTITUTE(TRIM(MID($L445,FIND(":",$L445)+1,200)),",",REPT(" ",60)),1,60)))))),1)))-64,"")</f>
        <v/>
      </c>
      <c r="W445" s="7" t="str">
        <f t="shared" ref="W445:W495" si="136">IFERROR(VALUE(MID(IFERROR(MID(TRIM(MID(SUBSTITUTE(TRIM(MID($L445,FIND(":",$L445)+1,200)),",",REPT(" ",60)),1,60)),FIND("-",TRIM(MID(SUBSTITUTE(TRIM(MID($L445,FIND(":",$L445)+1,200)),",",REPT(" ",60)),1,60)))+1,99),LEFT(TRIM(MID(SUBSTITUTE(TRIM(MID($L445,FIND(":",$L445)+1,200)),",",REPT(" ",60)),1,60)),IFERROR(FIND("-",TRIM(MID(SUBSTITUTE(TRIM(MID($L445,FIND(":",$L445)+1,200)),",",REPT(" ",60)),1,60)))-1,LEN(TRIM(MID(SUBSTITUTE(TRIM(MID($L445,FIND(":",$L445)+1,200)),",",REPT(" ",60)),1,60)))))),2,3)),"")</f>
        <v/>
      </c>
      <c r="X445" s="7" t="str">
        <f t="shared" ref="X445:X495" si="137">IF(AND($A445&lt;&gt;"",$B445&lt;&gt;"",$C445&lt;&gt;""),"cn_"&amp;$O445&amp;"_"&amp;LOWER($B445)&amp;"_","")</f>
        <v/>
      </c>
      <c r="Y445">
        <f t="shared" ref="Y445:Y495" si="138">IFERROR(($V445-$T445+1)*($W445-$U445+1),0)</f>
        <v>0</v>
      </c>
      <c r="Z445" t="str">
        <f t="shared" ref="Z445:Z495" si="139">IFERROR(CODE(UPPER(LEFT(LEFT(TRIM(MID(SUBSTITUTE(TRIM(MID($L445,FIND(":",$L445)+1,200)),",",REPT(" ",60)),61,60)),IFERROR(FIND("-",TRIM(MID(SUBSTITUTE(TRIM(MID($L445,FIND(":",$L445)+1,200)),",",REPT(" ",60)),61,60)))-1,LEN(TRIM(MID(SUBSTITUTE(TRIM(MID($L445,FIND(":",$L445)+1,200)),",",REPT(" ",60)),61,60))))),1)))-64,"")</f>
        <v/>
      </c>
      <c r="AA445" t="str">
        <f t="shared" ref="AA445:AA495" si="140">IFERROR(VALUE(MID(LEFT(TRIM(MID(SUBSTITUTE(TRIM(MID($L445,FIND(":",$L445)+1,200)),",",REPT(" ",60)),61,60)),IFERROR(FIND("-",TRIM(MID(SUBSTITUTE(TRIM(MID($L445,FIND(":",$L445)+1,200)),",",REPT(" ",60)),61,60)))-1,LEN(TRIM(MID(SUBSTITUTE(TRIM(MID($L445,FIND(":",$L445)+1,200)),",",REPT(" ",60)),61,60))))),2,3)),"")</f>
        <v/>
      </c>
      <c r="AB445" t="str">
        <f t="shared" ref="AB445:AB495" si="141">IFERROR(CODE(UPPER(LEFT(IFERROR(MID(TRIM(MID(SUBSTITUTE(TRIM(MID($L445,FIND(":",$L445)+1,200)),",",REPT(" ",60)),61,60)),FIND("-",TRIM(MID(SUBSTITUTE(TRIM(MID($L445,FIND(":",$L445)+1,200)),",",REPT(" ",60)),61,60)))+1,99),LEFT(TRIM(MID(SUBSTITUTE(TRIM(MID($L445,FIND(":",$L445)+1,200)),",",REPT(" ",60)),61,60)),IFERROR(FIND("-",TRIM(MID(SUBSTITUTE(TRIM(MID($L445,FIND(":",$L445)+1,200)),",",REPT(" ",60)),61,60)))-1,LEN(TRIM(MID(SUBSTITUTE(TRIM(MID($L445,FIND(":",$L445)+1,200)),",",REPT(" ",60)),61,60)))))),1)))-64,"")</f>
        <v/>
      </c>
      <c r="AC445" t="str">
        <f t="shared" ref="AC445:AC495" si="142">IFERROR(VALUE(MID(IFERROR(MID(TRIM(MID(SUBSTITUTE(TRIM(MID($L445,FIND(":",$L445)+1,200)),",",REPT(" ",60)),61,60)),FIND("-",TRIM(MID(SUBSTITUTE(TRIM(MID($L445,FIND(":",$L445)+1,200)),",",REPT(" ",60)),61,60)))+1,99),LEFT(TRIM(MID(SUBSTITUTE(TRIM(MID($L445,FIND(":",$L445)+1,200)),",",REPT(" ",60)),61,60)),IFERROR(FIND("-",TRIM(MID(SUBSTITUTE(TRIM(MID($L445,FIND(":",$L445)+1,200)),",",REPT(" ",60)),61,60)))-1,LEN(TRIM(MID(SUBSTITUTE(TRIM(MID($L445,FIND(":",$L445)+1,200)),",",REPT(" ",60)),61,60)))))),2,3)),"")</f>
        <v/>
      </c>
      <c r="AD445">
        <f t="shared" ref="AD445:AD495" si="143">IFERROR(($AB445-$Z445+1)*($AC445-$AA445+1),0)</f>
        <v>0</v>
      </c>
    </row>
    <row r="446" spans="1:30" ht="15" customHeight="1" x14ac:dyDescent="0.35">
      <c r="A446" s="2"/>
      <c r="B446" s="3"/>
      <c r="C446" s="4"/>
      <c r="D446" s="5"/>
      <c r="E446" s="11" t="str">
        <f t="shared" ca="1" si="126"/>
        <v/>
      </c>
      <c r="F446" s="5"/>
      <c r="G446" s="6" t="str">
        <f>IF(AND($A446&lt;&gt;"",$B446&lt;&gt;"",$C446&lt;&gt;"",$D446&lt;&gt;""),IF(OR($B446="SER",$B446="PLH",$B446="CSF"),"Control CDI Plate "&amp;(INT(((COUNTIFS($B$2:$B446,"SER")+COUNTIFS($B$2:$B446,"PLH")+COUNTIFS($B$2:$B446,"CSF"))-1)/96)+1)&amp;": "&amp;CHAR(65+INT(MOD((COUNTIFS($B$2:$B446,"SER")+COUNTIFS($B$2:$B446,"PLH")+COUNTIFS($B$2:$B446,"CSF"))-1,96)/12))&amp;(MOD((COUNTIFS($B$2:$B446,"SER")+COUNTIFS($B$2:$B446,"PLH")+COUNTIFS($B$2:$B446,"CSF"))-1,12)+1),"N/A"),"")</f>
        <v/>
      </c>
      <c r="H446" s="6" t="str">
        <f>IF(AND($A446&lt;&gt;"",$B446&lt;&gt;"",$C446&lt;&gt;"",$D446&lt;&gt;""),IF(OR($B446="SER",$B446="PLH",$B446="CSF"),"Control NIH Plate "&amp;(INT(((COUNTIFS($B$2:$B446,"SER")+COUNTIFS($B$2:$B446,"PLH")+COUNTIFS($B$2:$B446,"CSF"))-1)/96)+1)&amp;": "&amp;CHAR(65+INT(MOD((COUNTIFS($B$2:$B446,"SER")+COUNTIFS($B$2:$B446,"PLH")+COUNTIFS($B$2:$B446,"CSF"))-1,96)/12))&amp;(MOD((COUNTIFS($B$2:$B446,"SER")+COUNTIFS($B$2:$B446,"PLH")+COUNTIFS($B$2:$B446,"CSF"))-1,12)+1),"N/A"),"")</f>
        <v/>
      </c>
      <c r="I446" s="6" t="str">
        <f>IF(AND($A446&lt;&gt;"",$B446&lt;&gt;"",$C446&lt;&gt;"",$D446&lt;&gt;""),IF(OR($B446="SER",$B446="PLH"),"Control MAX Planck Plate "&amp;(INT(((COUNTIFS($B$2:$B446,"SER")+COUNTIFS($B$2:$B446,"PLH"))-1)/96)+1)&amp;": "&amp;CHAR(65+INT(MOD((COUNTIFS($B$2:$B446,"SER")+COUNTIFS($B$2:$B446,"PLH"))-1,96)/12))&amp;(MOD((COUNTIFS($B$2:$B446,"SER")+COUNTIFS($B$2:$B446,"PLH"))-1,12)+1),"N/A"),"")</f>
        <v/>
      </c>
      <c r="J446" s="6" t="str">
        <f>IF(AND($A446&lt;&gt;"",$B446&lt;&gt;"",$C446&lt;&gt;"",$D446&lt;&gt;""),IF($B446="WB","Control WB Box "&amp;(INT((COUNTIFS($B$2:$B446,"WB")-1)/81)+1)&amp;": "&amp;CHAR(65+INT(MOD(COUNTIFS($B$2:$B446,"WB")-1,81)/9))&amp;(MOD(COUNTIFS($B$2:$B446,"WB")-1,9)+1),"N/A"),"")</f>
        <v/>
      </c>
      <c r="K446" s="3" t="str">
        <f t="shared" si="127"/>
        <v/>
      </c>
      <c r="L446" s="2"/>
      <c r="M446" s="2"/>
      <c r="N446" s="2"/>
      <c r="O446" s="7" t="str">
        <f t="shared" si="128"/>
        <v/>
      </c>
      <c r="P446" s="7" t="str">
        <f t="shared" si="129"/>
        <v/>
      </c>
      <c r="Q446" s="7" t="str">
        <f t="shared" si="130"/>
        <v/>
      </c>
      <c r="R446" s="7" t="str">
        <f t="shared" si="131"/>
        <v/>
      </c>
      <c r="S446" s="7" t="str">
        <f t="shared" si="132"/>
        <v/>
      </c>
      <c r="T446" s="7" t="str">
        <f t="shared" si="133"/>
        <v/>
      </c>
      <c r="U446" s="7" t="str">
        <f t="shared" si="134"/>
        <v/>
      </c>
      <c r="V446" s="7" t="str">
        <f t="shared" si="135"/>
        <v/>
      </c>
      <c r="W446" s="7" t="str">
        <f t="shared" si="136"/>
        <v/>
      </c>
      <c r="X446" s="7" t="str">
        <f t="shared" si="137"/>
        <v/>
      </c>
      <c r="Y446">
        <f t="shared" si="138"/>
        <v>0</v>
      </c>
      <c r="Z446" t="str">
        <f t="shared" si="139"/>
        <v/>
      </c>
      <c r="AA446" t="str">
        <f t="shared" si="140"/>
        <v/>
      </c>
      <c r="AB446" t="str">
        <f t="shared" si="141"/>
        <v/>
      </c>
      <c r="AC446" t="str">
        <f t="shared" si="142"/>
        <v/>
      </c>
      <c r="AD446">
        <f t="shared" si="143"/>
        <v>0</v>
      </c>
    </row>
    <row r="447" spans="1:30" ht="15" customHeight="1" x14ac:dyDescent="0.35">
      <c r="A447" s="2"/>
      <c r="B447" s="3"/>
      <c r="C447" s="4"/>
      <c r="D447" s="5"/>
      <c r="E447" s="11" t="str">
        <f t="shared" ca="1" si="126"/>
        <v/>
      </c>
      <c r="F447" s="5"/>
      <c r="G447" s="6" t="str">
        <f>IF(AND($A447&lt;&gt;"",$B447&lt;&gt;"",$C447&lt;&gt;"",$D447&lt;&gt;""),IF(OR($B447="SER",$B447="PLH",$B447="CSF"),"Control CDI Plate "&amp;(INT(((COUNTIFS($B$2:$B447,"SER")+COUNTIFS($B$2:$B447,"PLH")+COUNTIFS($B$2:$B447,"CSF"))-1)/96)+1)&amp;": "&amp;CHAR(65+INT(MOD((COUNTIFS($B$2:$B447,"SER")+COUNTIFS($B$2:$B447,"PLH")+COUNTIFS($B$2:$B447,"CSF"))-1,96)/12))&amp;(MOD((COUNTIFS($B$2:$B447,"SER")+COUNTIFS($B$2:$B447,"PLH")+COUNTIFS($B$2:$B447,"CSF"))-1,12)+1),"N/A"),"")</f>
        <v/>
      </c>
      <c r="H447" s="6" t="str">
        <f>IF(AND($A447&lt;&gt;"",$B447&lt;&gt;"",$C447&lt;&gt;"",$D447&lt;&gt;""),IF(OR($B447="SER",$B447="PLH",$B447="CSF"),"Control NIH Plate "&amp;(INT(((COUNTIFS($B$2:$B447,"SER")+COUNTIFS($B$2:$B447,"PLH")+COUNTIFS($B$2:$B447,"CSF"))-1)/96)+1)&amp;": "&amp;CHAR(65+INT(MOD((COUNTIFS($B$2:$B447,"SER")+COUNTIFS($B$2:$B447,"PLH")+COUNTIFS($B$2:$B447,"CSF"))-1,96)/12))&amp;(MOD((COUNTIFS($B$2:$B447,"SER")+COUNTIFS($B$2:$B447,"PLH")+COUNTIFS($B$2:$B447,"CSF"))-1,12)+1),"N/A"),"")</f>
        <v/>
      </c>
      <c r="I447" s="6" t="str">
        <f>IF(AND($A447&lt;&gt;"",$B447&lt;&gt;"",$C447&lt;&gt;"",$D447&lt;&gt;""),IF(OR($B447="SER",$B447="PLH"),"Control MAX Planck Plate "&amp;(INT(((COUNTIFS($B$2:$B447,"SER")+COUNTIFS($B$2:$B447,"PLH"))-1)/96)+1)&amp;": "&amp;CHAR(65+INT(MOD((COUNTIFS($B$2:$B447,"SER")+COUNTIFS($B$2:$B447,"PLH"))-1,96)/12))&amp;(MOD((COUNTIFS($B$2:$B447,"SER")+COUNTIFS($B$2:$B447,"PLH"))-1,12)+1),"N/A"),"")</f>
        <v/>
      </c>
      <c r="J447" s="6" t="str">
        <f>IF(AND($A447&lt;&gt;"",$B447&lt;&gt;"",$C447&lt;&gt;"",$D447&lt;&gt;""),IF($B447="WB","Control WB Box "&amp;(INT((COUNTIFS($B$2:$B447,"WB")-1)/81)+1)&amp;": "&amp;CHAR(65+INT(MOD(COUNTIFS($B$2:$B447,"WB")-1,81)/9))&amp;(MOD(COUNTIFS($B$2:$B447,"WB")-1,9)+1),"N/A"),"")</f>
        <v/>
      </c>
      <c r="K447" s="3" t="str">
        <f t="shared" si="127"/>
        <v/>
      </c>
      <c r="L447" s="2"/>
      <c r="M447" s="2"/>
      <c r="N447" s="2"/>
      <c r="O447" s="7" t="str">
        <f t="shared" si="128"/>
        <v/>
      </c>
      <c r="P447" s="7" t="str">
        <f t="shared" si="129"/>
        <v/>
      </c>
      <c r="Q447" s="7" t="str">
        <f t="shared" si="130"/>
        <v/>
      </c>
      <c r="R447" s="7" t="str">
        <f t="shared" si="131"/>
        <v/>
      </c>
      <c r="S447" s="7" t="str">
        <f t="shared" si="132"/>
        <v/>
      </c>
      <c r="T447" s="7" t="str">
        <f t="shared" si="133"/>
        <v/>
      </c>
      <c r="U447" s="7" t="str">
        <f t="shared" si="134"/>
        <v/>
      </c>
      <c r="V447" s="7" t="str">
        <f t="shared" si="135"/>
        <v/>
      </c>
      <c r="W447" s="7" t="str">
        <f t="shared" si="136"/>
        <v/>
      </c>
      <c r="X447" s="7" t="str">
        <f t="shared" si="137"/>
        <v/>
      </c>
      <c r="Y447">
        <f t="shared" si="138"/>
        <v>0</v>
      </c>
      <c r="Z447" t="str">
        <f t="shared" si="139"/>
        <v/>
      </c>
      <c r="AA447" t="str">
        <f t="shared" si="140"/>
        <v/>
      </c>
      <c r="AB447" t="str">
        <f t="shared" si="141"/>
        <v/>
      </c>
      <c r="AC447" t="str">
        <f t="shared" si="142"/>
        <v/>
      </c>
      <c r="AD447">
        <f t="shared" si="143"/>
        <v>0</v>
      </c>
    </row>
    <row r="448" spans="1:30" ht="15" customHeight="1" x14ac:dyDescent="0.35">
      <c r="A448" s="2"/>
      <c r="B448" s="3"/>
      <c r="C448" s="4"/>
      <c r="D448" s="5"/>
      <c r="E448" s="11" t="str">
        <f t="shared" ca="1" si="126"/>
        <v/>
      </c>
      <c r="F448" s="5"/>
      <c r="G448" s="6" t="str">
        <f>IF(AND($A448&lt;&gt;"",$B448&lt;&gt;"",$C448&lt;&gt;"",$D448&lt;&gt;""),IF(OR($B448="SER",$B448="PLH",$B448="CSF"),"Control CDI Plate "&amp;(INT(((COUNTIFS($B$2:$B448,"SER")+COUNTIFS($B$2:$B448,"PLH")+COUNTIFS($B$2:$B448,"CSF"))-1)/96)+1)&amp;": "&amp;CHAR(65+INT(MOD((COUNTIFS($B$2:$B448,"SER")+COUNTIFS($B$2:$B448,"PLH")+COUNTIFS($B$2:$B448,"CSF"))-1,96)/12))&amp;(MOD((COUNTIFS($B$2:$B448,"SER")+COUNTIFS($B$2:$B448,"PLH")+COUNTIFS($B$2:$B448,"CSF"))-1,12)+1),"N/A"),"")</f>
        <v/>
      </c>
      <c r="H448" s="6" t="str">
        <f>IF(AND($A448&lt;&gt;"",$B448&lt;&gt;"",$C448&lt;&gt;"",$D448&lt;&gt;""),IF(OR($B448="SER",$B448="PLH",$B448="CSF"),"Control NIH Plate "&amp;(INT(((COUNTIFS($B$2:$B448,"SER")+COUNTIFS($B$2:$B448,"PLH")+COUNTIFS($B$2:$B448,"CSF"))-1)/96)+1)&amp;": "&amp;CHAR(65+INT(MOD((COUNTIFS($B$2:$B448,"SER")+COUNTIFS($B$2:$B448,"PLH")+COUNTIFS($B$2:$B448,"CSF"))-1,96)/12))&amp;(MOD((COUNTIFS($B$2:$B448,"SER")+COUNTIFS($B$2:$B448,"PLH")+COUNTIFS($B$2:$B448,"CSF"))-1,12)+1),"N/A"),"")</f>
        <v/>
      </c>
      <c r="I448" s="6" t="str">
        <f>IF(AND($A448&lt;&gt;"",$B448&lt;&gt;"",$C448&lt;&gt;"",$D448&lt;&gt;""),IF(OR($B448="SER",$B448="PLH"),"Control MAX Planck Plate "&amp;(INT(((COUNTIFS($B$2:$B448,"SER")+COUNTIFS($B$2:$B448,"PLH"))-1)/96)+1)&amp;": "&amp;CHAR(65+INT(MOD((COUNTIFS($B$2:$B448,"SER")+COUNTIFS($B$2:$B448,"PLH"))-1,96)/12))&amp;(MOD((COUNTIFS($B$2:$B448,"SER")+COUNTIFS($B$2:$B448,"PLH"))-1,12)+1),"N/A"),"")</f>
        <v/>
      </c>
      <c r="J448" s="6" t="str">
        <f>IF(AND($A448&lt;&gt;"",$B448&lt;&gt;"",$C448&lt;&gt;"",$D448&lt;&gt;""),IF($B448="WB","Control WB Box "&amp;(INT((COUNTIFS($B$2:$B448,"WB")-1)/81)+1)&amp;": "&amp;CHAR(65+INT(MOD(COUNTIFS($B$2:$B448,"WB")-1,81)/9))&amp;(MOD(COUNTIFS($B$2:$B448,"WB")-1,9)+1),"N/A"),"")</f>
        <v/>
      </c>
      <c r="K448" s="3" t="str">
        <f t="shared" si="127"/>
        <v/>
      </c>
      <c r="L448" s="2"/>
      <c r="M448" s="2"/>
      <c r="N448" s="2"/>
      <c r="O448" s="7" t="str">
        <f t="shared" si="128"/>
        <v/>
      </c>
      <c r="P448" s="7" t="str">
        <f t="shared" si="129"/>
        <v/>
      </c>
      <c r="Q448" s="7" t="str">
        <f t="shared" si="130"/>
        <v/>
      </c>
      <c r="R448" s="7" t="str">
        <f t="shared" si="131"/>
        <v/>
      </c>
      <c r="S448" s="7" t="str">
        <f t="shared" si="132"/>
        <v/>
      </c>
      <c r="T448" s="7" t="str">
        <f t="shared" si="133"/>
        <v/>
      </c>
      <c r="U448" s="7" t="str">
        <f t="shared" si="134"/>
        <v/>
      </c>
      <c r="V448" s="7" t="str">
        <f t="shared" si="135"/>
        <v/>
      </c>
      <c r="W448" s="7" t="str">
        <f t="shared" si="136"/>
        <v/>
      </c>
      <c r="X448" s="7" t="str">
        <f t="shared" si="137"/>
        <v/>
      </c>
      <c r="Y448">
        <f t="shared" si="138"/>
        <v>0</v>
      </c>
      <c r="Z448" t="str">
        <f t="shared" si="139"/>
        <v/>
      </c>
      <c r="AA448" t="str">
        <f t="shared" si="140"/>
        <v/>
      </c>
      <c r="AB448" t="str">
        <f t="shared" si="141"/>
        <v/>
      </c>
      <c r="AC448" t="str">
        <f t="shared" si="142"/>
        <v/>
      </c>
      <c r="AD448">
        <f t="shared" si="143"/>
        <v>0</v>
      </c>
    </row>
    <row r="449" spans="1:30" ht="15" customHeight="1" x14ac:dyDescent="0.35">
      <c r="A449" s="2"/>
      <c r="B449" s="3"/>
      <c r="C449" s="4"/>
      <c r="D449" s="5"/>
      <c r="E449" s="11" t="str">
        <f t="shared" ca="1" si="126"/>
        <v/>
      </c>
      <c r="F449" s="5"/>
      <c r="G449" s="6" t="str">
        <f>IF(AND($A449&lt;&gt;"",$B449&lt;&gt;"",$C449&lt;&gt;"",$D449&lt;&gt;""),IF(OR($B449="SER",$B449="PLH",$B449="CSF"),"Control CDI Plate "&amp;(INT(((COUNTIFS($B$2:$B449,"SER")+COUNTIFS($B$2:$B449,"PLH")+COUNTIFS($B$2:$B449,"CSF"))-1)/96)+1)&amp;": "&amp;CHAR(65+INT(MOD((COUNTIFS($B$2:$B449,"SER")+COUNTIFS($B$2:$B449,"PLH")+COUNTIFS($B$2:$B449,"CSF"))-1,96)/12))&amp;(MOD((COUNTIFS($B$2:$B449,"SER")+COUNTIFS($B$2:$B449,"PLH")+COUNTIFS($B$2:$B449,"CSF"))-1,12)+1),"N/A"),"")</f>
        <v/>
      </c>
      <c r="H449" s="6" t="str">
        <f>IF(AND($A449&lt;&gt;"",$B449&lt;&gt;"",$C449&lt;&gt;"",$D449&lt;&gt;""),IF(OR($B449="SER",$B449="PLH",$B449="CSF"),"Control NIH Plate "&amp;(INT(((COUNTIFS($B$2:$B449,"SER")+COUNTIFS($B$2:$B449,"PLH")+COUNTIFS($B$2:$B449,"CSF"))-1)/96)+1)&amp;": "&amp;CHAR(65+INT(MOD((COUNTIFS($B$2:$B449,"SER")+COUNTIFS($B$2:$B449,"PLH")+COUNTIFS($B$2:$B449,"CSF"))-1,96)/12))&amp;(MOD((COUNTIFS($B$2:$B449,"SER")+COUNTIFS($B$2:$B449,"PLH")+COUNTIFS($B$2:$B449,"CSF"))-1,12)+1),"N/A"),"")</f>
        <v/>
      </c>
      <c r="I449" s="6" t="str">
        <f>IF(AND($A449&lt;&gt;"",$B449&lt;&gt;"",$C449&lt;&gt;"",$D449&lt;&gt;""),IF(OR($B449="SER",$B449="PLH"),"Control MAX Planck Plate "&amp;(INT(((COUNTIFS($B$2:$B449,"SER")+COUNTIFS($B$2:$B449,"PLH"))-1)/96)+1)&amp;": "&amp;CHAR(65+INT(MOD((COUNTIFS($B$2:$B449,"SER")+COUNTIFS($B$2:$B449,"PLH"))-1,96)/12))&amp;(MOD((COUNTIFS($B$2:$B449,"SER")+COUNTIFS($B$2:$B449,"PLH"))-1,12)+1),"N/A"),"")</f>
        <v/>
      </c>
      <c r="J449" s="6" t="str">
        <f>IF(AND($A449&lt;&gt;"",$B449&lt;&gt;"",$C449&lt;&gt;"",$D449&lt;&gt;""),IF($B449="WB","Control WB Box "&amp;(INT((COUNTIFS($B$2:$B449,"WB")-1)/81)+1)&amp;": "&amp;CHAR(65+INT(MOD(COUNTIFS($B$2:$B449,"WB")-1,81)/9))&amp;(MOD(COUNTIFS($B$2:$B449,"WB")-1,9)+1),"N/A"),"")</f>
        <v/>
      </c>
      <c r="K449" s="3" t="str">
        <f t="shared" si="127"/>
        <v/>
      </c>
      <c r="L449" s="2"/>
      <c r="M449" s="2"/>
      <c r="N449" s="2"/>
      <c r="O449" s="7" t="str">
        <f t="shared" si="128"/>
        <v/>
      </c>
      <c r="P449" s="7" t="str">
        <f t="shared" si="129"/>
        <v/>
      </c>
      <c r="Q449" s="7" t="str">
        <f t="shared" si="130"/>
        <v/>
      </c>
      <c r="R449" s="7" t="str">
        <f t="shared" si="131"/>
        <v/>
      </c>
      <c r="S449" s="7" t="str">
        <f t="shared" si="132"/>
        <v/>
      </c>
      <c r="T449" s="7" t="str">
        <f t="shared" si="133"/>
        <v/>
      </c>
      <c r="U449" s="7" t="str">
        <f t="shared" si="134"/>
        <v/>
      </c>
      <c r="V449" s="7" t="str">
        <f t="shared" si="135"/>
        <v/>
      </c>
      <c r="W449" s="7" t="str">
        <f t="shared" si="136"/>
        <v/>
      </c>
      <c r="X449" s="7" t="str">
        <f t="shared" si="137"/>
        <v/>
      </c>
      <c r="Y449">
        <f t="shared" si="138"/>
        <v>0</v>
      </c>
      <c r="Z449" t="str">
        <f t="shared" si="139"/>
        <v/>
      </c>
      <c r="AA449" t="str">
        <f t="shared" si="140"/>
        <v/>
      </c>
      <c r="AB449" t="str">
        <f t="shared" si="141"/>
        <v/>
      </c>
      <c r="AC449" t="str">
        <f t="shared" si="142"/>
        <v/>
      </c>
      <c r="AD449">
        <f t="shared" si="143"/>
        <v>0</v>
      </c>
    </row>
    <row r="450" spans="1:30" ht="15" customHeight="1" x14ac:dyDescent="0.35">
      <c r="A450" s="2"/>
      <c r="B450" s="3"/>
      <c r="C450" s="4"/>
      <c r="D450" s="5"/>
      <c r="E450" s="11" t="str">
        <f t="shared" ca="1" si="126"/>
        <v/>
      </c>
      <c r="F450" s="5"/>
      <c r="G450" s="6" t="str">
        <f>IF(AND($A450&lt;&gt;"",$B450&lt;&gt;"",$C450&lt;&gt;"",$D450&lt;&gt;""),IF(OR($B450="SER",$B450="PLH",$B450="CSF"),"Control CDI Plate "&amp;(INT(((COUNTIFS($B$2:$B450,"SER")+COUNTIFS($B$2:$B450,"PLH")+COUNTIFS($B$2:$B450,"CSF"))-1)/96)+1)&amp;": "&amp;CHAR(65+INT(MOD((COUNTIFS($B$2:$B450,"SER")+COUNTIFS($B$2:$B450,"PLH")+COUNTIFS($B$2:$B450,"CSF"))-1,96)/12))&amp;(MOD((COUNTIFS($B$2:$B450,"SER")+COUNTIFS($B$2:$B450,"PLH")+COUNTIFS($B$2:$B450,"CSF"))-1,12)+1),"N/A"),"")</f>
        <v/>
      </c>
      <c r="H450" s="6" t="str">
        <f>IF(AND($A450&lt;&gt;"",$B450&lt;&gt;"",$C450&lt;&gt;"",$D450&lt;&gt;""),IF(OR($B450="SER",$B450="PLH",$B450="CSF"),"Control NIH Plate "&amp;(INT(((COUNTIFS($B$2:$B450,"SER")+COUNTIFS($B$2:$B450,"PLH")+COUNTIFS($B$2:$B450,"CSF"))-1)/96)+1)&amp;": "&amp;CHAR(65+INT(MOD((COUNTIFS($B$2:$B450,"SER")+COUNTIFS($B$2:$B450,"PLH")+COUNTIFS($B$2:$B450,"CSF"))-1,96)/12))&amp;(MOD((COUNTIFS($B$2:$B450,"SER")+COUNTIFS($B$2:$B450,"PLH")+COUNTIFS($B$2:$B450,"CSF"))-1,12)+1),"N/A"),"")</f>
        <v/>
      </c>
      <c r="I450" s="6" t="str">
        <f>IF(AND($A450&lt;&gt;"",$B450&lt;&gt;"",$C450&lt;&gt;"",$D450&lt;&gt;""),IF(OR($B450="SER",$B450="PLH"),"Control MAX Planck Plate "&amp;(INT(((COUNTIFS($B$2:$B450,"SER")+COUNTIFS($B$2:$B450,"PLH"))-1)/96)+1)&amp;": "&amp;CHAR(65+INT(MOD((COUNTIFS($B$2:$B450,"SER")+COUNTIFS($B$2:$B450,"PLH"))-1,96)/12))&amp;(MOD((COUNTIFS($B$2:$B450,"SER")+COUNTIFS($B$2:$B450,"PLH"))-1,12)+1),"N/A"),"")</f>
        <v/>
      </c>
      <c r="J450" s="6" t="str">
        <f>IF(AND($A450&lt;&gt;"",$B450&lt;&gt;"",$C450&lt;&gt;"",$D450&lt;&gt;""),IF($B450="WB","Control WB Box "&amp;(INT((COUNTIFS($B$2:$B450,"WB")-1)/81)+1)&amp;": "&amp;CHAR(65+INT(MOD(COUNTIFS($B$2:$B450,"WB")-1,81)/9))&amp;(MOD(COUNTIFS($B$2:$B450,"WB")-1,9)+1),"N/A"),"")</f>
        <v/>
      </c>
      <c r="K450" s="3" t="str">
        <f t="shared" si="127"/>
        <v/>
      </c>
      <c r="L450" s="2"/>
      <c r="M450" s="2"/>
      <c r="N450" s="2"/>
      <c r="O450" s="7" t="str">
        <f t="shared" si="128"/>
        <v/>
      </c>
      <c r="P450" s="7" t="str">
        <f t="shared" si="129"/>
        <v/>
      </c>
      <c r="Q450" s="7" t="str">
        <f t="shared" si="130"/>
        <v/>
      </c>
      <c r="R450" s="7" t="str">
        <f t="shared" si="131"/>
        <v/>
      </c>
      <c r="S450" s="7" t="str">
        <f t="shared" si="132"/>
        <v/>
      </c>
      <c r="T450" s="7" t="str">
        <f t="shared" si="133"/>
        <v/>
      </c>
      <c r="U450" s="7" t="str">
        <f t="shared" si="134"/>
        <v/>
      </c>
      <c r="V450" s="7" t="str">
        <f t="shared" si="135"/>
        <v/>
      </c>
      <c r="W450" s="7" t="str">
        <f t="shared" si="136"/>
        <v/>
      </c>
      <c r="X450" s="7" t="str">
        <f t="shared" si="137"/>
        <v/>
      </c>
      <c r="Y450">
        <f t="shared" si="138"/>
        <v>0</v>
      </c>
      <c r="Z450" t="str">
        <f t="shared" si="139"/>
        <v/>
      </c>
      <c r="AA450" t="str">
        <f t="shared" si="140"/>
        <v/>
      </c>
      <c r="AB450" t="str">
        <f t="shared" si="141"/>
        <v/>
      </c>
      <c r="AC450" t="str">
        <f t="shared" si="142"/>
        <v/>
      </c>
      <c r="AD450">
        <f t="shared" si="143"/>
        <v>0</v>
      </c>
    </row>
    <row r="451" spans="1:30" ht="15" customHeight="1" x14ac:dyDescent="0.35">
      <c r="A451" s="2"/>
      <c r="B451" s="3"/>
      <c r="C451" s="4"/>
      <c r="D451" s="5"/>
      <c r="E451" s="11" t="str">
        <f t="shared" ca="1" si="126"/>
        <v/>
      </c>
      <c r="F451" s="5"/>
      <c r="G451" s="6" t="str">
        <f>IF(AND($A451&lt;&gt;"",$B451&lt;&gt;"",$C451&lt;&gt;"",$D451&lt;&gt;""),IF(OR($B451="SER",$B451="PLH",$B451="CSF"),"Control CDI Plate "&amp;(INT(((COUNTIFS($B$2:$B451,"SER")+COUNTIFS($B$2:$B451,"PLH")+COUNTIFS($B$2:$B451,"CSF"))-1)/96)+1)&amp;": "&amp;CHAR(65+INT(MOD((COUNTIFS($B$2:$B451,"SER")+COUNTIFS($B$2:$B451,"PLH")+COUNTIFS($B$2:$B451,"CSF"))-1,96)/12))&amp;(MOD((COUNTIFS($B$2:$B451,"SER")+COUNTIFS($B$2:$B451,"PLH")+COUNTIFS($B$2:$B451,"CSF"))-1,12)+1),"N/A"),"")</f>
        <v/>
      </c>
      <c r="H451" s="6" t="str">
        <f>IF(AND($A451&lt;&gt;"",$B451&lt;&gt;"",$C451&lt;&gt;"",$D451&lt;&gt;""),IF(OR($B451="SER",$B451="PLH",$B451="CSF"),"Control NIH Plate "&amp;(INT(((COUNTIFS($B$2:$B451,"SER")+COUNTIFS($B$2:$B451,"PLH")+COUNTIFS($B$2:$B451,"CSF"))-1)/96)+1)&amp;": "&amp;CHAR(65+INT(MOD((COUNTIFS($B$2:$B451,"SER")+COUNTIFS($B$2:$B451,"PLH")+COUNTIFS($B$2:$B451,"CSF"))-1,96)/12))&amp;(MOD((COUNTIFS($B$2:$B451,"SER")+COUNTIFS($B$2:$B451,"PLH")+COUNTIFS($B$2:$B451,"CSF"))-1,12)+1),"N/A"),"")</f>
        <v/>
      </c>
      <c r="I451" s="6" t="str">
        <f>IF(AND($A451&lt;&gt;"",$B451&lt;&gt;"",$C451&lt;&gt;"",$D451&lt;&gt;""),IF(OR($B451="SER",$B451="PLH"),"Control MAX Planck Plate "&amp;(INT(((COUNTIFS($B$2:$B451,"SER")+COUNTIFS($B$2:$B451,"PLH"))-1)/96)+1)&amp;": "&amp;CHAR(65+INT(MOD((COUNTIFS($B$2:$B451,"SER")+COUNTIFS($B$2:$B451,"PLH"))-1,96)/12))&amp;(MOD((COUNTIFS($B$2:$B451,"SER")+COUNTIFS($B$2:$B451,"PLH"))-1,12)+1),"N/A"),"")</f>
        <v/>
      </c>
      <c r="J451" s="6" t="str">
        <f>IF(AND($A451&lt;&gt;"",$B451&lt;&gt;"",$C451&lt;&gt;"",$D451&lt;&gt;""),IF($B451="WB","Control WB Box "&amp;(INT((COUNTIFS($B$2:$B451,"WB")-1)/81)+1)&amp;": "&amp;CHAR(65+INT(MOD(COUNTIFS($B$2:$B451,"WB")-1,81)/9))&amp;(MOD(COUNTIFS($B$2:$B451,"WB")-1,9)+1),"N/A"),"")</f>
        <v/>
      </c>
      <c r="K451" s="3" t="str">
        <f t="shared" si="127"/>
        <v/>
      </c>
      <c r="L451" s="2"/>
      <c r="M451" s="2"/>
      <c r="N451" s="2"/>
      <c r="O451" s="7" t="str">
        <f t="shared" si="128"/>
        <v/>
      </c>
      <c r="P451" s="7" t="str">
        <f t="shared" si="129"/>
        <v/>
      </c>
      <c r="Q451" s="7" t="str">
        <f t="shared" si="130"/>
        <v/>
      </c>
      <c r="R451" s="7" t="str">
        <f t="shared" si="131"/>
        <v/>
      </c>
      <c r="S451" s="7" t="str">
        <f t="shared" si="132"/>
        <v/>
      </c>
      <c r="T451" s="7" t="str">
        <f t="shared" si="133"/>
        <v/>
      </c>
      <c r="U451" s="7" t="str">
        <f t="shared" si="134"/>
        <v/>
      </c>
      <c r="V451" s="7" t="str">
        <f t="shared" si="135"/>
        <v/>
      </c>
      <c r="W451" s="7" t="str">
        <f t="shared" si="136"/>
        <v/>
      </c>
      <c r="X451" s="7" t="str">
        <f t="shared" si="137"/>
        <v/>
      </c>
      <c r="Y451">
        <f t="shared" si="138"/>
        <v>0</v>
      </c>
      <c r="Z451" t="str">
        <f t="shared" si="139"/>
        <v/>
      </c>
      <c r="AA451" t="str">
        <f t="shared" si="140"/>
        <v/>
      </c>
      <c r="AB451" t="str">
        <f t="shared" si="141"/>
        <v/>
      </c>
      <c r="AC451" t="str">
        <f t="shared" si="142"/>
        <v/>
      </c>
      <c r="AD451">
        <f t="shared" si="143"/>
        <v>0</v>
      </c>
    </row>
    <row r="452" spans="1:30" ht="15" customHeight="1" x14ac:dyDescent="0.35">
      <c r="A452" s="2"/>
      <c r="B452" s="3"/>
      <c r="C452" s="4"/>
      <c r="D452" s="5"/>
      <c r="E452" s="11" t="str">
        <f t="shared" ca="1" si="126"/>
        <v/>
      </c>
      <c r="F452" s="5"/>
      <c r="G452" s="6" t="str">
        <f>IF(AND($A452&lt;&gt;"",$B452&lt;&gt;"",$C452&lt;&gt;"",$D452&lt;&gt;""),IF(OR($B452="SER",$B452="PLH",$B452="CSF"),"Control CDI Plate "&amp;(INT(((COUNTIFS($B$2:$B452,"SER")+COUNTIFS($B$2:$B452,"PLH")+COUNTIFS($B$2:$B452,"CSF"))-1)/96)+1)&amp;": "&amp;CHAR(65+INT(MOD((COUNTIFS($B$2:$B452,"SER")+COUNTIFS($B$2:$B452,"PLH")+COUNTIFS($B$2:$B452,"CSF"))-1,96)/12))&amp;(MOD((COUNTIFS($B$2:$B452,"SER")+COUNTIFS($B$2:$B452,"PLH")+COUNTIFS($B$2:$B452,"CSF"))-1,12)+1),"N/A"),"")</f>
        <v/>
      </c>
      <c r="H452" s="6" t="str">
        <f>IF(AND($A452&lt;&gt;"",$B452&lt;&gt;"",$C452&lt;&gt;"",$D452&lt;&gt;""),IF(OR($B452="SER",$B452="PLH",$B452="CSF"),"Control NIH Plate "&amp;(INT(((COUNTIFS($B$2:$B452,"SER")+COUNTIFS($B$2:$B452,"PLH")+COUNTIFS($B$2:$B452,"CSF"))-1)/96)+1)&amp;": "&amp;CHAR(65+INT(MOD((COUNTIFS($B$2:$B452,"SER")+COUNTIFS($B$2:$B452,"PLH")+COUNTIFS($B$2:$B452,"CSF"))-1,96)/12))&amp;(MOD((COUNTIFS($B$2:$B452,"SER")+COUNTIFS($B$2:$B452,"PLH")+COUNTIFS($B$2:$B452,"CSF"))-1,12)+1),"N/A"),"")</f>
        <v/>
      </c>
      <c r="I452" s="6" t="str">
        <f>IF(AND($A452&lt;&gt;"",$B452&lt;&gt;"",$C452&lt;&gt;"",$D452&lt;&gt;""),IF(OR($B452="SER",$B452="PLH"),"Control MAX Planck Plate "&amp;(INT(((COUNTIFS($B$2:$B452,"SER")+COUNTIFS($B$2:$B452,"PLH"))-1)/96)+1)&amp;": "&amp;CHAR(65+INT(MOD((COUNTIFS($B$2:$B452,"SER")+COUNTIFS($B$2:$B452,"PLH"))-1,96)/12))&amp;(MOD((COUNTIFS($B$2:$B452,"SER")+COUNTIFS($B$2:$B452,"PLH"))-1,12)+1),"N/A"),"")</f>
        <v/>
      </c>
      <c r="J452" s="6" t="str">
        <f>IF(AND($A452&lt;&gt;"",$B452&lt;&gt;"",$C452&lt;&gt;"",$D452&lt;&gt;""),IF($B452="WB","Control WB Box "&amp;(INT((COUNTIFS($B$2:$B452,"WB")-1)/81)+1)&amp;": "&amp;CHAR(65+INT(MOD(COUNTIFS($B$2:$B452,"WB")-1,81)/9))&amp;(MOD(COUNTIFS($B$2:$B452,"WB")-1,9)+1),"N/A"),"")</f>
        <v/>
      </c>
      <c r="K452" s="3" t="str">
        <f t="shared" si="127"/>
        <v/>
      </c>
      <c r="L452" s="2"/>
      <c r="M452" s="2"/>
      <c r="N452" s="2"/>
      <c r="O452" s="7" t="str">
        <f t="shared" si="128"/>
        <v/>
      </c>
      <c r="P452" s="7" t="str">
        <f t="shared" si="129"/>
        <v/>
      </c>
      <c r="Q452" s="7" t="str">
        <f t="shared" si="130"/>
        <v/>
      </c>
      <c r="R452" s="7" t="str">
        <f t="shared" si="131"/>
        <v/>
      </c>
      <c r="S452" s="7" t="str">
        <f t="shared" si="132"/>
        <v/>
      </c>
      <c r="T452" s="7" t="str">
        <f t="shared" si="133"/>
        <v/>
      </c>
      <c r="U452" s="7" t="str">
        <f t="shared" si="134"/>
        <v/>
      </c>
      <c r="V452" s="7" t="str">
        <f t="shared" si="135"/>
        <v/>
      </c>
      <c r="W452" s="7" t="str">
        <f t="shared" si="136"/>
        <v/>
      </c>
      <c r="X452" s="7" t="str">
        <f t="shared" si="137"/>
        <v/>
      </c>
      <c r="Y452">
        <f t="shared" si="138"/>
        <v>0</v>
      </c>
      <c r="Z452" t="str">
        <f t="shared" si="139"/>
        <v/>
      </c>
      <c r="AA452" t="str">
        <f t="shared" si="140"/>
        <v/>
      </c>
      <c r="AB452" t="str">
        <f t="shared" si="141"/>
        <v/>
      </c>
      <c r="AC452" t="str">
        <f t="shared" si="142"/>
        <v/>
      </c>
      <c r="AD452">
        <f t="shared" si="143"/>
        <v>0</v>
      </c>
    </row>
    <row r="453" spans="1:30" ht="15" customHeight="1" x14ac:dyDescent="0.35">
      <c r="A453" s="2"/>
      <c r="B453" s="3"/>
      <c r="C453" s="4"/>
      <c r="D453" s="5"/>
      <c r="E453" s="11" t="str">
        <f t="shared" ca="1" si="126"/>
        <v/>
      </c>
      <c r="F453" s="5"/>
      <c r="G453" s="6" t="str">
        <f>IF(AND($A453&lt;&gt;"",$B453&lt;&gt;"",$C453&lt;&gt;"",$D453&lt;&gt;""),IF(OR($B453="SER",$B453="PLH",$B453="CSF"),"Control CDI Plate "&amp;(INT(((COUNTIFS($B$2:$B453,"SER")+COUNTIFS($B$2:$B453,"PLH")+COUNTIFS($B$2:$B453,"CSF"))-1)/96)+1)&amp;": "&amp;CHAR(65+INT(MOD((COUNTIFS($B$2:$B453,"SER")+COUNTIFS($B$2:$B453,"PLH")+COUNTIFS($B$2:$B453,"CSF"))-1,96)/12))&amp;(MOD((COUNTIFS($B$2:$B453,"SER")+COUNTIFS($B$2:$B453,"PLH")+COUNTIFS($B$2:$B453,"CSF"))-1,12)+1),"N/A"),"")</f>
        <v/>
      </c>
      <c r="H453" s="6" t="str">
        <f>IF(AND($A453&lt;&gt;"",$B453&lt;&gt;"",$C453&lt;&gt;"",$D453&lt;&gt;""),IF(OR($B453="SER",$B453="PLH",$B453="CSF"),"Control NIH Plate "&amp;(INT(((COUNTIFS($B$2:$B453,"SER")+COUNTIFS($B$2:$B453,"PLH")+COUNTIFS($B$2:$B453,"CSF"))-1)/96)+1)&amp;": "&amp;CHAR(65+INT(MOD((COUNTIFS($B$2:$B453,"SER")+COUNTIFS($B$2:$B453,"PLH")+COUNTIFS($B$2:$B453,"CSF"))-1,96)/12))&amp;(MOD((COUNTIFS($B$2:$B453,"SER")+COUNTIFS($B$2:$B453,"PLH")+COUNTIFS($B$2:$B453,"CSF"))-1,12)+1),"N/A"),"")</f>
        <v/>
      </c>
      <c r="I453" s="6" t="str">
        <f>IF(AND($A453&lt;&gt;"",$B453&lt;&gt;"",$C453&lt;&gt;"",$D453&lt;&gt;""),IF(OR($B453="SER",$B453="PLH"),"Control MAX Planck Plate "&amp;(INT(((COUNTIFS($B$2:$B453,"SER")+COUNTIFS($B$2:$B453,"PLH"))-1)/96)+1)&amp;": "&amp;CHAR(65+INT(MOD((COUNTIFS($B$2:$B453,"SER")+COUNTIFS($B$2:$B453,"PLH"))-1,96)/12))&amp;(MOD((COUNTIFS($B$2:$B453,"SER")+COUNTIFS($B$2:$B453,"PLH"))-1,12)+1),"N/A"),"")</f>
        <v/>
      </c>
      <c r="J453" s="6" t="str">
        <f>IF(AND($A453&lt;&gt;"",$B453&lt;&gt;"",$C453&lt;&gt;"",$D453&lt;&gt;""),IF($B453="WB","Control WB Box "&amp;(INT((COUNTIFS($B$2:$B453,"WB")-1)/81)+1)&amp;": "&amp;CHAR(65+INT(MOD(COUNTIFS($B$2:$B453,"WB")-1,81)/9))&amp;(MOD(COUNTIFS($B$2:$B453,"WB")-1,9)+1),"N/A"),"")</f>
        <v/>
      </c>
      <c r="K453" s="3" t="str">
        <f t="shared" si="127"/>
        <v/>
      </c>
      <c r="L453" s="2"/>
      <c r="M453" s="2"/>
      <c r="N453" s="2"/>
      <c r="O453" s="7" t="str">
        <f t="shared" si="128"/>
        <v/>
      </c>
      <c r="P453" s="7" t="str">
        <f t="shared" si="129"/>
        <v/>
      </c>
      <c r="Q453" s="7" t="str">
        <f t="shared" si="130"/>
        <v/>
      </c>
      <c r="R453" s="7" t="str">
        <f t="shared" si="131"/>
        <v/>
      </c>
      <c r="S453" s="7" t="str">
        <f t="shared" si="132"/>
        <v/>
      </c>
      <c r="T453" s="7" t="str">
        <f t="shared" si="133"/>
        <v/>
      </c>
      <c r="U453" s="7" t="str">
        <f t="shared" si="134"/>
        <v/>
      </c>
      <c r="V453" s="7" t="str">
        <f t="shared" si="135"/>
        <v/>
      </c>
      <c r="W453" s="7" t="str">
        <f t="shared" si="136"/>
        <v/>
      </c>
      <c r="X453" s="7" t="str">
        <f t="shared" si="137"/>
        <v/>
      </c>
      <c r="Y453">
        <f t="shared" si="138"/>
        <v>0</v>
      </c>
      <c r="Z453" t="str">
        <f t="shared" si="139"/>
        <v/>
      </c>
      <c r="AA453" t="str">
        <f t="shared" si="140"/>
        <v/>
      </c>
      <c r="AB453" t="str">
        <f t="shared" si="141"/>
        <v/>
      </c>
      <c r="AC453" t="str">
        <f t="shared" si="142"/>
        <v/>
      </c>
      <c r="AD453">
        <f t="shared" si="143"/>
        <v>0</v>
      </c>
    </row>
    <row r="454" spans="1:30" ht="15" customHeight="1" x14ac:dyDescent="0.35">
      <c r="A454" s="2"/>
      <c r="B454" s="3"/>
      <c r="C454" s="4"/>
      <c r="D454" s="5"/>
      <c r="E454" s="11" t="str">
        <f t="shared" ca="1" si="126"/>
        <v/>
      </c>
      <c r="F454" s="5"/>
      <c r="G454" s="6" t="str">
        <f>IF(AND($A454&lt;&gt;"",$B454&lt;&gt;"",$C454&lt;&gt;"",$D454&lt;&gt;""),IF(OR($B454="SER",$B454="PLH",$B454="CSF"),"Control CDI Plate "&amp;(INT(((COUNTIFS($B$2:$B454,"SER")+COUNTIFS($B$2:$B454,"PLH")+COUNTIFS($B$2:$B454,"CSF"))-1)/96)+1)&amp;": "&amp;CHAR(65+INT(MOD((COUNTIFS($B$2:$B454,"SER")+COUNTIFS($B$2:$B454,"PLH")+COUNTIFS($B$2:$B454,"CSF"))-1,96)/12))&amp;(MOD((COUNTIFS($B$2:$B454,"SER")+COUNTIFS($B$2:$B454,"PLH")+COUNTIFS($B$2:$B454,"CSF"))-1,12)+1),"N/A"),"")</f>
        <v/>
      </c>
      <c r="H454" s="6" t="str">
        <f>IF(AND($A454&lt;&gt;"",$B454&lt;&gt;"",$C454&lt;&gt;"",$D454&lt;&gt;""),IF(OR($B454="SER",$B454="PLH",$B454="CSF"),"Control NIH Plate "&amp;(INT(((COUNTIFS($B$2:$B454,"SER")+COUNTIFS($B$2:$B454,"PLH")+COUNTIFS($B$2:$B454,"CSF"))-1)/96)+1)&amp;": "&amp;CHAR(65+INT(MOD((COUNTIFS($B$2:$B454,"SER")+COUNTIFS($B$2:$B454,"PLH")+COUNTIFS($B$2:$B454,"CSF"))-1,96)/12))&amp;(MOD((COUNTIFS($B$2:$B454,"SER")+COUNTIFS($B$2:$B454,"PLH")+COUNTIFS($B$2:$B454,"CSF"))-1,12)+1),"N/A"),"")</f>
        <v/>
      </c>
      <c r="I454" s="6" t="str">
        <f>IF(AND($A454&lt;&gt;"",$B454&lt;&gt;"",$C454&lt;&gt;"",$D454&lt;&gt;""),IF(OR($B454="SER",$B454="PLH"),"Control MAX Planck Plate "&amp;(INT(((COUNTIFS($B$2:$B454,"SER")+COUNTIFS($B$2:$B454,"PLH"))-1)/96)+1)&amp;": "&amp;CHAR(65+INT(MOD((COUNTIFS($B$2:$B454,"SER")+COUNTIFS($B$2:$B454,"PLH"))-1,96)/12))&amp;(MOD((COUNTIFS($B$2:$B454,"SER")+COUNTIFS($B$2:$B454,"PLH"))-1,12)+1),"N/A"),"")</f>
        <v/>
      </c>
      <c r="J454" s="6" t="str">
        <f>IF(AND($A454&lt;&gt;"",$B454&lt;&gt;"",$C454&lt;&gt;"",$D454&lt;&gt;""),IF($B454="WB","Control WB Box "&amp;(INT((COUNTIFS($B$2:$B454,"WB")-1)/81)+1)&amp;": "&amp;CHAR(65+INT(MOD(COUNTIFS($B$2:$B454,"WB")-1,81)/9))&amp;(MOD(COUNTIFS($B$2:$B454,"WB")-1,9)+1),"N/A"),"")</f>
        <v/>
      </c>
      <c r="K454" s="3" t="str">
        <f t="shared" si="127"/>
        <v/>
      </c>
      <c r="L454" s="2"/>
      <c r="M454" s="2"/>
      <c r="N454" s="2"/>
      <c r="O454" s="7" t="str">
        <f t="shared" si="128"/>
        <v/>
      </c>
      <c r="P454" s="7" t="str">
        <f t="shared" si="129"/>
        <v/>
      </c>
      <c r="Q454" s="7" t="str">
        <f t="shared" si="130"/>
        <v/>
      </c>
      <c r="R454" s="7" t="str">
        <f t="shared" si="131"/>
        <v/>
      </c>
      <c r="S454" s="7" t="str">
        <f t="shared" si="132"/>
        <v/>
      </c>
      <c r="T454" s="7" t="str">
        <f t="shared" si="133"/>
        <v/>
      </c>
      <c r="U454" s="7" t="str">
        <f t="shared" si="134"/>
        <v/>
      </c>
      <c r="V454" s="7" t="str">
        <f t="shared" si="135"/>
        <v/>
      </c>
      <c r="W454" s="7" t="str">
        <f t="shared" si="136"/>
        <v/>
      </c>
      <c r="X454" s="7" t="str">
        <f t="shared" si="137"/>
        <v/>
      </c>
      <c r="Y454">
        <f t="shared" si="138"/>
        <v>0</v>
      </c>
      <c r="Z454" t="str">
        <f t="shared" si="139"/>
        <v/>
      </c>
      <c r="AA454" t="str">
        <f t="shared" si="140"/>
        <v/>
      </c>
      <c r="AB454" t="str">
        <f t="shared" si="141"/>
        <v/>
      </c>
      <c r="AC454" t="str">
        <f t="shared" si="142"/>
        <v/>
      </c>
      <c r="AD454">
        <f t="shared" si="143"/>
        <v>0</v>
      </c>
    </row>
    <row r="455" spans="1:30" ht="15" customHeight="1" x14ac:dyDescent="0.35">
      <c r="A455" s="2"/>
      <c r="B455" s="3"/>
      <c r="C455" s="4"/>
      <c r="D455" s="5"/>
      <c r="E455" s="11" t="str">
        <f t="shared" ca="1" si="126"/>
        <v/>
      </c>
      <c r="F455" s="5"/>
      <c r="G455" s="6" t="str">
        <f>IF(AND($A455&lt;&gt;"",$B455&lt;&gt;"",$C455&lt;&gt;"",$D455&lt;&gt;""),IF(OR($B455="SER",$B455="PLH",$B455="CSF"),"Control CDI Plate "&amp;(INT(((COUNTIFS($B$2:$B455,"SER")+COUNTIFS($B$2:$B455,"PLH")+COUNTIFS($B$2:$B455,"CSF"))-1)/96)+1)&amp;": "&amp;CHAR(65+INT(MOD((COUNTIFS($B$2:$B455,"SER")+COUNTIFS($B$2:$B455,"PLH")+COUNTIFS($B$2:$B455,"CSF"))-1,96)/12))&amp;(MOD((COUNTIFS($B$2:$B455,"SER")+COUNTIFS($B$2:$B455,"PLH")+COUNTIFS($B$2:$B455,"CSF"))-1,12)+1),"N/A"),"")</f>
        <v/>
      </c>
      <c r="H455" s="6" t="str">
        <f>IF(AND($A455&lt;&gt;"",$B455&lt;&gt;"",$C455&lt;&gt;"",$D455&lt;&gt;""),IF(OR($B455="SER",$B455="PLH",$B455="CSF"),"Control NIH Plate "&amp;(INT(((COUNTIFS($B$2:$B455,"SER")+COUNTIFS($B$2:$B455,"PLH")+COUNTIFS($B$2:$B455,"CSF"))-1)/96)+1)&amp;": "&amp;CHAR(65+INT(MOD((COUNTIFS($B$2:$B455,"SER")+COUNTIFS($B$2:$B455,"PLH")+COUNTIFS($B$2:$B455,"CSF"))-1,96)/12))&amp;(MOD((COUNTIFS($B$2:$B455,"SER")+COUNTIFS($B$2:$B455,"PLH")+COUNTIFS($B$2:$B455,"CSF"))-1,12)+1),"N/A"),"")</f>
        <v/>
      </c>
      <c r="I455" s="6" t="str">
        <f>IF(AND($A455&lt;&gt;"",$B455&lt;&gt;"",$C455&lt;&gt;"",$D455&lt;&gt;""),IF(OR($B455="SER",$B455="PLH"),"Control MAX Planck Plate "&amp;(INT(((COUNTIFS($B$2:$B455,"SER")+COUNTIFS($B$2:$B455,"PLH"))-1)/96)+1)&amp;": "&amp;CHAR(65+INT(MOD((COUNTIFS($B$2:$B455,"SER")+COUNTIFS($B$2:$B455,"PLH"))-1,96)/12))&amp;(MOD((COUNTIFS($B$2:$B455,"SER")+COUNTIFS($B$2:$B455,"PLH"))-1,12)+1),"N/A"),"")</f>
        <v/>
      </c>
      <c r="J455" s="6" t="str">
        <f>IF(AND($A455&lt;&gt;"",$B455&lt;&gt;"",$C455&lt;&gt;"",$D455&lt;&gt;""),IF($B455="WB","Control WB Box "&amp;(INT((COUNTIFS($B$2:$B455,"WB")-1)/81)+1)&amp;": "&amp;CHAR(65+INT(MOD(COUNTIFS($B$2:$B455,"WB")-1,81)/9))&amp;(MOD(COUNTIFS($B$2:$B455,"WB")-1,9)+1),"N/A"),"")</f>
        <v/>
      </c>
      <c r="K455" s="3" t="str">
        <f t="shared" si="127"/>
        <v/>
      </c>
      <c r="L455" s="2"/>
      <c r="M455" s="2"/>
      <c r="N455" s="2"/>
      <c r="O455" s="7" t="str">
        <f t="shared" si="128"/>
        <v/>
      </c>
      <c r="P455" s="7" t="str">
        <f t="shared" si="129"/>
        <v/>
      </c>
      <c r="Q455" s="7" t="str">
        <f t="shared" si="130"/>
        <v/>
      </c>
      <c r="R455" s="7" t="str">
        <f t="shared" si="131"/>
        <v/>
      </c>
      <c r="S455" s="7" t="str">
        <f t="shared" si="132"/>
        <v/>
      </c>
      <c r="T455" s="7" t="str">
        <f t="shared" si="133"/>
        <v/>
      </c>
      <c r="U455" s="7" t="str">
        <f t="shared" si="134"/>
        <v/>
      </c>
      <c r="V455" s="7" t="str">
        <f t="shared" si="135"/>
        <v/>
      </c>
      <c r="W455" s="7" t="str">
        <f t="shared" si="136"/>
        <v/>
      </c>
      <c r="X455" s="7" t="str">
        <f t="shared" si="137"/>
        <v/>
      </c>
      <c r="Y455">
        <f t="shared" si="138"/>
        <v>0</v>
      </c>
      <c r="Z455" t="str">
        <f t="shared" si="139"/>
        <v/>
      </c>
      <c r="AA455" t="str">
        <f t="shared" si="140"/>
        <v/>
      </c>
      <c r="AB455" t="str">
        <f t="shared" si="141"/>
        <v/>
      </c>
      <c r="AC455" t="str">
        <f t="shared" si="142"/>
        <v/>
      </c>
      <c r="AD455">
        <f t="shared" si="143"/>
        <v>0</v>
      </c>
    </row>
    <row r="456" spans="1:30" ht="15" customHeight="1" x14ac:dyDescent="0.35">
      <c r="A456" s="2"/>
      <c r="B456" s="3"/>
      <c r="C456" s="4"/>
      <c r="D456" s="5"/>
      <c r="E456" s="11" t="str">
        <f t="shared" ca="1" si="126"/>
        <v/>
      </c>
      <c r="F456" s="5"/>
      <c r="G456" s="6" t="str">
        <f>IF(AND($A456&lt;&gt;"",$B456&lt;&gt;"",$C456&lt;&gt;"",$D456&lt;&gt;""),IF(OR($B456="SER",$B456="PLH",$B456="CSF"),"Control CDI Plate "&amp;(INT(((COUNTIFS($B$2:$B456,"SER")+COUNTIFS($B$2:$B456,"PLH")+COUNTIFS($B$2:$B456,"CSF"))-1)/96)+1)&amp;": "&amp;CHAR(65+INT(MOD((COUNTIFS($B$2:$B456,"SER")+COUNTIFS($B$2:$B456,"PLH")+COUNTIFS($B$2:$B456,"CSF"))-1,96)/12))&amp;(MOD((COUNTIFS($B$2:$B456,"SER")+COUNTIFS($B$2:$B456,"PLH")+COUNTIFS($B$2:$B456,"CSF"))-1,12)+1),"N/A"),"")</f>
        <v/>
      </c>
      <c r="H456" s="6" t="str">
        <f>IF(AND($A456&lt;&gt;"",$B456&lt;&gt;"",$C456&lt;&gt;"",$D456&lt;&gt;""),IF(OR($B456="SER",$B456="PLH",$B456="CSF"),"Control NIH Plate "&amp;(INT(((COUNTIFS($B$2:$B456,"SER")+COUNTIFS($B$2:$B456,"PLH")+COUNTIFS($B$2:$B456,"CSF"))-1)/96)+1)&amp;": "&amp;CHAR(65+INT(MOD((COUNTIFS($B$2:$B456,"SER")+COUNTIFS($B$2:$B456,"PLH")+COUNTIFS($B$2:$B456,"CSF"))-1,96)/12))&amp;(MOD((COUNTIFS($B$2:$B456,"SER")+COUNTIFS($B$2:$B456,"PLH")+COUNTIFS($B$2:$B456,"CSF"))-1,12)+1),"N/A"),"")</f>
        <v/>
      </c>
      <c r="I456" s="6" t="str">
        <f>IF(AND($A456&lt;&gt;"",$B456&lt;&gt;"",$C456&lt;&gt;"",$D456&lt;&gt;""),IF(OR($B456="SER",$B456="PLH"),"Control MAX Planck Plate "&amp;(INT(((COUNTIFS($B$2:$B456,"SER")+COUNTIFS($B$2:$B456,"PLH"))-1)/96)+1)&amp;": "&amp;CHAR(65+INT(MOD((COUNTIFS($B$2:$B456,"SER")+COUNTIFS($B$2:$B456,"PLH"))-1,96)/12))&amp;(MOD((COUNTIFS($B$2:$B456,"SER")+COUNTIFS($B$2:$B456,"PLH"))-1,12)+1),"N/A"),"")</f>
        <v/>
      </c>
      <c r="J456" s="6" t="str">
        <f>IF(AND($A456&lt;&gt;"",$B456&lt;&gt;"",$C456&lt;&gt;"",$D456&lt;&gt;""),IF($B456="WB","Control WB Box "&amp;(INT((COUNTIFS($B$2:$B456,"WB")-1)/81)+1)&amp;": "&amp;CHAR(65+INT(MOD(COUNTIFS($B$2:$B456,"WB")-1,81)/9))&amp;(MOD(COUNTIFS($B$2:$B456,"WB")-1,9)+1),"N/A"),"")</f>
        <v/>
      </c>
      <c r="K456" s="3" t="str">
        <f t="shared" si="127"/>
        <v/>
      </c>
      <c r="L456" s="2"/>
      <c r="M456" s="2"/>
      <c r="N456" s="2"/>
      <c r="O456" s="7" t="str">
        <f t="shared" si="128"/>
        <v/>
      </c>
      <c r="P456" s="7" t="str">
        <f t="shared" si="129"/>
        <v/>
      </c>
      <c r="Q456" s="7" t="str">
        <f t="shared" si="130"/>
        <v/>
      </c>
      <c r="R456" s="7" t="str">
        <f t="shared" si="131"/>
        <v/>
      </c>
      <c r="S456" s="7" t="str">
        <f t="shared" si="132"/>
        <v/>
      </c>
      <c r="T456" s="7" t="str">
        <f t="shared" si="133"/>
        <v/>
      </c>
      <c r="U456" s="7" t="str">
        <f t="shared" si="134"/>
        <v/>
      </c>
      <c r="V456" s="7" t="str">
        <f t="shared" si="135"/>
        <v/>
      </c>
      <c r="W456" s="7" t="str">
        <f t="shared" si="136"/>
        <v/>
      </c>
      <c r="X456" s="7" t="str">
        <f t="shared" si="137"/>
        <v/>
      </c>
      <c r="Y456">
        <f t="shared" si="138"/>
        <v>0</v>
      </c>
      <c r="Z456" t="str">
        <f t="shared" si="139"/>
        <v/>
      </c>
      <c r="AA456" t="str">
        <f t="shared" si="140"/>
        <v/>
      </c>
      <c r="AB456" t="str">
        <f t="shared" si="141"/>
        <v/>
      </c>
      <c r="AC456" t="str">
        <f t="shared" si="142"/>
        <v/>
      </c>
      <c r="AD456">
        <f t="shared" si="143"/>
        <v>0</v>
      </c>
    </row>
    <row r="457" spans="1:30" ht="15" customHeight="1" x14ac:dyDescent="0.35">
      <c r="A457" s="2"/>
      <c r="B457" s="3"/>
      <c r="C457" s="4"/>
      <c r="D457" s="5"/>
      <c r="E457" s="11" t="str">
        <f t="shared" ca="1" si="126"/>
        <v/>
      </c>
      <c r="F457" s="5"/>
      <c r="G457" s="6" t="str">
        <f>IF(AND($A457&lt;&gt;"",$B457&lt;&gt;"",$C457&lt;&gt;"",$D457&lt;&gt;""),IF(OR($B457="SER",$B457="PLH",$B457="CSF"),"Control CDI Plate "&amp;(INT(((COUNTIFS($B$2:$B457,"SER")+COUNTIFS($B$2:$B457,"PLH")+COUNTIFS($B$2:$B457,"CSF"))-1)/96)+1)&amp;": "&amp;CHAR(65+INT(MOD((COUNTIFS($B$2:$B457,"SER")+COUNTIFS($B$2:$B457,"PLH")+COUNTIFS($B$2:$B457,"CSF"))-1,96)/12))&amp;(MOD((COUNTIFS($B$2:$B457,"SER")+COUNTIFS($B$2:$B457,"PLH")+COUNTIFS($B$2:$B457,"CSF"))-1,12)+1),"N/A"),"")</f>
        <v/>
      </c>
      <c r="H457" s="6" t="str">
        <f>IF(AND($A457&lt;&gt;"",$B457&lt;&gt;"",$C457&lt;&gt;"",$D457&lt;&gt;""),IF(OR($B457="SER",$B457="PLH",$B457="CSF"),"Control NIH Plate "&amp;(INT(((COUNTIFS($B$2:$B457,"SER")+COUNTIFS($B$2:$B457,"PLH")+COUNTIFS($B$2:$B457,"CSF"))-1)/96)+1)&amp;": "&amp;CHAR(65+INT(MOD((COUNTIFS($B$2:$B457,"SER")+COUNTIFS($B$2:$B457,"PLH")+COUNTIFS($B$2:$B457,"CSF"))-1,96)/12))&amp;(MOD((COUNTIFS($B$2:$B457,"SER")+COUNTIFS($B$2:$B457,"PLH")+COUNTIFS($B$2:$B457,"CSF"))-1,12)+1),"N/A"),"")</f>
        <v/>
      </c>
      <c r="I457" s="6" t="str">
        <f>IF(AND($A457&lt;&gt;"",$B457&lt;&gt;"",$C457&lt;&gt;"",$D457&lt;&gt;""),IF(OR($B457="SER",$B457="PLH"),"Control MAX Planck Plate "&amp;(INT(((COUNTIFS($B$2:$B457,"SER")+COUNTIFS($B$2:$B457,"PLH"))-1)/96)+1)&amp;": "&amp;CHAR(65+INT(MOD((COUNTIFS($B$2:$B457,"SER")+COUNTIFS($B$2:$B457,"PLH"))-1,96)/12))&amp;(MOD((COUNTIFS($B$2:$B457,"SER")+COUNTIFS($B$2:$B457,"PLH"))-1,12)+1),"N/A"),"")</f>
        <v/>
      </c>
      <c r="J457" s="6" t="str">
        <f>IF(AND($A457&lt;&gt;"",$B457&lt;&gt;"",$C457&lt;&gt;"",$D457&lt;&gt;""),IF($B457="WB","Control WB Box "&amp;(INT((COUNTIFS($B$2:$B457,"WB")-1)/81)+1)&amp;": "&amp;CHAR(65+INT(MOD(COUNTIFS($B$2:$B457,"WB")-1,81)/9))&amp;(MOD(COUNTIFS($B$2:$B457,"WB")-1,9)+1),"N/A"),"")</f>
        <v/>
      </c>
      <c r="K457" s="3" t="str">
        <f t="shared" si="127"/>
        <v/>
      </c>
      <c r="L457" s="2"/>
      <c r="M457" s="2"/>
      <c r="N457" s="2"/>
      <c r="O457" s="7" t="str">
        <f t="shared" si="128"/>
        <v/>
      </c>
      <c r="P457" s="7" t="str">
        <f t="shared" si="129"/>
        <v/>
      </c>
      <c r="Q457" s="7" t="str">
        <f t="shared" si="130"/>
        <v/>
      </c>
      <c r="R457" s="7" t="str">
        <f t="shared" si="131"/>
        <v/>
      </c>
      <c r="S457" s="7" t="str">
        <f t="shared" si="132"/>
        <v/>
      </c>
      <c r="T457" s="7" t="str">
        <f t="shared" si="133"/>
        <v/>
      </c>
      <c r="U457" s="7" t="str">
        <f t="shared" si="134"/>
        <v/>
      </c>
      <c r="V457" s="7" t="str">
        <f t="shared" si="135"/>
        <v/>
      </c>
      <c r="W457" s="7" t="str">
        <f t="shared" si="136"/>
        <v/>
      </c>
      <c r="X457" s="7" t="str">
        <f t="shared" si="137"/>
        <v/>
      </c>
      <c r="Y457">
        <f t="shared" si="138"/>
        <v>0</v>
      </c>
      <c r="Z457" t="str">
        <f t="shared" si="139"/>
        <v/>
      </c>
      <c r="AA457" t="str">
        <f t="shared" si="140"/>
        <v/>
      </c>
      <c r="AB457" t="str">
        <f t="shared" si="141"/>
        <v/>
      </c>
      <c r="AC457" t="str">
        <f t="shared" si="142"/>
        <v/>
      </c>
      <c r="AD457">
        <f t="shared" si="143"/>
        <v>0</v>
      </c>
    </row>
    <row r="458" spans="1:30" ht="15" customHeight="1" x14ac:dyDescent="0.35">
      <c r="A458" s="2"/>
      <c r="B458" s="3"/>
      <c r="C458" s="4"/>
      <c r="D458" s="5"/>
      <c r="E458" s="11" t="str">
        <f t="shared" ca="1" si="126"/>
        <v/>
      </c>
      <c r="F458" s="5"/>
      <c r="G458" s="6" t="str">
        <f>IF(AND($A458&lt;&gt;"",$B458&lt;&gt;"",$C458&lt;&gt;"",$D458&lt;&gt;""),IF(OR($B458="SER",$B458="PLH",$B458="CSF"),"Control CDI Plate "&amp;(INT(((COUNTIFS($B$2:$B458,"SER")+COUNTIFS($B$2:$B458,"PLH")+COUNTIFS($B$2:$B458,"CSF"))-1)/96)+1)&amp;": "&amp;CHAR(65+INT(MOD((COUNTIFS($B$2:$B458,"SER")+COUNTIFS($B$2:$B458,"PLH")+COUNTIFS($B$2:$B458,"CSF"))-1,96)/12))&amp;(MOD((COUNTIFS($B$2:$B458,"SER")+COUNTIFS($B$2:$B458,"PLH")+COUNTIFS($B$2:$B458,"CSF"))-1,12)+1),"N/A"),"")</f>
        <v/>
      </c>
      <c r="H458" s="6" t="str">
        <f>IF(AND($A458&lt;&gt;"",$B458&lt;&gt;"",$C458&lt;&gt;"",$D458&lt;&gt;""),IF(OR($B458="SER",$B458="PLH",$B458="CSF"),"Control NIH Plate "&amp;(INT(((COUNTIFS($B$2:$B458,"SER")+COUNTIFS($B$2:$B458,"PLH")+COUNTIFS($B$2:$B458,"CSF"))-1)/96)+1)&amp;": "&amp;CHAR(65+INT(MOD((COUNTIFS($B$2:$B458,"SER")+COUNTIFS($B$2:$B458,"PLH")+COUNTIFS($B$2:$B458,"CSF"))-1,96)/12))&amp;(MOD((COUNTIFS($B$2:$B458,"SER")+COUNTIFS($B$2:$B458,"PLH")+COUNTIFS($B$2:$B458,"CSF"))-1,12)+1),"N/A"),"")</f>
        <v/>
      </c>
      <c r="I458" s="6" t="str">
        <f>IF(AND($A458&lt;&gt;"",$B458&lt;&gt;"",$C458&lt;&gt;"",$D458&lt;&gt;""),IF(OR($B458="SER",$B458="PLH"),"Control MAX Planck Plate "&amp;(INT(((COUNTIFS($B$2:$B458,"SER")+COUNTIFS($B$2:$B458,"PLH"))-1)/96)+1)&amp;": "&amp;CHAR(65+INT(MOD((COUNTIFS($B$2:$B458,"SER")+COUNTIFS($B$2:$B458,"PLH"))-1,96)/12))&amp;(MOD((COUNTIFS($B$2:$B458,"SER")+COUNTIFS($B$2:$B458,"PLH"))-1,12)+1),"N/A"),"")</f>
        <v/>
      </c>
      <c r="J458" s="6" t="str">
        <f>IF(AND($A458&lt;&gt;"",$B458&lt;&gt;"",$C458&lt;&gt;"",$D458&lt;&gt;""),IF($B458="WB","Control WB Box "&amp;(INT((COUNTIFS($B$2:$B458,"WB")-1)/81)+1)&amp;": "&amp;CHAR(65+INT(MOD(COUNTIFS($B$2:$B458,"WB")-1,81)/9))&amp;(MOD(COUNTIFS($B$2:$B458,"WB")-1,9)+1),"N/A"),"")</f>
        <v/>
      </c>
      <c r="K458" s="3" t="str">
        <f t="shared" si="127"/>
        <v/>
      </c>
      <c r="L458" s="2"/>
      <c r="M458" s="2"/>
      <c r="N458" s="2"/>
      <c r="O458" s="7" t="str">
        <f t="shared" si="128"/>
        <v/>
      </c>
      <c r="P458" s="7" t="str">
        <f t="shared" si="129"/>
        <v/>
      </c>
      <c r="Q458" s="7" t="str">
        <f t="shared" si="130"/>
        <v/>
      </c>
      <c r="R458" s="7" t="str">
        <f t="shared" si="131"/>
        <v/>
      </c>
      <c r="S458" s="7" t="str">
        <f t="shared" si="132"/>
        <v/>
      </c>
      <c r="T458" s="7" t="str">
        <f t="shared" si="133"/>
        <v/>
      </c>
      <c r="U458" s="7" t="str">
        <f t="shared" si="134"/>
        <v/>
      </c>
      <c r="V458" s="7" t="str">
        <f t="shared" si="135"/>
        <v/>
      </c>
      <c r="W458" s="7" t="str">
        <f t="shared" si="136"/>
        <v/>
      </c>
      <c r="X458" s="7" t="str">
        <f t="shared" si="137"/>
        <v/>
      </c>
      <c r="Y458">
        <f t="shared" si="138"/>
        <v>0</v>
      </c>
      <c r="Z458" t="str">
        <f t="shared" si="139"/>
        <v/>
      </c>
      <c r="AA458" t="str">
        <f t="shared" si="140"/>
        <v/>
      </c>
      <c r="AB458" t="str">
        <f t="shared" si="141"/>
        <v/>
      </c>
      <c r="AC458" t="str">
        <f t="shared" si="142"/>
        <v/>
      </c>
      <c r="AD458">
        <f t="shared" si="143"/>
        <v>0</v>
      </c>
    </row>
    <row r="459" spans="1:30" ht="15" customHeight="1" x14ac:dyDescent="0.35">
      <c r="A459" s="2"/>
      <c r="B459" s="3"/>
      <c r="C459" s="4"/>
      <c r="D459" s="5"/>
      <c r="E459" s="11" t="str">
        <f t="shared" ca="1" si="126"/>
        <v/>
      </c>
      <c r="F459" s="5"/>
      <c r="G459" s="6" t="str">
        <f>IF(AND($A459&lt;&gt;"",$B459&lt;&gt;"",$C459&lt;&gt;"",$D459&lt;&gt;""),IF(OR($B459="SER",$B459="PLH",$B459="CSF"),"Control CDI Plate "&amp;(INT(((COUNTIFS($B$2:$B459,"SER")+COUNTIFS($B$2:$B459,"PLH")+COUNTIFS($B$2:$B459,"CSF"))-1)/96)+1)&amp;": "&amp;CHAR(65+INT(MOD((COUNTIFS($B$2:$B459,"SER")+COUNTIFS($B$2:$B459,"PLH")+COUNTIFS($B$2:$B459,"CSF"))-1,96)/12))&amp;(MOD((COUNTIFS($B$2:$B459,"SER")+COUNTIFS($B$2:$B459,"PLH")+COUNTIFS($B$2:$B459,"CSF"))-1,12)+1),"N/A"),"")</f>
        <v/>
      </c>
      <c r="H459" s="6" t="str">
        <f>IF(AND($A459&lt;&gt;"",$B459&lt;&gt;"",$C459&lt;&gt;"",$D459&lt;&gt;""),IF(OR($B459="SER",$B459="PLH",$B459="CSF"),"Control NIH Plate "&amp;(INT(((COUNTIFS($B$2:$B459,"SER")+COUNTIFS($B$2:$B459,"PLH")+COUNTIFS($B$2:$B459,"CSF"))-1)/96)+1)&amp;": "&amp;CHAR(65+INT(MOD((COUNTIFS($B$2:$B459,"SER")+COUNTIFS($B$2:$B459,"PLH")+COUNTIFS($B$2:$B459,"CSF"))-1,96)/12))&amp;(MOD((COUNTIFS($B$2:$B459,"SER")+COUNTIFS($B$2:$B459,"PLH")+COUNTIFS($B$2:$B459,"CSF"))-1,12)+1),"N/A"),"")</f>
        <v/>
      </c>
      <c r="I459" s="6" t="str">
        <f>IF(AND($A459&lt;&gt;"",$B459&lt;&gt;"",$C459&lt;&gt;"",$D459&lt;&gt;""),IF(OR($B459="SER",$B459="PLH"),"Control MAX Planck Plate "&amp;(INT(((COUNTIFS($B$2:$B459,"SER")+COUNTIFS($B$2:$B459,"PLH"))-1)/96)+1)&amp;": "&amp;CHAR(65+INT(MOD((COUNTIFS($B$2:$B459,"SER")+COUNTIFS($B$2:$B459,"PLH"))-1,96)/12))&amp;(MOD((COUNTIFS($B$2:$B459,"SER")+COUNTIFS($B$2:$B459,"PLH"))-1,12)+1),"N/A"),"")</f>
        <v/>
      </c>
      <c r="J459" s="6" t="str">
        <f>IF(AND($A459&lt;&gt;"",$B459&lt;&gt;"",$C459&lt;&gt;"",$D459&lt;&gt;""),IF($B459="WB","Control WB Box "&amp;(INT((COUNTIFS($B$2:$B459,"WB")-1)/81)+1)&amp;": "&amp;CHAR(65+INT(MOD(COUNTIFS($B$2:$B459,"WB")-1,81)/9))&amp;(MOD(COUNTIFS($B$2:$B459,"WB")-1,9)+1),"N/A"),"")</f>
        <v/>
      </c>
      <c r="K459" s="3" t="str">
        <f t="shared" si="127"/>
        <v/>
      </c>
      <c r="L459" s="2"/>
      <c r="M459" s="2"/>
      <c r="N459" s="2"/>
      <c r="O459" s="7" t="str">
        <f t="shared" si="128"/>
        <v/>
      </c>
      <c r="P459" s="7" t="str">
        <f t="shared" si="129"/>
        <v/>
      </c>
      <c r="Q459" s="7" t="str">
        <f t="shared" si="130"/>
        <v/>
      </c>
      <c r="R459" s="7" t="str">
        <f t="shared" si="131"/>
        <v/>
      </c>
      <c r="S459" s="7" t="str">
        <f t="shared" si="132"/>
        <v/>
      </c>
      <c r="T459" s="7" t="str">
        <f t="shared" si="133"/>
        <v/>
      </c>
      <c r="U459" s="7" t="str">
        <f t="shared" si="134"/>
        <v/>
      </c>
      <c r="V459" s="7" t="str">
        <f t="shared" si="135"/>
        <v/>
      </c>
      <c r="W459" s="7" t="str">
        <f t="shared" si="136"/>
        <v/>
      </c>
      <c r="X459" s="7" t="str">
        <f t="shared" si="137"/>
        <v/>
      </c>
      <c r="Y459">
        <f t="shared" si="138"/>
        <v>0</v>
      </c>
      <c r="Z459" t="str">
        <f t="shared" si="139"/>
        <v/>
      </c>
      <c r="AA459" t="str">
        <f t="shared" si="140"/>
        <v/>
      </c>
      <c r="AB459" t="str">
        <f t="shared" si="141"/>
        <v/>
      </c>
      <c r="AC459" t="str">
        <f t="shared" si="142"/>
        <v/>
      </c>
      <c r="AD459">
        <f t="shared" si="143"/>
        <v>0</v>
      </c>
    </row>
    <row r="460" spans="1:30" ht="15" customHeight="1" x14ac:dyDescent="0.35">
      <c r="A460" s="2"/>
      <c r="B460" s="3"/>
      <c r="C460" s="4"/>
      <c r="D460" s="5"/>
      <c r="E460" s="11" t="str">
        <f t="shared" ca="1" si="126"/>
        <v/>
      </c>
      <c r="F460" s="5"/>
      <c r="G460" s="6" t="str">
        <f>IF(AND($A460&lt;&gt;"",$B460&lt;&gt;"",$C460&lt;&gt;"",$D460&lt;&gt;""),IF(OR($B460="SER",$B460="PLH",$B460="CSF"),"Control CDI Plate "&amp;(INT(((COUNTIFS($B$2:$B460,"SER")+COUNTIFS($B$2:$B460,"PLH")+COUNTIFS($B$2:$B460,"CSF"))-1)/96)+1)&amp;": "&amp;CHAR(65+INT(MOD((COUNTIFS($B$2:$B460,"SER")+COUNTIFS($B$2:$B460,"PLH")+COUNTIFS($B$2:$B460,"CSF"))-1,96)/12))&amp;(MOD((COUNTIFS($B$2:$B460,"SER")+COUNTIFS($B$2:$B460,"PLH")+COUNTIFS($B$2:$B460,"CSF"))-1,12)+1),"N/A"),"")</f>
        <v/>
      </c>
      <c r="H460" s="6" t="str">
        <f>IF(AND($A460&lt;&gt;"",$B460&lt;&gt;"",$C460&lt;&gt;"",$D460&lt;&gt;""),IF(OR($B460="SER",$B460="PLH",$B460="CSF"),"Control NIH Plate "&amp;(INT(((COUNTIFS($B$2:$B460,"SER")+COUNTIFS($B$2:$B460,"PLH")+COUNTIFS($B$2:$B460,"CSF"))-1)/96)+1)&amp;": "&amp;CHAR(65+INT(MOD((COUNTIFS($B$2:$B460,"SER")+COUNTIFS($B$2:$B460,"PLH")+COUNTIFS($B$2:$B460,"CSF"))-1,96)/12))&amp;(MOD((COUNTIFS($B$2:$B460,"SER")+COUNTIFS($B$2:$B460,"PLH")+COUNTIFS($B$2:$B460,"CSF"))-1,12)+1),"N/A"),"")</f>
        <v/>
      </c>
      <c r="I460" s="6" t="str">
        <f>IF(AND($A460&lt;&gt;"",$B460&lt;&gt;"",$C460&lt;&gt;"",$D460&lt;&gt;""),IF(OR($B460="SER",$B460="PLH"),"Control MAX Planck Plate "&amp;(INT(((COUNTIFS($B$2:$B460,"SER")+COUNTIFS($B$2:$B460,"PLH"))-1)/96)+1)&amp;": "&amp;CHAR(65+INT(MOD((COUNTIFS($B$2:$B460,"SER")+COUNTIFS($B$2:$B460,"PLH"))-1,96)/12))&amp;(MOD((COUNTIFS($B$2:$B460,"SER")+COUNTIFS($B$2:$B460,"PLH"))-1,12)+1),"N/A"),"")</f>
        <v/>
      </c>
      <c r="J460" s="6" t="str">
        <f>IF(AND($A460&lt;&gt;"",$B460&lt;&gt;"",$C460&lt;&gt;"",$D460&lt;&gt;""),IF($B460="WB","Control WB Box "&amp;(INT((COUNTIFS($B$2:$B460,"WB")-1)/81)+1)&amp;": "&amp;CHAR(65+INT(MOD(COUNTIFS($B$2:$B460,"WB")-1,81)/9))&amp;(MOD(COUNTIFS($B$2:$B460,"WB")-1,9)+1),"N/A"),"")</f>
        <v/>
      </c>
      <c r="K460" s="3" t="str">
        <f t="shared" si="127"/>
        <v/>
      </c>
      <c r="L460" s="2"/>
      <c r="M460" s="2"/>
      <c r="N460" s="2"/>
      <c r="O460" s="7" t="str">
        <f t="shared" si="128"/>
        <v/>
      </c>
      <c r="P460" s="7" t="str">
        <f t="shared" si="129"/>
        <v/>
      </c>
      <c r="Q460" s="7" t="str">
        <f t="shared" si="130"/>
        <v/>
      </c>
      <c r="R460" s="7" t="str">
        <f t="shared" si="131"/>
        <v/>
      </c>
      <c r="S460" s="7" t="str">
        <f t="shared" si="132"/>
        <v/>
      </c>
      <c r="T460" s="7" t="str">
        <f t="shared" si="133"/>
        <v/>
      </c>
      <c r="U460" s="7" t="str">
        <f t="shared" si="134"/>
        <v/>
      </c>
      <c r="V460" s="7" t="str">
        <f t="shared" si="135"/>
        <v/>
      </c>
      <c r="W460" s="7" t="str">
        <f t="shared" si="136"/>
        <v/>
      </c>
      <c r="X460" s="7" t="str">
        <f t="shared" si="137"/>
        <v/>
      </c>
      <c r="Y460">
        <f t="shared" si="138"/>
        <v>0</v>
      </c>
      <c r="Z460" t="str">
        <f t="shared" si="139"/>
        <v/>
      </c>
      <c r="AA460" t="str">
        <f t="shared" si="140"/>
        <v/>
      </c>
      <c r="AB460" t="str">
        <f t="shared" si="141"/>
        <v/>
      </c>
      <c r="AC460" t="str">
        <f t="shared" si="142"/>
        <v/>
      </c>
      <c r="AD460">
        <f t="shared" si="143"/>
        <v>0</v>
      </c>
    </row>
    <row r="461" spans="1:30" ht="15" customHeight="1" x14ac:dyDescent="0.35">
      <c r="A461" s="2"/>
      <c r="B461" s="3"/>
      <c r="C461" s="4"/>
      <c r="D461" s="5"/>
      <c r="E461" s="11" t="str">
        <f t="shared" ca="1" si="126"/>
        <v/>
      </c>
      <c r="F461" s="5"/>
      <c r="G461" s="6" t="str">
        <f>IF(AND($A461&lt;&gt;"",$B461&lt;&gt;"",$C461&lt;&gt;"",$D461&lt;&gt;""),IF(OR($B461="SER",$B461="PLH",$B461="CSF"),"Control CDI Plate "&amp;(INT(((COUNTIFS($B$2:$B461,"SER")+COUNTIFS($B$2:$B461,"PLH")+COUNTIFS($B$2:$B461,"CSF"))-1)/96)+1)&amp;": "&amp;CHAR(65+INT(MOD((COUNTIFS($B$2:$B461,"SER")+COUNTIFS($B$2:$B461,"PLH")+COUNTIFS($B$2:$B461,"CSF"))-1,96)/12))&amp;(MOD((COUNTIFS($B$2:$B461,"SER")+COUNTIFS($B$2:$B461,"PLH")+COUNTIFS($B$2:$B461,"CSF"))-1,12)+1),"N/A"),"")</f>
        <v/>
      </c>
      <c r="H461" s="6" t="str">
        <f>IF(AND($A461&lt;&gt;"",$B461&lt;&gt;"",$C461&lt;&gt;"",$D461&lt;&gt;""),IF(OR($B461="SER",$B461="PLH",$B461="CSF"),"Control NIH Plate "&amp;(INT(((COUNTIFS($B$2:$B461,"SER")+COUNTIFS($B$2:$B461,"PLH")+COUNTIFS($B$2:$B461,"CSF"))-1)/96)+1)&amp;": "&amp;CHAR(65+INT(MOD((COUNTIFS($B$2:$B461,"SER")+COUNTIFS($B$2:$B461,"PLH")+COUNTIFS($B$2:$B461,"CSF"))-1,96)/12))&amp;(MOD((COUNTIFS($B$2:$B461,"SER")+COUNTIFS($B$2:$B461,"PLH")+COUNTIFS($B$2:$B461,"CSF"))-1,12)+1),"N/A"),"")</f>
        <v/>
      </c>
      <c r="I461" s="6" t="str">
        <f>IF(AND($A461&lt;&gt;"",$B461&lt;&gt;"",$C461&lt;&gt;"",$D461&lt;&gt;""),IF(OR($B461="SER",$B461="PLH"),"Control MAX Planck Plate "&amp;(INT(((COUNTIFS($B$2:$B461,"SER")+COUNTIFS($B$2:$B461,"PLH"))-1)/96)+1)&amp;": "&amp;CHAR(65+INT(MOD((COUNTIFS($B$2:$B461,"SER")+COUNTIFS($B$2:$B461,"PLH"))-1,96)/12))&amp;(MOD((COUNTIFS($B$2:$B461,"SER")+COUNTIFS($B$2:$B461,"PLH"))-1,12)+1),"N/A"),"")</f>
        <v/>
      </c>
      <c r="J461" s="6" t="str">
        <f>IF(AND($A461&lt;&gt;"",$B461&lt;&gt;"",$C461&lt;&gt;"",$D461&lt;&gt;""),IF($B461="WB","Control WB Box "&amp;(INT((COUNTIFS($B$2:$B461,"WB")-1)/81)+1)&amp;": "&amp;CHAR(65+INT(MOD(COUNTIFS($B$2:$B461,"WB")-1,81)/9))&amp;(MOD(COUNTIFS($B$2:$B461,"WB")-1,9)+1),"N/A"),"")</f>
        <v/>
      </c>
      <c r="K461" s="3" t="str">
        <f t="shared" si="127"/>
        <v/>
      </c>
      <c r="L461" s="2"/>
      <c r="M461" s="2"/>
      <c r="N461" s="2"/>
      <c r="O461" s="7" t="str">
        <f t="shared" si="128"/>
        <v/>
      </c>
      <c r="P461" s="7" t="str">
        <f t="shared" si="129"/>
        <v/>
      </c>
      <c r="Q461" s="7" t="str">
        <f t="shared" si="130"/>
        <v/>
      </c>
      <c r="R461" s="7" t="str">
        <f t="shared" si="131"/>
        <v/>
      </c>
      <c r="S461" s="7" t="str">
        <f t="shared" si="132"/>
        <v/>
      </c>
      <c r="T461" s="7" t="str">
        <f t="shared" si="133"/>
        <v/>
      </c>
      <c r="U461" s="7" t="str">
        <f t="shared" si="134"/>
        <v/>
      </c>
      <c r="V461" s="7" t="str">
        <f t="shared" si="135"/>
        <v/>
      </c>
      <c r="W461" s="7" t="str">
        <f t="shared" si="136"/>
        <v/>
      </c>
      <c r="X461" s="7" t="str">
        <f t="shared" si="137"/>
        <v/>
      </c>
      <c r="Y461">
        <f t="shared" si="138"/>
        <v>0</v>
      </c>
      <c r="Z461" t="str">
        <f t="shared" si="139"/>
        <v/>
      </c>
      <c r="AA461" t="str">
        <f t="shared" si="140"/>
        <v/>
      </c>
      <c r="AB461" t="str">
        <f t="shared" si="141"/>
        <v/>
      </c>
      <c r="AC461" t="str">
        <f t="shared" si="142"/>
        <v/>
      </c>
      <c r="AD461">
        <f t="shared" si="143"/>
        <v>0</v>
      </c>
    </row>
    <row r="462" spans="1:30" ht="15" customHeight="1" x14ac:dyDescent="0.35">
      <c r="A462" s="2"/>
      <c r="B462" s="3"/>
      <c r="C462" s="4"/>
      <c r="D462" s="5"/>
      <c r="E462" s="11" t="str">
        <f t="shared" ca="1" si="126"/>
        <v/>
      </c>
      <c r="F462" s="5"/>
      <c r="G462" s="6" t="str">
        <f>IF(AND($A462&lt;&gt;"",$B462&lt;&gt;"",$C462&lt;&gt;"",$D462&lt;&gt;""),IF(OR($B462="SER",$B462="PLH",$B462="CSF"),"Control CDI Plate "&amp;(INT(((COUNTIFS($B$2:$B462,"SER")+COUNTIFS($B$2:$B462,"PLH")+COUNTIFS($B$2:$B462,"CSF"))-1)/96)+1)&amp;": "&amp;CHAR(65+INT(MOD((COUNTIFS($B$2:$B462,"SER")+COUNTIFS($B$2:$B462,"PLH")+COUNTIFS($B$2:$B462,"CSF"))-1,96)/12))&amp;(MOD((COUNTIFS($B$2:$B462,"SER")+COUNTIFS($B$2:$B462,"PLH")+COUNTIFS($B$2:$B462,"CSF"))-1,12)+1),"N/A"),"")</f>
        <v/>
      </c>
      <c r="H462" s="6" t="str">
        <f>IF(AND($A462&lt;&gt;"",$B462&lt;&gt;"",$C462&lt;&gt;"",$D462&lt;&gt;""),IF(OR($B462="SER",$B462="PLH",$B462="CSF"),"Control NIH Plate "&amp;(INT(((COUNTIFS($B$2:$B462,"SER")+COUNTIFS($B$2:$B462,"PLH")+COUNTIFS($B$2:$B462,"CSF"))-1)/96)+1)&amp;": "&amp;CHAR(65+INT(MOD((COUNTIFS($B$2:$B462,"SER")+COUNTIFS($B$2:$B462,"PLH")+COUNTIFS($B$2:$B462,"CSF"))-1,96)/12))&amp;(MOD((COUNTIFS($B$2:$B462,"SER")+COUNTIFS($B$2:$B462,"PLH")+COUNTIFS($B$2:$B462,"CSF"))-1,12)+1),"N/A"),"")</f>
        <v/>
      </c>
      <c r="I462" s="6" t="str">
        <f>IF(AND($A462&lt;&gt;"",$B462&lt;&gt;"",$C462&lt;&gt;"",$D462&lt;&gt;""),IF(OR($B462="SER",$B462="PLH"),"Control MAX Planck Plate "&amp;(INT(((COUNTIFS($B$2:$B462,"SER")+COUNTIFS($B$2:$B462,"PLH"))-1)/96)+1)&amp;": "&amp;CHAR(65+INT(MOD((COUNTIFS($B$2:$B462,"SER")+COUNTIFS($B$2:$B462,"PLH"))-1,96)/12))&amp;(MOD((COUNTIFS($B$2:$B462,"SER")+COUNTIFS($B$2:$B462,"PLH"))-1,12)+1),"N/A"),"")</f>
        <v/>
      </c>
      <c r="J462" s="6" t="str">
        <f>IF(AND($A462&lt;&gt;"",$B462&lt;&gt;"",$C462&lt;&gt;"",$D462&lt;&gt;""),IF($B462="WB","Control WB Box "&amp;(INT((COUNTIFS($B$2:$B462,"WB")-1)/81)+1)&amp;": "&amp;CHAR(65+INT(MOD(COUNTIFS($B$2:$B462,"WB")-1,81)/9))&amp;(MOD(COUNTIFS($B$2:$B462,"WB")-1,9)+1),"N/A"),"")</f>
        <v/>
      </c>
      <c r="K462" s="3" t="str">
        <f t="shared" si="127"/>
        <v/>
      </c>
      <c r="L462" s="2"/>
      <c r="M462" s="2"/>
      <c r="N462" s="2"/>
      <c r="O462" s="7" t="str">
        <f t="shared" si="128"/>
        <v/>
      </c>
      <c r="P462" s="7" t="str">
        <f t="shared" si="129"/>
        <v/>
      </c>
      <c r="Q462" s="7" t="str">
        <f t="shared" si="130"/>
        <v/>
      </c>
      <c r="R462" s="7" t="str">
        <f t="shared" si="131"/>
        <v/>
      </c>
      <c r="S462" s="7" t="str">
        <f t="shared" si="132"/>
        <v/>
      </c>
      <c r="T462" s="7" t="str">
        <f t="shared" si="133"/>
        <v/>
      </c>
      <c r="U462" s="7" t="str">
        <f t="shared" si="134"/>
        <v/>
      </c>
      <c r="V462" s="7" t="str">
        <f t="shared" si="135"/>
        <v/>
      </c>
      <c r="W462" s="7" t="str">
        <f t="shared" si="136"/>
        <v/>
      </c>
      <c r="X462" s="7" t="str">
        <f t="shared" si="137"/>
        <v/>
      </c>
      <c r="Y462">
        <f t="shared" si="138"/>
        <v>0</v>
      </c>
      <c r="Z462" t="str">
        <f t="shared" si="139"/>
        <v/>
      </c>
      <c r="AA462" t="str">
        <f t="shared" si="140"/>
        <v/>
      </c>
      <c r="AB462" t="str">
        <f t="shared" si="141"/>
        <v/>
      </c>
      <c r="AC462" t="str">
        <f t="shared" si="142"/>
        <v/>
      </c>
      <c r="AD462">
        <f t="shared" si="143"/>
        <v>0</v>
      </c>
    </row>
    <row r="463" spans="1:30" ht="15" customHeight="1" x14ac:dyDescent="0.35">
      <c r="A463" s="2"/>
      <c r="B463" s="3"/>
      <c r="C463" s="4"/>
      <c r="D463" s="5"/>
      <c r="E463" s="11" t="str">
        <f t="shared" ca="1" si="126"/>
        <v/>
      </c>
      <c r="F463" s="5"/>
      <c r="G463" s="6" t="str">
        <f>IF(AND($A463&lt;&gt;"",$B463&lt;&gt;"",$C463&lt;&gt;"",$D463&lt;&gt;""),IF(OR($B463="SER",$B463="PLH",$B463="CSF"),"Control CDI Plate "&amp;(INT(((COUNTIFS($B$2:$B463,"SER")+COUNTIFS($B$2:$B463,"PLH")+COUNTIFS($B$2:$B463,"CSF"))-1)/96)+1)&amp;": "&amp;CHAR(65+INT(MOD((COUNTIFS($B$2:$B463,"SER")+COUNTIFS($B$2:$B463,"PLH")+COUNTIFS($B$2:$B463,"CSF"))-1,96)/12))&amp;(MOD((COUNTIFS($B$2:$B463,"SER")+COUNTIFS($B$2:$B463,"PLH")+COUNTIFS($B$2:$B463,"CSF"))-1,12)+1),"N/A"),"")</f>
        <v/>
      </c>
      <c r="H463" s="6" t="str">
        <f>IF(AND($A463&lt;&gt;"",$B463&lt;&gt;"",$C463&lt;&gt;"",$D463&lt;&gt;""),IF(OR($B463="SER",$B463="PLH",$B463="CSF"),"Control NIH Plate "&amp;(INT(((COUNTIFS($B$2:$B463,"SER")+COUNTIFS($B$2:$B463,"PLH")+COUNTIFS($B$2:$B463,"CSF"))-1)/96)+1)&amp;": "&amp;CHAR(65+INT(MOD((COUNTIFS($B$2:$B463,"SER")+COUNTIFS($B$2:$B463,"PLH")+COUNTIFS($B$2:$B463,"CSF"))-1,96)/12))&amp;(MOD((COUNTIFS($B$2:$B463,"SER")+COUNTIFS($B$2:$B463,"PLH")+COUNTIFS($B$2:$B463,"CSF"))-1,12)+1),"N/A"),"")</f>
        <v/>
      </c>
      <c r="I463" s="6" t="str">
        <f>IF(AND($A463&lt;&gt;"",$B463&lt;&gt;"",$C463&lt;&gt;"",$D463&lt;&gt;""),IF(OR($B463="SER",$B463="PLH"),"Control MAX Planck Plate "&amp;(INT(((COUNTIFS($B$2:$B463,"SER")+COUNTIFS($B$2:$B463,"PLH"))-1)/96)+1)&amp;": "&amp;CHAR(65+INT(MOD((COUNTIFS($B$2:$B463,"SER")+COUNTIFS($B$2:$B463,"PLH"))-1,96)/12))&amp;(MOD((COUNTIFS($B$2:$B463,"SER")+COUNTIFS($B$2:$B463,"PLH"))-1,12)+1),"N/A"),"")</f>
        <v/>
      </c>
      <c r="J463" s="6" t="str">
        <f>IF(AND($A463&lt;&gt;"",$B463&lt;&gt;"",$C463&lt;&gt;"",$D463&lt;&gt;""),IF($B463="WB","Control WB Box "&amp;(INT((COUNTIFS($B$2:$B463,"WB")-1)/81)+1)&amp;": "&amp;CHAR(65+INT(MOD(COUNTIFS($B$2:$B463,"WB")-1,81)/9))&amp;(MOD(COUNTIFS($B$2:$B463,"WB")-1,9)+1),"N/A"),"")</f>
        <v/>
      </c>
      <c r="K463" s="3" t="str">
        <f t="shared" si="127"/>
        <v/>
      </c>
      <c r="L463" s="2"/>
      <c r="M463" s="2"/>
      <c r="N463" s="2"/>
      <c r="O463" s="7" t="str">
        <f t="shared" si="128"/>
        <v/>
      </c>
      <c r="P463" s="7" t="str">
        <f t="shared" si="129"/>
        <v/>
      </c>
      <c r="Q463" s="7" t="str">
        <f t="shared" si="130"/>
        <v/>
      </c>
      <c r="R463" s="7" t="str">
        <f t="shared" si="131"/>
        <v/>
      </c>
      <c r="S463" s="7" t="str">
        <f t="shared" si="132"/>
        <v/>
      </c>
      <c r="T463" s="7" t="str">
        <f t="shared" si="133"/>
        <v/>
      </c>
      <c r="U463" s="7" t="str">
        <f t="shared" si="134"/>
        <v/>
      </c>
      <c r="V463" s="7" t="str">
        <f t="shared" si="135"/>
        <v/>
      </c>
      <c r="W463" s="7" t="str">
        <f t="shared" si="136"/>
        <v/>
      </c>
      <c r="X463" s="7" t="str">
        <f t="shared" si="137"/>
        <v/>
      </c>
      <c r="Y463">
        <f t="shared" si="138"/>
        <v>0</v>
      </c>
      <c r="Z463" t="str">
        <f t="shared" si="139"/>
        <v/>
      </c>
      <c r="AA463" t="str">
        <f t="shared" si="140"/>
        <v/>
      </c>
      <c r="AB463" t="str">
        <f t="shared" si="141"/>
        <v/>
      </c>
      <c r="AC463" t="str">
        <f t="shared" si="142"/>
        <v/>
      </c>
      <c r="AD463">
        <f t="shared" si="143"/>
        <v>0</v>
      </c>
    </row>
    <row r="464" spans="1:30" ht="15" customHeight="1" x14ac:dyDescent="0.35">
      <c r="A464" s="2"/>
      <c r="B464" s="3"/>
      <c r="C464" s="4"/>
      <c r="D464" s="5"/>
      <c r="E464" s="11" t="str">
        <f t="shared" ca="1" si="126"/>
        <v/>
      </c>
      <c r="F464" s="5"/>
      <c r="G464" s="6" t="str">
        <f>IF(AND($A464&lt;&gt;"",$B464&lt;&gt;"",$C464&lt;&gt;"",$D464&lt;&gt;""),IF(OR($B464="SER",$B464="PLH",$B464="CSF"),"Control CDI Plate "&amp;(INT(((COUNTIFS($B$2:$B464,"SER")+COUNTIFS($B$2:$B464,"PLH")+COUNTIFS($B$2:$B464,"CSF"))-1)/96)+1)&amp;": "&amp;CHAR(65+INT(MOD((COUNTIFS($B$2:$B464,"SER")+COUNTIFS($B$2:$B464,"PLH")+COUNTIFS($B$2:$B464,"CSF"))-1,96)/12))&amp;(MOD((COUNTIFS($B$2:$B464,"SER")+COUNTIFS($B$2:$B464,"PLH")+COUNTIFS($B$2:$B464,"CSF"))-1,12)+1),"N/A"),"")</f>
        <v/>
      </c>
      <c r="H464" s="6" t="str">
        <f>IF(AND($A464&lt;&gt;"",$B464&lt;&gt;"",$C464&lt;&gt;"",$D464&lt;&gt;""),IF(OR($B464="SER",$B464="PLH",$B464="CSF"),"Control NIH Plate "&amp;(INT(((COUNTIFS($B$2:$B464,"SER")+COUNTIFS($B$2:$B464,"PLH")+COUNTIFS($B$2:$B464,"CSF"))-1)/96)+1)&amp;": "&amp;CHAR(65+INT(MOD((COUNTIFS($B$2:$B464,"SER")+COUNTIFS($B$2:$B464,"PLH")+COUNTIFS($B$2:$B464,"CSF"))-1,96)/12))&amp;(MOD((COUNTIFS($B$2:$B464,"SER")+COUNTIFS($B$2:$B464,"PLH")+COUNTIFS($B$2:$B464,"CSF"))-1,12)+1),"N/A"),"")</f>
        <v/>
      </c>
      <c r="I464" s="6" t="str">
        <f>IF(AND($A464&lt;&gt;"",$B464&lt;&gt;"",$C464&lt;&gt;"",$D464&lt;&gt;""),IF(OR($B464="SER",$B464="PLH"),"Control MAX Planck Plate "&amp;(INT(((COUNTIFS($B$2:$B464,"SER")+COUNTIFS($B$2:$B464,"PLH"))-1)/96)+1)&amp;": "&amp;CHAR(65+INT(MOD((COUNTIFS($B$2:$B464,"SER")+COUNTIFS($B$2:$B464,"PLH"))-1,96)/12))&amp;(MOD((COUNTIFS($B$2:$B464,"SER")+COUNTIFS($B$2:$B464,"PLH"))-1,12)+1),"N/A"),"")</f>
        <v/>
      </c>
      <c r="J464" s="6" t="str">
        <f>IF(AND($A464&lt;&gt;"",$B464&lt;&gt;"",$C464&lt;&gt;"",$D464&lt;&gt;""),IF($B464="WB","Control WB Box "&amp;(INT((COUNTIFS($B$2:$B464,"WB")-1)/81)+1)&amp;": "&amp;CHAR(65+INT(MOD(COUNTIFS($B$2:$B464,"WB")-1,81)/9))&amp;(MOD(COUNTIFS($B$2:$B464,"WB")-1,9)+1),"N/A"),"")</f>
        <v/>
      </c>
      <c r="K464" s="3" t="str">
        <f t="shared" si="127"/>
        <v/>
      </c>
      <c r="L464" s="2"/>
      <c r="M464" s="2"/>
      <c r="N464" s="2"/>
      <c r="O464" s="7" t="str">
        <f t="shared" si="128"/>
        <v/>
      </c>
      <c r="P464" s="7" t="str">
        <f t="shared" si="129"/>
        <v/>
      </c>
      <c r="Q464" s="7" t="str">
        <f t="shared" si="130"/>
        <v/>
      </c>
      <c r="R464" s="7" t="str">
        <f t="shared" si="131"/>
        <v/>
      </c>
      <c r="S464" s="7" t="str">
        <f t="shared" si="132"/>
        <v/>
      </c>
      <c r="T464" s="7" t="str">
        <f t="shared" si="133"/>
        <v/>
      </c>
      <c r="U464" s="7" t="str">
        <f t="shared" si="134"/>
        <v/>
      </c>
      <c r="V464" s="7" t="str">
        <f t="shared" si="135"/>
        <v/>
      </c>
      <c r="W464" s="7" t="str">
        <f t="shared" si="136"/>
        <v/>
      </c>
      <c r="X464" s="7" t="str">
        <f t="shared" si="137"/>
        <v/>
      </c>
      <c r="Y464">
        <f t="shared" si="138"/>
        <v>0</v>
      </c>
      <c r="Z464" t="str">
        <f t="shared" si="139"/>
        <v/>
      </c>
      <c r="AA464" t="str">
        <f t="shared" si="140"/>
        <v/>
      </c>
      <c r="AB464" t="str">
        <f t="shared" si="141"/>
        <v/>
      </c>
      <c r="AC464" t="str">
        <f t="shared" si="142"/>
        <v/>
      </c>
      <c r="AD464">
        <f t="shared" si="143"/>
        <v>0</v>
      </c>
    </row>
    <row r="465" spans="1:30" ht="15" customHeight="1" x14ac:dyDescent="0.35">
      <c r="A465" s="2"/>
      <c r="B465" s="3"/>
      <c r="C465" s="4"/>
      <c r="D465" s="5"/>
      <c r="E465" s="11" t="str">
        <f t="shared" ca="1" si="126"/>
        <v/>
      </c>
      <c r="F465" s="5"/>
      <c r="G465" s="6" t="str">
        <f>IF(AND($A465&lt;&gt;"",$B465&lt;&gt;"",$C465&lt;&gt;"",$D465&lt;&gt;""),IF(OR($B465="SER",$B465="PLH",$B465="CSF"),"Control CDI Plate "&amp;(INT(((COUNTIFS($B$2:$B465,"SER")+COUNTIFS($B$2:$B465,"PLH")+COUNTIFS($B$2:$B465,"CSF"))-1)/96)+1)&amp;": "&amp;CHAR(65+INT(MOD((COUNTIFS($B$2:$B465,"SER")+COUNTIFS($B$2:$B465,"PLH")+COUNTIFS($B$2:$B465,"CSF"))-1,96)/12))&amp;(MOD((COUNTIFS($B$2:$B465,"SER")+COUNTIFS($B$2:$B465,"PLH")+COUNTIFS($B$2:$B465,"CSF"))-1,12)+1),"N/A"),"")</f>
        <v/>
      </c>
      <c r="H465" s="6" t="str">
        <f>IF(AND($A465&lt;&gt;"",$B465&lt;&gt;"",$C465&lt;&gt;"",$D465&lt;&gt;""),IF(OR($B465="SER",$B465="PLH",$B465="CSF"),"Control NIH Plate "&amp;(INT(((COUNTIFS($B$2:$B465,"SER")+COUNTIFS($B$2:$B465,"PLH")+COUNTIFS($B$2:$B465,"CSF"))-1)/96)+1)&amp;": "&amp;CHAR(65+INT(MOD((COUNTIFS($B$2:$B465,"SER")+COUNTIFS($B$2:$B465,"PLH")+COUNTIFS($B$2:$B465,"CSF"))-1,96)/12))&amp;(MOD((COUNTIFS($B$2:$B465,"SER")+COUNTIFS($B$2:$B465,"PLH")+COUNTIFS($B$2:$B465,"CSF"))-1,12)+1),"N/A"),"")</f>
        <v/>
      </c>
      <c r="I465" s="6" t="str">
        <f>IF(AND($A465&lt;&gt;"",$B465&lt;&gt;"",$C465&lt;&gt;"",$D465&lt;&gt;""),IF(OR($B465="SER",$B465="PLH"),"Control MAX Planck Plate "&amp;(INT(((COUNTIFS($B$2:$B465,"SER")+COUNTIFS($B$2:$B465,"PLH"))-1)/96)+1)&amp;": "&amp;CHAR(65+INT(MOD((COUNTIFS($B$2:$B465,"SER")+COUNTIFS($B$2:$B465,"PLH"))-1,96)/12))&amp;(MOD((COUNTIFS($B$2:$B465,"SER")+COUNTIFS($B$2:$B465,"PLH"))-1,12)+1),"N/A"),"")</f>
        <v/>
      </c>
      <c r="J465" s="6" t="str">
        <f>IF(AND($A465&lt;&gt;"",$B465&lt;&gt;"",$C465&lt;&gt;"",$D465&lt;&gt;""),IF($B465="WB","Control WB Box "&amp;(INT((COUNTIFS($B$2:$B465,"WB")-1)/81)+1)&amp;": "&amp;CHAR(65+INT(MOD(COUNTIFS($B$2:$B465,"WB")-1,81)/9))&amp;(MOD(COUNTIFS($B$2:$B465,"WB")-1,9)+1),"N/A"),"")</f>
        <v/>
      </c>
      <c r="K465" s="3" t="str">
        <f t="shared" si="127"/>
        <v/>
      </c>
      <c r="L465" s="2"/>
      <c r="M465" s="2"/>
      <c r="N465" s="2"/>
      <c r="O465" s="7" t="str">
        <f t="shared" si="128"/>
        <v/>
      </c>
      <c r="P465" s="7" t="str">
        <f t="shared" si="129"/>
        <v/>
      </c>
      <c r="Q465" s="7" t="str">
        <f t="shared" si="130"/>
        <v/>
      </c>
      <c r="R465" s="7" t="str">
        <f t="shared" si="131"/>
        <v/>
      </c>
      <c r="S465" s="7" t="str">
        <f t="shared" si="132"/>
        <v/>
      </c>
      <c r="T465" s="7" t="str">
        <f t="shared" si="133"/>
        <v/>
      </c>
      <c r="U465" s="7" t="str">
        <f t="shared" si="134"/>
        <v/>
      </c>
      <c r="V465" s="7" t="str">
        <f t="shared" si="135"/>
        <v/>
      </c>
      <c r="W465" s="7" t="str">
        <f t="shared" si="136"/>
        <v/>
      </c>
      <c r="X465" s="7" t="str">
        <f t="shared" si="137"/>
        <v/>
      </c>
      <c r="Y465">
        <f t="shared" si="138"/>
        <v>0</v>
      </c>
      <c r="Z465" t="str">
        <f t="shared" si="139"/>
        <v/>
      </c>
      <c r="AA465" t="str">
        <f t="shared" si="140"/>
        <v/>
      </c>
      <c r="AB465" t="str">
        <f t="shared" si="141"/>
        <v/>
      </c>
      <c r="AC465" t="str">
        <f t="shared" si="142"/>
        <v/>
      </c>
      <c r="AD465">
        <f t="shared" si="143"/>
        <v>0</v>
      </c>
    </row>
    <row r="466" spans="1:30" ht="15" customHeight="1" x14ac:dyDescent="0.35">
      <c r="A466" s="2"/>
      <c r="B466" s="3"/>
      <c r="C466" s="4"/>
      <c r="D466" s="5"/>
      <c r="E466" s="11" t="str">
        <f t="shared" ca="1" si="126"/>
        <v/>
      </c>
      <c r="F466" s="5"/>
      <c r="G466" s="6" t="str">
        <f>IF(AND($A466&lt;&gt;"",$B466&lt;&gt;"",$C466&lt;&gt;"",$D466&lt;&gt;""),IF(OR($B466="SER",$B466="PLH",$B466="CSF"),"Control CDI Plate "&amp;(INT(((COUNTIFS($B$2:$B466,"SER")+COUNTIFS($B$2:$B466,"PLH")+COUNTIFS($B$2:$B466,"CSF"))-1)/96)+1)&amp;": "&amp;CHAR(65+INT(MOD((COUNTIFS($B$2:$B466,"SER")+COUNTIFS($B$2:$B466,"PLH")+COUNTIFS($B$2:$B466,"CSF"))-1,96)/12))&amp;(MOD((COUNTIFS($B$2:$B466,"SER")+COUNTIFS($B$2:$B466,"PLH")+COUNTIFS($B$2:$B466,"CSF"))-1,12)+1),"N/A"),"")</f>
        <v/>
      </c>
      <c r="H466" s="6" t="str">
        <f>IF(AND($A466&lt;&gt;"",$B466&lt;&gt;"",$C466&lt;&gt;"",$D466&lt;&gt;""),IF(OR($B466="SER",$B466="PLH",$B466="CSF"),"Control NIH Plate "&amp;(INT(((COUNTIFS($B$2:$B466,"SER")+COUNTIFS($B$2:$B466,"PLH")+COUNTIFS($B$2:$B466,"CSF"))-1)/96)+1)&amp;": "&amp;CHAR(65+INT(MOD((COUNTIFS($B$2:$B466,"SER")+COUNTIFS($B$2:$B466,"PLH")+COUNTIFS($B$2:$B466,"CSF"))-1,96)/12))&amp;(MOD((COUNTIFS($B$2:$B466,"SER")+COUNTIFS($B$2:$B466,"PLH")+COUNTIFS($B$2:$B466,"CSF"))-1,12)+1),"N/A"),"")</f>
        <v/>
      </c>
      <c r="I466" s="6" t="str">
        <f>IF(AND($A466&lt;&gt;"",$B466&lt;&gt;"",$C466&lt;&gt;"",$D466&lt;&gt;""),IF(OR($B466="SER",$B466="PLH"),"Control MAX Planck Plate "&amp;(INT(((COUNTIFS($B$2:$B466,"SER")+COUNTIFS($B$2:$B466,"PLH"))-1)/96)+1)&amp;": "&amp;CHAR(65+INT(MOD((COUNTIFS($B$2:$B466,"SER")+COUNTIFS($B$2:$B466,"PLH"))-1,96)/12))&amp;(MOD((COUNTIFS($B$2:$B466,"SER")+COUNTIFS($B$2:$B466,"PLH"))-1,12)+1),"N/A"),"")</f>
        <v/>
      </c>
      <c r="J466" s="6" t="str">
        <f>IF(AND($A466&lt;&gt;"",$B466&lt;&gt;"",$C466&lt;&gt;"",$D466&lt;&gt;""),IF($B466="WB","Control WB Box "&amp;(INT((COUNTIFS($B$2:$B466,"WB")-1)/81)+1)&amp;": "&amp;CHAR(65+INT(MOD(COUNTIFS($B$2:$B466,"WB")-1,81)/9))&amp;(MOD(COUNTIFS($B$2:$B466,"WB")-1,9)+1),"N/A"),"")</f>
        <v/>
      </c>
      <c r="K466" s="3" t="str">
        <f t="shared" si="127"/>
        <v/>
      </c>
      <c r="L466" s="2"/>
      <c r="M466" s="2"/>
      <c r="N466" s="2"/>
      <c r="O466" s="7" t="str">
        <f t="shared" si="128"/>
        <v/>
      </c>
      <c r="P466" s="7" t="str">
        <f t="shared" si="129"/>
        <v/>
      </c>
      <c r="Q466" s="7" t="str">
        <f t="shared" si="130"/>
        <v/>
      </c>
      <c r="R466" s="7" t="str">
        <f t="shared" si="131"/>
        <v/>
      </c>
      <c r="S466" s="7" t="str">
        <f t="shared" si="132"/>
        <v/>
      </c>
      <c r="T466" s="7" t="str">
        <f t="shared" si="133"/>
        <v/>
      </c>
      <c r="U466" s="7" t="str">
        <f t="shared" si="134"/>
        <v/>
      </c>
      <c r="V466" s="7" t="str">
        <f t="shared" si="135"/>
        <v/>
      </c>
      <c r="W466" s="7" t="str">
        <f t="shared" si="136"/>
        <v/>
      </c>
      <c r="X466" s="7" t="str">
        <f t="shared" si="137"/>
        <v/>
      </c>
      <c r="Y466">
        <f t="shared" si="138"/>
        <v>0</v>
      </c>
      <c r="Z466" t="str">
        <f t="shared" si="139"/>
        <v/>
      </c>
      <c r="AA466" t="str">
        <f t="shared" si="140"/>
        <v/>
      </c>
      <c r="AB466" t="str">
        <f t="shared" si="141"/>
        <v/>
      </c>
      <c r="AC466" t="str">
        <f t="shared" si="142"/>
        <v/>
      </c>
      <c r="AD466">
        <f t="shared" si="143"/>
        <v>0</v>
      </c>
    </row>
    <row r="467" spans="1:30" ht="15" customHeight="1" x14ac:dyDescent="0.35">
      <c r="A467" s="2"/>
      <c r="B467" s="3"/>
      <c r="C467" s="4"/>
      <c r="D467" s="5"/>
      <c r="E467" s="11" t="str">
        <f t="shared" ca="1" si="126"/>
        <v/>
      </c>
      <c r="F467" s="5"/>
      <c r="G467" s="6" t="str">
        <f>IF(AND($A467&lt;&gt;"",$B467&lt;&gt;"",$C467&lt;&gt;"",$D467&lt;&gt;""),IF(OR($B467="SER",$B467="PLH",$B467="CSF"),"Control CDI Plate "&amp;(INT(((COUNTIFS($B$2:$B467,"SER")+COUNTIFS($B$2:$B467,"PLH")+COUNTIFS($B$2:$B467,"CSF"))-1)/96)+1)&amp;": "&amp;CHAR(65+INT(MOD((COUNTIFS($B$2:$B467,"SER")+COUNTIFS($B$2:$B467,"PLH")+COUNTIFS($B$2:$B467,"CSF"))-1,96)/12))&amp;(MOD((COUNTIFS($B$2:$B467,"SER")+COUNTIFS($B$2:$B467,"PLH")+COUNTIFS($B$2:$B467,"CSF"))-1,12)+1),"N/A"),"")</f>
        <v/>
      </c>
      <c r="H467" s="6" t="str">
        <f>IF(AND($A467&lt;&gt;"",$B467&lt;&gt;"",$C467&lt;&gt;"",$D467&lt;&gt;""),IF(OR($B467="SER",$B467="PLH",$B467="CSF"),"Control NIH Plate "&amp;(INT(((COUNTIFS($B$2:$B467,"SER")+COUNTIFS($B$2:$B467,"PLH")+COUNTIFS($B$2:$B467,"CSF"))-1)/96)+1)&amp;": "&amp;CHAR(65+INT(MOD((COUNTIFS($B$2:$B467,"SER")+COUNTIFS($B$2:$B467,"PLH")+COUNTIFS($B$2:$B467,"CSF"))-1,96)/12))&amp;(MOD((COUNTIFS($B$2:$B467,"SER")+COUNTIFS($B$2:$B467,"PLH")+COUNTIFS($B$2:$B467,"CSF"))-1,12)+1),"N/A"),"")</f>
        <v/>
      </c>
      <c r="I467" s="6" t="str">
        <f>IF(AND($A467&lt;&gt;"",$B467&lt;&gt;"",$C467&lt;&gt;"",$D467&lt;&gt;""),IF(OR($B467="SER",$B467="PLH"),"Control MAX Planck Plate "&amp;(INT(((COUNTIFS($B$2:$B467,"SER")+COUNTIFS($B$2:$B467,"PLH"))-1)/96)+1)&amp;": "&amp;CHAR(65+INT(MOD((COUNTIFS($B$2:$B467,"SER")+COUNTIFS($B$2:$B467,"PLH"))-1,96)/12))&amp;(MOD((COUNTIFS($B$2:$B467,"SER")+COUNTIFS($B$2:$B467,"PLH"))-1,12)+1),"N/A"),"")</f>
        <v/>
      </c>
      <c r="J467" s="6" t="str">
        <f>IF(AND($A467&lt;&gt;"",$B467&lt;&gt;"",$C467&lt;&gt;"",$D467&lt;&gt;""),IF($B467="WB","Control WB Box "&amp;(INT((COUNTIFS($B$2:$B467,"WB")-1)/81)+1)&amp;": "&amp;CHAR(65+INT(MOD(COUNTIFS($B$2:$B467,"WB")-1,81)/9))&amp;(MOD(COUNTIFS($B$2:$B467,"WB")-1,9)+1),"N/A"),"")</f>
        <v/>
      </c>
      <c r="K467" s="3" t="str">
        <f t="shared" si="127"/>
        <v/>
      </c>
      <c r="L467" s="2"/>
      <c r="M467" s="2"/>
      <c r="N467" s="2"/>
      <c r="O467" s="7" t="str">
        <f t="shared" si="128"/>
        <v/>
      </c>
      <c r="P467" s="7" t="str">
        <f t="shared" si="129"/>
        <v/>
      </c>
      <c r="Q467" s="7" t="str">
        <f t="shared" si="130"/>
        <v/>
      </c>
      <c r="R467" s="7" t="str">
        <f t="shared" si="131"/>
        <v/>
      </c>
      <c r="S467" s="7" t="str">
        <f t="shared" si="132"/>
        <v/>
      </c>
      <c r="T467" s="7" t="str">
        <f t="shared" si="133"/>
        <v/>
      </c>
      <c r="U467" s="7" t="str">
        <f t="shared" si="134"/>
        <v/>
      </c>
      <c r="V467" s="7" t="str">
        <f t="shared" si="135"/>
        <v/>
      </c>
      <c r="W467" s="7" t="str">
        <f t="shared" si="136"/>
        <v/>
      </c>
      <c r="X467" s="7" t="str">
        <f t="shared" si="137"/>
        <v/>
      </c>
      <c r="Y467">
        <f t="shared" si="138"/>
        <v>0</v>
      </c>
      <c r="Z467" t="str">
        <f t="shared" si="139"/>
        <v/>
      </c>
      <c r="AA467" t="str">
        <f t="shared" si="140"/>
        <v/>
      </c>
      <c r="AB467" t="str">
        <f t="shared" si="141"/>
        <v/>
      </c>
      <c r="AC467" t="str">
        <f t="shared" si="142"/>
        <v/>
      </c>
      <c r="AD467">
        <f t="shared" si="143"/>
        <v>0</v>
      </c>
    </row>
    <row r="468" spans="1:30" ht="15" customHeight="1" x14ac:dyDescent="0.35">
      <c r="A468" s="2"/>
      <c r="B468" s="3"/>
      <c r="C468" s="4"/>
      <c r="D468" s="5"/>
      <c r="E468" s="11" t="str">
        <f t="shared" ca="1" si="126"/>
        <v/>
      </c>
      <c r="F468" s="5"/>
      <c r="G468" s="6" t="str">
        <f>IF(AND($A468&lt;&gt;"",$B468&lt;&gt;"",$C468&lt;&gt;"",$D468&lt;&gt;""),IF(OR($B468="SER",$B468="PLH",$B468="CSF"),"Control CDI Plate "&amp;(INT(((COUNTIFS($B$2:$B468,"SER")+COUNTIFS($B$2:$B468,"PLH")+COUNTIFS($B$2:$B468,"CSF"))-1)/96)+1)&amp;": "&amp;CHAR(65+INT(MOD((COUNTIFS($B$2:$B468,"SER")+COUNTIFS($B$2:$B468,"PLH")+COUNTIFS($B$2:$B468,"CSF"))-1,96)/12))&amp;(MOD((COUNTIFS($B$2:$B468,"SER")+COUNTIFS($B$2:$B468,"PLH")+COUNTIFS($B$2:$B468,"CSF"))-1,12)+1),"N/A"),"")</f>
        <v/>
      </c>
      <c r="H468" s="6" t="str">
        <f>IF(AND($A468&lt;&gt;"",$B468&lt;&gt;"",$C468&lt;&gt;"",$D468&lt;&gt;""),IF(OR($B468="SER",$B468="PLH",$B468="CSF"),"Control NIH Plate "&amp;(INT(((COUNTIFS($B$2:$B468,"SER")+COUNTIFS($B$2:$B468,"PLH")+COUNTIFS($B$2:$B468,"CSF"))-1)/96)+1)&amp;": "&amp;CHAR(65+INT(MOD((COUNTIFS($B$2:$B468,"SER")+COUNTIFS($B$2:$B468,"PLH")+COUNTIFS($B$2:$B468,"CSF"))-1,96)/12))&amp;(MOD((COUNTIFS($B$2:$B468,"SER")+COUNTIFS($B$2:$B468,"PLH")+COUNTIFS($B$2:$B468,"CSF"))-1,12)+1),"N/A"),"")</f>
        <v/>
      </c>
      <c r="I468" s="6" t="str">
        <f>IF(AND($A468&lt;&gt;"",$B468&lt;&gt;"",$C468&lt;&gt;"",$D468&lt;&gt;""),IF(OR($B468="SER",$B468="PLH"),"Control MAX Planck Plate "&amp;(INT(((COUNTIFS($B$2:$B468,"SER")+COUNTIFS($B$2:$B468,"PLH"))-1)/96)+1)&amp;": "&amp;CHAR(65+INT(MOD((COUNTIFS($B$2:$B468,"SER")+COUNTIFS($B$2:$B468,"PLH"))-1,96)/12))&amp;(MOD((COUNTIFS($B$2:$B468,"SER")+COUNTIFS($B$2:$B468,"PLH"))-1,12)+1),"N/A"),"")</f>
        <v/>
      </c>
      <c r="J468" s="6" t="str">
        <f>IF(AND($A468&lt;&gt;"",$B468&lt;&gt;"",$C468&lt;&gt;"",$D468&lt;&gt;""),IF($B468="WB","Control WB Box "&amp;(INT((COUNTIFS($B$2:$B468,"WB")-1)/81)+1)&amp;": "&amp;CHAR(65+INT(MOD(COUNTIFS($B$2:$B468,"WB")-1,81)/9))&amp;(MOD(COUNTIFS($B$2:$B468,"WB")-1,9)+1),"N/A"),"")</f>
        <v/>
      </c>
      <c r="K468" s="3" t="str">
        <f t="shared" si="127"/>
        <v/>
      </c>
      <c r="L468" s="2"/>
      <c r="M468" s="2"/>
      <c r="N468" s="2"/>
      <c r="O468" s="7" t="str">
        <f t="shared" si="128"/>
        <v/>
      </c>
      <c r="P468" s="7" t="str">
        <f t="shared" si="129"/>
        <v/>
      </c>
      <c r="Q468" s="7" t="str">
        <f t="shared" si="130"/>
        <v/>
      </c>
      <c r="R468" s="7" t="str">
        <f t="shared" si="131"/>
        <v/>
      </c>
      <c r="S468" s="7" t="str">
        <f t="shared" si="132"/>
        <v/>
      </c>
      <c r="T468" s="7" t="str">
        <f t="shared" si="133"/>
        <v/>
      </c>
      <c r="U468" s="7" t="str">
        <f t="shared" si="134"/>
        <v/>
      </c>
      <c r="V468" s="7" t="str">
        <f t="shared" si="135"/>
        <v/>
      </c>
      <c r="W468" s="7" t="str">
        <f t="shared" si="136"/>
        <v/>
      </c>
      <c r="X468" s="7" t="str">
        <f t="shared" si="137"/>
        <v/>
      </c>
      <c r="Y468">
        <f t="shared" si="138"/>
        <v>0</v>
      </c>
      <c r="Z468" t="str">
        <f t="shared" si="139"/>
        <v/>
      </c>
      <c r="AA468" t="str">
        <f t="shared" si="140"/>
        <v/>
      </c>
      <c r="AB468" t="str">
        <f t="shared" si="141"/>
        <v/>
      </c>
      <c r="AC468" t="str">
        <f t="shared" si="142"/>
        <v/>
      </c>
      <c r="AD468">
        <f t="shared" si="143"/>
        <v>0</v>
      </c>
    </row>
    <row r="469" spans="1:30" ht="15" customHeight="1" x14ac:dyDescent="0.35">
      <c r="A469" s="2"/>
      <c r="B469" s="3"/>
      <c r="C469" s="4"/>
      <c r="D469" s="5"/>
      <c r="E469" s="11" t="str">
        <f t="shared" ca="1" si="126"/>
        <v/>
      </c>
      <c r="F469" s="5"/>
      <c r="G469" s="6" t="str">
        <f>IF(AND($A469&lt;&gt;"",$B469&lt;&gt;"",$C469&lt;&gt;"",$D469&lt;&gt;""),IF(OR($B469="SER",$B469="PLH",$B469="CSF"),"Control CDI Plate "&amp;(INT(((COUNTIFS($B$2:$B469,"SER")+COUNTIFS($B$2:$B469,"PLH")+COUNTIFS($B$2:$B469,"CSF"))-1)/96)+1)&amp;": "&amp;CHAR(65+INT(MOD((COUNTIFS($B$2:$B469,"SER")+COUNTIFS($B$2:$B469,"PLH")+COUNTIFS($B$2:$B469,"CSF"))-1,96)/12))&amp;(MOD((COUNTIFS($B$2:$B469,"SER")+COUNTIFS($B$2:$B469,"PLH")+COUNTIFS($B$2:$B469,"CSF"))-1,12)+1),"N/A"),"")</f>
        <v/>
      </c>
      <c r="H469" s="6" t="str">
        <f>IF(AND($A469&lt;&gt;"",$B469&lt;&gt;"",$C469&lt;&gt;"",$D469&lt;&gt;""),IF(OR($B469="SER",$B469="PLH",$B469="CSF"),"Control NIH Plate "&amp;(INT(((COUNTIFS($B$2:$B469,"SER")+COUNTIFS($B$2:$B469,"PLH")+COUNTIFS($B$2:$B469,"CSF"))-1)/96)+1)&amp;": "&amp;CHAR(65+INT(MOD((COUNTIFS($B$2:$B469,"SER")+COUNTIFS($B$2:$B469,"PLH")+COUNTIFS($B$2:$B469,"CSF"))-1,96)/12))&amp;(MOD((COUNTIFS($B$2:$B469,"SER")+COUNTIFS($B$2:$B469,"PLH")+COUNTIFS($B$2:$B469,"CSF"))-1,12)+1),"N/A"),"")</f>
        <v/>
      </c>
      <c r="I469" s="6" t="str">
        <f>IF(AND($A469&lt;&gt;"",$B469&lt;&gt;"",$C469&lt;&gt;"",$D469&lt;&gt;""),IF(OR($B469="SER",$B469="PLH"),"Control MAX Planck Plate "&amp;(INT(((COUNTIFS($B$2:$B469,"SER")+COUNTIFS($B$2:$B469,"PLH"))-1)/96)+1)&amp;": "&amp;CHAR(65+INT(MOD((COUNTIFS($B$2:$B469,"SER")+COUNTIFS($B$2:$B469,"PLH"))-1,96)/12))&amp;(MOD((COUNTIFS($B$2:$B469,"SER")+COUNTIFS($B$2:$B469,"PLH"))-1,12)+1),"N/A"),"")</f>
        <v/>
      </c>
      <c r="J469" s="6" t="str">
        <f>IF(AND($A469&lt;&gt;"",$B469&lt;&gt;"",$C469&lt;&gt;"",$D469&lt;&gt;""),IF($B469="WB","Control WB Box "&amp;(INT((COUNTIFS($B$2:$B469,"WB")-1)/81)+1)&amp;": "&amp;CHAR(65+INT(MOD(COUNTIFS($B$2:$B469,"WB")-1,81)/9))&amp;(MOD(COUNTIFS($B$2:$B469,"WB")-1,9)+1),"N/A"),"")</f>
        <v/>
      </c>
      <c r="K469" s="3" t="str">
        <f t="shared" si="127"/>
        <v/>
      </c>
      <c r="L469" s="2"/>
      <c r="M469" s="2"/>
      <c r="N469" s="2"/>
      <c r="O469" s="7" t="str">
        <f t="shared" si="128"/>
        <v/>
      </c>
      <c r="P469" s="7" t="str">
        <f t="shared" si="129"/>
        <v/>
      </c>
      <c r="Q469" s="7" t="str">
        <f t="shared" si="130"/>
        <v/>
      </c>
      <c r="R469" s="7" t="str">
        <f t="shared" si="131"/>
        <v/>
      </c>
      <c r="S469" s="7" t="str">
        <f t="shared" si="132"/>
        <v/>
      </c>
      <c r="T469" s="7" t="str">
        <f t="shared" si="133"/>
        <v/>
      </c>
      <c r="U469" s="7" t="str">
        <f t="shared" si="134"/>
        <v/>
      </c>
      <c r="V469" s="7" t="str">
        <f t="shared" si="135"/>
        <v/>
      </c>
      <c r="W469" s="7" t="str">
        <f t="shared" si="136"/>
        <v/>
      </c>
      <c r="X469" s="7" t="str">
        <f t="shared" si="137"/>
        <v/>
      </c>
      <c r="Y469">
        <f t="shared" si="138"/>
        <v>0</v>
      </c>
      <c r="Z469" t="str">
        <f t="shared" si="139"/>
        <v/>
      </c>
      <c r="AA469" t="str">
        <f t="shared" si="140"/>
        <v/>
      </c>
      <c r="AB469" t="str">
        <f t="shared" si="141"/>
        <v/>
      </c>
      <c r="AC469" t="str">
        <f t="shared" si="142"/>
        <v/>
      </c>
      <c r="AD469">
        <f t="shared" si="143"/>
        <v>0</v>
      </c>
    </row>
    <row r="470" spans="1:30" ht="15" customHeight="1" x14ac:dyDescent="0.35">
      <c r="A470" s="2"/>
      <c r="B470" s="3"/>
      <c r="C470" s="4"/>
      <c r="D470" s="5"/>
      <c r="E470" s="11" t="str">
        <f t="shared" ca="1" si="126"/>
        <v/>
      </c>
      <c r="F470" s="5"/>
      <c r="G470" s="6" t="str">
        <f>IF(AND($A470&lt;&gt;"",$B470&lt;&gt;"",$C470&lt;&gt;"",$D470&lt;&gt;""),IF(OR($B470="SER",$B470="PLH",$B470="CSF"),"Control CDI Plate "&amp;(INT(((COUNTIFS($B$2:$B470,"SER")+COUNTIFS($B$2:$B470,"PLH")+COUNTIFS($B$2:$B470,"CSF"))-1)/96)+1)&amp;": "&amp;CHAR(65+INT(MOD((COUNTIFS($B$2:$B470,"SER")+COUNTIFS($B$2:$B470,"PLH")+COUNTIFS($B$2:$B470,"CSF"))-1,96)/12))&amp;(MOD((COUNTIFS($B$2:$B470,"SER")+COUNTIFS($B$2:$B470,"PLH")+COUNTIFS($B$2:$B470,"CSF"))-1,12)+1),"N/A"),"")</f>
        <v/>
      </c>
      <c r="H470" s="6" t="str">
        <f>IF(AND($A470&lt;&gt;"",$B470&lt;&gt;"",$C470&lt;&gt;"",$D470&lt;&gt;""),IF(OR($B470="SER",$B470="PLH",$B470="CSF"),"Control NIH Plate "&amp;(INT(((COUNTIFS($B$2:$B470,"SER")+COUNTIFS($B$2:$B470,"PLH")+COUNTIFS($B$2:$B470,"CSF"))-1)/96)+1)&amp;": "&amp;CHAR(65+INT(MOD((COUNTIFS($B$2:$B470,"SER")+COUNTIFS($B$2:$B470,"PLH")+COUNTIFS($B$2:$B470,"CSF"))-1,96)/12))&amp;(MOD((COUNTIFS($B$2:$B470,"SER")+COUNTIFS($B$2:$B470,"PLH")+COUNTIFS($B$2:$B470,"CSF"))-1,12)+1),"N/A"),"")</f>
        <v/>
      </c>
      <c r="I470" s="6" t="str">
        <f>IF(AND($A470&lt;&gt;"",$B470&lt;&gt;"",$C470&lt;&gt;"",$D470&lt;&gt;""),IF(OR($B470="SER",$B470="PLH"),"Control MAX Planck Plate "&amp;(INT(((COUNTIFS($B$2:$B470,"SER")+COUNTIFS($B$2:$B470,"PLH"))-1)/96)+1)&amp;": "&amp;CHAR(65+INT(MOD((COUNTIFS($B$2:$B470,"SER")+COUNTIFS($B$2:$B470,"PLH"))-1,96)/12))&amp;(MOD((COUNTIFS($B$2:$B470,"SER")+COUNTIFS($B$2:$B470,"PLH"))-1,12)+1),"N/A"),"")</f>
        <v/>
      </c>
      <c r="J470" s="6" t="str">
        <f>IF(AND($A470&lt;&gt;"",$B470&lt;&gt;"",$C470&lt;&gt;"",$D470&lt;&gt;""),IF($B470="WB","Control WB Box "&amp;(INT((COUNTIFS($B$2:$B470,"WB")-1)/81)+1)&amp;": "&amp;CHAR(65+INT(MOD(COUNTIFS($B$2:$B470,"WB")-1,81)/9))&amp;(MOD(COUNTIFS($B$2:$B470,"WB")-1,9)+1),"N/A"),"")</f>
        <v/>
      </c>
      <c r="K470" s="3" t="str">
        <f t="shared" si="127"/>
        <v/>
      </c>
      <c r="L470" s="2"/>
      <c r="M470" s="2"/>
      <c r="N470" s="2"/>
      <c r="O470" s="7" t="str">
        <f t="shared" si="128"/>
        <v/>
      </c>
      <c r="P470" s="7" t="str">
        <f t="shared" si="129"/>
        <v/>
      </c>
      <c r="Q470" s="7" t="str">
        <f t="shared" si="130"/>
        <v/>
      </c>
      <c r="R470" s="7" t="str">
        <f t="shared" si="131"/>
        <v/>
      </c>
      <c r="S470" s="7" t="str">
        <f t="shared" si="132"/>
        <v/>
      </c>
      <c r="T470" s="7" t="str">
        <f t="shared" si="133"/>
        <v/>
      </c>
      <c r="U470" s="7" t="str">
        <f t="shared" si="134"/>
        <v/>
      </c>
      <c r="V470" s="7" t="str">
        <f t="shared" si="135"/>
        <v/>
      </c>
      <c r="W470" s="7" t="str">
        <f t="shared" si="136"/>
        <v/>
      </c>
      <c r="X470" s="7" t="str">
        <f t="shared" si="137"/>
        <v/>
      </c>
      <c r="Y470">
        <f t="shared" si="138"/>
        <v>0</v>
      </c>
      <c r="Z470" t="str">
        <f t="shared" si="139"/>
        <v/>
      </c>
      <c r="AA470" t="str">
        <f t="shared" si="140"/>
        <v/>
      </c>
      <c r="AB470" t="str">
        <f t="shared" si="141"/>
        <v/>
      </c>
      <c r="AC470" t="str">
        <f t="shared" si="142"/>
        <v/>
      </c>
      <c r="AD470">
        <f t="shared" si="143"/>
        <v>0</v>
      </c>
    </row>
    <row r="471" spans="1:30" ht="15" customHeight="1" x14ac:dyDescent="0.35">
      <c r="A471" s="2"/>
      <c r="B471" s="3"/>
      <c r="C471" s="4"/>
      <c r="D471" s="5"/>
      <c r="E471" s="11" t="str">
        <f t="shared" ca="1" si="126"/>
        <v/>
      </c>
      <c r="F471" s="5"/>
      <c r="G471" s="6" t="str">
        <f>IF(AND($A471&lt;&gt;"",$B471&lt;&gt;"",$C471&lt;&gt;"",$D471&lt;&gt;""),IF(OR($B471="SER",$B471="PLH",$B471="CSF"),"Control CDI Plate "&amp;(INT(((COUNTIFS($B$2:$B471,"SER")+COUNTIFS($B$2:$B471,"PLH")+COUNTIFS($B$2:$B471,"CSF"))-1)/96)+1)&amp;": "&amp;CHAR(65+INT(MOD((COUNTIFS($B$2:$B471,"SER")+COUNTIFS($B$2:$B471,"PLH")+COUNTIFS($B$2:$B471,"CSF"))-1,96)/12))&amp;(MOD((COUNTIFS($B$2:$B471,"SER")+COUNTIFS($B$2:$B471,"PLH")+COUNTIFS($B$2:$B471,"CSF"))-1,12)+1),"N/A"),"")</f>
        <v/>
      </c>
      <c r="H471" s="6" t="str">
        <f>IF(AND($A471&lt;&gt;"",$B471&lt;&gt;"",$C471&lt;&gt;"",$D471&lt;&gt;""),IF(OR($B471="SER",$B471="PLH",$B471="CSF"),"Control NIH Plate "&amp;(INT(((COUNTIFS($B$2:$B471,"SER")+COUNTIFS($B$2:$B471,"PLH")+COUNTIFS($B$2:$B471,"CSF"))-1)/96)+1)&amp;": "&amp;CHAR(65+INT(MOD((COUNTIFS($B$2:$B471,"SER")+COUNTIFS($B$2:$B471,"PLH")+COUNTIFS($B$2:$B471,"CSF"))-1,96)/12))&amp;(MOD((COUNTIFS($B$2:$B471,"SER")+COUNTIFS($B$2:$B471,"PLH")+COUNTIFS($B$2:$B471,"CSF"))-1,12)+1),"N/A"),"")</f>
        <v/>
      </c>
      <c r="I471" s="6" t="str">
        <f>IF(AND($A471&lt;&gt;"",$B471&lt;&gt;"",$C471&lt;&gt;"",$D471&lt;&gt;""),IF(OR($B471="SER",$B471="PLH"),"Control MAX Planck Plate "&amp;(INT(((COUNTIFS($B$2:$B471,"SER")+COUNTIFS($B$2:$B471,"PLH"))-1)/96)+1)&amp;": "&amp;CHAR(65+INT(MOD((COUNTIFS($B$2:$B471,"SER")+COUNTIFS($B$2:$B471,"PLH"))-1,96)/12))&amp;(MOD((COUNTIFS($B$2:$B471,"SER")+COUNTIFS($B$2:$B471,"PLH"))-1,12)+1),"N/A"),"")</f>
        <v/>
      </c>
      <c r="J471" s="6" t="str">
        <f>IF(AND($A471&lt;&gt;"",$B471&lt;&gt;"",$C471&lt;&gt;"",$D471&lt;&gt;""),IF($B471="WB","Control WB Box "&amp;(INT((COUNTIFS($B$2:$B471,"WB")-1)/81)+1)&amp;": "&amp;CHAR(65+INT(MOD(COUNTIFS($B$2:$B471,"WB")-1,81)/9))&amp;(MOD(COUNTIFS($B$2:$B471,"WB")-1,9)+1),"N/A"),"")</f>
        <v/>
      </c>
      <c r="K471" s="3" t="str">
        <f t="shared" si="127"/>
        <v/>
      </c>
      <c r="L471" s="2"/>
      <c r="M471" s="2"/>
      <c r="N471" s="2"/>
      <c r="O471" s="7" t="str">
        <f t="shared" si="128"/>
        <v/>
      </c>
      <c r="P471" s="7" t="str">
        <f t="shared" si="129"/>
        <v/>
      </c>
      <c r="Q471" s="7" t="str">
        <f t="shared" si="130"/>
        <v/>
      </c>
      <c r="R471" s="7" t="str">
        <f t="shared" si="131"/>
        <v/>
      </c>
      <c r="S471" s="7" t="str">
        <f t="shared" si="132"/>
        <v/>
      </c>
      <c r="T471" s="7" t="str">
        <f t="shared" si="133"/>
        <v/>
      </c>
      <c r="U471" s="7" t="str">
        <f t="shared" si="134"/>
        <v/>
      </c>
      <c r="V471" s="7" t="str">
        <f t="shared" si="135"/>
        <v/>
      </c>
      <c r="W471" s="7" t="str">
        <f t="shared" si="136"/>
        <v/>
      </c>
      <c r="X471" s="7" t="str">
        <f t="shared" si="137"/>
        <v/>
      </c>
      <c r="Y471">
        <f t="shared" si="138"/>
        <v>0</v>
      </c>
      <c r="Z471" t="str">
        <f t="shared" si="139"/>
        <v/>
      </c>
      <c r="AA471" t="str">
        <f t="shared" si="140"/>
        <v/>
      </c>
      <c r="AB471" t="str">
        <f t="shared" si="141"/>
        <v/>
      </c>
      <c r="AC471" t="str">
        <f t="shared" si="142"/>
        <v/>
      </c>
      <c r="AD471">
        <f t="shared" si="143"/>
        <v>0</v>
      </c>
    </row>
    <row r="472" spans="1:30" ht="15" customHeight="1" x14ac:dyDescent="0.35">
      <c r="A472" s="2"/>
      <c r="B472" s="3"/>
      <c r="C472" s="4"/>
      <c r="D472" s="5"/>
      <c r="E472" s="11" t="str">
        <f t="shared" ca="1" si="126"/>
        <v/>
      </c>
      <c r="F472" s="5"/>
      <c r="G472" s="6" t="str">
        <f>IF(AND($A472&lt;&gt;"",$B472&lt;&gt;"",$C472&lt;&gt;"",$D472&lt;&gt;""),IF(OR($B472="SER",$B472="PLH",$B472="CSF"),"Control CDI Plate "&amp;(INT(((COUNTIFS($B$2:$B472,"SER")+COUNTIFS($B$2:$B472,"PLH")+COUNTIFS($B$2:$B472,"CSF"))-1)/96)+1)&amp;": "&amp;CHAR(65+INT(MOD((COUNTIFS($B$2:$B472,"SER")+COUNTIFS($B$2:$B472,"PLH")+COUNTIFS($B$2:$B472,"CSF"))-1,96)/12))&amp;(MOD((COUNTIFS($B$2:$B472,"SER")+COUNTIFS($B$2:$B472,"PLH")+COUNTIFS($B$2:$B472,"CSF"))-1,12)+1),"N/A"),"")</f>
        <v/>
      </c>
      <c r="H472" s="6" t="str">
        <f>IF(AND($A472&lt;&gt;"",$B472&lt;&gt;"",$C472&lt;&gt;"",$D472&lt;&gt;""),IF(OR($B472="SER",$B472="PLH",$B472="CSF"),"Control NIH Plate "&amp;(INT(((COUNTIFS($B$2:$B472,"SER")+COUNTIFS($B$2:$B472,"PLH")+COUNTIFS($B$2:$B472,"CSF"))-1)/96)+1)&amp;": "&amp;CHAR(65+INT(MOD((COUNTIFS($B$2:$B472,"SER")+COUNTIFS($B$2:$B472,"PLH")+COUNTIFS($B$2:$B472,"CSF"))-1,96)/12))&amp;(MOD((COUNTIFS($B$2:$B472,"SER")+COUNTIFS($B$2:$B472,"PLH")+COUNTIFS($B$2:$B472,"CSF"))-1,12)+1),"N/A"),"")</f>
        <v/>
      </c>
      <c r="I472" s="6" t="str">
        <f>IF(AND($A472&lt;&gt;"",$B472&lt;&gt;"",$C472&lt;&gt;"",$D472&lt;&gt;""),IF(OR($B472="SER",$B472="PLH"),"Control MAX Planck Plate "&amp;(INT(((COUNTIFS($B$2:$B472,"SER")+COUNTIFS($B$2:$B472,"PLH"))-1)/96)+1)&amp;": "&amp;CHAR(65+INT(MOD((COUNTIFS($B$2:$B472,"SER")+COUNTIFS($B$2:$B472,"PLH"))-1,96)/12))&amp;(MOD((COUNTIFS($B$2:$B472,"SER")+COUNTIFS($B$2:$B472,"PLH"))-1,12)+1),"N/A"),"")</f>
        <v/>
      </c>
      <c r="J472" s="6" t="str">
        <f>IF(AND($A472&lt;&gt;"",$B472&lt;&gt;"",$C472&lt;&gt;"",$D472&lt;&gt;""),IF($B472="WB","Control WB Box "&amp;(INT((COUNTIFS($B$2:$B472,"WB")-1)/81)+1)&amp;": "&amp;CHAR(65+INT(MOD(COUNTIFS($B$2:$B472,"WB")-1,81)/9))&amp;(MOD(COUNTIFS($B$2:$B472,"WB")-1,9)+1),"N/A"),"")</f>
        <v/>
      </c>
      <c r="K472" s="3" t="str">
        <f t="shared" si="127"/>
        <v/>
      </c>
      <c r="L472" s="2"/>
      <c r="M472" s="2"/>
      <c r="N472" s="2"/>
      <c r="O472" s="7" t="str">
        <f t="shared" si="128"/>
        <v/>
      </c>
      <c r="P472" s="7" t="str">
        <f t="shared" si="129"/>
        <v/>
      </c>
      <c r="Q472" s="7" t="str">
        <f t="shared" si="130"/>
        <v/>
      </c>
      <c r="R472" s="7" t="str">
        <f t="shared" si="131"/>
        <v/>
      </c>
      <c r="S472" s="7" t="str">
        <f t="shared" si="132"/>
        <v/>
      </c>
      <c r="T472" s="7" t="str">
        <f t="shared" si="133"/>
        <v/>
      </c>
      <c r="U472" s="7" t="str">
        <f t="shared" si="134"/>
        <v/>
      </c>
      <c r="V472" s="7" t="str">
        <f t="shared" si="135"/>
        <v/>
      </c>
      <c r="W472" s="7" t="str">
        <f t="shared" si="136"/>
        <v/>
      </c>
      <c r="X472" s="7" t="str">
        <f t="shared" si="137"/>
        <v/>
      </c>
      <c r="Y472">
        <f t="shared" si="138"/>
        <v>0</v>
      </c>
      <c r="Z472" t="str">
        <f t="shared" si="139"/>
        <v/>
      </c>
      <c r="AA472" t="str">
        <f t="shared" si="140"/>
        <v/>
      </c>
      <c r="AB472" t="str">
        <f t="shared" si="141"/>
        <v/>
      </c>
      <c r="AC472" t="str">
        <f t="shared" si="142"/>
        <v/>
      </c>
      <c r="AD472">
        <f t="shared" si="143"/>
        <v>0</v>
      </c>
    </row>
    <row r="473" spans="1:30" ht="15" customHeight="1" x14ac:dyDescent="0.35">
      <c r="A473" s="2"/>
      <c r="B473" s="3"/>
      <c r="C473" s="4"/>
      <c r="D473" s="5"/>
      <c r="E473" s="11" t="str">
        <f t="shared" ca="1" si="126"/>
        <v/>
      </c>
      <c r="F473" s="5"/>
      <c r="G473" s="6" t="str">
        <f>IF(AND($A473&lt;&gt;"",$B473&lt;&gt;"",$C473&lt;&gt;"",$D473&lt;&gt;""),IF(OR($B473="SER",$B473="PLH",$B473="CSF"),"Control CDI Plate "&amp;(INT(((COUNTIFS($B$2:$B473,"SER")+COUNTIFS($B$2:$B473,"PLH")+COUNTIFS($B$2:$B473,"CSF"))-1)/96)+1)&amp;": "&amp;CHAR(65+INT(MOD((COUNTIFS($B$2:$B473,"SER")+COUNTIFS($B$2:$B473,"PLH")+COUNTIFS($B$2:$B473,"CSF"))-1,96)/12))&amp;(MOD((COUNTIFS($B$2:$B473,"SER")+COUNTIFS($B$2:$B473,"PLH")+COUNTIFS($B$2:$B473,"CSF"))-1,12)+1),"N/A"),"")</f>
        <v/>
      </c>
      <c r="H473" s="6" t="str">
        <f>IF(AND($A473&lt;&gt;"",$B473&lt;&gt;"",$C473&lt;&gt;"",$D473&lt;&gt;""),IF(OR($B473="SER",$B473="PLH",$B473="CSF"),"Control NIH Plate "&amp;(INT(((COUNTIFS($B$2:$B473,"SER")+COUNTIFS($B$2:$B473,"PLH")+COUNTIFS($B$2:$B473,"CSF"))-1)/96)+1)&amp;": "&amp;CHAR(65+INT(MOD((COUNTIFS($B$2:$B473,"SER")+COUNTIFS($B$2:$B473,"PLH")+COUNTIFS($B$2:$B473,"CSF"))-1,96)/12))&amp;(MOD((COUNTIFS($B$2:$B473,"SER")+COUNTIFS($B$2:$B473,"PLH")+COUNTIFS($B$2:$B473,"CSF"))-1,12)+1),"N/A"),"")</f>
        <v/>
      </c>
      <c r="I473" s="6" t="str">
        <f>IF(AND($A473&lt;&gt;"",$B473&lt;&gt;"",$C473&lt;&gt;"",$D473&lt;&gt;""),IF(OR($B473="SER",$B473="PLH"),"Control MAX Planck Plate "&amp;(INT(((COUNTIFS($B$2:$B473,"SER")+COUNTIFS($B$2:$B473,"PLH"))-1)/96)+1)&amp;": "&amp;CHAR(65+INT(MOD((COUNTIFS($B$2:$B473,"SER")+COUNTIFS($B$2:$B473,"PLH"))-1,96)/12))&amp;(MOD((COUNTIFS($B$2:$B473,"SER")+COUNTIFS($B$2:$B473,"PLH"))-1,12)+1),"N/A"),"")</f>
        <v/>
      </c>
      <c r="J473" s="6" t="str">
        <f>IF(AND($A473&lt;&gt;"",$B473&lt;&gt;"",$C473&lt;&gt;"",$D473&lt;&gt;""),IF($B473="WB","Control WB Box "&amp;(INT((COUNTIFS($B$2:$B473,"WB")-1)/81)+1)&amp;": "&amp;CHAR(65+INT(MOD(COUNTIFS($B$2:$B473,"WB")-1,81)/9))&amp;(MOD(COUNTIFS($B$2:$B473,"WB")-1,9)+1),"N/A"),"")</f>
        <v/>
      </c>
      <c r="K473" s="3" t="str">
        <f t="shared" si="127"/>
        <v/>
      </c>
      <c r="L473" s="2"/>
      <c r="M473" s="2"/>
      <c r="N473" s="2"/>
      <c r="O473" s="7" t="str">
        <f t="shared" si="128"/>
        <v/>
      </c>
      <c r="P473" s="7" t="str">
        <f t="shared" si="129"/>
        <v/>
      </c>
      <c r="Q473" s="7" t="str">
        <f t="shared" si="130"/>
        <v/>
      </c>
      <c r="R473" s="7" t="str">
        <f t="shared" si="131"/>
        <v/>
      </c>
      <c r="S473" s="7" t="str">
        <f t="shared" si="132"/>
        <v/>
      </c>
      <c r="T473" s="7" t="str">
        <f t="shared" si="133"/>
        <v/>
      </c>
      <c r="U473" s="7" t="str">
        <f t="shared" si="134"/>
        <v/>
      </c>
      <c r="V473" s="7" t="str">
        <f t="shared" si="135"/>
        <v/>
      </c>
      <c r="W473" s="7" t="str">
        <f t="shared" si="136"/>
        <v/>
      </c>
      <c r="X473" s="7" t="str">
        <f t="shared" si="137"/>
        <v/>
      </c>
      <c r="Y473">
        <f t="shared" si="138"/>
        <v>0</v>
      </c>
      <c r="Z473" t="str">
        <f t="shared" si="139"/>
        <v/>
      </c>
      <c r="AA473" t="str">
        <f t="shared" si="140"/>
        <v/>
      </c>
      <c r="AB473" t="str">
        <f t="shared" si="141"/>
        <v/>
      </c>
      <c r="AC473" t="str">
        <f t="shared" si="142"/>
        <v/>
      </c>
      <c r="AD473">
        <f t="shared" si="143"/>
        <v>0</v>
      </c>
    </row>
    <row r="474" spans="1:30" ht="15" customHeight="1" x14ac:dyDescent="0.35">
      <c r="A474" s="2"/>
      <c r="B474" s="3"/>
      <c r="C474" s="4"/>
      <c r="D474" s="5"/>
      <c r="E474" s="11" t="str">
        <f t="shared" ca="1" si="126"/>
        <v/>
      </c>
      <c r="F474" s="5"/>
      <c r="G474" s="6" t="str">
        <f>IF(AND($A474&lt;&gt;"",$B474&lt;&gt;"",$C474&lt;&gt;"",$D474&lt;&gt;""),IF(OR($B474="SER",$B474="PLH",$B474="CSF"),"Control CDI Plate "&amp;(INT(((COUNTIFS($B$2:$B474,"SER")+COUNTIFS($B$2:$B474,"PLH")+COUNTIFS($B$2:$B474,"CSF"))-1)/96)+1)&amp;": "&amp;CHAR(65+INT(MOD((COUNTIFS($B$2:$B474,"SER")+COUNTIFS($B$2:$B474,"PLH")+COUNTIFS($B$2:$B474,"CSF"))-1,96)/12))&amp;(MOD((COUNTIFS($B$2:$B474,"SER")+COUNTIFS($B$2:$B474,"PLH")+COUNTIFS($B$2:$B474,"CSF"))-1,12)+1),"N/A"),"")</f>
        <v/>
      </c>
      <c r="H474" s="6" t="str">
        <f>IF(AND($A474&lt;&gt;"",$B474&lt;&gt;"",$C474&lt;&gt;"",$D474&lt;&gt;""),IF(OR($B474="SER",$B474="PLH",$B474="CSF"),"Control NIH Plate "&amp;(INT(((COUNTIFS($B$2:$B474,"SER")+COUNTIFS($B$2:$B474,"PLH")+COUNTIFS($B$2:$B474,"CSF"))-1)/96)+1)&amp;": "&amp;CHAR(65+INT(MOD((COUNTIFS($B$2:$B474,"SER")+COUNTIFS($B$2:$B474,"PLH")+COUNTIFS($B$2:$B474,"CSF"))-1,96)/12))&amp;(MOD((COUNTIFS($B$2:$B474,"SER")+COUNTIFS($B$2:$B474,"PLH")+COUNTIFS($B$2:$B474,"CSF"))-1,12)+1),"N/A"),"")</f>
        <v/>
      </c>
      <c r="I474" s="6" t="str">
        <f>IF(AND($A474&lt;&gt;"",$B474&lt;&gt;"",$C474&lt;&gt;"",$D474&lt;&gt;""),IF(OR($B474="SER",$B474="PLH"),"Control MAX Planck Plate "&amp;(INT(((COUNTIFS($B$2:$B474,"SER")+COUNTIFS($B$2:$B474,"PLH"))-1)/96)+1)&amp;": "&amp;CHAR(65+INT(MOD((COUNTIFS($B$2:$B474,"SER")+COUNTIFS($B$2:$B474,"PLH"))-1,96)/12))&amp;(MOD((COUNTIFS($B$2:$B474,"SER")+COUNTIFS($B$2:$B474,"PLH"))-1,12)+1),"N/A"),"")</f>
        <v/>
      </c>
      <c r="J474" s="6" t="str">
        <f>IF(AND($A474&lt;&gt;"",$B474&lt;&gt;"",$C474&lt;&gt;"",$D474&lt;&gt;""),IF($B474="WB","Control WB Box "&amp;(INT((COUNTIFS($B$2:$B474,"WB")-1)/81)+1)&amp;": "&amp;CHAR(65+INT(MOD(COUNTIFS($B$2:$B474,"WB")-1,81)/9))&amp;(MOD(COUNTIFS($B$2:$B474,"WB")-1,9)+1),"N/A"),"")</f>
        <v/>
      </c>
      <c r="K474" s="3" t="str">
        <f t="shared" si="127"/>
        <v/>
      </c>
      <c r="L474" s="2"/>
      <c r="M474" s="2"/>
      <c r="N474" s="2"/>
      <c r="O474" s="7" t="str">
        <f t="shared" si="128"/>
        <v/>
      </c>
      <c r="P474" s="7" t="str">
        <f t="shared" si="129"/>
        <v/>
      </c>
      <c r="Q474" s="7" t="str">
        <f t="shared" si="130"/>
        <v/>
      </c>
      <c r="R474" s="7" t="str">
        <f t="shared" si="131"/>
        <v/>
      </c>
      <c r="S474" s="7" t="str">
        <f t="shared" si="132"/>
        <v/>
      </c>
      <c r="T474" s="7" t="str">
        <f t="shared" si="133"/>
        <v/>
      </c>
      <c r="U474" s="7" t="str">
        <f t="shared" si="134"/>
        <v/>
      </c>
      <c r="V474" s="7" t="str">
        <f t="shared" si="135"/>
        <v/>
      </c>
      <c r="W474" s="7" t="str">
        <f t="shared" si="136"/>
        <v/>
      </c>
      <c r="X474" s="7" t="str">
        <f t="shared" si="137"/>
        <v/>
      </c>
      <c r="Y474">
        <f t="shared" si="138"/>
        <v>0</v>
      </c>
      <c r="Z474" t="str">
        <f t="shared" si="139"/>
        <v/>
      </c>
      <c r="AA474" t="str">
        <f t="shared" si="140"/>
        <v/>
      </c>
      <c r="AB474" t="str">
        <f t="shared" si="141"/>
        <v/>
      </c>
      <c r="AC474" t="str">
        <f t="shared" si="142"/>
        <v/>
      </c>
      <c r="AD474">
        <f t="shared" si="143"/>
        <v>0</v>
      </c>
    </row>
    <row r="475" spans="1:30" ht="15" customHeight="1" x14ac:dyDescent="0.35">
      <c r="A475" s="2"/>
      <c r="B475" s="3"/>
      <c r="C475" s="4"/>
      <c r="D475" s="5"/>
      <c r="E475" s="11" t="str">
        <f t="shared" ca="1" si="126"/>
        <v/>
      </c>
      <c r="F475" s="5"/>
      <c r="G475" s="6" t="str">
        <f>IF(AND($A475&lt;&gt;"",$B475&lt;&gt;"",$C475&lt;&gt;"",$D475&lt;&gt;""),IF(OR($B475="SER",$B475="PLH",$B475="CSF"),"Control CDI Plate "&amp;(INT(((COUNTIFS($B$2:$B475,"SER")+COUNTIFS($B$2:$B475,"PLH")+COUNTIFS($B$2:$B475,"CSF"))-1)/96)+1)&amp;": "&amp;CHAR(65+INT(MOD((COUNTIFS($B$2:$B475,"SER")+COUNTIFS($B$2:$B475,"PLH")+COUNTIFS($B$2:$B475,"CSF"))-1,96)/12))&amp;(MOD((COUNTIFS($B$2:$B475,"SER")+COUNTIFS($B$2:$B475,"PLH")+COUNTIFS($B$2:$B475,"CSF"))-1,12)+1),"N/A"),"")</f>
        <v/>
      </c>
      <c r="H475" s="6" t="str">
        <f>IF(AND($A475&lt;&gt;"",$B475&lt;&gt;"",$C475&lt;&gt;"",$D475&lt;&gt;""),IF(OR($B475="SER",$B475="PLH",$B475="CSF"),"Control NIH Plate "&amp;(INT(((COUNTIFS($B$2:$B475,"SER")+COUNTIFS($B$2:$B475,"PLH")+COUNTIFS($B$2:$B475,"CSF"))-1)/96)+1)&amp;": "&amp;CHAR(65+INT(MOD((COUNTIFS($B$2:$B475,"SER")+COUNTIFS($B$2:$B475,"PLH")+COUNTIFS($B$2:$B475,"CSF"))-1,96)/12))&amp;(MOD((COUNTIFS($B$2:$B475,"SER")+COUNTIFS($B$2:$B475,"PLH")+COUNTIFS($B$2:$B475,"CSF"))-1,12)+1),"N/A"),"")</f>
        <v/>
      </c>
      <c r="I475" s="6" t="str">
        <f>IF(AND($A475&lt;&gt;"",$B475&lt;&gt;"",$C475&lt;&gt;"",$D475&lt;&gt;""),IF(OR($B475="SER",$B475="PLH"),"Control MAX Planck Plate "&amp;(INT(((COUNTIFS($B$2:$B475,"SER")+COUNTIFS($B$2:$B475,"PLH"))-1)/96)+1)&amp;": "&amp;CHAR(65+INT(MOD((COUNTIFS($B$2:$B475,"SER")+COUNTIFS($B$2:$B475,"PLH"))-1,96)/12))&amp;(MOD((COUNTIFS($B$2:$B475,"SER")+COUNTIFS($B$2:$B475,"PLH"))-1,12)+1),"N/A"),"")</f>
        <v/>
      </c>
      <c r="J475" s="6" t="str">
        <f>IF(AND($A475&lt;&gt;"",$B475&lt;&gt;"",$C475&lt;&gt;"",$D475&lt;&gt;""),IF($B475="WB","Control WB Box "&amp;(INT((COUNTIFS($B$2:$B475,"WB")-1)/81)+1)&amp;": "&amp;CHAR(65+INT(MOD(COUNTIFS($B$2:$B475,"WB")-1,81)/9))&amp;(MOD(COUNTIFS($B$2:$B475,"WB")-1,9)+1),"N/A"),"")</f>
        <v/>
      </c>
      <c r="K475" s="3" t="str">
        <f t="shared" si="127"/>
        <v/>
      </c>
      <c r="L475" s="2"/>
      <c r="M475" s="2"/>
      <c r="N475" s="2"/>
      <c r="O475" s="7" t="str">
        <f t="shared" si="128"/>
        <v/>
      </c>
      <c r="P475" s="7" t="str">
        <f t="shared" si="129"/>
        <v/>
      </c>
      <c r="Q475" s="7" t="str">
        <f t="shared" si="130"/>
        <v/>
      </c>
      <c r="R475" s="7" t="str">
        <f t="shared" si="131"/>
        <v/>
      </c>
      <c r="S475" s="7" t="str">
        <f t="shared" si="132"/>
        <v/>
      </c>
      <c r="T475" s="7" t="str">
        <f t="shared" si="133"/>
        <v/>
      </c>
      <c r="U475" s="7" t="str">
        <f t="shared" si="134"/>
        <v/>
      </c>
      <c r="V475" s="7" t="str">
        <f t="shared" si="135"/>
        <v/>
      </c>
      <c r="W475" s="7" t="str">
        <f t="shared" si="136"/>
        <v/>
      </c>
      <c r="X475" s="7" t="str">
        <f t="shared" si="137"/>
        <v/>
      </c>
      <c r="Y475">
        <f t="shared" si="138"/>
        <v>0</v>
      </c>
      <c r="Z475" t="str">
        <f t="shared" si="139"/>
        <v/>
      </c>
      <c r="AA475" t="str">
        <f t="shared" si="140"/>
        <v/>
      </c>
      <c r="AB475" t="str">
        <f t="shared" si="141"/>
        <v/>
      </c>
      <c r="AC475" t="str">
        <f t="shared" si="142"/>
        <v/>
      </c>
      <c r="AD475">
        <f t="shared" si="143"/>
        <v>0</v>
      </c>
    </row>
    <row r="476" spans="1:30" ht="15" customHeight="1" x14ac:dyDescent="0.35">
      <c r="A476" s="2"/>
      <c r="B476" s="3"/>
      <c r="C476" s="4"/>
      <c r="D476" s="5"/>
      <c r="E476" s="11" t="str">
        <f t="shared" ca="1" si="126"/>
        <v/>
      </c>
      <c r="F476" s="5"/>
      <c r="G476" s="6" t="str">
        <f>IF(AND($A476&lt;&gt;"",$B476&lt;&gt;"",$C476&lt;&gt;"",$D476&lt;&gt;""),IF(OR($B476="SER",$B476="PLH",$B476="CSF"),"Control CDI Plate "&amp;(INT(((COUNTIFS($B$2:$B476,"SER")+COUNTIFS($B$2:$B476,"PLH")+COUNTIFS($B$2:$B476,"CSF"))-1)/96)+1)&amp;": "&amp;CHAR(65+INT(MOD((COUNTIFS($B$2:$B476,"SER")+COUNTIFS($B$2:$B476,"PLH")+COUNTIFS($B$2:$B476,"CSF"))-1,96)/12))&amp;(MOD((COUNTIFS($B$2:$B476,"SER")+COUNTIFS($B$2:$B476,"PLH")+COUNTIFS($B$2:$B476,"CSF"))-1,12)+1),"N/A"),"")</f>
        <v/>
      </c>
      <c r="H476" s="6" t="str">
        <f>IF(AND($A476&lt;&gt;"",$B476&lt;&gt;"",$C476&lt;&gt;"",$D476&lt;&gt;""),IF(OR($B476="SER",$B476="PLH",$B476="CSF"),"Control NIH Plate "&amp;(INT(((COUNTIFS($B$2:$B476,"SER")+COUNTIFS($B$2:$B476,"PLH")+COUNTIFS($B$2:$B476,"CSF"))-1)/96)+1)&amp;": "&amp;CHAR(65+INT(MOD((COUNTIFS($B$2:$B476,"SER")+COUNTIFS($B$2:$B476,"PLH")+COUNTIFS($B$2:$B476,"CSF"))-1,96)/12))&amp;(MOD((COUNTIFS($B$2:$B476,"SER")+COUNTIFS($B$2:$B476,"PLH")+COUNTIFS($B$2:$B476,"CSF"))-1,12)+1),"N/A"),"")</f>
        <v/>
      </c>
      <c r="I476" s="6" t="str">
        <f>IF(AND($A476&lt;&gt;"",$B476&lt;&gt;"",$C476&lt;&gt;"",$D476&lt;&gt;""),IF(OR($B476="SER",$B476="PLH"),"Control MAX Planck Plate "&amp;(INT(((COUNTIFS($B$2:$B476,"SER")+COUNTIFS($B$2:$B476,"PLH"))-1)/96)+1)&amp;": "&amp;CHAR(65+INT(MOD((COUNTIFS($B$2:$B476,"SER")+COUNTIFS($B$2:$B476,"PLH"))-1,96)/12))&amp;(MOD((COUNTIFS($B$2:$B476,"SER")+COUNTIFS($B$2:$B476,"PLH"))-1,12)+1),"N/A"),"")</f>
        <v/>
      </c>
      <c r="J476" s="6" t="str">
        <f>IF(AND($A476&lt;&gt;"",$B476&lt;&gt;"",$C476&lt;&gt;"",$D476&lt;&gt;""),IF($B476="WB","Control WB Box "&amp;(INT((COUNTIFS($B$2:$B476,"WB")-1)/81)+1)&amp;": "&amp;CHAR(65+INT(MOD(COUNTIFS($B$2:$B476,"WB")-1,81)/9))&amp;(MOD(COUNTIFS($B$2:$B476,"WB")-1,9)+1),"N/A"),"")</f>
        <v/>
      </c>
      <c r="K476" s="3" t="str">
        <f t="shared" si="127"/>
        <v/>
      </c>
      <c r="L476" s="2"/>
      <c r="M476" s="2"/>
      <c r="N476" s="2"/>
      <c r="O476" s="7" t="str">
        <f t="shared" si="128"/>
        <v/>
      </c>
      <c r="P476" s="7" t="str">
        <f t="shared" si="129"/>
        <v/>
      </c>
      <c r="Q476" s="7" t="str">
        <f t="shared" si="130"/>
        <v/>
      </c>
      <c r="R476" s="7" t="str">
        <f t="shared" si="131"/>
        <v/>
      </c>
      <c r="S476" s="7" t="str">
        <f t="shared" si="132"/>
        <v/>
      </c>
      <c r="T476" s="7" t="str">
        <f t="shared" si="133"/>
        <v/>
      </c>
      <c r="U476" s="7" t="str">
        <f t="shared" si="134"/>
        <v/>
      </c>
      <c r="V476" s="7" t="str">
        <f t="shared" si="135"/>
        <v/>
      </c>
      <c r="W476" s="7" t="str">
        <f t="shared" si="136"/>
        <v/>
      </c>
      <c r="X476" s="7" t="str">
        <f t="shared" si="137"/>
        <v/>
      </c>
      <c r="Y476">
        <f t="shared" si="138"/>
        <v>0</v>
      </c>
      <c r="Z476" t="str">
        <f t="shared" si="139"/>
        <v/>
      </c>
      <c r="AA476" t="str">
        <f t="shared" si="140"/>
        <v/>
      </c>
      <c r="AB476" t="str">
        <f t="shared" si="141"/>
        <v/>
      </c>
      <c r="AC476" t="str">
        <f t="shared" si="142"/>
        <v/>
      </c>
      <c r="AD476">
        <f t="shared" si="143"/>
        <v>0</v>
      </c>
    </row>
    <row r="477" spans="1:30" ht="15" customHeight="1" x14ac:dyDescent="0.35">
      <c r="A477" s="2"/>
      <c r="B477" s="3"/>
      <c r="C477" s="4"/>
      <c r="D477" s="5"/>
      <c r="E477" s="11" t="str">
        <f t="shared" ca="1" si="126"/>
        <v/>
      </c>
      <c r="F477" s="5"/>
      <c r="G477" s="6" t="str">
        <f>IF(AND($A477&lt;&gt;"",$B477&lt;&gt;"",$C477&lt;&gt;"",$D477&lt;&gt;""),IF(OR($B477="SER",$B477="PLH",$B477="CSF"),"Control CDI Plate "&amp;(INT(((COUNTIFS($B$2:$B477,"SER")+COUNTIFS($B$2:$B477,"PLH")+COUNTIFS($B$2:$B477,"CSF"))-1)/96)+1)&amp;": "&amp;CHAR(65+INT(MOD((COUNTIFS($B$2:$B477,"SER")+COUNTIFS($B$2:$B477,"PLH")+COUNTIFS($B$2:$B477,"CSF"))-1,96)/12))&amp;(MOD((COUNTIFS($B$2:$B477,"SER")+COUNTIFS($B$2:$B477,"PLH")+COUNTIFS($B$2:$B477,"CSF"))-1,12)+1),"N/A"),"")</f>
        <v/>
      </c>
      <c r="H477" s="6" t="str">
        <f>IF(AND($A477&lt;&gt;"",$B477&lt;&gt;"",$C477&lt;&gt;"",$D477&lt;&gt;""),IF(OR($B477="SER",$B477="PLH",$B477="CSF"),"Control NIH Plate "&amp;(INT(((COUNTIFS($B$2:$B477,"SER")+COUNTIFS($B$2:$B477,"PLH")+COUNTIFS($B$2:$B477,"CSF"))-1)/96)+1)&amp;": "&amp;CHAR(65+INT(MOD((COUNTIFS($B$2:$B477,"SER")+COUNTIFS($B$2:$B477,"PLH")+COUNTIFS($B$2:$B477,"CSF"))-1,96)/12))&amp;(MOD((COUNTIFS($B$2:$B477,"SER")+COUNTIFS($B$2:$B477,"PLH")+COUNTIFS($B$2:$B477,"CSF"))-1,12)+1),"N/A"),"")</f>
        <v/>
      </c>
      <c r="I477" s="6" t="str">
        <f>IF(AND($A477&lt;&gt;"",$B477&lt;&gt;"",$C477&lt;&gt;"",$D477&lt;&gt;""),IF(OR($B477="SER",$B477="PLH"),"Control MAX Planck Plate "&amp;(INT(((COUNTIFS($B$2:$B477,"SER")+COUNTIFS($B$2:$B477,"PLH"))-1)/96)+1)&amp;": "&amp;CHAR(65+INT(MOD((COUNTIFS($B$2:$B477,"SER")+COUNTIFS($B$2:$B477,"PLH"))-1,96)/12))&amp;(MOD((COUNTIFS($B$2:$B477,"SER")+COUNTIFS($B$2:$B477,"PLH"))-1,12)+1),"N/A"),"")</f>
        <v/>
      </c>
      <c r="J477" s="6" t="str">
        <f>IF(AND($A477&lt;&gt;"",$B477&lt;&gt;"",$C477&lt;&gt;"",$D477&lt;&gt;""),IF($B477="WB","Control WB Box "&amp;(INT((COUNTIFS($B$2:$B477,"WB")-1)/81)+1)&amp;": "&amp;CHAR(65+INT(MOD(COUNTIFS($B$2:$B477,"WB")-1,81)/9))&amp;(MOD(COUNTIFS($B$2:$B477,"WB")-1,9)+1),"N/A"),"")</f>
        <v/>
      </c>
      <c r="K477" s="3" t="str">
        <f t="shared" si="127"/>
        <v/>
      </c>
      <c r="L477" s="2"/>
      <c r="M477" s="2"/>
      <c r="N477" s="2"/>
      <c r="O477" s="7" t="str">
        <f t="shared" si="128"/>
        <v/>
      </c>
      <c r="P477" s="7" t="str">
        <f t="shared" si="129"/>
        <v/>
      </c>
      <c r="Q477" s="7" t="str">
        <f t="shared" si="130"/>
        <v/>
      </c>
      <c r="R477" s="7" t="str">
        <f t="shared" si="131"/>
        <v/>
      </c>
      <c r="S477" s="7" t="str">
        <f t="shared" si="132"/>
        <v/>
      </c>
      <c r="T477" s="7" t="str">
        <f t="shared" si="133"/>
        <v/>
      </c>
      <c r="U477" s="7" t="str">
        <f t="shared" si="134"/>
        <v/>
      </c>
      <c r="V477" s="7" t="str">
        <f t="shared" si="135"/>
        <v/>
      </c>
      <c r="W477" s="7" t="str">
        <f t="shared" si="136"/>
        <v/>
      </c>
      <c r="X477" s="7" t="str">
        <f t="shared" si="137"/>
        <v/>
      </c>
      <c r="Y477">
        <f t="shared" si="138"/>
        <v>0</v>
      </c>
      <c r="Z477" t="str">
        <f t="shared" si="139"/>
        <v/>
      </c>
      <c r="AA477" t="str">
        <f t="shared" si="140"/>
        <v/>
      </c>
      <c r="AB477" t="str">
        <f t="shared" si="141"/>
        <v/>
      </c>
      <c r="AC477" t="str">
        <f t="shared" si="142"/>
        <v/>
      </c>
      <c r="AD477">
        <f t="shared" si="143"/>
        <v>0</v>
      </c>
    </row>
    <row r="478" spans="1:30" ht="15" customHeight="1" x14ac:dyDescent="0.35">
      <c r="A478" s="2"/>
      <c r="B478" s="3"/>
      <c r="C478" s="4"/>
      <c r="D478" s="5"/>
      <c r="E478" s="11" t="str">
        <f t="shared" ca="1" si="126"/>
        <v/>
      </c>
      <c r="F478" s="5"/>
      <c r="G478" s="6" t="str">
        <f>IF(AND($A478&lt;&gt;"",$B478&lt;&gt;"",$C478&lt;&gt;"",$D478&lt;&gt;""),IF(OR($B478="SER",$B478="PLH",$B478="CSF"),"Control CDI Plate "&amp;(INT(((COUNTIFS($B$2:$B478,"SER")+COUNTIFS($B$2:$B478,"PLH")+COUNTIFS($B$2:$B478,"CSF"))-1)/96)+1)&amp;": "&amp;CHAR(65+INT(MOD((COUNTIFS($B$2:$B478,"SER")+COUNTIFS($B$2:$B478,"PLH")+COUNTIFS($B$2:$B478,"CSF"))-1,96)/12))&amp;(MOD((COUNTIFS($B$2:$B478,"SER")+COUNTIFS($B$2:$B478,"PLH")+COUNTIFS($B$2:$B478,"CSF"))-1,12)+1),"N/A"),"")</f>
        <v/>
      </c>
      <c r="H478" s="6" t="str">
        <f>IF(AND($A478&lt;&gt;"",$B478&lt;&gt;"",$C478&lt;&gt;"",$D478&lt;&gt;""),IF(OR($B478="SER",$B478="PLH",$B478="CSF"),"Control NIH Plate "&amp;(INT(((COUNTIFS($B$2:$B478,"SER")+COUNTIFS($B$2:$B478,"PLH")+COUNTIFS($B$2:$B478,"CSF"))-1)/96)+1)&amp;": "&amp;CHAR(65+INT(MOD((COUNTIFS($B$2:$B478,"SER")+COUNTIFS($B$2:$B478,"PLH")+COUNTIFS($B$2:$B478,"CSF"))-1,96)/12))&amp;(MOD((COUNTIFS($B$2:$B478,"SER")+COUNTIFS($B$2:$B478,"PLH")+COUNTIFS($B$2:$B478,"CSF"))-1,12)+1),"N/A"),"")</f>
        <v/>
      </c>
      <c r="I478" s="6" t="str">
        <f>IF(AND($A478&lt;&gt;"",$B478&lt;&gt;"",$C478&lt;&gt;"",$D478&lt;&gt;""),IF(OR($B478="SER",$B478="PLH"),"Control MAX Planck Plate "&amp;(INT(((COUNTIFS($B$2:$B478,"SER")+COUNTIFS($B$2:$B478,"PLH"))-1)/96)+1)&amp;": "&amp;CHAR(65+INT(MOD((COUNTIFS($B$2:$B478,"SER")+COUNTIFS($B$2:$B478,"PLH"))-1,96)/12))&amp;(MOD((COUNTIFS($B$2:$B478,"SER")+COUNTIFS($B$2:$B478,"PLH"))-1,12)+1),"N/A"),"")</f>
        <v/>
      </c>
      <c r="J478" s="6" t="str">
        <f>IF(AND($A478&lt;&gt;"",$B478&lt;&gt;"",$C478&lt;&gt;"",$D478&lt;&gt;""),IF($B478="WB","Control WB Box "&amp;(INT((COUNTIFS($B$2:$B478,"WB")-1)/81)+1)&amp;": "&amp;CHAR(65+INT(MOD(COUNTIFS($B$2:$B478,"WB")-1,81)/9))&amp;(MOD(COUNTIFS($B$2:$B478,"WB")-1,9)+1),"N/A"),"")</f>
        <v/>
      </c>
      <c r="K478" s="3" t="str">
        <f t="shared" si="127"/>
        <v/>
      </c>
      <c r="L478" s="2"/>
      <c r="M478" s="2"/>
      <c r="N478" s="2"/>
      <c r="O478" s="7" t="str">
        <f t="shared" si="128"/>
        <v/>
      </c>
      <c r="P478" s="7" t="str">
        <f t="shared" si="129"/>
        <v/>
      </c>
      <c r="Q478" s="7" t="str">
        <f t="shared" si="130"/>
        <v/>
      </c>
      <c r="R478" s="7" t="str">
        <f t="shared" si="131"/>
        <v/>
      </c>
      <c r="S478" s="7" t="str">
        <f t="shared" si="132"/>
        <v/>
      </c>
      <c r="T478" s="7" t="str">
        <f t="shared" si="133"/>
        <v/>
      </c>
      <c r="U478" s="7" t="str">
        <f t="shared" si="134"/>
        <v/>
      </c>
      <c r="V478" s="7" t="str">
        <f t="shared" si="135"/>
        <v/>
      </c>
      <c r="W478" s="7" t="str">
        <f t="shared" si="136"/>
        <v/>
      </c>
      <c r="X478" s="7" t="str">
        <f t="shared" si="137"/>
        <v/>
      </c>
      <c r="Y478">
        <f t="shared" si="138"/>
        <v>0</v>
      </c>
      <c r="Z478" t="str">
        <f t="shared" si="139"/>
        <v/>
      </c>
      <c r="AA478" t="str">
        <f t="shared" si="140"/>
        <v/>
      </c>
      <c r="AB478" t="str">
        <f t="shared" si="141"/>
        <v/>
      </c>
      <c r="AC478" t="str">
        <f t="shared" si="142"/>
        <v/>
      </c>
      <c r="AD478">
        <f t="shared" si="143"/>
        <v>0</v>
      </c>
    </row>
    <row r="479" spans="1:30" ht="15" customHeight="1" x14ac:dyDescent="0.35">
      <c r="A479" s="2"/>
      <c r="B479" s="3"/>
      <c r="C479" s="4"/>
      <c r="D479" s="5"/>
      <c r="E479" s="11" t="str">
        <f t="shared" ca="1" si="126"/>
        <v/>
      </c>
      <c r="F479" s="5"/>
      <c r="G479" s="6" t="str">
        <f>IF(AND($A479&lt;&gt;"",$B479&lt;&gt;"",$C479&lt;&gt;"",$D479&lt;&gt;""),IF(OR($B479="SER",$B479="PLH",$B479="CSF"),"Control CDI Plate "&amp;(INT(((COUNTIFS($B$2:$B479,"SER")+COUNTIFS($B$2:$B479,"PLH")+COUNTIFS($B$2:$B479,"CSF"))-1)/96)+1)&amp;": "&amp;CHAR(65+INT(MOD((COUNTIFS($B$2:$B479,"SER")+COUNTIFS($B$2:$B479,"PLH")+COUNTIFS($B$2:$B479,"CSF"))-1,96)/12))&amp;(MOD((COUNTIFS($B$2:$B479,"SER")+COUNTIFS($B$2:$B479,"PLH")+COUNTIFS($B$2:$B479,"CSF"))-1,12)+1),"N/A"),"")</f>
        <v/>
      </c>
      <c r="H479" s="6" t="str">
        <f>IF(AND($A479&lt;&gt;"",$B479&lt;&gt;"",$C479&lt;&gt;"",$D479&lt;&gt;""),IF(OR($B479="SER",$B479="PLH",$B479="CSF"),"Control NIH Plate "&amp;(INT(((COUNTIFS($B$2:$B479,"SER")+COUNTIFS($B$2:$B479,"PLH")+COUNTIFS($B$2:$B479,"CSF"))-1)/96)+1)&amp;": "&amp;CHAR(65+INT(MOD((COUNTIFS($B$2:$B479,"SER")+COUNTIFS($B$2:$B479,"PLH")+COUNTIFS($B$2:$B479,"CSF"))-1,96)/12))&amp;(MOD((COUNTIFS($B$2:$B479,"SER")+COUNTIFS($B$2:$B479,"PLH")+COUNTIFS($B$2:$B479,"CSF"))-1,12)+1),"N/A"),"")</f>
        <v/>
      </c>
      <c r="I479" s="6" t="str">
        <f>IF(AND($A479&lt;&gt;"",$B479&lt;&gt;"",$C479&lt;&gt;"",$D479&lt;&gt;""),IF(OR($B479="SER",$B479="PLH"),"Control MAX Planck Plate "&amp;(INT(((COUNTIFS($B$2:$B479,"SER")+COUNTIFS($B$2:$B479,"PLH"))-1)/96)+1)&amp;": "&amp;CHAR(65+INT(MOD((COUNTIFS($B$2:$B479,"SER")+COUNTIFS($B$2:$B479,"PLH"))-1,96)/12))&amp;(MOD((COUNTIFS($B$2:$B479,"SER")+COUNTIFS($B$2:$B479,"PLH"))-1,12)+1),"N/A"),"")</f>
        <v/>
      </c>
      <c r="J479" s="6" t="str">
        <f>IF(AND($A479&lt;&gt;"",$B479&lt;&gt;"",$C479&lt;&gt;"",$D479&lt;&gt;""),IF($B479="WB","Control WB Box "&amp;(INT((COUNTIFS($B$2:$B479,"WB")-1)/81)+1)&amp;": "&amp;CHAR(65+INT(MOD(COUNTIFS($B$2:$B479,"WB")-1,81)/9))&amp;(MOD(COUNTIFS($B$2:$B479,"WB")-1,9)+1),"N/A"),"")</f>
        <v/>
      </c>
      <c r="K479" s="3" t="str">
        <f t="shared" si="127"/>
        <v/>
      </c>
      <c r="L479" s="2"/>
      <c r="M479" s="2"/>
      <c r="N479" s="2"/>
      <c r="O479" s="7" t="str">
        <f t="shared" si="128"/>
        <v/>
      </c>
      <c r="P479" s="7" t="str">
        <f t="shared" si="129"/>
        <v/>
      </c>
      <c r="Q479" s="7" t="str">
        <f t="shared" si="130"/>
        <v/>
      </c>
      <c r="R479" s="7" t="str">
        <f t="shared" si="131"/>
        <v/>
      </c>
      <c r="S479" s="7" t="str">
        <f t="shared" si="132"/>
        <v/>
      </c>
      <c r="T479" s="7" t="str">
        <f t="shared" si="133"/>
        <v/>
      </c>
      <c r="U479" s="7" t="str">
        <f t="shared" si="134"/>
        <v/>
      </c>
      <c r="V479" s="7" t="str">
        <f t="shared" si="135"/>
        <v/>
      </c>
      <c r="W479" s="7" t="str">
        <f t="shared" si="136"/>
        <v/>
      </c>
      <c r="X479" s="7" t="str">
        <f t="shared" si="137"/>
        <v/>
      </c>
      <c r="Y479">
        <f t="shared" si="138"/>
        <v>0</v>
      </c>
      <c r="Z479" t="str">
        <f t="shared" si="139"/>
        <v/>
      </c>
      <c r="AA479" t="str">
        <f t="shared" si="140"/>
        <v/>
      </c>
      <c r="AB479" t="str">
        <f t="shared" si="141"/>
        <v/>
      </c>
      <c r="AC479" t="str">
        <f t="shared" si="142"/>
        <v/>
      </c>
      <c r="AD479">
        <f t="shared" si="143"/>
        <v>0</v>
      </c>
    </row>
    <row r="480" spans="1:30" ht="15" customHeight="1" x14ac:dyDescent="0.35">
      <c r="A480" s="2"/>
      <c r="B480" s="3"/>
      <c r="C480" s="4"/>
      <c r="D480" s="5"/>
      <c r="E480" s="11" t="str">
        <f t="shared" ca="1" si="126"/>
        <v/>
      </c>
      <c r="F480" s="5"/>
      <c r="G480" s="6" t="str">
        <f>IF(AND($A480&lt;&gt;"",$B480&lt;&gt;"",$C480&lt;&gt;"",$D480&lt;&gt;""),IF(OR($B480="SER",$B480="PLH",$B480="CSF"),"Control CDI Plate "&amp;(INT(((COUNTIFS($B$2:$B480,"SER")+COUNTIFS($B$2:$B480,"PLH")+COUNTIFS($B$2:$B480,"CSF"))-1)/96)+1)&amp;": "&amp;CHAR(65+INT(MOD((COUNTIFS($B$2:$B480,"SER")+COUNTIFS($B$2:$B480,"PLH")+COUNTIFS($B$2:$B480,"CSF"))-1,96)/12))&amp;(MOD((COUNTIFS($B$2:$B480,"SER")+COUNTIFS($B$2:$B480,"PLH")+COUNTIFS($B$2:$B480,"CSF"))-1,12)+1),"N/A"),"")</f>
        <v/>
      </c>
      <c r="H480" s="6" t="str">
        <f>IF(AND($A480&lt;&gt;"",$B480&lt;&gt;"",$C480&lt;&gt;"",$D480&lt;&gt;""),IF(OR($B480="SER",$B480="PLH",$B480="CSF"),"Control NIH Plate "&amp;(INT(((COUNTIFS($B$2:$B480,"SER")+COUNTIFS($B$2:$B480,"PLH")+COUNTIFS($B$2:$B480,"CSF"))-1)/96)+1)&amp;": "&amp;CHAR(65+INT(MOD((COUNTIFS($B$2:$B480,"SER")+COUNTIFS($B$2:$B480,"PLH")+COUNTIFS($B$2:$B480,"CSF"))-1,96)/12))&amp;(MOD((COUNTIFS($B$2:$B480,"SER")+COUNTIFS($B$2:$B480,"PLH")+COUNTIFS($B$2:$B480,"CSF"))-1,12)+1),"N/A"),"")</f>
        <v/>
      </c>
      <c r="I480" s="6" t="str">
        <f>IF(AND($A480&lt;&gt;"",$B480&lt;&gt;"",$C480&lt;&gt;"",$D480&lt;&gt;""),IF(OR($B480="SER",$B480="PLH"),"Control MAX Planck Plate "&amp;(INT(((COUNTIFS($B$2:$B480,"SER")+COUNTIFS($B$2:$B480,"PLH"))-1)/96)+1)&amp;": "&amp;CHAR(65+INT(MOD((COUNTIFS($B$2:$B480,"SER")+COUNTIFS($B$2:$B480,"PLH"))-1,96)/12))&amp;(MOD((COUNTIFS($B$2:$B480,"SER")+COUNTIFS($B$2:$B480,"PLH"))-1,12)+1),"N/A"),"")</f>
        <v/>
      </c>
      <c r="J480" s="6" t="str">
        <f>IF(AND($A480&lt;&gt;"",$B480&lt;&gt;"",$C480&lt;&gt;"",$D480&lt;&gt;""),IF($B480="WB","Control WB Box "&amp;(INT((COUNTIFS($B$2:$B480,"WB")-1)/81)+1)&amp;": "&amp;CHAR(65+INT(MOD(COUNTIFS($B$2:$B480,"WB")-1,81)/9))&amp;(MOD(COUNTIFS($B$2:$B480,"WB")-1,9)+1),"N/A"),"")</f>
        <v/>
      </c>
      <c r="K480" s="3" t="str">
        <f t="shared" si="127"/>
        <v/>
      </c>
      <c r="L480" s="2"/>
      <c r="M480" s="2"/>
      <c r="N480" s="2"/>
      <c r="O480" s="7" t="str">
        <f t="shared" si="128"/>
        <v/>
      </c>
      <c r="P480" s="7" t="str">
        <f t="shared" si="129"/>
        <v/>
      </c>
      <c r="Q480" s="7" t="str">
        <f t="shared" si="130"/>
        <v/>
      </c>
      <c r="R480" s="7" t="str">
        <f t="shared" si="131"/>
        <v/>
      </c>
      <c r="S480" s="7" t="str">
        <f t="shared" si="132"/>
        <v/>
      </c>
      <c r="T480" s="7" t="str">
        <f t="shared" si="133"/>
        <v/>
      </c>
      <c r="U480" s="7" t="str">
        <f t="shared" si="134"/>
        <v/>
      </c>
      <c r="V480" s="7" t="str">
        <f t="shared" si="135"/>
        <v/>
      </c>
      <c r="W480" s="7" t="str">
        <f t="shared" si="136"/>
        <v/>
      </c>
      <c r="X480" s="7" t="str">
        <f t="shared" si="137"/>
        <v/>
      </c>
      <c r="Y480">
        <f t="shared" si="138"/>
        <v>0</v>
      </c>
      <c r="Z480" t="str">
        <f t="shared" si="139"/>
        <v/>
      </c>
      <c r="AA480" t="str">
        <f t="shared" si="140"/>
        <v/>
      </c>
      <c r="AB480" t="str">
        <f t="shared" si="141"/>
        <v/>
      </c>
      <c r="AC480" t="str">
        <f t="shared" si="142"/>
        <v/>
      </c>
      <c r="AD480">
        <f t="shared" si="143"/>
        <v>0</v>
      </c>
    </row>
    <row r="481" spans="1:30" ht="15" customHeight="1" x14ac:dyDescent="0.35">
      <c r="A481" s="2"/>
      <c r="B481" s="3"/>
      <c r="C481" s="4"/>
      <c r="D481" s="5"/>
      <c r="E481" s="11" t="str">
        <f t="shared" ca="1" si="126"/>
        <v/>
      </c>
      <c r="F481" s="5"/>
      <c r="G481" s="6" t="str">
        <f>IF(AND($A481&lt;&gt;"",$B481&lt;&gt;"",$C481&lt;&gt;"",$D481&lt;&gt;""),IF(OR($B481="SER",$B481="PLH",$B481="CSF"),"Control CDI Plate "&amp;(INT(((COUNTIFS($B$2:$B481,"SER")+COUNTIFS($B$2:$B481,"PLH")+COUNTIFS($B$2:$B481,"CSF"))-1)/96)+1)&amp;": "&amp;CHAR(65+INT(MOD((COUNTIFS($B$2:$B481,"SER")+COUNTIFS($B$2:$B481,"PLH")+COUNTIFS($B$2:$B481,"CSF"))-1,96)/12))&amp;(MOD((COUNTIFS($B$2:$B481,"SER")+COUNTIFS($B$2:$B481,"PLH")+COUNTIFS($B$2:$B481,"CSF"))-1,12)+1),"N/A"),"")</f>
        <v/>
      </c>
      <c r="H481" s="6" t="str">
        <f>IF(AND($A481&lt;&gt;"",$B481&lt;&gt;"",$C481&lt;&gt;"",$D481&lt;&gt;""),IF(OR($B481="SER",$B481="PLH",$B481="CSF"),"Control NIH Plate "&amp;(INT(((COUNTIFS($B$2:$B481,"SER")+COUNTIFS($B$2:$B481,"PLH")+COUNTIFS($B$2:$B481,"CSF"))-1)/96)+1)&amp;": "&amp;CHAR(65+INT(MOD((COUNTIFS($B$2:$B481,"SER")+COUNTIFS($B$2:$B481,"PLH")+COUNTIFS($B$2:$B481,"CSF"))-1,96)/12))&amp;(MOD((COUNTIFS($B$2:$B481,"SER")+COUNTIFS($B$2:$B481,"PLH")+COUNTIFS($B$2:$B481,"CSF"))-1,12)+1),"N/A"),"")</f>
        <v/>
      </c>
      <c r="I481" s="6" t="str">
        <f>IF(AND($A481&lt;&gt;"",$B481&lt;&gt;"",$C481&lt;&gt;"",$D481&lt;&gt;""),IF(OR($B481="SER",$B481="PLH"),"Control MAX Planck Plate "&amp;(INT(((COUNTIFS($B$2:$B481,"SER")+COUNTIFS($B$2:$B481,"PLH"))-1)/96)+1)&amp;": "&amp;CHAR(65+INT(MOD((COUNTIFS($B$2:$B481,"SER")+COUNTIFS($B$2:$B481,"PLH"))-1,96)/12))&amp;(MOD((COUNTIFS($B$2:$B481,"SER")+COUNTIFS($B$2:$B481,"PLH"))-1,12)+1),"N/A"),"")</f>
        <v/>
      </c>
      <c r="J481" s="6" t="str">
        <f>IF(AND($A481&lt;&gt;"",$B481&lt;&gt;"",$C481&lt;&gt;"",$D481&lt;&gt;""),IF($B481="WB","Control WB Box "&amp;(INT((COUNTIFS($B$2:$B481,"WB")-1)/81)+1)&amp;": "&amp;CHAR(65+INT(MOD(COUNTIFS($B$2:$B481,"WB")-1,81)/9))&amp;(MOD(COUNTIFS($B$2:$B481,"WB")-1,9)+1),"N/A"),"")</f>
        <v/>
      </c>
      <c r="K481" s="3" t="str">
        <f t="shared" si="127"/>
        <v/>
      </c>
      <c r="L481" s="2"/>
      <c r="M481" s="2"/>
      <c r="N481" s="2"/>
      <c r="O481" s="7" t="str">
        <f t="shared" si="128"/>
        <v/>
      </c>
      <c r="P481" s="7" t="str">
        <f t="shared" si="129"/>
        <v/>
      </c>
      <c r="Q481" s="7" t="str">
        <f t="shared" si="130"/>
        <v/>
      </c>
      <c r="R481" s="7" t="str">
        <f t="shared" si="131"/>
        <v/>
      </c>
      <c r="S481" s="7" t="str">
        <f t="shared" si="132"/>
        <v/>
      </c>
      <c r="T481" s="7" t="str">
        <f t="shared" si="133"/>
        <v/>
      </c>
      <c r="U481" s="7" t="str">
        <f t="shared" si="134"/>
        <v/>
      </c>
      <c r="V481" s="7" t="str">
        <f t="shared" si="135"/>
        <v/>
      </c>
      <c r="W481" s="7" t="str">
        <f t="shared" si="136"/>
        <v/>
      </c>
      <c r="X481" s="7" t="str">
        <f t="shared" si="137"/>
        <v/>
      </c>
      <c r="Y481">
        <f t="shared" si="138"/>
        <v>0</v>
      </c>
      <c r="Z481" t="str">
        <f t="shared" si="139"/>
        <v/>
      </c>
      <c r="AA481" t="str">
        <f t="shared" si="140"/>
        <v/>
      </c>
      <c r="AB481" t="str">
        <f t="shared" si="141"/>
        <v/>
      </c>
      <c r="AC481" t="str">
        <f t="shared" si="142"/>
        <v/>
      </c>
      <c r="AD481">
        <f t="shared" si="143"/>
        <v>0</v>
      </c>
    </row>
    <row r="482" spans="1:30" ht="15" customHeight="1" x14ac:dyDescent="0.35">
      <c r="A482" s="2"/>
      <c r="B482" s="3"/>
      <c r="C482" s="4"/>
      <c r="D482" s="5"/>
      <c r="E482" s="11" t="str">
        <f t="shared" ca="1" si="126"/>
        <v/>
      </c>
      <c r="F482" s="5"/>
      <c r="G482" s="6" t="str">
        <f>IF(AND($A482&lt;&gt;"",$B482&lt;&gt;"",$C482&lt;&gt;"",$D482&lt;&gt;""),IF(OR($B482="SER",$B482="PLH",$B482="CSF"),"Control CDI Plate "&amp;(INT(((COUNTIFS($B$2:$B482,"SER")+COUNTIFS($B$2:$B482,"PLH")+COUNTIFS($B$2:$B482,"CSF"))-1)/96)+1)&amp;": "&amp;CHAR(65+INT(MOD((COUNTIFS($B$2:$B482,"SER")+COUNTIFS($B$2:$B482,"PLH")+COUNTIFS($B$2:$B482,"CSF"))-1,96)/12))&amp;(MOD((COUNTIFS($B$2:$B482,"SER")+COUNTIFS($B$2:$B482,"PLH")+COUNTIFS($B$2:$B482,"CSF"))-1,12)+1),"N/A"),"")</f>
        <v/>
      </c>
      <c r="H482" s="6" t="str">
        <f>IF(AND($A482&lt;&gt;"",$B482&lt;&gt;"",$C482&lt;&gt;"",$D482&lt;&gt;""),IF(OR($B482="SER",$B482="PLH",$B482="CSF"),"Control NIH Plate "&amp;(INT(((COUNTIFS($B$2:$B482,"SER")+COUNTIFS($B$2:$B482,"PLH")+COUNTIFS($B$2:$B482,"CSF"))-1)/96)+1)&amp;": "&amp;CHAR(65+INT(MOD((COUNTIFS($B$2:$B482,"SER")+COUNTIFS($B$2:$B482,"PLH")+COUNTIFS($B$2:$B482,"CSF"))-1,96)/12))&amp;(MOD((COUNTIFS($B$2:$B482,"SER")+COUNTIFS($B$2:$B482,"PLH")+COUNTIFS($B$2:$B482,"CSF"))-1,12)+1),"N/A"),"")</f>
        <v/>
      </c>
      <c r="I482" s="6" t="str">
        <f>IF(AND($A482&lt;&gt;"",$B482&lt;&gt;"",$C482&lt;&gt;"",$D482&lt;&gt;""),IF(OR($B482="SER",$B482="PLH"),"Control MAX Planck Plate "&amp;(INT(((COUNTIFS($B$2:$B482,"SER")+COUNTIFS($B$2:$B482,"PLH"))-1)/96)+1)&amp;": "&amp;CHAR(65+INT(MOD((COUNTIFS($B$2:$B482,"SER")+COUNTIFS($B$2:$B482,"PLH"))-1,96)/12))&amp;(MOD((COUNTIFS($B$2:$B482,"SER")+COUNTIFS($B$2:$B482,"PLH"))-1,12)+1),"N/A"),"")</f>
        <v/>
      </c>
      <c r="J482" s="6" t="str">
        <f>IF(AND($A482&lt;&gt;"",$B482&lt;&gt;"",$C482&lt;&gt;"",$D482&lt;&gt;""),IF($B482="WB","Control WB Box "&amp;(INT((COUNTIFS($B$2:$B482,"WB")-1)/81)+1)&amp;": "&amp;CHAR(65+INT(MOD(COUNTIFS($B$2:$B482,"WB")-1,81)/9))&amp;(MOD(COUNTIFS($B$2:$B482,"WB")-1,9)+1),"N/A"),"")</f>
        <v/>
      </c>
      <c r="K482" s="3" t="str">
        <f t="shared" si="127"/>
        <v/>
      </c>
      <c r="L482" s="2"/>
      <c r="M482" s="2"/>
      <c r="N482" s="2"/>
      <c r="O482" s="7" t="str">
        <f t="shared" si="128"/>
        <v/>
      </c>
      <c r="P482" s="7" t="str">
        <f t="shared" si="129"/>
        <v/>
      </c>
      <c r="Q482" s="7" t="str">
        <f t="shared" si="130"/>
        <v/>
      </c>
      <c r="R482" s="7" t="str">
        <f t="shared" si="131"/>
        <v/>
      </c>
      <c r="S482" s="7" t="str">
        <f t="shared" si="132"/>
        <v/>
      </c>
      <c r="T482" s="7" t="str">
        <f t="shared" si="133"/>
        <v/>
      </c>
      <c r="U482" s="7" t="str">
        <f t="shared" si="134"/>
        <v/>
      </c>
      <c r="V482" s="7" t="str">
        <f t="shared" si="135"/>
        <v/>
      </c>
      <c r="W482" s="7" t="str">
        <f t="shared" si="136"/>
        <v/>
      </c>
      <c r="X482" s="7" t="str">
        <f t="shared" si="137"/>
        <v/>
      </c>
      <c r="Y482">
        <f t="shared" si="138"/>
        <v>0</v>
      </c>
      <c r="Z482" t="str">
        <f t="shared" si="139"/>
        <v/>
      </c>
      <c r="AA482" t="str">
        <f t="shared" si="140"/>
        <v/>
      </c>
      <c r="AB482" t="str">
        <f t="shared" si="141"/>
        <v/>
      </c>
      <c r="AC482" t="str">
        <f t="shared" si="142"/>
        <v/>
      </c>
      <c r="AD482">
        <f t="shared" si="143"/>
        <v>0</v>
      </c>
    </row>
    <row r="483" spans="1:30" ht="15" customHeight="1" x14ac:dyDescent="0.35">
      <c r="A483" s="2"/>
      <c r="B483" s="3"/>
      <c r="C483" s="4"/>
      <c r="D483" s="5"/>
      <c r="E483" s="11" t="str">
        <f t="shared" ca="1" si="126"/>
        <v/>
      </c>
      <c r="F483" s="5"/>
      <c r="G483" s="6" t="str">
        <f>IF(AND($A483&lt;&gt;"",$B483&lt;&gt;"",$C483&lt;&gt;"",$D483&lt;&gt;""),IF(OR($B483="SER",$B483="PLH",$B483="CSF"),"Control CDI Plate "&amp;(INT(((COUNTIFS($B$2:$B483,"SER")+COUNTIFS($B$2:$B483,"PLH")+COUNTIFS($B$2:$B483,"CSF"))-1)/96)+1)&amp;": "&amp;CHAR(65+INT(MOD((COUNTIFS($B$2:$B483,"SER")+COUNTIFS($B$2:$B483,"PLH")+COUNTIFS($B$2:$B483,"CSF"))-1,96)/12))&amp;(MOD((COUNTIFS($B$2:$B483,"SER")+COUNTIFS($B$2:$B483,"PLH")+COUNTIFS($B$2:$B483,"CSF"))-1,12)+1),"N/A"),"")</f>
        <v/>
      </c>
      <c r="H483" s="6" t="str">
        <f>IF(AND($A483&lt;&gt;"",$B483&lt;&gt;"",$C483&lt;&gt;"",$D483&lt;&gt;""),IF(OR($B483="SER",$B483="PLH",$B483="CSF"),"Control NIH Plate "&amp;(INT(((COUNTIFS($B$2:$B483,"SER")+COUNTIFS($B$2:$B483,"PLH")+COUNTIFS($B$2:$B483,"CSF"))-1)/96)+1)&amp;": "&amp;CHAR(65+INT(MOD((COUNTIFS($B$2:$B483,"SER")+COUNTIFS($B$2:$B483,"PLH")+COUNTIFS($B$2:$B483,"CSF"))-1,96)/12))&amp;(MOD((COUNTIFS($B$2:$B483,"SER")+COUNTIFS($B$2:$B483,"PLH")+COUNTIFS($B$2:$B483,"CSF"))-1,12)+1),"N/A"),"")</f>
        <v/>
      </c>
      <c r="I483" s="6" t="str">
        <f>IF(AND($A483&lt;&gt;"",$B483&lt;&gt;"",$C483&lt;&gt;"",$D483&lt;&gt;""),IF(OR($B483="SER",$B483="PLH"),"Control MAX Planck Plate "&amp;(INT(((COUNTIFS($B$2:$B483,"SER")+COUNTIFS($B$2:$B483,"PLH"))-1)/96)+1)&amp;": "&amp;CHAR(65+INT(MOD((COUNTIFS($B$2:$B483,"SER")+COUNTIFS($B$2:$B483,"PLH"))-1,96)/12))&amp;(MOD((COUNTIFS($B$2:$B483,"SER")+COUNTIFS($B$2:$B483,"PLH"))-1,12)+1),"N/A"),"")</f>
        <v/>
      </c>
      <c r="J483" s="6" t="str">
        <f>IF(AND($A483&lt;&gt;"",$B483&lt;&gt;"",$C483&lt;&gt;"",$D483&lt;&gt;""),IF($B483="WB","Control WB Box "&amp;(INT((COUNTIFS($B$2:$B483,"WB")-1)/81)+1)&amp;": "&amp;CHAR(65+INT(MOD(COUNTIFS($B$2:$B483,"WB")-1,81)/9))&amp;(MOD(COUNTIFS($B$2:$B483,"WB")-1,9)+1),"N/A"),"")</f>
        <v/>
      </c>
      <c r="K483" s="3" t="str">
        <f t="shared" si="127"/>
        <v/>
      </c>
      <c r="L483" s="2"/>
      <c r="M483" s="2"/>
      <c r="N483" s="2"/>
      <c r="O483" s="7" t="str">
        <f t="shared" si="128"/>
        <v/>
      </c>
      <c r="P483" s="7" t="str">
        <f t="shared" si="129"/>
        <v/>
      </c>
      <c r="Q483" s="7" t="str">
        <f t="shared" si="130"/>
        <v/>
      </c>
      <c r="R483" s="7" t="str">
        <f t="shared" si="131"/>
        <v/>
      </c>
      <c r="S483" s="7" t="str">
        <f t="shared" si="132"/>
        <v/>
      </c>
      <c r="T483" s="7" t="str">
        <f t="shared" si="133"/>
        <v/>
      </c>
      <c r="U483" s="7" t="str">
        <f t="shared" si="134"/>
        <v/>
      </c>
      <c r="V483" s="7" t="str">
        <f t="shared" si="135"/>
        <v/>
      </c>
      <c r="W483" s="7" t="str">
        <f t="shared" si="136"/>
        <v/>
      </c>
      <c r="X483" s="7" t="str">
        <f t="shared" si="137"/>
        <v/>
      </c>
      <c r="Y483">
        <f t="shared" si="138"/>
        <v>0</v>
      </c>
      <c r="Z483" t="str">
        <f t="shared" si="139"/>
        <v/>
      </c>
      <c r="AA483" t="str">
        <f t="shared" si="140"/>
        <v/>
      </c>
      <c r="AB483" t="str">
        <f t="shared" si="141"/>
        <v/>
      </c>
      <c r="AC483" t="str">
        <f t="shared" si="142"/>
        <v/>
      </c>
      <c r="AD483">
        <f t="shared" si="143"/>
        <v>0</v>
      </c>
    </row>
    <row r="484" spans="1:30" ht="15" customHeight="1" x14ac:dyDescent="0.35">
      <c r="A484" s="2"/>
      <c r="B484" s="3"/>
      <c r="C484" s="4"/>
      <c r="D484" s="5"/>
      <c r="E484" s="11" t="str">
        <f t="shared" ca="1" si="126"/>
        <v/>
      </c>
      <c r="F484" s="5"/>
      <c r="G484" s="6" t="str">
        <f>IF(AND($A484&lt;&gt;"",$B484&lt;&gt;"",$C484&lt;&gt;"",$D484&lt;&gt;""),IF(OR($B484="SER",$B484="PLH",$B484="CSF"),"Control CDI Plate "&amp;(INT(((COUNTIFS($B$2:$B484,"SER")+COUNTIFS($B$2:$B484,"PLH")+COUNTIFS($B$2:$B484,"CSF"))-1)/96)+1)&amp;": "&amp;CHAR(65+INT(MOD((COUNTIFS($B$2:$B484,"SER")+COUNTIFS($B$2:$B484,"PLH")+COUNTIFS($B$2:$B484,"CSF"))-1,96)/12))&amp;(MOD((COUNTIFS($B$2:$B484,"SER")+COUNTIFS($B$2:$B484,"PLH")+COUNTIFS($B$2:$B484,"CSF"))-1,12)+1),"N/A"),"")</f>
        <v/>
      </c>
      <c r="H484" s="6" t="str">
        <f>IF(AND($A484&lt;&gt;"",$B484&lt;&gt;"",$C484&lt;&gt;"",$D484&lt;&gt;""),IF(OR($B484="SER",$B484="PLH",$B484="CSF"),"Control NIH Plate "&amp;(INT(((COUNTIFS($B$2:$B484,"SER")+COUNTIFS($B$2:$B484,"PLH")+COUNTIFS($B$2:$B484,"CSF"))-1)/96)+1)&amp;": "&amp;CHAR(65+INT(MOD((COUNTIFS($B$2:$B484,"SER")+COUNTIFS($B$2:$B484,"PLH")+COUNTIFS($B$2:$B484,"CSF"))-1,96)/12))&amp;(MOD((COUNTIFS($B$2:$B484,"SER")+COUNTIFS($B$2:$B484,"PLH")+COUNTIFS($B$2:$B484,"CSF"))-1,12)+1),"N/A"),"")</f>
        <v/>
      </c>
      <c r="I484" s="6" t="str">
        <f>IF(AND($A484&lt;&gt;"",$B484&lt;&gt;"",$C484&lt;&gt;"",$D484&lt;&gt;""),IF(OR($B484="SER",$B484="PLH"),"Control MAX Planck Plate "&amp;(INT(((COUNTIFS($B$2:$B484,"SER")+COUNTIFS($B$2:$B484,"PLH"))-1)/96)+1)&amp;": "&amp;CHAR(65+INT(MOD((COUNTIFS($B$2:$B484,"SER")+COUNTIFS($B$2:$B484,"PLH"))-1,96)/12))&amp;(MOD((COUNTIFS($B$2:$B484,"SER")+COUNTIFS($B$2:$B484,"PLH"))-1,12)+1),"N/A"),"")</f>
        <v/>
      </c>
      <c r="J484" s="6" t="str">
        <f>IF(AND($A484&lt;&gt;"",$B484&lt;&gt;"",$C484&lt;&gt;"",$D484&lt;&gt;""),IF($B484="WB","Control WB Box "&amp;(INT((COUNTIFS($B$2:$B484,"WB")-1)/81)+1)&amp;": "&amp;CHAR(65+INT(MOD(COUNTIFS($B$2:$B484,"WB")-1,81)/9))&amp;(MOD(COUNTIFS($B$2:$B484,"WB")-1,9)+1),"N/A"),"")</f>
        <v/>
      </c>
      <c r="K484" s="3" t="str">
        <f t="shared" si="127"/>
        <v/>
      </c>
      <c r="L484" s="2"/>
      <c r="M484" s="2"/>
      <c r="N484" s="2"/>
      <c r="O484" s="7" t="str">
        <f t="shared" si="128"/>
        <v/>
      </c>
      <c r="P484" s="7" t="str">
        <f t="shared" si="129"/>
        <v/>
      </c>
      <c r="Q484" s="7" t="str">
        <f t="shared" si="130"/>
        <v/>
      </c>
      <c r="R484" s="7" t="str">
        <f t="shared" si="131"/>
        <v/>
      </c>
      <c r="S484" s="7" t="str">
        <f t="shared" si="132"/>
        <v/>
      </c>
      <c r="T484" s="7" t="str">
        <f t="shared" si="133"/>
        <v/>
      </c>
      <c r="U484" s="7" t="str">
        <f t="shared" si="134"/>
        <v/>
      </c>
      <c r="V484" s="7" t="str">
        <f t="shared" si="135"/>
        <v/>
      </c>
      <c r="W484" s="7" t="str">
        <f t="shared" si="136"/>
        <v/>
      </c>
      <c r="X484" s="7" t="str">
        <f t="shared" si="137"/>
        <v/>
      </c>
      <c r="Y484">
        <f t="shared" si="138"/>
        <v>0</v>
      </c>
      <c r="Z484" t="str">
        <f t="shared" si="139"/>
        <v/>
      </c>
      <c r="AA484" t="str">
        <f t="shared" si="140"/>
        <v/>
      </c>
      <c r="AB484" t="str">
        <f t="shared" si="141"/>
        <v/>
      </c>
      <c r="AC484" t="str">
        <f t="shared" si="142"/>
        <v/>
      </c>
      <c r="AD484">
        <f t="shared" si="143"/>
        <v>0</v>
      </c>
    </row>
    <row r="485" spans="1:30" ht="15" customHeight="1" x14ac:dyDescent="0.35">
      <c r="A485" s="2"/>
      <c r="B485" s="3"/>
      <c r="C485" s="4"/>
      <c r="D485" s="5"/>
      <c r="E485" s="11" t="str">
        <f t="shared" ca="1" si="126"/>
        <v/>
      </c>
      <c r="F485" s="5"/>
      <c r="G485" s="6" t="str">
        <f>IF(AND($A485&lt;&gt;"",$B485&lt;&gt;"",$C485&lt;&gt;"",$D485&lt;&gt;""),IF(OR($B485="SER",$B485="PLH",$B485="CSF"),"Control CDI Plate "&amp;(INT(((COUNTIFS($B$2:$B485,"SER")+COUNTIFS($B$2:$B485,"PLH")+COUNTIFS($B$2:$B485,"CSF"))-1)/96)+1)&amp;": "&amp;CHAR(65+INT(MOD((COUNTIFS($B$2:$B485,"SER")+COUNTIFS($B$2:$B485,"PLH")+COUNTIFS($B$2:$B485,"CSF"))-1,96)/12))&amp;(MOD((COUNTIFS($B$2:$B485,"SER")+COUNTIFS($B$2:$B485,"PLH")+COUNTIFS($B$2:$B485,"CSF"))-1,12)+1),"N/A"),"")</f>
        <v/>
      </c>
      <c r="H485" s="6" t="str">
        <f>IF(AND($A485&lt;&gt;"",$B485&lt;&gt;"",$C485&lt;&gt;"",$D485&lt;&gt;""),IF(OR($B485="SER",$B485="PLH",$B485="CSF"),"Control NIH Plate "&amp;(INT(((COUNTIFS($B$2:$B485,"SER")+COUNTIFS($B$2:$B485,"PLH")+COUNTIFS($B$2:$B485,"CSF"))-1)/96)+1)&amp;": "&amp;CHAR(65+INT(MOD((COUNTIFS($B$2:$B485,"SER")+COUNTIFS($B$2:$B485,"PLH")+COUNTIFS($B$2:$B485,"CSF"))-1,96)/12))&amp;(MOD((COUNTIFS($B$2:$B485,"SER")+COUNTIFS($B$2:$B485,"PLH")+COUNTIFS($B$2:$B485,"CSF"))-1,12)+1),"N/A"),"")</f>
        <v/>
      </c>
      <c r="I485" s="6" t="str">
        <f>IF(AND($A485&lt;&gt;"",$B485&lt;&gt;"",$C485&lt;&gt;"",$D485&lt;&gt;""),IF(OR($B485="SER",$B485="PLH"),"Control MAX Planck Plate "&amp;(INT(((COUNTIFS($B$2:$B485,"SER")+COUNTIFS($B$2:$B485,"PLH"))-1)/96)+1)&amp;": "&amp;CHAR(65+INT(MOD((COUNTIFS($B$2:$B485,"SER")+COUNTIFS($B$2:$B485,"PLH"))-1,96)/12))&amp;(MOD((COUNTIFS($B$2:$B485,"SER")+COUNTIFS($B$2:$B485,"PLH"))-1,12)+1),"N/A"),"")</f>
        <v/>
      </c>
      <c r="J485" s="6" t="str">
        <f>IF(AND($A485&lt;&gt;"",$B485&lt;&gt;"",$C485&lt;&gt;"",$D485&lt;&gt;""),IF($B485="WB","Control WB Box "&amp;(INT((COUNTIFS($B$2:$B485,"WB")-1)/81)+1)&amp;": "&amp;CHAR(65+INT(MOD(COUNTIFS($B$2:$B485,"WB")-1,81)/9))&amp;(MOD(COUNTIFS($B$2:$B485,"WB")-1,9)+1),"N/A"),"")</f>
        <v/>
      </c>
      <c r="K485" s="3" t="str">
        <f t="shared" si="127"/>
        <v/>
      </c>
      <c r="L485" s="2"/>
      <c r="M485" s="2"/>
      <c r="N485" s="2"/>
      <c r="O485" s="7" t="str">
        <f t="shared" si="128"/>
        <v/>
      </c>
      <c r="P485" s="7" t="str">
        <f t="shared" si="129"/>
        <v/>
      </c>
      <c r="Q485" s="7" t="str">
        <f t="shared" si="130"/>
        <v/>
      </c>
      <c r="R485" s="7" t="str">
        <f t="shared" si="131"/>
        <v/>
      </c>
      <c r="S485" s="7" t="str">
        <f t="shared" si="132"/>
        <v/>
      </c>
      <c r="T485" s="7" t="str">
        <f t="shared" si="133"/>
        <v/>
      </c>
      <c r="U485" s="7" t="str">
        <f t="shared" si="134"/>
        <v/>
      </c>
      <c r="V485" s="7" t="str">
        <f t="shared" si="135"/>
        <v/>
      </c>
      <c r="W485" s="7" t="str">
        <f t="shared" si="136"/>
        <v/>
      </c>
      <c r="X485" s="7" t="str">
        <f t="shared" si="137"/>
        <v/>
      </c>
      <c r="Y485">
        <f t="shared" si="138"/>
        <v>0</v>
      </c>
      <c r="Z485" t="str">
        <f t="shared" si="139"/>
        <v/>
      </c>
      <c r="AA485" t="str">
        <f t="shared" si="140"/>
        <v/>
      </c>
      <c r="AB485" t="str">
        <f t="shared" si="141"/>
        <v/>
      </c>
      <c r="AC485" t="str">
        <f t="shared" si="142"/>
        <v/>
      </c>
      <c r="AD485">
        <f t="shared" si="143"/>
        <v>0</v>
      </c>
    </row>
    <row r="486" spans="1:30" ht="15" customHeight="1" x14ac:dyDescent="0.35">
      <c r="A486" s="2"/>
      <c r="B486" s="3"/>
      <c r="C486" s="4"/>
      <c r="D486" s="5"/>
      <c r="E486" s="11" t="str">
        <f t="shared" ca="1" si="126"/>
        <v/>
      </c>
      <c r="F486" s="5"/>
      <c r="G486" s="6" t="str">
        <f>IF(AND($A486&lt;&gt;"",$B486&lt;&gt;"",$C486&lt;&gt;"",$D486&lt;&gt;""),IF(OR($B486="SER",$B486="PLH",$B486="CSF"),"Control CDI Plate "&amp;(INT(((COUNTIFS($B$2:$B486,"SER")+COUNTIFS($B$2:$B486,"PLH")+COUNTIFS($B$2:$B486,"CSF"))-1)/96)+1)&amp;": "&amp;CHAR(65+INT(MOD((COUNTIFS($B$2:$B486,"SER")+COUNTIFS($B$2:$B486,"PLH")+COUNTIFS($B$2:$B486,"CSF"))-1,96)/12))&amp;(MOD((COUNTIFS($B$2:$B486,"SER")+COUNTIFS($B$2:$B486,"PLH")+COUNTIFS($B$2:$B486,"CSF"))-1,12)+1),"N/A"),"")</f>
        <v/>
      </c>
      <c r="H486" s="6" t="str">
        <f>IF(AND($A486&lt;&gt;"",$B486&lt;&gt;"",$C486&lt;&gt;"",$D486&lt;&gt;""),IF(OR($B486="SER",$B486="PLH",$B486="CSF"),"Control NIH Plate "&amp;(INT(((COUNTIFS($B$2:$B486,"SER")+COUNTIFS($B$2:$B486,"PLH")+COUNTIFS($B$2:$B486,"CSF"))-1)/96)+1)&amp;": "&amp;CHAR(65+INT(MOD((COUNTIFS($B$2:$B486,"SER")+COUNTIFS($B$2:$B486,"PLH")+COUNTIFS($B$2:$B486,"CSF"))-1,96)/12))&amp;(MOD((COUNTIFS($B$2:$B486,"SER")+COUNTIFS($B$2:$B486,"PLH")+COUNTIFS($B$2:$B486,"CSF"))-1,12)+1),"N/A"),"")</f>
        <v/>
      </c>
      <c r="I486" s="6" t="str">
        <f>IF(AND($A486&lt;&gt;"",$B486&lt;&gt;"",$C486&lt;&gt;"",$D486&lt;&gt;""),IF(OR($B486="SER",$B486="PLH"),"Control MAX Planck Plate "&amp;(INT(((COUNTIFS($B$2:$B486,"SER")+COUNTIFS($B$2:$B486,"PLH"))-1)/96)+1)&amp;": "&amp;CHAR(65+INT(MOD((COUNTIFS($B$2:$B486,"SER")+COUNTIFS($B$2:$B486,"PLH"))-1,96)/12))&amp;(MOD((COUNTIFS($B$2:$B486,"SER")+COUNTIFS($B$2:$B486,"PLH"))-1,12)+1),"N/A"),"")</f>
        <v/>
      </c>
      <c r="J486" s="6" t="str">
        <f>IF(AND($A486&lt;&gt;"",$B486&lt;&gt;"",$C486&lt;&gt;"",$D486&lt;&gt;""),IF($B486="WB","Control WB Box "&amp;(INT((COUNTIFS($B$2:$B486,"WB")-1)/81)+1)&amp;": "&amp;CHAR(65+INT(MOD(COUNTIFS($B$2:$B486,"WB")-1,81)/9))&amp;(MOD(COUNTIFS($B$2:$B486,"WB")-1,9)+1),"N/A"),"")</f>
        <v/>
      </c>
      <c r="K486" s="3" t="str">
        <f t="shared" si="127"/>
        <v/>
      </c>
      <c r="L486" s="2"/>
      <c r="M486" s="2"/>
      <c r="N486" s="2"/>
      <c r="O486" s="7" t="str">
        <f t="shared" si="128"/>
        <v/>
      </c>
      <c r="P486" s="7" t="str">
        <f t="shared" si="129"/>
        <v/>
      </c>
      <c r="Q486" s="7" t="str">
        <f t="shared" si="130"/>
        <v/>
      </c>
      <c r="R486" s="7" t="str">
        <f t="shared" si="131"/>
        <v/>
      </c>
      <c r="S486" s="7" t="str">
        <f t="shared" si="132"/>
        <v/>
      </c>
      <c r="T486" s="7" t="str">
        <f t="shared" si="133"/>
        <v/>
      </c>
      <c r="U486" s="7" t="str">
        <f t="shared" si="134"/>
        <v/>
      </c>
      <c r="V486" s="7" t="str">
        <f t="shared" si="135"/>
        <v/>
      </c>
      <c r="W486" s="7" t="str">
        <f t="shared" si="136"/>
        <v/>
      </c>
      <c r="X486" s="7" t="str">
        <f t="shared" si="137"/>
        <v/>
      </c>
      <c r="Y486">
        <f t="shared" si="138"/>
        <v>0</v>
      </c>
      <c r="Z486" t="str">
        <f t="shared" si="139"/>
        <v/>
      </c>
      <c r="AA486" t="str">
        <f t="shared" si="140"/>
        <v/>
      </c>
      <c r="AB486" t="str">
        <f t="shared" si="141"/>
        <v/>
      </c>
      <c r="AC486" t="str">
        <f t="shared" si="142"/>
        <v/>
      </c>
      <c r="AD486">
        <f t="shared" si="143"/>
        <v>0</v>
      </c>
    </row>
    <row r="487" spans="1:30" ht="15" customHeight="1" x14ac:dyDescent="0.35">
      <c r="A487" s="2"/>
      <c r="B487" s="3"/>
      <c r="C487" s="4"/>
      <c r="D487" s="5"/>
      <c r="E487" s="11" t="str">
        <f t="shared" ca="1" si="126"/>
        <v/>
      </c>
      <c r="F487" s="5"/>
      <c r="G487" s="6" t="str">
        <f>IF(AND($A487&lt;&gt;"",$B487&lt;&gt;"",$C487&lt;&gt;"",$D487&lt;&gt;""),IF(OR($B487="SER",$B487="PLH",$B487="CSF"),"Control CDI Plate "&amp;(INT(((COUNTIFS($B$2:$B487,"SER")+COUNTIFS($B$2:$B487,"PLH")+COUNTIFS($B$2:$B487,"CSF"))-1)/96)+1)&amp;": "&amp;CHAR(65+INT(MOD((COUNTIFS($B$2:$B487,"SER")+COUNTIFS($B$2:$B487,"PLH")+COUNTIFS($B$2:$B487,"CSF"))-1,96)/12))&amp;(MOD((COUNTIFS($B$2:$B487,"SER")+COUNTIFS($B$2:$B487,"PLH")+COUNTIFS($B$2:$B487,"CSF"))-1,12)+1),"N/A"),"")</f>
        <v/>
      </c>
      <c r="H487" s="6" t="str">
        <f>IF(AND($A487&lt;&gt;"",$B487&lt;&gt;"",$C487&lt;&gt;"",$D487&lt;&gt;""),IF(OR($B487="SER",$B487="PLH",$B487="CSF"),"Control NIH Plate "&amp;(INT(((COUNTIFS($B$2:$B487,"SER")+COUNTIFS($B$2:$B487,"PLH")+COUNTIFS($B$2:$B487,"CSF"))-1)/96)+1)&amp;": "&amp;CHAR(65+INT(MOD((COUNTIFS($B$2:$B487,"SER")+COUNTIFS($B$2:$B487,"PLH")+COUNTIFS($B$2:$B487,"CSF"))-1,96)/12))&amp;(MOD((COUNTIFS($B$2:$B487,"SER")+COUNTIFS($B$2:$B487,"PLH")+COUNTIFS($B$2:$B487,"CSF"))-1,12)+1),"N/A"),"")</f>
        <v/>
      </c>
      <c r="I487" s="6" t="str">
        <f>IF(AND($A487&lt;&gt;"",$B487&lt;&gt;"",$C487&lt;&gt;"",$D487&lt;&gt;""),IF(OR($B487="SER",$B487="PLH"),"Control MAX Planck Plate "&amp;(INT(((COUNTIFS($B$2:$B487,"SER")+COUNTIFS($B$2:$B487,"PLH"))-1)/96)+1)&amp;": "&amp;CHAR(65+INT(MOD((COUNTIFS($B$2:$B487,"SER")+COUNTIFS($B$2:$B487,"PLH"))-1,96)/12))&amp;(MOD((COUNTIFS($B$2:$B487,"SER")+COUNTIFS($B$2:$B487,"PLH"))-1,12)+1),"N/A"),"")</f>
        <v/>
      </c>
      <c r="J487" s="6" t="str">
        <f>IF(AND($A487&lt;&gt;"",$B487&lt;&gt;"",$C487&lt;&gt;"",$D487&lt;&gt;""),IF($B487="WB","Control WB Box "&amp;(INT((COUNTIFS($B$2:$B487,"WB")-1)/81)+1)&amp;": "&amp;CHAR(65+INT(MOD(COUNTIFS($B$2:$B487,"WB")-1,81)/9))&amp;(MOD(COUNTIFS($B$2:$B487,"WB")-1,9)+1),"N/A"),"")</f>
        <v/>
      </c>
      <c r="K487" s="3" t="str">
        <f t="shared" si="127"/>
        <v/>
      </c>
      <c r="L487" s="2"/>
      <c r="M487" s="2"/>
      <c r="N487" s="2"/>
      <c r="O487" s="7" t="str">
        <f t="shared" si="128"/>
        <v/>
      </c>
      <c r="P487" s="7" t="str">
        <f t="shared" si="129"/>
        <v/>
      </c>
      <c r="Q487" s="7" t="str">
        <f t="shared" si="130"/>
        <v/>
      </c>
      <c r="R487" s="7" t="str">
        <f t="shared" si="131"/>
        <v/>
      </c>
      <c r="S487" s="7" t="str">
        <f t="shared" si="132"/>
        <v/>
      </c>
      <c r="T487" s="7" t="str">
        <f t="shared" si="133"/>
        <v/>
      </c>
      <c r="U487" s="7" t="str">
        <f t="shared" si="134"/>
        <v/>
      </c>
      <c r="V487" s="7" t="str">
        <f t="shared" si="135"/>
        <v/>
      </c>
      <c r="W487" s="7" t="str">
        <f t="shared" si="136"/>
        <v/>
      </c>
      <c r="X487" s="7" t="str">
        <f t="shared" si="137"/>
        <v/>
      </c>
      <c r="Y487">
        <f t="shared" si="138"/>
        <v>0</v>
      </c>
      <c r="Z487" t="str">
        <f t="shared" si="139"/>
        <v/>
      </c>
      <c r="AA487" t="str">
        <f t="shared" si="140"/>
        <v/>
      </c>
      <c r="AB487" t="str">
        <f t="shared" si="141"/>
        <v/>
      </c>
      <c r="AC487" t="str">
        <f t="shared" si="142"/>
        <v/>
      </c>
      <c r="AD487">
        <f t="shared" si="143"/>
        <v>0</v>
      </c>
    </row>
    <row r="488" spans="1:30" ht="15" customHeight="1" x14ac:dyDescent="0.35">
      <c r="A488" s="2"/>
      <c r="B488" s="3"/>
      <c r="C488" s="4"/>
      <c r="D488" s="5"/>
      <c r="E488" s="11" t="str">
        <f t="shared" ca="1" si="126"/>
        <v/>
      </c>
      <c r="F488" s="5"/>
      <c r="G488" s="6" t="str">
        <f>IF(AND($A488&lt;&gt;"",$B488&lt;&gt;"",$C488&lt;&gt;"",$D488&lt;&gt;""),IF(OR($B488="SER",$B488="PLH",$B488="CSF"),"Control CDI Plate "&amp;(INT(((COUNTIFS($B$2:$B488,"SER")+COUNTIFS($B$2:$B488,"PLH")+COUNTIFS($B$2:$B488,"CSF"))-1)/96)+1)&amp;": "&amp;CHAR(65+INT(MOD((COUNTIFS($B$2:$B488,"SER")+COUNTIFS($B$2:$B488,"PLH")+COUNTIFS($B$2:$B488,"CSF"))-1,96)/12))&amp;(MOD((COUNTIFS($B$2:$B488,"SER")+COUNTIFS($B$2:$B488,"PLH")+COUNTIFS($B$2:$B488,"CSF"))-1,12)+1),"N/A"),"")</f>
        <v/>
      </c>
      <c r="H488" s="6" t="str">
        <f>IF(AND($A488&lt;&gt;"",$B488&lt;&gt;"",$C488&lt;&gt;"",$D488&lt;&gt;""),IF(OR($B488="SER",$B488="PLH",$B488="CSF"),"Control NIH Plate "&amp;(INT(((COUNTIFS($B$2:$B488,"SER")+COUNTIFS($B$2:$B488,"PLH")+COUNTIFS($B$2:$B488,"CSF"))-1)/96)+1)&amp;": "&amp;CHAR(65+INT(MOD((COUNTIFS($B$2:$B488,"SER")+COUNTIFS($B$2:$B488,"PLH")+COUNTIFS($B$2:$B488,"CSF"))-1,96)/12))&amp;(MOD((COUNTIFS($B$2:$B488,"SER")+COUNTIFS($B$2:$B488,"PLH")+COUNTIFS($B$2:$B488,"CSF"))-1,12)+1),"N/A"),"")</f>
        <v/>
      </c>
      <c r="I488" s="6" t="str">
        <f>IF(AND($A488&lt;&gt;"",$B488&lt;&gt;"",$C488&lt;&gt;"",$D488&lt;&gt;""),IF(OR($B488="SER",$B488="PLH"),"Control MAX Planck Plate "&amp;(INT(((COUNTIFS($B$2:$B488,"SER")+COUNTIFS($B$2:$B488,"PLH"))-1)/96)+1)&amp;": "&amp;CHAR(65+INT(MOD((COUNTIFS($B$2:$B488,"SER")+COUNTIFS($B$2:$B488,"PLH"))-1,96)/12))&amp;(MOD((COUNTIFS($B$2:$B488,"SER")+COUNTIFS($B$2:$B488,"PLH"))-1,12)+1),"N/A"),"")</f>
        <v/>
      </c>
      <c r="J488" s="6" t="str">
        <f>IF(AND($A488&lt;&gt;"",$B488&lt;&gt;"",$C488&lt;&gt;"",$D488&lt;&gt;""),IF($B488="WB","Control WB Box "&amp;(INT((COUNTIFS($B$2:$B488,"WB")-1)/81)+1)&amp;": "&amp;CHAR(65+INT(MOD(COUNTIFS($B$2:$B488,"WB")-1,81)/9))&amp;(MOD(COUNTIFS($B$2:$B488,"WB")-1,9)+1),"N/A"),"")</f>
        <v/>
      </c>
      <c r="K488" s="3" t="str">
        <f t="shared" si="127"/>
        <v/>
      </c>
      <c r="L488" s="2"/>
      <c r="M488" s="2"/>
      <c r="N488" s="2"/>
      <c r="O488" s="7" t="str">
        <f t="shared" si="128"/>
        <v/>
      </c>
      <c r="P488" s="7" t="str">
        <f t="shared" si="129"/>
        <v/>
      </c>
      <c r="Q488" s="7" t="str">
        <f t="shared" si="130"/>
        <v/>
      </c>
      <c r="R488" s="7" t="str">
        <f t="shared" si="131"/>
        <v/>
      </c>
      <c r="S488" s="7" t="str">
        <f t="shared" si="132"/>
        <v/>
      </c>
      <c r="T488" s="7" t="str">
        <f t="shared" si="133"/>
        <v/>
      </c>
      <c r="U488" s="7" t="str">
        <f t="shared" si="134"/>
        <v/>
      </c>
      <c r="V488" s="7" t="str">
        <f t="shared" si="135"/>
        <v/>
      </c>
      <c r="W488" s="7" t="str">
        <f t="shared" si="136"/>
        <v/>
      </c>
      <c r="X488" s="7" t="str">
        <f t="shared" si="137"/>
        <v/>
      </c>
      <c r="Y488">
        <f t="shared" si="138"/>
        <v>0</v>
      </c>
      <c r="Z488" t="str">
        <f t="shared" si="139"/>
        <v/>
      </c>
      <c r="AA488" t="str">
        <f t="shared" si="140"/>
        <v/>
      </c>
      <c r="AB488" t="str">
        <f t="shared" si="141"/>
        <v/>
      </c>
      <c r="AC488" t="str">
        <f t="shared" si="142"/>
        <v/>
      </c>
      <c r="AD488">
        <f t="shared" si="143"/>
        <v>0</v>
      </c>
    </row>
    <row r="489" spans="1:30" ht="15" customHeight="1" x14ac:dyDescent="0.35">
      <c r="A489" s="2"/>
      <c r="B489" s="3"/>
      <c r="C489" s="4"/>
      <c r="D489" s="5"/>
      <c r="E489" s="11" t="str">
        <f t="shared" ca="1" si="126"/>
        <v/>
      </c>
      <c r="F489" s="5"/>
      <c r="G489" s="6" t="str">
        <f>IF(AND($A489&lt;&gt;"",$B489&lt;&gt;"",$C489&lt;&gt;"",$D489&lt;&gt;""),IF(OR($B489="SER",$B489="PLH",$B489="CSF"),"Control CDI Plate "&amp;(INT(((COUNTIFS($B$2:$B489,"SER")+COUNTIFS($B$2:$B489,"PLH")+COUNTIFS($B$2:$B489,"CSF"))-1)/96)+1)&amp;": "&amp;CHAR(65+INT(MOD((COUNTIFS($B$2:$B489,"SER")+COUNTIFS($B$2:$B489,"PLH")+COUNTIFS($B$2:$B489,"CSF"))-1,96)/12))&amp;(MOD((COUNTIFS($B$2:$B489,"SER")+COUNTIFS($B$2:$B489,"PLH")+COUNTIFS($B$2:$B489,"CSF"))-1,12)+1),"N/A"),"")</f>
        <v/>
      </c>
      <c r="H489" s="6" t="str">
        <f>IF(AND($A489&lt;&gt;"",$B489&lt;&gt;"",$C489&lt;&gt;"",$D489&lt;&gt;""),IF(OR($B489="SER",$B489="PLH",$B489="CSF"),"Control NIH Plate "&amp;(INT(((COUNTIFS($B$2:$B489,"SER")+COUNTIFS($B$2:$B489,"PLH")+COUNTIFS($B$2:$B489,"CSF"))-1)/96)+1)&amp;": "&amp;CHAR(65+INT(MOD((COUNTIFS($B$2:$B489,"SER")+COUNTIFS($B$2:$B489,"PLH")+COUNTIFS($B$2:$B489,"CSF"))-1,96)/12))&amp;(MOD((COUNTIFS($B$2:$B489,"SER")+COUNTIFS($B$2:$B489,"PLH")+COUNTIFS($B$2:$B489,"CSF"))-1,12)+1),"N/A"),"")</f>
        <v/>
      </c>
      <c r="I489" s="6" t="str">
        <f>IF(AND($A489&lt;&gt;"",$B489&lt;&gt;"",$C489&lt;&gt;"",$D489&lt;&gt;""),IF(OR($B489="SER",$B489="PLH"),"Control MAX Planck Plate "&amp;(INT(((COUNTIFS($B$2:$B489,"SER")+COUNTIFS($B$2:$B489,"PLH"))-1)/96)+1)&amp;": "&amp;CHAR(65+INT(MOD((COUNTIFS($B$2:$B489,"SER")+COUNTIFS($B$2:$B489,"PLH"))-1,96)/12))&amp;(MOD((COUNTIFS($B$2:$B489,"SER")+COUNTIFS($B$2:$B489,"PLH"))-1,12)+1),"N/A"),"")</f>
        <v/>
      </c>
      <c r="J489" s="6" t="str">
        <f>IF(AND($A489&lt;&gt;"",$B489&lt;&gt;"",$C489&lt;&gt;"",$D489&lt;&gt;""),IF($B489="WB","Control WB Box "&amp;(INT((COUNTIFS($B$2:$B489,"WB")-1)/81)+1)&amp;": "&amp;CHAR(65+INT(MOD(COUNTIFS($B$2:$B489,"WB")-1,81)/9))&amp;(MOD(COUNTIFS($B$2:$B489,"WB")-1,9)+1),"N/A"),"")</f>
        <v/>
      </c>
      <c r="K489" s="3" t="str">
        <f t="shared" si="127"/>
        <v/>
      </c>
      <c r="L489" s="2"/>
      <c r="M489" s="2"/>
      <c r="N489" s="2"/>
      <c r="O489" s="7" t="str">
        <f t="shared" si="128"/>
        <v/>
      </c>
      <c r="P489" s="7" t="str">
        <f t="shared" si="129"/>
        <v/>
      </c>
      <c r="Q489" s="7" t="str">
        <f t="shared" si="130"/>
        <v/>
      </c>
      <c r="R489" s="7" t="str">
        <f t="shared" si="131"/>
        <v/>
      </c>
      <c r="S489" s="7" t="str">
        <f t="shared" si="132"/>
        <v/>
      </c>
      <c r="T489" s="7" t="str">
        <f t="shared" si="133"/>
        <v/>
      </c>
      <c r="U489" s="7" t="str">
        <f t="shared" si="134"/>
        <v/>
      </c>
      <c r="V489" s="7" t="str">
        <f t="shared" si="135"/>
        <v/>
      </c>
      <c r="W489" s="7" t="str">
        <f t="shared" si="136"/>
        <v/>
      </c>
      <c r="X489" s="7" t="str">
        <f t="shared" si="137"/>
        <v/>
      </c>
      <c r="Y489">
        <f t="shared" si="138"/>
        <v>0</v>
      </c>
      <c r="Z489" t="str">
        <f t="shared" si="139"/>
        <v/>
      </c>
      <c r="AA489" t="str">
        <f t="shared" si="140"/>
        <v/>
      </c>
      <c r="AB489" t="str">
        <f t="shared" si="141"/>
        <v/>
      </c>
      <c r="AC489" t="str">
        <f t="shared" si="142"/>
        <v/>
      </c>
      <c r="AD489">
        <f t="shared" si="143"/>
        <v>0</v>
      </c>
    </row>
    <row r="490" spans="1:30" ht="15" customHeight="1" x14ac:dyDescent="0.35">
      <c r="A490" s="2"/>
      <c r="B490" s="3"/>
      <c r="C490" s="4"/>
      <c r="D490" s="5"/>
      <c r="E490" s="11" t="str">
        <f t="shared" ca="1" si="126"/>
        <v/>
      </c>
      <c r="F490" s="5"/>
      <c r="G490" s="6" t="str">
        <f>IF(AND($A490&lt;&gt;"",$B490&lt;&gt;"",$C490&lt;&gt;"",$D490&lt;&gt;""),IF(OR($B490="SER",$B490="PLH",$B490="CSF"),"Control CDI Plate "&amp;(INT(((COUNTIFS($B$2:$B490,"SER")+COUNTIFS($B$2:$B490,"PLH")+COUNTIFS($B$2:$B490,"CSF"))-1)/96)+1)&amp;": "&amp;CHAR(65+INT(MOD((COUNTIFS($B$2:$B490,"SER")+COUNTIFS($B$2:$B490,"PLH")+COUNTIFS($B$2:$B490,"CSF"))-1,96)/12))&amp;(MOD((COUNTIFS($B$2:$B490,"SER")+COUNTIFS($B$2:$B490,"PLH")+COUNTIFS($B$2:$B490,"CSF"))-1,12)+1),"N/A"),"")</f>
        <v/>
      </c>
      <c r="H490" s="6" t="str">
        <f>IF(AND($A490&lt;&gt;"",$B490&lt;&gt;"",$C490&lt;&gt;"",$D490&lt;&gt;""),IF(OR($B490="SER",$B490="PLH",$B490="CSF"),"Control NIH Plate "&amp;(INT(((COUNTIFS($B$2:$B490,"SER")+COUNTIFS($B$2:$B490,"PLH")+COUNTIFS($B$2:$B490,"CSF"))-1)/96)+1)&amp;": "&amp;CHAR(65+INT(MOD((COUNTIFS($B$2:$B490,"SER")+COUNTIFS($B$2:$B490,"PLH")+COUNTIFS($B$2:$B490,"CSF"))-1,96)/12))&amp;(MOD((COUNTIFS($B$2:$B490,"SER")+COUNTIFS($B$2:$B490,"PLH")+COUNTIFS($B$2:$B490,"CSF"))-1,12)+1),"N/A"),"")</f>
        <v/>
      </c>
      <c r="I490" s="6" t="str">
        <f>IF(AND($A490&lt;&gt;"",$B490&lt;&gt;"",$C490&lt;&gt;"",$D490&lt;&gt;""),IF(OR($B490="SER",$B490="PLH"),"Control MAX Planck Plate "&amp;(INT(((COUNTIFS($B$2:$B490,"SER")+COUNTIFS($B$2:$B490,"PLH"))-1)/96)+1)&amp;": "&amp;CHAR(65+INT(MOD((COUNTIFS($B$2:$B490,"SER")+COUNTIFS($B$2:$B490,"PLH"))-1,96)/12))&amp;(MOD((COUNTIFS($B$2:$B490,"SER")+COUNTIFS($B$2:$B490,"PLH"))-1,12)+1),"N/A"),"")</f>
        <v/>
      </c>
      <c r="J490" s="6" t="str">
        <f>IF(AND($A490&lt;&gt;"",$B490&lt;&gt;"",$C490&lt;&gt;"",$D490&lt;&gt;""),IF($B490="WB","Control WB Box "&amp;(INT((COUNTIFS($B$2:$B490,"WB")-1)/81)+1)&amp;": "&amp;CHAR(65+INT(MOD(COUNTIFS($B$2:$B490,"WB")-1,81)/9))&amp;(MOD(COUNTIFS($B$2:$B490,"WB")-1,9)+1),"N/A"),"")</f>
        <v/>
      </c>
      <c r="K490" s="3" t="str">
        <f t="shared" si="127"/>
        <v/>
      </c>
      <c r="L490" s="2"/>
      <c r="M490" s="2"/>
      <c r="N490" s="2"/>
      <c r="O490" s="7" t="str">
        <f t="shared" si="128"/>
        <v/>
      </c>
      <c r="P490" s="7" t="str">
        <f t="shared" si="129"/>
        <v/>
      </c>
      <c r="Q490" s="7" t="str">
        <f t="shared" si="130"/>
        <v/>
      </c>
      <c r="R490" s="7" t="str">
        <f t="shared" si="131"/>
        <v/>
      </c>
      <c r="S490" s="7" t="str">
        <f t="shared" si="132"/>
        <v/>
      </c>
      <c r="T490" s="7" t="str">
        <f t="shared" si="133"/>
        <v/>
      </c>
      <c r="U490" s="7" t="str">
        <f t="shared" si="134"/>
        <v/>
      </c>
      <c r="V490" s="7" t="str">
        <f t="shared" si="135"/>
        <v/>
      </c>
      <c r="W490" s="7" t="str">
        <f t="shared" si="136"/>
        <v/>
      </c>
      <c r="X490" s="7" t="str">
        <f t="shared" si="137"/>
        <v/>
      </c>
      <c r="Y490">
        <f t="shared" si="138"/>
        <v>0</v>
      </c>
      <c r="Z490" t="str">
        <f t="shared" si="139"/>
        <v/>
      </c>
      <c r="AA490" t="str">
        <f t="shared" si="140"/>
        <v/>
      </c>
      <c r="AB490" t="str">
        <f t="shared" si="141"/>
        <v/>
      </c>
      <c r="AC490" t="str">
        <f t="shared" si="142"/>
        <v/>
      </c>
      <c r="AD490">
        <f t="shared" si="143"/>
        <v>0</v>
      </c>
    </row>
    <row r="491" spans="1:30" ht="15" customHeight="1" x14ac:dyDescent="0.35">
      <c r="A491" s="2"/>
      <c r="B491" s="3"/>
      <c r="C491" s="4"/>
      <c r="D491" s="5"/>
      <c r="E491" s="11" t="str">
        <f t="shared" ca="1" si="126"/>
        <v/>
      </c>
      <c r="F491" s="5"/>
      <c r="G491" s="6" t="str">
        <f>IF(AND($A491&lt;&gt;"",$B491&lt;&gt;"",$C491&lt;&gt;"",$D491&lt;&gt;""),IF(OR($B491="SER",$B491="PLH",$B491="CSF"),"Control CDI Plate "&amp;(INT(((COUNTIFS($B$2:$B491,"SER")+COUNTIFS($B$2:$B491,"PLH")+COUNTIFS($B$2:$B491,"CSF"))-1)/96)+1)&amp;": "&amp;CHAR(65+INT(MOD((COUNTIFS($B$2:$B491,"SER")+COUNTIFS($B$2:$B491,"PLH")+COUNTIFS($B$2:$B491,"CSF"))-1,96)/12))&amp;(MOD((COUNTIFS($B$2:$B491,"SER")+COUNTIFS($B$2:$B491,"PLH")+COUNTIFS($B$2:$B491,"CSF"))-1,12)+1),"N/A"),"")</f>
        <v/>
      </c>
      <c r="H491" s="6" t="str">
        <f>IF(AND($A491&lt;&gt;"",$B491&lt;&gt;"",$C491&lt;&gt;"",$D491&lt;&gt;""),IF(OR($B491="SER",$B491="PLH",$B491="CSF"),"Control NIH Plate "&amp;(INT(((COUNTIFS($B$2:$B491,"SER")+COUNTIFS($B$2:$B491,"PLH")+COUNTIFS($B$2:$B491,"CSF"))-1)/96)+1)&amp;": "&amp;CHAR(65+INT(MOD((COUNTIFS($B$2:$B491,"SER")+COUNTIFS($B$2:$B491,"PLH")+COUNTIFS($B$2:$B491,"CSF"))-1,96)/12))&amp;(MOD((COUNTIFS($B$2:$B491,"SER")+COUNTIFS($B$2:$B491,"PLH")+COUNTIFS($B$2:$B491,"CSF"))-1,12)+1),"N/A"),"")</f>
        <v/>
      </c>
      <c r="I491" s="6" t="str">
        <f>IF(AND($A491&lt;&gt;"",$B491&lt;&gt;"",$C491&lt;&gt;"",$D491&lt;&gt;""),IF(OR($B491="SER",$B491="PLH"),"Control MAX Planck Plate "&amp;(INT(((COUNTIFS($B$2:$B491,"SER")+COUNTIFS($B$2:$B491,"PLH"))-1)/96)+1)&amp;": "&amp;CHAR(65+INT(MOD((COUNTIFS($B$2:$B491,"SER")+COUNTIFS($B$2:$B491,"PLH"))-1,96)/12))&amp;(MOD((COUNTIFS($B$2:$B491,"SER")+COUNTIFS($B$2:$B491,"PLH"))-1,12)+1),"N/A"),"")</f>
        <v/>
      </c>
      <c r="J491" s="6" t="str">
        <f>IF(AND($A491&lt;&gt;"",$B491&lt;&gt;"",$C491&lt;&gt;"",$D491&lt;&gt;""),IF($B491="WB","Control WB Box "&amp;(INT((COUNTIFS($B$2:$B491,"WB")-1)/81)+1)&amp;": "&amp;CHAR(65+INT(MOD(COUNTIFS($B$2:$B491,"WB")-1,81)/9))&amp;(MOD(COUNTIFS($B$2:$B491,"WB")-1,9)+1),"N/A"),"")</f>
        <v/>
      </c>
      <c r="K491" s="3" t="str">
        <f t="shared" si="127"/>
        <v/>
      </c>
      <c r="L491" s="2"/>
      <c r="M491" s="2"/>
      <c r="N491" s="2"/>
      <c r="O491" s="7" t="str">
        <f t="shared" si="128"/>
        <v/>
      </c>
      <c r="P491" s="7" t="str">
        <f t="shared" si="129"/>
        <v/>
      </c>
      <c r="Q491" s="7" t="str">
        <f t="shared" si="130"/>
        <v/>
      </c>
      <c r="R491" s="7" t="str">
        <f t="shared" si="131"/>
        <v/>
      </c>
      <c r="S491" s="7" t="str">
        <f t="shared" si="132"/>
        <v/>
      </c>
      <c r="T491" s="7" t="str">
        <f t="shared" si="133"/>
        <v/>
      </c>
      <c r="U491" s="7" t="str">
        <f t="shared" si="134"/>
        <v/>
      </c>
      <c r="V491" s="7" t="str">
        <f t="shared" si="135"/>
        <v/>
      </c>
      <c r="W491" s="7" t="str">
        <f t="shared" si="136"/>
        <v/>
      </c>
      <c r="X491" s="7" t="str">
        <f t="shared" si="137"/>
        <v/>
      </c>
      <c r="Y491">
        <f t="shared" si="138"/>
        <v>0</v>
      </c>
      <c r="Z491" t="str">
        <f t="shared" si="139"/>
        <v/>
      </c>
      <c r="AA491" t="str">
        <f t="shared" si="140"/>
        <v/>
      </c>
      <c r="AB491" t="str">
        <f t="shared" si="141"/>
        <v/>
      </c>
      <c r="AC491" t="str">
        <f t="shared" si="142"/>
        <v/>
      </c>
      <c r="AD491">
        <f t="shared" si="143"/>
        <v>0</v>
      </c>
    </row>
    <row r="492" spans="1:30" ht="15" customHeight="1" x14ac:dyDescent="0.35">
      <c r="A492" s="2"/>
      <c r="B492" s="3"/>
      <c r="C492" s="4"/>
      <c r="D492" s="5"/>
      <c r="E492" s="11" t="str">
        <f t="shared" ca="1" si="126"/>
        <v/>
      </c>
      <c r="F492" s="5"/>
      <c r="G492" s="6" t="str">
        <f>IF(AND($A492&lt;&gt;"",$B492&lt;&gt;"",$C492&lt;&gt;"",$D492&lt;&gt;""),IF(OR($B492="SER",$B492="PLH",$B492="CSF"),"Control CDI Plate "&amp;(INT(((COUNTIFS($B$2:$B492,"SER")+COUNTIFS($B$2:$B492,"PLH")+COUNTIFS($B$2:$B492,"CSF"))-1)/96)+1)&amp;": "&amp;CHAR(65+INT(MOD((COUNTIFS($B$2:$B492,"SER")+COUNTIFS($B$2:$B492,"PLH")+COUNTIFS($B$2:$B492,"CSF"))-1,96)/12))&amp;(MOD((COUNTIFS($B$2:$B492,"SER")+COUNTIFS($B$2:$B492,"PLH")+COUNTIFS($B$2:$B492,"CSF"))-1,12)+1),"N/A"),"")</f>
        <v/>
      </c>
      <c r="H492" s="6" t="str">
        <f>IF(AND($A492&lt;&gt;"",$B492&lt;&gt;"",$C492&lt;&gt;"",$D492&lt;&gt;""),IF(OR($B492="SER",$B492="PLH",$B492="CSF"),"Control NIH Plate "&amp;(INT(((COUNTIFS($B$2:$B492,"SER")+COUNTIFS($B$2:$B492,"PLH")+COUNTIFS($B$2:$B492,"CSF"))-1)/96)+1)&amp;": "&amp;CHAR(65+INT(MOD((COUNTIFS($B$2:$B492,"SER")+COUNTIFS($B$2:$B492,"PLH")+COUNTIFS($B$2:$B492,"CSF"))-1,96)/12))&amp;(MOD((COUNTIFS($B$2:$B492,"SER")+COUNTIFS($B$2:$B492,"PLH")+COUNTIFS($B$2:$B492,"CSF"))-1,12)+1),"N/A"),"")</f>
        <v/>
      </c>
      <c r="I492" s="6" t="str">
        <f>IF(AND($A492&lt;&gt;"",$B492&lt;&gt;"",$C492&lt;&gt;"",$D492&lt;&gt;""),IF(OR($B492="SER",$B492="PLH"),"Control MAX Planck Plate "&amp;(INT(((COUNTIFS($B$2:$B492,"SER")+COUNTIFS($B$2:$B492,"PLH"))-1)/96)+1)&amp;": "&amp;CHAR(65+INT(MOD((COUNTIFS($B$2:$B492,"SER")+COUNTIFS($B$2:$B492,"PLH"))-1,96)/12))&amp;(MOD((COUNTIFS($B$2:$B492,"SER")+COUNTIFS($B$2:$B492,"PLH"))-1,12)+1),"N/A"),"")</f>
        <v/>
      </c>
      <c r="J492" s="6" t="str">
        <f>IF(AND($A492&lt;&gt;"",$B492&lt;&gt;"",$C492&lt;&gt;"",$D492&lt;&gt;""),IF($B492="WB","Control WB Box "&amp;(INT((COUNTIFS($B$2:$B492,"WB")-1)/81)+1)&amp;": "&amp;CHAR(65+INT(MOD(COUNTIFS($B$2:$B492,"WB")-1,81)/9))&amp;(MOD(COUNTIFS($B$2:$B492,"WB")-1,9)+1),"N/A"),"")</f>
        <v/>
      </c>
      <c r="K492" s="3" t="str">
        <f t="shared" si="127"/>
        <v/>
      </c>
      <c r="L492" s="2"/>
      <c r="M492" s="2"/>
      <c r="N492" s="2"/>
      <c r="O492" s="7" t="str">
        <f t="shared" si="128"/>
        <v/>
      </c>
      <c r="P492" s="7" t="str">
        <f t="shared" si="129"/>
        <v/>
      </c>
      <c r="Q492" s="7" t="str">
        <f t="shared" si="130"/>
        <v/>
      </c>
      <c r="R492" s="7" t="str">
        <f t="shared" si="131"/>
        <v/>
      </c>
      <c r="S492" s="7" t="str">
        <f t="shared" si="132"/>
        <v/>
      </c>
      <c r="T492" s="7" t="str">
        <f t="shared" si="133"/>
        <v/>
      </c>
      <c r="U492" s="7" t="str">
        <f t="shared" si="134"/>
        <v/>
      </c>
      <c r="V492" s="7" t="str">
        <f t="shared" si="135"/>
        <v/>
      </c>
      <c r="W492" s="7" t="str">
        <f t="shared" si="136"/>
        <v/>
      </c>
      <c r="X492" s="7" t="str">
        <f t="shared" si="137"/>
        <v/>
      </c>
      <c r="Y492">
        <f t="shared" si="138"/>
        <v>0</v>
      </c>
      <c r="Z492" t="str">
        <f t="shared" si="139"/>
        <v/>
      </c>
      <c r="AA492" t="str">
        <f t="shared" si="140"/>
        <v/>
      </c>
      <c r="AB492" t="str">
        <f t="shared" si="141"/>
        <v/>
      </c>
      <c r="AC492" t="str">
        <f t="shared" si="142"/>
        <v/>
      </c>
      <c r="AD492">
        <f t="shared" si="143"/>
        <v>0</v>
      </c>
    </row>
    <row r="493" spans="1:30" ht="15" customHeight="1" x14ac:dyDescent="0.35">
      <c r="A493" s="2"/>
      <c r="B493" s="3"/>
      <c r="C493" s="4"/>
      <c r="D493" s="5"/>
      <c r="E493" s="11" t="str">
        <f t="shared" ca="1" si="126"/>
        <v/>
      </c>
      <c r="F493" s="5"/>
      <c r="G493" s="6" t="str">
        <f>IF(AND($A493&lt;&gt;"",$B493&lt;&gt;"",$C493&lt;&gt;"",$D493&lt;&gt;""),IF(OR($B493="SER",$B493="PLH",$B493="CSF"),"Control CDI Plate "&amp;(INT(((COUNTIFS($B$2:$B493,"SER")+COUNTIFS($B$2:$B493,"PLH")+COUNTIFS($B$2:$B493,"CSF"))-1)/96)+1)&amp;": "&amp;CHAR(65+INT(MOD((COUNTIFS($B$2:$B493,"SER")+COUNTIFS($B$2:$B493,"PLH")+COUNTIFS($B$2:$B493,"CSF"))-1,96)/12))&amp;(MOD((COUNTIFS($B$2:$B493,"SER")+COUNTIFS($B$2:$B493,"PLH")+COUNTIFS($B$2:$B493,"CSF"))-1,12)+1),"N/A"),"")</f>
        <v/>
      </c>
      <c r="H493" s="6" t="str">
        <f>IF(AND($A493&lt;&gt;"",$B493&lt;&gt;"",$C493&lt;&gt;"",$D493&lt;&gt;""),IF(OR($B493="SER",$B493="PLH",$B493="CSF"),"Control NIH Plate "&amp;(INT(((COUNTIFS($B$2:$B493,"SER")+COUNTIFS($B$2:$B493,"PLH")+COUNTIFS($B$2:$B493,"CSF"))-1)/96)+1)&amp;": "&amp;CHAR(65+INT(MOD((COUNTIFS($B$2:$B493,"SER")+COUNTIFS($B$2:$B493,"PLH")+COUNTIFS($B$2:$B493,"CSF"))-1,96)/12))&amp;(MOD((COUNTIFS($B$2:$B493,"SER")+COUNTIFS($B$2:$B493,"PLH")+COUNTIFS($B$2:$B493,"CSF"))-1,12)+1),"N/A"),"")</f>
        <v/>
      </c>
      <c r="I493" s="6" t="str">
        <f>IF(AND($A493&lt;&gt;"",$B493&lt;&gt;"",$C493&lt;&gt;"",$D493&lt;&gt;""),IF(OR($B493="SER",$B493="PLH"),"Control MAX Planck Plate "&amp;(INT(((COUNTIFS($B$2:$B493,"SER")+COUNTIFS($B$2:$B493,"PLH"))-1)/96)+1)&amp;": "&amp;CHAR(65+INT(MOD((COUNTIFS($B$2:$B493,"SER")+COUNTIFS($B$2:$B493,"PLH"))-1,96)/12))&amp;(MOD((COUNTIFS($B$2:$B493,"SER")+COUNTIFS($B$2:$B493,"PLH"))-1,12)+1),"N/A"),"")</f>
        <v/>
      </c>
      <c r="J493" s="6" t="str">
        <f>IF(AND($A493&lt;&gt;"",$B493&lt;&gt;"",$C493&lt;&gt;"",$D493&lt;&gt;""),IF($B493="WB","Control WB Box "&amp;(INT((COUNTIFS($B$2:$B493,"WB")-1)/81)+1)&amp;": "&amp;CHAR(65+INT(MOD(COUNTIFS($B$2:$B493,"WB")-1,81)/9))&amp;(MOD(COUNTIFS($B$2:$B493,"WB")-1,9)+1),"N/A"),"")</f>
        <v/>
      </c>
      <c r="K493" s="3" t="str">
        <f t="shared" si="127"/>
        <v/>
      </c>
      <c r="L493" s="2"/>
      <c r="M493" s="2"/>
      <c r="N493" s="2"/>
      <c r="O493" s="7" t="str">
        <f t="shared" si="128"/>
        <v/>
      </c>
      <c r="P493" s="7" t="str">
        <f t="shared" si="129"/>
        <v/>
      </c>
      <c r="Q493" s="7" t="str">
        <f t="shared" si="130"/>
        <v/>
      </c>
      <c r="R493" s="7" t="str">
        <f t="shared" si="131"/>
        <v/>
      </c>
      <c r="S493" s="7" t="str">
        <f t="shared" si="132"/>
        <v/>
      </c>
      <c r="T493" s="7" t="str">
        <f t="shared" si="133"/>
        <v/>
      </c>
      <c r="U493" s="7" t="str">
        <f t="shared" si="134"/>
        <v/>
      </c>
      <c r="V493" s="7" t="str">
        <f t="shared" si="135"/>
        <v/>
      </c>
      <c r="W493" s="7" t="str">
        <f t="shared" si="136"/>
        <v/>
      </c>
      <c r="X493" s="7" t="str">
        <f t="shared" si="137"/>
        <v/>
      </c>
      <c r="Y493">
        <f t="shared" si="138"/>
        <v>0</v>
      </c>
      <c r="Z493" t="str">
        <f t="shared" si="139"/>
        <v/>
      </c>
      <c r="AA493" t="str">
        <f t="shared" si="140"/>
        <v/>
      </c>
      <c r="AB493" t="str">
        <f t="shared" si="141"/>
        <v/>
      </c>
      <c r="AC493" t="str">
        <f t="shared" si="142"/>
        <v/>
      </c>
      <c r="AD493">
        <f t="shared" si="143"/>
        <v>0</v>
      </c>
    </row>
    <row r="494" spans="1:30" ht="15" customHeight="1" x14ac:dyDescent="0.35">
      <c r="A494" s="2"/>
      <c r="B494" s="3"/>
      <c r="C494" s="4"/>
      <c r="D494" s="5"/>
      <c r="E494" s="11" t="str">
        <f t="shared" ca="1" si="126"/>
        <v/>
      </c>
      <c r="F494" s="5"/>
      <c r="G494" s="6" t="str">
        <f>IF(AND($A494&lt;&gt;"",$B494&lt;&gt;"",$C494&lt;&gt;"",$D494&lt;&gt;""),IF(OR($B494="SER",$B494="PLH",$B494="CSF"),"Control CDI Plate "&amp;(INT(((COUNTIFS($B$2:$B494,"SER")+COUNTIFS($B$2:$B494,"PLH")+COUNTIFS($B$2:$B494,"CSF"))-1)/96)+1)&amp;": "&amp;CHAR(65+INT(MOD((COUNTIFS($B$2:$B494,"SER")+COUNTIFS($B$2:$B494,"PLH")+COUNTIFS($B$2:$B494,"CSF"))-1,96)/12))&amp;(MOD((COUNTIFS($B$2:$B494,"SER")+COUNTIFS($B$2:$B494,"PLH")+COUNTIFS($B$2:$B494,"CSF"))-1,12)+1),"N/A"),"")</f>
        <v/>
      </c>
      <c r="H494" s="6" t="str">
        <f>IF(AND($A494&lt;&gt;"",$B494&lt;&gt;"",$C494&lt;&gt;"",$D494&lt;&gt;""),IF(OR($B494="SER",$B494="PLH",$B494="CSF"),"Control NIH Plate "&amp;(INT(((COUNTIFS($B$2:$B494,"SER")+COUNTIFS($B$2:$B494,"PLH")+COUNTIFS($B$2:$B494,"CSF"))-1)/96)+1)&amp;": "&amp;CHAR(65+INT(MOD((COUNTIFS($B$2:$B494,"SER")+COUNTIFS($B$2:$B494,"PLH")+COUNTIFS($B$2:$B494,"CSF"))-1,96)/12))&amp;(MOD((COUNTIFS($B$2:$B494,"SER")+COUNTIFS($B$2:$B494,"PLH")+COUNTIFS($B$2:$B494,"CSF"))-1,12)+1),"N/A"),"")</f>
        <v/>
      </c>
      <c r="I494" s="6" t="str">
        <f>IF(AND($A494&lt;&gt;"",$B494&lt;&gt;"",$C494&lt;&gt;"",$D494&lt;&gt;""),IF(OR($B494="SER",$B494="PLH"),"Control MAX Planck Plate "&amp;(INT(((COUNTIFS($B$2:$B494,"SER")+COUNTIFS($B$2:$B494,"PLH"))-1)/96)+1)&amp;": "&amp;CHAR(65+INT(MOD((COUNTIFS($B$2:$B494,"SER")+COUNTIFS($B$2:$B494,"PLH"))-1,96)/12))&amp;(MOD((COUNTIFS($B$2:$B494,"SER")+COUNTIFS($B$2:$B494,"PLH"))-1,12)+1),"N/A"),"")</f>
        <v/>
      </c>
      <c r="J494" s="6" t="str">
        <f>IF(AND($A494&lt;&gt;"",$B494&lt;&gt;"",$C494&lt;&gt;"",$D494&lt;&gt;""),IF($B494="WB","Control WB Box "&amp;(INT((COUNTIFS($B$2:$B494,"WB")-1)/81)+1)&amp;": "&amp;CHAR(65+INT(MOD(COUNTIFS($B$2:$B494,"WB")-1,81)/9))&amp;(MOD(COUNTIFS($B$2:$B494,"WB")-1,9)+1),"N/A"),"")</f>
        <v/>
      </c>
      <c r="K494" s="3" t="str">
        <f t="shared" si="127"/>
        <v/>
      </c>
      <c r="L494" s="2"/>
      <c r="M494" s="2"/>
      <c r="N494" s="2"/>
      <c r="O494" s="7" t="str">
        <f t="shared" si="128"/>
        <v/>
      </c>
      <c r="P494" s="7" t="str">
        <f t="shared" si="129"/>
        <v/>
      </c>
      <c r="Q494" s="7" t="str">
        <f t="shared" si="130"/>
        <v/>
      </c>
      <c r="R494" s="7" t="str">
        <f t="shared" si="131"/>
        <v/>
      </c>
      <c r="S494" s="7" t="str">
        <f t="shared" si="132"/>
        <v/>
      </c>
      <c r="T494" s="7" t="str">
        <f t="shared" si="133"/>
        <v/>
      </c>
      <c r="U494" s="7" t="str">
        <f t="shared" si="134"/>
        <v/>
      </c>
      <c r="V494" s="7" t="str">
        <f t="shared" si="135"/>
        <v/>
      </c>
      <c r="W494" s="7" t="str">
        <f t="shared" si="136"/>
        <v/>
      </c>
      <c r="X494" s="7" t="str">
        <f t="shared" si="137"/>
        <v/>
      </c>
      <c r="Y494">
        <f t="shared" si="138"/>
        <v>0</v>
      </c>
      <c r="Z494" t="str">
        <f t="shared" si="139"/>
        <v/>
      </c>
      <c r="AA494" t="str">
        <f t="shared" si="140"/>
        <v/>
      </c>
      <c r="AB494" t="str">
        <f t="shared" si="141"/>
        <v/>
      </c>
      <c r="AC494" t="str">
        <f t="shared" si="142"/>
        <v/>
      </c>
      <c r="AD494">
        <f t="shared" si="143"/>
        <v>0</v>
      </c>
    </row>
    <row r="495" spans="1:30" ht="15" customHeight="1" x14ac:dyDescent="0.35">
      <c r="A495" s="2"/>
      <c r="B495" s="3"/>
      <c r="C495" s="4"/>
      <c r="D495" s="5"/>
      <c r="E495" s="11" t="str">
        <f t="shared" ca="1" si="126"/>
        <v/>
      </c>
      <c r="F495" s="5"/>
      <c r="G495" s="6" t="str">
        <f>IF(AND($A495&lt;&gt;"",$B495&lt;&gt;"",$C495&lt;&gt;"",$D495&lt;&gt;""),IF(OR($B495="SER",$B495="PLH",$B495="CSF"),"Control CDI Plate "&amp;(INT(((COUNTIFS($B$2:$B495,"SER")+COUNTIFS($B$2:$B495,"PLH")+COUNTIFS($B$2:$B495,"CSF"))-1)/96)+1)&amp;": "&amp;CHAR(65+INT(MOD((COUNTIFS($B$2:$B495,"SER")+COUNTIFS($B$2:$B495,"PLH")+COUNTIFS($B$2:$B495,"CSF"))-1,96)/12))&amp;(MOD((COUNTIFS($B$2:$B495,"SER")+COUNTIFS($B$2:$B495,"PLH")+COUNTIFS($B$2:$B495,"CSF"))-1,12)+1),"N/A"),"")</f>
        <v/>
      </c>
      <c r="H495" s="6" t="str">
        <f>IF(AND($A495&lt;&gt;"",$B495&lt;&gt;"",$C495&lt;&gt;"",$D495&lt;&gt;""),IF(OR($B495="SER",$B495="PLH",$B495="CSF"),"Control NIH Plate "&amp;(INT(((COUNTIFS($B$2:$B495,"SER")+COUNTIFS($B$2:$B495,"PLH")+COUNTIFS($B$2:$B495,"CSF"))-1)/96)+1)&amp;": "&amp;CHAR(65+INT(MOD((COUNTIFS($B$2:$B495,"SER")+COUNTIFS($B$2:$B495,"PLH")+COUNTIFS($B$2:$B495,"CSF"))-1,96)/12))&amp;(MOD((COUNTIFS($B$2:$B495,"SER")+COUNTIFS($B$2:$B495,"PLH")+COUNTIFS($B$2:$B495,"CSF"))-1,12)+1),"N/A"),"")</f>
        <v/>
      </c>
      <c r="I495" s="6" t="str">
        <f>IF(AND($A495&lt;&gt;"",$B495&lt;&gt;"",$C495&lt;&gt;"",$D495&lt;&gt;""),IF(OR($B495="SER",$B495="PLH"),"Control MAX Planck Plate "&amp;(INT(((COUNTIFS($B$2:$B495,"SER")+COUNTIFS($B$2:$B495,"PLH"))-1)/96)+1)&amp;": "&amp;CHAR(65+INT(MOD((COUNTIFS($B$2:$B495,"SER")+COUNTIFS($B$2:$B495,"PLH"))-1,96)/12))&amp;(MOD((COUNTIFS($B$2:$B495,"SER")+COUNTIFS($B$2:$B495,"PLH"))-1,12)+1),"N/A"),"")</f>
        <v/>
      </c>
      <c r="J495" s="6" t="str">
        <f>IF(AND($A495&lt;&gt;"",$B495&lt;&gt;"",$C495&lt;&gt;"",$D495&lt;&gt;""),IF($B495="WB","Control WB Box "&amp;(INT((COUNTIFS($B$2:$B495,"WB")-1)/81)+1)&amp;": "&amp;CHAR(65+INT(MOD(COUNTIFS($B$2:$B495,"WB")-1,81)/9))&amp;(MOD(COUNTIFS($B$2:$B495,"WB")-1,9)+1),"N/A"),"")</f>
        <v/>
      </c>
      <c r="K495" s="3" t="str">
        <f t="shared" si="127"/>
        <v/>
      </c>
      <c r="L495" s="2"/>
      <c r="M495" s="2"/>
      <c r="N495" s="2"/>
      <c r="O495" s="7" t="str">
        <f t="shared" si="128"/>
        <v/>
      </c>
      <c r="P495" s="7" t="str">
        <f t="shared" si="129"/>
        <v/>
      </c>
      <c r="Q495" s="7" t="str">
        <f t="shared" si="130"/>
        <v/>
      </c>
      <c r="R495" s="7" t="str">
        <f t="shared" si="131"/>
        <v/>
      </c>
      <c r="S495" s="7" t="str">
        <f t="shared" si="132"/>
        <v/>
      </c>
      <c r="T495" s="7" t="str">
        <f t="shared" si="133"/>
        <v/>
      </c>
      <c r="U495" s="7" t="str">
        <f t="shared" si="134"/>
        <v/>
      </c>
      <c r="V495" s="7" t="str">
        <f t="shared" si="135"/>
        <v/>
      </c>
      <c r="W495" s="7" t="str">
        <f t="shared" si="136"/>
        <v/>
      </c>
      <c r="X495" s="7" t="str">
        <f t="shared" si="137"/>
        <v/>
      </c>
      <c r="Y495">
        <f t="shared" si="138"/>
        <v>0</v>
      </c>
      <c r="Z495" t="str">
        <f t="shared" si="139"/>
        <v/>
      </c>
      <c r="AA495" t="str">
        <f t="shared" si="140"/>
        <v/>
      </c>
      <c r="AB495" t="str">
        <f t="shared" si="141"/>
        <v/>
      </c>
      <c r="AC495" t="str">
        <f t="shared" si="142"/>
        <v/>
      </c>
      <c r="AD495">
        <f t="shared" si="143"/>
        <v>0</v>
      </c>
    </row>
  </sheetData>
  <conditionalFormatting sqref="G2:J495">
    <cfRule type="expression" dxfId="0" priority="2">
      <formula>G2="N/A"</formula>
    </cfRule>
  </conditionalFormatting>
  <dataValidations count="2">
    <dataValidation type="list" allowBlank="1" sqref="B2:B495" xr:uid="{00000000-0002-0000-0100-000000000000}">
      <formula1>"SER,PLH,CSF,WB"</formula1>
      <formula2>0</formula2>
    </dataValidation>
    <dataValidation type="list" allowBlank="1" sqref="K2:K495" xr:uid="{00000000-0002-0000-0100-000001000000}">
      <formula1>"Yes,No"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5B9BD5"/>
  </sheetPr>
  <dimension ref="A1:M178"/>
  <sheetViews>
    <sheetView showGridLines="0" zoomScale="80" zoomScaleNormal="80" workbookViewId="0">
      <selection activeCell="B4" sqref="B4"/>
    </sheetView>
  </sheetViews>
  <sheetFormatPr defaultColWidth="8.6328125" defaultRowHeight="15" customHeight="1" x14ac:dyDescent="0.35"/>
  <cols>
    <col min="1" max="1" width="5" customWidth="1"/>
    <col min="2" max="13" width="25.6328125" customWidth="1"/>
  </cols>
  <sheetData>
    <row r="1" spans="1:13" ht="15" customHeight="1" x14ac:dyDescent="0.35">
      <c r="A1" s="12" t="s">
        <v>27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</row>
    <row r="2" spans="1:13" ht="15" customHeight="1" x14ac:dyDescent="0.35">
      <c r="B2" s="8">
        <v>1</v>
      </c>
      <c r="C2" s="8">
        <v>2</v>
      </c>
      <c r="D2" s="8">
        <v>3</v>
      </c>
      <c r="E2" s="8">
        <v>4</v>
      </c>
      <c r="F2" s="8">
        <v>5</v>
      </c>
      <c r="G2" s="8">
        <v>6</v>
      </c>
      <c r="H2" s="8">
        <v>7</v>
      </c>
      <c r="I2" s="8">
        <v>8</v>
      </c>
      <c r="J2" s="8">
        <v>9</v>
      </c>
      <c r="K2" s="8">
        <v>10</v>
      </c>
      <c r="L2" s="8">
        <v>11</v>
      </c>
      <c r="M2" s="8">
        <v>12</v>
      </c>
    </row>
    <row r="3" spans="1:13" ht="15" customHeight="1" x14ac:dyDescent="0.35">
      <c r="A3" s="8" t="s">
        <v>28</v>
      </c>
      <c r="B3" s="9" t="str">
        <f>IFERROR(INDEX('CASE MASTER'!$R$2:$R$495,MATCH("Case CDI Plate 1: A1",'CASE MASTER'!$H$2:$H$495,0)),"")</f>
        <v/>
      </c>
      <c r="C3" s="9" t="str">
        <f>IFERROR(INDEX('CASE MASTER'!$R$2:$R$495,MATCH("Case CDI Plate 1: A2",'CASE MASTER'!$H$2:$H$495,0)),"")</f>
        <v/>
      </c>
      <c r="D3" s="9" t="str">
        <f>IFERROR(INDEX('CASE MASTER'!$R$2:$R$495,MATCH("Case CDI Plate 1: A3",'CASE MASTER'!$H$2:$H$495,0)),"")</f>
        <v/>
      </c>
      <c r="E3" s="9" t="str">
        <f>IFERROR(INDEX('CASE MASTER'!$R$2:$R$495,MATCH("Case CDI Plate 1: A4",'CASE MASTER'!$H$2:$H$495,0)),"")</f>
        <v/>
      </c>
      <c r="F3" s="9" t="str">
        <f>IFERROR(INDEX('CASE MASTER'!$R$2:$R$495,MATCH("Case CDI Plate 1: A5",'CASE MASTER'!$H$2:$H$495,0)),"")</f>
        <v/>
      </c>
      <c r="G3" s="9" t="str">
        <f>IFERROR(INDEX('CASE MASTER'!$R$2:$R$495,MATCH("Case CDI Plate 1: A6",'CASE MASTER'!$H$2:$H$495,0)),"")</f>
        <v/>
      </c>
      <c r="H3" s="9" t="str">
        <f>IFERROR(INDEX('CASE MASTER'!$R$2:$R$495,MATCH("Case CDI Plate 1: A7",'CASE MASTER'!$H$2:$H$495,0)),"")</f>
        <v/>
      </c>
      <c r="I3" s="9" t="str">
        <f>IFERROR(INDEX('CASE MASTER'!$R$2:$R$495,MATCH("Case CDI Plate 1: A8",'CASE MASTER'!$H$2:$H$495,0)),"")</f>
        <v/>
      </c>
      <c r="J3" s="9" t="str">
        <f>IFERROR(INDEX('CASE MASTER'!$R$2:$R$495,MATCH("Case CDI Plate 1: A9",'CASE MASTER'!$H$2:$H$495,0)),"")</f>
        <v/>
      </c>
      <c r="K3" s="9" t="str">
        <f>IFERROR(INDEX('CASE MASTER'!$R$2:$R$495,MATCH("Case CDI Plate 1: A10",'CASE MASTER'!$H$2:$H$495,0)),"")</f>
        <v/>
      </c>
      <c r="L3" s="9" t="str">
        <f>IFERROR(INDEX('CASE MASTER'!$R$2:$R$495,MATCH("Case CDI Plate 1: A11",'CASE MASTER'!$H$2:$H$495,0)),"")</f>
        <v/>
      </c>
      <c r="M3" s="9" t="str">
        <f>IFERROR(INDEX('CASE MASTER'!$R$2:$R$495,MATCH("Case CDI Plate 1: A12",'CASE MASTER'!$H$2:$H$495,0)),"")</f>
        <v/>
      </c>
    </row>
    <row r="4" spans="1:13" ht="15" customHeight="1" x14ac:dyDescent="0.35">
      <c r="A4" s="8" t="s">
        <v>29</v>
      </c>
      <c r="B4" s="9" t="str">
        <f>IFERROR(INDEX('CASE MASTER'!$R$2:$R$495,MATCH("Case CDI Plate 1: B1",'CASE MASTER'!$H$2:$H$495,0)),"")</f>
        <v/>
      </c>
      <c r="C4" s="9" t="str">
        <f>IFERROR(INDEX('CASE MASTER'!$R$2:$R$495,MATCH("Case CDI Plate 1: B2",'CASE MASTER'!$H$2:$H$495,0)),"")</f>
        <v/>
      </c>
      <c r="D4" s="9" t="str">
        <f>IFERROR(INDEX('CASE MASTER'!$R$2:$R$495,MATCH("Case CDI Plate 1: B3",'CASE MASTER'!$H$2:$H$495,0)),"")</f>
        <v/>
      </c>
      <c r="E4" s="9" t="str">
        <f>IFERROR(INDEX('CASE MASTER'!$R$2:$R$495,MATCH("Case CDI Plate 1: B4",'CASE MASTER'!$H$2:$H$495,0)),"")</f>
        <v/>
      </c>
      <c r="F4" s="9" t="str">
        <f>IFERROR(INDEX('CASE MASTER'!$R$2:$R$495,MATCH("Case CDI Plate 1: B5",'CASE MASTER'!$H$2:$H$495,0)),"")</f>
        <v/>
      </c>
      <c r="G4" s="9" t="str">
        <f>IFERROR(INDEX('CASE MASTER'!$R$2:$R$495,MATCH("Case CDI Plate 1: B6",'CASE MASTER'!$H$2:$H$495,0)),"")</f>
        <v/>
      </c>
      <c r="H4" s="9" t="str">
        <f>IFERROR(INDEX('CASE MASTER'!$R$2:$R$495,MATCH("Case CDI Plate 1: B7",'CASE MASTER'!$H$2:$H$495,0)),"")</f>
        <v/>
      </c>
      <c r="I4" s="9" t="str">
        <f>IFERROR(INDEX('CASE MASTER'!$R$2:$R$495,MATCH("Case CDI Plate 1: B8",'CASE MASTER'!$H$2:$H$495,0)),"")</f>
        <v/>
      </c>
      <c r="J4" s="9" t="str">
        <f>IFERROR(INDEX('CASE MASTER'!$R$2:$R$495,MATCH("Case CDI Plate 1: B9",'CASE MASTER'!$H$2:$H$495,0)),"")</f>
        <v/>
      </c>
      <c r="K4" s="9" t="str">
        <f>IFERROR(INDEX('CASE MASTER'!$R$2:$R$495,MATCH("Case CDI Plate 1: B10",'CASE MASTER'!$H$2:$H$495,0)),"")</f>
        <v/>
      </c>
      <c r="L4" s="9" t="str">
        <f>IFERROR(INDEX('CASE MASTER'!$R$2:$R$495,MATCH("Case CDI Plate 1: B11",'CASE MASTER'!$H$2:$H$495,0)),"")</f>
        <v/>
      </c>
      <c r="M4" s="9" t="str">
        <f>IFERROR(INDEX('CASE MASTER'!$R$2:$R$495,MATCH("Case CDI Plate 1: B12",'CASE MASTER'!$H$2:$H$495,0)),"")</f>
        <v/>
      </c>
    </row>
    <row r="5" spans="1:13" ht="15" customHeight="1" x14ac:dyDescent="0.35">
      <c r="A5" s="8" t="s">
        <v>30</v>
      </c>
      <c r="B5" s="9" t="str">
        <f>IFERROR(INDEX('CASE MASTER'!$R$2:$R$495,MATCH("Case CDI Plate 1: C1",'CASE MASTER'!$H$2:$H$495,0)),"")</f>
        <v/>
      </c>
      <c r="C5" s="9" t="str">
        <f>IFERROR(INDEX('CASE MASTER'!$R$2:$R$495,MATCH("Case CDI Plate 1: C2",'CASE MASTER'!$H$2:$H$495,0)),"")</f>
        <v/>
      </c>
      <c r="D5" s="9" t="str">
        <f>IFERROR(INDEX('CASE MASTER'!$R$2:$R$495,MATCH("Case CDI Plate 1: C3",'CASE MASTER'!$H$2:$H$495,0)),"")</f>
        <v/>
      </c>
      <c r="E5" s="9" t="str">
        <f>IFERROR(INDEX('CASE MASTER'!$R$2:$R$495,MATCH("Case CDI Plate 1: C4",'CASE MASTER'!$H$2:$H$495,0)),"")</f>
        <v/>
      </c>
      <c r="F5" s="9" t="str">
        <f>IFERROR(INDEX('CASE MASTER'!$R$2:$R$495,MATCH("Case CDI Plate 1: C5",'CASE MASTER'!$H$2:$H$495,0)),"")</f>
        <v/>
      </c>
      <c r="G5" s="9" t="str">
        <f>IFERROR(INDEX('CASE MASTER'!$R$2:$R$495,MATCH("Case CDI Plate 1: C6",'CASE MASTER'!$H$2:$H$495,0)),"")</f>
        <v/>
      </c>
      <c r="H5" s="9" t="str">
        <f>IFERROR(INDEX('CASE MASTER'!$R$2:$R$495,MATCH("Case CDI Plate 1: C7",'CASE MASTER'!$H$2:$H$495,0)),"")</f>
        <v/>
      </c>
      <c r="I5" s="9" t="str">
        <f>IFERROR(INDEX('CASE MASTER'!$R$2:$R$495,MATCH("Case CDI Plate 1: C8",'CASE MASTER'!$H$2:$H$495,0)),"")</f>
        <v/>
      </c>
      <c r="J5" s="9" t="str">
        <f>IFERROR(INDEX('CASE MASTER'!$R$2:$R$495,MATCH("Case CDI Plate 1: C9",'CASE MASTER'!$H$2:$H$495,0)),"")</f>
        <v/>
      </c>
      <c r="K5" s="9" t="str">
        <f>IFERROR(INDEX('CASE MASTER'!$R$2:$R$495,MATCH("Case CDI Plate 1: C10",'CASE MASTER'!$H$2:$H$495,0)),"")</f>
        <v/>
      </c>
      <c r="L5" s="9" t="str">
        <f>IFERROR(INDEX('CASE MASTER'!$R$2:$R$495,MATCH("Case CDI Plate 1: C11",'CASE MASTER'!$H$2:$H$495,0)),"")</f>
        <v/>
      </c>
      <c r="M5" s="9" t="str">
        <f>IFERROR(INDEX('CASE MASTER'!$R$2:$R$495,MATCH("Case CDI Plate 1: C12",'CASE MASTER'!$H$2:$H$495,0)),"")</f>
        <v/>
      </c>
    </row>
    <row r="6" spans="1:13" ht="15" customHeight="1" x14ac:dyDescent="0.35">
      <c r="A6" s="8" t="s">
        <v>31</v>
      </c>
      <c r="B6" s="9" t="str">
        <f>IFERROR(INDEX('CASE MASTER'!$R$2:$R$495,MATCH("Case CDI Plate 1: D1",'CASE MASTER'!$H$2:$H$495,0)),"")</f>
        <v/>
      </c>
      <c r="C6" s="9" t="str">
        <f>IFERROR(INDEX('CASE MASTER'!$R$2:$R$495,MATCH("Case CDI Plate 1: D2",'CASE MASTER'!$H$2:$H$495,0)),"")</f>
        <v/>
      </c>
      <c r="D6" s="9" t="str">
        <f>IFERROR(INDEX('CASE MASTER'!$R$2:$R$495,MATCH("Case CDI Plate 1: D3",'CASE MASTER'!$H$2:$H$495,0)),"")</f>
        <v/>
      </c>
      <c r="E6" s="9" t="str">
        <f>IFERROR(INDEX('CASE MASTER'!$R$2:$R$495,MATCH("Case CDI Plate 1: D4",'CASE MASTER'!$H$2:$H$495,0)),"")</f>
        <v/>
      </c>
      <c r="F6" s="9" t="str">
        <f>IFERROR(INDEX('CASE MASTER'!$R$2:$R$495,MATCH("Case CDI Plate 1: D5",'CASE MASTER'!$H$2:$H$495,0)),"")</f>
        <v/>
      </c>
      <c r="G6" s="9" t="str">
        <f>IFERROR(INDEX('CASE MASTER'!$R$2:$R$495,MATCH("Case CDI Plate 1: D6",'CASE MASTER'!$H$2:$H$495,0)),"")</f>
        <v/>
      </c>
      <c r="H6" s="9" t="str">
        <f>IFERROR(INDEX('CASE MASTER'!$R$2:$R$495,MATCH("Case CDI Plate 1: D7",'CASE MASTER'!$H$2:$H$495,0)),"")</f>
        <v/>
      </c>
      <c r="I6" s="9" t="str">
        <f>IFERROR(INDEX('CASE MASTER'!$R$2:$R$495,MATCH("Case CDI Plate 1: D8",'CASE MASTER'!$H$2:$H$495,0)),"")</f>
        <v/>
      </c>
      <c r="J6" s="9" t="str">
        <f>IFERROR(INDEX('CASE MASTER'!$R$2:$R$495,MATCH("Case CDI Plate 1: D9",'CASE MASTER'!$H$2:$H$495,0)),"")</f>
        <v/>
      </c>
      <c r="K6" s="9" t="str">
        <f>IFERROR(INDEX('CASE MASTER'!$R$2:$R$495,MATCH("Case CDI Plate 1: D10",'CASE MASTER'!$H$2:$H$495,0)),"")</f>
        <v/>
      </c>
      <c r="L6" s="9" t="str">
        <f>IFERROR(INDEX('CASE MASTER'!$R$2:$R$495,MATCH("Case CDI Plate 1: D11",'CASE MASTER'!$H$2:$H$495,0)),"")</f>
        <v/>
      </c>
      <c r="M6" s="9" t="str">
        <f>IFERROR(INDEX('CASE MASTER'!$R$2:$R$495,MATCH("Case CDI Plate 1: D12",'CASE MASTER'!$H$2:$H$495,0)),"")</f>
        <v/>
      </c>
    </row>
    <row r="7" spans="1:13" ht="15" customHeight="1" x14ac:dyDescent="0.35">
      <c r="A7" s="8" t="s">
        <v>32</v>
      </c>
      <c r="B7" s="9" t="str">
        <f>IFERROR(INDEX('CASE MASTER'!$R$2:$R$495,MATCH("Case CDI Plate 1: E1",'CASE MASTER'!$H$2:$H$495,0)),"")</f>
        <v/>
      </c>
      <c r="C7" s="9" t="str">
        <f>IFERROR(INDEX('CASE MASTER'!$R$2:$R$495,MATCH("Case CDI Plate 1: E2",'CASE MASTER'!$H$2:$H$495,0)),"")</f>
        <v/>
      </c>
      <c r="D7" s="9" t="str">
        <f>IFERROR(INDEX('CASE MASTER'!$R$2:$R$495,MATCH("Case CDI Plate 1: E3",'CASE MASTER'!$H$2:$H$495,0)),"")</f>
        <v/>
      </c>
      <c r="E7" s="9" t="str">
        <f>IFERROR(INDEX('CASE MASTER'!$R$2:$R$495,MATCH("Case CDI Plate 1: E4",'CASE MASTER'!$H$2:$H$495,0)),"")</f>
        <v/>
      </c>
      <c r="F7" s="9" t="str">
        <f>IFERROR(INDEX('CASE MASTER'!$R$2:$R$495,MATCH("Case CDI Plate 1: E5",'CASE MASTER'!$H$2:$H$495,0)),"")</f>
        <v/>
      </c>
      <c r="G7" s="9" t="str">
        <f>IFERROR(INDEX('CASE MASTER'!$R$2:$R$495,MATCH("Case CDI Plate 1: E6",'CASE MASTER'!$H$2:$H$495,0)),"")</f>
        <v/>
      </c>
      <c r="H7" s="9" t="str">
        <f>IFERROR(INDEX('CASE MASTER'!$R$2:$R$495,MATCH("Case CDI Plate 1: E7",'CASE MASTER'!$H$2:$H$495,0)),"")</f>
        <v/>
      </c>
      <c r="I7" s="9" t="str">
        <f>IFERROR(INDEX('CASE MASTER'!$R$2:$R$495,MATCH("Case CDI Plate 1: E8",'CASE MASTER'!$H$2:$H$495,0)),"")</f>
        <v/>
      </c>
      <c r="J7" s="9" t="str">
        <f>IFERROR(INDEX('CASE MASTER'!$R$2:$R$495,MATCH("Case CDI Plate 1: E9",'CASE MASTER'!$H$2:$H$495,0)),"")</f>
        <v/>
      </c>
      <c r="K7" s="9" t="str">
        <f>IFERROR(INDEX('CASE MASTER'!$R$2:$R$495,MATCH("Case CDI Plate 1: E10",'CASE MASTER'!$H$2:$H$495,0)),"")</f>
        <v/>
      </c>
      <c r="L7" s="9" t="str">
        <f>IFERROR(INDEX('CASE MASTER'!$R$2:$R$495,MATCH("Case CDI Plate 1: E11",'CASE MASTER'!$H$2:$H$495,0)),"")</f>
        <v/>
      </c>
      <c r="M7" s="9" t="str">
        <f>IFERROR(INDEX('CASE MASTER'!$R$2:$R$495,MATCH("Case CDI Plate 1: E12",'CASE MASTER'!$H$2:$H$495,0)),"")</f>
        <v/>
      </c>
    </row>
    <row r="8" spans="1:13" ht="15" customHeight="1" x14ac:dyDescent="0.35">
      <c r="A8" s="8" t="s">
        <v>33</v>
      </c>
      <c r="B8" s="9" t="str">
        <f>IFERROR(INDEX('CASE MASTER'!$R$2:$R$495,MATCH("Case CDI Plate 1: F1",'CASE MASTER'!$H$2:$H$495,0)),"")</f>
        <v/>
      </c>
      <c r="C8" s="9" t="str">
        <f>IFERROR(INDEX('CASE MASTER'!$R$2:$R$495,MATCH("Case CDI Plate 1: F2",'CASE MASTER'!$H$2:$H$495,0)),"")</f>
        <v/>
      </c>
      <c r="D8" s="9" t="str">
        <f>IFERROR(INDEX('CASE MASTER'!$R$2:$R$495,MATCH("Case CDI Plate 1: F3",'CASE MASTER'!$H$2:$H$495,0)),"")</f>
        <v/>
      </c>
      <c r="E8" s="9" t="str">
        <f>IFERROR(INDEX('CASE MASTER'!$R$2:$R$495,MATCH("Case CDI Plate 1: F4",'CASE MASTER'!$H$2:$H$495,0)),"")</f>
        <v/>
      </c>
      <c r="F8" s="9" t="str">
        <f>IFERROR(INDEX('CASE MASTER'!$R$2:$R$495,MATCH("Case CDI Plate 1: F5",'CASE MASTER'!$H$2:$H$495,0)),"")</f>
        <v/>
      </c>
      <c r="G8" s="9" t="str">
        <f>IFERROR(INDEX('CASE MASTER'!$R$2:$R$495,MATCH("Case CDI Plate 1: F6",'CASE MASTER'!$H$2:$H$495,0)),"")</f>
        <v/>
      </c>
      <c r="H8" s="9" t="str">
        <f>IFERROR(INDEX('CASE MASTER'!$R$2:$R$495,MATCH("Case CDI Plate 1: F7",'CASE MASTER'!$H$2:$H$495,0)),"")</f>
        <v/>
      </c>
      <c r="I8" s="9" t="str">
        <f>IFERROR(INDEX('CASE MASTER'!$R$2:$R$495,MATCH("Case CDI Plate 1: F8",'CASE MASTER'!$H$2:$H$495,0)),"")</f>
        <v/>
      </c>
      <c r="J8" s="9" t="str">
        <f>IFERROR(INDEX('CASE MASTER'!$R$2:$R$495,MATCH("Case CDI Plate 1: F9",'CASE MASTER'!$H$2:$H$495,0)),"")</f>
        <v/>
      </c>
      <c r="K8" s="9" t="str">
        <f>IFERROR(INDEX('CASE MASTER'!$R$2:$R$495,MATCH("Case CDI Plate 1: F10",'CASE MASTER'!$H$2:$H$495,0)),"")</f>
        <v/>
      </c>
      <c r="L8" s="9" t="str">
        <f>IFERROR(INDEX('CASE MASTER'!$R$2:$R$495,MATCH("Case CDI Plate 1: F11",'CASE MASTER'!$H$2:$H$495,0)),"")</f>
        <v/>
      </c>
      <c r="M8" s="9" t="str">
        <f>IFERROR(INDEX('CASE MASTER'!$R$2:$R$495,MATCH("Case CDI Plate 1: F12",'CASE MASTER'!$H$2:$H$495,0)),"")</f>
        <v/>
      </c>
    </row>
    <row r="9" spans="1:13" ht="15" customHeight="1" x14ac:dyDescent="0.35">
      <c r="A9" s="8" t="s">
        <v>34</v>
      </c>
      <c r="B9" s="9" t="str">
        <f>IFERROR(INDEX('CASE MASTER'!$R$2:$R$495,MATCH("Case CDI Plate 1: G1",'CASE MASTER'!$H$2:$H$495,0)),"")</f>
        <v/>
      </c>
      <c r="C9" s="9" t="str">
        <f>IFERROR(INDEX('CASE MASTER'!$R$2:$R$495,MATCH("Case CDI Plate 1: G2",'CASE MASTER'!$H$2:$H$495,0)),"")</f>
        <v/>
      </c>
      <c r="D9" s="9" t="str">
        <f>IFERROR(INDEX('CASE MASTER'!$R$2:$R$495,MATCH("Case CDI Plate 1: G3",'CASE MASTER'!$H$2:$H$495,0)),"")</f>
        <v/>
      </c>
      <c r="E9" s="9" t="str">
        <f>IFERROR(INDEX('CASE MASTER'!$R$2:$R$495,MATCH("Case CDI Plate 1: G4",'CASE MASTER'!$H$2:$H$495,0)),"")</f>
        <v/>
      </c>
      <c r="F9" s="9" t="str">
        <f>IFERROR(INDEX('CASE MASTER'!$R$2:$R$495,MATCH("Case CDI Plate 1: G5",'CASE MASTER'!$H$2:$H$495,0)),"")</f>
        <v/>
      </c>
      <c r="G9" s="9" t="str">
        <f>IFERROR(INDEX('CASE MASTER'!$R$2:$R$495,MATCH("Case CDI Plate 1: G6",'CASE MASTER'!$H$2:$H$495,0)),"")</f>
        <v/>
      </c>
      <c r="H9" s="9" t="str">
        <f>IFERROR(INDEX('CASE MASTER'!$R$2:$R$495,MATCH("Case CDI Plate 1: G7",'CASE MASTER'!$H$2:$H$495,0)),"")</f>
        <v/>
      </c>
      <c r="I9" s="9" t="str">
        <f>IFERROR(INDEX('CASE MASTER'!$R$2:$R$495,MATCH("Case CDI Plate 1: G8",'CASE MASTER'!$H$2:$H$495,0)),"")</f>
        <v/>
      </c>
      <c r="J9" s="9" t="str">
        <f>IFERROR(INDEX('CASE MASTER'!$R$2:$R$495,MATCH("Case CDI Plate 1: G9",'CASE MASTER'!$H$2:$H$495,0)),"")</f>
        <v/>
      </c>
      <c r="K9" s="9" t="str">
        <f>IFERROR(INDEX('CASE MASTER'!$R$2:$R$495,MATCH("Case CDI Plate 1: G10",'CASE MASTER'!$H$2:$H$495,0)),"")</f>
        <v/>
      </c>
      <c r="L9" s="9" t="str">
        <f>IFERROR(INDEX('CASE MASTER'!$R$2:$R$495,MATCH("Case CDI Plate 1: G11",'CASE MASTER'!$H$2:$H$495,0)),"")</f>
        <v/>
      </c>
      <c r="M9" s="9" t="str">
        <f>IFERROR(INDEX('CASE MASTER'!$R$2:$R$495,MATCH("Case CDI Plate 1: G12",'CASE MASTER'!$H$2:$H$495,0)),"")</f>
        <v/>
      </c>
    </row>
    <row r="10" spans="1:13" ht="15" customHeight="1" x14ac:dyDescent="0.35">
      <c r="A10" s="8" t="s">
        <v>35</v>
      </c>
      <c r="B10" s="9" t="str">
        <f>IFERROR(INDEX('CASE MASTER'!$R$2:$R$495,MATCH("Case CDI Plate 1: H1",'CASE MASTER'!$H$2:$H$495,0)),"")</f>
        <v/>
      </c>
      <c r="C10" s="9" t="str">
        <f>IFERROR(INDEX('CASE MASTER'!$R$2:$R$495,MATCH("Case CDI Plate 1: H2",'CASE MASTER'!$H$2:$H$495,0)),"")</f>
        <v/>
      </c>
      <c r="D10" s="9" t="str">
        <f>IFERROR(INDEX('CASE MASTER'!$R$2:$R$495,MATCH("Case CDI Plate 1: H3",'CASE MASTER'!$H$2:$H$495,0)),"")</f>
        <v/>
      </c>
      <c r="E10" s="9" t="str">
        <f>IFERROR(INDEX('CASE MASTER'!$R$2:$R$495,MATCH("Case CDI Plate 1: H4",'CASE MASTER'!$H$2:$H$495,0)),"")</f>
        <v/>
      </c>
      <c r="F10" s="9" t="str">
        <f>IFERROR(INDEX('CASE MASTER'!$R$2:$R$495,MATCH("Case CDI Plate 1: H5",'CASE MASTER'!$H$2:$H$495,0)),"")</f>
        <v/>
      </c>
      <c r="G10" s="9" t="str">
        <f>IFERROR(INDEX('CASE MASTER'!$R$2:$R$495,MATCH("Case CDI Plate 1: H6",'CASE MASTER'!$H$2:$H$495,0)),"")</f>
        <v/>
      </c>
      <c r="H10" s="9" t="str">
        <f>IFERROR(INDEX('CASE MASTER'!$R$2:$R$495,MATCH("Case CDI Plate 1: H7",'CASE MASTER'!$H$2:$H$495,0)),"")</f>
        <v/>
      </c>
      <c r="I10" s="9" t="str">
        <f>IFERROR(INDEX('CASE MASTER'!$R$2:$R$495,MATCH("Case CDI Plate 1: H8",'CASE MASTER'!$H$2:$H$495,0)),"")</f>
        <v/>
      </c>
      <c r="J10" s="9" t="str">
        <f>IFERROR(INDEX('CASE MASTER'!$R$2:$R$495,MATCH("Case CDI Plate 1: H9",'CASE MASTER'!$H$2:$H$495,0)),"")</f>
        <v/>
      </c>
      <c r="K10" s="9" t="str">
        <f>IFERROR(INDEX('CASE MASTER'!$R$2:$R$495,MATCH("Case CDI Plate 1: H10",'CASE MASTER'!$H$2:$H$495,0)),"")</f>
        <v/>
      </c>
      <c r="L10" s="9" t="str">
        <f>IFERROR(INDEX('CASE MASTER'!$R$2:$R$495,MATCH("Case CDI Plate 1: H11",'CASE MASTER'!$H$2:$H$495,0)),"")</f>
        <v/>
      </c>
      <c r="M10" s="9" t="str">
        <f>IFERROR(INDEX('CASE MASTER'!$R$2:$R$495,MATCH("Case CDI Plate 1: H12",'CASE MASTER'!$H$2:$H$495,0)),"")</f>
        <v/>
      </c>
    </row>
    <row r="13" spans="1:13" ht="15" customHeight="1" x14ac:dyDescent="0.35">
      <c r="A13" s="12" t="s">
        <v>36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</row>
    <row r="14" spans="1:13" ht="15" customHeight="1" x14ac:dyDescent="0.35">
      <c r="B14" s="8">
        <v>1</v>
      </c>
      <c r="C14" s="8">
        <v>2</v>
      </c>
      <c r="D14" s="8">
        <v>3</v>
      </c>
      <c r="E14" s="8">
        <v>4</v>
      </c>
      <c r="F14" s="8">
        <v>5</v>
      </c>
      <c r="G14" s="8">
        <v>6</v>
      </c>
      <c r="H14" s="8">
        <v>7</v>
      </c>
      <c r="I14" s="8">
        <v>8</v>
      </c>
      <c r="J14" s="8">
        <v>9</v>
      </c>
      <c r="K14" s="8">
        <v>10</v>
      </c>
      <c r="L14" s="8">
        <v>11</v>
      </c>
      <c r="M14" s="8">
        <v>12</v>
      </c>
    </row>
    <row r="15" spans="1:13" ht="15" customHeight="1" x14ac:dyDescent="0.35">
      <c r="A15" s="8" t="s">
        <v>28</v>
      </c>
      <c r="B15" s="9" t="str">
        <f>IFERROR(INDEX('CASE MASTER'!$R$2:$R$495,MATCH("Case CDI Plate 2: A1",'CASE MASTER'!$H$2:$H$495,0)),"")</f>
        <v/>
      </c>
      <c r="C15" s="9" t="str">
        <f>IFERROR(INDEX('CASE MASTER'!$R$2:$R$495,MATCH("Case CDI Plate 2: A2",'CASE MASTER'!$H$2:$H$495,0)),"")</f>
        <v/>
      </c>
      <c r="D15" s="9" t="str">
        <f>IFERROR(INDEX('CASE MASTER'!$R$2:$R$495,MATCH("Case CDI Plate 2: A3",'CASE MASTER'!$H$2:$H$495,0)),"")</f>
        <v/>
      </c>
      <c r="E15" s="9" t="str">
        <f>IFERROR(INDEX('CASE MASTER'!$R$2:$R$495,MATCH("Case CDI Plate 2: A4",'CASE MASTER'!$H$2:$H$495,0)),"")</f>
        <v/>
      </c>
      <c r="F15" s="9" t="str">
        <f>IFERROR(INDEX('CASE MASTER'!$R$2:$R$495,MATCH("Case CDI Plate 2: A5",'CASE MASTER'!$H$2:$H$495,0)),"")</f>
        <v/>
      </c>
      <c r="G15" s="9" t="str">
        <f>IFERROR(INDEX('CASE MASTER'!$R$2:$R$495,MATCH("Case CDI Plate 2: A6",'CASE MASTER'!$H$2:$H$495,0)),"")</f>
        <v/>
      </c>
      <c r="H15" s="9" t="str">
        <f>IFERROR(INDEX('CASE MASTER'!$R$2:$R$495,MATCH("Case CDI Plate 2: A7",'CASE MASTER'!$H$2:$H$495,0)),"")</f>
        <v/>
      </c>
      <c r="I15" s="9" t="str">
        <f>IFERROR(INDEX('CASE MASTER'!$R$2:$R$495,MATCH("Case CDI Plate 2: A8",'CASE MASTER'!$H$2:$H$495,0)),"")</f>
        <v/>
      </c>
      <c r="J15" s="9" t="str">
        <f>IFERROR(INDEX('CASE MASTER'!$R$2:$R$495,MATCH("Case CDI Plate 2: A9",'CASE MASTER'!$H$2:$H$495,0)),"")</f>
        <v/>
      </c>
      <c r="K15" s="9" t="str">
        <f>IFERROR(INDEX('CASE MASTER'!$R$2:$R$495,MATCH("Case CDI Plate 2: A10",'CASE MASTER'!$H$2:$H$495,0)),"")</f>
        <v/>
      </c>
      <c r="L15" s="9" t="str">
        <f>IFERROR(INDEX('CASE MASTER'!$R$2:$R$495,MATCH("Case CDI Plate 2: A11",'CASE MASTER'!$H$2:$H$495,0)),"")</f>
        <v/>
      </c>
      <c r="M15" s="9" t="str">
        <f>IFERROR(INDEX('CASE MASTER'!$R$2:$R$495,MATCH("Case CDI Plate 2: A12",'CASE MASTER'!$H$2:$H$495,0)),"")</f>
        <v/>
      </c>
    </row>
    <row r="16" spans="1:13" ht="15" customHeight="1" x14ac:dyDescent="0.35">
      <c r="A16" s="8" t="s">
        <v>29</v>
      </c>
      <c r="B16" s="9" t="str">
        <f>IFERROR(INDEX('CASE MASTER'!$R$2:$R$495,MATCH("Case CDI Plate 2: B1",'CASE MASTER'!$H$2:$H$495,0)),"")</f>
        <v/>
      </c>
      <c r="C16" s="9" t="str">
        <f>IFERROR(INDEX('CASE MASTER'!$R$2:$R$495,MATCH("Case CDI Plate 2: B2",'CASE MASTER'!$H$2:$H$495,0)),"")</f>
        <v/>
      </c>
      <c r="D16" s="9" t="str">
        <f>IFERROR(INDEX('CASE MASTER'!$R$2:$R$495,MATCH("Case CDI Plate 2: B3",'CASE MASTER'!$H$2:$H$495,0)),"")</f>
        <v/>
      </c>
      <c r="E16" s="9" t="str">
        <f>IFERROR(INDEX('CASE MASTER'!$R$2:$R$495,MATCH("Case CDI Plate 2: B4",'CASE MASTER'!$H$2:$H$495,0)),"")</f>
        <v/>
      </c>
      <c r="F16" s="9" t="str">
        <f>IFERROR(INDEX('CASE MASTER'!$R$2:$R$495,MATCH("Case CDI Plate 2: B5",'CASE MASTER'!$H$2:$H$495,0)),"")</f>
        <v/>
      </c>
      <c r="G16" s="9" t="str">
        <f>IFERROR(INDEX('CASE MASTER'!$R$2:$R$495,MATCH("Case CDI Plate 2: B6",'CASE MASTER'!$H$2:$H$495,0)),"")</f>
        <v/>
      </c>
      <c r="H16" s="9" t="str">
        <f>IFERROR(INDEX('CASE MASTER'!$R$2:$R$495,MATCH("Case CDI Plate 2: B7",'CASE MASTER'!$H$2:$H$495,0)),"")</f>
        <v/>
      </c>
      <c r="I16" s="9" t="str">
        <f>IFERROR(INDEX('CASE MASTER'!$R$2:$R$495,MATCH("Case CDI Plate 2: B8",'CASE MASTER'!$H$2:$H$495,0)),"")</f>
        <v/>
      </c>
      <c r="J16" s="9" t="str">
        <f>IFERROR(INDEX('CASE MASTER'!$R$2:$R$495,MATCH("Case CDI Plate 2: B9",'CASE MASTER'!$H$2:$H$495,0)),"")</f>
        <v/>
      </c>
      <c r="K16" s="9" t="str">
        <f>IFERROR(INDEX('CASE MASTER'!$R$2:$R$495,MATCH("Case CDI Plate 2: B10",'CASE MASTER'!$H$2:$H$495,0)),"")</f>
        <v/>
      </c>
      <c r="L16" s="9" t="str">
        <f>IFERROR(INDEX('CASE MASTER'!$R$2:$R$495,MATCH("Case CDI Plate 2: B11",'CASE MASTER'!$H$2:$H$495,0)),"")</f>
        <v/>
      </c>
      <c r="M16" s="9" t="str">
        <f>IFERROR(INDEX('CASE MASTER'!$R$2:$R$495,MATCH("Case CDI Plate 2: B12",'CASE MASTER'!$H$2:$H$495,0)),"")</f>
        <v/>
      </c>
    </row>
    <row r="17" spans="1:13" ht="15" customHeight="1" x14ac:dyDescent="0.35">
      <c r="A17" s="8" t="s">
        <v>30</v>
      </c>
      <c r="B17" s="9" t="str">
        <f>IFERROR(INDEX('CASE MASTER'!$R$2:$R$495,MATCH("Case CDI Plate 2: C1",'CASE MASTER'!$H$2:$H$495,0)),"")</f>
        <v/>
      </c>
      <c r="C17" s="9" t="str">
        <f>IFERROR(INDEX('CASE MASTER'!$R$2:$R$495,MATCH("Case CDI Plate 2: C2",'CASE MASTER'!$H$2:$H$495,0)),"")</f>
        <v/>
      </c>
      <c r="D17" s="9" t="str">
        <f>IFERROR(INDEX('CASE MASTER'!$R$2:$R$495,MATCH("Case CDI Plate 2: C3",'CASE MASTER'!$H$2:$H$495,0)),"")</f>
        <v/>
      </c>
      <c r="E17" s="9" t="str">
        <f>IFERROR(INDEX('CASE MASTER'!$R$2:$R$495,MATCH("Case CDI Plate 2: C4",'CASE MASTER'!$H$2:$H$495,0)),"")</f>
        <v/>
      </c>
      <c r="F17" s="9" t="str">
        <f>IFERROR(INDEX('CASE MASTER'!$R$2:$R$495,MATCH("Case CDI Plate 2: C5",'CASE MASTER'!$H$2:$H$495,0)),"")</f>
        <v/>
      </c>
      <c r="G17" s="9" t="str">
        <f>IFERROR(INDEX('CASE MASTER'!$R$2:$R$495,MATCH("Case CDI Plate 2: C6",'CASE MASTER'!$H$2:$H$495,0)),"")</f>
        <v/>
      </c>
      <c r="H17" s="9" t="str">
        <f>IFERROR(INDEX('CASE MASTER'!$R$2:$R$495,MATCH("Case CDI Plate 2: C7",'CASE MASTER'!$H$2:$H$495,0)),"")</f>
        <v/>
      </c>
      <c r="I17" s="9" t="str">
        <f>IFERROR(INDEX('CASE MASTER'!$R$2:$R$495,MATCH("Case CDI Plate 2: C8",'CASE MASTER'!$H$2:$H$495,0)),"")</f>
        <v/>
      </c>
      <c r="J17" s="9" t="str">
        <f>IFERROR(INDEX('CASE MASTER'!$R$2:$R$495,MATCH("Case CDI Plate 2: C9",'CASE MASTER'!$H$2:$H$495,0)),"")</f>
        <v/>
      </c>
      <c r="K17" s="9" t="str">
        <f>IFERROR(INDEX('CASE MASTER'!$R$2:$R$495,MATCH("Case CDI Plate 2: C10",'CASE MASTER'!$H$2:$H$495,0)),"")</f>
        <v/>
      </c>
      <c r="L17" s="9" t="str">
        <f>IFERROR(INDEX('CASE MASTER'!$R$2:$R$495,MATCH("Case CDI Plate 2: C11",'CASE MASTER'!$H$2:$H$495,0)),"")</f>
        <v/>
      </c>
      <c r="M17" s="9" t="str">
        <f>IFERROR(INDEX('CASE MASTER'!$R$2:$R$495,MATCH("Case CDI Plate 2: C12",'CASE MASTER'!$H$2:$H$495,0)),"")</f>
        <v/>
      </c>
    </row>
    <row r="18" spans="1:13" ht="15" customHeight="1" x14ac:dyDescent="0.35">
      <c r="A18" s="8" t="s">
        <v>31</v>
      </c>
      <c r="B18" s="9" t="str">
        <f>IFERROR(INDEX('CASE MASTER'!$R$2:$R$495,MATCH("Case CDI Plate 2: D1",'CASE MASTER'!$H$2:$H$495,0)),"")</f>
        <v/>
      </c>
      <c r="C18" s="9" t="str">
        <f>IFERROR(INDEX('CASE MASTER'!$R$2:$R$495,MATCH("Case CDI Plate 2: D2",'CASE MASTER'!$H$2:$H$495,0)),"")</f>
        <v/>
      </c>
      <c r="D18" s="9" t="str">
        <f>IFERROR(INDEX('CASE MASTER'!$R$2:$R$495,MATCH("Case CDI Plate 2: D3",'CASE MASTER'!$H$2:$H$495,0)),"")</f>
        <v/>
      </c>
      <c r="E18" s="9" t="str">
        <f>IFERROR(INDEX('CASE MASTER'!$R$2:$R$495,MATCH("Case CDI Plate 2: D4",'CASE MASTER'!$H$2:$H$495,0)),"")</f>
        <v/>
      </c>
      <c r="F18" s="9" t="str">
        <f>IFERROR(INDEX('CASE MASTER'!$R$2:$R$495,MATCH("Case CDI Plate 2: D5",'CASE MASTER'!$H$2:$H$495,0)),"")</f>
        <v/>
      </c>
      <c r="G18" s="9" t="str">
        <f>IFERROR(INDEX('CASE MASTER'!$R$2:$R$495,MATCH("Case CDI Plate 2: D6",'CASE MASTER'!$H$2:$H$495,0)),"")</f>
        <v/>
      </c>
      <c r="H18" s="9" t="str">
        <f>IFERROR(INDEX('CASE MASTER'!$R$2:$R$495,MATCH("Case CDI Plate 2: D7",'CASE MASTER'!$H$2:$H$495,0)),"")</f>
        <v/>
      </c>
      <c r="I18" s="9" t="str">
        <f>IFERROR(INDEX('CASE MASTER'!$R$2:$R$495,MATCH("Case CDI Plate 2: D8",'CASE MASTER'!$H$2:$H$495,0)),"")</f>
        <v/>
      </c>
      <c r="J18" s="9" t="str">
        <f>IFERROR(INDEX('CASE MASTER'!$R$2:$R$495,MATCH("Case CDI Plate 2: D9",'CASE MASTER'!$H$2:$H$495,0)),"")</f>
        <v/>
      </c>
      <c r="K18" s="9" t="str">
        <f>IFERROR(INDEX('CASE MASTER'!$R$2:$R$495,MATCH("Case CDI Plate 2: D10",'CASE MASTER'!$H$2:$H$495,0)),"")</f>
        <v/>
      </c>
      <c r="L18" s="9" t="str">
        <f>IFERROR(INDEX('CASE MASTER'!$R$2:$R$495,MATCH("Case CDI Plate 2: D11",'CASE MASTER'!$H$2:$H$495,0)),"")</f>
        <v/>
      </c>
      <c r="M18" s="9" t="str">
        <f>IFERROR(INDEX('CASE MASTER'!$R$2:$R$495,MATCH("Case CDI Plate 2: D12",'CASE MASTER'!$H$2:$H$495,0)),"")</f>
        <v/>
      </c>
    </row>
    <row r="19" spans="1:13" ht="15" customHeight="1" x14ac:dyDescent="0.35">
      <c r="A19" s="8" t="s">
        <v>32</v>
      </c>
      <c r="B19" s="9" t="str">
        <f>IFERROR(INDEX('CASE MASTER'!$R$2:$R$495,MATCH("Case CDI Plate 2: E1",'CASE MASTER'!$H$2:$H$495,0)),"")</f>
        <v/>
      </c>
      <c r="C19" s="9" t="str">
        <f>IFERROR(INDEX('CASE MASTER'!$R$2:$R$495,MATCH("Case CDI Plate 2: E2",'CASE MASTER'!$H$2:$H$495,0)),"")</f>
        <v/>
      </c>
      <c r="D19" s="9" t="str">
        <f>IFERROR(INDEX('CASE MASTER'!$R$2:$R$495,MATCH("Case CDI Plate 2: E3",'CASE MASTER'!$H$2:$H$495,0)),"")</f>
        <v/>
      </c>
      <c r="E19" s="9" t="str">
        <f>IFERROR(INDEX('CASE MASTER'!$R$2:$R$495,MATCH("Case CDI Plate 2: E4",'CASE MASTER'!$H$2:$H$495,0)),"")</f>
        <v/>
      </c>
      <c r="F19" s="9" t="str">
        <f>IFERROR(INDEX('CASE MASTER'!$R$2:$R$495,MATCH("Case CDI Plate 2: E5",'CASE MASTER'!$H$2:$H$495,0)),"")</f>
        <v/>
      </c>
      <c r="G19" s="9" t="str">
        <f>IFERROR(INDEX('CASE MASTER'!$R$2:$R$495,MATCH("Case CDI Plate 2: E6",'CASE MASTER'!$H$2:$H$495,0)),"")</f>
        <v/>
      </c>
      <c r="H19" s="9" t="str">
        <f>IFERROR(INDEX('CASE MASTER'!$R$2:$R$495,MATCH("Case CDI Plate 2: E7",'CASE MASTER'!$H$2:$H$495,0)),"")</f>
        <v/>
      </c>
      <c r="I19" s="9" t="str">
        <f>IFERROR(INDEX('CASE MASTER'!$R$2:$R$495,MATCH("Case CDI Plate 2: E8",'CASE MASTER'!$H$2:$H$495,0)),"")</f>
        <v/>
      </c>
      <c r="J19" s="9" t="str">
        <f>IFERROR(INDEX('CASE MASTER'!$R$2:$R$495,MATCH("Case CDI Plate 2: E9",'CASE MASTER'!$H$2:$H$495,0)),"")</f>
        <v/>
      </c>
      <c r="K19" s="9" t="str">
        <f>IFERROR(INDEX('CASE MASTER'!$R$2:$R$495,MATCH("Case CDI Plate 2: E10",'CASE MASTER'!$H$2:$H$495,0)),"")</f>
        <v/>
      </c>
      <c r="L19" s="9" t="str">
        <f>IFERROR(INDEX('CASE MASTER'!$R$2:$R$495,MATCH("Case CDI Plate 2: E11",'CASE MASTER'!$H$2:$H$495,0)),"")</f>
        <v/>
      </c>
      <c r="M19" s="9" t="str">
        <f>IFERROR(INDEX('CASE MASTER'!$R$2:$R$495,MATCH("Case CDI Plate 2: E12",'CASE MASTER'!$H$2:$H$495,0)),"")</f>
        <v/>
      </c>
    </row>
    <row r="20" spans="1:13" ht="15" customHeight="1" x14ac:dyDescent="0.35">
      <c r="A20" s="8" t="s">
        <v>33</v>
      </c>
      <c r="B20" s="9" t="str">
        <f>IFERROR(INDEX('CASE MASTER'!$R$2:$R$495,MATCH("Case CDI Plate 2: F1",'CASE MASTER'!$H$2:$H$495,0)),"")</f>
        <v/>
      </c>
      <c r="C20" s="9" t="str">
        <f>IFERROR(INDEX('CASE MASTER'!$R$2:$R$495,MATCH("Case CDI Plate 2: F2",'CASE MASTER'!$H$2:$H$495,0)),"")</f>
        <v/>
      </c>
      <c r="D20" s="9" t="str">
        <f>IFERROR(INDEX('CASE MASTER'!$R$2:$R$495,MATCH("Case CDI Plate 2: F3",'CASE MASTER'!$H$2:$H$495,0)),"")</f>
        <v/>
      </c>
      <c r="E20" s="9" t="str">
        <f>IFERROR(INDEX('CASE MASTER'!$R$2:$R$495,MATCH("Case CDI Plate 2: F4",'CASE MASTER'!$H$2:$H$495,0)),"")</f>
        <v/>
      </c>
      <c r="F20" s="9" t="str">
        <f>IFERROR(INDEX('CASE MASTER'!$R$2:$R$495,MATCH("Case CDI Plate 2: F5",'CASE MASTER'!$H$2:$H$495,0)),"")</f>
        <v/>
      </c>
      <c r="G20" s="9" t="str">
        <f>IFERROR(INDEX('CASE MASTER'!$R$2:$R$495,MATCH("Case CDI Plate 2: F6",'CASE MASTER'!$H$2:$H$495,0)),"")</f>
        <v/>
      </c>
      <c r="H20" s="9" t="str">
        <f>IFERROR(INDEX('CASE MASTER'!$R$2:$R$495,MATCH("Case CDI Plate 2: F7",'CASE MASTER'!$H$2:$H$495,0)),"")</f>
        <v/>
      </c>
      <c r="I20" s="9" t="str">
        <f>IFERROR(INDEX('CASE MASTER'!$R$2:$R$495,MATCH("Case CDI Plate 2: F8",'CASE MASTER'!$H$2:$H$495,0)),"")</f>
        <v/>
      </c>
      <c r="J20" s="9" t="str">
        <f>IFERROR(INDEX('CASE MASTER'!$R$2:$R$495,MATCH("Case CDI Plate 2: F9",'CASE MASTER'!$H$2:$H$495,0)),"")</f>
        <v/>
      </c>
      <c r="K20" s="9" t="str">
        <f>IFERROR(INDEX('CASE MASTER'!$R$2:$R$495,MATCH("Case CDI Plate 2: F10",'CASE MASTER'!$H$2:$H$495,0)),"")</f>
        <v/>
      </c>
      <c r="L20" s="9" t="str">
        <f>IFERROR(INDEX('CASE MASTER'!$R$2:$R$495,MATCH("Case CDI Plate 2: F11",'CASE MASTER'!$H$2:$H$495,0)),"")</f>
        <v/>
      </c>
      <c r="M20" s="9" t="str">
        <f>IFERROR(INDEX('CASE MASTER'!$R$2:$R$495,MATCH("Case CDI Plate 2: F12",'CASE MASTER'!$H$2:$H$495,0)),"")</f>
        <v/>
      </c>
    </row>
    <row r="21" spans="1:13" ht="15" customHeight="1" x14ac:dyDescent="0.35">
      <c r="A21" s="8" t="s">
        <v>34</v>
      </c>
      <c r="B21" s="9" t="str">
        <f>IFERROR(INDEX('CASE MASTER'!$R$2:$R$495,MATCH("Case CDI Plate 2: G1",'CASE MASTER'!$H$2:$H$495,0)),"")</f>
        <v/>
      </c>
      <c r="C21" s="9" t="str">
        <f>IFERROR(INDEX('CASE MASTER'!$R$2:$R$495,MATCH("Case CDI Plate 2: G2",'CASE MASTER'!$H$2:$H$495,0)),"")</f>
        <v/>
      </c>
      <c r="D21" s="9" t="str">
        <f>IFERROR(INDEX('CASE MASTER'!$R$2:$R$495,MATCH("Case CDI Plate 2: G3",'CASE MASTER'!$H$2:$H$495,0)),"")</f>
        <v/>
      </c>
      <c r="E21" s="9" t="str">
        <f>IFERROR(INDEX('CASE MASTER'!$R$2:$R$495,MATCH("Case CDI Plate 2: G4",'CASE MASTER'!$H$2:$H$495,0)),"")</f>
        <v/>
      </c>
      <c r="F21" s="9" t="str">
        <f>IFERROR(INDEX('CASE MASTER'!$R$2:$R$495,MATCH("Case CDI Plate 2: G5",'CASE MASTER'!$H$2:$H$495,0)),"")</f>
        <v/>
      </c>
      <c r="G21" s="9" t="str">
        <f>IFERROR(INDEX('CASE MASTER'!$R$2:$R$495,MATCH("Case CDI Plate 2: G6",'CASE MASTER'!$H$2:$H$495,0)),"")</f>
        <v/>
      </c>
      <c r="H21" s="9" t="str">
        <f>IFERROR(INDEX('CASE MASTER'!$R$2:$R$495,MATCH("Case CDI Plate 2: G7",'CASE MASTER'!$H$2:$H$495,0)),"")</f>
        <v/>
      </c>
      <c r="I21" s="9" t="str">
        <f>IFERROR(INDEX('CASE MASTER'!$R$2:$R$495,MATCH("Case CDI Plate 2: G8",'CASE MASTER'!$H$2:$H$495,0)),"")</f>
        <v/>
      </c>
      <c r="J21" s="9" t="str">
        <f>IFERROR(INDEX('CASE MASTER'!$R$2:$R$495,MATCH("Case CDI Plate 2: G9",'CASE MASTER'!$H$2:$H$495,0)),"")</f>
        <v/>
      </c>
      <c r="K21" s="9" t="str">
        <f>IFERROR(INDEX('CASE MASTER'!$R$2:$R$495,MATCH("Case CDI Plate 2: G10",'CASE MASTER'!$H$2:$H$495,0)),"")</f>
        <v/>
      </c>
      <c r="L21" s="9" t="str">
        <f>IFERROR(INDEX('CASE MASTER'!$R$2:$R$495,MATCH("Case CDI Plate 2: G11",'CASE MASTER'!$H$2:$H$495,0)),"")</f>
        <v/>
      </c>
      <c r="M21" s="9" t="str">
        <f>IFERROR(INDEX('CASE MASTER'!$R$2:$R$495,MATCH("Case CDI Plate 2: G12",'CASE MASTER'!$H$2:$H$495,0)),"")</f>
        <v/>
      </c>
    </row>
    <row r="22" spans="1:13" ht="15" customHeight="1" x14ac:dyDescent="0.35">
      <c r="A22" s="8" t="s">
        <v>35</v>
      </c>
      <c r="B22" s="9" t="str">
        <f>IFERROR(INDEX('CASE MASTER'!$R$2:$R$495,MATCH("Case CDI Plate 2: H1",'CASE MASTER'!$H$2:$H$495,0)),"")</f>
        <v/>
      </c>
      <c r="C22" s="9" t="str">
        <f>IFERROR(INDEX('CASE MASTER'!$R$2:$R$495,MATCH("Case CDI Plate 2: H2",'CASE MASTER'!$H$2:$H$495,0)),"")</f>
        <v/>
      </c>
      <c r="D22" s="9" t="str">
        <f>IFERROR(INDEX('CASE MASTER'!$R$2:$R$495,MATCH("Case CDI Plate 2: H3",'CASE MASTER'!$H$2:$H$495,0)),"")</f>
        <v/>
      </c>
      <c r="E22" s="9" t="str">
        <f>IFERROR(INDEX('CASE MASTER'!$R$2:$R$495,MATCH("Case CDI Plate 2: H4",'CASE MASTER'!$H$2:$H$495,0)),"")</f>
        <v/>
      </c>
      <c r="F22" s="9" t="str">
        <f>IFERROR(INDEX('CASE MASTER'!$R$2:$R$495,MATCH("Case CDI Plate 2: H5",'CASE MASTER'!$H$2:$H$495,0)),"")</f>
        <v/>
      </c>
      <c r="G22" s="9" t="str">
        <f>IFERROR(INDEX('CASE MASTER'!$R$2:$R$495,MATCH("Case CDI Plate 2: H6",'CASE MASTER'!$H$2:$H$495,0)),"")</f>
        <v/>
      </c>
      <c r="H22" s="9" t="str">
        <f>IFERROR(INDEX('CASE MASTER'!$R$2:$R$495,MATCH("Case CDI Plate 2: H7",'CASE MASTER'!$H$2:$H$495,0)),"")</f>
        <v/>
      </c>
      <c r="I22" s="9" t="str">
        <f>IFERROR(INDEX('CASE MASTER'!$R$2:$R$495,MATCH("Case CDI Plate 2: H8",'CASE MASTER'!$H$2:$H$495,0)),"")</f>
        <v/>
      </c>
      <c r="J22" s="9" t="str">
        <f>IFERROR(INDEX('CASE MASTER'!$R$2:$R$495,MATCH("Case CDI Plate 2: H9",'CASE MASTER'!$H$2:$H$495,0)),"")</f>
        <v/>
      </c>
      <c r="K22" s="9" t="str">
        <f>IFERROR(INDEX('CASE MASTER'!$R$2:$R$495,MATCH("Case CDI Plate 2: H10",'CASE MASTER'!$H$2:$H$495,0)),"")</f>
        <v/>
      </c>
      <c r="L22" s="9" t="str">
        <f>IFERROR(INDEX('CASE MASTER'!$R$2:$R$495,MATCH("Case CDI Plate 2: H11",'CASE MASTER'!$H$2:$H$495,0)),"")</f>
        <v/>
      </c>
      <c r="M22" s="9" t="str">
        <f>IFERROR(INDEX('CASE MASTER'!$R$2:$R$495,MATCH("Case CDI Plate 2: H12",'CASE MASTER'!$H$2:$H$495,0)),"")</f>
        <v/>
      </c>
    </row>
    <row r="25" spans="1:13" ht="15" customHeight="1" x14ac:dyDescent="0.35">
      <c r="A25" s="12" t="s">
        <v>37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</row>
    <row r="26" spans="1:13" ht="15" customHeight="1" x14ac:dyDescent="0.35">
      <c r="B26" s="8">
        <v>1</v>
      </c>
      <c r="C26" s="8">
        <v>2</v>
      </c>
      <c r="D26" s="8">
        <v>3</v>
      </c>
      <c r="E26" s="8">
        <v>4</v>
      </c>
      <c r="F26" s="8">
        <v>5</v>
      </c>
      <c r="G26" s="8">
        <v>6</v>
      </c>
      <c r="H26" s="8">
        <v>7</v>
      </c>
      <c r="I26" s="8">
        <v>8</v>
      </c>
      <c r="J26" s="8">
        <v>9</v>
      </c>
      <c r="K26" s="8">
        <v>10</v>
      </c>
      <c r="L26" s="8">
        <v>11</v>
      </c>
      <c r="M26" s="8">
        <v>12</v>
      </c>
    </row>
    <row r="27" spans="1:13" ht="15" customHeight="1" x14ac:dyDescent="0.35">
      <c r="A27" s="8" t="s">
        <v>28</v>
      </c>
      <c r="B27" s="9" t="str">
        <f>IFERROR(INDEX('CASE MASTER'!$R$2:$R$495,MATCH("Case CDI Plate 3: A1",'CASE MASTER'!$H$2:$H$495,0)),"")</f>
        <v/>
      </c>
      <c r="C27" s="9" t="str">
        <f>IFERROR(INDEX('CASE MASTER'!$R$2:$R$495,MATCH("Case CDI Plate 3: A2",'CASE MASTER'!$H$2:$H$495,0)),"")</f>
        <v/>
      </c>
      <c r="D27" s="9" t="str">
        <f>IFERROR(INDEX('CASE MASTER'!$R$2:$R$495,MATCH("Case CDI Plate 3: A3",'CASE MASTER'!$H$2:$H$495,0)),"")</f>
        <v/>
      </c>
      <c r="E27" s="9" t="str">
        <f>IFERROR(INDEX('CASE MASTER'!$R$2:$R$495,MATCH("Case CDI Plate 3: A4",'CASE MASTER'!$H$2:$H$495,0)),"")</f>
        <v/>
      </c>
      <c r="F27" s="9" t="str">
        <f>IFERROR(INDEX('CASE MASTER'!$R$2:$R$495,MATCH("Case CDI Plate 3: A5",'CASE MASTER'!$H$2:$H$495,0)),"")</f>
        <v/>
      </c>
      <c r="G27" s="9" t="str">
        <f>IFERROR(INDEX('CASE MASTER'!$R$2:$R$495,MATCH("Case CDI Plate 3: A6",'CASE MASTER'!$H$2:$H$495,0)),"")</f>
        <v/>
      </c>
      <c r="H27" s="9" t="str">
        <f>IFERROR(INDEX('CASE MASTER'!$R$2:$R$495,MATCH("Case CDI Plate 3: A7",'CASE MASTER'!$H$2:$H$495,0)),"")</f>
        <v/>
      </c>
      <c r="I27" s="9" t="str">
        <f>IFERROR(INDEX('CASE MASTER'!$R$2:$R$495,MATCH("Case CDI Plate 3: A8",'CASE MASTER'!$H$2:$H$495,0)),"")</f>
        <v/>
      </c>
      <c r="J27" s="9" t="str">
        <f>IFERROR(INDEX('CASE MASTER'!$R$2:$R$495,MATCH("Case CDI Plate 3: A9",'CASE MASTER'!$H$2:$H$495,0)),"")</f>
        <v/>
      </c>
      <c r="K27" s="9" t="str">
        <f>IFERROR(INDEX('CASE MASTER'!$R$2:$R$495,MATCH("Case CDI Plate 3: A10",'CASE MASTER'!$H$2:$H$495,0)),"")</f>
        <v/>
      </c>
      <c r="L27" s="9" t="str">
        <f>IFERROR(INDEX('CASE MASTER'!$R$2:$R$495,MATCH("Case CDI Plate 3: A11",'CASE MASTER'!$H$2:$H$495,0)),"")</f>
        <v/>
      </c>
      <c r="M27" s="9" t="str">
        <f>IFERROR(INDEX('CASE MASTER'!$R$2:$R$495,MATCH("Case CDI Plate 3: A12",'CASE MASTER'!$H$2:$H$495,0)),"")</f>
        <v/>
      </c>
    </row>
    <row r="28" spans="1:13" ht="15" customHeight="1" x14ac:dyDescent="0.35">
      <c r="A28" s="8" t="s">
        <v>29</v>
      </c>
      <c r="B28" s="9" t="str">
        <f>IFERROR(INDEX('CASE MASTER'!$R$2:$R$495,MATCH("Case CDI Plate 3: B1",'CASE MASTER'!$H$2:$H$495,0)),"")</f>
        <v/>
      </c>
      <c r="C28" s="9" t="str">
        <f>IFERROR(INDEX('CASE MASTER'!$R$2:$R$495,MATCH("Case CDI Plate 3: B2",'CASE MASTER'!$H$2:$H$495,0)),"")</f>
        <v/>
      </c>
      <c r="D28" s="9" t="str">
        <f>IFERROR(INDEX('CASE MASTER'!$R$2:$R$495,MATCH("Case CDI Plate 3: B3",'CASE MASTER'!$H$2:$H$495,0)),"")</f>
        <v/>
      </c>
      <c r="E28" s="9" t="str">
        <f>IFERROR(INDEX('CASE MASTER'!$R$2:$R$495,MATCH("Case CDI Plate 3: B4",'CASE MASTER'!$H$2:$H$495,0)),"")</f>
        <v/>
      </c>
      <c r="F28" s="9" t="str">
        <f>IFERROR(INDEX('CASE MASTER'!$R$2:$R$495,MATCH("Case CDI Plate 3: B5",'CASE MASTER'!$H$2:$H$495,0)),"")</f>
        <v/>
      </c>
      <c r="G28" s="9" t="str">
        <f>IFERROR(INDEX('CASE MASTER'!$R$2:$R$495,MATCH("Case CDI Plate 3: B6",'CASE MASTER'!$H$2:$H$495,0)),"")</f>
        <v/>
      </c>
      <c r="H28" s="9" t="str">
        <f>IFERROR(INDEX('CASE MASTER'!$R$2:$R$495,MATCH("Case CDI Plate 3: B7",'CASE MASTER'!$H$2:$H$495,0)),"")</f>
        <v/>
      </c>
      <c r="I28" s="9" t="str">
        <f>IFERROR(INDEX('CASE MASTER'!$R$2:$R$495,MATCH("Case CDI Plate 3: B8",'CASE MASTER'!$H$2:$H$495,0)),"")</f>
        <v/>
      </c>
      <c r="J28" s="9" t="str">
        <f>IFERROR(INDEX('CASE MASTER'!$R$2:$R$495,MATCH("Case CDI Plate 3: B9",'CASE MASTER'!$H$2:$H$495,0)),"")</f>
        <v/>
      </c>
      <c r="K28" s="9" t="str">
        <f>IFERROR(INDEX('CASE MASTER'!$R$2:$R$495,MATCH("Case CDI Plate 3: B10",'CASE MASTER'!$H$2:$H$495,0)),"")</f>
        <v/>
      </c>
      <c r="L28" s="9" t="str">
        <f>IFERROR(INDEX('CASE MASTER'!$R$2:$R$495,MATCH("Case CDI Plate 3: B11",'CASE MASTER'!$H$2:$H$495,0)),"")</f>
        <v/>
      </c>
      <c r="M28" s="9" t="str">
        <f>IFERROR(INDEX('CASE MASTER'!$R$2:$R$495,MATCH("Case CDI Plate 3: B12",'CASE MASTER'!$H$2:$H$495,0)),"")</f>
        <v/>
      </c>
    </row>
    <row r="29" spans="1:13" ht="15" customHeight="1" x14ac:dyDescent="0.35">
      <c r="A29" s="8" t="s">
        <v>30</v>
      </c>
      <c r="B29" s="9" t="str">
        <f>IFERROR(INDEX('CASE MASTER'!$R$2:$R$495,MATCH("Case CDI Plate 3: C1",'CASE MASTER'!$H$2:$H$495,0)),"")</f>
        <v/>
      </c>
      <c r="C29" s="9" t="str">
        <f>IFERROR(INDEX('CASE MASTER'!$R$2:$R$495,MATCH("Case CDI Plate 3: C2",'CASE MASTER'!$H$2:$H$495,0)),"")</f>
        <v/>
      </c>
      <c r="D29" s="9" t="str">
        <f>IFERROR(INDEX('CASE MASTER'!$R$2:$R$495,MATCH("Case CDI Plate 3: C3",'CASE MASTER'!$H$2:$H$495,0)),"")</f>
        <v/>
      </c>
      <c r="E29" s="9" t="str">
        <f>IFERROR(INDEX('CASE MASTER'!$R$2:$R$495,MATCH("Case CDI Plate 3: C4",'CASE MASTER'!$H$2:$H$495,0)),"")</f>
        <v/>
      </c>
      <c r="F29" s="9" t="str">
        <f>IFERROR(INDEX('CASE MASTER'!$R$2:$R$495,MATCH("Case CDI Plate 3: C5",'CASE MASTER'!$H$2:$H$495,0)),"")</f>
        <v/>
      </c>
      <c r="G29" s="9" t="str">
        <f>IFERROR(INDEX('CASE MASTER'!$R$2:$R$495,MATCH("Case CDI Plate 3: C6",'CASE MASTER'!$H$2:$H$495,0)),"")</f>
        <v/>
      </c>
      <c r="H29" s="9" t="str">
        <f>IFERROR(INDEX('CASE MASTER'!$R$2:$R$495,MATCH("Case CDI Plate 3: C7",'CASE MASTER'!$H$2:$H$495,0)),"")</f>
        <v/>
      </c>
      <c r="I29" s="9" t="str">
        <f>IFERROR(INDEX('CASE MASTER'!$R$2:$R$495,MATCH("Case CDI Plate 3: C8",'CASE MASTER'!$H$2:$H$495,0)),"")</f>
        <v/>
      </c>
      <c r="J29" s="9" t="str">
        <f>IFERROR(INDEX('CASE MASTER'!$R$2:$R$495,MATCH("Case CDI Plate 3: C9",'CASE MASTER'!$H$2:$H$495,0)),"")</f>
        <v/>
      </c>
      <c r="K29" s="9" t="str">
        <f>IFERROR(INDEX('CASE MASTER'!$R$2:$R$495,MATCH("Case CDI Plate 3: C10",'CASE MASTER'!$H$2:$H$495,0)),"")</f>
        <v/>
      </c>
      <c r="L29" s="9" t="str">
        <f>IFERROR(INDEX('CASE MASTER'!$R$2:$R$495,MATCH("Case CDI Plate 3: C11",'CASE MASTER'!$H$2:$H$495,0)),"")</f>
        <v/>
      </c>
      <c r="M29" s="9" t="str">
        <f>IFERROR(INDEX('CASE MASTER'!$R$2:$R$495,MATCH("Case CDI Plate 3: C12",'CASE MASTER'!$H$2:$H$495,0)),"")</f>
        <v/>
      </c>
    </row>
    <row r="30" spans="1:13" ht="15" customHeight="1" x14ac:dyDescent="0.35">
      <c r="A30" s="8" t="s">
        <v>31</v>
      </c>
      <c r="B30" s="9" t="str">
        <f>IFERROR(INDEX('CASE MASTER'!$R$2:$R$495,MATCH("Case CDI Plate 3: D1",'CASE MASTER'!$H$2:$H$495,0)),"")</f>
        <v/>
      </c>
      <c r="C30" s="9" t="str">
        <f>IFERROR(INDEX('CASE MASTER'!$R$2:$R$495,MATCH("Case CDI Plate 3: D2",'CASE MASTER'!$H$2:$H$495,0)),"")</f>
        <v/>
      </c>
      <c r="D30" s="9" t="str">
        <f>IFERROR(INDEX('CASE MASTER'!$R$2:$R$495,MATCH("Case CDI Plate 3: D3",'CASE MASTER'!$H$2:$H$495,0)),"")</f>
        <v/>
      </c>
      <c r="E30" s="9" t="str">
        <f>IFERROR(INDEX('CASE MASTER'!$R$2:$R$495,MATCH("Case CDI Plate 3: D4",'CASE MASTER'!$H$2:$H$495,0)),"")</f>
        <v/>
      </c>
      <c r="F30" s="9" t="str">
        <f>IFERROR(INDEX('CASE MASTER'!$R$2:$R$495,MATCH("Case CDI Plate 3: D5",'CASE MASTER'!$H$2:$H$495,0)),"")</f>
        <v/>
      </c>
      <c r="G30" s="9" t="str">
        <f>IFERROR(INDEX('CASE MASTER'!$R$2:$R$495,MATCH("Case CDI Plate 3: D6",'CASE MASTER'!$H$2:$H$495,0)),"")</f>
        <v/>
      </c>
      <c r="H30" s="9" t="str">
        <f>IFERROR(INDEX('CASE MASTER'!$R$2:$R$495,MATCH("Case CDI Plate 3: D7",'CASE MASTER'!$H$2:$H$495,0)),"")</f>
        <v/>
      </c>
      <c r="I30" s="9" t="str">
        <f>IFERROR(INDEX('CASE MASTER'!$R$2:$R$495,MATCH("Case CDI Plate 3: D8",'CASE MASTER'!$H$2:$H$495,0)),"")</f>
        <v/>
      </c>
      <c r="J30" s="9" t="str">
        <f>IFERROR(INDEX('CASE MASTER'!$R$2:$R$495,MATCH("Case CDI Plate 3: D9",'CASE MASTER'!$H$2:$H$495,0)),"")</f>
        <v/>
      </c>
      <c r="K30" s="9" t="str">
        <f>IFERROR(INDEX('CASE MASTER'!$R$2:$R$495,MATCH("Case CDI Plate 3: D10",'CASE MASTER'!$H$2:$H$495,0)),"")</f>
        <v/>
      </c>
      <c r="L30" s="9" t="str">
        <f>IFERROR(INDEX('CASE MASTER'!$R$2:$R$495,MATCH("Case CDI Plate 3: D11",'CASE MASTER'!$H$2:$H$495,0)),"")</f>
        <v/>
      </c>
      <c r="M30" s="9" t="str">
        <f>IFERROR(INDEX('CASE MASTER'!$R$2:$R$495,MATCH("Case CDI Plate 3: D12",'CASE MASTER'!$H$2:$H$495,0)),"")</f>
        <v/>
      </c>
    </row>
    <row r="31" spans="1:13" ht="15" customHeight="1" x14ac:dyDescent="0.35">
      <c r="A31" s="8" t="s">
        <v>32</v>
      </c>
      <c r="B31" s="9" t="str">
        <f>IFERROR(INDEX('CASE MASTER'!$R$2:$R$495,MATCH("Case CDI Plate 3: E1",'CASE MASTER'!$H$2:$H$495,0)),"")</f>
        <v/>
      </c>
      <c r="C31" s="9" t="str">
        <f>IFERROR(INDEX('CASE MASTER'!$R$2:$R$495,MATCH("Case CDI Plate 3: E2",'CASE MASTER'!$H$2:$H$495,0)),"")</f>
        <v/>
      </c>
      <c r="D31" s="9" t="str">
        <f>IFERROR(INDEX('CASE MASTER'!$R$2:$R$495,MATCH("Case CDI Plate 3: E3",'CASE MASTER'!$H$2:$H$495,0)),"")</f>
        <v/>
      </c>
      <c r="E31" s="9" t="str">
        <f>IFERROR(INDEX('CASE MASTER'!$R$2:$R$495,MATCH("Case CDI Plate 3: E4",'CASE MASTER'!$H$2:$H$495,0)),"")</f>
        <v/>
      </c>
      <c r="F31" s="9" t="str">
        <f>IFERROR(INDEX('CASE MASTER'!$R$2:$R$495,MATCH("Case CDI Plate 3: E5",'CASE MASTER'!$H$2:$H$495,0)),"")</f>
        <v/>
      </c>
      <c r="G31" s="9" t="str">
        <f>IFERROR(INDEX('CASE MASTER'!$R$2:$R$495,MATCH("Case CDI Plate 3: E6",'CASE MASTER'!$H$2:$H$495,0)),"")</f>
        <v/>
      </c>
      <c r="H31" s="9" t="str">
        <f>IFERROR(INDEX('CASE MASTER'!$R$2:$R$495,MATCH("Case CDI Plate 3: E7",'CASE MASTER'!$H$2:$H$495,0)),"")</f>
        <v/>
      </c>
      <c r="I31" s="9" t="str">
        <f>IFERROR(INDEX('CASE MASTER'!$R$2:$R$495,MATCH("Case CDI Plate 3: E8",'CASE MASTER'!$H$2:$H$495,0)),"")</f>
        <v/>
      </c>
      <c r="J31" s="9" t="str">
        <f>IFERROR(INDEX('CASE MASTER'!$R$2:$R$495,MATCH("Case CDI Plate 3: E9",'CASE MASTER'!$H$2:$H$495,0)),"")</f>
        <v/>
      </c>
      <c r="K31" s="9" t="str">
        <f>IFERROR(INDEX('CASE MASTER'!$R$2:$R$495,MATCH("Case CDI Plate 3: E10",'CASE MASTER'!$H$2:$H$495,0)),"")</f>
        <v/>
      </c>
      <c r="L31" s="9" t="str">
        <f>IFERROR(INDEX('CASE MASTER'!$R$2:$R$495,MATCH("Case CDI Plate 3: E11",'CASE MASTER'!$H$2:$H$495,0)),"")</f>
        <v/>
      </c>
      <c r="M31" s="9" t="str">
        <f>IFERROR(INDEX('CASE MASTER'!$R$2:$R$495,MATCH("Case CDI Plate 3: E12",'CASE MASTER'!$H$2:$H$495,0)),"")</f>
        <v/>
      </c>
    </row>
    <row r="32" spans="1:13" ht="15" customHeight="1" x14ac:dyDescent="0.35">
      <c r="A32" s="8" t="s">
        <v>33</v>
      </c>
      <c r="B32" s="9" t="str">
        <f>IFERROR(INDEX('CASE MASTER'!$R$2:$R$495,MATCH("Case CDI Plate 3: F1",'CASE MASTER'!$H$2:$H$495,0)),"")</f>
        <v/>
      </c>
      <c r="C32" s="9" t="str">
        <f>IFERROR(INDEX('CASE MASTER'!$R$2:$R$495,MATCH("Case CDI Plate 3: F2",'CASE MASTER'!$H$2:$H$495,0)),"")</f>
        <v/>
      </c>
      <c r="D32" s="9" t="str">
        <f>IFERROR(INDEX('CASE MASTER'!$R$2:$R$495,MATCH("Case CDI Plate 3: F3",'CASE MASTER'!$H$2:$H$495,0)),"")</f>
        <v/>
      </c>
      <c r="E32" s="9" t="str">
        <f>IFERROR(INDEX('CASE MASTER'!$R$2:$R$495,MATCH("Case CDI Plate 3: F4",'CASE MASTER'!$H$2:$H$495,0)),"")</f>
        <v/>
      </c>
      <c r="F32" s="9" t="str">
        <f>IFERROR(INDEX('CASE MASTER'!$R$2:$R$495,MATCH("Case CDI Plate 3: F5",'CASE MASTER'!$H$2:$H$495,0)),"")</f>
        <v/>
      </c>
      <c r="G32" s="9" t="str">
        <f>IFERROR(INDEX('CASE MASTER'!$R$2:$R$495,MATCH("Case CDI Plate 3: F6",'CASE MASTER'!$H$2:$H$495,0)),"")</f>
        <v/>
      </c>
      <c r="H32" s="9" t="str">
        <f>IFERROR(INDEX('CASE MASTER'!$R$2:$R$495,MATCH("Case CDI Plate 3: F7",'CASE MASTER'!$H$2:$H$495,0)),"")</f>
        <v/>
      </c>
      <c r="I32" s="9" t="str">
        <f>IFERROR(INDEX('CASE MASTER'!$R$2:$R$495,MATCH("Case CDI Plate 3: F8",'CASE MASTER'!$H$2:$H$495,0)),"")</f>
        <v/>
      </c>
      <c r="J32" s="9" t="str">
        <f>IFERROR(INDEX('CASE MASTER'!$R$2:$R$495,MATCH("Case CDI Plate 3: F9",'CASE MASTER'!$H$2:$H$495,0)),"")</f>
        <v/>
      </c>
      <c r="K32" s="9" t="str">
        <f>IFERROR(INDEX('CASE MASTER'!$R$2:$R$495,MATCH("Case CDI Plate 3: F10",'CASE MASTER'!$H$2:$H$495,0)),"")</f>
        <v/>
      </c>
      <c r="L32" s="9" t="str">
        <f>IFERROR(INDEX('CASE MASTER'!$R$2:$R$495,MATCH("Case CDI Plate 3: F11",'CASE MASTER'!$H$2:$H$495,0)),"")</f>
        <v/>
      </c>
      <c r="M32" s="9" t="str">
        <f>IFERROR(INDEX('CASE MASTER'!$R$2:$R$495,MATCH("Case CDI Plate 3: F12",'CASE MASTER'!$H$2:$H$495,0)),"")</f>
        <v/>
      </c>
    </row>
    <row r="33" spans="1:13" ht="15" customHeight="1" x14ac:dyDescent="0.35">
      <c r="A33" s="8" t="s">
        <v>34</v>
      </c>
      <c r="B33" s="9" t="str">
        <f>IFERROR(INDEX('CASE MASTER'!$R$2:$R$495,MATCH("Case CDI Plate 3: G1",'CASE MASTER'!$H$2:$H$495,0)),"")</f>
        <v/>
      </c>
      <c r="C33" s="9" t="str">
        <f>IFERROR(INDEX('CASE MASTER'!$R$2:$R$495,MATCH("Case CDI Plate 3: G2",'CASE MASTER'!$H$2:$H$495,0)),"")</f>
        <v/>
      </c>
      <c r="D33" s="9" t="str">
        <f>IFERROR(INDEX('CASE MASTER'!$R$2:$R$495,MATCH("Case CDI Plate 3: G3",'CASE MASTER'!$H$2:$H$495,0)),"")</f>
        <v/>
      </c>
      <c r="E33" s="9" t="str">
        <f>IFERROR(INDEX('CASE MASTER'!$R$2:$R$495,MATCH("Case CDI Plate 3: G4",'CASE MASTER'!$H$2:$H$495,0)),"")</f>
        <v/>
      </c>
      <c r="F33" s="9" t="str">
        <f>IFERROR(INDEX('CASE MASTER'!$R$2:$R$495,MATCH("Case CDI Plate 3: G5",'CASE MASTER'!$H$2:$H$495,0)),"")</f>
        <v/>
      </c>
      <c r="G33" s="9" t="str">
        <f>IFERROR(INDEX('CASE MASTER'!$R$2:$R$495,MATCH("Case CDI Plate 3: G6",'CASE MASTER'!$H$2:$H$495,0)),"")</f>
        <v/>
      </c>
      <c r="H33" s="9" t="str">
        <f>IFERROR(INDEX('CASE MASTER'!$R$2:$R$495,MATCH("Case CDI Plate 3: G7",'CASE MASTER'!$H$2:$H$495,0)),"")</f>
        <v/>
      </c>
      <c r="I33" s="9" t="str">
        <f>IFERROR(INDEX('CASE MASTER'!$R$2:$R$495,MATCH("Case CDI Plate 3: G8",'CASE MASTER'!$H$2:$H$495,0)),"")</f>
        <v/>
      </c>
      <c r="J33" s="9" t="str">
        <f>IFERROR(INDEX('CASE MASTER'!$R$2:$R$495,MATCH("Case CDI Plate 3: G9",'CASE MASTER'!$H$2:$H$495,0)),"")</f>
        <v/>
      </c>
      <c r="K33" s="9" t="str">
        <f>IFERROR(INDEX('CASE MASTER'!$R$2:$R$495,MATCH("Case CDI Plate 3: G10",'CASE MASTER'!$H$2:$H$495,0)),"")</f>
        <v/>
      </c>
      <c r="L33" s="9" t="str">
        <f>IFERROR(INDEX('CASE MASTER'!$R$2:$R$495,MATCH("Case CDI Plate 3: G11",'CASE MASTER'!$H$2:$H$495,0)),"")</f>
        <v/>
      </c>
      <c r="M33" s="9" t="str">
        <f>IFERROR(INDEX('CASE MASTER'!$R$2:$R$495,MATCH("Case CDI Plate 3: G12",'CASE MASTER'!$H$2:$H$495,0)),"")</f>
        <v/>
      </c>
    </row>
    <row r="34" spans="1:13" ht="15" customHeight="1" x14ac:dyDescent="0.35">
      <c r="A34" s="8" t="s">
        <v>35</v>
      </c>
      <c r="B34" s="9" t="str">
        <f>IFERROR(INDEX('CASE MASTER'!$R$2:$R$495,MATCH("Case CDI Plate 3: H1",'CASE MASTER'!$H$2:$H$495,0)),"")</f>
        <v/>
      </c>
      <c r="C34" s="9" t="str">
        <f>IFERROR(INDEX('CASE MASTER'!$R$2:$R$495,MATCH("Case CDI Plate 3: H2",'CASE MASTER'!$H$2:$H$495,0)),"")</f>
        <v/>
      </c>
      <c r="D34" s="9" t="str">
        <f>IFERROR(INDEX('CASE MASTER'!$R$2:$R$495,MATCH("Case CDI Plate 3: H3",'CASE MASTER'!$H$2:$H$495,0)),"")</f>
        <v/>
      </c>
      <c r="E34" s="9" t="str">
        <f>IFERROR(INDEX('CASE MASTER'!$R$2:$R$495,MATCH("Case CDI Plate 3: H4",'CASE MASTER'!$H$2:$H$495,0)),"")</f>
        <v/>
      </c>
      <c r="F34" s="9" t="str">
        <f>IFERROR(INDEX('CASE MASTER'!$R$2:$R$495,MATCH("Case CDI Plate 3: H5",'CASE MASTER'!$H$2:$H$495,0)),"")</f>
        <v/>
      </c>
      <c r="G34" s="9" t="str">
        <f>IFERROR(INDEX('CASE MASTER'!$R$2:$R$495,MATCH("Case CDI Plate 3: H6",'CASE MASTER'!$H$2:$H$495,0)),"")</f>
        <v/>
      </c>
      <c r="H34" s="9" t="str">
        <f>IFERROR(INDEX('CASE MASTER'!$R$2:$R$495,MATCH("Case CDI Plate 3: H7",'CASE MASTER'!$H$2:$H$495,0)),"")</f>
        <v/>
      </c>
      <c r="I34" s="9" t="str">
        <f>IFERROR(INDEX('CASE MASTER'!$R$2:$R$495,MATCH("Case CDI Plate 3: H8",'CASE MASTER'!$H$2:$H$495,0)),"")</f>
        <v/>
      </c>
      <c r="J34" s="9" t="str">
        <f>IFERROR(INDEX('CASE MASTER'!$R$2:$R$495,MATCH("Case CDI Plate 3: H9",'CASE MASTER'!$H$2:$H$495,0)),"")</f>
        <v/>
      </c>
      <c r="K34" s="9" t="str">
        <f>IFERROR(INDEX('CASE MASTER'!$R$2:$R$495,MATCH("Case CDI Plate 3: H10",'CASE MASTER'!$H$2:$H$495,0)),"")</f>
        <v/>
      </c>
      <c r="L34" s="9" t="str">
        <f>IFERROR(INDEX('CASE MASTER'!$R$2:$R$495,MATCH("Case CDI Plate 3: H11",'CASE MASTER'!$H$2:$H$495,0)),"")</f>
        <v/>
      </c>
      <c r="M34" s="9" t="str">
        <f>IFERROR(INDEX('CASE MASTER'!$R$2:$R$495,MATCH("Case CDI Plate 3: H12",'CASE MASTER'!$H$2:$H$495,0)),"")</f>
        <v/>
      </c>
    </row>
    <row r="37" spans="1:13" ht="15" customHeight="1" x14ac:dyDescent="0.35">
      <c r="A37" s="12" t="s">
        <v>38</v>
      </c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</row>
    <row r="38" spans="1:13" ht="15" customHeight="1" x14ac:dyDescent="0.35">
      <c r="B38" s="8">
        <v>1</v>
      </c>
      <c r="C38" s="8">
        <v>2</v>
      </c>
      <c r="D38" s="8">
        <v>3</v>
      </c>
      <c r="E38" s="8">
        <v>4</v>
      </c>
      <c r="F38" s="8">
        <v>5</v>
      </c>
      <c r="G38" s="8">
        <v>6</v>
      </c>
      <c r="H38" s="8">
        <v>7</v>
      </c>
      <c r="I38" s="8">
        <v>8</v>
      </c>
      <c r="J38" s="8">
        <v>9</v>
      </c>
      <c r="K38" s="8">
        <v>10</v>
      </c>
      <c r="L38" s="8">
        <v>11</v>
      </c>
      <c r="M38" s="8">
        <v>12</v>
      </c>
    </row>
    <row r="39" spans="1:13" ht="15" customHeight="1" x14ac:dyDescent="0.35">
      <c r="A39" s="8" t="s">
        <v>28</v>
      </c>
      <c r="B39" s="9" t="str">
        <f>IFERROR(INDEX('CASE MASTER'!$R$2:$R$495,MATCH("Case CDI Plate 4: A1",'CASE MASTER'!$H$2:$H$495,0)),"")</f>
        <v/>
      </c>
      <c r="C39" s="9" t="str">
        <f>IFERROR(INDEX('CASE MASTER'!$R$2:$R$495,MATCH("Case CDI Plate 4: A2",'CASE MASTER'!$H$2:$H$495,0)),"")</f>
        <v/>
      </c>
      <c r="D39" s="9" t="str">
        <f>IFERROR(INDEX('CASE MASTER'!$R$2:$R$495,MATCH("Case CDI Plate 4: A3",'CASE MASTER'!$H$2:$H$495,0)),"")</f>
        <v/>
      </c>
      <c r="E39" s="9" t="str">
        <f>IFERROR(INDEX('CASE MASTER'!$R$2:$R$495,MATCH("Case CDI Plate 4: A4",'CASE MASTER'!$H$2:$H$495,0)),"")</f>
        <v/>
      </c>
      <c r="F39" s="9" t="str">
        <f>IFERROR(INDEX('CASE MASTER'!$R$2:$R$495,MATCH("Case CDI Plate 4: A5",'CASE MASTER'!$H$2:$H$495,0)),"")</f>
        <v/>
      </c>
      <c r="G39" s="9" t="str">
        <f>IFERROR(INDEX('CASE MASTER'!$R$2:$R$495,MATCH("Case CDI Plate 4: A6",'CASE MASTER'!$H$2:$H$495,0)),"")</f>
        <v/>
      </c>
      <c r="H39" s="9" t="str">
        <f>IFERROR(INDEX('CASE MASTER'!$R$2:$R$495,MATCH("Case CDI Plate 4: A7",'CASE MASTER'!$H$2:$H$495,0)),"")</f>
        <v/>
      </c>
      <c r="I39" s="9" t="str">
        <f>IFERROR(INDEX('CASE MASTER'!$R$2:$R$495,MATCH("Case CDI Plate 4: A8",'CASE MASTER'!$H$2:$H$495,0)),"")</f>
        <v/>
      </c>
      <c r="J39" s="9" t="str">
        <f>IFERROR(INDEX('CASE MASTER'!$R$2:$R$495,MATCH("Case CDI Plate 4: A9",'CASE MASTER'!$H$2:$H$495,0)),"")</f>
        <v/>
      </c>
      <c r="K39" s="9" t="str">
        <f>IFERROR(INDEX('CASE MASTER'!$R$2:$R$495,MATCH("Case CDI Plate 4: A10",'CASE MASTER'!$H$2:$H$495,0)),"")</f>
        <v/>
      </c>
      <c r="L39" s="9" t="str">
        <f>IFERROR(INDEX('CASE MASTER'!$R$2:$R$495,MATCH("Case CDI Plate 4: A11",'CASE MASTER'!$H$2:$H$495,0)),"")</f>
        <v/>
      </c>
      <c r="M39" s="9" t="str">
        <f>IFERROR(INDEX('CASE MASTER'!$R$2:$R$495,MATCH("Case CDI Plate 4: A12",'CASE MASTER'!$H$2:$H$495,0)),"")</f>
        <v/>
      </c>
    </row>
    <row r="40" spans="1:13" ht="15" customHeight="1" x14ac:dyDescent="0.35">
      <c r="A40" s="8" t="s">
        <v>29</v>
      </c>
      <c r="B40" s="9" t="str">
        <f>IFERROR(INDEX('CASE MASTER'!$R$2:$R$495,MATCH("Case CDI Plate 4: B1",'CASE MASTER'!$H$2:$H$495,0)),"")</f>
        <v/>
      </c>
      <c r="C40" s="9" t="str">
        <f>IFERROR(INDEX('CASE MASTER'!$R$2:$R$495,MATCH("Case CDI Plate 4: B2",'CASE MASTER'!$H$2:$H$495,0)),"")</f>
        <v/>
      </c>
      <c r="D40" s="9" t="str">
        <f>IFERROR(INDEX('CASE MASTER'!$R$2:$R$495,MATCH("Case CDI Plate 4: B3",'CASE MASTER'!$H$2:$H$495,0)),"")</f>
        <v/>
      </c>
      <c r="E40" s="9" t="str">
        <f>IFERROR(INDEX('CASE MASTER'!$R$2:$R$495,MATCH("Case CDI Plate 4: B4",'CASE MASTER'!$H$2:$H$495,0)),"")</f>
        <v/>
      </c>
      <c r="F40" s="9" t="str">
        <f>IFERROR(INDEX('CASE MASTER'!$R$2:$R$495,MATCH("Case CDI Plate 4: B5",'CASE MASTER'!$H$2:$H$495,0)),"")</f>
        <v/>
      </c>
      <c r="G40" s="9" t="str">
        <f>IFERROR(INDEX('CASE MASTER'!$R$2:$R$495,MATCH("Case CDI Plate 4: B6",'CASE MASTER'!$H$2:$H$495,0)),"")</f>
        <v/>
      </c>
      <c r="H40" s="9" t="str">
        <f>IFERROR(INDEX('CASE MASTER'!$R$2:$R$495,MATCH("Case CDI Plate 4: B7",'CASE MASTER'!$H$2:$H$495,0)),"")</f>
        <v/>
      </c>
      <c r="I40" s="9" t="str">
        <f>IFERROR(INDEX('CASE MASTER'!$R$2:$R$495,MATCH("Case CDI Plate 4: B8",'CASE MASTER'!$H$2:$H$495,0)),"")</f>
        <v/>
      </c>
      <c r="J40" s="9" t="str">
        <f>IFERROR(INDEX('CASE MASTER'!$R$2:$R$495,MATCH("Case CDI Plate 4: B9",'CASE MASTER'!$H$2:$H$495,0)),"")</f>
        <v/>
      </c>
      <c r="K40" s="9" t="str">
        <f>IFERROR(INDEX('CASE MASTER'!$R$2:$R$495,MATCH("Case CDI Plate 4: B10",'CASE MASTER'!$H$2:$H$495,0)),"")</f>
        <v/>
      </c>
      <c r="L40" s="9" t="str">
        <f>IFERROR(INDEX('CASE MASTER'!$R$2:$R$495,MATCH("Case CDI Plate 4: B11",'CASE MASTER'!$H$2:$H$495,0)),"")</f>
        <v/>
      </c>
      <c r="M40" s="9" t="str">
        <f>IFERROR(INDEX('CASE MASTER'!$R$2:$R$495,MATCH("Case CDI Plate 4: B12",'CASE MASTER'!$H$2:$H$495,0)),"")</f>
        <v/>
      </c>
    </row>
    <row r="41" spans="1:13" ht="15" customHeight="1" x14ac:dyDescent="0.35">
      <c r="A41" s="8" t="s">
        <v>30</v>
      </c>
      <c r="B41" s="9" t="str">
        <f>IFERROR(INDEX('CASE MASTER'!$R$2:$R$495,MATCH("Case CDI Plate 4: C1",'CASE MASTER'!$H$2:$H$495,0)),"")</f>
        <v/>
      </c>
      <c r="C41" s="9" t="str">
        <f>IFERROR(INDEX('CASE MASTER'!$R$2:$R$495,MATCH("Case CDI Plate 4: C2",'CASE MASTER'!$H$2:$H$495,0)),"")</f>
        <v/>
      </c>
      <c r="D41" s="9" t="str">
        <f>IFERROR(INDEX('CASE MASTER'!$R$2:$R$495,MATCH("Case CDI Plate 4: C3",'CASE MASTER'!$H$2:$H$495,0)),"")</f>
        <v/>
      </c>
      <c r="E41" s="9" t="str">
        <f>IFERROR(INDEX('CASE MASTER'!$R$2:$R$495,MATCH("Case CDI Plate 4: C4",'CASE MASTER'!$H$2:$H$495,0)),"")</f>
        <v/>
      </c>
      <c r="F41" s="9" t="str">
        <f>IFERROR(INDEX('CASE MASTER'!$R$2:$R$495,MATCH("Case CDI Plate 4: C5",'CASE MASTER'!$H$2:$H$495,0)),"")</f>
        <v/>
      </c>
      <c r="G41" s="9" t="str">
        <f>IFERROR(INDEX('CASE MASTER'!$R$2:$R$495,MATCH("Case CDI Plate 4: C6",'CASE MASTER'!$H$2:$H$495,0)),"")</f>
        <v/>
      </c>
      <c r="H41" s="9" t="str">
        <f>IFERROR(INDEX('CASE MASTER'!$R$2:$R$495,MATCH("Case CDI Plate 4: C7",'CASE MASTER'!$H$2:$H$495,0)),"")</f>
        <v/>
      </c>
      <c r="I41" s="9" t="str">
        <f>IFERROR(INDEX('CASE MASTER'!$R$2:$R$495,MATCH("Case CDI Plate 4: C8",'CASE MASTER'!$H$2:$H$495,0)),"")</f>
        <v/>
      </c>
      <c r="J41" s="9" t="str">
        <f>IFERROR(INDEX('CASE MASTER'!$R$2:$R$495,MATCH("Case CDI Plate 4: C9",'CASE MASTER'!$H$2:$H$495,0)),"")</f>
        <v/>
      </c>
      <c r="K41" s="9" t="str">
        <f>IFERROR(INDEX('CASE MASTER'!$R$2:$R$495,MATCH("Case CDI Plate 4: C10",'CASE MASTER'!$H$2:$H$495,0)),"")</f>
        <v/>
      </c>
      <c r="L41" s="9" t="str">
        <f>IFERROR(INDEX('CASE MASTER'!$R$2:$R$495,MATCH("Case CDI Plate 4: C11",'CASE MASTER'!$H$2:$H$495,0)),"")</f>
        <v/>
      </c>
      <c r="M41" s="9" t="str">
        <f>IFERROR(INDEX('CASE MASTER'!$R$2:$R$495,MATCH("Case CDI Plate 4: C12",'CASE MASTER'!$H$2:$H$495,0)),"")</f>
        <v/>
      </c>
    </row>
    <row r="42" spans="1:13" ht="15" customHeight="1" x14ac:dyDescent="0.35">
      <c r="A42" s="8" t="s">
        <v>31</v>
      </c>
      <c r="B42" s="9" t="str">
        <f>IFERROR(INDEX('CASE MASTER'!$R$2:$R$495,MATCH("Case CDI Plate 4: D1",'CASE MASTER'!$H$2:$H$495,0)),"")</f>
        <v/>
      </c>
      <c r="C42" s="9" t="str">
        <f>IFERROR(INDEX('CASE MASTER'!$R$2:$R$495,MATCH("Case CDI Plate 4: D2",'CASE MASTER'!$H$2:$H$495,0)),"")</f>
        <v/>
      </c>
      <c r="D42" s="9" t="str">
        <f>IFERROR(INDEX('CASE MASTER'!$R$2:$R$495,MATCH("Case CDI Plate 4: D3",'CASE MASTER'!$H$2:$H$495,0)),"")</f>
        <v/>
      </c>
      <c r="E42" s="9" t="str">
        <f>IFERROR(INDEX('CASE MASTER'!$R$2:$R$495,MATCH("Case CDI Plate 4: D4",'CASE MASTER'!$H$2:$H$495,0)),"")</f>
        <v/>
      </c>
      <c r="F42" s="9" t="str">
        <f>IFERROR(INDEX('CASE MASTER'!$R$2:$R$495,MATCH("Case CDI Plate 4: D5",'CASE MASTER'!$H$2:$H$495,0)),"")</f>
        <v/>
      </c>
      <c r="G42" s="9" t="str">
        <f>IFERROR(INDEX('CASE MASTER'!$R$2:$R$495,MATCH("Case CDI Plate 4: D6",'CASE MASTER'!$H$2:$H$495,0)),"")</f>
        <v/>
      </c>
      <c r="H42" s="9" t="str">
        <f>IFERROR(INDEX('CASE MASTER'!$R$2:$R$495,MATCH("Case CDI Plate 4: D7",'CASE MASTER'!$H$2:$H$495,0)),"")</f>
        <v/>
      </c>
      <c r="I42" s="9" t="str">
        <f>IFERROR(INDEX('CASE MASTER'!$R$2:$R$495,MATCH("Case CDI Plate 4: D8",'CASE MASTER'!$H$2:$H$495,0)),"")</f>
        <v/>
      </c>
      <c r="J42" s="9" t="str">
        <f>IFERROR(INDEX('CASE MASTER'!$R$2:$R$495,MATCH("Case CDI Plate 4: D9",'CASE MASTER'!$H$2:$H$495,0)),"")</f>
        <v/>
      </c>
      <c r="K42" s="9" t="str">
        <f>IFERROR(INDEX('CASE MASTER'!$R$2:$R$495,MATCH("Case CDI Plate 4: D10",'CASE MASTER'!$H$2:$H$495,0)),"")</f>
        <v/>
      </c>
      <c r="L42" s="9" t="str">
        <f>IFERROR(INDEX('CASE MASTER'!$R$2:$R$495,MATCH("Case CDI Plate 4: D11",'CASE MASTER'!$H$2:$H$495,0)),"")</f>
        <v/>
      </c>
      <c r="M42" s="9" t="str">
        <f>IFERROR(INDEX('CASE MASTER'!$R$2:$R$495,MATCH("Case CDI Plate 4: D12",'CASE MASTER'!$H$2:$H$495,0)),"")</f>
        <v/>
      </c>
    </row>
    <row r="43" spans="1:13" ht="15" customHeight="1" x14ac:dyDescent="0.35">
      <c r="A43" s="8" t="s">
        <v>32</v>
      </c>
      <c r="B43" s="9" t="str">
        <f>IFERROR(INDEX('CASE MASTER'!$R$2:$R$495,MATCH("Case CDI Plate 4: E1",'CASE MASTER'!$H$2:$H$495,0)),"")</f>
        <v/>
      </c>
      <c r="C43" s="9" t="str">
        <f>IFERROR(INDEX('CASE MASTER'!$R$2:$R$495,MATCH("Case CDI Plate 4: E2",'CASE MASTER'!$H$2:$H$495,0)),"")</f>
        <v/>
      </c>
      <c r="D43" s="9" t="str">
        <f>IFERROR(INDEX('CASE MASTER'!$R$2:$R$495,MATCH("Case CDI Plate 4: E3",'CASE MASTER'!$H$2:$H$495,0)),"")</f>
        <v/>
      </c>
      <c r="E43" s="9" t="str">
        <f>IFERROR(INDEX('CASE MASTER'!$R$2:$R$495,MATCH("Case CDI Plate 4: E4",'CASE MASTER'!$H$2:$H$495,0)),"")</f>
        <v/>
      </c>
      <c r="F43" s="9" t="str">
        <f>IFERROR(INDEX('CASE MASTER'!$R$2:$R$495,MATCH("Case CDI Plate 4: E5",'CASE MASTER'!$H$2:$H$495,0)),"")</f>
        <v/>
      </c>
      <c r="G43" s="9" t="str">
        <f>IFERROR(INDEX('CASE MASTER'!$R$2:$R$495,MATCH("Case CDI Plate 4: E6",'CASE MASTER'!$H$2:$H$495,0)),"")</f>
        <v/>
      </c>
      <c r="H43" s="9" t="str">
        <f>IFERROR(INDEX('CASE MASTER'!$R$2:$R$495,MATCH("Case CDI Plate 4: E7",'CASE MASTER'!$H$2:$H$495,0)),"")</f>
        <v/>
      </c>
      <c r="I43" s="9" t="str">
        <f>IFERROR(INDEX('CASE MASTER'!$R$2:$R$495,MATCH("Case CDI Plate 4: E8",'CASE MASTER'!$H$2:$H$495,0)),"")</f>
        <v/>
      </c>
      <c r="J43" s="9" t="str">
        <f>IFERROR(INDEX('CASE MASTER'!$R$2:$R$495,MATCH("Case CDI Plate 4: E9",'CASE MASTER'!$H$2:$H$495,0)),"")</f>
        <v/>
      </c>
      <c r="K43" s="9" t="str">
        <f>IFERROR(INDEX('CASE MASTER'!$R$2:$R$495,MATCH("Case CDI Plate 4: E10",'CASE MASTER'!$H$2:$H$495,0)),"")</f>
        <v/>
      </c>
      <c r="L43" s="9" t="str">
        <f>IFERROR(INDEX('CASE MASTER'!$R$2:$R$495,MATCH("Case CDI Plate 4: E11",'CASE MASTER'!$H$2:$H$495,0)),"")</f>
        <v/>
      </c>
      <c r="M43" s="9" t="str">
        <f>IFERROR(INDEX('CASE MASTER'!$R$2:$R$495,MATCH("Case CDI Plate 4: E12",'CASE MASTER'!$H$2:$H$495,0)),"")</f>
        <v/>
      </c>
    </row>
    <row r="44" spans="1:13" ht="15" customHeight="1" x14ac:dyDescent="0.35">
      <c r="A44" s="8" t="s">
        <v>33</v>
      </c>
      <c r="B44" s="9" t="str">
        <f>IFERROR(INDEX('CASE MASTER'!$R$2:$R$495,MATCH("Case CDI Plate 4: F1",'CASE MASTER'!$H$2:$H$495,0)),"")</f>
        <v/>
      </c>
      <c r="C44" s="9" t="str">
        <f>IFERROR(INDEX('CASE MASTER'!$R$2:$R$495,MATCH("Case CDI Plate 4: F2",'CASE MASTER'!$H$2:$H$495,0)),"")</f>
        <v/>
      </c>
      <c r="D44" s="9" t="str">
        <f>IFERROR(INDEX('CASE MASTER'!$R$2:$R$495,MATCH("Case CDI Plate 4: F3",'CASE MASTER'!$H$2:$H$495,0)),"")</f>
        <v/>
      </c>
      <c r="E44" s="9" t="str">
        <f>IFERROR(INDEX('CASE MASTER'!$R$2:$R$495,MATCH("Case CDI Plate 4: F4",'CASE MASTER'!$H$2:$H$495,0)),"")</f>
        <v/>
      </c>
      <c r="F44" s="9" t="str">
        <f>IFERROR(INDEX('CASE MASTER'!$R$2:$R$495,MATCH("Case CDI Plate 4: F5",'CASE MASTER'!$H$2:$H$495,0)),"")</f>
        <v/>
      </c>
      <c r="G44" s="9" t="str">
        <f>IFERROR(INDEX('CASE MASTER'!$R$2:$R$495,MATCH("Case CDI Plate 4: F6",'CASE MASTER'!$H$2:$H$495,0)),"")</f>
        <v/>
      </c>
      <c r="H44" s="9" t="str">
        <f>IFERROR(INDEX('CASE MASTER'!$R$2:$R$495,MATCH("Case CDI Plate 4: F7",'CASE MASTER'!$H$2:$H$495,0)),"")</f>
        <v/>
      </c>
      <c r="I44" s="9" t="str">
        <f>IFERROR(INDEX('CASE MASTER'!$R$2:$R$495,MATCH("Case CDI Plate 4: F8",'CASE MASTER'!$H$2:$H$495,0)),"")</f>
        <v/>
      </c>
      <c r="J44" s="9" t="str">
        <f>IFERROR(INDEX('CASE MASTER'!$R$2:$R$495,MATCH("Case CDI Plate 4: F9",'CASE MASTER'!$H$2:$H$495,0)),"")</f>
        <v/>
      </c>
      <c r="K44" s="9" t="str">
        <f>IFERROR(INDEX('CASE MASTER'!$R$2:$R$495,MATCH("Case CDI Plate 4: F10",'CASE MASTER'!$H$2:$H$495,0)),"")</f>
        <v/>
      </c>
      <c r="L44" s="9" t="str">
        <f>IFERROR(INDEX('CASE MASTER'!$R$2:$R$495,MATCH("Case CDI Plate 4: F11",'CASE MASTER'!$H$2:$H$495,0)),"")</f>
        <v/>
      </c>
      <c r="M44" s="9" t="str">
        <f>IFERROR(INDEX('CASE MASTER'!$R$2:$R$495,MATCH("Case CDI Plate 4: F12",'CASE MASTER'!$H$2:$H$495,0)),"")</f>
        <v/>
      </c>
    </row>
    <row r="45" spans="1:13" ht="15" customHeight="1" x14ac:dyDescent="0.35">
      <c r="A45" s="8" t="s">
        <v>34</v>
      </c>
      <c r="B45" s="9" t="str">
        <f>IFERROR(INDEX('CASE MASTER'!$R$2:$R$495,MATCH("Case CDI Plate 4: G1",'CASE MASTER'!$H$2:$H$495,0)),"")</f>
        <v/>
      </c>
      <c r="C45" s="9" t="str">
        <f>IFERROR(INDEX('CASE MASTER'!$R$2:$R$495,MATCH("Case CDI Plate 4: G2",'CASE MASTER'!$H$2:$H$495,0)),"")</f>
        <v/>
      </c>
      <c r="D45" s="9" t="str">
        <f>IFERROR(INDEX('CASE MASTER'!$R$2:$R$495,MATCH("Case CDI Plate 4: G3",'CASE MASTER'!$H$2:$H$495,0)),"")</f>
        <v/>
      </c>
      <c r="E45" s="9" t="str">
        <f>IFERROR(INDEX('CASE MASTER'!$R$2:$R$495,MATCH("Case CDI Plate 4: G4",'CASE MASTER'!$H$2:$H$495,0)),"")</f>
        <v/>
      </c>
      <c r="F45" s="9" t="str">
        <f>IFERROR(INDEX('CASE MASTER'!$R$2:$R$495,MATCH("Case CDI Plate 4: G5",'CASE MASTER'!$H$2:$H$495,0)),"")</f>
        <v/>
      </c>
      <c r="G45" s="9" t="str">
        <f>IFERROR(INDEX('CASE MASTER'!$R$2:$R$495,MATCH("Case CDI Plate 4: G6",'CASE MASTER'!$H$2:$H$495,0)),"")</f>
        <v/>
      </c>
      <c r="H45" s="9" t="str">
        <f>IFERROR(INDEX('CASE MASTER'!$R$2:$R$495,MATCH("Case CDI Plate 4: G7",'CASE MASTER'!$H$2:$H$495,0)),"")</f>
        <v/>
      </c>
      <c r="I45" s="9" t="str">
        <f>IFERROR(INDEX('CASE MASTER'!$R$2:$R$495,MATCH("Case CDI Plate 4: G8",'CASE MASTER'!$H$2:$H$495,0)),"")</f>
        <v/>
      </c>
      <c r="J45" s="9" t="str">
        <f>IFERROR(INDEX('CASE MASTER'!$R$2:$R$495,MATCH("Case CDI Plate 4: G9",'CASE MASTER'!$H$2:$H$495,0)),"")</f>
        <v/>
      </c>
      <c r="K45" s="9" t="str">
        <f>IFERROR(INDEX('CASE MASTER'!$R$2:$R$495,MATCH("Case CDI Plate 4: G10",'CASE MASTER'!$H$2:$H$495,0)),"")</f>
        <v/>
      </c>
      <c r="L45" s="9" t="str">
        <f>IFERROR(INDEX('CASE MASTER'!$R$2:$R$495,MATCH("Case CDI Plate 4: G11",'CASE MASTER'!$H$2:$H$495,0)),"")</f>
        <v/>
      </c>
      <c r="M45" s="9" t="str">
        <f>IFERROR(INDEX('CASE MASTER'!$R$2:$R$495,MATCH("Case CDI Plate 4: G12",'CASE MASTER'!$H$2:$H$495,0)),"")</f>
        <v/>
      </c>
    </row>
    <row r="46" spans="1:13" ht="15" customHeight="1" x14ac:dyDescent="0.35">
      <c r="A46" s="8" t="s">
        <v>35</v>
      </c>
      <c r="B46" s="9" t="str">
        <f>IFERROR(INDEX('CASE MASTER'!$R$2:$R$495,MATCH("Case CDI Plate 4: H1",'CASE MASTER'!$H$2:$H$495,0)),"")</f>
        <v/>
      </c>
      <c r="C46" s="9" t="str">
        <f>IFERROR(INDEX('CASE MASTER'!$R$2:$R$495,MATCH("Case CDI Plate 4: H2",'CASE MASTER'!$H$2:$H$495,0)),"")</f>
        <v/>
      </c>
      <c r="D46" s="9" t="str">
        <f>IFERROR(INDEX('CASE MASTER'!$R$2:$R$495,MATCH("Case CDI Plate 4: H3",'CASE MASTER'!$H$2:$H$495,0)),"")</f>
        <v/>
      </c>
      <c r="E46" s="9" t="str">
        <f>IFERROR(INDEX('CASE MASTER'!$R$2:$R$495,MATCH("Case CDI Plate 4: H4",'CASE MASTER'!$H$2:$H$495,0)),"")</f>
        <v/>
      </c>
      <c r="F46" s="9" t="str">
        <f>IFERROR(INDEX('CASE MASTER'!$R$2:$R$495,MATCH("Case CDI Plate 4: H5",'CASE MASTER'!$H$2:$H$495,0)),"")</f>
        <v/>
      </c>
      <c r="G46" s="9" t="str">
        <f>IFERROR(INDEX('CASE MASTER'!$R$2:$R$495,MATCH("Case CDI Plate 4: H6",'CASE MASTER'!$H$2:$H$495,0)),"")</f>
        <v/>
      </c>
      <c r="H46" s="9" t="str">
        <f>IFERROR(INDEX('CASE MASTER'!$R$2:$R$495,MATCH("Case CDI Plate 4: H7",'CASE MASTER'!$H$2:$H$495,0)),"")</f>
        <v/>
      </c>
      <c r="I46" s="9" t="str">
        <f>IFERROR(INDEX('CASE MASTER'!$R$2:$R$495,MATCH("Case CDI Plate 4: H8",'CASE MASTER'!$H$2:$H$495,0)),"")</f>
        <v/>
      </c>
      <c r="J46" s="9" t="str">
        <f>IFERROR(INDEX('CASE MASTER'!$R$2:$R$495,MATCH("Case CDI Plate 4: H9",'CASE MASTER'!$H$2:$H$495,0)),"")</f>
        <v/>
      </c>
      <c r="K46" s="9" t="str">
        <f>IFERROR(INDEX('CASE MASTER'!$R$2:$R$495,MATCH("Case CDI Plate 4: H10",'CASE MASTER'!$H$2:$H$495,0)),"")</f>
        <v/>
      </c>
      <c r="L46" s="9" t="str">
        <f>IFERROR(INDEX('CASE MASTER'!$R$2:$R$495,MATCH("Case CDI Plate 4: H11",'CASE MASTER'!$H$2:$H$495,0)),"")</f>
        <v/>
      </c>
      <c r="M46" s="9" t="str">
        <f>IFERROR(INDEX('CASE MASTER'!$R$2:$R$495,MATCH("Case CDI Plate 4: H12",'CASE MASTER'!$H$2:$H$495,0)),"")</f>
        <v/>
      </c>
    </row>
    <row r="49" spans="1:13" ht="15" customHeight="1" x14ac:dyDescent="0.35">
      <c r="A49" s="12" t="s">
        <v>39</v>
      </c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</row>
    <row r="50" spans="1:13" ht="15" customHeight="1" x14ac:dyDescent="0.35">
      <c r="B50" s="8">
        <v>1</v>
      </c>
      <c r="C50" s="8">
        <v>2</v>
      </c>
      <c r="D50" s="8">
        <v>3</v>
      </c>
      <c r="E50" s="8">
        <v>4</v>
      </c>
      <c r="F50" s="8">
        <v>5</v>
      </c>
      <c r="G50" s="8">
        <v>6</v>
      </c>
      <c r="H50" s="8">
        <v>7</v>
      </c>
      <c r="I50" s="8">
        <v>8</v>
      </c>
      <c r="J50" s="8">
        <v>9</v>
      </c>
      <c r="K50" s="8">
        <v>10</v>
      </c>
      <c r="L50" s="8">
        <v>11</v>
      </c>
      <c r="M50" s="8">
        <v>12</v>
      </c>
    </row>
    <row r="51" spans="1:13" ht="15" customHeight="1" x14ac:dyDescent="0.35">
      <c r="A51" s="8" t="s">
        <v>28</v>
      </c>
      <c r="B51" s="9" t="str">
        <f>IFERROR(INDEX('CASE MASTER'!$R$2:$R$495,MATCH("Case CDI Plate 5: A1",'CASE MASTER'!$H$2:$H$495,0)),"")</f>
        <v/>
      </c>
      <c r="C51" s="9" t="str">
        <f>IFERROR(INDEX('CASE MASTER'!$R$2:$R$495,MATCH("Case CDI Plate 5: A2",'CASE MASTER'!$H$2:$H$495,0)),"")</f>
        <v/>
      </c>
      <c r="D51" s="9" t="str">
        <f>IFERROR(INDEX('CASE MASTER'!$R$2:$R$495,MATCH("Case CDI Plate 5: A3",'CASE MASTER'!$H$2:$H$495,0)),"")</f>
        <v/>
      </c>
      <c r="E51" s="9" t="str">
        <f>IFERROR(INDEX('CASE MASTER'!$R$2:$R$495,MATCH("Case CDI Plate 5: A4",'CASE MASTER'!$H$2:$H$495,0)),"")</f>
        <v/>
      </c>
      <c r="F51" s="9" t="str">
        <f>IFERROR(INDEX('CASE MASTER'!$R$2:$R$495,MATCH("Case CDI Plate 5: A5",'CASE MASTER'!$H$2:$H$495,0)),"")</f>
        <v/>
      </c>
      <c r="G51" s="9" t="str">
        <f>IFERROR(INDEX('CASE MASTER'!$R$2:$R$495,MATCH("Case CDI Plate 5: A6",'CASE MASTER'!$H$2:$H$495,0)),"")</f>
        <v/>
      </c>
      <c r="H51" s="9" t="str">
        <f>IFERROR(INDEX('CASE MASTER'!$R$2:$R$495,MATCH("Case CDI Plate 5: A7",'CASE MASTER'!$H$2:$H$495,0)),"")</f>
        <v/>
      </c>
      <c r="I51" s="9" t="str">
        <f>IFERROR(INDEX('CASE MASTER'!$R$2:$R$495,MATCH("Case CDI Plate 5: A8",'CASE MASTER'!$H$2:$H$495,0)),"")</f>
        <v/>
      </c>
      <c r="J51" s="9" t="str">
        <f>IFERROR(INDEX('CASE MASTER'!$R$2:$R$495,MATCH("Case CDI Plate 5: A9",'CASE MASTER'!$H$2:$H$495,0)),"")</f>
        <v/>
      </c>
      <c r="K51" s="9" t="str">
        <f>IFERROR(INDEX('CASE MASTER'!$R$2:$R$495,MATCH("Case CDI Plate 5: A10",'CASE MASTER'!$H$2:$H$495,0)),"")</f>
        <v/>
      </c>
      <c r="L51" s="9" t="str">
        <f>IFERROR(INDEX('CASE MASTER'!$R$2:$R$495,MATCH("Case CDI Plate 5: A11",'CASE MASTER'!$H$2:$H$495,0)),"")</f>
        <v/>
      </c>
      <c r="M51" s="9" t="str">
        <f>IFERROR(INDEX('CASE MASTER'!$R$2:$R$495,MATCH("Case CDI Plate 5: A12",'CASE MASTER'!$H$2:$H$495,0)),"")</f>
        <v/>
      </c>
    </row>
    <row r="52" spans="1:13" ht="15" customHeight="1" x14ac:dyDescent="0.35">
      <c r="A52" s="8" t="s">
        <v>29</v>
      </c>
      <c r="B52" s="9" t="str">
        <f>IFERROR(INDEX('CASE MASTER'!$R$2:$R$495,MATCH("Case CDI Plate 5: B1",'CASE MASTER'!$H$2:$H$495,0)),"")</f>
        <v/>
      </c>
      <c r="C52" s="9" t="str">
        <f>IFERROR(INDEX('CASE MASTER'!$R$2:$R$495,MATCH("Case CDI Plate 5: B2",'CASE MASTER'!$H$2:$H$495,0)),"")</f>
        <v/>
      </c>
      <c r="D52" s="9" t="str">
        <f>IFERROR(INDEX('CASE MASTER'!$R$2:$R$495,MATCH("Case CDI Plate 5: B3",'CASE MASTER'!$H$2:$H$495,0)),"")</f>
        <v/>
      </c>
      <c r="E52" s="9" t="str">
        <f>IFERROR(INDEX('CASE MASTER'!$R$2:$R$495,MATCH("Case CDI Plate 5: B4",'CASE MASTER'!$H$2:$H$495,0)),"")</f>
        <v/>
      </c>
      <c r="F52" s="9" t="str">
        <f>IFERROR(INDEX('CASE MASTER'!$R$2:$R$495,MATCH("Case CDI Plate 5: B5",'CASE MASTER'!$H$2:$H$495,0)),"")</f>
        <v/>
      </c>
      <c r="G52" s="9" t="str">
        <f>IFERROR(INDEX('CASE MASTER'!$R$2:$R$495,MATCH("Case CDI Plate 5: B6",'CASE MASTER'!$H$2:$H$495,0)),"")</f>
        <v/>
      </c>
      <c r="H52" s="9" t="str">
        <f>IFERROR(INDEX('CASE MASTER'!$R$2:$R$495,MATCH("Case CDI Plate 5: B7",'CASE MASTER'!$H$2:$H$495,0)),"")</f>
        <v/>
      </c>
      <c r="I52" s="9" t="str">
        <f>IFERROR(INDEX('CASE MASTER'!$R$2:$R$495,MATCH("Case CDI Plate 5: B8",'CASE MASTER'!$H$2:$H$495,0)),"")</f>
        <v/>
      </c>
      <c r="J52" s="9" t="str">
        <f>IFERROR(INDEX('CASE MASTER'!$R$2:$R$495,MATCH("Case CDI Plate 5: B9",'CASE MASTER'!$H$2:$H$495,0)),"")</f>
        <v/>
      </c>
      <c r="K52" s="9" t="str">
        <f>IFERROR(INDEX('CASE MASTER'!$R$2:$R$495,MATCH("Case CDI Plate 5: B10",'CASE MASTER'!$H$2:$H$495,0)),"")</f>
        <v/>
      </c>
      <c r="L52" s="9" t="str">
        <f>IFERROR(INDEX('CASE MASTER'!$R$2:$R$495,MATCH("Case CDI Plate 5: B11",'CASE MASTER'!$H$2:$H$495,0)),"")</f>
        <v/>
      </c>
      <c r="M52" s="9" t="str">
        <f>IFERROR(INDEX('CASE MASTER'!$R$2:$R$495,MATCH("Case CDI Plate 5: B12",'CASE MASTER'!$H$2:$H$495,0)),"")</f>
        <v/>
      </c>
    </row>
    <row r="53" spans="1:13" ht="15" customHeight="1" x14ac:dyDescent="0.35">
      <c r="A53" s="8" t="s">
        <v>30</v>
      </c>
      <c r="B53" s="9" t="str">
        <f>IFERROR(INDEX('CASE MASTER'!$R$2:$R$495,MATCH("Case CDI Plate 5: C1",'CASE MASTER'!$H$2:$H$495,0)),"")</f>
        <v/>
      </c>
      <c r="C53" s="9" t="str">
        <f>IFERROR(INDEX('CASE MASTER'!$R$2:$R$495,MATCH("Case CDI Plate 5: C2",'CASE MASTER'!$H$2:$H$495,0)),"")</f>
        <v/>
      </c>
      <c r="D53" s="9" t="str">
        <f>IFERROR(INDEX('CASE MASTER'!$R$2:$R$495,MATCH("Case CDI Plate 5: C3",'CASE MASTER'!$H$2:$H$495,0)),"")</f>
        <v/>
      </c>
      <c r="E53" s="9" t="str">
        <f>IFERROR(INDEX('CASE MASTER'!$R$2:$R$495,MATCH("Case CDI Plate 5: C4",'CASE MASTER'!$H$2:$H$495,0)),"")</f>
        <v/>
      </c>
      <c r="F53" s="9" t="str">
        <f>IFERROR(INDEX('CASE MASTER'!$R$2:$R$495,MATCH("Case CDI Plate 5: C5",'CASE MASTER'!$H$2:$H$495,0)),"")</f>
        <v/>
      </c>
      <c r="G53" s="9" t="str">
        <f>IFERROR(INDEX('CASE MASTER'!$R$2:$R$495,MATCH("Case CDI Plate 5: C6",'CASE MASTER'!$H$2:$H$495,0)),"")</f>
        <v/>
      </c>
      <c r="H53" s="9" t="str">
        <f>IFERROR(INDEX('CASE MASTER'!$R$2:$R$495,MATCH("Case CDI Plate 5: C7",'CASE MASTER'!$H$2:$H$495,0)),"")</f>
        <v/>
      </c>
      <c r="I53" s="9" t="str">
        <f>IFERROR(INDEX('CASE MASTER'!$R$2:$R$495,MATCH("Case CDI Plate 5: C8",'CASE MASTER'!$H$2:$H$495,0)),"")</f>
        <v/>
      </c>
      <c r="J53" s="9" t="str">
        <f>IFERROR(INDEX('CASE MASTER'!$R$2:$R$495,MATCH("Case CDI Plate 5: C9",'CASE MASTER'!$H$2:$H$495,0)),"")</f>
        <v/>
      </c>
      <c r="K53" s="9" t="str">
        <f>IFERROR(INDEX('CASE MASTER'!$R$2:$R$495,MATCH("Case CDI Plate 5: C10",'CASE MASTER'!$H$2:$H$495,0)),"")</f>
        <v/>
      </c>
      <c r="L53" s="9" t="str">
        <f>IFERROR(INDEX('CASE MASTER'!$R$2:$R$495,MATCH("Case CDI Plate 5: C11",'CASE MASTER'!$H$2:$H$495,0)),"")</f>
        <v/>
      </c>
      <c r="M53" s="9" t="str">
        <f>IFERROR(INDEX('CASE MASTER'!$R$2:$R$495,MATCH("Case CDI Plate 5: C12",'CASE MASTER'!$H$2:$H$495,0)),"")</f>
        <v/>
      </c>
    </row>
    <row r="54" spans="1:13" ht="15" customHeight="1" x14ac:dyDescent="0.35">
      <c r="A54" s="8" t="s">
        <v>31</v>
      </c>
      <c r="B54" s="9" t="str">
        <f>IFERROR(INDEX('CASE MASTER'!$R$2:$R$495,MATCH("Case CDI Plate 5: D1",'CASE MASTER'!$H$2:$H$495,0)),"")</f>
        <v/>
      </c>
      <c r="C54" s="9" t="str">
        <f>IFERROR(INDEX('CASE MASTER'!$R$2:$R$495,MATCH("Case CDI Plate 5: D2",'CASE MASTER'!$H$2:$H$495,0)),"")</f>
        <v/>
      </c>
      <c r="D54" s="9" t="str">
        <f>IFERROR(INDEX('CASE MASTER'!$R$2:$R$495,MATCH("Case CDI Plate 5: D3",'CASE MASTER'!$H$2:$H$495,0)),"")</f>
        <v/>
      </c>
      <c r="E54" s="9" t="str">
        <f>IFERROR(INDEX('CASE MASTER'!$R$2:$R$495,MATCH("Case CDI Plate 5: D4",'CASE MASTER'!$H$2:$H$495,0)),"")</f>
        <v/>
      </c>
      <c r="F54" s="9" t="str">
        <f>IFERROR(INDEX('CASE MASTER'!$R$2:$R$495,MATCH("Case CDI Plate 5: D5",'CASE MASTER'!$H$2:$H$495,0)),"")</f>
        <v/>
      </c>
      <c r="G54" s="9" t="str">
        <f>IFERROR(INDEX('CASE MASTER'!$R$2:$R$495,MATCH("Case CDI Plate 5: D6",'CASE MASTER'!$H$2:$H$495,0)),"")</f>
        <v/>
      </c>
      <c r="H54" s="9" t="str">
        <f>IFERROR(INDEX('CASE MASTER'!$R$2:$R$495,MATCH("Case CDI Plate 5: D7",'CASE MASTER'!$H$2:$H$495,0)),"")</f>
        <v/>
      </c>
      <c r="I54" s="9" t="str">
        <f>IFERROR(INDEX('CASE MASTER'!$R$2:$R$495,MATCH("Case CDI Plate 5: D8",'CASE MASTER'!$H$2:$H$495,0)),"")</f>
        <v/>
      </c>
      <c r="J54" s="9" t="str">
        <f>IFERROR(INDEX('CASE MASTER'!$R$2:$R$495,MATCH("Case CDI Plate 5: D9",'CASE MASTER'!$H$2:$H$495,0)),"")</f>
        <v/>
      </c>
      <c r="K54" s="9" t="str">
        <f>IFERROR(INDEX('CASE MASTER'!$R$2:$R$495,MATCH("Case CDI Plate 5: D10",'CASE MASTER'!$H$2:$H$495,0)),"")</f>
        <v/>
      </c>
      <c r="L54" s="9" t="str">
        <f>IFERROR(INDEX('CASE MASTER'!$R$2:$R$495,MATCH("Case CDI Plate 5: D11",'CASE MASTER'!$H$2:$H$495,0)),"")</f>
        <v/>
      </c>
      <c r="M54" s="9" t="str">
        <f>IFERROR(INDEX('CASE MASTER'!$R$2:$R$495,MATCH("Case CDI Plate 5: D12",'CASE MASTER'!$H$2:$H$495,0)),"")</f>
        <v/>
      </c>
    </row>
    <row r="55" spans="1:13" ht="15" customHeight="1" x14ac:dyDescent="0.35">
      <c r="A55" s="8" t="s">
        <v>32</v>
      </c>
      <c r="B55" s="9" t="str">
        <f>IFERROR(INDEX('CASE MASTER'!$R$2:$R$495,MATCH("Case CDI Plate 5: E1",'CASE MASTER'!$H$2:$H$495,0)),"")</f>
        <v/>
      </c>
      <c r="C55" s="9" t="str">
        <f>IFERROR(INDEX('CASE MASTER'!$R$2:$R$495,MATCH("Case CDI Plate 5: E2",'CASE MASTER'!$H$2:$H$495,0)),"")</f>
        <v/>
      </c>
      <c r="D55" s="9" t="str">
        <f>IFERROR(INDEX('CASE MASTER'!$R$2:$R$495,MATCH("Case CDI Plate 5: E3",'CASE MASTER'!$H$2:$H$495,0)),"")</f>
        <v/>
      </c>
      <c r="E55" s="9" t="str">
        <f>IFERROR(INDEX('CASE MASTER'!$R$2:$R$495,MATCH("Case CDI Plate 5: E4",'CASE MASTER'!$H$2:$H$495,0)),"")</f>
        <v/>
      </c>
      <c r="F55" s="9" t="str">
        <f>IFERROR(INDEX('CASE MASTER'!$R$2:$R$495,MATCH("Case CDI Plate 5: E5",'CASE MASTER'!$H$2:$H$495,0)),"")</f>
        <v/>
      </c>
      <c r="G55" s="9" t="str">
        <f>IFERROR(INDEX('CASE MASTER'!$R$2:$R$495,MATCH("Case CDI Plate 5: E6",'CASE MASTER'!$H$2:$H$495,0)),"")</f>
        <v/>
      </c>
      <c r="H55" s="9" t="str">
        <f>IFERROR(INDEX('CASE MASTER'!$R$2:$R$495,MATCH("Case CDI Plate 5: E7",'CASE MASTER'!$H$2:$H$495,0)),"")</f>
        <v/>
      </c>
      <c r="I55" s="9" t="str">
        <f>IFERROR(INDEX('CASE MASTER'!$R$2:$R$495,MATCH("Case CDI Plate 5: E8",'CASE MASTER'!$H$2:$H$495,0)),"")</f>
        <v/>
      </c>
      <c r="J55" s="9" t="str">
        <f>IFERROR(INDEX('CASE MASTER'!$R$2:$R$495,MATCH("Case CDI Plate 5: E9",'CASE MASTER'!$H$2:$H$495,0)),"")</f>
        <v/>
      </c>
      <c r="K55" s="9" t="str">
        <f>IFERROR(INDEX('CASE MASTER'!$R$2:$R$495,MATCH("Case CDI Plate 5: E10",'CASE MASTER'!$H$2:$H$495,0)),"")</f>
        <v/>
      </c>
      <c r="L55" s="9" t="str">
        <f>IFERROR(INDEX('CASE MASTER'!$R$2:$R$495,MATCH("Case CDI Plate 5: E11",'CASE MASTER'!$H$2:$H$495,0)),"")</f>
        <v/>
      </c>
      <c r="M55" s="9" t="str">
        <f>IFERROR(INDEX('CASE MASTER'!$R$2:$R$495,MATCH("Case CDI Plate 5: E12",'CASE MASTER'!$H$2:$H$495,0)),"")</f>
        <v/>
      </c>
    </row>
    <row r="56" spans="1:13" ht="15" customHeight="1" x14ac:dyDescent="0.35">
      <c r="A56" s="8" t="s">
        <v>33</v>
      </c>
      <c r="B56" s="9" t="str">
        <f>IFERROR(INDEX('CASE MASTER'!$R$2:$R$495,MATCH("Case CDI Plate 5: F1",'CASE MASTER'!$H$2:$H$495,0)),"")</f>
        <v/>
      </c>
      <c r="C56" s="9" t="str">
        <f>IFERROR(INDEX('CASE MASTER'!$R$2:$R$495,MATCH("Case CDI Plate 5: F2",'CASE MASTER'!$H$2:$H$495,0)),"")</f>
        <v/>
      </c>
      <c r="D56" s="9" t="str">
        <f>IFERROR(INDEX('CASE MASTER'!$R$2:$R$495,MATCH("Case CDI Plate 5: F3",'CASE MASTER'!$H$2:$H$495,0)),"")</f>
        <v/>
      </c>
      <c r="E56" s="9" t="str">
        <f>IFERROR(INDEX('CASE MASTER'!$R$2:$R$495,MATCH("Case CDI Plate 5: F4",'CASE MASTER'!$H$2:$H$495,0)),"")</f>
        <v/>
      </c>
      <c r="F56" s="9" t="str">
        <f>IFERROR(INDEX('CASE MASTER'!$R$2:$R$495,MATCH("Case CDI Plate 5: F5",'CASE MASTER'!$H$2:$H$495,0)),"")</f>
        <v/>
      </c>
      <c r="G56" s="9" t="str">
        <f>IFERROR(INDEX('CASE MASTER'!$R$2:$R$495,MATCH("Case CDI Plate 5: F6",'CASE MASTER'!$H$2:$H$495,0)),"")</f>
        <v/>
      </c>
      <c r="H56" s="9" t="str">
        <f>IFERROR(INDEX('CASE MASTER'!$R$2:$R$495,MATCH("Case CDI Plate 5: F7",'CASE MASTER'!$H$2:$H$495,0)),"")</f>
        <v/>
      </c>
      <c r="I56" s="9" t="str">
        <f>IFERROR(INDEX('CASE MASTER'!$R$2:$R$495,MATCH("Case CDI Plate 5: F8",'CASE MASTER'!$H$2:$H$495,0)),"")</f>
        <v/>
      </c>
      <c r="J56" s="9" t="str">
        <f>IFERROR(INDEX('CASE MASTER'!$R$2:$R$495,MATCH("Case CDI Plate 5: F9",'CASE MASTER'!$H$2:$H$495,0)),"")</f>
        <v/>
      </c>
      <c r="K56" s="9" t="str">
        <f>IFERROR(INDEX('CASE MASTER'!$R$2:$R$495,MATCH("Case CDI Plate 5: F10",'CASE MASTER'!$H$2:$H$495,0)),"")</f>
        <v/>
      </c>
      <c r="L56" s="9" t="str">
        <f>IFERROR(INDEX('CASE MASTER'!$R$2:$R$495,MATCH("Case CDI Plate 5: F11",'CASE MASTER'!$H$2:$H$495,0)),"")</f>
        <v/>
      </c>
      <c r="M56" s="9" t="str">
        <f>IFERROR(INDEX('CASE MASTER'!$R$2:$R$495,MATCH("Case CDI Plate 5: F12",'CASE MASTER'!$H$2:$H$495,0)),"")</f>
        <v/>
      </c>
    </row>
    <row r="57" spans="1:13" ht="15" customHeight="1" x14ac:dyDescent="0.35">
      <c r="A57" s="8" t="s">
        <v>34</v>
      </c>
      <c r="B57" s="9" t="str">
        <f>IFERROR(INDEX('CASE MASTER'!$R$2:$R$495,MATCH("Case CDI Plate 5: G1",'CASE MASTER'!$H$2:$H$495,0)),"")</f>
        <v/>
      </c>
      <c r="C57" s="9" t="str">
        <f>IFERROR(INDEX('CASE MASTER'!$R$2:$R$495,MATCH("Case CDI Plate 5: G2",'CASE MASTER'!$H$2:$H$495,0)),"")</f>
        <v/>
      </c>
      <c r="D57" s="9" t="str">
        <f>IFERROR(INDEX('CASE MASTER'!$R$2:$R$495,MATCH("Case CDI Plate 5: G3",'CASE MASTER'!$H$2:$H$495,0)),"")</f>
        <v/>
      </c>
      <c r="E57" s="9" t="str">
        <f>IFERROR(INDEX('CASE MASTER'!$R$2:$R$495,MATCH("Case CDI Plate 5: G4",'CASE MASTER'!$H$2:$H$495,0)),"")</f>
        <v/>
      </c>
      <c r="F57" s="9" t="str">
        <f>IFERROR(INDEX('CASE MASTER'!$R$2:$R$495,MATCH("Case CDI Plate 5: G5",'CASE MASTER'!$H$2:$H$495,0)),"")</f>
        <v/>
      </c>
      <c r="G57" s="9" t="str">
        <f>IFERROR(INDEX('CASE MASTER'!$R$2:$R$495,MATCH("Case CDI Plate 5: G6",'CASE MASTER'!$H$2:$H$495,0)),"")</f>
        <v/>
      </c>
      <c r="H57" s="9" t="str">
        <f>IFERROR(INDEX('CASE MASTER'!$R$2:$R$495,MATCH("Case CDI Plate 5: G7",'CASE MASTER'!$H$2:$H$495,0)),"")</f>
        <v/>
      </c>
      <c r="I57" s="9" t="str">
        <f>IFERROR(INDEX('CASE MASTER'!$R$2:$R$495,MATCH("Case CDI Plate 5: G8",'CASE MASTER'!$H$2:$H$495,0)),"")</f>
        <v/>
      </c>
      <c r="J57" s="9" t="str">
        <f>IFERROR(INDEX('CASE MASTER'!$R$2:$R$495,MATCH("Case CDI Plate 5: G9",'CASE MASTER'!$H$2:$H$495,0)),"")</f>
        <v/>
      </c>
      <c r="K57" s="9" t="str">
        <f>IFERROR(INDEX('CASE MASTER'!$R$2:$R$495,MATCH("Case CDI Plate 5: G10",'CASE MASTER'!$H$2:$H$495,0)),"")</f>
        <v/>
      </c>
      <c r="L57" s="9" t="str">
        <f>IFERROR(INDEX('CASE MASTER'!$R$2:$R$495,MATCH("Case CDI Plate 5: G11",'CASE MASTER'!$H$2:$H$495,0)),"")</f>
        <v/>
      </c>
      <c r="M57" s="9" t="str">
        <f>IFERROR(INDEX('CASE MASTER'!$R$2:$R$495,MATCH("Case CDI Plate 5: G12",'CASE MASTER'!$H$2:$H$495,0)),"")</f>
        <v/>
      </c>
    </row>
    <row r="58" spans="1:13" ht="15" customHeight="1" x14ac:dyDescent="0.35">
      <c r="A58" s="8" t="s">
        <v>35</v>
      </c>
      <c r="B58" s="9" t="str">
        <f>IFERROR(INDEX('CASE MASTER'!$R$2:$R$495,MATCH("Case CDI Plate 5: H1",'CASE MASTER'!$H$2:$H$495,0)),"")</f>
        <v/>
      </c>
      <c r="C58" s="9" t="str">
        <f>IFERROR(INDEX('CASE MASTER'!$R$2:$R$495,MATCH("Case CDI Plate 5: H2",'CASE MASTER'!$H$2:$H$495,0)),"")</f>
        <v/>
      </c>
      <c r="D58" s="9" t="str">
        <f>IFERROR(INDEX('CASE MASTER'!$R$2:$R$495,MATCH("Case CDI Plate 5: H3",'CASE MASTER'!$H$2:$H$495,0)),"")</f>
        <v/>
      </c>
      <c r="E58" s="9" t="str">
        <f>IFERROR(INDEX('CASE MASTER'!$R$2:$R$495,MATCH("Case CDI Plate 5: H4",'CASE MASTER'!$H$2:$H$495,0)),"")</f>
        <v/>
      </c>
      <c r="F58" s="9" t="str">
        <f>IFERROR(INDEX('CASE MASTER'!$R$2:$R$495,MATCH("Case CDI Plate 5: H5",'CASE MASTER'!$H$2:$H$495,0)),"")</f>
        <v/>
      </c>
      <c r="G58" s="9" t="str">
        <f>IFERROR(INDEX('CASE MASTER'!$R$2:$R$495,MATCH("Case CDI Plate 5: H6",'CASE MASTER'!$H$2:$H$495,0)),"")</f>
        <v/>
      </c>
      <c r="H58" s="9" t="str">
        <f>IFERROR(INDEX('CASE MASTER'!$R$2:$R$495,MATCH("Case CDI Plate 5: H7",'CASE MASTER'!$H$2:$H$495,0)),"")</f>
        <v/>
      </c>
      <c r="I58" s="9" t="str">
        <f>IFERROR(INDEX('CASE MASTER'!$R$2:$R$495,MATCH("Case CDI Plate 5: H8",'CASE MASTER'!$H$2:$H$495,0)),"")</f>
        <v/>
      </c>
      <c r="J58" s="9" t="str">
        <f>IFERROR(INDEX('CASE MASTER'!$R$2:$R$495,MATCH("Case CDI Plate 5: H9",'CASE MASTER'!$H$2:$H$495,0)),"")</f>
        <v/>
      </c>
      <c r="K58" s="9" t="str">
        <f>IFERROR(INDEX('CASE MASTER'!$R$2:$R$495,MATCH("Case CDI Plate 5: H10",'CASE MASTER'!$H$2:$H$495,0)),"")</f>
        <v/>
      </c>
      <c r="L58" s="9" t="str">
        <f>IFERROR(INDEX('CASE MASTER'!$R$2:$R$495,MATCH("Case CDI Plate 5: H11",'CASE MASTER'!$H$2:$H$495,0)),"")</f>
        <v/>
      </c>
      <c r="M58" s="9" t="str">
        <f>IFERROR(INDEX('CASE MASTER'!$R$2:$R$495,MATCH("Case CDI Plate 5: H12",'CASE MASTER'!$H$2:$H$495,0)),"")</f>
        <v/>
      </c>
    </row>
    <row r="61" spans="1:13" ht="15" customHeight="1" x14ac:dyDescent="0.35">
      <c r="A61" s="12" t="s">
        <v>40</v>
      </c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</row>
    <row r="62" spans="1:13" ht="15" customHeight="1" x14ac:dyDescent="0.35">
      <c r="B62" s="8">
        <v>1</v>
      </c>
      <c r="C62" s="8">
        <v>2</v>
      </c>
      <c r="D62" s="8">
        <v>3</v>
      </c>
      <c r="E62" s="8">
        <v>4</v>
      </c>
      <c r="F62" s="8">
        <v>5</v>
      </c>
      <c r="G62" s="8">
        <v>6</v>
      </c>
      <c r="H62" s="8">
        <v>7</v>
      </c>
      <c r="I62" s="8">
        <v>8</v>
      </c>
      <c r="J62" s="8">
        <v>9</v>
      </c>
      <c r="K62" s="8">
        <v>10</v>
      </c>
      <c r="L62" s="8">
        <v>11</v>
      </c>
      <c r="M62" s="8">
        <v>12</v>
      </c>
    </row>
    <row r="63" spans="1:13" ht="15" customHeight="1" x14ac:dyDescent="0.35">
      <c r="A63" s="8" t="s">
        <v>28</v>
      </c>
      <c r="B63" s="9" t="str">
        <f>IFERROR(INDEX('CASE MASTER'!$R$2:$R$495,MATCH("Case CDI Plate 6: A1",'CASE MASTER'!$H$2:$H$495,0)),"")</f>
        <v/>
      </c>
      <c r="C63" s="9" t="str">
        <f>IFERROR(INDEX('CASE MASTER'!$R$2:$R$495,MATCH("Case CDI Plate 6: A2",'CASE MASTER'!$H$2:$H$495,0)),"")</f>
        <v/>
      </c>
      <c r="D63" s="9" t="str">
        <f>IFERROR(INDEX('CASE MASTER'!$R$2:$R$495,MATCH("Case CDI Plate 6: A3",'CASE MASTER'!$H$2:$H$495,0)),"")</f>
        <v/>
      </c>
      <c r="E63" s="9" t="str">
        <f>IFERROR(INDEX('CASE MASTER'!$R$2:$R$495,MATCH("Case CDI Plate 6: A4",'CASE MASTER'!$H$2:$H$495,0)),"")</f>
        <v/>
      </c>
      <c r="F63" s="9" t="str">
        <f>IFERROR(INDEX('CASE MASTER'!$R$2:$R$495,MATCH("Case CDI Plate 6: A5",'CASE MASTER'!$H$2:$H$495,0)),"")</f>
        <v/>
      </c>
      <c r="G63" s="9" t="str">
        <f>IFERROR(INDEX('CASE MASTER'!$R$2:$R$495,MATCH("Case CDI Plate 6: A6",'CASE MASTER'!$H$2:$H$495,0)),"")</f>
        <v/>
      </c>
      <c r="H63" s="9" t="str">
        <f>IFERROR(INDEX('CASE MASTER'!$R$2:$R$495,MATCH("Case CDI Plate 6: A7",'CASE MASTER'!$H$2:$H$495,0)),"")</f>
        <v/>
      </c>
      <c r="I63" s="9" t="str">
        <f>IFERROR(INDEX('CASE MASTER'!$R$2:$R$495,MATCH("Case CDI Plate 6: A8",'CASE MASTER'!$H$2:$H$495,0)),"")</f>
        <v/>
      </c>
      <c r="J63" s="9" t="str">
        <f>IFERROR(INDEX('CASE MASTER'!$R$2:$R$495,MATCH("Case CDI Plate 6: A9",'CASE MASTER'!$H$2:$H$495,0)),"")</f>
        <v/>
      </c>
      <c r="K63" s="9" t="str">
        <f>IFERROR(INDEX('CASE MASTER'!$R$2:$R$495,MATCH("Case CDI Plate 6: A10",'CASE MASTER'!$H$2:$H$495,0)),"")</f>
        <v/>
      </c>
      <c r="L63" s="9" t="str">
        <f>IFERROR(INDEX('CASE MASTER'!$R$2:$R$495,MATCH("Case CDI Plate 6: A11",'CASE MASTER'!$H$2:$H$495,0)),"")</f>
        <v/>
      </c>
      <c r="M63" s="9" t="str">
        <f>IFERROR(INDEX('CASE MASTER'!$R$2:$R$495,MATCH("Case CDI Plate 6: A12",'CASE MASTER'!$H$2:$H$495,0)),"")</f>
        <v/>
      </c>
    </row>
    <row r="64" spans="1:13" ht="15" customHeight="1" x14ac:dyDescent="0.35">
      <c r="A64" s="8" t="s">
        <v>29</v>
      </c>
      <c r="B64" s="9" t="str">
        <f>IFERROR(INDEX('CASE MASTER'!$R$2:$R$495,MATCH("Case CDI Plate 6: B1",'CASE MASTER'!$H$2:$H$495,0)),"")</f>
        <v/>
      </c>
      <c r="C64" s="9" t="str">
        <f>IFERROR(INDEX('CASE MASTER'!$R$2:$R$495,MATCH("Case CDI Plate 6: B2",'CASE MASTER'!$H$2:$H$495,0)),"")</f>
        <v/>
      </c>
      <c r="D64" s="9" t="str">
        <f>IFERROR(INDEX('CASE MASTER'!$R$2:$R$495,MATCH("Case CDI Plate 6: B3",'CASE MASTER'!$H$2:$H$495,0)),"")</f>
        <v/>
      </c>
      <c r="E64" s="9" t="str">
        <f>IFERROR(INDEX('CASE MASTER'!$R$2:$R$495,MATCH("Case CDI Plate 6: B4",'CASE MASTER'!$H$2:$H$495,0)),"")</f>
        <v/>
      </c>
      <c r="F64" s="9" t="str">
        <f>IFERROR(INDEX('CASE MASTER'!$R$2:$R$495,MATCH("Case CDI Plate 6: B5",'CASE MASTER'!$H$2:$H$495,0)),"")</f>
        <v/>
      </c>
      <c r="G64" s="9" t="str">
        <f>IFERROR(INDEX('CASE MASTER'!$R$2:$R$495,MATCH("Case CDI Plate 6: B6",'CASE MASTER'!$H$2:$H$495,0)),"")</f>
        <v/>
      </c>
      <c r="H64" s="9" t="str">
        <f>IFERROR(INDEX('CASE MASTER'!$R$2:$R$495,MATCH("Case CDI Plate 6: B7",'CASE MASTER'!$H$2:$H$495,0)),"")</f>
        <v/>
      </c>
      <c r="I64" s="9" t="str">
        <f>IFERROR(INDEX('CASE MASTER'!$R$2:$R$495,MATCH("Case CDI Plate 6: B8",'CASE MASTER'!$H$2:$H$495,0)),"")</f>
        <v/>
      </c>
      <c r="J64" s="9" t="str">
        <f>IFERROR(INDEX('CASE MASTER'!$R$2:$R$495,MATCH("Case CDI Plate 6: B9",'CASE MASTER'!$H$2:$H$495,0)),"")</f>
        <v/>
      </c>
      <c r="K64" s="9" t="str">
        <f>IFERROR(INDEX('CASE MASTER'!$R$2:$R$495,MATCH("Case CDI Plate 6: B10",'CASE MASTER'!$H$2:$H$495,0)),"")</f>
        <v/>
      </c>
      <c r="L64" s="9" t="str">
        <f>IFERROR(INDEX('CASE MASTER'!$R$2:$R$495,MATCH("Case CDI Plate 6: B11",'CASE MASTER'!$H$2:$H$495,0)),"")</f>
        <v/>
      </c>
      <c r="M64" s="9" t="str">
        <f>IFERROR(INDEX('CASE MASTER'!$R$2:$R$495,MATCH("Case CDI Plate 6: B12",'CASE MASTER'!$H$2:$H$495,0)),"")</f>
        <v/>
      </c>
    </row>
    <row r="65" spans="1:13" ht="15" customHeight="1" x14ac:dyDescent="0.35">
      <c r="A65" s="8" t="s">
        <v>30</v>
      </c>
      <c r="B65" s="9" t="str">
        <f>IFERROR(INDEX('CASE MASTER'!$R$2:$R$495,MATCH("Case CDI Plate 6: C1",'CASE MASTER'!$H$2:$H$495,0)),"")</f>
        <v/>
      </c>
      <c r="C65" s="9" t="str">
        <f>IFERROR(INDEX('CASE MASTER'!$R$2:$R$495,MATCH("Case CDI Plate 6: C2",'CASE MASTER'!$H$2:$H$495,0)),"")</f>
        <v/>
      </c>
      <c r="D65" s="9" t="str">
        <f>IFERROR(INDEX('CASE MASTER'!$R$2:$R$495,MATCH("Case CDI Plate 6: C3",'CASE MASTER'!$H$2:$H$495,0)),"")</f>
        <v/>
      </c>
      <c r="E65" s="9" t="str">
        <f>IFERROR(INDEX('CASE MASTER'!$R$2:$R$495,MATCH("Case CDI Plate 6: C4",'CASE MASTER'!$H$2:$H$495,0)),"")</f>
        <v/>
      </c>
      <c r="F65" s="9" t="str">
        <f>IFERROR(INDEX('CASE MASTER'!$R$2:$R$495,MATCH("Case CDI Plate 6: C5",'CASE MASTER'!$H$2:$H$495,0)),"")</f>
        <v/>
      </c>
      <c r="G65" s="9" t="str">
        <f>IFERROR(INDEX('CASE MASTER'!$R$2:$R$495,MATCH("Case CDI Plate 6: C6",'CASE MASTER'!$H$2:$H$495,0)),"")</f>
        <v/>
      </c>
      <c r="H65" s="9" t="str">
        <f>IFERROR(INDEX('CASE MASTER'!$R$2:$R$495,MATCH("Case CDI Plate 6: C7",'CASE MASTER'!$H$2:$H$495,0)),"")</f>
        <v/>
      </c>
      <c r="I65" s="9" t="str">
        <f>IFERROR(INDEX('CASE MASTER'!$R$2:$R$495,MATCH("Case CDI Plate 6: C8",'CASE MASTER'!$H$2:$H$495,0)),"")</f>
        <v/>
      </c>
      <c r="J65" s="9" t="str">
        <f>IFERROR(INDEX('CASE MASTER'!$R$2:$R$495,MATCH("Case CDI Plate 6: C9",'CASE MASTER'!$H$2:$H$495,0)),"")</f>
        <v/>
      </c>
      <c r="K65" s="9" t="str">
        <f>IFERROR(INDEX('CASE MASTER'!$R$2:$R$495,MATCH("Case CDI Plate 6: C10",'CASE MASTER'!$H$2:$H$495,0)),"")</f>
        <v/>
      </c>
      <c r="L65" s="9" t="str">
        <f>IFERROR(INDEX('CASE MASTER'!$R$2:$R$495,MATCH("Case CDI Plate 6: C11",'CASE MASTER'!$H$2:$H$495,0)),"")</f>
        <v/>
      </c>
      <c r="M65" s="9" t="str">
        <f>IFERROR(INDEX('CASE MASTER'!$R$2:$R$495,MATCH("Case CDI Plate 6: C12",'CASE MASTER'!$H$2:$H$495,0)),"")</f>
        <v/>
      </c>
    </row>
    <row r="66" spans="1:13" ht="15" customHeight="1" x14ac:dyDescent="0.35">
      <c r="A66" s="8" t="s">
        <v>31</v>
      </c>
      <c r="B66" s="9" t="str">
        <f>IFERROR(INDEX('CASE MASTER'!$R$2:$R$495,MATCH("Case CDI Plate 6: D1",'CASE MASTER'!$H$2:$H$495,0)),"")</f>
        <v/>
      </c>
      <c r="C66" s="9" t="str">
        <f>IFERROR(INDEX('CASE MASTER'!$R$2:$R$495,MATCH("Case CDI Plate 6: D2",'CASE MASTER'!$H$2:$H$495,0)),"")</f>
        <v/>
      </c>
      <c r="D66" s="9" t="str">
        <f>IFERROR(INDEX('CASE MASTER'!$R$2:$R$495,MATCH("Case CDI Plate 6: D3",'CASE MASTER'!$H$2:$H$495,0)),"")</f>
        <v/>
      </c>
      <c r="E66" s="9" t="str">
        <f>IFERROR(INDEX('CASE MASTER'!$R$2:$R$495,MATCH("Case CDI Plate 6: D4",'CASE MASTER'!$H$2:$H$495,0)),"")</f>
        <v/>
      </c>
      <c r="F66" s="9" t="str">
        <f>IFERROR(INDEX('CASE MASTER'!$R$2:$R$495,MATCH("Case CDI Plate 6: D5",'CASE MASTER'!$H$2:$H$495,0)),"")</f>
        <v/>
      </c>
      <c r="G66" s="9" t="str">
        <f>IFERROR(INDEX('CASE MASTER'!$R$2:$R$495,MATCH("Case CDI Plate 6: D6",'CASE MASTER'!$H$2:$H$495,0)),"")</f>
        <v/>
      </c>
      <c r="H66" s="9" t="str">
        <f>IFERROR(INDEX('CASE MASTER'!$R$2:$R$495,MATCH("Case CDI Plate 6: D7",'CASE MASTER'!$H$2:$H$495,0)),"")</f>
        <v/>
      </c>
      <c r="I66" s="9" t="str">
        <f>IFERROR(INDEX('CASE MASTER'!$R$2:$R$495,MATCH("Case CDI Plate 6: D8",'CASE MASTER'!$H$2:$H$495,0)),"")</f>
        <v/>
      </c>
      <c r="J66" s="9" t="str">
        <f>IFERROR(INDEX('CASE MASTER'!$R$2:$R$495,MATCH("Case CDI Plate 6: D9",'CASE MASTER'!$H$2:$H$495,0)),"")</f>
        <v/>
      </c>
      <c r="K66" s="9" t="str">
        <f>IFERROR(INDEX('CASE MASTER'!$R$2:$R$495,MATCH("Case CDI Plate 6: D10",'CASE MASTER'!$H$2:$H$495,0)),"")</f>
        <v/>
      </c>
      <c r="L66" s="9" t="str">
        <f>IFERROR(INDEX('CASE MASTER'!$R$2:$R$495,MATCH("Case CDI Plate 6: D11",'CASE MASTER'!$H$2:$H$495,0)),"")</f>
        <v/>
      </c>
      <c r="M66" s="9" t="str">
        <f>IFERROR(INDEX('CASE MASTER'!$R$2:$R$495,MATCH("Case CDI Plate 6: D12",'CASE MASTER'!$H$2:$H$495,0)),"")</f>
        <v/>
      </c>
    </row>
    <row r="67" spans="1:13" ht="15" customHeight="1" x14ac:dyDescent="0.35">
      <c r="A67" s="8" t="s">
        <v>32</v>
      </c>
      <c r="B67" s="9" t="str">
        <f>IFERROR(INDEX('CASE MASTER'!$R$2:$R$495,MATCH("Case CDI Plate 6: E1",'CASE MASTER'!$H$2:$H$495,0)),"")</f>
        <v/>
      </c>
      <c r="C67" s="9" t="str">
        <f>IFERROR(INDEX('CASE MASTER'!$R$2:$R$495,MATCH("Case CDI Plate 6: E2",'CASE MASTER'!$H$2:$H$495,0)),"")</f>
        <v/>
      </c>
      <c r="D67" s="9" t="str">
        <f>IFERROR(INDEX('CASE MASTER'!$R$2:$R$495,MATCH("Case CDI Plate 6: E3",'CASE MASTER'!$H$2:$H$495,0)),"")</f>
        <v/>
      </c>
      <c r="E67" s="9" t="str">
        <f>IFERROR(INDEX('CASE MASTER'!$R$2:$R$495,MATCH("Case CDI Plate 6: E4",'CASE MASTER'!$H$2:$H$495,0)),"")</f>
        <v/>
      </c>
      <c r="F67" s="9" t="str">
        <f>IFERROR(INDEX('CASE MASTER'!$R$2:$R$495,MATCH("Case CDI Plate 6: E5",'CASE MASTER'!$H$2:$H$495,0)),"")</f>
        <v/>
      </c>
      <c r="G67" s="9" t="str">
        <f>IFERROR(INDEX('CASE MASTER'!$R$2:$R$495,MATCH("Case CDI Plate 6: E6",'CASE MASTER'!$H$2:$H$495,0)),"")</f>
        <v/>
      </c>
      <c r="H67" s="9" t="str">
        <f>IFERROR(INDEX('CASE MASTER'!$R$2:$R$495,MATCH("Case CDI Plate 6: E7",'CASE MASTER'!$H$2:$H$495,0)),"")</f>
        <v/>
      </c>
      <c r="I67" s="9" t="str">
        <f>IFERROR(INDEX('CASE MASTER'!$R$2:$R$495,MATCH("Case CDI Plate 6: E8",'CASE MASTER'!$H$2:$H$495,0)),"")</f>
        <v/>
      </c>
      <c r="J67" s="9" t="str">
        <f>IFERROR(INDEX('CASE MASTER'!$R$2:$R$495,MATCH("Case CDI Plate 6: E9",'CASE MASTER'!$H$2:$H$495,0)),"")</f>
        <v/>
      </c>
      <c r="K67" s="9" t="str">
        <f>IFERROR(INDEX('CASE MASTER'!$R$2:$R$495,MATCH("Case CDI Plate 6: E10",'CASE MASTER'!$H$2:$H$495,0)),"")</f>
        <v/>
      </c>
      <c r="L67" s="9" t="str">
        <f>IFERROR(INDEX('CASE MASTER'!$R$2:$R$495,MATCH("Case CDI Plate 6: E11",'CASE MASTER'!$H$2:$H$495,0)),"")</f>
        <v/>
      </c>
      <c r="M67" s="9" t="str">
        <f>IFERROR(INDEX('CASE MASTER'!$R$2:$R$495,MATCH("Case CDI Plate 6: E12",'CASE MASTER'!$H$2:$H$495,0)),"")</f>
        <v/>
      </c>
    </row>
    <row r="68" spans="1:13" ht="15" customHeight="1" x14ac:dyDescent="0.35">
      <c r="A68" s="8" t="s">
        <v>33</v>
      </c>
      <c r="B68" s="9" t="str">
        <f>IFERROR(INDEX('CASE MASTER'!$R$2:$R$495,MATCH("Case CDI Plate 6: F1",'CASE MASTER'!$H$2:$H$495,0)),"")</f>
        <v/>
      </c>
      <c r="C68" s="9" t="str">
        <f>IFERROR(INDEX('CASE MASTER'!$R$2:$R$495,MATCH("Case CDI Plate 6: F2",'CASE MASTER'!$H$2:$H$495,0)),"")</f>
        <v/>
      </c>
      <c r="D68" s="9" t="str">
        <f>IFERROR(INDEX('CASE MASTER'!$R$2:$R$495,MATCH("Case CDI Plate 6: F3",'CASE MASTER'!$H$2:$H$495,0)),"")</f>
        <v/>
      </c>
      <c r="E68" s="9" t="str">
        <f>IFERROR(INDEX('CASE MASTER'!$R$2:$R$495,MATCH("Case CDI Plate 6: F4",'CASE MASTER'!$H$2:$H$495,0)),"")</f>
        <v/>
      </c>
      <c r="F68" s="9" t="str">
        <f>IFERROR(INDEX('CASE MASTER'!$R$2:$R$495,MATCH("Case CDI Plate 6: F5",'CASE MASTER'!$H$2:$H$495,0)),"")</f>
        <v/>
      </c>
      <c r="G68" s="9" t="str">
        <f>IFERROR(INDEX('CASE MASTER'!$R$2:$R$495,MATCH("Case CDI Plate 6: F6",'CASE MASTER'!$H$2:$H$495,0)),"")</f>
        <v/>
      </c>
      <c r="H68" s="9" t="str">
        <f>IFERROR(INDEX('CASE MASTER'!$R$2:$R$495,MATCH("Case CDI Plate 6: F7",'CASE MASTER'!$H$2:$H$495,0)),"")</f>
        <v/>
      </c>
      <c r="I68" s="9" t="str">
        <f>IFERROR(INDEX('CASE MASTER'!$R$2:$R$495,MATCH("Case CDI Plate 6: F8",'CASE MASTER'!$H$2:$H$495,0)),"")</f>
        <v/>
      </c>
      <c r="J68" s="9" t="str">
        <f>IFERROR(INDEX('CASE MASTER'!$R$2:$R$495,MATCH("Case CDI Plate 6: F9",'CASE MASTER'!$H$2:$H$495,0)),"")</f>
        <v/>
      </c>
      <c r="K68" s="9" t="str">
        <f>IFERROR(INDEX('CASE MASTER'!$R$2:$R$495,MATCH("Case CDI Plate 6: F10",'CASE MASTER'!$H$2:$H$495,0)),"")</f>
        <v/>
      </c>
      <c r="L68" s="9" t="str">
        <f>IFERROR(INDEX('CASE MASTER'!$R$2:$R$495,MATCH("Case CDI Plate 6: F11",'CASE MASTER'!$H$2:$H$495,0)),"")</f>
        <v/>
      </c>
      <c r="M68" s="9" t="str">
        <f>IFERROR(INDEX('CASE MASTER'!$R$2:$R$495,MATCH("Case CDI Plate 6: F12",'CASE MASTER'!$H$2:$H$495,0)),"")</f>
        <v/>
      </c>
    </row>
    <row r="69" spans="1:13" ht="15" customHeight="1" x14ac:dyDescent="0.35">
      <c r="A69" s="8" t="s">
        <v>34</v>
      </c>
      <c r="B69" s="9" t="str">
        <f>IFERROR(INDEX('CASE MASTER'!$R$2:$R$495,MATCH("Case CDI Plate 6: G1",'CASE MASTER'!$H$2:$H$495,0)),"")</f>
        <v/>
      </c>
      <c r="C69" s="9" t="str">
        <f>IFERROR(INDEX('CASE MASTER'!$R$2:$R$495,MATCH("Case CDI Plate 6: G2",'CASE MASTER'!$H$2:$H$495,0)),"")</f>
        <v/>
      </c>
      <c r="D69" s="9" t="str">
        <f>IFERROR(INDEX('CASE MASTER'!$R$2:$R$495,MATCH("Case CDI Plate 6: G3",'CASE MASTER'!$H$2:$H$495,0)),"")</f>
        <v/>
      </c>
      <c r="E69" s="9" t="str">
        <f>IFERROR(INDEX('CASE MASTER'!$R$2:$R$495,MATCH("Case CDI Plate 6: G4",'CASE MASTER'!$H$2:$H$495,0)),"")</f>
        <v/>
      </c>
      <c r="F69" s="9" t="str">
        <f>IFERROR(INDEX('CASE MASTER'!$R$2:$R$495,MATCH("Case CDI Plate 6: G5",'CASE MASTER'!$H$2:$H$495,0)),"")</f>
        <v/>
      </c>
      <c r="G69" s="9" t="str">
        <f>IFERROR(INDEX('CASE MASTER'!$R$2:$R$495,MATCH("Case CDI Plate 6: G6",'CASE MASTER'!$H$2:$H$495,0)),"")</f>
        <v/>
      </c>
      <c r="H69" s="9" t="str">
        <f>IFERROR(INDEX('CASE MASTER'!$R$2:$R$495,MATCH("Case CDI Plate 6: G7",'CASE MASTER'!$H$2:$H$495,0)),"")</f>
        <v/>
      </c>
      <c r="I69" s="9" t="str">
        <f>IFERROR(INDEX('CASE MASTER'!$R$2:$R$495,MATCH("Case CDI Plate 6: G8",'CASE MASTER'!$H$2:$H$495,0)),"")</f>
        <v/>
      </c>
      <c r="J69" s="9" t="str">
        <f>IFERROR(INDEX('CASE MASTER'!$R$2:$R$495,MATCH("Case CDI Plate 6: G9",'CASE MASTER'!$H$2:$H$495,0)),"")</f>
        <v/>
      </c>
      <c r="K69" s="9" t="str">
        <f>IFERROR(INDEX('CASE MASTER'!$R$2:$R$495,MATCH("Case CDI Plate 6: G10",'CASE MASTER'!$H$2:$H$495,0)),"")</f>
        <v/>
      </c>
      <c r="L69" s="9" t="str">
        <f>IFERROR(INDEX('CASE MASTER'!$R$2:$R$495,MATCH("Case CDI Plate 6: G11",'CASE MASTER'!$H$2:$H$495,0)),"")</f>
        <v/>
      </c>
      <c r="M69" s="9" t="str">
        <f>IFERROR(INDEX('CASE MASTER'!$R$2:$R$495,MATCH("Case CDI Plate 6: G12",'CASE MASTER'!$H$2:$H$495,0)),"")</f>
        <v/>
      </c>
    </row>
    <row r="70" spans="1:13" ht="15" customHeight="1" x14ac:dyDescent="0.35">
      <c r="A70" s="8" t="s">
        <v>35</v>
      </c>
      <c r="B70" s="9" t="str">
        <f>IFERROR(INDEX('CASE MASTER'!$R$2:$R$495,MATCH("Case CDI Plate 6: H1",'CASE MASTER'!$H$2:$H$495,0)),"")</f>
        <v/>
      </c>
      <c r="C70" s="9" t="str">
        <f>IFERROR(INDEX('CASE MASTER'!$R$2:$R$495,MATCH("Case CDI Plate 6: H2",'CASE MASTER'!$H$2:$H$495,0)),"")</f>
        <v/>
      </c>
      <c r="D70" s="9" t="str">
        <f>IFERROR(INDEX('CASE MASTER'!$R$2:$R$495,MATCH("Case CDI Plate 6: H3",'CASE MASTER'!$H$2:$H$495,0)),"")</f>
        <v/>
      </c>
      <c r="E70" s="9" t="str">
        <f>IFERROR(INDEX('CASE MASTER'!$R$2:$R$495,MATCH("Case CDI Plate 6: H4",'CASE MASTER'!$H$2:$H$495,0)),"")</f>
        <v/>
      </c>
      <c r="F70" s="9" t="str">
        <f>IFERROR(INDEX('CASE MASTER'!$R$2:$R$495,MATCH("Case CDI Plate 6: H5",'CASE MASTER'!$H$2:$H$495,0)),"")</f>
        <v/>
      </c>
      <c r="G70" s="9" t="str">
        <f>IFERROR(INDEX('CASE MASTER'!$R$2:$R$495,MATCH("Case CDI Plate 6: H6",'CASE MASTER'!$H$2:$H$495,0)),"")</f>
        <v/>
      </c>
      <c r="H70" s="9" t="str">
        <f>IFERROR(INDEX('CASE MASTER'!$R$2:$R$495,MATCH("Case CDI Plate 6: H7",'CASE MASTER'!$H$2:$H$495,0)),"")</f>
        <v/>
      </c>
      <c r="I70" s="9" t="str">
        <f>IFERROR(INDEX('CASE MASTER'!$R$2:$R$495,MATCH("Case CDI Plate 6: H8",'CASE MASTER'!$H$2:$H$495,0)),"")</f>
        <v/>
      </c>
      <c r="J70" s="9" t="str">
        <f>IFERROR(INDEX('CASE MASTER'!$R$2:$R$495,MATCH("Case CDI Plate 6: H9",'CASE MASTER'!$H$2:$H$495,0)),"")</f>
        <v/>
      </c>
      <c r="K70" s="9" t="str">
        <f>IFERROR(INDEX('CASE MASTER'!$R$2:$R$495,MATCH("Case CDI Plate 6: H10",'CASE MASTER'!$H$2:$H$495,0)),"")</f>
        <v/>
      </c>
      <c r="L70" s="9" t="str">
        <f>IFERROR(INDEX('CASE MASTER'!$R$2:$R$495,MATCH("Case CDI Plate 6: H11",'CASE MASTER'!$H$2:$H$495,0)),"")</f>
        <v/>
      </c>
      <c r="M70" s="9" t="str">
        <f>IFERROR(INDEX('CASE MASTER'!$R$2:$R$495,MATCH("Case CDI Plate 6: H12",'CASE MASTER'!$H$2:$H$495,0)),"")</f>
        <v/>
      </c>
    </row>
    <row r="73" spans="1:13" ht="15" customHeight="1" x14ac:dyDescent="0.35">
      <c r="A73" s="12" t="s">
        <v>41</v>
      </c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</row>
    <row r="74" spans="1:13" ht="15" customHeight="1" x14ac:dyDescent="0.35">
      <c r="B74" s="8">
        <v>1</v>
      </c>
      <c r="C74" s="8">
        <v>2</v>
      </c>
      <c r="D74" s="8">
        <v>3</v>
      </c>
      <c r="E74" s="8">
        <v>4</v>
      </c>
      <c r="F74" s="8">
        <v>5</v>
      </c>
      <c r="G74" s="8">
        <v>6</v>
      </c>
      <c r="H74" s="8">
        <v>7</v>
      </c>
      <c r="I74" s="8">
        <v>8</v>
      </c>
      <c r="J74" s="8">
        <v>9</v>
      </c>
      <c r="K74" s="8">
        <v>10</v>
      </c>
      <c r="L74" s="8">
        <v>11</v>
      </c>
      <c r="M74" s="8">
        <v>12</v>
      </c>
    </row>
    <row r="75" spans="1:13" ht="15" customHeight="1" x14ac:dyDescent="0.35">
      <c r="A75" s="8" t="s">
        <v>28</v>
      </c>
      <c r="B75" s="9" t="str">
        <f>IFERROR(INDEX('CASE MASTER'!$R$2:$R$495,MATCH("Case CDI Plate 7: A1",'CASE MASTER'!$H$2:$H$495,0)),"")</f>
        <v/>
      </c>
      <c r="C75" s="9" t="str">
        <f>IFERROR(INDEX('CASE MASTER'!$R$2:$R$495,MATCH("Case CDI Plate 7: A2",'CASE MASTER'!$H$2:$H$495,0)),"")</f>
        <v/>
      </c>
      <c r="D75" s="9" t="str">
        <f>IFERROR(INDEX('CASE MASTER'!$R$2:$R$495,MATCH("Case CDI Plate 7: A3",'CASE MASTER'!$H$2:$H$495,0)),"")</f>
        <v/>
      </c>
      <c r="E75" s="9" t="str">
        <f>IFERROR(INDEX('CASE MASTER'!$R$2:$R$495,MATCH("Case CDI Plate 7: A4",'CASE MASTER'!$H$2:$H$495,0)),"")</f>
        <v/>
      </c>
      <c r="F75" s="9" t="str">
        <f>IFERROR(INDEX('CASE MASTER'!$R$2:$R$495,MATCH("Case CDI Plate 7: A5",'CASE MASTER'!$H$2:$H$495,0)),"")</f>
        <v/>
      </c>
      <c r="G75" s="9" t="str">
        <f>IFERROR(INDEX('CASE MASTER'!$R$2:$R$495,MATCH("Case CDI Plate 7: A6",'CASE MASTER'!$H$2:$H$495,0)),"")</f>
        <v/>
      </c>
      <c r="H75" s="9" t="str">
        <f>IFERROR(INDEX('CASE MASTER'!$R$2:$R$495,MATCH("Case CDI Plate 7: A7",'CASE MASTER'!$H$2:$H$495,0)),"")</f>
        <v/>
      </c>
      <c r="I75" s="9" t="str">
        <f>IFERROR(INDEX('CASE MASTER'!$R$2:$R$495,MATCH("Case CDI Plate 7: A8",'CASE MASTER'!$H$2:$H$495,0)),"")</f>
        <v/>
      </c>
      <c r="J75" s="9" t="str">
        <f>IFERROR(INDEX('CASE MASTER'!$R$2:$R$495,MATCH("Case CDI Plate 7: A9",'CASE MASTER'!$H$2:$H$495,0)),"")</f>
        <v/>
      </c>
      <c r="K75" s="9" t="str">
        <f>IFERROR(INDEX('CASE MASTER'!$R$2:$R$495,MATCH("Case CDI Plate 7: A10",'CASE MASTER'!$H$2:$H$495,0)),"")</f>
        <v/>
      </c>
      <c r="L75" s="9" t="str">
        <f>IFERROR(INDEX('CASE MASTER'!$R$2:$R$495,MATCH("Case CDI Plate 7: A11",'CASE MASTER'!$H$2:$H$495,0)),"")</f>
        <v/>
      </c>
      <c r="M75" s="9" t="str">
        <f>IFERROR(INDEX('CASE MASTER'!$R$2:$R$495,MATCH("Case CDI Plate 7: A12",'CASE MASTER'!$H$2:$H$495,0)),"")</f>
        <v/>
      </c>
    </row>
    <row r="76" spans="1:13" ht="15" customHeight="1" x14ac:dyDescent="0.35">
      <c r="A76" s="8" t="s">
        <v>29</v>
      </c>
      <c r="B76" s="9" t="str">
        <f>IFERROR(INDEX('CASE MASTER'!$R$2:$R$495,MATCH("Case CDI Plate 7: B1",'CASE MASTER'!$H$2:$H$495,0)),"")</f>
        <v/>
      </c>
      <c r="C76" s="9" t="str">
        <f>IFERROR(INDEX('CASE MASTER'!$R$2:$R$495,MATCH("Case CDI Plate 7: B2",'CASE MASTER'!$H$2:$H$495,0)),"")</f>
        <v/>
      </c>
      <c r="D76" s="9" t="str">
        <f>IFERROR(INDEX('CASE MASTER'!$R$2:$R$495,MATCH("Case CDI Plate 7: B3",'CASE MASTER'!$H$2:$H$495,0)),"")</f>
        <v/>
      </c>
      <c r="E76" s="9" t="str">
        <f>IFERROR(INDEX('CASE MASTER'!$R$2:$R$495,MATCH("Case CDI Plate 7: B4",'CASE MASTER'!$H$2:$H$495,0)),"")</f>
        <v/>
      </c>
      <c r="F76" s="9" t="str">
        <f>IFERROR(INDEX('CASE MASTER'!$R$2:$R$495,MATCH("Case CDI Plate 7: B5",'CASE MASTER'!$H$2:$H$495,0)),"")</f>
        <v/>
      </c>
      <c r="G76" s="9" t="str">
        <f>IFERROR(INDEX('CASE MASTER'!$R$2:$R$495,MATCH("Case CDI Plate 7: B6",'CASE MASTER'!$H$2:$H$495,0)),"")</f>
        <v/>
      </c>
      <c r="H76" s="9" t="str">
        <f>IFERROR(INDEX('CASE MASTER'!$R$2:$R$495,MATCH("Case CDI Plate 7: B7",'CASE MASTER'!$H$2:$H$495,0)),"")</f>
        <v/>
      </c>
      <c r="I76" s="9" t="str">
        <f>IFERROR(INDEX('CASE MASTER'!$R$2:$R$495,MATCH("Case CDI Plate 7: B8",'CASE MASTER'!$H$2:$H$495,0)),"")</f>
        <v/>
      </c>
      <c r="J76" s="9" t="str">
        <f>IFERROR(INDEX('CASE MASTER'!$R$2:$R$495,MATCH("Case CDI Plate 7: B9",'CASE MASTER'!$H$2:$H$495,0)),"")</f>
        <v/>
      </c>
      <c r="K76" s="9" t="str">
        <f>IFERROR(INDEX('CASE MASTER'!$R$2:$R$495,MATCH("Case CDI Plate 7: B10",'CASE MASTER'!$H$2:$H$495,0)),"")</f>
        <v/>
      </c>
      <c r="L76" s="9" t="str">
        <f>IFERROR(INDEX('CASE MASTER'!$R$2:$R$495,MATCH("Case CDI Plate 7: B11",'CASE MASTER'!$H$2:$H$495,0)),"")</f>
        <v/>
      </c>
      <c r="M76" s="9" t="str">
        <f>IFERROR(INDEX('CASE MASTER'!$R$2:$R$495,MATCH("Case CDI Plate 7: B12",'CASE MASTER'!$H$2:$H$495,0)),"")</f>
        <v/>
      </c>
    </row>
    <row r="77" spans="1:13" ht="15" customHeight="1" x14ac:dyDescent="0.35">
      <c r="A77" s="8" t="s">
        <v>30</v>
      </c>
      <c r="B77" s="9" t="str">
        <f>IFERROR(INDEX('CASE MASTER'!$R$2:$R$495,MATCH("Case CDI Plate 7: C1",'CASE MASTER'!$H$2:$H$495,0)),"")</f>
        <v/>
      </c>
      <c r="C77" s="9" t="str">
        <f>IFERROR(INDEX('CASE MASTER'!$R$2:$R$495,MATCH("Case CDI Plate 7: C2",'CASE MASTER'!$H$2:$H$495,0)),"")</f>
        <v/>
      </c>
      <c r="D77" s="9" t="str">
        <f>IFERROR(INDEX('CASE MASTER'!$R$2:$R$495,MATCH("Case CDI Plate 7: C3",'CASE MASTER'!$H$2:$H$495,0)),"")</f>
        <v/>
      </c>
      <c r="E77" s="9" t="str">
        <f>IFERROR(INDEX('CASE MASTER'!$R$2:$R$495,MATCH("Case CDI Plate 7: C4",'CASE MASTER'!$H$2:$H$495,0)),"")</f>
        <v/>
      </c>
      <c r="F77" s="9" t="str">
        <f>IFERROR(INDEX('CASE MASTER'!$R$2:$R$495,MATCH("Case CDI Plate 7: C5",'CASE MASTER'!$H$2:$H$495,0)),"")</f>
        <v/>
      </c>
      <c r="G77" s="9" t="str">
        <f>IFERROR(INDEX('CASE MASTER'!$R$2:$R$495,MATCH("Case CDI Plate 7: C6",'CASE MASTER'!$H$2:$H$495,0)),"")</f>
        <v/>
      </c>
      <c r="H77" s="9" t="str">
        <f>IFERROR(INDEX('CASE MASTER'!$R$2:$R$495,MATCH("Case CDI Plate 7: C7",'CASE MASTER'!$H$2:$H$495,0)),"")</f>
        <v/>
      </c>
      <c r="I77" s="9" t="str">
        <f>IFERROR(INDEX('CASE MASTER'!$R$2:$R$495,MATCH("Case CDI Plate 7: C8",'CASE MASTER'!$H$2:$H$495,0)),"")</f>
        <v/>
      </c>
      <c r="J77" s="9" t="str">
        <f>IFERROR(INDEX('CASE MASTER'!$R$2:$R$495,MATCH("Case CDI Plate 7: C9",'CASE MASTER'!$H$2:$H$495,0)),"")</f>
        <v/>
      </c>
      <c r="K77" s="9" t="str">
        <f>IFERROR(INDEX('CASE MASTER'!$R$2:$R$495,MATCH("Case CDI Plate 7: C10",'CASE MASTER'!$H$2:$H$495,0)),"")</f>
        <v/>
      </c>
      <c r="L77" s="9" t="str">
        <f>IFERROR(INDEX('CASE MASTER'!$R$2:$R$495,MATCH("Case CDI Plate 7: C11",'CASE MASTER'!$H$2:$H$495,0)),"")</f>
        <v/>
      </c>
      <c r="M77" s="9" t="str">
        <f>IFERROR(INDEX('CASE MASTER'!$R$2:$R$495,MATCH("Case CDI Plate 7: C12",'CASE MASTER'!$H$2:$H$495,0)),"")</f>
        <v/>
      </c>
    </row>
    <row r="78" spans="1:13" ht="15" customHeight="1" x14ac:dyDescent="0.35">
      <c r="A78" s="8" t="s">
        <v>31</v>
      </c>
      <c r="B78" s="9" t="str">
        <f>IFERROR(INDEX('CASE MASTER'!$R$2:$R$495,MATCH("Case CDI Plate 7: D1",'CASE MASTER'!$H$2:$H$495,0)),"")</f>
        <v/>
      </c>
      <c r="C78" s="9" t="str">
        <f>IFERROR(INDEX('CASE MASTER'!$R$2:$R$495,MATCH("Case CDI Plate 7: D2",'CASE MASTER'!$H$2:$H$495,0)),"")</f>
        <v/>
      </c>
      <c r="D78" s="9" t="str">
        <f>IFERROR(INDEX('CASE MASTER'!$R$2:$R$495,MATCH("Case CDI Plate 7: D3",'CASE MASTER'!$H$2:$H$495,0)),"")</f>
        <v/>
      </c>
      <c r="E78" s="9" t="str">
        <f>IFERROR(INDEX('CASE MASTER'!$R$2:$R$495,MATCH("Case CDI Plate 7: D4",'CASE MASTER'!$H$2:$H$495,0)),"")</f>
        <v/>
      </c>
      <c r="F78" s="9" t="str">
        <f>IFERROR(INDEX('CASE MASTER'!$R$2:$R$495,MATCH("Case CDI Plate 7: D5",'CASE MASTER'!$H$2:$H$495,0)),"")</f>
        <v/>
      </c>
      <c r="G78" s="9" t="str">
        <f>IFERROR(INDEX('CASE MASTER'!$R$2:$R$495,MATCH("Case CDI Plate 7: D6",'CASE MASTER'!$H$2:$H$495,0)),"")</f>
        <v/>
      </c>
      <c r="H78" s="9" t="str">
        <f>IFERROR(INDEX('CASE MASTER'!$R$2:$R$495,MATCH("Case CDI Plate 7: D7",'CASE MASTER'!$H$2:$H$495,0)),"")</f>
        <v/>
      </c>
      <c r="I78" s="9" t="str">
        <f>IFERROR(INDEX('CASE MASTER'!$R$2:$R$495,MATCH("Case CDI Plate 7: D8",'CASE MASTER'!$H$2:$H$495,0)),"")</f>
        <v/>
      </c>
      <c r="J78" s="9" t="str">
        <f>IFERROR(INDEX('CASE MASTER'!$R$2:$R$495,MATCH("Case CDI Plate 7: D9",'CASE MASTER'!$H$2:$H$495,0)),"")</f>
        <v/>
      </c>
      <c r="K78" s="9" t="str">
        <f>IFERROR(INDEX('CASE MASTER'!$R$2:$R$495,MATCH("Case CDI Plate 7: D10",'CASE MASTER'!$H$2:$H$495,0)),"")</f>
        <v/>
      </c>
      <c r="L78" s="9" t="str">
        <f>IFERROR(INDEX('CASE MASTER'!$R$2:$R$495,MATCH("Case CDI Plate 7: D11",'CASE MASTER'!$H$2:$H$495,0)),"")</f>
        <v/>
      </c>
      <c r="M78" s="9" t="str">
        <f>IFERROR(INDEX('CASE MASTER'!$R$2:$R$495,MATCH("Case CDI Plate 7: D12",'CASE MASTER'!$H$2:$H$495,0)),"")</f>
        <v/>
      </c>
    </row>
    <row r="79" spans="1:13" ht="15" customHeight="1" x14ac:dyDescent="0.35">
      <c r="A79" s="8" t="s">
        <v>32</v>
      </c>
      <c r="B79" s="9" t="str">
        <f>IFERROR(INDEX('CASE MASTER'!$R$2:$R$495,MATCH("Case CDI Plate 7: E1",'CASE MASTER'!$H$2:$H$495,0)),"")</f>
        <v/>
      </c>
      <c r="C79" s="9" t="str">
        <f>IFERROR(INDEX('CASE MASTER'!$R$2:$R$495,MATCH("Case CDI Plate 7: E2",'CASE MASTER'!$H$2:$H$495,0)),"")</f>
        <v/>
      </c>
      <c r="D79" s="9" t="str">
        <f>IFERROR(INDEX('CASE MASTER'!$R$2:$R$495,MATCH("Case CDI Plate 7: E3",'CASE MASTER'!$H$2:$H$495,0)),"")</f>
        <v/>
      </c>
      <c r="E79" s="9" t="str">
        <f>IFERROR(INDEX('CASE MASTER'!$R$2:$R$495,MATCH("Case CDI Plate 7: E4",'CASE MASTER'!$H$2:$H$495,0)),"")</f>
        <v/>
      </c>
      <c r="F79" s="9" t="str">
        <f>IFERROR(INDEX('CASE MASTER'!$R$2:$R$495,MATCH("Case CDI Plate 7: E5",'CASE MASTER'!$H$2:$H$495,0)),"")</f>
        <v/>
      </c>
      <c r="G79" s="9" t="str">
        <f>IFERROR(INDEX('CASE MASTER'!$R$2:$R$495,MATCH("Case CDI Plate 7: E6",'CASE MASTER'!$H$2:$H$495,0)),"")</f>
        <v/>
      </c>
      <c r="H79" s="9" t="str">
        <f>IFERROR(INDEX('CASE MASTER'!$R$2:$R$495,MATCH("Case CDI Plate 7: E7",'CASE MASTER'!$H$2:$H$495,0)),"")</f>
        <v/>
      </c>
      <c r="I79" s="9" t="str">
        <f>IFERROR(INDEX('CASE MASTER'!$R$2:$R$495,MATCH("Case CDI Plate 7: E8",'CASE MASTER'!$H$2:$H$495,0)),"")</f>
        <v/>
      </c>
      <c r="J79" s="9" t="str">
        <f>IFERROR(INDEX('CASE MASTER'!$R$2:$R$495,MATCH("Case CDI Plate 7: E9",'CASE MASTER'!$H$2:$H$495,0)),"")</f>
        <v/>
      </c>
      <c r="K79" s="9" t="str">
        <f>IFERROR(INDEX('CASE MASTER'!$R$2:$R$495,MATCH("Case CDI Plate 7: E10",'CASE MASTER'!$H$2:$H$495,0)),"")</f>
        <v/>
      </c>
      <c r="L79" s="9" t="str">
        <f>IFERROR(INDEX('CASE MASTER'!$R$2:$R$495,MATCH("Case CDI Plate 7: E11",'CASE MASTER'!$H$2:$H$495,0)),"")</f>
        <v/>
      </c>
      <c r="M79" s="9" t="str">
        <f>IFERROR(INDEX('CASE MASTER'!$R$2:$R$495,MATCH("Case CDI Plate 7: E12",'CASE MASTER'!$H$2:$H$495,0)),"")</f>
        <v/>
      </c>
    </row>
    <row r="80" spans="1:13" ht="15" customHeight="1" x14ac:dyDescent="0.35">
      <c r="A80" s="8" t="s">
        <v>33</v>
      </c>
      <c r="B80" s="9" t="str">
        <f>IFERROR(INDEX('CASE MASTER'!$R$2:$R$495,MATCH("Case CDI Plate 7: F1",'CASE MASTER'!$H$2:$H$495,0)),"")</f>
        <v/>
      </c>
      <c r="C80" s="9" t="str">
        <f>IFERROR(INDEX('CASE MASTER'!$R$2:$R$495,MATCH("Case CDI Plate 7: F2",'CASE MASTER'!$H$2:$H$495,0)),"")</f>
        <v/>
      </c>
      <c r="D80" s="9" t="str">
        <f>IFERROR(INDEX('CASE MASTER'!$R$2:$R$495,MATCH("Case CDI Plate 7: F3",'CASE MASTER'!$H$2:$H$495,0)),"")</f>
        <v/>
      </c>
      <c r="E80" s="9" t="str">
        <f>IFERROR(INDEX('CASE MASTER'!$R$2:$R$495,MATCH("Case CDI Plate 7: F4",'CASE MASTER'!$H$2:$H$495,0)),"")</f>
        <v/>
      </c>
      <c r="F80" s="9" t="str">
        <f>IFERROR(INDEX('CASE MASTER'!$R$2:$R$495,MATCH("Case CDI Plate 7: F5",'CASE MASTER'!$H$2:$H$495,0)),"")</f>
        <v/>
      </c>
      <c r="G80" s="9" t="str">
        <f>IFERROR(INDEX('CASE MASTER'!$R$2:$R$495,MATCH("Case CDI Plate 7: F6",'CASE MASTER'!$H$2:$H$495,0)),"")</f>
        <v/>
      </c>
      <c r="H80" s="9" t="str">
        <f>IFERROR(INDEX('CASE MASTER'!$R$2:$R$495,MATCH("Case CDI Plate 7: F7",'CASE MASTER'!$H$2:$H$495,0)),"")</f>
        <v/>
      </c>
      <c r="I80" s="9" t="str">
        <f>IFERROR(INDEX('CASE MASTER'!$R$2:$R$495,MATCH("Case CDI Plate 7: F8",'CASE MASTER'!$H$2:$H$495,0)),"")</f>
        <v/>
      </c>
      <c r="J80" s="9" t="str">
        <f>IFERROR(INDEX('CASE MASTER'!$R$2:$R$495,MATCH("Case CDI Plate 7: F9",'CASE MASTER'!$H$2:$H$495,0)),"")</f>
        <v/>
      </c>
      <c r="K80" s="9" t="str">
        <f>IFERROR(INDEX('CASE MASTER'!$R$2:$R$495,MATCH("Case CDI Plate 7: F10",'CASE MASTER'!$H$2:$H$495,0)),"")</f>
        <v/>
      </c>
      <c r="L80" s="9" t="str">
        <f>IFERROR(INDEX('CASE MASTER'!$R$2:$R$495,MATCH("Case CDI Plate 7: F11",'CASE MASTER'!$H$2:$H$495,0)),"")</f>
        <v/>
      </c>
      <c r="M80" s="9" t="str">
        <f>IFERROR(INDEX('CASE MASTER'!$R$2:$R$495,MATCH("Case CDI Plate 7: F12",'CASE MASTER'!$H$2:$H$495,0)),"")</f>
        <v/>
      </c>
    </row>
    <row r="81" spans="1:13" ht="15" customHeight="1" x14ac:dyDescent="0.35">
      <c r="A81" s="8" t="s">
        <v>34</v>
      </c>
      <c r="B81" s="9" t="str">
        <f>IFERROR(INDEX('CASE MASTER'!$R$2:$R$495,MATCH("Case CDI Plate 7: G1",'CASE MASTER'!$H$2:$H$495,0)),"")</f>
        <v/>
      </c>
      <c r="C81" s="9" t="str">
        <f>IFERROR(INDEX('CASE MASTER'!$R$2:$R$495,MATCH("Case CDI Plate 7: G2",'CASE MASTER'!$H$2:$H$495,0)),"")</f>
        <v/>
      </c>
      <c r="D81" s="9" t="str">
        <f>IFERROR(INDEX('CASE MASTER'!$R$2:$R$495,MATCH("Case CDI Plate 7: G3",'CASE MASTER'!$H$2:$H$495,0)),"")</f>
        <v/>
      </c>
      <c r="E81" s="9" t="str">
        <f>IFERROR(INDEX('CASE MASTER'!$R$2:$R$495,MATCH("Case CDI Plate 7: G4",'CASE MASTER'!$H$2:$H$495,0)),"")</f>
        <v/>
      </c>
      <c r="F81" s="9" t="str">
        <f>IFERROR(INDEX('CASE MASTER'!$R$2:$R$495,MATCH("Case CDI Plate 7: G5",'CASE MASTER'!$H$2:$H$495,0)),"")</f>
        <v/>
      </c>
      <c r="G81" s="9" t="str">
        <f>IFERROR(INDEX('CASE MASTER'!$R$2:$R$495,MATCH("Case CDI Plate 7: G6",'CASE MASTER'!$H$2:$H$495,0)),"")</f>
        <v/>
      </c>
      <c r="H81" s="9" t="str">
        <f>IFERROR(INDEX('CASE MASTER'!$R$2:$R$495,MATCH("Case CDI Plate 7: G7",'CASE MASTER'!$H$2:$H$495,0)),"")</f>
        <v/>
      </c>
      <c r="I81" s="9" t="str">
        <f>IFERROR(INDEX('CASE MASTER'!$R$2:$R$495,MATCH("Case CDI Plate 7: G8",'CASE MASTER'!$H$2:$H$495,0)),"")</f>
        <v/>
      </c>
      <c r="J81" s="9" t="str">
        <f>IFERROR(INDEX('CASE MASTER'!$R$2:$R$495,MATCH("Case CDI Plate 7: G9",'CASE MASTER'!$H$2:$H$495,0)),"")</f>
        <v/>
      </c>
      <c r="K81" s="9" t="str">
        <f>IFERROR(INDEX('CASE MASTER'!$R$2:$R$495,MATCH("Case CDI Plate 7: G10",'CASE MASTER'!$H$2:$H$495,0)),"")</f>
        <v/>
      </c>
      <c r="L81" s="9" t="str">
        <f>IFERROR(INDEX('CASE MASTER'!$R$2:$R$495,MATCH("Case CDI Plate 7: G11",'CASE MASTER'!$H$2:$H$495,0)),"")</f>
        <v/>
      </c>
      <c r="M81" s="9" t="str">
        <f>IFERROR(INDEX('CASE MASTER'!$R$2:$R$495,MATCH("Case CDI Plate 7: G12",'CASE MASTER'!$H$2:$H$495,0)),"")</f>
        <v/>
      </c>
    </row>
    <row r="82" spans="1:13" ht="15" customHeight="1" x14ac:dyDescent="0.35">
      <c r="A82" s="8" t="s">
        <v>35</v>
      </c>
      <c r="B82" s="9" t="str">
        <f>IFERROR(INDEX('CASE MASTER'!$R$2:$R$495,MATCH("Case CDI Plate 7: H1",'CASE MASTER'!$H$2:$H$495,0)),"")</f>
        <v/>
      </c>
      <c r="C82" s="9" t="str">
        <f>IFERROR(INDEX('CASE MASTER'!$R$2:$R$495,MATCH("Case CDI Plate 7: H2",'CASE MASTER'!$H$2:$H$495,0)),"")</f>
        <v/>
      </c>
      <c r="D82" s="9" t="str">
        <f>IFERROR(INDEX('CASE MASTER'!$R$2:$R$495,MATCH("Case CDI Plate 7: H3",'CASE MASTER'!$H$2:$H$495,0)),"")</f>
        <v/>
      </c>
      <c r="E82" s="9" t="str">
        <f>IFERROR(INDEX('CASE MASTER'!$R$2:$R$495,MATCH("Case CDI Plate 7: H4",'CASE MASTER'!$H$2:$H$495,0)),"")</f>
        <v/>
      </c>
      <c r="F82" s="9" t="str">
        <f>IFERROR(INDEX('CASE MASTER'!$R$2:$R$495,MATCH("Case CDI Plate 7: H5",'CASE MASTER'!$H$2:$H$495,0)),"")</f>
        <v/>
      </c>
      <c r="G82" s="9" t="str">
        <f>IFERROR(INDEX('CASE MASTER'!$R$2:$R$495,MATCH("Case CDI Plate 7: H6",'CASE MASTER'!$H$2:$H$495,0)),"")</f>
        <v/>
      </c>
      <c r="H82" s="9" t="str">
        <f>IFERROR(INDEX('CASE MASTER'!$R$2:$R$495,MATCH("Case CDI Plate 7: H7",'CASE MASTER'!$H$2:$H$495,0)),"")</f>
        <v/>
      </c>
      <c r="I82" s="9" t="str">
        <f>IFERROR(INDEX('CASE MASTER'!$R$2:$R$495,MATCH("Case CDI Plate 7: H8",'CASE MASTER'!$H$2:$H$495,0)),"")</f>
        <v/>
      </c>
      <c r="J82" s="9" t="str">
        <f>IFERROR(INDEX('CASE MASTER'!$R$2:$R$495,MATCH("Case CDI Plate 7: H9",'CASE MASTER'!$H$2:$H$495,0)),"")</f>
        <v/>
      </c>
      <c r="K82" s="9" t="str">
        <f>IFERROR(INDEX('CASE MASTER'!$R$2:$R$495,MATCH("Case CDI Plate 7: H10",'CASE MASTER'!$H$2:$H$495,0)),"")</f>
        <v/>
      </c>
      <c r="L82" s="9" t="str">
        <f>IFERROR(INDEX('CASE MASTER'!$R$2:$R$495,MATCH("Case CDI Plate 7: H11",'CASE MASTER'!$H$2:$H$495,0)),"")</f>
        <v/>
      </c>
      <c r="M82" s="9" t="str">
        <f>IFERROR(INDEX('CASE MASTER'!$R$2:$R$495,MATCH("Case CDI Plate 7: H12",'CASE MASTER'!$H$2:$H$495,0)),"")</f>
        <v/>
      </c>
    </row>
    <row r="85" spans="1:13" ht="15" customHeight="1" x14ac:dyDescent="0.35">
      <c r="A85" s="12" t="s">
        <v>42</v>
      </c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</row>
    <row r="86" spans="1:13" ht="15" customHeight="1" x14ac:dyDescent="0.35">
      <c r="B86" s="8">
        <v>1</v>
      </c>
      <c r="C86" s="8">
        <v>2</v>
      </c>
      <c r="D86" s="8">
        <v>3</v>
      </c>
      <c r="E86" s="8">
        <v>4</v>
      </c>
      <c r="F86" s="8">
        <v>5</v>
      </c>
      <c r="G86" s="8">
        <v>6</v>
      </c>
      <c r="H86" s="8">
        <v>7</v>
      </c>
      <c r="I86" s="8">
        <v>8</v>
      </c>
      <c r="J86" s="8">
        <v>9</v>
      </c>
      <c r="K86" s="8">
        <v>10</v>
      </c>
      <c r="L86" s="8">
        <v>11</v>
      </c>
      <c r="M86" s="8">
        <v>12</v>
      </c>
    </row>
    <row r="87" spans="1:13" ht="15" customHeight="1" x14ac:dyDescent="0.35">
      <c r="A87" s="8" t="s">
        <v>28</v>
      </c>
      <c r="B87" s="9" t="str">
        <f>IFERROR(INDEX('CASE MASTER'!$R$2:$R$495,MATCH("Case CDI Plate 8: A1",'CASE MASTER'!$H$2:$H$495,0)),"")</f>
        <v/>
      </c>
      <c r="C87" s="9" t="str">
        <f>IFERROR(INDEX('CASE MASTER'!$R$2:$R$495,MATCH("Case CDI Plate 8: A2",'CASE MASTER'!$H$2:$H$495,0)),"")</f>
        <v/>
      </c>
      <c r="D87" s="9" t="str">
        <f>IFERROR(INDEX('CASE MASTER'!$R$2:$R$495,MATCH("Case CDI Plate 8: A3",'CASE MASTER'!$H$2:$H$495,0)),"")</f>
        <v/>
      </c>
      <c r="E87" s="9" t="str">
        <f>IFERROR(INDEX('CASE MASTER'!$R$2:$R$495,MATCH("Case CDI Plate 8: A4",'CASE MASTER'!$H$2:$H$495,0)),"")</f>
        <v/>
      </c>
      <c r="F87" s="9" t="str">
        <f>IFERROR(INDEX('CASE MASTER'!$R$2:$R$495,MATCH("Case CDI Plate 8: A5",'CASE MASTER'!$H$2:$H$495,0)),"")</f>
        <v/>
      </c>
      <c r="G87" s="9" t="str">
        <f>IFERROR(INDEX('CASE MASTER'!$R$2:$R$495,MATCH("Case CDI Plate 8: A6",'CASE MASTER'!$H$2:$H$495,0)),"")</f>
        <v/>
      </c>
      <c r="H87" s="9" t="str">
        <f>IFERROR(INDEX('CASE MASTER'!$R$2:$R$495,MATCH("Case CDI Plate 8: A7",'CASE MASTER'!$H$2:$H$495,0)),"")</f>
        <v/>
      </c>
      <c r="I87" s="9" t="str">
        <f>IFERROR(INDEX('CASE MASTER'!$R$2:$R$495,MATCH("Case CDI Plate 8: A8",'CASE MASTER'!$H$2:$H$495,0)),"")</f>
        <v/>
      </c>
      <c r="J87" s="9" t="str">
        <f>IFERROR(INDEX('CASE MASTER'!$R$2:$R$495,MATCH("Case CDI Plate 8: A9",'CASE MASTER'!$H$2:$H$495,0)),"")</f>
        <v/>
      </c>
      <c r="K87" s="9" t="str">
        <f>IFERROR(INDEX('CASE MASTER'!$R$2:$R$495,MATCH("Case CDI Plate 8: A10",'CASE MASTER'!$H$2:$H$495,0)),"")</f>
        <v/>
      </c>
      <c r="L87" s="9" t="str">
        <f>IFERROR(INDEX('CASE MASTER'!$R$2:$R$495,MATCH("Case CDI Plate 8: A11",'CASE MASTER'!$H$2:$H$495,0)),"")</f>
        <v/>
      </c>
      <c r="M87" s="9" t="str">
        <f>IFERROR(INDEX('CASE MASTER'!$R$2:$R$495,MATCH("Case CDI Plate 8: A12",'CASE MASTER'!$H$2:$H$495,0)),"")</f>
        <v/>
      </c>
    </row>
    <row r="88" spans="1:13" ht="15" customHeight="1" x14ac:dyDescent="0.35">
      <c r="A88" s="8" t="s">
        <v>29</v>
      </c>
      <c r="B88" s="9" t="str">
        <f>IFERROR(INDEX('CASE MASTER'!$R$2:$R$495,MATCH("Case CDI Plate 8: B1",'CASE MASTER'!$H$2:$H$495,0)),"")</f>
        <v/>
      </c>
      <c r="C88" s="9" t="str">
        <f>IFERROR(INDEX('CASE MASTER'!$R$2:$R$495,MATCH("Case CDI Plate 8: B2",'CASE MASTER'!$H$2:$H$495,0)),"")</f>
        <v/>
      </c>
      <c r="D88" s="9" t="str">
        <f>IFERROR(INDEX('CASE MASTER'!$R$2:$R$495,MATCH("Case CDI Plate 8: B3",'CASE MASTER'!$H$2:$H$495,0)),"")</f>
        <v/>
      </c>
      <c r="E88" s="9" t="str">
        <f>IFERROR(INDEX('CASE MASTER'!$R$2:$R$495,MATCH("Case CDI Plate 8: B4",'CASE MASTER'!$H$2:$H$495,0)),"")</f>
        <v/>
      </c>
      <c r="F88" s="9" t="str">
        <f>IFERROR(INDEX('CASE MASTER'!$R$2:$R$495,MATCH("Case CDI Plate 8: B5",'CASE MASTER'!$H$2:$H$495,0)),"")</f>
        <v/>
      </c>
      <c r="G88" s="9" t="str">
        <f>IFERROR(INDEX('CASE MASTER'!$R$2:$R$495,MATCH("Case CDI Plate 8: B6",'CASE MASTER'!$H$2:$H$495,0)),"")</f>
        <v/>
      </c>
      <c r="H88" s="9" t="str">
        <f>IFERROR(INDEX('CASE MASTER'!$R$2:$R$495,MATCH("Case CDI Plate 8: B7",'CASE MASTER'!$H$2:$H$495,0)),"")</f>
        <v/>
      </c>
      <c r="I88" s="9" t="str">
        <f>IFERROR(INDEX('CASE MASTER'!$R$2:$R$495,MATCH("Case CDI Plate 8: B8",'CASE MASTER'!$H$2:$H$495,0)),"")</f>
        <v/>
      </c>
      <c r="J88" s="9" t="str">
        <f>IFERROR(INDEX('CASE MASTER'!$R$2:$R$495,MATCH("Case CDI Plate 8: B9",'CASE MASTER'!$H$2:$H$495,0)),"")</f>
        <v/>
      </c>
      <c r="K88" s="9" t="str">
        <f>IFERROR(INDEX('CASE MASTER'!$R$2:$R$495,MATCH("Case CDI Plate 8: B10",'CASE MASTER'!$H$2:$H$495,0)),"")</f>
        <v/>
      </c>
      <c r="L88" s="9" t="str">
        <f>IFERROR(INDEX('CASE MASTER'!$R$2:$R$495,MATCH("Case CDI Plate 8: B11",'CASE MASTER'!$H$2:$H$495,0)),"")</f>
        <v/>
      </c>
      <c r="M88" s="9" t="str">
        <f>IFERROR(INDEX('CASE MASTER'!$R$2:$R$495,MATCH("Case CDI Plate 8: B12",'CASE MASTER'!$H$2:$H$495,0)),"")</f>
        <v/>
      </c>
    </row>
    <row r="89" spans="1:13" ht="15" customHeight="1" x14ac:dyDescent="0.35">
      <c r="A89" s="8" t="s">
        <v>30</v>
      </c>
      <c r="B89" s="9" t="str">
        <f>IFERROR(INDEX('CASE MASTER'!$R$2:$R$495,MATCH("Case CDI Plate 8: C1",'CASE MASTER'!$H$2:$H$495,0)),"")</f>
        <v/>
      </c>
      <c r="C89" s="9" t="str">
        <f>IFERROR(INDEX('CASE MASTER'!$R$2:$R$495,MATCH("Case CDI Plate 8: C2",'CASE MASTER'!$H$2:$H$495,0)),"")</f>
        <v/>
      </c>
      <c r="D89" s="9" t="str">
        <f>IFERROR(INDEX('CASE MASTER'!$R$2:$R$495,MATCH("Case CDI Plate 8: C3",'CASE MASTER'!$H$2:$H$495,0)),"")</f>
        <v/>
      </c>
      <c r="E89" s="9" t="str">
        <f>IFERROR(INDEX('CASE MASTER'!$R$2:$R$495,MATCH("Case CDI Plate 8: C4",'CASE MASTER'!$H$2:$H$495,0)),"")</f>
        <v/>
      </c>
      <c r="F89" s="9" t="str">
        <f>IFERROR(INDEX('CASE MASTER'!$R$2:$R$495,MATCH("Case CDI Plate 8: C5",'CASE MASTER'!$H$2:$H$495,0)),"")</f>
        <v/>
      </c>
      <c r="G89" s="9" t="str">
        <f>IFERROR(INDEX('CASE MASTER'!$R$2:$R$495,MATCH("Case CDI Plate 8: C6",'CASE MASTER'!$H$2:$H$495,0)),"")</f>
        <v/>
      </c>
      <c r="H89" s="9" t="str">
        <f>IFERROR(INDEX('CASE MASTER'!$R$2:$R$495,MATCH("Case CDI Plate 8: C7",'CASE MASTER'!$H$2:$H$495,0)),"")</f>
        <v/>
      </c>
      <c r="I89" s="9" t="str">
        <f>IFERROR(INDEX('CASE MASTER'!$R$2:$R$495,MATCH("Case CDI Plate 8: C8",'CASE MASTER'!$H$2:$H$495,0)),"")</f>
        <v/>
      </c>
      <c r="J89" s="9" t="str">
        <f>IFERROR(INDEX('CASE MASTER'!$R$2:$R$495,MATCH("Case CDI Plate 8: C9",'CASE MASTER'!$H$2:$H$495,0)),"")</f>
        <v/>
      </c>
      <c r="K89" s="9" t="str">
        <f>IFERROR(INDEX('CASE MASTER'!$R$2:$R$495,MATCH("Case CDI Plate 8: C10",'CASE MASTER'!$H$2:$H$495,0)),"")</f>
        <v/>
      </c>
      <c r="L89" s="9" t="str">
        <f>IFERROR(INDEX('CASE MASTER'!$R$2:$R$495,MATCH("Case CDI Plate 8: C11",'CASE MASTER'!$H$2:$H$495,0)),"")</f>
        <v/>
      </c>
      <c r="M89" s="9" t="str">
        <f>IFERROR(INDEX('CASE MASTER'!$R$2:$R$495,MATCH("Case CDI Plate 8: C12",'CASE MASTER'!$H$2:$H$495,0)),"")</f>
        <v/>
      </c>
    </row>
    <row r="90" spans="1:13" ht="15" customHeight="1" x14ac:dyDescent="0.35">
      <c r="A90" s="8" t="s">
        <v>31</v>
      </c>
      <c r="B90" s="9" t="str">
        <f>IFERROR(INDEX('CASE MASTER'!$R$2:$R$495,MATCH("Case CDI Plate 8: D1",'CASE MASTER'!$H$2:$H$495,0)),"")</f>
        <v/>
      </c>
      <c r="C90" s="9" t="str">
        <f>IFERROR(INDEX('CASE MASTER'!$R$2:$R$495,MATCH("Case CDI Plate 8: D2",'CASE MASTER'!$H$2:$H$495,0)),"")</f>
        <v/>
      </c>
      <c r="D90" s="9" t="str">
        <f>IFERROR(INDEX('CASE MASTER'!$R$2:$R$495,MATCH("Case CDI Plate 8: D3",'CASE MASTER'!$H$2:$H$495,0)),"")</f>
        <v/>
      </c>
      <c r="E90" s="9" t="str">
        <f>IFERROR(INDEX('CASE MASTER'!$R$2:$R$495,MATCH("Case CDI Plate 8: D4",'CASE MASTER'!$H$2:$H$495,0)),"")</f>
        <v/>
      </c>
      <c r="F90" s="9" t="str">
        <f>IFERROR(INDEX('CASE MASTER'!$R$2:$R$495,MATCH("Case CDI Plate 8: D5",'CASE MASTER'!$H$2:$H$495,0)),"")</f>
        <v/>
      </c>
      <c r="G90" s="9" t="str">
        <f>IFERROR(INDEX('CASE MASTER'!$R$2:$R$495,MATCH("Case CDI Plate 8: D6",'CASE MASTER'!$H$2:$H$495,0)),"")</f>
        <v/>
      </c>
      <c r="H90" s="9" t="str">
        <f>IFERROR(INDEX('CASE MASTER'!$R$2:$R$495,MATCH("Case CDI Plate 8: D7",'CASE MASTER'!$H$2:$H$495,0)),"")</f>
        <v/>
      </c>
      <c r="I90" s="9" t="str">
        <f>IFERROR(INDEX('CASE MASTER'!$R$2:$R$495,MATCH("Case CDI Plate 8: D8",'CASE MASTER'!$H$2:$H$495,0)),"")</f>
        <v/>
      </c>
      <c r="J90" s="9" t="str">
        <f>IFERROR(INDEX('CASE MASTER'!$R$2:$R$495,MATCH("Case CDI Plate 8: D9",'CASE MASTER'!$H$2:$H$495,0)),"")</f>
        <v/>
      </c>
      <c r="K90" s="9" t="str">
        <f>IFERROR(INDEX('CASE MASTER'!$R$2:$R$495,MATCH("Case CDI Plate 8: D10",'CASE MASTER'!$H$2:$H$495,0)),"")</f>
        <v/>
      </c>
      <c r="L90" s="9" t="str">
        <f>IFERROR(INDEX('CASE MASTER'!$R$2:$R$495,MATCH("Case CDI Plate 8: D11",'CASE MASTER'!$H$2:$H$495,0)),"")</f>
        <v/>
      </c>
      <c r="M90" s="9" t="str">
        <f>IFERROR(INDEX('CASE MASTER'!$R$2:$R$495,MATCH("Case CDI Plate 8: D12",'CASE MASTER'!$H$2:$H$495,0)),"")</f>
        <v/>
      </c>
    </row>
    <row r="91" spans="1:13" ht="15" customHeight="1" x14ac:dyDescent="0.35">
      <c r="A91" s="8" t="s">
        <v>32</v>
      </c>
      <c r="B91" s="9" t="str">
        <f>IFERROR(INDEX('CASE MASTER'!$R$2:$R$495,MATCH("Case CDI Plate 8: E1",'CASE MASTER'!$H$2:$H$495,0)),"")</f>
        <v/>
      </c>
      <c r="C91" s="9" t="str">
        <f>IFERROR(INDEX('CASE MASTER'!$R$2:$R$495,MATCH("Case CDI Plate 8: E2",'CASE MASTER'!$H$2:$H$495,0)),"")</f>
        <v/>
      </c>
      <c r="D91" s="9" t="str">
        <f>IFERROR(INDEX('CASE MASTER'!$R$2:$R$495,MATCH("Case CDI Plate 8: E3",'CASE MASTER'!$H$2:$H$495,0)),"")</f>
        <v/>
      </c>
      <c r="E91" s="9" t="str">
        <f>IFERROR(INDEX('CASE MASTER'!$R$2:$R$495,MATCH("Case CDI Plate 8: E4",'CASE MASTER'!$H$2:$H$495,0)),"")</f>
        <v/>
      </c>
      <c r="F91" s="9" t="str">
        <f>IFERROR(INDEX('CASE MASTER'!$R$2:$R$495,MATCH("Case CDI Plate 8: E5",'CASE MASTER'!$H$2:$H$495,0)),"")</f>
        <v/>
      </c>
      <c r="G91" s="9" t="str">
        <f>IFERROR(INDEX('CASE MASTER'!$R$2:$R$495,MATCH("Case CDI Plate 8: E6",'CASE MASTER'!$H$2:$H$495,0)),"")</f>
        <v/>
      </c>
      <c r="H91" s="9" t="str">
        <f>IFERROR(INDEX('CASE MASTER'!$R$2:$R$495,MATCH("Case CDI Plate 8: E7",'CASE MASTER'!$H$2:$H$495,0)),"")</f>
        <v/>
      </c>
      <c r="I91" s="9" t="str">
        <f>IFERROR(INDEX('CASE MASTER'!$R$2:$R$495,MATCH("Case CDI Plate 8: E8",'CASE MASTER'!$H$2:$H$495,0)),"")</f>
        <v/>
      </c>
      <c r="J91" s="9" t="str">
        <f>IFERROR(INDEX('CASE MASTER'!$R$2:$R$495,MATCH("Case CDI Plate 8: E9",'CASE MASTER'!$H$2:$H$495,0)),"")</f>
        <v/>
      </c>
      <c r="K91" s="9" t="str">
        <f>IFERROR(INDEX('CASE MASTER'!$R$2:$R$495,MATCH("Case CDI Plate 8: E10",'CASE MASTER'!$H$2:$H$495,0)),"")</f>
        <v/>
      </c>
      <c r="L91" s="9" t="str">
        <f>IFERROR(INDEX('CASE MASTER'!$R$2:$R$495,MATCH("Case CDI Plate 8: E11",'CASE MASTER'!$H$2:$H$495,0)),"")</f>
        <v/>
      </c>
      <c r="M91" s="9" t="str">
        <f>IFERROR(INDEX('CASE MASTER'!$R$2:$R$495,MATCH("Case CDI Plate 8: E12",'CASE MASTER'!$H$2:$H$495,0)),"")</f>
        <v/>
      </c>
    </row>
    <row r="92" spans="1:13" ht="15" customHeight="1" x14ac:dyDescent="0.35">
      <c r="A92" s="8" t="s">
        <v>33</v>
      </c>
      <c r="B92" s="9" t="str">
        <f>IFERROR(INDEX('CASE MASTER'!$R$2:$R$495,MATCH("Case CDI Plate 8: F1",'CASE MASTER'!$H$2:$H$495,0)),"")</f>
        <v/>
      </c>
      <c r="C92" s="9" t="str">
        <f>IFERROR(INDEX('CASE MASTER'!$R$2:$R$495,MATCH("Case CDI Plate 8: F2",'CASE MASTER'!$H$2:$H$495,0)),"")</f>
        <v/>
      </c>
      <c r="D92" s="9" t="str">
        <f>IFERROR(INDEX('CASE MASTER'!$R$2:$R$495,MATCH("Case CDI Plate 8: F3",'CASE MASTER'!$H$2:$H$495,0)),"")</f>
        <v/>
      </c>
      <c r="E92" s="9" t="str">
        <f>IFERROR(INDEX('CASE MASTER'!$R$2:$R$495,MATCH("Case CDI Plate 8: F4",'CASE MASTER'!$H$2:$H$495,0)),"")</f>
        <v/>
      </c>
      <c r="F92" s="9" t="str">
        <f>IFERROR(INDEX('CASE MASTER'!$R$2:$R$495,MATCH("Case CDI Plate 8: F5",'CASE MASTER'!$H$2:$H$495,0)),"")</f>
        <v/>
      </c>
      <c r="G92" s="9" t="str">
        <f>IFERROR(INDEX('CASE MASTER'!$R$2:$R$495,MATCH("Case CDI Plate 8: F6",'CASE MASTER'!$H$2:$H$495,0)),"")</f>
        <v/>
      </c>
      <c r="H92" s="9" t="str">
        <f>IFERROR(INDEX('CASE MASTER'!$R$2:$R$495,MATCH("Case CDI Plate 8: F7",'CASE MASTER'!$H$2:$H$495,0)),"")</f>
        <v/>
      </c>
      <c r="I92" s="9" t="str">
        <f>IFERROR(INDEX('CASE MASTER'!$R$2:$R$495,MATCH("Case CDI Plate 8: F8",'CASE MASTER'!$H$2:$H$495,0)),"")</f>
        <v/>
      </c>
      <c r="J92" s="9" t="str">
        <f>IFERROR(INDEX('CASE MASTER'!$R$2:$R$495,MATCH("Case CDI Plate 8: F9",'CASE MASTER'!$H$2:$H$495,0)),"")</f>
        <v/>
      </c>
      <c r="K92" s="9" t="str">
        <f>IFERROR(INDEX('CASE MASTER'!$R$2:$R$495,MATCH("Case CDI Plate 8: F10",'CASE MASTER'!$H$2:$H$495,0)),"")</f>
        <v/>
      </c>
      <c r="L92" s="9" t="str">
        <f>IFERROR(INDEX('CASE MASTER'!$R$2:$R$495,MATCH("Case CDI Plate 8: F11",'CASE MASTER'!$H$2:$H$495,0)),"")</f>
        <v/>
      </c>
      <c r="M92" s="9" t="str">
        <f>IFERROR(INDEX('CASE MASTER'!$R$2:$R$495,MATCH("Case CDI Plate 8: F12",'CASE MASTER'!$H$2:$H$495,0)),"")</f>
        <v/>
      </c>
    </row>
    <row r="93" spans="1:13" ht="15" customHeight="1" x14ac:dyDescent="0.35">
      <c r="A93" s="8" t="s">
        <v>34</v>
      </c>
      <c r="B93" s="9" t="str">
        <f>IFERROR(INDEX('CASE MASTER'!$R$2:$R$495,MATCH("Case CDI Plate 8: G1",'CASE MASTER'!$H$2:$H$495,0)),"")</f>
        <v/>
      </c>
      <c r="C93" s="9" t="str">
        <f>IFERROR(INDEX('CASE MASTER'!$R$2:$R$495,MATCH("Case CDI Plate 8: G2",'CASE MASTER'!$H$2:$H$495,0)),"")</f>
        <v/>
      </c>
      <c r="D93" s="9" t="str">
        <f>IFERROR(INDEX('CASE MASTER'!$R$2:$R$495,MATCH("Case CDI Plate 8: G3",'CASE MASTER'!$H$2:$H$495,0)),"")</f>
        <v/>
      </c>
      <c r="E93" s="9" t="str">
        <f>IFERROR(INDEX('CASE MASTER'!$R$2:$R$495,MATCH("Case CDI Plate 8: G4",'CASE MASTER'!$H$2:$H$495,0)),"")</f>
        <v/>
      </c>
      <c r="F93" s="9" t="str">
        <f>IFERROR(INDEX('CASE MASTER'!$R$2:$R$495,MATCH("Case CDI Plate 8: G5",'CASE MASTER'!$H$2:$H$495,0)),"")</f>
        <v/>
      </c>
      <c r="G93" s="9" t="str">
        <f>IFERROR(INDEX('CASE MASTER'!$R$2:$R$495,MATCH("Case CDI Plate 8: G6",'CASE MASTER'!$H$2:$H$495,0)),"")</f>
        <v/>
      </c>
      <c r="H93" s="9" t="str">
        <f>IFERROR(INDEX('CASE MASTER'!$R$2:$R$495,MATCH("Case CDI Plate 8: G7",'CASE MASTER'!$H$2:$H$495,0)),"")</f>
        <v/>
      </c>
      <c r="I93" s="9" t="str">
        <f>IFERROR(INDEX('CASE MASTER'!$R$2:$R$495,MATCH("Case CDI Plate 8: G8",'CASE MASTER'!$H$2:$H$495,0)),"")</f>
        <v/>
      </c>
      <c r="J93" s="9" t="str">
        <f>IFERROR(INDEX('CASE MASTER'!$R$2:$R$495,MATCH("Case CDI Plate 8: G9",'CASE MASTER'!$H$2:$H$495,0)),"")</f>
        <v/>
      </c>
      <c r="K93" s="9" t="str">
        <f>IFERROR(INDEX('CASE MASTER'!$R$2:$R$495,MATCH("Case CDI Plate 8: G10",'CASE MASTER'!$H$2:$H$495,0)),"")</f>
        <v/>
      </c>
      <c r="L93" s="9" t="str">
        <f>IFERROR(INDEX('CASE MASTER'!$R$2:$R$495,MATCH("Case CDI Plate 8: G11",'CASE MASTER'!$H$2:$H$495,0)),"")</f>
        <v/>
      </c>
      <c r="M93" s="9" t="str">
        <f>IFERROR(INDEX('CASE MASTER'!$R$2:$R$495,MATCH("Case CDI Plate 8: G12",'CASE MASTER'!$H$2:$H$495,0)),"")</f>
        <v/>
      </c>
    </row>
    <row r="94" spans="1:13" ht="15" customHeight="1" x14ac:dyDescent="0.35">
      <c r="A94" s="8" t="s">
        <v>35</v>
      </c>
      <c r="B94" s="9" t="str">
        <f>IFERROR(INDEX('CASE MASTER'!$R$2:$R$495,MATCH("Case CDI Plate 8: H1",'CASE MASTER'!$H$2:$H$495,0)),"")</f>
        <v/>
      </c>
      <c r="C94" s="9" t="str">
        <f>IFERROR(INDEX('CASE MASTER'!$R$2:$R$495,MATCH("Case CDI Plate 8: H2",'CASE MASTER'!$H$2:$H$495,0)),"")</f>
        <v/>
      </c>
      <c r="D94" s="9" t="str">
        <f>IFERROR(INDEX('CASE MASTER'!$R$2:$R$495,MATCH("Case CDI Plate 8: H3",'CASE MASTER'!$H$2:$H$495,0)),"")</f>
        <v/>
      </c>
      <c r="E94" s="9" t="str">
        <f>IFERROR(INDEX('CASE MASTER'!$R$2:$R$495,MATCH("Case CDI Plate 8: H4",'CASE MASTER'!$H$2:$H$495,0)),"")</f>
        <v/>
      </c>
      <c r="F94" s="9" t="str">
        <f>IFERROR(INDEX('CASE MASTER'!$R$2:$R$495,MATCH("Case CDI Plate 8: H5",'CASE MASTER'!$H$2:$H$495,0)),"")</f>
        <v/>
      </c>
      <c r="G94" s="9" t="str">
        <f>IFERROR(INDEX('CASE MASTER'!$R$2:$R$495,MATCH("Case CDI Plate 8: H6",'CASE MASTER'!$H$2:$H$495,0)),"")</f>
        <v/>
      </c>
      <c r="H94" s="9" t="str">
        <f>IFERROR(INDEX('CASE MASTER'!$R$2:$R$495,MATCH("Case CDI Plate 8: H7",'CASE MASTER'!$H$2:$H$495,0)),"")</f>
        <v/>
      </c>
      <c r="I94" s="9" t="str">
        <f>IFERROR(INDEX('CASE MASTER'!$R$2:$R$495,MATCH("Case CDI Plate 8: H8",'CASE MASTER'!$H$2:$H$495,0)),"")</f>
        <v/>
      </c>
      <c r="J94" s="9" t="str">
        <f>IFERROR(INDEX('CASE MASTER'!$R$2:$R$495,MATCH("Case CDI Plate 8: H9",'CASE MASTER'!$H$2:$H$495,0)),"")</f>
        <v/>
      </c>
      <c r="K94" s="9" t="str">
        <f>IFERROR(INDEX('CASE MASTER'!$R$2:$R$495,MATCH("Case CDI Plate 8: H10",'CASE MASTER'!$H$2:$H$495,0)),"")</f>
        <v/>
      </c>
      <c r="L94" s="9" t="str">
        <f>IFERROR(INDEX('CASE MASTER'!$R$2:$R$495,MATCH("Case CDI Plate 8: H11",'CASE MASTER'!$H$2:$H$495,0)),"")</f>
        <v/>
      </c>
      <c r="M94" s="9" t="str">
        <f>IFERROR(INDEX('CASE MASTER'!$R$2:$R$495,MATCH("Case CDI Plate 8: H12",'CASE MASTER'!$H$2:$H$495,0)),"")</f>
        <v/>
      </c>
    </row>
    <row r="97" spans="1:13" ht="15" customHeight="1" x14ac:dyDescent="0.35">
      <c r="A97" s="12" t="s">
        <v>43</v>
      </c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</row>
    <row r="98" spans="1:13" ht="15" customHeight="1" x14ac:dyDescent="0.35">
      <c r="B98" s="8">
        <v>1</v>
      </c>
      <c r="C98" s="8">
        <v>2</v>
      </c>
      <c r="D98" s="8">
        <v>3</v>
      </c>
      <c r="E98" s="8">
        <v>4</v>
      </c>
      <c r="F98" s="8">
        <v>5</v>
      </c>
      <c r="G98" s="8">
        <v>6</v>
      </c>
      <c r="H98" s="8">
        <v>7</v>
      </c>
      <c r="I98" s="8">
        <v>8</v>
      </c>
      <c r="J98" s="8">
        <v>9</v>
      </c>
      <c r="K98" s="8">
        <v>10</v>
      </c>
      <c r="L98" s="8">
        <v>11</v>
      </c>
      <c r="M98" s="8">
        <v>12</v>
      </c>
    </row>
    <row r="99" spans="1:13" ht="15" customHeight="1" x14ac:dyDescent="0.35">
      <c r="A99" s="8" t="s">
        <v>28</v>
      </c>
      <c r="B99" s="9" t="str">
        <f>IFERROR(INDEX('CASE MASTER'!$R$2:$R$495,MATCH("Case CDI Plate 9: A1",'CASE MASTER'!$H$2:$H$495,0)),"")</f>
        <v/>
      </c>
      <c r="C99" s="9" t="str">
        <f>IFERROR(INDEX('CASE MASTER'!$R$2:$R$495,MATCH("Case CDI Plate 9: A2",'CASE MASTER'!$H$2:$H$495,0)),"")</f>
        <v/>
      </c>
      <c r="D99" s="9" t="str">
        <f>IFERROR(INDEX('CASE MASTER'!$R$2:$R$495,MATCH("Case CDI Plate 9: A3",'CASE MASTER'!$H$2:$H$495,0)),"")</f>
        <v/>
      </c>
      <c r="E99" s="9" t="str">
        <f>IFERROR(INDEX('CASE MASTER'!$R$2:$R$495,MATCH("Case CDI Plate 9: A4",'CASE MASTER'!$H$2:$H$495,0)),"")</f>
        <v/>
      </c>
      <c r="F99" s="9" t="str">
        <f>IFERROR(INDEX('CASE MASTER'!$R$2:$R$495,MATCH("Case CDI Plate 9: A5",'CASE MASTER'!$H$2:$H$495,0)),"")</f>
        <v/>
      </c>
      <c r="G99" s="9" t="str">
        <f>IFERROR(INDEX('CASE MASTER'!$R$2:$R$495,MATCH("Case CDI Plate 9: A6",'CASE MASTER'!$H$2:$H$495,0)),"")</f>
        <v/>
      </c>
      <c r="H99" s="9" t="str">
        <f>IFERROR(INDEX('CASE MASTER'!$R$2:$R$495,MATCH("Case CDI Plate 9: A7",'CASE MASTER'!$H$2:$H$495,0)),"")</f>
        <v/>
      </c>
      <c r="I99" s="9" t="str">
        <f>IFERROR(INDEX('CASE MASTER'!$R$2:$R$495,MATCH("Case CDI Plate 9: A8",'CASE MASTER'!$H$2:$H$495,0)),"")</f>
        <v/>
      </c>
      <c r="J99" s="9" t="str">
        <f>IFERROR(INDEX('CASE MASTER'!$R$2:$R$495,MATCH("Case CDI Plate 9: A9",'CASE MASTER'!$H$2:$H$495,0)),"")</f>
        <v/>
      </c>
      <c r="K99" s="9" t="str">
        <f>IFERROR(INDEX('CASE MASTER'!$R$2:$R$495,MATCH("Case CDI Plate 9: A10",'CASE MASTER'!$H$2:$H$495,0)),"")</f>
        <v/>
      </c>
      <c r="L99" s="9" t="str">
        <f>IFERROR(INDEX('CASE MASTER'!$R$2:$R$495,MATCH("Case CDI Plate 9: A11",'CASE MASTER'!$H$2:$H$495,0)),"")</f>
        <v/>
      </c>
      <c r="M99" s="9" t="str">
        <f>IFERROR(INDEX('CASE MASTER'!$R$2:$R$495,MATCH("Case CDI Plate 9: A12",'CASE MASTER'!$H$2:$H$495,0)),"")</f>
        <v/>
      </c>
    </row>
    <row r="100" spans="1:13" ht="15" customHeight="1" x14ac:dyDescent="0.35">
      <c r="A100" s="8" t="s">
        <v>29</v>
      </c>
      <c r="B100" s="9" t="str">
        <f>IFERROR(INDEX('CASE MASTER'!$R$2:$R$495,MATCH("Case CDI Plate 9: B1",'CASE MASTER'!$H$2:$H$495,0)),"")</f>
        <v/>
      </c>
      <c r="C100" s="9" t="str">
        <f>IFERROR(INDEX('CASE MASTER'!$R$2:$R$495,MATCH("Case CDI Plate 9: B2",'CASE MASTER'!$H$2:$H$495,0)),"")</f>
        <v/>
      </c>
      <c r="D100" s="9" t="str">
        <f>IFERROR(INDEX('CASE MASTER'!$R$2:$R$495,MATCH("Case CDI Plate 9: B3",'CASE MASTER'!$H$2:$H$495,0)),"")</f>
        <v/>
      </c>
      <c r="E100" s="9" t="str">
        <f>IFERROR(INDEX('CASE MASTER'!$R$2:$R$495,MATCH("Case CDI Plate 9: B4",'CASE MASTER'!$H$2:$H$495,0)),"")</f>
        <v/>
      </c>
      <c r="F100" s="9" t="str">
        <f>IFERROR(INDEX('CASE MASTER'!$R$2:$R$495,MATCH("Case CDI Plate 9: B5",'CASE MASTER'!$H$2:$H$495,0)),"")</f>
        <v/>
      </c>
      <c r="G100" s="9" t="str">
        <f>IFERROR(INDEX('CASE MASTER'!$R$2:$R$495,MATCH("Case CDI Plate 9: B6",'CASE MASTER'!$H$2:$H$495,0)),"")</f>
        <v/>
      </c>
      <c r="H100" s="9" t="str">
        <f>IFERROR(INDEX('CASE MASTER'!$R$2:$R$495,MATCH("Case CDI Plate 9: B7",'CASE MASTER'!$H$2:$H$495,0)),"")</f>
        <v/>
      </c>
      <c r="I100" s="9" t="str">
        <f>IFERROR(INDEX('CASE MASTER'!$R$2:$R$495,MATCH("Case CDI Plate 9: B8",'CASE MASTER'!$H$2:$H$495,0)),"")</f>
        <v/>
      </c>
      <c r="J100" s="9" t="str">
        <f>IFERROR(INDEX('CASE MASTER'!$R$2:$R$495,MATCH("Case CDI Plate 9: B9",'CASE MASTER'!$H$2:$H$495,0)),"")</f>
        <v/>
      </c>
      <c r="K100" s="9" t="str">
        <f>IFERROR(INDEX('CASE MASTER'!$R$2:$R$495,MATCH("Case CDI Plate 9: B10",'CASE MASTER'!$H$2:$H$495,0)),"")</f>
        <v/>
      </c>
      <c r="L100" s="9" t="str">
        <f>IFERROR(INDEX('CASE MASTER'!$R$2:$R$495,MATCH("Case CDI Plate 9: B11",'CASE MASTER'!$H$2:$H$495,0)),"")</f>
        <v/>
      </c>
      <c r="M100" s="9" t="str">
        <f>IFERROR(INDEX('CASE MASTER'!$R$2:$R$495,MATCH("Case CDI Plate 9: B12",'CASE MASTER'!$H$2:$H$495,0)),"")</f>
        <v/>
      </c>
    </row>
    <row r="101" spans="1:13" ht="15" customHeight="1" x14ac:dyDescent="0.35">
      <c r="A101" s="8" t="s">
        <v>30</v>
      </c>
      <c r="B101" s="9" t="str">
        <f>IFERROR(INDEX('CASE MASTER'!$R$2:$R$495,MATCH("Case CDI Plate 9: C1",'CASE MASTER'!$H$2:$H$495,0)),"")</f>
        <v/>
      </c>
      <c r="C101" s="9" t="str">
        <f>IFERROR(INDEX('CASE MASTER'!$R$2:$R$495,MATCH("Case CDI Plate 9: C2",'CASE MASTER'!$H$2:$H$495,0)),"")</f>
        <v/>
      </c>
      <c r="D101" s="9" t="str">
        <f>IFERROR(INDEX('CASE MASTER'!$R$2:$R$495,MATCH("Case CDI Plate 9: C3",'CASE MASTER'!$H$2:$H$495,0)),"")</f>
        <v/>
      </c>
      <c r="E101" s="9" t="str">
        <f>IFERROR(INDEX('CASE MASTER'!$R$2:$R$495,MATCH("Case CDI Plate 9: C4",'CASE MASTER'!$H$2:$H$495,0)),"")</f>
        <v/>
      </c>
      <c r="F101" s="9" t="str">
        <f>IFERROR(INDEX('CASE MASTER'!$R$2:$R$495,MATCH("Case CDI Plate 9: C5",'CASE MASTER'!$H$2:$H$495,0)),"")</f>
        <v/>
      </c>
      <c r="G101" s="9" t="str">
        <f>IFERROR(INDEX('CASE MASTER'!$R$2:$R$495,MATCH("Case CDI Plate 9: C6",'CASE MASTER'!$H$2:$H$495,0)),"")</f>
        <v/>
      </c>
      <c r="H101" s="9" t="str">
        <f>IFERROR(INDEX('CASE MASTER'!$R$2:$R$495,MATCH("Case CDI Plate 9: C7",'CASE MASTER'!$H$2:$H$495,0)),"")</f>
        <v/>
      </c>
      <c r="I101" s="9" t="str">
        <f>IFERROR(INDEX('CASE MASTER'!$R$2:$R$495,MATCH("Case CDI Plate 9: C8",'CASE MASTER'!$H$2:$H$495,0)),"")</f>
        <v/>
      </c>
      <c r="J101" s="9" t="str">
        <f>IFERROR(INDEX('CASE MASTER'!$R$2:$R$495,MATCH("Case CDI Plate 9: C9",'CASE MASTER'!$H$2:$H$495,0)),"")</f>
        <v/>
      </c>
      <c r="K101" s="9" t="str">
        <f>IFERROR(INDEX('CASE MASTER'!$R$2:$R$495,MATCH("Case CDI Plate 9: C10",'CASE MASTER'!$H$2:$H$495,0)),"")</f>
        <v/>
      </c>
      <c r="L101" s="9" t="str">
        <f>IFERROR(INDEX('CASE MASTER'!$R$2:$R$495,MATCH("Case CDI Plate 9: C11",'CASE MASTER'!$H$2:$H$495,0)),"")</f>
        <v/>
      </c>
      <c r="M101" s="9" t="str">
        <f>IFERROR(INDEX('CASE MASTER'!$R$2:$R$495,MATCH("Case CDI Plate 9: C12",'CASE MASTER'!$H$2:$H$495,0)),"")</f>
        <v/>
      </c>
    </row>
    <row r="102" spans="1:13" ht="15" customHeight="1" x14ac:dyDescent="0.35">
      <c r="A102" s="8" t="s">
        <v>31</v>
      </c>
      <c r="B102" s="9" t="str">
        <f>IFERROR(INDEX('CASE MASTER'!$R$2:$R$495,MATCH("Case CDI Plate 9: D1",'CASE MASTER'!$H$2:$H$495,0)),"")</f>
        <v/>
      </c>
      <c r="C102" s="9" t="str">
        <f>IFERROR(INDEX('CASE MASTER'!$R$2:$R$495,MATCH("Case CDI Plate 9: D2",'CASE MASTER'!$H$2:$H$495,0)),"")</f>
        <v/>
      </c>
      <c r="D102" s="9" t="str">
        <f>IFERROR(INDEX('CASE MASTER'!$R$2:$R$495,MATCH("Case CDI Plate 9: D3",'CASE MASTER'!$H$2:$H$495,0)),"")</f>
        <v/>
      </c>
      <c r="E102" s="9" t="str">
        <f>IFERROR(INDEX('CASE MASTER'!$R$2:$R$495,MATCH("Case CDI Plate 9: D4",'CASE MASTER'!$H$2:$H$495,0)),"")</f>
        <v/>
      </c>
      <c r="F102" s="9" t="str">
        <f>IFERROR(INDEX('CASE MASTER'!$R$2:$R$495,MATCH("Case CDI Plate 9: D5",'CASE MASTER'!$H$2:$H$495,0)),"")</f>
        <v/>
      </c>
      <c r="G102" s="9" t="str">
        <f>IFERROR(INDEX('CASE MASTER'!$R$2:$R$495,MATCH("Case CDI Plate 9: D6",'CASE MASTER'!$H$2:$H$495,0)),"")</f>
        <v/>
      </c>
      <c r="H102" s="9" t="str">
        <f>IFERROR(INDEX('CASE MASTER'!$R$2:$R$495,MATCH("Case CDI Plate 9: D7",'CASE MASTER'!$H$2:$H$495,0)),"")</f>
        <v/>
      </c>
      <c r="I102" s="9" t="str">
        <f>IFERROR(INDEX('CASE MASTER'!$R$2:$R$495,MATCH("Case CDI Plate 9: D8",'CASE MASTER'!$H$2:$H$495,0)),"")</f>
        <v/>
      </c>
      <c r="J102" s="9" t="str">
        <f>IFERROR(INDEX('CASE MASTER'!$R$2:$R$495,MATCH("Case CDI Plate 9: D9",'CASE MASTER'!$H$2:$H$495,0)),"")</f>
        <v/>
      </c>
      <c r="K102" s="9" t="str">
        <f>IFERROR(INDEX('CASE MASTER'!$R$2:$R$495,MATCH("Case CDI Plate 9: D10",'CASE MASTER'!$H$2:$H$495,0)),"")</f>
        <v/>
      </c>
      <c r="L102" s="9" t="str">
        <f>IFERROR(INDEX('CASE MASTER'!$R$2:$R$495,MATCH("Case CDI Plate 9: D11",'CASE MASTER'!$H$2:$H$495,0)),"")</f>
        <v/>
      </c>
      <c r="M102" s="9" t="str">
        <f>IFERROR(INDEX('CASE MASTER'!$R$2:$R$495,MATCH("Case CDI Plate 9: D12",'CASE MASTER'!$H$2:$H$495,0)),"")</f>
        <v/>
      </c>
    </row>
    <row r="103" spans="1:13" ht="15" customHeight="1" x14ac:dyDescent="0.35">
      <c r="A103" s="8" t="s">
        <v>32</v>
      </c>
      <c r="B103" s="9" t="str">
        <f>IFERROR(INDEX('CASE MASTER'!$R$2:$R$495,MATCH("Case CDI Plate 9: E1",'CASE MASTER'!$H$2:$H$495,0)),"")</f>
        <v/>
      </c>
      <c r="C103" s="9" t="str">
        <f>IFERROR(INDEX('CASE MASTER'!$R$2:$R$495,MATCH("Case CDI Plate 9: E2",'CASE MASTER'!$H$2:$H$495,0)),"")</f>
        <v/>
      </c>
      <c r="D103" s="9" t="str">
        <f>IFERROR(INDEX('CASE MASTER'!$R$2:$R$495,MATCH("Case CDI Plate 9: E3",'CASE MASTER'!$H$2:$H$495,0)),"")</f>
        <v/>
      </c>
      <c r="E103" s="9" t="str">
        <f>IFERROR(INDEX('CASE MASTER'!$R$2:$R$495,MATCH("Case CDI Plate 9: E4",'CASE MASTER'!$H$2:$H$495,0)),"")</f>
        <v/>
      </c>
      <c r="F103" s="9" t="str">
        <f>IFERROR(INDEX('CASE MASTER'!$R$2:$R$495,MATCH("Case CDI Plate 9: E5",'CASE MASTER'!$H$2:$H$495,0)),"")</f>
        <v/>
      </c>
      <c r="G103" s="9" t="str">
        <f>IFERROR(INDEX('CASE MASTER'!$R$2:$R$495,MATCH("Case CDI Plate 9: E6",'CASE MASTER'!$H$2:$H$495,0)),"")</f>
        <v/>
      </c>
      <c r="H103" s="9" t="str">
        <f>IFERROR(INDEX('CASE MASTER'!$R$2:$R$495,MATCH("Case CDI Plate 9: E7",'CASE MASTER'!$H$2:$H$495,0)),"")</f>
        <v/>
      </c>
      <c r="I103" s="9" t="str">
        <f>IFERROR(INDEX('CASE MASTER'!$R$2:$R$495,MATCH("Case CDI Plate 9: E8",'CASE MASTER'!$H$2:$H$495,0)),"")</f>
        <v/>
      </c>
      <c r="J103" s="9" t="str">
        <f>IFERROR(INDEX('CASE MASTER'!$R$2:$R$495,MATCH("Case CDI Plate 9: E9",'CASE MASTER'!$H$2:$H$495,0)),"")</f>
        <v/>
      </c>
      <c r="K103" s="9" t="str">
        <f>IFERROR(INDEX('CASE MASTER'!$R$2:$R$495,MATCH("Case CDI Plate 9: E10",'CASE MASTER'!$H$2:$H$495,0)),"")</f>
        <v/>
      </c>
      <c r="L103" s="9" t="str">
        <f>IFERROR(INDEX('CASE MASTER'!$R$2:$R$495,MATCH("Case CDI Plate 9: E11",'CASE MASTER'!$H$2:$H$495,0)),"")</f>
        <v/>
      </c>
      <c r="M103" s="9" t="str">
        <f>IFERROR(INDEX('CASE MASTER'!$R$2:$R$495,MATCH("Case CDI Plate 9: E12",'CASE MASTER'!$H$2:$H$495,0)),"")</f>
        <v/>
      </c>
    </row>
    <row r="104" spans="1:13" ht="15" customHeight="1" x14ac:dyDescent="0.35">
      <c r="A104" s="8" t="s">
        <v>33</v>
      </c>
      <c r="B104" s="9" t="str">
        <f>IFERROR(INDEX('CASE MASTER'!$R$2:$R$495,MATCH("Case CDI Plate 9: F1",'CASE MASTER'!$H$2:$H$495,0)),"")</f>
        <v/>
      </c>
      <c r="C104" s="9" t="str">
        <f>IFERROR(INDEX('CASE MASTER'!$R$2:$R$495,MATCH("Case CDI Plate 9: F2",'CASE MASTER'!$H$2:$H$495,0)),"")</f>
        <v/>
      </c>
      <c r="D104" s="9" t="str">
        <f>IFERROR(INDEX('CASE MASTER'!$R$2:$R$495,MATCH("Case CDI Plate 9: F3",'CASE MASTER'!$H$2:$H$495,0)),"")</f>
        <v/>
      </c>
      <c r="E104" s="9" t="str">
        <f>IFERROR(INDEX('CASE MASTER'!$R$2:$R$495,MATCH("Case CDI Plate 9: F4",'CASE MASTER'!$H$2:$H$495,0)),"")</f>
        <v/>
      </c>
      <c r="F104" s="9" t="str">
        <f>IFERROR(INDEX('CASE MASTER'!$R$2:$R$495,MATCH("Case CDI Plate 9: F5",'CASE MASTER'!$H$2:$H$495,0)),"")</f>
        <v/>
      </c>
      <c r="G104" s="9" t="str">
        <f>IFERROR(INDEX('CASE MASTER'!$R$2:$R$495,MATCH("Case CDI Plate 9: F6",'CASE MASTER'!$H$2:$H$495,0)),"")</f>
        <v/>
      </c>
      <c r="H104" s="9" t="str">
        <f>IFERROR(INDEX('CASE MASTER'!$R$2:$R$495,MATCH("Case CDI Plate 9: F7",'CASE MASTER'!$H$2:$H$495,0)),"")</f>
        <v/>
      </c>
      <c r="I104" s="9" t="str">
        <f>IFERROR(INDEX('CASE MASTER'!$R$2:$R$495,MATCH("Case CDI Plate 9: F8",'CASE MASTER'!$H$2:$H$495,0)),"")</f>
        <v/>
      </c>
      <c r="J104" s="9" t="str">
        <f>IFERROR(INDEX('CASE MASTER'!$R$2:$R$495,MATCH("Case CDI Plate 9: F9",'CASE MASTER'!$H$2:$H$495,0)),"")</f>
        <v/>
      </c>
      <c r="K104" s="9" t="str">
        <f>IFERROR(INDEX('CASE MASTER'!$R$2:$R$495,MATCH("Case CDI Plate 9: F10",'CASE MASTER'!$H$2:$H$495,0)),"")</f>
        <v/>
      </c>
      <c r="L104" s="9" t="str">
        <f>IFERROR(INDEX('CASE MASTER'!$R$2:$R$495,MATCH("Case CDI Plate 9: F11",'CASE MASTER'!$H$2:$H$495,0)),"")</f>
        <v/>
      </c>
      <c r="M104" s="9" t="str">
        <f>IFERROR(INDEX('CASE MASTER'!$R$2:$R$495,MATCH("Case CDI Plate 9: F12",'CASE MASTER'!$H$2:$H$495,0)),"")</f>
        <v/>
      </c>
    </row>
    <row r="105" spans="1:13" ht="15" customHeight="1" x14ac:dyDescent="0.35">
      <c r="A105" s="8" t="s">
        <v>34</v>
      </c>
      <c r="B105" s="9" t="str">
        <f>IFERROR(INDEX('CASE MASTER'!$R$2:$R$495,MATCH("Case CDI Plate 9: G1",'CASE MASTER'!$H$2:$H$495,0)),"")</f>
        <v/>
      </c>
      <c r="C105" s="9" t="str">
        <f>IFERROR(INDEX('CASE MASTER'!$R$2:$R$495,MATCH("Case CDI Plate 9: G2",'CASE MASTER'!$H$2:$H$495,0)),"")</f>
        <v/>
      </c>
      <c r="D105" s="9" t="str">
        <f>IFERROR(INDEX('CASE MASTER'!$R$2:$R$495,MATCH("Case CDI Plate 9: G3",'CASE MASTER'!$H$2:$H$495,0)),"")</f>
        <v/>
      </c>
      <c r="E105" s="9" t="str">
        <f>IFERROR(INDEX('CASE MASTER'!$R$2:$R$495,MATCH("Case CDI Plate 9: G4",'CASE MASTER'!$H$2:$H$495,0)),"")</f>
        <v/>
      </c>
      <c r="F105" s="9" t="str">
        <f>IFERROR(INDEX('CASE MASTER'!$R$2:$R$495,MATCH("Case CDI Plate 9: G5",'CASE MASTER'!$H$2:$H$495,0)),"")</f>
        <v/>
      </c>
      <c r="G105" s="9" t="str">
        <f>IFERROR(INDEX('CASE MASTER'!$R$2:$R$495,MATCH("Case CDI Plate 9: G6",'CASE MASTER'!$H$2:$H$495,0)),"")</f>
        <v/>
      </c>
      <c r="H105" s="9" t="str">
        <f>IFERROR(INDEX('CASE MASTER'!$R$2:$R$495,MATCH("Case CDI Plate 9: G7",'CASE MASTER'!$H$2:$H$495,0)),"")</f>
        <v/>
      </c>
      <c r="I105" s="9" t="str">
        <f>IFERROR(INDEX('CASE MASTER'!$R$2:$R$495,MATCH("Case CDI Plate 9: G8",'CASE MASTER'!$H$2:$H$495,0)),"")</f>
        <v/>
      </c>
      <c r="J105" s="9" t="str">
        <f>IFERROR(INDEX('CASE MASTER'!$R$2:$R$495,MATCH("Case CDI Plate 9: G9",'CASE MASTER'!$H$2:$H$495,0)),"")</f>
        <v/>
      </c>
      <c r="K105" s="9" t="str">
        <f>IFERROR(INDEX('CASE MASTER'!$R$2:$R$495,MATCH("Case CDI Plate 9: G10",'CASE MASTER'!$H$2:$H$495,0)),"")</f>
        <v/>
      </c>
      <c r="L105" s="9" t="str">
        <f>IFERROR(INDEX('CASE MASTER'!$R$2:$R$495,MATCH("Case CDI Plate 9: G11",'CASE MASTER'!$H$2:$H$495,0)),"")</f>
        <v/>
      </c>
      <c r="M105" s="9" t="str">
        <f>IFERROR(INDEX('CASE MASTER'!$R$2:$R$495,MATCH("Case CDI Plate 9: G12",'CASE MASTER'!$H$2:$H$495,0)),"")</f>
        <v/>
      </c>
    </row>
    <row r="106" spans="1:13" ht="15" customHeight="1" x14ac:dyDescent="0.35">
      <c r="A106" s="8" t="s">
        <v>35</v>
      </c>
      <c r="B106" s="9" t="str">
        <f>IFERROR(INDEX('CASE MASTER'!$R$2:$R$495,MATCH("Case CDI Plate 9: H1",'CASE MASTER'!$H$2:$H$495,0)),"")</f>
        <v/>
      </c>
      <c r="C106" s="9" t="str">
        <f>IFERROR(INDEX('CASE MASTER'!$R$2:$R$495,MATCH("Case CDI Plate 9: H2",'CASE MASTER'!$H$2:$H$495,0)),"")</f>
        <v/>
      </c>
      <c r="D106" s="9" t="str">
        <f>IFERROR(INDEX('CASE MASTER'!$R$2:$R$495,MATCH("Case CDI Plate 9: H3",'CASE MASTER'!$H$2:$H$495,0)),"")</f>
        <v/>
      </c>
      <c r="E106" s="9" t="str">
        <f>IFERROR(INDEX('CASE MASTER'!$R$2:$R$495,MATCH("Case CDI Plate 9: H4",'CASE MASTER'!$H$2:$H$495,0)),"")</f>
        <v/>
      </c>
      <c r="F106" s="9" t="str">
        <f>IFERROR(INDEX('CASE MASTER'!$R$2:$R$495,MATCH("Case CDI Plate 9: H5",'CASE MASTER'!$H$2:$H$495,0)),"")</f>
        <v/>
      </c>
      <c r="G106" s="9" t="str">
        <f>IFERROR(INDEX('CASE MASTER'!$R$2:$R$495,MATCH("Case CDI Plate 9: H6",'CASE MASTER'!$H$2:$H$495,0)),"")</f>
        <v/>
      </c>
      <c r="H106" s="9" t="str">
        <f>IFERROR(INDEX('CASE MASTER'!$R$2:$R$495,MATCH("Case CDI Plate 9: H7",'CASE MASTER'!$H$2:$H$495,0)),"")</f>
        <v/>
      </c>
      <c r="I106" s="9" t="str">
        <f>IFERROR(INDEX('CASE MASTER'!$R$2:$R$495,MATCH("Case CDI Plate 9: H8",'CASE MASTER'!$H$2:$H$495,0)),"")</f>
        <v/>
      </c>
      <c r="J106" s="9" t="str">
        <f>IFERROR(INDEX('CASE MASTER'!$R$2:$R$495,MATCH("Case CDI Plate 9: H9",'CASE MASTER'!$H$2:$H$495,0)),"")</f>
        <v/>
      </c>
      <c r="K106" s="9" t="str">
        <f>IFERROR(INDEX('CASE MASTER'!$R$2:$R$495,MATCH("Case CDI Plate 9: H10",'CASE MASTER'!$H$2:$H$495,0)),"")</f>
        <v/>
      </c>
      <c r="L106" s="9" t="str">
        <f>IFERROR(INDEX('CASE MASTER'!$R$2:$R$495,MATCH("Case CDI Plate 9: H11",'CASE MASTER'!$H$2:$H$495,0)),"")</f>
        <v/>
      </c>
      <c r="M106" s="9" t="str">
        <f>IFERROR(INDEX('CASE MASTER'!$R$2:$R$495,MATCH("Case CDI Plate 9: H12",'CASE MASTER'!$H$2:$H$495,0)),"")</f>
        <v/>
      </c>
    </row>
    <row r="109" spans="1:13" ht="15" customHeight="1" x14ac:dyDescent="0.35">
      <c r="A109" s="12" t="s">
        <v>44</v>
      </c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</row>
    <row r="110" spans="1:13" ht="15" customHeight="1" x14ac:dyDescent="0.35">
      <c r="B110" s="8">
        <v>1</v>
      </c>
      <c r="C110" s="8">
        <v>2</v>
      </c>
      <c r="D110" s="8">
        <v>3</v>
      </c>
      <c r="E110" s="8">
        <v>4</v>
      </c>
      <c r="F110" s="8">
        <v>5</v>
      </c>
      <c r="G110" s="8">
        <v>6</v>
      </c>
      <c r="H110" s="8">
        <v>7</v>
      </c>
      <c r="I110" s="8">
        <v>8</v>
      </c>
      <c r="J110" s="8">
        <v>9</v>
      </c>
      <c r="K110" s="8">
        <v>10</v>
      </c>
      <c r="L110" s="8">
        <v>11</v>
      </c>
      <c r="M110" s="8">
        <v>12</v>
      </c>
    </row>
    <row r="111" spans="1:13" ht="15" customHeight="1" x14ac:dyDescent="0.35">
      <c r="A111" s="8" t="s">
        <v>28</v>
      </c>
      <c r="B111" s="9" t="str">
        <f>IFERROR(INDEX('CASE MASTER'!$R$2:$R$495,MATCH("Case CDI Plate 10: A1",'CASE MASTER'!$H$2:$H$495,0)),"")</f>
        <v/>
      </c>
      <c r="C111" s="9" t="str">
        <f>IFERROR(INDEX('CASE MASTER'!$R$2:$R$495,MATCH("Case CDI Plate 10: A2",'CASE MASTER'!$H$2:$H$495,0)),"")</f>
        <v/>
      </c>
      <c r="D111" s="9" t="str">
        <f>IFERROR(INDEX('CASE MASTER'!$R$2:$R$495,MATCH("Case CDI Plate 10: A3",'CASE MASTER'!$H$2:$H$495,0)),"")</f>
        <v/>
      </c>
      <c r="E111" s="9" t="str">
        <f>IFERROR(INDEX('CASE MASTER'!$R$2:$R$495,MATCH("Case CDI Plate 10: A4",'CASE MASTER'!$H$2:$H$495,0)),"")</f>
        <v/>
      </c>
      <c r="F111" s="9" t="str">
        <f>IFERROR(INDEX('CASE MASTER'!$R$2:$R$495,MATCH("Case CDI Plate 10: A5",'CASE MASTER'!$H$2:$H$495,0)),"")</f>
        <v/>
      </c>
      <c r="G111" s="9" t="str">
        <f>IFERROR(INDEX('CASE MASTER'!$R$2:$R$495,MATCH("Case CDI Plate 10: A6",'CASE MASTER'!$H$2:$H$495,0)),"")</f>
        <v/>
      </c>
      <c r="H111" s="9" t="str">
        <f>IFERROR(INDEX('CASE MASTER'!$R$2:$R$495,MATCH("Case CDI Plate 10: A7",'CASE MASTER'!$H$2:$H$495,0)),"")</f>
        <v/>
      </c>
      <c r="I111" s="9" t="str">
        <f>IFERROR(INDEX('CASE MASTER'!$R$2:$R$495,MATCH("Case CDI Plate 10: A8",'CASE MASTER'!$H$2:$H$495,0)),"")</f>
        <v/>
      </c>
      <c r="J111" s="9" t="str">
        <f>IFERROR(INDEX('CASE MASTER'!$R$2:$R$495,MATCH("Case CDI Plate 10: A9",'CASE MASTER'!$H$2:$H$495,0)),"")</f>
        <v/>
      </c>
      <c r="K111" s="9" t="str">
        <f>IFERROR(INDEX('CASE MASTER'!$R$2:$R$495,MATCH("Case CDI Plate 10: A10",'CASE MASTER'!$H$2:$H$495,0)),"")</f>
        <v/>
      </c>
      <c r="L111" s="9" t="str">
        <f>IFERROR(INDEX('CASE MASTER'!$R$2:$R$495,MATCH("Case CDI Plate 10: A11",'CASE MASTER'!$H$2:$H$495,0)),"")</f>
        <v/>
      </c>
      <c r="M111" s="9" t="str">
        <f>IFERROR(INDEX('CASE MASTER'!$R$2:$R$495,MATCH("Case CDI Plate 10: A12",'CASE MASTER'!$H$2:$H$495,0)),"")</f>
        <v/>
      </c>
    </row>
    <row r="112" spans="1:13" ht="15" customHeight="1" x14ac:dyDescent="0.35">
      <c r="A112" s="8" t="s">
        <v>29</v>
      </c>
      <c r="B112" s="9" t="str">
        <f>IFERROR(INDEX('CASE MASTER'!$R$2:$R$495,MATCH("Case CDI Plate 10: B1",'CASE MASTER'!$H$2:$H$495,0)),"")</f>
        <v/>
      </c>
      <c r="C112" s="9" t="str">
        <f>IFERROR(INDEX('CASE MASTER'!$R$2:$R$495,MATCH("Case CDI Plate 10: B2",'CASE MASTER'!$H$2:$H$495,0)),"")</f>
        <v/>
      </c>
      <c r="D112" s="9" t="str">
        <f>IFERROR(INDEX('CASE MASTER'!$R$2:$R$495,MATCH("Case CDI Plate 10: B3",'CASE MASTER'!$H$2:$H$495,0)),"")</f>
        <v/>
      </c>
      <c r="E112" s="9" t="str">
        <f>IFERROR(INDEX('CASE MASTER'!$R$2:$R$495,MATCH("Case CDI Plate 10: B4",'CASE MASTER'!$H$2:$H$495,0)),"")</f>
        <v/>
      </c>
      <c r="F112" s="9" t="str">
        <f>IFERROR(INDEX('CASE MASTER'!$R$2:$R$495,MATCH("Case CDI Plate 10: B5",'CASE MASTER'!$H$2:$H$495,0)),"")</f>
        <v/>
      </c>
      <c r="G112" s="9" t="str">
        <f>IFERROR(INDEX('CASE MASTER'!$R$2:$R$495,MATCH("Case CDI Plate 10: B6",'CASE MASTER'!$H$2:$H$495,0)),"")</f>
        <v/>
      </c>
      <c r="H112" s="9" t="str">
        <f>IFERROR(INDEX('CASE MASTER'!$R$2:$R$495,MATCH("Case CDI Plate 10: B7",'CASE MASTER'!$H$2:$H$495,0)),"")</f>
        <v/>
      </c>
      <c r="I112" s="9" t="str">
        <f>IFERROR(INDEX('CASE MASTER'!$R$2:$R$495,MATCH("Case CDI Plate 10: B8",'CASE MASTER'!$H$2:$H$495,0)),"")</f>
        <v/>
      </c>
      <c r="J112" s="9" t="str">
        <f>IFERROR(INDEX('CASE MASTER'!$R$2:$R$495,MATCH("Case CDI Plate 10: B9",'CASE MASTER'!$H$2:$H$495,0)),"")</f>
        <v/>
      </c>
      <c r="K112" s="9" t="str">
        <f>IFERROR(INDEX('CASE MASTER'!$R$2:$R$495,MATCH("Case CDI Plate 10: B10",'CASE MASTER'!$H$2:$H$495,0)),"")</f>
        <v/>
      </c>
      <c r="L112" s="9" t="str">
        <f>IFERROR(INDEX('CASE MASTER'!$R$2:$R$495,MATCH("Case CDI Plate 10: B11",'CASE MASTER'!$H$2:$H$495,0)),"")</f>
        <v/>
      </c>
      <c r="M112" s="9" t="str">
        <f>IFERROR(INDEX('CASE MASTER'!$R$2:$R$495,MATCH("Case CDI Plate 10: B12",'CASE MASTER'!$H$2:$H$495,0)),"")</f>
        <v/>
      </c>
    </row>
    <row r="113" spans="1:13" ht="15" customHeight="1" x14ac:dyDescent="0.35">
      <c r="A113" s="8" t="s">
        <v>30</v>
      </c>
      <c r="B113" s="9" t="str">
        <f>IFERROR(INDEX('CASE MASTER'!$R$2:$R$495,MATCH("Case CDI Plate 10: C1",'CASE MASTER'!$H$2:$H$495,0)),"")</f>
        <v/>
      </c>
      <c r="C113" s="9" t="str">
        <f>IFERROR(INDEX('CASE MASTER'!$R$2:$R$495,MATCH("Case CDI Plate 10: C2",'CASE MASTER'!$H$2:$H$495,0)),"")</f>
        <v/>
      </c>
      <c r="D113" s="9" t="str">
        <f>IFERROR(INDEX('CASE MASTER'!$R$2:$R$495,MATCH("Case CDI Plate 10: C3",'CASE MASTER'!$H$2:$H$495,0)),"")</f>
        <v/>
      </c>
      <c r="E113" s="9" t="str">
        <f>IFERROR(INDEX('CASE MASTER'!$R$2:$R$495,MATCH("Case CDI Plate 10: C4",'CASE MASTER'!$H$2:$H$495,0)),"")</f>
        <v/>
      </c>
      <c r="F113" s="9" t="str">
        <f>IFERROR(INDEX('CASE MASTER'!$R$2:$R$495,MATCH("Case CDI Plate 10: C5",'CASE MASTER'!$H$2:$H$495,0)),"")</f>
        <v/>
      </c>
      <c r="G113" s="9" t="str">
        <f>IFERROR(INDEX('CASE MASTER'!$R$2:$R$495,MATCH("Case CDI Plate 10: C6",'CASE MASTER'!$H$2:$H$495,0)),"")</f>
        <v/>
      </c>
      <c r="H113" s="9" t="str">
        <f>IFERROR(INDEX('CASE MASTER'!$R$2:$R$495,MATCH("Case CDI Plate 10: C7",'CASE MASTER'!$H$2:$H$495,0)),"")</f>
        <v/>
      </c>
      <c r="I113" s="9" t="str">
        <f>IFERROR(INDEX('CASE MASTER'!$R$2:$R$495,MATCH("Case CDI Plate 10: C8",'CASE MASTER'!$H$2:$H$495,0)),"")</f>
        <v/>
      </c>
      <c r="J113" s="9" t="str">
        <f>IFERROR(INDEX('CASE MASTER'!$R$2:$R$495,MATCH("Case CDI Plate 10: C9",'CASE MASTER'!$H$2:$H$495,0)),"")</f>
        <v/>
      </c>
      <c r="K113" s="9" t="str">
        <f>IFERROR(INDEX('CASE MASTER'!$R$2:$R$495,MATCH("Case CDI Plate 10: C10",'CASE MASTER'!$H$2:$H$495,0)),"")</f>
        <v/>
      </c>
      <c r="L113" s="9" t="str">
        <f>IFERROR(INDEX('CASE MASTER'!$R$2:$R$495,MATCH("Case CDI Plate 10: C11",'CASE MASTER'!$H$2:$H$495,0)),"")</f>
        <v/>
      </c>
      <c r="M113" s="9" t="str">
        <f>IFERROR(INDEX('CASE MASTER'!$R$2:$R$495,MATCH("Case CDI Plate 10: C12",'CASE MASTER'!$H$2:$H$495,0)),"")</f>
        <v/>
      </c>
    </row>
    <row r="114" spans="1:13" ht="15" customHeight="1" x14ac:dyDescent="0.35">
      <c r="A114" s="8" t="s">
        <v>31</v>
      </c>
      <c r="B114" s="9" t="str">
        <f>IFERROR(INDEX('CASE MASTER'!$R$2:$R$495,MATCH("Case CDI Plate 10: D1",'CASE MASTER'!$H$2:$H$495,0)),"")</f>
        <v/>
      </c>
      <c r="C114" s="9" t="str">
        <f>IFERROR(INDEX('CASE MASTER'!$R$2:$R$495,MATCH("Case CDI Plate 10: D2",'CASE MASTER'!$H$2:$H$495,0)),"")</f>
        <v/>
      </c>
      <c r="D114" s="9" t="str">
        <f>IFERROR(INDEX('CASE MASTER'!$R$2:$R$495,MATCH("Case CDI Plate 10: D3",'CASE MASTER'!$H$2:$H$495,0)),"")</f>
        <v/>
      </c>
      <c r="E114" s="9" t="str">
        <f>IFERROR(INDEX('CASE MASTER'!$R$2:$R$495,MATCH("Case CDI Plate 10: D4",'CASE MASTER'!$H$2:$H$495,0)),"")</f>
        <v/>
      </c>
      <c r="F114" s="9" t="str">
        <f>IFERROR(INDEX('CASE MASTER'!$R$2:$R$495,MATCH("Case CDI Plate 10: D5",'CASE MASTER'!$H$2:$H$495,0)),"")</f>
        <v/>
      </c>
      <c r="G114" s="9" t="str">
        <f>IFERROR(INDEX('CASE MASTER'!$R$2:$R$495,MATCH("Case CDI Plate 10: D6",'CASE MASTER'!$H$2:$H$495,0)),"")</f>
        <v/>
      </c>
      <c r="H114" s="9" t="str">
        <f>IFERROR(INDEX('CASE MASTER'!$R$2:$R$495,MATCH("Case CDI Plate 10: D7",'CASE MASTER'!$H$2:$H$495,0)),"")</f>
        <v/>
      </c>
      <c r="I114" s="9" t="str">
        <f>IFERROR(INDEX('CASE MASTER'!$R$2:$R$495,MATCH("Case CDI Plate 10: D8",'CASE MASTER'!$H$2:$H$495,0)),"")</f>
        <v/>
      </c>
      <c r="J114" s="9" t="str">
        <f>IFERROR(INDEX('CASE MASTER'!$R$2:$R$495,MATCH("Case CDI Plate 10: D9",'CASE MASTER'!$H$2:$H$495,0)),"")</f>
        <v/>
      </c>
      <c r="K114" s="9" t="str">
        <f>IFERROR(INDEX('CASE MASTER'!$R$2:$R$495,MATCH("Case CDI Plate 10: D10",'CASE MASTER'!$H$2:$H$495,0)),"")</f>
        <v/>
      </c>
      <c r="L114" s="9" t="str">
        <f>IFERROR(INDEX('CASE MASTER'!$R$2:$R$495,MATCH("Case CDI Plate 10: D11",'CASE MASTER'!$H$2:$H$495,0)),"")</f>
        <v/>
      </c>
      <c r="M114" s="9" t="str">
        <f>IFERROR(INDEX('CASE MASTER'!$R$2:$R$495,MATCH("Case CDI Plate 10: D12",'CASE MASTER'!$H$2:$H$495,0)),"")</f>
        <v/>
      </c>
    </row>
    <row r="115" spans="1:13" ht="15" customHeight="1" x14ac:dyDescent="0.35">
      <c r="A115" s="8" t="s">
        <v>32</v>
      </c>
      <c r="B115" s="9" t="str">
        <f>IFERROR(INDEX('CASE MASTER'!$R$2:$R$495,MATCH("Case CDI Plate 10: E1",'CASE MASTER'!$H$2:$H$495,0)),"")</f>
        <v/>
      </c>
      <c r="C115" s="9" t="str">
        <f>IFERROR(INDEX('CASE MASTER'!$R$2:$R$495,MATCH("Case CDI Plate 10: E2",'CASE MASTER'!$H$2:$H$495,0)),"")</f>
        <v/>
      </c>
      <c r="D115" s="9" t="str">
        <f>IFERROR(INDEX('CASE MASTER'!$R$2:$R$495,MATCH("Case CDI Plate 10: E3",'CASE MASTER'!$H$2:$H$495,0)),"")</f>
        <v/>
      </c>
      <c r="E115" s="9" t="str">
        <f>IFERROR(INDEX('CASE MASTER'!$R$2:$R$495,MATCH("Case CDI Plate 10: E4",'CASE MASTER'!$H$2:$H$495,0)),"")</f>
        <v/>
      </c>
      <c r="F115" s="9" t="str">
        <f>IFERROR(INDEX('CASE MASTER'!$R$2:$R$495,MATCH("Case CDI Plate 10: E5",'CASE MASTER'!$H$2:$H$495,0)),"")</f>
        <v/>
      </c>
      <c r="G115" s="9" t="str">
        <f>IFERROR(INDEX('CASE MASTER'!$R$2:$R$495,MATCH("Case CDI Plate 10: E6",'CASE MASTER'!$H$2:$H$495,0)),"")</f>
        <v/>
      </c>
      <c r="H115" s="9" t="str">
        <f>IFERROR(INDEX('CASE MASTER'!$R$2:$R$495,MATCH("Case CDI Plate 10: E7",'CASE MASTER'!$H$2:$H$495,0)),"")</f>
        <v/>
      </c>
      <c r="I115" s="9" t="str">
        <f>IFERROR(INDEX('CASE MASTER'!$R$2:$R$495,MATCH("Case CDI Plate 10: E8",'CASE MASTER'!$H$2:$H$495,0)),"")</f>
        <v/>
      </c>
      <c r="J115" s="9" t="str">
        <f>IFERROR(INDEX('CASE MASTER'!$R$2:$R$495,MATCH("Case CDI Plate 10: E9",'CASE MASTER'!$H$2:$H$495,0)),"")</f>
        <v/>
      </c>
      <c r="K115" s="9" t="str">
        <f>IFERROR(INDEX('CASE MASTER'!$R$2:$R$495,MATCH("Case CDI Plate 10: E10",'CASE MASTER'!$H$2:$H$495,0)),"")</f>
        <v/>
      </c>
      <c r="L115" s="9" t="str">
        <f>IFERROR(INDEX('CASE MASTER'!$R$2:$R$495,MATCH("Case CDI Plate 10: E11",'CASE MASTER'!$H$2:$H$495,0)),"")</f>
        <v/>
      </c>
      <c r="M115" s="9" t="str">
        <f>IFERROR(INDEX('CASE MASTER'!$R$2:$R$495,MATCH("Case CDI Plate 10: E12",'CASE MASTER'!$H$2:$H$495,0)),"")</f>
        <v/>
      </c>
    </row>
    <row r="116" spans="1:13" ht="15" customHeight="1" x14ac:dyDescent="0.35">
      <c r="A116" s="8" t="s">
        <v>33</v>
      </c>
      <c r="B116" s="9" t="str">
        <f>IFERROR(INDEX('CASE MASTER'!$R$2:$R$495,MATCH("Case CDI Plate 10: F1",'CASE MASTER'!$H$2:$H$495,0)),"")</f>
        <v/>
      </c>
      <c r="C116" s="9" t="str">
        <f>IFERROR(INDEX('CASE MASTER'!$R$2:$R$495,MATCH("Case CDI Plate 10: F2",'CASE MASTER'!$H$2:$H$495,0)),"")</f>
        <v/>
      </c>
      <c r="D116" s="9" t="str">
        <f>IFERROR(INDEX('CASE MASTER'!$R$2:$R$495,MATCH("Case CDI Plate 10: F3",'CASE MASTER'!$H$2:$H$495,0)),"")</f>
        <v/>
      </c>
      <c r="E116" s="9" t="str">
        <f>IFERROR(INDEX('CASE MASTER'!$R$2:$R$495,MATCH("Case CDI Plate 10: F4",'CASE MASTER'!$H$2:$H$495,0)),"")</f>
        <v/>
      </c>
      <c r="F116" s="9" t="str">
        <f>IFERROR(INDEX('CASE MASTER'!$R$2:$R$495,MATCH("Case CDI Plate 10: F5",'CASE MASTER'!$H$2:$H$495,0)),"")</f>
        <v/>
      </c>
      <c r="G116" s="9" t="str">
        <f>IFERROR(INDEX('CASE MASTER'!$R$2:$R$495,MATCH("Case CDI Plate 10: F6",'CASE MASTER'!$H$2:$H$495,0)),"")</f>
        <v/>
      </c>
      <c r="H116" s="9" t="str">
        <f>IFERROR(INDEX('CASE MASTER'!$R$2:$R$495,MATCH("Case CDI Plate 10: F7",'CASE MASTER'!$H$2:$H$495,0)),"")</f>
        <v/>
      </c>
      <c r="I116" s="9" t="str">
        <f>IFERROR(INDEX('CASE MASTER'!$R$2:$R$495,MATCH("Case CDI Plate 10: F8",'CASE MASTER'!$H$2:$H$495,0)),"")</f>
        <v/>
      </c>
      <c r="J116" s="9" t="str">
        <f>IFERROR(INDEX('CASE MASTER'!$R$2:$R$495,MATCH("Case CDI Plate 10: F9",'CASE MASTER'!$H$2:$H$495,0)),"")</f>
        <v/>
      </c>
      <c r="K116" s="9" t="str">
        <f>IFERROR(INDEX('CASE MASTER'!$R$2:$R$495,MATCH("Case CDI Plate 10: F10",'CASE MASTER'!$H$2:$H$495,0)),"")</f>
        <v/>
      </c>
      <c r="L116" s="9" t="str">
        <f>IFERROR(INDEX('CASE MASTER'!$R$2:$R$495,MATCH("Case CDI Plate 10: F11",'CASE MASTER'!$H$2:$H$495,0)),"")</f>
        <v/>
      </c>
      <c r="M116" s="9" t="str">
        <f>IFERROR(INDEX('CASE MASTER'!$R$2:$R$495,MATCH("Case CDI Plate 10: F12",'CASE MASTER'!$H$2:$H$495,0)),"")</f>
        <v/>
      </c>
    </row>
    <row r="117" spans="1:13" ht="15" customHeight="1" x14ac:dyDescent="0.35">
      <c r="A117" s="8" t="s">
        <v>34</v>
      </c>
      <c r="B117" s="9" t="str">
        <f>IFERROR(INDEX('CASE MASTER'!$R$2:$R$495,MATCH("Case CDI Plate 10: G1",'CASE MASTER'!$H$2:$H$495,0)),"")</f>
        <v/>
      </c>
      <c r="C117" s="9" t="str">
        <f>IFERROR(INDEX('CASE MASTER'!$R$2:$R$495,MATCH("Case CDI Plate 10: G2",'CASE MASTER'!$H$2:$H$495,0)),"")</f>
        <v/>
      </c>
      <c r="D117" s="9" t="str">
        <f>IFERROR(INDEX('CASE MASTER'!$R$2:$R$495,MATCH("Case CDI Plate 10: G3",'CASE MASTER'!$H$2:$H$495,0)),"")</f>
        <v/>
      </c>
      <c r="E117" s="9" t="str">
        <f>IFERROR(INDEX('CASE MASTER'!$R$2:$R$495,MATCH("Case CDI Plate 10: G4",'CASE MASTER'!$H$2:$H$495,0)),"")</f>
        <v/>
      </c>
      <c r="F117" s="9" t="str">
        <f>IFERROR(INDEX('CASE MASTER'!$R$2:$R$495,MATCH("Case CDI Plate 10: G5",'CASE MASTER'!$H$2:$H$495,0)),"")</f>
        <v/>
      </c>
      <c r="G117" s="9" t="str">
        <f>IFERROR(INDEX('CASE MASTER'!$R$2:$R$495,MATCH("Case CDI Plate 10: G6",'CASE MASTER'!$H$2:$H$495,0)),"")</f>
        <v/>
      </c>
      <c r="H117" s="9" t="str">
        <f>IFERROR(INDEX('CASE MASTER'!$R$2:$R$495,MATCH("Case CDI Plate 10: G7",'CASE MASTER'!$H$2:$H$495,0)),"")</f>
        <v/>
      </c>
      <c r="I117" s="9" t="str">
        <f>IFERROR(INDEX('CASE MASTER'!$R$2:$R$495,MATCH("Case CDI Plate 10: G8",'CASE MASTER'!$H$2:$H$495,0)),"")</f>
        <v/>
      </c>
      <c r="J117" s="9" t="str">
        <f>IFERROR(INDEX('CASE MASTER'!$R$2:$R$495,MATCH("Case CDI Plate 10: G9",'CASE MASTER'!$H$2:$H$495,0)),"")</f>
        <v/>
      </c>
      <c r="K117" s="9" t="str">
        <f>IFERROR(INDEX('CASE MASTER'!$R$2:$R$495,MATCH("Case CDI Plate 10: G10",'CASE MASTER'!$H$2:$H$495,0)),"")</f>
        <v/>
      </c>
      <c r="L117" s="9" t="str">
        <f>IFERROR(INDEX('CASE MASTER'!$R$2:$R$495,MATCH("Case CDI Plate 10: G11",'CASE MASTER'!$H$2:$H$495,0)),"")</f>
        <v/>
      </c>
      <c r="M117" s="9" t="str">
        <f>IFERROR(INDEX('CASE MASTER'!$R$2:$R$495,MATCH("Case CDI Plate 10: G12",'CASE MASTER'!$H$2:$H$495,0)),"")</f>
        <v/>
      </c>
    </row>
    <row r="118" spans="1:13" ht="15" customHeight="1" x14ac:dyDescent="0.35">
      <c r="A118" s="8" t="s">
        <v>35</v>
      </c>
      <c r="B118" s="9" t="str">
        <f>IFERROR(INDEX('CASE MASTER'!$R$2:$R$495,MATCH("Case CDI Plate 10: H1",'CASE MASTER'!$H$2:$H$495,0)),"")</f>
        <v/>
      </c>
      <c r="C118" s="9" t="str">
        <f>IFERROR(INDEX('CASE MASTER'!$R$2:$R$495,MATCH("Case CDI Plate 10: H2",'CASE MASTER'!$H$2:$H$495,0)),"")</f>
        <v/>
      </c>
      <c r="D118" s="9" t="str">
        <f>IFERROR(INDEX('CASE MASTER'!$R$2:$R$495,MATCH("Case CDI Plate 10: H3",'CASE MASTER'!$H$2:$H$495,0)),"")</f>
        <v/>
      </c>
      <c r="E118" s="9" t="str">
        <f>IFERROR(INDEX('CASE MASTER'!$R$2:$R$495,MATCH("Case CDI Plate 10: H4",'CASE MASTER'!$H$2:$H$495,0)),"")</f>
        <v/>
      </c>
      <c r="F118" s="9" t="str">
        <f>IFERROR(INDEX('CASE MASTER'!$R$2:$R$495,MATCH("Case CDI Plate 10: H5",'CASE MASTER'!$H$2:$H$495,0)),"")</f>
        <v/>
      </c>
      <c r="G118" s="9" t="str">
        <f>IFERROR(INDEX('CASE MASTER'!$R$2:$R$495,MATCH("Case CDI Plate 10: H6",'CASE MASTER'!$H$2:$H$495,0)),"")</f>
        <v/>
      </c>
      <c r="H118" s="9" t="str">
        <f>IFERROR(INDEX('CASE MASTER'!$R$2:$R$495,MATCH("Case CDI Plate 10: H7",'CASE MASTER'!$H$2:$H$495,0)),"")</f>
        <v/>
      </c>
      <c r="I118" s="9" t="str">
        <f>IFERROR(INDEX('CASE MASTER'!$R$2:$R$495,MATCH("Case CDI Plate 10: H8",'CASE MASTER'!$H$2:$H$495,0)),"")</f>
        <v/>
      </c>
      <c r="J118" s="9" t="str">
        <f>IFERROR(INDEX('CASE MASTER'!$R$2:$R$495,MATCH("Case CDI Plate 10: H9",'CASE MASTER'!$H$2:$H$495,0)),"")</f>
        <v/>
      </c>
      <c r="K118" s="9" t="str">
        <f>IFERROR(INDEX('CASE MASTER'!$R$2:$R$495,MATCH("Case CDI Plate 10: H10",'CASE MASTER'!$H$2:$H$495,0)),"")</f>
        <v/>
      </c>
      <c r="L118" s="9" t="str">
        <f>IFERROR(INDEX('CASE MASTER'!$R$2:$R$495,MATCH("Case CDI Plate 10: H11",'CASE MASTER'!$H$2:$H$495,0)),"")</f>
        <v/>
      </c>
      <c r="M118" s="9" t="str">
        <f>IFERROR(INDEX('CASE MASTER'!$R$2:$R$495,MATCH("Case CDI Plate 10: H12",'CASE MASTER'!$H$2:$H$495,0)),"")</f>
        <v/>
      </c>
    </row>
    <row r="121" spans="1:13" ht="15" customHeight="1" x14ac:dyDescent="0.35">
      <c r="A121" s="12" t="s">
        <v>45</v>
      </c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</row>
    <row r="122" spans="1:13" ht="15" customHeight="1" x14ac:dyDescent="0.35">
      <c r="B122" s="8">
        <v>1</v>
      </c>
      <c r="C122" s="8">
        <v>2</v>
      </c>
      <c r="D122" s="8">
        <v>3</v>
      </c>
      <c r="E122" s="8">
        <v>4</v>
      </c>
      <c r="F122" s="8">
        <v>5</v>
      </c>
      <c r="G122" s="8">
        <v>6</v>
      </c>
      <c r="H122" s="8">
        <v>7</v>
      </c>
      <c r="I122" s="8">
        <v>8</v>
      </c>
      <c r="J122" s="8">
        <v>9</v>
      </c>
      <c r="K122" s="8">
        <v>10</v>
      </c>
      <c r="L122" s="8">
        <v>11</v>
      </c>
      <c r="M122" s="8">
        <v>12</v>
      </c>
    </row>
    <row r="123" spans="1:13" ht="15" customHeight="1" x14ac:dyDescent="0.35">
      <c r="A123" s="8" t="s">
        <v>28</v>
      </c>
      <c r="B123" s="9" t="str">
        <f>IFERROR(INDEX('CASE MASTER'!$R$2:$R$495,MATCH("Case CDI Plate 11: A1",'CASE MASTER'!$H$2:$H$495,0)),"")</f>
        <v/>
      </c>
      <c r="C123" s="9" t="str">
        <f>IFERROR(INDEX('CASE MASTER'!$R$2:$R$495,MATCH("Case CDI Plate 11: A2",'CASE MASTER'!$H$2:$H$495,0)),"")</f>
        <v/>
      </c>
      <c r="D123" s="9" t="str">
        <f>IFERROR(INDEX('CASE MASTER'!$R$2:$R$495,MATCH("Case CDI Plate 11: A3",'CASE MASTER'!$H$2:$H$495,0)),"")</f>
        <v/>
      </c>
      <c r="E123" s="9" t="str">
        <f>IFERROR(INDEX('CASE MASTER'!$R$2:$R$495,MATCH("Case CDI Plate 11: A4",'CASE MASTER'!$H$2:$H$495,0)),"")</f>
        <v/>
      </c>
      <c r="F123" s="9" t="str">
        <f>IFERROR(INDEX('CASE MASTER'!$R$2:$R$495,MATCH("Case CDI Plate 11: A5",'CASE MASTER'!$H$2:$H$495,0)),"")</f>
        <v/>
      </c>
      <c r="G123" s="9" t="str">
        <f>IFERROR(INDEX('CASE MASTER'!$R$2:$R$495,MATCH("Case CDI Plate 11: A6",'CASE MASTER'!$H$2:$H$495,0)),"")</f>
        <v/>
      </c>
      <c r="H123" s="9" t="str">
        <f>IFERROR(INDEX('CASE MASTER'!$R$2:$R$495,MATCH("Case CDI Plate 11: A7",'CASE MASTER'!$H$2:$H$495,0)),"")</f>
        <v/>
      </c>
      <c r="I123" s="9" t="str">
        <f>IFERROR(INDEX('CASE MASTER'!$R$2:$R$495,MATCH("Case CDI Plate 11: A8",'CASE MASTER'!$H$2:$H$495,0)),"")</f>
        <v/>
      </c>
      <c r="J123" s="9" t="str">
        <f>IFERROR(INDEX('CASE MASTER'!$R$2:$R$495,MATCH("Case CDI Plate 11: A9",'CASE MASTER'!$H$2:$H$495,0)),"")</f>
        <v/>
      </c>
      <c r="K123" s="9" t="str">
        <f>IFERROR(INDEX('CASE MASTER'!$R$2:$R$495,MATCH("Case CDI Plate 11: A10",'CASE MASTER'!$H$2:$H$495,0)),"")</f>
        <v/>
      </c>
      <c r="L123" s="9" t="str">
        <f>IFERROR(INDEX('CASE MASTER'!$R$2:$R$495,MATCH("Case CDI Plate 11: A11",'CASE MASTER'!$H$2:$H$495,0)),"")</f>
        <v/>
      </c>
      <c r="M123" s="9" t="str">
        <f>IFERROR(INDEX('CASE MASTER'!$R$2:$R$495,MATCH("Case CDI Plate 11: A12",'CASE MASTER'!$H$2:$H$495,0)),"")</f>
        <v/>
      </c>
    </row>
    <row r="124" spans="1:13" ht="15" customHeight="1" x14ac:dyDescent="0.35">
      <c r="A124" s="8" t="s">
        <v>29</v>
      </c>
      <c r="B124" s="9" t="str">
        <f>IFERROR(INDEX('CASE MASTER'!$R$2:$R$495,MATCH("Case CDI Plate 11: B1",'CASE MASTER'!$H$2:$H$495,0)),"")</f>
        <v/>
      </c>
      <c r="C124" s="9" t="str">
        <f>IFERROR(INDEX('CASE MASTER'!$R$2:$R$495,MATCH("Case CDI Plate 11: B2",'CASE MASTER'!$H$2:$H$495,0)),"")</f>
        <v/>
      </c>
      <c r="D124" s="9" t="str">
        <f>IFERROR(INDEX('CASE MASTER'!$R$2:$R$495,MATCH("Case CDI Plate 11: B3",'CASE MASTER'!$H$2:$H$495,0)),"")</f>
        <v/>
      </c>
      <c r="E124" s="9" t="str">
        <f>IFERROR(INDEX('CASE MASTER'!$R$2:$R$495,MATCH("Case CDI Plate 11: B4",'CASE MASTER'!$H$2:$H$495,0)),"")</f>
        <v/>
      </c>
      <c r="F124" s="9" t="str">
        <f>IFERROR(INDEX('CASE MASTER'!$R$2:$R$495,MATCH("Case CDI Plate 11: B5",'CASE MASTER'!$H$2:$H$495,0)),"")</f>
        <v/>
      </c>
      <c r="G124" s="9" t="str">
        <f>IFERROR(INDEX('CASE MASTER'!$R$2:$R$495,MATCH("Case CDI Plate 11: B6",'CASE MASTER'!$H$2:$H$495,0)),"")</f>
        <v/>
      </c>
      <c r="H124" s="9" t="str">
        <f>IFERROR(INDEX('CASE MASTER'!$R$2:$R$495,MATCH("Case CDI Plate 11: B7",'CASE MASTER'!$H$2:$H$495,0)),"")</f>
        <v/>
      </c>
      <c r="I124" s="9" t="str">
        <f>IFERROR(INDEX('CASE MASTER'!$R$2:$R$495,MATCH("Case CDI Plate 11: B8",'CASE MASTER'!$H$2:$H$495,0)),"")</f>
        <v/>
      </c>
      <c r="J124" s="9" t="str">
        <f>IFERROR(INDEX('CASE MASTER'!$R$2:$R$495,MATCH("Case CDI Plate 11: B9",'CASE MASTER'!$H$2:$H$495,0)),"")</f>
        <v/>
      </c>
      <c r="K124" s="9" t="str">
        <f>IFERROR(INDEX('CASE MASTER'!$R$2:$R$495,MATCH("Case CDI Plate 11: B10",'CASE MASTER'!$H$2:$H$495,0)),"")</f>
        <v/>
      </c>
      <c r="L124" s="9" t="str">
        <f>IFERROR(INDEX('CASE MASTER'!$R$2:$R$495,MATCH("Case CDI Plate 11: B11",'CASE MASTER'!$H$2:$H$495,0)),"")</f>
        <v/>
      </c>
      <c r="M124" s="9" t="str">
        <f>IFERROR(INDEX('CASE MASTER'!$R$2:$R$495,MATCH("Case CDI Plate 11: B12",'CASE MASTER'!$H$2:$H$495,0)),"")</f>
        <v/>
      </c>
    </row>
    <row r="125" spans="1:13" ht="15" customHeight="1" x14ac:dyDescent="0.35">
      <c r="A125" s="8" t="s">
        <v>30</v>
      </c>
      <c r="B125" s="9" t="str">
        <f>IFERROR(INDEX('CASE MASTER'!$R$2:$R$495,MATCH("Case CDI Plate 11: C1",'CASE MASTER'!$H$2:$H$495,0)),"")</f>
        <v/>
      </c>
      <c r="C125" s="9" t="str">
        <f>IFERROR(INDEX('CASE MASTER'!$R$2:$R$495,MATCH("Case CDI Plate 11: C2",'CASE MASTER'!$H$2:$H$495,0)),"")</f>
        <v/>
      </c>
      <c r="D125" s="9" t="str">
        <f>IFERROR(INDEX('CASE MASTER'!$R$2:$R$495,MATCH("Case CDI Plate 11: C3",'CASE MASTER'!$H$2:$H$495,0)),"")</f>
        <v/>
      </c>
      <c r="E125" s="9" t="str">
        <f>IFERROR(INDEX('CASE MASTER'!$R$2:$R$495,MATCH("Case CDI Plate 11: C4",'CASE MASTER'!$H$2:$H$495,0)),"")</f>
        <v/>
      </c>
      <c r="F125" s="9" t="str">
        <f>IFERROR(INDEX('CASE MASTER'!$R$2:$R$495,MATCH("Case CDI Plate 11: C5",'CASE MASTER'!$H$2:$H$495,0)),"")</f>
        <v/>
      </c>
      <c r="G125" s="9" t="str">
        <f>IFERROR(INDEX('CASE MASTER'!$R$2:$R$495,MATCH("Case CDI Plate 11: C6",'CASE MASTER'!$H$2:$H$495,0)),"")</f>
        <v/>
      </c>
      <c r="H125" s="9" t="str">
        <f>IFERROR(INDEX('CASE MASTER'!$R$2:$R$495,MATCH("Case CDI Plate 11: C7",'CASE MASTER'!$H$2:$H$495,0)),"")</f>
        <v/>
      </c>
      <c r="I125" s="9" t="str">
        <f>IFERROR(INDEX('CASE MASTER'!$R$2:$R$495,MATCH("Case CDI Plate 11: C8",'CASE MASTER'!$H$2:$H$495,0)),"")</f>
        <v/>
      </c>
      <c r="J125" s="9" t="str">
        <f>IFERROR(INDEX('CASE MASTER'!$R$2:$R$495,MATCH("Case CDI Plate 11: C9",'CASE MASTER'!$H$2:$H$495,0)),"")</f>
        <v/>
      </c>
      <c r="K125" s="9" t="str">
        <f>IFERROR(INDEX('CASE MASTER'!$R$2:$R$495,MATCH("Case CDI Plate 11: C10",'CASE MASTER'!$H$2:$H$495,0)),"")</f>
        <v/>
      </c>
      <c r="L125" s="9" t="str">
        <f>IFERROR(INDEX('CASE MASTER'!$R$2:$R$495,MATCH("Case CDI Plate 11: C11",'CASE MASTER'!$H$2:$H$495,0)),"")</f>
        <v/>
      </c>
      <c r="M125" s="9" t="str">
        <f>IFERROR(INDEX('CASE MASTER'!$R$2:$R$495,MATCH("Case CDI Plate 11: C12",'CASE MASTER'!$H$2:$H$495,0)),"")</f>
        <v/>
      </c>
    </row>
    <row r="126" spans="1:13" ht="15" customHeight="1" x14ac:dyDescent="0.35">
      <c r="A126" s="8" t="s">
        <v>31</v>
      </c>
      <c r="B126" s="9" t="str">
        <f>IFERROR(INDEX('CASE MASTER'!$R$2:$R$495,MATCH("Case CDI Plate 11: D1",'CASE MASTER'!$H$2:$H$495,0)),"")</f>
        <v/>
      </c>
      <c r="C126" s="9" t="str">
        <f>IFERROR(INDEX('CASE MASTER'!$R$2:$R$495,MATCH("Case CDI Plate 11: D2",'CASE MASTER'!$H$2:$H$495,0)),"")</f>
        <v/>
      </c>
      <c r="D126" s="9" t="str">
        <f>IFERROR(INDEX('CASE MASTER'!$R$2:$R$495,MATCH("Case CDI Plate 11: D3",'CASE MASTER'!$H$2:$H$495,0)),"")</f>
        <v/>
      </c>
      <c r="E126" s="9" t="str">
        <f>IFERROR(INDEX('CASE MASTER'!$R$2:$R$495,MATCH("Case CDI Plate 11: D4",'CASE MASTER'!$H$2:$H$495,0)),"")</f>
        <v/>
      </c>
      <c r="F126" s="9" t="str">
        <f>IFERROR(INDEX('CASE MASTER'!$R$2:$R$495,MATCH("Case CDI Plate 11: D5",'CASE MASTER'!$H$2:$H$495,0)),"")</f>
        <v/>
      </c>
      <c r="G126" s="9" t="str">
        <f>IFERROR(INDEX('CASE MASTER'!$R$2:$R$495,MATCH("Case CDI Plate 11: D6",'CASE MASTER'!$H$2:$H$495,0)),"")</f>
        <v/>
      </c>
      <c r="H126" s="9" t="str">
        <f>IFERROR(INDEX('CASE MASTER'!$R$2:$R$495,MATCH("Case CDI Plate 11: D7",'CASE MASTER'!$H$2:$H$495,0)),"")</f>
        <v/>
      </c>
      <c r="I126" s="9" t="str">
        <f>IFERROR(INDEX('CASE MASTER'!$R$2:$R$495,MATCH("Case CDI Plate 11: D8",'CASE MASTER'!$H$2:$H$495,0)),"")</f>
        <v/>
      </c>
      <c r="J126" s="9" t="str">
        <f>IFERROR(INDEX('CASE MASTER'!$R$2:$R$495,MATCH("Case CDI Plate 11: D9",'CASE MASTER'!$H$2:$H$495,0)),"")</f>
        <v/>
      </c>
      <c r="K126" s="9" t="str">
        <f>IFERROR(INDEX('CASE MASTER'!$R$2:$R$495,MATCH("Case CDI Plate 11: D10",'CASE MASTER'!$H$2:$H$495,0)),"")</f>
        <v/>
      </c>
      <c r="L126" s="9" t="str">
        <f>IFERROR(INDEX('CASE MASTER'!$R$2:$R$495,MATCH("Case CDI Plate 11: D11",'CASE MASTER'!$H$2:$H$495,0)),"")</f>
        <v/>
      </c>
      <c r="M126" s="9" t="str">
        <f>IFERROR(INDEX('CASE MASTER'!$R$2:$R$495,MATCH("Case CDI Plate 11: D12",'CASE MASTER'!$H$2:$H$495,0)),"")</f>
        <v/>
      </c>
    </row>
    <row r="127" spans="1:13" ht="15" customHeight="1" x14ac:dyDescent="0.35">
      <c r="A127" s="8" t="s">
        <v>32</v>
      </c>
      <c r="B127" s="9" t="str">
        <f>IFERROR(INDEX('CASE MASTER'!$R$2:$R$495,MATCH("Case CDI Plate 11: E1",'CASE MASTER'!$H$2:$H$495,0)),"")</f>
        <v/>
      </c>
      <c r="C127" s="9" t="str">
        <f>IFERROR(INDEX('CASE MASTER'!$R$2:$R$495,MATCH("Case CDI Plate 11: E2",'CASE MASTER'!$H$2:$H$495,0)),"")</f>
        <v/>
      </c>
      <c r="D127" s="9" t="str">
        <f>IFERROR(INDEX('CASE MASTER'!$R$2:$R$495,MATCH("Case CDI Plate 11: E3",'CASE MASTER'!$H$2:$H$495,0)),"")</f>
        <v/>
      </c>
      <c r="E127" s="9" t="str">
        <f>IFERROR(INDEX('CASE MASTER'!$R$2:$R$495,MATCH("Case CDI Plate 11: E4",'CASE MASTER'!$H$2:$H$495,0)),"")</f>
        <v/>
      </c>
      <c r="F127" s="9" t="str">
        <f>IFERROR(INDEX('CASE MASTER'!$R$2:$R$495,MATCH("Case CDI Plate 11: E5",'CASE MASTER'!$H$2:$H$495,0)),"")</f>
        <v/>
      </c>
      <c r="G127" s="9" t="str">
        <f>IFERROR(INDEX('CASE MASTER'!$R$2:$R$495,MATCH("Case CDI Plate 11: E6",'CASE MASTER'!$H$2:$H$495,0)),"")</f>
        <v/>
      </c>
      <c r="H127" s="9" t="str">
        <f>IFERROR(INDEX('CASE MASTER'!$R$2:$R$495,MATCH("Case CDI Plate 11: E7",'CASE MASTER'!$H$2:$H$495,0)),"")</f>
        <v/>
      </c>
      <c r="I127" s="9" t="str">
        <f>IFERROR(INDEX('CASE MASTER'!$R$2:$R$495,MATCH("Case CDI Plate 11: E8",'CASE MASTER'!$H$2:$H$495,0)),"")</f>
        <v/>
      </c>
      <c r="J127" s="9" t="str">
        <f>IFERROR(INDEX('CASE MASTER'!$R$2:$R$495,MATCH("Case CDI Plate 11: E9",'CASE MASTER'!$H$2:$H$495,0)),"")</f>
        <v/>
      </c>
      <c r="K127" s="9" t="str">
        <f>IFERROR(INDEX('CASE MASTER'!$R$2:$R$495,MATCH("Case CDI Plate 11: E10",'CASE MASTER'!$H$2:$H$495,0)),"")</f>
        <v/>
      </c>
      <c r="L127" s="9" t="str">
        <f>IFERROR(INDEX('CASE MASTER'!$R$2:$R$495,MATCH("Case CDI Plate 11: E11",'CASE MASTER'!$H$2:$H$495,0)),"")</f>
        <v/>
      </c>
      <c r="M127" s="9" t="str">
        <f>IFERROR(INDEX('CASE MASTER'!$R$2:$R$495,MATCH("Case CDI Plate 11: E12",'CASE MASTER'!$H$2:$H$495,0)),"")</f>
        <v/>
      </c>
    </row>
    <row r="128" spans="1:13" ht="15" customHeight="1" x14ac:dyDescent="0.35">
      <c r="A128" s="8" t="s">
        <v>33</v>
      </c>
      <c r="B128" s="9" t="str">
        <f>IFERROR(INDEX('CASE MASTER'!$R$2:$R$495,MATCH("Case CDI Plate 11: F1",'CASE MASTER'!$H$2:$H$495,0)),"")</f>
        <v/>
      </c>
      <c r="C128" s="9" t="str">
        <f>IFERROR(INDEX('CASE MASTER'!$R$2:$R$495,MATCH("Case CDI Plate 11: F2",'CASE MASTER'!$H$2:$H$495,0)),"")</f>
        <v/>
      </c>
      <c r="D128" s="9" t="str">
        <f>IFERROR(INDEX('CASE MASTER'!$R$2:$R$495,MATCH("Case CDI Plate 11: F3",'CASE MASTER'!$H$2:$H$495,0)),"")</f>
        <v/>
      </c>
      <c r="E128" s="9" t="str">
        <f>IFERROR(INDEX('CASE MASTER'!$R$2:$R$495,MATCH("Case CDI Plate 11: F4",'CASE MASTER'!$H$2:$H$495,0)),"")</f>
        <v/>
      </c>
      <c r="F128" s="9" t="str">
        <f>IFERROR(INDEX('CASE MASTER'!$R$2:$R$495,MATCH("Case CDI Plate 11: F5",'CASE MASTER'!$H$2:$H$495,0)),"")</f>
        <v/>
      </c>
      <c r="G128" s="9" t="str">
        <f>IFERROR(INDEX('CASE MASTER'!$R$2:$R$495,MATCH("Case CDI Plate 11: F6",'CASE MASTER'!$H$2:$H$495,0)),"")</f>
        <v/>
      </c>
      <c r="H128" s="9" t="str">
        <f>IFERROR(INDEX('CASE MASTER'!$R$2:$R$495,MATCH("Case CDI Plate 11: F7",'CASE MASTER'!$H$2:$H$495,0)),"")</f>
        <v/>
      </c>
      <c r="I128" s="9" t="str">
        <f>IFERROR(INDEX('CASE MASTER'!$R$2:$R$495,MATCH("Case CDI Plate 11: F8",'CASE MASTER'!$H$2:$H$495,0)),"")</f>
        <v/>
      </c>
      <c r="J128" s="9" t="str">
        <f>IFERROR(INDEX('CASE MASTER'!$R$2:$R$495,MATCH("Case CDI Plate 11: F9",'CASE MASTER'!$H$2:$H$495,0)),"")</f>
        <v/>
      </c>
      <c r="K128" s="9" t="str">
        <f>IFERROR(INDEX('CASE MASTER'!$R$2:$R$495,MATCH("Case CDI Plate 11: F10",'CASE MASTER'!$H$2:$H$495,0)),"")</f>
        <v/>
      </c>
      <c r="L128" s="9" t="str">
        <f>IFERROR(INDEX('CASE MASTER'!$R$2:$R$495,MATCH("Case CDI Plate 11: F11",'CASE MASTER'!$H$2:$H$495,0)),"")</f>
        <v/>
      </c>
      <c r="M128" s="9" t="str">
        <f>IFERROR(INDEX('CASE MASTER'!$R$2:$R$495,MATCH("Case CDI Plate 11: F12",'CASE MASTER'!$H$2:$H$495,0)),"")</f>
        <v/>
      </c>
    </row>
    <row r="129" spans="1:13" ht="15" customHeight="1" x14ac:dyDescent="0.35">
      <c r="A129" s="8" t="s">
        <v>34</v>
      </c>
      <c r="B129" s="9" t="str">
        <f>IFERROR(INDEX('CASE MASTER'!$R$2:$R$495,MATCH("Case CDI Plate 11: G1",'CASE MASTER'!$H$2:$H$495,0)),"")</f>
        <v/>
      </c>
      <c r="C129" s="9" t="str">
        <f>IFERROR(INDEX('CASE MASTER'!$R$2:$R$495,MATCH("Case CDI Plate 11: G2",'CASE MASTER'!$H$2:$H$495,0)),"")</f>
        <v/>
      </c>
      <c r="D129" s="9" t="str">
        <f>IFERROR(INDEX('CASE MASTER'!$R$2:$R$495,MATCH("Case CDI Plate 11: G3",'CASE MASTER'!$H$2:$H$495,0)),"")</f>
        <v/>
      </c>
      <c r="E129" s="9" t="str">
        <f>IFERROR(INDEX('CASE MASTER'!$R$2:$R$495,MATCH("Case CDI Plate 11: G4",'CASE MASTER'!$H$2:$H$495,0)),"")</f>
        <v/>
      </c>
      <c r="F129" s="9" t="str">
        <f>IFERROR(INDEX('CASE MASTER'!$R$2:$R$495,MATCH("Case CDI Plate 11: G5",'CASE MASTER'!$H$2:$H$495,0)),"")</f>
        <v/>
      </c>
      <c r="G129" s="9" t="str">
        <f>IFERROR(INDEX('CASE MASTER'!$R$2:$R$495,MATCH("Case CDI Plate 11: G6",'CASE MASTER'!$H$2:$H$495,0)),"")</f>
        <v/>
      </c>
      <c r="H129" s="9" t="str">
        <f>IFERROR(INDEX('CASE MASTER'!$R$2:$R$495,MATCH("Case CDI Plate 11: G7",'CASE MASTER'!$H$2:$H$495,0)),"")</f>
        <v/>
      </c>
      <c r="I129" s="9" t="str">
        <f>IFERROR(INDEX('CASE MASTER'!$R$2:$R$495,MATCH("Case CDI Plate 11: G8",'CASE MASTER'!$H$2:$H$495,0)),"")</f>
        <v/>
      </c>
      <c r="J129" s="9" t="str">
        <f>IFERROR(INDEX('CASE MASTER'!$R$2:$R$495,MATCH("Case CDI Plate 11: G9",'CASE MASTER'!$H$2:$H$495,0)),"")</f>
        <v/>
      </c>
      <c r="K129" s="9" t="str">
        <f>IFERROR(INDEX('CASE MASTER'!$R$2:$R$495,MATCH("Case CDI Plate 11: G10",'CASE MASTER'!$H$2:$H$495,0)),"")</f>
        <v/>
      </c>
      <c r="L129" s="9" t="str">
        <f>IFERROR(INDEX('CASE MASTER'!$R$2:$R$495,MATCH("Case CDI Plate 11: G11",'CASE MASTER'!$H$2:$H$495,0)),"")</f>
        <v/>
      </c>
      <c r="M129" s="9" t="str">
        <f>IFERROR(INDEX('CASE MASTER'!$R$2:$R$495,MATCH("Case CDI Plate 11: G12",'CASE MASTER'!$H$2:$H$495,0)),"")</f>
        <v/>
      </c>
    </row>
    <row r="130" spans="1:13" ht="15" customHeight="1" x14ac:dyDescent="0.35">
      <c r="A130" s="8" t="s">
        <v>35</v>
      </c>
      <c r="B130" s="9" t="str">
        <f>IFERROR(INDEX('CASE MASTER'!$R$2:$R$495,MATCH("Case CDI Plate 11: H1",'CASE MASTER'!$H$2:$H$495,0)),"")</f>
        <v/>
      </c>
      <c r="C130" s="9" t="str">
        <f>IFERROR(INDEX('CASE MASTER'!$R$2:$R$495,MATCH("Case CDI Plate 11: H2",'CASE MASTER'!$H$2:$H$495,0)),"")</f>
        <v/>
      </c>
      <c r="D130" s="9" t="str">
        <f>IFERROR(INDEX('CASE MASTER'!$R$2:$R$495,MATCH("Case CDI Plate 11: H3",'CASE MASTER'!$H$2:$H$495,0)),"")</f>
        <v/>
      </c>
      <c r="E130" s="9" t="str">
        <f>IFERROR(INDEX('CASE MASTER'!$R$2:$R$495,MATCH("Case CDI Plate 11: H4",'CASE MASTER'!$H$2:$H$495,0)),"")</f>
        <v/>
      </c>
      <c r="F130" s="9" t="str">
        <f>IFERROR(INDEX('CASE MASTER'!$R$2:$R$495,MATCH("Case CDI Plate 11: H5",'CASE MASTER'!$H$2:$H$495,0)),"")</f>
        <v/>
      </c>
      <c r="G130" s="9" t="str">
        <f>IFERROR(INDEX('CASE MASTER'!$R$2:$R$495,MATCH("Case CDI Plate 11: H6",'CASE MASTER'!$H$2:$H$495,0)),"")</f>
        <v/>
      </c>
      <c r="H130" s="9" t="str">
        <f>IFERROR(INDEX('CASE MASTER'!$R$2:$R$495,MATCH("Case CDI Plate 11: H7",'CASE MASTER'!$H$2:$H$495,0)),"")</f>
        <v/>
      </c>
      <c r="I130" s="9" t="str">
        <f>IFERROR(INDEX('CASE MASTER'!$R$2:$R$495,MATCH("Case CDI Plate 11: H8",'CASE MASTER'!$H$2:$H$495,0)),"")</f>
        <v/>
      </c>
      <c r="J130" s="9" t="str">
        <f>IFERROR(INDEX('CASE MASTER'!$R$2:$R$495,MATCH("Case CDI Plate 11: H9",'CASE MASTER'!$H$2:$H$495,0)),"")</f>
        <v/>
      </c>
      <c r="K130" s="9" t="str">
        <f>IFERROR(INDEX('CASE MASTER'!$R$2:$R$495,MATCH("Case CDI Plate 11: H10",'CASE MASTER'!$H$2:$H$495,0)),"")</f>
        <v/>
      </c>
      <c r="L130" s="9" t="str">
        <f>IFERROR(INDEX('CASE MASTER'!$R$2:$R$495,MATCH("Case CDI Plate 11: H11",'CASE MASTER'!$H$2:$H$495,0)),"")</f>
        <v/>
      </c>
      <c r="M130" s="9" t="str">
        <f>IFERROR(INDEX('CASE MASTER'!$R$2:$R$495,MATCH("Case CDI Plate 11: H12",'CASE MASTER'!$H$2:$H$495,0)),"")</f>
        <v/>
      </c>
    </row>
    <row r="133" spans="1:13" ht="15" customHeight="1" x14ac:dyDescent="0.35">
      <c r="A133" s="12" t="s">
        <v>46</v>
      </c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</row>
    <row r="134" spans="1:13" ht="15" customHeight="1" x14ac:dyDescent="0.35">
      <c r="B134" s="8">
        <v>1</v>
      </c>
      <c r="C134" s="8">
        <v>2</v>
      </c>
      <c r="D134" s="8">
        <v>3</v>
      </c>
      <c r="E134" s="8">
        <v>4</v>
      </c>
      <c r="F134" s="8">
        <v>5</v>
      </c>
      <c r="G134" s="8">
        <v>6</v>
      </c>
      <c r="H134" s="8">
        <v>7</v>
      </c>
      <c r="I134" s="8">
        <v>8</v>
      </c>
      <c r="J134" s="8">
        <v>9</v>
      </c>
      <c r="K134" s="8">
        <v>10</v>
      </c>
      <c r="L134" s="8">
        <v>11</v>
      </c>
      <c r="M134" s="8">
        <v>12</v>
      </c>
    </row>
    <row r="135" spans="1:13" ht="15" customHeight="1" x14ac:dyDescent="0.35">
      <c r="A135" s="8" t="s">
        <v>28</v>
      </c>
      <c r="B135" s="9" t="str">
        <f>IFERROR(INDEX('CASE MASTER'!$R$2:$R$495,MATCH("Case CDI Plate 12: A1",'CASE MASTER'!$H$2:$H$495,0)),"")</f>
        <v/>
      </c>
      <c r="C135" s="9" t="str">
        <f>IFERROR(INDEX('CASE MASTER'!$R$2:$R$495,MATCH("Case CDI Plate 12: A2",'CASE MASTER'!$H$2:$H$495,0)),"")</f>
        <v/>
      </c>
      <c r="D135" s="9" t="str">
        <f>IFERROR(INDEX('CASE MASTER'!$R$2:$R$495,MATCH("Case CDI Plate 12: A3",'CASE MASTER'!$H$2:$H$495,0)),"")</f>
        <v/>
      </c>
      <c r="E135" s="9" t="str">
        <f>IFERROR(INDEX('CASE MASTER'!$R$2:$R$495,MATCH("Case CDI Plate 12: A4",'CASE MASTER'!$H$2:$H$495,0)),"")</f>
        <v/>
      </c>
      <c r="F135" s="9" t="str">
        <f>IFERROR(INDEX('CASE MASTER'!$R$2:$R$495,MATCH("Case CDI Plate 12: A5",'CASE MASTER'!$H$2:$H$495,0)),"")</f>
        <v/>
      </c>
      <c r="G135" s="9" t="str">
        <f>IFERROR(INDEX('CASE MASTER'!$R$2:$R$495,MATCH("Case CDI Plate 12: A6",'CASE MASTER'!$H$2:$H$495,0)),"")</f>
        <v/>
      </c>
      <c r="H135" s="9" t="str">
        <f>IFERROR(INDEX('CASE MASTER'!$R$2:$R$495,MATCH("Case CDI Plate 12: A7",'CASE MASTER'!$H$2:$H$495,0)),"")</f>
        <v/>
      </c>
      <c r="I135" s="9" t="str">
        <f>IFERROR(INDEX('CASE MASTER'!$R$2:$R$495,MATCH("Case CDI Plate 12: A8",'CASE MASTER'!$H$2:$H$495,0)),"")</f>
        <v/>
      </c>
      <c r="J135" s="9" t="str">
        <f>IFERROR(INDEX('CASE MASTER'!$R$2:$R$495,MATCH("Case CDI Plate 12: A9",'CASE MASTER'!$H$2:$H$495,0)),"")</f>
        <v/>
      </c>
      <c r="K135" s="9" t="str">
        <f>IFERROR(INDEX('CASE MASTER'!$R$2:$R$495,MATCH("Case CDI Plate 12: A10",'CASE MASTER'!$H$2:$H$495,0)),"")</f>
        <v/>
      </c>
      <c r="L135" s="9" t="str">
        <f>IFERROR(INDEX('CASE MASTER'!$R$2:$R$495,MATCH("Case CDI Plate 12: A11",'CASE MASTER'!$H$2:$H$495,0)),"")</f>
        <v/>
      </c>
      <c r="M135" s="9" t="str">
        <f>IFERROR(INDEX('CASE MASTER'!$R$2:$R$495,MATCH("Case CDI Plate 12: A12",'CASE MASTER'!$H$2:$H$495,0)),"")</f>
        <v/>
      </c>
    </row>
    <row r="136" spans="1:13" ht="15" customHeight="1" x14ac:dyDescent="0.35">
      <c r="A136" s="8" t="s">
        <v>29</v>
      </c>
      <c r="B136" s="9" t="str">
        <f>IFERROR(INDEX('CASE MASTER'!$R$2:$R$495,MATCH("Case CDI Plate 12: B1",'CASE MASTER'!$H$2:$H$495,0)),"")</f>
        <v/>
      </c>
      <c r="C136" s="9" t="str">
        <f>IFERROR(INDEX('CASE MASTER'!$R$2:$R$495,MATCH("Case CDI Plate 12: B2",'CASE MASTER'!$H$2:$H$495,0)),"")</f>
        <v/>
      </c>
      <c r="D136" s="9" t="str">
        <f>IFERROR(INDEX('CASE MASTER'!$R$2:$R$495,MATCH("Case CDI Plate 12: B3",'CASE MASTER'!$H$2:$H$495,0)),"")</f>
        <v/>
      </c>
      <c r="E136" s="9" t="str">
        <f>IFERROR(INDEX('CASE MASTER'!$R$2:$R$495,MATCH("Case CDI Plate 12: B4",'CASE MASTER'!$H$2:$H$495,0)),"")</f>
        <v/>
      </c>
      <c r="F136" s="9" t="str">
        <f>IFERROR(INDEX('CASE MASTER'!$R$2:$R$495,MATCH("Case CDI Plate 12: B5",'CASE MASTER'!$H$2:$H$495,0)),"")</f>
        <v/>
      </c>
      <c r="G136" s="9" t="str">
        <f>IFERROR(INDEX('CASE MASTER'!$R$2:$R$495,MATCH("Case CDI Plate 12: B6",'CASE MASTER'!$H$2:$H$495,0)),"")</f>
        <v/>
      </c>
      <c r="H136" s="9" t="str">
        <f>IFERROR(INDEX('CASE MASTER'!$R$2:$R$495,MATCH("Case CDI Plate 12: B7",'CASE MASTER'!$H$2:$H$495,0)),"")</f>
        <v/>
      </c>
      <c r="I136" s="9" t="str">
        <f>IFERROR(INDEX('CASE MASTER'!$R$2:$R$495,MATCH("Case CDI Plate 12: B8",'CASE MASTER'!$H$2:$H$495,0)),"")</f>
        <v/>
      </c>
      <c r="J136" s="9" t="str">
        <f>IFERROR(INDEX('CASE MASTER'!$R$2:$R$495,MATCH("Case CDI Plate 12: B9",'CASE MASTER'!$H$2:$H$495,0)),"")</f>
        <v/>
      </c>
      <c r="K136" s="9" t="str">
        <f>IFERROR(INDEX('CASE MASTER'!$R$2:$R$495,MATCH("Case CDI Plate 12: B10",'CASE MASTER'!$H$2:$H$495,0)),"")</f>
        <v/>
      </c>
      <c r="L136" s="9" t="str">
        <f>IFERROR(INDEX('CASE MASTER'!$R$2:$R$495,MATCH("Case CDI Plate 12: B11",'CASE MASTER'!$H$2:$H$495,0)),"")</f>
        <v/>
      </c>
      <c r="M136" s="9" t="str">
        <f>IFERROR(INDEX('CASE MASTER'!$R$2:$R$495,MATCH("Case CDI Plate 12: B12",'CASE MASTER'!$H$2:$H$495,0)),"")</f>
        <v/>
      </c>
    </row>
    <row r="137" spans="1:13" ht="15" customHeight="1" x14ac:dyDescent="0.35">
      <c r="A137" s="8" t="s">
        <v>30</v>
      </c>
      <c r="B137" s="9" t="str">
        <f>IFERROR(INDEX('CASE MASTER'!$R$2:$R$495,MATCH("Case CDI Plate 12: C1",'CASE MASTER'!$H$2:$H$495,0)),"")</f>
        <v/>
      </c>
      <c r="C137" s="9" t="str">
        <f>IFERROR(INDEX('CASE MASTER'!$R$2:$R$495,MATCH("Case CDI Plate 12: C2",'CASE MASTER'!$H$2:$H$495,0)),"")</f>
        <v/>
      </c>
      <c r="D137" s="9" t="str">
        <f>IFERROR(INDEX('CASE MASTER'!$R$2:$R$495,MATCH("Case CDI Plate 12: C3",'CASE MASTER'!$H$2:$H$495,0)),"")</f>
        <v/>
      </c>
      <c r="E137" s="9" t="str">
        <f>IFERROR(INDEX('CASE MASTER'!$R$2:$R$495,MATCH("Case CDI Plate 12: C4",'CASE MASTER'!$H$2:$H$495,0)),"")</f>
        <v/>
      </c>
      <c r="F137" s="9" t="str">
        <f>IFERROR(INDEX('CASE MASTER'!$R$2:$R$495,MATCH("Case CDI Plate 12: C5",'CASE MASTER'!$H$2:$H$495,0)),"")</f>
        <v/>
      </c>
      <c r="G137" s="9" t="str">
        <f>IFERROR(INDEX('CASE MASTER'!$R$2:$R$495,MATCH("Case CDI Plate 12: C6",'CASE MASTER'!$H$2:$H$495,0)),"")</f>
        <v/>
      </c>
      <c r="H137" s="9" t="str">
        <f>IFERROR(INDEX('CASE MASTER'!$R$2:$R$495,MATCH("Case CDI Plate 12: C7",'CASE MASTER'!$H$2:$H$495,0)),"")</f>
        <v/>
      </c>
      <c r="I137" s="9" t="str">
        <f>IFERROR(INDEX('CASE MASTER'!$R$2:$R$495,MATCH("Case CDI Plate 12: C8",'CASE MASTER'!$H$2:$H$495,0)),"")</f>
        <v/>
      </c>
      <c r="J137" s="9" t="str">
        <f>IFERROR(INDEX('CASE MASTER'!$R$2:$R$495,MATCH("Case CDI Plate 12: C9",'CASE MASTER'!$H$2:$H$495,0)),"")</f>
        <v/>
      </c>
      <c r="K137" s="9" t="str">
        <f>IFERROR(INDEX('CASE MASTER'!$R$2:$R$495,MATCH("Case CDI Plate 12: C10",'CASE MASTER'!$H$2:$H$495,0)),"")</f>
        <v/>
      </c>
      <c r="L137" s="9" t="str">
        <f>IFERROR(INDEX('CASE MASTER'!$R$2:$R$495,MATCH("Case CDI Plate 12: C11",'CASE MASTER'!$H$2:$H$495,0)),"")</f>
        <v/>
      </c>
      <c r="M137" s="9" t="str">
        <f>IFERROR(INDEX('CASE MASTER'!$R$2:$R$495,MATCH("Case CDI Plate 12: C12",'CASE MASTER'!$H$2:$H$495,0)),"")</f>
        <v/>
      </c>
    </row>
    <row r="138" spans="1:13" ht="15" customHeight="1" x14ac:dyDescent="0.35">
      <c r="A138" s="8" t="s">
        <v>31</v>
      </c>
      <c r="B138" s="9" t="str">
        <f>IFERROR(INDEX('CASE MASTER'!$R$2:$R$495,MATCH("Case CDI Plate 12: D1",'CASE MASTER'!$H$2:$H$495,0)),"")</f>
        <v/>
      </c>
      <c r="C138" s="9" t="str">
        <f>IFERROR(INDEX('CASE MASTER'!$R$2:$R$495,MATCH("Case CDI Plate 12: D2",'CASE MASTER'!$H$2:$H$495,0)),"")</f>
        <v/>
      </c>
      <c r="D138" s="9" t="str">
        <f>IFERROR(INDEX('CASE MASTER'!$R$2:$R$495,MATCH("Case CDI Plate 12: D3",'CASE MASTER'!$H$2:$H$495,0)),"")</f>
        <v/>
      </c>
      <c r="E138" s="9" t="str">
        <f>IFERROR(INDEX('CASE MASTER'!$R$2:$R$495,MATCH("Case CDI Plate 12: D4",'CASE MASTER'!$H$2:$H$495,0)),"")</f>
        <v/>
      </c>
      <c r="F138" s="9" t="str">
        <f>IFERROR(INDEX('CASE MASTER'!$R$2:$R$495,MATCH("Case CDI Plate 12: D5",'CASE MASTER'!$H$2:$H$495,0)),"")</f>
        <v/>
      </c>
      <c r="G138" s="9" t="str">
        <f>IFERROR(INDEX('CASE MASTER'!$R$2:$R$495,MATCH("Case CDI Plate 12: D6",'CASE MASTER'!$H$2:$H$495,0)),"")</f>
        <v/>
      </c>
      <c r="H138" s="9" t="str">
        <f>IFERROR(INDEX('CASE MASTER'!$R$2:$R$495,MATCH("Case CDI Plate 12: D7",'CASE MASTER'!$H$2:$H$495,0)),"")</f>
        <v/>
      </c>
      <c r="I138" s="9" t="str">
        <f>IFERROR(INDEX('CASE MASTER'!$R$2:$R$495,MATCH("Case CDI Plate 12: D8",'CASE MASTER'!$H$2:$H$495,0)),"")</f>
        <v/>
      </c>
      <c r="J138" s="9" t="str">
        <f>IFERROR(INDEX('CASE MASTER'!$R$2:$R$495,MATCH("Case CDI Plate 12: D9",'CASE MASTER'!$H$2:$H$495,0)),"")</f>
        <v/>
      </c>
      <c r="K138" s="9" t="str">
        <f>IFERROR(INDEX('CASE MASTER'!$R$2:$R$495,MATCH("Case CDI Plate 12: D10",'CASE MASTER'!$H$2:$H$495,0)),"")</f>
        <v/>
      </c>
      <c r="L138" s="9" t="str">
        <f>IFERROR(INDEX('CASE MASTER'!$R$2:$R$495,MATCH("Case CDI Plate 12: D11",'CASE MASTER'!$H$2:$H$495,0)),"")</f>
        <v/>
      </c>
      <c r="M138" s="9" t="str">
        <f>IFERROR(INDEX('CASE MASTER'!$R$2:$R$495,MATCH("Case CDI Plate 12: D12",'CASE MASTER'!$H$2:$H$495,0)),"")</f>
        <v/>
      </c>
    </row>
    <row r="139" spans="1:13" ht="15" customHeight="1" x14ac:dyDescent="0.35">
      <c r="A139" s="8" t="s">
        <v>32</v>
      </c>
      <c r="B139" s="9" t="str">
        <f>IFERROR(INDEX('CASE MASTER'!$R$2:$R$495,MATCH("Case CDI Plate 12: E1",'CASE MASTER'!$H$2:$H$495,0)),"")</f>
        <v/>
      </c>
      <c r="C139" s="9" t="str">
        <f>IFERROR(INDEX('CASE MASTER'!$R$2:$R$495,MATCH("Case CDI Plate 12: E2",'CASE MASTER'!$H$2:$H$495,0)),"")</f>
        <v/>
      </c>
      <c r="D139" s="9" t="str">
        <f>IFERROR(INDEX('CASE MASTER'!$R$2:$R$495,MATCH("Case CDI Plate 12: E3",'CASE MASTER'!$H$2:$H$495,0)),"")</f>
        <v/>
      </c>
      <c r="E139" s="9" t="str">
        <f>IFERROR(INDEX('CASE MASTER'!$R$2:$R$495,MATCH("Case CDI Plate 12: E4",'CASE MASTER'!$H$2:$H$495,0)),"")</f>
        <v/>
      </c>
      <c r="F139" s="9" t="str">
        <f>IFERROR(INDEX('CASE MASTER'!$R$2:$R$495,MATCH("Case CDI Plate 12: E5",'CASE MASTER'!$H$2:$H$495,0)),"")</f>
        <v/>
      </c>
      <c r="G139" s="9" t="str">
        <f>IFERROR(INDEX('CASE MASTER'!$R$2:$R$495,MATCH("Case CDI Plate 12: E6",'CASE MASTER'!$H$2:$H$495,0)),"")</f>
        <v/>
      </c>
      <c r="H139" s="9" t="str">
        <f>IFERROR(INDEX('CASE MASTER'!$R$2:$R$495,MATCH("Case CDI Plate 12: E7",'CASE MASTER'!$H$2:$H$495,0)),"")</f>
        <v/>
      </c>
      <c r="I139" s="9" t="str">
        <f>IFERROR(INDEX('CASE MASTER'!$R$2:$R$495,MATCH("Case CDI Plate 12: E8",'CASE MASTER'!$H$2:$H$495,0)),"")</f>
        <v/>
      </c>
      <c r="J139" s="9" t="str">
        <f>IFERROR(INDEX('CASE MASTER'!$R$2:$R$495,MATCH("Case CDI Plate 12: E9",'CASE MASTER'!$H$2:$H$495,0)),"")</f>
        <v/>
      </c>
      <c r="K139" s="9" t="str">
        <f>IFERROR(INDEX('CASE MASTER'!$R$2:$R$495,MATCH("Case CDI Plate 12: E10",'CASE MASTER'!$H$2:$H$495,0)),"")</f>
        <v/>
      </c>
      <c r="L139" s="9" t="str">
        <f>IFERROR(INDEX('CASE MASTER'!$R$2:$R$495,MATCH("Case CDI Plate 12: E11",'CASE MASTER'!$H$2:$H$495,0)),"")</f>
        <v/>
      </c>
      <c r="M139" s="9" t="str">
        <f>IFERROR(INDEX('CASE MASTER'!$R$2:$R$495,MATCH("Case CDI Plate 12: E12",'CASE MASTER'!$H$2:$H$495,0)),"")</f>
        <v/>
      </c>
    </row>
    <row r="140" spans="1:13" ht="15" customHeight="1" x14ac:dyDescent="0.35">
      <c r="A140" s="8" t="s">
        <v>33</v>
      </c>
      <c r="B140" s="9" t="str">
        <f>IFERROR(INDEX('CASE MASTER'!$R$2:$R$495,MATCH("Case CDI Plate 12: F1",'CASE MASTER'!$H$2:$H$495,0)),"")</f>
        <v/>
      </c>
      <c r="C140" s="9" t="str">
        <f>IFERROR(INDEX('CASE MASTER'!$R$2:$R$495,MATCH("Case CDI Plate 12: F2",'CASE MASTER'!$H$2:$H$495,0)),"")</f>
        <v/>
      </c>
      <c r="D140" s="9" t="str">
        <f>IFERROR(INDEX('CASE MASTER'!$R$2:$R$495,MATCH("Case CDI Plate 12: F3",'CASE MASTER'!$H$2:$H$495,0)),"")</f>
        <v/>
      </c>
      <c r="E140" s="9" t="str">
        <f>IFERROR(INDEX('CASE MASTER'!$R$2:$R$495,MATCH("Case CDI Plate 12: F4",'CASE MASTER'!$H$2:$H$495,0)),"")</f>
        <v/>
      </c>
      <c r="F140" s="9" t="str">
        <f>IFERROR(INDEX('CASE MASTER'!$R$2:$R$495,MATCH("Case CDI Plate 12: F5",'CASE MASTER'!$H$2:$H$495,0)),"")</f>
        <v/>
      </c>
      <c r="G140" s="9" t="str">
        <f>IFERROR(INDEX('CASE MASTER'!$R$2:$R$495,MATCH("Case CDI Plate 12: F6",'CASE MASTER'!$H$2:$H$495,0)),"")</f>
        <v/>
      </c>
      <c r="H140" s="9" t="str">
        <f>IFERROR(INDEX('CASE MASTER'!$R$2:$R$495,MATCH("Case CDI Plate 12: F7",'CASE MASTER'!$H$2:$H$495,0)),"")</f>
        <v/>
      </c>
      <c r="I140" s="9" t="str">
        <f>IFERROR(INDEX('CASE MASTER'!$R$2:$R$495,MATCH("Case CDI Plate 12: F8",'CASE MASTER'!$H$2:$H$495,0)),"")</f>
        <v/>
      </c>
      <c r="J140" s="9" t="str">
        <f>IFERROR(INDEX('CASE MASTER'!$R$2:$R$495,MATCH("Case CDI Plate 12: F9",'CASE MASTER'!$H$2:$H$495,0)),"")</f>
        <v/>
      </c>
      <c r="K140" s="9" t="str">
        <f>IFERROR(INDEX('CASE MASTER'!$R$2:$R$495,MATCH("Case CDI Plate 12: F10",'CASE MASTER'!$H$2:$H$495,0)),"")</f>
        <v/>
      </c>
      <c r="L140" s="9" t="str">
        <f>IFERROR(INDEX('CASE MASTER'!$R$2:$R$495,MATCH("Case CDI Plate 12: F11",'CASE MASTER'!$H$2:$H$495,0)),"")</f>
        <v/>
      </c>
      <c r="M140" s="9" t="str">
        <f>IFERROR(INDEX('CASE MASTER'!$R$2:$R$495,MATCH("Case CDI Plate 12: F12",'CASE MASTER'!$H$2:$H$495,0)),"")</f>
        <v/>
      </c>
    </row>
    <row r="141" spans="1:13" ht="15" customHeight="1" x14ac:dyDescent="0.35">
      <c r="A141" s="8" t="s">
        <v>34</v>
      </c>
      <c r="B141" s="9" t="str">
        <f>IFERROR(INDEX('CASE MASTER'!$R$2:$R$495,MATCH("Case CDI Plate 12: G1",'CASE MASTER'!$H$2:$H$495,0)),"")</f>
        <v/>
      </c>
      <c r="C141" s="9" t="str">
        <f>IFERROR(INDEX('CASE MASTER'!$R$2:$R$495,MATCH("Case CDI Plate 12: G2",'CASE MASTER'!$H$2:$H$495,0)),"")</f>
        <v/>
      </c>
      <c r="D141" s="9" t="str">
        <f>IFERROR(INDEX('CASE MASTER'!$R$2:$R$495,MATCH("Case CDI Plate 12: G3",'CASE MASTER'!$H$2:$H$495,0)),"")</f>
        <v/>
      </c>
      <c r="E141" s="9" t="str">
        <f>IFERROR(INDEX('CASE MASTER'!$R$2:$R$495,MATCH("Case CDI Plate 12: G4",'CASE MASTER'!$H$2:$H$495,0)),"")</f>
        <v/>
      </c>
      <c r="F141" s="9" t="str">
        <f>IFERROR(INDEX('CASE MASTER'!$R$2:$R$495,MATCH("Case CDI Plate 12: G5",'CASE MASTER'!$H$2:$H$495,0)),"")</f>
        <v/>
      </c>
      <c r="G141" s="9" t="str">
        <f>IFERROR(INDEX('CASE MASTER'!$R$2:$R$495,MATCH("Case CDI Plate 12: G6",'CASE MASTER'!$H$2:$H$495,0)),"")</f>
        <v/>
      </c>
      <c r="H141" s="9" t="str">
        <f>IFERROR(INDEX('CASE MASTER'!$R$2:$R$495,MATCH("Case CDI Plate 12: G7",'CASE MASTER'!$H$2:$H$495,0)),"")</f>
        <v/>
      </c>
      <c r="I141" s="9" t="str">
        <f>IFERROR(INDEX('CASE MASTER'!$R$2:$R$495,MATCH("Case CDI Plate 12: G8",'CASE MASTER'!$H$2:$H$495,0)),"")</f>
        <v/>
      </c>
      <c r="J141" s="9" t="str">
        <f>IFERROR(INDEX('CASE MASTER'!$R$2:$R$495,MATCH("Case CDI Plate 12: G9",'CASE MASTER'!$H$2:$H$495,0)),"")</f>
        <v/>
      </c>
      <c r="K141" s="9" t="str">
        <f>IFERROR(INDEX('CASE MASTER'!$R$2:$R$495,MATCH("Case CDI Plate 12: G10",'CASE MASTER'!$H$2:$H$495,0)),"")</f>
        <v/>
      </c>
      <c r="L141" s="9" t="str">
        <f>IFERROR(INDEX('CASE MASTER'!$R$2:$R$495,MATCH("Case CDI Plate 12: G11",'CASE MASTER'!$H$2:$H$495,0)),"")</f>
        <v/>
      </c>
      <c r="M141" s="9" t="str">
        <f>IFERROR(INDEX('CASE MASTER'!$R$2:$R$495,MATCH("Case CDI Plate 12: G12",'CASE MASTER'!$H$2:$H$495,0)),"")</f>
        <v/>
      </c>
    </row>
    <row r="142" spans="1:13" ht="15" customHeight="1" x14ac:dyDescent="0.35">
      <c r="A142" s="8" t="s">
        <v>35</v>
      </c>
      <c r="B142" s="9" t="str">
        <f>IFERROR(INDEX('CASE MASTER'!$R$2:$R$495,MATCH("Case CDI Plate 12: H1",'CASE MASTER'!$H$2:$H$495,0)),"")</f>
        <v/>
      </c>
      <c r="C142" s="9" t="str">
        <f>IFERROR(INDEX('CASE MASTER'!$R$2:$R$495,MATCH("Case CDI Plate 12: H2",'CASE MASTER'!$H$2:$H$495,0)),"")</f>
        <v/>
      </c>
      <c r="D142" s="9" t="str">
        <f>IFERROR(INDEX('CASE MASTER'!$R$2:$R$495,MATCH("Case CDI Plate 12: H3",'CASE MASTER'!$H$2:$H$495,0)),"")</f>
        <v/>
      </c>
      <c r="E142" s="9" t="str">
        <f>IFERROR(INDEX('CASE MASTER'!$R$2:$R$495,MATCH("Case CDI Plate 12: H4",'CASE MASTER'!$H$2:$H$495,0)),"")</f>
        <v/>
      </c>
      <c r="F142" s="9" t="str">
        <f>IFERROR(INDEX('CASE MASTER'!$R$2:$R$495,MATCH("Case CDI Plate 12: H5",'CASE MASTER'!$H$2:$H$495,0)),"")</f>
        <v/>
      </c>
      <c r="G142" s="9" t="str">
        <f>IFERROR(INDEX('CASE MASTER'!$R$2:$R$495,MATCH("Case CDI Plate 12: H6",'CASE MASTER'!$H$2:$H$495,0)),"")</f>
        <v/>
      </c>
      <c r="H142" s="9" t="str">
        <f>IFERROR(INDEX('CASE MASTER'!$R$2:$R$495,MATCH("Case CDI Plate 12: H7",'CASE MASTER'!$H$2:$H$495,0)),"")</f>
        <v/>
      </c>
      <c r="I142" s="9" t="str">
        <f>IFERROR(INDEX('CASE MASTER'!$R$2:$R$495,MATCH("Case CDI Plate 12: H8",'CASE MASTER'!$H$2:$H$495,0)),"")</f>
        <v/>
      </c>
      <c r="J142" s="9" t="str">
        <f>IFERROR(INDEX('CASE MASTER'!$R$2:$R$495,MATCH("Case CDI Plate 12: H9",'CASE MASTER'!$H$2:$H$495,0)),"")</f>
        <v/>
      </c>
      <c r="K142" s="9" t="str">
        <f>IFERROR(INDEX('CASE MASTER'!$R$2:$R$495,MATCH("Case CDI Plate 12: H10",'CASE MASTER'!$H$2:$H$495,0)),"")</f>
        <v/>
      </c>
      <c r="L142" s="9" t="str">
        <f>IFERROR(INDEX('CASE MASTER'!$R$2:$R$495,MATCH("Case CDI Plate 12: H11",'CASE MASTER'!$H$2:$H$495,0)),"")</f>
        <v/>
      </c>
      <c r="M142" s="9" t="str">
        <f>IFERROR(INDEX('CASE MASTER'!$R$2:$R$495,MATCH("Case CDI Plate 12: H12",'CASE MASTER'!$H$2:$H$495,0)),"")</f>
        <v/>
      </c>
    </row>
    <row r="145" spans="1:13" ht="15" customHeight="1" x14ac:dyDescent="0.35">
      <c r="A145" s="12" t="s">
        <v>47</v>
      </c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</row>
    <row r="146" spans="1:13" ht="15" customHeight="1" x14ac:dyDescent="0.35">
      <c r="B146" s="8">
        <v>1</v>
      </c>
      <c r="C146" s="8">
        <v>2</v>
      </c>
      <c r="D146" s="8">
        <v>3</v>
      </c>
      <c r="E146" s="8">
        <v>4</v>
      </c>
      <c r="F146" s="8">
        <v>5</v>
      </c>
      <c r="G146" s="8">
        <v>6</v>
      </c>
      <c r="H146" s="8">
        <v>7</v>
      </c>
      <c r="I146" s="8">
        <v>8</v>
      </c>
      <c r="J146" s="8">
        <v>9</v>
      </c>
      <c r="K146" s="8">
        <v>10</v>
      </c>
      <c r="L146" s="8">
        <v>11</v>
      </c>
      <c r="M146" s="8">
        <v>12</v>
      </c>
    </row>
    <row r="147" spans="1:13" ht="15" customHeight="1" x14ac:dyDescent="0.35">
      <c r="A147" s="8" t="s">
        <v>28</v>
      </c>
      <c r="B147" s="9" t="str">
        <f>IFERROR(INDEX('CASE MASTER'!$R$2:$R$495,MATCH("Case CDI Plate 13: A1",'CASE MASTER'!$H$2:$H$495,0)),"")</f>
        <v/>
      </c>
      <c r="C147" s="9" t="str">
        <f>IFERROR(INDEX('CASE MASTER'!$R$2:$R$495,MATCH("Case CDI Plate 13: A2",'CASE MASTER'!$H$2:$H$495,0)),"")</f>
        <v/>
      </c>
      <c r="D147" s="9" t="str">
        <f>IFERROR(INDEX('CASE MASTER'!$R$2:$R$495,MATCH("Case CDI Plate 13: A3",'CASE MASTER'!$H$2:$H$495,0)),"")</f>
        <v/>
      </c>
      <c r="E147" s="9" t="str">
        <f>IFERROR(INDEX('CASE MASTER'!$R$2:$R$495,MATCH("Case CDI Plate 13: A4",'CASE MASTER'!$H$2:$H$495,0)),"")</f>
        <v/>
      </c>
      <c r="F147" s="9" t="str">
        <f>IFERROR(INDEX('CASE MASTER'!$R$2:$R$495,MATCH("Case CDI Plate 13: A5",'CASE MASTER'!$H$2:$H$495,0)),"")</f>
        <v/>
      </c>
      <c r="G147" s="9" t="str">
        <f>IFERROR(INDEX('CASE MASTER'!$R$2:$R$495,MATCH("Case CDI Plate 13: A6",'CASE MASTER'!$H$2:$H$495,0)),"")</f>
        <v/>
      </c>
      <c r="H147" s="9" t="str">
        <f>IFERROR(INDEX('CASE MASTER'!$R$2:$R$495,MATCH("Case CDI Plate 13: A7",'CASE MASTER'!$H$2:$H$495,0)),"")</f>
        <v/>
      </c>
      <c r="I147" s="9" t="str">
        <f>IFERROR(INDEX('CASE MASTER'!$R$2:$R$495,MATCH("Case CDI Plate 13: A8",'CASE MASTER'!$H$2:$H$495,0)),"")</f>
        <v/>
      </c>
      <c r="J147" s="9" t="str">
        <f>IFERROR(INDEX('CASE MASTER'!$R$2:$R$495,MATCH("Case CDI Plate 13: A9",'CASE MASTER'!$H$2:$H$495,0)),"")</f>
        <v/>
      </c>
      <c r="K147" s="9" t="str">
        <f>IFERROR(INDEX('CASE MASTER'!$R$2:$R$495,MATCH("Case CDI Plate 13: A10",'CASE MASTER'!$H$2:$H$495,0)),"")</f>
        <v/>
      </c>
      <c r="L147" s="9" t="str">
        <f>IFERROR(INDEX('CASE MASTER'!$R$2:$R$495,MATCH("Case CDI Plate 13: A11",'CASE MASTER'!$H$2:$H$495,0)),"")</f>
        <v/>
      </c>
      <c r="M147" s="9" t="str">
        <f>IFERROR(INDEX('CASE MASTER'!$R$2:$R$495,MATCH("Case CDI Plate 13: A12",'CASE MASTER'!$H$2:$H$495,0)),"")</f>
        <v/>
      </c>
    </row>
    <row r="148" spans="1:13" ht="15" customHeight="1" x14ac:dyDescent="0.35">
      <c r="A148" s="8" t="s">
        <v>29</v>
      </c>
      <c r="B148" s="9" t="str">
        <f>IFERROR(INDEX('CASE MASTER'!$R$2:$R$495,MATCH("Case CDI Plate 13: B1",'CASE MASTER'!$H$2:$H$495,0)),"")</f>
        <v/>
      </c>
      <c r="C148" s="9" t="str">
        <f>IFERROR(INDEX('CASE MASTER'!$R$2:$R$495,MATCH("Case CDI Plate 13: B2",'CASE MASTER'!$H$2:$H$495,0)),"")</f>
        <v/>
      </c>
      <c r="D148" s="9" t="str">
        <f>IFERROR(INDEX('CASE MASTER'!$R$2:$R$495,MATCH("Case CDI Plate 13: B3",'CASE MASTER'!$H$2:$H$495,0)),"")</f>
        <v/>
      </c>
      <c r="E148" s="9" t="str">
        <f>IFERROR(INDEX('CASE MASTER'!$R$2:$R$495,MATCH("Case CDI Plate 13: B4",'CASE MASTER'!$H$2:$H$495,0)),"")</f>
        <v/>
      </c>
      <c r="F148" s="9" t="str">
        <f>IFERROR(INDEX('CASE MASTER'!$R$2:$R$495,MATCH("Case CDI Plate 13: B5",'CASE MASTER'!$H$2:$H$495,0)),"")</f>
        <v/>
      </c>
      <c r="G148" s="9" t="str">
        <f>IFERROR(INDEX('CASE MASTER'!$R$2:$R$495,MATCH("Case CDI Plate 13: B6",'CASE MASTER'!$H$2:$H$495,0)),"")</f>
        <v/>
      </c>
      <c r="H148" s="9" t="str">
        <f>IFERROR(INDEX('CASE MASTER'!$R$2:$R$495,MATCH("Case CDI Plate 13: B7",'CASE MASTER'!$H$2:$H$495,0)),"")</f>
        <v/>
      </c>
      <c r="I148" s="9" t="str">
        <f>IFERROR(INDEX('CASE MASTER'!$R$2:$R$495,MATCH("Case CDI Plate 13: B8",'CASE MASTER'!$H$2:$H$495,0)),"")</f>
        <v/>
      </c>
      <c r="J148" s="9" t="str">
        <f>IFERROR(INDEX('CASE MASTER'!$R$2:$R$495,MATCH("Case CDI Plate 13: B9",'CASE MASTER'!$H$2:$H$495,0)),"")</f>
        <v/>
      </c>
      <c r="K148" s="9" t="str">
        <f>IFERROR(INDEX('CASE MASTER'!$R$2:$R$495,MATCH("Case CDI Plate 13: B10",'CASE MASTER'!$H$2:$H$495,0)),"")</f>
        <v/>
      </c>
      <c r="L148" s="9" t="str">
        <f>IFERROR(INDEX('CASE MASTER'!$R$2:$R$495,MATCH("Case CDI Plate 13: B11",'CASE MASTER'!$H$2:$H$495,0)),"")</f>
        <v/>
      </c>
      <c r="M148" s="9" t="str">
        <f>IFERROR(INDEX('CASE MASTER'!$R$2:$R$495,MATCH("Case CDI Plate 13: B12",'CASE MASTER'!$H$2:$H$495,0)),"")</f>
        <v/>
      </c>
    </row>
    <row r="149" spans="1:13" ht="15" customHeight="1" x14ac:dyDescent="0.35">
      <c r="A149" s="8" t="s">
        <v>30</v>
      </c>
      <c r="B149" s="9" t="str">
        <f>IFERROR(INDEX('CASE MASTER'!$R$2:$R$495,MATCH("Case CDI Plate 13: C1",'CASE MASTER'!$H$2:$H$495,0)),"")</f>
        <v/>
      </c>
      <c r="C149" s="9" t="str">
        <f>IFERROR(INDEX('CASE MASTER'!$R$2:$R$495,MATCH("Case CDI Plate 13: C2",'CASE MASTER'!$H$2:$H$495,0)),"")</f>
        <v/>
      </c>
      <c r="D149" s="9" t="str">
        <f>IFERROR(INDEX('CASE MASTER'!$R$2:$R$495,MATCH("Case CDI Plate 13: C3",'CASE MASTER'!$H$2:$H$495,0)),"")</f>
        <v/>
      </c>
      <c r="E149" s="9" t="str">
        <f>IFERROR(INDEX('CASE MASTER'!$R$2:$R$495,MATCH("Case CDI Plate 13: C4",'CASE MASTER'!$H$2:$H$495,0)),"")</f>
        <v/>
      </c>
      <c r="F149" s="9" t="str">
        <f>IFERROR(INDEX('CASE MASTER'!$R$2:$R$495,MATCH("Case CDI Plate 13: C5",'CASE MASTER'!$H$2:$H$495,0)),"")</f>
        <v/>
      </c>
      <c r="G149" s="9" t="str">
        <f>IFERROR(INDEX('CASE MASTER'!$R$2:$R$495,MATCH("Case CDI Plate 13: C6",'CASE MASTER'!$H$2:$H$495,0)),"")</f>
        <v/>
      </c>
      <c r="H149" s="9" t="str">
        <f>IFERROR(INDEX('CASE MASTER'!$R$2:$R$495,MATCH("Case CDI Plate 13: C7",'CASE MASTER'!$H$2:$H$495,0)),"")</f>
        <v/>
      </c>
      <c r="I149" s="9" t="str">
        <f>IFERROR(INDEX('CASE MASTER'!$R$2:$R$495,MATCH("Case CDI Plate 13: C8",'CASE MASTER'!$H$2:$H$495,0)),"")</f>
        <v/>
      </c>
      <c r="J149" s="9" t="str">
        <f>IFERROR(INDEX('CASE MASTER'!$R$2:$R$495,MATCH("Case CDI Plate 13: C9",'CASE MASTER'!$H$2:$H$495,0)),"")</f>
        <v/>
      </c>
      <c r="K149" s="9" t="str">
        <f>IFERROR(INDEX('CASE MASTER'!$R$2:$R$495,MATCH("Case CDI Plate 13: C10",'CASE MASTER'!$H$2:$H$495,0)),"")</f>
        <v/>
      </c>
      <c r="L149" s="9" t="str">
        <f>IFERROR(INDEX('CASE MASTER'!$R$2:$R$495,MATCH("Case CDI Plate 13: C11",'CASE MASTER'!$H$2:$H$495,0)),"")</f>
        <v/>
      </c>
      <c r="M149" s="9" t="str">
        <f>IFERROR(INDEX('CASE MASTER'!$R$2:$R$495,MATCH("Case CDI Plate 13: C12",'CASE MASTER'!$H$2:$H$495,0)),"")</f>
        <v/>
      </c>
    </row>
    <row r="150" spans="1:13" ht="15" customHeight="1" x14ac:dyDescent="0.35">
      <c r="A150" s="8" t="s">
        <v>31</v>
      </c>
      <c r="B150" s="9" t="str">
        <f>IFERROR(INDEX('CASE MASTER'!$R$2:$R$495,MATCH("Case CDI Plate 13: D1",'CASE MASTER'!$H$2:$H$495,0)),"")</f>
        <v/>
      </c>
      <c r="C150" s="9" t="str">
        <f>IFERROR(INDEX('CASE MASTER'!$R$2:$R$495,MATCH("Case CDI Plate 13: D2",'CASE MASTER'!$H$2:$H$495,0)),"")</f>
        <v/>
      </c>
      <c r="D150" s="9" t="str">
        <f>IFERROR(INDEX('CASE MASTER'!$R$2:$R$495,MATCH("Case CDI Plate 13: D3",'CASE MASTER'!$H$2:$H$495,0)),"")</f>
        <v/>
      </c>
      <c r="E150" s="9" t="str">
        <f>IFERROR(INDEX('CASE MASTER'!$R$2:$R$495,MATCH("Case CDI Plate 13: D4",'CASE MASTER'!$H$2:$H$495,0)),"")</f>
        <v/>
      </c>
      <c r="F150" s="9" t="str">
        <f>IFERROR(INDEX('CASE MASTER'!$R$2:$R$495,MATCH("Case CDI Plate 13: D5",'CASE MASTER'!$H$2:$H$495,0)),"")</f>
        <v/>
      </c>
      <c r="G150" s="9" t="str">
        <f>IFERROR(INDEX('CASE MASTER'!$R$2:$R$495,MATCH("Case CDI Plate 13: D6",'CASE MASTER'!$H$2:$H$495,0)),"")</f>
        <v/>
      </c>
      <c r="H150" s="9" t="str">
        <f>IFERROR(INDEX('CASE MASTER'!$R$2:$R$495,MATCH("Case CDI Plate 13: D7",'CASE MASTER'!$H$2:$H$495,0)),"")</f>
        <v/>
      </c>
      <c r="I150" s="9" t="str">
        <f>IFERROR(INDEX('CASE MASTER'!$R$2:$R$495,MATCH("Case CDI Plate 13: D8",'CASE MASTER'!$H$2:$H$495,0)),"")</f>
        <v/>
      </c>
      <c r="J150" s="9" t="str">
        <f>IFERROR(INDEX('CASE MASTER'!$R$2:$R$495,MATCH("Case CDI Plate 13: D9",'CASE MASTER'!$H$2:$H$495,0)),"")</f>
        <v/>
      </c>
      <c r="K150" s="9" t="str">
        <f>IFERROR(INDEX('CASE MASTER'!$R$2:$R$495,MATCH("Case CDI Plate 13: D10",'CASE MASTER'!$H$2:$H$495,0)),"")</f>
        <v/>
      </c>
      <c r="L150" s="9" t="str">
        <f>IFERROR(INDEX('CASE MASTER'!$R$2:$R$495,MATCH("Case CDI Plate 13: D11",'CASE MASTER'!$H$2:$H$495,0)),"")</f>
        <v/>
      </c>
      <c r="M150" s="9" t="str">
        <f>IFERROR(INDEX('CASE MASTER'!$R$2:$R$495,MATCH("Case CDI Plate 13: D12",'CASE MASTER'!$H$2:$H$495,0)),"")</f>
        <v/>
      </c>
    </row>
    <row r="151" spans="1:13" ht="15" customHeight="1" x14ac:dyDescent="0.35">
      <c r="A151" s="8" t="s">
        <v>32</v>
      </c>
      <c r="B151" s="9" t="str">
        <f>IFERROR(INDEX('CASE MASTER'!$R$2:$R$495,MATCH("Case CDI Plate 13: E1",'CASE MASTER'!$H$2:$H$495,0)),"")</f>
        <v/>
      </c>
      <c r="C151" s="9" t="str">
        <f>IFERROR(INDEX('CASE MASTER'!$R$2:$R$495,MATCH("Case CDI Plate 13: E2",'CASE MASTER'!$H$2:$H$495,0)),"")</f>
        <v/>
      </c>
      <c r="D151" s="9" t="str">
        <f>IFERROR(INDEX('CASE MASTER'!$R$2:$R$495,MATCH("Case CDI Plate 13: E3",'CASE MASTER'!$H$2:$H$495,0)),"")</f>
        <v/>
      </c>
      <c r="E151" s="9" t="str">
        <f>IFERROR(INDEX('CASE MASTER'!$R$2:$R$495,MATCH("Case CDI Plate 13: E4",'CASE MASTER'!$H$2:$H$495,0)),"")</f>
        <v/>
      </c>
      <c r="F151" s="9" t="str">
        <f>IFERROR(INDEX('CASE MASTER'!$R$2:$R$495,MATCH("Case CDI Plate 13: E5",'CASE MASTER'!$H$2:$H$495,0)),"")</f>
        <v/>
      </c>
      <c r="G151" s="9" t="str">
        <f>IFERROR(INDEX('CASE MASTER'!$R$2:$R$495,MATCH("Case CDI Plate 13: E6",'CASE MASTER'!$H$2:$H$495,0)),"")</f>
        <v/>
      </c>
      <c r="H151" s="9" t="str">
        <f>IFERROR(INDEX('CASE MASTER'!$R$2:$R$495,MATCH("Case CDI Plate 13: E7",'CASE MASTER'!$H$2:$H$495,0)),"")</f>
        <v/>
      </c>
      <c r="I151" s="9" t="str">
        <f>IFERROR(INDEX('CASE MASTER'!$R$2:$R$495,MATCH("Case CDI Plate 13: E8",'CASE MASTER'!$H$2:$H$495,0)),"")</f>
        <v/>
      </c>
      <c r="J151" s="9" t="str">
        <f>IFERROR(INDEX('CASE MASTER'!$R$2:$R$495,MATCH("Case CDI Plate 13: E9",'CASE MASTER'!$H$2:$H$495,0)),"")</f>
        <v/>
      </c>
      <c r="K151" s="9" t="str">
        <f>IFERROR(INDEX('CASE MASTER'!$R$2:$R$495,MATCH("Case CDI Plate 13: E10",'CASE MASTER'!$H$2:$H$495,0)),"")</f>
        <v/>
      </c>
      <c r="L151" s="9" t="str">
        <f>IFERROR(INDEX('CASE MASTER'!$R$2:$R$495,MATCH("Case CDI Plate 13: E11",'CASE MASTER'!$H$2:$H$495,0)),"")</f>
        <v/>
      </c>
      <c r="M151" s="9" t="str">
        <f>IFERROR(INDEX('CASE MASTER'!$R$2:$R$495,MATCH("Case CDI Plate 13: E12",'CASE MASTER'!$H$2:$H$495,0)),"")</f>
        <v/>
      </c>
    </row>
    <row r="152" spans="1:13" ht="15" customHeight="1" x14ac:dyDescent="0.35">
      <c r="A152" s="8" t="s">
        <v>33</v>
      </c>
      <c r="B152" s="9" t="str">
        <f>IFERROR(INDEX('CASE MASTER'!$R$2:$R$495,MATCH("Case CDI Plate 13: F1",'CASE MASTER'!$H$2:$H$495,0)),"")</f>
        <v/>
      </c>
      <c r="C152" s="9" t="str">
        <f>IFERROR(INDEX('CASE MASTER'!$R$2:$R$495,MATCH("Case CDI Plate 13: F2",'CASE MASTER'!$H$2:$H$495,0)),"")</f>
        <v/>
      </c>
      <c r="D152" s="9" t="str">
        <f>IFERROR(INDEX('CASE MASTER'!$R$2:$R$495,MATCH("Case CDI Plate 13: F3",'CASE MASTER'!$H$2:$H$495,0)),"")</f>
        <v/>
      </c>
      <c r="E152" s="9" t="str">
        <f>IFERROR(INDEX('CASE MASTER'!$R$2:$R$495,MATCH("Case CDI Plate 13: F4",'CASE MASTER'!$H$2:$H$495,0)),"")</f>
        <v/>
      </c>
      <c r="F152" s="9" t="str">
        <f>IFERROR(INDEX('CASE MASTER'!$R$2:$R$495,MATCH("Case CDI Plate 13: F5",'CASE MASTER'!$H$2:$H$495,0)),"")</f>
        <v/>
      </c>
      <c r="G152" s="9" t="str">
        <f>IFERROR(INDEX('CASE MASTER'!$R$2:$R$495,MATCH("Case CDI Plate 13: F6",'CASE MASTER'!$H$2:$H$495,0)),"")</f>
        <v/>
      </c>
      <c r="H152" s="9" t="str">
        <f>IFERROR(INDEX('CASE MASTER'!$R$2:$R$495,MATCH("Case CDI Plate 13: F7",'CASE MASTER'!$H$2:$H$495,0)),"")</f>
        <v/>
      </c>
      <c r="I152" s="9" t="str">
        <f>IFERROR(INDEX('CASE MASTER'!$R$2:$R$495,MATCH("Case CDI Plate 13: F8",'CASE MASTER'!$H$2:$H$495,0)),"")</f>
        <v/>
      </c>
      <c r="J152" s="9" t="str">
        <f>IFERROR(INDEX('CASE MASTER'!$R$2:$R$495,MATCH("Case CDI Plate 13: F9",'CASE MASTER'!$H$2:$H$495,0)),"")</f>
        <v/>
      </c>
      <c r="K152" s="9" t="str">
        <f>IFERROR(INDEX('CASE MASTER'!$R$2:$R$495,MATCH("Case CDI Plate 13: F10",'CASE MASTER'!$H$2:$H$495,0)),"")</f>
        <v/>
      </c>
      <c r="L152" s="9" t="str">
        <f>IFERROR(INDEX('CASE MASTER'!$R$2:$R$495,MATCH("Case CDI Plate 13: F11",'CASE MASTER'!$H$2:$H$495,0)),"")</f>
        <v/>
      </c>
      <c r="M152" s="9" t="str">
        <f>IFERROR(INDEX('CASE MASTER'!$R$2:$R$495,MATCH("Case CDI Plate 13: F12",'CASE MASTER'!$H$2:$H$495,0)),"")</f>
        <v/>
      </c>
    </row>
    <row r="153" spans="1:13" ht="15" customHeight="1" x14ac:dyDescent="0.35">
      <c r="A153" s="8" t="s">
        <v>34</v>
      </c>
      <c r="B153" s="9" t="str">
        <f>IFERROR(INDEX('CASE MASTER'!$R$2:$R$495,MATCH("Case CDI Plate 13: G1",'CASE MASTER'!$H$2:$H$495,0)),"")</f>
        <v/>
      </c>
      <c r="C153" s="9" t="str">
        <f>IFERROR(INDEX('CASE MASTER'!$R$2:$R$495,MATCH("Case CDI Plate 13: G2",'CASE MASTER'!$H$2:$H$495,0)),"")</f>
        <v/>
      </c>
      <c r="D153" s="9" t="str">
        <f>IFERROR(INDEX('CASE MASTER'!$R$2:$R$495,MATCH("Case CDI Plate 13: G3",'CASE MASTER'!$H$2:$H$495,0)),"")</f>
        <v/>
      </c>
      <c r="E153" s="9" t="str">
        <f>IFERROR(INDEX('CASE MASTER'!$R$2:$R$495,MATCH("Case CDI Plate 13: G4",'CASE MASTER'!$H$2:$H$495,0)),"")</f>
        <v/>
      </c>
      <c r="F153" s="9" t="str">
        <f>IFERROR(INDEX('CASE MASTER'!$R$2:$R$495,MATCH("Case CDI Plate 13: G5",'CASE MASTER'!$H$2:$H$495,0)),"")</f>
        <v/>
      </c>
      <c r="G153" s="9" t="str">
        <f>IFERROR(INDEX('CASE MASTER'!$R$2:$R$495,MATCH("Case CDI Plate 13: G6",'CASE MASTER'!$H$2:$H$495,0)),"")</f>
        <v/>
      </c>
      <c r="H153" s="9" t="str">
        <f>IFERROR(INDEX('CASE MASTER'!$R$2:$R$495,MATCH("Case CDI Plate 13: G7",'CASE MASTER'!$H$2:$H$495,0)),"")</f>
        <v/>
      </c>
      <c r="I153" s="9" t="str">
        <f>IFERROR(INDEX('CASE MASTER'!$R$2:$R$495,MATCH("Case CDI Plate 13: G8",'CASE MASTER'!$H$2:$H$495,0)),"")</f>
        <v/>
      </c>
      <c r="J153" s="9" t="str">
        <f>IFERROR(INDEX('CASE MASTER'!$R$2:$R$495,MATCH("Case CDI Plate 13: G9",'CASE MASTER'!$H$2:$H$495,0)),"")</f>
        <v/>
      </c>
      <c r="K153" s="9" t="str">
        <f>IFERROR(INDEX('CASE MASTER'!$R$2:$R$495,MATCH("Case CDI Plate 13: G10",'CASE MASTER'!$H$2:$H$495,0)),"")</f>
        <v/>
      </c>
      <c r="L153" s="9" t="str">
        <f>IFERROR(INDEX('CASE MASTER'!$R$2:$R$495,MATCH("Case CDI Plate 13: G11",'CASE MASTER'!$H$2:$H$495,0)),"")</f>
        <v/>
      </c>
      <c r="M153" s="9" t="str">
        <f>IFERROR(INDEX('CASE MASTER'!$R$2:$R$495,MATCH("Case CDI Plate 13: G12",'CASE MASTER'!$H$2:$H$495,0)),"")</f>
        <v/>
      </c>
    </row>
    <row r="154" spans="1:13" ht="15" customHeight="1" x14ac:dyDescent="0.35">
      <c r="A154" s="8" t="s">
        <v>35</v>
      </c>
      <c r="B154" s="9" t="str">
        <f>IFERROR(INDEX('CASE MASTER'!$R$2:$R$495,MATCH("Case CDI Plate 13: H1",'CASE MASTER'!$H$2:$H$495,0)),"")</f>
        <v/>
      </c>
      <c r="C154" s="9" t="str">
        <f>IFERROR(INDEX('CASE MASTER'!$R$2:$R$495,MATCH("Case CDI Plate 13: H2",'CASE MASTER'!$H$2:$H$495,0)),"")</f>
        <v/>
      </c>
      <c r="D154" s="9" t="str">
        <f>IFERROR(INDEX('CASE MASTER'!$R$2:$R$495,MATCH("Case CDI Plate 13: H3",'CASE MASTER'!$H$2:$H$495,0)),"")</f>
        <v/>
      </c>
      <c r="E154" s="9" t="str">
        <f>IFERROR(INDEX('CASE MASTER'!$R$2:$R$495,MATCH("Case CDI Plate 13: H4",'CASE MASTER'!$H$2:$H$495,0)),"")</f>
        <v/>
      </c>
      <c r="F154" s="9" t="str">
        <f>IFERROR(INDEX('CASE MASTER'!$R$2:$R$495,MATCH("Case CDI Plate 13: H5",'CASE MASTER'!$H$2:$H$495,0)),"")</f>
        <v/>
      </c>
      <c r="G154" s="9" t="str">
        <f>IFERROR(INDEX('CASE MASTER'!$R$2:$R$495,MATCH("Case CDI Plate 13: H6",'CASE MASTER'!$H$2:$H$495,0)),"")</f>
        <v/>
      </c>
      <c r="H154" s="9" t="str">
        <f>IFERROR(INDEX('CASE MASTER'!$R$2:$R$495,MATCH("Case CDI Plate 13: H7",'CASE MASTER'!$H$2:$H$495,0)),"")</f>
        <v/>
      </c>
      <c r="I154" s="9" t="str">
        <f>IFERROR(INDEX('CASE MASTER'!$R$2:$R$495,MATCH("Case CDI Plate 13: H8",'CASE MASTER'!$H$2:$H$495,0)),"")</f>
        <v/>
      </c>
      <c r="J154" s="9" t="str">
        <f>IFERROR(INDEX('CASE MASTER'!$R$2:$R$495,MATCH("Case CDI Plate 13: H9",'CASE MASTER'!$H$2:$H$495,0)),"")</f>
        <v/>
      </c>
      <c r="K154" s="9" t="str">
        <f>IFERROR(INDEX('CASE MASTER'!$R$2:$R$495,MATCH("Case CDI Plate 13: H10",'CASE MASTER'!$H$2:$H$495,0)),"")</f>
        <v/>
      </c>
      <c r="L154" s="9" t="str">
        <f>IFERROR(INDEX('CASE MASTER'!$R$2:$R$495,MATCH("Case CDI Plate 13: H11",'CASE MASTER'!$H$2:$H$495,0)),"")</f>
        <v/>
      </c>
      <c r="M154" s="9" t="str">
        <f>IFERROR(INDEX('CASE MASTER'!$R$2:$R$495,MATCH("Case CDI Plate 13: H12",'CASE MASTER'!$H$2:$H$495,0)),"")</f>
        <v/>
      </c>
    </row>
    <row r="157" spans="1:13" ht="15" customHeight="1" x14ac:dyDescent="0.35">
      <c r="A157" s="12" t="s">
        <v>48</v>
      </c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</row>
    <row r="158" spans="1:13" ht="15" customHeight="1" x14ac:dyDescent="0.35">
      <c r="B158" s="8">
        <v>1</v>
      </c>
      <c r="C158" s="8">
        <v>2</v>
      </c>
      <c r="D158" s="8">
        <v>3</v>
      </c>
      <c r="E158" s="8">
        <v>4</v>
      </c>
      <c r="F158" s="8">
        <v>5</v>
      </c>
      <c r="G158" s="8">
        <v>6</v>
      </c>
      <c r="H158" s="8">
        <v>7</v>
      </c>
      <c r="I158" s="8">
        <v>8</v>
      </c>
      <c r="J158" s="8">
        <v>9</v>
      </c>
      <c r="K158" s="8">
        <v>10</v>
      </c>
      <c r="L158" s="8">
        <v>11</v>
      </c>
      <c r="M158" s="8">
        <v>12</v>
      </c>
    </row>
    <row r="159" spans="1:13" ht="15" customHeight="1" x14ac:dyDescent="0.35">
      <c r="A159" s="8" t="s">
        <v>28</v>
      </c>
      <c r="B159" s="9" t="str">
        <f>IFERROR(INDEX('CASE MASTER'!$R$2:$R$495,MATCH("Case CDI Plate 14: A1",'CASE MASTER'!$H$2:$H$495,0)),"")</f>
        <v/>
      </c>
      <c r="C159" s="9" t="str">
        <f>IFERROR(INDEX('CASE MASTER'!$R$2:$R$495,MATCH("Case CDI Plate 14: A2",'CASE MASTER'!$H$2:$H$495,0)),"")</f>
        <v/>
      </c>
      <c r="D159" s="9" t="str">
        <f>IFERROR(INDEX('CASE MASTER'!$R$2:$R$495,MATCH("Case CDI Plate 14: A3",'CASE MASTER'!$H$2:$H$495,0)),"")</f>
        <v/>
      </c>
      <c r="E159" s="9" t="str">
        <f>IFERROR(INDEX('CASE MASTER'!$R$2:$R$495,MATCH("Case CDI Plate 14: A4",'CASE MASTER'!$H$2:$H$495,0)),"")</f>
        <v/>
      </c>
      <c r="F159" s="9" t="str">
        <f>IFERROR(INDEX('CASE MASTER'!$R$2:$R$495,MATCH("Case CDI Plate 14: A5",'CASE MASTER'!$H$2:$H$495,0)),"")</f>
        <v/>
      </c>
      <c r="G159" s="9" t="str">
        <f>IFERROR(INDEX('CASE MASTER'!$R$2:$R$495,MATCH("Case CDI Plate 14: A6",'CASE MASTER'!$H$2:$H$495,0)),"")</f>
        <v/>
      </c>
      <c r="H159" s="9" t="str">
        <f>IFERROR(INDEX('CASE MASTER'!$R$2:$R$495,MATCH("Case CDI Plate 14: A7",'CASE MASTER'!$H$2:$H$495,0)),"")</f>
        <v/>
      </c>
      <c r="I159" s="9" t="str">
        <f>IFERROR(INDEX('CASE MASTER'!$R$2:$R$495,MATCH("Case CDI Plate 14: A8",'CASE MASTER'!$H$2:$H$495,0)),"")</f>
        <v/>
      </c>
      <c r="J159" s="9" t="str">
        <f>IFERROR(INDEX('CASE MASTER'!$R$2:$R$495,MATCH("Case CDI Plate 14: A9",'CASE MASTER'!$H$2:$H$495,0)),"")</f>
        <v/>
      </c>
      <c r="K159" s="9" t="str">
        <f>IFERROR(INDEX('CASE MASTER'!$R$2:$R$495,MATCH("Case CDI Plate 14: A10",'CASE MASTER'!$H$2:$H$495,0)),"")</f>
        <v/>
      </c>
      <c r="L159" s="9" t="str">
        <f>IFERROR(INDEX('CASE MASTER'!$R$2:$R$495,MATCH("Case CDI Plate 14: A11",'CASE MASTER'!$H$2:$H$495,0)),"")</f>
        <v/>
      </c>
      <c r="M159" s="9" t="str">
        <f>IFERROR(INDEX('CASE MASTER'!$R$2:$R$495,MATCH("Case CDI Plate 14: A12",'CASE MASTER'!$H$2:$H$495,0)),"")</f>
        <v/>
      </c>
    </row>
    <row r="160" spans="1:13" ht="15" customHeight="1" x14ac:dyDescent="0.35">
      <c r="A160" s="8" t="s">
        <v>29</v>
      </c>
      <c r="B160" s="9" t="str">
        <f>IFERROR(INDEX('CASE MASTER'!$R$2:$R$495,MATCH("Case CDI Plate 14: B1",'CASE MASTER'!$H$2:$H$495,0)),"")</f>
        <v/>
      </c>
      <c r="C160" s="9" t="str">
        <f>IFERROR(INDEX('CASE MASTER'!$R$2:$R$495,MATCH("Case CDI Plate 14: B2",'CASE MASTER'!$H$2:$H$495,0)),"")</f>
        <v/>
      </c>
      <c r="D160" s="9" t="str">
        <f>IFERROR(INDEX('CASE MASTER'!$R$2:$R$495,MATCH("Case CDI Plate 14: B3",'CASE MASTER'!$H$2:$H$495,0)),"")</f>
        <v/>
      </c>
      <c r="E160" s="9" t="str">
        <f>IFERROR(INDEX('CASE MASTER'!$R$2:$R$495,MATCH("Case CDI Plate 14: B4",'CASE MASTER'!$H$2:$H$495,0)),"")</f>
        <v/>
      </c>
      <c r="F160" s="9" t="str">
        <f>IFERROR(INDEX('CASE MASTER'!$R$2:$R$495,MATCH("Case CDI Plate 14: B5",'CASE MASTER'!$H$2:$H$495,0)),"")</f>
        <v/>
      </c>
      <c r="G160" s="9" t="str">
        <f>IFERROR(INDEX('CASE MASTER'!$R$2:$R$495,MATCH("Case CDI Plate 14: B6",'CASE MASTER'!$H$2:$H$495,0)),"")</f>
        <v/>
      </c>
      <c r="H160" s="9" t="str">
        <f>IFERROR(INDEX('CASE MASTER'!$R$2:$R$495,MATCH("Case CDI Plate 14: B7",'CASE MASTER'!$H$2:$H$495,0)),"")</f>
        <v/>
      </c>
      <c r="I160" s="9" t="str">
        <f>IFERROR(INDEX('CASE MASTER'!$R$2:$R$495,MATCH("Case CDI Plate 14: B8",'CASE MASTER'!$H$2:$H$495,0)),"")</f>
        <v/>
      </c>
      <c r="J160" s="9" t="str">
        <f>IFERROR(INDEX('CASE MASTER'!$R$2:$R$495,MATCH("Case CDI Plate 14: B9",'CASE MASTER'!$H$2:$H$495,0)),"")</f>
        <v/>
      </c>
      <c r="K160" s="9" t="str">
        <f>IFERROR(INDEX('CASE MASTER'!$R$2:$R$495,MATCH("Case CDI Plate 14: B10",'CASE MASTER'!$H$2:$H$495,0)),"")</f>
        <v/>
      </c>
      <c r="L160" s="9" t="str">
        <f>IFERROR(INDEX('CASE MASTER'!$R$2:$R$495,MATCH("Case CDI Plate 14: B11",'CASE MASTER'!$H$2:$H$495,0)),"")</f>
        <v/>
      </c>
      <c r="M160" s="9" t="str">
        <f>IFERROR(INDEX('CASE MASTER'!$R$2:$R$495,MATCH("Case CDI Plate 14: B12",'CASE MASTER'!$H$2:$H$495,0)),"")</f>
        <v/>
      </c>
    </row>
    <row r="161" spans="1:13" ht="15" customHeight="1" x14ac:dyDescent="0.35">
      <c r="A161" s="8" t="s">
        <v>30</v>
      </c>
      <c r="B161" s="9" t="str">
        <f>IFERROR(INDEX('CASE MASTER'!$R$2:$R$495,MATCH("Case CDI Plate 14: C1",'CASE MASTER'!$H$2:$H$495,0)),"")</f>
        <v/>
      </c>
      <c r="C161" s="9" t="str">
        <f>IFERROR(INDEX('CASE MASTER'!$R$2:$R$495,MATCH("Case CDI Plate 14: C2",'CASE MASTER'!$H$2:$H$495,0)),"")</f>
        <v/>
      </c>
      <c r="D161" s="9" t="str">
        <f>IFERROR(INDEX('CASE MASTER'!$R$2:$R$495,MATCH("Case CDI Plate 14: C3",'CASE MASTER'!$H$2:$H$495,0)),"")</f>
        <v/>
      </c>
      <c r="E161" s="9" t="str">
        <f>IFERROR(INDEX('CASE MASTER'!$R$2:$R$495,MATCH("Case CDI Plate 14: C4",'CASE MASTER'!$H$2:$H$495,0)),"")</f>
        <v/>
      </c>
      <c r="F161" s="9" t="str">
        <f>IFERROR(INDEX('CASE MASTER'!$R$2:$R$495,MATCH("Case CDI Plate 14: C5",'CASE MASTER'!$H$2:$H$495,0)),"")</f>
        <v/>
      </c>
      <c r="G161" s="9" t="str">
        <f>IFERROR(INDEX('CASE MASTER'!$R$2:$R$495,MATCH("Case CDI Plate 14: C6",'CASE MASTER'!$H$2:$H$495,0)),"")</f>
        <v/>
      </c>
      <c r="H161" s="9" t="str">
        <f>IFERROR(INDEX('CASE MASTER'!$R$2:$R$495,MATCH("Case CDI Plate 14: C7",'CASE MASTER'!$H$2:$H$495,0)),"")</f>
        <v/>
      </c>
      <c r="I161" s="9" t="str">
        <f>IFERROR(INDEX('CASE MASTER'!$R$2:$R$495,MATCH("Case CDI Plate 14: C8",'CASE MASTER'!$H$2:$H$495,0)),"")</f>
        <v/>
      </c>
      <c r="J161" s="9" t="str">
        <f>IFERROR(INDEX('CASE MASTER'!$R$2:$R$495,MATCH("Case CDI Plate 14: C9",'CASE MASTER'!$H$2:$H$495,0)),"")</f>
        <v/>
      </c>
      <c r="K161" s="9" t="str">
        <f>IFERROR(INDEX('CASE MASTER'!$R$2:$R$495,MATCH("Case CDI Plate 14: C10",'CASE MASTER'!$H$2:$H$495,0)),"")</f>
        <v/>
      </c>
      <c r="L161" s="9" t="str">
        <f>IFERROR(INDEX('CASE MASTER'!$R$2:$R$495,MATCH("Case CDI Plate 14: C11",'CASE MASTER'!$H$2:$H$495,0)),"")</f>
        <v/>
      </c>
      <c r="M161" s="9" t="str">
        <f>IFERROR(INDEX('CASE MASTER'!$R$2:$R$495,MATCH("Case CDI Plate 14: C12",'CASE MASTER'!$H$2:$H$495,0)),"")</f>
        <v/>
      </c>
    </row>
    <row r="162" spans="1:13" ht="15" customHeight="1" x14ac:dyDescent="0.35">
      <c r="A162" s="8" t="s">
        <v>31</v>
      </c>
      <c r="B162" s="9" t="str">
        <f>IFERROR(INDEX('CASE MASTER'!$R$2:$R$495,MATCH("Case CDI Plate 14: D1",'CASE MASTER'!$H$2:$H$495,0)),"")</f>
        <v/>
      </c>
      <c r="C162" s="9" t="str">
        <f>IFERROR(INDEX('CASE MASTER'!$R$2:$R$495,MATCH("Case CDI Plate 14: D2",'CASE MASTER'!$H$2:$H$495,0)),"")</f>
        <v/>
      </c>
      <c r="D162" s="9" t="str">
        <f>IFERROR(INDEX('CASE MASTER'!$R$2:$R$495,MATCH("Case CDI Plate 14: D3",'CASE MASTER'!$H$2:$H$495,0)),"")</f>
        <v/>
      </c>
      <c r="E162" s="9" t="str">
        <f>IFERROR(INDEX('CASE MASTER'!$R$2:$R$495,MATCH("Case CDI Plate 14: D4",'CASE MASTER'!$H$2:$H$495,0)),"")</f>
        <v/>
      </c>
      <c r="F162" s="9" t="str">
        <f>IFERROR(INDEX('CASE MASTER'!$R$2:$R$495,MATCH("Case CDI Plate 14: D5",'CASE MASTER'!$H$2:$H$495,0)),"")</f>
        <v/>
      </c>
      <c r="G162" s="9" t="str">
        <f>IFERROR(INDEX('CASE MASTER'!$R$2:$R$495,MATCH("Case CDI Plate 14: D6",'CASE MASTER'!$H$2:$H$495,0)),"")</f>
        <v/>
      </c>
      <c r="H162" s="9" t="str">
        <f>IFERROR(INDEX('CASE MASTER'!$R$2:$R$495,MATCH("Case CDI Plate 14: D7",'CASE MASTER'!$H$2:$H$495,0)),"")</f>
        <v/>
      </c>
      <c r="I162" s="9" t="str">
        <f>IFERROR(INDEX('CASE MASTER'!$R$2:$R$495,MATCH("Case CDI Plate 14: D8",'CASE MASTER'!$H$2:$H$495,0)),"")</f>
        <v/>
      </c>
      <c r="J162" s="9" t="str">
        <f>IFERROR(INDEX('CASE MASTER'!$R$2:$R$495,MATCH("Case CDI Plate 14: D9",'CASE MASTER'!$H$2:$H$495,0)),"")</f>
        <v/>
      </c>
      <c r="K162" s="9" t="str">
        <f>IFERROR(INDEX('CASE MASTER'!$R$2:$R$495,MATCH("Case CDI Plate 14: D10",'CASE MASTER'!$H$2:$H$495,0)),"")</f>
        <v/>
      </c>
      <c r="L162" s="9" t="str">
        <f>IFERROR(INDEX('CASE MASTER'!$R$2:$R$495,MATCH("Case CDI Plate 14: D11",'CASE MASTER'!$H$2:$H$495,0)),"")</f>
        <v/>
      </c>
      <c r="M162" s="9" t="str">
        <f>IFERROR(INDEX('CASE MASTER'!$R$2:$R$495,MATCH("Case CDI Plate 14: D12",'CASE MASTER'!$H$2:$H$495,0)),"")</f>
        <v/>
      </c>
    </row>
    <row r="163" spans="1:13" ht="15" customHeight="1" x14ac:dyDescent="0.35">
      <c r="A163" s="8" t="s">
        <v>32</v>
      </c>
      <c r="B163" s="9" t="str">
        <f>IFERROR(INDEX('CASE MASTER'!$R$2:$R$495,MATCH("Case CDI Plate 14: E1",'CASE MASTER'!$H$2:$H$495,0)),"")</f>
        <v/>
      </c>
      <c r="C163" s="9" t="str">
        <f>IFERROR(INDEX('CASE MASTER'!$R$2:$R$495,MATCH("Case CDI Plate 14: E2",'CASE MASTER'!$H$2:$H$495,0)),"")</f>
        <v/>
      </c>
      <c r="D163" s="9" t="str">
        <f>IFERROR(INDEX('CASE MASTER'!$R$2:$R$495,MATCH("Case CDI Plate 14: E3",'CASE MASTER'!$H$2:$H$495,0)),"")</f>
        <v/>
      </c>
      <c r="E163" s="9" t="str">
        <f>IFERROR(INDEX('CASE MASTER'!$R$2:$R$495,MATCH("Case CDI Plate 14: E4",'CASE MASTER'!$H$2:$H$495,0)),"")</f>
        <v/>
      </c>
      <c r="F163" s="9" t="str">
        <f>IFERROR(INDEX('CASE MASTER'!$R$2:$R$495,MATCH("Case CDI Plate 14: E5",'CASE MASTER'!$H$2:$H$495,0)),"")</f>
        <v/>
      </c>
      <c r="G163" s="9" t="str">
        <f>IFERROR(INDEX('CASE MASTER'!$R$2:$R$495,MATCH("Case CDI Plate 14: E6",'CASE MASTER'!$H$2:$H$495,0)),"")</f>
        <v/>
      </c>
      <c r="H163" s="9" t="str">
        <f>IFERROR(INDEX('CASE MASTER'!$R$2:$R$495,MATCH("Case CDI Plate 14: E7",'CASE MASTER'!$H$2:$H$495,0)),"")</f>
        <v/>
      </c>
      <c r="I163" s="9" t="str">
        <f>IFERROR(INDEX('CASE MASTER'!$R$2:$R$495,MATCH("Case CDI Plate 14: E8",'CASE MASTER'!$H$2:$H$495,0)),"")</f>
        <v/>
      </c>
      <c r="J163" s="9" t="str">
        <f>IFERROR(INDEX('CASE MASTER'!$R$2:$R$495,MATCH("Case CDI Plate 14: E9",'CASE MASTER'!$H$2:$H$495,0)),"")</f>
        <v/>
      </c>
      <c r="K163" s="9" t="str">
        <f>IFERROR(INDEX('CASE MASTER'!$R$2:$R$495,MATCH("Case CDI Plate 14: E10",'CASE MASTER'!$H$2:$H$495,0)),"")</f>
        <v/>
      </c>
      <c r="L163" s="9" t="str">
        <f>IFERROR(INDEX('CASE MASTER'!$R$2:$R$495,MATCH("Case CDI Plate 14: E11",'CASE MASTER'!$H$2:$H$495,0)),"")</f>
        <v/>
      </c>
      <c r="M163" s="9" t="str">
        <f>IFERROR(INDEX('CASE MASTER'!$R$2:$R$495,MATCH("Case CDI Plate 14: E12",'CASE MASTER'!$H$2:$H$495,0)),"")</f>
        <v/>
      </c>
    </row>
    <row r="164" spans="1:13" ht="15" customHeight="1" x14ac:dyDescent="0.35">
      <c r="A164" s="8" t="s">
        <v>33</v>
      </c>
      <c r="B164" s="9" t="str">
        <f>IFERROR(INDEX('CASE MASTER'!$R$2:$R$495,MATCH("Case CDI Plate 14: F1",'CASE MASTER'!$H$2:$H$495,0)),"")</f>
        <v/>
      </c>
      <c r="C164" s="9" t="str">
        <f>IFERROR(INDEX('CASE MASTER'!$R$2:$R$495,MATCH("Case CDI Plate 14: F2",'CASE MASTER'!$H$2:$H$495,0)),"")</f>
        <v/>
      </c>
      <c r="D164" s="9" t="str">
        <f>IFERROR(INDEX('CASE MASTER'!$R$2:$R$495,MATCH("Case CDI Plate 14: F3",'CASE MASTER'!$H$2:$H$495,0)),"")</f>
        <v/>
      </c>
      <c r="E164" s="9" t="str">
        <f>IFERROR(INDEX('CASE MASTER'!$R$2:$R$495,MATCH("Case CDI Plate 14: F4",'CASE MASTER'!$H$2:$H$495,0)),"")</f>
        <v/>
      </c>
      <c r="F164" s="9" t="str">
        <f>IFERROR(INDEX('CASE MASTER'!$R$2:$R$495,MATCH("Case CDI Plate 14: F5",'CASE MASTER'!$H$2:$H$495,0)),"")</f>
        <v/>
      </c>
      <c r="G164" s="9" t="str">
        <f>IFERROR(INDEX('CASE MASTER'!$R$2:$R$495,MATCH("Case CDI Plate 14: F6",'CASE MASTER'!$H$2:$H$495,0)),"")</f>
        <v/>
      </c>
      <c r="H164" s="9" t="str">
        <f>IFERROR(INDEX('CASE MASTER'!$R$2:$R$495,MATCH("Case CDI Plate 14: F7",'CASE MASTER'!$H$2:$H$495,0)),"")</f>
        <v/>
      </c>
      <c r="I164" s="9" t="str">
        <f>IFERROR(INDEX('CASE MASTER'!$R$2:$R$495,MATCH("Case CDI Plate 14: F8",'CASE MASTER'!$H$2:$H$495,0)),"")</f>
        <v/>
      </c>
      <c r="J164" s="9" t="str">
        <f>IFERROR(INDEX('CASE MASTER'!$R$2:$R$495,MATCH("Case CDI Plate 14: F9",'CASE MASTER'!$H$2:$H$495,0)),"")</f>
        <v/>
      </c>
      <c r="K164" s="9" t="str">
        <f>IFERROR(INDEX('CASE MASTER'!$R$2:$R$495,MATCH("Case CDI Plate 14: F10",'CASE MASTER'!$H$2:$H$495,0)),"")</f>
        <v/>
      </c>
      <c r="L164" s="9" t="str">
        <f>IFERROR(INDEX('CASE MASTER'!$R$2:$R$495,MATCH("Case CDI Plate 14: F11",'CASE MASTER'!$H$2:$H$495,0)),"")</f>
        <v/>
      </c>
      <c r="M164" s="9" t="str">
        <f>IFERROR(INDEX('CASE MASTER'!$R$2:$R$495,MATCH("Case CDI Plate 14: F12",'CASE MASTER'!$H$2:$H$495,0)),"")</f>
        <v/>
      </c>
    </row>
    <row r="165" spans="1:13" ht="15" customHeight="1" x14ac:dyDescent="0.35">
      <c r="A165" s="8" t="s">
        <v>34</v>
      </c>
      <c r="B165" s="9" t="str">
        <f>IFERROR(INDEX('CASE MASTER'!$R$2:$R$495,MATCH("Case CDI Plate 14: G1",'CASE MASTER'!$H$2:$H$495,0)),"")</f>
        <v/>
      </c>
      <c r="C165" s="9" t="str">
        <f>IFERROR(INDEX('CASE MASTER'!$R$2:$R$495,MATCH("Case CDI Plate 14: G2",'CASE MASTER'!$H$2:$H$495,0)),"")</f>
        <v/>
      </c>
      <c r="D165" s="9" t="str">
        <f>IFERROR(INDEX('CASE MASTER'!$R$2:$R$495,MATCH("Case CDI Plate 14: G3",'CASE MASTER'!$H$2:$H$495,0)),"")</f>
        <v/>
      </c>
      <c r="E165" s="9" t="str">
        <f>IFERROR(INDEX('CASE MASTER'!$R$2:$R$495,MATCH("Case CDI Plate 14: G4",'CASE MASTER'!$H$2:$H$495,0)),"")</f>
        <v/>
      </c>
      <c r="F165" s="9" t="str">
        <f>IFERROR(INDEX('CASE MASTER'!$R$2:$R$495,MATCH("Case CDI Plate 14: G5",'CASE MASTER'!$H$2:$H$495,0)),"")</f>
        <v/>
      </c>
      <c r="G165" s="9" t="str">
        <f>IFERROR(INDEX('CASE MASTER'!$R$2:$R$495,MATCH("Case CDI Plate 14: G6",'CASE MASTER'!$H$2:$H$495,0)),"")</f>
        <v/>
      </c>
      <c r="H165" s="9" t="str">
        <f>IFERROR(INDEX('CASE MASTER'!$R$2:$R$495,MATCH("Case CDI Plate 14: G7",'CASE MASTER'!$H$2:$H$495,0)),"")</f>
        <v/>
      </c>
      <c r="I165" s="9" t="str">
        <f>IFERROR(INDEX('CASE MASTER'!$R$2:$R$495,MATCH("Case CDI Plate 14: G8",'CASE MASTER'!$H$2:$H$495,0)),"")</f>
        <v/>
      </c>
      <c r="J165" s="9" t="str">
        <f>IFERROR(INDEX('CASE MASTER'!$R$2:$R$495,MATCH("Case CDI Plate 14: G9",'CASE MASTER'!$H$2:$H$495,0)),"")</f>
        <v/>
      </c>
      <c r="K165" s="9" t="str">
        <f>IFERROR(INDEX('CASE MASTER'!$R$2:$R$495,MATCH("Case CDI Plate 14: G10",'CASE MASTER'!$H$2:$H$495,0)),"")</f>
        <v/>
      </c>
      <c r="L165" s="9" t="str">
        <f>IFERROR(INDEX('CASE MASTER'!$R$2:$R$495,MATCH("Case CDI Plate 14: G11",'CASE MASTER'!$H$2:$H$495,0)),"")</f>
        <v/>
      </c>
      <c r="M165" s="9" t="str">
        <f>IFERROR(INDEX('CASE MASTER'!$R$2:$R$495,MATCH("Case CDI Plate 14: G12",'CASE MASTER'!$H$2:$H$495,0)),"")</f>
        <v/>
      </c>
    </row>
    <row r="166" spans="1:13" ht="15" customHeight="1" x14ac:dyDescent="0.35">
      <c r="A166" s="8" t="s">
        <v>35</v>
      </c>
      <c r="B166" s="9" t="str">
        <f>IFERROR(INDEX('CASE MASTER'!$R$2:$R$495,MATCH("Case CDI Plate 14: H1",'CASE MASTER'!$H$2:$H$495,0)),"")</f>
        <v/>
      </c>
      <c r="C166" s="9" t="str">
        <f>IFERROR(INDEX('CASE MASTER'!$R$2:$R$495,MATCH("Case CDI Plate 14: H2",'CASE MASTER'!$H$2:$H$495,0)),"")</f>
        <v/>
      </c>
      <c r="D166" s="9" t="str">
        <f>IFERROR(INDEX('CASE MASTER'!$R$2:$R$495,MATCH("Case CDI Plate 14: H3",'CASE MASTER'!$H$2:$H$495,0)),"")</f>
        <v/>
      </c>
      <c r="E166" s="9" t="str">
        <f>IFERROR(INDEX('CASE MASTER'!$R$2:$R$495,MATCH("Case CDI Plate 14: H4",'CASE MASTER'!$H$2:$H$495,0)),"")</f>
        <v/>
      </c>
      <c r="F166" s="9" t="str">
        <f>IFERROR(INDEX('CASE MASTER'!$R$2:$R$495,MATCH("Case CDI Plate 14: H5",'CASE MASTER'!$H$2:$H$495,0)),"")</f>
        <v/>
      </c>
      <c r="G166" s="9" t="str">
        <f>IFERROR(INDEX('CASE MASTER'!$R$2:$R$495,MATCH("Case CDI Plate 14: H6",'CASE MASTER'!$H$2:$H$495,0)),"")</f>
        <v/>
      </c>
      <c r="H166" s="9" t="str">
        <f>IFERROR(INDEX('CASE MASTER'!$R$2:$R$495,MATCH("Case CDI Plate 14: H7",'CASE MASTER'!$H$2:$H$495,0)),"")</f>
        <v/>
      </c>
      <c r="I166" s="9" t="str">
        <f>IFERROR(INDEX('CASE MASTER'!$R$2:$R$495,MATCH("Case CDI Plate 14: H8",'CASE MASTER'!$H$2:$H$495,0)),"")</f>
        <v/>
      </c>
      <c r="J166" s="9" t="str">
        <f>IFERROR(INDEX('CASE MASTER'!$R$2:$R$495,MATCH("Case CDI Plate 14: H9",'CASE MASTER'!$H$2:$H$495,0)),"")</f>
        <v/>
      </c>
      <c r="K166" s="9" t="str">
        <f>IFERROR(INDEX('CASE MASTER'!$R$2:$R$495,MATCH("Case CDI Plate 14: H10",'CASE MASTER'!$H$2:$H$495,0)),"")</f>
        <v/>
      </c>
      <c r="L166" s="9" t="str">
        <f>IFERROR(INDEX('CASE MASTER'!$R$2:$R$495,MATCH("Case CDI Plate 14: H11",'CASE MASTER'!$H$2:$H$495,0)),"")</f>
        <v/>
      </c>
      <c r="M166" s="9" t="str">
        <f>IFERROR(INDEX('CASE MASTER'!$R$2:$R$495,MATCH("Case CDI Plate 14: H12",'CASE MASTER'!$H$2:$H$495,0)),"")</f>
        <v/>
      </c>
    </row>
    <row r="169" spans="1:13" ht="15" customHeight="1" x14ac:dyDescent="0.35">
      <c r="A169" s="12" t="s">
        <v>49</v>
      </c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</row>
    <row r="170" spans="1:13" ht="15" customHeight="1" x14ac:dyDescent="0.35">
      <c r="B170" s="8">
        <v>1</v>
      </c>
      <c r="C170" s="8">
        <v>2</v>
      </c>
      <c r="D170" s="8">
        <v>3</v>
      </c>
      <c r="E170" s="8">
        <v>4</v>
      </c>
      <c r="F170" s="8">
        <v>5</v>
      </c>
      <c r="G170" s="8">
        <v>6</v>
      </c>
      <c r="H170" s="8">
        <v>7</v>
      </c>
      <c r="I170" s="8">
        <v>8</v>
      </c>
      <c r="J170" s="8">
        <v>9</v>
      </c>
      <c r="K170" s="8">
        <v>10</v>
      </c>
      <c r="L170" s="8">
        <v>11</v>
      </c>
      <c r="M170" s="8">
        <v>12</v>
      </c>
    </row>
    <row r="171" spans="1:13" ht="15" customHeight="1" x14ac:dyDescent="0.35">
      <c r="A171" s="8" t="s">
        <v>28</v>
      </c>
      <c r="B171" s="9" t="str">
        <f>IFERROR(INDEX('CASE MASTER'!$R$2:$R$495,MATCH("Case CDI Plate 15: A1",'CASE MASTER'!$H$2:$H$495,0)),"")</f>
        <v/>
      </c>
      <c r="C171" s="9" t="str">
        <f>IFERROR(INDEX('CASE MASTER'!$R$2:$R$495,MATCH("Case CDI Plate 15: A2",'CASE MASTER'!$H$2:$H$495,0)),"")</f>
        <v/>
      </c>
      <c r="D171" s="9" t="str">
        <f>IFERROR(INDEX('CASE MASTER'!$R$2:$R$495,MATCH("Case CDI Plate 15: A3",'CASE MASTER'!$H$2:$H$495,0)),"")</f>
        <v/>
      </c>
      <c r="E171" s="9" t="str">
        <f>IFERROR(INDEX('CASE MASTER'!$R$2:$R$495,MATCH("Case CDI Plate 15: A4",'CASE MASTER'!$H$2:$H$495,0)),"")</f>
        <v/>
      </c>
      <c r="F171" s="9" t="str">
        <f>IFERROR(INDEX('CASE MASTER'!$R$2:$R$495,MATCH("Case CDI Plate 15: A5",'CASE MASTER'!$H$2:$H$495,0)),"")</f>
        <v/>
      </c>
      <c r="G171" s="9" t="str">
        <f>IFERROR(INDEX('CASE MASTER'!$R$2:$R$495,MATCH("Case CDI Plate 15: A6",'CASE MASTER'!$H$2:$H$495,0)),"")</f>
        <v/>
      </c>
      <c r="H171" s="9" t="str">
        <f>IFERROR(INDEX('CASE MASTER'!$R$2:$R$495,MATCH("Case CDI Plate 15: A7",'CASE MASTER'!$H$2:$H$495,0)),"")</f>
        <v/>
      </c>
      <c r="I171" s="9" t="str">
        <f>IFERROR(INDEX('CASE MASTER'!$R$2:$R$495,MATCH("Case CDI Plate 15: A8",'CASE MASTER'!$H$2:$H$495,0)),"")</f>
        <v/>
      </c>
      <c r="J171" s="9" t="str">
        <f>IFERROR(INDEX('CASE MASTER'!$R$2:$R$495,MATCH("Case CDI Plate 15: A9",'CASE MASTER'!$H$2:$H$495,0)),"")</f>
        <v/>
      </c>
      <c r="K171" s="9" t="str">
        <f>IFERROR(INDEX('CASE MASTER'!$R$2:$R$495,MATCH("Case CDI Plate 15: A10",'CASE MASTER'!$H$2:$H$495,0)),"")</f>
        <v/>
      </c>
      <c r="L171" s="9" t="str">
        <f>IFERROR(INDEX('CASE MASTER'!$R$2:$R$495,MATCH("Case CDI Plate 15: A11",'CASE MASTER'!$H$2:$H$495,0)),"")</f>
        <v/>
      </c>
      <c r="M171" s="9" t="str">
        <f>IFERROR(INDEX('CASE MASTER'!$R$2:$R$495,MATCH("Case CDI Plate 15: A12",'CASE MASTER'!$H$2:$H$495,0)),"")</f>
        <v/>
      </c>
    </row>
    <row r="172" spans="1:13" ht="15" customHeight="1" x14ac:dyDescent="0.35">
      <c r="A172" s="8" t="s">
        <v>29</v>
      </c>
      <c r="B172" s="9" t="str">
        <f>IFERROR(INDEX('CASE MASTER'!$R$2:$R$495,MATCH("Case CDI Plate 15: B1",'CASE MASTER'!$H$2:$H$495,0)),"")</f>
        <v/>
      </c>
      <c r="C172" s="9" t="str">
        <f>IFERROR(INDEX('CASE MASTER'!$R$2:$R$495,MATCH("Case CDI Plate 15: B2",'CASE MASTER'!$H$2:$H$495,0)),"")</f>
        <v/>
      </c>
      <c r="D172" s="9" t="str">
        <f>IFERROR(INDEX('CASE MASTER'!$R$2:$R$495,MATCH("Case CDI Plate 15: B3",'CASE MASTER'!$H$2:$H$495,0)),"")</f>
        <v/>
      </c>
      <c r="E172" s="9" t="str">
        <f>IFERROR(INDEX('CASE MASTER'!$R$2:$R$495,MATCH("Case CDI Plate 15: B4",'CASE MASTER'!$H$2:$H$495,0)),"")</f>
        <v/>
      </c>
      <c r="F172" s="9" t="str">
        <f>IFERROR(INDEX('CASE MASTER'!$R$2:$R$495,MATCH("Case CDI Plate 15: B5",'CASE MASTER'!$H$2:$H$495,0)),"")</f>
        <v/>
      </c>
      <c r="G172" s="9" t="str">
        <f>IFERROR(INDEX('CASE MASTER'!$R$2:$R$495,MATCH("Case CDI Plate 15: B6",'CASE MASTER'!$H$2:$H$495,0)),"")</f>
        <v/>
      </c>
      <c r="H172" s="9" t="str">
        <f>IFERROR(INDEX('CASE MASTER'!$R$2:$R$495,MATCH("Case CDI Plate 15: B7",'CASE MASTER'!$H$2:$H$495,0)),"")</f>
        <v/>
      </c>
      <c r="I172" s="9" t="str">
        <f>IFERROR(INDEX('CASE MASTER'!$R$2:$R$495,MATCH("Case CDI Plate 15: B8",'CASE MASTER'!$H$2:$H$495,0)),"")</f>
        <v/>
      </c>
      <c r="J172" s="9" t="str">
        <f>IFERROR(INDEX('CASE MASTER'!$R$2:$R$495,MATCH("Case CDI Plate 15: B9",'CASE MASTER'!$H$2:$H$495,0)),"")</f>
        <v/>
      </c>
      <c r="K172" s="9" t="str">
        <f>IFERROR(INDEX('CASE MASTER'!$R$2:$R$495,MATCH("Case CDI Plate 15: B10",'CASE MASTER'!$H$2:$H$495,0)),"")</f>
        <v/>
      </c>
      <c r="L172" s="9" t="str">
        <f>IFERROR(INDEX('CASE MASTER'!$R$2:$R$495,MATCH("Case CDI Plate 15: B11",'CASE MASTER'!$H$2:$H$495,0)),"")</f>
        <v/>
      </c>
      <c r="M172" s="9" t="str">
        <f>IFERROR(INDEX('CASE MASTER'!$R$2:$R$495,MATCH("Case CDI Plate 15: B12",'CASE MASTER'!$H$2:$H$495,0)),"")</f>
        <v/>
      </c>
    </row>
    <row r="173" spans="1:13" ht="15" customHeight="1" x14ac:dyDescent="0.35">
      <c r="A173" s="8" t="s">
        <v>30</v>
      </c>
      <c r="B173" s="9" t="str">
        <f>IFERROR(INDEX('CASE MASTER'!$R$2:$R$495,MATCH("Case CDI Plate 15: C1",'CASE MASTER'!$H$2:$H$495,0)),"")</f>
        <v/>
      </c>
      <c r="C173" s="9" t="str">
        <f>IFERROR(INDEX('CASE MASTER'!$R$2:$R$495,MATCH("Case CDI Plate 15: C2",'CASE MASTER'!$H$2:$H$495,0)),"")</f>
        <v/>
      </c>
      <c r="D173" s="9" t="str">
        <f>IFERROR(INDEX('CASE MASTER'!$R$2:$R$495,MATCH("Case CDI Plate 15: C3",'CASE MASTER'!$H$2:$H$495,0)),"")</f>
        <v/>
      </c>
      <c r="E173" s="9" t="str">
        <f>IFERROR(INDEX('CASE MASTER'!$R$2:$R$495,MATCH("Case CDI Plate 15: C4",'CASE MASTER'!$H$2:$H$495,0)),"")</f>
        <v/>
      </c>
      <c r="F173" s="9" t="str">
        <f>IFERROR(INDEX('CASE MASTER'!$R$2:$R$495,MATCH("Case CDI Plate 15: C5",'CASE MASTER'!$H$2:$H$495,0)),"")</f>
        <v/>
      </c>
      <c r="G173" s="9" t="str">
        <f>IFERROR(INDEX('CASE MASTER'!$R$2:$R$495,MATCH("Case CDI Plate 15: C6",'CASE MASTER'!$H$2:$H$495,0)),"")</f>
        <v/>
      </c>
      <c r="H173" s="9" t="str">
        <f>IFERROR(INDEX('CASE MASTER'!$R$2:$R$495,MATCH("Case CDI Plate 15: C7",'CASE MASTER'!$H$2:$H$495,0)),"")</f>
        <v/>
      </c>
      <c r="I173" s="9" t="str">
        <f>IFERROR(INDEX('CASE MASTER'!$R$2:$R$495,MATCH("Case CDI Plate 15: C8",'CASE MASTER'!$H$2:$H$495,0)),"")</f>
        <v/>
      </c>
      <c r="J173" s="9" t="str">
        <f>IFERROR(INDEX('CASE MASTER'!$R$2:$R$495,MATCH("Case CDI Plate 15: C9",'CASE MASTER'!$H$2:$H$495,0)),"")</f>
        <v/>
      </c>
      <c r="K173" s="9" t="str">
        <f>IFERROR(INDEX('CASE MASTER'!$R$2:$R$495,MATCH("Case CDI Plate 15: C10",'CASE MASTER'!$H$2:$H$495,0)),"")</f>
        <v/>
      </c>
      <c r="L173" s="9" t="str">
        <f>IFERROR(INDEX('CASE MASTER'!$R$2:$R$495,MATCH("Case CDI Plate 15: C11",'CASE MASTER'!$H$2:$H$495,0)),"")</f>
        <v/>
      </c>
      <c r="M173" s="9" t="str">
        <f>IFERROR(INDEX('CASE MASTER'!$R$2:$R$495,MATCH("Case CDI Plate 15: C12",'CASE MASTER'!$H$2:$H$495,0)),"")</f>
        <v/>
      </c>
    </row>
    <row r="174" spans="1:13" ht="15" customHeight="1" x14ac:dyDescent="0.35">
      <c r="A174" s="8" t="s">
        <v>31</v>
      </c>
      <c r="B174" s="9" t="str">
        <f>IFERROR(INDEX('CASE MASTER'!$R$2:$R$495,MATCH("Case CDI Plate 15: D1",'CASE MASTER'!$H$2:$H$495,0)),"")</f>
        <v/>
      </c>
      <c r="C174" s="9" t="str">
        <f>IFERROR(INDEX('CASE MASTER'!$R$2:$R$495,MATCH("Case CDI Plate 15: D2",'CASE MASTER'!$H$2:$H$495,0)),"")</f>
        <v/>
      </c>
      <c r="D174" s="9" t="str">
        <f>IFERROR(INDEX('CASE MASTER'!$R$2:$R$495,MATCH("Case CDI Plate 15: D3",'CASE MASTER'!$H$2:$H$495,0)),"")</f>
        <v/>
      </c>
      <c r="E174" s="9" t="str">
        <f>IFERROR(INDEX('CASE MASTER'!$R$2:$R$495,MATCH("Case CDI Plate 15: D4",'CASE MASTER'!$H$2:$H$495,0)),"")</f>
        <v/>
      </c>
      <c r="F174" s="9" t="str">
        <f>IFERROR(INDEX('CASE MASTER'!$R$2:$R$495,MATCH("Case CDI Plate 15: D5",'CASE MASTER'!$H$2:$H$495,0)),"")</f>
        <v/>
      </c>
      <c r="G174" s="9" t="str">
        <f>IFERROR(INDEX('CASE MASTER'!$R$2:$R$495,MATCH("Case CDI Plate 15: D6",'CASE MASTER'!$H$2:$H$495,0)),"")</f>
        <v/>
      </c>
      <c r="H174" s="9" t="str">
        <f>IFERROR(INDEX('CASE MASTER'!$R$2:$R$495,MATCH("Case CDI Plate 15: D7",'CASE MASTER'!$H$2:$H$495,0)),"")</f>
        <v/>
      </c>
      <c r="I174" s="9" t="str">
        <f>IFERROR(INDEX('CASE MASTER'!$R$2:$R$495,MATCH("Case CDI Plate 15: D8",'CASE MASTER'!$H$2:$H$495,0)),"")</f>
        <v/>
      </c>
      <c r="J174" s="9" t="str">
        <f>IFERROR(INDEX('CASE MASTER'!$R$2:$R$495,MATCH("Case CDI Plate 15: D9",'CASE MASTER'!$H$2:$H$495,0)),"")</f>
        <v/>
      </c>
      <c r="K174" s="9" t="str">
        <f>IFERROR(INDEX('CASE MASTER'!$R$2:$R$495,MATCH("Case CDI Plate 15: D10",'CASE MASTER'!$H$2:$H$495,0)),"")</f>
        <v/>
      </c>
      <c r="L174" s="9" t="str">
        <f>IFERROR(INDEX('CASE MASTER'!$R$2:$R$495,MATCH("Case CDI Plate 15: D11",'CASE MASTER'!$H$2:$H$495,0)),"")</f>
        <v/>
      </c>
      <c r="M174" s="9" t="str">
        <f>IFERROR(INDEX('CASE MASTER'!$R$2:$R$495,MATCH("Case CDI Plate 15: D12",'CASE MASTER'!$H$2:$H$495,0)),"")</f>
        <v/>
      </c>
    </row>
    <row r="175" spans="1:13" ht="15" customHeight="1" x14ac:dyDescent="0.35">
      <c r="A175" s="8" t="s">
        <v>32</v>
      </c>
      <c r="B175" s="9" t="str">
        <f>IFERROR(INDEX('CASE MASTER'!$R$2:$R$495,MATCH("Case CDI Plate 15: E1",'CASE MASTER'!$H$2:$H$495,0)),"")</f>
        <v/>
      </c>
      <c r="C175" s="9" t="str">
        <f>IFERROR(INDEX('CASE MASTER'!$R$2:$R$495,MATCH("Case CDI Plate 15: E2",'CASE MASTER'!$H$2:$H$495,0)),"")</f>
        <v/>
      </c>
      <c r="D175" s="9" t="str">
        <f>IFERROR(INDEX('CASE MASTER'!$R$2:$R$495,MATCH("Case CDI Plate 15: E3",'CASE MASTER'!$H$2:$H$495,0)),"")</f>
        <v/>
      </c>
      <c r="E175" s="9" t="str">
        <f>IFERROR(INDEX('CASE MASTER'!$R$2:$R$495,MATCH("Case CDI Plate 15: E4",'CASE MASTER'!$H$2:$H$495,0)),"")</f>
        <v/>
      </c>
      <c r="F175" s="9" t="str">
        <f>IFERROR(INDEX('CASE MASTER'!$R$2:$R$495,MATCH("Case CDI Plate 15: E5",'CASE MASTER'!$H$2:$H$495,0)),"")</f>
        <v/>
      </c>
      <c r="G175" s="9" t="str">
        <f>IFERROR(INDEX('CASE MASTER'!$R$2:$R$495,MATCH("Case CDI Plate 15: E6",'CASE MASTER'!$H$2:$H$495,0)),"")</f>
        <v/>
      </c>
      <c r="H175" s="9" t="str">
        <f>IFERROR(INDEX('CASE MASTER'!$R$2:$R$495,MATCH("Case CDI Plate 15: E7",'CASE MASTER'!$H$2:$H$495,0)),"")</f>
        <v/>
      </c>
      <c r="I175" s="9" t="str">
        <f>IFERROR(INDEX('CASE MASTER'!$R$2:$R$495,MATCH("Case CDI Plate 15: E8",'CASE MASTER'!$H$2:$H$495,0)),"")</f>
        <v/>
      </c>
      <c r="J175" s="9" t="str">
        <f>IFERROR(INDEX('CASE MASTER'!$R$2:$R$495,MATCH("Case CDI Plate 15: E9",'CASE MASTER'!$H$2:$H$495,0)),"")</f>
        <v/>
      </c>
      <c r="K175" s="9" t="str">
        <f>IFERROR(INDEX('CASE MASTER'!$R$2:$R$495,MATCH("Case CDI Plate 15: E10",'CASE MASTER'!$H$2:$H$495,0)),"")</f>
        <v/>
      </c>
      <c r="L175" s="9" t="str">
        <f>IFERROR(INDEX('CASE MASTER'!$R$2:$R$495,MATCH("Case CDI Plate 15: E11",'CASE MASTER'!$H$2:$H$495,0)),"")</f>
        <v/>
      </c>
      <c r="M175" s="9" t="str">
        <f>IFERROR(INDEX('CASE MASTER'!$R$2:$R$495,MATCH("Case CDI Plate 15: E12",'CASE MASTER'!$H$2:$H$495,0)),"")</f>
        <v/>
      </c>
    </row>
    <row r="176" spans="1:13" ht="15" customHeight="1" x14ac:dyDescent="0.35">
      <c r="A176" s="8" t="s">
        <v>33</v>
      </c>
      <c r="B176" s="9" t="str">
        <f>IFERROR(INDEX('CASE MASTER'!$R$2:$R$495,MATCH("Case CDI Plate 15: F1",'CASE MASTER'!$H$2:$H$495,0)),"")</f>
        <v/>
      </c>
      <c r="C176" s="9" t="str">
        <f>IFERROR(INDEX('CASE MASTER'!$R$2:$R$495,MATCH("Case CDI Plate 15: F2",'CASE MASTER'!$H$2:$H$495,0)),"")</f>
        <v/>
      </c>
      <c r="D176" s="9" t="str">
        <f>IFERROR(INDEX('CASE MASTER'!$R$2:$R$495,MATCH("Case CDI Plate 15: F3",'CASE MASTER'!$H$2:$H$495,0)),"")</f>
        <v/>
      </c>
      <c r="E176" s="9" t="str">
        <f>IFERROR(INDEX('CASE MASTER'!$R$2:$R$495,MATCH("Case CDI Plate 15: F4",'CASE MASTER'!$H$2:$H$495,0)),"")</f>
        <v/>
      </c>
      <c r="F176" s="9" t="str">
        <f>IFERROR(INDEX('CASE MASTER'!$R$2:$R$495,MATCH("Case CDI Plate 15: F5",'CASE MASTER'!$H$2:$H$495,0)),"")</f>
        <v/>
      </c>
      <c r="G176" s="9" t="str">
        <f>IFERROR(INDEX('CASE MASTER'!$R$2:$R$495,MATCH("Case CDI Plate 15: F6",'CASE MASTER'!$H$2:$H$495,0)),"")</f>
        <v/>
      </c>
      <c r="H176" s="9" t="str">
        <f>IFERROR(INDEX('CASE MASTER'!$R$2:$R$495,MATCH("Case CDI Plate 15: F7",'CASE MASTER'!$H$2:$H$495,0)),"")</f>
        <v/>
      </c>
      <c r="I176" s="9" t="str">
        <f>IFERROR(INDEX('CASE MASTER'!$R$2:$R$495,MATCH("Case CDI Plate 15: F8",'CASE MASTER'!$H$2:$H$495,0)),"")</f>
        <v/>
      </c>
      <c r="J176" s="9" t="str">
        <f>IFERROR(INDEX('CASE MASTER'!$R$2:$R$495,MATCH("Case CDI Plate 15: F9",'CASE MASTER'!$H$2:$H$495,0)),"")</f>
        <v/>
      </c>
      <c r="K176" s="9" t="str">
        <f>IFERROR(INDEX('CASE MASTER'!$R$2:$R$495,MATCH("Case CDI Plate 15: F10",'CASE MASTER'!$H$2:$H$495,0)),"")</f>
        <v/>
      </c>
      <c r="L176" s="9" t="str">
        <f>IFERROR(INDEX('CASE MASTER'!$R$2:$R$495,MATCH("Case CDI Plate 15: F11",'CASE MASTER'!$H$2:$H$495,0)),"")</f>
        <v/>
      </c>
      <c r="M176" s="9" t="str">
        <f>IFERROR(INDEX('CASE MASTER'!$R$2:$R$495,MATCH("Case CDI Plate 15: F12",'CASE MASTER'!$H$2:$H$495,0)),"")</f>
        <v/>
      </c>
    </row>
    <row r="177" spans="1:13" ht="15" customHeight="1" x14ac:dyDescent="0.35">
      <c r="A177" s="8" t="s">
        <v>34</v>
      </c>
      <c r="B177" s="9" t="str">
        <f>IFERROR(INDEX('CASE MASTER'!$R$2:$R$495,MATCH("Case CDI Plate 15: G1",'CASE MASTER'!$H$2:$H$495,0)),"")</f>
        <v/>
      </c>
      <c r="C177" s="9" t="str">
        <f>IFERROR(INDEX('CASE MASTER'!$R$2:$R$495,MATCH("Case CDI Plate 15: G2",'CASE MASTER'!$H$2:$H$495,0)),"")</f>
        <v/>
      </c>
      <c r="D177" s="9" t="str">
        <f>IFERROR(INDEX('CASE MASTER'!$R$2:$R$495,MATCH("Case CDI Plate 15: G3",'CASE MASTER'!$H$2:$H$495,0)),"")</f>
        <v/>
      </c>
      <c r="E177" s="9" t="str">
        <f>IFERROR(INDEX('CASE MASTER'!$R$2:$R$495,MATCH("Case CDI Plate 15: G4",'CASE MASTER'!$H$2:$H$495,0)),"")</f>
        <v/>
      </c>
      <c r="F177" s="9" t="str">
        <f>IFERROR(INDEX('CASE MASTER'!$R$2:$R$495,MATCH("Case CDI Plate 15: G5",'CASE MASTER'!$H$2:$H$495,0)),"")</f>
        <v/>
      </c>
      <c r="G177" s="9" t="str">
        <f>IFERROR(INDEX('CASE MASTER'!$R$2:$R$495,MATCH("Case CDI Plate 15: G6",'CASE MASTER'!$H$2:$H$495,0)),"")</f>
        <v/>
      </c>
      <c r="H177" s="9" t="str">
        <f>IFERROR(INDEX('CASE MASTER'!$R$2:$R$495,MATCH("Case CDI Plate 15: G7",'CASE MASTER'!$H$2:$H$495,0)),"")</f>
        <v/>
      </c>
      <c r="I177" s="9" t="str">
        <f>IFERROR(INDEX('CASE MASTER'!$R$2:$R$495,MATCH("Case CDI Plate 15: G8",'CASE MASTER'!$H$2:$H$495,0)),"")</f>
        <v/>
      </c>
      <c r="J177" s="9" t="str">
        <f>IFERROR(INDEX('CASE MASTER'!$R$2:$R$495,MATCH("Case CDI Plate 15: G9",'CASE MASTER'!$H$2:$H$495,0)),"")</f>
        <v/>
      </c>
      <c r="K177" s="9" t="str">
        <f>IFERROR(INDEX('CASE MASTER'!$R$2:$R$495,MATCH("Case CDI Plate 15: G10",'CASE MASTER'!$H$2:$H$495,0)),"")</f>
        <v/>
      </c>
      <c r="L177" s="9" t="str">
        <f>IFERROR(INDEX('CASE MASTER'!$R$2:$R$495,MATCH("Case CDI Plate 15: G11",'CASE MASTER'!$H$2:$H$495,0)),"")</f>
        <v/>
      </c>
      <c r="M177" s="9" t="str">
        <f>IFERROR(INDEX('CASE MASTER'!$R$2:$R$495,MATCH("Case CDI Plate 15: G12",'CASE MASTER'!$H$2:$H$495,0)),"")</f>
        <v/>
      </c>
    </row>
    <row r="178" spans="1:13" ht="15" customHeight="1" x14ac:dyDescent="0.35">
      <c r="A178" s="8" t="s">
        <v>35</v>
      </c>
      <c r="B178" s="9" t="str">
        <f>IFERROR(INDEX('CASE MASTER'!$R$2:$R$495,MATCH("Case CDI Plate 15: H1",'CASE MASTER'!$H$2:$H$495,0)),"")</f>
        <v/>
      </c>
      <c r="C178" s="9" t="str">
        <f>IFERROR(INDEX('CASE MASTER'!$R$2:$R$495,MATCH("Case CDI Plate 15: H2",'CASE MASTER'!$H$2:$H$495,0)),"")</f>
        <v/>
      </c>
      <c r="D178" s="9" t="str">
        <f>IFERROR(INDEX('CASE MASTER'!$R$2:$R$495,MATCH("Case CDI Plate 15: H3",'CASE MASTER'!$H$2:$H$495,0)),"")</f>
        <v/>
      </c>
      <c r="E178" s="9" t="str">
        <f>IFERROR(INDEX('CASE MASTER'!$R$2:$R$495,MATCH("Case CDI Plate 15: H4",'CASE MASTER'!$H$2:$H$495,0)),"")</f>
        <v/>
      </c>
      <c r="F178" s="9" t="str">
        <f>IFERROR(INDEX('CASE MASTER'!$R$2:$R$495,MATCH("Case CDI Plate 15: H5",'CASE MASTER'!$H$2:$H$495,0)),"")</f>
        <v/>
      </c>
      <c r="G178" s="9" t="str">
        <f>IFERROR(INDEX('CASE MASTER'!$R$2:$R$495,MATCH("Case CDI Plate 15: H6",'CASE MASTER'!$H$2:$H$495,0)),"")</f>
        <v/>
      </c>
      <c r="H178" s="9" t="str">
        <f>IFERROR(INDEX('CASE MASTER'!$R$2:$R$495,MATCH("Case CDI Plate 15: H7",'CASE MASTER'!$H$2:$H$495,0)),"")</f>
        <v/>
      </c>
      <c r="I178" s="9" t="str">
        <f>IFERROR(INDEX('CASE MASTER'!$R$2:$R$495,MATCH("Case CDI Plate 15: H8",'CASE MASTER'!$H$2:$H$495,0)),"")</f>
        <v/>
      </c>
      <c r="J178" s="9" t="str">
        <f>IFERROR(INDEX('CASE MASTER'!$R$2:$R$495,MATCH("Case CDI Plate 15: H9",'CASE MASTER'!$H$2:$H$495,0)),"")</f>
        <v/>
      </c>
      <c r="K178" s="9" t="str">
        <f>IFERROR(INDEX('CASE MASTER'!$R$2:$R$495,MATCH("Case CDI Plate 15: H10",'CASE MASTER'!$H$2:$H$495,0)),"")</f>
        <v/>
      </c>
      <c r="L178" s="9" t="str">
        <f>IFERROR(INDEX('CASE MASTER'!$R$2:$R$495,MATCH("Case CDI Plate 15: H11",'CASE MASTER'!$H$2:$H$495,0)),"")</f>
        <v/>
      </c>
      <c r="M178" s="9" t="str">
        <f>IFERROR(INDEX('CASE MASTER'!$R$2:$R$495,MATCH("Case CDI Plate 15: H12",'CASE MASTER'!$H$2:$H$495,0)),"")</f>
        <v/>
      </c>
    </row>
  </sheetData>
  <mergeCells count="15">
    <mergeCell ref="A169:M169"/>
    <mergeCell ref="A13:M13"/>
    <mergeCell ref="A73:M73"/>
    <mergeCell ref="A1:M1"/>
    <mergeCell ref="A133:M133"/>
    <mergeCell ref="A37:M37"/>
    <mergeCell ref="A61:M61"/>
    <mergeCell ref="A97:M97"/>
    <mergeCell ref="A145:M145"/>
    <mergeCell ref="A109:M109"/>
    <mergeCell ref="A25:M25"/>
    <mergeCell ref="A157:M157"/>
    <mergeCell ref="A49:M49"/>
    <mergeCell ref="A121:M121"/>
    <mergeCell ref="A85:M85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5B9BD5"/>
  </sheetPr>
  <dimension ref="A1:M178"/>
  <sheetViews>
    <sheetView showGridLines="0" zoomScale="70" zoomScaleNormal="70" workbookViewId="0">
      <selection activeCell="B2" sqref="B1:M1048576"/>
    </sheetView>
  </sheetViews>
  <sheetFormatPr defaultColWidth="8.6328125" defaultRowHeight="15" customHeight="1" x14ac:dyDescent="0.35"/>
  <cols>
    <col min="1" max="1" width="5" customWidth="1"/>
    <col min="2" max="13" width="25.6328125" customWidth="1"/>
  </cols>
  <sheetData>
    <row r="1" spans="1:13" ht="15" customHeight="1" x14ac:dyDescent="0.35">
      <c r="A1" s="12" t="s">
        <v>50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</row>
    <row r="2" spans="1:13" ht="15" customHeight="1" x14ac:dyDescent="0.35">
      <c r="B2" s="8">
        <v>1</v>
      </c>
      <c r="C2" s="8">
        <v>2</v>
      </c>
      <c r="D2" s="8">
        <v>3</v>
      </c>
      <c r="E2" s="8">
        <v>4</v>
      </c>
      <c r="F2" s="8">
        <v>5</v>
      </c>
      <c r="G2" s="8">
        <v>6</v>
      </c>
      <c r="H2" s="8">
        <v>7</v>
      </c>
      <c r="I2" s="8">
        <v>8</v>
      </c>
      <c r="J2" s="8">
        <v>9</v>
      </c>
      <c r="K2" s="8">
        <v>10</v>
      </c>
      <c r="L2" s="8">
        <v>11</v>
      </c>
      <c r="M2" s="8">
        <v>12</v>
      </c>
    </row>
    <row r="3" spans="1:13" ht="15" customHeight="1" x14ac:dyDescent="0.35">
      <c r="A3" s="8" t="s">
        <v>28</v>
      </c>
      <c r="B3" s="9" t="str">
        <f>IFERROR(INDEX('CASE MASTER'!$R$2:$R$495,MATCH("Case NIH Plate 1: A1",'CASE MASTER'!$I$2:$I$495,0)),"")</f>
        <v/>
      </c>
      <c r="C3" s="9" t="str">
        <f>IFERROR(INDEX('CASE MASTER'!$R$2:$R$495,MATCH("Case NIH Plate 1: A2",'CASE MASTER'!$I$2:$I$495,0)),"")</f>
        <v/>
      </c>
      <c r="D3" s="9" t="str">
        <f>IFERROR(INDEX('CASE MASTER'!$R$2:$R$495,MATCH("Case NIH Plate 1: A3",'CASE MASTER'!$I$2:$I$495,0)),"")</f>
        <v/>
      </c>
      <c r="E3" s="9" t="str">
        <f>IFERROR(INDEX('CASE MASTER'!$R$2:$R$495,MATCH("Case NIH Plate 1: A4",'CASE MASTER'!$I$2:$I$495,0)),"")</f>
        <v/>
      </c>
      <c r="F3" s="9" t="str">
        <f>IFERROR(INDEX('CASE MASTER'!$R$2:$R$495,MATCH("Case NIH Plate 1: A5",'CASE MASTER'!$I$2:$I$495,0)),"")</f>
        <v/>
      </c>
      <c r="G3" s="9" t="str">
        <f>IFERROR(INDEX('CASE MASTER'!$R$2:$R$495,MATCH("Case NIH Plate 1: A6",'CASE MASTER'!$I$2:$I$495,0)),"")</f>
        <v/>
      </c>
      <c r="H3" s="9" t="str">
        <f>IFERROR(INDEX('CASE MASTER'!$R$2:$R$495,MATCH("Case NIH Plate 1: A7",'CASE MASTER'!$I$2:$I$495,0)),"")</f>
        <v/>
      </c>
      <c r="I3" s="9" t="str">
        <f>IFERROR(INDEX('CASE MASTER'!$R$2:$R$495,MATCH("Case NIH Plate 1: A8",'CASE MASTER'!$I$2:$I$495,0)),"")</f>
        <v/>
      </c>
      <c r="J3" s="9" t="str">
        <f>IFERROR(INDEX('CASE MASTER'!$R$2:$R$495,MATCH("Case NIH Plate 1: A9",'CASE MASTER'!$I$2:$I$495,0)),"")</f>
        <v/>
      </c>
      <c r="K3" s="9" t="str">
        <f>IFERROR(INDEX('CASE MASTER'!$R$2:$R$495,MATCH("Case NIH Plate 1: A10",'CASE MASTER'!$I$2:$I$495,0)),"")</f>
        <v/>
      </c>
      <c r="L3" s="9" t="str">
        <f>IFERROR(INDEX('CASE MASTER'!$R$2:$R$495,MATCH("Case NIH Plate 1: A11",'CASE MASTER'!$I$2:$I$495,0)),"")</f>
        <v/>
      </c>
      <c r="M3" s="9" t="str">
        <f>IFERROR(INDEX('CASE MASTER'!$R$2:$R$495,MATCH("Case NIH Plate 1: A12",'CASE MASTER'!$I$2:$I$495,0)),"")</f>
        <v/>
      </c>
    </row>
    <row r="4" spans="1:13" ht="15" customHeight="1" x14ac:dyDescent="0.35">
      <c r="A4" s="8" t="s">
        <v>29</v>
      </c>
      <c r="B4" s="9" t="str">
        <f>IFERROR(INDEX('CASE MASTER'!$R$2:$R$495,MATCH("Case NIH Plate 1: B1",'CASE MASTER'!$I$2:$I$495,0)),"")</f>
        <v/>
      </c>
      <c r="C4" s="9" t="str">
        <f>IFERROR(INDEX('CASE MASTER'!$R$2:$R$495,MATCH("Case NIH Plate 1: B2",'CASE MASTER'!$I$2:$I$495,0)),"")</f>
        <v/>
      </c>
      <c r="D4" s="9" t="str">
        <f>IFERROR(INDEX('CASE MASTER'!$R$2:$R$495,MATCH("Case NIH Plate 1: B3",'CASE MASTER'!$I$2:$I$495,0)),"")</f>
        <v/>
      </c>
      <c r="E4" s="9" t="str">
        <f>IFERROR(INDEX('CASE MASTER'!$R$2:$R$495,MATCH("Case NIH Plate 1: B4",'CASE MASTER'!$I$2:$I$495,0)),"")</f>
        <v/>
      </c>
      <c r="F4" s="9" t="str">
        <f>IFERROR(INDEX('CASE MASTER'!$R$2:$R$495,MATCH("Case NIH Plate 1: B5",'CASE MASTER'!$I$2:$I$495,0)),"")</f>
        <v/>
      </c>
      <c r="G4" s="9" t="str">
        <f>IFERROR(INDEX('CASE MASTER'!$R$2:$R$495,MATCH("Case NIH Plate 1: B6",'CASE MASTER'!$I$2:$I$495,0)),"")</f>
        <v/>
      </c>
      <c r="H4" s="9" t="str">
        <f>IFERROR(INDEX('CASE MASTER'!$R$2:$R$495,MATCH("Case NIH Plate 1: B7",'CASE MASTER'!$I$2:$I$495,0)),"")</f>
        <v/>
      </c>
      <c r="I4" s="9" t="str">
        <f>IFERROR(INDEX('CASE MASTER'!$R$2:$R$495,MATCH("Case NIH Plate 1: B8",'CASE MASTER'!$I$2:$I$495,0)),"")</f>
        <v/>
      </c>
      <c r="J4" s="9" t="str">
        <f>IFERROR(INDEX('CASE MASTER'!$R$2:$R$495,MATCH("Case NIH Plate 1: B9",'CASE MASTER'!$I$2:$I$495,0)),"")</f>
        <v/>
      </c>
      <c r="K4" s="9" t="str">
        <f>IFERROR(INDEX('CASE MASTER'!$R$2:$R$495,MATCH("Case NIH Plate 1: B10",'CASE MASTER'!$I$2:$I$495,0)),"")</f>
        <v/>
      </c>
      <c r="L4" s="9" t="str">
        <f>IFERROR(INDEX('CASE MASTER'!$R$2:$R$495,MATCH("Case NIH Plate 1: B11",'CASE MASTER'!$I$2:$I$495,0)),"")</f>
        <v/>
      </c>
      <c r="M4" s="9" t="str">
        <f>IFERROR(INDEX('CASE MASTER'!$R$2:$R$495,MATCH("Case NIH Plate 1: B12",'CASE MASTER'!$I$2:$I$495,0)),"")</f>
        <v/>
      </c>
    </row>
    <row r="5" spans="1:13" ht="15" customHeight="1" x14ac:dyDescent="0.35">
      <c r="A5" s="8" t="s">
        <v>30</v>
      </c>
      <c r="B5" s="9" t="str">
        <f>IFERROR(INDEX('CASE MASTER'!$R$2:$R$495,MATCH("Case NIH Plate 1: C1",'CASE MASTER'!$I$2:$I$495,0)),"")</f>
        <v/>
      </c>
      <c r="C5" s="9" t="str">
        <f>IFERROR(INDEX('CASE MASTER'!$R$2:$R$495,MATCH("Case NIH Plate 1: C2",'CASE MASTER'!$I$2:$I$495,0)),"")</f>
        <v/>
      </c>
      <c r="D5" s="9" t="str">
        <f>IFERROR(INDEX('CASE MASTER'!$R$2:$R$495,MATCH("Case NIH Plate 1: C3",'CASE MASTER'!$I$2:$I$495,0)),"")</f>
        <v/>
      </c>
      <c r="E5" s="9" t="str">
        <f>IFERROR(INDEX('CASE MASTER'!$R$2:$R$495,MATCH("Case NIH Plate 1: C4",'CASE MASTER'!$I$2:$I$495,0)),"")</f>
        <v/>
      </c>
      <c r="F5" s="9" t="str">
        <f>IFERROR(INDEX('CASE MASTER'!$R$2:$R$495,MATCH("Case NIH Plate 1: C5",'CASE MASTER'!$I$2:$I$495,0)),"")</f>
        <v/>
      </c>
      <c r="G5" s="9" t="str">
        <f>IFERROR(INDEX('CASE MASTER'!$R$2:$R$495,MATCH("Case NIH Plate 1: C6",'CASE MASTER'!$I$2:$I$495,0)),"")</f>
        <v/>
      </c>
      <c r="H5" s="9" t="str">
        <f>IFERROR(INDEX('CASE MASTER'!$R$2:$R$495,MATCH("Case NIH Plate 1: C7",'CASE MASTER'!$I$2:$I$495,0)),"")</f>
        <v/>
      </c>
      <c r="I5" s="9" t="str">
        <f>IFERROR(INDEX('CASE MASTER'!$R$2:$R$495,MATCH("Case NIH Plate 1: C8",'CASE MASTER'!$I$2:$I$495,0)),"")</f>
        <v/>
      </c>
      <c r="J5" s="9" t="str">
        <f>IFERROR(INDEX('CASE MASTER'!$R$2:$R$495,MATCH("Case NIH Plate 1: C9",'CASE MASTER'!$I$2:$I$495,0)),"")</f>
        <v/>
      </c>
      <c r="K5" s="9" t="str">
        <f>IFERROR(INDEX('CASE MASTER'!$R$2:$R$495,MATCH("Case NIH Plate 1: C10",'CASE MASTER'!$I$2:$I$495,0)),"")</f>
        <v/>
      </c>
      <c r="L5" s="9" t="str">
        <f>IFERROR(INDEX('CASE MASTER'!$R$2:$R$495,MATCH("Case NIH Plate 1: C11",'CASE MASTER'!$I$2:$I$495,0)),"")</f>
        <v/>
      </c>
      <c r="M5" s="9" t="str">
        <f>IFERROR(INDEX('CASE MASTER'!$R$2:$R$495,MATCH("Case NIH Plate 1: C12",'CASE MASTER'!$I$2:$I$495,0)),"")</f>
        <v/>
      </c>
    </row>
    <row r="6" spans="1:13" ht="15" customHeight="1" x14ac:dyDescent="0.35">
      <c r="A6" s="8" t="s">
        <v>31</v>
      </c>
      <c r="B6" s="9" t="str">
        <f>IFERROR(INDEX('CASE MASTER'!$R$2:$R$495,MATCH("Case NIH Plate 1: D1",'CASE MASTER'!$I$2:$I$495,0)),"")</f>
        <v/>
      </c>
      <c r="C6" s="9" t="str">
        <f>IFERROR(INDEX('CASE MASTER'!$R$2:$R$495,MATCH("Case NIH Plate 1: D2",'CASE MASTER'!$I$2:$I$495,0)),"")</f>
        <v/>
      </c>
      <c r="D6" s="9" t="str">
        <f>IFERROR(INDEX('CASE MASTER'!$R$2:$R$495,MATCH("Case NIH Plate 1: D3",'CASE MASTER'!$I$2:$I$495,0)),"")</f>
        <v/>
      </c>
      <c r="E6" s="9" t="str">
        <f>IFERROR(INDEX('CASE MASTER'!$R$2:$R$495,MATCH("Case NIH Plate 1: D4",'CASE MASTER'!$I$2:$I$495,0)),"")</f>
        <v/>
      </c>
      <c r="F6" s="9" t="str">
        <f>IFERROR(INDEX('CASE MASTER'!$R$2:$R$495,MATCH("Case NIH Plate 1: D5",'CASE MASTER'!$I$2:$I$495,0)),"")</f>
        <v/>
      </c>
      <c r="G6" s="9" t="str">
        <f>IFERROR(INDEX('CASE MASTER'!$R$2:$R$495,MATCH("Case NIH Plate 1: D6",'CASE MASTER'!$I$2:$I$495,0)),"")</f>
        <v/>
      </c>
      <c r="H6" s="9" t="str">
        <f>IFERROR(INDEX('CASE MASTER'!$R$2:$R$495,MATCH("Case NIH Plate 1: D7",'CASE MASTER'!$I$2:$I$495,0)),"")</f>
        <v/>
      </c>
      <c r="I6" s="9" t="str">
        <f>IFERROR(INDEX('CASE MASTER'!$R$2:$R$495,MATCH("Case NIH Plate 1: D8",'CASE MASTER'!$I$2:$I$495,0)),"")</f>
        <v/>
      </c>
      <c r="J6" s="9" t="str">
        <f>IFERROR(INDEX('CASE MASTER'!$R$2:$R$495,MATCH("Case NIH Plate 1: D9",'CASE MASTER'!$I$2:$I$495,0)),"")</f>
        <v/>
      </c>
      <c r="K6" s="9" t="str">
        <f>IFERROR(INDEX('CASE MASTER'!$R$2:$R$495,MATCH("Case NIH Plate 1: D10",'CASE MASTER'!$I$2:$I$495,0)),"")</f>
        <v/>
      </c>
      <c r="L6" s="9" t="str">
        <f>IFERROR(INDEX('CASE MASTER'!$R$2:$R$495,MATCH("Case NIH Plate 1: D11",'CASE MASTER'!$I$2:$I$495,0)),"")</f>
        <v/>
      </c>
      <c r="M6" s="9" t="str">
        <f>IFERROR(INDEX('CASE MASTER'!$R$2:$R$495,MATCH("Case NIH Plate 1: D12",'CASE MASTER'!$I$2:$I$495,0)),"")</f>
        <v/>
      </c>
    </row>
    <row r="7" spans="1:13" ht="15" customHeight="1" x14ac:dyDescent="0.35">
      <c r="A7" s="8" t="s">
        <v>32</v>
      </c>
      <c r="B7" s="9" t="str">
        <f>IFERROR(INDEX('CASE MASTER'!$R$2:$R$495,MATCH("Case NIH Plate 1: E1",'CASE MASTER'!$I$2:$I$495,0)),"")</f>
        <v/>
      </c>
      <c r="C7" s="9" t="str">
        <f>IFERROR(INDEX('CASE MASTER'!$R$2:$R$495,MATCH("Case NIH Plate 1: E2",'CASE MASTER'!$I$2:$I$495,0)),"")</f>
        <v/>
      </c>
      <c r="D7" s="9" t="str">
        <f>IFERROR(INDEX('CASE MASTER'!$R$2:$R$495,MATCH("Case NIH Plate 1: E3",'CASE MASTER'!$I$2:$I$495,0)),"")</f>
        <v/>
      </c>
      <c r="E7" s="9" t="str">
        <f>IFERROR(INDEX('CASE MASTER'!$R$2:$R$495,MATCH("Case NIH Plate 1: E4",'CASE MASTER'!$I$2:$I$495,0)),"")</f>
        <v/>
      </c>
      <c r="F7" s="9" t="str">
        <f>IFERROR(INDEX('CASE MASTER'!$R$2:$R$495,MATCH("Case NIH Plate 1: E5",'CASE MASTER'!$I$2:$I$495,0)),"")</f>
        <v/>
      </c>
      <c r="G7" s="9" t="str">
        <f>IFERROR(INDEX('CASE MASTER'!$R$2:$R$495,MATCH("Case NIH Plate 1: E6",'CASE MASTER'!$I$2:$I$495,0)),"")</f>
        <v/>
      </c>
      <c r="H7" s="9" t="str">
        <f>IFERROR(INDEX('CASE MASTER'!$R$2:$R$495,MATCH("Case NIH Plate 1: E7",'CASE MASTER'!$I$2:$I$495,0)),"")</f>
        <v/>
      </c>
      <c r="I7" s="9" t="str">
        <f>IFERROR(INDEX('CASE MASTER'!$R$2:$R$495,MATCH("Case NIH Plate 1: E8",'CASE MASTER'!$I$2:$I$495,0)),"")</f>
        <v/>
      </c>
      <c r="J7" s="9" t="str">
        <f>IFERROR(INDEX('CASE MASTER'!$R$2:$R$495,MATCH("Case NIH Plate 1: E9",'CASE MASTER'!$I$2:$I$495,0)),"")</f>
        <v/>
      </c>
      <c r="K7" s="9" t="str">
        <f>IFERROR(INDEX('CASE MASTER'!$R$2:$R$495,MATCH("Case NIH Plate 1: E10",'CASE MASTER'!$I$2:$I$495,0)),"")</f>
        <v/>
      </c>
      <c r="L7" s="9" t="str">
        <f>IFERROR(INDEX('CASE MASTER'!$R$2:$R$495,MATCH("Case NIH Plate 1: E11",'CASE MASTER'!$I$2:$I$495,0)),"")</f>
        <v/>
      </c>
      <c r="M7" s="9" t="str">
        <f>IFERROR(INDEX('CASE MASTER'!$R$2:$R$495,MATCH("Case NIH Plate 1: E12",'CASE MASTER'!$I$2:$I$495,0)),"")</f>
        <v/>
      </c>
    </row>
    <row r="8" spans="1:13" ht="15" customHeight="1" x14ac:dyDescent="0.35">
      <c r="A8" s="8" t="s">
        <v>33</v>
      </c>
      <c r="B8" s="9" t="str">
        <f>IFERROR(INDEX('CASE MASTER'!$R$2:$R$495,MATCH("Case NIH Plate 1: F1",'CASE MASTER'!$I$2:$I$495,0)),"")</f>
        <v/>
      </c>
      <c r="C8" s="9" t="str">
        <f>IFERROR(INDEX('CASE MASTER'!$R$2:$R$495,MATCH("Case NIH Plate 1: F2",'CASE MASTER'!$I$2:$I$495,0)),"")</f>
        <v/>
      </c>
      <c r="D8" s="9" t="str">
        <f>IFERROR(INDEX('CASE MASTER'!$R$2:$R$495,MATCH("Case NIH Plate 1: F3",'CASE MASTER'!$I$2:$I$495,0)),"")</f>
        <v/>
      </c>
      <c r="E8" s="9" t="str">
        <f>IFERROR(INDEX('CASE MASTER'!$R$2:$R$495,MATCH("Case NIH Plate 1: F4",'CASE MASTER'!$I$2:$I$495,0)),"")</f>
        <v/>
      </c>
      <c r="F8" s="9" t="str">
        <f>IFERROR(INDEX('CASE MASTER'!$R$2:$R$495,MATCH("Case NIH Plate 1: F5",'CASE MASTER'!$I$2:$I$495,0)),"")</f>
        <v/>
      </c>
      <c r="G8" s="9" t="str">
        <f>IFERROR(INDEX('CASE MASTER'!$R$2:$R$495,MATCH("Case NIH Plate 1: F6",'CASE MASTER'!$I$2:$I$495,0)),"")</f>
        <v/>
      </c>
      <c r="H8" s="9" t="str">
        <f>IFERROR(INDEX('CASE MASTER'!$R$2:$R$495,MATCH("Case NIH Plate 1: F7",'CASE MASTER'!$I$2:$I$495,0)),"")</f>
        <v/>
      </c>
      <c r="I8" s="9" t="str">
        <f>IFERROR(INDEX('CASE MASTER'!$R$2:$R$495,MATCH("Case NIH Plate 1: F8",'CASE MASTER'!$I$2:$I$495,0)),"")</f>
        <v/>
      </c>
      <c r="J8" s="9" t="str">
        <f>IFERROR(INDEX('CASE MASTER'!$R$2:$R$495,MATCH("Case NIH Plate 1: F9",'CASE MASTER'!$I$2:$I$495,0)),"")</f>
        <v/>
      </c>
      <c r="K8" s="9" t="str">
        <f>IFERROR(INDEX('CASE MASTER'!$R$2:$R$495,MATCH("Case NIH Plate 1: F10",'CASE MASTER'!$I$2:$I$495,0)),"")</f>
        <v/>
      </c>
      <c r="L8" s="9" t="str">
        <f>IFERROR(INDEX('CASE MASTER'!$R$2:$R$495,MATCH("Case NIH Plate 1: F11",'CASE MASTER'!$I$2:$I$495,0)),"")</f>
        <v/>
      </c>
      <c r="M8" s="9" t="str">
        <f>IFERROR(INDEX('CASE MASTER'!$R$2:$R$495,MATCH("Case NIH Plate 1: F12",'CASE MASTER'!$I$2:$I$495,0)),"")</f>
        <v/>
      </c>
    </row>
    <row r="9" spans="1:13" ht="15" customHeight="1" x14ac:dyDescent="0.35">
      <c r="A9" s="8" t="s">
        <v>34</v>
      </c>
      <c r="B9" s="9" t="str">
        <f>IFERROR(INDEX('CASE MASTER'!$R$2:$R$495,MATCH("Case NIH Plate 1: G1",'CASE MASTER'!$I$2:$I$495,0)),"")</f>
        <v/>
      </c>
      <c r="C9" s="9" t="str">
        <f>IFERROR(INDEX('CASE MASTER'!$R$2:$R$495,MATCH("Case NIH Plate 1: G2",'CASE MASTER'!$I$2:$I$495,0)),"")</f>
        <v/>
      </c>
      <c r="D9" s="9" t="str">
        <f>IFERROR(INDEX('CASE MASTER'!$R$2:$R$495,MATCH("Case NIH Plate 1: G3",'CASE MASTER'!$I$2:$I$495,0)),"")</f>
        <v/>
      </c>
      <c r="E9" s="9" t="str">
        <f>IFERROR(INDEX('CASE MASTER'!$R$2:$R$495,MATCH("Case NIH Plate 1: G4",'CASE MASTER'!$I$2:$I$495,0)),"")</f>
        <v/>
      </c>
      <c r="F9" s="9" t="str">
        <f>IFERROR(INDEX('CASE MASTER'!$R$2:$R$495,MATCH("Case NIH Plate 1: G5",'CASE MASTER'!$I$2:$I$495,0)),"")</f>
        <v/>
      </c>
      <c r="G9" s="9" t="str">
        <f>IFERROR(INDEX('CASE MASTER'!$R$2:$R$495,MATCH("Case NIH Plate 1: G6",'CASE MASTER'!$I$2:$I$495,0)),"")</f>
        <v/>
      </c>
      <c r="H9" s="9" t="str">
        <f>IFERROR(INDEX('CASE MASTER'!$R$2:$R$495,MATCH("Case NIH Plate 1: G7",'CASE MASTER'!$I$2:$I$495,0)),"")</f>
        <v/>
      </c>
      <c r="I9" s="9" t="str">
        <f>IFERROR(INDEX('CASE MASTER'!$R$2:$R$495,MATCH("Case NIH Plate 1: G8",'CASE MASTER'!$I$2:$I$495,0)),"")</f>
        <v/>
      </c>
      <c r="J9" s="9" t="str">
        <f>IFERROR(INDEX('CASE MASTER'!$R$2:$R$495,MATCH("Case NIH Plate 1: G9",'CASE MASTER'!$I$2:$I$495,0)),"")</f>
        <v/>
      </c>
      <c r="K9" s="9" t="str">
        <f>IFERROR(INDEX('CASE MASTER'!$R$2:$R$495,MATCH("Case NIH Plate 1: G10",'CASE MASTER'!$I$2:$I$495,0)),"")</f>
        <v/>
      </c>
      <c r="L9" s="9" t="str">
        <f>IFERROR(INDEX('CASE MASTER'!$R$2:$R$495,MATCH("Case NIH Plate 1: G11",'CASE MASTER'!$I$2:$I$495,0)),"")</f>
        <v/>
      </c>
      <c r="M9" s="9" t="str">
        <f>IFERROR(INDEX('CASE MASTER'!$R$2:$R$495,MATCH("Case NIH Plate 1: G12",'CASE MASTER'!$I$2:$I$495,0)),"")</f>
        <v/>
      </c>
    </row>
    <row r="10" spans="1:13" ht="15" customHeight="1" x14ac:dyDescent="0.35">
      <c r="A10" s="8" t="s">
        <v>35</v>
      </c>
      <c r="B10" s="9" t="str">
        <f>IFERROR(INDEX('CASE MASTER'!$R$2:$R$495,MATCH("Case NIH Plate 1: H1",'CASE MASTER'!$I$2:$I$495,0)),"")</f>
        <v/>
      </c>
      <c r="C10" s="9" t="str">
        <f>IFERROR(INDEX('CASE MASTER'!$R$2:$R$495,MATCH("Case NIH Plate 1: H2",'CASE MASTER'!$I$2:$I$495,0)),"")</f>
        <v/>
      </c>
      <c r="D10" s="9" t="str">
        <f>IFERROR(INDEX('CASE MASTER'!$R$2:$R$495,MATCH("Case NIH Plate 1: H3",'CASE MASTER'!$I$2:$I$495,0)),"")</f>
        <v/>
      </c>
      <c r="E10" s="9" t="str">
        <f>IFERROR(INDEX('CASE MASTER'!$R$2:$R$495,MATCH("Case NIH Plate 1: H4",'CASE MASTER'!$I$2:$I$495,0)),"")</f>
        <v/>
      </c>
      <c r="F10" s="9" t="str">
        <f>IFERROR(INDEX('CASE MASTER'!$R$2:$R$495,MATCH("Case NIH Plate 1: H5",'CASE MASTER'!$I$2:$I$495,0)),"")</f>
        <v/>
      </c>
      <c r="G10" s="9" t="str">
        <f>IFERROR(INDEX('CASE MASTER'!$R$2:$R$495,MATCH("Case NIH Plate 1: H6",'CASE MASTER'!$I$2:$I$495,0)),"")</f>
        <v/>
      </c>
      <c r="H10" s="9" t="str">
        <f>IFERROR(INDEX('CASE MASTER'!$R$2:$R$495,MATCH("Case NIH Plate 1: H7",'CASE MASTER'!$I$2:$I$495,0)),"")</f>
        <v/>
      </c>
      <c r="I10" s="9" t="str">
        <f>IFERROR(INDEX('CASE MASTER'!$R$2:$R$495,MATCH("Case NIH Plate 1: H8",'CASE MASTER'!$I$2:$I$495,0)),"")</f>
        <v/>
      </c>
      <c r="J10" s="9" t="str">
        <f>IFERROR(INDEX('CASE MASTER'!$R$2:$R$495,MATCH("Case NIH Plate 1: H9",'CASE MASTER'!$I$2:$I$495,0)),"")</f>
        <v/>
      </c>
      <c r="K10" s="9" t="str">
        <f>IFERROR(INDEX('CASE MASTER'!$R$2:$R$495,MATCH("Case NIH Plate 1: H10",'CASE MASTER'!$I$2:$I$495,0)),"")</f>
        <v/>
      </c>
      <c r="L10" s="9" t="str">
        <f>IFERROR(INDEX('CASE MASTER'!$R$2:$R$495,MATCH("Case NIH Plate 1: H11",'CASE MASTER'!$I$2:$I$495,0)),"")</f>
        <v/>
      </c>
      <c r="M10" s="9" t="str">
        <f>IFERROR(INDEX('CASE MASTER'!$R$2:$R$495,MATCH("Case NIH Plate 1: H12",'CASE MASTER'!$I$2:$I$495,0)),"")</f>
        <v/>
      </c>
    </row>
    <row r="13" spans="1:13" ht="15" customHeight="1" x14ac:dyDescent="0.35">
      <c r="A13" s="12" t="s">
        <v>51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</row>
    <row r="14" spans="1:13" ht="15" customHeight="1" x14ac:dyDescent="0.35">
      <c r="B14" s="8">
        <v>1</v>
      </c>
      <c r="C14" s="8">
        <v>2</v>
      </c>
      <c r="D14" s="8">
        <v>3</v>
      </c>
      <c r="E14" s="8">
        <v>4</v>
      </c>
      <c r="F14" s="8">
        <v>5</v>
      </c>
      <c r="G14" s="8">
        <v>6</v>
      </c>
      <c r="H14" s="8">
        <v>7</v>
      </c>
      <c r="I14" s="8">
        <v>8</v>
      </c>
      <c r="J14" s="8">
        <v>9</v>
      </c>
      <c r="K14" s="8">
        <v>10</v>
      </c>
      <c r="L14" s="8">
        <v>11</v>
      </c>
      <c r="M14" s="8">
        <v>12</v>
      </c>
    </row>
    <row r="15" spans="1:13" ht="15" customHeight="1" x14ac:dyDescent="0.35">
      <c r="A15" s="8" t="s">
        <v>28</v>
      </c>
      <c r="B15" s="9" t="str">
        <f>IFERROR(INDEX('CASE MASTER'!$R$2:$R$495,MATCH("Case NIH Plate 2: A1",'CASE MASTER'!$I$2:$I$495,0)),"")</f>
        <v/>
      </c>
      <c r="C15" s="9" t="str">
        <f>IFERROR(INDEX('CASE MASTER'!$R$2:$R$495,MATCH("Case NIH Plate 2: A2",'CASE MASTER'!$I$2:$I$495,0)),"")</f>
        <v/>
      </c>
      <c r="D15" s="9" t="str">
        <f>IFERROR(INDEX('CASE MASTER'!$R$2:$R$495,MATCH("Case NIH Plate 2: A3",'CASE MASTER'!$I$2:$I$495,0)),"")</f>
        <v/>
      </c>
      <c r="E15" s="9" t="str">
        <f>IFERROR(INDEX('CASE MASTER'!$R$2:$R$495,MATCH("Case NIH Plate 2: A4",'CASE MASTER'!$I$2:$I$495,0)),"")</f>
        <v/>
      </c>
      <c r="F15" s="9" t="str">
        <f>IFERROR(INDEX('CASE MASTER'!$R$2:$R$495,MATCH("Case NIH Plate 2: A5",'CASE MASTER'!$I$2:$I$495,0)),"")</f>
        <v/>
      </c>
      <c r="G15" s="9" t="str">
        <f>IFERROR(INDEX('CASE MASTER'!$R$2:$R$495,MATCH("Case NIH Plate 2: A6",'CASE MASTER'!$I$2:$I$495,0)),"")</f>
        <v/>
      </c>
      <c r="H15" s="9" t="str">
        <f>IFERROR(INDEX('CASE MASTER'!$R$2:$R$495,MATCH("Case NIH Plate 2: A7",'CASE MASTER'!$I$2:$I$495,0)),"")</f>
        <v/>
      </c>
      <c r="I15" s="9" t="str">
        <f>IFERROR(INDEX('CASE MASTER'!$R$2:$R$495,MATCH("Case NIH Plate 2: A8",'CASE MASTER'!$I$2:$I$495,0)),"")</f>
        <v/>
      </c>
      <c r="J15" s="9" t="str">
        <f>IFERROR(INDEX('CASE MASTER'!$R$2:$R$495,MATCH("Case NIH Plate 2: A9",'CASE MASTER'!$I$2:$I$495,0)),"")</f>
        <v/>
      </c>
      <c r="K15" s="9" t="str">
        <f>IFERROR(INDEX('CASE MASTER'!$R$2:$R$495,MATCH("Case NIH Plate 2: A10",'CASE MASTER'!$I$2:$I$495,0)),"")</f>
        <v/>
      </c>
      <c r="L15" s="9" t="str">
        <f>IFERROR(INDEX('CASE MASTER'!$R$2:$R$495,MATCH("Case NIH Plate 2: A11",'CASE MASTER'!$I$2:$I$495,0)),"")</f>
        <v/>
      </c>
      <c r="M15" s="9" t="str">
        <f>IFERROR(INDEX('CASE MASTER'!$R$2:$R$495,MATCH("Case NIH Plate 2: A12",'CASE MASTER'!$I$2:$I$495,0)),"")</f>
        <v/>
      </c>
    </row>
    <row r="16" spans="1:13" ht="15" customHeight="1" x14ac:dyDescent="0.35">
      <c r="A16" s="8" t="s">
        <v>29</v>
      </c>
      <c r="B16" s="9" t="str">
        <f>IFERROR(INDEX('CASE MASTER'!$R$2:$R$495,MATCH("Case NIH Plate 2: B1",'CASE MASTER'!$I$2:$I$495,0)),"")</f>
        <v/>
      </c>
      <c r="C16" s="9" t="str">
        <f>IFERROR(INDEX('CASE MASTER'!$R$2:$R$495,MATCH("Case NIH Plate 2: B2",'CASE MASTER'!$I$2:$I$495,0)),"")</f>
        <v/>
      </c>
      <c r="D16" s="9" t="str">
        <f>IFERROR(INDEX('CASE MASTER'!$R$2:$R$495,MATCH("Case NIH Plate 2: B3",'CASE MASTER'!$I$2:$I$495,0)),"")</f>
        <v/>
      </c>
      <c r="E16" s="9" t="str">
        <f>IFERROR(INDEX('CASE MASTER'!$R$2:$R$495,MATCH("Case NIH Plate 2: B4",'CASE MASTER'!$I$2:$I$495,0)),"")</f>
        <v/>
      </c>
      <c r="F16" s="9" t="str">
        <f>IFERROR(INDEX('CASE MASTER'!$R$2:$R$495,MATCH("Case NIH Plate 2: B5",'CASE MASTER'!$I$2:$I$495,0)),"")</f>
        <v/>
      </c>
      <c r="G16" s="9" t="str">
        <f>IFERROR(INDEX('CASE MASTER'!$R$2:$R$495,MATCH("Case NIH Plate 2: B6",'CASE MASTER'!$I$2:$I$495,0)),"")</f>
        <v/>
      </c>
      <c r="H16" s="9" t="str">
        <f>IFERROR(INDEX('CASE MASTER'!$R$2:$R$495,MATCH("Case NIH Plate 2: B7",'CASE MASTER'!$I$2:$I$495,0)),"")</f>
        <v/>
      </c>
      <c r="I16" s="9" t="str">
        <f>IFERROR(INDEX('CASE MASTER'!$R$2:$R$495,MATCH("Case NIH Plate 2: B8",'CASE MASTER'!$I$2:$I$495,0)),"")</f>
        <v/>
      </c>
      <c r="J16" s="9" t="str">
        <f>IFERROR(INDEX('CASE MASTER'!$R$2:$R$495,MATCH("Case NIH Plate 2: B9",'CASE MASTER'!$I$2:$I$495,0)),"")</f>
        <v/>
      </c>
      <c r="K16" s="9" t="str">
        <f>IFERROR(INDEX('CASE MASTER'!$R$2:$R$495,MATCH("Case NIH Plate 2: B10",'CASE MASTER'!$I$2:$I$495,0)),"")</f>
        <v/>
      </c>
      <c r="L16" s="9" t="str">
        <f>IFERROR(INDEX('CASE MASTER'!$R$2:$R$495,MATCH("Case NIH Plate 2: B11",'CASE MASTER'!$I$2:$I$495,0)),"")</f>
        <v/>
      </c>
      <c r="M16" s="9" t="str">
        <f>IFERROR(INDEX('CASE MASTER'!$R$2:$R$495,MATCH("Case NIH Plate 2: B12",'CASE MASTER'!$I$2:$I$495,0)),"")</f>
        <v/>
      </c>
    </row>
    <row r="17" spans="1:13" ht="15" customHeight="1" x14ac:dyDescent="0.35">
      <c r="A17" s="8" t="s">
        <v>30</v>
      </c>
      <c r="B17" s="9" t="str">
        <f>IFERROR(INDEX('CASE MASTER'!$R$2:$R$495,MATCH("Case NIH Plate 2: C1",'CASE MASTER'!$I$2:$I$495,0)),"")</f>
        <v/>
      </c>
      <c r="C17" s="9" t="str">
        <f>IFERROR(INDEX('CASE MASTER'!$R$2:$R$495,MATCH("Case NIH Plate 2: C2",'CASE MASTER'!$I$2:$I$495,0)),"")</f>
        <v/>
      </c>
      <c r="D17" s="9" t="str">
        <f>IFERROR(INDEX('CASE MASTER'!$R$2:$R$495,MATCH("Case NIH Plate 2: C3",'CASE MASTER'!$I$2:$I$495,0)),"")</f>
        <v/>
      </c>
      <c r="E17" s="9" t="str">
        <f>IFERROR(INDEX('CASE MASTER'!$R$2:$R$495,MATCH("Case NIH Plate 2: C4",'CASE MASTER'!$I$2:$I$495,0)),"")</f>
        <v/>
      </c>
      <c r="F17" s="9" t="str">
        <f>IFERROR(INDEX('CASE MASTER'!$R$2:$R$495,MATCH("Case NIH Plate 2: C5",'CASE MASTER'!$I$2:$I$495,0)),"")</f>
        <v/>
      </c>
      <c r="G17" s="9" t="str">
        <f>IFERROR(INDEX('CASE MASTER'!$R$2:$R$495,MATCH("Case NIH Plate 2: C6",'CASE MASTER'!$I$2:$I$495,0)),"")</f>
        <v/>
      </c>
      <c r="H17" s="9" t="str">
        <f>IFERROR(INDEX('CASE MASTER'!$R$2:$R$495,MATCH("Case NIH Plate 2: C7",'CASE MASTER'!$I$2:$I$495,0)),"")</f>
        <v/>
      </c>
      <c r="I17" s="9" t="str">
        <f>IFERROR(INDEX('CASE MASTER'!$R$2:$R$495,MATCH("Case NIH Plate 2: C8",'CASE MASTER'!$I$2:$I$495,0)),"")</f>
        <v/>
      </c>
      <c r="J17" s="9" t="str">
        <f>IFERROR(INDEX('CASE MASTER'!$R$2:$R$495,MATCH("Case NIH Plate 2: C9",'CASE MASTER'!$I$2:$I$495,0)),"")</f>
        <v/>
      </c>
      <c r="K17" s="9" t="str">
        <f>IFERROR(INDEX('CASE MASTER'!$R$2:$R$495,MATCH("Case NIH Plate 2: C10",'CASE MASTER'!$I$2:$I$495,0)),"")</f>
        <v/>
      </c>
      <c r="L17" s="9" t="str">
        <f>IFERROR(INDEX('CASE MASTER'!$R$2:$R$495,MATCH("Case NIH Plate 2: C11",'CASE MASTER'!$I$2:$I$495,0)),"")</f>
        <v/>
      </c>
      <c r="M17" s="9" t="str">
        <f>IFERROR(INDEX('CASE MASTER'!$R$2:$R$495,MATCH("Case NIH Plate 2: C12",'CASE MASTER'!$I$2:$I$495,0)),"")</f>
        <v/>
      </c>
    </row>
    <row r="18" spans="1:13" ht="15" customHeight="1" x14ac:dyDescent="0.35">
      <c r="A18" s="8" t="s">
        <v>31</v>
      </c>
      <c r="B18" s="9" t="str">
        <f>IFERROR(INDEX('CASE MASTER'!$R$2:$R$495,MATCH("Case NIH Plate 2: D1",'CASE MASTER'!$I$2:$I$495,0)),"")</f>
        <v/>
      </c>
      <c r="C18" s="9" t="str">
        <f>IFERROR(INDEX('CASE MASTER'!$R$2:$R$495,MATCH("Case NIH Plate 2: D2",'CASE MASTER'!$I$2:$I$495,0)),"")</f>
        <v/>
      </c>
      <c r="D18" s="9" t="str">
        <f>IFERROR(INDEX('CASE MASTER'!$R$2:$R$495,MATCH("Case NIH Plate 2: D3",'CASE MASTER'!$I$2:$I$495,0)),"")</f>
        <v/>
      </c>
      <c r="E18" s="9" t="str">
        <f>IFERROR(INDEX('CASE MASTER'!$R$2:$R$495,MATCH("Case NIH Plate 2: D4",'CASE MASTER'!$I$2:$I$495,0)),"")</f>
        <v/>
      </c>
      <c r="F18" s="9" t="str">
        <f>IFERROR(INDEX('CASE MASTER'!$R$2:$R$495,MATCH("Case NIH Plate 2: D5",'CASE MASTER'!$I$2:$I$495,0)),"")</f>
        <v/>
      </c>
      <c r="G18" s="9" t="str">
        <f>IFERROR(INDEX('CASE MASTER'!$R$2:$R$495,MATCH("Case NIH Plate 2: D6",'CASE MASTER'!$I$2:$I$495,0)),"")</f>
        <v/>
      </c>
      <c r="H18" s="9" t="str">
        <f>IFERROR(INDEX('CASE MASTER'!$R$2:$R$495,MATCH("Case NIH Plate 2: D7",'CASE MASTER'!$I$2:$I$495,0)),"")</f>
        <v/>
      </c>
      <c r="I18" s="9" t="str">
        <f>IFERROR(INDEX('CASE MASTER'!$R$2:$R$495,MATCH("Case NIH Plate 2: D8",'CASE MASTER'!$I$2:$I$495,0)),"")</f>
        <v/>
      </c>
      <c r="J18" s="9" t="str">
        <f>IFERROR(INDEX('CASE MASTER'!$R$2:$R$495,MATCH("Case NIH Plate 2: D9",'CASE MASTER'!$I$2:$I$495,0)),"")</f>
        <v/>
      </c>
      <c r="K18" s="9" t="str">
        <f>IFERROR(INDEX('CASE MASTER'!$R$2:$R$495,MATCH("Case NIH Plate 2: D10",'CASE MASTER'!$I$2:$I$495,0)),"")</f>
        <v/>
      </c>
      <c r="L18" s="9" t="str">
        <f>IFERROR(INDEX('CASE MASTER'!$R$2:$R$495,MATCH("Case NIH Plate 2: D11",'CASE MASTER'!$I$2:$I$495,0)),"")</f>
        <v/>
      </c>
      <c r="M18" s="9" t="str">
        <f>IFERROR(INDEX('CASE MASTER'!$R$2:$R$495,MATCH("Case NIH Plate 2: D12",'CASE MASTER'!$I$2:$I$495,0)),"")</f>
        <v/>
      </c>
    </row>
    <row r="19" spans="1:13" ht="15" customHeight="1" x14ac:dyDescent="0.35">
      <c r="A19" s="8" t="s">
        <v>32</v>
      </c>
      <c r="B19" s="9" t="str">
        <f>IFERROR(INDEX('CASE MASTER'!$R$2:$R$495,MATCH("Case NIH Plate 2: E1",'CASE MASTER'!$I$2:$I$495,0)),"")</f>
        <v/>
      </c>
      <c r="C19" s="9" t="str">
        <f>IFERROR(INDEX('CASE MASTER'!$R$2:$R$495,MATCH("Case NIH Plate 2: E2",'CASE MASTER'!$I$2:$I$495,0)),"")</f>
        <v/>
      </c>
      <c r="D19" s="9" t="str">
        <f>IFERROR(INDEX('CASE MASTER'!$R$2:$R$495,MATCH("Case NIH Plate 2: E3",'CASE MASTER'!$I$2:$I$495,0)),"")</f>
        <v/>
      </c>
      <c r="E19" s="9" t="str">
        <f>IFERROR(INDEX('CASE MASTER'!$R$2:$R$495,MATCH("Case NIH Plate 2: E4",'CASE MASTER'!$I$2:$I$495,0)),"")</f>
        <v/>
      </c>
      <c r="F19" s="9" t="str">
        <f>IFERROR(INDEX('CASE MASTER'!$R$2:$R$495,MATCH("Case NIH Plate 2: E5",'CASE MASTER'!$I$2:$I$495,0)),"")</f>
        <v/>
      </c>
      <c r="G19" s="9" t="str">
        <f>IFERROR(INDEX('CASE MASTER'!$R$2:$R$495,MATCH("Case NIH Plate 2: E6",'CASE MASTER'!$I$2:$I$495,0)),"")</f>
        <v/>
      </c>
      <c r="H19" s="9" t="str">
        <f>IFERROR(INDEX('CASE MASTER'!$R$2:$R$495,MATCH("Case NIH Plate 2: E7",'CASE MASTER'!$I$2:$I$495,0)),"")</f>
        <v/>
      </c>
      <c r="I19" s="9" t="str">
        <f>IFERROR(INDEX('CASE MASTER'!$R$2:$R$495,MATCH("Case NIH Plate 2: E8",'CASE MASTER'!$I$2:$I$495,0)),"")</f>
        <v/>
      </c>
      <c r="J19" s="9" t="str">
        <f>IFERROR(INDEX('CASE MASTER'!$R$2:$R$495,MATCH("Case NIH Plate 2: E9",'CASE MASTER'!$I$2:$I$495,0)),"")</f>
        <v/>
      </c>
      <c r="K19" s="9" t="str">
        <f>IFERROR(INDEX('CASE MASTER'!$R$2:$R$495,MATCH("Case NIH Plate 2: E10",'CASE MASTER'!$I$2:$I$495,0)),"")</f>
        <v/>
      </c>
      <c r="L19" s="9" t="str">
        <f>IFERROR(INDEX('CASE MASTER'!$R$2:$R$495,MATCH("Case NIH Plate 2: E11",'CASE MASTER'!$I$2:$I$495,0)),"")</f>
        <v/>
      </c>
      <c r="M19" s="9" t="str">
        <f>IFERROR(INDEX('CASE MASTER'!$R$2:$R$495,MATCH("Case NIH Plate 2: E12",'CASE MASTER'!$I$2:$I$495,0)),"")</f>
        <v/>
      </c>
    </row>
    <row r="20" spans="1:13" ht="15" customHeight="1" x14ac:dyDescent="0.35">
      <c r="A20" s="8" t="s">
        <v>33</v>
      </c>
      <c r="B20" s="9" t="str">
        <f>IFERROR(INDEX('CASE MASTER'!$R$2:$R$495,MATCH("Case NIH Plate 2: F1",'CASE MASTER'!$I$2:$I$495,0)),"")</f>
        <v/>
      </c>
      <c r="C20" s="9" t="str">
        <f>IFERROR(INDEX('CASE MASTER'!$R$2:$R$495,MATCH("Case NIH Plate 2: F2",'CASE MASTER'!$I$2:$I$495,0)),"")</f>
        <v/>
      </c>
      <c r="D20" s="9" t="str">
        <f>IFERROR(INDEX('CASE MASTER'!$R$2:$R$495,MATCH("Case NIH Plate 2: F3",'CASE MASTER'!$I$2:$I$495,0)),"")</f>
        <v/>
      </c>
      <c r="E20" s="9" t="str">
        <f>IFERROR(INDEX('CASE MASTER'!$R$2:$R$495,MATCH("Case NIH Plate 2: F4",'CASE MASTER'!$I$2:$I$495,0)),"")</f>
        <v/>
      </c>
      <c r="F20" s="9" t="str">
        <f>IFERROR(INDEX('CASE MASTER'!$R$2:$R$495,MATCH("Case NIH Plate 2: F5",'CASE MASTER'!$I$2:$I$495,0)),"")</f>
        <v/>
      </c>
      <c r="G20" s="9" t="str">
        <f>IFERROR(INDEX('CASE MASTER'!$R$2:$R$495,MATCH("Case NIH Plate 2: F6",'CASE MASTER'!$I$2:$I$495,0)),"")</f>
        <v/>
      </c>
      <c r="H20" s="9" t="str">
        <f>IFERROR(INDEX('CASE MASTER'!$R$2:$R$495,MATCH("Case NIH Plate 2: F7",'CASE MASTER'!$I$2:$I$495,0)),"")</f>
        <v/>
      </c>
      <c r="I20" s="9" t="str">
        <f>IFERROR(INDEX('CASE MASTER'!$R$2:$R$495,MATCH("Case NIH Plate 2: F8",'CASE MASTER'!$I$2:$I$495,0)),"")</f>
        <v/>
      </c>
      <c r="J20" s="9" t="str">
        <f>IFERROR(INDEX('CASE MASTER'!$R$2:$R$495,MATCH("Case NIH Plate 2: F9",'CASE MASTER'!$I$2:$I$495,0)),"")</f>
        <v/>
      </c>
      <c r="K20" s="9" t="str">
        <f>IFERROR(INDEX('CASE MASTER'!$R$2:$R$495,MATCH("Case NIH Plate 2: F10",'CASE MASTER'!$I$2:$I$495,0)),"")</f>
        <v/>
      </c>
      <c r="L20" s="9" t="str">
        <f>IFERROR(INDEX('CASE MASTER'!$R$2:$R$495,MATCH("Case NIH Plate 2: F11",'CASE MASTER'!$I$2:$I$495,0)),"")</f>
        <v/>
      </c>
      <c r="M20" s="9" t="str">
        <f>IFERROR(INDEX('CASE MASTER'!$R$2:$R$495,MATCH("Case NIH Plate 2: F12",'CASE MASTER'!$I$2:$I$495,0)),"")</f>
        <v/>
      </c>
    </row>
    <row r="21" spans="1:13" ht="15" customHeight="1" x14ac:dyDescent="0.35">
      <c r="A21" s="8" t="s">
        <v>34</v>
      </c>
      <c r="B21" s="9" t="str">
        <f>IFERROR(INDEX('CASE MASTER'!$R$2:$R$495,MATCH("Case NIH Plate 2: G1",'CASE MASTER'!$I$2:$I$495,0)),"")</f>
        <v/>
      </c>
      <c r="C21" s="9" t="str">
        <f>IFERROR(INDEX('CASE MASTER'!$R$2:$R$495,MATCH("Case NIH Plate 2: G2",'CASE MASTER'!$I$2:$I$495,0)),"")</f>
        <v/>
      </c>
      <c r="D21" s="9" t="str">
        <f>IFERROR(INDEX('CASE MASTER'!$R$2:$R$495,MATCH("Case NIH Plate 2: G3",'CASE MASTER'!$I$2:$I$495,0)),"")</f>
        <v/>
      </c>
      <c r="E21" s="9" t="str">
        <f>IFERROR(INDEX('CASE MASTER'!$R$2:$R$495,MATCH("Case NIH Plate 2: G4",'CASE MASTER'!$I$2:$I$495,0)),"")</f>
        <v/>
      </c>
      <c r="F21" s="9" t="str">
        <f>IFERROR(INDEX('CASE MASTER'!$R$2:$R$495,MATCH("Case NIH Plate 2: G5",'CASE MASTER'!$I$2:$I$495,0)),"")</f>
        <v/>
      </c>
      <c r="G21" s="9" t="str">
        <f>IFERROR(INDEX('CASE MASTER'!$R$2:$R$495,MATCH("Case NIH Plate 2: G6",'CASE MASTER'!$I$2:$I$495,0)),"")</f>
        <v/>
      </c>
      <c r="H21" s="9" t="str">
        <f>IFERROR(INDEX('CASE MASTER'!$R$2:$R$495,MATCH("Case NIH Plate 2: G7",'CASE MASTER'!$I$2:$I$495,0)),"")</f>
        <v/>
      </c>
      <c r="I21" s="9" t="str">
        <f>IFERROR(INDEX('CASE MASTER'!$R$2:$R$495,MATCH("Case NIH Plate 2: G8",'CASE MASTER'!$I$2:$I$495,0)),"")</f>
        <v/>
      </c>
      <c r="J21" s="9" t="str">
        <f>IFERROR(INDEX('CASE MASTER'!$R$2:$R$495,MATCH("Case NIH Plate 2: G9",'CASE MASTER'!$I$2:$I$495,0)),"")</f>
        <v/>
      </c>
      <c r="K21" s="9" t="str">
        <f>IFERROR(INDEX('CASE MASTER'!$R$2:$R$495,MATCH("Case NIH Plate 2: G10",'CASE MASTER'!$I$2:$I$495,0)),"")</f>
        <v/>
      </c>
      <c r="L21" s="9" t="str">
        <f>IFERROR(INDEX('CASE MASTER'!$R$2:$R$495,MATCH("Case NIH Plate 2: G11",'CASE MASTER'!$I$2:$I$495,0)),"")</f>
        <v/>
      </c>
      <c r="M21" s="9" t="str">
        <f>IFERROR(INDEX('CASE MASTER'!$R$2:$R$495,MATCH("Case NIH Plate 2: G12",'CASE MASTER'!$I$2:$I$495,0)),"")</f>
        <v/>
      </c>
    </row>
    <row r="22" spans="1:13" ht="15" customHeight="1" x14ac:dyDescent="0.35">
      <c r="A22" s="8" t="s">
        <v>35</v>
      </c>
      <c r="B22" s="9" t="str">
        <f>IFERROR(INDEX('CASE MASTER'!$R$2:$R$495,MATCH("Case NIH Plate 2: H1",'CASE MASTER'!$I$2:$I$495,0)),"")</f>
        <v/>
      </c>
      <c r="C22" s="9" t="str">
        <f>IFERROR(INDEX('CASE MASTER'!$R$2:$R$495,MATCH("Case NIH Plate 2: H2",'CASE MASTER'!$I$2:$I$495,0)),"")</f>
        <v/>
      </c>
      <c r="D22" s="9" t="str">
        <f>IFERROR(INDEX('CASE MASTER'!$R$2:$R$495,MATCH("Case NIH Plate 2: H3",'CASE MASTER'!$I$2:$I$495,0)),"")</f>
        <v/>
      </c>
      <c r="E22" s="9" t="str">
        <f>IFERROR(INDEX('CASE MASTER'!$R$2:$R$495,MATCH("Case NIH Plate 2: H4",'CASE MASTER'!$I$2:$I$495,0)),"")</f>
        <v/>
      </c>
      <c r="F22" s="9" t="str">
        <f>IFERROR(INDEX('CASE MASTER'!$R$2:$R$495,MATCH("Case NIH Plate 2: H5",'CASE MASTER'!$I$2:$I$495,0)),"")</f>
        <v/>
      </c>
      <c r="G22" s="9" t="str">
        <f>IFERROR(INDEX('CASE MASTER'!$R$2:$R$495,MATCH("Case NIH Plate 2: H6",'CASE MASTER'!$I$2:$I$495,0)),"")</f>
        <v/>
      </c>
      <c r="H22" s="9" t="str">
        <f>IFERROR(INDEX('CASE MASTER'!$R$2:$R$495,MATCH("Case NIH Plate 2: H7",'CASE MASTER'!$I$2:$I$495,0)),"")</f>
        <v/>
      </c>
      <c r="I22" s="9" t="str">
        <f>IFERROR(INDEX('CASE MASTER'!$R$2:$R$495,MATCH("Case NIH Plate 2: H8",'CASE MASTER'!$I$2:$I$495,0)),"")</f>
        <v/>
      </c>
      <c r="J22" s="9" t="str">
        <f>IFERROR(INDEX('CASE MASTER'!$R$2:$R$495,MATCH("Case NIH Plate 2: H9",'CASE MASTER'!$I$2:$I$495,0)),"")</f>
        <v/>
      </c>
      <c r="K22" s="9" t="str">
        <f>IFERROR(INDEX('CASE MASTER'!$R$2:$R$495,MATCH("Case NIH Plate 2: H10",'CASE MASTER'!$I$2:$I$495,0)),"")</f>
        <v/>
      </c>
      <c r="L22" s="9" t="str">
        <f>IFERROR(INDEX('CASE MASTER'!$R$2:$R$495,MATCH("Case NIH Plate 2: H11",'CASE MASTER'!$I$2:$I$495,0)),"")</f>
        <v/>
      </c>
      <c r="M22" s="9" t="str">
        <f>IFERROR(INDEX('CASE MASTER'!$R$2:$R$495,MATCH("Case NIH Plate 2: H12",'CASE MASTER'!$I$2:$I$495,0)),"")</f>
        <v/>
      </c>
    </row>
    <row r="25" spans="1:13" ht="15" customHeight="1" x14ac:dyDescent="0.35">
      <c r="A25" s="12" t="s">
        <v>52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</row>
    <row r="26" spans="1:13" ht="15" customHeight="1" x14ac:dyDescent="0.35">
      <c r="B26" s="8">
        <v>1</v>
      </c>
      <c r="C26" s="8">
        <v>2</v>
      </c>
      <c r="D26" s="8">
        <v>3</v>
      </c>
      <c r="E26" s="8">
        <v>4</v>
      </c>
      <c r="F26" s="8">
        <v>5</v>
      </c>
      <c r="G26" s="8">
        <v>6</v>
      </c>
      <c r="H26" s="8">
        <v>7</v>
      </c>
      <c r="I26" s="8">
        <v>8</v>
      </c>
      <c r="J26" s="8">
        <v>9</v>
      </c>
      <c r="K26" s="8">
        <v>10</v>
      </c>
      <c r="L26" s="8">
        <v>11</v>
      </c>
      <c r="M26" s="8">
        <v>12</v>
      </c>
    </row>
    <row r="27" spans="1:13" ht="15" customHeight="1" x14ac:dyDescent="0.35">
      <c r="A27" s="8" t="s">
        <v>28</v>
      </c>
      <c r="B27" s="9" t="str">
        <f>IFERROR(INDEX('CASE MASTER'!$R$2:$R$495,MATCH("Case NIH Plate 3: A1",'CASE MASTER'!$I$2:$I$495,0)),"")</f>
        <v/>
      </c>
      <c r="C27" s="9" t="str">
        <f>IFERROR(INDEX('CASE MASTER'!$R$2:$R$495,MATCH("Case NIH Plate 3: A2",'CASE MASTER'!$I$2:$I$495,0)),"")</f>
        <v/>
      </c>
      <c r="D27" s="9" t="str">
        <f>IFERROR(INDEX('CASE MASTER'!$R$2:$R$495,MATCH("Case NIH Plate 3: A3",'CASE MASTER'!$I$2:$I$495,0)),"")</f>
        <v/>
      </c>
      <c r="E27" s="9" t="str">
        <f>IFERROR(INDEX('CASE MASTER'!$R$2:$R$495,MATCH("Case NIH Plate 3: A4",'CASE MASTER'!$I$2:$I$495,0)),"")</f>
        <v/>
      </c>
      <c r="F27" s="9" t="str">
        <f>IFERROR(INDEX('CASE MASTER'!$R$2:$R$495,MATCH("Case NIH Plate 3: A5",'CASE MASTER'!$I$2:$I$495,0)),"")</f>
        <v/>
      </c>
      <c r="G27" s="9" t="str">
        <f>IFERROR(INDEX('CASE MASTER'!$R$2:$R$495,MATCH("Case NIH Plate 3: A6",'CASE MASTER'!$I$2:$I$495,0)),"")</f>
        <v/>
      </c>
      <c r="H27" s="9" t="str">
        <f>IFERROR(INDEX('CASE MASTER'!$R$2:$R$495,MATCH("Case NIH Plate 3: A7",'CASE MASTER'!$I$2:$I$495,0)),"")</f>
        <v/>
      </c>
      <c r="I27" s="9" t="str">
        <f>IFERROR(INDEX('CASE MASTER'!$R$2:$R$495,MATCH("Case NIH Plate 3: A8",'CASE MASTER'!$I$2:$I$495,0)),"")</f>
        <v/>
      </c>
      <c r="J27" s="9" t="str">
        <f>IFERROR(INDEX('CASE MASTER'!$R$2:$R$495,MATCH("Case NIH Plate 3: A9",'CASE MASTER'!$I$2:$I$495,0)),"")</f>
        <v/>
      </c>
      <c r="K27" s="9" t="str">
        <f>IFERROR(INDEX('CASE MASTER'!$R$2:$R$495,MATCH("Case NIH Plate 3: A10",'CASE MASTER'!$I$2:$I$495,0)),"")</f>
        <v/>
      </c>
      <c r="L27" s="9" t="str">
        <f>IFERROR(INDEX('CASE MASTER'!$R$2:$R$495,MATCH("Case NIH Plate 3: A11",'CASE MASTER'!$I$2:$I$495,0)),"")</f>
        <v/>
      </c>
      <c r="M27" s="9" t="str">
        <f>IFERROR(INDEX('CASE MASTER'!$R$2:$R$495,MATCH("Case NIH Plate 3: A12",'CASE MASTER'!$I$2:$I$495,0)),"")</f>
        <v/>
      </c>
    </row>
    <row r="28" spans="1:13" ht="15" customHeight="1" x14ac:dyDescent="0.35">
      <c r="A28" s="8" t="s">
        <v>29</v>
      </c>
      <c r="B28" s="9" t="str">
        <f>IFERROR(INDEX('CASE MASTER'!$R$2:$R$495,MATCH("Case NIH Plate 3: B1",'CASE MASTER'!$I$2:$I$495,0)),"")</f>
        <v/>
      </c>
      <c r="C28" s="9" t="str">
        <f>IFERROR(INDEX('CASE MASTER'!$R$2:$R$495,MATCH("Case NIH Plate 3: B2",'CASE MASTER'!$I$2:$I$495,0)),"")</f>
        <v/>
      </c>
      <c r="D28" s="9" t="str">
        <f>IFERROR(INDEX('CASE MASTER'!$R$2:$R$495,MATCH("Case NIH Plate 3: B3",'CASE MASTER'!$I$2:$I$495,0)),"")</f>
        <v/>
      </c>
      <c r="E28" s="9" t="str">
        <f>IFERROR(INDEX('CASE MASTER'!$R$2:$R$495,MATCH("Case NIH Plate 3: B4",'CASE MASTER'!$I$2:$I$495,0)),"")</f>
        <v/>
      </c>
      <c r="F28" s="9" t="str">
        <f>IFERROR(INDEX('CASE MASTER'!$R$2:$R$495,MATCH("Case NIH Plate 3: B5",'CASE MASTER'!$I$2:$I$495,0)),"")</f>
        <v/>
      </c>
      <c r="G28" s="9" t="str">
        <f>IFERROR(INDEX('CASE MASTER'!$R$2:$R$495,MATCH("Case NIH Plate 3: B6",'CASE MASTER'!$I$2:$I$495,0)),"")</f>
        <v/>
      </c>
      <c r="H28" s="9" t="str">
        <f>IFERROR(INDEX('CASE MASTER'!$R$2:$R$495,MATCH("Case NIH Plate 3: B7",'CASE MASTER'!$I$2:$I$495,0)),"")</f>
        <v/>
      </c>
      <c r="I28" s="9" t="str">
        <f>IFERROR(INDEX('CASE MASTER'!$R$2:$R$495,MATCH("Case NIH Plate 3: B8",'CASE MASTER'!$I$2:$I$495,0)),"")</f>
        <v/>
      </c>
      <c r="J28" s="9" t="str">
        <f>IFERROR(INDEX('CASE MASTER'!$R$2:$R$495,MATCH("Case NIH Plate 3: B9",'CASE MASTER'!$I$2:$I$495,0)),"")</f>
        <v/>
      </c>
      <c r="K28" s="9" t="str">
        <f>IFERROR(INDEX('CASE MASTER'!$R$2:$R$495,MATCH("Case NIH Plate 3: B10",'CASE MASTER'!$I$2:$I$495,0)),"")</f>
        <v/>
      </c>
      <c r="L28" s="9" t="str">
        <f>IFERROR(INDEX('CASE MASTER'!$R$2:$R$495,MATCH("Case NIH Plate 3: B11",'CASE MASTER'!$I$2:$I$495,0)),"")</f>
        <v/>
      </c>
      <c r="M28" s="9" t="str">
        <f>IFERROR(INDEX('CASE MASTER'!$R$2:$R$495,MATCH("Case NIH Plate 3: B12",'CASE MASTER'!$I$2:$I$495,0)),"")</f>
        <v/>
      </c>
    </row>
    <row r="29" spans="1:13" ht="15" customHeight="1" x14ac:dyDescent="0.35">
      <c r="A29" s="8" t="s">
        <v>30</v>
      </c>
      <c r="B29" s="9" t="str">
        <f>IFERROR(INDEX('CASE MASTER'!$R$2:$R$495,MATCH("Case NIH Plate 3: C1",'CASE MASTER'!$I$2:$I$495,0)),"")</f>
        <v/>
      </c>
      <c r="C29" s="9" t="str">
        <f>IFERROR(INDEX('CASE MASTER'!$R$2:$R$495,MATCH("Case NIH Plate 3: C2",'CASE MASTER'!$I$2:$I$495,0)),"")</f>
        <v/>
      </c>
      <c r="D29" s="9" t="str">
        <f>IFERROR(INDEX('CASE MASTER'!$R$2:$R$495,MATCH("Case NIH Plate 3: C3",'CASE MASTER'!$I$2:$I$495,0)),"")</f>
        <v/>
      </c>
      <c r="E29" s="9" t="str">
        <f>IFERROR(INDEX('CASE MASTER'!$R$2:$R$495,MATCH("Case NIH Plate 3: C4",'CASE MASTER'!$I$2:$I$495,0)),"")</f>
        <v/>
      </c>
      <c r="F29" s="9" t="str">
        <f>IFERROR(INDEX('CASE MASTER'!$R$2:$R$495,MATCH("Case NIH Plate 3: C5",'CASE MASTER'!$I$2:$I$495,0)),"")</f>
        <v/>
      </c>
      <c r="G29" s="9" t="str">
        <f>IFERROR(INDEX('CASE MASTER'!$R$2:$R$495,MATCH("Case NIH Plate 3: C6",'CASE MASTER'!$I$2:$I$495,0)),"")</f>
        <v/>
      </c>
      <c r="H29" s="9" t="str">
        <f>IFERROR(INDEX('CASE MASTER'!$R$2:$R$495,MATCH("Case NIH Plate 3: C7",'CASE MASTER'!$I$2:$I$495,0)),"")</f>
        <v/>
      </c>
      <c r="I29" s="9" t="str">
        <f>IFERROR(INDEX('CASE MASTER'!$R$2:$R$495,MATCH("Case NIH Plate 3: C8",'CASE MASTER'!$I$2:$I$495,0)),"")</f>
        <v/>
      </c>
      <c r="J29" s="9" t="str">
        <f>IFERROR(INDEX('CASE MASTER'!$R$2:$R$495,MATCH("Case NIH Plate 3: C9",'CASE MASTER'!$I$2:$I$495,0)),"")</f>
        <v/>
      </c>
      <c r="K29" s="9" t="str">
        <f>IFERROR(INDEX('CASE MASTER'!$R$2:$R$495,MATCH("Case NIH Plate 3: C10",'CASE MASTER'!$I$2:$I$495,0)),"")</f>
        <v/>
      </c>
      <c r="L29" s="9" t="str">
        <f>IFERROR(INDEX('CASE MASTER'!$R$2:$R$495,MATCH("Case NIH Plate 3: C11",'CASE MASTER'!$I$2:$I$495,0)),"")</f>
        <v/>
      </c>
      <c r="M29" s="9" t="str">
        <f>IFERROR(INDEX('CASE MASTER'!$R$2:$R$495,MATCH("Case NIH Plate 3: C12",'CASE MASTER'!$I$2:$I$495,0)),"")</f>
        <v/>
      </c>
    </row>
    <row r="30" spans="1:13" ht="15" customHeight="1" x14ac:dyDescent="0.35">
      <c r="A30" s="8" t="s">
        <v>31</v>
      </c>
      <c r="B30" s="9" t="str">
        <f>IFERROR(INDEX('CASE MASTER'!$R$2:$R$495,MATCH("Case NIH Plate 3: D1",'CASE MASTER'!$I$2:$I$495,0)),"")</f>
        <v/>
      </c>
      <c r="C30" s="9" t="str">
        <f>IFERROR(INDEX('CASE MASTER'!$R$2:$R$495,MATCH("Case NIH Plate 3: D2",'CASE MASTER'!$I$2:$I$495,0)),"")</f>
        <v/>
      </c>
      <c r="D30" s="9" t="str">
        <f>IFERROR(INDEX('CASE MASTER'!$R$2:$R$495,MATCH("Case NIH Plate 3: D3",'CASE MASTER'!$I$2:$I$495,0)),"")</f>
        <v/>
      </c>
      <c r="E30" s="9" t="str">
        <f>IFERROR(INDEX('CASE MASTER'!$R$2:$R$495,MATCH("Case NIH Plate 3: D4",'CASE MASTER'!$I$2:$I$495,0)),"")</f>
        <v/>
      </c>
      <c r="F30" s="9" t="str">
        <f>IFERROR(INDEX('CASE MASTER'!$R$2:$R$495,MATCH("Case NIH Plate 3: D5",'CASE MASTER'!$I$2:$I$495,0)),"")</f>
        <v/>
      </c>
      <c r="G30" s="9" t="str">
        <f>IFERROR(INDEX('CASE MASTER'!$R$2:$R$495,MATCH("Case NIH Plate 3: D6",'CASE MASTER'!$I$2:$I$495,0)),"")</f>
        <v/>
      </c>
      <c r="H30" s="9" t="str">
        <f>IFERROR(INDEX('CASE MASTER'!$R$2:$R$495,MATCH("Case NIH Plate 3: D7",'CASE MASTER'!$I$2:$I$495,0)),"")</f>
        <v/>
      </c>
      <c r="I30" s="9" t="str">
        <f>IFERROR(INDEX('CASE MASTER'!$R$2:$R$495,MATCH("Case NIH Plate 3: D8",'CASE MASTER'!$I$2:$I$495,0)),"")</f>
        <v/>
      </c>
      <c r="J30" s="9" t="str">
        <f>IFERROR(INDEX('CASE MASTER'!$R$2:$R$495,MATCH("Case NIH Plate 3: D9",'CASE MASTER'!$I$2:$I$495,0)),"")</f>
        <v/>
      </c>
      <c r="K30" s="9" t="str">
        <f>IFERROR(INDEX('CASE MASTER'!$R$2:$R$495,MATCH("Case NIH Plate 3: D10",'CASE MASTER'!$I$2:$I$495,0)),"")</f>
        <v/>
      </c>
      <c r="L30" s="9" t="str">
        <f>IFERROR(INDEX('CASE MASTER'!$R$2:$R$495,MATCH("Case NIH Plate 3: D11",'CASE MASTER'!$I$2:$I$495,0)),"")</f>
        <v/>
      </c>
      <c r="M30" s="9" t="str">
        <f>IFERROR(INDEX('CASE MASTER'!$R$2:$R$495,MATCH("Case NIH Plate 3: D12",'CASE MASTER'!$I$2:$I$495,0)),"")</f>
        <v/>
      </c>
    </row>
    <row r="31" spans="1:13" ht="15" customHeight="1" x14ac:dyDescent="0.35">
      <c r="A31" s="8" t="s">
        <v>32</v>
      </c>
      <c r="B31" s="9" t="str">
        <f>IFERROR(INDEX('CASE MASTER'!$R$2:$R$495,MATCH("Case NIH Plate 3: E1",'CASE MASTER'!$I$2:$I$495,0)),"")</f>
        <v/>
      </c>
      <c r="C31" s="9" t="str">
        <f>IFERROR(INDEX('CASE MASTER'!$R$2:$R$495,MATCH("Case NIH Plate 3: E2",'CASE MASTER'!$I$2:$I$495,0)),"")</f>
        <v/>
      </c>
      <c r="D31" s="9" t="str">
        <f>IFERROR(INDEX('CASE MASTER'!$R$2:$R$495,MATCH("Case NIH Plate 3: E3",'CASE MASTER'!$I$2:$I$495,0)),"")</f>
        <v/>
      </c>
      <c r="E31" s="9" t="str">
        <f>IFERROR(INDEX('CASE MASTER'!$R$2:$R$495,MATCH("Case NIH Plate 3: E4",'CASE MASTER'!$I$2:$I$495,0)),"")</f>
        <v/>
      </c>
      <c r="F31" s="9" t="str">
        <f>IFERROR(INDEX('CASE MASTER'!$R$2:$R$495,MATCH("Case NIH Plate 3: E5",'CASE MASTER'!$I$2:$I$495,0)),"")</f>
        <v/>
      </c>
      <c r="G31" s="9" t="str">
        <f>IFERROR(INDEX('CASE MASTER'!$R$2:$R$495,MATCH("Case NIH Plate 3: E6",'CASE MASTER'!$I$2:$I$495,0)),"")</f>
        <v/>
      </c>
      <c r="H31" s="9" t="str">
        <f>IFERROR(INDEX('CASE MASTER'!$R$2:$R$495,MATCH("Case NIH Plate 3: E7",'CASE MASTER'!$I$2:$I$495,0)),"")</f>
        <v/>
      </c>
      <c r="I31" s="9" t="str">
        <f>IFERROR(INDEX('CASE MASTER'!$R$2:$R$495,MATCH("Case NIH Plate 3: E8",'CASE MASTER'!$I$2:$I$495,0)),"")</f>
        <v/>
      </c>
      <c r="J31" s="9" t="str">
        <f>IFERROR(INDEX('CASE MASTER'!$R$2:$R$495,MATCH("Case NIH Plate 3: E9",'CASE MASTER'!$I$2:$I$495,0)),"")</f>
        <v/>
      </c>
      <c r="K31" s="9" t="str">
        <f>IFERROR(INDEX('CASE MASTER'!$R$2:$R$495,MATCH("Case NIH Plate 3: E10",'CASE MASTER'!$I$2:$I$495,0)),"")</f>
        <v/>
      </c>
      <c r="L31" s="9" t="str">
        <f>IFERROR(INDEX('CASE MASTER'!$R$2:$R$495,MATCH("Case NIH Plate 3: E11",'CASE MASTER'!$I$2:$I$495,0)),"")</f>
        <v/>
      </c>
      <c r="M31" s="9" t="str">
        <f>IFERROR(INDEX('CASE MASTER'!$R$2:$R$495,MATCH("Case NIH Plate 3: E12",'CASE MASTER'!$I$2:$I$495,0)),"")</f>
        <v/>
      </c>
    </row>
    <row r="32" spans="1:13" ht="15" customHeight="1" x14ac:dyDescent="0.35">
      <c r="A32" s="8" t="s">
        <v>33</v>
      </c>
      <c r="B32" s="9" t="str">
        <f>IFERROR(INDEX('CASE MASTER'!$R$2:$R$495,MATCH("Case NIH Plate 3: F1",'CASE MASTER'!$I$2:$I$495,0)),"")</f>
        <v/>
      </c>
      <c r="C32" s="9" t="str">
        <f>IFERROR(INDEX('CASE MASTER'!$R$2:$R$495,MATCH("Case NIH Plate 3: F2",'CASE MASTER'!$I$2:$I$495,0)),"")</f>
        <v/>
      </c>
      <c r="D32" s="9" t="str">
        <f>IFERROR(INDEX('CASE MASTER'!$R$2:$R$495,MATCH("Case NIH Plate 3: F3",'CASE MASTER'!$I$2:$I$495,0)),"")</f>
        <v/>
      </c>
      <c r="E32" s="9" t="str">
        <f>IFERROR(INDEX('CASE MASTER'!$R$2:$R$495,MATCH("Case NIH Plate 3: F4",'CASE MASTER'!$I$2:$I$495,0)),"")</f>
        <v/>
      </c>
      <c r="F32" s="9" t="str">
        <f>IFERROR(INDEX('CASE MASTER'!$R$2:$R$495,MATCH("Case NIH Plate 3: F5",'CASE MASTER'!$I$2:$I$495,0)),"")</f>
        <v/>
      </c>
      <c r="G32" s="9" t="str">
        <f>IFERROR(INDEX('CASE MASTER'!$R$2:$R$495,MATCH("Case NIH Plate 3: F6",'CASE MASTER'!$I$2:$I$495,0)),"")</f>
        <v/>
      </c>
      <c r="H32" s="9" t="str">
        <f>IFERROR(INDEX('CASE MASTER'!$R$2:$R$495,MATCH("Case NIH Plate 3: F7",'CASE MASTER'!$I$2:$I$495,0)),"")</f>
        <v/>
      </c>
      <c r="I32" s="9" t="str">
        <f>IFERROR(INDEX('CASE MASTER'!$R$2:$R$495,MATCH("Case NIH Plate 3: F8",'CASE MASTER'!$I$2:$I$495,0)),"")</f>
        <v/>
      </c>
      <c r="J32" s="9" t="str">
        <f>IFERROR(INDEX('CASE MASTER'!$R$2:$R$495,MATCH("Case NIH Plate 3: F9",'CASE MASTER'!$I$2:$I$495,0)),"")</f>
        <v/>
      </c>
      <c r="K32" s="9" t="str">
        <f>IFERROR(INDEX('CASE MASTER'!$R$2:$R$495,MATCH("Case NIH Plate 3: F10",'CASE MASTER'!$I$2:$I$495,0)),"")</f>
        <v/>
      </c>
      <c r="L32" s="9" t="str">
        <f>IFERROR(INDEX('CASE MASTER'!$R$2:$R$495,MATCH("Case NIH Plate 3: F11",'CASE MASTER'!$I$2:$I$495,0)),"")</f>
        <v/>
      </c>
      <c r="M32" s="9" t="str">
        <f>IFERROR(INDEX('CASE MASTER'!$R$2:$R$495,MATCH("Case NIH Plate 3: F12",'CASE MASTER'!$I$2:$I$495,0)),"")</f>
        <v/>
      </c>
    </row>
    <row r="33" spans="1:13" ht="15" customHeight="1" x14ac:dyDescent="0.35">
      <c r="A33" s="8" t="s">
        <v>34</v>
      </c>
      <c r="B33" s="9" t="str">
        <f>IFERROR(INDEX('CASE MASTER'!$R$2:$R$495,MATCH("Case NIH Plate 3: G1",'CASE MASTER'!$I$2:$I$495,0)),"")</f>
        <v/>
      </c>
      <c r="C33" s="9" t="str">
        <f>IFERROR(INDEX('CASE MASTER'!$R$2:$R$495,MATCH("Case NIH Plate 3: G2",'CASE MASTER'!$I$2:$I$495,0)),"")</f>
        <v/>
      </c>
      <c r="D33" s="9" t="str">
        <f>IFERROR(INDEX('CASE MASTER'!$R$2:$R$495,MATCH("Case NIH Plate 3: G3",'CASE MASTER'!$I$2:$I$495,0)),"")</f>
        <v/>
      </c>
      <c r="E33" s="9" t="str">
        <f>IFERROR(INDEX('CASE MASTER'!$R$2:$R$495,MATCH("Case NIH Plate 3: G4",'CASE MASTER'!$I$2:$I$495,0)),"")</f>
        <v/>
      </c>
      <c r="F33" s="9" t="str">
        <f>IFERROR(INDEX('CASE MASTER'!$R$2:$R$495,MATCH("Case NIH Plate 3: G5",'CASE MASTER'!$I$2:$I$495,0)),"")</f>
        <v/>
      </c>
      <c r="G33" s="9" t="str">
        <f>IFERROR(INDEX('CASE MASTER'!$R$2:$R$495,MATCH("Case NIH Plate 3: G6",'CASE MASTER'!$I$2:$I$495,0)),"")</f>
        <v/>
      </c>
      <c r="H33" s="9" t="str">
        <f>IFERROR(INDEX('CASE MASTER'!$R$2:$R$495,MATCH("Case NIH Plate 3: G7",'CASE MASTER'!$I$2:$I$495,0)),"")</f>
        <v/>
      </c>
      <c r="I33" s="9" t="str">
        <f>IFERROR(INDEX('CASE MASTER'!$R$2:$R$495,MATCH("Case NIH Plate 3: G8",'CASE MASTER'!$I$2:$I$495,0)),"")</f>
        <v/>
      </c>
      <c r="J33" s="9" t="str">
        <f>IFERROR(INDEX('CASE MASTER'!$R$2:$R$495,MATCH("Case NIH Plate 3: G9",'CASE MASTER'!$I$2:$I$495,0)),"")</f>
        <v/>
      </c>
      <c r="K33" s="9" t="str">
        <f>IFERROR(INDEX('CASE MASTER'!$R$2:$R$495,MATCH("Case NIH Plate 3: G10",'CASE MASTER'!$I$2:$I$495,0)),"")</f>
        <v/>
      </c>
      <c r="L33" s="9" t="str">
        <f>IFERROR(INDEX('CASE MASTER'!$R$2:$R$495,MATCH("Case NIH Plate 3: G11",'CASE MASTER'!$I$2:$I$495,0)),"")</f>
        <v/>
      </c>
      <c r="M33" s="9" t="str">
        <f>IFERROR(INDEX('CASE MASTER'!$R$2:$R$495,MATCH("Case NIH Plate 3: G12",'CASE MASTER'!$I$2:$I$495,0)),"")</f>
        <v/>
      </c>
    </row>
    <row r="34" spans="1:13" ht="15" customHeight="1" x14ac:dyDescent="0.35">
      <c r="A34" s="8" t="s">
        <v>35</v>
      </c>
      <c r="B34" s="9" t="str">
        <f>IFERROR(INDEX('CASE MASTER'!$R$2:$R$495,MATCH("Case NIH Plate 3: H1",'CASE MASTER'!$I$2:$I$495,0)),"")</f>
        <v/>
      </c>
      <c r="C34" s="9" t="str">
        <f>IFERROR(INDEX('CASE MASTER'!$R$2:$R$495,MATCH("Case NIH Plate 3: H2",'CASE MASTER'!$I$2:$I$495,0)),"")</f>
        <v/>
      </c>
      <c r="D34" s="9" t="str">
        <f>IFERROR(INDEX('CASE MASTER'!$R$2:$R$495,MATCH("Case NIH Plate 3: H3",'CASE MASTER'!$I$2:$I$495,0)),"")</f>
        <v/>
      </c>
      <c r="E34" s="9" t="str">
        <f>IFERROR(INDEX('CASE MASTER'!$R$2:$R$495,MATCH("Case NIH Plate 3: H4",'CASE MASTER'!$I$2:$I$495,0)),"")</f>
        <v/>
      </c>
      <c r="F34" s="9" t="str">
        <f>IFERROR(INDEX('CASE MASTER'!$R$2:$R$495,MATCH("Case NIH Plate 3: H5",'CASE MASTER'!$I$2:$I$495,0)),"")</f>
        <v/>
      </c>
      <c r="G34" s="9" t="str">
        <f>IFERROR(INDEX('CASE MASTER'!$R$2:$R$495,MATCH("Case NIH Plate 3: H6",'CASE MASTER'!$I$2:$I$495,0)),"")</f>
        <v/>
      </c>
      <c r="H34" s="9" t="str">
        <f>IFERROR(INDEX('CASE MASTER'!$R$2:$R$495,MATCH("Case NIH Plate 3: H7",'CASE MASTER'!$I$2:$I$495,0)),"")</f>
        <v/>
      </c>
      <c r="I34" s="9" t="str">
        <f>IFERROR(INDEX('CASE MASTER'!$R$2:$R$495,MATCH("Case NIH Plate 3: H8",'CASE MASTER'!$I$2:$I$495,0)),"")</f>
        <v/>
      </c>
      <c r="J34" s="9" t="str">
        <f>IFERROR(INDEX('CASE MASTER'!$R$2:$R$495,MATCH("Case NIH Plate 3: H9",'CASE MASTER'!$I$2:$I$495,0)),"")</f>
        <v/>
      </c>
      <c r="K34" s="9" t="str">
        <f>IFERROR(INDEX('CASE MASTER'!$R$2:$R$495,MATCH("Case NIH Plate 3: H10",'CASE MASTER'!$I$2:$I$495,0)),"")</f>
        <v/>
      </c>
      <c r="L34" s="9" t="str">
        <f>IFERROR(INDEX('CASE MASTER'!$R$2:$R$495,MATCH("Case NIH Plate 3: H11",'CASE MASTER'!$I$2:$I$495,0)),"")</f>
        <v/>
      </c>
      <c r="M34" s="9" t="str">
        <f>IFERROR(INDEX('CASE MASTER'!$R$2:$R$495,MATCH("Case NIH Plate 3: H12",'CASE MASTER'!$I$2:$I$495,0)),"")</f>
        <v/>
      </c>
    </row>
    <row r="37" spans="1:13" ht="15" customHeight="1" x14ac:dyDescent="0.35">
      <c r="A37" s="12" t="s">
        <v>53</v>
      </c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</row>
    <row r="38" spans="1:13" ht="15" customHeight="1" x14ac:dyDescent="0.35">
      <c r="B38" s="8">
        <v>1</v>
      </c>
      <c r="C38" s="8">
        <v>2</v>
      </c>
      <c r="D38" s="8">
        <v>3</v>
      </c>
      <c r="E38" s="8">
        <v>4</v>
      </c>
      <c r="F38" s="8">
        <v>5</v>
      </c>
      <c r="G38" s="8">
        <v>6</v>
      </c>
      <c r="H38" s="8">
        <v>7</v>
      </c>
      <c r="I38" s="8">
        <v>8</v>
      </c>
      <c r="J38" s="8">
        <v>9</v>
      </c>
      <c r="K38" s="8">
        <v>10</v>
      </c>
      <c r="L38" s="8">
        <v>11</v>
      </c>
      <c r="M38" s="8">
        <v>12</v>
      </c>
    </row>
    <row r="39" spans="1:13" ht="15" customHeight="1" x14ac:dyDescent="0.35">
      <c r="A39" s="8" t="s">
        <v>28</v>
      </c>
      <c r="B39" s="9" t="str">
        <f>IFERROR(INDEX('CASE MASTER'!$R$2:$R$495,MATCH("Case NIH Plate 4: A1",'CASE MASTER'!$I$2:$I$495,0)),"")</f>
        <v/>
      </c>
      <c r="C39" s="9" t="str">
        <f>IFERROR(INDEX('CASE MASTER'!$R$2:$R$495,MATCH("Case NIH Plate 4: A2",'CASE MASTER'!$I$2:$I$495,0)),"")</f>
        <v/>
      </c>
      <c r="D39" s="9" t="str">
        <f>IFERROR(INDEX('CASE MASTER'!$R$2:$R$495,MATCH("Case NIH Plate 4: A3",'CASE MASTER'!$I$2:$I$495,0)),"")</f>
        <v/>
      </c>
      <c r="E39" s="9" t="str">
        <f>IFERROR(INDEX('CASE MASTER'!$R$2:$R$495,MATCH("Case NIH Plate 4: A4",'CASE MASTER'!$I$2:$I$495,0)),"")</f>
        <v/>
      </c>
      <c r="F39" s="9" t="str">
        <f>IFERROR(INDEX('CASE MASTER'!$R$2:$R$495,MATCH("Case NIH Plate 4: A5",'CASE MASTER'!$I$2:$I$495,0)),"")</f>
        <v/>
      </c>
      <c r="G39" s="9" t="str">
        <f>IFERROR(INDEX('CASE MASTER'!$R$2:$R$495,MATCH("Case NIH Plate 4: A6",'CASE MASTER'!$I$2:$I$495,0)),"")</f>
        <v/>
      </c>
      <c r="H39" s="9" t="str">
        <f>IFERROR(INDEX('CASE MASTER'!$R$2:$R$495,MATCH("Case NIH Plate 4: A7",'CASE MASTER'!$I$2:$I$495,0)),"")</f>
        <v/>
      </c>
      <c r="I39" s="9" t="str">
        <f>IFERROR(INDEX('CASE MASTER'!$R$2:$R$495,MATCH("Case NIH Plate 4: A8",'CASE MASTER'!$I$2:$I$495,0)),"")</f>
        <v/>
      </c>
      <c r="J39" s="9" t="str">
        <f>IFERROR(INDEX('CASE MASTER'!$R$2:$R$495,MATCH("Case NIH Plate 4: A9",'CASE MASTER'!$I$2:$I$495,0)),"")</f>
        <v/>
      </c>
      <c r="K39" s="9" t="str">
        <f>IFERROR(INDEX('CASE MASTER'!$R$2:$R$495,MATCH("Case NIH Plate 4: A10",'CASE MASTER'!$I$2:$I$495,0)),"")</f>
        <v/>
      </c>
      <c r="L39" s="9" t="str">
        <f>IFERROR(INDEX('CASE MASTER'!$R$2:$R$495,MATCH("Case NIH Plate 4: A11",'CASE MASTER'!$I$2:$I$495,0)),"")</f>
        <v/>
      </c>
      <c r="M39" s="9" t="str">
        <f>IFERROR(INDEX('CASE MASTER'!$R$2:$R$495,MATCH("Case NIH Plate 4: A12",'CASE MASTER'!$I$2:$I$495,0)),"")</f>
        <v/>
      </c>
    </row>
    <row r="40" spans="1:13" ht="15" customHeight="1" x14ac:dyDescent="0.35">
      <c r="A40" s="8" t="s">
        <v>29</v>
      </c>
      <c r="B40" s="9" t="str">
        <f>IFERROR(INDEX('CASE MASTER'!$R$2:$R$495,MATCH("Case NIH Plate 4: B1",'CASE MASTER'!$I$2:$I$495,0)),"")</f>
        <v/>
      </c>
      <c r="C40" s="9" t="str">
        <f>IFERROR(INDEX('CASE MASTER'!$R$2:$R$495,MATCH("Case NIH Plate 4: B2",'CASE MASTER'!$I$2:$I$495,0)),"")</f>
        <v/>
      </c>
      <c r="D40" s="9" t="str">
        <f>IFERROR(INDEX('CASE MASTER'!$R$2:$R$495,MATCH("Case NIH Plate 4: B3",'CASE MASTER'!$I$2:$I$495,0)),"")</f>
        <v/>
      </c>
      <c r="E40" s="9" t="str">
        <f>IFERROR(INDEX('CASE MASTER'!$R$2:$R$495,MATCH("Case NIH Plate 4: B4",'CASE MASTER'!$I$2:$I$495,0)),"")</f>
        <v/>
      </c>
      <c r="F40" s="9" t="str">
        <f>IFERROR(INDEX('CASE MASTER'!$R$2:$R$495,MATCH("Case NIH Plate 4: B5",'CASE MASTER'!$I$2:$I$495,0)),"")</f>
        <v/>
      </c>
      <c r="G40" s="9" t="str">
        <f>IFERROR(INDEX('CASE MASTER'!$R$2:$R$495,MATCH("Case NIH Plate 4: B6",'CASE MASTER'!$I$2:$I$495,0)),"")</f>
        <v/>
      </c>
      <c r="H40" s="9" t="str">
        <f>IFERROR(INDEX('CASE MASTER'!$R$2:$R$495,MATCH("Case NIH Plate 4: B7",'CASE MASTER'!$I$2:$I$495,0)),"")</f>
        <v/>
      </c>
      <c r="I40" s="9" t="str">
        <f>IFERROR(INDEX('CASE MASTER'!$R$2:$R$495,MATCH("Case NIH Plate 4: B8",'CASE MASTER'!$I$2:$I$495,0)),"")</f>
        <v/>
      </c>
      <c r="J40" s="9" t="str">
        <f>IFERROR(INDEX('CASE MASTER'!$R$2:$R$495,MATCH("Case NIH Plate 4: B9",'CASE MASTER'!$I$2:$I$495,0)),"")</f>
        <v/>
      </c>
      <c r="K40" s="9" t="str">
        <f>IFERROR(INDEX('CASE MASTER'!$R$2:$R$495,MATCH("Case NIH Plate 4: B10",'CASE MASTER'!$I$2:$I$495,0)),"")</f>
        <v/>
      </c>
      <c r="L40" s="9" t="str">
        <f>IFERROR(INDEX('CASE MASTER'!$R$2:$R$495,MATCH("Case NIH Plate 4: B11",'CASE MASTER'!$I$2:$I$495,0)),"")</f>
        <v/>
      </c>
      <c r="M40" s="9" t="str">
        <f>IFERROR(INDEX('CASE MASTER'!$R$2:$R$495,MATCH("Case NIH Plate 4: B12",'CASE MASTER'!$I$2:$I$495,0)),"")</f>
        <v/>
      </c>
    </row>
    <row r="41" spans="1:13" ht="15" customHeight="1" x14ac:dyDescent="0.35">
      <c r="A41" s="8" t="s">
        <v>30</v>
      </c>
      <c r="B41" s="9" t="str">
        <f>IFERROR(INDEX('CASE MASTER'!$R$2:$R$495,MATCH("Case NIH Plate 4: C1",'CASE MASTER'!$I$2:$I$495,0)),"")</f>
        <v/>
      </c>
      <c r="C41" s="9" t="str">
        <f>IFERROR(INDEX('CASE MASTER'!$R$2:$R$495,MATCH("Case NIH Plate 4: C2",'CASE MASTER'!$I$2:$I$495,0)),"")</f>
        <v/>
      </c>
      <c r="D41" s="9" t="str">
        <f>IFERROR(INDEX('CASE MASTER'!$R$2:$R$495,MATCH("Case NIH Plate 4: C3",'CASE MASTER'!$I$2:$I$495,0)),"")</f>
        <v/>
      </c>
      <c r="E41" s="9" t="str">
        <f>IFERROR(INDEX('CASE MASTER'!$R$2:$R$495,MATCH("Case NIH Plate 4: C4",'CASE MASTER'!$I$2:$I$495,0)),"")</f>
        <v/>
      </c>
      <c r="F41" s="9" t="str">
        <f>IFERROR(INDEX('CASE MASTER'!$R$2:$R$495,MATCH("Case NIH Plate 4: C5",'CASE MASTER'!$I$2:$I$495,0)),"")</f>
        <v/>
      </c>
      <c r="G41" s="9" t="str">
        <f>IFERROR(INDEX('CASE MASTER'!$R$2:$R$495,MATCH("Case NIH Plate 4: C6",'CASE MASTER'!$I$2:$I$495,0)),"")</f>
        <v/>
      </c>
      <c r="H41" s="9" t="str">
        <f>IFERROR(INDEX('CASE MASTER'!$R$2:$R$495,MATCH("Case NIH Plate 4: C7",'CASE MASTER'!$I$2:$I$495,0)),"")</f>
        <v/>
      </c>
      <c r="I41" s="9" t="str">
        <f>IFERROR(INDEX('CASE MASTER'!$R$2:$R$495,MATCH("Case NIH Plate 4: C8",'CASE MASTER'!$I$2:$I$495,0)),"")</f>
        <v/>
      </c>
      <c r="J41" s="9" t="str">
        <f>IFERROR(INDEX('CASE MASTER'!$R$2:$R$495,MATCH("Case NIH Plate 4: C9",'CASE MASTER'!$I$2:$I$495,0)),"")</f>
        <v/>
      </c>
      <c r="K41" s="9" t="str">
        <f>IFERROR(INDEX('CASE MASTER'!$R$2:$R$495,MATCH("Case NIH Plate 4: C10",'CASE MASTER'!$I$2:$I$495,0)),"")</f>
        <v/>
      </c>
      <c r="L41" s="9" t="str">
        <f>IFERROR(INDEX('CASE MASTER'!$R$2:$R$495,MATCH("Case NIH Plate 4: C11",'CASE MASTER'!$I$2:$I$495,0)),"")</f>
        <v/>
      </c>
      <c r="M41" s="9" t="str">
        <f>IFERROR(INDEX('CASE MASTER'!$R$2:$R$495,MATCH("Case NIH Plate 4: C12",'CASE MASTER'!$I$2:$I$495,0)),"")</f>
        <v/>
      </c>
    </row>
    <row r="42" spans="1:13" ht="15" customHeight="1" x14ac:dyDescent="0.35">
      <c r="A42" s="8" t="s">
        <v>31</v>
      </c>
      <c r="B42" s="9" t="str">
        <f>IFERROR(INDEX('CASE MASTER'!$R$2:$R$495,MATCH("Case NIH Plate 4: D1",'CASE MASTER'!$I$2:$I$495,0)),"")</f>
        <v/>
      </c>
      <c r="C42" s="9" t="str">
        <f>IFERROR(INDEX('CASE MASTER'!$R$2:$R$495,MATCH("Case NIH Plate 4: D2",'CASE MASTER'!$I$2:$I$495,0)),"")</f>
        <v/>
      </c>
      <c r="D42" s="9" t="str">
        <f>IFERROR(INDEX('CASE MASTER'!$R$2:$R$495,MATCH("Case NIH Plate 4: D3",'CASE MASTER'!$I$2:$I$495,0)),"")</f>
        <v/>
      </c>
      <c r="E42" s="9" t="str">
        <f>IFERROR(INDEX('CASE MASTER'!$R$2:$R$495,MATCH("Case NIH Plate 4: D4",'CASE MASTER'!$I$2:$I$495,0)),"")</f>
        <v/>
      </c>
      <c r="F42" s="9" t="str">
        <f>IFERROR(INDEX('CASE MASTER'!$R$2:$R$495,MATCH("Case NIH Plate 4: D5",'CASE MASTER'!$I$2:$I$495,0)),"")</f>
        <v/>
      </c>
      <c r="G42" s="9" t="str">
        <f>IFERROR(INDEX('CASE MASTER'!$R$2:$R$495,MATCH("Case NIH Plate 4: D6",'CASE MASTER'!$I$2:$I$495,0)),"")</f>
        <v/>
      </c>
      <c r="H42" s="9" t="str">
        <f>IFERROR(INDEX('CASE MASTER'!$R$2:$R$495,MATCH("Case NIH Plate 4: D7",'CASE MASTER'!$I$2:$I$495,0)),"")</f>
        <v/>
      </c>
      <c r="I42" s="9" t="str">
        <f>IFERROR(INDEX('CASE MASTER'!$R$2:$R$495,MATCH("Case NIH Plate 4: D8",'CASE MASTER'!$I$2:$I$495,0)),"")</f>
        <v/>
      </c>
      <c r="J42" s="9" t="str">
        <f>IFERROR(INDEX('CASE MASTER'!$R$2:$R$495,MATCH("Case NIH Plate 4: D9",'CASE MASTER'!$I$2:$I$495,0)),"")</f>
        <v/>
      </c>
      <c r="K42" s="9" t="str">
        <f>IFERROR(INDEX('CASE MASTER'!$R$2:$R$495,MATCH("Case NIH Plate 4: D10",'CASE MASTER'!$I$2:$I$495,0)),"")</f>
        <v/>
      </c>
      <c r="L42" s="9" t="str">
        <f>IFERROR(INDEX('CASE MASTER'!$R$2:$R$495,MATCH("Case NIH Plate 4: D11",'CASE MASTER'!$I$2:$I$495,0)),"")</f>
        <v/>
      </c>
      <c r="M42" s="9" t="str">
        <f>IFERROR(INDEX('CASE MASTER'!$R$2:$R$495,MATCH("Case NIH Plate 4: D12",'CASE MASTER'!$I$2:$I$495,0)),"")</f>
        <v/>
      </c>
    </row>
    <row r="43" spans="1:13" ht="15" customHeight="1" x14ac:dyDescent="0.35">
      <c r="A43" s="8" t="s">
        <v>32</v>
      </c>
      <c r="B43" s="9" t="str">
        <f>IFERROR(INDEX('CASE MASTER'!$R$2:$R$495,MATCH("Case NIH Plate 4: E1",'CASE MASTER'!$I$2:$I$495,0)),"")</f>
        <v/>
      </c>
      <c r="C43" s="9" t="str">
        <f>IFERROR(INDEX('CASE MASTER'!$R$2:$R$495,MATCH("Case NIH Plate 4: E2",'CASE MASTER'!$I$2:$I$495,0)),"")</f>
        <v/>
      </c>
      <c r="D43" s="9" t="str">
        <f>IFERROR(INDEX('CASE MASTER'!$R$2:$R$495,MATCH("Case NIH Plate 4: E3",'CASE MASTER'!$I$2:$I$495,0)),"")</f>
        <v/>
      </c>
      <c r="E43" s="9" t="str">
        <f>IFERROR(INDEX('CASE MASTER'!$R$2:$R$495,MATCH("Case NIH Plate 4: E4",'CASE MASTER'!$I$2:$I$495,0)),"")</f>
        <v/>
      </c>
      <c r="F43" s="9" t="str">
        <f>IFERROR(INDEX('CASE MASTER'!$R$2:$R$495,MATCH("Case NIH Plate 4: E5",'CASE MASTER'!$I$2:$I$495,0)),"")</f>
        <v/>
      </c>
      <c r="G43" s="9" t="str">
        <f>IFERROR(INDEX('CASE MASTER'!$R$2:$R$495,MATCH("Case NIH Plate 4: E6",'CASE MASTER'!$I$2:$I$495,0)),"")</f>
        <v/>
      </c>
      <c r="H43" s="9" t="str">
        <f>IFERROR(INDEX('CASE MASTER'!$R$2:$R$495,MATCH("Case NIH Plate 4: E7",'CASE MASTER'!$I$2:$I$495,0)),"")</f>
        <v/>
      </c>
      <c r="I43" s="9" t="str">
        <f>IFERROR(INDEX('CASE MASTER'!$R$2:$R$495,MATCH("Case NIH Plate 4: E8",'CASE MASTER'!$I$2:$I$495,0)),"")</f>
        <v/>
      </c>
      <c r="J43" s="9" t="str">
        <f>IFERROR(INDEX('CASE MASTER'!$R$2:$R$495,MATCH("Case NIH Plate 4: E9",'CASE MASTER'!$I$2:$I$495,0)),"")</f>
        <v/>
      </c>
      <c r="K43" s="9" t="str">
        <f>IFERROR(INDEX('CASE MASTER'!$R$2:$R$495,MATCH("Case NIH Plate 4: E10",'CASE MASTER'!$I$2:$I$495,0)),"")</f>
        <v/>
      </c>
      <c r="L43" s="9" t="str">
        <f>IFERROR(INDEX('CASE MASTER'!$R$2:$R$495,MATCH("Case NIH Plate 4: E11",'CASE MASTER'!$I$2:$I$495,0)),"")</f>
        <v/>
      </c>
      <c r="M43" s="9" t="str">
        <f>IFERROR(INDEX('CASE MASTER'!$R$2:$R$495,MATCH("Case NIH Plate 4: E12",'CASE MASTER'!$I$2:$I$495,0)),"")</f>
        <v/>
      </c>
    </row>
    <row r="44" spans="1:13" ht="15" customHeight="1" x14ac:dyDescent="0.35">
      <c r="A44" s="8" t="s">
        <v>33</v>
      </c>
      <c r="B44" s="9" t="str">
        <f>IFERROR(INDEX('CASE MASTER'!$R$2:$R$495,MATCH("Case NIH Plate 4: F1",'CASE MASTER'!$I$2:$I$495,0)),"")</f>
        <v/>
      </c>
      <c r="C44" s="9" t="str">
        <f>IFERROR(INDEX('CASE MASTER'!$R$2:$R$495,MATCH("Case NIH Plate 4: F2",'CASE MASTER'!$I$2:$I$495,0)),"")</f>
        <v/>
      </c>
      <c r="D44" s="9" t="str">
        <f>IFERROR(INDEX('CASE MASTER'!$R$2:$R$495,MATCH("Case NIH Plate 4: F3",'CASE MASTER'!$I$2:$I$495,0)),"")</f>
        <v/>
      </c>
      <c r="E44" s="9" t="str">
        <f>IFERROR(INDEX('CASE MASTER'!$R$2:$R$495,MATCH("Case NIH Plate 4: F4",'CASE MASTER'!$I$2:$I$495,0)),"")</f>
        <v/>
      </c>
      <c r="F44" s="9" t="str">
        <f>IFERROR(INDEX('CASE MASTER'!$R$2:$R$495,MATCH("Case NIH Plate 4: F5",'CASE MASTER'!$I$2:$I$495,0)),"")</f>
        <v/>
      </c>
      <c r="G44" s="9" t="str">
        <f>IFERROR(INDEX('CASE MASTER'!$R$2:$R$495,MATCH("Case NIH Plate 4: F6",'CASE MASTER'!$I$2:$I$495,0)),"")</f>
        <v/>
      </c>
      <c r="H44" s="9" t="str">
        <f>IFERROR(INDEX('CASE MASTER'!$R$2:$R$495,MATCH("Case NIH Plate 4: F7",'CASE MASTER'!$I$2:$I$495,0)),"")</f>
        <v/>
      </c>
      <c r="I44" s="9" t="str">
        <f>IFERROR(INDEX('CASE MASTER'!$R$2:$R$495,MATCH("Case NIH Plate 4: F8",'CASE MASTER'!$I$2:$I$495,0)),"")</f>
        <v/>
      </c>
      <c r="J44" s="9" t="str">
        <f>IFERROR(INDEX('CASE MASTER'!$R$2:$R$495,MATCH("Case NIH Plate 4: F9",'CASE MASTER'!$I$2:$I$495,0)),"")</f>
        <v/>
      </c>
      <c r="K44" s="9" t="str">
        <f>IFERROR(INDEX('CASE MASTER'!$R$2:$R$495,MATCH("Case NIH Plate 4: F10",'CASE MASTER'!$I$2:$I$495,0)),"")</f>
        <v/>
      </c>
      <c r="L44" s="9" t="str">
        <f>IFERROR(INDEX('CASE MASTER'!$R$2:$R$495,MATCH("Case NIH Plate 4: F11",'CASE MASTER'!$I$2:$I$495,0)),"")</f>
        <v/>
      </c>
      <c r="M44" s="9" t="str">
        <f>IFERROR(INDEX('CASE MASTER'!$R$2:$R$495,MATCH("Case NIH Plate 4: F12",'CASE MASTER'!$I$2:$I$495,0)),"")</f>
        <v/>
      </c>
    </row>
    <row r="45" spans="1:13" ht="15" customHeight="1" x14ac:dyDescent="0.35">
      <c r="A45" s="8" t="s">
        <v>34</v>
      </c>
      <c r="B45" s="9" t="str">
        <f>IFERROR(INDEX('CASE MASTER'!$R$2:$R$495,MATCH("Case NIH Plate 4: G1",'CASE MASTER'!$I$2:$I$495,0)),"")</f>
        <v/>
      </c>
      <c r="C45" s="9" t="str">
        <f>IFERROR(INDEX('CASE MASTER'!$R$2:$R$495,MATCH("Case NIH Plate 4: G2",'CASE MASTER'!$I$2:$I$495,0)),"")</f>
        <v/>
      </c>
      <c r="D45" s="9" t="str">
        <f>IFERROR(INDEX('CASE MASTER'!$R$2:$R$495,MATCH("Case NIH Plate 4: G3",'CASE MASTER'!$I$2:$I$495,0)),"")</f>
        <v/>
      </c>
      <c r="E45" s="9" t="str">
        <f>IFERROR(INDEX('CASE MASTER'!$R$2:$R$495,MATCH("Case NIH Plate 4: G4",'CASE MASTER'!$I$2:$I$495,0)),"")</f>
        <v/>
      </c>
      <c r="F45" s="9" t="str">
        <f>IFERROR(INDEX('CASE MASTER'!$R$2:$R$495,MATCH("Case NIH Plate 4: G5",'CASE MASTER'!$I$2:$I$495,0)),"")</f>
        <v/>
      </c>
      <c r="G45" s="9" t="str">
        <f>IFERROR(INDEX('CASE MASTER'!$R$2:$R$495,MATCH("Case NIH Plate 4: G6",'CASE MASTER'!$I$2:$I$495,0)),"")</f>
        <v/>
      </c>
      <c r="H45" s="9" t="str">
        <f>IFERROR(INDEX('CASE MASTER'!$R$2:$R$495,MATCH("Case NIH Plate 4: G7",'CASE MASTER'!$I$2:$I$495,0)),"")</f>
        <v/>
      </c>
      <c r="I45" s="9" t="str">
        <f>IFERROR(INDEX('CASE MASTER'!$R$2:$R$495,MATCH("Case NIH Plate 4: G8",'CASE MASTER'!$I$2:$I$495,0)),"")</f>
        <v/>
      </c>
      <c r="J45" s="9" t="str">
        <f>IFERROR(INDEX('CASE MASTER'!$R$2:$R$495,MATCH("Case NIH Plate 4: G9",'CASE MASTER'!$I$2:$I$495,0)),"")</f>
        <v/>
      </c>
      <c r="K45" s="9" t="str">
        <f>IFERROR(INDEX('CASE MASTER'!$R$2:$R$495,MATCH("Case NIH Plate 4: G10",'CASE MASTER'!$I$2:$I$495,0)),"")</f>
        <v/>
      </c>
      <c r="L45" s="9" t="str">
        <f>IFERROR(INDEX('CASE MASTER'!$R$2:$R$495,MATCH("Case NIH Plate 4: G11",'CASE MASTER'!$I$2:$I$495,0)),"")</f>
        <v/>
      </c>
      <c r="M45" s="9" t="str">
        <f>IFERROR(INDEX('CASE MASTER'!$R$2:$R$495,MATCH("Case NIH Plate 4: G12",'CASE MASTER'!$I$2:$I$495,0)),"")</f>
        <v/>
      </c>
    </row>
    <row r="46" spans="1:13" ht="15" customHeight="1" x14ac:dyDescent="0.35">
      <c r="A46" s="8" t="s">
        <v>35</v>
      </c>
      <c r="B46" s="9" t="str">
        <f>IFERROR(INDEX('CASE MASTER'!$R$2:$R$495,MATCH("Case NIH Plate 4: H1",'CASE MASTER'!$I$2:$I$495,0)),"")</f>
        <v/>
      </c>
      <c r="C46" s="9" t="str">
        <f>IFERROR(INDEX('CASE MASTER'!$R$2:$R$495,MATCH("Case NIH Plate 4: H2",'CASE MASTER'!$I$2:$I$495,0)),"")</f>
        <v/>
      </c>
      <c r="D46" s="9" t="str">
        <f>IFERROR(INDEX('CASE MASTER'!$R$2:$R$495,MATCH("Case NIH Plate 4: H3",'CASE MASTER'!$I$2:$I$495,0)),"")</f>
        <v/>
      </c>
      <c r="E46" s="9" t="str">
        <f>IFERROR(INDEX('CASE MASTER'!$R$2:$R$495,MATCH("Case NIH Plate 4: H4",'CASE MASTER'!$I$2:$I$495,0)),"")</f>
        <v/>
      </c>
      <c r="F46" s="9" t="str">
        <f>IFERROR(INDEX('CASE MASTER'!$R$2:$R$495,MATCH("Case NIH Plate 4: H5",'CASE MASTER'!$I$2:$I$495,0)),"")</f>
        <v/>
      </c>
      <c r="G46" s="9" t="str">
        <f>IFERROR(INDEX('CASE MASTER'!$R$2:$R$495,MATCH("Case NIH Plate 4: H6",'CASE MASTER'!$I$2:$I$495,0)),"")</f>
        <v/>
      </c>
      <c r="H46" s="9" t="str">
        <f>IFERROR(INDEX('CASE MASTER'!$R$2:$R$495,MATCH("Case NIH Plate 4: H7",'CASE MASTER'!$I$2:$I$495,0)),"")</f>
        <v/>
      </c>
      <c r="I46" s="9" t="str">
        <f>IFERROR(INDEX('CASE MASTER'!$R$2:$R$495,MATCH("Case NIH Plate 4: H8",'CASE MASTER'!$I$2:$I$495,0)),"")</f>
        <v/>
      </c>
      <c r="J46" s="9" t="str">
        <f>IFERROR(INDEX('CASE MASTER'!$R$2:$R$495,MATCH("Case NIH Plate 4: H9",'CASE MASTER'!$I$2:$I$495,0)),"")</f>
        <v/>
      </c>
      <c r="K46" s="9" t="str">
        <f>IFERROR(INDEX('CASE MASTER'!$R$2:$R$495,MATCH("Case NIH Plate 4: H10",'CASE MASTER'!$I$2:$I$495,0)),"")</f>
        <v/>
      </c>
      <c r="L46" s="9" t="str">
        <f>IFERROR(INDEX('CASE MASTER'!$R$2:$R$495,MATCH("Case NIH Plate 4: H11",'CASE MASTER'!$I$2:$I$495,0)),"")</f>
        <v/>
      </c>
      <c r="M46" s="9" t="str">
        <f>IFERROR(INDEX('CASE MASTER'!$R$2:$R$495,MATCH("Case NIH Plate 4: H12",'CASE MASTER'!$I$2:$I$495,0)),"")</f>
        <v/>
      </c>
    </row>
    <row r="49" spans="1:13" ht="15" customHeight="1" x14ac:dyDescent="0.35">
      <c r="A49" s="12" t="s">
        <v>54</v>
      </c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</row>
    <row r="50" spans="1:13" ht="15" customHeight="1" x14ac:dyDescent="0.35">
      <c r="B50" s="8">
        <v>1</v>
      </c>
      <c r="C50" s="8">
        <v>2</v>
      </c>
      <c r="D50" s="8">
        <v>3</v>
      </c>
      <c r="E50" s="8">
        <v>4</v>
      </c>
      <c r="F50" s="8">
        <v>5</v>
      </c>
      <c r="G50" s="8">
        <v>6</v>
      </c>
      <c r="H50" s="8">
        <v>7</v>
      </c>
      <c r="I50" s="8">
        <v>8</v>
      </c>
      <c r="J50" s="8">
        <v>9</v>
      </c>
      <c r="K50" s="8">
        <v>10</v>
      </c>
      <c r="L50" s="8">
        <v>11</v>
      </c>
      <c r="M50" s="8">
        <v>12</v>
      </c>
    </row>
    <row r="51" spans="1:13" ht="15" customHeight="1" x14ac:dyDescent="0.35">
      <c r="A51" s="8" t="s">
        <v>28</v>
      </c>
      <c r="B51" s="9" t="str">
        <f>IFERROR(INDEX('CASE MASTER'!$R$2:$R$495,MATCH("Case NIH Plate 5: A1",'CASE MASTER'!$I$2:$I$495,0)),"")</f>
        <v/>
      </c>
      <c r="C51" s="9" t="str">
        <f>IFERROR(INDEX('CASE MASTER'!$R$2:$R$495,MATCH("Case NIH Plate 5: A2",'CASE MASTER'!$I$2:$I$495,0)),"")</f>
        <v/>
      </c>
      <c r="D51" s="9" t="str">
        <f>IFERROR(INDEX('CASE MASTER'!$R$2:$R$495,MATCH("Case NIH Plate 5: A3",'CASE MASTER'!$I$2:$I$495,0)),"")</f>
        <v/>
      </c>
      <c r="E51" s="9" t="str">
        <f>IFERROR(INDEX('CASE MASTER'!$R$2:$R$495,MATCH("Case NIH Plate 5: A4",'CASE MASTER'!$I$2:$I$495,0)),"")</f>
        <v/>
      </c>
      <c r="F51" s="9" t="str">
        <f>IFERROR(INDEX('CASE MASTER'!$R$2:$R$495,MATCH("Case NIH Plate 5: A5",'CASE MASTER'!$I$2:$I$495,0)),"")</f>
        <v/>
      </c>
      <c r="G51" s="9" t="str">
        <f>IFERROR(INDEX('CASE MASTER'!$R$2:$R$495,MATCH("Case NIH Plate 5: A6",'CASE MASTER'!$I$2:$I$495,0)),"")</f>
        <v/>
      </c>
      <c r="H51" s="9" t="str">
        <f>IFERROR(INDEX('CASE MASTER'!$R$2:$R$495,MATCH("Case NIH Plate 5: A7",'CASE MASTER'!$I$2:$I$495,0)),"")</f>
        <v/>
      </c>
      <c r="I51" s="9" t="str">
        <f>IFERROR(INDEX('CASE MASTER'!$R$2:$R$495,MATCH("Case NIH Plate 5: A8",'CASE MASTER'!$I$2:$I$495,0)),"")</f>
        <v/>
      </c>
      <c r="J51" s="9" t="str">
        <f>IFERROR(INDEX('CASE MASTER'!$R$2:$R$495,MATCH("Case NIH Plate 5: A9",'CASE MASTER'!$I$2:$I$495,0)),"")</f>
        <v/>
      </c>
      <c r="K51" s="9" t="str">
        <f>IFERROR(INDEX('CASE MASTER'!$R$2:$R$495,MATCH("Case NIH Plate 5: A10",'CASE MASTER'!$I$2:$I$495,0)),"")</f>
        <v/>
      </c>
      <c r="L51" s="9" t="str">
        <f>IFERROR(INDEX('CASE MASTER'!$R$2:$R$495,MATCH("Case NIH Plate 5: A11",'CASE MASTER'!$I$2:$I$495,0)),"")</f>
        <v/>
      </c>
      <c r="M51" s="9" t="str">
        <f>IFERROR(INDEX('CASE MASTER'!$R$2:$R$495,MATCH("Case NIH Plate 5: A12",'CASE MASTER'!$I$2:$I$495,0)),"")</f>
        <v/>
      </c>
    </row>
    <row r="52" spans="1:13" ht="15" customHeight="1" x14ac:dyDescent="0.35">
      <c r="A52" s="8" t="s">
        <v>29</v>
      </c>
      <c r="B52" s="9" t="str">
        <f>IFERROR(INDEX('CASE MASTER'!$R$2:$R$495,MATCH("Case NIH Plate 5: B1",'CASE MASTER'!$I$2:$I$495,0)),"")</f>
        <v/>
      </c>
      <c r="C52" s="9" t="str">
        <f>IFERROR(INDEX('CASE MASTER'!$R$2:$R$495,MATCH("Case NIH Plate 5: B2",'CASE MASTER'!$I$2:$I$495,0)),"")</f>
        <v/>
      </c>
      <c r="D52" s="9" t="str">
        <f>IFERROR(INDEX('CASE MASTER'!$R$2:$R$495,MATCH("Case NIH Plate 5: B3",'CASE MASTER'!$I$2:$I$495,0)),"")</f>
        <v/>
      </c>
      <c r="E52" s="9" t="str">
        <f>IFERROR(INDEX('CASE MASTER'!$R$2:$R$495,MATCH("Case NIH Plate 5: B4",'CASE MASTER'!$I$2:$I$495,0)),"")</f>
        <v/>
      </c>
      <c r="F52" s="9" t="str">
        <f>IFERROR(INDEX('CASE MASTER'!$R$2:$R$495,MATCH("Case NIH Plate 5: B5",'CASE MASTER'!$I$2:$I$495,0)),"")</f>
        <v/>
      </c>
      <c r="G52" s="9" t="str">
        <f>IFERROR(INDEX('CASE MASTER'!$R$2:$R$495,MATCH("Case NIH Plate 5: B6",'CASE MASTER'!$I$2:$I$495,0)),"")</f>
        <v/>
      </c>
      <c r="H52" s="9" t="str">
        <f>IFERROR(INDEX('CASE MASTER'!$R$2:$R$495,MATCH("Case NIH Plate 5: B7",'CASE MASTER'!$I$2:$I$495,0)),"")</f>
        <v/>
      </c>
      <c r="I52" s="9" t="str">
        <f>IFERROR(INDEX('CASE MASTER'!$R$2:$R$495,MATCH("Case NIH Plate 5: B8",'CASE MASTER'!$I$2:$I$495,0)),"")</f>
        <v/>
      </c>
      <c r="J52" s="9" t="str">
        <f>IFERROR(INDEX('CASE MASTER'!$R$2:$R$495,MATCH("Case NIH Plate 5: B9",'CASE MASTER'!$I$2:$I$495,0)),"")</f>
        <v/>
      </c>
      <c r="K52" s="9" t="str">
        <f>IFERROR(INDEX('CASE MASTER'!$R$2:$R$495,MATCH("Case NIH Plate 5: B10",'CASE MASTER'!$I$2:$I$495,0)),"")</f>
        <v/>
      </c>
      <c r="L52" s="9" t="str">
        <f>IFERROR(INDEX('CASE MASTER'!$R$2:$R$495,MATCH("Case NIH Plate 5: B11",'CASE MASTER'!$I$2:$I$495,0)),"")</f>
        <v/>
      </c>
      <c r="M52" s="9" t="str">
        <f>IFERROR(INDEX('CASE MASTER'!$R$2:$R$495,MATCH("Case NIH Plate 5: B12",'CASE MASTER'!$I$2:$I$495,0)),"")</f>
        <v/>
      </c>
    </row>
    <row r="53" spans="1:13" ht="15" customHeight="1" x14ac:dyDescent="0.35">
      <c r="A53" s="8" t="s">
        <v>30</v>
      </c>
      <c r="B53" s="9" t="str">
        <f>IFERROR(INDEX('CASE MASTER'!$R$2:$R$495,MATCH("Case NIH Plate 5: C1",'CASE MASTER'!$I$2:$I$495,0)),"")</f>
        <v/>
      </c>
      <c r="C53" s="9" t="str">
        <f>IFERROR(INDEX('CASE MASTER'!$R$2:$R$495,MATCH("Case NIH Plate 5: C2",'CASE MASTER'!$I$2:$I$495,0)),"")</f>
        <v/>
      </c>
      <c r="D53" s="9" t="str">
        <f>IFERROR(INDEX('CASE MASTER'!$R$2:$R$495,MATCH("Case NIH Plate 5: C3",'CASE MASTER'!$I$2:$I$495,0)),"")</f>
        <v/>
      </c>
      <c r="E53" s="9" t="str">
        <f>IFERROR(INDEX('CASE MASTER'!$R$2:$R$495,MATCH("Case NIH Plate 5: C4",'CASE MASTER'!$I$2:$I$495,0)),"")</f>
        <v/>
      </c>
      <c r="F53" s="9" t="str">
        <f>IFERROR(INDEX('CASE MASTER'!$R$2:$R$495,MATCH("Case NIH Plate 5: C5",'CASE MASTER'!$I$2:$I$495,0)),"")</f>
        <v/>
      </c>
      <c r="G53" s="9" t="str">
        <f>IFERROR(INDEX('CASE MASTER'!$R$2:$R$495,MATCH("Case NIH Plate 5: C6",'CASE MASTER'!$I$2:$I$495,0)),"")</f>
        <v/>
      </c>
      <c r="H53" s="9" t="str">
        <f>IFERROR(INDEX('CASE MASTER'!$R$2:$R$495,MATCH("Case NIH Plate 5: C7",'CASE MASTER'!$I$2:$I$495,0)),"")</f>
        <v/>
      </c>
      <c r="I53" s="9" t="str">
        <f>IFERROR(INDEX('CASE MASTER'!$R$2:$R$495,MATCH("Case NIH Plate 5: C8",'CASE MASTER'!$I$2:$I$495,0)),"")</f>
        <v/>
      </c>
      <c r="J53" s="9" t="str">
        <f>IFERROR(INDEX('CASE MASTER'!$R$2:$R$495,MATCH("Case NIH Plate 5: C9",'CASE MASTER'!$I$2:$I$495,0)),"")</f>
        <v/>
      </c>
      <c r="K53" s="9" t="str">
        <f>IFERROR(INDEX('CASE MASTER'!$R$2:$R$495,MATCH("Case NIH Plate 5: C10",'CASE MASTER'!$I$2:$I$495,0)),"")</f>
        <v/>
      </c>
      <c r="L53" s="9" t="str">
        <f>IFERROR(INDEX('CASE MASTER'!$R$2:$R$495,MATCH("Case NIH Plate 5: C11",'CASE MASTER'!$I$2:$I$495,0)),"")</f>
        <v/>
      </c>
      <c r="M53" s="9" t="str">
        <f>IFERROR(INDEX('CASE MASTER'!$R$2:$R$495,MATCH("Case NIH Plate 5: C12",'CASE MASTER'!$I$2:$I$495,0)),"")</f>
        <v/>
      </c>
    </row>
    <row r="54" spans="1:13" ht="15" customHeight="1" x14ac:dyDescent="0.35">
      <c r="A54" s="8" t="s">
        <v>31</v>
      </c>
      <c r="B54" s="9" t="str">
        <f>IFERROR(INDEX('CASE MASTER'!$R$2:$R$495,MATCH("Case NIH Plate 5: D1",'CASE MASTER'!$I$2:$I$495,0)),"")</f>
        <v/>
      </c>
      <c r="C54" s="9" t="str">
        <f>IFERROR(INDEX('CASE MASTER'!$R$2:$R$495,MATCH("Case NIH Plate 5: D2",'CASE MASTER'!$I$2:$I$495,0)),"")</f>
        <v/>
      </c>
      <c r="D54" s="9" t="str">
        <f>IFERROR(INDEX('CASE MASTER'!$R$2:$R$495,MATCH("Case NIH Plate 5: D3",'CASE MASTER'!$I$2:$I$495,0)),"")</f>
        <v/>
      </c>
      <c r="E54" s="9" t="str">
        <f>IFERROR(INDEX('CASE MASTER'!$R$2:$R$495,MATCH("Case NIH Plate 5: D4",'CASE MASTER'!$I$2:$I$495,0)),"")</f>
        <v/>
      </c>
      <c r="F54" s="9" t="str">
        <f>IFERROR(INDEX('CASE MASTER'!$R$2:$R$495,MATCH("Case NIH Plate 5: D5",'CASE MASTER'!$I$2:$I$495,0)),"")</f>
        <v/>
      </c>
      <c r="G54" s="9" t="str">
        <f>IFERROR(INDEX('CASE MASTER'!$R$2:$R$495,MATCH("Case NIH Plate 5: D6",'CASE MASTER'!$I$2:$I$495,0)),"")</f>
        <v/>
      </c>
      <c r="H54" s="9" t="str">
        <f>IFERROR(INDEX('CASE MASTER'!$R$2:$R$495,MATCH("Case NIH Plate 5: D7",'CASE MASTER'!$I$2:$I$495,0)),"")</f>
        <v/>
      </c>
      <c r="I54" s="9" t="str">
        <f>IFERROR(INDEX('CASE MASTER'!$R$2:$R$495,MATCH("Case NIH Plate 5: D8",'CASE MASTER'!$I$2:$I$495,0)),"")</f>
        <v/>
      </c>
      <c r="J54" s="9" t="str">
        <f>IFERROR(INDEX('CASE MASTER'!$R$2:$R$495,MATCH("Case NIH Plate 5: D9",'CASE MASTER'!$I$2:$I$495,0)),"")</f>
        <v/>
      </c>
      <c r="K54" s="9" t="str">
        <f>IFERROR(INDEX('CASE MASTER'!$R$2:$R$495,MATCH("Case NIH Plate 5: D10",'CASE MASTER'!$I$2:$I$495,0)),"")</f>
        <v/>
      </c>
      <c r="L54" s="9" t="str">
        <f>IFERROR(INDEX('CASE MASTER'!$R$2:$R$495,MATCH("Case NIH Plate 5: D11",'CASE MASTER'!$I$2:$I$495,0)),"")</f>
        <v/>
      </c>
      <c r="M54" s="9" t="str">
        <f>IFERROR(INDEX('CASE MASTER'!$R$2:$R$495,MATCH("Case NIH Plate 5: D12",'CASE MASTER'!$I$2:$I$495,0)),"")</f>
        <v/>
      </c>
    </row>
    <row r="55" spans="1:13" ht="15" customHeight="1" x14ac:dyDescent="0.35">
      <c r="A55" s="8" t="s">
        <v>32</v>
      </c>
      <c r="B55" s="9" t="str">
        <f>IFERROR(INDEX('CASE MASTER'!$R$2:$R$495,MATCH("Case NIH Plate 5: E1",'CASE MASTER'!$I$2:$I$495,0)),"")</f>
        <v/>
      </c>
      <c r="C55" s="9" t="str">
        <f>IFERROR(INDEX('CASE MASTER'!$R$2:$R$495,MATCH("Case NIH Plate 5: E2",'CASE MASTER'!$I$2:$I$495,0)),"")</f>
        <v/>
      </c>
      <c r="D55" s="9" t="str">
        <f>IFERROR(INDEX('CASE MASTER'!$R$2:$R$495,MATCH("Case NIH Plate 5: E3",'CASE MASTER'!$I$2:$I$495,0)),"")</f>
        <v/>
      </c>
      <c r="E55" s="9" t="str">
        <f>IFERROR(INDEX('CASE MASTER'!$R$2:$R$495,MATCH("Case NIH Plate 5: E4",'CASE MASTER'!$I$2:$I$495,0)),"")</f>
        <v/>
      </c>
      <c r="F55" s="9" t="str">
        <f>IFERROR(INDEX('CASE MASTER'!$R$2:$R$495,MATCH("Case NIH Plate 5: E5",'CASE MASTER'!$I$2:$I$495,0)),"")</f>
        <v/>
      </c>
      <c r="G55" s="9" t="str">
        <f>IFERROR(INDEX('CASE MASTER'!$R$2:$R$495,MATCH("Case NIH Plate 5: E6",'CASE MASTER'!$I$2:$I$495,0)),"")</f>
        <v/>
      </c>
      <c r="H55" s="9" t="str">
        <f>IFERROR(INDEX('CASE MASTER'!$R$2:$R$495,MATCH("Case NIH Plate 5: E7",'CASE MASTER'!$I$2:$I$495,0)),"")</f>
        <v/>
      </c>
      <c r="I55" s="9" t="str">
        <f>IFERROR(INDEX('CASE MASTER'!$R$2:$R$495,MATCH("Case NIH Plate 5: E8",'CASE MASTER'!$I$2:$I$495,0)),"")</f>
        <v/>
      </c>
      <c r="J55" s="9" t="str">
        <f>IFERROR(INDEX('CASE MASTER'!$R$2:$R$495,MATCH("Case NIH Plate 5: E9",'CASE MASTER'!$I$2:$I$495,0)),"")</f>
        <v/>
      </c>
      <c r="K55" s="9" t="str">
        <f>IFERROR(INDEX('CASE MASTER'!$R$2:$R$495,MATCH("Case NIH Plate 5: E10",'CASE MASTER'!$I$2:$I$495,0)),"")</f>
        <v/>
      </c>
      <c r="L55" s="9" t="str">
        <f>IFERROR(INDEX('CASE MASTER'!$R$2:$R$495,MATCH("Case NIH Plate 5: E11",'CASE MASTER'!$I$2:$I$495,0)),"")</f>
        <v/>
      </c>
      <c r="M55" s="9" t="str">
        <f>IFERROR(INDEX('CASE MASTER'!$R$2:$R$495,MATCH("Case NIH Plate 5: E12",'CASE MASTER'!$I$2:$I$495,0)),"")</f>
        <v/>
      </c>
    </row>
    <row r="56" spans="1:13" ht="15" customHeight="1" x14ac:dyDescent="0.35">
      <c r="A56" s="8" t="s">
        <v>33</v>
      </c>
      <c r="B56" s="9" t="str">
        <f>IFERROR(INDEX('CASE MASTER'!$R$2:$R$495,MATCH("Case NIH Plate 5: F1",'CASE MASTER'!$I$2:$I$495,0)),"")</f>
        <v/>
      </c>
      <c r="C56" s="9" t="str">
        <f>IFERROR(INDEX('CASE MASTER'!$R$2:$R$495,MATCH("Case NIH Plate 5: F2",'CASE MASTER'!$I$2:$I$495,0)),"")</f>
        <v/>
      </c>
      <c r="D56" s="9" t="str">
        <f>IFERROR(INDEX('CASE MASTER'!$R$2:$R$495,MATCH("Case NIH Plate 5: F3",'CASE MASTER'!$I$2:$I$495,0)),"")</f>
        <v/>
      </c>
      <c r="E56" s="9" t="str">
        <f>IFERROR(INDEX('CASE MASTER'!$R$2:$R$495,MATCH("Case NIH Plate 5: F4",'CASE MASTER'!$I$2:$I$495,0)),"")</f>
        <v/>
      </c>
      <c r="F56" s="9" t="str">
        <f>IFERROR(INDEX('CASE MASTER'!$R$2:$R$495,MATCH("Case NIH Plate 5: F5",'CASE MASTER'!$I$2:$I$495,0)),"")</f>
        <v/>
      </c>
      <c r="G56" s="9" t="str">
        <f>IFERROR(INDEX('CASE MASTER'!$R$2:$R$495,MATCH("Case NIH Plate 5: F6",'CASE MASTER'!$I$2:$I$495,0)),"")</f>
        <v/>
      </c>
      <c r="H56" s="9" t="str">
        <f>IFERROR(INDEX('CASE MASTER'!$R$2:$R$495,MATCH("Case NIH Plate 5: F7",'CASE MASTER'!$I$2:$I$495,0)),"")</f>
        <v/>
      </c>
      <c r="I56" s="9" t="str">
        <f>IFERROR(INDEX('CASE MASTER'!$R$2:$R$495,MATCH("Case NIH Plate 5: F8",'CASE MASTER'!$I$2:$I$495,0)),"")</f>
        <v/>
      </c>
      <c r="J56" s="9" t="str">
        <f>IFERROR(INDEX('CASE MASTER'!$R$2:$R$495,MATCH("Case NIH Plate 5: F9",'CASE MASTER'!$I$2:$I$495,0)),"")</f>
        <v/>
      </c>
      <c r="K56" s="9" t="str">
        <f>IFERROR(INDEX('CASE MASTER'!$R$2:$R$495,MATCH("Case NIH Plate 5: F10",'CASE MASTER'!$I$2:$I$495,0)),"")</f>
        <v/>
      </c>
      <c r="L56" s="9" t="str">
        <f>IFERROR(INDEX('CASE MASTER'!$R$2:$R$495,MATCH("Case NIH Plate 5: F11",'CASE MASTER'!$I$2:$I$495,0)),"")</f>
        <v/>
      </c>
      <c r="M56" s="9" t="str">
        <f>IFERROR(INDEX('CASE MASTER'!$R$2:$R$495,MATCH("Case NIH Plate 5: F12",'CASE MASTER'!$I$2:$I$495,0)),"")</f>
        <v/>
      </c>
    </row>
    <row r="57" spans="1:13" ht="15" customHeight="1" x14ac:dyDescent="0.35">
      <c r="A57" s="8" t="s">
        <v>34</v>
      </c>
      <c r="B57" s="9" t="str">
        <f>IFERROR(INDEX('CASE MASTER'!$R$2:$R$495,MATCH("Case NIH Plate 5: G1",'CASE MASTER'!$I$2:$I$495,0)),"")</f>
        <v/>
      </c>
      <c r="C57" s="9" t="str">
        <f>IFERROR(INDEX('CASE MASTER'!$R$2:$R$495,MATCH("Case NIH Plate 5: G2",'CASE MASTER'!$I$2:$I$495,0)),"")</f>
        <v/>
      </c>
      <c r="D57" s="9" t="str">
        <f>IFERROR(INDEX('CASE MASTER'!$R$2:$R$495,MATCH("Case NIH Plate 5: G3",'CASE MASTER'!$I$2:$I$495,0)),"")</f>
        <v/>
      </c>
      <c r="E57" s="9" t="str">
        <f>IFERROR(INDEX('CASE MASTER'!$R$2:$R$495,MATCH("Case NIH Plate 5: G4",'CASE MASTER'!$I$2:$I$495,0)),"")</f>
        <v/>
      </c>
      <c r="F57" s="9" t="str">
        <f>IFERROR(INDEX('CASE MASTER'!$R$2:$R$495,MATCH("Case NIH Plate 5: G5",'CASE MASTER'!$I$2:$I$495,0)),"")</f>
        <v/>
      </c>
      <c r="G57" s="9" t="str">
        <f>IFERROR(INDEX('CASE MASTER'!$R$2:$R$495,MATCH("Case NIH Plate 5: G6",'CASE MASTER'!$I$2:$I$495,0)),"")</f>
        <v/>
      </c>
      <c r="H57" s="9" t="str">
        <f>IFERROR(INDEX('CASE MASTER'!$R$2:$R$495,MATCH("Case NIH Plate 5: G7",'CASE MASTER'!$I$2:$I$495,0)),"")</f>
        <v/>
      </c>
      <c r="I57" s="9" t="str">
        <f>IFERROR(INDEX('CASE MASTER'!$R$2:$R$495,MATCH("Case NIH Plate 5: G8",'CASE MASTER'!$I$2:$I$495,0)),"")</f>
        <v/>
      </c>
      <c r="J57" s="9" t="str">
        <f>IFERROR(INDEX('CASE MASTER'!$R$2:$R$495,MATCH("Case NIH Plate 5: G9",'CASE MASTER'!$I$2:$I$495,0)),"")</f>
        <v/>
      </c>
      <c r="K57" s="9" t="str">
        <f>IFERROR(INDEX('CASE MASTER'!$R$2:$R$495,MATCH("Case NIH Plate 5: G10",'CASE MASTER'!$I$2:$I$495,0)),"")</f>
        <v/>
      </c>
      <c r="L57" s="9" t="str">
        <f>IFERROR(INDEX('CASE MASTER'!$R$2:$R$495,MATCH("Case NIH Plate 5: G11",'CASE MASTER'!$I$2:$I$495,0)),"")</f>
        <v/>
      </c>
      <c r="M57" s="9" t="str">
        <f>IFERROR(INDEX('CASE MASTER'!$R$2:$R$495,MATCH("Case NIH Plate 5: G12",'CASE MASTER'!$I$2:$I$495,0)),"")</f>
        <v/>
      </c>
    </row>
    <row r="58" spans="1:13" ht="15" customHeight="1" x14ac:dyDescent="0.35">
      <c r="A58" s="8" t="s">
        <v>35</v>
      </c>
      <c r="B58" s="9" t="str">
        <f>IFERROR(INDEX('CASE MASTER'!$R$2:$R$495,MATCH("Case NIH Plate 5: H1",'CASE MASTER'!$I$2:$I$495,0)),"")</f>
        <v/>
      </c>
      <c r="C58" s="9" t="str">
        <f>IFERROR(INDEX('CASE MASTER'!$R$2:$R$495,MATCH("Case NIH Plate 5: H2",'CASE MASTER'!$I$2:$I$495,0)),"")</f>
        <v/>
      </c>
      <c r="D58" s="9" t="str">
        <f>IFERROR(INDEX('CASE MASTER'!$R$2:$R$495,MATCH("Case NIH Plate 5: H3",'CASE MASTER'!$I$2:$I$495,0)),"")</f>
        <v/>
      </c>
      <c r="E58" s="9" t="str">
        <f>IFERROR(INDEX('CASE MASTER'!$R$2:$R$495,MATCH("Case NIH Plate 5: H4",'CASE MASTER'!$I$2:$I$495,0)),"")</f>
        <v/>
      </c>
      <c r="F58" s="9" t="str">
        <f>IFERROR(INDEX('CASE MASTER'!$R$2:$R$495,MATCH("Case NIH Plate 5: H5",'CASE MASTER'!$I$2:$I$495,0)),"")</f>
        <v/>
      </c>
      <c r="G58" s="9" t="str">
        <f>IFERROR(INDEX('CASE MASTER'!$R$2:$R$495,MATCH("Case NIH Plate 5: H6",'CASE MASTER'!$I$2:$I$495,0)),"")</f>
        <v/>
      </c>
      <c r="H58" s="9" t="str">
        <f>IFERROR(INDEX('CASE MASTER'!$R$2:$R$495,MATCH("Case NIH Plate 5: H7",'CASE MASTER'!$I$2:$I$495,0)),"")</f>
        <v/>
      </c>
      <c r="I58" s="9" t="str">
        <f>IFERROR(INDEX('CASE MASTER'!$R$2:$R$495,MATCH("Case NIH Plate 5: H8",'CASE MASTER'!$I$2:$I$495,0)),"")</f>
        <v/>
      </c>
      <c r="J58" s="9" t="str">
        <f>IFERROR(INDEX('CASE MASTER'!$R$2:$R$495,MATCH("Case NIH Plate 5: H9",'CASE MASTER'!$I$2:$I$495,0)),"")</f>
        <v/>
      </c>
      <c r="K58" s="9" t="str">
        <f>IFERROR(INDEX('CASE MASTER'!$R$2:$R$495,MATCH("Case NIH Plate 5: H10",'CASE MASTER'!$I$2:$I$495,0)),"")</f>
        <v/>
      </c>
      <c r="L58" s="9" t="str">
        <f>IFERROR(INDEX('CASE MASTER'!$R$2:$R$495,MATCH("Case NIH Plate 5: H11",'CASE MASTER'!$I$2:$I$495,0)),"")</f>
        <v/>
      </c>
      <c r="M58" s="9" t="str">
        <f>IFERROR(INDEX('CASE MASTER'!$R$2:$R$495,MATCH("Case NIH Plate 5: H12",'CASE MASTER'!$I$2:$I$495,0)),"")</f>
        <v/>
      </c>
    </row>
    <row r="61" spans="1:13" ht="15" customHeight="1" x14ac:dyDescent="0.35">
      <c r="A61" s="12" t="s">
        <v>55</v>
      </c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</row>
    <row r="62" spans="1:13" ht="15" customHeight="1" x14ac:dyDescent="0.35">
      <c r="B62" s="8">
        <v>1</v>
      </c>
      <c r="C62" s="8">
        <v>2</v>
      </c>
      <c r="D62" s="8">
        <v>3</v>
      </c>
      <c r="E62" s="8">
        <v>4</v>
      </c>
      <c r="F62" s="8">
        <v>5</v>
      </c>
      <c r="G62" s="8">
        <v>6</v>
      </c>
      <c r="H62" s="8">
        <v>7</v>
      </c>
      <c r="I62" s="8">
        <v>8</v>
      </c>
      <c r="J62" s="8">
        <v>9</v>
      </c>
      <c r="K62" s="8">
        <v>10</v>
      </c>
      <c r="L62" s="8">
        <v>11</v>
      </c>
      <c r="M62" s="8">
        <v>12</v>
      </c>
    </row>
    <row r="63" spans="1:13" ht="15" customHeight="1" x14ac:dyDescent="0.35">
      <c r="A63" s="8" t="s">
        <v>28</v>
      </c>
      <c r="B63" s="9" t="str">
        <f>IFERROR(INDEX('CASE MASTER'!$R$2:$R$495,MATCH("Case NIH Plate 6: A1",'CASE MASTER'!$I$2:$I$495,0)),"")</f>
        <v/>
      </c>
      <c r="C63" s="9" t="str">
        <f>IFERROR(INDEX('CASE MASTER'!$R$2:$R$495,MATCH("Case NIH Plate 6: A2",'CASE MASTER'!$I$2:$I$495,0)),"")</f>
        <v/>
      </c>
      <c r="D63" s="9" t="str">
        <f>IFERROR(INDEX('CASE MASTER'!$R$2:$R$495,MATCH("Case NIH Plate 6: A3",'CASE MASTER'!$I$2:$I$495,0)),"")</f>
        <v/>
      </c>
      <c r="E63" s="9" t="str">
        <f>IFERROR(INDEX('CASE MASTER'!$R$2:$R$495,MATCH("Case NIH Plate 6: A4",'CASE MASTER'!$I$2:$I$495,0)),"")</f>
        <v/>
      </c>
      <c r="F63" s="9" t="str">
        <f>IFERROR(INDEX('CASE MASTER'!$R$2:$R$495,MATCH("Case NIH Plate 6: A5",'CASE MASTER'!$I$2:$I$495,0)),"")</f>
        <v/>
      </c>
      <c r="G63" s="9" t="str">
        <f>IFERROR(INDEX('CASE MASTER'!$R$2:$R$495,MATCH("Case NIH Plate 6: A6",'CASE MASTER'!$I$2:$I$495,0)),"")</f>
        <v/>
      </c>
      <c r="H63" s="9" t="str">
        <f>IFERROR(INDEX('CASE MASTER'!$R$2:$R$495,MATCH("Case NIH Plate 6: A7",'CASE MASTER'!$I$2:$I$495,0)),"")</f>
        <v/>
      </c>
      <c r="I63" s="9" t="str">
        <f>IFERROR(INDEX('CASE MASTER'!$R$2:$R$495,MATCH("Case NIH Plate 6: A8",'CASE MASTER'!$I$2:$I$495,0)),"")</f>
        <v/>
      </c>
      <c r="J63" s="9" t="str">
        <f>IFERROR(INDEX('CASE MASTER'!$R$2:$R$495,MATCH("Case NIH Plate 6: A9",'CASE MASTER'!$I$2:$I$495,0)),"")</f>
        <v/>
      </c>
      <c r="K63" s="9" t="str">
        <f>IFERROR(INDEX('CASE MASTER'!$R$2:$R$495,MATCH("Case NIH Plate 6: A10",'CASE MASTER'!$I$2:$I$495,0)),"")</f>
        <v/>
      </c>
      <c r="L63" s="9" t="str">
        <f>IFERROR(INDEX('CASE MASTER'!$R$2:$R$495,MATCH("Case NIH Plate 6: A11",'CASE MASTER'!$I$2:$I$495,0)),"")</f>
        <v/>
      </c>
      <c r="M63" s="9" t="str">
        <f>IFERROR(INDEX('CASE MASTER'!$R$2:$R$495,MATCH("Case NIH Plate 6: A12",'CASE MASTER'!$I$2:$I$495,0)),"")</f>
        <v/>
      </c>
    </row>
    <row r="64" spans="1:13" ht="15" customHeight="1" x14ac:dyDescent="0.35">
      <c r="A64" s="8" t="s">
        <v>29</v>
      </c>
      <c r="B64" s="9" t="str">
        <f>IFERROR(INDEX('CASE MASTER'!$R$2:$R$495,MATCH("Case NIH Plate 6: B1",'CASE MASTER'!$I$2:$I$495,0)),"")</f>
        <v/>
      </c>
      <c r="C64" s="9" t="str">
        <f>IFERROR(INDEX('CASE MASTER'!$R$2:$R$495,MATCH("Case NIH Plate 6: B2",'CASE MASTER'!$I$2:$I$495,0)),"")</f>
        <v/>
      </c>
      <c r="D64" s="9" t="str">
        <f>IFERROR(INDEX('CASE MASTER'!$R$2:$R$495,MATCH("Case NIH Plate 6: B3",'CASE MASTER'!$I$2:$I$495,0)),"")</f>
        <v/>
      </c>
      <c r="E64" s="9" t="str">
        <f>IFERROR(INDEX('CASE MASTER'!$R$2:$R$495,MATCH("Case NIH Plate 6: B4",'CASE MASTER'!$I$2:$I$495,0)),"")</f>
        <v/>
      </c>
      <c r="F64" s="9" t="str">
        <f>IFERROR(INDEX('CASE MASTER'!$R$2:$R$495,MATCH("Case NIH Plate 6: B5",'CASE MASTER'!$I$2:$I$495,0)),"")</f>
        <v/>
      </c>
      <c r="G64" s="9" t="str">
        <f>IFERROR(INDEX('CASE MASTER'!$R$2:$R$495,MATCH("Case NIH Plate 6: B6",'CASE MASTER'!$I$2:$I$495,0)),"")</f>
        <v/>
      </c>
      <c r="H64" s="9" t="str">
        <f>IFERROR(INDEX('CASE MASTER'!$R$2:$R$495,MATCH("Case NIH Plate 6: B7",'CASE MASTER'!$I$2:$I$495,0)),"")</f>
        <v/>
      </c>
      <c r="I64" s="9" t="str">
        <f>IFERROR(INDEX('CASE MASTER'!$R$2:$R$495,MATCH("Case NIH Plate 6: B8",'CASE MASTER'!$I$2:$I$495,0)),"")</f>
        <v/>
      </c>
      <c r="J64" s="9" t="str">
        <f>IFERROR(INDEX('CASE MASTER'!$R$2:$R$495,MATCH("Case NIH Plate 6: B9",'CASE MASTER'!$I$2:$I$495,0)),"")</f>
        <v/>
      </c>
      <c r="K64" s="9" t="str">
        <f>IFERROR(INDEX('CASE MASTER'!$R$2:$R$495,MATCH("Case NIH Plate 6: B10",'CASE MASTER'!$I$2:$I$495,0)),"")</f>
        <v/>
      </c>
      <c r="L64" s="9" t="str">
        <f>IFERROR(INDEX('CASE MASTER'!$R$2:$R$495,MATCH("Case NIH Plate 6: B11",'CASE MASTER'!$I$2:$I$495,0)),"")</f>
        <v/>
      </c>
      <c r="M64" s="9" t="str">
        <f>IFERROR(INDEX('CASE MASTER'!$R$2:$R$495,MATCH("Case NIH Plate 6: B12",'CASE MASTER'!$I$2:$I$495,0)),"")</f>
        <v/>
      </c>
    </row>
    <row r="65" spans="1:13" ht="15" customHeight="1" x14ac:dyDescent="0.35">
      <c r="A65" s="8" t="s">
        <v>30</v>
      </c>
      <c r="B65" s="9" t="str">
        <f>IFERROR(INDEX('CASE MASTER'!$R$2:$R$495,MATCH("Case NIH Plate 6: C1",'CASE MASTER'!$I$2:$I$495,0)),"")</f>
        <v/>
      </c>
      <c r="C65" s="9" t="str">
        <f>IFERROR(INDEX('CASE MASTER'!$R$2:$R$495,MATCH("Case NIH Plate 6: C2",'CASE MASTER'!$I$2:$I$495,0)),"")</f>
        <v/>
      </c>
      <c r="D65" s="9" t="str">
        <f>IFERROR(INDEX('CASE MASTER'!$R$2:$R$495,MATCH("Case NIH Plate 6: C3",'CASE MASTER'!$I$2:$I$495,0)),"")</f>
        <v/>
      </c>
      <c r="E65" s="9" t="str">
        <f>IFERROR(INDEX('CASE MASTER'!$R$2:$R$495,MATCH("Case NIH Plate 6: C4",'CASE MASTER'!$I$2:$I$495,0)),"")</f>
        <v/>
      </c>
      <c r="F65" s="9" t="str">
        <f>IFERROR(INDEX('CASE MASTER'!$R$2:$R$495,MATCH("Case NIH Plate 6: C5",'CASE MASTER'!$I$2:$I$495,0)),"")</f>
        <v/>
      </c>
      <c r="G65" s="9" t="str">
        <f>IFERROR(INDEX('CASE MASTER'!$R$2:$R$495,MATCH("Case NIH Plate 6: C6",'CASE MASTER'!$I$2:$I$495,0)),"")</f>
        <v/>
      </c>
      <c r="H65" s="9" t="str">
        <f>IFERROR(INDEX('CASE MASTER'!$R$2:$R$495,MATCH("Case NIH Plate 6: C7",'CASE MASTER'!$I$2:$I$495,0)),"")</f>
        <v/>
      </c>
      <c r="I65" s="9" t="str">
        <f>IFERROR(INDEX('CASE MASTER'!$R$2:$R$495,MATCH("Case NIH Plate 6: C8",'CASE MASTER'!$I$2:$I$495,0)),"")</f>
        <v/>
      </c>
      <c r="J65" s="9" t="str">
        <f>IFERROR(INDEX('CASE MASTER'!$R$2:$R$495,MATCH("Case NIH Plate 6: C9",'CASE MASTER'!$I$2:$I$495,0)),"")</f>
        <v/>
      </c>
      <c r="K65" s="9" t="str">
        <f>IFERROR(INDEX('CASE MASTER'!$R$2:$R$495,MATCH("Case NIH Plate 6: C10",'CASE MASTER'!$I$2:$I$495,0)),"")</f>
        <v/>
      </c>
      <c r="L65" s="9" t="str">
        <f>IFERROR(INDEX('CASE MASTER'!$R$2:$R$495,MATCH("Case NIH Plate 6: C11",'CASE MASTER'!$I$2:$I$495,0)),"")</f>
        <v/>
      </c>
      <c r="M65" s="9" t="str">
        <f>IFERROR(INDEX('CASE MASTER'!$R$2:$R$495,MATCH("Case NIH Plate 6: C12",'CASE MASTER'!$I$2:$I$495,0)),"")</f>
        <v/>
      </c>
    </row>
    <row r="66" spans="1:13" ht="15" customHeight="1" x14ac:dyDescent="0.35">
      <c r="A66" s="8" t="s">
        <v>31</v>
      </c>
      <c r="B66" s="9" t="str">
        <f>IFERROR(INDEX('CASE MASTER'!$R$2:$R$495,MATCH("Case NIH Plate 6: D1",'CASE MASTER'!$I$2:$I$495,0)),"")</f>
        <v/>
      </c>
      <c r="C66" s="9" t="str">
        <f>IFERROR(INDEX('CASE MASTER'!$R$2:$R$495,MATCH("Case NIH Plate 6: D2",'CASE MASTER'!$I$2:$I$495,0)),"")</f>
        <v/>
      </c>
      <c r="D66" s="9" t="str">
        <f>IFERROR(INDEX('CASE MASTER'!$R$2:$R$495,MATCH("Case NIH Plate 6: D3",'CASE MASTER'!$I$2:$I$495,0)),"")</f>
        <v/>
      </c>
      <c r="E66" s="9" t="str">
        <f>IFERROR(INDEX('CASE MASTER'!$R$2:$R$495,MATCH("Case NIH Plate 6: D4",'CASE MASTER'!$I$2:$I$495,0)),"")</f>
        <v/>
      </c>
      <c r="F66" s="9" t="str">
        <f>IFERROR(INDEX('CASE MASTER'!$R$2:$R$495,MATCH("Case NIH Plate 6: D5",'CASE MASTER'!$I$2:$I$495,0)),"")</f>
        <v/>
      </c>
      <c r="G66" s="9" t="str">
        <f>IFERROR(INDEX('CASE MASTER'!$R$2:$R$495,MATCH("Case NIH Plate 6: D6",'CASE MASTER'!$I$2:$I$495,0)),"")</f>
        <v/>
      </c>
      <c r="H66" s="9" t="str">
        <f>IFERROR(INDEX('CASE MASTER'!$R$2:$R$495,MATCH("Case NIH Plate 6: D7",'CASE MASTER'!$I$2:$I$495,0)),"")</f>
        <v/>
      </c>
      <c r="I66" s="9" t="str">
        <f>IFERROR(INDEX('CASE MASTER'!$R$2:$R$495,MATCH("Case NIH Plate 6: D8",'CASE MASTER'!$I$2:$I$495,0)),"")</f>
        <v/>
      </c>
      <c r="J66" s="9" t="str">
        <f>IFERROR(INDEX('CASE MASTER'!$R$2:$R$495,MATCH("Case NIH Plate 6: D9",'CASE MASTER'!$I$2:$I$495,0)),"")</f>
        <v/>
      </c>
      <c r="K66" s="9" t="str">
        <f>IFERROR(INDEX('CASE MASTER'!$R$2:$R$495,MATCH("Case NIH Plate 6: D10",'CASE MASTER'!$I$2:$I$495,0)),"")</f>
        <v/>
      </c>
      <c r="L66" s="9" t="str">
        <f>IFERROR(INDEX('CASE MASTER'!$R$2:$R$495,MATCH("Case NIH Plate 6: D11",'CASE MASTER'!$I$2:$I$495,0)),"")</f>
        <v/>
      </c>
      <c r="M66" s="9" t="str">
        <f>IFERROR(INDEX('CASE MASTER'!$R$2:$R$495,MATCH("Case NIH Plate 6: D12",'CASE MASTER'!$I$2:$I$495,0)),"")</f>
        <v/>
      </c>
    </row>
    <row r="67" spans="1:13" ht="15" customHeight="1" x14ac:dyDescent="0.35">
      <c r="A67" s="8" t="s">
        <v>32</v>
      </c>
      <c r="B67" s="9" t="str">
        <f>IFERROR(INDEX('CASE MASTER'!$R$2:$R$495,MATCH("Case NIH Plate 6: E1",'CASE MASTER'!$I$2:$I$495,0)),"")</f>
        <v/>
      </c>
      <c r="C67" s="9" t="str">
        <f>IFERROR(INDEX('CASE MASTER'!$R$2:$R$495,MATCH("Case NIH Plate 6: E2",'CASE MASTER'!$I$2:$I$495,0)),"")</f>
        <v/>
      </c>
      <c r="D67" s="9" t="str">
        <f>IFERROR(INDEX('CASE MASTER'!$R$2:$R$495,MATCH("Case NIH Plate 6: E3",'CASE MASTER'!$I$2:$I$495,0)),"")</f>
        <v/>
      </c>
      <c r="E67" s="9" t="str">
        <f>IFERROR(INDEX('CASE MASTER'!$R$2:$R$495,MATCH("Case NIH Plate 6: E4",'CASE MASTER'!$I$2:$I$495,0)),"")</f>
        <v/>
      </c>
      <c r="F67" s="9" t="str">
        <f>IFERROR(INDEX('CASE MASTER'!$R$2:$R$495,MATCH("Case NIH Plate 6: E5",'CASE MASTER'!$I$2:$I$495,0)),"")</f>
        <v/>
      </c>
      <c r="G67" s="9" t="str">
        <f>IFERROR(INDEX('CASE MASTER'!$R$2:$R$495,MATCH("Case NIH Plate 6: E6",'CASE MASTER'!$I$2:$I$495,0)),"")</f>
        <v/>
      </c>
      <c r="H67" s="9" t="str">
        <f>IFERROR(INDEX('CASE MASTER'!$R$2:$R$495,MATCH("Case NIH Plate 6: E7",'CASE MASTER'!$I$2:$I$495,0)),"")</f>
        <v/>
      </c>
      <c r="I67" s="9" t="str">
        <f>IFERROR(INDEX('CASE MASTER'!$R$2:$R$495,MATCH("Case NIH Plate 6: E8",'CASE MASTER'!$I$2:$I$495,0)),"")</f>
        <v/>
      </c>
      <c r="J67" s="9" t="str">
        <f>IFERROR(INDEX('CASE MASTER'!$R$2:$R$495,MATCH("Case NIH Plate 6: E9",'CASE MASTER'!$I$2:$I$495,0)),"")</f>
        <v/>
      </c>
      <c r="K67" s="9" t="str">
        <f>IFERROR(INDEX('CASE MASTER'!$R$2:$R$495,MATCH("Case NIH Plate 6: E10",'CASE MASTER'!$I$2:$I$495,0)),"")</f>
        <v/>
      </c>
      <c r="L67" s="9" t="str">
        <f>IFERROR(INDEX('CASE MASTER'!$R$2:$R$495,MATCH("Case NIH Plate 6: E11",'CASE MASTER'!$I$2:$I$495,0)),"")</f>
        <v/>
      </c>
      <c r="M67" s="9" t="str">
        <f>IFERROR(INDEX('CASE MASTER'!$R$2:$R$495,MATCH("Case NIH Plate 6: E12",'CASE MASTER'!$I$2:$I$495,0)),"")</f>
        <v/>
      </c>
    </row>
    <row r="68" spans="1:13" ht="15" customHeight="1" x14ac:dyDescent="0.35">
      <c r="A68" s="8" t="s">
        <v>33</v>
      </c>
      <c r="B68" s="9" t="str">
        <f>IFERROR(INDEX('CASE MASTER'!$R$2:$R$495,MATCH("Case NIH Plate 6: F1",'CASE MASTER'!$I$2:$I$495,0)),"")</f>
        <v/>
      </c>
      <c r="C68" s="9" t="str">
        <f>IFERROR(INDEX('CASE MASTER'!$R$2:$R$495,MATCH("Case NIH Plate 6: F2",'CASE MASTER'!$I$2:$I$495,0)),"")</f>
        <v/>
      </c>
      <c r="D68" s="9" t="str">
        <f>IFERROR(INDEX('CASE MASTER'!$R$2:$R$495,MATCH("Case NIH Plate 6: F3",'CASE MASTER'!$I$2:$I$495,0)),"")</f>
        <v/>
      </c>
      <c r="E68" s="9" t="str">
        <f>IFERROR(INDEX('CASE MASTER'!$R$2:$R$495,MATCH("Case NIH Plate 6: F4",'CASE MASTER'!$I$2:$I$495,0)),"")</f>
        <v/>
      </c>
      <c r="F68" s="9" t="str">
        <f>IFERROR(INDEX('CASE MASTER'!$R$2:$R$495,MATCH("Case NIH Plate 6: F5",'CASE MASTER'!$I$2:$I$495,0)),"")</f>
        <v/>
      </c>
      <c r="G68" s="9" t="str">
        <f>IFERROR(INDEX('CASE MASTER'!$R$2:$R$495,MATCH("Case NIH Plate 6: F6",'CASE MASTER'!$I$2:$I$495,0)),"")</f>
        <v/>
      </c>
      <c r="H68" s="9" t="str">
        <f>IFERROR(INDEX('CASE MASTER'!$R$2:$R$495,MATCH("Case NIH Plate 6: F7",'CASE MASTER'!$I$2:$I$495,0)),"")</f>
        <v/>
      </c>
      <c r="I68" s="9" t="str">
        <f>IFERROR(INDEX('CASE MASTER'!$R$2:$R$495,MATCH("Case NIH Plate 6: F8",'CASE MASTER'!$I$2:$I$495,0)),"")</f>
        <v/>
      </c>
      <c r="J68" s="9" t="str">
        <f>IFERROR(INDEX('CASE MASTER'!$R$2:$R$495,MATCH("Case NIH Plate 6: F9",'CASE MASTER'!$I$2:$I$495,0)),"")</f>
        <v/>
      </c>
      <c r="K68" s="9" t="str">
        <f>IFERROR(INDEX('CASE MASTER'!$R$2:$R$495,MATCH("Case NIH Plate 6: F10",'CASE MASTER'!$I$2:$I$495,0)),"")</f>
        <v/>
      </c>
      <c r="L68" s="9" t="str">
        <f>IFERROR(INDEX('CASE MASTER'!$R$2:$R$495,MATCH("Case NIH Plate 6: F11",'CASE MASTER'!$I$2:$I$495,0)),"")</f>
        <v/>
      </c>
      <c r="M68" s="9" t="str">
        <f>IFERROR(INDEX('CASE MASTER'!$R$2:$R$495,MATCH("Case NIH Plate 6: F12",'CASE MASTER'!$I$2:$I$495,0)),"")</f>
        <v/>
      </c>
    </row>
    <row r="69" spans="1:13" ht="15" customHeight="1" x14ac:dyDescent="0.35">
      <c r="A69" s="8" t="s">
        <v>34</v>
      </c>
      <c r="B69" s="9" t="str">
        <f>IFERROR(INDEX('CASE MASTER'!$R$2:$R$495,MATCH("Case NIH Plate 6: G1",'CASE MASTER'!$I$2:$I$495,0)),"")</f>
        <v/>
      </c>
      <c r="C69" s="9" t="str">
        <f>IFERROR(INDEX('CASE MASTER'!$R$2:$R$495,MATCH("Case NIH Plate 6: G2",'CASE MASTER'!$I$2:$I$495,0)),"")</f>
        <v/>
      </c>
      <c r="D69" s="9" t="str">
        <f>IFERROR(INDEX('CASE MASTER'!$R$2:$R$495,MATCH("Case NIH Plate 6: G3",'CASE MASTER'!$I$2:$I$495,0)),"")</f>
        <v/>
      </c>
      <c r="E69" s="9" t="str">
        <f>IFERROR(INDEX('CASE MASTER'!$R$2:$R$495,MATCH("Case NIH Plate 6: G4",'CASE MASTER'!$I$2:$I$495,0)),"")</f>
        <v/>
      </c>
      <c r="F69" s="9" t="str">
        <f>IFERROR(INDEX('CASE MASTER'!$R$2:$R$495,MATCH("Case NIH Plate 6: G5",'CASE MASTER'!$I$2:$I$495,0)),"")</f>
        <v/>
      </c>
      <c r="G69" s="9" t="str">
        <f>IFERROR(INDEX('CASE MASTER'!$R$2:$R$495,MATCH("Case NIH Plate 6: G6",'CASE MASTER'!$I$2:$I$495,0)),"")</f>
        <v/>
      </c>
      <c r="H69" s="9" t="str">
        <f>IFERROR(INDEX('CASE MASTER'!$R$2:$R$495,MATCH("Case NIH Plate 6: G7",'CASE MASTER'!$I$2:$I$495,0)),"")</f>
        <v/>
      </c>
      <c r="I69" s="9" t="str">
        <f>IFERROR(INDEX('CASE MASTER'!$R$2:$R$495,MATCH("Case NIH Plate 6: G8",'CASE MASTER'!$I$2:$I$495,0)),"")</f>
        <v/>
      </c>
      <c r="J69" s="9" t="str">
        <f>IFERROR(INDEX('CASE MASTER'!$R$2:$R$495,MATCH("Case NIH Plate 6: G9",'CASE MASTER'!$I$2:$I$495,0)),"")</f>
        <v/>
      </c>
      <c r="K69" s="9" t="str">
        <f>IFERROR(INDEX('CASE MASTER'!$R$2:$R$495,MATCH("Case NIH Plate 6: G10",'CASE MASTER'!$I$2:$I$495,0)),"")</f>
        <v/>
      </c>
      <c r="L69" s="9" t="str">
        <f>IFERROR(INDEX('CASE MASTER'!$R$2:$R$495,MATCH("Case NIH Plate 6: G11",'CASE MASTER'!$I$2:$I$495,0)),"")</f>
        <v/>
      </c>
      <c r="M69" s="9" t="str">
        <f>IFERROR(INDEX('CASE MASTER'!$R$2:$R$495,MATCH("Case NIH Plate 6: G12",'CASE MASTER'!$I$2:$I$495,0)),"")</f>
        <v/>
      </c>
    </row>
    <row r="70" spans="1:13" ht="15" customHeight="1" x14ac:dyDescent="0.35">
      <c r="A70" s="8" t="s">
        <v>35</v>
      </c>
      <c r="B70" s="9" t="str">
        <f>IFERROR(INDEX('CASE MASTER'!$R$2:$R$495,MATCH("Case NIH Plate 6: H1",'CASE MASTER'!$I$2:$I$495,0)),"")</f>
        <v/>
      </c>
      <c r="C70" s="9" t="str">
        <f>IFERROR(INDEX('CASE MASTER'!$R$2:$R$495,MATCH("Case NIH Plate 6: H2",'CASE MASTER'!$I$2:$I$495,0)),"")</f>
        <v/>
      </c>
      <c r="D70" s="9" t="str">
        <f>IFERROR(INDEX('CASE MASTER'!$R$2:$R$495,MATCH("Case NIH Plate 6: H3",'CASE MASTER'!$I$2:$I$495,0)),"")</f>
        <v/>
      </c>
      <c r="E70" s="9" t="str">
        <f>IFERROR(INDEX('CASE MASTER'!$R$2:$R$495,MATCH("Case NIH Plate 6: H4",'CASE MASTER'!$I$2:$I$495,0)),"")</f>
        <v/>
      </c>
      <c r="F70" s="9" t="str">
        <f>IFERROR(INDEX('CASE MASTER'!$R$2:$R$495,MATCH("Case NIH Plate 6: H5",'CASE MASTER'!$I$2:$I$495,0)),"")</f>
        <v/>
      </c>
      <c r="G70" s="9" t="str">
        <f>IFERROR(INDEX('CASE MASTER'!$R$2:$R$495,MATCH("Case NIH Plate 6: H6",'CASE MASTER'!$I$2:$I$495,0)),"")</f>
        <v/>
      </c>
      <c r="H70" s="9" t="str">
        <f>IFERROR(INDEX('CASE MASTER'!$R$2:$R$495,MATCH("Case NIH Plate 6: H7",'CASE MASTER'!$I$2:$I$495,0)),"")</f>
        <v/>
      </c>
      <c r="I70" s="9" t="str">
        <f>IFERROR(INDEX('CASE MASTER'!$R$2:$R$495,MATCH("Case NIH Plate 6: H8",'CASE MASTER'!$I$2:$I$495,0)),"")</f>
        <v/>
      </c>
      <c r="J70" s="9" t="str">
        <f>IFERROR(INDEX('CASE MASTER'!$R$2:$R$495,MATCH("Case NIH Plate 6: H9",'CASE MASTER'!$I$2:$I$495,0)),"")</f>
        <v/>
      </c>
      <c r="K70" s="9" t="str">
        <f>IFERROR(INDEX('CASE MASTER'!$R$2:$R$495,MATCH("Case NIH Plate 6: H10",'CASE MASTER'!$I$2:$I$495,0)),"")</f>
        <v/>
      </c>
      <c r="L70" s="9" t="str">
        <f>IFERROR(INDEX('CASE MASTER'!$R$2:$R$495,MATCH("Case NIH Plate 6: H11",'CASE MASTER'!$I$2:$I$495,0)),"")</f>
        <v/>
      </c>
      <c r="M70" s="9" t="str">
        <f>IFERROR(INDEX('CASE MASTER'!$R$2:$R$495,MATCH("Case NIH Plate 6: H12",'CASE MASTER'!$I$2:$I$495,0)),"")</f>
        <v/>
      </c>
    </row>
    <row r="73" spans="1:13" ht="15" customHeight="1" x14ac:dyDescent="0.35">
      <c r="A73" s="12" t="s">
        <v>56</v>
      </c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</row>
    <row r="74" spans="1:13" ht="15" customHeight="1" x14ac:dyDescent="0.35">
      <c r="B74" s="8">
        <v>1</v>
      </c>
      <c r="C74" s="8">
        <v>2</v>
      </c>
      <c r="D74" s="8">
        <v>3</v>
      </c>
      <c r="E74" s="8">
        <v>4</v>
      </c>
      <c r="F74" s="8">
        <v>5</v>
      </c>
      <c r="G74" s="8">
        <v>6</v>
      </c>
      <c r="H74" s="8">
        <v>7</v>
      </c>
      <c r="I74" s="8">
        <v>8</v>
      </c>
      <c r="J74" s="8">
        <v>9</v>
      </c>
      <c r="K74" s="8">
        <v>10</v>
      </c>
      <c r="L74" s="8">
        <v>11</v>
      </c>
      <c r="M74" s="8">
        <v>12</v>
      </c>
    </row>
    <row r="75" spans="1:13" ht="15" customHeight="1" x14ac:dyDescent="0.35">
      <c r="A75" s="8" t="s">
        <v>28</v>
      </c>
      <c r="B75" s="9" t="str">
        <f>IFERROR(INDEX('CASE MASTER'!$R$2:$R$495,MATCH("Case NIH Plate 7: A1",'CASE MASTER'!$I$2:$I$495,0)),"")</f>
        <v/>
      </c>
      <c r="C75" s="9" t="str">
        <f>IFERROR(INDEX('CASE MASTER'!$R$2:$R$495,MATCH("Case NIH Plate 7: A2",'CASE MASTER'!$I$2:$I$495,0)),"")</f>
        <v/>
      </c>
      <c r="D75" s="9" t="str">
        <f>IFERROR(INDEX('CASE MASTER'!$R$2:$R$495,MATCH("Case NIH Plate 7: A3",'CASE MASTER'!$I$2:$I$495,0)),"")</f>
        <v/>
      </c>
      <c r="E75" s="9" t="str">
        <f>IFERROR(INDEX('CASE MASTER'!$R$2:$R$495,MATCH("Case NIH Plate 7: A4",'CASE MASTER'!$I$2:$I$495,0)),"")</f>
        <v/>
      </c>
      <c r="F75" s="9" t="str">
        <f>IFERROR(INDEX('CASE MASTER'!$R$2:$R$495,MATCH("Case NIH Plate 7: A5",'CASE MASTER'!$I$2:$I$495,0)),"")</f>
        <v/>
      </c>
      <c r="G75" s="9" t="str">
        <f>IFERROR(INDEX('CASE MASTER'!$R$2:$R$495,MATCH("Case NIH Plate 7: A6",'CASE MASTER'!$I$2:$I$495,0)),"")</f>
        <v/>
      </c>
      <c r="H75" s="9" t="str">
        <f>IFERROR(INDEX('CASE MASTER'!$R$2:$R$495,MATCH("Case NIH Plate 7: A7",'CASE MASTER'!$I$2:$I$495,0)),"")</f>
        <v/>
      </c>
      <c r="I75" s="9" t="str">
        <f>IFERROR(INDEX('CASE MASTER'!$R$2:$R$495,MATCH("Case NIH Plate 7: A8",'CASE MASTER'!$I$2:$I$495,0)),"")</f>
        <v/>
      </c>
      <c r="J75" s="9" t="str">
        <f>IFERROR(INDEX('CASE MASTER'!$R$2:$R$495,MATCH("Case NIH Plate 7: A9",'CASE MASTER'!$I$2:$I$495,0)),"")</f>
        <v/>
      </c>
      <c r="K75" s="9" t="str">
        <f>IFERROR(INDEX('CASE MASTER'!$R$2:$R$495,MATCH("Case NIH Plate 7: A10",'CASE MASTER'!$I$2:$I$495,0)),"")</f>
        <v/>
      </c>
      <c r="L75" s="9" t="str">
        <f>IFERROR(INDEX('CASE MASTER'!$R$2:$R$495,MATCH("Case NIH Plate 7: A11",'CASE MASTER'!$I$2:$I$495,0)),"")</f>
        <v/>
      </c>
      <c r="M75" s="9" t="str">
        <f>IFERROR(INDEX('CASE MASTER'!$R$2:$R$495,MATCH("Case NIH Plate 7: A12",'CASE MASTER'!$I$2:$I$495,0)),"")</f>
        <v/>
      </c>
    </row>
    <row r="76" spans="1:13" ht="15" customHeight="1" x14ac:dyDescent="0.35">
      <c r="A76" s="8" t="s">
        <v>29</v>
      </c>
      <c r="B76" s="9" t="str">
        <f>IFERROR(INDEX('CASE MASTER'!$R$2:$R$495,MATCH("Case NIH Plate 7: B1",'CASE MASTER'!$I$2:$I$495,0)),"")</f>
        <v/>
      </c>
      <c r="C76" s="9" t="str">
        <f>IFERROR(INDEX('CASE MASTER'!$R$2:$R$495,MATCH("Case NIH Plate 7: B2",'CASE MASTER'!$I$2:$I$495,0)),"")</f>
        <v/>
      </c>
      <c r="D76" s="9" t="str">
        <f>IFERROR(INDEX('CASE MASTER'!$R$2:$R$495,MATCH("Case NIH Plate 7: B3",'CASE MASTER'!$I$2:$I$495,0)),"")</f>
        <v/>
      </c>
      <c r="E76" s="9" t="str">
        <f>IFERROR(INDEX('CASE MASTER'!$R$2:$R$495,MATCH("Case NIH Plate 7: B4",'CASE MASTER'!$I$2:$I$495,0)),"")</f>
        <v/>
      </c>
      <c r="F76" s="9" t="str">
        <f>IFERROR(INDEX('CASE MASTER'!$R$2:$R$495,MATCH("Case NIH Plate 7: B5",'CASE MASTER'!$I$2:$I$495,0)),"")</f>
        <v/>
      </c>
      <c r="G76" s="9" t="str">
        <f>IFERROR(INDEX('CASE MASTER'!$R$2:$R$495,MATCH("Case NIH Plate 7: B6",'CASE MASTER'!$I$2:$I$495,0)),"")</f>
        <v/>
      </c>
      <c r="H76" s="9" t="str">
        <f>IFERROR(INDEX('CASE MASTER'!$R$2:$R$495,MATCH("Case NIH Plate 7: B7",'CASE MASTER'!$I$2:$I$495,0)),"")</f>
        <v/>
      </c>
      <c r="I76" s="9" t="str">
        <f>IFERROR(INDEX('CASE MASTER'!$R$2:$R$495,MATCH("Case NIH Plate 7: B8",'CASE MASTER'!$I$2:$I$495,0)),"")</f>
        <v/>
      </c>
      <c r="J76" s="9" t="str">
        <f>IFERROR(INDEX('CASE MASTER'!$R$2:$R$495,MATCH("Case NIH Plate 7: B9",'CASE MASTER'!$I$2:$I$495,0)),"")</f>
        <v/>
      </c>
      <c r="K76" s="9" t="str">
        <f>IFERROR(INDEX('CASE MASTER'!$R$2:$R$495,MATCH("Case NIH Plate 7: B10",'CASE MASTER'!$I$2:$I$495,0)),"")</f>
        <v/>
      </c>
      <c r="L76" s="9" t="str">
        <f>IFERROR(INDEX('CASE MASTER'!$R$2:$R$495,MATCH("Case NIH Plate 7: B11",'CASE MASTER'!$I$2:$I$495,0)),"")</f>
        <v/>
      </c>
      <c r="M76" s="9" t="str">
        <f>IFERROR(INDEX('CASE MASTER'!$R$2:$R$495,MATCH("Case NIH Plate 7: B12",'CASE MASTER'!$I$2:$I$495,0)),"")</f>
        <v/>
      </c>
    </row>
    <row r="77" spans="1:13" ht="15" customHeight="1" x14ac:dyDescent="0.35">
      <c r="A77" s="8" t="s">
        <v>30</v>
      </c>
      <c r="B77" s="9" t="str">
        <f>IFERROR(INDEX('CASE MASTER'!$R$2:$R$495,MATCH("Case NIH Plate 7: C1",'CASE MASTER'!$I$2:$I$495,0)),"")</f>
        <v/>
      </c>
      <c r="C77" s="9" t="str">
        <f>IFERROR(INDEX('CASE MASTER'!$R$2:$R$495,MATCH("Case NIH Plate 7: C2",'CASE MASTER'!$I$2:$I$495,0)),"")</f>
        <v/>
      </c>
      <c r="D77" s="9" t="str">
        <f>IFERROR(INDEX('CASE MASTER'!$R$2:$R$495,MATCH("Case NIH Plate 7: C3",'CASE MASTER'!$I$2:$I$495,0)),"")</f>
        <v/>
      </c>
      <c r="E77" s="9" t="str">
        <f>IFERROR(INDEX('CASE MASTER'!$R$2:$R$495,MATCH("Case NIH Plate 7: C4",'CASE MASTER'!$I$2:$I$495,0)),"")</f>
        <v/>
      </c>
      <c r="F77" s="9" t="str">
        <f>IFERROR(INDEX('CASE MASTER'!$R$2:$R$495,MATCH("Case NIH Plate 7: C5",'CASE MASTER'!$I$2:$I$495,0)),"")</f>
        <v/>
      </c>
      <c r="G77" s="9" t="str">
        <f>IFERROR(INDEX('CASE MASTER'!$R$2:$R$495,MATCH("Case NIH Plate 7: C6",'CASE MASTER'!$I$2:$I$495,0)),"")</f>
        <v/>
      </c>
      <c r="H77" s="9" t="str">
        <f>IFERROR(INDEX('CASE MASTER'!$R$2:$R$495,MATCH("Case NIH Plate 7: C7",'CASE MASTER'!$I$2:$I$495,0)),"")</f>
        <v/>
      </c>
      <c r="I77" s="9" t="str">
        <f>IFERROR(INDEX('CASE MASTER'!$R$2:$R$495,MATCH("Case NIH Plate 7: C8",'CASE MASTER'!$I$2:$I$495,0)),"")</f>
        <v/>
      </c>
      <c r="J77" s="9" t="str">
        <f>IFERROR(INDEX('CASE MASTER'!$R$2:$R$495,MATCH("Case NIH Plate 7: C9",'CASE MASTER'!$I$2:$I$495,0)),"")</f>
        <v/>
      </c>
      <c r="K77" s="9" t="str">
        <f>IFERROR(INDEX('CASE MASTER'!$R$2:$R$495,MATCH("Case NIH Plate 7: C10",'CASE MASTER'!$I$2:$I$495,0)),"")</f>
        <v/>
      </c>
      <c r="L77" s="9" t="str">
        <f>IFERROR(INDEX('CASE MASTER'!$R$2:$R$495,MATCH("Case NIH Plate 7: C11",'CASE MASTER'!$I$2:$I$495,0)),"")</f>
        <v/>
      </c>
      <c r="M77" s="9" t="str">
        <f>IFERROR(INDEX('CASE MASTER'!$R$2:$R$495,MATCH("Case NIH Plate 7: C12",'CASE MASTER'!$I$2:$I$495,0)),"")</f>
        <v/>
      </c>
    </row>
    <row r="78" spans="1:13" ht="15" customHeight="1" x14ac:dyDescent="0.35">
      <c r="A78" s="8" t="s">
        <v>31</v>
      </c>
      <c r="B78" s="9" t="str">
        <f>IFERROR(INDEX('CASE MASTER'!$R$2:$R$495,MATCH("Case NIH Plate 7: D1",'CASE MASTER'!$I$2:$I$495,0)),"")</f>
        <v/>
      </c>
      <c r="C78" s="9" t="str">
        <f>IFERROR(INDEX('CASE MASTER'!$R$2:$R$495,MATCH("Case NIH Plate 7: D2",'CASE MASTER'!$I$2:$I$495,0)),"")</f>
        <v/>
      </c>
      <c r="D78" s="9" t="str">
        <f>IFERROR(INDEX('CASE MASTER'!$R$2:$R$495,MATCH("Case NIH Plate 7: D3",'CASE MASTER'!$I$2:$I$495,0)),"")</f>
        <v/>
      </c>
      <c r="E78" s="9" t="str">
        <f>IFERROR(INDEX('CASE MASTER'!$R$2:$R$495,MATCH("Case NIH Plate 7: D4",'CASE MASTER'!$I$2:$I$495,0)),"")</f>
        <v/>
      </c>
      <c r="F78" s="9" t="str">
        <f>IFERROR(INDEX('CASE MASTER'!$R$2:$R$495,MATCH("Case NIH Plate 7: D5",'CASE MASTER'!$I$2:$I$495,0)),"")</f>
        <v/>
      </c>
      <c r="G78" s="9" t="str">
        <f>IFERROR(INDEX('CASE MASTER'!$R$2:$R$495,MATCH("Case NIH Plate 7: D6",'CASE MASTER'!$I$2:$I$495,0)),"")</f>
        <v/>
      </c>
      <c r="H78" s="9" t="str">
        <f>IFERROR(INDEX('CASE MASTER'!$R$2:$R$495,MATCH("Case NIH Plate 7: D7",'CASE MASTER'!$I$2:$I$495,0)),"")</f>
        <v/>
      </c>
      <c r="I78" s="9" t="str">
        <f>IFERROR(INDEX('CASE MASTER'!$R$2:$R$495,MATCH("Case NIH Plate 7: D8",'CASE MASTER'!$I$2:$I$495,0)),"")</f>
        <v/>
      </c>
      <c r="J78" s="9" t="str">
        <f>IFERROR(INDEX('CASE MASTER'!$R$2:$R$495,MATCH("Case NIH Plate 7: D9",'CASE MASTER'!$I$2:$I$495,0)),"")</f>
        <v/>
      </c>
      <c r="K78" s="9" t="str">
        <f>IFERROR(INDEX('CASE MASTER'!$R$2:$R$495,MATCH("Case NIH Plate 7: D10",'CASE MASTER'!$I$2:$I$495,0)),"")</f>
        <v/>
      </c>
      <c r="L78" s="9" t="str">
        <f>IFERROR(INDEX('CASE MASTER'!$R$2:$R$495,MATCH("Case NIH Plate 7: D11",'CASE MASTER'!$I$2:$I$495,0)),"")</f>
        <v/>
      </c>
      <c r="M78" s="9" t="str">
        <f>IFERROR(INDEX('CASE MASTER'!$R$2:$R$495,MATCH("Case NIH Plate 7: D12",'CASE MASTER'!$I$2:$I$495,0)),"")</f>
        <v/>
      </c>
    </row>
    <row r="79" spans="1:13" ht="15" customHeight="1" x14ac:dyDescent="0.35">
      <c r="A79" s="8" t="s">
        <v>32</v>
      </c>
      <c r="B79" s="9" t="str">
        <f>IFERROR(INDEX('CASE MASTER'!$R$2:$R$495,MATCH("Case NIH Plate 7: E1",'CASE MASTER'!$I$2:$I$495,0)),"")</f>
        <v/>
      </c>
      <c r="C79" s="9" t="str">
        <f>IFERROR(INDEX('CASE MASTER'!$R$2:$R$495,MATCH("Case NIH Plate 7: E2",'CASE MASTER'!$I$2:$I$495,0)),"")</f>
        <v/>
      </c>
      <c r="D79" s="9" t="str">
        <f>IFERROR(INDEX('CASE MASTER'!$R$2:$R$495,MATCH("Case NIH Plate 7: E3",'CASE MASTER'!$I$2:$I$495,0)),"")</f>
        <v/>
      </c>
      <c r="E79" s="9" t="str">
        <f>IFERROR(INDEX('CASE MASTER'!$R$2:$R$495,MATCH("Case NIH Plate 7: E4",'CASE MASTER'!$I$2:$I$495,0)),"")</f>
        <v/>
      </c>
      <c r="F79" s="9" t="str">
        <f>IFERROR(INDEX('CASE MASTER'!$R$2:$R$495,MATCH("Case NIH Plate 7: E5",'CASE MASTER'!$I$2:$I$495,0)),"")</f>
        <v/>
      </c>
      <c r="G79" s="9" t="str">
        <f>IFERROR(INDEX('CASE MASTER'!$R$2:$R$495,MATCH("Case NIH Plate 7: E6",'CASE MASTER'!$I$2:$I$495,0)),"")</f>
        <v/>
      </c>
      <c r="H79" s="9" t="str">
        <f>IFERROR(INDEX('CASE MASTER'!$R$2:$R$495,MATCH("Case NIH Plate 7: E7",'CASE MASTER'!$I$2:$I$495,0)),"")</f>
        <v/>
      </c>
      <c r="I79" s="9" t="str">
        <f>IFERROR(INDEX('CASE MASTER'!$R$2:$R$495,MATCH("Case NIH Plate 7: E8",'CASE MASTER'!$I$2:$I$495,0)),"")</f>
        <v/>
      </c>
      <c r="J79" s="9" t="str">
        <f>IFERROR(INDEX('CASE MASTER'!$R$2:$R$495,MATCH("Case NIH Plate 7: E9",'CASE MASTER'!$I$2:$I$495,0)),"")</f>
        <v/>
      </c>
      <c r="K79" s="9" t="str">
        <f>IFERROR(INDEX('CASE MASTER'!$R$2:$R$495,MATCH("Case NIH Plate 7: E10",'CASE MASTER'!$I$2:$I$495,0)),"")</f>
        <v/>
      </c>
      <c r="L79" s="9" t="str">
        <f>IFERROR(INDEX('CASE MASTER'!$R$2:$R$495,MATCH("Case NIH Plate 7: E11",'CASE MASTER'!$I$2:$I$495,0)),"")</f>
        <v/>
      </c>
      <c r="M79" s="9" t="str">
        <f>IFERROR(INDEX('CASE MASTER'!$R$2:$R$495,MATCH("Case NIH Plate 7: E12",'CASE MASTER'!$I$2:$I$495,0)),"")</f>
        <v/>
      </c>
    </row>
    <row r="80" spans="1:13" ht="15" customHeight="1" x14ac:dyDescent="0.35">
      <c r="A80" s="8" t="s">
        <v>33</v>
      </c>
      <c r="B80" s="9" t="str">
        <f>IFERROR(INDEX('CASE MASTER'!$R$2:$R$495,MATCH("Case NIH Plate 7: F1",'CASE MASTER'!$I$2:$I$495,0)),"")</f>
        <v/>
      </c>
      <c r="C80" s="9" t="str">
        <f>IFERROR(INDEX('CASE MASTER'!$R$2:$R$495,MATCH("Case NIH Plate 7: F2",'CASE MASTER'!$I$2:$I$495,0)),"")</f>
        <v/>
      </c>
      <c r="D80" s="9" t="str">
        <f>IFERROR(INDEX('CASE MASTER'!$R$2:$R$495,MATCH("Case NIH Plate 7: F3",'CASE MASTER'!$I$2:$I$495,0)),"")</f>
        <v/>
      </c>
      <c r="E80" s="9" t="str">
        <f>IFERROR(INDEX('CASE MASTER'!$R$2:$R$495,MATCH("Case NIH Plate 7: F4",'CASE MASTER'!$I$2:$I$495,0)),"")</f>
        <v/>
      </c>
      <c r="F80" s="9" t="str">
        <f>IFERROR(INDEX('CASE MASTER'!$R$2:$R$495,MATCH("Case NIH Plate 7: F5",'CASE MASTER'!$I$2:$I$495,0)),"")</f>
        <v/>
      </c>
      <c r="G80" s="9" t="str">
        <f>IFERROR(INDEX('CASE MASTER'!$R$2:$R$495,MATCH("Case NIH Plate 7: F6",'CASE MASTER'!$I$2:$I$495,0)),"")</f>
        <v/>
      </c>
      <c r="H80" s="9" t="str">
        <f>IFERROR(INDEX('CASE MASTER'!$R$2:$R$495,MATCH("Case NIH Plate 7: F7",'CASE MASTER'!$I$2:$I$495,0)),"")</f>
        <v/>
      </c>
      <c r="I80" s="9" t="str">
        <f>IFERROR(INDEX('CASE MASTER'!$R$2:$R$495,MATCH("Case NIH Plate 7: F8",'CASE MASTER'!$I$2:$I$495,0)),"")</f>
        <v/>
      </c>
      <c r="J80" s="9" t="str">
        <f>IFERROR(INDEX('CASE MASTER'!$R$2:$R$495,MATCH("Case NIH Plate 7: F9",'CASE MASTER'!$I$2:$I$495,0)),"")</f>
        <v/>
      </c>
      <c r="K80" s="9" t="str">
        <f>IFERROR(INDEX('CASE MASTER'!$R$2:$R$495,MATCH("Case NIH Plate 7: F10",'CASE MASTER'!$I$2:$I$495,0)),"")</f>
        <v/>
      </c>
      <c r="L80" s="9" t="str">
        <f>IFERROR(INDEX('CASE MASTER'!$R$2:$R$495,MATCH("Case NIH Plate 7: F11",'CASE MASTER'!$I$2:$I$495,0)),"")</f>
        <v/>
      </c>
      <c r="M80" s="9" t="str">
        <f>IFERROR(INDEX('CASE MASTER'!$R$2:$R$495,MATCH("Case NIH Plate 7: F12",'CASE MASTER'!$I$2:$I$495,0)),"")</f>
        <v/>
      </c>
    </row>
    <row r="81" spans="1:13" ht="15" customHeight="1" x14ac:dyDescent="0.35">
      <c r="A81" s="8" t="s">
        <v>34</v>
      </c>
      <c r="B81" s="9" t="str">
        <f>IFERROR(INDEX('CASE MASTER'!$R$2:$R$495,MATCH("Case NIH Plate 7: G1",'CASE MASTER'!$I$2:$I$495,0)),"")</f>
        <v/>
      </c>
      <c r="C81" s="9" t="str">
        <f>IFERROR(INDEX('CASE MASTER'!$R$2:$R$495,MATCH("Case NIH Plate 7: G2",'CASE MASTER'!$I$2:$I$495,0)),"")</f>
        <v/>
      </c>
      <c r="D81" s="9" t="str">
        <f>IFERROR(INDEX('CASE MASTER'!$R$2:$R$495,MATCH("Case NIH Plate 7: G3",'CASE MASTER'!$I$2:$I$495,0)),"")</f>
        <v/>
      </c>
      <c r="E81" s="9" t="str">
        <f>IFERROR(INDEX('CASE MASTER'!$R$2:$R$495,MATCH("Case NIH Plate 7: G4",'CASE MASTER'!$I$2:$I$495,0)),"")</f>
        <v/>
      </c>
      <c r="F81" s="9" t="str">
        <f>IFERROR(INDEX('CASE MASTER'!$R$2:$R$495,MATCH("Case NIH Plate 7: G5",'CASE MASTER'!$I$2:$I$495,0)),"")</f>
        <v/>
      </c>
      <c r="G81" s="9" t="str">
        <f>IFERROR(INDEX('CASE MASTER'!$R$2:$R$495,MATCH("Case NIH Plate 7: G6",'CASE MASTER'!$I$2:$I$495,0)),"")</f>
        <v/>
      </c>
      <c r="H81" s="9" t="str">
        <f>IFERROR(INDEX('CASE MASTER'!$R$2:$R$495,MATCH("Case NIH Plate 7: G7",'CASE MASTER'!$I$2:$I$495,0)),"")</f>
        <v/>
      </c>
      <c r="I81" s="9" t="str">
        <f>IFERROR(INDEX('CASE MASTER'!$R$2:$R$495,MATCH("Case NIH Plate 7: G8",'CASE MASTER'!$I$2:$I$495,0)),"")</f>
        <v/>
      </c>
      <c r="J81" s="9" t="str">
        <f>IFERROR(INDEX('CASE MASTER'!$R$2:$R$495,MATCH("Case NIH Plate 7: G9",'CASE MASTER'!$I$2:$I$495,0)),"")</f>
        <v/>
      </c>
      <c r="K81" s="9" t="str">
        <f>IFERROR(INDEX('CASE MASTER'!$R$2:$R$495,MATCH("Case NIH Plate 7: G10",'CASE MASTER'!$I$2:$I$495,0)),"")</f>
        <v/>
      </c>
      <c r="L81" s="9" t="str">
        <f>IFERROR(INDEX('CASE MASTER'!$R$2:$R$495,MATCH("Case NIH Plate 7: G11",'CASE MASTER'!$I$2:$I$495,0)),"")</f>
        <v/>
      </c>
      <c r="M81" s="9" t="str">
        <f>IFERROR(INDEX('CASE MASTER'!$R$2:$R$495,MATCH("Case NIH Plate 7: G12",'CASE MASTER'!$I$2:$I$495,0)),"")</f>
        <v/>
      </c>
    </row>
    <row r="82" spans="1:13" ht="15" customHeight="1" x14ac:dyDescent="0.35">
      <c r="A82" s="8" t="s">
        <v>35</v>
      </c>
      <c r="B82" s="9" t="str">
        <f>IFERROR(INDEX('CASE MASTER'!$R$2:$R$495,MATCH("Case NIH Plate 7: H1",'CASE MASTER'!$I$2:$I$495,0)),"")</f>
        <v/>
      </c>
      <c r="C82" s="9" t="str">
        <f>IFERROR(INDEX('CASE MASTER'!$R$2:$R$495,MATCH("Case NIH Plate 7: H2",'CASE MASTER'!$I$2:$I$495,0)),"")</f>
        <v/>
      </c>
      <c r="D82" s="9" t="str">
        <f>IFERROR(INDEX('CASE MASTER'!$R$2:$R$495,MATCH("Case NIH Plate 7: H3",'CASE MASTER'!$I$2:$I$495,0)),"")</f>
        <v/>
      </c>
      <c r="E82" s="9" t="str">
        <f>IFERROR(INDEX('CASE MASTER'!$R$2:$R$495,MATCH("Case NIH Plate 7: H4",'CASE MASTER'!$I$2:$I$495,0)),"")</f>
        <v/>
      </c>
      <c r="F82" s="9" t="str">
        <f>IFERROR(INDEX('CASE MASTER'!$R$2:$R$495,MATCH("Case NIH Plate 7: H5",'CASE MASTER'!$I$2:$I$495,0)),"")</f>
        <v/>
      </c>
      <c r="G82" s="9" t="str">
        <f>IFERROR(INDEX('CASE MASTER'!$R$2:$R$495,MATCH("Case NIH Plate 7: H6",'CASE MASTER'!$I$2:$I$495,0)),"")</f>
        <v/>
      </c>
      <c r="H82" s="9" t="str">
        <f>IFERROR(INDEX('CASE MASTER'!$R$2:$R$495,MATCH("Case NIH Plate 7: H7",'CASE MASTER'!$I$2:$I$495,0)),"")</f>
        <v/>
      </c>
      <c r="I82" s="9" t="str">
        <f>IFERROR(INDEX('CASE MASTER'!$R$2:$R$495,MATCH("Case NIH Plate 7: H8",'CASE MASTER'!$I$2:$I$495,0)),"")</f>
        <v/>
      </c>
      <c r="J82" s="9" t="str">
        <f>IFERROR(INDEX('CASE MASTER'!$R$2:$R$495,MATCH("Case NIH Plate 7: H9",'CASE MASTER'!$I$2:$I$495,0)),"")</f>
        <v/>
      </c>
      <c r="K82" s="9" t="str">
        <f>IFERROR(INDEX('CASE MASTER'!$R$2:$R$495,MATCH("Case NIH Plate 7: H10",'CASE MASTER'!$I$2:$I$495,0)),"")</f>
        <v/>
      </c>
      <c r="L82" s="9" t="str">
        <f>IFERROR(INDEX('CASE MASTER'!$R$2:$R$495,MATCH("Case NIH Plate 7: H11",'CASE MASTER'!$I$2:$I$495,0)),"")</f>
        <v/>
      </c>
      <c r="M82" s="9" t="str">
        <f>IFERROR(INDEX('CASE MASTER'!$R$2:$R$495,MATCH("Case NIH Plate 7: H12",'CASE MASTER'!$I$2:$I$495,0)),"")</f>
        <v/>
      </c>
    </row>
    <row r="85" spans="1:13" ht="15" customHeight="1" x14ac:dyDescent="0.35">
      <c r="A85" s="12" t="s">
        <v>57</v>
      </c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</row>
    <row r="86" spans="1:13" ht="15" customHeight="1" x14ac:dyDescent="0.35">
      <c r="B86" s="8">
        <v>1</v>
      </c>
      <c r="C86" s="8">
        <v>2</v>
      </c>
      <c r="D86" s="8">
        <v>3</v>
      </c>
      <c r="E86" s="8">
        <v>4</v>
      </c>
      <c r="F86" s="8">
        <v>5</v>
      </c>
      <c r="G86" s="8">
        <v>6</v>
      </c>
      <c r="H86" s="8">
        <v>7</v>
      </c>
      <c r="I86" s="8">
        <v>8</v>
      </c>
      <c r="J86" s="8">
        <v>9</v>
      </c>
      <c r="K86" s="8">
        <v>10</v>
      </c>
      <c r="L86" s="8">
        <v>11</v>
      </c>
      <c r="M86" s="8">
        <v>12</v>
      </c>
    </row>
    <row r="87" spans="1:13" ht="15" customHeight="1" x14ac:dyDescent="0.35">
      <c r="A87" s="8" t="s">
        <v>28</v>
      </c>
      <c r="B87" s="9" t="str">
        <f>IFERROR(INDEX('CASE MASTER'!$R$2:$R$495,MATCH("Case NIH Plate 8: A1",'CASE MASTER'!$I$2:$I$495,0)),"")</f>
        <v/>
      </c>
      <c r="C87" s="9" t="str">
        <f>IFERROR(INDEX('CASE MASTER'!$R$2:$R$495,MATCH("Case NIH Plate 8: A2",'CASE MASTER'!$I$2:$I$495,0)),"")</f>
        <v/>
      </c>
      <c r="D87" s="9" t="str">
        <f>IFERROR(INDEX('CASE MASTER'!$R$2:$R$495,MATCH("Case NIH Plate 8: A3",'CASE MASTER'!$I$2:$I$495,0)),"")</f>
        <v/>
      </c>
      <c r="E87" s="9" t="str">
        <f>IFERROR(INDEX('CASE MASTER'!$R$2:$R$495,MATCH("Case NIH Plate 8: A4",'CASE MASTER'!$I$2:$I$495,0)),"")</f>
        <v/>
      </c>
      <c r="F87" s="9" t="str">
        <f>IFERROR(INDEX('CASE MASTER'!$R$2:$R$495,MATCH("Case NIH Plate 8: A5",'CASE MASTER'!$I$2:$I$495,0)),"")</f>
        <v/>
      </c>
      <c r="G87" s="9" t="str">
        <f>IFERROR(INDEX('CASE MASTER'!$R$2:$R$495,MATCH("Case NIH Plate 8: A6",'CASE MASTER'!$I$2:$I$495,0)),"")</f>
        <v/>
      </c>
      <c r="H87" s="9" t="str">
        <f>IFERROR(INDEX('CASE MASTER'!$R$2:$R$495,MATCH("Case NIH Plate 8: A7",'CASE MASTER'!$I$2:$I$495,0)),"")</f>
        <v/>
      </c>
      <c r="I87" s="9" t="str">
        <f>IFERROR(INDEX('CASE MASTER'!$R$2:$R$495,MATCH("Case NIH Plate 8: A8",'CASE MASTER'!$I$2:$I$495,0)),"")</f>
        <v/>
      </c>
      <c r="J87" s="9" t="str">
        <f>IFERROR(INDEX('CASE MASTER'!$R$2:$R$495,MATCH("Case NIH Plate 8: A9",'CASE MASTER'!$I$2:$I$495,0)),"")</f>
        <v/>
      </c>
      <c r="K87" s="9" t="str">
        <f>IFERROR(INDEX('CASE MASTER'!$R$2:$R$495,MATCH("Case NIH Plate 8: A10",'CASE MASTER'!$I$2:$I$495,0)),"")</f>
        <v/>
      </c>
      <c r="L87" s="9" t="str">
        <f>IFERROR(INDEX('CASE MASTER'!$R$2:$R$495,MATCH("Case NIH Plate 8: A11",'CASE MASTER'!$I$2:$I$495,0)),"")</f>
        <v/>
      </c>
      <c r="M87" s="9" t="str">
        <f>IFERROR(INDEX('CASE MASTER'!$R$2:$R$495,MATCH("Case NIH Plate 8: A12",'CASE MASTER'!$I$2:$I$495,0)),"")</f>
        <v/>
      </c>
    </row>
    <row r="88" spans="1:13" ht="15" customHeight="1" x14ac:dyDescent="0.35">
      <c r="A88" s="8" t="s">
        <v>29</v>
      </c>
      <c r="B88" s="9" t="str">
        <f>IFERROR(INDEX('CASE MASTER'!$R$2:$R$495,MATCH("Case NIH Plate 8: B1",'CASE MASTER'!$I$2:$I$495,0)),"")</f>
        <v/>
      </c>
      <c r="C88" s="9" t="str">
        <f>IFERROR(INDEX('CASE MASTER'!$R$2:$R$495,MATCH("Case NIH Plate 8: B2",'CASE MASTER'!$I$2:$I$495,0)),"")</f>
        <v/>
      </c>
      <c r="D88" s="9" t="str">
        <f>IFERROR(INDEX('CASE MASTER'!$R$2:$R$495,MATCH("Case NIH Plate 8: B3",'CASE MASTER'!$I$2:$I$495,0)),"")</f>
        <v/>
      </c>
      <c r="E88" s="9" t="str">
        <f>IFERROR(INDEX('CASE MASTER'!$R$2:$R$495,MATCH("Case NIH Plate 8: B4",'CASE MASTER'!$I$2:$I$495,0)),"")</f>
        <v/>
      </c>
      <c r="F88" s="9" t="str">
        <f>IFERROR(INDEX('CASE MASTER'!$R$2:$R$495,MATCH("Case NIH Plate 8: B5",'CASE MASTER'!$I$2:$I$495,0)),"")</f>
        <v/>
      </c>
      <c r="G88" s="9" t="str">
        <f>IFERROR(INDEX('CASE MASTER'!$R$2:$R$495,MATCH("Case NIH Plate 8: B6",'CASE MASTER'!$I$2:$I$495,0)),"")</f>
        <v/>
      </c>
      <c r="H88" s="9" t="str">
        <f>IFERROR(INDEX('CASE MASTER'!$R$2:$R$495,MATCH("Case NIH Plate 8: B7",'CASE MASTER'!$I$2:$I$495,0)),"")</f>
        <v/>
      </c>
      <c r="I88" s="9" t="str">
        <f>IFERROR(INDEX('CASE MASTER'!$R$2:$R$495,MATCH("Case NIH Plate 8: B8",'CASE MASTER'!$I$2:$I$495,0)),"")</f>
        <v/>
      </c>
      <c r="J88" s="9" t="str">
        <f>IFERROR(INDEX('CASE MASTER'!$R$2:$R$495,MATCH("Case NIH Plate 8: B9",'CASE MASTER'!$I$2:$I$495,0)),"")</f>
        <v/>
      </c>
      <c r="K88" s="9" t="str">
        <f>IFERROR(INDEX('CASE MASTER'!$R$2:$R$495,MATCH("Case NIH Plate 8: B10",'CASE MASTER'!$I$2:$I$495,0)),"")</f>
        <v/>
      </c>
      <c r="L88" s="9" t="str">
        <f>IFERROR(INDEX('CASE MASTER'!$R$2:$R$495,MATCH("Case NIH Plate 8: B11",'CASE MASTER'!$I$2:$I$495,0)),"")</f>
        <v/>
      </c>
      <c r="M88" s="9" t="str">
        <f>IFERROR(INDEX('CASE MASTER'!$R$2:$R$495,MATCH("Case NIH Plate 8: B12",'CASE MASTER'!$I$2:$I$495,0)),"")</f>
        <v/>
      </c>
    </row>
    <row r="89" spans="1:13" ht="15" customHeight="1" x14ac:dyDescent="0.35">
      <c r="A89" s="8" t="s">
        <v>30</v>
      </c>
      <c r="B89" s="9" t="str">
        <f>IFERROR(INDEX('CASE MASTER'!$R$2:$R$495,MATCH("Case NIH Plate 8: C1",'CASE MASTER'!$I$2:$I$495,0)),"")</f>
        <v/>
      </c>
      <c r="C89" s="9" t="str">
        <f>IFERROR(INDEX('CASE MASTER'!$R$2:$R$495,MATCH("Case NIH Plate 8: C2",'CASE MASTER'!$I$2:$I$495,0)),"")</f>
        <v/>
      </c>
      <c r="D89" s="9" t="str">
        <f>IFERROR(INDEX('CASE MASTER'!$R$2:$R$495,MATCH("Case NIH Plate 8: C3",'CASE MASTER'!$I$2:$I$495,0)),"")</f>
        <v/>
      </c>
      <c r="E89" s="9" t="str">
        <f>IFERROR(INDEX('CASE MASTER'!$R$2:$R$495,MATCH("Case NIH Plate 8: C4",'CASE MASTER'!$I$2:$I$495,0)),"")</f>
        <v/>
      </c>
      <c r="F89" s="9" t="str">
        <f>IFERROR(INDEX('CASE MASTER'!$R$2:$R$495,MATCH("Case NIH Plate 8: C5",'CASE MASTER'!$I$2:$I$495,0)),"")</f>
        <v/>
      </c>
      <c r="G89" s="9" t="str">
        <f>IFERROR(INDEX('CASE MASTER'!$R$2:$R$495,MATCH("Case NIH Plate 8: C6",'CASE MASTER'!$I$2:$I$495,0)),"")</f>
        <v/>
      </c>
      <c r="H89" s="9" t="str">
        <f>IFERROR(INDEX('CASE MASTER'!$R$2:$R$495,MATCH("Case NIH Plate 8: C7",'CASE MASTER'!$I$2:$I$495,0)),"")</f>
        <v/>
      </c>
      <c r="I89" s="9" t="str">
        <f>IFERROR(INDEX('CASE MASTER'!$R$2:$R$495,MATCH("Case NIH Plate 8: C8",'CASE MASTER'!$I$2:$I$495,0)),"")</f>
        <v/>
      </c>
      <c r="J89" s="9" t="str">
        <f>IFERROR(INDEX('CASE MASTER'!$R$2:$R$495,MATCH("Case NIH Plate 8: C9",'CASE MASTER'!$I$2:$I$495,0)),"")</f>
        <v/>
      </c>
      <c r="K89" s="9" t="str">
        <f>IFERROR(INDEX('CASE MASTER'!$R$2:$R$495,MATCH("Case NIH Plate 8: C10",'CASE MASTER'!$I$2:$I$495,0)),"")</f>
        <v/>
      </c>
      <c r="L89" s="9" t="str">
        <f>IFERROR(INDEX('CASE MASTER'!$R$2:$R$495,MATCH("Case NIH Plate 8: C11",'CASE MASTER'!$I$2:$I$495,0)),"")</f>
        <v/>
      </c>
      <c r="M89" s="9" t="str">
        <f>IFERROR(INDEX('CASE MASTER'!$R$2:$R$495,MATCH("Case NIH Plate 8: C12",'CASE MASTER'!$I$2:$I$495,0)),"")</f>
        <v/>
      </c>
    </row>
    <row r="90" spans="1:13" ht="15" customHeight="1" x14ac:dyDescent="0.35">
      <c r="A90" s="8" t="s">
        <v>31</v>
      </c>
      <c r="B90" s="9" t="str">
        <f>IFERROR(INDEX('CASE MASTER'!$R$2:$R$495,MATCH("Case NIH Plate 8: D1",'CASE MASTER'!$I$2:$I$495,0)),"")</f>
        <v/>
      </c>
      <c r="C90" s="9" t="str">
        <f>IFERROR(INDEX('CASE MASTER'!$R$2:$R$495,MATCH("Case NIH Plate 8: D2",'CASE MASTER'!$I$2:$I$495,0)),"")</f>
        <v/>
      </c>
      <c r="D90" s="9" t="str">
        <f>IFERROR(INDEX('CASE MASTER'!$R$2:$R$495,MATCH("Case NIH Plate 8: D3",'CASE MASTER'!$I$2:$I$495,0)),"")</f>
        <v/>
      </c>
      <c r="E90" s="9" t="str">
        <f>IFERROR(INDEX('CASE MASTER'!$R$2:$R$495,MATCH("Case NIH Plate 8: D4",'CASE MASTER'!$I$2:$I$495,0)),"")</f>
        <v/>
      </c>
      <c r="F90" s="9" t="str">
        <f>IFERROR(INDEX('CASE MASTER'!$R$2:$R$495,MATCH("Case NIH Plate 8: D5",'CASE MASTER'!$I$2:$I$495,0)),"")</f>
        <v/>
      </c>
      <c r="G90" s="9" t="str">
        <f>IFERROR(INDEX('CASE MASTER'!$R$2:$R$495,MATCH("Case NIH Plate 8: D6",'CASE MASTER'!$I$2:$I$495,0)),"")</f>
        <v/>
      </c>
      <c r="H90" s="9" t="str">
        <f>IFERROR(INDEX('CASE MASTER'!$R$2:$R$495,MATCH("Case NIH Plate 8: D7",'CASE MASTER'!$I$2:$I$495,0)),"")</f>
        <v/>
      </c>
      <c r="I90" s="9" t="str">
        <f>IFERROR(INDEX('CASE MASTER'!$R$2:$R$495,MATCH("Case NIH Plate 8: D8",'CASE MASTER'!$I$2:$I$495,0)),"")</f>
        <v/>
      </c>
      <c r="J90" s="9" t="str">
        <f>IFERROR(INDEX('CASE MASTER'!$R$2:$R$495,MATCH("Case NIH Plate 8: D9",'CASE MASTER'!$I$2:$I$495,0)),"")</f>
        <v/>
      </c>
      <c r="K90" s="9" t="str">
        <f>IFERROR(INDEX('CASE MASTER'!$R$2:$R$495,MATCH("Case NIH Plate 8: D10",'CASE MASTER'!$I$2:$I$495,0)),"")</f>
        <v/>
      </c>
      <c r="L90" s="9" t="str">
        <f>IFERROR(INDEX('CASE MASTER'!$R$2:$R$495,MATCH("Case NIH Plate 8: D11",'CASE MASTER'!$I$2:$I$495,0)),"")</f>
        <v/>
      </c>
      <c r="M90" s="9" t="str">
        <f>IFERROR(INDEX('CASE MASTER'!$R$2:$R$495,MATCH("Case NIH Plate 8: D12",'CASE MASTER'!$I$2:$I$495,0)),"")</f>
        <v/>
      </c>
    </row>
    <row r="91" spans="1:13" ht="15" customHeight="1" x14ac:dyDescent="0.35">
      <c r="A91" s="8" t="s">
        <v>32</v>
      </c>
      <c r="B91" s="9" t="str">
        <f>IFERROR(INDEX('CASE MASTER'!$R$2:$R$495,MATCH("Case NIH Plate 8: E1",'CASE MASTER'!$I$2:$I$495,0)),"")</f>
        <v/>
      </c>
      <c r="C91" s="9" t="str">
        <f>IFERROR(INDEX('CASE MASTER'!$R$2:$R$495,MATCH("Case NIH Plate 8: E2",'CASE MASTER'!$I$2:$I$495,0)),"")</f>
        <v/>
      </c>
      <c r="D91" s="9" t="str">
        <f>IFERROR(INDEX('CASE MASTER'!$R$2:$R$495,MATCH("Case NIH Plate 8: E3",'CASE MASTER'!$I$2:$I$495,0)),"")</f>
        <v/>
      </c>
      <c r="E91" s="9" t="str">
        <f>IFERROR(INDEX('CASE MASTER'!$R$2:$R$495,MATCH("Case NIH Plate 8: E4",'CASE MASTER'!$I$2:$I$495,0)),"")</f>
        <v/>
      </c>
      <c r="F91" s="9" t="str">
        <f>IFERROR(INDEX('CASE MASTER'!$R$2:$R$495,MATCH("Case NIH Plate 8: E5",'CASE MASTER'!$I$2:$I$495,0)),"")</f>
        <v/>
      </c>
      <c r="G91" s="9" t="str">
        <f>IFERROR(INDEX('CASE MASTER'!$R$2:$R$495,MATCH("Case NIH Plate 8: E6",'CASE MASTER'!$I$2:$I$495,0)),"")</f>
        <v/>
      </c>
      <c r="H91" s="9" t="str">
        <f>IFERROR(INDEX('CASE MASTER'!$R$2:$R$495,MATCH("Case NIH Plate 8: E7",'CASE MASTER'!$I$2:$I$495,0)),"")</f>
        <v/>
      </c>
      <c r="I91" s="9" t="str">
        <f>IFERROR(INDEX('CASE MASTER'!$R$2:$R$495,MATCH("Case NIH Plate 8: E8",'CASE MASTER'!$I$2:$I$495,0)),"")</f>
        <v/>
      </c>
      <c r="J91" s="9" t="str">
        <f>IFERROR(INDEX('CASE MASTER'!$R$2:$R$495,MATCH("Case NIH Plate 8: E9",'CASE MASTER'!$I$2:$I$495,0)),"")</f>
        <v/>
      </c>
      <c r="K91" s="9" t="str">
        <f>IFERROR(INDEX('CASE MASTER'!$R$2:$R$495,MATCH("Case NIH Plate 8: E10",'CASE MASTER'!$I$2:$I$495,0)),"")</f>
        <v/>
      </c>
      <c r="L91" s="9" t="str">
        <f>IFERROR(INDEX('CASE MASTER'!$R$2:$R$495,MATCH("Case NIH Plate 8: E11",'CASE MASTER'!$I$2:$I$495,0)),"")</f>
        <v/>
      </c>
      <c r="M91" s="9" t="str">
        <f>IFERROR(INDEX('CASE MASTER'!$R$2:$R$495,MATCH("Case NIH Plate 8: E12",'CASE MASTER'!$I$2:$I$495,0)),"")</f>
        <v/>
      </c>
    </row>
    <row r="92" spans="1:13" ht="15" customHeight="1" x14ac:dyDescent="0.35">
      <c r="A92" s="8" t="s">
        <v>33</v>
      </c>
      <c r="B92" s="9" t="str">
        <f>IFERROR(INDEX('CASE MASTER'!$R$2:$R$495,MATCH("Case NIH Plate 8: F1",'CASE MASTER'!$I$2:$I$495,0)),"")</f>
        <v/>
      </c>
      <c r="C92" s="9" t="str">
        <f>IFERROR(INDEX('CASE MASTER'!$R$2:$R$495,MATCH("Case NIH Plate 8: F2",'CASE MASTER'!$I$2:$I$495,0)),"")</f>
        <v/>
      </c>
      <c r="D92" s="9" t="str">
        <f>IFERROR(INDEX('CASE MASTER'!$R$2:$R$495,MATCH("Case NIH Plate 8: F3",'CASE MASTER'!$I$2:$I$495,0)),"")</f>
        <v/>
      </c>
      <c r="E92" s="9" t="str">
        <f>IFERROR(INDEX('CASE MASTER'!$R$2:$R$495,MATCH("Case NIH Plate 8: F4",'CASE MASTER'!$I$2:$I$495,0)),"")</f>
        <v/>
      </c>
      <c r="F92" s="9" t="str">
        <f>IFERROR(INDEX('CASE MASTER'!$R$2:$R$495,MATCH("Case NIH Plate 8: F5",'CASE MASTER'!$I$2:$I$495,0)),"")</f>
        <v/>
      </c>
      <c r="G92" s="9" t="str">
        <f>IFERROR(INDEX('CASE MASTER'!$R$2:$R$495,MATCH("Case NIH Plate 8: F6",'CASE MASTER'!$I$2:$I$495,0)),"")</f>
        <v/>
      </c>
      <c r="H92" s="9" t="str">
        <f>IFERROR(INDEX('CASE MASTER'!$R$2:$R$495,MATCH("Case NIH Plate 8: F7",'CASE MASTER'!$I$2:$I$495,0)),"")</f>
        <v/>
      </c>
      <c r="I92" s="9" t="str">
        <f>IFERROR(INDEX('CASE MASTER'!$R$2:$R$495,MATCH("Case NIH Plate 8: F8",'CASE MASTER'!$I$2:$I$495,0)),"")</f>
        <v/>
      </c>
      <c r="J92" s="9" t="str">
        <f>IFERROR(INDEX('CASE MASTER'!$R$2:$R$495,MATCH("Case NIH Plate 8: F9",'CASE MASTER'!$I$2:$I$495,0)),"")</f>
        <v/>
      </c>
      <c r="K92" s="9" t="str">
        <f>IFERROR(INDEX('CASE MASTER'!$R$2:$R$495,MATCH("Case NIH Plate 8: F10",'CASE MASTER'!$I$2:$I$495,0)),"")</f>
        <v/>
      </c>
      <c r="L92" s="9" t="str">
        <f>IFERROR(INDEX('CASE MASTER'!$R$2:$R$495,MATCH("Case NIH Plate 8: F11",'CASE MASTER'!$I$2:$I$495,0)),"")</f>
        <v/>
      </c>
      <c r="M92" s="9" t="str">
        <f>IFERROR(INDEX('CASE MASTER'!$R$2:$R$495,MATCH("Case NIH Plate 8: F12",'CASE MASTER'!$I$2:$I$495,0)),"")</f>
        <v/>
      </c>
    </row>
    <row r="93" spans="1:13" ht="15" customHeight="1" x14ac:dyDescent="0.35">
      <c r="A93" s="8" t="s">
        <v>34</v>
      </c>
      <c r="B93" s="9" t="str">
        <f>IFERROR(INDEX('CASE MASTER'!$R$2:$R$495,MATCH("Case NIH Plate 8: G1",'CASE MASTER'!$I$2:$I$495,0)),"")</f>
        <v/>
      </c>
      <c r="C93" s="9" t="str">
        <f>IFERROR(INDEX('CASE MASTER'!$R$2:$R$495,MATCH("Case NIH Plate 8: G2",'CASE MASTER'!$I$2:$I$495,0)),"")</f>
        <v/>
      </c>
      <c r="D93" s="9" t="str">
        <f>IFERROR(INDEX('CASE MASTER'!$R$2:$R$495,MATCH("Case NIH Plate 8: G3",'CASE MASTER'!$I$2:$I$495,0)),"")</f>
        <v/>
      </c>
      <c r="E93" s="9" t="str">
        <f>IFERROR(INDEX('CASE MASTER'!$R$2:$R$495,MATCH("Case NIH Plate 8: G4",'CASE MASTER'!$I$2:$I$495,0)),"")</f>
        <v/>
      </c>
      <c r="F93" s="9" t="str">
        <f>IFERROR(INDEX('CASE MASTER'!$R$2:$R$495,MATCH("Case NIH Plate 8: G5",'CASE MASTER'!$I$2:$I$495,0)),"")</f>
        <v/>
      </c>
      <c r="G93" s="9" t="str">
        <f>IFERROR(INDEX('CASE MASTER'!$R$2:$R$495,MATCH("Case NIH Plate 8: G6",'CASE MASTER'!$I$2:$I$495,0)),"")</f>
        <v/>
      </c>
      <c r="H93" s="9" t="str">
        <f>IFERROR(INDEX('CASE MASTER'!$R$2:$R$495,MATCH("Case NIH Plate 8: G7",'CASE MASTER'!$I$2:$I$495,0)),"")</f>
        <v/>
      </c>
      <c r="I93" s="9" t="str">
        <f>IFERROR(INDEX('CASE MASTER'!$R$2:$R$495,MATCH("Case NIH Plate 8: G8",'CASE MASTER'!$I$2:$I$495,0)),"")</f>
        <v/>
      </c>
      <c r="J93" s="9" t="str">
        <f>IFERROR(INDEX('CASE MASTER'!$R$2:$R$495,MATCH("Case NIH Plate 8: G9",'CASE MASTER'!$I$2:$I$495,0)),"")</f>
        <v/>
      </c>
      <c r="K93" s="9" t="str">
        <f>IFERROR(INDEX('CASE MASTER'!$R$2:$R$495,MATCH("Case NIH Plate 8: G10",'CASE MASTER'!$I$2:$I$495,0)),"")</f>
        <v/>
      </c>
      <c r="L93" s="9" t="str">
        <f>IFERROR(INDEX('CASE MASTER'!$R$2:$R$495,MATCH("Case NIH Plate 8: G11",'CASE MASTER'!$I$2:$I$495,0)),"")</f>
        <v/>
      </c>
      <c r="M93" s="9" t="str">
        <f>IFERROR(INDEX('CASE MASTER'!$R$2:$R$495,MATCH("Case NIH Plate 8: G12",'CASE MASTER'!$I$2:$I$495,0)),"")</f>
        <v/>
      </c>
    </row>
    <row r="94" spans="1:13" ht="15" customHeight="1" x14ac:dyDescent="0.35">
      <c r="A94" s="8" t="s">
        <v>35</v>
      </c>
      <c r="B94" s="9" t="str">
        <f>IFERROR(INDEX('CASE MASTER'!$R$2:$R$495,MATCH("Case NIH Plate 8: H1",'CASE MASTER'!$I$2:$I$495,0)),"")</f>
        <v/>
      </c>
      <c r="C94" s="9" t="str">
        <f>IFERROR(INDEX('CASE MASTER'!$R$2:$R$495,MATCH("Case NIH Plate 8: H2",'CASE MASTER'!$I$2:$I$495,0)),"")</f>
        <v/>
      </c>
      <c r="D94" s="9" t="str">
        <f>IFERROR(INDEX('CASE MASTER'!$R$2:$R$495,MATCH("Case NIH Plate 8: H3",'CASE MASTER'!$I$2:$I$495,0)),"")</f>
        <v/>
      </c>
      <c r="E94" s="9" t="str">
        <f>IFERROR(INDEX('CASE MASTER'!$R$2:$R$495,MATCH("Case NIH Plate 8: H4",'CASE MASTER'!$I$2:$I$495,0)),"")</f>
        <v/>
      </c>
      <c r="F94" s="9" t="str">
        <f>IFERROR(INDEX('CASE MASTER'!$R$2:$R$495,MATCH("Case NIH Plate 8: H5",'CASE MASTER'!$I$2:$I$495,0)),"")</f>
        <v/>
      </c>
      <c r="G94" s="9" t="str">
        <f>IFERROR(INDEX('CASE MASTER'!$R$2:$R$495,MATCH("Case NIH Plate 8: H6",'CASE MASTER'!$I$2:$I$495,0)),"")</f>
        <v/>
      </c>
      <c r="H94" s="9" t="str">
        <f>IFERROR(INDEX('CASE MASTER'!$R$2:$R$495,MATCH("Case NIH Plate 8: H7",'CASE MASTER'!$I$2:$I$495,0)),"")</f>
        <v/>
      </c>
      <c r="I94" s="9" t="str">
        <f>IFERROR(INDEX('CASE MASTER'!$R$2:$R$495,MATCH("Case NIH Plate 8: H8",'CASE MASTER'!$I$2:$I$495,0)),"")</f>
        <v/>
      </c>
      <c r="J94" s="9" t="str">
        <f>IFERROR(INDEX('CASE MASTER'!$R$2:$R$495,MATCH("Case NIH Plate 8: H9",'CASE MASTER'!$I$2:$I$495,0)),"")</f>
        <v/>
      </c>
      <c r="K94" s="9" t="str">
        <f>IFERROR(INDEX('CASE MASTER'!$R$2:$R$495,MATCH("Case NIH Plate 8: H10",'CASE MASTER'!$I$2:$I$495,0)),"")</f>
        <v/>
      </c>
      <c r="L94" s="9" t="str">
        <f>IFERROR(INDEX('CASE MASTER'!$R$2:$R$495,MATCH("Case NIH Plate 8: H11",'CASE MASTER'!$I$2:$I$495,0)),"")</f>
        <v/>
      </c>
      <c r="M94" s="9" t="str">
        <f>IFERROR(INDEX('CASE MASTER'!$R$2:$R$495,MATCH("Case NIH Plate 8: H12",'CASE MASTER'!$I$2:$I$495,0)),"")</f>
        <v/>
      </c>
    </row>
    <row r="97" spans="1:13" ht="15" customHeight="1" x14ac:dyDescent="0.35">
      <c r="A97" s="12" t="s">
        <v>58</v>
      </c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</row>
    <row r="98" spans="1:13" ht="15" customHeight="1" x14ac:dyDescent="0.35">
      <c r="B98" s="8">
        <v>1</v>
      </c>
      <c r="C98" s="8">
        <v>2</v>
      </c>
      <c r="D98" s="8">
        <v>3</v>
      </c>
      <c r="E98" s="8">
        <v>4</v>
      </c>
      <c r="F98" s="8">
        <v>5</v>
      </c>
      <c r="G98" s="8">
        <v>6</v>
      </c>
      <c r="H98" s="8">
        <v>7</v>
      </c>
      <c r="I98" s="8">
        <v>8</v>
      </c>
      <c r="J98" s="8">
        <v>9</v>
      </c>
      <c r="K98" s="8">
        <v>10</v>
      </c>
      <c r="L98" s="8">
        <v>11</v>
      </c>
      <c r="M98" s="8">
        <v>12</v>
      </c>
    </row>
    <row r="99" spans="1:13" ht="15" customHeight="1" x14ac:dyDescent="0.35">
      <c r="A99" s="8" t="s">
        <v>28</v>
      </c>
      <c r="B99" s="9" t="str">
        <f>IFERROR(INDEX('CASE MASTER'!$R$2:$R$495,MATCH("Case NIH Plate 9: A1",'CASE MASTER'!$I$2:$I$495,0)),"")</f>
        <v/>
      </c>
      <c r="C99" s="9" t="str">
        <f>IFERROR(INDEX('CASE MASTER'!$R$2:$R$495,MATCH("Case NIH Plate 9: A2",'CASE MASTER'!$I$2:$I$495,0)),"")</f>
        <v/>
      </c>
      <c r="D99" s="9" t="str">
        <f>IFERROR(INDEX('CASE MASTER'!$R$2:$R$495,MATCH("Case NIH Plate 9: A3",'CASE MASTER'!$I$2:$I$495,0)),"")</f>
        <v/>
      </c>
      <c r="E99" s="9" t="str">
        <f>IFERROR(INDEX('CASE MASTER'!$R$2:$R$495,MATCH("Case NIH Plate 9: A4",'CASE MASTER'!$I$2:$I$495,0)),"")</f>
        <v/>
      </c>
      <c r="F99" s="9" t="str">
        <f>IFERROR(INDEX('CASE MASTER'!$R$2:$R$495,MATCH("Case NIH Plate 9: A5",'CASE MASTER'!$I$2:$I$495,0)),"")</f>
        <v/>
      </c>
      <c r="G99" s="9" t="str">
        <f>IFERROR(INDEX('CASE MASTER'!$R$2:$R$495,MATCH("Case NIH Plate 9: A6",'CASE MASTER'!$I$2:$I$495,0)),"")</f>
        <v/>
      </c>
      <c r="H99" s="9" t="str">
        <f>IFERROR(INDEX('CASE MASTER'!$R$2:$R$495,MATCH("Case NIH Plate 9: A7",'CASE MASTER'!$I$2:$I$495,0)),"")</f>
        <v/>
      </c>
      <c r="I99" s="9" t="str">
        <f>IFERROR(INDEX('CASE MASTER'!$R$2:$R$495,MATCH("Case NIH Plate 9: A8",'CASE MASTER'!$I$2:$I$495,0)),"")</f>
        <v/>
      </c>
      <c r="J99" s="9" t="str">
        <f>IFERROR(INDEX('CASE MASTER'!$R$2:$R$495,MATCH("Case NIH Plate 9: A9",'CASE MASTER'!$I$2:$I$495,0)),"")</f>
        <v/>
      </c>
      <c r="K99" s="9" t="str">
        <f>IFERROR(INDEX('CASE MASTER'!$R$2:$R$495,MATCH("Case NIH Plate 9: A10",'CASE MASTER'!$I$2:$I$495,0)),"")</f>
        <v/>
      </c>
      <c r="L99" s="9" t="str">
        <f>IFERROR(INDEX('CASE MASTER'!$R$2:$R$495,MATCH("Case NIH Plate 9: A11",'CASE MASTER'!$I$2:$I$495,0)),"")</f>
        <v/>
      </c>
      <c r="M99" s="9" t="str">
        <f>IFERROR(INDEX('CASE MASTER'!$R$2:$R$495,MATCH("Case NIH Plate 9: A12",'CASE MASTER'!$I$2:$I$495,0)),"")</f>
        <v/>
      </c>
    </row>
    <row r="100" spans="1:13" ht="15" customHeight="1" x14ac:dyDescent="0.35">
      <c r="A100" s="8" t="s">
        <v>29</v>
      </c>
      <c r="B100" s="9" t="str">
        <f>IFERROR(INDEX('CASE MASTER'!$R$2:$R$495,MATCH("Case NIH Plate 9: B1",'CASE MASTER'!$I$2:$I$495,0)),"")</f>
        <v/>
      </c>
      <c r="C100" s="9" t="str">
        <f>IFERROR(INDEX('CASE MASTER'!$R$2:$R$495,MATCH("Case NIH Plate 9: B2",'CASE MASTER'!$I$2:$I$495,0)),"")</f>
        <v/>
      </c>
      <c r="D100" s="9" t="str">
        <f>IFERROR(INDEX('CASE MASTER'!$R$2:$R$495,MATCH("Case NIH Plate 9: B3",'CASE MASTER'!$I$2:$I$495,0)),"")</f>
        <v/>
      </c>
      <c r="E100" s="9" t="str">
        <f>IFERROR(INDEX('CASE MASTER'!$R$2:$R$495,MATCH("Case NIH Plate 9: B4",'CASE MASTER'!$I$2:$I$495,0)),"")</f>
        <v/>
      </c>
      <c r="F100" s="9" t="str">
        <f>IFERROR(INDEX('CASE MASTER'!$R$2:$R$495,MATCH("Case NIH Plate 9: B5",'CASE MASTER'!$I$2:$I$495,0)),"")</f>
        <v/>
      </c>
      <c r="G100" s="9" t="str">
        <f>IFERROR(INDEX('CASE MASTER'!$R$2:$R$495,MATCH("Case NIH Plate 9: B6",'CASE MASTER'!$I$2:$I$495,0)),"")</f>
        <v/>
      </c>
      <c r="H100" s="9" t="str">
        <f>IFERROR(INDEX('CASE MASTER'!$R$2:$R$495,MATCH("Case NIH Plate 9: B7",'CASE MASTER'!$I$2:$I$495,0)),"")</f>
        <v/>
      </c>
      <c r="I100" s="9" t="str">
        <f>IFERROR(INDEX('CASE MASTER'!$R$2:$R$495,MATCH("Case NIH Plate 9: B8",'CASE MASTER'!$I$2:$I$495,0)),"")</f>
        <v/>
      </c>
      <c r="J100" s="9" t="str">
        <f>IFERROR(INDEX('CASE MASTER'!$R$2:$R$495,MATCH("Case NIH Plate 9: B9",'CASE MASTER'!$I$2:$I$495,0)),"")</f>
        <v/>
      </c>
      <c r="K100" s="9" t="str">
        <f>IFERROR(INDEX('CASE MASTER'!$R$2:$R$495,MATCH("Case NIH Plate 9: B10",'CASE MASTER'!$I$2:$I$495,0)),"")</f>
        <v/>
      </c>
      <c r="L100" s="9" t="str">
        <f>IFERROR(INDEX('CASE MASTER'!$R$2:$R$495,MATCH("Case NIH Plate 9: B11",'CASE MASTER'!$I$2:$I$495,0)),"")</f>
        <v/>
      </c>
      <c r="M100" s="9" t="str">
        <f>IFERROR(INDEX('CASE MASTER'!$R$2:$R$495,MATCH("Case NIH Plate 9: B12",'CASE MASTER'!$I$2:$I$495,0)),"")</f>
        <v/>
      </c>
    </row>
    <row r="101" spans="1:13" ht="15" customHeight="1" x14ac:dyDescent="0.35">
      <c r="A101" s="8" t="s">
        <v>30</v>
      </c>
      <c r="B101" s="9" t="str">
        <f>IFERROR(INDEX('CASE MASTER'!$R$2:$R$495,MATCH("Case NIH Plate 9: C1",'CASE MASTER'!$I$2:$I$495,0)),"")</f>
        <v/>
      </c>
      <c r="C101" s="9" t="str">
        <f>IFERROR(INDEX('CASE MASTER'!$R$2:$R$495,MATCH("Case NIH Plate 9: C2",'CASE MASTER'!$I$2:$I$495,0)),"")</f>
        <v/>
      </c>
      <c r="D101" s="9" t="str">
        <f>IFERROR(INDEX('CASE MASTER'!$R$2:$R$495,MATCH("Case NIH Plate 9: C3",'CASE MASTER'!$I$2:$I$495,0)),"")</f>
        <v/>
      </c>
      <c r="E101" s="9" t="str">
        <f>IFERROR(INDEX('CASE MASTER'!$R$2:$R$495,MATCH("Case NIH Plate 9: C4",'CASE MASTER'!$I$2:$I$495,0)),"")</f>
        <v/>
      </c>
      <c r="F101" s="9" t="str">
        <f>IFERROR(INDEX('CASE MASTER'!$R$2:$R$495,MATCH("Case NIH Plate 9: C5",'CASE MASTER'!$I$2:$I$495,0)),"")</f>
        <v/>
      </c>
      <c r="G101" s="9" t="str">
        <f>IFERROR(INDEX('CASE MASTER'!$R$2:$R$495,MATCH("Case NIH Plate 9: C6",'CASE MASTER'!$I$2:$I$495,0)),"")</f>
        <v/>
      </c>
      <c r="H101" s="9" t="str">
        <f>IFERROR(INDEX('CASE MASTER'!$R$2:$R$495,MATCH("Case NIH Plate 9: C7",'CASE MASTER'!$I$2:$I$495,0)),"")</f>
        <v/>
      </c>
      <c r="I101" s="9" t="str">
        <f>IFERROR(INDEX('CASE MASTER'!$R$2:$R$495,MATCH("Case NIH Plate 9: C8",'CASE MASTER'!$I$2:$I$495,0)),"")</f>
        <v/>
      </c>
      <c r="J101" s="9" t="str">
        <f>IFERROR(INDEX('CASE MASTER'!$R$2:$R$495,MATCH("Case NIH Plate 9: C9",'CASE MASTER'!$I$2:$I$495,0)),"")</f>
        <v/>
      </c>
      <c r="K101" s="9" t="str">
        <f>IFERROR(INDEX('CASE MASTER'!$R$2:$R$495,MATCH("Case NIH Plate 9: C10",'CASE MASTER'!$I$2:$I$495,0)),"")</f>
        <v/>
      </c>
      <c r="L101" s="9" t="str">
        <f>IFERROR(INDEX('CASE MASTER'!$R$2:$R$495,MATCH("Case NIH Plate 9: C11",'CASE MASTER'!$I$2:$I$495,0)),"")</f>
        <v/>
      </c>
      <c r="M101" s="9" t="str">
        <f>IFERROR(INDEX('CASE MASTER'!$R$2:$R$495,MATCH("Case NIH Plate 9: C12",'CASE MASTER'!$I$2:$I$495,0)),"")</f>
        <v/>
      </c>
    </row>
    <row r="102" spans="1:13" ht="15" customHeight="1" x14ac:dyDescent="0.35">
      <c r="A102" s="8" t="s">
        <v>31</v>
      </c>
      <c r="B102" s="9" t="str">
        <f>IFERROR(INDEX('CASE MASTER'!$R$2:$R$495,MATCH("Case NIH Plate 9: D1",'CASE MASTER'!$I$2:$I$495,0)),"")</f>
        <v/>
      </c>
      <c r="C102" s="9" t="str">
        <f>IFERROR(INDEX('CASE MASTER'!$R$2:$R$495,MATCH("Case NIH Plate 9: D2",'CASE MASTER'!$I$2:$I$495,0)),"")</f>
        <v/>
      </c>
      <c r="D102" s="9" t="str">
        <f>IFERROR(INDEX('CASE MASTER'!$R$2:$R$495,MATCH("Case NIH Plate 9: D3",'CASE MASTER'!$I$2:$I$495,0)),"")</f>
        <v/>
      </c>
      <c r="E102" s="9" t="str">
        <f>IFERROR(INDEX('CASE MASTER'!$R$2:$R$495,MATCH("Case NIH Plate 9: D4",'CASE MASTER'!$I$2:$I$495,0)),"")</f>
        <v/>
      </c>
      <c r="F102" s="9" t="str">
        <f>IFERROR(INDEX('CASE MASTER'!$R$2:$R$495,MATCH("Case NIH Plate 9: D5",'CASE MASTER'!$I$2:$I$495,0)),"")</f>
        <v/>
      </c>
      <c r="G102" s="9" t="str">
        <f>IFERROR(INDEX('CASE MASTER'!$R$2:$R$495,MATCH("Case NIH Plate 9: D6",'CASE MASTER'!$I$2:$I$495,0)),"")</f>
        <v/>
      </c>
      <c r="H102" s="9" t="str">
        <f>IFERROR(INDEX('CASE MASTER'!$R$2:$R$495,MATCH("Case NIH Plate 9: D7",'CASE MASTER'!$I$2:$I$495,0)),"")</f>
        <v/>
      </c>
      <c r="I102" s="9" t="str">
        <f>IFERROR(INDEX('CASE MASTER'!$R$2:$R$495,MATCH("Case NIH Plate 9: D8",'CASE MASTER'!$I$2:$I$495,0)),"")</f>
        <v/>
      </c>
      <c r="J102" s="9" t="str">
        <f>IFERROR(INDEX('CASE MASTER'!$R$2:$R$495,MATCH("Case NIH Plate 9: D9",'CASE MASTER'!$I$2:$I$495,0)),"")</f>
        <v/>
      </c>
      <c r="K102" s="9" t="str">
        <f>IFERROR(INDEX('CASE MASTER'!$R$2:$R$495,MATCH("Case NIH Plate 9: D10",'CASE MASTER'!$I$2:$I$495,0)),"")</f>
        <v/>
      </c>
      <c r="L102" s="9" t="str">
        <f>IFERROR(INDEX('CASE MASTER'!$R$2:$R$495,MATCH("Case NIH Plate 9: D11",'CASE MASTER'!$I$2:$I$495,0)),"")</f>
        <v/>
      </c>
      <c r="M102" s="9" t="str">
        <f>IFERROR(INDEX('CASE MASTER'!$R$2:$R$495,MATCH("Case NIH Plate 9: D12",'CASE MASTER'!$I$2:$I$495,0)),"")</f>
        <v/>
      </c>
    </row>
    <row r="103" spans="1:13" ht="15" customHeight="1" x14ac:dyDescent="0.35">
      <c r="A103" s="8" t="s">
        <v>32</v>
      </c>
      <c r="B103" s="9" t="str">
        <f>IFERROR(INDEX('CASE MASTER'!$R$2:$R$495,MATCH("Case NIH Plate 9: E1",'CASE MASTER'!$I$2:$I$495,0)),"")</f>
        <v/>
      </c>
      <c r="C103" s="9" t="str">
        <f>IFERROR(INDEX('CASE MASTER'!$R$2:$R$495,MATCH("Case NIH Plate 9: E2",'CASE MASTER'!$I$2:$I$495,0)),"")</f>
        <v/>
      </c>
      <c r="D103" s="9" t="str">
        <f>IFERROR(INDEX('CASE MASTER'!$R$2:$R$495,MATCH("Case NIH Plate 9: E3",'CASE MASTER'!$I$2:$I$495,0)),"")</f>
        <v/>
      </c>
      <c r="E103" s="9" t="str">
        <f>IFERROR(INDEX('CASE MASTER'!$R$2:$R$495,MATCH("Case NIH Plate 9: E4",'CASE MASTER'!$I$2:$I$495,0)),"")</f>
        <v/>
      </c>
      <c r="F103" s="9" t="str">
        <f>IFERROR(INDEX('CASE MASTER'!$R$2:$R$495,MATCH("Case NIH Plate 9: E5",'CASE MASTER'!$I$2:$I$495,0)),"")</f>
        <v/>
      </c>
      <c r="G103" s="9" t="str">
        <f>IFERROR(INDEX('CASE MASTER'!$R$2:$R$495,MATCH("Case NIH Plate 9: E6",'CASE MASTER'!$I$2:$I$495,0)),"")</f>
        <v/>
      </c>
      <c r="H103" s="9" t="str">
        <f>IFERROR(INDEX('CASE MASTER'!$R$2:$R$495,MATCH("Case NIH Plate 9: E7",'CASE MASTER'!$I$2:$I$495,0)),"")</f>
        <v/>
      </c>
      <c r="I103" s="9" t="str">
        <f>IFERROR(INDEX('CASE MASTER'!$R$2:$R$495,MATCH("Case NIH Plate 9: E8",'CASE MASTER'!$I$2:$I$495,0)),"")</f>
        <v/>
      </c>
      <c r="J103" s="9" t="str">
        <f>IFERROR(INDEX('CASE MASTER'!$R$2:$R$495,MATCH("Case NIH Plate 9: E9",'CASE MASTER'!$I$2:$I$495,0)),"")</f>
        <v/>
      </c>
      <c r="K103" s="9" t="str">
        <f>IFERROR(INDEX('CASE MASTER'!$R$2:$R$495,MATCH("Case NIH Plate 9: E10",'CASE MASTER'!$I$2:$I$495,0)),"")</f>
        <v/>
      </c>
      <c r="L103" s="9" t="str">
        <f>IFERROR(INDEX('CASE MASTER'!$R$2:$R$495,MATCH("Case NIH Plate 9: E11",'CASE MASTER'!$I$2:$I$495,0)),"")</f>
        <v/>
      </c>
      <c r="M103" s="9" t="str">
        <f>IFERROR(INDEX('CASE MASTER'!$R$2:$R$495,MATCH("Case NIH Plate 9: E12",'CASE MASTER'!$I$2:$I$495,0)),"")</f>
        <v/>
      </c>
    </row>
    <row r="104" spans="1:13" ht="15" customHeight="1" x14ac:dyDescent="0.35">
      <c r="A104" s="8" t="s">
        <v>33</v>
      </c>
      <c r="B104" s="9" t="str">
        <f>IFERROR(INDEX('CASE MASTER'!$R$2:$R$495,MATCH("Case NIH Plate 9: F1",'CASE MASTER'!$I$2:$I$495,0)),"")</f>
        <v/>
      </c>
      <c r="C104" s="9" t="str">
        <f>IFERROR(INDEX('CASE MASTER'!$R$2:$R$495,MATCH("Case NIH Plate 9: F2",'CASE MASTER'!$I$2:$I$495,0)),"")</f>
        <v/>
      </c>
      <c r="D104" s="9" t="str">
        <f>IFERROR(INDEX('CASE MASTER'!$R$2:$R$495,MATCH("Case NIH Plate 9: F3",'CASE MASTER'!$I$2:$I$495,0)),"")</f>
        <v/>
      </c>
      <c r="E104" s="9" t="str">
        <f>IFERROR(INDEX('CASE MASTER'!$R$2:$R$495,MATCH("Case NIH Plate 9: F4",'CASE MASTER'!$I$2:$I$495,0)),"")</f>
        <v/>
      </c>
      <c r="F104" s="9" t="str">
        <f>IFERROR(INDEX('CASE MASTER'!$R$2:$R$495,MATCH("Case NIH Plate 9: F5",'CASE MASTER'!$I$2:$I$495,0)),"")</f>
        <v/>
      </c>
      <c r="G104" s="9" t="str">
        <f>IFERROR(INDEX('CASE MASTER'!$R$2:$R$495,MATCH("Case NIH Plate 9: F6",'CASE MASTER'!$I$2:$I$495,0)),"")</f>
        <v/>
      </c>
      <c r="H104" s="9" t="str">
        <f>IFERROR(INDEX('CASE MASTER'!$R$2:$R$495,MATCH("Case NIH Plate 9: F7",'CASE MASTER'!$I$2:$I$495,0)),"")</f>
        <v/>
      </c>
      <c r="I104" s="9" t="str">
        <f>IFERROR(INDEX('CASE MASTER'!$R$2:$R$495,MATCH("Case NIH Plate 9: F8",'CASE MASTER'!$I$2:$I$495,0)),"")</f>
        <v/>
      </c>
      <c r="J104" s="9" t="str">
        <f>IFERROR(INDEX('CASE MASTER'!$R$2:$R$495,MATCH("Case NIH Plate 9: F9",'CASE MASTER'!$I$2:$I$495,0)),"")</f>
        <v/>
      </c>
      <c r="K104" s="9" t="str">
        <f>IFERROR(INDEX('CASE MASTER'!$R$2:$R$495,MATCH("Case NIH Plate 9: F10",'CASE MASTER'!$I$2:$I$495,0)),"")</f>
        <v/>
      </c>
      <c r="L104" s="9" t="str">
        <f>IFERROR(INDEX('CASE MASTER'!$R$2:$R$495,MATCH("Case NIH Plate 9: F11",'CASE MASTER'!$I$2:$I$495,0)),"")</f>
        <v/>
      </c>
      <c r="M104" s="9" t="str">
        <f>IFERROR(INDEX('CASE MASTER'!$R$2:$R$495,MATCH("Case NIH Plate 9: F12",'CASE MASTER'!$I$2:$I$495,0)),"")</f>
        <v/>
      </c>
    </row>
    <row r="105" spans="1:13" ht="15" customHeight="1" x14ac:dyDescent="0.35">
      <c r="A105" s="8" t="s">
        <v>34</v>
      </c>
      <c r="B105" s="9" t="str">
        <f>IFERROR(INDEX('CASE MASTER'!$R$2:$R$495,MATCH("Case NIH Plate 9: G1",'CASE MASTER'!$I$2:$I$495,0)),"")</f>
        <v/>
      </c>
      <c r="C105" s="9" t="str">
        <f>IFERROR(INDEX('CASE MASTER'!$R$2:$R$495,MATCH("Case NIH Plate 9: G2",'CASE MASTER'!$I$2:$I$495,0)),"")</f>
        <v/>
      </c>
      <c r="D105" s="9" t="str">
        <f>IFERROR(INDEX('CASE MASTER'!$R$2:$R$495,MATCH("Case NIH Plate 9: G3",'CASE MASTER'!$I$2:$I$495,0)),"")</f>
        <v/>
      </c>
      <c r="E105" s="9" t="str">
        <f>IFERROR(INDEX('CASE MASTER'!$R$2:$R$495,MATCH("Case NIH Plate 9: G4",'CASE MASTER'!$I$2:$I$495,0)),"")</f>
        <v/>
      </c>
      <c r="F105" s="9" t="str">
        <f>IFERROR(INDEX('CASE MASTER'!$R$2:$R$495,MATCH("Case NIH Plate 9: G5",'CASE MASTER'!$I$2:$I$495,0)),"")</f>
        <v/>
      </c>
      <c r="G105" s="9" t="str">
        <f>IFERROR(INDEX('CASE MASTER'!$R$2:$R$495,MATCH("Case NIH Plate 9: G6",'CASE MASTER'!$I$2:$I$495,0)),"")</f>
        <v/>
      </c>
      <c r="H105" s="9" t="str">
        <f>IFERROR(INDEX('CASE MASTER'!$R$2:$R$495,MATCH("Case NIH Plate 9: G7",'CASE MASTER'!$I$2:$I$495,0)),"")</f>
        <v/>
      </c>
      <c r="I105" s="9" t="str">
        <f>IFERROR(INDEX('CASE MASTER'!$R$2:$R$495,MATCH("Case NIH Plate 9: G8",'CASE MASTER'!$I$2:$I$495,0)),"")</f>
        <v/>
      </c>
      <c r="J105" s="9" t="str">
        <f>IFERROR(INDEX('CASE MASTER'!$R$2:$R$495,MATCH("Case NIH Plate 9: G9",'CASE MASTER'!$I$2:$I$495,0)),"")</f>
        <v/>
      </c>
      <c r="K105" s="9" t="str">
        <f>IFERROR(INDEX('CASE MASTER'!$R$2:$R$495,MATCH("Case NIH Plate 9: G10",'CASE MASTER'!$I$2:$I$495,0)),"")</f>
        <v/>
      </c>
      <c r="L105" s="9" t="str">
        <f>IFERROR(INDEX('CASE MASTER'!$R$2:$R$495,MATCH("Case NIH Plate 9: G11",'CASE MASTER'!$I$2:$I$495,0)),"")</f>
        <v/>
      </c>
      <c r="M105" s="9" t="str">
        <f>IFERROR(INDEX('CASE MASTER'!$R$2:$R$495,MATCH("Case NIH Plate 9: G12",'CASE MASTER'!$I$2:$I$495,0)),"")</f>
        <v/>
      </c>
    </row>
    <row r="106" spans="1:13" ht="15" customHeight="1" x14ac:dyDescent="0.35">
      <c r="A106" s="8" t="s">
        <v>35</v>
      </c>
      <c r="B106" s="9" t="str">
        <f>IFERROR(INDEX('CASE MASTER'!$R$2:$R$495,MATCH("Case NIH Plate 9: H1",'CASE MASTER'!$I$2:$I$495,0)),"")</f>
        <v/>
      </c>
      <c r="C106" s="9" t="str">
        <f>IFERROR(INDEX('CASE MASTER'!$R$2:$R$495,MATCH("Case NIH Plate 9: H2",'CASE MASTER'!$I$2:$I$495,0)),"")</f>
        <v/>
      </c>
      <c r="D106" s="9" t="str">
        <f>IFERROR(INDEX('CASE MASTER'!$R$2:$R$495,MATCH("Case NIH Plate 9: H3",'CASE MASTER'!$I$2:$I$495,0)),"")</f>
        <v/>
      </c>
      <c r="E106" s="9" t="str">
        <f>IFERROR(INDEX('CASE MASTER'!$R$2:$R$495,MATCH("Case NIH Plate 9: H4",'CASE MASTER'!$I$2:$I$495,0)),"")</f>
        <v/>
      </c>
      <c r="F106" s="9" t="str">
        <f>IFERROR(INDEX('CASE MASTER'!$R$2:$R$495,MATCH("Case NIH Plate 9: H5",'CASE MASTER'!$I$2:$I$495,0)),"")</f>
        <v/>
      </c>
      <c r="G106" s="9" t="str">
        <f>IFERROR(INDEX('CASE MASTER'!$R$2:$R$495,MATCH("Case NIH Plate 9: H6",'CASE MASTER'!$I$2:$I$495,0)),"")</f>
        <v/>
      </c>
      <c r="H106" s="9" t="str">
        <f>IFERROR(INDEX('CASE MASTER'!$R$2:$R$495,MATCH("Case NIH Plate 9: H7",'CASE MASTER'!$I$2:$I$495,0)),"")</f>
        <v/>
      </c>
      <c r="I106" s="9" t="str">
        <f>IFERROR(INDEX('CASE MASTER'!$R$2:$R$495,MATCH("Case NIH Plate 9: H8",'CASE MASTER'!$I$2:$I$495,0)),"")</f>
        <v/>
      </c>
      <c r="J106" s="9" t="str">
        <f>IFERROR(INDEX('CASE MASTER'!$R$2:$R$495,MATCH("Case NIH Plate 9: H9",'CASE MASTER'!$I$2:$I$495,0)),"")</f>
        <v/>
      </c>
      <c r="K106" s="9" t="str">
        <f>IFERROR(INDEX('CASE MASTER'!$R$2:$R$495,MATCH("Case NIH Plate 9: H10",'CASE MASTER'!$I$2:$I$495,0)),"")</f>
        <v/>
      </c>
      <c r="L106" s="9" t="str">
        <f>IFERROR(INDEX('CASE MASTER'!$R$2:$R$495,MATCH("Case NIH Plate 9: H11",'CASE MASTER'!$I$2:$I$495,0)),"")</f>
        <v/>
      </c>
      <c r="M106" s="9" t="str">
        <f>IFERROR(INDEX('CASE MASTER'!$R$2:$R$495,MATCH("Case NIH Plate 9: H12",'CASE MASTER'!$I$2:$I$495,0)),"")</f>
        <v/>
      </c>
    </row>
    <row r="109" spans="1:13" ht="15" customHeight="1" x14ac:dyDescent="0.35">
      <c r="A109" s="12" t="s">
        <v>59</v>
      </c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</row>
    <row r="110" spans="1:13" ht="15" customHeight="1" x14ac:dyDescent="0.35">
      <c r="B110" s="8">
        <v>1</v>
      </c>
      <c r="C110" s="8">
        <v>2</v>
      </c>
      <c r="D110" s="8">
        <v>3</v>
      </c>
      <c r="E110" s="8">
        <v>4</v>
      </c>
      <c r="F110" s="8">
        <v>5</v>
      </c>
      <c r="G110" s="8">
        <v>6</v>
      </c>
      <c r="H110" s="8">
        <v>7</v>
      </c>
      <c r="I110" s="8">
        <v>8</v>
      </c>
      <c r="J110" s="8">
        <v>9</v>
      </c>
      <c r="K110" s="8">
        <v>10</v>
      </c>
      <c r="L110" s="8">
        <v>11</v>
      </c>
      <c r="M110" s="8">
        <v>12</v>
      </c>
    </row>
    <row r="111" spans="1:13" ht="15" customHeight="1" x14ac:dyDescent="0.35">
      <c r="A111" s="8" t="s">
        <v>28</v>
      </c>
      <c r="B111" s="9" t="str">
        <f>IFERROR(INDEX('CASE MASTER'!$R$2:$R$495,MATCH("Case NIH Plate 10: A1",'CASE MASTER'!$I$2:$I$495,0)),"")</f>
        <v/>
      </c>
      <c r="C111" s="9" t="str">
        <f>IFERROR(INDEX('CASE MASTER'!$R$2:$R$495,MATCH("Case NIH Plate 10: A2",'CASE MASTER'!$I$2:$I$495,0)),"")</f>
        <v/>
      </c>
      <c r="D111" s="9" t="str">
        <f>IFERROR(INDEX('CASE MASTER'!$R$2:$R$495,MATCH("Case NIH Plate 10: A3",'CASE MASTER'!$I$2:$I$495,0)),"")</f>
        <v/>
      </c>
      <c r="E111" s="9" t="str">
        <f>IFERROR(INDEX('CASE MASTER'!$R$2:$R$495,MATCH("Case NIH Plate 10: A4",'CASE MASTER'!$I$2:$I$495,0)),"")</f>
        <v/>
      </c>
      <c r="F111" s="9" t="str">
        <f>IFERROR(INDEX('CASE MASTER'!$R$2:$R$495,MATCH("Case NIH Plate 10: A5",'CASE MASTER'!$I$2:$I$495,0)),"")</f>
        <v/>
      </c>
      <c r="G111" s="9" t="str">
        <f>IFERROR(INDEX('CASE MASTER'!$R$2:$R$495,MATCH("Case NIH Plate 10: A6",'CASE MASTER'!$I$2:$I$495,0)),"")</f>
        <v/>
      </c>
      <c r="H111" s="9" t="str">
        <f>IFERROR(INDEX('CASE MASTER'!$R$2:$R$495,MATCH("Case NIH Plate 10: A7",'CASE MASTER'!$I$2:$I$495,0)),"")</f>
        <v/>
      </c>
      <c r="I111" s="9" t="str">
        <f>IFERROR(INDEX('CASE MASTER'!$R$2:$R$495,MATCH("Case NIH Plate 10: A8",'CASE MASTER'!$I$2:$I$495,0)),"")</f>
        <v/>
      </c>
      <c r="J111" s="9" t="str">
        <f>IFERROR(INDEX('CASE MASTER'!$R$2:$R$495,MATCH("Case NIH Plate 10: A9",'CASE MASTER'!$I$2:$I$495,0)),"")</f>
        <v/>
      </c>
      <c r="K111" s="9" t="str">
        <f>IFERROR(INDEX('CASE MASTER'!$R$2:$R$495,MATCH("Case NIH Plate 10: A10",'CASE MASTER'!$I$2:$I$495,0)),"")</f>
        <v/>
      </c>
      <c r="L111" s="9" t="str">
        <f>IFERROR(INDEX('CASE MASTER'!$R$2:$R$495,MATCH("Case NIH Plate 10: A11",'CASE MASTER'!$I$2:$I$495,0)),"")</f>
        <v/>
      </c>
      <c r="M111" s="9" t="str">
        <f>IFERROR(INDEX('CASE MASTER'!$R$2:$R$495,MATCH("Case NIH Plate 10: A12",'CASE MASTER'!$I$2:$I$495,0)),"")</f>
        <v/>
      </c>
    </row>
    <row r="112" spans="1:13" ht="15" customHeight="1" x14ac:dyDescent="0.35">
      <c r="A112" s="8" t="s">
        <v>29</v>
      </c>
      <c r="B112" s="9" t="str">
        <f>IFERROR(INDEX('CASE MASTER'!$R$2:$R$495,MATCH("Case NIH Plate 10: B1",'CASE MASTER'!$I$2:$I$495,0)),"")</f>
        <v/>
      </c>
      <c r="C112" s="9" t="str">
        <f>IFERROR(INDEX('CASE MASTER'!$R$2:$R$495,MATCH("Case NIH Plate 10: B2",'CASE MASTER'!$I$2:$I$495,0)),"")</f>
        <v/>
      </c>
      <c r="D112" s="9" t="str">
        <f>IFERROR(INDEX('CASE MASTER'!$R$2:$R$495,MATCH("Case NIH Plate 10: B3",'CASE MASTER'!$I$2:$I$495,0)),"")</f>
        <v/>
      </c>
      <c r="E112" s="9" t="str">
        <f>IFERROR(INDEX('CASE MASTER'!$R$2:$R$495,MATCH("Case NIH Plate 10: B4",'CASE MASTER'!$I$2:$I$495,0)),"")</f>
        <v/>
      </c>
      <c r="F112" s="9" t="str">
        <f>IFERROR(INDEX('CASE MASTER'!$R$2:$R$495,MATCH("Case NIH Plate 10: B5",'CASE MASTER'!$I$2:$I$495,0)),"")</f>
        <v/>
      </c>
      <c r="G112" s="9" t="str">
        <f>IFERROR(INDEX('CASE MASTER'!$R$2:$R$495,MATCH("Case NIH Plate 10: B6",'CASE MASTER'!$I$2:$I$495,0)),"")</f>
        <v/>
      </c>
      <c r="H112" s="9" t="str">
        <f>IFERROR(INDEX('CASE MASTER'!$R$2:$R$495,MATCH("Case NIH Plate 10: B7",'CASE MASTER'!$I$2:$I$495,0)),"")</f>
        <v/>
      </c>
      <c r="I112" s="9" t="str">
        <f>IFERROR(INDEX('CASE MASTER'!$R$2:$R$495,MATCH("Case NIH Plate 10: B8",'CASE MASTER'!$I$2:$I$495,0)),"")</f>
        <v/>
      </c>
      <c r="J112" s="9" t="str">
        <f>IFERROR(INDEX('CASE MASTER'!$R$2:$R$495,MATCH("Case NIH Plate 10: B9",'CASE MASTER'!$I$2:$I$495,0)),"")</f>
        <v/>
      </c>
      <c r="K112" s="9" t="str">
        <f>IFERROR(INDEX('CASE MASTER'!$R$2:$R$495,MATCH("Case NIH Plate 10: B10",'CASE MASTER'!$I$2:$I$495,0)),"")</f>
        <v/>
      </c>
      <c r="L112" s="9" t="str">
        <f>IFERROR(INDEX('CASE MASTER'!$R$2:$R$495,MATCH("Case NIH Plate 10: B11",'CASE MASTER'!$I$2:$I$495,0)),"")</f>
        <v/>
      </c>
      <c r="M112" s="9" t="str">
        <f>IFERROR(INDEX('CASE MASTER'!$R$2:$R$495,MATCH("Case NIH Plate 10: B12",'CASE MASTER'!$I$2:$I$495,0)),"")</f>
        <v/>
      </c>
    </row>
    <row r="113" spans="1:13" ht="15" customHeight="1" x14ac:dyDescent="0.35">
      <c r="A113" s="8" t="s">
        <v>30</v>
      </c>
      <c r="B113" s="9" t="str">
        <f>IFERROR(INDEX('CASE MASTER'!$R$2:$R$495,MATCH("Case NIH Plate 10: C1",'CASE MASTER'!$I$2:$I$495,0)),"")</f>
        <v/>
      </c>
      <c r="C113" s="9" t="str">
        <f>IFERROR(INDEX('CASE MASTER'!$R$2:$R$495,MATCH("Case NIH Plate 10: C2",'CASE MASTER'!$I$2:$I$495,0)),"")</f>
        <v/>
      </c>
      <c r="D113" s="9" t="str">
        <f>IFERROR(INDEX('CASE MASTER'!$R$2:$R$495,MATCH("Case NIH Plate 10: C3",'CASE MASTER'!$I$2:$I$495,0)),"")</f>
        <v/>
      </c>
      <c r="E113" s="9" t="str">
        <f>IFERROR(INDEX('CASE MASTER'!$R$2:$R$495,MATCH("Case NIH Plate 10: C4",'CASE MASTER'!$I$2:$I$495,0)),"")</f>
        <v/>
      </c>
      <c r="F113" s="9" t="str">
        <f>IFERROR(INDEX('CASE MASTER'!$R$2:$R$495,MATCH("Case NIH Plate 10: C5",'CASE MASTER'!$I$2:$I$495,0)),"")</f>
        <v/>
      </c>
      <c r="G113" s="9" t="str">
        <f>IFERROR(INDEX('CASE MASTER'!$R$2:$R$495,MATCH("Case NIH Plate 10: C6",'CASE MASTER'!$I$2:$I$495,0)),"")</f>
        <v/>
      </c>
      <c r="H113" s="9" t="str">
        <f>IFERROR(INDEX('CASE MASTER'!$R$2:$R$495,MATCH("Case NIH Plate 10: C7",'CASE MASTER'!$I$2:$I$495,0)),"")</f>
        <v/>
      </c>
      <c r="I113" s="9" t="str">
        <f>IFERROR(INDEX('CASE MASTER'!$R$2:$R$495,MATCH("Case NIH Plate 10: C8",'CASE MASTER'!$I$2:$I$495,0)),"")</f>
        <v/>
      </c>
      <c r="J113" s="9" t="str">
        <f>IFERROR(INDEX('CASE MASTER'!$R$2:$R$495,MATCH("Case NIH Plate 10: C9",'CASE MASTER'!$I$2:$I$495,0)),"")</f>
        <v/>
      </c>
      <c r="K113" s="9" t="str">
        <f>IFERROR(INDEX('CASE MASTER'!$R$2:$R$495,MATCH("Case NIH Plate 10: C10",'CASE MASTER'!$I$2:$I$495,0)),"")</f>
        <v/>
      </c>
      <c r="L113" s="9" t="str">
        <f>IFERROR(INDEX('CASE MASTER'!$R$2:$R$495,MATCH("Case NIH Plate 10: C11",'CASE MASTER'!$I$2:$I$495,0)),"")</f>
        <v/>
      </c>
      <c r="M113" s="9" t="str">
        <f>IFERROR(INDEX('CASE MASTER'!$R$2:$R$495,MATCH("Case NIH Plate 10: C12",'CASE MASTER'!$I$2:$I$495,0)),"")</f>
        <v/>
      </c>
    </row>
    <row r="114" spans="1:13" ht="15" customHeight="1" x14ac:dyDescent="0.35">
      <c r="A114" s="8" t="s">
        <v>31</v>
      </c>
      <c r="B114" s="9" t="str">
        <f>IFERROR(INDEX('CASE MASTER'!$R$2:$R$495,MATCH("Case NIH Plate 10: D1",'CASE MASTER'!$I$2:$I$495,0)),"")</f>
        <v/>
      </c>
      <c r="C114" s="9" t="str">
        <f>IFERROR(INDEX('CASE MASTER'!$R$2:$R$495,MATCH("Case NIH Plate 10: D2",'CASE MASTER'!$I$2:$I$495,0)),"")</f>
        <v/>
      </c>
      <c r="D114" s="9" t="str">
        <f>IFERROR(INDEX('CASE MASTER'!$R$2:$R$495,MATCH("Case NIH Plate 10: D3",'CASE MASTER'!$I$2:$I$495,0)),"")</f>
        <v/>
      </c>
      <c r="E114" s="9" t="str">
        <f>IFERROR(INDEX('CASE MASTER'!$R$2:$R$495,MATCH("Case NIH Plate 10: D4",'CASE MASTER'!$I$2:$I$495,0)),"")</f>
        <v/>
      </c>
      <c r="F114" s="9" t="str">
        <f>IFERROR(INDEX('CASE MASTER'!$R$2:$R$495,MATCH("Case NIH Plate 10: D5",'CASE MASTER'!$I$2:$I$495,0)),"")</f>
        <v/>
      </c>
      <c r="G114" s="9" t="str">
        <f>IFERROR(INDEX('CASE MASTER'!$R$2:$R$495,MATCH("Case NIH Plate 10: D6",'CASE MASTER'!$I$2:$I$495,0)),"")</f>
        <v/>
      </c>
      <c r="H114" s="9" t="str">
        <f>IFERROR(INDEX('CASE MASTER'!$R$2:$R$495,MATCH("Case NIH Plate 10: D7",'CASE MASTER'!$I$2:$I$495,0)),"")</f>
        <v/>
      </c>
      <c r="I114" s="9" t="str">
        <f>IFERROR(INDEX('CASE MASTER'!$R$2:$R$495,MATCH("Case NIH Plate 10: D8",'CASE MASTER'!$I$2:$I$495,0)),"")</f>
        <v/>
      </c>
      <c r="J114" s="9" t="str">
        <f>IFERROR(INDEX('CASE MASTER'!$R$2:$R$495,MATCH("Case NIH Plate 10: D9",'CASE MASTER'!$I$2:$I$495,0)),"")</f>
        <v/>
      </c>
      <c r="K114" s="9" t="str">
        <f>IFERROR(INDEX('CASE MASTER'!$R$2:$R$495,MATCH("Case NIH Plate 10: D10",'CASE MASTER'!$I$2:$I$495,0)),"")</f>
        <v/>
      </c>
      <c r="L114" s="9" t="str">
        <f>IFERROR(INDEX('CASE MASTER'!$R$2:$R$495,MATCH("Case NIH Plate 10: D11",'CASE MASTER'!$I$2:$I$495,0)),"")</f>
        <v/>
      </c>
      <c r="M114" s="9" t="str">
        <f>IFERROR(INDEX('CASE MASTER'!$R$2:$R$495,MATCH("Case NIH Plate 10: D12",'CASE MASTER'!$I$2:$I$495,0)),"")</f>
        <v/>
      </c>
    </row>
    <row r="115" spans="1:13" ht="15" customHeight="1" x14ac:dyDescent="0.35">
      <c r="A115" s="8" t="s">
        <v>32</v>
      </c>
      <c r="B115" s="9" t="str">
        <f>IFERROR(INDEX('CASE MASTER'!$R$2:$R$495,MATCH("Case NIH Plate 10: E1",'CASE MASTER'!$I$2:$I$495,0)),"")</f>
        <v/>
      </c>
      <c r="C115" s="9" t="str">
        <f>IFERROR(INDEX('CASE MASTER'!$R$2:$R$495,MATCH("Case NIH Plate 10: E2",'CASE MASTER'!$I$2:$I$495,0)),"")</f>
        <v/>
      </c>
      <c r="D115" s="9" t="str">
        <f>IFERROR(INDEX('CASE MASTER'!$R$2:$R$495,MATCH("Case NIH Plate 10: E3",'CASE MASTER'!$I$2:$I$495,0)),"")</f>
        <v/>
      </c>
      <c r="E115" s="9" t="str">
        <f>IFERROR(INDEX('CASE MASTER'!$R$2:$R$495,MATCH("Case NIH Plate 10: E4",'CASE MASTER'!$I$2:$I$495,0)),"")</f>
        <v/>
      </c>
      <c r="F115" s="9" t="str">
        <f>IFERROR(INDEX('CASE MASTER'!$R$2:$R$495,MATCH("Case NIH Plate 10: E5",'CASE MASTER'!$I$2:$I$495,0)),"")</f>
        <v/>
      </c>
      <c r="G115" s="9" t="str">
        <f>IFERROR(INDEX('CASE MASTER'!$R$2:$R$495,MATCH("Case NIH Plate 10: E6",'CASE MASTER'!$I$2:$I$495,0)),"")</f>
        <v/>
      </c>
      <c r="H115" s="9" t="str">
        <f>IFERROR(INDEX('CASE MASTER'!$R$2:$R$495,MATCH("Case NIH Plate 10: E7",'CASE MASTER'!$I$2:$I$495,0)),"")</f>
        <v/>
      </c>
      <c r="I115" s="9" t="str">
        <f>IFERROR(INDEX('CASE MASTER'!$R$2:$R$495,MATCH("Case NIH Plate 10: E8",'CASE MASTER'!$I$2:$I$495,0)),"")</f>
        <v/>
      </c>
      <c r="J115" s="9" t="str">
        <f>IFERROR(INDEX('CASE MASTER'!$R$2:$R$495,MATCH("Case NIH Plate 10: E9",'CASE MASTER'!$I$2:$I$495,0)),"")</f>
        <v/>
      </c>
      <c r="K115" s="9" t="str">
        <f>IFERROR(INDEX('CASE MASTER'!$R$2:$R$495,MATCH("Case NIH Plate 10: E10",'CASE MASTER'!$I$2:$I$495,0)),"")</f>
        <v/>
      </c>
      <c r="L115" s="9" t="str">
        <f>IFERROR(INDEX('CASE MASTER'!$R$2:$R$495,MATCH("Case NIH Plate 10: E11",'CASE MASTER'!$I$2:$I$495,0)),"")</f>
        <v/>
      </c>
      <c r="M115" s="9" t="str">
        <f>IFERROR(INDEX('CASE MASTER'!$R$2:$R$495,MATCH("Case NIH Plate 10: E12",'CASE MASTER'!$I$2:$I$495,0)),"")</f>
        <v/>
      </c>
    </row>
    <row r="116" spans="1:13" ht="15" customHeight="1" x14ac:dyDescent="0.35">
      <c r="A116" s="8" t="s">
        <v>33</v>
      </c>
      <c r="B116" s="9" t="str">
        <f>IFERROR(INDEX('CASE MASTER'!$R$2:$R$495,MATCH("Case NIH Plate 10: F1",'CASE MASTER'!$I$2:$I$495,0)),"")</f>
        <v/>
      </c>
      <c r="C116" s="9" t="str">
        <f>IFERROR(INDEX('CASE MASTER'!$R$2:$R$495,MATCH("Case NIH Plate 10: F2",'CASE MASTER'!$I$2:$I$495,0)),"")</f>
        <v/>
      </c>
      <c r="D116" s="9" t="str">
        <f>IFERROR(INDEX('CASE MASTER'!$R$2:$R$495,MATCH("Case NIH Plate 10: F3",'CASE MASTER'!$I$2:$I$495,0)),"")</f>
        <v/>
      </c>
      <c r="E116" s="9" t="str">
        <f>IFERROR(INDEX('CASE MASTER'!$R$2:$R$495,MATCH("Case NIH Plate 10: F4",'CASE MASTER'!$I$2:$I$495,0)),"")</f>
        <v/>
      </c>
      <c r="F116" s="9" t="str">
        <f>IFERROR(INDEX('CASE MASTER'!$R$2:$R$495,MATCH("Case NIH Plate 10: F5",'CASE MASTER'!$I$2:$I$495,0)),"")</f>
        <v/>
      </c>
      <c r="G116" s="9" t="str">
        <f>IFERROR(INDEX('CASE MASTER'!$R$2:$R$495,MATCH("Case NIH Plate 10: F6",'CASE MASTER'!$I$2:$I$495,0)),"")</f>
        <v/>
      </c>
      <c r="H116" s="9" t="str">
        <f>IFERROR(INDEX('CASE MASTER'!$R$2:$R$495,MATCH("Case NIH Plate 10: F7",'CASE MASTER'!$I$2:$I$495,0)),"")</f>
        <v/>
      </c>
      <c r="I116" s="9" t="str">
        <f>IFERROR(INDEX('CASE MASTER'!$R$2:$R$495,MATCH("Case NIH Plate 10: F8",'CASE MASTER'!$I$2:$I$495,0)),"")</f>
        <v/>
      </c>
      <c r="J116" s="9" t="str">
        <f>IFERROR(INDEX('CASE MASTER'!$R$2:$R$495,MATCH("Case NIH Plate 10: F9",'CASE MASTER'!$I$2:$I$495,0)),"")</f>
        <v/>
      </c>
      <c r="K116" s="9" t="str">
        <f>IFERROR(INDEX('CASE MASTER'!$R$2:$R$495,MATCH("Case NIH Plate 10: F10",'CASE MASTER'!$I$2:$I$495,0)),"")</f>
        <v/>
      </c>
      <c r="L116" s="9" t="str">
        <f>IFERROR(INDEX('CASE MASTER'!$R$2:$R$495,MATCH("Case NIH Plate 10: F11",'CASE MASTER'!$I$2:$I$495,0)),"")</f>
        <v/>
      </c>
      <c r="M116" s="9" t="str">
        <f>IFERROR(INDEX('CASE MASTER'!$R$2:$R$495,MATCH("Case NIH Plate 10: F12",'CASE MASTER'!$I$2:$I$495,0)),"")</f>
        <v/>
      </c>
    </row>
    <row r="117" spans="1:13" ht="15" customHeight="1" x14ac:dyDescent="0.35">
      <c r="A117" s="8" t="s">
        <v>34</v>
      </c>
      <c r="B117" s="9" t="str">
        <f>IFERROR(INDEX('CASE MASTER'!$R$2:$R$495,MATCH("Case NIH Plate 10: G1",'CASE MASTER'!$I$2:$I$495,0)),"")</f>
        <v/>
      </c>
      <c r="C117" s="9" t="str">
        <f>IFERROR(INDEX('CASE MASTER'!$R$2:$R$495,MATCH("Case NIH Plate 10: G2",'CASE MASTER'!$I$2:$I$495,0)),"")</f>
        <v/>
      </c>
      <c r="D117" s="9" t="str">
        <f>IFERROR(INDEX('CASE MASTER'!$R$2:$R$495,MATCH("Case NIH Plate 10: G3",'CASE MASTER'!$I$2:$I$495,0)),"")</f>
        <v/>
      </c>
      <c r="E117" s="9" t="str">
        <f>IFERROR(INDEX('CASE MASTER'!$R$2:$R$495,MATCH("Case NIH Plate 10: G4",'CASE MASTER'!$I$2:$I$495,0)),"")</f>
        <v/>
      </c>
      <c r="F117" s="9" t="str">
        <f>IFERROR(INDEX('CASE MASTER'!$R$2:$R$495,MATCH("Case NIH Plate 10: G5",'CASE MASTER'!$I$2:$I$495,0)),"")</f>
        <v/>
      </c>
      <c r="G117" s="9" t="str">
        <f>IFERROR(INDEX('CASE MASTER'!$R$2:$R$495,MATCH("Case NIH Plate 10: G6",'CASE MASTER'!$I$2:$I$495,0)),"")</f>
        <v/>
      </c>
      <c r="H117" s="9" t="str">
        <f>IFERROR(INDEX('CASE MASTER'!$R$2:$R$495,MATCH("Case NIH Plate 10: G7",'CASE MASTER'!$I$2:$I$495,0)),"")</f>
        <v/>
      </c>
      <c r="I117" s="9" t="str">
        <f>IFERROR(INDEX('CASE MASTER'!$R$2:$R$495,MATCH("Case NIH Plate 10: G8",'CASE MASTER'!$I$2:$I$495,0)),"")</f>
        <v/>
      </c>
      <c r="J117" s="9" t="str">
        <f>IFERROR(INDEX('CASE MASTER'!$R$2:$R$495,MATCH("Case NIH Plate 10: G9",'CASE MASTER'!$I$2:$I$495,0)),"")</f>
        <v/>
      </c>
      <c r="K117" s="9" t="str">
        <f>IFERROR(INDEX('CASE MASTER'!$R$2:$R$495,MATCH("Case NIH Plate 10: G10",'CASE MASTER'!$I$2:$I$495,0)),"")</f>
        <v/>
      </c>
      <c r="L117" s="9" t="str">
        <f>IFERROR(INDEX('CASE MASTER'!$R$2:$R$495,MATCH("Case NIH Plate 10: G11",'CASE MASTER'!$I$2:$I$495,0)),"")</f>
        <v/>
      </c>
      <c r="M117" s="9" t="str">
        <f>IFERROR(INDEX('CASE MASTER'!$R$2:$R$495,MATCH("Case NIH Plate 10: G12",'CASE MASTER'!$I$2:$I$495,0)),"")</f>
        <v/>
      </c>
    </row>
    <row r="118" spans="1:13" ht="15" customHeight="1" x14ac:dyDescent="0.35">
      <c r="A118" s="8" t="s">
        <v>35</v>
      </c>
      <c r="B118" s="9" t="str">
        <f>IFERROR(INDEX('CASE MASTER'!$R$2:$R$495,MATCH("Case NIH Plate 10: H1",'CASE MASTER'!$I$2:$I$495,0)),"")</f>
        <v/>
      </c>
      <c r="C118" s="9" t="str">
        <f>IFERROR(INDEX('CASE MASTER'!$R$2:$R$495,MATCH("Case NIH Plate 10: H2",'CASE MASTER'!$I$2:$I$495,0)),"")</f>
        <v/>
      </c>
      <c r="D118" s="9" t="str">
        <f>IFERROR(INDEX('CASE MASTER'!$R$2:$R$495,MATCH("Case NIH Plate 10: H3",'CASE MASTER'!$I$2:$I$495,0)),"")</f>
        <v/>
      </c>
      <c r="E118" s="9" t="str">
        <f>IFERROR(INDEX('CASE MASTER'!$R$2:$R$495,MATCH("Case NIH Plate 10: H4",'CASE MASTER'!$I$2:$I$495,0)),"")</f>
        <v/>
      </c>
      <c r="F118" s="9" t="str">
        <f>IFERROR(INDEX('CASE MASTER'!$R$2:$R$495,MATCH("Case NIH Plate 10: H5",'CASE MASTER'!$I$2:$I$495,0)),"")</f>
        <v/>
      </c>
      <c r="G118" s="9" t="str">
        <f>IFERROR(INDEX('CASE MASTER'!$R$2:$R$495,MATCH("Case NIH Plate 10: H6",'CASE MASTER'!$I$2:$I$495,0)),"")</f>
        <v/>
      </c>
      <c r="H118" s="9" t="str">
        <f>IFERROR(INDEX('CASE MASTER'!$R$2:$R$495,MATCH("Case NIH Plate 10: H7",'CASE MASTER'!$I$2:$I$495,0)),"")</f>
        <v/>
      </c>
      <c r="I118" s="9" t="str">
        <f>IFERROR(INDEX('CASE MASTER'!$R$2:$R$495,MATCH("Case NIH Plate 10: H8",'CASE MASTER'!$I$2:$I$495,0)),"")</f>
        <v/>
      </c>
      <c r="J118" s="9" t="str">
        <f>IFERROR(INDEX('CASE MASTER'!$R$2:$R$495,MATCH("Case NIH Plate 10: H9",'CASE MASTER'!$I$2:$I$495,0)),"")</f>
        <v/>
      </c>
      <c r="K118" s="9" t="str">
        <f>IFERROR(INDEX('CASE MASTER'!$R$2:$R$495,MATCH("Case NIH Plate 10: H10",'CASE MASTER'!$I$2:$I$495,0)),"")</f>
        <v/>
      </c>
      <c r="L118" s="9" t="str">
        <f>IFERROR(INDEX('CASE MASTER'!$R$2:$R$495,MATCH("Case NIH Plate 10: H11",'CASE MASTER'!$I$2:$I$495,0)),"")</f>
        <v/>
      </c>
      <c r="M118" s="9" t="str">
        <f>IFERROR(INDEX('CASE MASTER'!$R$2:$R$495,MATCH("Case NIH Plate 10: H12",'CASE MASTER'!$I$2:$I$495,0)),"")</f>
        <v/>
      </c>
    </row>
    <row r="121" spans="1:13" ht="15" customHeight="1" x14ac:dyDescent="0.35">
      <c r="A121" s="12" t="s">
        <v>60</v>
      </c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</row>
    <row r="122" spans="1:13" ht="15" customHeight="1" x14ac:dyDescent="0.35">
      <c r="B122" s="8">
        <v>1</v>
      </c>
      <c r="C122" s="8">
        <v>2</v>
      </c>
      <c r="D122" s="8">
        <v>3</v>
      </c>
      <c r="E122" s="8">
        <v>4</v>
      </c>
      <c r="F122" s="8">
        <v>5</v>
      </c>
      <c r="G122" s="8">
        <v>6</v>
      </c>
      <c r="H122" s="8">
        <v>7</v>
      </c>
      <c r="I122" s="8">
        <v>8</v>
      </c>
      <c r="J122" s="8">
        <v>9</v>
      </c>
      <c r="K122" s="8">
        <v>10</v>
      </c>
      <c r="L122" s="8">
        <v>11</v>
      </c>
      <c r="M122" s="8">
        <v>12</v>
      </c>
    </row>
    <row r="123" spans="1:13" ht="15" customHeight="1" x14ac:dyDescent="0.35">
      <c r="A123" s="8" t="s">
        <v>28</v>
      </c>
      <c r="B123" s="9" t="str">
        <f>IFERROR(INDEX('CASE MASTER'!$R$2:$R$495,MATCH("Case NIH Plate 11: A1",'CASE MASTER'!$I$2:$I$495,0)),"")</f>
        <v/>
      </c>
      <c r="C123" s="9" t="str">
        <f>IFERROR(INDEX('CASE MASTER'!$R$2:$R$495,MATCH("Case NIH Plate 11: A2",'CASE MASTER'!$I$2:$I$495,0)),"")</f>
        <v/>
      </c>
      <c r="D123" s="9" t="str">
        <f>IFERROR(INDEX('CASE MASTER'!$R$2:$R$495,MATCH("Case NIH Plate 11: A3",'CASE MASTER'!$I$2:$I$495,0)),"")</f>
        <v/>
      </c>
      <c r="E123" s="9" t="str">
        <f>IFERROR(INDEX('CASE MASTER'!$R$2:$R$495,MATCH("Case NIH Plate 11: A4",'CASE MASTER'!$I$2:$I$495,0)),"")</f>
        <v/>
      </c>
      <c r="F123" s="9" t="str">
        <f>IFERROR(INDEX('CASE MASTER'!$R$2:$R$495,MATCH("Case NIH Plate 11: A5",'CASE MASTER'!$I$2:$I$495,0)),"")</f>
        <v/>
      </c>
      <c r="G123" s="9" t="str">
        <f>IFERROR(INDEX('CASE MASTER'!$R$2:$R$495,MATCH("Case NIH Plate 11: A6",'CASE MASTER'!$I$2:$I$495,0)),"")</f>
        <v/>
      </c>
      <c r="H123" s="9" t="str">
        <f>IFERROR(INDEX('CASE MASTER'!$R$2:$R$495,MATCH("Case NIH Plate 11: A7",'CASE MASTER'!$I$2:$I$495,0)),"")</f>
        <v/>
      </c>
      <c r="I123" s="9" t="str">
        <f>IFERROR(INDEX('CASE MASTER'!$R$2:$R$495,MATCH("Case NIH Plate 11: A8",'CASE MASTER'!$I$2:$I$495,0)),"")</f>
        <v/>
      </c>
      <c r="J123" s="9" t="str">
        <f>IFERROR(INDEX('CASE MASTER'!$R$2:$R$495,MATCH("Case NIH Plate 11: A9",'CASE MASTER'!$I$2:$I$495,0)),"")</f>
        <v/>
      </c>
      <c r="K123" s="9" t="str">
        <f>IFERROR(INDEX('CASE MASTER'!$R$2:$R$495,MATCH("Case NIH Plate 11: A10",'CASE MASTER'!$I$2:$I$495,0)),"")</f>
        <v/>
      </c>
      <c r="L123" s="9" t="str">
        <f>IFERROR(INDEX('CASE MASTER'!$R$2:$R$495,MATCH("Case NIH Plate 11: A11",'CASE MASTER'!$I$2:$I$495,0)),"")</f>
        <v/>
      </c>
      <c r="M123" s="9" t="str">
        <f>IFERROR(INDEX('CASE MASTER'!$R$2:$R$495,MATCH("Case NIH Plate 11: A12",'CASE MASTER'!$I$2:$I$495,0)),"")</f>
        <v/>
      </c>
    </row>
    <row r="124" spans="1:13" ht="15" customHeight="1" x14ac:dyDescent="0.35">
      <c r="A124" s="8" t="s">
        <v>29</v>
      </c>
      <c r="B124" s="9" t="str">
        <f>IFERROR(INDEX('CASE MASTER'!$R$2:$R$495,MATCH("Case NIH Plate 11: B1",'CASE MASTER'!$I$2:$I$495,0)),"")</f>
        <v/>
      </c>
      <c r="C124" s="9" t="str">
        <f>IFERROR(INDEX('CASE MASTER'!$R$2:$R$495,MATCH("Case NIH Plate 11: B2",'CASE MASTER'!$I$2:$I$495,0)),"")</f>
        <v/>
      </c>
      <c r="D124" s="9" t="str">
        <f>IFERROR(INDEX('CASE MASTER'!$R$2:$R$495,MATCH("Case NIH Plate 11: B3",'CASE MASTER'!$I$2:$I$495,0)),"")</f>
        <v/>
      </c>
      <c r="E124" s="9" t="str">
        <f>IFERROR(INDEX('CASE MASTER'!$R$2:$R$495,MATCH("Case NIH Plate 11: B4",'CASE MASTER'!$I$2:$I$495,0)),"")</f>
        <v/>
      </c>
      <c r="F124" s="9" t="str">
        <f>IFERROR(INDEX('CASE MASTER'!$R$2:$R$495,MATCH("Case NIH Plate 11: B5",'CASE MASTER'!$I$2:$I$495,0)),"")</f>
        <v/>
      </c>
      <c r="G124" s="9" t="str">
        <f>IFERROR(INDEX('CASE MASTER'!$R$2:$R$495,MATCH("Case NIH Plate 11: B6",'CASE MASTER'!$I$2:$I$495,0)),"")</f>
        <v/>
      </c>
      <c r="H124" s="9" t="str">
        <f>IFERROR(INDEX('CASE MASTER'!$R$2:$R$495,MATCH("Case NIH Plate 11: B7",'CASE MASTER'!$I$2:$I$495,0)),"")</f>
        <v/>
      </c>
      <c r="I124" s="9" t="str">
        <f>IFERROR(INDEX('CASE MASTER'!$R$2:$R$495,MATCH("Case NIH Plate 11: B8",'CASE MASTER'!$I$2:$I$495,0)),"")</f>
        <v/>
      </c>
      <c r="J124" s="9" t="str">
        <f>IFERROR(INDEX('CASE MASTER'!$R$2:$R$495,MATCH("Case NIH Plate 11: B9",'CASE MASTER'!$I$2:$I$495,0)),"")</f>
        <v/>
      </c>
      <c r="K124" s="9" t="str">
        <f>IFERROR(INDEX('CASE MASTER'!$R$2:$R$495,MATCH("Case NIH Plate 11: B10",'CASE MASTER'!$I$2:$I$495,0)),"")</f>
        <v/>
      </c>
      <c r="L124" s="9" t="str">
        <f>IFERROR(INDEX('CASE MASTER'!$R$2:$R$495,MATCH("Case NIH Plate 11: B11",'CASE MASTER'!$I$2:$I$495,0)),"")</f>
        <v/>
      </c>
      <c r="M124" s="9" t="str">
        <f>IFERROR(INDEX('CASE MASTER'!$R$2:$R$495,MATCH("Case NIH Plate 11: B12",'CASE MASTER'!$I$2:$I$495,0)),"")</f>
        <v/>
      </c>
    </row>
    <row r="125" spans="1:13" ht="15" customHeight="1" x14ac:dyDescent="0.35">
      <c r="A125" s="8" t="s">
        <v>30</v>
      </c>
      <c r="B125" s="9" t="str">
        <f>IFERROR(INDEX('CASE MASTER'!$R$2:$R$495,MATCH("Case NIH Plate 11: C1",'CASE MASTER'!$I$2:$I$495,0)),"")</f>
        <v/>
      </c>
      <c r="C125" s="9" t="str">
        <f>IFERROR(INDEX('CASE MASTER'!$R$2:$R$495,MATCH("Case NIH Plate 11: C2",'CASE MASTER'!$I$2:$I$495,0)),"")</f>
        <v/>
      </c>
      <c r="D125" s="9" t="str">
        <f>IFERROR(INDEX('CASE MASTER'!$R$2:$R$495,MATCH("Case NIH Plate 11: C3",'CASE MASTER'!$I$2:$I$495,0)),"")</f>
        <v/>
      </c>
      <c r="E125" s="9" t="str">
        <f>IFERROR(INDEX('CASE MASTER'!$R$2:$R$495,MATCH("Case NIH Plate 11: C4",'CASE MASTER'!$I$2:$I$495,0)),"")</f>
        <v/>
      </c>
      <c r="F125" s="9" t="str">
        <f>IFERROR(INDEX('CASE MASTER'!$R$2:$R$495,MATCH("Case NIH Plate 11: C5",'CASE MASTER'!$I$2:$I$495,0)),"")</f>
        <v/>
      </c>
      <c r="G125" s="9" t="str">
        <f>IFERROR(INDEX('CASE MASTER'!$R$2:$R$495,MATCH("Case NIH Plate 11: C6",'CASE MASTER'!$I$2:$I$495,0)),"")</f>
        <v/>
      </c>
      <c r="H125" s="9" t="str">
        <f>IFERROR(INDEX('CASE MASTER'!$R$2:$R$495,MATCH("Case NIH Plate 11: C7",'CASE MASTER'!$I$2:$I$495,0)),"")</f>
        <v/>
      </c>
      <c r="I125" s="9" t="str">
        <f>IFERROR(INDEX('CASE MASTER'!$R$2:$R$495,MATCH("Case NIH Plate 11: C8",'CASE MASTER'!$I$2:$I$495,0)),"")</f>
        <v/>
      </c>
      <c r="J125" s="9" t="str">
        <f>IFERROR(INDEX('CASE MASTER'!$R$2:$R$495,MATCH("Case NIH Plate 11: C9",'CASE MASTER'!$I$2:$I$495,0)),"")</f>
        <v/>
      </c>
      <c r="K125" s="9" t="str">
        <f>IFERROR(INDEX('CASE MASTER'!$R$2:$R$495,MATCH("Case NIH Plate 11: C10",'CASE MASTER'!$I$2:$I$495,0)),"")</f>
        <v/>
      </c>
      <c r="L125" s="9" t="str">
        <f>IFERROR(INDEX('CASE MASTER'!$R$2:$R$495,MATCH("Case NIH Plate 11: C11",'CASE MASTER'!$I$2:$I$495,0)),"")</f>
        <v/>
      </c>
      <c r="M125" s="9" t="str">
        <f>IFERROR(INDEX('CASE MASTER'!$R$2:$R$495,MATCH("Case NIH Plate 11: C12",'CASE MASTER'!$I$2:$I$495,0)),"")</f>
        <v/>
      </c>
    </row>
    <row r="126" spans="1:13" ht="15" customHeight="1" x14ac:dyDescent="0.35">
      <c r="A126" s="8" t="s">
        <v>31</v>
      </c>
      <c r="B126" s="9" t="str">
        <f>IFERROR(INDEX('CASE MASTER'!$R$2:$R$495,MATCH("Case NIH Plate 11: D1",'CASE MASTER'!$I$2:$I$495,0)),"")</f>
        <v/>
      </c>
      <c r="C126" s="9" t="str">
        <f>IFERROR(INDEX('CASE MASTER'!$R$2:$R$495,MATCH("Case NIH Plate 11: D2",'CASE MASTER'!$I$2:$I$495,0)),"")</f>
        <v/>
      </c>
      <c r="D126" s="9" t="str">
        <f>IFERROR(INDEX('CASE MASTER'!$R$2:$R$495,MATCH("Case NIH Plate 11: D3",'CASE MASTER'!$I$2:$I$495,0)),"")</f>
        <v/>
      </c>
      <c r="E126" s="9" t="str">
        <f>IFERROR(INDEX('CASE MASTER'!$R$2:$R$495,MATCH("Case NIH Plate 11: D4",'CASE MASTER'!$I$2:$I$495,0)),"")</f>
        <v/>
      </c>
      <c r="F126" s="9" t="str">
        <f>IFERROR(INDEX('CASE MASTER'!$R$2:$R$495,MATCH("Case NIH Plate 11: D5",'CASE MASTER'!$I$2:$I$495,0)),"")</f>
        <v/>
      </c>
      <c r="G126" s="9" t="str">
        <f>IFERROR(INDEX('CASE MASTER'!$R$2:$R$495,MATCH("Case NIH Plate 11: D6",'CASE MASTER'!$I$2:$I$495,0)),"")</f>
        <v/>
      </c>
      <c r="H126" s="9" t="str">
        <f>IFERROR(INDEX('CASE MASTER'!$R$2:$R$495,MATCH("Case NIH Plate 11: D7",'CASE MASTER'!$I$2:$I$495,0)),"")</f>
        <v/>
      </c>
      <c r="I126" s="9" t="str">
        <f>IFERROR(INDEX('CASE MASTER'!$R$2:$R$495,MATCH("Case NIH Plate 11: D8",'CASE MASTER'!$I$2:$I$495,0)),"")</f>
        <v/>
      </c>
      <c r="J126" s="9" t="str">
        <f>IFERROR(INDEX('CASE MASTER'!$R$2:$R$495,MATCH("Case NIH Plate 11: D9",'CASE MASTER'!$I$2:$I$495,0)),"")</f>
        <v/>
      </c>
      <c r="K126" s="9" t="str">
        <f>IFERROR(INDEX('CASE MASTER'!$R$2:$R$495,MATCH("Case NIH Plate 11: D10",'CASE MASTER'!$I$2:$I$495,0)),"")</f>
        <v/>
      </c>
      <c r="L126" s="9" t="str">
        <f>IFERROR(INDEX('CASE MASTER'!$R$2:$R$495,MATCH("Case NIH Plate 11: D11",'CASE MASTER'!$I$2:$I$495,0)),"")</f>
        <v/>
      </c>
      <c r="M126" s="9" t="str">
        <f>IFERROR(INDEX('CASE MASTER'!$R$2:$R$495,MATCH("Case NIH Plate 11: D12",'CASE MASTER'!$I$2:$I$495,0)),"")</f>
        <v/>
      </c>
    </row>
    <row r="127" spans="1:13" ht="15" customHeight="1" x14ac:dyDescent="0.35">
      <c r="A127" s="8" t="s">
        <v>32</v>
      </c>
      <c r="B127" s="9" t="str">
        <f>IFERROR(INDEX('CASE MASTER'!$R$2:$R$495,MATCH("Case NIH Plate 11: E1",'CASE MASTER'!$I$2:$I$495,0)),"")</f>
        <v/>
      </c>
      <c r="C127" s="9" t="str">
        <f>IFERROR(INDEX('CASE MASTER'!$R$2:$R$495,MATCH("Case NIH Plate 11: E2",'CASE MASTER'!$I$2:$I$495,0)),"")</f>
        <v/>
      </c>
      <c r="D127" s="9" t="str">
        <f>IFERROR(INDEX('CASE MASTER'!$R$2:$R$495,MATCH("Case NIH Plate 11: E3",'CASE MASTER'!$I$2:$I$495,0)),"")</f>
        <v/>
      </c>
      <c r="E127" s="9" t="str">
        <f>IFERROR(INDEX('CASE MASTER'!$R$2:$R$495,MATCH("Case NIH Plate 11: E4",'CASE MASTER'!$I$2:$I$495,0)),"")</f>
        <v/>
      </c>
      <c r="F127" s="9" t="str">
        <f>IFERROR(INDEX('CASE MASTER'!$R$2:$R$495,MATCH("Case NIH Plate 11: E5",'CASE MASTER'!$I$2:$I$495,0)),"")</f>
        <v/>
      </c>
      <c r="G127" s="9" t="str">
        <f>IFERROR(INDEX('CASE MASTER'!$R$2:$R$495,MATCH("Case NIH Plate 11: E6",'CASE MASTER'!$I$2:$I$495,0)),"")</f>
        <v/>
      </c>
      <c r="H127" s="9" t="str">
        <f>IFERROR(INDEX('CASE MASTER'!$R$2:$R$495,MATCH("Case NIH Plate 11: E7",'CASE MASTER'!$I$2:$I$495,0)),"")</f>
        <v/>
      </c>
      <c r="I127" s="9" t="str">
        <f>IFERROR(INDEX('CASE MASTER'!$R$2:$R$495,MATCH("Case NIH Plate 11: E8",'CASE MASTER'!$I$2:$I$495,0)),"")</f>
        <v/>
      </c>
      <c r="J127" s="9" t="str">
        <f>IFERROR(INDEX('CASE MASTER'!$R$2:$R$495,MATCH("Case NIH Plate 11: E9",'CASE MASTER'!$I$2:$I$495,0)),"")</f>
        <v/>
      </c>
      <c r="K127" s="9" t="str">
        <f>IFERROR(INDEX('CASE MASTER'!$R$2:$R$495,MATCH("Case NIH Plate 11: E10",'CASE MASTER'!$I$2:$I$495,0)),"")</f>
        <v/>
      </c>
      <c r="L127" s="9" t="str">
        <f>IFERROR(INDEX('CASE MASTER'!$R$2:$R$495,MATCH("Case NIH Plate 11: E11",'CASE MASTER'!$I$2:$I$495,0)),"")</f>
        <v/>
      </c>
      <c r="M127" s="9" t="str">
        <f>IFERROR(INDEX('CASE MASTER'!$R$2:$R$495,MATCH("Case NIH Plate 11: E12",'CASE MASTER'!$I$2:$I$495,0)),"")</f>
        <v/>
      </c>
    </row>
    <row r="128" spans="1:13" ht="15" customHeight="1" x14ac:dyDescent="0.35">
      <c r="A128" s="8" t="s">
        <v>33</v>
      </c>
      <c r="B128" s="9" t="str">
        <f>IFERROR(INDEX('CASE MASTER'!$R$2:$R$495,MATCH("Case NIH Plate 11: F1",'CASE MASTER'!$I$2:$I$495,0)),"")</f>
        <v/>
      </c>
      <c r="C128" s="9" t="str">
        <f>IFERROR(INDEX('CASE MASTER'!$R$2:$R$495,MATCH("Case NIH Plate 11: F2",'CASE MASTER'!$I$2:$I$495,0)),"")</f>
        <v/>
      </c>
      <c r="D128" s="9" t="str">
        <f>IFERROR(INDEX('CASE MASTER'!$R$2:$R$495,MATCH("Case NIH Plate 11: F3",'CASE MASTER'!$I$2:$I$495,0)),"")</f>
        <v/>
      </c>
      <c r="E128" s="9" t="str">
        <f>IFERROR(INDEX('CASE MASTER'!$R$2:$R$495,MATCH("Case NIH Plate 11: F4",'CASE MASTER'!$I$2:$I$495,0)),"")</f>
        <v/>
      </c>
      <c r="F128" s="9" t="str">
        <f>IFERROR(INDEX('CASE MASTER'!$R$2:$R$495,MATCH("Case NIH Plate 11: F5",'CASE MASTER'!$I$2:$I$495,0)),"")</f>
        <v/>
      </c>
      <c r="G128" s="9" t="str">
        <f>IFERROR(INDEX('CASE MASTER'!$R$2:$R$495,MATCH("Case NIH Plate 11: F6",'CASE MASTER'!$I$2:$I$495,0)),"")</f>
        <v/>
      </c>
      <c r="H128" s="9" t="str">
        <f>IFERROR(INDEX('CASE MASTER'!$R$2:$R$495,MATCH("Case NIH Plate 11: F7",'CASE MASTER'!$I$2:$I$495,0)),"")</f>
        <v/>
      </c>
      <c r="I128" s="9" t="str">
        <f>IFERROR(INDEX('CASE MASTER'!$R$2:$R$495,MATCH("Case NIH Plate 11: F8",'CASE MASTER'!$I$2:$I$495,0)),"")</f>
        <v/>
      </c>
      <c r="J128" s="9" t="str">
        <f>IFERROR(INDEX('CASE MASTER'!$R$2:$R$495,MATCH("Case NIH Plate 11: F9",'CASE MASTER'!$I$2:$I$495,0)),"")</f>
        <v/>
      </c>
      <c r="K128" s="9" t="str">
        <f>IFERROR(INDEX('CASE MASTER'!$R$2:$R$495,MATCH("Case NIH Plate 11: F10",'CASE MASTER'!$I$2:$I$495,0)),"")</f>
        <v/>
      </c>
      <c r="L128" s="9" t="str">
        <f>IFERROR(INDEX('CASE MASTER'!$R$2:$R$495,MATCH("Case NIH Plate 11: F11",'CASE MASTER'!$I$2:$I$495,0)),"")</f>
        <v/>
      </c>
      <c r="M128" s="9" t="str">
        <f>IFERROR(INDEX('CASE MASTER'!$R$2:$R$495,MATCH("Case NIH Plate 11: F12",'CASE MASTER'!$I$2:$I$495,0)),"")</f>
        <v/>
      </c>
    </row>
    <row r="129" spans="1:13" ht="15" customHeight="1" x14ac:dyDescent="0.35">
      <c r="A129" s="8" t="s">
        <v>34</v>
      </c>
      <c r="B129" s="9" t="str">
        <f>IFERROR(INDEX('CASE MASTER'!$R$2:$R$495,MATCH("Case NIH Plate 11: G1",'CASE MASTER'!$I$2:$I$495,0)),"")</f>
        <v/>
      </c>
      <c r="C129" s="9" t="str">
        <f>IFERROR(INDEX('CASE MASTER'!$R$2:$R$495,MATCH("Case NIH Plate 11: G2",'CASE MASTER'!$I$2:$I$495,0)),"")</f>
        <v/>
      </c>
      <c r="D129" s="9" t="str">
        <f>IFERROR(INDEX('CASE MASTER'!$R$2:$R$495,MATCH("Case NIH Plate 11: G3",'CASE MASTER'!$I$2:$I$495,0)),"")</f>
        <v/>
      </c>
      <c r="E129" s="9" t="str">
        <f>IFERROR(INDEX('CASE MASTER'!$R$2:$R$495,MATCH("Case NIH Plate 11: G4",'CASE MASTER'!$I$2:$I$495,0)),"")</f>
        <v/>
      </c>
      <c r="F129" s="9" t="str">
        <f>IFERROR(INDEX('CASE MASTER'!$R$2:$R$495,MATCH("Case NIH Plate 11: G5",'CASE MASTER'!$I$2:$I$495,0)),"")</f>
        <v/>
      </c>
      <c r="G129" s="9" t="str">
        <f>IFERROR(INDEX('CASE MASTER'!$R$2:$R$495,MATCH("Case NIH Plate 11: G6",'CASE MASTER'!$I$2:$I$495,0)),"")</f>
        <v/>
      </c>
      <c r="H129" s="9" t="str">
        <f>IFERROR(INDEX('CASE MASTER'!$R$2:$R$495,MATCH("Case NIH Plate 11: G7",'CASE MASTER'!$I$2:$I$495,0)),"")</f>
        <v/>
      </c>
      <c r="I129" s="9" t="str">
        <f>IFERROR(INDEX('CASE MASTER'!$R$2:$R$495,MATCH("Case NIH Plate 11: G8",'CASE MASTER'!$I$2:$I$495,0)),"")</f>
        <v/>
      </c>
      <c r="J129" s="9" t="str">
        <f>IFERROR(INDEX('CASE MASTER'!$R$2:$R$495,MATCH("Case NIH Plate 11: G9",'CASE MASTER'!$I$2:$I$495,0)),"")</f>
        <v/>
      </c>
      <c r="K129" s="9" t="str">
        <f>IFERROR(INDEX('CASE MASTER'!$R$2:$R$495,MATCH("Case NIH Plate 11: G10",'CASE MASTER'!$I$2:$I$495,0)),"")</f>
        <v/>
      </c>
      <c r="L129" s="9" t="str">
        <f>IFERROR(INDEX('CASE MASTER'!$R$2:$R$495,MATCH("Case NIH Plate 11: G11",'CASE MASTER'!$I$2:$I$495,0)),"")</f>
        <v/>
      </c>
      <c r="M129" s="9" t="str">
        <f>IFERROR(INDEX('CASE MASTER'!$R$2:$R$495,MATCH("Case NIH Plate 11: G12",'CASE MASTER'!$I$2:$I$495,0)),"")</f>
        <v/>
      </c>
    </row>
    <row r="130" spans="1:13" ht="15" customHeight="1" x14ac:dyDescent="0.35">
      <c r="A130" s="8" t="s">
        <v>35</v>
      </c>
      <c r="B130" s="9" t="str">
        <f>IFERROR(INDEX('CASE MASTER'!$R$2:$R$495,MATCH("Case NIH Plate 11: H1",'CASE MASTER'!$I$2:$I$495,0)),"")</f>
        <v/>
      </c>
      <c r="C130" s="9" t="str">
        <f>IFERROR(INDEX('CASE MASTER'!$R$2:$R$495,MATCH("Case NIH Plate 11: H2",'CASE MASTER'!$I$2:$I$495,0)),"")</f>
        <v/>
      </c>
      <c r="D130" s="9" t="str">
        <f>IFERROR(INDEX('CASE MASTER'!$R$2:$R$495,MATCH("Case NIH Plate 11: H3",'CASE MASTER'!$I$2:$I$495,0)),"")</f>
        <v/>
      </c>
      <c r="E130" s="9" t="str">
        <f>IFERROR(INDEX('CASE MASTER'!$R$2:$R$495,MATCH("Case NIH Plate 11: H4",'CASE MASTER'!$I$2:$I$495,0)),"")</f>
        <v/>
      </c>
      <c r="F130" s="9" t="str">
        <f>IFERROR(INDEX('CASE MASTER'!$R$2:$R$495,MATCH("Case NIH Plate 11: H5",'CASE MASTER'!$I$2:$I$495,0)),"")</f>
        <v/>
      </c>
      <c r="G130" s="9" t="str">
        <f>IFERROR(INDEX('CASE MASTER'!$R$2:$R$495,MATCH("Case NIH Plate 11: H6",'CASE MASTER'!$I$2:$I$495,0)),"")</f>
        <v/>
      </c>
      <c r="H130" s="9" t="str">
        <f>IFERROR(INDEX('CASE MASTER'!$R$2:$R$495,MATCH("Case NIH Plate 11: H7",'CASE MASTER'!$I$2:$I$495,0)),"")</f>
        <v/>
      </c>
      <c r="I130" s="9" t="str">
        <f>IFERROR(INDEX('CASE MASTER'!$R$2:$R$495,MATCH("Case NIH Plate 11: H8",'CASE MASTER'!$I$2:$I$495,0)),"")</f>
        <v/>
      </c>
      <c r="J130" s="9" t="str">
        <f>IFERROR(INDEX('CASE MASTER'!$R$2:$R$495,MATCH("Case NIH Plate 11: H9",'CASE MASTER'!$I$2:$I$495,0)),"")</f>
        <v/>
      </c>
      <c r="K130" s="9" t="str">
        <f>IFERROR(INDEX('CASE MASTER'!$R$2:$R$495,MATCH("Case NIH Plate 11: H10",'CASE MASTER'!$I$2:$I$495,0)),"")</f>
        <v/>
      </c>
      <c r="L130" s="9" t="str">
        <f>IFERROR(INDEX('CASE MASTER'!$R$2:$R$495,MATCH("Case NIH Plate 11: H11",'CASE MASTER'!$I$2:$I$495,0)),"")</f>
        <v/>
      </c>
      <c r="M130" s="9" t="str">
        <f>IFERROR(INDEX('CASE MASTER'!$R$2:$R$495,MATCH("Case NIH Plate 11: H12",'CASE MASTER'!$I$2:$I$495,0)),"")</f>
        <v/>
      </c>
    </row>
    <row r="133" spans="1:13" ht="15" customHeight="1" x14ac:dyDescent="0.35">
      <c r="A133" s="12" t="s">
        <v>61</v>
      </c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</row>
    <row r="134" spans="1:13" ht="15" customHeight="1" x14ac:dyDescent="0.35">
      <c r="B134" s="8">
        <v>1</v>
      </c>
      <c r="C134" s="8">
        <v>2</v>
      </c>
      <c r="D134" s="8">
        <v>3</v>
      </c>
      <c r="E134" s="8">
        <v>4</v>
      </c>
      <c r="F134" s="8">
        <v>5</v>
      </c>
      <c r="G134" s="8">
        <v>6</v>
      </c>
      <c r="H134" s="8">
        <v>7</v>
      </c>
      <c r="I134" s="8">
        <v>8</v>
      </c>
      <c r="J134" s="8">
        <v>9</v>
      </c>
      <c r="K134" s="8">
        <v>10</v>
      </c>
      <c r="L134" s="8">
        <v>11</v>
      </c>
      <c r="M134" s="8">
        <v>12</v>
      </c>
    </row>
    <row r="135" spans="1:13" ht="15" customHeight="1" x14ac:dyDescent="0.35">
      <c r="A135" s="8" t="s">
        <v>28</v>
      </c>
      <c r="B135" s="9" t="str">
        <f>IFERROR(INDEX('CASE MASTER'!$R$2:$R$495,MATCH("Case NIH Plate 12: A1",'CASE MASTER'!$I$2:$I$495,0)),"")</f>
        <v/>
      </c>
      <c r="C135" s="9" t="str">
        <f>IFERROR(INDEX('CASE MASTER'!$R$2:$R$495,MATCH("Case NIH Plate 12: A2",'CASE MASTER'!$I$2:$I$495,0)),"")</f>
        <v/>
      </c>
      <c r="D135" s="9" t="str">
        <f>IFERROR(INDEX('CASE MASTER'!$R$2:$R$495,MATCH("Case NIH Plate 12: A3",'CASE MASTER'!$I$2:$I$495,0)),"")</f>
        <v/>
      </c>
      <c r="E135" s="9" t="str">
        <f>IFERROR(INDEX('CASE MASTER'!$R$2:$R$495,MATCH("Case NIH Plate 12: A4",'CASE MASTER'!$I$2:$I$495,0)),"")</f>
        <v/>
      </c>
      <c r="F135" s="9" t="str">
        <f>IFERROR(INDEX('CASE MASTER'!$R$2:$R$495,MATCH("Case NIH Plate 12: A5",'CASE MASTER'!$I$2:$I$495,0)),"")</f>
        <v/>
      </c>
      <c r="G135" s="9" t="str">
        <f>IFERROR(INDEX('CASE MASTER'!$R$2:$R$495,MATCH("Case NIH Plate 12: A6",'CASE MASTER'!$I$2:$I$495,0)),"")</f>
        <v/>
      </c>
      <c r="H135" s="9" t="str">
        <f>IFERROR(INDEX('CASE MASTER'!$R$2:$R$495,MATCH("Case NIH Plate 12: A7",'CASE MASTER'!$I$2:$I$495,0)),"")</f>
        <v/>
      </c>
      <c r="I135" s="9" t="str">
        <f>IFERROR(INDEX('CASE MASTER'!$R$2:$R$495,MATCH("Case NIH Plate 12: A8",'CASE MASTER'!$I$2:$I$495,0)),"")</f>
        <v/>
      </c>
      <c r="J135" s="9" t="str">
        <f>IFERROR(INDEX('CASE MASTER'!$R$2:$R$495,MATCH("Case NIH Plate 12: A9",'CASE MASTER'!$I$2:$I$495,0)),"")</f>
        <v/>
      </c>
      <c r="K135" s="9" t="str">
        <f>IFERROR(INDEX('CASE MASTER'!$R$2:$R$495,MATCH("Case NIH Plate 12: A10",'CASE MASTER'!$I$2:$I$495,0)),"")</f>
        <v/>
      </c>
      <c r="L135" s="9" t="str">
        <f>IFERROR(INDEX('CASE MASTER'!$R$2:$R$495,MATCH("Case NIH Plate 12: A11",'CASE MASTER'!$I$2:$I$495,0)),"")</f>
        <v/>
      </c>
      <c r="M135" s="9" t="str">
        <f>IFERROR(INDEX('CASE MASTER'!$R$2:$R$495,MATCH("Case NIH Plate 12: A12",'CASE MASTER'!$I$2:$I$495,0)),"")</f>
        <v/>
      </c>
    </row>
    <row r="136" spans="1:13" ht="15" customHeight="1" x14ac:dyDescent="0.35">
      <c r="A136" s="8" t="s">
        <v>29</v>
      </c>
      <c r="B136" s="9" t="str">
        <f>IFERROR(INDEX('CASE MASTER'!$R$2:$R$495,MATCH("Case NIH Plate 12: B1",'CASE MASTER'!$I$2:$I$495,0)),"")</f>
        <v/>
      </c>
      <c r="C136" s="9" t="str">
        <f>IFERROR(INDEX('CASE MASTER'!$R$2:$R$495,MATCH("Case NIH Plate 12: B2",'CASE MASTER'!$I$2:$I$495,0)),"")</f>
        <v/>
      </c>
      <c r="D136" s="9" t="str">
        <f>IFERROR(INDEX('CASE MASTER'!$R$2:$R$495,MATCH("Case NIH Plate 12: B3",'CASE MASTER'!$I$2:$I$495,0)),"")</f>
        <v/>
      </c>
      <c r="E136" s="9" t="str">
        <f>IFERROR(INDEX('CASE MASTER'!$R$2:$R$495,MATCH("Case NIH Plate 12: B4",'CASE MASTER'!$I$2:$I$495,0)),"")</f>
        <v/>
      </c>
      <c r="F136" s="9" t="str">
        <f>IFERROR(INDEX('CASE MASTER'!$R$2:$R$495,MATCH("Case NIH Plate 12: B5",'CASE MASTER'!$I$2:$I$495,0)),"")</f>
        <v/>
      </c>
      <c r="G136" s="9" t="str">
        <f>IFERROR(INDEX('CASE MASTER'!$R$2:$R$495,MATCH("Case NIH Plate 12: B6",'CASE MASTER'!$I$2:$I$495,0)),"")</f>
        <v/>
      </c>
      <c r="H136" s="9" t="str">
        <f>IFERROR(INDEX('CASE MASTER'!$R$2:$R$495,MATCH("Case NIH Plate 12: B7",'CASE MASTER'!$I$2:$I$495,0)),"")</f>
        <v/>
      </c>
      <c r="I136" s="9" t="str">
        <f>IFERROR(INDEX('CASE MASTER'!$R$2:$R$495,MATCH("Case NIH Plate 12: B8",'CASE MASTER'!$I$2:$I$495,0)),"")</f>
        <v/>
      </c>
      <c r="J136" s="9" t="str">
        <f>IFERROR(INDEX('CASE MASTER'!$R$2:$R$495,MATCH("Case NIH Plate 12: B9",'CASE MASTER'!$I$2:$I$495,0)),"")</f>
        <v/>
      </c>
      <c r="K136" s="9" t="str">
        <f>IFERROR(INDEX('CASE MASTER'!$R$2:$R$495,MATCH("Case NIH Plate 12: B10",'CASE MASTER'!$I$2:$I$495,0)),"")</f>
        <v/>
      </c>
      <c r="L136" s="9" t="str">
        <f>IFERROR(INDEX('CASE MASTER'!$R$2:$R$495,MATCH("Case NIH Plate 12: B11",'CASE MASTER'!$I$2:$I$495,0)),"")</f>
        <v/>
      </c>
      <c r="M136" s="9" t="str">
        <f>IFERROR(INDEX('CASE MASTER'!$R$2:$R$495,MATCH("Case NIH Plate 12: B12",'CASE MASTER'!$I$2:$I$495,0)),"")</f>
        <v/>
      </c>
    </row>
    <row r="137" spans="1:13" ht="15" customHeight="1" x14ac:dyDescent="0.35">
      <c r="A137" s="8" t="s">
        <v>30</v>
      </c>
      <c r="B137" s="9" t="str">
        <f>IFERROR(INDEX('CASE MASTER'!$R$2:$R$495,MATCH("Case NIH Plate 12: C1",'CASE MASTER'!$I$2:$I$495,0)),"")</f>
        <v/>
      </c>
      <c r="C137" s="9" t="str">
        <f>IFERROR(INDEX('CASE MASTER'!$R$2:$R$495,MATCH("Case NIH Plate 12: C2",'CASE MASTER'!$I$2:$I$495,0)),"")</f>
        <v/>
      </c>
      <c r="D137" s="9" t="str">
        <f>IFERROR(INDEX('CASE MASTER'!$R$2:$R$495,MATCH("Case NIH Plate 12: C3",'CASE MASTER'!$I$2:$I$495,0)),"")</f>
        <v/>
      </c>
      <c r="E137" s="9" t="str">
        <f>IFERROR(INDEX('CASE MASTER'!$R$2:$R$495,MATCH("Case NIH Plate 12: C4",'CASE MASTER'!$I$2:$I$495,0)),"")</f>
        <v/>
      </c>
      <c r="F137" s="9" t="str">
        <f>IFERROR(INDEX('CASE MASTER'!$R$2:$R$495,MATCH("Case NIH Plate 12: C5",'CASE MASTER'!$I$2:$I$495,0)),"")</f>
        <v/>
      </c>
      <c r="G137" s="9" t="str">
        <f>IFERROR(INDEX('CASE MASTER'!$R$2:$R$495,MATCH("Case NIH Plate 12: C6",'CASE MASTER'!$I$2:$I$495,0)),"")</f>
        <v/>
      </c>
      <c r="H137" s="9" t="str">
        <f>IFERROR(INDEX('CASE MASTER'!$R$2:$R$495,MATCH("Case NIH Plate 12: C7",'CASE MASTER'!$I$2:$I$495,0)),"")</f>
        <v/>
      </c>
      <c r="I137" s="9" t="str">
        <f>IFERROR(INDEX('CASE MASTER'!$R$2:$R$495,MATCH("Case NIH Plate 12: C8",'CASE MASTER'!$I$2:$I$495,0)),"")</f>
        <v/>
      </c>
      <c r="J137" s="9" t="str">
        <f>IFERROR(INDEX('CASE MASTER'!$R$2:$R$495,MATCH("Case NIH Plate 12: C9",'CASE MASTER'!$I$2:$I$495,0)),"")</f>
        <v/>
      </c>
      <c r="K137" s="9" t="str">
        <f>IFERROR(INDEX('CASE MASTER'!$R$2:$R$495,MATCH("Case NIH Plate 12: C10",'CASE MASTER'!$I$2:$I$495,0)),"")</f>
        <v/>
      </c>
      <c r="L137" s="9" t="str">
        <f>IFERROR(INDEX('CASE MASTER'!$R$2:$R$495,MATCH("Case NIH Plate 12: C11",'CASE MASTER'!$I$2:$I$495,0)),"")</f>
        <v/>
      </c>
      <c r="M137" s="9" t="str">
        <f>IFERROR(INDEX('CASE MASTER'!$R$2:$R$495,MATCH("Case NIH Plate 12: C12",'CASE MASTER'!$I$2:$I$495,0)),"")</f>
        <v/>
      </c>
    </row>
    <row r="138" spans="1:13" ht="15" customHeight="1" x14ac:dyDescent="0.35">
      <c r="A138" s="8" t="s">
        <v>31</v>
      </c>
      <c r="B138" s="9" t="str">
        <f>IFERROR(INDEX('CASE MASTER'!$R$2:$R$495,MATCH("Case NIH Plate 12: D1",'CASE MASTER'!$I$2:$I$495,0)),"")</f>
        <v/>
      </c>
      <c r="C138" s="9" t="str">
        <f>IFERROR(INDEX('CASE MASTER'!$R$2:$R$495,MATCH("Case NIH Plate 12: D2",'CASE MASTER'!$I$2:$I$495,0)),"")</f>
        <v/>
      </c>
      <c r="D138" s="9" t="str">
        <f>IFERROR(INDEX('CASE MASTER'!$R$2:$R$495,MATCH("Case NIH Plate 12: D3",'CASE MASTER'!$I$2:$I$495,0)),"")</f>
        <v/>
      </c>
      <c r="E138" s="9" t="str">
        <f>IFERROR(INDEX('CASE MASTER'!$R$2:$R$495,MATCH("Case NIH Plate 12: D4",'CASE MASTER'!$I$2:$I$495,0)),"")</f>
        <v/>
      </c>
      <c r="F138" s="9" t="str">
        <f>IFERROR(INDEX('CASE MASTER'!$R$2:$R$495,MATCH("Case NIH Plate 12: D5",'CASE MASTER'!$I$2:$I$495,0)),"")</f>
        <v/>
      </c>
      <c r="G138" s="9" t="str">
        <f>IFERROR(INDEX('CASE MASTER'!$R$2:$R$495,MATCH("Case NIH Plate 12: D6",'CASE MASTER'!$I$2:$I$495,0)),"")</f>
        <v/>
      </c>
      <c r="H138" s="9" t="str">
        <f>IFERROR(INDEX('CASE MASTER'!$R$2:$R$495,MATCH("Case NIH Plate 12: D7",'CASE MASTER'!$I$2:$I$495,0)),"")</f>
        <v/>
      </c>
      <c r="I138" s="9" t="str">
        <f>IFERROR(INDEX('CASE MASTER'!$R$2:$R$495,MATCH("Case NIH Plate 12: D8",'CASE MASTER'!$I$2:$I$495,0)),"")</f>
        <v/>
      </c>
      <c r="J138" s="9" t="str">
        <f>IFERROR(INDEX('CASE MASTER'!$R$2:$R$495,MATCH("Case NIH Plate 12: D9",'CASE MASTER'!$I$2:$I$495,0)),"")</f>
        <v/>
      </c>
      <c r="K138" s="9" t="str">
        <f>IFERROR(INDEX('CASE MASTER'!$R$2:$R$495,MATCH("Case NIH Plate 12: D10",'CASE MASTER'!$I$2:$I$495,0)),"")</f>
        <v/>
      </c>
      <c r="L138" s="9" t="str">
        <f>IFERROR(INDEX('CASE MASTER'!$R$2:$R$495,MATCH("Case NIH Plate 12: D11",'CASE MASTER'!$I$2:$I$495,0)),"")</f>
        <v/>
      </c>
      <c r="M138" s="9" t="str">
        <f>IFERROR(INDEX('CASE MASTER'!$R$2:$R$495,MATCH("Case NIH Plate 12: D12",'CASE MASTER'!$I$2:$I$495,0)),"")</f>
        <v/>
      </c>
    </row>
    <row r="139" spans="1:13" ht="15" customHeight="1" x14ac:dyDescent="0.35">
      <c r="A139" s="8" t="s">
        <v>32</v>
      </c>
      <c r="B139" s="9" t="str">
        <f>IFERROR(INDEX('CASE MASTER'!$R$2:$R$495,MATCH("Case NIH Plate 12: E1",'CASE MASTER'!$I$2:$I$495,0)),"")</f>
        <v/>
      </c>
      <c r="C139" s="9" t="str">
        <f>IFERROR(INDEX('CASE MASTER'!$R$2:$R$495,MATCH("Case NIH Plate 12: E2",'CASE MASTER'!$I$2:$I$495,0)),"")</f>
        <v/>
      </c>
      <c r="D139" s="9" t="str">
        <f>IFERROR(INDEX('CASE MASTER'!$R$2:$R$495,MATCH("Case NIH Plate 12: E3",'CASE MASTER'!$I$2:$I$495,0)),"")</f>
        <v/>
      </c>
      <c r="E139" s="9" t="str">
        <f>IFERROR(INDEX('CASE MASTER'!$R$2:$R$495,MATCH("Case NIH Plate 12: E4",'CASE MASTER'!$I$2:$I$495,0)),"")</f>
        <v/>
      </c>
      <c r="F139" s="9" t="str">
        <f>IFERROR(INDEX('CASE MASTER'!$R$2:$R$495,MATCH("Case NIH Plate 12: E5",'CASE MASTER'!$I$2:$I$495,0)),"")</f>
        <v/>
      </c>
      <c r="G139" s="9" t="str">
        <f>IFERROR(INDEX('CASE MASTER'!$R$2:$R$495,MATCH("Case NIH Plate 12: E6",'CASE MASTER'!$I$2:$I$495,0)),"")</f>
        <v/>
      </c>
      <c r="H139" s="9" t="str">
        <f>IFERROR(INDEX('CASE MASTER'!$R$2:$R$495,MATCH("Case NIH Plate 12: E7",'CASE MASTER'!$I$2:$I$495,0)),"")</f>
        <v/>
      </c>
      <c r="I139" s="9" t="str">
        <f>IFERROR(INDEX('CASE MASTER'!$R$2:$R$495,MATCH("Case NIH Plate 12: E8",'CASE MASTER'!$I$2:$I$495,0)),"")</f>
        <v/>
      </c>
      <c r="J139" s="9" t="str">
        <f>IFERROR(INDEX('CASE MASTER'!$R$2:$R$495,MATCH("Case NIH Plate 12: E9",'CASE MASTER'!$I$2:$I$495,0)),"")</f>
        <v/>
      </c>
      <c r="K139" s="9" t="str">
        <f>IFERROR(INDEX('CASE MASTER'!$R$2:$R$495,MATCH("Case NIH Plate 12: E10",'CASE MASTER'!$I$2:$I$495,0)),"")</f>
        <v/>
      </c>
      <c r="L139" s="9" t="str">
        <f>IFERROR(INDEX('CASE MASTER'!$R$2:$R$495,MATCH("Case NIH Plate 12: E11",'CASE MASTER'!$I$2:$I$495,0)),"")</f>
        <v/>
      </c>
      <c r="M139" s="9" t="str">
        <f>IFERROR(INDEX('CASE MASTER'!$R$2:$R$495,MATCH("Case NIH Plate 12: E12",'CASE MASTER'!$I$2:$I$495,0)),"")</f>
        <v/>
      </c>
    </row>
    <row r="140" spans="1:13" ht="15" customHeight="1" x14ac:dyDescent="0.35">
      <c r="A140" s="8" t="s">
        <v>33</v>
      </c>
      <c r="B140" s="9" t="str">
        <f>IFERROR(INDEX('CASE MASTER'!$R$2:$R$495,MATCH("Case NIH Plate 12: F1",'CASE MASTER'!$I$2:$I$495,0)),"")</f>
        <v/>
      </c>
      <c r="C140" s="9" t="str">
        <f>IFERROR(INDEX('CASE MASTER'!$R$2:$R$495,MATCH("Case NIH Plate 12: F2",'CASE MASTER'!$I$2:$I$495,0)),"")</f>
        <v/>
      </c>
      <c r="D140" s="9" t="str">
        <f>IFERROR(INDEX('CASE MASTER'!$R$2:$R$495,MATCH("Case NIH Plate 12: F3",'CASE MASTER'!$I$2:$I$495,0)),"")</f>
        <v/>
      </c>
      <c r="E140" s="9" t="str">
        <f>IFERROR(INDEX('CASE MASTER'!$R$2:$R$495,MATCH("Case NIH Plate 12: F4",'CASE MASTER'!$I$2:$I$495,0)),"")</f>
        <v/>
      </c>
      <c r="F140" s="9" t="str">
        <f>IFERROR(INDEX('CASE MASTER'!$R$2:$R$495,MATCH("Case NIH Plate 12: F5",'CASE MASTER'!$I$2:$I$495,0)),"")</f>
        <v/>
      </c>
      <c r="G140" s="9" t="str">
        <f>IFERROR(INDEX('CASE MASTER'!$R$2:$R$495,MATCH("Case NIH Plate 12: F6",'CASE MASTER'!$I$2:$I$495,0)),"")</f>
        <v/>
      </c>
      <c r="H140" s="9" t="str">
        <f>IFERROR(INDEX('CASE MASTER'!$R$2:$R$495,MATCH("Case NIH Plate 12: F7",'CASE MASTER'!$I$2:$I$495,0)),"")</f>
        <v/>
      </c>
      <c r="I140" s="9" t="str">
        <f>IFERROR(INDEX('CASE MASTER'!$R$2:$R$495,MATCH("Case NIH Plate 12: F8",'CASE MASTER'!$I$2:$I$495,0)),"")</f>
        <v/>
      </c>
      <c r="J140" s="9" t="str">
        <f>IFERROR(INDEX('CASE MASTER'!$R$2:$R$495,MATCH("Case NIH Plate 12: F9",'CASE MASTER'!$I$2:$I$495,0)),"")</f>
        <v/>
      </c>
      <c r="K140" s="9" t="str">
        <f>IFERROR(INDEX('CASE MASTER'!$R$2:$R$495,MATCH("Case NIH Plate 12: F10",'CASE MASTER'!$I$2:$I$495,0)),"")</f>
        <v/>
      </c>
      <c r="L140" s="9" t="str">
        <f>IFERROR(INDEX('CASE MASTER'!$R$2:$R$495,MATCH("Case NIH Plate 12: F11",'CASE MASTER'!$I$2:$I$495,0)),"")</f>
        <v/>
      </c>
      <c r="M140" s="9" t="str">
        <f>IFERROR(INDEX('CASE MASTER'!$R$2:$R$495,MATCH("Case NIH Plate 12: F12",'CASE MASTER'!$I$2:$I$495,0)),"")</f>
        <v/>
      </c>
    </row>
    <row r="141" spans="1:13" ht="15" customHeight="1" x14ac:dyDescent="0.35">
      <c r="A141" s="8" t="s">
        <v>34</v>
      </c>
      <c r="B141" s="9" t="str">
        <f>IFERROR(INDEX('CASE MASTER'!$R$2:$R$495,MATCH("Case NIH Plate 12: G1",'CASE MASTER'!$I$2:$I$495,0)),"")</f>
        <v/>
      </c>
      <c r="C141" s="9" t="str">
        <f>IFERROR(INDEX('CASE MASTER'!$R$2:$R$495,MATCH("Case NIH Plate 12: G2",'CASE MASTER'!$I$2:$I$495,0)),"")</f>
        <v/>
      </c>
      <c r="D141" s="9" t="str">
        <f>IFERROR(INDEX('CASE MASTER'!$R$2:$R$495,MATCH("Case NIH Plate 12: G3",'CASE MASTER'!$I$2:$I$495,0)),"")</f>
        <v/>
      </c>
      <c r="E141" s="9" t="str">
        <f>IFERROR(INDEX('CASE MASTER'!$R$2:$R$495,MATCH("Case NIH Plate 12: G4",'CASE MASTER'!$I$2:$I$495,0)),"")</f>
        <v/>
      </c>
      <c r="F141" s="9" t="str">
        <f>IFERROR(INDEX('CASE MASTER'!$R$2:$R$495,MATCH("Case NIH Plate 12: G5",'CASE MASTER'!$I$2:$I$495,0)),"")</f>
        <v/>
      </c>
      <c r="G141" s="9" t="str">
        <f>IFERROR(INDEX('CASE MASTER'!$R$2:$R$495,MATCH("Case NIH Plate 12: G6",'CASE MASTER'!$I$2:$I$495,0)),"")</f>
        <v/>
      </c>
      <c r="H141" s="9" t="str">
        <f>IFERROR(INDEX('CASE MASTER'!$R$2:$R$495,MATCH("Case NIH Plate 12: G7",'CASE MASTER'!$I$2:$I$495,0)),"")</f>
        <v/>
      </c>
      <c r="I141" s="9" t="str">
        <f>IFERROR(INDEX('CASE MASTER'!$R$2:$R$495,MATCH("Case NIH Plate 12: G8",'CASE MASTER'!$I$2:$I$495,0)),"")</f>
        <v/>
      </c>
      <c r="J141" s="9" t="str">
        <f>IFERROR(INDEX('CASE MASTER'!$R$2:$R$495,MATCH("Case NIH Plate 12: G9",'CASE MASTER'!$I$2:$I$495,0)),"")</f>
        <v/>
      </c>
      <c r="K141" s="9" t="str">
        <f>IFERROR(INDEX('CASE MASTER'!$R$2:$R$495,MATCH("Case NIH Plate 12: G10",'CASE MASTER'!$I$2:$I$495,0)),"")</f>
        <v/>
      </c>
      <c r="L141" s="9" t="str">
        <f>IFERROR(INDEX('CASE MASTER'!$R$2:$R$495,MATCH("Case NIH Plate 12: G11",'CASE MASTER'!$I$2:$I$495,0)),"")</f>
        <v/>
      </c>
      <c r="M141" s="9" t="str">
        <f>IFERROR(INDEX('CASE MASTER'!$R$2:$R$495,MATCH("Case NIH Plate 12: G12",'CASE MASTER'!$I$2:$I$495,0)),"")</f>
        <v/>
      </c>
    </row>
    <row r="142" spans="1:13" ht="15" customHeight="1" x14ac:dyDescent="0.35">
      <c r="A142" s="8" t="s">
        <v>35</v>
      </c>
      <c r="B142" s="9" t="str">
        <f>IFERROR(INDEX('CASE MASTER'!$R$2:$R$495,MATCH("Case NIH Plate 12: H1",'CASE MASTER'!$I$2:$I$495,0)),"")</f>
        <v/>
      </c>
      <c r="C142" s="9" t="str">
        <f>IFERROR(INDEX('CASE MASTER'!$R$2:$R$495,MATCH("Case NIH Plate 12: H2",'CASE MASTER'!$I$2:$I$495,0)),"")</f>
        <v/>
      </c>
      <c r="D142" s="9" t="str">
        <f>IFERROR(INDEX('CASE MASTER'!$R$2:$R$495,MATCH("Case NIH Plate 12: H3",'CASE MASTER'!$I$2:$I$495,0)),"")</f>
        <v/>
      </c>
      <c r="E142" s="9" t="str">
        <f>IFERROR(INDEX('CASE MASTER'!$R$2:$R$495,MATCH("Case NIH Plate 12: H4",'CASE MASTER'!$I$2:$I$495,0)),"")</f>
        <v/>
      </c>
      <c r="F142" s="9" t="str">
        <f>IFERROR(INDEX('CASE MASTER'!$R$2:$R$495,MATCH("Case NIH Plate 12: H5",'CASE MASTER'!$I$2:$I$495,0)),"")</f>
        <v/>
      </c>
      <c r="G142" s="9" t="str">
        <f>IFERROR(INDEX('CASE MASTER'!$R$2:$R$495,MATCH("Case NIH Plate 12: H6",'CASE MASTER'!$I$2:$I$495,0)),"")</f>
        <v/>
      </c>
      <c r="H142" s="9" t="str">
        <f>IFERROR(INDEX('CASE MASTER'!$R$2:$R$495,MATCH("Case NIH Plate 12: H7",'CASE MASTER'!$I$2:$I$495,0)),"")</f>
        <v/>
      </c>
      <c r="I142" s="9" t="str">
        <f>IFERROR(INDEX('CASE MASTER'!$R$2:$R$495,MATCH("Case NIH Plate 12: H8",'CASE MASTER'!$I$2:$I$495,0)),"")</f>
        <v/>
      </c>
      <c r="J142" s="9" t="str">
        <f>IFERROR(INDEX('CASE MASTER'!$R$2:$R$495,MATCH("Case NIH Plate 12: H9",'CASE MASTER'!$I$2:$I$495,0)),"")</f>
        <v/>
      </c>
      <c r="K142" s="9" t="str">
        <f>IFERROR(INDEX('CASE MASTER'!$R$2:$R$495,MATCH("Case NIH Plate 12: H10",'CASE MASTER'!$I$2:$I$495,0)),"")</f>
        <v/>
      </c>
      <c r="L142" s="9" t="str">
        <f>IFERROR(INDEX('CASE MASTER'!$R$2:$R$495,MATCH("Case NIH Plate 12: H11",'CASE MASTER'!$I$2:$I$495,0)),"")</f>
        <v/>
      </c>
      <c r="M142" s="9" t="str">
        <f>IFERROR(INDEX('CASE MASTER'!$R$2:$R$495,MATCH("Case NIH Plate 12: H12",'CASE MASTER'!$I$2:$I$495,0)),"")</f>
        <v/>
      </c>
    </row>
    <row r="145" spans="1:13" ht="15" customHeight="1" x14ac:dyDescent="0.35">
      <c r="A145" s="12" t="s">
        <v>62</v>
      </c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</row>
    <row r="146" spans="1:13" ht="15" customHeight="1" x14ac:dyDescent="0.35">
      <c r="B146" s="8">
        <v>1</v>
      </c>
      <c r="C146" s="8">
        <v>2</v>
      </c>
      <c r="D146" s="8">
        <v>3</v>
      </c>
      <c r="E146" s="8">
        <v>4</v>
      </c>
      <c r="F146" s="8">
        <v>5</v>
      </c>
      <c r="G146" s="8">
        <v>6</v>
      </c>
      <c r="H146" s="8">
        <v>7</v>
      </c>
      <c r="I146" s="8">
        <v>8</v>
      </c>
      <c r="J146" s="8">
        <v>9</v>
      </c>
      <c r="K146" s="8">
        <v>10</v>
      </c>
      <c r="L146" s="8">
        <v>11</v>
      </c>
      <c r="M146" s="8">
        <v>12</v>
      </c>
    </row>
    <row r="147" spans="1:13" ht="15" customHeight="1" x14ac:dyDescent="0.35">
      <c r="A147" s="8" t="s">
        <v>28</v>
      </c>
      <c r="B147" s="9" t="str">
        <f>IFERROR(INDEX('CASE MASTER'!$R$2:$R$495,MATCH("Case NIH Plate 13: A1",'CASE MASTER'!$I$2:$I$495,0)),"")</f>
        <v/>
      </c>
      <c r="C147" s="9" t="str">
        <f>IFERROR(INDEX('CASE MASTER'!$R$2:$R$495,MATCH("Case NIH Plate 13: A2",'CASE MASTER'!$I$2:$I$495,0)),"")</f>
        <v/>
      </c>
      <c r="D147" s="9" t="str">
        <f>IFERROR(INDEX('CASE MASTER'!$R$2:$R$495,MATCH("Case NIH Plate 13: A3",'CASE MASTER'!$I$2:$I$495,0)),"")</f>
        <v/>
      </c>
      <c r="E147" s="9" t="str">
        <f>IFERROR(INDEX('CASE MASTER'!$R$2:$R$495,MATCH("Case NIH Plate 13: A4",'CASE MASTER'!$I$2:$I$495,0)),"")</f>
        <v/>
      </c>
      <c r="F147" s="9" t="str">
        <f>IFERROR(INDEX('CASE MASTER'!$R$2:$R$495,MATCH("Case NIH Plate 13: A5",'CASE MASTER'!$I$2:$I$495,0)),"")</f>
        <v/>
      </c>
      <c r="G147" s="9" t="str">
        <f>IFERROR(INDEX('CASE MASTER'!$R$2:$R$495,MATCH("Case NIH Plate 13: A6",'CASE MASTER'!$I$2:$I$495,0)),"")</f>
        <v/>
      </c>
      <c r="H147" s="9" t="str">
        <f>IFERROR(INDEX('CASE MASTER'!$R$2:$R$495,MATCH("Case NIH Plate 13: A7",'CASE MASTER'!$I$2:$I$495,0)),"")</f>
        <v/>
      </c>
      <c r="I147" s="9" t="str">
        <f>IFERROR(INDEX('CASE MASTER'!$R$2:$R$495,MATCH("Case NIH Plate 13: A8",'CASE MASTER'!$I$2:$I$495,0)),"")</f>
        <v/>
      </c>
      <c r="J147" s="9" t="str">
        <f>IFERROR(INDEX('CASE MASTER'!$R$2:$R$495,MATCH("Case NIH Plate 13: A9",'CASE MASTER'!$I$2:$I$495,0)),"")</f>
        <v/>
      </c>
      <c r="K147" s="9" t="str">
        <f>IFERROR(INDEX('CASE MASTER'!$R$2:$R$495,MATCH("Case NIH Plate 13: A10",'CASE MASTER'!$I$2:$I$495,0)),"")</f>
        <v/>
      </c>
      <c r="L147" s="9" t="str">
        <f>IFERROR(INDEX('CASE MASTER'!$R$2:$R$495,MATCH("Case NIH Plate 13: A11",'CASE MASTER'!$I$2:$I$495,0)),"")</f>
        <v/>
      </c>
      <c r="M147" s="9" t="str">
        <f>IFERROR(INDEX('CASE MASTER'!$R$2:$R$495,MATCH("Case NIH Plate 13: A12",'CASE MASTER'!$I$2:$I$495,0)),"")</f>
        <v/>
      </c>
    </row>
    <row r="148" spans="1:13" ht="15" customHeight="1" x14ac:dyDescent="0.35">
      <c r="A148" s="8" t="s">
        <v>29</v>
      </c>
      <c r="B148" s="9" t="str">
        <f>IFERROR(INDEX('CASE MASTER'!$R$2:$R$495,MATCH("Case NIH Plate 13: B1",'CASE MASTER'!$I$2:$I$495,0)),"")</f>
        <v/>
      </c>
      <c r="C148" s="9" t="str">
        <f>IFERROR(INDEX('CASE MASTER'!$R$2:$R$495,MATCH("Case NIH Plate 13: B2",'CASE MASTER'!$I$2:$I$495,0)),"")</f>
        <v/>
      </c>
      <c r="D148" s="9" t="str">
        <f>IFERROR(INDEX('CASE MASTER'!$R$2:$R$495,MATCH("Case NIH Plate 13: B3",'CASE MASTER'!$I$2:$I$495,0)),"")</f>
        <v/>
      </c>
      <c r="E148" s="9" t="str">
        <f>IFERROR(INDEX('CASE MASTER'!$R$2:$R$495,MATCH("Case NIH Plate 13: B4",'CASE MASTER'!$I$2:$I$495,0)),"")</f>
        <v/>
      </c>
      <c r="F148" s="9" t="str">
        <f>IFERROR(INDEX('CASE MASTER'!$R$2:$R$495,MATCH("Case NIH Plate 13: B5",'CASE MASTER'!$I$2:$I$495,0)),"")</f>
        <v/>
      </c>
      <c r="G148" s="9" t="str">
        <f>IFERROR(INDEX('CASE MASTER'!$R$2:$R$495,MATCH("Case NIH Plate 13: B6",'CASE MASTER'!$I$2:$I$495,0)),"")</f>
        <v/>
      </c>
      <c r="H148" s="9" t="str">
        <f>IFERROR(INDEX('CASE MASTER'!$R$2:$R$495,MATCH("Case NIH Plate 13: B7",'CASE MASTER'!$I$2:$I$495,0)),"")</f>
        <v/>
      </c>
      <c r="I148" s="9" t="str">
        <f>IFERROR(INDEX('CASE MASTER'!$R$2:$R$495,MATCH("Case NIH Plate 13: B8",'CASE MASTER'!$I$2:$I$495,0)),"")</f>
        <v/>
      </c>
      <c r="J148" s="9" t="str">
        <f>IFERROR(INDEX('CASE MASTER'!$R$2:$R$495,MATCH("Case NIH Plate 13: B9",'CASE MASTER'!$I$2:$I$495,0)),"")</f>
        <v/>
      </c>
      <c r="K148" s="9" t="str">
        <f>IFERROR(INDEX('CASE MASTER'!$R$2:$R$495,MATCH("Case NIH Plate 13: B10",'CASE MASTER'!$I$2:$I$495,0)),"")</f>
        <v/>
      </c>
      <c r="L148" s="9" t="str">
        <f>IFERROR(INDEX('CASE MASTER'!$R$2:$R$495,MATCH("Case NIH Plate 13: B11",'CASE MASTER'!$I$2:$I$495,0)),"")</f>
        <v/>
      </c>
      <c r="M148" s="9" t="str">
        <f>IFERROR(INDEX('CASE MASTER'!$R$2:$R$495,MATCH("Case NIH Plate 13: B12",'CASE MASTER'!$I$2:$I$495,0)),"")</f>
        <v/>
      </c>
    </row>
    <row r="149" spans="1:13" ht="15" customHeight="1" x14ac:dyDescent="0.35">
      <c r="A149" s="8" t="s">
        <v>30</v>
      </c>
      <c r="B149" s="9" t="str">
        <f>IFERROR(INDEX('CASE MASTER'!$R$2:$R$495,MATCH("Case NIH Plate 13: C1",'CASE MASTER'!$I$2:$I$495,0)),"")</f>
        <v/>
      </c>
      <c r="C149" s="9" t="str">
        <f>IFERROR(INDEX('CASE MASTER'!$R$2:$R$495,MATCH("Case NIH Plate 13: C2",'CASE MASTER'!$I$2:$I$495,0)),"")</f>
        <v/>
      </c>
      <c r="D149" s="9" t="str">
        <f>IFERROR(INDEX('CASE MASTER'!$R$2:$R$495,MATCH("Case NIH Plate 13: C3",'CASE MASTER'!$I$2:$I$495,0)),"")</f>
        <v/>
      </c>
      <c r="E149" s="9" t="str">
        <f>IFERROR(INDEX('CASE MASTER'!$R$2:$R$495,MATCH("Case NIH Plate 13: C4",'CASE MASTER'!$I$2:$I$495,0)),"")</f>
        <v/>
      </c>
      <c r="F149" s="9" t="str">
        <f>IFERROR(INDEX('CASE MASTER'!$R$2:$R$495,MATCH("Case NIH Plate 13: C5",'CASE MASTER'!$I$2:$I$495,0)),"")</f>
        <v/>
      </c>
      <c r="G149" s="9" t="str">
        <f>IFERROR(INDEX('CASE MASTER'!$R$2:$R$495,MATCH("Case NIH Plate 13: C6",'CASE MASTER'!$I$2:$I$495,0)),"")</f>
        <v/>
      </c>
      <c r="H149" s="9" t="str">
        <f>IFERROR(INDEX('CASE MASTER'!$R$2:$R$495,MATCH("Case NIH Plate 13: C7",'CASE MASTER'!$I$2:$I$495,0)),"")</f>
        <v/>
      </c>
      <c r="I149" s="9" t="str">
        <f>IFERROR(INDEX('CASE MASTER'!$R$2:$R$495,MATCH("Case NIH Plate 13: C8",'CASE MASTER'!$I$2:$I$495,0)),"")</f>
        <v/>
      </c>
      <c r="J149" s="9" t="str">
        <f>IFERROR(INDEX('CASE MASTER'!$R$2:$R$495,MATCH("Case NIH Plate 13: C9",'CASE MASTER'!$I$2:$I$495,0)),"")</f>
        <v/>
      </c>
      <c r="K149" s="9" t="str">
        <f>IFERROR(INDEX('CASE MASTER'!$R$2:$R$495,MATCH("Case NIH Plate 13: C10",'CASE MASTER'!$I$2:$I$495,0)),"")</f>
        <v/>
      </c>
      <c r="L149" s="9" t="str">
        <f>IFERROR(INDEX('CASE MASTER'!$R$2:$R$495,MATCH("Case NIH Plate 13: C11",'CASE MASTER'!$I$2:$I$495,0)),"")</f>
        <v/>
      </c>
      <c r="M149" s="9" t="str">
        <f>IFERROR(INDEX('CASE MASTER'!$R$2:$R$495,MATCH("Case NIH Plate 13: C12",'CASE MASTER'!$I$2:$I$495,0)),"")</f>
        <v/>
      </c>
    </row>
    <row r="150" spans="1:13" ht="15" customHeight="1" x14ac:dyDescent="0.35">
      <c r="A150" s="8" t="s">
        <v>31</v>
      </c>
      <c r="B150" s="9" t="str">
        <f>IFERROR(INDEX('CASE MASTER'!$R$2:$R$495,MATCH("Case NIH Plate 13: D1",'CASE MASTER'!$I$2:$I$495,0)),"")</f>
        <v/>
      </c>
      <c r="C150" s="9" t="str">
        <f>IFERROR(INDEX('CASE MASTER'!$R$2:$R$495,MATCH("Case NIH Plate 13: D2",'CASE MASTER'!$I$2:$I$495,0)),"")</f>
        <v/>
      </c>
      <c r="D150" s="9" t="str">
        <f>IFERROR(INDEX('CASE MASTER'!$R$2:$R$495,MATCH("Case NIH Plate 13: D3",'CASE MASTER'!$I$2:$I$495,0)),"")</f>
        <v/>
      </c>
      <c r="E150" s="9" t="str">
        <f>IFERROR(INDEX('CASE MASTER'!$R$2:$R$495,MATCH("Case NIH Plate 13: D4",'CASE MASTER'!$I$2:$I$495,0)),"")</f>
        <v/>
      </c>
      <c r="F150" s="9" t="str">
        <f>IFERROR(INDEX('CASE MASTER'!$R$2:$R$495,MATCH("Case NIH Plate 13: D5",'CASE MASTER'!$I$2:$I$495,0)),"")</f>
        <v/>
      </c>
      <c r="G150" s="9" t="str">
        <f>IFERROR(INDEX('CASE MASTER'!$R$2:$R$495,MATCH("Case NIH Plate 13: D6",'CASE MASTER'!$I$2:$I$495,0)),"")</f>
        <v/>
      </c>
      <c r="H150" s="9" t="str">
        <f>IFERROR(INDEX('CASE MASTER'!$R$2:$R$495,MATCH("Case NIH Plate 13: D7",'CASE MASTER'!$I$2:$I$495,0)),"")</f>
        <v/>
      </c>
      <c r="I150" s="9" t="str">
        <f>IFERROR(INDEX('CASE MASTER'!$R$2:$R$495,MATCH("Case NIH Plate 13: D8",'CASE MASTER'!$I$2:$I$495,0)),"")</f>
        <v/>
      </c>
      <c r="J150" s="9" t="str">
        <f>IFERROR(INDEX('CASE MASTER'!$R$2:$R$495,MATCH("Case NIH Plate 13: D9",'CASE MASTER'!$I$2:$I$495,0)),"")</f>
        <v/>
      </c>
      <c r="K150" s="9" t="str">
        <f>IFERROR(INDEX('CASE MASTER'!$R$2:$R$495,MATCH("Case NIH Plate 13: D10",'CASE MASTER'!$I$2:$I$495,0)),"")</f>
        <v/>
      </c>
      <c r="L150" s="9" t="str">
        <f>IFERROR(INDEX('CASE MASTER'!$R$2:$R$495,MATCH("Case NIH Plate 13: D11",'CASE MASTER'!$I$2:$I$495,0)),"")</f>
        <v/>
      </c>
      <c r="M150" s="9" t="str">
        <f>IFERROR(INDEX('CASE MASTER'!$R$2:$R$495,MATCH("Case NIH Plate 13: D12",'CASE MASTER'!$I$2:$I$495,0)),"")</f>
        <v/>
      </c>
    </row>
    <row r="151" spans="1:13" ht="15" customHeight="1" x14ac:dyDescent="0.35">
      <c r="A151" s="8" t="s">
        <v>32</v>
      </c>
      <c r="B151" s="9" t="str">
        <f>IFERROR(INDEX('CASE MASTER'!$R$2:$R$495,MATCH("Case NIH Plate 13: E1",'CASE MASTER'!$I$2:$I$495,0)),"")</f>
        <v/>
      </c>
      <c r="C151" s="9" t="str">
        <f>IFERROR(INDEX('CASE MASTER'!$R$2:$R$495,MATCH("Case NIH Plate 13: E2",'CASE MASTER'!$I$2:$I$495,0)),"")</f>
        <v/>
      </c>
      <c r="D151" s="9" t="str">
        <f>IFERROR(INDEX('CASE MASTER'!$R$2:$R$495,MATCH("Case NIH Plate 13: E3",'CASE MASTER'!$I$2:$I$495,0)),"")</f>
        <v/>
      </c>
      <c r="E151" s="9" t="str">
        <f>IFERROR(INDEX('CASE MASTER'!$R$2:$R$495,MATCH("Case NIH Plate 13: E4",'CASE MASTER'!$I$2:$I$495,0)),"")</f>
        <v/>
      </c>
      <c r="F151" s="9" t="str">
        <f>IFERROR(INDEX('CASE MASTER'!$R$2:$R$495,MATCH("Case NIH Plate 13: E5",'CASE MASTER'!$I$2:$I$495,0)),"")</f>
        <v/>
      </c>
      <c r="G151" s="9" t="str">
        <f>IFERROR(INDEX('CASE MASTER'!$R$2:$R$495,MATCH("Case NIH Plate 13: E6",'CASE MASTER'!$I$2:$I$495,0)),"")</f>
        <v/>
      </c>
      <c r="H151" s="9" t="str">
        <f>IFERROR(INDEX('CASE MASTER'!$R$2:$R$495,MATCH("Case NIH Plate 13: E7",'CASE MASTER'!$I$2:$I$495,0)),"")</f>
        <v/>
      </c>
      <c r="I151" s="9" t="str">
        <f>IFERROR(INDEX('CASE MASTER'!$R$2:$R$495,MATCH("Case NIH Plate 13: E8",'CASE MASTER'!$I$2:$I$495,0)),"")</f>
        <v/>
      </c>
      <c r="J151" s="9" t="str">
        <f>IFERROR(INDEX('CASE MASTER'!$R$2:$R$495,MATCH("Case NIH Plate 13: E9",'CASE MASTER'!$I$2:$I$495,0)),"")</f>
        <v/>
      </c>
      <c r="K151" s="9" t="str">
        <f>IFERROR(INDEX('CASE MASTER'!$R$2:$R$495,MATCH("Case NIH Plate 13: E10",'CASE MASTER'!$I$2:$I$495,0)),"")</f>
        <v/>
      </c>
      <c r="L151" s="9" t="str">
        <f>IFERROR(INDEX('CASE MASTER'!$R$2:$R$495,MATCH("Case NIH Plate 13: E11",'CASE MASTER'!$I$2:$I$495,0)),"")</f>
        <v/>
      </c>
      <c r="M151" s="9" t="str">
        <f>IFERROR(INDEX('CASE MASTER'!$R$2:$R$495,MATCH("Case NIH Plate 13: E12",'CASE MASTER'!$I$2:$I$495,0)),"")</f>
        <v/>
      </c>
    </row>
    <row r="152" spans="1:13" ht="15" customHeight="1" x14ac:dyDescent="0.35">
      <c r="A152" s="8" t="s">
        <v>33</v>
      </c>
      <c r="B152" s="9" t="str">
        <f>IFERROR(INDEX('CASE MASTER'!$R$2:$R$495,MATCH("Case NIH Plate 13: F1",'CASE MASTER'!$I$2:$I$495,0)),"")</f>
        <v/>
      </c>
      <c r="C152" s="9" t="str">
        <f>IFERROR(INDEX('CASE MASTER'!$R$2:$R$495,MATCH("Case NIH Plate 13: F2",'CASE MASTER'!$I$2:$I$495,0)),"")</f>
        <v/>
      </c>
      <c r="D152" s="9" t="str">
        <f>IFERROR(INDEX('CASE MASTER'!$R$2:$R$495,MATCH("Case NIH Plate 13: F3",'CASE MASTER'!$I$2:$I$495,0)),"")</f>
        <v/>
      </c>
      <c r="E152" s="9" t="str">
        <f>IFERROR(INDEX('CASE MASTER'!$R$2:$R$495,MATCH("Case NIH Plate 13: F4",'CASE MASTER'!$I$2:$I$495,0)),"")</f>
        <v/>
      </c>
      <c r="F152" s="9" t="str">
        <f>IFERROR(INDEX('CASE MASTER'!$R$2:$R$495,MATCH("Case NIH Plate 13: F5",'CASE MASTER'!$I$2:$I$495,0)),"")</f>
        <v/>
      </c>
      <c r="G152" s="9" t="str">
        <f>IFERROR(INDEX('CASE MASTER'!$R$2:$R$495,MATCH("Case NIH Plate 13: F6",'CASE MASTER'!$I$2:$I$495,0)),"")</f>
        <v/>
      </c>
      <c r="H152" s="9" t="str">
        <f>IFERROR(INDEX('CASE MASTER'!$R$2:$R$495,MATCH("Case NIH Plate 13: F7",'CASE MASTER'!$I$2:$I$495,0)),"")</f>
        <v/>
      </c>
      <c r="I152" s="9" t="str">
        <f>IFERROR(INDEX('CASE MASTER'!$R$2:$R$495,MATCH("Case NIH Plate 13: F8",'CASE MASTER'!$I$2:$I$495,0)),"")</f>
        <v/>
      </c>
      <c r="J152" s="9" t="str">
        <f>IFERROR(INDEX('CASE MASTER'!$R$2:$R$495,MATCH("Case NIH Plate 13: F9",'CASE MASTER'!$I$2:$I$495,0)),"")</f>
        <v/>
      </c>
      <c r="K152" s="9" t="str">
        <f>IFERROR(INDEX('CASE MASTER'!$R$2:$R$495,MATCH("Case NIH Plate 13: F10",'CASE MASTER'!$I$2:$I$495,0)),"")</f>
        <v/>
      </c>
      <c r="L152" s="9" t="str">
        <f>IFERROR(INDEX('CASE MASTER'!$R$2:$R$495,MATCH("Case NIH Plate 13: F11",'CASE MASTER'!$I$2:$I$495,0)),"")</f>
        <v/>
      </c>
      <c r="M152" s="9" t="str">
        <f>IFERROR(INDEX('CASE MASTER'!$R$2:$R$495,MATCH("Case NIH Plate 13: F12",'CASE MASTER'!$I$2:$I$495,0)),"")</f>
        <v/>
      </c>
    </row>
    <row r="153" spans="1:13" ht="15" customHeight="1" x14ac:dyDescent="0.35">
      <c r="A153" s="8" t="s">
        <v>34</v>
      </c>
      <c r="B153" s="9" t="str">
        <f>IFERROR(INDEX('CASE MASTER'!$R$2:$R$495,MATCH("Case NIH Plate 13: G1",'CASE MASTER'!$I$2:$I$495,0)),"")</f>
        <v/>
      </c>
      <c r="C153" s="9" t="str">
        <f>IFERROR(INDEX('CASE MASTER'!$R$2:$R$495,MATCH("Case NIH Plate 13: G2",'CASE MASTER'!$I$2:$I$495,0)),"")</f>
        <v/>
      </c>
      <c r="D153" s="9" t="str">
        <f>IFERROR(INDEX('CASE MASTER'!$R$2:$R$495,MATCH("Case NIH Plate 13: G3",'CASE MASTER'!$I$2:$I$495,0)),"")</f>
        <v/>
      </c>
      <c r="E153" s="9" t="str">
        <f>IFERROR(INDEX('CASE MASTER'!$R$2:$R$495,MATCH("Case NIH Plate 13: G4",'CASE MASTER'!$I$2:$I$495,0)),"")</f>
        <v/>
      </c>
      <c r="F153" s="9" t="str">
        <f>IFERROR(INDEX('CASE MASTER'!$R$2:$R$495,MATCH("Case NIH Plate 13: G5",'CASE MASTER'!$I$2:$I$495,0)),"")</f>
        <v/>
      </c>
      <c r="G153" s="9" t="str">
        <f>IFERROR(INDEX('CASE MASTER'!$R$2:$R$495,MATCH("Case NIH Plate 13: G6",'CASE MASTER'!$I$2:$I$495,0)),"")</f>
        <v/>
      </c>
      <c r="H153" s="9" t="str">
        <f>IFERROR(INDEX('CASE MASTER'!$R$2:$R$495,MATCH("Case NIH Plate 13: G7",'CASE MASTER'!$I$2:$I$495,0)),"")</f>
        <v/>
      </c>
      <c r="I153" s="9" t="str">
        <f>IFERROR(INDEX('CASE MASTER'!$R$2:$R$495,MATCH("Case NIH Plate 13: G8",'CASE MASTER'!$I$2:$I$495,0)),"")</f>
        <v/>
      </c>
      <c r="J153" s="9" t="str">
        <f>IFERROR(INDEX('CASE MASTER'!$R$2:$R$495,MATCH("Case NIH Plate 13: G9",'CASE MASTER'!$I$2:$I$495,0)),"")</f>
        <v/>
      </c>
      <c r="K153" s="9" t="str">
        <f>IFERROR(INDEX('CASE MASTER'!$R$2:$R$495,MATCH("Case NIH Plate 13: G10",'CASE MASTER'!$I$2:$I$495,0)),"")</f>
        <v/>
      </c>
      <c r="L153" s="9" t="str">
        <f>IFERROR(INDEX('CASE MASTER'!$R$2:$R$495,MATCH("Case NIH Plate 13: G11",'CASE MASTER'!$I$2:$I$495,0)),"")</f>
        <v/>
      </c>
      <c r="M153" s="9" t="str">
        <f>IFERROR(INDEX('CASE MASTER'!$R$2:$R$495,MATCH("Case NIH Plate 13: G12",'CASE MASTER'!$I$2:$I$495,0)),"")</f>
        <v/>
      </c>
    </row>
    <row r="154" spans="1:13" ht="15" customHeight="1" x14ac:dyDescent="0.35">
      <c r="A154" s="8" t="s">
        <v>35</v>
      </c>
      <c r="B154" s="9" t="str">
        <f>IFERROR(INDEX('CASE MASTER'!$R$2:$R$495,MATCH("Case NIH Plate 13: H1",'CASE MASTER'!$I$2:$I$495,0)),"")</f>
        <v/>
      </c>
      <c r="C154" s="9" t="str">
        <f>IFERROR(INDEX('CASE MASTER'!$R$2:$R$495,MATCH("Case NIH Plate 13: H2",'CASE MASTER'!$I$2:$I$495,0)),"")</f>
        <v/>
      </c>
      <c r="D154" s="9" t="str">
        <f>IFERROR(INDEX('CASE MASTER'!$R$2:$R$495,MATCH("Case NIH Plate 13: H3",'CASE MASTER'!$I$2:$I$495,0)),"")</f>
        <v/>
      </c>
      <c r="E154" s="9" t="str">
        <f>IFERROR(INDEX('CASE MASTER'!$R$2:$R$495,MATCH("Case NIH Plate 13: H4",'CASE MASTER'!$I$2:$I$495,0)),"")</f>
        <v/>
      </c>
      <c r="F154" s="9" t="str">
        <f>IFERROR(INDEX('CASE MASTER'!$R$2:$R$495,MATCH("Case NIH Plate 13: H5",'CASE MASTER'!$I$2:$I$495,0)),"")</f>
        <v/>
      </c>
      <c r="G154" s="9" t="str">
        <f>IFERROR(INDEX('CASE MASTER'!$R$2:$R$495,MATCH("Case NIH Plate 13: H6",'CASE MASTER'!$I$2:$I$495,0)),"")</f>
        <v/>
      </c>
      <c r="H154" s="9" t="str">
        <f>IFERROR(INDEX('CASE MASTER'!$R$2:$R$495,MATCH("Case NIH Plate 13: H7",'CASE MASTER'!$I$2:$I$495,0)),"")</f>
        <v/>
      </c>
      <c r="I154" s="9" t="str">
        <f>IFERROR(INDEX('CASE MASTER'!$R$2:$R$495,MATCH("Case NIH Plate 13: H8",'CASE MASTER'!$I$2:$I$495,0)),"")</f>
        <v/>
      </c>
      <c r="J154" s="9" t="str">
        <f>IFERROR(INDEX('CASE MASTER'!$R$2:$R$495,MATCH("Case NIH Plate 13: H9",'CASE MASTER'!$I$2:$I$495,0)),"")</f>
        <v/>
      </c>
      <c r="K154" s="9" t="str">
        <f>IFERROR(INDEX('CASE MASTER'!$R$2:$R$495,MATCH("Case NIH Plate 13: H10",'CASE MASTER'!$I$2:$I$495,0)),"")</f>
        <v/>
      </c>
      <c r="L154" s="9" t="str">
        <f>IFERROR(INDEX('CASE MASTER'!$R$2:$R$495,MATCH("Case NIH Plate 13: H11",'CASE MASTER'!$I$2:$I$495,0)),"")</f>
        <v/>
      </c>
      <c r="M154" s="9" t="str">
        <f>IFERROR(INDEX('CASE MASTER'!$R$2:$R$495,MATCH("Case NIH Plate 13: H12",'CASE MASTER'!$I$2:$I$495,0)),"")</f>
        <v/>
      </c>
    </row>
    <row r="157" spans="1:13" ht="15" customHeight="1" x14ac:dyDescent="0.35">
      <c r="A157" s="12" t="s">
        <v>63</v>
      </c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</row>
    <row r="158" spans="1:13" ht="15" customHeight="1" x14ac:dyDescent="0.35">
      <c r="B158" s="8">
        <v>1</v>
      </c>
      <c r="C158" s="8">
        <v>2</v>
      </c>
      <c r="D158" s="8">
        <v>3</v>
      </c>
      <c r="E158" s="8">
        <v>4</v>
      </c>
      <c r="F158" s="8">
        <v>5</v>
      </c>
      <c r="G158" s="8">
        <v>6</v>
      </c>
      <c r="H158" s="8">
        <v>7</v>
      </c>
      <c r="I158" s="8">
        <v>8</v>
      </c>
      <c r="J158" s="8">
        <v>9</v>
      </c>
      <c r="K158" s="8">
        <v>10</v>
      </c>
      <c r="L158" s="8">
        <v>11</v>
      </c>
      <c r="M158" s="8">
        <v>12</v>
      </c>
    </row>
    <row r="159" spans="1:13" ht="15" customHeight="1" x14ac:dyDescent="0.35">
      <c r="A159" s="8" t="s">
        <v>28</v>
      </c>
      <c r="B159" s="9" t="str">
        <f>IFERROR(INDEX('CASE MASTER'!$R$2:$R$495,MATCH("Case NIH Plate 14: A1",'CASE MASTER'!$I$2:$I$495,0)),"")</f>
        <v/>
      </c>
      <c r="C159" s="9" t="str">
        <f>IFERROR(INDEX('CASE MASTER'!$R$2:$R$495,MATCH("Case NIH Plate 14: A2",'CASE MASTER'!$I$2:$I$495,0)),"")</f>
        <v/>
      </c>
      <c r="D159" s="9" t="str">
        <f>IFERROR(INDEX('CASE MASTER'!$R$2:$R$495,MATCH("Case NIH Plate 14: A3",'CASE MASTER'!$I$2:$I$495,0)),"")</f>
        <v/>
      </c>
      <c r="E159" s="9" t="str">
        <f>IFERROR(INDEX('CASE MASTER'!$R$2:$R$495,MATCH("Case NIH Plate 14: A4",'CASE MASTER'!$I$2:$I$495,0)),"")</f>
        <v/>
      </c>
      <c r="F159" s="9" t="str">
        <f>IFERROR(INDEX('CASE MASTER'!$R$2:$R$495,MATCH("Case NIH Plate 14: A5",'CASE MASTER'!$I$2:$I$495,0)),"")</f>
        <v/>
      </c>
      <c r="G159" s="9" t="str">
        <f>IFERROR(INDEX('CASE MASTER'!$R$2:$R$495,MATCH("Case NIH Plate 14: A6",'CASE MASTER'!$I$2:$I$495,0)),"")</f>
        <v/>
      </c>
      <c r="H159" s="9" t="str">
        <f>IFERROR(INDEX('CASE MASTER'!$R$2:$R$495,MATCH("Case NIH Plate 14: A7",'CASE MASTER'!$I$2:$I$495,0)),"")</f>
        <v/>
      </c>
      <c r="I159" s="9" t="str">
        <f>IFERROR(INDEX('CASE MASTER'!$R$2:$R$495,MATCH("Case NIH Plate 14: A8",'CASE MASTER'!$I$2:$I$495,0)),"")</f>
        <v/>
      </c>
      <c r="J159" s="9" t="str">
        <f>IFERROR(INDEX('CASE MASTER'!$R$2:$R$495,MATCH("Case NIH Plate 14: A9",'CASE MASTER'!$I$2:$I$495,0)),"")</f>
        <v/>
      </c>
      <c r="K159" s="9" t="str">
        <f>IFERROR(INDEX('CASE MASTER'!$R$2:$R$495,MATCH("Case NIH Plate 14: A10",'CASE MASTER'!$I$2:$I$495,0)),"")</f>
        <v/>
      </c>
      <c r="L159" s="9" t="str">
        <f>IFERROR(INDEX('CASE MASTER'!$R$2:$R$495,MATCH("Case NIH Plate 14: A11",'CASE MASTER'!$I$2:$I$495,0)),"")</f>
        <v/>
      </c>
      <c r="M159" s="9" t="str">
        <f>IFERROR(INDEX('CASE MASTER'!$R$2:$R$495,MATCH("Case NIH Plate 14: A12",'CASE MASTER'!$I$2:$I$495,0)),"")</f>
        <v/>
      </c>
    </row>
    <row r="160" spans="1:13" ht="15" customHeight="1" x14ac:dyDescent="0.35">
      <c r="A160" s="8" t="s">
        <v>29</v>
      </c>
      <c r="B160" s="9" t="str">
        <f>IFERROR(INDEX('CASE MASTER'!$R$2:$R$495,MATCH("Case NIH Plate 14: B1",'CASE MASTER'!$I$2:$I$495,0)),"")</f>
        <v/>
      </c>
      <c r="C160" s="9" t="str">
        <f>IFERROR(INDEX('CASE MASTER'!$R$2:$R$495,MATCH("Case NIH Plate 14: B2",'CASE MASTER'!$I$2:$I$495,0)),"")</f>
        <v/>
      </c>
      <c r="D160" s="9" t="str">
        <f>IFERROR(INDEX('CASE MASTER'!$R$2:$R$495,MATCH("Case NIH Plate 14: B3",'CASE MASTER'!$I$2:$I$495,0)),"")</f>
        <v/>
      </c>
      <c r="E160" s="9" t="str">
        <f>IFERROR(INDEX('CASE MASTER'!$R$2:$R$495,MATCH("Case NIH Plate 14: B4",'CASE MASTER'!$I$2:$I$495,0)),"")</f>
        <v/>
      </c>
      <c r="F160" s="9" t="str">
        <f>IFERROR(INDEX('CASE MASTER'!$R$2:$R$495,MATCH("Case NIH Plate 14: B5",'CASE MASTER'!$I$2:$I$495,0)),"")</f>
        <v/>
      </c>
      <c r="G160" s="9" t="str">
        <f>IFERROR(INDEX('CASE MASTER'!$R$2:$R$495,MATCH("Case NIH Plate 14: B6",'CASE MASTER'!$I$2:$I$495,0)),"")</f>
        <v/>
      </c>
      <c r="H160" s="9" t="str">
        <f>IFERROR(INDEX('CASE MASTER'!$R$2:$R$495,MATCH("Case NIH Plate 14: B7",'CASE MASTER'!$I$2:$I$495,0)),"")</f>
        <v/>
      </c>
      <c r="I160" s="9" t="str">
        <f>IFERROR(INDEX('CASE MASTER'!$R$2:$R$495,MATCH("Case NIH Plate 14: B8",'CASE MASTER'!$I$2:$I$495,0)),"")</f>
        <v/>
      </c>
      <c r="J160" s="9" t="str">
        <f>IFERROR(INDEX('CASE MASTER'!$R$2:$R$495,MATCH("Case NIH Plate 14: B9",'CASE MASTER'!$I$2:$I$495,0)),"")</f>
        <v/>
      </c>
      <c r="K160" s="9" t="str">
        <f>IFERROR(INDEX('CASE MASTER'!$R$2:$R$495,MATCH("Case NIH Plate 14: B10",'CASE MASTER'!$I$2:$I$495,0)),"")</f>
        <v/>
      </c>
      <c r="L160" s="9" t="str">
        <f>IFERROR(INDEX('CASE MASTER'!$R$2:$R$495,MATCH("Case NIH Plate 14: B11",'CASE MASTER'!$I$2:$I$495,0)),"")</f>
        <v/>
      </c>
      <c r="M160" s="9" t="str">
        <f>IFERROR(INDEX('CASE MASTER'!$R$2:$R$495,MATCH("Case NIH Plate 14: B12",'CASE MASTER'!$I$2:$I$495,0)),"")</f>
        <v/>
      </c>
    </row>
    <row r="161" spans="1:13" ht="15" customHeight="1" x14ac:dyDescent="0.35">
      <c r="A161" s="8" t="s">
        <v>30</v>
      </c>
      <c r="B161" s="9" t="str">
        <f>IFERROR(INDEX('CASE MASTER'!$R$2:$R$495,MATCH("Case NIH Plate 14: C1",'CASE MASTER'!$I$2:$I$495,0)),"")</f>
        <v/>
      </c>
      <c r="C161" s="9" t="str">
        <f>IFERROR(INDEX('CASE MASTER'!$R$2:$R$495,MATCH("Case NIH Plate 14: C2",'CASE MASTER'!$I$2:$I$495,0)),"")</f>
        <v/>
      </c>
      <c r="D161" s="9" t="str">
        <f>IFERROR(INDEX('CASE MASTER'!$R$2:$R$495,MATCH("Case NIH Plate 14: C3",'CASE MASTER'!$I$2:$I$495,0)),"")</f>
        <v/>
      </c>
      <c r="E161" s="9" t="str">
        <f>IFERROR(INDEX('CASE MASTER'!$R$2:$R$495,MATCH("Case NIH Plate 14: C4",'CASE MASTER'!$I$2:$I$495,0)),"")</f>
        <v/>
      </c>
      <c r="F161" s="9" t="str">
        <f>IFERROR(INDEX('CASE MASTER'!$R$2:$R$495,MATCH("Case NIH Plate 14: C5",'CASE MASTER'!$I$2:$I$495,0)),"")</f>
        <v/>
      </c>
      <c r="G161" s="9" t="str">
        <f>IFERROR(INDEX('CASE MASTER'!$R$2:$R$495,MATCH("Case NIH Plate 14: C6",'CASE MASTER'!$I$2:$I$495,0)),"")</f>
        <v/>
      </c>
      <c r="H161" s="9" t="str">
        <f>IFERROR(INDEX('CASE MASTER'!$R$2:$R$495,MATCH("Case NIH Plate 14: C7",'CASE MASTER'!$I$2:$I$495,0)),"")</f>
        <v/>
      </c>
      <c r="I161" s="9" t="str">
        <f>IFERROR(INDEX('CASE MASTER'!$R$2:$R$495,MATCH("Case NIH Plate 14: C8",'CASE MASTER'!$I$2:$I$495,0)),"")</f>
        <v/>
      </c>
      <c r="J161" s="9" t="str">
        <f>IFERROR(INDEX('CASE MASTER'!$R$2:$R$495,MATCH("Case NIH Plate 14: C9",'CASE MASTER'!$I$2:$I$495,0)),"")</f>
        <v/>
      </c>
      <c r="K161" s="9" t="str">
        <f>IFERROR(INDEX('CASE MASTER'!$R$2:$R$495,MATCH("Case NIH Plate 14: C10",'CASE MASTER'!$I$2:$I$495,0)),"")</f>
        <v/>
      </c>
      <c r="L161" s="9" t="str">
        <f>IFERROR(INDEX('CASE MASTER'!$R$2:$R$495,MATCH("Case NIH Plate 14: C11",'CASE MASTER'!$I$2:$I$495,0)),"")</f>
        <v/>
      </c>
      <c r="M161" s="9" t="str">
        <f>IFERROR(INDEX('CASE MASTER'!$R$2:$R$495,MATCH("Case NIH Plate 14: C12",'CASE MASTER'!$I$2:$I$495,0)),"")</f>
        <v/>
      </c>
    </row>
    <row r="162" spans="1:13" ht="15" customHeight="1" x14ac:dyDescent="0.35">
      <c r="A162" s="8" t="s">
        <v>31</v>
      </c>
      <c r="B162" s="9" t="str">
        <f>IFERROR(INDEX('CASE MASTER'!$R$2:$R$495,MATCH("Case NIH Plate 14: D1",'CASE MASTER'!$I$2:$I$495,0)),"")</f>
        <v/>
      </c>
      <c r="C162" s="9" t="str">
        <f>IFERROR(INDEX('CASE MASTER'!$R$2:$R$495,MATCH("Case NIH Plate 14: D2",'CASE MASTER'!$I$2:$I$495,0)),"")</f>
        <v/>
      </c>
      <c r="D162" s="9" t="str">
        <f>IFERROR(INDEX('CASE MASTER'!$R$2:$R$495,MATCH("Case NIH Plate 14: D3",'CASE MASTER'!$I$2:$I$495,0)),"")</f>
        <v/>
      </c>
      <c r="E162" s="9" t="str">
        <f>IFERROR(INDEX('CASE MASTER'!$R$2:$R$495,MATCH("Case NIH Plate 14: D4",'CASE MASTER'!$I$2:$I$495,0)),"")</f>
        <v/>
      </c>
      <c r="F162" s="9" t="str">
        <f>IFERROR(INDEX('CASE MASTER'!$R$2:$R$495,MATCH("Case NIH Plate 14: D5",'CASE MASTER'!$I$2:$I$495,0)),"")</f>
        <v/>
      </c>
      <c r="G162" s="9" t="str">
        <f>IFERROR(INDEX('CASE MASTER'!$R$2:$R$495,MATCH("Case NIH Plate 14: D6",'CASE MASTER'!$I$2:$I$495,0)),"")</f>
        <v/>
      </c>
      <c r="H162" s="9" t="str">
        <f>IFERROR(INDEX('CASE MASTER'!$R$2:$R$495,MATCH("Case NIH Plate 14: D7",'CASE MASTER'!$I$2:$I$495,0)),"")</f>
        <v/>
      </c>
      <c r="I162" s="9" t="str">
        <f>IFERROR(INDEX('CASE MASTER'!$R$2:$R$495,MATCH("Case NIH Plate 14: D8",'CASE MASTER'!$I$2:$I$495,0)),"")</f>
        <v/>
      </c>
      <c r="J162" s="9" t="str">
        <f>IFERROR(INDEX('CASE MASTER'!$R$2:$R$495,MATCH("Case NIH Plate 14: D9",'CASE MASTER'!$I$2:$I$495,0)),"")</f>
        <v/>
      </c>
      <c r="K162" s="9" t="str">
        <f>IFERROR(INDEX('CASE MASTER'!$R$2:$R$495,MATCH("Case NIH Plate 14: D10",'CASE MASTER'!$I$2:$I$495,0)),"")</f>
        <v/>
      </c>
      <c r="L162" s="9" t="str">
        <f>IFERROR(INDEX('CASE MASTER'!$R$2:$R$495,MATCH("Case NIH Plate 14: D11",'CASE MASTER'!$I$2:$I$495,0)),"")</f>
        <v/>
      </c>
      <c r="M162" s="9" t="str">
        <f>IFERROR(INDEX('CASE MASTER'!$R$2:$R$495,MATCH("Case NIH Plate 14: D12",'CASE MASTER'!$I$2:$I$495,0)),"")</f>
        <v/>
      </c>
    </row>
    <row r="163" spans="1:13" ht="15" customHeight="1" x14ac:dyDescent="0.35">
      <c r="A163" s="8" t="s">
        <v>32</v>
      </c>
      <c r="B163" s="9" t="str">
        <f>IFERROR(INDEX('CASE MASTER'!$R$2:$R$495,MATCH("Case NIH Plate 14: E1",'CASE MASTER'!$I$2:$I$495,0)),"")</f>
        <v/>
      </c>
      <c r="C163" s="9" t="str">
        <f>IFERROR(INDEX('CASE MASTER'!$R$2:$R$495,MATCH("Case NIH Plate 14: E2",'CASE MASTER'!$I$2:$I$495,0)),"")</f>
        <v/>
      </c>
      <c r="D163" s="9" t="str">
        <f>IFERROR(INDEX('CASE MASTER'!$R$2:$R$495,MATCH("Case NIH Plate 14: E3",'CASE MASTER'!$I$2:$I$495,0)),"")</f>
        <v/>
      </c>
      <c r="E163" s="9" t="str">
        <f>IFERROR(INDEX('CASE MASTER'!$R$2:$R$495,MATCH("Case NIH Plate 14: E4",'CASE MASTER'!$I$2:$I$495,0)),"")</f>
        <v/>
      </c>
      <c r="F163" s="9" t="str">
        <f>IFERROR(INDEX('CASE MASTER'!$R$2:$R$495,MATCH("Case NIH Plate 14: E5",'CASE MASTER'!$I$2:$I$495,0)),"")</f>
        <v/>
      </c>
      <c r="G163" s="9" t="str">
        <f>IFERROR(INDEX('CASE MASTER'!$R$2:$R$495,MATCH("Case NIH Plate 14: E6",'CASE MASTER'!$I$2:$I$495,0)),"")</f>
        <v/>
      </c>
      <c r="H163" s="9" t="str">
        <f>IFERROR(INDEX('CASE MASTER'!$R$2:$R$495,MATCH("Case NIH Plate 14: E7",'CASE MASTER'!$I$2:$I$495,0)),"")</f>
        <v/>
      </c>
      <c r="I163" s="9" t="str">
        <f>IFERROR(INDEX('CASE MASTER'!$R$2:$R$495,MATCH("Case NIH Plate 14: E8",'CASE MASTER'!$I$2:$I$495,0)),"")</f>
        <v/>
      </c>
      <c r="J163" s="9" t="str">
        <f>IFERROR(INDEX('CASE MASTER'!$R$2:$R$495,MATCH("Case NIH Plate 14: E9",'CASE MASTER'!$I$2:$I$495,0)),"")</f>
        <v/>
      </c>
      <c r="K163" s="9" t="str">
        <f>IFERROR(INDEX('CASE MASTER'!$R$2:$R$495,MATCH("Case NIH Plate 14: E10",'CASE MASTER'!$I$2:$I$495,0)),"")</f>
        <v/>
      </c>
      <c r="L163" s="9" t="str">
        <f>IFERROR(INDEX('CASE MASTER'!$R$2:$R$495,MATCH("Case NIH Plate 14: E11",'CASE MASTER'!$I$2:$I$495,0)),"")</f>
        <v/>
      </c>
      <c r="M163" s="9" t="str">
        <f>IFERROR(INDEX('CASE MASTER'!$R$2:$R$495,MATCH("Case NIH Plate 14: E12",'CASE MASTER'!$I$2:$I$495,0)),"")</f>
        <v/>
      </c>
    </row>
    <row r="164" spans="1:13" ht="15" customHeight="1" x14ac:dyDescent="0.35">
      <c r="A164" s="8" t="s">
        <v>33</v>
      </c>
      <c r="B164" s="9" t="str">
        <f>IFERROR(INDEX('CASE MASTER'!$R$2:$R$495,MATCH("Case NIH Plate 14: F1",'CASE MASTER'!$I$2:$I$495,0)),"")</f>
        <v/>
      </c>
      <c r="C164" s="9" t="str">
        <f>IFERROR(INDEX('CASE MASTER'!$R$2:$R$495,MATCH("Case NIH Plate 14: F2",'CASE MASTER'!$I$2:$I$495,0)),"")</f>
        <v/>
      </c>
      <c r="D164" s="9" t="str">
        <f>IFERROR(INDEX('CASE MASTER'!$R$2:$R$495,MATCH("Case NIH Plate 14: F3",'CASE MASTER'!$I$2:$I$495,0)),"")</f>
        <v/>
      </c>
      <c r="E164" s="9" t="str">
        <f>IFERROR(INDEX('CASE MASTER'!$R$2:$R$495,MATCH("Case NIH Plate 14: F4",'CASE MASTER'!$I$2:$I$495,0)),"")</f>
        <v/>
      </c>
      <c r="F164" s="9" t="str">
        <f>IFERROR(INDEX('CASE MASTER'!$R$2:$R$495,MATCH("Case NIH Plate 14: F5",'CASE MASTER'!$I$2:$I$495,0)),"")</f>
        <v/>
      </c>
      <c r="G164" s="9" t="str">
        <f>IFERROR(INDEX('CASE MASTER'!$R$2:$R$495,MATCH("Case NIH Plate 14: F6",'CASE MASTER'!$I$2:$I$495,0)),"")</f>
        <v/>
      </c>
      <c r="H164" s="9" t="str">
        <f>IFERROR(INDEX('CASE MASTER'!$R$2:$R$495,MATCH("Case NIH Plate 14: F7",'CASE MASTER'!$I$2:$I$495,0)),"")</f>
        <v/>
      </c>
      <c r="I164" s="9" t="str">
        <f>IFERROR(INDEX('CASE MASTER'!$R$2:$R$495,MATCH("Case NIH Plate 14: F8",'CASE MASTER'!$I$2:$I$495,0)),"")</f>
        <v/>
      </c>
      <c r="J164" s="9" t="str">
        <f>IFERROR(INDEX('CASE MASTER'!$R$2:$R$495,MATCH("Case NIH Plate 14: F9",'CASE MASTER'!$I$2:$I$495,0)),"")</f>
        <v/>
      </c>
      <c r="K164" s="9" t="str">
        <f>IFERROR(INDEX('CASE MASTER'!$R$2:$R$495,MATCH("Case NIH Plate 14: F10",'CASE MASTER'!$I$2:$I$495,0)),"")</f>
        <v/>
      </c>
      <c r="L164" s="9" t="str">
        <f>IFERROR(INDEX('CASE MASTER'!$R$2:$R$495,MATCH("Case NIH Plate 14: F11",'CASE MASTER'!$I$2:$I$495,0)),"")</f>
        <v/>
      </c>
      <c r="M164" s="9" t="str">
        <f>IFERROR(INDEX('CASE MASTER'!$R$2:$R$495,MATCH("Case NIH Plate 14: F12",'CASE MASTER'!$I$2:$I$495,0)),"")</f>
        <v/>
      </c>
    </row>
    <row r="165" spans="1:13" ht="15" customHeight="1" x14ac:dyDescent="0.35">
      <c r="A165" s="8" t="s">
        <v>34</v>
      </c>
      <c r="B165" s="9" t="str">
        <f>IFERROR(INDEX('CASE MASTER'!$R$2:$R$495,MATCH("Case NIH Plate 14: G1",'CASE MASTER'!$I$2:$I$495,0)),"")</f>
        <v/>
      </c>
      <c r="C165" s="9" t="str">
        <f>IFERROR(INDEX('CASE MASTER'!$R$2:$R$495,MATCH("Case NIH Plate 14: G2",'CASE MASTER'!$I$2:$I$495,0)),"")</f>
        <v/>
      </c>
      <c r="D165" s="9" t="str">
        <f>IFERROR(INDEX('CASE MASTER'!$R$2:$R$495,MATCH("Case NIH Plate 14: G3",'CASE MASTER'!$I$2:$I$495,0)),"")</f>
        <v/>
      </c>
      <c r="E165" s="9" t="str">
        <f>IFERROR(INDEX('CASE MASTER'!$R$2:$R$495,MATCH("Case NIH Plate 14: G4",'CASE MASTER'!$I$2:$I$495,0)),"")</f>
        <v/>
      </c>
      <c r="F165" s="9" t="str">
        <f>IFERROR(INDEX('CASE MASTER'!$R$2:$R$495,MATCH("Case NIH Plate 14: G5",'CASE MASTER'!$I$2:$I$495,0)),"")</f>
        <v/>
      </c>
      <c r="G165" s="9" t="str">
        <f>IFERROR(INDEX('CASE MASTER'!$R$2:$R$495,MATCH("Case NIH Plate 14: G6",'CASE MASTER'!$I$2:$I$495,0)),"")</f>
        <v/>
      </c>
      <c r="H165" s="9" t="str">
        <f>IFERROR(INDEX('CASE MASTER'!$R$2:$R$495,MATCH("Case NIH Plate 14: G7",'CASE MASTER'!$I$2:$I$495,0)),"")</f>
        <v/>
      </c>
      <c r="I165" s="9" t="str">
        <f>IFERROR(INDEX('CASE MASTER'!$R$2:$R$495,MATCH("Case NIH Plate 14: G8",'CASE MASTER'!$I$2:$I$495,0)),"")</f>
        <v/>
      </c>
      <c r="J165" s="9" t="str">
        <f>IFERROR(INDEX('CASE MASTER'!$R$2:$R$495,MATCH("Case NIH Plate 14: G9",'CASE MASTER'!$I$2:$I$495,0)),"")</f>
        <v/>
      </c>
      <c r="K165" s="9" t="str">
        <f>IFERROR(INDEX('CASE MASTER'!$R$2:$R$495,MATCH("Case NIH Plate 14: G10",'CASE MASTER'!$I$2:$I$495,0)),"")</f>
        <v/>
      </c>
      <c r="L165" s="9" t="str">
        <f>IFERROR(INDEX('CASE MASTER'!$R$2:$R$495,MATCH("Case NIH Plate 14: G11",'CASE MASTER'!$I$2:$I$495,0)),"")</f>
        <v/>
      </c>
      <c r="M165" s="9" t="str">
        <f>IFERROR(INDEX('CASE MASTER'!$R$2:$R$495,MATCH("Case NIH Plate 14: G12",'CASE MASTER'!$I$2:$I$495,0)),"")</f>
        <v/>
      </c>
    </row>
    <row r="166" spans="1:13" ht="15" customHeight="1" x14ac:dyDescent="0.35">
      <c r="A166" s="8" t="s">
        <v>35</v>
      </c>
      <c r="B166" s="9" t="str">
        <f>IFERROR(INDEX('CASE MASTER'!$R$2:$R$495,MATCH("Case NIH Plate 14: H1",'CASE MASTER'!$I$2:$I$495,0)),"")</f>
        <v/>
      </c>
      <c r="C166" s="9" t="str">
        <f>IFERROR(INDEX('CASE MASTER'!$R$2:$R$495,MATCH("Case NIH Plate 14: H2",'CASE MASTER'!$I$2:$I$495,0)),"")</f>
        <v/>
      </c>
      <c r="D166" s="9" t="str">
        <f>IFERROR(INDEX('CASE MASTER'!$R$2:$R$495,MATCH("Case NIH Plate 14: H3",'CASE MASTER'!$I$2:$I$495,0)),"")</f>
        <v/>
      </c>
      <c r="E166" s="9" t="str">
        <f>IFERROR(INDEX('CASE MASTER'!$R$2:$R$495,MATCH("Case NIH Plate 14: H4",'CASE MASTER'!$I$2:$I$495,0)),"")</f>
        <v/>
      </c>
      <c r="F166" s="9" t="str">
        <f>IFERROR(INDEX('CASE MASTER'!$R$2:$R$495,MATCH("Case NIH Plate 14: H5",'CASE MASTER'!$I$2:$I$495,0)),"")</f>
        <v/>
      </c>
      <c r="G166" s="9" t="str">
        <f>IFERROR(INDEX('CASE MASTER'!$R$2:$R$495,MATCH("Case NIH Plate 14: H6",'CASE MASTER'!$I$2:$I$495,0)),"")</f>
        <v/>
      </c>
      <c r="H166" s="9" t="str">
        <f>IFERROR(INDEX('CASE MASTER'!$R$2:$R$495,MATCH("Case NIH Plate 14: H7",'CASE MASTER'!$I$2:$I$495,0)),"")</f>
        <v/>
      </c>
      <c r="I166" s="9" t="str">
        <f>IFERROR(INDEX('CASE MASTER'!$R$2:$R$495,MATCH("Case NIH Plate 14: H8",'CASE MASTER'!$I$2:$I$495,0)),"")</f>
        <v/>
      </c>
      <c r="J166" s="9" t="str">
        <f>IFERROR(INDEX('CASE MASTER'!$R$2:$R$495,MATCH("Case NIH Plate 14: H9",'CASE MASTER'!$I$2:$I$495,0)),"")</f>
        <v/>
      </c>
      <c r="K166" s="9" t="str">
        <f>IFERROR(INDEX('CASE MASTER'!$R$2:$R$495,MATCH("Case NIH Plate 14: H10",'CASE MASTER'!$I$2:$I$495,0)),"")</f>
        <v/>
      </c>
      <c r="L166" s="9" t="str">
        <f>IFERROR(INDEX('CASE MASTER'!$R$2:$R$495,MATCH("Case NIH Plate 14: H11",'CASE MASTER'!$I$2:$I$495,0)),"")</f>
        <v/>
      </c>
      <c r="M166" s="9" t="str">
        <f>IFERROR(INDEX('CASE MASTER'!$R$2:$R$495,MATCH("Case NIH Plate 14: H12",'CASE MASTER'!$I$2:$I$495,0)),"")</f>
        <v/>
      </c>
    </row>
    <row r="169" spans="1:13" ht="15" customHeight="1" x14ac:dyDescent="0.35">
      <c r="A169" s="12" t="s">
        <v>64</v>
      </c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</row>
    <row r="170" spans="1:13" ht="15" customHeight="1" x14ac:dyDescent="0.35">
      <c r="B170" s="8">
        <v>1</v>
      </c>
      <c r="C170" s="8">
        <v>2</v>
      </c>
      <c r="D170" s="8">
        <v>3</v>
      </c>
      <c r="E170" s="8">
        <v>4</v>
      </c>
      <c r="F170" s="8">
        <v>5</v>
      </c>
      <c r="G170" s="8">
        <v>6</v>
      </c>
      <c r="H170" s="8">
        <v>7</v>
      </c>
      <c r="I170" s="8">
        <v>8</v>
      </c>
      <c r="J170" s="8">
        <v>9</v>
      </c>
      <c r="K170" s="8">
        <v>10</v>
      </c>
      <c r="L170" s="8">
        <v>11</v>
      </c>
      <c r="M170" s="8">
        <v>12</v>
      </c>
    </row>
    <row r="171" spans="1:13" ht="15" customHeight="1" x14ac:dyDescent="0.35">
      <c r="A171" s="8" t="s">
        <v>28</v>
      </c>
      <c r="B171" s="9" t="str">
        <f>IFERROR(INDEX('CASE MASTER'!$R$2:$R$495,MATCH("Case NIH Plate 15: A1",'CASE MASTER'!$I$2:$I$495,0)),"")</f>
        <v/>
      </c>
      <c r="C171" s="9" t="str">
        <f>IFERROR(INDEX('CASE MASTER'!$R$2:$R$495,MATCH("Case NIH Plate 15: A2",'CASE MASTER'!$I$2:$I$495,0)),"")</f>
        <v/>
      </c>
      <c r="D171" s="9" t="str">
        <f>IFERROR(INDEX('CASE MASTER'!$R$2:$R$495,MATCH("Case NIH Plate 15: A3",'CASE MASTER'!$I$2:$I$495,0)),"")</f>
        <v/>
      </c>
      <c r="E171" s="9" t="str">
        <f>IFERROR(INDEX('CASE MASTER'!$R$2:$R$495,MATCH("Case NIH Plate 15: A4",'CASE MASTER'!$I$2:$I$495,0)),"")</f>
        <v/>
      </c>
      <c r="F171" s="9" t="str">
        <f>IFERROR(INDEX('CASE MASTER'!$R$2:$R$495,MATCH("Case NIH Plate 15: A5",'CASE MASTER'!$I$2:$I$495,0)),"")</f>
        <v/>
      </c>
      <c r="G171" s="9" t="str">
        <f>IFERROR(INDEX('CASE MASTER'!$R$2:$R$495,MATCH("Case NIH Plate 15: A6",'CASE MASTER'!$I$2:$I$495,0)),"")</f>
        <v/>
      </c>
      <c r="H171" s="9" t="str">
        <f>IFERROR(INDEX('CASE MASTER'!$R$2:$R$495,MATCH("Case NIH Plate 15: A7",'CASE MASTER'!$I$2:$I$495,0)),"")</f>
        <v/>
      </c>
      <c r="I171" s="9" t="str">
        <f>IFERROR(INDEX('CASE MASTER'!$R$2:$R$495,MATCH("Case NIH Plate 15: A8",'CASE MASTER'!$I$2:$I$495,0)),"")</f>
        <v/>
      </c>
      <c r="J171" s="9" t="str">
        <f>IFERROR(INDEX('CASE MASTER'!$R$2:$R$495,MATCH("Case NIH Plate 15: A9",'CASE MASTER'!$I$2:$I$495,0)),"")</f>
        <v/>
      </c>
      <c r="K171" s="9" t="str">
        <f>IFERROR(INDEX('CASE MASTER'!$R$2:$R$495,MATCH("Case NIH Plate 15: A10",'CASE MASTER'!$I$2:$I$495,0)),"")</f>
        <v/>
      </c>
      <c r="L171" s="9" t="str">
        <f>IFERROR(INDEX('CASE MASTER'!$R$2:$R$495,MATCH("Case NIH Plate 15: A11",'CASE MASTER'!$I$2:$I$495,0)),"")</f>
        <v/>
      </c>
      <c r="M171" s="9" t="str">
        <f>IFERROR(INDEX('CASE MASTER'!$R$2:$R$495,MATCH("Case NIH Plate 15: A12",'CASE MASTER'!$I$2:$I$495,0)),"")</f>
        <v/>
      </c>
    </row>
    <row r="172" spans="1:13" ht="15" customHeight="1" x14ac:dyDescent="0.35">
      <c r="A172" s="8" t="s">
        <v>29</v>
      </c>
      <c r="B172" s="9" t="str">
        <f>IFERROR(INDEX('CASE MASTER'!$R$2:$R$495,MATCH("Case NIH Plate 15: B1",'CASE MASTER'!$I$2:$I$495,0)),"")</f>
        <v/>
      </c>
      <c r="C172" s="9" t="str">
        <f>IFERROR(INDEX('CASE MASTER'!$R$2:$R$495,MATCH("Case NIH Plate 15: B2",'CASE MASTER'!$I$2:$I$495,0)),"")</f>
        <v/>
      </c>
      <c r="D172" s="9" t="str">
        <f>IFERROR(INDEX('CASE MASTER'!$R$2:$R$495,MATCH("Case NIH Plate 15: B3",'CASE MASTER'!$I$2:$I$495,0)),"")</f>
        <v/>
      </c>
      <c r="E172" s="9" t="str">
        <f>IFERROR(INDEX('CASE MASTER'!$R$2:$R$495,MATCH("Case NIH Plate 15: B4",'CASE MASTER'!$I$2:$I$495,0)),"")</f>
        <v/>
      </c>
      <c r="F172" s="9" t="str">
        <f>IFERROR(INDEX('CASE MASTER'!$R$2:$R$495,MATCH("Case NIH Plate 15: B5",'CASE MASTER'!$I$2:$I$495,0)),"")</f>
        <v/>
      </c>
      <c r="G172" s="9" t="str">
        <f>IFERROR(INDEX('CASE MASTER'!$R$2:$R$495,MATCH("Case NIH Plate 15: B6",'CASE MASTER'!$I$2:$I$495,0)),"")</f>
        <v/>
      </c>
      <c r="H172" s="9" t="str">
        <f>IFERROR(INDEX('CASE MASTER'!$R$2:$R$495,MATCH("Case NIH Plate 15: B7",'CASE MASTER'!$I$2:$I$495,0)),"")</f>
        <v/>
      </c>
      <c r="I172" s="9" t="str">
        <f>IFERROR(INDEX('CASE MASTER'!$R$2:$R$495,MATCH("Case NIH Plate 15: B8",'CASE MASTER'!$I$2:$I$495,0)),"")</f>
        <v/>
      </c>
      <c r="J172" s="9" t="str">
        <f>IFERROR(INDEX('CASE MASTER'!$R$2:$R$495,MATCH("Case NIH Plate 15: B9",'CASE MASTER'!$I$2:$I$495,0)),"")</f>
        <v/>
      </c>
      <c r="K172" s="9" t="str">
        <f>IFERROR(INDEX('CASE MASTER'!$R$2:$R$495,MATCH("Case NIH Plate 15: B10",'CASE MASTER'!$I$2:$I$495,0)),"")</f>
        <v/>
      </c>
      <c r="L172" s="9" t="str">
        <f>IFERROR(INDEX('CASE MASTER'!$R$2:$R$495,MATCH("Case NIH Plate 15: B11",'CASE MASTER'!$I$2:$I$495,0)),"")</f>
        <v/>
      </c>
      <c r="M172" s="9" t="str">
        <f>IFERROR(INDEX('CASE MASTER'!$R$2:$R$495,MATCH("Case NIH Plate 15: B12",'CASE MASTER'!$I$2:$I$495,0)),"")</f>
        <v/>
      </c>
    </row>
    <row r="173" spans="1:13" ht="15" customHeight="1" x14ac:dyDescent="0.35">
      <c r="A173" s="8" t="s">
        <v>30</v>
      </c>
      <c r="B173" s="9" t="str">
        <f>IFERROR(INDEX('CASE MASTER'!$R$2:$R$495,MATCH("Case NIH Plate 15: C1",'CASE MASTER'!$I$2:$I$495,0)),"")</f>
        <v/>
      </c>
      <c r="C173" s="9" t="str">
        <f>IFERROR(INDEX('CASE MASTER'!$R$2:$R$495,MATCH("Case NIH Plate 15: C2",'CASE MASTER'!$I$2:$I$495,0)),"")</f>
        <v/>
      </c>
      <c r="D173" s="9" t="str">
        <f>IFERROR(INDEX('CASE MASTER'!$R$2:$R$495,MATCH("Case NIH Plate 15: C3",'CASE MASTER'!$I$2:$I$495,0)),"")</f>
        <v/>
      </c>
      <c r="E173" s="9" t="str">
        <f>IFERROR(INDEX('CASE MASTER'!$R$2:$R$495,MATCH("Case NIH Plate 15: C4",'CASE MASTER'!$I$2:$I$495,0)),"")</f>
        <v/>
      </c>
      <c r="F173" s="9" t="str">
        <f>IFERROR(INDEX('CASE MASTER'!$R$2:$R$495,MATCH("Case NIH Plate 15: C5",'CASE MASTER'!$I$2:$I$495,0)),"")</f>
        <v/>
      </c>
      <c r="G173" s="9" t="str">
        <f>IFERROR(INDEX('CASE MASTER'!$R$2:$R$495,MATCH("Case NIH Plate 15: C6",'CASE MASTER'!$I$2:$I$495,0)),"")</f>
        <v/>
      </c>
      <c r="H173" s="9" t="str">
        <f>IFERROR(INDEX('CASE MASTER'!$R$2:$R$495,MATCH("Case NIH Plate 15: C7",'CASE MASTER'!$I$2:$I$495,0)),"")</f>
        <v/>
      </c>
      <c r="I173" s="9" t="str">
        <f>IFERROR(INDEX('CASE MASTER'!$R$2:$R$495,MATCH("Case NIH Plate 15: C8",'CASE MASTER'!$I$2:$I$495,0)),"")</f>
        <v/>
      </c>
      <c r="J173" s="9" t="str">
        <f>IFERROR(INDEX('CASE MASTER'!$R$2:$R$495,MATCH("Case NIH Plate 15: C9",'CASE MASTER'!$I$2:$I$495,0)),"")</f>
        <v/>
      </c>
      <c r="K173" s="9" t="str">
        <f>IFERROR(INDEX('CASE MASTER'!$R$2:$R$495,MATCH("Case NIH Plate 15: C10",'CASE MASTER'!$I$2:$I$495,0)),"")</f>
        <v/>
      </c>
      <c r="L173" s="9" t="str">
        <f>IFERROR(INDEX('CASE MASTER'!$R$2:$R$495,MATCH("Case NIH Plate 15: C11",'CASE MASTER'!$I$2:$I$495,0)),"")</f>
        <v/>
      </c>
      <c r="M173" s="9" t="str">
        <f>IFERROR(INDEX('CASE MASTER'!$R$2:$R$495,MATCH("Case NIH Plate 15: C12",'CASE MASTER'!$I$2:$I$495,0)),"")</f>
        <v/>
      </c>
    </row>
    <row r="174" spans="1:13" ht="15" customHeight="1" x14ac:dyDescent="0.35">
      <c r="A174" s="8" t="s">
        <v>31</v>
      </c>
      <c r="B174" s="9" t="str">
        <f>IFERROR(INDEX('CASE MASTER'!$R$2:$R$495,MATCH("Case NIH Plate 15: D1",'CASE MASTER'!$I$2:$I$495,0)),"")</f>
        <v/>
      </c>
      <c r="C174" s="9" t="str">
        <f>IFERROR(INDEX('CASE MASTER'!$R$2:$R$495,MATCH("Case NIH Plate 15: D2",'CASE MASTER'!$I$2:$I$495,0)),"")</f>
        <v/>
      </c>
      <c r="D174" s="9" t="str">
        <f>IFERROR(INDEX('CASE MASTER'!$R$2:$R$495,MATCH("Case NIH Plate 15: D3",'CASE MASTER'!$I$2:$I$495,0)),"")</f>
        <v/>
      </c>
      <c r="E174" s="9" t="str">
        <f>IFERROR(INDEX('CASE MASTER'!$R$2:$R$495,MATCH("Case NIH Plate 15: D4",'CASE MASTER'!$I$2:$I$495,0)),"")</f>
        <v/>
      </c>
      <c r="F174" s="9" t="str">
        <f>IFERROR(INDEX('CASE MASTER'!$R$2:$R$495,MATCH("Case NIH Plate 15: D5",'CASE MASTER'!$I$2:$I$495,0)),"")</f>
        <v/>
      </c>
      <c r="G174" s="9" t="str">
        <f>IFERROR(INDEX('CASE MASTER'!$R$2:$R$495,MATCH("Case NIH Plate 15: D6",'CASE MASTER'!$I$2:$I$495,0)),"")</f>
        <v/>
      </c>
      <c r="H174" s="9" t="str">
        <f>IFERROR(INDEX('CASE MASTER'!$R$2:$R$495,MATCH("Case NIH Plate 15: D7",'CASE MASTER'!$I$2:$I$495,0)),"")</f>
        <v/>
      </c>
      <c r="I174" s="9" t="str">
        <f>IFERROR(INDEX('CASE MASTER'!$R$2:$R$495,MATCH("Case NIH Plate 15: D8",'CASE MASTER'!$I$2:$I$495,0)),"")</f>
        <v/>
      </c>
      <c r="J174" s="9" t="str">
        <f>IFERROR(INDEX('CASE MASTER'!$R$2:$R$495,MATCH("Case NIH Plate 15: D9",'CASE MASTER'!$I$2:$I$495,0)),"")</f>
        <v/>
      </c>
      <c r="K174" s="9" t="str">
        <f>IFERROR(INDEX('CASE MASTER'!$R$2:$R$495,MATCH("Case NIH Plate 15: D10",'CASE MASTER'!$I$2:$I$495,0)),"")</f>
        <v/>
      </c>
      <c r="L174" s="9" t="str">
        <f>IFERROR(INDEX('CASE MASTER'!$R$2:$R$495,MATCH("Case NIH Plate 15: D11",'CASE MASTER'!$I$2:$I$495,0)),"")</f>
        <v/>
      </c>
      <c r="M174" s="9" t="str">
        <f>IFERROR(INDEX('CASE MASTER'!$R$2:$R$495,MATCH("Case NIH Plate 15: D12",'CASE MASTER'!$I$2:$I$495,0)),"")</f>
        <v/>
      </c>
    </row>
    <row r="175" spans="1:13" ht="15" customHeight="1" x14ac:dyDescent="0.35">
      <c r="A175" s="8" t="s">
        <v>32</v>
      </c>
      <c r="B175" s="9" t="str">
        <f>IFERROR(INDEX('CASE MASTER'!$R$2:$R$495,MATCH("Case NIH Plate 15: E1",'CASE MASTER'!$I$2:$I$495,0)),"")</f>
        <v/>
      </c>
      <c r="C175" s="9" t="str">
        <f>IFERROR(INDEX('CASE MASTER'!$R$2:$R$495,MATCH("Case NIH Plate 15: E2",'CASE MASTER'!$I$2:$I$495,0)),"")</f>
        <v/>
      </c>
      <c r="D175" s="9" t="str">
        <f>IFERROR(INDEX('CASE MASTER'!$R$2:$R$495,MATCH("Case NIH Plate 15: E3",'CASE MASTER'!$I$2:$I$495,0)),"")</f>
        <v/>
      </c>
      <c r="E175" s="9" t="str">
        <f>IFERROR(INDEX('CASE MASTER'!$R$2:$R$495,MATCH("Case NIH Plate 15: E4",'CASE MASTER'!$I$2:$I$495,0)),"")</f>
        <v/>
      </c>
      <c r="F175" s="9" t="str">
        <f>IFERROR(INDEX('CASE MASTER'!$R$2:$R$495,MATCH("Case NIH Plate 15: E5",'CASE MASTER'!$I$2:$I$495,0)),"")</f>
        <v/>
      </c>
      <c r="G175" s="9" t="str">
        <f>IFERROR(INDEX('CASE MASTER'!$R$2:$R$495,MATCH("Case NIH Plate 15: E6",'CASE MASTER'!$I$2:$I$495,0)),"")</f>
        <v/>
      </c>
      <c r="H175" s="9" t="str">
        <f>IFERROR(INDEX('CASE MASTER'!$R$2:$R$495,MATCH("Case NIH Plate 15: E7",'CASE MASTER'!$I$2:$I$495,0)),"")</f>
        <v/>
      </c>
      <c r="I175" s="9" t="str">
        <f>IFERROR(INDEX('CASE MASTER'!$R$2:$R$495,MATCH("Case NIH Plate 15: E8",'CASE MASTER'!$I$2:$I$495,0)),"")</f>
        <v/>
      </c>
      <c r="J175" s="9" t="str">
        <f>IFERROR(INDEX('CASE MASTER'!$R$2:$R$495,MATCH("Case NIH Plate 15: E9",'CASE MASTER'!$I$2:$I$495,0)),"")</f>
        <v/>
      </c>
      <c r="K175" s="9" t="str">
        <f>IFERROR(INDEX('CASE MASTER'!$R$2:$R$495,MATCH("Case NIH Plate 15: E10",'CASE MASTER'!$I$2:$I$495,0)),"")</f>
        <v/>
      </c>
      <c r="L175" s="9" t="str">
        <f>IFERROR(INDEX('CASE MASTER'!$R$2:$R$495,MATCH("Case NIH Plate 15: E11",'CASE MASTER'!$I$2:$I$495,0)),"")</f>
        <v/>
      </c>
      <c r="M175" s="9" t="str">
        <f>IFERROR(INDEX('CASE MASTER'!$R$2:$R$495,MATCH("Case NIH Plate 15: E12",'CASE MASTER'!$I$2:$I$495,0)),"")</f>
        <v/>
      </c>
    </row>
    <row r="176" spans="1:13" ht="15" customHeight="1" x14ac:dyDescent="0.35">
      <c r="A176" s="8" t="s">
        <v>33</v>
      </c>
      <c r="B176" s="9" t="str">
        <f>IFERROR(INDEX('CASE MASTER'!$R$2:$R$495,MATCH("Case NIH Plate 15: F1",'CASE MASTER'!$I$2:$I$495,0)),"")</f>
        <v/>
      </c>
      <c r="C176" s="9" t="str">
        <f>IFERROR(INDEX('CASE MASTER'!$R$2:$R$495,MATCH("Case NIH Plate 15: F2",'CASE MASTER'!$I$2:$I$495,0)),"")</f>
        <v/>
      </c>
      <c r="D176" s="9" t="str">
        <f>IFERROR(INDEX('CASE MASTER'!$R$2:$R$495,MATCH("Case NIH Plate 15: F3",'CASE MASTER'!$I$2:$I$495,0)),"")</f>
        <v/>
      </c>
      <c r="E176" s="9" t="str">
        <f>IFERROR(INDEX('CASE MASTER'!$R$2:$R$495,MATCH("Case NIH Plate 15: F4",'CASE MASTER'!$I$2:$I$495,0)),"")</f>
        <v/>
      </c>
      <c r="F176" s="9" t="str">
        <f>IFERROR(INDEX('CASE MASTER'!$R$2:$R$495,MATCH("Case NIH Plate 15: F5",'CASE MASTER'!$I$2:$I$495,0)),"")</f>
        <v/>
      </c>
      <c r="G176" s="9" t="str">
        <f>IFERROR(INDEX('CASE MASTER'!$R$2:$R$495,MATCH("Case NIH Plate 15: F6",'CASE MASTER'!$I$2:$I$495,0)),"")</f>
        <v/>
      </c>
      <c r="H176" s="9" t="str">
        <f>IFERROR(INDEX('CASE MASTER'!$R$2:$R$495,MATCH("Case NIH Plate 15: F7",'CASE MASTER'!$I$2:$I$495,0)),"")</f>
        <v/>
      </c>
      <c r="I176" s="9" t="str">
        <f>IFERROR(INDEX('CASE MASTER'!$R$2:$R$495,MATCH("Case NIH Plate 15: F8",'CASE MASTER'!$I$2:$I$495,0)),"")</f>
        <v/>
      </c>
      <c r="J176" s="9" t="str">
        <f>IFERROR(INDEX('CASE MASTER'!$R$2:$R$495,MATCH("Case NIH Plate 15: F9",'CASE MASTER'!$I$2:$I$495,0)),"")</f>
        <v/>
      </c>
      <c r="K176" s="9" t="str">
        <f>IFERROR(INDEX('CASE MASTER'!$R$2:$R$495,MATCH("Case NIH Plate 15: F10",'CASE MASTER'!$I$2:$I$495,0)),"")</f>
        <v/>
      </c>
      <c r="L176" s="9" t="str">
        <f>IFERROR(INDEX('CASE MASTER'!$R$2:$R$495,MATCH("Case NIH Plate 15: F11",'CASE MASTER'!$I$2:$I$495,0)),"")</f>
        <v/>
      </c>
      <c r="M176" s="9" t="str">
        <f>IFERROR(INDEX('CASE MASTER'!$R$2:$R$495,MATCH("Case NIH Plate 15: F12",'CASE MASTER'!$I$2:$I$495,0)),"")</f>
        <v/>
      </c>
    </row>
    <row r="177" spans="1:13" ht="15" customHeight="1" x14ac:dyDescent="0.35">
      <c r="A177" s="8" t="s">
        <v>34</v>
      </c>
      <c r="B177" s="9" t="str">
        <f>IFERROR(INDEX('CASE MASTER'!$R$2:$R$495,MATCH("Case NIH Plate 15: G1",'CASE MASTER'!$I$2:$I$495,0)),"")</f>
        <v/>
      </c>
      <c r="C177" s="9" t="str">
        <f>IFERROR(INDEX('CASE MASTER'!$R$2:$R$495,MATCH("Case NIH Plate 15: G2",'CASE MASTER'!$I$2:$I$495,0)),"")</f>
        <v/>
      </c>
      <c r="D177" s="9" t="str">
        <f>IFERROR(INDEX('CASE MASTER'!$R$2:$R$495,MATCH("Case NIH Plate 15: G3",'CASE MASTER'!$I$2:$I$495,0)),"")</f>
        <v/>
      </c>
      <c r="E177" s="9" t="str">
        <f>IFERROR(INDEX('CASE MASTER'!$R$2:$R$495,MATCH("Case NIH Plate 15: G4",'CASE MASTER'!$I$2:$I$495,0)),"")</f>
        <v/>
      </c>
      <c r="F177" s="9" t="str">
        <f>IFERROR(INDEX('CASE MASTER'!$R$2:$R$495,MATCH("Case NIH Plate 15: G5",'CASE MASTER'!$I$2:$I$495,0)),"")</f>
        <v/>
      </c>
      <c r="G177" s="9" t="str">
        <f>IFERROR(INDEX('CASE MASTER'!$R$2:$R$495,MATCH("Case NIH Plate 15: G6",'CASE MASTER'!$I$2:$I$495,0)),"")</f>
        <v/>
      </c>
      <c r="H177" s="9" t="str">
        <f>IFERROR(INDEX('CASE MASTER'!$R$2:$R$495,MATCH("Case NIH Plate 15: G7",'CASE MASTER'!$I$2:$I$495,0)),"")</f>
        <v/>
      </c>
      <c r="I177" s="9" t="str">
        <f>IFERROR(INDEX('CASE MASTER'!$R$2:$R$495,MATCH("Case NIH Plate 15: G8",'CASE MASTER'!$I$2:$I$495,0)),"")</f>
        <v/>
      </c>
      <c r="J177" s="9" t="str">
        <f>IFERROR(INDEX('CASE MASTER'!$R$2:$R$495,MATCH("Case NIH Plate 15: G9",'CASE MASTER'!$I$2:$I$495,0)),"")</f>
        <v/>
      </c>
      <c r="K177" s="9" t="str">
        <f>IFERROR(INDEX('CASE MASTER'!$R$2:$R$495,MATCH("Case NIH Plate 15: G10",'CASE MASTER'!$I$2:$I$495,0)),"")</f>
        <v/>
      </c>
      <c r="L177" s="9" t="str">
        <f>IFERROR(INDEX('CASE MASTER'!$R$2:$R$495,MATCH("Case NIH Plate 15: G11",'CASE MASTER'!$I$2:$I$495,0)),"")</f>
        <v/>
      </c>
      <c r="M177" s="9" t="str">
        <f>IFERROR(INDEX('CASE MASTER'!$R$2:$R$495,MATCH("Case NIH Plate 15: G12",'CASE MASTER'!$I$2:$I$495,0)),"")</f>
        <v/>
      </c>
    </row>
    <row r="178" spans="1:13" ht="15" customHeight="1" x14ac:dyDescent="0.35">
      <c r="A178" s="8" t="s">
        <v>35</v>
      </c>
      <c r="B178" s="9" t="str">
        <f>IFERROR(INDEX('CASE MASTER'!$R$2:$R$495,MATCH("Case NIH Plate 15: H1",'CASE MASTER'!$I$2:$I$495,0)),"")</f>
        <v/>
      </c>
      <c r="C178" s="9" t="str">
        <f>IFERROR(INDEX('CASE MASTER'!$R$2:$R$495,MATCH("Case NIH Plate 15: H2",'CASE MASTER'!$I$2:$I$495,0)),"")</f>
        <v/>
      </c>
      <c r="D178" s="9" t="str">
        <f>IFERROR(INDEX('CASE MASTER'!$R$2:$R$495,MATCH("Case NIH Plate 15: H3",'CASE MASTER'!$I$2:$I$495,0)),"")</f>
        <v/>
      </c>
      <c r="E178" s="9" t="str">
        <f>IFERROR(INDEX('CASE MASTER'!$R$2:$R$495,MATCH("Case NIH Plate 15: H4",'CASE MASTER'!$I$2:$I$495,0)),"")</f>
        <v/>
      </c>
      <c r="F178" s="9" t="str">
        <f>IFERROR(INDEX('CASE MASTER'!$R$2:$R$495,MATCH("Case NIH Plate 15: H5",'CASE MASTER'!$I$2:$I$495,0)),"")</f>
        <v/>
      </c>
      <c r="G178" s="9" t="str">
        <f>IFERROR(INDEX('CASE MASTER'!$R$2:$R$495,MATCH("Case NIH Plate 15: H6",'CASE MASTER'!$I$2:$I$495,0)),"")</f>
        <v/>
      </c>
      <c r="H178" s="9" t="str">
        <f>IFERROR(INDEX('CASE MASTER'!$R$2:$R$495,MATCH("Case NIH Plate 15: H7",'CASE MASTER'!$I$2:$I$495,0)),"")</f>
        <v/>
      </c>
      <c r="I178" s="9" t="str">
        <f>IFERROR(INDEX('CASE MASTER'!$R$2:$R$495,MATCH("Case NIH Plate 15: H8",'CASE MASTER'!$I$2:$I$495,0)),"")</f>
        <v/>
      </c>
      <c r="J178" s="9" t="str">
        <f>IFERROR(INDEX('CASE MASTER'!$R$2:$R$495,MATCH("Case NIH Plate 15: H9",'CASE MASTER'!$I$2:$I$495,0)),"")</f>
        <v/>
      </c>
      <c r="K178" s="9" t="str">
        <f>IFERROR(INDEX('CASE MASTER'!$R$2:$R$495,MATCH("Case NIH Plate 15: H10",'CASE MASTER'!$I$2:$I$495,0)),"")</f>
        <v/>
      </c>
      <c r="L178" s="9" t="str">
        <f>IFERROR(INDEX('CASE MASTER'!$R$2:$R$495,MATCH("Case NIH Plate 15: H11",'CASE MASTER'!$I$2:$I$495,0)),"")</f>
        <v/>
      </c>
      <c r="M178" s="9" t="str">
        <f>IFERROR(INDEX('CASE MASTER'!$R$2:$R$495,MATCH("Case NIH Plate 15: H12",'CASE MASTER'!$I$2:$I$495,0)),"")</f>
        <v/>
      </c>
    </row>
  </sheetData>
  <mergeCells count="15">
    <mergeCell ref="A169:M169"/>
    <mergeCell ref="A13:M13"/>
    <mergeCell ref="A73:M73"/>
    <mergeCell ref="A1:M1"/>
    <mergeCell ref="A133:M133"/>
    <mergeCell ref="A37:M37"/>
    <mergeCell ref="A61:M61"/>
    <mergeCell ref="A97:M97"/>
    <mergeCell ref="A145:M145"/>
    <mergeCell ref="A109:M109"/>
    <mergeCell ref="A25:M25"/>
    <mergeCell ref="A157:M157"/>
    <mergeCell ref="A49:M49"/>
    <mergeCell ref="A121:M121"/>
    <mergeCell ref="A85:M85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5B9BD5"/>
  </sheetPr>
  <dimension ref="A1:M178"/>
  <sheetViews>
    <sheetView showGridLines="0" zoomScale="80" zoomScaleNormal="80" workbookViewId="0">
      <selection activeCell="M2" sqref="B1:M1048576"/>
    </sheetView>
  </sheetViews>
  <sheetFormatPr defaultColWidth="8.6328125" defaultRowHeight="15" customHeight="1" x14ac:dyDescent="0.35"/>
  <cols>
    <col min="1" max="1" width="5" customWidth="1"/>
    <col min="2" max="13" width="25.6328125" customWidth="1"/>
  </cols>
  <sheetData>
    <row r="1" spans="1:13" ht="15" customHeight="1" x14ac:dyDescent="0.35">
      <c r="A1" s="12" t="s">
        <v>65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</row>
    <row r="2" spans="1:13" ht="15" customHeight="1" x14ac:dyDescent="0.35">
      <c r="B2" s="8">
        <v>1</v>
      </c>
      <c r="C2" s="8">
        <v>2</v>
      </c>
      <c r="D2" s="8">
        <v>3</v>
      </c>
      <c r="E2" s="8">
        <v>4</v>
      </c>
      <c r="F2" s="8">
        <v>5</v>
      </c>
      <c r="G2" s="8">
        <v>6</v>
      </c>
      <c r="H2" s="8">
        <v>7</v>
      </c>
      <c r="I2" s="8">
        <v>8</v>
      </c>
      <c r="J2" s="8">
        <v>9</v>
      </c>
      <c r="K2" s="8">
        <v>10</v>
      </c>
      <c r="L2" s="8">
        <v>11</v>
      </c>
      <c r="M2" s="8">
        <v>12</v>
      </c>
    </row>
    <row r="3" spans="1:13" ht="15" customHeight="1" x14ac:dyDescent="0.35">
      <c r="A3" s="8" t="s">
        <v>28</v>
      </c>
      <c r="B3" s="9" t="str">
        <f>IFERROR(INDEX('CASE MASTER'!$R$2:$R$495,MATCH("Case MAX Planck Plate 1: A1",'CASE MASTER'!$J$2:$J$495,0)),"")</f>
        <v/>
      </c>
      <c r="C3" s="9" t="str">
        <f>IFERROR(INDEX('CASE MASTER'!$R$2:$R$495,MATCH("Case MAX Planck Plate 1: A2",'CASE MASTER'!$J$2:$J$495,0)),"")</f>
        <v/>
      </c>
      <c r="D3" s="9" t="str">
        <f>IFERROR(INDEX('CASE MASTER'!$R$2:$R$495,MATCH("Case MAX Planck Plate 1: A3",'CASE MASTER'!$J$2:$J$495,0)),"")</f>
        <v/>
      </c>
      <c r="E3" s="9" t="str">
        <f>IFERROR(INDEX('CASE MASTER'!$R$2:$R$495,MATCH("Case MAX Planck Plate 1: A4",'CASE MASTER'!$J$2:$J$495,0)),"")</f>
        <v/>
      </c>
      <c r="F3" s="9" t="str">
        <f>IFERROR(INDEX('CASE MASTER'!$R$2:$R$495,MATCH("Case MAX Planck Plate 1: A5",'CASE MASTER'!$J$2:$J$495,0)),"")</f>
        <v/>
      </c>
      <c r="G3" s="9" t="str">
        <f>IFERROR(INDEX('CASE MASTER'!$R$2:$R$495,MATCH("Case MAX Planck Plate 1: A6",'CASE MASTER'!$J$2:$J$495,0)),"")</f>
        <v/>
      </c>
      <c r="H3" s="9" t="str">
        <f>IFERROR(INDEX('CASE MASTER'!$R$2:$R$495,MATCH("Case MAX Planck Plate 1: A7",'CASE MASTER'!$J$2:$J$495,0)),"")</f>
        <v/>
      </c>
      <c r="I3" s="9" t="str">
        <f>IFERROR(INDEX('CASE MASTER'!$R$2:$R$495,MATCH("Case MAX Planck Plate 1: A8",'CASE MASTER'!$J$2:$J$495,0)),"")</f>
        <v/>
      </c>
      <c r="J3" s="9" t="str">
        <f>IFERROR(INDEX('CASE MASTER'!$R$2:$R$495,MATCH("Case MAX Planck Plate 1: A9",'CASE MASTER'!$J$2:$J$495,0)),"")</f>
        <v/>
      </c>
      <c r="K3" s="9" t="str">
        <f>IFERROR(INDEX('CASE MASTER'!$R$2:$R$495,MATCH("Case MAX Planck Plate 1: A10",'CASE MASTER'!$J$2:$J$495,0)),"")</f>
        <v/>
      </c>
      <c r="L3" s="9" t="str">
        <f>IFERROR(INDEX('CASE MASTER'!$R$2:$R$495,MATCH("Case MAX Planck Plate 1: A11",'CASE MASTER'!$J$2:$J$495,0)),"")</f>
        <v/>
      </c>
      <c r="M3" s="9" t="str">
        <f>IFERROR(INDEX('CASE MASTER'!$R$2:$R$495,MATCH("Case MAX Planck Plate 1: A12",'CASE MASTER'!$J$2:$J$495,0)),"")</f>
        <v/>
      </c>
    </row>
    <row r="4" spans="1:13" ht="15" customHeight="1" x14ac:dyDescent="0.35">
      <c r="A4" s="8" t="s">
        <v>29</v>
      </c>
      <c r="B4" s="9" t="str">
        <f>IFERROR(INDEX('CASE MASTER'!$R$2:$R$495,MATCH("Case MAX Planck Plate 1: B1",'CASE MASTER'!$J$2:$J$495,0)),"")</f>
        <v/>
      </c>
      <c r="C4" s="9" t="str">
        <f>IFERROR(INDEX('CASE MASTER'!$R$2:$R$495,MATCH("Case MAX Planck Plate 1: B2",'CASE MASTER'!$J$2:$J$495,0)),"")</f>
        <v/>
      </c>
      <c r="D4" s="9" t="str">
        <f>IFERROR(INDEX('CASE MASTER'!$R$2:$R$495,MATCH("Case MAX Planck Plate 1: B3",'CASE MASTER'!$J$2:$J$495,0)),"")</f>
        <v/>
      </c>
      <c r="E4" s="9" t="str">
        <f>IFERROR(INDEX('CASE MASTER'!$R$2:$R$495,MATCH("Case MAX Planck Plate 1: B4",'CASE MASTER'!$J$2:$J$495,0)),"")</f>
        <v/>
      </c>
      <c r="F4" s="9" t="str">
        <f>IFERROR(INDEX('CASE MASTER'!$R$2:$R$495,MATCH("Case MAX Planck Plate 1: B5",'CASE MASTER'!$J$2:$J$495,0)),"")</f>
        <v/>
      </c>
      <c r="G4" s="9" t="str">
        <f>IFERROR(INDEX('CASE MASTER'!$R$2:$R$495,MATCH("Case MAX Planck Plate 1: B6",'CASE MASTER'!$J$2:$J$495,0)),"")</f>
        <v/>
      </c>
      <c r="H4" s="9" t="str">
        <f>IFERROR(INDEX('CASE MASTER'!$R$2:$R$495,MATCH("Case MAX Planck Plate 1: B7",'CASE MASTER'!$J$2:$J$495,0)),"")</f>
        <v/>
      </c>
      <c r="I4" s="9" t="str">
        <f>IFERROR(INDEX('CASE MASTER'!$R$2:$R$495,MATCH("Case MAX Planck Plate 1: B8",'CASE MASTER'!$J$2:$J$495,0)),"")</f>
        <v/>
      </c>
      <c r="J4" s="9" t="str">
        <f>IFERROR(INDEX('CASE MASTER'!$R$2:$R$495,MATCH("Case MAX Planck Plate 1: B9",'CASE MASTER'!$J$2:$J$495,0)),"")</f>
        <v/>
      </c>
      <c r="K4" s="9" t="str">
        <f>IFERROR(INDEX('CASE MASTER'!$R$2:$R$495,MATCH("Case MAX Planck Plate 1: B10",'CASE MASTER'!$J$2:$J$495,0)),"")</f>
        <v/>
      </c>
      <c r="L4" s="9" t="str">
        <f>IFERROR(INDEX('CASE MASTER'!$R$2:$R$495,MATCH("Case MAX Planck Plate 1: B11",'CASE MASTER'!$J$2:$J$495,0)),"")</f>
        <v/>
      </c>
      <c r="M4" s="9" t="str">
        <f>IFERROR(INDEX('CASE MASTER'!$R$2:$R$495,MATCH("Case MAX Planck Plate 1: B12",'CASE MASTER'!$J$2:$J$495,0)),"")</f>
        <v/>
      </c>
    </row>
    <row r="5" spans="1:13" ht="15" customHeight="1" x14ac:dyDescent="0.35">
      <c r="A5" s="8" t="s">
        <v>30</v>
      </c>
      <c r="B5" s="9" t="str">
        <f>IFERROR(INDEX('CASE MASTER'!$R$2:$R$495,MATCH("Case MAX Planck Plate 1: C1",'CASE MASTER'!$J$2:$J$495,0)),"")</f>
        <v/>
      </c>
      <c r="C5" s="9" t="str">
        <f>IFERROR(INDEX('CASE MASTER'!$R$2:$R$495,MATCH("Case MAX Planck Plate 1: C2",'CASE MASTER'!$J$2:$J$495,0)),"")</f>
        <v/>
      </c>
      <c r="D5" s="9" t="str">
        <f>IFERROR(INDEX('CASE MASTER'!$R$2:$R$495,MATCH("Case MAX Planck Plate 1: C3",'CASE MASTER'!$J$2:$J$495,0)),"")</f>
        <v/>
      </c>
      <c r="E5" s="9" t="str">
        <f>IFERROR(INDEX('CASE MASTER'!$R$2:$R$495,MATCH("Case MAX Planck Plate 1: C4",'CASE MASTER'!$J$2:$J$495,0)),"")</f>
        <v/>
      </c>
      <c r="F5" s="9" t="str">
        <f>IFERROR(INDEX('CASE MASTER'!$R$2:$R$495,MATCH("Case MAX Planck Plate 1: C5",'CASE MASTER'!$J$2:$J$495,0)),"")</f>
        <v/>
      </c>
      <c r="G5" s="9" t="str">
        <f>IFERROR(INDEX('CASE MASTER'!$R$2:$R$495,MATCH("Case MAX Planck Plate 1: C6",'CASE MASTER'!$J$2:$J$495,0)),"")</f>
        <v/>
      </c>
      <c r="H5" s="9" t="str">
        <f>IFERROR(INDEX('CASE MASTER'!$R$2:$R$495,MATCH("Case MAX Planck Plate 1: C7",'CASE MASTER'!$J$2:$J$495,0)),"")</f>
        <v/>
      </c>
      <c r="I5" s="9" t="str">
        <f>IFERROR(INDEX('CASE MASTER'!$R$2:$R$495,MATCH("Case MAX Planck Plate 1: C8",'CASE MASTER'!$J$2:$J$495,0)),"")</f>
        <v/>
      </c>
      <c r="J5" s="9" t="str">
        <f>IFERROR(INDEX('CASE MASTER'!$R$2:$R$495,MATCH("Case MAX Planck Plate 1: C9",'CASE MASTER'!$J$2:$J$495,0)),"")</f>
        <v/>
      </c>
      <c r="K5" s="9" t="str">
        <f>IFERROR(INDEX('CASE MASTER'!$R$2:$R$495,MATCH("Case MAX Planck Plate 1: C10",'CASE MASTER'!$J$2:$J$495,0)),"")</f>
        <v/>
      </c>
      <c r="L5" s="9" t="str">
        <f>IFERROR(INDEX('CASE MASTER'!$R$2:$R$495,MATCH("Case MAX Planck Plate 1: C11",'CASE MASTER'!$J$2:$J$495,0)),"")</f>
        <v/>
      </c>
      <c r="M5" s="9" t="str">
        <f>IFERROR(INDEX('CASE MASTER'!$R$2:$R$495,MATCH("Case MAX Planck Plate 1: C12",'CASE MASTER'!$J$2:$J$495,0)),"")</f>
        <v/>
      </c>
    </row>
    <row r="6" spans="1:13" ht="15" customHeight="1" x14ac:dyDescent="0.35">
      <c r="A6" s="8" t="s">
        <v>31</v>
      </c>
      <c r="B6" s="9" t="str">
        <f>IFERROR(INDEX('CASE MASTER'!$R$2:$R$495,MATCH("Case MAX Planck Plate 1: D1",'CASE MASTER'!$J$2:$J$495,0)),"")</f>
        <v/>
      </c>
      <c r="C6" s="9" t="str">
        <f>IFERROR(INDEX('CASE MASTER'!$R$2:$R$495,MATCH("Case MAX Planck Plate 1: D2",'CASE MASTER'!$J$2:$J$495,0)),"")</f>
        <v/>
      </c>
      <c r="D6" s="9" t="str">
        <f>IFERROR(INDEX('CASE MASTER'!$R$2:$R$495,MATCH("Case MAX Planck Plate 1: D3",'CASE MASTER'!$J$2:$J$495,0)),"")</f>
        <v/>
      </c>
      <c r="E6" s="9" t="str">
        <f>IFERROR(INDEX('CASE MASTER'!$R$2:$R$495,MATCH("Case MAX Planck Plate 1: D4",'CASE MASTER'!$J$2:$J$495,0)),"")</f>
        <v/>
      </c>
      <c r="F6" s="9" t="str">
        <f>IFERROR(INDEX('CASE MASTER'!$R$2:$R$495,MATCH("Case MAX Planck Plate 1: D5",'CASE MASTER'!$J$2:$J$495,0)),"")</f>
        <v/>
      </c>
      <c r="G6" s="9" t="str">
        <f>IFERROR(INDEX('CASE MASTER'!$R$2:$R$495,MATCH("Case MAX Planck Plate 1: D6",'CASE MASTER'!$J$2:$J$495,0)),"")</f>
        <v/>
      </c>
      <c r="H6" s="9" t="str">
        <f>IFERROR(INDEX('CASE MASTER'!$R$2:$R$495,MATCH("Case MAX Planck Plate 1: D7",'CASE MASTER'!$J$2:$J$495,0)),"")</f>
        <v/>
      </c>
      <c r="I6" s="9" t="str">
        <f>IFERROR(INDEX('CASE MASTER'!$R$2:$R$495,MATCH("Case MAX Planck Plate 1: D8",'CASE MASTER'!$J$2:$J$495,0)),"")</f>
        <v/>
      </c>
      <c r="J6" s="9" t="str">
        <f>IFERROR(INDEX('CASE MASTER'!$R$2:$R$495,MATCH("Case MAX Planck Plate 1: D9",'CASE MASTER'!$J$2:$J$495,0)),"")</f>
        <v/>
      </c>
      <c r="K6" s="9" t="str">
        <f>IFERROR(INDEX('CASE MASTER'!$R$2:$R$495,MATCH("Case MAX Planck Plate 1: D10",'CASE MASTER'!$J$2:$J$495,0)),"")</f>
        <v/>
      </c>
      <c r="L6" s="9" t="str">
        <f>IFERROR(INDEX('CASE MASTER'!$R$2:$R$495,MATCH("Case MAX Planck Plate 1: D11",'CASE MASTER'!$J$2:$J$495,0)),"")</f>
        <v/>
      </c>
      <c r="M6" s="9" t="str">
        <f>IFERROR(INDEX('CASE MASTER'!$R$2:$R$495,MATCH("Case MAX Planck Plate 1: D12",'CASE MASTER'!$J$2:$J$495,0)),"")</f>
        <v/>
      </c>
    </row>
    <row r="7" spans="1:13" ht="15" customHeight="1" x14ac:dyDescent="0.35">
      <c r="A7" s="8" t="s">
        <v>32</v>
      </c>
      <c r="B7" s="9" t="str">
        <f>IFERROR(INDEX('CASE MASTER'!$R$2:$R$495,MATCH("Case MAX Planck Plate 1: E1",'CASE MASTER'!$J$2:$J$495,0)),"")</f>
        <v/>
      </c>
      <c r="C7" s="9" t="str">
        <f>IFERROR(INDEX('CASE MASTER'!$R$2:$R$495,MATCH("Case MAX Planck Plate 1: E2",'CASE MASTER'!$J$2:$J$495,0)),"")</f>
        <v/>
      </c>
      <c r="D7" s="9" t="str">
        <f>IFERROR(INDEX('CASE MASTER'!$R$2:$R$495,MATCH("Case MAX Planck Plate 1: E3",'CASE MASTER'!$J$2:$J$495,0)),"")</f>
        <v/>
      </c>
      <c r="E7" s="9" t="str">
        <f>IFERROR(INDEX('CASE MASTER'!$R$2:$R$495,MATCH("Case MAX Planck Plate 1: E4",'CASE MASTER'!$J$2:$J$495,0)),"")</f>
        <v/>
      </c>
      <c r="F7" s="9" t="str">
        <f>IFERROR(INDEX('CASE MASTER'!$R$2:$R$495,MATCH("Case MAX Planck Plate 1: E5",'CASE MASTER'!$J$2:$J$495,0)),"")</f>
        <v/>
      </c>
      <c r="G7" s="9" t="str">
        <f>IFERROR(INDEX('CASE MASTER'!$R$2:$R$495,MATCH("Case MAX Planck Plate 1: E6",'CASE MASTER'!$J$2:$J$495,0)),"")</f>
        <v/>
      </c>
      <c r="H7" s="9" t="str">
        <f>IFERROR(INDEX('CASE MASTER'!$R$2:$R$495,MATCH("Case MAX Planck Plate 1: E7",'CASE MASTER'!$J$2:$J$495,0)),"")</f>
        <v/>
      </c>
      <c r="I7" s="9" t="str">
        <f>IFERROR(INDEX('CASE MASTER'!$R$2:$R$495,MATCH("Case MAX Planck Plate 1: E8",'CASE MASTER'!$J$2:$J$495,0)),"")</f>
        <v/>
      </c>
      <c r="J7" s="9" t="str">
        <f>IFERROR(INDEX('CASE MASTER'!$R$2:$R$495,MATCH("Case MAX Planck Plate 1: E9",'CASE MASTER'!$J$2:$J$495,0)),"")</f>
        <v/>
      </c>
      <c r="K7" s="9" t="str">
        <f>IFERROR(INDEX('CASE MASTER'!$R$2:$R$495,MATCH("Case MAX Planck Plate 1: E10",'CASE MASTER'!$J$2:$J$495,0)),"")</f>
        <v/>
      </c>
      <c r="L7" s="9" t="str">
        <f>IFERROR(INDEX('CASE MASTER'!$R$2:$R$495,MATCH("Case MAX Planck Plate 1: E11",'CASE MASTER'!$J$2:$J$495,0)),"")</f>
        <v/>
      </c>
      <c r="M7" s="9" t="str">
        <f>IFERROR(INDEX('CASE MASTER'!$R$2:$R$495,MATCH("Case MAX Planck Plate 1: E12",'CASE MASTER'!$J$2:$J$495,0)),"")</f>
        <v/>
      </c>
    </row>
    <row r="8" spans="1:13" ht="15" customHeight="1" x14ac:dyDescent="0.35">
      <c r="A8" s="8" t="s">
        <v>33</v>
      </c>
      <c r="B8" s="9" t="str">
        <f>IFERROR(INDEX('CASE MASTER'!$R$2:$R$495,MATCH("Case MAX Planck Plate 1: F1",'CASE MASTER'!$J$2:$J$495,0)),"")</f>
        <v/>
      </c>
      <c r="C8" s="9" t="str">
        <f>IFERROR(INDEX('CASE MASTER'!$R$2:$R$495,MATCH("Case MAX Planck Plate 1: F2",'CASE MASTER'!$J$2:$J$495,0)),"")</f>
        <v/>
      </c>
      <c r="D8" s="9" t="str">
        <f>IFERROR(INDEX('CASE MASTER'!$R$2:$R$495,MATCH("Case MAX Planck Plate 1: F3",'CASE MASTER'!$J$2:$J$495,0)),"")</f>
        <v/>
      </c>
      <c r="E8" s="9" t="str">
        <f>IFERROR(INDEX('CASE MASTER'!$R$2:$R$495,MATCH("Case MAX Planck Plate 1: F4",'CASE MASTER'!$J$2:$J$495,0)),"")</f>
        <v/>
      </c>
      <c r="F8" s="9" t="str">
        <f>IFERROR(INDEX('CASE MASTER'!$R$2:$R$495,MATCH("Case MAX Planck Plate 1: F5",'CASE MASTER'!$J$2:$J$495,0)),"")</f>
        <v/>
      </c>
      <c r="G8" s="9" t="str">
        <f>IFERROR(INDEX('CASE MASTER'!$R$2:$R$495,MATCH("Case MAX Planck Plate 1: F6",'CASE MASTER'!$J$2:$J$495,0)),"")</f>
        <v/>
      </c>
      <c r="H8" s="9" t="str">
        <f>IFERROR(INDEX('CASE MASTER'!$R$2:$R$495,MATCH("Case MAX Planck Plate 1: F7",'CASE MASTER'!$J$2:$J$495,0)),"")</f>
        <v/>
      </c>
      <c r="I8" s="9" t="str">
        <f>IFERROR(INDEX('CASE MASTER'!$R$2:$R$495,MATCH("Case MAX Planck Plate 1: F8",'CASE MASTER'!$J$2:$J$495,0)),"")</f>
        <v/>
      </c>
      <c r="J8" s="9" t="str">
        <f>IFERROR(INDEX('CASE MASTER'!$R$2:$R$495,MATCH("Case MAX Planck Plate 1: F9",'CASE MASTER'!$J$2:$J$495,0)),"")</f>
        <v/>
      </c>
      <c r="K8" s="9" t="str">
        <f>IFERROR(INDEX('CASE MASTER'!$R$2:$R$495,MATCH("Case MAX Planck Plate 1: F10",'CASE MASTER'!$J$2:$J$495,0)),"")</f>
        <v/>
      </c>
      <c r="L8" s="9" t="str">
        <f>IFERROR(INDEX('CASE MASTER'!$R$2:$R$495,MATCH("Case MAX Planck Plate 1: F11",'CASE MASTER'!$J$2:$J$495,0)),"")</f>
        <v/>
      </c>
      <c r="M8" s="9" t="str">
        <f>IFERROR(INDEX('CASE MASTER'!$R$2:$R$495,MATCH("Case MAX Planck Plate 1: F12",'CASE MASTER'!$J$2:$J$495,0)),"")</f>
        <v/>
      </c>
    </row>
    <row r="9" spans="1:13" ht="15" customHeight="1" x14ac:dyDescent="0.35">
      <c r="A9" s="8" t="s">
        <v>34</v>
      </c>
      <c r="B9" s="9" t="str">
        <f>IFERROR(INDEX('CASE MASTER'!$R$2:$R$495,MATCH("Case MAX Planck Plate 1: G1",'CASE MASTER'!$J$2:$J$495,0)),"")</f>
        <v/>
      </c>
      <c r="C9" s="9" t="str">
        <f>IFERROR(INDEX('CASE MASTER'!$R$2:$R$495,MATCH("Case MAX Planck Plate 1: G2",'CASE MASTER'!$J$2:$J$495,0)),"")</f>
        <v/>
      </c>
      <c r="D9" s="9" t="str">
        <f>IFERROR(INDEX('CASE MASTER'!$R$2:$R$495,MATCH("Case MAX Planck Plate 1: G3",'CASE MASTER'!$J$2:$J$495,0)),"")</f>
        <v/>
      </c>
      <c r="E9" s="9" t="str">
        <f>IFERROR(INDEX('CASE MASTER'!$R$2:$R$495,MATCH("Case MAX Planck Plate 1: G4",'CASE MASTER'!$J$2:$J$495,0)),"")</f>
        <v/>
      </c>
      <c r="F9" s="9" t="str">
        <f>IFERROR(INDEX('CASE MASTER'!$R$2:$R$495,MATCH("Case MAX Planck Plate 1: G5",'CASE MASTER'!$J$2:$J$495,0)),"")</f>
        <v/>
      </c>
      <c r="G9" s="9" t="str">
        <f>IFERROR(INDEX('CASE MASTER'!$R$2:$R$495,MATCH("Case MAX Planck Plate 1: G6",'CASE MASTER'!$J$2:$J$495,0)),"")</f>
        <v/>
      </c>
      <c r="H9" s="9" t="str">
        <f>IFERROR(INDEX('CASE MASTER'!$R$2:$R$495,MATCH("Case MAX Planck Plate 1: G7",'CASE MASTER'!$J$2:$J$495,0)),"")</f>
        <v/>
      </c>
      <c r="I9" s="9" t="str">
        <f>IFERROR(INDEX('CASE MASTER'!$R$2:$R$495,MATCH("Case MAX Planck Plate 1: G8",'CASE MASTER'!$J$2:$J$495,0)),"")</f>
        <v/>
      </c>
      <c r="J9" s="9" t="str">
        <f>IFERROR(INDEX('CASE MASTER'!$R$2:$R$495,MATCH("Case MAX Planck Plate 1: G9",'CASE MASTER'!$J$2:$J$495,0)),"")</f>
        <v/>
      </c>
      <c r="K9" s="9" t="str">
        <f>IFERROR(INDEX('CASE MASTER'!$R$2:$R$495,MATCH("Case MAX Planck Plate 1: G10",'CASE MASTER'!$J$2:$J$495,0)),"")</f>
        <v/>
      </c>
      <c r="L9" s="9" t="str">
        <f>IFERROR(INDEX('CASE MASTER'!$R$2:$R$495,MATCH("Case MAX Planck Plate 1: G11",'CASE MASTER'!$J$2:$J$495,0)),"")</f>
        <v/>
      </c>
      <c r="M9" s="9" t="str">
        <f>IFERROR(INDEX('CASE MASTER'!$R$2:$R$495,MATCH("Case MAX Planck Plate 1: G12",'CASE MASTER'!$J$2:$J$495,0)),"")</f>
        <v/>
      </c>
    </row>
    <row r="10" spans="1:13" ht="15" customHeight="1" x14ac:dyDescent="0.35">
      <c r="A10" s="8" t="s">
        <v>35</v>
      </c>
      <c r="B10" s="9" t="str">
        <f>IFERROR(INDEX('CASE MASTER'!$R$2:$R$495,MATCH("Case MAX Planck Plate 1: H1",'CASE MASTER'!$J$2:$J$495,0)),"")</f>
        <v/>
      </c>
      <c r="C10" s="9" t="str">
        <f>IFERROR(INDEX('CASE MASTER'!$R$2:$R$495,MATCH("Case MAX Planck Plate 1: H2",'CASE MASTER'!$J$2:$J$495,0)),"")</f>
        <v/>
      </c>
      <c r="D10" s="9" t="str">
        <f>IFERROR(INDEX('CASE MASTER'!$R$2:$R$495,MATCH("Case MAX Planck Plate 1: H3",'CASE MASTER'!$J$2:$J$495,0)),"")</f>
        <v/>
      </c>
      <c r="E10" s="9" t="str">
        <f>IFERROR(INDEX('CASE MASTER'!$R$2:$R$495,MATCH("Case MAX Planck Plate 1: H4",'CASE MASTER'!$J$2:$J$495,0)),"")</f>
        <v/>
      </c>
      <c r="F10" s="9" t="str">
        <f>IFERROR(INDEX('CASE MASTER'!$R$2:$R$495,MATCH("Case MAX Planck Plate 1: H5",'CASE MASTER'!$J$2:$J$495,0)),"")</f>
        <v/>
      </c>
      <c r="G10" s="9" t="str">
        <f>IFERROR(INDEX('CASE MASTER'!$R$2:$R$495,MATCH("Case MAX Planck Plate 1: H6",'CASE MASTER'!$J$2:$J$495,0)),"")</f>
        <v/>
      </c>
      <c r="H10" s="9" t="str">
        <f>IFERROR(INDEX('CASE MASTER'!$R$2:$R$495,MATCH("Case MAX Planck Plate 1: H7",'CASE MASTER'!$J$2:$J$495,0)),"")</f>
        <v/>
      </c>
      <c r="I10" s="9" t="str">
        <f>IFERROR(INDEX('CASE MASTER'!$R$2:$R$495,MATCH("Case MAX Planck Plate 1: H8",'CASE MASTER'!$J$2:$J$495,0)),"")</f>
        <v/>
      </c>
      <c r="J10" s="9" t="str">
        <f>IFERROR(INDEX('CASE MASTER'!$R$2:$R$495,MATCH("Case MAX Planck Plate 1: H9",'CASE MASTER'!$J$2:$J$495,0)),"")</f>
        <v/>
      </c>
      <c r="K10" s="9" t="str">
        <f>IFERROR(INDEX('CASE MASTER'!$R$2:$R$495,MATCH("Case MAX Planck Plate 1: H10",'CASE MASTER'!$J$2:$J$495,0)),"")</f>
        <v/>
      </c>
      <c r="L10" s="9" t="str">
        <f>IFERROR(INDEX('CASE MASTER'!$R$2:$R$495,MATCH("Case MAX Planck Plate 1: H11",'CASE MASTER'!$J$2:$J$495,0)),"")</f>
        <v/>
      </c>
      <c r="M10" s="9" t="str">
        <f>IFERROR(INDEX('CASE MASTER'!$R$2:$R$495,MATCH("Case MAX Planck Plate 1: H12",'CASE MASTER'!$J$2:$J$495,0)),"")</f>
        <v/>
      </c>
    </row>
    <row r="13" spans="1:13" ht="15" customHeight="1" x14ac:dyDescent="0.35">
      <c r="A13" s="12" t="s">
        <v>66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</row>
    <row r="14" spans="1:13" ht="15" customHeight="1" x14ac:dyDescent="0.35">
      <c r="B14" s="8">
        <v>1</v>
      </c>
      <c r="C14" s="8">
        <v>2</v>
      </c>
      <c r="D14" s="8">
        <v>3</v>
      </c>
      <c r="E14" s="8">
        <v>4</v>
      </c>
      <c r="F14" s="8">
        <v>5</v>
      </c>
      <c r="G14" s="8">
        <v>6</v>
      </c>
      <c r="H14" s="8">
        <v>7</v>
      </c>
      <c r="I14" s="8">
        <v>8</v>
      </c>
      <c r="J14" s="8">
        <v>9</v>
      </c>
      <c r="K14" s="8">
        <v>10</v>
      </c>
      <c r="L14" s="8">
        <v>11</v>
      </c>
      <c r="M14" s="8">
        <v>12</v>
      </c>
    </row>
    <row r="15" spans="1:13" ht="15" customHeight="1" x14ac:dyDescent="0.35">
      <c r="A15" s="8" t="s">
        <v>28</v>
      </c>
      <c r="B15" s="9" t="str">
        <f>IFERROR(INDEX('CASE MASTER'!$R$2:$R$495,MATCH("Case MAX Planck Plate 2: A1",'CASE MASTER'!$J$2:$J$495,0)),"")</f>
        <v/>
      </c>
      <c r="C15" s="9" t="str">
        <f>IFERROR(INDEX('CASE MASTER'!$R$2:$R$495,MATCH("Case MAX Planck Plate 2: A2",'CASE MASTER'!$J$2:$J$495,0)),"")</f>
        <v/>
      </c>
      <c r="D15" s="9" t="str">
        <f>IFERROR(INDEX('CASE MASTER'!$R$2:$R$495,MATCH("Case MAX Planck Plate 2: A3",'CASE MASTER'!$J$2:$J$495,0)),"")</f>
        <v/>
      </c>
      <c r="E15" s="9" t="str">
        <f>IFERROR(INDEX('CASE MASTER'!$R$2:$R$495,MATCH("Case MAX Planck Plate 2: A4",'CASE MASTER'!$J$2:$J$495,0)),"")</f>
        <v/>
      </c>
      <c r="F15" s="9" t="str">
        <f>IFERROR(INDEX('CASE MASTER'!$R$2:$R$495,MATCH("Case MAX Planck Plate 2: A5",'CASE MASTER'!$J$2:$J$495,0)),"")</f>
        <v/>
      </c>
      <c r="G15" s="9" t="str">
        <f>IFERROR(INDEX('CASE MASTER'!$R$2:$R$495,MATCH("Case MAX Planck Plate 2: A6",'CASE MASTER'!$J$2:$J$495,0)),"")</f>
        <v/>
      </c>
      <c r="H15" s="9" t="str">
        <f>IFERROR(INDEX('CASE MASTER'!$R$2:$R$495,MATCH("Case MAX Planck Plate 2: A7",'CASE MASTER'!$J$2:$J$495,0)),"")</f>
        <v/>
      </c>
      <c r="I15" s="9" t="str">
        <f>IFERROR(INDEX('CASE MASTER'!$R$2:$R$495,MATCH("Case MAX Planck Plate 2: A8",'CASE MASTER'!$J$2:$J$495,0)),"")</f>
        <v/>
      </c>
      <c r="J15" s="9" t="str">
        <f>IFERROR(INDEX('CASE MASTER'!$R$2:$R$495,MATCH("Case MAX Planck Plate 2: A9",'CASE MASTER'!$J$2:$J$495,0)),"")</f>
        <v/>
      </c>
      <c r="K15" s="9" t="str">
        <f>IFERROR(INDEX('CASE MASTER'!$R$2:$R$495,MATCH("Case MAX Planck Plate 2: A10",'CASE MASTER'!$J$2:$J$495,0)),"")</f>
        <v/>
      </c>
      <c r="L15" s="9" t="str">
        <f>IFERROR(INDEX('CASE MASTER'!$R$2:$R$495,MATCH("Case MAX Planck Plate 2: A11",'CASE MASTER'!$J$2:$J$495,0)),"")</f>
        <v/>
      </c>
      <c r="M15" s="9" t="str">
        <f>IFERROR(INDEX('CASE MASTER'!$R$2:$R$495,MATCH("Case MAX Planck Plate 2: A12",'CASE MASTER'!$J$2:$J$495,0)),"")</f>
        <v/>
      </c>
    </row>
    <row r="16" spans="1:13" ht="15" customHeight="1" x14ac:dyDescent="0.35">
      <c r="A16" s="8" t="s">
        <v>29</v>
      </c>
      <c r="B16" s="9" t="str">
        <f>IFERROR(INDEX('CASE MASTER'!$R$2:$R$495,MATCH("Case MAX Planck Plate 2: B1",'CASE MASTER'!$J$2:$J$495,0)),"")</f>
        <v/>
      </c>
      <c r="C16" s="9" t="str">
        <f>IFERROR(INDEX('CASE MASTER'!$R$2:$R$495,MATCH("Case MAX Planck Plate 2: B2",'CASE MASTER'!$J$2:$J$495,0)),"")</f>
        <v/>
      </c>
      <c r="D16" s="9" t="str">
        <f>IFERROR(INDEX('CASE MASTER'!$R$2:$R$495,MATCH("Case MAX Planck Plate 2: B3",'CASE MASTER'!$J$2:$J$495,0)),"")</f>
        <v/>
      </c>
      <c r="E16" s="9" t="str">
        <f>IFERROR(INDEX('CASE MASTER'!$R$2:$R$495,MATCH("Case MAX Planck Plate 2: B4",'CASE MASTER'!$J$2:$J$495,0)),"")</f>
        <v/>
      </c>
      <c r="F16" s="9" t="str">
        <f>IFERROR(INDEX('CASE MASTER'!$R$2:$R$495,MATCH("Case MAX Planck Plate 2: B5",'CASE MASTER'!$J$2:$J$495,0)),"")</f>
        <v/>
      </c>
      <c r="G16" s="9" t="str">
        <f>IFERROR(INDEX('CASE MASTER'!$R$2:$R$495,MATCH("Case MAX Planck Plate 2: B6",'CASE MASTER'!$J$2:$J$495,0)),"")</f>
        <v/>
      </c>
      <c r="H16" s="9" t="str">
        <f>IFERROR(INDEX('CASE MASTER'!$R$2:$R$495,MATCH("Case MAX Planck Plate 2: B7",'CASE MASTER'!$J$2:$J$495,0)),"")</f>
        <v/>
      </c>
      <c r="I16" s="9" t="str">
        <f>IFERROR(INDEX('CASE MASTER'!$R$2:$R$495,MATCH("Case MAX Planck Plate 2: B8",'CASE MASTER'!$J$2:$J$495,0)),"")</f>
        <v/>
      </c>
      <c r="J16" s="9" t="str">
        <f>IFERROR(INDEX('CASE MASTER'!$R$2:$R$495,MATCH("Case MAX Planck Plate 2: B9",'CASE MASTER'!$J$2:$J$495,0)),"")</f>
        <v/>
      </c>
      <c r="K16" s="9" t="str">
        <f>IFERROR(INDEX('CASE MASTER'!$R$2:$R$495,MATCH("Case MAX Planck Plate 2: B10",'CASE MASTER'!$J$2:$J$495,0)),"")</f>
        <v/>
      </c>
      <c r="L16" s="9" t="str">
        <f>IFERROR(INDEX('CASE MASTER'!$R$2:$R$495,MATCH("Case MAX Planck Plate 2: B11",'CASE MASTER'!$J$2:$J$495,0)),"")</f>
        <v/>
      </c>
      <c r="M16" s="9" t="str">
        <f>IFERROR(INDEX('CASE MASTER'!$R$2:$R$495,MATCH("Case MAX Planck Plate 2: B12",'CASE MASTER'!$J$2:$J$495,0)),"")</f>
        <v/>
      </c>
    </row>
    <row r="17" spans="1:13" ht="15" customHeight="1" x14ac:dyDescent="0.35">
      <c r="A17" s="8" t="s">
        <v>30</v>
      </c>
      <c r="B17" s="9" t="str">
        <f>IFERROR(INDEX('CASE MASTER'!$R$2:$R$495,MATCH("Case MAX Planck Plate 2: C1",'CASE MASTER'!$J$2:$J$495,0)),"")</f>
        <v/>
      </c>
      <c r="C17" s="9" t="str">
        <f>IFERROR(INDEX('CASE MASTER'!$R$2:$R$495,MATCH("Case MAX Planck Plate 2: C2",'CASE MASTER'!$J$2:$J$495,0)),"")</f>
        <v/>
      </c>
      <c r="D17" s="9" t="str">
        <f>IFERROR(INDEX('CASE MASTER'!$R$2:$R$495,MATCH("Case MAX Planck Plate 2: C3",'CASE MASTER'!$J$2:$J$495,0)),"")</f>
        <v/>
      </c>
      <c r="E17" s="9" t="str">
        <f>IFERROR(INDEX('CASE MASTER'!$R$2:$R$495,MATCH("Case MAX Planck Plate 2: C4",'CASE MASTER'!$J$2:$J$495,0)),"")</f>
        <v/>
      </c>
      <c r="F17" s="9" t="str">
        <f>IFERROR(INDEX('CASE MASTER'!$R$2:$R$495,MATCH("Case MAX Planck Plate 2: C5",'CASE MASTER'!$J$2:$J$495,0)),"")</f>
        <v/>
      </c>
      <c r="G17" s="9" t="str">
        <f>IFERROR(INDEX('CASE MASTER'!$R$2:$R$495,MATCH("Case MAX Planck Plate 2: C6",'CASE MASTER'!$J$2:$J$495,0)),"")</f>
        <v/>
      </c>
      <c r="H17" s="9" t="str">
        <f>IFERROR(INDEX('CASE MASTER'!$R$2:$R$495,MATCH("Case MAX Planck Plate 2: C7",'CASE MASTER'!$J$2:$J$495,0)),"")</f>
        <v/>
      </c>
      <c r="I17" s="9" t="str">
        <f>IFERROR(INDEX('CASE MASTER'!$R$2:$R$495,MATCH("Case MAX Planck Plate 2: C8",'CASE MASTER'!$J$2:$J$495,0)),"")</f>
        <v/>
      </c>
      <c r="J17" s="9" t="str">
        <f>IFERROR(INDEX('CASE MASTER'!$R$2:$R$495,MATCH("Case MAX Planck Plate 2: C9",'CASE MASTER'!$J$2:$J$495,0)),"")</f>
        <v/>
      </c>
      <c r="K17" s="9" t="str">
        <f>IFERROR(INDEX('CASE MASTER'!$R$2:$R$495,MATCH("Case MAX Planck Plate 2: C10",'CASE MASTER'!$J$2:$J$495,0)),"")</f>
        <v/>
      </c>
      <c r="L17" s="9" t="str">
        <f>IFERROR(INDEX('CASE MASTER'!$R$2:$R$495,MATCH("Case MAX Planck Plate 2: C11",'CASE MASTER'!$J$2:$J$495,0)),"")</f>
        <v/>
      </c>
      <c r="M17" s="9" t="str">
        <f>IFERROR(INDEX('CASE MASTER'!$R$2:$R$495,MATCH("Case MAX Planck Plate 2: C12",'CASE MASTER'!$J$2:$J$495,0)),"")</f>
        <v/>
      </c>
    </row>
    <row r="18" spans="1:13" ht="15" customHeight="1" x14ac:dyDescent="0.35">
      <c r="A18" s="8" t="s">
        <v>31</v>
      </c>
      <c r="B18" s="9" t="str">
        <f>IFERROR(INDEX('CASE MASTER'!$R$2:$R$495,MATCH("Case MAX Planck Plate 2: D1",'CASE MASTER'!$J$2:$J$495,0)),"")</f>
        <v/>
      </c>
      <c r="C18" s="9" t="str">
        <f>IFERROR(INDEX('CASE MASTER'!$R$2:$R$495,MATCH("Case MAX Planck Plate 2: D2",'CASE MASTER'!$J$2:$J$495,0)),"")</f>
        <v/>
      </c>
      <c r="D18" s="9" t="str">
        <f>IFERROR(INDEX('CASE MASTER'!$R$2:$R$495,MATCH("Case MAX Planck Plate 2: D3",'CASE MASTER'!$J$2:$J$495,0)),"")</f>
        <v/>
      </c>
      <c r="E18" s="9" t="str">
        <f>IFERROR(INDEX('CASE MASTER'!$R$2:$R$495,MATCH("Case MAX Planck Plate 2: D4",'CASE MASTER'!$J$2:$J$495,0)),"")</f>
        <v/>
      </c>
      <c r="F18" s="9" t="str">
        <f>IFERROR(INDEX('CASE MASTER'!$R$2:$R$495,MATCH("Case MAX Planck Plate 2: D5",'CASE MASTER'!$J$2:$J$495,0)),"")</f>
        <v/>
      </c>
      <c r="G18" s="9" t="str">
        <f>IFERROR(INDEX('CASE MASTER'!$R$2:$R$495,MATCH("Case MAX Planck Plate 2: D6",'CASE MASTER'!$J$2:$J$495,0)),"")</f>
        <v/>
      </c>
      <c r="H18" s="9" t="str">
        <f>IFERROR(INDEX('CASE MASTER'!$R$2:$R$495,MATCH("Case MAX Planck Plate 2: D7",'CASE MASTER'!$J$2:$J$495,0)),"")</f>
        <v/>
      </c>
      <c r="I18" s="9" t="str">
        <f>IFERROR(INDEX('CASE MASTER'!$R$2:$R$495,MATCH("Case MAX Planck Plate 2: D8",'CASE MASTER'!$J$2:$J$495,0)),"")</f>
        <v/>
      </c>
      <c r="J18" s="9" t="str">
        <f>IFERROR(INDEX('CASE MASTER'!$R$2:$R$495,MATCH("Case MAX Planck Plate 2: D9",'CASE MASTER'!$J$2:$J$495,0)),"")</f>
        <v/>
      </c>
      <c r="K18" s="9" t="str">
        <f>IFERROR(INDEX('CASE MASTER'!$R$2:$R$495,MATCH("Case MAX Planck Plate 2: D10",'CASE MASTER'!$J$2:$J$495,0)),"")</f>
        <v/>
      </c>
      <c r="L18" s="9" t="str">
        <f>IFERROR(INDEX('CASE MASTER'!$R$2:$R$495,MATCH("Case MAX Planck Plate 2: D11",'CASE MASTER'!$J$2:$J$495,0)),"")</f>
        <v/>
      </c>
      <c r="M18" s="9" t="str">
        <f>IFERROR(INDEX('CASE MASTER'!$R$2:$R$495,MATCH("Case MAX Planck Plate 2: D12",'CASE MASTER'!$J$2:$J$495,0)),"")</f>
        <v/>
      </c>
    </row>
    <row r="19" spans="1:13" ht="15" customHeight="1" x14ac:dyDescent="0.35">
      <c r="A19" s="8" t="s">
        <v>32</v>
      </c>
      <c r="B19" s="9" t="str">
        <f>IFERROR(INDEX('CASE MASTER'!$R$2:$R$495,MATCH("Case MAX Planck Plate 2: E1",'CASE MASTER'!$J$2:$J$495,0)),"")</f>
        <v/>
      </c>
      <c r="C19" s="9" t="str">
        <f>IFERROR(INDEX('CASE MASTER'!$R$2:$R$495,MATCH("Case MAX Planck Plate 2: E2",'CASE MASTER'!$J$2:$J$495,0)),"")</f>
        <v/>
      </c>
      <c r="D19" s="9" t="str">
        <f>IFERROR(INDEX('CASE MASTER'!$R$2:$R$495,MATCH("Case MAX Planck Plate 2: E3",'CASE MASTER'!$J$2:$J$495,0)),"")</f>
        <v/>
      </c>
      <c r="E19" s="9" t="str">
        <f>IFERROR(INDEX('CASE MASTER'!$R$2:$R$495,MATCH("Case MAX Planck Plate 2: E4",'CASE MASTER'!$J$2:$J$495,0)),"")</f>
        <v/>
      </c>
      <c r="F19" s="9" t="str">
        <f>IFERROR(INDEX('CASE MASTER'!$R$2:$R$495,MATCH("Case MAX Planck Plate 2: E5",'CASE MASTER'!$J$2:$J$495,0)),"")</f>
        <v/>
      </c>
      <c r="G19" s="9" t="str">
        <f>IFERROR(INDEX('CASE MASTER'!$R$2:$R$495,MATCH("Case MAX Planck Plate 2: E6",'CASE MASTER'!$J$2:$J$495,0)),"")</f>
        <v/>
      </c>
      <c r="H19" s="9" t="str">
        <f>IFERROR(INDEX('CASE MASTER'!$R$2:$R$495,MATCH("Case MAX Planck Plate 2: E7",'CASE MASTER'!$J$2:$J$495,0)),"")</f>
        <v/>
      </c>
      <c r="I19" s="9" t="str">
        <f>IFERROR(INDEX('CASE MASTER'!$R$2:$R$495,MATCH("Case MAX Planck Plate 2: E8",'CASE MASTER'!$J$2:$J$495,0)),"")</f>
        <v/>
      </c>
      <c r="J19" s="9" t="str">
        <f>IFERROR(INDEX('CASE MASTER'!$R$2:$R$495,MATCH("Case MAX Planck Plate 2: E9",'CASE MASTER'!$J$2:$J$495,0)),"")</f>
        <v/>
      </c>
      <c r="K19" s="9" t="str">
        <f>IFERROR(INDEX('CASE MASTER'!$R$2:$R$495,MATCH("Case MAX Planck Plate 2: E10",'CASE MASTER'!$J$2:$J$495,0)),"")</f>
        <v/>
      </c>
      <c r="L19" s="9" t="str">
        <f>IFERROR(INDEX('CASE MASTER'!$R$2:$R$495,MATCH("Case MAX Planck Plate 2: E11",'CASE MASTER'!$J$2:$J$495,0)),"")</f>
        <v/>
      </c>
      <c r="M19" s="9" t="str">
        <f>IFERROR(INDEX('CASE MASTER'!$R$2:$R$495,MATCH("Case MAX Planck Plate 2: E12",'CASE MASTER'!$J$2:$J$495,0)),"")</f>
        <v/>
      </c>
    </row>
    <row r="20" spans="1:13" ht="15" customHeight="1" x14ac:dyDescent="0.35">
      <c r="A20" s="8" t="s">
        <v>33</v>
      </c>
      <c r="B20" s="9" t="str">
        <f>IFERROR(INDEX('CASE MASTER'!$R$2:$R$495,MATCH("Case MAX Planck Plate 2: F1",'CASE MASTER'!$J$2:$J$495,0)),"")</f>
        <v/>
      </c>
      <c r="C20" s="9" t="str">
        <f>IFERROR(INDEX('CASE MASTER'!$R$2:$R$495,MATCH("Case MAX Planck Plate 2: F2",'CASE MASTER'!$J$2:$J$495,0)),"")</f>
        <v/>
      </c>
      <c r="D20" s="9" t="str">
        <f>IFERROR(INDEX('CASE MASTER'!$R$2:$R$495,MATCH("Case MAX Planck Plate 2: F3",'CASE MASTER'!$J$2:$J$495,0)),"")</f>
        <v/>
      </c>
      <c r="E20" s="9" t="str">
        <f>IFERROR(INDEX('CASE MASTER'!$R$2:$R$495,MATCH("Case MAX Planck Plate 2: F4",'CASE MASTER'!$J$2:$J$495,0)),"")</f>
        <v/>
      </c>
      <c r="F20" s="9" t="str">
        <f>IFERROR(INDEX('CASE MASTER'!$R$2:$R$495,MATCH("Case MAX Planck Plate 2: F5",'CASE MASTER'!$J$2:$J$495,0)),"")</f>
        <v/>
      </c>
      <c r="G20" s="9" t="str">
        <f>IFERROR(INDEX('CASE MASTER'!$R$2:$R$495,MATCH("Case MAX Planck Plate 2: F6",'CASE MASTER'!$J$2:$J$495,0)),"")</f>
        <v/>
      </c>
      <c r="H20" s="9" t="str">
        <f>IFERROR(INDEX('CASE MASTER'!$R$2:$R$495,MATCH("Case MAX Planck Plate 2: F7",'CASE MASTER'!$J$2:$J$495,0)),"")</f>
        <v/>
      </c>
      <c r="I20" s="9" t="str">
        <f>IFERROR(INDEX('CASE MASTER'!$R$2:$R$495,MATCH("Case MAX Planck Plate 2: F8",'CASE MASTER'!$J$2:$J$495,0)),"")</f>
        <v/>
      </c>
      <c r="J20" s="9" t="str">
        <f>IFERROR(INDEX('CASE MASTER'!$R$2:$R$495,MATCH("Case MAX Planck Plate 2: F9",'CASE MASTER'!$J$2:$J$495,0)),"")</f>
        <v/>
      </c>
      <c r="K20" s="9" t="str">
        <f>IFERROR(INDEX('CASE MASTER'!$R$2:$R$495,MATCH("Case MAX Planck Plate 2: F10",'CASE MASTER'!$J$2:$J$495,0)),"")</f>
        <v/>
      </c>
      <c r="L20" s="9" t="str">
        <f>IFERROR(INDEX('CASE MASTER'!$R$2:$R$495,MATCH("Case MAX Planck Plate 2: F11",'CASE MASTER'!$J$2:$J$495,0)),"")</f>
        <v/>
      </c>
      <c r="M20" s="9" t="str">
        <f>IFERROR(INDEX('CASE MASTER'!$R$2:$R$495,MATCH("Case MAX Planck Plate 2: F12",'CASE MASTER'!$J$2:$J$495,0)),"")</f>
        <v/>
      </c>
    </row>
    <row r="21" spans="1:13" ht="15" customHeight="1" x14ac:dyDescent="0.35">
      <c r="A21" s="8" t="s">
        <v>34</v>
      </c>
      <c r="B21" s="9" t="str">
        <f>IFERROR(INDEX('CASE MASTER'!$R$2:$R$495,MATCH("Case MAX Planck Plate 2: G1",'CASE MASTER'!$J$2:$J$495,0)),"")</f>
        <v/>
      </c>
      <c r="C21" s="9" t="str">
        <f>IFERROR(INDEX('CASE MASTER'!$R$2:$R$495,MATCH("Case MAX Planck Plate 2: G2",'CASE MASTER'!$J$2:$J$495,0)),"")</f>
        <v/>
      </c>
      <c r="D21" s="9" t="str">
        <f>IFERROR(INDEX('CASE MASTER'!$R$2:$R$495,MATCH("Case MAX Planck Plate 2: G3",'CASE MASTER'!$J$2:$J$495,0)),"")</f>
        <v/>
      </c>
      <c r="E21" s="9" t="str">
        <f>IFERROR(INDEX('CASE MASTER'!$R$2:$R$495,MATCH("Case MAX Planck Plate 2: G4",'CASE MASTER'!$J$2:$J$495,0)),"")</f>
        <v/>
      </c>
      <c r="F21" s="9" t="str">
        <f>IFERROR(INDEX('CASE MASTER'!$R$2:$R$495,MATCH("Case MAX Planck Plate 2: G5",'CASE MASTER'!$J$2:$J$495,0)),"")</f>
        <v/>
      </c>
      <c r="G21" s="9" t="str">
        <f>IFERROR(INDEX('CASE MASTER'!$R$2:$R$495,MATCH("Case MAX Planck Plate 2: G6",'CASE MASTER'!$J$2:$J$495,0)),"")</f>
        <v/>
      </c>
      <c r="H21" s="9" t="str">
        <f>IFERROR(INDEX('CASE MASTER'!$R$2:$R$495,MATCH("Case MAX Planck Plate 2: G7",'CASE MASTER'!$J$2:$J$495,0)),"")</f>
        <v/>
      </c>
      <c r="I21" s="9" t="str">
        <f>IFERROR(INDEX('CASE MASTER'!$R$2:$R$495,MATCH("Case MAX Planck Plate 2: G8",'CASE MASTER'!$J$2:$J$495,0)),"")</f>
        <v/>
      </c>
      <c r="J21" s="9" t="str">
        <f>IFERROR(INDEX('CASE MASTER'!$R$2:$R$495,MATCH("Case MAX Planck Plate 2: G9",'CASE MASTER'!$J$2:$J$495,0)),"")</f>
        <v/>
      </c>
      <c r="K21" s="9" t="str">
        <f>IFERROR(INDEX('CASE MASTER'!$R$2:$R$495,MATCH("Case MAX Planck Plate 2: G10",'CASE MASTER'!$J$2:$J$495,0)),"")</f>
        <v/>
      </c>
      <c r="L21" s="9" t="str">
        <f>IFERROR(INDEX('CASE MASTER'!$R$2:$R$495,MATCH("Case MAX Planck Plate 2: G11",'CASE MASTER'!$J$2:$J$495,0)),"")</f>
        <v/>
      </c>
      <c r="M21" s="9" t="str">
        <f>IFERROR(INDEX('CASE MASTER'!$R$2:$R$495,MATCH("Case MAX Planck Plate 2: G12",'CASE MASTER'!$J$2:$J$495,0)),"")</f>
        <v/>
      </c>
    </row>
    <row r="22" spans="1:13" ht="15" customHeight="1" x14ac:dyDescent="0.35">
      <c r="A22" s="8" t="s">
        <v>35</v>
      </c>
      <c r="B22" s="9" t="str">
        <f>IFERROR(INDEX('CASE MASTER'!$R$2:$R$495,MATCH("Case MAX Planck Plate 2: H1",'CASE MASTER'!$J$2:$J$495,0)),"")</f>
        <v/>
      </c>
      <c r="C22" s="9" t="str">
        <f>IFERROR(INDEX('CASE MASTER'!$R$2:$R$495,MATCH("Case MAX Planck Plate 2: H2",'CASE MASTER'!$J$2:$J$495,0)),"")</f>
        <v/>
      </c>
      <c r="D22" s="9" t="str">
        <f>IFERROR(INDEX('CASE MASTER'!$R$2:$R$495,MATCH("Case MAX Planck Plate 2: H3",'CASE MASTER'!$J$2:$J$495,0)),"")</f>
        <v/>
      </c>
      <c r="E22" s="9" t="str">
        <f>IFERROR(INDEX('CASE MASTER'!$R$2:$R$495,MATCH("Case MAX Planck Plate 2: H4",'CASE MASTER'!$J$2:$J$495,0)),"")</f>
        <v/>
      </c>
      <c r="F22" s="9" t="str">
        <f>IFERROR(INDEX('CASE MASTER'!$R$2:$R$495,MATCH("Case MAX Planck Plate 2: H5",'CASE MASTER'!$J$2:$J$495,0)),"")</f>
        <v/>
      </c>
      <c r="G22" s="9" t="str">
        <f>IFERROR(INDEX('CASE MASTER'!$R$2:$R$495,MATCH("Case MAX Planck Plate 2: H6",'CASE MASTER'!$J$2:$J$495,0)),"")</f>
        <v/>
      </c>
      <c r="H22" s="9" t="str">
        <f>IFERROR(INDEX('CASE MASTER'!$R$2:$R$495,MATCH("Case MAX Planck Plate 2: H7",'CASE MASTER'!$J$2:$J$495,0)),"")</f>
        <v/>
      </c>
      <c r="I22" s="9" t="str">
        <f>IFERROR(INDEX('CASE MASTER'!$R$2:$R$495,MATCH("Case MAX Planck Plate 2: H8",'CASE MASTER'!$J$2:$J$495,0)),"")</f>
        <v/>
      </c>
      <c r="J22" s="9" t="str">
        <f>IFERROR(INDEX('CASE MASTER'!$R$2:$R$495,MATCH("Case MAX Planck Plate 2: H9",'CASE MASTER'!$J$2:$J$495,0)),"")</f>
        <v/>
      </c>
      <c r="K22" s="9" t="str">
        <f>IFERROR(INDEX('CASE MASTER'!$R$2:$R$495,MATCH("Case MAX Planck Plate 2: H10",'CASE MASTER'!$J$2:$J$495,0)),"")</f>
        <v/>
      </c>
      <c r="L22" s="9" t="str">
        <f>IFERROR(INDEX('CASE MASTER'!$R$2:$R$495,MATCH("Case MAX Planck Plate 2: H11",'CASE MASTER'!$J$2:$J$495,0)),"")</f>
        <v/>
      </c>
      <c r="M22" s="9" t="str">
        <f>IFERROR(INDEX('CASE MASTER'!$R$2:$R$495,MATCH("Case MAX Planck Plate 2: H12",'CASE MASTER'!$J$2:$J$495,0)),"")</f>
        <v/>
      </c>
    </row>
    <row r="25" spans="1:13" ht="15" customHeight="1" x14ac:dyDescent="0.35">
      <c r="A25" s="12" t="s">
        <v>67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</row>
    <row r="26" spans="1:13" ht="15" customHeight="1" x14ac:dyDescent="0.35">
      <c r="B26" s="8">
        <v>1</v>
      </c>
      <c r="C26" s="8">
        <v>2</v>
      </c>
      <c r="D26" s="8">
        <v>3</v>
      </c>
      <c r="E26" s="8">
        <v>4</v>
      </c>
      <c r="F26" s="8">
        <v>5</v>
      </c>
      <c r="G26" s="8">
        <v>6</v>
      </c>
      <c r="H26" s="8">
        <v>7</v>
      </c>
      <c r="I26" s="8">
        <v>8</v>
      </c>
      <c r="J26" s="8">
        <v>9</v>
      </c>
      <c r="K26" s="8">
        <v>10</v>
      </c>
      <c r="L26" s="8">
        <v>11</v>
      </c>
      <c r="M26" s="8">
        <v>12</v>
      </c>
    </row>
    <row r="27" spans="1:13" ht="15" customHeight="1" x14ac:dyDescent="0.35">
      <c r="A27" s="8" t="s">
        <v>28</v>
      </c>
      <c r="B27" s="9" t="str">
        <f>IFERROR(INDEX('CASE MASTER'!$R$2:$R$495,MATCH("Case MAX Planck Plate 3: A1",'CASE MASTER'!$J$2:$J$495,0)),"")</f>
        <v/>
      </c>
      <c r="C27" s="9" t="str">
        <f>IFERROR(INDEX('CASE MASTER'!$R$2:$R$495,MATCH("Case MAX Planck Plate 3: A2",'CASE MASTER'!$J$2:$J$495,0)),"")</f>
        <v/>
      </c>
      <c r="D27" s="9" t="str">
        <f>IFERROR(INDEX('CASE MASTER'!$R$2:$R$495,MATCH("Case MAX Planck Plate 3: A3",'CASE MASTER'!$J$2:$J$495,0)),"")</f>
        <v/>
      </c>
      <c r="E27" s="9" t="str">
        <f>IFERROR(INDEX('CASE MASTER'!$R$2:$R$495,MATCH("Case MAX Planck Plate 3: A4",'CASE MASTER'!$J$2:$J$495,0)),"")</f>
        <v/>
      </c>
      <c r="F27" s="9" t="str">
        <f>IFERROR(INDEX('CASE MASTER'!$R$2:$R$495,MATCH("Case MAX Planck Plate 3: A5",'CASE MASTER'!$J$2:$J$495,0)),"")</f>
        <v/>
      </c>
      <c r="G27" s="9" t="str">
        <f>IFERROR(INDEX('CASE MASTER'!$R$2:$R$495,MATCH("Case MAX Planck Plate 3: A6",'CASE MASTER'!$J$2:$J$495,0)),"")</f>
        <v/>
      </c>
      <c r="H27" s="9" t="str">
        <f>IFERROR(INDEX('CASE MASTER'!$R$2:$R$495,MATCH("Case MAX Planck Plate 3: A7",'CASE MASTER'!$J$2:$J$495,0)),"")</f>
        <v/>
      </c>
      <c r="I27" s="9" t="str">
        <f>IFERROR(INDEX('CASE MASTER'!$R$2:$R$495,MATCH("Case MAX Planck Plate 3: A8",'CASE MASTER'!$J$2:$J$495,0)),"")</f>
        <v/>
      </c>
      <c r="J27" s="9" t="str">
        <f>IFERROR(INDEX('CASE MASTER'!$R$2:$R$495,MATCH("Case MAX Planck Plate 3: A9",'CASE MASTER'!$J$2:$J$495,0)),"")</f>
        <v/>
      </c>
      <c r="K27" s="9" t="str">
        <f>IFERROR(INDEX('CASE MASTER'!$R$2:$R$495,MATCH("Case MAX Planck Plate 3: A10",'CASE MASTER'!$J$2:$J$495,0)),"")</f>
        <v/>
      </c>
      <c r="L27" s="9" t="str">
        <f>IFERROR(INDEX('CASE MASTER'!$R$2:$R$495,MATCH("Case MAX Planck Plate 3: A11",'CASE MASTER'!$J$2:$J$495,0)),"")</f>
        <v/>
      </c>
      <c r="M27" s="9" t="str">
        <f>IFERROR(INDEX('CASE MASTER'!$R$2:$R$495,MATCH("Case MAX Planck Plate 3: A12",'CASE MASTER'!$J$2:$J$495,0)),"")</f>
        <v/>
      </c>
    </row>
    <row r="28" spans="1:13" ht="15" customHeight="1" x14ac:dyDescent="0.35">
      <c r="A28" s="8" t="s">
        <v>29</v>
      </c>
      <c r="B28" s="9" t="str">
        <f>IFERROR(INDEX('CASE MASTER'!$R$2:$R$495,MATCH("Case MAX Planck Plate 3: B1",'CASE MASTER'!$J$2:$J$495,0)),"")</f>
        <v/>
      </c>
      <c r="C28" s="9" t="str">
        <f>IFERROR(INDEX('CASE MASTER'!$R$2:$R$495,MATCH("Case MAX Planck Plate 3: B2",'CASE MASTER'!$J$2:$J$495,0)),"")</f>
        <v/>
      </c>
      <c r="D28" s="9" t="str">
        <f>IFERROR(INDEX('CASE MASTER'!$R$2:$R$495,MATCH("Case MAX Planck Plate 3: B3",'CASE MASTER'!$J$2:$J$495,0)),"")</f>
        <v/>
      </c>
      <c r="E28" s="9" t="str">
        <f>IFERROR(INDEX('CASE MASTER'!$R$2:$R$495,MATCH("Case MAX Planck Plate 3: B4",'CASE MASTER'!$J$2:$J$495,0)),"")</f>
        <v/>
      </c>
      <c r="F28" s="9" t="str">
        <f>IFERROR(INDEX('CASE MASTER'!$R$2:$R$495,MATCH("Case MAX Planck Plate 3: B5",'CASE MASTER'!$J$2:$J$495,0)),"")</f>
        <v/>
      </c>
      <c r="G28" s="9" t="str">
        <f>IFERROR(INDEX('CASE MASTER'!$R$2:$R$495,MATCH("Case MAX Planck Plate 3: B6",'CASE MASTER'!$J$2:$J$495,0)),"")</f>
        <v/>
      </c>
      <c r="H28" s="9" t="str">
        <f>IFERROR(INDEX('CASE MASTER'!$R$2:$R$495,MATCH("Case MAX Planck Plate 3: B7",'CASE MASTER'!$J$2:$J$495,0)),"")</f>
        <v/>
      </c>
      <c r="I28" s="9" t="str">
        <f>IFERROR(INDEX('CASE MASTER'!$R$2:$R$495,MATCH("Case MAX Planck Plate 3: B8",'CASE MASTER'!$J$2:$J$495,0)),"")</f>
        <v/>
      </c>
      <c r="J28" s="9" t="str">
        <f>IFERROR(INDEX('CASE MASTER'!$R$2:$R$495,MATCH("Case MAX Planck Plate 3: B9",'CASE MASTER'!$J$2:$J$495,0)),"")</f>
        <v/>
      </c>
      <c r="K28" s="9" t="str">
        <f>IFERROR(INDEX('CASE MASTER'!$R$2:$R$495,MATCH("Case MAX Planck Plate 3: B10",'CASE MASTER'!$J$2:$J$495,0)),"")</f>
        <v/>
      </c>
      <c r="L28" s="9" t="str">
        <f>IFERROR(INDEX('CASE MASTER'!$R$2:$R$495,MATCH("Case MAX Planck Plate 3: B11",'CASE MASTER'!$J$2:$J$495,0)),"")</f>
        <v/>
      </c>
      <c r="M28" s="9" t="str">
        <f>IFERROR(INDEX('CASE MASTER'!$R$2:$R$495,MATCH("Case MAX Planck Plate 3: B12",'CASE MASTER'!$J$2:$J$495,0)),"")</f>
        <v/>
      </c>
    </row>
    <row r="29" spans="1:13" ht="15" customHeight="1" x14ac:dyDescent="0.35">
      <c r="A29" s="8" t="s">
        <v>30</v>
      </c>
      <c r="B29" s="9" t="str">
        <f>IFERROR(INDEX('CASE MASTER'!$R$2:$R$495,MATCH("Case MAX Planck Plate 3: C1",'CASE MASTER'!$J$2:$J$495,0)),"")</f>
        <v/>
      </c>
      <c r="C29" s="9" t="str">
        <f>IFERROR(INDEX('CASE MASTER'!$R$2:$R$495,MATCH("Case MAX Planck Plate 3: C2",'CASE MASTER'!$J$2:$J$495,0)),"")</f>
        <v/>
      </c>
      <c r="D29" s="9" t="str">
        <f>IFERROR(INDEX('CASE MASTER'!$R$2:$R$495,MATCH("Case MAX Planck Plate 3: C3",'CASE MASTER'!$J$2:$J$495,0)),"")</f>
        <v/>
      </c>
      <c r="E29" s="9" t="str">
        <f>IFERROR(INDEX('CASE MASTER'!$R$2:$R$495,MATCH("Case MAX Planck Plate 3: C4",'CASE MASTER'!$J$2:$J$495,0)),"")</f>
        <v/>
      </c>
      <c r="F29" s="9" t="str">
        <f>IFERROR(INDEX('CASE MASTER'!$R$2:$R$495,MATCH("Case MAX Planck Plate 3: C5",'CASE MASTER'!$J$2:$J$495,0)),"")</f>
        <v/>
      </c>
      <c r="G29" s="9" t="str">
        <f>IFERROR(INDEX('CASE MASTER'!$R$2:$R$495,MATCH("Case MAX Planck Plate 3: C6",'CASE MASTER'!$J$2:$J$495,0)),"")</f>
        <v/>
      </c>
      <c r="H29" s="9" t="str">
        <f>IFERROR(INDEX('CASE MASTER'!$R$2:$R$495,MATCH("Case MAX Planck Plate 3: C7",'CASE MASTER'!$J$2:$J$495,0)),"")</f>
        <v/>
      </c>
      <c r="I29" s="9" t="str">
        <f>IFERROR(INDEX('CASE MASTER'!$R$2:$R$495,MATCH("Case MAX Planck Plate 3: C8",'CASE MASTER'!$J$2:$J$495,0)),"")</f>
        <v/>
      </c>
      <c r="J29" s="9" t="str">
        <f>IFERROR(INDEX('CASE MASTER'!$R$2:$R$495,MATCH("Case MAX Planck Plate 3: C9",'CASE MASTER'!$J$2:$J$495,0)),"")</f>
        <v/>
      </c>
      <c r="K29" s="9" t="str">
        <f>IFERROR(INDEX('CASE MASTER'!$R$2:$R$495,MATCH("Case MAX Planck Plate 3: C10",'CASE MASTER'!$J$2:$J$495,0)),"")</f>
        <v/>
      </c>
      <c r="L29" s="9" t="str">
        <f>IFERROR(INDEX('CASE MASTER'!$R$2:$R$495,MATCH("Case MAX Planck Plate 3: C11",'CASE MASTER'!$J$2:$J$495,0)),"")</f>
        <v/>
      </c>
      <c r="M29" s="9" t="str">
        <f>IFERROR(INDEX('CASE MASTER'!$R$2:$R$495,MATCH("Case MAX Planck Plate 3: C12",'CASE MASTER'!$J$2:$J$495,0)),"")</f>
        <v/>
      </c>
    </row>
    <row r="30" spans="1:13" ht="15" customHeight="1" x14ac:dyDescent="0.35">
      <c r="A30" s="8" t="s">
        <v>31</v>
      </c>
      <c r="B30" s="9" t="str">
        <f>IFERROR(INDEX('CASE MASTER'!$R$2:$R$495,MATCH("Case MAX Planck Plate 3: D1",'CASE MASTER'!$J$2:$J$495,0)),"")</f>
        <v/>
      </c>
      <c r="C30" s="9" t="str">
        <f>IFERROR(INDEX('CASE MASTER'!$R$2:$R$495,MATCH("Case MAX Planck Plate 3: D2",'CASE MASTER'!$J$2:$J$495,0)),"")</f>
        <v/>
      </c>
      <c r="D30" s="9" t="str">
        <f>IFERROR(INDEX('CASE MASTER'!$R$2:$R$495,MATCH("Case MAX Planck Plate 3: D3",'CASE MASTER'!$J$2:$J$495,0)),"")</f>
        <v/>
      </c>
      <c r="E30" s="9" t="str">
        <f>IFERROR(INDEX('CASE MASTER'!$R$2:$R$495,MATCH("Case MAX Planck Plate 3: D4",'CASE MASTER'!$J$2:$J$495,0)),"")</f>
        <v/>
      </c>
      <c r="F30" s="9" t="str">
        <f>IFERROR(INDEX('CASE MASTER'!$R$2:$R$495,MATCH("Case MAX Planck Plate 3: D5",'CASE MASTER'!$J$2:$J$495,0)),"")</f>
        <v/>
      </c>
      <c r="G30" s="9" t="str">
        <f>IFERROR(INDEX('CASE MASTER'!$R$2:$R$495,MATCH("Case MAX Planck Plate 3: D6",'CASE MASTER'!$J$2:$J$495,0)),"")</f>
        <v/>
      </c>
      <c r="H30" s="9" t="str">
        <f>IFERROR(INDEX('CASE MASTER'!$R$2:$R$495,MATCH("Case MAX Planck Plate 3: D7",'CASE MASTER'!$J$2:$J$495,0)),"")</f>
        <v/>
      </c>
      <c r="I30" s="9" t="str">
        <f>IFERROR(INDEX('CASE MASTER'!$R$2:$R$495,MATCH("Case MAX Planck Plate 3: D8",'CASE MASTER'!$J$2:$J$495,0)),"")</f>
        <v/>
      </c>
      <c r="J30" s="9" t="str">
        <f>IFERROR(INDEX('CASE MASTER'!$R$2:$R$495,MATCH("Case MAX Planck Plate 3: D9",'CASE MASTER'!$J$2:$J$495,0)),"")</f>
        <v/>
      </c>
      <c r="K30" s="9" t="str">
        <f>IFERROR(INDEX('CASE MASTER'!$R$2:$R$495,MATCH("Case MAX Planck Plate 3: D10",'CASE MASTER'!$J$2:$J$495,0)),"")</f>
        <v/>
      </c>
      <c r="L30" s="9" t="str">
        <f>IFERROR(INDEX('CASE MASTER'!$R$2:$R$495,MATCH("Case MAX Planck Plate 3: D11",'CASE MASTER'!$J$2:$J$495,0)),"")</f>
        <v/>
      </c>
      <c r="M30" s="9" t="str">
        <f>IFERROR(INDEX('CASE MASTER'!$R$2:$R$495,MATCH("Case MAX Planck Plate 3: D12",'CASE MASTER'!$J$2:$J$495,0)),"")</f>
        <v/>
      </c>
    </row>
    <row r="31" spans="1:13" ht="15" customHeight="1" x14ac:dyDescent="0.35">
      <c r="A31" s="8" t="s">
        <v>32</v>
      </c>
      <c r="B31" s="9" t="str">
        <f>IFERROR(INDEX('CASE MASTER'!$R$2:$R$495,MATCH("Case MAX Planck Plate 3: E1",'CASE MASTER'!$J$2:$J$495,0)),"")</f>
        <v/>
      </c>
      <c r="C31" s="9" t="str">
        <f>IFERROR(INDEX('CASE MASTER'!$R$2:$R$495,MATCH("Case MAX Planck Plate 3: E2",'CASE MASTER'!$J$2:$J$495,0)),"")</f>
        <v/>
      </c>
      <c r="D31" s="9" t="str">
        <f>IFERROR(INDEX('CASE MASTER'!$R$2:$R$495,MATCH("Case MAX Planck Plate 3: E3",'CASE MASTER'!$J$2:$J$495,0)),"")</f>
        <v/>
      </c>
      <c r="E31" s="9" t="str">
        <f>IFERROR(INDEX('CASE MASTER'!$R$2:$R$495,MATCH("Case MAX Planck Plate 3: E4",'CASE MASTER'!$J$2:$J$495,0)),"")</f>
        <v/>
      </c>
      <c r="F31" s="9" t="str">
        <f>IFERROR(INDEX('CASE MASTER'!$R$2:$R$495,MATCH("Case MAX Planck Plate 3: E5",'CASE MASTER'!$J$2:$J$495,0)),"")</f>
        <v/>
      </c>
      <c r="G31" s="9" t="str">
        <f>IFERROR(INDEX('CASE MASTER'!$R$2:$R$495,MATCH("Case MAX Planck Plate 3: E6",'CASE MASTER'!$J$2:$J$495,0)),"")</f>
        <v/>
      </c>
      <c r="H31" s="9" t="str">
        <f>IFERROR(INDEX('CASE MASTER'!$R$2:$R$495,MATCH("Case MAX Planck Plate 3: E7",'CASE MASTER'!$J$2:$J$495,0)),"")</f>
        <v/>
      </c>
      <c r="I31" s="9" t="str">
        <f>IFERROR(INDEX('CASE MASTER'!$R$2:$R$495,MATCH("Case MAX Planck Plate 3: E8",'CASE MASTER'!$J$2:$J$495,0)),"")</f>
        <v/>
      </c>
      <c r="J31" s="9" t="str">
        <f>IFERROR(INDEX('CASE MASTER'!$R$2:$R$495,MATCH("Case MAX Planck Plate 3: E9",'CASE MASTER'!$J$2:$J$495,0)),"")</f>
        <v/>
      </c>
      <c r="K31" s="9" t="str">
        <f>IFERROR(INDEX('CASE MASTER'!$R$2:$R$495,MATCH("Case MAX Planck Plate 3: E10",'CASE MASTER'!$J$2:$J$495,0)),"")</f>
        <v/>
      </c>
      <c r="L31" s="9" t="str">
        <f>IFERROR(INDEX('CASE MASTER'!$R$2:$R$495,MATCH("Case MAX Planck Plate 3: E11",'CASE MASTER'!$J$2:$J$495,0)),"")</f>
        <v/>
      </c>
      <c r="M31" s="9" t="str">
        <f>IFERROR(INDEX('CASE MASTER'!$R$2:$R$495,MATCH("Case MAX Planck Plate 3: E12",'CASE MASTER'!$J$2:$J$495,0)),"")</f>
        <v/>
      </c>
    </row>
    <row r="32" spans="1:13" ht="15" customHeight="1" x14ac:dyDescent="0.35">
      <c r="A32" s="8" t="s">
        <v>33</v>
      </c>
      <c r="B32" s="9" t="str">
        <f>IFERROR(INDEX('CASE MASTER'!$R$2:$R$495,MATCH("Case MAX Planck Plate 3: F1",'CASE MASTER'!$J$2:$J$495,0)),"")</f>
        <v/>
      </c>
      <c r="C32" s="9" t="str">
        <f>IFERROR(INDEX('CASE MASTER'!$R$2:$R$495,MATCH("Case MAX Planck Plate 3: F2",'CASE MASTER'!$J$2:$J$495,0)),"")</f>
        <v/>
      </c>
      <c r="D32" s="9" t="str">
        <f>IFERROR(INDEX('CASE MASTER'!$R$2:$R$495,MATCH("Case MAX Planck Plate 3: F3",'CASE MASTER'!$J$2:$J$495,0)),"")</f>
        <v/>
      </c>
      <c r="E32" s="9" t="str">
        <f>IFERROR(INDEX('CASE MASTER'!$R$2:$R$495,MATCH("Case MAX Planck Plate 3: F4",'CASE MASTER'!$J$2:$J$495,0)),"")</f>
        <v/>
      </c>
      <c r="F32" s="9" t="str">
        <f>IFERROR(INDEX('CASE MASTER'!$R$2:$R$495,MATCH("Case MAX Planck Plate 3: F5",'CASE MASTER'!$J$2:$J$495,0)),"")</f>
        <v/>
      </c>
      <c r="G32" s="9" t="str">
        <f>IFERROR(INDEX('CASE MASTER'!$R$2:$R$495,MATCH("Case MAX Planck Plate 3: F6",'CASE MASTER'!$J$2:$J$495,0)),"")</f>
        <v/>
      </c>
      <c r="H32" s="9" t="str">
        <f>IFERROR(INDEX('CASE MASTER'!$R$2:$R$495,MATCH("Case MAX Planck Plate 3: F7",'CASE MASTER'!$J$2:$J$495,0)),"")</f>
        <v/>
      </c>
      <c r="I32" s="9" t="str">
        <f>IFERROR(INDEX('CASE MASTER'!$R$2:$R$495,MATCH("Case MAX Planck Plate 3: F8",'CASE MASTER'!$J$2:$J$495,0)),"")</f>
        <v/>
      </c>
      <c r="J32" s="9" t="str">
        <f>IFERROR(INDEX('CASE MASTER'!$R$2:$R$495,MATCH("Case MAX Planck Plate 3: F9",'CASE MASTER'!$J$2:$J$495,0)),"")</f>
        <v/>
      </c>
      <c r="K32" s="9" t="str">
        <f>IFERROR(INDEX('CASE MASTER'!$R$2:$R$495,MATCH("Case MAX Planck Plate 3: F10",'CASE MASTER'!$J$2:$J$495,0)),"")</f>
        <v/>
      </c>
      <c r="L32" s="9" t="str">
        <f>IFERROR(INDEX('CASE MASTER'!$R$2:$R$495,MATCH("Case MAX Planck Plate 3: F11",'CASE MASTER'!$J$2:$J$495,0)),"")</f>
        <v/>
      </c>
      <c r="M32" s="9" t="str">
        <f>IFERROR(INDEX('CASE MASTER'!$R$2:$R$495,MATCH("Case MAX Planck Plate 3: F12",'CASE MASTER'!$J$2:$J$495,0)),"")</f>
        <v/>
      </c>
    </row>
    <row r="33" spans="1:13" ht="15" customHeight="1" x14ac:dyDescent="0.35">
      <c r="A33" s="8" t="s">
        <v>34</v>
      </c>
      <c r="B33" s="9" t="str">
        <f>IFERROR(INDEX('CASE MASTER'!$R$2:$R$495,MATCH("Case MAX Planck Plate 3: G1",'CASE MASTER'!$J$2:$J$495,0)),"")</f>
        <v/>
      </c>
      <c r="C33" s="9" t="str">
        <f>IFERROR(INDEX('CASE MASTER'!$R$2:$R$495,MATCH("Case MAX Planck Plate 3: G2",'CASE MASTER'!$J$2:$J$495,0)),"")</f>
        <v/>
      </c>
      <c r="D33" s="9" t="str">
        <f>IFERROR(INDEX('CASE MASTER'!$R$2:$R$495,MATCH("Case MAX Planck Plate 3: G3",'CASE MASTER'!$J$2:$J$495,0)),"")</f>
        <v/>
      </c>
      <c r="E33" s="9" t="str">
        <f>IFERROR(INDEX('CASE MASTER'!$R$2:$R$495,MATCH("Case MAX Planck Plate 3: G4",'CASE MASTER'!$J$2:$J$495,0)),"")</f>
        <v/>
      </c>
      <c r="F33" s="9" t="str">
        <f>IFERROR(INDEX('CASE MASTER'!$R$2:$R$495,MATCH("Case MAX Planck Plate 3: G5",'CASE MASTER'!$J$2:$J$495,0)),"")</f>
        <v/>
      </c>
      <c r="G33" s="9" t="str">
        <f>IFERROR(INDEX('CASE MASTER'!$R$2:$R$495,MATCH("Case MAX Planck Plate 3: G6",'CASE MASTER'!$J$2:$J$495,0)),"")</f>
        <v/>
      </c>
      <c r="H33" s="9" t="str">
        <f>IFERROR(INDEX('CASE MASTER'!$R$2:$R$495,MATCH("Case MAX Planck Plate 3: G7",'CASE MASTER'!$J$2:$J$495,0)),"")</f>
        <v/>
      </c>
      <c r="I33" s="9" t="str">
        <f>IFERROR(INDEX('CASE MASTER'!$R$2:$R$495,MATCH("Case MAX Planck Plate 3: G8",'CASE MASTER'!$J$2:$J$495,0)),"")</f>
        <v/>
      </c>
      <c r="J33" s="9" t="str">
        <f>IFERROR(INDEX('CASE MASTER'!$R$2:$R$495,MATCH("Case MAX Planck Plate 3: G9",'CASE MASTER'!$J$2:$J$495,0)),"")</f>
        <v/>
      </c>
      <c r="K33" s="9" t="str">
        <f>IFERROR(INDEX('CASE MASTER'!$R$2:$R$495,MATCH("Case MAX Planck Plate 3: G10",'CASE MASTER'!$J$2:$J$495,0)),"")</f>
        <v/>
      </c>
      <c r="L33" s="9" t="str">
        <f>IFERROR(INDEX('CASE MASTER'!$R$2:$R$495,MATCH("Case MAX Planck Plate 3: G11",'CASE MASTER'!$J$2:$J$495,0)),"")</f>
        <v/>
      </c>
      <c r="M33" s="9" t="str">
        <f>IFERROR(INDEX('CASE MASTER'!$R$2:$R$495,MATCH("Case MAX Planck Plate 3: G12",'CASE MASTER'!$J$2:$J$495,0)),"")</f>
        <v/>
      </c>
    </row>
    <row r="34" spans="1:13" ht="15" customHeight="1" x14ac:dyDescent="0.35">
      <c r="A34" s="8" t="s">
        <v>35</v>
      </c>
      <c r="B34" s="9" t="str">
        <f>IFERROR(INDEX('CASE MASTER'!$R$2:$R$495,MATCH("Case MAX Planck Plate 3: H1",'CASE MASTER'!$J$2:$J$495,0)),"")</f>
        <v/>
      </c>
      <c r="C34" s="9" t="str">
        <f>IFERROR(INDEX('CASE MASTER'!$R$2:$R$495,MATCH("Case MAX Planck Plate 3: H2",'CASE MASTER'!$J$2:$J$495,0)),"")</f>
        <v/>
      </c>
      <c r="D34" s="9" t="str">
        <f>IFERROR(INDEX('CASE MASTER'!$R$2:$R$495,MATCH("Case MAX Planck Plate 3: H3",'CASE MASTER'!$J$2:$J$495,0)),"")</f>
        <v/>
      </c>
      <c r="E34" s="9" t="str">
        <f>IFERROR(INDEX('CASE MASTER'!$R$2:$R$495,MATCH("Case MAX Planck Plate 3: H4",'CASE MASTER'!$J$2:$J$495,0)),"")</f>
        <v/>
      </c>
      <c r="F34" s="9" t="str">
        <f>IFERROR(INDEX('CASE MASTER'!$R$2:$R$495,MATCH("Case MAX Planck Plate 3: H5",'CASE MASTER'!$J$2:$J$495,0)),"")</f>
        <v/>
      </c>
      <c r="G34" s="9" t="str">
        <f>IFERROR(INDEX('CASE MASTER'!$R$2:$R$495,MATCH("Case MAX Planck Plate 3: H6",'CASE MASTER'!$J$2:$J$495,0)),"")</f>
        <v/>
      </c>
      <c r="H34" s="9" t="str">
        <f>IFERROR(INDEX('CASE MASTER'!$R$2:$R$495,MATCH("Case MAX Planck Plate 3: H7",'CASE MASTER'!$J$2:$J$495,0)),"")</f>
        <v/>
      </c>
      <c r="I34" s="9" t="str">
        <f>IFERROR(INDEX('CASE MASTER'!$R$2:$R$495,MATCH("Case MAX Planck Plate 3: H8",'CASE MASTER'!$J$2:$J$495,0)),"")</f>
        <v/>
      </c>
      <c r="J34" s="9" t="str">
        <f>IFERROR(INDEX('CASE MASTER'!$R$2:$R$495,MATCH("Case MAX Planck Plate 3: H9",'CASE MASTER'!$J$2:$J$495,0)),"")</f>
        <v/>
      </c>
      <c r="K34" s="9" t="str">
        <f>IFERROR(INDEX('CASE MASTER'!$R$2:$R$495,MATCH("Case MAX Planck Plate 3: H10",'CASE MASTER'!$J$2:$J$495,0)),"")</f>
        <v/>
      </c>
      <c r="L34" s="9" t="str">
        <f>IFERROR(INDEX('CASE MASTER'!$R$2:$R$495,MATCH("Case MAX Planck Plate 3: H11",'CASE MASTER'!$J$2:$J$495,0)),"")</f>
        <v/>
      </c>
      <c r="M34" s="9" t="str">
        <f>IFERROR(INDEX('CASE MASTER'!$R$2:$R$495,MATCH("Case MAX Planck Plate 3: H12",'CASE MASTER'!$J$2:$J$495,0)),"")</f>
        <v/>
      </c>
    </row>
    <row r="37" spans="1:13" ht="15" customHeight="1" x14ac:dyDescent="0.35">
      <c r="A37" s="12" t="s">
        <v>68</v>
      </c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</row>
    <row r="38" spans="1:13" ht="15" customHeight="1" x14ac:dyDescent="0.35">
      <c r="B38" s="8">
        <v>1</v>
      </c>
      <c r="C38" s="8">
        <v>2</v>
      </c>
      <c r="D38" s="8">
        <v>3</v>
      </c>
      <c r="E38" s="8">
        <v>4</v>
      </c>
      <c r="F38" s="8">
        <v>5</v>
      </c>
      <c r="G38" s="8">
        <v>6</v>
      </c>
      <c r="H38" s="8">
        <v>7</v>
      </c>
      <c r="I38" s="8">
        <v>8</v>
      </c>
      <c r="J38" s="8">
        <v>9</v>
      </c>
      <c r="K38" s="8">
        <v>10</v>
      </c>
      <c r="L38" s="8">
        <v>11</v>
      </c>
      <c r="M38" s="8">
        <v>12</v>
      </c>
    </row>
    <row r="39" spans="1:13" ht="15" customHeight="1" x14ac:dyDescent="0.35">
      <c r="A39" s="8" t="s">
        <v>28</v>
      </c>
      <c r="B39" s="9" t="str">
        <f>IFERROR(INDEX('CASE MASTER'!$R$2:$R$495,MATCH("Case MAX Planck Plate 4: A1",'CASE MASTER'!$J$2:$J$495,0)),"")</f>
        <v/>
      </c>
      <c r="C39" s="9" t="str">
        <f>IFERROR(INDEX('CASE MASTER'!$R$2:$R$495,MATCH("Case MAX Planck Plate 4: A2",'CASE MASTER'!$J$2:$J$495,0)),"")</f>
        <v/>
      </c>
      <c r="D39" s="9" t="str">
        <f>IFERROR(INDEX('CASE MASTER'!$R$2:$R$495,MATCH("Case MAX Planck Plate 4: A3",'CASE MASTER'!$J$2:$J$495,0)),"")</f>
        <v/>
      </c>
      <c r="E39" s="9" t="str">
        <f>IFERROR(INDEX('CASE MASTER'!$R$2:$R$495,MATCH("Case MAX Planck Plate 4: A4",'CASE MASTER'!$J$2:$J$495,0)),"")</f>
        <v/>
      </c>
      <c r="F39" s="9" t="str">
        <f>IFERROR(INDEX('CASE MASTER'!$R$2:$R$495,MATCH("Case MAX Planck Plate 4: A5",'CASE MASTER'!$J$2:$J$495,0)),"")</f>
        <v/>
      </c>
      <c r="G39" s="9" t="str">
        <f>IFERROR(INDEX('CASE MASTER'!$R$2:$R$495,MATCH("Case MAX Planck Plate 4: A6",'CASE MASTER'!$J$2:$J$495,0)),"")</f>
        <v/>
      </c>
      <c r="H39" s="9" t="str">
        <f>IFERROR(INDEX('CASE MASTER'!$R$2:$R$495,MATCH("Case MAX Planck Plate 4: A7",'CASE MASTER'!$J$2:$J$495,0)),"")</f>
        <v/>
      </c>
      <c r="I39" s="9" t="str">
        <f>IFERROR(INDEX('CASE MASTER'!$R$2:$R$495,MATCH("Case MAX Planck Plate 4: A8",'CASE MASTER'!$J$2:$J$495,0)),"")</f>
        <v/>
      </c>
      <c r="J39" s="9" t="str">
        <f>IFERROR(INDEX('CASE MASTER'!$R$2:$R$495,MATCH("Case MAX Planck Plate 4: A9",'CASE MASTER'!$J$2:$J$495,0)),"")</f>
        <v/>
      </c>
      <c r="K39" s="9" t="str">
        <f>IFERROR(INDEX('CASE MASTER'!$R$2:$R$495,MATCH("Case MAX Planck Plate 4: A10",'CASE MASTER'!$J$2:$J$495,0)),"")</f>
        <v/>
      </c>
      <c r="L39" s="9" t="str">
        <f>IFERROR(INDEX('CASE MASTER'!$R$2:$R$495,MATCH("Case MAX Planck Plate 4: A11",'CASE MASTER'!$J$2:$J$495,0)),"")</f>
        <v/>
      </c>
      <c r="M39" s="9" t="str">
        <f>IFERROR(INDEX('CASE MASTER'!$R$2:$R$495,MATCH("Case MAX Planck Plate 4: A12",'CASE MASTER'!$J$2:$J$495,0)),"")</f>
        <v/>
      </c>
    </row>
    <row r="40" spans="1:13" ht="15" customHeight="1" x14ac:dyDescent="0.35">
      <c r="A40" s="8" t="s">
        <v>29</v>
      </c>
      <c r="B40" s="9" t="str">
        <f>IFERROR(INDEX('CASE MASTER'!$R$2:$R$495,MATCH("Case MAX Planck Plate 4: B1",'CASE MASTER'!$J$2:$J$495,0)),"")</f>
        <v/>
      </c>
      <c r="C40" s="9" t="str">
        <f>IFERROR(INDEX('CASE MASTER'!$R$2:$R$495,MATCH("Case MAX Planck Plate 4: B2",'CASE MASTER'!$J$2:$J$495,0)),"")</f>
        <v/>
      </c>
      <c r="D40" s="9" t="str">
        <f>IFERROR(INDEX('CASE MASTER'!$R$2:$R$495,MATCH("Case MAX Planck Plate 4: B3",'CASE MASTER'!$J$2:$J$495,0)),"")</f>
        <v/>
      </c>
      <c r="E40" s="9" t="str">
        <f>IFERROR(INDEX('CASE MASTER'!$R$2:$R$495,MATCH("Case MAX Planck Plate 4: B4",'CASE MASTER'!$J$2:$J$495,0)),"")</f>
        <v/>
      </c>
      <c r="F40" s="9" t="str">
        <f>IFERROR(INDEX('CASE MASTER'!$R$2:$R$495,MATCH("Case MAX Planck Plate 4: B5",'CASE MASTER'!$J$2:$J$495,0)),"")</f>
        <v/>
      </c>
      <c r="G40" s="9" t="str">
        <f>IFERROR(INDEX('CASE MASTER'!$R$2:$R$495,MATCH("Case MAX Planck Plate 4: B6",'CASE MASTER'!$J$2:$J$495,0)),"")</f>
        <v/>
      </c>
      <c r="H40" s="9" t="str">
        <f>IFERROR(INDEX('CASE MASTER'!$R$2:$R$495,MATCH("Case MAX Planck Plate 4: B7",'CASE MASTER'!$J$2:$J$495,0)),"")</f>
        <v/>
      </c>
      <c r="I40" s="9" t="str">
        <f>IFERROR(INDEX('CASE MASTER'!$R$2:$R$495,MATCH("Case MAX Planck Plate 4: B8",'CASE MASTER'!$J$2:$J$495,0)),"")</f>
        <v/>
      </c>
      <c r="J40" s="9" t="str">
        <f>IFERROR(INDEX('CASE MASTER'!$R$2:$R$495,MATCH("Case MAX Planck Plate 4: B9",'CASE MASTER'!$J$2:$J$495,0)),"")</f>
        <v/>
      </c>
      <c r="K40" s="9" t="str">
        <f>IFERROR(INDEX('CASE MASTER'!$R$2:$R$495,MATCH("Case MAX Planck Plate 4: B10",'CASE MASTER'!$J$2:$J$495,0)),"")</f>
        <v/>
      </c>
      <c r="L40" s="9" t="str">
        <f>IFERROR(INDEX('CASE MASTER'!$R$2:$R$495,MATCH("Case MAX Planck Plate 4: B11",'CASE MASTER'!$J$2:$J$495,0)),"")</f>
        <v/>
      </c>
      <c r="M40" s="9" t="str">
        <f>IFERROR(INDEX('CASE MASTER'!$R$2:$R$495,MATCH("Case MAX Planck Plate 4: B12",'CASE MASTER'!$J$2:$J$495,0)),"")</f>
        <v/>
      </c>
    </row>
    <row r="41" spans="1:13" ht="15" customHeight="1" x14ac:dyDescent="0.35">
      <c r="A41" s="8" t="s">
        <v>30</v>
      </c>
      <c r="B41" s="9" t="str">
        <f>IFERROR(INDEX('CASE MASTER'!$R$2:$R$495,MATCH("Case MAX Planck Plate 4: C1",'CASE MASTER'!$J$2:$J$495,0)),"")</f>
        <v/>
      </c>
      <c r="C41" s="9" t="str">
        <f>IFERROR(INDEX('CASE MASTER'!$R$2:$R$495,MATCH("Case MAX Planck Plate 4: C2",'CASE MASTER'!$J$2:$J$495,0)),"")</f>
        <v/>
      </c>
      <c r="D41" s="9" t="str">
        <f>IFERROR(INDEX('CASE MASTER'!$R$2:$R$495,MATCH("Case MAX Planck Plate 4: C3",'CASE MASTER'!$J$2:$J$495,0)),"")</f>
        <v/>
      </c>
      <c r="E41" s="9" t="str">
        <f>IFERROR(INDEX('CASE MASTER'!$R$2:$R$495,MATCH("Case MAX Planck Plate 4: C4",'CASE MASTER'!$J$2:$J$495,0)),"")</f>
        <v/>
      </c>
      <c r="F41" s="9" t="str">
        <f>IFERROR(INDEX('CASE MASTER'!$R$2:$R$495,MATCH("Case MAX Planck Plate 4: C5",'CASE MASTER'!$J$2:$J$495,0)),"")</f>
        <v/>
      </c>
      <c r="G41" s="9" t="str">
        <f>IFERROR(INDEX('CASE MASTER'!$R$2:$R$495,MATCH("Case MAX Planck Plate 4: C6",'CASE MASTER'!$J$2:$J$495,0)),"")</f>
        <v/>
      </c>
      <c r="H41" s="9" t="str">
        <f>IFERROR(INDEX('CASE MASTER'!$R$2:$R$495,MATCH("Case MAX Planck Plate 4: C7",'CASE MASTER'!$J$2:$J$495,0)),"")</f>
        <v/>
      </c>
      <c r="I41" s="9" t="str">
        <f>IFERROR(INDEX('CASE MASTER'!$R$2:$R$495,MATCH("Case MAX Planck Plate 4: C8",'CASE MASTER'!$J$2:$J$495,0)),"")</f>
        <v/>
      </c>
      <c r="J41" s="9" t="str">
        <f>IFERROR(INDEX('CASE MASTER'!$R$2:$R$495,MATCH("Case MAX Planck Plate 4: C9",'CASE MASTER'!$J$2:$J$495,0)),"")</f>
        <v/>
      </c>
      <c r="K41" s="9" t="str">
        <f>IFERROR(INDEX('CASE MASTER'!$R$2:$R$495,MATCH("Case MAX Planck Plate 4: C10",'CASE MASTER'!$J$2:$J$495,0)),"")</f>
        <v/>
      </c>
      <c r="L41" s="9" t="str">
        <f>IFERROR(INDEX('CASE MASTER'!$R$2:$R$495,MATCH("Case MAX Planck Plate 4: C11",'CASE MASTER'!$J$2:$J$495,0)),"")</f>
        <v/>
      </c>
      <c r="M41" s="9" t="str">
        <f>IFERROR(INDEX('CASE MASTER'!$R$2:$R$495,MATCH("Case MAX Planck Plate 4: C12",'CASE MASTER'!$J$2:$J$495,0)),"")</f>
        <v/>
      </c>
    </row>
    <row r="42" spans="1:13" ht="15" customHeight="1" x14ac:dyDescent="0.35">
      <c r="A42" s="8" t="s">
        <v>31</v>
      </c>
      <c r="B42" s="9" t="str">
        <f>IFERROR(INDEX('CASE MASTER'!$R$2:$R$495,MATCH("Case MAX Planck Plate 4: D1",'CASE MASTER'!$J$2:$J$495,0)),"")</f>
        <v/>
      </c>
      <c r="C42" s="9" t="str">
        <f>IFERROR(INDEX('CASE MASTER'!$R$2:$R$495,MATCH("Case MAX Planck Plate 4: D2",'CASE MASTER'!$J$2:$J$495,0)),"")</f>
        <v/>
      </c>
      <c r="D42" s="9" t="str">
        <f>IFERROR(INDEX('CASE MASTER'!$R$2:$R$495,MATCH("Case MAX Planck Plate 4: D3",'CASE MASTER'!$J$2:$J$495,0)),"")</f>
        <v/>
      </c>
      <c r="E42" s="9" t="str">
        <f>IFERROR(INDEX('CASE MASTER'!$R$2:$R$495,MATCH("Case MAX Planck Plate 4: D4",'CASE MASTER'!$J$2:$J$495,0)),"")</f>
        <v/>
      </c>
      <c r="F42" s="9" t="str">
        <f>IFERROR(INDEX('CASE MASTER'!$R$2:$R$495,MATCH("Case MAX Planck Plate 4: D5",'CASE MASTER'!$J$2:$J$495,0)),"")</f>
        <v/>
      </c>
      <c r="G42" s="9" t="str">
        <f>IFERROR(INDEX('CASE MASTER'!$R$2:$R$495,MATCH("Case MAX Planck Plate 4: D6",'CASE MASTER'!$J$2:$J$495,0)),"")</f>
        <v/>
      </c>
      <c r="H42" s="9" t="str">
        <f>IFERROR(INDEX('CASE MASTER'!$R$2:$R$495,MATCH("Case MAX Planck Plate 4: D7",'CASE MASTER'!$J$2:$J$495,0)),"")</f>
        <v/>
      </c>
      <c r="I42" s="9" t="str">
        <f>IFERROR(INDEX('CASE MASTER'!$R$2:$R$495,MATCH("Case MAX Planck Plate 4: D8",'CASE MASTER'!$J$2:$J$495,0)),"")</f>
        <v/>
      </c>
      <c r="J42" s="9" t="str">
        <f>IFERROR(INDEX('CASE MASTER'!$R$2:$R$495,MATCH("Case MAX Planck Plate 4: D9",'CASE MASTER'!$J$2:$J$495,0)),"")</f>
        <v/>
      </c>
      <c r="K42" s="9" t="str">
        <f>IFERROR(INDEX('CASE MASTER'!$R$2:$R$495,MATCH("Case MAX Planck Plate 4: D10",'CASE MASTER'!$J$2:$J$495,0)),"")</f>
        <v/>
      </c>
      <c r="L42" s="9" t="str">
        <f>IFERROR(INDEX('CASE MASTER'!$R$2:$R$495,MATCH("Case MAX Planck Plate 4: D11",'CASE MASTER'!$J$2:$J$495,0)),"")</f>
        <v/>
      </c>
      <c r="M42" s="9" t="str">
        <f>IFERROR(INDEX('CASE MASTER'!$R$2:$R$495,MATCH("Case MAX Planck Plate 4: D12",'CASE MASTER'!$J$2:$J$495,0)),"")</f>
        <v/>
      </c>
    </row>
    <row r="43" spans="1:13" ht="15" customHeight="1" x14ac:dyDescent="0.35">
      <c r="A43" s="8" t="s">
        <v>32</v>
      </c>
      <c r="B43" s="9" t="str">
        <f>IFERROR(INDEX('CASE MASTER'!$R$2:$R$495,MATCH("Case MAX Planck Plate 4: E1",'CASE MASTER'!$J$2:$J$495,0)),"")</f>
        <v/>
      </c>
      <c r="C43" s="9" t="str">
        <f>IFERROR(INDEX('CASE MASTER'!$R$2:$R$495,MATCH("Case MAX Planck Plate 4: E2",'CASE MASTER'!$J$2:$J$495,0)),"")</f>
        <v/>
      </c>
      <c r="D43" s="9" t="str">
        <f>IFERROR(INDEX('CASE MASTER'!$R$2:$R$495,MATCH("Case MAX Planck Plate 4: E3",'CASE MASTER'!$J$2:$J$495,0)),"")</f>
        <v/>
      </c>
      <c r="E43" s="9" t="str">
        <f>IFERROR(INDEX('CASE MASTER'!$R$2:$R$495,MATCH("Case MAX Planck Plate 4: E4",'CASE MASTER'!$J$2:$J$495,0)),"")</f>
        <v/>
      </c>
      <c r="F43" s="9" t="str">
        <f>IFERROR(INDEX('CASE MASTER'!$R$2:$R$495,MATCH("Case MAX Planck Plate 4: E5",'CASE MASTER'!$J$2:$J$495,0)),"")</f>
        <v/>
      </c>
      <c r="G43" s="9" t="str">
        <f>IFERROR(INDEX('CASE MASTER'!$R$2:$R$495,MATCH("Case MAX Planck Plate 4: E6",'CASE MASTER'!$J$2:$J$495,0)),"")</f>
        <v/>
      </c>
      <c r="H43" s="9" t="str">
        <f>IFERROR(INDEX('CASE MASTER'!$R$2:$R$495,MATCH("Case MAX Planck Plate 4: E7",'CASE MASTER'!$J$2:$J$495,0)),"")</f>
        <v/>
      </c>
      <c r="I43" s="9" t="str">
        <f>IFERROR(INDEX('CASE MASTER'!$R$2:$R$495,MATCH("Case MAX Planck Plate 4: E8",'CASE MASTER'!$J$2:$J$495,0)),"")</f>
        <v/>
      </c>
      <c r="J43" s="9" t="str">
        <f>IFERROR(INDEX('CASE MASTER'!$R$2:$R$495,MATCH("Case MAX Planck Plate 4: E9",'CASE MASTER'!$J$2:$J$495,0)),"")</f>
        <v/>
      </c>
      <c r="K43" s="9" t="str">
        <f>IFERROR(INDEX('CASE MASTER'!$R$2:$R$495,MATCH("Case MAX Planck Plate 4: E10",'CASE MASTER'!$J$2:$J$495,0)),"")</f>
        <v/>
      </c>
      <c r="L43" s="9" t="str">
        <f>IFERROR(INDEX('CASE MASTER'!$R$2:$R$495,MATCH("Case MAX Planck Plate 4: E11",'CASE MASTER'!$J$2:$J$495,0)),"")</f>
        <v/>
      </c>
      <c r="M43" s="9" t="str">
        <f>IFERROR(INDEX('CASE MASTER'!$R$2:$R$495,MATCH("Case MAX Planck Plate 4: E12",'CASE MASTER'!$J$2:$J$495,0)),"")</f>
        <v/>
      </c>
    </row>
    <row r="44" spans="1:13" ht="15" customHeight="1" x14ac:dyDescent="0.35">
      <c r="A44" s="8" t="s">
        <v>33</v>
      </c>
      <c r="B44" s="9" t="str">
        <f>IFERROR(INDEX('CASE MASTER'!$R$2:$R$495,MATCH("Case MAX Planck Plate 4: F1",'CASE MASTER'!$J$2:$J$495,0)),"")</f>
        <v/>
      </c>
      <c r="C44" s="9" t="str">
        <f>IFERROR(INDEX('CASE MASTER'!$R$2:$R$495,MATCH("Case MAX Planck Plate 4: F2",'CASE MASTER'!$J$2:$J$495,0)),"")</f>
        <v/>
      </c>
      <c r="D44" s="9" t="str">
        <f>IFERROR(INDEX('CASE MASTER'!$R$2:$R$495,MATCH("Case MAX Planck Plate 4: F3",'CASE MASTER'!$J$2:$J$495,0)),"")</f>
        <v/>
      </c>
      <c r="E44" s="9" t="str">
        <f>IFERROR(INDEX('CASE MASTER'!$R$2:$R$495,MATCH("Case MAX Planck Plate 4: F4",'CASE MASTER'!$J$2:$J$495,0)),"")</f>
        <v/>
      </c>
      <c r="F44" s="9" t="str">
        <f>IFERROR(INDEX('CASE MASTER'!$R$2:$R$495,MATCH("Case MAX Planck Plate 4: F5",'CASE MASTER'!$J$2:$J$495,0)),"")</f>
        <v/>
      </c>
      <c r="G44" s="9" t="str">
        <f>IFERROR(INDEX('CASE MASTER'!$R$2:$R$495,MATCH("Case MAX Planck Plate 4: F6",'CASE MASTER'!$J$2:$J$495,0)),"")</f>
        <v/>
      </c>
      <c r="H44" s="9" t="str">
        <f>IFERROR(INDEX('CASE MASTER'!$R$2:$R$495,MATCH("Case MAX Planck Plate 4: F7",'CASE MASTER'!$J$2:$J$495,0)),"")</f>
        <v/>
      </c>
      <c r="I44" s="9" t="str">
        <f>IFERROR(INDEX('CASE MASTER'!$R$2:$R$495,MATCH("Case MAX Planck Plate 4: F8",'CASE MASTER'!$J$2:$J$495,0)),"")</f>
        <v/>
      </c>
      <c r="J44" s="9" t="str">
        <f>IFERROR(INDEX('CASE MASTER'!$R$2:$R$495,MATCH("Case MAX Planck Plate 4: F9",'CASE MASTER'!$J$2:$J$495,0)),"")</f>
        <v/>
      </c>
      <c r="K44" s="9" t="str">
        <f>IFERROR(INDEX('CASE MASTER'!$R$2:$R$495,MATCH("Case MAX Planck Plate 4: F10",'CASE MASTER'!$J$2:$J$495,0)),"")</f>
        <v/>
      </c>
      <c r="L44" s="9" t="str">
        <f>IFERROR(INDEX('CASE MASTER'!$R$2:$R$495,MATCH("Case MAX Planck Plate 4: F11",'CASE MASTER'!$J$2:$J$495,0)),"")</f>
        <v/>
      </c>
      <c r="M44" s="9" t="str">
        <f>IFERROR(INDEX('CASE MASTER'!$R$2:$R$495,MATCH("Case MAX Planck Plate 4: F12",'CASE MASTER'!$J$2:$J$495,0)),"")</f>
        <v/>
      </c>
    </row>
    <row r="45" spans="1:13" ht="15" customHeight="1" x14ac:dyDescent="0.35">
      <c r="A45" s="8" t="s">
        <v>34</v>
      </c>
      <c r="B45" s="9" t="str">
        <f>IFERROR(INDEX('CASE MASTER'!$R$2:$R$495,MATCH("Case MAX Planck Plate 4: G1",'CASE MASTER'!$J$2:$J$495,0)),"")</f>
        <v/>
      </c>
      <c r="C45" s="9" t="str">
        <f>IFERROR(INDEX('CASE MASTER'!$R$2:$R$495,MATCH("Case MAX Planck Plate 4: G2",'CASE MASTER'!$J$2:$J$495,0)),"")</f>
        <v/>
      </c>
      <c r="D45" s="9" t="str">
        <f>IFERROR(INDEX('CASE MASTER'!$R$2:$R$495,MATCH("Case MAX Planck Plate 4: G3",'CASE MASTER'!$J$2:$J$495,0)),"")</f>
        <v/>
      </c>
      <c r="E45" s="9" t="str">
        <f>IFERROR(INDEX('CASE MASTER'!$R$2:$R$495,MATCH("Case MAX Planck Plate 4: G4",'CASE MASTER'!$J$2:$J$495,0)),"")</f>
        <v/>
      </c>
      <c r="F45" s="9" t="str">
        <f>IFERROR(INDEX('CASE MASTER'!$R$2:$R$495,MATCH("Case MAX Planck Plate 4: G5",'CASE MASTER'!$J$2:$J$495,0)),"")</f>
        <v/>
      </c>
      <c r="G45" s="9" t="str">
        <f>IFERROR(INDEX('CASE MASTER'!$R$2:$R$495,MATCH("Case MAX Planck Plate 4: G6",'CASE MASTER'!$J$2:$J$495,0)),"")</f>
        <v/>
      </c>
      <c r="H45" s="9" t="str">
        <f>IFERROR(INDEX('CASE MASTER'!$R$2:$R$495,MATCH("Case MAX Planck Plate 4: G7",'CASE MASTER'!$J$2:$J$495,0)),"")</f>
        <v/>
      </c>
      <c r="I45" s="9" t="str">
        <f>IFERROR(INDEX('CASE MASTER'!$R$2:$R$495,MATCH("Case MAX Planck Plate 4: G8",'CASE MASTER'!$J$2:$J$495,0)),"")</f>
        <v/>
      </c>
      <c r="J45" s="9" t="str">
        <f>IFERROR(INDEX('CASE MASTER'!$R$2:$R$495,MATCH("Case MAX Planck Plate 4: G9",'CASE MASTER'!$J$2:$J$495,0)),"")</f>
        <v/>
      </c>
      <c r="K45" s="9" t="str">
        <f>IFERROR(INDEX('CASE MASTER'!$R$2:$R$495,MATCH("Case MAX Planck Plate 4: G10",'CASE MASTER'!$J$2:$J$495,0)),"")</f>
        <v/>
      </c>
      <c r="L45" s="9" t="str">
        <f>IFERROR(INDEX('CASE MASTER'!$R$2:$R$495,MATCH("Case MAX Planck Plate 4: G11",'CASE MASTER'!$J$2:$J$495,0)),"")</f>
        <v/>
      </c>
      <c r="M45" s="9" t="str">
        <f>IFERROR(INDEX('CASE MASTER'!$R$2:$R$495,MATCH("Case MAX Planck Plate 4: G12",'CASE MASTER'!$J$2:$J$495,0)),"")</f>
        <v/>
      </c>
    </row>
    <row r="46" spans="1:13" ht="15" customHeight="1" x14ac:dyDescent="0.35">
      <c r="A46" s="8" t="s">
        <v>35</v>
      </c>
      <c r="B46" s="9" t="str">
        <f>IFERROR(INDEX('CASE MASTER'!$R$2:$R$495,MATCH("Case MAX Planck Plate 4: H1",'CASE MASTER'!$J$2:$J$495,0)),"")</f>
        <v/>
      </c>
      <c r="C46" s="9" t="str">
        <f>IFERROR(INDEX('CASE MASTER'!$R$2:$R$495,MATCH("Case MAX Planck Plate 4: H2",'CASE MASTER'!$J$2:$J$495,0)),"")</f>
        <v/>
      </c>
      <c r="D46" s="9" t="str">
        <f>IFERROR(INDEX('CASE MASTER'!$R$2:$R$495,MATCH("Case MAX Planck Plate 4: H3",'CASE MASTER'!$J$2:$J$495,0)),"")</f>
        <v/>
      </c>
      <c r="E46" s="9" t="str">
        <f>IFERROR(INDEX('CASE MASTER'!$R$2:$R$495,MATCH("Case MAX Planck Plate 4: H4",'CASE MASTER'!$J$2:$J$495,0)),"")</f>
        <v/>
      </c>
      <c r="F46" s="9" t="str">
        <f>IFERROR(INDEX('CASE MASTER'!$R$2:$R$495,MATCH("Case MAX Planck Plate 4: H5",'CASE MASTER'!$J$2:$J$495,0)),"")</f>
        <v/>
      </c>
      <c r="G46" s="9" t="str">
        <f>IFERROR(INDEX('CASE MASTER'!$R$2:$R$495,MATCH("Case MAX Planck Plate 4: H6",'CASE MASTER'!$J$2:$J$495,0)),"")</f>
        <v/>
      </c>
      <c r="H46" s="9" t="str">
        <f>IFERROR(INDEX('CASE MASTER'!$R$2:$R$495,MATCH("Case MAX Planck Plate 4: H7",'CASE MASTER'!$J$2:$J$495,0)),"")</f>
        <v/>
      </c>
      <c r="I46" s="9" t="str">
        <f>IFERROR(INDEX('CASE MASTER'!$R$2:$R$495,MATCH("Case MAX Planck Plate 4: H8",'CASE MASTER'!$J$2:$J$495,0)),"")</f>
        <v/>
      </c>
      <c r="J46" s="9" t="str">
        <f>IFERROR(INDEX('CASE MASTER'!$R$2:$R$495,MATCH("Case MAX Planck Plate 4: H9",'CASE MASTER'!$J$2:$J$495,0)),"")</f>
        <v/>
      </c>
      <c r="K46" s="9" t="str">
        <f>IFERROR(INDEX('CASE MASTER'!$R$2:$R$495,MATCH("Case MAX Planck Plate 4: H10",'CASE MASTER'!$J$2:$J$495,0)),"")</f>
        <v/>
      </c>
      <c r="L46" s="9" t="str">
        <f>IFERROR(INDEX('CASE MASTER'!$R$2:$R$495,MATCH("Case MAX Planck Plate 4: H11",'CASE MASTER'!$J$2:$J$495,0)),"")</f>
        <v/>
      </c>
      <c r="M46" s="9" t="str">
        <f>IFERROR(INDEX('CASE MASTER'!$R$2:$R$495,MATCH("Case MAX Planck Plate 4: H12",'CASE MASTER'!$J$2:$J$495,0)),"")</f>
        <v/>
      </c>
    </row>
    <row r="49" spans="1:13" ht="15" customHeight="1" x14ac:dyDescent="0.35">
      <c r="A49" s="12" t="s">
        <v>69</v>
      </c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</row>
    <row r="50" spans="1:13" ht="15" customHeight="1" x14ac:dyDescent="0.35">
      <c r="B50" s="8">
        <v>1</v>
      </c>
      <c r="C50" s="8">
        <v>2</v>
      </c>
      <c r="D50" s="8">
        <v>3</v>
      </c>
      <c r="E50" s="8">
        <v>4</v>
      </c>
      <c r="F50" s="8">
        <v>5</v>
      </c>
      <c r="G50" s="8">
        <v>6</v>
      </c>
      <c r="H50" s="8">
        <v>7</v>
      </c>
      <c r="I50" s="8">
        <v>8</v>
      </c>
      <c r="J50" s="8">
        <v>9</v>
      </c>
      <c r="K50" s="8">
        <v>10</v>
      </c>
      <c r="L50" s="8">
        <v>11</v>
      </c>
      <c r="M50" s="8">
        <v>12</v>
      </c>
    </row>
    <row r="51" spans="1:13" ht="15" customHeight="1" x14ac:dyDescent="0.35">
      <c r="A51" s="8" t="s">
        <v>28</v>
      </c>
      <c r="B51" s="9" t="str">
        <f>IFERROR(INDEX('CASE MASTER'!$R$2:$R$495,MATCH("Case MAX Planck Plate 5: A1",'CASE MASTER'!$J$2:$J$495,0)),"")</f>
        <v/>
      </c>
      <c r="C51" s="9" t="str">
        <f>IFERROR(INDEX('CASE MASTER'!$R$2:$R$495,MATCH("Case MAX Planck Plate 5: A2",'CASE MASTER'!$J$2:$J$495,0)),"")</f>
        <v/>
      </c>
      <c r="D51" s="9" t="str">
        <f>IFERROR(INDEX('CASE MASTER'!$R$2:$R$495,MATCH("Case MAX Planck Plate 5: A3",'CASE MASTER'!$J$2:$J$495,0)),"")</f>
        <v/>
      </c>
      <c r="E51" s="9" t="str">
        <f>IFERROR(INDEX('CASE MASTER'!$R$2:$R$495,MATCH("Case MAX Planck Plate 5: A4",'CASE MASTER'!$J$2:$J$495,0)),"")</f>
        <v/>
      </c>
      <c r="F51" s="9" t="str">
        <f>IFERROR(INDEX('CASE MASTER'!$R$2:$R$495,MATCH("Case MAX Planck Plate 5: A5",'CASE MASTER'!$J$2:$J$495,0)),"")</f>
        <v/>
      </c>
      <c r="G51" s="9" t="str">
        <f>IFERROR(INDEX('CASE MASTER'!$R$2:$R$495,MATCH("Case MAX Planck Plate 5: A6",'CASE MASTER'!$J$2:$J$495,0)),"")</f>
        <v/>
      </c>
      <c r="H51" s="9" t="str">
        <f>IFERROR(INDEX('CASE MASTER'!$R$2:$R$495,MATCH("Case MAX Planck Plate 5: A7",'CASE MASTER'!$J$2:$J$495,0)),"")</f>
        <v/>
      </c>
      <c r="I51" s="9" t="str">
        <f>IFERROR(INDEX('CASE MASTER'!$R$2:$R$495,MATCH("Case MAX Planck Plate 5: A8",'CASE MASTER'!$J$2:$J$495,0)),"")</f>
        <v/>
      </c>
      <c r="J51" s="9" t="str">
        <f>IFERROR(INDEX('CASE MASTER'!$R$2:$R$495,MATCH("Case MAX Planck Plate 5: A9",'CASE MASTER'!$J$2:$J$495,0)),"")</f>
        <v/>
      </c>
      <c r="K51" s="9" t="str">
        <f>IFERROR(INDEX('CASE MASTER'!$R$2:$R$495,MATCH("Case MAX Planck Plate 5: A10",'CASE MASTER'!$J$2:$J$495,0)),"")</f>
        <v/>
      </c>
      <c r="L51" s="9" t="str">
        <f>IFERROR(INDEX('CASE MASTER'!$R$2:$R$495,MATCH("Case MAX Planck Plate 5: A11",'CASE MASTER'!$J$2:$J$495,0)),"")</f>
        <v/>
      </c>
      <c r="M51" s="9" t="str">
        <f>IFERROR(INDEX('CASE MASTER'!$R$2:$R$495,MATCH("Case MAX Planck Plate 5: A12",'CASE MASTER'!$J$2:$J$495,0)),"")</f>
        <v/>
      </c>
    </row>
    <row r="52" spans="1:13" ht="15" customHeight="1" x14ac:dyDescent="0.35">
      <c r="A52" s="8" t="s">
        <v>29</v>
      </c>
      <c r="B52" s="9" t="str">
        <f>IFERROR(INDEX('CASE MASTER'!$R$2:$R$495,MATCH("Case MAX Planck Plate 5: B1",'CASE MASTER'!$J$2:$J$495,0)),"")</f>
        <v/>
      </c>
      <c r="C52" s="9" t="str">
        <f>IFERROR(INDEX('CASE MASTER'!$R$2:$R$495,MATCH("Case MAX Planck Plate 5: B2",'CASE MASTER'!$J$2:$J$495,0)),"")</f>
        <v/>
      </c>
      <c r="D52" s="9" t="str">
        <f>IFERROR(INDEX('CASE MASTER'!$R$2:$R$495,MATCH("Case MAX Planck Plate 5: B3",'CASE MASTER'!$J$2:$J$495,0)),"")</f>
        <v/>
      </c>
      <c r="E52" s="9" t="str">
        <f>IFERROR(INDEX('CASE MASTER'!$R$2:$R$495,MATCH("Case MAX Planck Plate 5: B4",'CASE MASTER'!$J$2:$J$495,0)),"")</f>
        <v/>
      </c>
      <c r="F52" s="9" t="str">
        <f>IFERROR(INDEX('CASE MASTER'!$R$2:$R$495,MATCH("Case MAX Planck Plate 5: B5",'CASE MASTER'!$J$2:$J$495,0)),"")</f>
        <v/>
      </c>
      <c r="G52" s="9" t="str">
        <f>IFERROR(INDEX('CASE MASTER'!$R$2:$R$495,MATCH("Case MAX Planck Plate 5: B6",'CASE MASTER'!$J$2:$J$495,0)),"")</f>
        <v/>
      </c>
      <c r="H52" s="9" t="str">
        <f>IFERROR(INDEX('CASE MASTER'!$R$2:$R$495,MATCH("Case MAX Planck Plate 5: B7",'CASE MASTER'!$J$2:$J$495,0)),"")</f>
        <v/>
      </c>
      <c r="I52" s="9" t="str">
        <f>IFERROR(INDEX('CASE MASTER'!$R$2:$R$495,MATCH("Case MAX Planck Plate 5: B8",'CASE MASTER'!$J$2:$J$495,0)),"")</f>
        <v/>
      </c>
      <c r="J52" s="9" t="str">
        <f>IFERROR(INDEX('CASE MASTER'!$R$2:$R$495,MATCH("Case MAX Planck Plate 5: B9",'CASE MASTER'!$J$2:$J$495,0)),"")</f>
        <v/>
      </c>
      <c r="K52" s="9" t="str">
        <f>IFERROR(INDEX('CASE MASTER'!$R$2:$R$495,MATCH("Case MAX Planck Plate 5: B10",'CASE MASTER'!$J$2:$J$495,0)),"")</f>
        <v/>
      </c>
      <c r="L52" s="9" t="str">
        <f>IFERROR(INDEX('CASE MASTER'!$R$2:$R$495,MATCH("Case MAX Planck Plate 5: B11",'CASE MASTER'!$J$2:$J$495,0)),"")</f>
        <v/>
      </c>
      <c r="M52" s="9" t="str">
        <f>IFERROR(INDEX('CASE MASTER'!$R$2:$R$495,MATCH("Case MAX Planck Plate 5: B12",'CASE MASTER'!$J$2:$J$495,0)),"")</f>
        <v/>
      </c>
    </row>
    <row r="53" spans="1:13" ht="15" customHeight="1" x14ac:dyDescent="0.35">
      <c r="A53" s="8" t="s">
        <v>30</v>
      </c>
      <c r="B53" s="9" t="str">
        <f>IFERROR(INDEX('CASE MASTER'!$R$2:$R$495,MATCH("Case MAX Planck Plate 5: C1",'CASE MASTER'!$J$2:$J$495,0)),"")</f>
        <v/>
      </c>
      <c r="C53" s="9" t="str">
        <f>IFERROR(INDEX('CASE MASTER'!$R$2:$R$495,MATCH("Case MAX Planck Plate 5: C2",'CASE MASTER'!$J$2:$J$495,0)),"")</f>
        <v/>
      </c>
      <c r="D53" s="9" t="str">
        <f>IFERROR(INDEX('CASE MASTER'!$R$2:$R$495,MATCH("Case MAX Planck Plate 5: C3",'CASE MASTER'!$J$2:$J$495,0)),"")</f>
        <v/>
      </c>
      <c r="E53" s="9" t="str">
        <f>IFERROR(INDEX('CASE MASTER'!$R$2:$R$495,MATCH("Case MAX Planck Plate 5: C4",'CASE MASTER'!$J$2:$J$495,0)),"")</f>
        <v/>
      </c>
      <c r="F53" s="9" t="str">
        <f>IFERROR(INDEX('CASE MASTER'!$R$2:$R$495,MATCH("Case MAX Planck Plate 5: C5",'CASE MASTER'!$J$2:$J$495,0)),"")</f>
        <v/>
      </c>
      <c r="G53" s="9" t="str">
        <f>IFERROR(INDEX('CASE MASTER'!$R$2:$R$495,MATCH("Case MAX Planck Plate 5: C6",'CASE MASTER'!$J$2:$J$495,0)),"")</f>
        <v/>
      </c>
      <c r="H53" s="9" t="str">
        <f>IFERROR(INDEX('CASE MASTER'!$R$2:$R$495,MATCH("Case MAX Planck Plate 5: C7",'CASE MASTER'!$J$2:$J$495,0)),"")</f>
        <v/>
      </c>
      <c r="I53" s="9" t="str">
        <f>IFERROR(INDEX('CASE MASTER'!$R$2:$R$495,MATCH("Case MAX Planck Plate 5: C8",'CASE MASTER'!$J$2:$J$495,0)),"")</f>
        <v/>
      </c>
      <c r="J53" s="9" t="str">
        <f>IFERROR(INDEX('CASE MASTER'!$R$2:$R$495,MATCH("Case MAX Planck Plate 5: C9",'CASE MASTER'!$J$2:$J$495,0)),"")</f>
        <v/>
      </c>
      <c r="K53" s="9" t="str">
        <f>IFERROR(INDEX('CASE MASTER'!$R$2:$R$495,MATCH("Case MAX Planck Plate 5: C10",'CASE MASTER'!$J$2:$J$495,0)),"")</f>
        <v/>
      </c>
      <c r="L53" s="9" t="str">
        <f>IFERROR(INDEX('CASE MASTER'!$R$2:$R$495,MATCH("Case MAX Planck Plate 5: C11",'CASE MASTER'!$J$2:$J$495,0)),"")</f>
        <v/>
      </c>
      <c r="M53" s="9" t="str">
        <f>IFERROR(INDEX('CASE MASTER'!$R$2:$R$495,MATCH("Case MAX Planck Plate 5: C12",'CASE MASTER'!$J$2:$J$495,0)),"")</f>
        <v/>
      </c>
    </row>
    <row r="54" spans="1:13" ht="15" customHeight="1" x14ac:dyDescent="0.35">
      <c r="A54" s="8" t="s">
        <v>31</v>
      </c>
      <c r="B54" s="9" t="str">
        <f>IFERROR(INDEX('CASE MASTER'!$R$2:$R$495,MATCH("Case MAX Planck Plate 5: D1",'CASE MASTER'!$J$2:$J$495,0)),"")</f>
        <v/>
      </c>
      <c r="C54" s="9" t="str">
        <f>IFERROR(INDEX('CASE MASTER'!$R$2:$R$495,MATCH("Case MAX Planck Plate 5: D2",'CASE MASTER'!$J$2:$J$495,0)),"")</f>
        <v/>
      </c>
      <c r="D54" s="9" t="str">
        <f>IFERROR(INDEX('CASE MASTER'!$R$2:$R$495,MATCH("Case MAX Planck Plate 5: D3",'CASE MASTER'!$J$2:$J$495,0)),"")</f>
        <v/>
      </c>
      <c r="E54" s="9" t="str">
        <f>IFERROR(INDEX('CASE MASTER'!$R$2:$R$495,MATCH("Case MAX Planck Plate 5: D4",'CASE MASTER'!$J$2:$J$495,0)),"")</f>
        <v/>
      </c>
      <c r="F54" s="9" t="str">
        <f>IFERROR(INDEX('CASE MASTER'!$R$2:$R$495,MATCH("Case MAX Planck Plate 5: D5",'CASE MASTER'!$J$2:$J$495,0)),"")</f>
        <v/>
      </c>
      <c r="G54" s="9" t="str">
        <f>IFERROR(INDEX('CASE MASTER'!$R$2:$R$495,MATCH("Case MAX Planck Plate 5: D6",'CASE MASTER'!$J$2:$J$495,0)),"")</f>
        <v/>
      </c>
      <c r="H54" s="9" t="str">
        <f>IFERROR(INDEX('CASE MASTER'!$R$2:$R$495,MATCH("Case MAX Planck Plate 5: D7",'CASE MASTER'!$J$2:$J$495,0)),"")</f>
        <v/>
      </c>
      <c r="I54" s="9" t="str">
        <f>IFERROR(INDEX('CASE MASTER'!$R$2:$R$495,MATCH("Case MAX Planck Plate 5: D8",'CASE MASTER'!$J$2:$J$495,0)),"")</f>
        <v/>
      </c>
      <c r="J54" s="9" t="str">
        <f>IFERROR(INDEX('CASE MASTER'!$R$2:$R$495,MATCH("Case MAX Planck Plate 5: D9",'CASE MASTER'!$J$2:$J$495,0)),"")</f>
        <v/>
      </c>
      <c r="K54" s="9" t="str">
        <f>IFERROR(INDEX('CASE MASTER'!$R$2:$R$495,MATCH("Case MAX Planck Plate 5: D10",'CASE MASTER'!$J$2:$J$495,0)),"")</f>
        <v/>
      </c>
      <c r="L54" s="9" t="str">
        <f>IFERROR(INDEX('CASE MASTER'!$R$2:$R$495,MATCH("Case MAX Planck Plate 5: D11",'CASE MASTER'!$J$2:$J$495,0)),"")</f>
        <v/>
      </c>
      <c r="M54" s="9" t="str">
        <f>IFERROR(INDEX('CASE MASTER'!$R$2:$R$495,MATCH("Case MAX Planck Plate 5: D12",'CASE MASTER'!$J$2:$J$495,0)),"")</f>
        <v/>
      </c>
    </row>
    <row r="55" spans="1:13" ht="15" customHeight="1" x14ac:dyDescent="0.35">
      <c r="A55" s="8" t="s">
        <v>32</v>
      </c>
      <c r="B55" s="9" t="str">
        <f>IFERROR(INDEX('CASE MASTER'!$R$2:$R$495,MATCH("Case MAX Planck Plate 5: E1",'CASE MASTER'!$J$2:$J$495,0)),"")</f>
        <v/>
      </c>
      <c r="C55" s="9" t="str">
        <f>IFERROR(INDEX('CASE MASTER'!$R$2:$R$495,MATCH("Case MAX Planck Plate 5: E2",'CASE MASTER'!$J$2:$J$495,0)),"")</f>
        <v/>
      </c>
      <c r="D55" s="9" t="str">
        <f>IFERROR(INDEX('CASE MASTER'!$R$2:$R$495,MATCH("Case MAX Planck Plate 5: E3",'CASE MASTER'!$J$2:$J$495,0)),"")</f>
        <v/>
      </c>
      <c r="E55" s="9" t="str">
        <f>IFERROR(INDEX('CASE MASTER'!$R$2:$R$495,MATCH("Case MAX Planck Plate 5: E4",'CASE MASTER'!$J$2:$J$495,0)),"")</f>
        <v/>
      </c>
      <c r="F55" s="9" t="str">
        <f>IFERROR(INDEX('CASE MASTER'!$R$2:$R$495,MATCH("Case MAX Planck Plate 5: E5",'CASE MASTER'!$J$2:$J$495,0)),"")</f>
        <v/>
      </c>
      <c r="G55" s="9" t="str">
        <f>IFERROR(INDEX('CASE MASTER'!$R$2:$R$495,MATCH("Case MAX Planck Plate 5: E6",'CASE MASTER'!$J$2:$J$495,0)),"")</f>
        <v/>
      </c>
      <c r="H55" s="9" t="str">
        <f>IFERROR(INDEX('CASE MASTER'!$R$2:$R$495,MATCH("Case MAX Planck Plate 5: E7",'CASE MASTER'!$J$2:$J$495,0)),"")</f>
        <v/>
      </c>
      <c r="I55" s="9" t="str">
        <f>IFERROR(INDEX('CASE MASTER'!$R$2:$R$495,MATCH("Case MAX Planck Plate 5: E8",'CASE MASTER'!$J$2:$J$495,0)),"")</f>
        <v/>
      </c>
      <c r="J55" s="9" t="str">
        <f>IFERROR(INDEX('CASE MASTER'!$R$2:$R$495,MATCH("Case MAX Planck Plate 5: E9",'CASE MASTER'!$J$2:$J$495,0)),"")</f>
        <v/>
      </c>
      <c r="K55" s="9" t="str">
        <f>IFERROR(INDEX('CASE MASTER'!$R$2:$R$495,MATCH("Case MAX Planck Plate 5: E10",'CASE MASTER'!$J$2:$J$495,0)),"")</f>
        <v/>
      </c>
      <c r="L55" s="9" t="str">
        <f>IFERROR(INDEX('CASE MASTER'!$R$2:$R$495,MATCH("Case MAX Planck Plate 5: E11",'CASE MASTER'!$J$2:$J$495,0)),"")</f>
        <v/>
      </c>
      <c r="M55" s="9" t="str">
        <f>IFERROR(INDEX('CASE MASTER'!$R$2:$R$495,MATCH("Case MAX Planck Plate 5: E12",'CASE MASTER'!$J$2:$J$495,0)),"")</f>
        <v/>
      </c>
    </row>
    <row r="56" spans="1:13" ht="15" customHeight="1" x14ac:dyDescent="0.35">
      <c r="A56" s="8" t="s">
        <v>33</v>
      </c>
      <c r="B56" s="9" t="str">
        <f>IFERROR(INDEX('CASE MASTER'!$R$2:$R$495,MATCH("Case MAX Planck Plate 5: F1",'CASE MASTER'!$J$2:$J$495,0)),"")</f>
        <v/>
      </c>
      <c r="C56" s="9" t="str">
        <f>IFERROR(INDEX('CASE MASTER'!$R$2:$R$495,MATCH("Case MAX Planck Plate 5: F2",'CASE MASTER'!$J$2:$J$495,0)),"")</f>
        <v/>
      </c>
      <c r="D56" s="9" t="str">
        <f>IFERROR(INDEX('CASE MASTER'!$R$2:$R$495,MATCH("Case MAX Planck Plate 5: F3",'CASE MASTER'!$J$2:$J$495,0)),"")</f>
        <v/>
      </c>
      <c r="E56" s="9" t="str">
        <f>IFERROR(INDEX('CASE MASTER'!$R$2:$R$495,MATCH("Case MAX Planck Plate 5: F4",'CASE MASTER'!$J$2:$J$495,0)),"")</f>
        <v/>
      </c>
      <c r="F56" s="9" t="str">
        <f>IFERROR(INDEX('CASE MASTER'!$R$2:$R$495,MATCH("Case MAX Planck Plate 5: F5",'CASE MASTER'!$J$2:$J$495,0)),"")</f>
        <v/>
      </c>
      <c r="G56" s="9" t="str">
        <f>IFERROR(INDEX('CASE MASTER'!$R$2:$R$495,MATCH("Case MAX Planck Plate 5: F6",'CASE MASTER'!$J$2:$J$495,0)),"")</f>
        <v/>
      </c>
      <c r="H56" s="9" t="str">
        <f>IFERROR(INDEX('CASE MASTER'!$R$2:$R$495,MATCH("Case MAX Planck Plate 5: F7",'CASE MASTER'!$J$2:$J$495,0)),"")</f>
        <v/>
      </c>
      <c r="I56" s="9" t="str">
        <f>IFERROR(INDEX('CASE MASTER'!$R$2:$R$495,MATCH("Case MAX Planck Plate 5: F8",'CASE MASTER'!$J$2:$J$495,0)),"")</f>
        <v/>
      </c>
      <c r="J56" s="9" t="str">
        <f>IFERROR(INDEX('CASE MASTER'!$R$2:$R$495,MATCH("Case MAX Planck Plate 5: F9",'CASE MASTER'!$J$2:$J$495,0)),"")</f>
        <v/>
      </c>
      <c r="K56" s="9" t="str">
        <f>IFERROR(INDEX('CASE MASTER'!$R$2:$R$495,MATCH("Case MAX Planck Plate 5: F10",'CASE MASTER'!$J$2:$J$495,0)),"")</f>
        <v/>
      </c>
      <c r="L56" s="9" t="str">
        <f>IFERROR(INDEX('CASE MASTER'!$R$2:$R$495,MATCH("Case MAX Planck Plate 5: F11",'CASE MASTER'!$J$2:$J$495,0)),"")</f>
        <v/>
      </c>
      <c r="M56" s="9" t="str">
        <f>IFERROR(INDEX('CASE MASTER'!$R$2:$R$495,MATCH("Case MAX Planck Plate 5: F12",'CASE MASTER'!$J$2:$J$495,0)),"")</f>
        <v/>
      </c>
    </row>
    <row r="57" spans="1:13" ht="15" customHeight="1" x14ac:dyDescent="0.35">
      <c r="A57" s="8" t="s">
        <v>34</v>
      </c>
      <c r="B57" s="9" t="str">
        <f>IFERROR(INDEX('CASE MASTER'!$R$2:$R$495,MATCH("Case MAX Planck Plate 5: G1",'CASE MASTER'!$J$2:$J$495,0)),"")</f>
        <v/>
      </c>
      <c r="C57" s="9" t="str">
        <f>IFERROR(INDEX('CASE MASTER'!$R$2:$R$495,MATCH("Case MAX Planck Plate 5: G2",'CASE MASTER'!$J$2:$J$495,0)),"")</f>
        <v/>
      </c>
      <c r="D57" s="9" t="str">
        <f>IFERROR(INDEX('CASE MASTER'!$R$2:$R$495,MATCH("Case MAX Planck Plate 5: G3",'CASE MASTER'!$J$2:$J$495,0)),"")</f>
        <v/>
      </c>
      <c r="E57" s="9" t="str">
        <f>IFERROR(INDEX('CASE MASTER'!$R$2:$R$495,MATCH("Case MAX Planck Plate 5: G4",'CASE MASTER'!$J$2:$J$495,0)),"")</f>
        <v/>
      </c>
      <c r="F57" s="9" t="str">
        <f>IFERROR(INDEX('CASE MASTER'!$R$2:$R$495,MATCH("Case MAX Planck Plate 5: G5",'CASE MASTER'!$J$2:$J$495,0)),"")</f>
        <v/>
      </c>
      <c r="G57" s="9" t="str">
        <f>IFERROR(INDEX('CASE MASTER'!$R$2:$R$495,MATCH("Case MAX Planck Plate 5: G6",'CASE MASTER'!$J$2:$J$495,0)),"")</f>
        <v/>
      </c>
      <c r="H57" s="9" t="str">
        <f>IFERROR(INDEX('CASE MASTER'!$R$2:$R$495,MATCH("Case MAX Planck Plate 5: G7",'CASE MASTER'!$J$2:$J$495,0)),"")</f>
        <v/>
      </c>
      <c r="I57" s="9" t="str">
        <f>IFERROR(INDEX('CASE MASTER'!$R$2:$R$495,MATCH("Case MAX Planck Plate 5: G8",'CASE MASTER'!$J$2:$J$495,0)),"")</f>
        <v/>
      </c>
      <c r="J57" s="9" t="str">
        <f>IFERROR(INDEX('CASE MASTER'!$R$2:$R$495,MATCH("Case MAX Planck Plate 5: G9",'CASE MASTER'!$J$2:$J$495,0)),"")</f>
        <v/>
      </c>
      <c r="K57" s="9" t="str">
        <f>IFERROR(INDEX('CASE MASTER'!$R$2:$R$495,MATCH("Case MAX Planck Plate 5: G10",'CASE MASTER'!$J$2:$J$495,0)),"")</f>
        <v/>
      </c>
      <c r="L57" s="9" t="str">
        <f>IFERROR(INDEX('CASE MASTER'!$R$2:$R$495,MATCH("Case MAX Planck Plate 5: G11",'CASE MASTER'!$J$2:$J$495,0)),"")</f>
        <v/>
      </c>
      <c r="M57" s="9" t="str">
        <f>IFERROR(INDEX('CASE MASTER'!$R$2:$R$495,MATCH("Case MAX Planck Plate 5: G12",'CASE MASTER'!$J$2:$J$495,0)),"")</f>
        <v/>
      </c>
    </row>
    <row r="58" spans="1:13" ht="15" customHeight="1" x14ac:dyDescent="0.35">
      <c r="A58" s="8" t="s">
        <v>35</v>
      </c>
      <c r="B58" s="9" t="str">
        <f>IFERROR(INDEX('CASE MASTER'!$R$2:$R$495,MATCH("Case MAX Planck Plate 5: H1",'CASE MASTER'!$J$2:$J$495,0)),"")</f>
        <v/>
      </c>
      <c r="C58" s="9" t="str">
        <f>IFERROR(INDEX('CASE MASTER'!$R$2:$R$495,MATCH("Case MAX Planck Plate 5: H2",'CASE MASTER'!$J$2:$J$495,0)),"")</f>
        <v/>
      </c>
      <c r="D58" s="9" t="str">
        <f>IFERROR(INDEX('CASE MASTER'!$R$2:$R$495,MATCH("Case MAX Planck Plate 5: H3",'CASE MASTER'!$J$2:$J$495,0)),"")</f>
        <v/>
      </c>
      <c r="E58" s="9" t="str">
        <f>IFERROR(INDEX('CASE MASTER'!$R$2:$R$495,MATCH("Case MAX Planck Plate 5: H4",'CASE MASTER'!$J$2:$J$495,0)),"")</f>
        <v/>
      </c>
      <c r="F58" s="9" t="str">
        <f>IFERROR(INDEX('CASE MASTER'!$R$2:$R$495,MATCH("Case MAX Planck Plate 5: H5",'CASE MASTER'!$J$2:$J$495,0)),"")</f>
        <v/>
      </c>
      <c r="G58" s="9" t="str">
        <f>IFERROR(INDEX('CASE MASTER'!$R$2:$R$495,MATCH("Case MAX Planck Plate 5: H6",'CASE MASTER'!$J$2:$J$495,0)),"")</f>
        <v/>
      </c>
      <c r="H58" s="9" t="str">
        <f>IFERROR(INDEX('CASE MASTER'!$R$2:$R$495,MATCH("Case MAX Planck Plate 5: H7",'CASE MASTER'!$J$2:$J$495,0)),"")</f>
        <v/>
      </c>
      <c r="I58" s="9" t="str">
        <f>IFERROR(INDEX('CASE MASTER'!$R$2:$R$495,MATCH("Case MAX Planck Plate 5: H8",'CASE MASTER'!$J$2:$J$495,0)),"")</f>
        <v/>
      </c>
      <c r="J58" s="9" t="str">
        <f>IFERROR(INDEX('CASE MASTER'!$R$2:$R$495,MATCH("Case MAX Planck Plate 5: H9",'CASE MASTER'!$J$2:$J$495,0)),"")</f>
        <v/>
      </c>
      <c r="K58" s="9" t="str">
        <f>IFERROR(INDEX('CASE MASTER'!$R$2:$R$495,MATCH("Case MAX Planck Plate 5: H10",'CASE MASTER'!$J$2:$J$495,0)),"")</f>
        <v/>
      </c>
      <c r="L58" s="9" t="str">
        <f>IFERROR(INDEX('CASE MASTER'!$R$2:$R$495,MATCH("Case MAX Planck Plate 5: H11",'CASE MASTER'!$J$2:$J$495,0)),"")</f>
        <v/>
      </c>
      <c r="M58" s="9" t="str">
        <f>IFERROR(INDEX('CASE MASTER'!$R$2:$R$495,MATCH("Case MAX Planck Plate 5: H12",'CASE MASTER'!$J$2:$J$495,0)),"")</f>
        <v/>
      </c>
    </row>
    <row r="61" spans="1:13" ht="15" customHeight="1" x14ac:dyDescent="0.35">
      <c r="A61" s="12" t="s">
        <v>70</v>
      </c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</row>
    <row r="62" spans="1:13" ht="15" customHeight="1" x14ac:dyDescent="0.35">
      <c r="B62" s="8">
        <v>1</v>
      </c>
      <c r="C62" s="8">
        <v>2</v>
      </c>
      <c r="D62" s="8">
        <v>3</v>
      </c>
      <c r="E62" s="8">
        <v>4</v>
      </c>
      <c r="F62" s="8">
        <v>5</v>
      </c>
      <c r="G62" s="8">
        <v>6</v>
      </c>
      <c r="H62" s="8">
        <v>7</v>
      </c>
      <c r="I62" s="8">
        <v>8</v>
      </c>
      <c r="J62" s="8">
        <v>9</v>
      </c>
      <c r="K62" s="8">
        <v>10</v>
      </c>
      <c r="L62" s="8">
        <v>11</v>
      </c>
      <c r="M62" s="8">
        <v>12</v>
      </c>
    </row>
    <row r="63" spans="1:13" ht="15" customHeight="1" x14ac:dyDescent="0.35">
      <c r="A63" s="8" t="s">
        <v>28</v>
      </c>
      <c r="B63" s="9" t="str">
        <f>IFERROR(INDEX('CASE MASTER'!$R$2:$R$495,MATCH("Case MAX Planck Plate 6: A1",'CASE MASTER'!$J$2:$J$495,0)),"")</f>
        <v/>
      </c>
      <c r="C63" s="9" t="str">
        <f>IFERROR(INDEX('CASE MASTER'!$R$2:$R$495,MATCH("Case MAX Planck Plate 6: A2",'CASE MASTER'!$J$2:$J$495,0)),"")</f>
        <v/>
      </c>
      <c r="D63" s="9" t="str">
        <f>IFERROR(INDEX('CASE MASTER'!$R$2:$R$495,MATCH("Case MAX Planck Plate 6: A3",'CASE MASTER'!$J$2:$J$495,0)),"")</f>
        <v/>
      </c>
      <c r="E63" s="9" t="str">
        <f>IFERROR(INDEX('CASE MASTER'!$R$2:$R$495,MATCH("Case MAX Planck Plate 6: A4",'CASE MASTER'!$J$2:$J$495,0)),"")</f>
        <v/>
      </c>
      <c r="F63" s="9" t="str">
        <f>IFERROR(INDEX('CASE MASTER'!$R$2:$R$495,MATCH("Case MAX Planck Plate 6: A5",'CASE MASTER'!$J$2:$J$495,0)),"")</f>
        <v/>
      </c>
      <c r="G63" s="9" t="str">
        <f>IFERROR(INDEX('CASE MASTER'!$R$2:$R$495,MATCH("Case MAX Planck Plate 6: A6",'CASE MASTER'!$J$2:$J$495,0)),"")</f>
        <v/>
      </c>
      <c r="H63" s="9" t="str">
        <f>IFERROR(INDEX('CASE MASTER'!$R$2:$R$495,MATCH("Case MAX Planck Plate 6: A7",'CASE MASTER'!$J$2:$J$495,0)),"")</f>
        <v/>
      </c>
      <c r="I63" s="9" t="str">
        <f>IFERROR(INDEX('CASE MASTER'!$R$2:$R$495,MATCH("Case MAX Planck Plate 6: A8",'CASE MASTER'!$J$2:$J$495,0)),"")</f>
        <v/>
      </c>
      <c r="J63" s="9" t="str">
        <f>IFERROR(INDEX('CASE MASTER'!$R$2:$R$495,MATCH("Case MAX Planck Plate 6: A9",'CASE MASTER'!$J$2:$J$495,0)),"")</f>
        <v/>
      </c>
      <c r="K63" s="9" t="str">
        <f>IFERROR(INDEX('CASE MASTER'!$R$2:$R$495,MATCH("Case MAX Planck Plate 6: A10",'CASE MASTER'!$J$2:$J$495,0)),"")</f>
        <v/>
      </c>
      <c r="L63" s="9" t="str">
        <f>IFERROR(INDEX('CASE MASTER'!$R$2:$R$495,MATCH("Case MAX Planck Plate 6: A11",'CASE MASTER'!$J$2:$J$495,0)),"")</f>
        <v/>
      </c>
      <c r="M63" s="9" t="str">
        <f>IFERROR(INDEX('CASE MASTER'!$R$2:$R$495,MATCH("Case MAX Planck Plate 6: A12",'CASE MASTER'!$J$2:$J$495,0)),"")</f>
        <v/>
      </c>
    </row>
    <row r="64" spans="1:13" ht="15" customHeight="1" x14ac:dyDescent="0.35">
      <c r="A64" s="8" t="s">
        <v>29</v>
      </c>
      <c r="B64" s="9" t="str">
        <f>IFERROR(INDEX('CASE MASTER'!$R$2:$R$495,MATCH("Case MAX Planck Plate 6: B1",'CASE MASTER'!$J$2:$J$495,0)),"")</f>
        <v/>
      </c>
      <c r="C64" s="9" t="str">
        <f>IFERROR(INDEX('CASE MASTER'!$R$2:$R$495,MATCH("Case MAX Planck Plate 6: B2",'CASE MASTER'!$J$2:$J$495,0)),"")</f>
        <v/>
      </c>
      <c r="D64" s="9" t="str">
        <f>IFERROR(INDEX('CASE MASTER'!$R$2:$R$495,MATCH("Case MAX Planck Plate 6: B3",'CASE MASTER'!$J$2:$J$495,0)),"")</f>
        <v/>
      </c>
      <c r="E64" s="9" t="str">
        <f>IFERROR(INDEX('CASE MASTER'!$R$2:$R$495,MATCH("Case MAX Planck Plate 6: B4",'CASE MASTER'!$J$2:$J$495,0)),"")</f>
        <v/>
      </c>
      <c r="F64" s="9" t="str">
        <f>IFERROR(INDEX('CASE MASTER'!$R$2:$R$495,MATCH("Case MAX Planck Plate 6: B5",'CASE MASTER'!$J$2:$J$495,0)),"")</f>
        <v/>
      </c>
      <c r="G64" s="9" t="str">
        <f>IFERROR(INDEX('CASE MASTER'!$R$2:$R$495,MATCH("Case MAX Planck Plate 6: B6",'CASE MASTER'!$J$2:$J$495,0)),"")</f>
        <v/>
      </c>
      <c r="H64" s="9" t="str">
        <f>IFERROR(INDEX('CASE MASTER'!$R$2:$R$495,MATCH("Case MAX Planck Plate 6: B7",'CASE MASTER'!$J$2:$J$495,0)),"")</f>
        <v/>
      </c>
      <c r="I64" s="9" t="str">
        <f>IFERROR(INDEX('CASE MASTER'!$R$2:$R$495,MATCH("Case MAX Planck Plate 6: B8",'CASE MASTER'!$J$2:$J$495,0)),"")</f>
        <v/>
      </c>
      <c r="J64" s="9" t="str">
        <f>IFERROR(INDEX('CASE MASTER'!$R$2:$R$495,MATCH("Case MAX Planck Plate 6: B9",'CASE MASTER'!$J$2:$J$495,0)),"")</f>
        <v/>
      </c>
      <c r="K64" s="9" t="str">
        <f>IFERROR(INDEX('CASE MASTER'!$R$2:$R$495,MATCH("Case MAX Planck Plate 6: B10",'CASE MASTER'!$J$2:$J$495,0)),"")</f>
        <v/>
      </c>
      <c r="L64" s="9" t="str">
        <f>IFERROR(INDEX('CASE MASTER'!$R$2:$R$495,MATCH("Case MAX Planck Plate 6: B11",'CASE MASTER'!$J$2:$J$495,0)),"")</f>
        <v/>
      </c>
      <c r="M64" s="9" t="str">
        <f>IFERROR(INDEX('CASE MASTER'!$R$2:$R$495,MATCH("Case MAX Planck Plate 6: B12",'CASE MASTER'!$J$2:$J$495,0)),"")</f>
        <v/>
      </c>
    </row>
    <row r="65" spans="1:13" ht="15" customHeight="1" x14ac:dyDescent="0.35">
      <c r="A65" s="8" t="s">
        <v>30</v>
      </c>
      <c r="B65" s="9" t="str">
        <f>IFERROR(INDEX('CASE MASTER'!$R$2:$R$495,MATCH("Case MAX Planck Plate 6: C1",'CASE MASTER'!$J$2:$J$495,0)),"")</f>
        <v/>
      </c>
      <c r="C65" s="9" t="str">
        <f>IFERROR(INDEX('CASE MASTER'!$R$2:$R$495,MATCH("Case MAX Planck Plate 6: C2",'CASE MASTER'!$J$2:$J$495,0)),"")</f>
        <v/>
      </c>
      <c r="D65" s="9" t="str">
        <f>IFERROR(INDEX('CASE MASTER'!$R$2:$R$495,MATCH("Case MAX Planck Plate 6: C3",'CASE MASTER'!$J$2:$J$495,0)),"")</f>
        <v/>
      </c>
      <c r="E65" s="9" t="str">
        <f>IFERROR(INDEX('CASE MASTER'!$R$2:$R$495,MATCH("Case MAX Planck Plate 6: C4",'CASE MASTER'!$J$2:$J$495,0)),"")</f>
        <v/>
      </c>
      <c r="F65" s="9" t="str">
        <f>IFERROR(INDEX('CASE MASTER'!$R$2:$R$495,MATCH("Case MAX Planck Plate 6: C5",'CASE MASTER'!$J$2:$J$495,0)),"")</f>
        <v/>
      </c>
      <c r="G65" s="9" t="str">
        <f>IFERROR(INDEX('CASE MASTER'!$R$2:$R$495,MATCH("Case MAX Planck Plate 6: C6",'CASE MASTER'!$J$2:$J$495,0)),"")</f>
        <v/>
      </c>
      <c r="H65" s="9" t="str">
        <f>IFERROR(INDEX('CASE MASTER'!$R$2:$R$495,MATCH("Case MAX Planck Plate 6: C7",'CASE MASTER'!$J$2:$J$495,0)),"")</f>
        <v/>
      </c>
      <c r="I65" s="9" t="str">
        <f>IFERROR(INDEX('CASE MASTER'!$R$2:$R$495,MATCH("Case MAX Planck Plate 6: C8",'CASE MASTER'!$J$2:$J$495,0)),"")</f>
        <v/>
      </c>
      <c r="J65" s="9" t="str">
        <f>IFERROR(INDEX('CASE MASTER'!$R$2:$R$495,MATCH("Case MAX Planck Plate 6: C9",'CASE MASTER'!$J$2:$J$495,0)),"")</f>
        <v/>
      </c>
      <c r="K65" s="9" t="str">
        <f>IFERROR(INDEX('CASE MASTER'!$R$2:$R$495,MATCH("Case MAX Planck Plate 6: C10",'CASE MASTER'!$J$2:$J$495,0)),"")</f>
        <v/>
      </c>
      <c r="L65" s="9" t="str">
        <f>IFERROR(INDEX('CASE MASTER'!$R$2:$R$495,MATCH("Case MAX Planck Plate 6: C11",'CASE MASTER'!$J$2:$J$495,0)),"")</f>
        <v/>
      </c>
      <c r="M65" s="9" t="str">
        <f>IFERROR(INDEX('CASE MASTER'!$R$2:$R$495,MATCH("Case MAX Planck Plate 6: C12",'CASE MASTER'!$J$2:$J$495,0)),"")</f>
        <v/>
      </c>
    </row>
    <row r="66" spans="1:13" ht="15" customHeight="1" x14ac:dyDescent="0.35">
      <c r="A66" s="8" t="s">
        <v>31</v>
      </c>
      <c r="B66" s="9" t="str">
        <f>IFERROR(INDEX('CASE MASTER'!$R$2:$R$495,MATCH("Case MAX Planck Plate 6: D1",'CASE MASTER'!$J$2:$J$495,0)),"")</f>
        <v/>
      </c>
      <c r="C66" s="9" t="str">
        <f>IFERROR(INDEX('CASE MASTER'!$R$2:$R$495,MATCH("Case MAX Planck Plate 6: D2",'CASE MASTER'!$J$2:$J$495,0)),"")</f>
        <v/>
      </c>
      <c r="D66" s="9" t="str">
        <f>IFERROR(INDEX('CASE MASTER'!$R$2:$R$495,MATCH("Case MAX Planck Plate 6: D3",'CASE MASTER'!$J$2:$J$495,0)),"")</f>
        <v/>
      </c>
      <c r="E66" s="9" t="str">
        <f>IFERROR(INDEX('CASE MASTER'!$R$2:$R$495,MATCH("Case MAX Planck Plate 6: D4",'CASE MASTER'!$J$2:$J$495,0)),"")</f>
        <v/>
      </c>
      <c r="F66" s="9" t="str">
        <f>IFERROR(INDEX('CASE MASTER'!$R$2:$R$495,MATCH("Case MAX Planck Plate 6: D5",'CASE MASTER'!$J$2:$J$495,0)),"")</f>
        <v/>
      </c>
      <c r="G66" s="9" t="str">
        <f>IFERROR(INDEX('CASE MASTER'!$R$2:$R$495,MATCH("Case MAX Planck Plate 6: D6",'CASE MASTER'!$J$2:$J$495,0)),"")</f>
        <v/>
      </c>
      <c r="H66" s="9" t="str">
        <f>IFERROR(INDEX('CASE MASTER'!$R$2:$R$495,MATCH("Case MAX Planck Plate 6: D7",'CASE MASTER'!$J$2:$J$495,0)),"")</f>
        <v/>
      </c>
      <c r="I66" s="9" t="str">
        <f>IFERROR(INDEX('CASE MASTER'!$R$2:$R$495,MATCH("Case MAX Planck Plate 6: D8",'CASE MASTER'!$J$2:$J$495,0)),"")</f>
        <v/>
      </c>
      <c r="J66" s="9" t="str">
        <f>IFERROR(INDEX('CASE MASTER'!$R$2:$R$495,MATCH("Case MAX Planck Plate 6: D9",'CASE MASTER'!$J$2:$J$495,0)),"")</f>
        <v/>
      </c>
      <c r="K66" s="9" t="str">
        <f>IFERROR(INDEX('CASE MASTER'!$R$2:$R$495,MATCH("Case MAX Planck Plate 6: D10",'CASE MASTER'!$J$2:$J$495,0)),"")</f>
        <v/>
      </c>
      <c r="L66" s="9" t="str">
        <f>IFERROR(INDEX('CASE MASTER'!$R$2:$R$495,MATCH("Case MAX Planck Plate 6: D11",'CASE MASTER'!$J$2:$J$495,0)),"")</f>
        <v/>
      </c>
      <c r="M66" s="9" t="str">
        <f>IFERROR(INDEX('CASE MASTER'!$R$2:$R$495,MATCH("Case MAX Planck Plate 6: D12",'CASE MASTER'!$J$2:$J$495,0)),"")</f>
        <v/>
      </c>
    </row>
    <row r="67" spans="1:13" ht="15" customHeight="1" x14ac:dyDescent="0.35">
      <c r="A67" s="8" t="s">
        <v>32</v>
      </c>
      <c r="B67" s="9" t="str">
        <f>IFERROR(INDEX('CASE MASTER'!$R$2:$R$495,MATCH("Case MAX Planck Plate 6: E1",'CASE MASTER'!$J$2:$J$495,0)),"")</f>
        <v/>
      </c>
      <c r="C67" s="9" t="str">
        <f>IFERROR(INDEX('CASE MASTER'!$R$2:$R$495,MATCH("Case MAX Planck Plate 6: E2",'CASE MASTER'!$J$2:$J$495,0)),"")</f>
        <v/>
      </c>
      <c r="D67" s="9" t="str">
        <f>IFERROR(INDEX('CASE MASTER'!$R$2:$R$495,MATCH("Case MAX Planck Plate 6: E3",'CASE MASTER'!$J$2:$J$495,0)),"")</f>
        <v/>
      </c>
      <c r="E67" s="9" t="str">
        <f>IFERROR(INDEX('CASE MASTER'!$R$2:$R$495,MATCH("Case MAX Planck Plate 6: E4",'CASE MASTER'!$J$2:$J$495,0)),"")</f>
        <v/>
      </c>
      <c r="F67" s="9" t="str">
        <f>IFERROR(INDEX('CASE MASTER'!$R$2:$R$495,MATCH("Case MAX Planck Plate 6: E5",'CASE MASTER'!$J$2:$J$495,0)),"")</f>
        <v/>
      </c>
      <c r="G67" s="9" t="str">
        <f>IFERROR(INDEX('CASE MASTER'!$R$2:$R$495,MATCH("Case MAX Planck Plate 6: E6",'CASE MASTER'!$J$2:$J$495,0)),"")</f>
        <v/>
      </c>
      <c r="H67" s="9" t="str">
        <f>IFERROR(INDEX('CASE MASTER'!$R$2:$R$495,MATCH("Case MAX Planck Plate 6: E7",'CASE MASTER'!$J$2:$J$495,0)),"")</f>
        <v/>
      </c>
      <c r="I67" s="9" t="str">
        <f>IFERROR(INDEX('CASE MASTER'!$R$2:$R$495,MATCH("Case MAX Planck Plate 6: E8",'CASE MASTER'!$J$2:$J$495,0)),"")</f>
        <v/>
      </c>
      <c r="J67" s="9" t="str">
        <f>IFERROR(INDEX('CASE MASTER'!$R$2:$R$495,MATCH("Case MAX Planck Plate 6: E9",'CASE MASTER'!$J$2:$J$495,0)),"")</f>
        <v/>
      </c>
      <c r="K67" s="9" t="str">
        <f>IFERROR(INDEX('CASE MASTER'!$R$2:$R$495,MATCH("Case MAX Planck Plate 6: E10",'CASE MASTER'!$J$2:$J$495,0)),"")</f>
        <v/>
      </c>
      <c r="L67" s="9" t="str">
        <f>IFERROR(INDEX('CASE MASTER'!$R$2:$R$495,MATCH("Case MAX Planck Plate 6: E11",'CASE MASTER'!$J$2:$J$495,0)),"")</f>
        <v/>
      </c>
      <c r="M67" s="9" t="str">
        <f>IFERROR(INDEX('CASE MASTER'!$R$2:$R$495,MATCH("Case MAX Planck Plate 6: E12",'CASE MASTER'!$J$2:$J$495,0)),"")</f>
        <v/>
      </c>
    </row>
    <row r="68" spans="1:13" ht="15" customHeight="1" x14ac:dyDescent="0.35">
      <c r="A68" s="8" t="s">
        <v>33</v>
      </c>
      <c r="B68" s="9" t="str">
        <f>IFERROR(INDEX('CASE MASTER'!$R$2:$R$495,MATCH("Case MAX Planck Plate 6: F1",'CASE MASTER'!$J$2:$J$495,0)),"")</f>
        <v/>
      </c>
      <c r="C68" s="9" t="str">
        <f>IFERROR(INDEX('CASE MASTER'!$R$2:$R$495,MATCH("Case MAX Planck Plate 6: F2",'CASE MASTER'!$J$2:$J$495,0)),"")</f>
        <v/>
      </c>
      <c r="D68" s="9" t="str">
        <f>IFERROR(INDEX('CASE MASTER'!$R$2:$R$495,MATCH("Case MAX Planck Plate 6: F3",'CASE MASTER'!$J$2:$J$495,0)),"")</f>
        <v/>
      </c>
      <c r="E68" s="9" t="str">
        <f>IFERROR(INDEX('CASE MASTER'!$R$2:$R$495,MATCH("Case MAX Planck Plate 6: F4",'CASE MASTER'!$J$2:$J$495,0)),"")</f>
        <v/>
      </c>
      <c r="F68" s="9" t="str">
        <f>IFERROR(INDEX('CASE MASTER'!$R$2:$R$495,MATCH("Case MAX Planck Plate 6: F5",'CASE MASTER'!$J$2:$J$495,0)),"")</f>
        <v/>
      </c>
      <c r="G68" s="9" t="str">
        <f>IFERROR(INDEX('CASE MASTER'!$R$2:$R$495,MATCH("Case MAX Planck Plate 6: F6",'CASE MASTER'!$J$2:$J$495,0)),"")</f>
        <v/>
      </c>
      <c r="H68" s="9" t="str">
        <f>IFERROR(INDEX('CASE MASTER'!$R$2:$R$495,MATCH("Case MAX Planck Plate 6: F7",'CASE MASTER'!$J$2:$J$495,0)),"")</f>
        <v/>
      </c>
      <c r="I68" s="9" t="str">
        <f>IFERROR(INDEX('CASE MASTER'!$R$2:$R$495,MATCH("Case MAX Planck Plate 6: F8",'CASE MASTER'!$J$2:$J$495,0)),"")</f>
        <v/>
      </c>
      <c r="J68" s="9" t="str">
        <f>IFERROR(INDEX('CASE MASTER'!$R$2:$R$495,MATCH("Case MAX Planck Plate 6: F9",'CASE MASTER'!$J$2:$J$495,0)),"")</f>
        <v/>
      </c>
      <c r="K68" s="9" t="str">
        <f>IFERROR(INDEX('CASE MASTER'!$R$2:$R$495,MATCH("Case MAX Planck Plate 6: F10",'CASE MASTER'!$J$2:$J$495,0)),"")</f>
        <v/>
      </c>
      <c r="L68" s="9" t="str">
        <f>IFERROR(INDEX('CASE MASTER'!$R$2:$R$495,MATCH("Case MAX Planck Plate 6: F11",'CASE MASTER'!$J$2:$J$495,0)),"")</f>
        <v/>
      </c>
      <c r="M68" s="9" t="str">
        <f>IFERROR(INDEX('CASE MASTER'!$R$2:$R$495,MATCH("Case MAX Planck Plate 6: F12",'CASE MASTER'!$J$2:$J$495,0)),"")</f>
        <v/>
      </c>
    </row>
    <row r="69" spans="1:13" ht="15" customHeight="1" x14ac:dyDescent="0.35">
      <c r="A69" s="8" t="s">
        <v>34</v>
      </c>
      <c r="B69" s="9" t="str">
        <f>IFERROR(INDEX('CASE MASTER'!$R$2:$R$495,MATCH("Case MAX Planck Plate 6: G1",'CASE MASTER'!$J$2:$J$495,0)),"")</f>
        <v/>
      </c>
      <c r="C69" s="9" t="str">
        <f>IFERROR(INDEX('CASE MASTER'!$R$2:$R$495,MATCH("Case MAX Planck Plate 6: G2",'CASE MASTER'!$J$2:$J$495,0)),"")</f>
        <v/>
      </c>
      <c r="D69" s="9" t="str">
        <f>IFERROR(INDEX('CASE MASTER'!$R$2:$R$495,MATCH("Case MAX Planck Plate 6: G3",'CASE MASTER'!$J$2:$J$495,0)),"")</f>
        <v/>
      </c>
      <c r="E69" s="9" t="str">
        <f>IFERROR(INDEX('CASE MASTER'!$R$2:$R$495,MATCH("Case MAX Planck Plate 6: G4",'CASE MASTER'!$J$2:$J$495,0)),"")</f>
        <v/>
      </c>
      <c r="F69" s="9" t="str">
        <f>IFERROR(INDEX('CASE MASTER'!$R$2:$R$495,MATCH("Case MAX Planck Plate 6: G5",'CASE MASTER'!$J$2:$J$495,0)),"")</f>
        <v/>
      </c>
      <c r="G69" s="9" t="str">
        <f>IFERROR(INDEX('CASE MASTER'!$R$2:$R$495,MATCH("Case MAX Planck Plate 6: G6",'CASE MASTER'!$J$2:$J$495,0)),"")</f>
        <v/>
      </c>
      <c r="H69" s="9" t="str">
        <f>IFERROR(INDEX('CASE MASTER'!$R$2:$R$495,MATCH("Case MAX Planck Plate 6: G7",'CASE MASTER'!$J$2:$J$495,0)),"")</f>
        <v/>
      </c>
      <c r="I69" s="9" t="str">
        <f>IFERROR(INDEX('CASE MASTER'!$R$2:$R$495,MATCH("Case MAX Planck Plate 6: G8",'CASE MASTER'!$J$2:$J$495,0)),"")</f>
        <v/>
      </c>
      <c r="J69" s="9" t="str">
        <f>IFERROR(INDEX('CASE MASTER'!$R$2:$R$495,MATCH("Case MAX Planck Plate 6: G9",'CASE MASTER'!$J$2:$J$495,0)),"")</f>
        <v/>
      </c>
      <c r="K69" s="9" t="str">
        <f>IFERROR(INDEX('CASE MASTER'!$R$2:$R$495,MATCH("Case MAX Planck Plate 6: G10",'CASE MASTER'!$J$2:$J$495,0)),"")</f>
        <v/>
      </c>
      <c r="L69" s="9" t="str">
        <f>IFERROR(INDEX('CASE MASTER'!$R$2:$R$495,MATCH("Case MAX Planck Plate 6: G11",'CASE MASTER'!$J$2:$J$495,0)),"")</f>
        <v/>
      </c>
      <c r="M69" s="9" t="str">
        <f>IFERROR(INDEX('CASE MASTER'!$R$2:$R$495,MATCH("Case MAX Planck Plate 6: G12",'CASE MASTER'!$J$2:$J$495,0)),"")</f>
        <v/>
      </c>
    </row>
    <row r="70" spans="1:13" ht="15" customHeight="1" x14ac:dyDescent="0.35">
      <c r="A70" s="8" t="s">
        <v>35</v>
      </c>
      <c r="B70" s="9" t="str">
        <f>IFERROR(INDEX('CASE MASTER'!$R$2:$R$495,MATCH("Case MAX Planck Plate 6: H1",'CASE MASTER'!$J$2:$J$495,0)),"")</f>
        <v/>
      </c>
      <c r="C70" s="9" t="str">
        <f>IFERROR(INDEX('CASE MASTER'!$R$2:$R$495,MATCH("Case MAX Planck Plate 6: H2",'CASE MASTER'!$J$2:$J$495,0)),"")</f>
        <v/>
      </c>
      <c r="D70" s="9" t="str">
        <f>IFERROR(INDEX('CASE MASTER'!$R$2:$R$495,MATCH("Case MAX Planck Plate 6: H3",'CASE MASTER'!$J$2:$J$495,0)),"")</f>
        <v/>
      </c>
      <c r="E70" s="9" t="str">
        <f>IFERROR(INDEX('CASE MASTER'!$R$2:$R$495,MATCH("Case MAX Planck Plate 6: H4",'CASE MASTER'!$J$2:$J$495,0)),"")</f>
        <v/>
      </c>
      <c r="F70" s="9" t="str">
        <f>IFERROR(INDEX('CASE MASTER'!$R$2:$R$495,MATCH("Case MAX Planck Plate 6: H5",'CASE MASTER'!$J$2:$J$495,0)),"")</f>
        <v/>
      </c>
      <c r="G70" s="9" t="str">
        <f>IFERROR(INDEX('CASE MASTER'!$R$2:$R$495,MATCH("Case MAX Planck Plate 6: H6",'CASE MASTER'!$J$2:$J$495,0)),"")</f>
        <v/>
      </c>
      <c r="H70" s="9" t="str">
        <f>IFERROR(INDEX('CASE MASTER'!$R$2:$R$495,MATCH("Case MAX Planck Plate 6: H7",'CASE MASTER'!$J$2:$J$495,0)),"")</f>
        <v/>
      </c>
      <c r="I70" s="9" t="str">
        <f>IFERROR(INDEX('CASE MASTER'!$R$2:$R$495,MATCH("Case MAX Planck Plate 6: H8",'CASE MASTER'!$J$2:$J$495,0)),"")</f>
        <v/>
      </c>
      <c r="J70" s="9" t="str">
        <f>IFERROR(INDEX('CASE MASTER'!$R$2:$R$495,MATCH("Case MAX Planck Plate 6: H9",'CASE MASTER'!$J$2:$J$495,0)),"")</f>
        <v/>
      </c>
      <c r="K70" s="9" t="str">
        <f>IFERROR(INDEX('CASE MASTER'!$R$2:$R$495,MATCH("Case MAX Planck Plate 6: H10",'CASE MASTER'!$J$2:$J$495,0)),"")</f>
        <v/>
      </c>
      <c r="L70" s="9" t="str">
        <f>IFERROR(INDEX('CASE MASTER'!$R$2:$R$495,MATCH("Case MAX Planck Plate 6: H11",'CASE MASTER'!$J$2:$J$495,0)),"")</f>
        <v/>
      </c>
      <c r="M70" s="9" t="str">
        <f>IFERROR(INDEX('CASE MASTER'!$R$2:$R$495,MATCH("Case MAX Planck Plate 6: H12",'CASE MASTER'!$J$2:$J$495,0)),"")</f>
        <v/>
      </c>
    </row>
    <row r="73" spans="1:13" ht="15" customHeight="1" x14ac:dyDescent="0.35">
      <c r="A73" s="12" t="s">
        <v>71</v>
      </c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</row>
    <row r="74" spans="1:13" ht="15" customHeight="1" x14ac:dyDescent="0.35">
      <c r="B74" s="8">
        <v>1</v>
      </c>
      <c r="C74" s="8">
        <v>2</v>
      </c>
      <c r="D74" s="8">
        <v>3</v>
      </c>
      <c r="E74" s="8">
        <v>4</v>
      </c>
      <c r="F74" s="8">
        <v>5</v>
      </c>
      <c r="G74" s="8">
        <v>6</v>
      </c>
      <c r="H74" s="8">
        <v>7</v>
      </c>
      <c r="I74" s="8">
        <v>8</v>
      </c>
      <c r="J74" s="8">
        <v>9</v>
      </c>
      <c r="K74" s="8">
        <v>10</v>
      </c>
      <c r="L74" s="8">
        <v>11</v>
      </c>
      <c r="M74" s="8">
        <v>12</v>
      </c>
    </row>
    <row r="75" spans="1:13" ht="15" customHeight="1" x14ac:dyDescent="0.35">
      <c r="A75" s="8" t="s">
        <v>28</v>
      </c>
      <c r="B75" s="9" t="str">
        <f>IFERROR(INDEX('CASE MASTER'!$R$2:$R$495,MATCH("Case MAX Planck Plate 7: A1",'CASE MASTER'!$J$2:$J$495,0)),"")</f>
        <v/>
      </c>
      <c r="C75" s="9" t="str">
        <f>IFERROR(INDEX('CASE MASTER'!$R$2:$R$495,MATCH("Case MAX Planck Plate 7: A2",'CASE MASTER'!$J$2:$J$495,0)),"")</f>
        <v/>
      </c>
      <c r="D75" s="9" t="str">
        <f>IFERROR(INDEX('CASE MASTER'!$R$2:$R$495,MATCH("Case MAX Planck Plate 7: A3",'CASE MASTER'!$J$2:$J$495,0)),"")</f>
        <v/>
      </c>
      <c r="E75" s="9" t="str">
        <f>IFERROR(INDEX('CASE MASTER'!$R$2:$R$495,MATCH("Case MAX Planck Plate 7: A4",'CASE MASTER'!$J$2:$J$495,0)),"")</f>
        <v/>
      </c>
      <c r="F75" s="9" t="str">
        <f>IFERROR(INDEX('CASE MASTER'!$R$2:$R$495,MATCH("Case MAX Planck Plate 7: A5",'CASE MASTER'!$J$2:$J$495,0)),"")</f>
        <v/>
      </c>
      <c r="G75" s="9" t="str">
        <f>IFERROR(INDEX('CASE MASTER'!$R$2:$R$495,MATCH("Case MAX Planck Plate 7: A6",'CASE MASTER'!$J$2:$J$495,0)),"")</f>
        <v/>
      </c>
      <c r="H75" s="9" t="str">
        <f>IFERROR(INDEX('CASE MASTER'!$R$2:$R$495,MATCH("Case MAX Planck Plate 7: A7",'CASE MASTER'!$J$2:$J$495,0)),"")</f>
        <v/>
      </c>
      <c r="I75" s="9" t="str">
        <f>IFERROR(INDEX('CASE MASTER'!$R$2:$R$495,MATCH("Case MAX Planck Plate 7: A8",'CASE MASTER'!$J$2:$J$495,0)),"")</f>
        <v/>
      </c>
      <c r="J75" s="9" t="str">
        <f>IFERROR(INDEX('CASE MASTER'!$R$2:$R$495,MATCH("Case MAX Planck Plate 7: A9",'CASE MASTER'!$J$2:$J$495,0)),"")</f>
        <v/>
      </c>
      <c r="K75" s="9" t="str">
        <f>IFERROR(INDEX('CASE MASTER'!$R$2:$R$495,MATCH("Case MAX Planck Plate 7: A10",'CASE MASTER'!$J$2:$J$495,0)),"")</f>
        <v/>
      </c>
      <c r="L75" s="9" t="str">
        <f>IFERROR(INDEX('CASE MASTER'!$R$2:$R$495,MATCH("Case MAX Planck Plate 7: A11",'CASE MASTER'!$J$2:$J$495,0)),"")</f>
        <v/>
      </c>
      <c r="M75" s="9" t="str">
        <f>IFERROR(INDEX('CASE MASTER'!$R$2:$R$495,MATCH("Case MAX Planck Plate 7: A12",'CASE MASTER'!$J$2:$J$495,0)),"")</f>
        <v/>
      </c>
    </row>
    <row r="76" spans="1:13" ht="15" customHeight="1" x14ac:dyDescent="0.35">
      <c r="A76" s="8" t="s">
        <v>29</v>
      </c>
      <c r="B76" s="9" t="str">
        <f>IFERROR(INDEX('CASE MASTER'!$R$2:$R$495,MATCH("Case MAX Planck Plate 7: B1",'CASE MASTER'!$J$2:$J$495,0)),"")</f>
        <v/>
      </c>
      <c r="C76" s="9" t="str">
        <f>IFERROR(INDEX('CASE MASTER'!$R$2:$R$495,MATCH("Case MAX Planck Plate 7: B2",'CASE MASTER'!$J$2:$J$495,0)),"")</f>
        <v/>
      </c>
      <c r="D76" s="9" t="str">
        <f>IFERROR(INDEX('CASE MASTER'!$R$2:$R$495,MATCH("Case MAX Planck Plate 7: B3",'CASE MASTER'!$J$2:$J$495,0)),"")</f>
        <v/>
      </c>
      <c r="E76" s="9" t="str">
        <f>IFERROR(INDEX('CASE MASTER'!$R$2:$R$495,MATCH("Case MAX Planck Plate 7: B4",'CASE MASTER'!$J$2:$J$495,0)),"")</f>
        <v/>
      </c>
      <c r="F76" s="9" t="str">
        <f>IFERROR(INDEX('CASE MASTER'!$R$2:$R$495,MATCH("Case MAX Planck Plate 7: B5",'CASE MASTER'!$J$2:$J$495,0)),"")</f>
        <v/>
      </c>
      <c r="G76" s="9" t="str">
        <f>IFERROR(INDEX('CASE MASTER'!$R$2:$R$495,MATCH("Case MAX Planck Plate 7: B6",'CASE MASTER'!$J$2:$J$495,0)),"")</f>
        <v/>
      </c>
      <c r="H76" s="9" t="str">
        <f>IFERROR(INDEX('CASE MASTER'!$R$2:$R$495,MATCH("Case MAX Planck Plate 7: B7",'CASE MASTER'!$J$2:$J$495,0)),"")</f>
        <v/>
      </c>
      <c r="I76" s="9" t="str">
        <f>IFERROR(INDEX('CASE MASTER'!$R$2:$R$495,MATCH("Case MAX Planck Plate 7: B8",'CASE MASTER'!$J$2:$J$495,0)),"")</f>
        <v/>
      </c>
      <c r="J76" s="9" t="str">
        <f>IFERROR(INDEX('CASE MASTER'!$R$2:$R$495,MATCH("Case MAX Planck Plate 7: B9",'CASE MASTER'!$J$2:$J$495,0)),"")</f>
        <v/>
      </c>
      <c r="K76" s="9" t="str">
        <f>IFERROR(INDEX('CASE MASTER'!$R$2:$R$495,MATCH("Case MAX Planck Plate 7: B10",'CASE MASTER'!$J$2:$J$495,0)),"")</f>
        <v/>
      </c>
      <c r="L76" s="9" t="str">
        <f>IFERROR(INDEX('CASE MASTER'!$R$2:$R$495,MATCH("Case MAX Planck Plate 7: B11",'CASE MASTER'!$J$2:$J$495,0)),"")</f>
        <v/>
      </c>
      <c r="M76" s="9" t="str">
        <f>IFERROR(INDEX('CASE MASTER'!$R$2:$R$495,MATCH("Case MAX Planck Plate 7: B12",'CASE MASTER'!$J$2:$J$495,0)),"")</f>
        <v/>
      </c>
    </row>
    <row r="77" spans="1:13" ht="15" customHeight="1" x14ac:dyDescent="0.35">
      <c r="A77" s="8" t="s">
        <v>30</v>
      </c>
      <c r="B77" s="9" t="str">
        <f>IFERROR(INDEX('CASE MASTER'!$R$2:$R$495,MATCH("Case MAX Planck Plate 7: C1",'CASE MASTER'!$J$2:$J$495,0)),"")</f>
        <v/>
      </c>
      <c r="C77" s="9" t="str">
        <f>IFERROR(INDEX('CASE MASTER'!$R$2:$R$495,MATCH("Case MAX Planck Plate 7: C2",'CASE MASTER'!$J$2:$J$495,0)),"")</f>
        <v/>
      </c>
      <c r="D77" s="9" t="str">
        <f>IFERROR(INDEX('CASE MASTER'!$R$2:$R$495,MATCH("Case MAX Planck Plate 7: C3",'CASE MASTER'!$J$2:$J$495,0)),"")</f>
        <v/>
      </c>
      <c r="E77" s="9" t="str">
        <f>IFERROR(INDEX('CASE MASTER'!$R$2:$R$495,MATCH("Case MAX Planck Plate 7: C4",'CASE MASTER'!$J$2:$J$495,0)),"")</f>
        <v/>
      </c>
      <c r="F77" s="9" t="str">
        <f>IFERROR(INDEX('CASE MASTER'!$R$2:$R$495,MATCH("Case MAX Planck Plate 7: C5",'CASE MASTER'!$J$2:$J$495,0)),"")</f>
        <v/>
      </c>
      <c r="G77" s="9" t="str">
        <f>IFERROR(INDEX('CASE MASTER'!$R$2:$R$495,MATCH("Case MAX Planck Plate 7: C6",'CASE MASTER'!$J$2:$J$495,0)),"")</f>
        <v/>
      </c>
      <c r="H77" s="9" t="str">
        <f>IFERROR(INDEX('CASE MASTER'!$R$2:$R$495,MATCH("Case MAX Planck Plate 7: C7",'CASE MASTER'!$J$2:$J$495,0)),"")</f>
        <v/>
      </c>
      <c r="I77" s="9" t="str">
        <f>IFERROR(INDEX('CASE MASTER'!$R$2:$R$495,MATCH("Case MAX Planck Plate 7: C8",'CASE MASTER'!$J$2:$J$495,0)),"")</f>
        <v/>
      </c>
      <c r="J77" s="9" t="str">
        <f>IFERROR(INDEX('CASE MASTER'!$R$2:$R$495,MATCH("Case MAX Planck Plate 7: C9",'CASE MASTER'!$J$2:$J$495,0)),"")</f>
        <v/>
      </c>
      <c r="K77" s="9" t="str">
        <f>IFERROR(INDEX('CASE MASTER'!$R$2:$R$495,MATCH("Case MAX Planck Plate 7: C10",'CASE MASTER'!$J$2:$J$495,0)),"")</f>
        <v/>
      </c>
      <c r="L77" s="9" t="str">
        <f>IFERROR(INDEX('CASE MASTER'!$R$2:$R$495,MATCH("Case MAX Planck Plate 7: C11",'CASE MASTER'!$J$2:$J$495,0)),"")</f>
        <v/>
      </c>
      <c r="M77" s="9" t="str">
        <f>IFERROR(INDEX('CASE MASTER'!$R$2:$R$495,MATCH("Case MAX Planck Plate 7: C12",'CASE MASTER'!$J$2:$J$495,0)),"")</f>
        <v/>
      </c>
    </row>
    <row r="78" spans="1:13" ht="15" customHeight="1" x14ac:dyDescent="0.35">
      <c r="A78" s="8" t="s">
        <v>31</v>
      </c>
      <c r="B78" s="9" t="str">
        <f>IFERROR(INDEX('CASE MASTER'!$R$2:$R$495,MATCH("Case MAX Planck Plate 7: D1",'CASE MASTER'!$J$2:$J$495,0)),"")</f>
        <v/>
      </c>
      <c r="C78" s="9" t="str">
        <f>IFERROR(INDEX('CASE MASTER'!$R$2:$R$495,MATCH("Case MAX Planck Plate 7: D2",'CASE MASTER'!$J$2:$J$495,0)),"")</f>
        <v/>
      </c>
      <c r="D78" s="9" t="str">
        <f>IFERROR(INDEX('CASE MASTER'!$R$2:$R$495,MATCH("Case MAX Planck Plate 7: D3",'CASE MASTER'!$J$2:$J$495,0)),"")</f>
        <v/>
      </c>
      <c r="E78" s="9" t="str">
        <f>IFERROR(INDEX('CASE MASTER'!$R$2:$R$495,MATCH("Case MAX Planck Plate 7: D4",'CASE MASTER'!$J$2:$J$495,0)),"")</f>
        <v/>
      </c>
      <c r="F78" s="9" t="str">
        <f>IFERROR(INDEX('CASE MASTER'!$R$2:$R$495,MATCH("Case MAX Planck Plate 7: D5",'CASE MASTER'!$J$2:$J$495,0)),"")</f>
        <v/>
      </c>
      <c r="G78" s="9" t="str">
        <f>IFERROR(INDEX('CASE MASTER'!$R$2:$R$495,MATCH("Case MAX Planck Plate 7: D6",'CASE MASTER'!$J$2:$J$495,0)),"")</f>
        <v/>
      </c>
      <c r="H78" s="9" t="str">
        <f>IFERROR(INDEX('CASE MASTER'!$R$2:$R$495,MATCH("Case MAX Planck Plate 7: D7",'CASE MASTER'!$J$2:$J$495,0)),"")</f>
        <v/>
      </c>
      <c r="I78" s="9" t="str">
        <f>IFERROR(INDEX('CASE MASTER'!$R$2:$R$495,MATCH("Case MAX Planck Plate 7: D8",'CASE MASTER'!$J$2:$J$495,0)),"")</f>
        <v/>
      </c>
      <c r="J78" s="9" t="str">
        <f>IFERROR(INDEX('CASE MASTER'!$R$2:$R$495,MATCH("Case MAX Planck Plate 7: D9",'CASE MASTER'!$J$2:$J$495,0)),"")</f>
        <v/>
      </c>
      <c r="K78" s="9" t="str">
        <f>IFERROR(INDEX('CASE MASTER'!$R$2:$R$495,MATCH("Case MAX Planck Plate 7: D10",'CASE MASTER'!$J$2:$J$495,0)),"")</f>
        <v/>
      </c>
      <c r="L78" s="9" t="str">
        <f>IFERROR(INDEX('CASE MASTER'!$R$2:$R$495,MATCH("Case MAX Planck Plate 7: D11",'CASE MASTER'!$J$2:$J$495,0)),"")</f>
        <v/>
      </c>
      <c r="M78" s="9" t="str">
        <f>IFERROR(INDEX('CASE MASTER'!$R$2:$R$495,MATCH("Case MAX Planck Plate 7: D12",'CASE MASTER'!$J$2:$J$495,0)),"")</f>
        <v/>
      </c>
    </row>
    <row r="79" spans="1:13" ht="15" customHeight="1" x14ac:dyDescent="0.35">
      <c r="A79" s="8" t="s">
        <v>32</v>
      </c>
      <c r="B79" s="9" t="str">
        <f>IFERROR(INDEX('CASE MASTER'!$R$2:$R$495,MATCH("Case MAX Planck Plate 7: E1",'CASE MASTER'!$J$2:$J$495,0)),"")</f>
        <v/>
      </c>
      <c r="C79" s="9" t="str">
        <f>IFERROR(INDEX('CASE MASTER'!$R$2:$R$495,MATCH("Case MAX Planck Plate 7: E2",'CASE MASTER'!$J$2:$J$495,0)),"")</f>
        <v/>
      </c>
      <c r="D79" s="9" t="str">
        <f>IFERROR(INDEX('CASE MASTER'!$R$2:$R$495,MATCH("Case MAX Planck Plate 7: E3",'CASE MASTER'!$J$2:$J$495,0)),"")</f>
        <v/>
      </c>
      <c r="E79" s="9" t="str">
        <f>IFERROR(INDEX('CASE MASTER'!$R$2:$R$495,MATCH("Case MAX Planck Plate 7: E4",'CASE MASTER'!$J$2:$J$495,0)),"")</f>
        <v/>
      </c>
      <c r="F79" s="9" t="str">
        <f>IFERROR(INDEX('CASE MASTER'!$R$2:$R$495,MATCH("Case MAX Planck Plate 7: E5",'CASE MASTER'!$J$2:$J$495,0)),"")</f>
        <v/>
      </c>
      <c r="G79" s="9" t="str">
        <f>IFERROR(INDEX('CASE MASTER'!$R$2:$R$495,MATCH("Case MAX Planck Plate 7: E6",'CASE MASTER'!$J$2:$J$495,0)),"")</f>
        <v/>
      </c>
      <c r="H79" s="9" t="str">
        <f>IFERROR(INDEX('CASE MASTER'!$R$2:$R$495,MATCH("Case MAX Planck Plate 7: E7",'CASE MASTER'!$J$2:$J$495,0)),"")</f>
        <v/>
      </c>
      <c r="I79" s="9" t="str">
        <f>IFERROR(INDEX('CASE MASTER'!$R$2:$R$495,MATCH("Case MAX Planck Plate 7: E8",'CASE MASTER'!$J$2:$J$495,0)),"")</f>
        <v/>
      </c>
      <c r="J79" s="9" t="str">
        <f>IFERROR(INDEX('CASE MASTER'!$R$2:$R$495,MATCH("Case MAX Planck Plate 7: E9",'CASE MASTER'!$J$2:$J$495,0)),"")</f>
        <v/>
      </c>
      <c r="K79" s="9" t="str">
        <f>IFERROR(INDEX('CASE MASTER'!$R$2:$R$495,MATCH("Case MAX Planck Plate 7: E10",'CASE MASTER'!$J$2:$J$495,0)),"")</f>
        <v/>
      </c>
      <c r="L79" s="9" t="str">
        <f>IFERROR(INDEX('CASE MASTER'!$R$2:$R$495,MATCH("Case MAX Planck Plate 7: E11",'CASE MASTER'!$J$2:$J$495,0)),"")</f>
        <v/>
      </c>
      <c r="M79" s="9" t="str">
        <f>IFERROR(INDEX('CASE MASTER'!$R$2:$R$495,MATCH("Case MAX Planck Plate 7: E12",'CASE MASTER'!$J$2:$J$495,0)),"")</f>
        <v/>
      </c>
    </row>
    <row r="80" spans="1:13" ht="15" customHeight="1" x14ac:dyDescent="0.35">
      <c r="A80" s="8" t="s">
        <v>33</v>
      </c>
      <c r="B80" s="9" t="str">
        <f>IFERROR(INDEX('CASE MASTER'!$R$2:$R$495,MATCH("Case MAX Planck Plate 7: F1",'CASE MASTER'!$J$2:$J$495,0)),"")</f>
        <v/>
      </c>
      <c r="C80" s="9" t="str">
        <f>IFERROR(INDEX('CASE MASTER'!$R$2:$R$495,MATCH("Case MAX Planck Plate 7: F2",'CASE MASTER'!$J$2:$J$495,0)),"")</f>
        <v/>
      </c>
      <c r="D80" s="9" t="str">
        <f>IFERROR(INDEX('CASE MASTER'!$R$2:$R$495,MATCH("Case MAX Planck Plate 7: F3",'CASE MASTER'!$J$2:$J$495,0)),"")</f>
        <v/>
      </c>
      <c r="E80" s="9" t="str">
        <f>IFERROR(INDEX('CASE MASTER'!$R$2:$R$495,MATCH("Case MAX Planck Plate 7: F4",'CASE MASTER'!$J$2:$J$495,0)),"")</f>
        <v/>
      </c>
      <c r="F80" s="9" t="str">
        <f>IFERROR(INDEX('CASE MASTER'!$R$2:$R$495,MATCH("Case MAX Planck Plate 7: F5",'CASE MASTER'!$J$2:$J$495,0)),"")</f>
        <v/>
      </c>
      <c r="G80" s="9" t="str">
        <f>IFERROR(INDEX('CASE MASTER'!$R$2:$R$495,MATCH("Case MAX Planck Plate 7: F6",'CASE MASTER'!$J$2:$J$495,0)),"")</f>
        <v/>
      </c>
      <c r="H80" s="9" t="str">
        <f>IFERROR(INDEX('CASE MASTER'!$R$2:$R$495,MATCH("Case MAX Planck Plate 7: F7",'CASE MASTER'!$J$2:$J$495,0)),"")</f>
        <v/>
      </c>
      <c r="I80" s="9" t="str">
        <f>IFERROR(INDEX('CASE MASTER'!$R$2:$R$495,MATCH("Case MAX Planck Plate 7: F8",'CASE MASTER'!$J$2:$J$495,0)),"")</f>
        <v/>
      </c>
      <c r="J80" s="9" t="str">
        <f>IFERROR(INDEX('CASE MASTER'!$R$2:$R$495,MATCH("Case MAX Planck Plate 7: F9",'CASE MASTER'!$J$2:$J$495,0)),"")</f>
        <v/>
      </c>
      <c r="K80" s="9" t="str">
        <f>IFERROR(INDEX('CASE MASTER'!$R$2:$R$495,MATCH("Case MAX Planck Plate 7: F10",'CASE MASTER'!$J$2:$J$495,0)),"")</f>
        <v/>
      </c>
      <c r="L80" s="9" t="str">
        <f>IFERROR(INDEX('CASE MASTER'!$R$2:$R$495,MATCH("Case MAX Planck Plate 7: F11",'CASE MASTER'!$J$2:$J$495,0)),"")</f>
        <v/>
      </c>
      <c r="M80" s="9" t="str">
        <f>IFERROR(INDEX('CASE MASTER'!$R$2:$R$495,MATCH("Case MAX Planck Plate 7: F12",'CASE MASTER'!$J$2:$J$495,0)),"")</f>
        <v/>
      </c>
    </row>
    <row r="81" spans="1:13" ht="15" customHeight="1" x14ac:dyDescent="0.35">
      <c r="A81" s="8" t="s">
        <v>34</v>
      </c>
      <c r="B81" s="9" t="str">
        <f>IFERROR(INDEX('CASE MASTER'!$R$2:$R$495,MATCH("Case MAX Planck Plate 7: G1",'CASE MASTER'!$J$2:$J$495,0)),"")</f>
        <v/>
      </c>
      <c r="C81" s="9" t="str">
        <f>IFERROR(INDEX('CASE MASTER'!$R$2:$R$495,MATCH("Case MAX Planck Plate 7: G2",'CASE MASTER'!$J$2:$J$495,0)),"")</f>
        <v/>
      </c>
      <c r="D81" s="9" t="str">
        <f>IFERROR(INDEX('CASE MASTER'!$R$2:$R$495,MATCH("Case MAX Planck Plate 7: G3",'CASE MASTER'!$J$2:$J$495,0)),"")</f>
        <v/>
      </c>
      <c r="E81" s="9" t="str">
        <f>IFERROR(INDEX('CASE MASTER'!$R$2:$R$495,MATCH("Case MAX Planck Plate 7: G4",'CASE MASTER'!$J$2:$J$495,0)),"")</f>
        <v/>
      </c>
      <c r="F81" s="9" t="str">
        <f>IFERROR(INDEX('CASE MASTER'!$R$2:$R$495,MATCH("Case MAX Planck Plate 7: G5",'CASE MASTER'!$J$2:$J$495,0)),"")</f>
        <v/>
      </c>
      <c r="G81" s="9" t="str">
        <f>IFERROR(INDEX('CASE MASTER'!$R$2:$R$495,MATCH("Case MAX Planck Plate 7: G6",'CASE MASTER'!$J$2:$J$495,0)),"")</f>
        <v/>
      </c>
      <c r="H81" s="9" t="str">
        <f>IFERROR(INDEX('CASE MASTER'!$R$2:$R$495,MATCH("Case MAX Planck Plate 7: G7",'CASE MASTER'!$J$2:$J$495,0)),"")</f>
        <v/>
      </c>
      <c r="I81" s="9" t="str">
        <f>IFERROR(INDEX('CASE MASTER'!$R$2:$R$495,MATCH("Case MAX Planck Plate 7: G8",'CASE MASTER'!$J$2:$J$495,0)),"")</f>
        <v/>
      </c>
      <c r="J81" s="9" t="str">
        <f>IFERROR(INDEX('CASE MASTER'!$R$2:$R$495,MATCH("Case MAX Planck Plate 7: G9",'CASE MASTER'!$J$2:$J$495,0)),"")</f>
        <v/>
      </c>
      <c r="K81" s="9" t="str">
        <f>IFERROR(INDEX('CASE MASTER'!$R$2:$R$495,MATCH("Case MAX Planck Plate 7: G10",'CASE MASTER'!$J$2:$J$495,0)),"")</f>
        <v/>
      </c>
      <c r="L81" s="9" t="str">
        <f>IFERROR(INDEX('CASE MASTER'!$R$2:$R$495,MATCH("Case MAX Planck Plate 7: G11",'CASE MASTER'!$J$2:$J$495,0)),"")</f>
        <v/>
      </c>
      <c r="M81" s="9" t="str">
        <f>IFERROR(INDEX('CASE MASTER'!$R$2:$R$495,MATCH("Case MAX Planck Plate 7: G12",'CASE MASTER'!$J$2:$J$495,0)),"")</f>
        <v/>
      </c>
    </row>
    <row r="82" spans="1:13" ht="15" customHeight="1" x14ac:dyDescent="0.35">
      <c r="A82" s="8" t="s">
        <v>35</v>
      </c>
      <c r="B82" s="9" t="str">
        <f>IFERROR(INDEX('CASE MASTER'!$R$2:$R$495,MATCH("Case MAX Planck Plate 7: H1",'CASE MASTER'!$J$2:$J$495,0)),"")</f>
        <v/>
      </c>
      <c r="C82" s="9" t="str">
        <f>IFERROR(INDEX('CASE MASTER'!$R$2:$R$495,MATCH("Case MAX Planck Plate 7: H2",'CASE MASTER'!$J$2:$J$495,0)),"")</f>
        <v/>
      </c>
      <c r="D82" s="9" t="str">
        <f>IFERROR(INDEX('CASE MASTER'!$R$2:$R$495,MATCH("Case MAX Planck Plate 7: H3",'CASE MASTER'!$J$2:$J$495,0)),"")</f>
        <v/>
      </c>
      <c r="E82" s="9" t="str">
        <f>IFERROR(INDEX('CASE MASTER'!$R$2:$R$495,MATCH("Case MAX Planck Plate 7: H4",'CASE MASTER'!$J$2:$J$495,0)),"")</f>
        <v/>
      </c>
      <c r="F82" s="9" t="str">
        <f>IFERROR(INDEX('CASE MASTER'!$R$2:$R$495,MATCH("Case MAX Planck Plate 7: H5",'CASE MASTER'!$J$2:$J$495,0)),"")</f>
        <v/>
      </c>
      <c r="G82" s="9" t="str">
        <f>IFERROR(INDEX('CASE MASTER'!$R$2:$R$495,MATCH("Case MAX Planck Plate 7: H6",'CASE MASTER'!$J$2:$J$495,0)),"")</f>
        <v/>
      </c>
      <c r="H82" s="9" t="str">
        <f>IFERROR(INDEX('CASE MASTER'!$R$2:$R$495,MATCH("Case MAX Planck Plate 7: H7",'CASE MASTER'!$J$2:$J$495,0)),"")</f>
        <v/>
      </c>
      <c r="I82" s="9" t="str">
        <f>IFERROR(INDEX('CASE MASTER'!$R$2:$R$495,MATCH("Case MAX Planck Plate 7: H8",'CASE MASTER'!$J$2:$J$495,0)),"")</f>
        <v/>
      </c>
      <c r="J82" s="9" t="str">
        <f>IFERROR(INDEX('CASE MASTER'!$R$2:$R$495,MATCH("Case MAX Planck Plate 7: H9",'CASE MASTER'!$J$2:$J$495,0)),"")</f>
        <v/>
      </c>
      <c r="K82" s="9" t="str">
        <f>IFERROR(INDEX('CASE MASTER'!$R$2:$R$495,MATCH("Case MAX Planck Plate 7: H10",'CASE MASTER'!$J$2:$J$495,0)),"")</f>
        <v/>
      </c>
      <c r="L82" s="9" t="str">
        <f>IFERROR(INDEX('CASE MASTER'!$R$2:$R$495,MATCH("Case MAX Planck Plate 7: H11",'CASE MASTER'!$J$2:$J$495,0)),"")</f>
        <v/>
      </c>
      <c r="M82" s="9" t="str">
        <f>IFERROR(INDEX('CASE MASTER'!$R$2:$R$495,MATCH("Case MAX Planck Plate 7: H12",'CASE MASTER'!$J$2:$J$495,0)),"")</f>
        <v/>
      </c>
    </row>
    <row r="85" spans="1:13" ht="15" customHeight="1" x14ac:dyDescent="0.35">
      <c r="A85" s="12" t="s">
        <v>72</v>
      </c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</row>
    <row r="86" spans="1:13" ht="15" customHeight="1" x14ac:dyDescent="0.35">
      <c r="B86" s="8">
        <v>1</v>
      </c>
      <c r="C86" s="8">
        <v>2</v>
      </c>
      <c r="D86" s="8">
        <v>3</v>
      </c>
      <c r="E86" s="8">
        <v>4</v>
      </c>
      <c r="F86" s="8">
        <v>5</v>
      </c>
      <c r="G86" s="8">
        <v>6</v>
      </c>
      <c r="H86" s="8">
        <v>7</v>
      </c>
      <c r="I86" s="8">
        <v>8</v>
      </c>
      <c r="J86" s="8">
        <v>9</v>
      </c>
      <c r="K86" s="8">
        <v>10</v>
      </c>
      <c r="L86" s="8">
        <v>11</v>
      </c>
      <c r="M86" s="8">
        <v>12</v>
      </c>
    </row>
    <row r="87" spans="1:13" ht="15" customHeight="1" x14ac:dyDescent="0.35">
      <c r="A87" s="8" t="s">
        <v>28</v>
      </c>
      <c r="B87" s="9" t="str">
        <f>IFERROR(INDEX('CASE MASTER'!$R$2:$R$495,MATCH("Case MAX Planck Plate 8: A1",'CASE MASTER'!$J$2:$J$495,0)),"")</f>
        <v/>
      </c>
      <c r="C87" s="9" t="str">
        <f>IFERROR(INDEX('CASE MASTER'!$R$2:$R$495,MATCH("Case MAX Planck Plate 8: A2",'CASE MASTER'!$J$2:$J$495,0)),"")</f>
        <v/>
      </c>
      <c r="D87" s="9" t="str">
        <f>IFERROR(INDEX('CASE MASTER'!$R$2:$R$495,MATCH("Case MAX Planck Plate 8: A3",'CASE MASTER'!$J$2:$J$495,0)),"")</f>
        <v/>
      </c>
      <c r="E87" s="9" t="str">
        <f>IFERROR(INDEX('CASE MASTER'!$R$2:$R$495,MATCH("Case MAX Planck Plate 8: A4",'CASE MASTER'!$J$2:$J$495,0)),"")</f>
        <v/>
      </c>
      <c r="F87" s="9" t="str">
        <f>IFERROR(INDEX('CASE MASTER'!$R$2:$R$495,MATCH("Case MAX Planck Plate 8: A5",'CASE MASTER'!$J$2:$J$495,0)),"")</f>
        <v/>
      </c>
      <c r="G87" s="9" t="str">
        <f>IFERROR(INDEX('CASE MASTER'!$R$2:$R$495,MATCH("Case MAX Planck Plate 8: A6",'CASE MASTER'!$J$2:$J$495,0)),"")</f>
        <v/>
      </c>
      <c r="H87" s="9" t="str">
        <f>IFERROR(INDEX('CASE MASTER'!$R$2:$R$495,MATCH("Case MAX Planck Plate 8: A7",'CASE MASTER'!$J$2:$J$495,0)),"")</f>
        <v/>
      </c>
      <c r="I87" s="9" t="str">
        <f>IFERROR(INDEX('CASE MASTER'!$R$2:$R$495,MATCH("Case MAX Planck Plate 8: A8",'CASE MASTER'!$J$2:$J$495,0)),"")</f>
        <v/>
      </c>
      <c r="J87" s="9" t="str">
        <f>IFERROR(INDEX('CASE MASTER'!$R$2:$R$495,MATCH("Case MAX Planck Plate 8: A9",'CASE MASTER'!$J$2:$J$495,0)),"")</f>
        <v/>
      </c>
      <c r="K87" s="9" t="str">
        <f>IFERROR(INDEX('CASE MASTER'!$R$2:$R$495,MATCH("Case MAX Planck Plate 8: A10",'CASE MASTER'!$J$2:$J$495,0)),"")</f>
        <v/>
      </c>
      <c r="L87" s="9" t="str">
        <f>IFERROR(INDEX('CASE MASTER'!$R$2:$R$495,MATCH("Case MAX Planck Plate 8: A11",'CASE MASTER'!$J$2:$J$495,0)),"")</f>
        <v/>
      </c>
      <c r="M87" s="9" t="str">
        <f>IFERROR(INDEX('CASE MASTER'!$R$2:$R$495,MATCH("Case MAX Planck Plate 8: A12",'CASE MASTER'!$J$2:$J$495,0)),"")</f>
        <v/>
      </c>
    </row>
    <row r="88" spans="1:13" ht="15" customHeight="1" x14ac:dyDescent="0.35">
      <c r="A88" s="8" t="s">
        <v>29</v>
      </c>
      <c r="B88" s="9" t="str">
        <f>IFERROR(INDEX('CASE MASTER'!$R$2:$R$495,MATCH("Case MAX Planck Plate 8: B1",'CASE MASTER'!$J$2:$J$495,0)),"")</f>
        <v/>
      </c>
      <c r="C88" s="9" t="str">
        <f>IFERROR(INDEX('CASE MASTER'!$R$2:$R$495,MATCH("Case MAX Planck Plate 8: B2",'CASE MASTER'!$J$2:$J$495,0)),"")</f>
        <v/>
      </c>
      <c r="D88" s="9" t="str">
        <f>IFERROR(INDEX('CASE MASTER'!$R$2:$R$495,MATCH("Case MAX Planck Plate 8: B3",'CASE MASTER'!$J$2:$J$495,0)),"")</f>
        <v/>
      </c>
      <c r="E88" s="9" t="str">
        <f>IFERROR(INDEX('CASE MASTER'!$R$2:$R$495,MATCH("Case MAX Planck Plate 8: B4",'CASE MASTER'!$J$2:$J$495,0)),"")</f>
        <v/>
      </c>
      <c r="F88" s="9" t="str">
        <f>IFERROR(INDEX('CASE MASTER'!$R$2:$R$495,MATCH("Case MAX Planck Plate 8: B5",'CASE MASTER'!$J$2:$J$495,0)),"")</f>
        <v/>
      </c>
      <c r="G88" s="9" t="str">
        <f>IFERROR(INDEX('CASE MASTER'!$R$2:$R$495,MATCH("Case MAX Planck Plate 8: B6",'CASE MASTER'!$J$2:$J$495,0)),"")</f>
        <v/>
      </c>
      <c r="H88" s="9" t="str">
        <f>IFERROR(INDEX('CASE MASTER'!$R$2:$R$495,MATCH("Case MAX Planck Plate 8: B7",'CASE MASTER'!$J$2:$J$495,0)),"")</f>
        <v/>
      </c>
      <c r="I88" s="9" t="str">
        <f>IFERROR(INDEX('CASE MASTER'!$R$2:$R$495,MATCH("Case MAX Planck Plate 8: B8",'CASE MASTER'!$J$2:$J$495,0)),"")</f>
        <v/>
      </c>
      <c r="J88" s="9" t="str">
        <f>IFERROR(INDEX('CASE MASTER'!$R$2:$R$495,MATCH("Case MAX Planck Plate 8: B9",'CASE MASTER'!$J$2:$J$495,0)),"")</f>
        <v/>
      </c>
      <c r="K88" s="9" t="str">
        <f>IFERROR(INDEX('CASE MASTER'!$R$2:$R$495,MATCH("Case MAX Planck Plate 8: B10",'CASE MASTER'!$J$2:$J$495,0)),"")</f>
        <v/>
      </c>
      <c r="L88" s="9" t="str">
        <f>IFERROR(INDEX('CASE MASTER'!$R$2:$R$495,MATCH("Case MAX Planck Plate 8: B11",'CASE MASTER'!$J$2:$J$495,0)),"")</f>
        <v/>
      </c>
      <c r="M88" s="9" t="str">
        <f>IFERROR(INDEX('CASE MASTER'!$R$2:$R$495,MATCH("Case MAX Planck Plate 8: B12",'CASE MASTER'!$J$2:$J$495,0)),"")</f>
        <v/>
      </c>
    </row>
    <row r="89" spans="1:13" ht="15" customHeight="1" x14ac:dyDescent="0.35">
      <c r="A89" s="8" t="s">
        <v>30</v>
      </c>
      <c r="B89" s="9" t="str">
        <f>IFERROR(INDEX('CASE MASTER'!$R$2:$R$495,MATCH("Case MAX Planck Plate 8: C1",'CASE MASTER'!$J$2:$J$495,0)),"")</f>
        <v/>
      </c>
      <c r="C89" s="9" t="str">
        <f>IFERROR(INDEX('CASE MASTER'!$R$2:$R$495,MATCH("Case MAX Planck Plate 8: C2",'CASE MASTER'!$J$2:$J$495,0)),"")</f>
        <v/>
      </c>
      <c r="D89" s="9" t="str">
        <f>IFERROR(INDEX('CASE MASTER'!$R$2:$R$495,MATCH("Case MAX Planck Plate 8: C3",'CASE MASTER'!$J$2:$J$495,0)),"")</f>
        <v/>
      </c>
      <c r="E89" s="9" t="str">
        <f>IFERROR(INDEX('CASE MASTER'!$R$2:$R$495,MATCH("Case MAX Planck Plate 8: C4",'CASE MASTER'!$J$2:$J$495,0)),"")</f>
        <v/>
      </c>
      <c r="F89" s="9" t="str">
        <f>IFERROR(INDEX('CASE MASTER'!$R$2:$R$495,MATCH("Case MAX Planck Plate 8: C5",'CASE MASTER'!$J$2:$J$495,0)),"")</f>
        <v/>
      </c>
      <c r="G89" s="9" t="str">
        <f>IFERROR(INDEX('CASE MASTER'!$R$2:$R$495,MATCH("Case MAX Planck Plate 8: C6",'CASE MASTER'!$J$2:$J$495,0)),"")</f>
        <v/>
      </c>
      <c r="H89" s="9" t="str">
        <f>IFERROR(INDEX('CASE MASTER'!$R$2:$R$495,MATCH("Case MAX Planck Plate 8: C7",'CASE MASTER'!$J$2:$J$495,0)),"")</f>
        <v/>
      </c>
      <c r="I89" s="9" t="str">
        <f>IFERROR(INDEX('CASE MASTER'!$R$2:$R$495,MATCH("Case MAX Planck Plate 8: C8",'CASE MASTER'!$J$2:$J$495,0)),"")</f>
        <v/>
      </c>
      <c r="J89" s="9" t="str">
        <f>IFERROR(INDEX('CASE MASTER'!$R$2:$R$495,MATCH("Case MAX Planck Plate 8: C9",'CASE MASTER'!$J$2:$J$495,0)),"")</f>
        <v/>
      </c>
      <c r="K89" s="9" t="str">
        <f>IFERROR(INDEX('CASE MASTER'!$R$2:$R$495,MATCH("Case MAX Planck Plate 8: C10",'CASE MASTER'!$J$2:$J$495,0)),"")</f>
        <v/>
      </c>
      <c r="L89" s="9" t="str">
        <f>IFERROR(INDEX('CASE MASTER'!$R$2:$R$495,MATCH("Case MAX Planck Plate 8: C11",'CASE MASTER'!$J$2:$J$495,0)),"")</f>
        <v/>
      </c>
      <c r="M89" s="9" t="str">
        <f>IFERROR(INDEX('CASE MASTER'!$R$2:$R$495,MATCH("Case MAX Planck Plate 8: C12",'CASE MASTER'!$J$2:$J$495,0)),"")</f>
        <v/>
      </c>
    </row>
    <row r="90" spans="1:13" ht="15" customHeight="1" x14ac:dyDescent="0.35">
      <c r="A90" s="8" t="s">
        <v>31</v>
      </c>
      <c r="B90" s="9" t="str">
        <f>IFERROR(INDEX('CASE MASTER'!$R$2:$R$495,MATCH("Case MAX Planck Plate 8: D1",'CASE MASTER'!$J$2:$J$495,0)),"")</f>
        <v/>
      </c>
      <c r="C90" s="9" t="str">
        <f>IFERROR(INDEX('CASE MASTER'!$R$2:$R$495,MATCH("Case MAX Planck Plate 8: D2",'CASE MASTER'!$J$2:$J$495,0)),"")</f>
        <v/>
      </c>
      <c r="D90" s="9" t="str">
        <f>IFERROR(INDEX('CASE MASTER'!$R$2:$R$495,MATCH("Case MAX Planck Plate 8: D3",'CASE MASTER'!$J$2:$J$495,0)),"")</f>
        <v/>
      </c>
      <c r="E90" s="9" t="str">
        <f>IFERROR(INDEX('CASE MASTER'!$R$2:$R$495,MATCH("Case MAX Planck Plate 8: D4",'CASE MASTER'!$J$2:$J$495,0)),"")</f>
        <v/>
      </c>
      <c r="F90" s="9" t="str">
        <f>IFERROR(INDEX('CASE MASTER'!$R$2:$R$495,MATCH("Case MAX Planck Plate 8: D5",'CASE MASTER'!$J$2:$J$495,0)),"")</f>
        <v/>
      </c>
      <c r="G90" s="9" t="str">
        <f>IFERROR(INDEX('CASE MASTER'!$R$2:$R$495,MATCH("Case MAX Planck Plate 8: D6",'CASE MASTER'!$J$2:$J$495,0)),"")</f>
        <v/>
      </c>
      <c r="H90" s="9" t="str">
        <f>IFERROR(INDEX('CASE MASTER'!$R$2:$R$495,MATCH("Case MAX Planck Plate 8: D7",'CASE MASTER'!$J$2:$J$495,0)),"")</f>
        <v/>
      </c>
      <c r="I90" s="9" t="str">
        <f>IFERROR(INDEX('CASE MASTER'!$R$2:$R$495,MATCH("Case MAX Planck Plate 8: D8",'CASE MASTER'!$J$2:$J$495,0)),"")</f>
        <v/>
      </c>
      <c r="J90" s="9" t="str">
        <f>IFERROR(INDEX('CASE MASTER'!$R$2:$R$495,MATCH("Case MAX Planck Plate 8: D9",'CASE MASTER'!$J$2:$J$495,0)),"")</f>
        <v/>
      </c>
      <c r="K90" s="9" t="str">
        <f>IFERROR(INDEX('CASE MASTER'!$R$2:$R$495,MATCH("Case MAX Planck Plate 8: D10",'CASE MASTER'!$J$2:$J$495,0)),"")</f>
        <v/>
      </c>
      <c r="L90" s="9" t="str">
        <f>IFERROR(INDEX('CASE MASTER'!$R$2:$R$495,MATCH("Case MAX Planck Plate 8: D11",'CASE MASTER'!$J$2:$J$495,0)),"")</f>
        <v/>
      </c>
      <c r="M90" s="9" t="str">
        <f>IFERROR(INDEX('CASE MASTER'!$R$2:$R$495,MATCH("Case MAX Planck Plate 8: D12",'CASE MASTER'!$J$2:$J$495,0)),"")</f>
        <v/>
      </c>
    </row>
    <row r="91" spans="1:13" ht="15" customHeight="1" x14ac:dyDescent="0.35">
      <c r="A91" s="8" t="s">
        <v>32</v>
      </c>
      <c r="B91" s="9" t="str">
        <f>IFERROR(INDEX('CASE MASTER'!$R$2:$R$495,MATCH("Case MAX Planck Plate 8: E1",'CASE MASTER'!$J$2:$J$495,0)),"")</f>
        <v/>
      </c>
      <c r="C91" s="9" t="str">
        <f>IFERROR(INDEX('CASE MASTER'!$R$2:$R$495,MATCH("Case MAX Planck Plate 8: E2",'CASE MASTER'!$J$2:$J$495,0)),"")</f>
        <v/>
      </c>
      <c r="D91" s="9" t="str">
        <f>IFERROR(INDEX('CASE MASTER'!$R$2:$R$495,MATCH("Case MAX Planck Plate 8: E3",'CASE MASTER'!$J$2:$J$495,0)),"")</f>
        <v/>
      </c>
      <c r="E91" s="9" t="str">
        <f>IFERROR(INDEX('CASE MASTER'!$R$2:$R$495,MATCH("Case MAX Planck Plate 8: E4",'CASE MASTER'!$J$2:$J$495,0)),"")</f>
        <v/>
      </c>
      <c r="F91" s="9" t="str">
        <f>IFERROR(INDEX('CASE MASTER'!$R$2:$R$495,MATCH("Case MAX Planck Plate 8: E5",'CASE MASTER'!$J$2:$J$495,0)),"")</f>
        <v/>
      </c>
      <c r="G91" s="9" t="str">
        <f>IFERROR(INDEX('CASE MASTER'!$R$2:$R$495,MATCH("Case MAX Planck Plate 8: E6",'CASE MASTER'!$J$2:$J$495,0)),"")</f>
        <v/>
      </c>
      <c r="H91" s="9" t="str">
        <f>IFERROR(INDEX('CASE MASTER'!$R$2:$R$495,MATCH("Case MAX Planck Plate 8: E7",'CASE MASTER'!$J$2:$J$495,0)),"")</f>
        <v/>
      </c>
      <c r="I91" s="9" t="str">
        <f>IFERROR(INDEX('CASE MASTER'!$R$2:$R$495,MATCH("Case MAX Planck Plate 8: E8",'CASE MASTER'!$J$2:$J$495,0)),"")</f>
        <v/>
      </c>
      <c r="J91" s="9" t="str">
        <f>IFERROR(INDEX('CASE MASTER'!$R$2:$R$495,MATCH("Case MAX Planck Plate 8: E9",'CASE MASTER'!$J$2:$J$495,0)),"")</f>
        <v/>
      </c>
      <c r="K91" s="9" t="str">
        <f>IFERROR(INDEX('CASE MASTER'!$R$2:$R$495,MATCH("Case MAX Planck Plate 8: E10",'CASE MASTER'!$J$2:$J$495,0)),"")</f>
        <v/>
      </c>
      <c r="L91" s="9" t="str">
        <f>IFERROR(INDEX('CASE MASTER'!$R$2:$R$495,MATCH("Case MAX Planck Plate 8: E11",'CASE MASTER'!$J$2:$J$495,0)),"")</f>
        <v/>
      </c>
      <c r="M91" s="9" t="str">
        <f>IFERROR(INDEX('CASE MASTER'!$R$2:$R$495,MATCH("Case MAX Planck Plate 8: E12",'CASE MASTER'!$J$2:$J$495,0)),"")</f>
        <v/>
      </c>
    </row>
    <row r="92" spans="1:13" ht="15" customHeight="1" x14ac:dyDescent="0.35">
      <c r="A92" s="8" t="s">
        <v>33</v>
      </c>
      <c r="B92" s="9" t="str">
        <f>IFERROR(INDEX('CASE MASTER'!$R$2:$R$495,MATCH("Case MAX Planck Plate 8: F1",'CASE MASTER'!$J$2:$J$495,0)),"")</f>
        <v/>
      </c>
      <c r="C92" s="9" t="str">
        <f>IFERROR(INDEX('CASE MASTER'!$R$2:$R$495,MATCH("Case MAX Planck Plate 8: F2",'CASE MASTER'!$J$2:$J$495,0)),"")</f>
        <v/>
      </c>
      <c r="D92" s="9" t="str">
        <f>IFERROR(INDEX('CASE MASTER'!$R$2:$R$495,MATCH("Case MAX Planck Plate 8: F3",'CASE MASTER'!$J$2:$J$495,0)),"")</f>
        <v/>
      </c>
      <c r="E92" s="9" t="str">
        <f>IFERROR(INDEX('CASE MASTER'!$R$2:$R$495,MATCH("Case MAX Planck Plate 8: F4",'CASE MASTER'!$J$2:$J$495,0)),"")</f>
        <v/>
      </c>
      <c r="F92" s="9" t="str">
        <f>IFERROR(INDEX('CASE MASTER'!$R$2:$R$495,MATCH("Case MAX Planck Plate 8: F5",'CASE MASTER'!$J$2:$J$495,0)),"")</f>
        <v/>
      </c>
      <c r="G92" s="9" t="str">
        <f>IFERROR(INDEX('CASE MASTER'!$R$2:$R$495,MATCH("Case MAX Planck Plate 8: F6",'CASE MASTER'!$J$2:$J$495,0)),"")</f>
        <v/>
      </c>
      <c r="H92" s="9" t="str">
        <f>IFERROR(INDEX('CASE MASTER'!$R$2:$R$495,MATCH("Case MAX Planck Plate 8: F7",'CASE MASTER'!$J$2:$J$495,0)),"")</f>
        <v/>
      </c>
      <c r="I92" s="9" t="str">
        <f>IFERROR(INDEX('CASE MASTER'!$R$2:$R$495,MATCH("Case MAX Planck Plate 8: F8",'CASE MASTER'!$J$2:$J$495,0)),"")</f>
        <v/>
      </c>
      <c r="J92" s="9" t="str">
        <f>IFERROR(INDEX('CASE MASTER'!$R$2:$R$495,MATCH("Case MAX Planck Plate 8: F9",'CASE MASTER'!$J$2:$J$495,0)),"")</f>
        <v/>
      </c>
      <c r="K92" s="9" t="str">
        <f>IFERROR(INDEX('CASE MASTER'!$R$2:$R$495,MATCH("Case MAX Planck Plate 8: F10",'CASE MASTER'!$J$2:$J$495,0)),"")</f>
        <v/>
      </c>
      <c r="L92" s="9" t="str">
        <f>IFERROR(INDEX('CASE MASTER'!$R$2:$R$495,MATCH("Case MAX Planck Plate 8: F11",'CASE MASTER'!$J$2:$J$495,0)),"")</f>
        <v/>
      </c>
      <c r="M92" s="9" t="str">
        <f>IFERROR(INDEX('CASE MASTER'!$R$2:$R$495,MATCH("Case MAX Planck Plate 8: F12",'CASE MASTER'!$J$2:$J$495,0)),"")</f>
        <v/>
      </c>
    </row>
    <row r="93" spans="1:13" ht="15" customHeight="1" x14ac:dyDescent="0.35">
      <c r="A93" s="8" t="s">
        <v>34</v>
      </c>
      <c r="B93" s="9" t="str">
        <f>IFERROR(INDEX('CASE MASTER'!$R$2:$R$495,MATCH("Case MAX Planck Plate 8: G1",'CASE MASTER'!$J$2:$J$495,0)),"")</f>
        <v/>
      </c>
      <c r="C93" s="9" t="str">
        <f>IFERROR(INDEX('CASE MASTER'!$R$2:$R$495,MATCH("Case MAX Planck Plate 8: G2",'CASE MASTER'!$J$2:$J$495,0)),"")</f>
        <v/>
      </c>
      <c r="D93" s="9" t="str">
        <f>IFERROR(INDEX('CASE MASTER'!$R$2:$R$495,MATCH("Case MAX Planck Plate 8: G3",'CASE MASTER'!$J$2:$J$495,0)),"")</f>
        <v/>
      </c>
      <c r="E93" s="9" t="str">
        <f>IFERROR(INDEX('CASE MASTER'!$R$2:$R$495,MATCH("Case MAX Planck Plate 8: G4",'CASE MASTER'!$J$2:$J$495,0)),"")</f>
        <v/>
      </c>
      <c r="F93" s="9" t="str">
        <f>IFERROR(INDEX('CASE MASTER'!$R$2:$R$495,MATCH("Case MAX Planck Plate 8: G5",'CASE MASTER'!$J$2:$J$495,0)),"")</f>
        <v/>
      </c>
      <c r="G93" s="9" t="str">
        <f>IFERROR(INDEX('CASE MASTER'!$R$2:$R$495,MATCH("Case MAX Planck Plate 8: G6",'CASE MASTER'!$J$2:$J$495,0)),"")</f>
        <v/>
      </c>
      <c r="H93" s="9" t="str">
        <f>IFERROR(INDEX('CASE MASTER'!$R$2:$R$495,MATCH("Case MAX Planck Plate 8: G7",'CASE MASTER'!$J$2:$J$495,0)),"")</f>
        <v/>
      </c>
      <c r="I93" s="9" t="str">
        <f>IFERROR(INDEX('CASE MASTER'!$R$2:$R$495,MATCH("Case MAX Planck Plate 8: G8",'CASE MASTER'!$J$2:$J$495,0)),"")</f>
        <v/>
      </c>
      <c r="J93" s="9" t="str">
        <f>IFERROR(INDEX('CASE MASTER'!$R$2:$R$495,MATCH("Case MAX Planck Plate 8: G9",'CASE MASTER'!$J$2:$J$495,0)),"")</f>
        <v/>
      </c>
      <c r="K93" s="9" t="str">
        <f>IFERROR(INDEX('CASE MASTER'!$R$2:$R$495,MATCH("Case MAX Planck Plate 8: G10",'CASE MASTER'!$J$2:$J$495,0)),"")</f>
        <v/>
      </c>
      <c r="L93" s="9" t="str">
        <f>IFERROR(INDEX('CASE MASTER'!$R$2:$R$495,MATCH("Case MAX Planck Plate 8: G11",'CASE MASTER'!$J$2:$J$495,0)),"")</f>
        <v/>
      </c>
      <c r="M93" s="9" t="str">
        <f>IFERROR(INDEX('CASE MASTER'!$R$2:$R$495,MATCH("Case MAX Planck Plate 8: G12",'CASE MASTER'!$J$2:$J$495,0)),"")</f>
        <v/>
      </c>
    </row>
    <row r="94" spans="1:13" ht="15" customHeight="1" x14ac:dyDescent="0.35">
      <c r="A94" s="8" t="s">
        <v>35</v>
      </c>
      <c r="B94" s="9" t="str">
        <f>IFERROR(INDEX('CASE MASTER'!$R$2:$R$495,MATCH("Case MAX Planck Plate 8: H1",'CASE MASTER'!$J$2:$J$495,0)),"")</f>
        <v/>
      </c>
      <c r="C94" s="9" t="str">
        <f>IFERROR(INDEX('CASE MASTER'!$R$2:$R$495,MATCH("Case MAX Planck Plate 8: H2",'CASE MASTER'!$J$2:$J$495,0)),"")</f>
        <v/>
      </c>
      <c r="D94" s="9" t="str">
        <f>IFERROR(INDEX('CASE MASTER'!$R$2:$R$495,MATCH("Case MAX Planck Plate 8: H3",'CASE MASTER'!$J$2:$J$495,0)),"")</f>
        <v/>
      </c>
      <c r="E94" s="9" t="str">
        <f>IFERROR(INDEX('CASE MASTER'!$R$2:$R$495,MATCH("Case MAX Planck Plate 8: H4",'CASE MASTER'!$J$2:$J$495,0)),"")</f>
        <v/>
      </c>
      <c r="F94" s="9" t="str">
        <f>IFERROR(INDEX('CASE MASTER'!$R$2:$R$495,MATCH("Case MAX Planck Plate 8: H5",'CASE MASTER'!$J$2:$J$495,0)),"")</f>
        <v/>
      </c>
      <c r="G94" s="9" t="str">
        <f>IFERROR(INDEX('CASE MASTER'!$R$2:$R$495,MATCH("Case MAX Planck Plate 8: H6",'CASE MASTER'!$J$2:$J$495,0)),"")</f>
        <v/>
      </c>
      <c r="H94" s="9" t="str">
        <f>IFERROR(INDEX('CASE MASTER'!$R$2:$R$495,MATCH("Case MAX Planck Plate 8: H7",'CASE MASTER'!$J$2:$J$495,0)),"")</f>
        <v/>
      </c>
      <c r="I94" s="9" t="str">
        <f>IFERROR(INDEX('CASE MASTER'!$R$2:$R$495,MATCH("Case MAX Planck Plate 8: H8",'CASE MASTER'!$J$2:$J$495,0)),"")</f>
        <v/>
      </c>
      <c r="J94" s="9" t="str">
        <f>IFERROR(INDEX('CASE MASTER'!$R$2:$R$495,MATCH("Case MAX Planck Plate 8: H9",'CASE MASTER'!$J$2:$J$495,0)),"")</f>
        <v/>
      </c>
      <c r="K94" s="9" t="str">
        <f>IFERROR(INDEX('CASE MASTER'!$R$2:$R$495,MATCH("Case MAX Planck Plate 8: H10",'CASE MASTER'!$J$2:$J$495,0)),"")</f>
        <v/>
      </c>
      <c r="L94" s="9" t="str">
        <f>IFERROR(INDEX('CASE MASTER'!$R$2:$R$495,MATCH("Case MAX Planck Plate 8: H11",'CASE MASTER'!$J$2:$J$495,0)),"")</f>
        <v/>
      </c>
      <c r="M94" s="9" t="str">
        <f>IFERROR(INDEX('CASE MASTER'!$R$2:$R$495,MATCH("Case MAX Planck Plate 8: H12",'CASE MASTER'!$J$2:$J$495,0)),"")</f>
        <v/>
      </c>
    </row>
    <row r="97" spans="1:13" ht="15" customHeight="1" x14ac:dyDescent="0.35">
      <c r="A97" s="12" t="s">
        <v>73</v>
      </c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</row>
    <row r="98" spans="1:13" ht="15" customHeight="1" x14ac:dyDescent="0.35">
      <c r="B98" s="8">
        <v>1</v>
      </c>
      <c r="C98" s="8">
        <v>2</v>
      </c>
      <c r="D98" s="8">
        <v>3</v>
      </c>
      <c r="E98" s="8">
        <v>4</v>
      </c>
      <c r="F98" s="8">
        <v>5</v>
      </c>
      <c r="G98" s="8">
        <v>6</v>
      </c>
      <c r="H98" s="8">
        <v>7</v>
      </c>
      <c r="I98" s="8">
        <v>8</v>
      </c>
      <c r="J98" s="8">
        <v>9</v>
      </c>
      <c r="K98" s="8">
        <v>10</v>
      </c>
      <c r="L98" s="8">
        <v>11</v>
      </c>
      <c r="M98" s="8">
        <v>12</v>
      </c>
    </row>
    <row r="99" spans="1:13" ht="15" customHeight="1" x14ac:dyDescent="0.35">
      <c r="A99" s="8" t="s">
        <v>28</v>
      </c>
      <c r="B99" s="9" t="str">
        <f>IFERROR(INDEX('CASE MASTER'!$R$2:$R$495,MATCH("Case MAX Planck Plate 9: A1",'CASE MASTER'!$J$2:$J$495,0)),"")</f>
        <v/>
      </c>
      <c r="C99" s="9" t="str">
        <f>IFERROR(INDEX('CASE MASTER'!$R$2:$R$495,MATCH("Case MAX Planck Plate 9: A2",'CASE MASTER'!$J$2:$J$495,0)),"")</f>
        <v/>
      </c>
      <c r="D99" s="9" t="str">
        <f>IFERROR(INDEX('CASE MASTER'!$R$2:$R$495,MATCH("Case MAX Planck Plate 9: A3",'CASE MASTER'!$J$2:$J$495,0)),"")</f>
        <v/>
      </c>
      <c r="E99" s="9" t="str">
        <f>IFERROR(INDEX('CASE MASTER'!$R$2:$R$495,MATCH("Case MAX Planck Plate 9: A4",'CASE MASTER'!$J$2:$J$495,0)),"")</f>
        <v/>
      </c>
      <c r="F99" s="9" t="str">
        <f>IFERROR(INDEX('CASE MASTER'!$R$2:$R$495,MATCH("Case MAX Planck Plate 9: A5",'CASE MASTER'!$J$2:$J$495,0)),"")</f>
        <v/>
      </c>
      <c r="G99" s="9" t="str">
        <f>IFERROR(INDEX('CASE MASTER'!$R$2:$R$495,MATCH("Case MAX Planck Plate 9: A6",'CASE MASTER'!$J$2:$J$495,0)),"")</f>
        <v/>
      </c>
      <c r="H99" s="9" t="str">
        <f>IFERROR(INDEX('CASE MASTER'!$R$2:$R$495,MATCH("Case MAX Planck Plate 9: A7",'CASE MASTER'!$J$2:$J$495,0)),"")</f>
        <v/>
      </c>
      <c r="I99" s="9" t="str">
        <f>IFERROR(INDEX('CASE MASTER'!$R$2:$R$495,MATCH("Case MAX Planck Plate 9: A8",'CASE MASTER'!$J$2:$J$495,0)),"")</f>
        <v/>
      </c>
      <c r="J99" s="9" t="str">
        <f>IFERROR(INDEX('CASE MASTER'!$R$2:$R$495,MATCH("Case MAX Planck Plate 9: A9",'CASE MASTER'!$J$2:$J$495,0)),"")</f>
        <v/>
      </c>
      <c r="K99" s="9" t="str">
        <f>IFERROR(INDEX('CASE MASTER'!$R$2:$R$495,MATCH("Case MAX Planck Plate 9: A10",'CASE MASTER'!$J$2:$J$495,0)),"")</f>
        <v/>
      </c>
      <c r="L99" s="9" t="str">
        <f>IFERROR(INDEX('CASE MASTER'!$R$2:$R$495,MATCH("Case MAX Planck Plate 9: A11",'CASE MASTER'!$J$2:$J$495,0)),"")</f>
        <v/>
      </c>
      <c r="M99" s="9" t="str">
        <f>IFERROR(INDEX('CASE MASTER'!$R$2:$R$495,MATCH("Case MAX Planck Plate 9: A12",'CASE MASTER'!$J$2:$J$495,0)),"")</f>
        <v/>
      </c>
    </row>
    <row r="100" spans="1:13" ht="15" customHeight="1" x14ac:dyDescent="0.35">
      <c r="A100" s="8" t="s">
        <v>29</v>
      </c>
      <c r="B100" s="9" t="str">
        <f>IFERROR(INDEX('CASE MASTER'!$R$2:$R$495,MATCH("Case MAX Planck Plate 9: B1",'CASE MASTER'!$J$2:$J$495,0)),"")</f>
        <v/>
      </c>
      <c r="C100" s="9" t="str">
        <f>IFERROR(INDEX('CASE MASTER'!$R$2:$R$495,MATCH("Case MAX Planck Plate 9: B2",'CASE MASTER'!$J$2:$J$495,0)),"")</f>
        <v/>
      </c>
      <c r="D100" s="9" t="str">
        <f>IFERROR(INDEX('CASE MASTER'!$R$2:$R$495,MATCH("Case MAX Planck Plate 9: B3",'CASE MASTER'!$J$2:$J$495,0)),"")</f>
        <v/>
      </c>
      <c r="E100" s="9" t="str">
        <f>IFERROR(INDEX('CASE MASTER'!$R$2:$R$495,MATCH("Case MAX Planck Plate 9: B4",'CASE MASTER'!$J$2:$J$495,0)),"")</f>
        <v/>
      </c>
      <c r="F100" s="9" t="str">
        <f>IFERROR(INDEX('CASE MASTER'!$R$2:$R$495,MATCH("Case MAX Planck Plate 9: B5",'CASE MASTER'!$J$2:$J$495,0)),"")</f>
        <v/>
      </c>
      <c r="G100" s="9" t="str">
        <f>IFERROR(INDEX('CASE MASTER'!$R$2:$R$495,MATCH("Case MAX Planck Plate 9: B6",'CASE MASTER'!$J$2:$J$495,0)),"")</f>
        <v/>
      </c>
      <c r="H100" s="9" t="str">
        <f>IFERROR(INDEX('CASE MASTER'!$R$2:$R$495,MATCH("Case MAX Planck Plate 9: B7",'CASE MASTER'!$J$2:$J$495,0)),"")</f>
        <v/>
      </c>
      <c r="I100" s="9" t="str">
        <f>IFERROR(INDEX('CASE MASTER'!$R$2:$R$495,MATCH("Case MAX Planck Plate 9: B8",'CASE MASTER'!$J$2:$J$495,0)),"")</f>
        <v/>
      </c>
      <c r="J100" s="9" t="str">
        <f>IFERROR(INDEX('CASE MASTER'!$R$2:$R$495,MATCH("Case MAX Planck Plate 9: B9",'CASE MASTER'!$J$2:$J$495,0)),"")</f>
        <v/>
      </c>
      <c r="K100" s="9" t="str">
        <f>IFERROR(INDEX('CASE MASTER'!$R$2:$R$495,MATCH("Case MAX Planck Plate 9: B10",'CASE MASTER'!$J$2:$J$495,0)),"")</f>
        <v/>
      </c>
      <c r="L100" s="9" t="str">
        <f>IFERROR(INDEX('CASE MASTER'!$R$2:$R$495,MATCH("Case MAX Planck Plate 9: B11",'CASE MASTER'!$J$2:$J$495,0)),"")</f>
        <v/>
      </c>
      <c r="M100" s="9" t="str">
        <f>IFERROR(INDEX('CASE MASTER'!$R$2:$R$495,MATCH("Case MAX Planck Plate 9: B12",'CASE MASTER'!$J$2:$J$495,0)),"")</f>
        <v/>
      </c>
    </row>
    <row r="101" spans="1:13" ht="15" customHeight="1" x14ac:dyDescent="0.35">
      <c r="A101" s="8" t="s">
        <v>30</v>
      </c>
      <c r="B101" s="9" t="str">
        <f>IFERROR(INDEX('CASE MASTER'!$R$2:$R$495,MATCH("Case MAX Planck Plate 9: C1",'CASE MASTER'!$J$2:$J$495,0)),"")</f>
        <v/>
      </c>
      <c r="C101" s="9" t="str">
        <f>IFERROR(INDEX('CASE MASTER'!$R$2:$R$495,MATCH("Case MAX Planck Plate 9: C2",'CASE MASTER'!$J$2:$J$495,0)),"")</f>
        <v/>
      </c>
      <c r="D101" s="9" t="str">
        <f>IFERROR(INDEX('CASE MASTER'!$R$2:$R$495,MATCH("Case MAX Planck Plate 9: C3",'CASE MASTER'!$J$2:$J$495,0)),"")</f>
        <v/>
      </c>
      <c r="E101" s="9" t="str">
        <f>IFERROR(INDEX('CASE MASTER'!$R$2:$R$495,MATCH("Case MAX Planck Plate 9: C4",'CASE MASTER'!$J$2:$J$495,0)),"")</f>
        <v/>
      </c>
      <c r="F101" s="9" t="str">
        <f>IFERROR(INDEX('CASE MASTER'!$R$2:$R$495,MATCH("Case MAX Planck Plate 9: C5",'CASE MASTER'!$J$2:$J$495,0)),"")</f>
        <v/>
      </c>
      <c r="G101" s="9" t="str">
        <f>IFERROR(INDEX('CASE MASTER'!$R$2:$R$495,MATCH("Case MAX Planck Plate 9: C6",'CASE MASTER'!$J$2:$J$495,0)),"")</f>
        <v/>
      </c>
      <c r="H101" s="9" t="str">
        <f>IFERROR(INDEX('CASE MASTER'!$R$2:$R$495,MATCH("Case MAX Planck Plate 9: C7",'CASE MASTER'!$J$2:$J$495,0)),"")</f>
        <v/>
      </c>
      <c r="I101" s="9" t="str">
        <f>IFERROR(INDEX('CASE MASTER'!$R$2:$R$495,MATCH("Case MAX Planck Plate 9: C8",'CASE MASTER'!$J$2:$J$495,0)),"")</f>
        <v/>
      </c>
      <c r="J101" s="9" t="str">
        <f>IFERROR(INDEX('CASE MASTER'!$R$2:$R$495,MATCH("Case MAX Planck Plate 9: C9",'CASE MASTER'!$J$2:$J$495,0)),"")</f>
        <v/>
      </c>
      <c r="K101" s="9" t="str">
        <f>IFERROR(INDEX('CASE MASTER'!$R$2:$R$495,MATCH("Case MAX Planck Plate 9: C10",'CASE MASTER'!$J$2:$J$495,0)),"")</f>
        <v/>
      </c>
      <c r="L101" s="9" t="str">
        <f>IFERROR(INDEX('CASE MASTER'!$R$2:$R$495,MATCH("Case MAX Planck Plate 9: C11",'CASE MASTER'!$J$2:$J$495,0)),"")</f>
        <v/>
      </c>
      <c r="M101" s="9" t="str">
        <f>IFERROR(INDEX('CASE MASTER'!$R$2:$R$495,MATCH("Case MAX Planck Plate 9: C12",'CASE MASTER'!$J$2:$J$495,0)),"")</f>
        <v/>
      </c>
    </row>
    <row r="102" spans="1:13" ht="15" customHeight="1" x14ac:dyDescent="0.35">
      <c r="A102" s="8" t="s">
        <v>31</v>
      </c>
      <c r="B102" s="9" t="str">
        <f>IFERROR(INDEX('CASE MASTER'!$R$2:$R$495,MATCH("Case MAX Planck Plate 9: D1",'CASE MASTER'!$J$2:$J$495,0)),"")</f>
        <v/>
      </c>
      <c r="C102" s="9" t="str">
        <f>IFERROR(INDEX('CASE MASTER'!$R$2:$R$495,MATCH("Case MAX Planck Plate 9: D2",'CASE MASTER'!$J$2:$J$495,0)),"")</f>
        <v/>
      </c>
      <c r="D102" s="9" t="str">
        <f>IFERROR(INDEX('CASE MASTER'!$R$2:$R$495,MATCH("Case MAX Planck Plate 9: D3",'CASE MASTER'!$J$2:$J$495,0)),"")</f>
        <v/>
      </c>
      <c r="E102" s="9" t="str">
        <f>IFERROR(INDEX('CASE MASTER'!$R$2:$R$495,MATCH("Case MAX Planck Plate 9: D4",'CASE MASTER'!$J$2:$J$495,0)),"")</f>
        <v/>
      </c>
      <c r="F102" s="9" t="str">
        <f>IFERROR(INDEX('CASE MASTER'!$R$2:$R$495,MATCH("Case MAX Planck Plate 9: D5",'CASE MASTER'!$J$2:$J$495,0)),"")</f>
        <v/>
      </c>
      <c r="G102" s="9" t="str">
        <f>IFERROR(INDEX('CASE MASTER'!$R$2:$R$495,MATCH("Case MAX Planck Plate 9: D6",'CASE MASTER'!$J$2:$J$495,0)),"")</f>
        <v/>
      </c>
      <c r="H102" s="9" t="str">
        <f>IFERROR(INDEX('CASE MASTER'!$R$2:$R$495,MATCH("Case MAX Planck Plate 9: D7",'CASE MASTER'!$J$2:$J$495,0)),"")</f>
        <v/>
      </c>
      <c r="I102" s="9" t="str">
        <f>IFERROR(INDEX('CASE MASTER'!$R$2:$R$495,MATCH("Case MAX Planck Plate 9: D8",'CASE MASTER'!$J$2:$J$495,0)),"")</f>
        <v/>
      </c>
      <c r="J102" s="9" t="str">
        <f>IFERROR(INDEX('CASE MASTER'!$R$2:$R$495,MATCH("Case MAX Planck Plate 9: D9",'CASE MASTER'!$J$2:$J$495,0)),"")</f>
        <v/>
      </c>
      <c r="K102" s="9" t="str">
        <f>IFERROR(INDEX('CASE MASTER'!$R$2:$R$495,MATCH("Case MAX Planck Plate 9: D10",'CASE MASTER'!$J$2:$J$495,0)),"")</f>
        <v/>
      </c>
      <c r="L102" s="9" t="str">
        <f>IFERROR(INDEX('CASE MASTER'!$R$2:$R$495,MATCH("Case MAX Planck Plate 9: D11",'CASE MASTER'!$J$2:$J$495,0)),"")</f>
        <v/>
      </c>
      <c r="M102" s="9" t="str">
        <f>IFERROR(INDEX('CASE MASTER'!$R$2:$R$495,MATCH("Case MAX Planck Plate 9: D12",'CASE MASTER'!$J$2:$J$495,0)),"")</f>
        <v/>
      </c>
    </row>
    <row r="103" spans="1:13" ht="15" customHeight="1" x14ac:dyDescent="0.35">
      <c r="A103" s="8" t="s">
        <v>32</v>
      </c>
      <c r="B103" s="9" t="str">
        <f>IFERROR(INDEX('CASE MASTER'!$R$2:$R$495,MATCH("Case MAX Planck Plate 9: E1",'CASE MASTER'!$J$2:$J$495,0)),"")</f>
        <v/>
      </c>
      <c r="C103" s="9" t="str">
        <f>IFERROR(INDEX('CASE MASTER'!$R$2:$R$495,MATCH("Case MAX Planck Plate 9: E2",'CASE MASTER'!$J$2:$J$495,0)),"")</f>
        <v/>
      </c>
      <c r="D103" s="9" t="str">
        <f>IFERROR(INDEX('CASE MASTER'!$R$2:$R$495,MATCH("Case MAX Planck Plate 9: E3",'CASE MASTER'!$J$2:$J$495,0)),"")</f>
        <v/>
      </c>
      <c r="E103" s="9" t="str">
        <f>IFERROR(INDEX('CASE MASTER'!$R$2:$R$495,MATCH("Case MAX Planck Plate 9: E4",'CASE MASTER'!$J$2:$J$495,0)),"")</f>
        <v/>
      </c>
      <c r="F103" s="9" t="str">
        <f>IFERROR(INDEX('CASE MASTER'!$R$2:$R$495,MATCH("Case MAX Planck Plate 9: E5",'CASE MASTER'!$J$2:$J$495,0)),"")</f>
        <v/>
      </c>
      <c r="G103" s="9" t="str">
        <f>IFERROR(INDEX('CASE MASTER'!$R$2:$R$495,MATCH("Case MAX Planck Plate 9: E6",'CASE MASTER'!$J$2:$J$495,0)),"")</f>
        <v/>
      </c>
      <c r="H103" s="9" t="str">
        <f>IFERROR(INDEX('CASE MASTER'!$R$2:$R$495,MATCH("Case MAX Planck Plate 9: E7",'CASE MASTER'!$J$2:$J$495,0)),"")</f>
        <v/>
      </c>
      <c r="I103" s="9" t="str">
        <f>IFERROR(INDEX('CASE MASTER'!$R$2:$R$495,MATCH("Case MAX Planck Plate 9: E8",'CASE MASTER'!$J$2:$J$495,0)),"")</f>
        <v/>
      </c>
      <c r="J103" s="9" t="str">
        <f>IFERROR(INDEX('CASE MASTER'!$R$2:$R$495,MATCH("Case MAX Planck Plate 9: E9",'CASE MASTER'!$J$2:$J$495,0)),"")</f>
        <v/>
      </c>
      <c r="K103" s="9" t="str">
        <f>IFERROR(INDEX('CASE MASTER'!$R$2:$R$495,MATCH("Case MAX Planck Plate 9: E10",'CASE MASTER'!$J$2:$J$495,0)),"")</f>
        <v/>
      </c>
      <c r="L103" s="9" t="str">
        <f>IFERROR(INDEX('CASE MASTER'!$R$2:$R$495,MATCH("Case MAX Planck Plate 9: E11",'CASE MASTER'!$J$2:$J$495,0)),"")</f>
        <v/>
      </c>
      <c r="M103" s="9" t="str">
        <f>IFERROR(INDEX('CASE MASTER'!$R$2:$R$495,MATCH("Case MAX Planck Plate 9: E12",'CASE MASTER'!$J$2:$J$495,0)),"")</f>
        <v/>
      </c>
    </row>
    <row r="104" spans="1:13" ht="15" customHeight="1" x14ac:dyDescent="0.35">
      <c r="A104" s="8" t="s">
        <v>33</v>
      </c>
      <c r="B104" s="9" t="str">
        <f>IFERROR(INDEX('CASE MASTER'!$R$2:$R$495,MATCH("Case MAX Planck Plate 9: F1",'CASE MASTER'!$J$2:$J$495,0)),"")</f>
        <v/>
      </c>
      <c r="C104" s="9" t="str">
        <f>IFERROR(INDEX('CASE MASTER'!$R$2:$R$495,MATCH("Case MAX Planck Plate 9: F2",'CASE MASTER'!$J$2:$J$495,0)),"")</f>
        <v/>
      </c>
      <c r="D104" s="9" t="str">
        <f>IFERROR(INDEX('CASE MASTER'!$R$2:$R$495,MATCH("Case MAX Planck Plate 9: F3",'CASE MASTER'!$J$2:$J$495,0)),"")</f>
        <v/>
      </c>
      <c r="E104" s="9" t="str">
        <f>IFERROR(INDEX('CASE MASTER'!$R$2:$R$495,MATCH("Case MAX Planck Plate 9: F4",'CASE MASTER'!$J$2:$J$495,0)),"")</f>
        <v/>
      </c>
      <c r="F104" s="9" t="str">
        <f>IFERROR(INDEX('CASE MASTER'!$R$2:$R$495,MATCH("Case MAX Planck Plate 9: F5",'CASE MASTER'!$J$2:$J$495,0)),"")</f>
        <v/>
      </c>
      <c r="G104" s="9" t="str">
        <f>IFERROR(INDEX('CASE MASTER'!$R$2:$R$495,MATCH("Case MAX Planck Plate 9: F6",'CASE MASTER'!$J$2:$J$495,0)),"")</f>
        <v/>
      </c>
      <c r="H104" s="9" t="str">
        <f>IFERROR(INDEX('CASE MASTER'!$R$2:$R$495,MATCH("Case MAX Planck Plate 9: F7",'CASE MASTER'!$J$2:$J$495,0)),"")</f>
        <v/>
      </c>
      <c r="I104" s="9" t="str">
        <f>IFERROR(INDEX('CASE MASTER'!$R$2:$R$495,MATCH("Case MAX Planck Plate 9: F8",'CASE MASTER'!$J$2:$J$495,0)),"")</f>
        <v/>
      </c>
      <c r="J104" s="9" t="str">
        <f>IFERROR(INDEX('CASE MASTER'!$R$2:$R$495,MATCH("Case MAX Planck Plate 9: F9",'CASE MASTER'!$J$2:$J$495,0)),"")</f>
        <v/>
      </c>
      <c r="K104" s="9" t="str">
        <f>IFERROR(INDEX('CASE MASTER'!$R$2:$R$495,MATCH("Case MAX Planck Plate 9: F10",'CASE MASTER'!$J$2:$J$495,0)),"")</f>
        <v/>
      </c>
      <c r="L104" s="9" t="str">
        <f>IFERROR(INDEX('CASE MASTER'!$R$2:$R$495,MATCH("Case MAX Planck Plate 9: F11",'CASE MASTER'!$J$2:$J$495,0)),"")</f>
        <v/>
      </c>
      <c r="M104" s="9" t="str">
        <f>IFERROR(INDEX('CASE MASTER'!$R$2:$R$495,MATCH("Case MAX Planck Plate 9: F12",'CASE MASTER'!$J$2:$J$495,0)),"")</f>
        <v/>
      </c>
    </row>
    <row r="105" spans="1:13" ht="15" customHeight="1" x14ac:dyDescent="0.35">
      <c r="A105" s="8" t="s">
        <v>34</v>
      </c>
      <c r="B105" s="9" t="str">
        <f>IFERROR(INDEX('CASE MASTER'!$R$2:$R$495,MATCH("Case MAX Planck Plate 9: G1",'CASE MASTER'!$J$2:$J$495,0)),"")</f>
        <v/>
      </c>
      <c r="C105" s="9" t="str">
        <f>IFERROR(INDEX('CASE MASTER'!$R$2:$R$495,MATCH("Case MAX Planck Plate 9: G2",'CASE MASTER'!$J$2:$J$495,0)),"")</f>
        <v/>
      </c>
      <c r="D105" s="9" t="str">
        <f>IFERROR(INDEX('CASE MASTER'!$R$2:$R$495,MATCH("Case MAX Planck Plate 9: G3",'CASE MASTER'!$J$2:$J$495,0)),"")</f>
        <v/>
      </c>
      <c r="E105" s="9" t="str">
        <f>IFERROR(INDEX('CASE MASTER'!$R$2:$R$495,MATCH("Case MAX Planck Plate 9: G4",'CASE MASTER'!$J$2:$J$495,0)),"")</f>
        <v/>
      </c>
      <c r="F105" s="9" t="str">
        <f>IFERROR(INDEX('CASE MASTER'!$R$2:$R$495,MATCH("Case MAX Planck Plate 9: G5",'CASE MASTER'!$J$2:$J$495,0)),"")</f>
        <v/>
      </c>
      <c r="G105" s="9" t="str">
        <f>IFERROR(INDEX('CASE MASTER'!$R$2:$R$495,MATCH("Case MAX Planck Plate 9: G6",'CASE MASTER'!$J$2:$J$495,0)),"")</f>
        <v/>
      </c>
      <c r="H105" s="9" t="str">
        <f>IFERROR(INDEX('CASE MASTER'!$R$2:$R$495,MATCH("Case MAX Planck Plate 9: G7",'CASE MASTER'!$J$2:$J$495,0)),"")</f>
        <v/>
      </c>
      <c r="I105" s="9" t="str">
        <f>IFERROR(INDEX('CASE MASTER'!$R$2:$R$495,MATCH("Case MAX Planck Plate 9: G8",'CASE MASTER'!$J$2:$J$495,0)),"")</f>
        <v/>
      </c>
      <c r="J105" s="9" t="str">
        <f>IFERROR(INDEX('CASE MASTER'!$R$2:$R$495,MATCH("Case MAX Planck Plate 9: G9",'CASE MASTER'!$J$2:$J$495,0)),"")</f>
        <v/>
      </c>
      <c r="K105" s="9" t="str">
        <f>IFERROR(INDEX('CASE MASTER'!$R$2:$R$495,MATCH("Case MAX Planck Plate 9: G10",'CASE MASTER'!$J$2:$J$495,0)),"")</f>
        <v/>
      </c>
      <c r="L105" s="9" t="str">
        <f>IFERROR(INDEX('CASE MASTER'!$R$2:$R$495,MATCH("Case MAX Planck Plate 9: G11",'CASE MASTER'!$J$2:$J$495,0)),"")</f>
        <v/>
      </c>
      <c r="M105" s="9" t="str">
        <f>IFERROR(INDEX('CASE MASTER'!$R$2:$R$495,MATCH("Case MAX Planck Plate 9: G12",'CASE MASTER'!$J$2:$J$495,0)),"")</f>
        <v/>
      </c>
    </row>
    <row r="106" spans="1:13" ht="15" customHeight="1" x14ac:dyDescent="0.35">
      <c r="A106" s="8" t="s">
        <v>35</v>
      </c>
      <c r="B106" s="9" t="str">
        <f>IFERROR(INDEX('CASE MASTER'!$R$2:$R$495,MATCH("Case MAX Planck Plate 9: H1",'CASE MASTER'!$J$2:$J$495,0)),"")</f>
        <v/>
      </c>
      <c r="C106" s="9" t="str">
        <f>IFERROR(INDEX('CASE MASTER'!$R$2:$R$495,MATCH("Case MAX Planck Plate 9: H2",'CASE MASTER'!$J$2:$J$495,0)),"")</f>
        <v/>
      </c>
      <c r="D106" s="9" t="str">
        <f>IFERROR(INDEX('CASE MASTER'!$R$2:$R$495,MATCH("Case MAX Planck Plate 9: H3",'CASE MASTER'!$J$2:$J$495,0)),"")</f>
        <v/>
      </c>
      <c r="E106" s="9" t="str">
        <f>IFERROR(INDEX('CASE MASTER'!$R$2:$R$495,MATCH("Case MAX Planck Plate 9: H4",'CASE MASTER'!$J$2:$J$495,0)),"")</f>
        <v/>
      </c>
      <c r="F106" s="9" t="str">
        <f>IFERROR(INDEX('CASE MASTER'!$R$2:$R$495,MATCH("Case MAX Planck Plate 9: H5",'CASE MASTER'!$J$2:$J$495,0)),"")</f>
        <v/>
      </c>
      <c r="G106" s="9" t="str">
        <f>IFERROR(INDEX('CASE MASTER'!$R$2:$R$495,MATCH("Case MAX Planck Plate 9: H6",'CASE MASTER'!$J$2:$J$495,0)),"")</f>
        <v/>
      </c>
      <c r="H106" s="9" t="str">
        <f>IFERROR(INDEX('CASE MASTER'!$R$2:$R$495,MATCH("Case MAX Planck Plate 9: H7",'CASE MASTER'!$J$2:$J$495,0)),"")</f>
        <v/>
      </c>
      <c r="I106" s="9" t="str">
        <f>IFERROR(INDEX('CASE MASTER'!$R$2:$R$495,MATCH("Case MAX Planck Plate 9: H8",'CASE MASTER'!$J$2:$J$495,0)),"")</f>
        <v/>
      </c>
      <c r="J106" s="9" t="str">
        <f>IFERROR(INDEX('CASE MASTER'!$R$2:$R$495,MATCH("Case MAX Planck Plate 9: H9",'CASE MASTER'!$J$2:$J$495,0)),"")</f>
        <v/>
      </c>
      <c r="K106" s="9" t="str">
        <f>IFERROR(INDEX('CASE MASTER'!$R$2:$R$495,MATCH("Case MAX Planck Plate 9: H10",'CASE MASTER'!$J$2:$J$495,0)),"")</f>
        <v/>
      </c>
      <c r="L106" s="9" t="str">
        <f>IFERROR(INDEX('CASE MASTER'!$R$2:$R$495,MATCH("Case MAX Planck Plate 9: H11",'CASE MASTER'!$J$2:$J$495,0)),"")</f>
        <v/>
      </c>
      <c r="M106" s="9" t="str">
        <f>IFERROR(INDEX('CASE MASTER'!$R$2:$R$495,MATCH("Case MAX Planck Plate 9: H12",'CASE MASTER'!$J$2:$J$495,0)),"")</f>
        <v/>
      </c>
    </row>
    <row r="109" spans="1:13" ht="15" customHeight="1" x14ac:dyDescent="0.35">
      <c r="A109" s="12" t="s">
        <v>74</v>
      </c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</row>
    <row r="110" spans="1:13" ht="15" customHeight="1" x14ac:dyDescent="0.35">
      <c r="B110" s="8">
        <v>1</v>
      </c>
      <c r="C110" s="8">
        <v>2</v>
      </c>
      <c r="D110" s="8">
        <v>3</v>
      </c>
      <c r="E110" s="8">
        <v>4</v>
      </c>
      <c r="F110" s="8">
        <v>5</v>
      </c>
      <c r="G110" s="8">
        <v>6</v>
      </c>
      <c r="H110" s="8">
        <v>7</v>
      </c>
      <c r="I110" s="8">
        <v>8</v>
      </c>
      <c r="J110" s="8">
        <v>9</v>
      </c>
      <c r="K110" s="8">
        <v>10</v>
      </c>
      <c r="L110" s="8">
        <v>11</v>
      </c>
      <c r="M110" s="8">
        <v>12</v>
      </c>
    </row>
    <row r="111" spans="1:13" ht="15" customHeight="1" x14ac:dyDescent="0.35">
      <c r="A111" s="8" t="s">
        <v>28</v>
      </c>
      <c r="B111" s="9" t="str">
        <f>IFERROR(INDEX('CASE MASTER'!$R$2:$R$495,MATCH("Case MAX Planck Plate 10: A1",'CASE MASTER'!$J$2:$J$495,0)),"")</f>
        <v/>
      </c>
      <c r="C111" s="9" t="str">
        <f>IFERROR(INDEX('CASE MASTER'!$R$2:$R$495,MATCH("Case MAX Planck Plate 10: A2",'CASE MASTER'!$J$2:$J$495,0)),"")</f>
        <v/>
      </c>
      <c r="D111" s="9" t="str">
        <f>IFERROR(INDEX('CASE MASTER'!$R$2:$R$495,MATCH("Case MAX Planck Plate 10: A3",'CASE MASTER'!$J$2:$J$495,0)),"")</f>
        <v/>
      </c>
      <c r="E111" s="9" t="str">
        <f>IFERROR(INDEX('CASE MASTER'!$R$2:$R$495,MATCH("Case MAX Planck Plate 10: A4",'CASE MASTER'!$J$2:$J$495,0)),"")</f>
        <v/>
      </c>
      <c r="F111" s="9" t="str">
        <f>IFERROR(INDEX('CASE MASTER'!$R$2:$R$495,MATCH("Case MAX Planck Plate 10: A5",'CASE MASTER'!$J$2:$J$495,0)),"")</f>
        <v/>
      </c>
      <c r="G111" s="9" t="str">
        <f>IFERROR(INDEX('CASE MASTER'!$R$2:$R$495,MATCH("Case MAX Planck Plate 10: A6",'CASE MASTER'!$J$2:$J$495,0)),"")</f>
        <v/>
      </c>
      <c r="H111" s="9" t="str">
        <f>IFERROR(INDEX('CASE MASTER'!$R$2:$R$495,MATCH("Case MAX Planck Plate 10: A7",'CASE MASTER'!$J$2:$J$495,0)),"")</f>
        <v/>
      </c>
      <c r="I111" s="9" t="str">
        <f>IFERROR(INDEX('CASE MASTER'!$R$2:$R$495,MATCH("Case MAX Planck Plate 10: A8",'CASE MASTER'!$J$2:$J$495,0)),"")</f>
        <v/>
      </c>
      <c r="J111" s="9" t="str">
        <f>IFERROR(INDEX('CASE MASTER'!$R$2:$R$495,MATCH("Case MAX Planck Plate 10: A9",'CASE MASTER'!$J$2:$J$495,0)),"")</f>
        <v/>
      </c>
      <c r="K111" s="9" t="str">
        <f>IFERROR(INDEX('CASE MASTER'!$R$2:$R$495,MATCH("Case MAX Planck Plate 10: A10",'CASE MASTER'!$J$2:$J$495,0)),"")</f>
        <v/>
      </c>
      <c r="L111" s="9" t="str">
        <f>IFERROR(INDEX('CASE MASTER'!$R$2:$R$495,MATCH("Case MAX Planck Plate 10: A11",'CASE MASTER'!$J$2:$J$495,0)),"")</f>
        <v/>
      </c>
      <c r="M111" s="9" t="str">
        <f>IFERROR(INDEX('CASE MASTER'!$R$2:$R$495,MATCH("Case MAX Planck Plate 10: A12",'CASE MASTER'!$J$2:$J$495,0)),"")</f>
        <v/>
      </c>
    </row>
    <row r="112" spans="1:13" ht="15" customHeight="1" x14ac:dyDescent="0.35">
      <c r="A112" s="8" t="s">
        <v>29</v>
      </c>
      <c r="B112" s="9" t="str">
        <f>IFERROR(INDEX('CASE MASTER'!$R$2:$R$495,MATCH("Case MAX Planck Plate 10: B1",'CASE MASTER'!$J$2:$J$495,0)),"")</f>
        <v/>
      </c>
      <c r="C112" s="9" t="str">
        <f>IFERROR(INDEX('CASE MASTER'!$R$2:$R$495,MATCH("Case MAX Planck Plate 10: B2",'CASE MASTER'!$J$2:$J$495,0)),"")</f>
        <v/>
      </c>
      <c r="D112" s="9" t="str">
        <f>IFERROR(INDEX('CASE MASTER'!$R$2:$R$495,MATCH("Case MAX Planck Plate 10: B3",'CASE MASTER'!$J$2:$J$495,0)),"")</f>
        <v/>
      </c>
      <c r="E112" s="9" t="str">
        <f>IFERROR(INDEX('CASE MASTER'!$R$2:$R$495,MATCH("Case MAX Planck Plate 10: B4",'CASE MASTER'!$J$2:$J$495,0)),"")</f>
        <v/>
      </c>
      <c r="F112" s="9" t="str">
        <f>IFERROR(INDEX('CASE MASTER'!$R$2:$R$495,MATCH("Case MAX Planck Plate 10: B5",'CASE MASTER'!$J$2:$J$495,0)),"")</f>
        <v/>
      </c>
      <c r="G112" s="9" t="str">
        <f>IFERROR(INDEX('CASE MASTER'!$R$2:$R$495,MATCH("Case MAX Planck Plate 10: B6",'CASE MASTER'!$J$2:$J$495,0)),"")</f>
        <v/>
      </c>
      <c r="H112" s="9" t="str">
        <f>IFERROR(INDEX('CASE MASTER'!$R$2:$R$495,MATCH("Case MAX Planck Plate 10: B7",'CASE MASTER'!$J$2:$J$495,0)),"")</f>
        <v/>
      </c>
      <c r="I112" s="9" t="str">
        <f>IFERROR(INDEX('CASE MASTER'!$R$2:$R$495,MATCH("Case MAX Planck Plate 10: B8",'CASE MASTER'!$J$2:$J$495,0)),"")</f>
        <v/>
      </c>
      <c r="J112" s="9" t="str">
        <f>IFERROR(INDEX('CASE MASTER'!$R$2:$R$495,MATCH("Case MAX Planck Plate 10: B9",'CASE MASTER'!$J$2:$J$495,0)),"")</f>
        <v/>
      </c>
      <c r="K112" s="9" t="str">
        <f>IFERROR(INDEX('CASE MASTER'!$R$2:$R$495,MATCH("Case MAX Planck Plate 10: B10",'CASE MASTER'!$J$2:$J$495,0)),"")</f>
        <v/>
      </c>
      <c r="L112" s="9" t="str">
        <f>IFERROR(INDEX('CASE MASTER'!$R$2:$R$495,MATCH("Case MAX Planck Plate 10: B11",'CASE MASTER'!$J$2:$J$495,0)),"")</f>
        <v/>
      </c>
      <c r="M112" s="9" t="str">
        <f>IFERROR(INDEX('CASE MASTER'!$R$2:$R$495,MATCH("Case MAX Planck Plate 10: B12",'CASE MASTER'!$J$2:$J$495,0)),"")</f>
        <v/>
      </c>
    </row>
    <row r="113" spans="1:13" ht="15" customHeight="1" x14ac:dyDescent="0.35">
      <c r="A113" s="8" t="s">
        <v>30</v>
      </c>
      <c r="B113" s="9" t="str">
        <f>IFERROR(INDEX('CASE MASTER'!$R$2:$R$495,MATCH("Case MAX Planck Plate 10: C1",'CASE MASTER'!$J$2:$J$495,0)),"")</f>
        <v/>
      </c>
      <c r="C113" s="9" t="str">
        <f>IFERROR(INDEX('CASE MASTER'!$R$2:$R$495,MATCH("Case MAX Planck Plate 10: C2",'CASE MASTER'!$J$2:$J$495,0)),"")</f>
        <v/>
      </c>
      <c r="D113" s="9" t="str">
        <f>IFERROR(INDEX('CASE MASTER'!$R$2:$R$495,MATCH("Case MAX Planck Plate 10: C3",'CASE MASTER'!$J$2:$J$495,0)),"")</f>
        <v/>
      </c>
      <c r="E113" s="9" t="str">
        <f>IFERROR(INDEX('CASE MASTER'!$R$2:$R$495,MATCH("Case MAX Planck Plate 10: C4",'CASE MASTER'!$J$2:$J$495,0)),"")</f>
        <v/>
      </c>
      <c r="F113" s="9" t="str">
        <f>IFERROR(INDEX('CASE MASTER'!$R$2:$R$495,MATCH("Case MAX Planck Plate 10: C5",'CASE MASTER'!$J$2:$J$495,0)),"")</f>
        <v/>
      </c>
      <c r="G113" s="9" t="str">
        <f>IFERROR(INDEX('CASE MASTER'!$R$2:$R$495,MATCH("Case MAX Planck Plate 10: C6",'CASE MASTER'!$J$2:$J$495,0)),"")</f>
        <v/>
      </c>
      <c r="H113" s="9" t="str">
        <f>IFERROR(INDEX('CASE MASTER'!$R$2:$R$495,MATCH("Case MAX Planck Plate 10: C7",'CASE MASTER'!$J$2:$J$495,0)),"")</f>
        <v/>
      </c>
      <c r="I113" s="9" t="str">
        <f>IFERROR(INDEX('CASE MASTER'!$R$2:$R$495,MATCH("Case MAX Planck Plate 10: C8",'CASE MASTER'!$J$2:$J$495,0)),"")</f>
        <v/>
      </c>
      <c r="J113" s="9" t="str">
        <f>IFERROR(INDEX('CASE MASTER'!$R$2:$R$495,MATCH("Case MAX Planck Plate 10: C9",'CASE MASTER'!$J$2:$J$495,0)),"")</f>
        <v/>
      </c>
      <c r="K113" s="9" t="str">
        <f>IFERROR(INDEX('CASE MASTER'!$R$2:$R$495,MATCH("Case MAX Planck Plate 10: C10",'CASE MASTER'!$J$2:$J$495,0)),"")</f>
        <v/>
      </c>
      <c r="L113" s="9" t="str">
        <f>IFERROR(INDEX('CASE MASTER'!$R$2:$R$495,MATCH("Case MAX Planck Plate 10: C11",'CASE MASTER'!$J$2:$J$495,0)),"")</f>
        <v/>
      </c>
      <c r="M113" s="9" t="str">
        <f>IFERROR(INDEX('CASE MASTER'!$R$2:$R$495,MATCH("Case MAX Planck Plate 10: C12",'CASE MASTER'!$J$2:$J$495,0)),"")</f>
        <v/>
      </c>
    </row>
    <row r="114" spans="1:13" ht="15" customHeight="1" x14ac:dyDescent="0.35">
      <c r="A114" s="8" t="s">
        <v>31</v>
      </c>
      <c r="B114" s="9" t="str">
        <f>IFERROR(INDEX('CASE MASTER'!$R$2:$R$495,MATCH("Case MAX Planck Plate 10: D1",'CASE MASTER'!$J$2:$J$495,0)),"")</f>
        <v/>
      </c>
      <c r="C114" s="9" t="str">
        <f>IFERROR(INDEX('CASE MASTER'!$R$2:$R$495,MATCH("Case MAX Planck Plate 10: D2",'CASE MASTER'!$J$2:$J$495,0)),"")</f>
        <v/>
      </c>
      <c r="D114" s="9" t="str">
        <f>IFERROR(INDEX('CASE MASTER'!$R$2:$R$495,MATCH("Case MAX Planck Plate 10: D3",'CASE MASTER'!$J$2:$J$495,0)),"")</f>
        <v/>
      </c>
      <c r="E114" s="9" t="str">
        <f>IFERROR(INDEX('CASE MASTER'!$R$2:$R$495,MATCH("Case MAX Planck Plate 10: D4",'CASE MASTER'!$J$2:$J$495,0)),"")</f>
        <v/>
      </c>
      <c r="F114" s="9" t="str">
        <f>IFERROR(INDEX('CASE MASTER'!$R$2:$R$495,MATCH("Case MAX Planck Plate 10: D5",'CASE MASTER'!$J$2:$J$495,0)),"")</f>
        <v/>
      </c>
      <c r="G114" s="9" t="str">
        <f>IFERROR(INDEX('CASE MASTER'!$R$2:$R$495,MATCH("Case MAX Planck Plate 10: D6",'CASE MASTER'!$J$2:$J$495,0)),"")</f>
        <v/>
      </c>
      <c r="H114" s="9" t="str">
        <f>IFERROR(INDEX('CASE MASTER'!$R$2:$R$495,MATCH("Case MAX Planck Plate 10: D7",'CASE MASTER'!$J$2:$J$495,0)),"")</f>
        <v/>
      </c>
      <c r="I114" s="9" t="str">
        <f>IFERROR(INDEX('CASE MASTER'!$R$2:$R$495,MATCH("Case MAX Planck Plate 10: D8",'CASE MASTER'!$J$2:$J$495,0)),"")</f>
        <v/>
      </c>
      <c r="J114" s="9" t="str">
        <f>IFERROR(INDEX('CASE MASTER'!$R$2:$R$495,MATCH("Case MAX Planck Plate 10: D9",'CASE MASTER'!$J$2:$J$495,0)),"")</f>
        <v/>
      </c>
      <c r="K114" s="9" t="str">
        <f>IFERROR(INDEX('CASE MASTER'!$R$2:$R$495,MATCH("Case MAX Planck Plate 10: D10",'CASE MASTER'!$J$2:$J$495,0)),"")</f>
        <v/>
      </c>
      <c r="L114" s="9" t="str">
        <f>IFERROR(INDEX('CASE MASTER'!$R$2:$R$495,MATCH("Case MAX Planck Plate 10: D11",'CASE MASTER'!$J$2:$J$495,0)),"")</f>
        <v/>
      </c>
      <c r="M114" s="9" t="str">
        <f>IFERROR(INDEX('CASE MASTER'!$R$2:$R$495,MATCH("Case MAX Planck Plate 10: D12",'CASE MASTER'!$J$2:$J$495,0)),"")</f>
        <v/>
      </c>
    </row>
    <row r="115" spans="1:13" ht="15" customHeight="1" x14ac:dyDescent="0.35">
      <c r="A115" s="8" t="s">
        <v>32</v>
      </c>
      <c r="B115" s="9" t="str">
        <f>IFERROR(INDEX('CASE MASTER'!$R$2:$R$495,MATCH("Case MAX Planck Plate 10: E1",'CASE MASTER'!$J$2:$J$495,0)),"")</f>
        <v/>
      </c>
      <c r="C115" s="9" t="str">
        <f>IFERROR(INDEX('CASE MASTER'!$R$2:$R$495,MATCH("Case MAX Planck Plate 10: E2",'CASE MASTER'!$J$2:$J$495,0)),"")</f>
        <v/>
      </c>
      <c r="D115" s="9" t="str">
        <f>IFERROR(INDEX('CASE MASTER'!$R$2:$R$495,MATCH("Case MAX Planck Plate 10: E3",'CASE MASTER'!$J$2:$J$495,0)),"")</f>
        <v/>
      </c>
      <c r="E115" s="9" t="str">
        <f>IFERROR(INDEX('CASE MASTER'!$R$2:$R$495,MATCH("Case MAX Planck Plate 10: E4",'CASE MASTER'!$J$2:$J$495,0)),"")</f>
        <v/>
      </c>
      <c r="F115" s="9" t="str">
        <f>IFERROR(INDEX('CASE MASTER'!$R$2:$R$495,MATCH("Case MAX Planck Plate 10: E5",'CASE MASTER'!$J$2:$J$495,0)),"")</f>
        <v/>
      </c>
      <c r="G115" s="9" t="str">
        <f>IFERROR(INDEX('CASE MASTER'!$R$2:$R$495,MATCH("Case MAX Planck Plate 10: E6",'CASE MASTER'!$J$2:$J$495,0)),"")</f>
        <v/>
      </c>
      <c r="H115" s="9" t="str">
        <f>IFERROR(INDEX('CASE MASTER'!$R$2:$R$495,MATCH("Case MAX Planck Plate 10: E7",'CASE MASTER'!$J$2:$J$495,0)),"")</f>
        <v/>
      </c>
      <c r="I115" s="9" t="str">
        <f>IFERROR(INDEX('CASE MASTER'!$R$2:$R$495,MATCH("Case MAX Planck Plate 10: E8",'CASE MASTER'!$J$2:$J$495,0)),"")</f>
        <v/>
      </c>
      <c r="J115" s="9" t="str">
        <f>IFERROR(INDEX('CASE MASTER'!$R$2:$R$495,MATCH("Case MAX Planck Plate 10: E9",'CASE MASTER'!$J$2:$J$495,0)),"")</f>
        <v/>
      </c>
      <c r="K115" s="9" t="str">
        <f>IFERROR(INDEX('CASE MASTER'!$R$2:$R$495,MATCH("Case MAX Planck Plate 10: E10",'CASE MASTER'!$J$2:$J$495,0)),"")</f>
        <v/>
      </c>
      <c r="L115" s="9" t="str">
        <f>IFERROR(INDEX('CASE MASTER'!$R$2:$R$495,MATCH("Case MAX Planck Plate 10: E11",'CASE MASTER'!$J$2:$J$495,0)),"")</f>
        <v/>
      </c>
      <c r="M115" s="9" t="str">
        <f>IFERROR(INDEX('CASE MASTER'!$R$2:$R$495,MATCH("Case MAX Planck Plate 10: E12",'CASE MASTER'!$J$2:$J$495,0)),"")</f>
        <v/>
      </c>
    </row>
    <row r="116" spans="1:13" ht="15" customHeight="1" x14ac:dyDescent="0.35">
      <c r="A116" s="8" t="s">
        <v>33</v>
      </c>
      <c r="B116" s="9" t="str">
        <f>IFERROR(INDEX('CASE MASTER'!$R$2:$R$495,MATCH("Case MAX Planck Plate 10: F1",'CASE MASTER'!$J$2:$J$495,0)),"")</f>
        <v/>
      </c>
      <c r="C116" s="9" t="str">
        <f>IFERROR(INDEX('CASE MASTER'!$R$2:$R$495,MATCH("Case MAX Planck Plate 10: F2",'CASE MASTER'!$J$2:$J$495,0)),"")</f>
        <v/>
      </c>
      <c r="D116" s="9" t="str">
        <f>IFERROR(INDEX('CASE MASTER'!$R$2:$R$495,MATCH("Case MAX Planck Plate 10: F3",'CASE MASTER'!$J$2:$J$495,0)),"")</f>
        <v/>
      </c>
      <c r="E116" s="9" t="str">
        <f>IFERROR(INDEX('CASE MASTER'!$R$2:$R$495,MATCH("Case MAX Planck Plate 10: F4",'CASE MASTER'!$J$2:$J$495,0)),"")</f>
        <v/>
      </c>
      <c r="F116" s="9" t="str">
        <f>IFERROR(INDEX('CASE MASTER'!$R$2:$R$495,MATCH("Case MAX Planck Plate 10: F5",'CASE MASTER'!$J$2:$J$495,0)),"")</f>
        <v/>
      </c>
      <c r="G116" s="9" t="str">
        <f>IFERROR(INDEX('CASE MASTER'!$R$2:$R$495,MATCH("Case MAX Planck Plate 10: F6",'CASE MASTER'!$J$2:$J$495,0)),"")</f>
        <v/>
      </c>
      <c r="H116" s="9" t="str">
        <f>IFERROR(INDEX('CASE MASTER'!$R$2:$R$495,MATCH("Case MAX Planck Plate 10: F7",'CASE MASTER'!$J$2:$J$495,0)),"")</f>
        <v/>
      </c>
      <c r="I116" s="9" t="str">
        <f>IFERROR(INDEX('CASE MASTER'!$R$2:$R$495,MATCH("Case MAX Planck Plate 10: F8",'CASE MASTER'!$J$2:$J$495,0)),"")</f>
        <v/>
      </c>
      <c r="J116" s="9" t="str">
        <f>IFERROR(INDEX('CASE MASTER'!$R$2:$R$495,MATCH("Case MAX Planck Plate 10: F9",'CASE MASTER'!$J$2:$J$495,0)),"")</f>
        <v/>
      </c>
      <c r="K116" s="9" t="str">
        <f>IFERROR(INDEX('CASE MASTER'!$R$2:$R$495,MATCH("Case MAX Planck Plate 10: F10",'CASE MASTER'!$J$2:$J$495,0)),"")</f>
        <v/>
      </c>
      <c r="L116" s="9" t="str">
        <f>IFERROR(INDEX('CASE MASTER'!$R$2:$R$495,MATCH("Case MAX Planck Plate 10: F11",'CASE MASTER'!$J$2:$J$495,0)),"")</f>
        <v/>
      </c>
      <c r="M116" s="9" t="str">
        <f>IFERROR(INDEX('CASE MASTER'!$R$2:$R$495,MATCH("Case MAX Planck Plate 10: F12",'CASE MASTER'!$J$2:$J$495,0)),"")</f>
        <v/>
      </c>
    </row>
    <row r="117" spans="1:13" ht="15" customHeight="1" x14ac:dyDescent="0.35">
      <c r="A117" s="8" t="s">
        <v>34</v>
      </c>
      <c r="B117" s="9" t="str">
        <f>IFERROR(INDEX('CASE MASTER'!$R$2:$R$495,MATCH("Case MAX Planck Plate 10: G1",'CASE MASTER'!$J$2:$J$495,0)),"")</f>
        <v/>
      </c>
      <c r="C117" s="9" t="str">
        <f>IFERROR(INDEX('CASE MASTER'!$R$2:$R$495,MATCH("Case MAX Planck Plate 10: G2",'CASE MASTER'!$J$2:$J$495,0)),"")</f>
        <v/>
      </c>
      <c r="D117" s="9" t="str">
        <f>IFERROR(INDEX('CASE MASTER'!$R$2:$R$495,MATCH("Case MAX Planck Plate 10: G3",'CASE MASTER'!$J$2:$J$495,0)),"")</f>
        <v/>
      </c>
      <c r="E117" s="9" t="str">
        <f>IFERROR(INDEX('CASE MASTER'!$R$2:$R$495,MATCH("Case MAX Planck Plate 10: G4",'CASE MASTER'!$J$2:$J$495,0)),"")</f>
        <v/>
      </c>
      <c r="F117" s="9" t="str">
        <f>IFERROR(INDEX('CASE MASTER'!$R$2:$R$495,MATCH("Case MAX Planck Plate 10: G5",'CASE MASTER'!$J$2:$J$495,0)),"")</f>
        <v/>
      </c>
      <c r="G117" s="9" t="str">
        <f>IFERROR(INDEX('CASE MASTER'!$R$2:$R$495,MATCH("Case MAX Planck Plate 10: G6",'CASE MASTER'!$J$2:$J$495,0)),"")</f>
        <v/>
      </c>
      <c r="H117" s="9" t="str">
        <f>IFERROR(INDEX('CASE MASTER'!$R$2:$R$495,MATCH("Case MAX Planck Plate 10: G7",'CASE MASTER'!$J$2:$J$495,0)),"")</f>
        <v/>
      </c>
      <c r="I117" s="9" t="str">
        <f>IFERROR(INDEX('CASE MASTER'!$R$2:$R$495,MATCH("Case MAX Planck Plate 10: G8",'CASE MASTER'!$J$2:$J$495,0)),"")</f>
        <v/>
      </c>
      <c r="J117" s="9" t="str">
        <f>IFERROR(INDEX('CASE MASTER'!$R$2:$R$495,MATCH("Case MAX Planck Plate 10: G9",'CASE MASTER'!$J$2:$J$495,0)),"")</f>
        <v/>
      </c>
      <c r="K117" s="9" t="str">
        <f>IFERROR(INDEX('CASE MASTER'!$R$2:$R$495,MATCH("Case MAX Planck Plate 10: G10",'CASE MASTER'!$J$2:$J$495,0)),"")</f>
        <v/>
      </c>
      <c r="L117" s="9" t="str">
        <f>IFERROR(INDEX('CASE MASTER'!$R$2:$R$495,MATCH("Case MAX Planck Plate 10: G11",'CASE MASTER'!$J$2:$J$495,0)),"")</f>
        <v/>
      </c>
      <c r="M117" s="9" t="str">
        <f>IFERROR(INDEX('CASE MASTER'!$R$2:$R$495,MATCH("Case MAX Planck Plate 10: G12",'CASE MASTER'!$J$2:$J$495,0)),"")</f>
        <v/>
      </c>
    </row>
    <row r="118" spans="1:13" ht="15" customHeight="1" x14ac:dyDescent="0.35">
      <c r="A118" s="8" t="s">
        <v>35</v>
      </c>
      <c r="B118" s="9" t="str">
        <f>IFERROR(INDEX('CASE MASTER'!$R$2:$R$495,MATCH("Case MAX Planck Plate 10: H1",'CASE MASTER'!$J$2:$J$495,0)),"")</f>
        <v/>
      </c>
      <c r="C118" s="9" t="str">
        <f>IFERROR(INDEX('CASE MASTER'!$R$2:$R$495,MATCH("Case MAX Planck Plate 10: H2",'CASE MASTER'!$J$2:$J$495,0)),"")</f>
        <v/>
      </c>
      <c r="D118" s="9" t="str">
        <f>IFERROR(INDEX('CASE MASTER'!$R$2:$R$495,MATCH("Case MAX Planck Plate 10: H3",'CASE MASTER'!$J$2:$J$495,0)),"")</f>
        <v/>
      </c>
      <c r="E118" s="9" t="str">
        <f>IFERROR(INDEX('CASE MASTER'!$R$2:$R$495,MATCH("Case MAX Planck Plate 10: H4",'CASE MASTER'!$J$2:$J$495,0)),"")</f>
        <v/>
      </c>
      <c r="F118" s="9" t="str">
        <f>IFERROR(INDEX('CASE MASTER'!$R$2:$R$495,MATCH("Case MAX Planck Plate 10: H5",'CASE MASTER'!$J$2:$J$495,0)),"")</f>
        <v/>
      </c>
      <c r="G118" s="9" t="str">
        <f>IFERROR(INDEX('CASE MASTER'!$R$2:$R$495,MATCH("Case MAX Planck Plate 10: H6",'CASE MASTER'!$J$2:$J$495,0)),"")</f>
        <v/>
      </c>
      <c r="H118" s="9" t="str">
        <f>IFERROR(INDEX('CASE MASTER'!$R$2:$R$495,MATCH("Case MAX Planck Plate 10: H7",'CASE MASTER'!$J$2:$J$495,0)),"")</f>
        <v/>
      </c>
      <c r="I118" s="9" t="str">
        <f>IFERROR(INDEX('CASE MASTER'!$R$2:$R$495,MATCH("Case MAX Planck Plate 10: H8",'CASE MASTER'!$J$2:$J$495,0)),"")</f>
        <v/>
      </c>
      <c r="J118" s="9" t="str">
        <f>IFERROR(INDEX('CASE MASTER'!$R$2:$R$495,MATCH("Case MAX Planck Plate 10: H9",'CASE MASTER'!$J$2:$J$495,0)),"")</f>
        <v/>
      </c>
      <c r="K118" s="9" t="str">
        <f>IFERROR(INDEX('CASE MASTER'!$R$2:$R$495,MATCH("Case MAX Planck Plate 10: H10",'CASE MASTER'!$J$2:$J$495,0)),"")</f>
        <v/>
      </c>
      <c r="L118" s="9" t="str">
        <f>IFERROR(INDEX('CASE MASTER'!$R$2:$R$495,MATCH("Case MAX Planck Plate 10: H11",'CASE MASTER'!$J$2:$J$495,0)),"")</f>
        <v/>
      </c>
      <c r="M118" s="9" t="str">
        <f>IFERROR(INDEX('CASE MASTER'!$R$2:$R$495,MATCH("Case MAX Planck Plate 10: H12",'CASE MASTER'!$J$2:$J$495,0)),"")</f>
        <v/>
      </c>
    </row>
    <row r="121" spans="1:13" ht="15" customHeight="1" x14ac:dyDescent="0.35">
      <c r="A121" s="12" t="s">
        <v>75</v>
      </c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</row>
    <row r="122" spans="1:13" ht="15" customHeight="1" x14ac:dyDescent="0.35">
      <c r="B122" s="8">
        <v>1</v>
      </c>
      <c r="C122" s="8">
        <v>2</v>
      </c>
      <c r="D122" s="8">
        <v>3</v>
      </c>
      <c r="E122" s="8">
        <v>4</v>
      </c>
      <c r="F122" s="8">
        <v>5</v>
      </c>
      <c r="G122" s="8">
        <v>6</v>
      </c>
      <c r="H122" s="8">
        <v>7</v>
      </c>
      <c r="I122" s="8">
        <v>8</v>
      </c>
      <c r="J122" s="8">
        <v>9</v>
      </c>
      <c r="K122" s="8">
        <v>10</v>
      </c>
      <c r="L122" s="8">
        <v>11</v>
      </c>
      <c r="M122" s="8">
        <v>12</v>
      </c>
    </row>
    <row r="123" spans="1:13" ht="15" customHeight="1" x14ac:dyDescent="0.35">
      <c r="A123" s="8" t="s">
        <v>28</v>
      </c>
      <c r="B123" s="9" t="str">
        <f>IFERROR(INDEX('CASE MASTER'!$R$2:$R$495,MATCH("Case MAX Planck Plate 11: A1",'CASE MASTER'!$J$2:$J$495,0)),"")</f>
        <v/>
      </c>
      <c r="C123" s="9" t="str">
        <f>IFERROR(INDEX('CASE MASTER'!$R$2:$R$495,MATCH("Case MAX Planck Plate 11: A2",'CASE MASTER'!$J$2:$J$495,0)),"")</f>
        <v/>
      </c>
      <c r="D123" s="9" t="str">
        <f>IFERROR(INDEX('CASE MASTER'!$R$2:$R$495,MATCH("Case MAX Planck Plate 11: A3",'CASE MASTER'!$J$2:$J$495,0)),"")</f>
        <v/>
      </c>
      <c r="E123" s="9" t="str">
        <f>IFERROR(INDEX('CASE MASTER'!$R$2:$R$495,MATCH("Case MAX Planck Plate 11: A4",'CASE MASTER'!$J$2:$J$495,0)),"")</f>
        <v/>
      </c>
      <c r="F123" s="9" t="str">
        <f>IFERROR(INDEX('CASE MASTER'!$R$2:$R$495,MATCH("Case MAX Planck Plate 11: A5",'CASE MASTER'!$J$2:$J$495,0)),"")</f>
        <v/>
      </c>
      <c r="G123" s="9" t="str">
        <f>IFERROR(INDEX('CASE MASTER'!$R$2:$R$495,MATCH("Case MAX Planck Plate 11: A6",'CASE MASTER'!$J$2:$J$495,0)),"")</f>
        <v/>
      </c>
      <c r="H123" s="9" t="str">
        <f>IFERROR(INDEX('CASE MASTER'!$R$2:$R$495,MATCH("Case MAX Planck Plate 11: A7",'CASE MASTER'!$J$2:$J$495,0)),"")</f>
        <v/>
      </c>
      <c r="I123" s="9" t="str">
        <f>IFERROR(INDEX('CASE MASTER'!$R$2:$R$495,MATCH("Case MAX Planck Plate 11: A8",'CASE MASTER'!$J$2:$J$495,0)),"")</f>
        <v/>
      </c>
      <c r="J123" s="9" t="str">
        <f>IFERROR(INDEX('CASE MASTER'!$R$2:$R$495,MATCH("Case MAX Planck Plate 11: A9",'CASE MASTER'!$J$2:$J$495,0)),"")</f>
        <v/>
      </c>
      <c r="K123" s="9" t="str">
        <f>IFERROR(INDEX('CASE MASTER'!$R$2:$R$495,MATCH("Case MAX Planck Plate 11: A10",'CASE MASTER'!$J$2:$J$495,0)),"")</f>
        <v/>
      </c>
      <c r="L123" s="9" t="str">
        <f>IFERROR(INDEX('CASE MASTER'!$R$2:$R$495,MATCH("Case MAX Planck Plate 11: A11",'CASE MASTER'!$J$2:$J$495,0)),"")</f>
        <v/>
      </c>
      <c r="M123" s="9" t="str">
        <f>IFERROR(INDEX('CASE MASTER'!$R$2:$R$495,MATCH("Case MAX Planck Plate 11: A12",'CASE MASTER'!$J$2:$J$495,0)),"")</f>
        <v/>
      </c>
    </row>
    <row r="124" spans="1:13" ht="15" customHeight="1" x14ac:dyDescent="0.35">
      <c r="A124" s="8" t="s">
        <v>29</v>
      </c>
      <c r="B124" s="9" t="str">
        <f>IFERROR(INDEX('CASE MASTER'!$R$2:$R$495,MATCH("Case MAX Planck Plate 11: B1",'CASE MASTER'!$J$2:$J$495,0)),"")</f>
        <v/>
      </c>
      <c r="C124" s="9" t="str">
        <f>IFERROR(INDEX('CASE MASTER'!$R$2:$R$495,MATCH("Case MAX Planck Plate 11: B2",'CASE MASTER'!$J$2:$J$495,0)),"")</f>
        <v/>
      </c>
      <c r="D124" s="9" t="str">
        <f>IFERROR(INDEX('CASE MASTER'!$R$2:$R$495,MATCH("Case MAX Planck Plate 11: B3",'CASE MASTER'!$J$2:$J$495,0)),"")</f>
        <v/>
      </c>
      <c r="E124" s="9" t="str">
        <f>IFERROR(INDEX('CASE MASTER'!$R$2:$R$495,MATCH("Case MAX Planck Plate 11: B4",'CASE MASTER'!$J$2:$J$495,0)),"")</f>
        <v/>
      </c>
      <c r="F124" s="9" t="str">
        <f>IFERROR(INDEX('CASE MASTER'!$R$2:$R$495,MATCH("Case MAX Planck Plate 11: B5",'CASE MASTER'!$J$2:$J$495,0)),"")</f>
        <v/>
      </c>
      <c r="G124" s="9" t="str">
        <f>IFERROR(INDEX('CASE MASTER'!$R$2:$R$495,MATCH("Case MAX Planck Plate 11: B6",'CASE MASTER'!$J$2:$J$495,0)),"")</f>
        <v/>
      </c>
      <c r="H124" s="9" t="str">
        <f>IFERROR(INDEX('CASE MASTER'!$R$2:$R$495,MATCH("Case MAX Planck Plate 11: B7",'CASE MASTER'!$J$2:$J$495,0)),"")</f>
        <v/>
      </c>
      <c r="I124" s="9" t="str">
        <f>IFERROR(INDEX('CASE MASTER'!$R$2:$R$495,MATCH("Case MAX Planck Plate 11: B8",'CASE MASTER'!$J$2:$J$495,0)),"")</f>
        <v/>
      </c>
      <c r="J124" s="9" t="str">
        <f>IFERROR(INDEX('CASE MASTER'!$R$2:$R$495,MATCH("Case MAX Planck Plate 11: B9",'CASE MASTER'!$J$2:$J$495,0)),"")</f>
        <v/>
      </c>
      <c r="K124" s="9" t="str">
        <f>IFERROR(INDEX('CASE MASTER'!$R$2:$R$495,MATCH("Case MAX Planck Plate 11: B10",'CASE MASTER'!$J$2:$J$495,0)),"")</f>
        <v/>
      </c>
      <c r="L124" s="9" t="str">
        <f>IFERROR(INDEX('CASE MASTER'!$R$2:$R$495,MATCH("Case MAX Planck Plate 11: B11",'CASE MASTER'!$J$2:$J$495,0)),"")</f>
        <v/>
      </c>
      <c r="M124" s="9" t="str">
        <f>IFERROR(INDEX('CASE MASTER'!$R$2:$R$495,MATCH("Case MAX Planck Plate 11: B12",'CASE MASTER'!$J$2:$J$495,0)),"")</f>
        <v/>
      </c>
    </row>
    <row r="125" spans="1:13" ht="15" customHeight="1" x14ac:dyDescent="0.35">
      <c r="A125" s="8" t="s">
        <v>30</v>
      </c>
      <c r="B125" s="9" t="str">
        <f>IFERROR(INDEX('CASE MASTER'!$R$2:$R$495,MATCH("Case MAX Planck Plate 11: C1",'CASE MASTER'!$J$2:$J$495,0)),"")</f>
        <v/>
      </c>
      <c r="C125" s="9" t="str">
        <f>IFERROR(INDEX('CASE MASTER'!$R$2:$R$495,MATCH("Case MAX Planck Plate 11: C2",'CASE MASTER'!$J$2:$J$495,0)),"")</f>
        <v/>
      </c>
      <c r="D125" s="9" t="str">
        <f>IFERROR(INDEX('CASE MASTER'!$R$2:$R$495,MATCH("Case MAX Planck Plate 11: C3",'CASE MASTER'!$J$2:$J$495,0)),"")</f>
        <v/>
      </c>
      <c r="E125" s="9" t="str">
        <f>IFERROR(INDEX('CASE MASTER'!$R$2:$R$495,MATCH("Case MAX Planck Plate 11: C4",'CASE MASTER'!$J$2:$J$495,0)),"")</f>
        <v/>
      </c>
      <c r="F125" s="9" t="str">
        <f>IFERROR(INDEX('CASE MASTER'!$R$2:$R$495,MATCH("Case MAX Planck Plate 11: C5",'CASE MASTER'!$J$2:$J$495,0)),"")</f>
        <v/>
      </c>
      <c r="G125" s="9" t="str">
        <f>IFERROR(INDEX('CASE MASTER'!$R$2:$R$495,MATCH("Case MAX Planck Plate 11: C6",'CASE MASTER'!$J$2:$J$495,0)),"")</f>
        <v/>
      </c>
      <c r="H125" s="9" t="str">
        <f>IFERROR(INDEX('CASE MASTER'!$R$2:$R$495,MATCH("Case MAX Planck Plate 11: C7",'CASE MASTER'!$J$2:$J$495,0)),"")</f>
        <v/>
      </c>
      <c r="I125" s="9" t="str">
        <f>IFERROR(INDEX('CASE MASTER'!$R$2:$R$495,MATCH("Case MAX Planck Plate 11: C8",'CASE MASTER'!$J$2:$J$495,0)),"")</f>
        <v/>
      </c>
      <c r="J125" s="9" t="str">
        <f>IFERROR(INDEX('CASE MASTER'!$R$2:$R$495,MATCH("Case MAX Planck Plate 11: C9",'CASE MASTER'!$J$2:$J$495,0)),"")</f>
        <v/>
      </c>
      <c r="K125" s="9" t="str">
        <f>IFERROR(INDEX('CASE MASTER'!$R$2:$R$495,MATCH("Case MAX Planck Plate 11: C10",'CASE MASTER'!$J$2:$J$495,0)),"")</f>
        <v/>
      </c>
      <c r="L125" s="9" t="str">
        <f>IFERROR(INDEX('CASE MASTER'!$R$2:$R$495,MATCH("Case MAX Planck Plate 11: C11",'CASE MASTER'!$J$2:$J$495,0)),"")</f>
        <v/>
      </c>
      <c r="M125" s="9" t="str">
        <f>IFERROR(INDEX('CASE MASTER'!$R$2:$R$495,MATCH("Case MAX Planck Plate 11: C12",'CASE MASTER'!$J$2:$J$495,0)),"")</f>
        <v/>
      </c>
    </row>
    <row r="126" spans="1:13" ht="15" customHeight="1" x14ac:dyDescent="0.35">
      <c r="A126" s="8" t="s">
        <v>31</v>
      </c>
      <c r="B126" s="9" t="str">
        <f>IFERROR(INDEX('CASE MASTER'!$R$2:$R$495,MATCH("Case MAX Planck Plate 11: D1",'CASE MASTER'!$J$2:$J$495,0)),"")</f>
        <v/>
      </c>
      <c r="C126" s="9" t="str">
        <f>IFERROR(INDEX('CASE MASTER'!$R$2:$R$495,MATCH("Case MAX Planck Plate 11: D2",'CASE MASTER'!$J$2:$J$495,0)),"")</f>
        <v/>
      </c>
      <c r="D126" s="9" t="str">
        <f>IFERROR(INDEX('CASE MASTER'!$R$2:$R$495,MATCH("Case MAX Planck Plate 11: D3",'CASE MASTER'!$J$2:$J$495,0)),"")</f>
        <v/>
      </c>
      <c r="E126" s="9" t="str">
        <f>IFERROR(INDEX('CASE MASTER'!$R$2:$R$495,MATCH("Case MAX Planck Plate 11: D4",'CASE MASTER'!$J$2:$J$495,0)),"")</f>
        <v/>
      </c>
      <c r="F126" s="9" t="str">
        <f>IFERROR(INDEX('CASE MASTER'!$R$2:$R$495,MATCH("Case MAX Planck Plate 11: D5",'CASE MASTER'!$J$2:$J$495,0)),"")</f>
        <v/>
      </c>
      <c r="G126" s="9" t="str">
        <f>IFERROR(INDEX('CASE MASTER'!$R$2:$R$495,MATCH("Case MAX Planck Plate 11: D6",'CASE MASTER'!$J$2:$J$495,0)),"")</f>
        <v/>
      </c>
      <c r="H126" s="9" t="str">
        <f>IFERROR(INDEX('CASE MASTER'!$R$2:$R$495,MATCH("Case MAX Planck Plate 11: D7",'CASE MASTER'!$J$2:$J$495,0)),"")</f>
        <v/>
      </c>
      <c r="I126" s="9" t="str">
        <f>IFERROR(INDEX('CASE MASTER'!$R$2:$R$495,MATCH("Case MAX Planck Plate 11: D8",'CASE MASTER'!$J$2:$J$495,0)),"")</f>
        <v/>
      </c>
      <c r="J126" s="9" t="str">
        <f>IFERROR(INDEX('CASE MASTER'!$R$2:$R$495,MATCH("Case MAX Planck Plate 11: D9",'CASE MASTER'!$J$2:$J$495,0)),"")</f>
        <v/>
      </c>
      <c r="K126" s="9" t="str">
        <f>IFERROR(INDEX('CASE MASTER'!$R$2:$R$495,MATCH("Case MAX Planck Plate 11: D10",'CASE MASTER'!$J$2:$J$495,0)),"")</f>
        <v/>
      </c>
      <c r="L126" s="9" t="str">
        <f>IFERROR(INDEX('CASE MASTER'!$R$2:$R$495,MATCH("Case MAX Planck Plate 11: D11",'CASE MASTER'!$J$2:$J$495,0)),"")</f>
        <v/>
      </c>
      <c r="M126" s="9" t="str">
        <f>IFERROR(INDEX('CASE MASTER'!$R$2:$R$495,MATCH("Case MAX Planck Plate 11: D12",'CASE MASTER'!$J$2:$J$495,0)),"")</f>
        <v/>
      </c>
    </row>
    <row r="127" spans="1:13" ht="15" customHeight="1" x14ac:dyDescent="0.35">
      <c r="A127" s="8" t="s">
        <v>32</v>
      </c>
      <c r="B127" s="9" t="str">
        <f>IFERROR(INDEX('CASE MASTER'!$R$2:$R$495,MATCH("Case MAX Planck Plate 11: E1",'CASE MASTER'!$J$2:$J$495,0)),"")</f>
        <v/>
      </c>
      <c r="C127" s="9" t="str">
        <f>IFERROR(INDEX('CASE MASTER'!$R$2:$R$495,MATCH("Case MAX Planck Plate 11: E2",'CASE MASTER'!$J$2:$J$495,0)),"")</f>
        <v/>
      </c>
      <c r="D127" s="9" t="str">
        <f>IFERROR(INDEX('CASE MASTER'!$R$2:$R$495,MATCH("Case MAX Planck Plate 11: E3",'CASE MASTER'!$J$2:$J$495,0)),"")</f>
        <v/>
      </c>
      <c r="E127" s="9" t="str">
        <f>IFERROR(INDEX('CASE MASTER'!$R$2:$R$495,MATCH("Case MAX Planck Plate 11: E4",'CASE MASTER'!$J$2:$J$495,0)),"")</f>
        <v/>
      </c>
      <c r="F127" s="9" t="str">
        <f>IFERROR(INDEX('CASE MASTER'!$R$2:$R$495,MATCH("Case MAX Planck Plate 11: E5",'CASE MASTER'!$J$2:$J$495,0)),"")</f>
        <v/>
      </c>
      <c r="G127" s="9" t="str">
        <f>IFERROR(INDEX('CASE MASTER'!$R$2:$R$495,MATCH("Case MAX Planck Plate 11: E6",'CASE MASTER'!$J$2:$J$495,0)),"")</f>
        <v/>
      </c>
      <c r="H127" s="9" t="str">
        <f>IFERROR(INDEX('CASE MASTER'!$R$2:$R$495,MATCH("Case MAX Planck Plate 11: E7",'CASE MASTER'!$J$2:$J$495,0)),"")</f>
        <v/>
      </c>
      <c r="I127" s="9" t="str">
        <f>IFERROR(INDEX('CASE MASTER'!$R$2:$R$495,MATCH("Case MAX Planck Plate 11: E8",'CASE MASTER'!$J$2:$J$495,0)),"")</f>
        <v/>
      </c>
      <c r="J127" s="9" t="str">
        <f>IFERROR(INDEX('CASE MASTER'!$R$2:$R$495,MATCH("Case MAX Planck Plate 11: E9",'CASE MASTER'!$J$2:$J$495,0)),"")</f>
        <v/>
      </c>
      <c r="K127" s="9" t="str">
        <f>IFERROR(INDEX('CASE MASTER'!$R$2:$R$495,MATCH("Case MAX Planck Plate 11: E10",'CASE MASTER'!$J$2:$J$495,0)),"")</f>
        <v/>
      </c>
      <c r="L127" s="9" t="str">
        <f>IFERROR(INDEX('CASE MASTER'!$R$2:$R$495,MATCH("Case MAX Planck Plate 11: E11",'CASE MASTER'!$J$2:$J$495,0)),"")</f>
        <v/>
      </c>
      <c r="M127" s="9" t="str">
        <f>IFERROR(INDEX('CASE MASTER'!$R$2:$R$495,MATCH("Case MAX Planck Plate 11: E12",'CASE MASTER'!$J$2:$J$495,0)),"")</f>
        <v/>
      </c>
    </row>
    <row r="128" spans="1:13" ht="15" customHeight="1" x14ac:dyDescent="0.35">
      <c r="A128" s="8" t="s">
        <v>33</v>
      </c>
      <c r="B128" s="9" t="str">
        <f>IFERROR(INDEX('CASE MASTER'!$R$2:$R$495,MATCH("Case MAX Planck Plate 11: F1",'CASE MASTER'!$J$2:$J$495,0)),"")</f>
        <v/>
      </c>
      <c r="C128" s="9" t="str">
        <f>IFERROR(INDEX('CASE MASTER'!$R$2:$R$495,MATCH("Case MAX Planck Plate 11: F2",'CASE MASTER'!$J$2:$J$495,0)),"")</f>
        <v/>
      </c>
      <c r="D128" s="9" t="str">
        <f>IFERROR(INDEX('CASE MASTER'!$R$2:$R$495,MATCH("Case MAX Planck Plate 11: F3",'CASE MASTER'!$J$2:$J$495,0)),"")</f>
        <v/>
      </c>
      <c r="E128" s="9" t="str">
        <f>IFERROR(INDEX('CASE MASTER'!$R$2:$R$495,MATCH("Case MAX Planck Plate 11: F4",'CASE MASTER'!$J$2:$J$495,0)),"")</f>
        <v/>
      </c>
      <c r="F128" s="9" t="str">
        <f>IFERROR(INDEX('CASE MASTER'!$R$2:$R$495,MATCH("Case MAX Planck Plate 11: F5",'CASE MASTER'!$J$2:$J$495,0)),"")</f>
        <v/>
      </c>
      <c r="G128" s="9" t="str">
        <f>IFERROR(INDEX('CASE MASTER'!$R$2:$R$495,MATCH("Case MAX Planck Plate 11: F6",'CASE MASTER'!$J$2:$J$495,0)),"")</f>
        <v/>
      </c>
      <c r="H128" s="9" t="str">
        <f>IFERROR(INDEX('CASE MASTER'!$R$2:$R$495,MATCH("Case MAX Planck Plate 11: F7",'CASE MASTER'!$J$2:$J$495,0)),"")</f>
        <v/>
      </c>
      <c r="I128" s="9" t="str">
        <f>IFERROR(INDEX('CASE MASTER'!$R$2:$R$495,MATCH("Case MAX Planck Plate 11: F8",'CASE MASTER'!$J$2:$J$495,0)),"")</f>
        <v/>
      </c>
      <c r="J128" s="9" t="str">
        <f>IFERROR(INDEX('CASE MASTER'!$R$2:$R$495,MATCH("Case MAX Planck Plate 11: F9",'CASE MASTER'!$J$2:$J$495,0)),"")</f>
        <v/>
      </c>
      <c r="K128" s="9" t="str">
        <f>IFERROR(INDEX('CASE MASTER'!$R$2:$R$495,MATCH("Case MAX Planck Plate 11: F10",'CASE MASTER'!$J$2:$J$495,0)),"")</f>
        <v/>
      </c>
      <c r="L128" s="9" t="str">
        <f>IFERROR(INDEX('CASE MASTER'!$R$2:$R$495,MATCH("Case MAX Planck Plate 11: F11",'CASE MASTER'!$J$2:$J$495,0)),"")</f>
        <v/>
      </c>
      <c r="M128" s="9" t="str">
        <f>IFERROR(INDEX('CASE MASTER'!$R$2:$R$495,MATCH("Case MAX Planck Plate 11: F12",'CASE MASTER'!$J$2:$J$495,0)),"")</f>
        <v/>
      </c>
    </row>
    <row r="129" spans="1:13" ht="15" customHeight="1" x14ac:dyDescent="0.35">
      <c r="A129" s="8" t="s">
        <v>34</v>
      </c>
      <c r="B129" s="9" t="str">
        <f>IFERROR(INDEX('CASE MASTER'!$R$2:$R$495,MATCH("Case MAX Planck Plate 11: G1",'CASE MASTER'!$J$2:$J$495,0)),"")</f>
        <v/>
      </c>
      <c r="C129" s="9" t="str">
        <f>IFERROR(INDEX('CASE MASTER'!$R$2:$R$495,MATCH("Case MAX Planck Plate 11: G2",'CASE MASTER'!$J$2:$J$495,0)),"")</f>
        <v/>
      </c>
      <c r="D129" s="9" t="str">
        <f>IFERROR(INDEX('CASE MASTER'!$R$2:$R$495,MATCH("Case MAX Planck Plate 11: G3",'CASE MASTER'!$J$2:$J$495,0)),"")</f>
        <v/>
      </c>
      <c r="E129" s="9" t="str">
        <f>IFERROR(INDEX('CASE MASTER'!$R$2:$R$495,MATCH("Case MAX Planck Plate 11: G4",'CASE MASTER'!$J$2:$J$495,0)),"")</f>
        <v/>
      </c>
      <c r="F129" s="9" t="str">
        <f>IFERROR(INDEX('CASE MASTER'!$R$2:$R$495,MATCH("Case MAX Planck Plate 11: G5",'CASE MASTER'!$J$2:$J$495,0)),"")</f>
        <v/>
      </c>
      <c r="G129" s="9" t="str">
        <f>IFERROR(INDEX('CASE MASTER'!$R$2:$R$495,MATCH("Case MAX Planck Plate 11: G6",'CASE MASTER'!$J$2:$J$495,0)),"")</f>
        <v/>
      </c>
      <c r="H129" s="9" t="str">
        <f>IFERROR(INDEX('CASE MASTER'!$R$2:$R$495,MATCH("Case MAX Planck Plate 11: G7",'CASE MASTER'!$J$2:$J$495,0)),"")</f>
        <v/>
      </c>
      <c r="I129" s="9" t="str">
        <f>IFERROR(INDEX('CASE MASTER'!$R$2:$R$495,MATCH("Case MAX Planck Plate 11: G8",'CASE MASTER'!$J$2:$J$495,0)),"")</f>
        <v/>
      </c>
      <c r="J129" s="9" t="str">
        <f>IFERROR(INDEX('CASE MASTER'!$R$2:$R$495,MATCH("Case MAX Planck Plate 11: G9",'CASE MASTER'!$J$2:$J$495,0)),"")</f>
        <v/>
      </c>
      <c r="K129" s="9" t="str">
        <f>IFERROR(INDEX('CASE MASTER'!$R$2:$R$495,MATCH("Case MAX Planck Plate 11: G10",'CASE MASTER'!$J$2:$J$495,0)),"")</f>
        <v/>
      </c>
      <c r="L129" s="9" t="str">
        <f>IFERROR(INDEX('CASE MASTER'!$R$2:$R$495,MATCH("Case MAX Planck Plate 11: G11",'CASE MASTER'!$J$2:$J$495,0)),"")</f>
        <v/>
      </c>
      <c r="M129" s="9" t="str">
        <f>IFERROR(INDEX('CASE MASTER'!$R$2:$R$495,MATCH("Case MAX Planck Plate 11: G12",'CASE MASTER'!$J$2:$J$495,0)),"")</f>
        <v/>
      </c>
    </row>
    <row r="130" spans="1:13" ht="15" customHeight="1" x14ac:dyDescent="0.35">
      <c r="A130" s="8" t="s">
        <v>35</v>
      </c>
      <c r="B130" s="9" t="str">
        <f>IFERROR(INDEX('CASE MASTER'!$R$2:$R$495,MATCH("Case MAX Planck Plate 11: H1",'CASE MASTER'!$J$2:$J$495,0)),"")</f>
        <v/>
      </c>
      <c r="C130" s="9" t="str">
        <f>IFERROR(INDEX('CASE MASTER'!$R$2:$R$495,MATCH("Case MAX Planck Plate 11: H2",'CASE MASTER'!$J$2:$J$495,0)),"")</f>
        <v/>
      </c>
      <c r="D130" s="9" t="str">
        <f>IFERROR(INDEX('CASE MASTER'!$R$2:$R$495,MATCH("Case MAX Planck Plate 11: H3",'CASE MASTER'!$J$2:$J$495,0)),"")</f>
        <v/>
      </c>
      <c r="E130" s="9" t="str">
        <f>IFERROR(INDEX('CASE MASTER'!$R$2:$R$495,MATCH("Case MAX Planck Plate 11: H4",'CASE MASTER'!$J$2:$J$495,0)),"")</f>
        <v/>
      </c>
      <c r="F130" s="9" t="str">
        <f>IFERROR(INDEX('CASE MASTER'!$R$2:$R$495,MATCH("Case MAX Planck Plate 11: H5",'CASE MASTER'!$J$2:$J$495,0)),"")</f>
        <v/>
      </c>
      <c r="G130" s="9" t="str">
        <f>IFERROR(INDEX('CASE MASTER'!$R$2:$R$495,MATCH("Case MAX Planck Plate 11: H6",'CASE MASTER'!$J$2:$J$495,0)),"")</f>
        <v/>
      </c>
      <c r="H130" s="9" t="str">
        <f>IFERROR(INDEX('CASE MASTER'!$R$2:$R$495,MATCH("Case MAX Planck Plate 11: H7",'CASE MASTER'!$J$2:$J$495,0)),"")</f>
        <v/>
      </c>
      <c r="I130" s="9" t="str">
        <f>IFERROR(INDEX('CASE MASTER'!$R$2:$R$495,MATCH("Case MAX Planck Plate 11: H8",'CASE MASTER'!$J$2:$J$495,0)),"")</f>
        <v/>
      </c>
      <c r="J130" s="9" t="str">
        <f>IFERROR(INDEX('CASE MASTER'!$R$2:$R$495,MATCH("Case MAX Planck Plate 11: H9",'CASE MASTER'!$J$2:$J$495,0)),"")</f>
        <v/>
      </c>
      <c r="K130" s="9" t="str">
        <f>IFERROR(INDEX('CASE MASTER'!$R$2:$R$495,MATCH("Case MAX Planck Plate 11: H10",'CASE MASTER'!$J$2:$J$495,0)),"")</f>
        <v/>
      </c>
      <c r="L130" s="9" t="str">
        <f>IFERROR(INDEX('CASE MASTER'!$R$2:$R$495,MATCH("Case MAX Planck Plate 11: H11",'CASE MASTER'!$J$2:$J$495,0)),"")</f>
        <v/>
      </c>
      <c r="M130" s="9" t="str">
        <f>IFERROR(INDEX('CASE MASTER'!$R$2:$R$495,MATCH("Case MAX Planck Plate 11: H12",'CASE MASTER'!$J$2:$J$495,0)),"")</f>
        <v/>
      </c>
    </row>
    <row r="133" spans="1:13" ht="15" customHeight="1" x14ac:dyDescent="0.35">
      <c r="A133" s="12" t="s">
        <v>76</v>
      </c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</row>
    <row r="134" spans="1:13" ht="15" customHeight="1" x14ac:dyDescent="0.35">
      <c r="B134" s="8">
        <v>1</v>
      </c>
      <c r="C134" s="8">
        <v>2</v>
      </c>
      <c r="D134" s="8">
        <v>3</v>
      </c>
      <c r="E134" s="8">
        <v>4</v>
      </c>
      <c r="F134" s="8">
        <v>5</v>
      </c>
      <c r="G134" s="8">
        <v>6</v>
      </c>
      <c r="H134" s="8">
        <v>7</v>
      </c>
      <c r="I134" s="8">
        <v>8</v>
      </c>
      <c r="J134" s="8">
        <v>9</v>
      </c>
      <c r="K134" s="8">
        <v>10</v>
      </c>
      <c r="L134" s="8">
        <v>11</v>
      </c>
      <c r="M134" s="8">
        <v>12</v>
      </c>
    </row>
    <row r="135" spans="1:13" ht="15" customHeight="1" x14ac:dyDescent="0.35">
      <c r="A135" s="8" t="s">
        <v>28</v>
      </c>
      <c r="B135" s="9" t="str">
        <f>IFERROR(INDEX('CASE MASTER'!$R$2:$R$495,MATCH("Case MAX Planck Plate 12: A1",'CASE MASTER'!$J$2:$J$495,0)),"")</f>
        <v/>
      </c>
      <c r="C135" s="9" t="str">
        <f>IFERROR(INDEX('CASE MASTER'!$R$2:$R$495,MATCH("Case MAX Planck Plate 12: A2",'CASE MASTER'!$J$2:$J$495,0)),"")</f>
        <v/>
      </c>
      <c r="D135" s="9" t="str">
        <f>IFERROR(INDEX('CASE MASTER'!$R$2:$R$495,MATCH("Case MAX Planck Plate 12: A3",'CASE MASTER'!$J$2:$J$495,0)),"")</f>
        <v/>
      </c>
      <c r="E135" s="9" t="str">
        <f>IFERROR(INDEX('CASE MASTER'!$R$2:$R$495,MATCH("Case MAX Planck Plate 12: A4",'CASE MASTER'!$J$2:$J$495,0)),"")</f>
        <v/>
      </c>
      <c r="F135" s="9" t="str">
        <f>IFERROR(INDEX('CASE MASTER'!$R$2:$R$495,MATCH("Case MAX Planck Plate 12: A5",'CASE MASTER'!$J$2:$J$495,0)),"")</f>
        <v/>
      </c>
      <c r="G135" s="9" t="str">
        <f>IFERROR(INDEX('CASE MASTER'!$R$2:$R$495,MATCH("Case MAX Planck Plate 12: A6",'CASE MASTER'!$J$2:$J$495,0)),"")</f>
        <v/>
      </c>
      <c r="H135" s="9" t="str">
        <f>IFERROR(INDEX('CASE MASTER'!$R$2:$R$495,MATCH("Case MAX Planck Plate 12: A7",'CASE MASTER'!$J$2:$J$495,0)),"")</f>
        <v/>
      </c>
      <c r="I135" s="9" t="str">
        <f>IFERROR(INDEX('CASE MASTER'!$R$2:$R$495,MATCH("Case MAX Planck Plate 12: A8",'CASE MASTER'!$J$2:$J$495,0)),"")</f>
        <v/>
      </c>
      <c r="J135" s="9" t="str">
        <f>IFERROR(INDEX('CASE MASTER'!$R$2:$R$495,MATCH("Case MAX Planck Plate 12: A9",'CASE MASTER'!$J$2:$J$495,0)),"")</f>
        <v/>
      </c>
      <c r="K135" s="9" t="str">
        <f>IFERROR(INDEX('CASE MASTER'!$R$2:$R$495,MATCH("Case MAX Planck Plate 12: A10",'CASE MASTER'!$J$2:$J$495,0)),"")</f>
        <v/>
      </c>
      <c r="L135" s="9" t="str">
        <f>IFERROR(INDEX('CASE MASTER'!$R$2:$R$495,MATCH("Case MAX Planck Plate 12: A11",'CASE MASTER'!$J$2:$J$495,0)),"")</f>
        <v/>
      </c>
      <c r="M135" s="9" t="str">
        <f>IFERROR(INDEX('CASE MASTER'!$R$2:$R$495,MATCH("Case MAX Planck Plate 12: A12",'CASE MASTER'!$J$2:$J$495,0)),"")</f>
        <v/>
      </c>
    </row>
    <row r="136" spans="1:13" ht="15" customHeight="1" x14ac:dyDescent="0.35">
      <c r="A136" s="8" t="s">
        <v>29</v>
      </c>
      <c r="B136" s="9" t="str">
        <f>IFERROR(INDEX('CASE MASTER'!$R$2:$R$495,MATCH("Case MAX Planck Plate 12: B1",'CASE MASTER'!$J$2:$J$495,0)),"")</f>
        <v/>
      </c>
      <c r="C136" s="9" t="str">
        <f>IFERROR(INDEX('CASE MASTER'!$R$2:$R$495,MATCH("Case MAX Planck Plate 12: B2",'CASE MASTER'!$J$2:$J$495,0)),"")</f>
        <v/>
      </c>
      <c r="D136" s="9" t="str">
        <f>IFERROR(INDEX('CASE MASTER'!$R$2:$R$495,MATCH("Case MAX Planck Plate 12: B3",'CASE MASTER'!$J$2:$J$495,0)),"")</f>
        <v/>
      </c>
      <c r="E136" s="9" t="str">
        <f>IFERROR(INDEX('CASE MASTER'!$R$2:$R$495,MATCH("Case MAX Planck Plate 12: B4",'CASE MASTER'!$J$2:$J$495,0)),"")</f>
        <v/>
      </c>
      <c r="F136" s="9" t="str">
        <f>IFERROR(INDEX('CASE MASTER'!$R$2:$R$495,MATCH("Case MAX Planck Plate 12: B5",'CASE MASTER'!$J$2:$J$495,0)),"")</f>
        <v/>
      </c>
      <c r="G136" s="9" t="str">
        <f>IFERROR(INDEX('CASE MASTER'!$R$2:$R$495,MATCH("Case MAX Planck Plate 12: B6",'CASE MASTER'!$J$2:$J$495,0)),"")</f>
        <v/>
      </c>
      <c r="H136" s="9" t="str">
        <f>IFERROR(INDEX('CASE MASTER'!$R$2:$R$495,MATCH("Case MAX Planck Plate 12: B7",'CASE MASTER'!$J$2:$J$495,0)),"")</f>
        <v/>
      </c>
      <c r="I136" s="9" t="str">
        <f>IFERROR(INDEX('CASE MASTER'!$R$2:$R$495,MATCH("Case MAX Planck Plate 12: B8",'CASE MASTER'!$J$2:$J$495,0)),"")</f>
        <v/>
      </c>
      <c r="J136" s="9" t="str">
        <f>IFERROR(INDEX('CASE MASTER'!$R$2:$R$495,MATCH("Case MAX Planck Plate 12: B9",'CASE MASTER'!$J$2:$J$495,0)),"")</f>
        <v/>
      </c>
      <c r="K136" s="9" t="str">
        <f>IFERROR(INDEX('CASE MASTER'!$R$2:$R$495,MATCH("Case MAX Planck Plate 12: B10",'CASE MASTER'!$J$2:$J$495,0)),"")</f>
        <v/>
      </c>
      <c r="L136" s="9" t="str">
        <f>IFERROR(INDEX('CASE MASTER'!$R$2:$R$495,MATCH("Case MAX Planck Plate 12: B11",'CASE MASTER'!$J$2:$J$495,0)),"")</f>
        <v/>
      </c>
      <c r="M136" s="9" t="str">
        <f>IFERROR(INDEX('CASE MASTER'!$R$2:$R$495,MATCH("Case MAX Planck Plate 12: B12",'CASE MASTER'!$J$2:$J$495,0)),"")</f>
        <v/>
      </c>
    </row>
    <row r="137" spans="1:13" ht="15" customHeight="1" x14ac:dyDescent="0.35">
      <c r="A137" s="8" t="s">
        <v>30</v>
      </c>
      <c r="B137" s="9" t="str">
        <f>IFERROR(INDEX('CASE MASTER'!$R$2:$R$495,MATCH("Case MAX Planck Plate 12: C1",'CASE MASTER'!$J$2:$J$495,0)),"")</f>
        <v/>
      </c>
      <c r="C137" s="9" t="str">
        <f>IFERROR(INDEX('CASE MASTER'!$R$2:$R$495,MATCH("Case MAX Planck Plate 12: C2",'CASE MASTER'!$J$2:$J$495,0)),"")</f>
        <v/>
      </c>
      <c r="D137" s="9" t="str">
        <f>IFERROR(INDEX('CASE MASTER'!$R$2:$R$495,MATCH("Case MAX Planck Plate 12: C3",'CASE MASTER'!$J$2:$J$495,0)),"")</f>
        <v/>
      </c>
      <c r="E137" s="9" t="str">
        <f>IFERROR(INDEX('CASE MASTER'!$R$2:$R$495,MATCH("Case MAX Planck Plate 12: C4",'CASE MASTER'!$J$2:$J$495,0)),"")</f>
        <v/>
      </c>
      <c r="F137" s="9" t="str">
        <f>IFERROR(INDEX('CASE MASTER'!$R$2:$R$495,MATCH("Case MAX Planck Plate 12: C5",'CASE MASTER'!$J$2:$J$495,0)),"")</f>
        <v/>
      </c>
      <c r="G137" s="9" t="str">
        <f>IFERROR(INDEX('CASE MASTER'!$R$2:$R$495,MATCH("Case MAX Planck Plate 12: C6",'CASE MASTER'!$J$2:$J$495,0)),"")</f>
        <v/>
      </c>
      <c r="H137" s="9" t="str">
        <f>IFERROR(INDEX('CASE MASTER'!$R$2:$R$495,MATCH("Case MAX Planck Plate 12: C7",'CASE MASTER'!$J$2:$J$495,0)),"")</f>
        <v/>
      </c>
      <c r="I137" s="9" t="str">
        <f>IFERROR(INDEX('CASE MASTER'!$R$2:$R$495,MATCH("Case MAX Planck Plate 12: C8",'CASE MASTER'!$J$2:$J$495,0)),"")</f>
        <v/>
      </c>
      <c r="J137" s="9" t="str">
        <f>IFERROR(INDEX('CASE MASTER'!$R$2:$R$495,MATCH("Case MAX Planck Plate 12: C9",'CASE MASTER'!$J$2:$J$495,0)),"")</f>
        <v/>
      </c>
      <c r="K137" s="9" t="str">
        <f>IFERROR(INDEX('CASE MASTER'!$R$2:$R$495,MATCH("Case MAX Planck Plate 12: C10",'CASE MASTER'!$J$2:$J$495,0)),"")</f>
        <v/>
      </c>
      <c r="L137" s="9" t="str">
        <f>IFERROR(INDEX('CASE MASTER'!$R$2:$R$495,MATCH("Case MAX Planck Plate 12: C11",'CASE MASTER'!$J$2:$J$495,0)),"")</f>
        <v/>
      </c>
      <c r="M137" s="9" t="str">
        <f>IFERROR(INDEX('CASE MASTER'!$R$2:$R$495,MATCH("Case MAX Planck Plate 12: C12",'CASE MASTER'!$J$2:$J$495,0)),"")</f>
        <v/>
      </c>
    </row>
    <row r="138" spans="1:13" ht="15" customHeight="1" x14ac:dyDescent="0.35">
      <c r="A138" s="8" t="s">
        <v>31</v>
      </c>
      <c r="B138" s="9" t="str">
        <f>IFERROR(INDEX('CASE MASTER'!$R$2:$R$495,MATCH("Case MAX Planck Plate 12: D1",'CASE MASTER'!$J$2:$J$495,0)),"")</f>
        <v/>
      </c>
      <c r="C138" s="9" t="str">
        <f>IFERROR(INDEX('CASE MASTER'!$R$2:$R$495,MATCH("Case MAX Planck Plate 12: D2",'CASE MASTER'!$J$2:$J$495,0)),"")</f>
        <v/>
      </c>
      <c r="D138" s="9" t="str">
        <f>IFERROR(INDEX('CASE MASTER'!$R$2:$R$495,MATCH("Case MAX Planck Plate 12: D3",'CASE MASTER'!$J$2:$J$495,0)),"")</f>
        <v/>
      </c>
      <c r="E138" s="9" t="str">
        <f>IFERROR(INDEX('CASE MASTER'!$R$2:$R$495,MATCH("Case MAX Planck Plate 12: D4",'CASE MASTER'!$J$2:$J$495,0)),"")</f>
        <v/>
      </c>
      <c r="F138" s="9" t="str">
        <f>IFERROR(INDEX('CASE MASTER'!$R$2:$R$495,MATCH("Case MAX Planck Plate 12: D5",'CASE MASTER'!$J$2:$J$495,0)),"")</f>
        <v/>
      </c>
      <c r="G138" s="9" t="str">
        <f>IFERROR(INDEX('CASE MASTER'!$R$2:$R$495,MATCH("Case MAX Planck Plate 12: D6",'CASE MASTER'!$J$2:$J$495,0)),"")</f>
        <v/>
      </c>
      <c r="H138" s="9" t="str">
        <f>IFERROR(INDEX('CASE MASTER'!$R$2:$R$495,MATCH("Case MAX Planck Plate 12: D7",'CASE MASTER'!$J$2:$J$495,0)),"")</f>
        <v/>
      </c>
      <c r="I138" s="9" t="str">
        <f>IFERROR(INDEX('CASE MASTER'!$R$2:$R$495,MATCH("Case MAX Planck Plate 12: D8",'CASE MASTER'!$J$2:$J$495,0)),"")</f>
        <v/>
      </c>
      <c r="J138" s="9" t="str">
        <f>IFERROR(INDEX('CASE MASTER'!$R$2:$R$495,MATCH("Case MAX Planck Plate 12: D9",'CASE MASTER'!$J$2:$J$495,0)),"")</f>
        <v/>
      </c>
      <c r="K138" s="9" t="str">
        <f>IFERROR(INDEX('CASE MASTER'!$R$2:$R$495,MATCH("Case MAX Planck Plate 12: D10",'CASE MASTER'!$J$2:$J$495,0)),"")</f>
        <v/>
      </c>
      <c r="L138" s="9" t="str">
        <f>IFERROR(INDEX('CASE MASTER'!$R$2:$R$495,MATCH("Case MAX Planck Plate 12: D11",'CASE MASTER'!$J$2:$J$495,0)),"")</f>
        <v/>
      </c>
      <c r="M138" s="9" t="str">
        <f>IFERROR(INDEX('CASE MASTER'!$R$2:$R$495,MATCH("Case MAX Planck Plate 12: D12",'CASE MASTER'!$J$2:$J$495,0)),"")</f>
        <v/>
      </c>
    </row>
    <row r="139" spans="1:13" ht="15" customHeight="1" x14ac:dyDescent="0.35">
      <c r="A139" s="8" t="s">
        <v>32</v>
      </c>
      <c r="B139" s="9" t="str">
        <f>IFERROR(INDEX('CASE MASTER'!$R$2:$R$495,MATCH("Case MAX Planck Plate 12: E1",'CASE MASTER'!$J$2:$J$495,0)),"")</f>
        <v/>
      </c>
      <c r="C139" s="9" t="str">
        <f>IFERROR(INDEX('CASE MASTER'!$R$2:$R$495,MATCH("Case MAX Planck Plate 12: E2",'CASE MASTER'!$J$2:$J$495,0)),"")</f>
        <v/>
      </c>
      <c r="D139" s="9" t="str">
        <f>IFERROR(INDEX('CASE MASTER'!$R$2:$R$495,MATCH("Case MAX Planck Plate 12: E3",'CASE MASTER'!$J$2:$J$495,0)),"")</f>
        <v/>
      </c>
      <c r="E139" s="9" t="str">
        <f>IFERROR(INDEX('CASE MASTER'!$R$2:$R$495,MATCH("Case MAX Planck Plate 12: E4",'CASE MASTER'!$J$2:$J$495,0)),"")</f>
        <v/>
      </c>
      <c r="F139" s="9" t="str">
        <f>IFERROR(INDEX('CASE MASTER'!$R$2:$R$495,MATCH("Case MAX Planck Plate 12: E5",'CASE MASTER'!$J$2:$J$495,0)),"")</f>
        <v/>
      </c>
      <c r="G139" s="9" t="str">
        <f>IFERROR(INDEX('CASE MASTER'!$R$2:$R$495,MATCH("Case MAX Planck Plate 12: E6",'CASE MASTER'!$J$2:$J$495,0)),"")</f>
        <v/>
      </c>
      <c r="H139" s="9" t="str">
        <f>IFERROR(INDEX('CASE MASTER'!$R$2:$R$495,MATCH("Case MAX Planck Plate 12: E7",'CASE MASTER'!$J$2:$J$495,0)),"")</f>
        <v/>
      </c>
      <c r="I139" s="9" t="str">
        <f>IFERROR(INDEX('CASE MASTER'!$R$2:$R$495,MATCH("Case MAX Planck Plate 12: E8",'CASE MASTER'!$J$2:$J$495,0)),"")</f>
        <v/>
      </c>
      <c r="J139" s="9" t="str">
        <f>IFERROR(INDEX('CASE MASTER'!$R$2:$R$495,MATCH("Case MAX Planck Plate 12: E9",'CASE MASTER'!$J$2:$J$495,0)),"")</f>
        <v/>
      </c>
      <c r="K139" s="9" t="str">
        <f>IFERROR(INDEX('CASE MASTER'!$R$2:$R$495,MATCH("Case MAX Planck Plate 12: E10",'CASE MASTER'!$J$2:$J$495,0)),"")</f>
        <v/>
      </c>
      <c r="L139" s="9" t="str">
        <f>IFERROR(INDEX('CASE MASTER'!$R$2:$R$495,MATCH("Case MAX Planck Plate 12: E11",'CASE MASTER'!$J$2:$J$495,0)),"")</f>
        <v/>
      </c>
      <c r="M139" s="9" t="str">
        <f>IFERROR(INDEX('CASE MASTER'!$R$2:$R$495,MATCH("Case MAX Planck Plate 12: E12",'CASE MASTER'!$J$2:$J$495,0)),"")</f>
        <v/>
      </c>
    </row>
    <row r="140" spans="1:13" ht="15" customHeight="1" x14ac:dyDescent="0.35">
      <c r="A140" s="8" t="s">
        <v>33</v>
      </c>
      <c r="B140" s="9" t="str">
        <f>IFERROR(INDEX('CASE MASTER'!$R$2:$R$495,MATCH("Case MAX Planck Plate 12: F1",'CASE MASTER'!$J$2:$J$495,0)),"")</f>
        <v/>
      </c>
      <c r="C140" s="9" t="str">
        <f>IFERROR(INDEX('CASE MASTER'!$R$2:$R$495,MATCH("Case MAX Planck Plate 12: F2",'CASE MASTER'!$J$2:$J$495,0)),"")</f>
        <v/>
      </c>
      <c r="D140" s="9" t="str">
        <f>IFERROR(INDEX('CASE MASTER'!$R$2:$R$495,MATCH("Case MAX Planck Plate 12: F3",'CASE MASTER'!$J$2:$J$495,0)),"")</f>
        <v/>
      </c>
      <c r="E140" s="9" t="str">
        <f>IFERROR(INDEX('CASE MASTER'!$R$2:$R$495,MATCH("Case MAX Planck Plate 12: F4",'CASE MASTER'!$J$2:$J$495,0)),"")</f>
        <v/>
      </c>
      <c r="F140" s="9" t="str">
        <f>IFERROR(INDEX('CASE MASTER'!$R$2:$R$495,MATCH("Case MAX Planck Plate 12: F5",'CASE MASTER'!$J$2:$J$495,0)),"")</f>
        <v/>
      </c>
      <c r="G140" s="9" t="str">
        <f>IFERROR(INDEX('CASE MASTER'!$R$2:$R$495,MATCH("Case MAX Planck Plate 12: F6",'CASE MASTER'!$J$2:$J$495,0)),"")</f>
        <v/>
      </c>
      <c r="H140" s="9" t="str">
        <f>IFERROR(INDEX('CASE MASTER'!$R$2:$R$495,MATCH("Case MAX Planck Plate 12: F7",'CASE MASTER'!$J$2:$J$495,0)),"")</f>
        <v/>
      </c>
      <c r="I140" s="9" t="str">
        <f>IFERROR(INDEX('CASE MASTER'!$R$2:$R$495,MATCH("Case MAX Planck Plate 12: F8",'CASE MASTER'!$J$2:$J$495,0)),"")</f>
        <v/>
      </c>
      <c r="J140" s="9" t="str">
        <f>IFERROR(INDEX('CASE MASTER'!$R$2:$R$495,MATCH("Case MAX Planck Plate 12: F9",'CASE MASTER'!$J$2:$J$495,0)),"")</f>
        <v/>
      </c>
      <c r="K140" s="9" t="str">
        <f>IFERROR(INDEX('CASE MASTER'!$R$2:$R$495,MATCH("Case MAX Planck Plate 12: F10",'CASE MASTER'!$J$2:$J$495,0)),"")</f>
        <v/>
      </c>
      <c r="L140" s="9" t="str">
        <f>IFERROR(INDEX('CASE MASTER'!$R$2:$R$495,MATCH("Case MAX Planck Plate 12: F11",'CASE MASTER'!$J$2:$J$495,0)),"")</f>
        <v/>
      </c>
      <c r="M140" s="9" t="str">
        <f>IFERROR(INDEX('CASE MASTER'!$R$2:$R$495,MATCH("Case MAX Planck Plate 12: F12",'CASE MASTER'!$J$2:$J$495,0)),"")</f>
        <v/>
      </c>
    </row>
    <row r="141" spans="1:13" ht="15" customHeight="1" x14ac:dyDescent="0.35">
      <c r="A141" s="8" t="s">
        <v>34</v>
      </c>
      <c r="B141" s="9" t="str">
        <f>IFERROR(INDEX('CASE MASTER'!$R$2:$R$495,MATCH("Case MAX Planck Plate 12: G1",'CASE MASTER'!$J$2:$J$495,0)),"")</f>
        <v/>
      </c>
      <c r="C141" s="9" t="str">
        <f>IFERROR(INDEX('CASE MASTER'!$R$2:$R$495,MATCH("Case MAX Planck Plate 12: G2",'CASE MASTER'!$J$2:$J$495,0)),"")</f>
        <v/>
      </c>
      <c r="D141" s="9" t="str">
        <f>IFERROR(INDEX('CASE MASTER'!$R$2:$R$495,MATCH("Case MAX Planck Plate 12: G3",'CASE MASTER'!$J$2:$J$495,0)),"")</f>
        <v/>
      </c>
      <c r="E141" s="9" t="str">
        <f>IFERROR(INDEX('CASE MASTER'!$R$2:$R$495,MATCH("Case MAX Planck Plate 12: G4",'CASE MASTER'!$J$2:$J$495,0)),"")</f>
        <v/>
      </c>
      <c r="F141" s="9" t="str">
        <f>IFERROR(INDEX('CASE MASTER'!$R$2:$R$495,MATCH("Case MAX Planck Plate 12: G5",'CASE MASTER'!$J$2:$J$495,0)),"")</f>
        <v/>
      </c>
      <c r="G141" s="9" t="str">
        <f>IFERROR(INDEX('CASE MASTER'!$R$2:$R$495,MATCH("Case MAX Planck Plate 12: G6",'CASE MASTER'!$J$2:$J$495,0)),"")</f>
        <v/>
      </c>
      <c r="H141" s="9" t="str">
        <f>IFERROR(INDEX('CASE MASTER'!$R$2:$R$495,MATCH("Case MAX Planck Plate 12: G7",'CASE MASTER'!$J$2:$J$495,0)),"")</f>
        <v/>
      </c>
      <c r="I141" s="9" t="str">
        <f>IFERROR(INDEX('CASE MASTER'!$R$2:$R$495,MATCH("Case MAX Planck Plate 12: G8",'CASE MASTER'!$J$2:$J$495,0)),"")</f>
        <v/>
      </c>
      <c r="J141" s="9" t="str">
        <f>IFERROR(INDEX('CASE MASTER'!$R$2:$R$495,MATCH("Case MAX Planck Plate 12: G9",'CASE MASTER'!$J$2:$J$495,0)),"")</f>
        <v/>
      </c>
      <c r="K141" s="9" t="str">
        <f>IFERROR(INDEX('CASE MASTER'!$R$2:$R$495,MATCH("Case MAX Planck Plate 12: G10",'CASE MASTER'!$J$2:$J$495,0)),"")</f>
        <v/>
      </c>
      <c r="L141" s="9" t="str">
        <f>IFERROR(INDEX('CASE MASTER'!$R$2:$R$495,MATCH("Case MAX Planck Plate 12: G11",'CASE MASTER'!$J$2:$J$495,0)),"")</f>
        <v/>
      </c>
      <c r="M141" s="9" t="str">
        <f>IFERROR(INDEX('CASE MASTER'!$R$2:$R$495,MATCH("Case MAX Planck Plate 12: G12",'CASE MASTER'!$J$2:$J$495,0)),"")</f>
        <v/>
      </c>
    </row>
    <row r="142" spans="1:13" ht="15" customHeight="1" x14ac:dyDescent="0.35">
      <c r="A142" s="8" t="s">
        <v>35</v>
      </c>
      <c r="B142" s="9" t="str">
        <f>IFERROR(INDEX('CASE MASTER'!$R$2:$R$495,MATCH("Case MAX Planck Plate 12: H1",'CASE MASTER'!$J$2:$J$495,0)),"")</f>
        <v/>
      </c>
      <c r="C142" s="9" t="str">
        <f>IFERROR(INDEX('CASE MASTER'!$R$2:$R$495,MATCH("Case MAX Planck Plate 12: H2",'CASE MASTER'!$J$2:$J$495,0)),"")</f>
        <v/>
      </c>
      <c r="D142" s="9" t="str">
        <f>IFERROR(INDEX('CASE MASTER'!$R$2:$R$495,MATCH("Case MAX Planck Plate 12: H3",'CASE MASTER'!$J$2:$J$495,0)),"")</f>
        <v/>
      </c>
      <c r="E142" s="9" t="str">
        <f>IFERROR(INDEX('CASE MASTER'!$R$2:$R$495,MATCH("Case MAX Planck Plate 12: H4",'CASE MASTER'!$J$2:$J$495,0)),"")</f>
        <v/>
      </c>
      <c r="F142" s="9" t="str">
        <f>IFERROR(INDEX('CASE MASTER'!$R$2:$R$495,MATCH("Case MAX Planck Plate 12: H5",'CASE MASTER'!$J$2:$J$495,0)),"")</f>
        <v/>
      </c>
      <c r="G142" s="9" t="str">
        <f>IFERROR(INDEX('CASE MASTER'!$R$2:$R$495,MATCH("Case MAX Planck Plate 12: H6",'CASE MASTER'!$J$2:$J$495,0)),"")</f>
        <v/>
      </c>
      <c r="H142" s="9" t="str">
        <f>IFERROR(INDEX('CASE MASTER'!$R$2:$R$495,MATCH("Case MAX Planck Plate 12: H7",'CASE MASTER'!$J$2:$J$495,0)),"")</f>
        <v/>
      </c>
      <c r="I142" s="9" t="str">
        <f>IFERROR(INDEX('CASE MASTER'!$R$2:$R$495,MATCH("Case MAX Planck Plate 12: H8",'CASE MASTER'!$J$2:$J$495,0)),"")</f>
        <v/>
      </c>
      <c r="J142" s="9" t="str">
        <f>IFERROR(INDEX('CASE MASTER'!$R$2:$R$495,MATCH("Case MAX Planck Plate 12: H9",'CASE MASTER'!$J$2:$J$495,0)),"")</f>
        <v/>
      </c>
      <c r="K142" s="9" t="str">
        <f>IFERROR(INDEX('CASE MASTER'!$R$2:$R$495,MATCH("Case MAX Planck Plate 12: H10",'CASE MASTER'!$J$2:$J$495,0)),"")</f>
        <v/>
      </c>
      <c r="L142" s="9" t="str">
        <f>IFERROR(INDEX('CASE MASTER'!$R$2:$R$495,MATCH("Case MAX Planck Plate 12: H11",'CASE MASTER'!$J$2:$J$495,0)),"")</f>
        <v/>
      </c>
      <c r="M142" s="9" t="str">
        <f>IFERROR(INDEX('CASE MASTER'!$R$2:$R$495,MATCH("Case MAX Planck Plate 12: H12",'CASE MASTER'!$J$2:$J$495,0)),"")</f>
        <v/>
      </c>
    </row>
    <row r="145" spans="1:13" ht="15" customHeight="1" x14ac:dyDescent="0.35">
      <c r="A145" s="12" t="s">
        <v>77</v>
      </c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</row>
    <row r="146" spans="1:13" ht="15" customHeight="1" x14ac:dyDescent="0.35">
      <c r="B146" s="8">
        <v>1</v>
      </c>
      <c r="C146" s="8">
        <v>2</v>
      </c>
      <c r="D146" s="8">
        <v>3</v>
      </c>
      <c r="E146" s="8">
        <v>4</v>
      </c>
      <c r="F146" s="8">
        <v>5</v>
      </c>
      <c r="G146" s="8">
        <v>6</v>
      </c>
      <c r="H146" s="8">
        <v>7</v>
      </c>
      <c r="I146" s="8">
        <v>8</v>
      </c>
      <c r="J146" s="8">
        <v>9</v>
      </c>
      <c r="K146" s="8">
        <v>10</v>
      </c>
      <c r="L146" s="8">
        <v>11</v>
      </c>
      <c r="M146" s="8">
        <v>12</v>
      </c>
    </row>
    <row r="147" spans="1:13" ht="15" customHeight="1" x14ac:dyDescent="0.35">
      <c r="A147" s="8" t="s">
        <v>28</v>
      </c>
      <c r="B147" s="9" t="str">
        <f>IFERROR(INDEX('CASE MASTER'!$R$2:$R$495,MATCH("Case MAX Planck Plate 13: A1",'CASE MASTER'!$J$2:$J$495,0)),"")</f>
        <v/>
      </c>
      <c r="C147" s="9" t="str">
        <f>IFERROR(INDEX('CASE MASTER'!$R$2:$R$495,MATCH("Case MAX Planck Plate 13: A2",'CASE MASTER'!$J$2:$J$495,0)),"")</f>
        <v/>
      </c>
      <c r="D147" s="9" t="str">
        <f>IFERROR(INDEX('CASE MASTER'!$R$2:$R$495,MATCH("Case MAX Planck Plate 13: A3",'CASE MASTER'!$J$2:$J$495,0)),"")</f>
        <v/>
      </c>
      <c r="E147" s="9" t="str">
        <f>IFERROR(INDEX('CASE MASTER'!$R$2:$R$495,MATCH("Case MAX Planck Plate 13: A4",'CASE MASTER'!$J$2:$J$495,0)),"")</f>
        <v/>
      </c>
      <c r="F147" s="9" t="str">
        <f>IFERROR(INDEX('CASE MASTER'!$R$2:$R$495,MATCH("Case MAX Planck Plate 13: A5",'CASE MASTER'!$J$2:$J$495,0)),"")</f>
        <v/>
      </c>
      <c r="G147" s="9" t="str">
        <f>IFERROR(INDEX('CASE MASTER'!$R$2:$R$495,MATCH("Case MAX Planck Plate 13: A6",'CASE MASTER'!$J$2:$J$495,0)),"")</f>
        <v/>
      </c>
      <c r="H147" s="9" t="str">
        <f>IFERROR(INDEX('CASE MASTER'!$R$2:$R$495,MATCH("Case MAX Planck Plate 13: A7",'CASE MASTER'!$J$2:$J$495,0)),"")</f>
        <v/>
      </c>
      <c r="I147" s="9" t="str">
        <f>IFERROR(INDEX('CASE MASTER'!$R$2:$R$495,MATCH("Case MAX Planck Plate 13: A8",'CASE MASTER'!$J$2:$J$495,0)),"")</f>
        <v/>
      </c>
      <c r="J147" s="9" t="str">
        <f>IFERROR(INDEX('CASE MASTER'!$R$2:$R$495,MATCH("Case MAX Planck Plate 13: A9",'CASE MASTER'!$J$2:$J$495,0)),"")</f>
        <v/>
      </c>
      <c r="K147" s="9" t="str">
        <f>IFERROR(INDEX('CASE MASTER'!$R$2:$R$495,MATCH("Case MAX Planck Plate 13: A10",'CASE MASTER'!$J$2:$J$495,0)),"")</f>
        <v/>
      </c>
      <c r="L147" s="9" t="str">
        <f>IFERROR(INDEX('CASE MASTER'!$R$2:$R$495,MATCH("Case MAX Planck Plate 13: A11",'CASE MASTER'!$J$2:$J$495,0)),"")</f>
        <v/>
      </c>
      <c r="M147" s="9" t="str">
        <f>IFERROR(INDEX('CASE MASTER'!$R$2:$R$495,MATCH("Case MAX Planck Plate 13: A12",'CASE MASTER'!$J$2:$J$495,0)),"")</f>
        <v/>
      </c>
    </row>
    <row r="148" spans="1:13" ht="15" customHeight="1" x14ac:dyDescent="0.35">
      <c r="A148" s="8" t="s">
        <v>29</v>
      </c>
      <c r="B148" s="9" t="str">
        <f>IFERROR(INDEX('CASE MASTER'!$R$2:$R$495,MATCH("Case MAX Planck Plate 13: B1",'CASE MASTER'!$J$2:$J$495,0)),"")</f>
        <v/>
      </c>
      <c r="C148" s="9" t="str">
        <f>IFERROR(INDEX('CASE MASTER'!$R$2:$R$495,MATCH("Case MAX Planck Plate 13: B2",'CASE MASTER'!$J$2:$J$495,0)),"")</f>
        <v/>
      </c>
      <c r="D148" s="9" t="str">
        <f>IFERROR(INDEX('CASE MASTER'!$R$2:$R$495,MATCH("Case MAX Planck Plate 13: B3",'CASE MASTER'!$J$2:$J$495,0)),"")</f>
        <v/>
      </c>
      <c r="E148" s="9" t="str">
        <f>IFERROR(INDEX('CASE MASTER'!$R$2:$R$495,MATCH("Case MAX Planck Plate 13: B4",'CASE MASTER'!$J$2:$J$495,0)),"")</f>
        <v/>
      </c>
      <c r="F148" s="9" t="str">
        <f>IFERROR(INDEX('CASE MASTER'!$R$2:$R$495,MATCH("Case MAX Planck Plate 13: B5",'CASE MASTER'!$J$2:$J$495,0)),"")</f>
        <v/>
      </c>
      <c r="G148" s="9" t="str">
        <f>IFERROR(INDEX('CASE MASTER'!$R$2:$R$495,MATCH("Case MAX Planck Plate 13: B6",'CASE MASTER'!$J$2:$J$495,0)),"")</f>
        <v/>
      </c>
      <c r="H148" s="9" t="str">
        <f>IFERROR(INDEX('CASE MASTER'!$R$2:$R$495,MATCH("Case MAX Planck Plate 13: B7",'CASE MASTER'!$J$2:$J$495,0)),"")</f>
        <v/>
      </c>
      <c r="I148" s="9" t="str">
        <f>IFERROR(INDEX('CASE MASTER'!$R$2:$R$495,MATCH("Case MAX Planck Plate 13: B8",'CASE MASTER'!$J$2:$J$495,0)),"")</f>
        <v/>
      </c>
      <c r="J148" s="9" t="str">
        <f>IFERROR(INDEX('CASE MASTER'!$R$2:$R$495,MATCH("Case MAX Planck Plate 13: B9",'CASE MASTER'!$J$2:$J$495,0)),"")</f>
        <v/>
      </c>
      <c r="K148" s="9" t="str">
        <f>IFERROR(INDEX('CASE MASTER'!$R$2:$R$495,MATCH("Case MAX Planck Plate 13: B10",'CASE MASTER'!$J$2:$J$495,0)),"")</f>
        <v/>
      </c>
      <c r="L148" s="9" t="str">
        <f>IFERROR(INDEX('CASE MASTER'!$R$2:$R$495,MATCH("Case MAX Planck Plate 13: B11",'CASE MASTER'!$J$2:$J$495,0)),"")</f>
        <v/>
      </c>
      <c r="M148" s="9" t="str">
        <f>IFERROR(INDEX('CASE MASTER'!$R$2:$R$495,MATCH("Case MAX Planck Plate 13: B12",'CASE MASTER'!$J$2:$J$495,0)),"")</f>
        <v/>
      </c>
    </row>
    <row r="149" spans="1:13" ht="15" customHeight="1" x14ac:dyDescent="0.35">
      <c r="A149" s="8" t="s">
        <v>30</v>
      </c>
      <c r="B149" s="9" t="str">
        <f>IFERROR(INDEX('CASE MASTER'!$R$2:$R$495,MATCH("Case MAX Planck Plate 13: C1",'CASE MASTER'!$J$2:$J$495,0)),"")</f>
        <v/>
      </c>
      <c r="C149" s="9" t="str">
        <f>IFERROR(INDEX('CASE MASTER'!$R$2:$R$495,MATCH("Case MAX Planck Plate 13: C2",'CASE MASTER'!$J$2:$J$495,0)),"")</f>
        <v/>
      </c>
      <c r="D149" s="9" t="str">
        <f>IFERROR(INDEX('CASE MASTER'!$R$2:$R$495,MATCH("Case MAX Planck Plate 13: C3",'CASE MASTER'!$J$2:$J$495,0)),"")</f>
        <v/>
      </c>
      <c r="E149" s="9" t="str">
        <f>IFERROR(INDEX('CASE MASTER'!$R$2:$R$495,MATCH("Case MAX Planck Plate 13: C4",'CASE MASTER'!$J$2:$J$495,0)),"")</f>
        <v/>
      </c>
      <c r="F149" s="9" t="str">
        <f>IFERROR(INDEX('CASE MASTER'!$R$2:$R$495,MATCH("Case MAX Planck Plate 13: C5",'CASE MASTER'!$J$2:$J$495,0)),"")</f>
        <v/>
      </c>
      <c r="G149" s="9" t="str">
        <f>IFERROR(INDEX('CASE MASTER'!$R$2:$R$495,MATCH("Case MAX Planck Plate 13: C6",'CASE MASTER'!$J$2:$J$495,0)),"")</f>
        <v/>
      </c>
      <c r="H149" s="9" t="str">
        <f>IFERROR(INDEX('CASE MASTER'!$R$2:$R$495,MATCH("Case MAX Planck Plate 13: C7",'CASE MASTER'!$J$2:$J$495,0)),"")</f>
        <v/>
      </c>
      <c r="I149" s="9" t="str">
        <f>IFERROR(INDEX('CASE MASTER'!$R$2:$R$495,MATCH("Case MAX Planck Plate 13: C8",'CASE MASTER'!$J$2:$J$495,0)),"")</f>
        <v/>
      </c>
      <c r="J149" s="9" t="str">
        <f>IFERROR(INDEX('CASE MASTER'!$R$2:$R$495,MATCH("Case MAX Planck Plate 13: C9",'CASE MASTER'!$J$2:$J$495,0)),"")</f>
        <v/>
      </c>
      <c r="K149" s="9" t="str">
        <f>IFERROR(INDEX('CASE MASTER'!$R$2:$R$495,MATCH("Case MAX Planck Plate 13: C10",'CASE MASTER'!$J$2:$J$495,0)),"")</f>
        <v/>
      </c>
      <c r="L149" s="9" t="str">
        <f>IFERROR(INDEX('CASE MASTER'!$R$2:$R$495,MATCH("Case MAX Planck Plate 13: C11",'CASE MASTER'!$J$2:$J$495,0)),"")</f>
        <v/>
      </c>
      <c r="M149" s="9" t="str">
        <f>IFERROR(INDEX('CASE MASTER'!$R$2:$R$495,MATCH("Case MAX Planck Plate 13: C12",'CASE MASTER'!$J$2:$J$495,0)),"")</f>
        <v/>
      </c>
    </row>
    <row r="150" spans="1:13" ht="15" customHeight="1" x14ac:dyDescent="0.35">
      <c r="A150" s="8" t="s">
        <v>31</v>
      </c>
      <c r="B150" s="9" t="str">
        <f>IFERROR(INDEX('CASE MASTER'!$R$2:$R$495,MATCH("Case MAX Planck Plate 13: D1",'CASE MASTER'!$J$2:$J$495,0)),"")</f>
        <v/>
      </c>
      <c r="C150" s="9" t="str">
        <f>IFERROR(INDEX('CASE MASTER'!$R$2:$R$495,MATCH("Case MAX Planck Plate 13: D2",'CASE MASTER'!$J$2:$J$495,0)),"")</f>
        <v/>
      </c>
      <c r="D150" s="9" t="str">
        <f>IFERROR(INDEX('CASE MASTER'!$R$2:$R$495,MATCH("Case MAX Planck Plate 13: D3",'CASE MASTER'!$J$2:$J$495,0)),"")</f>
        <v/>
      </c>
      <c r="E150" s="9" t="str">
        <f>IFERROR(INDEX('CASE MASTER'!$R$2:$R$495,MATCH("Case MAX Planck Plate 13: D4",'CASE MASTER'!$J$2:$J$495,0)),"")</f>
        <v/>
      </c>
      <c r="F150" s="9" t="str">
        <f>IFERROR(INDEX('CASE MASTER'!$R$2:$R$495,MATCH("Case MAX Planck Plate 13: D5",'CASE MASTER'!$J$2:$J$495,0)),"")</f>
        <v/>
      </c>
      <c r="G150" s="9" t="str">
        <f>IFERROR(INDEX('CASE MASTER'!$R$2:$R$495,MATCH("Case MAX Planck Plate 13: D6",'CASE MASTER'!$J$2:$J$495,0)),"")</f>
        <v/>
      </c>
      <c r="H150" s="9" t="str">
        <f>IFERROR(INDEX('CASE MASTER'!$R$2:$R$495,MATCH("Case MAX Planck Plate 13: D7",'CASE MASTER'!$J$2:$J$495,0)),"")</f>
        <v/>
      </c>
      <c r="I150" s="9" t="str">
        <f>IFERROR(INDEX('CASE MASTER'!$R$2:$R$495,MATCH("Case MAX Planck Plate 13: D8",'CASE MASTER'!$J$2:$J$495,0)),"")</f>
        <v/>
      </c>
      <c r="J150" s="9" t="str">
        <f>IFERROR(INDEX('CASE MASTER'!$R$2:$R$495,MATCH("Case MAX Planck Plate 13: D9",'CASE MASTER'!$J$2:$J$495,0)),"")</f>
        <v/>
      </c>
      <c r="K150" s="9" t="str">
        <f>IFERROR(INDEX('CASE MASTER'!$R$2:$R$495,MATCH("Case MAX Planck Plate 13: D10",'CASE MASTER'!$J$2:$J$495,0)),"")</f>
        <v/>
      </c>
      <c r="L150" s="9" t="str">
        <f>IFERROR(INDEX('CASE MASTER'!$R$2:$R$495,MATCH("Case MAX Planck Plate 13: D11",'CASE MASTER'!$J$2:$J$495,0)),"")</f>
        <v/>
      </c>
      <c r="M150" s="9" t="str">
        <f>IFERROR(INDEX('CASE MASTER'!$R$2:$R$495,MATCH("Case MAX Planck Plate 13: D12",'CASE MASTER'!$J$2:$J$495,0)),"")</f>
        <v/>
      </c>
    </row>
    <row r="151" spans="1:13" ht="15" customHeight="1" x14ac:dyDescent="0.35">
      <c r="A151" s="8" t="s">
        <v>32</v>
      </c>
      <c r="B151" s="9" t="str">
        <f>IFERROR(INDEX('CASE MASTER'!$R$2:$R$495,MATCH("Case MAX Planck Plate 13: E1",'CASE MASTER'!$J$2:$J$495,0)),"")</f>
        <v/>
      </c>
      <c r="C151" s="9" t="str">
        <f>IFERROR(INDEX('CASE MASTER'!$R$2:$R$495,MATCH("Case MAX Planck Plate 13: E2",'CASE MASTER'!$J$2:$J$495,0)),"")</f>
        <v/>
      </c>
      <c r="D151" s="9" t="str">
        <f>IFERROR(INDEX('CASE MASTER'!$R$2:$R$495,MATCH("Case MAX Planck Plate 13: E3",'CASE MASTER'!$J$2:$J$495,0)),"")</f>
        <v/>
      </c>
      <c r="E151" s="9" t="str">
        <f>IFERROR(INDEX('CASE MASTER'!$R$2:$R$495,MATCH("Case MAX Planck Plate 13: E4",'CASE MASTER'!$J$2:$J$495,0)),"")</f>
        <v/>
      </c>
      <c r="F151" s="9" t="str">
        <f>IFERROR(INDEX('CASE MASTER'!$R$2:$R$495,MATCH("Case MAX Planck Plate 13: E5",'CASE MASTER'!$J$2:$J$495,0)),"")</f>
        <v/>
      </c>
      <c r="G151" s="9" t="str">
        <f>IFERROR(INDEX('CASE MASTER'!$R$2:$R$495,MATCH("Case MAX Planck Plate 13: E6",'CASE MASTER'!$J$2:$J$495,0)),"")</f>
        <v/>
      </c>
      <c r="H151" s="9" t="str">
        <f>IFERROR(INDEX('CASE MASTER'!$R$2:$R$495,MATCH("Case MAX Planck Plate 13: E7",'CASE MASTER'!$J$2:$J$495,0)),"")</f>
        <v/>
      </c>
      <c r="I151" s="9" t="str">
        <f>IFERROR(INDEX('CASE MASTER'!$R$2:$R$495,MATCH("Case MAX Planck Plate 13: E8",'CASE MASTER'!$J$2:$J$495,0)),"")</f>
        <v/>
      </c>
      <c r="J151" s="9" t="str">
        <f>IFERROR(INDEX('CASE MASTER'!$R$2:$R$495,MATCH("Case MAX Planck Plate 13: E9",'CASE MASTER'!$J$2:$J$495,0)),"")</f>
        <v/>
      </c>
      <c r="K151" s="9" t="str">
        <f>IFERROR(INDEX('CASE MASTER'!$R$2:$R$495,MATCH("Case MAX Planck Plate 13: E10",'CASE MASTER'!$J$2:$J$495,0)),"")</f>
        <v/>
      </c>
      <c r="L151" s="9" t="str">
        <f>IFERROR(INDEX('CASE MASTER'!$R$2:$R$495,MATCH("Case MAX Planck Plate 13: E11",'CASE MASTER'!$J$2:$J$495,0)),"")</f>
        <v/>
      </c>
      <c r="M151" s="9" t="str">
        <f>IFERROR(INDEX('CASE MASTER'!$R$2:$R$495,MATCH("Case MAX Planck Plate 13: E12",'CASE MASTER'!$J$2:$J$495,0)),"")</f>
        <v/>
      </c>
    </row>
    <row r="152" spans="1:13" ht="15" customHeight="1" x14ac:dyDescent="0.35">
      <c r="A152" s="8" t="s">
        <v>33</v>
      </c>
      <c r="B152" s="9" t="str">
        <f>IFERROR(INDEX('CASE MASTER'!$R$2:$R$495,MATCH("Case MAX Planck Plate 13: F1",'CASE MASTER'!$J$2:$J$495,0)),"")</f>
        <v/>
      </c>
      <c r="C152" s="9" t="str">
        <f>IFERROR(INDEX('CASE MASTER'!$R$2:$R$495,MATCH("Case MAX Planck Plate 13: F2",'CASE MASTER'!$J$2:$J$495,0)),"")</f>
        <v/>
      </c>
      <c r="D152" s="9" t="str">
        <f>IFERROR(INDEX('CASE MASTER'!$R$2:$R$495,MATCH("Case MAX Planck Plate 13: F3",'CASE MASTER'!$J$2:$J$495,0)),"")</f>
        <v/>
      </c>
      <c r="E152" s="9" t="str">
        <f>IFERROR(INDEX('CASE MASTER'!$R$2:$R$495,MATCH("Case MAX Planck Plate 13: F4",'CASE MASTER'!$J$2:$J$495,0)),"")</f>
        <v/>
      </c>
      <c r="F152" s="9" t="str">
        <f>IFERROR(INDEX('CASE MASTER'!$R$2:$R$495,MATCH("Case MAX Planck Plate 13: F5",'CASE MASTER'!$J$2:$J$495,0)),"")</f>
        <v/>
      </c>
      <c r="G152" s="9" t="str">
        <f>IFERROR(INDEX('CASE MASTER'!$R$2:$R$495,MATCH("Case MAX Planck Plate 13: F6",'CASE MASTER'!$J$2:$J$495,0)),"")</f>
        <v/>
      </c>
      <c r="H152" s="9" t="str">
        <f>IFERROR(INDEX('CASE MASTER'!$R$2:$R$495,MATCH("Case MAX Planck Plate 13: F7",'CASE MASTER'!$J$2:$J$495,0)),"")</f>
        <v/>
      </c>
      <c r="I152" s="9" t="str">
        <f>IFERROR(INDEX('CASE MASTER'!$R$2:$R$495,MATCH("Case MAX Planck Plate 13: F8",'CASE MASTER'!$J$2:$J$495,0)),"")</f>
        <v/>
      </c>
      <c r="J152" s="9" t="str">
        <f>IFERROR(INDEX('CASE MASTER'!$R$2:$R$495,MATCH("Case MAX Planck Plate 13: F9",'CASE MASTER'!$J$2:$J$495,0)),"")</f>
        <v/>
      </c>
      <c r="K152" s="9" t="str">
        <f>IFERROR(INDEX('CASE MASTER'!$R$2:$R$495,MATCH("Case MAX Planck Plate 13: F10",'CASE MASTER'!$J$2:$J$495,0)),"")</f>
        <v/>
      </c>
      <c r="L152" s="9" t="str">
        <f>IFERROR(INDEX('CASE MASTER'!$R$2:$R$495,MATCH("Case MAX Planck Plate 13: F11",'CASE MASTER'!$J$2:$J$495,0)),"")</f>
        <v/>
      </c>
      <c r="M152" s="9" t="str">
        <f>IFERROR(INDEX('CASE MASTER'!$R$2:$R$495,MATCH("Case MAX Planck Plate 13: F12",'CASE MASTER'!$J$2:$J$495,0)),"")</f>
        <v/>
      </c>
    </row>
    <row r="153" spans="1:13" ht="15" customHeight="1" x14ac:dyDescent="0.35">
      <c r="A153" s="8" t="s">
        <v>34</v>
      </c>
      <c r="B153" s="9" t="str">
        <f>IFERROR(INDEX('CASE MASTER'!$R$2:$R$495,MATCH("Case MAX Planck Plate 13: G1",'CASE MASTER'!$J$2:$J$495,0)),"")</f>
        <v/>
      </c>
      <c r="C153" s="9" t="str">
        <f>IFERROR(INDEX('CASE MASTER'!$R$2:$R$495,MATCH("Case MAX Planck Plate 13: G2",'CASE MASTER'!$J$2:$J$495,0)),"")</f>
        <v/>
      </c>
      <c r="D153" s="9" t="str">
        <f>IFERROR(INDEX('CASE MASTER'!$R$2:$R$495,MATCH("Case MAX Planck Plate 13: G3",'CASE MASTER'!$J$2:$J$495,0)),"")</f>
        <v/>
      </c>
      <c r="E153" s="9" t="str">
        <f>IFERROR(INDEX('CASE MASTER'!$R$2:$R$495,MATCH("Case MAX Planck Plate 13: G4",'CASE MASTER'!$J$2:$J$495,0)),"")</f>
        <v/>
      </c>
      <c r="F153" s="9" t="str">
        <f>IFERROR(INDEX('CASE MASTER'!$R$2:$R$495,MATCH("Case MAX Planck Plate 13: G5",'CASE MASTER'!$J$2:$J$495,0)),"")</f>
        <v/>
      </c>
      <c r="G153" s="9" t="str">
        <f>IFERROR(INDEX('CASE MASTER'!$R$2:$R$495,MATCH("Case MAX Planck Plate 13: G6",'CASE MASTER'!$J$2:$J$495,0)),"")</f>
        <v/>
      </c>
      <c r="H153" s="9" t="str">
        <f>IFERROR(INDEX('CASE MASTER'!$R$2:$R$495,MATCH("Case MAX Planck Plate 13: G7",'CASE MASTER'!$J$2:$J$495,0)),"")</f>
        <v/>
      </c>
      <c r="I153" s="9" t="str">
        <f>IFERROR(INDEX('CASE MASTER'!$R$2:$R$495,MATCH("Case MAX Planck Plate 13: G8",'CASE MASTER'!$J$2:$J$495,0)),"")</f>
        <v/>
      </c>
      <c r="J153" s="9" t="str">
        <f>IFERROR(INDEX('CASE MASTER'!$R$2:$R$495,MATCH("Case MAX Planck Plate 13: G9",'CASE MASTER'!$J$2:$J$495,0)),"")</f>
        <v/>
      </c>
      <c r="K153" s="9" t="str">
        <f>IFERROR(INDEX('CASE MASTER'!$R$2:$R$495,MATCH("Case MAX Planck Plate 13: G10",'CASE MASTER'!$J$2:$J$495,0)),"")</f>
        <v/>
      </c>
      <c r="L153" s="9" t="str">
        <f>IFERROR(INDEX('CASE MASTER'!$R$2:$R$495,MATCH("Case MAX Planck Plate 13: G11",'CASE MASTER'!$J$2:$J$495,0)),"")</f>
        <v/>
      </c>
      <c r="M153" s="9" t="str">
        <f>IFERROR(INDEX('CASE MASTER'!$R$2:$R$495,MATCH("Case MAX Planck Plate 13: G12",'CASE MASTER'!$J$2:$J$495,0)),"")</f>
        <v/>
      </c>
    </row>
    <row r="154" spans="1:13" ht="15" customHeight="1" x14ac:dyDescent="0.35">
      <c r="A154" s="8" t="s">
        <v>35</v>
      </c>
      <c r="B154" s="9" t="str">
        <f>IFERROR(INDEX('CASE MASTER'!$R$2:$R$495,MATCH("Case MAX Planck Plate 13: H1",'CASE MASTER'!$J$2:$J$495,0)),"")</f>
        <v/>
      </c>
      <c r="C154" s="9" t="str">
        <f>IFERROR(INDEX('CASE MASTER'!$R$2:$R$495,MATCH("Case MAX Planck Plate 13: H2",'CASE MASTER'!$J$2:$J$495,0)),"")</f>
        <v/>
      </c>
      <c r="D154" s="9" t="str">
        <f>IFERROR(INDEX('CASE MASTER'!$R$2:$R$495,MATCH("Case MAX Planck Plate 13: H3",'CASE MASTER'!$J$2:$J$495,0)),"")</f>
        <v/>
      </c>
      <c r="E154" s="9" t="str">
        <f>IFERROR(INDEX('CASE MASTER'!$R$2:$R$495,MATCH("Case MAX Planck Plate 13: H4",'CASE MASTER'!$J$2:$J$495,0)),"")</f>
        <v/>
      </c>
      <c r="F154" s="9" t="str">
        <f>IFERROR(INDEX('CASE MASTER'!$R$2:$R$495,MATCH("Case MAX Planck Plate 13: H5",'CASE MASTER'!$J$2:$J$495,0)),"")</f>
        <v/>
      </c>
      <c r="G154" s="9" t="str">
        <f>IFERROR(INDEX('CASE MASTER'!$R$2:$R$495,MATCH("Case MAX Planck Plate 13: H6",'CASE MASTER'!$J$2:$J$495,0)),"")</f>
        <v/>
      </c>
      <c r="H154" s="9" t="str">
        <f>IFERROR(INDEX('CASE MASTER'!$R$2:$R$495,MATCH("Case MAX Planck Plate 13: H7",'CASE MASTER'!$J$2:$J$495,0)),"")</f>
        <v/>
      </c>
      <c r="I154" s="9" t="str">
        <f>IFERROR(INDEX('CASE MASTER'!$R$2:$R$495,MATCH("Case MAX Planck Plate 13: H8",'CASE MASTER'!$J$2:$J$495,0)),"")</f>
        <v/>
      </c>
      <c r="J154" s="9" t="str">
        <f>IFERROR(INDEX('CASE MASTER'!$R$2:$R$495,MATCH("Case MAX Planck Plate 13: H9",'CASE MASTER'!$J$2:$J$495,0)),"")</f>
        <v/>
      </c>
      <c r="K154" s="9" t="str">
        <f>IFERROR(INDEX('CASE MASTER'!$R$2:$R$495,MATCH("Case MAX Planck Plate 13: H10",'CASE MASTER'!$J$2:$J$495,0)),"")</f>
        <v/>
      </c>
      <c r="L154" s="9" t="str">
        <f>IFERROR(INDEX('CASE MASTER'!$R$2:$R$495,MATCH("Case MAX Planck Plate 13: H11",'CASE MASTER'!$J$2:$J$495,0)),"")</f>
        <v/>
      </c>
      <c r="M154" s="9" t="str">
        <f>IFERROR(INDEX('CASE MASTER'!$R$2:$R$495,MATCH("Case MAX Planck Plate 13: H12",'CASE MASTER'!$J$2:$J$495,0)),"")</f>
        <v/>
      </c>
    </row>
    <row r="157" spans="1:13" ht="15" customHeight="1" x14ac:dyDescent="0.35">
      <c r="A157" s="12" t="s">
        <v>78</v>
      </c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</row>
    <row r="158" spans="1:13" ht="15" customHeight="1" x14ac:dyDescent="0.35">
      <c r="B158" s="8">
        <v>1</v>
      </c>
      <c r="C158" s="8">
        <v>2</v>
      </c>
      <c r="D158" s="8">
        <v>3</v>
      </c>
      <c r="E158" s="8">
        <v>4</v>
      </c>
      <c r="F158" s="8">
        <v>5</v>
      </c>
      <c r="G158" s="8">
        <v>6</v>
      </c>
      <c r="H158" s="8">
        <v>7</v>
      </c>
      <c r="I158" s="8">
        <v>8</v>
      </c>
      <c r="J158" s="8">
        <v>9</v>
      </c>
      <c r="K158" s="8">
        <v>10</v>
      </c>
      <c r="L158" s="8">
        <v>11</v>
      </c>
      <c r="M158" s="8">
        <v>12</v>
      </c>
    </row>
    <row r="159" spans="1:13" ht="15" customHeight="1" x14ac:dyDescent="0.35">
      <c r="A159" s="8" t="s">
        <v>28</v>
      </c>
      <c r="B159" s="9" t="str">
        <f>IFERROR(INDEX('CASE MASTER'!$R$2:$R$495,MATCH("Case MAX Planck Plate 14: A1",'CASE MASTER'!$J$2:$J$495,0)),"")</f>
        <v/>
      </c>
      <c r="C159" s="9" t="str">
        <f>IFERROR(INDEX('CASE MASTER'!$R$2:$R$495,MATCH("Case MAX Planck Plate 14: A2",'CASE MASTER'!$J$2:$J$495,0)),"")</f>
        <v/>
      </c>
      <c r="D159" s="9" t="str">
        <f>IFERROR(INDEX('CASE MASTER'!$R$2:$R$495,MATCH("Case MAX Planck Plate 14: A3",'CASE MASTER'!$J$2:$J$495,0)),"")</f>
        <v/>
      </c>
      <c r="E159" s="9" t="str">
        <f>IFERROR(INDEX('CASE MASTER'!$R$2:$R$495,MATCH("Case MAX Planck Plate 14: A4",'CASE MASTER'!$J$2:$J$495,0)),"")</f>
        <v/>
      </c>
      <c r="F159" s="9" t="str">
        <f>IFERROR(INDEX('CASE MASTER'!$R$2:$R$495,MATCH("Case MAX Planck Plate 14: A5",'CASE MASTER'!$J$2:$J$495,0)),"")</f>
        <v/>
      </c>
      <c r="G159" s="9" t="str">
        <f>IFERROR(INDEX('CASE MASTER'!$R$2:$R$495,MATCH("Case MAX Planck Plate 14: A6",'CASE MASTER'!$J$2:$J$495,0)),"")</f>
        <v/>
      </c>
      <c r="H159" s="9" t="str">
        <f>IFERROR(INDEX('CASE MASTER'!$R$2:$R$495,MATCH("Case MAX Planck Plate 14: A7",'CASE MASTER'!$J$2:$J$495,0)),"")</f>
        <v/>
      </c>
      <c r="I159" s="9" t="str">
        <f>IFERROR(INDEX('CASE MASTER'!$R$2:$R$495,MATCH("Case MAX Planck Plate 14: A8",'CASE MASTER'!$J$2:$J$495,0)),"")</f>
        <v/>
      </c>
      <c r="J159" s="9" t="str">
        <f>IFERROR(INDEX('CASE MASTER'!$R$2:$R$495,MATCH("Case MAX Planck Plate 14: A9",'CASE MASTER'!$J$2:$J$495,0)),"")</f>
        <v/>
      </c>
      <c r="K159" s="9" t="str">
        <f>IFERROR(INDEX('CASE MASTER'!$R$2:$R$495,MATCH("Case MAX Planck Plate 14: A10",'CASE MASTER'!$J$2:$J$495,0)),"")</f>
        <v/>
      </c>
      <c r="L159" s="9" t="str">
        <f>IFERROR(INDEX('CASE MASTER'!$R$2:$R$495,MATCH("Case MAX Planck Plate 14: A11",'CASE MASTER'!$J$2:$J$495,0)),"")</f>
        <v/>
      </c>
      <c r="M159" s="9" t="str">
        <f>IFERROR(INDEX('CASE MASTER'!$R$2:$R$495,MATCH("Case MAX Planck Plate 14: A12",'CASE MASTER'!$J$2:$J$495,0)),"")</f>
        <v/>
      </c>
    </row>
    <row r="160" spans="1:13" ht="15" customHeight="1" x14ac:dyDescent="0.35">
      <c r="A160" s="8" t="s">
        <v>29</v>
      </c>
      <c r="B160" s="9" t="str">
        <f>IFERROR(INDEX('CASE MASTER'!$R$2:$R$495,MATCH("Case MAX Planck Plate 14: B1",'CASE MASTER'!$J$2:$J$495,0)),"")</f>
        <v/>
      </c>
      <c r="C160" s="9" t="str">
        <f>IFERROR(INDEX('CASE MASTER'!$R$2:$R$495,MATCH("Case MAX Planck Plate 14: B2",'CASE MASTER'!$J$2:$J$495,0)),"")</f>
        <v/>
      </c>
      <c r="D160" s="9" t="str">
        <f>IFERROR(INDEX('CASE MASTER'!$R$2:$R$495,MATCH("Case MAX Planck Plate 14: B3",'CASE MASTER'!$J$2:$J$495,0)),"")</f>
        <v/>
      </c>
      <c r="E160" s="9" t="str">
        <f>IFERROR(INDEX('CASE MASTER'!$R$2:$R$495,MATCH("Case MAX Planck Plate 14: B4",'CASE MASTER'!$J$2:$J$495,0)),"")</f>
        <v/>
      </c>
      <c r="F160" s="9" t="str">
        <f>IFERROR(INDEX('CASE MASTER'!$R$2:$R$495,MATCH("Case MAX Planck Plate 14: B5",'CASE MASTER'!$J$2:$J$495,0)),"")</f>
        <v/>
      </c>
      <c r="G160" s="9" t="str">
        <f>IFERROR(INDEX('CASE MASTER'!$R$2:$R$495,MATCH("Case MAX Planck Plate 14: B6",'CASE MASTER'!$J$2:$J$495,0)),"")</f>
        <v/>
      </c>
      <c r="H160" s="9" t="str">
        <f>IFERROR(INDEX('CASE MASTER'!$R$2:$R$495,MATCH("Case MAX Planck Plate 14: B7",'CASE MASTER'!$J$2:$J$495,0)),"")</f>
        <v/>
      </c>
      <c r="I160" s="9" t="str">
        <f>IFERROR(INDEX('CASE MASTER'!$R$2:$R$495,MATCH("Case MAX Planck Plate 14: B8",'CASE MASTER'!$J$2:$J$495,0)),"")</f>
        <v/>
      </c>
      <c r="J160" s="9" t="str">
        <f>IFERROR(INDEX('CASE MASTER'!$R$2:$R$495,MATCH("Case MAX Planck Plate 14: B9",'CASE MASTER'!$J$2:$J$495,0)),"")</f>
        <v/>
      </c>
      <c r="K160" s="9" t="str">
        <f>IFERROR(INDEX('CASE MASTER'!$R$2:$R$495,MATCH("Case MAX Planck Plate 14: B10",'CASE MASTER'!$J$2:$J$495,0)),"")</f>
        <v/>
      </c>
      <c r="L160" s="9" t="str">
        <f>IFERROR(INDEX('CASE MASTER'!$R$2:$R$495,MATCH("Case MAX Planck Plate 14: B11",'CASE MASTER'!$J$2:$J$495,0)),"")</f>
        <v/>
      </c>
      <c r="M160" s="9" t="str">
        <f>IFERROR(INDEX('CASE MASTER'!$R$2:$R$495,MATCH("Case MAX Planck Plate 14: B12",'CASE MASTER'!$J$2:$J$495,0)),"")</f>
        <v/>
      </c>
    </row>
    <row r="161" spans="1:13" ht="15" customHeight="1" x14ac:dyDescent="0.35">
      <c r="A161" s="8" t="s">
        <v>30</v>
      </c>
      <c r="B161" s="9" t="str">
        <f>IFERROR(INDEX('CASE MASTER'!$R$2:$R$495,MATCH("Case MAX Planck Plate 14: C1",'CASE MASTER'!$J$2:$J$495,0)),"")</f>
        <v/>
      </c>
      <c r="C161" s="9" t="str">
        <f>IFERROR(INDEX('CASE MASTER'!$R$2:$R$495,MATCH("Case MAX Planck Plate 14: C2",'CASE MASTER'!$J$2:$J$495,0)),"")</f>
        <v/>
      </c>
      <c r="D161" s="9" t="str">
        <f>IFERROR(INDEX('CASE MASTER'!$R$2:$R$495,MATCH("Case MAX Planck Plate 14: C3",'CASE MASTER'!$J$2:$J$495,0)),"")</f>
        <v/>
      </c>
      <c r="E161" s="9" t="str">
        <f>IFERROR(INDEX('CASE MASTER'!$R$2:$R$495,MATCH("Case MAX Planck Plate 14: C4",'CASE MASTER'!$J$2:$J$495,0)),"")</f>
        <v/>
      </c>
      <c r="F161" s="9" t="str">
        <f>IFERROR(INDEX('CASE MASTER'!$R$2:$R$495,MATCH("Case MAX Planck Plate 14: C5",'CASE MASTER'!$J$2:$J$495,0)),"")</f>
        <v/>
      </c>
      <c r="G161" s="9" t="str">
        <f>IFERROR(INDEX('CASE MASTER'!$R$2:$R$495,MATCH("Case MAX Planck Plate 14: C6",'CASE MASTER'!$J$2:$J$495,0)),"")</f>
        <v/>
      </c>
      <c r="H161" s="9" t="str">
        <f>IFERROR(INDEX('CASE MASTER'!$R$2:$R$495,MATCH("Case MAX Planck Plate 14: C7",'CASE MASTER'!$J$2:$J$495,0)),"")</f>
        <v/>
      </c>
      <c r="I161" s="9" t="str">
        <f>IFERROR(INDEX('CASE MASTER'!$R$2:$R$495,MATCH("Case MAX Planck Plate 14: C8",'CASE MASTER'!$J$2:$J$495,0)),"")</f>
        <v/>
      </c>
      <c r="J161" s="9" t="str">
        <f>IFERROR(INDEX('CASE MASTER'!$R$2:$R$495,MATCH("Case MAX Planck Plate 14: C9",'CASE MASTER'!$J$2:$J$495,0)),"")</f>
        <v/>
      </c>
      <c r="K161" s="9" t="str">
        <f>IFERROR(INDEX('CASE MASTER'!$R$2:$R$495,MATCH("Case MAX Planck Plate 14: C10",'CASE MASTER'!$J$2:$J$495,0)),"")</f>
        <v/>
      </c>
      <c r="L161" s="9" t="str">
        <f>IFERROR(INDEX('CASE MASTER'!$R$2:$R$495,MATCH("Case MAX Planck Plate 14: C11",'CASE MASTER'!$J$2:$J$495,0)),"")</f>
        <v/>
      </c>
      <c r="M161" s="9" t="str">
        <f>IFERROR(INDEX('CASE MASTER'!$R$2:$R$495,MATCH("Case MAX Planck Plate 14: C12",'CASE MASTER'!$J$2:$J$495,0)),"")</f>
        <v/>
      </c>
    </row>
    <row r="162" spans="1:13" ht="15" customHeight="1" x14ac:dyDescent="0.35">
      <c r="A162" s="8" t="s">
        <v>31</v>
      </c>
      <c r="B162" s="9" t="str">
        <f>IFERROR(INDEX('CASE MASTER'!$R$2:$R$495,MATCH("Case MAX Planck Plate 14: D1",'CASE MASTER'!$J$2:$J$495,0)),"")</f>
        <v/>
      </c>
      <c r="C162" s="9" t="str">
        <f>IFERROR(INDEX('CASE MASTER'!$R$2:$R$495,MATCH("Case MAX Planck Plate 14: D2",'CASE MASTER'!$J$2:$J$495,0)),"")</f>
        <v/>
      </c>
      <c r="D162" s="9" t="str">
        <f>IFERROR(INDEX('CASE MASTER'!$R$2:$R$495,MATCH("Case MAX Planck Plate 14: D3",'CASE MASTER'!$J$2:$J$495,0)),"")</f>
        <v/>
      </c>
      <c r="E162" s="9" t="str">
        <f>IFERROR(INDEX('CASE MASTER'!$R$2:$R$495,MATCH("Case MAX Planck Plate 14: D4",'CASE MASTER'!$J$2:$J$495,0)),"")</f>
        <v/>
      </c>
      <c r="F162" s="9" t="str">
        <f>IFERROR(INDEX('CASE MASTER'!$R$2:$R$495,MATCH("Case MAX Planck Plate 14: D5",'CASE MASTER'!$J$2:$J$495,0)),"")</f>
        <v/>
      </c>
      <c r="G162" s="9" t="str">
        <f>IFERROR(INDEX('CASE MASTER'!$R$2:$R$495,MATCH("Case MAX Planck Plate 14: D6",'CASE MASTER'!$J$2:$J$495,0)),"")</f>
        <v/>
      </c>
      <c r="H162" s="9" t="str">
        <f>IFERROR(INDEX('CASE MASTER'!$R$2:$R$495,MATCH("Case MAX Planck Plate 14: D7",'CASE MASTER'!$J$2:$J$495,0)),"")</f>
        <v/>
      </c>
      <c r="I162" s="9" t="str">
        <f>IFERROR(INDEX('CASE MASTER'!$R$2:$R$495,MATCH("Case MAX Planck Plate 14: D8",'CASE MASTER'!$J$2:$J$495,0)),"")</f>
        <v/>
      </c>
      <c r="J162" s="9" t="str">
        <f>IFERROR(INDEX('CASE MASTER'!$R$2:$R$495,MATCH("Case MAX Planck Plate 14: D9",'CASE MASTER'!$J$2:$J$495,0)),"")</f>
        <v/>
      </c>
      <c r="K162" s="9" t="str">
        <f>IFERROR(INDEX('CASE MASTER'!$R$2:$R$495,MATCH("Case MAX Planck Plate 14: D10",'CASE MASTER'!$J$2:$J$495,0)),"")</f>
        <v/>
      </c>
      <c r="L162" s="9" t="str">
        <f>IFERROR(INDEX('CASE MASTER'!$R$2:$R$495,MATCH("Case MAX Planck Plate 14: D11",'CASE MASTER'!$J$2:$J$495,0)),"")</f>
        <v/>
      </c>
      <c r="M162" s="9" t="str">
        <f>IFERROR(INDEX('CASE MASTER'!$R$2:$R$495,MATCH("Case MAX Planck Plate 14: D12",'CASE MASTER'!$J$2:$J$495,0)),"")</f>
        <v/>
      </c>
    </row>
    <row r="163" spans="1:13" ht="15" customHeight="1" x14ac:dyDescent="0.35">
      <c r="A163" s="8" t="s">
        <v>32</v>
      </c>
      <c r="B163" s="9" t="str">
        <f>IFERROR(INDEX('CASE MASTER'!$R$2:$R$495,MATCH("Case MAX Planck Plate 14: E1",'CASE MASTER'!$J$2:$J$495,0)),"")</f>
        <v/>
      </c>
      <c r="C163" s="9" t="str">
        <f>IFERROR(INDEX('CASE MASTER'!$R$2:$R$495,MATCH("Case MAX Planck Plate 14: E2",'CASE MASTER'!$J$2:$J$495,0)),"")</f>
        <v/>
      </c>
      <c r="D163" s="9" t="str">
        <f>IFERROR(INDEX('CASE MASTER'!$R$2:$R$495,MATCH("Case MAX Planck Plate 14: E3",'CASE MASTER'!$J$2:$J$495,0)),"")</f>
        <v/>
      </c>
      <c r="E163" s="9" t="str">
        <f>IFERROR(INDEX('CASE MASTER'!$R$2:$R$495,MATCH("Case MAX Planck Plate 14: E4",'CASE MASTER'!$J$2:$J$495,0)),"")</f>
        <v/>
      </c>
      <c r="F163" s="9" t="str">
        <f>IFERROR(INDEX('CASE MASTER'!$R$2:$R$495,MATCH("Case MAX Planck Plate 14: E5",'CASE MASTER'!$J$2:$J$495,0)),"")</f>
        <v/>
      </c>
      <c r="G163" s="9" t="str">
        <f>IFERROR(INDEX('CASE MASTER'!$R$2:$R$495,MATCH("Case MAX Planck Plate 14: E6",'CASE MASTER'!$J$2:$J$495,0)),"")</f>
        <v/>
      </c>
      <c r="H163" s="9" t="str">
        <f>IFERROR(INDEX('CASE MASTER'!$R$2:$R$495,MATCH("Case MAX Planck Plate 14: E7",'CASE MASTER'!$J$2:$J$495,0)),"")</f>
        <v/>
      </c>
      <c r="I163" s="9" t="str">
        <f>IFERROR(INDEX('CASE MASTER'!$R$2:$R$495,MATCH("Case MAX Planck Plate 14: E8",'CASE MASTER'!$J$2:$J$495,0)),"")</f>
        <v/>
      </c>
      <c r="J163" s="9" t="str">
        <f>IFERROR(INDEX('CASE MASTER'!$R$2:$R$495,MATCH("Case MAX Planck Plate 14: E9",'CASE MASTER'!$J$2:$J$495,0)),"")</f>
        <v/>
      </c>
      <c r="K163" s="9" t="str">
        <f>IFERROR(INDEX('CASE MASTER'!$R$2:$R$495,MATCH("Case MAX Planck Plate 14: E10",'CASE MASTER'!$J$2:$J$495,0)),"")</f>
        <v/>
      </c>
      <c r="L163" s="9" t="str">
        <f>IFERROR(INDEX('CASE MASTER'!$R$2:$R$495,MATCH("Case MAX Planck Plate 14: E11",'CASE MASTER'!$J$2:$J$495,0)),"")</f>
        <v/>
      </c>
      <c r="M163" s="9" t="str">
        <f>IFERROR(INDEX('CASE MASTER'!$R$2:$R$495,MATCH("Case MAX Planck Plate 14: E12",'CASE MASTER'!$J$2:$J$495,0)),"")</f>
        <v/>
      </c>
    </row>
    <row r="164" spans="1:13" ht="15" customHeight="1" x14ac:dyDescent="0.35">
      <c r="A164" s="8" t="s">
        <v>33</v>
      </c>
      <c r="B164" s="9" t="str">
        <f>IFERROR(INDEX('CASE MASTER'!$R$2:$R$495,MATCH("Case MAX Planck Plate 14: F1",'CASE MASTER'!$J$2:$J$495,0)),"")</f>
        <v/>
      </c>
      <c r="C164" s="9" t="str">
        <f>IFERROR(INDEX('CASE MASTER'!$R$2:$R$495,MATCH("Case MAX Planck Plate 14: F2",'CASE MASTER'!$J$2:$J$495,0)),"")</f>
        <v/>
      </c>
      <c r="D164" s="9" t="str">
        <f>IFERROR(INDEX('CASE MASTER'!$R$2:$R$495,MATCH("Case MAX Planck Plate 14: F3",'CASE MASTER'!$J$2:$J$495,0)),"")</f>
        <v/>
      </c>
      <c r="E164" s="9" t="str">
        <f>IFERROR(INDEX('CASE MASTER'!$R$2:$R$495,MATCH("Case MAX Planck Plate 14: F4",'CASE MASTER'!$J$2:$J$495,0)),"")</f>
        <v/>
      </c>
      <c r="F164" s="9" t="str">
        <f>IFERROR(INDEX('CASE MASTER'!$R$2:$R$495,MATCH("Case MAX Planck Plate 14: F5",'CASE MASTER'!$J$2:$J$495,0)),"")</f>
        <v/>
      </c>
      <c r="G164" s="9" t="str">
        <f>IFERROR(INDEX('CASE MASTER'!$R$2:$R$495,MATCH("Case MAX Planck Plate 14: F6",'CASE MASTER'!$J$2:$J$495,0)),"")</f>
        <v/>
      </c>
      <c r="H164" s="9" t="str">
        <f>IFERROR(INDEX('CASE MASTER'!$R$2:$R$495,MATCH("Case MAX Planck Plate 14: F7",'CASE MASTER'!$J$2:$J$495,0)),"")</f>
        <v/>
      </c>
      <c r="I164" s="9" t="str">
        <f>IFERROR(INDEX('CASE MASTER'!$R$2:$R$495,MATCH("Case MAX Planck Plate 14: F8",'CASE MASTER'!$J$2:$J$495,0)),"")</f>
        <v/>
      </c>
      <c r="J164" s="9" t="str">
        <f>IFERROR(INDEX('CASE MASTER'!$R$2:$R$495,MATCH("Case MAX Planck Plate 14: F9",'CASE MASTER'!$J$2:$J$495,0)),"")</f>
        <v/>
      </c>
      <c r="K164" s="9" t="str">
        <f>IFERROR(INDEX('CASE MASTER'!$R$2:$R$495,MATCH("Case MAX Planck Plate 14: F10",'CASE MASTER'!$J$2:$J$495,0)),"")</f>
        <v/>
      </c>
      <c r="L164" s="9" t="str">
        <f>IFERROR(INDEX('CASE MASTER'!$R$2:$R$495,MATCH("Case MAX Planck Plate 14: F11",'CASE MASTER'!$J$2:$J$495,0)),"")</f>
        <v/>
      </c>
      <c r="M164" s="9" t="str">
        <f>IFERROR(INDEX('CASE MASTER'!$R$2:$R$495,MATCH("Case MAX Planck Plate 14: F12",'CASE MASTER'!$J$2:$J$495,0)),"")</f>
        <v/>
      </c>
    </row>
    <row r="165" spans="1:13" ht="15" customHeight="1" x14ac:dyDescent="0.35">
      <c r="A165" s="8" t="s">
        <v>34</v>
      </c>
      <c r="B165" s="9" t="str">
        <f>IFERROR(INDEX('CASE MASTER'!$R$2:$R$495,MATCH("Case MAX Planck Plate 14: G1",'CASE MASTER'!$J$2:$J$495,0)),"")</f>
        <v/>
      </c>
      <c r="C165" s="9" t="str">
        <f>IFERROR(INDEX('CASE MASTER'!$R$2:$R$495,MATCH("Case MAX Planck Plate 14: G2",'CASE MASTER'!$J$2:$J$495,0)),"")</f>
        <v/>
      </c>
      <c r="D165" s="9" t="str">
        <f>IFERROR(INDEX('CASE MASTER'!$R$2:$R$495,MATCH("Case MAX Planck Plate 14: G3",'CASE MASTER'!$J$2:$J$495,0)),"")</f>
        <v/>
      </c>
      <c r="E165" s="9" t="str">
        <f>IFERROR(INDEX('CASE MASTER'!$R$2:$R$495,MATCH("Case MAX Planck Plate 14: G4",'CASE MASTER'!$J$2:$J$495,0)),"")</f>
        <v/>
      </c>
      <c r="F165" s="9" t="str">
        <f>IFERROR(INDEX('CASE MASTER'!$R$2:$R$495,MATCH("Case MAX Planck Plate 14: G5",'CASE MASTER'!$J$2:$J$495,0)),"")</f>
        <v/>
      </c>
      <c r="G165" s="9" t="str">
        <f>IFERROR(INDEX('CASE MASTER'!$R$2:$R$495,MATCH("Case MAX Planck Plate 14: G6",'CASE MASTER'!$J$2:$J$495,0)),"")</f>
        <v/>
      </c>
      <c r="H165" s="9" t="str">
        <f>IFERROR(INDEX('CASE MASTER'!$R$2:$R$495,MATCH("Case MAX Planck Plate 14: G7",'CASE MASTER'!$J$2:$J$495,0)),"")</f>
        <v/>
      </c>
      <c r="I165" s="9" t="str">
        <f>IFERROR(INDEX('CASE MASTER'!$R$2:$R$495,MATCH("Case MAX Planck Plate 14: G8",'CASE MASTER'!$J$2:$J$495,0)),"")</f>
        <v/>
      </c>
      <c r="J165" s="9" t="str">
        <f>IFERROR(INDEX('CASE MASTER'!$R$2:$R$495,MATCH("Case MAX Planck Plate 14: G9",'CASE MASTER'!$J$2:$J$495,0)),"")</f>
        <v/>
      </c>
      <c r="K165" s="9" t="str">
        <f>IFERROR(INDEX('CASE MASTER'!$R$2:$R$495,MATCH("Case MAX Planck Plate 14: G10",'CASE MASTER'!$J$2:$J$495,0)),"")</f>
        <v/>
      </c>
      <c r="L165" s="9" t="str">
        <f>IFERROR(INDEX('CASE MASTER'!$R$2:$R$495,MATCH("Case MAX Planck Plate 14: G11",'CASE MASTER'!$J$2:$J$495,0)),"")</f>
        <v/>
      </c>
      <c r="M165" s="9" t="str">
        <f>IFERROR(INDEX('CASE MASTER'!$R$2:$R$495,MATCH("Case MAX Planck Plate 14: G12",'CASE MASTER'!$J$2:$J$495,0)),"")</f>
        <v/>
      </c>
    </row>
    <row r="166" spans="1:13" ht="15" customHeight="1" x14ac:dyDescent="0.35">
      <c r="A166" s="8" t="s">
        <v>35</v>
      </c>
      <c r="B166" s="9" t="str">
        <f>IFERROR(INDEX('CASE MASTER'!$R$2:$R$495,MATCH("Case MAX Planck Plate 14: H1",'CASE MASTER'!$J$2:$J$495,0)),"")</f>
        <v/>
      </c>
      <c r="C166" s="9" t="str">
        <f>IFERROR(INDEX('CASE MASTER'!$R$2:$R$495,MATCH("Case MAX Planck Plate 14: H2",'CASE MASTER'!$J$2:$J$495,0)),"")</f>
        <v/>
      </c>
      <c r="D166" s="9" t="str">
        <f>IFERROR(INDEX('CASE MASTER'!$R$2:$R$495,MATCH("Case MAX Planck Plate 14: H3",'CASE MASTER'!$J$2:$J$495,0)),"")</f>
        <v/>
      </c>
      <c r="E166" s="9" t="str">
        <f>IFERROR(INDEX('CASE MASTER'!$R$2:$R$495,MATCH("Case MAX Planck Plate 14: H4",'CASE MASTER'!$J$2:$J$495,0)),"")</f>
        <v/>
      </c>
      <c r="F166" s="9" t="str">
        <f>IFERROR(INDEX('CASE MASTER'!$R$2:$R$495,MATCH("Case MAX Planck Plate 14: H5",'CASE MASTER'!$J$2:$J$495,0)),"")</f>
        <v/>
      </c>
      <c r="G166" s="9" t="str">
        <f>IFERROR(INDEX('CASE MASTER'!$R$2:$R$495,MATCH("Case MAX Planck Plate 14: H6",'CASE MASTER'!$J$2:$J$495,0)),"")</f>
        <v/>
      </c>
      <c r="H166" s="9" t="str">
        <f>IFERROR(INDEX('CASE MASTER'!$R$2:$R$495,MATCH("Case MAX Planck Plate 14: H7",'CASE MASTER'!$J$2:$J$495,0)),"")</f>
        <v/>
      </c>
      <c r="I166" s="9" t="str">
        <f>IFERROR(INDEX('CASE MASTER'!$R$2:$R$495,MATCH("Case MAX Planck Plate 14: H8",'CASE MASTER'!$J$2:$J$495,0)),"")</f>
        <v/>
      </c>
      <c r="J166" s="9" t="str">
        <f>IFERROR(INDEX('CASE MASTER'!$R$2:$R$495,MATCH("Case MAX Planck Plate 14: H9",'CASE MASTER'!$J$2:$J$495,0)),"")</f>
        <v/>
      </c>
      <c r="K166" s="9" t="str">
        <f>IFERROR(INDEX('CASE MASTER'!$R$2:$R$495,MATCH("Case MAX Planck Plate 14: H10",'CASE MASTER'!$J$2:$J$495,0)),"")</f>
        <v/>
      </c>
      <c r="L166" s="9" t="str">
        <f>IFERROR(INDEX('CASE MASTER'!$R$2:$R$495,MATCH("Case MAX Planck Plate 14: H11",'CASE MASTER'!$J$2:$J$495,0)),"")</f>
        <v/>
      </c>
      <c r="M166" s="9" t="str">
        <f>IFERROR(INDEX('CASE MASTER'!$R$2:$R$495,MATCH("Case MAX Planck Plate 14: H12",'CASE MASTER'!$J$2:$J$495,0)),"")</f>
        <v/>
      </c>
    </row>
    <row r="169" spans="1:13" ht="15" customHeight="1" x14ac:dyDescent="0.35">
      <c r="A169" s="12" t="s">
        <v>79</v>
      </c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</row>
    <row r="170" spans="1:13" ht="15" customHeight="1" x14ac:dyDescent="0.35">
      <c r="B170" s="8">
        <v>1</v>
      </c>
      <c r="C170" s="8">
        <v>2</v>
      </c>
      <c r="D170" s="8">
        <v>3</v>
      </c>
      <c r="E170" s="8">
        <v>4</v>
      </c>
      <c r="F170" s="8">
        <v>5</v>
      </c>
      <c r="G170" s="8">
        <v>6</v>
      </c>
      <c r="H170" s="8">
        <v>7</v>
      </c>
      <c r="I170" s="8">
        <v>8</v>
      </c>
      <c r="J170" s="8">
        <v>9</v>
      </c>
      <c r="K170" s="8">
        <v>10</v>
      </c>
      <c r="L170" s="8">
        <v>11</v>
      </c>
      <c r="M170" s="8">
        <v>12</v>
      </c>
    </row>
    <row r="171" spans="1:13" ht="15" customHeight="1" x14ac:dyDescent="0.35">
      <c r="A171" s="8" t="s">
        <v>28</v>
      </c>
      <c r="B171" s="9" t="str">
        <f>IFERROR(INDEX('CASE MASTER'!$R$2:$R$495,MATCH("Case MAX Planck Plate 15: A1",'CASE MASTER'!$J$2:$J$495,0)),"")</f>
        <v/>
      </c>
      <c r="C171" s="9" t="str">
        <f>IFERROR(INDEX('CASE MASTER'!$R$2:$R$495,MATCH("Case MAX Planck Plate 15: A2",'CASE MASTER'!$J$2:$J$495,0)),"")</f>
        <v/>
      </c>
      <c r="D171" s="9" t="str">
        <f>IFERROR(INDEX('CASE MASTER'!$R$2:$R$495,MATCH("Case MAX Planck Plate 15: A3",'CASE MASTER'!$J$2:$J$495,0)),"")</f>
        <v/>
      </c>
      <c r="E171" s="9" t="str">
        <f>IFERROR(INDEX('CASE MASTER'!$R$2:$R$495,MATCH("Case MAX Planck Plate 15: A4",'CASE MASTER'!$J$2:$J$495,0)),"")</f>
        <v/>
      </c>
      <c r="F171" s="9" t="str">
        <f>IFERROR(INDEX('CASE MASTER'!$R$2:$R$495,MATCH("Case MAX Planck Plate 15: A5",'CASE MASTER'!$J$2:$J$495,0)),"")</f>
        <v/>
      </c>
      <c r="G171" s="9" t="str">
        <f>IFERROR(INDEX('CASE MASTER'!$R$2:$R$495,MATCH("Case MAX Planck Plate 15: A6",'CASE MASTER'!$J$2:$J$495,0)),"")</f>
        <v/>
      </c>
      <c r="H171" s="9" t="str">
        <f>IFERROR(INDEX('CASE MASTER'!$R$2:$R$495,MATCH("Case MAX Planck Plate 15: A7",'CASE MASTER'!$J$2:$J$495,0)),"")</f>
        <v/>
      </c>
      <c r="I171" s="9" t="str">
        <f>IFERROR(INDEX('CASE MASTER'!$R$2:$R$495,MATCH("Case MAX Planck Plate 15: A8",'CASE MASTER'!$J$2:$J$495,0)),"")</f>
        <v/>
      </c>
      <c r="J171" s="9" t="str">
        <f>IFERROR(INDEX('CASE MASTER'!$R$2:$R$495,MATCH("Case MAX Planck Plate 15: A9",'CASE MASTER'!$J$2:$J$495,0)),"")</f>
        <v/>
      </c>
      <c r="K171" s="9" t="str">
        <f>IFERROR(INDEX('CASE MASTER'!$R$2:$R$495,MATCH("Case MAX Planck Plate 15: A10",'CASE MASTER'!$J$2:$J$495,0)),"")</f>
        <v/>
      </c>
      <c r="L171" s="9" t="str">
        <f>IFERROR(INDEX('CASE MASTER'!$R$2:$R$495,MATCH("Case MAX Planck Plate 15: A11",'CASE MASTER'!$J$2:$J$495,0)),"")</f>
        <v/>
      </c>
      <c r="M171" s="9" t="str">
        <f>IFERROR(INDEX('CASE MASTER'!$R$2:$R$495,MATCH("Case MAX Planck Plate 15: A12",'CASE MASTER'!$J$2:$J$495,0)),"")</f>
        <v/>
      </c>
    </row>
    <row r="172" spans="1:13" ht="15" customHeight="1" x14ac:dyDescent="0.35">
      <c r="A172" s="8" t="s">
        <v>29</v>
      </c>
      <c r="B172" s="9" t="str">
        <f>IFERROR(INDEX('CASE MASTER'!$R$2:$R$495,MATCH("Case MAX Planck Plate 15: B1",'CASE MASTER'!$J$2:$J$495,0)),"")</f>
        <v/>
      </c>
      <c r="C172" s="9" t="str">
        <f>IFERROR(INDEX('CASE MASTER'!$R$2:$R$495,MATCH("Case MAX Planck Plate 15: B2",'CASE MASTER'!$J$2:$J$495,0)),"")</f>
        <v/>
      </c>
      <c r="D172" s="9" t="str">
        <f>IFERROR(INDEX('CASE MASTER'!$R$2:$R$495,MATCH("Case MAX Planck Plate 15: B3",'CASE MASTER'!$J$2:$J$495,0)),"")</f>
        <v/>
      </c>
      <c r="E172" s="9" t="str">
        <f>IFERROR(INDEX('CASE MASTER'!$R$2:$R$495,MATCH("Case MAX Planck Plate 15: B4",'CASE MASTER'!$J$2:$J$495,0)),"")</f>
        <v/>
      </c>
      <c r="F172" s="9" t="str">
        <f>IFERROR(INDEX('CASE MASTER'!$R$2:$R$495,MATCH("Case MAX Planck Plate 15: B5",'CASE MASTER'!$J$2:$J$495,0)),"")</f>
        <v/>
      </c>
      <c r="G172" s="9" t="str">
        <f>IFERROR(INDEX('CASE MASTER'!$R$2:$R$495,MATCH("Case MAX Planck Plate 15: B6",'CASE MASTER'!$J$2:$J$495,0)),"")</f>
        <v/>
      </c>
      <c r="H172" s="9" t="str">
        <f>IFERROR(INDEX('CASE MASTER'!$R$2:$R$495,MATCH("Case MAX Planck Plate 15: B7",'CASE MASTER'!$J$2:$J$495,0)),"")</f>
        <v/>
      </c>
      <c r="I172" s="9" t="str">
        <f>IFERROR(INDEX('CASE MASTER'!$R$2:$R$495,MATCH("Case MAX Planck Plate 15: B8",'CASE MASTER'!$J$2:$J$495,0)),"")</f>
        <v/>
      </c>
      <c r="J172" s="9" t="str">
        <f>IFERROR(INDEX('CASE MASTER'!$R$2:$R$495,MATCH("Case MAX Planck Plate 15: B9",'CASE MASTER'!$J$2:$J$495,0)),"")</f>
        <v/>
      </c>
      <c r="K172" s="9" t="str">
        <f>IFERROR(INDEX('CASE MASTER'!$R$2:$R$495,MATCH("Case MAX Planck Plate 15: B10",'CASE MASTER'!$J$2:$J$495,0)),"")</f>
        <v/>
      </c>
      <c r="L172" s="9" t="str">
        <f>IFERROR(INDEX('CASE MASTER'!$R$2:$R$495,MATCH("Case MAX Planck Plate 15: B11",'CASE MASTER'!$J$2:$J$495,0)),"")</f>
        <v/>
      </c>
      <c r="M172" s="9" t="str">
        <f>IFERROR(INDEX('CASE MASTER'!$R$2:$R$495,MATCH("Case MAX Planck Plate 15: B12",'CASE MASTER'!$J$2:$J$495,0)),"")</f>
        <v/>
      </c>
    </row>
    <row r="173" spans="1:13" ht="15" customHeight="1" x14ac:dyDescent="0.35">
      <c r="A173" s="8" t="s">
        <v>30</v>
      </c>
      <c r="B173" s="9" t="str">
        <f>IFERROR(INDEX('CASE MASTER'!$R$2:$R$495,MATCH("Case MAX Planck Plate 15: C1",'CASE MASTER'!$J$2:$J$495,0)),"")</f>
        <v/>
      </c>
      <c r="C173" s="9" t="str">
        <f>IFERROR(INDEX('CASE MASTER'!$R$2:$R$495,MATCH("Case MAX Planck Plate 15: C2",'CASE MASTER'!$J$2:$J$495,0)),"")</f>
        <v/>
      </c>
      <c r="D173" s="9" t="str">
        <f>IFERROR(INDEX('CASE MASTER'!$R$2:$R$495,MATCH("Case MAX Planck Plate 15: C3",'CASE MASTER'!$J$2:$J$495,0)),"")</f>
        <v/>
      </c>
      <c r="E173" s="9" t="str">
        <f>IFERROR(INDEX('CASE MASTER'!$R$2:$R$495,MATCH("Case MAX Planck Plate 15: C4",'CASE MASTER'!$J$2:$J$495,0)),"")</f>
        <v/>
      </c>
      <c r="F173" s="9" t="str">
        <f>IFERROR(INDEX('CASE MASTER'!$R$2:$R$495,MATCH("Case MAX Planck Plate 15: C5",'CASE MASTER'!$J$2:$J$495,0)),"")</f>
        <v/>
      </c>
      <c r="G173" s="9" t="str">
        <f>IFERROR(INDEX('CASE MASTER'!$R$2:$R$495,MATCH("Case MAX Planck Plate 15: C6",'CASE MASTER'!$J$2:$J$495,0)),"")</f>
        <v/>
      </c>
      <c r="H173" s="9" t="str">
        <f>IFERROR(INDEX('CASE MASTER'!$R$2:$R$495,MATCH("Case MAX Planck Plate 15: C7",'CASE MASTER'!$J$2:$J$495,0)),"")</f>
        <v/>
      </c>
      <c r="I173" s="9" t="str">
        <f>IFERROR(INDEX('CASE MASTER'!$R$2:$R$495,MATCH("Case MAX Planck Plate 15: C8",'CASE MASTER'!$J$2:$J$495,0)),"")</f>
        <v/>
      </c>
      <c r="J173" s="9" t="str">
        <f>IFERROR(INDEX('CASE MASTER'!$R$2:$R$495,MATCH("Case MAX Planck Plate 15: C9",'CASE MASTER'!$J$2:$J$495,0)),"")</f>
        <v/>
      </c>
      <c r="K173" s="9" t="str">
        <f>IFERROR(INDEX('CASE MASTER'!$R$2:$R$495,MATCH("Case MAX Planck Plate 15: C10",'CASE MASTER'!$J$2:$J$495,0)),"")</f>
        <v/>
      </c>
      <c r="L173" s="9" t="str">
        <f>IFERROR(INDEX('CASE MASTER'!$R$2:$R$495,MATCH("Case MAX Planck Plate 15: C11",'CASE MASTER'!$J$2:$J$495,0)),"")</f>
        <v/>
      </c>
      <c r="M173" s="9" t="str">
        <f>IFERROR(INDEX('CASE MASTER'!$R$2:$R$495,MATCH("Case MAX Planck Plate 15: C12",'CASE MASTER'!$J$2:$J$495,0)),"")</f>
        <v/>
      </c>
    </row>
    <row r="174" spans="1:13" ht="15" customHeight="1" x14ac:dyDescent="0.35">
      <c r="A174" s="8" t="s">
        <v>31</v>
      </c>
      <c r="B174" s="9" t="str">
        <f>IFERROR(INDEX('CASE MASTER'!$R$2:$R$495,MATCH("Case MAX Planck Plate 15: D1",'CASE MASTER'!$J$2:$J$495,0)),"")</f>
        <v/>
      </c>
      <c r="C174" s="9" t="str">
        <f>IFERROR(INDEX('CASE MASTER'!$R$2:$R$495,MATCH("Case MAX Planck Plate 15: D2",'CASE MASTER'!$J$2:$J$495,0)),"")</f>
        <v/>
      </c>
      <c r="D174" s="9" t="str">
        <f>IFERROR(INDEX('CASE MASTER'!$R$2:$R$495,MATCH("Case MAX Planck Plate 15: D3",'CASE MASTER'!$J$2:$J$495,0)),"")</f>
        <v/>
      </c>
      <c r="E174" s="9" t="str">
        <f>IFERROR(INDEX('CASE MASTER'!$R$2:$R$495,MATCH("Case MAX Planck Plate 15: D4",'CASE MASTER'!$J$2:$J$495,0)),"")</f>
        <v/>
      </c>
      <c r="F174" s="9" t="str">
        <f>IFERROR(INDEX('CASE MASTER'!$R$2:$R$495,MATCH("Case MAX Planck Plate 15: D5",'CASE MASTER'!$J$2:$J$495,0)),"")</f>
        <v/>
      </c>
      <c r="G174" s="9" t="str">
        <f>IFERROR(INDEX('CASE MASTER'!$R$2:$R$495,MATCH("Case MAX Planck Plate 15: D6",'CASE MASTER'!$J$2:$J$495,0)),"")</f>
        <v/>
      </c>
      <c r="H174" s="9" t="str">
        <f>IFERROR(INDEX('CASE MASTER'!$R$2:$R$495,MATCH("Case MAX Planck Plate 15: D7",'CASE MASTER'!$J$2:$J$495,0)),"")</f>
        <v/>
      </c>
      <c r="I174" s="9" t="str">
        <f>IFERROR(INDEX('CASE MASTER'!$R$2:$R$495,MATCH("Case MAX Planck Plate 15: D8",'CASE MASTER'!$J$2:$J$495,0)),"")</f>
        <v/>
      </c>
      <c r="J174" s="9" t="str">
        <f>IFERROR(INDEX('CASE MASTER'!$R$2:$R$495,MATCH("Case MAX Planck Plate 15: D9",'CASE MASTER'!$J$2:$J$495,0)),"")</f>
        <v/>
      </c>
      <c r="K174" s="9" t="str">
        <f>IFERROR(INDEX('CASE MASTER'!$R$2:$R$495,MATCH("Case MAX Planck Plate 15: D10",'CASE MASTER'!$J$2:$J$495,0)),"")</f>
        <v/>
      </c>
      <c r="L174" s="9" t="str">
        <f>IFERROR(INDEX('CASE MASTER'!$R$2:$R$495,MATCH("Case MAX Planck Plate 15: D11",'CASE MASTER'!$J$2:$J$495,0)),"")</f>
        <v/>
      </c>
      <c r="M174" s="9" t="str">
        <f>IFERROR(INDEX('CASE MASTER'!$R$2:$R$495,MATCH("Case MAX Planck Plate 15: D12",'CASE MASTER'!$J$2:$J$495,0)),"")</f>
        <v/>
      </c>
    </row>
    <row r="175" spans="1:13" ht="15" customHeight="1" x14ac:dyDescent="0.35">
      <c r="A175" s="8" t="s">
        <v>32</v>
      </c>
      <c r="B175" s="9" t="str">
        <f>IFERROR(INDEX('CASE MASTER'!$R$2:$R$495,MATCH("Case MAX Planck Plate 15: E1",'CASE MASTER'!$J$2:$J$495,0)),"")</f>
        <v/>
      </c>
      <c r="C175" s="9" t="str">
        <f>IFERROR(INDEX('CASE MASTER'!$R$2:$R$495,MATCH("Case MAX Planck Plate 15: E2",'CASE MASTER'!$J$2:$J$495,0)),"")</f>
        <v/>
      </c>
      <c r="D175" s="9" t="str">
        <f>IFERROR(INDEX('CASE MASTER'!$R$2:$R$495,MATCH("Case MAX Planck Plate 15: E3",'CASE MASTER'!$J$2:$J$495,0)),"")</f>
        <v/>
      </c>
      <c r="E175" s="9" t="str">
        <f>IFERROR(INDEX('CASE MASTER'!$R$2:$R$495,MATCH("Case MAX Planck Plate 15: E4",'CASE MASTER'!$J$2:$J$495,0)),"")</f>
        <v/>
      </c>
      <c r="F175" s="9" t="str">
        <f>IFERROR(INDEX('CASE MASTER'!$R$2:$R$495,MATCH("Case MAX Planck Plate 15: E5",'CASE MASTER'!$J$2:$J$495,0)),"")</f>
        <v/>
      </c>
      <c r="G175" s="9" t="str">
        <f>IFERROR(INDEX('CASE MASTER'!$R$2:$R$495,MATCH("Case MAX Planck Plate 15: E6",'CASE MASTER'!$J$2:$J$495,0)),"")</f>
        <v/>
      </c>
      <c r="H175" s="9" t="str">
        <f>IFERROR(INDEX('CASE MASTER'!$R$2:$R$495,MATCH("Case MAX Planck Plate 15: E7",'CASE MASTER'!$J$2:$J$495,0)),"")</f>
        <v/>
      </c>
      <c r="I175" s="9" t="str">
        <f>IFERROR(INDEX('CASE MASTER'!$R$2:$R$495,MATCH("Case MAX Planck Plate 15: E8",'CASE MASTER'!$J$2:$J$495,0)),"")</f>
        <v/>
      </c>
      <c r="J175" s="9" t="str">
        <f>IFERROR(INDEX('CASE MASTER'!$R$2:$R$495,MATCH("Case MAX Planck Plate 15: E9",'CASE MASTER'!$J$2:$J$495,0)),"")</f>
        <v/>
      </c>
      <c r="K175" s="9" t="str">
        <f>IFERROR(INDEX('CASE MASTER'!$R$2:$R$495,MATCH("Case MAX Planck Plate 15: E10",'CASE MASTER'!$J$2:$J$495,0)),"")</f>
        <v/>
      </c>
      <c r="L175" s="9" t="str">
        <f>IFERROR(INDEX('CASE MASTER'!$R$2:$R$495,MATCH("Case MAX Planck Plate 15: E11",'CASE MASTER'!$J$2:$J$495,0)),"")</f>
        <v/>
      </c>
      <c r="M175" s="9" t="str">
        <f>IFERROR(INDEX('CASE MASTER'!$R$2:$R$495,MATCH("Case MAX Planck Plate 15: E12",'CASE MASTER'!$J$2:$J$495,0)),"")</f>
        <v/>
      </c>
    </row>
    <row r="176" spans="1:13" ht="15" customHeight="1" x14ac:dyDescent="0.35">
      <c r="A176" s="8" t="s">
        <v>33</v>
      </c>
      <c r="B176" s="9" t="str">
        <f>IFERROR(INDEX('CASE MASTER'!$R$2:$R$495,MATCH("Case MAX Planck Plate 15: F1",'CASE MASTER'!$J$2:$J$495,0)),"")</f>
        <v/>
      </c>
      <c r="C176" s="9" t="str">
        <f>IFERROR(INDEX('CASE MASTER'!$R$2:$R$495,MATCH("Case MAX Planck Plate 15: F2",'CASE MASTER'!$J$2:$J$495,0)),"")</f>
        <v/>
      </c>
      <c r="D176" s="9" t="str">
        <f>IFERROR(INDEX('CASE MASTER'!$R$2:$R$495,MATCH("Case MAX Planck Plate 15: F3",'CASE MASTER'!$J$2:$J$495,0)),"")</f>
        <v/>
      </c>
      <c r="E176" s="9" t="str">
        <f>IFERROR(INDEX('CASE MASTER'!$R$2:$R$495,MATCH("Case MAX Planck Plate 15: F4",'CASE MASTER'!$J$2:$J$495,0)),"")</f>
        <v/>
      </c>
      <c r="F176" s="9" t="str">
        <f>IFERROR(INDEX('CASE MASTER'!$R$2:$R$495,MATCH("Case MAX Planck Plate 15: F5",'CASE MASTER'!$J$2:$J$495,0)),"")</f>
        <v/>
      </c>
      <c r="G176" s="9" t="str">
        <f>IFERROR(INDEX('CASE MASTER'!$R$2:$R$495,MATCH("Case MAX Planck Plate 15: F6",'CASE MASTER'!$J$2:$J$495,0)),"")</f>
        <v/>
      </c>
      <c r="H176" s="9" t="str">
        <f>IFERROR(INDEX('CASE MASTER'!$R$2:$R$495,MATCH("Case MAX Planck Plate 15: F7",'CASE MASTER'!$J$2:$J$495,0)),"")</f>
        <v/>
      </c>
      <c r="I176" s="9" t="str">
        <f>IFERROR(INDEX('CASE MASTER'!$R$2:$R$495,MATCH("Case MAX Planck Plate 15: F8",'CASE MASTER'!$J$2:$J$495,0)),"")</f>
        <v/>
      </c>
      <c r="J176" s="9" t="str">
        <f>IFERROR(INDEX('CASE MASTER'!$R$2:$R$495,MATCH("Case MAX Planck Plate 15: F9",'CASE MASTER'!$J$2:$J$495,0)),"")</f>
        <v/>
      </c>
      <c r="K176" s="9" t="str">
        <f>IFERROR(INDEX('CASE MASTER'!$R$2:$R$495,MATCH("Case MAX Planck Plate 15: F10",'CASE MASTER'!$J$2:$J$495,0)),"")</f>
        <v/>
      </c>
      <c r="L176" s="9" t="str">
        <f>IFERROR(INDEX('CASE MASTER'!$R$2:$R$495,MATCH("Case MAX Planck Plate 15: F11",'CASE MASTER'!$J$2:$J$495,0)),"")</f>
        <v/>
      </c>
      <c r="M176" s="9" t="str">
        <f>IFERROR(INDEX('CASE MASTER'!$R$2:$R$495,MATCH("Case MAX Planck Plate 15: F12",'CASE MASTER'!$J$2:$J$495,0)),"")</f>
        <v/>
      </c>
    </row>
    <row r="177" spans="1:13" ht="15" customHeight="1" x14ac:dyDescent="0.35">
      <c r="A177" s="8" t="s">
        <v>34</v>
      </c>
      <c r="B177" s="9" t="str">
        <f>IFERROR(INDEX('CASE MASTER'!$R$2:$R$495,MATCH("Case MAX Planck Plate 15: G1",'CASE MASTER'!$J$2:$J$495,0)),"")</f>
        <v/>
      </c>
      <c r="C177" s="9" t="str">
        <f>IFERROR(INDEX('CASE MASTER'!$R$2:$R$495,MATCH("Case MAX Planck Plate 15: G2",'CASE MASTER'!$J$2:$J$495,0)),"")</f>
        <v/>
      </c>
      <c r="D177" s="9" t="str">
        <f>IFERROR(INDEX('CASE MASTER'!$R$2:$R$495,MATCH("Case MAX Planck Plate 15: G3",'CASE MASTER'!$J$2:$J$495,0)),"")</f>
        <v/>
      </c>
      <c r="E177" s="9" t="str">
        <f>IFERROR(INDEX('CASE MASTER'!$R$2:$R$495,MATCH("Case MAX Planck Plate 15: G4",'CASE MASTER'!$J$2:$J$495,0)),"")</f>
        <v/>
      </c>
      <c r="F177" s="9" t="str">
        <f>IFERROR(INDEX('CASE MASTER'!$R$2:$R$495,MATCH("Case MAX Planck Plate 15: G5",'CASE MASTER'!$J$2:$J$495,0)),"")</f>
        <v/>
      </c>
      <c r="G177" s="9" t="str">
        <f>IFERROR(INDEX('CASE MASTER'!$R$2:$R$495,MATCH("Case MAX Planck Plate 15: G6",'CASE MASTER'!$J$2:$J$495,0)),"")</f>
        <v/>
      </c>
      <c r="H177" s="9" t="str">
        <f>IFERROR(INDEX('CASE MASTER'!$R$2:$R$495,MATCH("Case MAX Planck Plate 15: G7",'CASE MASTER'!$J$2:$J$495,0)),"")</f>
        <v/>
      </c>
      <c r="I177" s="9" t="str">
        <f>IFERROR(INDEX('CASE MASTER'!$R$2:$R$495,MATCH("Case MAX Planck Plate 15: G8",'CASE MASTER'!$J$2:$J$495,0)),"")</f>
        <v/>
      </c>
      <c r="J177" s="9" t="str">
        <f>IFERROR(INDEX('CASE MASTER'!$R$2:$R$495,MATCH("Case MAX Planck Plate 15: G9",'CASE MASTER'!$J$2:$J$495,0)),"")</f>
        <v/>
      </c>
      <c r="K177" s="9" t="str">
        <f>IFERROR(INDEX('CASE MASTER'!$R$2:$R$495,MATCH("Case MAX Planck Plate 15: G10",'CASE MASTER'!$J$2:$J$495,0)),"")</f>
        <v/>
      </c>
      <c r="L177" s="9" t="str">
        <f>IFERROR(INDEX('CASE MASTER'!$R$2:$R$495,MATCH("Case MAX Planck Plate 15: G11",'CASE MASTER'!$J$2:$J$495,0)),"")</f>
        <v/>
      </c>
      <c r="M177" s="9" t="str">
        <f>IFERROR(INDEX('CASE MASTER'!$R$2:$R$495,MATCH("Case MAX Planck Plate 15: G12",'CASE MASTER'!$J$2:$J$495,0)),"")</f>
        <v/>
      </c>
    </row>
    <row r="178" spans="1:13" ht="15" customHeight="1" x14ac:dyDescent="0.35">
      <c r="A178" s="8" t="s">
        <v>35</v>
      </c>
      <c r="B178" s="9" t="str">
        <f>IFERROR(INDEX('CASE MASTER'!$R$2:$R$495,MATCH("Case MAX Planck Plate 15: H1",'CASE MASTER'!$J$2:$J$495,0)),"")</f>
        <v/>
      </c>
      <c r="C178" s="9" t="str">
        <f>IFERROR(INDEX('CASE MASTER'!$R$2:$R$495,MATCH("Case MAX Planck Plate 15: H2",'CASE MASTER'!$J$2:$J$495,0)),"")</f>
        <v/>
      </c>
      <c r="D178" s="9" t="str">
        <f>IFERROR(INDEX('CASE MASTER'!$R$2:$R$495,MATCH("Case MAX Planck Plate 15: H3",'CASE MASTER'!$J$2:$J$495,0)),"")</f>
        <v/>
      </c>
      <c r="E178" s="9" t="str">
        <f>IFERROR(INDEX('CASE MASTER'!$R$2:$R$495,MATCH("Case MAX Planck Plate 15: H4",'CASE MASTER'!$J$2:$J$495,0)),"")</f>
        <v/>
      </c>
      <c r="F178" s="9" t="str">
        <f>IFERROR(INDEX('CASE MASTER'!$R$2:$R$495,MATCH("Case MAX Planck Plate 15: H5",'CASE MASTER'!$J$2:$J$495,0)),"")</f>
        <v/>
      </c>
      <c r="G178" s="9" t="str">
        <f>IFERROR(INDEX('CASE MASTER'!$R$2:$R$495,MATCH("Case MAX Planck Plate 15: H6",'CASE MASTER'!$J$2:$J$495,0)),"")</f>
        <v/>
      </c>
      <c r="H178" s="9" t="str">
        <f>IFERROR(INDEX('CASE MASTER'!$R$2:$R$495,MATCH("Case MAX Planck Plate 15: H7",'CASE MASTER'!$J$2:$J$495,0)),"")</f>
        <v/>
      </c>
      <c r="I178" s="9" t="str">
        <f>IFERROR(INDEX('CASE MASTER'!$R$2:$R$495,MATCH("Case MAX Planck Plate 15: H8",'CASE MASTER'!$J$2:$J$495,0)),"")</f>
        <v/>
      </c>
      <c r="J178" s="9" t="str">
        <f>IFERROR(INDEX('CASE MASTER'!$R$2:$R$495,MATCH("Case MAX Planck Plate 15: H9",'CASE MASTER'!$J$2:$J$495,0)),"")</f>
        <v/>
      </c>
      <c r="K178" s="9" t="str">
        <f>IFERROR(INDEX('CASE MASTER'!$R$2:$R$495,MATCH("Case MAX Planck Plate 15: H10",'CASE MASTER'!$J$2:$J$495,0)),"")</f>
        <v/>
      </c>
      <c r="L178" s="9" t="str">
        <f>IFERROR(INDEX('CASE MASTER'!$R$2:$R$495,MATCH("Case MAX Planck Plate 15: H11",'CASE MASTER'!$J$2:$J$495,0)),"")</f>
        <v/>
      </c>
      <c r="M178" s="9" t="str">
        <f>IFERROR(INDEX('CASE MASTER'!$R$2:$R$495,MATCH("Case MAX Planck Plate 15: H12",'CASE MASTER'!$J$2:$J$495,0)),"")</f>
        <v/>
      </c>
    </row>
  </sheetData>
  <mergeCells count="15">
    <mergeCell ref="A169:M169"/>
    <mergeCell ref="A13:M13"/>
    <mergeCell ref="A73:M73"/>
    <mergeCell ref="A1:M1"/>
    <mergeCell ref="A133:M133"/>
    <mergeCell ref="A37:M37"/>
    <mergeCell ref="A61:M61"/>
    <mergeCell ref="A97:M97"/>
    <mergeCell ref="A145:M145"/>
    <mergeCell ref="A109:M109"/>
    <mergeCell ref="A25:M25"/>
    <mergeCell ref="A157:M157"/>
    <mergeCell ref="A49:M49"/>
    <mergeCell ref="A121:M121"/>
    <mergeCell ref="A85:M85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5B9BD5"/>
  </sheetPr>
  <dimension ref="A1:K208"/>
  <sheetViews>
    <sheetView showGridLines="0" zoomScaleNormal="100" workbookViewId="0">
      <selection sqref="A1:K1"/>
    </sheetView>
  </sheetViews>
  <sheetFormatPr defaultColWidth="8.6328125" defaultRowHeight="15" customHeight="1" x14ac:dyDescent="0.35"/>
  <cols>
    <col min="1" max="1" width="5" customWidth="1"/>
    <col min="2" max="11" width="25.6328125" customWidth="1"/>
  </cols>
  <sheetData>
    <row r="1" spans="1:11" ht="15" customHeight="1" x14ac:dyDescent="0.35">
      <c r="A1" s="12" t="s">
        <v>80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11" ht="15" customHeight="1" x14ac:dyDescent="0.35">
      <c r="B2" s="8">
        <v>1</v>
      </c>
      <c r="C2" s="8">
        <v>2</v>
      </c>
      <c r="D2" s="8">
        <v>3</v>
      </c>
      <c r="E2" s="8">
        <v>4</v>
      </c>
      <c r="F2" s="8">
        <v>5</v>
      </c>
      <c r="G2" s="8">
        <v>6</v>
      </c>
      <c r="H2" s="8">
        <v>7</v>
      </c>
      <c r="I2" s="8">
        <v>8</v>
      </c>
      <c r="J2" s="8">
        <v>9</v>
      </c>
      <c r="K2" s="8">
        <v>10</v>
      </c>
    </row>
    <row r="3" spans="1:11" ht="15" customHeight="1" x14ac:dyDescent="0.35">
      <c r="A3" s="8" t="s">
        <v>28</v>
      </c>
      <c r="B3" s="10" t="str">
        <f>IFERROR(IF(SUMPRODUCT((('CASE MASTER'!$T$2:$T$495=1)*('CASE MASTER'!$U$2:$U$495&lt;=1)*('CASE MASTER'!$W$2:$W$495&gt;=1)*('CASE MASTER'!$V$2:$V$495&lt;=1)*('CASE MASTER'!$X$2:$X$495&gt;=1))*ROW('CASE MASTER'!$T$2:$T$495))&gt;0,INDEX('CASE MASTER'!$Y$2:$Y$495,(SUMPRODUCT((('CASE MASTER'!$T$2:$T$495=1)*('CASE MASTER'!$U$2:$U$495&lt;=1)*('CASE MASTER'!$W$2:$W$495&gt;=1)*('CASE MASTER'!$V$2:$V$495&lt;=1)*('CASE MASTER'!$X$2:$X$495&gt;=1))*ROW('CASE MASTER'!$T$2:$T$495))-(ROW('CASE MASTER'!#REF!)-1)))&amp;TRIM(MID(SUBSTITUTE(SUBSTITUTE(INDEX('CASE MASTER'!$N$2:$N$495,(SUMPRODUCT((('CASE MASTER'!$T$2:$T$495=1)*('CASE MASTER'!$U$2:$U$495&lt;=1)*('CASE MASTER'!$W$2:$W$495&gt;=1)*('CASE MASTER'!$V$2:$V$495&lt;=1)*('CASE MASTER'!$X$2:$X$495&gt;=1))*ROW('CASE MASTER'!$T$2:$T$495))-(ROW('CASE MASTER'!#REF!)-1))),":",","),",",REPT(" ",50)),((((1-INDEX('CASE MASTER'!$U$2:$U$495,(SUMPRODUCT((('CASE MASTER'!$T$2:$T$495=1)*('CASE MASTER'!$U$2:$U$495&lt;=1)*('CASE MASTER'!$W$2:$W$495&gt;=1)*('CASE MASTER'!$V$2:$V$495&lt;=1)*('CASE MASTER'!$X$2:$X$495&gt;=1))*ROW('CASE MASTER'!$T$2:$T$495))-(ROW('CASE MASTER'!#REF!)-1))))*(INDEX('CASE MASTER'!$X$2:$X$495,(SUMPRODUCT((('CASE MASTER'!$T$2:$T$495=1)*('CASE MASTER'!$U$2:$U$495&lt;=1)*('CASE MASTER'!$W$2:$W$495&gt;=1)*('CASE MASTER'!$V$2:$V$495&lt;=1)*('CASE MASTER'!$X$2:$X$495&gt;=1))*ROW('CASE MASTER'!$T$2:$T$495))-(ROW('CASE MASTER'!#REF!)-1)))-INDEX('CASE MASTER'!$V$2:$V$495,(SUMPRODUCT((('CASE MASTER'!$T$2:$T$495=1)*('CASE MASTER'!$U$2:$U$495&lt;=1)*('CASE MASTER'!$W$2:$W$495&gt;=1)*('CASE MASTER'!$V$2:$V$495&lt;=1)*('CASE MASTER'!$X$2:$X$495&gt;=1))*ROW('CASE MASTER'!$T$2:$T$495))-(ROW('CASE MASTER'!#REF!)-1)))+1)+(1-INDEX('CASE MASTER'!$V$2:$V$495,(SUMPRODUCT((('CASE MASTER'!$T$2:$T$495=1)*('CASE MASTER'!$U$2:$U$495&lt;=1)*('CASE MASTER'!$W$2:$W$495&gt;=1)*('CASE MASTER'!$V$2:$V$495&lt;=1)*('CASE MASTER'!$X$2:$X$495&gt;=1))*ROW('CASE MASTER'!$T$2:$T$495))-(ROW('CASE MASTER'!#REF!)-1))))+1))-1)*50+1,50))&amp;"_"&amp;INDEX('CASE MASTER'!$Q$2:$Q$495,(SUMPRODUCT((('CASE MASTER'!$T$2:$T$495=1)*('CASE MASTER'!$U$2:$U$495&lt;=1)*('CASE MASTER'!$W$2:$W$495&gt;=1)*('CASE MASTER'!$V$2:$V$495&lt;=1)*('CASE MASTER'!$X$2:$X$495&gt;=1))*ROW('CASE MASTER'!$T$2:$T$495))-(ROW('CASE MASTER'!#REF!)-1))),IF(SUMPRODUCT((('CASE MASTER'!$T$2:$T$495=1)*('CASE MASTER'!$AA$2:$AA$495&lt;=1)*('CASE MASTER'!$AC$2:$AC$495&gt;=1)*('CASE MASTER'!$AB$2:$AB$495&lt;=1)*('CASE MASTER'!$AD$2:$AD$495&gt;=1))*ROW('CASE MASTER'!$T$2:$T$495))&gt;0,INDEX('CASE MASTER'!$Y$2:$Y$495,(SUMPRODUCT((('CASE MASTER'!$T$2:$T$495=1)*('CASE MASTER'!$AA$2:$AA$495&lt;=1)*('CASE MASTER'!$AC$2:$AC$495&gt;=1)*('CASE MASTER'!$AB$2:$AB$495&lt;=1)*('CASE MASTER'!$AD$2:$AD$495&gt;=1))*ROW('CASE MASTER'!$T$2:$T$495))-(ROW('CASE MASTER'!#REF!)-1)))&amp;TRIM(MID(SUBSTITUTE(SUBSTITUTE(INDEX('CASE MASTER'!$N$2:$N$495,(SUMPRODUCT((('CASE MASTER'!$T$2:$T$495=1)*('CASE MASTER'!$AA$2:$AA$495&lt;=1)*('CASE MASTER'!$AC$2:$AC$495&gt;=1)*('CASE MASTER'!$AB$2:$AB$495&lt;=1)*('CASE MASTER'!$AD$2:$AD$495&gt;=1))*ROW('CASE MASTER'!$T$2:$T$495))-(ROW('CASE MASTER'!#REF!)-1))),":",","),",",REPT(" ",50)),(((INDEX('CASE MASTER'!$Z$2:$Z$495,(SUMPRODUCT((('CASE MASTER'!$T$2:$T$495=1)*('CASE MASTER'!$AA$2:$AA$495&lt;=1)*('CASE MASTER'!$AC$2:$AC$495&gt;=1)*('CASE MASTER'!$AB$2:$AB$495&lt;=1)*('CASE MASTER'!$AD$2:$AD$495&gt;=1))*ROW('CASE MASTER'!$T$2:$T$495))-(ROW('CASE MASTER'!#REF!)-1)))+((1-INDEX('CASE MASTER'!$AA$2:$AA$495,(SUMPRODUCT((('CASE MASTER'!$T$2:$T$495=1)*('CASE MASTER'!$AA$2:$AA$495&lt;=1)*('CASE MASTER'!$AC$2:$AC$495&gt;=1)*('CASE MASTER'!$AB$2:$AB$495&lt;=1)*('CASE MASTER'!$AD$2:$AD$495&gt;=1))*ROW('CASE MASTER'!$T$2:$T$495))-(ROW('CASE MASTER'!#REF!)-1))))*(INDEX('CASE MASTER'!$AD$2:$AD$495,(SUMPRODUCT((('CASE MASTER'!$T$2:$T$495=1)*('CASE MASTER'!$AA$2:$AA$495&lt;=1)*('CASE MASTER'!$AC$2:$AC$495&gt;=1)*('CASE MASTER'!$AB$2:$AB$495&lt;=1)*('CASE MASTER'!$AD$2:$AD$495&gt;=1))*ROW('CASE MASTER'!$T$2:$T$495))-(ROW('CASE MASTER'!#REF!)-1)))-INDEX('CASE MASTER'!$AB$2:$AB$495,(SUMPRODUCT((('CASE MASTER'!$T$2:$T$495=1)*('CASE MASTER'!$AA$2:$AA$495&lt;=1)*('CASE MASTER'!$AC$2:$AC$495&gt;=1)*('CASE MASTER'!$AB$2:$AB$495&lt;=1)*('CASE MASTER'!$AD$2:$AD$495&gt;=1))*ROW('CASE MASTER'!$T$2:$T$495))-(ROW('CASE MASTER'!#REF!)-1)))+1)+(1-INDEX('CASE MASTER'!$AB$2:$AB$495,(SUMPRODUCT((('CASE MASTER'!$T$2:$T$495=1)*('CASE MASTER'!$AA$2:$AA$495&lt;=1)*('CASE MASTER'!$AC$2:$AC$495&gt;=1)*('CASE MASTER'!$AB$2:$AB$495&lt;=1)*('CASE MASTER'!$AD$2:$AD$495&gt;=1))*ROW('CASE MASTER'!$T$2:$T$495))-(ROW('CASE MASTER'!#REF!)-1))))+1)))-1)*50+1,50))&amp;"_"&amp;INDEX('CASE MASTER'!$Q$2:$Q$495,(SUMPRODUCT((('CASE MASTER'!$T$2:$T$495=1)*('CASE MASTER'!$AA$2:$AA$495&lt;=1)*('CASE MASTER'!$AC$2:$AC$495&gt;=1)*('CASE MASTER'!$AB$2:$AB$495&lt;=1)*('CASE MASTER'!$AD$2:$AD$495&gt;=1))*ROW('CASE MASTER'!$T$2:$T$495))-(ROW('CASE MASTER'!#REF!)-1))),"")),"")</f>
        <v/>
      </c>
      <c r="C3" s="10" t="str">
        <f>IFERROR(IF(SUMPRODUCT((('CASE MASTER'!$T$2:$T$495=1)*('CASE MASTER'!$U$2:$U$495&lt;=1)*('CASE MASTER'!$W$2:$W$495&gt;=1)*('CASE MASTER'!$V$2:$V$495&lt;=2)*('CASE MASTER'!$X$2:$X$495&gt;=2))*ROW('CASE MASTER'!$T$2:$T$495))&gt;0,INDEX('CASE MASTER'!$Y$2:$Y$495,(SUMPRODUCT((('CASE MASTER'!$T$2:$T$495=1)*('CASE MASTER'!$U$2:$U$495&lt;=1)*('CASE MASTER'!$W$2:$W$495&gt;=1)*('CASE MASTER'!$V$2:$V$495&lt;=2)*('CASE MASTER'!$X$2:$X$495&gt;=2))*ROW('CASE MASTER'!$T$2:$T$495))-(ROW('CASE MASTER'!#REF!)-1)))&amp;TRIM(MID(SUBSTITUTE(SUBSTITUTE(INDEX('CASE MASTER'!$N$2:$N$495,(SUMPRODUCT((('CASE MASTER'!$T$2:$T$495=1)*('CASE MASTER'!$U$2:$U$495&lt;=1)*('CASE MASTER'!$W$2:$W$495&gt;=1)*('CASE MASTER'!$V$2:$V$495&lt;=2)*('CASE MASTER'!$X$2:$X$495&gt;=2))*ROW('CASE MASTER'!$T$2:$T$495))-(ROW('CASE MASTER'!#REF!)-1))),":",","),",",REPT(" ",50)),((((1-INDEX('CASE MASTER'!$U$2:$U$495,(SUMPRODUCT((('CASE MASTER'!$T$2:$T$495=1)*('CASE MASTER'!$U$2:$U$495&lt;=1)*('CASE MASTER'!$W$2:$W$495&gt;=1)*('CASE MASTER'!$V$2:$V$495&lt;=2)*('CASE MASTER'!$X$2:$X$495&gt;=2))*ROW('CASE MASTER'!$T$2:$T$495))-(ROW('CASE MASTER'!#REF!)-1))))*(INDEX('CASE MASTER'!$X$2:$X$495,(SUMPRODUCT((('CASE MASTER'!$T$2:$T$495=1)*('CASE MASTER'!$U$2:$U$495&lt;=1)*('CASE MASTER'!$W$2:$W$495&gt;=1)*('CASE MASTER'!$V$2:$V$495&lt;=2)*('CASE MASTER'!$X$2:$X$495&gt;=2))*ROW('CASE MASTER'!$T$2:$T$495))-(ROW('CASE MASTER'!#REF!)-1)))-INDEX('CASE MASTER'!$V$2:$V$495,(SUMPRODUCT((('CASE MASTER'!$T$2:$T$495=1)*('CASE MASTER'!$U$2:$U$495&lt;=1)*('CASE MASTER'!$W$2:$W$495&gt;=1)*('CASE MASTER'!$V$2:$V$495&lt;=2)*('CASE MASTER'!$X$2:$X$495&gt;=2))*ROW('CASE MASTER'!$T$2:$T$495))-(ROW('CASE MASTER'!#REF!)-1)))+1)+(2-INDEX('CASE MASTER'!$V$2:$V$495,(SUMPRODUCT((('CASE MASTER'!$T$2:$T$495=1)*('CASE MASTER'!$U$2:$U$495&lt;=1)*('CASE MASTER'!$W$2:$W$495&gt;=1)*('CASE MASTER'!$V$2:$V$495&lt;=2)*('CASE MASTER'!$X$2:$X$495&gt;=2))*ROW('CASE MASTER'!$T$2:$T$495))-(ROW('CASE MASTER'!#REF!)-1))))+1))-1)*50+1,50))&amp;"_"&amp;INDEX('CASE MASTER'!$Q$2:$Q$495,(SUMPRODUCT((('CASE MASTER'!$T$2:$T$495=1)*('CASE MASTER'!$U$2:$U$495&lt;=1)*('CASE MASTER'!$W$2:$W$495&gt;=1)*('CASE MASTER'!$V$2:$V$495&lt;=2)*('CASE MASTER'!$X$2:$X$495&gt;=2))*ROW('CASE MASTER'!$T$2:$T$495))-(ROW('CASE MASTER'!#REF!)-1))),IF(SUMPRODUCT((('CASE MASTER'!$T$2:$T$495=1)*('CASE MASTER'!$AA$2:$AA$495&lt;=1)*('CASE MASTER'!$AC$2:$AC$495&gt;=1)*('CASE MASTER'!$AB$2:$AB$495&lt;=2)*('CASE MASTER'!$AD$2:$AD$495&gt;=2))*ROW('CASE MASTER'!$T$2:$T$495))&gt;0,INDEX('CASE MASTER'!$Y$2:$Y$495,(SUMPRODUCT((('CASE MASTER'!$T$2:$T$495=1)*('CASE MASTER'!$AA$2:$AA$495&lt;=1)*('CASE MASTER'!$AC$2:$AC$495&gt;=1)*('CASE MASTER'!$AB$2:$AB$495&lt;=2)*('CASE MASTER'!$AD$2:$AD$495&gt;=2))*ROW('CASE MASTER'!$T$2:$T$495))-(ROW('CASE MASTER'!#REF!)-1)))&amp;TRIM(MID(SUBSTITUTE(SUBSTITUTE(INDEX('CASE MASTER'!$N$2:$N$495,(SUMPRODUCT((('CASE MASTER'!$T$2:$T$495=1)*('CASE MASTER'!$AA$2:$AA$495&lt;=1)*('CASE MASTER'!$AC$2:$AC$495&gt;=1)*('CASE MASTER'!$AB$2:$AB$495&lt;=2)*('CASE MASTER'!$AD$2:$AD$495&gt;=2))*ROW('CASE MASTER'!$T$2:$T$495))-(ROW('CASE MASTER'!#REF!)-1))),":",","),",",REPT(" ",50)),(((INDEX('CASE MASTER'!$Z$2:$Z$495,(SUMPRODUCT((('CASE MASTER'!$T$2:$T$495=1)*('CASE MASTER'!$AA$2:$AA$495&lt;=1)*('CASE MASTER'!$AC$2:$AC$495&gt;=1)*('CASE MASTER'!$AB$2:$AB$495&lt;=2)*('CASE MASTER'!$AD$2:$AD$495&gt;=2))*ROW('CASE MASTER'!$T$2:$T$495))-(ROW('CASE MASTER'!#REF!)-1)))+((1-INDEX('CASE MASTER'!$AA$2:$AA$495,(SUMPRODUCT((('CASE MASTER'!$T$2:$T$495=1)*('CASE MASTER'!$AA$2:$AA$495&lt;=1)*('CASE MASTER'!$AC$2:$AC$495&gt;=1)*('CASE MASTER'!$AB$2:$AB$495&lt;=2)*('CASE MASTER'!$AD$2:$AD$495&gt;=2))*ROW('CASE MASTER'!$T$2:$T$495))-(ROW('CASE MASTER'!#REF!)-1))))*(INDEX('CASE MASTER'!$AD$2:$AD$495,(SUMPRODUCT((('CASE MASTER'!$T$2:$T$495=1)*('CASE MASTER'!$AA$2:$AA$495&lt;=1)*('CASE MASTER'!$AC$2:$AC$495&gt;=1)*('CASE MASTER'!$AB$2:$AB$495&lt;=2)*('CASE MASTER'!$AD$2:$AD$495&gt;=2))*ROW('CASE MASTER'!$T$2:$T$495))-(ROW('CASE MASTER'!#REF!)-1)))-INDEX('CASE MASTER'!$AB$2:$AB$495,(SUMPRODUCT((('CASE MASTER'!$T$2:$T$495=1)*('CASE MASTER'!$AA$2:$AA$495&lt;=1)*('CASE MASTER'!$AC$2:$AC$495&gt;=1)*('CASE MASTER'!$AB$2:$AB$495&lt;=2)*('CASE MASTER'!$AD$2:$AD$495&gt;=2))*ROW('CASE MASTER'!$T$2:$T$495))-(ROW('CASE MASTER'!#REF!)-1)))+1)+(2-INDEX('CASE MASTER'!$AB$2:$AB$495,(SUMPRODUCT((('CASE MASTER'!$T$2:$T$495=1)*('CASE MASTER'!$AA$2:$AA$495&lt;=1)*('CASE MASTER'!$AC$2:$AC$495&gt;=1)*('CASE MASTER'!$AB$2:$AB$495&lt;=2)*('CASE MASTER'!$AD$2:$AD$495&gt;=2))*ROW('CASE MASTER'!$T$2:$T$495))-(ROW('CASE MASTER'!#REF!)-1))))+1)))-1)*50+1,50))&amp;"_"&amp;INDEX('CASE MASTER'!$Q$2:$Q$495,(SUMPRODUCT((('CASE MASTER'!$T$2:$T$495=1)*('CASE MASTER'!$AA$2:$AA$495&lt;=1)*('CASE MASTER'!$AC$2:$AC$495&gt;=1)*('CASE MASTER'!$AB$2:$AB$495&lt;=2)*('CASE MASTER'!$AD$2:$AD$495&gt;=2))*ROW('CASE MASTER'!$T$2:$T$495))-(ROW('CASE MASTER'!#REF!)-1))),"")),"")</f>
        <v/>
      </c>
      <c r="D3" s="10" t="str">
        <f>IFERROR(IF(SUMPRODUCT((('CASE MASTER'!$T$2:$T$495=1)*('CASE MASTER'!$U$2:$U$495&lt;=1)*('CASE MASTER'!$W$2:$W$495&gt;=1)*('CASE MASTER'!$V$2:$V$495&lt;=3)*('CASE MASTER'!$X$2:$X$495&gt;=3))*ROW('CASE MASTER'!$T$2:$T$495))&gt;0,INDEX('CASE MASTER'!$Y$2:$Y$495,(SUMPRODUCT((('CASE MASTER'!$T$2:$T$495=1)*('CASE MASTER'!$U$2:$U$495&lt;=1)*('CASE MASTER'!$W$2:$W$495&gt;=1)*('CASE MASTER'!$V$2:$V$495&lt;=3)*('CASE MASTER'!$X$2:$X$495&gt;=3))*ROW('CASE MASTER'!$T$2:$T$495))-(ROW('CASE MASTER'!#REF!)-1)))&amp;TRIM(MID(SUBSTITUTE(SUBSTITUTE(INDEX('CASE MASTER'!$N$2:$N$495,(SUMPRODUCT((('CASE MASTER'!$T$2:$T$495=1)*('CASE MASTER'!$U$2:$U$495&lt;=1)*('CASE MASTER'!$W$2:$W$495&gt;=1)*('CASE MASTER'!$V$2:$V$495&lt;=3)*('CASE MASTER'!$X$2:$X$495&gt;=3))*ROW('CASE MASTER'!$T$2:$T$495))-(ROW('CASE MASTER'!#REF!)-1))),":",","),",",REPT(" ",50)),((((1-INDEX('CASE MASTER'!$U$2:$U$495,(SUMPRODUCT((('CASE MASTER'!$T$2:$T$495=1)*('CASE MASTER'!$U$2:$U$495&lt;=1)*('CASE MASTER'!$W$2:$W$495&gt;=1)*('CASE MASTER'!$V$2:$V$495&lt;=3)*('CASE MASTER'!$X$2:$X$495&gt;=3))*ROW('CASE MASTER'!$T$2:$T$495))-(ROW('CASE MASTER'!#REF!)-1))))*(INDEX('CASE MASTER'!$X$2:$X$495,(SUMPRODUCT((('CASE MASTER'!$T$2:$T$495=1)*('CASE MASTER'!$U$2:$U$495&lt;=1)*('CASE MASTER'!$W$2:$W$495&gt;=1)*('CASE MASTER'!$V$2:$V$495&lt;=3)*('CASE MASTER'!$X$2:$X$495&gt;=3))*ROW('CASE MASTER'!$T$2:$T$495))-(ROW('CASE MASTER'!#REF!)-1)))-INDEX('CASE MASTER'!$V$2:$V$495,(SUMPRODUCT((('CASE MASTER'!$T$2:$T$495=1)*('CASE MASTER'!$U$2:$U$495&lt;=1)*('CASE MASTER'!$W$2:$W$495&gt;=1)*('CASE MASTER'!$V$2:$V$495&lt;=3)*('CASE MASTER'!$X$2:$X$495&gt;=3))*ROW('CASE MASTER'!$T$2:$T$495))-(ROW('CASE MASTER'!#REF!)-1)))+1)+(3-INDEX('CASE MASTER'!$V$2:$V$495,(SUMPRODUCT((('CASE MASTER'!$T$2:$T$495=1)*('CASE MASTER'!$U$2:$U$495&lt;=1)*('CASE MASTER'!$W$2:$W$495&gt;=1)*('CASE MASTER'!$V$2:$V$495&lt;=3)*('CASE MASTER'!$X$2:$X$495&gt;=3))*ROW('CASE MASTER'!$T$2:$T$495))-(ROW('CASE MASTER'!#REF!)-1))))+1))-1)*50+1,50))&amp;"_"&amp;INDEX('CASE MASTER'!$Q$2:$Q$495,(SUMPRODUCT((('CASE MASTER'!$T$2:$T$495=1)*('CASE MASTER'!$U$2:$U$495&lt;=1)*('CASE MASTER'!$W$2:$W$495&gt;=1)*('CASE MASTER'!$V$2:$V$495&lt;=3)*('CASE MASTER'!$X$2:$X$495&gt;=3))*ROW('CASE MASTER'!$T$2:$T$495))-(ROW('CASE MASTER'!#REF!)-1))),IF(SUMPRODUCT((('CASE MASTER'!$T$2:$T$495=1)*('CASE MASTER'!$AA$2:$AA$495&lt;=1)*('CASE MASTER'!$AC$2:$AC$495&gt;=1)*('CASE MASTER'!$AB$2:$AB$495&lt;=3)*('CASE MASTER'!$AD$2:$AD$495&gt;=3))*ROW('CASE MASTER'!$T$2:$T$495))&gt;0,INDEX('CASE MASTER'!$Y$2:$Y$495,(SUMPRODUCT((('CASE MASTER'!$T$2:$T$495=1)*('CASE MASTER'!$AA$2:$AA$495&lt;=1)*('CASE MASTER'!$AC$2:$AC$495&gt;=1)*('CASE MASTER'!$AB$2:$AB$495&lt;=3)*('CASE MASTER'!$AD$2:$AD$495&gt;=3))*ROW('CASE MASTER'!$T$2:$T$495))-(ROW('CASE MASTER'!#REF!)-1)))&amp;TRIM(MID(SUBSTITUTE(SUBSTITUTE(INDEX('CASE MASTER'!$N$2:$N$495,(SUMPRODUCT((('CASE MASTER'!$T$2:$T$495=1)*('CASE MASTER'!$AA$2:$AA$495&lt;=1)*('CASE MASTER'!$AC$2:$AC$495&gt;=1)*('CASE MASTER'!$AB$2:$AB$495&lt;=3)*('CASE MASTER'!$AD$2:$AD$495&gt;=3))*ROW('CASE MASTER'!$T$2:$T$495))-(ROW('CASE MASTER'!#REF!)-1))),":",","),",",REPT(" ",50)),(((INDEX('CASE MASTER'!$Z$2:$Z$495,(SUMPRODUCT((('CASE MASTER'!$T$2:$T$495=1)*('CASE MASTER'!$AA$2:$AA$495&lt;=1)*('CASE MASTER'!$AC$2:$AC$495&gt;=1)*('CASE MASTER'!$AB$2:$AB$495&lt;=3)*('CASE MASTER'!$AD$2:$AD$495&gt;=3))*ROW('CASE MASTER'!$T$2:$T$495))-(ROW('CASE MASTER'!#REF!)-1)))+((1-INDEX('CASE MASTER'!$AA$2:$AA$495,(SUMPRODUCT((('CASE MASTER'!$T$2:$T$495=1)*('CASE MASTER'!$AA$2:$AA$495&lt;=1)*('CASE MASTER'!$AC$2:$AC$495&gt;=1)*('CASE MASTER'!$AB$2:$AB$495&lt;=3)*('CASE MASTER'!$AD$2:$AD$495&gt;=3))*ROW('CASE MASTER'!$T$2:$T$495))-(ROW('CASE MASTER'!#REF!)-1))))*(INDEX('CASE MASTER'!$AD$2:$AD$495,(SUMPRODUCT((('CASE MASTER'!$T$2:$T$495=1)*('CASE MASTER'!$AA$2:$AA$495&lt;=1)*('CASE MASTER'!$AC$2:$AC$495&gt;=1)*('CASE MASTER'!$AB$2:$AB$495&lt;=3)*('CASE MASTER'!$AD$2:$AD$495&gt;=3))*ROW('CASE MASTER'!$T$2:$T$495))-(ROW('CASE MASTER'!#REF!)-1)))-INDEX('CASE MASTER'!$AB$2:$AB$495,(SUMPRODUCT((('CASE MASTER'!$T$2:$T$495=1)*('CASE MASTER'!$AA$2:$AA$495&lt;=1)*('CASE MASTER'!$AC$2:$AC$495&gt;=1)*('CASE MASTER'!$AB$2:$AB$495&lt;=3)*('CASE MASTER'!$AD$2:$AD$495&gt;=3))*ROW('CASE MASTER'!$T$2:$T$495))-(ROW('CASE MASTER'!#REF!)-1)))+1)+(3-INDEX('CASE MASTER'!$AB$2:$AB$495,(SUMPRODUCT((('CASE MASTER'!$T$2:$T$495=1)*('CASE MASTER'!$AA$2:$AA$495&lt;=1)*('CASE MASTER'!$AC$2:$AC$495&gt;=1)*('CASE MASTER'!$AB$2:$AB$495&lt;=3)*('CASE MASTER'!$AD$2:$AD$495&gt;=3))*ROW('CASE MASTER'!$T$2:$T$495))-(ROW('CASE MASTER'!#REF!)-1))))+1)))-1)*50+1,50))&amp;"_"&amp;INDEX('CASE MASTER'!$Q$2:$Q$495,(SUMPRODUCT((('CASE MASTER'!$T$2:$T$495=1)*('CASE MASTER'!$AA$2:$AA$495&lt;=1)*('CASE MASTER'!$AC$2:$AC$495&gt;=1)*('CASE MASTER'!$AB$2:$AB$495&lt;=3)*('CASE MASTER'!$AD$2:$AD$495&gt;=3))*ROW('CASE MASTER'!$T$2:$T$495))-(ROW('CASE MASTER'!#REF!)-1))),"")),"")</f>
        <v/>
      </c>
      <c r="E3" s="10" t="str">
        <f>IFERROR(IF(SUMPRODUCT((('CASE MASTER'!$T$2:$T$495=1)*('CASE MASTER'!$U$2:$U$495&lt;=1)*('CASE MASTER'!$W$2:$W$495&gt;=1)*('CASE MASTER'!$V$2:$V$495&lt;=4)*('CASE MASTER'!$X$2:$X$495&gt;=4))*ROW('CASE MASTER'!$T$2:$T$495))&gt;0,INDEX('CASE MASTER'!$Y$2:$Y$495,(SUMPRODUCT((('CASE MASTER'!$T$2:$T$495=1)*('CASE MASTER'!$U$2:$U$495&lt;=1)*('CASE MASTER'!$W$2:$W$495&gt;=1)*('CASE MASTER'!$V$2:$V$495&lt;=4)*('CASE MASTER'!$X$2:$X$495&gt;=4))*ROW('CASE MASTER'!$T$2:$T$495))-(ROW('CASE MASTER'!#REF!)-1)))&amp;TRIM(MID(SUBSTITUTE(SUBSTITUTE(INDEX('CASE MASTER'!$N$2:$N$495,(SUMPRODUCT((('CASE MASTER'!$T$2:$T$495=1)*('CASE MASTER'!$U$2:$U$495&lt;=1)*('CASE MASTER'!$W$2:$W$495&gt;=1)*('CASE MASTER'!$V$2:$V$495&lt;=4)*('CASE MASTER'!$X$2:$X$495&gt;=4))*ROW('CASE MASTER'!$T$2:$T$495))-(ROW('CASE MASTER'!#REF!)-1))),":",","),",",REPT(" ",50)),((((1-INDEX('CASE MASTER'!$U$2:$U$495,(SUMPRODUCT((('CASE MASTER'!$T$2:$T$495=1)*('CASE MASTER'!$U$2:$U$495&lt;=1)*('CASE MASTER'!$W$2:$W$495&gt;=1)*('CASE MASTER'!$V$2:$V$495&lt;=4)*('CASE MASTER'!$X$2:$X$495&gt;=4))*ROW('CASE MASTER'!$T$2:$T$495))-(ROW('CASE MASTER'!#REF!)-1))))*(INDEX('CASE MASTER'!$X$2:$X$495,(SUMPRODUCT((('CASE MASTER'!$T$2:$T$495=1)*('CASE MASTER'!$U$2:$U$495&lt;=1)*('CASE MASTER'!$W$2:$W$495&gt;=1)*('CASE MASTER'!$V$2:$V$495&lt;=4)*('CASE MASTER'!$X$2:$X$495&gt;=4))*ROW('CASE MASTER'!$T$2:$T$495))-(ROW('CASE MASTER'!#REF!)-1)))-INDEX('CASE MASTER'!$V$2:$V$495,(SUMPRODUCT((('CASE MASTER'!$T$2:$T$495=1)*('CASE MASTER'!$U$2:$U$495&lt;=1)*('CASE MASTER'!$W$2:$W$495&gt;=1)*('CASE MASTER'!$V$2:$V$495&lt;=4)*('CASE MASTER'!$X$2:$X$495&gt;=4))*ROW('CASE MASTER'!$T$2:$T$495))-(ROW('CASE MASTER'!#REF!)-1)))+1)+(4-INDEX('CASE MASTER'!$V$2:$V$495,(SUMPRODUCT((('CASE MASTER'!$T$2:$T$495=1)*('CASE MASTER'!$U$2:$U$495&lt;=1)*('CASE MASTER'!$W$2:$W$495&gt;=1)*('CASE MASTER'!$V$2:$V$495&lt;=4)*('CASE MASTER'!$X$2:$X$495&gt;=4))*ROW('CASE MASTER'!$T$2:$T$495))-(ROW('CASE MASTER'!#REF!)-1))))+1))-1)*50+1,50))&amp;"_"&amp;INDEX('CASE MASTER'!$Q$2:$Q$495,(SUMPRODUCT((('CASE MASTER'!$T$2:$T$495=1)*('CASE MASTER'!$U$2:$U$495&lt;=1)*('CASE MASTER'!$W$2:$W$495&gt;=1)*('CASE MASTER'!$V$2:$V$495&lt;=4)*('CASE MASTER'!$X$2:$X$495&gt;=4))*ROW('CASE MASTER'!$T$2:$T$495))-(ROW('CASE MASTER'!#REF!)-1))),IF(SUMPRODUCT((('CASE MASTER'!$T$2:$T$495=1)*('CASE MASTER'!$AA$2:$AA$495&lt;=1)*('CASE MASTER'!$AC$2:$AC$495&gt;=1)*('CASE MASTER'!$AB$2:$AB$495&lt;=4)*('CASE MASTER'!$AD$2:$AD$495&gt;=4))*ROW('CASE MASTER'!$T$2:$T$495))&gt;0,INDEX('CASE MASTER'!$Y$2:$Y$495,(SUMPRODUCT((('CASE MASTER'!$T$2:$T$495=1)*('CASE MASTER'!$AA$2:$AA$495&lt;=1)*('CASE MASTER'!$AC$2:$AC$495&gt;=1)*('CASE MASTER'!$AB$2:$AB$495&lt;=4)*('CASE MASTER'!$AD$2:$AD$495&gt;=4))*ROW('CASE MASTER'!$T$2:$T$495))-(ROW('CASE MASTER'!#REF!)-1)))&amp;TRIM(MID(SUBSTITUTE(SUBSTITUTE(INDEX('CASE MASTER'!$N$2:$N$495,(SUMPRODUCT((('CASE MASTER'!$T$2:$T$495=1)*('CASE MASTER'!$AA$2:$AA$495&lt;=1)*('CASE MASTER'!$AC$2:$AC$495&gt;=1)*('CASE MASTER'!$AB$2:$AB$495&lt;=4)*('CASE MASTER'!$AD$2:$AD$495&gt;=4))*ROW('CASE MASTER'!$T$2:$T$495))-(ROW('CASE MASTER'!#REF!)-1))),":",","),",",REPT(" ",50)),(((INDEX('CASE MASTER'!$Z$2:$Z$495,(SUMPRODUCT((('CASE MASTER'!$T$2:$T$495=1)*('CASE MASTER'!$AA$2:$AA$495&lt;=1)*('CASE MASTER'!$AC$2:$AC$495&gt;=1)*('CASE MASTER'!$AB$2:$AB$495&lt;=4)*('CASE MASTER'!$AD$2:$AD$495&gt;=4))*ROW('CASE MASTER'!$T$2:$T$495))-(ROW('CASE MASTER'!#REF!)-1)))+((1-INDEX('CASE MASTER'!$AA$2:$AA$495,(SUMPRODUCT((('CASE MASTER'!$T$2:$T$495=1)*('CASE MASTER'!$AA$2:$AA$495&lt;=1)*('CASE MASTER'!$AC$2:$AC$495&gt;=1)*('CASE MASTER'!$AB$2:$AB$495&lt;=4)*('CASE MASTER'!$AD$2:$AD$495&gt;=4))*ROW('CASE MASTER'!$T$2:$T$495))-(ROW('CASE MASTER'!#REF!)-1))))*(INDEX('CASE MASTER'!$AD$2:$AD$495,(SUMPRODUCT((('CASE MASTER'!$T$2:$T$495=1)*('CASE MASTER'!$AA$2:$AA$495&lt;=1)*('CASE MASTER'!$AC$2:$AC$495&gt;=1)*('CASE MASTER'!$AB$2:$AB$495&lt;=4)*('CASE MASTER'!$AD$2:$AD$495&gt;=4))*ROW('CASE MASTER'!$T$2:$T$495))-(ROW('CASE MASTER'!#REF!)-1)))-INDEX('CASE MASTER'!$AB$2:$AB$495,(SUMPRODUCT((('CASE MASTER'!$T$2:$T$495=1)*('CASE MASTER'!$AA$2:$AA$495&lt;=1)*('CASE MASTER'!$AC$2:$AC$495&gt;=1)*('CASE MASTER'!$AB$2:$AB$495&lt;=4)*('CASE MASTER'!$AD$2:$AD$495&gt;=4))*ROW('CASE MASTER'!$T$2:$T$495))-(ROW('CASE MASTER'!#REF!)-1)))+1)+(4-INDEX('CASE MASTER'!$AB$2:$AB$495,(SUMPRODUCT((('CASE MASTER'!$T$2:$T$495=1)*('CASE MASTER'!$AA$2:$AA$495&lt;=1)*('CASE MASTER'!$AC$2:$AC$495&gt;=1)*('CASE MASTER'!$AB$2:$AB$495&lt;=4)*('CASE MASTER'!$AD$2:$AD$495&gt;=4))*ROW('CASE MASTER'!$T$2:$T$495))-(ROW('CASE MASTER'!#REF!)-1))))+1)))-1)*50+1,50))&amp;"_"&amp;INDEX('CASE MASTER'!$Q$2:$Q$495,(SUMPRODUCT((('CASE MASTER'!$T$2:$T$495=1)*('CASE MASTER'!$AA$2:$AA$495&lt;=1)*('CASE MASTER'!$AC$2:$AC$495&gt;=1)*('CASE MASTER'!$AB$2:$AB$495&lt;=4)*('CASE MASTER'!$AD$2:$AD$495&gt;=4))*ROW('CASE MASTER'!$T$2:$T$495))-(ROW('CASE MASTER'!#REF!)-1))),"")),"")</f>
        <v/>
      </c>
      <c r="F3" s="10" t="str">
        <f>IFERROR(IF(SUMPRODUCT((('CASE MASTER'!$T$2:$T$495=1)*('CASE MASTER'!$U$2:$U$495&lt;=1)*('CASE MASTER'!$W$2:$W$495&gt;=1)*('CASE MASTER'!$V$2:$V$495&lt;=5)*('CASE MASTER'!$X$2:$X$495&gt;=5))*ROW('CASE MASTER'!$T$2:$T$495))&gt;0,INDEX('CASE MASTER'!$Y$2:$Y$495,(SUMPRODUCT((('CASE MASTER'!$T$2:$T$495=1)*('CASE MASTER'!$U$2:$U$495&lt;=1)*('CASE MASTER'!$W$2:$W$495&gt;=1)*('CASE MASTER'!$V$2:$V$495&lt;=5)*('CASE MASTER'!$X$2:$X$495&gt;=5))*ROW('CASE MASTER'!$T$2:$T$495))-(ROW('CASE MASTER'!#REF!)-1)))&amp;TRIM(MID(SUBSTITUTE(SUBSTITUTE(INDEX('CASE MASTER'!$N$2:$N$495,(SUMPRODUCT((('CASE MASTER'!$T$2:$T$495=1)*('CASE MASTER'!$U$2:$U$495&lt;=1)*('CASE MASTER'!$W$2:$W$495&gt;=1)*('CASE MASTER'!$V$2:$V$495&lt;=5)*('CASE MASTER'!$X$2:$X$495&gt;=5))*ROW('CASE MASTER'!$T$2:$T$495))-(ROW('CASE MASTER'!#REF!)-1))),":",","),",",REPT(" ",50)),((((1-INDEX('CASE MASTER'!$U$2:$U$495,(SUMPRODUCT((('CASE MASTER'!$T$2:$T$495=1)*('CASE MASTER'!$U$2:$U$495&lt;=1)*('CASE MASTER'!$W$2:$W$495&gt;=1)*('CASE MASTER'!$V$2:$V$495&lt;=5)*('CASE MASTER'!$X$2:$X$495&gt;=5))*ROW('CASE MASTER'!$T$2:$T$495))-(ROW('CASE MASTER'!#REF!)-1))))*(INDEX('CASE MASTER'!$X$2:$X$495,(SUMPRODUCT((('CASE MASTER'!$T$2:$T$495=1)*('CASE MASTER'!$U$2:$U$495&lt;=1)*('CASE MASTER'!$W$2:$W$495&gt;=1)*('CASE MASTER'!$V$2:$V$495&lt;=5)*('CASE MASTER'!$X$2:$X$495&gt;=5))*ROW('CASE MASTER'!$T$2:$T$495))-(ROW('CASE MASTER'!#REF!)-1)))-INDEX('CASE MASTER'!$V$2:$V$495,(SUMPRODUCT((('CASE MASTER'!$T$2:$T$495=1)*('CASE MASTER'!$U$2:$U$495&lt;=1)*('CASE MASTER'!$W$2:$W$495&gt;=1)*('CASE MASTER'!$V$2:$V$495&lt;=5)*('CASE MASTER'!$X$2:$X$495&gt;=5))*ROW('CASE MASTER'!$T$2:$T$495))-(ROW('CASE MASTER'!#REF!)-1)))+1)+(5-INDEX('CASE MASTER'!$V$2:$V$495,(SUMPRODUCT((('CASE MASTER'!$T$2:$T$495=1)*('CASE MASTER'!$U$2:$U$495&lt;=1)*('CASE MASTER'!$W$2:$W$495&gt;=1)*('CASE MASTER'!$V$2:$V$495&lt;=5)*('CASE MASTER'!$X$2:$X$495&gt;=5))*ROW('CASE MASTER'!$T$2:$T$495))-(ROW('CASE MASTER'!#REF!)-1))))+1))-1)*50+1,50))&amp;"_"&amp;INDEX('CASE MASTER'!$Q$2:$Q$495,(SUMPRODUCT((('CASE MASTER'!$T$2:$T$495=1)*('CASE MASTER'!$U$2:$U$495&lt;=1)*('CASE MASTER'!$W$2:$W$495&gt;=1)*('CASE MASTER'!$V$2:$V$495&lt;=5)*('CASE MASTER'!$X$2:$X$495&gt;=5))*ROW('CASE MASTER'!$T$2:$T$495))-(ROW('CASE MASTER'!#REF!)-1))),IF(SUMPRODUCT((('CASE MASTER'!$T$2:$T$495=1)*('CASE MASTER'!$AA$2:$AA$495&lt;=1)*('CASE MASTER'!$AC$2:$AC$495&gt;=1)*('CASE MASTER'!$AB$2:$AB$495&lt;=5)*('CASE MASTER'!$AD$2:$AD$495&gt;=5))*ROW('CASE MASTER'!$T$2:$T$495))&gt;0,INDEX('CASE MASTER'!$Y$2:$Y$495,(SUMPRODUCT((('CASE MASTER'!$T$2:$T$495=1)*('CASE MASTER'!$AA$2:$AA$495&lt;=1)*('CASE MASTER'!$AC$2:$AC$495&gt;=1)*('CASE MASTER'!$AB$2:$AB$495&lt;=5)*('CASE MASTER'!$AD$2:$AD$495&gt;=5))*ROW('CASE MASTER'!$T$2:$T$495))-(ROW('CASE MASTER'!#REF!)-1)))&amp;TRIM(MID(SUBSTITUTE(SUBSTITUTE(INDEX('CASE MASTER'!$N$2:$N$495,(SUMPRODUCT((('CASE MASTER'!$T$2:$T$495=1)*('CASE MASTER'!$AA$2:$AA$495&lt;=1)*('CASE MASTER'!$AC$2:$AC$495&gt;=1)*('CASE MASTER'!$AB$2:$AB$495&lt;=5)*('CASE MASTER'!$AD$2:$AD$495&gt;=5))*ROW('CASE MASTER'!$T$2:$T$495))-(ROW('CASE MASTER'!#REF!)-1))),":",","),",",REPT(" ",50)),(((INDEX('CASE MASTER'!$Z$2:$Z$495,(SUMPRODUCT((('CASE MASTER'!$T$2:$T$495=1)*('CASE MASTER'!$AA$2:$AA$495&lt;=1)*('CASE MASTER'!$AC$2:$AC$495&gt;=1)*('CASE MASTER'!$AB$2:$AB$495&lt;=5)*('CASE MASTER'!$AD$2:$AD$495&gt;=5))*ROW('CASE MASTER'!$T$2:$T$495))-(ROW('CASE MASTER'!#REF!)-1)))+((1-INDEX('CASE MASTER'!$AA$2:$AA$495,(SUMPRODUCT((('CASE MASTER'!$T$2:$T$495=1)*('CASE MASTER'!$AA$2:$AA$495&lt;=1)*('CASE MASTER'!$AC$2:$AC$495&gt;=1)*('CASE MASTER'!$AB$2:$AB$495&lt;=5)*('CASE MASTER'!$AD$2:$AD$495&gt;=5))*ROW('CASE MASTER'!$T$2:$T$495))-(ROW('CASE MASTER'!#REF!)-1))))*(INDEX('CASE MASTER'!$AD$2:$AD$495,(SUMPRODUCT((('CASE MASTER'!$T$2:$T$495=1)*('CASE MASTER'!$AA$2:$AA$495&lt;=1)*('CASE MASTER'!$AC$2:$AC$495&gt;=1)*('CASE MASTER'!$AB$2:$AB$495&lt;=5)*('CASE MASTER'!$AD$2:$AD$495&gt;=5))*ROW('CASE MASTER'!$T$2:$T$495))-(ROW('CASE MASTER'!#REF!)-1)))-INDEX('CASE MASTER'!$AB$2:$AB$495,(SUMPRODUCT((('CASE MASTER'!$T$2:$T$495=1)*('CASE MASTER'!$AA$2:$AA$495&lt;=1)*('CASE MASTER'!$AC$2:$AC$495&gt;=1)*('CASE MASTER'!$AB$2:$AB$495&lt;=5)*('CASE MASTER'!$AD$2:$AD$495&gt;=5))*ROW('CASE MASTER'!$T$2:$T$495))-(ROW('CASE MASTER'!#REF!)-1)))+1)+(5-INDEX('CASE MASTER'!$AB$2:$AB$495,(SUMPRODUCT((('CASE MASTER'!$T$2:$T$495=1)*('CASE MASTER'!$AA$2:$AA$495&lt;=1)*('CASE MASTER'!$AC$2:$AC$495&gt;=1)*('CASE MASTER'!$AB$2:$AB$495&lt;=5)*('CASE MASTER'!$AD$2:$AD$495&gt;=5))*ROW('CASE MASTER'!$T$2:$T$495))-(ROW('CASE MASTER'!#REF!)-1))))+1)))-1)*50+1,50))&amp;"_"&amp;INDEX('CASE MASTER'!$Q$2:$Q$495,(SUMPRODUCT((('CASE MASTER'!$T$2:$T$495=1)*('CASE MASTER'!$AA$2:$AA$495&lt;=1)*('CASE MASTER'!$AC$2:$AC$495&gt;=1)*('CASE MASTER'!$AB$2:$AB$495&lt;=5)*('CASE MASTER'!$AD$2:$AD$495&gt;=5))*ROW('CASE MASTER'!$T$2:$T$495))-(ROW('CASE MASTER'!#REF!)-1))),"")),"")</f>
        <v/>
      </c>
      <c r="G3" s="10" t="str">
        <f>IFERROR(IF(SUMPRODUCT((('CASE MASTER'!$T$2:$T$495=1)*('CASE MASTER'!$U$2:$U$495&lt;=1)*('CASE MASTER'!$W$2:$W$495&gt;=1)*('CASE MASTER'!$V$2:$V$495&lt;=6)*('CASE MASTER'!$X$2:$X$495&gt;=6))*ROW('CASE MASTER'!$T$2:$T$495))&gt;0,INDEX('CASE MASTER'!$Y$2:$Y$495,(SUMPRODUCT((('CASE MASTER'!$T$2:$T$495=1)*('CASE MASTER'!$U$2:$U$495&lt;=1)*('CASE MASTER'!$W$2:$W$495&gt;=1)*('CASE MASTER'!$V$2:$V$495&lt;=6)*('CASE MASTER'!$X$2:$X$495&gt;=6))*ROW('CASE MASTER'!$T$2:$T$495))-(ROW('CASE MASTER'!#REF!)-1)))&amp;TRIM(MID(SUBSTITUTE(SUBSTITUTE(INDEX('CASE MASTER'!$N$2:$N$495,(SUMPRODUCT((('CASE MASTER'!$T$2:$T$495=1)*('CASE MASTER'!$U$2:$U$495&lt;=1)*('CASE MASTER'!$W$2:$W$495&gt;=1)*('CASE MASTER'!$V$2:$V$495&lt;=6)*('CASE MASTER'!$X$2:$X$495&gt;=6))*ROW('CASE MASTER'!$T$2:$T$495))-(ROW('CASE MASTER'!#REF!)-1))),":",","),",",REPT(" ",50)),((((1-INDEX('CASE MASTER'!$U$2:$U$495,(SUMPRODUCT((('CASE MASTER'!$T$2:$T$495=1)*('CASE MASTER'!$U$2:$U$495&lt;=1)*('CASE MASTER'!$W$2:$W$495&gt;=1)*('CASE MASTER'!$V$2:$V$495&lt;=6)*('CASE MASTER'!$X$2:$X$495&gt;=6))*ROW('CASE MASTER'!$T$2:$T$495))-(ROW('CASE MASTER'!#REF!)-1))))*(INDEX('CASE MASTER'!$X$2:$X$495,(SUMPRODUCT((('CASE MASTER'!$T$2:$T$495=1)*('CASE MASTER'!$U$2:$U$495&lt;=1)*('CASE MASTER'!$W$2:$W$495&gt;=1)*('CASE MASTER'!$V$2:$V$495&lt;=6)*('CASE MASTER'!$X$2:$X$495&gt;=6))*ROW('CASE MASTER'!$T$2:$T$495))-(ROW('CASE MASTER'!#REF!)-1)))-INDEX('CASE MASTER'!$V$2:$V$495,(SUMPRODUCT((('CASE MASTER'!$T$2:$T$495=1)*('CASE MASTER'!$U$2:$U$495&lt;=1)*('CASE MASTER'!$W$2:$W$495&gt;=1)*('CASE MASTER'!$V$2:$V$495&lt;=6)*('CASE MASTER'!$X$2:$X$495&gt;=6))*ROW('CASE MASTER'!$T$2:$T$495))-(ROW('CASE MASTER'!#REF!)-1)))+1)+(6-INDEX('CASE MASTER'!$V$2:$V$495,(SUMPRODUCT((('CASE MASTER'!$T$2:$T$495=1)*('CASE MASTER'!$U$2:$U$495&lt;=1)*('CASE MASTER'!$W$2:$W$495&gt;=1)*('CASE MASTER'!$V$2:$V$495&lt;=6)*('CASE MASTER'!$X$2:$X$495&gt;=6))*ROW('CASE MASTER'!$T$2:$T$495))-(ROW('CASE MASTER'!#REF!)-1))))+1))-1)*50+1,50))&amp;"_"&amp;INDEX('CASE MASTER'!$Q$2:$Q$495,(SUMPRODUCT((('CASE MASTER'!$T$2:$T$495=1)*('CASE MASTER'!$U$2:$U$495&lt;=1)*('CASE MASTER'!$W$2:$W$495&gt;=1)*('CASE MASTER'!$V$2:$V$495&lt;=6)*('CASE MASTER'!$X$2:$X$495&gt;=6))*ROW('CASE MASTER'!$T$2:$T$495))-(ROW('CASE MASTER'!#REF!)-1))),IF(SUMPRODUCT((('CASE MASTER'!$T$2:$T$495=1)*('CASE MASTER'!$AA$2:$AA$495&lt;=1)*('CASE MASTER'!$AC$2:$AC$495&gt;=1)*('CASE MASTER'!$AB$2:$AB$495&lt;=6)*('CASE MASTER'!$AD$2:$AD$495&gt;=6))*ROW('CASE MASTER'!$T$2:$T$495))&gt;0,INDEX('CASE MASTER'!$Y$2:$Y$495,(SUMPRODUCT((('CASE MASTER'!$T$2:$T$495=1)*('CASE MASTER'!$AA$2:$AA$495&lt;=1)*('CASE MASTER'!$AC$2:$AC$495&gt;=1)*('CASE MASTER'!$AB$2:$AB$495&lt;=6)*('CASE MASTER'!$AD$2:$AD$495&gt;=6))*ROW('CASE MASTER'!$T$2:$T$495))-(ROW('CASE MASTER'!#REF!)-1)))&amp;TRIM(MID(SUBSTITUTE(SUBSTITUTE(INDEX('CASE MASTER'!$N$2:$N$495,(SUMPRODUCT((('CASE MASTER'!$T$2:$T$495=1)*('CASE MASTER'!$AA$2:$AA$495&lt;=1)*('CASE MASTER'!$AC$2:$AC$495&gt;=1)*('CASE MASTER'!$AB$2:$AB$495&lt;=6)*('CASE MASTER'!$AD$2:$AD$495&gt;=6))*ROW('CASE MASTER'!$T$2:$T$495))-(ROW('CASE MASTER'!#REF!)-1))),":",","),",",REPT(" ",50)),(((INDEX('CASE MASTER'!$Z$2:$Z$495,(SUMPRODUCT((('CASE MASTER'!$T$2:$T$495=1)*('CASE MASTER'!$AA$2:$AA$495&lt;=1)*('CASE MASTER'!$AC$2:$AC$495&gt;=1)*('CASE MASTER'!$AB$2:$AB$495&lt;=6)*('CASE MASTER'!$AD$2:$AD$495&gt;=6))*ROW('CASE MASTER'!$T$2:$T$495))-(ROW('CASE MASTER'!#REF!)-1)))+((1-INDEX('CASE MASTER'!$AA$2:$AA$495,(SUMPRODUCT((('CASE MASTER'!$T$2:$T$495=1)*('CASE MASTER'!$AA$2:$AA$495&lt;=1)*('CASE MASTER'!$AC$2:$AC$495&gt;=1)*('CASE MASTER'!$AB$2:$AB$495&lt;=6)*('CASE MASTER'!$AD$2:$AD$495&gt;=6))*ROW('CASE MASTER'!$T$2:$T$495))-(ROW('CASE MASTER'!#REF!)-1))))*(INDEX('CASE MASTER'!$AD$2:$AD$495,(SUMPRODUCT((('CASE MASTER'!$T$2:$T$495=1)*('CASE MASTER'!$AA$2:$AA$495&lt;=1)*('CASE MASTER'!$AC$2:$AC$495&gt;=1)*('CASE MASTER'!$AB$2:$AB$495&lt;=6)*('CASE MASTER'!$AD$2:$AD$495&gt;=6))*ROW('CASE MASTER'!$T$2:$T$495))-(ROW('CASE MASTER'!#REF!)-1)))-INDEX('CASE MASTER'!$AB$2:$AB$495,(SUMPRODUCT((('CASE MASTER'!$T$2:$T$495=1)*('CASE MASTER'!$AA$2:$AA$495&lt;=1)*('CASE MASTER'!$AC$2:$AC$495&gt;=1)*('CASE MASTER'!$AB$2:$AB$495&lt;=6)*('CASE MASTER'!$AD$2:$AD$495&gt;=6))*ROW('CASE MASTER'!$T$2:$T$495))-(ROW('CASE MASTER'!#REF!)-1)))+1)+(6-INDEX('CASE MASTER'!$AB$2:$AB$495,(SUMPRODUCT((('CASE MASTER'!$T$2:$T$495=1)*('CASE MASTER'!$AA$2:$AA$495&lt;=1)*('CASE MASTER'!$AC$2:$AC$495&gt;=1)*('CASE MASTER'!$AB$2:$AB$495&lt;=6)*('CASE MASTER'!$AD$2:$AD$495&gt;=6))*ROW('CASE MASTER'!$T$2:$T$495))-(ROW('CASE MASTER'!#REF!)-1))))+1)))-1)*50+1,50))&amp;"_"&amp;INDEX('CASE MASTER'!$Q$2:$Q$495,(SUMPRODUCT((('CASE MASTER'!$T$2:$T$495=1)*('CASE MASTER'!$AA$2:$AA$495&lt;=1)*('CASE MASTER'!$AC$2:$AC$495&gt;=1)*('CASE MASTER'!$AB$2:$AB$495&lt;=6)*('CASE MASTER'!$AD$2:$AD$495&gt;=6))*ROW('CASE MASTER'!$T$2:$T$495))-(ROW('CASE MASTER'!#REF!)-1))),"")),"")</f>
        <v/>
      </c>
      <c r="H3" s="10" t="str">
        <f>IFERROR(IF(SUMPRODUCT((('CASE MASTER'!$T$2:$T$495=1)*('CASE MASTER'!$U$2:$U$495&lt;=1)*('CASE MASTER'!$W$2:$W$495&gt;=1)*('CASE MASTER'!$V$2:$V$495&lt;=7)*('CASE MASTER'!$X$2:$X$495&gt;=7))*ROW('CASE MASTER'!$T$2:$T$495))&gt;0,INDEX('CASE MASTER'!$Y$2:$Y$495,(SUMPRODUCT((('CASE MASTER'!$T$2:$T$495=1)*('CASE MASTER'!$U$2:$U$495&lt;=1)*('CASE MASTER'!$W$2:$W$495&gt;=1)*('CASE MASTER'!$V$2:$V$495&lt;=7)*('CASE MASTER'!$X$2:$X$495&gt;=7))*ROW('CASE MASTER'!$T$2:$T$495))-(ROW('CASE MASTER'!#REF!)-1)))&amp;TRIM(MID(SUBSTITUTE(SUBSTITUTE(INDEX('CASE MASTER'!$N$2:$N$495,(SUMPRODUCT((('CASE MASTER'!$T$2:$T$495=1)*('CASE MASTER'!$U$2:$U$495&lt;=1)*('CASE MASTER'!$W$2:$W$495&gt;=1)*('CASE MASTER'!$V$2:$V$495&lt;=7)*('CASE MASTER'!$X$2:$X$495&gt;=7))*ROW('CASE MASTER'!$T$2:$T$495))-(ROW('CASE MASTER'!#REF!)-1))),":",","),",",REPT(" ",50)),((((1-INDEX('CASE MASTER'!$U$2:$U$495,(SUMPRODUCT((('CASE MASTER'!$T$2:$T$495=1)*('CASE MASTER'!$U$2:$U$495&lt;=1)*('CASE MASTER'!$W$2:$W$495&gt;=1)*('CASE MASTER'!$V$2:$V$495&lt;=7)*('CASE MASTER'!$X$2:$X$495&gt;=7))*ROW('CASE MASTER'!$T$2:$T$495))-(ROW('CASE MASTER'!#REF!)-1))))*(INDEX('CASE MASTER'!$X$2:$X$495,(SUMPRODUCT((('CASE MASTER'!$T$2:$T$495=1)*('CASE MASTER'!$U$2:$U$495&lt;=1)*('CASE MASTER'!$W$2:$W$495&gt;=1)*('CASE MASTER'!$V$2:$V$495&lt;=7)*('CASE MASTER'!$X$2:$X$495&gt;=7))*ROW('CASE MASTER'!$T$2:$T$495))-(ROW('CASE MASTER'!#REF!)-1)))-INDEX('CASE MASTER'!$V$2:$V$495,(SUMPRODUCT((('CASE MASTER'!$T$2:$T$495=1)*('CASE MASTER'!$U$2:$U$495&lt;=1)*('CASE MASTER'!$W$2:$W$495&gt;=1)*('CASE MASTER'!$V$2:$V$495&lt;=7)*('CASE MASTER'!$X$2:$X$495&gt;=7))*ROW('CASE MASTER'!$T$2:$T$495))-(ROW('CASE MASTER'!#REF!)-1)))+1)+(7-INDEX('CASE MASTER'!$V$2:$V$495,(SUMPRODUCT((('CASE MASTER'!$T$2:$T$495=1)*('CASE MASTER'!$U$2:$U$495&lt;=1)*('CASE MASTER'!$W$2:$W$495&gt;=1)*('CASE MASTER'!$V$2:$V$495&lt;=7)*('CASE MASTER'!$X$2:$X$495&gt;=7))*ROW('CASE MASTER'!$T$2:$T$495))-(ROW('CASE MASTER'!#REF!)-1))))+1))-1)*50+1,50))&amp;"_"&amp;INDEX('CASE MASTER'!$Q$2:$Q$495,(SUMPRODUCT((('CASE MASTER'!$T$2:$T$495=1)*('CASE MASTER'!$U$2:$U$495&lt;=1)*('CASE MASTER'!$W$2:$W$495&gt;=1)*('CASE MASTER'!$V$2:$V$495&lt;=7)*('CASE MASTER'!$X$2:$X$495&gt;=7))*ROW('CASE MASTER'!$T$2:$T$495))-(ROW('CASE MASTER'!#REF!)-1))),IF(SUMPRODUCT((('CASE MASTER'!$T$2:$T$495=1)*('CASE MASTER'!$AA$2:$AA$495&lt;=1)*('CASE MASTER'!$AC$2:$AC$495&gt;=1)*('CASE MASTER'!$AB$2:$AB$495&lt;=7)*('CASE MASTER'!$AD$2:$AD$495&gt;=7))*ROW('CASE MASTER'!$T$2:$T$495))&gt;0,INDEX('CASE MASTER'!$Y$2:$Y$495,(SUMPRODUCT((('CASE MASTER'!$T$2:$T$495=1)*('CASE MASTER'!$AA$2:$AA$495&lt;=1)*('CASE MASTER'!$AC$2:$AC$495&gt;=1)*('CASE MASTER'!$AB$2:$AB$495&lt;=7)*('CASE MASTER'!$AD$2:$AD$495&gt;=7))*ROW('CASE MASTER'!$T$2:$T$495))-(ROW('CASE MASTER'!#REF!)-1)))&amp;TRIM(MID(SUBSTITUTE(SUBSTITUTE(INDEX('CASE MASTER'!$N$2:$N$495,(SUMPRODUCT((('CASE MASTER'!$T$2:$T$495=1)*('CASE MASTER'!$AA$2:$AA$495&lt;=1)*('CASE MASTER'!$AC$2:$AC$495&gt;=1)*('CASE MASTER'!$AB$2:$AB$495&lt;=7)*('CASE MASTER'!$AD$2:$AD$495&gt;=7))*ROW('CASE MASTER'!$T$2:$T$495))-(ROW('CASE MASTER'!#REF!)-1))),":",","),",",REPT(" ",50)),(((INDEX('CASE MASTER'!$Z$2:$Z$495,(SUMPRODUCT((('CASE MASTER'!$T$2:$T$495=1)*('CASE MASTER'!$AA$2:$AA$495&lt;=1)*('CASE MASTER'!$AC$2:$AC$495&gt;=1)*('CASE MASTER'!$AB$2:$AB$495&lt;=7)*('CASE MASTER'!$AD$2:$AD$495&gt;=7))*ROW('CASE MASTER'!$T$2:$T$495))-(ROW('CASE MASTER'!#REF!)-1)))+((1-INDEX('CASE MASTER'!$AA$2:$AA$495,(SUMPRODUCT((('CASE MASTER'!$T$2:$T$495=1)*('CASE MASTER'!$AA$2:$AA$495&lt;=1)*('CASE MASTER'!$AC$2:$AC$495&gt;=1)*('CASE MASTER'!$AB$2:$AB$495&lt;=7)*('CASE MASTER'!$AD$2:$AD$495&gt;=7))*ROW('CASE MASTER'!$T$2:$T$495))-(ROW('CASE MASTER'!#REF!)-1))))*(INDEX('CASE MASTER'!$AD$2:$AD$495,(SUMPRODUCT((('CASE MASTER'!$T$2:$T$495=1)*('CASE MASTER'!$AA$2:$AA$495&lt;=1)*('CASE MASTER'!$AC$2:$AC$495&gt;=1)*('CASE MASTER'!$AB$2:$AB$495&lt;=7)*('CASE MASTER'!$AD$2:$AD$495&gt;=7))*ROW('CASE MASTER'!$T$2:$T$495))-(ROW('CASE MASTER'!#REF!)-1)))-INDEX('CASE MASTER'!$AB$2:$AB$495,(SUMPRODUCT((('CASE MASTER'!$T$2:$T$495=1)*('CASE MASTER'!$AA$2:$AA$495&lt;=1)*('CASE MASTER'!$AC$2:$AC$495&gt;=1)*('CASE MASTER'!$AB$2:$AB$495&lt;=7)*('CASE MASTER'!$AD$2:$AD$495&gt;=7))*ROW('CASE MASTER'!$T$2:$T$495))-(ROW('CASE MASTER'!#REF!)-1)))+1)+(7-INDEX('CASE MASTER'!$AB$2:$AB$495,(SUMPRODUCT((('CASE MASTER'!$T$2:$T$495=1)*('CASE MASTER'!$AA$2:$AA$495&lt;=1)*('CASE MASTER'!$AC$2:$AC$495&gt;=1)*('CASE MASTER'!$AB$2:$AB$495&lt;=7)*('CASE MASTER'!$AD$2:$AD$495&gt;=7))*ROW('CASE MASTER'!$T$2:$T$495))-(ROW('CASE MASTER'!#REF!)-1))))+1)))-1)*50+1,50))&amp;"_"&amp;INDEX('CASE MASTER'!$Q$2:$Q$495,(SUMPRODUCT((('CASE MASTER'!$T$2:$T$495=1)*('CASE MASTER'!$AA$2:$AA$495&lt;=1)*('CASE MASTER'!$AC$2:$AC$495&gt;=1)*('CASE MASTER'!$AB$2:$AB$495&lt;=7)*('CASE MASTER'!$AD$2:$AD$495&gt;=7))*ROW('CASE MASTER'!$T$2:$T$495))-(ROW('CASE MASTER'!#REF!)-1))),"")),"")</f>
        <v/>
      </c>
      <c r="I3" s="10" t="str">
        <f>IFERROR(IF(SUMPRODUCT((('CASE MASTER'!$T$2:$T$495=1)*('CASE MASTER'!$U$2:$U$495&lt;=1)*('CASE MASTER'!$W$2:$W$495&gt;=1)*('CASE MASTER'!$V$2:$V$495&lt;=8)*('CASE MASTER'!$X$2:$X$495&gt;=8))*ROW('CASE MASTER'!$T$2:$T$495))&gt;0,INDEX('CASE MASTER'!$Y$2:$Y$495,(SUMPRODUCT((('CASE MASTER'!$T$2:$T$495=1)*('CASE MASTER'!$U$2:$U$495&lt;=1)*('CASE MASTER'!$W$2:$W$495&gt;=1)*('CASE MASTER'!$V$2:$V$495&lt;=8)*('CASE MASTER'!$X$2:$X$495&gt;=8))*ROW('CASE MASTER'!$T$2:$T$495))-(ROW('CASE MASTER'!#REF!)-1)))&amp;TRIM(MID(SUBSTITUTE(SUBSTITUTE(INDEX('CASE MASTER'!$N$2:$N$495,(SUMPRODUCT((('CASE MASTER'!$T$2:$T$495=1)*('CASE MASTER'!$U$2:$U$495&lt;=1)*('CASE MASTER'!$W$2:$W$495&gt;=1)*('CASE MASTER'!$V$2:$V$495&lt;=8)*('CASE MASTER'!$X$2:$X$495&gt;=8))*ROW('CASE MASTER'!$T$2:$T$495))-(ROW('CASE MASTER'!#REF!)-1))),":",","),",",REPT(" ",50)),((((1-INDEX('CASE MASTER'!$U$2:$U$495,(SUMPRODUCT((('CASE MASTER'!$T$2:$T$495=1)*('CASE MASTER'!$U$2:$U$495&lt;=1)*('CASE MASTER'!$W$2:$W$495&gt;=1)*('CASE MASTER'!$V$2:$V$495&lt;=8)*('CASE MASTER'!$X$2:$X$495&gt;=8))*ROW('CASE MASTER'!$T$2:$T$495))-(ROW('CASE MASTER'!#REF!)-1))))*(INDEX('CASE MASTER'!$X$2:$X$495,(SUMPRODUCT((('CASE MASTER'!$T$2:$T$495=1)*('CASE MASTER'!$U$2:$U$495&lt;=1)*('CASE MASTER'!$W$2:$W$495&gt;=1)*('CASE MASTER'!$V$2:$V$495&lt;=8)*('CASE MASTER'!$X$2:$X$495&gt;=8))*ROW('CASE MASTER'!$T$2:$T$495))-(ROW('CASE MASTER'!#REF!)-1)))-INDEX('CASE MASTER'!$V$2:$V$495,(SUMPRODUCT((('CASE MASTER'!$T$2:$T$495=1)*('CASE MASTER'!$U$2:$U$495&lt;=1)*('CASE MASTER'!$W$2:$W$495&gt;=1)*('CASE MASTER'!$V$2:$V$495&lt;=8)*('CASE MASTER'!$X$2:$X$495&gt;=8))*ROW('CASE MASTER'!$T$2:$T$495))-(ROW('CASE MASTER'!#REF!)-1)))+1)+(8-INDEX('CASE MASTER'!$V$2:$V$495,(SUMPRODUCT((('CASE MASTER'!$T$2:$T$495=1)*('CASE MASTER'!$U$2:$U$495&lt;=1)*('CASE MASTER'!$W$2:$W$495&gt;=1)*('CASE MASTER'!$V$2:$V$495&lt;=8)*('CASE MASTER'!$X$2:$X$495&gt;=8))*ROW('CASE MASTER'!$T$2:$T$495))-(ROW('CASE MASTER'!#REF!)-1))))+1))-1)*50+1,50))&amp;"_"&amp;INDEX('CASE MASTER'!$Q$2:$Q$495,(SUMPRODUCT((('CASE MASTER'!$T$2:$T$495=1)*('CASE MASTER'!$U$2:$U$495&lt;=1)*('CASE MASTER'!$W$2:$W$495&gt;=1)*('CASE MASTER'!$V$2:$V$495&lt;=8)*('CASE MASTER'!$X$2:$X$495&gt;=8))*ROW('CASE MASTER'!$T$2:$T$495))-(ROW('CASE MASTER'!#REF!)-1))),IF(SUMPRODUCT((('CASE MASTER'!$T$2:$T$495=1)*('CASE MASTER'!$AA$2:$AA$495&lt;=1)*('CASE MASTER'!$AC$2:$AC$495&gt;=1)*('CASE MASTER'!$AB$2:$AB$495&lt;=8)*('CASE MASTER'!$AD$2:$AD$495&gt;=8))*ROW('CASE MASTER'!$T$2:$T$495))&gt;0,INDEX('CASE MASTER'!$Y$2:$Y$495,(SUMPRODUCT((('CASE MASTER'!$T$2:$T$495=1)*('CASE MASTER'!$AA$2:$AA$495&lt;=1)*('CASE MASTER'!$AC$2:$AC$495&gt;=1)*('CASE MASTER'!$AB$2:$AB$495&lt;=8)*('CASE MASTER'!$AD$2:$AD$495&gt;=8))*ROW('CASE MASTER'!$T$2:$T$495))-(ROW('CASE MASTER'!#REF!)-1)))&amp;TRIM(MID(SUBSTITUTE(SUBSTITUTE(INDEX('CASE MASTER'!$N$2:$N$495,(SUMPRODUCT((('CASE MASTER'!$T$2:$T$495=1)*('CASE MASTER'!$AA$2:$AA$495&lt;=1)*('CASE MASTER'!$AC$2:$AC$495&gt;=1)*('CASE MASTER'!$AB$2:$AB$495&lt;=8)*('CASE MASTER'!$AD$2:$AD$495&gt;=8))*ROW('CASE MASTER'!$T$2:$T$495))-(ROW('CASE MASTER'!#REF!)-1))),":",","),",",REPT(" ",50)),(((INDEX('CASE MASTER'!$Z$2:$Z$495,(SUMPRODUCT((('CASE MASTER'!$T$2:$T$495=1)*('CASE MASTER'!$AA$2:$AA$495&lt;=1)*('CASE MASTER'!$AC$2:$AC$495&gt;=1)*('CASE MASTER'!$AB$2:$AB$495&lt;=8)*('CASE MASTER'!$AD$2:$AD$495&gt;=8))*ROW('CASE MASTER'!$T$2:$T$495))-(ROW('CASE MASTER'!#REF!)-1)))+((1-INDEX('CASE MASTER'!$AA$2:$AA$495,(SUMPRODUCT((('CASE MASTER'!$T$2:$T$495=1)*('CASE MASTER'!$AA$2:$AA$495&lt;=1)*('CASE MASTER'!$AC$2:$AC$495&gt;=1)*('CASE MASTER'!$AB$2:$AB$495&lt;=8)*('CASE MASTER'!$AD$2:$AD$495&gt;=8))*ROW('CASE MASTER'!$T$2:$T$495))-(ROW('CASE MASTER'!#REF!)-1))))*(INDEX('CASE MASTER'!$AD$2:$AD$495,(SUMPRODUCT((('CASE MASTER'!$T$2:$T$495=1)*('CASE MASTER'!$AA$2:$AA$495&lt;=1)*('CASE MASTER'!$AC$2:$AC$495&gt;=1)*('CASE MASTER'!$AB$2:$AB$495&lt;=8)*('CASE MASTER'!$AD$2:$AD$495&gt;=8))*ROW('CASE MASTER'!$T$2:$T$495))-(ROW('CASE MASTER'!#REF!)-1)))-INDEX('CASE MASTER'!$AB$2:$AB$495,(SUMPRODUCT((('CASE MASTER'!$T$2:$T$495=1)*('CASE MASTER'!$AA$2:$AA$495&lt;=1)*('CASE MASTER'!$AC$2:$AC$495&gt;=1)*('CASE MASTER'!$AB$2:$AB$495&lt;=8)*('CASE MASTER'!$AD$2:$AD$495&gt;=8))*ROW('CASE MASTER'!$T$2:$T$495))-(ROW('CASE MASTER'!#REF!)-1)))+1)+(8-INDEX('CASE MASTER'!$AB$2:$AB$495,(SUMPRODUCT((('CASE MASTER'!$T$2:$T$495=1)*('CASE MASTER'!$AA$2:$AA$495&lt;=1)*('CASE MASTER'!$AC$2:$AC$495&gt;=1)*('CASE MASTER'!$AB$2:$AB$495&lt;=8)*('CASE MASTER'!$AD$2:$AD$495&gt;=8))*ROW('CASE MASTER'!$T$2:$T$495))-(ROW('CASE MASTER'!#REF!)-1))))+1)))-1)*50+1,50))&amp;"_"&amp;INDEX('CASE MASTER'!$Q$2:$Q$495,(SUMPRODUCT((('CASE MASTER'!$T$2:$T$495=1)*('CASE MASTER'!$AA$2:$AA$495&lt;=1)*('CASE MASTER'!$AC$2:$AC$495&gt;=1)*('CASE MASTER'!$AB$2:$AB$495&lt;=8)*('CASE MASTER'!$AD$2:$AD$495&gt;=8))*ROW('CASE MASTER'!$T$2:$T$495))-(ROW('CASE MASTER'!#REF!)-1))),"")),"")</f>
        <v/>
      </c>
      <c r="J3" s="10" t="str">
        <f>IFERROR(IF(SUMPRODUCT((('CASE MASTER'!$T$2:$T$495=1)*('CASE MASTER'!$U$2:$U$495&lt;=1)*('CASE MASTER'!$W$2:$W$495&gt;=1)*('CASE MASTER'!$V$2:$V$495&lt;=9)*('CASE MASTER'!$X$2:$X$495&gt;=9))*ROW('CASE MASTER'!$T$2:$T$495))&gt;0,INDEX('CASE MASTER'!$Y$2:$Y$495,(SUMPRODUCT((('CASE MASTER'!$T$2:$T$495=1)*('CASE MASTER'!$U$2:$U$495&lt;=1)*('CASE MASTER'!$W$2:$W$495&gt;=1)*('CASE MASTER'!$V$2:$V$495&lt;=9)*('CASE MASTER'!$X$2:$X$495&gt;=9))*ROW('CASE MASTER'!$T$2:$T$495))-(ROW('CASE MASTER'!#REF!)-1)))&amp;TRIM(MID(SUBSTITUTE(SUBSTITUTE(INDEX('CASE MASTER'!$N$2:$N$495,(SUMPRODUCT((('CASE MASTER'!$T$2:$T$495=1)*('CASE MASTER'!$U$2:$U$495&lt;=1)*('CASE MASTER'!$W$2:$W$495&gt;=1)*('CASE MASTER'!$V$2:$V$495&lt;=9)*('CASE MASTER'!$X$2:$X$495&gt;=9))*ROW('CASE MASTER'!$T$2:$T$495))-(ROW('CASE MASTER'!#REF!)-1))),":",","),",",REPT(" ",50)),((((1-INDEX('CASE MASTER'!$U$2:$U$495,(SUMPRODUCT((('CASE MASTER'!$T$2:$T$495=1)*('CASE MASTER'!$U$2:$U$495&lt;=1)*('CASE MASTER'!$W$2:$W$495&gt;=1)*('CASE MASTER'!$V$2:$V$495&lt;=9)*('CASE MASTER'!$X$2:$X$495&gt;=9))*ROW('CASE MASTER'!$T$2:$T$495))-(ROW('CASE MASTER'!#REF!)-1))))*(INDEX('CASE MASTER'!$X$2:$X$495,(SUMPRODUCT((('CASE MASTER'!$T$2:$T$495=1)*('CASE MASTER'!$U$2:$U$495&lt;=1)*('CASE MASTER'!$W$2:$W$495&gt;=1)*('CASE MASTER'!$V$2:$V$495&lt;=9)*('CASE MASTER'!$X$2:$X$495&gt;=9))*ROW('CASE MASTER'!$T$2:$T$495))-(ROW('CASE MASTER'!#REF!)-1)))-INDEX('CASE MASTER'!$V$2:$V$495,(SUMPRODUCT((('CASE MASTER'!$T$2:$T$495=1)*('CASE MASTER'!$U$2:$U$495&lt;=1)*('CASE MASTER'!$W$2:$W$495&gt;=1)*('CASE MASTER'!$V$2:$V$495&lt;=9)*('CASE MASTER'!$X$2:$X$495&gt;=9))*ROW('CASE MASTER'!$T$2:$T$495))-(ROW('CASE MASTER'!#REF!)-1)))+1)+(9-INDEX('CASE MASTER'!$V$2:$V$495,(SUMPRODUCT((('CASE MASTER'!$T$2:$T$495=1)*('CASE MASTER'!$U$2:$U$495&lt;=1)*('CASE MASTER'!$W$2:$W$495&gt;=1)*('CASE MASTER'!$V$2:$V$495&lt;=9)*('CASE MASTER'!$X$2:$X$495&gt;=9))*ROW('CASE MASTER'!$T$2:$T$495))-(ROW('CASE MASTER'!#REF!)-1))))+1))-1)*50+1,50))&amp;"_"&amp;INDEX('CASE MASTER'!$Q$2:$Q$495,(SUMPRODUCT((('CASE MASTER'!$T$2:$T$495=1)*('CASE MASTER'!$U$2:$U$495&lt;=1)*('CASE MASTER'!$W$2:$W$495&gt;=1)*('CASE MASTER'!$V$2:$V$495&lt;=9)*('CASE MASTER'!$X$2:$X$495&gt;=9))*ROW('CASE MASTER'!$T$2:$T$495))-(ROW('CASE MASTER'!#REF!)-1))),IF(SUMPRODUCT((('CASE MASTER'!$T$2:$T$495=1)*('CASE MASTER'!$AA$2:$AA$495&lt;=1)*('CASE MASTER'!$AC$2:$AC$495&gt;=1)*('CASE MASTER'!$AB$2:$AB$495&lt;=9)*('CASE MASTER'!$AD$2:$AD$495&gt;=9))*ROW('CASE MASTER'!$T$2:$T$495))&gt;0,INDEX('CASE MASTER'!$Y$2:$Y$495,(SUMPRODUCT((('CASE MASTER'!$T$2:$T$495=1)*('CASE MASTER'!$AA$2:$AA$495&lt;=1)*('CASE MASTER'!$AC$2:$AC$495&gt;=1)*('CASE MASTER'!$AB$2:$AB$495&lt;=9)*('CASE MASTER'!$AD$2:$AD$495&gt;=9))*ROW('CASE MASTER'!$T$2:$T$495))-(ROW('CASE MASTER'!#REF!)-1)))&amp;TRIM(MID(SUBSTITUTE(SUBSTITUTE(INDEX('CASE MASTER'!$N$2:$N$495,(SUMPRODUCT((('CASE MASTER'!$T$2:$T$495=1)*('CASE MASTER'!$AA$2:$AA$495&lt;=1)*('CASE MASTER'!$AC$2:$AC$495&gt;=1)*('CASE MASTER'!$AB$2:$AB$495&lt;=9)*('CASE MASTER'!$AD$2:$AD$495&gt;=9))*ROW('CASE MASTER'!$T$2:$T$495))-(ROW('CASE MASTER'!#REF!)-1))),":",","),",",REPT(" ",50)),(((INDEX('CASE MASTER'!$Z$2:$Z$495,(SUMPRODUCT((('CASE MASTER'!$T$2:$T$495=1)*('CASE MASTER'!$AA$2:$AA$495&lt;=1)*('CASE MASTER'!$AC$2:$AC$495&gt;=1)*('CASE MASTER'!$AB$2:$AB$495&lt;=9)*('CASE MASTER'!$AD$2:$AD$495&gt;=9))*ROW('CASE MASTER'!$T$2:$T$495))-(ROW('CASE MASTER'!#REF!)-1)))+((1-INDEX('CASE MASTER'!$AA$2:$AA$495,(SUMPRODUCT((('CASE MASTER'!$T$2:$T$495=1)*('CASE MASTER'!$AA$2:$AA$495&lt;=1)*('CASE MASTER'!$AC$2:$AC$495&gt;=1)*('CASE MASTER'!$AB$2:$AB$495&lt;=9)*('CASE MASTER'!$AD$2:$AD$495&gt;=9))*ROW('CASE MASTER'!$T$2:$T$495))-(ROW('CASE MASTER'!#REF!)-1))))*(INDEX('CASE MASTER'!$AD$2:$AD$495,(SUMPRODUCT((('CASE MASTER'!$T$2:$T$495=1)*('CASE MASTER'!$AA$2:$AA$495&lt;=1)*('CASE MASTER'!$AC$2:$AC$495&gt;=1)*('CASE MASTER'!$AB$2:$AB$495&lt;=9)*('CASE MASTER'!$AD$2:$AD$495&gt;=9))*ROW('CASE MASTER'!$T$2:$T$495))-(ROW('CASE MASTER'!#REF!)-1)))-INDEX('CASE MASTER'!$AB$2:$AB$495,(SUMPRODUCT((('CASE MASTER'!$T$2:$T$495=1)*('CASE MASTER'!$AA$2:$AA$495&lt;=1)*('CASE MASTER'!$AC$2:$AC$495&gt;=1)*('CASE MASTER'!$AB$2:$AB$495&lt;=9)*('CASE MASTER'!$AD$2:$AD$495&gt;=9))*ROW('CASE MASTER'!$T$2:$T$495))-(ROW('CASE MASTER'!#REF!)-1)))+1)+(9-INDEX('CASE MASTER'!$AB$2:$AB$495,(SUMPRODUCT((('CASE MASTER'!$T$2:$T$495=1)*('CASE MASTER'!$AA$2:$AA$495&lt;=1)*('CASE MASTER'!$AC$2:$AC$495&gt;=1)*('CASE MASTER'!$AB$2:$AB$495&lt;=9)*('CASE MASTER'!$AD$2:$AD$495&gt;=9))*ROW('CASE MASTER'!$T$2:$T$495))-(ROW('CASE MASTER'!#REF!)-1))))+1)))-1)*50+1,50))&amp;"_"&amp;INDEX('CASE MASTER'!$Q$2:$Q$495,(SUMPRODUCT((('CASE MASTER'!$T$2:$T$495=1)*('CASE MASTER'!$AA$2:$AA$495&lt;=1)*('CASE MASTER'!$AC$2:$AC$495&gt;=1)*('CASE MASTER'!$AB$2:$AB$495&lt;=9)*('CASE MASTER'!$AD$2:$AD$495&gt;=9))*ROW('CASE MASTER'!$T$2:$T$495))-(ROW('CASE MASTER'!#REF!)-1))),"")),"")</f>
        <v/>
      </c>
      <c r="K3" s="10" t="str">
        <f>IFERROR(IF(SUMPRODUCT((('CASE MASTER'!$T$2:$T$495=1)*('CASE MASTER'!$U$2:$U$495&lt;=1)*('CASE MASTER'!$W$2:$W$495&gt;=1)*('CASE MASTER'!$V$2:$V$495&lt;=10)*('CASE MASTER'!$X$2:$X$495&gt;=10))*ROW('CASE MASTER'!$T$2:$T$495))&gt;0,INDEX('CASE MASTER'!$Y$2:$Y$495,(SUMPRODUCT((('CASE MASTER'!$T$2:$T$495=1)*('CASE MASTER'!$U$2:$U$495&lt;=1)*('CASE MASTER'!$W$2:$W$495&gt;=1)*('CASE MASTER'!$V$2:$V$495&lt;=10)*('CASE MASTER'!$X$2:$X$495&gt;=10))*ROW('CASE MASTER'!$T$2:$T$495))-(ROW('CASE MASTER'!#REF!)-1)))&amp;TRIM(MID(SUBSTITUTE(SUBSTITUTE(INDEX('CASE MASTER'!$N$2:$N$495,(SUMPRODUCT((('CASE MASTER'!$T$2:$T$495=1)*('CASE MASTER'!$U$2:$U$495&lt;=1)*('CASE MASTER'!$W$2:$W$495&gt;=1)*('CASE MASTER'!$V$2:$V$495&lt;=10)*('CASE MASTER'!$X$2:$X$495&gt;=10))*ROW('CASE MASTER'!$T$2:$T$495))-(ROW('CASE MASTER'!#REF!)-1))),":",","),",",REPT(" ",50)),((((1-INDEX('CASE MASTER'!$U$2:$U$495,(SUMPRODUCT((('CASE MASTER'!$T$2:$T$495=1)*('CASE MASTER'!$U$2:$U$495&lt;=1)*('CASE MASTER'!$W$2:$W$495&gt;=1)*('CASE MASTER'!$V$2:$V$495&lt;=10)*('CASE MASTER'!$X$2:$X$495&gt;=10))*ROW('CASE MASTER'!$T$2:$T$495))-(ROW('CASE MASTER'!#REF!)-1))))*(INDEX('CASE MASTER'!$X$2:$X$495,(SUMPRODUCT((('CASE MASTER'!$T$2:$T$495=1)*('CASE MASTER'!$U$2:$U$495&lt;=1)*('CASE MASTER'!$W$2:$W$495&gt;=1)*('CASE MASTER'!$V$2:$V$495&lt;=10)*('CASE MASTER'!$X$2:$X$495&gt;=10))*ROW('CASE MASTER'!$T$2:$T$495))-(ROW('CASE MASTER'!#REF!)-1)))-INDEX('CASE MASTER'!$V$2:$V$495,(SUMPRODUCT((('CASE MASTER'!$T$2:$T$495=1)*('CASE MASTER'!$U$2:$U$495&lt;=1)*('CASE MASTER'!$W$2:$W$495&gt;=1)*('CASE MASTER'!$V$2:$V$495&lt;=10)*('CASE MASTER'!$X$2:$X$495&gt;=10))*ROW('CASE MASTER'!$T$2:$T$495))-(ROW('CASE MASTER'!#REF!)-1)))+1)+(10-INDEX('CASE MASTER'!$V$2:$V$495,(SUMPRODUCT((('CASE MASTER'!$T$2:$T$495=1)*('CASE MASTER'!$U$2:$U$495&lt;=1)*('CASE MASTER'!$W$2:$W$495&gt;=1)*('CASE MASTER'!$V$2:$V$495&lt;=10)*('CASE MASTER'!$X$2:$X$495&gt;=10))*ROW('CASE MASTER'!$T$2:$T$495))-(ROW('CASE MASTER'!#REF!)-1))))+1))-1)*50+1,50))&amp;"_"&amp;INDEX('CASE MASTER'!$Q$2:$Q$495,(SUMPRODUCT((('CASE MASTER'!$T$2:$T$495=1)*('CASE MASTER'!$U$2:$U$495&lt;=1)*('CASE MASTER'!$W$2:$W$495&gt;=1)*('CASE MASTER'!$V$2:$V$495&lt;=10)*('CASE MASTER'!$X$2:$X$495&gt;=10))*ROW('CASE MASTER'!$T$2:$T$495))-(ROW('CASE MASTER'!#REF!)-1))),IF(SUMPRODUCT((('CASE MASTER'!$T$2:$T$495=1)*('CASE MASTER'!$AA$2:$AA$495&lt;=1)*('CASE MASTER'!$AC$2:$AC$495&gt;=1)*('CASE MASTER'!$AB$2:$AB$495&lt;=10)*('CASE MASTER'!$AD$2:$AD$495&gt;=10))*ROW('CASE MASTER'!$T$2:$T$495))&gt;0,INDEX('CASE MASTER'!$Y$2:$Y$495,(SUMPRODUCT((('CASE MASTER'!$T$2:$T$495=1)*('CASE MASTER'!$AA$2:$AA$495&lt;=1)*('CASE MASTER'!$AC$2:$AC$495&gt;=1)*('CASE MASTER'!$AB$2:$AB$495&lt;=10)*('CASE MASTER'!$AD$2:$AD$495&gt;=10))*ROW('CASE MASTER'!$T$2:$T$495))-(ROW('CASE MASTER'!#REF!)-1)))&amp;TRIM(MID(SUBSTITUTE(SUBSTITUTE(INDEX('CASE MASTER'!$N$2:$N$495,(SUMPRODUCT((('CASE MASTER'!$T$2:$T$495=1)*('CASE MASTER'!$AA$2:$AA$495&lt;=1)*('CASE MASTER'!$AC$2:$AC$495&gt;=1)*('CASE MASTER'!$AB$2:$AB$495&lt;=10)*('CASE MASTER'!$AD$2:$AD$495&gt;=10))*ROW('CASE MASTER'!$T$2:$T$495))-(ROW('CASE MASTER'!#REF!)-1))),":",","),",",REPT(" ",50)),(((INDEX('CASE MASTER'!$Z$2:$Z$495,(SUMPRODUCT((('CASE MASTER'!$T$2:$T$495=1)*('CASE MASTER'!$AA$2:$AA$495&lt;=1)*('CASE MASTER'!$AC$2:$AC$495&gt;=1)*('CASE MASTER'!$AB$2:$AB$495&lt;=10)*('CASE MASTER'!$AD$2:$AD$495&gt;=10))*ROW('CASE MASTER'!$T$2:$T$495))-(ROW('CASE MASTER'!#REF!)-1)))+((1-INDEX('CASE MASTER'!$AA$2:$AA$495,(SUMPRODUCT((('CASE MASTER'!$T$2:$T$495=1)*('CASE MASTER'!$AA$2:$AA$495&lt;=1)*('CASE MASTER'!$AC$2:$AC$495&gt;=1)*('CASE MASTER'!$AB$2:$AB$495&lt;=10)*('CASE MASTER'!$AD$2:$AD$495&gt;=10))*ROW('CASE MASTER'!$T$2:$T$495))-(ROW('CASE MASTER'!#REF!)-1))))*(INDEX('CASE MASTER'!$AD$2:$AD$495,(SUMPRODUCT((('CASE MASTER'!$T$2:$T$495=1)*('CASE MASTER'!$AA$2:$AA$495&lt;=1)*('CASE MASTER'!$AC$2:$AC$495&gt;=1)*('CASE MASTER'!$AB$2:$AB$495&lt;=10)*('CASE MASTER'!$AD$2:$AD$495&gt;=10))*ROW('CASE MASTER'!$T$2:$T$495))-(ROW('CASE MASTER'!#REF!)-1)))-INDEX('CASE MASTER'!$AB$2:$AB$495,(SUMPRODUCT((('CASE MASTER'!$T$2:$T$495=1)*('CASE MASTER'!$AA$2:$AA$495&lt;=1)*('CASE MASTER'!$AC$2:$AC$495&gt;=1)*('CASE MASTER'!$AB$2:$AB$495&lt;=10)*('CASE MASTER'!$AD$2:$AD$495&gt;=10))*ROW('CASE MASTER'!$T$2:$T$495))-(ROW('CASE MASTER'!#REF!)-1)))+1)+(10-INDEX('CASE MASTER'!$AB$2:$AB$495,(SUMPRODUCT((('CASE MASTER'!$T$2:$T$495=1)*('CASE MASTER'!$AA$2:$AA$495&lt;=1)*('CASE MASTER'!$AC$2:$AC$495&gt;=1)*('CASE MASTER'!$AB$2:$AB$495&lt;=10)*('CASE MASTER'!$AD$2:$AD$495&gt;=10))*ROW('CASE MASTER'!$T$2:$T$495))-(ROW('CASE MASTER'!#REF!)-1))))+1)))-1)*50+1,50))&amp;"_"&amp;INDEX('CASE MASTER'!$Q$2:$Q$495,(SUMPRODUCT((('CASE MASTER'!$T$2:$T$495=1)*('CASE MASTER'!$AA$2:$AA$495&lt;=1)*('CASE MASTER'!$AC$2:$AC$495&gt;=1)*('CASE MASTER'!$AB$2:$AB$495&lt;=10)*('CASE MASTER'!$AD$2:$AD$495&gt;=10))*ROW('CASE MASTER'!$T$2:$T$495))-(ROW('CASE MASTER'!#REF!)-1))),"")),"")</f>
        <v/>
      </c>
    </row>
    <row r="4" spans="1:11" ht="15" customHeight="1" x14ac:dyDescent="0.35">
      <c r="A4" s="8" t="s">
        <v>29</v>
      </c>
      <c r="B4" s="10" t="str">
        <f>IFERROR(IF(SUMPRODUCT((('CASE MASTER'!$T$2:$T$495=1)*('CASE MASTER'!$U$2:$U$495&lt;=2)*('CASE MASTER'!$W$2:$W$495&gt;=2)*('CASE MASTER'!$V$2:$V$495&lt;=1)*('CASE MASTER'!$X$2:$X$495&gt;=1))*ROW('CASE MASTER'!$T$2:$T$495))&gt;0,INDEX('CASE MASTER'!$Y$2:$Y$495,(SUMPRODUCT((('CASE MASTER'!$T$2:$T$495=1)*('CASE MASTER'!$U$2:$U$495&lt;=2)*('CASE MASTER'!$W$2:$W$495&gt;=2)*('CASE MASTER'!$V$2:$V$495&lt;=1)*('CASE MASTER'!$X$2:$X$495&gt;=1))*ROW('CASE MASTER'!$T$2:$T$495))-(ROW('CASE MASTER'!#REF!)-1)))&amp;TRIM(MID(SUBSTITUTE(SUBSTITUTE(INDEX('CASE MASTER'!$N$2:$N$495,(SUMPRODUCT((('CASE MASTER'!$T$2:$T$495=1)*('CASE MASTER'!$U$2:$U$495&lt;=2)*('CASE MASTER'!$W$2:$W$495&gt;=2)*('CASE MASTER'!$V$2:$V$495&lt;=1)*('CASE MASTER'!$X$2:$X$495&gt;=1))*ROW('CASE MASTER'!$T$2:$T$495))-(ROW('CASE MASTER'!#REF!)-1))),":",","),",",REPT(" ",50)),((((2-INDEX('CASE MASTER'!$U$2:$U$495,(SUMPRODUCT((('CASE MASTER'!$T$2:$T$495=1)*('CASE MASTER'!$U$2:$U$495&lt;=2)*('CASE MASTER'!$W$2:$W$495&gt;=2)*('CASE MASTER'!$V$2:$V$495&lt;=1)*('CASE MASTER'!$X$2:$X$495&gt;=1))*ROW('CASE MASTER'!$T$2:$T$495))-(ROW('CASE MASTER'!#REF!)-1))))*(INDEX('CASE MASTER'!$X$2:$X$495,(SUMPRODUCT((('CASE MASTER'!$T$2:$T$495=1)*('CASE MASTER'!$U$2:$U$495&lt;=2)*('CASE MASTER'!$W$2:$W$495&gt;=2)*('CASE MASTER'!$V$2:$V$495&lt;=1)*('CASE MASTER'!$X$2:$X$495&gt;=1))*ROW('CASE MASTER'!$T$2:$T$495))-(ROW('CASE MASTER'!#REF!)-1)))-INDEX('CASE MASTER'!$V$2:$V$495,(SUMPRODUCT((('CASE MASTER'!$T$2:$T$495=1)*('CASE MASTER'!$U$2:$U$495&lt;=2)*('CASE MASTER'!$W$2:$W$495&gt;=2)*('CASE MASTER'!$V$2:$V$495&lt;=1)*('CASE MASTER'!$X$2:$X$495&gt;=1))*ROW('CASE MASTER'!$T$2:$T$495))-(ROW('CASE MASTER'!#REF!)-1)))+1)+(1-INDEX('CASE MASTER'!$V$2:$V$495,(SUMPRODUCT((('CASE MASTER'!$T$2:$T$495=1)*('CASE MASTER'!$U$2:$U$495&lt;=2)*('CASE MASTER'!$W$2:$W$495&gt;=2)*('CASE MASTER'!$V$2:$V$495&lt;=1)*('CASE MASTER'!$X$2:$X$495&gt;=1))*ROW('CASE MASTER'!$T$2:$T$495))-(ROW('CASE MASTER'!#REF!)-1))))+1))-1)*50+1,50))&amp;"_"&amp;INDEX('CASE MASTER'!$Q$2:$Q$495,(SUMPRODUCT((('CASE MASTER'!$T$2:$T$495=1)*('CASE MASTER'!$U$2:$U$495&lt;=2)*('CASE MASTER'!$W$2:$W$495&gt;=2)*('CASE MASTER'!$V$2:$V$495&lt;=1)*('CASE MASTER'!$X$2:$X$495&gt;=1))*ROW('CASE MASTER'!$T$2:$T$495))-(ROW('CASE MASTER'!#REF!)-1))),IF(SUMPRODUCT((('CASE MASTER'!$T$2:$T$495=1)*('CASE MASTER'!$AA$2:$AA$495&lt;=2)*('CASE MASTER'!$AC$2:$AC$495&gt;=2)*('CASE MASTER'!$AB$2:$AB$495&lt;=1)*('CASE MASTER'!$AD$2:$AD$495&gt;=1))*ROW('CASE MASTER'!$T$2:$T$495))&gt;0,INDEX('CASE MASTER'!$Y$2:$Y$495,(SUMPRODUCT((('CASE MASTER'!$T$2:$T$495=1)*('CASE MASTER'!$AA$2:$AA$495&lt;=2)*('CASE MASTER'!$AC$2:$AC$495&gt;=2)*('CASE MASTER'!$AB$2:$AB$495&lt;=1)*('CASE MASTER'!$AD$2:$AD$495&gt;=1))*ROW('CASE MASTER'!$T$2:$T$495))-(ROW('CASE MASTER'!#REF!)-1)))&amp;TRIM(MID(SUBSTITUTE(SUBSTITUTE(INDEX('CASE MASTER'!$N$2:$N$495,(SUMPRODUCT((('CASE MASTER'!$T$2:$T$495=1)*('CASE MASTER'!$AA$2:$AA$495&lt;=2)*('CASE MASTER'!$AC$2:$AC$495&gt;=2)*('CASE MASTER'!$AB$2:$AB$495&lt;=1)*('CASE MASTER'!$AD$2:$AD$495&gt;=1))*ROW('CASE MASTER'!$T$2:$T$495))-(ROW('CASE MASTER'!#REF!)-1))),":",","),",",REPT(" ",50)),(((INDEX('CASE MASTER'!$Z$2:$Z$495,(SUMPRODUCT((('CASE MASTER'!$T$2:$T$495=1)*('CASE MASTER'!$AA$2:$AA$495&lt;=2)*('CASE MASTER'!$AC$2:$AC$495&gt;=2)*('CASE MASTER'!$AB$2:$AB$495&lt;=1)*('CASE MASTER'!$AD$2:$AD$495&gt;=1))*ROW('CASE MASTER'!$T$2:$T$495))-(ROW('CASE MASTER'!#REF!)-1)))+((2-INDEX('CASE MASTER'!$AA$2:$AA$495,(SUMPRODUCT((('CASE MASTER'!$T$2:$T$495=1)*('CASE MASTER'!$AA$2:$AA$495&lt;=2)*('CASE MASTER'!$AC$2:$AC$495&gt;=2)*('CASE MASTER'!$AB$2:$AB$495&lt;=1)*('CASE MASTER'!$AD$2:$AD$495&gt;=1))*ROW('CASE MASTER'!$T$2:$T$495))-(ROW('CASE MASTER'!#REF!)-1))))*(INDEX('CASE MASTER'!$AD$2:$AD$495,(SUMPRODUCT((('CASE MASTER'!$T$2:$T$495=1)*('CASE MASTER'!$AA$2:$AA$495&lt;=2)*('CASE MASTER'!$AC$2:$AC$495&gt;=2)*('CASE MASTER'!$AB$2:$AB$495&lt;=1)*('CASE MASTER'!$AD$2:$AD$495&gt;=1))*ROW('CASE MASTER'!$T$2:$T$495))-(ROW('CASE MASTER'!#REF!)-1)))-INDEX('CASE MASTER'!$AB$2:$AB$495,(SUMPRODUCT((('CASE MASTER'!$T$2:$T$495=1)*('CASE MASTER'!$AA$2:$AA$495&lt;=2)*('CASE MASTER'!$AC$2:$AC$495&gt;=2)*('CASE MASTER'!$AB$2:$AB$495&lt;=1)*('CASE MASTER'!$AD$2:$AD$495&gt;=1))*ROW('CASE MASTER'!$T$2:$T$495))-(ROW('CASE MASTER'!#REF!)-1)))+1)+(1-INDEX('CASE MASTER'!$AB$2:$AB$495,(SUMPRODUCT((('CASE MASTER'!$T$2:$T$495=1)*('CASE MASTER'!$AA$2:$AA$495&lt;=2)*('CASE MASTER'!$AC$2:$AC$495&gt;=2)*('CASE MASTER'!$AB$2:$AB$495&lt;=1)*('CASE MASTER'!$AD$2:$AD$495&gt;=1))*ROW('CASE MASTER'!$T$2:$T$495))-(ROW('CASE MASTER'!#REF!)-1))))+1)))-1)*50+1,50))&amp;"_"&amp;INDEX('CASE MASTER'!$Q$2:$Q$495,(SUMPRODUCT((('CASE MASTER'!$T$2:$T$495=1)*('CASE MASTER'!$AA$2:$AA$495&lt;=2)*('CASE MASTER'!$AC$2:$AC$495&gt;=2)*('CASE MASTER'!$AB$2:$AB$495&lt;=1)*('CASE MASTER'!$AD$2:$AD$495&gt;=1))*ROW('CASE MASTER'!$T$2:$T$495))-(ROW('CASE MASTER'!#REF!)-1))),"")),"")</f>
        <v/>
      </c>
      <c r="C4" s="10" t="str">
        <f>IFERROR(IF(SUMPRODUCT((('CASE MASTER'!$T$2:$T$495=1)*('CASE MASTER'!$U$2:$U$495&lt;=2)*('CASE MASTER'!$W$2:$W$495&gt;=2)*('CASE MASTER'!$V$2:$V$495&lt;=2)*('CASE MASTER'!$X$2:$X$495&gt;=2))*ROW('CASE MASTER'!$T$2:$T$495))&gt;0,INDEX('CASE MASTER'!$Y$2:$Y$495,(SUMPRODUCT((('CASE MASTER'!$T$2:$T$495=1)*('CASE MASTER'!$U$2:$U$495&lt;=2)*('CASE MASTER'!$W$2:$W$495&gt;=2)*('CASE MASTER'!$V$2:$V$495&lt;=2)*('CASE MASTER'!$X$2:$X$495&gt;=2))*ROW('CASE MASTER'!$T$2:$T$495))-(ROW('CASE MASTER'!#REF!)-1)))&amp;TRIM(MID(SUBSTITUTE(SUBSTITUTE(INDEX('CASE MASTER'!$N$2:$N$495,(SUMPRODUCT((('CASE MASTER'!$T$2:$T$495=1)*('CASE MASTER'!$U$2:$U$495&lt;=2)*('CASE MASTER'!$W$2:$W$495&gt;=2)*('CASE MASTER'!$V$2:$V$495&lt;=2)*('CASE MASTER'!$X$2:$X$495&gt;=2))*ROW('CASE MASTER'!$T$2:$T$495))-(ROW('CASE MASTER'!#REF!)-1))),":",","),",",REPT(" ",50)),((((2-INDEX('CASE MASTER'!$U$2:$U$495,(SUMPRODUCT((('CASE MASTER'!$T$2:$T$495=1)*('CASE MASTER'!$U$2:$U$495&lt;=2)*('CASE MASTER'!$W$2:$W$495&gt;=2)*('CASE MASTER'!$V$2:$V$495&lt;=2)*('CASE MASTER'!$X$2:$X$495&gt;=2))*ROW('CASE MASTER'!$T$2:$T$495))-(ROW('CASE MASTER'!#REF!)-1))))*(INDEX('CASE MASTER'!$X$2:$X$495,(SUMPRODUCT((('CASE MASTER'!$T$2:$T$495=1)*('CASE MASTER'!$U$2:$U$495&lt;=2)*('CASE MASTER'!$W$2:$W$495&gt;=2)*('CASE MASTER'!$V$2:$V$495&lt;=2)*('CASE MASTER'!$X$2:$X$495&gt;=2))*ROW('CASE MASTER'!$T$2:$T$495))-(ROW('CASE MASTER'!#REF!)-1)))-INDEX('CASE MASTER'!$V$2:$V$495,(SUMPRODUCT((('CASE MASTER'!$T$2:$T$495=1)*('CASE MASTER'!$U$2:$U$495&lt;=2)*('CASE MASTER'!$W$2:$W$495&gt;=2)*('CASE MASTER'!$V$2:$V$495&lt;=2)*('CASE MASTER'!$X$2:$X$495&gt;=2))*ROW('CASE MASTER'!$T$2:$T$495))-(ROW('CASE MASTER'!#REF!)-1)))+1)+(2-INDEX('CASE MASTER'!$V$2:$V$495,(SUMPRODUCT((('CASE MASTER'!$T$2:$T$495=1)*('CASE MASTER'!$U$2:$U$495&lt;=2)*('CASE MASTER'!$W$2:$W$495&gt;=2)*('CASE MASTER'!$V$2:$V$495&lt;=2)*('CASE MASTER'!$X$2:$X$495&gt;=2))*ROW('CASE MASTER'!$T$2:$T$495))-(ROW('CASE MASTER'!#REF!)-1))))+1))-1)*50+1,50))&amp;"_"&amp;INDEX('CASE MASTER'!$Q$2:$Q$495,(SUMPRODUCT((('CASE MASTER'!$T$2:$T$495=1)*('CASE MASTER'!$U$2:$U$495&lt;=2)*('CASE MASTER'!$W$2:$W$495&gt;=2)*('CASE MASTER'!$V$2:$V$495&lt;=2)*('CASE MASTER'!$X$2:$X$495&gt;=2))*ROW('CASE MASTER'!$T$2:$T$495))-(ROW('CASE MASTER'!#REF!)-1))),IF(SUMPRODUCT((('CASE MASTER'!$T$2:$T$495=1)*('CASE MASTER'!$AA$2:$AA$495&lt;=2)*('CASE MASTER'!$AC$2:$AC$495&gt;=2)*('CASE MASTER'!$AB$2:$AB$495&lt;=2)*('CASE MASTER'!$AD$2:$AD$495&gt;=2))*ROW('CASE MASTER'!$T$2:$T$495))&gt;0,INDEX('CASE MASTER'!$Y$2:$Y$495,(SUMPRODUCT((('CASE MASTER'!$T$2:$T$495=1)*('CASE MASTER'!$AA$2:$AA$495&lt;=2)*('CASE MASTER'!$AC$2:$AC$495&gt;=2)*('CASE MASTER'!$AB$2:$AB$495&lt;=2)*('CASE MASTER'!$AD$2:$AD$495&gt;=2))*ROW('CASE MASTER'!$T$2:$T$495))-(ROW('CASE MASTER'!#REF!)-1)))&amp;TRIM(MID(SUBSTITUTE(SUBSTITUTE(INDEX('CASE MASTER'!$N$2:$N$495,(SUMPRODUCT((('CASE MASTER'!$T$2:$T$495=1)*('CASE MASTER'!$AA$2:$AA$495&lt;=2)*('CASE MASTER'!$AC$2:$AC$495&gt;=2)*('CASE MASTER'!$AB$2:$AB$495&lt;=2)*('CASE MASTER'!$AD$2:$AD$495&gt;=2))*ROW('CASE MASTER'!$T$2:$T$495))-(ROW('CASE MASTER'!#REF!)-1))),":",","),",",REPT(" ",50)),(((INDEX('CASE MASTER'!$Z$2:$Z$495,(SUMPRODUCT((('CASE MASTER'!$T$2:$T$495=1)*('CASE MASTER'!$AA$2:$AA$495&lt;=2)*('CASE MASTER'!$AC$2:$AC$495&gt;=2)*('CASE MASTER'!$AB$2:$AB$495&lt;=2)*('CASE MASTER'!$AD$2:$AD$495&gt;=2))*ROW('CASE MASTER'!$T$2:$T$495))-(ROW('CASE MASTER'!#REF!)-1)))+((2-INDEX('CASE MASTER'!$AA$2:$AA$495,(SUMPRODUCT((('CASE MASTER'!$T$2:$T$495=1)*('CASE MASTER'!$AA$2:$AA$495&lt;=2)*('CASE MASTER'!$AC$2:$AC$495&gt;=2)*('CASE MASTER'!$AB$2:$AB$495&lt;=2)*('CASE MASTER'!$AD$2:$AD$495&gt;=2))*ROW('CASE MASTER'!$T$2:$T$495))-(ROW('CASE MASTER'!#REF!)-1))))*(INDEX('CASE MASTER'!$AD$2:$AD$495,(SUMPRODUCT((('CASE MASTER'!$T$2:$T$495=1)*('CASE MASTER'!$AA$2:$AA$495&lt;=2)*('CASE MASTER'!$AC$2:$AC$495&gt;=2)*('CASE MASTER'!$AB$2:$AB$495&lt;=2)*('CASE MASTER'!$AD$2:$AD$495&gt;=2))*ROW('CASE MASTER'!$T$2:$T$495))-(ROW('CASE MASTER'!#REF!)-1)))-INDEX('CASE MASTER'!$AB$2:$AB$495,(SUMPRODUCT((('CASE MASTER'!$T$2:$T$495=1)*('CASE MASTER'!$AA$2:$AA$495&lt;=2)*('CASE MASTER'!$AC$2:$AC$495&gt;=2)*('CASE MASTER'!$AB$2:$AB$495&lt;=2)*('CASE MASTER'!$AD$2:$AD$495&gt;=2))*ROW('CASE MASTER'!$T$2:$T$495))-(ROW('CASE MASTER'!#REF!)-1)))+1)+(2-INDEX('CASE MASTER'!$AB$2:$AB$495,(SUMPRODUCT((('CASE MASTER'!$T$2:$T$495=1)*('CASE MASTER'!$AA$2:$AA$495&lt;=2)*('CASE MASTER'!$AC$2:$AC$495&gt;=2)*('CASE MASTER'!$AB$2:$AB$495&lt;=2)*('CASE MASTER'!$AD$2:$AD$495&gt;=2))*ROW('CASE MASTER'!$T$2:$T$495))-(ROW('CASE MASTER'!#REF!)-1))))+1)))-1)*50+1,50))&amp;"_"&amp;INDEX('CASE MASTER'!$Q$2:$Q$495,(SUMPRODUCT((('CASE MASTER'!$T$2:$T$495=1)*('CASE MASTER'!$AA$2:$AA$495&lt;=2)*('CASE MASTER'!$AC$2:$AC$495&gt;=2)*('CASE MASTER'!$AB$2:$AB$495&lt;=2)*('CASE MASTER'!$AD$2:$AD$495&gt;=2))*ROW('CASE MASTER'!$T$2:$T$495))-(ROW('CASE MASTER'!#REF!)-1))),"")),"")</f>
        <v/>
      </c>
      <c r="D4" s="10" t="str">
        <f>IFERROR(IF(SUMPRODUCT((('CASE MASTER'!$T$2:$T$495=1)*('CASE MASTER'!$U$2:$U$495&lt;=2)*('CASE MASTER'!$W$2:$W$495&gt;=2)*('CASE MASTER'!$V$2:$V$495&lt;=3)*('CASE MASTER'!$X$2:$X$495&gt;=3))*ROW('CASE MASTER'!$T$2:$T$495))&gt;0,INDEX('CASE MASTER'!$Y$2:$Y$495,(SUMPRODUCT((('CASE MASTER'!$T$2:$T$495=1)*('CASE MASTER'!$U$2:$U$495&lt;=2)*('CASE MASTER'!$W$2:$W$495&gt;=2)*('CASE MASTER'!$V$2:$V$495&lt;=3)*('CASE MASTER'!$X$2:$X$495&gt;=3))*ROW('CASE MASTER'!$T$2:$T$495))-(ROW('CASE MASTER'!#REF!)-1)))&amp;TRIM(MID(SUBSTITUTE(SUBSTITUTE(INDEX('CASE MASTER'!$N$2:$N$495,(SUMPRODUCT((('CASE MASTER'!$T$2:$T$495=1)*('CASE MASTER'!$U$2:$U$495&lt;=2)*('CASE MASTER'!$W$2:$W$495&gt;=2)*('CASE MASTER'!$V$2:$V$495&lt;=3)*('CASE MASTER'!$X$2:$X$495&gt;=3))*ROW('CASE MASTER'!$T$2:$T$495))-(ROW('CASE MASTER'!#REF!)-1))),":",","),",",REPT(" ",50)),((((2-INDEX('CASE MASTER'!$U$2:$U$495,(SUMPRODUCT((('CASE MASTER'!$T$2:$T$495=1)*('CASE MASTER'!$U$2:$U$495&lt;=2)*('CASE MASTER'!$W$2:$W$495&gt;=2)*('CASE MASTER'!$V$2:$V$495&lt;=3)*('CASE MASTER'!$X$2:$X$495&gt;=3))*ROW('CASE MASTER'!$T$2:$T$495))-(ROW('CASE MASTER'!#REF!)-1))))*(INDEX('CASE MASTER'!$X$2:$X$495,(SUMPRODUCT((('CASE MASTER'!$T$2:$T$495=1)*('CASE MASTER'!$U$2:$U$495&lt;=2)*('CASE MASTER'!$W$2:$W$495&gt;=2)*('CASE MASTER'!$V$2:$V$495&lt;=3)*('CASE MASTER'!$X$2:$X$495&gt;=3))*ROW('CASE MASTER'!$T$2:$T$495))-(ROW('CASE MASTER'!#REF!)-1)))-INDEX('CASE MASTER'!$V$2:$V$495,(SUMPRODUCT((('CASE MASTER'!$T$2:$T$495=1)*('CASE MASTER'!$U$2:$U$495&lt;=2)*('CASE MASTER'!$W$2:$W$495&gt;=2)*('CASE MASTER'!$V$2:$V$495&lt;=3)*('CASE MASTER'!$X$2:$X$495&gt;=3))*ROW('CASE MASTER'!$T$2:$T$495))-(ROW('CASE MASTER'!#REF!)-1)))+1)+(3-INDEX('CASE MASTER'!$V$2:$V$495,(SUMPRODUCT((('CASE MASTER'!$T$2:$T$495=1)*('CASE MASTER'!$U$2:$U$495&lt;=2)*('CASE MASTER'!$W$2:$W$495&gt;=2)*('CASE MASTER'!$V$2:$V$495&lt;=3)*('CASE MASTER'!$X$2:$X$495&gt;=3))*ROW('CASE MASTER'!$T$2:$T$495))-(ROW('CASE MASTER'!#REF!)-1))))+1))-1)*50+1,50))&amp;"_"&amp;INDEX('CASE MASTER'!$Q$2:$Q$495,(SUMPRODUCT((('CASE MASTER'!$T$2:$T$495=1)*('CASE MASTER'!$U$2:$U$495&lt;=2)*('CASE MASTER'!$W$2:$W$495&gt;=2)*('CASE MASTER'!$V$2:$V$495&lt;=3)*('CASE MASTER'!$X$2:$X$495&gt;=3))*ROW('CASE MASTER'!$T$2:$T$495))-(ROW('CASE MASTER'!#REF!)-1))),IF(SUMPRODUCT((('CASE MASTER'!$T$2:$T$495=1)*('CASE MASTER'!$AA$2:$AA$495&lt;=2)*('CASE MASTER'!$AC$2:$AC$495&gt;=2)*('CASE MASTER'!$AB$2:$AB$495&lt;=3)*('CASE MASTER'!$AD$2:$AD$495&gt;=3))*ROW('CASE MASTER'!$T$2:$T$495))&gt;0,INDEX('CASE MASTER'!$Y$2:$Y$495,(SUMPRODUCT((('CASE MASTER'!$T$2:$T$495=1)*('CASE MASTER'!$AA$2:$AA$495&lt;=2)*('CASE MASTER'!$AC$2:$AC$495&gt;=2)*('CASE MASTER'!$AB$2:$AB$495&lt;=3)*('CASE MASTER'!$AD$2:$AD$495&gt;=3))*ROW('CASE MASTER'!$T$2:$T$495))-(ROW('CASE MASTER'!#REF!)-1)))&amp;TRIM(MID(SUBSTITUTE(SUBSTITUTE(INDEX('CASE MASTER'!$N$2:$N$495,(SUMPRODUCT((('CASE MASTER'!$T$2:$T$495=1)*('CASE MASTER'!$AA$2:$AA$495&lt;=2)*('CASE MASTER'!$AC$2:$AC$495&gt;=2)*('CASE MASTER'!$AB$2:$AB$495&lt;=3)*('CASE MASTER'!$AD$2:$AD$495&gt;=3))*ROW('CASE MASTER'!$T$2:$T$495))-(ROW('CASE MASTER'!#REF!)-1))),":",","),",",REPT(" ",50)),(((INDEX('CASE MASTER'!$Z$2:$Z$495,(SUMPRODUCT((('CASE MASTER'!$T$2:$T$495=1)*('CASE MASTER'!$AA$2:$AA$495&lt;=2)*('CASE MASTER'!$AC$2:$AC$495&gt;=2)*('CASE MASTER'!$AB$2:$AB$495&lt;=3)*('CASE MASTER'!$AD$2:$AD$495&gt;=3))*ROW('CASE MASTER'!$T$2:$T$495))-(ROW('CASE MASTER'!#REF!)-1)))+((2-INDEX('CASE MASTER'!$AA$2:$AA$495,(SUMPRODUCT((('CASE MASTER'!$T$2:$T$495=1)*('CASE MASTER'!$AA$2:$AA$495&lt;=2)*('CASE MASTER'!$AC$2:$AC$495&gt;=2)*('CASE MASTER'!$AB$2:$AB$495&lt;=3)*('CASE MASTER'!$AD$2:$AD$495&gt;=3))*ROW('CASE MASTER'!$T$2:$T$495))-(ROW('CASE MASTER'!#REF!)-1))))*(INDEX('CASE MASTER'!$AD$2:$AD$495,(SUMPRODUCT((('CASE MASTER'!$T$2:$T$495=1)*('CASE MASTER'!$AA$2:$AA$495&lt;=2)*('CASE MASTER'!$AC$2:$AC$495&gt;=2)*('CASE MASTER'!$AB$2:$AB$495&lt;=3)*('CASE MASTER'!$AD$2:$AD$495&gt;=3))*ROW('CASE MASTER'!$T$2:$T$495))-(ROW('CASE MASTER'!#REF!)-1)))-INDEX('CASE MASTER'!$AB$2:$AB$495,(SUMPRODUCT((('CASE MASTER'!$T$2:$T$495=1)*('CASE MASTER'!$AA$2:$AA$495&lt;=2)*('CASE MASTER'!$AC$2:$AC$495&gt;=2)*('CASE MASTER'!$AB$2:$AB$495&lt;=3)*('CASE MASTER'!$AD$2:$AD$495&gt;=3))*ROW('CASE MASTER'!$T$2:$T$495))-(ROW('CASE MASTER'!#REF!)-1)))+1)+(3-INDEX('CASE MASTER'!$AB$2:$AB$495,(SUMPRODUCT((('CASE MASTER'!$T$2:$T$495=1)*('CASE MASTER'!$AA$2:$AA$495&lt;=2)*('CASE MASTER'!$AC$2:$AC$495&gt;=2)*('CASE MASTER'!$AB$2:$AB$495&lt;=3)*('CASE MASTER'!$AD$2:$AD$495&gt;=3))*ROW('CASE MASTER'!$T$2:$T$495))-(ROW('CASE MASTER'!#REF!)-1))))+1)))-1)*50+1,50))&amp;"_"&amp;INDEX('CASE MASTER'!$Q$2:$Q$495,(SUMPRODUCT((('CASE MASTER'!$T$2:$T$495=1)*('CASE MASTER'!$AA$2:$AA$495&lt;=2)*('CASE MASTER'!$AC$2:$AC$495&gt;=2)*('CASE MASTER'!$AB$2:$AB$495&lt;=3)*('CASE MASTER'!$AD$2:$AD$495&gt;=3))*ROW('CASE MASTER'!$T$2:$T$495))-(ROW('CASE MASTER'!#REF!)-1))),"")),"")</f>
        <v/>
      </c>
      <c r="E4" s="10" t="str">
        <f>IFERROR(IF(SUMPRODUCT((('CASE MASTER'!$T$2:$T$495=1)*('CASE MASTER'!$U$2:$U$495&lt;=2)*('CASE MASTER'!$W$2:$W$495&gt;=2)*('CASE MASTER'!$V$2:$V$495&lt;=4)*('CASE MASTER'!$X$2:$X$495&gt;=4))*ROW('CASE MASTER'!$T$2:$T$495))&gt;0,INDEX('CASE MASTER'!$Y$2:$Y$495,(SUMPRODUCT((('CASE MASTER'!$T$2:$T$495=1)*('CASE MASTER'!$U$2:$U$495&lt;=2)*('CASE MASTER'!$W$2:$W$495&gt;=2)*('CASE MASTER'!$V$2:$V$495&lt;=4)*('CASE MASTER'!$X$2:$X$495&gt;=4))*ROW('CASE MASTER'!$T$2:$T$495))-(ROW('CASE MASTER'!#REF!)-1)))&amp;TRIM(MID(SUBSTITUTE(SUBSTITUTE(INDEX('CASE MASTER'!$N$2:$N$495,(SUMPRODUCT((('CASE MASTER'!$T$2:$T$495=1)*('CASE MASTER'!$U$2:$U$495&lt;=2)*('CASE MASTER'!$W$2:$W$495&gt;=2)*('CASE MASTER'!$V$2:$V$495&lt;=4)*('CASE MASTER'!$X$2:$X$495&gt;=4))*ROW('CASE MASTER'!$T$2:$T$495))-(ROW('CASE MASTER'!#REF!)-1))),":",","),",",REPT(" ",50)),((((2-INDEX('CASE MASTER'!$U$2:$U$495,(SUMPRODUCT((('CASE MASTER'!$T$2:$T$495=1)*('CASE MASTER'!$U$2:$U$495&lt;=2)*('CASE MASTER'!$W$2:$W$495&gt;=2)*('CASE MASTER'!$V$2:$V$495&lt;=4)*('CASE MASTER'!$X$2:$X$495&gt;=4))*ROW('CASE MASTER'!$T$2:$T$495))-(ROW('CASE MASTER'!#REF!)-1))))*(INDEX('CASE MASTER'!$X$2:$X$495,(SUMPRODUCT((('CASE MASTER'!$T$2:$T$495=1)*('CASE MASTER'!$U$2:$U$495&lt;=2)*('CASE MASTER'!$W$2:$W$495&gt;=2)*('CASE MASTER'!$V$2:$V$495&lt;=4)*('CASE MASTER'!$X$2:$X$495&gt;=4))*ROW('CASE MASTER'!$T$2:$T$495))-(ROW('CASE MASTER'!#REF!)-1)))-INDEX('CASE MASTER'!$V$2:$V$495,(SUMPRODUCT((('CASE MASTER'!$T$2:$T$495=1)*('CASE MASTER'!$U$2:$U$495&lt;=2)*('CASE MASTER'!$W$2:$W$495&gt;=2)*('CASE MASTER'!$V$2:$V$495&lt;=4)*('CASE MASTER'!$X$2:$X$495&gt;=4))*ROW('CASE MASTER'!$T$2:$T$495))-(ROW('CASE MASTER'!#REF!)-1)))+1)+(4-INDEX('CASE MASTER'!$V$2:$V$495,(SUMPRODUCT((('CASE MASTER'!$T$2:$T$495=1)*('CASE MASTER'!$U$2:$U$495&lt;=2)*('CASE MASTER'!$W$2:$W$495&gt;=2)*('CASE MASTER'!$V$2:$V$495&lt;=4)*('CASE MASTER'!$X$2:$X$495&gt;=4))*ROW('CASE MASTER'!$T$2:$T$495))-(ROW('CASE MASTER'!#REF!)-1))))+1))-1)*50+1,50))&amp;"_"&amp;INDEX('CASE MASTER'!$Q$2:$Q$495,(SUMPRODUCT((('CASE MASTER'!$T$2:$T$495=1)*('CASE MASTER'!$U$2:$U$495&lt;=2)*('CASE MASTER'!$W$2:$W$495&gt;=2)*('CASE MASTER'!$V$2:$V$495&lt;=4)*('CASE MASTER'!$X$2:$X$495&gt;=4))*ROW('CASE MASTER'!$T$2:$T$495))-(ROW('CASE MASTER'!#REF!)-1))),IF(SUMPRODUCT((('CASE MASTER'!$T$2:$T$495=1)*('CASE MASTER'!$AA$2:$AA$495&lt;=2)*('CASE MASTER'!$AC$2:$AC$495&gt;=2)*('CASE MASTER'!$AB$2:$AB$495&lt;=4)*('CASE MASTER'!$AD$2:$AD$495&gt;=4))*ROW('CASE MASTER'!$T$2:$T$495))&gt;0,INDEX('CASE MASTER'!$Y$2:$Y$495,(SUMPRODUCT((('CASE MASTER'!$T$2:$T$495=1)*('CASE MASTER'!$AA$2:$AA$495&lt;=2)*('CASE MASTER'!$AC$2:$AC$495&gt;=2)*('CASE MASTER'!$AB$2:$AB$495&lt;=4)*('CASE MASTER'!$AD$2:$AD$495&gt;=4))*ROW('CASE MASTER'!$T$2:$T$495))-(ROW('CASE MASTER'!#REF!)-1)))&amp;TRIM(MID(SUBSTITUTE(SUBSTITUTE(INDEX('CASE MASTER'!$N$2:$N$495,(SUMPRODUCT((('CASE MASTER'!$T$2:$T$495=1)*('CASE MASTER'!$AA$2:$AA$495&lt;=2)*('CASE MASTER'!$AC$2:$AC$495&gt;=2)*('CASE MASTER'!$AB$2:$AB$495&lt;=4)*('CASE MASTER'!$AD$2:$AD$495&gt;=4))*ROW('CASE MASTER'!$T$2:$T$495))-(ROW('CASE MASTER'!#REF!)-1))),":",","),",",REPT(" ",50)),(((INDEX('CASE MASTER'!$Z$2:$Z$495,(SUMPRODUCT((('CASE MASTER'!$T$2:$T$495=1)*('CASE MASTER'!$AA$2:$AA$495&lt;=2)*('CASE MASTER'!$AC$2:$AC$495&gt;=2)*('CASE MASTER'!$AB$2:$AB$495&lt;=4)*('CASE MASTER'!$AD$2:$AD$495&gt;=4))*ROW('CASE MASTER'!$T$2:$T$495))-(ROW('CASE MASTER'!#REF!)-1)))+((2-INDEX('CASE MASTER'!$AA$2:$AA$495,(SUMPRODUCT((('CASE MASTER'!$T$2:$T$495=1)*('CASE MASTER'!$AA$2:$AA$495&lt;=2)*('CASE MASTER'!$AC$2:$AC$495&gt;=2)*('CASE MASTER'!$AB$2:$AB$495&lt;=4)*('CASE MASTER'!$AD$2:$AD$495&gt;=4))*ROW('CASE MASTER'!$T$2:$T$495))-(ROW('CASE MASTER'!#REF!)-1))))*(INDEX('CASE MASTER'!$AD$2:$AD$495,(SUMPRODUCT((('CASE MASTER'!$T$2:$T$495=1)*('CASE MASTER'!$AA$2:$AA$495&lt;=2)*('CASE MASTER'!$AC$2:$AC$495&gt;=2)*('CASE MASTER'!$AB$2:$AB$495&lt;=4)*('CASE MASTER'!$AD$2:$AD$495&gt;=4))*ROW('CASE MASTER'!$T$2:$T$495))-(ROW('CASE MASTER'!#REF!)-1)))-INDEX('CASE MASTER'!$AB$2:$AB$495,(SUMPRODUCT((('CASE MASTER'!$T$2:$T$495=1)*('CASE MASTER'!$AA$2:$AA$495&lt;=2)*('CASE MASTER'!$AC$2:$AC$495&gt;=2)*('CASE MASTER'!$AB$2:$AB$495&lt;=4)*('CASE MASTER'!$AD$2:$AD$495&gt;=4))*ROW('CASE MASTER'!$T$2:$T$495))-(ROW('CASE MASTER'!#REF!)-1)))+1)+(4-INDEX('CASE MASTER'!$AB$2:$AB$495,(SUMPRODUCT((('CASE MASTER'!$T$2:$T$495=1)*('CASE MASTER'!$AA$2:$AA$495&lt;=2)*('CASE MASTER'!$AC$2:$AC$495&gt;=2)*('CASE MASTER'!$AB$2:$AB$495&lt;=4)*('CASE MASTER'!$AD$2:$AD$495&gt;=4))*ROW('CASE MASTER'!$T$2:$T$495))-(ROW('CASE MASTER'!#REF!)-1))))+1)))-1)*50+1,50))&amp;"_"&amp;INDEX('CASE MASTER'!$Q$2:$Q$495,(SUMPRODUCT((('CASE MASTER'!$T$2:$T$495=1)*('CASE MASTER'!$AA$2:$AA$495&lt;=2)*('CASE MASTER'!$AC$2:$AC$495&gt;=2)*('CASE MASTER'!$AB$2:$AB$495&lt;=4)*('CASE MASTER'!$AD$2:$AD$495&gt;=4))*ROW('CASE MASTER'!$T$2:$T$495))-(ROW('CASE MASTER'!#REF!)-1))),"")),"")</f>
        <v/>
      </c>
      <c r="F4" s="10" t="str">
        <f>IFERROR(IF(SUMPRODUCT((('CASE MASTER'!$T$2:$T$495=1)*('CASE MASTER'!$U$2:$U$495&lt;=2)*('CASE MASTER'!$W$2:$W$495&gt;=2)*('CASE MASTER'!$V$2:$V$495&lt;=5)*('CASE MASTER'!$X$2:$X$495&gt;=5))*ROW('CASE MASTER'!$T$2:$T$495))&gt;0,INDEX('CASE MASTER'!$Y$2:$Y$495,(SUMPRODUCT((('CASE MASTER'!$T$2:$T$495=1)*('CASE MASTER'!$U$2:$U$495&lt;=2)*('CASE MASTER'!$W$2:$W$495&gt;=2)*('CASE MASTER'!$V$2:$V$495&lt;=5)*('CASE MASTER'!$X$2:$X$495&gt;=5))*ROW('CASE MASTER'!$T$2:$T$495))-(ROW('CASE MASTER'!#REF!)-1)))&amp;TRIM(MID(SUBSTITUTE(SUBSTITUTE(INDEX('CASE MASTER'!$N$2:$N$495,(SUMPRODUCT((('CASE MASTER'!$T$2:$T$495=1)*('CASE MASTER'!$U$2:$U$495&lt;=2)*('CASE MASTER'!$W$2:$W$495&gt;=2)*('CASE MASTER'!$V$2:$V$495&lt;=5)*('CASE MASTER'!$X$2:$X$495&gt;=5))*ROW('CASE MASTER'!$T$2:$T$495))-(ROW('CASE MASTER'!#REF!)-1))),":",","),",",REPT(" ",50)),((((2-INDEX('CASE MASTER'!$U$2:$U$495,(SUMPRODUCT((('CASE MASTER'!$T$2:$T$495=1)*('CASE MASTER'!$U$2:$U$495&lt;=2)*('CASE MASTER'!$W$2:$W$495&gt;=2)*('CASE MASTER'!$V$2:$V$495&lt;=5)*('CASE MASTER'!$X$2:$X$495&gt;=5))*ROW('CASE MASTER'!$T$2:$T$495))-(ROW('CASE MASTER'!#REF!)-1))))*(INDEX('CASE MASTER'!$X$2:$X$495,(SUMPRODUCT((('CASE MASTER'!$T$2:$T$495=1)*('CASE MASTER'!$U$2:$U$495&lt;=2)*('CASE MASTER'!$W$2:$W$495&gt;=2)*('CASE MASTER'!$V$2:$V$495&lt;=5)*('CASE MASTER'!$X$2:$X$495&gt;=5))*ROW('CASE MASTER'!$T$2:$T$495))-(ROW('CASE MASTER'!#REF!)-1)))-INDEX('CASE MASTER'!$V$2:$V$495,(SUMPRODUCT((('CASE MASTER'!$T$2:$T$495=1)*('CASE MASTER'!$U$2:$U$495&lt;=2)*('CASE MASTER'!$W$2:$W$495&gt;=2)*('CASE MASTER'!$V$2:$V$495&lt;=5)*('CASE MASTER'!$X$2:$X$495&gt;=5))*ROW('CASE MASTER'!$T$2:$T$495))-(ROW('CASE MASTER'!#REF!)-1)))+1)+(5-INDEX('CASE MASTER'!$V$2:$V$495,(SUMPRODUCT((('CASE MASTER'!$T$2:$T$495=1)*('CASE MASTER'!$U$2:$U$495&lt;=2)*('CASE MASTER'!$W$2:$W$495&gt;=2)*('CASE MASTER'!$V$2:$V$495&lt;=5)*('CASE MASTER'!$X$2:$X$495&gt;=5))*ROW('CASE MASTER'!$T$2:$T$495))-(ROW('CASE MASTER'!#REF!)-1))))+1))-1)*50+1,50))&amp;"_"&amp;INDEX('CASE MASTER'!$Q$2:$Q$495,(SUMPRODUCT((('CASE MASTER'!$T$2:$T$495=1)*('CASE MASTER'!$U$2:$U$495&lt;=2)*('CASE MASTER'!$W$2:$W$495&gt;=2)*('CASE MASTER'!$V$2:$V$495&lt;=5)*('CASE MASTER'!$X$2:$X$495&gt;=5))*ROW('CASE MASTER'!$T$2:$T$495))-(ROW('CASE MASTER'!#REF!)-1))),IF(SUMPRODUCT((('CASE MASTER'!$T$2:$T$495=1)*('CASE MASTER'!$AA$2:$AA$495&lt;=2)*('CASE MASTER'!$AC$2:$AC$495&gt;=2)*('CASE MASTER'!$AB$2:$AB$495&lt;=5)*('CASE MASTER'!$AD$2:$AD$495&gt;=5))*ROW('CASE MASTER'!$T$2:$T$495))&gt;0,INDEX('CASE MASTER'!$Y$2:$Y$495,(SUMPRODUCT((('CASE MASTER'!$T$2:$T$495=1)*('CASE MASTER'!$AA$2:$AA$495&lt;=2)*('CASE MASTER'!$AC$2:$AC$495&gt;=2)*('CASE MASTER'!$AB$2:$AB$495&lt;=5)*('CASE MASTER'!$AD$2:$AD$495&gt;=5))*ROW('CASE MASTER'!$T$2:$T$495))-(ROW('CASE MASTER'!#REF!)-1)))&amp;TRIM(MID(SUBSTITUTE(SUBSTITUTE(INDEX('CASE MASTER'!$N$2:$N$495,(SUMPRODUCT((('CASE MASTER'!$T$2:$T$495=1)*('CASE MASTER'!$AA$2:$AA$495&lt;=2)*('CASE MASTER'!$AC$2:$AC$495&gt;=2)*('CASE MASTER'!$AB$2:$AB$495&lt;=5)*('CASE MASTER'!$AD$2:$AD$495&gt;=5))*ROW('CASE MASTER'!$T$2:$T$495))-(ROW('CASE MASTER'!#REF!)-1))),":",","),",",REPT(" ",50)),(((INDEX('CASE MASTER'!$Z$2:$Z$495,(SUMPRODUCT((('CASE MASTER'!$T$2:$T$495=1)*('CASE MASTER'!$AA$2:$AA$495&lt;=2)*('CASE MASTER'!$AC$2:$AC$495&gt;=2)*('CASE MASTER'!$AB$2:$AB$495&lt;=5)*('CASE MASTER'!$AD$2:$AD$495&gt;=5))*ROW('CASE MASTER'!$T$2:$T$495))-(ROW('CASE MASTER'!#REF!)-1)))+((2-INDEX('CASE MASTER'!$AA$2:$AA$495,(SUMPRODUCT((('CASE MASTER'!$T$2:$T$495=1)*('CASE MASTER'!$AA$2:$AA$495&lt;=2)*('CASE MASTER'!$AC$2:$AC$495&gt;=2)*('CASE MASTER'!$AB$2:$AB$495&lt;=5)*('CASE MASTER'!$AD$2:$AD$495&gt;=5))*ROW('CASE MASTER'!$T$2:$T$495))-(ROW('CASE MASTER'!#REF!)-1))))*(INDEX('CASE MASTER'!$AD$2:$AD$495,(SUMPRODUCT((('CASE MASTER'!$T$2:$T$495=1)*('CASE MASTER'!$AA$2:$AA$495&lt;=2)*('CASE MASTER'!$AC$2:$AC$495&gt;=2)*('CASE MASTER'!$AB$2:$AB$495&lt;=5)*('CASE MASTER'!$AD$2:$AD$495&gt;=5))*ROW('CASE MASTER'!$T$2:$T$495))-(ROW('CASE MASTER'!#REF!)-1)))-INDEX('CASE MASTER'!$AB$2:$AB$495,(SUMPRODUCT((('CASE MASTER'!$T$2:$T$495=1)*('CASE MASTER'!$AA$2:$AA$495&lt;=2)*('CASE MASTER'!$AC$2:$AC$495&gt;=2)*('CASE MASTER'!$AB$2:$AB$495&lt;=5)*('CASE MASTER'!$AD$2:$AD$495&gt;=5))*ROW('CASE MASTER'!$T$2:$T$495))-(ROW('CASE MASTER'!#REF!)-1)))+1)+(5-INDEX('CASE MASTER'!$AB$2:$AB$495,(SUMPRODUCT((('CASE MASTER'!$T$2:$T$495=1)*('CASE MASTER'!$AA$2:$AA$495&lt;=2)*('CASE MASTER'!$AC$2:$AC$495&gt;=2)*('CASE MASTER'!$AB$2:$AB$495&lt;=5)*('CASE MASTER'!$AD$2:$AD$495&gt;=5))*ROW('CASE MASTER'!$T$2:$T$495))-(ROW('CASE MASTER'!#REF!)-1))))+1)))-1)*50+1,50))&amp;"_"&amp;INDEX('CASE MASTER'!$Q$2:$Q$495,(SUMPRODUCT((('CASE MASTER'!$T$2:$T$495=1)*('CASE MASTER'!$AA$2:$AA$495&lt;=2)*('CASE MASTER'!$AC$2:$AC$495&gt;=2)*('CASE MASTER'!$AB$2:$AB$495&lt;=5)*('CASE MASTER'!$AD$2:$AD$495&gt;=5))*ROW('CASE MASTER'!$T$2:$T$495))-(ROW('CASE MASTER'!#REF!)-1))),"")),"")</f>
        <v/>
      </c>
      <c r="G4" s="10" t="str">
        <f>IFERROR(IF(SUMPRODUCT((('CASE MASTER'!$T$2:$T$495=1)*('CASE MASTER'!$U$2:$U$495&lt;=2)*('CASE MASTER'!$W$2:$W$495&gt;=2)*('CASE MASTER'!$V$2:$V$495&lt;=6)*('CASE MASTER'!$X$2:$X$495&gt;=6))*ROW('CASE MASTER'!$T$2:$T$495))&gt;0,INDEX('CASE MASTER'!$Y$2:$Y$495,(SUMPRODUCT((('CASE MASTER'!$T$2:$T$495=1)*('CASE MASTER'!$U$2:$U$495&lt;=2)*('CASE MASTER'!$W$2:$W$495&gt;=2)*('CASE MASTER'!$V$2:$V$495&lt;=6)*('CASE MASTER'!$X$2:$X$495&gt;=6))*ROW('CASE MASTER'!$T$2:$T$495))-(ROW('CASE MASTER'!#REF!)-1)))&amp;TRIM(MID(SUBSTITUTE(SUBSTITUTE(INDEX('CASE MASTER'!$N$2:$N$495,(SUMPRODUCT((('CASE MASTER'!$T$2:$T$495=1)*('CASE MASTER'!$U$2:$U$495&lt;=2)*('CASE MASTER'!$W$2:$W$495&gt;=2)*('CASE MASTER'!$V$2:$V$495&lt;=6)*('CASE MASTER'!$X$2:$X$495&gt;=6))*ROW('CASE MASTER'!$T$2:$T$495))-(ROW('CASE MASTER'!#REF!)-1))),":",","),",",REPT(" ",50)),((((2-INDEX('CASE MASTER'!$U$2:$U$495,(SUMPRODUCT((('CASE MASTER'!$T$2:$T$495=1)*('CASE MASTER'!$U$2:$U$495&lt;=2)*('CASE MASTER'!$W$2:$W$495&gt;=2)*('CASE MASTER'!$V$2:$V$495&lt;=6)*('CASE MASTER'!$X$2:$X$495&gt;=6))*ROW('CASE MASTER'!$T$2:$T$495))-(ROW('CASE MASTER'!#REF!)-1))))*(INDEX('CASE MASTER'!$X$2:$X$495,(SUMPRODUCT((('CASE MASTER'!$T$2:$T$495=1)*('CASE MASTER'!$U$2:$U$495&lt;=2)*('CASE MASTER'!$W$2:$W$495&gt;=2)*('CASE MASTER'!$V$2:$V$495&lt;=6)*('CASE MASTER'!$X$2:$X$495&gt;=6))*ROW('CASE MASTER'!$T$2:$T$495))-(ROW('CASE MASTER'!#REF!)-1)))-INDEX('CASE MASTER'!$V$2:$V$495,(SUMPRODUCT((('CASE MASTER'!$T$2:$T$495=1)*('CASE MASTER'!$U$2:$U$495&lt;=2)*('CASE MASTER'!$W$2:$W$495&gt;=2)*('CASE MASTER'!$V$2:$V$495&lt;=6)*('CASE MASTER'!$X$2:$X$495&gt;=6))*ROW('CASE MASTER'!$T$2:$T$495))-(ROW('CASE MASTER'!#REF!)-1)))+1)+(6-INDEX('CASE MASTER'!$V$2:$V$495,(SUMPRODUCT((('CASE MASTER'!$T$2:$T$495=1)*('CASE MASTER'!$U$2:$U$495&lt;=2)*('CASE MASTER'!$W$2:$W$495&gt;=2)*('CASE MASTER'!$V$2:$V$495&lt;=6)*('CASE MASTER'!$X$2:$X$495&gt;=6))*ROW('CASE MASTER'!$T$2:$T$495))-(ROW('CASE MASTER'!#REF!)-1))))+1))-1)*50+1,50))&amp;"_"&amp;INDEX('CASE MASTER'!$Q$2:$Q$495,(SUMPRODUCT((('CASE MASTER'!$T$2:$T$495=1)*('CASE MASTER'!$U$2:$U$495&lt;=2)*('CASE MASTER'!$W$2:$W$495&gt;=2)*('CASE MASTER'!$V$2:$V$495&lt;=6)*('CASE MASTER'!$X$2:$X$495&gt;=6))*ROW('CASE MASTER'!$T$2:$T$495))-(ROW('CASE MASTER'!#REF!)-1))),IF(SUMPRODUCT((('CASE MASTER'!$T$2:$T$495=1)*('CASE MASTER'!$AA$2:$AA$495&lt;=2)*('CASE MASTER'!$AC$2:$AC$495&gt;=2)*('CASE MASTER'!$AB$2:$AB$495&lt;=6)*('CASE MASTER'!$AD$2:$AD$495&gt;=6))*ROW('CASE MASTER'!$T$2:$T$495))&gt;0,INDEX('CASE MASTER'!$Y$2:$Y$495,(SUMPRODUCT((('CASE MASTER'!$T$2:$T$495=1)*('CASE MASTER'!$AA$2:$AA$495&lt;=2)*('CASE MASTER'!$AC$2:$AC$495&gt;=2)*('CASE MASTER'!$AB$2:$AB$495&lt;=6)*('CASE MASTER'!$AD$2:$AD$495&gt;=6))*ROW('CASE MASTER'!$T$2:$T$495))-(ROW('CASE MASTER'!#REF!)-1)))&amp;TRIM(MID(SUBSTITUTE(SUBSTITUTE(INDEX('CASE MASTER'!$N$2:$N$495,(SUMPRODUCT((('CASE MASTER'!$T$2:$T$495=1)*('CASE MASTER'!$AA$2:$AA$495&lt;=2)*('CASE MASTER'!$AC$2:$AC$495&gt;=2)*('CASE MASTER'!$AB$2:$AB$495&lt;=6)*('CASE MASTER'!$AD$2:$AD$495&gt;=6))*ROW('CASE MASTER'!$T$2:$T$495))-(ROW('CASE MASTER'!#REF!)-1))),":",","),",",REPT(" ",50)),(((INDEX('CASE MASTER'!$Z$2:$Z$495,(SUMPRODUCT((('CASE MASTER'!$T$2:$T$495=1)*('CASE MASTER'!$AA$2:$AA$495&lt;=2)*('CASE MASTER'!$AC$2:$AC$495&gt;=2)*('CASE MASTER'!$AB$2:$AB$495&lt;=6)*('CASE MASTER'!$AD$2:$AD$495&gt;=6))*ROW('CASE MASTER'!$T$2:$T$495))-(ROW('CASE MASTER'!#REF!)-1)))+((2-INDEX('CASE MASTER'!$AA$2:$AA$495,(SUMPRODUCT((('CASE MASTER'!$T$2:$T$495=1)*('CASE MASTER'!$AA$2:$AA$495&lt;=2)*('CASE MASTER'!$AC$2:$AC$495&gt;=2)*('CASE MASTER'!$AB$2:$AB$495&lt;=6)*('CASE MASTER'!$AD$2:$AD$495&gt;=6))*ROW('CASE MASTER'!$T$2:$T$495))-(ROW('CASE MASTER'!#REF!)-1))))*(INDEX('CASE MASTER'!$AD$2:$AD$495,(SUMPRODUCT((('CASE MASTER'!$T$2:$T$495=1)*('CASE MASTER'!$AA$2:$AA$495&lt;=2)*('CASE MASTER'!$AC$2:$AC$495&gt;=2)*('CASE MASTER'!$AB$2:$AB$495&lt;=6)*('CASE MASTER'!$AD$2:$AD$495&gt;=6))*ROW('CASE MASTER'!$T$2:$T$495))-(ROW('CASE MASTER'!#REF!)-1)))-INDEX('CASE MASTER'!$AB$2:$AB$495,(SUMPRODUCT((('CASE MASTER'!$T$2:$T$495=1)*('CASE MASTER'!$AA$2:$AA$495&lt;=2)*('CASE MASTER'!$AC$2:$AC$495&gt;=2)*('CASE MASTER'!$AB$2:$AB$495&lt;=6)*('CASE MASTER'!$AD$2:$AD$495&gt;=6))*ROW('CASE MASTER'!$T$2:$T$495))-(ROW('CASE MASTER'!#REF!)-1)))+1)+(6-INDEX('CASE MASTER'!$AB$2:$AB$495,(SUMPRODUCT((('CASE MASTER'!$T$2:$T$495=1)*('CASE MASTER'!$AA$2:$AA$495&lt;=2)*('CASE MASTER'!$AC$2:$AC$495&gt;=2)*('CASE MASTER'!$AB$2:$AB$495&lt;=6)*('CASE MASTER'!$AD$2:$AD$495&gt;=6))*ROW('CASE MASTER'!$T$2:$T$495))-(ROW('CASE MASTER'!#REF!)-1))))+1)))-1)*50+1,50))&amp;"_"&amp;INDEX('CASE MASTER'!$Q$2:$Q$495,(SUMPRODUCT((('CASE MASTER'!$T$2:$T$495=1)*('CASE MASTER'!$AA$2:$AA$495&lt;=2)*('CASE MASTER'!$AC$2:$AC$495&gt;=2)*('CASE MASTER'!$AB$2:$AB$495&lt;=6)*('CASE MASTER'!$AD$2:$AD$495&gt;=6))*ROW('CASE MASTER'!$T$2:$T$495))-(ROW('CASE MASTER'!#REF!)-1))),"")),"")</f>
        <v/>
      </c>
      <c r="H4" s="10" t="str">
        <f>IFERROR(IF(SUMPRODUCT((('CASE MASTER'!$T$2:$T$495=1)*('CASE MASTER'!$U$2:$U$495&lt;=2)*('CASE MASTER'!$W$2:$W$495&gt;=2)*('CASE MASTER'!$V$2:$V$495&lt;=7)*('CASE MASTER'!$X$2:$X$495&gt;=7))*ROW('CASE MASTER'!$T$2:$T$495))&gt;0,INDEX('CASE MASTER'!$Y$2:$Y$495,(SUMPRODUCT((('CASE MASTER'!$T$2:$T$495=1)*('CASE MASTER'!$U$2:$U$495&lt;=2)*('CASE MASTER'!$W$2:$W$495&gt;=2)*('CASE MASTER'!$V$2:$V$495&lt;=7)*('CASE MASTER'!$X$2:$X$495&gt;=7))*ROW('CASE MASTER'!$T$2:$T$495))-(ROW('CASE MASTER'!#REF!)-1)))&amp;TRIM(MID(SUBSTITUTE(SUBSTITUTE(INDEX('CASE MASTER'!$N$2:$N$495,(SUMPRODUCT((('CASE MASTER'!$T$2:$T$495=1)*('CASE MASTER'!$U$2:$U$495&lt;=2)*('CASE MASTER'!$W$2:$W$495&gt;=2)*('CASE MASTER'!$V$2:$V$495&lt;=7)*('CASE MASTER'!$X$2:$X$495&gt;=7))*ROW('CASE MASTER'!$T$2:$T$495))-(ROW('CASE MASTER'!#REF!)-1))),":",","),",",REPT(" ",50)),((((2-INDEX('CASE MASTER'!$U$2:$U$495,(SUMPRODUCT((('CASE MASTER'!$T$2:$T$495=1)*('CASE MASTER'!$U$2:$U$495&lt;=2)*('CASE MASTER'!$W$2:$W$495&gt;=2)*('CASE MASTER'!$V$2:$V$495&lt;=7)*('CASE MASTER'!$X$2:$X$495&gt;=7))*ROW('CASE MASTER'!$T$2:$T$495))-(ROW('CASE MASTER'!#REF!)-1))))*(INDEX('CASE MASTER'!$X$2:$X$495,(SUMPRODUCT((('CASE MASTER'!$T$2:$T$495=1)*('CASE MASTER'!$U$2:$U$495&lt;=2)*('CASE MASTER'!$W$2:$W$495&gt;=2)*('CASE MASTER'!$V$2:$V$495&lt;=7)*('CASE MASTER'!$X$2:$X$495&gt;=7))*ROW('CASE MASTER'!$T$2:$T$495))-(ROW('CASE MASTER'!#REF!)-1)))-INDEX('CASE MASTER'!$V$2:$V$495,(SUMPRODUCT((('CASE MASTER'!$T$2:$T$495=1)*('CASE MASTER'!$U$2:$U$495&lt;=2)*('CASE MASTER'!$W$2:$W$495&gt;=2)*('CASE MASTER'!$V$2:$V$495&lt;=7)*('CASE MASTER'!$X$2:$X$495&gt;=7))*ROW('CASE MASTER'!$T$2:$T$495))-(ROW('CASE MASTER'!#REF!)-1)))+1)+(7-INDEX('CASE MASTER'!$V$2:$V$495,(SUMPRODUCT((('CASE MASTER'!$T$2:$T$495=1)*('CASE MASTER'!$U$2:$U$495&lt;=2)*('CASE MASTER'!$W$2:$W$495&gt;=2)*('CASE MASTER'!$V$2:$V$495&lt;=7)*('CASE MASTER'!$X$2:$X$495&gt;=7))*ROW('CASE MASTER'!$T$2:$T$495))-(ROW('CASE MASTER'!#REF!)-1))))+1))-1)*50+1,50))&amp;"_"&amp;INDEX('CASE MASTER'!$Q$2:$Q$495,(SUMPRODUCT((('CASE MASTER'!$T$2:$T$495=1)*('CASE MASTER'!$U$2:$U$495&lt;=2)*('CASE MASTER'!$W$2:$W$495&gt;=2)*('CASE MASTER'!$V$2:$V$495&lt;=7)*('CASE MASTER'!$X$2:$X$495&gt;=7))*ROW('CASE MASTER'!$T$2:$T$495))-(ROW('CASE MASTER'!#REF!)-1))),IF(SUMPRODUCT((('CASE MASTER'!$T$2:$T$495=1)*('CASE MASTER'!$AA$2:$AA$495&lt;=2)*('CASE MASTER'!$AC$2:$AC$495&gt;=2)*('CASE MASTER'!$AB$2:$AB$495&lt;=7)*('CASE MASTER'!$AD$2:$AD$495&gt;=7))*ROW('CASE MASTER'!$T$2:$T$495))&gt;0,INDEX('CASE MASTER'!$Y$2:$Y$495,(SUMPRODUCT((('CASE MASTER'!$T$2:$T$495=1)*('CASE MASTER'!$AA$2:$AA$495&lt;=2)*('CASE MASTER'!$AC$2:$AC$495&gt;=2)*('CASE MASTER'!$AB$2:$AB$495&lt;=7)*('CASE MASTER'!$AD$2:$AD$495&gt;=7))*ROW('CASE MASTER'!$T$2:$T$495))-(ROW('CASE MASTER'!#REF!)-1)))&amp;TRIM(MID(SUBSTITUTE(SUBSTITUTE(INDEX('CASE MASTER'!$N$2:$N$495,(SUMPRODUCT((('CASE MASTER'!$T$2:$T$495=1)*('CASE MASTER'!$AA$2:$AA$495&lt;=2)*('CASE MASTER'!$AC$2:$AC$495&gt;=2)*('CASE MASTER'!$AB$2:$AB$495&lt;=7)*('CASE MASTER'!$AD$2:$AD$495&gt;=7))*ROW('CASE MASTER'!$T$2:$T$495))-(ROW('CASE MASTER'!#REF!)-1))),":",","),",",REPT(" ",50)),(((INDEX('CASE MASTER'!$Z$2:$Z$495,(SUMPRODUCT((('CASE MASTER'!$T$2:$T$495=1)*('CASE MASTER'!$AA$2:$AA$495&lt;=2)*('CASE MASTER'!$AC$2:$AC$495&gt;=2)*('CASE MASTER'!$AB$2:$AB$495&lt;=7)*('CASE MASTER'!$AD$2:$AD$495&gt;=7))*ROW('CASE MASTER'!$T$2:$T$495))-(ROW('CASE MASTER'!#REF!)-1)))+((2-INDEX('CASE MASTER'!$AA$2:$AA$495,(SUMPRODUCT((('CASE MASTER'!$T$2:$T$495=1)*('CASE MASTER'!$AA$2:$AA$495&lt;=2)*('CASE MASTER'!$AC$2:$AC$495&gt;=2)*('CASE MASTER'!$AB$2:$AB$495&lt;=7)*('CASE MASTER'!$AD$2:$AD$495&gt;=7))*ROW('CASE MASTER'!$T$2:$T$495))-(ROW('CASE MASTER'!#REF!)-1))))*(INDEX('CASE MASTER'!$AD$2:$AD$495,(SUMPRODUCT((('CASE MASTER'!$T$2:$T$495=1)*('CASE MASTER'!$AA$2:$AA$495&lt;=2)*('CASE MASTER'!$AC$2:$AC$495&gt;=2)*('CASE MASTER'!$AB$2:$AB$495&lt;=7)*('CASE MASTER'!$AD$2:$AD$495&gt;=7))*ROW('CASE MASTER'!$T$2:$T$495))-(ROW('CASE MASTER'!#REF!)-1)))-INDEX('CASE MASTER'!$AB$2:$AB$495,(SUMPRODUCT((('CASE MASTER'!$T$2:$T$495=1)*('CASE MASTER'!$AA$2:$AA$495&lt;=2)*('CASE MASTER'!$AC$2:$AC$495&gt;=2)*('CASE MASTER'!$AB$2:$AB$495&lt;=7)*('CASE MASTER'!$AD$2:$AD$495&gt;=7))*ROW('CASE MASTER'!$T$2:$T$495))-(ROW('CASE MASTER'!#REF!)-1)))+1)+(7-INDEX('CASE MASTER'!$AB$2:$AB$495,(SUMPRODUCT((('CASE MASTER'!$T$2:$T$495=1)*('CASE MASTER'!$AA$2:$AA$495&lt;=2)*('CASE MASTER'!$AC$2:$AC$495&gt;=2)*('CASE MASTER'!$AB$2:$AB$495&lt;=7)*('CASE MASTER'!$AD$2:$AD$495&gt;=7))*ROW('CASE MASTER'!$T$2:$T$495))-(ROW('CASE MASTER'!#REF!)-1))))+1)))-1)*50+1,50))&amp;"_"&amp;INDEX('CASE MASTER'!$Q$2:$Q$495,(SUMPRODUCT((('CASE MASTER'!$T$2:$T$495=1)*('CASE MASTER'!$AA$2:$AA$495&lt;=2)*('CASE MASTER'!$AC$2:$AC$495&gt;=2)*('CASE MASTER'!$AB$2:$AB$495&lt;=7)*('CASE MASTER'!$AD$2:$AD$495&gt;=7))*ROW('CASE MASTER'!$T$2:$T$495))-(ROW('CASE MASTER'!#REF!)-1))),"")),"")</f>
        <v/>
      </c>
      <c r="I4" s="10" t="str">
        <f>IFERROR(IF(SUMPRODUCT((('CASE MASTER'!$T$2:$T$495=1)*('CASE MASTER'!$U$2:$U$495&lt;=2)*('CASE MASTER'!$W$2:$W$495&gt;=2)*('CASE MASTER'!$V$2:$V$495&lt;=8)*('CASE MASTER'!$X$2:$X$495&gt;=8))*ROW('CASE MASTER'!$T$2:$T$495))&gt;0,INDEX('CASE MASTER'!$Y$2:$Y$495,(SUMPRODUCT((('CASE MASTER'!$T$2:$T$495=1)*('CASE MASTER'!$U$2:$U$495&lt;=2)*('CASE MASTER'!$W$2:$W$495&gt;=2)*('CASE MASTER'!$V$2:$V$495&lt;=8)*('CASE MASTER'!$X$2:$X$495&gt;=8))*ROW('CASE MASTER'!$T$2:$T$495))-(ROW('CASE MASTER'!#REF!)-1)))&amp;TRIM(MID(SUBSTITUTE(SUBSTITUTE(INDEX('CASE MASTER'!$N$2:$N$495,(SUMPRODUCT((('CASE MASTER'!$T$2:$T$495=1)*('CASE MASTER'!$U$2:$U$495&lt;=2)*('CASE MASTER'!$W$2:$W$495&gt;=2)*('CASE MASTER'!$V$2:$V$495&lt;=8)*('CASE MASTER'!$X$2:$X$495&gt;=8))*ROW('CASE MASTER'!$T$2:$T$495))-(ROW('CASE MASTER'!#REF!)-1))),":",","),",",REPT(" ",50)),((((2-INDEX('CASE MASTER'!$U$2:$U$495,(SUMPRODUCT((('CASE MASTER'!$T$2:$T$495=1)*('CASE MASTER'!$U$2:$U$495&lt;=2)*('CASE MASTER'!$W$2:$W$495&gt;=2)*('CASE MASTER'!$V$2:$V$495&lt;=8)*('CASE MASTER'!$X$2:$X$495&gt;=8))*ROW('CASE MASTER'!$T$2:$T$495))-(ROW('CASE MASTER'!#REF!)-1))))*(INDEX('CASE MASTER'!$X$2:$X$495,(SUMPRODUCT((('CASE MASTER'!$T$2:$T$495=1)*('CASE MASTER'!$U$2:$U$495&lt;=2)*('CASE MASTER'!$W$2:$W$495&gt;=2)*('CASE MASTER'!$V$2:$V$495&lt;=8)*('CASE MASTER'!$X$2:$X$495&gt;=8))*ROW('CASE MASTER'!$T$2:$T$495))-(ROW('CASE MASTER'!#REF!)-1)))-INDEX('CASE MASTER'!$V$2:$V$495,(SUMPRODUCT((('CASE MASTER'!$T$2:$T$495=1)*('CASE MASTER'!$U$2:$U$495&lt;=2)*('CASE MASTER'!$W$2:$W$495&gt;=2)*('CASE MASTER'!$V$2:$V$495&lt;=8)*('CASE MASTER'!$X$2:$X$495&gt;=8))*ROW('CASE MASTER'!$T$2:$T$495))-(ROW('CASE MASTER'!#REF!)-1)))+1)+(8-INDEX('CASE MASTER'!$V$2:$V$495,(SUMPRODUCT((('CASE MASTER'!$T$2:$T$495=1)*('CASE MASTER'!$U$2:$U$495&lt;=2)*('CASE MASTER'!$W$2:$W$495&gt;=2)*('CASE MASTER'!$V$2:$V$495&lt;=8)*('CASE MASTER'!$X$2:$X$495&gt;=8))*ROW('CASE MASTER'!$T$2:$T$495))-(ROW('CASE MASTER'!#REF!)-1))))+1))-1)*50+1,50))&amp;"_"&amp;INDEX('CASE MASTER'!$Q$2:$Q$495,(SUMPRODUCT((('CASE MASTER'!$T$2:$T$495=1)*('CASE MASTER'!$U$2:$U$495&lt;=2)*('CASE MASTER'!$W$2:$W$495&gt;=2)*('CASE MASTER'!$V$2:$V$495&lt;=8)*('CASE MASTER'!$X$2:$X$495&gt;=8))*ROW('CASE MASTER'!$T$2:$T$495))-(ROW('CASE MASTER'!#REF!)-1))),IF(SUMPRODUCT((('CASE MASTER'!$T$2:$T$495=1)*('CASE MASTER'!$AA$2:$AA$495&lt;=2)*('CASE MASTER'!$AC$2:$AC$495&gt;=2)*('CASE MASTER'!$AB$2:$AB$495&lt;=8)*('CASE MASTER'!$AD$2:$AD$495&gt;=8))*ROW('CASE MASTER'!$T$2:$T$495))&gt;0,INDEX('CASE MASTER'!$Y$2:$Y$495,(SUMPRODUCT((('CASE MASTER'!$T$2:$T$495=1)*('CASE MASTER'!$AA$2:$AA$495&lt;=2)*('CASE MASTER'!$AC$2:$AC$495&gt;=2)*('CASE MASTER'!$AB$2:$AB$495&lt;=8)*('CASE MASTER'!$AD$2:$AD$495&gt;=8))*ROW('CASE MASTER'!$T$2:$T$495))-(ROW('CASE MASTER'!#REF!)-1)))&amp;TRIM(MID(SUBSTITUTE(SUBSTITUTE(INDEX('CASE MASTER'!$N$2:$N$495,(SUMPRODUCT((('CASE MASTER'!$T$2:$T$495=1)*('CASE MASTER'!$AA$2:$AA$495&lt;=2)*('CASE MASTER'!$AC$2:$AC$495&gt;=2)*('CASE MASTER'!$AB$2:$AB$495&lt;=8)*('CASE MASTER'!$AD$2:$AD$495&gt;=8))*ROW('CASE MASTER'!$T$2:$T$495))-(ROW('CASE MASTER'!#REF!)-1))),":",","),",",REPT(" ",50)),(((INDEX('CASE MASTER'!$Z$2:$Z$495,(SUMPRODUCT((('CASE MASTER'!$T$2:$T$495=1)*('CASE MASTER'!$AA$2:$AA$495&lt;=2)*('CASE MASTER'!$AC$2:$AC$495&gt;=2)*('CASE MASTER'!$AB$2:$AB$495&lt;=8)*('CASE MASTER'!$AD$2:$AD$495&gt;=8))*ROW('CASE MASTER'!$T$2:$T$495))-(ROW('CASE MASTER'!#REF!)-1)))+((2-INDEX('CASE MASTER'!$AA$2:$AA$495,(SUMPRODUCT((('CASE MASTER'!$T$2:$T$495=1)*('CASE MASTER'!$AA$2:$AA$495&lt;=2)*('CASE MASTER'!$AC$2:$AC$495&gt;=2)*('CASE MASTER'!$AB$2:$AB$495&lt;=8)*('CASE MASTER'!$AD$2:$AD$495&gt;=8))*ROW('CASE MASTER'!$T$2:$T$495))-(ROW('CASE MASTER'!#REF!)-1))))*(INDEX('CASE MASTER'!$AD$2:$AD$495,(SUMPRODUCT((('CASE MASTER'!$T$2:$T$495=1)*('CASE MASTER'!$AA$2:$AA$495&lt;=2)*('CASE MASTER'!$AC$2:$AC$495&gt;=2)*('CASE MASTER'!$AB$2:$AB$495&lt;=8)*('CASE MASTER'!$AD$2:$AD$495&gt;=8))*ROW('CASE MASTER'!$T$2:$T$495))-(ROW('CASE MASTER'!#REF!)-1)))-INDEX('CASE MASTER'!$AB$2:$AB$495,(SUMPRODUCT((('CASE MASTER'!$T$2:$T$495=1)*('CASE MASTER'!$AA$2:$AA$495&lt;=2)*('CASE MASTER'!$AC$2:$AC$495&gt;=2)*('CASE MASTER'!$AB$2:$AB$495&lt;=8)*('CASE MASTER'!$AD$2:$AD$495&gt;=8))*ROW('CASE MASTER'!$T$2:$T$495))-(ROW('CASE MASTER'!#REF!)-1)))+1)+(8-INDEX('CASE MASTER'!$AB$2:$AB$495,(SUMPRODUCT((('CASE MASTER'!$T$2:$T$495=1)*('CASE MASTER'!$AA$2:$AA$495&lt;=2)*('CASE MASTER'!$AC$2:$AC$495&gt;=2)*('CASE MASTER'!$AB$2:$AB$495&lt;=8)*('CASE MASTER'!$AD$2:$AD$495&gt;=8))*ROW('CASE MASTER'!$T$2:$T$495))-(ROW('CASE MASTER'!#REF!)-1))))+1)))-1)*50+1,50))&amp;"_"&amp;INDEX('CASE MASTER'!$Q$2:$Q$495,(SUMPRODUCT((('CASE MASTER'!$T$2:$T$495=1)*('CASE MASTER'!$AA$2:$AA$495&lt;=2)*('CASE MASTER'!$AC$2:$AC$495&gt;=2)*('CASE MASTER'!$AB$2:$AB$495&lt;=8)*('CASE MASTER'!$AD$2:$AD$495&gt;=8))*ROW('CASE MASTER'!$T$2:$T$495))-(ROW('CASE MASTER'!#REF!)-1))),"")),"")</f>
        <v/>
      </c>
      <c r="J4" s="10" t="str">
        <f>IFERROR(IF(SUMPRODUCT((('CASE MASTER'!$T$2:$T$495=1)*('CASE MASTER'!$U$2:$U$495&lt;=2)*('CASE MASTER'!$W$2:$W$495&gt;=2)*('CASE MASTER'!$V$2:$V$495&lt;=9)*('CASE MASTER'!$X$2:$X$495&gt;=9))*ROW('CASE MASTER'!$T$2:$T$495))&gt;0,INDEX('CASE MASTER'!$Y$2:$Y$495,(SUMPRODUCT((('CASE MASTER'!$T$2:$T$495=1)*('CASE MASTER'!$U$2:$U$495&lt;=2)*('CASE MASTER'!$W$2:$W$495&gt;=2)*('CASE MASTER'!$V$2:$V$495&lt;=9)*('CASE MASTER'!$X$2:$X$495&gt;=9))*ROW('CASE MASTER'!$T$2:$T$495))-(ROW('CASE MASTER'!#REF!)-1)))&amp;TRIM(MID(SUBSTITUTE(SUBSTITUTE(INDEX('CASE MASTER'!$N$2:$N$495,(SUMPRODUCT((('CASE MASTER'!$T$2:$T$495=1)*('CASE MASTER'!$U$2:$U$495&lt;=2)*('CASE MASTER'!$W$2:$W$495&gt;=2)*('CASE MASTER'!$V$2:$V$495&lt;=9)*('CASE MASTER'!$X$2:$X$495&gt;=9))*ROW('CASE MASTER'!$T$2:$T$495))-(ROW('CASE MASTER'!#REF!)-1))),":",","),",",REPT(" ",50)),((((2-INDEX('CASE MASTER'!$U$2:$U$495,(SUMPRODUCT((('CASE MASTER'!$T$2:$T$495=1)*('CASE MASTER'!$U$2:$U$495&lt;=2)*('CASE MASTER'!$W$2:$W$495&gt;=2)*('CASE MASTER'!$V$2:$V$495&lt;=9)*('CASE MASTER'!$X$2:$X$495&gt;=9))*ROW('CASE MASTER'!$T$2:$T$495))-(ROW('CASE MASTER'!#REF!)-1))))*(INDEX('CASE MASTER'!$X$2:$X$495,(SUMPRODUCT((('CASE MASTER'!$T$2:$T$495=1)*('CASE MASTER'!$U$2:$U$495&lt;=2)*('CASE MASTER'!$W$2:$W$495&gt;=2)*('CASE MASTER'!$V$2:$V$495&lt;=9)*('CASE MASTER'!$X$2:$X$495&gt;=9))*ROW('CASE MASTER'!$T$2:$T$495))-(ROW('CASE MASTER'!#REF!)-1)))-INDEX('CASE MASTER'!$V$2:$V$495,(SUMPRODUCT((('CASE MASTER'!$T$2:$T$495=1)*('CASE MASTER'!$U$2:$U$495&lt;=2)*('CASE MASTER'!$W$2:$W$495&gt;=2)*('CASE MASTER'!$V$2:$V$495&lt;=9)*('CASE MASTER'!$X$2:$X$495&gt;=9))*ROW('CASE MASTER'!$T$2:$T$495))-(ROW('CASE MASTER'!#REF!)-1)))+1)+(9-INDEX('CASE MASTER'!$V$2:$V$495,(SUMPRODUCT((('CASE MASTER'!$T$2:$T$495=1)*('CASE MASTER'!$U$2:$U$495&lt;=2)*('CASE MASTER'!$W$2:$W$495&gt;=2)*('CASE MASTER'!$V$2:$V$495&lt;=9)*('CASE MASTER'!$X$2:$X$495&gt;=9))*ROW('CASE MASTER'!$T$2:$T$495))-(ROW('CASE MASTER'!#REF!)-1))))+1))-1)*50+1,50))&amp;"_"&amp;INDEX('CASE MASTER'!$Q$2:$Q$495,(SUMPRODUCT((('CASE MASTER'!$T$2:$T$495=1)*('CASE MASTER'!$U$2:$U$495&lt;=2)*('CASE MASTER'!$W$2:$W$495&gt;=2)*('CASE MASTER'!$V$2:$V$495&lt;=9)*('CASE MASTER'!$X$2:$X$495&gt;=9))*ROW('CASE MASTER'!$T$2:$T$495))-(ROW('CASE MASTER'!#REF!)-1))),IF(SUMPRODUCT((('CASE MASTER'!$T$2:$T$495=1)*('CASE MASTER'!$AA$2:$AA$495&lt;=2)*('CASE MASTER'!$AC$2:$AC$495&gt;=2)*('CASE MASTER'!$AB$2:$AB$495&lt;=9)*('CASE MASTER'!$AD$2:$AD$495&gt;=9))*ROW('CASE MASTER'!$T$2:$T$495))&gt;0,INDEX('CASE MASTER'!$Y$2:$Y$495,(SUMPRODUCT((('CASE MASTER'!$T$2:$T$495=1)*('CASE MASTER'!$AA$2:$AA$495&lt;=2)*('CASE MASTER'!$AC$2:$AC$495&gt;=2)*('CASE MASTER'!$AB$2:$AB$495&lt;=9)*('CASE MASTER'!$AD$2:$AD$495&gt;=9))*ROW('CASE MASTER'!$T$2:$T$495))-(ROW('CASE MASTER'!#REF!)-1)))&amp;TRIM(MID(SUBSTITUTE(SUBSTITUTE(INDEX('CASE MASTER'!$N$2:$N$495,(SUMPRODUCT((('CASE MASTER'!$T$2:$T$495=1)*('CASE MASTER'!$AA$2:$AA$495&lt;=2)*('CASE MASTER'!$AC$2:$AC$495&gt;=2)*('CASE MASTER'!$AB$2:$AB$495&lt;=9)*('CASE MASTER'!$AD$2:$AD$495&gt;=9))*ROW('CASE MASTER'!$T$2:$T$495))-(ROW('CASE MASTER'!#REF!)-1))),":",","),",",REPT(" ",50)),(((INDEX('CASE MASTER'!$Z$2:$Z$495,(SUMPRODUCT((('CASE MASTER'!$T$2:$T$495=1)*('CASE MASTER'!$AA$2:$AA$495&lt;=2)*('CASE MASTER'!$AC$2:$AC$495&gt;=2)*('CASE MASTER'!$AB$2:$AB$495&lt;=9)*('CASE MASTER'!$AD$2:$AD$495&gt;=9))*ROW('CASE MASTER'!$T$2:$T$495))-(ROW('CASE MASTER'!#REF!)-1)))+((2-INDEX('CASE MASTER'!$AA$2:$AA$495,(SUMPRODUCT((('CASE MASTER'!$T$2:$T$495=1)*('CASE MASTER'!$AA$2:$AA$495&lt;=2)*('CASE MASTER'!$AC$2:$AC$495&gt;=2)*('CASE MASTER'!$AB$2:$AB$495&lt;=9)*('CASE MASTER'!$AD$2:$AD$495&gt;=9))*ROW('CASE MASTER'!$T$2:$T$495))-(ROW('CASE MASTER'!#REF!)-1))))*(INDEX('CASE MASTER'!$AD$2:$AD$495,(SUMPRODUCT((('CASE MASTER'!$T$2:$T$495=1)*('CASE MASTER'!$AA$2:$AA$495&lt;=2)*('CASE MASTER'!$AC$2:$AC$495&gt;=2)*('CASE MASTER'!$AB$2:$AB$495&lt;=9)*('CASE MASTER'!$AD$2:$AD$495&gt;=9))*ROW('CASE MASTER'!$T$2:$T$495))-(ROW('CASE MASTER'!#REF!)-1)))-INDEX('CASE MASTER'!$AB$2:$AB$495,(SUMPRODUCT((('CASE MASTER'!$T$2:$T$495=1)*('CASE MASTER'!$AA$2:$AA$495&lt;=2)*('CASE MASTER'!$AC$2:$AC$495&gt;=2)*('CASE MASTER'!$AB$2:$AB$495&lt;=9)*('CASE MASTER'!$AD$2:$AD$495&gt;=9))*ROW('CASE MASTER'!$T$2:$T$495))-(ROW('CASE MASTER'!#REF!)-1)))+1)+(9-INDEX('CASE MASTER'!$AB$2:$AB$495,(SUMPRODUCT((('CASE MASTER'!$T$2:$T$495=1)*('CASE MASTER'!$AA$2:$AA$495&lt;=2)*('CASE MASTER'!$AC$2:$AC$495&gt;=2)*('CASE MASTER'!$AB$2:$AB$495&lt;=9)*('CASE MASTER'!$AD$2:$AD$495&gt;=9))*ROW('CASE MASTER'!$T$2:$T$495))-(ROW('CASE MASTER'!#REF!)-1))))+1)))-1)*50+1,50))&amp;"_"&amp;INDEX('CASE MASTER'!$Q$2:$Q$495,(SUMPRODUCT((('CASE MASTER'!$T$2:$T$495=1)*('CASE MASTER'!$AA$2:$AA$495&lt;=2)*('CASE MASTER'!$AC$2:$AC$495&gt;=2)*('CASE MASTER'!$AB$2:$AB$495&lt;=9)*('CASE MASTER'!$AD$2:$AD$495&gt;=9))*ROW('CASE MASTER'!$T$2:$T$495))-(ROW('CASE MASTER'!#REF!)-1))),"")),"")</f>
        <v/>
      </c>
      <c r="K4" s="10" t="str">
        <f>IFERROR(IF(SUMPRODUCT((('CASE MASTER'!$T$2:$T$495=1)*('CASE MASTER'!$U$2:$U$495&lt;=2)*('CASE MASTER'!$W$2:$W$495&gt;=2)*('CASE MASTER'!$V$2:$V$495&lt;=10)*('CASE MASTER'!$X$2:$X$495&gt;=10))*ROW('CASE MASTER'!$T$2:$T$495))&gt;0,INDEX('CASE MASTER'!$Y$2:$Y$495,(SUMPRODUCT((('CASE MASTER'!$T$2:$T$495=1)*('CASE MASTER'!$U$2:$U$495&lt;=2)*('CASE MASTER'!$W$2:$W$495&gt;=2)*('CASE MASTER'!$V$2:$V$495&lt;=10)*('CASE MASTER'!$X$2:$X$495&gt;=10))*ROW('CASE MASTER'!$T$2:$T$495))-(ROW('CASE MASTER'!#REF!)-1)))&amp;TRIM(MID(SUBSTITUTE(SUBSTITUTE(INDEX('CASE MASTER'!$N$2:$N$495,(SUMPRODUCT((('CASE MASTER'!$T$2:$T$495=1)*('CASE MASTER'!$U$2:$U$495&lt;=2)*('CASE MASTER'!$W$2:$W$495&gt;=2)*('CASE MASTER'!$V$2:$V$495&lt;=10)*('CASE MASTER'!$X$2:$X$495&gt;=10))*ROW('CASE MASTER'!$T$2:$T$495))-(ROW('CASE MASTER'!#REF!)-1))),":",","),",",REPT(" ",50)),((((2-INDEX('CASE MASTER'!$U$2:$U$495,(SUMPRODUCT((('CASE MASTER'!$T$2:$T$495=1)*('CASE MASTER'!$U$2:$U$495&lt;=2)*('CASE MASTER'!$W$2:$W$495&gt;=2)*('CASE MASTER'!$V$2:$V$495&lt;=10)*('CASE MASTER'!$X$2:$X$495&gt;=10))*ROW('CASE MASTER'!$T$2:$T$495))-(ROW('CASE MASTER'!#REF!)-1))))*(INDEX('CASE MASTER'!$X$2:$X$495,(SUMPRODUCT((('CASE MASTER'!$T$2:$T$495=1)*('CASE MASTER'!$U$2:$U$495&lt;=2)*('CASE MASTER'!$W$2:$W$495&gt;=2)*('CASE MASTER'!$V$2:$V$495&lt;=10)*('CASE MASTER'!$X$2:$X$495&gt;=10))*ROW('CASE MASTER'!$T$2:$T$495))-(ROW('CASE MASTER'!#REF!)-1)))-INDEX('CASE MASTER'!$V$2:$V$495,(SUMPRODUCT((('CASE MASTER'!$T$2:$T$495=1)*('CASE MASTER'!$U$2:$U$495&lt;=2)*('CASE MASTER'!$W$2:$W$495&gt;=2)*('CASE MASTER'!$V$2:$V$495&lt;=10)*('CASE MASTER'!$X$2:$X$495&gt;=10))*ROW('CASE MASTER'!$T$2:$T$495))-(ROW('CASE MASTER'!#REF!)-1)))+1)+(10-INDEX('CASE MASTER'!$V$2:$V$495,(SUMPRODUCT((('CASE MASTER'!$T$2:$T$495=1)*('CASE MASTER'!$U$2:$U$495&lt;=2)*('CASE MASTER'!$W$2:$W$495&gt;=2)*('CASE MASTER'!$V$2:$V$495&lt;=10)*('CASE MASTER'!$X$2:$X$495&gt;=10))*ROW('CASE MASTER'!$T$2:$T$495))-(ROW('CASE MASTER'!#REF!)-1))))+1))-1)*50+1,50))&amp;"_"&amp;INDEX('CASE MASTER'!$Q$2:$Q$495,(SUMPRODUCT((('CASE MASTER'!$T$2:$T$495=1)*('CASE MASTER'!$U$2:$U$495&lt;=2)*('CASE MASTER'!$W$2:$W$495&gt;=2)*('CASE MASTER'!$V$2:$V$495&lt;=10)*('CASE MASTER'!$X$2:$X$495&gt;=10))*ROW('CASE MASTER'!$T$2:$T$495))-(ROW('CASE MASTER'!#REF!)-1))),IF(SUMPRODUCT((('CASE MASTER'!$T$2:$T$495=1)*('CASE MASTER'!$AA$2:$AA$495&lt;=2)*('CASE MASTER'!$AC$2:$AC$495&gt;=2)*('CASE MASTER'!$AB$2:$AB$495&lt;=10)*('CASE MASTER'!$AD$2:$AD$495&gt;=10))*ROW('CASE MASTER'!$T$2:$T$495))&gt;0,INDEX('CASE MASTER'!$Y$2:$Y$495,(SUMPRODUCT((('CASE MASTER'!$T$2:$T$495=1)*('CASE MASTER'!$AA$2:$AA$495&lt;=2)*('CASE MASTER'!$AC$2:$AC$495&gt;=2)*('CASE MASTER'!$AB$2:$AB$495&lt;=10)*('CASE MASTER'!$AD$2:$AD$495&gt;=10))*ROW('CASE MASTER'!$T$2:$T$495))-(ROW('CASE MASTER'!#REF!)-1)))&amp;TRIM(MID(SUBSTITUTE(SUBSTITUTE(INDEX('CASE MASTER'!$N$2:$N$495,(SUMPRODUCT((('CASE MASTER'!$T$2:$T$495=1)*('CASE MASTER'!$AA$2:$AA$495&lt;=2)*('CASE MASTER'!$AC$2:$AC$495&gt;=2)*('CASE MASTER'!$AB$2:$AB$495&lt;=10)*('CASE MASTER'!$AD$2:$AD$495&gt;=10))*ROW('CASE MASTER'!$T$2:$T$495))-(ROW('CASE MASTER'!#REF!)-1))),":",","),",",REPT(" ",50)),(((INDEX('CASE MASTER'!$Z$2:$Z$495,(SUMPRODUCT((('CASE MASTER'!$T$2:$T$495=1)*('CASE MASTER'!$AA$2:$AA$495&lt;=2)*('CASE MASTER'!$AC$2:$AC$495&gt;=2)*('CASE MASTER'!$AB$2:$AB$495&lt;=10)*('CASE MASTER'!$AD$2:$AD$495&gt;=10))*ROW('CASE MASTER'!$T$2:$T$495))-(ROW('CASE MASTER'!#REF!)-1)))+((2-INDEX('CASE MASTER'!$AA$2:$AA$495,(SUMPRODUCT((('CASE MASTER'!$T$2:$T$495=1)*('CASE MASTER'!$AA$2:$AA$495&lt;=2)*('CASE MASTER'!$AC$2:$AC$495&gt;=2)*('CASE MASTER'!$AB$2:$AB$495&lt;=10)*('CASE MASTER'!$AD$2:$AD$495&gt;=10))*ROW('CASE MASTER'!$T$2:$T$495))-(ROW('CASE MASTER'!#REF!)-1))))*(INDEX('CASE MASTER'!$AD$2:$AD$495,(SUMPRODUCT((('CASE MASTER'!$T$2:$T$495=1)*('CASE MASTER'!$AA$2:$AA$495&lt;=2)*('CASE MASTER'!$AC$2:$AC$495&gt;=2)*('CASE MASTER'!$AB$2:$AB$495&lt;=10)*('CASE MASTER'!$AD$2:$AD$495&gt;=10))*ROW('CASE MASTER'!$T$2:$T$495))-(ROW('CASE MASTER'!#REF!)-1)))-INDEX('CASE MASTER'!$AB$2:$AB$495,(SUMPRODUCT((('CASE MASTER'!$T$2:$T$495=1)*('CASE MASTER'!$AA$2:$AA$495&lt;=2)*('CASE MASTER'!$AC$2:$AC$495&gt;=2)*('CASE MASTER'!$AB$2:$AB$495&lt;=10)*('CASE MASTER'!$AD$2:$AD$495&gt;=10))*ROW('CASE MASTER'!$T$2:$T$495))-(ROW('CASE MASTER'!#REF!)-1)))+1)+(10-INDEX('CASE MASTER'!$AB$2:$AB$495,(SUMPRODUCT((('CASE MASTER'!$T$2:$T$495=1)*('CASE MASTER'!$AA$2:$AA$495&lt;=2)*('CASE MASTER'!$AC$2:$AC$495&gt;=2)*('CASE MASTER'!$AB$2:$AB$495&lt;=10)*('CASE MASTER'!$AD$2:$AD$495&gt;=10))*ROW('CASE MASTER'!$T$2:$T$495))-(ROW('CASE MASTER'!#REF!)-1))))+1)))-1)*50+1,50))&amp;"_"&amp;INDEX('CASE MASTER'!$Q$2:$Q$495,(SUMPRODUCT((('CASE MASTER'!$T$2:$T$495=1)*('CASE MASTER'!$AA$2:$AA$495&lt;=2)*('CASE MASTER'!$AC$2:$AC$495&gt;=2)*('CASE MASTER'!$AB$2:$AB$495&lt;=10)*('CASE MASTER'!$AD$2:$AD$495&gt;=10))*ROW('CASE MASTER'!$T$2:$T$495))-(ROW('CASE MASTER'!#REF!)-1))),"")),"")</f>
        <v/>
      </c>
    </row>
    <row r="5" spans="1:11" ht="15" customHeight="1" x14ac:dyDescent="0.35">
      <c r="A5" s="8" t="s">
        <v>30</v>
      </c>
      <c r="B5" s="10" t="str">
        <f>IFERROR(IF(SUMPRODUCT((('CASE MASTER'!$T$2:$T$495=1)*('CASE MASTER'!$U$2:$U$495&lt;=3)*('CASE MASTER'!$W$2:$W$495&gt;=3)*('CASE MASTER'!$V$2:$V$495&lt;=1)*('CASE MASTER'!$X$2:$X$495&gt;=1))*ROW('CASE MASTER'!$T$2:$T$495))&gt;0,INDEX('CASE MASTER'!$Y$2:$Y$495,(SUMPRODUCT((('CASE MASTER'!$T$2:$T$495=1)*('CASE MASTER'!$U$2:$U$495&lt;=3)*('CASE MASTER'!$W$2:$W$495&gt;=3)*('CASE MASTER'!$V$2:$V$495&lt;=1)*('CASE MASTER'!$X$2:$X$495&gt;=1))*ROW('CASE MASTER'!$T$2:$T$495))-(ROW('CASE MASTER'!#REF!)-1)))&amp;TRIM(MID(SUBSTITUTE(SUBSTITUTE(INDEX('CASE MASTER'!$N$2:$N$495,(SUMPRODUCT((('CASE MASTER'!$T$2:$T$495=1)*('CASE MASTER'!$U$2:$U$495&lt;=3)*('CASE MASTER'!$W$2:$W$495&gt;=3)*('CASE MASTER'!$V$2:$V$495&lt;=1)*('CASE MASTER'!$X$2:$X$495&gt;=1))*ROW('CASE MASTER'!$T$2:$T$495))-(ROW('CASE MASTER'!#REF!)-1))),":",","),",",REPT(" ",50)),((((3-INDEX('CASE MASTER'!$U$2:$U$495,(SUMPRODUCT((('CASE MASTER'!$T$2:$T$495=1)*('CASE MASTER'!$U$2:$U$495&lt;=3)*('CASE MASTER'!$W$2:$W$495&gt;=3)*('CASE MASTER'!$V$2:$V$495&lt;=1)*('CASE MASTER'!$X$2:$X$495&gt;=1))*ROW('CASE MASTER'!$T$2:$T$495))-(ROW('CASE MASTER'!#REF!)-1))))*(INDEX('CASE MASTER'!$X$2:$X$495,(SUMPRODUCT((('CASE MASTER'!$T$2:$T$495=1)*('CASE MASTER'!$U$2:$U$495&lt;=3)*('CASE MASTER'!$W$2:$W$495&gt;=3)*('CASE MASTER'!$V$2:$V$495&lt;=1)*('CASE MASTER'!$X$2:$X$495&gt;=1))*ROW('CASE MASTER'!$T$2:$T$495))-(ROW('CASE MASTER'!#REF!)-1)))-INDEX('CASE MASTER'!$V$2:$V$495,(SUMPRODUCT((('CASE MASTER'!$T$2:$T$495=1)*('CASE MASTER'!$U$2:$U$495&lt;=3)*('CASE MASTER'!$W$2:$W$495&gt;=3)*('CASE MASTER'!$V$2:$V$495&lt;=1)*('CASE MASTER'!$X$2:$X$495&gt;=1))*ROW('CASE MASTER'!$T$2:$T$495))-(ROW('CASE MASTER'!#REF!)-1)))+1)+(1-INDEX('CASE MASTER'!$V$2:$V$495,(SUMPRODUCT((('CASE MASTER'!$T$2:$T$495=1)*('CASE MASTER'!$U$2:$U$495&lt;=3)*('CASE MASTER'!$W$2:$W$495&gt;=3)*('CASE MASTER'!$V$2:$V$495&lt;=1)*('CASE MASTER'!$X$2:$X$495&gt;=1))*ROW('CASE MASTER'!$T$2:$T$495))-(ROW('CASE MASTER'!#REF!)-1))))+1))-1)*50+1,50))&amp;"_"&amp;INDEX('CASE MASTER'!$Q$2:$Q$495,(SUMPRODUCT((('CASE MASTER'!$T$2:$T$495=1)*('CASE MASTER'!$U$2:$U$495&lt;=3)*('CASE MASTER'!$W$2:$W$495&gt;=3)*('CASE MASTER'!$V$2:$V$495&lt;=1)*('CASE MASTER'!$X$2:$X$495&gt;=1))*ROW('CASE MASTER'!$T$2:$T$495))-(ROW('CASE MASTER'!#REF!)-1))),IF(SUMPRODUCT((('CASE MASTER'!$T$2:$T$495=1)*('CASE MASTER'!$AA$2:$AA$495&lt;=3)*('CASE MASTER'!$AC$2:$AC$495&gt;=3)*('CASE MASTER'!$AB$2:$AB$495&lt;=1)*('CASE MASTER'!$AD$2:$AD$495&gt;=1))*ROW('CASE MASTER'!$T$2:$T$495))&gt;0,INDEX('CASE MASTER'!$Y$2:$Y$495,(SUMPRODUCT((('CASE MASTER'!$T$2:$T$495=1)*('CASE MASTER'!$AA$2:$AA$495&lt;=3)*('CASE MASTER'!$AC$2:$AC$495&gt;=3)*('CASE MASTER'!$AB$2:$AB$495&lt;=1)*('CASE MASTER'!$AD$2:$AD$495&gt;=1))*ROW('CASE MASTER'!$T$2:$T$495))-(ROW('CASE MASTER'!#REF!)-1)))&amp;TRIM(MID(SUBSTITUTE(SUBSTITUTE(INDEX('CASE MASTER'!$N$2:$N$495,(SUMPRODUCT((('CASE MASTER'!$T$2:$T$495=1)*('CASE MASTER'!$AA$2:$AA$495&lt;=3)*('CASE MASTER'!$AC$2:$AC$495&gt;=3)*('CASE MASTER'!$AB$2:$AB$495&lt;=1)*('CASE MASTER'!$AD$2:$AD$495&gt;=1))*ROW('CASE MASTER'!$T$2:$T$495))-(ROW('CASE MASTER'!#REF!)-1))),":",","),",",REPT(" ",50)),(((INDEX('CASE MASTER'!$Z$2:$Z$495,(SUMPRODUCT((('CASE MASTER'!$T$2:$T$495=1)*('CASE MASTER'!$AA$2:$AA$495&lt;=3)*('CASE MASTER'!$AC$2:$AC$495&gt;=3)*('CASE MASTER'!$AB$2:$AB$495&lt;=1)*('CASE MASTER'!$AD$2:$AD$495&gt;=1))*ROW('CASE MASTER'!$T$2:$T$495))-(ROW('CASE MASTER'!#REF!)-1)))+((3-INDEX('CASE MASTER'!$AA$2:$AA$495,(SUMPRODUCT((('CASE MASTER'!$T$2:$T$495=1)*('CASE MASTER'!$AA$2:$AA$495&lt;=3)*('CASE MASTER'!$AC$2:$AC$495&gt;=3)*('CASE MASTER'!$AB$2:$AB$495&lt;=1)*('CASE MASTER'!$AD$2:$AD$495&gt;=1))*ROW('CASE MASTER'!$T$2:$T$495))-(ROW('CASE MASTER'!#REF!)-1))))*(INDEX('CASE MASTER'!$AD$2:$AD$495,(SUMPRODUCT((('CASE MASTER'!$T$2:$T$495=1)*('CASE MASTER'!$AA$2:$AA$495&lt;=3)*('CASE MASTER'!$AC$2:$AC$495&gt;=3)*('CASE MASTER'!$AB$2:$AB$495&lt;=1)*('CASE MASTER'!$AD$2:$AD$495&gt;=1))*ROW('CASE MASTER'!$T$2:$T$495))-(ROW('CASE MASTER'!#REF!)-1)))-INDEX('CASE MASTER'!$AB$2:$AB$495,(SUMPRODUCT((('CASE MASTER'!$T$2:$T$495=1)*('CASE MASTER'!$AA$2:$AA$495&lt;=3)*('CASE MASTER'!$AC$2:$AC$495&gt;=3)*('CASE MASTER'!$AB$2:$AB$495&lt;=1)*('CASE MASTER'!$AD$2:$AD$495&gt;=1))*ROW('CASE MASTER'!$T$2:$T$495))-(ROW('CASE MASTER'!#REF!)-1)))+1)+(1-INDEX('CASE MASTER'!$AB$2:$AB$495,(SUMPRODUCT((('CASE MASTER'!$T$2:$T$495=1)*('CASE MASTER'!$AA$2:$AA$495&lt;=3)*('CASE MASTER'!$AC$2:$AC$495&gt;=3)*('CASE MASTER'!$AB$2:$AB$495&lt;=1)*('CASE MASTER'!$AD$2:$AD$495&gt;=1))*ROW('CASE MASTER'!$T$2:$T$495))-(ROW('CASE MASTER'!#REF!)-1))))+1)))-1)*50+1,50))&amp;"_"&amp;INDEX('CASE MASTER'!$Q$2:$Q$495,(SUMPRODUCT((('CASE MASTER'!$T$2:$T$495=1)*('CASE MASTER'!$AA$2:$AA$495&lt;=3)*('CASE MASTER'!$AC$2:$AC$495&gt;=3)*('CASE MASTER'!$AB$2:$AB$495&lt;=1)*('CASE MASTER'!$AD$2:$AD$495&gt;=1))*ROW('CASE MASTER'!$T$2:$T$495))-(ROW('CASE MASTER'!#REF!)-1))),"")),"")</f>
        <v/>
      </c>
      <c r="C5" s="10" t="str">
        <f>IFERROR(IF(SUMPRODUCT((('CASE MASTER'!$T$2:$T$495=1)*('CASE MASTER'!$U$2:$U$495&lt;=3)*('CASE MASTER'!$W$2:$W$495&gt;=3)*('CASE MASTER'!$V$2:$V$495&lt;=2)*('CASE MASTER'!$X$2:$X$495&gt;=2))*ROW('CASE MASTER'!$T$2:$T$495))&gt;0,INDEX('CASE MASTER'!$Y$2:$Y$495,(SUMPRODUCT((('CASE MASTER'!$T$2:$T$495=1)*('CASE MASTER'!$U$2:$U$495&lt;=3)*('CASE MASTER'!$W$2:$W$495&gt;=3)*('CASE MASTER'!$V$2:$V$495&lt;=2)*('CASE MASTER'!$X$2:$X$495&gt;=2))*ROW('CASE MASTER'!$T$2:$T$495))-(ROW('CASE MASTER'!#REF!)-1)))&amp;TRIM(MID(SUBSTITUTE(SUBSTITUTE(INDEX('CASE MASTER'!$N$2:$N$495,(SUMPRODUCT((('CASE MASTER'!$T$2:$T$495=1)*('CASE MASTER'!$U$2:$U$495&lt;=3)*('CASE MASTER'!$W$2:$W$495&gt;=3)*('CASE MASTER'!$V$2:$V$495&lt;=2)*('CASE MASTER'!$X$2:$X$495&gt;=2))*ROW('CASE MASTER'!$T$2:$T$495))-(ROW('CASE MASTER'!#REF!)-1))),":",","),",",REPT(" ",50)),((((3-INDEX('CASE MASTER'!$U$2:$U$495,(SUMPRODUCT((('CASE MASTER'!$T$2:$T$495=1)*('CASE MASTER'!$U$2:$U$495&lt;=3)*('CASE MASTER'!$W$2:$W$495&gt;=3)*('CASE MASTER'!$V$2:$V$495&lt;=2)*('CASE MASTER'!$X$2:$X$495&gt;=2))*ROW('CASE MASTER'!$T$2:$T$495))-(ROW('CASE MASTER'!#REF!)-1))))*(INDEX('CASE MASTER'!$X$2:$X$495,(SUMPRODUCT((('CASE MASTER'!$T$2:$T$495=1)*('CASE MASTER'!$U$2:$U$495&lt;=3)*('CASE MASTER'!$W$2:$W$495&gt;=3)*('CASE MASTER'!$V$2:$V$495&lt;=2)*('CASE MASTER'!$X$2:$X$495&gt;=2))*ROW('CASE MASTER'!$T$2:$T$495))-(ROW('CASE MASTER'!#REF!)-1)))-INDEX('CASE MASTER'!$V$2:$V$495,(SUMPRODUCT((('CASE MASTER'!$T$2:$T$495=1)*('CASE MASTER'!$U$2:$U$495&lt;=3)*('CASE MASTER'!$W$2:$W$495&gt;=3)*('CASE MASTER'!$V$2:$V$495&lt;=2)*('CASE MASTER'!$X$2:$X$495&gt;=2))*ROW('CASE MASTER'!$T$2:$T$495))-(ROW('CASE MASTER'!#REF!)-1)))+1)+(2-INDEX('CASE MASTER'!$V$2:$V$495,(SUMPRODUCT((('CASE MASTER'!$T$2:$T$495=1)*('CASE MASTER'!$U$2:$U$495&lt;=3)*('CASE MASTER'!$W$2:$W$495&gt;=3)*('CASE MASTER'!$V$2:$V$495&lt;=2)*('CASE MASTER'!$X$2:$X$495&gt;=2))*ROW('CASE MASTER'!$T$2:$T$495))-(ROW('CASE MASTER'!#REF!)-1))))+1))-1)*50+1,50))&amp;"_"&amp;INDEX('CASE MASTER'!$Q$2:$Q$495,(SUMPRODUCT((('CASE MASTER'!$T$2:$T$495=1)*('CASE MASTER'!$U$2:$U$495&lt;=3)*('CASE MASTER'!$W$2:$W$495&gt;=3)*('CASE MASTER'!$V$2:$V$495&lt;=2)*('CASE MASTER'!$X$2:$X$495&gt;=2))*ROW('CASE MASTER'!$T$2:$T$495))-(ROW('CASE MASTER'!#REF!)-1))),IF(SUMPRODUCT((('CASE MASTER'!$T$2:$T$495=1)*('CASE MASTER'!$AA$2:$AA$495&lt;=3)*('CASE MASTER'!$AC$2:$AC$495&gt;=3)*('CASE MASTER'!$AB$2:$AB$495&lt;=2)*('CASE MASTER'!$AD$2:$AD$495&gt;=2))*ROW('CASE MASTER'!$T$2:$T$495))&gt;0,INDEX('CASE MASTER'!$Y$2:$Y$495,(SUMPRODUCT((('CASE MASTER'!$T$2:$T$495=1)*('CASE MASTER'!$AA$2:$AA$495&lt;=3)*('CASE MASTER'!$AC$2:$AC$495&gt;=3)*('CASE MASTER'!$AB$2:$AB$495&lt;=2)*('CASE MASTER'!$AD$2:$AD$495&gt;=2))*ROW('CASE MASTER'!$T$2:$T$495))-(ROW('CASE MASTER'!#REF!)-1)))&amp;TRIM(MID(SUBSTITUTE(SUBSTITUTE(INDEX('CASE MASTER'!$N$2:$N$495,(SUMPRODUCT((('CASE MASTER'!$T$2:$T$495=1)*('CASE MASTER'!$AA$2:$AA$495&lt;=3)*('CASE MASTER'!$AC$2:$AC$495&gt;=3)*('CASE MASTER'!$AB$2:$AB$495&lt;=2)*('CASE MASTER'!$AD$2:$AD$495&gt;=2))*ROW('CASE MASTER'!$T$2:$T$495))-(ROW('CASE MASTER'!#REF!)-1))),":",","),",",REPT(" ",50)),(((INDEX('CASE MASTER'!$Z$2:$Z$495,(SUMPRODUCT((('CASE MASTER'!$T$2:$T$495=1)*('CASE MASTER'!$AA$2:$AA$495&lt;=3)*('CASE MASTER'!$AC$2:$AC$495&gt;=3)*('CASE MASTER'!$AB$2:$AB$495&lt;=2)*('CASE MASTER'!$AD$2:$AD$495&gt;=2))*ROW('CASE MASTER'!$T$2:$T$495))-(ROW('CASE MASTER'!#REF!)-1)))+((3-INDEX('CASE MASTER'!$AA$2:$AA$495,(SUMPRODUCT((('CASE MASTER'!$T$2:$T$495=1)*('CASE MASTER'!$AA$2:$AA$495&lt;=3)*('CASE MASTER'!$AC$2:$AC$495&gt;=3)*('CASE MASTER'!$AB$2:$AB$495&lt;=2)*('CASE MASTER'!$AD$2:$AD$495&gt;=2))*ROW('CASE MASTER'!$T$2:$T$495))-(ROW('CASE MASTER'!#REF!)-1))))*(INDEX('CASE MASTER'!$AD$2:$AD$495,(SUMPRODUCT((('CASE MASTER'!$T$2:$T$495=1)*('CASE MASTER'!$AA$2:$AA$495&lt;=3)*('CASE MASTER'!$AC$2:$AC$495&gt;=3)*('CASE MASTER'!$AB$2:$AB$495&lt;=2)*('CASE MASTER'!$AD$2:$AD$495&gt;=2))*ROW('CASE MASTER'!$T$2:$T$495))-(ROW('CASE MASTER'!#REF!)-1)))-INDEX('CASE MASTER'!$AB$2:$AB$495,(SUMPRODUCT((('CASE MASTER'!$T$2:$T$495=1)*('CASE MASTER'!$AA$2:$AA$495&lt;=3)*('CASE MASTER'!$AC$2:$AC$495&gt;=3)*('CASE MASTER'!$AB$2:$AB$495&lt;=2)*('CASE MASTER'!$AD$2:$AD$495&gt;=2))*ROW('CASE MASTER'!$T$2:$T$495))-(ROW('CASE MASTER'!#REF!)-1)))+1)+(2-INDEX('CASE MASTER'!$AB$2:$AB$495,(SUMPRODUCT((('CASE MASTER'!$T$2:$T$495=1)*('CASE MASTER'!$AA$2:$AA$495&lt;=3)*('CASE MASTER'!$AC$2:$AC$495&gt;=3)*('CASE MASTER'!$AB$2:$AB$495&lt;=2)*('CASE MASTER'!$AD$2:$AD$495&gt;=2))*ROW('CASE MASTER'!$T$2:$T$495))-(ROW('CASE MASTER'!#REF!)-1))))+1)))-1)*50+1,50))&amp;"_"&amp;INDEX('CASE MASTER'!$Q$2:$Q$495,(SUMPRODUCT((('CASE MASTER'!$T$2:$T$495=1)*('CASE MASTER'!$AA$2:$AA$495&lt;=3)*('CASE MASTER'!$AC$2:$AC$495&gt;=3)*('CASE MASTER'!$AB$2:$AB$495&lt;=2)*('CASE MASTER'!$AD$2:$AD$495&gt;=2))*ROW('CASE MASTER'!$T$2:$T$495))-(ROW('CASE MASTER'!#REF!)-1))),"")),"")</f>
        <v/>
      </c>
      <c r="D5" s="10" t="str">
        <f>IFERROR(IF(SUMPRODUCT((('CASE MASTER'!$T$2:$T$495=1)*('CASE MASTER'!$U$2:$U$495&lt;=3)*('CASE MASTER'!$W$2:$W$495&gt;=3)*('CASE MASTER'!$V$2:$V$495&lt;=3)*('CASE MASTER'!$X$2:$X$495&gt;=3))*ROW('CASE MASTER'!$T$2:$T$495))&gt;0,INDEX('CASE MASTER'!$Y$2:$Y$495,(SUMPRODUCT((('CASE MASTER'!$T$2:$T$495=1)*('CASE MASTER'!$U$2:$U$495&lt;=3)*('CASE MASTER'!$W$2:$W$495&gt;=3)*('CASE MASTER'!$V$2:$V$495&lt;=3)*('CASE MASTER'!$X$2:$X$495&gt;=3))*ROW('CASE MASTER'!$T$2:$T$495))-(ROW('CASE MASTER'!#REF!)-1)))&amp;TRIM(MID(SUBSTITUTE(SUBSTITUTE(INDEX('CASE MASTER'!$N$2:$N$495,(SUMPRODUCT((('CASE MASTER'!$T$2:$T$495=1)*('CASE MASTER'!$U$2:$U$495&lt;=3)*('CASE MASTER'!$W$2:$W$495&gt;=3)*('CASE MASTER'!$V$2:$V$495&lt;=3)*('CASE MASTER'!$X$2:$X$495&gt;=3))*ROW('CASE MASTER'!$T$2:$T$495))-(ROW('CASE MASTER'!#REF!)-1))),":",","),",",REPT(" ",50)),((((3-INDEX('CASE MASTER'!$U$2:$U$495,(SUMPRODUCT((('CASE MASTER'!$T$2:$T$495=1)*('CASE MASTER'!$U$2:$U$495&lt;=3)*('CASE MASTER'!$W$2:$W$495&gt;=3)*('CASE MASTER'!$V$2:$V$495&lt;=3)*('CASE MASTER'!$X$2:$X$495&gt;=3))*ROW('CASE MASTER'!$T$2:$T$495))-(ROW('CASE MASTER'!#REF!)-1))))*(INDEX('CASE MASTER'!$X$2:$X$495,(SUMPRODUCT((('CASE MASTER'!$T$2:$T$495=1)*('CASE MASTER'!$U$2:$U$495&lt;=3)*('CASE MASTER'!$W$2:$W$495&gt;=3)*('CASE MASTER'!$V$2:$V$495&lt;=3)*('CASE MASTER'!$X$2:$X$495&gt;=3))*ROW('CASE MASTER'!$T$2:$T$495))-(ROW('CASE MASTER'!#REF!)-1)))-INDEX('CASE MASTER'!$V$2:$V$495,(SUMPRODUCT((('CASE MASTER'!$T$2:$T$495=1)*('CASE MASTER'!$U$2:$U$495&lt;=3)*('CASE MASTER'!$W$2:$W$495&gt;=3)*('CASE MASTER'!$V$2:$V$495&lt;=3)*('CASE MASTER'!$X$2:$X$495&gt;=3))*ROW('CASE MASTER'!$T$2:$T$495))-(ROW('CASE MASTER'!#REF!)-1)))+1)+(3-INDEX('CASE MASTER'!$V$2:$V$495,(SUMPRODUCT((('CASE MASTER'!$T$2:$T$495=1)*('CASE MASTER'!$U$2:$U$495&lt;=3)*('CASE MASTER'!$W$2:$W$495&gt;=3)*('CASE MASTER'!$V$2:$V$495&lt;=3)*('CASE MASTER'!$X$2:$X$495&gt;=3))*ROW('CASE MASTER'!$T$2:$T$495))-(ROW('CASE MASTER'!#REF!)-1))))+1))-1)*50+1,50))&amp;"_"&amp;INDEX('CASE MASTER'!$Q$2:$Q$495,(SUMPRODUCT((('CASE MASTER'!$T$2:$T$495=1)*('CASE MASTER'!$U$2:$U$495&lt;=3)*('CASE MASTER'!$W$2:$W$495&gt;=3)*('CASE MASTER'!$V$2:$V$495&lt;=3)*('CASE MASTER'!$X$2:$X$495&gt;=3))*ROW('CASE MASTER'!$T$2:$T$495))-(ROW('CASE MASTER'!#REF!)-1))),IF(SUMPRODUCT((('CASE MASTER'!$T$2:$T$495=1)*('CASE MASTER'!$AA$2:$AA$495&lt;=3)*('CASE MASTER'!$AC$2:$AC$495&gt;=3)*('CASE MASTER'!$AB$2:$AB$495&lt;=3)*('CASE MASTER'!$AD$2:$AD$495&gt;=3))*ROW('CASE MASTER'!$T$2:$T$495))&gt;0,INDEX('CASE MASTER'!$Y$2:$Y$495,(SUMPRODUCT((('CASE MASTER'!$T$2:$T$495=1)*('CASE MASTER'!$AA$2:$AA$495&lt;=3)*('CASE MASTER'!$AC$2:$AC$495&gt;=3)*('CASE MASTER'!$AB$2:$AB$495&lt;=3)*('CASE MASTER'!$AD$2:$AD$495&gt;=3))*ROW('CASE MASTER'!$T$2:$T$495))-(ROW('CASE MASTER'!#REF!)-1)))&amp;TRIM(MID(SUBSTITUTE(SUBSTITUTE(INDEX('CASE MASTER'!$N$2:$N$495,(SUMPRODUCT((('CASE MASTER'!$T$2:$T$495=1)*('CASE MASTER'!$AA$2:$AA$495&lt;=3)*('CASE MASTER'!$AC$2:$AC$495&gt;=3)*('CASE MASTER'!$AB$2:$AB$495&lt;=3)*('CASE MASTER'!$AD$2:$AD$495&gt;=3))*ROW('CASE MASTER'!$T$2:$T$495))-(ROW('CASE MASTER'!#REF!)-1))),":",","),",",REPT(" ",50)),(((INDEX('CASE MASTER'!$Z$2:$Z$495,(SUMPRODUCT((('CASE MASTER'!$T$2:$T$495=1)*('CASE MASTER'!$AA$2:$AA$495&lt;=3)*('CASE MASTER'!$AC$2:$AC$495&gt;=3)*('CASE MASTER'!$AB$2:$AB$495&lt;=3)*('CASE MASTER'!$AD$2:$AD$495&gt;=3))*ROW('CASE MASTER'!$T$2:$T$495))-(ROW('CASE MASTER'!#REF!)-1)))+((3-INDEX('CASE MASTER'!$AA$2:$AA$495,(SUMPRODUCT((('CASE MASTER'!$T$2:$T$495=1)*('CASE MASTER'!$AA$2:$AA$495&lt;=3)*('CASE MASTER'!$AC$2:$AC$495&gt;=3)*('CASE MASTER'!$AB$2:$AB$495&lt;=3)*('CASE MASTER'!$AD$2:$AD$495&gt;=3))*ROW('CASE MASTER'!$T$2:$T$495))-(ROW('CASE MASTER'!#REF!)-1))))*(INDEX('CASE MASTER'!$AD$2:$AD$495,(SUMPRODUCT((('CASE MASTER'!$T$2:$T$495=1)*('CASE MASTER'!$AA$2:$AA$495&lt;=3)*('CASE MASTER'!$AC$2:$AC$495&gt;=3)*('CASE MASTER'!$AB$2:$AB$495&lt;=3)*('CASE MASTER'!$AD$2:$AD$495&gt;=3))*ROW('CASE MASTER'!$T$2:$T$495))-(ROW('CASE MASTER'!#REF!)-1)))-INDEX('CASE MASTER'!$AB$2:$AB$495,(SUMPRODUCT((('CASE MASTER'!$T$2:$T$495=1)*('CASE MASTER'!$AA$2:$AA$495&lt;=3)*('CASE MASTER'!$AC$2:$AC$495&gt;=3)*('CASE MASTER'!$AB$2:$AB$495&lt;=3)*('CASE MASTER'!$AD$2:$AD$495&gt;=3))*ROW('CASE MASTER'!$T$2:$T$495))-(ROW('CASE MASTER'!#REF!)-1)))+1)+(3-INDEX('CASE MASTER'!$AB$2:$AB$495,(SUMPRODUCT((('CASE MASTER'!$T$2:$T$495=1)*('CASE MASTER'!$AA$2:$AA$495&lt;=3)*('CASE MASTER'!$AC$2:$AC$495&gt;=3)*('CASE MASTER'!$AB$2:$AB$495&lt;=3)*('CASE MASTER'!$AD$2:$AD$495&gt;=3))*ROW('CASE MASTER'!$T$2:$T$495))-(ROW('CASE MASTER'!#REF!)-1))))+1)))-1)*50+1,50))&amp;"_"&amp;INDEX('CASE MASTER'!$Q$2:$Q$495,(SUMPRODUCT((('CASE MASTER'!$T$2:$T$495=1)*('CASE MASTER'!$AA$2:$AA$495&lt;=3)*('CASE MASTER'!$AC$2:$AC$495&gt;=3)*('CASE MASTER'!$AB$2:$AB$495&lt;=3)*('CASE MASTER'!$AD$2:$AD$495&gt;=3))*ROW('CASE MASTER'!$T$2:$T$495))-(ROW('CASE MASTER'!#REF!)-1))),"")),"")</f>
        <v/>
      </c>
      <c r="E5" s="10" t="str">
        <f>IFERROR(IF(SUMPRODUCT((('CASE MASTER'!$T$2:$T$495=1)*('CASE MASTER'!$U$2:$U$495&lt;=3)*('CASE MASTER'!$W$2:$W$495&gt;=3)*('CASE MASTER'!$V$2:$V$495&lt;=4)*('CASE MASTER'!$X$2:$X$495&gt;=4))*ROW('CASE MASTER'!$T$2:$T$495))&gt;0,INDEX('CASE MASTER'!$Y$2:$Y$495,(SUMPRODUCT((('CASE MASTER'!$T$2:$T$495=1)*('CASE MASTER'!$U$2:$U$495&lt;=3)*('CASE MASTER'!$W$2:$W$495&gt;=3)*('CASE MASTER'!$V$2:$V$495&lt;=4)*('CASE MASTER'!$X$2:$X$495&gt;=4))*ROW('CASE MASTER'!$T$2:$T$495))-(ROW('CASE MASTER'!#REF!)-1)))&amp;TRIM(MID(SUBSTITUTE(SUBSTITUTE(INDEX('CASE MASTER'!$N$2:$N$495,(SUMPRODUCT((('CASE MASTER'!$T$2:$T$495=1)*('CASE MASTER'!$U$2:$U$495&lt;=3)*('CASE MASTER'!$W$2:$W$495&gt;=3)*('CASE MASTER'!$V$2:$V$495&lt;=4)*('CASE MASTER'!$X$2:$X$495&gt;=4))*ROW('CASE MASTER'!$T$2:$T$495))-(ROW('CASE MASTER'!#REF!)-1))),":",","),",",REPT(" ",50)),((((3-INDEX('CASE MASTER'!$U$2:$U$495,(SUMPRODUCT((('CASE MASTER'!$T$2:$T$495=1)*('CASE MASTER'!$U$2:$U$495&lt;=3)*('CASE MASTER'!$W$2:$W$495&gt;=3)*('CASE MASTER'!$V$2:$V$495&lt;=4)*('CASE MASTER'!$X$2:$X$495&gt;=4))*ROW('CASE MASTER'!$T$2:$T$495))-(ROW('CASE MASTER'!#REF!)-1))))*(INDEX('CASE MASTER'!$X$2:$X$495,(SUMPRODUCT((('CASE MASTER'!$T$2:$T$495=1)*('CASE MASTER'!$U$2:$U$495&lt;=3)*('CASE MASTER'!$W$2:$W$495&gt;=3)*('CASE MASTER'!$V$2:$V$495&lt;=4)*('CASE MASTER'!$X$2:$X$495&gt;=4))*ROW('CASE MASTER'!$T$2:$T$495))-(ROW('CASE MASTER'!#REF!)-1)))-INDEX('CASE MASTER'!$V$2:$V$495,(SUMPRODUCT((('CASE MASTER'!$T$2:$T$495=1)*('CASE MASTER'!$U$2:$U$495&lt;=3)*('CASE MASTER'!$W$2:$W$495&gt;=3)*('CASE MASTER'!$V$2:$V$495&lt;=4)*('CASE MASTER'!$X$2:$X$495&gt;=4))*ROW('CASE MASTER'!$T$2:$T$495))-(ROW('CASE MASTER'!#REF!)-1)))+1)+(4-INDEX('CASE MASTER'!$V$2:$V$495,(SUMPRODUCT((('CASE MASTER'!$T$2:$T$495=1)*('CASE MASTER'!$U$2:$U$495&lt;=3)*('CASE MASTER'!$W$2:$W$495&gt;=3)*('CASE MASTER'!$V$2:$V$495&lt;=4)*('CASE MASTER'!$X$2:$X$495&gt;=4))*ROW('CASE MASTER'!$T$2:$T$495))-(ROW('CASE MASTER'!#REF!)-1))))+1))-1)*50+1,50))&amp;"_"&amp;INDEX('CASE MASTER'!$Q$2:$Q$495,(SUMPRODUCT((('CASE MASTER'!$T$2:$T$495=1)*('CASE MASTER'!$U$2:$U$495&lt;=3)*('CASE MASTER'!$W$2:$W$495&gt;=3)*('CASE MASTER'!$V$2:$V$495&lt;=4)*('CASE MASTER'!$X$2:$X$495&gt;=4))*ROW('CASE MASTER'!$T$2:$T$495))-(ROW('CASE MASTER'!#REF!)-1))),IF(SUMPRODUCT((('CASE MASTER'!$T$2:$T$495=1)*('CASE MASTER'!$AA$2:$AA$495&lt;=3)*('CASE MASTER'!$AC$2:$AC$495&gt;=3)*('CASE MASTER'!$AB$2:$AB$495&lt;=4)*('CASE MASTER'!$AD$2:$AD$495&gt;=4))*ROW('CASE MASTER'!$T$2:$T$495))&gt;0,INDEX('CASE MASTER'!$Y$2:$Y$495,(SUMPRODUCT((('CASE MASTER'!$T$2:$T$495=1)*('CASE MASTER'!$AA$2:$AA$495&lt;=3)*('CASE MASTER'!$AC$2:$AC$495&gt;=3)*('CASE MASTER'!$AB$2:$AB$495&lt;=4)*('CASE MASTER'!$AD$2:$AD$495&gt;=4))*ROW('CASE MASTER'!$T$2:$T$495))-(ROW('CASE MASTER'!#REF!)-1)))&amp;TRIM(MID(SUBSTITUTE(SUBSTITUTE(INDEX('CASE MASTER'!$N$2:$N$495,(SUMPRODUCT((('CASE MASTER'!$T$2:$T$495=1)*('CASE MASTER'!$AA$2:$AA$495&lt;=3)*('CASE MASTER'!$AC$2:$AC$495&gt;=3)*('CASE MASTER'!$AB$2:$AB$495&lt;=4)*('CASE MASTER'!$AD$2:$AD$495&gt;=4))*ROW('CASE MASTER'!$T$2:$T$495))-(ROW('CASE MASTER'!#REF!)-1))),":",","),",",REPT(" ",50)),(((INDEX('CASE MASTER'!$Z$2:$Z$495,(SUMPRODUCT((('CASE MASTER'!$T$2:$T$495=1)*('CASE MASTER'!$AA$2:$AA$495&lt;=3)*('CASE MASTER'!$AC$2:$AC$495&gt;=3)*('CASE MASTER'!$AB$2:$AB$495&lt;=4)*('CASE MASTER'!$AD$2:$AD$495&gt;=4))*ROW('CASE MASTER'!$T$2:$T$495))-(ROW('CASE MASTER'!#REF!)-1)))+((3-INDEX('CASE MASTER'!$AA$2:$AA$495,(SUMPRODUCT((('CASE MASTER'!$T$2:$T$495=1)*('CASE MASTER'!$AA$2:$AA$495&lt;=3)*('CASE MASTER'!$AC$2:$AC$495&gt;=3)*('CASE MASTER'!$AB$2:$AB$495&lt;=4)*('CASE MASTER'!$AD$2:$AD$495&gt;=4))*ROW('CASE MASTER'!$T$2:$T$495))-(ROW('CASE MASTER'!#REF!)-1))))*(INDEX('CASE MASTER'!$AD$2:$AD$495,(SUMPRODUCT((('CASE MASTER'!$T$2:$T$495=1)*('CASE MASTER'!$AA$2:$AA$495&lt;=3)*('CASE MASTER'!$AC$2:$AC$495&gt;=3)*('CASE MASTER'!$AB$2:$AB$495&lt;=4)*('CASE MASTER'!$AD$2:$AD$495&gt;=4))*ROW('CASE MASTER'!$T$2:$T$495))-(ROW('CASE MASTER'!#REF!)-1)))-INDEX('CASE MASTER'!$AB$2:$AB$495,(SUMPRODUCT((('CASE MASTER'!$T$2:$T$495=1)*('CASE MASTER'!$AA$2:$AA$495&lt;=3)*('CASE MASTER'!$AC$2:$AC$495&gt;=3)*('CASE MASTER'!$AB$2:$AB$495&lt;=4)*('CASE MASTER'!$AD$2:$AD$495&gt;=4))*ROW('CASE MASTER'!$T$2:$T$495))-(ROW('CASE MASTER'!#REF!)-1)))+1)+(4-INDEX('CASE MASTER'!$AB$2:$AB$495,(SUMPRODUCT((('CASE MASTER'!$T$2:$T$495=1)*('CASE MASTER'!$AA$2:$AA$495&lt;=3)*('CASE MASTER'!$AC$2:$AC$495&gt;=3)*('CASE MASTER'!$AB$2:$AB$495&lt;=4)*('CASE MASTER'!$AD$2:$AD$495&gt;=4))*ROW('CASE MASTER'!$T$2:$T$495))-(ROW('CASE MASTER'!#REF!)-1))))+1)))-1)*50+1,50))&amp;"_"&amp;INDEX('CASE MASTER'!$Q$2:$Q$495,(SUMPRODUCT((('CASE MASTER'!$T$2:$T$495=1)*('CASE MASTER'!$AA$2:$AA$495&lt;=3)*('CASE MASTER'!$AC$2:$AC$495&gt;=3)*('CASE MASTER'!$AB$2:$AB$495&lt;=4)*('CASE MASTER'!$AD$2:$AD$495&gt;=4))*ROW('CASE MASTER'!$T$2:$T$495))-(ROW('CASE MASTER'!#REF!)-1))),"")),"")</f>
        <v/>
      </c>
      <c r="F5" s="10" t="str">
        <f>IFERROR(IF(SUMPRODUCT((('CASE MASTER'!$T$2:$T$495=1)*('CASE MASTER'!$U$2:$U$495&lt;=3)*('CASE MASTER'!$W$2:$W$495&gt;=3)*('CASE MASTER'!$V$2:$V$495&lt;=5)*('CASE MASTER'!$X$2:$X$495&gt;=5))*ROW('CASE MASTER'!$T$2:$T$495))&gt;0,INDEX('CASE MASTER'!$Y$2:$Y$495,(SUMPRODUCT((('CASE MASTER'!$T$2:$T$495=1)*('CASE MASTER'!$U$2:$U$495&lt;=3)*('CASE MASTER'!$W$2:$W$495&gt;=3)*('CASE MASTER'!$V$2:$V$495&lt;=5)*('CASE MASTER'!$X$2:$X$495&gt;=5))*ROW('CASE MASTER'!$T$2:$T$495))-(ROW('CASE MASTER'!#REF!)-1)))&amp;TRIM(MID(SUBSTITUTE(SUBSTITUTE(INDEX('CASE MASTER'!$N$2:$N$495,(SUMPRODUCT((('CASE MASTER'!$T$2:$T$495=1)*('CASE MASTER'!$U$2:$U$495&lt;=3)*('CASE MASTER'!$W$2:$W$495&gt;=3)*('CASE MASTER'!$V$2:$V$495&lt;=5)*('CASE MASTER'!$X$2:$X$495&gt;=5))*ROW('CASE MASTER'!$T$2:$T$495))-(ROW('CASE MASTER'!#REF!)-1))),":",","),",",REPT(" ",50)),((((3-INDEX('CASE MASTER'!$U$2:$U$495,(SUMPRODUCT((('CASE MASTER'!$T$2:$T$495=1)*('CASE MASTER'!$U$2:$U$495&lt;=3)*('CASE MASTER'!$W$2:$W$495&gt;=3)*('CASE MASTER'!$V$2:$V$495&lt;=5)*('CASE MASTER'!$X$2:$X$495&gt;=5))*ROW('CASE MASTER'!$T$2:$T$495))-(ROW('CASE MASTER'!#REF!)-1))))*(INDEX('CASE MASTER'!$X$2:$X$495,(SUMPRODUCT((('CASE MASTER'!$T$2:$T$495=1)*('CASE MASTER'!$U$2:$U$495&lt;=3)*('CASE MASTER'!$W$2:$W$495&gt;=3)*('CASE MASTER'!$V$2:$V$495&lt;=5)*('CASE MASTER'!$X$2:$X$495&gt;=5))*ROW('CASE MASTER'!$T$2:$T$495))-(ROW('CASE MASTER'!#REF!)-1)))-INDEX('CASE MASTER'!$V$2:$V$495,(SUMPRODUCT((('CASE MASTER'!$T$2:$T$495=1)*('CASE MASTER'!$U$2:$U$495&lt;=3)*('CASE MASTER'!$W$2:$W$495&gt;=3)*('CASE MASTER'!$V$2:$V$495&lt;=5)*('CASE MASTER'!$X$2:$X$495&gt;=5))*ROW('CASE MASTER'!$T$2:$T$495))-(ROW('CASE MASTER'!#REF!)-1)))+1)+(5-INDEX('CASE MASTER'!$V$2:$V$495,(SUMPRODUCT((('CASE MASTER'!$T$2:$T$495=1)*('CASE MASTER'!$U$2:$U$495&lt;=3)*('CASE MASTER'!$W$2:$W$495&gt;=3)*('CASE MASTER'!$V$2:$V$495&lt;=5)*('CASE MASTER'!$X$2:$X$495&gt;=5))*ROW('CASE MASTER'!$T$2:$T$495))-(ROW('CASE MASTER'!#REF!)-1))))+1))-1)*50+1,50))&amp;"_"&amp;INDEX('CASE MASTER'!$Q$2:$Q$495,(SUMPRODUCT((('CASE MASTER'!$T$2:$T$495=1)*('CASE MASTER'!$U$2:$U$495&lt;=3)*('CASE MASTER'!$W$2:$W$495&gt;=3)*('CASE MASTER'!$V$2:$V$495&lt;=5)*('CASE MASTER'!$X$2:$X$495&gt;=5))*ROW('CASE MASTER'!$T$2:$T$495))-(ROW('CASE MASTER'!#REF!)-1))),IF(SUMPRODUCT((('CASE MASTER'!$T$2:$T$495=1)*('CASE MASTER'!$AA$2:$AA$495&lt;=3)*('CASE MASTER'!$AC$2:$AC$495&gt;=3)*('CASE MASTER'!$AB$2:$AB$495&lt;=5)*('CASE MASTER'!$AD$2:$AD$495&gt;=5))*ROW('CASE MASTER'!$T$2:$T$495))&gt;0,INDEX('CASE MASTER'!$Y$2:$Y$495,(SUMPRODUCT((('CASE MASTER'!$T$2:$T$495=1)*('CASE MASTER'!$AA$2:$AA$495&lt;=3)*('CASE MASTER'!$AC$2:$AC$495&gt;=3)*('CASE MASTER'!$AB$2:$AB$495&lt;=5)*('CASE MASTER'!$AD$2:$AD$495&gt;=5))*ROW('CASE MASTER'!$T$2:$T$495))-(ROW('CASE MASTER'!#REF!)-1)))&amp;TRIM(MID(SUBSTITUTE(SUBSTITUTE(INDEX('CASE MASTER'!$N$2:$N$495,(SUMPRODUCT((('CASE MASTER'!$T$2:$T$495=1)*('CASE MASTER'!$AA$2:$AA$495&lt;=3)*('CASE MASTER'!$AC$2:$AC$495&gt;=3)*('CASE MASTER'!$AB$2:$AB$495&lt;=5)*('CASE MASTER'!$AD$2:$AD$495&gt;=5))*ROW('CASE MASTER'!$T$2:$T$495))-(ROW('CASE MASTER'!#REF!)-1))),":",","),",",REPT(" ",50)),(((INDEX('CASE MASTER'!$Z$2:$Z$495,(SUMPRODUCT((('CASE MASTER'!$T$2:$T$495=1)*('CASE MASTER'!$AA$2:$AA$495&lt;=3)*('CASE MASTER'!$AC$2:$AC$495&gt;=3)*('CASE MASTER'!$AB$2:$AB$495&lt;=5)*('CASE MASTER'!$AD$2:$AD$495&gt;=5))*ROW('CASE MASTER'!$T$2:$T$495))-(ROW('CASE MASTER'!#REF!)-1)))+((3-INDEX('CASE MASTER'!$AA$2:$AA$495,(SUMPRODUCT((('CASE MASTER'!$T$2:$T$495=1)*('CASE MASTER'!$AA$2:$AA$495&lt;=3)*('CASE MASTER'!$AC$2:$AC$495&gt;=3)*('CASE MASTER'!$AB$2:$AB$495&lt;=5)*('CASE MASTER'!$AD$2:$AD$495&gt;=5))*ROW('CASE MASTER'!$T$2:$T$495))-(ROW('CASE MASTER'!#REF!)-1))))*(INDEX('CASE MASTER'!$AD$2:$AD$495,(SUMPRODUCT((('CASE MASTER'!$T$2:$T$495=1)*('CASE MASTER'!$AA$2:$AA$495&lt;=3)*('CASE MASTER'!$AC$2:$AC$495&gt;=3)*('CASE MASTER'!$AB$2:$AB$495&lt;=5)*('CASE MASTER'!$AD$2:$AD$495&gt;=5))*ROW('CASE MASTER'!$T$2:$T$495))-(ROW('CASE MASTER'!#REF!)-1)))-INDEX('CASE MASTER'!$AB$2:$AB$495,(SUMPRODUCT((('CASE MASTER'!$T$2:$T$495=1)*('CASE MASTER'!$AA$2:$AA$495&lt;=3)*('CASE MASTER'!$AC$2:$AC$495&gt;=3)*('CASE MASTER'!$AB$2:$AB$495&lt;=5)*('CASE MASTER'!$AD$2:$AD$495&gt;=5))*ROW('CASE MASTER'!$T$2:$T$495))-(ROW('CASE MASTER'!#REF!)-1)))+1)+(5-INDEX('CASE MASTER'!$AB$2:$AB$495,(SUMPRODUCT((('CASE MASTER'!$T$2:$T$495=1)*('CASE MASTER'!$AA$2:$AA$495&lt;=3)*('CASE MASTER'!$AC$2:$AC$495&gt;=3)*('CASE MASTER'!$AB$2:$AB$495&lt;=5)*('CASE MASTER'!$AD$2:$AD$495&gt;=5))*ROW('CASE MASTER'!$T$2:$T$495))-(ROW('CASE MASTER'!#REF!)-1))))+1)))-1)*50+1,50))&amp;"_"&amp;INDEX('CASE MASTER'!$Q$2:$Q$495,(SUMPRODUCT((('CASE MASTER'!$T$2:$T$495=1)*('CASE MASTER'!$AA$2:$AA$495&lt;=3)*('CASE MASTER'!$AC$2:$AC$495&gt;=3)*('CASE MASTER'!$AB$2:$AB$495&lt;=5)*('CASE MASTER'!$AD$2:$AD$495&gt;=5))*ROW('CASE MASTER'!$T$2:$T$495))-(ROW('CASE MASTER'!#REF!)-1))),"")),"")</f>
        <v/>
      </c>
      <c r="G5" s="10" t="str">
        <f>IFERROR(IF(SUMPRODUCT((('CASE MASTER'!$T$2:$T$495=1)*('CASE MASTER'!$U$2:$U$495&lt;=3)*('CASE MASTER'!$W$2:$W$495&gt;=3)*('CASE MASTER'!$V$2:$V$495&lt;=6)*('CASE MASTER'!$X$2:$X$495&gt;=6))*ROW('CASE MASTER'!$T$2:$T$495))&gt;0,INDEX('CASE MASTER'!$Y$2:$Y$495,(SUMPRODUCT((('CASE MASTER'!$T$2:$T$495=1)*('CASE MASTER'!$U$2:$U$495&lt;=3)*('CASE MASTER'!$W$2:$W$495&gt;=3)*('CASE MASTER'!$V$2:$V$495&lt;=6)*('CASE MASTER'!$X$2:$X$495&gt;=6))*ROW('CASE MASTER'!$T$2:$T$495))-(ROW('CASE MASTER'!#REF!)-1)))&amp;TRIM(MID(SUBSTITUTE(SUBSTITUTE(INDEX('CASE MASTER'!$N$2:$N$495,(SUMPRODUCT((('CASE MASTER'!$T$2:$T$495=1)*('CASE MASTER'!$U$2:$U$495&lt;=3)*('CASE MASTER'!$W$2:$W$495&gt;=3)*('CASE MASTER'!$V$2:$V$495&lt;=6)*('CASE MASTER'!$X$2:$X$495&gt;=6))*ROW('CASE MASTER'!$T$2:$T$495))-(ROW('CASE MASTER'!#REF!)-1))),":",","),",",REPT(" ",50)),((((3-INDEX('CASE MASTER'!$U$2:$U$495,(SUMPRODUCT((('CASE MASTER'!$T$2:$T$495=1)*('CASE MASTER'!$U$2:$U$495&lt;=3)*('CASE MASTER'!$W$2:$W$495&gt;=3)*('CASE MASTER'!$V$2:$V$495&lt;=6)*('CASE MASTER'!$X$2:$X$495&gt;=6))*ROW('CASE MASTER'!$T$2:$T$495))-(ROW('CASE MASTER'!#REF!)-1))))*(INDEX('CASE MASTER'!$X$2:$X$495,(SUMPRODUCT((('CASE MASTER'!$T$2:$T$495=1)*('CASE MASTER'!$U$2:$U$495&lt;=3)*('CASE MASTER'!$W$2:$W$495&gt;=3)*('CASE MASTER'!$V$2:$V$495&lt;=6)*('CASE MASTER'!$X$2:$X$495&gt;=6))*ROW('CASE MASTER'!$T$2:$T$495))-(ROW('CASE MASTER'!#REF!)-1)))-INDEX('CASE MASTER'!$V$2:$V$495,(SUMPRODUCT((('CASE MASTER'!$T$2:$T$495=1)*('CASE MASTER'!$U$2:$U$495&lt;=3)*('CASE MASTER'!$W$2:$W$495&gt;=3)*('CASE MASTER'!$V$2:$V$495&lt;=6)*('CASE MASTER'!$X$2:$X$495&gt;=6))*ROW('CASE MASTER'!$T$2:$T$495))-(ROW('CASE MASTER'!#REF!)-1)))+1)+(6-INDEX('CASE MASTER'!$V$2:$V$495,(SUMPRODUCT((('CASE MASTER'!$T$2:$T$495=1)*('CASE MASTER'!$U$2:$U$495&lt;=3)*('CASE MASTER'!$W$2:$W$495&gt;=3)*('CASE MASTER'!$V$2:$V$495&lt;=6)*('CASE MASTER'!$X$2:$X$495&gt;=6))*ROW('CASE MASTER'!$T$2:$T$495))-(ROW('CASE MASTER'!#REF!)-1))))+1))-1)*50+1,50))&amp;"_"&amp;INDEX('CASE MASTER'!$Q$2:$Q$495,(SUMPRODUCT((('CASE MASTER'!$T$2:$T$495=1)*('CASE MASTER'!$U$2:$U$495&lt;=3)*('CASE MASTER'!$W$2:$W$495&gt;=3)*('CASE MASTER'!$V$2:$V$495&lt;=6)*('CASE MASTER'!$X$2:$X$495&gt;=6))*ROW('CASE MASTER'!$T$2:$T$495))-(ROW('CASE MASTER'!#REF!)-1))),IF(SUMPRODUCT((('CASE MASTER'!$T$2:$T$495=1)*('CASE MASTER'!$AA$2:$AA$495&lt;=3)*('CASE MASTER'!$AC$2:$AC$495&gt;=3)*('CASE MASTER'!$AB$2:$AB$495&lt;=6)*('CASE MASTER'!$AD$2:$AD$495&gt;=6))*ROW('CASE MASTER'!$T$2:$T$495))&gt;0,INDEX('CASE MASTER'!$Y$2:$Y$495,(SUMPRODUCT((('CASE MASTER'!$T$2:$T$495=1)*('CASE MASTER'!$AA$2:$AA$495&lt;=3)*('CASE MASTER'!$AC$2:$AC$495&gt;=3)*('CASE MASTER'!$AB$2:$AB$495&lt;=6)*('CASE MASTER'!$AD$2:$AD$495&gt;=6))*ROW('CASE MASTER'!$T$2:$T$495))-(ROW('CASE MASTER'!#REF!)-1)))&amp;TRIM(MID(SUBSTITUTE(SUBSTITUTE(INDEX('CASE MASTER'!$N$2:$N$495,(SUMPRODUCT((('CASE MASTER'!$T$2:$T$495=1)*('CASE MASTER'!$AA$2:$AA$495&lt;=3)*('CASE MASTER'!$AC$2:$AC$495&gt;=3)*('CASE MASTER'!$AB$2:$AB$495&lt;=6)*('CASE MASTER'!$AD$2:$AD$495&gt;=6))*ROW('CASE MASTER'!$T$2:$T$495))-(ROW('CASE MASTER'!#REF!)-1))),":",","),",",REPT(" ",50)),(((INDEX('CASE MASTER'!$Z$2:$Z$495,(SUMPRODUCT((('CASE MASTER'!$T$2:$T$495=1)*('CASE MASTER'!$AA$2:$AA$495&lt;=3)*('CASE MASTER'!$AC$2:$AC$495&gt;=3)*('CASE MASTER'!$AB$2:$AB$495&lt;=6)*('CASE MASTER'!$AD$2:$AD$495&gt;=6))*ROW('CASE MASTER'!$T$2:$T$495))-(ROW('CASE MASTER'!#REF!)-1)))+((3-INDEX('CASE MASTER'!$AA$2:$AA$495,(SUMPRODUCT((('CASE MASTER'!$T$2:$T$495=1)*('CASE MASTER'!$AA$2:$AA$495&lt;=3)*('CASE MASTER'!$AC$2:$AC$495&gt;=3)*('CASE MASTER'!$AB$2:$AB$495&lt;=6)*('CASE MASTER'!$AD$2:$AD$495&gt;=6))*ROW('CASE MASTER'!$T$2:$T$495))-(ROW('CASE MASTER'!#REF!)-1))))*(INDEX('CASE MASTER'!$AD$2:$AD$495,(SUMPRODUCT((('CASE MASTER'!$T$2:$T$495=1)*('CASE MASTER'!$AA$2:$AA$495&lt;=3)*('CASE MASTER'!$AC$2:$AC$495&gt;=3)*('CASE MASTER'!$AB$2:$AB$495&lt;=6)*('CASE MASTER'!$AD$2:$AD$495&gt;=6))*ROW('CASE MASTER'!$T$2:$T$495))-(ROW('CASE MASTER'!#REF!)-1)))-INDEX('CASE MASTER'!$AB$2:$AB$495,(SUMPRODUCT((('CASE MASTER'!$T$2:$T$495=1)*('CASE MASTER'!$AA$2:$AA$495&lt;=3)*('CASE MASTER'!$AC$2:$AC$495&gt;=3)*('CASE MASTER'!$AB$2:$AB$495&lt;=6)*('CASE MASTER'!$AD$2:$AD$495&gt;=6))*ROW('CASE MASTER'!$T$2:$T$495))-(ROW('CASE MASTER'!#REF!)-1)))+1)+(6-INDEX('CASE MASTER'!$AB$2:$AB$495,(SUMPRODUCT((('CASE MASTER'!$T$2:$T$495=1)*('CASE MASTER'!$AA$2:$AA$495&lt;=3)*('CASE MASTER'!$AC$2:$AC$495&gt;=3)*('CASE MASTER'!$AB$2:$AB$495&lt;=6)*('CASE MASTER'!$AD$2:$AD$495&gt;=6))*ROW('CASE MASTER'!$T$2:$T$495))-(ROW('CASE MASTER'!#REF!)-1))))+1)))-1)*50+1,50))&amp;"_"&amp;INDEX('CASE MASTER'!$Q$2:$Q$495,(SUMPRODUCT((('CASE MASTER'!$T$2:$T$495=1)*('CASE MASTER'!$AA$2:$AA$495&lt;=3)*('CASE MASTER'!$AC$2:$AC$495&gt;=3)*('CASE MASTER'!$AB$2:$AB$495&lt;=6)*('CASE MASTER'!$AD$2:$AD$495&gt;=6))*ROW('CASE MASTER'!$T$2:$T$495))-(ROW('CASE MASTER'!#REF!)-1))),"")),"")</f>
        <v/>
      </c>
      <c r="H5" s="10" t="str">
        <f>IFERROR(IF(SUMPRODUCT((('CASE MASTER'!$T$2:$T$495=1)*('CASE MASTER'!$U$2:$U$495&lt;=3)*('CASE MASTER'!$W$2:$W$495&gt;=3)*('CASE MASTER'!$V$2:$V$495&lt;=7)*('CASE MASTER'!$X$2:$X$495&gt;=7))*ROW('CASE MASTER'!$T$2:$T$495))&gt;0,INDEX('CASE MASTER'!$Y$2:$Y$495,(SUMPRODUCT((('CASE MASTER'!$T$2:$T$495=1)*('CASE MASTER'!$U$2:$U$495&lt;=3)*('CASE MASTER'!$W$2:$W$495&gt;=3)*('CASE MASTER'!$V$2:$V$495&lt;=7)*('CASE MASTER'!$X$2:$X$495&gt;=7))*ROW('CASE MASTER'!$T$2:$T$495))-(ROW('CASE MASTER'!#REF!)-1)))&amp;TRIM(MID(SUBSTITUTE(SUBSTITUTE(INDEX('CASE MASTER'!$N$2:$N$495,(SUMPRODUCT((('CASE MASTER'!$T$2:$T$495=1)*('CASE MASTER'!$U$2:$U$495&lt;=3)*('CASE MASTER'!$W$2:$W$495&gt;=3)*('CASE MASTER'!$V$2:$V$495&lt;=7)*('CASE MASTER'!$X$2:$X$495&gt;=7))*ROW('CASE MASTER'!$T$2:$T$495))-(ROW('CASE MASTER'!#REF!)-1))),":",","),",",REPT(" ",50)),((((3-INDEX('CASE MASTER'!$U$2:$U$495,(SUMPRODUCT((('CASE MASTER'!$T$2:$T$495=1)*('CASE MASTER'!$U$2:$U$495&lt;=3)*('CASE MASTER'!$W$2:$W$495&gt;=3)*('CASE MASTER'!$V$2:$V$495&lt;=7)*('CASE MASTER'!$X$2:$X$495&gt;=7))*ROW('CASE MASTER'!$T$2:$T$495))-(ROW('CASE MASTER'!#REF!)-1))))*(INDEX('CASE MASTER'!$X$2:$X$495,(SUMPRODUCT((('CASE MASTER'!$T$2:$T$495=1)*('CASE MASTER'!$U$2:$U$495&lt;=3)*('CASE MASTER'!$W$2:$W$495&gt;=3)*('CASE MASTER'!$V$2:$V$495&lt;=7)*('CASE MASTER'!$X$2:$X$495&gt;=7))*ROW('CASE MASTER'!$T$2:$T$495))-(ROW('CASE MASTER'!#REF!)-1)))-INDEX('CASE MASTER'!$V$2:$V$495,(SUMPRODUCT((('CASE MASTER'!$T$2:$T$495=1)*('CASE MASTER'!$U$2:$U$495&lt;=3)*('CASE MASTER'!$W$2:$W$495&gt;=3)*('CASE MASTER'!$V$2:$V$495&lt;=7)*('CASE MASTER'!$X$2:$X$495&gt;=7))*ROW('CASE MASTER'!$T$2:$T$495))-(ROW('CASE MASTER'!#REF!)-1)))+1)+(7-INDEX('CASE MASTER'!$V$2:$V$495,(SUMPRODUCT((('CASE MASTER'!$T$2:$T$495=1)*('CASE MASTER'!$U$2:$U$495&lt;=3)*('CASE MASTER'!$W$2:$W$495&gt;=3)*('CASE MASTER'!$V$2:$V$495&lt;=7)*('CASE MASTER'!$X$2:$X$495&gt;=7))*ROW('CASE MASTER'!$T$2:$T$495))-(ROW('CASE MASTER'!#REF!)-1))))+1))-1)*50+1,50))&amp;"_"&amp;INDEX('CASE MASTER'!$Q$2:$Q$495,(SUMPRODUCT((('CASE MASTER'!$T$2:$T$495=1)*('CASE MASTER'!$U$2:$U$495&lt;=3)*('CASE MASTER'!$W$2:$W$495&gt;=3)*('CASE MASTER'!$V$2:$V$495&lt;=7)*('CASE MASTER'!$X$2:$X$495&gt;=7))*ROW('CASE MASTER'!$T$2:$T$495))-(ROW('CASE MASTER'!#REF!)-1))),IF(SUMPRODUCT((('CASE MASTER'!$T$2:$T$495=1)*('CASE MASTER'!$AA$2:$AA$495&lt;=3)*('CASE MASTER'!$AC$2:$AC$495&gt;=3)*('CASE MASTER'!$AB$2:$AB$495&lt;=7)*('CASE MASTER'!$AD$2:$AD$495&gt;=7))*ROW('CASE MASTER'!$T$2:$T$495))&gt;0,INDEX('CASE MASTER'!$Y$2:$Y$495,(SUMPRODUCT((('CASE MASTER'!$T$2:$T$495=1)*('CASE MASTER'!$AA$2:$AA$495&lt;=3)*('CASE MASTER'!$AC$2:$AC$495&gt;=3)*('CASE MASTER'!$AB$2:$AB$495&lt;=7)*('CASE MASTER'!$AD$2:$AD$495&gt;=7))*ROW('CASE MASTER'!$T$2:$T$495))-(ROW('CASE MASTER'!#REF!)-1)))&amp;TRIM(MID(SUBSTITUTE(SUBSTITUTE(INDEX('CASE MASTER'!$N$2:$N$495,(SUMPRODUCT((('CASE MASTER'!$T$2:$T$495=1)*('CASE MASTER'!$AA$2:$AA$495&lt;=3)*('CASE MASTER'!$AC$2:$AC$495&gt;=3)*('CASE MASTER'!$AB$2:$AB$495&lt;=7)*('CASE MASTER'!$AD$2:$AD$495&gt;=7))*ROW('CASE MASTER'!$T$2:$T$495))-(ROW('CASE MASTER'!#REF!)-1))),":",","),",",REPT(" ",50)),(((INDEX('CASE MASTER'!$Z$2:$Z$495,(SUMPRODUCT((('CASE MASTER'!$T$2:$T$495=1)*('CASE MASTER'!$AA$2:$AA$495&lt;=3)*('CASE MASTER'!$AC$2:$AC$495&gt;=3)*('CASE MASTER'!$AB$2:$AB$495&lt;=7)*('CASE MASTER'!$AD$2:$AD$495&gt;=7))*ROW('CASE MASTER'!$T$2:$T$495))-(ROW('CASE MASTER'!#REF!)-1)))+((3-INDEX('CASE MASTER'!$AA$2:$AA$495,(SUMPRODUCT((('CASE MASTER'!$T$2:$T$495=1)*('CASE MASTER'!$AA$2:$AA$495&lt;=3)*('CASE MASTER'!$AC$2:$AC$495&gt;=3)*('CASE MASTER'!$AB$2:$AB$495&lt;=7)*('CASE MASTER'!$AD$2:$AD$495&gt;=7))*ROW('CASE MASTER'!$T$2:$T$495))-(ROW('CASE MASTER'!#REF!)-1))))*(INDEX('CASE MASTER'!$AD$2:$AD$495,(SUMPRODUCT((('CASE MASTER'!$T$2:$T$495=1)*('CASE MASTER'!$AA$2:$AA$495&lt;=3)*('CASE MASTER'!$AC$2:$AC$495&gt;=3)*('CASE MASTER'!$AB$2:$AB$495&lt;=7)*('CASE MASTER'!$AD$2:$AD$495&gt;=7))*ROW('CASE MASTER'!$T$2:$T$495))-(ROW('CASE MASTER'!#REF!)-1)))-INDEX('CASE MASTER'!$AB$2:$AB$495,(SUMPRODUCT((('CASE MASTER'!$T$2:$T$495=1)*('CASE MASTER'!$AA$2:$AA$495&lt;=3)*('CASE MASTER'!$AC$2:$AC$495&gt;=3)*('CASE MASTER'!$AB$2:$AB$495&lt;=7)*('CASE MASTER'!$AD$2:$AD$495&gt;=7))*ROW('CASE MASTER'!$T$2:$T$495))-(ROW('CASE MASTER'!#REF!)-1)))+1)+(7-INDEX('CASE MASTER'!$AB$2:$AB$495,(SUMPRODUCT((('CASE MASTER'!$T$2:$T$495=1)*('CASE MASTER'!$AA$2:$AA$495&lt;=3)*('CASE MASTER'!$AC$2:$AC$495&gt;=3)*('CASE MASTER'!$AB$2:$AB$495&lt;=7)*('CASE MASTER'!$AD$2:$AD$495&gt;=7))*ROW('CASE MASTER'!$T$2:$T$495))-(ROW('CASE MASTER'!#REF!)-1))))+1)))-1)*50+1,50))&amp;"_"&amp;INDEX('CASE MASTER'!$Q$2:$Q$495,(SUMPRODUCT((('CASE MASTER'!$T$2:$T$495=1)*('CASE MASTER'!$AA$2:$AA$495&lt;=3)*('CASE MASTER'!$AC$2:$AC$495&gt;=3)*('CASE MASTER'!$AB$2:$AB$495&lt;=7)*('CASE MASTER'!$AD$2:$AD$495&gt;=7))*ROW('CASE MASTER'!$T$2:$T$495))-(ROW('CASE MASTER'!#REF!)-1))),"")),"")</f>
        <v/>
      </c>
      <c r="I5" s="10" t="str">
        <f>IFERROR(IF(SUMPRODUCT((('CASE MASTER'!$T$2:$T$495=1)*('CASE MASTER'!$U$2:$U$495&lt;=3)*('CASE MASTER'!$W$2:$W$495&gt;=3)*('CASE MASTER'!$V$2:$V$495&lt;=8)*('CASE MASTER'!$X$2:$X$495&gt;=8))*ROW('CASE MASTER'!$T$2:$T$495))&gt;0,INDEX('CASE MASTER'!$Y$2:$Y$495,(SUMPRODUCT((('CASE MASTER'!$T$2:$T$495=1)*('CASE MASTER'!$U$2:$U$495&lt;=3)*('CASE MASTER'!$W$2:$W$495&gt;=3)*('CASE MASTER'!$V$2:$V$495&lt;=8)*('CASE MASTER'!$X$2:$X$495&gt;=8))*ROW('CASE MASTER'!$T$2:$T$495))-(ROW('CASE MASTER'!#REF!)-1)))&amp;TRIM(MID(SUBSTITUTE(SUBSTITUTE(INDEX('CASE MASTER'!$N$2:$N$495,(SUMPRODUCT((('CASE MASTER'!$T$2:$T$495=1)*('CASE MASTER'!$U$2:$U$495&lt;=3)*('CASE MASTER'!$W$2:$W$495&gt;=3)*('CASE MASTER'!$V$2:$V$495&lt;=8)*('CASE MASTER'!$X$2:$X$495&gt;=8))*ROW('CASE MASTER'!$T$2:$T$495))-(ROW('CASE MASTER'!#REF!)-1))),":",","),",",REPT(" ",50)),((((3-INDEX('CASE MASTER'!$U$2:$U$495,(SUMPRODUCT((('CASE MASTER'!$T$2:$T$495=1)*('CASE MASTER'!$U$2:$U$495&lt;=3)*('CASE MASTER'!$W$2:$W$495&gt;=3)*('CASE MASTER'!$V$2:$V$495&lt;=8)*('CASE MASTER'!$X$2:$X$495&gt;=8))*ROW('CASE MASTER'!$T$2:$T$495))-(ROW('CASE MASTER'!#REF!)-1))))*(INDEX('CASE MASTER'!$X$2:$X$495,(SUMPRODUCT((('CASE MASTER'!$T$2:$T$495=1)*('CASE MASTER'!$U$2:$U$495&lt;=3)*('CASE MASTER'!$W$2:$W$495&gt;=3)*('CASE MASTER'!$V$2:$V$495&lt;=8)*('CASE MASTER'!$X$2:$X$495&gt;=8))*ROW('CASE MASTER'!$T$2:$T$495))-(ROW('CASE MASTER'!#REF!)-1)))-INDEX('CASE MASTER'!$V$2:$V$495,(SUMPRODUCT((('CASE MASTER'!$T$2:$T$495=1)*('CASE MASTER'!$U$2:$U$495&lt;=3)*('CASE MASTER'!$W$2:$W$495&gt;=3)*('CASE MASTER'!$V$2:$V$495&lt;=8)*('CASE MASTER'!$X$2:$X$495&gt;=8))*ROW('CASE MASTER'!$T$2:$T$495))-(ROW('CASE MASTER'!#REF!)-1)))+1)+(8-INDEX('CASE MASTER'!$V$2:$V$495,(SUMPRODUCT((('CASE MASTER'!$T$2:$T$495=1)*('CASE MASTER'!$U$2:$U$495&lt;=3)*('CASE MASTER'!$W$2:$W$495&gt;=3)*('CASE MASTER'!$V$2:$V$495&lt;=8)*('CASE MASTER'!$X$2:$X$495&gt;=8))*ROW('CASE MASTER'!$T$2:$T$495))-(ROW('CASE MASTER'!#REF!)-1))))+1))-1)*50+1,50))&amp;"_"&amp;INDEX('CASE MASTER'!$Q$2:$Q$495,(SUMPRODUCT((('CASE MASTER'!$T$2:$T$495=1)*('CASE MASTER'!$U$2:$U$495&lt;=3)*('CASE MASTER'!$W$2:$W$495&gt;=3)*('CASE MASTER'!$V$2:$V$495&lt;=8)*('CASE MASTER'!$X$2:$X$495&gt;=8))*ROW('CASE MASTER'!$T$2:$T$495))-(ROW('CASE MASTER'!#REF!)-1))),IF(SUMPRODUCT((('CASE MASTER'!$T$2:$T$495=1)*('CASE MASTER'!$AA$2:$AA$495&lt;=3)*('CASE MASTER'!$AC$2:$AC$495&gt;=3)*('CASE MASTER'!$AB$2:$AB$495&lt;=8)*('CASE MASTER'!$AD$2:$AD$495&gt;=8))*ROW('CASE MASTER'!$T$2:$T$495))&gt;0,INDEX('CASE MASTER'!$Y$2:$Y$495,(SUMPRODUCT((('CASE MASTER'!$T$2:$T$495=1)*('CASE MASTER'!$AA$2:$AA$495&lt;=3)*('CASE MASTER'!$AC$2:$AC$495&gt;=3)*('CASE MASTER'!$AB$2:$AB$495&lt;=8)*('CASE MASTER'!$AD$2:$AD$495&gt;=8))*ROW('CASE MASTER'!$T$2:$T$495))-(ROW('CASE MASTER'!#REF!)-1)))&amp;TRIM(MID(SUBSTITUTE(SUBSTITUTE(INDEX('CASE MASTER'!$N$2:$N$495,(SUMPRODUCT((('CASE MASTER'!$T$2:$T$495=1)*('CASE MASTER'!$AA$2:$AA$495&lt;=3)*('CASE MASTER'!$AC$2:$AC$495&gt;=3)*('CASE MASTER'!$AB$2:$AB$495&lt;=8)*('CASE MASTER'!$AD$2:$AD$495&gt;=8))*ROW('CASE MASTER'!$T$2:$T$495))-(ROW('CASE MASTER'!#REF!)-1))),":",","),",",REPT(" ",50)),(((INDEX('CASE MASTER'!$Z$2:$Z$495,(SUMPRODUCT((('CASE MASTER'!$T$2:$T$495=1)*('CASE MASTER'!$AA$2:$AA$495&lt;=3)*('CASE MASTER'!$AC$2:$AC$495&gt;=3)*('CASE MASTER'!$AB$2:$AB$495&lt;=8)*('CASE MASTER'!$AD$2:$AD$495&gt;=8))*ROW('CASE MASTER'!$T$2:$T$495))-(ROW('CASE MASTER'!#REF!)-1)))+((3-INDEX('CASE MASTER'!$AA$2:$AA$495,(SUMPRODUCT((('CASE MASTER'!$T$2:$T$495=1)*('CASE MASTER'!$AA$2:$AA$495&lt;=3)*('CASE MASTER'!$AC$2:$AC$495&gt;=3)*('CASE MASTER'!$AB$2:$AB$495&lt;=8)*('CASE MASTER'!$AD$2:$AD$495&gt;=8))*ROW('CASE MASTER'!$T$2:$T$495))-(ROW('CASE MASTER'!#REF!)-1))))*(INDEX('CASE MASTER'!$AD$2:$AD$495,(SUMPRODUCT((('CASE MASTER'!$T$2:$T$495=1)*('CASE MASTER'!$AA$2:$AA$495&lt;=3)*('CASE MASTER'!$AC$2:$AC$495&gt;=3)*('CASE MASTER'!$AB$2:$AB$495&lt;=8)*('CASE MASTER'!$AD$2:$AD$495&gt;=8))*ROW('CASE MASTER'!$T$2:$T$495))-(ROW('CASE MASTER'!#REF!)-1)))-INDEX('CASE MASTER'!$AB$2:$AB$495,(SUMPRODUCT((('CASE MASTER'!$T$2:$T$495=1)*('CASE MASTER'!$AA$2:$AA$495&lt;=3)*('CASE MASTER'!$AC$2:$AC$495&gt;=3)*('CASE MASTER'!$AB$2:$AB$495&lt;=8)*('CASE MASTER'!$AD$2:$AD$495&gt;=8))*ROW('CASE MASTER'!$T$2:$T$495))-(ROW('CASE MASTER'!#REF!)-1)))+1)+(8-INDEX('CASE MASTER'!$AB$2:$AB$495,(SUMPRODUCT((('CASE MASTER'!$T$2:$T$495=1)*('CASE MASTER'!$AA$2:$AA$495&lt;=3)*('CASE MASTER'!$AC$2:$AC$495&gt;=3)*('CASE MASTER'!$AB$2:$AB$495&lt;=8)*('CASE MASTER'!$AD$2:$AD$495&gt;=8))*ROW('CASE MASTER'!$T$2:$T$495))-(ROW('CASE MASTER'!#REF!)-1))))+1)))-1)*50+1,50))&amp;"_"&amp;INDEX('CASE MASTER'!$Q$2:$Q$495,(SUMPRODUCT((('CASE MASTER'!$T$2:$T$495=1)*('CASE MASTER'!$AA$2:$AA$495&lt;=3)*('CASE MASTER'!$AC$2:$AC$495&gt;=3)*('CASE MASTER'!$AB$2:$AB$495&lt;=8)*('CASE MASTER'!$AD$2:$AD$495&gt;=8))*ROW('CASE MASTER'!$T$2:$T$495))-(ROW('CASE MASTER'!#REF!)-1))),"")),"")</f>
        <v/>
      </c>
      <c r="J5" s="10" t="str">
        <f>IFERROR(IF(SUMPRODUCT((('CASE MASTER'!$T$2:$T$495=1)*('CASE MASTER'!$U$2:$U$495&lt;=3)*('CASE MASTER'!$W$2:$W$495&gt;=3)*('CASE MASTER'!$V$2:$V$495&lt;=9)*('CASE MASTER'!$X$2:$X$495&gt;=9))*ROW('CASE MASTER'!$T$2:$T$495))&gt;0,INDEX('CASE MASTER'!$Y$2:$Y$495,(SUMPRODUCT((('CASE MASTER'!$T$2:$T$495=1)*('CASE MASTER'!$U$2:$U$495&lt;=3)*('CASE MASTER'!$W$2:$W$495&gt;=3)*('CASE MASTER'!$V$2:$V$495&lt;=9)*('CASE MASTER'!$X$2:$X$495&gt;=9))*ROW('CASE MASTER'!$T$2:$T$495))-(ROW('CASE MASTER'!#REF!)-1)))&amp;TRIM(MID(SUBSTITUTE(SUBSTITUTE(INDEX('CASE MASTER'!$N$2:$N$495,(SUMPRODUCT((('CASE MASTER'!$T$2:$T$495=1)*('CASE MASTER'!$U$2:$U$495&lt;=3)*('CASE MASTER'!$W$2:$W$495&gt;=3)*('CASE MASTER'!$V$2:$V$495&lt;=9)*('CASE MASTER'!$X$2:$X$495&gt;=9))*ROW('CASE MASTER'!$T$2:$T$495))-(ROW('CASE MASTER'!#REF!)-1))),":",","),",",REPT(" ",50)),((((3-INDEX('CASE MASTER'!$U$2:$U$495,(SUMPRODUCT((('CASE MASTER'!$T$2:$T$495=1)*('CASE MASTER'!$U$2:$U$495&lt;=3)*('CASE MASTER'!$W$2:$W$495&gt;=3)*('CASE MASTER'!$V$2:$V$495&lt;=9)*('CASE MASTER'!$X$2:$X$495&gt;=9))*ROW('CASE MASTER'!$T$2:$T$495))-(ROW('CASE MASTER'!#REF!)-1))))*(INDEX('CASE MASTER'!$X$2:$X$495,(SUMPRODUCT((('CASE MASTER'!$T$2:$T$495=1)*('CASE MASTER'!$U$2:$U$495&lt;=3)*('CASE MASTER'!$W$2:$W$495&gt;=3)*('CASE MASTER'!$V$2:$V$495&lt;=9)*('CASE MASTER'!$X$2:$X$495&gt;=9))*ROW('CASE MASTER'!$T$2:$T$495))-(ROW('CASE MASTER'!#REF!)-1)))-INDEX('CASE MASTER'!$V$2:$V$495,(SUMPRODUCT((('CASE MASTER'!$T$2:$T$495=1)*('CASE MASTER'!$U$2:$U$495&lt;=3)*('CASE MASTER'!$W$2:$W$495&gt;=3)*('CASE MASTER'!$V$2:$V$495&lt;=9)*('CASE MASTER'!$X$2:$X$495&gt;=9))*ROW('CASE MASTER'!$T$2:$T$495))-(ROW('CASE MASTER'!#REF!)-1)))+1)+(9-INDEX('CASE MASTER'!$V$2:$V$495,(SUMPRODUCT((('CASE MASTER'!$T$2:$T$495=1)*('CASE MASTER'!$U$2:$U$495&lt;=3)*('CASE MASTER'!$W$2:$W$495&gt;=3)*('CASE MASTER'!$V$2:$V$495&lt;=9)*('CASE MASTER'!$X$2:$X$495&gt;=9))*ROW('CASE MASTER'!$T$2:$T$495))-(ROW('CASE MASTER'!#REF!)-1))))+1))-1)*50+1,50))&amp;"_"&amp;INDEX('CASE MASTER'!$Q$2:$Q$495,(SUMPRODUCT((('CASE MASTER'!$T$2:$T$495=1)*('CASE MASTER'!$U$2:$U$495&lt;=3)*('CASE MASTER'!$W$2:$W$495&gt;=3)*('CASE MASTER'!$V$2:$V$495&lt;=9)*('CASE MASTER'!$X$2:$X$495&gt;=9))*ROW('CASE MASTER'!$T$2:$T$495))-(ROW('CASE MASTER'!#REF!)-1))),IF(SUMPRODUCT((('CASE MASTER'!$T$2:$T$495=1)*('CASE MASTER'!$AA$2:$AA$495&lt;=3)*('CASE MASTER'!$AC$2:$AC$495&gt;=3)*('CASE MASTER'!$AB$2:$AB$495&lt;=9)*('CASE MASTER'!$AD$2:$AD$495&gt;=9))*ROW('CASE MASTER'!$T$2:$T$495))&gt;0,INDEX('CASE MASTER'!$Y$2:$Y$495,(SUMPRODUCT((('CASE MASTER'!$T$2:$T$495=1)*('CASE MASTER'!$AA$2:$AA$495&lt;=3)*('CASE MASTER'!$AC$2:$AC$495&gt;=3)*('CASE MASTER'!$AB$2:$AB$495&lt;=9)*('CASE MASTER'!$AD$2:$AD$495&gt;=9))*ROW('CASE MASTER'!$T$2:$T$495))-(ROW('CASE MASTER'!#REF!)-1)))&amp;TRIM(MID(SUBSTITUTE(SUBSTITUTE(INDEX('CASE MASTER'!$N$2:$N$495,(SUMPRODUCT((('CASE MASTER'!$T$2:$T$495=1)*('CASE MASTER'!$AA$2:$AA$495&lt;=3)*('CASE MASTER'!$AC$2:$AC$495&gt;=3)*('CASE MASTER'!$AB$2:$AB$495&lt;=9)*('CASE MASTER'!$AD$2:$AD$495&gt;=9))*ROW('CASE MASTER'!$T$2:$T$495))-(ROW('CASE MASTER'!#REF!)-1))),":",","),",",REPT(" ",50)),(((INDEX('CASE MASTER'!$Z$2:$Z$495,(SUMPRODUCT((('CASE MASTER'!$T$2:$T$495=1)*('CASE MASTER'!$AA$2:$AA$495&lt;=3)*('CASE MASTER'!$AC$2:$AC$495&gt;=3)*('CASE MASTER'!$AB$2:$AB$495&lt;=9)*('CASE MASTER'!$AD$2:$AD$495&gt;=9))*ROW('CASE MASTER'!$T$2:$T$495))-(ROW('CASE MASTER'!#REF!)-1)))+((3-INDEX('CASE MASTER'!$AA$2:$AA$495,(SUMPRODUCT((('CASE MASTER'!$T$2:$T$495=1)*('CASE MASTER'!$AA$2:$AA$495&lt;=3)*('CASE MASTER'!$AC$2:$AC$495&gt;=3)*('CASE MASTER'!$AB$2:$AB$495&lt;=9)*('CASE MASTER'!$AD$2:$AD$495&gt;=9))*ROW('CASE MASTER'!$T$2:$T$495))-(ROW('CASE MASTER'!#REF!)-1))))*(INDEX('CASE MASTER'!$AD$2:$AD$495,(SUMPRODUCT((('CASE MASTER'!$T$2:$T$495=1)*('CASE MASTER'!$AA$2:$AA$495&lt;=3)*('CASE MASTER'!$AC$2:$AC$495&gt;=3)*('CASE MASTER'!$AB$2:$AB$495&lt;=9)*('CASE MASTER'!$AD$2:$AD$495&gt;=9))*ROW('CASE MASTER'!$T$2:$T$495))-(ROW('CASE MASTER'!#REF!)-1)))-INDEX('CASE MASTER'!$AB$2:$AB$495,(SUMPRODUCT((('CASE MASTER'!$T$2:$T$495=1)*('CASE MASTER'!$AA$2:$AA$495&lt;=3)*('CASE MASTER'!$AC$2:$AC$495&gt;=3)*('CASE MASTER'!$AB$2:$AB$495&lt;=9)*('CASE MASTER'!$AD$2:$AD$495&gt;=9))*ROW('CASE MASTER'!$T$2:$T$495))-(ROW('CASE MASTER'!#REF!)-1)))+1)+(9-INDEX('CASE MASTER'!$AB$2:$AB$495,(SUMPRODUCT((('CASE MASTER'!$T$2:$T$495=1)*('CASE MASTER'!$AA$2:$AA$495&lt;=3)*('CASE MASTER'!$AC$2:$AC$495&gt;=3)*('CASE MASTER'!$AB$2:$AB$495&lt;=9)*('CASE MASTER'!$AD$2:$AD$495&gt;=9))*ROW('CASE MASTER'!$T$2:$T$495))-(ROW('CASE MASTER'!#REF!)-1))))+1)))-1)*50+1,50))&amp;"_"&amp;INDEX('CASE MASTER'!$Q$2:$Q$495,(SUMPRODUCT((('CASE MASTER'!$T$2:$T$495=1)*('CASE MASTER'!$AA$2:$AA$495&lt;=3)*('CASE MASTER'!$AC$2:$AC$495&gt;=3)*('CASE MASTER'!$AB$2:$AB$495&lt;=9)*('CASE MASTER'!$AD$2:$AD$495&gt;=9))*ROW('CASE MASTER'!$T$2:$T$495))-(ROW('CASE MASTER'!#REF!)-1))),"")),"")</f>
        <v/>
      </c>
      <c r="K5" s="10" t="str">
        <f>IFERROR(IF(SUMPRODUCT((('CASE MASTER'!$T$2:$T$495=1)*('CASE MASTER'!$U$2:$U$495&lt;=3)*('CASE MASTER'!$W$2:$W$495&gt;=3)*('CASE MASTER'!$V$2:$V$495&lt;=10)*('CASE MASTER'!$X$2:$X$495&gt;=10))*ROW('CASE MASTER'!$T$2:$T$495))&gt;0,INDEX('CASE MASTER'!$Y$2:$Y$495,(SUMPRODUCT((('CASE MASTER'!$T$2:$T$495=1)*('CASE MASTER'!$U$2:$U$495&lt;=3)*('CASE MASTER'!$W$2:$W$495&gt;=3)*('CASE MASTER'!$V$2:$V$495&lt;=10)*('CASE MASTER'!$X$2:$X$495&gt;=10))*ROW('CASE MASTER'!$T$2:$T$495))-(ROW('CASE MASTER'!#REF!)-1)))&amp;TRIM(MID(SUBSTITUTE(SUBSTITUTE(INDEX('CASE MASTER'!$N$2:$N$495,(SUMPRODUCT((('CASE MASTER'!$T$2:$T$495=1)*('CASE MASTER'!$U$2:$U$495&lt;=3)*('CASE MASTER'!$W$2:$W$495&gt;=3)*('CASE MASTER'!$V$2:$V$495&lt;=10)*('CASE MASTER'!$X$2:$X$495&gt;=10))*ROW('CASE MASTER'!$T$2:$T$495))-(ROW('CASE MASTER'!#REF!)-1))),":",","),",",REPT(" ",50)),((((3-INDEX('CASE MASTER'!$U$2:$U$495,(SUMPRODUCT((('CASE MASTER'!$T$2:$T$495=1)*('CASE MASTER'!$U$2:$U$495&lt;=3)*('CASE MASTER'!$W$2:$W$495&gt;=3)*('CASE MASTER'!$V$2:$V$495&lt;=10)*('CASE MASTER'!$X$2:$X$495&gt;=10))*ROW('CASE MASTER'!$T$2:$T$495))-(ROW('CASE MASTER'!#REF!)-1))))*(INDEX('CASE MASTER'!$X$2:$X$495,(SUMPRODUCT((('CASE MASTER'!$T$2:$T$495=1)*('CASE MASTER'!$U$2:$U$495&lt;=3)*('CASE MASTER'!$W$2:$W$495&gt;=3)*('CASE MASTER'!$V$2:$V$495&lt;=10)*('CASE MASTER'!$X$2:$X$495&gt;=10))*ROW('CASE MASTER'!$T$2:$T$495))-(ROW('CASE MASTER'!#REF!)-1)))-INDEX('CASE MASTER'!$V$2:$V$495,(SUMPRODUCT((('CASE MASTER'!$T$2:$T$495=1)*('CASE MASTER'!$U$2:$U$495&lt;=3)*('CASE MASTER'!$W$2:$W$495&gt;=3)*('CASE MASTER'!$V$2:$V$495&lt;=10)*('CASE MASTER'!$X$2:$X$495&gt;=10))*ROW('CASE MASTER'!$T$2:$T$495))-(ROW('CASE MASTER'!#REF!)-1)))+1)+(10-INDEX('CASE MASTER'!$V$2:$V$495,(SUMPRODUCT((('CASE MASTER'!$T$2:$T$495=1)*('CASE MASTER'!$U$2:$U$495&lt;=3)*('CASE MASTER'!$W$2:$W$495&gt;=3)*('CASE MASTER'!$V$2:$V$495&lt;=10)*('CASE MASTER'!$X$2:$X$495&gt;=10))*ROW('CASE MASTER'!$T$2:$T$495))-(ROW('CASE MASTER'!#REF!)-1))))+1))-1)*50+1,50))&amp;"_"&amp;INDEX('CASE MASTER'!$Q$2:$Q$495,(SUMPRODUCT((('CASE MASTER'!$T$2:$T$495=1)*('CASE MASTER'!$U$2:$U$495&lt;=3)*('CASE MASTER'!$W$2:$W$495&gt;=3)*('CASE MASTER'!$V$2:$V$495&lt;=10)*('CASE MASTER'!$X$2:$X$495&gt;=10))*ROW('CASE MASTER'!$T$2:$T$495))-(ROW('CASE MASTER'!#REF!)-1))),IF(SUMPRODUCT((('CASE MASTER'!$T$2:$T$495=1)*('CASE MASTER'!$AA$2:$AA$495&lt;=3)*('CASE MASTER'!$AC$2:$AC$495&gt;=3)*('CASE MASTER'!$AB$2:$AB$495&lt;=10)*('CASE MASTER'!$AD$2:$AD$495&gt;=10))*ROW('CASE MASTER'!$T$2:$T$495))&gt;0,INDEX('CASE MASTER'!$Y$2:$Y$495,(SUMPRODUCT((('CASE MASTER'!$T$2:$T$495=1)*('CASE MASTER'!$AA$2:$AA$495&lt;=3)*('CASE MASTER'!$AC$2:$AC$495&gt;=3)*('CASE MASTER'!$AB$2:$AB$495&lt;=10)*('CASE MASTER'!$AD$2:$AD$495&gt;=10))*ROW('CASE MASTER'!$T$2:$T$495))-(ROW('CASE MASTER'!#REF!)-1)))&amp;TRIM(MID(SUBSTITUTE(SUBSTITUTE(INDEX('CASE MASTER'!$N$2:$N$495,(SUMPRODUCT((('CASE MASTER'!$T$2:$T$495=1)*('CASE MASTER'!$AA$2:$AA$495&lt;=3)*('CASE MASTER'!$AC$2:$AC$495&gt;=3)*('CASE MASTER'!$AB$2:$AB$495&lt;=10)*('CASE MASTER'!$AD$2:$AD$495&gt;=10))*ROW('CASE MASTER'!$T$2:$T$495))-(ROW('CASE MASTER'!#REF!)-1))),":",","),",",REPT(" ",50)),(((INDEX('CASE MASTER'!$Z$2:$Z$495,(SUMPRODUCT((('CASE MASTER'!$T$2:$T$495=1)*('CASE MASTER'!$AA$2:$AA$495&lt;=3)*('CASE MASTER'!$AC$2:$AC$495&gt;=3)*('CASE MASTER'!$AB$2:$AB$495&lt;=10)*('CASE MASTER'!$AD$2:$AD$495&gt;=10))*ROW('CASE MASTER'!$T$2:$T$495))-(ROW('CASE MASTER'!#REF!)-1)))+((3-INDEX('CASE MASTER'!$AA$2:$AA$495,(SUMPRODUCT((('CASE MASTER'!$T$2:$T$495=1)*('CASE MASTER'!$AA$2:$AA$495&lt;=3)*('CASE MASTER'!$AC$2:$AC$495&gt;=3)*('CASE MASTER'!$AB$2:$AB$495&lt;=10)*('CASE MASTER'!$AD$2:$AD$495&gt;=10))*ROW('CASE MASTER'!$T$2:$T$495))-(ROW('CASE MASTER'!#REF!)-1))))*(INDEX('CASE MASTER'!$AD$2:$AD$495,(SUMPRODUCT((('CASE MASTER'!$T$2:$T$495=1)*('CASE MASTER'!$AA$2:$AA$495&lt;=3)*('CASE MASTER'!$AC$2:$AC$495&gt;=3)*('CASE MASTER'!$AB$2:$AB$495&lt;=10)*('CASE MASTER'!$AD$2:$AD$495&gt;=10))*ROW('CASE MASTER'!$T$2:$T$495))-(ROW('CASE MASTER'!#REF!)-1)))-INDEX('CASE MASTER'!$AB$2:$AB$495,(SUMPRODUCT((('CASE MASTER'!$T$2:$T$495=1)*('CASE MASTER'!$AA$2:$AA$495&lt;=3)*('CASE MASTER'!$AC$2:$AC$495&gt;=3)*('CASE MASTER'!$AB$2:$AB$495&lt;=10)*('CASE MASTER'!$AD$2:$AD$495&gt;=10))*ROW('CASE MASTER'!$T$2:$T$495))-(ROW('CASE MASTER'!#REF!)-1)))+1)+(10-INDEX('CASE MASTER'!$AB$2:$AB$495,(SUMPRODUCT((('CASE MASTER'!$T$2:$T$495=1)*('CASE MASTER'!$AA$2:$AA$495&lt;=3)*('CASE MASTER'!$AC$2:$AC$495&gt;=3)*('CASE MASTER'!$AB$2:$AB$495&lt;=10)*('CASE MASTER'!$AD$2:$AD$495&gt;=10))*ROW('CASE MASTER'!$T$2:$T$495))-(ROW('CASE MASTER'!#REF!)-1))))+1)))-1)*50+1,50))&amp;"_"&amp;INDEX('CASE MASTER'!$Q$2:$Q$495,(SUMPRODUCT((('CASE MASTER'!$T$2:$T$495=1)*('CASE MASTER'!$AA$2:$AA$495&lt;=3)*('CASE MASTER'!$AC$2:$AC$495&gt;=3)*('CASE MASTER'!$AB$2:$AB$495&lt;=10)*('CASE MASTER'!$AD$2:$AD$495&gt;=10))*ROW('CASE MASTER'!$T$2:$T$495))-(ROW('CASE MASTER'!#REF!)-1))),"")),"")</f>
        <v/>
      </c>
    </row>
    <row r="6" spans="1:11" ht="15" customHeight="1" x14ac:dyDescent="0.35">
      <c r="A6" s="8" t="s">
        <v>31</v>
      </c>
      <c r="B6" s="10" t="str">
        <f>IFERROR(IF(SUMPRODUCT((('CASE MASTER'!$T$2:$T$495=1)*('CASE MASTER'!$U$2:$U$495&lt;=4)*('CASE MASTER'!$W$2:$W$495&gt;=4)*('CASE MASTER'!$V$2:$V$495&lt;=1)*('CASE MASTER'!$X$2:$X$495&gt;=1))*ROW('CASE MASTER'!$T$2:$T$495))&gt;0,INDEX('CASE MASTER'!$Y$2:$Y$495,(SUMPRODUCT((('CASE MASTER'!$T$2:$T$495=1)*('CASE MASTER'!$U$2:$U$495&lt;=4)*('CASE MASTER'!$W$2:$W$495&gt;=4)*('CASE MASTER'!$V$2:$V$495&lt;=1)*('CASE MASTER'!$X$2:$X$495&gt;=1))*ROW('CASE MASTER'!$T$2:$T$495))-(ROW('CASE MASTER'!#REF!)-1)))&amp;TRIM(MID(SUBSTITUTE(SUBSTITUTE(INDEX('CASE MASTER'!$N$2:$N$495,(SUMPRODUCT((('CASE MASTER'!$T$2:$T$495=1)*('CASE MASTER'!$U$2:$U$495&lt;=4)*('CASE MASTER'!$W$2:$W$495&gt;=4)*('CASE MASTER'!$V$2:$V$495&lt;=1)*('CASE MASTER'!$X$2:$X$495&gt;=1))*ROW('CASE MASTER'!$T$2:$T$495))-(ROW('CASE MASTER'!#REF!)-1))),":",","),",",REPT(" ",50)),((((4-INDEX('CASE MASTER'!$U$2:$U$495,(SUMPRODUCT((('CASE MASTER'!$T$2:$T$495=1)*('CASE MASTER'!$U$2:$U$495&lt;=4)*('CASE MASTER'!$W$2:$W$495&gt;=4)*('CASE MASTER'!$V$2:$V$495&lt;=1)*('CASE MASTER'!$X$2:$X$495&gt;=1))*ROW('CASE MASTER'!$T$2:$T$495))-(ROW('CASE MASTER'!#REF!)-1))))*(INDEX('CASE MASTER'!$X$2:$X$495,(SUMPRODUCT((('CASE MASTER'!$T$2:$T$495=1)*('CASE MASTER'!$U$2:$U$495&lt;=4)*('CASE MASTER'!$W$2:$W$495&gt;=4)*('CASE MASTER'!$V$2:$V$495&lt;=1)*('CASE MASTER'!$X$2:$X$495&gt;=1))*ROW('CASE MASTER'!$T$2:$T$495))-(ROW('CASE MASTER'!#REF!)-1)))-INDEX('CASE MASTER'!$V$2:$V$495,(SUMPRODUCT((('CASE MASTER'!$T$2:$T$495=1)*('CASE MASTER'!$U$2:$U$495&lt;=4)*('CASE MASTER'!$W$2:$W$495&gt;=4)*('CASE MASTER'!$V$2:$V$495&lt;=1)*('CASE MASTER'!$X$2:$X$495&gt;=1))*ROW('CASE MASTER'!$T$2:$T$495))-(ROW('CASE MASTER'!#REF!)-1)))+1)+(1-INDEX('CASE MASTER'!$V$2:$V$495,(SUMPRODUCT((('CASE MASTER'!$T$2:$T$495=1)*('CASE MASTER'!$U$2:$U$495&lt;=4)*('CASE MASTER'!$W$2:$W$495&gt;=4)*('CASE MASTER'!$V$2:$V$495&lt;=1)*('CASE MASTER'!$X$2:$X$495&gt;=1))*ROW('CASE MASTER'!$T$2:$T$495))-(ROW('CASE MASTER'!#REF!)-1))))+1))-1)*50+1,50))&amp;"_"&amp;INDEX('CASE MASTER'!$Q$2:$Q$495,(SUMPRODUCT((('CASE MASTER'!$T$2:$T$495=1)*('CASE MASTER'!$U$2:$U$495&lt;=4)*('CASE MASTER'!$W$2:$W$495&gt;=4)*('CASE MASTER'!$V$2:$V$495&lt;=1)*('CASE MASTER'!$X$2:$X$495&gt;=1))*ROW('CASE MASTER'!$T$2:$T$495))-(ROW('CASE MASTER'!#REF!)-1))),IF(SUMPRODUCT((('CASE MASTER'!$T$2:$T$495=1)*('CASE MASTER'!$AA$2:$AA$495&lt;=4)*('CASE MASTER'!$AC$2:$AC$495&gt;=4)*('CASE MASTER'!$AB$2:$AB$495&lt;=1)*('CASE MASTER'!$AD$2:$AD$495&gt;=1))*ROW('CASE MASTER'!$T$2:$T$495))&gt;0,INDEX('CASE MASTER'!$Y$2:$Y$495,(SUMPRODUCT((('CASE MASTER'!$T$2:$T$495=1)*('CASE MASTER'!$AA$2:$AA$495&lt;=4)*('CASE MASTER'!$AC$2:$AC$495&gt;=4)*('CASE MASTER'!$AB$2:$AB$495&lt;=1)*('CASE MASTER'!$AD$2:$AD$495&gt;=1))*ROW('CASE MASTER'!$T$2:$T$495))-(ROW('CASE MASTER'!#REF!)-1)))&amp;TRIM(MID(SUBSTITUTE(SUBSTITUTE(INDEX('CASE MASTER'!$N$2:$N$495,(SUMPRODUCT((('CASE MASTER'!$T$2:$T$495=1)*('CASE MASTER'!$AA$2:$AA$495&lt;=4)*('CASE MASTER'!$AC$2:$AC$495&gt;=4)*('CASE MASTER'!$AB$2:$AB$495&lt;=1)*('CASE MASTER'!$AD$2:$AD$495&gt;=1))*ROW('CASE MASTER'!$T$2:$T$495))-(ROW('CASE MASTER'!#REF!)-1))),":",","),",",REPT(" ",50)),(((INDEX('CASE MASTER'!$Z$2:$Z$495,(SUMPRODUCT((('CASE MASTER'!$T$2:$T$495=1)*('CASE MASTER'!$AA$2:$AA$495&lt;=4)*('CASE MASTER'!$AC$2:$AC$495&gt;=4)*('CASE MASTER'!$AB$2:$AB$495&lt;=1)*('CASE MASTER'!$AD$2:$AD$495&gt;=1))*ROW('CASE MASTER'!$T$2:$T$495))-(ROW('CASE MASTER'!#REF!)-1)))+((4-INDEX('CASE MASTER'!$AA$2:$AA$495,(SUMPRODUCT((('CASE MASTER'!$T$2:$T$495=1)*('CASE MASTER'!$AA$2:$AA$495&lt;=4)*('CASE MASTER'!$AC$2:$AC$495&gt;=4)*('CASE MASTER'!$AB$2:$AB$495&lt;=1)*('CASE MASTER'!$AD$2:$AD$495&gt;=1))*ROW('CASE MASTER'!$T$2:$T$495))-(ROW('CASE MASTER'!#REF!)-1))))*(INDEX('CASE MASTER'!$AD$2:$AD$495,(SUMPRODUCT((('CASE MASTER'!$T$2:$T$495=1)*('CASE MASTER'!$AA$2:$AA$495&lt;=4)*('CASE MASTER'!$AC$2:$AC$495&gt;=4)*('CASE MASTER'!$AB$2:$AB$495&lt;=1)*('CASE MASTER'!$AD$2:$AD$495&gt;=1))*ROW('CASE MASTER'!$T$2:$T$495))-(ROW('CASE MASTER'!#REF!)-1)))-INDEX('CASE MASTER'!$AB$2:$AB$495,(SUMPRODUCT((('CASE MASTER'!$T$2:$T$495=1)*('CASE MASTER'!$AA$2:$AA$495&lt;=4)*('CASE MASTER'!$AC$2:$AC$495&gt;=4)*('CASE MASTER'!$AB$2:$AB$495&lt;=1)*('CASE MASTER'!$AD$2:$AD$495&gt;=1))*ROW('CASE MASTER'!$T$2:$T$495))-(ROW('CASE MASTER'!#REF!)-1)))+1)+(1-INDEX('CASE MASTER'!$AB$2:$AB$495,(SUMPRODUCT((('CASE MASTER'!$T$2:$T$495=1)*('CASE MASTER'!$AA$2:$AA$495&lt;=4)*('CASE MASTER'!$AC$2:$AC$495&gt;=4)*('CASE MASTER'!$AB$2:$AB$495&lt;=1)*('CASE MASTER'!$AD$2:$AD$495&gt;=1))*ROW('CASE MASTER'!$T$2:$T$495))-(ROW('CASE MASTER'!#REF!)-1))))+1)))-1)*50+1,50))&amp;"_"&amp;INDEX('CASE MASTER'!$Q$2:$Q$495,(SUMPRODUCT((('CASE MASTER'!$T$2:$T$495=1)*('CASE MASTER'!$AA$2:$AA$495&lt;=4)*('CASE MASTER'!$AC$2:$AC$495&gt;=4)*('CASE MASTER'!$AB$2:$AB$495&lt;=1)*('CASE MASTER'!$AD$2:$AD$495&gt;=1))*ROW('CASE MASTER'!$T$2:$T$495))-(ROW('CASE MASTER'!#REF!)-1))),"")),"")</f>
        <v/>
      </c>
      <c r="C6" s="10" t="str">
        <f>IFERROR(IF(SUMPRODUCT((('CASE MASTER'!$T$2:$T$495=1)*('CASE MASTER'!$U$2:$U$495&lt;=4)*('CASE MASTER'!$W$2:$W$495&gt;=4)*('CASE MASTER'!$V$2:$V$495&lt;=2)*('CASE MASTER'!$X$2:$X$495&gt;=2))*ROW('CASE MASTER'!$T$2:$T$495))&gt;0,INDEX('CASE MASTER'!$Y$2:$Y$495,(SUMPRODUCT((('CASE MASTER'!$T$2:$T$495=1)*('CASE MASTER'!$U$2:$U$495&lt;=4)*('CASE MASTER'!$W$2:$W$495&gt;=4)*('CASE MASTER'!$V$2:$V$495&lt;=2)*('CASE MASTER'!$X$2:$X$495&gt;=2))*ROW('CASE MASTER'!$T$2:$T$495))-(ROW('CASE MASTER'!#REF!)-1)))&amp;TRIM(MID(SUBSTITUTE(SUBSTITUTE(INDEX('CASE MASTER'!$N$2:$N$495,(SUMPRODUCT((('CASE MASTER'!$T$2:$T$495=1)*('CASE MASTER'!$U$2:$U$495&lt;=4)*('CASE MASTER'!$W$2:$W$495&gt;=4)*('CASE MASTER'!$V$2:$V$495&lt;=2)*('CASE MASTER'!$X$2:$X$495&gt;=2))*ROW('CASE MASTER'!$T$2:$T$495))-(ROW('CASE MASTER'!#REF!)-1))),":",","),",",REPT(" ",50)),((((4-INDEX('CASE MASTER'!$U$2:$U$495,(SUMPRODUCT((('CASE MASTER'!$T$2:$T$495=1)*('CASE MASTER'!$U$2:$U$495&lt;=4)*('CASE MASTER'!$W$2:$W$495&gt;=4)*('CASE MASTER'!$V$2:$V$495&lt;=2)*('CASE MASTER'!$X$2:$X$495&gt;=2))*ROW('CASE MASTER'!$T$2:$T$495))-(ROW('CASE MASTER'!#REF!)-1))))*(INDEX('CASE MASTER'!$X$2:$X$495,(SUMPRODUCT((('CASE MASTER'!$T$2:$T$495=1)*('CASE MASTER'!$U$2:$U$495&lt;=4)*('CASE MASTER'!$W$2:$W$495&gt;=4)*('CASE MASTER'!$V$2:$V$495&lt;=2)*('CASE MASTER'!$X$2:$X$495&gt;=2))*ROW('CASE MASTER'!$T$2:$T$495))-(ROW('CASE MASTER'!#REF!)-1)))-INDEX('CASE MASTER'!$V$2:$V$495,(SUMPRODUCT((('CASE MASTER'!$T$2:$T$495=1)*('CASE MASTER'!$U$2:$U$495&lt;=4)*('CASE MASTER'!$W$2:$W$495&gt;=4)*('CASE MASTER'!$V$2:$V$495&lt;=2)*('CASE MASTER'!$X$2:$X$495&gt;=2))*ROW('CASE MASTER'!$T$2:$T$495))-(ROW('CASE MASTER'!#REF!)-1)))+1)+(2-INDEX('CASE MASTER'!$V$2:$V$495,(SUMPRODUCT((('CASE MASTER'!$T$2:$T$495=1)*('CASE MASTER'!$U$2:$U$495&lt;=4)*('CASE MASTER'!$W$2:$W$495&gt;=4)*('CASE MASTER'!$V$2:$V$495&lt;=2)*('CASE MASTER'!$X$2:$X$495&gt;=2))*ROW('CASE MASTER'!$T$2:$T$495))-(ROW('CASE MASTER'!#REF!)-1))))+1))-1)*50+1,50))&amp;"_"&amp;INDEX('CASE MASTER'!$Q$2:$Q$495,(SUMPRODUCT((('CASE MASTER'!$T$2:$T$495=1)*('CASE MASTER'!$U$2:$U$495&lt;=4)*('CASE MASTER'!$W$2:$W$495&gt;=4)*('CASE MASTER'!$V$2:$V$495&lt;=2)*('CASE MASTER'!$X$2:$X$495&gt;=2))*ROW('CASE MASTER'!$T$2:$T$495))-(ROW('CASE MASTER'!#REF!)-1))),IF(SUMPRODUCT((('CASE MASTER'!$T$2:$T$495=1)*('CASE MASTER'!$AA$2:$AA$495&lt;=4)*('CASE MASTER'!$AC$2:$AC$495&gt;=4)*('CASE MASTER'!$AB$2:$AB$495&lt;=2)*('CASE MASTER'!$AD$2:$AD$495&gt;=2))*ROW('CASE MASTER'!$T$2:$T$495))&gt;0,INDEX('CASE MASTER'!$Y$2:$Y$495,(SUMPRODUCT((('CASE MASTER'!$T$2:$T$495=1)*('CASE MASTER'!$AA$2:$AA$495&lt;=4)*('CASE MASTER'!$AC$2:$AC$495&gt;=4)*('CASE MASTER'!$AB$2:$AB$495&lt;=2)*('CASE MASTER'!$AD$2:$AD$495&gt;=2))*ROW('CASE MASTER'!$T$2:$T$495))-(ROW('CASE MASTER'!#REF!)-1)))&amp;TRIM(MID(SUBSTITUTE(SUBSTITUTE(INDEX('CASE MASTER'!$N$2:$N$495,(SUMPRODUCT((('CASE MASTER'!$T$2:$T$495=1)*('CASE MASTER'!$AA$2:$AA$495&lt;=4)*('CASE MASTER'!$AC$2:$AC$495&gt;=4)*('CASE MASTER'!$AB$2:$AB$495&lt;=2)*('CASE MASTER'!$AD$2:$AD$495&gt;=2))*ROW('CASE MASTER'!$T$2:$T$495))-(ROW('CASE MASTER'!#REF!)-1))),":",","),",",REPT(" ",50)),(((INDEX('CASE MASTER'!$Z$2:$Z$495,(SUMPRODUCT((('CASE MASTER'!$T$2:$T$495=1)*('CASE MASTER'!$AA$2:$AA$495&lt;=4)*('CASE MASTER'!$AC$2:$AC$495&gt;=4)*('CASE MASTER'!$AB$2:$AB$495&lt;=2)*('CASE MASTER'!$AD$2:$AD$495&gt;=2))*ROW('CASE MASTER'!$T$2:$T$495))-(ROW('CASE MASTER'!#REF!)-1)))+((4-INDEX('CASE MASTER'!$AA$2:$AA$495,(SUMPRODUCT((('CASE MASTER'!$T$2:$T$495=1)*('CASE MASTER'!$AA$2:$AA$495&lt;=4)*('CASE MASTER'!$AC$2:$AC$495&gt;=4)*('CASE MASTER'!$AB$2:$AB$495&lt;=2)*('CASE MASTER'!$AD$2:$AD$495&gt;=2))*ROW('CASE MASTER'!$T$2:$T$495))-(ROW('CASE MASTER'!#REF!)-1))))*(INDEX('CASE MASTER'!$AD$2:$AD$495,(SUMPRODUCT((('CASE MASTER'!$T$2:$T$495=1)*('CASE MASTER'!$AA$2:$AA$495&lt;=4)*('CASE MASTER'!$AC$2:$AC$495&gt;=4)*('CASE MASTER'!$AB$2:$AB$495&lt;=2)*('CASE MASTER'!$AD$2:$AD$495&gt;=2))*ROW('CASE MASTER'!$T$2:$T$495))-(ROW('CASE MASTER'!#REF!)-1)))-INDEX('CASE MASTER'!$AB$2:$AB$495,(SUMPRODUCT((('CASE MASTER'!$T$2:$T$495=1)*('CASE MASTER'!$AA$2:$AA$495&lt;=4)*('CASE MASTER'!$AC$2:$AC$495&gt;=4)*('CASE MASTER'!$AB$2:$AB$495&lt;=2)*('CASE MASTER'!$AD$2:$AD$495&gt;=2))*ROW('CASE MASTER'!$T$2:$T$495))-(ROW('CASE MASTER'!#REF!)-1)))+1)+(2-INDEX('CASE MASTER'!$AB$2:$AB$495,(SUMPRODUCT((('CASE MASTER'!$T$2:$T$495=1)*('CASE MASTER'!$AA$2:$AA$495&lt;=4)*('CASE MASTER'!$AC$2:$AC$495&gt;=4)*('CASE MASTER'!$AB$2:$AB$495&lt;=2)*('CASE MASTER'!$AD$2:$AD$495&gt;=2))*ROW('CASE MASTER'!$T$2:$T$495))-(ROW('CASE MASTER'!#REF!)-1))))+1)))-1)*50+1,50))&amp;"_"&amp;INDEX('CASE MASTER'!$Q$2:$Q$495,(SUMPRODUCT((('CASE MASTER'!$T$2:$T$495=1)*('CASE MASTER'!$AA$2:$AA$495&lt;=4)*('CASE MASTER'!$AC$2:$AC$495&gt;=4)*('CASE MASTER'!$AB$2:$AB$495&lt;=2)*('CASE MASTER'!$AD$2:$AD$495&gt;=2))*ROW('CASE MASTER'!$T$2:$T$495))-(ROW('CASE MASTER'!#REF!)-1))),"")),"")</f>
        <v/>
      </c>
      <c r="D6" s="10" t="str">
        <f>IFERROR(IF(SUMPRODUCT((('CASE MASTER'!$T$2:$T$495=1)*('CASE MASTER'!$U$2:$U$495&lt;=4)*('CASE MASTER'!$W$2:$W$495&gt;=4)*('CASE MASTER'!$V$2:$V$495&lt;=3)*('CASE MASTER'!$X$2:$X$495&gt;=3))*ROW('CASE MASTER'!$T$2:$T$495))&gt;0,INDEX('CASE MASTER'!$Y$2:$Y$495,(SUMPRODUCT((('CASE MASTER'!$T$2:$T$495=1)*('CASE MASTER'!$U$2:$U$495&lt;=4)*('CASE MASTER'!$W$2:$W$495&gt;=4)*('CASE MASTER'!$V$2:$V$495&lt;=3)*('CASE MASTER'!$X$2:$X$495&gt;=3))*ROW('CASE MASTER'!$T$2:$T$495))-(ROW('CASE MASTER'!#REF!)-1)))&amp;TRIM(MID(SUBSTITUTE(SUBSTITUTE(INDEX('CASE MASTER'!$N$2:$N$495,(SUMPRODUCT((('CASE MASTER'!$T$2:$T$495=1)*('CASE MASTER'!$U$2:$U$495&lt;=4)*('CASE MASTER'!$W$2:$W$495&gt;=4)*('CASE MASTER'!$V$2:$V$495&lt;=3)*('CASE MASTER'!$X$2:$X$495&gt;=3))*ROW('CASE MASTER'!$T$2:$T$495))-(ROW('CASE MASTER'!#REF!)-1))),":",","),",",REPT(" ",50)),((((4-INDEX('CASE MASTER'!$U$2:$U$495,(SUMPRODUCT((('CASE MASTER'!$T$2:$T$495=1)*('CASE MASTER'!$U$2:$U$495&lt;=4)*('CASE MASTER'!$W$2:$W$495&gt;=4)*('CASE MASTER'!$V$2:$V$495&lt;=3)*('CASE MASTER'!$X$2:$X$495&gt;=3))*ROW('CASE MASTER'!$T$2:$T$495))-(ROW('CASE MASTER'!#REF!)-1))))*(INDEX('CASE MASTER'!$X$2:$X$495,(SUMPRODUCT((('CASE MASTER'!$T$2:$T$495=1)*('CASE MASTER'!$U$2:$U$495&lt;=4)*('CASE MASTER'!$W$2:$W$495&gt;=4)*('CASE MASTER'!$V$2:$V$495&lt;=3)*('CASE MASTER'!$X$2:$X$495&gt;=3))*ROW('CASE MASTER'!$T$2:$T$495))-(ROW('CASE MASTER'!#REF!)-1)))-INDEX('CASE MASTER'!$V$2:$V$495,(SUMPRODUCT((('CASE MASTER'!$T$2:$T$495=1)*('CASE MASTER'!$U$2:$U$495&lt;=4)*('CASE MASTER'!$W$2:$W$495&gt;=4)*('CASE MASTER'!$V$2:$V$495&lt;=3)*('CASE MASTER'!$X$2:$X$495&gt;=3))*ROW('CASE MASTER'!$T$2:$T$495))-(ROW('CASE MASTER'!#REF!)-1)))+1)+(3-INDEX('CASE MASTER'!$V$2:$V$495,(SUMPRODUCT((('CASE MASTER'!$T$2:$T$495=1)*('CASE MASTER'!$U$2:$U$495&lt;=4)*('CASE MASTER'!$W$2:$W$495&gt;=4)*('CASE MASTER'!$V$2:$V$495&lt;=3)*('CASE MASTER'!$X$2:$X$495&gt;=3))*ROW('CASE MASTER'!$T$2:$T$495))-(ROW('CASE MASTER'!#REF!)-1))))+1))-1)*50+1,50))&amp;"_"&amp;INDEX('CASE MASTER'!$Q$2:$Q$495,(SUMPRODUCT((('CASE MASTER'!$T$2:$T$495=1)*('CASE MASTER'!$U$2:$U$495&lt;=4)*('CASE MASTER'!$W$2:$W$495&gt;=4)*('CASE MASTER'!$V$2:$V$495&lt;=3)*('CASE MASTER'!$X$2:$X$495&gt;=3))*ROW('CASE MASTER'!$T$2:$T$495))-(ROW('CASE MASTER'!#REF!)-1))),IF(SUMPRODUCT((('CASE MASTER'!$T$2:$T$495=1)*('CASE MASTER'!$AA$2:$AA$495&lt;=4)*('CASE MASTER'!$AC$2:$AC$495&gt;=4)*('CASE MASTER'!$AB$2:$AB$495&lt;=3)*('CASE MASTER'!$AD$2:$AD$495&gt;=3))*ROW('CASE MASTER'!$T$2:$T$495))&gt;0,INDEX('CASE MASTER'!$Y$2:$Y$495,(SUMPRODUCT((('CASE MASTER'!$T$2:$T$495=1)*('CASE MASTER'!$AA$2:$AA$495&lt;=4)*('CASE MASTER'!$AC$2:$AC$495&gt;=4)*('CASE MASTER'!$AB$2:$AB$495&lt;=3)*('CASE MASTER'!$AD$2:$AD$495&gt;=3))*ROW('CASE MASTER'!$T$2:$T$495))-(ROW('CASE MASTER'!#REF!)-1)))&amp;TRIM(MID(SUBSTITUTE(SUBSTITUTE(INDEX('CASE MASTER'!$N$2:$N$495,(SUMPRODUCT((('CASE MASTER'!$T$2:$T$495=1)*('CASE MASTER'!$AA$2:$AA$495&lt;=4)*('CASE MASTER'!$AC$2:$AC$495&gt;=4)*('CASE MASTER'!$AB$2:$AB$495&lt;=3)*('CASE MASTER'!$AD$2:$AD$495&gt;=3))*ROW('CASE MASTER'!$T$2:$T$495))-(ROW('CASE MASTER'!#REF!)-1))),":",","),",",REPT(" ",50)),(((INDEX('CASE MASTER'!$Z$2:$Z$495,(SUMPRODUCT((('CASE MASTER'!$T$2:$T$495=1)*('CASE MASTER'!$AA$2:$AA$495&lt;=4)*('CASE MASTER'!$AC$2:$AC$495&gt;=4)*('CASE MASTER'!$AB$2:$AB$495&lt;=3)*('CASE MASTER'!$AD$2:$AD$495&gt;=3))*ROW('CASE MASTER'!$T$2:$T$495))-(ROW('CASE MASTER'!#REF!)-1)))+((4-INDEX('CASE MASTER'!$AA$2:$AA$495,(SUMPRODUCT((('CASE MASTER'!$T$2:$T$495=1)*('CASE MASTER'!$AA$2:$AA$495&lt;=4)*('CASE MASTER'!$AC$2:$AC$495&gt;=4)*('CASE MASTER'!$AB$2:$AB$495&lt;=3)*('CASE MASTER'!$AD$2:$AD$495&gt;=3))*ROW('CASE MASTER'!$T$2:$T$495))-(ROW('CASE MASTER'!#REF!)-1))))*(INDEX('CASE MASTER'!$AD$2:$AD$495,(SUMPRODUCT((('CASE MASTER'!$T$2:$T$495=1)*('CASE MASTER'!$AA$2:$AA$495&lt;=4)*('CASE MASTER'!$AC$2:$AC$495&gt;=4)*('CASE MASTER'!$AB$2:$AB$495&lt;=3)*('CASE MASTER'!$AD$2:$AD$495&gt;=3))*ROW('CASE MASTER'!$T$2:$T$495))-(ROW('CASE MASTER'!#REF!)-1)))-INDEX('CASE MASTER'!$AB$2:$AB$495,(SUMPRODUCT((('CASE MASTER'!$T$2:$T$495=1)*('CASE MASTER'!$AA$2:$AA$495&lt;=4)*('CASE MASTER'!$AC$2:$AC$495&gt;=4)*('CASE MASTER'!$AB$2:$AB$495&lt;=3)*('CASE MASTER'!$AD$2:$AD$495&gt;=3))*ROW('CASE MASTER'!$T$2:$T$495))-(ROW('CASE MASTER'!#REF!)-1)))+1)+(3-INDEX('CASE MASTER'!$AB$2:$AB$495,(SUMPRODUCT((('CASE MASTER'!$T$2:$T$495=1)*('CASE MASTER'!$AA$2:$AA$495&lt;=4)*('CASE MASTER'!$AC$2:$AC$495&gt;=4)*('CASE MASTER'!$AB$2:$AB$495&lt;=3)*('CASE MASTER'!$AD$2:$AD$495&gt;=3))*ROW('CASE MASTER'!$T$2:$T$495))-(ROW('CASE MASTER'!#REF!)-1))))+1)))-1)*50+1,50))&amp;"_"&amp;INDEX('CASE MASTER'!$Q$2:$Q$495,(SUMPRODUCT((('CASE MASTER'!$T$2:$T$495=1)*('CASE MASTER'!$AA$2:$AA$495&lt;=4)*('CASE MASTER'!$AC$2:$AC$495&gt;=4)*('CASE MASTER'!$AB$2:$AB$495&lt;=3)*('CASE MASTER'!$AD$2:$AD$495&gt;=3))*ROW('CASE MASTER'!$T$2:$T$495))-(ROW('CASE MASTER'!#REF!)-1))),"")),"")</f>
        <v/>
      </c>
      <c r="E6" s="10" t="str">
        <f>IFERROR(IF(SUMPRODUCT((('CASE MASTER'!$T$2:$T$495=1)*('CASE MASTER'!$U$2:$U$495&lt;=4)*('CASE MASTER'!$W$2:$W$495&gt;=4)*('CASE MASTER'!$V$2:$V$495&lt;=4)*('CASE MASTER'!$X$2:$X$495&gt;=4))*ROW('CASE MASTER'!$T$2:$T$495))&gt;0,INDEX('CASE MASTER'!$Y$2:$Y$495,(SUMPRODUCT((('CASE MASTER'!$T$2:$T$495=1)*('CASE MASTER'!$U$2:$U$495&lt;=4)*('CASE MASTER'!$W$2:$W$495&gt;=4)*('CASE MASTER'!$V$2:$V$495&lt;=4)*('CASE MASTER'!$X$2:$X$495&gt;=4))*ROW('CASE MASTER'!$T$2:$T$495))-(ROW('CASE MASTER'!#REF!)-1)))&amp;TRIM(MID(SUBSTITUTE(SUBSTITUTE(INDEX('CASE MASTER'!$N$2:$N$495,(SUMPRODUCT((('CASE MASTER'!$T$2:$T$495=1)*('CASE MASTER'!$U$2:$U$495&lt;=4)*('CASE MASTER'!$W$2:$W$495&gt;=4)*('CASE MASTER'!$V$2:$V$495&lt;=4)*('CASE MASTER'!$X$2:$X$495&gt;=4))*ROW('CASE MASTER'!$T$2:$T$495))-(ROW('CASE MASTER'!#REF!)-1))),":",","),",",REPT(" ",50)),((((4-INDEX('CASE MASTER'!$U$2:$U$495,(SUMPRODUCT((('CASE MASTER'!$T$2:$T$495=1)*('CASE MASTER'!$U$2:$U$495&lt;=4)*('CASE MASTER'!$W$2:$W$495&gt;=4)*('CASE MASTER'!$V$2:$V$495&lt;=4)*('CASE MASTER'!$X$2:$X$495&gt;=4))*ROW('CASE MASTER'!$T$2:$T$495))-(ROW('CASE MASTER'!#REF!)-1))))*(INDEX('CASE MASTER'!$X$2:$X$495,(SUMPRODUCT((('CASE MASTER'!$T$2:$T$495=1)*('CASE MASTER'!$U$2:$U$495&lt;=4)*('CASE MASTER'!$W$2:$W$495&gt;=4)*('CASE MASTER'!$V$2:$V$495&lt;=4)*('CASE MASTER'!$X$2:$X$495&gt;=4))*ROW('CASE MASTER'!$T$2:$T$495))-(ROW('CASE MASTER'!#REF!)-1)))-INDEX('CASE MASTER'!$V$2:$V$495,(SUMPRODUCT((('CASE MASTER'!$T$2:$T$495=1)*('CASE MASTER'!$U$2:$U$495&lt;=4)*('CASE MASTER'!$W$2:$W$495&gt;=4)*('CASE MASTER'!$V$2:$V$495&lt;=4)*('CASE MASTER'!$X$2:$X$495&gt;=4))*ROW('CASE MASTER'!$T$2:$T$495))-(ROW('CASE MASTER'!#REF!)-1)))+1)+(4-INDEX('CASE MASTER'!$V$2:$V$495,(SUMPRODUCT((('CASE MASTER'!$T$2:$T$495=1)*('CASE MASTER'!$U$2:$U$495&lt;=4)*('CASE MASTER'!$W$2:$W$495&gt;=4)*('CASE MASTER'!$V$2:$V$495&lt;=4)*('CASE MASTER'!$X$2:$X$495&gt;=4))*ROW('CASE MASTER'!$T$2:$T$495))-(ROW('CASE MASTER'!#REF!)-1))))+1))-1)*50+1,50))&amp;"_"&amp;INDEX('CASE MASTER'!$Q$2:$Q$495,(SUMPRODUCT((('CASE MASTER'!$T$2:$T$495=1)*('CASE MASTER'!$U$2:$U$495&lt;=4)*('CASE MASTER'!$W$2:$W$495&gt;=4)*('CASE MASTER'!$V$2:$V$495&lt;=4)*('CASE MASTER'!$X$2:$X$495&gt;=4))*ROW('CASE MASTER'!$T$2:$T$495))-(ROW('CASE MASTER'!#REF!)-1))),IF(SUMPRODUCT((('CASE MASTER'!$T$2:$T$495=1)*('CASE MASTER'!$AA$2:$AA$495&lt;=4)*('CASE MASTER'!$AC$2:$AC$495&gt;=4)*('CASE MASTER'!$AB$2:$AB$495&lt;=4)*('CASE MASTER'!$AD$2:$AD$495&gt;=4))*ROW('CASE MASTER'!$T$2:$T$495))&gt;0,INDEX('CASE MASTER'!$Y$2:$Y$495,(SUMPRODUCT((('CASE MASTER'!$T$2:$T$495=1)*('CASE MASTER'!$AA$2:$AA$495&lt;=4)*('CASE MASTER'!$AC$2:$AC$495&gt;=4)*('CASE MASTER'!$AB$2:$AB$495&lt;=4)*('CASE MASTER'!$AD$2:$AD$495&gt;=4))*ROW('CASE MASTER'!$T$2:$T$495))-(ROW('CASE MASTER'!#REF!)-1)))&amp;TRIM(MID(SUBSTITUTE(SUBSTITUTE(INDEX('CASE MASTER'!$N$2:$N$495,(SUMPRODUCT((('CASE MASTER'!$T$2:$T$495=1)*('CASE MASTER'!$AA$2:$AA$495&lt;=4)*('CASE MASTER'!$AC$2:$AC$495&gt;=4)*('CASE MASTER'!$AB$2:$AB$495&lt;=4)*('CASE MASTER'!$AD$2:$AD$495&gt;=4))*ROW('CASE MASTER'!$T$2:$T$495))-(ROW('CASE MASTER'!#REF!)-1))),":",","),",",REPT(" ",50)),(((INDEX('CASE MASTER'!$Z$2:$Z$495,(SUMPRODUCT((('CASE MASTER'!$T$2:$T$495=1)*('CASE MASTER'!$AA$2:$AA$495&lt;=4)*('CASE MASTER'!$AC$2:$AC$495&gt;=4)*('CASE MASTER'!$AB$2:$AB$495&lt;=4)*('CASE MASTER'!$AD$2:$AD$495&gt;=4))*ROW('CASE MASTER'!$T$2:$T$495))-(ROW('CASE MASTER'!#REF!)-1)))+((4-INDEX('CASE MASTER'!$AA$2:$AA$495,(SUMPRODUCT((('CASE MASTER'!$T$2:$T$495=1)*('CASE MASTER'!$AA$2:$AA$495&lt;=4)*('CASE MASTER'!$AC$2:$AC$495&gt;=4)*('CASE MASTER'!$AB$2:$AB$495&lt;=4)*('CASE MASTER'!$AD$2:$AD$495&gt;=4))*ROW('CASE MASTER'!$T$2:$T$495))-(ROW('CASE MASTER'!#REF!)-1))))*(INDEX('CASE MASTER'!$AD$2:$AD$495,(SUMPRODUCT((('CASE MASTER'!$T$2:$T$495=1)*('CASE MASTER'!$AA$2:$AA$495&lt;=4)*('CASE MASTER'!$AC$2:$AC$495&gt;=4)*('CASE MASTER'!$AB$2:$AB$495&lt;=4)*('CASE MASTER'!$AD$2:$AD$495&gt;=4))*ROW('CASE MASTER'!$T$2:$T$495))-(ROW('CASE MASTER'!#REF!)-1)))-INDEX('CASE MASTER'!$AB$2:$AB$495,(SUMPRODUCT((('CASE MASTER'!$T$2:$T$495=1)*('CASE MASTER'!$AA$2:$AA$495&lt;=4)*('CASE MASTER'!$AC$2:$AC$495&gt;=4)*('CASE MASTER'!$AB$2:$AB$495&lt;=4)*('CASE MASTER'!$AD$2:$AD$495&gt;=4))*ROW('CASE MASTER'!$T$2:$T$495))-(ROW('CASE MASTER'!#REF!)-1)))+1)+(4-INDEX('CASE MASTER'!$AB$2:$AB$495,(SUMPRODUCT((('CASE MASTER'!$T$2:$T$495=1)*('CASE MASTER'!$AA$2:$AA$495&lt;=4)*('CASE MASTER'!$AC$2:$AC$495&gt;=4)*('CASE MASTER'!$AB$2:$AB$495&lt;=4)*('CASE MASTER'!$AD$2:$AD$495&gt;=4))*ROW('CASE MASTER'!$T$2:$T$495))-(ROW('CASE MASTER'!#REF!)-1))))+1)))-1)*50+1,50))&amp;"_"&amp;INDEX('CASE MASTER'!$Q$2:$Q$495,(SUMPRODUCT((('CASE MASTER'!$T$2:$T$495=1)*('CASE MASTER'!$AA$2:$AA$495&lt;=4)*('CASE MASTER'!$AC$2:$AC$495&gt;=4)*('CASE MASTER'!$AB$2:$AB$495&lt;=4)*('CASE MASTER'!$AD$2:$AD$495&gt;=4))*ROW('CASE MASTER'!$T$2:$T$495))-(ROW('CASE MASTER'!#REF!)-1))),"")),"")</f>
        <v/>
      </c>
      <c r="F6" s="10" t="str">
        <f>IFERROR(IF(SUMPRODUCT((('CASE MASTER'!$T$2:$T$495=1)*('CASE MASTER'!$U$2:$U$495&lt;=4)*('CASE MASTER'!$W$2:$W$495&gt;=4)*('CASE MASTER'!$V$2:$V$495&lt;=5)*('CASE MASTER'!$X$2:$X$495&gt;=5))*ROW('CASE MASTER'!$T$2:$T$495))&gt;0,INDEX('CASE MASTER'!$Y$2:$Y$495,(SUMPRODUCT((('CASE MASTER'!$T$2:$T$495=1)*('CASE MASTER'!$U$2:$U$495&lt;=4)*('CASE MASTER'!$W$2:$W$495&gt;=4)*('CASE MASTER'!$V$2:$V$495&lt;=5)*('CASE MASTER'!$X$2:$X$495&gt;=5))*ROW('CASE MASTER'!$T$2:$T$495))-(ROW('CASE MASTER'!#REF!)-1)))&amp;TRIM(MID(SUBSTITUTE(SUBSTITUTE(INDEX('CASE MASTER'!$N$2:$N$495,(SUMPRODUCT((('CASE MASTER'!$T$2:$T$495=1)*('CASE MASTER'!$U$2:$U$495&lt;=4)*('CASE MASTER'!$W$2:$W$495&gt;=4)*('CASE MASTER'!$V$2:$V$495&lt;=5)*('CASE MASTER'!$X$2:$X$495&gt;=5))*ROW('CASE MASTER'!$T$2:$T$495))-(ROW('CASE MASTER'!#REF!)-1))),":",","),",",REPT(" ",50)),((((4-INDEX('CASE MASTER'!$U$2:$U$495,(SUMPRODUCT((('CASE MASTER'!$T$2:$T$495=1)*('CASE MASTER'!$U$2:$U$495&lt;=4)*('CASE MASTER'!$W$2:$W$495&gt;=4)*('CASE MASTER'!$V$2:$V$495&lt;=5)*('CASE MASTER'!$X$2:$X$495&gt;=5))*ROW('CASE MASTER'!$T$2:$T$495))-(ROW('CASE MASTER'!#REF!)-1))))*(INDEX('CASE MASTER'!$X$2:$X$495,(SUMPRODUCT((('CASE MASTER'!$T$2:$T$495=1)*('CASE MASTER'!$U$2:$U$495&lt;=4)*('CASE MASTER'!$W$2:$W$495&gt;=4)*('CASE MASTER'!$V$2:$V$495&lt;=5)*('CASE MASTER'!$X$2:$X$495&gt;=5))*ROW('CASE MASTER'!$T$2:$T$495))-(ROW('CASE MASTER'!#REF!)-1)))-INDEX('CASE MASTER'!$V$2:$V$495,(SUMPRODUCT((('CASE MASTER'!$T$2:$T$495=1)*('CASE MASTER'!$U$2:$U$495&lt;=4)*('CASE MASTER'!$W$2:$W$495&gt;=4)*('CASE MASTER'!$V$2:$V$495&lt;=5)*('CASE MASTER'!$X$2:$X$495&gt;=5))*ROW('CASE MASTER'!$T$2:$T$495))-(ROW('CASE MASTER'!#REF!)-1)))+1)+(5-INDEX('CASE MASTER'!$V$2:$V$495,(SUMPRODUCT((('CASE MASTER'!$T$2:$T$495=1)*('CASE MASTER'!$U$2:$U$495&lt;=4)*('CASE MASTER'!$W$2:$W$495&gt;=4)*('CASE MASTER'!$V$2:$V$495&lt;=5)*('CASE MASTER'!$X$2:$X$495&gt;=5))*ROW('CASE MASTER'!$T$2:$T$495))-(ROW('CASE MASTER'!#REF!)-1))))+1))-1)*50+1,50))&amp;"_"&amp;INDEX('CASE MASTER'!$Q$2:$Q$495,(SUMPRODUCT((('CASE MASTER'!$T$2:$T$495=1)*('CASE MASTER'!$U$2:$U$495&lt;=4)*('CASE MASTER'!$W$2:$W$495&gt;=4)*('CASE MASTER'!$V$2:$V$495&lt;=5)*('CASE MASTER'!$X$2:$X$495&gt;=5))*ROW('CASE MASTER'!$T$2:$T$495))-(ROW('CASE MASTER'!#REF!)-1))),IF(SUMPRODUCT((('CASE MASTER'!$T$2:$T$495=1)*('CASE MASTER'!$AA$2:$AA$495&lt;=4)*('CASE MASTER'!$AC$2:$AC$495&gt;=4)*('CASE MASTER'!$AB$2:$AB$495&lt;=5)*('CASE MASTER'!$AD$2:$AD$495&gt;=5))*ROW('CASE MASTER'!$T$2:$T$495))&gt;0,INDEX('CASE MASTER'!$Y$2:$Y$495,(SUMPRODUCT((('CASE MASTER'!$T$2:$T$495=1)*('CASE MASTER'!$AA$2:$AA$495&lt;=4)*('CASE MASTER'!$AC$2:$AC$495&gt;=4)*('CASE MASTER'!$AB$2:$AB$495&lt;=5)*('CASE MASTER'!$AD$2:$AD$495&gt;=5))*ROW('CASE MASTER'!$T$2:$T$495))-(ROW('CASE MASTER'!#REF!)-1)))&amp;TRIM(MID(SUBSTITUTE(SUBSTITUTE(INDEX('CASE MASTER'!$N$2:$N$495,(SUMPRODUCT((('CASE MASTER'!$T$2:$T$495=1)*('CASE MASTER'!$AA$2:$AA$495&lt;=4)*('CASE MASTER'!$AC$2:$AC$495&gt;=4)*('CASE MASTER'!$AB$2:$AB$495&lt;=5)*('CASE MASTER'!$AD$2:$AD$495&gt;=5))*ROW('CASE MASTER'!$T$2:$T$495))-(ROW('CASE MASTER'!#REF!)-1))),":",","),",",REPT(" ",50)),(((INDEX('CASE MASTER'!$Z$2:$Z$495,(SUMPRODUCT((('CASE MASTER'!$T$2:$T$495=1)*('CASE MASTER'!$AA$2:$AA$495&lt;=4)*('CASE MASTER'!$AC$2:$AC$495&gt;=4)*('CASE MASTER'!$AB$2:$AB$495&lt;=5)*('CASE MASTER'!$AD$2:$AD$495&gt;=5))*ROW('CASE MASTER'!$T$2:$T$495))-(ROW('CASE MASTER'!#REF!)-1)))+((4-INDEX('CASE MASTER'!$AA$2:$AA$495,(SUMPRODUCT((('CASE MASTER'!$T$2:$T$495=1)*('CASE MASTER'!$AA$2:$AA$495&lt;=4)*('CASE MASTER'!$AC$2:$AC$495&gt;=4)*('CASE MASTER'!$AB$2:$AB$495&lt;=5)*('CASE MASTER'!$AD$2:$AD$495&gt;=5))*ROW('CASE MASTER'!$T$2:$T$495))-(ROW('CASE MASTER'!#REF!)-1))))*(INDEX('CASE MASTER'!$AD$2:$AD$495,(SUMPRODUCT((('CASE MASTER'!$T$2:$T$495=1)*('CASE MASTER'!$AA$2:$AA$495&lt;=4)*('CASE MASTER'!$AC$2:$AC$495&gt;=4)*('CASE MASTER'!$AB$2:$AB$495&lt;=5)*('CASE MASTER'!$AD$2:$AD$495&gt;=5))*ROW('CASE MASTER'!$T$2:$T$495))-(ROW('CASE MASTER'!#REF!)-1)))-INDEX('CASE MASTER'!$AB$2:$AB$495,(SUMPRODUCT((('CASE MASTER'!$T$2:$T$495=1)*('CASE MASTER'!$AA$2:$AA$495&lt;=4)*('CASE MASTER'!$AC$2:$AC$495&gt;=4)*('CASE MASTER'!$AB$2:$AB$495&lt;=5)*('CASE MASTER'!$AD$2:$AD$495&gt;=5))*ROW('CASE MASTER'!$T$2:$T$495))-(ROW('CASE MASTER'!#REF!)-1)))+1)+(5-INDEX('CASE MASTER'!$AB$2:$AB$495,(SUMPRODUCT((('CASE MASTER'!$T$2:$T$495=1)*('CASE MASTER'!$AA$2:$AA$495&lt;=4)*('CASE MASTER'!$AC$2:$AC$495&gt;=4)*('CASE MASTER'!$AB$2:$AB$495&lt;=5)*('CASE MASTER'!$AD$2:$AD$495&gt;=5))*ROW('CASE MASTER'!$T$2:$T$495))-(ROW('CASE MASTER'!#REF!)-1))))+1)))-1)*50+1,50))&amp;"_"&amp;INDEX('CASE MASTER'!$Q$2:$Q$495,(SUMPRODUCT((('CASE MASTER'!$T$2:$T$495=1)*('CASE MASTER'!$AA$2:$AA$495&lt;=4)*('CASE MASTER'!$AC$2:$AC$495&gt;=4)*('CASE MASTER'!$AB$2:$AB$495&lt;=5)*('CASE MASTER'!$AD$2:$AD$495&gt;=5))*ROW('CASE MASTER'!$T$2:$T$495))-(ROW('CASE MASTER'!#REF!)-1))),"")),"")</f>
        <v/>
      </c>
      <c r="G6" s="10" t="str">
        <f>IFERROR(IF(SUMPRODUCT((('CASE MASTER'!$T$2:$T$495=1)*('CASE MASTER'!$U$2:$U$495&lt;=4)*('CASE MASTER'!$W$2:$W$495&gt;=4)*('CASE MASTER'!$V$2:$V$495&lt;=6)*('CASE MASTER'!$X$2:$X$495&gt;=6))*ROW('CASE MASTER'!$T$2:$T$495))&gt;0,INDEX('CASE MASTER'!$Y$2:$Y$495,(SUMPRODUCT((('CASE MASTER'!$T$2:$T$495=1)*('CASE MASTER'!$U$2:$U$495&lt;=4)*('CASE MASTER'!$W$2:$W$495&gt;=4)*('CASE MASTER'!$V$2:$V$495&lt;=6)*('CASE MASTER'!$X$2:$X$495&gt;=6))*ROW('CASE MASTER'!$T$2:$T$495))-(ROW('CASE MASTER'!#REF!)-1)))&amp;TRIM(MID(SUBSTITUTE(SUBSTITUTE(INDEX('CASE MASTER'!$N$2:$N$495,(SUMPRODUCT((('CASE MASTER'!$T$2:$T$495=1)*('CASE MASTER'!$U$2:$U$495&lt;=4)*('CASE MASTER'!$W$2:$W$495&gt;=4)*('CASE MASTER'!$V$2:$V$495&lt;=6)*('CASE MASTER'!$X$2:$X$495&gt;=6))*ROW('CASE MASTER'!$T$2:$T$495))-(ROW('CASE MASTER'!#REF!)-1))),":",","),",",REPT(" ",50)),((((4-INDEX('CASE MASTER'!$U$2:$U$495,(SUMPRODUCT((('CASE MASTER'!$T$2:$T$495=1)*('CASE MASTER'!$U$2:$U$495&lt;=4)*('CASE MASTER'!$W$2:$W$495&gt;=4)*('CASE MASTER'!$V$2:$V$495&lt;=6)*('CASE MASTER'!$X$2:$X$495&gt;=6))*ROW('CASE MASTER'!$T$2:$T$495))-(ROW('CASE MASTER'!#REF!)-1))))*(INDEX('CASE MASTER'!$X$2:$X$495,(SUMPRODUCT((('CASE MASTER'!$T$2:$T$495=1)*('CASE MASTER'!$U$2:$U$495&lt;=4)*('CASE MASTER'!$W$2:$W$495&gt;=4)*('CASE MASTER'!$V$2:$V$495&lt;=6)*('CASE MASTER'!$X$2:$X$495&gt;=6))*ROW('CASE MASTER'!$T$2:$T$495))-(ROW('CASE MASTER'!#REF!)-1)))-INDEX('CASE MASTER'!$V$2:$V$495,(SUMPRODUCT((('CASE MASTER'!$T$2:$T$495=1)*('CASE MASTER'!$U$2:$U$495&lt;=4)*('CASE MASTER'!$W$2:$W$495&gt;=4)*('CASE MASTER'!$V$2:$V$495&lt;=6)*('CASE MASTER'!$X$2:$X$495&gt;=6))*ROW('CASE MASTER'!$T$2:$T$495))-(ROW('CASE MASTER'!#REF!)-1)))+1)+(6-INDEX('CASE MASTER'!$V$2:$V$495,(SUMPRODUCT((('CASE MASTER'!$T$2:$T$495=1)*('CASE MASTER'!$U$2:$U$495&lt;=4)*('CASE MASTER'!$W$2:$W$495&gt;=4)*('CASE MASTER'!$V$2:$V$495&lt;=6)*('CASE MASTER'!$X$2:$X$495&gt;=6))*ROW('CASE MASTER'!$T$2:$T$495))-(ROW('CASE MASTER'!#REF!)-1))))+1))-1)*50+1,50))&amp;"_"&amp;INDEX('CASE MASTER'!$Q$2:$Q$495,(SUMPRODUCT((('CASE MASTER'!$T$2:$T$495=1)*('CASE MASTER'!$U$2:$U$495&lt;=4)*('CASE MASTER'!$W$2:$W$495&gt;=4)*('CASE MASTER'!$V$2:$V$495&lt;=6)*('CASE MASTER'!$X$2:$X$495&gt;=6))*ROW('CASE MASTER'!$T$2:$T$495))-(ROW('CASE MASTER'!#REF!)-1))),IF(SUMPRODUCT((('CASE MASTER'!$T$2:$T$495=1)*('CASE MASTER'!$AA$2:$AA$495&lt;=4)*('CASE MASTER'!$AC$2:$AC$495&gt;=4)*('CASE MASTER'!$AB$2:$AB$495&lt;=6)*('CASE MASTER'!$AD$2:$AD$495&gt;=6))*ROW('CASE MASTER'!$T$2:$T$495))&gt;0,INDEX('CASE MASTER'!$Y$2:$Y$495,(SUMPRODUCT((('CASE MASTER'!$T$2:$T$495=1)*('CASE MASTER'!$AA$2:$AA$495&lt;=4)*('CASE MASTER'!$AC$2:$AC$495&gt;=4)*('CASE MASTER'!$AB$2:$AB$495&lt;=6)*('CASE MASTER'!$AD$2:$AD$495&gt;=6))*ROW('CASE MASTER'!$T$2:$T$495))-(ROW('CASE MASTER'!#REF!)-1)))&amp;TRIM(MID(SUBSTITUTE(SUBSTITUTE(INDEX('CASE MASTER'!$N$2:$N$495,(SUMPRODUCT((('CASE MASTER'!$T$2:$T$495=1)*('CASE MASTER'!$AA$2:$AA$495&lt;=4)*('CASE MASTER'!$AC$2:$AC$495&gt;=4)*('CASE MASTER'!$AB$2:$AB$495&lt;=6)*('CASE MASTER'!$AD$2:$AD$495&gt;=6))*ROW('CASE MASTER'!$T$2:$T$495))-(ROW('CASE MASTER'!#REF!)-1))),":",","),",",REPT(" ",50)),(((INDEX('CASE MASTER'!$Z$2:$Z$495,(SUMPRODUCT((('CASE MASTER'!$T$2:$T$495=1)*('CASE MASTER'!$AA$2:$AA$495&lt;=4)*('CASE MASTER'!$AC$2:$AC$495&gt;=4)*('CASE MASTER'!$AB$2:$AB$495&lt;=6)*('CASE MASTER'!$AD$2:$AD$495&gt;=6))*ROW('CASE MASTER'!$T$2:$T$495))-(ROW('CASE MASTER'!#REF!)-1)))+((4-INDEX('CASE MASTER'!$AA$2:$AA$495,(SUMPRODUCT((('CASE MASTER'!$T$2:$T$495=1)*('CASE MASTER'!$AA$2:$AA$495&lt;=4)*('CASE MASTER'!$AC$2:$AC$495&gt;=4)*('CASE MASTER'!$AB$2:$AB$495&lt;=6)*('CASE MASTER'!$AD$2:$AD$495&gt;=6))*ROW('CASE MASTER'!$T$2:$T$495))-(ROW('CASE MASTER'!#REF!)-1))))*(INDEX('CASE MASTER'!$AD$2:$AD$495,(SUMPRODUCT((('CASE MASTER'!$T$2:$T$495=1)*('CASE MASTER'!$AA$2:$AA$495&lt;=4)*('CASE MASTER'!$AC$2:$AC$495&gt;=4)*('CASE MASTER'!$AB$2:$AB$495&lt;=6)*('CASE MASTER'!$AD$2:$AD$495&gt;=6))*ROW('CASE MASTER'!$T$2:$T$495))-(ROW('CASE MASTER'!#REF!)-1)))-INDEX('CASE MASTER'!$AB$2:$AB$495,(SUMPRODUCT((('CASE MASTER'!$T$2:$T$495=1)*('CASE MASTER'!$AA$2:$AA$495&lt;=4)*('CASE MASTER'!$AC$2:$AC$495&gt;=4)*('CASE MASTER'!$AB$2:$AB$495&lt;=6)*('CASE MASTER'!$AD$2:$AD$495&gt;=6))*ROW('CASE MASTER'!$T$2:$T$495))-(ROW('CASE MASTER'!#REF!)-1)))+1)+(6-INDEX('CASE MASTER'!$AB$2:$AB$495,(SUMPRODUCT((('CASE MASTER'!$T$2:$T$495=1)*('CASE MASTER'!$AA$2:$AA$495&lt;=4)*('CASE MASTER'!$AC$2:$AC$495&gt;=4)*('CASE MASTER'!$AB$2:$AB$495&lt;=6)*('CASE MASTER'!$AD$2:$AD$495&gt;=6))*ROW('CASE MASTER'!$T$2:$T$495))-(ROW('CASE MASTER'!#REF!)-1))))+1)))-1)*50+1,50))&amp;"_"&amp;INDEX('CASE MASTER'!$Q$2:$Q$495,(SUMPRODUCT((('CASE MASTER'!$T$2:$T$495=1)*('CASE MASTER'!$AA$2:$AA$495&lt;=4)*('CASE MASTER'!$AC$2:$AC$495&gt;=4)*('CASE MASTER'!$AB$2:$AB$495&lt;=6)*('CASE MASTER'!$AD$2:$AD$495&gt;=6))*ROW('CASE MASTER'!$T$2:$T$495))-(ROW('CASE MASTER'!#REF!)-1))),"")),"")</f>
        <v/>
      </c>
      <c r="H6" s="10" t="str">
        <f>IFERROR(IF(SUMPRODUCT((('CASE MASTER'!$T$2:$T$495=1)*('CASE MASTER'!$U$2:$U$495&lt;=4)*('CASE MASTER'!$W$2:$W$495&gt;=4)*('CASE MASTER'!$V$2:$V$495&lt;=7)*('CASE MASTER'!$X$2:$X$495&gt;=7))*ROW('CASE MASTER'!$T$2:$T$495))&gt;0,INDEX('CASE MASTER'!$Y$2:$Y$495,(SUMPRODUCT((('CASE MASTER'!$T$2:$T$495=1)*('CASE MASTER'!$U$2:$U$495&lt;=4)*('CASE MASTER'!$W$2:$W$495&gt;=4)*('CASE MASTER'!$V$2:$V$495&lt;=7)*('CASE MASTER'!$X$2:$X$495&gt;=7))*ROW('CASE MASTER'!$T$2:$T$495))-(ROW('CASE MASTER'!#REF!)-1)))&amp;TRIM(MID(SUBSTITUTE(SUBSTITUTE(INDEX('CASE MASTER'!$N$2:$N$495,(SUMPRODUCT((('CASE MASTER'!$T$2:$T$495=1)*('CASE MASTER'!$U$2:$U$495&lt;=4)*('CASE MASTER'!$W$2:$W$495&gt;=4)*('CASE MASTER'!$V$2:$V$495&lt;=7)*('CASE MASTER'!$X$2:$X$495&gt;=7))*ROW('CASE MASTER'!$T$2:$T$495))-(ROW('CASE MASTER'!#REF!)-1))),":",","),",",REPT(" ",50)),((((4-INDEX('CASE MASTER'!$U$2:$U$495,(SUMPRODUCT((('CASE MASTER'!$T$2:$T$495=1)*('CASE MASTER'!$U$2:$U$495&lt;=4)*('CASE MASTER'!$W$2:$W$495&gt;=4)*('CASE MASTER'!$V$2:$V$495&lt;=7)*('CASE MASTER'!$X$2:$X$495&gt;=7))*ROW('CASE MASTER'!$T$2:$T$495))-(ROW('CASE MASTER'!#REF!)-1))))*(INDEX('CASE MASTER'!$X$2:$X$495,(SUMPRODUCT((('CASE MASTER'!$T$2:$T$495=1)*('CASE MASTER'!$U$2:$U$495&lt;=4)*('CASE MASTER'!$W$2:$W$495&gt;=4)*('CASE MASTER'!$V$2:$V$495&lt;=7)*('CASE MASTER'!$X$2:$X$495&gt;=7))*ROW('CASE MASTER'!$T$2:$T$495))-(ROW('CASE MASTER'!#REF!)-1)))-INDEX('CASE MASTER'!$V$2:$V$495,(SUMPRODUCT((('CASE MASTER'!$T$2:$T$495=1)*('CASE MASTER'!$U$2:$U$495&lt;=4)*('CASE MASTER'!$W$2:$W$495&gt;=4)*('CASE MASTER'!$V$2:$V$495&lt;=7)*('CASE MASTER'!$X$2:$X$495&gt;=7))*ROW('CASE MASTER'!$T$2:$T$495))-(ROW('CASE MASTER'!#REF!)-1)))+1)+(7-INDEX('CASE MASTER'!$V$2:$V$495,(SUMPRODUCT((('CASE MASTER'!$T$2:$T$495=1)*('CASE MASTER'!$U$2:$U$495&lt;=4)*('CASE MASTER'!$W$2:$W$495&gt;=4)*('CASE MASTER'!$V$2:$V$495&lt;=7)*('CASE MASTER'!$X$2:$X$495&gt;=7))*ROW('CASE MASTER'!$T$2:$T$495))-(ROW('CASE MASTER'!#REF!)-1))))+1))-1)*50+1,50))&amp;"_"&amp;INDEX('CASE MASTER'!$Q$2:$Q$495,(SUMPRODUCT((('CASE MASTER'!$T$2:$T$495=1)*('CASE MASTER'!$U$2:$U$495&lt;=4)*('CASE MASTER'!$W$2:$W$495&gt;=4)*('CASE MASTER'!$V$2:$V$495&lt;=7)*('CASE MASTER'!$X$2:$X$495&gt;=7))*ROW('CASE MASTER'!$T$2:$T$495))-(ROW('CASE MASTER'!#REF!)-1))),IF(SUMPRODUCT((('CASE MASTER'!$T$2:$T$495=1)*('CASE MASTER'!$AA$2:$AA$495&lt;=4)*('CASE MASTER'!$AC$2:$AC$495&gt;=4)*('CASE MASTER'!$AB$2:$AB$495&lt;=7)*('CASE MASTER'!$AD$2:$AD$495&gt;=7))*ROW('CASE MASTER'!$T$2:$T$495))&gt;0,INDEX('CASE MASTER'!$Y$2:$Y$495,(SUMPRODUCT((('CASE MASTER'!$T$2:$T$495=1)*('CASE MASTER'!$AA$2:$AA$495&lt;=4)*('CASE MASTER'!$AC$2:$AC$495&gt;=4)*('CASE MASTER'!$AB$2:$AB$495&lt;=7)*('CASE MASTER'!$AD$2:$AD$495&gt;=7))*ROW('CASE MASTER'!$T$2:$T$495))-(ROW('CASE MASTER'!#REF!)-1)))&amp;TRIM(MID(SUBSTITUTE(SUBSTITUTE(INDEX('CASE MASTER'!$N$2:$N$495,(SUMPRODUCT((('CASE MASTER'!$T$2:$T$495=1)*('CASE MASTER'!$AA$2:$AA$495&lt;=4)*('CASE MASTER'!$AC$2:$AC$495&gt;=4)*('CASE MASTER'!$AB$2:$AB$495&lt;=7)*('CASE MASTER'!$AD$2:$AD$495&gt;=7))*ROW('CASE MASTER'!$T$2:$T$495))-(ROW('CASE MASTER'!#REF!)-1))),":",","),",",REPT(" ",50)),(((INDEX('CASE MASTER'!$Z$2:$Z$495,(SUMPRODUCT((('CASE MASTER'!$T$2:$T$495=1)*('CASE MASTER'!$AA$2:$AA$495&lt;=4)*('CASE MASTER'!$AC$2:$AC$495&gt;=4)*('CASE MASTER'!$AB$2:$AB$495&lt;=7)*('CASE MASTER'!$AD$2:$AD$495&gt;=7))*ROW('CASE MASTER'!$T$2:$T$495))-(ROW('CASE MASTER'!#REF!)-1)))+((4-INDEX('CASE MASTER'!$AA$2:$AA$495,(SUMPRODUCT((('CASE MASTER'!$T$2:$T$495=1)*('CASE MASTER'!$AA$2:$AA$495&lt;=4)*('CASE MASTER'!$AC$2:$AC$495&gt;=4)*('CASE MASTER'!$AB$2:$AB$495&lt;=7)*('CASE MASTER'!$AD$2:$AD$495&gt;=7))*ROW('CASE MASTER'!$T$2:$T$495))-(ROW('CASE MASTER'!#REF!)-1))))*(INDEX('CASE MASTER'!$AD$2:$AD$495,(SUMPRODUCT((('CASE MASTER'!$T$2:$T$495=1)*('CASE MASTER'!$AA$2:$AA$495&lt;=4)*('CASE MASTER'!$AC$2:$AC$495&gt;=4)*('CASE MASTER'!$AB$2:$AB$495&lt;=7)*('CASE MASTER'!$AD$2:$AD$495&gt;=7))*ROW('CASE MASTER'!$T$2:$T$495))-(ROW('CASE MASTER'!#REF!)-1)))-INDEX('CASE MASTER'!$AB$2:$AB$495,(SUMPRODUCT((('CASE MASTER'!$T$2:$T$495=1)*('CASE MASTER'!$AA$2:$AA$495&lt;=4)*('CASE MASTER'!$AC$2:$AC$495&gt;=4)*('CASE MASTER'!$AB$2:$AB$495&lt;=7)*('CASE MASTER'!$AD$2:$AD$495&gt;=7))*ROW('CASE MASTER'!$T$2:$T$495))-(ROW('CASE MASTER'!#REF!)-1)))+1)+(7-INDEX('CASE MASTER'!$AB$2:$AB$495,(SUMPRODUCT((('CASE MASTER'!$T$2:$T$495=1)*('CASE MASTER'!$AA$2:$AA$495&lt;=4)*('CASE MASTER'!$AC$2:$AC$495&gt;=4)*('CASE MASTER'!$AB$2:$AB$495&lt;=7)*('CASE MASTER'!$AD$2:$AD$495&gt;=7))*ROW('CASE MASTER'!$T$2:$T$495))-(ROW('CASE MASTER'!#REF!)-1))))+1)))-1)*50+1,50))&amp;"_"&amp;INDEX('CASE MASTER'!$Q$2:$Q$495,(SUMPRODUCT((('CASE MASTER'!$T$2:$T$495=1)*('CASE MASTER'!$AA$2:$AA$495&lt;=4)*('CASE MASTER'!$AC$2:$AC$495&gt;=4)*('CASE MASTER'!$AB$2:$AB$495&lt;=7)*('CASE MASTER'!$AD$2:$AD$495&gt;=7))*ROW('CASE MASTER'!$T$2:$T$495))-(ROW('CASE MASTER'!#REF!)-1))),"")),"")</f>
        <v/>
      </c>
      <c r="I6" s="10" t="str">
        <f>IFERROR(IF(SUMPRODUCT((('CASE MASTER'!$T$2:$T$495=1)*('CASE MASTER'!$U$2:$U$495&lt;=4)*('CASE MASTER'!$W$2:$W$495&gt;=4)*('CASE MASTER'!$V$2:$V$495&lt;=8)*('CASE MASTER'!$X$2:$X$495&gt;=8))*ROW('CASE MASTER'!$T$2:$T$495))&gt;0,INDEX('CASE MASTER'!$Y$2:$Y$495,(SUMPRODUCT((('CASE MASTER'!$T$2:$T$495=1)*('CASE MASTER'!$U$2:$U$495&lt;=4)*('CASE MASTER'!$W$2:$W$495&gt;=4)*('CASE MASTER'!$V$2:$V$495&lt;=8)*('CASE MASTER'!$X$2:$X$495&gt;=8))*ROW('CASE MASTER'!$T$2:$T$495))-(ROW('CASE MASTER'!#REF!)-1)))&amp;TRIM(MID(SUBSTITUTE(SUBSTITUTE(INDEX('CASE MASTER'!$N$2:$N$495,(SUMPRODUCT((('CASE MASTER'!$T$2:$T$495=1)*('CASE MASTER'!$U$2:$U$495&lt;=4)*('CASE MASTER'!$W$2:$W$495&gt;=4)*('CASE MASTER'!$V$2:$V$495&lt;=8)*('CASE MASTER'!$X$2:$X$495&gt;=8))*ROW('CASE MASTER'!$T$2:$T$495))-(ROW('CASE MASTER'!#REF!)-1))),":",","),",",REPT(" ",50)),((((4-INDEX('CASE MASTER'!$U$2:$U$495,(SUMPRODUCT((('CASE MASTER'!$T$2:$T$495=1)*('CASE MASTER'!$U$2:$U$495&lt;=4)*('CASE MASTER'!$W$2:$W$495&gt;=4)*('CASE MASTER'!$V$2:$V$495&lt;=8)*('CASE MASTER'!$X$2:$X$495&gt;=8))*ROW('CASE MASTER'!$T$2:$T$495))-(ROW('CASE MASTER'!#REF!)-1))))*(INDEX('CASE MASTER'!$X$2:$X$495,(SUMPRODUCT((('CASE MASTER'!$T$2:$T$495=1)*('CASE MASTER'!$U$2:$U$495&lt;=4)*('CASE MASTER'!$W$2:$W$495&gt;=4)*('CASE MASTER'!$V$2:$V$495&lt;=8)*('CASE MASTER'!$X$2:$X$495&gt;=8))*ROW('CASE MASTER'!$T$2:$T$495))-(ROW('CASE MASTER'!#REF!)-1)))-INDEX('CASE MASTER'!$V$2:$V$495,(SUMPRODUCT((('CASE MASTER'!$T$2:$T$495=1)*('CASE MASTER'!$U$2:$U$495&lt;=4)*('CASE MASTER'!$W$2:$W$495&gt;=4)*('CASE MASTER'!$V$2:$V$495&lt;=8)*('CASE MASTER'!$X$2:$X$495&gt;=8))*ROW('CASE MASTER'!$T$2:$T$495))-(ROW('CASE MASTER'!#REF!)-1)))+1)+(8-INDEX('CASE MASTER'!$V$2:$V$495,(SUMPRODUCT((('CASE MASTER'!$T$2:$T$495=1)*('CASE MASTER'!$U$2:$U$495&lt;=4)*('CASE MASTER'!$W$2:$W$495&gt;=4)*('CASE MASTER'!$V$2:$V$495&lt;=8)*('CASE MASTER'!$X$2:$X$495&gt;=8))*ROW('CASE MASTER'!$T$2:$T$495))-(ROW('CASE MASTER'!#REF!)-1))))+1))-1)*50+1,50))&amp;"_"&amp;INDEX('CASE MASTER'!$Q$2:$Q$495,(SUMPRODUCT((('CASE MASTER'!$T$2:$T$495=1)*('CASE MASTER'!$U$2:$U$495&lt;=4)*('CASE MASTER'!$W$2:$W$495&gt;=4)*('CASE MASTER'!$V$2:$V$495&lt;=8)*('CASE MASTER'!$X$2:$X$495&gt;=8))*ROW('CASE MASTER'!$T$2:$T$495))-(ROW('CASE MASTER'!#REF!)-1))),IF(SUMPRODUCT((('CASE MASTER'!$T$2:$T$495=1)*('CASE MASTER'!$AA$2:$AA$495&lt;=4)*('CASE MASTER'!$AC$2:$AC$495&gt;=4)*('CASE MASTER'!$AB$2:$AB$495&lt;=8)*('CASE MASTER'!$AD$2:$AD$495&gt;=8))*ROW('CASE MASTER'!$T$2:$T$495))&gt;0,INDEX('CASE MASTER'!$Y$2:$Y$495,(SUMPRODUCT((('CASE MASTER'!$T$2:$T$495=1)*('CASE MASTER'!$AA$2:$AA$495&lt;=4)*('CASE MASTER'!$AC$2:$AC$495&gt;=4)*('CASE MASTER'!$AB$2:$AB$495&lt;=8)*('CASE MASTER'!$AD$2:$AD$495&gt;=8))*ROW('CASE MASTER'!$T$2:$T$495))-(ROW('CASE MASTER'!#REF!)-1)))&amp;TRIM(MID(SUBSTITUTE(SUBSTITUTE(INDEX('CASE MASTER'!$N$2:$N$495,(SUMPRODUCT((('CASE MASTER'!$T$2:$T$495=1)*('CASE MASTER'!$AA$2:$AA$495&lt;=4)*('CASE MASTER'!$AC$2:$AC$495&gt;=4)*('CASE MASTER'!$AB$2:$AB$495&lt;=8)*('CASE MASTER'!$AD$2:$AD$495&gt;=8))*ROW('CASE MASTER'!$T$2:$T$495))-(ROW('CASE MASTER'!#REF!)-1))),":",","),",",REPT(" ",50)),(((INDEX('CASE MASTER'!$Z$2:$Z$495,(SUMPRODUCT((('CASE MASTER'!$T$2:$T$495=1)*('CASE MASTER'!$AA$2:$AA$495&lt;=4)*('CASE MASTER'!$AC$2:$AC$495&gt;=4)*('CASE MASTER'!$AB$2:$AB$495&lt;=8)*('CASE MASTER'!$AD$2:$AD$495&gt;=8))*ROW('CASE MASTER'!$T$2:$T$495))-(ROW('CASE MASTER'!#REF!)-1)))+((4-INDEX('CASE MASTER'!$AA$2:$AA$495,(SUMPRODUCT((('CASE MASTER'!$T$2:$T$495=1)*('CASE MASTER'!$AA$2:$AA$495&lt;=4)*('CASE MASTER'!$AC$2:$AC$495&gt;=4)*('CASE MASTER'!$AB$2:$AB$495&lt;=8)*('CASE MASTER'!$AD$2:$AD$495&gt;=8))*ROW('CASE MASTER'!$T$2:$T$495))-(ROW('CASE MASTER'!#REF!)-1))))*(INDEX('CASE MASTER'!$AD$2:$AD$495,(SUMPRODUCT((('CASE MASTER'!$T$2:$T$495=1)*('CASE MASTER'!$AA$2:$AA$495&lt;=4)*('CASE MASTER'!$AC$2:$AC$495&gt;=4)*('CASE MASTER'!$AB$2:$AB$495&lt;=8)*('CASE MASTER'!$AD$2:$AD$495&gt;=8))*ROW('CASE MASTER'!$T$2:$T$495))-(ROW('CASE MASTER'!#REF!)-1)))-INDEX('CASE MASTER'!$AB$2:$AB$495,(SUMPRODUCT((('CASE MASTER'!$T$2:$T$495=1)*('CASE MASTER'!$AA$2:$AA$495&lt;=4)*('CASE MASTER'!$AC$2:$AC$495&gt;=4)*('CASE MASTER'!$AB$2:$AB$495&lt;=8)*('CASE MASTER'!$AD$2:$AD$495&gt;=8))*ROW('CASE MASTER'!$T$2:$T$495))-(ROW('CASE MASTER'!#REF!)-1)))+1)+(8-INDEX('CASE MASTER'!$AB$2:$AB$495,(SUMPRODUCT((('CASE MASTER'!$T$2:$T$495=1)*('CASE MASTER'!$AA$2:$AA$495&lt;=4)*('CASE MASTER'!$AC$2:$AC$495&gt;=4)*('CASE MASTER'!$AB$2:$AB$495&lt;=8)*('CASE MASTER'!$AD$2:$AD$495&gt;=8))*ROW('CASE MASTER'!$T$2:$T$495))-(ROW('CASE MASTER'!#REF!)-1))))+1)))-1)*50+1,50))&amp;"_"&amp;INDEX('CASE MASTER'!$Q$2:$Q$495,(SUMPRODUCT((('CASE MASTER'!$T$2:$T$495=1)*('CASE MASTER'!$AA$2:$AA$495&lt;=4)*('CASE MASTER'!$AC$2:$AC$495&gt;=4)*('CASE MASTER'!$AB$2:$AB$495&lt;=8)*('CASE MASTER'!$AD$2:$AD$495&gt;=8))*ROW('CASE MASTER'!$T$2:$T$495))-(ROW('CASE MASTER'!#REF!)-1))),"")),"")</f>
        <v/>
      </c>
      <c r="J6" s="10" t="str">
        <f>IFERROR(IF(SUMPRODUCT((('CASE MASTER'!$T$2:$T$495=1)*('CASE MASTER'!$U$2:$U$495&lt;=4)*('CASE MASTER'!$W$2:$W$495&gt;=4)*('CASE MASTER'!$V$2:$V$495&lt;=9)*('CASE MASTER'!$X$2:$X$495&gt;=9))*ROW('CASE MASTER'!$T$2:$T$495))&gt;0,INDEX('CASE MASTER'!$Y$2:$Y$495,(SUMPRODUCT((('CASE MASTER'!$T$2:$T$495=1)*('CASE MASTER'!$U$2:$U$495&lt;=4)*('CASE MASTER'!$W$2:$W$495&gt;=4)*('CASE MASTER'!$V$2:$V$495&lt;=9)*('CASE MASTER'!$X$2:$X$495&gt;=9))*ROW('CASE MASTER'!$T$2:$T$495))-(ROW('CASE MASTER'!#REF!)-1)))&amp;TRIM(MID(SUBSTITUTE(SUBSTITUTE(INDEX('CASE MASTER'!$N$2:$N$495,(SUMPRODUCT((('CASE MASTER'!$T$2:$T$495=1)*('CASE MASTER'!$U$2:$U$495&lt;=4)*('CASE MASTER'!$W$2:$W$495&gt;=4)*('CASE MASTER'!$V$2:$V$495&lt;=9)*('CASE MASTER'!$X$2:$X$495&gt;=9))*ROW('CASE MASTER'!$T$2:$T$495))-(ROW('CASE MASTER'!#REF!)-1))),":",","),",",REPT(" ",50)),((((4-INDEX('CASE MASTER'!$U$2:$U$495,(SUMPRODUCT((('CASE MASTER'!$T$2:$T$495=1)*('CASE MASTER'!$U$2:$U$495&lt;=4)*('CASE MASTER'!$W$2:$W$495&gt;=4)*('CASE MASTER'!$V$2:$V$495&lt;=9)*('CASE MASTER'!$X$2:$X$495&gt;=9))*ROW('CASE MASTER'!$T$2:$T$495))-(ROW('CASE MASTER'!#REF!)-1))))*(INDEX('CASE MASTER'!$X$2:$X$495,(SUMPRODUCT((('CASE MASTER'!$T$2:$T$495=1)*('CASE MASTER'!$U$2:$U$495&lt;=4)*('CASE MASTER'!$W$2:$W$495&gt;=4)*('CASE MASTER'!$V$2:$V$495&lt;=9)*('CASE MASTER'!$X$2:$X$495&gt;=9))*ROW('CASE MASTER'!$T$2:$T$495))-(ROW('CASE MASTER'!#REF!)-1)))-INDEX('CASE MASTER'!$V$2:$V$495,(SUMPRODUCT((('CASE MASTER'!$T$2:$T$495=1)*('CASE MASTER'!$U$2:$U$495&lt;=4)*('CASE MASTER'!$W$2:$W$495&gt;=4)*('CASE MASTER'!$V$2:$V$495&lt;=9)*('CASE MASTER'!$X$2:$X$495&gt;=9))*ROW('CASE MASTER'!$T$2:$T$495))-(ROW('CASE MASTER'!#REF!)-1)))+1)+(9-INDEX('CASE MASTER'!$V$2:$V$495,(SUMPRODUCT((('CASE MASTER'!$T$2:$T$495=1)*('CASE MASTER'!$U$2:$U$495&lt;=4)*('CASE MASTER'!$W$2:$W$495&gt;=4)*('CASE MASTER'!$V$2:$V$495&lt;=9)*('CASE MASTER'!$X$2:$X$495&gt;=9))*ROW('CASE MASTER'!$T$2:$T$495))-(ROW('CASE MASTER'!#REF!)-1))))+1))-1)*50+1,50))&amp;"_"&amp;INDEX('CASE MASTER'!$Q$2:$Q$495,(SUMPRODUCT((('CASE MASTER'!$T$2:$T$495=1)*('CASE MASTER'!$U$2:$U$495&lt;=4)*('CASE MASTER'!$W$2:$W$495&gt;=4)*('CASE MASTER'!$V$2:$V$495&lt;=9)*('CASE MASTER'!$X$2:$X$495&gt;=9))*ROW('CASE MASTER'!$T$2:$T$495))-(ROW('CASE MASTER'!#REF!)-1))),IF(SUMPRODUCT((('CASE MASTER'!$T$2:$T$495=1)*('CASE MASTER'!$AA$2:$AA$495&lt;=4)*('CASE MASTER'!$AC$2:$AC$495&gt;=4)*('CASE MASTER'!$AB$2:$AB$495&lt;=9)*('CASE MASTER'!$AD$2:$AD$495&gt;=9))*ROW('CASE MASTER'!$T$2:$T$495))&gt;0,INDEX('CASE MASTER'!$Y$2:$Y$495,(SUMPRODUCT((('CASE MASTER'!$T$2:$T$495=1)*('CASE MASTER'!$AA$2:$AA$495&lt;=4)*('CASE MASTER'!$AC$2:$AC$495&gt;=4)*('CASE MASTER'!$AB$2:$AB$495&lt;=9)*('CASE MASTER'!$AD$2:$AD$495&gt;=9))*ROW('CASE MASTER'!$T$2:$T$495))-(ROW('CASE MASTER'!#REF!)-1)))&amp;TRIM(MID(SUBSTITUTE(SUBSTITUTE(INDEX('CASE MASTER'!$N$2:$N$495,(SUMPRODUCT((('CASE MASTER'!$T$2:$T$495=1)*('CASE MASTER'!$AA$2:$AA$495&lt;=4)*('CASE MASTER'!$AC$2:$AC$495&gt;=4)*('CASE MASTER'!$AB$2:$AB$495&lt;=9)*('CASE MASTER'!$AD$2:$AD$495&gt;=9))*ROW('CASE MASTER'!$T$2:$T$495))-(ROW('CASE MASTER'!#REF!)-1))),":",","),",",REPT(" ",50)),(((INDEX('CASE MASTER'!$Z$2:$Z$495,(SUMPRODUCT((('CASE MASTER'!$T$2:$T$495=1)*('CASE MASTER'!$AA$2:$AA$495&lt;=4)*('CASE MASTER'!$AC$2:$AC$495&gt;=4)*('CASE MASTER'!$AB$2:$AB$495&lt;=9)*('CASE MASTER'!$AD$2:$AD$495&gt;=9))*ROW('CASE MASTER'!$T$2:$T$495))-(ROW('CASE MASTER'!#REF!)-1)))+((4-INDEX('CASE MASTER'!$AA$2:$AA$495,(SUMPRODUCT((('CASE MASTER'!$T$2:$T$495=1)*('CASE MASTER'!$AA$2:$AA$495&lt;=4)*('CASE MASTER'!$AC$2:$AC$495&gt;=4)*('CASE MASTER'!$AB$2:$AB$495&lt;=9)*('CASE MASTER'!$AD$2:$AD$495&gt;=9))*ROW('CASE MASTER'!$T$2:$T$495))-(ROW('CASE MASTER'!#REF!)-1))))*(INDEX('CASE MASTER'!$AD$2:$AD$495,(SUMPRODUCT((('CASE MASTER'!$T$2:$T$495=1)*('CASE MASTER'!$AA$2:$AA$495&lt;=4)*('CASE MASTER'!$AC$2:$AC$495&gt;=4)*('CASE MASTER'!$AB$2:$AB$495&lt;=9)*('CASE MASTER'!$AD$2:$AD$495&gt;=9))*ROW('CASE MASTER'!$T$2:$T$495))-(ROW('CASE MASTER'!#REF!)-1)))-INDEX('CASE MASTER'!$AB$2:$AB$495,(SUMPRODUCT((('CASE MASTER'!$T$2:$T$495=1)*('CASE MASTER'!$AA$2:$AA$495&lt;=4)*('CASE MASTER'!$AC$2:$AC$495&gt;=4)*('CASE MASTER'!$AB$2:$AB$495&lt;=9)*('CASE MASTER'!$AD$2:$AD$495&gt;=9))*ROW('CASE MASTER'!$T$2:$T$495))-(ROW('CASE MASTER'!#REF!)-1)))+1)+(9-INDEX('CASE MASTER'!$AB$2:$AB$495,(SUMPRODUCT((('CASE MASTER'!$T$2:$T$495=1)*('CASE MASTER'!$AA$2:$AA$495&lt;=4)*('CASE MASTER'!$AC$2:$AC$495&gt;=4)*('CASE MASTER'!$AB$2:$AB$495&lt;=9)*('CASE MASTER'!$AD$2:$AD$495&gt;=9))*ROW('CASE MASTER'!$T$2:$T$495))-(ROW('CASE MASTER'!#REF!)-1))))+1)))-1)*50+1,50))&amp;"_"&amp;INDEX('CASE MASTER'!$Q$2:$Q$495,(SUMPRODUCT((('CASE MASTER'!$T$2:$T$495=1)*('CASE MASTER'!$AA$2:$AA$495&lt;=4)*('CASE MASTER'!$AC$2:$AC$495&gt;=4)*('CASE MASTER'!$AB$2:$AB$495&lt;=9)*('CASE MASTER'!$AD$2:$AD$495&gt;=9))*ROW('CASE MASTER'!$T$2:$T$495))-(ROW('CASE MASTER'!#REF!)-1))),"")),"")</f>
        <v/>
      </c>
      <c r="K6" s="10" t="str">
        <f>IFERROR(IF(SUMPRODUCT((('CASE MASTER'!$T$2:$T$495=1)*('CASE MASTER'!$U$2:$U$495&lt;=4)*('CASE MASTER'!$W$2:$W$495&gt;=4)*('CASE MASTER'!$V$2:$V$495&lt;=10)*('CASE MASTER'!$X$2:$X$495&gt;=10))*ROW('CASE MASTER'!$T$2:$T$495))&gt;0,INDEX('CASE MASTER'!$Y$2:$Y$495,(SUMPRODUCT((('CASE MASTER'!$T$2:$T$495=1)*('CASE MASTER'!$U$2:$U$495&lt;=4)*('CASE MASTER'!$W$2:$W$495&gt;=4)*('CASE MASTER'!$V$2:$V$495&lt;=10)*('CASE MASTER'!$X$2:$X$495&gt;=10))*ROW('CASE MASTER'!$T$2:$T$495))-(ROW('CASE MASTER'!#REF!)-1)))&amp;TRIM(MID(SUBSTITUTE(SUBSTITUTE(INDEX('CASE MASTER'!$N$2:$N$495,(SUMPRODUCT((('CASE MASTER'!$T$2:$T$495=1)*('CASE MASTER'!$U$2:$U$495&lt;=4)*('CASE MASTER'!$W$2:$W$495&gt;=4)*('CASE MASTER'!$V$2:$V$495&lt;=10)*('CASE MASTER'!$X$2:$X$495&gt;=10))*ROW('CASE MASTER'!$T$2:$T$495))-(ROW('CASE MASTER'!#REF!)-1))),":",","),",",REPT(" ",50)),((((4-INDEX('CASE MASTER'!$U$2:$U$495,(SUMPRODUCT((('CASE MASTER'!$T$2:$T$495=1)*('CASE MASTER'!$U$2:$U$495&lt;=4)*('CASE MASTER'!$W$2:$W$495&gt;=4)*('CASE MASTER'!$V$2:$V$495&lt;=10)*('CASE MASTER'!$X$2:$X$495&gt;=10))*ROW('CASE MASTER'!$T$2:$T$495))-(ROW('CASE MASTER'!#REF!)-1))))*(INDEX('CASE MASTER'!$X$2:$X$495,(SUMPRODUCT((('CASE MASTER'!$T$2:$T$495=1)*('CASE MASTER'!$U$2:$U$495&lt;=4)*('CASE MASTER'!$W$2:$W$495&gt;=4)*('CASE MASTER'!$V$2:$V$495&lt;=10)*('CASE MASTER'!$X$2:$X$495&gt;=10))*ROW('CASE MASTER'!$T$2:$T$495))-(ROW('CASE MASTER'!#REF!)-1)))-INDEX('CASE MASTER'!$V$2:$V$495,(SUMPRODUCT((('CASE MASTER'!$T$2:$T$495=1)*('CASE MASTER'!$U$2:$U$495&lt;=4)*('CASE MASTER'!$W$2:$W$495&gt;=4)*('CASE MASTER'!$V$2:$V$495&lt;=10)*('CASE MASTER'!$X$2:$X$495&gt;=10))*ROW('CASE MASTER'!$T$2:$T$495))-(ROW('CASE MASTER'!#REF!)-1)))+1)+(10-INDEX('CASE MASTER'!$V$2:$V$495,(SUMPRODUCT((('CASE MASTER'!$T$2:$T$495=1)*('CASE MASTER'!$U$2:$U$495&lt;=4)*('CASE MASTER'!$W$2:$W$495&gt;=4)*('CASE MASTER'!$V$2:$V$495&lt;=10)*('CASE MASTER'!$X$2:$X$495&gt;=10))*ROW('CASE MASTER'!$T$2:$T$495))-(ROW('CASE MASTER'!#REF!)-1))))+1))-1)*50+1,50))&amp;"_"&amp;INDEX('CASE MASTER'!$Q$2:$Q$495,(SUMPRODUCT((('CASE MASTER'!$T$2:$T$495=1)*('CASE MASTER'!$U$2:$U$495&lt;=4)*('CASE MASTER'!$W$2:$W$495&gt;=4)*('CASE MASTER'!$V$2:$V$495&lt;=10)*('CASE MASTER'!$X$2:$X$495&gt;=10))*ROW('CASE MASTER'!$T$2:$T$495))-(ROW('CASE MASTER'!#REF!)-1))),IF(SUMPRODUCT((('CASE MASTER'!$T$2:$T$495=1)*('CASE MASTER'!$AA$2:$AA$495&lt;=4)*('CASE MASTER'!$AC$2:$AC$495&gt;=4)*('CASE MASTER'!$AB$2:$AB$495&lt;=10)*('CASE MASTER'!$AD$2:$AD$495&gt;=10))*ROW('CASE MASTER'!$T$2:$T$495))&gt;0,INDEX('CASE MASTER'!$Y$2:$Y$495,(SUMPRODUCT((('CASE MASTER'!$T$2:$T$495=1)*('CASE MASTER'!$AA$2:$AA$495&lt;=4)*('CASE MASTER'!$AC$2:$AC$495&gt;=4)*('CASE MASTER'!$AB$2:$AB$495&lt;=10)*('CASE MASTER'!$AD$2:$AD$495&gt;=10))*ROW('CASE MASTER'!$T$2:$T$495))-(ROW('CASE MASTER'!#REF!)-1)))&amp;TRIM(MID(SUBSTITUTE(SUBSTITUTE(INDEX('CASE MASTER'!$N$2:$N$495,(SUMPRODUCT((('CASE MASTER'!$T$2:$T$495=1)*('CASE MASTER'!$AA$2:$AA$495&lt;=4)*('CASE MASTER'!$AC$2:$AC$495&gt;=4)*('CASE MASTER'!$AB$2:$AB$495&lt;=10)*('CASE MASTER'!$AD$2:$AD$495&gt;=10))*ROW('CASE MASTER'!$T$2:$T$495))-(ROW('CASE MASTER'!#REF!)-1))),":",","),",",REPT(" ",50)),(((INDEX('CASE MASTER'!$Z$2:$Z$495,(SUMPRODUCT((('CASE MASTER'!$T$2:$T$495=1)*('CASE MASTER'!$AA$2:$AA$495&lt;=4)*('CASE MASTER'!$AC$2:$AC$495&gt;=4)*('CASE MASTER'!$AB$2:$AB$495&lt;=10)*('CASE MASTER'!$AD$2:$AD$495&gt;=10))*ROW('CASE MASTER'!$T$2:$T$495))-(ROW('CASE MASTER'!#REF!)-1)))+((4-INDEX('CASE MASTER'!$AA$2:$AA$495,(SUMPRODUCT((('CASE MASTER'!$T$2:$T$495=1)*('CASE MASTER'!$AA$2:$AA$495&lt;=4)*('CASE MASTER'!$AC$2:$AC$495&gt;=4)*('CASE MASTER'!$AB$2:$AB$495&lt;=10)*('CASE MASTER'!$AD$2:$AD$495&gt;=10))*ROW('CASE MASTER'!$T$2:$T$495))-(ROW('CASE MASTER'!#REF!)-1))))*(INDEX('CASE MASTER'!$AD$2:$AD$495,(SUMPRODUCT((('CASE MASTER'!$T$2:$T$495=1)*('CASE MASTER'!$AA$2:$AA$495&lt;=4)*('CASE MASTER'!$AC$2:$AC$495&gt;=4)*('CASE MASTER'!$AB$2:$AB$495&lt;=10)*('CASE MASTER'!$AD$2:$AD$495&gt;=10))*ROW('CASE MASTER'!$T$2:$T$495))-(ROW('CASE MASTER'!#REF!)-1)))-INDEX('CASE MASTER'!$AB$2:$AB$495,(SUMPRODUCT((('CASE MASTER'!$T$2:$T$495=1)*('CASE MASTER'!$AA$2:$AA$495&lt;=4)*('CASE MASTER'!$AC$2:$AC$495&gt;=4)*('CASE MASTER'!$AB$2:$AB$495&lt;=10)*('CASE MASTER'!$AD$2:$AD$495&gt;=10))*ROW('CASE MASTER'!$T$2:$T$495))-(ROW('CASE MASTER'!#REF!)-1)))+1)+(10-INDEX('CASE MASTER'!$AB$2:$AB$495,(SUMPRODUCT((('CASE MASTER'!$T$2:$T$495=1)*('CASE MASTER'!$AA$2:$AA$495&lt;=4)*('CASE MASTER'!$AC$2:$AC$495&gt;=4)*('CASE MASTER'!$AB$2:$AB$495&lt;=10)*('CASE MASTER'!$AD$2:$AD$495&gt;=10))*ROW('CASE MASTER'!$T$2:$T$495))-(ROW('CASE MASTER'!#REF!)-1))))+1)))-1)*50+1,50))&amp;"_"&amp;INDEX('CASE MASTER'!$Q$2:$Q$495,(SUMPRODUCT((('CASE MASTER'!$T$2:$T$495=1)*('CASE MASTER'!$AA$2:$AA$495&lt;=4)*('CASE MASTER'!$AC$2:$AC$495&gt;=4)*('CASE MASTER'!$AB$2:$AB$495&lt;=10)*('CASE MASTER'!$AD$2:$AD$495&gt;=10))*ROW('CASE MASTER'!$T$2:$T$495))-(ROW('CASE MASTER'!#REF!)-1))),"")),"")</f>
        <v/>
      </c>
    </row>
    <row r="7" spans="1:11" ht="15" customHeight="1" x14ac:dyDescent="0.35">
      <c r="A7" s="8" t="s">
        <v>32</v>
      </c>
      <c r="B7" s="10" t="str">
        <f>IFERROR(IF(SUMPRODUCT((('CASE MASTER'!$T$2:$T$495=1)*('CASE MASTER'!$U$2:$U$495&lt;=5)*('CASE MASTER'!$W$2:$W$495&gt;=5)*('CASE MASTER'!$V$2:$V$495&lt;=1)*('CASE MASTER'!$X$2:$X$495&gt;=1))*ROW('CASE MASTER'!$T$2:$T$495))&gt;0,INDEX('CASE MASTER'!$Y$2:$Y$495,(SUMPRODUCT((('CASE MASTER'!$T$2:$T$495=1)*('CASE MASTER'!$U$2:$U$495&lt;=5)*('CASE MASTER'!$W$2:$W$495&gt;=5)*('CASE MASTER'!$V$2:$V$495&lt;=1)*('CASE MASTER'!$X$2:$X$495&gt;=1))*ROW('CASE MASTER'!$T$2:$T$495))-(ROW('CASE MASTER'!#REF!)-1)))&amp;TRIM(MID(SUBSTITUTE(SUBSTITUTE(INDEX('CASE MASTER'!$N$2:$N$495,(SUMPRODUCT((('CASE MASTER'!$T$2:$T$495=1)*('CASE MASTER'!$U$2:$U$495&lt;=5)*('CASE MASTER'!$W$2:$W$495&gt;=5)*('CASE MASTER'!$V$2:$V$495&lt;=1)*('CASE MASTER'!$X$2:$X$495&gt;=1))*ROW('CASE MASTER'!$T$2:$T$495))-(ROW('CASE MASTER'!#REF!)-1))),":",","),",",REPT(" ",50)),((((5-INDEX('CASE MASTER'!$U$2:$U$495,(SUMPRODUCT((('CASE MASTER'!$T$2:$T$495=1)*('CASE MASTER'!$U$2:$U$495&lt;=5)*('CASE MASTER'!$W$2:$W$495&gt;=5)*('CASE MASTER'!$V$2:$V$495&lt;=1)*('CASE MASTER'!$X$2:$X$495&gt;=1))*ROW('CASE MASTER'!$T$2:$T$495))-(ROW('CASE MASTER'!#REF!)-1))))*(INDEX('CASE MASTER'!$X$2:$X$495,(SUMPRODUCT((('CASE MASTER'!$T$2:$T$495=1)*('CASE MASTER'!$U$2:$U$495&lt;=5)*('CASE MASTER'!$W$2:$W$495&gt;=5)*('CASE MASTER'!$V$2:$V$495&lt;=1)*('CASE MASTER'!$X$2:$X$495&gt;=1))*ROW('CASE MASTER'!$T$2:$T$495))-(ROW('CASE MASTER'!#REF!)-1)))-INDEX('CASE MASTER'!$V$2:$V$495,(SUMPRODUCT((('CASE MASTER'!$T$2:$T$495=1)*('CASE MASTER'!$U$2:$U$495&lt;=5)*('CASE MASTER'!$W$2:$W$495&gt;=5)*('CASE MASTER'!$V$2:$V$495&lt;=1)*('CASE MASTER'!$X$2:$X$495&gt;=1))*ROW('CASE MASTER'!$T$2:$T$495))-(ROW('CASE MASTER'!#REF!)-1)))+1)+(1-INDEX('CASE MASTER'!$V$2:$V$495,(SUMPRODUCT((('CASE MASTER'!$T$2:$T$495=1)*('CASE MASTER'!$U$2:$U$495&lt;=5)*('CASE MASTER'!$W$2:$W$495&gt;=5)*('CASE MASTER'!$V$2:$V$495&lt;=1)*('CASE MASTER'!$X$2:$X$495&gt;=1))*ROW('CASE MASTER'!$T$2:$T$495))-(ROW('CASE MASTER'!#REF!)-1))))+1))-1)*50+1,50))&amp;"_"&amp;INDEX('CASE MASTER'!$Q$2:$Q$495,(SUMPRODUCT((('CASE MASTER'!$T$2:$T$495=1)*('CASE MASTER'!$U$2:$U$495&lt;=5)*('CASE MASTER'!$W$2:$W$495&gt;=5)*('CASE MASTER'!$V$2:$V$495&lt;=1)*('CASE MASTER'!$X$2:$X$495&gt;=1))*ROW('CASE MASTER'!$T$2:$T$495))-(ROW('CASE MASTER'!#REF!)-1))),IF(SUMPRODUCT((('CASE MASTER'!$T$2:$T$495=1)*('CASE MASTER'!$AA$2:$AA$495&lt;=5)*('CASE MASTER'!$AC$2:$AC$495&gt;=5)*('CASE MASTER'!$AB$2:$AB$495&lt;=1)*('CASE MASTER'!$AD$2:$AD$495&gt;=1))*ROW('CASE MASTER'!$T$2:$T$495))&gt;0,INDEX('CASE MASTER'!$Y$2:$Y$495,(SUMPRODUCT((('CASE MASTER'!$T$2:$T$495=1)*('CASE MASTER'!$AA$2:$AA$495&lt;=5)*('CASE MASTER'!$AC$2:$AC$495&gt;=5)*('CASE MASTER'!$AB$2:$AB$495&lt;=1)*('CASE MASTER'!$AD$2:$AD$495&gt;=1))*ROW('CASE MASTER'!$T$2:$T$495))-(ROW('CASE MASTER'!#REF!)-1)))&amp;TRIM(MID(SUBSTITUTE(SUBSTITUTE(INDEX('CASE MASTER'!$N$2:$N$495,(SUMPRODUCT((('CASE MASTER'!$T$2:$T$495=1)*('CASE MASTER'!$AA$2:$AA$495&lt;=5)*('CASE MASTER'!$AC$2:$AC$495&gt;=5)*('CASE MASTER'!$AB$2:$AB$495&lt;=1)*('CASE MASTER'!$AD$2:$AD$495&gt;=1))*ROW('CASE MASTER'!$T$2:$T$495))-(ROW('CASE MASTER'!#REF!)-1))),":",","),",",REPT(" ",50)),(((INDEX('CASE MASTER'!$Z$2:$Z$495,(SUMPRODUCT((('CASE MASTER'!$T$2:$T$495=1)*('CASE MASTER'!$AA$2:$AA$495&lt;=5)*('CASE MASTER'!$AC$2:$AC$495&gt;=5)*('CASE MASTER'!$AB$2:$AB$495&lt;=1)*('CASE MASTER'!$AD$2:$AD$495&gt;=1))*ROW('CASE MASTER'!$T$2:$T$495))-(ROW('CASE MASTER'!#REF!)-1)))+((5-INDEX('CASE MASTER'!$AA$2:$AA$495,(SUMPRODUCT((('CASE MASTER'!$T$2:$T$495=1)*('CASE MASTER'!$AA$2:$AA$495&lt;=5)*('CASE MASTER'!$AC$2:$AC$495&gt;=5)*('CASE MASTER'!$AB$2:$AB$495&lt;=1)*('CASE MASTER'!$AD$2:$AD$495&gt;=1))*ROW('CASE MASTER'!$T$2:$T$495))-(ROW('CASE MASTER'!#REF!)-1))))*(INDEX('CASE MASTER'!$AD$2:$AD$495,(SUMPRODUCT((('CASE MASTER'!$T$2:$T$495=1)*('CASE MASTER'!$AA$2:$AA$495&lt;=5)*('CASE MASTER'!$AC$2:$AC$495&gt;=5)*('CASE MASTER'!$AB$2:$AB$495&lt;=1)*('CASE MASTER'!$AD$2:$AD$495&gt;=1))*ROW('CASE MASTER'!$T$2:$T$495))-(ROW('CASE MASTER'!#REF!)-1)))-INDEX('CASE MASTER'!$AB$2:$AB$495,(SUMPRODUCT((('CASE MASTER'!$T$2:$T$495=1)*('CASE MASTER'!$AA$2:$AA$495&lt;=5)*('CASE MASTER'!$AC$2:$AC$495&gt;=5)*('CASE MASTER'!$AB$2:$AB$495&lt;=1)*('CASE MASTER'!$AD$2:$AD$495&gt;=1))*ROW('CASE MASTER'!$T$2:$T$495))-(ROW('CASE MASTER'!#REF!)-1)))+1)+(1-INDEX('CASE MASTER'!$AB$2:$AB$495,(SUMPRODUCT((('CASE MASTER'!$T$2:$T$495=1)*('CASE MASTER'!$AA$2:$AA$495&lt;=5)*('CASE MASTER'!$AC$2:$AC$495&gt;=5)*('CASE MASTER'!$AB$2:$AB$495&lt;=1)*('CASE MASTER'!$AD$2:$AD$495&gt;=1))*ROW('CASE MASTER'!$T$2:$T$495))-(ROW('CASE MASTER'!#REF!)-1))))+1)))-1)*50+1,50))&amp;"_"&amp;INDEX('CASE MASTER'!$Q$2:$Q$495,(SUMPRODUCT((('CASE MASTER'!$T$2:$T$495=1)*('CASE MASTER'!$AA$2:$AA$495&lt;=5)*('CASE MASTER'!$AC$2:$AC$495&gt;=5)*('CASE MASTER'!$AB$2:$AB$495&lt;=1)*('CASE MASTER'!$AD$2:$AD$495&gt;=1))*ROW('CASE MASTER'!$T$2:$T$495))-(ROW('CASE MASTER'!#REF!)-1))),"")),"")</f>
        <v/>
      </c>
      <c r="C7" s="10" t="str">
        <f>IFERROR(IF(SUMPRODUCT((('CASE MASTER'!$T$2:$T$495=1)*('CASE MASTER'!$U$2:$U$495&lt;=5)*('CASE MASTER'!$W$2:$W$495&gt;=5)*('CASE MASTER'!$V$2:$V$495&lt;=2)*('CASE MASTER'!$X$2:$X$495&gt;=2))*ROW('CASE MASTER'!$T$2:$T$495))&gt;0,INDEX('CASE MASTER'!$Y$2:$Y$495,(SUMPRODUCT((('CASE MASTER'!$T$2:$T$495=1)*('CASE MASTER'!$U$2:$U$495&lt;=5)*('CASE MASTER'!$W$2:$W$495&gt;=5)*('CASE MASTER'!$V$2:$V$495&lt;=2)*('CASE MASTER'!$X$2:$X$495&gt;=2))*ROW('CASE MASTER'!$T$2:$T$495))-(ROW('CASE MASTER'!#REF!)-1)))&amp;TRIM(MID(SUBSTITUTE(SUBSTITUTE(INDEX('CASE MASTER'!$N$2:$N$495,(SUMPRODUCT((('CASE MASTER'!$T$2:$T$495=1)*('CASE MASTER'!$U$2:$U$495&lt;=5)*('CASE MASTER'!$W$2:$W$495&gt;=5)*('CASE MASTER'!$V$2:$V$495&lt;=2)*('CASE MASTER'!$X$2:$X$495&gt;=2))*ROW('CASE MASTER'!$T$2:$T$495))-(ROW('CASE MASTER'!#REF!)-1))),":",","),",",REPT(" ",50)),((((5-INDEX('CASE MASTER'!$U$2:$U$495,(SUMPRODUCT((('CASE MASTER'!$T$2:$T$495=1)*('CASE MASTER'!$U$2:$U$495&lt;=5)*('CASE MASTER'!$W$2:$W$495&gt;=5)*('CASE MASTER'!$V$2:$V$495&lt;=2)*('CASE MASTER'!$X$2:$X$495&gt;=2))*ROW('CASE MASTER'!$T$2:$T$495))-(ROW('CASE MASTER'!#REF!)-1))))*(INDEX('CASE MASTER'!$X$2:$X$495,(SUMPRODUCT((('CASE MASTER'!$T$2:$T$495=1)*('CASE MASTER'!$U$2:$U$495&lt;=5)*('CASE MASTER'!$W$2:$W$495&gt;=5)*('CASE MASTER'!$V$2:$V$495&lt;=2)*('CASE MASTER'!$X$2:$X$495&gt;=2))*ROW('CASE MASTER'!$T$2:$T$495))-(ROW('CASE MASTER'!#REF!)-1)))-INDEX('CASE MASTER'!$V$2:$V$495,(SUMPRODUCT((('CASE MASTER'!$T$2:$T$495=1)*('CASE MASTER'!$U$2:$U$495&lt;=5)*('CASE MASTER'!$W$2:$W$495&gt;=5)*('CASE MASTER'!$V$2:$V$495&lt;=2)*('CASE MASTER'!$X$2:$X$495&gt;=2))*ROW('CASE MASTER'!$T$2:$T$495))-(ROW('CASE MASTER'!#REF!)-1)))+1)+(2-INDEX('CASE MASTER'!$V$2:$V$495,(SUMPRODUCT((('CASE MASTER'!$T$2:$T$495=1)*('CASE MASTER'!$U$2:$U$495&lt;=5)*('CASE MASTER'!$W$2:$W$495&gt;=5)*('CASE MASTER'!$V$2:$V$495&lt;=2)*('CASE MASTER'!$X$2:$X$495&gt;=2))*ROW('CASE MASTER'!$T$2:$T$495))-(ROW('CASE MASTER'!#REF!)-1))))+1))-1)*50+1,50))&amp;"_"&amp;INDEX('CASE MASTER'!$Q$2:$Q$495,(SUMPRODUCT((('CASE MASTER'!$T$2:$T$495=1)*('CASE MASTER'!$U$2:$U$495&lt;=5)*('CASE MASTER'!$W$2:$W$495&gt;=5)*('CASE MASTER'!$V$2:$V$495&lt;=2)*('CASE MASTER'!$X$2:$X$495&gt;=2))*ROW('CASE MASTER'!$T$2:$T$495))-(ROW('CASE MASTER'!#REF!)-1))),IF(SUMPRODUCT((('CASE MASTER'!$T$2:$T$495=1)*('CASE MASTER'!$AA$2:$AA$495&lt;=5)*('CASE MASTER'!$AC$2:$AC$495&gt;=5)*('CASE MASTER'!$AB$2:$AB$495&lt;=2)*('CASE MASTER'!$AD$2:$AD$495&gt;=2))*ROW('CASE MASTER'!$T$2:$T$495))&gt;0,INDEX('CASE MASTER'!$Y$2:$Y$495,(SUMPRODUCT((('CASE MASTER'!$T$2:$T$495=1)*('CASE MASTER'!$AA$2:$AA$495&lt;=5)*('CASE MASTER'!$AC$2:$AC$495&gt;=5)*('CASE MASTER'!$AB$2:$AB$495&lt;=2)*('CASE MASTER'!$AD$2:$AD$495&gt;=2))*ROW('CASE MASTER'!$T$2:$T$495))-(ROW('CASE MASTER'!#REF!)-1)))&amp;TRIM(MID(SUBSTITUTE(SUBSTITUTE(INDEX('CASE MASTER'!$N$2:$N$495,(SUMPRODUCT((('CASE MASTER'!$T$2:$T$495=1)*('CASE MASTER'!$AA$2:$AA$495&lt;=5)*('CASE MASTER'!$AC$2:$AC$495&gt;=5)*('CASE MASTER'!$AB$2:$AB$495&lt;=2)*('CASE MASTER'!$AD$2:$AD$495&gt;=2))*ROW('CASE MASTER'!$T$2:$T$495))-(ROW('CASE MASTER'!#REF!)-1))),":",","),",",REPT(" ",50)),(((INDEX('CASE MASTER'!$Z$2:$Z$495,(SUMPRODUCT((('CASE MASTER'!$T$2:$T$495=1)*('CASE MASTER'!$AA$2:$AA$495&lt;=5)*('CASE MASTER'!$AC$2:$AC$495&gt;=5)*('CASE MASTER'!$AB$2:$AB$495&lt;=2)*('CASE MASTER'!$AD$2:$AD$495&gt;=2))*ROW('CASE MASTER'!$T$2:$T$495))-(ROW('CASE MASTER'!#REF!)-1)))+((5-INDEX('CASE MASTER'!$AA$2:$AA$495,(SUMPRODUCT((('CASE MASTER'!$T$2:$T$495=1)*('CASE MASTER'!$AA$2:$AA$495&lt;=5)*('CASE MASTER'!$AC$2:$AC$495&gt;=5)*('CASE MASTER'!$AB$2:$AB$495&lt;=2)*('CASE MASTER'!$AD$2:$AD$495&gt;=2))*ROW('CASE MASTER'!$T$2:$T$495))-(ROW('CASE MASTER'!#REF!)-1))))*(INDEX('CASE MASTER'!$AD$2:$AD$495,(SUMPRODUCT((('CASE MASTER'!$T$2:$T$495=1)*('CASE MASTER'!$AA$2:$AA$495&lt;=5)*('CASE MASTER'!$AC$2:$AC$495&gt;=5)*('CASE MASTER'!$AB$2:$AB$495&lt;=2)*('CASE MASTER'!$AD$2:$AD$495&gt;=2))*ROW('CASE MASTER'!$T$2:$T$495))-(ROW('CASE MASTER'!#REF!)-1)))-INDEX('CASE MASTER'!$AB$2:$AB$495,(SUMPRODUCT((('CASE MASTER'!$T$2:$T$495=1)*('CASE MASTER'!$AA$2:$AA$495&lt;=5)*('CASE MASTER'!$AC$2:$AC$495&gt;=5)*('CASE MASTER'!$AB$2:$AB$495&lt;=2)*('CASE MASTER'!$AD$2:$AD$495&gt;=2))*ROW('CASE MASTER'!$T$2:$T$495))-(ROW('CASE MASTER'!#REF!)-1)))+1)+(2-INDEX('CASE MASTER'!$AB$2:$AB$495,(SUMPRODUCT((('CASE MASTER'!$T$2:$T$495=1)*('CASE MASTER'!$AA$2:$AA$495&lt;=5)*('CASE MASTER'!$AC$2:$AC$495&gt;=5)*('CASE MASTER'!$AB$2:$AB$495&lt;=2)*('CASE MASTER'!$AD$2:$AD$495&gt;=2))*ROW('CASE MASTER'!$T$2:$T$495))-(ROW('CASE MASTER'!#REF!)-1))))+1)))-1)*50+1,50))&amp;"_"&amp;INDEX('CASE MASTER'!$Q$2:$Q$495,(SUMPRODUCT((('CASE MASTER'!$T$2:$T$495=1)*('CASE MASTER'!$AA$2:$AA$495&lt;=5)*('CASE MASTER'!$AC$2:$AC$495&gt;=5)*('CASE MASTER'!$AB$2:$AB$495&lt;=2)*('CASE MASTER'!$AD$2:$AD$495&gt;=2))*ROW('CASE MASTER'!$T$2:$T$495))-(ROW('CASE MASTER'!#REF!)-1))),"")),"")</f>
        <v/>
      </c>
      <c r="D7" s="10" t="str">
        <f>IFERROR(IF(SUMPRODUCT((('CASE MASTER'!$T$2:$T$495=1)*('CASE MASTER'!$U$2:$U$495&lt;=5)*('CASE MASTER'!$W$2:$W$495&gt;=5)*('CASE MASTER'!$V$2:$V$495&lt;=3)*('CASE MASTER'!$X$2:$X$495&gt;=3))*ROW('CASE MASTER'!$T$2:$T$495))&gt;0,INDEX('CASE MASTER'!$Y$2:$Y$495,(SUMPRODUCT((('CASE MASTER'!$T$2:$T$495=1)*('CASE MASTER'!$U$2:$U$495&lt;=5)*('CASE MASTER'!$W$2:$W$495&gt;=5)*('CASE MASTER'!$V$2:$V$495&lt;=3)*('CASE MASTER'!$X$2:$X$495&gt;=3))*ROW('CASE MASTER'!$T$2:$T$495))-(ROW('CASE MASTER'!#REF!)-1)))&amp;TRIM(MID(SUBSTITUTE(SUBSTITUTE(INDEX('CASE MASTER'!$N$2:$N$495,(SUMPRODUCT((('CASE MASTER'!$T$2:$T$495=1)*('CASE MASTER'!$U$2:$U$495&lt;=5)*('CASE MASTER'!$W$2:$W$495&gt;=5)*('CASE MASTER'!$V$2:$V$495&lt;=3)*('CASE MASTER'!$X$2:$X$495&gt;=3))*ROW('CASE MASTER'!$T$2:$T$495))-(ROW('CASE MASTER'!#REF!)-1))),":",","),",",REPT(" ",50)),((((5-INDEX('CASE MASTER'!$U$2:$U$495,(SUMPRODUCT((('CASE MASTER'!$T$2:$T$495=1)*('CASE MASTER'!$U$2:$U$495&lt;=5)*('CASE MASTER'!$W$2:$W$495&gt;=5)*('CASE MASTER'!$V$2:$V$495&lt;=3)*('CASE MASTER'!$X$2:$X$495&gt;=3))*ROW('CASE MASTER'!$T$2:$T$495))-(ROW('CASE MASTER'!#REF!)-1))))*(INDEX('CASE MASTER'!$X$2:$X$495,(SUMPRODUCT((('CASE MASTER'!$T$2:$T$495=1)*('CASE MASTER'!$U$2:$U$495&lt;=5)*('CASE MASTER'!$W$2:$W$495&gt;=5)*('CASE MASTER'!$V$2:$V$495&lt;=3)*('CASE MASTER'!$X$2:$X$495&gt;=3))*ROW('CASE MASTER'!$T$2:$T$495))-(ROW('CASE MASTER'!#REF!)-1)))-INDEX('CASE MASTER'!$V$2:$V$495,(SUMPRODUCT((('CASE MASTER'!$T$2:$T$495=1)*('CASE MASTER'!$U$2:$U$495&lt;=5)*('CASE MASTER'!$W$2:$W$495&gt;=5)*('CASE MASTER'!$V$2:$V$495&lt;=3)*('CASE MASTER'!$X$2:$X$495&gt;=3))*ROW('CASE MASTER'!$T$2:$T$495))-(ROW('CASE MASTER'!#REF!)-1)))+1)+(3-INDEX('CASE MASTER'!$V$2:$V$495,(SUMPRODUCT((('CASE MASTER'!$T$2:$T$495=1)*('CASE MASTER'!$U$2:$U$495&lt;=5)*('CASE MASTER'!$W$2:$W$495&gt;=5)*('CASE MASTER'!$V$2:$V$495&lt;=3)*('CASE MASTER'!$X$2:$X$495&gt;=3))*ROW('CASE MASTER'!$T$2:$T$495))-(ROW('CASE MASTER'!#REF!)-1))))+1))-1)*50+1,50))&amp;"_"&amp;INDEX('CASE MASTER'!$Q$2:$Q$495,(SUMPRODUCT((('CASE MASTER'!$T$2:$T$495=1)*('CASE MASTER'!$U$2:$U$495&lt;=5)*('CASE MASTER'!$W$2:$W$495&gt;=5)*('CASE MASTER'!$V$2:$V$495&lt;=3)*('CASE MASTER'!$X$2:$X$495&gt;=3))*ROW('CASE MASTER'!$T$2:$T$495))-(ROW('CASE MASTER'!#REF!)-1))),IF(SUMPRODUCT((('CASE MASTER'!$T$2:$T$495=1)*('CASE MASTER'!$AA$2:$AA$495&lt;=5)*('CASE MASTER'!$AC$2:$AC$495&gt;=5)*('CASE MASTER'!$AB$2:$AB$495&lt;=3)*('CASE MASTER'!$AD$2:$AD$495&gt;=3))*ROW('CASE MASTER'!$T$2:$T$495))&gt;0,INDEX('CASE MASTER'!$Y$2:$Y$495,(SUMPRODUCT((('CASE MASTER'!$T$2:$T$495=1)*('CASE MASTER'!$AA$2:$AA$495&lt;=5)*('CASE MASTER'!$AC$2:$AC$495&gt;=5)*('CASE MASTER'!$AB$2:$AB$495&lt;=3)*('CASE MASTER'!$AD$2:$AD$495&gt;=3))*ROW('CASE MASTER'!$T$2:$T$495))-(ROW('CASE MASTER'!#REF!)-1)))&amp;TRIM(MID(SUBSTITUTE(SUBSTITUTE(INDEX('CASE MASTER'!$N$2:$N$495,(SUMPRODUCT((('CASE MASTER'!$T$2:$T$495=1)*('CASE MASTER'!$AA$2:$AA$495&lt;=5)*('CASE MASTER'!$AC$2:$AC$495&gt;=5)*('CASE MASTER'!$AB$2:$AB$495&lt;=3)*('CASE MASTER'!$AD$2:$AD$495&gt;=3))*ROW('CASE MASTER'!$T$2:$T$495))-(ROW('CASE MASTER'!#REF!)-1))),":",","),",",REPT(" ",50)),(((INDEX('CASE MASTER'!$Z$2:$Z$495,(SUMPRODUCT((('CASE MASTER'!$T$2:$T$495=1)*('CASE MASTER'!$AA$2:$AA$495&lt;=5)*('CASE MASTER'!$AC$2:$AC$495&gt;=5)*('CASE MASTER'!$AB$2:$AB$495&lt;=3)*('CASE MASTER'!$AD$2:$AD$495&gt;=3))*ROW('CASE MASTER'!$T$2:$T$495))-(ROW('CASE MASTER'!#REF!)-1)))+((5-INDEX('CASE MASTER'!$AA$2:$AA$495,(SUMPRODUCT((('CASE MASTER'!$T$2:$T$495=1)*('CASE MASTER'!$AA$2:$AA$495&lt;=5)*('CASE MASTER'!$AC$2:$AC$495&gt;=5)*('CASE MASTER'!$AB$2:$AB$495&lt;=3)*('CASE MASTER'!$AD$2:$AD$495&gt;=3))*ROW('CASE MASTER'!$T$2:$T$495))-(ROW('CASE MASTER'!#REF!)-1))))*(INDEX('CASE MASTER'!$AD$2:$AD$495,(SUMPRODUCT((('CASE MASTER'!$T$2:$T$495=1)*('CASE MASTER'!$AA$2:$AA$495&lt;=5)*('CASE MASTER'!$AC$2:$AC$495&gt;=5)*('CASE MASTER'!$AB$2:$AB$495&lt;=3)*('CASE MASTER'!$AD$2:$AD$495&gt;=3))*ROW('CASE MASTER'!$T$2:$T$495))-(ROW('CASE MASTER'!#REF!)-1)))-INDEX('CASE MASTER'!$AB$2:$AB$495,(SUMPRODUCT((('CASE MASTER'!$T$2:$T$495=1)*('CASE MASTER'!$AA$2:$AA$495&lt;=5)*('CASE MASTER'!$AC$2:$AC$495&gt;=5)*('CASE MASTER'!$AB$2:$AB$495&lt;=3)*('CASE MASTER'!$AD$2:$AD$495&gt;=3))*ROW('CASE MASTER'!$T$2:$T$495))-(ROW('CASE MASTER'!#REF!)-1)))+1)+(3-INDEX('CASE MASTER'!$AB$2:$AB$495,(SUMPRODUCT((('CASE MASTER'!$T$2:$T$495=1)*('CASE MASTER'!$AA$2:$AA$495&lt;=5)*('CASE MASTER'!$AC$2:$AC$495&gt;=5)*('CASE MASTER'!$AB$2:$AB$495&lt;=3)*('CASE MASTER'!$AD$2:$AD$495&gt;=3))*ROW('CASE MASTER'!$T$2:$T$495))-(ROW('CASE MASTER'!#REF!)-1))))+1)))-1)*50+1,50))&amp;"_"&amp;INDEX('CASE MASTER'!$Q$2:$Q$495,(SUMPRODUCT((('CASE MASTER'!$T$2:$T$495=1)*('CASE MASTER'!$AA$2:$AA$495&lt;=5)*('CASE MASTER'!$AC$2:$AC$495&gt;=5)*('CASE MASTER'!$AB$2:$AB$495&lt;=3)*('CASE MASTER'!$AD$2:$AD$495&gt;=3))*ROW('CASE MASTER'!$T$2:$T$495))-(ROW('CASE MASTER'!#REF!)-1))),"")),"")</f>
        <v/>
      </c>
      <c r="E7" s="10" t="str">
        <f>IFERROR(IF(SUMPRODUCT((('CASE MASTER'!$T$2:$T$495=1)*('CASE MASTER'!$U$2:$U$495&lt;=5)*('CASE MASTER'!$W$2:$W$495&gt;=5)*('CASE MASTER'!$V$2:$V$495&lt;=4)*('CASE MASTER'!$X$2:$X$495&gt;=4))*ROW('CASE MASTER'!$T$2:$T$495))&gt;0,INDEX('CASE MASTER'!$Y$2:$Y$495,(SUMPRODUCT((('CASE MASTER'!$T$2:$T$495=1)*('CASE MASTER'!$U$2:$U$495&lt;=5)*('CASE MASTER'!$W$2:$W$495&gt;=5)*('CASE MASTER'!$V$2:$V$495&lt;=4)*('CASE MASTER'!$X$2:$X$495&gt;=4))*ROW('CASE MASTER'!$T$2:$T$495))-(ROW('CASE MASTER'!#REF!)-1)))&amp;TRIM(MID(SUBSTITUTE(SUBSTITUTE(INDEX('CASE MASTER'!$N$2:$N$495,(SUMPRODUCT((('CASE MASTER'!$T$2:$T$495=1)*('CASE MASTER'!$U$2:$U$495&lt;=5)*('CASE MASTER'!$W$2:$W$495&gt;=5)*('CASE MASTER'!$V$2:$V$495&lt;=4)*('CASE MASTER'!$X$2:$X$495&gt;=4))*ROW('CASE MASTER'!$T$2:$T$495))-(ROW('CASE MASTER'!#REF!)-1))),":",","),",",REPT(" ",50)),((((5-INDEX('CASE MASTER'!$U$2:$U$495,(SUMPRODUCT((('CASE MASTER'!$T$2:$T$495=1)*('CASE MASTER'!$U$2:$U$495&lt;=5)*('CASE MASTER'!$W$2:$W$495&gt;=5)*('CASE MASTER'!$V$2:$V$495&lt;=4)*('CASE MASTER'!$X$2:$X$495&gt;=4))*ROW('CASE MASTER'!$T$2:$T$495))-(ROW('CASE MASTER'!#REF!)-1))))*(INDEX('CASE MASTER'!$X$2:$X$495,(SUMPRODUCT((('CASE MASTER'!$T$2:$T$495=1)*('CASE MASTER'!$U$2:$U$495&lt;=5)*('CASE MASTER'!$W$2:$W$495&gt;=5)*('CASE MASTER'!$V$2:$V$495&lt;=4)*('CASE MASTER'!$X$2:$X$495&gt;=4))*ROW('CASE MASTER'!$T$2:$T$495))-(ROW('CASE MASTER'!#REF!)-1)))-INDEX('CASE MASTER'!$V$2:$V$495,(SUMPRODUCT((('CASE MASTER'!$T$2:$T$495=1)*('CASE MASTER'!$U$2:$U$495&lt;=5)*('CASE MASTER'!$W$2:$W$495&gt;=5)*('CASE MASTER'!$V$2:$V$495&lt;=4)*('CASE MASTER'!$X$2:$X$495&gt;=4))*ROW('CASE MASTER'!$T$2:$T$495))-(ROW('CASE MASTER'!#REF!)-1)))+1)+(4-INDEX('CASE MASTER'!$V$2:$V$495,(SUMPRODUCT((('CASE MASTER'!$T$2:$T$495=1)*('CASE MASTER'!$U$2:$U$495&lt;=5)*('CASE MASTER'!$W$2:$W$495&gt;=5)*('CASE MASTER'!$V$2:$V$495&lt;=4)*('CASE MASTER'!$X$2:$X$495&gt;=4))*ROW('CASE MASTER'!$T$2:$T$495))-(ROW('CASE MASTER'!#REF!)-1))))+1))-1)*50+1,50))&amp;"_"&amp;INDEX('CASE MASTER'!$Q$2:$Q$495,(SUMPRODUCT((('CASE MASTER'!$T$2:$T$495=1)*('CASE MASTER'!$U$2:$U$495&lt;=5)*('CASE MASTER'!$W$2:$W$495&gt;=5)*('CASE MASTER'!$V$2:$V$495&lt;=4)*('CASE MASTER'!$X$2:$X$495&gt;=4))*ROW('CASE MASTER'!$T$2:$T$495))-(ROW('CASE MASTER'!#REF!)-1))),IF(SUMPRODUCT((('CASE MASTER'!$T$2:$T$495=1)*('CASE MASTER'!$AA$2:$AA$495&lt;=5)*('CASE MASTER'!$AC$2:$AC$495&gt;=5)*('CASE MASTER'!$AB$2:$AB$495&lt;=4)*('CASE MASTER'!$AD$2:$AD$495&gt;=4))*ROW('CASE MASTER'!$T$2:$T$495))&gt;0,INDEX('CASE MASTER'!$Y$2:$Y$495,(SUMPRODUCT((('CASE MASTER'!$T$2:$T$495=1)*('CASE MASTER'!$AA$2:$AA$495&lt;=5)*('CASE MASTER'!$AC$2:$AC$495&gt;=5)*('CASE MASTER'!$AB$2:$AB$495&lt;=4)*('CASE MASTER'!$AD$2:$AD$495&gt;=4))*ROW('CASE MASTER'!$T$2:$T$495))-(ROW('CASE MASTER'!#REF!)-1)))&amp;TRIM(MID(SUBSTITUTE(SUBSTITUTE(INDEX('CASE MASTER'!$N$2:$N$495,(SUMPRODUCT((('CASE MASTER'!$T$2:$T$495=1)*('CASE MASTER'!$AA$2:$AA$495&lt;=5)*('CASE MASTER'!$AC$2:$AC$495&gt;=5)*('CASE MASTER'!$AB$2:$AB$495&lt;=4)*('CASE MASTER'!$AD$2:$AD$495&gt;=4))*ROW('CASE MASTER'!$T$2:$T$495))-(ROW('CASE MASTER'!#REF!)-1))),":",","),",",REPT(" ",50)),(((INDEX('CASE MASTER'!$Z$2:$Z$495,(SUMPRODUCT((('CASE MASTER'!$T$2:$T$495=1)*('CASE MASTER'!$AA$2:$AA$495&lt;=5)*('CASE MASTER'!$AC$2:$AC$495&gt;=5)*('CASE MASTER'!$AB$2:$AB$495&lt;=4)*('CASE MASTER'!$AD$2:$AD$495&gt;=4))*ROW('CASE MASTER'!$T$2:$T$495))-(ROW('CASE MASTER'!#REF!)-1)))+((5-INDEX('CASE MASTER'!$AA$2:$AA$495,(SUMPRODUCT((('CASE MASTER'!$T$2:$T$495=1)*('CASE MASTER'!$AA$2:$AA$495&lt;=5)*('CASE MASTER'!$AC$2:$AC$495&gt;=5)*('CASE MASTER'!$AB$2:$AB$495&lt;=4)*('CASE MASTER'!$AD$2:$AD$495&gt;=4))*ROW('CASE MASTER'!$T$2:$T$495))-(ROW('CASE MASTER'!#REF!)-1))))*(INDEX('CASE MASTER'!$AD$2:$AD$495,(SUMPRODUCT((('CASE MASTER'!$T$2:$T$495=1)*('CASE MASTER'!$AA$2:$AA$495&lt;=5)*('CASE MASTER'!$AC$2:$AC$495&gt;=5)*('CASE MASTER'!$AB$2:$AB$495&lt;=4)*('CASE MASTER'!$AD$2:$AD$495&gt;=4))*ROW('CASE MASTER'!$T$2:$T$495))-(ROW('CASE MASTER'!#REF!)-1)))-INDEX('CASE MASTER'!$AB$2:$AB$495,(SUMPRODUCT((('CASE MASTER'!$T$2:$T$495=1)*('CASE MASTER'!$AA$2:$AA$495&lt;=5)*('CASE MASTER'!$AC$2:$AC$495&gt;=5)*('CASE MASTER'!$AB$2:$AB$495&lt;=4)*('CASE MASTER'!$AD$2:$AD$495&gt;=4))*ROW('CASE MASTER'!$T$2:$T$495))-(ROW('CASE MASTER'!#REF!)-1)))+1)+(4-INDEX('CASE MASTER'!$AB$2:$AB$495,(SUMPRODUCT((('CASE MASTER'!$T$2:$T$495=1)*('CASE MASTER'!$AA$2:$AA$495&lt;=5)*('CASE MASTER'!$AC$2:$AC$495&gt;=5)*('CASE MASTER'!$AB$2:$AB$495&lt;=4)*('CASE MASTER'!$AD$2:$AD$495&gt;=4))*ROW('CASE MASTER'!$T$2:$T$495))-(ROW('CASE MASTER'!#REF!)-1))))+1)))-1)*50+1,50))&amp;"_"&amp;INDEX('CASE MASTER'!$Q$2:$Q$495,(SUMPRODUCT((('CASE MASTER'!$T$2:$T$495=1)*('CASE MASTER'!$AA$2:$AA$495&lt;=5)*('CASE MASTER'!$AC$2:$AC$495&gt;=5)*('CASE MASTER'!$AB$2:$AB$495&lt;=4)*('CASE MASTER'!$AD$2:$AD$495&gt;=4))*ROW('CASE MASTER'!$T$2:$T$495))-(ROW('CASE MASTER'!#REF!)-1))),"")),"")</f>
        <v/>
      </c>
      <c r="F7" s="10" t="str">
        <f>IFERROR(IF(SUMPRODUCT((('CASE MASTER'!$T$2:$T$495=1)*('CASE MASTER'!$U$2:$U$495&lt;=5)*('CASE MASTER'!$W$2:$W$495&gt;=5)*('CASE MASTER'!$V$2:$V$495&lt;=5)*('CASE MASTER'!$X$2:$X$495&gt;=5))*ROW('CASE MASTER'!$T$2:$T$495))&gt;0,INDEX('CASE MASTER'!$Y$2:$Y$495,(SUMPRODUCT((('CASE MASTER'!$T$2:$T$495=1)*('CASE MASTER'!$U$2:$U$495&lt;=5)*('CASE MASTER'!$W$2:$W$495&gt;=5)*('CASE MASTER'!$V$2:$V$495&lt;=5)*('CASE MASTER'!$X$2:$X$495&gt;=5))*ROW('CASE MASTER'!$T$2:$T$495))-(ROW('CASE MASTER'!#REF!)-1)))&amp;TRIM(MID(SUBSTITUTE(SUBSTITUTE(INDEX('CASE MASTER'!$N$2:$N$495,(SUMPRODUCT((('CASE MASTER'!$T$2:$T$495=1)*('CASE MASTER'!$U$2:$U$495&lt;=5)*('CASE MASTER'!$W$2:$W$495&gt;=5)*('CASE MASTER'!$V$2:$V$495&lt;=5)*('CASE MASTER'!$X$2:$X$495&gt;=5))*ROW('CASE MASTER'!$T$2:$T$495))-(ROW('CASE MASTER'!#REF!)-1))),":",","),",",REPT(" ",50)),((((5-INDEX('CASE MASTER'!$U$2:$U$495,(SUMPRODUCT((('CASE MASTER'!$T$2:$T$495=1)*('CASE MASTER'!$U$2:$U$495&lt;=5)*('CASE MASTER'!$W$2:$W$495&gt;=5)*('CASE MASTER'!$V$2:$V$495&lt;=5)*('CASE MASTER'!$X$2:$X$495&gt;=5))*ROW('CASE MASTER'!$T$2:$T$495))-(ROW('CASE MASTER'!#REF!)-1))))*(INDEX('CASE MASTER'!$X$2:$X$495,(SUMPRODUCT((('CASE MASTER'!$T$2:$T$495=1)*('CASE MASTER'!$U$2:$U$495&lt;=5)*('CASE MASTER'!$W$2:$W$495&gt;=5)*('CASE MASTER'!$V$2:$V$495&lt;=5)*('CASE MASTER'!$X$2:$X$495&gt;=5))*ROW('CASE MASTER'!$T$2:$T$495))-(ROW('CASE MASTER'!#REF!)-1)))-INDEX('CASE MASTER'!$V$2:$V$495,(SUMPRODUCT((('CASE MASTER'!$T$2:$T$495=1)*('CASE MASTER'!$U$2:$U$495&lt;=5)*('CASE MASTER'!$W$2:$W$495&gt;=5)*('CASE MASTER'!$V$2:$V$495&lt;=5)*('CASE MASTER'!$X$2:$X$495&gt;=5))*ROW('CASE MASTER'!$T$2:$T$495))-(ROW('CASE MASTER'!#REF!)-1)))+1)+(5-INDEX('CASE MASTER'!$V$2:$V$495,(SUMPRODUCT((('CASE MASTER'!$T$2:$T$495=1)*('CASE MASTER'!$U$2:$U$495&lt;=5)*('CASE MASTER'!$W$2:$W$495&gt;=5)*('CASE MASTER'!$V$2:$V$495&lt;=5)*('CASE MASTER'!$X$2:$X$495&gt;=5))*ROW('CASE MASTER'!$T$2:$T$495))-(ROW('CASE MASTER'!#REF!)-1))))+1))-1)*50+1,50))&amp;"_"&amp;INDEX('CASE MASTER'!$Q$2:$Q$495,(SUMPRODUCT((('CASE MASTER'!$T$2:$T$495=1)*('CASE MASTER'!$U$2:$U$495&lt;=5)*('CASE MASTER'!$W$2:$W$495&gt;=5)*('CASE MASTER'!$V$2:$V$495&lt;=5)*('CASE MASTER'!$X$2:$X$495&gt;=5))*ROW('CASE MASTER'!$T$2:$T$495))-(ROW('CASE MASTER'!#REF!)-1))),IF(SUMPRODUCT((('CASE MASTER'!$T$2:$T$495=1)*('CASE MASTER'!$AA$2:$AA$495&lt;=5)*('CASE MASTER'!$AC$2:$AC$495&gt;=5)*('CASE MASTER'!$AB$2:$AB$495&lt;=5)*('CASE MASTER'!$AD$2:$AD$495&gt;=5))*ROW('CASE MASTER'!$T$2:$T$495))&gt;0,INDEX('CASE MASTER'!$Y$2:$Y$495,(SUMPRODUCT((('CASE MASTER'!$T$2:$T$495=1)*('CASE MASTER'!$AA$2:$AA$495&lt;=5)*('CASE MASTER'!$AC$2:$AC$495&gt;=5)*('CASE MASTER'!$AB$2:$AB$495&lt;=5)*('CASE MASTER'!$AD$2:$AD$495&gt;=5))*ROW('CASE MASTER'!$T$2:$T$495))-(ROW('CASE MASTER'!#REF!)-1)))&amp;TRIM(MID(SUBSTITUTE(SUBSTITUTE(INDEX('CASE MASTER'!$N$2:$N$495,(SUMPRODUCT((('CASE MASTER'!$T$2:$T$495=1)*('CASE MASTER'!$AA$2:$AA$495&lt;=5)*('CASE MASTER'!$AC$2:$AC$495&gt;=5)*('CASE MASTER'!$AB$2:$AB$495&lt;=5)*('CASE MASTER'!$AD$2:$AD$495&gt;=5))*ROW('CASE MASTER'!$T$2:$T$495))-(ROW('CASE MASTER'!#REF!)-1))),":",","),",",REPT(" ",50)),(((INDEX('CASE MASTER'!$Z$2:$Z$495,(SUMPRODUCT((('CASE MASTER'!$T$2:$T$495=1)*('CASE MASTER'!$AA$2:$AA$495&lt;=5)*('CASE MASTER'!$AC$2:$AC$495&gt;=5)*('CASE MASTER'!$AB$2:$AB$495&lt;=5)*('CASE MASTER'!$AD$2:$AD$495&gt;=5))*ROW('CASE MASTER'!$T$2:$T$495))-(ROW('CASE MASTER'!#REF!)-1)))+((5-INDEX('CASE MASTER'!$AA$2:$AA$495,(SUMPRODUCT((('CASE MASTER'!$T$2:$T$495=1)*('CASE MASTER'!$AA$2:$AA$495&lt;=5)*('CASE MASTER'!$AC$2:$AC$495&gt;=5)*('CASE MASTER'!$AB$2:$AB$495&lt;=5)*('CASE MASTER'!$AD$2:$AD$495&gt;=5))*ROW('CASE MASTER'!$T$2:$T$495))-(ROW('CASE MASTER'!#REF!)-1))))*(INDEX('CASE MASTER'!$AD$2:$AD$495,(SUMPRODUCT((('CASE MASTER'!$T$2:$T$495=1)*('CASE MASTER'!$AA$2:$AA$495&lt;=5)*('CASE MASTER'!$AC$2:$AC$495&gt;=5)*('CASE MASTER'!$AB$2:$AB$495&lt;=5)*('CASE MASTER'!$AD$2:$AD$495&gt;=5))*ROW('CASE MASTER'!$T$2:$T$495))-(ROW('CASE MASTER'!#REF!)-1)))-INDEX('CASE MASTER'!$AB$2:$AB$495,(SUMPRODUCT((('CASE MASTER'!$T$2:$T$495=1)*('CASE MASTER'!$AA$2:$AA$495&lt;=5)*('CASE MASTER'!$AC$2:$AC$495&gt;=5)*('CASE MASTER'!$AB$2:$AB$495&lt;=5)*('CASE MASTER'!$AD$2:$AD$495&gt;=5))*ROW('CASE MASTER'!$T$2:$T$495))-(ROW('CASE MASTER'!#REF!)-1)))+1)+(5-INDEX('CASE MASTER'!$AB$2:$AB$495,(SUMPRODUCT((('CASE MASTER'!$T$2:$T$495=1)*('CASE MASTER'!$AA$2:$AA$495&lt;=5)*('CASE MASTER'!$AC$2:$AC$495&gt;=5)*('CASE MASTER'!$AB$2:$AB$495&lt;=5)*('CASE MASTER'!$AD$2:$AD$495&gt;=5))*ROW('CASE MASTER'!$T$2:$T$495))-(ROW('CASE MASTER'!#REF!)-1))))+1)))-1)*50+1,50))&amp;"_"&amp;INDEX('CASE MASTER'!$Q$2:$Q$495,(SUMPRODUCT((('CASE MASTER'!$T$2:$T$495=1)*('CASE MASTER'!$AA$2:$AA$495&lt;=5)*('CASE MASTER'!$AC$2:$AC$495&gt;=5)*('CASE MASTER'!$AB$2:$AB$495&lt;=5)*('CASE MASTER'!$AD$2:$AD$495&gt;=5))*ROW('CASE MASTER'!$T$2:$T$495))-(ROW('CASE MASTER'!#REF!)-1))),"")),"")</f>
        <v/>
      </c>
      <c r="G7" s="10" t="str">
        <f>IFERROR(IF(SUMPRODUCT((('CASE MASTER'!$T$2:$T$495=1)*('CASE MASTER'!$U$2:$U$495&lt;=5)*('CASE MASTER'!$W$2:$W$495&gt;=5)*('CASE MASTER'!$V$2:$V$495&lt;=6)*('CASE MASTER'!$X$2:$X$495&gt;=6))*ROW('CASE MASTER'!$T$2:$T$495))&gt;0,INDEX('CASE MASTER'!$Y$2:$Y$495,(SUMPRODUCT((('CASE MASTER'!$T$2:$T$495=1)*('CASE MASTER'!$U$2:$U$495&lt;=5)*('CASE MASTER'!$W$2:$W$495&gt;=5)*('CASE MASTER'!$V$2:$V$495&lt;=6)*('CASE MASTER'!$X$2:$X$495&gt;=6))*ROW('CASE MASTER'!$T$2:$T$495))-(ROW('CASE MASTER'!#REF!)-1)))&amp;TRIM(MID(SUBSTITUTE(SUBSTITUTE(INDEX('CASE MASTER'!$N$2:$N$495,(SUMPRODUCT((('CASE MASTER'!$T$2:$T$495=1)*('CASE MASTER'!$U$2:$U$495&lt;=5)*('CASE MASTER'!$W$2:$W$495&gt;=5)*('CASE MASTER'!$V$2:$V$495&lt;=6)*('CASE MASTER'!$X$2:$X$495&gt;=6))*ROW('CASE MASTER'!$T$2:$T$495))-(ROW('CASE MASTER'!#REF!)-1))),":",","),",",REPT(" ",50)),((((5-INDEX('CASE MASTER'!$U$2:$U$495,(SUMPRODUCT((('CASE MASTER'!$T$2:$T$495=1)*('CASE MASTER'!$U$2:$U$495&lt;=5)*('CASE MASTER'!$W$2:$W$495&gt;=5)*('CASE MASTER'!$V$2:$V$495&lt;=6)*('CASE MASTER'!$X$2:$X$495&gt;=6))*ROW('CASE MASTER'!$T$2:$T$495))-(ROW('CASE MASTER'!#REF!)-1))))*(INDEX('CASE MASTER'!$X$2:$X$495,(SUMPRODUCT((('CASE MASTER'!$T$2:$T$495=1)*('CASE MASTER'!$U$2:$U$495&lt;=5)*('CASE MASTER'!$W$2:$W$495&gt;=5)*('CASE MASTER'!$V$2:$V$495&lt;=6)*('CASE MASTER'!$X$2:$X$495&gt;=6))*ROW('CASE MASTER'!$T$2:$T$495))-(ROW('CASE MASTER'!#REF!)-1)))-INDEX('CASE MASTER'!$V$2:$V$495,(SUMPRODUCT((('CASE MASTER'!$T$2:$T$495=1)*('CASE MASTER'!$U$2:$U$495&lt;=5)*('CASE MASTER'!$W$2:$W$495&gt;=5)*('CASE MASTER'!$V$2:$V$495&lt;=6)*('CASE MASTER'!$X$2:$X$495&gt;=6))*ROW('CASE MASTER'!$T$2:$T$495))-(ROW('CASE MASTER'!#REF!)-1)))+1)+(6-INDEX('CASE MASTER'!$V$2:$V$495,(SUMPRODUCT((('CASE MASTER'!$T$2:$T$495=1)*('CASE MASTER'!$U$2:$U$495&lt;=5)*('CASE MASTER'!$W$2:$W$495&gt;=5)*('CASE MASTER'!$V$2:$V$495&lt;=6)*('CASE MASTER'!$X$2:$X$495&gt;=6))*ROW('CASE MASTER'!$T$2:$T$495))-(ROW('CASE MASTER'!#REF!)-1))))+1))-1)*50+1,50))&amp;"_"&amp;INDEX('CASE MASTER'!$Q$2:$Q$495,(SUMPRODUCT((('CASE MASTER'!$T$2:$T$495=1)*('CASE MASTER'!$U$2:$U$495&lt;=5)*('CASE MASTER'!$W$2:$W$495&gt;=5)*('CASE MASTER'!$V$2:$V$495&lt;=6)*('CASE MASTER'!$X$2:$X$495&gt;=6))*ROW('CASE MASTER'!$T$2:$T$495))-(ROW('CASE MASTER'!#REF!)-1))),IF(SUMPRODUCT((('CASE MASTER'!$T$2:$T$495=1)*('CASE MASTER'!$AA$2:$AA$495&lt;=5)*('CASE MASTER'!$AC$2:$AC$495&gt;=5)*('CASE MASTER'!$AB$2:$AB$495&lt;=6)*('CASE MASTER'!$AD$2:$AD$495&gt;=6))*ROW('CASE MASTER'!$T$2:$T$495))&gt;0,INDEX('CASE MASTER'!$Y$2:$Y$495,(SUMPRODUCT((('CASE MASTER'!$T$2:$T$495=1)*('CASE MASTER'!$AA$2:$AA$495&lt;=5)*('CASE MASTER'!$AC$2:$AC$495&gt;=5)*('CASE MASTER'!$AB$2:$AB$495&lt;=6)*('CASE MASTER'!$AD$2:$AD$495&gt;=6))*ROW('CASE MASTER'!$T$2:$T$495))-(ROW('CASE MASTER'!#REF!)-1)))&amp;TRIM(MID(SUBSTITUTE(SUBSTITUTE(INDEX('CASE MASTER'!$N$2:$N$495,(SUMPRODUCT((('CASE MASTER'!$T$2:$T$495=1)*('CASE MASTER'!$AA$2:$AA$495&lt;=5)*('CASE MASTER'!$AC$2:$AC$495&gt;=5)*('CASE MASTER'!$AB$2:$AB$495&lt;=6)*('CASE MASTER'!$AD$2:$AD$495&gt;=6))*ROW('CASE MASTER'!$T$2:$T$495))-(ROW('CASE MASTER'!#REF!)-1))),":",","),",",REPT(" ",50)),(((INDEX('CASE MASTER'!$Z$2:$Z$495,(SUMPRODUCT((('CASE MASTER'!$T$2:$T$495=1)*('CASE MASTER'!$AA$2:$AA$495&lt;=5)*('CASE MASTER'!$AC$2:$AC$495&gt;=5)*('CASE MASTER'!$AB$2:$AB$495&lt;=6)*('CASE MASTER'!$AD$2:$AD$495&gt;=6))*ROW('CASE MASTER'!$T$2:$T$495))-(ROW('CASE MASTER'!#REF!)-1)))+((5-INDEX('CASE MASTER'!$AA$2:$AA$495,(SUMPRODUCT((('CASE MASTER'!$T$2:$T$495=1)*('CASE MASTER'!$AA$2:$AA$495&lt;=5)*('CASE MASTER'!$AC$2:$AC$495&gt;=5)*('CASE MASTER'!$AB$2:$AB$495&lt;=6)*('CASE MASTER'!$AD$2:$AD$495&gt;=6))*ROW('CASE MASTER'!$T$2:$T$495))-(ROW('CASE MASTER'!#REF!)-1))))*(INDEX('CASE MASTER'!$AD$2:$AD$495,(SUMPRODUCT((('CASE MASTER'!$T$2:$T$495=1)*('CASE MASTER'!$AA$2:$AA$495&lt;=5)*('CASE MASTER'!$AC$2:$AC$495&gt;=5)*('CASE MASTER'!$AB$2:$AB$495&lt;=6)*('CASE MASTER'!$AD$2:$AD$495&gt;=6))*ROW('CASE MASTER'!$T$2:$T$495))-(ROW('CASE MASTER'!#REF!)-1)))-INDEX('CASE MASTER'!$AB$2:$AB$495,(SUMPRODUCT((('CASE MASTER'!$T$2:$T$495=1)*('CASE MASTER'!$AA$2:$AA$495&lt;=5)*('CASE MASTER'!$AC$2:$AC$495&gt;=5)*('CASE MASTER'!$AB$2:$AB$495&lt;=6)*('CASE MASTER'!$AD$2:$AD$495&gt;=6))*ROW('CASE MASTER'!$T$2:$T$495))-(ROW('CASE MASTER'!#REF!)-1)))+1)+(6-INDEX('CASE MASTER'!$AB$2:$AB$495,(SUMPRODUCT((('CASE MASTER'!$T$2:$T$495=1)*('CASE MASTER'!$AA$2:$AA$495&lt;=5)*('CASE MASTER'!$AC$2:$AC$495&gt;=5)*('CASE MASTER'!$AB$2:$AB$495&lt;=6)*('CASE MASTER'!$AD$2:$AD$495&gt;=6))*ROW('CASE MASTER'!$T$2:$T$495))-(ROW('CASE MASTER'!#REF!)-1))))+1)))-1)*50+1,50))&amp;"_"&amp;INDEX('CASE MASTER'!$Q$2:$Q$495,(SUMPRODUCT((('CASE MASTER'!$T$2:$T$495=1)*('CASE MASTER'!$AA$2:$AA$495&lt;=5)*('CASE MASTER'!$AC$2:$AC$495&gt;=5)*('CASE MASTER'!$AB$2:$AB$495&lt;=6)*('CASE MASTER'!$AD$2:$AD$495&gt;=6))*ROW('CASE MASTER'!$T$2:$T$495))-(ROW('CASE MASTER'!#REF!)-1))),"")),"")</f>
        <v/>
      </c>
      <c r="H7" s="10" t="str">
        <f>IFERROR(IF(SUMPRODUCT((('CASE MASTER'!$T$2:$T$495=1)*('CASE MASTER'!$U$2:$U$495&lt;=5)*('CASE MASTER'!$W$2:$W$495&gt;=5)*('CASE MASTER'!$V$2:$V$495&lt;=7)*('CASE MASTER'!$X$2:$X$495&gt;=7))*ROW('CASE MASTER'!$T$2:$T$495))&gt;0,INDEX('CASE MASTER'!$Y$2:$Y$495,(SUMPRODUCT((('CASE MASTER'!$T$2:$T$495=1)*('CASE MASTER'!$U$2:$U$495&lt;=5)*('CASE MASTER'!$W$2:$W$495&gt;=5)*('CASE MASTER'!$V$2:$V$495&lt;=7)*('CASE MASTER'!$X$2:$X$495&gt;=7))*ROW('CASE MASTER'!$T$2:$T$495))-(ROW('CASE MASTER'!#REF!)-1)))&amp;TRIM(MID(SUBSTITUTE(SUBSTITUTE(INDEX('CASE MASTER'!$N$2:$N$495,(SUMPRODUCT((('CASE MASTER'!$T$2:$T$495=1)*('CASE MASTER'!$U$2:$U$495&lt;=5)*('CASE MASTER'!$W$2:$W$495&gt;=5)*('CASE MASTER'!$V$2:$V$495&lt;=7)*('CASE MASTER'!$X$2:$X$495&gt;=7))*ROW('CASE MASTER'!$T$2:$T$495))-(ROW('CASE MASTER'!#REF!)-1))),":",","),",",REPT(" ",50)),((((5-INDEX('CASE MASTER'!$U$2:$U$495,(SUMPRODUCT((('CASE MASTER'!$T$2:$T$495=1)*('CASE MASTER'!$U$2:$U$495&lt;=5)*('CASE MASTER'!$W$2:$W$495&gt;=5)*('CASE MASTER'!$V$2:$V$495&lt;=7)*('CASE MASTER'!$X$2:$X$495&gt;=7))*ROW('CASE MASTER'!$T$2:$T$495))-(ROW('CASE MASTER'!#REF!)-1))))*(INDEX('CASE MASTER'!$X$2:$X$495,(SUMPRODUCT((('CASE MASTER'!$T$2:$T$495=1)*('CASE MASTER'!$U$2:$U$495&lt;=5)*('CASE MASTER'!$W$2:$W$495&gt;=5)*('CASE MASTER'!$V$2:$V$495&lt;=7)*('CASE MASTER'!$X$2:$X$495&gt;=7))*ROW('CASE MASTER'!$T$2:$T$495))-(ROW('CASE MASTER'!#REF!)-1)))-INDEX('CASE MASTER'!$V$2:$V$495,(SUMPRODUCT((('CASE MASTER'!$T$2:$T$495=1)*('CASE MASTER'!$U$2:$U$495&lt;=5)*('CASE MASTER'!$W$2:$W$495&gt;=5)*('CASE MASTER'!$V$2:$V$495&lt;=7)*('CASE MASTER'!$X$2:$X$495&gt;=7))*ROW('CASE MASTER'!$T$2:$T$495))-(ROW('CASE MASTER'!#REF!)-1)))+1)+(7-INDEX('CASE MASTER'!$V$2:$V$495,(SUMPRODUCT((('CASE MASTER'!$T$2:$T$495=1)*('CASE MASTER'!$U$2:$U$495&lt;=5)*('CASE MASTER'!$W$2:$W$495&gt;=5)*('CASE MASTER'!$V$2:$V$495&lt;=7)*('CASE MASTER'!$X$2:$X$495&gt;=7))*ROW('CASE MASTER'!$T$2:$T$495))-(ROW('CASE MASTER'!#REF!)-1))))+1))-1)*50+1,50))&amp;"_"&amp;INDEX('CASE MASTER'!$Q$2:$Q$495,(SUMPRODUCT((('CASE MASTER'!$T$2:$T$495=1)*('CASE MASTER'!$U$2:$U$495&lt;=5)*('CASE MASTER'!$W$2:$W$495&gt;=5)*('CASE MASTER'!$V$2:$V$495&lt;=7)*('CASE MASTER'!$X$2:$X$495&gt;=7))*ROW('CASE MASTER'!$T$2:$T$495))-(ROW('CASE MASTER'!#REF!)-1))),IF(SUMPRODUCT((('CASE MASTER'!$T$2:$T$495=1)*('CASE MASTER'!$AA$2:$AA$495&lt;=5)*('CASE MASTER'!$AC$2:$AC$495&gt;=5)*('CASE MASTER'!$AB$2:$AB$495&lt;=7)*('CASE MASTER'!$AD$2:$AD$495&gt;=7))*ROW('CASE MASTER'!$T$2:$T$495))&gt;0,INDEX('CASE MASTER'!$Y$2:$Y$495,(SUMPRODUCT((('CASE MASTER'!$T$2:$T$495=1)*('CASE MASTER'!$AA$2:$AA$495&lt;=5)*('CASE MASTER'!$AC$2:$AC$495&gt;=5)*('CASE MASTER'!$AB$2:$AB$495&lt;=7)*('CASE MASTER'!$AD$2:$AD$495&gt;=7))*ROW('CASE MASTER'!$T$2:$T$495))-(ROW('CASE MASTER'!#REF!)-1)))&amp;TRIM(MID(SUBSTITUTE(SUBSTITUTE(INDEX('CASE MASTER'!$N$2:$N$495,(SUMPRODUCT((('CASE MASTER'!$T$2:$T$495=1)*('CASE MASTER'!$AA$2:$AA$495&lt;=5)*('CASE MASTER'!$AC$2:$AC$495&gt;=5)*('CASE MASTER'!$AB$2:$AB$495&lt;=7)*('CASE MASTER'!$AD$2:$AD$495&gt;=7))*ROW('CASE MASTER'!$T$2:$T$495))-(ROW('CASE MASTER'!#REF!)-1))),":",","),",",REPT(" ",50)),(((INDEX('CASE MASTER'!$Z$2:$Z$495,(SUMPRODUCT((('CASE MASTER'!$T$2:$T$495=1)*('CASE MASTER'!$AA$2:$AA$495&lt;=5)*('CASE MASTER'!$AC$2:$AC$495&gt;=5)*('CASE MASTER'!$AB$2:$AB$495&lt;=7)*('CASE MASTER'!$AD$2:$AD$495&gt;=7))*ROW('CASE MASTER'!$T$2:$T$495))-(ROW('CASE MASTER'!#REF!)-1)))+((5-INDEX('CASE MASTER'!$AA$2:$AA$495,(SUMPRODUCT((('CASE MASTER'!$T$2:$T$495=1)*('CASE MASTER'!$AA$2:$AA$495&lt;=5)*('CASE MASTER'!$AC$2:$AC$495&gt;=5)*('CASE MASTER'!$AB$2:$AB$495&lt;=7)*('CASE MASTER'!$AD$2:$AD$495&gt;=7))*ROW('CASE MASTER'!$T$2:$T$495))-(ROW('CASE MASTER'!#REF!)-1))))*(INDEX('CASE MASTER'!$AD$2:$AD$495,(SUMPRODUCT((('CASE MASTER'!$T$2:$T$495=1)*('CASE MASTER'!$AA$2:$AA$495&lt;=5)*('CASE MASTER'!$AC$2:$AC$495&gt;=5)*('CASE MASTER'!$AB$2:$AB$495&lt;=7)*('CASE MASTER'!$AD$2:$AD$495&gt;=7))*ROW('CASE MASTER'!$T$2:$T$495))-(ROW('CASE MASTER'!#REF!)-1)))-INDEX('CASE MASTER'!$AB$2:$AB$495,(SUMPRODUCT((('CASE MASTER'!$T$2:$T$495=1)*('CASE MASTER'!$AA$2:$AA$495&lt;=5)*('CASE MASTER'!$AC$2:$AC$495&gt;=5)*('CASE MASTER'!$AB$2:$AB$495&lt;=7)*('CASE MASTER'!$AD$2:$AD$495&gt;=7))*ROW('CASE MASTER'!$T$2:$T$495))-(ROW('CASE MASTER'!#REF!)-1)))+1)+(7-INDEX('CASE MASTER'!$AB$2:$AB$495,(SUMPRODUCT((('CASE MASTER'!$T$2:$T$495=1)*('CASE MASTER'!$AA$2:$AA$495&lt;=5)*('CASE MASTER'!$AC$2:$AC$495&gt;=5)*('CASE MASTER'!$AB$2:$AB$495&lt;=7)*('CASE MASTER'!$AD$2:$AD$495&gt;=7))*ROW('CASE MASTER'!$T$2:$T$495))-(ROW('CASE MASTER'!#REF!)-1))))+1)))-1)*50+1,50))&amp;"_"&amp;INDEX('CASE MASTER'!$Q$2:$Q$495,(SUMPRODUCT((('CASE MASTER'!$T$2:$T$495=1)*('CASE MASTER'!$AA$2:$AA$495&lt;=5)*('CASE MASTER'!$AC$2:$AC$495&gt;=5)*('CASE MASTER'!$AB$2:$AB$495&lt;=7)*('CASE MASTER'!$AD$2:$AD$495&gt;=7))*ROW('CASE MASTER'!$T$2:$T$495))-(ROW('CASE MASTER'!#REF!)-1))),"")),"")</f>
        <v/>
      </c>
      <c r="I7" s="10" t="str">
        <f>IFERROR(IF(SUMPRODUCT((('CASE MASTER'!$T$2:$T$495=1)*('CASE MASTER'!$U$2:$U$495&lt;=5)*('CASE MASTER'!$W$2:$W$495&gt;=5)*('CASE MASTER'!$V$2:$V$495&lt;=8)*('CASE MASTER'!$X$2:$X$495&gt;=8))*ROW('CASE MASTER'!$T$2:$T$495))&gt;0,INDEX('CASE MASTER'!$Y$2:$Y$495,(SUMPRODUCT((('CASE MASTER'!$T$2:$T$495=1)*('CASE MASTER'!$U$2:$U$495&lt;=5)*('CASE MASTER'!$W$2:$W$495&gt;=5)*('CASE MASTER'!$V$2:$V$495&lt;=8)*('CASE MASTER'!$X$2:$X$495&gt;=8))*ROW('CASE MASTER'!$T$2:$T$495))-(ROW('CASE MASTER'!#REF!)-1)))&amp;TRIM(MID(SUBSTITUTE(SUBSTITUTE(INDEX('CASE MASTER'!$N$2:$N$495,(SUMPRODUCT((('CASE MASTER'!$T$2:$T$495=1)*('CASE MASTER'!$U$2:$U$495&lt;=5)*('CASE MASTER'!$W$2:$W$495&gt;=5)*('CASE MASTER'!$V$2:$V$495&lt;=8)*('CASE MASTER'!$X$2:$X$495&gt;=8))*ROW('CASE MASTER'!$T$2:$T$495))-(ROW('CASE MASTER'!#REF!)-1))),":",","),",",REPT(" ",50)),((((5-INDEX('CASE MASTER'!$U$2:$U$495,(SUMPRODUCT((('CASE MASTER'!$T$2:$T$495=1)*('CASE MASTER'!$U$2:$U$495&lt;=5)*('CASE MASTER'!$W$2:$W$495&gt;=5)*('CASE MASTER'!$V$2:$V$495&lt;=8)*('CASE MASTER'!$X$2:$X$495&gt;=8))*ROW('CASE MASTER'!$T$2:$T$495))-(ROW('CASE MASTER'!#REF!)-1))))*(INDEX('CASE MASTER'!$X$2:$X$495,(SUMPRODUCT((('CASE MASTER'!$T$2:$T$495=1)*('CASE MASTER'!$U$2:$U$495&lt;=5)*('CASE MASTER'!$W$2:$W$495&gt;=5)*('CASE MASTER'!$V$2:$V$495&lt;=8)*('CASE MASTER'!$X$2:$X$495&gt;=8))*ROW('CASE MASTER'!$T$2:$T$495))-(ROW('CASE MASTER'!#REF!)-1)))-INDEX('CASE MASTER'!$V$2:$V$495,(SUMPRODUCT((('CASE MASTER'!$T$2:$T$495=1)*('CASE MASTER'!$U$2:$U$495&lt;=5)*('CASE MASTER'!$W$2:$W$495&gt;=5)*('CASE MASTER'!$V$2:$V$495&lt;=8)*('CASE MASTER'!$X$2:$X$495&gt;=8))*ROW('CASE MASTER'!$T$2:$T$495))-(ROW('CASE MASTER'!#REF!)-1)))+1)+(8-INDEX('CASE MASTER'!$V$2:$V$495,(SUMPRODUCT((('CASE MASTER'!$T$2:$T$495=1)*('CASE MASTER'!$U$2:$U$495&lt;=5)*('CASE MASTER'!$W$2:$W$495&gt;=5)*('CASE MASTER'!$V$2:$V$495&lt;=8)*('CASE MASTER'!$X$2:$X$495&gt;=8))*ROW('CASE MASTER'!$T$2:$T$495))-(ROW('CASE MASTER'!#REF!)-1))))+1))-1)*50+1,50))&amp;"_"&amp;INDEX('CASE MASTER'!$Q$2:$Q$495,(SUMPRODUCT((('CASE MASTER'!$T$2:$T$495=1)*('CASE MASTER'!$U$2:$U$495&lt;=5)*('CASE MASTER'!$W$2:$W$495&gt;=5)*('CASE MASTER'!$V$2:$V$495&lt;=8)*('CASE MASTER'!$X$2:$X$495&gt;=8))*ROW('CASE MASTER'!$T$2:$T$495))-(ROW('CASE MASTER'!#REF!)-1))),IF(SUMPRODUCT((('CASE MASTER'!$T$2:$T$495=1)*('CASE MASTER'!$AA$2:$AA$495&lt;=5)*('CASE MASTER'!$AC$2:$AC$495&gt;=5)*('CASE MASTER'!$AB$2:$AB$495&lt;=8)*('CASE MASTER'!$AD$2:$AD$495&gt;=8))*ROW('CASE MASTER'!$T$2:$T$495))&gt;0,INDEX('CASE MASTER'!$Y$2:$Y$495,(SUMPRODUCT((('CASE MASTER'!$T$2:$T$495=1)*('CASE MASTER'!$AA$2:$AA$495&lt;=5)*('CASE MASTER'!$AC$2:$AC$495&gt;=5)*('CASE MASTER'!$AB$2:$AB$495&lt;=8)*('CASE MASTER'!$AD$2:$AD$495&gt;=8))*ROW('CASE MASTER'!$T$2:$T$495))-(ROW('CASE MASTER'!#REF!)-1)))&amp;TRIM(MID(SUBSTITUTE(SUBSTITUTE(INDEX('CASE MASTER'!$N$2:$N$495,(SUMPRODUCT((('CASE MASTER'!$T$2:$T$495=1)*('CASE MASTER'!$AA$2:$AA$495&lt;=5)*('CASE MASTER'!$AC$2:$AC$495&gt;=5)*('CASE MASTER'!$AB$2:$AB$495&lt;=8)*('CASE MASTER'!$AD$2:$AD$495&gt;=8))*ROW('CASE MASTER'!$T$2:$T$495))-(ROW('CASE MASTER'!#REF!)-1))),":",","),",",REPT(" ",50)),(((INDEX('CASE MASTER'!$Z$2:$Z$495,(SUMPRODUCT((('CASE MASTER'!$T$2:$T$495=1)*('CASE MASTER'!$AA$2:$AA$495&lt;=5)*('CASE MASTER'!$AC$2:$AC$495&gt;=5)*('CASE MASTER'!$AB$2:$AB$495&lt;=8)*('CASE MASTER'!$AD$2:$AD$495&gt;=8))*ROW('CASE MASTER'!$T$2:$T$495))-(ROW('CASE MASTER'!#REF!)-1)))+((5-INDEX('CASE MASTER'!$AA$2:$AA$495,(SUMPRODUCT((('CASE MASTER'!$T$2:$T$495=1)*('CASE MASTER'!$AA$2:$AA$495&lt;=5)*('CASE MASTER'!$AC$2:$AC$495&gt;=5)*('CASE MASTER'!$AB$2:$AB$495&lt;=8)*('CASE MASTER'!$AD$2:$AD$495&gt;=8))*ROW('CASE MASTER'!$T$2:$T$495))-(ROW('CASE MASTER'!#REF!)-1))))*(INDEX('CASE MASTER'!$AD$2:$AD$495,(SUMPRODUCT((('CASE MASTER'!$T$2:$T$495=1)*('CASE MASTER'!$AA$2:$AA$495&lt;=5)*('CASE MASTER'!$AC$2:$AC$495&gt;=5)*('CASE MASTER'!$AB$2:$AB$495&lt;=8)*('CASE MASTER'!$AD$2:$AD$495&gt;=8))*ROW('CASE MASTER'!$T$2:$T$495))-(ROW('CASE MASTER'!#REF!)-1)))-INDEX('CASE MASTER'!$AB$2:$AB$495,(SUMPRODUCT((('CASE MASTER'!$T$2:$T$495=1)*('CASE MASTER'!$AA$2:$AA$495&lt;=5)*('CASE MASTER'!$AC$2:$AC$495&gt;=5)*('CASE MASTER'!$AB$2:$AB$495&lt;=8)*('CASE MASTER'!$AD$2:$AD$495&gt;=8))*ROW('CASE MASTER'!$T$2:$T$495))-(ROW('CASE MASTER'!#REF!)-1)))+1)+(8-INDEX('CASE MASTER'!$AB$2:$AB$495,(SUMPRODUCT((('CASE MASTER'!$T$2:$T$495=1)*('CASE MASTER'!$AA$2:$AA$495&lt;=5)*('CASE MASTER'!$AC$2:$AC$495&gt;=5)*('CASE MASTER'!$AB$2:$AB$495&lt;=8)*('CASE MASTER'!$AD$2:$AD$495&gt;=8))*ROW('CASE MASTER'!$T$2:$T$495))-(ROW('CASE MASTER'!#REF!)-1))))+1)))-1)*50+1,50))&amp;"_"&amp;INDEX('CASE MASTER'!$Q$2:$Q$495,(SUMPRODUCT((('CASE MASTER'!$T$2:$T$495=1)*('CASE MASTER'!$AA$2:$AA$495&lt;=5)*('CASE MASTER'!$AC$2:$AC$495&gt;=5)*('CASE MASTER'!$AB$2:$AB$495&lt;=8)*('CASE MASTER'!$AD$2:$AD$495&gt;=8))*ROW('CASE MASTER'!$T$2:$T$495))-(ROW('CASE MASTER'!#REF!)-1))),"")),"")</f>
        <v/>
      </c>
      <c r="J7" s="10" t="str">
        <f>IFERROR(IF(SUMPRODUCT((('CASE MASTER'!$T$2:$T$495=1)*('CASE MASTER'!$U$2:$U$495&lt;=5)*('CASE MASTER'!$W$2:$W$495&gt;=5)*('CASE MASTER'!$V$2:$V$495&lt;=9)*('CASE MASTER'!$X$2:$X$495&gt;=9))*ROW('CASE MASTER'!$T$2:$T$495))&gt;0,INDEX('CASE MASTER'!$Y$2:$Y$495,(SUMPRODUCT((('CASE MASTER'!$T$2:$T$495=1)*('CASE MASTER'!$U$2:$U$495&lt;=5)*('CASE MASTER'!$W$2:$W$495&gt;=5)*('CASE MASTER'!$V$2:$V$495&lt;=9)*('CASE MASTER'!$X$2:$X$495&gt;=9))*ROW('CASE MASTER'!$T$2:$T$495))-(ROW('CASE MASTER'!#REF!)-1)))&amp;TRIM(MID(SUBSTITUTE(SUBSTITUTE(INDEX('CASE MASTER'!$N$2:$N$495,(SUMPRODUCT((('CASE MASTER'!$T$2:$T$495=1)*('CASE MASTER'!$U$2:$U$495&lt;=5)*('CASE MASTER'!$W$2:$W$495&gt;=5)*('CASE MASTER'!$V$2:$V$495&lt;=9)*('CASE MASTER'!$X$2:$X$495&gt;=9))*ROW('CASE MASTER'!$T$2:$T$495))-(ROW('CASE MASTER'!#REF!)-1))),":",","),",",REPT(" ",50)),((((5-INDEX('CASE MASTER'!$U$2:$U$495,(SUMPRODUCT((('CASE MASTER'!$T$2:$T$495=1)*('CASE MASTER'!$U$2:$U$495&lt;=5)*('CASE MASTER'!$W$2:$W$495&gt;=5)*('CASE MASTER'!$V$2:$V$495&lt;=9)*('CASE MASTER'!$X$2:$X$495&gt;=9))*ROW('CASE MASTER'!$T$2:$T$495))-(ROW('CASE MASTER'!#REF!)-1))))*(INDEX('CASE MASTER'!$X$2:$X$495,(SUMPRODUCT((('CASE MASTER'!$T$2:$T$495=1)*('CASE MASTER'!$U$2:$U$495&lt;=5)*('CASE MASTER'!$W$2:$W$495&gt;=5)*('CASE MASTER'!$V$2:$V$495&lt;=9)*('CASE MASTER'!$X$2:$X$495&gt;=9))*ROW('CASE MASTER'!$T$2:$T$495))-(ROW('CASE MASTER'!#REF!)-1)))-INDEX('CASE MASTER'!$V$2:$V$495,(SUMPRODUCT((('CASE MASTER'!$T$2:$T$495=1)*('CASE MASTER'!$U$2:$U$495&lt;=5)*('CASE MASTER'!$W$2:$W$495&gt;=5)*('CASE MASTER'!$V$2:$V$495&lt;=9)*('CASE MASTER'!$X$2:$X$495&gt;=9))*ROW('CASE MASTER'!$T$2:$T$495))-(ROW('CASE MASTER'!#REF!)-1)))+1)+(9-INDEX('CASE MASTER'!$V$2:$V$495,(SUMPRODUCT((('CASE MASTER'!$T$2:$T$495=1)*('CASE MASTER'!$U$2:$U$495&lt;=5)*('CASE MASTER'!$W$2:$W$495&gt;=5)*('CASE MASTER'!$V$2:$V$495&lt;=9)*('CASE MASTER'!$X$2:$X$495&gt;=9))*ROW('CASE MASTER'!$T$2:$T$495))-(ROW('CASE MASTER'!#REF!)-1))))+1))-1)*50+1,50))&amp;"_"&amp;INDEX('CASE MASTER'!$Q$2:$Q$495,(SUMPRODUCT((('CASE MASTER'!$T$2:$T$495=1)*('CASE MASTER'!$U$2:$U$495&lt;=5)*('CASE MASTER'!$W$2:$W$495&gt;=5)*('CASE MASTER'!$V$2:$V$495&lt;=9)*('CASE MASTER'!$X$2:$X$495&gt;=9))*ROW('CASE MASTER'!$T$2:$T$495))-(ROW('CASE MASTER'!#REF!)-1))),IF(SUMPRODUCT((('CASE MASTER'!$T$2:$T$495=1)*('CASE MASTER'!$AA$2:$AA$495&lt;=5)*('CASE MASTER'!$AC$2:$AC$495&gt;=5)*('CASE MASTER'!$AB$2:$AB$495&lt;=9)*('CASE MASTER'!$AD$2:$AD$495&gt;=9))*ROW('CASE MASTER'!$T$2:$T$495))&gt;0,INDEX('CASE MASTER'!$Y$2:$Y$495,(SUMPRODUCT((('CASE MASTER'!$T$2:$T$495=1)*('CASE MASTER'!$AA$2:$AA$495&lt;=5)*('CASE MASTER'!$AC$2:$AC$495&gt;=5)*('CASE MASTER'!$AB$2:$AB$495&lt;=9)*('CASE MASTER'!$AD$2:$AD$495&gt;=9))*ROW('CASE MASTER'!$T$2:$T$495))-(ROW('CASE MASTER'!#REF!)-1)))&amp;TRIM(MID(SUBSTITUTE(SUBSTITUTE(INDEX('CASE MASTER'!$N$2:$N$495,(SUMPRODUCT((('CASE MASTER'!$T$2:$T$495=1)*('CASE MASTER'!$AA$2:$AA$495&lt;=5)*('CASE MASTER'!$AC$2:$AC$495&gt;=5)*('CASE MASTER'!$AB$2:$AB$495&lt;=9)*('CASE MASTER'!$AD$2:$AD$495&gt;=9))*ROW('CASE MASTER'!$T$2:$T$495))-(ROW('CASE MASTER'!#REF!)-1))),":",","),",",REPT(" ",50)),(((INDEX('CASE MASTER'!$Z$2:$Z$495,(SUMPRODUCT((('CASE MASTER'!$T$2:$T$495=1)*('CASE MASTER'!$AA$2:$AA$495&lt;=5)*('CASE MASTER'!$AC$2:$AC$495&gt;=5)*('CASE MASTER'!$AB$2:$AB$495&lt;=9)*('CASE MASTER'!$AD$2:$AD$495&gt;=9))*ROW('CASE MASTER'!$T$2:$T$495))-(ROW('CASE MASTER'!#REF!)-1)))+((5-INDEX('CASE MASTER'!$AA$2:$AA$495,(SUMPRODUCT((('CASE MASTER'!$T$2:$T$495=1)*('CASE MASTER'!$AA$2:$AA$495&lt;=5)*('CASE MASTER'!$AC$2:$AC$495&gt;=5)*('CASE MASTER'!$AB$2:$AB$495&lt;=9)*('CASE MASTER'!$AD$2:$AD$495&gt;=9))*ROW('CASE MASTER'!$T$2:$T$495))-(ROW('CASE MASTER'!#REF!)-1))))*(INDEX('CASE MASTER'!$AD$2:$AD$495,(SUMPRODUCT((('CASE MASTER'!$T$2:$T$495=1)*('CASE MASTER'!$AA$2:$AA$495&lt;=5)*('CASE MASTER'!$AC$2:$AC$495&gt;=5)*('CASE MASTER'!$AB$2:$AB$495&lt;=9)*('CASE MASTER'!$AD$2:$AD$495&gt;=9))*ROW('CASE MASTER'!$T$2:$T$495))-(ROW('CASE MASTER'!#REF!)-1)))-INDEX('CASE MASTER'!$AB$2:$AB$495,(SUMPRODUCT((('CASE MASTER'!$T$2:$T$495=1)*('CASE MASTER'!$AA$2:$AA$495&lt;=5)*('CASE MASTER'!$AC$2:$AC$495&gt;=5)*('CASE MASTER'!$AB$2:$AB$495&lt;=9)*('CASE MASTER'!$AD$2:$AD$495&gt;=9))*ROW('CASE MASTER'!$T$2:$T$495))-(ROW('CASE MASTER'!#REF!)-1)))+1)+(9-INDEX('CASE MASTER'!$AB$2:$AB$495,(SUMPRODUCT((('CASE MASTER'!$T$2:$T$495=1)*('CASE MASTER'!$AA$2:$AA$495&lt;=5)*('CASE MASTER'!$AC$2:$AC$495&gt;=5)*('CASE MASTER'!$AB$2:$AB$495&lt;=9)*('CASE MASTER'!$AD$2:$AD$495&gt;=9))*ROW('CASE MASTER'!$T$2:$T$495))-(ROW('CASE MASTER'!#REF!)-1))))+1)))-1)*50+1,50))&amp;"_"&amp;INDEX('CASE MASTER'!$Q$2:$Q$495,(SUMPRODUCT((('CASE MASTER'!$T$2:$T$495=1)*('CASE MASTER'!$AA$2:$AA$495&lt;=5)*('CASE MASTER'!$AC$2:$AC$495&gt;=5)*('CASE MASTER'!$AB$2:$AB$495&lt;=9)*('CASE MASTER'!$AD$2:$AD$495&gt;=9))*ROW('CASE MASTER'!$T$2:$T$495))-(ROW('CASE MASTER'!#REF!)-1))),"")),"")</f>
        <v/>
      </c>
      <c r="K7" s="10" t="str">
        <f>IFERROR(IF(SUMPRODUCT((('CASE MASTER'!$T$2:$T$495=1)*('CASE MASTER'!$U$2:$U$495&lt;=5)*('CASE MASTER'!$W$2:$W$495&gt;=5)*('CASE MASTER'!$V$2:$V$495&lt;=10)*('CASE MASTER'!$X$2:$X$495&gt;=10))*ROW('CASE MASTER'!$T$2:$T$495))&gt;0,INDEX('CASE MASTER'!$Y$2:$Y$495,(SUMPRODUCT((('CASE MASTER'!$T$2:$T$495=1)*('CASE MASTER'!$U$2:$U$495&lt;=5)*('CASE MASTER'!$W$2:$W$495&gt;=5)*('CASE MASTER'!$V$2:$V$495&lt;=10)*('CASE MASTER'!$X$2:$X$495&gt;=10))*ROW('CASE MASTER'!$T$2:$T$495))-(ROW('CASE MASTER'!#REF!)-1)))&amp;TRIM(MID(SUBSTITUTE(SUBSTITUTE(INDEX('CASE MASTER'!$N$2:$N$495,(SUMPRODUCT((('CASE MASTER'!$T$2:$T$495=1)*('CASE MASTER'!$U$2:$U$495&lt;=5)*('CASE MASTER'!$W$2:$W$495&gt;=5)*('CASE MASTER'!$V$2:$V$495&lt;=10)*('CASE MASTER'!$X$2:$X$495&gt;=10))*ROW('CASE MASTER'!$T$2:$T$495))-(ROW('CASE MASTER'!#REF!)-1))),":",","),",",REPT(" ",50)),((((5-INDEX('CASE MASTER'!$U$2:$U$495,(SUMPRODUCT((('CASE MASTER'!$T$2:$T$495=1)*('CASE MASTER'!$U$2:$U$495&lt;=5)*('CASE MASTER'!$W$2:$W$495&gt;=5)*('CASE MASTER'!$V$2:$V$495&lt;=10)*('CASE MASTER'!$X$2:$X$495&gt;=10))*ROW('CASE MASTER'!$T$2:$T$495))-(ROW('CASE MASTER'!#REF!)-1))))*(INDEX('CASE MASTER'!$X$2:$X$495,(SUMPRODUCT((('CASE MASTER'!$T$2:$T$495=1)*('CASE MASTER'!$U$2:$U$495&lt;=5)*('CASE MASTER'!$W$2:$W$495&gt;=5)*('CASE MASTER'!$V$2:$V$495&lt;=10)*('CASE MASTER'!$X$2:$X$495&gt;=10))*ROW('CASE MASTER'!$T$2:$T$495))-(ROW('CASE MASTER'!#REF!)-1)))-INDEX('CASE MASTER'!$V$2:$V$495,(SUMPRODUCT((('CASE MASTER'!$T$2:$T$495=1)*('CASE MASTER'!$U$2:$U$495&lt;=5)*('CASE MASTER'!$W$2:$W$495&gt;=5)*('CASE MASTER'!$V$2:$V$495&lt;=10)*('CASE MASTER'!$X$2:$X$495&gt;=10))*ROW('CASE MASTER'!$T$2:$T$495))-(ROW('CASE MASTER'!#REF!)-1)))+1)+(10-INDEX('CASE MASTER'!$V$2:$V$495,(SUMPRODUCT((('CASE MASTER'!$T$2:$T$495=1)*('CASE MASTER'!$U$2:$U$495&lt;=5)*('CASE MASTER'!$W$2:$W$495&gt;=5)*('CASE MASTER'!$V$2:$V$495&lt;=10)*('CASE MASTER'!$X$2:$X$495&gt;=10))*ROW('CASE MASTER'!$T$2:$T$495))-(ROW('CASE MASTER'!#REF!)-1))))+1))-1)*50+1,50))&amp;"_"&amp;INDEX('CASE MASTER'!$Q$2:$Q$495,(SUMPRODUCT((('CASE MASTER'!$T$2:$T$495=1)*('CASE MASTER'!$U$2:$U$495&lt;=5)*('CASE MASTER'!$W$2:$W$495&gt;=5)*('CASE MASTER'!$V$2:$V$495&lt;=10)*('CASE MASTER'!$X$2:$X$495&gt;=10))*ROW('CASE MASTER'!$T$2:$T$495))-(ROW('CASE MASTER'!#REF!)-1))),IF(SUMPRODUCT((('CASE MASTER'!$T$2:$T$495=1)*('CASE MASTER'!$AA$2:$AA$495&lt;=5)*('CASE MASTER'!$AC$2:$AC$495&gt;=5)*('CASE MASTER'!$AB$2:$AB$495&lt;=10)*('CASE MASTER'!$AD$2:$AD$495&gt;=10))*ROW('CASE MASTER'!$T$2:$T$495))&gt;0,INDEX('CASE MASTER'!$Y$2:$Y$495,(SUMPRODUCT((('CASE MASTER'!$T$2:$T$495=1)*('CASE MASTER'!$AA$2:$AA$495&lt;=5)*('CASE MASTER'!$AC$2:$AC$495&gt;=5)*('CASE MASTER'!$AB$2:$AB$495&lt;=10)*('CASE MASTER'!$AD$2:$AD$495&gt;=10))*ROW('CASE MASTER'!$T$2:$T$495))-(ROW('CASE MASTER'!#REF!)-1)))&amp;TRIM(MID(SUBSTITUTE(SUBSTITUTE(INDEX('CASE MASTER'!$N$2:$N$495,(SUMPRODUCT((('CASE MASTER'!$T$2:$T$495=1)*('CASE MASTER'!$AA$2:$AA$495&lt;=5)*('CASE MASTER'!$AC$2:$AC$495&gt;=5)*('CASE MASTER'!$AB$2:$AB$495&lt;=10)*('CASE MASTER'!$AD$2:$AD$495&gt;=10))*ROW('CASE MASTER'!$T$2:$T$495))-(ROW('CASE MASTER'!#REF!)-1))),":",","),",",REPT(" ",50)),(((INDEX('CASE MASTER'!$Z$2:$Z$495,(SUMPRODUCT((('CASE MASTER'!$T$2:$T$495=1)*('CASE MASTER'!$AA$2:$AA$495&lt;=5)*('CASE MASTER'!$AC$2:$AC$495&gt;=5)*('CASE MASTER'!$AB$2:$AB$495&lt;=10)*('CASE MASTER'!$AD$2:$AD$495&gt;=10))*ROW('CASE MASTER'!$T$2:$T$495))-(ROW('CASE MASTER'!#REF!)-1)))+((5-INDEX('CASE MASTER'!$AA$2:$AA$495,(SUMPRODUCT((('CASE MASTER'!$T$2:$T$495=1)*('CASE MASTER'!$AA$2:$AA$495&lt;=5)*('CASE MASTER'!$AC$2:$AC$495&gt;=5)*('CASE MASTER'!$AB$2:$AB$495&lt;=10)*('CASE MASTER'!$AD$2:$AD$495&gt;=10))*ROW('CASE MASTER'!$T$2:$T$495))-(ROW('CASE MASTER'!#REF!)-1))))*(INDEX('CASE MASTER'!$AD$2:$AD$495,(SUMPRODUCT((('CASE MASTER'!$T$2:$T$495=1)*('CASE MASTER'!$AA$2:$AA$495&lt;=5)*('CASE MASTER'!$AC$2:$AC$495&gt;=5)*('CASE MASTER'!$AB$2:$AB$495&lt;=10)*('CASE MASTER'!$AD$2:$AD$495&gt;=10))*ROW('CASE MASTER'!$T$2:$T$495))-(ROW('CASE MASTER'!#REF!)-1)))-INDEX('CASE MASTER'!$AB$2:$AB$495,(SUMPRODUCT((('CASE MASTER'!$T$2:$T$495=1)*('CASE MASTER'!$AA$2:$AA$495&lt;=5)*('CASE MASTER'!$AC$2:$AC$495&gt;=5)*('CASE MASTER'!$AB$2:$AB$495&lt;=10)*('CASE MASTER'!$AD$2:$AD$495&gt;=10))*ROW('CASE MASTER'!$T$2:$T$495))-(ROW('CASE MASTER'!#REF!)-1)))+1)+(10-INDEX('CASE MASTER'!$AB$2:$AB$495,(SUMPRODUCT((('CASE MASTER'!$T$2:$T$495=1)*('CASE MASTER'!$AA$2:$AA$495&lt;=5)*('CASE MASTER'!$AC$2:$AC$495&gt;=5)*('CASE MASTER'!$AB$2:$AB$495&lt;=10)*('CASE MASTER'!$AD$2:$AD$495&gt;=10))*ROW('CASE MASTER'!$T$2:$T$495))-(ROW('CASE MASTER'!#REF!)-1))))+1)))-1)*50+1,50))&amp;"_"&amp;INDEX('CASE MASTER'!$Q$2:$Q$495,(SUMPRODUCT((('CASE MASTER'!$T$2:$T$495=1)*('CASE MASTER'!$AA$2:$AA$495&lt;=5)*('CASE MASTER'!$AC$2:$AC$495&gt;=5)*('CASE MASTER'!$AB$2:$AB$495&lt;=10)*('CASE MASTER'!$AD$2:$AD$495&gt;=10))*ROW('CASE MASTER'!$T$2:$T$495))-(ROW('CASE MASTER'!#REF!)-1))),"")),"")</f>
        <v/>
      </c>
    </row>
    <row r="8" spans="1:11" ht="15" customHeight="1" x14ac:dyDescent="0.35">
      <c r="A8" s="8" t="s">
        <v>33</v>
      </c>
      <c r="B8" s="10" t="str" cm="1">
        <f t="array" ref="B8">IFERROR(IF(SUMPRODUCT((('CASE MASTER'!$T$2:$T$495=1)*('CASE MASTER'!$U$2:$U$495&lt;=6)*('CASE MASTER'!$W$2:$W$495&gt;=6)*('CASE MASTER'!$V$2:$V$495&lt;=1)*('CASE MASTER'!$X$2:$X$495&gt;=1))*ROW('CASE MASTER'!$T$2:$T$495))&gt;0,_xlfn.SINGLE(INDEX('CASE MASTER'!$Y$2:$Y$495,(SUMPRODUCT((('CASE MASTER'!$T$2:$T$495=1)*('CASE MASTER'!$U$2:$U$495&lt;=6)*('CASE MASTER'!$W$2:$W$495&gt;=6)*('CASE MASTER'!$V$2:$V$495&lt;=1)*('CASE MASTER'!$X$2:$X$495&gt;=1))*ROW('CASE MASTER'!$T$2:$T$495))-(ROW('CASE MASTER'!#REF!)-1))))&amp;TRIM(MID(SUBSTITUTE(SUBSTITUTE(_xlfn.SINGLE(INDEX('CASE MASTER'!$N$2:$N$495,(SUMPRODUCT((('CASE MASTER'!$T$2:$T$495=1)*('CASE MASTER'!$U$2:$U$495&lt;=6)*('CASE MASTER'!$W$2:$W$495&gt;=6)*('CASE MASTER'!$V$2:$V$495&lt;=1)*('CASE MASTER'!$X$2:$X$495&gt;=1))*ROW('CASE MASTER'!$T$2:$T$495))-(ROW('CASE MASTER'!#REF!)-1)))),":",","),",",REPT(" ",50)),((((6-_xlfn.SINGLE(INDEX('CASE MASTER'!$U$2:$U$495,(SUMPRODUCT((('CASE MASTER'!$T$2:$T$495=1)*('CASE MASTER'!$U$2:$U$495&lt;=6)*('CASE MASTER'!$W$2:$W$495&gt;=6)*('CASE MASTER'!$V$2:$V$495&lt;=1)*('CASE MASTER'!$X$2:$X$495&gt;=1))*ROW('CASE MASTER'!$T$2:$T$495))-(ROW('CASE MASTER'!#REF!)-1)))))*(_xlfn.SINGLE(INDEX('CASE MASTER'!$X$2:$X$495,(SUMPRODUCT((('CASE MASTER'!$T$2:$T$495=1)*('CASE MASTER'!$U$2:$U$495&lt;=6)*('CASE MASTER'!$W$2:$W$495&gt;=6)*('CASE MASTER'!$V$2:$V$495&lt;=1)*('CASE MASTER'!$X$2:$X$495&gt;=1))*ROW('CASE MASTER'!$T$2:$T$495))-(ROW('CASE MASTER'!#REF!)-1))))-_xlfn.SINGLE(INDEX('CASE MASTER'!$V$2:$V$495,(SUMPRODUCT((('CASE MASTER'!$T$2:$T$495=1)*('CASE MASTER'!$U$2:$U$495&lt;=6)*('CASE MASTER'!$W$2:$W$495&gt;=6)*('CASE MASTER'!$V$2:$V$495&lt;=1)*('CASE MASTER'!$X$2:$X$495&gt;=1))*ROW('CASE MASTER'!$T$2:$T$495))-(ROW('CASE MASTER'!#REF!)-1))))+1)+(1-_xlfn.SINGLE(INDEX('CASE MASTER'!$V$2:$V$495,(SUMPRODUCT((('CASE MASTER'!$T$2:$T$495=1)*('CASE MASTER'!$U$2:$U$495&lt;=6)*('CASE MASTER'!$W$2:$W$495&gt;=6)*('CASE MASTER'!$V$2:$V$495&lt;=1)*('CASE MASTER'!$X$2:$X$495&gt;=1))*ROW('CASE MASTER'!$T$2:$T$495))-(ROW('CASE MASTER'!#REF!)-1)))))+1))-1)*50+1,50))&amp;"_"&amp;_xlfn.SINGLE(INDEX('CASE MASTER'!$Q$2:$Q$495,(SUMPRODUCT((('CASE MASTER'!$T$2:$T$495=1)*('CASE MASTER'!$U$2:$U$495&lt;=6)*('CASE MASTER'!$W$2:$W$495&gt;=6)*('CASE MASTER'!$V$2:$V$495&lt;=1)*('CASE MASTER'!$X$2:$X$495&gt;=1))*ROW('CASE MASTER'!$T$2:$T$495))-(ROW('CASE MASTER'!#REF!)-1)))),IF(SUMPRODUCT((('CASE MASTER'!$T$2:$T$495=1)*('CASE MASTER'!$AA$2:$AA$495&lt;=6)*('CASE MASTER'!$AC$2:$AC$495&gt;=6)*('CASE MASTER'!$AB$2:$AB$495&lt;=1)*('CASE MASTER'!$AD$2:$AD$495&gt;=1))*ROW('CASE MASTER'!$T$2:$T$495))&gt;0,_xlfn.SINGLE(INDEX('CASE MASTER'!$Y$2:$Y$495,(SUMPRODUCT((('CASE MASTER'!$T$2:$T$495=1)*('CASE MASTER'!$AA$2:$AA$495&lt;=6)*('CASE MASTER'!$AC$2:$AC$495&gt;=6)*('CASE MASTER'!$AB$2:$AB$495&lt;=1)*('CASE MASTER'!$AD$2:$AD$495&gt;=1))*ROW('CASE MASTER'!$T$2:$T$495))-(ROW('CASE MASTER'!#REF!)-1))))&amp;TRIM(MID(SUBSTITUTE(SUBSTITUTE(_xlfn.SINGLE(INDEX('CASE MASTER'!$N$2:$N$495,(SUMPRODUCT((('CASE MASTER'!$T$2:$T$495=1)*('CASE MASTER'!$AA$2:$AA$495&lt;=6)*('CASE MASTER'!$AC$2:$AC$495&gt;=6)*('CASE MASTER'!$AB$2:$AB$495&lt;=1)*('CASE MASTER'!$AD$2:$AD$495&gt;=1))*ROW('CASE MASTER'!$T$2:$T$495))-(ROW('CASE MASTER'!#REF!)-1)))),":",","),",",REPT(" ",50)),(((_xlfn.SINGLE(INDEX('CASE MASTER'!$Z$2:$Z$495,(SUMPRODUCT((('CASE MASTER'!$T$2:$T$495=1)*('CASE MASTER'!$AA$2:$AA$495&lt;=6)*('CASE MASTER'!$AC$2:$AC$495&gt;=6)*('CASE MASTER'!$AB$2:$AB$495&lt;=1)*('CASE MASTER'!$AD$2:$AD$495&gt;=1))*ROW('CASE MASTER'!$T$2:$T$495))-(ROW('CASE MASTER'!#REF!)-1))))+((6-_xlfn.SINGLE(INDEX('CASE MASTER'!$AA$2:$AA$495,(SUMPRODUCT((('CASE MASTER'!$T$2:$T$495=1)*('CASE MASTER'!$AA$2:$AA$495&lt;=6)*('CASE MASTER'!$AC$2:$AC$495&gt;=6)*('CASE MASTER'!$AB$2:$AB$495&lt;=1)*('CASE MASTER'!$AD$2:$AD$495&gt;=1))*ROW('CASE MASTER'!$T$2:$T$495))-(ROW('CASE MASTER'!#REF!)-1)))))*(_xlfn.SINGLE(INDEX('CASE MASTER'!$AD$2:$AD$495,(SUMPRODUCT((('CASE MASTER'!$T$2:$T$495=1)*('CASE MASTER'!$AA$2:$AA$495&lt;=6)*('CASE MASTER'!$AC$2:$AC$495&gt;=6)*('CASE MASTER'!$AB$2:$AB$495&lt;=1)*('CASE MASTER'!$AD$2:$AD$495&gt;=1))*ROW('CASE MASTER'!$T$2:$T$495))-(ROW('CASE MASTER'!#REF!)-1))))-_xlfn.SINGLE(INDEX('CASE MASTER'!$AB$2:$AB$495,(SUMPRODUCT((('CASE MASTER'!$T$2:$T$495=1)*('CASE MASTER'!$AA$2:$AA$495&lt;=6)*('CASE MASTER'!$AC$2:$AC$495&gt;=6)*('CASE MASTER'!$AB$2:$AB$495&lt;=1)*('CASE MASTER'!$AD$2:$AD$495&gt;=1))*ROW('CASE MASTER'!$T$2:$T$495))-(ROW('CASE MASTER'!#REF!)-1))))+1)+(1-_xlfn.SINGLE(INDEX('CASE MASTER'!$AB$2:$AB$495,(SUMPRODUCT((('CASE MASTER'!$T$2:$T$495=1)*('CASE MASTER'!$AA$2:$AA$495&lt;=6)*('CASE MASTER'!$AC$2:$AC$495&gt;=6)*('CASE MASTER'!$AB$2:$AB$495&lt;=1)*('CASE MASTER'!$AD$2:$AD$495&gt;=1))*ROW('CASE MASTER'!$T$2:$T$495))-(ROW('CASE MASTER'!#REF!)-1)))))+1)))-1)*50+1,50))&amp;"_"&amp;_xlfn.SINGLE(INDEX('CASE MASTER'!$Q$2:$Q$495,(SUMPRODUCT((('CASE MASTER'!$T$2:$T$495=1)*('CASE MASTER'!$AA$2:$AA$495&lt;=6)*('CASE MASTER'!$AC$2:$AC$495&gt;=6)*('CASE MASTER'!$AB$2:$AB$495&lt;=1)*('CASE MASTER'!$AD$2:$AD$495&gt;=1))*ROW('CASE MASTER'!$T$2:$T$495))-(ROW('CASE MASTER'!#REF!)-1)))),"")),"")</f>
        <v/>
      </c>
      <c r="C8" s="10" t="str">
        <f>IFERROR(IF(SUMPRODUCT((('CASE MASTER'!$T$2:$T$495=1)*('CASE MASTER'!$U$2:$U$495&lt;=6)*('CASE MASTER'!$W$2:$W$495&gt;=6)*('CASE MASTER'!$V$2:$V$495&lt;=2)*('CASE MASTER'!$X$2:$X$495&gt;=2))*ROW('CASE MASTER'!$T$2:$T$495))&gt;0,INDEX('CASE MASTER'!$Y$2:$Y$495,(SUMPRODUCT((('CASE MASTER'!$T$2:$T$495=1)*('CASE MASTER'!$U$2:$U$495&lt;=6)*('CASE MASTER'!$W$2:$W$495&gt;=6)*('CASE MASTER'!$V$2:$V$495&lt;=2)*('CASE MASTER'!$X$2:$X$495&gt;=2))*ROW('CASE MASTER'!$T$2:$T$495))-(ROW('CASE MASTER'!#REF!)-1)))&amp;TRIM(MID(SUBSTITUTE(SUBSTITUTE(INDEX('CASE MASTER'!$N$2:$N$495,(SUMPRODUCT((('CASE MASTER'!$T$2:$T$495=1)*('CASE MASTER'!$U$2:$U$495&lt;=6)*('CASE MASTER'!$W$2:$W$495&gt;=6)*('CASE MASTER'!$V$2:$V$495&lt;=2)*('CASE MASTER'!$X$2:$X$495&gt;=2))*ROW('CASE MASTER'!$T$2:$T$495))-(ROW('CASE MASTER'!#REF!)-1))),":",","),",",REPT(" ",50)),((((6-INDEX('CASE MASTER'!$U$2:$U$495,(SUMPRODUCT((('CASE MASTER'!$T$2:$T$495=1)*('CASE MASTER'!$U$2:$U$495&lt;=6)*('CASE MASTER'!$W$2:$W$495&gt;=6)*('CASE MASTER'!$V$2:$V$495&lt;=2)*('CASE MASTER'!$X$2:$X$495&gt;=2))*ROW('CASE MASTER'!$T$2:$T$495))-(ROW('CASE MASTER'!#REF!)-1))))*(INDEX('CASE MASTER'!$X$2:$X$495,(SUMPRODUCT((('CASE MASTER'!$T$2:$T$495=1)*('CASE MASTER'!$U$2:$U$495&lt;=6)*('CASE MASTER'!$W$2:$W$495&gt;=6)*('CASE MASTER'!$V$2:$V$495&lt;=2)*('CASE MASTER'!$X$2:$X$495&gt;=2))*ROW('CASE MASTER'!$T$2:$T$495))-(ROW('CASE MASTER'!#REF!)-1)))-INDEX('CASE MASTER'!$V$2:$V$495,(SUMPRODUCT((('CASE MASTER'!$T$2:$T$495=1)*('CASE MASTER'!$U$2:$U$495&lt;=6)*('CASE MASTER'!$W$2:$W$495&gt;=6)*('CASE MASTER'!$V$2:$V$495&lt;=2)*('CASE MASTER'!$X$2:$X$495&gt;=2))*ROW('CASE MASTER'!$T$2:$T$495))-(ROW('CASE MASTER'!#REF!)-1)))+1)+(2-INDEX('CASE MASTER'!$V$2:$V$495,(SUMPRODUCT((('CASE MASTER'!$T$2:$T$495=1)*('CASE MASTER'!$U$2:$U$495&lt;=6)*('CASE MASTER'!$W$2:$W$495&gt;=6)*('CASE MASTER'!$V$2:$V$495&lt;=2)*('CASE MASTER'!$X$2:$X$495&gt;=2))*ROW('CASE MASTER'!$T$2:$T$495))-(ROW('CASE MASTER'!#REF!)-1))))+1))-1)*50+1,50))&amp;"_"&amp;INDEX('CASE MASTER'!$Q$2:$Q$495,(SUMPRODUCT((('CASE MASTER'!$T$2:$T$495=1)*('CASE MASTER'!$U$2:$U$495&lt;=6)*('CASE MASTER'!$W$2:$W$495&gt;=6)*('CASE MASTER'!$V$2:$V$495&lt;=2)*('CASE MASTER'!$X$2:$X$495&gt;=2))*ROW('CASE MASTER'!$T$2:$T$495))-(ROW('CASE MASTER'!#REF!)-1))),IF(SUMPRODUCT((('CASE MASTER'!$T$2:$T$495=1)*('CASE MASTER'!$AA$2:$AA$495&lt;=6)*('CASE MASTER'!$AC$2:$AC$495&gt;=6)*('CASE MASTER'!$AB$2:$AB$495&lt;=2)*('CASE MASTER'!$AD$2:$AD$495&gt;=2))*ROW('CASE MASTER'!$T$2:$T$495))&gt;0,INDEX('CASE MASTER'!$Y$2:$Y$495,(SUMPRODUCT((('CASE MASTER'!$T$2:$T$495=1)*('CASE MASTER'!$AA$2:$AA$495&lt;=6)*('CASE MASTER'!$AC$2:$AC$495&gt;=6)*('CASE MASTER'!$AB$2:$AB$495&lt;=2)*('CASE MASTER'!$AD$2:$AD$495&gt;=2))*ROW('CASE MASTER'!$T$2:$T$495))-(ROW('CASE MASTER'!#REF!)-1)))&amp;TRIM(MID(SUBSTITUTE(SUBSTITUTE(INDEX('CASE MASTER'!$N$2:$N$495,(SUMPRODUCT((('CASE MASTER'!$T$2:$T$495=1)*('CASE MASTER'!$AA$2:$AA$495&lt;=6)*('CASE MASTER'!$AC$2:$AC$495&gt;=6)*('CASE MASTER'!$AB$2:$AB$495&lt;=2)*('CASE MASTER'!$AD$2:$AD$495&gt;=2))*ROW('CASE MASTER'!$T$2:$T$495))-(ROW('CASE MASTER'!#REF!)-1))),":",","),",",REPT(" ",50)),(((INDEX('CASE MASTER'!$Z$2:$Z$495,(SUMPRODUCT((('CASE MASTER'!$T$2:$T$495=1)*('CASE MASTER'!$AA$2:$AA$495&lt;=6)*('CASE MASTER'!$AC$2:$AC$495&gt;=6)*('CASE MASTER'!$AB$2:$AB$495&lt;=2)*('CASE MASTER'!$AD$2:$AD$495&gt;=2))*ROW('CASE MASTER'!$T$2:$T$495))-(ROW('CASE MASTER'!#REF!)-1)))+((6-INDEX('CASE MASTER'!$AA$2:$AA$495,(SUMPRODUCT((('CASE MASTER'!$T$2:$T$495=1)*('CASE MASTER'!$AA$2:$AA$495&lt;=6)*('CASE MASTER'!$AC$2:$AC$495&gt;=6)*('CASE MASTER'!$AB$2:$AB$495&lt;=2)*('CASE MASTER'!$AD$2:$AD$495&gt;=2))*ROW('CASE MASTER'!$T$2:$T$495))-(ROW('CASE MASTER'!#REF!)-1))))*(INDEX('CASE MASTER'!$AD$2:$AD$495,(SUMPRODUCT((('CASE MASTER'!$T$2:$T$495=1)*('CASE MASTER'!$AA$2:$AA$495&lt;=6)*('CASE MASTER'!$AC$2:$AC$495&gt;=6)*('CASE MASTER'!$AB$2:$AB$495&lt;=2)*('CASE MASTER'!$AD$2:$AD$495&gt;=2))*ROW('CASE MASTER'!$T$2:$T$495))-(ROW('CASE MASTER'!#REF!)-1)))-INDEX('CASE MASTER'!$AB$2:$AB$495,(SUMPRODUCT((('CASE MASTER'!$T$2:$T$495=1)*('CASE MASTER'!$AA$2:$AA$495&lt;=6)*('CASE MASTER'!$AC$2:$AC$495&gt;=6)*('CASE MASTER'!$AB$2:$AB$495&lt;=2)*('CASE MASTER'!$AD$2:$AD$495&gt;=2))*ROW('CASE MASTER'!$T$2:$T$495))-(ROW('CASE MASTER'!#REF!)-1)))+1)+(2-INDEX('CASE MASTER'!$AB$2:$AB$495,(SUMPRODUCT((('CASE MASTER'!$T$2:$T$495=1)*('CASE MASTER'!$AA$2:$AA$495&lt;=6)*('CASE MASTER'!$AC$2:$AC$495&gt;=6)*('CASE MASTER'!$AB$2:$AB$495&lt;=2)*('CASE MASTER'!$AD$2:$AD$495&gt;=2))*ROW('CASE MASTER'!$T$2:$T$495))-(ROW('CASE MASTER'!#REF!)-1))))+1)))-1)*50+1,50))&amp;"_"&amp;INDEX('CASE MASTER'!$Q$2:$Q$495,(SUMPRODUCT((('CASE MASTER'!$T$2:$T$495=1)*('CASE MASTER'!$AA$2:$AA$495&lt;=6)*('CASE MASTER'!$AC$2:$AC$495&gt;=6)*('CASE MASTER'!$AB$2:$AB$495&lt;=2)*('CASE MASTER'!$AD$2:$AD$495&gt;=2))*ROW('CASE MASTER'!$T$2:$T$495))-(ROW('CASE MASTER'!#REF!)-1))),"")),"")</f>
        <v/>
      </c>
      <c r="D8" s="10" t="str">
        <f>IFERROR(IF(SUMPRODUCT((('CASE MASTER'!$T$2:$T$495=1)*('CASE MASTER'!$U$2:$U$495&lt;=6)*('CASE MASTER'!$W$2:$W$495&gt;=6)*('CASE MASTER'!$V$2:$V$495&lt;=3)*('CASE MASTER'!$X$2:$X$495&gt;=3))*ROW('CASE MASTER'!$T$2:$T$495))&gt;0,INDEX('CASE MASTER'!$Y$2:$Y$495,(SUMPRODUCT((('CASE MASTER'!$T$2:$T$495=1)*('CASE MASTER'!$U$2:$U$495&lt;=6)*('CASE MASTER'!$W$2:$W$495&gt;=6)*('CASE MASTER'!$V$2:$V$495&lt;=3)*('CASE MASTER'!$X$2:$X$495&gt;=3))*ROW('CASE MASTER'!$T$2:$T$495))-(ROW('CASE MASTER'!#REF!)-1)))&amp;TRIM(MID(SUBSTITUTE(SUBSTITUTE(INDEX('CASE MASTER'!$N$2:$N$495,(SUMPRODUCT((('CASE MASTER'!$T$2:$T$495=1)*('CASE MASTER'!$U$2:$U$495&lt;=6)*('CASE MASTER'!$W$2:$W$495&gt;=6)*('CASE MASTER'!$V$2:$V$495&lt;=3)*('CASE MASTER'!$X$2:$X$495&gt;=3))*ROW('CASE MASTER'!$T$2:$T$495))-(ROW('CASE MASTER'!#REF!)-1))),":",","),",",REPT(" ",50)),((((6-INDEX('CASE MASTER'!$U$2:$U$495,(SUMPRODUCT((('CASE MASTER'!$T$2:$T$495=1)*('CASE MASTER'!$U$2:$U$495&lt;=6)*('CASE MASTER'!$W$2:$W$495&gt;=6)*('CASE MASTER'!$V$2:$V$495&lt;=3)*('CASE MASTER'!$X$2:$X$495&gt;=3))*ROW('CASE MASTER'!$T$2:$T$495))-(ROW('CASE MASTER'!#REF!)-1))))*(INDEX('CASE MASTER'!$X$2:$X$495,(SUMPRODUCT((('CASE MASTER'!$T$2:$T$495=1)*('CASE MASTER'!$U$2:$U$495&lt;=6)*('CASE MASTER'!$W$2:$W$495&gt;=6)*('CASE MASTER'!$V$2:$V$495&lt;=3)*('CASE MASTER'!$X$2:$X$495&gt;=3))*ROW('CASE MASTER'!$T$2:$T$495))-(ROW('CASE MASTER'!#REF!)-1)))-INDEX('CASE MASTER'!$V$2:$V$495,(SUMPRODUCT((('CASE MASTER'!$T$2:$T$495=1)*('CASE MASTER'!$U$2:$U$495&lt;=6)*('CASE MASTER'!$W$2:$W$495&gt;=6)*('CASE MASTER'!$V$2:$V$495&lt;=3)*('CASE MASTER'!$X$2:$X$495&gt;=3))*ROW('CASE MASTER'!$T$2:$T$495))-(ROW('CASE MASTER'!#REF!)-1)))+1)+(3-INDEX('CASE MASTER'!$V$2:$V$495,(SUMPRODUCT((('CASE MASTER'!$T$2:$T$495=1)*('CASE MASTER'!$U$2:$U$495&lt;=6)*('CASE MASTER'!$W$2:$W$495&gt;=6)*('CASE MASTER'!$V$2:$V$495&lt;=3)*('CASE MASTER'!$X$2:$X$495&gt;=3))*ROW('CASE MASTER'!$T$2:$T$495))-(ROW('CASE MASTER'!#REF!)-1))))+1))-1)*50+1,50))&amp;"_"&amp;INDEX('CASE MASTER'!$Q$2:$Q$495,(SUMPRODUCT((('CASE MASTER'!$T$2:$T$495=1)*('CASE MASTER'!$U$2:$U$495&lt;=6)*('CASE MASTER'!$W$2:$W$495&gt;=6)*('CASE MASTER'!$V$2:$V$495&lt;=3)*('CASE MASTER'!$X$2:$X$495&gt;=3))*ROW('CASE MASTER'!$T$2:$T$495))-(ROW('CASE MASTER'!#REF!)-1))),IF(SUMPRODUCT((('CASE MASTER'!$T$2:$T$495=1)*('CASE MASTER'!$AA$2:$AA$495&lt;=6)*('CASE MASTER'!$AC$2:$AC$495&gt;=6)*('CASE MASTER'!$AB$2:$AB$495&lt;=3)*('CASE MASTER'!$AD$2:$AD$495&gt;=3))*ROW('CASE MASTER'!$T$2:$T$495))&gt;0,INDEX('CASE MASTER'!$Y$2:$Y$495,(SUMPRODUCT((('CASE MASTER'!$T$2:$T$495=1)*('CASE MASTER'!$AA$2:$AA$495&lt;=6)*('CASE MASTER'!$AC$2:$AC$495&gt;=6)*('CASE MASTER'!$AB$2:$AB$495&lt;=3)*('CASE MASTER'!$AD$2:$AD$495&gt;=3))*ROW('CASE MASTER'!$T$2:$T$495))-(ROW('CASE MASTER'!#REF!)-1)))&amp;TRIM(MID(SUBSTITUTE(SUBSTITUTE(INDEX('CASE MASTER'!$N$2:$N$495,(SUMPRODUCT((('CASE MASTER'!$T$2:$T$495=1)*('CASE MASTER'!$AA$2:$AA$495&lt;=6)*('CASE MASTER'!$AC$2:$AC$495&gt;=6)*('CASE MASTER'!$AB$2:$AB$495&lt;=3)*('CASE MASTER'!$AD$2:$AD$495&gt;=3))*ROW('CASE MASTER'!$T$2:$T$495))-(ROW('CASE MASTER'!#REF!)-1))),":",","),",",REPT(" ",50)),(((INDEX('CASE MASTER'!$Z$2:$Z$495,(SUMPRODUCT((('CASE MASTER'!$T$2:$T$495=1)*('CASE MASTER'!$AA$2:$AA$495&lt;=6)*('CASE MASTER'!$AC$2:$AC$495&gt;=6)*('CASE MASTER'!$AB$2:$AB$495&lt;=3)*('CASE MASTER'!$AD$2:$AD$495&gt;=3))*ROW('CASE MASTER'!$T$2:$T$495))-(ROW('CASE MASTER'!#REF!)-1)))+((6-INDEX('CASE MASTER'!$AA$2:$AA$495,(SUMPRODUCT((('CASE MASTER'!$T$2:$T$495=1)*('CASE MASTER'!$AA$2:$AA$495&lt;=6)*('CASE MASTER'!$AC$2:$AC$495&gt;=6)*('CASE MASTER'!$AB$2:$AB$495&lt;=3)*('CASE MASTER'!$AD$2:$AD$495&gt;=3))*ROW('CASE MASTER'!$T$2:$T$495))-(ROW('CASE MASTER'!#REF!)-1))))*(INDEX('CASE MASTER'!$AD$2:$AD$495,(SUMPRODUCT((('CASE MASTER'!$T$2:$T$495=1)*('CASE MASTER'!$AA$2:$AA$495&lt;=6)*('CASE MASTER'!$AC$2:$AC$495&gt;=6)*('CASE MASTER'!$AB$2:$AB$495&lt;=3)*('CASE MASTER'!$AD$2:$AD$495&gt;=3))*ROW('CASE MASTER'!$T$2:$T$495))-(ROW('CASE MASTER'!#REF!)-1)))-INDEX('CASE MASTER'!$AB$2:$AB$495,(SUMPRODUCT((('CASE MASTER'!$T$2:$T$495=1)*('CASE MASTER'!$AA$2:$AA$495&lt;=6)*('CASE MASTER'!$AC$2:$AC$495&gt;=6)*('CASE MASTER'!$AB$2:$AB$495&lt;=3)*('CASE MASTER'!$AD$2:$AD$495&gt;=3))*ROW('CASE MASTER'!$T$2:$T$495))-(ROW('CASE MASTER'!#REF!)-1)))+1)+(3-INDEX('CASE MASTER'!$AB$2:$AB$495,(SUMPRODUCT((('CASE MASTER'!$T$2:$T$495=1)*('CASE MASTER'!$AA$2:$AA$495&lt;=6)*('CASE MASTER'!$AC$2:$AC$495&gt;=6)*('CASE MASTER'!$AB$2:$AB$495&lt;=3)*('CASE MASTER'!$AD$2:$AD$495&gt;=3))*ROW('CASE MASTER'!$T$2:$T$495))-(ROW('CASE MASTER'!#REF!)-1))))+1)))-1)*50+1,50))&amp;"_"&amp;INDEX('CASE MASTER'!$Q$2:$Q$495,(SUMPRODUCT((('CASE MASTER'!$T$2:$T$495=1)*('CASE MASTER'!$AA$2:$AA$495&lt;=6)*('CASE MASTER'!$AC$2:$AC$495&gt;=6)*('CASE MASTER'!$AB$2:$AB$495&lt;=3)*('CASE MASTER'!$AD$2:$AD$495&gt;=3))*ROW('CASE MASTER'!$T$2:$T$495))-(ROW('CASE MASTER'!#REF!)-1))),"")),"")</f>
        <v/>
      </c>
      <c r="E8" s="10" t="str">
        <f>IFERROR(IF(SUMPRODUCT((('CASE MASTER'!$T$2:$T$495=1)*('CASE MASTER'!$U$2:$U$495&lt;=6)*('CASE MASTER'!$W$2:$W$495&gt;=6)*('CASE MASTER'!$V$2:$V$495&lt;=4)*('CASE MASTER'!$X$2:$X$495&gt;=4))*ROW('CASE MASTER'!$T$2:$T$495))&gt;0,INDEX('CASE MASTER'!$Y$2:$Y$495,(SUMPRODUCT((('CASE MASTER'!$T$2:$T$495=1)*('CASE MASTER'!$U$2:$U$495&lt;=6)*('CASE MASTER'!$W$2:$W$495&gt;=6)*('CASE MASTER'!$V$2:$V$495&lt;=4)*('CASE MASTER'!$X$2:$X$495&gt;=4))*ROW('CASE MASTER'!$T$2:$T$495))-(ROW('CASE MASTER'!#REF!)-1)))&amp;TRIM(MID(SUBSTITUTE(SUBSTITUTE(INDEX('CASE MASTER'!$N$2:$N$495,(SUMPRODUCT((('CASE MASTER'!$T$2:$T$495=1)*('CASE MASTER'!$U$2:$U$495&lt;=6)*('CASE MASTER'!$W$2:$W$495&gt;=6)*('CASE MASTER'!$V$2:$V$495&lt;=4)*('CASE MASTER'!$X$2:$X$495&gt;=4))*ROW('CASE MASTER'!$T$2:$T$495))-(ROW('CASE MASTER'!#REF!)-1))),":",","),",",REPT(" ",50)),((((6-INDEX('CASE MASTER'!$U$2:$U$495,(SUMPRODUCT((('CASE MASTER'!$T$2:$T$495=1)*('CASE MASTER'!$U$2:$U$495&lt;=6)*('CASE MASTER'!$W$2:$W$495&gt;=6)*('CASE MASTER'!$V$2:$V$495&lt;=4)*('CASE MASTER'!$X$2:$X$495&gt;=4))*ROW('CASE MASTER'!$T$2:$T$495))-(ROW('CASE MASTER'!#REF!)-1))))*(INDEX('CASE MASTER'!$X$2:$X$495,(SUMPRODUCT((('CASE MASTER'!$T$2:$T$495=1)*('CASE MASTER'!$U$2:$U$495&lt;=6)*('CASE MASTER'!$W$2:$W$495&gt;=6)*('CASE MASTER'!$V$2:$V$495&lt;=4)*('CASE MASTER'!$X$2:$X$495&gt;=4))*ROW('CASE MASTER'!$T$2:$T$495))-(ROW('CASE MASTER'!#REF!)-1)))-INDEX('CASE MASTER'!$V$2:$V$495,(SUMPRODUCT((('CASE MASTER'!$T$2:$T$495=1)*('CASE MASTER'!$U$2:$U$495&lt;=6)*('CASE MASTER'!$W$2:$W$495&gt;=6)*('CASE MASTER'!$V$2:$V$495&lt;=4)*('CASE MASTER'!$X$2:$X$495&gt;=4))*ROW('CASE MASTER'!$T$2:$T$495))-(ROW('CASE MASTER'!#REF!)-1)))+1)+(4-INDEX('CASE MASTER'!$V$2:$V$495,(SUMPRODUCT((('CASE MASTER'!$T$2:$T$495=1)*('CASE MASTER'!$U$2:$U$495&lt;=6)*('CASE MASTER'!$W$2:$W$495&gt;=6)*('CASE MASTER'!$V$2:$V$495&lt;=4)*('CASE MASTER'!$X$2:$X$495&gt;=4))*ROW('CASE MASTER'!$T$2:$T$495))-(ROW('CASE MASTER'!#REF!)-1))))+1))-1)*50+1,50))&amp;"_"&amp;INDEX('CASE MASTER'!$Q$2:$Q$495,(SUMPRODUCT((('CASE MASTER'!$T$2:$T$495=1)*('CASE MASTER'!$U$2:$U$495&lt;=6)*('CASE MASTER'!$W$2:$W$495&gt;=6)*('CASE MASTER'!$V$2:$V$495&lt;=4)*('CASE MASTER'!$X$2:$X$495&gt;=4))*ROW('CASE MASTER'!$T$2:$T$495))-(ROW('CASE MASTER'!#REF!)-1))),IF(SUMPRODUCT((('CASE MASTER'!$T$2:$T$495=1)*('CASE MASTER'!$AA$2:$AA$495&lt;=6)*('CASE MASTER'!$AC$2:$AC$495&gt;=6)*('CASE MASTER'!$AB$2:$AB$495&lt;=4)*('CASE MASTER'!$AD$2:$AD$495&gt;=4))*ROW('CASE MASTER'!$T$2:$T$495))&gt;0,INDEX('CASE MASTER'!$Y$2:$Y$495,(SUMPRODUCT((('CASE MASTER'!$T$2:$T$495=1)*('CASE MASTER'!$AA$2:$AA$495&lt;=6)*('CASE MASTER'!$AC$2:$AC$495&gt;=6)*('CASE MASTER'!$AB$2:$AB$495&lt;=4)*('CASE MASTER'!$AD$2:$AD$495&gt;=4))*ROW('CASE MASTER'!$T$2:$T$495))-(ROW('CASE MASTER'!#REF!)-1)))&amp;TRIM(MID(SUBSTITUTE(SUBSTITUTE(INDEX('CASE MASTER'!$N$2:$N$495,(SUMPRODUCT((('CASE MASTER'!$T$2:$T$495=1)*('CASE MASTER'!$AA$2:$AA$495&lt;=6)*('CASE MASTER'!$AC$2:$AC$495&gt;=6)*('CASE MASTER'!$AB$2:$AB$495&lt;=4)*('CASE MASTER'!$AD$2:$AD$495&gt;=4))*ROW('CASE MASTER'!$T$2:$T$495))-(ROW('CASE MASTER'!#REF!)-1))),":",","),",",REPT(" ",50)),(((INDEX('CASE MASTER'!$Z$2:$Z$495,(SUMPRODUCT((('CASE MASTER'!$T$2:$T$495=1)*('CASE MASTER'!$AA$2:$AA$495&lt;=6)*('CASE MASTER'!$AC$2:$AC$495&gt;=6)*('CASE MASTER'!$AB$2:$AB$495&lt;=4)*('CASE MASTER'!$AD$2:$AD$495&gt;=4))*ROW('CASE MASTER'!$T$2:$T$495))-(ROW('CASE MASTER'!#REF!)-1)))+((6-INDEX('CASE MASTER'!$AA$2:$AA$495,(SUMPRODUCT((('CASE MASTER'!$T$2:$T$495=1)*('CASE MASTER'!$AA$2:$AA$495&lt;=6)*('CASE MASTER'!$AC$2:$AC$495&gt;=6)*('CASE MASTER'!$AB$2:$AB$495&lt;=4)*('CASE MASTER'!$AD$2:$AD$495&gt;=4))*ROW('CASE MASTER'!$T$2:$T$495))-(ROW('CASE MASTER'!#REF!)-1))))*(INDEX('CASE MASTER'!$AD$2:$AD$495,(SUMPRODUCT((('CASE MASTER'!$T$2:$T$495=1)*('CASE MASTER'!$AA$2:$AA$495&lt;=6)*('CASE MASTER'!$AC$2:$AC$495&gt;=6)*('CASE MASTER'!$AB$2:$AB$495&lt;=4)*('CASE MASTER'!$AD$2:$AD$495&gt;=4))*ROW('CASE MASTER'!$T$2:$T$495))-(ROW('CASE MASTER'!#REF!)-1)))-INDEX('CASE MASTER'!$AB$2:$AB$495,(SUMPRODUCT((('CASE MASTER'!$T$2:$T$495=1)*('CASE MASTER'!$AA$2:$AA$495&lt;=6)*('CASE MASTER'!$AC$2:$AC$495&gt;=6)*('CASE MASTER'!$AB$2:$AB$495&lt;=4)*('CASE MASTER'!$AD$2:$AD$495&gt;=4))*ROW('CASE MASTER'!$T$2:$T$495))-(ROW('CASE MASTER'!#REF!)-1)))+1)+(4-INDEX('CASE MASTER'!$AB$2:$AB$495,(SUMPRODUCT((('CASE MASTER'!$T$2:$T$495=1)*('CASE MASTER'!$AA$2:$AA$495&lt;=6)*('CASE MASTER'!$AC$2:$AC$495&gt;=6)*('CASE MASTER'!$AB$2:$AB$495&lt;=4)*('CASE MASTER'!$AD$2:$AD$495&gt;=4))*ROW('CASE MASTER'!$T$2:$T$495))-(ROW('CASE MASTER'!#REF!)-1))))+1)))-1)*50+1,50))&amp;"_"&amp;INDEX('CASE MASTER'!$Q$2:$Q$495,(SUMPRODUCT((('CASE MASTER'!$T$2:$T$495=1)*('CASE MASTER'!$AA$2:$AA$495&lt;=6)*('CASE MASTER'!$AC$2:$AC$495&gt;=6)*('CASE MASTER'!$AB$2:$AB$495&lt;=4)*('CASE MASTER'!$AD$2:$AD$495&gt;=4))*ROW('CASE MASTER'!$T$2:$T$495))-(ROW('CASE MASTER'!#REF!)-1))),"")),"")</f>
        <v/>
      </c>
      <c r="F8" s="10" t="str">
        <f>IFERROR(IF(SUMPRODUCT((('CASE MASTER'!$T$2:$T$495=1)*('CASE MASTER'!$U$2:$U$495&lt;=6)*('CASE MASTER'!$W$2:$W$495&gt;=6)*('CASE MASTER'!$V$2:$V$495&lt;=5)*('CASE MASTER'!$X$2:$X$495&gt;=5))*ROW('CASE MASTER'!$T$2:$T$495))&gt;0,INDEX('CASE MASTER'!$Y$2:$Y$495,(SUMPRODUCT((('CASE MASTER'!$T$2:$T$495=1)*('CASE MASTER'!$U$2:$U$495&lt;=6)*('CASE MASTER'!$W$2:$W$495&gt;=6)*('CASE MASTER'!$V$2:$V$495&lt;=5)*('CASE MASTER'!$X$2:$X$495&gt;=5))*ROW('CASE MASTER'!$T$2:$T$495))-(ROW('CASE MASTER'!#REF!)-1)))&amp;TRIM(MID(SUBSTITUTE(SUBSTITUTE(INDEX('CASE MASTER'!$N$2:$N$495,(SUMPRODUCT((('CASE MASTER'!$T$2:$T$495=1)*('CASE MASTER'!$U$2:$U$495&lt;=6)*('CASE MASTER'!$W$2:$W$495&gt;=6)*('CASE MASTER'!$V$2:$V$495&lt;=5)*('CASE MASTER'!$X$2:$X$495&gt;=5))*ROW('CASE MASTER'!$T$2:$T$495))-(ROW('CASE MASTER'!#REF!)-1))),":",","),",",REPT(" ",50)),((((6-INDEX('CASE MASTER'!$U$2:$U$495,(SUMPRODUCT((('CASE MASTER'!$T$2:$T$495=1)*('CASE MASTER'!$U$2:$U$495&lt;=6)*('CASE MASTER'!$W$2:$W$495&gt;=6)*('CASE MASTER'!$V$2:$V$495&lt;=5)*('CASE MASTER'!$X$2:$X$495&gt;=5))*ROW('CASE MASTER'!$T$2:$T$495))-(ROW('CASE MASTER'!#REF!)-1))))*(INDEX('CASE MASTER'!$X$2:$X$495,(SUMPRODUCT((('CASE MASTER'!$T$2:$T$495=1)*('CASE MASTER'!$U$2:$U$495&lt;=6)*('CASE MASTER'!$W$2:$W$495&gt;=6)*('CASE MASTER'!$V$2:$V$495&lt;=5)*('CASE MASTER'!$X$2:$X$495&gt;=5))*ROW('CASE MASTER'!$T$2:$T$495))-(ROW('CASE MASTER'!#REF!)-1)))-INDEX('CASE MASTER'!$V$2:$V$495,(SUMPRODUCT((('CASE MASTER'!$T$2:$T$495=1)*('CASE MASTER'!$U$2:$U$495&lt;=6)*('CASE MASTER'!$W$2:$W$495&gt;=6)*('CASE MASTER'!$V$2:$V$495&lt;=5)*('CASE MASTER'!$X$2:$X$495&gt;=5))*ROW('CASE MASTER'!$T$2:$T$495))-(ROW('CASE MASTER'!#REF!)-1)))+1)+(5-INDEX('CASE MASTER'!$V$2:$V$495,(SUMPRODUCT((('CASE MASTER'!$T$2:$T$495=1)*('CASE MASTER'!$U$2:$U$495&lt;=6)*('CASE MASTER'!$W$2:$W$495&gt;=6)*('CASE MASTER'!$V$2:$V$495&lt;=5)*('CASE MASTER'!$X$2:$X$495&gt;=5))*ROW('CASE MASTER'!$T$2:$T$495))-(ROW('CASE MASTER'!#REF!)-1))))+1))-1)*50+1,50))&amp;"_"&amp;INDEX('CASE MASTER'!$Q$2:$Q$495,(SUMPRODUCT((('CASE MASTER'!$T$2:$T$495=1)*('CASE MASTER'!$U$2:$U$495&lt;=6)*('CASE MASTER'!$W$2:$W$495&gt;=6)*('CASE MASTER'!$V$2:$V$495&lt;=5)*('CASE MASTER'!$X$2:$X$495&gt;=5))*ROW('CASE MASTER'!$T$2:$T$495))-(ROW('CASE MASTER'!#REF!)-1))),IF(SUMPRODUCT((('CASE MASTER'!$T$2:$T$495=1)*('CASE MASTER'!$AA$2:$AA$495&lt;=6)*('CASE MASTER'!$AC$2:$AC$495&gt;=6)*('CASE MASTER'!$AB$2:$AB$495&lt;=5)*('CASE MASTER'!$AD$2:$AD$495&gt;=5))*ROW('CASE MASTER'!$T$2:$T$495))&gt;0,INDEX('CASE MASTER'!$Y$2:$Y$495,(SUMPRODUCT((('CASE MASTER'!$T$2:$T$495=1)*('CASE MASTER'!$AA$2:$AA$495&lt;=6)*('CASE MASTER'!$AC$2:$AC$495&gt;=6)*('CASE MASTER'!$AB$2:$AB$495&lt;=5)*('CASE MASTER'!$AD$2:$AD$495&gt;=5))*ROW('CASE MASTER'!$T$2:$T$495))-(ROW('CASE MASTER'!#REF!)-1)))&amp;TRIM(MID(SUBSTITUTE(SUBSTITUTE(INDEX('CASE MASTER'!$N$2:$N$495,(SUMPRODUCT((('CASE MASTER'!$T$2:$T$495=1)*('CASE MASTER'!$AA$2:$AA$495&lt;=6)*('CASE MASTER'!$AC$2:$AC$495&gt;=6)*('CASE MASTER'!$AB$2:$AB$495&lt;=5)*('CASE MASTER'!$AD$2:$AD$495&gt;=5))*ROW('CASE MASTER'!$T$2:$T$495))-(ROW('CASE MASTER'!#REF!)-1))),":",","),",",REPT(" ",50)),(((INDEX('CASE MASTER'!$Z$2:$Z$495,(SUMPRODUCT((('CASE MASTER'!$T$2:$T$495=1)*('CASE MASTER'!$AA$2:$AA$495&lt;=6)*('CASE MASTER'!$AC$2:$AC$495&gt;=6)*('CASE MASTER'!$AB$2:$AB$495&lt;=5)*('CASE MASTER'!$AD$2:$AD$495&gt;=5))*ROW('CASE MASTER'!$T$2:$T$495))-(ROW('CASE MASTER'!#REF!)-1)))+((6-INDEX('CASE MASTER'!$AA$2:$AA$495,(SUMPRODUCT((('CASE MASTER'!$T$2:$T$495=1)*('CASE MASTER'!$AA$2:$AA$495&lt;=6)*('CASE MASTER'!$AC$2:$AC$495&gt;=6)*('CASE MASTER'!$AB$2:$AB$495&lt;=5)*('CASE MASTER'!$AD$2:$AD$495&gt;=5))*ROW('CASE MASTER'!$T$2:$T$495))-(ROW('CASE MASTER'!#REF!)-1))))*(INDEX('CASE MASTER'!$AD$2:$AD$495,(SUMPRODUCT((('CASE MASTER'!$T$2:$T$495=1)*('CASE MASTER'!$AA$2:$AA$495&lt;=6)*('CASE MASTER'!$AC$2:$AC$495&gt;=6)*('CASE MASTER'!$AB$2:$AB$495&lt;=5)*('CASE MASTER'!$AD$2:$AD$495&gt;=5))*ROW('CASE MASTER'!$T$2:$T$495))-(ROW('CASE MASTER'!#REF!)-1)))-INDEX('CASE MASTER'!$AB$2:$AB$495,(SUMPRODUCT((('CASE MASTER'!$T$2:$T$495=1)*('CASE MASTER'!$AA$2:$AA$495&lt;=6)*('CASE MASTER'!$AC$2:$AC$495&gt;=6)*('CASE MASTER'!$AB$2:$AB$495&lt;=5)*('CASE MASTER'!$AD$2:$AD$495&gt;=5))*ROW('CASE MASTER'!$T$2:$T$495))-(ROW('CASE MASTER'!#REF!)-1)))+1)+(5-INDEX('CASE MASTER'!$AB$2:$AB$495,(SUMPRODUCT((('CASE MASTER'!$T$2:$T$495=1)*('CASE MASTER'!$AA$2:$AA$495&lt;=6)*('CASE MASTER'!$AC$2:$AC$495&gt;=6)*('CASE MASTER'!$AB$2:$AB$495&lt;=5)*('CASE MASTER'!$AD$2:$AD$495&gt;=5))*ROW('CASE MASTER'!$T$2:$T$495))-(ROW('CASE MASTER'!#REF!)-1))))+1)))-1)*50+1,50))&amp;"_"&amp;INDEX('CASE MASTER'!$Q$2:$Q$495,(SUMPRODUCT((('CASE MASTER'!$T$2:$T$495=1)*('CASE MASTER'!$AA$2:$AA$495&lt;=6)*('CASE MASTER'!$AC$2:$AC$495&gt;=6)*('CASE MASTER'!$AB$2:$AB$495&lt;=5)*('CASE MASTER'!$AD$2:$AD$495&gt;=5))*ROW('CASE MASTER'!$T$2:$T$495))-(ROW('CASE MASTER'!#REF!)-1))),"")),"")</f>
        <v/>
      </c>
      <c r="G8" s="10" t="str">
        <f>IFERROR(IF(SUMPRODUCT((('CASE MASTER'!$T$2:$T$495=1)*('CASE MASTER'!$U$2:$U$495&lt;=6)*('CASE MASTER'!$W$2:$W$495&gt;=6)*('CASE MASTER'!$V$2:$V$495&lt;=6)*('CASE MASTER'!$X$2:$X$495&gt;=6))*ROW('CASE MASTER'!$T$2:$T$495))&gt;0,INDEX('CASE MASTER'!$Y$2:$Y$495,(SUMPRODUCT((('CASE MASTER'!$T$2:$T$495=1)*('CASE MASTER'!$U$2:$U$495&lt;=6)*('CASE MASTER'!$W$2:$W$495&gt;=6)*('CASE MASTER'!$V$2:$V$495&lt;=6)*('CASE MASTER'!$X$2:$X$495&gt;=6))*ROW('CASE MASTER'!$T$2:$T$495))-(ROW('CASE MASTER'!#REF!)-1)))&amp;TRIM(MID(SUBSTITUTE(SUBSTITUTE(INDEX('CASE MASTER'!$N$2:$N$495,(SUMPRODUCT((('CASE MASTER'!$T$2:$T$495=1)*('CASE MASTER'!$U$2:$U$495&lt;=6)*('CASE MASTER'!$W$2:$W$495&gt;=6)*('CASE MASTER'!$V$2:$V$495&lt;=6)*('CASE MASTER'!$X$2:$X$495&gt;=6))*ROW('CASE MASTER'!$T$2:$T$495))-(ROW('CASE MASTER'!#REF!)-1))),":",","),",",REPT(" ",50)),((((6-INDEX('CASE MASTER'!$U$2:$U$495,(SUMPRODUCT((('CASE MASTER'!$T$2:$T$495=1)*('CASE MASTER'!$U$2:$U$495&lt;=6)*('CASE MASTER'!$W$2:$W$495&gt;=6)*('CASE MASTER'!$V$2:$V$495&lt;=6)*('CASE MASTER'!$X$2:$X$495&gt;=6))*ROW('CASE MASTER'!$T$2:$T$495))-(ROW('CASE MASTER'!#REF!)-1))))*(INDEX('CASE MASTER'!$X$2:$X$495,(SUMPRODUCT((('CASE MASTER'!$T$2:$T$495=1)*('CASE MASTER'!$U$2:$U$495&lt;=6)*('CASE MASTER'!$W$2:$W$495&gt;=6)*('CASE MASTER'!$V$2:$V$495&lt;=6)*('CASE MASTER'!$X$2:$X$495&gt;=6))*ROW('CASE MASTER'!$T$2:$T$495))-(ROW('CASE MASTER'!#REF!)-1)))-INDEX('CASE MASTER'!$V$2:$V$495,(SUMPRODUCT((('CASE MASTER'!$T$2:$T$495=1)*('CASE MASTER'!$U$2:$U$495&lt;=6)*('CASE MASTER'!$W$2:$W$495&gt;=6)*('CASE MASTER'!$V$2:$V$495&lt;=6)*('CASE MASTER'!$X$2:$X$495&gt;=6))*ROW('CASE MASTER'!$T$2:$T$495))-(ROW('CASE MASTER'!#REF!)-1)))+1)+(6-INDEX('CASE MASTER'!$V$2:$V$495,(SUMPRODUCT((('CASE MASTER'!$T$2:$T$495=1)*('CASE MASTER'!$U$2:$U$495&lt;=6)*('CASE MASTER'!$W$2:$W$495&gt;=6)*('CASE MASTER'!$V$2:$V$495&lt;=6)*('CASE MASTER'!$X$2:$X$495&gt;=6))*ROW('CASE MASTER'!$T$2:$T$495))-(ROW('CASE MASTER'!#REF!)-1))))+1))-1)*50+1,50))&amp;"_"&amp;INDEX('CASE MASTER'!$Q$2:$Q$495,(SUMPRODUCT((('CASE MASTER'!$T$2:$T$495=1)*('CASE MASTER'!$U$2:$U$495&lt;=6)*('CASE MASTER'!$W$2:$W$495&gt;=6)*('CASE MASTER'!$V$2:$V$495&lt;=6)*('CASE MASTER'!$X$2:$X$495&gt;=6))*ROW('CASE MASTER'!$T$2:$T$495))-(ROW('CASE MASTER'!#REF!)-1))),IF(SUMPRODUCT((('CASE MASTER'!$T$2:$T$495=1)*('CASE MASTER'!$AA$2:$AA$495&lt;=6)*('CASE MASTER'!$AC$2:$AC$495&gt;=6)*('CASE MASTER'!$AB$2:$AB$495&lt;=6)*('CASE MASTER'!$AD$2:$AD$495&gt;=6))*ROW('CASE MASTER'!$T$2:$T$495))&gt;0,INDEX('CASE MASTER'!$Y$2:$Y$495,(SUMPRODUCT((('CASE MASTER'!$T$2:$T$495=1)*('CASE MASTER'!$AA$2:$AA$495&lt;=6)*('CASE MASTER'!$AC$2:$AC$495&gt;=6)*('CASE MASTER'!$AB$2:$AB$495&lt;=6)*('CASE MASTER'!$AD$2:$AD$495&gt;=6))*ROW('CASE MASTER'!$T$2:$T$495))-(ROW('CASE MASTER'!#REF!)-1)))&amp;TRIM(MID(SUBSTITUTE(SUBSTITUTE(INDEX('CASE MASTER'!$N$2:$N$495,(SUMPRODUCT((('CASE MASTER'!$T$2:$T$495=1)*('CASE MASTER'!$AA$2:$AA$495&lt;=6)*('CASE MASTER'!$AC$2:$AC$495&gt;=6)*('CASE MASTER'!$AB$2:$AB$495&lt;=6)*('CASE MASTER'!$AD$2:$AD$495&gt;=6))*ROW('CASE MASTER'!$T$2:$T$495))-(ROW('CASE MASTER'!#REF!)-1))),":",","),",",REPT(" ",50)),(((INDEX('CASE MASTER'!$Z$2:$Z$495,(SUMPRODUCT((('CASE MASTER'!$T$2:$T$495=1)*('CASE MASTER'!$AA$2:$AA$495&lt;=6)*('CASE MASTER'!$AC$2:$AC$495&gt;=6)*('CASE MASTER'!$AB$2:$AB$495&lt;=6)*('CASE MASTER'!$AD$2:$AD$495&gt;=6))*ROW('CASE MASTER'!$T$2:$T$495))-(ROW('CASE MASTER'!#REF!)-1)))+((6-INDEX('CASE MASTER'!$AA$2:$AA$495,(SUMPRODUCT((('CASE MASTER'!$T$2:$T$495=1)*('CASE MASTER'!$AA$2:$AA$495&lt;=6)*('CASE MASTER'!$AC$2:$AC$495&gt;=6)*('CASE MASTER'!$AB$2:$AB$495&lt;=6)*('CASE MASTER'!$AD$2:$AD$495&gt;=6))*ROW('CASE MASTER'!$T$2:$T$495))-(ROW('CASE MASTER'!#REF!)-1))))*(INDEX('CASE MASTER'!$AD$2:$AD$495,(SUMPRODUCT((('CASE MASTER'!$T$2:$T$495=1)*('CASE MASTER'!$AA$2:$AA$495&lt;=6)*('CASE MASTER'!$AC$2:$AC$495&gt;=6)*('CASE MASTER'!$AB$2:$AB$495&lt;=6)*('CASE MASTER'!$AD$2:$AD$495&gt;=6))*ROW('CASE MASTER'!$T$2:$T$495))-(ROW('CASE MASTER'!#REF!)-1)))-INDEX('CASE MASTER'!$AB$2:$AB$495,(SUMPRODUCT((('CASE MASTER'!$T$2:$T$495=1)*('CASE MASTER'!$AA$2:$AA$495&lt;=6)*('CASE MASTER'!$AC$2:$AC$495&gt;=6)*('CASE MASTER'!$AB$2:$AB$495&lt;=6)*('CASE MASTER'!$AD$2:$AD$495&gt;=6))*ROW('CASE MASTER'!$T$2:$T$495))-(ROW('CASE MASTER'!#REF!)-1)))+1)+(6-INDEX('CASE MASTER'!$AB$2:$AB$495,(SUMPRODUCT((('CASE MASTER'!$T$2:$T$495=1)*('CASE MASTER'!$AA$2:$AA$495&lt;=6)*('CASE MASTER'!$AC$2:$AC$495&gt;=6)*('CASE MASTER'!$AB$2:$AB$495&lt;=6)*('CASE MASTER'!$AD$2:$AD$495&gt;=6))*ROW('CASE MASTER'!$T$2:$T$495))-(ROW('CASE MASTER'!#REF!)-1))))+1)))-1)*50+1,50))&amp;"_"&amp;INDEX('CASE MASTER'!$Q$2:$Q$495,(SUMPRODUCT((('CASE MASTER'!$T$2:$T$495=1)*('CASE MASTER'!$AA$2:$AA$495&lt;=6)*('CASE MASTER'!$AC$2:$AC$495&gt;=6)*('CASE MASTER'!$AB$2:$AB$495&lt;=6)*('CASE MASTER'!$AD$2:$AD$495&gt;=6))*ROW('CASE MASTER'!$T$2:$T$495))-(ROW('CASE MASTER'!#REF!)-1))),"")),"")</f>
        <v/>
      </c>
      <c r="H8" s="10" t="str">
        <f>IFERROR(IF(SUMPRODUCT((('CASE MASTER'!$T$2:$T$495=1)*('CASE MASTER'!$U$2:$U$495&lt;=6)*('CASE MASTER'!$W$2:$W$495&gt;=6)*('CASE MASTER'!$V$2:$V$495&lt;=7)*('CASE MASTER'!$X$2:$X$495&gt;=7))*ROW('CASE MASTER'!$T$2:$T$495))&gt;0,INDEX('CASE MASTER'!$Y$2:$Y$495,(SUMPRODUCT((('CASE MASTER'!$T$2:$T$495=1)*('CASE MASTER'!$U$2:$U$495&lt;=6)*('CASE MASTER'!$W$2:$W$495&gt;=6)*('CASE MASTER'!$V$2:$V$495&lt;=7)*('CASE MASTER'!$X$2:$X$495&gt;=7))*ROW('CASE MASTER'!$T$2:$T$495))-(ROW('CASE MASTER'!#REF!)-1)))&amp;TRIM(MID(SUBSTITUTE(SUBSTITUTE(INDEX('CASE MASTER'!$N$2:$N$495,(SUMPRODUCT((('CASE MASTER'!$T$2:$T$495=1)*('CASE MASTER'!$U$2:$U$495&lt;=6)*('CASE MASTER'!$W$2:$W$495&gt;=6)*('CASE MASTER'!$V$2:$V$495&lt;=7)*('CASE MASTER'!$X$2:$X$495&gt;=7))*ROW('CASE MASTER'!$T$2:$T$495))-(ROW('CASE MASTER'!#REF!)-1))),":",","),",",REPT(" ",50)),((((6-INDEX('CASE MASTER'!$U$2:$U$495,(SUMPRODUCT((('CASE MASTER'!$T$2:$T$495=1)*('CASE MASTER'!$U$2:$U$495&lt;=6)*('CASE MASTER'!$W$2:$W$495&gt;=6)*('CASE MASTER'!$V$2:$V$495&lt;=7)*('CASE MASTER'!$X$2:$X$495&gt;=7))*ROW('CASE MASTER'!$T$2:$T$495))-(ROW('CASE MASTER'!#REF!)-1))))*(INDEX('CASE MASTER'!$X$2:$X$495,(SUMPRODUCT((('CASE MASTER'!$T$2:$T$495=1)*('CASE MASTER'!$U$2:$U$495&lt;=6)*('CASE MASTER'!$W$2:$W$495&gt;=6)*('CASE MASTER'!$V$2:$V$495&lt;=7)*('CASE MASTER'!$X$2:$X$495&gt;=7))*ROW('CASE MASTER'!$T$2:$T$495))-(ROW('CASE MASTER'!#REF!)-1)))-INDEX('CASE MASTER'!$V$2:$V$495,(SUMPRODUCT((('CASE MASTER'!$T$2:$T$495=1)*('CASE MASTER'!$U$2:$U$495&lt;=6)*('CASE MASTER'!$W$2:$W$495&gt;=6)*('CASE MASTER'!$V$2:$V$495&lt;=7)*('CASE MASTER'!$X$2:$X$495&gt;=7))*ROW('CASE MASTER'!$T$2:$T$495))-(ROW('CASE MASTER'!#REF!)-1)))+1)+(7-INDEX('CASE MASTER'!$V$2:$V$495,(SUMPRODUCT((('CASE MASTER'!$T$2:$T$495=1)*('CASE MASTER'!$U$2:$U$495&lt;=6)*('CASE MASTER'!$W$2:$W$495&gt;=6)*('CASE MASTER'!$V$2:$V$495&lt;=7)*('CASE MASTER'!$X$2:$X$495&gt;=7))*ROW('CASE MASTER'!$T$2:$T$495))-(ROW('CASE MASTER'!#REF!)-1))))+1))-1)*50+1,50))&amp;"_"&amp;INDEX('CASE MASTER'!$Q$2:$Q$495,(SUMPRODUCT((('CASE MASTER'!$T$2:$T$495=1)*('CASE MASTER'!$U$2:$U$495&lt;=6)*('CASE MASTER'!$W$2:$W$495&gt;=6)*('CASE MASTER'!$V$2:$V$495&lt;=7)*('CASE MASTER'!$X$2:$X$495&gt;=7))*ROW('CASE MASTER'!$T$2:$T$495))-(ROW('CASE MASTER'!#REF!)-1))),IF(SUMPRODUCT((('CASE MASTER'!$T$2:$T$495=1)*('CASE MASTER'!$AA$2:$AA$495&lt;=6)*('CASE MASTER'!$AC$2:$AC$495&gt;=6)*('CASE MASTER'!$AB$2:$AB$495&lt;=7)*('CASE MASTER'!$AD$2:$AD$495&gt;=7))*ROW('CASE MASTER'!$T$2:$T$495))&gt;0,INDEX('CASE MASTER'!$Y$2:$Y$495,(SUMPRODUCT((('CASE MASTER'!$T$2:$T$495=1)*('CASE MASTER'!$AA$2:$AA$495&lt;=6)*('CASE MASTER'!$AC$2:$AC$495&gt;=6)*('CASE MASTER'!$AB$2:$AB$495&lt;=7)*('CASE MASTER'!$AD$2:$AD$495&gt;=7))*ROW('CASE MASTER'!$T$2:$T$495))-(ROW('CASE MASTER'!#REF!)-1)))&amp;TRIM(MID(SUBSTITUTE(SUBSTITUTE(INDEX('CASE MASTER'!$N$2:$N$495,(SUMPRODUCT((('CASE MASTER'!$T$2:$T$495=1)*('CASE MASTER'!$AA$2:$AA$495&lt;=6)*('CASE MASTER'!$AC$2:$AC$495&gt;=6)*('CASE MASTER'!$AB$2:$AB$495&lt;=7)*('CASE MASTER'!$AD$2:$AD$495&gt;=7))*ROW('CASE MASTER'!$T$2:$T$495))-(ROW('CASE MASTER'!#REF!)-1))),":",","),",",REPT(" ",50)),(((INDEX('CASE MASTER'!$Z$2:$Z$495,(SUMPRODUCT((('CASE MASTER'!$T$2:$T$495=1)*('CASE MASTER'!$AA$2:$AA$495&lt;=6)*('CASE MASTER'!$AC$2:$AC$495&gt;=6)*('CASE MASTER'!$AB$2:$AB$495&lt;=7)*('CASE MASTER'!$AD$2:$AD$495&gt;=7))*ROW('CASE MASTER'!$T$2:$T$495))-(ROW('CASE MASTER'!#REF!)-1)))+((6-INDEX('CASE MASTER'!$AA$2:$AA$495,(SUMPRODUCT((('CASE MASTER'!$T$2:$T$495=1)*('CASE MASTER'!$AA$2:$AA$495&lt;=6)*('CASE MASTER'!$AC$2:$AC$495&gt;=6)*('CASE MASTER'!$AB$2:$AB$495&lt;=7)*('CASE MASTER'!$AD$2:$AD$495&gt;=7))*ROW('CASE MASTER'!$T$2:$T$495))-(ROW('CASE MASTER'!#REF!)-1))))*(INDEX('CASE MASTER'!$AD$2:$AD$495,(SUMPRODUCT((('CASE MASTER'!$T$2:$T$495=1)*('CASE MASTER'!$AA$2:$AA$495&lt;=6)*('CASE MASTER'!$AC$2:$AC$495&gt;=6)*('CASE MASTER'!$AB$2:$AB$495&lt;=7)*('CASE MASTER'!$AD$2:$AD$495&gt;=7))*ROW('CASE MASTER'!$T$2:$T$495))-(ROW('CASE MASTER'!#REF!)-1)))-INDEX('CASE MASTER'!$AB$2:$AB$495,(SUMPRODUCT((('CASE MASTER'!$T$2:$T$495=1)*('CASE MASTER'!$AA$2:$AA$495&lt;=6)*('CASE MASTER'!$AC$2:$AC$495&gt;=6)*('CASE MASTER'!$AB$2:$AB$495&lt;=7)*('CASE MASTER'!$AD$2:$AD$495&gt;=7))*ROW('CASE MASTER'!$T$2:$T$495))-(ROW('CASE MASTER'!#REF!)-1)))+1)+(7-INDEX('CASE MASTER'!$AB$2:$AB$495,(SUMPRODUCT((('CASE MASTER'!$T$2:$T$495=1)*('CASE MASTER'!$AA$2:$AA$495&lt;=6)*('CASE MASTER'!$AC$2:$AC$495&gt;=6)*('CASE MASTER'!$AB$2:$AB$495&lt;=7)*('CASE MASTER'!$AD$2:$AD$495&gt;=7))*ROW('CASE MASTER'!$T$2:$T$495))-(ROW('CASE MASTER'!#REF!)-1))))+1)))-1)*50+1,50))&amp;"_"&amp;INDEX('CASE MASTER'!$Q$2:$Q$495,(SUMPRODUCT((('CASE MASTER'!$T$2:$T$495=1)*('CASE MASTER'!$AA$2:$AA$495&lt;=6)*('CASE MASTER'!$AC$2:$AC$495&gt;=6)*('CASE MASTER'!$AB$2:$AB$495&lt;=7)*('CASE MASTER'!$AD$2:$AD$495&gt;=7))*ROW('CASE MASTER'!$T$2:$T$495))-(ROW('CASE MASTER'!#REF!)-1))),"")),"")</f>
        <v/>
      </c>
      <c r="I8" s="10" t="str">
        <f>IFERROR(IF(SUMPRODUCT((('CASE MASTER'!$T$2:$T$495=1)*('CASE MASTER'!$U$2:$U$495&lt;=6)*('CASE MASTER'!$W$2:$W$495&gt;=6)*('CASE MASTER'!$V$2:$V$495&lt;=8)*('CASE MASTER'!$X$2:$X$495&gt;=8))*ROW('CASE MASTER'!$T$2:$T$495))&gt;0,INDEX('CASE MASTER'!$Y$2:$Y$495,(SUMPRODUCT((('CASE MASTER'!$T$2:$T$495=1)*('CASE MASTER'!$U$2:$U$495&lt;=6)*('CASE MASTER'!$W$2:$W$495&gt;=6)*('CASE MASTER'!$V$2:$V$495&lt;=8)*('CASE MASTER'!$X$2:$X$495&gt;=8))*ROW('CASE MASTER'!$T$2:$T$495))-(ROW('CASE MASTER'!#REF!)-1)))&amp;TRIM(MID(SUBSTITUTE(SUBSTITUTE(INDEX('CASE MASTER'!$N$2:$N$495,(SUMPRODUCT((('CASE MASTER'!$T$2:$T$495=1)*('CASE MASTER'!$U$2:$U$495&lt;=6)*('CASE MASTER'!$W$2:$W$495&gt;=6)*('CASE MASTER'!$V$2:$V$495&lt;=8)*('CASE MASTER'!$X$2:$X$495&gt;=8))*ROW('CASE MASTER'!$T$2:$T$495))-(ROW('CASE MASTER'!#REF!)-1))),":",","),",",REPT(" ",50)),((((6-INDEX('CASE MASTER'!$U$2:$U$495,(SUMPRODUCT((('CASE MASTER'!$T$2:$T$495=1)*('CASE MASTER'!$U$2:$U$495&lt;=6)*('CASE MASTER'!$W$2:$W$495&gt;=6)*('CASE MASTER'!$V$2:$V$495&lt;=8)*('CASE MASTER'!$X$2:$X$495&gt;=8))*ROW('CASE MASTER'!$T$2:$T$495))-(ROW('CASE MASTER'!#REF!)-1))))*(INDEX('CASE MASTER'!$X$2:$X$495,(SUMPRODUCT((('CASE MASTER'!$T$2:$T$495=1)*('CASE MASTER'!$U$2:$U$495&lt;=6)*('CASE MASTER'!$W$2:$W$495&gt;=6)*('CASE MASTER'!$V$2:$V$495&lt;=8)*('CASE MASTER'!$X$2:$X$495&gt;=8))*ROW('CASE MASTER'!$T$2:$T$495))-(ROW('CASE MASTER'!#REF!)-1)))-INDEX('CASE MASTER'!$V$2:$V$495,(SUMPRODUCT((('CASE MASTER'!$T$2:$T$495=1)*('CASE MASTER'!$U$2:$U$495&lt;=6)*('CASE MASTER'!$W$2:$W$495&gt;=6)*('CASE MASTER'!$V$2:$V$495&lt;=8)*('CASE MASTER'!$X$2:$X$495&gt;=8))*ROW('CASE MASTER'!$T$2:$T$495))-(ROW('CASE MASTER'!#REF!)-1)))+1)+(8-INDEX('CASE MASTER'!$V$2:$V$495,(SUMPRODUCT((('CASE MASTER'!$T$2:$T$495=1)*('CASE MASTER'!$U$2:$U$495&lt;=6)*('CASE MASTER'!$W$2:$W$495&gt;=6)*('CASE MASTER'!$V$2:$V$495&lt;=8)*('CASE MASTER'!$X$2:$X$495&gt;=8))*ROW('CASE MASTER'!$T$2:$T$495))-(ROW('CASE MASTER'!#REF!)-1))))+1))-1)*50+1,50))&amp;"_"&amp;INDEX('CASE MASTER'!$Q$2:$Q$495,(SUMPRODUCT((('CASE MASTER'!$T$2:$T$495=1)*('CASE MASTER'!$U$2:$U$495&lt;=6)*('CASE MASTER'!$W$2:$W$495&gt;=6)*('CASE MASTER'!$V$2:$V$495&lt;=8)*('CASE MASTER'!$X$2:$X$495&gt;=8))*ROW('CASE MASTER'!$T$2:$T$495))-(ROW('CASE MASTER'!#REF!)-1))),IF(SUMPRODUCT((('CASE MASTER'!$T$2:$T$495=1)*('CASE MASTER'!$AA$2:$AA$495&lt;=6)*('CASE MASTER'!$AC$2:$AC$495&gt;=6)*('CASE MASTER'!$AB$2:$AB$495&lt;=8)*('CASE MASTER'!$AD$2:$AD$495&gt;=8))*ROW('CASE MASTER'!$T$2:$T$495))&gt;0,INDEX('CASE MASTER'!$Y$2:$Y$495,(SUMPRODUCT((('CASE MASTER'!$T$2:$T$495=1)*('CASE MASTER'!$AA$2:$AA$495&lt;=6)*('CASE MASTER'!$AC$2:$AC$495&gt;=6)*('CASE MASTER'!$AB$2:$AB$495&lt;=8)*('CASE MASTER'!$AD$2:$AD$495&gt;=8))*ROW('CASE MASTER'!$T$2:$T$495))-(ROW('CASE MASTER'!#REF!)-1)))&amp;TRIM(MID(SUBSTITUTE(SUBSTITUTE(INDEX('CASE MASTER'!$N$2:$N$495,(SUMPRODUCT((('CASE MASTER'!$T$2:$T$495=1)*('CASE MASTER'!$AA$2:$AA$495&lt;=6)*('CASE MASTER'!$AC$2:$AC$495&gt;=6)*('CASE MASTER'!$AB$2:$AB$495&lt;=8)*('CASE MASTER'!$AD$2:$AD$495&gt;=8))*ROW('CASE MASTER'!$T$2:$T$495))-(ROW('CASE MASTER'!#REF!)-1))),":",","),",",REPT(" ",50)),(((INDEX('CASE MASTER'!$Z$2:$Z$495,(SUMPRODUCT((('CASE MASTER'!$T$2:$T$495=1)*('CASE MASTER'!$AA$2:$AA$495&lt;=6)*('CASE MASTER'!$AC$2:$AC$495&gt;=6)*('CASE MASTER'!$AB$2:$AB$495&lt;=8)*('CASE MASTER'!$AD$2:$AD$495&gt;=8))*ROW('CASE MASTER'!$T$2:$T$495))-(ROW('CASE MASTER'!#REF!)-1)))+((6-INDEX('CASE MASTER'!$AA$2:$AA$495,(SUMPRODUCT((('CASE MASTER'!$T$2:$T$495=1)*('CASE MASTER'!$AA$2:$AA$495&lt;=6)*('CASE MASTER'!$AC$2:$AC$495&gt;=6)*('CASE MASTER'!$AB$2:$AB$495&lt;=8)*('CASE MASTER'!$AD$2:$AD$495&gt;=8))*ROW('CASE MASTER'!$T$2:$T$495))-(ROW('CASE MASTER'!#REF!)-1))))*(INDEX('CASE MASTER'!$AD$2:$AD$495,(SUMPRODUCT((('CASE MASTER'!$T$2:$T$495=1)*('CASE MASTER'!$AA$2:$AA$495&lt;=6)*('CASE MASTER'!$AC$2:$AC$495&gt;=6)*('CASE MASTER'!$AB$2:$AB$495&lt;=8)*('CASE MASTER'!$AD$2:$AD$495&gt;=8))*ROW('CASE MASTER'!$T$2:$T$495))-(ROW('CASE MASTER'!#REF!)-1)))-INDEX('CASE MASTER'!$AB$2:$AB$495,(SUMPRODUCT((('CASE MASTER'!$T$2:$T$495=1)*('CASE MASTER'!$AA$2:$AA$495&lt;=6)*('CASE MASTER'!$AC$2:$AC$495&gt;=6)*('CASE MASTER'!$AB$2:$AB$495&lt;=8)*('CASE MASTER'!$AD$2:$AD$495&gt;=8))*ROW('CASE MASTER'!$T$2:$T$495))-(ROW('CASE MASTER'!#REF!)-1)))+1)+(8-INDEX('CASE MASTER'!$AB$2:$AB$495,(SUMPRODUCT((('CASE MASTER'!$T$2:$T$495=1)*('CASE MASTER'!$AA$2:$AA$495&lt;=6)*('CASE MASTER'!$AC$2:$AC$495&gt;=6)*('CASE MASTER'!$AB$2:$AB$495&lt;=8)*('CASE MASTER'!$AD$2:$AD$495&gt;=8))*ROW('CASE MASTER'!$T$2:$T$495))-(ROW('CASE MASTER'!#REF!)-1))))+1)))-1)*50+1,50))&amp;"_"&amp;INDEX('CASE MASTER'!$Q$2:$Q$495,(SUMPRODUCT((('CASE MASTER'!$T$2:$T$495=1)*('CASE MASTER'!$AA$2:$AA$495&lt;=6)*('CASE MASTER'!$AC$2:$AC$495&gt;=6)*('CASE MASTER'!$AB$2:$AB$495&lt;=8)*('CASE MASTER'!$AD$2:$AD$495&gt;=8))*ROW('CASE MASTER'!$T$2:$T$495))-(ROW('CASE MASTER'!#REF!)-1))),"")),"")</f>
        <v/>
      </c>
      <c r="J8" s="10" t="str">
        <f>IFERROR(IF(SUMPRODUCT((('CASE MASTER'!$T$2:$T$495=1)*('CASE MASTER'!$U$2:$U$495&lt;=6)*('CASE MASTER'!$W$2:$W$495&gt;=6)*('CASE MASTER'!$V$2:$V$495&lt;=9)*('CASE MASTER'!$X$2:$X$495&gt;=9))*ROW('CASE MASTER'!$T$2:$T$495))&gt;0,INDEX('CASE MASTER'!$Y$2:$Y$495,(SUMPRODUCT((('CASE MASTER'!$T$2:$T$495=1)*('CASE MASTER'!$U$2:$U$495&lt;=6)*('CASE MASTER'!$W$2:$W$495&gt;=6)*('CASE MASTER'!$V$2:$V$495&lt;=9)*('CASE MASTER'!$X$2:$X$495&gt;=9))*ROW('CASE MASTER'!$T$2:$T$495))-(ROW('CASE MASTER'!#REF!)-1)))&amp;TRIM(MID(SUBSTITUTE(SUBSTITUTE(INDEX('CASE MASTER'!$N$2:$N$495,(SUMPRODUCT((('CASE MASTER'!$T$2:$T$495=1)*('CASE MASTER'!$U$2:$U$495&lt;=6)*('CASE MASTER'!$W$2:$W$495&gt;=6)*('CASE MASTER'!$V$2:$V$495&lt;=9)*('CASE MASTER'!$X$2:$X$495&gt;=9))*ROW('CASE MASTER'!$T$2:$T$495))-(ROW('CASE MASTER'!#REF!)-1))),":",","),",",REPT(" ",50)),((((6-INDEX('CASE MASTER'!$U$2:$U$495,(SUMPRODUCT((('CASE MASTER'!$T$2:$T$495=1)*('CASE MASTER'!$U$2:$U$495&lt;=6)*('CASE MASTER'!$W$2:$W$495&gt;=6)*('CASE MASTER'!$V$2:$V$495&lt;=9)*('CASE MASTER'!$X$2:$X$495&gt;=9))*ROW('CASE MASTER'!$T$2:$T$495))-(ROW('CASE MASTER'!#REF!)-1))))*(INDEX('CASE MASTER'!$X$2:$X$495,(SUMPRODUCT((('CASE MASTER'!$T$2:$T$495=1)*('CASE MASTER'!$U$2:$U$495&lt;=6)*('CASE MASTER'!$W$2:$W$495&gt;=6)*('CASE MASTER'!$V$2:$V$495&lt;=9)*('CASE MASTER'!$X$2:$X$495&gt;=9))*ROW('CASE MASTER'!$T$2:$T$495))-(ROW('CASE MASTER'!#REF!)-1)))-INDEX('CASE MASTER'!$V$2:$V$495,(SUMPRODUCT((('CASE MASTER'!$T$2:$T$495=1)*('CASE MASTER'!$U$2:$U$495&lt;=6)*('CASE MASTER'!$W$2:$W$495&gt;=6)*('CASE MASTER'!$V$2:$V$495&lt;=9)*('CASE MASTER'!$X$2:$X$495&gt;=9))*ROW('CASE MASTER'!$T$2:$T$495))-(ROW('CASE MASTER'!#REF!)-1)))+1)+(9-INDEX('CASE MASTER'!$V$2:$V$495,(SUMPRODUCT((('CASE MASTER'!$T$2:$T$495=1)*('CASE MASTER'!$U$2:$U$495&lt;=6)*('CASE MASTER'!$W$2:$W$495&gt;=6)*('CASE MASTER'!$V$2:$V$495&lt;=9)*('CASE MASTER'!$X$2:$X$495&gt;=9))*ROW('CASE MASTER'!$T$2:$T$495))-(ROW('CASE MASTER'!#REF!)-1))))+1))-1)*50+1,50))&amp;"_"&amp;INDEX('CASE MASTER'!$Q$2:$Q$495,(SUMPRODUCT((('CASE MASTER'!$T$2:$T$495=1)*('CASE MASTER'!$U$2:$U$495&lt;=6)*('CASE MASTER'!$W$2:$W$495&gt;=6)*('CASE MASTER'!$V$2:$V$495&lt;=9)*('CASE MASTER'!$X$2:$X$495&gt;=9))*ROW('CASE MASTER'!$T$2:$T$495))-(ROW('CASE MASTER'!#REF!)-1))),IF(SUMPRODUCT((('CASE MASTER'!$T$2:$T$495=1)*('CASE MASTER'!$AA$2:$AA$495&lt;=6)*('CASE MASTER'!$AC$2:$AC$495&gt;=6)*('CASE MASTER'!$AB$2:$AB$495&lt;=9)*('CASE MASTER'!$AD$2:$AD$495&gt;=9))*ROW('CASE MASTER'!$T$2:$T$495))&gt;0,INDEX('CASE MASTER'!$Y$2:$Y$495,(SUMPRODUCT((('CASE MASTER'!$T$2:$T$495=1)*('CASE MASTER'!$AA$2:$AA$495&lt;=6)*('CASE MASTER'!$AC$2:$AC$495&gt;=6)*('CASE MASTER'!$AB$2:$AB$495&lt;=9)*('CASE MASTER'!$AD$2:$AD$495&gt;=9))*ROW('CASE MASTER'!$T$2:$T$495))-(ROW('CASE MASTER'!#REF!)-1)))&amp;TRIM(MID(SUBSTITUTE(SUBSTITUTE(INDEX('CASE MASTER'!$N$2:$N$495,(SUMPRODUCT((('CASE MASTER'!$T$2:$T$495=1)*('CASE MASTER'!$AA$2:$AA$495&lt;=6)*('CASE MASTER'!$AC$2:$AC$495&gt;=6)*('CASE MASTER'!$AB$2:$AB$495&lt;=9)*('CASE MASTER'!$AD$2:$AD$495&gt;=9))*ROW('CASE MASTER'!$T$2:$T$495))-(ROW('CASE MASTER'!#REF!)-1))),":",","),",",REPT(" ",50)),(((INDEX('CASE MASTER'!$Z$2:$Z$495,(SUMPRODUCT((('CASE MASTER'!$T$2:$T$495=1)*('CASE MASTER'!$AA$2:$AA$495&lt;=6)*('CASE MASTER'!$AC$2:$AC$495&gt;=6)*('CASE MASTER'!$AB$2:$AB$495&lt;=9)*('CASE MASTER'!$AD$2:$AD$495&gt;=9))*ROW('CASE MASTER'!$T$2:$T$495))-(ROW('CASE MASTER'!#REF!)-1)))+((6-INDEX('CASE MASTER'!$AA$2:$AA$495,(SUMPRODUCT((('CASE MASTER'!$T$2:$T$495=1)*('CASE MASTER'!$AA$2:$AA$495&lt;=6)*('CASE MASTER'!$AC$2:$AC$495&gt;=6)*('CASE MASTER'!$AB$2:$AB$495&lt;=9)*('CASE MASTER'!$AD$2:$AD$495&gt;=9))*ROW('CASE MASTER'!$T$2:$T$495))-(ROW('CASE MASTER'!#REF!)-1))))*(INDEX('CASE MASTER'!$AD$2:$AD$495,(SUMPRODUCT((('CASE MASTER'!$T$2:$T$495=1)*('CASE MASTER'!$AA$2:$AA$495&lt;=6)*('CASE MASTER'!$AC$2:$AC$495&gt;=6)*('CASE MASTER'!$AB$2:$AB$495&lt;=9)*('CASE MASTER'!$AD$2:$AD$495&gt;=9))*ROW('CASE MASTER'!$T$2:$T$495))-(ROW('CASE MASTER'!#REF!)-1)))-INDEX('CASE MASTER'!$AB$2:$AB$495,(SUMPRODUCT((('CASE MASTER'!$T$2:$T$495=1)*('CASE MASTER'!$AA$2:$AA$495&lt;=6)*('CASE MASTER'!$AC$2:$AC$495&gt;=6)*('CASE MASTER'!$AB$2:$AB$495&lt;=9)*('CASE MASTER'!$AD$2:$AD$495&gt;=9))*ROW('CASE MASTER'!$T$2:$T$495))-(ROW('CASE MASTER'!#REF!)-1)))+1)+(9-INDEX('CASE MASTER'!$AB$2:$AB$495,(SUMPRODUCT((('CASE MASTER'!$T$2:$T$495=1)*('CASE MASTER'!$AA$2:$AA$495&lt;=6)*('CASE MASTER'!$AC$2:$AC$495&gt;=6)*('CASE MASTER'!$AB$2:$AB$495&lt;=9)*('CASE MASTER'!$AD$2:$AD$495&gt;=9))*ROW('CASE MASTER'!$T$2:$T$495))-(ROW('CASE MASTER'!#REF!)-1))))+1)))-1)*50+1,50))&amp;"_"&amp;INDEX('CASE MASTER'!$Q$2:$Q$495,(SUMPRODUCT((('CASE MASTER'!$T$2:$T$495=1)*('CASE MASTER'!$AA$2:$AA$495&lt;=6)*('CASE MASTER'!$AC$2:$AC$495&gt;=6)*('CASE MASTER'!$AB$2:$AB$495&lt;=9)*('CASE MASTER'!$AD$2:$AD$495&gt;=9))*ROW('CASE MASTER'!$T$2:$T$495))-(ROW('CASE MASTER'!#REF!)-1))),"")),"")</f>
        <v/>
      </c>
      <c r="K8" s="10" t="str">
        <f>IFERROR(IF(SUMPRODUCT((('CASE MASTER'!$T$2:$T$495=1)*('CASE MASTER'!$U$2:$U$495&lt;=6)*('CASE MASTER'!$W$2:$W$495&gt;=6)*('CASE MASTER'!$V$2:$V$495&lt;=10)*('CASE MASTER'!$X$2:$X$495&gt;=10))*ROW('CASE MASTER'!$T$2:$T$495))&gt;0,INDEX('CASE MASTER'!$Y$2:$Y$495,(SUMPRODUCT((('CASE MASTER'!$T$2:$T$495=1)*('CASE MASTER'!$U$2:$U$495&lt;=6)*('CASE MASTER'!$W$2:$W$495&gt;=6)*('CASE MASTER'!$V$2:$V$495&lt;=10)*('CASE MASTER'!$X$2:$X$495&gt;=10))*ROW('CASE MASTER'!$T$2:$T$495))-(ROW('CASE MASTER'!#REF!)-1)))&amp;TRIM(MID(SUBSTITUTE(SUBSTITUTE(INDEX('CASE MASTER'!$N$2:$N$495,(SUMPRODUCT((('CASE MASTER'!$T$2:$T$495=1)*('CASE MASTER'!$U$2:$U$495&lt;=6)*('CASE MASTER'!$W$2:$W$495&gt;=6)*('CASE MASTER'!$V$2:$V$495&lt;=10)*('CASE MASTER'!$X$2:$X$495&gt;=10))*ROW('CASE MASTER'!$T$2:$T$495))-(ROW('CASE MASTER'!#REF!)-1))),":",","),",",REPT(" ",50)),((((6-INDEX('CASE MASTER'!$U$2:$U$495,(SUMPRODUCT((('CASE MASTER'!$T$2:$T$495=1)*('CASE MASTER'!$U$2:$U$495&lt;=6)*('CASE MASTER'!$W$2:$W$495&gt;=6)*('CASE MASTER'!$V$2:$V$495&lt;=10)*('CASE MASTER'!$X$2:$X$495&gt;=10))*ROW('CASE MASTER'!$T$2:$T$495))-(ROW('CASE MASTER'!#REF!)-1))))*(INDEX('CASE MASTER'!$X$2:$X$495,(SUMPRODUCT((('CASE MASTER'!$T$2:$T$495=1)*('CASE MASTER'!$U$2:$U$495&lt;=6)*('CASE MASTER'!$W$2:$W$495&gt;=6)*('CASE MASTER'!$V$2:$V$495&lt;=10)*('CASE MASTER'!$X$2:$X$495&gt;=10))*ROW('CASE MASTER'!$T$2:$T$495))-(ROW('CASE MASTER'!#REF!)-1)))-INDEX('CASE MASTER'!$V$2:$V$495,(SUMPRODUCT((('CASE MASTER'!$T$2:$T$495=1)*('CASE MASTER'!$U$2:$U$495&lt;=6)*('CASE MASTER'!$W$2:$W$495&gt;=6)*('CASE MASTER'!$V$2:$V$495&lt;=10)*('CASE MASTER'!$X$2:$X$495&gt;=10))*ROW('CASE MASTER'!$T$2:$T$495))-(ROW('CASE MASTER'!#REF!)-1)))+1)+(10-INDEX('CASE MASTER'!$V$2:$V$495,(SUMPRODUCT((('CASE MASTER'!$T$2:$T$495=1)*('CASE MASTER'!$U$2:$U$495&lt;=6)*('CASE MASTER'!$W$2:$W$495&gt;=6)*('CASE MASTER'!$V$2:$V$495&lt;=10)*('CASE MASTER'!$X$2:$X$495&gt;=10))*ROW('CASE MASTER'!$T$2:$T$495))-(ROW('CASE MASTER'!#REF!)-1))))+1))-1)*50+1,50))&amp;"_"&amp;INDEX('CASE MASTER'!$Q$2:$Q$495,(SUMPRODUCT((('CASE MASTER'!$T$2:$T$495=1)*('CASE MASTER'!$U$2:$U$495&lt;=6)*('CASE MASTER'!$W$2:$W$495&gt;=6)*('CASE MASTER'!$V$2:$V$495&lt;=10)*('CASE MASTER'!$X$2:$X$495&gt;=10))*ROW('CASE MASTER'!$T$2:$T$495))-(ROW('CASE MASTER'!#REF!)-1))),IF(SUMPRODUCT((('CASE MASTER'!$T$2:$T$495=1)*('CASE MASTER'!$AA$2:$AA$495&lt;=6)*('CASE MASTER'!$AC$2:$AC$495&gt;=6)*('CASE MASTER'!$AB$2:$AB$495&lt;=10)*('CASE MASTER'!$AD$2:$AD$495&gt;=10))*ROW('CASE MASTER'!$T$2:$T$495))&gt;0,INDEX('CASE MASTER'!$Y$2:$Y$495,(SUMPRODUCT((('CASE MASTER'!$T$2:$T$495=1)*('CASE MASTER'!$AA$2:$AA$495&lt;=6)*('CASE MASTER'!$AC$2:$AC$495&gt;=6)*('CASE MASTER'!$AB$2:$AB$495&lt;=10)*('CASE MASTER'!$AD$2:$AD$495&gt;=10))*ROW('CASE MASTER'!$T$2:$T$495))-(ROW('CASE MASTER'!#REF!)-1)))&amp;TRIM(MID(SUBSTITUTE(SUBSTITUTE(INDEX('CASE MASTER'!$N$2:$N$495,(SUMPRODUCT((('CASE MASTER'!$T$2:$T$495=1)*('CASE MASTER'!$AA$2:$AA$495&lt;=6)*('CASE MASTER'!$AC$2:$AC$495&gt;=6)*('CASE MASTER'!$AB$2:$AB$495&lt;=10)*('CASE MASTER'!$AD$2:$AD$495&gt;=10))*ROW('CASE MASTER'!$T$2:$T$495))-(ROW('CASE MASTER'!#REF!)-1))),":",","),",",REPT(" ",50)),(((INDEX('CASE MASTER'!$Z$2:$Z$495,(SUMPRODUCT((('CASE MASTER'!$T$2:$T$495=1)*('CASE MASTER'!$AA$2:$AA$495&lt;=6)*('CASE MASTER'!$AC$2:$AC$495&gt;=6)*('CASE MASTER'!$AB$2:$AB$495&lt;=10)*('CASE MASTER'!$AD$2:$AD$495&gt;=10))*ROW('CASE MASTER'!$T$2:$T$495))-(ROW('CASE MASTER'!#REF!)-1)))+((6-INDEX('CASE MASTER'!$AA$2:$AA$495,(SUMPRODUCT((('CASE MASTER'!$T$2:$T$495=1)*('CASE MASTER'!$AA$2:$AA$495&lt;=6)*('CASE MASTER'!$AC$2:$AC$495&gt;=6)*('CASE MASTER'!$AB$2:$AB$495&lt;=10)*('CASE MASTER'!$AD$2:$AD$495&gt;=10))*ROW('CASE MASTER'!$T$2:$T$495))-(ROW('CASE MASTER'!#REF!)-1))))*(INDEX('CASE MASTER'!$AD$2:$AD$495,(SUMPRODUCT((('CASE MASTER'!$T$2:$T$495=1)*('CASE MASTER'!$AA$2:$AA$495&lt;=6)*('CASE MASTER'!$AC$2:$AC$495&gt;=6)*('CASE MASTER'!$AB$2:$AB$495&lt;=10)*('CASE MASTER'!$AD$2:$AD$495&gt;=10))*ROW('CASE MASTER'!$T$2:$T$495))-(ROW('CASE MASTER'!#REF!)-1)))-INDEX('CASE MASTER'!$AB$2:$AB$495,(SUMPRODUCT((('CASE MASTER'!$T$2:$T$495=1)*('CASE MASTER'!$AA$2:$AA$495&lt;=6)*('CASE MASTER'!$AC$2:$AC$495&gt;=6)*('CASE MASTER'!$AB$2:$AB$495&lt;=10)*('CASE MASTER'!$AD$2:$AD$495&gt;=10))*ROW('CASE MASTER'!$T$2:$T$495))-(ROW('CASE MASTER'!#REF!)-1)))+1)+(10-INDEX('CASE MASTER'!$AB$2:$AB$495,(SUMPRODUCT((('CASE MASTER'!$T$2:$T$495=1)*('CASE MASTER'!$AA$2:$AA$495&lt;=6)*('CASE MASTER'!$AC$2:$AC$495&gt;=6)*('CASE MASTER'!$AB$2:$AB$495&lt;=10)*('CASE MASTER'!$AD$2:$AD$495&gt;=10))*ROW('CASE MASTER'!$T$2:$T$495))-(ROW('CASE MASTER'!#REF!)-1))))+1)))-1)*50+1,50))&amp;"_"&amp;INDEX('CASE MASTER'!$Q$2:$Q$495,(SUMPRODUCT((('CASE MASTER'!$T$2:$T$495=1)*('CASE MASTER'!$AA$2:$AA$495&lt;=6)*('CASE MASTER'!$AC$2:$AC$495&gt;=6)*('CASE MASTER'!$AB$2:$AB$495&lt;=10)*('CASE MASTER'!$AD$2:$AD$495&gt;=10))*ROW('CASE MASTER'!$T$2:$T$495))-(ROW('CASE MASTER'!#REF!)-1))),"")),"")</f>
        <v/>
      </c>
    </row>
    <row r="9" spans="1:11" ht="15" customHeight="1" x14ac:dyDescent="0.35">
      <c r="A9" s="8" t="s">
        <v>34</v>
      </c>
      <c r="B9" s="10" t="str">
        <f>IFERROR(IF(SUMPRODUCT((('CASE MASTER'!$T$2:$T$495=1)*('CASE MASTER'!$U$2:$U$495&lt;=7)*('CASE MASTER'!$W$2:$W$495&gt;=7)*('CASE MASTER'!$V$2:$V$495&lt;=1)*('CASE MASTER'!$X$2:$X$495&gt;=1))*ROW('CASE MASTER'!$T$2:$T$495))&gt;0,INDEX('CASE MASTER'!$Y$2:$Y$495,(SUMPRODUCT((('CASE MASTER'!$T$2:$T$495=1)*('CASE MASTER'!$U$2:$U$495&lt;=7)*('CASE MASTER'!$W$2:$W$495&gt;=7)*('CASE MASTER'!$V$2:$V$495&lt;=1)*('CASE MASTER'!$X$2:$X$495&gt;=1))*ROW('CASE MASTER'!$T$2:$T$495))-(ROW('CASE MASTER'!#REF!)-1)))&amp;TRIM(MID(SUBSTITUTE(SUBSTITUTE(INDEX('CASE MASTER'!$N$2:$N$495,(SUMPRODUCT((('CASE MASTER'!$T$2:$T$495=1)*('CASE MASTER'!$U$2:$U$495&lt;=7)*('CASE MASTER'!$W$2:$W$495&gt;=7)*('CASE MASTER'!$V$2:$V$495&lt;=1)*('CASE MASTER'!$X$2:$X$495&gt;=1))*ROW('CASE MASTER'!$T$2:$T$495))-(ROW('CASE MASTER'!#REF!)-1))),":",","),",",REPT(" ",50)),((((7-INDEX('CASE MASTER'!$U$2:$U$495,(SUMPRODUCT((('CASE MASTER'!$T$2:$T$495=1)*('CASE MASTER'!$U$2:$U$495&lt;=7)*('CASE MASTER'!$W$2:$W$495&gt;=7)*('CASE MASTER'!$V$2:$V$495&lt;=1)*('CASE MASTER'!$X$2:$X$495&gt;=1))*ROW('CASE MASTER'!$T$2:$T$495))-(ROW('CASE MASTER'!#REF!)-1))))*(INDEX('CASE MASTER'!$X$2:$X$495,(SUMPRODUCT((('CASE MASTER'!$T$2:$T$495=1)*('CASE MASTER'!$U$2:$U$495&lt;=7)*('CASE MASTER'!$W$2:$W$495&gt;=7)*('CASE MASTER'!$V$2:$V$495&lt;=1)*('CASE MASTER'!$X$2:$X$495&gt;=1))*ROW('CASE MASTER'!$T$2:$T$495))-(ROW('CASE MASTER'!#REF!)-1)))-INDEX('CASE MASTER'!$V$2:$V$495,(SUMPRODUCT((('CASE MASTER'!$T$2:$T$495=1)*('CASE MASTER'!$U$2:$U$495&lt;=7)*('CASE MASTER'!$W$2:$W$495&gt;=7)*('CASE MASTER'!$V$2:$V$495&lt;=1)*('CASE MASTER'!$X$2:$X$495&gt;=1))*ROW('CASE MASTER'!$T$2:$T$495))-(ROW('CASE MASTER'!#REF!)-1)))+1)+(1-INDEX('CASE MASTER'!$V$2:$V$495,(SUMPRODUCT((('CASE MASTER'!$T$2:$T$495=1)*('CASE MASTER'!$U$2:$U$495&lt;=7)*('CASE MASTER'!$W$2:$W$495&gt;=7)*('CASE MASTER'!$V$2:$V$495&lt;=1)*('CASE MASTER'!$X$2:$X$495&gt;=1))*ROW('CASE MASTER'!$T$2:$T$495))-(ROW('CASE MASTER'!#REF!)-1))))+1))-1)*50+1,50))&amp;"_"&amp;INDEX('CASE MASTER'!$Q$2:$Q$495,(SUMPRODUCT((('CASE MASTER'!$T$2:$T$495=1)*('CASE MASTER'!$U$2:$U$495&lt;=7)*('CASE MASTER'!$W$2:$W$495&gt;=7)*('CASE MASTER'!$V$2:$V$495&lt;=1)*('CASE MASTER'!$X$2:$X$495&gt;=1))*ROW('CASE MASTER'!$T$2:$T$495))-(ROW('CASE MASTER'!#REF!)-1))),IF(SUMPRODUCT((('CASE MASTER'!$T$2:$T$495=1)*('CASE MASTER'!$AA$2:$AA$495&lt;=7)*('CASE MASTER'!$AC$2:$AC$495&gt;=7)*('CASE MASTER'!$AB$2:$AB$495&lt;=1)*('CASE MASTER'!$AD$2:$AD$495&gt;=1))*ROW('CASE MASTER'!$T$2:$T$495))&gt;0,INDEX('CASE MASTER'!$Y$2:$Y$495,(SUMPRODUCT((('CASE MASTER'!$T$2:$T$495=1)*('CASE MASTER'!$AA$2:$AA$495&lt;=7)*('CASE MASTER'!$AC$2:$AC$495&gt;=7)*('CASE MASTER'!$AB$2:$AB$495&lt;=1)*('CASE MASTER'!$AD$2:$AD$495&gt;=1))*ROW('CASE MASTER'!$T$2:$T$495))-(ROW('CASE MASTER'!#REF!)-1)))&amp;TRIM(MID(SUBSTITUTE(SUBSTITUTE(INDEX('CASE MASTER'!$N$2:$N$495,(SUMPRODUCT((('CASE MASTER'!$T$2:$T$495=1)*('CASE MASTER'!$AA$2:$AA$495&lt;=7)*('CASE MASTER'!$AC$2:$AC$495&gt;=7)*('CASE MASTER'!$AB$2:$AB$495&lt;=1)*('CASE MASTER'!$AD$2:$AD$495&gt;=1))*ROW('CASE MASTER'!$T$2:$T$495))-(ROW('CASE MASTER'!#REF!)-1))),":",","),",",REPT(" ",50)),(((INDEX('CASE MASTER'!$Z$2:$Z$495,(SUMPRODUCT((('CASE MASTER'!$T$2:$T$495=1)*('CASE MASTER'!$AA$2:$AA$495&lt;=7)*('CASE MASTER'!$AC$2:$AC$495&gt;=7)*('CASE MASTER'!$AB$2:$AB$495&lt;=1)*('CASE MASTER'!$AD$2:$AD$495&gt;=1))*ROW('CASE MASTER'!$T$2:$T$495))-(ROW('CASE MASTER'!#REF!)-1)))+((7-INDEX('CASE MASTER'!$AA$2:$AA$495,(SUMPRODUCT((('CASE MASTER'!$T$2:$T$495=1)*('CASE MASTER'!$AA$2:$AA$495&lt;=7)*('CASE MASTER'!$AC$2:$AC$495&gt;=7)*('CASE MASTER'!$AB$2:$AB$495&lt;=1)*('CASE MASTER'!$AD$2:$AD$495&gt;=1))*ROW('CASE MASTER'!$T$2:$T$495))-(ROW('CASE MASTER'!#REF!)-1))))*(INDEX('CASE MASTER'!$AD$2:$AD$495,(SUMPRODUCT((('CASE MASTER'!$T$2:$T$495=1)*('CASE MASTER'!$AA$2:$AA$495&lt;=7)*('CASE MASTER'!$AC$2:$AC$495&gt;=7)*('CASE MASTER'!$AB$2:$AB$495&lt;=1)*('CASE MASTER'!$AD$2:$AD$495&gt;=1))*ROW('CASE MASTER'!$T$2:$T$495))-(ROW('CASE MASTER'!#REF!)-1)))-INDEX('CASE MASTER'!$AB$2:$AB$495,(SUMPRODUCT((('CASE MASTER'!$T$2:$T$495=1)*('CASE MASTER'!$AA$2:$AA$495&lt;=7)*('CASE MASTER'!$AC$2:$AC$495&gt;=7)*('CASE MASTER'!$AB$2:$AB$495&lt;=1)*('CASE MASTER'!$AD$2:$AD$495&gt;=1))*ROW('CASE MASTER'!$T$2:$T$495))-(ROW('CASE MASTER'!#REF!)-1)))+1)+(1-INDEX('CASE MASTER'!$AB$2:$AB$495,(SUMPRODUCT((('CASE MASTER'!$T$2:$T$495=1)*('CASE MASTER'!$AA$2:$AA$495&lt;=7)*('CASE MASTER'!$AC$2:$AC$495&gt;=7)*('CASE MASTER'!$AB$2:$AB$495&lt;=1)*('CASE MASTER'!$AD$2:$AD$495&gt;=1))*ROW('CASE MASTER'!$T$2:$T$495))-(ROW('CASE MASTER'!#REF!)-1))))+1)))-1)*50+1,50))&amp;"_"&amp;INDEX('CASE MASTER'!$Q$2:$Q$495,(SUMPRODUCT((('CASE MASTER'!$T$2:$T$495=1)*('CASE MASTER'!$AA$2:$AA$495&lt;=7)*('CASE MASTER'!$AC$2:$AC$495&gt;=7)*('CASE MASTER'!$AB$2:$AB$495&lt;=1)*('CASE MASTER'!$AD$2:$AD$495&gt;=1))*ROW('CASE MASTER'!$T$2:$T$495))-(ROW('CASE MASTER'!#REF!)-1))),"")),"")</f>
        <v/>
      </c>
      <c r="C9" s="10" t="str">
        <f>IFERROR(IF(SUMPRODUCT((('CASE MASTER'!$T$2:$T$495=1)*('CASE MASTER'!$U$2:$U$495&lt;=7)*('CASE MASTER'!$W$2:$W$495&gt;=7)*('CASE MASTER'!$V$2:$V$495&lt;=2)*('CASE MASTER'!$X$2:$X$495&gt;=2))*ROW('CASE MASTER'!$T$2:$T$495))&gt;0,INDEX('CASE MASTER'!$Y$2:$Y$495,(SUMPRODUCT((('CASE MASTER'!$T$2:$T$495=1)*('CASE MASTER'!$U$2:$U$495&lt;=7)*('CASE MASTER'!$W$2:$W$495&gt;=7)*('CASE MASTER'!$V$2:$V$495&lt;=2)*('CASE MASTER'!$X$2:$X$495&gt;=2))*ROW('CASE MASTER'!$T$2:$T$495))-(ROW('CASE MASTER'!#REF!)-1)))&amp;TRIM(MID(SUBSTITUTE(SUBSTITUTE(INDEX('CASE MASTER'!$N$2:$N$495,(SUMPRODUCT((('CASE MASTER'!$T$2:$T$495=1)*('CASE MASTER'!$U$2:$U$495&lt;=7)*('CASE MASTER'!$W$2:$W$495&gt;=7)*('CASE MASTER'!$V$2:$V$495&lt;=2)*('CASE MASTER'!$X$2:$X$495&gt;=2))*ROW('CASE MASTER'!$T$2:$T$495))-(ROW('CASE MASTER'!#REF!)-1))),":",","),",",REPT(" ",50)),((((7-INDEX('CASE MASTER'!$U$2:$U$495,(SUMPRODUCT((('CASE MASTER'!$T$2:$T$495=1)*('CASE MASTER'!$U$2:$U$495&lt;=7)*('CASE MASTER'!$W$2:$W$495&gt;=7)*('CASE MASTER'!$V$2:$V$495&lt;=2)*('CASE MASTER'!$X$2:$X$495&gt;=2))*ROW('CASE MASTER'!$T$2:$T$495))-(ROW('CASE MASTER'!#REF!)-1))))*(INDEX('CASE MASTER'!$X$2:$X$495,(SUMPRODUCT((('CASE MASTER'!$T$2:$T$495=1)*('CASE MASTER'!$U$2:$U$495&lt;=7)*('CASE MASTER'!$W$2:$W$495&gt;=7)*('CASE MASTER'!$V$2:$V$495&lt;=2)*('CASE MASTER'!$X$2:$X$495&gt;=2))*ROW('CASE MASTER'!$T$2:$T$495))-(ROW('CASE MASTER'!#REF!)-1)))-INDEX('CASE MASTER'!$V$2:$V$495,(SUMPRODUCT((('CASE MASTER'!$T$2:$T$495=1)*('CASE MASTER'!$U$2:$U$495&lt;=7)*('CASE MASTER'!$W$2:$W$495&gt;=7)*('CASE MASTER'!$V$2:$V$495&lt;=2)*('CASE MASTER'!$X$2:$X$495&gt;=2))*ROW('CASE MASTER'!$T$2:$T$495))-(ROW('CASE MASTER'!#REF!)-1)))+1)+(2-INDEX('CASE MASTER'!$V$2:$V$495,(SUMPRODUCT((('CASE MASTER'!$T$2:$T$495=1)*('CASE MASTER'!$U$2:$U$495&lt;=7)*('CASE MASTER'!$W$2:$W$495&gt;=7)*('CASE MASTER'!$V$2:$V$495&lt;=2)*('CASE MASTER'!$X$2:$X$495&gt;=2))*ROW('CASE MASTER'!$T$2:$T$495))-(ROW('CASE MASTER'!#REF!)-1))))+1))-1)*50+1,50))&amp;"_"&amp;INDEX('CASE MASTER'!$Q$2:$Q$495,(SUMPRODUCT((('CASE MASTER'!$T$2:$T$495=1)*('CASE MASTER'!$U$2:$U$495&lt;=7)*('CASE MASTER'!$W$2:$W$495&gt;=7)*('CASE MASTER'!$V$2:$V$495&lt;=2)*('CASE MASTER'!$X$2:$X$495&gt;=2))*ROW('CASE MASTER'!$T$2:$T$495))-(ROW('CASE MASTER'!#REF!)-1))),IF(SUMPRODUCT((('CASE MASTER'!$T$2:$T$495=1)*('CASE MASTER'!$AA$2:$AA$495&lt;=7)*('CASE MASTER'!$AC$2:$AC$495&gt;=7)*('CASE MASTER'!$AB$2:$AB$495&lt;=2)*('CASE MASTER'!$AD$2:$AD$495&gt;=2))*ROW('CASE MASTER'!$T$2:$T$495))&gt;0,INDEX('CASE MASTER'!$Y$2:$Y$495,(SUMPRODUCT((('CASE MASTER'!$T$2:$T$495=1)*('CASE MASTER'!$AA$2:$AA$495&lt;=7)*('CASE MASTER'!$AC$2:$AC$495&gt;=7)*('CASE MASTER'!$AB$2:$AB$495&lt;=2)*('CASE MASTER'!$AD$2:$AD$495&gt;=2))*ROW('CASE MASTER'!$T$2:$T$495))-(ROW('CASE MASTER'!#REF!)-1)))&amp;TRIM(MID(SUBSTITUTE(SUBSTITUTE(INDEX('CASE MASTER'!$N$2:$N$495,(SUMPRODUCT((('CASE MASTER'!$T$2:$T$495=1)*('CASE MASTER'!$AA$2:$AA$495&lt;=7)*('CASE MASTER'!$AC$2:$AC$495&gt;=7)*('CASE MASTER'!$AB$2:$AB$495&lt;=2)*('CASE MASTER'!$AD$2:$AD$495&gt;=2))*ROW('CASE MASTER'!$T$2:$T$495))-(ROW('CASE MASTER'!#REF!)-1))),":",","),",",REPT(" ",50)),(((INDEX('CASE MASTER'!$Z$2:$Z$495,(SUMPRODUCT((('CASE MASTER'!$T$2:$T$495=1)*('CASE MASTER'!$AA$2:$AA$495&lt;=7)*('CASE MASTER'!$AC$2:$AC$495&gt;=7)*('CASE MASTER'!$AB$2:$AB$495&lt;=2)*('CASE MASTER'!$AD$2:$AD$495&gt;=2))*ROW('CASE MASTER'!$T$2:$T$495))-(ROW('CASE MASTER'!#REF!)-1)))+((7-INDEX('CASE MASTER'!$AA$2:$AA$495,(SUMPRODUCT((('CASE MASTER'!$T$2:$T$495=1)*('CASE MASTER'!$AA$2:$AA$495&lt;=7)*('CASE MASTER'!$AC$2:$AC$495&gt;=7)*('CASE MASTER'!$AB$2:$AB$495&lt;=2)*('CASE MASTER'!$AD$2:$AD$495&gt;=2))*ROW('CASE MASTER'!$T$2:$T$495))-(ROW('CASE MASTER'!#REF!)-1))))*(INDEX('CASE MASTER'!$AD$2:$AD$495,(SUMPRODUCT((('CASE MASTER'!$T$2:$T$495=1)*('CASE MASTER'!$AA$2:$AA$495&lt;=7)*('CASE MASTER'!$AC$2:$AC$495&gt;=7)*('CASE MASTER'!$AB$2:$AB$495&lt;=2)*('CASE MASTER'!$AD$2:$AD$495&gt;=2))*ROW('CASE MASTER'!$T$2:$T$495))-(ROW('CASE MASTER'!#REF!)-1)))-INDEX('CASE MASTER'!$AB$2:$AB$495,(SUMPRODUCT((('CASE MASTER'!$T$2:$T$495=1)*('CASE MASTER'!$AA$2:$AA$495&lt;=7)*('CASE MASTER'!$AC$2:$AC$495&gt;=7)*('CASE MASTER'!$AB$2:$AB$495&lt;=2)*('CASE MASTER'!$AD$2:$AD$495&gt;=2))*ROW('CASE MASTER'!$T$2:$T$495))-(ROW('CASE MASTER'!#REF!)-1)))+1)+(2-INDEX('CASE MASTER'!$AB$2:$AB$495,(SUMPRODUCT((('CASE MASTER'!$T$2:$T$495=1)*('CASE MASTER'!$AA$2:$AA$495&lt;=7)*('CASE MASTER'!$AC$2:$AC$495&gt;=7)*('CASE MASTER'!$AB$2:$AB$495&lt;=2)*('CASE MASTER'!$AD$2:$AD$495&gt;=2))*ROW('CASE MASTER'!$T$2:$T$495))-(ROW('CASE MASTER'!#REF!)-1))))+1)))-1)*50+1,50))&amp;"_"&amp;INDEX('CASE MASTER'!$Q$2:$Q$495,(SUMPRODUCT((('CASE MASTER'!$T$2:$T$495=1)*('CASE MASTER'!$AA$2:$AA$495&lt;=7)*('CASE MASTER'!$AC$2:$AC$495&gt;=7)*('CASE MASTER'!$AB$2:$AB$495&lt;=2)*('CASE MASTER'!$AD$2:$AD$495&gt;=2))*ROW('CASE MASTER'!$T$2:$T$495))-(ROW('CASE MASTER'!#REF!)-1))),"")),"")</f>
        <v/>
      </c>
      <c r="D9" s="10" t="str">
        <f>IFERROR(IF(SUMPRODUCT((('CASE MASTER'!$T$2:$T$495=1)*('CASE MASTER'!$U$2:$U$495&lt;=7)*('CASE MASTER'!$W$2:$W$495&gt;=7)*('CASE MASTER'!$V$2:$V$495&lt;=3)*('CASE MASTER'!$X$2:$X$495&gt;=3))*ROW('CASE MASTER'!$T$2:$T$495))&gt;0,INDEX('CASE MASTER'!$Y$2:$Y$495,(SUMPRODUCT((('CASE MASTER'!$T$2:$T$495=1)*('CASE MASTER'!$U$2:$U$495&lt;=7)*('CASE MASTER'!$W$2:$W$495&gt;=7)*('CASE MASTER'!$V$2:$V$495&lt;=3)*('CASE MASTER'!$X$2:$X$495&gt;=3))*ROW('CASE MASTER'!$T$2:$T$495))-(ROW('CASE MASTER'!#REF!)-1)))&amp;TRIM(MID(SUBSTITUTE(SUBSTITUTE(INDEX('CASE MASTER'!$N$2:$N$495,(SUMPRODUCT((('CASE MASTER'!$T$2:$T$495=1)*('CASE MASTER'!$U$2:$U$495&lt;=7)*('CASE MASTER'!$W$2:$W$495&gt;=7)*('CASE MASTER'!$V$2:$V$495&lt;=3)*('CASE MASTER'!$X$2:$X$495&gt;=3))*ROW('CASE MASTER'!$T$2:$T$495))-(ROW('CASE MASTER'!#REF!)-1))),":",","),",",REPT(" ",50)),((((7-INDEX('CASE MASTER'!$U$2:$U$495,(SUMPRODUCT((('CASE MASTER'!$T$2:$T$495=1)*('CASE MASTER'!$U$2:$U$495&lt;=7)*('CASE MASTER'!$W$2:$W$495&gt;=7)*('CASE MASTER'!$V$2:$V$495&lt;=3)*('CASE MASTER'!$X$2:$X$495&gt;=3))*ROW('CASE MASTER'!$T$2:$T$495))-(ROW('CASE MASTER'!#REF!)-1))))*(INDEX('CASE MASTER'!$X$2:$X$495,(SUMPRODUCT((('CASE MASTER'!$T$2:$T$495=1)*('CASE MASTER'!$U$2:$U$495&lt;=7)*('CASE MASTER'!$W$2:$W$495&gt;=7)*('CASE MASTER'!$V$2:$V$495&lt;=3)*('CASE MASTER'!$X$2:$X$495&gt;=3))*ROW('CASE MASTER'!$T$2:$T$495))-(ROW('CASE MASTER'!#REF!)-1)))-INDEX('CASE MASTER'!$V$2:$V$495,(SUMPRODUCT((('CASE MASTER'!$T$2:$T$495=1)*('CASE MASTER'!$U$2:$U$495&lt;=7)*('CASE MASTER'!$W$2:$W$495&gt;=7)*('CASE MASTER'!$V$2:$V$495&lt;=3)*('CASE MASTER'!$X$2:$X$495&gt;=3))*ROW('CASE MASTER'!$T$2:$T$495))-(ROW('CASE MASTER'!#REF!)-1)))+1)+(3-INDEX('CASE MASTER'!$V$2:$V$495,(SUMPRODUCT((('CASE MASTER'!$T$2:$T$495=1)*('CASE MASTER'!$U$2:$U$495&lt;=7)*('CASE MASTER'!$W$2:$W$495&gt;=7)*('CASE MASTER'!$V$2:$V$495&lt;=3)*('CASE MASTER'!$X$2:$X$495&gt;=3))*ROW('CASE MASTER'!$T$2:$T$495))-(ROW('CASE MASTER'!#REF!)-1))))+1))-1)*50+1,50))&amp;"_"&amp;INDEX('CASE MASTER'!$Q$2:$Q$495,(SUMPRODUCT((('CASE MASTER'!$T$2:$T$495=1)*('CASE MASTER'!$U$2:$U$495&lt;=7)*('CASE MASTER'!$W$2:$W$495&gt;=7)*('CASE MASTER'!$V$2:$V$495&lt;=3)*('CASE MASTER'!$X$2:$X$495&gt;=3))*ROW('CASE MASTER'!$T$2:$T$495))-(ROW('CASE MASTER'!#REF!)-1))),IF(SUMPRODUCT((('CASE MASTER'!$T$2:$T$495=1)*('CASE MASTER'!$AA$2:$AA$495&lt;=7)*('CASE MASTER'!$AC$2:$AC$495&gt;=7)*('CASE MASTER'!$AB$2:$AB$495&lt;=3)*('CASE MASTER'!$AD$2:$AD$495&gt;=3))*ROW('CASE MASTER'!$T$2:$T$495))&gt;0,INDEX('CASE MASTER'!$Y$2:$Y$495,(SUMPRODUCT((('CASE MASTER'!$T$2:$T$495=1)*('CASE MASTER'!$AA$2:$AA$495&lt;=7)*('CASE MASTER'!$AC$2:$AC$495&gt;=7)*('CASE MASTER'!$AB$2:$AB$495&lt;=3)*('CASE MASTER'!$AD$2:$AD$495&gt;=3))*ROW('CASE MASTER'!$T$2:$T$495))-(ROW('CASE MASTER'!#REF!)-1)))&amp;TRIM(MID(SUBSTITUTE(SUBSTITUTE(INDEX('CASE MASTER'!$N$2:$N$495,(SUMPRODUCT((('CASE MASTER'!$T$2:$T$495=1)*('CASE MASTER'!$AA$2:$AA$495&lt;=7)*('CASE MASTER'!$AC$2:$AC$495&gt;=7)*('CASE MASTER'!$AB$2:$AB$495&lt;=3)*('CASE MASTER'!$AD$2:$AD$495&gt;=3))*ROW('CASE MASTER'!$T$2:$T$495))-(ROW('CASE MASTER'!#REF!)-1))),":",","),",",REPT(" ",50)),(((INDEX('CASE MASTER'!$Z$2:$Z$495,(SUMPRODUCT((('CASE MASTER'!$T$2:$T$495=1)*('CASE MASTER'!$AA$2:$AA$495&lt;=7)*('CASE MASTER'!$AC$2:$AC$495&gt;=7)*('CASE MASTER'!$AB$2:$AB$495&lt;=3)*('CASE MASTER'!$AD$2:$AD$495&gt;=3))*ROW('CASE MASTER'!$T$2:$T$495))-(ROW('CASE MASTER'!#REF!)-1)))+((7-INDEX('CASE MASTER'!$AA$2:$AA$495,(SUMPRODUCT((('CASE MASTER'!$T$2:$T$495=1)*('CASE MASTER'!$AA$2:$AA$495&lt;=7)*('CASE MASTER'!$AC$2:$AC$495&gt;=7)*('CASE MASTER'!$AB$2:$AB$495&lt;=3)*('CASE MASTER'!$AD$2:$AD$495&gt;=3))*ROW('CASE MASTER'!$T$2:$T$495))-(ROW('CASE MASTER'!#REF!)-1))))*(INDEX('CASE MASTER'!$AD$2:$AD$495,(SUMPRODUCT((('CASE MASTER'!$T$2:$T$495=1)*('CASE MASTER'!$AA$2:$AA$495&lt;=7)*('CASE MASTER'!$AC$2:$AC$495&gt;=7)*('CASE MASTER'!$AB$2:$AB$495&lt;=3)*('CASE MASTER'!$AD$2:$AD$495&gt;=3))*ROW('CASE MASTER'!$T$2:$T$495))-(ROW('CASE MASTER'!#REF!)-1)))-INDEX('CASE MASTER'!$AB$2:$AB$495,(SUMPRODUCT((('CASE MASTER'!$T$2:$T$495=1)*('CASE MASTER'!$AA$2:$AA$495&lt;=7)*('CASE MASTER'!$AC$2:$AC$495&gt;=7)*('CASE MASTER'!$AB$2:$AB$495&lt;=3)*('CASE MASTER'!$AD$2:$AD$495&gt;=3))*ROW('CASE MASTER'!$T$2:$T$495))-(ROW('CASE MASTER'!#REF!)-1)))+1)+(3-INDEX('CASE MASTER'!$AB$2:$AB$495,(SUMPRODUCT((('CASE MASTER'!$T$2:$T$495=1)*('CASE MASTER'!$AA$2:$AA$495&lt;=7)*('CASE MASTER'!$AC$2:$AC$495&gt;=7)*('CASE MASTER'!$AB$2:$AB$495&lt;=3)*('CASE MASTER'!$AD$2:$AD$495&gt;=3))*ROW('CASE MASTER'!$T$2:$T$495))-(ROW('CASE MASTER'!#REF!)-1))))+1)))-1)*50+1,50))&amp;"_"&amp;INDEX('CASE MASTER'!$Q$2:$Q$495,(SUMPRODUCT((('CASE MASTER'!$T$2:$T$495=1)*('CASE MASTER'!$AA$2:$AA$495&lt;=7)*('CASE MASTER'!$AC$2:$AC$495&gt;=7)*('CASE MASTER'!$AB$2:$AB$495&lt;=3)*('CASE MASTER'!$AD$2:$AD$495&gt;=3))*ROW('CASE MASTER'!$T$2:$T$495))-(ROW('CASE MASTER'!#REF!)-1))),"")),"")</f>
        <v/>
      </c>
      <c r="E9" s="10" t="str">
        <f>IFERROR(IF(SUMPRODUCT((('CASE MASTER'!$T$2:$T$495=1)*('CASE MASTER'!$U$2:$U$495&lt;=7)*('CASE MASTER'!$W$2:$W$495&gt;=7)*('CASE MASTER'!$V$2:$V$495&lt;=4)*('CASE MASTER'!$X$2:$X$495&gt;=4))*ROW('CASE MASTER'!$T$2:$T$495))&gt;0,INDEX('CASE MASTER'!$Y$2:$Y$495,(SUMPRODUCT((('CASE MASTER'!$T$2:$T$495=1)*('CASE MASTER'!$U$2:$U$495&lt;=7)*('CASE MASTER'!$W$2:$W$495&gt;=7)*('CASE MASTER'!$V$2:$V$495&lt;=4)*('CASE MASTER'!$X$2:$X$495&gt;=4))*ROW('CASE MASTER'!$T$2:$T$495))-(ROW('CASE MASTER'!#REF!)-1)))&amp;TRIM(MID(SUBSTITUTE(SUBSTITUTE(INDEX('CASE MASTER'!$N$2:$N$495,(SUMPRODUCT((('CASE MASTER'!$T$2:$T$495=1)*('CASE MASTER'!$U$2:$U$495&lt;=7)*('CASE MASTER'!$W$2:$W$495&gt;=7)*('CASE MASTER'!$V$2:$V$495&lt;=4)*('CASE MASTER'!$X$2:$X$495&gt;=4))*ROW('CASE MASTER'!$T$2:$T$495))-(ROW('CASE MASTER'!#REF!)-1))),":",","),",",REPT(" ",50)),((((7-INDEX('CASE MASTER'!$U$2:$U$495,(SUMPRODUCT((('CASE MASTER'!$T$2:$T$495=1)*('CASE MASTER'!$U$2:$U$495&lt;=7)*('CASE MASTER'!$W$2:$W$495&gt;=7)*('CASE MASTER'!$V$2:$V$495&lt;=4)*('CASE MASTER'!$X$2:$X$495&gt;=4))*ROW('CASE MASTER'!$T$2:$T$495))-(ROW('CASE MASTER'!#REF!)-1))))*(INDEX('CASE MASTER'!$X$2:$X$495,(SUMPRODUCT((('CASE MASTER'!$T$2:$T$495=1)*('CASE MASTER'!$U$2:$U$495&lt;=7)*('CASE MASTER'!$W$2:$W$495&gt;=7)*('CASE MASTER'!$V$2:$V$495&lt;=4)*('CASE MASTER'!$X$2:$X$495&gt;=4))*ROW('CASE MASTER'!$T$2:$T$495))-(ROW('CASE MASTER'!#REF!)-1)))-INDEX('CASE MASTER'!$V$2:$V$495,(SUMPRODUCT((('CASE MASTER'!$T$2:$T$495=1)*('CASE MASTER'!$U$2:$U$495&lt;=7)*('CASE MASTER'!$W$2:$W$495&gt;=7)*('CASE MASTER'!$V$2:$V$495&lt;=4)*('CASE MASTER'!$X$2:$X$495&gt;=4))*ROW('CASE MASTER'!$T$2:$T$495))-(ROW('CASE MASTER'!#REF!)-1)))+1)+(4-INDEX('CASE MASTER'!$V$2:$V$495,(SUMPRODUCT((('CASE MASTER'!$T$2:$T$495=1)*('CASE MASTER'!$U$2:$U$495&lt;=7)*('CASE MASTER'!$W$2:$W$495&gt;=7)*('CASE MASTER'!$V$2:$V$495&lt;=4)*('CASE MASTER'!$X$2:$X$495&gt;=4))*ROW('CASE MASTER'!$T$2:$T$495))-(ROW('CASE MASTER'!#REF!)-1))))+1))-1)*50+1,50))&amp;"_"&amp;INDEX('CASE MASTER'!$Q$2:$Q$495,(SUMPRODUCT((('CASE MASTER'!$T$2:$T$495=1)*('CASE MASTER'!$U$2:$U$495&lt;=7)*('CASE MASTER'!$W$2:$W$495&gt;=7)*('CASE MASTER'!$V$2:$V$495&lt;=4)*('CASE MASTER'!$X$2:$X$495&gt;=4))*ROW('CASE MASTER'!$T$2:$T$495))-(ROW('CASE MASTER'!#REF!)-1))),IF(SUMPRODUCT((('CASE MASTER'!$T$2:$T$495=1)*('CASE MASTER'!$AA$2:$AA$495&lt;=7)*('CASE MASTER'!$AC$2:$AC$495&gt;=7)*('CASE MASTER'!$AB$2:$AB$495&lt;=4)*('CASE MASTER'!$AD$2:$AD$495&gt;=4))*ROW('CASE MASTER'!$T$2:$T$495))&gt;0,INDEX('CASE MASTER'!$Y$2:$Y$495,(SUMPRODUCT((('CASE MASTER'!$T$2:$T$495=1)*('CASE MASTER'!$AA$2:$AA$495&lt;=7)*('CASE MASTER'!$AC$2:$AC$495&gt;=7)*('CASE MASTER'!$AB$2:$AB$495&lt;=4)*('CASE MASTER'!$AD$2:$AD$495&gt;=4))*ROW('CASE MASTER'!$T$2:$T$495))-(ROW('CASE MASTER'!#REF!)-1)))&amp;TRIM(MID(SUBSTITUTE(SUBSTITUTE(INDEX('CASE MASTER'!$N$2:$N$495,(SUMPRODUCT((('CASE MASTER'!$T$2:$T$495=1)*('CASE MASTER'!$AA$2:$AA$495&lt;=7)*('CASE MASTER'!$AC$2:$AC$495&gt;=7)*('CASE MASTER'!$AB$2:$AB$495&lt;=4)*('CASE MASTER'!$AD$2:$AD$495&gt;=4))*ROW('CASE MASTER'!$T$2:$T$495))-(ROW('CASE MASTER'!#REF!)-1))),":",","),",",REPT(" ",50)),(((INDEX('CASE MASTER'!$Z$2:$Z$495,(SUMPRODUCT((('CASE MASTER'!$T$2:$T$495=1)*('CASE MASTER'!$AA$2:$AA$495&lt;=7)*('CASE MASTER'!$AC$2:$AC$495&gt;=7)*('CASE MASTER'!$AB$2:$AB$495&lt;=4)*('CASE MASTER'!$AD$2:$AD$495&gt;=4))*ROW('CASE MASTER'!$T$2:$T$495))-(ROW('CASE MASTER'!#REF!)-1)))+((7-INDEX('CASE MASTER'!$AA$2:$AA$495,(SUMPRODUCT((('CASE MASTER'!$T$2:$T$495=1)*('CASE MASTER'!$AA$2:$AA$495&lt;=7)*('CASE MASTER'!$AC$2:$AC$495&gt;=7)*('CASE MASTER'!$AB$2:$AB$495&lt;=4)*('CASE MASTER'!$AD$2:$AD$495&gt;=4))*ROW('CASE MASTER'!$T$2:$T$495))-(ROW('CASE MASTER'!#REF!)-1))))*(INDEX('CASE MASTER'!$AD$2:$AD$495,(SUMPRODUCT((('CASE MASTER'!$T$2:$T$495=1)*('CASE MASTER'!$AA$2:$AA$495&lt;=7)*('CASE MASTER'!$AC$2:$AC$495&gt;=7)*('CASE MASTER'!$AB$2:$AB$495&lt;=4)*('CASE MASTER'!$AD$2:$AD$495&gt;=4))*ROW('CASE MASTER'!$T$2:$T$495))-(ROW('CASE MASTER'!#REF!)-1)))-INDEX('CASE MASTER'!$AB$2:$AB$495,(SUMPRODUCT((('CASE MASTER'!$T$2:$T$495=1)*('CASE MASTER'!$AA$2:$AA$495&lt;=7)*('CASE MASTER'!$AC$2:$AC$495&gt;=7)*('CASE MASTER'!$AB$2:$AB$495&lt;=4)*('CASE MASTER'!$AD$2:$AD$495&gt;=4))*ROW('CASE MASTER'!$T$2:$T$495))-(ROW('CASE MASTER'!#REF!)-1)))+1)+(4-INDEX('CASE MASTER'!$AB$2:$AB$495,(SUMPRODUCT((('CASE MASTER'!$T$2:$T$495=1)*('CASE MASTER'!$AA$2:$AA$495&lt;=7)*('CASE MASTER'!$AC$2:$AC$495&gt;=7)*('CASE MASTER'!$AB$2:$AB$495&lt;=4)*('CASE MASTER'!$AD$2:$AD$495&gt;=4))*ROW('CASE MASTER'!$T$2:$T$495))-(ROW('CASE MASTER'!#REF!)-1))))+1)))-1)*50+1,50))&amp;"_"&amp;INDEX('CASE MASTER'!$Q$2:$Q$495,(SUMPRODUCT((('CASE MASTER'!$T$2:$T$495=1)*('CASE MASTER'!$AA$2:$AA$495&lt;=7)*('CASE MASTER'!$AC$2:$AC$495&gt;=7)*('CASE MASTER'!$AB$2:$AB$495&lt;=4)*('CASE MASTER'!$AD$2:$AD$495&gt;=4))*ROW('CASE MASTER'!$T$2:$T$495))-(ROW('CASE MASTER'!#REF!)-1))),"")),"")</f>
        <v/>
      </c>
      <c r="F9" s="10" t="str">
        <f>IFERROR(IF(SUMPRODUCT((('CASE MASTER'!$T$2:$T$495=1)*('CASE MASTER'!$U$2:$U$495&lt;=7)*('CASE MASTER'!$W$2:$W$495&gt;=7)*('CASE MASTER'!$V$2:$V$495&lt;=5)*('CASE MASTER'!$X$2:$X$495&gt;=5))*ROW('CASE MASTER'!$T$2:$T$495))&gt;0,INDEX('CASE MASTER'!$Y$2:$Y$495,(SUMPRODUCT((('CASE MASTER'!$T$2:$T$495=1)*('CASE MASTER'!$U$2:$U$495&lt;=7)*('CASE MASTER'!$W$2:$W$495&gt;=7)*('CASE MASTER'!$V$2:$V$495&lt;=5)*('CASE MASTER'!$X$2:$X$495&gt;=5))*ROW('CASE MASTER'!$T$2:$T$495))-(ROW('CASE MASTER'!#REF!)-1)))&amp;TRIM(MID(SUBSTITUTE(SUBSTITUTE(INDEX('CASE MASTER'!$N$2:$N$495,(SUMPRODUCT((('CASE MASTER'!$T$2:$T$495=1)*('CASE MASTER'!$U$2:$U$495&lt;=7)*('CASE MASTER'!$W$2:$W$495&gt;=7)*('CASE MASTER'!$V$2:$V$495&lt;=5)*('CASE MASTER'!$X$2:$X$495&gt;=5))*ROW('CASE MASTER'!$T$2:$T$495))-(ROW('CASE MASTER'!#REF!)-1))),":",","),",",REPT(" ",50)),((((7-INDEX('CASE MASTER'!$U$2:$U$495,(SUMPRODUCT((('CASE MASTER'!$T$2:$T$495=1)*('CASE MASTER'!$U$2:$U$495&lt;=7)*('CASE MASTER'!$W$2:$W$495&gt;=7)*('CASE MASTER'!$V$2:$V$495&lt;=5)*('CASE MASTER'!$X$2:$X$495&gt;=5))*ROW('CASE MASTER'!$T$2:$T$495))-(ROW('CASE MASTER'!#REF!)-1))))*(INDEX('CASE MASTER'!$X$2:$X$495,(SUMPRODUCT((('CASE MASTER'!$T$2:$T$495=1)*('CASE MASTER'!$U$2:$U$495&lt;=7)*('CASE MASTER'!$W$2:$W$495&gt;=7)*('CASE MASTER'!$V$2:$V$495&lt;=5)*('CASE MASTER'!$X$2:$X$495&gt;=5))*ROW('CASE MASTER'!$T$2:$T$495))-(ROW('CASE MASTER'!#REF!)-1)))-INDEX('CASE MASTER'!$V$2:$V$495,(SUMPRODUCT((('CASE MASTER'!$T$2:$T$495=1)*('CASE MASTER'!$U$2:$U$495&lt;=7)*('CASE MASTER'!$W$2:$W$495&gt;=7)*('CASE MASTER'!$V$2:$V$495&lt;=5)*('CASE MASTER'!$X$2:$X$495&gt;=5))*ROW('CASE MASTER'!$T$2:$T$495))-(ROW('CASE MASTER'!#REF!)-1)))+1)+(5-INDEX('CASE MASTER'!$V$2:$V$495,(SUMPRODUCT((('CASE MASTER'!$T$2:$T$495=1)*('CASE MASTER'!$U$2:$U$495&lt;=7)*('CASE MASTER'!$W$2:$W$495&gt;=7)*('CASE MASTER'!$V$2:$V$495&lt;=5)*('CASE MASTER'!$X$2:$X$495&gt;=5))*ROW('CASE MASTER'!$T$2:$T$495))-(ROW('CASE MASTER'!#REF!)-1))))+1))-1)*50+1,50))&amp;"_"&amp;INDEX('CASE MASTER'!$Q$2:$Q$495,(SUMPRODUCT((('CASE MASTER'!$T$2:$T$495=1)*('CASE MASTER'!$U$2:$U$495&lt;=7)*('CASE MASTER'!$W$2:$W$495&gt;=7)*('CASE MASTER'!$V$2:$V$495&lt;=5)*('CASE MASTER'!$X$2:$X$495&gt;=5))*ROW('CASE MASTER'!$T$2:$T$495))-(ROW('CASE MASTER'!#REF!)-1))),IF(SUMPRODUCT((('CASE MASTER'!$T$2:$T$495=1)*('CASE MASTER'!$AA$2:$AA$495&lt;=7)*('CASE MASTER'!$AC$2:$AC$495&gt;=7)*('CASE MASTER'!$AB$2:$AB$495&lt;=5)*('CASE MASTER'!$AD$2:$AD$495&gt;=5))*ROW('CASE MASTER'!$T$2:$T$495))&gt;0,INDEX('CASE MASTER'!$Y$2:$Y$495,(SUMPRODUCT((('CASE MASTER'!$T$2:$T$495=1)*('CASE MASTER'!$AA$2:$AA$495&lt;=7)*('CASE MASTER'!$AC$2:$AC$495&gt;=7)*('CASE MASTER'!$AB$2:$AB$495&lt;=5)*('CASE MASTER'!$AD$2:$AD$495&gt;=5))*ROW('CASE MASTER'!$T$2:$T$495))-(ROW('CASE MASTER'!#REF!)-1)))&amp;TRIM(MID(SUBSTITUTE(SUBSTITUTE(INDEX('CASE MASTER'!$N$2:$N$495,(SUMPRODUCT((('CASE MASTER'!$T$2:$T$495=1)*('CASE MASTER'!$AA$2:$AA$495&lt;=7)*('CASE MASTER'!$AC$2:$AC$495&gt;=7)*('CASE MASTER'!$AB$2:$AB$495&lt;=5)*('CASE MASTER'!$AD$2:$AD$495&gt;=5))*ROW('CASE MASTER'!$T$2:$T$495))-(ROW('CASE MASTER'!#REF!)-1))),":",","),",",REPT(" ",50)),(((INDEX('CASE MASTER'!$Z$2:$Z$495,(SUMPRODUCT((('CASE MASTER'!$T$2:$T$495=1)*('CASE MASTER'!$AA$2:$AA$495&lt;=7)*('CASE MASTER'!$AC$2:$AC$495&gt;=7)*('CASE MASTER'!$AB$2:$AB$495&lt;=5)*('CASE MASTER'!$AD$2:$AD$495&gt;=5))*ROW('CASE MASTER'!$T$2:$T$495))-(ROW('CASE MASTER'!#REF!)-1)))+((7-INDEX('CASE MASTER'!$AA$2:$AA$495,(SUMPRODUCT((('CASE MASTER'!$T$2:$T$495=1)*('CASE MASTER'!$AA$2:$AA$495&lt;=7)*('CASE MASTER'!$AC$2:$AC$495&gt;=7)*('CASE MASTER'!$AB$2:$AB$495&lt;=5)*('CASE MASTER'!$AD$2:$AD$495&gt;=5))*ROW('CASE MASTER'!$T$2:$T$495))-(ROW('CASE MASTER'!#REF!)-1))))*(INDEX('CASE MASTER'!$AD$2:$AD$495,(SUMPRODUCT((('CASE MASTER'!$T$2:$T$495=1)*('CASE MASTER'!$AA$2:$AA$495&lt;=7)*('CASE MASTER'!$AC$2:$AC$495&gt;=7)*('CASE MASTER'!$AB$2:$AB$495&lt;=5)*('CASE MASTER'!$AD$2:$AD$495&gt;=5))*ROW('CASE MASTER'!$T$2:$T$495))-(ROW('CASE MASTER'!#REF!)-1)))-INDEX('CASE MASTER'!$AB$2:$AB$495,(SUMPRODUCT((('CASE MASTER'!$T$2:$T$495=1)*('CASE MASTER'!$AA$2:$AA$495&lt;=7)*('CASE MASTER'!$AC$2:$AC$495&gt;=7)*('CASE MASTER'!$AB$2:$AB$495&lt;=5)*('CASE MASTER'!$AD$2:$AD$495&gt;=5))*ROW('CASE MASTER'!$T$2:$T$495))-(ROW('CASE MASTER'!#REF!)-1)))+1)+(5-INDEX('CASE MASTER'!$AB$2:$AB$495,(SUMPRODUCT((('CASE MASTER'!$T$2:$T$495=1)*('CASE MASTER'!$AA$2:$AA$495&lt;=7)*('CASE MASTER'!$AC$2:$AC$495&gt;=7)*('CASE MASTER'!$AB$2:$AB$495&lt;=5)*('CASE MASTER'!$AD$2:$AD$495&gt;=5))*ROW('CASE MASTER'!$T$2:$T$495))-(ROW('CASE MASTER'!#REF!)-1))))+1)))-1)*50+1,50))&amp;"_"&amp;INDEX('CASE MASTER'!$Q$2:$Q$495,(SUMPRODUCT((('CASE MASTER'!$T$2:$T$495=1)*('CASE MASTER'!$AA$2:$AA$495&lt;=7)*('CASE MASTER'!$AC$2:$AC$495&gt;=7)*('CASE MASTER'!$AB$2:$AB$495&lt;=5)*('CASE MASTER'!$AD$2:$AD$495&gt;=5))*ROW('CASE MASTER'!$T$2:$T$495))-(ROW('CASE MASTER'!#REF!)-1))),"")),"")</f>
        <v/>
      </c>
      <c r="G9" s="10" t="str">
        <f>IFERROR(IF(SUMPRODUCT((('CASE MASTER'!$T$2:$T$495=1)*('CASE MASTER'!$U$2:$U$495&lt;=7)*('CASE MASTER'!$W$2:$W$495&gt;=7)*('CASE MASTER'!$V$2:$V$495&lt;=6)*('CASE MASTER'!$X$2:$X$495&gt;=6))*ROW('CASE MASTER'!$T$2:$T$495))&gt;0,INDEX('CASE MASTER'!$Y$2:$Y$495,(SUMPRODUCT((('CASE MASTER'!$T$2:$T$495=1)*('CASE MASTER'!$U$2:$U$495&lt;=7)*('CASE MASTER'!$W$2:$W$495&gt;=7)*('CASE MASTER'!$V$2:$V$495&lt;=6)*('CASE MASTER'!$X$2:$X$495&gt;=6))*ROW('CASE MASTER'!$T$2:$T$495))-(ROW('CASE MASTER'!#REF!)-1)))&amp;TRIM(MID(SUBSTITUTE(SUBSTITUTE(INDEX('CASE MASTER'!$N$2:$N$495,(SUMPRODUCT((('CASE MASTER'!$T$2:$T$495=1)*('CASE MASTER'!$U$2:$U$495&lt;=7)*('CASE MASTER'!$W$2:$W$495&gt;=7)*('CASE MASTER'!$V$2:$V$495&lt;=6)*('CASE MASTER'!$X$2:$X$495&gt;=6))*ROW('CASE MASTER'!$T$2:$T$495))-(ROW('CASE MASTER'!#REF!)-1))),":",","),",",REPT(" ",50)),((((7-INDEX('CASE MASTER'!$U$2:$U$495,(SUMPRODUCT((('CASE MASTER'!$T$2:$T$495=1)*('CASE MASTER'!$U$2:$U$495&lt;=7)*('CASE MASTER'!$W$2:$W$495&gt;=7)*('CASE MASTER'!$V$2:$V$495&lt;=6)*('CASE MASTER'!$X$2:$X$495&gt;=6))*ROW('CASE MASTER'!$T$2:$T$495))-(ROW('CASE MASTER'!#REF!)-1))))*(INDEX('CASE MASTER'!$X$2:$X$495,(SUMPRODUCT((('CASE MASTER'!$T$2:$T$495=1)*('CASE MASTER'!$U$2:$U$495&lt;=7)*('CASE MASTER'!$W$2:$W$495&gt;=7)*('CASE MASTER'!$V$2:$V$495&lt;=6)*('CASE MASTER'!$X$2:$X$495&gt;=6))*ROW('CASE MASTER'!$T$2:$T$495))-(ROW('CASE MASTER'!#REF!)-1)))-INDEX('CASE MASTER'!$V$2:$V$495,(SUMPRODUCT((('CASE MASTER'!$T$2:$T$495=1)*('CASE MASTER'!$U$2:$U$495&lt;=7)*('CASE MASTER'!$W$2:$W$495&gt;=7)*('CASE MASTER'!$V$2:$V$495&lt;=6)*('CASE MASTER'!$X$2:$X$495&gt;=6))*ROW('CASE MASTER'!$T$2:$T$495))-(ROW('CASE MASTER'!#REF!)-1)))+1)+(6-INDEX('CASE MASTER'!$V$2:$V$495,(SUMPRODUCT((('CASE MASTER'!$T$2:$T$495=1)*('CASE MASTER'!$U$2:$U$495&lt;=7)*('CASE MASTER'!$W$2:$W$495&gt;=7)*('CASE MASTER'!$V$2:$V$495&lt;=6)*('CASE MASTER'!$X$2:$X$495&gt;=6))*ROW('CASE MASTER'!$T$2:$T$495))-(ROW('CASE MASTER'!#REF!)-1))))+1))-1)*50+1,50))&amp;"_"&amp;INDEX('CASE MASTER'!$Q$2:$Q$495,(SUMPRODUCT((('CASE MASTER'!$T$2:$T$495=1)*('CASE MASTER'!$U$2:$U$495&lt;=7)*('CASE MASTER'!$W$2:$W$495&gt;=7)*('CASE MASTER'!$V$2:$V$495&lt;=6)*('CASE MASTER'!$X$2:$X$495&gt;=6))*ROW('CASE MASTER'!$T$2:$T$495))-(ROW('CASE MASTER'!#REF!)-1))),IF(SUMPRODUCT((('CASE MASTER'!$T$2:$T$495=1)*('CASE MASTER'!$AA$2:$AA$495&lt;=7)*('CASE MASTER'!$AC$2:$AC$495&gt;=7)*('CASE MASTER'!$AB$2:$AB$495&lt;=6)*('CASE MASTER'!$AD$2:$AD$495&gt;=6))*ROW('CASE MASTER'!$T$2:$T$495))&gt;0,INDEX('CASE MASTER'!$Y$2:$Y$495,(SUMPRODUCT((('CASE MASTER'!$T$2:$T$495=1)*('CASE MASTER'!$AA$2:$AA$495&lt;=7)*('CASE MASTER'!$AC$2:$AC$495&gt;=7)*('CASE MASTER'!$AB$2:$AB$495&lt;=6)*('CASE MASTER'!$AD$2:$AD$495&gt;=6))*ROW('CASE MASTER'!$T$2:$T$495))-(ROW('CASE MASTER'!#REF!)-1)))&amp;TRIM(MID(SUBSTITUTE(SUBSTITUTE(INDEX('CASE MASTER'!$N$2:$N$495,(SUMPRODUCT((('CASE MASTER'!$T$2:$T$495=1)*('CASE MASTER'!$AA$2:$AA$495&lt;=7)*('CASE MASTER'!$AC$2:$AC$495&gt;=7)*('CASE MASTER'!$AB$2:$AB$495&lt;=6)*('CASE MASTER'!$AD$2:$AD$495&gt;=6))*ROW('CASE MASTER'!$T$2:$T$495))-(ROW('CASE MASTER'!#REF!)-1))),":",","),",",REPT(" ",50)),(((INDEX('CASE MASTER'!$Z$2:$Z$495,(SUMPRODUCT((('CASE MASTER'!$T$2:$T$495=1)*('CASE MASTER'!$AA$2:$AA$495&lt;=7)*('CASE MASTER'!$AC$2:$AC$495&gt;=7)*('CASE MASTER'!$AB$2:$AB$495&lt;=6)*('CASE MASTER'!$AD$2:$AD$495&gt;=6))*ROW('CASE MASTER'!$T$2:$T$495))-(ROW('CASE MASTER'!#REF!)-1)))+((7-INDEX('CASE MASTER'!$AA$2:$AA$495,(SUMPRODUCT((('CASE MASTER'!$T$2:$T$495=1)*('CASE MASTER'!$AA$2:$AA$495&lt;=7)*('CASE MASTER'!$AC$2:$AC$495&gt;=7)*('CASE MASTER'!$AB$2:$AB$495&lt;=6)*('CASE MASTER'!$AD$2:$AD$495&gt;=6))*ROW('CASE MASTER'!$T$2:$T$495))-(ROW('CASE MASTER'!#REF!)-1))))*(INDEX('CASE MASTER'!$AD$2:$AD$495,(SUMPRODUCT((('CASE MASTER'!$T$2:$T$495=1)*('CASE MASTER'!$AA$2:$AA$495&lt;=7)*('CASE MASTER'!$AC$2:$AC$495&gt;=7)*('CASE MASTER'!$AB$2:$AB$495&lt;=6)*('CASE MASTER'!$AD$2:$AD$495&gt;=6))*ROW('CASE MASTER'!$T$2:$T$495))-(ROW('CASE MASTER'!#REF!)-1)))-INDEX('CASE MASTER'!$AB$2:$AB$495,(SUMPRODUCT((('CASE MASTER'!$T$2:$T$495=1)*('CASE MASTER'!$AA$2:$AA$495&lt;=7)*('CASE MASTER'!$AC$2:$AC$495&gt;=7)*('CASE MASTER'!$AB$2:$AB$495&lt;=6)*('CASE MASTER'!$AD$2:$AD$495&gt;=6))*ROW('CASE MASTER'!$T$2:$T$495))-(ROW('CASE MASTER'!#REF!)-1)))+1)+(6-INDEX('CASE MASTER'!$AB$2:$AB$495,(SUMPRODUCT((('CASE MASTER'!$T$2:$T$495=1)*('CASE MASTER'!$AA$2:$AA$495&lt;=7)*('CASE MASTER'!$AC$2:$AC$495&gt;=7)*('CASE MASTER'!$AB$2:$AB$495&lt;=6)*('CASE MASTER'!$AD$2:$AD$495&gt;=6))*ROW('CASE MASTER'!$T$2:$T$495))-(ROW('CASE MASTER'!#REF!)-1))))+1)))-1)*50+1,50))&amp;"_"&amp;INDEX('CASE MASTER'!$Q$2:$Q$495,(SUMPRODUCT((('CASE MASTER'!$T$2:$T$495=1)*('CASE MASTER'!$AA$2:$AA$495&lt;=7)*('CASE MASTER'!$AC$2:$AC$495&gt;=7)*('CASE MASTER'!$AB$2:$AB$495&lt;=6)*('CASE MASTER'!$AD$2:$AD$495&gt;=6))*ROW('CASE MASTER'!$T$2:$T$495))-(ROW('CASE MASTER'!#REF!)-1))),"")),"")</f>
        <v/>
      </c>
      <c r="H9" s="10" t="str">
        <f>IFERROR(IF(SUMPRODUCT((('CASE MASTER'!$T$2:$T$495=1)*('CASE MASTER'!$U$2:$U$495&lt;=7)*('CASE MASTER'!$W$2:$W$495&gt;=7)*('CASE MASTER'!$V$2:$V$495&lt;=7)*('CASE MASTER'!$X$2:$X$495&gt;=7))*ROW('CASE MASTER'!$T$2:$T$495))&gt;0,INDEX('CASE MASTER'!$Y$2:$Y$495,(SUMPRODUCT((('CASE MASTER'!$T$2:$T$495=1)*('CASE MASTER'!$U$2:$U$495&lt;=7)*('CASE MASTER'!$W$2:$W$495&gt;=7)*('CASE MASTER'!$V$2:$V$495&lt;=7)*('CASE MASTER'!$X$2:$X$495&gt;=7))*ROW('CASE MASTER'!$T$2:$T$495))-(ROW('CASE MASTER'!#REF!)-1)))&amp;TRIM(MID(SUBSTITUTE(SUBSTITUTE(INDEX('CASE MASTER'!$N$2:$N$495,(SUMPRODUCT((('CASE MASTER'!$T$2:$T$495=1)*('CASE MASTER'!$U$2:$U$495&lt;=7)*('CASE MASTER'!$W$2:$W$495&gt;=7)*('CASE MASTER'!$V$2:$V$495&lt;=7)*('CASE MASTER'!$X$2:$X$495&gt;=7))*ROW('CASE MASTER'!$T$2:$T$495))-(ROW('CASE MASTER'!#REF!)-1))),":",","),",",REPT(" ",50)),((((7-INDEX('CASE MASTER'!$U$2:$U$495,(SUMPRODUCT((('CASE MASTER'!$T$2:$T$495=1)*('CASE MASTER'!$U$2:$U$495&lt;=7)*('CASE MASTER'!$W$2:$W$495&gt;=7)*('CASE MASTER'!$V$2:$V$495&lt;=7)*('CASE MASTER'!$X$2:$X$495&gt;=7))*ROW('CASE MASTER'!$T$2:$T$495))-(ROW('CASE MASTER'!#REF!)-1))))*(INDEX('CASE MASTER'!$X$2:$X$495,(SUMPRODUCT((('CASE MASTER'!$T$2:$T$495=1)*('CASE MASTER'!$U$2:$U$495&lt;=7)*('CASE MASTER'!$W$2:$W$495&gt;=7)*('CASE MASTER'!$V$2:$V$495&lt;=7)*('CASE MASTER'!$X$2:$X$495&gt;=7))*ROW('CASE MASTER'!$T$2:$T$495))-(ROW('CASE MASTER'!#REF!)-1)))-INDEX('CASE MASTER'!$V$2:$V$495,(SUMPRODUCT((('CASE MASTER'!$T$2:$T$495=1)*('CASE MASTER'!$U$2:$U$495&lt;=7)*('CASE MASTER'!$W$2:$W$495&gt;=7)*('CASE MASTER'!$V$2:$V$495&lt;=7)*('CASE MASTER'!$X$2:$X$495&gt;=7))*ROW('CASE MASTER'!$T$2:$T$495))-(ROW('CASE MASTER'!#REF!)-1)))+1)+(7-INDEX('CASE MASTER'!$V$2:$V$495,(SUMPRODUCT((('CASE MASTER'!$T$2:$T$495=1)*('CASE MASTER'!$U$2:$U$495&lt;=7)*('CASE MASTER'!$W$2:$W$495&gt;=7)*('CASE MASTER'!$V$2:$V$495&lt;=7)*('CASE MASTER'!$X$2:$X$495&gt;=7))*ROW('CASE MASTER'!$T$2:$T$495))-(ROW('CASE MASTER'!#REF!)-1))))+1))-1)*50+1,50))&amp;"_"&amp;INDEX('CASE MASTER'!$Q$2:$Q$495,(SUMPRODUCT((('CASE MASTER'!$T$2:$T$495=1)*('CASE MASTER'!$U$2:$U$495&lt;=7)*('CASE MASTER'!$W$2:$W$495&gt;=7)*('CASE MASTER'!$V$2:$V$495&lt;=7)*('CASE MASTER'!$X$2:$X$495&gt;=7))*ROW('CASE MASTER'!$T$2:$T$495))-(ROW('CASE MASTER'!#REF!)-1))),IF(SUMPRODUCT((('CASE MASTER'!$T$2:$T$495=1)*('CASE MASTER'!$AA$2:$AA$495&lt;=7)*('CASE MASTER'!$AC$2:$AC$495&gt;=7)*('CASE MASTER'!$AB$2:$AB$495&lt;=7)*('CASE MASTER'!$AD$2:$AD$495&gt;=7))*ROW('CASE MASTER'!$T$2:$T$495))&gt;0,INDEX('CASE MASTER'!$Y$2:$Y$495,(SUMPRODUCT((('CASE MASTER'!$T$2:$T$495=1)*('CASE MASTER'!$AA$2:$AA$495&lt;=7)*('CASE MASTER'!$AC$2:$AC$495&gt;=7)*('CASE MASTER'!$AB$2:$AB$495&lt;=7)*('CASE MASTER'!$AD$2:$AD$495&gt;=7))*ROW('CASE MASTER'!$T$2:$T$495))-(ROW('CASE MASTER'!#REF!)-1)))&amp;TRIM(MID(SUBSTITUTE(SUBSTITUTE(INDEX('CASE MASTER'!$N$2:$N$495,(SUMPRODUCT((('CASE MASTER'!$T$2:$T$495=1)*('CASE MASTER'!$AA$2:$AA$495&lt;=7)*('CASE MASTER'!$AC$2:$AC$495&gt;=7)*('CASE MASTER'!$AB$2:$AB$495&lt;=7)*('CASE MASTER'!$AD$2:$AD$495&gt;=7))*ROW('CASE MASTER'!$T$2:$T$495))-(ROW('CASE MASTER'!#REF!)-1))),":",","),",",REPT(" ",50)),(((INDEX('CASE MASTER'!$Z$2:$Z$495,(SUMPRODUCT((('CASE MASTER'!$T$2:$T$495=1)*('CASE MASTER'!$AA$2:$AA$495&lt;=7)*('CASE MASTER'!$AC$2:$AC$495&gt;=7)*('CASE MASTER'!$AB$2:$AB$495&lt;=7)*('CASE MASTER'!$AD$2:$AD$495&gt;=7))*ROW('CASE MASTER'!$T$2:$T$495))-(ROW('CASE MASTER'!#REF!)-1)))+((7-INDEX('CASE MASTER'!$AA$2:$AA$495,(SUMPRODUCT((('CASE MASTER'!$T$2:$T$495=1)*('CASE MASTER'!$AA$2:$AA$495&lt;=7)*('CASE MASTER'!$AC$2:$AC$495&gt;=7)*('CASE MASTER'!$AB$2:$AB$495&lt;=7)*('CASE MASTER'!$AD$2:$AD$495&gt;=7))*ROW('CASE MASTER'!$T$2:$T$495))-(ROW('CASE MASTER'!#REF!)-1))))*(INDEX('CASE MASTER'!$AD$2:$AD$495,(SUMPRODUCT((('CASE MASTER'!$T$2:$T$495=1)*('CASE MASTER'!$AA$2:$AA$495&lt;=7)*('CASE MASTER'!$AC$2:$AC$495&gt;=7)*('CASE MASTER'!$AB$2:$AB$495&lt;=7)*('CASE MASTER'!$AD$2:$AD$495&gt;=7))*ROW('CASE MASTER'!$T$2:$T$495))-(ROW('CASE MASTER'!#REF!)-1)))-INDEX('CASE MASTER'!$AB$2:$AB$495,(SUMPRODUCT((('CASE MASTER'!$T$2:$T$495=1)*('CASE MASTER'!$AA$2:$AA$495&lt;=7)*('CASE MASTER'!$AC$2:$AC$495&gt;=7)*('CASE MASTER'!$AB$2:$AB$495&lt;=7)*('CASE MASTER'!$AD$2:$AD$495&gt;=7))*ROW('CASE MASTER'!$T$2:$T$495))-(ROW('CASE MASTER'!#REF!)-1)))+1)+(7-INDEX('CASE MASTER'!$AB$2:$AB$495,(SUMPRODUCT((('CASE MASTER'!$T$2:$T$495=1)*('CASE MASTER'!$AA$2:$AA$495&lt;=7)*('CASE MASTER'!$AC$2:$AC$495&gt;=7)*('CASE MASTER'!$AB$2:$AB$495&lt;=7)*('CASE MASTER'!$AD$2:$AD$495&gt;=7))*ROW('CASE MASTER'!$T$2:$T$495))-(ROW('CASE MASTER'!#REF!)-1))))+1)))-1)*50+1,50))&amp;"_"&amp;INDEX('CASE MASTER'!$Q$2:$Q$495,(SUMPRODUCT((('CASE MASTER'!$T$2:$T$495=1)*('CASE MASTER'!$AA$2:$AA$495&lt;=7)*('CASE MASTER'!$AC$2:$AC$495&gt;=7)*('CASE MASTER'!$AB$2:$AB$495&lt;=7)*('CASE MASTER'!$AD$2:$AD$495&gt;=7))*ROW('CASE MASTER'!$T$2:$T$495))-(ROW('CASE MASTER'!#REF!)-1))),"")),"")</f>
        <v/>
      </c>
      <c r="I9" s="10" t="str">
        <f>IFERROR(IF(SUMPRODUCT((('CASE MASTER'!$T$2:$T$495=1)*('CASE MASTER'!$U$2:$U$495&lt;=7)*('CASE MASTER'!$W$2:$W$495&gt;=7)*('CASE MASTER'!$V$2:$V$495&lt;=8)*('CASE MASTER'!$X$2:$X$495&gt;=8))*ROW('CASE MASTER'!$T$2:$T$495))&gt;0,INDEX('CASE MASTER'!$Y$2:$Y$495,(SUMPRODUCT((('CASE MASTER'!$T$2:$T$495=1)*('CASE MASTER'!$U$2:$U$495&lt;=7)*('CASE MASTER'!$W$2:$W$495&gt;=7)*('CASE MASTER'!$V$2:$V$495&lt;=8)*('CASE MASTER'!$X$2:$X$495&gt;=8))*ROW('CASE MASTER'!$T$2:$T$495))-(ROW('CASE MASTER'!#REF!)-1)))&amp;TRIM(MID(SUBSTITUTE(SUBSTITUTE(INDEX('CASE MASTER'!$N$2:$N$495,(SUMPRODUCT((('CASE MASTER'!$T$2:$T$495=1)*('CASE MASTER'!$U$2:$U$495&lt;=7)*('CASE MASTER'!$W$2:$W$495&gt;=7)*('CASE MASTER'!$V$2:$V$495&lt;=8)*('CASE MASTER'!$X$2:$X$495&gt;=8))*ROW('CASE MASTER'!$T$2:$T$495))-(ROW('CASE MASTER'!#REF!)-1))),":",","),",",REPT(" ",50)),((((7-INDEX('CASE MASTER'!$U$2:$U$495,(SUMPRODUCT((('CASE MASTER'!$T$2:$T$495=1)*('CASE MASTER'!$U$2:$U$495&lt;=7)*('CASE MASTER'!$W$2:$W$495&gt;=7)*('CASE MASTER'!$V$2:$V$495&lt;=8)*('CASE MASTER'!$X$2:$X$495&gt;=8))*ROW('CASE MASTER'!$T$2:$T$495))-(ROW('CASE MASTER'!#REF!)-1))))*(INDEX('CASE MASTER'!$X$2:$X$495,(SUMPRODUCT((('CASE MASTER'!$T$2:$T$495=1)*('CASE MASTER'!$U$2:$U$495&lt;=7)*('CASE MASTER'!$W$2:$W$495&gt;=7)*('CASE MASTER'!$V$2:$V$495&lt;=8)*('CASE MASTER'!$X$2:$X$495&gt;=8))*ROW('CASE MASTER'!$T$2:$T$495))-(ROW('CASE MASTER'!#REF!)-1)))-INDEX('CASE MASTER'!$V$2:$V$495,(SUMPRODUCT((('CASE MASTER'!$T$2:$T$495=1)*('CASE MASTER'!$U$2:$U$495&lt;=7)*('CASE MASTER'!$W$2:$W$495&gt;=7)*('CASE MASTER'!$V$2:$V$495&lt;=8)*('CASE MASTER'!$X$2:$X$495&gt;=8))*ROW('CASE MASTER'!$T$2:$T$495))-(ROW('CASE MASTER'!#REF!)-1)))+1)+(8-INDEX('CASE MASTER'!$V$2:$V$495,(SUMPRODUCT((('CASE MASTER'!$T$2:$T$495=1)*('CASE MASTER'!$U$2:$U$495&lt;=7)*('CASE MASTER'!$W$2:$W$495&gt;=7)*('CASE MASTER'!$V$2:$V$495&lt;=8)*('CASE MASTER'!$X$2:$X$495&gt;=8))*ROW('CASE MASTER'!$T$2:$T$495))-(ROW('CASE MASTER'!#REF!)-1))))+1))-1)*50+1,50))&amp;"_"&amp;INDEX('CASE MASTER'!$Q$2:$Q$495,(SUMPRODUCT((('CASE MASTER'!$T$2:$T$495=1)*('CASE MASTER'!$U$2:$U$495&lt;=7)*('CASE MASTER'!$W$2:$W$495&gt;=7)*('CASE MASTER'!$V$2:$V$495&lt;=8)*('CASE MASTER'!$X$2:$X$495&gt;=8))*ROW('CASE MASTER'!$T$2:$T$495))-(ROW('CASE MASTER'!#REF!)-1))),IF(SUMPRODUCT((('CASE MASTER'!$T$2:$T$495=1)*('CASE MASTER'!$AA$2:$AA$495&lt;=7)*('CASE MASTER'!$AC$2:$AC$495&gt;=7)*('CASE MASTER'!$AB$2:$AB$495&lt;=8)*('CASE MASTER'!$AD$2:$AD$495&gt;=8))*ROW('CASE MASTER'!$T$2:$T$495))&gt;0,INDEX('CASE MASTER'!$Y$2:$Y$495,(SUMPRODUCT((('CASE MASTER'!$T$2:$T$495=1)*('CASE MASTER'!$AA$2:$AA$495&lt;=7)*('CASE MASTER'!$AC$2:$AC$495&gt;=7)*('CASE MASTER'!$AB$2:$AB$495&lt;=8)*('CASE MASTER'!$AD$2:$AD$495&gt;=8))*ROW('CASE MASTER'!$T$2:$T$495))-(ROW('CASE MASTER'!#REF!)-1)))&amp;TRIM(MID(SUBSTITUTE(SUBSTITUTE(INDEX('CASE MASTER'!$N$2:$N$495,(SUMPRODUCT((('CASE MASTER'!$T$2:$T$495=1)*('CASE MASTER'!$AA$2:$AA$495&lt;=7)*('CASE MASTER'!$AC$2:$AC$495&gt;=7)*('CASE MASTER'!$AB$2:$AB$495&lt;=8)*('CASE MASTER'!$AD$2:$AD$495&gt;=8))*ROW('CASE MASTER'!$T$2:$T$495))-(ROW('CASE MASTER'!#REF!)-1))),":",","),",",REPT(" ",50)),(((INDEX('CASE MASTER'!$Z$2:$Z$495,(SUMPRODUCT((('CASE MASTER'!$T$2:$T$495=1)*('CASE MASTER'!$AA$2:$AA$495&lt;=7)*('CASE MASTER'!$AC$2:$AC$495&gt;=7)*('CASE MASTER'!$AB$2:$AB$495&lt;=8)*('CASE MASTER'!$AD$2:$AD$495&gt;=8))*ROW('CASE MASTER'!$T$2:$T$495))-(ROW('CASE MASTER'!#REF!)-1)))+((7-INDEX('CASE MASTER'!$AA$2:$AA$495,(SUMPRODUCT((('CASE MASTER'!$T$2:$T$495=1)*('CASE MASTER'!$AA$2:$AA$495&lt;=7)*('CASE MASTER'!$AC$2:$AC$495&gt;=7)*('CASE MASTER'!$AB$2:$AB$495&lt;=8)*('CASE MASTER'!$AD$2:$AD$495&gt;=8))*ROW('CASE MASTER'!$T$2:$T$495))-(ROW('CASE MASTER'!#REF!)-1))))*(INDEX('CASE MASTER'!$AD$2:$AD$495,(SUMPRODUCT((('CASE MASTER'!$T$2:$T$495=1)*('CASE MASTER'!$AA$2:$AA$495&lt;=7)*('CASE MASTER'!$AC$2:$AC$495&gt;=7)*('CASE MASTER'!$AB$2:$AB$495&lt;=8)*('CASE MASTER'!$AD$2:$AD$495&gt;=8))*ROW('CASE MASTER'!$T$2:$T$495))-(ROW('CASE MASTER'!#REF!)-1)))-INDEX('CASE MASTER'!$AB$2:$AB$495,(SUMPRODUCT((('CASE MASTER'!$T$2:$T$495=1)*('CASE MASTER'!$AA$2:$AA$495&lt;=7)*('CASE MASTER'!$AC$2:$AC$495&gt;=7)*('CASE MASTER'!$AB$2:$AB$495&lt;=8)*('CASE MASTER'!$AD$2:$AD$495&gt;=8))*ROW('CASE MASTER'!$T$2:$T$495))-(ROW('CASE MASTER'!#REF!)-1)))+1)+(8-INDEX('CASE MASTER'!$AB$2:$AB$495,(SUMPRODUCT((('CASE MASTER'!$T$2:$T$495=1)*('CASE MASTER'!$AA$2:$AA$495&lt;=7)*('CASE MASTER'!$AC$2:$AC$495&gt;=7)*('CASE MASTER'!$AB$2:$AB$495&lt;=8)*('CASE MASTER'!$AD$2:$AD$495&gt;=8))*ROW('CASE MASTER'!$T$2:$T$495))-(ROW('CASE MASTER'!#REF!)-1))))+1)))-1)*50+1,50))&amp;"_"&amp;INDEX('CASE MASTER'!$Q$2:$Q$495,(SUMPRODUCT((('CASE MASTER'!$T$2:$T$495=1)*('CASE MASTER'!$AA$2:$AA$495&lt;=7)*('CASE MASTER'!$AC$2:$AC$495&gt;=7)*('CASE MASTER'!$AB$2:$AB$495&lt;=8)*('CASE MASTER'!$AD$2:$AD$495&gt;=8))*ROW('CASE MASTER'!$T$2:$T$495))-(ROW('CASE MASTER'!#REF!)-1))),"")),"")</f>
        <v/>
      </c>
      <c r="J9" s="10" t="str">
        <f>IFERROR(IF(SUMPRODUCT((('CASE MASTER'!$T$2:$T$495=1)*('CASE MASTER'!$U$2:$U$495&lt;=7)*('CASE MASTER'!$W$2:$W$495&gt;=7)*('CASE MASTER'!$V$2:$V$495&lt;=9)*('CASE MASTER'!$X$2:$X$495&gt;=9))*ROW('CASE MASTER'!$T$2:$T$495))&gt;0,INDEX('CASE MASTER'!$Y$2:$Y$495,(SUMPRODUCT((('CASE MASTER'!$T$2:$T$495=1)*('CASE MASTER'!$U$2:$U$495&lt;=7)*('CASE MASTER'!$W$2:$W$495&gt;=7)*('CASE MASTER'!$V$2:$V$495&lt;=9)*('CASE MASTER'!$X$2:$X$495&gt;=9))*ROW('CASE MASTER'!$T$2:$T$495))-(ROW('CASE MASTER'!#REF!)-1)))&amp;TRIM(MID(SUBSTITUTE(SUBSTITUTE(INDEX('CASE MASTER'!$N$2:$N$495,(SUMPRODUCT((('CASE MASTER'!$T$2:$T$495=1)*('CASE MASTER'!$U$2:$U$495&lt;=7)*('CASE MASTER'!$W$2:$W$495&gt;=7)*('CASE MASTER'!$V$2:$V$495&lt;=9)*('CASE MASTER'!$X$2:$X$495&gt;=9))*ROW('CASE MASTER'!$T$2:$T$495))-(ROW('CASE MASTER'!#REF!)-1))),":",","),",",REPT(" ",50)),((((7-INDEX('CASE MASTER'!$U$2:$U$495,(SUMPRODUCT((('CASE MASTER'!$T$2:$T$495=1)*('CASE MASTER'!$U$2:$U$495&lt;=7)*('CASE MASTER'!$W$2:$W$495&gt;=7)*('CASE MASTER'!$V$2:$V$495&lt;=9)*('CASE MASTER'!$X$2:$X$495&gt;=9))*ROW('CASE MASTER'!$T$2:$T$495))-(ROW('CASE MASTER'!#REF!)-1))))*(INDEX('CASE MASTER'!$X$2:$X$495,(SUMPRODUCT((('CASE MASTER'!$T$2:$T$495=1)*('CASE MASTER'!$U$2:$U$495&lt;=7)*('CASE MASTER'!$W$2:$W$495&gt;=7)*('CASE MASTER'!$V$2:$V$495&lt;=9)*('CASE MASTER'!$X$2:$X$495&gt;=9))*ROW('CASE MASTER'!$T$2:$T$495))-(ROW('CASE MASTER'!#REF!)-1)))-INDEX('CASE MASTER'!$V$2:$V$495,(SUMPRODUCT((('CASE MASTER'!$T$2:$T$495=1)*('CASE MASTER'!$U$2:$U$495&lt;=7)*('CASE MASTER'!$W$2:$W$495&gt;=7)*('CASE MASTER'!$V$2:$V$495&lt;=9)*('CASE MASTER'!$X$2:$X$495&gt;=9))*ROW('CASE MASTER'!$T$2:$T$495))-(ROW('CASE MASTER'!#REF!)-1)))+1)+(9-INDEX('CASE MASTER'!$V$2:$V$495,(SUMPRODUCT((('CASE MASTER'!$T$2:$T$495=1)*('CASE MASTER'!$U$2:$U$495&lt;=7)*('CASE MASTER'!$W$2:$W$495&gt;=7)*('CASE MASTER'!$V$2:$V$495&lt;=9)*('CASE MASTER'!$X$2:$X$495&gt;=9))*ROW('CASE MASTER'!$T$2:$T$495))-(ROW('CASE MASTER'!#REF!)-1))))+1))-1)*50+1,50))&amp;"_"&amp;INDEX('CASE MASTER'!$Q$2:$Q$495,(SUMPRODUCT((('CASE MASTER'!$T$2:$T$495=1)*('CASE MASTER'!$U$2:$U$495&lt;=7)*('CASE MASTER'!$W$2:$W$495&gt;=7)*('CASE MASTER'!$V$2:$V$495&lt;=9)*('CASE MASTER'!$X$2:$X$495&gt;=9))*ROW('CASE MASTER'!$T$2:$T$495))-(ROW('CASE MASTER'!#REF!)-1))),IF(SUMPRODUCT((('CASE MASTER'!$T$2:$T$495=1)*('CASE MASTER'!$AA$2:$AA$495&lt;=7)*('CASE MASTER'!$AC$2:$AC$495&gt;=7)*('CASE MASTER'!$AB$2:$AB$495&lt;=9)*('CASE MASTER'!$AD$2:$AD$495&gt;=9))*ROW('CASE MASTER'!$T$2:$T$495))&gt;0,INDEX('CASE MASTER'!$Y$2:$Y$495,(SUMPRODUCT((('CASE MASTER'!$T$2:$T$495=1)*('CASE MASTER'!$AA$2:$AA$495&lt;=7)*('CASE MASTER'!$AC$2:$AC$495&gt;=7)*('CASE MASTER'!$AB$2:$AB$495&lt;=9)*('CASE MASTER'!$AD$2:$AD$495&gt;=9))*ROW('CASE MASTER'!$T$2:$T$495))-(ROW('CASE MASTER'!#REF!)-1)))&amp;TRIM(MID(SUBSTITUTE(SUBSTITUTE(INDEX('CASE MASTER'!$N$2:$N$495,(SUMPRODUCT((('CASE MASTER'!$T$2:$T$495=1)*('CASE MASTER'!$AA$2:$AA$495&lt;=7)*('CASE MASTER'!$AC$2:$AC$495&gt;=7)*('CASE MASTER'!$AB$2:$AB$495&lt;=9)*('CASE MASTER'!$AD$2:$AD$495&gt;=9))*ROW('CASE MASTER'!$T$2:$T$495))-(ROW('CASE MASTER'!#REF!)-1))),":",","),",",REPT(" ",50)),(((INDEX('CASE MASTER'!$Z$2:$Z$495,(SUMPRODUCT((('CASE MASTER'!$T$2:$T$495=1)*('CASE MASTER'!$AA$2:$AA$495&lt;=7)*('CASE MASTER'!$AC$2:$AC$495&gt;=7)*('CASE MASTER'!$AB$2:$AB$495&lt;=9)*('CASE MASTER'!$AD$2:$AD$495&gt;=9))*ROW('CASE MASTER'!$T$2:$T$495))-(ROW('CASE MASTER'!#REF!)-1)))+((7-INDEX('CASE MASTER'!$AA$2:$AA$495,(SUMPRODUCT((('CASE MASTER'!$T$2:$T$495=1)*('CASE MASTER'!$AA$2:$AA$495&lt;=7)*('CASE MASTER'!$AC$2:$AC$495&gt;=7)*('CASE MASTER'!$AB$2:$AB$495&lt;=9)*('CASE MASTER'!$AD$2:$AD$495&gt;=9))*ROW('CASE MASTER'!$T$2:$T$495))-(ROW('CASE MASTER'!#REF!)-1))))*(INDEX('CASE MASTER'!$AD$2:$AD$495,(SUMPRODUCT((('CASE MASTER'!$T$2:$T$495=1)*('CASE MASTER'!$AA$2:$AA$495&lt;=7)*('CASE MASTER'!$AC$2:$AC$495&gt;=7)*('CASE MASTER'!$AB$2:$AB$495&lt;=9)*('CASE MASTER'!$AD$2:$AD$495&gt;=9))*ROW('CASE MASTER'!$T$2:$T$495))-(ROW('CASE MASTER'!#REF!)-1)))-INDEX('CASE MASTER'!$AB$2:$AB$495,(SUMPRODUCT((('CASE MASTER'!$T$2:$T$495=1)*('CASE MASTER'!$AA$2:$AA$495&lt;=7)*('CASE MASTER'!$AC$2:$AC$495&gt;=7)*('CASE MASTER'!$AB$2:$AB$495&lt;=9)*('CASE MASTER'!$AD$2:$AD$495&gt;=9))*ROW('CASE MASTER'!$T$2:$T$495))-(ROW('CASE MASTER'!#REF!)-1)))+1)+(9-INDEX('CASE MASTER'!$AB$2:$AB$495,(SUMPRODUCT((('CASE MASTER'!$T$2:$T$495=1)*('CASE MASTER'!$AA$2:$AA$495&lt;=7)*('CASE MASTER'!$AC$2:$AC$495&gt;=7)*('CASE MASTER'!$AB$2:$AB$495&lt;=9)*('CASE MASTER'!$AD$2:$AD$495&gt;=9))*ROW('CASE MASTER'!$T$2:$T$495))-(ROW('CASE MASTER'!#REF!)-1))))+1)))-1)*50+1,50))&amp;"_"&amp;INDEX('CASE MASTER'!$Q$2:$Q$495,(SUMPRODUCT((('CASE MASTER'!$T$2:$T$495=1)*('CASE MASTER'!$AA$2:$AA$495&lt;=7)*('CASE MASTER'!$AC$2:$AC$495&gt;=7)*('CASE MASTER'!$AB$2:$AB$495&lt;=9)*('CASE MASTER'!$AD$2:$AD$495&gt;=9))*ROW('CASE MASTER'!$T$2:$T$495))-(ROW('CASE MASTER'!#REF!)-1))),"")),"")</f>
        <v/>
      </c>
      <c r="K9" s="10" t="str">
        <f>IFERROR(IF(SUMPRODUCT((('CASE MASTER'!$T$2:$T$495=1)*('CASE MASTER'!$U$2:$U$495&lt;=7)*('CASE MASTER'!$W$2:$W$495&gt;=7)*('CASE MASTER'!$V$2:$V$495&lt;=10)*('CASE MASTER'!$X$2:$X$495&gt;=10))*ROW('CASE MASTER'!$T$2:$T$495))&gt;0,INDEX('CASE MASTER'!$Y$2:$Y$495,(SUMPRODUCT((('CASE MASTER'!$T$2:$T$495=1)*('CASE MASTER'!$U$2:$U$495&lt;=7)*('CASE MASTER'!$W$2:$W$495&gt;=7)*('CASE MASTER'!$V$2:$V$495&lt;=10)*('CASE MASTER'!$X$2:$X$495&gt;=10))*ROW('CASE MASTER'!$T$2:$T$495))-(ROW('CASE MASTER'!#REF!)-1)))&amp;TRIM(MID(SUBSTITUTE(SUBSTITUTE(INDEX('CASE MASTER'!$N$2:$N$495,(SUMPRODUCT((('CASE MASTER'!$T$2:$T$495=1)*('CASE MASTER'!$U$2:$U$495&lt;=7)*('CASE MASTER'!$W$2:$W$495&gt;=7)*('CASE MASTER'!$V$2:$V$495&lt;=10)*('CASE MASTER'!$X$2:$X$495&gt;=10))*ROW('CASE MASTER'!$T$2:$T$495))-(ROW('CASE MASTER'!#REF!)-1))),":",","),",",REPT(" ",50)),((((7-INDEX('CASE MASTER'!$U$2:$U$495,(SUMPRODUCT((('CASE MASTER'!$T$2:$T$495=1)*('CASE MASTER'!$U$2:$U$495&lt;=7)*('CASE MASTER'!$W$2:$W$495&gt;=7)*('CASE MASTER'!$V$2:$V$495&lt;=10)*('CASE MASTER'!$X$2:$X$495&gt;=10))*ROW('CASE MASTER'!$T$2:$T$495))-(ROW('CASE MASTER'!#REF!)-1))))*(INDEX('CASE MASTER'!$X$2:$X$495,(SUMPRODUCT((('CASE MASTER'!$T$2:$T$495=1)*('CASE MASTER'!$U$2:$U$495&lt;=7)*('CASE MASTER'!$W$2:$W$495&gt;=7)*('CASE MASTER'!$V$2:$V$495&lt;=10)*('CASE MASTER'!$X$2:$X$495&gt;=10))*ROW('CASE MASTER'!$T$2:$T$495))-(ROW('CASE MASTER'!#REF!)-1)))-INDEX('CASE MASTER'!$V$2:$V$495,(SUMPRODUCT((('CASE MASTER'!$T$2:$T$495=1)*('CASE MASTER'!$U$2:$U$495&lt;=7)*('CASE MASTER'!$W$2:$W$495&gt;=7)*('CASE MASTER'!$V$2:$V$495&lt;=10)*('CASE MASTER'!$X$2:$X$495&gt;=10))*ROW('CASE MASTER'!$T$2:$T$495))-(ROW('CASE MASTER'!#REF!)-1)))+1)+(10-INDEX('CASE MASTER'!$V$2:$V$495,(SUMPRODUCT((('CASE MASTER'!$T$2:$T$495=1)*('CASE MASTER'!$U$2:$U$495&lt;=7)*('CASE MASTER'!$W$2:$W$495&gt;=7)*('CASE MASTER'!$V$2:$V$495&lt;=10)*('CASE MASTER'!$X$2:$X$495&gt;=10))*ROW('CASE MASTER'!$T$2:$T$495))-(ROW('CASE MASTER'!#REF!)-1))))+1))-1)*50+1,50))&amp;"_"&amp;INDEX('CASE MASTER'!$Q$2:$Q$495,(SUMPRODUCT((('CASE MASTER'!$T$2:$T$495=1)*('CASE MASTER'!$U$2:$U$495&lt;=7)*('CASE MASTER'!$W$2:$W$495&gt;=7)*('CASE MASTER'!$V$2:$V$495&lt;=10)*('CASE MASTER'!$X$2:$X$495&gt;=10))*ROW('CASE MASTER'!$T$2:$T$495))-(ROW('CASE MASTER'!#REF!)-1))),IF(SUMPRODUCT((('CASE MASTER'!$T$2:$T$495=1)*('CASE MASTER'!$AA$2:$AA$495&lt;=7)*('CASE MASTER'!$AC$2:$AC$495&gt;=7)*('CASE MASTER'!$AB$2:$AB$495&lt;=10)*('CASE MASTER'!$AD$2:$AD$495&gt;=10))*ROW('CASE MASTER'!$T$2:$T$495))&gt;0,INDEX('CASE MASTER'!$Y$2:$Y$495,(SUMPRODUCT((('CASE MASTER'!$T$2:$T$495=1)*('CASE MASTER'!$AA$2:$AA$495&lt;=7)*('CASE MASTER'!$AC$2:$AC$495&gt;=7)*('CASE MASTER'!$AB$2:$AB$495&lt;=10)*('CASE MASTER'!$AD$2:$AD$495&gt;=10))*ROW('CASE MASTER'!$T$2:$T$495))-(ROW('CASE MASTER'!#REF!)-1)))&amp;TRIM(MID(SUBSTITUTE(SUBSTITUTE(INDEX('CASE MASTER'!$N$2:$N$495,(SUMPRODUCT((('CASE MASTER'!$T$2:$T$495=1)*('CASE MASTER'!$AA$2:$AA$495&lt;=7)*('CASE MASTER'!$AC$2:$AC$495&gt;=7)*('CASE MASTER'!$AB$2:$AB$495&lt;=10)*('CASE MASTER'!$AD$2:$AD$495&gt;=10))*ROW('CASE MASTER'!$T$2:$T$495))-(ROW('CASE MASTER'!#REF!)-1))),":",","),",",REPT(" ",50)),(((INDEX('CASE MASTER'!$Z$2:$Z$495,(SUMPRODUCT((('CASE MASTER'!$T$2:$T$495=1)*('CASE MASTER'!$AA$2:$AA$495&lt;=7)*('CASE MASTER'!$AC$2:$AC$495&gt;=7)*('CASE MASTER'!$AB$2:$AB$495&lt;=10)*('CASE MASTER'!$AD$2:$AD$495&gt;=10))*ROW('CASE MASTER'!$T$2:$T$495))-(ROW('CASE MASTER'!#REF!)-1)))+((7-INDEX('CASE MASTER'!$AA$2:$AA$495,(SUMPRODUCT((('CASE MASTER'!$T$2:$T$495=1)*('CASE MASTER'!$AA$2:$AA$495&lt;=7)*('CASE MASTER'!$AC$2:$AC$495&gt;=7)*('CASE MASTER'!$AB$2:$AB$495&lt;=10)*('CASE MASTER'!$AD$2:$AD$495&gt;=10))*ROW('CASE MASTER'!$T$2:$T$495))-(ROW('CASE MASTER'!#REF!)-1))))*(INDEX('CASE MASTER'!$AD$2:$AD$495,(SUMPRODUCT((('CASE MASTER'!$T$2:$T$495=1)*('CASE MASTER'!$AA$2:$AA$495&lt;=7)*('CASE MASTER'!$AC$2:$AC$495&gt;=7)*('CASE MASTER'!$AB$2:$AB$495&lt;=10)*('CASE MASTER'!$AD$2:$AD$495&gt;=10))*ROW('CASE MASTER'!$T$2:$T$495))-(ROW('CASE MASTER'!#REF!)-1)))-INDEX('CASE MASTER'!$AB$2:$AB$495,(SUMPRODUCT((('CASE MASTER'!$T$2:$T$495=1)*('CASE MASTER'!$AA$2:$AA$495&lt;=7)*('CASE MASTER'!$AC$2:$AC$495&gt;=7)*('CASE MASTER'!$AB$2:$AB$495&lt;=10)*('CASE MASTER'!$AD$2:$AD$495&gt;=10))*ROW('CASE MASTER'!$T$2:$T$495))-(ROW('CASE MASTER'!#REF!)-1)))+1)+(10-INDEX('CASE MASTER'!$AB$2:$AB$495,(SUMPRODUCT((('CASE MASTER'!$T$2:$T$495=1)*('CASE MASTER'!$AA$2:$AA$495&lt;=7)*('CASE MASTER'!$AC$2:$AC$495&gt;=7)*('CASE MASTER'!$AB$2:$AB$495&lt;=10)*('CASE MASTER'!$AD$2:$AD$495&gt;=10))*ROW('CASE MASTER'!$T$2:$T$495))-(ROW('CASE MASTER'!#REF!)-1))))+1)))-1)*50+1,50))&amp;"_"&amp;INDEX('CASE MASTER'!$Q$2:$Q$495,(SUMPRODUCT((('CASE MASTER'!$T$2:$T$495=1)*('CASE MASTER'!$AA$2:$AA$495&lt;=7)*('CASE MASTER'!$AC$2:$AC$495&gt;=7)*('CASE MASTER'!$AB$2:$AB$495&lt;=10)*('CASE MASTER'!$AD$2:$AD$495&gt;=10))*ROW('CASE MASTER'!$T$2:$T$495))-(ROW('CASE MASTER'!#REF!)-1))),"")),"")</f>
        <v/>
      </c>
    </row>
    <row r="10" spans="1:11" ht="15" customHeight="1" x14ac:dyDescent="0.35">
      <c r="A10" s="8" t="s">
        <v>35</v>
      </c>
      <c r="B10" s="10" t="str">
        <f>IFERROR(IF(SUMPRODUCT((('CASE MASTER'!$T$2:$T$495=1)*('CASE MASTER'!$U$2:$U$495&lt;=8)*('CASE MASTER'!$W$2:$W$495&gt;=8)*('CASE MASTER'!$V$2:$V$495&lt;=1)*('CASE MASTER'!$X$2:$X$495&gt;=1))*ROW('CASE MASTER'!$T$2:$T$495))&gt;0,INDEX('CASE MASTER'!$Y$2:$Y$495,(SUMPRODUCT((('CASE MASTER'!$T$2:$T$495=1)*('CASE MASTER'!$U$2:$U$495&lt;=8)*('CASE MASTER'!$W$2:$W$495&gt;=8)*('CASE MASTER'!$V$2:$V$495&lt;=1)*('CASE MASTER'!$X$2:$X$495&gt;=1))*ROW('CASE MASTER'!$T$2:$T$495))-(ROW('CASE MASTER'!#REF!)-1)))&amp;TRIM(MID(SUBSTITUTE(SUBSTITUTE(INDEX('CASE MASTER'!$N$2:$N$495,(SUMPRODUCT((('CASE MASTER'!$T$2:$T$495=1)*('CASE MASTER'!$U$2:$U$495&lt;=8)*('CASE MASTER'!$W$2:$W$495&gt;=8)*('CASE MASTER'!$V$2:$V$495&lt;=1)*('CASE MASTER'!$X$2:$X$495&gt;=1))*ROW('CASE MASTER'!$T$2:$T$495))-(ROW('CASE MASTER'!#REF!)-1))),":",","),",",REPT(" ",50)),((((8-INDEX('CASE MASTER'!$U$2:$U$495,(SUMPRODUCT((('CASE MASTER'!$T$2:$T$495=1)*('CASE MASTER'!$U$2:$U$495&lt;=8)*('CASE MASTER'!$W$2:$W$495&gt;=8)*('CASE MASTER'!$V$2:$V$495&lt;=1)*('CASE MASTER'!$X$2:$X$495&gt;=1))*ROW('CASE MASTER'!$T$2:$T$495))-(ROW('CASE MASTER'!#REF!)-1))))*(INDEX('CASE MASTER'!$X$2:$X$495,(SUMPRODUCT((('CASE MASTER'!$T$2:$T$495=1)*('CASE MASTER'!$U$2:$U$495&lt;=8)*('CASE MASTER'!$W$2:$W$495&gt;=8)*('CASE MASTER'!$V$2:$V$495&lt;=1)*('CASE MASTER'!$X$2:$X$495&gt;=1))*ROW('CASE MASTER'!$T$2:$T$495))-(ROW('CASE MASTER'!#REF!)-1)))-INDEX('CASE MASTER'!$V$2:$V$495,(SUMPRODUCT((('CASE MASTER'!$T$2:$T$495=1)*('CASE MASTER'!$U$2:$U$495&lt;=8)*('CASE MASTER'!$W$2:$W$495&gt;=8)*('CASE MASTER'!$V$2:$V$495&lt;=1)*('CASE MASTER'!$X$2:$X$495&gt;=1))*ROW('CASE MASTER'!$T$2:$T$495))-(ROW('CASE MASTER'!#REF!)-1)))+1)+(1-INDEX('CASE MASTER'!$V$2:$V$495,(SUMPRODUCT((('CASE MASTER'!$T$2:$T$495=1)*('CASE MASTER'!$U$2:$U$495&lt;=8)*('CASE MASTER'!$W$2:$W$495&gt;=8)*('CASE MASTER'!$V$2:$V$495&lt;=1)*('CASE MASTER'!$X$2:$X$495&gt;=1))*ROW('CASE MASTER'!$T$2:$T$495))-(ROW('CASE MASTER'!#REF!)-1))))+1))-1)*50+1,50))&amp;"_"&amp;INDEX('CASE MASTER'!$Q$2:$Q$495,(SUMPRODUCT((('CASE MASTER'!$T$2:$T$495=1)*('CASE MASTER'!$U$2:$U$495&lt;=8)*('CASE MASTER'!$W$2:$W$495&gt;=8)*('CASE MASTER'!$V$2:$V$495&lt;=1)*('CASE MASTER'!$X$2:$X$495&gt;=1))*ROW('CASE MASTER'!$T$2:$T$495))-(ROW('CASE MASTER'!#REF!)-1))),IF(SUMPRODUCT((('CASE MASTER'!$T$2:$T$495=1)*('CASE MASTER'!$AA$2:$AA$495&lt;=8)*('CASE MASTER'!$AC$2:$AC$495&gt;=8)*('CASE MASTER'!$AB$2:$AB$495&lt;=1)*('CASE MASTER'!$AD$2:$AD$495&gt;=1))*ROW('CASE MASTER'!$T$2:$T$495))&gt;0,INDEX('CASE MASTER'!$Y$2:$Y$495,(SUMPRODUCT((('CASE MASTER'!$T$2:$T$495=1)*('CASE MASTER'!$AA$2:$AA$495&lt;=8)*('CASE MASTER'!$AC$2:$AC$495&gt;=8)*('CASE MASTER'!$AB$2:$AB$495&lt;=1)*('CASE MASTER'!$AD$2:$AD$495&gt;=1))*ROW('CASE MASTER'!$T$2:$T$495))-(ROW('CASE MASTER'!#REF!)-1)))&amp;TRIM(MID(SUBSTITUTE(SUBSTITUTE(INDEX('CASE MASTER'!$N$2:$N$495,(SUMPRODUCT((('CASE MASTER'!$T$2:$T$495=1)*('CASE MASTER'!$AA$2:$AA$495&lt;=8)*('CASE MASTER'!$AC$2:$AC$495&gt;=8)*('CASE MASTER'!$AB$2:$AB$495&lt;=1)*('CASE MASTER'!$AD$2:$AD$495&gt;=1))*ROW('CASE MASTER'!$T$2:$T$495))-(ROW('CASE MASTER'!#REF!)-1))),":",","),",",REPT(" ",50)),(((INDEX('CASE MASTER'!$Z$2:$Z$495,(SUMPRODUCT((('CASE MASTER'!$T$2:$T$495=1)*('CASE MASTER'!$AA$2:$AA$495&lt;=8)*('CASE MASTER'!$AC$2:$AC$495&gt;=8)*('CASE MASTER'!$AB$2:$AB$495&lt;=1)*('CASE MASTER'!$AD$2:$AD$495&gt;=1))*ROW('CASE MASTER'!$T$2:$T$495))-(ROW('CASE MASTER'!#REF!)-1)))+((8-INDEX('CASE MASTER'!$AA$2:$AA$495,(SUMPRODUCT((('CASE MASTER'!$T$2:$T$495=1)*('CASE MASTER'!$AA$2:$AA$495&lt;=8)*('CASE MASTER'!$AC$2:$AC$495&gt;=8)*('CASE MASTER'!$AB$2:$AB$495&lt;=1)*('CASE MASTER'!$AD$2:$AD$495&gt;=1))*ROW('CASE MASTER'!$T$2:$T$495))-(ROW('CASE MASTER'!#REF!)-1))))*(INDEX('CASE MASTER'!$AD$2:$AD$495,(SUMPRODUCT((('CASE MASTER'!$T$2:$T$495=1)*('CASE MASTER'!$AA$2:$AA$495&lt;=8)*('CASE MASTER'!$AC$2:$AC$495&gt;=8)*('CASE MASTER'!$AB$2:$AB$495&lt;=1)*('CASE MASTER'!$AD$2:$AD$495&gt;=1))*ROW('CASE MASTER'!$T$2:$T$495))-(ROW('CASE MASTER'!#REF!)-1)))-INDEX('CASE MASTER'!$AB$2:$AB$495,(SUMPRODUCT((('CASE MASTER'!$T$2:$T$495=1)*('CASE MASTER'!$AA$2:$AA$495&lt;=8)*('CASE MASTER'!$AC$2:$AC$495&gt;=8)*('CASE MASTER'!$AB$2:$AB$495&lt;=1)*('CASE MASTER'!$AD$2:$AD$495&gt;=1))*ROW('CASE MASTER'!$T$2:$T$495))-(ROW('CASE MASTER'!#REF!)-1)))+1)+(1-INDEX('CASE MASTER'!$AB$2:$AB$495,(SUMPRODUCT((('CASE MASTER'!$T$2:$T$495=1)*('CASE MASTER'!$AA$2:$AA$495&lt;=8)*('CASE MASTER'!$AC$2:$AC$495&gt;=8)*('CASE MASTER'!$AB$2:$AB$495&lt;=1)*('CASE MASTER'!$AD$2:$AD$495&gt;=1))*ROW('CASE MASTER'!$T$2:$T$495))-(ROW('CASE MASTER'!#REF!)-1))))+1)))-1)*50+1,50))&amp;"_"&amp;INDEX('CASE MASTER'!$Q$2:$Q$495,(SUMPRODUCT((('CASE MASTER'!$T$2:$T$495=1)*('CASE MASTER'!$AA$2:$AA$495&lt;=8)*('CASE MASTER'!$AC$2:$AC$495&gt;=8)*('CASE MASTER'!$AB$2:$AB$495&lt;=1)*('CASE MASTER'!$AD$2:$AD$495&gt;=1))*ROW('CASE MASTER'!$T$2:$T$495))-(ROW('CASE MASTER'!#REF!)-1))),"")),"")</f>
        <v/>
      </c>
      <c r="C10" s="10" t="str">
        <f>IFERROR(IF(SUMPRODUCT((('CASE MASTER'!$T$2:$T$495=1)*('CASE MASTER'!$U$2:$U$495&lt;=8)*('CASE MASTER'!$W$2:$W$495&gt;=8)*('CASE MASTER'!$V$2:$V$495&lt;=2)*('CASE MASTER'!$X$2:$X$495&gt;=2))*ROW('CASE MASTER'!$T$2:$T$495))&gt;0,INDEX('CASE MASTER'!$Y$2:$Y$495,(SUMPRODUCT((('CASE MASTER'!$T$2:$T$495=1)*('CASE MASTER'!$U$2:$U$495&lt;=8)*('CASE MASTER'!$W$2:$W$495&gt;=8)*('CASE MASTER'!$V$2:$V$495&lt;=2)*('CASE MASTER'!$X$2:$X$495&gt;=2))*ROW('CASE MASTER'!$T$2:$T$495))-(ROW('CASE MASTER'!#REF!)-1)))&amp;TRIM(MID(SUBSTITUTE(SUBSTITUTE(INDEX('CASE MASTER'!$N$2:$N$495,(SUMPRODUCT((('CASE MASTER'!$T$2:$T$495=1)*('CASE MASTER'!$U$2:$U$495&lt;=8)*('CASE MASTER'!$W$2:$W$495&gt;=8)*('CASE MASTER'!$V$2:$V$495&lt;=2)*('CASE MASTER'!$X$2:$X$495&gt;=2))*ROW('CASE MASTER'!$T$2:$T$495))-(ROW('CASE MASTER'!#REF!)-1))),":",","),",",REPT(" ",50)),((((8-INDEX('CASE MASTER'!$U$2:$U$495,(SUMPRODUCT((('CASE MASTER'!$T$2:$T$495=1)*('CASE MASTER'!$U$2:$U$495&lt;=8)*('CASE MASTER'!$W$2:$W$495&gt;=8)*('CASE MASTER'!$V$2:$V$495&lt;=2)*('CASE MASTER'!$X$2:$X$495&gt;=2))*ROW('CASE MASTER'!$T$2:$T$495))-(ROW('CASE MASTER'!#REF!)-1))))*(INDEX('CASE MASTER'!$X$2:$X$495,(SUMPRODUCT((('CASE MASTER'!$T$2:$T$495=1)*('CASE MASTER'!$U$2:$U$495&lt;=8)*('CASE MASTER'!$W$2:$W$495&gt;=8)*('CASE MASTER'!$V$2:$V$495&lt;=2)*('CASE MASTER'!$X$2:$X$495&gt;=2))*ROW('CASE MASTER'!$T$2:$T$495))-(ROW('CASE MASTER'!#REF!)-1)))-INDEX('CASE MASTER'!$V$2:$V$495,(SUMPRODUCT((('CASE MASTER'!$T$2:$T$495=1)*('CASE MASTER'!$U$2:$U$495&lt;=8)*('CASE MASTER'!$W$2:$W$495&gt;=8)*('CASE MASTER'!$V$2:$V$495&lt;=2)*('CASE MASTER'!$X$2:$X$495&gt;=2))*ROW('CASE MASTER'!$T$2:$T$495))-(ROW('CASE MASTER'!#REF!)-1)))+1)+(2-INDEX('CASE MASTER'!$V$2:$V$495,(SUMPRODUCT((('CASE MASTER'!$T$2:$T$495=1)*('CASE MASTER'!$U$2:$U$495&lt;=8)*('CASE MASTER'!$W$2:$W$495&gt;=8)*('CASE MASTER'!$V$2:$V$495&lt;=2)*('CASE MASTER'!$X$2:$X$495&gt;=2))*ROW('CASE MASTER'!$T$2:$T$495))-(ROW('CASE MASTER'!#REF!)-1))))+1))-1)*50+1,50))&amp;"_"&amp;INDEX('CASE MASTER'!$Q$2:$Q$495,(SUMPRODUCT((('CASE MASTER'!$T$2:$T$495=1)*('CASE MASTER'!$U$2:$U$495&lt;=8)*('CASE MASTER'!$W$2:$W$495&gt;=8)*('CASE MASTER'!$V$2:$V$495&lt;=2)*('CASE MASTER'!$X$2:$X$495&gt;=2))*ROW('CASE MASTER'!$T$2:$T$495))-(ROW('CASE MASTER'!#REF!)-1))),IF(SUMPRODUCT((('CASE MASTER'!$T$2:$T$495=1)*('CASE MASTER'!$AA$2:$AA$495&lt;=8)*('CASE MASTER'!$AC$2:$AC$495&gt;=8)*('CASE MASTER'!$AB$2:$AB$495&lt;=2)*('CASE MASTER'!$AD$2:$AD$495&gt;=2))*ROW('CASE MASTER'!$T$2:$T$495))&gt;0,INDEX('CASE MASTER'!$Y$2:$Y$495,(SUMPRODUCT((('CASE MASTER'!$T$2:$T$495=1)*('CASE MASTER'!$AA$2:$AA$495&lt;=8)*('CASE MASTER'!$AC$2:$AC$495&gt;=8)*('CASE MASTER'!$AB$2:$AB$495&lt;=2)*('CASE MASTER'!$AD$2:$AD$495&gt;=2))*ROW('CASE MASTER'!$T$2:$T$495))-(ROW('CASE MASTER'!#REF!)-1)))&amp;TRIM(MID(SUBSTITUTE(SUBSTITUTE(INDEX('CASE MASTER'!$N$2:$N$495,(SUMPRODUCT((('CASE MASTER'!$T$2:$T$495=1)*('CASE MASTER'!$AA$2:$AA$495&lt;=8)*('CASE MASTER'!$AC$2:$AC$495&gt;=8)*('CASE MASTER'!$AB$2:$AB$495&lt;=2)*('CASE MASTER'!$AD$2:$AD$495&gt;=2))*ROW('CASE MASTER'!$T$2:$T$495))-(ROW('CASE MASTER'!#REF!)-1))),":",","),",",REPT(" ",50)),(((INDEX('CASE MASTER'!$Z$2:$Z$495,(SUMPRODUCT((('CASE MASTER'!$T$2:$T$495=1)*('CASE MASTER'!$AA$2:$AA$495&lt;=8)*('CASE MASTER'!$AC$2:$AC$495&gt;=8)*('CASE MASTER'!$AB$2:$AB$495&lt;=2)*('CASE MASTER'!$AD$2:$AD$495&gt;=2))*ROW('CASE MASTER'!$T$2:$T$495))-(ROW('CASE MASTER'!#REF!)-1)))+((8-INDEX('CASE MASTER'!$AA$2:$AA$495,(SUMPRODUCT((('CASE MASTER'!$T$2:$T$495=1)*('CASE MASTER'!$AA$2:$AA$495&lt;=8)*('CASE MASTER'!$AC$2:$AC$495&gt;=8)*('CASE MASTER'!$AB$2:$AB$495&lt;=2)*('CASE MASTER'!$AD$2:$AD$495&gt;=2))*ROW('CASE MASTER'!$T$2:$T$495))-(ROW('CASE MASTER'!#REF!)-1))))*(INDEX('CASE MASTER'!$AD$2:$AD$495,(SUMPRODUCT((('CASE MASTER'!$T$2:$T$495=1)*('CASE MASTER'!$AA$2:$AA$495&lt;=8)*('CASE MASTER'!$AC$2:$AC$495&gt;=8)*('CASE MASTER'!$AB$2:$AB$495&lt;=2)*('CASE MASTER'!$AD$2:$AD$495&gt;=2))*ROW('CASE MASTER'!$T$2:$T$495))-(ROW('CASE MASTER'!#REF!)-1)))-INDEX('CASE MASTER'!$AB$2:$AB$495,(SUMPRODUCT((('CASE MASTER'!$T$2:$T$495=1)*('CASE MASTER'!$AA$2:$AA$495&lt;=8)*('CASE MASTER'!$AC$2:$AC$495&gt;=8)*('CASE MASTER'!$AB$2:$AB$495&lt;=2)*('CASE MASTER'!$AD$2:$AD$495&gt;=2))*ROW('CASE MASTER'!$T$2:$T$495))-(ROW('CASE MASTER'!#REF!)-1)))+1)+(2-INDEX('CASE MASTER'!$AB$2:$AB$495,(SUMPRODUCT((('CASE MASTER'!$T$2:$T$495=1)*('CASE MASTER'!$AA$2:$AA$495&lt;=8)*('CASE MASTER'!$AC$2:$AC$495&gt;=8)*('CASE MASTER'!$AB$2:$AB$495&lt;=2)*('CASE MASTER'!$AD$2:$AD$495&gt;=2))*ROW('CASE MASTER'!$T$2:$T$495))-(ROW('CASE MASTER'!#REF!)-1))))+1)))-1)*50+1,50))&amp;"_"&amp;INDEX('CASE MASTER'!$Q$2:$Q$495,(SUMPRODUCT((('CASE MASTER'!$T$2:$T$495=1)*('CASE MASTER'!$AA$2:$AA$495&lt;=8)*('CASE MASTER'!$AC$2:$AC$495&gt;=8)*('CASE MASTER'!$AB$2:$AB$495&lt;=2)*('CASE MASTER'!$AD$2:$AD$495&gt;=2))*ROW('CASE MASTER'!$T$2:$T$495))-(ROW('CASE MASTER'!#REF!)-1))),"")),"")</f>
        <v/>
      </c>
      <c r="D10" s="10" t="str">
        <f>IFERROR(IF(SUMPRODUCT((('CASE MASTER'!$T$2:$T$495=1)*('CASE MASTER'!$U$2:$U$495&lt;=8)*('CASE MASTER'!$W$2:$W$495&gt;=8)*('CASE MASTER'!$V$2:$V$495&lt;=3)*('CASE MASTER'!$X$2:$X$495&gt;=3))*ROW('CASE MASTER'!$T$2:$T$495))&gt;0,INDEX('CASE MASTER'!$Y$2:$Y$495,(SUMPRODUCT((('CASE MASTER'!$T$2:$T$495=1)*('CASE MASTER'!$U$2:$U$495&lt;=8)*('CASE MASTER'!$W$2:$W$495&gt;=8)*('CASE MASTER'!$V$2:$V$495&lt;=3)*('CASE MASTER'!$X$2:$X$495&gt;=3))*ROW('CASE MASTER'!$T$2:$T$495))-(ROW('CASE MASTER'!#REF!)-1)))&amp;TRIM(MID(SUBSTITUTE(SUBSTITUTE(INDEX('CASE MASTER'!$N$2:$N$495,(SUMPRODUCT((('CASE MASTER'!$T$2:$T$495=1)*('CASE MASTER'!$U$2:$U$495&lt;=8)*('CASE MASTER'!$W$2:$W$495&gt;=8)*('CASE MASTER'!$V$2:$V$495&lt;=3)*('CASE MASTER'!$X$2:$X$495&gt;=3))*ROW('CASE MASTER'!$T$2:$T$495))-(ROW('CASE MASTER'!#REF!)-1))),":",","),",",REPT(" ",50)),((((8-INDEX('CASE MASTER'!$U$2:$U$495,(SUMPRODUCT((('CASE MASTER'!$T$2:$T$495=1)*('CASE MASTER'!$U$2:$U$495&lt;=8)*('CASE MASTER'!$W$2:$W$495&gt;=8)*('CASE MASTER'!$V$2:$V$495&lt;=3)*('CASE MASTER'!$X$2:$X$495&gt;=3))*ROW('CASE MASTER'!$T$2:$T$495))-(ROW('CASE MASTER'!#REF!)-1))))*(INDEX('CASE MASTER'!$X$2:$X$495,(SUMPRODUCT((('CASE MASTER'!$T$2:$T$495=1)*('CASE MASTER'!$U$2:$U$495&lt;=8)*('CASE MASTER'!$W$2:$W$495&gt;=8)*('CASE MASTER'!$V$2:$V$495&lt;=3)*('CASE MASTER'!$X$2:$X$495&gt;=3))*ROW('CASE MASTER'!$T$2:$T$495))-(ROW('CASE MASTER'!#REF!)-1)))-INDEX('CASE MASTER'!$V$2:$V$495,(SUMPRODUCT((('CASE MASTER'!$T$2:$T$495=1)*('CASE MASTER'!$U$2:$U$495&lt;=8)*('CASE MASTER'!$W$2:$W$495&gt;=8)*('CASE MASTER'!$V$2:$V$495&lt;=3)*('CASE MASTER'!$X$2:$X$495&gt;=3))*ROW('CASE MASTER'!$T$2:$T$495))-(ROW('CASE MASTER'!#REF!)-1)))+1)+(3-INDEX('CASE MASTER'!$V$2:$V$495,(SUMPRODUCT((('CASE MASTER'!$T$2:$T$495=1)*('CASE MASTER'!$U$2:$U$495&lt;=8)*('CASE MASTER'!$W$2:$W$495&gt;=8)*('CASE MASTER'!$V$2:$V$495&lt;=3)*('CASE MASTER'!$X$2:$X$495&gt;=3))*ROW('CASE MASTER'!$T$2:$T$495))-(ROW('CASE MASTER'!#REF!)-1))))+1))-1)*50+1,50))&amp;"_"&amp;INDEX('CASE MASTER'!$Q$2:$Q$495,(SUMPRODUCT((('CASE MASTER'!$T$2:$T$495=1)*('CASE MASTER'!$U$2:$U$495&lt;=8)*('CASE MASTER'!$W$2:$W$495&gt;=8)*('CASE MASTER'!$V$2:$V$495&lt;=3)*('CASE MASTER'!$X$2:$X$495&gt;=3))*ROW('CASE MASTER'!$T$2:$T$495))-(ROW('CASE MASTER'!#REF!)-1))),IF(SUMPRODUCT((('CASE MASTER'!$T$2:$T$495=1)*('CASE MASTER'!$AA$2:$AA$495&lt;=8)*('CASE MASTER'!$AC$2:$AC$495&gt;=8)*('CASE MASTER'!$AB$2:$AB$495&lt;=3)*('CASE MASTER'!$AD$2:$AD$495&gt;=3))*ROW('CASE MASTER'!$T$2:$T$495))&gt;0,INDEX('CASE MASTER'!$Y$2:$Y$495,(SUMPRODUCT((('CASE MASTER'!$T$2:$T$495=1)*('CASE MASTER'!$AA$2:$AA$495&lt;=8)*('CASE MASTER'!$AC$2:$AC$495&gt;=8)*('CASE MASTER'!$AB$2:$AB$495&lt;=3)*('CASE MASTER'!$AD$2:$AD$495&gt;=3))*ROW('CASE MASTER'!$T$2:$T$495))-(ROW('CASE MASTER'!#REF!)-1)))&amp;TRIM(MID(SUBSTITUTE(SUBSTITUTE(INDEX('CASE MASTER'!$N$2:$N$495,(SUMPRODUCT((('CASE MASTER'!$T$2:$T$495=1)*('CASE MASTER'!$AA$2:$AA$495&lt;=8)*('CASE MASTER'!$AC$2:$AC$495&gt;=8)*('CASE MASTER'!$AB$2:$AB$495&lt;=3)*('CASE MASTER'!$AD$2:$AD$495&gt;=3))*ROW('CASE MASTER'!$T$2:$T$495))-(ROW('CASE MASTER'!#REF!)-1))),":",","),",",REPT(" ",50)),(((INDEX('CASE MASTER'!$Z$2:$Z$495,(SUMPRODUCT((('CASE MASTER'!$T$2:$T$495=1)*('CASE MASTER'!$AA$2:$AA$495&lt;=8)*('CASE MASTER'!$AC$2:$AC$495&gt;=8)*('CASE MASTER'!$AB$2:$AB$495&lt;=3)*('CASE MASTER'!$AD$2:$AD$495&gt;=3))*ROW('CASE MASTER'!$T$2:$T$495))-(ROW('CASE MASTER'!#REF!)-1)))+((8-INDEX('CASE MASTER'!$AA$2:$AA$495,(SUMPRODUCT((('CASE MASTER'!$T$2:$T$495=1)*('CASE MASTER'!$AA$2:$AA$495&lt;=8)*('CASE MASTER'!$AC$2:$AC$495&gt;=8)*('CASE MASTER'!$AB$2:$AB$495&lt;=3)*('CASE MASTER'!$AD$2:$AD$495&gt;=3))*ROW('CASE MASTER'!$T$2:$T$495))-(ROW('CASE MASTER'!#REF!)-1))))*(INDEX('CASE MASTER'!$AD$2:$AD$495,(SUMPRODUCT((('CASE MASTER'!$T$2:$T$495=1)*('CASE MASTER'!$AA$2:$AA$495&lt;=8)*('CASE MASTER'!$AC$2:$AC$495&gt;=8)*('CASE MASTER'!$AB$2:$AB$495&lt;=3)*('CASE MASTER'!$AD$2:$AD$495&gt;=3))*ROW('CASE MASTER'!$T$2:$T$495))-(ROW('CASE MASTER'!#REF!)-1)))-INDEX('CASE MASTER'!$AB$2:$AB$495,(SUMPRODUCT((('CASE MASTER'!$T$2:$T$495=1)*('CASE MASTER'!$AA$2:$AA$495&lt;=8)*('CASE MASTER'!$AC$2:$AC$495&gt;=8)*('CASE MASTER'!$AB$2:$AB$495&lt;=3)*('CASE MASTER'!$AD$2:$AD$495&gt;=3))*ROW('CASE MASTER'!$T$2:$T$495))-(ROW('CASE MASTER'!#REF!)-1)))+1)+(3-INDEX('CASE MASTER'!$AB$2:$AB$495,(SUMPRODUCT((('CASE MASTER'!$T$2:$T$495=1)*('CASE MASTER'!$AA$2:$AA$495&lt;=8)*('CASE MASTER'!$AC$2:$AC$495&gt;=8)*('CASE MASTER'!$AB$2:$AB$495&lt;=3)*('CASE MASTER'!$AD$2:$AD$495&gt;=3))*ROW('CASE MASTER'!$T$2:$T$495))-(ROW('CASE MASTER'!#REF!)-1))))+1)))-1)*50+1,50))&amp;"_"&amp;INDEX('CASE MASTER'!$Q$2:$Q$495,(SUMPRODUCT((('CASE MASTER'!$T$2:$T$495=1)*('CASE MASTER'!$AA$2:$AA$495&lt;=8)*('CASE MASTER'!$AC$2:$AC$495&gt;=8)*('CASE MASTER'!$AB$2:$AB$495&lt;=3)*('CASE MASTER'!$AD$2:$AD$495&gt;=3))*ROW('CASE MASTER'!$T$2:$T$495))-(ROW('CASE MASTER'!#REF!)-1))),"")),"")</f>
        <v/>
      </c>
      <c r="E10" s="10" t="str">
        <f>IFERROR(IF(SUMPRODUCT((('CASE MASTER'!$T$2:$T$495=1)*('CASE MASTER'!$U$2:$U$495&lt;=8)*('CASE MASTER'!$W$2:$W$495&gt;=8)*('CASE MASTER'!$V$2:$V$495&lt;=4)*('CASE MASTER'!$X$2:$X$495&gt;=4))*ROW('CASE MASTER'!$T$2:$T$495))&gt;0,INDEX('CASE MASTER'!$Y$2:$Y$495,(SUMPRODUCT((('CASE MASTER'!$T$2:$T$495=1)*('CASE MASTER'!$U$2:$U$495&lt;=8)*('CASE MASTER'!$W$2:$W$495&gt;=8)*('CASE MASTER'!$V$2:$V$495&lt;=4)*('CASE MASTER'!$X$2:$X$495&gt;=4))*ROW('CASE MASTER'!$T$2:$T$495))-(ROW('CASE MASTER'!#REF!)-1)))&amp;TRIM(MID(SUBSTITUTE(SUBSTITUTE(INDEX('CASE MASTER'!$N$2:$N$495,(SUMPRODUCT((('CASE MASTER'!$T$2:$T$495=1)*('CASE MASTER'!$U$2:$U$495&lt;=8)*('CASE MASTER'!$W$2:$W$495&gt;=8)*('CASE MASTER'!$V$2:$V$495&lt;=4)*('CASE MASTER'!$X$2:$X$495&gt;=4))*ROW('CASE MASTER'!$T$2:$T$495))-(ROW('CASE MASTER'!#REF!)-1))),":",","),",",REPT(" ",50)),((((8-INDEX('CASE MASTER'!$U$2:$U$495,(SUMPRODUCT((('CASE MASTER'!$T$2:$T$495=1)*('CASE MASTER'!$U$2:$U$495&lt;=8)*('CASE MASTER'!$W$2:$W$495&gt;=8)*('CASE MASTER'!$V$2:$V$495&lt;=4)*('CASE MASTER'!$X$2:$X$495&gt;=4))*ROW('CASE MASTER'!$T$2:$T$495))-(ROW('CASE MASTER'!#REF!)-1))))*(INDEX('CASE MASTER'!$X$2:$X$495,(SUMPRODUCT((('CASE MASTER'!$T$2:$T$495=1)*('CASE MASTER'!$U$2:$U$495&lt;=8)*('CASE MASTER'!$W$2:$W$495&gt;=8)*('CASE MASTER'!$V$2:$V$495&lt;=4)*('CASE MASTER'!$X$2:$X$495&gt;=4))*ROW('CASE MASTER'!$T$2:$T$495))-(ROW('CASE MASTER'!#REF!)-1)))-INDEX('CASE MASTER'!$V$2:$V$495,(SUMPRODUCT((('CASE MASTER'!$T$2:$T$495=1)*('CASE MASTER'!$U$2:$U$495&lt;=8)*('CASE MASTER'!$W$2:$W$495&gt;=8)*('CASE MASTER'!$V$2:$V$495&lt;=4)*('CASE MASTER'!$X$2:$X$495&gt;=4))*ROW('CASE MASTER'!$T$2:$T$495))-(ROW('CASE MASTER'!#REF!)-1)))+1)+(4-INDEX('CASE MASTER'!$V$2:$V$495,(SUMPRODUCT((('CASE MASTER'!$T$2:$T$495=1)*('CASE MASTER'!$U$2:$U$495&lt;=8)*('CASE MASTER'!$W$2:$W$495&gt;=8)*('CASE MASTER'!$V$2:$V$495&lt;=4)*('CASE MASTER'!$X$2:$X$495&gt;=4))*ROW('CASE MASTER'!$T$2:$T$495))-(ROW('CASE MASTER'!#REF!)-1))))+1))-1)*50+1,50))&amp;"_"&amp;INDEX('CASE MASTER'!$Q$2:$Q$495,(SUMPRODUCT((('CASE MASTER'!$T$2:$T$495=1)*('CASE MASTER'!$U$2:$U$495&lt;=8)*('CASE MASTER'!$W$2:$W$495&gt;=8)*('CASE MASTER'!$V$2:$V$495&lt;=4)*('CASE MASTER'!$X$2:$X$495&gt;=4))*ROW('CASE MASTER'!$T$2:$T$495))-(ROW('CASE MASTER'!#REF!)-1))),IF(SUMPRODUCT((('CASE MASTER'!$T$2:$T$495=1)*('CASE MASTER'!$AA$2:$AA$495&lt;=8)*('CASE MASTER'!$AC$2:$AC$495&gt;=8)*('CASE MASTER'!$AB$2:$AB$495&lt;=4)*('CASE MASTER'!$AD$2:$AD$495&gt;=4))*ROW('CASE MASTER'!$T$2:$T$495))&gt;0,INDEX('CASE MASTER'!$Y$2:$Y$495,(SUMPRODUCT((('CASE MASTER'!$T$2:$T$495=1)*('CASE MASTER'!$AA$2:$AA$495&lt;=8)*('CASE MASTER'!$AC$2:$AC$495&gt;=8)*('CASE MASTER'!$AB$2:$AB$495&lt;=4)*('CASE MASTER'!$AD$2:$AD$495&gt;=4))*ROW('CASE MASTER'!$T$2:$T$495))-(ROW('CASE MASTER'!#REF!)-1)))&amp;TRIM(MID(SUBSTITUTE(SUBSTITUTE(INDEX('CASE MASTER'!$N$2:$N$495,(SUMPRODUCT((('CASE MASTER'!$T$2:$T$495=1)*('CASE MASTER'!$AA$2:$AA$495&lt;=8)*('CASE MASTER'!$AC$2:$AC$495&gt;=8)*('CASE MASTER'!$AB$2:$AB$495&lt;=4)*('CASE MASTER'!$AD$2:$AD$495&gt;=4))*ROW('CASE MASTER'!$T$2:$T$495))-(ROW('CASE MASTER'!#REF!)-1))),":",","),",",REPT(" ",50)),(((INDEX('CASE MASTER'!$Z$2:$Z$495,(SUMPRODUCT((('CASE MASTER'!$T$2:$T$495=1)*('CASE MASTER'!$AA$2:$AA$495&lt;=8)*('CASE MASTER'!$AC$2:$AC$495&gt;=8)*('CASE MASTER'!$AB$2:$AB$495&lt;=4)*('CASE MASTER'!$AD$2:$AD$495&gt;=4))*ROW('CASE MASTER'!$T$2:$T$495))-(ROW('CASE MASTER'!#REF!)-1)))+((8-INDEX('CASE MASTER'!$AA$2:$AA$495,(SUMPRODUCT((('CASE MASTER'!$T$2:$T$495=1)*('CASE MASTER'!$AA$2:$AA$495&lt;=8)*('CASE MASTER'!$AC$2:$AC$495&gt;=8)*('CASE MASTER'!$AB$2:$AB$495&lt;=4)*('CASE MASTER'!$AD$2:$AD$495&gt;=4))*ROW('CASE MASTER'!$T$2:$T$495))-(ROW('CASE MASTER'!#REF!)-1))))*(INDEX('CASE MASTER'!$AD$2:$AD$495,(SUMPRODUCT((('CASE MASTER'!$T$2:$T$495=1)*('CASE MASTER'!$AA$2:$AA$495&lt;=8)*('CASE MASTER'!$AC$2:$AC$495&gt;=8)*('CASE MASTER'!$AB$2:$AB$495&lt;=4)*('CASE MASTER'!$AD$2:$AD$495&gt;=4))*ROW('CASE MASTER'!$T$2:$T$495))-(ROW('CASE MASTER'!#REF!)-1)))-INDEX('CASE MASTER'!$AB$2:$AB$495,(SUMPRODUCT((('CASE MASTER'!$T$2:$T$495=1)*('CASE MASTER'!$AA$2:$AA$495&lt;=8)*('CASE MASTER'!$AC$2:$AC$495&gt;=8)*('CASE MASTER'!$AB$2:$AB$495&lt;=4)*('CASE MASTER'!$AD$2:$AD$495&gt;=4))*ROW('CASE MASTER'!$T$2:$T$495))-(ROW('CASE MASTER'!#REF!)-1)))+1)+(4-INDEX('CASE MASTER'!$AB$2:$AB$495,(SUMPRODUCT((('CASE MASTER'!$T$2:$T$495=1)*('CASE MASTER'!$AA$2:$AA$495&lt;=8)*('CASE MASTER'!$AC$2:$AC$495&gt;=8)*('CASE MASTER'!$AB$2:$AB$495&lt;=4)*('CASE MASTER'!$AD$2:$AD$495&gt;=4))*ROW('CASE MASTER'!$T$2:$T$495))-(ROW('CASE MASTER'!#REF!)-1))))+1)))-1)*50+1,50))&amp;"_"&amp;INDEX('CASE MASTER'!$Q$2:$Q$495,(SUMPRODUCT((('CASE MASTER'!$T$2:$T$495=1)*('CASE MASTER'!$AA$2:$AA$495&lt;=8)*('CASE MASTER'!$AC$2:$AC$495&gt;=8)*('CASE MASTER'!$AB$2:$AB$495&lt;=4)*('CASE MASTER'!$AD$2:$AD$495&gt;=4))*ROW('CASE MASTER'!$T$2:$T$495))-(ROW('CASE MASTER'!#REF!)-1))),"")),"")</f>
        <v/>
      </c>
      <c r="F10" s="10" t="str">
        <f>IFERROR(IF(SUMPRODUCT((('CASE MASTER'!$T$2:$T$495=1)*('CASE MASTER'!$U$2:$U$495&lt;=8)*('CASE MASTER'!$W$2:$W$495&gt;=8)*('CASE MASTER'!$V$2:$V$495&lt;=5)*('CASE MASTER'!$X$2:$X$495&gt;=5))*ROW('CASE MASTER'!$T$2:$T$495))&gt;0,INDEX('CASE MASTER'!$Y$2:$Y$495,(SUMPRODUCT((('CASE MASTER'!$T$2:$T$495=1)*('CASE MASTER'!$U$2:$U$495&lt;=8)*('CASE MASTER'!$W$2:$W$495&gt;=8)*('CASE MASTER'!$V$2:$V$495&lt;=5)*('CASE MASTER'!$X$2:$X$495&gt;=5))*ROW('CASE MASTER'!$T$2:$T$495))-(ROW('CASE MASTER'!#REF!)-1)))&amp;TRIM(MID(SUBSTITUTE(SUBSTITUTE(INDEX('CASE MASTER'!$N$2:$N$495,(SUMPRODUCT((('CASE MASTER'!$T$2:$T$495=1)*('CASE MASTER'!$U$2:$U$495&lt;=8)*('CASE MASTER'!$W$2:$W$495&gt;=8)*('CASE MASTER'!$V$2:$V$495&lt;=5)*('CASE MASTER'!$X$2:$X$495&gt;=5))*ROW('CASE MASTER'!$T$2:$T$495))-(ROW('CASE MASTER'!#REF!)-1))),":",","),",",REPT(" ",50)),((((8-INDEX('CASE MASTER'!$U$2:$U$495,(SUMPRODUCT((('CASE MASTER'!$T$2:$T$495=1)*('CASE MASTER'!$U$2:$U$495&lt;=8)*('CASE MASTER'!$W$2:$W$495&gt;=8)*('CASE MASTER'!$V$2:$V$495&lt;=5)*('CASE MASTER'!$X$2:$X$495&gt;=5))*ROW('CASE MASTER'!$T$2:$T$495))-(ROW('CASE MASTER'!#REF!)-1))))*(INDEX('CASE MASTER'!$X$2:$X$495,(SUMPRODUCT((('CASE MASTER'!$T$2:$T$495=1)*('CASE MASTER'!$U$2:$U$495&lt;=8)*('CASE MASTER'!$W$2:$W$495&gt;=8)*('CASE MASTER'!$V$2:$V$495&lt;=5)*('CASE MASTER'!$X$2:$X$495&gt;=5))*ROW('CASE MASTER'!$T$2:$T$495))-(ROW('CASE MASTER'!#REF!)-1)))-INDEX('CASE MASTER'!$V$2:$V$495,(SUMPRODUCT((('CASE MASTER'!$T$2:$T$495=1)*('CASE MASTER'!$U$2:$U$495&lt;=8)*('CASE MASTER'!$W$2:$W$495&gt;=8)*('CASE MASTER'!$V$2:$V$495&lt;=5)*('CASE MASTER'!$X$2:$X$495&gt;=5))*ROW('CASE MASTER'!$T$2:$T$495))-(ROW('CASE MASTER'!#REF!)-1)))+1)+(5-INDEX('CASE MASTER'!$V$2:$V$495,(SUMPRODUCT((('CASE MASTER'!$T$2:$T$495=1)*('CASE MASTER'!$U$2:$U$495&lt;=8)*('CASE MASTER'!$W$2:$W$495&gt;=8)*('CASE MASTER'!$V$2:$V$495&lt;=5)*('CASE MASTER'!$X$2:$X$495&gt;=5))*ROW('CASE MASTER'!$T$2:$T$495))-(ROW('CASE MASTER'!#REF!)-1))))+1))-1)*50+1,50))&amp;"_"&amp;INDEX('CASE MASTER'!$Q$2:$Q$495,(SUMPRODUCT((('CASE MASTER'!$T$2:$T$495=1)*('CASE MASTER'!$U$2:$U$495&lt;=8)*('CASE MASTER'!$W$2:$W$495&gt;=8)*('CASE MASTER'!$V$2:$V$495&lt;=5)*('CASE MASTER'!$X$2:$X$495&gt;=5))*ROW('CASE MASTER'!$T$2:$T$495))-(ROW('CASE MASTER'!#REF!)-1))),IF(SUMPRODUCT((('CASE MASTER'!$T$2:$T$495=1)*('CASE MASTER'!$AA$2:$AA$495&lt;=8)*('CASE MASTER'!$AC$2:$AC$495&gt;=8)*('CASE MASTER'!$AB$2:$AB$495&lt;=5)*('CASE MASTER'!$AD$2:$AD$495&gt;=5))*ROW('CASE MASTER'!$T$2:$T$495))&gt;0,INDEX('CASE MASTER'!$Y$2:$Y$495,(SUMPRODUCT((('CASE MASTER'!$T$2:$T$495=1)*('CASE MASTER'!$AA$2:$AA$495&lt;=8)*('CASE MASTER'!$AC$2:$AC$495&gt;=8)*('CASE MASTER'!$AB$2:$AB$495&lt;=5)*('CASE MASTER'!$AD$2:$AD$495&gt;=5))*ROW('CASE MASTER'!$T$2:$T$495))-(ROW('CASE MASTER'!#REF!)-1)))&amp;TRIM(MID(SUBSTITUTE(SUBSTITUTE(INDEX('CASE MASTER'!$N$2:$N$495,(SUMPRODUCT((('CASE MASTER'!$T$2:$T$495=1)*('CASE MASTER'!$AA$2:$AA$495&lt;=8)*('CASE MASTER'!$AC$2:$AC$495&gt;=8)*('CASE MASTER'!$AB$2:$AB$495&lt;=5)*('CASE MASTER'!$AD$2:$AD$495&gt;=5))*ROW('CASE MASTER'!$T$2:$T$495))-(ROW('CASE MASTER'!#REF!)-1))),":",","),",",REPT(" ",50)),(((INDEX('CASE MASTER'!$Z$2:$Z$495,(SUMPRODUCT((('CASE MASTER'!$T$2:$T$495=1)*('CASE MASTER'!$AA$2:$AA$495&lt;=8)*('CASE MASTER'!$AC$2:$AC$495&gt;=8)*('CASE MASTER'!$AB$2:$AB$495&lt;=5)*('CASE MASTER'!$AD$2:$AD$495&gt;=5))*ROW('CASE MASTER'!$T$2:$T$495))-(ROW('CASE MASTER'!#REF!)-1)))+((8-INDEX('CASE MASTER'!$AA$2:$AA$495,(SUMPRODUCT((('CASE MASTER'!$T$2:$T$495=1)*('CASE MASTER'!$AA$2:$AA$495&lt;=8)*('CASE MASTER'!$AC$2:$AC$495&gt;=8)*('CASE MASTER'!$AB$2:$AB$495&lt;=5)*('CASE MASTER'!$AD$2:$AD$495&gt;=5))*ROW('CASE MASTER'!$T$2:$T$495))-(ROW('CASE MASTER'!#REF!)-1))))*(INDEX('CASE MASTER'!$AD$2:$AD$495,(SUMPRODUCT((('CASE MASTER'!$T$2:$T$495=1)*('CASE MASTER'!$AA$2:$AA$495&lt;=8)*('CASE MASTER'!$AC$2:$AC$495&gt;=8)*('CASE MASTER'!$AB$2:$AB$495&lt;=5)*('CASE MASTER'!$AD$2:$AD$495&gt;=5))*ROW('CASE MASTER'!$T$2:$T$495))-(ROW('CASE MASTER'!#REF!)-1)))-INDEX('CASE MASTER'!$AB$2:$AB$495,(SUMPRODUCT((('CASE MASTER'!$T$2:$T$495=1)*('CASE MASTER'!$AA$2:$AA$495&lt;=8)*('CASE MASTER'!$AC$2:$AC$495&gt;=8)*('CASE MASTER'!$AB$2:$AB$495&lt;=5)*('CASE MASTER'!$AD$2:$AD$495&gt;=5))*ROW('CASE MASTER'!$T$2:$T$495))-(ROW('CASE MASTER'!#REF!)-1)))+1)+(5-INDEX('CASE MASTER'!$AB$2:$AB$495,(SUMPRODUCT((('CASE MASTER'!$T$2:$T$495=1)*('CASE MASTER'!$AA$2:$AA$495&lt;=8)*('CASE MASTER'!$AC$2:$AC$495&gt;=8)*('CASE MASTER'!$AB$2:$AB$495&lt;=5)*('CASE MASTER'!$AD$2:$AD$495&gt;=5))*ROW('CASE MASTER'!$T$2:$T$495))-(ROW('CASE MASTER'!#REF!)-1))))+1)))-1)*50+1,50))&amp;"_"&amp;INDEX('CASE MASTER'!$Q$2:$Q$495,(SUMPRODUCT((('CASE MASTER'!$T$2:$T$495=1)*('CASE MASTER'!$AA$2:$AA$495&lt;=8)*('CASE MASTER'!$AC$2:$AC$495&gt;=8)*('CASE MASTER'!$AB$2:$AB$495&lt;=5)*('CASE MASTER'!$AD$2:$AD$495&gt;=5))*ROW('CASE MASTER'!$T$2:$T$495))-(ROW('CASE MASTER'!#REF!)-1))),"")),"")</f>
        <v/>
      </c>
      <c r="G10" s="10" t="str">
        <f>IFERROR(IF(SUMPRODUCT((('CASE MASTER'!$T$2:$T$495=1)*('CASE MASTER'!$U$2:$U$495&lt;=8)*('CASE MASTER'!$W$2:$W$495&gt;=8)*('CASE MASTER'!$V$2:$V$495&lt;=6)*('CASE MASTER'!$X$2:$X$495&gt;=6))*ROW('CASE MASTER'!$T$2:$T$495))&gt;0,INDEX('CASE MASTER'!$Y$2:$Y$495,(SUMPRODUCT((('CASE MASTER'!$T$2:$T$495=1)*('CASE MASTER'!$U$2:$U$495&lt;=8)*('CASE MASTER'!$W$2:$W$495&gt;=8)*('CASE MASTER'!$V$2:$V$495&lt;=6)*('CASE MASTER'!$X$2:$X$495&gt;=6))*ROW('CASE MASTER'!$T$2:$T$495))-(ROW('CASE MASTER'!#REF!)-1)))&amp;TRIM(MID(SUBSTITUTE(SUBSTITUTE(INDEX('CASE MASTER'!$N$2:$N$495,(SUMPRODUCT((('CASE MASTER'!$T$2:$T$495=1)*('CASE MASTER'!$U$2:$U$495&lt;=8)*('CASE MASTER'!$W$2:$W$495&gt;=8)*('CASE MASTER'!$V$2:$V$495&lt;=6)*('CASE MASTER'!$X$2:$X$495&gt;=6))*ROW('CASE MASTER'!$T$2:$T$495))-(ROW('CASE MASTER'!#REF!)-1))),":",","),",",REPT(" ",50)),((((8-INDEX('CASE MASTER'!$U$2:$U$495,(SUMPRODUCT((('CASE MASTER'!$T$2:$T$495=1)*('CASE MASTER'!$U$2:$U$495&lt;=8)*('CASE MASTER'!$W$2:$W$495&gt;=8)*('CASE MASTER'!$V$2:$V$495&lt;=6)*('CASE MASTER'!$X$2:$X$495&gt;=6))*ROW('CASE MASTER'!$T$2:$T$495))-(ROW('CASE MASTER'!#REF!)-1))))*(INDEX('CASE MASTER'!$X$2:$X$495,(SUMPRODUCT((('CASE MASTER'!$T$2:$T$495=1)*('CASE MASTER'!$U$2:$U$495&lt;=8)*('CASE MASTER'!$W$2:$W$495&gt;=8)*('CASE MASTER'!$V$2:$V$495&lt;=6)*('CASE MASTER'!$X$2:$X$495&gt;=6))*ROW('CASE MASTER'!$T$2:$T$495))-(ROW('CASE MASTER'!#REF!)-1)))-INDEX('CASE MASTER'!$V$2:$V$495,(SUMPRODUCT((('CASE MASTER'!$T$2:$T$495=1)*('CASE MASTER'!$U$2:$U$495&lt;=8)*('CASE MASTER'!$W$2:$W$495&gt;=8)*('CASE MASTER'!$V$2:$V$495&lt;=6)*('CASE MASTER'!$X$2:$X$495&gt;=6))*ROW('CASE MASTER'!$T$2:$T$495))-(ROW('CASE MASTER'!#REF!)-1)))+1)+(6-INDEX('CASE MASTER'!$V$2:$V$495,(SUMPRODUCT((('CASE MASTER'!$T$2:$T$495=1)*('CASE MASTER'!$U$2:$U$495&lt;=8)*('CASE MASTER'!$W$2:$W$495&gt;=8)*('CASE MASTER'!$V$2:$V$495&lt;=6)*('CASE MASTER'!$X$2:$X$495&gt;=6))*ROW('CASE MASTER'!$T$2:$T$495))-(ROW('CASE MASTER'!#REF!)-1))))+1))-1)*50+1,50))&amp;"_"&amp;INDEX('CASE MASTER'!$Q$2:$Q$495,(SUMPRODUCT((('CASE MASTER'!$T$2:$T$495=1)*('CASE MASTER'!$U$2:$U$495&lt;=8)*('CASE MASTER'!$W$2:$W$495&gt;=8)*('CASE MASTER'!$V$2:$V$495&lt;=6)*('CASE MASTER'!$X$2:$X$495&gt;=6))*ROW('CASE MASTER'!$T$2:$T$495))-(ROW('CASE MASTER'!#REF!)-1))),IF(SUMPRODUCT((('CASE MASTER'!$T$2:$T$495=1)*('CASE MASTER'!$AA$2:$AA$495&lt;=8)*('CASE MASTER'!$AC$2:$AC$495&gt;=8)*('CASE MASTER'!$AB$2:$AB$495&lt;=6)*('CASE MASTER'!$AD$2:$AD$495&gt;=6))*ROW('CASE MASTER'!$T$2:$T$495))&gt;0,INDEX('CASE MASTER'!$Y$2:$Y$495,(SUMPRODUCT((('CASE MASTER'!$T$2:$T$495=1)*('CASE MASTER'!$AA$2:$AA$495&lt;=8)*('CASE MASTER'!$AC$2:$AC$495&gt;=8)*('CASE MASTER'!$AB$2:$AB$495&lt;=6)*('CASE MASTER'!$AD$2:$AD$495&gt;=6))*ROW('CASE MASTER'!$T$2:$T$495))-(ROW('CASE MASTER'!#REF!)-1)))&amp;TRIM(MID(SUBSTITUTE(SUBSTITUTE(INDEX('CASE MASTER'!$N$2:$N$495,(SUMPRODUCT((('CASE MASTER'!$T$2:$T$495=1)*('CASE MASTER'!$AA$2:$AA$495&lt;=8)*('CASE MASTER'!$AC$2:$AC$495&gt;=8)*('CASE MASTER'!$AB$2:$AB$495&lt;=6)*('CASE MASTER'!$AD$2:$AD$495&gt;=6))*ROW('CASE MASTER'!$T$2:$T$495))-(ROW('CASE MASTER'!#REF!)-1))),":",","),",",REPT(" ",50)),(((INDEX('CASE MASTER'!$Z$2:$Z$495,(SUMPRODUCT((('CASE MASTER'!$T$2:$T$495=1)*('CASE MASTER'!$AA$2:$AA$495&lt;=8)*('CASE MASTER'!$AC$2:$AC$495&gt;=8)*('CASE MASTER'!$AB$2:$AB$495&lt;=6)*('CASE MASTER'!$AD$2:$AD$495&gt;=6))*ROW('CASE MASTER'!$T$2:$T$495))-(ROW('CASE MASTER'!#REF!)-1)))+((8-INDEX('CASE MASTER'!$AA$2:$AA$495,(SUMPRODUCT((('CASE MASTER'!$T$2:$T$495=1)*('CASE MASTER'!$AA$2:$AA$495&lt;=8)*('CASE MASTER'!$AC$2:$AC$495&gt;=8)*('CASE MASTER'!$AB$2:$AB$495&lt;=6)*('CASE MASTER'!$AD$2:$AD$495&gt;=6))*ROW('CASE MASTER'!$T$2:$T$495))-(ROW('CASE MASTER'!#REF!)-1))))*(INDEX('CASE MASTER'!$AD$2:$AD$495,(SUMPRODUCT((('CASE MASTER'!$T$2:$T$495=1)*('CASE MASTER'!$AA$2:$AA$495&lt;=8)*('CASE MASTER'!$AC$2:$AC$495&gt;=8)*('CASE MASTER'!$AB$2:$AB$495&lt;=6)*('CASE MASTER'!$AD$2:$AD$495&gt;=6))*ROW('CASE MASTER'!$T$2:$T$495))-(ROW('CASE MASTER'!#REF!)-1)))-INDEX('CASE MASTER'!$AB$2:$AB$495,(SUMPRODUCT((('CASE MASTER'!$T$2:$T$495=1)*('CASE MASTER'!$AA$2:$AA$495&lt;=8)*('CASE MASTER'!$AC$2:$AC$495&gt;=8)*('CASE MASTER'!$AB$2:$AB$495&lt;=6)*('CASE MASTER'!$AD$2:$AD$495&gt;=6))*ROW('CASE MASTER'!$T$2:$T$495))-(ROW('CASE MASTER'!#REF!)-1)))+1)+(6-INDEX('CASE MASTER'!$AB$2:$AB$495,(SUMPRODUCT((('CASE MASTER'!$T$2:$T$495=1)*('CASE MASTER'!$AA$2:$AA$495&lt;=8)*('CASE MASTER'!$AC$2:$AC$495&gt;=8)*('CASE MASTER'!$AB$2:$AB$495&lt;=6)*('CASE MASTER'!$AD$2:$AD$495&gt;=6))*ROW('CASE MASTER'!$T$2:$T$495))-(ROW('CASE MASTER'!#REF!)-1))))+1)))-1)*50+1,50))&amp;"_"&amp;INDEX('CASE MASTER'!$Q$2:$Q$495,(SUMPRODUCT((('CASE MASTER'!$T$2:$T$495=1)*('CASE MASTER'!$AA$2:$AA$495&lt;=8)*('CASE MASTER'!$AC$2:$AC$495&gt;=8)*('CASE MASTER'!$AB$2:$AB$495&lt;=6)*('CASE MASTER'!$AD$2:$AD$495&gt;=6))*ROW('CASE MASTER'!$T$2:$T$495))-(ROW('CASE MASTER'!#REF!)-1))),"")),"")</f>
        <v/>
      </c>
      <c r="H10" s="10" t="str">
        <f>IFERROR(IF(SUMPRODUCT((('CASE MASTER'!$T$2:$T$495=1)*('CASE MASTER'!$U$2:$U$495&lt;=8)*('CASE MASTER'!$W$2:$W$495&gt;=8)*('CASE MASTER'!$V$2:$V$495&lt;=7)*('CASE MASTER'!$X$2:$X$495&gt;=7))*ROW('CASE MASTER'!$T$2:$T$495))&gt;0,INDEX('CASE MASTER'!$Y$2:$Y$495,(SUMPRODUCT((('CASE MASTER'!$T$2:$T$495=1)*('CASE MASTER'!$U$2:$U$495&lt;=8)*('CASE MASTER'!$W$2:$W$495&gt;=8)*('CASE MASTER'!$V$2:$V$495&lt;=7)*('CASE MASTER'!$X$2:$X$495&gt;=7))*ROW('CASE MASTER'!$T$2:$T$495))-(ROW('CASE MASTER'!#REF!)-1)))&amp;TRIM(MID(SUBSTITUTE(SUBSTITUTE(INDEX('CASE MASTER'!$N$2:$N$495,(SUMPRODUCT((('CASE MASTER'!$T$2:$T$495=1)*('CASE MASTER'!$U$2:$U$495&lt;=8)*('CASE MASTER'!$W$2:$W$495&gt;=8)*('CASE MASTER'!$V$2:$V$495&lt;=7)*('CASE MASTER'!$X$2:$X$495&gt;=7))*ROW('CASE MASTER'!$T$2:$T$495))-(ROW('CASE MASTER'!#REF!)-1))),":",","),",",REPT(" ",50)),((((8-INDEX('CASE MASTER'!$U$2:$U$495,(SUMPRODUCT((('CASE MASTER'!$T$2:$T$495=1)*('CASE MASTER'!$U$2:$U$495&lt;=8)*('CASE MASTER'!$W$2:$W$495&gt;=8)*('CASE MASTER'!$V$2:$V$495&lt;=7)*('CASE MASTER'!$X$2:$X$495&gt;=7))*ROW('CASE MASTER'!$T$2:$T$495))-(ROW('CASE MASTER'!#REF!)-1))))*(INDEX('CASE MASTER'!$X$2:$X$495,(SUMPRODUCT((('CASE MASTER'!$T$2:$T$495=1)*('CASE MASTER'!$U$2:$U$495&lt;=8)*('CASE MASTER'!$W$2:$W$495&gt;=8)*('CASE MASTER'!$V$2:$V$495&lt;=7)*('CASE MASTER'!$X$2:$X$495&gt;=7))*ROW('CASE MASTER'!$T$2:$T$495))-(ROW('CASE MASTER'!#REF!)-1)))-INDEX('CASE MASTER'!$V$2:$V$495,(SUMPRODUCT((('CASE MASTER'!$T$2:$T$495=1)*('CASE MASTER'!$U$2:$U$495&lt;=8)*('CASE MASTER'!$W$2:$W$495&gt;=8)*('CASE MASTER'!$V$2:$V$495&lt;=7)*('CASE MASTER'!$X$2:$X$495&gt;=7))*ROW('CASE MASTER'!$T$2:$T$495))-(ROW('CASE MASTER'!#REF!)-1)))+1)+(7-INDEX('CASE MASTER'!$V$2:$V$495,(SUMPRODUCT((('CASE MASTER'!$T$2:$T$495=1)*('CASE MASTER'!$U$2:$U$495&lt;=8)*('CASE MASTER'!$W$2:$W$495&gt;=8)*('CASE MASTER'!$V$2:$V$495&lt;=7)*('CASE MASTER'!$X$2:$X$495&gt;=7))*ROW('CASE MASTER'!$T$2:$T$495))-(ROW('CASE MASTER'!#REF!)-1))))+1))-1)*50+1,50))&amp;"_"&amp;INDEX('CASE MASTER'!$Q$2:$Q$495,(SUMPRODUCT((('CASE MASTER'!$T$2:$T$495=1)*('CASE MASTER'!$U$2:$U$495&lt;=8)*('CASE MASTER'!$W$2:$W$495&gt;=8)*('CASE MASTER'!$V$2:$V$495&lt;=7)*('CASE MASTER'!$X$2:$X$495&gt;=7))*ROW('CASE MASTER'!$T$2:$T$495))-(ROW('CASE MASTER'!#REF!)-1))),IF(SUMPRODUCT((('CASE MASTER'!$T$2:$T$495=1)*('CASE MASTER'!$AA$2:$AA$495&lt;=8)*('CASE MASTER'!$AC$2:$AC$495&gt;=8)*('CASE MASTER'!$AB$2:$AB$495&lt;=7)*('CASE MASTER'!$AD$2:$AD$495&gt;=7))*ROW('CASE MASTER'!$T$2:$T$495))&gt;0,INDEX('CASE MASTER'!$Y$2:$Y$495,(SUMPRODUCT((('CASE MASTER'!$T$2:$T$495=1)*('CASE MASTER'!$AA$2:$AA$495&lt;=8)*('CASE MASTER'!$AC$2:$AC$495&gt;=8)*('CASE MASTER'!$AB$2:$AB$495&lt;=7)*('CASE MASTER'!$AD$2:$AD$495&gt;=7))*ROW('CASE MASTER'!$T$2:$T$495))-(ROW('CASE MASTER'!#REF!)-1)))&amp;TRIM(MID(SUBSTITUTE(SUBSTITUTE(INDEX('CASE MASTER'!$N$2:$N$495,(SUMPRODUCT((('CASE MASTER'!$T$2:$T$495=1)*('CASE MASTER'!$AA$2:$AA$495&lt;=8)*('CASE MASTER'!$AC$2:$AC$495&gt;=8)*('CASE MASTER'!$AB$2:$AB$495&lt;=7)*('CASE MASTER'!$AD$2:$AD$495&gt;=7))*ROW('CASE MASTER'!$T$2:$T$495))-(ROW('CASE MASTER'!#REF!)-1))),":",","),",",REPT(" ",50)),(((INDEX('CASE MASTER'!$Z$2:$Z$495,(SUMPRODUCT((('CASE MASTER'!$T$2:$T$495=1)*('CASE MASTER'!$AA$2:$AA$495&lt;=8)*('CASE MASTER'!$AC$2:$AC$495&gt;=8)*('CASE MASTER'!$AB$2:$AB$495&lt;=7)*('CASE MASTER'!$AD$2:$AD$495&gt;=7))*ROW('CASE MASTER'!$T$2:$T$495))-(ROW('CASE MASTER'!#REF!)-1)))+((8-INDEX('CASE MASTER'!$AA$2:$AA$495,(SUMPRODUCT((('CASE MASTER'!$T$2:$T$495=1)*('CASE MASTER'!$AA$2:$AA$495&lt;=8)*('CASE MASTER'!$AC$2:$AC$495&gt;=8)*('CASE MASTER'!$AB$2:$AB$495&lt;=7)*('CASE MASTER'!$AD$2:$AD$495&gt;=7))*ROW('CASE MASTER'!$T$2:$T$495))-(ROW('CASE MASTER'!#REF!)-1))))*(INDEX('CASE MASTER'!$AD$2:$AD$495,(SUMPRODUCT((('CASE MASTER'!$T$2:$T$495=1)*('CASE MASTER'!$AA$2:$AA$495&lt;=8)*('CASE MASTER'!$AC$2:$AC$495&gt;=8)*('CASE MASTER'!$AB$2:$AB$495&lt;=7)*('CASE MASTER'!$AD$2:$AD$495&gt;=7))*ROW('CASE MASTER'!$T$2:$T$495))-(ROW('CASE MASTER'!#REF!)-1)))-INDEX('CASE MASTER'!$AB$2:$AB$495,(SUMPRODUCT((('CASE MASTER'!$T$2:$T$495=1)*('CASE MASTER'!$AA$2:$AA$495&lt;=8)*('CASE MASTER'!$AC$2:$AC$495&gt;=8)*('CASE MASTER'!$AB$2:$AB$495&lt;=7)*('CASE MASTER'!$AD$2:$AD$495&gt;=7))*ROW('CASE MASTER'!$T$2:$T$495))-(ROW('CASE MASTER'!#REF!)-1)))+1)+(7-INDEX('CASE MASTER'!$AB$2:$AB$495,(SUMPRODUCT((('CASE MASTER'!$T$2:$T$495=1)*('CASE MASTER'!$AA$2:$AA$495&lt;=8)*('CASE MASTER'!$AC$2:$AC$495&gt;=8)*('CASE MASTER'!$AB$2:$AB$495&lt;=7)*('CASE MASTER'!$AD$2:$AD$495&gt;=7))*ROW('CASE MASTER'!$T$2:$T$495))-(ROW('CASE MASTER'!#REF!)-1))))+1)))-1)*50+1,50))&amp;"_"&amp;INDEX('CASE MASTER'!$Q$2:$Q$495,(SUMPRODUCT((('CASE MASTER'!$T$2:$T$495=1)*('CASE MASTER'!$AA$2:$AA$495&lt;=8)*('CASE MASTER'!$AC$2:$AC$495&gt;=8)*('CASE MASTER'!$AB$2:$AB$495&lt;=7)*('CASE MASTER'!$AD$2:$AD$495&gt;=7))*ROW('CASE MASTER'!$T$2:$T$495))-(ROW('CASE MASTER'!#REF!)-1))),"")),"")</f>
        <v/>
      </c>
      <c r="I10" s="10" t="str">
        <f>IFERROR(IF(SUMPRODUCT((('CASE MASTER'!$T$2:$T$495=1)*('CASE MASTER'!$U$2:$U$495&lt;=8)*('CASE MASTER'!$W$2:$W$495&gt;=8)*('CASE MASTER'!$V$2:$V$495&lt;=8)*('CASE MASTER'!$X$2:$X$495&gt;=8))*ROW('CASE MASTER'!$T$2:$T$495))&gt;0,INDEX('CASE MASTER'!$Y$2:$Y$495,(SUMPRODUCT((('CASE MASTER'!$T$2:$T$495=1)*('CASE MASTER'!$U$2:$U$495&lt;=8)*('CASE MASTER'!$W$2:$W$495&gt;=8)*('CASE MASTER'!$V$2:$V$495&lt;=8)*('CASE MASTER'!$X$2:$X$495&gt;=8))*ROW('CASE MASTER'!$T$2:$T$495))-(ROW('CASE MASTER'!#REF!)-1)))&amp;TRIM(MID(SUBSTITUTE(SUBSTITUTE(INDEX('CASE MASTER'!$N$2:$N$495,(SUMPRODUCT((('CASE MASTER'!$T$2:$T$495=1)*('CASE MASTER'!$U$2:$U$495&lt;=8)*('CASE MASTER'!$W$2:$W$495&gt;=8)*('CASE MASTER'!$V$2:$V$495&lt;=8)*('CASE MASTER'!$X$2:$X$495&gt;=8))*ROW('CASE MASTER'!$T$2:$T$495))-(ROW('CASE MASTER'!#REF!)-1))),":",","),",",REPT(" ",50)),((((8-INDEX('CASE MASTER'!$U$2:$U$495,(SUMPRODUCT((('CASE MASTER'!$T$2:$T$495=1)*('CASE MASTER'!$U$2:$U$495&lt;=8)*('CASE MASTER'!$W$2:$W$495&gt;=8)*('CASE MASTER'!$V$2:$V$495&lt;=8)*('CASE MASTER'!$X$2:$X$495&gt;=8))*ROW('CASE MASTER'!$T$2:$T$495))-(ROW('CASE MASTER'!#REF!)-1))))*(INDEX('CASE MASTER'!$X$2:$X$495,(SUMPRODUCT((('CASE MASTER'!$T$2:$T$495=1)*('CASE MASTER'!$U$2:$U$495&lt;=8)*('CASE MASTER'!$W$2:$W$495&gt;=8)*('CASE MASTER'!$V$2:$V$495&lt;=8)*('CASE MASTER'!$X$2:$X$495&gt;=8))*ROW('CASE MASTER'!$T$2:$T$495))-(ROW('CASE MASTER'!#REF!)-1)))-INDEX('CASE MASTER'!$V$2:$V$495,(SUMPRODUCT((('CASE MASTER'!$T$2:$T$495=1)*('CASE MASTER'!$U$2:$U$495&lt;=8)*('CASE MASTER'!$W$2:$W$495&gt;=8)*('CASE MASTER'!$V$2:$V$495&lt;=8)*('CASE MASTER'!$X$2:$X$495&gt;=8))*ROW('CASE MASTER'!$T$2:$T$495))-(ROW('CASE MASTER'!#REF!)-1)))+1)+(8-INDEX('CASE MASTER'!$V$2:$V$495,(SUMPRODUCT((('CASE MASTER'!$T$2:$T$495=1)*('CASE MASTER'!$U$2:$U$495&lt;=8)*('CASE MASTER'!$W$2:$W$495&gt;=8)*('CASE MASTER'!$V$2:$V$495&lt;=8)*('CASE MASTER'!$X$2:$X$495&gt;=8))*ROW('CASE MASTER'!$T$2:$T$495))-(ROW('CASE MASTER'!#REF!)-1))))+1))-1)*50+1,50))&amp;"_"&amp;INDEX('CASE MASTER'!$Q$2:$Q$495,(SUMPRODUCT((('CASE MASTER'!$T$2:$T$495=1)*('CASE MASTER'!$U$2:$U$495&lt;=8)*('CASE MASTER'!$W$2:$W$495&gt;=8)*('CASE MASTER'!$V$2:$V$495&lt;=8)*('CASE MASTER'!$X$2:$X$495&gt;=8))*ROW('CASE MASTER'!$T$2:$T$495))-(ROW('CASE MASTER'!#REF!)-1))),IF(SUMPRODUCT((('CASE MASTER'!$T$2:$T$495=1)*('CASE MASTER'!$AA$2:$AA$495&lt;=8)*('CASE MASTER'!$AC$2:$AC$495&gt;=8)*('CASE MASTER'!$AB$2:$AB$495&lt;=8)*('CASE MASTER'!$AD$2:$AD$495&gt;=8))*ROW('CASE MASTER'!$T$2:$T$495))&gt;0,INDEX('CASE MASTER'!$Y$2:$Y$495,(SUMPRODUCT((('CASE MASTER'!$T$2:$T$495=1)*('CASE MASTER'!$AA$2:$AA$495&lt;=8)*('CASE MASTER'!$AC$2:$AC$495&gt;=8)*('CASE MASTER'!$AB$2:$AB$495&lt;=8)*('CASE MASTER'!$AD$2:$AD$495&gt;=8))*ROW('CASE MASTER'!$T$2:$T$495))-(ROW('CASE MASTER'!#REF!)-1)))&amp;TRIM(MID(SUBSTITUTE(SUBSTITUTE(INDEX('CASE MASTER'!$N$2:$N$495,(SUMPRODUCT((('CASE MASTER'!$T$2:$T$495=1)*('CASE MASTER'!$AA$2:$AA$495&lt;=8)*('CASE MASTER'!$AC$2:$AC$495&gt;=8)*('CASE MASTER'!$AB$2:$AB$495&lt;=8)*('CASE MASTER'!$AD$2:$AD$495&gt;=8))*ROW('CASE MASTER'!$T$2:$T$495))-(ROW('CASE MASTER'!#REF!)-1))),":",","),",",REPT(" ",50)),(((INDEX('CASE MASTER'!$Z$2:$Z$495,(SUMPRODUCT((('CASE MASTER'!$T$2:$T$495=1)*('CASE MASTER'!$AA$2:$AA$495&lt;=8)*('CASE MASTER'!$AC$2:$AC$495&gt;=8)*('CASE MASTER'!$AB$2:$AB$495&lt;=8)*('CASE MASTER'!$AD$2:$AD$495&gt;=8))*ROW('CASE MASTER'!$T$2:$T$495))-(ROW('CASE MASTER'!#REF!)-1)))+((8-INDEX('CASE MASTER'!$AA$2:$AA$495,(SUMPRODUCT((('CASE MASTER'!$T$2:$T$495=1)*('CASE MASTER'!$AA$2:$AA$495&lt;=8)*('CASE MASTER'!$AC$2:$AC$495&gt;=8)*('CASE MASTER'!$AB$2:$AB$495&lt;=8)*('CASE MASTER'!$AD$2:$AD$495&gt;=8))*ROW('CASE MASTER'!$T$2:$T$495))-(ROW('CASE MASTER'!#REF!)-1))))*(INDEX('CASE MASTER'!$AD$2:$AD$495,(SUMPRODUCT((('CASE MASTER'!$T$2:$T$495=1)*('CASE MASTER'!$AA$2:$AA$495&lt;=8)*('CASE MASTER'!$AC$2:$AC$495&gt;=8)*('CASE MASTER'!$AB$2:$AB$495&lt;=8)*('CASE MASTER'!$AD$2:$AD$495&gt;=8))*ROW('CASE MASTER'!$T$2:$T$495))-(ROW('CASE MASTER'!#REF!)-1)))-INDEX('CASE MASTER'!$AB$2:$AB$495,(SUMPRODUCT((('CASE MASTER'!$T$2:$T$495=1)*('CASE MASTER'!$AA$2:$AA$495&lt;=8)*('CASE MASTER'!$AC$2:$AC$495&gt;=8)*('CASE MASTER'!$AB$2:$AB$495&lt;=8)*('CASE MASTER'!$AD$2:$AD$495&gt;=8))*ROW('CASE MASTER'!$T$2:$T$495))-(ROW('CASE MASTER'!#REF!)-1)))+1)+(8-INDEX('CASE MASTER'!$AB$2:$AB$495,(SUMPRODUCT((('CASE MASTER'!$T$2:$T$495=1)*('CASE MASTER'!$AA$2:$AA$495&lt;=8)*('CASE MASTER'!$AC$2:$AC$495&gt;=8)*('CASE MASTER'!$AB$2:$AB$495&lt;=8)*('CASE MASTER'!$AD$2:$AD$495&gt;=8))*ROW('CASE MASTER'!$T$2:$T$495))-(ROW('CASE MASTER'!#REF!)-1))))+1)))-1)*50+1,50))&amp;"_"&amp;INDEX('CASE MASTER'!$Q$2:$Q$495,(SUMPRODUCT((('CASE MASTER'!$T$2:$T$495=1)*('CASE MASTER'!$AA$2:$AA$495&lt;=8)*('CASE MASTER'!$AC$2:$AC$495&gt;=8)*('CASE MASTER'!$AB$2:$AB$495&lt;=8)*('CASE MASTER'!$AD$2:$AD$495&gt;=8))*ROW('CASE MASTER'!$T$2:$T$495))-(ROW('CASE MASTER'!#REF!)-1))),"")),"")</f>
        <v/>
      </c>
      <c r="J10" s="10" t="str">
        <f>IFERROR(IF(SUMPRODUCT((('CASE MASTER'!$T$2:$T$495=1)*('CASE MASTER'!$U$2:$U$495&lt;=8)*('CASE MASTER'!$W$2:$W$495&gt;=8)*('CASE MASTER'!$V$2:$V$495&lt;=9)*('CASE MASTER'!$X$2:$X$495&gt;=9))*ROW('CASE MASTER'!$T$2:$T$495))&gt;0,INDEX('CASE MASTER'!$Y$2:$Y$495,(SUMPRODUCT((('CASE MASTER'!$T$2:$T$495=1)*('CASE MASTER'!$U$2:$U$495&lt;=8)*('CASE MASTER'!$W$2:$W$495&gt;=8)*('CASE MASTER'!$V$2:$V$495&lt;=9)*('CASE MASTER'!$X$2:$X$495&gt;=9))*ROW('CASE MASTER'!$T$2:$T$495))-(ROW('CASE MASTER'!#REF!)-1)))&amp;TRIM(MID(SUBSTITUTE(SUBSTITUTE(INDEX('CASE MASTER'!$N$2:$N$495,(SUMPRODUCT((('CASE MASTER'!$T$2:$T$495=1)*('CASE MASTER'!$U$2:$U$495&lt;=8)*('CASE MASTER'!$W$2:$W$495&gt;=8)*('CASE MASTER'!$V$2:$V$495&lt;=9)*('CASE MASTER'!$X$2:$X$495&gt;=9))*ROW('CASE MASTER'!$T$2:$T$495))-(ROW('CASE MASTER'!#REF!)-1))),":",","),",",REPT(" ",50)),((((8-INDEX('CASE MASTER'!$U$2:$U$495,(SUMPRODUCT((('CASE MASTER'!$T$2:$T$495=1)*('CASE MASTER'!$U$2:$U$495&lt;=8)*('CASE MASTER'!$W$2:$W$495&gt;=8)*('CASE MASTER'!$V$2:$V$495&lt;=9)*('CASE MASTER'!$X$2:$X$495&gt;=9))*ROW('CASE MASTER'!$T$2:$T$495))-(ROW('CASE MASTER'!#REF!)-1))))*(INDEX('CASE MASTER'!$X$2:$X$495,(SUMPRODUCT((('CASE MASTER'!$T$2:$T$495=1)*('CASE MASTER'!$U$2:$U$495&lt;=8)*('CASE MASTER'!$W$2:$W$495&gt;=8)*('CASE MASTER'!$V$2:$V$495&lt;=9)*('CASE MASTER'!$X$2:$X$495&gt;=9))*ROW('CASE MASTER'!$T$2:$T$495))-(ROW('CASE MASTER'!#REF!)-1)))-INDEX('CASE MASTER'!$V$2:$V$495,(SUMPRODUCT((('CASE MASTER'!$T$2:$T$495=1)*('CASE MASTER'!$U$2:$U$495&lt;=8)*('CASE MASTER'!$W$2:$W$495&gt;=8)*('CASE MASTER'!$V$2:$V$495&lt;=9)*('CASE MASTER'!$X$2:$X$495&gt;=9))*ROW('CASE MASTER'!$T$2:$T$495))-(ROW('CASE MASTER'!#REF!)-1)))+1)+(9-INDEX('CASE MASTER'!$V$2:$V$495,(SUMPRODUCT((('CASE MASTER'!$T$2:$T$495=1)*('CASE MASTER'!$U$2:$U$495&lt;=8)*('CASE MASTER'!$W$2:$W$495&gt;=8)*('CASE MASTER'!$V$2:$V$495&lt;=9)*('CASE MASTER'!$X$2:$X$495&gt;=9))*ROW('CASE MASTER'!$T$2:$T$495))-(ROW('CASE MASTER'!#REF!)-1))))+1))-1)*50+1,50))&amp;"_"&amp;INDEX('CASE MASTER'!$Q$2:$Q$495,(SUMPRODUCT((('CASE MASTER'!$T$2:$T$495=1)*('CASE MASTER'!$U$2:$U$495&lt;=8)*('CASE MASTER'!$W$2:$W$495&gt;=8)*('CASE MASTER'!$V$2:$V$495&lt;=9)*('CASE MASTER'!$X$2:$X$495&gt;=9))*ROW('CASE MASTER'!$T$2:$T$495))-(ROW('CASE MASTER'!#REF!)-1))),IF(SUMPRODUCT((('CASE MASTER'!$T$2:$T$495=1)*('CASE MASTER'!$AA$2:$AA$495&lt;=8)*('CASE MASTER'!$AC$2:$AC$495&gt;=8)*('CASE MASTER'!$AB$2:$AB$495&lt;=9)*('CASE MASTER'!$AD$2:$AD$495&gt;=9))*ROW('CASE MASTER'!$T$2:$T$495))&gt;0,INDEX('CASE MASTER'!$Y$2:$Y$495,(SUMPRODUCT((('CASE MASTER'!$T$2:$T$495=1)*('CASE MASTER'!$AA$2:$AA$495&lt;=8)*('CASE MASTER'!$AC$2:$AC$495&gt;=8)*('CASE MASTER'!$AB$2:$AB$495&lt;=9)*('CASE MASTER'!$AD$2:$AD$495&gt;=9))*ROW('CASE MASTER'!$T$2:$T$495))-(ROW('CASE MASTER'!#REF!)-1)))&amp;TRIM(MID(SUBSTITUTE(SUBSTITUTE(INDEX('CASE MASTER'!$N$2:$N$495,(SUMPRODUCT((('CASE MASTER'!$T$2:$T$495=1)*('CASE MASTER'!$AA$2:$AA$495&lt;=8)*('CASE MASTER'!$AC$2:$AC$495&gt;=8)*('CASE MASTER'!$AB$2:$AB$495&lt;=9)*('CASE MASTER'!$AD$2:$AD$495&gt;=9))*ROW('CASE MASTER'!$T$2:$T$495))-(ROW('CASE MASTER'!#REF!)-1))),":",","),",",REPT(" ",50)),(((INDEX('CASE MASTER'!$Z$2:$Z$495,(SUMPRODUCT((('CASE MASTER'!$T$2:$T$495=1)*('CASE MASTER'!$AA$2:$AA$495&lt;=8)*('CASE MASTER'!$AC$2:$AC$495&gt;=8)*('CASE MASTER'!$AB$2:$AB$495&lt;=9)*('CASE MASTER'!$AD$2:$AD$495&gt;=9))*ROW('CASE MASTER'!$T$2:$T$495))-(ROW('CASE MASTER'!#REF!)-1)))+((8-INDEX('CASE MASTER'!$AA$2:$AA$495,(SUMPRODUCT((('CASE MASTER'!$T$2:$T$495=1)*('CASE MASTER'!$AA$2:$AA$495&lt;=8)*('CASE MASTER'!$AC$2:$AC$495&gt;=8)*('CASE MASTER'!$AB$2:$AB$495&lt;=9)*('CASE MASTER'!$AD$2:$AD$495&gt;=9))*ROW('CASE MASTER'!$T$2:$T$495))-(ROW('CASE MASTER'!#REF!)-1))))*(INDEX('CASE MASTER'!$AD$2:$AD$495,(SUMPRODUCT((('CASE MASTER'!$T$2:$T$495=1)*('CASE MASTER'!$AA$2:$AA$495&lt;=8)*('CASE MASTER'!$AC$2:$AC$495&gt;=8)*('CASE MASTER'!$AB$2:$AB$495&lt;=9)*('CASE MASTER'!$AD$2:$AD$495&gt;=9))*ROW('CASE MASTER'!$T$2:$T$495))-(ROW('CASE MASTER'!#REF!)-1)))-INDEX('CASE MASTER'!$AB$2:$AB$495,(SUMPRODUCT((('CASE MASTER'!$T$2:$T$495=1)*('CASE MASTER'!$AA$2:$AA$495&lt;=8)*('CASE MASTER'!$AC$2:$AC$495&gt;=8)*('CASE MASTER'!$AB$2:$AB$495&lt;=9)*('CASE MASTER'!$AD$2:$AD$495&gt;=9))*ROW('CASE MASTER'!$T$2:$T$495))-(ROW('CASE MASTER'!#REF!)-1)))+1)+(9-INDEX('CASE MASTER'!$AB$2:$AB$495,(SUMPRODUCT((('CASE MASTER'!$T$2:$T$495=1)*('CASE MASTER'!$AA$2:$AA$495&lt;=8)*('CASE MASTER'!$AC$2:$AC$495&gt;=8)*('CASE MASTER'!$AB$2:$AB$495&lt;=9)*('CASE MASTER'!$AD$2:$AD$495&gt;=9))*ROW('CASE MASTER'!$T$2:$T$495))-(ROW('CASE MASTER'!#REF!)-1))))+1)))-1)*50+1,50))&amp;"_"&amp;INDEX('CASE MASTER'!$Q$2:$Q$495,(SUMPRODUCT((('CASE MASTER'!$T$2:$T$495=1)*('CASE MASTER'!$AA$2:$AA$495&lt;=8)*('CASE MASTER'!$AC$2:$AC$495&gt;=8)*('CASE MASTER'!$AB$2:$AB$495&lt;=9)*('CASE MASTER'!$AD$2:$AD$495&gt;=9))*ROW('CASE MASTER'!$T$2:$T$495))-(ROW('CASE MASTER'!#REF!)-1))),"")),"")</f>
        <v/>
      </c>
      <c r="K10" s="10" t="str">
        <f>IFERROR(IF(SUMPRODUCT((('CASE MASTER'!$T$2:$T$495=1)*('CASE MASTER'!$U$2:$U$495&lt;=8)*('CASE MASTER'!$W$2:$W$495&gt;=8)*('CASE MASTER'!$V$2:$V$495&lt;=10)*('CASE MASTER'!$X$2:$X$495&gt;=10))*ROW('CASE MASTER'!$T$2:$T$495))&gt;0,INDEX('CASE MASTER'!$Y$2:$Y$495,(SUMPRODUCT((('CASE MASTER'!$T$2:$T$495=1)*('CASE MASTER'!$U$2:$U$495&lt;=8)*('CASE MASTER'!$W$2:$W$495&gt;=8)*('CASE MASTER'!$V$2:$V$495&lt;=10)*('CASE MASTER'!$X$2:$X$495&gt;=10))*ROW('CASE MASTER'!$T$2:$T$495))-(ROW('CASE MASTER'!#REF!)-1)))&amp;TRIM(MID(SUBSTITUTE(SUBSTITUTE(INDEX('CASE MASTER'!$N$2:$N$495,(SUMPRODUCT((('CASE MASTER'!$T$2:$T$495=1)*('CASE MASTER'!$U$2:$U$495&lt;=8)*('CASE MASTER'!$W$2:$W$495&gt;=8)*('CASE MASTER'!$V$2:$V$495&lt;=10)*('CASE MASTER'!$X$2:$X$495&gt;=10))*ROW('CASE MASTER'!$T$2:$T$495))-(ROW('CASE MASTER'!#REF!)-1))),":",","),",",REPT(" ",50)),((((8-INDEX('CASE MASTER'!$U$2:$U$495,(SUMPRODUCT((('CASE MASTER'!$T$2:$T$495=1)*('CASE MASTER'!$U$2:$U$495&lt;=8)*('CASE MASTER'!$W$2:$W$495&gt;=8)*('CASE MASTER'!$V$2:$V$495&lt;=10)*('CASE MASTER'!$X$2:$X$495&gt;=10))*ROW('CASE MASTER'!$T$2:$T$495))-(ROW('CASE MASTER'!#REF!)-1))))*(INDEX('CASE MASTER'!$X$2:$X$495,(SUMPRODUCT((('CASE MASTER'!$T$2:$T$495=1)*('CASE MASTER'!$U$2:$U$495&lt;=8)*('CASE MASTER'!$W$2:$W$495&gt;=8)*('CASE MASTER'!$V$2:$V$495&lt;=10)*('CASE MASTER'!$X$2:$X$495&gt;=10))*ROW('CASE MASTER'!$T$2:$T$495))-(ROW('CASE MASTER'!#REF!)-1)))-INDEX('CASE MASTER'!$V$2:$V$495,(SUMPRODUCT((('CASE MASTER'!$T$2:$T$495=1)*('CASE MASTER'!$U$2:$U$495&lt;=8)*('CASE MASTER'!$W$2:$W$495&gt;=8)*('CASE MASTER'!$V$2:$V$495&lt;=10)*('CASE MASTER'!$X$2:$X$495&gt;=10))*ROW('CASE MASTER'!$T$2:$T$495))-(ROW('CASE MASTER'!#REF!)-1)))+1)+(10-INDEX('CASE MASTER'!$V$2:$V$495,(SUMPRODUCT((('CASE MASTER'!$T$2:$T$495=1)*('CASE MASTER'!$U$2:$U$495&lt;=8)*('CASE MASTER'!$W$2:$W$495&gt;=8)*('CASE MASTER'!$V$2:$V$495&lt;=10)*('CASE MASTER'!$X$2:$X$495&gt;=10))*ROW('CASE MASTER'!$T$2:$T$495))-(ROW('CASE MASTER'!#REF!)-1))))+1))-1)*50+1,50))&amp;"_"&amp;INDEX('CASE MASTER'!$Q$2:$Q$495,(SUMPRODUCT((('CASE MASTER'!$T$2:$T$495=1)*('CASE MASTER'!$U$2:$U$495&lt;=8)*('CASE MASTER'!$W$2:$W$495&gt;=8)*('CASE MASTER'!$V$2:$V$495&lt;=10)*('CASE MASTER'!$X$2:$X$495&gt;=10))*ROW('CASE MASTER'!$T$2:$T$495))-(ROW('CASE MASTER'!#REF!)-1))),IF(SUMPRODUCT((('CASE MASTER'!$T$2:$T$495=1)*('CASE MASTER'!$AA$2:$AA$495&lt;=8)*('CASE MASTER'!$AC$2:$AC$495&gt;=8)*('CASE MASTER'!$AB$2:$AB$495&lt;=10)*('CASE MASTER'!$AD$2:$AD$495&gt;=10))*ROW('CASE MASTER'!$T$2:$T$495))&gt;0,INDEX('CASE MASTER'!$Y$2:$Y$495,(SUMPRODUCT((('CASE MASTER'!$T$2:$T$495=1)*('CASE MASTER'!$AA$2:$AA$495&lt;=8)*('CASE MASTER'!$AC$2:$AC$495&gt;=8)*('CASE MASTER'!$AB$2:$AB$495&lt;=10)*('CASE MASTER'!$AD$2:$AD$495&gt;=10))*ROW('CASE MASTER'!$T$2:$T$495))-(ROW('CASE MASTER'!#REF!)-1)))&amp;TRIM(MID(SUBSTITUTE(SUBSTITUTE(INDEX('CASE MASTER'!$N$2:$N$495,(SUMPRODUCT((('CASE MASTER'!$T$2:$T$495=1)*('CASE MASTER'!$AA$2:$AA$495&lt;=8)*('CASE MASTER'!$AC$2:$AC$495&gt;=8)*('CASE MASTER'!$AB$2:$AB$495&lt;=10)*('CASE MASTER'!$AD$2:$AD$495&gt;=10))*ROW('CASE MASTER'!$T$2:$T$495))-(ROW('CASE MASTER'!#REF!)-1))),":",","),",",REPT(" ",50)),(((INDEX('CASE MASTER'!$Z$2:$Z$495,(SUMPRODUCT((('CASE MASTER'!$T$2:$T$495=1)*('CASE MASTER'!$AA$2:$AA$495&lt;=8)*('CASE MASTER'!$AC$2:$AC$495&gt;=8)*('CASE MASTER'!$AB$2:$AB$495&lt;=10)*('CASE MASTER'!$AD$2:$AD$495&gt;=10))*ROW('CASE MASTER'!$T$2:$T$495))-(ROW('CASE MASTER'!#REF!)-1)))+((8-INDEX('CASE MASTER'!$AA$2:$AA$495,(SUMPRODUCT((('CASE MASTER'!$T$2:$T$495=1)*('CASE MASTER'!$AA$2:$AA$495&lt;=8)*('CASE MASTER'!$AC$2:$AC$495&gt;=8)*('CASE MASTER'!$AB$2:$AB$495&lt;=10)*('CASE MASTER'!$AD$2:$AD$495&gt;=10))*ROW('CASE MASTER'!$T$2:$T$495))-(ROW('CASE MASTER'!#REF!)-1))))*(INDEX('CASE MASTER'!$AD$2:$AD$495,(SUMPRODUCT((('CASE MASTER'!$T$2:$T$495=1)*('CASE MASTER'!$AA$2:$AA$495&lt;=8)*('CASE MASTER'!$AC$2:$AC$495&gt;=8)*('CASE MASTER'!$AB$2:$AB$495&lt;=10)*('CASE MASTER'!$AD$2:$AD$495&gt;=10))*ROW('CASE MASTER'!$T$2:$T$495))-(ROW('CASE MASTER'!#REF!)-1)))-INDEX('CASE MASTER'!$AB$2:$AB$495,(SUMPRODUCT((('CASE MASTER'!$T$2:$T$495=1)*('CASE MASTER'!$AA$2:$AA$495&lt;=8)*('CASE MASTER'!$AC$2:$AC$495&gt;=8)*('CASE MASTER'!$AB$2:$AB$495&lt;=10)*('CASE MASTER'!$AD$2:$AD$495&gt;=10))*ROW('CASE MASTER'!$T$2:$T$495))-(ROW('CASE MASTER'!#REF!)-1)))+1)+(10-INDEX('CASE MASTER'!$AB$2:$AB$495,(SUMPRODUCT((('CASE MASTER'!$T$2:$T$495=1)*('CASE MASTER'!$AA$2:$AA$495&lt;=8)*('CASE MASTER'!$AC$2:$AC$495&gt;=8)*('CASE MASTER'!$AB$2:$AB$495&lt;=10)*('CASE MASTER'!$AD$2:$AD$495&gt;=10))*ROW('CASE MASTER'!$T$2:$T$495))-(ROW('CASE MASTER'!#REF!)-1))))+1)))-1)*50+1,50))&amp;"_"&amp;INDEX('CASE MASTER'!$Q$2:$Q$495,(SUMPRODUCT((('CASE MASTER'!$T$2:$T$495=1)*('CASE MASTER'!$AA$2:$AA$495&lt;=8)*('CASE MASTER'!$AC$2:$AC$495&gt;=8)*('CASE MASTER'!$AB$2:$AB$495&lt;=10)*('CASE MASTER'!$AD$2:$AD$495&gt;=10))*ROW('CASE MASTER'!$T$2:$T$495))-(ROW('CASE MASTER'!#REF!)-1))),"")),"")</f>
        <v/>
      </c>
    </row>
    <row r="11" spans="1:11" ht="15" customHeight="1" x14ac:dyDescent="0.35">
      <c r="A11" s="8" t="s">
        <v>81</v>
      </c>
      <c r="B11" s="10" t="str">
        <f>IFERROR(IF(SUMPRODUCT((('CASE MASTER'!$T$2:$T$495=1)*('CASE MASTER'!$U$2:$U$495&lt;=9)*('CASE MASTER'!$W$2:$W$495&gt;=9)*('CASE MASTER'!$V$2:$V$495&lt;=1)*('CASE MASTER'!$X$2:$X$495&gt;=1))*ROW('CASE MASTER'!$T$2:$T$495))&gt;0,INDEX('CASE MASTER'!$Y$2:$Y$495,(SUMPRODUCT((('CASE MASTER'!$T$2:$T$495=1)*('CASE MASTER'!$U$2:$U$495&lt;=9)*('CASE MASTER'!$W$2:$W$495&gt;=9)*('CASE MASTER'!$V$2:$V$495&lt;=1)*('CASE MASTER'!$X$2:$X$495&gt;=1))*ROW('CASE MASTER'!$T$2:$T$495))-(ROW('CASE MASTER'!#REF!)-1)))&amp;TRIM(MID(SUBSTITUTE(SUBSTITUTE(INDEX('CASE MASTER'!$N$2:$N$495,(SUMPRODUCT((('CASE MASTER'!$T$2:$T$495=1)*('CASE MASTER'!$U$2:$U$495&lt;=9)*('CASE MASTER'!$W$2:$W$495&gt;=9)*('CASE MASTER'!$V$2:$V$495&lt;=1)*('CASE MASTER'!$X$2:$X$495&gt;=1))*ROW('CASE MASTER'!$T$2:$T$495))-(ROW('CASE MASTER'!#REF!)-1))),":",","),",",REPT(" ",50)),((((9-INDEX('CASE MASTER'!$U$2:$U$495,(SUMPRODUCT((('CASE MASTER'!$T$2:$T$495=1)*('CASE MASTER'!$U$2:$U$495&lt;=9)*('CASE MASTER'!$W$2:$W$495&gt;=9)*('CASE MASTER'!$V$2:$V$495&lt;=1)*('CASE MASTER'!$X$2:$X$495&gt;=1))*ROW('CASE MASTER'!$T$2:$T$495))-(ROW('CASE MASTER'!#REF!)-1))))*(INDEX('CASE MASTER'!$X$2:$X$495,(SUMPRODUCT((('CASE MASTER'!$T$2:$T$495=1)*('CASE MASTER'!$U$2:$U$495&lt;=9)*('CASE MASTER'!$W$2:$W$495&gt;=9)*('CASE MASTER'!$V$2:$V$495&lt;=1)*('CASE MASTER'!$X$2:$X$495&gt;=1))*ROW('CASE MASTER'!$T$2:$T$495))-(ROW('CASE MASTER'!#REF!)-1)))-INDEX('CASE MASTER'!$V$2:$V$495,(SUMPRODUCT((('CASE MASTER'!$T$2:$T$495=1)*('CASE MASTER'!$U$2:$U$495&lt;=9)*('CASE MASTER'!$W$2:$W$495&gt;=9)*('CASE MASTER'!$V$2:$V$495&lt;=1)*('CASE MASTER'!$X$2:$X$495&gt;=1))*ROW('CASE MASTER'!$T$2:$T$495))-(ROW('CASE MASTER'!#REF!)-1)))+1)+(1-INDEX('CASE MASTER'!$V$2:$V$495,(SUMPRODUCT((('CASE MASTER'!$T$2:$T$495=1)*('CASE MASTER'!$U$2:$U$495&lt;=9)*('CASE MASTER'!$W$2:$W$495&gt;=9)*('CASE MASTER'!$V$2:$V$495&lt;=1)*('CASE MASTER'!$X$2:$X$495&gt;=1))*ROW('CASE MASTER'!$T$2:$T$495))-(ROW('CASE MASTER'!#REF!)-1))))+1))-1)*50+1,50))&amp;"_"&amp;INDEX('CASE MASTER'!$Q$2:$Q$495,(SUMPRODUCT((('CASE MASTER'!$T$2:$T$495=1)*('CASE MASTER'!$U$2:$U$495&lt;=9)*('CASE MASTER'!$W$2:$W$495&gt;=9)*('CASE MASTER'!$V$2:$V$495&lt;=1)*('CASE MASTER'!$X$2:$X$495&gt;=1))*ROW('CASE MASTER'!$T$2:$T$495))-(ROW('CASE MASTER'!#REF!)-1))),IF(SUMPRODUCT((('CASE MASTER'!$T$2:$T$495=1)*('CASE MASTER'!$AA$2:$AA$495&lt;=9)*('CASE MASTER'!$AC$2:$AC$495&gt;=9)*('CASE MASTER'!$AB$2:$AB$495&lt;=1)*('CASE MASTER'!$AD$2:$AD$495&gt;=1))*ROW('CASE MASTER'!$T$2:$T$495))&gt;0,INDEX('CASE MASTER'!$Y$2:$Y$495,(SUMPRODUCT((('CASE MASTER'!$T$2:$T$495=1)*('CASE MASTER'!$AA$2:$AA$495&lt;=9)*('CASE MASTER'!$AC$2:$AC$495&gt;=9)*('CASE MASTER'!$AB$2:$AB$495&lt;=1)*('CASE MASTER'!$AD$2:$AD$495&gt;=1))*ROW('CASE MASTER'!$T$2:$T$495))-(ROW('CASE MASTER'!#REF!)-1)))&amp;TRIM(MID(SUBSTITUTE(SUBSTITUTE(INDEX('CASE MASTER'!$N$2:$N$495,(SUMPRODUCT((('CASE MASTER'!$T$2:$T$495=1)*('CASE MASTER'!$AA$2:$AA$495&lt;=9)*('CASE MASTER'!$AC$2:$AC$495&gt;=9)*('CASE MASTER'!$AB$2:$AB$495&lt;=1)*('CASE MASTER'!$AD$2:$AD$495&gt;=1))*ROW('CASE MASTER'!$T$2:$T$495))-(ROW('CASE MASTER'!#REF!)-1))),":",","),",",REPT(" ",50)),(((INDEX('CASE MASTER'!$Z$2:$Z$495,(SUMPRODUCT((('CASE MASTER'!$T$2:$T$495=1)*('CASE MASTER'!$AA$2:$AA$495&lt;=9)*('CASE MASTER'!$AC$2:$AC$495&gt;=9)*('CASE MASTER'!$AB$2:$AB$495&lt;=1)*('CASE MASTER'!$AD$2:$AD$495&gt;=1))*ROW('CASE MASTER'!$T$2:$T$495))-(ROW('CASE MASTER'!#REF!)-1)))+((9-INDEX('CASE MASTER'!$AA$2:$AA$495,(SUMPRODUCT((('CASE MASTER'!$T$2:$T$495=1)*('CASE MASTER'!$AA$2:$AA$495&lt;=9)*('CASE MASTER'!$AC$2:$AC$495&gt;=9)*('CASE MASTER'!$AB$2:$AB$495&lt;=1)*('CASE MASTER'!$AD$2:$AD$495&gt;=1))*ROW('CASE MASTER'!$T$2:$T$495))-(ROW('CASE MASTER'!#REF!)-1))))*(INDEX('CASE MASTER'!$AD$2:$AD$495,(SUMPRODUCT((('CASE MASTER'!$T$2:$T$495=1)*('CASE MASTER'!$AA$2:$AA$495&lt;=9)*('CASE MASTER'!$AC$2:$AC$495&gt;=9)*('CASE MASTER'!$AB$2:$AB$495&lt;=1)*('CASE MASTER'!$AD$2:$AD$495&gt;=1))*ROW('CASE MASTER'!$T$2:$T$495))-(ROW('CASE MASTER'!#REF!)-1)))-INDEX('CASE MASTER'!$AB$2:$AB$495,(SUMPRODUCT((('CASE MASTER'!$T$2:$T$495=1)*('CASE MASTER'!$AA$2:$AA$495&lt;=9)*('CASE MASTER'!$AC$2:$AC$495&gt;=9)*('CASE MASTER'!$AB$2:$AB$495&lt;=1)*('CASE MASTER'!$AD$2:$AD$495&gt;=1))*ROW('CASE MASTER'!$T$2:$T$495))-(ROW('CASE MASTER'!#REF!)-1)))+1)+(1-INDEX('CASE MASTER'!$AB$2:$AB$495,(SUMPRODUCT((('CASE MASTER'!$T$2:$T$495=1)*('CASE MASTER'!$AA$2:$AA$495&lt;=9)*('CASE MASTER'!$AC$2:$AC$495&gt;=9)*('CASE MASTER'!$AB$2:$AB$495&lt;=1)*('CASE MASTER'!$AD$2:$AD$495&gt;=1))*ROW('CASE MASTER'!$T$2:$T$495))-(ROW('CASE MASTER'!#REF!)-1))))+1)))-1)*50+1,50))&amp;"_"&amp;INDEX('CASE MASTER'!$Q$2:$Q$495,(SUMPRODUCT((('CASE MASTER'!$T$2:$T$495=1)*('CASE MASTER'!$AA$2:$AA$495&lt;=9)*('CASE MASTER'!$AC$2:$AC$495&gt;=9)*('CASE MASTER'!$AB$2:$AB$495&lt;=1)*('CASE MASTER'!$AD$2:$AD$495&gt;=1))*ROW('CASE MASTER'!$T$2:$T$495))-(ROW('CASE MASTER'!#REF!)-1))),"")),"")</f>
        <v/>
      </c>
      <c r="C11" s="10" t="str">
        <f>IFERROR(IF(SUMPRODUCT((('CASE MASTER'!$T$2:$T$495=1)*('CASE MASTER'!$U$2:$U$495&lt;=9)*('CASE MASTER'!$W$2:$W$495&gt;=9)*('CASE MASTER'!$V$2:$V$495&lt;=2)*('CASE MASTER'!$X$2:$X$495&gt;=2))*ROW('CASE MASTER'!$T$2:$T$495))&gt;0,INDEX('CASE MASTER'!$Y$2:$Y$495,(SUMPRODUCT((('CASE MASTER'!$T$2:$T$495=1)*('CASE MASTER'!$U$2:$U$495&lt;=9)*('CASE MASTER'!$W$2:$W$495&gt;=9)*('CASE MASTER'!$V$2:$V$495&lt;=2)*('CASE MASTER'!$X$2:$X$495&gt;=2))*ROW('CASE MASTER'!$T$2:$T$495))-(ROW('CASE MASTER'!#REF!)-1)))&amp;TRIM(MID(SUBSTITUTE(SUBSTITUTE(INDEX('CASE MASTER'!$N$2:$N$495,(SUMPRODUCT((('CASE MASTER'!$T$2:$T$495=1)*('CASE MASTER'!$U$2:$U$495&lt;=9)*('CASE MASTER'!$W$2:$W$495&gt;=9)*('CASE MASTER'!$V$2:$V$495&lt;=2)*('CASE MASTER'!$X$2:$X$495&gt;=2))*ROW('CASE MASTER'!$T$2:$T$495))-(ROW('CASE MASTER'!#REF!)-1))),":",","),",",REPT(" ",50)),((((9-INDEX('CASE MASTER'!$U$2:$U$495,(SUMPRODUCT((('CASE MASTER'!$T$2:$T$495=1)*('CASE MASTER'!$U$2:$U$495&lt;=9)*('CASE MASTER'!$W$2:$W$495&gt;=9)*('CASE MASTER'!$V$2:$V$495&lt;=2)*('CASE MASTER'!$X$2:$X$495&gt;=2))*ROW('CASE MASTER'!$T$2:$T$495))-(ROW('CASE MASTER'!#REF!)-1))))*(INDEX('CASE MASTER'!$X$2:$X$495,(SUMPRODUCT((('CASE MASTER'!$T$2:$T$495=1)*('CASE MASTER'!$U$2:$U$495&lt;=9)*('CASE MASTER'!$W$2:$W$495&gt;=9)*('CASE MASTER'!$V$2:$V$495&lt;=2)*('CASE MASTER'!$X$2:$X$495&gt;=2))*ROW('CASE MASTER'!$T$2:$T$495))-(ROW('CASE MASTER'!#REF!)-1)))-INDEX('CASE MASTER'!$V$2:$V$495,(SUMPRODUCT((('CASE MASTER'!$T$2:$T$495=1)*('CASE MASTER'!$U$2:$U$495&lt;=9)*('CASE MASTER'!$W$2:$W$495&gt;=9)*('CASE MASTER'!$V$2:$V$495&lt;=2)*('CASE MASTER'!$X$2:$X$495&gt;=2))*ROW('CASE MASTER'!$T$2:$T$495))-(ROW('CASE MASTER'!#REF!)-1)))+1)+(2-INDEX('CASE MASTER'!$V$2:$V$495,(SUMPRODUCT((('CASE MASTER'!$T$2:$T$495=1)*('CASE MASTER'!$U$2:$U$495&lt;=9)*('CASE MASTER'!$W$2:$W$495&gt;=9)*('CASE MASTER'!$V$2:$V$495&lt;=2)*('CASE MASTER'!$X$2:$X$495&gt;=2))*ROW('CASE MASTER'!$T$2:$T$495))-(ROW('CASE MASTER'!#REF!)-1))))+1))-1)*50+1,50))&amp;"_"&amp;INDEX('CASE MASTER'!$Q$2:$Q$495,(SUMPRODUCT((('CASE MASTER'!$T$2:$T$495=1)*('CASE MASTER'!$U$2:$U$495&lt;=9)*('CASE MASTER'!$W$2:$W$495&gt;=9)*('CASE MASTER'!$V$2:$V$495&lt;=2)*('CASE MASTER'!$X$2:$X$495&gt;=2))*ROW('CASE MASTER'!$T$2:$T$495))-(ROW('CASE MASTER'!#REF!)-1))),IF(SUMPRODUCT((('CASE MASTER'!$T$2:$T$495=1)*('CASE MASTER'!$AA$2:$AA$495&lt;=9)*('CASE MASTER'!$AC$2:$AC$495&gt;=9)*('CASE MASTER'!$AB$2:$AB$495&lt;=2)*('CASE MASTER'!$AD$2:$AD$495&gt;=2))*ROW('CASE MASTER'!$T$2:$T$495))&gt;0,INDEX('CASE MASTER'!$Y$2:$Y$495,(SUMPRODUCT((('CASE MASTER'!$T$2:$T$495=1)*('CASE MASTER'!$AA$2:$AA$495&lt;=9)*('CASE MASTER'!$AC$2:$AC$495&gt;=9)*('CASE MASTER'!$AB$2:$AB$495&lt;=2)*('CASE MASTER'!$AD$2:$AD$495&gt;=2))*ROW('CASE MASTER'!$T$2:$T$495))-(ROW('CASE MASTER'!#REF!)-1)))&amp;TRIM(MID(SUBSTITUTE(SUBSTITUTE(INDEX('CASE MASTER'!$N$2:$N$495,(SUMPRODUCT((('CASE MASTER'!$T$2:$T$495=1)*('CASE MASTER'!$AA$2:$AA$495&lt;=9)*('CASE MASTER'!$AC$2:$AC$495&gt;=9)*('CASE MASTER'!$AB$2:$AB$495&lt;=2)*('CASE MASTER'!$AD$2:$AD$495&gt;=2))*ROW('CASE MASTER'!$T$2:$T$495))-(ROW('CASE MASTER'!#REF!)-1))),":",","),",",REPT(" ",50)),(((INDEX('CASE MASTER'!$Z$2:$Z$495,(SUMPRODUCT((('CASE MASTER'!$T$2:$T$495=1)*('CASE MASTER'!$AA$2:$AA$495&lt;=9)*('CASE MASTER'!$AC$2:$AC$495&gt;=9)*('CASE MASTER'!$AB$2:$AB$495&lt;=2)*('CASE MASTER'!$AD$2:$AD$495&gt;=2))*ROW('CASE MASTER'!$T$2:$T$495))-(ROW('CASE MASTER'!#REF!)-1)))+((9-INDEX('CASE MASTER'!$AA$2:$AA$495,(SUMPRODUCT((('CASE MASTER'!$T$2:$T$495=1)*('CASE MASTER'!$AA$2:$AA$495&lt;=9)*('CASE MASTER'!$AC$2:$AC$495&gt;=9)*('CASE MASTER'!$AB$2:$AB$495&lt;=2)*('CASE MASTER'!$AD$2:$AD$495&gt;=2))*ROW('CASE MASTER'!$T$2:$T$495))-(ROW('CASE MASTER'!#REF!)-1))))*(INDEX('CASE MASTER'!$AD$2:$AD$495,(SUMPRODUCT((('CASE MASTER'!$T$2:$T$495=1)*('CASE MASTER'!$AA$2:$AA$495&lt;=9)*('CASE MASTER'!$AC$2:$AC$495&gt;=9)*('CASE MASTER'!$AB$2:$AB$495&lt;=2)*('CASE MASTER'!$AD$2:$AD$495&gt;=2))*ROW('CASE MASTER'!$T$2:$T$495))-(ROW('CASE MASTER'!#REF!)-1)))-INDEX('CASE MASTER'!$AB$2:$AB$495,(SUMPRODUCT((('CASE MASTER'!$T$2:$T$495=1)*('CASE MASTER'!$AA$2:$AA$495&lt;=9)*('CASE MASTER'!$AC$2:$AC$495&gt;=9)*('CASE MASTER'!$AB$2:$AB$495&lt;=2)*('CASE MASTER'!$AD$2:$AD$495&gt;=2))*ROW('CASE MASTER'!$T$2:$T$495))-(ROW('CASE MASTER'!#REF!)-1)))+1)+(2-INDEX('CASE MASTER'!$AB$2:$AB$495,(SUMPRODUCT((('CASE MASTER'!$T$2:$T$495=1)*('CASE MASTER'!$AA$2:$AA$495&lt;=9)*('CASE MASTER'!$AC$2:$AC$495&gt;=9)*('CASE MASTER'!$AB$2:$AB$495&lt;=2)*('CASE MASTER'!$AD$2:$AD$495&gt;=2))*ROW('CASE MASTER'!$T$2:$T$495))-(ROW('CASE MASTER'!#REF!)-1))))+1)))-1)*50+1,50))&amp;"_"&amp;INDEX('CASE MASTER'!$Q$2:$Q$495,(SUMPRODUCT((('CASE MASTER'!$T$2:$T$495=1)*('CASE MASTER'!$AA$2:$AA$495&lt;=9)*('CASE MASTER'!$AC$2:$AC$495&gt;=9)*('CASE MASTER'!$AB$2:$AB$495&lt;=2)*('CASE MASTER'!$AD$2:$AD$495&gt;=2))*ROW('CASE MASTER'!$T$2:$T$495))-(ROW('CASE MASTER'!#REF!)-1))),"")),"")</f>
        <v/>
      </c>
      <c r="D11" s="10" t="str">
        <f>IFERROR(IF(SUMPRODUCT((('CASE MASTER'!$T$2:$T$495=1)*('CASE MASTER'!$U$2:$U$495&lt;=9)*('CASE MASTER'!$W$2:$W$495&gt;=9)*('CASE MASTER'!$V$2:$V$495&lt;=3)*('CASE MASTER'!$X$2:$X$495&gt;=3))*ROW('CASE MASTER'!$T$2:$T$495))&gt;0,INDEX('CASE MASTER'!$Y$2:$Y$495,(SUMPRODUCT((('CASE MASTER'!$T$2:$T$495=1)*('CASE MASTER'!$U$2:$U$495&lt;=9)*('CASE MASTER'!$W$2:$W$495&gt;=9)*('CASE MASTER'!$V$2:$V$495&lt;=3)*('CASE MASTER'!$X$2:$X$495&gt;=3))*ROW('CASE MASTER'!$T$2:$T$495))-(ROW('CASE MASTER'!#REF!)-1)))&amp;TRIM(MID(SUBSTITUTE(SUBSTITUTE(INDEX('CASE MASTER'!$N$2:$N$495,(SUMPRODUCT((('CASE MASTER'!$T$2:$T$495=1)*('CASE MASTER'!$U$2:$U$495&lt;=9)*('CASE MASTER'!$W$2:$W$495&gt;=9)*('CASE MASTER'!$V$2:$V$495&lt;=3)*('CASE MASTER'!$X$2:$X$495&gt;=3))*ROW('CASE MASTER'!$T$2:$T$495))-(ROW('CASE MASTER'!#REF!)-1))),":",","),",",REPT(" ",50)),((((9-INDEX('CASE MASTER'!$U$2:$U$495,(SUMPRODUCT((('CASE MASTER'!$T$2:$T$495=1)*('CASE MASTER'!$U$2:$U$495&lt;=9)*('CASE MASTER'!$W$2:$W$495&gt;=9)*('CASE MASTER'!$V$2:$V$495&lt;=3)*('CASE MASTER'!$X$2:$X$495&gt;=3))*ROW('CASE MASTER'!$T$2:$T$495))-(ROW('CASE MASTER'!#REF!)-1))))*(INDEX('CASE MASTER'!$X$2:$X$495,(SUMPRODUCT((('CASE MASTER'!$T$2:$T$495=1)*('CASE MASTER'!$U$2:$U$495&lt;=9)*('CASE MASTER'!$W$2:$W$495&gt;=9)*('CASE MASTER'!$V$2:$V$495&lt;=3)*('CASE MASTER'!$X$2:$X$495&gt;=3))*ROW('CASE MASTER'!$T$2:$T$495))-(ROW('CASE MASTER'!#REF!)-1)))-INDEX('CASE MASTER'!$V$2:$V$495,(SUMPRODUCT((('CASE MASTER'!$T$2:$T$495=1)*('CASE MASTER'!$U$2:$U$495&lt;=9)*('CASE MASTER'!$W$2:$W$495&gt;=9)*('CASE MASTER'!$V$2:$V$495&lt;=3)*('CASE MASTER'!$X$2:$X$495&gt;=3))*ROW('CASE MASTER'!$T$2:$T$495))-(ROW('CASE MASTER'!#REF!)-1)))+1)+(3-INDEX('CASE MASTER'!$V$2:$V$495,(SUMPRODUCT((('CASE MASTER'!$T$2:$T$495=1)*('CASE MASTER'!$U$2:$U$495&lt;=9)*('CASE MASTER'!$W$2:$W$495&gt;=9)*('CASE MASTER'!$V$2:$V$495&lt;=3)*('CASE MASTER'!$X$2:$X$495&gt;=3))*ROW('CASE MASTER'!$T$2:$T$495))-(ROW('CASE MASTER'!#REF!)-1))))+1))-1)*50+1,50))&amp;"_"&amp;INDEX('CASE MASTER'!$Q$2:$Q$495,(SUMPRODUCT((('CASE MASTER'!$T$2:$T$495=1)*('CASE MASTER'!$U$2:$U$495&lt;=9)*('CASE MASTER'!$W$2:$W$495&gt;=9)*('CASE MASTER'!$V$2:$V$495&lt;=3)*('CASE MASTER'!$X$2:$X$495&gt;=3))*ROW('CASE MASTER'!$T$2:$T$495))-(ROW('CASE MASTER'!#REF!)-1))),IF(SUMPRODUCT((('CASE MASTER'!$T$2:$T$495=1)*('CASE MASTER'!$AA$2:$AA$495&lt;=9)*('CASE MASTER'!$AC$2:$AC$495&gt;=9)*('CASE MASTER'!$AB$2:$AB$495&lt;=3)*('CASE MASTER'!$AD$2:$AD$495&gt;=3))*ROW('CASE MASTER'!$T$2:$T$495))&gt;0,INDEX('CASE MASTER'!$Y$2:$Y$495,(SUMPRODUCT((('CASE MASTER'!$T$2:$T$495=1)*('CASE MASTER'!$AA$2:$AA$495&lt;=9)*('CASE MASTER'!$AC$2:$AC$495&gt;=9)*('CASE MASTER'!$AB$2:$AB$495&lt;=3)*('CASE MASTER'!$AD$2:$AD$495&gt;=3))*ROW('CASE MASTER'!$T$2:$T$495))-(ROW('CASE MASTER'!#REF!)-1)))&amp;TRIM(MID(SUBSTITUTE(SUBSTITUTE(INDEX('CASE MASTER'!$N$2:$N$495,(SUMPRODUCT((('CASE MASTER'!$T$2:$T$495=1)*('CASE MASTER'!$AA$2:$AA$495&lt;=9)*('CASE MASTER'!$AC$2:$AC$495&gt;=9)*('CASE MASTER'!$AB$2:$AB$495&lt;=3)*('CASE MASTER'!$AD$2:$AD$495&gt;=3))*ROW('CASE MASTER'!$T$2:$T$495))-(ROW('CASE MASTER'!#REF!)-1))),":",","),",",REPT(" ",50)),(((INDEX('CASE MASTER'!$Z$2:$Z$495,(SUMPRODUCT((('CASE MASTER'!$T$2:$T$495=1)*('CASE MASTER'!$AA$2:$AA$495&lt;=9)*('CASE MASTER'!$AC$2:$AC$495&gt;=9)*('CASE MASTER'!$AB$2:$AB$495&lt;=3)*('CASE MASTER'!$AD$2:$AD$495&gt;=3))*ROW('CASE MASTER'!$T$2:$T$495))-(ROW('CASE MASTER'!#REF!)-1)))+((9-INDEX('CASE MASTER'!$AA$2:$AA$495,(SUMPRODUCT((('CASE MASTER'!$T$2:$T$495=1)*('CASE MASTER'!$AA$2:$AA$495&lt;=9)*('CASE MASTER'!$AC$2:$AC$495&gt;=9)*('CASE MASTER'!$AB$2:$AB$495&lt;=3)*('CASE MASTER'!$AD$2:$AD$495&gt;=3))*ROW('CASE MASTER'!$T$2:$T$495))-(ROW('CASE MASTER'!#REF!)-1))))*(INDEX('CASE MASTER'!$AD$2:$AD$495,(SUMPRODUCT((('CASE MASTER'!$T$2:$T$495=1)*('CASE MASTER'!$AA$2:$AA$495&lt;=9)*('CASE MASTER'!$AC$2:$AC$495&gt;=9)*('CASE MASTER'!$AB$2:$AB$495&lt;=3)*('CASE MASTER'!$AD$2:$AD$495&gt;=3))*ROW('CASE MASTER'!$T$2:$T$495))-(ROW('CASE MASTER'!#REF!)-1)))-INDEX('CASE MASTER'!$AB$2:$AB$495,(SUMPRODUCT((('CASE MASTER'!$T$2:$T$495=1)*('CASE MASTER'!$AA$2:$AA$495&lt;=9)*('CASE MASTER'!$AC$2:$AC$495&gt;=9)*('CASE MASTER'!$AB$2:$AB$495&lt;=3)*('CASE MASTER'!$AD$2:$AD$495&gt;=3))*ROW('CASE MASTER'!$T$2:$T$495))-(ROW('CASE MASTER'!#REF!)-1)))+1)+(3-INDEX('CASE MASTER'!$AB$2:$AB$495,(SUMPRODUCT((('CASE MASTER'!$T$2:$T$495=1)*('CASE MASTER'!$AA$2:$AA$495&lt;=9)*('CASE MASTER'!$AC$2:$AC$495&gt;=9)*('CASE MASTER'!$AB$2:$AB$495&lt;=3)*('CASE MASTER'!$AD$2:$AD$495&gt;=3))*ROW('CASE MASTER'!$T$2:$T$495))-(ROW('CASE MASTER'!#REF!)-1))))+1)))-1)*50+1,50))&amp;"_"&amp;INDEX('CASE MASTER'!$Q$2:$Q$495,(SUMPRODUCT((('CASE MASTER'!$T$2:$T$495=1)*('CASE MASTER'!$AA$2:$AA$495&lt;=9)*('CASE MASTER'!$AC$2:$AC$495&gt;=9)*('CASE MASTER'!$AB$2:$AB$495&lt;=3)*('CASE MASTER'!$AD$2:$AD$495&gt;=3))*ROW('CASE MASTER'!$T$2:$T$495))-(ROW('CASE MASTER'!#REF!)-1))),"")),"")</f>
        <v/>
      </c>
      <c r="E11" s="10" t="str">
        <f>IFERROR(IF(SUMPRODUCT((('CASE MASTER'!$T$2:$T$495=1)*('CASE MASTER'!$U$2:$U$495&lt;=9)*('CASE MASTER'!$W$2:$W$495&gt;=9)*('CASE MASTER'!$V$2:$V$495&lt;=4)*('CASE MASTER'!$X$2:$X$495&gt;=4))*ROW('CASE MASTER'!$T$2:$T$495))&gt;0,INDEX('CASE MASTER'!$Y$2:$Y$495,(SUMPRODUCT((('CASE MASTER'!$T$2:$T$495=1)*('CASE MASTER'!$U$2:$U$495&lt;=9)*('CASE MASTER'!$W$2:$W$495&gt;=9)*('CASE MASTER'!$V$2:$V$495&lt;=4)*('CASE MASTER'!$X$2:$X$495&gt;=4))*ROW('CASE MASTER'!$T$2:$T$495))-(ROW('CASE MASTER'!#REF!)-1)))&amp;TRIM(MID(SUBSTITUTE(SUBSTITUTE(INDEX('CASE MASTER'!$N$2:$N$495,(SUMPRODUCT((('CASE MASTER'!$T$2:$T$495=1)*('CASE MASTER'!$U$2:$U$495&lt;=9)*('CASE MASTER'!$W$2:$W$495&gt;=9)*('CASE MASTER'!$V$2:$V$495&lt;=4)*('CASE MASTER'!$X$2:$X$495&gt;=4))*ROW('CASE MASTER'!$T$2:$T$495))-(ROW('CASE MASTER'!#REF!)-1))),":",","),",",REPT(" ",50)),((((9-INDEX('CASE MASTER'!$U$2:$U$495,(SUMPRODUCT((('CASE MASTER'!$T$2:$T$495=1)*('CASE MASTER'!$U$2:$U$495&lt;=9)*('CASE MASTER'!$W$2:$W$495&gt;=9)*('CASE MASTER'!$V$2:$V$495&lt;=4)*('CASE MASTER'!$X$2:$X$495&gt;=4))*ROW('CASE MASTER'!$T$2:$T$495))-(ROW('CASE MASTER'!#REF!)-1))))*(INDEX('CASE MASTER'!$X$2:$X$495,(SUMPRODUCT((('CASE MASTER'!$T$2:$T$495=1)*('CASE MASTER'!$U$2:$U$495&lt;=9)*('CASE MASTER'!$W$2:$W$495&gt;=9)*('CASE MASTER'!$V$2:$V$495&lt;=4)*('CASE MASTER'!$X$2:$X$495&gt;=4))*ROW('CASE MASTER'!$T$2:$T$495))-(ROW('CASE MASTER'!#REF!)-1)))-INDEX('CASE MASTER'!$V$2:$V$495,(SUMPRODUCT((('CASE MASTER'!$T$2:$T$495=1)*('CASE MASTER'!$U$2:$U$495&lt;=9)*('CASE MASTER'!$W$2:$W$495&gt;=9)*('CASE MASTER'!$V$2:$V$495&lt;=4)*('CASE MASTER'!$X$2:$X$495&gt;=4))*ROW('CASE MASTER'!$T$2:$T$495))-(ROW('CASE MASTER'!#REF!)-1)))+1)+(4-INDEX('CASE MASTER'!$V$2:$V$495,(SUMPRODUCT((('CASE MASTER'!$T$2:$T$495=1)*('CASE MASTER'!$U$2:$U$495&lt;=9)*('CASE MASTER'!$W$2:$W$495&gt;=9)*('CASE MASTER'!$V$2:$V$495&lt;=4)*('CASE MASTER'!$X$2:$X$495&gt;=4))*ROW('CASE MASTER'!$T$2:$T$495))-(ROW('CASE MASTER'!#REF!)-1))))+1))-1)*50+1,50))&amp;"_"&amp;INDEX('CASE MASTER'!$Q$2:$Q$495,(SUMPRODUCT((('CASE MASTER'!$T$2:$T$495=1)*('CASE MASTER'!$U$2:$U$495&lt;=9)*('CASE MASTER'!$W$2:$W$495&gt;=9)*('CASE MASTER'!$V$2:$V$495&lt;=4)*('CASE MASTER'!$X$2:$X$495&gt;=4))*ROW('CASE MASTER'!$T$2:$T$495))-(ROW('CASE MASTER'!#REF!)-1))),IF(SUMPRODUCT((('CASE MASTER'!$T$2:$T$495=1)*('CASE MASTER'!$AA$2:$AA$495&lt;=9)*('CASE MASTER'!$AC$2:$AC$495&gt;=9)*('CASE MASTER'!$AB$2:$AB$495&lt;=4)*('CASE MASTER'!$AD$2:$AD$495&gt;=4))*ROW('CASE MASTER'!$T$2:$T$495))&gt;0,INDEX('CASE MASTER'!$Y$2:$Y$495,(SUMPRODUCT((('CASE MASTER'!$T$2:$T$495=1)*('CASE MASTER'!$AA$2:$AA$495&lt;=9)*('CASE MASTER'!$AC$2:$AC$495&gt;=9)*('CASE MASTER'!$AB$2:$AB$495&lt;=4)*('CASE MASTER'!$AD$2:$AD$495&gt;=4))*ROW('CASE MASTER'!$T$2:$T$495))-(ROW('CASE MASTER'!#REF!)-1)))&amp;TRIM(MID(SUBSTITUTE(SUBSTITUTE(INDEX('CASE MASTER'!$N$2:$N$495,(SUMPRODUCT((('CASE MASTER'!$T$2:$T$495=1)*('CASE MASTER'!$AA$2:$AA$495&lt;=9)*('CASE MASTER'!$AC$2:$AC$495&gt;=9)*('CASE MASTER'!$AB$2:$AB$495&lt;=4)*('CASE MASTER'!$AD$2:$AD$495&gt;=4))*ROW('CASE MASTER'!$T$2:$T$495))-(ROW('CASE MASTER'!#REF!)-1))),":",","),",",REPT(" ",50)),(((INDEX('CASE MASTER'!$Z$2:$Z$495,(SUMPRODUCT((('CASE MASTER'!$T$2:$T$495=1)*('CASE MASTER'!$AA$2:$AA$495&lt;=9)*('CASE MASTER'!$AC$2:$AC$495&gt;=9)*('CASE MASTER'!$AB$2:$AB$495&lt;=4)*('CASE MASTER'!$AD$2:$AD$495&gt;=4))*ROW('CASE MASTER'!$T$2:$T$495))-(ROW('CASE MASTER'!#REF!)-1)))+((9-INDEX('CASE MASTER'!$AA$2:$AA$495,(SUMPRODUCT((('CASE MASTER'!$T$2:$T$495=1)*('CASE MASTER'!$AA$2:$AA$495&lt;=9)*('CASE MASTER'!$AC$2:$AC$495&gt;=9)*('CASE MASTER'!$AB$2:$AB$495&lt;=4)*('CASE MASTER'!$AD$2:$AD$495&gt;=4))*ROW('CASE MASTER'!$T$2:$T$495))-(ROW('CASE MASTER'!#REF!)-1))))*(INDEX('CASE MASTER'!$AD$2:$AD$495,(SUMPRODUCT((('CASE MASTER'!$T$2:$T$495=1)*('CASE MASTER'!$AA$2:$AA$495&lt;=9)*('CASE MASTER'!$AC$2:$AC$495&gt;=9)*('CASE MASTER'!$AB$2:$AB$495&lt;=4)*('CASE MASTER'!$AD$2:$AD$495&gt;=4))*ROW('CASE MASTER'!$T$2:$T$495))-(ROW('CASE MASTER'!#REF!)-1)))-INDEX('CASE MASTER'!$AB$2:$AB$495,(SUMPRODUCT((('CASE MASTER'!$T$2:$T$495=1)*('CASE MASTER'!$AA$2:$AA$495&lt;=9)*('CASE MASTER'!$AC$2:$AC$495&gt;=9)*('CASE MASTER'!$AB$2:$AB$495&lt;=4)*('CASE MASTER'!$AD$2:$AD$495&gt;=4))*ROW('CASE MASTER'!$T$2:$T$495))-(ROW('CASE MASTER'!#REF!)-1)))+1)+(4-INDEX('CASE MASTER'!$AB$2:$AB$495,(SUMPRODUCT((('CASE MASTER'!$T$2:$T$495=1)*('CASE MASTER'!$AA$2:$AA$495&lt;=9)*('CASE MASTER'!$AC$2:$AC$495&gt;=9)*('CASE MASTER'!$AB$2:$AB$495&lt;=4)*('CASE MASTER'!$AD$2:$AD$495&gt;=4))*ROW('CASE MASTER'!$T$2:$T$495))-(ROW('CASE MASTER'!#REF!)-1))))+1)))-1)*50+1,50))&amp;"_"&amp;INDEX('CASE MASTER'!$Q$2:$Q$495,(SUMPRODUCT((('CASE MASTER'!$T$2:$T$495=1)*('CASE MASTER'!$AA$2:$AA$495&lt;=9)*('CASE MASTER'!$AC$2:$AC$495&gt;=9)*('CASE MASTER'!$AB$2:$AB$495&lt;=4)*('CASE MASTER'!$AD$2:$AD$495&gt;=4))*ROW('CASE MASTER'!$T$2:$T$495))-(ROW('CASE MASTER'!#REF!)-1))),"")),"")</f>
        <v/>
      </c>
      <c r="F11" s="10" t="str">
        <f>IFERROR(IF(SUMPRODUCT((('CASE MASTER'!$T$2:$T$495=1)*('CASE MASTER'!$U$2:$U$495&lt;=9)*('CASE MASTER'!$W$2:$W$495&gt;=9)*('CASE MASTER'!$V$2:$V$495&lt;=5)*('CASE MASTER'!$X$2:$X$495&gt;=5))*ROW('CASE MASTER'!$T$2:$T$495))&gt;0,INDEX('CASE MASTER'!$Y$2:$Y$495,(SUMPRODUCT((('CASE MASTER'!$T$2:$T$495=1)*('CASE MASTER'!$U$2:$U$495&lt;=9)*('CASE MASTER'!$W$2:$W$495&gt;=9)*('CASE MASTER'!$V$2:$V$495&lt;=5)*('CASE MASTER'!$X$2:$X$495&gt;=5))*ROW('CASE MASTER'!$T$2:$T$495))-(ROW('CASE MASTER'!#REF!)-1)))&amp;TRIM(MID(SUBSTITUTE(SUBSTITUTE(INDEX('CASE MASTER'!$N$2:$N$495,(SUMPRODUCT((('CASE MASTER'!$T$2:$T$495=1)*('CASE MASTER'!$U$2:$U$495&lt;=9)*('CASE MASTER'!$W$2:$W$495&gt;=9)*('CASE MASTER'!$V$2:$V$495&lt;=5)*('CASE MASTER'!$X$2:$X$495&gt;=5))*ROW('CASE MASTER'!$T$2:$T$495))-(ROW('CASE MASTER'!#REF!)-1))),":",","),",",REPT(" ",50)),((((9-INDEX('CASE MASTER'!$U$2:$U$495,(SUMPRODUCT((('CASE MASTER'!$T$2:$T$495=1)*('CASE MASTER'!$U$2:$U$495&lt;=9)*('CASE MASTER'!$W$2:$W$495&gt;=9)*('CASE MASTER'!$V$2:$V$495&lt;=5)*('CASE MASTER'!$X$2:$X$495&gt;=5))*ROW('CASE MASTER'!$T$2:$T$495))-(ROW('CASE MASTER'!#REF!)-1))))*(INDEX('CASE MASTER'!$X$2:$X$495,(SUMPRODUCT((('CASE MASTER'!$T$2:$T$495=1)*('CASE MASTER'!$U$2:$U$495&lt;=9)*('CASE MASTER'!$W$2:$W$495&gt;=9)*('CASE MASTER'!$V$2:$V$495&lt;=5)*('CASE MASTER'!$X$2:$X$495&gt;=5))*ROW('CASE MASTER'!$T$2:$T$495))-(ROW('CASE MASTER'!#REF!)-1)))-INDEX('CASE MASTER'!$V$2:$V$495,(SUMPRODUCT((('CASE MASTER'!$T$2:$T$495=1)*('CASE MASTER'!$U$2:$U$495&lt;=9)*('CASE MASTER'!$W$2:$W$495&gt;=9)*('CASE MASTER'!$V$2:$V$495&lt;=5)*('CASE MASTER'!$X$2:$X$495&gt;=5))*ROW('CASE MASTER'!$T$2:$T$495))-(ROW('CASE MASTER'!#REF!)-1)))+1)+(5-INDEX('CASE MASTER'!$V$2:$V$495,(SUMPRODUCT((('CASE MASTER'!$T$2:$T$495=1)*('CASE MASTER'!$U$2:$U$495&lt;=9)*('CASE MASTER'!$W$2:$W$495&gt;=9)*('CASE MASTER'!$V$2:$V$495&lt;=5)*('CASE MASTER'!$X$2:$X$495&gt;=5))*ROW('CASE MASTER'!$T$2:$T$495))-(ROW('CASE MASTER'!#REF!)-1))))+1))-1)*50+1,50))&amp;"_"&amp;INDEX('CASE MASTER'!$Q$2:$Q$495,(SUMPRODUCT((('CASE MASTER'!$T$2:$T$495=1)*('CASE MASTER'!$U$2:$U$495&lt;=9)*('CASE MASTER'!$W$2:$W$495&gt;=9)*('CASE MASTER'!$V$2:$V$495&lt;=5)*('CASE MASTER'!$X$2:$X$495&gt;=5))*ROW('CASE MASTER'!$T$2:$T$495))-(ROW('CASE MASTER'!#REF!)-1))),IF(SUMPRODUCT((('CASE MASTER'!$T$2:$T$495=1)*('CASE MASTER'!$AA$2:$AA$495&lt;=9)*('CASE MASTER'!$AC$2:$AC$495&gt;=9)*('CASE MASTER'!$AB$2:$AB$495&lt;=5)*('CASE MASTER'!$AD$2:$AD$495&gt;=5))*ROW('CASE MASTER'!$T$2:$T$495))&gt;0,INDEX('CASE MASTER'!$Y$2:$Y$495,(SUMPRODUCT((('CASE MASTER'!$T$2:$T$495=1)*('CASE MASTER'!$AA$2:$AA$495&lt;=9)*('CASE MASTER'!$AC$2:$AC$495&gt;=9)*('CASE MASTER'!$AB$2:$AB$495&lt;=5)*('CASE MASTER'!$AD$2:$AD$495&gt;=5))*ROW('CASE MASTER'!$T$2:$T$495))-(ROW('CASE MASTER'!#REF!)-1)))&amp;TRIM(MID(SUBSTITUTE(SUBSTITUTE(INDEX('CASE MASTER'!$N$2:$N$495,(SUMPRODUCT((('CASE MASTER'!$T$2:$T$495=1)*('CASE MASTER'!$AA$2:$AA$495&lt;=9)*('CASE MASTER'!$AC$2:$AC$495&gt;=9)*('CASE MASTER'!$AB$2:$AB$495&lt;=5)*('CASE MASTER'!$AD$2:$AD$495&gt;=5))*ROW('CASE MASTER'!$T$2:$T$495))-(ROW('CASE MASTER'!#REF!)-1))),":",","),",",REPT(" ",50)),(((INDEX('CASE MASTER'!$Z$2:$Z$495,(SUMPRODUCT((('CASE MASTER'!$T$2:$T$495=1)*('CASE MASTER'!$AA$2:$AA$495&lt;=9)*('CASE MASTER'!$AC$2:$AC$495&gt;=9)*('CASE MASTER'!$AB$2:$AB$495&lt;=5)*('CASE MASTER'!$AD$2:$AD$495&gt;=5))*ROW('CASE MASTER'!$T$2:$T$495))-(ROW('CASE MASTER'!#REF!)-1)))+((9-INDEX('CASE MASTER'!$AA$2:$AA$495,(SUMPRODUCT((('CASE MASTER'!$T$2:$T$495=1)*('CASE MASTER'!$AA$2:$AA$495&lt;=9)*('CASE MASTER'!$AC$2:$AC$495&gt;=9)*('CASE MASTER'!$AB$2:$AB$495&lt;=5)*('CASE MASTER'!$AD$2:$AD$495&gt;=5))*ROW('CASE MASTER'!$T$2:$T$495))-(ROW('CASE MASTER'!#REF!)-1))))*(INDEX('CASE MASTER'!$AD$2:$AD$495,(SUMPRODUCT((('CASE MASTER'!$T$2:$T$495=1)*('CASE MASTER'!$AA$2:$AA$495&lt;=9)*('CASE MASTER'!$AC$2:$AC$495&gt;=9)*('CASE MASTER'!$AB$2:$AB$495&lt;=5)*('CASE MASTER'!$AD$2:$AD$495&gt;=5))*ROW('CASE MASTER'!$T$2:$T$495))-(ROW('CASE MASTER'!#REF!)-1)))-INDEX('CASE MASTER'!$AB$2:$AB$495,(SUMPRODUCT((('CASE MASTER'!$T$2:$T$495=1)*('CASE MASTER'!$AA$2:$AA$495&lt;=9)*('CASE MASTER'!$AC$2:$AC$495&gt;=9)*('CASE MASTER'!$AB$2:$AB$495&lt;=5)*('CASE MASTER'!$AD$2:$AD$495&gt;=5))*ROW('CASE MASTER'!$T$2:$T$495))-(ROW('CASE MASTER'!#REF!)-1)))+1)+(5-INDEX('CASE MASTER'!$AB$2:$AB$495,(SUMPRODUCT((('CASE MASTER'!$T$2:$T$495=1)*('CASE MASTER'!$AA$2:$AA$495&lt;=9)*('CASE MASTER'!$AC$2:$AC$495&gt;=9)*('CASE MASTER'!$AB$2:$AB$495&lt;=5)*('CASE MASTER'!$AD$2:$AD$495&gt;=5))*ROW('CASE MASTER'!$T$2:$T$495))-(ROW('CASE MASTER'!#REF!)-1))))+1)))-1)*50+1,50))&amp;"_"&amp;INDEX('CASE MASTER'!$Q$2:$Q$495,(SUMPRODUCT((('CASE MASTER'!$T$2:$T$495=1)*('CASE MASTER'!$AA$2:$AA$495&lt;=9)*('CASE MASTER'!$AC$2:$AC$495&gt;=9)*('CASE MASTER'!$AB$2:$AB$495&lt;=5)*('CASE MASTER'!$AD$2:$AD$495&gt;=5))*ROW('CASE MASTER'!$T$2:$T$495))-(ROW('CASE MASTER'!#REF!)-1))),"")),"")</f>
        <v/>
      </c>
      <c r="G11" s="10" t="str">
        <f>IFERROR(IF(SUMPRODUCT((('CASE MASTER'!$T$2:$T$495=1)*('CASE MASTER'!$U$2:$U$495&lt;=9)*('CASE MASTER'!$W$2:$W$495&gt;=9)*('CASE MASTER'!$V$2:$V$495&lt;=6)*('CASE MASTER'!$X$2:$X$495&gt;=6))*ROW('CASE MASTER'!$T$2:$T$495))&gt;0,INDEX('CASE MASTER'!$Y$2:$Y$495,(SUMPRODUCT((('CASE MASTER'!$T$2:$T$495=1)*('CASE MASTER'!$U$2:$U$495&lt;=9)*('CASE MASTER'!$W$2:$W$495&gt;=9)*('CASE MASTER'!$V$2:$V$495&lt;=6)*('CASE MASTER'!$X$2:$X$495&gt;=6))*ROW('CASE MASTER'!$T$2:$T$495))-(ROW('CASE MASTER'!#REF!)-1)))&amp;TRIM(MID(SUBSTITUTE(SUBSTITUTE(INDEX('CASE MASTER'!$N$2:$N$495,(SUMPRODUCT((('CASE MASTER'!$T$2:$T$495=1)*('CASE MASTER'!$U$2:$U$495&lt;=9)*('CASE MASTER'!$W$2:$W$495&gt;=9)*('CASE MASTER'!$V$2:$V$495&lt;=6)*('CASE MASTER'!$X$2:$X$495&gt;=6))*ROW('CASE MASTER'!$T$2:$T$495))-(ROW('CASE MASTER'!#REF!)-1))),":",","),",",REPT(" ",50)),((((9-INDEX('CASE MASTER'!$U$2:$U$495,(SUMPRODUCT((('CASE MASTER'!$T$2:$T$495=1)*('CASE MASTER'!$U$2:$U$495&lt;=9)*('CASE MASTER'!$W$2:$W$495&gt;=9)*('CASE MASTER'!$V$2:$V$495&lt;=6)*('CASE MASTER'!$X$2:$X$495&gt;=6))*ROW('CASE MASTER'!$T$2:$T$495))-(ROW('CASE MASTER'!#REF!)-1))))*(INDEX('CASE MASTER'!$X$2:$X$495,(SUMPRODUCT((('CASE MASTER'!$T$2:$T$495=1)*('CASE MASTER'!$U$2:$U$495&lt;=9)*('CASE MASTER'!$W$2:$W$495&gt;=9)*('CASE MASTER'!$V$2:$V$495&lt;=6)*('CASE MASTER'!$X$2:$X$495&gt;=6))*ROW('CASE MASTER'!$T$2:$T$495))-(ROW('CASE MASTER'!#REF!)-1)))-INDEX('CASE MASTER'!$V$2:$V$495,(SUMPRODUCT((('CASE MASTER'!$T$2:$T$495=1)*('CASE MASTER'!$U$2:$U$495&lt;=9)*('CASE MASTER'!$W$2:$W$495&gt;=9)*('CASE MASTER'!$V$2:$V$495&lt;=6)*('CASE MASTER'!$X$2:$X$495&gt;=6))*ROW('CASE MASTER'!$T$2:$T$495))-(ROW('CASE MASTER'!#REF!)-1)))+1)+(6-INDEX('CASE MASTER'!$V$2:$V$495,(SUMPRODUCT((('CASE MASTER'!$T$2:$T$495=1)*('CASE MASTER'!$U$2:$U$495&lt;=9)*('CASE MASTER'!$W$2:$W$495&gt;=9)*('CASE MASTER'!$V$2:$V$495&lt;=6)*('CASE MASTER'!$X$2:$X$495&gt;=6))*ROW('CASE MASTER'!$T$2:$T$495))-(ROW('CASE MASTER'!#REF!)-1))))+1))-1)*50+1,50))&amp;"_"&amp;INDEX('CASE MASTER'!$Q$2:$Q$495,(SUMPRODUCT((('CASE MASTER'!$T$2:$T$495=1)*('CASE MASTER'!$U$2:$U$495&lt;=9)*('CASE MASTER'!$W$2:$W$495&gt;=9)*('CASE MASTER'!$V$2:$V$495&lt;=6)*('CASE MASTER'!$X$2:$X$495&gt;=6))*ROW('CASE MASTER'!$T$2:$T$495))-(ROW('CASE MASTER'!#REF!)-1))),IF(SUMPRODUCT((('CASE MASTER'!$T$2:$T$495=1)*('CASE MASTER'!$AA$2:$AA$495&lt;=9)*('CASE MASTER'!$AC$2:$AC$495&gt;=9)*('CASE MASTER'!$AB$2:$AB$495&lt;=6)*('CASE MASTER'!$AD$2:$AD$495&gt;=6))*ROW('CASE MASTER'!$T$2:$T$495))&gt;0,INDEX('CASE MASTER'!$Y$2:$Y$495,(SUMPRODUCT((('CASE MASTER'!$T$2:$T$495=1)*('CASE MASTER'!$AA$2:$AA$495&lt;=9)*('CASE MASTER'!$AC$2:$AC$495&gt;=9)*('CASE MASTER'!$AB$2:$AB$495&lt;=6)*('CASE MASTER'!$AD$2:$AD$495&gt;=6))*ROW('CASE MASTER'!$T$2:$T$495))-(ROW('CASE MASTER'!#REF!)-1)))&amp;TRIM(MID(SUBSTITUTE(SUBSTITUTE(INDEX('CASE MASTER'!$N$2:$N$495,(SUMPRODUCT((('CASE MASTER'!$T$2:$T$495=1)*('CASE MASTER'!$AA$2:$AA$495&lt;=9)*('CASE MASTER'!$AC$2:$AC$495&gt;=9)*('CASE MASTER'!$AB$2:$AB$495&lt;=6)*('CASE MASTER'!$AD$2:$AD$495&gt;=6))*ROW('CASE MASTER'!$T$2:$T$495))-(ROW('CASE MASTER'!#REF!)-1))),":",","),",",REPT(" ",50)),(((INDEX('CASE MASTER'!$Z$2:$Z$495,(SUMPRODUCT((('CASE MASTER'!$T$2:$T$495=1)*('CASE MASTER'!$AA$2:$AA$495&lt;=9)*('CASE MASTER'!$AC$2:$AC$495&gt;=9)*('CASE MASTER'!$AB$2:$AB$495&lt;=6)*('CASE MASTER'!$AD$2:$AD$495&gt;=6))*ROW('CASE MASTER'!$T$2:$T$495))-(ROW('CASE MASTER'!#REF!)-1)))+((9-INDEX('CASE MASTER'!$AA$2:$AA$495,(SUMPRODUCT((('CASE MASTER'!$T$2:$T$495=1)*('CASE MASTER'!$AA$2:$AA$495&lt;=9)*('CASE MASTER'!$AC$2:$AC$495&gt;=9)*('CASE MASTER'!$AB$2:$AB$495&lt;=6)*('CASE MASTER'!$AD$2:$AD$495&gt;=6))*ROW('CASE MASTER'!$T$2:$T$495))-(ROW('CASE MASTER'!#REF!)-1))))*(INDEX('CASE MASTER'!$AD$2:$AD$495,(SUMPRODUCT((('CASE MASTER'!$T$2:$T$495=1)*('CASE MASTER'!$AA$2:$AA$495&lt;=9)*('CASE MASTER'!$AC$2:$AC$495&gt;=9)*('CASE MASTER'!$AB$2:$AB$495&lt;=6)*('CASE MASTER'!$AD$2:$AD$495&gt;=6))*ROW('CASE MASTER'!$T$2:$T$495))-(ROW('CASE MASTER'!#REF!)-1)))-INDEX('CASE MASTER'!$AB$2:$AB$495,(SUMPRODUCT((('CASE MASTER'!$T$2:$T$495=1)*('CASE MASTER'!$AA$2:$AA$495&lt;=9)*('CASE MASTER'!$AC$2:$AC$495&gt;=9)*('CASE MASTER'!$AB$2:$AB$495&lt;=6)*('CASE MASTER'!$AD$2:$AD$495&gt;=6))*ROW('CASE MASTER'!$T$2:$T$495))-(ROW('CASE MASTER'!#REF!)-1)))+1)+(6-INDEX('CASE MASTER'!$AB$2:$AB$495,(SUMPRODUCT((('CASE MASTER'!$T$2:$T$495=1)*('CASE MASTER'!$AA$2:$AA$495&lt;=9)*('CASE MASTER'!$AC$2:$AC$495&gt;=9)*('CASE MASTER'!$AB$2:$AB$495&lt;=6)*('CASE MASTER'!$AD$2:$AD$495&gt;=6))*ROW('CASE MASTER'!$T$2:$T$495))-(ROW('CASE MASTER'!#REF!)-1))))+1)))-1)*50+1,50))&amp;"_"&amp;INDEX('CASE MASTER'!$Q$2:$Q$495,(SUMPRODUCT((('CASE MASTER'!$T$2:$T$495=1)*('CASE MASTER'!$AA$2:$AA$495&lt;=9)*('CASE MASTER'!$AC$2:$AC$495&gt;=9)*('CASE MASTER'!$AB$2:$AB$495&lt;=6)*('CASE MASTER'!$AD$2:$AD$495&gt;=6))*ROW('CASE MASTER'!$T$2:$T$495))-(ROW('CASE MASTER'!#REF!)-1))),"")),"")</f>
        <v/>
      </c>
      <c r="H11" s="10" t="str">
        <f>IFERROR(IF(SUMPRODUCT((('CASE MASTER'!$T$2:$T$495=1)*('CASE MASTER'!$U$2:$U$495&lt;=9)*('CASE MASTER'!$W$2:$W$495&gt;=9)*('CASE MASTER'!$V$2:$V$495&lt;=7)*('CASE MASTER'!$X$2:$X$495&gt;=7))*ROW('CASE MASTER'!$T$2:$T$495))&gt;0,INDEX('CASE MASTER'!$Y$2:$Y$495,(SUMPRODUCT((('CASE MASTER'!$T$2:$T$495=1)*('CASE MASTER'!$U$2:$U$495&lt;=9)*('CASE MASTER'!$W$2:$W$495&gt;=9)*('CASE MASTER'!$V$2:$V$495&lt;=7)*('CASE MASTER'!$X$2:$X$495&gt;=7))*ROW('CASE MASTER'!$T$2:$T$495))-(ROW('CASE MASTER'!#REF!)-1)))&amp;TRIM(MID(SUBSTITUTE(SUBSTITUTE(INDEX('CASE MASTER'!$N$2:$N$495,(SUMPRODUCT((('CASE MASTER'!$T$2:$T$495=1)*('CASE MASTER'!$U$2:$U$495&lt;=9)*('CASE MASTER'!$W$2:$W$495&gt;=9)*('CASE MASTER'!$V$2:$V$495&lt;=7)*('CASE MASTER'!$X$2:$X$495&gt;=7))*ROW('CASE MASTER'!$T$2:$T$495))-(ROW('CASE MASTER'!#REF!)-1))),":",","),",",REPT(" ",50)),((((9-INDEX('CASE MASTER'!$U$2:$U$495,(SUMPRODUCT((('CASE MASTER'!$T$2:$T$495=1)*('CASE MASTER'!$U$2:$U$495&lt;=9)*('CASE MASTER'!$W$2:$W$495&gt;=9)*('CASE MASTER'!$V$2:$V$495&lt;=7)*('CASE MASTER'!$X$2:$X$495&gt;=7))*ROW('CASE MASTER'!$T$2:$T$495))-(ROW('CASE MASTER'!#REF!)-1))))*(INDEX('CASE MASTER'!$X$2:$X$495,(SUMPRODUCT((('CASE MASTER'!$T$2:$T$495=1)*('CASE MASTER'!$U$2:$U$495&lt;=9)*('CASE MASTER'!$W$2:$W$495&gt;=9)*('CASE MASTER'!$V$2:$V$495&lt;=7)*('CASE MASTER'!$X$2:$X$495&gt;=7))*ROW('CASE MASTER'!$T$2:$T$495))-(ROW('CASE MASTER'!#REF!)-1)))-INDEX('CASE MASTER'!$V$2:$V$495,(SUMPRODUCT((('CASE MASTER'!$T$2:$T$495=1)*('CASE MASTER'!$U$2:$U$495&lt;=9)*('CASE MASTER'!$W$2:$W$495&gt;=9)*('CASE MASTER'!$V$2:$V$495&lt;=7)*('CASE MASTER'!$X$2:$X$495&gt;=7))*ROW('CASE MASTER'!$T$2:$T$495))-(ROW('CASE MASTER'!#REF!)-1)))+1)+(7-INDEX('CASE MASTER'!$V$2:$V$495,(SUMPRODUCT((('CASE MASTER'!$T$2:$T$495=1)*('CASE MASTER'!$U$2:$U$495&lt;=9)*('CASE MASTER'!$W$2:$W$495&gt;=9)*('CASE MASTER'!$V$2:$V$495&lt;=7)*('CASE MASTER'!$X$2:$X$495&gt;=7))*ROW('CASE MASTER'!$T$2:$T$495))-(ROW('CASE MASTER'!#REF!)-1))))+1))-1)*50+1,50))&amp;"_"&amp;INDEX('CASE MASTER'!$Q$2:$Q$495,(SUMPRODUCT((('CASE MASTER'!$T$2:$T$495=1)*('CASE MASTER'!$U$2:$U$495&lt;=9)*('CASE MASTER'!$W$2:$W$495&gt;=9)*('CASE MASTER'!$V$2:$V$495&lt;=7)*('CASE MASTER'!$X$2:$X$495&gt;=7))*ROW('CASE MASTER'!$T$2:$T$495))-(ROW('CASE MASTER'!#REF!)-1))),IF(SUMPRODUCT((('CASE MASTER'!$T$2:$T$495=1)*('CASE MASTER'!$AA$2:$AA$495&lt;=9)*('CASE MASTER'!$AC$2:$AC$495&gt;=9)*('CASE MASTER'!$AB$2:$AB$495&lt;=7)*('CASE MASTER'!$AD$2:$AD$495&gt;=7))*ROW('CASE MASTER'!$T$2:$T$495))&gt;0,INDEX('CASE MASTER'!$Y$2:$Y$495,(SUMPRODUCT((('CASE MASTER'!$T$2:$T$495=1)*('CASE MASTER'!$AA$2:$AA$495&lt;=9)*('CASE MASTER'!$AC$2:$AC$495&gt;=9)*('CASE MASTER'!$AB$2:$AB$495&lt;=7)*('CASE MASTER'!$AD$2:$AD$495&gt;=7))*ROW('CASE MASTER'!$T$2:$T$495))-(ROW('CASE MASTER'!#REF!)-1)))&amp;TRIM(MID(SUBSTITUTE(SUBSTITUTE(INDEX('CASE MASTER'!$N$2:$N$495,(SUMPRODUCT((('CASE MASTER'!$T$2:$T$495=1)*('CASE MASTER'!$AA$2:$AA$495&lt;=9)*('CASE MASTER'!$AC$2:$AC$495&gt;=9)*('CASE MASTER'!$AB$2:$AB$495&lt;=7)*('CASE MASTER'!$AD$2:$AD$495&gt;=7))*ROW('CASE MASTER'!$T$2:$T$495))-(ROW('CASE MASTER'!#REF!)-1))),":",","),",",REPT(" ",50)),(((INDEX('CASE MASTER'!$Z$2:$Z$495,(SUMPRODUCT((('CASE MASTER'!$T$2:$T$495=1)*('CASE MASTER'!$AA$2:$AA$495&lt;=9)*('CASE MASTER'!$AC$2:$AC$495&gt;=9)*('CASE MASTER'!$AB$2:$AB$495&lt;=7)*('CASE MASTER'!$AD$2:$AD$495&gt;=7))*ROW('CASE MASTER'!$T$2:$T$495))-(ROW('CASE MASTER'!#REF!)-1)))+((9-INDEX('CASE MASTER'!$AA$2:$AA$495,(SUMPRODUCT((('CASE MASTER'!$T$2:$T$495=1)*('CASE MASTER'!$AA$2:$AA$495&lt;=9)*('CASE MASTER'!$AC$2:$AC$495&gt;=9)*('CASE MASTER'!$AB$2:$AB$495&lt;=7)*('CASE MASTER'!$AD$2:$AD$495&gt;=7))*ROW('CASE MASTER'!$T$2:$T$495))-(ROW('CASE MASTER'!#REF!)-1))))*(INDEX('CASE MASTER'!$AD$2:$AD$495,(SUMPRODUCT((('CASE MASTER'!$T$2:$T$495=1)*('CASE MASTER'!$AA$2:$AA$495&lt;=9)*('CASE MASTER'!$AC$2:$AC$495&gt;=9)*('CASE MASTER'!$AB$2:$AB$495&lt;=7)*('CASE MASTER'!$AD$2:$AD$495&gt;=7))*ROW('CASE MASTER'!$T$2:$T$495))-(ROW('CASE MASTER'!#REF!)-1)))-INDEX('CASE MASTER'!$AB$2:$AB$495,(SUMPRODUCT((('CASE MASTER'!$T$2:$T$495=1)*('CASE MASTER'!$AA$2:$AA$495&lt;=9)*('CASE MASTER'!$AC$2:$AC$495&gt;=9)*('CASE MASTER'!$AB$2:$AB$495&lt;=7)*('CASE MASTER'!$AD$2:$AD$495&gt;=7))*ROW('CASE MASTER'!$T$2:$T$495))-(ROW('CASE MASTER'!#REF!)-1)))+1)+(7-INDEX('CASE MASTER'!$AB$2:$AB$495,(SUMPRODUCT((('CASE MASTER'!$T$2:$T$495=1)*('CASE MASTER'!$AA$2:$AA$495&lt;=9)*('CASE MASTER'!$AC$2:$AC$495&gt;=9)*('CASE MASTER'!$AB$2:$AB$495&lt;=7)*('CASE MASTER'!$AD$2:$AD$495&gt;=7))*ROW('CASE MASTER'!$T$2:$T$495))-(ROW('CASE MASTER'!#REF!)-1))))+1)))-1)*50+1,50))&amp;"_"&amp;INDEX('CASE MASTER'!$Q$2:$Q$495,(SUMPRODUCT((('CASE MASTER'!$T$2:$T$495=1)*('CASE MASTER'!$AA$2:$AA$495&lt;=9)*('CASE MASTER'!$AC$2:$AC$495&gt;=9)*('CASE MASTER'!$AB$2:$AB$495&lt;=7)*('CASE MASTER'!$AD$2:$AD$495&gt;=7))*ROW('CASE MASTER'!$T$2:$T$495))-(ROW('CASE MASTER'!#REF!)-1))),"")),"")</f>
        <v/>
      </c>
      <c r="I11" s="10" t="str">
        <f>IFERROR(IF(SUMPRODUCT((('CASE MASTER'!$T$2:$T$495=1)*('CASE MASTER'!$U$2:$U$495&lt;=9)*('CASE MASTER'!$W$2:$W$495&gt;=9)*('CASE MASTER'!$V$2:$V$495&lt;=8)*('CASE MASTER'!$X$2:$X$495&gt;=8))*ROW('CASE MASTER'!$T$2:$T$495))&gt;0,INDEX('CASE MASTER'!$Y$2:$Y$495,(SUMPRODUCT((('CASE MASTER'!$T$2:$T$495=1)*('CASE MASTER'!$U$2:$U$495&lt;=9)*('CASE MASTER'!$W$2:$W$495&gt;=9)*('CASE MASTER'!$V$2:$V$495&lt;=8)*('CASE MASTER'!$X$2:$X$495&gt;=8))*ROW('CASE MASTER'!$T$2:$T$495))-(ROW('CASE MASTER'!#REF!)-1)))&amp;TRIM(MID(SUBSTITUTE(SUBSTITUTE(INDEX('CASE MASTER'!$N$2:$N$495,(SUMPRODUCT((('CASE MASTER'!$T$2:$T$495=1)*('CASE MASTER'!$U$2:$U$495&lt;=9)*('CASE MASTER'!$W$2:$W$495&gt;=9)*('CASE MASTER'!$V$2:$V$495&lt;=8)*('CASE MASTER'!$X$2:$X$495&gt;=8))*ROW('CASE MASTER'!$T$2:$T$495))-(ROW('CASE MASTER'!#REF!)-1))),":",","),",",REPT(" ",50)),((((9-INDEX('CASE MASTER'!$U$2:$U$495,(SUMPRODUCT((('CASE MASTER'!$T$2:$T$495=1)*('CASE MASTER'!$U$2:$U$495&lt;=9)*('CASE MASTER'!$W$2:$W$495&gt;=9)*('CASE MASTER'!$V$2:$V$495&lt;=8)*('CASE MASTER'!$X$2:$X$495&gt;=8))*ROW('CASE MASTER'!$T$2:$T$495))-(ROW('CASE MASTER'!#REF!)-1))))*(INDEX('CASE MASTER'!$X$2:$X$495,(SUMPRODUCT((('CASE MASTER'!$T$2:$T$495=1)*('CASE MASTER'!$U$2:$U$495&lt;=9)*('CASE MASTER'!$W$2:$W$495&gt;=9)*('CASE MASTER'!$V$2:$V$495&lt;=8)*('CASE MASTER'!$X$2:$X$495&gt;=8))*ROW('CASE MASTER'!$T$2:$T$495))-(ROW('CASE MASTER'!#REF!)-1)))-INDEX('CASE MASTER'!$V$2:$V$495,(SUMPRODUCT((('CASE MASTER'!$T$2:$T$495=1)*('CASE MASTER'!$U$2:$U$495&lt;=9)*('CASE MASTER'!$W$2:$W$495&gt;=9)*('CASE MASTER'!$V$2:$V$495&lt;=8)*('CASE MASTER'!$X$2:$X$495&gt;=8))*ROW('CASE MASTER'!$T$2:$T$495))-(ROW('CASE MASTER'!#REF!)-1)))+1)+(8-INDEX('CASE MASTER'!$V$2:$V$495,(SUMPRODUCT((('CASE MASTER'!$T$2:$T$495=1)*('CASE MASTER'!$U$2:$U$495&lt;=9)*('CASE MASTER'!$W$2:$W$495&gt;=9)*('CASE MASTER'!$V$2:$V$495&lt;=8)*('CASE MASTER'!$X$2:$X$495&gt;=8))*ROW('CASE MASTER'!$T$2:$T$495))-(ROW('CASE MASTER'!#REF!)-1))))+1))-1)*50+1,50))&amp;"_"&amp;INDEX('CASE MASTER'!$Q$2:$Q$495,(SUMPRODUCT((('CASE MASTER'!$T$2:$T$495=1)*('CASE MASTER'!$U$2:$U$495&lt;=9)*('CASE MASTER'!$W$2:$W$495&gt;=9)*('CASE MASTER'!$V$2:$V$495&lt;=8)*('CASE MASTER'!$X$2:$X$495&gt;=8))*ROW('CASE MASTER'!$T$2:$T$495))-(ROW('CASE MASTER'!#REF!)-1))),IF(SUMPRODUCT((('CASE MASTER'!$T$2:$T$495=1)*('CASE MASTER'!$AA$2:$AA$495&lt;=9)*('CASE MASTER'!$AC$2:$AC$495&gt;=9)*('CASE MASTER'!$AB$2:$AB$495&lt;=8)*('CASE MASTER'!$AD$2:$AD$495&gt;=8))*ROW('CASE MASTER'!$T$2:$T$495))&gt;0,INDEX('CASE MASTER'!$Y$2:$Y$495,(SUMPRODUCT((('CASE MASTER'!$T$2:$T$495=1)*('CASE MASTER'!$AA$2:$AA$495&lt;=9)*('CASE MASTER'!$AC$2:$AC$495&gt;=9)*('CASE MASTER'!$AB$2:$AB$495&lt;=8)*('CASE MASTER'!$AD$2:$AD$495&gt;=8))*ROW('CASE MASTER'!$T$2:$T$495))-(ROW('CASE MASTER'!#REF!)-1)))&amp;TRIM(MID(SUBSTITUTE(SUBSTITUTE(INDEX('CASE MASTER'!$N$2:$N$495,(SUMPRODUCT((('CASE MASTER'!$T$2:$T$495=1)*('CASE MASTER'!$AA$2:$AA$495&lt;=9)*('CASE MASTER'!$AC$2:$AC$495&gt;=9)*('CASE MASTER'!$AB$2:$AB$495&lt;=8)*('CASE MASTER'!$AD$2:$AD$495&gt;=8))*ROW('CASE MASTER'!$T$2:$T$495))-(ROW('CASE MASTER'!#REF!)-1))),":",","),",",REPT(" ",50)),(((INDEX('CASE MASTER'!$Z$2:$Z$495,(SUMPRODUCT((('CASE MASTER'!$T$2:$T$495=1)*('CASE MASTER'!$AA$2:$AA$495&lt;=9)*('CASE MASTER'!$AC$2:$AC$495&gt;=9)*('CASE MASTER'!$AB$2:$AB$495&lt;=8)*('CASE MASTER'!$AD$2:$AD$495&gt;=8))*ROW('CASE MASTER'!$T$2:$T$495))-(ROW('CASE MASTER'!#REF!)-1)))+((9-INDEX('CASE MASTER'!$AA$2:$AA$495,(SUMPRODUCT((('CASE MASTER'!$T$2:$T$495=1)*('CASE MASTER'!$AA$2:$AA$495&lt;=9)*('CASE MASTER'!$AC$2:$AC$495&gt;=9)*('CASE MASTER'!$AB$2:$AB$495&lt;=8)*('CASE MASTER'!$AD$2:$AD$495&gt;=8))*ROW('CASE MASTER'!$T$2:$T$495))-(ROW('CASE MASTER'!#REF!)-1))))*(INDEX('CASE MASTER'!$AD$2:$AD$495,(SUMPRODUCT((('CASE MASTER'!$T$2:$T$495=1)*('CASE MASTER'!$AA$2:$AA$495&lt;=9)*('CASE MASTER'!$AC$2:$AC$495&gt;=9)*('CASE MASTER'!$AB$2:$AB$495&lt;=8)*('CASE MASTER'!$AD$2:$AD$495&gt;=8))*ROW('CASE MASTER'!$T$2:$T$495))-(ROW('CASE MASTER'!#REF!)-1)))-INDEX('CASE MASTER'!$AB$2:$AB$495,(SUMPRODUCT((('CASE MASTER'!$T$2:$T$495=1)*('CASE MASTER'!$AA$2:$AA$495&lt;=9)*('CASE MASTER'!$AC$2:$AC$495&gt;=9)*('CASE MASTER'!$AB$2:$AB$495&lt;=8)*('CASE MASTER'!$AD$2:$AD$495&gt;=8))*ROW('CASE MASTER'!$T$2:$T$495))-(ROW('CASE MASTER'!#REF!)-1)))+1)+(8-INDEX('CASE MASTER'!$AB$2:$AB$495,(SUMPRODUCT((('CASE MASTER'!$T$2:$T$495=1)*('CASE MASTER'!$AA$2:$AA$495&lt;=9)*('CASE MASTER'!$AC$2:$AC$495&gt;=9)*('CASE MASTER'!$AB$2:$AB$495&lt;=8)*('CASE MASTER'!$AD$2:$AD$495&gt;=8))*ROW('CASE MASTER'!$T$2:$T$495))-(ROW('CASE MASTER'!#REF!)-1))))+1)))-1)*50+1,50))&amp;"_"&amp;INDEX('CASE MASTER'!$Q$2:$Q$495,(SUMPRODUCT((('CASE MASTER'!$T$2:$T$495=1)*('CASE MASTER'!$AA$2:$AA$495&lt;=9)*('CASE MASTER'!$AC$2:$AC$495&gt;=9)*('CASE MASTER'!$AB$2:$AB$495&lt;=8)*('CASE MASTER'!$AD$2:$AD$495&gt;=8))*ROW('CASE MASTER'!$T$2:$T$495))-(ROW('CASE MASTER'!#REF!)-1))),"")),"")</f>
        <v/>
      </c>
      <c r="J11" s="10" t="str">
        <f>IFERROR(IF(SUMPRODUCT((('CASE MASTER'!$T$2:$T$495=1)*('CASE MASTER'!$U$2:$U$495&lt;=9)*('CASE MASTER'!$W$2:$W$495&gt;=9)*('CASE MASTER'!$V$2:$V$495&lt;=9)*('CASE MASTER'!$X$2:$X$495&gt;=9))*ROW('CASE MASTER'!$T$2:$T$495))&gt;0,INDEX('CASE MASTER'!$Y$2:$Y$495,(SUMPRODUCT((('CASE MASTER'!$T$2:$T$495=1)*('CASE MASTER'!$U$2:$U$495&lt;=9)*('CASE MASTER'!$W$2:$W$495&gt;=9)*('CASE MASTER'!$V$2:$V$495&lt;=9)*('CASE MASTER'!$X$2:$X$495&gt;=9))*ROW('CASE MASTER'!$T$2:$T$495))-(ROW('CASE MASTER'!#REF!)-1)))&amp;TRIM(MID(SUBSTITUTE(SUBSTITUTE(INDEX('CASE MASTER'!$N$2:$N$495,(SUMPRODUCT((('CASE MASTER'!$T$2:$T$495=1)*('CASE MASTER'!$U$2:$U$495&lt;=9)*('CASE MASTER'!$W$2:$W$495&gt;=9)*('CASE MASTER'!$V$2:$V$495&lt;=9)*('CASE MASTER'!$X$2:$X$495&gt;=9))*ROW('CASE MASTER'!$T$2:$T$495))-(ROW('CASE MASTER'!#REF!)-1))),":",","),",",REPT(" ",50)),((((9-INDEX('CASE MASTER'!$U$2:$U$495,(SUMPRODUCT((('CASE MASTER'!$T$2:$T$495=1)*('CASE MASTER'!$U$2:$U$495&lt;=9)*('CASE MASTER'!$W$2:$W$495&gt;=9)*('CASE MASTER'!$V$2:$V$495&lt;=9)*('CASE MASTER'!$X$2:$X$495&gt;=9))*ROW('CASE MASTER'!$T$2:$T$495))-(ROW('CASE MASTER'!#REF!)-1))))*(INDEX('CASE MASTER'!$X$2:$X$495,(SUMPRODUCT((('CASE MASTER'!$T$2:$T$495=1)*('CASE MASTER'!$U$2:$U$495&lt;=9)*('CASE MASTER'!$W$2:$W$495&gt;=9)*('CASE MASTER'!$V$2:$V$495&lt;=9)*('CASE MASTER'!$X$2:$X$495&gt;=9))*ROW('CASE MASTER'!$T$2:$T$495))-(ROW('CASE MASTER'!#REF!)-1)))-INDEX('CASE MASTER'!$V$2:$V$495,(SUMPRODUCT((('CASE MASTER'!$T$2:$T$495=1)*('CASE MASTER'!$U$2:$U$495&lt;=9)*('CASE MASTER'!$W$2:$W$495&gt;=9)*('CASE MASTER'!$V$2:$V$495&lt;=9)*('CASE MASTER'!$X$2:$X$495&gt;=9))*ROW('CASE MASTER'!$T$2:$T$495))-(ROW('CASE MASTER'!#REF!)-1)))+1)+(9-INDEX('CASE MASTER'!$V$2:$V$495,(SUMPRODUCT((('CASE MASTER'!$T$2:$T$495=1)*('CASE MASTER'!$U$2:$U$495&lt;=9)*('CASE MASTER'!$W$2:$W$495&gt;=9)*('CASE MASTER'!$V$2:$V$495&lt;=9)*('CASE MASTER'!$X$2:$X$495&gt;=9))*ROW('CASE MASTER'!$T$2:$T$495))-(ROW('CASE MASTER'!#REF!)-1))))+1))-1)*50+1,50))&amp;"_"&amp;INDEX('CASE MASTER'!$Q$2:$Q$495,(SUMPRODUCT((('CASE MASTER'!$T$2:$T$495=1)*('CASE MASTER'!$U$2:$U$495&lt;=9)*('CASE MASTER'!$W$2:$W$495&gt;=9)*('CASE MASTER'!$V$2:$V$495&lt;=9)*('CASE MASTER'!$X$2:$X$495&gt;=9))*ROW('CASE MASTER'!$T$2:$T$495))-(ROW('CASE MASTER'!#REF!)-1))),IF(SUMPRODUCT((('CASE MASTER'!$T$2:$T$495=1)*('CASE MASTER'!$AA$2:$AA$495&lt;=9)*('CASE MASTER'!$AC$2:$AC$495&gt;=9)*('CASE MASTER'!$AB$2:$AB$495&lt;=9)*('CASE MASTER'!$AD$2:$AD$495&gt;=9))*ROW('CASE MASTER'!$T$2:$T$495))&gt;0,INDEX('CASE MASTER'!$Y$2:$Y$495,(SUMPRODUCT((('CASE MASTER'!$T$2:$T$495=1)*('CASE MASTER'!$AA$2:$AA$495&lt;=9)*('CASE MASTER'!$AC$2:$AC$495&gt;=9)*('CASE MASTER'!$AB$2:$AB$495&lt;=9)*('CASE MASTER'!$AD$2:$AD$495&gt;=9))*ROW('CASE MASTER'!$T$2:$T$495))-(ROW('CASE MASTER'!#REF!)-1)))&amp;TRIM(MID(SUBSTITUTE(SUBSTITUTE(INDEX('CASE MASTER'!$N$2:$N$495,(SUMPRODUCT((('CASE MASTER'!$T$2:$T$495=1)*('CASE MASTER'!$AA$2:$AA$495&lt;=9)*('CASE MASTER'!$AC$2:$AC$495&gt;=9)*('CASE MASTER'!$AB$2:$AB$495&lt;=9)*('CASE MASTER'!$AD$2:$AD$495&gt;=9))*ROW('CASE MASTER'!$T$2:$T$495))-(ROW('CASE MASTER'!#REF!)-1))),":",","),",",REPT(" ",50)),(((INDEX('CASE MASTER'!$Z$2:$Z$495,(SUMPRODUCT((('CASE MASTER'!$T$2:$T$495=1)*('CASE MASTER'!$AA$2:$AA$495&lt;=9)*('CASE MASTER'!$AC$2:$AC$495&gt;=9)*('CASE MASTER'!$AB$2:$AB$495&lt;=9)*('CASE MASTER'!$AD$2:$AD$495&gt;=9))*ROW('CASE MASTER'!$T$2:$T$495))-(ROW('CASE MASTER'!#REF!)-1)))+((9-INDEX('CASE MASTER'!$AA$2:$AA$495,(SUMPRODUCT((('CASE MASTER'!$T$2:$T$495=1)*('CASE MASTER'!$AA$2:$AA$495&lt;=9)*('CASE MASTER'!$AC$2:$AC$495&gt;=9)*('CASE MASTER'!$AB$2:$AB$495&lt;=9)*('CASE MASTER'!$AD$2:$AD$495&gt;=9))*ROW('CASE MASTER'!$T$2:$T$495))-(ROW('CASE MASTER'!#REF!)-1))))*(INDEX('CASE MASTER'!$AD$2:$AD$495,(SUMPRODUCT((('CASE MASTER'!$T$2:$T$495=1)*('CASE MASTER'!$AA$2:$AA$495&lt;=9)*('CASE MASTER'!$AC$2:$AC$495&gt;=9)*('CASE MASTER'!$AB$2:$AB$495&lt;=9)*('CASE MASTER'!$AD$2:$AD$495&gt;=9))*ROW('CASE MASTER'!$T$2:$T$495))-(ROW('CASE MASTER'!#REF!)-1)))-INDEX('CASE MASTER'!$AB$2:$AB$495,(SUMPRODUCT((('CASE MASTER'!$T$2:$T$495=1)*('CASE MASTER'!$AA$2:$AA$495&lt;=9)*('CASE MASTER'!$AC$2:$AC$495&gt;=9)*('CASE MASTER'!$AB$2:$AB$495&lt;=9)*('CASE MASTER'!$AD$2:$AD$495&gt;=9))*ROW('CASE MASTER'!$T$2:$T$495))-(ROW('CASE MASTER'!#REF!)-1)))+1)+(9-INDEX('CASE MASTER'!$AB$2:$AB$495,(SUMPRODUCT((('CASE MASTER'!$T$2:$T$495=1)*('CASE MASTER'!$AA$2:$AA$495&lt;=9)*('CASE MASTER'!$AC$2:$AC$495&gt;=9)*('CASE MASTER'!$AB$2:$AB$495&lt;=9)*('CASE MASTER'!$AD$2:$AD$495&gt;=9))*ROW('CASE MASTER'!$T$2:$T$495))-(ROW('CASE MASTER'!#REF!)-1))))+1)))-1)*50+1,50))&amp;"_"&amp;INDEX('CASE MASTER'!$Q$2:$Q$495,(SUMPRODUCT((('CASE MASTER'!$T$2:$T$495=1)*('CASE MASTER'!$AA$2:$AA$495&lt;=9)*('CASE MASTER'!$AC$2:$AC$495&gt;=9)*('CASE MASTER'!$AB$2:$AB$495&lt;=9)*('CASE MASTER'!$AD$2:$AD$495&gt;=9))*ROW('CASE MASTER'!$T$2:$T$495))-(ROW('CASE MASTER'!#REF!)-1))),"")),"")</f>
        <v/>
      </c>
      <c r="K11" s="10" t="str">
        <f>IFERROR(IF(SUMPRODUCT((('CASE MASTER'!$T$2:$T$495=1)*('CASE MASTER'!$U$2:$U$495&lt;=9)*('CASE MASTER'!$W$2:$W$495&gt;=9)*('CASE MASTER'!$V$2:$V$495&lt;=10)*('CASE MASTER'!$X$2:$X$495&gt;=10))*ROW('CASE MASTER'!$T$2:$T$495))&gt;0,INDEX('CASE MASTER'!$Y$2:$Y$495,(SUMPRODUCT((('CASE MASTER'!$T$2:$T$495=1)*('CASE MASTER'!$U$2:$U$495&lt;=9)*('CASE MASTER'!$W$2:$W$495&gt;=9)*('CASE MASTER'!$V$2:$V$495&lt;=10)*('CASE MASTER'!$X$2:$X$495&gt;=10))*ROW('CASE MASTER'!$T$2:$T$495))-(ROW('CASE MASTER'!#REF!)-1)))&amp;TRIM(MID(SUBSTITUTE(SUBSTITUTE(INDEX('CASE MASTER'!$N$2:$N$495,(SUMPRODUCT((('CASE MASTER'!$T$2:$T$495=1)*('CASE MASTER'!$U$2:$U$495&lt;=9)*('CASE MASTER'!$W$2:$W$495&gt;=9)*('CASE MASTER'!$V$2:$V$495&lt;=10)*('CASE MASTER'!$X$2:$X$495&gt;=10))*ROW('CASE MASTER'!$T$2:$T$495))-(ROW('CASE MASTER'!#REF!)-1))),":",","),",",REPT(" ",50)),((((9-INDEX('CASE MASTER'!$U$2:$U$495,(SUMPRODUCT((('CASE MASTER'!$T$2:$T$495=1)*('CASE MASTER'!$U$2:$U$495&lt;=9)*('CASE MASTER'!$W$2:$W$495&gt;=9)*('CASE MASTER'!$V$2:$V$495&lt;=10)*('CASE MASTER'!$X$2:$X$495&gt;=10))*ROW('CASE MASTER'!$T$2:$T$495))-(ROW('CASE MASTER'!#REF!)-1))))*(INDEX('CASE MASTER'!$X$2:$X$495,(SUMPRODUCT((('CASE MASTER'!$T$2:$T$495=1)*('CASE MASTER'!$U$2:$U$495&lt;=9)*('CASE MASTER'!$W$2:$W$495&gt;=9)*('CASE MASTER'!$V$2:$V$495&lt;=10)*('CASE MASTER'!$X$2:$X$495&gt;=10))*ROW('CASE MASTER'!$T$2:$T$495))-(ROW('CASE MASTER'!#REF!)-1)))-INDEX('CASE MASTER'!$V$2:$V$495,(SUMPRODUCT((('CASE MASTER'!$T$2:$T$495=1)*('CASE MASTER'!$U$2:$U$495&lt;=9)*('CASE MASTER'!$W$2:$W$495&gt;=9)*('CASE MASTER'!$V$2:$V$495&lt;=10)*('CASE MASTER'!$X$2:$X$495&gt;=10))*ROW('CASE MASTER'!$T$2:$T$495))-(ROW('CASE MASTER'!#REF!)-1)))+1)+(10-INDEX('CASE MASTER'!$V$2:$V$495,(SUMPRODUCT((('CASE MASTER'!$T$2:$T$495=1)*('CASE MASTER'!$U$2:$U$495&lt;=9)*('CASE MASTER'!$W$2:$W$495&gt;=9)*('CASE MASTER'!$V$2:$V$495&lt;=10)*('CASE MASTER'!$X$2:$X$495&gt;=10))*ROW('CASE MASTER'!$T$2:$T$495))-(ROW('CASE MASTER'!#REF!)-1))))+1))-1)*50+1,50))&amp;"_"&amp;INDEX('CASE MASTER'!$Q$2:$Q$495,(SUMPRODUCT((('CASE MASTER'!$T$2:$T$495=1)*('CASE MASTER'!$U$2:$U$495&lt;=9)*('CASE MASTER'!$W$2:$W$495&gt;=9)*('CASE MASTER'!$V$2:$V$495&lt;=10)*('CASE MASTER'!$X$2:$X$495&gt;=10))*ROW('CASE MASTER'!$T$2:$T$495))-(ROW('CASE MASTER'!#REF!)-1))),IF(SUMPRODUCT((('CASE MASTER'!$T$2:$T$495=1)*('CASE MASTER'!$AA$2:$AA$495&lt;=9)*('CASE MASTER'!$AC$2:$AC$495&gt;=9)*('CASE MASTER'!$AB$2:$AB$495&lt;=10)*('CASE MASTER'!$AD$2:$AD$495&gt;=10))*ROW('CASE MASTER'!$T$2:$T$495))&gt;0,INDEX('CASE MASTER'!$Y$2:$Y$495,(SUMPRODUCT((('CASE MASTER'!$T$2:$T$495=1)*('CASE MASTER'!$AA$2:$AA$495&lt;=9)*('CASE MASTER'!$AC$2:$AC$495&gt;=9)*('CASE MASTER'!$AB$2:$AB$495&lt;=10)*('CASE MASTER'!$AD$2:$AD$495&gt;=10))*ROW('CASE MASTER'!$T$2:$T$495))-(ROW('CASE MASTER'!#REF!)-1)))&amp;TRIM(MID(SUBSTITUTE(SUBSTITUTE(INDEX('CASE MASTER'!$N$2:$N$495,(SUMPRODUCT((('CASE MASTER'!$T$2:$T$495=1)*('CASE MASTER'!$AA$2:$AA$495&lt;=9)*('CASE MASTER'!$AC$2:$AC$495&gt;=9)*('CASE MASTER'!$AB$2:$AB$495&lt;=10)*('CASE MASTER'!$AD$2:$AD$495&gt;=10))*ROW('CASE MASTER'!$T$2:$T$495))-(ROW('CASE MASTER'!#REF!)-1))),":",","),",",REPT(" ",50)),(((INDEX('CASE MASTER'!$Z$2:$Z$495,(SUMPRODUCT((('CASE MASTER'!$T$2:$T$495=1)*('CASE MASTER'!$AA$2:$AA$495&lt;=9)*('CASE MASTER'!$AC$2:$AC$495&gt;=9)*('CASE MASTER'!$AB$2:$AB$495&lt;=10)*('CASE MASTER'!$AD$2:$AD$495&gt;=10))*ROW('CASE MASTER'!$T$2:$T$495))-(ROW('CASE MASTER'!#REF!)-1)))+((9-INDEX('CASE MASTER'!$AA$2:$AA$495,(SUMPRODUCT((('CASE MASTER'!$T$2:$T$495=1)*('CASE MASTER'!$AA$2:$AA$495&lt;=9)*('CASE MASTER'!$AC$2:$AC$495&gt;=9)*('CASE MASTER'!$AB$2:$AB$495&lt;=10)*('CASE MASTER'!$AD$2:$AD$495&gt;=10))*ROW('CASE MASTER'!$T$2:$T$495))-(ROW('CASE MASTER'!#REF!)-1))))*(INDEX('CASE MASTER'!$AD$2:$AD$495,(SUMPRODUCT((('CASE MASTER'!$T$2:$T$495=1)*('CASE MASTER'!$AA$2:$AA$495&lt;=9)*('CASE MASTER'!$AC$2:$AC$495&gt;=9)*('CASE MASTER'!$AB$2:$AB$495&lt;=10)*('CASE MASTER'!$AD$2:$AD$495&gt;=10))*ROW('CASE MASTER'!$T$2:$T$495))-(ROW('CASE MASTER'!#REF!)-1)))-INDEX('CASE MASTER'!$AB$2:$AB$495,(SUMPRODUCT((('CASE MASTER'!$T$2:$T$495=1)*('CASE MASTER'!$AA$2:$AA$495&lt;=9)*('CASE MASTER'!$AC$2:$AC$495&gt;=9)*('CASE MASTER'!$AB$2:$AB$495&lt;=10)*('CASE MASTER'!$AD$2:$AD$495&gt;=10))*ROW('CASE MASTER'!$T$2:$T$495))-(ROW('CASE MASTER'!#REF!)-1)))+1)+(10-INDEX('CASE MASTER'!$AB$2:$AB$495,(SUMPRODUCT((('CASE MASTER'!$T$2:$T$495=1)*('CASE MASTER'!$AA$2:$AA$495&lt;=9)*('CASE MASTER'!$AC$2:$AC$495&gt;=9)*('CASE MASTER'!$AB$2:$AB$495&lt;=10)*('CASE MASTER'!$AD$2:$AD$495&gt;=10))*ROW('CASE MASTER'!$T$2:$T$495))-(ROW('CASE MASTER'!#REF!)-1))))+1)))-1)*50+1,50))&amp;"_"&amp;INDEX('CASE MASTER'!$Q$2:$Q$495,(SUMPRODUCT((('CASE MASTER'!$T$2:$T$495=1)*('CASE MASTER'!$AA$2:$AA$495&lt;=9)*('CASE MASTER'!$AC$2:$AC$495&gt;=9)*('CASE MASTER'!$AB$2:$AB$495&lt;=10)*('CASE MASTER'!$AD$2:$AD$495&gt;=10))*ROW('CASE MASTER'!$T$2:$T$495))-(ROW('CASE MASTER'!#REF!)-1))),"")),"")</f>
        <v/>
      </c>
    </row>
    <row r="12" spans="1:11" ht="15" customHeight="1" x14ac:dyDescent="0.35">
      <c r="A12" s="8" t="s">
        <v>82</v>
      </c>
      <c r="B12" s="10" t="str">
        <f>IFERROR(IF(SUMPRODUCT((('CASE MASTER'!$T$2:$T$495=1)*('CASE MASTER'!$U$2:$U$495&lt;=10)*('CASE MASTER'!$W$2:$W$495&gt;=10)*('CASE MASTER'!$V$2:$V$495&lt;=1)*('CASE MASTER'!$X$2:$X$495&gt;=1))*ROW('CASE MASTER'!$T$2:$T$495))&gt;0,INDEX('CASE MASTER'!$Y$2:$Y$495,(SUMPRODUCT((('CASE MASTER'!$T$2:$T$495=1)*('CASE MASTER'!$U$2:$U$495&lt;=10)*('CASE MASTER'!$W$2:$W$495&gt;=10)*('CASE MASTER'!$V$2:$V$495&lt;=1)*('CASE MASTER'!$X$2:$X$495&gt;=1))*ROW('CASE MASTER'!$T$2:$T$495))-(ROW('CASE MASTER'!#REF!)-1)))&amp;TRIM(MID(SUBSTITUTE(SUBSTITUTE(INDEX('CASE MASTER'!$N$2:$N$495,(SUMPRODUCT((('CASE MASTER'!$T$2:$T$495=1)*('CASE MASTER'!$U$2:$U$495&lt;=10)*('CASE MASTER'!$W$2:$W$495&gt;=10)*('CASE MASTER'!$V$2:$V$495&lt;=1)*('CASE MASTER'!$X$2:$X$495&gt;=1))*ROW('CASE MASTER'!$T$2:$T$495))-(ROW('CASE MASTER'!#REF!)-1))),":",","),",",REPT(" ",50)),((((10-INDEX('CASE MASTER'!$U$2:$U$495,(SUMPRODUCT((('CASE MASTER'!$T$2:$T$495=1)*('CASE MASTER'!$U$2:$U$495&lt;=10)*('CASE MASTER'!$W$2:$W$495&gt;=10)*('CASE MASTER'!$V$2:$V$495&lt;=1)*('CASE MASTER'!$X$2:$X$495&gt;=1))*ROW('CASE MASTER'!$T$2:$T$495))-(ROW('CASE MASTER'!#REF!)-1))))*(INDEX('CASE MASTER'!$X$2:$X$495,(SUMPRODUCT((('CASE MASTER'!$T$2:$T$495=1)*('CASE MASTER'!$U$2:$U$495&lt;=10)*('CASE MASTER'!$W$2:$W$495&gt;=10)*('CASE MASTER'!$V$2:$V$495&lt;=1)*('CASE MASTER'!$X$2:$X$495&gt;=1))*ROW('CASE MASTER'!$T$2:$T$495))-(ROW('CASE MASTER'!#REF!)-1)))-INDEX('CASE MASTER'!$V$2:$V$495,(SUMPRODUCT((('CASE MASTER'!$T$2:$T$495=1)*('CASE MASTER'!$U$2:$U$495&lt;=10)*('CASE MASTER'!$W$2:$W$495&gt;=10)*('CASE MASTER'!$V$2:$V$495&lt;=1)*('CASE MASTER'!$X$2:$X$495&gt;=1))*ROW('CASE MASTER'!$T$2:$T$495))-(ROW('CASE MASTER'!#REF!)-1)))+1)+(1-INDEX('CASE MASTER'!$V$2:$V$495,(SUMPRODUCT((('CASE MASTER'!$T$2:$T$495=1)*('CASE MASTER'!$U$2:$U$495&lt;=10)*('CASE MASTER'!$W$2:$W$495&gt;=10)*('CASE MASTER'!$V$2:$V$495&lt;=1)*('CASE MASTER'!$X$2:$X$495&gt;=1))*ROW('CASE MASTER'!$T$2:$T$495))-(ROW('CASE MASTER'!#REF!)-1))))+1))-1)*50+1,50))&amp;"_"&amp;INDEX('CASE MASTER'!$Q$2:$Q$495,(SUMPRODUCT((('CASE MASTER'!$T$2:$T$495=1)*('CASE MASTER'!$U$2:$U$495&lt;=10)*('CASE MASTER'!$W$2:$W$495&gt;=10)*('CASE MASTER'!$V$2:$V$495&lt;=1)*('CASE MASTER'!$X$2:$X$495&gt;=1))*ROW('CASE MASTER'!$T$2:$T$495))-(ROW('CASE MASTER'!#REF!)-1))),IF(SUMPRODUCT((('CASE MASTER'!$T$2:$T$495=1)*('CASE MASTER'!$AA$2:$AA$495&lt;=10)*('CASE MASTER'!$AC$2:$AC$495&gt;=10)*('CASE MASTER'!$AB$2:$AB$495&lt;=1)*('CASE MASTER'!$AD$2:$AD$495&gt;=1))*ROW('CASE MASTER'!$T$2:$T$495))&gt;0,INDEX('CASE MASTER'!$Y$2:$Y$495,(SUMPRODUCT((('CASE MASTER'!$T$2:$T$495=1)*('CASE MASTER'!$AA$2:$AA$495&lt;=10)*('CASE MASTER'!$AC$2:$AC$495&gt;=10)*('CASE MASTER'!$AB$2:$AB$495&lt;=1)*('CASE MASTER'!$AD$2:$AD$495&gt;=1))*ROW('CASE MASTER'!$T$2:$T$495))-(ROW('CASE MASTER'!#REF!)-1)))&amp;TRIM(MID(SUBSTITUTE(SUBSTITUTE(INDEX('CASE MASTER'!$N$2:$N$495,(SUMPRODUCT((('CASE MASTER'!$T$2:$T$495=1)*('CASE MASTER'!$AA$2:$AA$495&lt;=10)*('CASE MASTER'!$AC$2:$AC$495&gt;=10)*('CASE MASTER'!$AB$2:$AB$495&lt;=1)*('CASE MASTER'!$AD$2:$AD$495&gt;=1))*ROW('CASE MASTER'!$T$2:$T$495))-(ROW('CASE MASTER'!#REF!)-1))),":",","),",",REPT(" ",50)),(((INDEX('CASE MASTER'!$Z$2:$Z$495,(SUMPRODUCT((('CASE MASTER'!$T$2:$T$495=1)*('CASE MASTER'!$AA$2:$AA$495&lt;=10)*('CASE MASTER'!$AC$2:$AC$495&gt;=10)*('CASE MASTER'!$AB$2:$AB$495&lt;=1)*('CASE MASTER'!$AD$2:$AD$495&gt;=1))*ROW('CASE MASTER'!$T$2:$T$495))-(ROW('CASE MASTER'!#REF!)-1)))+((10-INDEX('CASE MASTER'!$AA$2:$AA$495,(SUMPRODUCT((('CASE MASTER'!$T$2:$T$495=1)*('CASE MASTER'!$AA$2:$AA$495&lt;=10)*('CASE MASTER'!$AC$2:$AC$495&gt;=10)*('CASE MASTER'!$AB$2:$AB$495&lt;=1)*('CASE MASTER'!$AD$2:$AD$495&gt;=1))*ROW('CASE MASTER'!$T$2:$T$495))-(ROW('CASE MASTER'!#REF!)-1))))*(INDEX('CASE MASTER'!$AD$2:$AD$495,(SUMPRODUCT((('CASE MASTER'!$T$2:$T$495=1)*('CASE MASTER'!$AA$2:$AA$495&lt;=10)*('CASE MASTER'!$AC$2:$AC$495&gt;=10)*('CASE MASTER'!$AB$2:$AB$495&lt;=1)*('CASE MASTER'!$AD$2:$AD$495&gt;=1))*ROW('CASE MASTER'!$T$2:$T$495))-(ROW('CASE MASTER'!#REF!)-1)))-INDEX('CASE MASTER'!$AB$2:$AB$495,(SUMPRODUCT((('CASE MASTER'!$T$2:$T$495=1)*('CASE MASTER'!$AA$2:$AA$495&lt;=10)*('CASE MASTER'!$AC$2:$AC$495&gt;=10)*('CASE MASTER'!$AB$2:$AB$495&lt;=1)*('CASE MASTER'!$AD$2:$AD$495&gt;=1))*ROW('CASE MASTER'!$T$2:$T$495))-(ROW('CASE MASTER'!#REF!)-1)))+1)+(1-INDEX('CASE MASTER'!$AB$2:$AB$495,(SUMPRODUCT((('CASE MASTER'!$T$2:$T$495=1)*('CASE MASTER'!$AA$2:$AA$495&lt;=10)*('CASE MASTER'!$AC$2:$AC$495&gt;=10)*('CASE MASTER'!$AB$2:$AB$495&lt;=1)*('CASE MASTER'!$AD$2:$AD$495&gt;=1))*ROW('CASE MASTER'!$T$2:$T$495))-(ROW('CASE MASTER'!#REF!)-1))))+1)))-1)*50+1,50))&amp;"_"&amp;INDEX('CASE MASTER'!$Q$2:$Q$495,(SUMPRODUCT((('CASE MASTER'!$T$2:$T$495=1)*('CASE MASTER'!$AA$2:$AA$495&lt;=10)*('CASE MASTER'!$AC$2:$AC$495&gt;=10)*('CASE MASTER'!$AB$2:$AB$495&lt;=1)*('CASE MASTER'!$AD$2:$AD$495&gt;=1))*ROW('CASE MASTER'!$T$2:$T$495))-(ROW('CASE MASTER'!#REF!)-1))),"")),"")</f>
        <v/>
      </c>
      <c r="C12" s="10" t="str">
        <f>IFERROR(IF(SUMPRODUCT((('CASE MASTER'!$T$2:$T$495=1)*('CASE MASTER'!$U$2:$U$495&lt;=10)*('CASE MASTER'!$W$2:$W$495&gt;=10)*('CASE MASTER'!$V$2:$V$495&lt;=2)*('CASE MASTER'!$X$2:$X$495&gt;=2))*ROW('CASE MASTER'!$T$2:$T$495))&gt;0,INDEX('CASE MASTER'!$Y$2:$Y$495,(SUMPRODUCT((('CASE MASTER'!$T$2:$T$495=1)*('CASE MASTER'!$U$2:$U$495&lt;=10)*('CASE MASTER'!$W$2:$W$495&gt;=10)*('CASE MASTER'!$V$2:$V$495&lt;=2)*('CASE MASTER'!$X$2:$X$495&gt;=2))*ROW('CASE MASTER'!$T$2:$T$495))-(ROW('CASE MASTER'!#REF!)-1)))&amp;TRIM(MID(SUBSTITUTE(SUBSTITUTE(INDEX('CASE MASTER'!$N$2:$N$495,(SUMPRODUCT((('CASE MASTER'!$T$2:$T$495=1)*('CASE MASTER'!$U$2:$U$495&lt;=10)*('CASE MASTER'!$W$2:$W$495&gt;=10)*('CASE MASTER'!$V$2:$V$495&lt;=2)*('CASE MASTER'!$X$2:$X$495&gt;=2))*ROW('CASE MASTER'!$T$2:$T$495))-(ROW('CASE MASTER'!#REF!)-1))),":",","),",",REPT(" ",50)),((((10-INDEX('CASE MASTER'!$U$2:$U$495,(SUMPRODUCT((('CASE MASTER'!$T$2:$T$495=1)*('CASE MASTER'!$U$2:$U$495&lt;=10)*('CASE MASTER'!$W$2:$W$495&gt;=10)*('CASE MASTER'!$V$2:$V$495&lt;=2)*('CASE MASTER'!$X$2:$X$495&gt;=2))*ROW('CASE MASTER'!$T$2:$T$495))-(ROW('CASE MASTER'!#REF!)-1))))*(INDEX('CASE MASTER'!$X$2:$X$495,(SUMPRODUCT((('CASE MASTER'!$T$2:$T$495=1)*('CASE MASTER'!$U$2:$U$495&lt;=10)*('CASE MASTER'!$W$2:$W$495&gt;=10)*('CASE MASTER'!$V$2:$V$495&lt;=2)*('CASE MASTER'!$X$2:$X$495&gt;=2))*ROW('CASE MASTER'!$T$2:$T$495))-(ROW('CASE MASTER'!#REF!)-1)))-INDEX('CASE MASTER'!$V$2:$V$495,(SUMPRODUCT((('CASE MASTER'!$T$2:$T$495=1)*('CASE MASTER'!$U$2:$U$495&lt;=10)*('CASE MASTER'!$W$2:$W$495&gt;=10)*('CASE MASTER'!$V$2:$V$495&lt;=2)*('CASE MASTER'!$X$2:$X$495&gt;=2))*ROW('CASE MASTER'!$T$2:$T$495))-(ROW('CASE MASTER'!#REF!)-1)))+1)+(2-INDEX('CASE MASTER'!$V$2:$V$495,(SUMPRODUCT((('CASE MASTER'!$T$2:$T$495=1)*('CASE MASTER'!$U$2:$U$495&lt;=10)*('CASE MASTER'!$W$2:$W$495&gt;=10)*('CASE MASTER'!$V$2:$V$495&lt;=2)*('CASE MASTER'!$X$2:$X$495&gt;=2))*ROW('CASE MASTER'!$T$2:$T$495))-(ROW('CASE MASTER'!#REF!)-1))))+1))-1)*50+1,50))&amp;"_"&amp;INDEX('CASE MASTER'!$Q$2:$Q$495,(SUMPRODUCT((('CASE MASTER'!$T$2:$T$495=1)*('CASE MASTER'!$U$2:$U$495&lt;=10)*('CASE MASTER'!$W$2:$W$495&gt;=10)*('CASE MASTER'!$V$2:$V$495&lt;=2)*('CASE MASTER'!$X$2:$X$495&gt;=2))*ROW('CASE MASTER'!$T$2:$T$495))-(ROW('CASE MASTER'!#REF!)-1))),IF(SUMPRODUCT((('CASE MASTER'!$T$2:$T$495=1)*('CASE MASTER'!$AA$2:$AA$495&lt;=10)*('CASE MASTER'!$AC$2:$AC$495&gt;=10)*('CASE MASTER'!$AB$2:$AB$495&lt;=2)*('CASE MASTER'!$AD$2:$AD$495&gt;=2))*ROW('CASE MASTER'!$T$2:$T$495))&gt;0,INDEX('CASE MASTER'!$Y$2:$Y$495,(SUMPRODUCT((('CASE MASTER'!$T$2:$T$495=1)*('CASE MASTER'!$AA$2:$AA$495&lt;=10)*('CASE MASTER'!$AC$2:$AC$495&gt;=10)*('CASE MASTER'!$AB$2:$AB$495&lt;=2)*('CASE MASTER'!$AD$2:$AD$495&gt;=2))*ROW('CASE MASTER'!$T$2:$T$495))-(ROW('CASE MASTER'!#REF!)-1)))&amp;TRIM(MID(SUBSTITUTE(SUBSTITUTE(INDEX('CASE MASTER'!$N$2:$N$495,(SUMPRODUCT((('CASE MASTER'!$T$2:$T$495=1)*('CASE MASTER'!$AA$2:$AA$495&lt;=10)*('CASE MASTER'!$AC$2:$AC$495&gt;=10)*('CASE MASTER'!$AB$2:$AB$495&lt;=2)*('CASE MASTER'!$AD$2:$AD$495&gt;=2))*ROW('CASE MASTER'!$T$2:$T$495))-(ROW('CASE MASTER'!#REF!)-1))),":",","),",",REPT(" ",50)),(((INDEX('CASE MASTER'!$Z$2:$Z$495,(SUMPRODUCT((('CASE MASTER'!$T$2:$T$495=1)*('CASE MASTER'!$AA$2:$AA$495&lt;=10)*('CASE MASTER'!$AC$2:$AC$495&gt;=10)*('CASE MASTER'!$AB$2:$AB$495&lt;=2)*('CASE MASTER'!$AD$2:$AD$495&gt;=2))*ROW('CASE MASTER'!$T$2:$T$495))-(ROW('CASE MASTER'!#REF!)-1)))+((10-INDEX('CASE MASTER'!$AA$2:$AA$495,(SUMPRODUCT((('CASE MASTER'!$T$2:$T$495=1)*('CASE MASTER'!$AA$2:$AA$495&lt;=10)*('CASE MASTER'!$AC$2:$AC$495&gt;=10)*('CASE MASTER'!$AB$2:$AB$495&lt;=2)*('CASE MASTER'!$AD$2:$AD$495&gt;=2))*ROW('CASE MASTER'!$T$2:$T$495))-(ROW('CASE MASTER'!#REF!)-1))))*(INDEX('CASE MASTER'!$AD$2:$AD$495,(SUMPRODUCT((('CASE MASTER'!$T$2:$T$495=1)*('CASE MASTER'!$AA$2:$AA$495&lt;=10)*('CASE MASTER'!$AC$2:$AC$495&gt;=10)*('CASE MASTER'!$AB$2:$AB$495&lt;=2)*('CASE MASTER'!$AD$2:$AD$495&gt;=2))*ROW('CASE MASTER'!$T$2:$T$495))-(ROW('CASE MASTER'!#REF!)-1)))-INDEX('CASE MASTER'!$AB$2:$AB$495,(SUMPRODUCT((('CASE MASTER'!$T$2:$T$495=1)*('CASE MASTER'!$AA$2:$AA$495&lt;=10)*('CASE MASTER'!$AC$2:$AC$495&gt;=10)*('CASE MASTER'!$AB$2:$AB$495&lt;=2)*('CASE MASTER'!$AD$2:$AD$495&gt;=2))*ROW('CASE MASTER'!$T$2:$T$495))-(ROW('CASE MASTER'!#REF!)-1)))+1)+(2-INDEX('CASE MASTER'!$AB$2:$AB$495,(SUMPRODUCT((('CASE MASTER'!$T$2:$T$495=1)*('CASE MASTER'!$AA$2:$AA$495&lt;=10)*('CASE MASTER'!$AC$2:$AC$495&gt;=10)*('CASE MASTER'!$AB$2:$AB$495&lt;=2)*('CASE MASTER'!$AD$2:$AD$495&gt;=2))*ROW('CASE MASTER'!$T$2:$T$495))-(ROW('CASE MASTER'!#REF!)-1))))+1)))-1)*50+1,50))&amp;"_"&amp;INDEX('CASE MASTER'!$Q$2:$Q$495,(SUMPRODUCT((('CASE MASTER'!$T$2:$T$495=1)*('CASE MASTER'!$AA$2:$AA$495&lt;=10)*('CASE MASTER'!$AC$2:$AC$495&gt;=10)*('CASE MASTER'!$AB$2:$AB$495&lt;=2)*('CASE MASTER'!$AD$2:$AD$495&gt;=2))*ROW('CASE MASTER'!$T$2:$T$495))-(ROW('CASE MASTER'!#REF!)-1))),"")),"")</f>
        <v/>
      </c>
      <c r="D12" s="10" t="str">
        <f>IFERROR(IF(SUMPRODUCT((('CASE MASTER'!$T$2:$T$495=1)*('CASE MASTER'!$U$2:$U$495&lt;=10)*('CASE MASTER'!$W$2:$W$495&gt;=10)*('CASE MASTER'!$V$2:$V$495&lt;=3)*('CASE MASTER'!$X$2:$X$495&gt;=3))*ROW('CASE MASTER'!$T$2:$T$495))&gt;0,INDEX('CASE MASTER'!$Y$2:$Y$495,(SUMPRODUCT((('CASE MASTER'!$T$2:$T$495=1)*('CASE MASTER'!$U$2:$U$495&lt;=10)*('CASE MASTER'!$W$2:$W$495&gt;=10)*('CASE MASTER'!$V$2:$V$495&lt;=3)*('CASE MASTER'!$X$2:$X$495&gt;=3))*ROW('CASE MASTER'!$T$2:$T$495))-(ROW('CASE MASTER'!#REF!)-1)))&amp;TRIM(MID(SUBSTITUTE(SUBSTITUTE(INDEX('CASE MASTER'!$N$2:$N$495,(SUMPRODUCT((('CASE MASTER'!$T$2:$T$495=1)*('CASE MASTER'!$U$2:$U$495&lt;=10)*('CASE MASTER'!$W$2:$W$495&gt;=10)*('CASE MASTER'!$V$2:$V$495&lt;=3)*('CASE MASTER'!$X$2:$X$495&gt;=3))*ROW('CASE MASTER'!$T$2:$T$495))-(ROW('CASE MASTER'!#REF!)-1))),":",","),",",REPT(" ",50)),((((10-INDEX('CASE MASTER'!$U$2:$U$495,(SUMPRODUCT((('CASE MASTER'!$T$2:$T$495=1)*('CASE MASTER'!$U$2:$U$495&lt;=10)*('CASE MASTER'!$W$2:$W$495&gt;=10)*('CASE MASTER'!$V$2:$V$495&lt;=3)*('CASE MASTER'!$X$2:$X$495&gt;=3))*ROW('CASE MASTER'!$T$2:$T$495))-(ROW('CASE MASTER'!#REF!)-1))))*(INDEX('CASE MASTER'!$X$2:$X$495,(SUMPRODUCT((('CASE MASTER'!$T$2:$T$495=1)*('CASE MASTER'!$U$2:$U$495&lt;=10)*('CASE MASTER'!$W$2:$W$495&gt;=10)*('CASE MASTER'!$V$2:$V$495&lt;=3)*('CASE MASTER'!$X$2:$X$495&gt;=3))*ROW('CASE MASTER'!$T$2:$T$495))-(ROW('CASE MASTER'!#REF!)-1)))-INDEX('CASE MASTER'!$V$2:$V$495,(SUMPRODUCT((('CASE MASTER'!$T$2:$T$495=1)*('CASE MASTER'!$U$2:$U$495&lt;=10)*('CASE MASTER'!$W$2:$W$495&gt;=10)*('CASE MASTER'!$V$2:$V$495&lt;=3)*('CASE MASTER'!$X$2:$X$495&gt;=3))*ROW('CASE MASTER'!$T$2:$T$495))-(ROW('CASE MASTER'!#REF!)-1)))+1)+(3-INDEX('CASE MASTER'!$V$2:$V$495,(SUMPRODUCT((('CASE MASTER'!$T$2:$T$495=1)*('CASE MASTER'!$U$2:$U$495&lt;=10)*('CASE MASTER'!$W$2:$W$495&gt;=10)*('CASE MASTER'!$V$2:$V$495&lt;=3)*('CASE MASTER'!$X$2:$X$495&gt;=3))*ROW('CASE MASTER'!$T$2:$T$495))-(ROW('CASE MASTER'!#REF!)-1))))+1))-1)*50+1,50))&amp;"_"&amp;INDEX('CASE MASTER'!$Q$2:$Q$495,(SUMPRODUCT((('CASE MASTER'!$T$2:$T$495=1)*('CASE MASTER'!$U$2:$U$495&lt;=10)*('CASE MASTER'!$W$2:$W$495&gt;=10)*('CASE MASTER'!$V$2:$V$495&lt;=3)*('CASE MASTER'!$X$2:$X$495&gt;=3))*ROW('CASE MASTER'!$T$2:$T$495))-(ROW('CASE MASTER'!#REF!)-1))),IF(SUMPRODUCT((('CASE MASTER'!$T$2:$T$495=1)*('CASE MASTER'!$AA$2:$AA$495&lt;=10)*('CASE MASTER'!$AC$2:$AC$495&gt;=10)*('CASE MASTER'!$AB$2:$AB$495&lt;=3)*('CASE MASTER'!$AD$2:$AD$495&gt;=3))*ROW('CASE MASTER'!$T$2:$T$495))&gt;0,INDEX('CASE MASTER'!$Y$2:$Y$495,(SUMPRODUCT((('CASE MASTER'!$T$2:$T$495=1)*('CASE MASTER'!$AA$2:$AA$495&lt;=10)*('CASE MASTER'!$AC$2:$AC$495&gt;=10)*('CASE MASTER'!$AB$2:$AB$495&lt;=3)*('CASE MASTER'!$AD$2:$AD$495&gt;=3))*ROW('CASE MASTER'!$T$2:$T$495))-(ROW('CASE MASTER'!#REF!)-1)))&amp;TRIM(MID(SUBSTITUTE(SUBSTITUTE(INDEX('CASE MASTER'!$N$2:$N$495,(SUMPRODUCT((('CASE MASTER'!$T$2:$T$495=1)*('CASE MASTER'!$AA$2:$AA$495&lt;=10)*('CASE MASTER'!$AC$2:$AC$495&gt;=10)*('CASE MASTER'!$AB$2:$AB$495&lt;=3)*('CASE MASTER'!$AD$2:$AD$495&gt;=3))*ROW('CASE MASTER'!$T$2:$T$495))-(ROW('CASE MASTER'!#REF!)-1))),":",","),",",REPT(" ",50)),(((INDEX('CASE MASTER'!$Z$2:$Z$495,(SUMPRODUCT((('CASE MASTER'!$T$2:$T$495=1)*('CASE MASTER'!$AA$2:$AA$495&lt;=10)*('CASE MASTER'!$AC$2:$AC$495&gt;=10)*('CASE MASTER'!$AB$2:$AB$495&lt;=3)*('CASE MASTER'!$AD$2:$AD$495&gt;=3))*ROW('CASE MASTER'!$T$2:$T$495))-(ROW('CASE MASTER'!#REF!)-1)))+((10-INDEX('CASE MASTER'!$AA$2:$AA$495,(SUMPRODUCT((('CASE MASTER'!$T$2:$T$495=1)*('CASE MASTER'!$AA$2:$AA$495&lt;=10)*('CASE MASTER'!$AC$2:$AC$495&gt;=10)*('CASE MASTER'!$AB$2:$AB$495&lt;=3)*('CASE MASTER'!$AD$2:$AD$495&gt;=3))*ROW('CASE MASTER'!$T$2:$T$495))-(ROW('CASE MASTER'!#REF!)-1))))*(INDEX('CASE MASTER'!$AD$2:$AD$495,(SUMPRODUCT((('CASE MASTER'!$T$2:$T$495=1)*('CASE MASTER'!$AA$2:$AA$495&lt;=10)*('CASE MASTER'!$AC$2:$AC$495&gt;=10)*('CASE MASTER'!$AB$2:$AB$495&lt;=3)*('CASE MASTER'!$AD$2:$AD$495&gt;=3))*ROW('CASE MASTER'!$T$2:$T$495))-(ROW('CASE MASTER'!#REF!)-1)))-INDEX('CASE MASTER'!$AB$2:$AB$495,(SUMPRODUCT((('CASE MASTER'!$T$2:$T$495=1)*('CASE MASTER'!$AA$2:$AA$495&lt;=10)*('CASE MASTER'!$AC$2:$AC$495&gt;=10)*('CASE MASTER'!$AB$2:$AB$495&lt;=3)*('CASE MASTER'!$AD$2:$AD$495&gt;=3))*ROW('CASE MASTER'!$T$2:$T$495))-(ROW('CASE MASTER'!#REF!)-1)))+1)+(3-INDEX('CASE MASTER'!$AB$2:$AB$495,(SUMPRODUCT((('CASE MASTER'!$T$2:$T$495=1)*('CASE MASTER'!$AA$2:$AA$495&lt;=10)*('CASE MASTER'!$AC$2:$AC$495&gt;=10)*('CASE MASTER'!$AB$2:$AB$495&lt;=3)*('CASE MASTER'!$AD$2:$AD$495&gt;=3))*ROW('CASE MASTER'!$T$2:$T$495))-(ROW('CASE MASTER'!#REF!)-1))))+1)))-1)*50+1,50))&amp;"_"&amp;INDEX('CASE MASTER'!$Q$2:$Q$495,(SUMPRODUCT((('CASE MASTER'!$T$2:$T$495=1)*('CASE MASTER'!$AA$2:$AA$495&lt;=10)*('CASE MASTER'!$AC$2:$AC$495&gt;=10)*('CASE MASTER'!$AB$2:$AB$495&lt;=3)*('CASE MASTER'!$AD$2:$AD$495&gt;=3))*ROW('CASE MASTER'!$T$2:$T$495))-(ROW('CASE MASTER'!#REF!)-1))),"")),"")</f>
        <v/>
      </c>
      <c r="E12" s="10" t="str">
        <f>IFERROR(IF(SUMPRODUCT((('CASE MASTER'!$T$2:$T$495=1)*('CASE MASTER'!$U$2:$U$495&lt;=10)*('CASE MASTER'!$W$2:$W$495&gt;=10)*('CASE MASTER'!$V$2:$V$495&lt;=4)*('CASE MASTER'!$X$2:$X$495&gt;=4))*ROW('CASE MASTER'!$T$2:$T$495))&gt;0,INDEX('CASE MASTER'!$Y$2:$Y$495,(SUMPRODUCT((('CASE MASTER'!$T$2:$T$495=1)*('CASE MASTER'!$U$2:$U$495&lt;=10)*('CASE MASTER'!$W$2:$W$495&gt;=10)*('CASE MASTER'!$V$2:$V$495&lt;=4)*('CASE MASTER'!$X$2:$X$495&gt;=4))*ROW('CASE MASTER'!$T$2:$T$495))-(ROW('CASE MASTER'!#REF!)-1)))&amp;TRIM(MID(SUBSTITUTE(SUBSTITUTE(INDEX('CASE MASTER'!$N$2:$N$495,(SUMPRODUCT((('CASE MASTER'!$T$2:$T$495=1)*('CASE MASTER'!$U$2:$U$495&lt;=10)*('CASE MASTER'!$W$2:$W$495&gt;=10)*('CASE MASTER'!$V$2:$V$495&lt;=4)*('CASE MASTER'!$X$2:$X$495&gt;=4))*ROW('CASE MASTER'!$T$2:$T$495))-(ROW('CASE MASTER'!#REF!)-1))),":",","),",",REPT(" ",50)),((((10-INDEX('CASE MASTER'!$U$2:$U$495,(SUMPRODUCT((('CASE MASTER'!$T$2:$T$495=1)*('CASE MASTER'!$U$2:$U$495&lt;=10)*('CASE MASTER'!$W$2:$W$495&gt;=10)*('CASE MASTER'!$V$2:$V$495&lt;=4)*('CASE MASTER'!$X$2:$X$495&gt;=4))*ROW('CASE MASTER'!$T$2:$T$495))-(ROW('CASE MASTER'!#REF!)-1))))*(INDEX('CASE MASTER'!$X$2:$X$495,(SUMPRODUCT((('CASE MASTER'!$T$2:$T$495=1)*('CASE MASTER'!$U$2:$U$495&lt;=10)*('CASE MASTER'!$W$2:$W$495&gt;=10)*('CASE MASTER'!$V$2:$V$495&lt;=4)*('CASE MASTER'!$X$2:$X$495&gt;=4))*ROW('CASE MASTER'!$T$2:$T$495))-(ROW('CASE MASTER'!#REF!)-1)))-INDEX('CASE MASTER'!$V$2:$V$495,(SUMPRODUCT((('CASE MASTER'!$T$2:$T$495=1)*('CASE MASTER'!$U$2:$U$495&lt;=10)*('CASE MASTER'!$W$2:$W$495&gt;=10)*('CASE MASTER'!$V$2:$V$495&lt;=4)*('CASE MASTER'!$X$2:$X$495&gt;=4))*ROW('CASE MASTER'!$T$2:$T$495))-(ROW('CASE MASTER'!#REF!)-1)))+1)+(4-INDEX('CASE MASTER'!$V$2:$V$495,(SUMPRODUCT((('CASE MASTER'!$T$2:$T$495=1)*('CASE MASTER'!$U$2:$U$495&lt;=10)*('CASE MASTER'!$W$2:$W$495&gt;=10)*('CASE MASTER'!$V$2:$V$495&lt;=4)*('CASE MASTER'!$X$2:$X$495&gt;=4))*ROW('CASE MASTER'!$T$2:$T$495))-(ROW('CASE MASTER'!#REF!)-1))))+1))-1)*50+1,50))&amp;"_"&amp;INDEX('CASE MASTER'!$Q$2:$Q$495,(SUMPRODUCT((('CASE MASTER'!$T$2:$T$495=1)*('CASE MASTER'!$U$2:$U$495&lt;=10)*('CASE MASTER'!$W$2:$W$495&gt;=10)*('CASE MASTER'!$V$2:$V$495&lt;=4)*('CASE MASTER'!$X$2:$X$495&gt;=4))*ROW('CASE MASTER'!$T$2:$T$495))-(ROW('CASE MASTER'!#REF!)-1))),IF(SUMPRODUCT((('CASE MASTER'!$T$2:$T$495=1)*('CASE MASTER'!$AA$2:$AA$495&lt;=10)*('CASE MASTER'!$AC$2:$AC$495&gt;=10)*('CASE MASTER'!$AB$2:$AB$495&lt;=4)*('CASE MASTER'!$AD$2:$AD$495&gt;=4))*ROW('CASE MASTER'!$T$2:$T$495))&gt;0,INDEX('CASE MASTER'!$Y$2:$Y$495,(SUMPRODUCT((('CASE MASTER'!$T$2:$T$495=1)*('CASE MASTER'!$AA$2:$AA$495&lt;=10)*('CASE MASTER'!$AC$2:$AC$495&gt;=10)*('CASE MASTER'!$AB$2:$AB$495&lt;=4)*('CASE MASTER'!$AD$2:$AD$495&gt;=4))*ROW('CASE MASTER'!$T$2:$T$495))-(ROW('CASE MASTER'!#REF!)-1)))&amp;TRIM(MID(SUBSTITUTE(SUBSTITUTE(INDEX('CASE MASTER'!$N$2:$N$495,(SUMPRODUCT((('CASE MASTER'!$T$2:$T$495=1)*('CASE MASTER'!$AA$2:$AA$495&lt;=10)*('CASE MASTER'!$AC$2:$AC$495&gt;=10)*('CASE MASTER'!$AB$2:$AB$495&lt;=4)*('CASE MASTER'!$AD$2:$AD$495&gt;=4))*ROW('CASE MASTER'!$T$2:$T$495))-(ROW('CASE MASTER'!#REF!)-1))),":",","),",",REPT(" ",50)),(((INDEX('CASE MASTER'!$Z$2:$Z$495,(SUMPRODUCT((('CASE MASTER'!$T$2:$T$495=1)*('CASE MASTER'!$AA$2:$AA$495&lt;=10)*('CASE MASTER'!$AC$2:$AC$495&gt;=10)*('CASE MASTER'!$AB$2:$AB$495&lt;=4)*('CASE MASTER'!$AD$2:$AD$495&gt;=4))*ROW('CASE MASTER'!$T$2:$T$495))-(ROW('CASE MASTER'!#REF!)-1)))+((10-INDEX('CASE MASTER'!$AA$2:$AA$495,(SUMPRODUCT((('CASE MASTER'!$T$2:$T$495=1)*('CASE MASTER'!$AA$2:$AA$495&lt;=10)*('CASE MASTER'!$AC$2:$AC$495&gt;=10)*('CASE MASTER'!$AB$2:$AB$495&lt;=4)*('CASE MASTER'!$AD$2:$AD$495&gt;=4))*ROW('CASE MASTER'!$T$2:$T$495))-(ROW('CASE MASTER'!#REF!)-1))))*(INDEX('CASE MASTER'!$AD$2:$AD$495,(SUMPRODUCT((('CASE MASTER'!$T$2:$T$495=1)*('CASE MASTER'!$AA$2:$AA$495&lt;=10)*('CASE MASTER'!$AC$2:$AC$495&gt;=10)*('CASE MASTER'!$AB$2:$AB$495&lt;=4)*('CASE MASTER'!$AD$2:$AD$495&gt;=4))*ROW('CASE MASTER'!$T$2:$T$495))-(ROW('CASE MASTER'!#REF!)-1)))-INDEX('CASE MASTER'!$AB$2:$AB$495,(SUMPRODUCT((('CASE MASTER'!$T$2:$T$495=1)*('CASE MASTER'!$AA$2:$AA$495&lt;=10)*('CASE MASTER'!$AC$2:$AC$495&gt;=10)*('CASE MASTER'!$AB$2:$AB$495&lt;=4)*('CASE MASTER'!$AD$2:$AD$495&gt;=4))*ROW('CASE MASTER'!$T$2:$T$495))-(ROW('CASE MASTER'!#REF!)-1)))+1)+(4-INDEX('CASE MASTER'!$AB$2:$AB$495,(SUMPRODUCT((('CASE MASTER'!$T$2:$T$495=1)*('CASE MASTER'!$AA$2:$AA$495&lt;=10)*('CASE MASTER'!$AC$2:$AC$495&gt;=10)*('CASE MASTER'!$AB$2:$AB$495&lt;=4)*('CASE MASTER'!$AD$2:$AD$495&gt;=4))*ROW('CASE MASTER'!$T$2:$T$495))-(ROW('CASE MASTER'!#REF!)-1))))+1)))-1)*50+1,50))&amp;"_"&amp;INDEX('CASE MASTER'!$Q$2:$Q$495,(SUMPRODUCT((('CASE MASTER'!$T$2:$T$495=1)*('CASE MASTER'!$AA$2:$AA$495&lt;=10)*('CASE MASTER'!$AC$2:$AC$495&gt;=10)*('CASE MASTER'!$AB$2:$AB$495&lt;=4)*('CASE MASTER'!$AD$2:$AD$495&gt;=4))*ROW('CASE MASTER'!$T$2:$T$495))-(ROW('CASE MASTER'!#REF!)-1))),"")),"")</f>
        <v/>
      </c>
      <c r="F12" s="10" t="str">
        <f>IFERROR(IF(SUMPRODUCT((('CASE MASTER'!$T$2:$T$495=1)*('CASE MASTER'!$U$2:$U$495&lt;=10)*('CASE MASTER'!$W$2:$W$495&gt;=10)*('CASE MASTER'!$V$2:$V$495&lt;=5)*('CASE MASTER'!$X$2:$X$495&gt;=5))*ROW('CASE MASTER'!$T$2:$T$495))&gt;0,INDEX('CASE MASTER'!$Y$2:$Y$495,(SUMPRODUCT((('CASE MASTER'!$T$2:$T$495=1)*('CASE MASTER'!$U$2:$U$495&lt;=10)*('CASE MASTER'!$W$2:$W$495&gt;=10)*('CASE MASTER'!$V$2:$V$495&lt;=5)*('CASE MASTER'!$X$2:$X$495&gt;=5))*ROW('CASE MASTER'!$T$2:$T$495))-(ROW('CASE MASTER'!#REF!)-1)))&amp;TRIM(MID(SUBSTITUTE(SUBSTITUTE(INDEX('CASE MASTER'!$N$2:$N$495,(SUMPRODUCT((('CASE MASTER'!$T$2:$T$495=1)*('CASE MASTER'!$U$2:$U$495&lt;=10)*('CASE MASTER'!$W$2:$W$495&gt;=10)*('CASE MASTER'!$V$2:$V$495&lt;=5)*('CASE MASTER'!$X$2:$X$495&gt;=5))*ROW('CASE MASTER'!$T$2:$T$495))-(ROW('CASE MASTER'!#REF!)-1))),":",","),",",REPT(" ",50)),((((10-INDEX('CASE MASTER'!$U$2:$U$495,(SUMPRODUCT((('CASE MASTER'!$T$2:$T$495=1)*('CASE MASTER'!$U$2:$U$495&lt;=10)*('CASE MASTER'!$W$2:$W$495&gt;=10)*('CASE MASTER'!$V$2:$V$495&lt;=5)*('CASE MASTER'!$X$2:$X$495&gt;=5))*ROW('CASE MASTER'!$T$2:$T$495))-(ROW('CASE MASTER'!#REF!)-1))))*(INDEX('CASE MASTER'!$X$2:$X$495,(SUMPRODUCT((('CASE MASTER'!$T$2:$T$495=1)*('CASE MASTER'!$U$2:$U$495&lt;=10)*('CASE MASTER'!$W$2:$W$495&gt;=10)*('CASE MASTER'!$V$2:$V$495&lt;=5)*('CASE MASTER'!$X$2:$X$495&gt;=5))*ROW('CASE MASTER'!$T$2:$T$495))-(ROW('CASE MASTER'!#REF!)-1)))-INDEX('CASE MASTER'!$V$2:$V$495,(SUMPRODUCT((('CASE MASTER'!$T$2:$T$495=1)*('CASE MASTER'!$U$2:$U$495&lt;=10)*('CASE MASTER'!$W$2:$W$495&gt;=10)*('CASE MASTER'!$V$2:$V$495&lt;=5)*('CASE MASTER'!$X$2:$X$495&gt;=5))*ROW('CASE MASTER'!$T$2:$T$495))-(ROW('CASE MASTER'!#REF!)-1)))+1)+(5-INDEX('CASE MASTER'!$V$2:$V$495,(SUMPRODUCT((('CASE MASTER'!$T$2:$T$495=1)*('CASE MASTER'!$U$2:$U$495&lt;=10)*('CASE MASTER'!$W$2:$W$495&gt;=10)*('CASE MASTER'!$V$2:$V$495&lt;=5)*('CASE MASTER'!$X$2:$X$495&gt;=5))*ROW('CASE MASTER'!$T$2:$T$495))-(ROW('CASE MASTER'!#REF!)-1))))+1))-1)*50+1,50))&amp;"_"&amp;INDEX('CASE MASTER'!$Q$2:$Q$495,(SUMPRODUCT((('CASE MASTER'!$T$2:$T$495=1)*('CASE MASTER'!$U$2:$U$495&lt;=10)*('CASE MASTER'!$W$2:$W$495&gt;=10)*('CASE MASTER'!$V$2:$V$495&lt;=5)*('CASE MASTER'!$X$2:$X$495&gt;=5))*ROW('CASE MASTER'!$T$2:$T$495))-(ROW('CASE MASTER'!#REF!)-1))),IF(SUMPRODUCT((('CASE MASTER'!$T$2:$T$495=1)*('CASE MASTER'!$AA$2:$AA$495&lt;=10)*('CASE MASTER'!$AC$2:$AC$495&gt;=10)*('CASE MASTER'!$AB$2:$AB$495&lt;=5)*('CASE MASTER'!$AD$2:$AD$495&gt;=5))*ROW('CASE MASTER'!$T$2:$T$495))&gt;0,INDEX('CASE MASTER'!$Y$2:$Y$495,(SUMPRODUCT((('CASE MASTER'!$T$2:$T$495=1)*('CASE MASTER'!$AA$2:$AA$495&lt;=10)*('CASE MASTER'!$AC$2:$AC$495&gt;=10)*('CASE MASTER'!$AB$2:$AB$495&lt;=5)*('CASE MASTER'!$AD$2:$AD$495&gt;=5))*ROW('CASE MASTER'!$T$2:$T$495))-(ROW('CASE MASTER'!#REF!)-1)))&amp;TRIM(MID(SUBSTITUTE(SUBSTITUTE(INDEX('CASE MASTER'!$N$2:$N$495,(SUMPRODUCT((('CASE MASTER'!$T$2:$T$495=1)*('CASE MASTER'!$AA$2:$AA$495&lt;=10)*('CASE MASTER'!$AC$2:$AC$495&gt;=10)*('CASE MASTER'!$AB$2:$AB$495&lt;=5)*('CASE MASTER'!$AD$2:$AD$495&gt;=5))*ROW('CASE MASTER'!$T$2:$T$495))-(ROW('CASE MASTER'!#REF!)-1))),":",","),",",REPT(" ",50)),(((INDEX('CASE MASTER'!$Z$2:$Z$495,(SUMPRODUCT((('CASE MASTER'!$T$2:$T$495=1)*('CASE MASTER'!$AA$2:$AA$495&lt;=10)*('CASE MASTER'!$AC$2:$AC$495&gt;=10)*('CASE MASTER'!$AB$2:$AB$495&lt;=5)*('CASE MASTER'!$AD$2:$AD$495&gt;=5))*ROW('CASE MASTER'!$T$2:$T$495))-(ROW('CASE MASTER'!#REF!)-1)))+((10-INDEX('CASE MASTER'!$AA$2:$AA$495,(SUMPRODUCT((('CASE MASTER'!$T$2:$T$495=1)*('CASE MASTER'!$AA$2:$AA$495&lt;=10)*('CASE MASTER'!$AC$2:$AC$495&gt;=10)*('CASE MASTER'!$AB$2:$AB$495&lt;=5)*('CASE MASTER'!$AD$2:$AD$495&gt;=5))*ROW('CASE MASTER'!$T$2:$T$495))-(ROW('CASE MASTER'!#REF!)-1))))*(INDEX('CASE MASTER'!$AD$2:$AD$495,(SUMPRODUCT((('CASE MASTER'!$T$2:$T$495=1)*('CASE MASTER'!$AA$2:$AA$495&lt;=10)*('CASE MASTER'!$AC$2:$AC$495&gt;=10)*('CASE MASTER'!$AB$2:$AB$495&lt;=5)*('CASE MASTER'!$AD$2:$AD$495&gt;=5))*ROW('CASE MASTER'!$T$2:$T$495))-(ROW('CASE MASTER'!#REF!)-1)))-INDEX('CASE MASTER'!$AB$2:$AB$495,(SUMPRODUCT((('CASE MASTER'!$T$2:$T$495=1)*('CASE MASTER'!$AA$2:$AA$495&lt;=10)*('CASE MASTER'!$AC$2:$AC$495&gt;=10)*('CASE MASTER'!$AB$2:$AB$495&lt;=5)*('CASE MASTER'!$AD$2:$AD$495&gt;=5))*ROW('CASE MASTER'!$T$2:$T$495))-(ROW('CASE MASTER'!#REF!)-1)))+1)+(5-INDEX('CASE MASTER'!$AB$2:$AB$495,(SUMPRODUCT((('CASE MASTER'!$T$2:$T$495=1)*('CASE MASTER'!$AA$2:$AA$495&lt;=10)*('CASE MASTER'!$AC$2:$AC$495&gt;=10)*('CASE MASTER'!$AB$2:$AB$495&lt;=5)*('CASE MASTER'!$AD$2:$AD$495&gt;=5))*ROW('CASE MASTER'!$T$2:$T$495))-(ROW('CASE MASTER'!#REF!)-1))))+1)))-1)*50+1,50))&amp;"_"&amp;INDEX('CASE MASTER'!$Q$2:$Q$495,(SUMPRODUCT((('CASE MASTER'!$T$2:$T$495=1)*('CASE MASTER'!$AA$2:$AA$495&lt;=10)*('CASE MASTER'!$AC$2:$AC$495&gt;=10)*('CASE MASTER'!$AB$2:$AB$495&lt;=5)*('CASE MASTER'!$AD$2:$AD$495&gt;=5))*ROW('CASE MASTER'!$T$2:$T$495))-(ROW('CASE MASTER'!#REF!)-1))),"")),"")</f>
        <v/>
      </c>
      <c r="G12" s="10" t="str">
        <f>IFERROR(IF(SUMPRODUCT((('CASE MASTER'!$T$2:$T$495=1)*('CASE MASTER'!$U$2:$U$495&lt;=10)*('CASE MASTER'!$W$2:$W$495&gt;=10)*('CASE MASTER'!$V$2:$V$495&lt;=6)*('CASE MASTER'!$X$2:$X$495&gt;=6))*ROW('CASE MASTER'!$T$2:$T$495))&gt;0,INDEX('CASE MASTER'!$Y$2:$Y$495,(SUMPRODUCT((('CASE MASTER'!$T$2:$T$495=1)*('CASE MASTER'!$U$2:$U$495&lt;=10)*('CASE MASTER'!$W$2:$W$495&gt;=10)*('CASE MASTER'!$V$2:$V$495&lt;=6)*('CASE MASTER'!$X$2:$X$495&gt;=6))*ROW('CASE MASTER'!$T$2:$T$495))-(ROW('CASE MASTER'!#REF!)-1)))&amp;TRIM(MID(SUBSTITUTE(SUBSTITUTE(INDEX('CASE MASTER'!$N$2:$N$495,(SUMPRODUCT((('CASE MASTER'!$T$2:$T$495=1)*('CASE MASTER'!$U$2:$U$495&lt;=10)*('CASE MASTER'!$W$2:$W$495&gt;=10)*('CASE MASTER'!$V$2:$V$495&lt;=6)*('CASE MASTER'!$X$2:$X$495&gt;=6))*ROW('CASE MASTER'!$T$2:$T$495))-(ROW('CASE MASTER'!#REF!)-1))),":",","),",",REPT(" ",50)),((((10-INDEX('CASE MASTER'!$U$2:$U$495,(SUMPRODUCT((('CASE MASTER'!$T$2:$T$495=1)*('CASE MASTER'!$U$2:$U$495&lt;=10)*('CASE MASTER'!$W$2:$W$495&gt;=10)*('CASE MASTER'!$V$2:$V$495&lt;=6)*('CASE MASTER'!$X$2:$X$495&gt;=6))*ROW('CASE MASTER'!$T$2:$T$495))-(ROW('CASE MASTER'!#REF!)-1))))*(INDEX('CASE MASTER'!$X$2:$X$495,(SUMPRODUCT((('CASE MASTER'!$T$2:$T$495=1)*('CASE MASTER'!$U$2:$U$495&lt;=10)*('CASE MASTER'!$W$2:$W$495&gt;=10)*('CASE MASTER'!$V$2:$V$495&lt;=6)*('CASE MASTER'!$X$2:$X$495&gt;=6))*ROW('CASE MASTER'!$T$2:$T$495))-(ROW('CASE MASTER'!#REF!)-1)))-INDEX('CASE MASTER'!$V$2:$V$495,(SUMPRODUCT((('CASE MASTER'!$T$2:$T$495=1)*('CASE MASTER'!$U$2:$U$495&lt;=10)*('CASE MASTER'!$W$2:$W$495&gt;=10)*('CASE MASTER'!$V$2:$V$495&lt;=6)*('CASE MASTER'!$X$2:$X$495&gt;=6))*ROW('CASE MASTER'!$T$2:$T$495))-(ROW('CASE MASTER'!#REF!)-1)))+1)+(6-INDEX('CASE MASTER'!$V$2:$V$495,(SUMPRODUCT((('CASE MASTER'!$T$2:$T$495=1)*('CASE MASTER'!$U$2:$U$495&lt;=10)*('CASE MASTER'!$W$2:$W$495&gt;=10)*('CASE MASTER'!$V$2:$V$495&lt;=6)*('CASE MASTER'!$X$2:$X$495&gt;=6))*ROW('CASE MASTER'!$T$2:$T$495))-(ROW('CASE MASTER'!#REF!)-1))))+1))-1)*50+1,50))&amp;"_"&amp;INDEX('CASE MASTER'!$Q$2:$Q$495,(SUMPRODUCT((('CASE MASTER'!$T$2:$T$495=1)*('CASE MASTER'!$U$2:$U$495&lt;=10)*('CASE MASTER'!$W$2:$W$495&gt;=10)*('CASE MASTER'!$V$2:$V$495&lt;=6)*('CASE MASTER'!$X$2:$X$495&gt;=6))*ROW('CASE MASTER'!$T$2:$T$495))-(ROW('CASE MASTER'!#REF!)-1))),IF(SUMPRODUCT((('CASE MASTER'!$T$2:$T$495=1)*('CASE MASTER'!$AA$2:$AA$495&lt;=10)*('CASE MASTER'!$AC$2:$AC$495&gt;=10)*('CASE MASTER'!$AB$2:$AB$495&lt;=6)*('CASE MASTER'!$AD$2:$AD$495&gt;=6))*ROW('CASE MASTER'!$T$2:$T$495))&gt;0,INDEX('CASE MASTER'!$Y$2:$Y$495,(SUMPRODUCT((('CASE MASTER'!$T$2:$T$495=1)*('CASE MASTER'!$AA$2:$AA$495&lt;=10)*('CASE MASTER'!$AC$2:$AC$495&gt;=10)*('CASE MASTER'!$AB$2:$AB$495&lt;=6)*('CASE MASTER'!$AD$2:$AD$495&gt;=6))*ROW('CASE MASTER'!$T$2:$T$495))-(ROW('CASE MASTER'!#REF!)-1)))&amp;TRIM(MID(SUBSTITUTE(SUBSTITUTE(INDEX('CASE MASTER'!$N$2:$N$495,(SUMPRODUCT((('CASE MASTER'!$T$2:$T$495=1)*('CASE MASTER'!$AA$2:$AA$495&lt;=10)*('CASE MASTER'!$AC$2:$AC$495&gt;=10)*('CASE MASTER'!$AB$2:$AB$495&lt;=6)*('CASE MASTER'!$AD$2:$AD$495&gt;=6))*ROW('CASE MASTER'!$T$2:$T$495))-(ROW('CASE MASTER'!#REF!)-1))),":",","),",",REPT(" ",50)),(((INDEX('CASE MASTER'!$Z$2:$Z$495,(SUMPRODUCT((('CASE MASTER'!$T$2:$T$495=1)*('CASE MASTER'!$AA$2:$AA$495&lt;=10)*('CASE MASTER'!$AC$2:$AC$495&gt;=10)*('CASE MASTER'!$AB$2:$AB$495&lt;=6)*('CASE MASTER'!$AD$2:$AD$495&gt;=6))*ROW('CASE MASTER'!$T$2:$T$495))-(ROW('CASE MASTER'!#REF!)-1)))+((10-INDEX('CASE MASTER'!$AA$2:$AA$495,(SUMPRODUCT((('CASE MASTER'!$T$2:$T$495=1)*('CASE MASTER'!$AA$2:$AA$495&lt;=10)*('CASE MASTER'!$AC$2:$AC$495&gt;=10)*('CASE MASTER'!$AB$2:$AB$495&lt;=6)*('CASE MASTER'!$AD$2:$AD$495&gt;=6))*ROW('CASE MASTER'!$T$2:$T$495))-(ROW('CASE MASTER'!#REF!)-1))))*(INDEX('CASE MASTER'!$AD$2:$AD$495,(SUMPRODUCT((('CASE MASTER'!$T$2:$T$495=1)*('CASE MASTER'!$AA$2:$AA$495&lt;=10)*('CASE MASTER'!$AC$2:$AC$495&gt;=10)*('CASE MASTER'!$AB$2:$AB$495&lt;=6)*('CASE MASTER'!$AD$2:$AD$495&gt;=6))*ROW('CASE MASTER'!$T$2:$T$495))-(ROW('CASE MASTER'!#REF!)-1)))-INDEX('CASE MASTER'!$AB$2:$AB$495,(SUMPRODUCT((('CASE MASTER'!$T$2:$T$495=1)*('CASE MASTER'!$AA$2:$AA$495&lt;=10)*('CASE MASTER'!$AC$2:$AC$495&gt;=10)*('CASE MASTER'!$AB$2:$AB$495&lt;=6)*('CASE MASTER'!$AD$2:$AD$495&gt;=6))*ROW('CASE MASTER'!$T$2:$T$495))-(ROW('CASE MASTER'!#REF!)-1)))+1)+(6-INDEX('CASE MASTER'!$AB$2:$AB$495,(SUMPRODUCT((('CASE MASTER'!$T$2:$T$495=1)*('CASE MASTER'!$AA$2:$AA$495&lt;=10)*('CASE MASTER'!$AC$2:$AC$495&gt;=10)*('CASE MASTER'!$AB$2:$AB$495&lt;=6)*('CASE MASTER'!$AD$2:$AD$495&gt;=6))*ROW('CASE MASTER'!$T$2:$T$495))-(ROW('CASE MASTER'!#REF!)-1))))+1)))-1)*50+1,50))&amp;"_"&amp;INDEX('CASE MASTER'!$Q$2:$Q$495,(SUMPRODUCT((('CASE MASTER'!$T$2:$T$495=1)*('CASE MASTER'!$AA$2:$AA$495&lt;=10)*('CASE MASTER'!$AC$2:$AC$495&gt;=10)*('CASE MASTER'!$AB$2:$AB$495&lt;=6)*('CASE MASTER'!$AD$2:$AD$495&gt;=6))*ROW('CASE MASTER'!$T$2:$T$495))-(ROW('CASE MASTER'!#REF!)-1))),"")),"")</f>
        <v/>
      </c>
      <c r="H12" s="10" t="str">
        <f>IFERROR(IF(SUMPRODUCT((('CASE MASTER'!$T$2:$T$495=1)*('CASE MASTER'!$U$2:$U$495&lt;=10)*('CASE MASTER'!$W$2:$W$495&gt;=10)*('CASE MASTER'!$V$2:$V$495&lt;=7)*('CASE MASTER'!$X$2:$X$495&gt;=7))*ROW('CASE MASTER'!$T$2:$T$495))&gt;0,INDEX('CASE MASTER'!$Y$2:$Y$495,(SUMPRODUCT((('CASE MASTER'!$T$2:$T$495=1)*('CASE MASTER'!$U$2:$U$495&lt;=10)*('CASE MASTER'!$W$2:$W$495&gt;=10)*('CASE MASTER'!$V$2:$V$495&lt;=7)*('CASE MASTER'!$X$2:$X$495&gt;=7))*ROW('CASE MASTER'!$T$2:$T$495))-(ROW('CASE MASTER'!#REF!)-1)))&amp;TRIM(MID(SUBSTITUTE(SUBSTITUTE(INDEX('CASE MASTER'!$N$2:$N$495,(SUMPRODUCT((('CASE MASTER'!$T$2:$T$495=1)*('CASE MASTER'!$U$2:$U$495&lt;=10)*('CASE MASTER'!$W$2:$W$495&gt;=10)*('CASE MASTER'!$V$2:$V$495&lt;=7)*('CASE MASTER'!$X$2:$X$495&gt;=7))*ROW('CASE MASTER'!$T$2:$T$495))-(ROW('CASE MASTER'!#REF!)-1))),":",","),",",REPT(" ",50)),((((10-INDEX('CASE MASTER'!$U$2:$U$495,(SUMPRODUCT((('CASE MASTER'!$T$2:$T$495=1)*('CASE MASTER'!$U$2:$U$495&lt;=10)*('CASE MASTER'!$W$2:$W$495&gt;=10)*('CASE MASTER'!$V$2:$V$495&lt;=7)*('CASE MASTER'!$X$2:$X$495&gt;=7))*ROW('CASE MASTER'!$T$2:$T$495))-(ROW('CASE MASTER'!#REF!)-1))))*(INDEX('CASE MASTER'!$X$2:$X$495,(SUMPRODUCT((('CASE MASTER'!$T$2:$T$495=1)*('CASE MASTER'!$U$2:$U$495&lt;=10)*('CASE MASTER'!$W$2:$W$495&gt;=10)*('CASE MASTER'!$V$2:$V$495&lt;=7)*('CASE MASTER'!$X$2:$X$495&gt;=7))*ROW('CASE MASTER'!$T$2:$T$495))-(ROW('CASE MASTER'!#REF!)-1)))-INDEX('CASE MASTER'!$V$2:$V$495,(SUMPRODUCT((('CASE MASTER'!$T$2:$T$495=1)*('CASE MASTER'!$U$2:$U$495&lt;=10)*('CASE MASTER'!$W$2:$W$495&gt;=10)*('CASE MASTER'!$V$2:$V$495&lt;=7)*('CASE MASTER'!$X$2:$X$495&gt;=7))*ROW('CASE MASTER'!$T$2:$T$495))-(ROW('CASE MASTER'!#REF!)-1)))+1)+(7-INDEX('CASE MASTER'!$V$2:$V$495,(SUMPRODUCT((('CASE MASTER'!$T$2:$T$495=1)*('CASE MASTER'!$U$2:$U$495&lt;=10)*('CASE MASTER'!$W$2:$W$495&gt;=10)*('CASE MASTER'!$V$2:$V$495&lt;=7)*('CASE MASTER'!$X$2:$X$495&gt;=7))*ROW('CASE MASTER'!$T$2:$T$495))-(ROW('CASE MASTER'!#REF!)-1))))+1))-1)*50+1,50))&amp;"_"&amp;INDEX('CASE MASTER'!$Q$2:$Q$495,(SUMPRODUCT((('CASE MASTER'!$T$2:$T$495=1)*('CASE MASTER'!$U$2:$U$495&lt;=10)*('CASE MASTER'!$W$2:$W$495&gt;=10)*('CASE MASTER'!$V$2:$V$495&lt;=7)*('CASE MASTER'!$X$2:$X$495&gt;=7))*ROW('CASE MASTER'!$T$2:$T$495))-(ROW('CASE MASTER'!#REF!)-1))),IF(SUMPRODUCT((('CASE MASTER'!$T$2:$T$495=1)*('CASE MASTER'!$AA$2:$AA$495&lt;=10)*('CASE MASTER'!$AC$2:$AC$495&gt;=10)*('CASE MASTER'!$AB$2:$AB$495&lt;=7)*('CASE MASTER'!$AD$2:$AD$495&gt;=7))*ROW('CASE MASTER'!$T$2:$T$495))&gt;0,INDEX('CASE MASTER'!$Y$2:$Y$495,(SUMPRODUCT((('CASE MASTER'!$T$2:$T$495=1)*('CASE MASTER'!$AA$2:$AA$495&lt;=10)*('CASE MASTER'!$AC$2:$AC$495&gt;=10)*('CASE MASTER'!$AB$2:$AB$495&lt;=7)*('CASE MASTER'!$AD$2:$AD$495&gt;=7))*ROW('CASE MASTER'!$T$2:$T$495))-(ROW('CASE MASTER'!#REF!)-1)))&amp;TRIM(MID(SUBSTITUTE(SUBSTITUTE(INDEX('CASE MASTER'!$N$2:$N$495,(SUMPRODUCT((('CASE MASTER'!$T$2:$T$495=1)*('CASE MASTER'!$AA$2:$AA$495&lt;=10)*('CASE MASTER'!$AC$2:$AC$495&gt;=10)*('CASE MASTER'!$AB$2:$AB$495&lt;=7)*('CASE MASTER'!$AD$2:$AD$495&gt;=7))*ROW('CASE MASTER'!$T$2:$T$495))-(ROW('CASE MASTER'!#REF!)-1))),":",","),",",REPT(" ",50)),(((INDEX('CASE MASTER'!$Z$2:$Z$495,(SUMPRODUCT((('CASE MASTER'!$T$2:$T$495=1)*('CASE MASTER'!$AA$2:$AA$495&lt;=10)*('CASE MASTER'!$AC$2:$AC$495&gt;=10)*('CASE MASTER'!$AB$2:$AB$495&lt;=7)*('CASE MASTER'!$AD$2:$AD$495&gt;=7))*ROW('CASE MASTER'!$T$2:$T$495))-(ROW('CASE MASTER'!#REF!)-1)))+((10-INDEX('CASE MASTER'!$AA$2:$AA$495,(SUMPRODUCT((('CASE MASTER'!$T$2:$T$495=1)*('CASE MASTER'!$AA$2:$AA$495&lt;=10)*('CASE MASTER'!$AC$2:$AC$495&gt;=10)*('CASE MASTER'!$AB$2:$AB$495&lt;=7)*('CASE MASTER'!$AD$2:$AD$495&gt;=7))*ROW('CASE MASTER'!$T$2:$T$495))-(ROW('CASE MASTER'!#REF!)-1))))*(INDEX('CASE MASTER'!$AD$2:$AD$495,(SUMPRODUCT((('CASE MASTER'!$T$2:$T$495=1)*('CASE MASTER'!$AA$2:$AA$495&lt;=10)*('CASE MASTER'!$AC$2:$AC$495&gt;=10)*('CASE MASTER'!$AB$2:$AB$495&lt;=7)*('CASE MASTER'!$AD$2:$AD$495&gt;=7))*ROW('CASE MASTER'!$T$2:$T$495))-(ROW('CASE MASTER'!#REF!)-1)))-INDEX('CASE MASTER'!$AB$2:$AB$495,(SUMPRODUCT((('CASE MASTER'!$T$2:$T$495=1)*('CASE MASTER'!$AA$2:$AA$495&lt;=10)*('CASE MASTER'!$AC$2:$AC$495&gt;=10)*('CASE MASTER'!$AB$2:$AB$495&lt;=7)*('CASE MASTER'!$AD$2:$AD$495&gt;=7))*ROW('CASE MASTER'!$T$2:$T$495))-(ROW('CASE MASTER'!#REF!)-1)))+1)+(7-INDEX('CASE MASTER'!$AB$2:$AB$495,(SUMPRODUCT((('CASE MASTER'!$T$2:$T$495=1)*('CASE MASTER'!$AA$2:$AA$495&lt;=10)*('CASE MASTER'!$AC$2:$AC$495&gt;=10)*('CASE MASTER'!$AB$2:$AB$495&lt;=7)*('CASE MASTER'!$AD$2:$AD$495&gt;=7))*ROW('CASE MASTER'!$T$2:$T$495))-(ROW('CASE MASTER'!#REF!)-1))))+1)))-1)*50+1,50))&amp;"_"&amp;INDEX('CASE MASTER'!$Q$2:$Q$495,(SUMPRODUCT((('CASE MASTER'!$T$2:$T$495=1)*('CASE MASTER'!$AA$2:$AA$495&lt;=10)*('CASE MASTER'!$AC$2:$AC$495&gt;=10)*('CASE MASTER'!$AB$2:$AB$495&lt;=7)*('CASE MASTER'!$AD$2:$AD$495&gt;=7))*ROW('CASE MASTER'!$T$2:$T$495))-(ROW('CASE MASTER'!#REF!)-1))),"")),"")</f>
        <v/>
      </c>
      <c r="I12" s="10" t="str">
        <f>IFERROR(IF(SUMPRODUCT((('CASE MASTER'!$T$2:$T$495=1)*('CASE MASTER'!$U$2:$U$495&lt;=10)*('CASE MASTER'!$W$2:$W$495&gt;=10)*('CASE MASTER'!$V$2:$V$495&lt;=8)*('CASE MASTER'!$X$2:$X$495&gt;=8))*ROW('CASE MASTER'!$T$2:$T$495))&gt;0,INDEX('CASE MASTER'!$Y$2:$Y$495,(SUMPRODUCT((('CASE MASTER'!$T$2:$T$495=1)*('CASE MASTER'!$U$2:$U$495&lt;=10)*('CASE MASTER'!$W$2:$W$495&gt;=10)*('CASE MASTER'!$V$2:$V$495&lt;=8)*('CASE MASTER'!$X$2:$X$495&gt;=8))*ROW('CASE MASTER'!$T$2:$T$495))-(ROW('CASE MASTER'!#REF!)-1)))&amp;TRIM(MID(SUBSTITUTE(SUBSTITUTE(INDEX('CASE MASTER'!$N$2:$N$495,(SUMPRODUCT((('CASE MASTER'!$T$2:$T$495=1)*('CASE MASTER'!$U$2:$U$495&lt;=10)*('CASE MASTER'!$W$2:$W$495&gt;=10)*('CASE MASTER'!$V$2:$V$495&lt;=8)*('CASE MASTER'!$X$2:$X$495&gt;=8))*ROW('CASE MASTER'!$T$2:$T$495))-(ROW('CASE MASTER'!#REF!)-1))),":",","),",",REPT(" ",50)),((((10-INDEX('CASE MASTER'!$U$2:$U$495,(SUMPRODUCT((('CASE MASTER'!$T$2:$T$495=1)*('CASE MASTER'!$U$2:$U$495&lt;=10)*('CASE MASTER'!$W$2:$W$495&gt;=10)*('CASE MASTER'!$V$2:$V$495&lt;=8)*('CASE MASTER'!$X$2:$X$495&gt;=8))*ROW('CASE MASTER'!$T$2:$T$495))-(ROW('CASE MASTER'!#REF!)-1))))*(INDEX('CASE MASTER'!$X$2:$X$495,(SUMPRODUCT((('CASE MASTER'!$T$2:$T$495=1)*('CASE MASTER'!$U$2:$U$495&lt;=10)*('CASE MASTER'!$W$2:$W$495&gt;=10)*('CASE MASTER'!$V$2:$V$495&lt;=8)*('CASE MASTER'!$X$2:$X$495&gt;=8))*ROW('CASE MASTER'!$T$2:$T$495))-(ROW('CASE MASTER'!#REF!)-1)))-INDEX('CASE MASTER'!$V$2:$V$495,(SUMPRODUCT((('CASE MASTER'!$T$2:$T$495=1)*('CASE MASTER'!$U$2:$U$495&lt;=10)*('CASE MASTER'!$W$2:$W$495&gt;=10)*('CASE MASTER'!$V$2:$V$495&lt;=8)*('CASE MASTER'!$X$2:$X$495&gt;=8))*ROW('CASE MASTER'!$T$2:$T$495))-(ROW('CASE MASTER'!#REF!)-1)))+1)+(8-INDEX('CASE MASTER'!$V$2:$V$495,(SUMPRODUCT((('CASE MASTER'!$T$2:$T$495=1)*('CASE MASTER'!$U$2:$U$495&lt;=10)*('CASE MASTER'!$W$2:$W$495&gt;=10)*('CASE MASTER'!$V$2:$V$495&lt;=8)*('CASE MASTER'!$X$2:$X$495&gt;=8))*ROW('CASE MASTER'!$T$2:$T$495))-(ROW('CASE MASTER'!#REF!)-1))))+1))-1)*50+1,50))&amp;"_"&amp;INDEX('CASE MASTER'!$Q$2:$Q$495,(SUMPRODUCT((('CASE MASTER'!$T$2:$T$495=1)*('CASE MASTER'!$U$2:$U$495&lt;=10)*('CASE MASTER'!$W$2:$W$495&gt;=10)*('CASE MASTER'!$V$2:$V$495&lt;=8)*('CASE MASTER'!$X$2:$X$495&gt;=8))*ROW('CASE MASTER'!$T$2:$T$495))-(ROW('CASE MASTER'!#REF!)-1))),IF(SUMPRODUCT((('CASE MASTER'!$T$2:$T$495=1)*('CASE MASTER'!$AA$2:$AA$495&lt;=10)*('CASE MASTER'!$AC$2:$AC$495&gt;=10)*('CASE MASTER'!$AB$2:$AB$495&lt;=8)*('CASE MASTER'!$AD$2:$AD$495&gt;=8))*ROW('CASE MASTER'!$T$2:$T$495))&gt;0,INDEX('CASE MASTER'!$Y$2:$Y$495,(SUMPRODUCT((('CASE MASTER'!$T$2:$T$495=1)*('CASE MASTER'!$AA$2:$AA$495&lt;=10)*('CASE MASTER'!$AC$2:$AC$495&gt;=10)*('CASE MASTER'!$AB$2:$AB$495&lt;=8)*('CASE MASTER'!$AD$2:$AD$495&gt;=8))*ROW('CASE MASTER'!$T$2:$T$495))-(ROW('CASE MASTER'!#REF!)-1)))&amp;TRIM(MID(SUBSTITUTE(SUBSTITUTE(INDEX('CASE MASTER'!$N$2:$N$495,(SUMPRODUCT((('CASE MASTER'!$T$2:$T$495=1)*('CASE MASTER'!$AA$2:$AA$495&lt;=10)*('CASE MASTER'!$AC$2:$AC$495&gt;=10)*('CASE MASTER'!$AB$2:$AB$495&lt;=8)*('CASE MASTER'!$AD$2:$AD$495&gt;=8))*ROW('CASE MASTER'!$T$2:$T$495))-(ROW('CASE MASTER'!#REF!)-1))),":",","),",",REPT(" ",50)),(((INDEX('CASE MASTER'!$Z$2:$Z$495,(SUMPRODUCT((('CASE MASTER'!$T$2:$T$495=1)*('CASE MASTER'!$AA$2:$AA$495&lt;=10)*('CASE MASTER'!$AC$2:$AC$495&gt;=10)*('CASE MASTER'!$AB$2:$AB$495&lt;=8)*('CASE MASTER'!$AD$2:$AD$495&gt;=8))*ROW('CASE MASTER'!$T$2:$T$495))-(ROW('CASE MASTER'!#REF!)-1)))+((10-INDEX('CASE MASTER'!$AA$2:$AA$495,(SUMPRODUCT((('CASE MASTER'!$T$2:$T$495=1)*('CASE MASTER'!$AA$2:$AA$495&lt;=10)*('CASE MASTER'!$AC$2:$AC$495&gt;=10)*('CASE MASTER'!$AB$2:$AB$495&lt;=8)*('CASE MASTER'!$AD$2:$AD$495&gt;=8))*ROW('CASE MASTER'!$T$2:$T$495))-(ROW('CASE MASTER'!#REF!)-1))))*(INDEX('CASE MASTER'!$AD$2:$AD$495,(SUMPRODUCT((('CASE MASTER'!$T$2:$T$495=1)*('CASE MASTER'!$AA$2:$AA$495&lt;=10)*('CASE MASTER'!$AC$2:$AC$495&gt;=10)*('CASE MASTER'!$AB$2:$AB$495&lt;=8)*('CASE MASTER'!$AD$2:$AD$495&gt;=8))*ROW('CASE MASTER'!$T$2:$T$495))-(ROW('CASE MASTER'!#REF!)-1)))-INDEX('CASE MASTER'!$AB$2:$AB$495,(SUMPRODUCT((('CASE MASTER'!$T$2:$T$495=1)*('CASE MASTER'!$AA$2:$AA$495&lt;=10)*('CASE MASTER'!$AC$2:$AC$495&gt;=10)*('CASE MASTER'!$AB$2:$AB$495&lt;=8)*('CASE MASTER'!$AD$2:$AD$495&gt;=8))*ROW('CASE MASTER'!$T$2:$T$495))-(ROW('CASE MASTER'!#REF!)-1)))+1)+(8-INDEX('CASE MASTER'!$AB$2:$AB$495,(SUMPRODUCT((('CASE MASTER'!$T$2:$T$495=1)*('CASE MASTER'!$AA$2:$AA$495&lt;=10)*('CASE MASTER'!$AC$2:$AC$495&gt;=10)*('CASE MASTER'!$AB$2:$AB$495&lt;=8)*('CASE MASTER'!$AD$2:$AD$495&gt;=8))*ROW('CASE MASTER'!$T$2:$T$495))-(ROW('CASE MASTER'!#REF!)-1))))+1)))-1)*50+1,50))&amp;"_"&amp;INDEX('CASE MASTER'!$Q$2:$Q$495,(SUMPRODUCT((('CASE MASTER'!$T$2:$T$495=1)*('CASE MASTER'!$AA$2:$AA$495&lt;=10)*('CASE MASTER'!$AC$2:$AC$495&gt;=10)*('CASE MASTER'!$AB$2:$AB$495&lt;=8)*('CASE MASTER'!$AD$2:$AD$495&gt;=8))*ROW('CASE MASTER'!$T$2:$T$495))-(ROW('CASE MASTER'!#REF!)-1))),"")),"")</f>
        <v/>
      </c>
      <c r="J12" s="10" t="str">
        <f>IFERROR(IF(SUMPRODUCT((('CASE MASTER'!$T$2:$T$495=1)*('CASE MASTER'!$U$2:$U$495&lt;=10)*('CASE MASTER'!$W$2:$W$495&gt;=10)*('CASE MASTER'!$V$2:$V$495&lt;=9)*('CASE MASTER'!$X$2:$X$495&gt;=9))*ROW('CASE MASTER'!$T$2:$T$495))&gt;0,INDEX('CASE MASTER'!$Y$2:$Y$495,(SUMPRODUCT((('CASE MASTER'!$T$2:$T$495=1)*('CASE MASTER'!$U$2:$U$495&lt;=10)*('CASE MASTER'!$W$2:$W$495&gt;=10)*('CASE MASTER'!$V$2:$V$495&lt;=9)*('CASE MASTER'!$X$2:$X$495&gt;=9))*ROW('CASE MASTER'!$T$2:$T$495))-(ROW('CASE MASTER'!#REF!)-1)))&amp;TRIM(MID(SUBSTITUTE(SUBSTITUTE(INDEX('CASE MASTER'!$N$2:$N$495,(SUMPRODUCT((('CASE MASTER'!$T$2:$T$495=1)*('CASE MASTER'!$U$2:$U$495&lt;=10)*('CASE MASTER'!$W$2:$W$495&gt;=10)*('CASE MASTER'!$V$2:$V$495&lt;=9)*('CASE MASTER'!$X$2:$X$495&gt;=9))*ROW('CASE MASTER'!$T$2:$T$495))-(ROW('CASE MASTER'!#REF!)-1))),":",","),",",REPT(" ",50)),((((10-INDEX('CASE MASTER'!$U$2:$U$495,(SUMPRODUCT((('CASE MASTER'!$T$2:$T$495=1)*('CASE MASTER'!$U$2:$U$495&lt;=10)*('CASE MASTER'!$W$2:$W$495&gt;=10)*('CASE MASTER'!$V$2:$V$495&lt;=9)*('CASE MASTER'!$X$2:$X$495&gt;=9))*ROW('CASE MASTER'!$T$2:$T$495))-(ROW('CASE MASTER'!#REF!)-1))))*(INDEX('CASE MASTER'!$X$2:$X$495,(SUMPRODUCT((('CASE MASTER'!$T$2:$T$495=1)*('CASE MASTER'!$U$2:$U$495&lt;=10)*('CASE MASTER'!$W$2:$W$495&gt;=10)*('CASE MASTER'!$V$2:$V$495&lt;=9)*('CASE MASTER'!$X$2:$X$495&gt;=9))*ROW('CASE MASTER'!$T$2:$T$495))-(ROW('CASE MASTER'!#REF!)-1)))-INDEX('CASE MASTER'!$V$2:$V$495,(SUMPRODUCT((('CASE MASTER'!$T$2:$T$495=1)*('CASE MASTER'!$U$2:$U$495&lt;=10)*('CASE MASTER'!$W$2:$W$495&gt;=10)*('CASE MASTER'!$V$2:$V$495&lt;=9)*('CASE MASTER'!$X$2:$X$495&gt;=9))*ROW('CASE MASTER'!$T$2:$T$495))-(ROW('CASE MASTER'!#REF!)-1)))+1)+(9-INDEX('CASE MASTER'!$V$2:$V$495,(SUMPRODUCT((('CASE MASTER'!$T$2:$T$495=1)*('CASE MASTER'!$U$2:$U$495&lt;=10)*('CASE MASTER'!$W$2:$W$495&gt;=10)*('CASE MASTER'!$V$2:$V$495&lt;=9)*('CASE MASTER'!$X$2:$X$495&gt;=9))*ROW('CASE MASTER'!$T$2:$T$495))-(ROW('CASE MASTER'!#REF!)-1))))+1))-1)*50+1,50))&amp;"_"&amp;INDEX('CASE MASTER'!$Q$2:$Q$495,(SUMPRODUCT((('CASE MASTER'!$T$2:$T$495=1)*('CASE MASTER'!$U$2:$U$495&lt;=10)*('CASE MASTER'!$W$2:$W$495&gt;=10)*('CASE MASTER'!$V$2:$V$495&lt;=9)*('CASE MASTER'!$X$2:$X$495&gt;=9))*ROW('CASE MASTER'!$T$2:$T$495))-(ROW('CASE MASTER'!#REF!)-1))),IF(SUMPRODUCT((('CASE MASTER'!$T$2:$T$495=1)*('CASE MASTER'!$AA$2:$AA$495&lt;=10)*('CASE MASTER'!$AC$2:$AC$495&gt;=10)*('CASE MASTER'!$AB$2:$AB$495&lt;=9)*('CASE MASTER'!$AD$2:$AD$495&gt;=9))*ROW('CASE MASTER'!$T$2:$T$495))&gt;0,INDEX('CASE MASTER'!$Y$2:$Y$495,(SUMPRODUCT((('CASE MASTER'!$T$2:$T$495=1)*('CASE MASTER'!$AA$2:$AA$495&lt;=10)*('CASE MASTER'!$AC$2:$AC$495&gt;=10)*('CASE MASTER'!$AB$2:$AB$495&lt;=9)*('CASE MASTER'!$AD$2:$AD$495&gt;=9))*ROW('CASE MASTER'!$T$2:$T$495))-(ROW('CASE MASTER'!#REF!)-1)))&amp;TRIM(MID(SUBSTITUTE(SUBSTITUTE(INDEX('CASE MASTER'!$N$2:$N$495,(SUMPRODUCT((('CASE MASTER'!$T$2:$T$495=1)*('CASE MASTER'!$AA$2:$AA$495&lt;=10)*('CASE MASTER'!$AC$2:$AC$495&gt;=10)*('CASE MASTER'!$AB$2:$AB$495&lt;=9)*('CASE MASTER'!$AD$2:$AD$495&gt;=9))*ROW('CASE MASTER'!$T$2:$T$495))-(ROW('CASE MASTER'!#REF!)-1))),":",","),",",REPT(" ",50)),(((INDEX('CASE MASTER'!$Z$2:$Z$495,(SUMPRODUCT((('CASE MASTER'!$T$2:$T$495=1)*('CASE MASTER'!$AA$2:$AA$495&lt;=10)*('CASE MASTER'!$AC$2:$AC$495&gt;=10)*('CASE MASTER'!$AB$2:$AB$495&lt;=9)*('CASE MASTER'!$AD$2:$AD$495&gt;=9))*ROW('CASE MASTER'!$T$2:$T$495))-(ROW('CASE MASTER'!#REF!)-1)))+((10-INDEX('CASE MASTER'!$AA$2:$AA$495,(SUMPRODUCT((('CASE MASTER'!$T$2:$T$495=1)*('CASE MASTER'!$AA$2:$AA$495&lt;=10)*('CASE MASTER'!$AC$2:$AC$495&gt;=10)*('CASE MASTER'!$AB$2:$AB$495&lt;=9)*('CASE MASTER'!$AD$2:$AD$495&gt;=9))*ROW('CASE MASTER'!$T$2:$T$495))-(ROW('CASE MASTER'!#REF!)-1))))*(INDEX('CASE MASTER'!$AD$2:$AD$495,(SUMPRODUCT((('CASE MASTER'!$T$2:$T$495=1)*('CASE MASTER'!$AA$2:$AA$495&lt;=10)*('CASE MASTER'!$AC$2:$AC$495&gt;=10)*('CASE MASTER'!$AB$2:$AB$495&lt;=9)*('CASE MASTER'!$AD$2:$AD$495&gt;=9))*ROW('CASE MASTER'!$T$2:$T$495))-(ROW('CASE MASTER'!#REF!)-1)))-INDEX('CASE MASTER'!$AB$2:$AB$495,(SUMPRODUCT((('CASE MASTER'!$T$2:$T$495=1)*('CASE MASTER'!$AA$2:$AA$495&lt;=10)*('CASE MASTER'!$AC$2:$AC$495&gt;=10)*('CASE MASTER'!$AB$2:$AB$495&lt;=9)*('CASE MASTER'!$AD$2:$AD$495&gt;=9))*ROW('CASE MASTER'!$T$2:$T$495))-(ROW('CASE MASTER'!#REF!)-1)))+1)+(9-INDEX('CASE MASTER'!$AB$2:$AB$495,(SUMPRODUCT((('CASE MASTER'!$T$2:$T$495=1)*('CASE MASTER'!$AA$2:$AA$495&lt;=10)*('CASE MASTER'!$AC$2:$AC$495&gt;=10)*('CASE MASTER'!$AB$2:$AB$495&lt;=9)*('CASE MASTER'!$AD$2:$AD$495&gt;=9))*ROW('CASE MASTER'!$T$2:$T$495))-(ROW('CASE MASTER'!#REF!)-1))))+1)))-1)*50+1,50))&amp;"_"&amp;INDEX('CASE MASTER'!$Q$2:$Q$495,(SUMPRODUCT((('CASE MASTER'!$T$2:$T$495=1)*('CASE MASTER'!$AA$2:$AA$495&lt;=10)*('CASE MASTER'!$AC$2:$AC$495&gt;=10)*('CASE MASTER'!$AB$2:$AB$495&lt;=9)*('CASE MASTER'!$AD$2:$AD$495&gt;=9))*ROW('CASE MASTER'!$T$2:$T$495))-(ROW('CASE MASTER'!#REF!)-1))),"")),"")</f>
        <v/>
      </c>
      <c r="K12" s="10" t="str">
        <f>IFERROR(IF(SUMPRODUCT((('CASE MASTER'!$T$2:$T$495=1)*('CASE MASTER'!$U$2:$U$495&lt;=10)*('CASE MASTER'!$W$2:$W$495&gt;=10)*('CASE MASTER'!$V$2:$V$495&lt;=10)*('CASE MASTER'!$X$2:$X$495&gt;=10))*ROW('CASE MASTER'!$T$2:$T$495))&gt;0,INDEX('CASE MASTER'!$Y$2:$Y$495,(SUMPRODUCT((('CASE MASTER'!$T$2:$T$495=1)*('CASE MASTER'!$U$2:$U$495&lt;=10)*('CASE MASTER'!$W$2:$W$495&gt;=10)*('CASE MASTER'!$V$2:$V$495&lt;=10)*('CASE MASTER'!$X$2:$X$495&gt;=10))*ROW('CASE MASTER'!$T$2:$T$495))-(ROW('CASE MASTER'!#REF!)-1)))&amp;TRIM(MID(SUBSTITUTE(SUBSTITUTE(INDEX('CASE MASTER'!$N$2:$N$495,(SUMPRODUCT((('CASE MASTER'!$T$2:$T$495=1)*('CASE MASTER'!$U$2:$U$495&lt;=10)*('CASE MASTER'!$W$2:$W$495&gt;=10)*('CASE MASTER'!$V$2:$V$495&lt;=10)*('CASE MASTER'!$X$2:$X$495&gt;=10))*ROW('CASE MASTER'!$T$2:$T$495))-(ROW('CASE MASTER'!#REF!)-1))),":",","),",",REPT(" ",50)),((((10-INDEX('CASE MASTER'!$U$2:$U$495,(SUMPRODUCT((('CASE MASTER'!$T$2:$T$495=1)*('CASE MASTER'!$U$2:$U$495&lt;=10)*('CASE MASTER'!$W$2:$W$495&gt;=10)*('CASE MASTER'!$V$2:$V$495&lt;=10)*('CASE MASTER'!$X$2:$X$495&gt;=10))*ROW('CASE MASTER'!$T$2:$T$495))-(ROW('CASE MASTER'!#REF!)-1))))*(INDEX('CASE MASTER'!$X$2:$X$495,(SUMPRODUCT((('CASE MASTER'!$T$2:$T$495=1)*('CASE MASTER'!$U$2:$U$495&lt;=10)*('CASE MASTER'!$W$2:$W$495&gt;=10)*('CASE MASTER'!$V$2:$V$495&lt;=10)*('CASE MASTER'!$X$2:$X$495&gt;=10))*ROW('CASE MASTER'!$T$2:$T$495))-(ROW('CASE MASTER'!#REF!)-1)))-INDEX('CASE MASTER'!$V$2:$V$495,(SUMPRODUCT((('CASE MASTER'!$T$2:$T$495=1)*('CASE MASTER'!$U$2:$U$495&lt;=10)*('CASE MASTER'!$W$2:$W$495&gt;=10)*('CASE MASTER'!$V$2:$V$495&lt;=10)*('CASE MASTER'!$X$2:$X$495&gt;=10))*ROW('CASE MASTER'!$T$2:$T$495))-(ROW('CASE MASTER'!#REF!)-1)))+1)+(10-INDEX('CASE MASTER'!$V$2:$V$495,(SUMPRODUCT((('CASE MASTER'!$T$2:$T$495=1)*('CASE MASTER'!$U$2:$U$495&lt;=10)*('CASE MASTER'!$W$2:$W$495&gt;=10)*('CASE MASTER'!$V$2:$V$495&lt;=10)*('CASE MASTER'!$X$2:$X$495&gt;=10))*ROW('CASE MASTER'!$T$2:$T$495))-(ROW('CASE MASTER'!#REF!)-1))))+1))-1)*50+1,50))&amp;"_"&amp;INDEX('CASE MASTER'!$Q$2:$Q$495,(SUMPRODUCT((('CASE MASTER'!$T$2:$T$495=1)*('CASE MASTER'!$U$2:$U$495&lt;=10)*('CASE MASTER'!$W$2:$W$495&gt;=10)*('CASE MASTER'!$V$2:$V$495&lt;=10)*('CASE MASTER'!$X$2:$X$495&gt;=10))*ROW('CASE MASTER'!$T$2:$T$495))-(ROW('CASE MASTER'!#REF!)-1))),IF(SUMPRODUCT((('CASE MASTER'!$T$2:$T$495=1)*('CASE MASTER'!$AA$2:$AA$495&lt;=10)*('CASE MASTER'!$AC$2:$AC$495&gt;=10)*('CASE MASTER'!$AB$2:$AB$495&lt;=10)*('CASE MASTER'!$AD$2:$AD$495&gt;=10))*ROW('CASE MASTER'!$T$2:$T$495))&gt;0,INDEX('CASE MASTER'!$Y$2:$Y$495,(SUMPRODUCT((('CASE MASTER'!$T$2:$T$495=1)*('CASE MASTER'!$AA$2:$AA$495&lt;=10)*('CASE MASTER'!$AC$2:$AC$495&gt;=10)*('CASE MASTER'!$AB$2:$AB$495&lt;=10)*('CASE MASTER'!$AD$2:$AD$495&gt;=10))*ROW('CASE MASTER'!$T$2:$T$495))-(ROW('CASE MASTER'!#REF!)-1)))&amp;TRIM(MID(SUBSTITUTE(SUBSTITUTE(INDEX('CASE MASTER'!$N$2:$N$495,(SUMPRODUCT((('CASE MASTER'!$T$2:$T$495=1)*('CASE MASTER'!$AA$2:$AA$495&lt;=10)*('CASE MASTER'!$AC$2:$AC$495&gt;=10)*('CASE MASTER'!$AB$2:$AB$495&lt;=10)*('CASE MASTER'!$AD$2:$AD$495&gt;=10))*ROW('CASE MASTER'!$T$2:$T$495))-(ROW('CASE MASTER'!#REF!)-1))),":",","),",",REPT(" ",50)),(((INDEX('CASE MASTER'!$Z$2:$Z$495,(SUMPRODUCT((('CASE MASTER'!$T$2:$T$495=1)*('CASE MASTER'!$AA$2:$AA$495&lt;=10)*('CASE MASTER'!$AC$2:$AC$495&gt;=10)*('CASE MASTER'!$AB$2:$AB$495&lt;=10)*('CASE MASTER'!$AD$2:$AD$495&gt;=10))*ROW('CASE MASTER'!$T$2:$T$495))-(ROW('CASE MASTER'!#REF!)-1)))+((10-INDEX('CASE MASTER'!$AA$2:$AA$495,(SUMPRODUCT((('CASE MASTER'!$T$2:$T$495=1)*('CASE MASTER'!$AA$2:$AA$495&lt;=10)*('CASE MASTER'!$AC$2:$AC$495&gt;=10)*('CASE MASTER'!$AB$2:$AB$495&lt;=10)*('CASE MASTER'!$AD$2:$AD$495&gt;=10))*ROW('CASE MASTER'!$T$2:$T$495))-(ROW('CASE MASTER'!#REF!)-1))))*(INDEX('CASE MASTER'!$AD$2:$AD$495,(SUMPRODUCT((('CASE MASTER'!$T$2:$T$495=1)*('CASE MASTER'!$AA$2:$AA$495&lt;=10)*('CASE MASTER'!$AC$2:$AC$495&gt;=10)*('CASE MASTER'!$AB$2:$AB$495&lt;=10)*('CASE MASTER'!$AD$2:$AD$495&gt;=10))*ROW('CASE MASTER'!$T$2:$T$495))-(ROW('CASE MASTER'!#REF!)-1)))-INDEX('CASE MASTER'!$AB$2:$AB$495,(SUMPRODUCT((('CASE MASTER'!$T$2:$T$495=1)*('CASE MASTER'!$AA$2:$AA$495&lt;=10)*('CASE MASTER'!$AC$2:$AC$495&gt;=10)*('CASE MASTER'!$AB$2:$AB$495&lt;=10)*('CASE MASTER'!$AD$2:$AD$495&gt;=10))*ROW('CASE MASTER'!$T$2:$T$495))-(ROW('CASE MASTER'!#REF!)-1)))+1)+(10-INDEX('CASE MASTER'!$AB$2:$AB$495,(SUMPRODUCT((('CASE MASTER'!$T$2:$T$495=1)*('CASE MASTER'!$AA$2:$AA$495&lt;=10)*('CASE MASTER'!$AC$2:$AC$495&gt;=10)*('CASE MASTER'!$AB$2:$AB$495&lt;=10)*('CASE MASTER'!$AD$2:$AD$495&gt;=10))*ROW('CASE MASTER'!$T$2:$T$495))-(ROW('CASE MASTER'!#REF!)-1))))+1)))-1)*50+1,50))&amp;"_"&amp;INDEX('CASE MASTER'!$Q$2:$Q$495,(SUMPRODUCT((('CASE MASTER'!$T$2:$T$495=1)*('CASE MASTER'!$AA$2:$AA$495&lt;=10)*('CASE MASTER'!$AC$2:$AC$495&gt;=10)*('CASE MASTER'!$AB$2:$AB$495&lt;=10)*('CASE MASTER'!$AD$2:$AD$495&gt;=10))*ROW('CASE MASTER'!$T$2:$T$495))-(ROW('CASE MASTER'!#REF!)-1))),"")),"")</f>
        <v/>
      </c>
    </row>
    <row r="15" spans="1:11" ht="15" customHeight="1" x14ac:dyDescent="0.35">
      <c r="A15" s="12" t="s">
        <v>83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</row>
    <row r="16" spans="1:11" ht="15" customHeight="1" x14ac:dyDescent="0.35">
      <c r="B16" s="8">
        <v>1</v>
      </c>
      <c r="C16" s="8">
        <v>2</v>
      </c>
      <c r="D16" s="8">
        <v>3</v>
      </c>
      <c r="E16" s="8">
        <v>4</v>
      </c>
      <c r="F16" s="8">
        <v>5</v>
      </c>
      <c r="G16" s="8">
        <v>6</v>
      </c>
      <c r="H16" s="8">
        <v>7</v>
      </c>
      <c r="I16" s="8">
        <v>8</v>
      </c>
      <c r="J16" s="8">
        <v>9</v>
      </c>
      <c r="K16" s="8">
        <v>10</v>
      </c>
    </row>
    <row r="17" spans="1:11" ht="15" customHeight="1" x14ac:dyDescent="0.35">
      <c r="A17" s="8" t="s">
        <v>28</v>
      </c>
      <c r="B17" s="10" t="str">
        <f>IFERROR(IF(SUMPRODUCT((('CASE MASTER'!$T$2:$T$495=2)*('CASE MASTER'!$U$2:$U$495&lt;=1)*('CASE MASTER'!$W$2:$W$495&gt;=1)*('CASE MASTER'!$V$2:$V$495&lt;=1)*('CASE MASTER'!$X$2:$X$495&gt;=1))*ROW('CASE MASTER'!$T$2:$T$495))&gt;0,INDEX('CASE MASTER'!$Y$2:$Y$495,(SUMPRODUCT((('CASE MASTER'!$T$2:$T$495=2)*('CASE MASTER'!$U$2:$U$495&lt;=1)*('CASE MASTER'!$W$2:$W$495&gt;=1)*('CASE MASTER'!$V$2:$V$495&lt;=1)*('CASE MASTER'!$X$2:$X$495&gt;=1))*ROW('CASE MASTER'!$T$2:$T$495))-(ROW('CASE MASTER'!#REF!)-1)))&amp;TRIM(MID(SUBSTITUTE(SUBSTITUTE(INDEX('CASE MASTER'!$N$2:$N$495,(SUMPRODUCT((('CASE MASTER'!$T$2:$T$495=2)*('CASE MASTER'!$U$2:$U$495&lt;=1)*('CASE MASTER'!$W$2:$W$495&gt;=1)*('CASE MASTER'!$V$2:$V$495&lt;=1)*('CASE MASTER'!$X$2:$X$495&gt;=1))*ROW('CASE MASTER'!$T$2:$T$495))-(ROW('CASE MASTER'!#REF!)-1))),":",","),",",REPT(" ",50)),((((1-INDEX('CASE MASTER'!$U$2:$U$495,(SUMPRODUCT((('CASE MASTER'!$T$2:$T$495=2)*('CASE MASTER'!$U$2:$U$495&lt;=1)*('CASE MASTER'!$W$2:$W$495&gt;=1)*('CASE MASTER'!$V$2:$V$495&lt;=1)*('CASE MASTER'!$X$2:$X$495&gt;=1))*ROW('CASE MASTER'!$T$2:$T$495))-(ROW('CASE MASTER'!#REF!)-1))))*(INDEX('CASE MASTER'!$X$2:$X$495,(SUMPRODUCT((('CASE MASTER'!$T$2:$T$495=2)*('CASE MASTER'!$U$2:$U$495&lt;=1)*('CASE MASTER'!$W$2:$W$495&gt;=1)*('CASE MASTER'!$V$2:$V$495&lt;=1)*('CASE MASTER'!$X$2:$X$495&gt;=1))*ROW('CASE MASTER'!$T$2:$T$495))-(ROW('CASE MASTER'!#REF!)-1)))-INDEX('CASE MASTER'!$V$2:$V$495,(SUMPRODUCT((('CASE MASTER'!$T$2:$T$495=2)*('CASE MASTER'!$U$2:$U$495&lt;=1)*('CASE MASTER'!$W$2:$W$495&gt;=1)*('CASE MASTER'!$V$2:$V$495&lt;=1)*('CASE MASTER'!$X$2:$X$495&gt;=1))*ROW('CASE MASTER'!$T$2:$T$495))-(ROW('CASE MASTER'!#REF!)-1)))+1)+(1-INDEX('CASE MASTER'!$V$2:$V$495,(SUMPRODUCT((('CASE MASTER'!$T$2:$T$495=2)*('CASE MASTER'!$U$2:$U$495&lt;=1)*('CASE MASTER'!$W$2:$W$495&gt;=1)*('CASE MASTER'!$V$2:$V$495&lt;=1)*('CASE MASTER'!$X$2:$X$495&gt;=1))*ROW('CASE MASTER'!$T$2:$T$495))-(ROW('CASE MASTER'!#REF!)-1))))+1))-1)*50+1,50))&amp;"_"&amp;INDEX('CASE MASTER'!$Q$2:$Q$495,(SUMPRODUCT((('CASE MASTER'!$T$2:$T$495=2)*('CASE MASTER'!$U$2:$U$495&lt;=1)*('CASE MASTER'!$W$2:$W$495&gt;=1)*('CASE MASTER'!$V$2:$V$495&lt;=1)*('CASE MASTER'!$X$2:$X$495&gt;=1))*ROW('CASE MASTER'!$T$2:$T$495))-(ROW('CASE MASTER'!#REF!)-1))),IF(SUMPRODUCT((('CASE MASTER'!$T$2:$T$495=2)*('CASE MASTER'!$AA$2:$AA$495&lt;=1)*('CASE MASTER'!$AC$2:$AC$495&gt;=1)*('CASE MASTER'!$AB$2:$AB$495&lt;=1)*('CASE MASTER'!$AD$2:$AD$495&gt;=1))*ROW('CASE MASTER'!$T$2:$T$495))&gt;0,INDEX('CASE MASTER'!$Y$2:$Y$495,(SUMPRODUCT((('CASE MASTER'!$T$2:$T$495=2)*('CASE MASTER'!$AA$2:$AA$495&lt;=1)*('CASE MASTER'!$AC$2:$AC$495&gt;=1)*('CASE MASTER'!$AB$2:$AB$495&lt;=1)*('CASE MASTER'!$AD$2:$AD$495&gt;=1))*ROW('CASE MASTER'!$T$2:$T$495))-(ROW('CASE MASTER'!#REF!)-1)))&amp;TRIM(MID(SUBSTITUTE(SUBSTITUTE(INDEX('CASE MASTER'!$N$2:$N$495,(SUMPRODUCT((('CASE MASTER'!$T$2:$T$495=2)*('CASE MASTER'!$AA$2:$AA$495&lt;=1)*('CASE MASTER'!$AC$2:$AC$495&gt;=1)*('CASE MASTER'!$AB$2:$AB$495&lt;=1)*('CASE MASTER'!$AD$2:$AD$495&gt;=1))*ROW('CASE MASTER'!$T$2:$T$495))-(ROW('CASE MASTER'!#REF!)-1))),":",","),",",REPT(" ",50)),(((INDEX('CASE MASTER'!$Z$2:$Z$495,(SUMPRODUCT((('CASE MASTER'!$T$2:$T$495=2)*('CASE MASTER'!$AA$2:$AA$495&lt;=1)*('CASE MASTER'!$AC$2:$AC$495&gt;=1)*('CASE MASTER'!$AB$2:$AB$495&lt;=1)*('CASE MASTER'!$AD$2:$AD$495&gt;=1))*ROW('CASE MASTER'!$T$2:$T$495))-(ROW('CASE MASTER'!#REF!)-1)))+((1-INDEX('CASE MASTER'!$AA$2:$AA$495,(SUMPRODUCT((('CASE MASTER'!$T$2:$T$495=2)*('CASE MASTER'!$AA$2:$AA$495&lt;=1)*('CASE MASTER'!$AC$2:$AC$495&gt;=1)*('CASE MASTER'!$AB$2:$AB$495&lt;=1)*('CASE MASTER'!$AD$2:$AD$495&gt;=1))*ROW('CASE MASTER'!$T$2:$T$495))-(ROW('CASE MASTER'!#REF!)-1))))*(INDEX('CASE MASTER'!$AD$2:$AD$495,(SUMPRODUCT((('CASE MASTER'!$T$2:$T$495=2)*('CASE MASTER'!$AA$2:$AA$495&lt;=1)*('CASE MASTER'!$AC$2:$AC$495&gt;=1)*('CASE MASTER'!$AB$2:$AB$495&lt;=1)*('CASE MASTER'!$AD$2:$AD$495&gt;=1))*ROW('CASE MASTER'!$T$2:$T$495))-(ROW('CASE MASTER'!#REF!)-1)))-INDEX('CASE MASTER'!$AB$2:$AB$495,(SUMPRODUCT((('CASE MASTER'!$T$2:$T$495=2)*('CASE MASTER'!$AA$2:$AA$495&lt;=1)*('CASE MASTER'!$AC$2:$AC$495&gt;=1)*('CASE MASTER'!$AB$2:$AB$495&lt;=1)*('CASE MASTER'!$AD$2:$AD$495&gt;=1))*ROW('CASE MASTER'!$T$2:$T$495))-(ROW('CASE MASTER'!#REF!)-1)))+1)+(1-INDEX('CASE MASTER'!$AB$2:$AB$495,(SUMPRODUCT((('CASE MASTER'!$T$2:$T$495=2)*('CASE MASTER'!$AA$2:$AA$495&lt;=1)*('CASE MASTER'!$AC$2:$AC$495&gt;=1)*('CASE MASTER'!$AB$2:$AB$495&lt;=1)*('CASE MASTER'!$AD$2:$AD$495&gt;=1))*ROW('CASE MASTER'!$T$2:$T$495))-(ROW('CASE MASTER'!#REF!)-1))))+1)))-1)*50+1,50))&amp;"_"&amp;INDEX('CASE MASTER'!$Q$2:$Q$495,(SUMPRODUCT((('CASE MASTER'!$T$2:$T$495=2)*('CASE MASTER'!$AA$2:$AA$495&lt;=1)*('CASE MASTER'!$AC$2:$AC$495&gt;=1)*('CASE MASTER'!$AB$2:$AB$495&lt;=1)*('CASE MASTER'!$AD$2:$AD$495&gt;=1))*ROW('CASE MASTER'!$T$2:$T$495))-(ROW('CASE MASTER'!#REF!)-1))),"")),"")</f>
        <v/>
      </c>
      <c r="C17" s="10" t="str">
        <f>IFERROR(IF(SUMPRODUCT((('CASE MASTER'!$T$2:$T$495=2)*('CASE MASTER'!$U$2:$U$495&lt;=1)*('CASE MASTER'!$W$2:$W$495&gt;=1)*('CASE MASTER'!$V$2:$V$495&lt;=2)*('CASE MASTER'!$X$2:$X$495&gt;=2))*ROW('CASE MASTER'!$T$2:$T$495))&gt;0,INDEX('CASE MASTER'!$Y$2:$Y$495,(SUMPRODUCT((('CASE MASTER'!$T$2:$T$495=2)*('CASE MASTER'!$U$2:$U$495&lt;=1)*('CASE MASTER'!$W$2:$W$495&gt;=1)*('CASE MASTER'!$V$2:$V$495&lt;=2)*('CASE MASTER'!$X$2:$X$495&gt;=2))*ROW('CASE MASTER'!$T$2:$T$495))-(ROW('CASE MASTER'!#REF!)-1)))&amp;TRIM(MID(SUBSTITUTE(SUBSTITUTE(INDEX('CASE MASTER'!$N$2:$N$495,(SUMPRODUCT((('CASE MASTER'!$T$2:$T$495=2)*('CASE MASTER'!$U$2:$U$495&lt;=1)*('CASE MASTER'!$W$2:$W$495&gt;=1)*('CASE MASTER'!$V$2:$V$495&lt;=2)*('CASE MASTER'!$X$2:$X$495&gt;=2))*ROW('CASE MASTER'!$T$2:$T$495))-(ROW('CASE MASTER'!#REF!)-1))),":",","),",",REPT(" ",50)),((((1-INDEX('CASE MASTER'!$U$2:$U$495,(SUMPRODUCT((('CASE MASTER'!$T$2:$T$495=2)*('CASE MASTER'!$U$2:$U$495&lt;=1)*('CASE MASTER'!$W$2:$W$495&gt;=1)*('CASE MASTER'!$V$2:$V$495&lt;=2)*('CASE MASTER'!$X$2:$X$495&gt;=2))*ROW('CASE MASTER'!$T$2:$T$495))-(ROW('CASE MASTER'!#REF!)-1))))*(INDEX('CASE MASTER'!$X$2:$X$495,(SUMPRODUCT((('CASE MASTER'!$T$2:$T$495=2)*('CASE MASTER'!$U$2:$U$495&lt;=1)*('CASE MASTER'!$W$2:$W$495&gt;=1)*('CASE MASTER'!$V$2:$V$495&lt;=2)*('CASE MASTER'!$X$2:$X$495&gt;=2))*ROW('CASE MASTER'!$T$2:$T$495))-(ROW('CASE MASTER'!#REF!)-1)))-INDEX('CASE MASTER'!$V$2:$V$495,(SUMPRODUCT((('CASE MASTER'!$T$2:$T$495=2)*('CASE MASTER'!$U$2:$U$495&lt;=1)*('CASE MASTER'!$W$2:$W$495&gt;=1)*('CASE MASTER'!$V$2:$V$495&lt;=2)*('CASE MASTER'!$X$2:$X$495&gt;=2))*ROW('CASE MASTER'!$T$2:$T$495))-(ROW('CASE MASTER'!#REF!)-1)))+1)+(2-INDEX('CASE MASTER'!$V$2:$V$495,(SUMPRODUCT((('CASE MASTER'!$T$2:$T$495=2)*('CASE MASTER'!$U$2:$U$495&lt;=1)*('CASE MASTER'!$W$2:$W$495&gt;=1)*('CASE MASTER'!$V$2:$V$495&lt;=2)*('CASE MASTER'!$X$2:$X$495&gt;=2))*ROW('CASE MASTER'!$T$2:$T$495))-(ROW('CASE MASTER'!#REF!)-1))))+1))-1)*50+1,50))&amp;"_"&amp;INDEX('CASE MASTER'!$Q$2:$Q$495,(SUMPRODUCT((('CASE MASTER'!$T$2:$T$495=2)*('CASE MASTER'!$U$2:$U$495&lt;=1)*('CASE MASTER'!$W$2:$W$495&gt;=1)*('CASE MASTER'!$V$2:$V$495&lt;=2)*('CASE MASTER'!$X$2:$X$495&gt;=2))*ROW('CASE MASTER'!$T$2:$T$495))-(ROW('CASE MASTER'!#REF!)-1))),IF(SUMPRODUCT((('CASE MASTER'!$T$2:$T$495=2)*('CASE MASTER'!$AA$2:$AA$495&lt;=1)*('CASE MASTER'!$AC$2:$AC$495&gt;=1)*('CASE MASTER'!$AB$2:$AB$495&lt;=2)*('CASE MASTER'!$AD$2:$AD$495&gt;=2))*ROW('CASE MASTER'!$T$2:$T$495))&gt;0,INDEX('CASE MASTER'!$Y$2:$Y$495,(SUMPRODUCT((('CASE MASTER'!$T$2:$T$495=2)*('CASE MASTER'!$AA$2:$AA$495&lt;=1)*('CASE MASTER'!$AC$2:$AC$495&gt;=1)*('CASE MASTER'!$AB$2:$AB$495&lt;=2)*('CASE MASTER'!$AD$2:$AD$495&gt;=2))*ROW('CASE MASTER'!$T$2:$T$495))-(ROW('CASE MASTER'!#REF!)-1)))&amp;TRIM(MID(SUBSTITUTE(SUBSTITUTE(INDEX('CASE MASTER'!$N$2:$N$495,(SUMPRODUCT((('CASE MASTER'!$T$2:$T$495=2)*('CASE MASTER'!$AA$2:$AA$495&lt;=1)*('CASE MASTER'!$AC$2:$AC$495&gt;=1)*('CASE MASTER'!$AB$2:$AB$495&lt;=2)*('CASE MASTER'!$AD$2:$AD$495&gt;=2))*ROW('CASE MASTER'!$T$2:$T$495))-(ROW('CASE MASTER'!#REF!)-1))),":",","),",",REPT(" ",50)),(((INDEX('CASE MASTER'!$Z$2:$Z$495,(SUMPRODUCT((('CASE MASTER'!$T$2:$T$495=2)*('CASE MASTER'!$AA$2:$AA$495&lt;=1)*('CASE MASTER'!$AC$2:$AC$495&gt;=1)*('CASE MASTER'!$AB$2:$AB$495&lt;=2)*('CASE MASTER'!$AD$2:$AD$495&gt;=2))*ROW('CASE MASTER'!$T$2:$T$495))-(ROW('CASE MASTER'!#REF!)-1)))+((1-INDEX('CASE MASTER'!$AA$2:$AA$495,(SUMPRODUCT((('CASE MASTER'!$T$2:$T$495=2)*('CASE MASTER'!$AA$2:$AA$495&lt;=1)*('CASE MASTER'!$AC$2:$AC$495&gt;=1)*('CASE MASTER'!$AB$2:$AB$495&lt;=2)*('CASE MASTER'!$AD$2:$AD$495&gt;=2))*ROW('CASE MASTER'!$T$2:$T$495))-(ROW('CASE MASTER'!#REF!)-1))))*(INDEX('CASE MASTER'!$AD$2:$AD$495,(SUMPRODUCT((('CASE MASTER'!$T$2:$T$495=2)*('CASE MASTER'!$AA$2:$AA$495&lt;=1)*('CASE MASTER'!$AC$2:$AC$495&gt;=1)*('CASE MASTER'!$AB$2:$AB$495&lt;=2)*('CASE MASTER'!$AD$2:$AD$495&gt;=2))*ROW('CASE MASTER'!$T$2:$T$495))-(ROW('CASE MASTER'!#REF!)-1)))-INDEX('CASE MASTER'!$AB$2:$AB$495,(SUMPRODUCT((('CASE MASTER'!$T$2:$T$495=2)*('CASE MASTER'!$AA$2:$AA$495&lt;=1)*('CASE MASTER'!$AC$2:$AC$495&gt;=1)*('CASE MASTER'!$AB$2:$AB$495&lt;=2)*('CASE MASTER'!$AD$2:$AD$495&gt;=2))*ROW('CASE MASTER'!$T$2:$T$495))-(ROW('CASE MASTER'!#REF!)-1)))+1)+(2-INDEX('CASE MASTER'!$AB$2:$AB$495,(SUMPRODUCT((('CASE MASTER'!$T$2:$T$495=2)*('CASE MASTER'!$AA$2:$AA$495&lt;=1)*('CASE MASTER'!$AC$2:$AC$495&gt;=1)*('CASE MASTER'!$AB$2:$AB$495&lt;=2)*('CASE MASTER'!$AD$2:$AD$495&gt;=2))*ROW('CASE MASTER'!$T$2:$T$495))-(ROW('CASE MASTER'!#REF!)-1))))+1)))-1)*50+1,50))&amp;"_"&amp;INDEX('CASE MASTER'!$Q$2:$Q$495,(SUMPRODUCT((('CASE MASTER'!$T$2:$T$495=2)*('CASE MASTER'!$AA$2:$AA$495&lt;=1)*('CASE MASTER'!$AC$2:$AC$495&gt;=1)*('CASE MASTER'!$AB$2:$AB$495&lt;=2)*('CASE MASTER'!$AD$2:$AD$495&gt;=2))*ROW('CASE MASTER'!$T$2:$T$495))-(ROW('CASE MASTER'!#REF!)-1))),"")),"")</f>
        <v/>
      </c>
      <c r="D17" s="10" t="str">
        <f>IFERROR(IF(SUMPRODUCT((('CASE MASTER'!$T$2:$T$495=2)*('CASE MASTER'!$U$2:$U$495&lt;=1)*('CASE MASTER'!$W$2:$W$495&gt;=1)*('CASE MASTER'!$V$2:$V$495&lt;=3)*('CASE MASTER'!$X$2:$X$495&gt;=3))*ROW('CASE MASTER'!$T$2:$T$495))&gt;0,INDEX('CASE MASTER'!$Y$2:$Y$495,(SUMPRODUCT((('CASE MASTER'!$T$2:$T$495=2)*('CASE MASTER'!$U$2:$U$495&lt;=1)*('CASE MASTER'!$W$2:$W$495&gt;=1)*('CASE MASTER'!$V$2:$V$495&lt;=3)*('CASE MASTER'!$X$2:$X$495&gt;=3))*ROW('CASE MASTER'!$T$2:$T$495))-(ROW('CASE MASTER'!#REF!)-1)))&amp;TRIM(MID(SUBSTITUTE(SUBSTITUTE(INDEX('CASE MASTER'!$N$2:$N$495,(SUMPRODUCT((('CASE MASTER'!$T$2:$T$495=2)*('CASE MASTER'!$U$2:$U$495&lt;=1)*('CASE MASTER'!$W$2:$W$495&gt;=1)*('CASE MASTER'!$V$2:$V$495&lt;=3)*('CASE MASTER'!$X$2:$X$495&gt;=3))*ROW('CASE MASTER'!$T$2:$T$495))-(ROW('CASE MASTER'!#REF!)-1))),":",","),",",REPT(" ",50)),((((1-INDEX('CASE MASTER'!$U$2:$U$495,(SUMPRODUCT((('CASE MASTER'!$T$2:$T$495=2)*('CASE MASTER'!$U$2:$U$495&lt;=1)*('CASE MASTER'!$W$2:$W$495&gt;=1)*('CASE MASTER'!$V$2:$V$495&lt;=3)*('CASE MASTER'!$X$2:$X$495&gt;=3))*ROW('CASE MASTER'!$T$2:$T$495))-(ROW('CASE MASTER'!#REF!)-1))))*(INDEX('CASE MASTER'!$X$2:$X$495,(SUMPRODUCT((('CASE MASTER'!$T$2:$T$495=2)*('CASE MASTER'!$U$2:$U$495&lt;=1)*('CASE MASTER'!$W$2:$W$495&gt;=1)*('CASE MASTER'!$V$2:$V$495&lt;=3)*('CASE MASTER'!$X$2:$X$495&gt;=3))*ROW('CASE MASTER'!$T$2:$T$495))-(ROW('CASE MASTER'!#REF!)-1)))-INDEX('CASE MASTER'!$V$2:$V$495,(SUMPRODUCT((('CASE MASTER'!$T$2:$T$495=2)*('CASE MASTER'!$U$2:$U$495&lt;=1)*('CASE MASTER'!$W$2:$W$495&gt;=1)*('CASE MASTER'!$V$2:$V$495&lt;=3)*('CASE MASTER'!$X$2:$X$495&gt;=3))*ROW('CASE MASTER'!$T$2:$T$495))-(ROW('CASE MASTER'!#REF!)-1)))+1)+(3-INDEX('CASE MASTER'!$V$2:$V$495,(SUMPRODUCT((('CASE MASTER'!$T$2:$T$495=2)*('CASE MASTER'!$U$2:$U$495&lt;=1)*('CASE MASTER'!$W$2:$W$495&gt;=1)*('CASE MASTER'!$V$2:$V$495&lt;=3)*('CASE MASTER'!$X$2:$X$495&gt;=3))*ROW('CASE MASTER'!$T$2:$T$495))-(ROW('CASE MASTER'!#REF!)-1))))+1))-1)*50+1,50))&amp;"_"&amp;INDEX('CASE MASTER'!$Q$2:$Q$495,(SUMPRODUCT((('CASE MASTER'!$T$2:$T$495=2)*('CASE MASTER'!$U$2:$U$495&lt;=1)*('CASE MASTER'!$W$2:$W$495&gt;=1)*('CASE MASTER'!$V$2:$V$495&lt;=3)*('CASE MASTER'!$X$2:$X$495&gt;=3))*ROW('CASE MASTER'!$T$2:$T$495))-(ROW('CASE MASTER'!#REF!)-1))),IF(SUMPRODUCT((('CASE MASTER'!$T$2:$T$495=2)*('CASE MASTER'!$AA$2:$AA$495&lt;=1)*('CASE MASTER'!$AC$2:$AC$495&gt;=1)*('CASE MASTER'!$AB$2:$AB$495&lt;=3)*('CASE MASTER'!$AD$2:$AD$495&gt;=3))*ROW('CASE MASTER'!$T$2:$T$495))&gt;0,INDEX('CASE MASTER'!$Y$2:$Y$495,(SUMPRODUCT((('CASE MASTER'!$T$2:$T$495=2)*('CASE MASTER'!$AA$2:$AA$495&lt;=1)*('CASE MASTER'!$AC$2:$AC$495&gt;=1)*('CASE MASTER'!$AB$2:$AB$495&lt;=3)*('CASE MASTER'!$AD$2:$AD$495&gt;=3))*ROW('CASE MASTER'!$T$2:$T$495))-(ROW('CASE MASTER'!#REF!)-1)))&amp;TRIM(MID(SUBSTITUTE(SUBSTITUTE(INDEX('CASE MASTER'!$N$2:$N$495,(SUMPRODUCT((('CASE MASTER'!$T$2:$T$495=2)*('CASE MASTER'!$AA$2:$AA$495&lt;=1)*('CASE MASTER'!$AC$2:$AC$495&gt;=1)*('CASE MASTER'!$AB$2:$AB$495&lt;=3)*('CASE MASTER'!$AD$2:$AD$495&gt;=3))*ROW('CASE MASTER'!$T$2:$T$495))-(ROW('CASE MASTER'!#REF!)-1))),":",","),",",REPT(" ",50)),(((INDEX('CASE MASTER'!$Z$2:$Z$495,(SUMPRODUCT((('CASE MASTER'!$T$2:$T$495=2)*('CASE MASTER'!$AA$2:$AA$495&lt;=1)*('CASE MASTER'!$AC$2:$AC$495&gt;=1)*('CASE MASTER'!$AB$2:$AB$495&lt;=3)*('CASE MASTER'!$AD$2:$AD$495&gt;=3))*ROW('CASE MASTER'!$T$2:$T$495))-(ROW('CASE MASTER'!#REF!)-1)))+((1-INDEX('CASE MASTER'!$AA$2:$AA$495,(SUMPRODUCT((('CASE MASTER'!$T$2:$T$495=2)*('CASE MASTER'!$AA$2:$AA$495&lt;=1)*('CASE MASTER'!$AC$2:$AC$495&gt;=1)*('CASE MASTER'!$AB$2:$AB$495&lt;=3)*('CASE MASTER'!$AD$2:$AD$495&gt;=3))*ROW('CASE MASTER'!$T$2:$T$495))-(ROW('CASE MASTER'!#REF!)-1))))*(INDEX('CASE MASTER'!$AD$2:$AD$495,(SUMPRODUCT((('CASE MASTER'!$T$2:$T$495=2)*('CASE MASTER'!$AA$2:$AA$495&lt;=1)*('CASE MASTER'!$AC$2:$AC$495&gt;=1)*('CASE MASTER'!$AB$2:$AB$495&lt;=3)*('CASE MASTER'!$AD$2:$AD$495&gt;=3))*ROW('CASE MASTER'!$T$2:$T$495))-(ROW('CASE MASTER'!#REF!)-1)))-INDEX('CASE MASTER'!$AB$2:$AB$495,(SUMPRODUCT((('CASE MASTER'!$T$2:$T$495=2)*('CASE MASTER'!$AA$2:$AA$495&lt;=1)*('CASE MASTER'!$AC$2:$AC$495&gt;=1)*('CASE MASTER'!$AB$2:$AB$495&lt;=3)*('CASE MASTER'!$AD$2:$AD$495&gt;=3))*ROW('CASE MASTER'!$T$2:$T$495))-(ROW('CASE MASTER'!#REF!)-1)))+1)+(3-INDEX('CASE MASTER'!$AB$2:$AB$495,(SUMPRODUCT((('CASE MASTER'!$T$2:$T$495=2)*('CASE MASTER'!$AA$2:$AA$495&lt;=1)*('CASE MASTER'!$AC$2:$AC$495&gt;=1)*('CASE MASTER'!$AB$2:$AB$495&lt;=3)*('CASE MASTER'!$AD$2:$AD$495&gt;=3))*ROW('CASE MASTER'!$T$2:$T$495))-(ROW('CASE MASTER'!#REF!)-1))))+1)))-1)*50+1,50))&amp;"_"&amp;INDEX('CASE MASTER'!$Q$2:$Q$495,(SUMPRODUCT((('CASE MASTER'!$T$2:$T$495=2)*('CASE MASTER'!$AA$2:$AA$495&lt;=1)*('CASE MASTER'!$AC$2:$AC$495&gt;=1)*('CASE MASTER'!$AB$2:$AB$495&lt;=3)*('CASE MASTER'!$AD$2:$AD$495&gt;=3))*ROW('CASE MASTER'!$T$2:$T$495))-(ROW('CASE MASTER'!#REF!)-1))),"")),"")</f>
        <v/>
      </c>
      <c r="E17" s="10" t="str">
        <f>IFERROR(IF(SUMPRODUCT((('CASE MASTER'!$T$2:$T$495=2)*('CASE MASTER'!$U$2:$U$495&lt;=1)*('CASE MASTER'!$W$2:$W$495&gt;=1)*('CASE MASTER'!$V$2:$V$495&lt;=4)*('CASE MASTER'!$X$2:$X$495&gt;=4))*ROW('CASE MASTER'!$T$2:$T$495))&gt;0,INDEX('CASE MASTER'!$Y$2:$Y$495,(SUMPRODUCT((('CASE MASTER'!$T$2:$T$495=2)*('CASE MASTER'!$U$2:$U$495&lt;=1)*('CASE MASTER'!$W$2:$W$495&gt;=1)*('CASE MASTER'!$V$2:$V$495&lt;=4)*('CASE MASTER'!$X$2:$X$495&gt;=4))*ROW('CASE MASTER'!$T$2:$T$495))-(ROW('CASE MASTER'!#REF!)-1)))&amp;TRIM(MID(SUBSTITUTE(SUBSTITUTE(INDEX('CASE MASTER'!$N$2:$N$495,(SUMPRODUCT((('CASE MASTER'!$T$2:$T$495=2)*('CASE MASTER'!$U$2:$U$495&lt;=1)*('CASE MASTER'!$W$2:$W$495&gt;=1)*('CASE MASTER'!$V$2:$V$495&lt;=4)*('CASE MASTER'!$X$2:$X$495&gt;=4))*ROW('CASE MASTER'!$T$2:$T$495))-(ROW('CASE MASTER'!#REF!)-1))),":",","),",",REPT(" ",50)),((((1-INDEX('CASE MASTER'!$U$2:$U$495,(SUMPRODUCT((('CASE MASTER'!$T$2:$T$495=2)*('CASE MASTER'!$U$2:$U$495&lt;=1)*('CASE MASTER'!$W$2:$W$495&gt;=1)*('CASE MASTER'!$V$2:$V$495&lt;=4)*('CASE MASTER'!$X$2:$X$495&gt;=4))*ROW('CASE MASTER'!$T$2:$T$495))-(ROW('CASE MASTER'!#REF!)-1))))*(INDEX('CASE MASTER'!$X$2:$X$495,(SUMPRODUCT((('CASE MASTER'!$T$2:$T$495=2)*('CASE MASTER'!$U$2:$U$495&lt;=1)*('CASE MASTER'!$W$2:$W$495&gt;=1)*('CASE MASTER'!$V$2:$V$495&lt;=4)*('CASE MASTER'!$X$2:$X$495&gt;=4))*ROW('CASE MASTER'!$T$2:$T$495))-(ROW('CASE MASTER'!#REF!)-1)))-INDEX('CASE MASTER'!$V$2:$V$495,(SUMPRODUCT((('CASE MASTER'!$T$2:$T$495=2)*('CASE MASTER'!$U$2:$U$495&lt;=1)*('CASE MASTER'!$W$2:$W$495&gt;=1)*('CASE MASTER'!$V$2:$V$495&lt;=4)*('CASE MASTER'!$X$2:$X$495&gt;=4))*ROW('CASE MASTER'!$T$2:$T$495))-(ROW('CASE MASTER'!#REF!)-1)))+1)+(4-INDEX('CASE MASTER'!$V$2:$V$495,(SUMPRODUCT((('CASE MASTER'!$T$2:$T$495=2)*('CASE MASTER'!$U$2:$U$495&lt;=1)*('CASE MASTER'!$W$2:$W$495&gt;=1)*('CASE MASTER'!$V$2:$V$495&lt;=4)*('CASE MASTER'!$X$2:$X$495&gt;=4))*ROW('CASE MASTER'!$T$2:$T$495))-(ROW('CASE MASTER'!#REF!)-1))))+1))-1)*50+1,50))&amp;"_"&amp;INDEX('CASE MASTER'!$Q$2:$Q$495,(SUMPRODUCT((('CASE MASTER'!$T$2:$T$495=2)*('CASE MASTER'!$U$2:$U$495&lt;=1)*('CASE MASTER'!$W$2:$W$495&gt;=1)*('CASE MASTER'!$V$2:$V$495&lt;=4)*('CASE MASTER'!$X$2:$X$495&gt;=4))*ROW('CASE MASTER'!$T$2:$T$495))-(ROW('CASE MASTER'!#REF!)-1))),IF(SUMPRODUCT((('CASE MASTER'!$T$2:$T$495=2)*('CASE MASTER'!$AA$2:$AA$495&lt;=1)*('CASE MASTER'!$AC$2:$AC$495&gt;=1)*('CASE MASTER'!$AB$2:$AB$495&lt;=4)*('CASE MASTER'!$AD$2:$AD$495&gt;=4))*ROW('CASE MASTER'!$T$2:$T$495))&gt;0,INDEX('CASE MASTER'!$Y$2:$Y$495,(SUMPRODUCT((('CASE MASTER'!$T$2:$T$495=2)*('CASE MASTER'!$AA$2:$AA$495&lt;=1)*('CASE MASTER'!$AC$2:$AC$495&gt;=1)*('CASE MASTER'!$AB$2:$AB$495&lt;=4)*('CASE MASTER'!$AD$2:$AD$495&gt;=4))*ROW('CASE MASTER'!$T$2:$T$495))-(ROW('CASE MASTER'!#REF!)-1)))&amp;TRIM(MID(SUBSTITUTE(SUBSTITUTE(INDEX('CASE MASTER'!$N$2:$N$495,(SUMPRODUCT((('CASE MASTER'!$T$2:$T$495=2)*('CASE MASTER'!$AA$2:$AA$495&lt;=1)*('CASE MASTER'!$AC$2:$AC$495&gt;=1)*('CASE MASTER'!$AB$2:$AB$495&lt;=4)*('CASE MASTER'!$AD$2:$AD$495&gt;=4))*ROW('CASE MASTER'!$T$2:$T$495))-(ROW('CASE MASTER'!#REF!)-1))),":",","),",",REPT(" ",50)),(((INDEX('CASE MASTER'!$Z$2:$Z$495,(SUMPRODUCT((('CASE MASTER'!$T$2:$T$495=2)*('CASE MASTER'!$AA$2:$AA$495&lt;=1)*('CASE MASTER'!$AC$2:$AC$495&gt;=1)*('CASE MASTER'!$AB$2:$AB$495&lt;=4)*('CASE MASTER'!$AD$2:$AD$495&gt;=4))*ROW('CASE MASTER'!$T$2:$T$495))-(ROW('CASE MASTER'!#REF!)-1)))+((1-INDEX('CASE MASTER'!$AA$2:$AA$495,(SUMPRODUCT((('CASE MASTER'!$T$2:$T$495=2)*('CASE MASTER'!$AA$2:$AA$495&lt;=1)*('CASE MASTER'!$AC$2:$AC$495&gt;=1)*('CASE MASTER'!$AB$2:$AB$495&lt;=4)*('CASE MASTER'!$AD$2:$AD$495&gt;=4))*ROW('CASE MASTER'!$T$2:$T$495))-(ROW('CASE MASTER'!#REF!)-1))))*(INDEX('CASE MASTER'!$AD$2:$AD$495,(SUMPRODUCT((('CASE MASTER'!$T$2:$T$495=2)*('CASE MASTER'!$AA$2:$AA$495&lt;=1)*('CASE MASTER'!$AC$2:$AC$495&gt;=1)*('CASE MASTER'!$AB$2:$AB$495&lt;=4)*('CASE MASTER'!$AD$2:$AD$495&gt;=4))*ROW('CASE MASTER'!$T$2:$T$495))-(ROW('CASE MASTER'!#REF!)-1)))-INDEX('CASE MASTER'!$AB$2:$AB$495,(SUMPRODUCT((('CASE MASTER'!$T$2:$T$495=2)*('CASE MASTER'!$AA$2:$AA$495&lt;=1)*('CASE MASTER'!$AC$2:$AC$495&gt;=1)*('CASE MASTER'!$AB$2:$AB$495&lt;=4)*('CASE MASTER'!$AD$2:$AD$495&gt;=4))*ROW('CASE MASTER'!$T$2:$T$495))-(ROW('CASE MASTER'!#REF!)-1)))+1)+(4-INDEX('CASE MASTER'!$AB$2:$AB$495,(SUMPRODUCT((('CASE MASTER'!$T$2:$T$495=2)*('CASE MASTER'!$AA$2:$AA$495&lt;=1)*('CASE MASTER'!$AC$2:$AC$495&gt;=1)*('CASE MASTER'!$AB$2:$AB$495&lt;=4)*('CASE MASTER'!$AD$2:$AD$495&gt;=4))*ROW('CASE MASTER'!$T$2:$T$495))-(ROW('CASE MASTER'!#REF!)-1))))+1)))-1)*50+1,50))&amp;"_"&amp;INDEX('CASE MASTER'!$Q$2:$Q$495,(SUMPRODUCT((('CASE MASTER'!$T$2:$T$495=2)*('CASE MASTER'!$AA$2:$AA$495&lt;=1)*('CASE MASTER'!$AC$2:$AC$495&gt;=1)*('CASE MASTER'!$AB$2:$AB$495&lt;=4)*('CASE MASTER'!$AD$2:$AD$495&gt;=4))*ROW('CASE MASTER'!$T$2:$T$495))-(ROW('CASE MASTER'!#REF!)-1))),"")),"")</f>
        <v/>
      </c>
      <c r="F17" s="10" t="str">
        <f>IFERROR(IF(SUMPRODUCT((('CASE MASTER'!$T$2:$T$495=2)*('CASE MASTER'!$U$2:$U$495&lt;=1)*('CASE MASTER'!$W$2:$W$495&gt;=1)*('CASE MASTER'!$V$2:$V$495&lt;=5)*('CASE MASTER'!$X$2:$X$495&gt;=5))*ROW('CASE MASTER'!$T$2:$T$495))&gt;0,INDEX('CASE MASTER'!$Y$2:$Y$495,(SUMPRODUCT((('CASE MASTER'!$T$2:$T$495=2)*('CASE MASTER'!$U$2:$U$495&lt;=1)*('CASE MASTER'!$W$2:$W$495&gt;=1)*('CASE MASTER'!$V$2:$V$495&lt;=5)*('CASE MASTER'!$X$2:$X$495&gt;=5))*ROW('CASE MASTER'!$T$2:$T$495))-(ROW('CASE MASTER'!#REF!)-1)))&amp;TRIM(MID(SUBSTITUTE(SUBSTITUTE(INDEX('CASE MASTER'!$N$2:$N$495,(SUMPRODUCT((('CASE MASTER'!$T$2:$T$495=2)*('CASE MASTER'!$U$2:$U$495&lt;=1)*('CASE MASTER'!$W$2:$W$495&gt;=1)*('CASE MASTER'!$V$2:$V$495&lt;=5)*('CASE MASTER'!$X$2:$X$495&gt;=5))*ROW('CASE MASTER'!$T$2:$T$495))-(ROW('CASE MASTER'!#REF!)-1))),":",","),",",REPT(" ",50)),((((1-INDEX('CASE MASTER'!$U$2:$U$495,(SUMPRODUCT((('CASE MASTER'!$T$2:$T$495=2)*('CASE MASTER'!$U$2:$U$495&lt;=1)*('CASE MASTER'!$W$2:$W$495&gt;=1)*('CASE MASTER'!$V$2:$V$495&lt;=5)*('CASE MASTER'!$X$2:$X$495&gt;=5))*ROW('CASE MASTER'!$T$2:$T$495))-(ROW('CASE MASTER'!#REF!)-1))))*(INDEX('CASE MASTER'!$X$2:$X$495,(SUMPRODUCT((('CASE MASTER'!$T$2:$T$495=2)*('CASE MASTER'!$U$2:$U$495&lt;=1)*('CASE MASTER'!$W$2:$W$495&gt;=1)*('CASE MASTER'!$V$2:$V$495&lt;=5)*('CASE MASTER'!$X$2:$X$495&gt;=5))*ROW('CASE MASTER'!$T$2:$T$495))-(ROW('CASE MASTER'!#REF!)-1)))-INDEX('CASE MASTER'!$V$2:$V$495,(SUMPRODUCT((('CASE MASTER'!$T$2:$T$495=2)*('CASE MASTER'!$U$2:$U$495&lt;=1)*('CASE MASTER'!$W$2:$W$495&gt;=1)*('CASE MASTER'!$V$2:$V$495&lt;=5)*('CASE MASTER'!$X$2:$X$495&gt;=5))*ROW('CASE MASTER'!$T$2:$T$495))-(ROW('CASE MASTER'!#REF!)-1)))+1)+(5-INDEX('CASE MASTER'!$V$2:$V$495,(SUMPRODUCT((('CASE MASTER'!$T$2:$T$495=2)*('CASE MASTER'!$U$2:$U$495&lt;=1)*('CASE MASTER'!$W$2:$W$495&gt;=1)*('CASE MASTER'!$V$2:$V$495&lt;=5)*('CASE MASTER'!$X$2:$X$495&gt;=5))*ROW('CASE MASTER'!$T$2:$T$495))-(ROW('CASE MASTER'!#REF!)-1))))+1))-1)*50+1,50))&amp;"_"&amp;INDEX('CASE MASTER'!$Q$2:$Q$495,(SUMPRODUCT((('CASE MASTER'!$T$2:$T$495=2)*('CASE MASTER'!$U$2:$U$495&lt;=1)*('CASE MASTER'!$W$2:$W$495&gt;=1)*('CASE MASTER'!$V$2:$V$495&lt;=5)*('CASE MASTER'!$X$2:$X$495&gt;=5))*ROW('CASE MASTER'!$T$2:$T$495))-(ROW('CASE MASTER'!#REF!)-1))),IF(SUMPRODUCT((('CASE MASTER'!$T$2:$T$495=2)*('CASE MASTER'!$AA$2:$AA$495&lt;=1)*('CASE MASTER'!$AC$2:$AC$495&gt;=1)*('CASE MASTER'!$AB$2:$AB$495&lt;=5)*('CASE MASTER'!$AD$2:$AD$495&gt;=5))*ROW('CASE MASTER'!$T$2:$T$495))&gt;0,INDEX('CASE MASTER'!$Y$2:$Y$495,(SUMPRODUCT((('CASE MASTER'!$T$2:$T$495=2)*('CASE MASTER'!$AA$2:$AA$495&lt;=1)*('CASE MASTER'!$AC$2:$AC$495&gt;=1)*('CASE MASTER'!$AB$2:$AB$495&lt;=5)*('CASE MASTER'!$AD$2:$AD$495&gt;=5))*ROW('CASE MASTER'!$T$2:$T$495))-(ROW('CASE MASTER'!#REF!)-1)))&amp;TRIM(MID(SUBSTITUTE(SUBSTITUTE(INDEX('CASE MASTER'!$N$2:$N$495,(SUMPRODUCT((('CASE MASTER'!$T$2:$T$495=2)*('CASE MASTER'!$AA$2:$AA$495&lt;=1)*('CASE MASTER'!$AC$2:$AC$495&gt;=1)*('CASE MASTER'!$AB$2:$AB$495&lt;=5)*('CASE MASTER'!$AD$2:$AD$495&gt;=5))*ROW('CASE MASTER'!$T$2:$T$495))-(ROW('CASE MASTER'!#REF!)-1))),":",","),",",REPT(" ",50)),(((INDEX('CASE MASTER'!$Z$2:$Z$495,(SUMPRODUCT((('CASE MASTER'!$T$2:$T$495=2)*('CASE MASTER'!$AA$2:$AA$495&lt;=1)*('CASE MASTER'!$AC$2:$AC$495&gt;=1)*('CASE MASTER'!$AB$2:$AB$495&lt;=5)*('CASE MASTER'!$AD$2:$AD$495&gt;=5))*ROW('CASE MASTER'!$T$2:$T$495))-(ROW('CASE MASTER'!#REF!)-1)))+((1-INDEX('CASE MASTER'!$AA$2:$AA$495,(SUMPRODUCT((('CASE MASTER'!$T$2:$T$495=2)*('CASE MASTER'!$AA$2:$AA$495&lt;=1)*('CASE MASTER'!$AC$2:$AC$495&gt;=1)*('CASE MASTER'!$AB$2:$AB$495&lt;=5)*('CASE MASTER'!$AD$2:$AD$495&gt;=5))*ROW('CASE MASTER'!$T$2:$T$495))-(ROW('CASE MASTER'!#REF!)-1))))*(INDEX('CASE MASTER'!$AD$2:$AD$495,(SUMPRODUCT((('CASE MASTER'!$T$2:$T$495=2)*('CASE MASTER'!$AA$2:$AA$495&lt;=1)*('CASE MASTER'!$AC$2:$AC$495&gt;=1)*('CASE MASTER'!$AB$2:$AB$495&lt;=5)*('CASE MASTER'!$AD$2:$AD$495&gt;=5))*ROW('CASE MASTER'!$T$2:$T$495))-(ROW('CASE MASTER'!#REF!)-1)))-INDEX('CASE MASTER'!$AB$2:$AB$495,(SUMPRODUCT((('CASE MASTER'!$T$2:$T$495=2)*('CASE MASTER'!$AA$2:$AA$495&lt;=1)*('CASE MASTER'!$AC$2:$AC$495&gt;=1)*('CASE MASTER'!$AB$2:$AB$495&lt;=5)*('CASE MASTER'!$AD$2:$AD$495&gt;=5))*ROW('CASE MASTER'!$T$2:$T$495))-(ROW('CASE MASTER'!#REF!)-1)))+1)+(5-INDEX('CASE MASTER'!$AB$2:$AB$495,(SUMPRODUCT((('CASE MASTER'!$T$2:$T$495=2)*('CASE MASTER'!$AA$2:$AA$495&lt;=1)*('CASE MASTER'!$AC$2:$AC$495&gt;=1)*('CASE MASTER'!$AB$2:$AB$495&lt;=5)*('CASE MASTER'!$AD$2:$AD$495&gt;=5))*ROW('CASE MASTER'!$T$2:$T$495))-(ROW('CASE MASTER'!#REF!)-1))))+1)))-1)*50+1,50))&amp;"_"&amp;INDEX('CASE MASTER'!$Q$2:$Q$495,(SUMPRODUCT((('CASE MASTER'!$T$2:$T$495=2)*('CASE MASTER'!$AA$2:$AA$495&lt;=1)*('CASE MASTER'!$AC$2:$AC$495&gt;=1)*('CASE MASTER'!$AB$2:$AB$495&lt;=5)*('CASE MASTER'!$AD$2:$AD$495&gt;=5))*ROW('CASE MASTER'!$T$2:$T$495))-(ROW('CASE MASTER'!#REF!)-1))),"")),"")</f>
        <v/>
      </c>
      <c r="G17" s="10" t="str">
        <f>IFERROR(IF(SUMPRODUCT((('CASE MASTER'!$T$2:$T$495=2)*('CASE MASTER'!$U$2:$U$495&lt;=1)*('CASE MASTER'!$W$2:$W$495&gt;=1)*('CASE MASTER'!$V$2:$V$495&lt;=6)*('CASE MASTER'!$X$2:$X$495&gt;=6))*ROW('CASE MASTER'!$T$2:$T$495))&gt;0,INDEX('CASE MASTER'!$Y$2:$Y$495,(SUMPRODUCT((('CASE MASTER'!$T$2:$T$495=2)*('CASE MASTER'!$U$2:$U$495&lt;=1)*('CASE MASTER'!$W$2:$W$495&gt;=1)*('CASE MASTER'!$V$2:$V$495&lt;=6)*('CASE MASTER'!$X$2:$X$495&gt;=6))*ROW('CASE MASTER'!$T$2:$T$495))-(ROW('CASE MASTER'!#REF!)-1)))&amp;TRIM(MID(SUBSTITUTE(SUBSTITUTE(INDEX('CASE MASTER'!$N$2:$N$495,(SUMPRODUCT((('CASE MASTER'!$T$2:$T$495=2)*('CASE MASTER'!$U$2:$U$495&lt;=1)*('CASE MASTER'!$W$2:$W$495&gt;=1)*('CASE MASTER'!$V$2:$V$495&lt;=6)*('CASE MASTER'!$X$2:$X$495&gt;=6))*ROW('CASE MASTER'!$T$2:$T$495))-(ROW('CASE MASTER'!#REF!)-1))),":",","),",",REPT(" ",50)),((((1-INDEX('CASE MASTER'!$U$2:$U$495,(SUMPRODUCT((('CASE MASTER'!$T$2:$T$495=2)*('CASE MASTER'!$U$2:$U$495&lt;=1)*('CASE MASTER'!$W$2:$W$495&gt;=1)*('CASE MASTER'!$V$2:$V$495&lt;=6)*('CASE MASTER'!$X$2:$X$495&gt;=6))*ROW('CASE MASTER'!$T$2:$T$495))-(ROW('CASE MASTER'!#REF!)-1))))*(INDEX('CASE MASTER'!$X$2:$X$495,(SUMPRODUCT((('CASE MASTER'!$T$2:$T$495=2)*('CASE MASTER'!$U$2:$U$495&lt;=1)*('CASE MASTER'!$W$2:$W$495&gt;=1)*('CASE MASTER'!$V$2:$V$495&lt;=6)*('CASE MASTER'!$X$2:$X$495&gt;=6))*ROW('CASE MASTER'!$T$2:$T$495))-(ROW('CASE MASTER'!#REF!)-1)))-INDEX('CASE MASTER'!$V$2:$V$495,(SUMPRODUCT((('CASE MASTER'!$T$2:$T$495=2)*('CASE MASTER'!$U$2:$U$495&lt;=1)*('CASE MASTER'!$W$2:$W$495&gt;=1)*('CASE MASTER'!$V$2:$V$495&lt;=6)*('CASE MASTER'!$X$2:$X$495&gt;=6))*ROW('CASE MASTER'!$T$2:$T$495))-(ROW('CASE MASTER'!#REF!)-1)))+1)+(6-INDEX('CASE MASTER'!$V$2:$V$495,(SUMPRODUCT((('CASE MASTER'!$T$2:$T$495=2)*('CASE MASTER'!$U$2:$U$495&lt;=1)*('CASE MASTER'!$W$2:$W$495&gt;=1)*('CASE MASTER'!$V$2:$V$495&lt;=6)*('CASE MASTER'!$X$2:$X$495&gt;=6))*ROW('CASE MASTER'!$T$2:$T$495))-(ROW('CASE MASTER'!#REF!)-1))))+1))-1)*50+1,50))&amp;"_"&amp;INDEX('CASE MASTER'!$Q$2:$Q$495,(SUMPRODUCT((('CASE MASTER'!$T$2:$T$495=2)*('CASE MASTER'!$U$2:$U$495&lt;=1)*('CASE MASTER'!$W$2:$W$495&gt;=1)*('CASE MASTER'!$V$2:$V$495&lt;=6)*('CASE MASTER'!$X$2:$X$495&gt;=6))*ROW('CASE MASTER'!$T$2:$T$495))-(ROW('CASE MASTER'!#REF!)-1))),IF(SUMPRODUCT((('CASE MASTER'!$T$2:$T$495=2)*('CASE MASTER'!$AA$2:$AA$495&lt;=1)*('CASE MASTER'!$AC$2:$AC$495&gt;=1)*('CASE MASTER'!$AB$2:$AB$495&lt;=6)*('CASE MASTER'!$AD$2:$AD$495&gt;=6))*ROW('CASE MASTER'!$T$2:$T$495))&gt;0,INDEX('CASE MASTER'!$Y$2:$Y$495,(SUMPRODUCT((('CASE MASTER'!$T$2:$T$495=2)*('CASE MASTER'!$AA$2:$AA$495&lt;=1)*('CASE MASTER'!$AC$2:$AC$495&gt;=1)*('CASE MASTER'!$AB$2:$AB$495&lt;=6)*('CASE MASTER'!$AD$2:$AD$495&gt;=6))*ROW('CASE MASTER'!$T$2:$T$495))-(ROW('CASE MASTER'!#REF!)-1)))&amp;TRIM(MID(SUBSTITUTE(SUBSTITUTE(INDEX('CASE MASTER'!$N$2:$N$495,(SUMPRODUCT((('CASE MASTER'!$T$2:$T$495=2)*('CASE MASTER'!$AA$2:$AA$495&lt;=1)*('CASE MASTER'!$AC$2:$AC$495&gt;=1)*('CASE MASTER'!$AB$2:$AB$495&lt;=6)*('CASE MASTER'!$AD$2:$AD$495&gt;=6))*ROW('CASE MASTER'!$T$2:$T$495))-(ROW('CASE MASTER'!#REF!)-1))),":",","),",",REPT(" ",50)),(((INDEX('CASE MASTER'!$Z$2:$Z$495,(SUMPRODUCT((('CASE MASTER'!$T$2:$T$495=2)*('CASE MASTER'!$AA$2:$AA$495&lt;=1)*('CASE MASTER'!$AC$2:$AC$495&gt;=1)*('CASE MASTER'!$AB$2:$AB$495&lt;=6)*('CASE MASTER'!$AD$2:$AD$495&gt;=6))*ROW('CASE MASTER'!$T$2:$T$495))-(ROW('CASE MASTER'!#REF!)-1)))+((1-INDEX('CASE MASTER'!$AA$2:$AA$495,(SUMPRODUCT((('CASE MASTER'!$T$2:$T$495=2)*('CASE MASTER'!$AA$2:$AA$495&lt;=1)*('CASE MASTER'!$AC$2:$AC$495&gt;=1)*('CASE MASTER'!$AB$2:$AB$495&lt;=6)*('CASE MASTER'!$AD$2:$AD$495&gt;=6))*ROW('CASE MASTER'!$T$2:$T$495))-(ROW('CASE MASTER'!#REF!)-1))))*(INDEX('CASE MASTER'!$AD$2:$AD$495,(SUMPRODUCT((('CASE MASTER'!$T$2:$T$495=2)*('CASE MASTER'!$AA$2:$AA$495&lt;=1)*('CASE MASTER'!$AC$2:$AC$495&gt;=1)*('CASE MASTER'!$AB$2:$AB$495&lt;=6)*('CASE MASTER'!$AD$2:$AD$495&gt;=6))*ROW('CASE MASTER'!$T$2:$T$495))-(ROW('CASE MASTER'!#REF!)-1)))-INDEX('CASE MASTER'!$AB$2:$AB$495,(SUMPRODUCT((('CASE MASTER'!$T$2:$T$495=2)*('CASE MASTER'!$AA$2:$AA$495&lt;=1)*('CASE MASTER'!$AC$2:$AC$495&gt;=1)*('CASE MASTER'!$AB$2:$AB$495&lt;=6)*('CASE MASTER'!$AD$2:$AD$495&gt;=6))*ROW('CASE MASTER'!$T$2:$T$495))-(ROW('CASE MASTER'!#REF!)-1)))+1)+(6-INDEX('CASE MASTER'!$AB$2:$AB$495,(SUMPRODUCT((('CASE MASTER'!$T$2:$T$495=2)*('CASE MASTER'!$AA$2:$AA$495&lt;=1)*('CASE MASTER'!$AC$2:$AC$495&gt;=1)*('CASE MASTER'!$AB$2:$AB$495&lt;=6)*('CASE MASTER'!$AD$2:$AD$495&gt;=6))*ROW('CASE MASTER'!$T$2:$T$495))-(ROW('CASE MASTER'!#REF!)-1))))+1)))-1)*50+1,50))&amp;"_"&amp;INDEX('CASE MASTER'!$Q$2:$Q$495,(SUMPRODUCT((('CASE MASTER'!$T$2:$T$495=2)*('CASE MASTER'!$AA$2:$AA$495&lt;=1)*('CASE MASTER'!$AC$2:$AC$495&gt;=1)*('CASE MASTER'!$AB$2:$AB$495&lt;=6)*('CASE MASTER'!$AD$2:$AD$495&gt;=6))*ROW('CASE MASTER'!$T$2:$T$495))-(ROW('CASE MASTER'!#REF!)-1))),"")),"")</f>
        <v/>
      </c>
      <c r="H17" s="10" t="str">
        <f>IFERROR(IF(SUMPRODUCT((('CASE MASTER'!$T$2:$T$495=2)*('CASE MASTER'!$U$2:$U$495&lt;=1)*('CASE MASTER'!$W$2:$W$495&gt;=1)*('CASE MASTER'!$V$2:$V$495&lt;=7)*('CASE MASTER'!$X$2:$X$495&gt;=7))*ROW('CASE MASTER'!$T$2:$T$495))&gt;0,INDEX('CASE MASTER'!$Y$2:$Y$495,(SUMPRODUCT((('CASE MASTER'!$T$2:$T$495=2)*('CASE MASTER'!$U$2:$U$495&lt;=1)*('CASE MASTER'!$W$2:$W$495&gt;=1)*('CASE MASTER'!$V$2:$V$495&lt;=7)*('CASE MASTER'!$X$2:$X$495&gt;=7))*ROW('CASE MASTER'!$T$2:$T$495))-(ROW('CASE MASTER'!#REF!)-1)))&amp;TRIM(MID(SUBSTITUTE(SUBSTITUTE(INDEX('CASE MASTER'!$N$2:$N$495,(SUMPRODUCT((('CASE MASTER'!$T$2:$T$495=2)*('CASE MASTER'!$U$2:$U$495&lt;=1)*('CASE MASTER'!$W$2:$W$495&gt;=1)*('CASE MASTER'!$V$2:$V$495&lt;=7)*('CASE MASTER'!$X$2:$X$495&gt;=7))*ROW('CASE MASTER'!$T$2:$T$495))-(ROW('CASE MASTER'!#REF!)-1))),":",","),",",REPT(" ",50)),((((1-INDEX('CASE MASTER'!$U$2:$U$495,(SUMPRODUCT((('CASE MASTER'!$T$2:$T$495=2)*('CASE MASTER'!$U$2:$U$495&lt;=1)*('CASE MASTER'!$W$2:$W$495&gt;=1)*('CASE MASTER'!$V$2:$V$495&lt;=7)*('CASE MASTER'!$X$2:$X$495&gt;=7))*ROW('CASE MASTER'!$T$2:$T$495))-(ROW('CASE MASTER'!#REF!)-1))))*(INDEX('CASE MASTER'!$X$2:$X$495,(SUMPRODUCT((('CASE MASTER'!$T$2:$T$495=2)*('CASE MASTER'!$U$2:$U$495&lt;=1)*('CASE MASTER'!$W$2:$W$495&gt;=1)*('CASE MASTER'!$V$2:$V$495&lt;=7)*('CASE MASTER'!$X$2:$X$495&gt;=7))*ROW('CASE MASTER'!$T$2:$T$495))-(ROW('CASE MASTER'!#REF!)-1)))-INDEX('CASE MASTER'!$V$2:$V$495,(SUMPRODUCT((('CASE MASTER'!$T$2:$T$495=2)*('CASE MASTER'!$U$2:$U$495&lt;=1)*('CASE MASTER'!$W$2:$W$495&gt;=1)*('CASE MASTER'!$V$2:$V$495&lt;=7)*('CASE MASTER'!$X$2:$X$495&gt;=7))*ROW('CASE MASTER'!$T$2:$T$495))-(ROW('CASE MASTER'!#REF!)-1)))+1)+(7-INDEX('CASE MASTER'!$V$2:$V$495,(SUMPRODUCT((('CASE MASTER'!$T$2:$T$495=2)*('CASE MASTER'!$U$2:$U$495&lt;=1)*('CASE MASTER'!$W$2:$W$495&gt;=1)*('CASE MASTER'!$V$2:$V$495&lt;=7)*('CASE MASTER'!$X$2:$X$495&gt;=7))*ROW('CASE MASTER'!$T$2:$T$495))-(ROW('CASE MASTER'!#REF!)-1))))+1))-1)*50+1,50))&amp;"_"&amp;INDEX('CASE MASTER'!$Q$2:$Q$495,(SUMPRODUCT((('CASE MASTER'!$T$2:$T$495=2)*('CASE MASTER'!$U$2:$U$495&lt;=1)*('CASE MASTER'!$W$2:$W$495&gt;=1)*('CASE MASTER'!$V$2:$V$495&lt;=7)*('CASE MASTER'!$X$2:$X$495&gt;=7))*ROW('CASE MASTER'!$T$2:$T$495))-(ROW('CASE MASTER'!#REF!)-1))),IF(SUMPRODUCT((('CASE MASTER'!$T$2:$T$495=2)*('CASE MASTER'!$AA$2:$AA$495&lt;=1)*('CASE MASTER'!$AC$2:$AC$495&gt;=1)*('CASE MASTER'!$AB$2:$AB$495&lt;=7)*('CASE MASTER'!$AD$2:$AD$495&gt;=7))*ROW('CASE MASTER'!$T$2:$T$495))&gt;0,INDEX('CASE MASTER'!$Y$2:$Y$495,(SUMPRODUCT((('CASE MASTER'!$T$2:$T$495=2)*('CASE MASTER'!$AA$2:$AA$495&lt;=1)*('CASE MASTER'!$AC$2:$AC$495&gt;=1)*('CASE MASTER'!$AB$2:$AB$495&lt;=7)*('CASE MASTER'!$AD$2:$AD$495&gt;=7))*ROW('CASE MASTER'!$T$2:$T$495))-(ROW('CASE MASTER'!#REF!)-1)))&amp;TRIM(MID(SUBSTITUTE(SUBSTITUTE(INDEX('CASE MASTER'!$N$2:$N$495,(SUMPRODUCT((('CASE MASTER'!$T$2:$T$495=2)*('CASE MASTER'!$AA$2:$AA$495&lt;=1)*('CASE MASTER'!$AC$2:$AC$495&gt;=1)*('CASE MASTER'!$AB$2:$AB$495&lt;=7)*('CASE MASTER'!$AD$2:$AD$495&gt;=7))*ROW('CASE MASTER'!$T$2:$T$495))-(ROW('CASE MASTER'!#REF!)-1))),":",","),",",REPT(" ",50)),(((INDEX('CASE MASTER'!$Z$2:$Z$495,(SUMPRODUCT((('CASE MASTER'!$T$2:$T$495=2)*('CASE MASTER'!$AA$2:$AA$495&lt;=1)*('CASE MASTER'!$AC$2:$AC$495&gt;=1)*('CASE MASTER'!$AB$2:$AB$495&lt;=7)*('CASE MASTER'!$AD$2:$AD$495&gt;=7))*ROW('CASE MASTER'!$T$2:$T$495))-(ROW('CASE MASTER'!#REF!)-1)))+((1-INDEX('CASE MASTER'!$AA$2:$AA$495,(SUMPRODUCT((('CASE MASTER'!$T$2:$T$495=2)*('CASE MASTER'!$AA$2:$AA$495&lt;=1)*('CASE MASTER'!$AC$2:$AC$495&gt;=1)*('CASE MASTER'!$AB$2:$AB$495&lt;=7)*('CASE MASTER'!$AD$2:$AD$495&gt;=7))*ROW('CASE MASTER'!$T$2:$T$495))-(ROW('CASE MASTER'!#REF!)-1))))*(INDEX('CASE MASTER'!$AD$2:$AD$495,(SUMPRODUCT((('CASE MASTER'!$T$2:$T$495=2)*('CASE MASTER'!$AA$2:$AA$495&lt;=1)*('CASE MASTER'!$AC$2:$AC$495&gt;=1)*('CASE MASTER'!$AB$2:$AB$495&lt;=7)*('CASE MASTER'!$AD$2:$AD$495&gt;=7))*ROW('CASE MASTER'!$T$2:$T$495))-(ROW('CASE MASTER'!#REF!)-1)))-INDEX('CASE MASTER'!$AB$2:$AB$495,(SUMPRODUCT((('CASE MASTER'!$T$2:$T$495=2)*('CASE MASTER'!$AA$2:$AA$495&lt;=1)*('CASE MASTER'!$AC$2:$AC$495&gt;=1)*('CASE MASTER'!$AB$2:$AB$495&lt;=7)*('CASE MASTER'!$AD$2:$AD$495&gt;=7))*ROW('CASE MASTER'!$T$2:$T$495))-(ROW('CASE MASTER'!#REF!)-1)))+1)+(7-INDEX('CASE MASTER'!$AB$2:$AB$495,(SUMPRODUCT((('CASE MASTER'!$T$2:$T$495=2)*('CASE MASTER'!$AA$2:$AA$495&lt;=1)*('CASE MASTER'!$AC$2:$AC$495&gt;=1)*('CASE MASTER'!$AB$2:$AB$495&lt;=7)*('CASE MASTER'!$AD$2:$AD$495&gt;=7))*ROW('CASE MASTER'!$T$2:$T$495))-(ROW('CASE MASTER'!#REF!)-1))))+1)))-1)*50+1,50))&amp;"_"&amp;INDEX('CASE MASTER'!$Q$2:$Q$495,(SUMPRODUCT((('CASE MASTER'!$T$2:$T$495=2)*('CASE MASTER'!$AA$2:$AA$495&lt;=1)*('CASE MASTER'!$AC$2:$AC$495&gt;=1)*('CASE MASTER'!$AB$2:$AB$495&lt;=7)*('CASE MASTER'!$AD$2:$AD$495&gt;=7))*ROW('CASE MASTER'!$T$2:$T$495))-(ROW('CASE MASTER'!#REF!)-1))),"")),"")</f>
        <v/>
      </c>
      <c r="I17" s="10" t="str">
        <f>IFERROR(IF(SUMPRODUCT((('CASE MASTER'!$T$2:$T$495=2)*('CASE MASTER'!$U$2:$U$495&lt;=1)*('CASE MASTER'!$W$2:$W$495&gt;=1)*('CASE MASTER'!$V$2:$V$495&lt;=8)*('CASE MASTER'!$X$2:$X$495&gt;=8))*ROW('CASE MASTER'!$T$2:$T$495))&gt;0,INDEX('CASE MASTER'!$Y$2:$Y$495,(SUMPRODUCT((('CASE MASTER'!$T$2:$T$495=2)*('CASE MASTER'!$U$2:$U$495&lt;=1)*('CASE MASTER'!$W$2:$W$495&gt;=1)*('CASE MASTER'!$V$2:$V$495&lt;=8)*('CASE MASTER'!$X$2:$X$495&gt;=8))*ROW('CASE MASTER'!$T$2:$T$495))-(ROW('CASE MASTER'!#REF!)-1)))&amp;TRIM(MID(SUBSTITUTE(SUBSTITUTE(INDEX('CASE MASTER'!$N$2:$N$495,(SUMPRODUCT((('CASE MASTER'!$T$2:$T$495=2)*('CASE MASTER'!$U$2:$U$495&lt;=1)*('CASE MASTER'!$W$2:$W$495&gt;=1)*('CASE MASTER'!$V$2:$V$495&lt;=8)*('CASE MASTER'!$X$2:$X$495&gt;=8))*ROW('CASE MASTER'!$T$2:$T$495))-(ROW('CASE MASTER'!#REF!)-1))),":",","),",",REPT(" ",50)),((((1-INDEX('CASE MASTER'!$U$2:$U$495,(SUMPRODUCT((('CASE MASTER'!$T$2:$T$495=2)*('CASE MASTER'!$U$2:$U$495&lt;=1)*('CASE MASTER'!$W$2:$W$495&gt;=1)*('CASE MASTER'!$V$2:$V$495&lt;=8)*('CASE MASTER'!$X$2:$X$495&gt;=8))*ROW('CASE MASTER'!$T$2:$T$495))-(ROW('CASE MASTER'!#REF!)-1))))*(INDEX('CASE MASTER'!$X$2:$X$495,(SUMPRODUCT((('CASE MASTER'!$T$2:$T$495=2)*('CASE MASTER'!$U$2:$U$495&lt;=1)*('CASE MASTER'!$W$2:$W$495&gt;=1)*('CASE MASTER'!$V$2:$V$495&lt;=8)*('CASE MASTER'!$X$2:$X$495&gt;=8))*ROW('CASE MASTER'!$T$2:$T$495))-(ROW('CASE MASTER'!#REF!)-1)))-INDEX('CASE MASTER'!$V$2:$V$495,(SUMPRODUCT((('CASE MASTER'!$T$2:$T$495=2)*('CASE MASTER'!$U$2:$U$495&lt;=1)*('CASE MASTER'!$W$2:$W$495&gt;=1)*('CASE MASTER'!$V$2:$V$495&lt;=8)*('CASE MASTER'!$X$2:$X$495&gt;=8))*ROW('CASE MASTER'!$T$2:$T$495))-(ROW('CASE MASTER'!#REF!)-1)))+1)+(8-INDEX('CASE MASTER'!$V$2:$V$495,(SUMPRODUCT((('CASE MASTER'!$T$2:$T$495=2)*('CASE MASTER'!$U$2:$U$495&lt;=1)*('CASE MASTER'!$W$2:$W$495&gt;=1)*('CASE MASTER'!$V$2:$V$495&lt;=8)*('CASE MASTER'!$X$2:$X$495&gt;=8))*ROW('CASE MASTER'!$T$2:$T$495))-(ROW('CASE MASTER'!#REF!)-1))))+1))-1)*50+1,50))&amp;"_"&amp;INDEX('CASE MASTER'!$Q$2:$Q$495,(SUMPRODUCT((('CASE MASTER'!$T$2:$T$495=2)*('CASE MASTER'!$U$2:$U$495&lt;=1)*('CASE MASTER'!$W$2:$W$495&gt;=1)*('CASE MASTER'!$V$2:$V$495&lt;=8)*('CASE MASTER'!$X$2:$X$495&gt;=8))*ROW('CASE MASTER'!$T$2:$T$495))-(ROW('CASE MASTER'!#REF!)-1))),IF(SUMPRODUCT((('CASE MASTER'!$T$2:$T$495=2)*('CASE MASTER'!$AA$2:$AA$495&lt;=1)*('CASE MASTER'!$AC$2:$AC$495&gt;=1)*('CASE MASTER'!$AB$2:$AB$495&lt;=8)*('CASE MASTER'!$AD$2:$AD$495&gt;=8))*ROW('CASE MASTER'!$T$2:$T$495))&gt;0,INDEX('CASE MASTER'!$Y$2:$Y$495,(SUMPRODUCT((('CASE MASTER'!$T$2:$T$495=2)*('CASE MASTER'!$AA$2:$AA$495&lt;=1)*('CASE MASTER'!$AC$2:$AC$495&gt;=1)*('CASE MASTER'!$AB$2:$AB$495&lt;=8)*('CASE MASTER'!$AD$2:$AD$495&gt;=8))*ROW('CASE MASTER'!$T$2:$T$495))-(ROW('CASE MASTER'!#REF!)-1)))&amp;TRIM(MID(SUBSTITUTE(SUBSTITUTE(INDEX('CASE MASTER'!$N$2:$N$495,(SUMPRODUCT((('CASE MASTER'!$T$2:$T$495=2)*('CASE MASTER'!$AA$2:$AA$495&lt;=1)*('CASE MASTER'!$AC$2:$AC$495&gt;=1)*('CASE MASTER'!$AB$2:$AB$495&lt;=8)*('CASE MASTER'!$AD$2:$AD$495&gt;=8))*ROW('CASE MASTER'!$T$2:$T$495))-(ROW('CASE MASTER'!#REF!)-1))),":",","),",",REPT(" ",50)),(((INDEX('CASE MASTER'!$Z$2:$Z$495,(SUMPRODUCT((('CASE MASTER'!$T$2:$T$495=2)*('CASE MASTER'!$AA$2:$AA$495&lt;=1)*('CASE MASTER'!$AC$2:$AC$495&gt;=1)*('CASE MASTER'!$AB$2:$AB$495&lt;=8)*('CASE MASTER'!$AD$2:$AD$495&gt;=8))*ROW('CASE MASTER'!$T$2:$T$495))-(ROW('CASE MASTER'!#REF!)-1)))+((1-INDEX('CASE MASTER'!$AA$2:$AA$495,(SUMPRODUCT((('CASE MASTER'!$T$2:$T$495=2)*('CASE MASTER'!$AA$2:$AA$495&lt;=1)*('CASE MASTER'!$AC$2:$AC$495&gt;=1)*('CASE MASTER'!$AB$2:$AB$495&lt;=8)*('CASE MASTER'!$AD$2:$AD$495&gt;=8))*ROW('CASE MASTER'!$T$2:$T$495))-(ROW('CASE MASTER'!#REF!)-1))))*(INDEX('CASE MASTER'!$AD$2:$AD$495,(SUMPRODUCT((('CASE MASTER'!$T$2:$T$495=2)*('CASE MASTER'!$AA$2:$AA$495&lt;=1)*('CASE MASTER'!$AC$2:$AC$495&gt;=1)*('CASE MASTER'!$AB$2:$AB$495&lt;=8)*('CASE MASTER'!$AD$2:$AD$495&gt;=8))*ROW('CASE MASTER'!$T$2:$T$495))-(ROW('CASE MASTER'!#REF!)-1)))-INDEX('CASE MASTER'!$AB$2:$AB$495,(SUMPRODUCT((('CASE MASTER'!$T$2:$T$495=2)*('CASE MASTER'!$AA$2:$AA$495&lt;=1)*('CASE MASTER'!$AC$2:$AC$495&gt;=1)*('CASE MASTER'!$AB$2:$AB$495&lt;=8)*('CASE MASTER'!$AD$2:$AD$495&gt;=8))*ROW('CASE MASTER'!$T$2:$T$495))-(ROW('CASE MASTER'!#REF!)-1)))+1)+(8-INDEX('CASE MASTER'!$AB$2:$AB$495,(SUMPRODUCT((('CASE MASTER'!$T$2:$T$495=2)*('CASE MASTER'!$AA$2:$AA$495&lt;=1)*('CASE MASTER'!$AC$2:$AC$495&gt;=1)*('CASE MASTER'!$AB$2:$AB$495&lt;=8)*('CASE MASTER'!$AD$2:$AD$495&gt;=8))*ROW('CASE MASTER'!$T$2:$T$495))-(ROW('CASE MASTER'!#REF!)-1))))+1)))-1)*50+1,50))&amp;"_"&amp;INDEX('CASE MASTER'!$Q$2:$Q$495,(SUMPRODUCT((('CASE MASTER'!$T$2:$T$495=2)*('CASE MASTER'!$AA$2:$AA$495&lt;=1)*('CASE MASTER'!$AC$2:$AC$495&gt;=1)*('CASE MASTER'!$AB$2:$AB$495&lt;=8)*('CASE MASTER'!$AD$2:$AD$495&gt;=8))*ROW('CASE MASTER'!$T$2:$T$495))-(ROW('CASE MASTER'!#REF!)-1))),"")),"")</f>
        <v/>
      </c>
      <c r="J17" s="10" t="str">
        <f>IFERROR(IF(SUMPRODUCT((('CASE MASTER'!$T$2:$T$495=2)*('CASE MASTER'!$U$2:$U$495&lt;=1)*('CASE MASTER'!$W$2:$W$495&gt;=1)*('CASE MASTER'!$V$2:$V$495&lt;=9)*('CASE MASTER'!$X$2:$X$495&gt;=9))*ROW('CASE MASTER'!$T$2:$T$495))&gt;0,INDEX('CASE MASTER'!$Y$2:$Y$495,(SUMPRODUCT((('CASE MASTER'!$T$2:$T$495=2)*('CASE MASTER'!$U$2:$U$495&lt;=1)*('CASE MASTER'!$W$2:$W$495&gt;=1)*('CASE MASTER'!$V$2:$V$495&lt;=9)*('CASE MASTER'!$X$2:$X$495&gt;=9))*ROW('CASE MASTER'!$T$2:$T$495))-(ROW('CASE MASTER'!#REF!)-1)))&amp;TRIM(MID(SUBSTITUTE(SUBSTITUTE(INDEX('CASE MASTER'!$N$2:$N$495,(SUMPRODUCT((('CASE MASTER'!$T$2:$T$495=2)*('CASE MASTER'!$U$2:$U$495&lt;=1)*('CASE MASTER'!$W$2:$W$495&gt;=1)*('CASE MASTER'!$V$2:$V$495&lt;=9)*('CASE MASTER'!$X$2:$X$495&gt;=9))*ROW('CASE MASTER'!$T$2:$T$495))-(ROW('CASE MASTER'!#REF!)-1))),":",","),",",REPT(" ",50)),((((1-INDEX('CASE MASTER'!$U$2:$U$495,(SUMPRODUCT((('CASE MASTER'!$T$2:$T$495=2)*('CASE MASTER'!$U$2:$U$495&lt;=1)*('CASE MASTER'!$W$2:$W$495&gt;=1)*('CASE MASTER'!$V$2:$V$495&lt;=9)*('CASE MASTER'!$X$2:$X$495&gt;=9))*ROW('CASE MASTER'!$T$2:$T$495))-(ROW('CASE MASTER'!#REF!)-1))))*(INDEX('CASE MASTER'!$X$2:$X$495,(SUMPRODUCT((('CASE MASTER'!$T$2:$T$495=2)*('CASE MASTER'!$U$2:$U$495&lt;=1)*('CASE MASTER'!$W$2:$W$495&gt;=1)*('CASE MASTER'!$V$2:$V$495&lt;=9)*('CASE MASTER'!$X$2:$X$495&gt;=9))*ROW('CASE MASTER'!$T$2:$T$495))-(ROW('CASE MASTER'!#REF!)-1)))-INDEX('CASE MASTER'!$V$2:$V$495,(SUMPRODUCT((('CASE MASTER'!$T$2:$T$495=2)*('CASE MASTER'!$U$2:$U$495&lt;=1)*('CASE MASTER'!$W$2:$W$495&gt;=1)*('CASE MASTER'!$V$2:$V$495&lt;=9)*('CASE MASTER'!$X$2:$X$495&gt;=9))*ROW('CASE MASTER'!$T$2:$T$495))-(ROW('CASE MASTER'!#REF!)-1)))+1)+(9-INDEX('CASE MASTER'!$V$2:$V$495,(SUMPRODUCT((('CASE MASTER'!$T$2:$T$495=2)*('CASE MASTER'!$U$2:$U$495&lt;=1)*('CASE MASTER'!$W$2:$W$495&gt;=1)*('CASE MASTER'!$V$2:$V$495&lt;=9)*('CASE MASTER'!$X$2:$X$495&gt;=9))*ROW('CASE MASTER'!$T$2:$T$495))-(ROW('CASE MASTER'!#REF!)-1))))+1))-1)*50+1,50))&amp;"_"&amp;INDEX('CASE MASTER'!$Q$2:$Q$495,(SUMPRODUCT((('CASE MASTER'!$T$2:$T$495=2)*('CASE MASTER'!$U$2:$U$495&lt;=1)*('CASE MASTER'!$W$2:$W$495&gt;=1)*('CASE MASTER'!$V$2:$V$495&lt;=9)*('CASE MASTER'!$X$2:$X$495&gt;=9))*ROW('CASE MASTER'!$T$2:$T$495))-(ROW('CASE MASTER'!#REF!)-1))),IF(SUMPRODUCT((('CASE MASTER'!$T$2:$T$495=2)*('CASE MASTER'!$AA$2:$AA$495&lt;=1)*('CASE MASTER'!$AC$2:$AC$495&gt;=1)*('CASE MASTER'!$AB$2:$AB$495&lt;=9)*('CASE MASTER'!$AD$2:$AD$495&gt;=9))*ROW('CASE MASTER'!$T$2:$T$495))&gt;0,INDEX('CASE MASTER'!$Y$2:$Y$495,(SUMPRODUCT((('CASE MASTER'!$T$2:$T$495=2)*('CASE MASTER'!$AA$2:$AA$495&lt;=1)*('CASE MASTER'!$AC$2:$AC$495&gt;=1)*('CASE MASTER'!$AB$2:$AB$495&lt;=9)*('CASE MASTER'!$AD$2:$AD$495&gt;=9))*ROW('CASE MASTER'!$T$2:$T$495))-(ROW('CASE MASTER'!#REF!)-1)))&amp;TRIM(MID(SUBSTITUTE(SUBSTITUTE(INDEX('CASE MASTER'!$N$2:$N$495,(SUMPRODUCT((('CASE MASTER'!$T$2:$T$495=2)*('CASE MASTER'!$AA$2:$AA$495&lt;=1)*('CASE MASTER'!$AC$2:$AC$495&gt;=1)*('CASE MASTER'!$AB$2:$AB$495&lt;=9)*('CASE MASTER'!$AD$2:$AD$495&gt;=9))*ROW('CASE MASTER'!$T$2:$T$495))-(ROW('CASE MASTER'!#REF!)-1))),":",","),",",REPT(" ",50)),(((INDEX('CASE MASTER'!$Z$2:$Z$495,(SUMPRODUCT((('CASE MASTER'!$T$2:$T$495=2)*('CASE MASTER'!$AA$2:$AA$495&lt;=1)*('CASE MASTER'!$AC$2:$AC$495&gt;=1)*('CASE MASTER'!$AB$2:$AB$495&lt;=9)*('CASE MASTER'!$AD$2:$AD$495&gt;=9))*ROW('CASE MASTER'!$T$2:$T$495))-(ROW('CASE MASTER'!#REF!)-1)))+((1-INDEX('CASE MASTER'!$AA$2:$AA$495,(SUMPRODUCT((('CASE MASTER'!$T$2:$T$495=2)*('CASE MASTER'!$AA$2:$AA$495&lt;=1)*('CASE MASTER'!$AC$2:$AC$495&gt;=1)*('CASE MASTER'!$AB$2:$AB$495&lt;=9)*('CASE MASTER'!$AD$2:$AD$495&gt;=9))*ROW('CASE MASTER'!$T$2:$T$495))-(ROW('CASE MASTER'!#REF!)-1))))*(INDEX('CASE MASTER'!$AD$2:$AD$495,(SUMPRODUCT((('CASE MASTER'!$T$2:$T$495=2)*('CASE MASTER'!$AA$2:$AA$495&lt;=1)*('CASE MASTER'!$AC$2:$AC$495&gt;=1)*('CASE MASTER'!$AB$2:$AB$495&lt;=9)*('CASE MASTER'!$AD$2:$AD$495&gt;=9))*ROW('CASE MASTER'!$T$2:$T$495))-(ROW('CASE MASTER'!#REF!)-1)))-INDEX('CASE MASTER'!$AB$2:$AB$495,(SUMPRODUCT((('CASE MASTER'!$T$2:$T$495=2)*('CASE MASTER'!$AA$2:$AA$495&lt;=1)*('CASE MASTER'!$AC$2:$AC$495&gt;=1)*('CASE MASTER'!$AB$2:$AB$495&lt;=9)*('CASE MASTER'!$AD$2:$AD$495&gt;=9))*ROW('CASE MASTER'!$T$2:$T$495))-(ROW('CASE MASTER'!#REF!)-1)))+1)+(9-INDEX('CASE MASTER'!$AB$2:$AB$495,(SUMPRODUCT((('CASE MASTER'!$T$2:$T$495=2)*('CASE MASTER'!$AA$2:$AA$495&lt;=1)*('CASE MASTER'!$AC$2:$AC$495&gt;=1)*('CASE MASTER'!$AB$2:$AB$495&lt;=9)*('CASE MASTER'!$AD$2:$AD$495&gt;=9))*ROW('CASE MASTER'!$T$2:$T$495))-(ROW('CASE MASTER'!#REF!)-1))))+1)))-1)*50+1,50))&amp;"_"&amp;INDEX('CASE MASTER'!$Q$2:$Q$495,(SUMPRODUCT((('CASE MASTER'!$T$2:$T$495=2)*('CASE MASTER'!$AA$2:$AA$495&lt;=1)*('CASE MASTER'!$AC$2:$AC$495&gt;=1)*('CASE MASTER'!$AB$2:$AB$495&lt;=9)*('CASE MASTER'!$AD$2:$AD$495&gt;=9))*ROW('CASE MASTER'!$T$2:$T$495))-(ROW('CASE MASTER'!#REF!)-1))),"")),"")</f>
        <v/>
      </c>
      <c r="K17" s="10" t="str">
        <f>IFERROR(IF(SUMPRODUCT((('CASE MASTER'!$T$2:$T$495=2)*('CASE MASTER'!$U$2:$U$495&lt;=1)*('CASE MASTER'!$W$2:$W$495&gt;=1)*('CASE MASTER'!$V$2:$V$495&lt;=10)*('CASE MASTER'!$X$2:$X$495&gt;=10))*ROW('CASE MASTER'!$T$2:$T$495))&gt;0,INDEX('CASE MASTER'!$Y$2:$Y$495,(SUMPRODUCT((('CASE MASTER'!$T$2:$T$495=2)*('CASE MASTER'!$U$2:$U$495&lt;=1)*('CASE MASTER'!$W$2:$W$495&gt;=1)*('CASE MASTER'!$V$2:$V$495&lt;=10)*('CASE MASTER'!$X$2:$X$495&gt;=10))*ROW('CASE MASTER'!$T$2:$T$495))-(ROW('CASE MASTER'!#REF!)-1)))&amp;TRIM(MID(SUBSTITUTE(SUBSTITUTE(INDEX('CASE MASTER'!$N$2:$N$495,(SUMPRODUCT((('CASE MASTER'!$T$2:$T$495=2)*('CASE MASTER'!$U$2:$U$495&lt;=1)*('CASE MASTER'!$W$2:$W$495&gt;=1)*('CASE MASTER'!$V$2:$V$495&lt;=10)*('CASE MASTER'!$X$2:$X$495&gt;=10))*ROW('CASE MASTER'!$T$2:$T$495))-(ROW('CASE MASTER'!#REF!)-1))),":",","),",",REPT(" ",50)),((((1-INDEX('CASE MASTER'!$U$2:$U$495,(SUMPRODUCT((('CASE MASTER'!$T$2:$T$495=2)*('CASE MASTER'!$U$2:$U$495&lt;=1)*('CASE MASTER'!$W$2:$W$495&gt;=1)*('CASE MASTER'!$V$2:$V$495&lt;=10)*('CASE MASTER'!$X$2:$X$495&gt;=10))*ROW('CASE MASTER'!$T$2:$T$495))-(ROW('CASE MASTER'!#REF!)-1))))*(INDEX('CASE MASTER'!$X$2:$X$495,(SUMPRODUCT((('CASE MASTER'!$T$2:$T$495=2)*('CASE MASTER'!$U$2:$U$495&lt;=1)*('CASE MASTER'!$W$2:$W$495&gt;=1)*('CASE MASTER'!$V$2:$V$495&lt;=10)*('CASE MASTER'!$X$2:$X$495&gt;=10))*ROW('CASE MASTER'!$T$2:$T$495))-(ROW('CASE MASTER'!#REF!)-1)))-INDEX('CASE MASTER'!$V$2:$V$495,(SUMPRODUCT((('CASE MASTER'!$T$2:$T$495=2)*('CASE MASTER'!$U$2:$U$495&lt;=1)*('CASE MASTER'!$W$2:$W$495&gt;=1)*('CASE MASTER'!$V$2:$V$495&lt;=10)*('CASE MASTER'!$X$2:$X$495&gt;=10))*ROW('CASE MASTER'!$T$2:$T$495))-(ROW('CASE MASTER'!#REF!)-1)))+1)+(10-INDEX('CASE MASTER'!$V$2:$V$495,(SUMPRODUCT((('CASE MASTER'!$T$2:$T$495=2)*('CASE MASTER'!$U$2:$U$495&lt;=1)*('CASE MASTER'!$W$2:$W$495&gt;=1)*('CASE MASTER'!$V$2:$V$495&lt;=10)*('CASE MASTER'!$X$2:$X$495&gt;=10))*ROW('CASE MASTER'!$T$2:$T$495))-(ROW('CASE MASTER'!#REF!)-1))))+1))-1)*50+1,50))&amp;"_"&amp;INDEX('CASE MASTER'!$Q$2:$Q$495,(SUMPRODUCT((('CASE MASTER'!$T$2:$T$495=2)*('CASE MASTER'!$U$2:$U$495&lt;=1)*('CASE MASTER'!$W$2:$W$495&gt;=1)*('CASE MASTER'!$V$2:$V$495&lt;=10)*('CASE MASTER'!$X$2:$X$495&gt;=10))*ROW('CASE MASTER'!$T$2:$T$495))-(ROW('CASE MASTER'!#REF!)-1))),IF(SUMPRODUCT((('CASE MASTER'!$T$2:$T$495=2)*('CASE MASTER'!$AA$2:$AA$495&lt;=1)*('CASE MASTER'!$AC$2:$AC$495&gt;=1)*('CASE MASTER'!$AB$2:$AB$495&lt;=10)*('CASE MASTER'!$AD$2:$AD$495&gt;=10))*ROW('CASE MASTER'!$T$2:$T$495))&gt;0,INDEX('CASE MASTER'!$Y$2:$Y$495,(SUMPRODUCT((('CASE MASTER'!$T$2:$T$495=2)*('CASE MASTER'!$AA$2:$AA$495&lt;=1)*('CASE MASTER'!$AC$2:$AC$495&gt;=1)*('CASE MASTER'!$AB$2:$AB$495&lt;=10)*('CASE MASTER'!$AD$2:$AD$495&gt;=10))*ROW('CASE MASTER'!$T$2:$T$495))-(ROW('CASE MASTER'!#REF!)-1)))&amp;TRIM(MID(SUBSTITUTE(SUBSTITUTE(INDEX('CASE MASTER'!$N$2:$N$495,(SUMPRODUCT((('CASE MASTER'!$T$2:$T$495=2)*('CASE MASTER'!$AA$2:$AA$495&lt;=1)*('CASE MASTER'!$AC$2:$AC$495&gt;=1)*('CASE MASTER'!$AB$2:$AB$495&lt;=10)*('CASE MASTER'!$AD$2:$AD$495&gt;=10))*ROW('CASE MASTER'!$T$2:$T$495))-(ROW('CASE MASTER'!#REF!)-1))),":",","),",",REPT(" ",50)),(((INDEX('CASE MASTER'!$Z$2:$Z$495,(SUMPRODUCT((('CASE MASTER'!$T$2:$T$495=2)*('CASE MASTER'!$AA$2:$AA$495&lt;=1)*('CASE MASTER'!$AC$2:$AC$495&gt;=1)*('CASE MASTER'!$AB$2:$AB$495&lt;=10)*('CASE MASTER'!$AD$2:$AD$495&gt;=10))*ROW('CASE MASTER'!$T$2:$T$495))-(ROW('CASE MASTER'!#REF!)-1)))+((1-INDEX('CASE MASTER'!$AA$2:$AA$495,(SUMPRODUCT((('CASE MASTER'!$T$2:$T$495=2)*('CASE MASTER'!$AA$2:$AA$495&lt;=1)*('CASE MASTER'!$AC$2:$AC$495&gt;=1)*('CASE MASTER'!$AB$2:$AB$495&lt;=10)*('CASE MASTER'!$AD$2:$AD$495&gt;=10))*ROW('CASE MASTER'!$T$2:$T$495))-(ROW('CASE MASTER'!#REF!)-1))))*(INDEX('CASE MASTER'!$AD$2:$AD$495,(SUMPRODUCT((('CASE MASTER'!$T$2:$T$495=2)*('CASE MASTER'!$AA$2:$AA$495&lt;=1)*('CASE MASTER'!$AC$2:$AC$495&gt;=1)*('CASE MASTER'!$AB$2:$AB$495&lt;=10)*('CASE MASTER'!$AD$2:$AD$495&gt;=10))*ROW('CASE MASTER'!$T$2:$T$495))-(ROW('CASE MASTER'!#REF!)-1)))-INDEX('CASE MASTER'!$AB$2:$AB$495,(SUMPRODUCT((('CASE MASTER'!$T$2:$T$495=2)*('CASE MASTER'!$AA$2:$AA$495&lt;=1)*('CASE MASTER'!$AC$2:$AC$495&gt;=1)*('CASE MASTER'!$AB$2:$AB$495&lt;=10)*('CASE MASTER'!$AD$2:$AD$495&gt;=10))*ROW('CASE MASTER'!$T$2:$T$495))-(ROW('CASE MASTER'!#REF!)-1)))+1)+(10-INDEX('CASE MASTER'!$AB$2:$AB$495,(SUMPRODUCT((('CASE MASTER'!$T$2:$T$495=2)*('CASE MASTER'!$AA$2:$AA$495&lt;=1)*('CASE MASTER'!$AC$2:$AC$495&gt;=1)*('CASE MASTER'!$AB$2:$AB$495&lt;=10)*('CASE MASTER'!$AD$2:$AD$495&gt;=10))*ROW('CASE MASTER'!$T$2:$T$495))-(ROW('CASE MASTER'!#REF!)-1))))+1)))-1)*50+1,50))&amp;"_"&amp;INDEX('CASE MASTER'!$Q$2:$Q$495,(SUMPRODUCT((('CASE MASTER'!$T$2:$T$495=2)*('CASE MASTER'!$AA$2:$AA$495&lt;=1)*('CASE MASTER'!$AC$2:$AC$495&gt;=1)*('CASE MASTER'!$AB$2:$AB$495&lt;=10)*('CASE MASTER'!$AD$2:$AD$495&gt;=10))*ROW('CASE MASTER'!$T$2:$T$495))-(ROW('CASE MASTER'!#REF!)-1))),"")),"")</f>
        <v/>
      </c>
    </row>
    <row r="18" spans="1:11" ht="15" customHeight="1" x14ac:dyDescent="0.35">
      <c r="A18" s="8" t="s">
        <v>29</v>
      </c>
      <c r="B18" s="10" t="str">
        <f>IFERROR(IF(SUMPRODUCT((('CASE MASTER'!$T$2:$T$495=2)*('CASE MASTER'!$U$2:$U$495&lt;=2)*('CASE MASTER'!$W$2:$W$495&gt;=2)*('CASE MASTER'!$V$2:$V$495&lt;=1)*('CASE MASTER'!$X$2:$X$495&gt;=1))*ROW('CASE MASTER'!$T$2:$T$495))&gt;0,INDEX('CASE MASTER'!$Y$2:$Y$495,(SUMPRODUCT((('CASE MASTER'!$T$2:$T$495=2)*('CASE MASTER'!$U$2:$U$495&lt;=2)*('CASE MASTER'!$W$2:$W$495&gt;=2)*('CASE MASTER'!$V$2:$V$495&lt;=1)*('CASE MASTER'!$X$2:$X$495&gt;=1))*ROW('CASE MASTER'!$T$2:$T$495))-(ROW('CASE MASTER'!#REF!)-1)))&amp;TRIM(MID(SUBSTITUTE(SUBSTITUTE(INDEX('CASE MASTER'!$N$2:$N$495,(SUMPRODUCT((('CASE MASTER'!$T$2:$T$495=2)*('CASE MASTER'!$U$2:$U$495&lt;=2)*('CASE MASTER'!$W$2:$W$495&gt;=2)*('CASE MASTER'!$V$2:$V$495&lt;=1)*('CASE MASTER'!$X$2:$X$495&gt;=1))*ROW('CASE MASTER'!$T$2:$T$495))-(ROW('CASE MASTER'!#REF!)-1))),":",","),",",REPT(" ",50)),((((2-INDEX('CASE MASTER'!$U$2:$U$495,(SUMPRODUCT((('CASE MASTER'!$T$2:$T$495=2)*('CASE MASTER'!$U$2:$U$495&lt;=2)*('CASE MASTER'!$W$2:$W$495&gt;=2)*('CASE MASTER'!$V$2:$V$495&lt;=1)*('CASE MASTER'!$X$2:$X$495&gt;=1))*ROW('CASE MASTER'!$T$2:$T$495))-(ROW('CASE MASTER'!#REF!)-1))))*(INDEX('CASE MASTER'!$X$2:$X$495,(SUMPRODUCT((('CASE MASTER'!$T$2:$T$495=2)*('CASE MASTER'!$U$2:$U$495&lt;=2)*('CASE MASTER'!$W$2:$W$495&gt;=2)*('CASE MASTER'!$V$2:$V$495&lt;=1)*('CASE MASTER'!$X$2:$X$495&gt;=1))*ROW('CASE MASTER'!$T$2:$T$495))-(ROW('CASE MASTER'!#REF!)-1)))-INDEX('CASE MASTER'!$V$2:$V$495,(SUMPRODUCT((('CASE MASTER'!$T$2:$T$495=2)*('CASE MASTER'!$U$2:$U$495&lt;=2)*('CASE MASTER'!$W$2:$W$495&gt;=2)*('CASE MASTER'!$V$2:$V$495&lt;=1)*('CASE MASTER'!$X$2:$X$495&gt;=1))*ROW('CASE MASTER'!$T$2:$T$495))-(ROW('CASE MASTER'!#REF!)-1)))+1)+(1-INDEX('CASE MASTER'!$V$2:$V$495,(SUMPRODUCT((('CASE MASTER'!$T$2:$T$495=2)*('CASE MASTER'!$U$2:$U$495&lt;=2)*('CASE MASTER'!$W$2:$W$495&gt;=2)*('CASE MASTER'!$V$2:$V$495&lt;=1)*('CASE MASTER'!$X$2:$X$495&gt;=1))*ROW('CASE MASTER'!$T$2:$T$495))-(ROW('CASE MASTER'!#REF!)-1))))+1))-1)*50+1,50))&amp;"_"&amp;INDEX('CASE MASTER'!$Q$2:$Q$495,(SUMPRODUCT((('CASE MASTER'!$T$2:$T$495=2)*('CASE MASTER'!$U$2:$U$495&lt;=2)*('CASE MASTER'!$W$2:$W$495&gt;=2)*('CASE MASTER'!$V$2:$V$495&lt;=1)*('CASE MASTER'!$X$2:$X$495&gt;=1))*ROW('CASE MASTER'!$T$2:$T$495))-(ROW('CASE MASTER'!#REF!)-1))),IF(SUMPRODUCT((('CASE MASTER'!$T$2:$T$495=2)*('CASE MASTER'!$AA$2:$AA$495&lt;=2)*('CASE MASTER'!$AC$2:$AC$495&gt;=2)*('CASE MASTER'!$AB$2:$AB$495&lt;=1)*('CASE MASTER'!$AD$2:$AD$495&gt;=1))*ROW('CASE MASTER'!$T$2:$T$495))&gt;0,INDEX('CASE MASTER'!$Y$2:$Y$495,(SUMPRODUCT((('CASE MASTER'!$T$2:$T$495=2)*('CASE MASTER'!$AA$2:$AA$495&lt;=2)*('CASE MASTER'!$AC$2:$AC$495&gt;=2)*('CASE MASTER'!$AB$2:$AB$495&lt;=1)*('CASE MASTER'!$AD$2:$AD$495&gt;=1))*ROW('CASE MASTER'!$T$2:$T$495))-(ROW('CASE MASTER'!#REF!)-1)))&amp;TRIM(MID(SUBSTITUTE(SUBSTITUTE(INDEX('CASE MASTER'!$N$2:$N$495,(SUMPRODUCT((('CASE MASTER'!$T$2:$T$495=2)*('CASE MASTER'!$AA$2:$AA$495&lt;=2)*('CASE MASTER'!$AC$2:$AC$495&gt;=2)*('CASE MASTER'!$AB$2:$AB$495&lt;=1)*('CASE MASTER'!$AD$2:$AD$495&gt;=1))*ROW('CASE MASTER'!$T$2:$T$495))-(ROW('CASE MASTER'!#REF!)-1))),":",","),",",REPT(" ",50)),(((INDEX('CASE MASTER'!$Z$2:$Z$495,(SUMPRODUCT((('CASE MASTER'!$T$2:$T$495=2)*('CASE MASTER'!$AA$2:$AA$495&lt;=2)*('CASE MASTER'!$AC$2:$AC$495&gt;=2)*('CASE MASTER'!$AB$2:$AB$495&lt;=1)*('CASE MASTER'!$AD$2:$AD$495&gt;=1))*ROW('CASE MASTER'!$T$2:$T$495))-(ROW('CASE MASTER'!#REF!)-1)))+((2-INDEX('CASE MASTER'!$AA$2:$AA$495,(SUMPRODUCT((('CASE MASTER'!$T$2:$T$495=2)*('CASE MASTER'!$AA$2:$AA$495&lt;=2)*('CASE MASTER'!$AC$2:$AC$495&gt;=2)*('CASE MASTER'!$AB$2:$AB$495&lt;=1)*('CASE MASTER'!$AD$2:$AD$495&gt;=1))*ROW('CASE MASTER'!$T$2:$T$495))-(ROW('CASE MASTER'!#REF!)-1))))*(INDEX('CASE MASTER'!$AD$2:$AD$495,(SUMPRODUCT((('CASE MASTER'!$T$2:$T$495=2)*('CASE MASTER'!$AA$2:$AA$495&lt;=2)*('CASE MASTER'!$AC$2:$AC$495&gt;=2)*('CASE MASTER'!$AB$2:$AB$495&lt;=1)*('CASE MASTER'!$AD$2:$AD$495&gt;=1))*ROW('CASE MASTER'!$T$2:$T$495))-(ROW('CASE MASTER'!#REF!)-1)))-INDEX('CASE MASTER'!$AB$2:$AB$495,(SUMPRODUCT((('CASE MASTER'!$T$2:$T$495=2)*('CASE MASTER'!$AA$2:$AA$495&lt;=2)*('CASE MASTER'!$AC$2:$AC$495&gt;=2)*('CASE MASTER'!$AB$2:$AB$495&lt;=1)*('CASE MASTER'!$AD$2:$AD$495&gt;=1))*ROW('CASE MASTER'!$T$2:$T$495))-(ROW('CASE MASTER'!#REF!)-1)))+1)+(1-INDEX('CASE MASTER'!$AB$2:$AB$495,(SUMPRODUCT((('CASE MASTER'!$T$2:$T$495=2)*('CASE MASTER'!$AA$2:$AA$495&lt;=2)*('CASE MASTER'!$AC$2:$AC$495&gt;=2)*('CASE MASTER'!$AB$2:$AB$495&lt;=1)*('CASE MASTER'!$AD$2:$AD$495&gt;=1))*ROW('CASE MASTER'!$T$2:$T$495))-(ROW('CASE MASTER'!#REF!)-1))))+1)))-1)*50+1,50))&amp;"_"&amp;INDEX('CASE MASTER'!$Q$2:$Q$495,(SUMPRODUCT((('CASE MASTER'!$T$2:$T$495=2)*('CASE MASTER'!$AA$2:$AA$495&lt;=2)*('CASE MASTER'!$AC$2:$AC$495&gt;=2)*('CASE MASTER'!$AB$2:$AB$495&lt;=1)*('CASE MASTER'!$AD$2:$AD$495&gt;=1))*ROW('CASE MASTER'!$T$2:$T$495))-(ROW('CASE MASTER'!#REF!)-1))),"")),"")</f>
        <v/>
      </c>
      <c r="C18" s="10" t="str">
        <f>IFERROR(IF(SUMPRODUCT((('CASE MASTER'!$T$2:$T$495=2)*('CASE MASTER'!$U$2:$U$495&lt;=2)*('CASE MASTER'!$W$2:$W$495&gt;=2)*('CASE MASTER'!$V$2:$V$495&lt;=2)*('CASE MASTER'!$X$2:$X$495&gt;=2))*ROW('CASE MASTER'!$T$2:$T$495))&gt;0,INDEX('CASE MASTER'!$Y$2:$Y$495,(SUMPRODUCT((('CASE MASTER'!$T$2:$T$495=2)*('CASE MASTER'!$U$2:$U$495&lt;=2)*('CASE MASTER'!$W$2:$W$495&gt;=2)*('CASE MASTER'!$V$2:$V$495&lt;=2)*('CASE MASTER'!$X$2:$X$495&gt;=2))*ROW('CASE MASTER'!$T$2:$T$495))-(ROW('CASE MASTER'!#REF!)-1)))&amp;TRIM(MID(SUBSTITUTE(SUBSTITUTE(INDEX('CASE MASTER'!$N$2:$N$495,(SUMPRODUCT((('CASE MASTER'!$T$2:$T$495=2)*('CASE MASTER'!$U$2:$U$495&lt;=2)*('CASE MASTER'!$W$2:$W$495&gt;=2)*('CASE MASTER'!$V$2:$V$495&lt;=2)*('CASE MASTER'!$X$2:$X$495&gt;=2))*ROW('CASE MASTER'!$T$2:$T$495))-(ROW('CASE MASTER'!#REF!)-1))),":",","),",",REPT(" ",50)),((((2-INDEX('CASE MASTER'!$U$2:$U$495,(SUMPRODUCT((('CASE MASTER'!$T$2:$T$495=2)*('CASE MASTER'!$U$2:$U$495&lt;=2)*('CASE MASTER'!$W$2:$W$495&gt;=2)*('CASE MASTER'!$V$2:$V$495&lt;=2)*('CASE MASTER'!$X$2:$X$495&gt;=2))*ROW('CASE MASTER'!$T$2:$T$495))-(ROW('CASE MASTER'!#REF!)-1))))*(INDEX('CASE MASTER'!$X$2:$X$495,(SUMPRODUCT((('CASE MASTER'!$T$2:$T$495=2)*('CASE MASTER'!$U$2:$U$495&lt;=2)*('CASE MASTER'!$W$2:$W$495&gt;=2)*('CASE MASTER'!$V$2:$V$495&lt;=2)*('CASE MASTER'!$X$2:$X$495&gt;=2))*ROW('CASE MASTER'!$T$2:$T$495))-(ROW('CASE MASTER'!#REF!)-1)))-INDEX('CASE MASTER'!$V$2:$V$495,(SUMPRODUCT((('CASE MASTER'!$T$2:$T$495=2)*('CASE MASTER'!$U$2:$U$495&lt;=2)*('CASE MASTER'!$W$2:$W$495&gt;=2)*('CASE MASTER'!$V$2:$V$495&lt;=2)*('CASE MASTER'!$X$2:$X$495&gt;=2))*ROW('CASE MASTER'!$T$2:$T$495))-(ROW('CASE MASTER'!#REF!)-1)))+1)+(2-INDEX('CASE MASTER'!$V$2:$V$495,(SUMPRODUCT((('CASE MASTER'!$T$2:$T$495=2)*('CASE MASTER'!$U$2:$U$495&lt;=2)*('CASE MASTER'!$W$2:$W$495&gt;=2)*('CASE MASTER'!$V$2:$V$495&lt;=2)*('CASE MASTER'!$X$2:$X$495&gt;=2))*ROW('CASE MASTER'!$T$2:$T$495))-(ROW('CASE MASTER'!#REF!)-1))))+1))-1)*50+1,50))&amp;"_"&amp;INDEX('CASE MASTER'!$Q$2:$Q$495,(SUMPRODUCT((('CASE MASTER'!$T$2:$T$495=2)*('CASE MASTER'!$U$2:$U$495&lt;=2)*('CASE MASTER'!$W$2:$W$495&gt;=2)*('CASE MASTER'!$V$2:$V$495&lt;=2)*('CASE MASTER'!$X$2:$X$495&gt;=2))*ROW('CASE MASTER'!$T$2:$T$495))-(ROW('CASE MASTER'!#REF!)-1))),IF(SUMPRODUCT((('CASE MASTER'!$T$2:$T$495=2)*('CASE MASTER'!$AA$2:$AA$495&lt;=2)*('CASE MASTER'!$AC$2:$AC$495&gt;=2)*('CASE MASTER'!$AB$2:$AB$495&lt;=2)*('CASE MASTER'!$AD$2:$AD$495&gt;=2))*ROW('CASE MASTER'!$T$2:$T$495))&gt;0,INDEX('CASE MASTER'!$Y$2:$Y$495,(SUMPRODUCT((('CASE MASTER'!$T$2:$T$495=2)*('CASE MASTER'!$AA$2:$AA$495&lt;=2)*('CASE MASTER'!$AC$2:$AC$495&gt;=2)*('CASE MASTER'!$AB$2:$AB$495&lt;=2)*('CASE MASTER'!$AD$2:$AD$495&gt;=2))*ROW('CASE MASTER'!$T$2:$T$495))-(ROW('CASE MASTER'!#REF!)-1)))&amp;TRIM(MID(SUBSTITUTE(SUBSTITUTE(INDEX('CASE MASTER'!$N$2:$N$495,(SUMPRODUCT((('CASE MASTER'!$T$2:$T$495=2)*('CASE MASTER'!$AA$2:$AA$495&lt;=2)*('CASE MASTER'!$AC$2:$AC$495&gt;=2)*('CASE MASTER'!$AB$2:$AB$495&lt;=2)*('CASE MASTER'!$AD$2:$AD$495&gt;=2))*ROW('CASE MASTER'!$T$2:$T$495))-(ROW('CASE MASTER'!#REF!)-1))),":",","),",",REPT(" ",50)),(((INDEX('CASE MASTER'!$Z$2:$Z$495,(SUMPRODUCT((('CASE MASTER'!$T$2:$T$495=2)*('CASE MASTER'!$AA$2:$AA$495&lt;=2)*('CASE MASTER'!$AC$2:$AC$495&gt;=2)*('CASE MASTER'!$AB$2:$AB$495&lt;=2)*('CASE MASTER'!$AD$2:$AD$495&gt;=2))*ROW('CASE MASTER'!$T$2:$T$495))-(ROW('CASE MASTER'!#REF!)-1)))+((2-INDEX('CASE MASTER'!$AA$2:$AA$495,(SUMPRODUCT((('CASE MASTER'!$T$2:$T$495=2)*('CASE MASTER'!$AA$2:$AA$495&lt;=2)*('CASE MASTER'!$AC$2:$AC$495&gt;=2)*('CASE MASTER'!$AB$2:$AB$495&lt;=2)*('CASE MASTER'!$AD$2:$AD$495&gt;=2))*ROW('CASE MASTER'!$T$2:$T$495))-(ROW('CASE MASTER'!#REF!)-1))))*(INDEX('CASE MASTER'!$AD$2:$AD$495,(SUMPRODUCT((('CASE MASTER'!$T$2:$T$495=2)*('CASE MASTER'!$AA$2:$AA$495&lt;=2)*('CASE MASTER'!$AC$2:$AC$495&gt;=2)*('CASE MASTER'!$AB$2:$AB$495&lt;=2)*('CASE MASTER'!$AD$2:$AD$495&gt;=2))*ROW('CASE MASTER'!$T$2:$T$495))-(ROW('CASE MASTER'!#REF!)-1)))-INDEX('CASE MASTER'!$AB$2:$AB$495,(SUMPRODUCT((('CASE MASTER'!$T$2:$T$495=2)*('CASE MASTER'!$AA$2:$AA$495&lt;=2)*('CASE MASTER'!$AC$2:$AC$495&gt;=2)*('CASE MASTER'!$AB$2:$AB$495&lt;=2)*('CASE MASTER'!$AD$2:$AD$495&gt;=2))*ROW('CASE MASTER'!$T$2:$T$495))-(ROW('CASE MASTER'!#REF!)-1)))+1)+(2-INDEX('CASE MASTER'!$AB$2:$AB$495,(SUMPRODUCT((('CASE MASTER'!$T$2:$T$495=2)*('CASE MASTER'!$AA$2:$AA$495&lt;=2)*('CASE MASTER'!$AC$2:$AC$495&gt;=2)*('CASE MASTER'!$AB$2:$AB$495&lt;=2)*('CASE MASTER'!$AD$2:$AD$495&gt;=2))*ROW('CASE MASTER'!$T$2:$T$495))-(ROW('CASE MASTER'!#REF!)-1))))+1)))-1)*50+1,50))&amp;"_"&amp;INDEX('CASE MASTER'!$Q$2:$Q$495,(SUMPRODUCT((('CASE MASTER'!$T$2:$T$495=2)*('CASE MASTER'!$AA$2:$AA$495&lt;=2)*('CASE MASTER'!$AC$2:$AC$495&gt;=2)*('CASE MASTER'!$AB$2:$AB$495&lt;=2)*('CASE MASTER'!$AD$2:$AD$495&gt;=2))*ROW('CASE MASTER'!$T$2:$T$495))-(ROW('CASE MASTER'!#REF!)-1))),"")),"")</f>
        <v/>
      </c>
      <c r="D18" s="10" t="str">
        <f>IFERROR(IF(SUMPRODUCT((('CASE MASTER'!$T$2:$T$495=2)*('CASE MASTER'!$U$2:$U$495&lt;=2)*('CASE MASTER'!$W$2:$W$495&gt;=2)*('CASE MASTER'!$V$2:$V$495&lt;=3)*('CASE MASTER'!$X$2:$X$495&gt;=3))*ROW('CASE MASTER'!$T$2:$T$495))&gt;0,INDEX('CASE MASTER'!$Y$2:$Y$495,(SUMPRODUCT((('CASE MASTER'!$T$2:$T$495=2)*('CASE MASTER'!$U$2:$U$495&lt;=2)*('CASE MASTER'!$W$2:$W$495&gt;=2)*('CASE MASTER'!$V$2:$V$495&lt;=3)*('CASE MASTER'!$X$2:$X$495&gt;=3))*ROW('CASE MASTER'!$T$2:$T$495))-(ROW('CASE MASTER'!#REF!)-1)))&amp;TRIM(MID(SUBSTITUTE(SUBSTITUTE(INDEX('CASE MASTER'!$N$2:$N$495,(SUMPRODUCT((('CASE MASTER'!$T$2:$T$495=2)*('CASE MASTER'!$U$2:$U$495&lt;=2)*('CASE MASTER'!$W$2:$W$495&gt;=2)*('CASE MASTER'!$V$2:$V$495&lt;=3)*('CASE MASTER'!$X$2:$X$495&gt;=3))*ROW('CASE MASTER'!$T$2:$T$495))-(ROW('CASE MASTER'!#REF!)-1))),":",","),",",REPT(" ",50)),((((2-INDEX('CASE MASTER'!$U$2:$U$495,(SUMPRODUCT((('CASE MASTER'!$T$2:$T$495=2)*('CASE MASTER'!$U$2:$U$495&lt;=2)*('CASE MASTER'!$W$2:$W$495&gt;=2)*('CASE MASTER'!$V$2:$V$495&lt;=3)*('CASE MASTER'!$X$2:$X$495&gt;=3))*ROW('CASE MASTER'!$T$2:$T$495))-(ROW('CASE MASTER'!#REF!)-1))))*(INDEX('CASE MASTER'!$X$2:$X$495,(SUMPRODUCT((('CASE MASTER'!$T$2:$T$495=2)*('CASE MASTER'!$U$2:$U$495&lt;=2)*('CASE MASTER'!$W$2:$W$495&gt;=2)*('CASE MASTER'!$V$2:$V$495&lt;=3)*('CASE MASTER'!$X$2:$X$495&gt;=3))*ROW('CASE MASTER'!$T$2:$T$495))-(ROW('CASE MASTER'!#REF!)-1)))-INDEX('CASE MASTER'!$V$2:$V$495,(SUMPRODUCT((('CASE MASTER'!$T$2:$T$495=2)*('CASE MASTER'!$U$2:$U$495&lt;=2)*('CASE MASTER'!$W$2:$W$495&gt;=2)*('CASE MASTER'!$V$2:$V$495&lt;=3)*('CASE MASTER'!$X$2:$X$495&gt;=3))*ROW('CASE MASTER'!$T$2:$T$495))-(ROW('CASE MASTER'!#REF!)-1)))+1)+(3-INDEX('CASE MASTER'!$V$2:$V$495,(SUMPRODUCT((('CASE MASTER'!$T$2:$T$495=2)*('CASE MASTER'!$U$2:$U$495&lt;=2)*('CASE MASTER'!$W$2:$W$495&gt;=2)*('CASE MASTER'!$V$2:$V$495&lt;=3)*('CASE MASTER'!$X$2:$X$495&gt;=3))*ROW('CASE MASTER'!$T$2:$T$495))-(ROW('CASE MASTER'!#REF!)-1))))+1))-1)*50+1,50))&amp;"_"&amp;INDEX('CASE MASTER'!$Q$2:$Q$495,(SUMPRODUCT((('CASE MASTER'!$T$2:$T$495=2)*('CASE MASTER'!$U$2:$U$495&lt;=2)*('CASE MASTER'!$W$2:$W$495&gt;=2)*('CASE MASTER'!$V$2:$V$495&lt;=3)*('CASE MASTER'!$X$2:$X$495&gt;=3))*ROW('CASE MASTER'!$T$2:$T$495))-(ROW('CASE MASTER'!#REF!)-1))),IF(SUMPRODUCT((('CASE MASTER'!$T$2:$T$495=2)*('CASE MASTER'!$AA$2:$AA$495&lt;=2)*('CASE MASTER'!$AC$2:$AC$495&gt;=2)*('CASE MASTER'!$AB$2:$AB$495&lt;=3)*('CASE MASTER'!$AD$2:$AD$495&gt;=3))*ROW('CASE MASTER'!$T$2:$T$495))&gt;0,INDEX('CASE MASTER'!$Y$2:$Y$495,(SUMPRODUCT((('CASE MASTER'!$T$2:$T$495=2)*('CASE MASTER'!$AA$2:$AA$495&lt;=2)*('CASE MASTER'!$AC$2:$AC$495&gt;=2)*('CASE MASTER'!$AB$2:$AB$495&lt;=3)*('CASE MASTER'!$AD$2:$AD$495&gt;=3))*ROW('CASE MASTER'!$T$2:$T$495))-(ROW('CASE MASTER'!#REF!)-1)))&amp;TRIM(MID(SUBSTITUTE(SUBSTITUTE(INDEX('CASE MASTER'!$N$2:$N$495,(SUMPRODUCT((('CASE MASTER'!$T$2:$T$495=2)*('CASE MASTER'!$AA$2:$AA$495&lt;=2)*('CASE MASTER'!$AC$2:$AC$495&gt;=2)*('CASE MASTER'!$AB$2:$AB$495&lt;=3)*('CASE MASTER'!$AD$2:$AD$495&gt;=3))*ROW('CASE MASTER'!$T$2:$T$495))-(ROW('CASE MASTER'!#REF!)-1))),":",","),",",REPT(" ",50)),(((INDEX('CASE MASTER'!$Z$2:$Z$495,(SUMPRODUCT((('CASE MASTER'!$T$2:$T$495=2)*('CASE MASTER'!$AA$2:$AA$495&lt;=2)*('CASE MASTER'!$AC$2:$AC$495&gt;=2)*('CASE MASTER'!$AB$2:$AB$495&lt;=3)*('CASE MASTER'!$AD$2:$AD$495&gt;=3))*ROW('CASE MASTER'!$T$2:$T$495))-(ROW('CASE MASTER'!#REF!)-1)))+((2-INDEX('CASE MASTER'!$AA$2:$AA$495,(SUMPRODUCT((('CASE MASTER'!$T$2:$T$495=2)*('CASE MASTER'!$AA$2:$AA$495&lt;=2)*('CASE MASTER'!$AC$2:$AC$495&gt;=2)*('CASE MASTER'!$AB$2:$AB$495&lt;=3)*('CASE MASTER'!$AD$2:$AD$495&gt;=3))*ROW('CASE MASTER'!$T$2:$T$495))-(ROW('CASE MASTER'!#REF!)-1))))*(INDEX('CASE MASTER'!$AD$2:$AD$495,(SUMPRODUCT((('CASE MASTER'!$T$2:$T$495=2)*('CASE MASTER'!$AA$2:$AA$495&lt;=2)*('CASE MASTER'!$AC$2:$AC$495&gt;=2)*('CASE MASTER'!$AB$2:$AB$495&lt;=3)*('CASE MASTER'!$AD$2:$AD$495&gt;=3))*ROW('CASE MASTER'!$T$2:$T$495))-(ROW('CASE MASTER'!#REF!)-1)))-INDEX('CASE MASTER'!$AB$2:$AB$495,(SUMPRODUCT((('CASE MASTER'!$T$2:$T$495=2)*('CASE MASTER'!$AA$2:$AA$495&lt;=2)*('CASE MASTER'!$AC$2:$AC$495&gt;=2)*('CASE MASTER'!$AB$2:$AB$495&lt;=3)*('CASE MASTER'!$AD$2:$AD$495&gt;=3))*ROW('CASE MASTER'!$T$2:$T$495))-(ROW('CASE MASTER'!#REF!)-1)))+1)+(3-INDEX('CASE MASTER'!$AB$2:$AB$495,(SUMPRODUCT((('CASE MASTER'!$T$2:$T$495=2)*('CASE MASTER'!$AA$2:$AA$495&lt;=2)*('CASE MASTER'!$AC$2:$AC$495&gt;=2)*('CASE MASTER'!$AB$2:$AB$495&lt;=3)*('CASE MASTER'!$AD$2:$AD$495&gt;=3))*ROW('CASE MASTER'!$T$2:$T$495))-(ROW('CASE MASTER'!#REF!)-1))))+1)))-1)*50+1,50))&amp;"_"&amp;INDEX('CASE MASTER'!$Q$2:$Q$495,(SUMPRODUCT((('CASE MASTER'!$T$2:$T$495=2)*('CASE MASTER'!$AA$2:$AA$495&lt;=2)*('CASE MASTER'!$AC$2:$AC$495&gt;=2)*('CASE MASTER'!$AB$2:$AB$495&lt;=3)*('CASE MASTER'!$AD$2:$AD$495&gt;=3))*ROW('CASE MASTER'!$T$2:$T$495))-(ROW('CASE MASTER'!#REF!)-1))),"")),"")</f>
        <v/>
      </c>
      <c r="E18" s="10" t="str">
        <f>IFERROR(IF(SUMPRODUCT((('CASE MASTER'!$T$2:$T$495=2)*('CASE MASTER'!$U$2:$U$495&lt;=2)*('CASE MASTER'!$W$2:$W$495&gt;=2)*('CASE MASTER'!$V$2:$V$495&lt;=4)*('CASE MASTER'!$X$2:$X$495&gt;=4))*ROW('CASE MASTER'!$T$2:$T$495))&gt;0,INDEX('CASE MASTER'!$Y$2:$Y$495,(SUMPRODUCT((('CASE MASTER'!$T$2:$T$495=2)*('CASE MASTER'!$U$2:$U$495&lt;=2)*('CASE MASTER'!$W$2:$W$495&gt;=2)*('CASE MASTER'!$V$2:$V$495&lt;=4)*('CASE MASTER'!$X$2:$X$495&gt;=4))*ROW('CASE MASTER'!$T$2:$T$495))-(ROW('CASE MASTER'!#REF!)-1)))&amp;TRIM(MID(SUBSTITUTE(SUBSTITUTE(INDEX('CASE MASTER'!$N$2:$N$495,(SUMPRODUCT((('CASE MASTER'!$T$2:$T$495=2)*('CASE MASTER'!$U$2:$U$495&lt;=2)*('CASE MASTER'!$W$2:$W$495&gt;=2)*('CASE MASTER'!$V$2:$V$495&lt;=4)*('CASE MASTER'!$X$2:$X$495&gt;=4))*ROW('CASE MASTER'!$T$2:$T$495))-(ROW('CASE MASTER'!#REF!)-1))),":",","),",",REPT(" ",50)),((((2-INDEX('CASE MASTER'!$U$2:$U$495,(SUMPRODUCT((('CASE MASTER'!$T$2:$T$495=2)*('CASE MASTER'!$U$2:$U$495&lt;=2)*('CASE MASTER'!$W$2:$W$495&gt;=2)*('CASE MASTER'!$V$2:$V$495&lt;=4)*('CASE MASTER'!$X$2:$X$495&gt;=4))*ROW('CASE MASTER'!$T$2:$T$495))-(ROW('CASE MASTER'!#REF!)-1))))*(INDEX('CASE MASTER'!$X$2:$X$495,(SUMPRODUCT((('CASE MASTER'!$T$2:$T$495=2)*('CASE MASTER'!$U$2:$U$495&lt;=2)*('CASE MASTER'!$W$2:$W$495&gt;=2)*('CASE MASTER'!$V$2:$V$495&lt;=4)*('CASE MASTER'!$X$2:$X$495&gt;=4))*ROW('CASE MASTER'!$T$2:$T$495))-(ROW('CASE MASTER'!#REF!)-1)))-INDEX('CASE MASTER'!$V$2:$V$495,(SUMPRODUCT((('CASE MASTER'!$T$2:$T$495=2)*('CASE MASTER'!$U$2:$U$495&lt;=2)*('CASE MASTER'!$W$2:$W$495&gt;=2)*('CASE MASTER'!$V$2:$V$495&lt;=4)*('CASE MASTER'!$X$2:$X$495&gt;=4))*ROW('CASE MASTER'!$T$2:$T$495))-(ROW('CASE MASTER'!#REF!)-1)))+1)+(4-INDEX('CASE MASTER'!$V$2:$V$495,(SUMPRODUCT((('CASE MASTER'!$T$2:$T$495=2)*('CASE MASTER'!$U$2:$U$495&lt;=2)*('CASE MASTER'!$W$2:$W$495&gt;=2)*('CASE MASTER'!$V$2:$V$495&lt;=4)*('CASE MASTER'!$X$2:$X$495&gt;=4))*ROW('CASE MASTER'!$T$2:$T$495))-(ROW('CASE MASTER'!#REF!)-1))))+1))-1)*50+1,50))&amp;"_"&amp;INDEX('CASE MASTER'!$Q$2:$Q$495,(SUMPRODUCT((('CASE MASTER'!$T$2:$T$495=2)*('CASE MASTER'!$U$2:$U$495&lt;=2)*('CASE MASTER'!$W$2:$W$495&gt;=2)*('CASE MASTER'!$V$2:$V$495&lt;=4)*('CASE MASTER'!$X$2:$X$495&gt;=4))*ROW('CASE MASTER'!$T$2:$T$495))-(ROW('CASE MASTER'!#REF!)-1))),IF(SUMPRODUCT((('CASE MASTER'!$T$2:$T$495=2)*('CASE MASTER'!$AA$2:$AA$495&lt;=2)*('CASE MASTER'!$AC$2:$AC$495&gt;=2)*('CASE MASTER'!$AB$2:$AB$495&lt;=4)*('CASE MASTER'!$AD$2:$AD$495&gt;=4))*ROW('CASE MASTER'!$T$2:$T$495))&gt;0,INDEX('CASE MASTER'!$Y$2:$Y$495,(SUMPRODUCT((('CASE MASTER'!$T$2:$T$495=2)*('CASE MASTER'!$AA$2:$AA$495&lt;=2)*('CASE MASTER'!$AC$2:$AC$495&gt;=2)*('CASE MASTER'!$AB$2:$AB$495&lt;=4)*('CASE MASTER'!$AD$2:$AD$495&gt;=4))*ROW('CASE MASTER'!$T$2:$T$495))-(ROW('CASE MASTER'!#REF!)-1)))&amp;TRIM(MID(SUBSTITUTE(SUBSTITUTE(INDEX('CASE MASTER'!$N$2:$N$495,(SUMPRODUCT((('CASE MASTER'!$T$2:$T$495=2)*('CASE MASTER'!$AA$2:$AA$495&lt;=2)*('CASE MASTER'!$AC$2:$AC$495&gt;=2)*('CASE MASTER'!$AB$2:$AB$495&lt;=4)*('CASE MASTER'!$AD$2:$AD$495&gt;=4))*ROW('CASE MASTER'!$T$2:$T$495))-(ROW('CASE MASTER'!#REF!)-1))),":",","),",",REPT(" ",50)),(((INDEX('CASE MASTER'!$Z$2:$Z$495,(SUMPRODUCT((('CASE MASTER'!$T$2:$T$495=2)*('CASE MASTER'!$AA$2:$AA$495&lt;=2)*('CASE MASTER'!$AC$2:$AC$495&gt;=2)*('CASE MASTER'!$AB$2:$AB$495&lt;=4)*('CASE MASTER'!$AD$2:$AD$495&gt;=4))*ROW('CASE MASTER'!$T$2:$T$495))-(ROW('CASE MASTER'!#REF!)-1)))+((2-INDEX('CASE MASTER'!$AA$2:$AA$495,(SUMPRODUCT((('CASE MASTER'!$T$2:$T$495=2)*('CASE MASTER'!$AA$2:$AA$495&lt;=2)*('CASE MASTER'!$AC$2:$AC$495&gt;=2)*('CASE MASTER'!$AB$2:$AB$495&lt;=4)*('CASE MASTER'!$AD$2:$AD$495&gt;=4))*ROW('CASE MASTER'!$T$2:$T$495))-(ROW('CASE MASTER'!#REF!)-1))))*(INDEX('CASE MASTER'!$AD$2:$AD$495,(SUMPRODUCT((('CASE MASTER'!$T$2:$T$495=2)*('CASE MASTER'!$AA$2:$AA$495&lt;=2)*('CASE MASTER'!$AC$2:$AC$495&gt;=2)*('CASE MASTER'!$AB$2:$AB$495&lt;=4)*('CASE MASTER'!$AD$2:$AD$495&gt;=4))*ROW('CASE MASTER'!$T$2:$T$495))-(ROW('CASE MASTER'!#REF!)-1)))-INDEX('CASE MASTER'!$AB$2:$AB$495,(SUMPRODUCT((('CASE MASTER'!$T$2:$T$495=2)*('CASE MASTER'!$AA$2:$AA$495&lt;=2)*('CASE MASTER'!$AC$2:$AC$495&gt;=2)*('CASE MASTER'!$AB$2:$AB$495&lt;=4)*('CASE MASTER'!$AD$2:$AD$495&gt;=4))*ROW('CASE MASTER'!$T$2:$T$495))-(ROW('CASE MASTER'!#REF!)-1)))+1)+(4-INDEX('CASE MASTER'!$AB$2:$AB$495,(SUMPRODUCT((('CASE MASTER'!$T$2:$T$495=2)*('CASE MASTER'!$AA$2:$AA$495&lt;=2)*('CASE MASTER'!$AC$2:$AC$495&gt;=2)*('CASE MASTER'!$AB$2:$AB$495&lt;=4)*('CASE MASTER'!$AD$2:$AD$495&gt;=4))*ROW('CASE MASTER'!$T$2:$T$495))-(ROW('CASE MASTER'!#REF!)-1))))+1)))-1)*50+1,50))&amp;"_"&amp;INDEX('CASE MASTER'!$Q$2:$Q$495,(SUMPRODUCT((('CASE MASTER'!$T$2:$T$495=2)*('CASE MASTER'!$AA$2:$AA$495&lt;=2)*('CASE MASTER'!$AC$2:$AC$495&gt;=2)*('CASE MASTER'!$AB$2:$AB$495&lt;=4)*('CASE MASTER'!$AD$2:$AD$495&gt;=4))*ROW('CASE MASTER'!$T$2:$T$495))-(ROW('CASE MASTER'!#REF!)-1))),"")),"")</f>
        <v/>
      </c>
      <c r="F18" s="10" t="str">
        <f>IFERROR(IF(SUMPRODUCT((('CASE MASTER'!$T$2:$T$495=2)*('CASE MASTER'!$U$2:$U$495&lt;=2)*('CASE MASTER'!$W$2:$W$495&gt;=2)*('CASE MASTER'!$V$2:$V$495&lt;=5)*('CASE MASTER'!$X$2:$X$495&gt;=5))*ROW('CASE MASTER'!$T$2:$T$495))&gt;0,INDEX('CASE MASTER'!$Y$2:$Y$495,(SUMPRODUCT((('CASE MASTER'!$T$2:$T$495=2)*('CASE MASTER'!$U$2:$U$495&lt;=2)*('CASE MASTER'!$W$2:$W$495&gt;=2)*('CASE MASTER'!$V$2:$V$495&lt;=5)*('CASE MASTER'!$X$2:$X$495&gt;=5))*ROW('CASE MASTER'!$T$2:$T$495))-(ROW('CASE MASTER'!#REF!)-1)))&amp;TRIM(MID(SUBSTITUTE(SUBSTITUTE(INDEX('CASE MASTER'!$N$2:$N$495,(SUMPRODUCT((('CASE MASTER'!$T$2:$T$495=2)*('CASE MASTER'!$U$2:$U$495&lt;=2)*('CASE MASTER'!$W$2:$W$495&gt;=2)*('CASE MASTER'!$V$2:$V$495&lt;=5)*('CASE MASTER'!$X$2:$X$495&gt;=5))*ROW('CASE MASTER'!$T$2:$T$495))-(ROW('CASE MASTER'!#REF!)-1))),":",","),",",REPT(" ",50)),((((2-INDEX('CASE MASTER'!$U$2:$U$495,(SUMPRODUCT((('CASE MASTER'!$T$2:$T$495=2)*('CASE MASTER'!$U$2:$U$495&lt;=2)*('CASE MASTER'!$W$2:$W$495&gt;=2)*('CASE MASTER'!$V$2:$V$495&lt;=5)*('CASE MASTER'!$X$2:$X$495&gt;=5))*ROW('CASE MASTER'!$T$2:$T$495))-(ROW('CASE MASTER'!#REF!)-1))))*(INDEX('CASE MASTER'!$X$2:$X$495,(SUMPRODUCT((('CASE MASTER'!$T$2:$T$495=2)*('CASE MASTER'!$U$2:$U$495&lt;=2)*('CASE MASTER'!$W$2:$W$495&gt;=2)*('CASE MASTER'!$V$2:$V$495&lt;=5)*('CASE MASTER'!$X$2:$X$495&gt;=5))*ROW('CASE MASTER'!$T$2:$T$495))-(ROW('CASE MASTER'!#REF!)-1)))-INDEX('CASE MASTER'!$V$2:$V$495,(SUMPRODUCT((('CASE MASTER'!$T$2:$T$495=2)*('CASE MASTER'!$U$2:$U$495&lt;=2)*('CASE MASTER'!$W$2:$W$495&gt;=2)*('CASE MASTER'!$V$2:$V$495&lt;=5)*('CASE MASTER'!$X$2:$X$495&gt;=5))*ROW('CASE MASTER'!$T$2:$T$495))-(ROW('CASE MASTER'!#REF!)-1)))+1)+(5-INDEX('CASE MASTER'!$V$2:$V$495,(SUMPRODUCT((('CASE MASTER'!$T$2:$T$495=2)*('CASE MASTER'!$U$2:$U$495&lt;=2)*('CASE MASTER'!$W$2:$W$495&gt;=2)*('CASE MASTER'!$V$2:$V$495&lt;=5)*('CASE MASTER'!$X$2:$X$495&gt;=5))*ROW('CASE MASTER'!$T$2:$T$495))-(ROW('CASE MASTER'!#REF!)-1))))+1))-1)*50+1,50))&amp;"_"&amp;INDEX('CASE MASTER'!$Q$2:$Q$495,(SUMPRODUCT((('CASE MASTER'!$T$2:$T$495=2)*('CASE MASTER'!$U$2:$U$495&lt;=2)*('CASE MASTER'!$W$2:$W$495&gt;=2)*('CASE MASTER'!$V$2:$V$495&lt;=5)*('CASE MASTER'!$X$2:$X$495&gt;=5))*ROW('CASE MASTER'!$T$2:$T$495))-(ROW('CASE MASTER'!#REF!)-1))),IF(SUMPRODUCT((('CASE MASTER'!$T$2:$T$495=2)*('CASE MASTER'!$AA$2:$AA$495&lt;=2)*('CASE MASTER'!$AC$2:$AC$495&gt;=2)*('CASE MASTER'!$AB$2:$AB$495&lt;=5)*('CASE MASTER'!$AD$2:$AD$495&gt;=5))*ROW('CASE MASTER'!$T$2:$T$495))&gt;0,INDEX('CASE MASTER'!$Y$2:$Y$495,(SUMPRODUCT((('CASE MASTER'!$T$2:$T$495=2)*('CASE MASTER'!$AA$2:$AA$495&lt;=2)*('CASE MASTER'!$AC$2:$AC$495&gt;=2)*('CASE MASTER'!$AB$2:$AB$495&lt;=5)*('CASE MASTER'!$AD$2:$AD$495&gt;=5))*ROW('CASE MASTER'!$T$2:$T$495))-(ROW('CASE MASTER'!#REF!)-1)))&amp;TRIM(MID(SUBSTITUTE(SUBSTITUTE(INDEX('CASE MASTER'!$N$2:$N$495,(SUMPRODUCT((('CASE MASTER'!$T$2:$T$495=2)*('CASE MASTER'!$AA$2:$AA$495&lt;=2)*('CASE MASTER'!$AC$2:$AC$495&gt;=2)*('CASE MASTER'!$AB$2:$AB$495&lt;=5)*('CASE MASTER'!$AD$2:$AD$495&gt;=5))*ROW('CASE MASTER'!$T$2:$T$495))-(ROW('CASE MASTER'!#REF!)-1))),":",","),",",REPT(" ",50)),(((INDEX('CASE MASTER'!$Z$2:$Z$495,(SUMPRODUCT((('CASE MASTER'!$T$2:$T$495=2)*('CASE MASTER'!$AA$2:$AA$495&lt;=2)*('CASE MASTER'!$AC$2:$AC$495&gt;=2)*('CASE MASTER'!$AB$2:$AB$495&lt;=5)*('CASE MASTER'!$AD$2:$AD$495&gt;=5))*ROW('CASE MASTER'!$T$2:$T$495))-(ROW('CASE MASTER'!#REF!)-1)))+((2-INDEX('CASE MASTER'!$AA$2:$AA$495,(SUMPRODUCT((('CASE MASTER'!$T$2:$T$495=2)*('CASE MASTER'!$AA$2:$AA$495&lt;=2)*('CASE MASTER'!$AC$2:$AC$495&gt;=2)*('CASE MASTER'!$AB$2:$AB$495&lt;=5)*('CASE MASTER'!$AD$2:$AD$495&gt;=5))*ROW('CASE MASTER'!$T$2:$T$495))-(ROW('CASE MASTER'!#REF!)-1))))*(INDEX('CASE MASTER'!$AD$2:$AD$495,(SUMPRODUCT((('CASE MASTER'!$T$2:$T$495=2)*('CASE MASTER'!$AA$2:$AA$495&lt;=2)*('CASE MASTER'!$AC$2:$AC$495&gt;=2)*('CASE MASTER'!$AB$2:$AB$495&lt;=5)*('CASE MASTER'!$AD$2:$AD$495&gt;=5))*ROW('CASE MASTER'!$T$2:$T$495))-(ROW('CASE MASTER'!#REF!)-1)))-INDEX('CASE MASTER'!$AB$2:$AB$495,(SUMPRODUCT((('CASE MASTER'!$T$2:$T$495=2)*('CASE MASTER'!$AA$2:$AA$495&lt;=2)*('CASE MASTER'!$AC$2:$AC$495&gt;=2)*('CASE MASTER'!$AB$2:$AB$495&lt;=5)*('CASE MASTER'!$AD$2:$AD$495&gt;=5))*ROW('CASE MASTER'!$T$2:$T$495))-(ROW('CASE MASTER'!#REF!)-1)))+1)+(5-INDEX('CASE MASTER'!$AB$2:$AB$495,(SUMPRODUCT((('CASE MASTER'!$T$2:$T$495=2)*('CASE MASTER'!$AA$2:$AA$495&lt;=2)*('CASE MASTER'!$AC$2:$AC$495&gt;=2)*('CASE MASTER'!$AB$2:$AB$495&lt;=5)*('CASE MASTER'!$AD$2:$AD$495&gt;=5))*ROW('CASE MASTER'!$T$2:$T$495))-(ROW('CASE MASTER'!#REF!)-1))))+1)))-1)*50+1,50))&amp;"_"&amp;INDEX('CASE MASTER'!$Q$2:$Q$495,(SUMPRODUCT((('CASE MASTER'!$T$2:$T$495=2)*('CASE MASTER'!$AA$2:$AA$495&lt;=2)*('CASE MASTER'!$AC$2:$AC$495&gt;=2)*('CASE MASTER'!$AB$2:$AB$495&lt;=5)*('CASE MASTER'!$AD$2:$AD$495&gt;=5))*ROW('CASE MASTER'!$T$2:$T$495))-(ROW('CASE MASTER'!#REF!)-1))),"")),"")</f>
        <v/>
      </c>
      <c r="G18" s="10" t="str">
        <f>IFERROR(IF(SUMPRODUCT((('CASE MASTER'!$T$2:$T$495=2)*('CASE MASTER'!$U$2:$U$495&lt;=2)*('CASE MASTER'!$W$2:$W$495&gt;=2)*('CASE MASTER'!$V$2:$V$495&lt;=6)*('CASE MASTER'!$X$2:$X$495&gt;=6))*ROW('CASE MASTER'!$T$2:$T$495))&gt;0,INDEX('CASE MASTER'!$Y$2:$Y$495,(SUMPRODUCT((('CASE MASTER'!$T$2:$T$495=2)*('CASE MASTER'!$U$2:$U$495&lt;=2)*('CASE MASTER'!$W$2:$W$495&gt;=2)*('CASE MASTER'!$V$2:$V$495&lt;=6)*('CASE MASTER'!$X$2:$X$495&gt;=6))*ROW('CASE MASTER'!$T$2:$T$495))-(ROW('CASE MASTER'!#REF!)-1)))&amp;TRIM(MID(SUBSTITUTE(SUBSTITUTE(INDEX('CASE MASTER'!$N$2:$N$495,(SUMPRODUCT((('CASE MASTER'!$T$2:$T$495=2)*('CASE MASTER'!$U$2:$U$495&lt;=2)*('CASE MASTER'!$W$2:$W$495&gt;=2)*('CASE MASTER'!$V$2:$V$495&lt;=6)*('CASE MASTER'!$X$2:$X$495&gt;=6))*ROW('CASE MASTER'!$T$2:$T$495))-(ROW('CASE MASTER'!#REF!)-1))),":",","),",",REPT(" ",50)),((((2-INDEX('CASE MASTER'!$U$2:$U$495,(SUMPRODUCT((('CASE MASTER'!$T$2:$T$495=2)*('CASE MASTER'!$U$2:$U$495&lt;=2)*('CASE MASTER'!$W$2:$W$495&gt;=2)*('CASE MASTER'!$V$2:$V$495&lt;=6)*('CASE MASTER'!$X$2:$X$495&gt;=6))*ROW('CASE MASTER'!$T$2:$T$495))-(ROW('CASE MASTER'!#REF!)-1))))*(INDEX('CASE MASTER'!$X$2:$X$495,(SUMPRODUCT((('CASE MASTER'!$T$2:$T$495=2)*('CASE MASTER'!$U$2:$U$495&lt;=2)*('CASE MASTER'!$W$2:$W$495&gt;=2)*('CASE MASTER'!$V$2:$V$495&lt;=6)*('CASE MASTER'!$X$2:$X$495&gt;=6))*ROW('CASE MASTER'!$T$2:$T$495))-(ROW('CASE MASTER'!#REF!)-1)))-INDEX('CASE MASTER'!$V$2:$V$495,(SUMPRODUCT((('CASE MASTER'!$T$2:$T$495=2)*('CASE MASTER'!$U$2:$U$495&lt;=2)*('CASE MASTER'!$W$2:$W$495&gt;=2)*('CASE MASTER'!$V$2:$V$495&lt;=6)*('CASE MASTER'!$X$2:$X$495&gt;=6))*ROW('CASE MASTER'!$T$2:$T$495))-(ROW('CASE MASTER'!#REF!)-1)))+1)+(6-INDEX('CASE MASTER'!$V$2:$V$495,(SUMPRODUCT((('CASE MASTER'!$T$2:$T$495=2)*('CASE MASTER'!$U$2:$U$495&lt;=2)*('CASE MASTER'!$W$2:$W$495&gt;=2)*('CASE MASTER'!$V$2:$V$495&lt;=6)*('CASE MASTER'!$X$2:$X$495&gt;=6))*ROW('CASE MASTER'!$T$2:$T$495))-(ROW('CASE MASTER'!#REF!)-1))))+1))-1)*50+1,50))&amp;"_"&amp;INDEX('CASE MASTER'!$Q$2:$Q$495,(SUMPRODUCT((('CASE MASTER'!$T$2:$T$495=2)*('CASE MASTER'!$U$2:$U$495&lt;=2)*('CASE MASTER'!$W$2:$W$495&gt;=2)*('CASE MASTER'!$V$2:$V$495&lt;=6)*('CASE MASTER'!$X$2:$X$495&gt;=6))*ROW('CASE MASTER'!$T$2:$T$495))-(ROW('CASE MASTER'!#REF!)-1))),IF(SUMPRODUCT((('CASE MASTER'!$T$2:$T$495=2)*('CASE MASTER'!$AA$2:$AA$495&lt;=2)*('CASE MASTER'!$AC$2:$AC$495&gt;=2)*('CASE MASTER'!$AB$2:$AB$495&lt;=6)*('CASE MASTER'!$AD$2:$AD$495&gt;=6))*ROW('CASE MASTER'!$T$2:$T$495))&gt;0,INDEX('CASE MASTER'!$Y$2:$Y$495,(SUMPRODUCT((('CASE MASTER'!$T$2:$T$495=2)*('CASE MASTER'!$AA$2:$AA$495&lt;=2)*('CASE MASTER'!$AC$2:$AC$495&gt;=2)*('CASE MASTER'!$AB$2:$AB$495&lt;=6)*('CASE MASTER'!$AD$2:$AD$495&gt;=6))*ROW('CASE MASTER'!$T$2:$T$495))-(ROW('CASE MASTER'!#REF!)-1)))&amp;TRIM(MID(SUBSTITUTE(SUBSTITUTE(INDEX('CASE MASTER'!$N$2:$N$495,(SUMPRODUCT((('CASE MASTER'!$T$2:$T$495=2)*('CASE MASTER'!$AA$2:$AA$495&lt;=2)*('CASE MASTER'!$AC$2:$AC$495&gt;=2)*('CASE MASTER'!$AB$2:$AB$495&lt;=6)*('CASE MASTER'!$AD$2:$AD$495&gt;=6))*ROW('CASE MASTER'!$T$2:$T$495))-(ROW('CASE MASTER'!#REF!)-1))),":",","),",",REPT(" ",50)),(((INDEX('CASE MASTER'!$Z$2:$Z$495,(SUMPRODUCT((('CASE MASTER'!$T$2:$T$495=2)*('CASE MASTER'!$AA$2:$AA$495&lt;=2)*('CASE MASTER'!$AC$2:$AC$495&gt;=2)*('CASE MASTER'!$AB$2:$AB$495&lt;=6)*('CASE MASTER'!$AD$2:$AD$495&gt;=6))*ROW('CASE MASTER'!$T$2:$T$495))-(ROW('CASE MASTER'!#REF!)-1)))+((2-INDEX('CASE MASTER'!$AA$2:$AA$495,(SUMPRODUCT((('CASE MASTER'!$T$2:$T$495=2)*('CASE MASTER'!$AA$2:$AA$495&lt;=2)*('CASE MASTER'!$AC$2:$AC$495&gt;=2)*('CASE MASTER'!$AB$2:$AB$495&lt;=6)*('CASE MASTER'!$AD$2:$AD$495&gt;=6))*ROW('CASE MASTER'!$T$2:$T$495))-(ROW('CASE MASTER'!#REF!)-1))))*(INDEX('CASE MASTER'!$AD$2:$AD$495,(SUMPRODUCT((('CASE MASTER'!$T$2:$T$495=2)*('CASE MASTER'!$AA$2:$AA$495&lt;=2)*('CASE MASTER'!$AC$2:$AC$495&gt;=2)*('CASE MASTER'!$AB$2:$AB$495&lt;=6)*('CASE MASTER'!$AD$2:$AD$495&gt;=6))*ROW('CASE MASTER'!$T$2:$T$495))-(ROW('CASE MASTER'!#REF!)-1)))-INDEX('CASE MASTER'!$AB$2:$AB$495,(SUMPRODUCT((('CASE MASTER'!$T$2:$T$495=2)*('CASE MASTER'!$AA$2:$AA$495&lt;=2)*('CASE MASTER'!$AC$2:$AC$495&gt;=2)*('CASE MASTER'!$AB$2:$AB$495&lt;=6)*('CASE MASTER'!$AD$2:$AD$495&gt;=6))*ROW('CASE MASTER'!$T$2:$T$495))-(ROW('CASE MASTER'!#REF!)-1)))+1)+(6-INDEX('CASE MASTER'!$AB$2:$AB$495,(SUMPRODUCT((('CASE MASTER'!$T$2:$T$495=2)*('CASE MASTER'!$AA$2:$AA$495&lt;=2)*('CASE MASTER'!$AC$2:$AC$495&gt;=2)*('CASE MASTER'!$AB$2:$AB$495&lt;=6)*('CASE MASTER'!$AD$2:$AD$495&gt;=6))*ROW('CASE MASTER'!$T$2:$T$495))-(ROW('CASE MASTER'!#REF!)-1))))+1)))-1)*50+1,50))&amp;"_"&amp;INDEX('CASE MASTER'!$Q$2:$Q$495,(SUMPRODUCT((('CASE MASTER'!$T$2:$T$495=2)*('CASE MASTER'!$AA$2:$AA$495&lt;=2)*('CASE MASTER'!$AC$2:$AC$495&gt;=2)*('CASE MASTER'!$AB$2:$AB$495&lt;=6)*('CASE MASTER'!$AD$2:$AD$495&gt;=6))*ROW('CASE MASTER'!$T$2:$T$495))-(ROW('CASE MASTER'!#REF!)-1))),"")),"")</f>
        <v/>
      </c>
      <c r="H18" s="10" t="str">
        <f>IFERROR(IF(SUMPRODUCT((('CASE MASTER'!$T$2:$T$495=2)*('CASE MASTER'!$U$2:$U$495&lt;=2)*('CASE MASTER'!$W$2:$W$495&gt;=2)*('CASE MASTER'!$V$2:$V$495&lt;=7)*('CASE MASTER'!$X$2:$X$495&gt;=7))*ROW('CASE MASTER'!$T$2:$T$495))&gt;0,INDEX('CASE MASTER'!$Y$2:$Y$495,(SUMPRODUCT((('CASE MASTER'!$T$2:$T$495=2)*('CASE MASTER'!$U$2:$U$495&lt;=2)*('CASE MASTER'!$W$2:$W$495&gt;=2)*('CASE MASTER'!$V$2:$V$495&lt;=7)*('CASE MASTER'!$X$2:$X$495&gt;=7))*ROW('CASE MASTER'!$T$2:$T$495))-(ROW('CASE MASTER'!#REF!)-1)))&amp;TRIM(MID(SUBSTITUTE(SUBSTITUTE(INDEX('CASE MASTER'!$N$2:$N$495,(SUMPRODUCT((('CASE MASTER'!$T$2:$T$495=2)*('CASE MASTER'!$U$2:$U$495&lt;=2)*('CASE MASTER'!$W$2:$W$495&gt;=2)*('CASE MASTER'!$V$2:$V$495&lt;=7)*('CASE MASTER'!$X$2:$X$495&gt;=7))*ROW('CASE MASTER'!$T$2:$T$495))-(ROW('CASE MASTER'!#REF!)-1))),":",","),",",REPT(" ",50)),((((2-INDEX('CASE MASTER'!$U$2:$U$495,(SUMPRODUCT((('CASE MASTER'!$T$2:$T$495=2)*('CASE MASTER'!$U$2:$U$495&lt;=2)*('CASE MASTER'!$W$2:$W$495&gt;=2)*('CASE MASTER'!$V$2:$V$495&lt;=7)*('CASE MASTER'!$X$2:$X$495&gt;=7))*ROW('CASE MASTER'!$T$2:$T$495))-(ROW('CASE MASTER'!#REF!)-1))))*(INDEX('CASE MASTER'!$X$2:$X$495,(SUMPRODUCT((('CASE MASTER'!$T$2:$T$495=2)*('CASE MASTER'!$U$2:$U$495&lt;=2)*('CASE MASTER'!$W$2:$W$495&gt;=2)*('CASE MASTER'!$V$2:$V$495&lt;=7)*('CASE MASTER'!$X$2:$X$495&gt;=7))*ROW('CASE MASTER'!$T$2:$T$495))-(ROW('CASE MASTER'!#REF!)-1)))-INDEX('CASE MASTER'!$V$2:$V$495,(SUMPRODUCT((('CASE MASTER'!$T$2:$T$495=2)*('CASE MASTER'!$U$2:$U$495&lt;=2)*('CASE MASTER'!$W$2:$W$495&gt;=2)*('CASE MASTER'!$V$2:$V$495&lt;=7)*('CASE MASTER'!$X$2:$X$495&gt;=7))*ROW('CASE MASTER'!$T$2:$T$495))-(ROW('CASE MASTER'!#REF!)-1)))+1)+(7-INDEX('CASE MASTER'!$V$2:$V$495,(SUMPRODUCT((('CASE MASTER'!$T$2:$T$495=2)*('CASE MASTER'!$U$2:$U$495&lt;=2)*('CASE MASTER'!$W$2:$W$495&gt;=2)*('CASE MASTER'!$V$2:$V$495&lt;=7)*('CASE MASTER'!$X$2:$X$495&gt;=7))*ROW('CASE MASTER'!$T$2:$T$495))-(ROW('CASE MASTER'!#REF!)-1))))+1))-1)*50+1,50))&amp;"_"&amp;INDEX('CASE MASTER'!$Q$2:$Q$495,(SUMPRODUCT((('CASE MASTER'!$T$2:$T$495=2)*('CASE MASTER'!$U$2:$U$495&lt;=2)*('CASE MASTER'!$W$2:$W$495&gt;=2)*('CASE MASTER'!$V$2:$V$495&lt;=7)*('CASE MASTER'!$X$2:$X$495&gt;=7))*ROW('CASE MASTER'!$T$2:$T$495))-(ROW('CASE MASTER'!#REF!)-1))),IF(SUMPRODUCT((('CASE MASTER'!$T$2:$T$495=2)*('CASE MASTER'!$AA$2:$AA$495&lt;=2)*('CASE MASTER'!$AC$2:$AC$495&gt;=2)*('CASE MASTER'!$AB$2:$AB$495&lt;=7)*('CASE MASTER'!$AD$2:$AD$495&gt;=7))*ROW('CASE MASTER'!$T$2:$T$495))&gt;0,INDEX('CASE MASTER'!$Y$2:$Y$495,(SUMPRODUCT((('CASE MASTER'!$T$2:$T$495=2)*('CASE MASTER'!$AA$2:$AA$495&lt;=2)*('CASE MASTER'!$AC$2:$AC$495&gt;=2)*('CASE MASTER'!$AB$2:$AB$495&lt;=7)*('CASE MASTER'!$AD$2:$AD$495&gt;=7))*ROW('CASE MASTER'!$T$2:$T$495))-(ROW('CASE MASTER'!#REF!)-1)))&amp;TRIM(MID(SUBSTITUTE(SUBSTITUTE(INDEX('CASE MASTER'!$N$2:$N$495,(SUMPRODUCT((('CASE MASTER'!$T$2:$T$495=2)*('CASE MASTER'!$AA$2:$AA$495&lt;=2)*('CASE MASTER'!$AC$2:$AC$495&gt;=2)*('CASE MASTER'!$AB$2:$AB$495&lt;=7)*('CASE MASTER'!$AD$2:$AD$495&gt;=7))*ROW('CASE MASTER'!$T$2:$T$495))-(ROW('CASE MASTER'!#REF!)-1))),":",","),",",REPT(" ",50)),(((INDEX('CASE MASTER'!$Z$2:$Z$495,(SUMPRODUCT((('CASE MASTER'!$T$2:$T$495=2)*('CASE MASTER'!$AA$2:$AA$495&lt;=2)*('CASE MASTER'!$AC$2:$AC$495&gt;=2)*('CASE MASTER'!$AB$2:$AB$495&lt;=7)*('CASE MASTER'!$AD$2:$AD$495&gt;=7))*ROW('CASE MASTER'!$T$2:$T$495))-(ROW('CASE MASTER'!#REF!)-1)))+((2-INDEX('CASE MASTER'!$AA$2:$AA$495,(SUMPRODUCT((('CASE MASTER'!$T$2:$T$495=2)*('CASE MASTER'!$AA$2:$AA$495&lt;=2)*('CASE MASTER'!$AC$2:$AC$495&gt;=2)*('CASE MASTER'!$AB$2:$AB$495&lt;=7)*('CASE MASTER'!$AD$2:$AD$495&gt;=7))*ROW('CASE MASTER'!$T$2:$T$495))-(ROW('CASE MASTER'!#REF!)-1))))*(INDEX('CASE MASTER'!$AD$2:$AD$495,(SUMPRODUCT((('CASE MASTER'!$T$2:$T$495=2)*('CASE MASTER'!$AA$2:$AA$495&lt;=2)*('CASE MASTER'!$AC$2:$AC$495&gt;=2)*('CASE MASTER'!$AB$2:$AB$495&lt;=7)*('CASE MASTER'!$AD$2:$AD$495&gt;=7))*ROW('CASE MASTER'!$T$2:$T$495))-(ROW('CASE MASTER'!#REF!)-1)))-INDEX('CASE MASTER'!$AB$2:$AB$495,(SUMPRODUCT((('CASE MASTER'!$T$2:$T$495=2)*('CASE MASTER'!$AA$2:$AA$495&lt;=2)*('CASE MASTER'!$AC$2:$AC$495&gt;=2)*('CASE MASTER'!$AB$2:$AB$495&lt;=7)*('CASE MASTER'!$AD$2:$AD$495&gt;=7))*ROW('CASE MASTER'!$T$2:$T$495))-(ROW('CASE MASTER'!#REF!)-1)))+1)+(7-INDEX('CASE MASTER'!$AB$2:$AB$495,(SUMPRODUCT((('CASE MASTER'!$T$2:$T$495=2)*('CASE MASTER'!$AA$2:$AA$495&lt;=2)*('CASE MASTER'!$AC$2:$AC$495&gt;=2)*('CASE MASTER'!$AB$2:$AB$495&lt;=7)*('CASE MASTER'!$AD$2:$AD$495&gt;=7))*ROW('CASE MASTER'!$T$2:$T$495))-(ROW('CASE MASTER'!#REF!)-1))))+1)))-1)*50+1,50))&amp;"_"&amp;INDEX('CASE MASTER'!$Q$2:$Q$495,(SUMPRODUCT((('CASE MASTER'!$T$2:$T$495=2)*('CASE MASTER'!$AA$2:$AA$495&lt;=2)*('CASE MASTER'!$AC$2:$AC$495&gt;=2)*('CASE MASTER'!$AB$2:$AB$495&lt;=7)*('CASE MASTER'!$AD$2:$AD$495&gt;=7))*ROW('CASE MASTER'!$T$2:$T$495))-(ROW('CASE MASTER'!#REF!)-1))),"")),"")</f>
        <v/>
      </c>
      <c r="I18" s="10" t="str">
        <f>IFERROR(IF(SUMPRODUCT((('CASE MASTER'!$T$2:$T$495=2)*('CASE MASTER'!$U$2:$U$495&lt;=2)*('CASE MASTER'!$W$2:$W$495&gt;=2)*('CASE MASTER'!$V$2:$V$495&lt;=8)*('CASE MASTER'!$X$2:$X$495&gt;=8))*ROW('CASE MASTER'!$T$2:$T$495))&gt;0,INDEX('CASE MASTER'!$Y$2:$Y$495,(SUMPRODUCT((('CASE MASTER'!$T$2:$T$495=2)*('CASE MASTER'!$U$2:$U$495&lt;=2)*('CASE MASTER'!$W$2:$W$495&gt;=2)*('CASE MASTER'!$V$2:$V$495&lt;=8)*('CASE MASTER'!$X$2:$X$495&gt;=8))*ROW('CASE MASTER'!$T$2:$T$495))-(ROW('CASE MASTER'!#REF!)-1)))&amp;TRIM(MID(SUBSTITUTE(SUBSTITUTE(INDEX('CASE MASTER'!$N$2:$N$495,(SUMPRODUCT((('CASE MASTER'!$T$2:$T$495=2)*('CASE MASTER'!$U$2:$U$495&lt;=2)*('CASE MASTER'!$W$2:$W$495&gt;=2)*('CASE MASTER'!$V$2:$V$495&lt;=8)*('CASE MASTER'!$X$2:$X$495&gt;=8))*ROW('CASE MASTER'!$T$2:$T$495))-(ROW('CASE MASTER'!#REF!)-1))),":",","),",",REPT(" ",50)),((((2-INDEX('CASE MASTER'!$U$2:$U$495,(SUMPRODUCT((('CASE MASTER'!$T$2:$T$495=2)*('CASE MASTER'!$U$2:$U$495&lt;=2)*('CASE MASTER'!$W$2:$W$495&gt;=2)*('CASE MASTER'!$V$2:$V$495&lt;=8)*('CASE MASTER'!$X$2:$X$495&gt;=8))*ROW('CASE MASTER'!$T$2:$T$495))-(ROW('CASE MASTER'!#REF!)-1))))*(INDEX('CASE MASTER'!$X$2:$X$495,(SUMPRODUCT((('CASE MASTER'!$T$2:$T$495=2)*('CASE MASTER'!$U$2:$U$495&lt;=2)*('CASE MASTER'!$W$2:$W$495&gt;=2)*('CASE MASTER'!$V$2:$V$495&lt;=8)*('CASE MASTER'!$X$2:$X$495&gt;=8))*ROW('CASE MASTER'!$T$2:$T$495))-(ROW('CASE MASTER'!#REF!)-1)))-INDEX('CASE MASTER'!$V$2:$V$495,(SUMPRODUCT((('CASE MASTER'!$T$2:$T$495=2)*('CASE MASTER'!$U$2:$U$495&lt;=2)*('CASE MASTER'!$W$2:$W$495&gt;=2)*('CASE MASTER'!$V$2:$V$495&lt;=8)*('CASE MASTER'!$X$2:$X$495&gt;=8))*ROW('CASE MASTER'!$T$2:$T$495))-(ROW('CASE MASTER'!#REF!)-1)))+1)+(8-INDEX('CASE MASTER'!$V$2:$V$495,(SUMPRODUCT((('CASE MASTER'!$T$2:$T$495=2)*('CASE MASTER'!$U$2:$U$495&lt;=2)*('CASE MASTER'!$W$2:$W$495&gt;=2)*('CASE MASTER'!$V$2:$V$495&lt;=8)*('CASE MASTER'!$X$2:$X$495&gt;=8))*ROW('CASE MASTER'!$T$2:$T$495))-(ROW('CASE MASTER'!#REF!)-1))))+1))-1)*50+1,50))&amp;"_"&amp;INDEX('CASE MASTER'!$Q$2:$Q$495,(SUMPRODUCT((('CASE MASTER'!$T$2:$T$495=2)*('CASE MASTER'!$U$2:$U$495&lt;=2)*('CASE MASTER'!$W$2:$W$495&gt;=2)*('CASE MASTER'!$V$2:$V$495&lt;=8)*('CASE MASTER'!$X$2:$X$495&gt;=8))*ROW('CASE MASTER'!$T$2:$T$495))-(ROW('CASE MASTER'!#REF!)-1))),IF(SUMPRODUCT((('CASE MASTER'!$T$2:$T$495=2)*('CASE MASTER'!$AA$2:$AA$495&lt;=2)*('CASE MASTER'!$AC$2:$AC$495&gt;=2)*('CASE MASTER'!$AB$2:$AB$495&lt;=8)*('CASE MASTER'!$AD$2:$AD$495&gt;=8))*ROW('CASE MASTER'!$T$2:$T$495))&gt;0,INDEX('CASE MASTER'!$Y$2:$Y$495,(SUMPRODUCT((('CASE MASTER'!$T$2:$T$495=2)*('CASE MASTER'!$AA$2:$AA$495&lt;=2)*('CASE MASTER'!$AC$2:$AC$495&gt;=2)*('CASE MASTER'!$AB$2:$AB$495&lt;=8)*('CASE MASTER'!$AD$2:$AD$495&gt;=8))*ROW('CASE MASTER'!$T$2:$T$495))-(ROW('CASE MASTER'!#REF!)-1)))&amp;TRIM(MID(SUBSTITUTE(SUBSTITUTE(INDEX('CASE MASTER'!$N$2:$N$495,(SUMPRODUCT((('CASE MASTER'!$T$2:$T$495=2)*('CASE MASTER'!$AA$2:$AA$495&lt;=2)*('CASE MASTER'!$AC$2:$AC$495&gt;=2)*('CASE MASTER'!$AB$2:$AB$495&lt;=8)*('CASE MASTER'!$AD$2:$AD$495&gt;=8))*ROW('CASE MASTER'!$T$2:$T$495))-(ROW('CASE MASTER'!#REF!)-1))),":",","),",",REPT(" ",50)),(((INDEX('CASE MASTER'!$Z$2:$Z$495,(SUMPRODUCT((('CASE MASTER'!$T$2:$T$495=2)*('CASE MASTER'!$AA$2:$AA$495&lt;=2)*('CASE MASTER'!$AC$2:$AC$495&gt;=2)*('CASE MASTER'!$AB$2:$AB$495&lt;=8)*('CASE MASTER'!$AD$2:$AD$495&gt;=8))*ROW('CASE MASTER'!$T$2:$T$495))-(ROW('CASE MASTER'!#REF!)-1)))+((2-INDEX('CASE MASTER'!$AA$2:$AA$495,(SUMPRODUCT((('CASE MASTER'!$T$2:$T$495=2)*('CASE MASTER'!$AA$2:$AA$495&lt;=2)*('CASE MASTER'!$AC$2:$AC$495&gt;=2)*('CASE MASTER'!$AB$2:$AB$495&lt;=8)*('CASE MASTER'!$AD$2:$AD$495&gt;=8))*ROW('CASE MASTER'!$T$2:$T$495))-(ROW('CASE MASTER'!#REF!)-1))))*(INDEX('CASE MASTER'!$AD$2:$AD$495,(SUMPRODUCT((('CASE MASTER'!$T$2:$T$495=2)*('CASE MASTER'!$AA$2:$AA$495&lt;=2)*('CASE MASTER'!$AC$2:$AC$495&gt;=2)*('CASE MASTER'!$AB$2:$AB$495&lt;=8)*('CASE MASTER'!$AD$2:$AD$495&gt;=8))*ROW('CASE MASTER'!$T$2:$T$495))-(ROW('CASE MASTER'!#REF!)-1)))-INDEX('CASE MASTER'!$AB$2:$AB$495,(SUMPRODUCT((('CASE MASTER'!$T$2:$T$495=2)*('CASE MASTER'!$AA$2:$AA$495&lt;=2)*('CASE MASTER'!$AC$2:$AC$495&gt;=2)*('CASE MASTER'!$AB$2:$AB$495&lt;=8)*('CASE MASTER'!$AD$2:$AD$495&gt;=8))*ROW('CASE MASTER'!$T$2:$T$495))-(ROW('CASE MASTER'!#REF!)-1)))+1)+(8-INDEX('CASE MASTER'!$AB$2:$AB$495,(SUMPRODUCT((('CASE MASTER'!$T$2:$T$495=2)*('CASE MASTER'!$AA$2:$AA$495&lt;=2)*('CASE MASTER'!$AC$2:$AC$495&gt;=2)*('CASE MASTER'!$AB$2:$AB$495&lt;=8)*('CASE MASTER'!$AD$2:$AD$495&gt;=8))*ROW('CASE MASTER'!$T$2:$T$495))-(ROW('CASE MASTER'!#REF!)-1))))+1)))-1)*50+1,50))&amp;"_"&amp;INDEX('CASE MASTER'!$Q$2:$Q$495,(SUMPRODUCT((('CASE MASTER'!$T$2:$T$495=2)*('CASE MASTER'!$AA$2:$AA$495&lt;=2)*('CASE MASTER'!$AC$2:$AC$495&gt;=2)*('CASE MASTER'!$AB$2:$AB$495&lt;=8)*('CASE MASTER'!$AD$2:$AD$495&gt;=8))*ROW('CASE MASTER'!$T$2:$T$495))-(ROW('CASE MASTER'!#REF!)-1))),"")),"")</f>
        <v/>
      </c>
      <c r="J18" s="10" t="str">
        <f>IFERROR(IF(SUMPRODUCT((('CASE MASTER'!$T$2:$T$495=2)*('CASE MASTER'!$U$2:$U$495&lt;=2)*('CASE MASTER'!$W$2:$W$495&gt;=2)*('CASE MASTER'!$V$2:$V$495&lt;=9)*('CASE MASTER'!$X$2:$X$495&gt;=9))*ROW('CASE MASTER'!$T$2:$T$495))&gt;0,INDEX('CASE MASTER'!$Y$2:$Y$495,(SUMPRODUCT((('CASE MASTER'!$T$2:$T$495=2)*('CASE MASTER'!$U$2:$U$495&lt;=2)*('CASE MASTER'!$W$2:$W$495&gt;=2)*('CASE MASTER'!$V$2:$V$495&lt;=9)*('CASE MASTER'!$X$2:$X$495&gt;=9))*ROW('CASE MASTER'!$T$2:$T$495))-(ROW('CASE MASTER'!#REF!)-1)))&amp;TRIM(MID(SUBSTITUTE(SUBSTITUTE(INDEX('CASE MASTER'!$N$2:$N$495,(SUMPRODUCT((('CASE MASTER'!$T$2:$T$495=2)*('CASE MASTER'!$U$2:$U$495&lt;=2)*('CASE MASTER'!$W$2:$W$495&gt;=2)*('CASE MASTER'!$V$2:$V$495&lt;=9)*('CASE MASTER'!$X$2:$X$495&gt;=9))*ROW('CASE MASTER'!$T$2:$T$495))-(ROW('CASE MASTER'!#REF!)-1))),":",","),",",REPT(" ",50)),((((2-INDEX('CASE MASTER'!$U$2:$U$495,(SUMPRODUCT((('CASE MASTER'!$T$2:$T$495=2)*('CASE MASTER'!$U$2:$U$495&lt;=2)*('CASE MASTER'!$W$2:$W$495&gt;=2)*('CASE MASTER'!$V$2:$V$495&lt;=9)*('CASE MASTER'!$X$2:$X$495&gt;=9))*ROW('CASE MASTER'!$T$2:$T$495))-(ROW('CASE MASTER'!#REF!)-1))))*(INDEX('CASE MASTER'!$X$2:$X$495,(SUMPRODUCT((('CASE MASTER'!$T$2:$T$495=2)*('CASE MASTER'!$U$2:$U$495&lt;=2)*('CASE MASTER'!$W$2:$W$495&gt;=2)*('CASE MASTER'!$V$2:$V$495&lt;=9)*('CASE MASTER'!$X$2:$X$495&gt;=9))*ROW('CASE MASTER'!$T$2:$T$495))-(ROW('CASE MASTER'!#REF!)-1)))-INDEX('CASE MASTER'!$V$2:$V$495,(SUMPRODUCT((('CASE MASTER'!$T$2:$T$495=2)*('CASE MASTER'!$U$2:$U$495&lt;=2)*('CASE MASTER'!$W$2:$W$495&gt;=2)*('CASE MASTER'!$V$2:$V$495&lt;=9)*('CASE MASTER'!$X$2:$X$495&gt;=9))*ROW('CASE MASTER'!$T$2:$T$495))-(ROW('CASE MASTER'!#REF!)-1)))+1)+(9-INDEX('CASE MASTER'!$V$2:$V$495,(SUMPRODUCT((('CASE MASTER'!$T$2:$T$495=2)*('CASE MASTER'!$U$2:$U$495&lt;=2)*('CASE MASTER'!$W$2:$W$495&gt;=2)*('CASE MASTER'!$V$2:$V$495&lt;=9)*('CASE MASTER'!$X$2:$X$495&gt;=9))*ROW('CASE MASTER'!$T$2:$T$495))-(ROW('CASE MASTER'!#REF!)-1))))+1))-1)*50+1,50))&amp;"_"&amp;INDEX('CASE MASTER'!$Q$2:$Q$495,(SUMPRODUCT((('CASE MASTER'!$T$2:$T$495=2)*('CASE MASTER'!$U$2:$U$495&lt;=2)*('CASE MASTER'!$W$2:$W$495&gt;=2)*('CASE MASTER'!$V$2:$V$495&lt;=9)*('CASE MASTER'!$X$2:$X$495&gt;=9))*ROW('CASE MASTER'!$T$2:$T$495))-(ROW('CASE MASTER'!#REF!)-1))),IF(SUMPRODUCT((('CASE MASTER'!$T$2:$T$495=2)*('CASE MASTER'!$AA$2:$AA$495&lt;=2)*('CASE MASTER'!$AC$2:$AC$495&gt;=2)*('CASE MASTER'!$AB$2:$AB$495&lt;=9)*('CASE MASTER'!$AD$2:$AD$495&gt;=9))*ROW('CASE MASTER'!$T$2:$T$495))&gt;0,INDEX('CASE MASTER'!$Y$2:$Y$495,(SUMPRODUCT((('CASE MASTER'!$T$2:$T$495=2)*('CASE MASTER'!$AA$2:$AA$495&lt;=2)*('CASE MASTER'!$AC$2:$AC$495&gt;=2)*('CASE MASTER'!$AB$2:$AB$495&lt;=9)*('CASE MASTER'!$AD$2:$AD$495&gt;=9))*ROW('CASE MASTER'!$T$2:$T$495))-(ROW('CASE MASTER'!#REF!)-1)))&amp;TRIM(MID(SUBSTITUTE(SUBSTITUTE(INDEX('CASE MASTER'!$N$2:$N$495,(SUMPRODUCT((('CASE MASTER'!$T$2:$T$495=2)*('CASE MASTER'!$AA$2:$AA$495&lt;=2)*('CASE MASTER'!$AC$2:$AC$495&gt;=2)*('CASE MASTER'!$AB$2:$AB$495&lt;=9)*('CASE MASTER'!$AD$2:$AD$495&gt;=9))*ROW('CASE MASTER'!$T$2:$T$495))-(ROW('CASE MASTER'!#REF!)-1))),":",","),",",REPT(" ",50)),(((INDEX('CASE MASTER'!$Z$2:$Z$495,(SUMPRODUCT((('CASE MASTER'!$T$2:$T$495=2)*('CASE MASTER'!$AA$2:$AA$495&lt;=2)*('CASE MASTER'!$AC$2:$AC$495&gt;=2)*('CASE MASTER'!$AB$2:$AB$495&lt;=9)*('CASE MASTER'!$AD$2:$AD$495&gt;=9))*ROW('CASE MASTER'!$T$2:$T$495))-(ROW('CASE MASTER'!#REF!)-1)))+((2-INDEX('CASE MASTER'!$AA$2:$AA$495,(SUMPRODUCT((('CASE MASTER'!$T$2:$T$495=2)*('CASE MASTER'!$AA$2:$AA$495&lt;=2)*('CASE MASTER'!$AC$2:$AC$495&gt;=2)*('CASE MASTER'!$AB$2:$AB$495&lt;=9)*('CASE MASTER'!$AD$2:$AD$495&gt;=9))*ROW('CASE MASTER'!$T$2:$T$495))-(ROW('CASE MASTER'!#REF!)-1))))*(INDEX('CASE MASTER'!$AD$2:$AD$495,(SUMPRODUCT((('CASE MASTER'!$T$2:$T$495=2)*('CASE MASTER'!$AA$2:$AA$495&lt;=2)*('CASE MASTER'!$AC$2:$AC$495&gt;=2)*('CASE MASTER'!$AB$2:$AB$495&lt;=9)*('CASE MASTER'!$AD$2:$AD$495&gt;=9))*ROW('CASE MASTER'!$T$2:$T$495))-(ROW('CASE MASTER'!#REF!)-1)))-INDEX('CASE MASTER'!$AB$2:$AB$495,(SUMPRODUCT((('CASE MASTER'!$T$2:$T$495=2)*('CASE MASTER'!$AA$2:$AA$495&lt;=2)*('CASE MASTER'!$AC$2:$AC$495&gt;=2)*('CASE MASTER'!$AB$2:$AB$495&lt;=9)*('CASE MASTER'!$AD$2:$AD$495&gt;=9))*ROW('CASE MASTER'!$T$2:$T$495))-(ROW('CASE MASTER'!#REF!)-1)))+1)+(9-INDEX('CASE MASTER'!$AB$2:$AB$495,(SUMPRODUCT((('CASE MASTER'!$T$2:$T$495=2)*('CASE MASTER'!$AA$2:$AA$495&lt;=2)*('CASE MASTER'!$AC$2:$AC$495&gt;=2)*('CASE MASTER'!$AB$2:$AB$495&lt;=9)*('CASE MASTER'!$AD$2:$AD$495&gt;=9))*ROW('CASE MASTER'!$T$2:$T$495))-(ROW('CASE MASTER'!#REF!)-1))))+1)))-1)*50+1,50))&amp;"_"&amp;INDEX('CASE MASTER'!$Q$2:$Q$495,(SUMPRODUCT((('CASE MASTER'!$T$2:$T$495=2)*('CASE MASTER'!$AA$2:$AA$495&lt;=2)*('CASE MASTER'!$AC$2:$AC$495&gt;=2)*('CASE MASTER'!$AB$2:$AB$495&lt;=9)*('CASE MASTER'!$AD$2:$AD$495&gt;=9))*ROW('CASE MASTER'!$T$2:$T$495))-(ROW('CASE MASTER'!#REF!)-1))),"")),"")</f>
        <v/>
      </c>
      <c r="K18" s="10" t="str">
        <f>IFERROR(IF(SUMPRODUCT((('CASE MASTER'!$T$2:$T$495=2)*('CASE MASTER'!$U$2:$U$495&lt;=2)*('CASE MASTER'!$W$2:$W$495&gt;=2)*('CASE MASTER'!$V$2:$V$495&lt;=10)*('CASE MASTER'!$X$2:$X$495&gt;=10))*ROW('CASE MASTER'!$T$2:$T$495))&gt;0,INDEX('CASE MASTER'!$Y$2:$Y$495,(SUMPRODUCT((('CASE MASTER'!$T$2:$T$495=2)*('CASE MASTER'!$U$2:$U$495&lt;=2)*('CASE MASTER'!$W$2:$W$495&gt;=2)*('CASE MASTER'!$V$2:$V$495&lt;=10)*('CASE MASTER'!$X$2:$X$495&gt;=10))*ROW('CASE MASTER'!$T$2:$T$495))-(ROW('CASE MASTER'!#REF!)-1)))&amp;TRIM(MID(SUBSTITUTE(SUBSTITUTE(INDEX('CASE MASTER'!$N$2:$N$495,(SUMPRODUCT((('CASE MASTER'!$T$2:$T$495=2)*('CASE MASTER'!$U$2:$U$495&lt;=2)*('CASE MASTER'!$W$2:$W$495&gt;=2)*('CASE MASTER'!$V$2:$V$495&lt;=10)*('CASE MASTER'!$X$2:$X$495&gt;=10))*ROW('CASE MASTER'!$T$2:$T$495))-(ROW('CASE MASTER'!#REF!)-1))),":",","),",",REPT(" ",50)),((((2-INDEX('CASE MASTER'!$U$2:$U$495,(SUMPRODUCT((('CASE MASTER'!$T$2:$T$495=2)*('CASE MASTER'!$U$2:$U$495&lt;=2)*('CASE MASTER'!$W$2:$W$495&gt;=2)*('CASE MASTER'!$V$2:$V$495&lt;=10)*('CASE MASTER'!$X$2:$X$495&gt;=10))*ROW('CASE MASTER'!$T$2:$T$495))-(ROW('CASE MASTER'!#REF!)-1))))*(INDEX('CASE MASTER'!$X$2:$X$495,(SUMPRODUCT((('CASE MASTER'!$T$2:$T$495=2)*('CASE MASTER'!$U$2:$U$495&lt;=2)*('CASE MASTER'!$W$2:$W$495&gt;=2)*('CASE MASTER'!$V$2:$V$495&lt;=10)*('CASE MASTER'!$X$2:$X$495&gt;=10))*ROW('CASE MASTER'!$T$2:$T$495))-(ROW('CASE MASTER'!#REF!)-1)))-INDEX('CASE MASTER'!$V$2:$V$495,(SUMPRODUCT((('CASE MASTER'!$T$2:$T$495=2)*('CASE MASTER'!$U$2:$U$495&lt;=2)*('CASE MASTER'!$W$2:$W$495&gt;=2)*('CASE MASTER'!$V$2:$V$495&lt;=10)*('CASE MASTER'!$X$2:$X$495&gt;=10))*ROW('CASE MASTER'!$T$2:$T$495))-(ROW('CASE MASTER'!#REF!)-1)))+1)+(10-INDEX('CASE MASTER'!$V$2:$V$495,(SUMPRODUCT((('CASE MASTER'!$T$2:$T$495=2)*('CASE MASTER'!$U$2:$U$495&lt;=2)*('CASE MASTER'!$W$2:$W$495&gt;=2)*('CASE MASTER'!$V$2:$V$495&lt;=10)*('CASE MASTER'!$X$2:$X$495&gt;=10))*ROW('CASE MASTER'!$T$2:$T$495))-(ROW('CASE MASTER'!#REF!)-1))))+1))-1)*50+1,50))&amp;"_"&amp;INDEX('CASE MASTER'!$Q$2:$Q$495,(SUMPRODUCT((('CASE MASTER'!$T$2:$T$495=2)*('CASE MASTER'!$U$2:$U$495&lt;=2)*('CASE MASTER'!$W$2:$W$495&gt;=2)*('CASE MASTER'!$V$2:$V$495&lt;=10)*('CASE MASTER'!$X$2:$X$495&gt;=10))*ROW('CASE MASTER'!$T$2:$T$495))-(ROW('CASE MASTER'!#REF!)-1))),IF(SUMPRODUCT((('CASE MASTER'!$T$2:$T$495=2)*('CASE MASTER'!$AA$2:$AA$495&lt;=2)*('CASE MASTER'!$AC$2:$AC$495&gt;=2)*('CASE MASTER'!$AB$2:$AB$495&lt;=10)*('CASE MASTER'!$AD$2:$AD$495&gt;=10))*ROW('CASE MASTER'!$T$2:$T$495))&gt;0,INDEX('CASE MASTER'!$Y$2:$Y$495,(SUMPRODUCT((('CASE MASTER'!$T$2:$T$495=2)*('CASE MASTER'!$AA$2:$AA$495&lt;=2)*('CASE MASTER'!$AC$2:$AC$495&gt;=2)*('CASE MASTER'!$AB$2:$AB$495&lt;=10)*('CASE MASTER'!$AD$2:$AD$495&gt;=10))*ROW('CASE MASTER'!$T$2:$T$495))-(ROW('CASE MASTER'!#REF!)-1)))&amp;TRIM(MID(SUBSTITUTE(SUBSTITUTE(INDEX('CASE MASTER'!$N$2:$N$495,(SUMPRODUCT((('CASE MASTER'!$T$2:$T$495=2)*('CASE MASTER'!$AA$2:$AA$495&lt;=2)*('CASE MASTER'!$AC$2:$AC$495&gt;=2)*('CASE MASTER'!$AB$2:$AB$495&lt;=10)*('CASE MASTER'!$AD$2:$AD$495&gt;=10))*ROW('CASE MASTER'!$T$2:$T$495))-(ROW('CASE MASTER'!#REF!)-1))),":",","),",",REPT(" ",50)),(((INDEX('CASE MASTER'!$Z$2:$Z$495,(SUMPRODUCT((('CASE MASTER'!$T$2:$T$495=2)*('CASE MASTER'!$AA$2:$AA$495&lt;=2)*('CASE MASTER'!$AC$2:$AC$495&gt;=2)*('CASE MASTER'!$AB$2:$AB$495&lt;=10)*('CASE MASTER'!$AD$2:$AD$495&gt;=10))*ROW('CASE MASTER'!$T$2:$T$495))-(ROW('CASE MASTER'!#REF!)-1)))+((2-INDEX('CASE MASTER'!$AA$2:$AA$495,(SUMPRODUCT((('CASE MASTER'!$T$2:$T$495=2)*('CASE MASTER'!$AA$2:$AA$495&lt;=2)*('CASE MASTER'!$AC$2:$AC$495&gt;=2)*('CASE MASTER'!$AB$2:$AB$495&lt;=10)*('CASE MASTER'!$AD$2:$AD$495&gt;=10))*ROW('CASE MASTER'!$T$2:$T$495))-(ROW('CASE MASTER'!#REF!)-1))))*(INDEX('CASE MASTER'!$AD$2:$AD$495,(SUMPRODUCT((('CASE MASTER'!$T$2:$T$495=2)*('CASE MASTER'!$AA$2:$AA$495&lt;=2)*('CASE MASTER'!$AC$2:$AC$495&gt;=2)*('CASE MASTER'!$AB$2:$AB$495&lt;=10)*('CASE MASTER'!$AD$2:$AD$495&gt;=10))*ROW('CASE MASTER'!$T$2:$T$495))-(ROW('CASE MASTER'!#REF!)-1)))-INDEX('CASE MASTER'!$AB$2:$AB$495,(SUMPRODUCT((('CASE MASTER'!$T$2:$T$495=2)*('CASE MASTER'!$AA$2:$AA$495&lt;=2)*('CASE MASTER'!$AC$2:$AC$495&gt;=2)*('CASE MASTER'!$AB$2:$AB$495&lt;=10)*('CASE MASTER'!$AD$2:$AD$495&gt;=10))*ROW('CASE MASTER'!$T$2:$T$495))-(ROW('CASE MASTER'!#REF!)-1)))+1)+(10-INDEX('CASE MASTER'!$AB$2:$AB$495,(SUMPRODUCT((('CASE MASTER'!$T$2:$T$495=2)*('CASE MASTER'!$AA$2:$AA$495&lt;=2)*('CASE MASTER'!$AC$2:$AC$495&gt;=2)*('CASE MASTER'!$AB$2:$AB$495&lt;=10)*('CASE MASTER'!$AD$2:$AD$495&gt;=10))*ROW('CASE MASTER'!$T$2:$T$495))-(ROW('CASE MASTER'!#REF!)-1))))+1)))-1)*50+1,50))&amp;"_"&amp;INDEX('CASE MASTER'!$Q$2:$Q$495,(SUMPRODUCT((('CASE MASTER'!$T$2:$T$495=2)*('CASE MASTER'!$AA$2:$AA$495&lt;=2)*('CASE MASTER'!$AC$2:$AC$495&gt;=2)*('CASE MASTER'!$AB$2:$AB$495&lt;=10)*('CASE MASTER'!$AD$2:$AD$495&gt;=10))*ROW('CASE MASTER'!$T$2:$T$495))-(ROW('CASE MASTER'!#REF!)-1))),"")),"")</f>
        <v/>
      </c>
    </row>
    <row r="19" spans="1:11" ht="15" customHeight="1" x14ac:dyDescent="0.35">
      <c r="A19" s="8" t="s">
        <v>30</v>
      </c>
      <c r="B19" s="10" t="str">
        <f>IFERROR(IF(SUMPRODUCT((('CASE MASTER'!$T$2:$T$495=2)*('CASE MASTER'!$U$2:$U$495&lt;=3)*('CASE MASTER'!$W$2:$W$495&gt;=3)*('CASE MASTER'!$V$2:$V$495&lt;=1)*('CASE MASTER'!$X$2:$X$495&gt;=1))*ROW('CASE MASTER'!$T$2:$T$495))&gt;0,INDEX('CASE MASTER'!$Y$2:$Y$495,(SUMPRODUCT((('CASE MASTER'!$T$2:$T$495=2)*('CASE MASTER'!$U$2:$U$495&lt;=3)*('CASE MASTER'!$W$2:$W$495&gt;=3)*('CASE MASTER'!$V$2:$V$495&lt;=1)*('CASE MASTER'!$X$2:$X$495&gt;=1))*ROW('CASE MASTER'!$T$2:$T$495))-(ROW('CASE MASTER'!#REF!)-1)))&amp;TRIM(MID(SUBSTITUTE(SUBSTITUTE(INDEX('CASE MASTER'!$N$2:$N$495,(SUMPRODUCT((('CASE MASTER'!$T$2:$T$495=2)*('CASE MASTER'!$U$2:$U$495&lt;=3)*('CASE MASTER'!$W$2:$W$495&gt;=3)*('CASE MASTER'!$V$2:$V$495&lt;=1)*('CASE MASTER'!$X$2:$X$495&gt;=1))*ROW('CASE MASTER'!$T$2:$T$495))-(ROW('CASE MASTER'!#REF!)-1))),":",","),",",REPT(" ",50)),((((3-INDEX('CASE MASTER'!$U$2:$U$495,(SUMPRODUCT((('CASE MASTER'!$T$2:$T$495=2)*('CASE MASTER'!$U$2:$U$495&lt;=3)*('CASE MASTER'!$W$2:$W$495&gt;=3)*('CASE MASTER'!$V$2:$V$495&lt;=1)*('CASE MASTER'!$X$2:$X$495&gt;=1))*ROW('CASE MASTER'!$T$2:$T$495))-(ROW('CASE MASTER'!#REF!)-1))))*(INDEX('CASE MASTER'!$X$2:$X$495,(SUMPRODUCT((('CASE MASTER'!$T$2:$T$495=2)*('CASE MASTER'!$U$2:$U$495&lt;=3)*('CASE MASTER'!$W$2:$W$495&gt;=3)*('CASE MASTER'!$V$2:$V$495&lt;=1)*('CASE MASTER'!$X$2:$X$495&gt;=1))*ROW('CASE MASTER'!$T$2:$T$495))-(ROW('CASE MASTER'!#REF!)-1)))-INDEX('CASE MASTER'!$V$2:$V$495,(SUMPRODUCT((('CASE MASTER'!$T$2:$T$495=2)*('CASE MASTER'!$U$2:$U$495&lt;=3)*('CASE MASTER'!$W$2:$W$495&gt;=3)*('CASE MASTER'!$V$2:$V$495&lt;=1)*('CASE MASTER'!$X$2:$X$495&gt;=1))*ROW('CASE MASTER'!$T$2:$T$495))-(ROW('CASE MASTER'!#REF!)-1)))+1)+(1-INDEX('CASE MASTER'!$V$2:$V$495,(SUMPRODUCT((('CASE MASTER'!$T$2:$T$495=2)*('CASE MASTER'!$U$2:$U$495&lt;=3)*('CASE MASTER'!$W$2:$W$495&gt;=3)*('CASE MASTER'!$V$2:$V$495&lt;=1)*('CASE MASTER'!$X$2:$X$495&gt;=1))*ROW('CASE MASTER'!$T$2:$T$495))-(ROW('CASE MASTER'!#REF!)-1))))+1))-1)*50+1,50))&amp;"_"&amp;INDEX('CASE MASTER'!$Q$2:$Q$495,(SUMPRODUCT((('CASE MASTER'!$T$2:$T$495=2)*('CASE MASTER'!$U$2:$U$495&lt;=3)*('CASE MASTER'!$W$2:$W$495&gt;=3)*('CASE MASTER'!$V$2:$V$495&lt;=1)*('CASE MASTER'!$X$2:$X$495&gt;=1))*ROW('CASE MASTER'!$T$2:$T$495))-(ROW('CASE MASTER'!#REF!)-1))),IF(SUMPRODUCT((('CASE MASTER'!$T$2:$T$495=2)*('CASE MASTER'!$AA$2:$AA$495&lt;=3)*('CASE MASTER'!$AC$2:$AC$495&gt;=3)*('CASE MASTER'!$AB$2:$AB$495&lt;=1)*('CASE MASTER'!$AD$2:$AD$495&gt;=1))*ROW('CASE MASTER'!$T$2:$T$495))&gt;0,INDEX('CASE MASTER'!$Y$2:$Y$495,(SUMPRODUCT((('CASE MASTER'!$T$2:$T$495=2)*('CASE MASTER'!$AA$2:$AA$495&lt;=3)*('CASE MASTER'!$AC$2:$AC$495&gt;=3)*('CASE MASTER'!$AB$2:$AB$495&lt;=1)*('CASE MASTER'!$AD$2:$AD$495&gt;=1))*ROW('CASE MASTER'!$T$2:$T$495))-(ROW('CASE MASTER'!#REF!)-1)))&amp;TRIM(MID(SUBSTITUTE(SUBSTITUTE(INDEX('CASE MASTER'!$N$2:$N$495,(SUMPRODUCT((('CASE MASTER'!$T$2:$T$495=2)*('CASE MASTER'!$AA$2:$AA$495&lt;=3)*('CASE MASTER'!$AC$2:$AC$495&gt;=3)*('CASE MASTER'!$AB$2:$AB$495&lt;=1)*('CASE MASTER'!$AD$2:$AD$495&gt;=1))*ROW('CASE MASTER'!$T$2:$T$495))-(ROW('CASE MASTER'!#REF!)-1))),":",","),",",REPT(" ",50)),(((INDEX('CASE MASTER'!$Z$2:$Z$495,(SUMPRODUCT((('CASE MASTER'!$T$2:$T$495=2)*('CASE MASTER'!$AA$2:$AA$495&lt;=3)*('CASE MASTER'!$AC$2:$AC$495&gt;=3)*('CASE MASTER'!$AB$2:$AB$495&lt;=1)*('CASE MASTER'!$AD$2:$AD$495&gt;=1))*ROW('CASE MASTER'!$T$2:$T$495))-(ROW('CASE MASTER'!#REF!)-1)))+((3-INDEX('CASE MASTER'!$AA$2:$AA$495,(SUMPRODUCT((('CASE MASTER'!$T$2:$T$495=2)*('CASE MASTER'!$AA$2:$AA$495&lt;=3)*('CASE MASTER'!$AC$2:$AC$495&gt;=3)*('CASE MASTER'!$AB$2:$AB$495&lt;=1)*('CASE MASTER'!$AD$2:$AD$495&gt;=1))*ROW('CASE MASTER'!$T$2:$T$495))-(ROW('CASE MASTER'!#REF!)-1))))*(INDEX('CASE MASTER'!$AD$2:$AD$495,(SUMPRODUCT((('CASE MASTER'!$T$2:$T$495=2)*('CASE MASTER'!$AA$2:$AA$495&lt;=3)*('CASE MASTER'!$AC$2:$AC$495&gt;=3)*('CASE MASTER'!$AB$2:$AB$495&lt;=1)*('CASE MASTER'!$AD$2:$AD$495&gt;=1))*ROW('CASE MASTER'!$T$2:$T$495))-(ROW('CASE MASTER'!#REF!)-1)))-INDEX('CASE MASTER'!$AB$2:$AB$495,(SUMPRODUCT((('CASE MASTER'!$T$2:$T$495=2)*('CASE MASTER'!$AA$2:$AA$495&lt;=3)*('CASE MASTER'!$AC$2:$AC$495&gt;=3)*('CASE MASTER'!$AB$2:$AB$495&lt;=1)*('CASE MASTER'!$AD$2:$AD$495&gt;=1))*ROW('CASE MASTER'!$T$2:$T$495))-(ROW('CASE MASTER'!#REF!)-1)))+1)+(1-INDEX('CASE MASTER'!$AB$2:$AB$495,(SUMPRODUCT((('CASE MASTER'!$T$2:$T$495=2)*('CASE MASTER'!$AA$2:$AA$495&lt;=3)*('CASE MASTER'!$AC$2:$AC$495&gt;=3)*('CASE MASTER'!$AB$2:$AB$495&lt;=1)*('CASE MASTER'!$AD$2:$AD$495&gt;=1))*ROW('CASE MASTER'!$T$2:$T$495))-(ROW('CASE MASTER'!#REF!)-1))))+1)))-1)*50+1,50))&amp;"_"&amp;INDEX('CASE MASTER'!$Q$2:$Q$495,(SUMPRODUCT((('CASE MASTER'!$T$2:$T$495=2)*('CASE MASTER'!$AA$2:$AA$495&lt;=3)*('CASE MASTER'!$AC$2:$AC$495&gt;=3)*('CASE MASTER'!$AB$2:$AB$495&lt;=1)*('CASE MASTER'!$AD$2:$AD$495&gt;=1))*ROW('CASE MASTER'!$T$2:$T$495))-(ROW('CASE MASTER'!#REF!)-1))),"")),"")</f>
        <v/>
      </c>
      <c r="C19" s="10" t="str">
        <f>IFERROR(IF(SUMPRODUCT((('CASE MASTER'!$T$2:$T$495=2)*('CASE MASTER'!$U$2:$U$495&lt;=3)*('CASE MASTER'!$W$2:$W$495&gt;=3)*('CASE MASTER'!$V$2:$V$495&lt;=2)*('CASE MASTER'!$X$2:$X$495&gt;=2))*ROW('CASE MASTER'!$T$2:$T$495))&gt;0,INDEX('CASE MASTER'!$Y$2:$Y$495,(SUMPRODUCT((('CASE MASTER'!$T$2:$T$495=2)*('CASE MASTER'!$U$2:$U$495&lt;=3)*('CASE MASTER'!$W$2:$W$495&gt;=3)*('CASE MASTER'!$V$2:$V$495&lt;=2)*('CASE MASTER'!$X$2:$X$495&gt;=2))*ROW('CASE MASTER'!$T$2:$T$495))-(ROW('CASE MASTER'!#REF!)-1)))&amp;TRIM(MID(SUBSTITUTE(SUBSTITUTE(INDEX('CASE MASTER'!$N$2:$N$495,(SUMPRODUCT((('CASE MASTER'!$T$2:$T$495=2)*('CASE MASTER'!$U$2:$U$495&lt;=3)*('CASE MASTER'!$W$2:$W$495&gt;=3)*('CASE MASTER'!$V$2:$V$495&lt;=2)*('CASE MASTER'!$X$2:$X$495&gt;=2))*ROW('CASE MASTER'!$T$2:$T$495))-(ROW('CASE MASTER'!#REF!)-1))),":",","),",",REPT(" ",50)),((((3-INDEX('CASE MASTER'!$U$2:$U$495,(SUMPRODUCT((('CASE MASTER'!$T$2:$T$495=2)*('CASE MASTER'!$U$2:$U$495&lt;=3)*('CASE MASTER'!$W$2:$W$495&gt;=3)*('CASE MASTER'!$V$2:$V$495&lt;=2)*('CASE MASTER'!$X$2:$X$495&gt;=2))*ROW('CASE MASTER'!$T$2:$T$495))-(ROW('CASE MASTER'!#REF!)-1))))*(INDEX('CASE MASTER'!$X$2:$X$495,(SUMPRODUCT((('CASE MASTER'!$T$2:$T$495=2)*('CASE MASTER'!$U$2:$U$495&lt;=3)*('CASE MASTER'!$W$2:$W$495&gt;=3)*('CASE MASTER'!$V$2:$V$495&lt;=2)*('CASE MASTER'!$X$2:$X$495&gt;=2))*ROW('CASE MASTER'!$T$2:$T$495))-(ROW('CASE MASTER'!#REF!)-1)))-INDEX('CASE MASTER'!$V$2:$V$495,(SUMPRODUCT((('CASE MASTER'!$T$2:$T$495=2)*('CASE MASTER'!$U$2:$U$495&lt;=3)*('CASE MASTER'!$W$2:$W$495&gt;=3)*('CASE MASTER'!$V$2:$V$495&lt;=2)*('CASE MASTER'!$X$2:$X$495&gt;=2))*ROW('CASE MASTER'!$T$2:$T$495))-(ROW('CASE MASTER'!#REF!)-1)))+1)+(2-INDEX('CASE MASTER'!$V$2:$V$495,(SUMPRODUCT((('CASE MASTER'!$T$2:$T$495=2)*('CASE MASTER'!$U$2:$U$495&lt;=3)*('CASE MASTER'!$W$2:$W$495&gt;=3)*('CASE MASTER'!$V$2:$V$495&lt;=2)*('CASE MASTER'!$X$2:$X$495&gt;=2))*ROW('CASE MASTER'!$T$2:$T$495))-(ROW('CASE MASTER'!#REF!)-1))))+1))-1)*50+1,50))&amp;"_"&amp;INDEX('CASE MASTER'!$Q$2:$Q$495,(SUMPRODUCT((('CASE MASTER'!$T$2:$T$495=2)*('CASE MASTER'!$U$2:$U$495&lt;=3)*('CASE MASTER'!$W$2:$W$495&gt;=3)*('CASE MASTER'!$V$2:$V$495&lt;=2)*('CASE MASTER'!$X$2:$X$495&gt;=2))*ROW('CASE MASTER'!$T$2:$T$495))-(ROW('CASE MASTER'!#REF!)-1))),IF(SUMPRODUCT((('CASE MASTER'!$T$2:$T$495=2)*('CASE MASTER'!$AA$2:$AA$495&lt;=3)*('CASE MASTER'!$AC$2:$AC$495&gt;=3)*('CASE MASTER'!$AB$2:$AB$495&lt;=2)*('CASE MASTER'!$AD$2:$AD$495&gt;=2))*ROW('CASE MASTER'!$T$2:$T$495))&gt;0,INDEX('CASE MASTER'!$Y$2:$Y$495,(SUMPRODUCT((('CASE MASTER'!$T$2:$T$495=2)*('CASE MASTER'!$AA$2:$AA$495&lt;=3)*('CASE MASTER'!$AC$2:$AC$495&gt;=3)*('CASE MASTER'!$AB$2:$AB$495&lt;=2)*('CASE MASTER'!$AD$2:$AD$495&gt;=2))*ROW('CASE MASTER'!$T$2:$T$495))-(ROW('CASE MASTER'!#REF!)-1)))&amp;TRIM(MID(SUBSTITUTE(SUBSTITUTE(INDEX('CASE MASTER'!$N$2:$N$495,(SUMPRODUCT((('CASE MASTER'!$T$2:$T$495=2)*('CASE MASTER'!$AA$2:$AA$495&lt;=3)*('CASE MASTER'!$AC$2:$AC$495&gt;=3)*('CASE MASTER'!$AB$2:$AB$495&lt;=2)*('CASE MASTER'!$AD$2:$AD$495&gt;=2))*ROW('CASE MASTER'!$T$2:$T$495))-(ROW('CASE MASTER'!#REF!)-1))),":",","),",",REPT(" ",50)),(((INDEX('CASE MASTER'!$Z$2:$Z$495,(SUMPRODUCT((('CASE MASTER'!$T$2:$T$495=2)*('CASE MASTER'!$AA$2:$AA$495&lt;=3)*('CASE MASTER'!$AC$2:$AC$495&gt;=3)*('CASE MASTER'!$AB$2:$AB$495&lt;=2)*('CASE MASTER'!$AD$2:$AD$495&gt;=2))*ROW('CASE MASTER'!$T$2:$T$495))-(ROW('CASE MASTER'!#REF!)-1)))+((3-INDEX('CASE MASTER'!$AA$2:$AA$495,(SUMPRODUCT((('CASE MASTER'!$T$2:$T$495=2)*('CASE MASTER'!$AA$2:$AA$495&lt;=3)*('CASE MASTER'!$AC$2:$AC$495&gt;=3)*('CASE MASTER'!$AB$2:$AB$495&lt;=2)*('CASE MASTER'!$AD$2:$AD$495&gt;=2))*ROW('CASE MASTER'!$T$2:$T$495))-(ROW('CASE MASTER'!#REF!)-1))))*(INDEX('CASE MASTER'!$AD$2:$AD$495,(SUMPRODUCT((('CASE MASTER'!$T$2:$T$495=2)*('CASE MASTER'!$AA$2:$AA$495&lt;=3)*('CASE MASTER'!$AC$2:$AC$495&gt;=3)*('CASE MASTER'!$AB$2:$AB$495&lt;=2)*('CASE MASTER'!$AD$2:$AD$495&gt;=2))*ROW('CASE MASTER'!$T$2:$T$495))-(ROW('CASE MASTER'!#REF!)-1)))-INDEX('CASE MASTER'!$AB$2:$AB$495,(SUMPRODUCT((('CASE MASTER'!$T$2:$T$495=2)*('CASE MASTER'!$AA$2:$AA$495&lt;=3)*('CASE MASTER'!$AC$2:$AC$495&gt;=3)*('CASE MASTER'!$AB$2:$AB$495&lt;=2)*('CASE MASTER'!$AD$2:$AD$495&gt;=2))*ROW('CASE MASTER'!$T$2:$T$495))-(ROW('CASE MASTER'!#REF!)-1)))+1)+(2-INDEX('CASE MASTER'!$AB$2:$AB$495,(SUMPRODUCT((('CASE MASTER'!$T$2:$T$495=2)*('CASE MASTER'!$AA$2:$AA$495&lt;=3)*('CASE MASTER'!$AC$2:$AC$495&gt;=3)*('CASE MASTER'!$AB$2:$AB$495&lt;=2)*('CASE MASTER'!$AD$2:$AD$495&gt;=2))*ROW('CASE MASTER'!$T$2:$T$495))-(ROW('CASE MASTER'!#REF!)-1))))+1)))-1)*50+1,50))&amp;"_"&amp;INDEX('CASE MASTER'!$Q$2:$Q$495,(SUMPRODUCT((('CASE MASTER'!$T$2:$T$495=2)*('CASE MASTER'!$AA$2:$AA$495&lt;=3)*('CASE MASTER'!$AC$2:$AC$495&gt;=3)*('CASE MASTER'!$AB$2:$AB$495&lt;=2)*('CASE MASTER'!$AD$2:$AD$495&gt;=2))*ROW('CASE MASTER'!$T$2:$T$495))-(ROW('CASE MASTER'!#REF!)-1))),"")),"")</f>
        <v/>
      </c>
      <c r="D19" s="10" t="str">
        <f>IFERROR(IF(SUMPRODUCT((('CASE MASTER'!$T$2:$T$495=2)*('CASE MASTER'!$U$2:$U$495&lt;=3)*('CASE MASTER'!$W$2:$W$495&gt;=3)*('CASE MASTER'!$V$2:$V$495&lt;=3)*('CASE MASTER'!$X$2:$X$495&gt;=3))*ROW('CASE MASTER'!$T$2:$T$495))&gt;0,INDEX('CASE MASTER'!$Y$2:$Y$495,(SUMPRODUCT((('CASE MASTER'!$T$2:$T$495=2)*('CASE MASTER'!$U$2:$U$495&lt;=3)*('CASE MASTER'!$W$2:$W$495&gt;=3)*('CASE MASTER'!$V$2:$V$495&lt;=3)*('CASE MASTER'!$X$2:$X$495&gt;=3))*ROW('CASE MASTER'!$T$2:$T$495))-(ROW('CASE MASTER'!#REF!)-1)))&amp;TRIM(MID(SUBSTITUTE(SUBSTITUTE(INDEX('CASE MASTER'!$N$2:$N$495,(SUMPRODUCT((('CASE MASTER'!$T$2:$T$495=2)*('CASE MASTER'!$U$2:$U$495&lt;=3)*('CASE MASTER'!$W$2:$W$495&gt;=3)*('CASE MASTER'!$V$2:$V$495&lt;=3)*('CASE MASTER'!$X$2:$X$495&gt;=3))*ROW('CASE MASTER'!$T$2:$T$495))-(ROW('CASE MASTER'!#REF!)-1))),":",","),",",REPT(" ",50)),((((3-INDEX('CASE MASTER'!$U$2:$U$495,(SUMPRODUCT((('CASE MASTER'!$T$2:$T$495=2)*('CASE MASTER'!$U$2:$U$495&lt;=3)*('CASE MASTER'!$W$2:$W$495&gt;=3)*('CASE MASTER'!$V$2:$V$495&lt;=3)*('CASE MASTER'!$X$2:$X$495&gt;=3))*ROW('CASE MASTER'!$T$2:$T$495))-(ROW('CASE MASTER'!#REF!)-1))))*(INDEX('CASE MASTER'!$X$2:$X$495,(SUMPRODUCT((('CASE MASTER'!$T$2:$T$495=2)*('CASE MASTER'!$U$2:$U$495&lt;=3)*('CASE MASTER'!$W$2:$W$495&gt;=3)*('CASE MASTER'!$V$2:$V$495&lt;=3)*('CASE MASTER'!$X$2:$X$495&gt;=3))*ROW('CASE MASTER'!$T$2:$T$495))-(ROW('CASE MASTER'!#REF!)-1)))-INDEX('CASE MASTER'!$V$2:$V$495,(SUMPRODUCT((('CASE MASTER'!$T$2:$T$495=2)*('CASE MASTER'!$U$2:$U$495&lt;=3)*('CASE MASTER'!$W$2:$W$495&gt;=3)*('CASE MASTER'!$V$2:$V$495&lt;=3)*('CASE MASTER'!$X$2:$X$495&gt;=3))*ROW('CASE MASTER'!$T$2:$T$495))-(ROW('CASE MASTER'!#REF!)-1)))+1)+(3-INDEX('CASE MASTER'!$V$2:$V$495,(SUMPRODUCT((('CASE MASTER'!$T$2:$T$495=2)*('CASE MASTER'!$U$2:$U$495&lt;=3)*('CASE MASTER'!$W$2:$W$495&gt;=3)*('CASE MASTER'!$V$2:$V$495&lt;=3)*('CASE MASTER'!$X$2:$X$495&gt;=3))*ROW('CASE MASTER'!$T$2:$T$495))-(ROW('CASE MASTER'!#REF!)-1))))+1))-1)*50+1,50))&amp;"_"&amp;INDEX('CASE MASTER'!$Q$2:$Q$495,(SUMPRODUCT((('CASE MASTER'!$T$2:$T$495=2)*('CASE MASTER'!$U$2:$U$495&lt;=3)*('CASE MASTER'!$W$2:$W$495&gt;=3)*('CASE MASTER'!$V$2:$V$495&lt;=3)*('CASE MASTER'!$X$2:$X$495&gt;=3))*ROW('CASE MASTER'!$T$2:$T$495))-(ROW('CASE MASTER'!#REF!)-1))),IF(SUMPRODUCT((('CASE MASTER'!$T$2:$T$495=2)*('CASE MASTER'!$AA$2:$AA$495&lt;=3)*('CASE MASTER'!$AC$2:$AC$495&gt;=3)*('CASE MASTER'!$AB$2:$AB$495&lt;=3)*('CASE MASTER'!$AD$2:$AD$495&gt;=3))*ROW('CASE MASTER'!$T$2:$T$495))&gt;0,INDEX('CASE MASTER'!$Y$2:$Y$495,(SUMPRODUCT((('CASE MASTER'!$T$2:$T$495=2)*('CASE MASTER'!$AA$2:$AA$495&lt;=3)*('CASE MASTER'!$AC$2:$AC$495&gt;=3)*('CASE MASTER'!$AB$2:$AB$495&lt;=3)*('CASE MASTER'!$AD$2:$AD$495&gt;=3))*ROW('CASE MASTER'!$T$2:$T$495))-(ROW('CASE MASTER'!#REF!)-1)))&amp;TRIM(MID(SUBSTITUTE(SUBSTITUTE(INDEX('CASE MASTER'!$N$2:$N$495,(SUMPRODUCT((('CASE MASTER'!$T$2:$T$495=2)*('CASE MASTER'!$AA$2:$AA$495&lt;=3)*('CASE MASTER'!$AC$2:$AC$495&gt;=3)*('CASE MASTER'!$AB$2:$AB$495&lt;=3)*('CASE MASTER'!$AD$2:$AD$495&gt;=3))*ROW('CASE MASTER'!$T$2:$T$495))-(ROW('CASE MASTER'!#REF!)-1))),":",","),",",REPT(" ",50)),(((INDEX('CASE MASTER'!$Z$2:$Z$495,(SUMPRODUCT((('CASE MASTER'!$T$2:$T$495=2)*('CASE MASTER'!$AA$2:$AA$495&lt;=3)*('CASE MASTER'!$AC$2:$AC$495&gt;=3)*('CASE MASTER'!$AB$2:$AB$495&lt;=3)*('CASE MASTER'!$AD$2:$AD$495&gt;=3))*ROW('CASE MASTER'!$T$2:$T$495))-(ROW('CASE MASTER'!#REF!)-1)))+((3-INDEX('CASE MASTER'!$AA$2:$AA$495,(SUMPRODUCT((('CASE MASTER'!$T$2:$T$495=2)*('CASE MASTER'!$AA$2:$AA$495&lt;=3)*('CASE MASTER'!$AC$2:$AC$495&gt;=3)*('CASE MASTER'!$AB$2:$AB$495&lt;=3)*('CASE MASTER'!$AD$2:$AD$495&gt;=3))*ROW('CASE MASTER'!$T$2:$T$495))-(ROW('CASE MASTER'!#REF!)-1))))*(INDEX('CASE MASTER'!$AD$2:$AD$495,(SUMPRODUCT((('CASE MASTER'!$T$2:$T$495=2)*('CASE MASTER'!$AA$2:$AA$495&lt;=3)*('CASE MASTER'!$AC$2:$AC$495&gt;=3)*('CASE MASTER'!$AB$2:$AB$495&lt;=3)*('CASE MASTER'!$AD$2:$AD$495&gt;=3))*ROW('CASE MASTER'!$T$2:$T$495))-(ROW('CASE MASTER'!#REF!)-1)))-INDEX('CASE MASTER'!$AB$2:$AB$495,(SUMPRODUCT((('CASE MASTER'!$T$2:$T$495=2)*('CASE MASTER'!$AA$2:$AA$495&lt;=3)*('CASE MASTER'!$AC$2:$AC$495&gt;=3)*('CASE MASTER'!$AB$2:$AB$495&lt;=3)*('CASE MASTER'!$AD$2:$AD$495&gt;=3))*ROW('CASE MASTER'!$T$2:$T$495))-(ROW('CASE MASTER'!#REF!)-1)))+1)+(3-INDEX('CASE MASTER'!$AB$2:$AB$495,(SUMPRODUCT((('CASE MASTER'!$T$2:$T$495=2)*('CASE MASTER'!$AA$2:$AA$495&lt;=3)*('CASE MASTER'!$AC$2:$AC$495&gt;=3)*('CASE MASTER'!$AB$2:$AB$495&lt;=3)*('CASE MASTER'!$AD$2:$AD$495&gt;=3))*ROW('CASE MASTER'!$T$2:$T$495))-(ROW('CASE MASTER'!#REF!)-1))))+1)))-1)*50+1,50))&amp;"_"&amp;INDEX('CASE MASTER'!$Q$2:$Q$495,(SUMPRODUCT((('CASE MASTER'!$T$2:$T$495=2)*('CASE MASTER'!$AA$2:$AA$495&lt;=3)*('CASE MASTER'!$AC$2:$AC$495&gt;=3)*('CASE MASTER'!$AB$2:$AB$495&lt;=3)*('CASE MASTER'!$AD$2:$AD$495&gt;=3))*ROW('CASE MASTER'!$T$2:$T$495))-(ROW('CASE MASTER'!#REF!)-1))),"")),"")</f>
        <v/>
      </c>
      <c r="E19" s="10" t="str">
        <f>IFERROR(IF(SUMPRODUCT((('CASE MASTER'!$T$2:$T$495=2)*('CASE MASTER'!$U$2:$U$495&lt;=3)*('CASE MASTER'!$W$2:$W$495&gt;=3)*('CASE MASTER'!$V$2:$V$495&lt;=4)*('CASE MASTER'!$X$2:$X$495&gt;=4))*ROW('CASE MASTER'!$T$2:$T$495))&gt;0,INDEX('CASE MASTER'!$Y$2:$Y$495,(SUMPRODUCT((('CASE MASTER'!$T$2:$T$495=2)*('CASE MASTER'!$U$2:$U$495&lt;=3)*('CASE MASTER'!$W$2:$W$495&gt;=3)*('CASE MASTER'!$V$2:$V$495&lt;=4)*('CASE MASTER'!$X$2:$X$495&gt;=4))*ROW('CASE MASTER'!$T$2:$T$495))-(ROW('CASE MASTER'!#REF!)-1)))&amp;TRIM(MID(SUBSTITUTE(SUBSTITUTE(INDEX('CASE MASTER'!$N$2:$N$495,(SUMPRODUCT((('CASE MASTER'!$T$2:$T$495=2)*('CASE MASTER'!$U$2:$U$495&lt;=3)*('CASE MASTER'!$W$2:$W$495&gt;=3)*('CASE MASTER'!$V$2:$V$495&lt;=4)*('CASE MASTER'!$X$2:$X$495&gt;=4))*ROW('CASE MASTER'!$T$2:$T$495))-(ROW('CASE MASTER'!#REF!)-1))),":",","),",",REPT(" ",50)),((((3-INDEX('CASE MASTER'!$U$2:$U$495,(SUMPRODUCT((('CASE MASTER'!$T$2:$T$495=2)*('CASE MASTER'!$U$2:$U$495&lt;=3)*('CASE MASTER'!$W$2:$W$495&gt;=3)*('CASE MASTER'!$V$2:$V$495&lt;=4)*('CASE MASTER'!$X$2:$X$495&gt;=4))*ROW('CASE MASTER'!$T$2:$T$495))-(ROW('CASE MASTER'!#REF!)-1))))*(INDEX('CASE MASTER'!$X$2:$X$495,(SUMPRODUCT((('CASE MASTER'!$T$2:$T$495=2)*('CASE MASTER'!$U$2:$U$495&lt;=3)*('CASE MASTER'!$W$2:$W$495&gt;=3)*('CASE MASTER'!$V$2:$V$495&lt;=4)*('CASE MASTER'!$X$2:$X$495&gt;=4))*ROW('CASE MASTER'!$T$2:$T$495))-(ROW('CASE MASTER'!#REF!)-1)))-INDEX('CASE MASTER'!$V$2:$V$495,(SUMPRODUCT((('CASE MASTER'!$T$2:$T$495=2)*('CASE MASTER'!$U$2:$U$495&lt;=3)*('CASE MASTER'!$W$2:$W$495&gt;=3)*('CASE MASTER'!$V$2:$V$495&lt;=4)*('CASE MASTER'!$X$2:$X$495&gt;=4))*ROW('CASE MASTER'!$T$2:$T$495))-(ROW('CASE MASTER'!#REF!)-1)))+1)+(4-INDEX('CASE MASTER'!$V$2:$V$495,(SUMPRODUCT((('CASE MASTER'!$T$2:$T$495=2)*('CASE MASTER'!$U$2:$U$495&lt;=3)*('CASE MASTER'!$W$2:$W$495&gt;=3)*('CASE MASTER'!$V$2:$V$495&lt;=4)*('CASE MASTER'!$X$2:$X$495&gt;=4))*ROW('CASE MASTER'!$T$2:$T$495))-(ROW('CASE MASTER'!#REF!)-1))))+1))-1)*50+1,50))&amp;"_"&amp;INDEX('CASE MASTER'!$Q$2:$Q$495,(SUMPRODUCT((('CASE MASTER'!$T$2:$T$495=2)*('CASE MASTER'!$U$2:$U$495&lt;=3)*('CASE MASTER'!$W$2:$W$495&gt;=3)*('CASE MASTER'!$V$2:$V$495&lt;=4)*('CASE MASTER'!$X$2:$X$495&gt;=4))*ROW('CASE MASTER'!$T$2:$T$495))-(ROW('CASE MASTER'!#REF!)-1))),IF(SUMPRODUCT((('CASE MASTER'!$T$2:$T$495=2)*('CASE MASTER'!$AA$2:$AA$495&lt;=3)*('CASE MASTER'!$AC$2:$AC$495&gt;=3)*('CASE MASTER'!$AB$2:$AB$495&lt;=4)*('CASE MASTER'!$AD$2:$AD$495&gt;=4))*ROW('CASE MASTER'!$T$2:$T$495))&gt;0,INDEX('CASE MASTER'!$Y$2:$Y$495,(SUMPRODUCT((('CASE MASTER'!$T$2:$T$495=2)*('CASE MASTER'!$AA$2:$AA$495&lt;=3)*('CASE MASTER'!$AC$2:$AC$495&gt;=3)*('CASE MASTER'!$AB$2:$AB$495&lt;=4)*('CASE MASTER'!$AD$2:$AD$495&gt;=4))*ROW('CASE MASTER'!$T$2:$T$495))-(ROW('CASE MASTER'!#REF!)-1)))&amp;TRIM(MID(SUBSTITUTE(SUBSTITUTE(INDEX('CASE MASTER'!$N$2:$N$495,(SUMPRODUCT((('CASE MASTER'!$T$2:$T$495=2)*('CASE MASTER'!$AA$2:$AA$495&lt;=3)*('CASE MASTER'!$AC$2:$AC$495&gt;=3)*('CASE MASTER'!$AB$2:$AB$495&lt;=4)*('CASE MASTER'!$AD$2:$AD$495&gt;=4))*ROW('CASE MASTER'!$T$2:$T$495))-(ROW('CASE MASTER'!#REF!)-1))),":",","),",",REPT(" ",50)),(((INDEX('CASE MASTER'!$Z$2:$Z$495,(SUMPRODUCT((('CASE MASTER'!$T$2:$T$495=2)*('CASE MASTER'!$AA$2:$AA$495&lt;=3)*('CASE MASTER'!$AC$2:$AC$495&gt;=3)*('CASE MASTER'!$AB$2:$AB$495&lt;=4)*('CASE MASTER'!$AD$2:$AD$495&gt;=4))*ROW('CASE MASTER'!$T$2:$T$495))-(ROW('CASE MASTER'!#REF!)-1)))+((3-INDEX('CASE MASTER'!$AA$2:$AA$495,(SUMPRODUCT((('CASE MASTER'!$T$2:$T$495=2)*('CASE MASTER'!$AA$2:$AA$495&lt;=3)*('CASE MASTER'!$AC$2:$AC$495&gt;=3)*('CASE MASTER'!$AB$2:$AB$495&lt;=4)*('CASE MASTER'!$AD$2:$AD$495&gt;=4))*ROW('CASE MASTER'!$T$2:$T$495))-(ROW('CASE MASTER'!#REF!)-1))))*(INDEX('CASE MASTER'!$AD$2:$AD$495,(SUMPRODUCT((('CASE MASTER'!$T$2:$T$495=2)*('CASE MASTER'!$AA$2:$AA$495&lt;=3)*('CASE MASTER'!$AC$2:$AC$495&gt;=3)*('CASE MASTER'!$AB$2:$AB$495&lt;=4)*('CASE MASTER'!$AD$2:$AD$495&gt;=4))*ROW('CASE MASTER'!$T$2:$T$495))-(ROW('CASE MASTER'!#REF!)-1)))-INDEX('CASE MASTER'!$AB$2:$AB$495,(SUMPRODUCT((('CASE MASTER'!$T$2:$T$495=2)*('CASE MASTER'!$AA$2:$AA$495&lt;=3)*('CASE MASTER'!$AC$2:$AC$495&gt;=3)*('CASE MASTER'!$AB$2:$AB$495&lt;=4)*('CASE MASTER'!$AD$2:$AD$495&gt;=4))*ROW('CASE MASTER'!$T$2:$T$495))-(ROW('CASE MASTER'!#REF!)-1)))+1)+(4-INDEX('CASE MASTER'!$AB$2:$AB$495,(SUMPRODUCT((('CASE MASTER'!$T$2:$T$495=2)*('CASE MASTER'!$AA$2:$AA$495&lt;=3)*('CASE MASTER'!$AC$2:$AC$495&gt;=3)*('CASE MASTER'!$AB$2:$AB$495&lt;=4)*('CASE MASTER'!$AD$2:$AD$495&gt;=4))*ROW('CASE MASTER'!$T$2:$T$495))-(ROW('CASE MASTER'!#REF!)-1))))+1)))-1)*50+1,50))&amp;"_"&amp;INDEX('CASE MASTER'!$Q$2:$Q$495,(SUMPRODUCT((('CASE MASTER'!$T$2:$T$495=2)*('CASE MASTER'!$AA$2:$AA$495&lt;=3)*('CASE MASTER'!$AC$2:$AC$495&gt;=3)*('CASE MASTER'!$AB$2:$AB$495&lt;=4)*('CASE MASTER'!$AD$2:$AD$495&gt;=4))*ROW('CASE MASTER'!$T$2:$T$495))-(ROW('CASE MASTER'!#REF!)-1))),"")),"")</f>
        <v/>
      </c>
      <c r="F19" s="10" t="str">
        <f>IFERROR(IF(SUMPRODUCT((('CASE MASTER'!$T$2:$T$495=2)*('CASE MASTER'!$U$2:$U$495&lt;=3)*('CASE MASTER'!$W$2:$W$495&gt;=3)*('CASE MASTER'!$V$2:$V$495&lt;=5)*('CASE MASTER'!$X$2:$X$495&gt;=5))*ROW('CASE MASTER'!$T$2:$T$495))&gt;0,INDEX('CASE MASTER'!$Y$2:$Y$495,(SUMPRODUCT((('CASE MASTER'!$T$2:$T$495=2)*('CASE MASTER'!$U$2:$U$495&lt;=3)*('CASE MASTER'!$W$2:$W$495&gt;=3)*('CASE MASTER'!$V$2:$V$495&lt;=5)*('CASE MASTER'!$X$2:$X$495&gt;=5))*ROW('CASE MASTER'!$T$2:$T$495))-(ROW('CASE MASTER'!#REF!)-1)))&amp;TRIM(MID(SUBSTITUTE(SUBSTITUTE(INDEX('CASE MASTER'!$N$2:$N$495,(SUMPRODUCT((('CASE MASTER'!$T$2:$T$495=2)*('CASE MASTER'!$U$2:$U$495&lt;=3)*('CASE MASTER'!$W$2:$W$495&gt;=3)*('CASE MASTER'!$V$2:$V$495&lt;=5)*('CASE MASTER'!$X$2:$X$495&gt;=5))*ROW('CASE MASTER'!$T$2:$T$495))-(ROW('CASE MASTER'!#REF!)-1))),":",","),",",REPT(" ",50)),((((3-INDEX('CASE MASTER'!$U$2:$U$495,(SUMPRODUCT((('CASE MASTER'!$T$2:$T$495=2)*('CASE MASTER'!$U$2:$U$495&lt;=3)*('CASE MASTER'!$W$2:$W$495&gt;=3)*('CASE MASTER'!$V$2:$V$495&lt;=5)*('CASE MASTER'!$X$2:$X$495&gt;=5))*ROW('CASE MASTER'!$T$2:$T$495))-(ROW('CASE MASTER'!#REF!)-1))))*(INDEX('CASE MASTER'!$X$2:$X$495,(SUMPRODUCT((('CASE MASTER'!$T$2:$T$495=2)*('CASE MASTER'!$U$2:$U$495&lt;=3)*('CASE MASTER'!$W$2:$W$495&gt;=3)*('CASE MASTER'!$V$2:$V$495&lt;=5)*('CASE MASTER'!$X$2:$X$495&gt;=5))*ROW('CASE MASTER'!$T$2:$T$495))-(ROW('CASE MASTER'!#REF!)-1)))-INDEX('CASE MASTER'!$V$2:$V$495,(SUMPRODUCT((('CASE MASTER'!$T$2:$T$495=2)*('CASE MASTER'!$U$2:$U$495&lt;=3)*('CASE MASTER'!$W$2:$W$495&gt;=3)*('CASE MASTER'!$V$2:$V$495&lt;=5)*('CASE MASTER'!$X$2:$X$495&gt;=5))*ROW('CASE MASTER'!$T$2:$T$495))-(ROW('CASE MASTER'!#REF!)-1)))+1)+(5-INDEX('CASE MASTER'!$V$2:$V$495,(SUMPRODUCT((('CASE MASTER'!$T$2:$T$495=2)*('CASE MASTER'!$U$2:$U$495&lt;=3)*('CASE MASTER'!$W$2:$W$495&gt;=3)*('CASE MASTER'!$V$2:$V$495&lt;=5)*('CASE MASTER'!$X$2:$X$495&gt;=5))*ROW('CASE MASTER'!$T$2:$T$495))-(ROW('CASE MASTER'!#REF!)-1))))+1))-1)*50+1,50))&amp;"_"&amp;INDEX('CASE MASTER'!$Q$2:$Q$495,(SUMPRODUCT((('CASE MASTER'!$T$2:$T$495=2)*('CASE MASTER'!$U$2:$U$495&lt;=3)*('CASE MASTER'!$W$2:$W$495&gt;=3)*('CASE MASTER'!$V$2:$V$495&lt;=5)*('CASE MASTER'!$X$2:$X$495&gt;=5))*ROW('CASE MASTER'!$T$2:$T$495))-(ROW('CASE MASTER'!#REF!)-1))),IF(SUMPRODUCT((('CASE MASTER'!$T$2:$T$495=2)*('CASE MASTER'!$AA$2:$AA$495&lt;=3)*('CASE MASTER'!$AC$2:$AC$495&gt;=3)*('CASE MASTER'!$AB$2:$AB$495&lt;=5)*('CASE MASTER'!$AD$2:$AD$495&gt;=5))*ROW('CASE MASTER'!$T$2:$T$495))&gt;0,INDEX('CASE MASTER'!$Y$2:$Y$495,(SUMPRODUCT((('CASE MASTER'!$T$2:$T$495=2)*('CASE MASTER'!$AA$2:$AA$495&lt;=3)*('CASE MASTER'!$AC$2:$AC$495&gt;=3)*('CASE MASTER'!$AB$2:$AB$495&lt;=5)*('CASE MASTER'!$AD$2:$AD$495&gt;=5))*ROW('CASE MASTER'!$T$2:$T$495))-(ROW('CASE MASTER'!#REF!)-1)))&amp;TRIM(MID(SUBSTITUTE(SUBSTITUTE(INDEX('CASE MASTER'!$N$2:$N$495,(SUMPRODUCT((('CASE MASTER'!$T$2:$T$495=2)*('CASE MASTER'!$AA$2:$AA$495&lt;=3)*('CASE MASTER'!$AC$2:$AC$495&gt;=3)*('CASE MASTER'!$AB$2:$AB$495&lt;=5)*('CASE MASTER'!$AD$2:$AD$495&gt;=5))*ROW('CASE MASTER'!$T$2:$T$495))-(ROW('CASE MASTER'!#REF!)-1))),":",","),",",REPT(" ",50)),(((INDEX('CASE MASTER'!$Z$2:$Z$495,(SUMPRODUCT((('CASE MASTER'!$T$2:$T$495=2)*('CASE MASTER'!$AA$2:$AA$495&lt;=3)*('CASE MASTER'!$AC$2:$AC$495&gt;=3)*('CASE MASTER'!$AB$2:$AB$495&lt;=5)*('CASE MASTER'!$AD$2:$AD$495&gt;=5))*ROW('CASE MASTER'!$T$2:$T$495))-(ROW('CASE MASTER'!#REF!)-1)))+((3-INDEX('CASE MASTER'!$AA$2:$AA$495,(SUMPRODUCT((('CASE MASTER'!$T$2:$T$495=2)*('CASE MASTER'!$AA$2:$AA$495&lt;=3)*('CASE MASTER'!$AC$2:$AC$495&gt;=3)*('CASE MASTER'!$AB$2:$AB$495&lt;=5)*('CASE MASTER'!$AD$2:$AD$495&gt;=5))*ROW('CASE MASTER'!$T$2:$T$495))-(ROW('CASE MASTER'!#REF!)-1))))*(INDEX('CASE MASTER'!$AD$2:$AD$495,(SUMPRODUCT((('CASE MASTER'!$T$2:$T$495=2)*('CASE MASTER'!$AA$2:$AA$495&lt;=3)*('CASE MASTER'!$AC$2:$AC$495&gt;=3)*('CASE MASTER'!$AB$2:$AB$495&lt;=5)*('CASE MASTER'!$AD$2:$AD$495&gt;=5))*ROW('CASE MASTER'!$T$2:$T$495))-(ROW('CASE MASTER'!#REF!)-1)))-INDEX('CASE MASTER'!$AB$2:$AB$495,(SUMPRODUCT((('CASE MASTER'!$T$2:$T$495=2)*('CASE MASTER'!$AA$2:$AA$495&lt;=3)*('CASE MASTER'!$AC$2:$AC$495&gt;=3)*('CASE MASTER'!$AB$2:$AB$495&lt;=5)*('CASE MASTER'!$AD$2:$AD$495&gt;=5))*ROW('CASE MASTER'!$T$2:$T$495))-(ROW('CASE MASTER'!#REF!)-1)))+1)+(5-INDEX('CASE MASTER'!$AB$2:$AB$495,(SUMPRODUCT((('CASE MASTER'!$T$2:$T$495=2)*('CASE MASTER'!$AA$2:$AA$495&lt;=3)*('CASE MASTER'!$AC$2:$AC$495&gt;=3)*('CASE MASTER'!$AB$2:$AB$495&lt;=5)*('CASE MASTER'!$AD$2:$AD$495&gt;=5))*ROW('CASE MASTER'!$T$2:$T$495))-(ROW('CASE MASTER'!#REF!)-1))))+1)))-1)*50+1,50))&amp;"_"&amp;INDEX('CASE MASTER'!$Q$2:$Q$495,(SUMPRODUCT((('CASE MASTER'!$T$2:$T$495=2)*('CASE MASTER'!$AA$2:$AA$495&lt;=3)*('CASE MASTER'!$AC$2:$AC$495&gt;=3)*('CASE MASTER'!$AB$2:$AB$495&lt;=5)*('CASE MASTER'!$AD$2:$AD$495&gt;=5))*ROW('CASE MASTER'!$T$2:$T$495))-(ROW('CASE MASTER'!#REF!)-1))),"")),"")</f>
        <v/>
      </c>
      <c r="G19" s="10" t="str">
        <f>IFERROR(IF(SUMPRODUCT((('CASE MASTER'!$T$2:$T$495=2)*('CASE MASTER'!$U$2:$U$495&lt;=3)*('CASE MASTER'!$W$2:$W$495&gt;=3)*('CASE MASTER'!$V$2:$V$495&lt;=6)*('CASE MASTER'!$X$2:$X$495&gt;=6))*ROW('CASE MASTER'!$T$2:$T$495))&gt;0,INDEX('CASE MASTER'!$Y$2:$Y$495,(SUMPRODUCT((('CASE MASTER'!$T$2:$T$495=2)*('CASE MASTER'!$U$2:$U$495&lt;=3)*('CASE MASTER'!$W$2:$W$495&gt;=3)*('CASE MASTER'!$V$2:$V$495&lt;=6)*('CASE MASTER'!$X$2:$X$495&gt;=6))*ROW('CASE MASTER'!$T$2:$T$495))-(ROW('CASE MASTER'!#REF!)-1)))&amp;TRIM(MID(SUBSTITUTE(SUBSTITUTE(INDEX('CASE MASTER'!$N$2:$N$495,(SUMPRODUCT((('CASE MASTER'!$T$2:$T$495=2)*('CASE MASTER'!$U$2:$U$495&lt;=3)*('CASE MASTER'!$W$2:$W$495&gt;=3)*('CASE MASTER'!$V$2:$V$495&lt;=6)*('CASE MASTER'!$X$2:$X$495&gt;=6))*ROW('CASE MASTER'!$T$2:$T$495))-(ROW('CASE MASTER'!#REF!)-1))),":",","),",",REPT(" ",50)),((((3-INDEX('CASE MASTER'!$U$2:$U$495,(SUMPRODUCT((('CASE MASTER'!$T$2:$T$495=2)*('CASE MASTER'!$U$2:$U$495&lt;=3)*('CASE MASTER'!$W$2:$W$495&gt;=3)*('CASE MASTER'!$V$2:$V$495&lt;=6)*('CASE MASTER'!$X$2:$X$495&gt;=6))*ROW('CASE MASTER'!$T$2:$T$495))-(ROW('CASE MASTER'!#REF!)-1))))*(INDEX('CASE MASTER'!$X$2:$X$495,(SUMPRODUCT((('CASE MASTER'!$T$2:$T$495=2)*('CASE MASTER'!$U$2:$U$495&lt;=3)*('CASE MASTER'!$W$2:$W$495&gt;=3)*('CASE MASTER'!$V$2:$V$495&lt;=6)*('CASE MASTER'!$X$2:$X$495&gt;=6))*ROW('CASE MASTER'!$T$2:$T$495))-(ROW('CASE MASTER'!#REF!)-1)))-INDEX('CASE MASTER'!$V$2:$V$495,(SUMPRODUCT((('CASE MASTER'!$T$2:$T$495=2)*('CASE MASTER'!$U$2:$U$495&lt;=3)*('CASE MASTER'!$W$2:$W$495&gt;=3)*('CASE MASTER'!$V$2:$V$495&lt;=6)*('CASE MASTER'!$X$2:$X$495&gt;=6))*ROW('CASE MASTER'!$T$2:$T$495))-(ROW('CASE MASTER'!#REF!)-1)))+1)+(6-INDEX('CASE MASTER'!$V$2:$V$495,(SUMPRODUCT((('CASE MASTER'!$T$2:$T$495=2)*('CASE MASTER'!$U$2:$U$495&lt;=3)*('CASE MASTER'!$W$2:$W$495&gt;=3)*('CASE MASTER'!$V$2:$V$495&lt;=6)*('CASE MASTER'!$X$2:$X$495&gt;=6))*ROW('CASE MASTER'!$T$2:$T$495))-(ROW('CASE MASTER'!#REF!)-1))))+1))-1)*50+1,50))&amp;"_"&amp;INDEX('CASE MASTER'!$Q$2:$Q$495,(SUMPRODUCT((('CASE MASTER'!$T$2:$T$495=2)*('CASE MASTER'!$U$2:$U$495&lt;=3)*('CASE MASTER'!$W$2:$W$495&gt;=3)*('CASE MASTER'!$V$2:$V$495&lt;=6)*('CASE MASTER'!$X$2:$X$495&gt;=6))*ROW('CASE MASTER'!$T$2:$T$495))-(ROW('CASE MASTER'!#REF!)-1))),IF(SUMPRODUCT((('CASE MASTER'!$T$2:$T$495=2)*('CASE MASTER'!$AA$2:$AA$495&lt;=3)*('CASE MASTER'!$AC$2:$AC$495&gt;=3)*('CASE MASTER'!$AB$2:$AB$495&lt;=6)*('CASE MASTER'!$AD$2:$AD$495&gt;=6))*ROW('CASE MASTER'!$T$2:$T$495))&gt;0,INDEX('CASE MASTER'!$Y$2:$Y$495,(SUMPRODUCT((('CASE MASTER'!$T$2:$T$495=2)*('CASE MASTER'!$AA$2:$AA$495&lt;=3)*('CASE MASTER'!$AC$2:$AC$495&gt;=3)*('CASE MASTER'!$AB$2:$AB$495&lt;=6)*('CASE MASTER'!$AD$2:$AD$495&gt;=6))*ROW('CASE MASTER'!$T$2:$T$495))-(ROW('CASE MASTER'!#REF!)-1)))&amp;TRIM(MID(SUBSTITUTE(SUBSTITUTE(INDEX('CASE MASTER'!$N$2:$N$495,(SUMPRODUCT((('CASE MASTER'!$T$2:$T$495=2)*('CASE MASTER'!$AA$2:$AA$495&lt;=3)*('CASE MASTER'!$AC$2:$AC$495&gt;=3)*('CASE MASTER'!$AB$2:$AB$495&lt;=6)*('CASE MASTER'!$AD$2:$AD$495&gt;=6))*ROW('CASE MASTER'!$T$2:$T$495))-(ROW('CASE MASTER'!#REF!)-1))),":",","),",",REPT(" ",50)),(((INDEX('CASE MASTER'!$Z$2:$Z$495,(SUMPRODUCT((('CASE MASTER'!$T$2:$T$495=2)*('CASE MASTER'!$AA$2:$AA$495&lt;=3)*('CASE MASTER'!$AC$2:$AC$495&gt;=3)*('CASE MASTER'!$AB$2:$AB$495&lt;=6)*('CASE MASTER'!$AD$2:$AD$495&gt;=6))*ROW('CASE MASTER'!$T$2:$T$495))-(ROW('CASE MASTER'!#REF!)-1)))+((3-INDEX('CASE MASTER'!$AA$2:$AA$495,(SUMPRODUCT((('CASE MASTER'!$T$2:$T$495=2)*('CASE MASTER'!$AA$2:$AA$495&lt;=3)*('CASE MASTER'!$AC$2:$AC$495&gt;=3)*('CASE MASTER'!$AB$2:$AB$495&lt;=6)*('CASE MASTER'!$AD$2:$AD$495&gt;=6))*ROW('CASE MASTER'!$T$2:$T$495))-(ROW('CASE MASTER'!#REF!)-1))))*(INDEX('CASE MASTER'!$AD$2:$AD$495,(SUMPRODUCT((('CASE MASTER'!$T$2:$T$495=2)*('CASE MASTER'!$AA$2:$AA$495&lt;=3)*('CASE MASTER'!$AC$2:$AC$495&gt;=3)*('CASE MASTER'!$AB$2:$AB$495&lt;=6)*('CASE MASTER'!$AD$2:$AD$495&gt;=6))*ROW('CASE MASTER'!$T$2:$T$495))-(ROW('CASE MASTER'!#REF!)-1)))-INDEX('CASE MASTER'!$AB$2:$AB$495,(SUMPRODUCT((('CASE MASTER'!$T$2:$T$495=2)*('CASE MASTER'!$AA$2:$AA$495&lt;=3)*('CASE MASTER'!$AC$2:$AC$495&gt;=3)*('CASE MASTER'!$AB$2:$AB$495&lt;=6)*('CASE MASTER'!$AD$2:$AD$495&gt;=6))*ROW('CASE MASTER'!$T$2:$T$495))-(ROW('CASE MASTER'!#REF!)-1)))+1)+(6-INDEX('CASE MASTER'!$AB$2:$AB$495,(SUMPRODUCT((('CASE MASTER'!$T$2:$T$495=2)*('CASE MASTER'!$AA$2:$AA$495&lt;=3)*('CASE MASTER'!$AC$2:$AC$495&gt;=3)*('CASE MASTER'!$AB$2:$AB$495&lt;=6)*('CASE MASTER'!$AD$2:$AD$495&gt;=6))*ROW('CASE MASTER'!$T$2:$T$495))-(ROW('CASE MASTER'!#REF!)-1))))+1)))-1)*50+1,50))&amp;"_"&amp;INDEX('CASE MASTER'!$Q$2:$Q$495,(SUMPRODUCT((('CASE MASTER'!$T$2:$T$495=2)*('CASE MASTER'!$AA$2:$AA$495&lt;=3)*('CASE MASTER'!$AC$2:$AC$495&gt;=3)*('CASE MASTER'!$AB$2:$AB$495&lt;=6)*('CASE MASTER'!$AD$2:$AD$495&gt;=6))*ROW('CASE MASTER'!$T$2:$T$495))-(ROW('CASE MASTER'!#REF!)-1))),"")),"")</f>
        <v/>
      </c>
      <c r="H19" s="10" t="str">
        <f>IFERROR(IF(SUMPRODUCT((('CASE MASTER'!$T$2:$T$495=2)*('CASE MASTER'!$U$2:$U$495&lt;=3)*('CASE MASTER'!$W$2:$W$495&gt;=3)*('CASE MASTER'!$V$2:$V$495&lt;=7)*('CASE MASTER'!$X$2:$X$495&gt;=7))*ROW('CASE MASTER'!$T$2:$T$495))&gt;0,INDEX('CASE MASTER'!$Y$2:$Y$495,(SUMPRODUCT((('CASE MASTER'!$T$2:$T$495=2)*('CASE MASTER'!$U$2:$U$495&lt;=3)*('CASE MASTER'!$W$2:$W$495&gt;=3)*('CASE MASTER'!$V$2:$V$495&lt;=7)*('CASE MASTER'!$X$2:$X$495&gt;=7))*ROW('CASE MASTER'!$T$2:$T$495))-(ROW('CASE MASTER'!#REF!)-1)))&amp;TRIM(MID(SUBSTITUTE(SUBSTITUTE(INDEX('CASE MASTER'!$N$2:$N$495,(SUMPRODUCT((('CASE MASTER'!$T$2:$T$495=2)*('CASE MASTER'!$U$2:$U$495&lt;=3)*('CASE MASTER'!$W$2:$W$495&gt;=3)*('CASE MASTER'!$V$2:$V$495&lt;=7)*('CASE MASTER'!$X$2:$X$495&gt;=7))*ROW('CASE MASTER'!$T$2:$T$495))-(ROW('CASE MASTER'!#REF!)-1))),":",","),",",REPT(" ",50)),((((3-INDEX('CASE MASTER'!$U$2:$U$495,(SUMPRODUCT((('CASE MASTER'!$T$2:$T$495=2)*('CASE MASTER'!$U$2:$U$495&lt;=3)*('CASE MASTER'!$W$2:$W$495&gt;=3)*('CASE MASTER'!$V$2:$V$495&lt;=7)*('CASE MASTER'!$X$2:$X$495&gt;=7))*ROW('CASE MASTER'!$T$2:$T$495))-(ROW('CASE MASTER'!#REF!)-1))))*(INDEX('CASE MASTER'!$X$2:$X$495,(SUMPRODUCT((('CASE MASTER'!$T$2:$T$495=2)*('CASE MASTER'!$U$2:$U$495&lt;=3)*('CASE MASTER'!$W$2:$W$495&gt;=3)*('CASE MASTER'!$V$2:$V$495&lt;=7)*('CASE MASTER'!$X$2:$X$495&gt;=7))*ROW('CASE MASTER'!$T$2:$T$495))-(ROW('CASE MASTER'!#REF!)-1)))-INDEX('CASE MASTER'!$V$2:$V$495,(SUMPRODUCT((('CASE MASTER'!$T$2:$T$495=2)*('CASE MASTER'!$U$2:$U$495&lt;=3)*('CASE MASTER'!$W$2:$W$495&gt;=3)*('CASE MASTER'!$V$2:$V$495&lt;=7)*('CASE MASTER'!$X$2:$X$495&gt;=7))*ROW('CASE MASTER'!$T$2:$T$495))-(ROW('CASE MASTER'!#REF!)-1)))+1)+(7-INDEX('CASE MASTER'!$V$2:$V$495,(SUMPRODUCT((('CASE MASTER'!$T$2:$T$495=2)*('CASE MASTER'!$U$2:$U$495&lt;=3)*('CASE MASTER'!$W$2:$W$495&gt;=3)*('CASE MASTER'!$V$2:$V$495&lt;=7)*('CASE MASTER'!$X$2:$X$495&gt;=7))*ROW('CASE MASTER'!$T$2:$T$495))-(ROW('CASE MASTER'!#REF!)-1))))+1))-1)*50+1,50))&amp;"_"&amp;INDEX('CASE MASTER'!$Q$2:$Q$495,(SUMPRODUCT((('CASE MASTER'!$T$2:$T$495=2)*('CASE MASTER'!$U$2:$U$495&lt;=3)*('CASE MASTER'!$W$2:$W$495&gt;=3)*('CASE MASTER'!$V$2:$V$495&lt;=7)*('CASE MASTER'!$X$2:$X$495&gt;=7))*ROW('CASE MASTER'!$T$2:$T$495))-(ROW('CASE MASTER'!#REF!)-1))),IF(SUMPRODUCT((('CASE MASTER'!$T$2:$T$495=2)*('CASE MASTER'!$AA$2:$AA$495&lt;=3)*('CASE MASTER'!$AC$2:$AC$495&gt;=3)*('CASE MASTER'!$AB$2:$AB$495&lt;=7)*('CASE MASTER'!$AD$2:$AD$495&gt;=7))*ROW('CASE MASTER'!$T$2:$T$495))&gt;0,INDEX('CASE MASTER'!$Y$2:$Y$495,(SUMPRODUCT((('CASE MASTER'!$T$2:$T$495=2)*('CASE MASTER'!$AA$2:$AA$495&lt;=3)*('CASE MASTER'!$AC$2:$AC$495&gt;=3)*('CASE MASTER'!$AB$2:$AB$495&lt;=7)*('CASE MASTER'!$AD$2:$AD$495&gt;=7))*ROW('CASE MASTER'!$T$2:$T$495))-(ROW('CASE MASTER'!#REF!)-1)))&amp;TRIM(MID(SUBSTITUTE(SUBSTITUTE(INDEX('CASE MASTER'!$N$2:$N$495,(SUMPRODUCT((('CASE MASTER'!$T$2:$T$495=2)*('CASE MASTER'!$AA$2:$AA$495&lt;=3)*('CASE MASTER'!$AC$2:$AC$495&gt;=3)*('CASE MASTER'!$AB$2:$AB$495&lt;=7)*('CASE MASTER'!$AD$2:$AD$495&gt;=7))*ROW('CASE MASTER'!$T$2:$T$495))-(ROW('CASE MASTER'!#REF!)-1))),":",","),",",REPT(" ",50)),(((INDEX('CASE MASTER'!$Z$2:$Z$495,(SUMPRODUCT((('CASE MASTER'!$T$2:$T$495=2)*('CASE MASTER'!$AA$2:$AA$495&lt;=3)*('CASE MASTER'!$AC$2:$AC$495&gt;=3)*('CASE MASTER'!$AB$2:$AB$495&lt;=7)*('CASE MASTER'!$AD$2:$AD$495&gt;=7))*ROW('CASE MASTER'!$T$2:$T$495))-(ROW('CASE MASTER'!#REF!)-1)))+((3-INDEX('CASE MASTER'!$AA$2:$AA$495,(SUMPRODUCT((('CASE MASTER'!$T$2:$T$495=2)*('CASE MASTER'!$AA$2:$AA$495&lt;=3)*('CASE MASTER'!$AC$2:$AC$495&gt;=3)*('CASE MASTER'!$AB$2:$AB$495&lt;=7)*('CASE MASTER'!$AD$2:$AD$495&gt;=7))*ROW('CASE MASTER'!$T$2:$T$495))-(ROW('CASE MASTER'!#REF!)-1))))*(INDEX('CASE MASTER'!$AD$2:$AD$495,(SUMPRODUCT((('CASE MASTER'!$T$2:$T$495=2)*('CASE MASTER'!$AA$2:$AA$495&lt;=3)*('CASE MASTER'!$AC$2:$AC$495&gt;=3)*('CASE MASTER'!$AB$2:$AB$495&lt;=7)*('CASE MASTER'!$AD$2:$AD$495&gt;=7))*ROW('CASE MASTER'!$T$2:$T$495))-(ROW('CASE MASTER'!#REF!)-1)))-INDEX('CASE MASTER'!$AB$2:$AB$495,(SUMPRODUCT((('CASE MASTER'!$T$2:$T$495=2)*('CASE MASTER'!$AA$2:$AA$495&lt;=3)*('CASE MASTER'!$AC$2:$AC$495&gt;=3)*('CASE MASTER'!$AB$2:$AB$495&lt;=7)*('CASE MASTER'!$AD$2:$AD$495&gt;=7))*ROW('CASE MASTER'!$T$2:$T$495))-(ROW('CASE MASTER'!#REF!)-1)))+1)+(7-INDEX('CASE MASTER'!$AB$2:$AB$495,(SUMPRODUCT((('CASE MASTER'!$T$2:$T$495=2)*('CASE MASTER'!$AA$2:$AA$495&lt;=3)*('CASE MASTER'!$AC$2:$AC$495&gt;=3)*('CASE MASTER'!$AB$2:$AB$495&lt;=7)*('CASE MASTER'!$AD$2:$AD$495&gt;=7))*ROW('CASE MASTER'!$T$2:$T$495))-(ROW('CASE MASTER'!#REF!)-1))))+1)))-1)*50+1,50))&amp;"_"&amp;INDEX('CASE MASTER'!$Q$2:$Q$495,(SUMPRODUCT((('CASE MASTER'!$T$2:$T$495=2)*('CASE MASTER'!$AA$2:$AA$495&lt;=3)*('CASE MASTER'!$AC$2:$AC$495&gt;=3)*('CASE MASTER'!$AB$2:$AB$495&lt;=7)*('CASE MASTER'!$AD$2:$AD$495&gt;=7))*ROW('CASE MASTER'!$T$2:$T$495))-(ROW('CASE MASTER'!#REF!)-1))),"")),"")</f>
        <v/>
      </c>
      <c r="I19" s="10" t="str">
        <f>IFERROR(IF(SUMPRODUCT((('CASE MASTER'!$T$2:$T$495=2)*('CASE MASTER'!$U$2:$U$495&lt;=3)*('CASE MASTER'!$W$2:$W$495&gt;=3)*('CASE MASTER'!$V$2:$V$495&lt;=8)*('CASE MASTER'!$X$2:$X$495&gt;=8))*ROW('CASE MASTER'!$T$2:$T$495))&gt;0,INDEX('CASE MASTER'!$Y$2:$Y$495,(SUMPRODUCT((('CASE MASTER'!$T$2:$T$495=2)*('CASE MASTER'!$U$2:$U$495&lt;=3)*('CASE MASTER'!$W$2:$W$495&gt;=3)*('CASE MASTER'!$V$2:$V$495&lt;=8)*('CASE MASTER'!$X$2:$X$495&gt;=8))*ROW('CASE MASTER'!$T$2:$T$495))-(ROW('CASE MASTER'!#REF!)-1)))&amp;TRIM(MID(SUBSTITUTE(SUBSTITUTE(INDEX('CASE MASTER'!$N$2:$N$495,(SUMPRODUCT((('CASE MASTER'!$T$2:$T$495=2)*('CASE MASTER'!$U$2:$U$495&lt;=3)*('CASE MASTER'!$W$2:$W$495&gt;=3)*('CASE MASTER'!$V$2:$V$495&lt;=8)*('CASE MASTER'!$X$2:$X$495&gt;=8))*ROW('CASE MASTER'!$T$2:$T$495))-(ROW('CASE MASTER'!#REF!)-1))),":",","),",",REPT(" ",50)),((((3-INDEX('CASE MASTER'!$U$2:$U$495,(SUMPRODUCT((('CASE MASTER'!$T$2:$T$495=2)*('CASE MASTER'!$U$2:$U$495&lt;=3)*('CASE MASTER'!$W$2:$W$495&gt;=3)*('CASE MASTER'!$V$2:$V$495&lt;=8)*('CASE MASTER'!$X$2:$X$495&gt;=8))*ROW('CASE MASTER'!$T$2:$T$495))-(ROW('CASE MASTER'!#REF!)-1))))*(INDEX('CASE MASTER'!$X$2:$X$495,(SUMPRODUCT((('CASE MASTER'!$T$2:$T$495=2)*('CASE MASTER'!$U$2:$U$495&lt;=3)*('CASE MASTER'!$W$2:$W$495&gt;=3)*('CASE MASTER'!$V$2:$V$495&lt;=8)*('CASE MASTER'!$X$2:$X$495&gt;=8))*ROW('CASE MASTER'!$T$2:$T$495))-(ROW('CASE MASTER'!#REF!)-1)))-INDEX('CASE MASTER'!$V$2:$V$495,(SUMPRODUCT((('CASE MASTER'!$T$2:$T$495=2)*('CASE MASTER'!$U$2:$U$495&lt;=3)*('CASE MASTER'!$W$2:$W$495&gt;=3)*('CASE MASTER'!$V$2:$V$495&lt;=8)*('CASE MASTER'!$X$2:$X$495&gt;=8))*ROW('CASE MASTER'!$T$2:$T$495))-(ROW('CASE MASTER'!#REF!)-1)))+1)+(8-INDEX('CASE MASTER'!$V$2:$V$495,(SUMPRODUCT((('CASE MASTER'!$T$2:$T$495=2)*('CASE MASTER'!$U$2:$U$495&lt;=3)*('CASE MASTER'!$W$2:$W$495&gt;=3)*('CASE MASTER'!$V$2:$V$495&lt;=8)*('CASE MASTER'!$X$2:$X$495&gt;=8))*ROW('CASE MASTER'!$T$2:$T$495))-(ROW('CASE MASTER'!#REF!)-1))))+1))-1)*50+1,50))&amp;"_"&amp;INDEX('CASE MASTER'!$Q$2:$Q$495,(SUMPRODUCT((('CASE MASTER'!$T$2:$T$495=2)*('CASE MASTER'!$U$2:$U$495&lt;=3)*('CASE MASTER'!$W$2:$W$495&gt;=3)*('CASE MASTER'!$V$2:$V$495&lt;=8)*('CASE MASTER'!$X$2:$X$495&gt;=8))*ROW('CASE MASTER'!$T$2:$T$495))-(ROW('CASE MASTER'!#REF!)-1))),IF(SUMPRODUCT((('CASE MASTER'!$T$2:$T$495=2)*('CASE MASTER'!$AA$2:$AA$495&lt;=3)*('CASE MASTER'!$AC$2:$AC$495&gt;=3)*('CASE MASTER'!$AB$2:$AB$495&lt;=8)*('CASE MASTER'!$AD$2:$AD$495&gt;=8))*ROW('CASE MASTER'!$T$2:$T$495))&gt;0,INDEX('CASE MASTER'!$Y$2:$Y$495,(SUMPRODUCT((('CASE MASTER'!$T$2:$T$495=2)*('CASE MASTER'!$AA$2:$AA$495&lt;=3)*('CASE MASTER'!$AC$2:$AC$495&gt;=3)*('CASE MASTER'!$AB$2:$AB$495&lt;=8)*('CASE MASTER'!$AD$2:$AD$495&gt;=8))*ROW('CASE MASTER'!$T$2:$T$495))-(ROW('CASE MASTER'!#REF!)-1)))&amp;TRIM(MID(SUBSTITUTE(SUBSTITUTE(INDEX('CASE MASTER'!$N$2:$N$495,(SUMPRODUCT((('CASE MASTER'!$T$2:$T$495=2)*('CASE MASTER'!$AA$2:$AA$495&lt;=3)*('CASE MASTER'!$AC$2:$AC$495&gt;=3)*('CASE MASTER'!$AB$2:$AB$495&lt;=8)*('CASE MASTER'!$AD$2:$AD$495&gt;=8))*ROW('CASE MASTER'!$T$2:$T$495))-(ROW('CASE MASTER'!#REF!)-1))),":",","),",",REPT(" ",50)),(((INDEX('CASE MASTER'!$Z$2:$Z$495,(SUMPRODUCT((('CASE MASTER'!$T$2:$T$495=2)*('CASE MASTER'!$AA$2:$AA$495&lt;=3)*('CASE MASTER'!$AC$2:$AC$495&gt;=3)*('CASE MASTER'!$AB$2:$AB$495&lt;=8)*('CASE MASTER'!$AD$2:$AD$495&gt;=8))*ROW('CASE MASTER'!$T$2:$T$495))-(ROW('CASE MASTER'!#REF!)-1)))+((3-INDEX('CASE MASTER'!$AA$2:$AA$495,(SUMPRODUCT((('CASE MASTER'!$T$2:$T$495=2)*('CASE MASTER'!$AA$2:$AA$495&lt;=3)*('CASE MASTER'!$AC$2:$AC$495&gt;=3)*('CASE MASTER'!$AB$2:$AB$495&lt;=8)*('CASE MASTER'!$AD$2:$AD$495&gt;=8))*ROW('CASE MASTER'!$T$2:$T$495))-(ROW('CASE MASTER'!#REF!)-1))))*(INDEX('CASE MASTER'!$AD$2:$AD$495,(SUMPRODUCT((('CASE MASTER'!$T$2:$T$495=2)*('CASE MASTER'!$AA$2:$AA$495&lt;=3)*('CASE MASTER'!$AC$2:$AC$495&gt;=3)*('CASE MASTER'!$AB$2:$AB$495&lt;=8)*('CASE MASTER'!$AD$2:$AD$495&gt;=8))*ROW('CASE MASTER'!$T$2:$T$495))-(ROW('CASE MASTER'!#REF!)-1)))-INDEX('CASE MASTER'!$AB$2:$AB$495,(SUMPRODUCT((('CASE MASTER'!$T$2:$T$495=2)*('CASE MASTER'!$AA$2:$AA$495&lt;=3)*('CASE MASTER'!$AC$2:$AC$495&gt;=3)*('CASE MASTER'!$AB$2:$AB$495&lt;=8)*('CASE MASTER'!$AD$2:$AD$495&gt;=8))*ROW('CASE MASTER'!$T$2:$T$495))-(ROW('CASE MASTER'!#REF!)-1)))+1)+(8-INDEX('CASE MASTER'!$AB$2:$AB$495,(SUMPRODUCT((('CASE MASTER'!$T$2:$T$495=2)*('CASE MASTER'!$AA$2:$AA$495&lt;=3)*('CASE MASTER'!$AC$2:$AC$495&gt;=3)*('CASE MASTER'!$AB$2:$AB$495&lt;=8)*('CASE MASTER'!$AD$2:$AD$495&gt;=8))*ROW('CASE MASTER'!$T$2:$T$495))-(ROW('CASE MASTER'!#REF!)-1))))+1)))-1)*50+1,50))&amp;"_"&amp;INDEX('CASE MASTER'!$Q$2:$Q$495,(SUMPRODUCT((('CASE MASTER'!$T$2:$T$495=2)*('CASE MASTER'!$AA$2:$AA$495&lt;=3)*('CASE MASTER'!$AC$2:$AC$495&gt;=3)*('CASE MASTER'!$AB$2:$AB$495&lt;=8)*('CASE MASTER'!$AD$2:$AD$495&gt;=8))*ROW('CASE MASTER'!$T$2:$T$495))-(ROW('CASE MASTER'!#REF!)-1))),"")),"")</f>
        <v/>
      </c>
      <c r="J19" s="10" t="str">
        <f>IFERROR(IF(SUMPRODUCT((('CASE MASTER'!$T$2:$T$495=2)*('CASE MASTER'!$U$2:$U$495&lt;=3)*('CASE MASTER'!$W$2:$W$495&gt;=3)*('CASE MASTER'!$V$2:$V$495&lt;=9)*('CASE MASTER'!$X$2:$X$495&gt;=9))*ROW('CASE MASTER'!$T$2:$T$495))&gt;0,INDEX('CASE MASTER'!$Y$2:$Y$495,(SUMPRODUCT((('CASE MASTER'!$T$2:$T$495=2)*('CASE MASTER'!$U$2:$U$495&lt;=3)*('CASE MASTER'!$W$2:$W$495&gt;=3)*('CASE MASTER'!$V$2:$V$495&lt;=9)*('CASE MASTER'!$X$2:$X$495&gt;=9))*ROW('CASE MASTER'!$T$2:$T$495))-(ROW('CASE MASTER'!#REF!)-1)))&amp;TRIM(MID(SUBSTITUTE(SUBSTITUTE(INDEX('CASE MASTER'!$N$2:$N$495,(SUMPRODUCT((('CASE MASTER'!$T$2:$T$495=2)*('CASE MASTER'!$U$2:$U$495&lt;=3)*('CASE MASTER'!$W$2:$W$495&gt;=3)*('CASE MASTER'!$V$2:$V$495&lt;=9)*('CASE MASTER'!$X$2:$X$495&gt;=9))*ROW('CASE MASTER'!$T$2:$T$495))-(ROW('CASE MASTER'!#REF!)-1))),":",","),",",REPT(" ",50)),((((3-INDEX('CASE MASTER'!$U$2:$U$495,(SUMPRODUCT((('CASE MASTER'!$T$2:$T$495=2)*('CASE MASTER'!$U$2:$U$495&lt;=3)*('CASE MASTER'!$W$2:$W$495&gt;=3)*('CASE MASTER'!$V$2:$V$495&lt;=9)*('CASE MASTER'!$X$2:$X$495&gt;=9))*ROW('CASE MASTER'!$T$2:$T$495))-(ROW('CASE MASTER'!#REF!)-1))))*(INDEX('CASE MASTER'!$X$2:$X$495,(SUMPRODUCT((('CASE MASTER'!$T$2:$T$495=2)*('CASE MASTER'!$U$2:$U$495&lt;=3)*('CASE MASTER'!$W$2:$W$495&gt;=3)*('CASE MASTER'!$V$2:$V$495&lt;=9)*('CASE MASTER'!$X$2:$X$495&gt;=9))*ROW('CASE MASTER'!$T$2:$T$495))-(ROW('CASE MASTER'!#REF!)-1)))-INDEX('CASE MASTER'!$V$2:$V$495,(SUMPRODUCT((('CASE MASTER'!$T$2:$T$495=2)*('CASE MASTER'!$U$2:$U$495&lt;=3)*('CASE MASTER'!$W$2:$W$495&gt;=3)*('CASE MASTER'!$V$2:$V$495&lt;=9)*('CASE MASTER'!$X$2:$X$495&gt;=9))*ROW('CASE MASTER'!$T$2:$T$495))-(ROW('CASE MASTER'!#REF!)-1)))+1)+(9-INDEX('CASE MASTER'!$V$2:$V$495,(SUMPRODUCT((('CASE MASTER'!$T$2:$T$495=2)*('CASE MASTER'!$U$2:$U$495&lt;=3)*('CASE MASTER'!$W$2:$W$495&gt;=3)*('CASE MASTER'!$V$2:$V$495&lt;=9)*('CASE MASTER'!$X$2:$X$495&gt;=9))*ROW('CASE MASTER'!$T$2:$T$495))-(ROW('CASE MASTER'!#REF!)-1))))+1))-1)*50+1,50))&amp;"_"&amp;INDEX('CASE MASTER'!$Q$2:$Q$495,(SUMPRODUCT((('CASE MASTER'!$T$2:$T$495=2)*('CASE MASTER'!$U$2:$U$495&lt;=3)*('CASE MASTER'!$W$2:$W$495&gt;=3)*('CASE MASTER'!$V$2:$V$495&lt;=9)*('CASE MASTER'!$X$2:$X$495&gt;=9))*ROW('CASE MASTER'!$T$2:$T$495))-(ROW('CASE MASTER'!#REF!)-1))),IF(SUMPRODUCT((('CASE MASTER'!$T$2:$T$495=2)*('CASE MASTER'!$AA$2:$AA$495&lt;=3)*('CASE MASTER'!$AC$2:$AC$495&gt;=3)*('CASE MASTER'!$AB$2:$AB$495&lt;=9)*('CASE MASTER'!$AD$2:$AD$495&gt;=9))*ROW('CASE MASTER'!$T$2:$T$495))&gt;0,INDEX('CASE MASTER'!$Y$2:$Y$495,(SUMPRODUCT((('CASE MASTER'!$T$2:$T$495=2)*('CASE MASTER'!$AA$2:$AA$495&lt;=3)*('CASE MASTER'!$AC$2:$AC$495&gt;=3)*('CASE MASTER'!$AB$2:$AB$495&lt;=9)*('CASE MASTER'!$AD$2:$AD$495&gt;=9))*ROW('CASE MASTER'!$T$2:$T$495))-(ROW('CASE MASTER'!#REF!)-1)))&amp;TRIM(MID(SUBSTITUTE(SUBSTITUTE(INDEX('CASE MASTER'!$N$2:$N$495,(SUMPRODUCT((('CASE MASTER'!$T$2:$T$495=2)*('CASE MASTER'!$AA$2:$AA$495&lt;=3)*('CASE MASTER'!$AC$2:$AC$495&gt;=3)*('CASE MASTER'!$AB$2:$AB$495&lt;=9)*('CASE MASTER'!$AD$2:$AD$495&gt;=9))*ROW('CASE MASTER'!$T$2:$T$495))-(ROW('CASE MASTER'!#REF!)-1))),":",","),",",REPT(" ",50)),(((INDEX('CASE MASTER'!$Z$2:$Z$495,(SUMPRODUCT((('CASE MASTER'!$T$2:$T$495=2)*('CASE MASTER'!$AA$2:$AA$495&lt;=3)*('CASE MASTER'!$AC$2:$AC$495&gt;=3)*('CASE MASTER'!$AB$2:$AB$495&lt;=9)*('CASE MASTER'!$AD$2:$AD$495&gt;=9))*ROW('CASE MASTER'!$T$2:$T$495))-(ROW('CASE MASTER'!#REF!)-1)))+((3-INDEX('CASE MASTER'!$AA$2:$AA$495,(SUMPRODUCT((('CASE MASTER'!$T$2:$T$495=2)*('CASE MASTER'!$AA$2:$AA$495&lt;=3)*('CASE MASTER'!$AC$2:$AC$495&gt;=3)*('CASE MASTER'!$AB$2:$AB$495&lt;=9)*('CASE MASTER'!$AD$2:$AD$495&gt;=9))*ROW('CASE MASTER'!$T$2:$T$495))-(ROW('CASE MASTER'!#REF!)-1))))*(INDEX('CASE MASTER'!$AD$2:$AD$495,(SUMPRODUCT((('CASE MASTER'!$T$2:$T$495=2)*('CASE MASTER'!$AA$2:$AA$495&lt;=3)*('CASE MASTER'!$AC$2:$AC$495&gt;=3)*('CASE MASTER'!$AB$2:$AB$495&lt;=9)*('CASE MASTER'!$AD$2:$AD$495&gt;=9))*ROW('CASE MASTER'!$T$2:$T$495))-(ROW('CASE MASTER'!#REF!)-1)))-INDEX('CASE MASTER'!$AB$2:$AB$495,(SUMPRODUCT((('CASE MASTER'!$T$2:$T$495=2)*('CASE MASTER'!$AA$2:$AA$495&lt;=3)*('CASE MASTER'!$AC$2:$AC$495&gt;=3)*('CASE MASTER'!$AB$2:$AB$495&lt;=9)*('CASE MASTER'!$AD$2:$AD$495&gt;=9))*ROW('CASE MASTER'!$T$2:$T$495))-(ROW('CASE MASTER'!#REF!)-1)))+1)+(9-INDEX('CASE MASTER'!$AB$2:$AB$495,(SUMPRODUCT((('CASE MASTER'!$T$2:$T$495=2)*('CASE MASTER'!$AA$2:$AA$495&lt;=3)*('CASE MASTER'!$AC$2:$AC$495&gt;=3)*('CASE MASTER'!$AB$2:$AB$495&lt;=9)*('CASE MASTER'!$AD$2:$AD$495&gt;=9))*ROW('CASE MASTER'!$T$2:$T$495))-(ROW('CASE MASTER'!#REF!)-1))))+1)))-1)*50+1,50))&amp;"_"&amp;INDEX('CASE MASTER'!$Q$2:$Q$495,(SUMPRODUCT((('CASE MASTER'!$T$2:$T$495=2)*('CASE MASTER'!$AA$2:$AA$495&lt;=3)*('CASE MASTER'!$AC$2:$AC$495&gt;=3)*('CASE MASTER'!$AB$2:$AB$495&lt;=9)*('CASE MASTER'!$AD$2:$AD$495&gt;=9))*ROW('CASE MASTER'!$T$2:$T$495))-(ROW('CASE MASTER'!#REF!)-1))),"")),"")</f>
        <v/>
      </c>
      <c r="K19" s="10" t="str">
        <f>IFERROR(IF(SUMPRODUCT((('CASE MASTER'!$T$2:$T$495=2)*('CASE MASTER'!$U$2:$U$495&lt;=3)*('CASE MASTER'!$W$2:$W$495&gt;=3)*('CASE MASTER'!$V$2:$V$495&lt;=10)*('CASE MASTER'!$X$2:$X$495&gt;=10))*ROW('CASE MASTER'!$T$2:$T$495))&gt;0,INDEX('CASE MASTER'!$Y$2:$Y$495,(SUMPRODUCT((('CASE MASTER'!$T$2:$T$495=2)*('CASE MASTER'!$U$2:$U$495&lt;=3)*('CASE MASTER'!$W$2:$W$495&gt;=3)*('CASE MASTER'!$V$2:$V$495&lt;=10)*('CASE MASTER'!$X$2:$X$495&gt;=10))*ROW('CASE MASTER'!$T$2:$T$495))-(ROW('CASE MASTER'!#REF!)-1)))&amp;TRIM(MID(SUBSTITUTE(SUBSTITUTE(INDEX('CASE MASTER'!$N$2:$N$495,(SUMPRODUCT((('CASE MASTER'!$T$2:$T$495=2)*('CASE MASTER'!$U$2:$U$495&lt;=3)*('CASE MASTER'!$W$2:$W$495&gt;=3)*('CASE MASTER'!$V$2:$V$495&lt;=10)*('CASE MASTER'!$X$2:$X$495&gt;=10))*ROW('CASE MASTER'!$T$2:$T$495))-(ROW('CASE MASTER'!#REF!)-1))),":",","),",",REPT(" ",50)),((((3-INDEX('CASE MASTER'!$U$2:$U$495,(SUMPRODUCT((('CASE MASTER'!$T$2:$T$495=2)*('CASE MASTER'!$U$2:$U$495&lt;=3)*('CASE MASTER'!$W$2:$W$495&gt;=3)*('CASE MASTER'!$V$2:$V$495&lt;=10)*('CASE MASTER'!$X$2:$X$495&gt;=10))*ROW('CASE MASTER'!$T$2:$T$495))-(ROW('CASE MASTER'!#REF!)-1))))*(INDEX('CASE MASTER'!$X$2:$X$495,(SUMPRODUCT((('CASE MASTER'!$T$2:$T$495=2)*('CASE MASTER'!$U$2:$U$495&lt;=3)*('CASE MASTER'!$W$2:$W$495&gt;=3)*('CASE MASTER'!$V$2:$V$495&lt;=10)*('CASE MASTER'!$X$2:$X$495&gt;=10))*ROW('CASE MASTER'!$T$2:$T$495))-(ROW('CASE MASTER'!#REF!)-1)))-INDEX('CASE MASTER'!$V$2:$V$495,(SUMPRODUCT((('CASE MASTER'!$T$2:$T$495=2)*('CASE MASTER'!$U$2:$U$495&lt;=3)*('CASE MASTER'!$W$2:$W$495&gt;=3)*('CASE MASTER'!$V$2:$V$495&lt;=10)*('CASE MASTER'!$X$2:$X$495&gt;=10))*ROW('CASE MASTER'!$T$2:$T$495))-(ROW('CASE MASTER'!#REF!)-1)))+1)+(10-INDEX('CASE MASTER'!$V$2:$V$495,(SUMPRODUCT((('CASE MASTER'!$T$2:$T$495=2)*('CASE MASTER'!$U$2:$U$495&lt;=3)*('CASE MASTER'!$W$2:$W$495&gt;=3)*('CASE MASTER'!$V$2:$V$495&lt;=10)*('CASE MASTER'!$X$2:$X$495&gt;=10))*ROW('CASE MASTER'!$T$2:$T$495))-(ROW('CASE MASTER'!#REF!)-1))))+1))-1)*50+1,50))&amp;"_"&amp;INDEX('CASE MASTER'!$Q$2:$Q$495,(SUMPRODUCT((('CASE MASTER'!$T$2:$T$495=2)*('CASE MASTER'!$U$2:$U$495&lt;=3)*('CASE MASTER'!$W$2:$W$495&gt;=3)*('CASE MASTER'!$V$2:$V$495&lt;=10)*('CASE MASTER'!$X$2:$X$495&gt;=10))*ROW('CASE MASTER'!$T$2:$T$495))-(ROW('CASE MASTER'!#REF!)-1))),IF(SUMPRODUCT((('CASE MASTER'!$T$2:$T$495=2)*('CASE MASTER'!$AA$2:$AA$495&lt;=3)*('CASE MASTER'!$AC$2:$AC$495&gt;=3)*('CASE MASTER'!$AB$2:$AB$495&lt;=10)*('CASE MASTER'!$AD$2:$AD$495&gt;=10))*ROW('CASE MASTER'!$T$2:$T$495))&gt;0,INDEX('CASE MASTER'!$Y$2:$Y$495,(SUMPRODUCT((('CASE MASTER'!$T$2:$T$495=2)*('CASE MASTER'!$AA$2:$AA$495&lt;=3)*('CASE MASTER'!$AC$2:$AC$495&gt;=3)*('CASE MASTER'!$AB$2:$AB$495&lt;=10)*('CASE MASTER'!$AD$2:$AD$495&gt;=10))*ROW('CASE MASTER'!$T$2:$T$495))-(ROW('CASE MASTER'!#REF!)-1)))&amp;TRIM(MID(SUBSTITUTE(SUBSTITUTE(INDEX('CASE MASTER'!$N$2:$N$495,(SUMPRODUCT((('CASE MASTER'!$T$2:$T$495=2)*('CASE MASTER'!$AA$2:$AA$495&lt;=3)*('CASE MASTER'!$AC$2:$AC$495&gt;=3)*('CASE MASTER'!$AB$2:$AB$495&lt;=10)*('CASE MASTER'!$AD$2:$AD$495&gt;=10))*ROW('CASE MASTER'!$T$2:$T$495))-(ROW('CASE MASTER'!#REF!)-1))),":",","),",",REPT(" ",50)),(((INDEX('CASE MASTER'!$Z$2:$Z$495,(SUMPRODUCT((('CASE MASTER'!$T$2:$T$495=2)*('CASE MASTER'!$AA$2:$AA$495&lt;=3)*('CASE MASTER'!$AC$2:$AC$495&gt;=3)*('CASE MASTER'!$AB$2:$AB$495&lt;=10)*('CASE MASTER'!$AD$2:$AD$495&gt;=10))*ROW('CASE MASTER'!$T$2:$T$495))-(ROW('CASE MASTER'!#REF!)-1)))+((3-INDEX('CASE MASTER'!$AA$2:$AA$495,(SUMPRODUCT((('CASE MASTER'!$T$2:$T$495=2)*('CASE MASTER'!$AA$2:$AA$495&lt;=3)*('CASE MASTER'!$AC$2:$AC$495&gt;=3)*('CASE MASTER'!$AB$2:$AB$495&lt;=10)*('CASE MASTER'!$AD$2:$AD$495&gt;=10))*ROW('CASE MASTER'!$T$2:$T$495))-(ROW('CASE MASTER'!#REF!)-1))))*(INDEX('CASE MASTER'!$AD$2:$AD$495,(SUMPRODUCT((('CASE MASTER'!$T$2:$T$495=2)*('CASE MASTER'!$AA$2:$AA$495&lt;=3)*('CASE MASTER'!$AC$2:$AC$495&gt;=3)*('CASE MASTER'!$AB$2:$AB$495&lt;=10)*('CASE MASTER'!$AD$2:$AD$495&gt;=10))*ROW('CASE MASTER'!$T$2:$T$495))-(ROW('CASE MASTER'!#REF!)-1)))-INDEX('CASE MASTER'!$AB$2:$AB$495,(SUMPRODUCT((('CASE MASTER'!$T$2:$T$495=2)*('CASE MASTER'!$AA$2:$AA$495&lt;=3)*('CASE MASTER'!$AC$2:$AC$495&gt;=3)*('CASE MASTER'!$AB$2:$AB$495&lt;=10)*('CASE MASTER'!$AD$2:$AD$495&gt;=10))*ROW('CASE MASTER'!$T$2:$T$495))-(ROW('CASE MASTER'!#REF!)-1)))+1)+(10-INDEX('CASE MASTER'!$AB$2:$AB$495,(SUMPRODUCT((('CASE MASTER'!$T$2:$T$495=2)*('CASE MASTER'!$AA$2:$AA$495&lt;=3)*('CASE MASTER'!$AC$2:$AC$495&gt;=3)*('CASE MASTER'!$AB$2:$AB$495&lt;=10)*('CASE MASTER'!$AD$2:$AD$495&gt;=10))*ROW('CASE MASTER'!$T$2:$T$495))-(ROW('CASE MASTER'!#REF!)-1))))+1)))-1)*50+1,50))&amp;"_"&amp;INDEX('CASE MASTER'!$Q$2:$Q$495,(SUMPRODUCT((('CASE MASTER'!$T$2:$T$495=2)*('CASE MASTER'!$AA$2:$AA$495&lt;=3)*('CASE MASTER'!$AC$2:$AC$495&gt;=3)*('CASE MASTER'!$AB$2:$AB$495&lt;=10)*('CASE MASTER'!$AD$2:$AD$495&gt;=10))*ROW('CASE MASTER'!$T$2:$T$495))-(ROW('CASE MASTER'!#REF!)-1))),"")),"")</f>
        <v/>
      </c>
    </row>
    <row r="20" spans="1:11" ht="15" customHeight="1" x14ac:dyDescent="0.35">
      <c r="A20" s="8" t="s">
        <v>31</v>
      </c>
      <c r="B20" s="10" t="str">
        <f>IFERROR(IF(SUMPRODUCT((('CASE MASTER'!$T$2:$T$495=2)*('CASE MASTER'!$U$2:$U$495&lt;=4)*('CASE MASTER'!$W$2:$W$495&gt;=4)*('CASE MASTER'!$V$2:$V$495&lt;=1)*('CASE MASTER'!$X$2:$X$495&gt;=1))*ROW('CASE MASTER'!$T$2:$T$495))&gt;0,INDEX('CASE MASTER'!$Y$2:$Y$495,(SUMPRODUCT((('CASE MASTER'!$T$2:$T$495=2)*('CASE MASTER'!$U$2:$U$495&lt;=4)*('CASE MASTER'!$W$2:$W$495&gt;=4)*('CASE MASTER'!$V$2:$V$495&lt;=1)*('CASE MASTER'!$X$2:$X$495&gt;=1))*ROW('CASE MASTER'!$T$2:$T$495))-(ROW('CASE MASTER'!#REF!)-1)))&amp;TRIM(MID(SUBSTITUTE(SUBSTITUTE(INDEX('CASE MASTER'!$N$2:$N$495,(SUMPRODUCT((('CASE MASTER'!$T$2:$T$495=2)*('CASE MASTER'!$U$2:$U$495&lt;=4)*('CASE MASTER'!$W$2:$W$495&gt;=4)*('CASE MASTER'!$V$2:$V$495&lt;=1)*('CASE MASTER'!$X$2:$X$495&gt;=1))*ROW('CASE MASTER'!$T$2:$T$495))-(ROW('CASE MASTER'!#REF!)-1))),":",","),",",REPT(" ",50)),((((4-INDEX('CASE MASTER'!$U$2:$U$495,(SUMPRODUCT((('CASE MASTER'!$T$2:$T$495=2)*('CASE MASTER'!$U$2:$U$495&lt;=4)*('CASE MASTER'!$W$2:$W$495&gt;=4)*('CASE MASTER'!$V$2:$V$495&lt;=1)*('CASE MASTER'!$X$2:$X$495&gt;=1))*ROW('CASE MASTER'!$T$2:$T$495))-(ROW('CASE MASTER'!#REF!)-1))))*(INDEX('CASE MASTER'!$X$2:$X$495,(SUMPRODUCT((('CASE MASTER'!$T$2:$T$495=2)*('CASE MASTER'!$U$2:$U$495&lt;=4)*('CASE MASTER'!$W$2:$W$495&gt;=4)*('CASE MASTER'!$V$2:$V$495&lt;=1)*('CASE MASTER'!$X$2:$X$495&gt;=1))*ROW('CASE MASTER'!$T$2:$T$495))-(ROW('CASE MASTER'!#REF!)-1)))-INDEX('CASE MASTER'!$V$2:$V$495,(SUMPRODUCT((('CASE MASTER'!$T$2:$T$495=2)*('CASE MASTER'!$U$2:$U$495&lt;=4)*('CASE MASTER'!$W$2:$W$495&gt;=4)*('CASE MASTER'!$V$2:$V$495&lt;=1)*('CASE MASTER'!$X$2:$X$495&gt;=1))*ROW('CASE MASTER'!$T$2:$T$495))-(ROW('CASE MASTER'!#REF!)-1)))+1)+(1-INDEX('CASE MASTER'!$V$2:$V$495,(SUMPRODUCT((('CASE MASTER'!$T$2:$T$495=2)*('CASE MASTER'!$U$2:$U$495&lt;=4)*('CASE MASTER'!$W$2:$W$495&gt;=4)*('CASE MASTER'!$V$2:$V$495&lt;=1)*('CASE MASTER'!$X$2:$X$495&gt;=1))*ROW('CASE MASTER'!$T$2:$T$495))-(ROW('CASE MASTER'!#REF!)-1))))+1))-1)*50+1,50))&amp;"_"&amp;INDEX('CASE MASTER'!$Q$2:$Q$495,(SUMPRODUCT((('CASE MASTER'!$T$2:$T$495=2)*('CASE MASTER'!$U$2:$U$495&lt;=4)*('CASE MASTER'!$W$2:$W$495&gt;=4)*('CASE MASTER'!$V$2:$V$495&lt;=1)*('CASE MASTER'!$X$2:$X$495&gt;=1))*ROW('CASE MASTER'!$T$2:$T$495))-(ROW('CASE MASTER'!#REF!)-1))),IF(SUMPRODUCT((('CASE MASTER'!$T$2:$T$495=2)*('CASE MASTER'!$AA$2:$AA$495&lt;=4)*('CASE MASTER'!$AC$2:$AC$495&gt;=4)*('CASE MASTER'!$AB$2:$AB$495&lt;=1)*('CASE MASTER'!$AD$2:$AD$495&gt;=1))*ROW('CASE MASTER'!$T$2:$T$495))&gt;0,INDEX('CASE MASTER'!$Y$2:$Y$495,(SUMPRODUCT((('CASE MASTER'!$T$2:$T$495=2)*('CASE MASTER'!$AA$2:$AA$495&lt;=4)*('CASE MASTER'!$AC$2:$AC$495&gt;=4)*('CASE MASTER'!$AB$2:$AB$495&lt;=1)*('CASE MASTER'!$AD$2:$AD$495&gt;=1))*ROW('CASE MASTER'!$T$2:$T$495))-(ROW('CASE MASTER'!#REF!)-1)))&amp;TRIM(MID(SUBSTITUTE(SUBSTITUTE(INDEX('CASE MASTER'!$N$2:$N$495,(SUMPRODUCT((('CASE MASTER'!$T$2:$T$495=2)*('CASE MASTER'!$AA$2:$AA$495&lt;=4)*('CASE MASTER'!$AC$2:$AC$495&gt;=4)*('CASE MASTER'!$AB$2:$AB$495&lt;=1)*('CASE MASTER'!$AD$2:$AD$495&gt;=1))*ROW('CASE MASTER'!$T$2:$T$495))-(ROW('CASE MASTER'!#REF!)-1))),":",","),",",REPT(" ",50)),(((INDEX('CASE MASTER'!$Z$2:$Z$495,(SUMPRODUCT((('CASE MASTER'!$T$2:$T$495=2)*('CASE MASTER'!$AA$2:$AA$495&lt;=4)*('CASE MASTER'!$AC$2:$AC$495&gt;=4)*('CASE MASTER'!$AB$2:$AB$495&lt;=1)*('CASE MASTER'!$AD$2:$AD$495&gt;=1))*ROW('CASE MASTER'!$T$2:$T$495))-(ROW('CASE MASTER'!#REF!)-1)))+((4-INDEX('CASE MASTER'!$AA$2:$AA$495,(SUMPRODUCT((('CASE MASTER'!$T$2:$T$495=2)*('CASE MASTER'!$AA$2:$AA$495&lt;=4)*('CASE MASTER'!$AC$2:$AC$495&gt;=4)*('CASE MASTER'!$AB$2:$AB$495&lt;=1)*('CASE MASTER'!$AD$2:$AD$495&gt;=1))*ROW('CASE MASTER'!$T$2:$T$495))-(ROW('CASE MASTER'!#REF!)-1))))*(INDEX('CASE MASTER'!$AD$2:$AD$495,(SUMPRODUCT((('CASE MASTER'!$T$2:$T$495=2)*('CASE MASTER'!$AA$2:$AA$495&lt;=4)*('CASE MASTER'!$AC$2:$AC$495&gt;=4)*('CASE MASTER'!$AB$2:$AB$495&lt;=1)*('CASE MASTER'!$AD$2:$AD$495&gt;=1))*ROW('CASE MASTER'!$T$2:$T$495))-(ROW('CASE MASTER'!#REF!)-1)))-INDEX('CASE MASTER'!$AB$2:$AB$495,(SUMPRODUCT((('CASE MASTER'!$T$2:$T$495=2)*('CASE MASTER'!$AA$2:$AA$495&lt;=4)*('CASE MASTER'!$AC$2:$AC$495&gt;=4)*('CASE MASTER'!$AB$2:$AB$495&lt;=1)*('CASE MASTER'!$AD$2:$AD$495&gt;=1))*ROW('CASE MASTER'!$T$2:$T$495))-(ROW('CASE MASTER'!#REF!)-1)))+1)+(1-INDEX('CASE MASTER'!$AB$2:$AB$495,(SUMPRODUCT((('CASE MASTER'!$T$2:$T$495=2)*('CASE MASTER'!$AA$2:$AA$495&lt;=4)*('CASE MASTER'!$AC$2:$AC$495&gt;=4)*('CASE MASTER'!$AB$2:$AB$495&lt;=1)*('CASE MASTER'!$AD$2:$AD$495&gt;=1))*ROW('CASE MASTER'!$T$2:$T$495))-(ROW('CASE MASTER'!#REF!)-1))))+1)))-1)*50+1,50))&amp;"_"&amp;INDEX('CASE MASTER'!$Q$2:$Q$495,(SUMPRODUCT((('CASE MASTER'!$T$2:$T$495=2)*('CASE MASTER'!$AA$2:$AA$495&lt;=4)*('CASE MASTER'!$AC$2:$AC$495&gt;=4)*('CASE MASTER'!$AB$2:$AB$495&lt;=1)*('CASE MASTER'!$AD$2:$AD$495&gt;=1))*ROW('CASE MASTER'!$T$2:$T$495))-(ROW('CASE MASTER'!#REF!)-1))),"")),"")</f>
        <v/>
      </c>
      <c r="C20" s="10" t="str">
        <f>IFERROR(IF(SUMPRODUCT((('CASE MASTER'!$T$2:$T$495=2)*('CASE MASTER'!$U$2:$U$495&lt;=4)*('CASE MASTER'!$W$2:$W$495&gt;=4)*('CASE MASTER'!$V$2:$V$495&lt;=2)*('CASE MASTER'!$X$2:$X$495&gt;=2))*ROW('CASE MASTER'!$T$2:$T$495))&gt;0,INDEX('CASE MASTER'!$Y$2:$Y$495,(SUMPRODUCT((('CASE MASTER'!$T$2:$T$495=2)*('CASE MASTER'!$U$2:$U$495&lt;=4)*('CASE MASTER'!$W$2:$W$495&gt;=4)*('CASE MASTER'!$V$2:$V$495&lt;=2)*('CASE MASTER'!$X$2:$X$495&gt;=2))*ROW('CASE MASTER'!$T$2:$T$495))-(ROW('CASE MASTER'!#REF!)-1)))&amp;TRIM(MID(SUBSTITUTE(SUBSTITUTE(INDEX('CASE MASTER'!$N$2:$N$495,(SUMPRODUCT((('CASE MASTER'!$T$2:$T$495=2)*('CASE MASTER'!$U$2:$U$495&lt;=4)*('CASE MASTER'!$W$2:$W$495&gt;=4)*('CASE MASTER'!$V$2:$V$495&lt;=2)*('CASE MASTER'!$X$2:$X$495&gt;=2))*ROW('CASE MASTER'!$T$2:$T$495))-(ROW('CASE MASTER'!#REF!)-1))),":",","),",",REPT(" ",50)),((((4-INDEX('CASE MASTER'!$U$2:$U$495,(SUMPRODUCT((('CASE MASTER'!$T$2:$T$495=2)*('CASE MASTER'!$U$2:$U$495&lt;=4)*('CASE MASTER'!$W$2:$W$495&gt;=4)*('CASE MASTER'!$V$2:$V$495&lt;=2)*('CASE MASTER'!$X$2:$X$495&gt;=2))*ROW('CASE MASTER'!$T$2:$T$495))-(ROW('CASE MASTER'!#REF!)-1))))*(INDEX('CASE MASTER'!$X$2:$X$495,(SUMPRODUCT((('CASE MASTER'!$T$2:$T$495=2)*('CASE MASTER'!$U$2:$U$495&lt;=4)*('CASE MASTER'!$W$2:$W$495&gt;=4)*('CASE MASTER'!$V$2:$V$495&lt;=2)*('CASE MASTER'!$X$2:$X$495&gt;=2))*ROW('CASE MASTER'!$T$2:$T$495))-(ROW('CASE MASTER'!#REF!)-1)))-INDEX('CASE MASTER'!$V$2:$V$495,(SUMPRODUCT((('CASE MASTER'!$T$2:$T$495=2)*('CASE MASTER'!$U$2:$U$495&lt;=4)*('CASE MASTER'!$W$2:$W$495&gt;=4)*('CASE MASTER'!$V$2:$V$495&lt;=2)*('CASE MASTER'!$X$2:$X$495&gt;=2))*ROW('CASE MASTER'!$T$2:$T$495))-(ROW('CASE MASTER'!#REF!)-1)))+1)+(2-INDEX('CASE MASTER'!$V$2:$V$495,(SUMPRODUCT((('CASE MASTER'!$T$2:$T$495=2)*('CASE MASTER'!$U$2:$U$495&lt;=4)*('CASE MASTER'!$W$2:$W$495&gt;=4)*('CASE MASTER'!$V$2:$V$495&lt;=2)*('CASE MASTER'!$X$2:$X$495&gt;=2))*ROW('CASE MASTER'!$T$2:$T$495))-(ROW('CASE MASTER'!#REF!)-1))))+1))-1)*50+1,50))&amp;"_"&amp;INDEX('CASE MASTER'!$Q$2:$Q$495,(SUMPRODUCT((('CASE MASTER'!$T$2:$T$495=2)*('CASE MASTER'!$U$2:$U$495&lt;=4)*('CASE MASTER'!$W$2:$W$495&gt;=4)*('CASE MASTER'!$V$2:$V$495&lt;=2)*('CASE MASTER'!$X$2:$X$495&gt;=2))*ROW('CASE MASTER'!$T$2:$T$495))-(ROW('CASE MASTER'!#REF!)-1))),IF(SUMPRODUCT((('CASE MASTER'!$T$2:$T$495=2)*('CASE MASTER'!$AA$2:$AA$495&lt;=4)*('CASE MASTER'!$AC$2:$AC$495&gt;=4)*('CASE MASTER'!$AB$2:$AB$495&lt;=2)*('CASE MASTER'!$AD$2:$AD$495&gt;=2))*ROW('CASE MASTER'!$T$2:$T$495))&gt;0,INDEX('CASE MASTER'!$Y$2:$Y$495,(SUMPRODUCT((('CASE MASTER'!$T$2:$T$495=2)*('CASE MASTER'!$AA$2:$AA$495&lt;=4)*('CASE MASTER'!$AC$2:$AC$495&gt;=4)*('CASE MASTER'!$AB$2:$AB$495&lt;=2)*('CASE MASTER'!$AD$2:$AD$495&gt;=2))*ROW('CASE MASTER'!$T$2:$T$495))-(ROW('CASE MASTER'!#REF!)-1)))&amp;TRIM(MID(SUBSTITUTE(SUBSTITUTE(INDEX('CASE MASTER'!$N$2:$N$495,(SUMPRODUCT((('CASE MASTER'!$T$2:$T$495=2)*('CASE MASTER'!$AA$2:$AA$495&lt;=4)*('CASE MASTER'!$AC$2:$AC$495&gt;=4)*('CASE MASTER'!$AB$2:$AB$495&lt;=2)*('CASE MASTER'!$AD$2:$AD$495&gt;=2))*ROW('CASE MASTER'!$T$2:$T$495))-(ROW('CASE MASTER'!#REF!)-1))),":",","),",",REPT(" ",50)),(((INDEX('CASE MASTER'!$Z$2:$Z$495,(SUMPRODUCT((('CASE MASTER'!$T$2:$T$495=2)*('CASE MASTER'!$AA$2:$AA$495&lt;=4)*('CASE MASTER'!$AC$2:$AC$495&gt;=4)*('CASE MASTER'!$AB$2:$AB$495&lt;=2)*('CASE MASTER'!$AD$2:$AD$495&gt;=2))*ROW('CASE MASTER'!$T$2:$T$495))-(ROW('CASE MASTER'!#REF!)-1)))+((4-INDEX('CASE MASTER'!$AA$2:$AA$495,(SUMPRODUCT((('CASE MASTER'!$T$2:$T$495=2)*('CASE MASTER'!$AA$2:$AA$495&lt;=4)*('CASE MASTER'!$AC$2:$AC$495&gt;=4)*('CASE MASTER'!$AB$2:$AB$495&lt;=2)*('CASE MASTER'!$AD$2:$AD$495&gt;=2))*ROW('CASE MASTER'!$T$2:$T$495))-(ROW('CASE MASTER'!#REF!)-1))))*(INDEX('CASE MASTER'!$AD$2:$AD$495,(SUMPRODUCT((('CASE MASTER'!$T$2:$T$495=2)*('CASE MASTER'!$AA$2:$AA$495&lt;=4)*('CASE MASTER'!$AC$2:$AC$495&gt;=4)*('CASE MASTER'!$AB$2:$AB$495&lt;=2)*('CASE MASTER'!$AD$2:$AD$495&gt;=2))*ROW('CASE MASTER'!$T$2:$T$495))-(ROW('CASE MASTER'!#REF!)-1)))-INDEX('CASE MASTER'!$AB$2:$AB$495,(SUMPRODUCT((('CASE MASTER'!$T$2:$T$495=2)*('CASE MASTER'!$AA$2:$AA$495&lt;=4)*('CASE MASTER'!$AC$2:$AC$495&gt;=4)*('CASE MASTER'!$AB$2:$AB$495&lt;=2)*('CASE MASTER'!$AD$2:$AD$495&gt;=2))*ROW('CASE MASTER'!$T$2:$T$495))-(ROW('CASE MASTER'!#REF!)-1)))+1)+(2-INDEX('CASE MASTER'!$AB$2:$AB$495,(SUMPRODUCT((('CASE MASTER'!$T$2:$T$495=2)*('CASE MASTER'!$AA$2:$AA$495&lt;=4)*('CASE MASTER'!$AC$2:$AC$495&gt;=4)*('CASE MASTER'!$AB$2:$AB$495&lt;=2)*('CASE MASTER'!$AD$2:$AD$495&gt;=2))*ROW('CASE MASTER'!$T$2:$T$495))-(ROW('CASE MASTER'!#REF!)-1))))+1)))-1)*50+1,50))&amp;"_"&amp;INDEX('CASE MASTER'!$Q$2:$Q$495,(SUMPRODUCT((('CASE MASTER'!$T$2:$T$495=2)*('CASE MASTER'!$AA$2:$AA$495&lt;=4)*('CASE MASTER'!$AC$2:$AC$495&gt;=4)*('CASE MASTER'!$AB$2:$AB$495&lt;=2)*('CASE MASTER'!$AD$2:$AD$495&gt;=2))*ROW('CASE MASTER'!$T$2:$T$495))-(ROW('CASE MASTER'!#REF!)-1))),"")),"")</f>
        <v/>
      </c>
      <c r="D20" s="10" t="str">
        <f>IFERROR(IF(SUMPRODUCT((('CASE MASTER'!$T$2:$T$495=2)*('CASE MASTER'!$U$2:$U$495&lt;=4)*('CASE MASTER'!$W$2:$W$495&gt;=4)*('CASE MASTER'!$V$2:$V$495&lt;=3)*('CASE MASTER'!$X$2:$X$495&gt;=3))*ROW('CASE MASTER'!$T$2:$T$495))&gt;0,INDEX('CASE MASTER'!$Y$2:$Y$495,(SUMPRODUCT((('CASE MASTER'!$T$2:$T$495=2)*('CASE MASTER'!$U$2:$U$495&lt;=4)*('CASE MASTER'!$W$2:$W$495&gt;=4)*('CASE MASTER'!$V$2:$V$495&lt;=3)*('CASE MASTER'!$X$2:$X$495&gt;=3))*ROW('CASE MASTER'!$T$2:$T$495))-(ROW('CASE MASTER'!#REF!)-1)))&amp;TRIM(MID(SUBSTITUTE(SUBSTITUTE(INDEX('CASE MASTER'!$N$2:$N$495,(SUMPRODUCT((('CASE MASTER'!$T$2:$T$495=2)*('CASE MASTER'!$U$2:$U$495&lt;=4)*('CASE MASTER'!$W$2:$W$495&gt;=4)*('CASE MASTER'!$V$2:$V$495&lt;=3)*('CASE MASTER'!$X$2:$X$495&gt;=3))*ROW('CASE MASTER'!$T$2:$T$495))-(ROW('CASE MASTER'!#REF!)-1))),":",","),",",REPT(" ",50)),((((4-INDEX('CASE MASTER'!$U$2:$U$495,(SUMPRODUCT((('CASE MASTER'!$T$2:$T$495=2)*('CASE MASTER'!$U$2:$U$495&lt;=4)*('CASE MASTER'!$W$2:$W$495&gt;=4)*('CASE MASTER'!$V$2:$V$495&lt;=3)*('CASE MASTER'!$X$2:$X$495&gt;=3))*ROW('CASE MASTER'!$T$2:$T$495))-(ROW('CASE MASTER'!#REF!)-1))))*(INDEX('CASE MASTER'!$X$2:$X$495,(SUMPRODUCT((('CASE MASTER'!$T$2:$T$495=2)*('CASE MASTER'!$U$2:$U$495&lt;=4)*('CASE MASTER'!$W$2:$W$495&gt;=4)*('CASE MASTER'!$V$2:$V$495&lt;=3)*('CASE MASTER'!$X$2:$X$495&gt;=3))*ROW('CASE MASTER'!$T$2:$T$495))-(ROW('CASE MASTER'!#REF!)-1)))-INDEX('CASE MASTER'!$V$2:$V$495,(SUMPRODUCT((('CASE MASTER'!$T$2:$T$495=2)*('CASE MASTER'!$U$2:$U$495&lt;=4)*('CASE MASTER'!$W$2:$W$495&gt;=4)*('CASE MASTER'!$V$2:$V$495&lt;=3)*('CASE MASTER'!$X$2:$X$495&gt;=3))*ROW('CASE MASTER'!$T$2:$T$495))-(ROW('CASE MASTER'!#REF!)-1)))+1)+(3-INDEX('CASE MASTER'!$V$2:$V$495,(SUMPRODUCT((('CASE MASTER'!$T$2:$T$495=2)*('CASE MASTER'!$U$2:$U$495&lt;=4)*('CASE MASTER'!$W$2:$W$495&gt;=4)*('CASE MASTER'!$V$2:$V$495&lt;=3)*('CASE MASTER'!$X$2:$X$495&gt;=3))*ROW('CASE MASTER'!$T$2:$T$495))-(ROW('CASE MASTER'!#REF!)-1))))+1))-1)*50+1,50))&amp;"_"&amp;INDEX('CASE MASTER'!$Q$2:$Q$495,(SUMPRODUCT((('CASE MASTER'!$T$2:$T$495=2)*('CASE MASTER'!$U$2:$U$495&lt;=4)*('CASE MASTER'!$W$2:$W$495&gt;=4)*('CASE MASTER'!$V$2:$V$495&lt;=3)*('CASE MASTER'!$X$2:$X$495&gt;=3))*ROW('CASE MASTER'!$T$2:$T$495))-(ROW('CASE MASTER'!#REF!)-1))),IF(SUMPRODUCT((('CASE MASTER'!$T$2:$T$495=2)*('CASE MASTER'!$AA$2:$AA$495&lt;=4)*('CASE MASTER'!$AC$2:$AC$495&gt;=4)*('CASE MASTER'!$AB$2:$AB$495&lt;=3)*('CASE MASTER'!$AD$2:$AD$495&gt;=3))*ROW('CASE MASTER'!$T$2:$T$495))&gt;0,INDEX('CASE MASTER'!$Y$2:$Y$495,(SUMPRODUCT((('CASE MASTER'!$T$2:$T$495=2)*('CASE MASTER'!$AA$2:$AA$495&lt;=4)*('CASE MASTER'!$AC$2:$AC$495&gt;=4)*('CASE MASTER'!$AB$2:$AB$495&lt;=3)*('CASE MASTER'!$AD$2:$AD$495&gt;=3))*ROW('CASE MASTER'!$T$2:$T$495))-(ROW('CASE MASTER'!#REF!)-1)))&amp;TRIM(MID(SUBSTITUTE(SUBSTITUTE(INDEX('CASE MASTER'!$N$2:$N$495,(SUMPRODUCT((('CASE MASTER'!$T$2:$T$495=2)*('CASE MASTER'!$AA$2:$AA$495&lt;=4)*('CASE MASTER'!$AC$2:$AC$495&gt;=4)*('CASE MASTER'!$AB$2:$AB$495&lt;=3)*('CASE MASTER'!$AD$2:$AD$495&gt;=3))*ROW('CASE MASTER'!$T$2:$T$495))-(ROW('CASE MASTER'!#REF!)-1))),":",","),",",REPT(" ",50)),(((INDEX('CASE MASTER'!$Z$2:$Z$495,(SUMPRODUCT((('CASE MASTER'!$T$2:$T$495=2)*('CASE MASTER'!$AA$2:$AA$495&lt;=4)*('CASE MASTER'!$AC$2:$AC$495&gt;=4)*('CASE MASTER'!$AB$2:$AB$495&lt;=3)*('CASE MASTER'!$AD$2:$AD$495&gt;=3))*ROW('CASE MASTER'!$T$2:$T$495))-(ROW('CASE MASTER'!#REF!)-1)))+((4-INDEX('CASE MASTER'!$AA$2:$AA$495,(SUMPRODUCT((('CASE MASTER'!$T$2:$T$495=2)*('CASE MASTER'!$AA$2:$AA$495&lt;=4)*('CASE MASTER'!$AC$2:$AC$495&gt;=4)*('CASE MASTER'!$AB$2:$AB$495&lt;=3)*('CASE MASTER'!$AD$2:$AD$495&gt;=3))*ROW('CASE MASTER'!$T$2:$T$495))-(ROW('CASE MASTER'!#REF!)-1))))*(INDEX('CASE MASTER'!$AD$2:$AD$495,(SUMPRODUCT((('CASE MASTER'!$T$2:$T$495=2)*('CASE MASTER'!$AA$2:$AA$495&lt;=4)*('CASE MASTER'!$AC$2:$AC$495&gt;=4)*('CASE MASTER'!$AB$2:$AB$495&lt;=3)*('CASE MASTER'!$AD$2:$AD$495&gt;=3))*ROW('CASE MASTER'!$T$2:$T$495))-(ROW('CASE MASTER'!#REF!)-1)))-INDEX('CASE MASTER'!$AB$2:$AB$495,(SUMPRODUCT((('CASE MASTER'!$T$2:$T$495=2)*('CASE MASTER'!$AA$2:$AA$495&lt;=4)*('CASE MASTER'!$AC$2:$AC$495&gt;=4)*('CASE MASTER'!$AB$2:$AB$495&lt;=3)*('CASE MASTER'!$AD$2:$AD$495&gt;=3))*ROW('CASE MASTER'!$T$2:$T$495))-(ROW('CASE MASTER'!#REF!)-1)))+1)+(3-INDEX('CASE MASTER'!$AB$2:$AB$495,(SUMPRODUCT((('CASE MASTER'!$T$2:$T$495=2)*('CASE MASTER'!$AA$2:$AA$495&lt;=4)*('CASE MASTER'!$AC$2:$AC$495&gt;=4)*('CASE MASTER'!$AB$2:$AB$495&lt;=3)*('CASE MASTER'!$AD$2:$AD$495&gt;=3))*ROW('CASE MASTER'!$T$2:$T$495))-(ROW('CASE MASTER'!#REF!)-1))))+1)))-1)*50+1,50))&amp;"_"&amp;INDEX('CASE MASTER'!$Q$2:$Q$495,(SUMPRODUCT((('CASE MASTER'!$T$2:$T$495=2)*('CASE MASTER'!$AA$2:$AA$495&lt;=4)*('CASE MASTER'!$AC$2:$AC$495&gt;=4)*('CASE MASTER'!$AB$2:$AB$495&lt;=3)*('CASE MASTER'!$AD$2:$AD$495&gt;=3))*ROW('CASE MASTER'!$T$2:$T$495))-(ROW('CASE MASTER'!#REF!)-1))),"")),"")</f>
        <v/>
      </c>
      <c r="E20" s="10" t="str">
        <f>IFERROR(IF(SUMPRODUCT((('CASE MASTER'!$T$2:$T$495=2)*('CASE MASTER'!$U$2:$U$495&lt;=4)*('CASE MASTER'!$W$2:$W$495&gt;=4)*('CASE MASTER'!$V$2:$V$495&lt;=4)*('CASE MASTER'!$X$2:$X$495&gt;=4))*ROW('CASE MASTER'!$T$2:$T$495))&gt;0,INDEX('CASE MASTER'!$Y$2:$Y$495,(SUMPRODUCT((('CASE MASTER'!$T$2:$T$495=2)*('CASE MASTER'!$U$2:$U$495&lt;=4)*('CASE MASTER'!$W$2:$W$495&gt;=4)*('CASE MASTER'!$V$2:$V$495&lt;=4)*('CASE MASTER'!$X$2:$X$495&gt;=4))*ROW('CASE MASTER'!$T$2:$T$495))-(ROW('CASE MASTER'!#REF!)-1)))&amp;TRIM(MID(SUBSTITUTE(SUBSTITUTE(INDEX('CASE MASTER'!$N$2:$N$495,(SUMPRODUCT((('CASE MASTER'!$T$2:$T$495=2)*('CASE MASTER'!$U$2:$U$495&lt;=4)*('CASE MASTER'!$W$2:$W$495&gt;=4)*('CASE MASTER'!$V$2:$V$495&lt;=4)*('CASE MASTER'!$X$2:$X$495&gt;=4))*ROW('CASE MASTER'!$T$2:$T$495))-(ROW('CASE MASTER'!#REF!)-1))),":",","),",",REPT(" ",50)),((((4-INDEX('CASE MASTER'!$U$2:$U$495,(SUMPRODUCT((('CASE MASTER'!$T$2:$T$495=2)*('CASE MASTER'!$U$2:$U$495&lt;=4)*('CASE MASTER'!$W$2:$W$495&gt;=4)*('CASE MASTER'!$V$2:$V$495&lt;=4)*('CASE MASTER'!$X$2:$X$495&gt;=4))*ROW('CASE MASTER'!$T$2:$T$495))-(ROW('CASE MASTER'!#REF!)-1))))*(INDEX('CASE MASTER'!$X$2:$X$495,(SUMPRODUCT((('CASE MASTER'!$T$2:$T$495=2)*('CASE MASTER'!$U$2:$U$495&lt;=4)*('CASE MASTER'!$W$2:$W$495&gt;=4)*('CASE MASTER'!$V$2:$V$495&lt;=4)*('CASE MASTER'!$X$2:$X$495&gt;=4))*ROW('CASE MASTER'!$T$2:$T$495))-(ROW('CASE MASTER'!#REF!)-1)))-INDEX('CASE MASTER'!$V$2:$V$495,(SUMPRODUCT((('CASE MASTER'!$T$2:$T$495=2)*('CASE MASTER'!$U$2:$U$495&lt;=4)*('CASE MASTER'!$W$2:$W$495&gt;=4)*('CASE MASTER'!$V$2:$V$495&lt;=4)*('CASE MASTER'!$X$2:$X$495&gt;=4))*ROW('CASE MASTER'!$T$2:$T$495))-(ROW('CASE MASTER'!#REF!)-1)))+1)+(4-INDEX('CASE MASTER'!$V$2:$V$495,(SUMPRODUCT((('CASE MASTER'!$T$2:$T$495=2)*('CASE MASTER'!$U$2:$U$495&lt;=4)*('CASE MASTER'!$W$2:$W$495&gt;=4)*('CASE MASTER'!$V$2:$V$495&lt;=4)*('CASE MASTER'!$X$2:$X$495&gt;=4))*ROW('CASE MASTER'!$T$2:$T$495))-(ROW('CASE MASTER'!#REF!)-1))))+1))-1)*50+1,50))&amp;"_"&amp;INDEX('CASE MASTER'!$Q$2:$Q$495,(SUMPRODUCT((('CASE MASTER'!$T$2:$T$495=2)*('CASE MASTER'!$U$2:$U$495&lt;=4)*('CASE MASTER'!$W$2:$W$495&gt;=4)*('CASE MASTER'!$V$2:$V$495&lt;=4)*('CASE MASTER'!$X$2:$X$495&gt;=4))*ROW('CASE MASTER'!$T$2:$T$495))-(ROW('CASE MASTER'!#REF!)-1))),IF(SUMPRODUCT((('CASE MASTER'!$T$2:$T$495=2)*('CASE MASTER'!$AA$2:$AA$495&lt;=4)*('CASE MASTER'!$AC$2:$AC$495&gt;=4)*('CASE MASTER'!$AB$2:$AB$495&lt;=4)*('CASE MASTER'!$AD$2:$AD$495&gt;=4))*ROW('CASE MASTER'!$T$2:$T$495))&gt;0,INDEX('CASE MASTER'!$Y$2:$Y$495,(SUMPRODUCT((('CASE MASTER'!$T$2:$T$495=2)*('CASE MASTER'!$AA$2:$AA$495&lt;=4)*('CASE MASTER'!$AC$2:$AC$495&gt;=4)*('CASE MASTER'!$AB$2:$AB$495&lt;=4)*('CASE MASTER'!$AD$2:$AD$495&gt;=4))*ROW('CASE MASTER'!$T$2:$T$495))-(ROW('CASE MASTER'!#REF!)-1)))&amp;TRIM(MID(SUBSTITUTE(SUBSTITUTE(INDEX('CASE MASTER'!$N$2:$N$495,(SUMPRODUCT((('CASE MASTER'!$T$2:$T$495=2)*('CASE MASTER'!$AA$2:$AA$495&lt;=4)*('CASE MASTER'!$AC$2:$AC$495&gt;=4)*('CASE MASTER'!$AB$2:$AB$495&lt;=4)*('CASE MASTER'!$AD$2:$AD$495&gt;=4))*ROW('CASE MASTER'!$T$2:$T$495))-(ROW('CASE MASTER'!#REF!)-1))),":",","),",",REPT(" ",50)),(((INDEX('CASE MASTER'!$Z$2:$Z$495,(SUMPRODUCT((('CASE MASTER'!$T$2:$T$495=2)*('CASE MASTER'!$AA$2:$AA$495&lt;=4)*('CASE MASTER'!$AC$2:$AC$495&gt;=4)*('CASE MASTER'!$AB$2:$AB$495&lt;=4)*('CASE MASTER'!$AD$2:$AD$495&gt;=4))*ROW('CASE MASTER'!$T$2:$T$495))-(ROW('CASE MASTER'!#REF!)-1)))+((4-INDEX('CASE MASTER'!$AA$2:$AA$495,(SUMPRODUCT((('CASE MASTER'!$T$2:$T$495=2)*('CASE MASTER'!$AA$2:$AA$495&lt;=4)*('CASE MASTER'!$AC$2:$AC$495&gt;=4)*('CASE MASTER'!$AB$2:$AB$495&lt;=4)*('CASE MASTER'!$AD$2:$AD$495&gt;=4))*ROW('CASE MASTER'!$T$2:$T$495))-(ROW('CASE MASTER'!#REF!)-1))))*(INDEX('CASE MASTER'!$AD$2:$AD$495,(SUMPRODUCT((('CASE MASTER'!$T$2:$T$495=2)*('CASE MASTER'!$AA$2:$AA$495&lt;=4)*('CASE MASTER'!$AC$2:$AC$495&gt;=4)*('CASE MASTER'!$AB$2:$AB$495&lt;=4)*('CASE MASTER'!$AD$2:$AD$495&gt;=4))*ROW('CASE MASTER'!$T$2:$T$495))-(ROW('CASE MASTER'!#REF!)-1)))-INDEX('CASE MASTER'!$AB$2:$AB$495,(SUMPRODUCT((('CASE MASTER'!$T$2:$T$495=2)*('CASE MASTER'!$AA$2:$AA$495&lt;=4)*('CASE MASTER'!$AC$2:$AC$495&gt;=4)*('CASE MASTER'!$AB$2:$AB$495&lt;=4)*('CASE MASTER'!$AD$2:$AD$495&gt;=4))*ROW('CASE MASTER'!$T$2:$T$495))-(ROW('CASE MASTER'!#REF!)-1)))+1)+(4-INDEX('CASE MASTER'!$AB$2:$AB$495,(SUMPRODUCT((('CASE MASTER'!$T$2:$T$495=2)*('CASE MASTER'!$AA$2:$AA$495&lt;=4)*('CASE MASTER'!$AC$2:$AC$495&gt;=4)*('CASE MASTER'!$AB$2:$AB$495&lt;=4)*('CASE MASTER'!$AD$2:$AD$495&gt;=4))*ROW('CASE MASTER'!$T$2:$T$495))-(ROW('CASE MASTER'!#REF!)-1))))+1)))-1)*50+1,50))&amp;"_"&amp;INDEX('CASE MASTER'!$Q$2:$Q$495,(SUMPRODUCT((('CASE MASTER'!$T$2:$T$495=2)*('CASE MASTER'!$AA$2:$AA$495&lt;=4)*('CASE MASTER'!$AC$2:$AC$495&gt;=4)*('CASE MASTER'!$AB$2:$AB$495&lt;=4)*('CASE MASTER'!$AD$2:$AD$495&gt;=4))*ROW('CASE MASTER'!$T$2:$T$495))-(ROW('CASE MASTER'!#REF!)-1))),"")),"")</f>
        <v/>
      </c>
      <c r="F20" s="10" t="str">
        <f>IFERROR(IF(SUMPRODUCT((('CASE MASTER'!$T$2:$T$495=2)*('CASE MASTER'!$U$2:$U$495&lt;=4)*('CASE MASTER'!$W$2:$W$495&gt;=4)*('CASE MASTER'!$V$2:$V$495&lt;=5)*('CASE MASTER'!$X$2:$X$495&gt;=5))*ROW('CASE MASTER'!$T$2:$T$495))&gt;0,INDEX('CASE MASTER'!$Y$2:$Y$495,(SUMPRODUCT((('CASE MASTER'!$T$2:$T$495=2)*('CASE MASTER'!$U$2:$U$495&lt;=4)*('CASE MASTER'!$W$2:$W$495&gt;=4)*('CASE MASTER'!$V$2:$V$495&lt;=5)*('CASE MASTER'!$X$2:$X$495&gt;=5))*ROW('CASE MASTER'!$T$2:$T$495))-(ROW('CASE MASTER'!#REF!)-1)))&amp;TRIM(MID(SUBSTITUTE(SUBSTITUTE(INDEX('CASE MASTER'!$N$2:$N$495,(SUMPRODUCT((('CASE MASTER'!$T$2:$T$495=2)*('CASE MASTER'!$U$2:$U$495&lt;=4)*('CASE MASTER'!$W$2:$W$495&gt;=4)*('CASE MASTER'!$V$2:$V$495&lt;=5)*('CASE MASTER'!$X$2:$X$495&gt;=5))*ROW('CASE MASTER'!$T$2:$T$495))-(ROW('CASE MASTER'!#REF!)-1))),":",","),",",REPT(" ",50)),((((4-INDEX('CASE MASTER'!$U$2:$U$495,(SUMPRODUCT((('CASE MASTER'!$T$2:$T$495=2)*('CASE MASTER'!$U$2:$U$495&lt;=4)*('CASE MASTER'!$W$2:$W$495&gt;=4)*('CASE MASTER'!$V$2:$V$495&lt;=5)*('CASE MASTER'!$X$2:$X$495&gt;=5))*ROW('CASE MASTER'!$T$2:$T$495))-(ROW('CASE MASTER'!#REF!)-1))))*(INDEX('CASE MASTER'!$X$2:$X$495,(SUMPRODUCT((('CASE MASTER'!$T$2:$T$495=2)*('CASE MASTER'!$U$2:$U$495&lt;=4)*('CASE MASTER'!$W$2:$W$495&gt;=4)*('CASE MASTER'!$V$2:$V$495&lt;=5)*('CASE MASTER'!$X$2:$X$495&gt;=5))*ROW('CASE MASTER'!$T$2:$T$495))-(ROW('CASE MASTER'!#REF!)-1)))-INDEX('CASE MASTER'!$V$2:$V$495,(SUMPRODUCT((('CASE MASTER'!$T$2:$T$495=2)*('CASE MASTER'!$U$2:$U$495&lt;=4)*('CASE MASTER'!$W$2:$W$495&gt;=4)*('CASE MASTER'!$V$2:$V$495&lt;=5)*('CASE MASTER'!$X$2:$X$495&gt;=5))*ROW('CASE MASTER'!$T$2:$T$495))-(ROW('CASE MASTER'!#REF!)-1)))+1)+(5-INDEX('CASE MASTER'!$V$2:$V$495,(SUMPRODUCT((('CASE MASTER'!$T$2:$T$495=2)*('CASE MASTER'!$U$2:$U$495&lt;=4)*('CASE MASTER'!$W$2:$W$495&gt;=4)*('CASE MASTER'!$V$2:$V$495&lt;=5)*('CASE MASTER'!$X$2:$X$495&gt;=5))*ROW('CASE MASTER'!$T$2:$T$495))-(ROW('CASE MASTER'!#REF!)-1))))+1))-1)*50+1,50))&amp;"_"&amp;INDEX('CASE MASTER'!$Q$2:$Q$495,(SUMPRODUCT((('CASE MASTER'!$T$2:$T$495=2)*('CASE MASTER'!$U$2:$U$495&lt;=4)*('CASE MASTER'!$W$2:$W$495&gt;=4)*('CASE MASTER'!$V$2:$V$495&lt;=5)*('CASE MASTER'!$X$2:$X$495&gt;=5))*ROW('CASE MASTER'!$T$2:$T$495))-(ROW('CASE MASTER'!#REF!)-1))),IF(SUMPRODUCT((('CASE MASTER'!$T$2:$T$495=2)*('CASE MASTER'!$AA$2:$AA$495&lt;=4)*('CASE MASTER'!$AC$2:$AC$495&gt;=4)*('CASE MASTER'!$AB$2:$AB$495&lt;=5)*('CASE MASTER'!$AD$2:$AD$495&gt;=5))*ROW('CASE MASTER'!$T$2:$T$495))&gt;0,INDEX('CASE MASTER'!$Y$2:$Y$495,(SUMPRODUCT((('CASE MASTER'!$T$2:$T$495=2)*('CASE MASTER'!$AA$2:$AA$495&lt;=4)*('CASE MASTER'!$AC$2:$AC$495&gt;=4)*('CASE MASTER'!$AB$2:$AB$495&lt;=5)*('CASE MASTER'!$AD$2:$AD$495&gt;=5))*ROW('CASE MASTER'!$T$2:$T$495))-(ROW('CASE MASTER'!#REF!)-1)))&amp;TRIM(MID(SUBSTITUTE(SUBSTITUTE(INDEX('CASE MASTER'!$N$2:$N$495,(SUMPRODUCT((('CASE MASTER'!$T$2:$T$495=2)*('CASE MASTER'!$AA$2:$AA$495&lt;=4)*('CASE MASTER'!$AC$2:$AC$495&gt;=4)*('CASE MASTER'!$AB$2:$AB$495&lt;=5)*('CASE MASTER'!$AD$2:$AD$495&gt;=5))*ROW('CASE MASTER'!$T$2:$T$495))-(ROW('CASE MASTER'!#REF!)-1))),":",","),",",REPT(" ",50)),(((INDEX('CASE MASTER'!$Z$2:$Z$495,(SUMPRODUCT((('CASE MASTER'!$T$2:$T$495=2)*('CASE MASTER'!$AA$2:$AA$495&lt;=4)*('CASE MASTER'!$AC$2:$AC$495&gt;=4)*('CASE MASTER'!$AB$2:$AB$495&lt;=5)*('CASE MASTER'!$AD$2:$AD$495&gt;=5))*ROW('CASE MASTER'!$T$2:$T$495))-(ROW('CASE MASTER'!#REF!)-1)))+((4-INDEX('CASE MASTER'!$AA$2:$AA$495,(SUMPRODUCT((('CASE MASTER'!$T$2:$T$495=2)*('CASE MASTER'!$AA$2:$AA$495&lt;=4)*('CASE MASTER'!$AC$2:$AC$495&gt;=4)*('CASE MASTER'!$AB$2:$AB$495&lt;=5)*('CASE MASTER'!$AD$2:$AD$495&gt;=5))*ROW('CASE MASTER'!$T$2:$T$495))-(ROW('CASE MASTER'!#REF!)-1))))*(INDEX('CASE MASTER'!$AD$2:$AD$495,(SUMPRODUCT((('CASE MASTER'!$T$2:$T$495=2)*('CASE MASTER'!$AA$2:$AA$495&lt;=4)*('CASE MASTER'!$AC$2:$AC$495&gt;=4)*('CASE MASTER'!$AB$2:$AB$495&lt;=5)*('CASE MASTER'!$AD$2:$AD$495&gt;=5))*ROW('CASE MASTER'!$T$2:$T$495))-(ROW('CASE MASTER'!#REF!)-1)))-INDEX('CASE MASTER'!$AB$2:$AB$495,(SUMPRODUCT((('CASE MASTER'!$T$2:$T$495=2)*('CASE MASTER'!$AA$2:$AA$495&lt;=4)*('CASE MASTER'!$AC$2:$AC$495&gt;=4)*('CASE MASTER'!$AB$2:$AB$495&lt;=5)*('CASE MASTER'!$AD$2:$AD$495&gt;=5))*ROW('CASE MASTER'!$T$2:$T$495))-(ROW('CASE MASTER'!#REF!)-1)))+1)+(5-INDEX('CASE MASTER'!$AB$2:$AB$495,(SUMPRODUCT((('CASE MASTER'!$T$2:$T$495=2)*('CASE MASTER'!$AA$2:$AA$495&lt;=4)*('CASE MASTER'!$AC$2:$AC$495&gt;=4)*('CASE MASTER'!$AB$2:$AB$495&lt;=5)*('CASE MASTER'!$AD$2:$AD$495&gt;=5))*ROW('CASE MASTER'!$T$2:$T$495))-(ROW('CASE MASTER'!#REF!)-1))))+1)))-1)*50+1,50))&amp;"_"&amp;INDEX('CASE MASTER'!$Q$2:$Q$495,(SUMPRODUCT((('CASE MASTER'!$T$2:$T$495=2)*('CASE MASTER'!$AA$2:$AA$495&lt;=4)*('CASE MASTER'!$AC$2:$AC$495&gt;=4)*('CASE MASTER'!$AB$2:$AB$495&lt;=5)*('CASE MASTER'!$AD$2:$AD$495&gt;=5))*ROW('CASE MASTER'!$T$2:$T$495))-(ROW('CASE MASTER'!#REF!)-1))),"")),"")</f>
        <v/>
      </c>
      <c r="G20" s="10" t="str">
        <f>IFERROR(IF(SUMPRODUCT((('CASE MASTER'!$T$2:$T$495=2)*('CASE MASTER'!$U$2:$U$495&lt;=4)*('CASE MASTER'!$W$2:$W$495&gt;=4)*('CASE MASTER'!$V$2:$V$495&lt;=6)*('CASE MASTER'!$X$2:$X$495&gt;=6))*ROW('CASE MASTER'!$T$2:$T$495))&gt;0,INDEX('CASE MASTER'!$Y$2:$Y$495,(SUMPRODUCT((('CASE MASTER'!$T$2:$T$495=2)*('CASE MASTER'!$U$2:$U$495&lt;=4)*('CASE MASTER'!$W$2:$W$495&gt;=4)*('CASE MASTER'!$V$2:$V$495&lt;=6)*('CASE MASTER'!$X$2:$X$495&gt;=6))*ROW('CASE MASTER'!$T$2:$T$495))-(ROW('CASE MASTER'!#REF!)-1)))&amp;TRIM(MID(SUBSTITUTE(SUBSTITUTE(INDEX('CASE MASTER'!$N$2:$N$495,(SUMPRODUCT((('CASE MASTER'!$T$2:$T$495=2)*('CASE MASTER'!$U$2:$U$495&lt;=4)*('CASE MASTER'!$W$2:$W$495&gt;=4)*('CASE MASTER'!$V$2:$V$495&lt;=6)*('CASE MASTER'!$X$2:$X$495&gt;=6))*ROW('CASE MASTER'!$T$2:$T$495))-(ROW('CASE MASTER'!#REF!)-1))),":",","),",",REPT(" ",50)),((((4-INDEX('CASE MASTER'!$U$2:$U$495,(SUMPRODUCT((('CASE MASTER'!$T$2:$T$495=2)*('CASE MASTER'!$U$2:$U$495&lt;=4)*('CASE MASTER'!$W$2:$W$495&gt;=4)*('CASE MASTER'!$V$2:$V$495&lt;=6)*('CASE MASTER'!$X$2:$X$495&gt;=6))*ROW('CASE MASTER'!$T$2:$T$495))-(ROW('CASE MASTER'!#REF!)-1))))*(INDEX('CASE MASTER'!$X$2:$X$495,(SUMPRODUCT((('CASE MASTER'!$T$2:$T$495=2)*('CASE MASTER'!$U$2:$U$495&lt;=4)*('CASE MASTER'!$W$2:$W$495&gt;=4)*('CASE MASTER'!$V$2:$V$495&lt;=6)*('CASE MASTER'!$X$2:$X$495&gt;=6))*ROW('CASE MASTER'!$T$2:$T$495))-(ROW('CASE MASTER'!#REF!)-1)))-INDEX('CASE MASTER'!$V$2:$V$495,(SUMPRODUCT((('CASE MASTER'!$T$2:$T$495=2)*('CASE MASTER'!$U$2:$U$495&lt;=4)*('CASE MASTER'!$W$2:$W$495&gt;=4)*('CASE MASTER'!$V$2:$V$495&lt;=6)*('CASE MASTER'!$X$2:$X$495&gt;=6))*ROW('CASE MASTER'!$T$2:$T$495))-(ROW('CASE MASTER'!#REF!)-1)))+1)+(6-INDEX('CASE MASTER'!$V$2:$V$495,(SUMPRODUCT((('CASE MASTER'!$T$2:$T$495=2)*('CASE MASTER'!$U$2:$U$495&lt;=4)*('CASE MASTER'!$W$2:$W$495&gt;=4)*('CASE MASTER'!$V$2:$V$495&lt;=6)*('CASE MASTER'!$X$2:$X$495&gt;=6))*ROW('CASE MASTER'!$T$2:$T$495))-(ROW('CASE MASTER'!#REF!)-1))))+1))-1)*50+1,50))&amp;"_"&amp;INDEX('CASE MASTER'!$Q$2:$Q$495,(SUMPRODUCT((('CASE MASTER'!$T$2:$T$495=2)*('CASE MASTER'!$U$2:$U$495&lt;=4)*('CASE MASTER'!$W$2:$W$495&gt;=4)*('CASE MASTER'!$V$2:$V$495&lt;=6)*('CASE MASTER'!$X$2:$X$495&gt;=6))*ROW('CASE MASTER'!$T$2:$T$495))-(ROW('CASE MASTER'!#REF!)-1))),IF(SUMPRODUCT((('CASE MASTER'!$T$2:$T$495=2)*('CASE MASTER'!$AA$2:$AA$495&lt;=4)*('CASE MASTER'!$AC$2:$AC$495&gt;=4)*('CASE MASTER'!$AB$2:$AB$495&lt;=6)*('CASE MASTER'!$AD$2:$AD$495&gt;=6))*ROW('CASE MASTER'!$T$2:$T$495))&gt;0,INDEX('CASE MASTER'!$Y$2:$Y$495,(SUMPRODUCT((('CASE MASTER'!$T$2:$T$495=2)*('CASE MASTER'!$AA$2:$AA$495&lt;=4)*('CASE MASTER'!$AC$2:$AC$495&gt;=4)*('CASE MASTER'!$AB$2:$AB$495&lt;=6)*('CASE MASTER'!$AD$2:$AD$495&gt;=6))*ROW('CASE MASTER'!$T$2:$T$495))-(ROW('CASE MASTER'!#REF!)-1)))&amp;TRIM(MID(SUBSTITUTE(SUBSTITUTE(INDEX('CASE MASTER'!$N$2:$N$495,(SUMPRODUCT((('CASE MASTER'!$T$2:$T$495=2)*('CASE MASTER'!$AA$2:$AA$495&lt;=4)*('CASE MASTER'!$AC$2:$AC$495&gt;=4)*('CASE MASTER'!$AB$2:$AB$495&lt;=6)*('CASE MASTER'!$AD$2:$AD$495&gt;=6))*ROW('CASE MASTER'!$T$2:$T$495))-(ROW('CASE MASTER'!#REF!)-1))),":",","),",",REPT(" ",50)),(((INDEX('CASE MASTER'!$Z$2:$Z$495,(SUMPRODUCT((('CASE MASTER'!$T$2:$T$495=2)*('CASE MASTER'!$AA$2:$AA$495&lt;=4)*('CASE MASTER'!$AC$2:$AC$495&gt;=4)*('CASE MASTER'!$AB$2:$AB$495&lt;=6)*('CASE MASTER'!$AD$2:$AD$495&gt;=6))*ROW('CASE MASTER'!$T$2:$T$495))-(ROW('CASE MASTER'!#REF!)-1)))+((4-INDEX('CASE MASTER'!$AA$2:$AA$495,(SUMPRODUCT((('CASE MASTER'!$T$2:$T$495=2)*('CASE MASTER'!$AA$2:$AA$495&lt;=4)*('CASE MASTER'!$AC$2:$AC$495&gt;=4)*('CASE MASTER'!$AB$2:$AB$495&lt;=6)*('CASE MASTER'!$AD$2:$AD$495&gt;=6))*ROW('CASE MASTER'!$T$2:$T$495))-(ROW('CASE MASTER'!#REF!)-1))))*(INDEX('CASE MASTER'!$AD$2:$AD$495,(SUMPRODUCT((('CASE MASTER'!$T$2:$T$495=2)*('CASE MASTER'!$AA$2:$AA$495&lt;=4)*('CASE MASTER'!$AC$2:$AC$495&gt;=4)*('CASE MASTER'!$AB$2:$AB$495&lt;=6)*('CASE MASTER'!$AD$2:$AD$495&gt;=6))*ROW('CASE MASTER'!$T$2:$T$495))-(ROW('CASE MASTER'!#REF!)-1)))-INDEX('CASE MASTER'!$AB$2:$AB$495,(SUMPRODUCT((('CASE MASTER'!$T$2:$T$495=2)*('CASE MASTER'!$AA$2:$AA$495&lt;=4)*('CASE MASTER'!$AC$2:$AC$495&gt;=4)*('CASE MASTER'!$AB$2:$AB$495&lt;=6)*('CASE MASTER'!$AD$2:$AD$495&gt;=6))*ROW('CASE MASTER'!$T$2:$T$495))-(ROW('CASE MASTER'!#REF!)-1)))+1)+(6-INDEX('CASE MASTER'!$AB$2:$AB$495,(SUMPRODUCT((('CASE MASTER'!$T$2:$T$495=2)*('CASE MASTER'!$AA$2:$AA$495&lt;=4)*('CASE MASTER'!$AC$2:$AC$495&gt;=4)*('CASE MASTER'!$AB$2:$AB$495&lt;=6)*('CASE MASTER'!$AD$2:$AD$495&gt;=6))*ROW('CASE MASTER'!$T$2:$T$495))-(ROW('CASE MASTER'!#REF!)-1))))+1)))-1)*50+1,50))&amp;"_"&amp;INDEX('CASE MASTER'!$Q$2:$Q$495,(SUMPRODUCT((('CASE MASTER'!$T$2:$T$495=2)*('CASE MASTER'!$AA$2:$AA$495&lt;=4)*('CASE MASTER'!$AC$2:$AC$495&gt;=4)*('CASE MASTER'!$AB$2:$AB$495&lt;=6)*('CASE MASTER'!$AD$2:$AD$495&gt;=6))*ROW('CASE MASTER'!$T$2:$T$495))-(ROW('CASE MASTER'!#REF!)-1))),"")),"")</f>
        <v/>
      </c>
      <c r="H20" s="10" t="str">
        <f>IFERROR(IF(SUMPRODUCT((('CASE MASTER'!$T$2:$T$495=2)*('CASE MASTER'!$U$2:$U$495&lt;=4)*('CASE MASTER'!$W$2:$W$495&gt;=4)*('CASE MASTER'!$V$2:$V$495&lt;=7)*('CASE MASTER'!$X$2:$X$495&gt;=7))*ROW('CASE MASTER'!$T$2:$T$495))&gt;0,INDEX('CASE MASTER'!$Y$2:$Y$495,(SUMPRODUCT((('CASE MASTER'!$T$2:$T$495=2)*('CASE MASTER'!$U$2:$U$495&lt;=4)*('CASE MASTER'!$W$2:$W$495&gt;=4)*('CASE MASTER'!$V$2:$V$495&lt;=7)*('CASE MASTER'!$X$2:$X$495&gt;=7))*ROW('CASE MASTER'!$T$2:$T$495))-(ROW('CASE MASTER'!#REF!)-1)))&amp;TRIM(MID(SUBSTITUTE(SUBSTITUTE(INDEX('CASE MASTER'!$N$2:$N$495,(SUMPRODUCT((('CASE MASTER'!$T$2:$T$495=2)*('CASE MASTER'!$U$2:$U$495&lt;=4)*('CASE MASTER'!$W$2:$W$495&gt;=4)*('CASE MASTER'!$V$2:$V$495&lt;=7)*('CASE MASTER'!$X$2:$X$495&gt;=7))*ROW('CASE MASTER'!$T$2:$T$495))-(ROW('CASE MASTER'!#REF!)-1))),":",","),",",REPT(" ",50)),((((4-INDEX('CASE MASTER'!$U$2:$U$495,(SUMPRODUCT((('CASE MASTER'!$T$2:$T$495=2)*('CASE MASTER'!$U$2:$U$495&lt;=4)*('CASE MASTER'!$W$2:$W$495&gt;=4)*('CASE MASTER'!$V$2:$V$495&lt;=7)*('CASE MASTER'!$X$2:$X$495&gt;=7))*ROW('CASE MASTER'!$T$2:$T$495))-(ROW('CASE MASTER'!#REF!)-1))))*(INDEX('CASE MASTER'!$X$2:$X$495,(SUMPRODUCT((('CASE MASTER'!$T$2:$T$495=2)*('CASE MASTER'!$U$2:$U$495&lt;=4)*('CASE MASTER'!$W$2:$W$495&gt;=4)*('CASE MASTER'!$V$2:$V$495&lt;=7)*('CASE MASTER'!$X$2:$X$495&gt;=7))*ROW('CASE MASTER'!$T$2:$T$495))-(ROW('CASE MASTER'!#REF!)-1)))-INDEX('CASE MASTER'!$V$2:$V$495,(SUMPRODUCT((('CASE MASTER'!$T$2:$T$495=2)*('CASE MASTER'!$U$2:$U$495&lt;=4)*('CASE MASTER'!$W$2:$W$495&gt;=4)*('CASE MASTER'!$V$2:$V$495&lt;=7)*('CASE MASTER'!$X$2:$X$495&gt;=7))*ROW('CASE MASTER'!$T$2:$T$495))-(ROW('CASE MASTER'!#REF!)-1)))+1)+(7-INDEX('CASE MASTER'!$V$2:$V$495,(SUMPRODUCT((('CASE MASTER'!$T$2:$T$495=2)*('CASE MASTER'!$U$2:$U$495&lt;=4)*('CASE MASTER'!$W$2:$W$495&gt;=4)*('CASE MASTER'!$V$2:$V$495&lt;=7)*('CASE MASTER'!$X$2:$X$495&gt;=7))*ROW('CASE MASTER'!$T$2:$T$495))-(ROW('CASE MASTER'!#REF!)-1))))+1))-1)*50+1,50))&amp;"_"&amp;INDEX('CASE MASTER'!$Q$2:$Q$495,(SUMPRODUCT((('CASE MASTER'!$T$2:$T$495=2)*('CASE MASTER'!$U$2:$U$495&lt;=4)*('CASE MASTER'!$W$2:$W$495&gt;=4)*('CASE MASTER'!$V$2:$V$495&lt;=7)*('CASE MASTER'!$X$2:$X$495&gt;=7))*ROW('CASE MASTER'!$T$2:$T$495))-(ROW('CASE MASTER'!#REF!)-1))),IF(SUMPRODUCT((('CASE MASTER'!$T$2:$T$495=2)*('CASE MASTER'!$AA$2:$AA$495&lt;=4)*('CASE MASTER'!$AC$2:$AC$495&gt;=4)*('CASE MASTER'!$AB$2:$AB$495&lt;=7)*('CASE MASTER'!$AD$2:$AD$495&gt;=7))*ROW('CASE MASTER'!$T$2:$T$495))&gt;0,INDEX('CASE MASTER'!$Y$2:$Y$495,(SUMPRODUCT((('CASE MASTER'!$T$2:$T$495=2)*('CASE MASTER'!$AA$2:$AA$495&lt;=4)*('CASE MASTER'!$AC$2:$AC$495&gt;=4)*('CASE MASTER'!$AB$2:$AB$495&lt;=7)*('CASE MASTER'!$AD$2:$AD$495&gt;=7))*ROW('CASE MASTER'!$T$2:$T$495))-(ROW('CASE MASTER'!#REF!)-1)))&amp;TRIM(MID(SUBSTITUTE(SUBSTITUTE(INDEX('CASE MASTER'!$N$2:$N$495,(SUMPRODUCT((('CASE MASTER'!$T$2:$T$495=2)*('CASE MASTER'!$AA$2:$AA$495&lt;=4)*('CASE MASTER'!$AC$2:$AC$495&gt;=4)*('CASE MASTER'!$AB$2:$AB$495&lt;=7)*('CASE MASTER'!$AD$2:$AD$495&gt;=7))*ROW('CASE MASTER'!$T$2:$T$495))-(ROW('CASE MASTER'!#REF!)-1))),":",","),",",REPT(" ",50)),(((INDEX('CASE MASTER'!$Z$2:$Z$495,(SUMPRODUCT((('CASE MASTER'!$T$2:$T$495=2)*('CASE MASTER'!$AA$2:$AA$495&lt;=4)*('CASE MASTER'!$AC$2:$AC$495&gt;=4)*('CASE MASTER'!$AB$2:$AB$495&lt;=7)*('CASE MASTER'!$AD$2:$AD$495&gt;=7))*ROW('CASE MASTER'!$T$2:$T$495))-(ROW('CASE MASTER'!#REF!)-1)))+((4-INDEX('CASE MASTER'!$AA$2:$AA$495,(SUMPRODUCT((('CASE MASTER'!$T$2:$T$495=2)*('CASE MASTER'!$AA$2:$AA$495&lt;=4)*('CASE MASTER'!$AC$2:$AC$495&gt;=4)*('CASE MASTER'!$AB$2:$AB$495&lt;=7)*('CASE MASTER'!$AD$2:$AD$495&gt;=7))*ROW('CASE MASTER'!$T$2:$T$495))-(ROW('CASE MASTER'!#REF!)-1))))*(INDEX('CASE MASTER'!$AD$2:$AD$495,(SUMPRODUCT((('CASE MASTER'!$T$2:$T$495=2)*('CASE MASTER'!$AA$2:$AA$495&lt;=4)*('CASE MASTER'!$AC$2:$AC$495&gt;=4)*('CASE MASTER'!$AB$2:$AB$495&lt;=7)*('CASE MASTER'!$AD$2:$AD$495&gt;=7))*ROW('CASE MASTER'!$T$2:$T$495))-(ROW('CASE MASTER'!#REF!)-1)))-INDEX('CASE MASTER'!$AB$2:$AB$495,(SUMPRODUCT((('CASE MASTER'!$T$2:$T$495=2)*('CASE MASTER'!$AA$2:$AA$495&lt;=4)*('CASE MASTER'!$AC$2:$AC$495&gt;=4)*('CASE MASTER'!$AB$2:$AB$495&lt;=7)*('CASE MASTER'!$AD$2:$AD$495&gt;=7))*ROW('CASE MASTER'!$T$2:$T$495))-(ROW('CASE MASTER'!#REF!)-1)))+1)+(7-INDEX('CASE MASTER'!$AB$2:$AB$495,(SUMPRODUCT((('CASE MASTER'!$T$2:$T$495=2)*('CASE MASTER'!$AA$2:$AA$495&lt;=4)*('CASE MASTER'!$AC$2:$AC$495&gt;=4)*('CASE MASTER'!$AB$2:$AB$495&lt;=7)*('CASE MASTER'!$AD$2:$AD$495&gt;=7))*ROW('CASE MASTER'!$T$2:$T$495))-(ROW('CASE MASTER'!#REF!)-1))))+1)))-1)*50+1,50))&amp;"_"&amp;INDEX('CASE MASTER'!$Q$2:$Q$495,(SUMPRODUCT((('CASE MASTER'!$T$2:$T$495=2)*('CASE MASTER'!$AA$2:$AA$495&lt;=4)*('CASE MASTER'!$AC$2:$AC$495&gt;=4)*('CASE MASTER'!$AB$2:$AB$495&lt;=7)*('CASE MASTER'!$AD$2:$AD$495&gt;=7))*ROW('CASE MASTER'!$T$2:$T$495))-(ROW('CASE MASTER'!#REF!)-1))),"")),"")</f>
        <v/>
      </c>
      <c r="I20" s="10" t="str">
        <f>IFERROR(IF(SUMPRODUCT((('CASE MASTER'!$T$2:$T$495=2)*('CASE MASTER'!$U$2:$U$495&lt;=4)*('CASE MASTER'!$W$2:$W$495&gt;=4)*('CASE MASTER'!$V$2:$V$495&lt;=8)*('CASE MASTER'!$X$2:$X$495&gt;=8))*ROW('CASE MASTER'!$T$2:$T$495))&gt;0,INDEX('CASE MASTER'!$Y$2:$Y$495,(SUMPRODUCT((('CASE MASTER'!$T$2:$T$495=2)*('CASE MASTER'!$U$2:$U$495&lt;=4)*('CASE MASTER'!$W$2:$W$495&gt;=4)*('CASE MASTER'!$V$2:$V$495&lt;=8)*('CASE MASTER'!$X$2:$X$495&gt;=8))*ROW('CASE MASTER'!$T$2:$T$495))-(ROW('CASE MASTER'!#REF!)-1)))&amp;TRIM(MID(SUBSTITUTE(SUBSTITUTE(INDEX('CASE MASTER'!$N$2:$N$495,(SUMPRODUCT((('CASE MASTER'!$T$2:$T$495=2)*('CASE MASTER'!$U$2:$U$495&lt;=4)*('CASE MASTER'!$W$2:$W$495&gt;=4)*('CASE MASTER'!$V$2:$V$495&lt;=8)*('CASE MASTER'!$X$2:$X$495&gt;=8))*ROW('CASE MASTER'!$T$2:$T$495))-(ROW('CASE MASTER'!#REF!)-1))),":",","),",",REPT(" ",50)),((((4-INDEX('CASE MASTER'!$U$2:$U$495,(SUMPRODUCT((('CASE MASTER'!$T$2:$T$495=2)*('CASE MASTER'!$U$2:$U$495&lt;=4)*('CASE MASTER'!$W$2:$W$495&gt;=4)*('CASE MASTER'!$V$2:$V$495&lt;=8)*('CASE MASTER'!$X$2:$X$495&gt;=8))*ROW('CASE MASTER'!$T$2:$T$495))-(ROW('CASE MASTER'!#REF!)-1))))*(INDEX('CASE MASTER'!$X$2:$X$495,(SUMPRODUCT((('CASE MASTER'!$T$2:$T$495=2)*('CASE MASTER'!$U$2:$U$495&lt;=4)*('CASE MASTER'!$W$2:$W$495&gt;=4)*('CASE MASTER'!$V$2:$V$495&lt;=8)*('CASE MASTER'!$X$2:$X$495&gt;=8))*ROW('CASE MASTER'!$T$2:$T$495))-(ROW('CASE MASTER'!#REF!)-1)))-INDEX('CASE MASTER'!$V$2:$V$495,(SUMPRODUCT((('CASE MASTER'!$T$2:$T$495=2)*('CASE MASTER'!$U$2:$U$495&lt;=4)*('CASE MASTER'!$W$2:$W$495&gt;=4)*('CASE MASTER'!$V$2:$V$495&lt;=8)*('CASE MASTER'!$X$2:$X$495&gt;=8))*ROW('CASE MASTER'!$T$2:$T$495))-(ROW('CASE MASTER'!#REF!)-1)))+1)+(8-INDEX('CASE MASTER'!$V$2:$V$495,(SUMPRODUCT((('CASE MASTER'!$T$2:$T$495=2)*('CASE MASTER'!$U$2:$U$495&lt;=4)*('CASE MASTER'!$W$2:$W$495&gt;=4)*('CASE MASTER'!$V$2:$V$495&lt;=8)*('CASE MASTER'!$X$2:$X$495&gt;=8))*ROW('CASE MASTER'!$T$2:$T$495))-(ROW('CASE MASTER'!#REF!)-1))))+1))-1)*50+1,50))&amp;"_"&amp;INDEX('CASE MASTER'!$Q$2:$Q$495,(SUMPRODUCT((('CASE MASTER'!$T$2:$T$495=2)*('CASE MASTER'!$U$2:$U$495&lt;=4)*('CASE MASTER'!$W$2:$W$495&gt;=4)*('CASE MASTER'!$V$2:$V$495&lt;=8)*('CASE MASTER'!$X$2:$X$495&gt;=8))*ROW('CASE MASTER'!$T$2:$T$495))-(ROW('CASE MASTER'!#REF!)-1))),IF(SUMPRODUCT((('CASE MASTER'!$T$2:$T$495=2)*('CASE MASTER'!$AA$2:$AA$495&lt;=4)*('CASE MASTER'!$AC$2:$AC$495&gt;=4)*('CASE MASTER'!$AB$2:$AB$495&lt;=8)*('CASE MASTER'!$AD$2:$AD$495&gt;=8))*ROW('CASE MASTER'!$T$2:$T$495))&gt;0,INDEX('CASE MASTER'!$Y$2:$Y$495,(SUMPRODUCT((('CASE MASTER'!$T$2:$T$495=2)*('CASE MASTER'!$AA$2:$AA$495&lt;=4)*('CASE MASTER'!$AC$2:$AC$495&gt;=4)*('CASE MASTER'!$AB$2:$AB$495&lt;=8)*('CASE MASTER'!$AD$2:$AD$495&gt;=8))*ROW('CASE MASTER'!$T$2:$T$495))-(ROW('CASE MASTER'!#REF!)-1)))&amp;TRIM(MID(SUBSTITUTE(SUBSTITUTE(INDEX('CASE MASTER'!$N$2:$N$495,(SUMPRODUCT((('CASE MASTER'!$T$2:$T$495=2)*('CASE MASTER'!$AA$2:$AA$495&lt;=4)*('CASE MASTER'!$AC$2:$AC$495&gt;=4)*('CASE MASTER'!$AB$2:$AB$495&lt;=8)*('CASE MASTER'!$AD$2:$AD$495&gt;=8))*ROW('CASE MASTER'!$T$2:$T$495))-(ROW('CASE MASTER'!#REF!)-1))),":",","),",",REPT(" ",50)),(((INDEX('CASE MASTER'!$Z$2:$Z$495,(SUMPRODUCT((('CASE MASTER'!$T$2:$T$495=2)*('CASE MASTER'!$AA$2:$AA$495&lt;=4)*('CASE MASTER'!$AC$2:$AC$495&gt;=4)*('CASE MASTER'!$AB$2:$AB$495&lt;=8)*('CASE MASTER'!$AD$2:$AD$495&gt;=8))*ROW('CASE MASTER'!$T$2:$T$495))-(ROW('CASE MASTER'!#REF!)-1)))+((4-INDEX('CASE MASTER'!$AA$2:$AA$495,(SUMPRODUCT((('CASE MASTER'!$T$2:$T$495=2)*('CASE MASTER'!$AA$2:$AA$495&lt;=4)*('CASE MASTER'!$AC$2:$AC$495&gt;=4)*('CASE MASTER'!$AB$2:$AB$495&lt;=8)*('CASE MASTER'!$AD$2:$AD$495&gt;=8))*ROW('CASE MASTER'!$T$2:$T$495))-(ROW('CASE MASTER'!#REF!)-1))))*(INDEX('CASE MASTER'!$AD$2:$AD$495,(SUMPRODUCT((('CASE MASTER'!$T$2:$T$495=2)*('CASE MASTER'!$AA$2:$AA$495&lt;=4)*('CASE MASTER'!$AC$2:$AC$495&gt;=4)*('CASE MASTER'!$AB$2:$AB$495&lt;=8)*('CASE MASTER'!$AD$2:$AD$495&gt;=8))*ROW('CASE MASTER'!$T$2:$T$495))-(ROW('CASE MASTER'!#REF!)-1)))-INDEX('CASE MASTER'!$AB$2:$AB$495,(SUMPRODUCT((('CASE MASTER'!$T$2:$T$495=2)*('CASE MASTER'!$AA$2:$AA$495&lt;=4)*('CASE MASTER'!$AC$2:$AC$495&gt;=4)*('CASE MASTER'!$AB$2:$AB$495&lt;=8)*('CASE MASTER'!$AD$2:$AD$495&gt;=8))*ROW('CASE MASTER'!$T$2:$T$495))-(ROW('CASE MASTER'!#REF!)-1)))+1)+(8-INDEX('CASE MASTER'!$AB$2:$AB$495,(SUMPRODUCT((('CASE MASTER'!$T$2:$T$495=2)*('CASE MASTER'!$AA$2:$AA$495&lt;=4)*('CASE MASTER'!$AC$2:$AC$495&gt;=4)*('CASE MASTER'!$AB$2:$AB$495&lt;=8)*('CASE MASTER'!$AD$2:$AD$495&gt;=8))*ROW('CASE MASTER'!$T$2:$T$495))-(ROW('CASE MASTER'!#REF!)-1))))+1)))-1)*50+1,50))&amp;"_"&amp;INDEX('CASE MASTER'!$Q$2:$Q$495,(SUMPRODUCT((('CASE MASTER'!$T$2:$T$495=2)*('CASE MASTER'!$AA$2:$AA$495&lt;=4)*('CASE MASTER'!$AC$2:$AC$495&gt;=4)*('CASE MASTER'!$AB$2:$AB$495&lt;=8)*('CASE MASTER'!$AD$2:$AD$495&gt;=8))*ROW('CASE MASTER'!$T$2:$T$495))-(ROW('CASE MASTER'!#REF!)-1))),"")),"")</f>
        <v/>
      </c>
      <c r="J20" s="10" t="str">
        <f>IFERROR(IF(SUMPRODUCT((('CASE MASTER'!$T$2:$T$495=2)*('CASE MASTER'!$U$2:$U$495&lt;=4)*('CASE MASTER'!$W$2:$W$495&gt;=4)*('CASE MASTER'!$V$2:$V$495&lt;=9)*('CASE MASTER'!$X$2:$X$495&gt;=9))*ROW('CASE MASTER'!$T$2:$T$495))&gt;0,INDEX('CASE MASTER'!$Y$2:$Y$495,(SUMPRODUCT((('CASE MASTER'!$T$2:$T$495=2)*('CASE MASTER'!$U$2:$U$495&lt;=4)*('CASE MASTER'!$W$2:$W$495&gt;=4)*('CASE MASTER'!$V$2:$V$495&lt;=9)*('CASE MASTER'!$X$2:$X$495&gt;=9))*ROW('CASE MASTER'!$T$2:$T$495))-(ROW('CASE MASTER'!#REF!)-1)))&amp;TRIM(MID(SUBSTITUTE(SUBSTITUTE(INDEX('CASE MASTER'!$N$2:$N$495,(SUMPRODUCT((('CASE MASTER'!$T$2:$T$495=2)*('CASE MASTER'!$U$2:$U$495&lt;=4)*('CASE MASTER'!$W$2:$W$495&gt;=4)*('CASE MASTER'!$V$2:$V$495&lt;=9)*('CASE MASTER'!$X$2:$X$495&gt;=9))*ROW('CASE MASTER'!$T$2:$T$495))-(ROW('CASE MASTER'!#REF!)-1))),":",","),",",REPT(" ",50)),((((4-INDEX('CASE MASTER'!$U$2:$U$495,(SUMPRODUCT((('CASE MASTER'!$T$2:$T$495=2)*('CASE MASTER'!$U$2:$U$495&lt;=4)*('CASE MASTER'!$W$2:$W$495&gt;=4)*('CASE MASTER'!$V$2:$V$495&lt;=9)*('CASE MASTER'!$X$2:$X$495&gt;=9))*ROW('CASE MASTER'!$T$2:$T$495))-(ROW('CASE MASTER'!#REF!)-1))))*(INDEX('CASE MASTER'!$X$2:$X$495,(SUMPRODUCT((('CASE MASTER'!$T$2:$T$495=2)*('CASE MASTER'!$U$2:$U$495&lt;=4)*('CASE MASTER'!$W$2:$W$495&gt;=4)*('CASE MASTER'!$V$2:$V$495&lt;=9)*('CASE MASTER'!$X$2:$X$495&gt;=9))*ROW('CASE MASTER'!$T$2:$T$495))-(ROW('CASE MASTER'!#REF!)-1)))-INDEX('CASE MASTER'!$V$2:$V$495,(SUMPRODUCT((('CASE MASTER'!$T$2:$T$495=2)*('CASE MASTER'!$U$2:$U$495&lt;=4)*('CASE MASTER'!$W$2:$W$495&gt;=4)*('CASE MASTER'!$V$2:$V$495&lt;=9)*('CASE MASTER'!$X$2:$X$495&gt;=9))*ROW('CASE MASTER'!$T$2:$T$495))-(ROW('CASE MASTER'!#REF!)-1)))+1)+(9-INDEX('CASE MASTER'!$V$2:$V$495,(SUMPRODUCT((('CASE MASTER'!$T$2:$T$495=2)*('CASE MASTER'!$U$2:$U$495&lt;=4)*('CASE MASTER'!$W$2:$W$495&gt;=4)*('CASE MASTER'!$V$2:$V$495&lt;=9)*('CASE MASTER'!$X$2:$X$495&gt;=9))*ROW('CASE MASTER'!$T$2:$T$495))-(ROW('CASE MASTER'!#REF!)-1))))+1))-1)*50+1,50))&amp;"_"&amp;INDEX('CASE MASTER'!$Q$2:$Q$495,(SUMPRODUCT((('CASE MASTER'!$T$2:$T$495=2)*('CASE MASTER'!$U$2:$U$495&lt;=4)*('CASE MASTER'!$W$2:$W$495&gt;=4)*('CASE MASTER'!$V$2:$V$495&lt;=9)*('CASE MASTER'!$X$2:$X$495&gt;=9))*ROW('CASE MASTER'!$T$2:$T$495))-(ROW('CASE MASTER'!#REF!)-1))),IF(SUMPRODUCT((('CASE MASTER'!$T$2:$T$495=2)*('CASE MASTER'!$AA$2:$AA$495&lt;=4)*('CASE MASTER'!$AC$2:$AC$495&gt;=4)*('CASE MASTER'!$AB$2:$AB$495&lt;=9)*('CASE MASTER'!$AD$2:$AD$495&gt;=9))*ROW('CASE MASTER'!$T$2:$T$495))&gt;0,INDEX('CASE MASTER'!$Y$2:$Y$495,(SUMPRODUCT((('CASE MASTER'!$T$2:$T$495=2)*('CASE MASTER'!$AA$2:$AA$495&lt;=4)*('CASE MASTER'!$AC$2:$AC$495&gt;=4)*('CASE MASTER'!$AB$2:$AB$495&lt;=9)*('CASE MASTER'!$AD$2:$AD$495&gt;=9))*ROW('CASE MASTER'!$T$2:$T$495))-(ROW('CASE MASTER'!#REF!)-1)))&amp;TRIM(MID(SUBSTITUTE(SUBSTITUTE(INDEX('CASE MASTER'!$N$2:$N$495,(SUMPRODUCT((('CASE MASTER'!$T$2:$T$495=2)*('CASE MASTER'!$AA$2:$AA$495&lt;=4)*('CASE MASTER'!$AC$2:$AC$495&gt;=4)*('CASE MASTER'!$AB$2:$AB$495&lt;=9)*('CASE MASTER'!$AD$2:$AD$495&gt;=9))*ROW('CASE MASTER'!$T$2:$T$495))-(ROW('CASE MASTER'!#REF!)-1))),":",","),",",REPT(" ",50)),(((INDEX('CASE MASTER'!$Z$2:$Z$495,(SUMPRODUCT((('CASE MASTER'!$T$2:$T$495=2)*('CASE MASTER'!$AA$2:$AA$495&lt;=4)*('CASE MASTER'!$AC$2:$AC$495&gt;=4)*('CASE MASTER'!$AB$2:$AB$495&lt;=9)*('CASE MASTER'!$AD$2:$AD$495&gt;=9))*ROW('CASE MASTER'!$T$2:$T$495))-(ROW('CASE MASTER'!#REF!)-1)))+((4-INDEX('CASE MASTER'!$AA$2:$AA$495,(SUMPRODUCT((('CASE MASTER'!$T$2:$T$495=2)*('CASE MASTER'!$AA$2:$AA$495&lt;=4)*('CASE MASTER'!$AC$2:$AC$495&gt;=4)*('CASE MASTER'!$AB$2:$AB$495&lt;=9)*('CASE MASTER'!$AD$2:$AD$495&gt;=9))*ROW('CASE MASTER'!$T$2:$T$495))-(ROW('CASE MASTER'!#REF!)-1))))*(INDEX('CASE MASTER'!$AD$2:$AD$495,(SUMPRODUCT((('CASE MASTER'!$T$2:$T$495=2)*('CASE MASTER'!$AA$2:$AA$495&lt;=4)*('CASE MASTER'!$AC$2:$AC$495&gt;=4)*('CASE MASTER'!$AB$2:$AB$495&lt;=9)*('CASE MASTER'!$AD$2:$AD$495&gt;=9))*ROW('CASE MASTER'!$T$2:$T$495))-(ROW('CASE MASTER'!#REF!)-1)))-INDEX('CASE MASTER'!$AB$2:$AB$495,(SUMPRODUCT((('CASE MASTER'!$T$2:$T$495=2)*('CASE MASTER'!$AA$2:$AA$495&lt;=4)*('CASE MASTER'!$AC$2:$AC$495&gt;=4)*('CASE MASTER'!$AB$2:$AB$495&lt;=9)*('CASE MASTER'!$AD$2:$AD$495&gt;=9))*ROW('CASE MASTER'!$T$2:$T$495))-(ROW('CASE MASTER'!#REF!)-1)))+1)+(9-INDEX('CASE MASTER'!$AB$2:$AB$495,(SUMPRODUCT((('CASE MASTER'!$T$2:$T$495=2)*('CASE MASTER'!$AA$2:$AA$495&lt;=4)*('CASE MASTER'!$AC$2:$AC$495&gt;=4)*('CASE MASTER'!$AB$2:$AB$495&lt;=9)*('CASE MASTER'!$AD$2:$AD$495&gt;=9))*ROW('CASE MASTER'!$T$2:$T$495))-(ROW('CASE MASTER'!#REF!)-1))))+1)))-1)*50+1,50))&amp;"_"&amp;INDEX('CASE MASTER'!$Q$2:$Q$495,(SUMPRODUCT((('CASE MASTER'!$T$2:$T$495=2)*('CASE MASTER'!$AA$2:$AA$495&lt;=4)*('CASE MASTER'!$AC$2:$AC$495&gt;=4)*('CASE MASTER'!$AB$2:$AB$495&lt;=9)*('CASE MASTER'!$AD$2:$AD$495&gt;=9))*ROW('CASE MASTER'!$T$2:$T$495))-(ROW('CASE MASTER'!#REF!)-1))),"")),"")</f>
        <v/>
      </c>
      <c r="K20" s="10" t="str">
        <f>IFERROR(IF(SUMPRODUCT((('CASE MASTER'!$T$2:$T$495=2)*('CASE MASTER'!$U$2:$U$495&lt;=4)*('CASE MASTER'!$W$2:$W$495&gt;=4)*('CASE MASTER'!$V$2:$V$495&lt;=10)*('CASE MASTER'!$X$2:$X$495&gt;=10))*ROW('CASE MASTER'!$T$2:$T$495))&gt;0,INDEX('CASE MASTER'!$Y$2:$Y$495,(SUMPRODUCT((('CASE MASTER'!$T$2:$T$495=2)*('CASE MASTER'!$U$2:$U$495&lt;=4)*('CASE MASTER'!$W$2:$W$495&gt;=4)*('CASE MASTER'!$V$2:$V$495&lt;=10)*('CASE MASTER'!$X$2:$X$495&gt;=10))*ROW('CASE MASTER'!$T$2:$T$495))-(ROW('CASE MASTER'!#REF!)-1)))&amp;TRIM(MID(SUBSTITUTE(SUBSTITUTE(INDEX('CASE MASTER'!$N$2:$N$495,(SUMPRODUCT((('CASE MASTER'!$T$2:$T$495=2)*('CASE MASTER'!$U$2:$U$495&lt;=4)*('CASE MASTER'!$W$2:$W$495&gt;=4)*('CASE MASTER'!$V$2:$V$495&lt;=10)*('CASE MASTER'!$X$2:$X$495&gt;=10))*ROW('CASE MASTER'!$T$2:$T$495))-(ROW('CASE MASTER'!#REF!)-1))),":",","),",",REPT(" ",50)),((((4-INDEX('CASE MASTER'!$U$2:$U$495,(SUMPRODUCT((('CASE MASTER'!$T$2:$T$495=2)*('CASE MASTER'!$U$2:$U$495&lt;=4)*('CASE MASTER'!$W$2:$W$495&gt;=4)*('CASE MASTER'!$V$2:$V$495&lt;=10)*('CASE MASTER'!$X$2:$X$495&gt;=10))*ROW('CASE MASTER'!$T$2:$T$495))-(ROW('CASE MASTER'!#REF!)-1))))*(INDEX('CASE MASTER'!$X$2:$X$495,(SUMPRODUCT((('CASE MASTER'!$T$2:$T$495=2)*('CASE MASTER'!$U$2:$U$495&lt;=4)*('CASE MASTER'!$W$2:$W$495&gt;=4)*('CASE MASTER'!$V$2:$V$495&lt;=10)*('CASE MASTER'!$X$2:$X$495&gt;=10))*ROW('CASE MASTER'!$T$2:$T$495))-(ROW('CASE MASTER'!#REF!)-1)))-INDEX('CASE MASTER'!$V$2:$V$495,(SUMPRODUCT((('CASE MASTER'!$T$2:$T$495=2)*('CASE MASTER'!$U$2:$U$495&lt;=4)*('CASE MASTER'!$W$2:$W$495&gt;=4)*('CASE MASTER'!$V$2:$V$495&lt;=10)*('CASE MASTER'!$X$2:$X$495&gt;=10))*ROW('CASE MASTER'!$T$2:$T$495))-(ROW('CASE MASTER'!#REF!)-1)))+1)+(10-INDEX('CASE MASTER'!$V$2:$V$495,(SUMPRODUCT((('CASE MASTER'!$T$2:$T$495=2)*('CASE MASTER'!$U$2:$U$495&lt;=4)*('CASE MASTER'!$W$2:$W$495&gt;=4)*('CASE MASTER'!$V$2:$V$495&lt;=10)*('CASE MASTER'!$X$2:$X$495&gt;=10))*ROW('CASE MASTER'!$T$2:$T$495))-(ROW('CASE MASTER'!#REF!)-1))))+1))-1)*50+1,50))&amp;"_"&amp;INDEX('CASE MASTER'!$Q$2:$Q$495,(SUMPRODUCT((('CASE MASTER'!$T$2:$T$495=2)*('CASE MASTER'!$U$2:$U$495&lt;=4)*('CASE MASTER'!$W$2:$W$495&gt;=4)*('CASE MASTER'!$V$2:$V$495&lt;=10)*('CASE MASTER'!$X$2:$X$495&gt;=10))*ROW('CASE MASTER'!$T$2:$T$495))-(ROW('CASE MASTER'!#REF!)-1))),IF(SUMPRODUCT((('CASE MASTER'!$T$2:$T$495=2)*('CASE MASTER'!$AA$2:$AA$495&lt;=4)*('CASE MASTER'!$AC$2:$AC$495&gt;=4)*('CASE MASTER'!$AB$2:$AB$495&lt;=10)*('CASE MASTER'!$AD$2:$AD$495&gt;=10))*ROW('CASE MASTER'!$T$2:$T$495))&gt;0,INDEX('CASE MASTER'!$Y$2:$Y$495,(SUMPRODUCT((('CASE MASTER'!$T$2:$T$495=2)*('CASE MASTER'!$AA$2:$AA$495&lt;=4)*('CASE MASTER'!$AC$2:$AC$495&gt;=4)*('CASE MASTER'!$AB$2:$AB$495&lt;=10)*('CASE MASTER'!$AD$2:$AD$495&gt;=10))*ROW('CASE MASTER'!$T$2:$T$495))-(ROW('CASE MASTER'!#REF!)-1)))&amp;TRIM(MID(SUBSTITUTE(SUBSTITUTE(INDEX('CASE MASTER'!$N$2:$N$495,(SUMPRODUCT((('CASE MASTER'!$T$2:$T$495=2)*('CASE MASTER'!$AA$2:$AA$495&lt;=4)*('CASE MASTER'!$AC$2:$AC$495&gt;=4)*('CASE MASTER'!$AB$2:$AB$495&lt;=10)*('CASE MASTER'!$AD$2:$AD$495&gt;=10))*ROW('CASE MASTER'!$T$2:$T$495))-(ROW('CASE MASTER'!#REF!)-1))),":",","),",",REPT(" ",50)),(((INDEX('CASE MASTER'!$Z$2:$Z$495,(SUMPRODUCT((('CASE MASTER'!$T$2:$T$495=2)*('CASE MASTER'!$AA$2:$AA$495&lt;=4)*('CASE MASTER'!$AC$2:$AC$495&gt;=4)*('CASE MASTER'!$AB$2:$AB$495&lt;=10)*('CASE MASTER'!$AD$2:$AD$495&gt;=10))*ROW('CASE MASTER'!$T$2:$T$495))-(ROW('CASE MASTER'!#REF!)-1)))+((4-INDEX('CASE MASTER'!$AA$2:$AA$495,(SUMPRODUCT((('CASE MASTER'!$T$2:$T$495=2)*('CASE MASTER'!$AA$2:$AA$495&lt;=4)*('CASE MASTER'!$AC$2:$AC$495&gt;=4)*('CASE MASTER'!$AB$2:$AB$495&lt;=10)*('CASE MASTER'!$AD$2:$AD$495&gt;=10))*ROW('CASE MASTER'!$T$2:$T$495))-(ROW('CASE MASTER'!#REF!)-1))))*(INDEX('CASE MASTER'!$AD$2:$AD$495,(SUMPRODUCT((('CASE MASTER'!$T$2:$T$495=2)*('CASE MASTER'!$AA$2:$AA$495&lt;=4)*('CASE MASTER'!$AC$2:$AC$495&gt;=4)*('CASE MASTER'!$AB$2:$AB$495&lt;=10)*('CASE MASTER'!$AD$2:$AD$495&gt;=10))*ROW('CASE MASTER'!$T$2:$T$495))-(ROW('CASE MASTER'!#REF!)-1)))-INDEX('CASE MASTER'!$AB$2:$AB$495,(SUMPRODUCT((('CASE MASTER'!$T$2:$T$495=2)*('CASE MASTER'!$AA$2:$AA$495&lt;=4)*('CASE MASTER'!$AC$2:$AC$495&gt;=4)*('CASE MASTER'!$AB$2:$AB$495&lt;=10)*('CASE MASTER'!$AD$2:$AD$495&gt;=10))*ROW('CASE MASTER'!$T$2:$T$495))-(ROW('CASE MASTER'!#REF!)-1)))+1)+(10-INDEX('CASE MASTER'!$AB$2:$AB$495,(SUMPRODUCT((('CASE MASTER'!$T$2:$T$495=2)*('CASE MASTER'!$AA$2:$AA$495&lt;=4)*('CASE MASTER'!$AC$2:$AC$495&gt;=4)*('CASE MASTER'!$AB$2:$AB$495&lt;=10)*('CASE MASTER'!$AD$2:$AD$495&gt;=10))*ROW('CASE MASTER'!$T$2:$T$495))-(ROW('CASE MASTER'!#REF!)-1))))+1)))-1)*50+1,50))&amp;"_"&amp;INDEX('CASE MASTER'!$Q$2:$Q$495,(SUMPRODUCT((('CASE MASTER'!$T$2:$T$495=2)*('CASE MASTER'!$AA$2:$AA$495&lt;=4)*('CASE MASTER'!$AC$2:$AC$495&gt;=4)*('CASE MASTER'!$AB$2:$AB$495&lt;=10)*('CASE MASTER'!$AD$2:$AD$495&gt;=10))*ROW('CASE MASTER'!$T$2:$T$495))-(ROW('CASE MASTER'!#REF!)-1))),"")),"")</f>
        <v/>
      </c>
    </row>
    <row r="21" spans="1:11" ht="15" customHeight="1" x14ac:dyDescent="0.35">
      <c r="A21" s="8" t="s">
        <v>32</v>
      </c>
      <c r="B21" s="10" t="str">
        <f>IFERROR(IF(SUMPRODUCT((('CASE MASTER'!$T$2:$T$495=2)*('CASE MASTER'!$U$2:$U$495&lt;=5)*('CASE MASTER'!$W$2:$W$495&gt;=5)*('CASE MASTER'!$V$2:$V$495&lt;=1)*('CASE MASTER'!$X$2:$X$495&gt;=1))*ROW('CASE MASTER'!$T$2:$T$495))&gt;0,INDEX('CASE MASTER'!$Y$2:$Y$495,(SUMPRODUCT((('CASE MASTER'!$T$2:$T$495=2)*('CASE MASTER'!$U$2:$U$495&lt;=5)*('CASE MASTER'!$W$2:$W$495&gt;=5)*('CASE MASTER'!$V$2:$V$495&lt;=1)*('CASE MASTER'!$X$2:$X$495&gt;=1))*ROW('CASE MASTER'!$T$2:$T$495))-(ROW('CASE MASTER'!#REF!)-1)))&amp;TRIM(MID(SUBSTITUTE(SUBSTITUTE(INDEX('CASE MASTER'!$N$2:$N$495,(SUMPRODUCT((('CASE MASTER'!$T$2:$T$495=2)*('CASE MASTER'!$U$2:$U$495&lt;=5)*('CASE MASTER'!$W$2:$W$495&gt;=5)*('CASE MASTER'!$V$2:$V$495&lt;=1)*('CASE MASTER'!$X$2:$X$495&gt;=1))*ROW('CASE MASTER'!$T$2:$T$495))-(ROW('CASE MASTER'!#REF!)-1))),":",","),",",REPT(" ",50)),((((5-INDEX('CASE MASTER'!$U$2:$U$495,(SUMPRODUCT((('CASE MASTER'!$T$2:$T$495=2)*('CASE MASTER'!$U$2:$U$495&lt;=5)*('CASE MASTER'!$W$2:$W$495&gt;=5)*('CASE MASTER'!$V$2:$V$495&lt;=1)*('CASE MASTER'!$X$2:$X$495&gt;=1))*ROW('CASE MASTER'!$T$2:$T$495))-(ROW('CASE MASTER'!#REF!)-1))))*(INDEX('CASE MASTER'!$X$2:$X$495,(SUMPRODUCT((('CASE MASTER'!$T$2:$T$495=2)*('CASE MASTER'!$U$2:$U$495&lt;=5)*('CASE MASTER'!$W$2:$W$495&gt;=5)*('CASE MASTER'!$V$2:$V$495&lt;=1)*('CASE MASTER'!$X$2:$X$495&gt;=1))*ROW('CASE MASTER'!$T$2:$T$495))-(ROW('CASE MASTER'!#REF!)-1)))-INDEX('CASE MASTER'!$V$2:$V$495,(SUMPRODUCT((('CASE MASTER'!$T$2:$T$495=2)*('CASE MASTER'!$U$2:$U$495&lt;=5)*('CASE MASTER'!$W$2:$W$495&gt;=5)*('CASE MASTER'!$V$2:$V$495&lt;=1)*('CASE MASTER'!$X$2:$X$495&gt;=1))*ROW('CASE MASTER'!$T$2:$T$495))-(ROW('CASE MASTER'!#REF!)-1)))+1)+(1-INDEX('CASE MASTER'!$V$2:$V$495,(SUMPRODUCT((('CASE MASTER'!$T$2:$T$495=2)*('CASE MASTER'!$U$2:$U$495&lt;=5)*('CASE MASTER'!$W$2:$W$495&gt;=5)*('CASE MASTER'!$V$2:$V$495&lt;=1)*('CASE MASTER'!$X$2:$X$495&gt;=1))*ROW('CASE MASTER'!$T$2:$T$495))-(ROW('CASE MASTER'!#REF!)-1))))+1))-1)*50+1,50))&amp;"_"&amp;INDEX('CASE MASTER'!$Q$2:$Q$495,(SUMPRODUCT((('CASE MASTER'!$T$2:$T$495=2)*('CASE MASTER'!$U$2:$U$495&lt;=5)*('CASE MASTER'!$W$2:$W$495&gt;=5)*('CASE MASTER'!$V$2:$V$495&lt;=1)*('CASE MASTER'!$X$2:$X$495&gt;=1))*ROW('CASE MASTER'!$T$2:$T$495))-(ROW('CASE MASTER'!#REF!)-1))),IF(SUMPRODUCT((('CASE MASTER'!$T$2:$T$495=2)*('CASE MASTER'!$AA$2:$AA$495&lt;=5)*('CASE MASTER'!$AC$2:$AC$495&gt;=5)*('CASE MASTER'!$AB$2:$AB$495&lt;=1)*('CASE MASTER'!$AD$2:$AD$495&gt;=1))*ROW('CASE MASTER'!$T$2:$T$495))&gt;0,INDEX('CASE MASTER'!$Y$2:$Y$495,(SUMPRODUCT((('CASE MASTER'!$T$2:$T$495=2)*('CASE MASTER'!$AA$2:$AA$495&lt;=5)*('CASE MASTER'!$AC$2:$AC$495&gt;=5)*('CASE MASTER'!$AB$2:$AB$495&lt;=1)*('CASE MASTER'!$AD$2:$AD$495&gt;=1))*ROW('CASE MASTER'!$T$2:$T$495))-(ROW('CASE MASTER'!#REF!)-1)))&amp;TRIM(MID(SUBSTITUTE(SUBSTITUTE(INDEX('CASE MASTER'!$N$2:$N$495,(SUMPRODUCT((('CASE MASTER'!$T$2:$T$495=2)*('CASE MASTER'!$AA$2:$AA$495&lt;=5)*('CASE MASTER'!$AC$2:$AC$495&gt;=5)*('CASE MASTER'!$AB$2:$AB$495&lt;=1)*('CASE MASTER'!$AD$2:$AD$495&gt;=1))*ROW('CASE MASTER'!$T$2:$T$495))-(ROW('CASE MASTER'!#REF!)-1))),":",","),",",REPT(" ",50)),(((INDEX('CASE MASTER'!$Z$2:$Z$495,(SUMPRODUCT((('CASE MASTER'!$T$2:$T$495=2)*('CASE MASTER'!$AA$2:$AA$495&lt;=5)*('CASE MASTER'!$AC$2:$AC$495&gt;=5)*('CASE MASTER'!$AB$2:$AB$495&lt;=1)*('CASE MASTER'!$AD$2:$AD$495&gt;=1))*ROW('CASE MASTER'!$T$2:$T$495))-(ROW('CASE MASTER'!#REF!)-1)))+((5-INDEX('CASE MASTER'!$AA$2:$AA$495,(SUMPRODUCT((('CASE MASTER'!$T$2:$T$495=2)*('CASE MASTER'!$AA$2:$AA$495&lt;=5)*('CASE MASTER'!$AC$2:$AC$495&gt;=5)*('CASE MASTER'!$AB$2:$AB$495&lt;=1)*('CASE MASTER'!$AD$2:$AD$495&gt;=1))*ROW('CASE MASTER'!$T$2:$T$495))-(ROW('CASE MASTER'!#REF!)-1))))*(INDEX('CASE MASTER'!$AD$2:$AD$495,(SUMPRODUCT((('CASE MASTER'!$T$2:$T$495=2)*('CASE MASTER'!$AA$2:$AA$495&lt;=5)*('CASE MASTER'!$AC$2:$AC$495&gt;=5)*('CASE MASTER'!$AB$2:$AB$495&lt;=1)*('CASE MASTER'!$AD$2:$AD$495&gt;=1))*ROW('CASE MASTER'!$T$2:$T$495))-(ROW('CASE MASTER'!#REF!)-1)))-INDEX('CASE MASTER'!$AB$2:$AB$495,(SUMPRODUCT((('CASE MASTER'!$T$2:$T$495=2)*('CASE MASTER'!$AA$2:$AA$495&lt;=5)*('CASE MASTER'!$AC$2:$AC$495&gt;=5)*('CASE MASTER'!$AB$2:$AB$495&lt;=1)*('CASE MASTER'!$AD$2:$AD$495&gt;=1))*ROW('CASE MASTER'!$T$2:$T$495))-(ROW('CASE MASTER'!#REF!)-1)))+1)+(1-INDEX('CASE MASTER'!$AB$2:$AB$495,(SUMPRODUCT((('CASE MASTER'!$T$2:$T$495=2)*('CASE MASTER'!$AA$2:$AA$495&lt;=5)*('CASE MASTER'!$AC$2:$AC$495&gt;=5)*('CASE MASTER'!$AB$2:$AB$495&lt;=1)*('CASE MASTER'!$AD$2:$AD$495&gt;=1))*ROW('CASE MASTER'!$T$2:$T$495))-(ROW('CASE MASTER'!#REF!)-1))))+1)))-1)*50+1,50))&amp;"_"&amp;INDEX('CASE MASTER'!$Q$2:$Q$495,(SUMPRODUCT((('CASE MASTER'!$T$2:$T$495=2)*('CASE MASTER'!$AA$2:$AA$495&lt;=5)*('CASE MASTER'!$AC$2:$AC$495&gt;=5)*('CASE MASTER'!$AB$2:$AB$495&lt;=1)*('CASE MASTER'!$AD$2:$AD$495&gt;=1))*ROW('CASE MASTER'!$T$2:$T$495))-(ROW('CASE MASTER'!#REF!)-1))),"")),"")</f>
        <v/>
      </c>
      <c r="C21" s="10" t="str">
        <f>IFERROR(IF(SUMPRODUCT((('CASE MASTER'!$T$2:$T$495=2)*('CASE MASTER'!$U$2:$U$495&lt;=5)*('CASE MASTER'!$W$2:$W$495&gt;=5)*('CASE MASTER'!$V$2:$V$495&lt;=2)*('CASE MASTER'!$X$2:$X$495&gt;=2))*ROW('CASE MASTER'!$T$2:$T$495))&gt;0,INDEX('CASE MASTER'!$Y$2:$Y$495,(SUMPRODUCT((('CASE MASTER'!$T$2:$T$495=2)*('CASE MASTER'!$U$2:$U$495&lt;=5)*('CASE MASTER'!$W$2:$W$495&gt;=5)*('CASE MASTER'!$V$2:$V$495&lt;=2)*('CASE MASTER'!$X$2:$X$495&gt;=2))*ROW('CASE MASTER'!$T$2:$T$495))-(ROW('CASE MASTER'!#REF!)-1)))&amp;TRIM(MID(SUBSTITUTE(SUBSTITUTE(INDEX('CASE MASTER'!$N$2:$N$495,(SUMPRODUCT((('CASE MASTER'!$T$2:$T$495=2)*('CASE MASTER'!$U$2:$U$495&lt;=5)*('CASE MASTER'!$W$2:$W$495&gt;=5)*('CASE MASTER'!$V$2:$V$495&lt;=2)*('CASE MASTER'!$X$2:$X$495&gt;=2))*ROW('CASE MASTER'!$T$2:$T$495))-(ROW('CASE MASTER'!#REF!)-1))),":",","),",",REPT(" ",50)),((((5-INDEX('CASE MASTER'!$U$2:$U$495,(SUMPRODUCT((('CASE MASTER'!$T$2:$T$495=2)*('CASE MASTER'!$U$2:$U$495&lt;=5)*('CASE MASTER'!$W$2:$W$495&gt;=5)*('CASE MASTER'!$V$2:$V$495&lt;=2)*('CASE MASTER'!$X$2:$X$495&gt;=2))*ROW('CASE MASTER'!$T$2:$T$495))-(ROW('CASE MASTER'!#REF!)-1))))*(INDEX('CASE MASTER'!$X$2:$X$495,(SUMPRODUCT((('CASE MASTER'!$T$2:$T$495=2)*('CASE MASTER'!$U$2:$U$495&lt;=5)*('CASE MASTER'!$W$2:$W$495&gt;=5)*('CASE MASTER'!$V$2:$V$495&lt;=2)*('CASE MASTER'!$X$2:$X$495&gt;=2))*ROW('CASE MASTER'!$T$2:$T$495))-(ROW('CASE MASTER'!#REF!)-1)))-INDEX('CASE MASTER'!$V$2:$V$495,(SUMPRODUCT((('CASE MASTER'!$T$2:$T$495=2)*('CASE MASTER'!$U$2:$U$495&lt;=5)*('CASE MASTER'!$W$2:$W$495&gt;=5)*('CASE MASTER'!$V$2:$V$495&lt;=2)*('CASE MASTER'!$X$2:$X$495&gt;=2))*ROW('CASE MASTER'!$T$2:$T$495))-(ROW('CASE MASTER'!#REF!)-1)))+1)+(2-INDEX('CASE MASTER'!$V$2:$V$495,(SUMPRODUCT((('CASE MASTER'!$T$2:$T$495=2)*('CASE MASTER'!$U$2:$U$495&lt;=5)*('CASE MASTER'!$W$2:$W$495&gt;=5)*('CASE MASTER'!$V$2:$V$495&lt;=2)*('CASE MASTER'!$X$2:$X$495&gt;=2))*ROW('CASE MASTER'!$T$2:$T$495))-(ROW('CASE MASTER'!#REF!)-1))))+1))-1)*50+1,50))&amp;"_"&amp;INDEX('CASE MASTER'!$Q$2:$Q$495,(SUMPRODUCT((('CASE MASTER'!$T$2:$T$495=2)*('CASE MASTER'!$U$2:$U$495&lt;=5)*('CASE MASTER'!$W$2:$W$495&gt;=5)*('CASE MASTER'!$V$2:$V$495&lt;=2)*('CASE MASTER'!$X$2:$X$495&gt;=2))*ROW('CASE MASTER'!$T$2:$T$495))-(ROW('CASE MASTER'!#REF!)-1))),IF(SUMPRODUCT((('CASE MASTER'!$T$2:$T$495=2)*('CASE MASTER'!$AA$2:$AA$495&lt;=5)*('CASE MASTER'!$AC$2:$AC$495&gt;=5)*('CASE MASTER'!$AB$2:$AB$495&lt;=2)*('CASE MASTER'!$AD$2:$AD$495&gt;=2))*ROW('CASE MASTER'!$T$2:$T$495))&gt;0,INDEX('CASE MASTER'!$Y$2:$Y$495,(SUMPRODUCT((('CASE MASTER'!$T$2:$T$495=2)*('CASE MASTER'!$AA$2:$AA$495&lt;=5)*('CASE MASTER'!$AC$2:$AC$495&gt;=5)*('CASE MASTER'!$AB$2:$AB$495&lt;=2)*('CASE MASTER'!$AD$2:$AD$495&gt;=2))*ROW('CASE MASTER'!$T$2:$T$495))-(ROW('CASE MASTER'!#REF!)-1)))&amp;TRIM(MID(SUBSTITUTE(SUBSTITUTE(INDEX('CASE MASTER'!$N$2:$N$495,(SUMPRODUCT((('CASE MASTER'!$T$2:$T$495=2)*('CASE MASTER'!$AA$2:$AA$495&lt;=5)*('CASE MASTER'!$AC$2:$AC$495&gt;=5)*('CASE MASTER'!$AB$2:$AB$495&lt;=2)*('CASE MASTER'!$AD$2:$AD$495&gt;=2))*ROW('CASE MASTER'!$T$2:$T$495))-(ROW('CASE MASTER'!#REF!)-1))),":",","),",",REPT(" ",50)),(((INDEX('CASE MASTER'!$Z$2:$Z$495,(SUMPRODUCT((('CASE MASTER'!$T$2:$T$495=2)*('CASE MASTER'!$AA$2:$AA$495&lt;=5)*('CASE MASTER'!$AC$2:$AC$495&gt;=5)*('CASE MASTER'!$AB$2:$AB$495&lt;=2)*('CASE MASTER'!$AD$2:$AD$495&gt;=2))*ROW('CASE MASTER'!$T$2:$T$495))-(ROW('CASE MASTER'!#REF!)-1)))+((5-INDEX('CASE MASTER'!$AA$2:$AA$495,(SUMPRODUCT((('CASE MASTER'!$T$2:$T$495=2)*('CASE MASTER'!$AA$2:$AA$495&lt;=5)*('CASE MASTER'!$AC$2:$AC$495&gt;=5)*('CASE MASTER'!$AB$2:$AB$495&lt;=2)*('CASE MASTER'!$AD$2:$AD$495&gt;=2))*ROW('CASE MASTER'!$T$2:$T$495))-(ROW('CASE MASTER'!#REF!)-1))))*(INDEX('CASE MASTER'!$AD$2:$AD$495,(SUMPRODUCT((('CASE MASTER'!$T$2:$T$495=2)*('CASE MASTER'!$AA$2:$AA$495&lt;=5)*('CASE MASTER'!$AC$2:$AC$495&gt;=5)*('CASE MASTER'!$AB$2:$AB$495&lt;=2)*('CASE MASTER'!$AD$2:$AD$495&gt;=2))*ROW('CASE MASTER'!$T$2:$T$495))-(ROW('CASE MASTER'!#REF!)-1)))-INDEX('CASE MASTER'!$AB$2:$AB$495,(SUMPRODUCT((('CASE MASTER'!$T$2:$T$495=2)*('CASE MASTER'!$AA$2:$AA$495&lt;=5)*('CASE MASTER'!$AC$2:$AC$495&gt;=5)*('CASE MASTER'!$AB$2:$AB$495&lt;=2)*('CASE MASTER'!$AD$2:$AD$495&gt;=2))*ROW('CASE MASTER'!$T$2:$T$495))-(ROW('CASE MASTER'!#REF!)-1)))+1)+(2-INDEX('CASE MASTER'!$AB$2:$AB$495,(SUMPRODUCT((('CASE MASTER'!$T$2:$T$495=2)*('CASE MASTER'!$AA$2:$AA$495&lt;=5)*('CASE MASTER'!$AC$2:$AC$495&gt;=5)*('CASE MASTER'!$AB$2:$AB$495&lt;=2)*('CASE MASTER'!$AD$2:$AD$495&gt;=2))*ROW('CASE MASTER'!$T$2:$T$495))-(ROW('CASE MASTER'!#REF!)-1))))+1)))-1)*50+1,50))&amp;"_"&amp;INDEX('CASE MASTER'!$Q$2:$Q$495,(SUMPRODUCT((('CASE MASTER'!$T$2:$T$495=2)*('CASE MASTER'!$AA$2:$AA$495&lt;=5)*('CASE MASTER'!$AC$2:$AC$495&gt;=5)*('CASE MASTER'!$AB$2:$AB$495&lt;=2)*('CASE MASTER'!$AD$2:$AD$495&gt;=2))*ROW('CASE MASTER'!$T$2:$T$495))-(ROW('CASE MASTER'!#REF!)-1))),"")),"")</f>
        <v/>
      </c>
      <c r="D21" s="10" t="str">
        <f>IFERROR(IF(SUMPRODUCT((('CASE MASTER'!$T$2:$T$495=2)*('CASE MASTER'!$U$2:$U$495&lt;=5)*('CASE MASTER'!$W$2:$W$495&gt;=5)*('CASE MASTER'!$V$2:$V$495&lt;=3)*('CASE MASTER'!$X$2:$X$495&gt;=3))*ROW('CASE MASTER'!$T$2:$T$495))&gt;0,INDEX('CASE MASTER'!$Y$2:$Y$495,(SUMPRODUCT((('CASE MASTER'!$T$2:$T$495=2)*('CASE MASTER'!$U$2:$U$495&lt;=5)*('CASE MASTER'!$W$2:$W$495&gt;=5)*('CASE MASTER'!$V$2:$V$495&lt;=3)*('CASE MASTER'!$X$2:$X$495&gt;=3))*ROW('CASE MASTER'!$T$2:$T$495))-(ROW('CASE MASTER'!#REF!)-1)))&amp;TRIM(MID(SUBSTITUTE(SUBSTITUTE(INDEX('CASE MASTER'!$N$2:$N$495,(SUMPRODUCT((('CASE MASTER'!$T$2:$T$495=2)*('CASE MASTER'!$U$2:$U$495&lt;=5)*('CASE MASTER'!$W$2:$W$495&gt;=5)*('CASE MASTER'!$V$2:$V$495&lt;=3)*('CASE MASTER'!$X$2:$X$495&gt;=3))*ROW('CASE MASTER'!$T$2:$T$495))-(ROW('CASE MASTER'!#REF!)-1))),":",","),",",REPT(" ",50)),((((5-INDEX('CASE MASTER'!$U$2:$U$495,(SUMPRODUCT((('CASE MASTER'!$T$2:$T$495=2)*('CASE MASTER'!$U$2:$U$495&lt;=5)*('CASE MASTER'!$W$2:$W$495&gt;=5)*('CASE MASTER'!$V$2:$V$495&lt;=3)*('CASE MASTER'!$X$2:$X$495&gt;=3))*ROW('CASE MASTER'!$T$2:$T$495))-(ROW('CASE MASTER'!#REF!)-1))))*(INDEX('CASE MASTER'!$X$2:$X$495,(SUMPRODUCT((('CASE MASTER'!$T$2:$T$495=2)*('CASE MASTER'!$U$2:$U$495&lt;=5)*('CASE MASTER'!$W$2:$W$495&gt;=5)*('CASE MASTER'!$V$2:$V$495&lt;=3)*('CASE MASTER'!$X$2:$X$495&gt;=3))*ROW('CASE MASTER'!$T$2:$T$495))-(ROW('CASE MASTER'!#REF!)-1)))-INDEX('CASE MASTER'!$V$2:$V$495,(SUMPRODUCT((('CASE MASTER'!$T$2:$T$495=2)*('CASE MASTER'!$U$2:$U$495&lt;=5)*('CASE MASTER'!$W$2:$W$495&gt;=5)*('CASE MASTER'!$V$2:$V$495&lt;=3)*('CASE MASTER'!$X$2:$X$495&gt;=3))*ROW('CASE MASTER'!$T$2:$T$495))-(ROW('CASE MASTER'!#REF!)-1)))+1)+(3-INDEX('CASE MASTER'!$V$2:$V$495,(SUMPRODUCT((('CASE MASTER'!$T$2:$T$495=2)*('CASE MASTER'!$U$2:$U$495&lt;=5)*('CASE MASTER'!$W$2:$W$495&gt;=5)*('CASE MASTER'!$V$2:$V$495&lt;=3)*('CASE MASTER'!$X$2:$X$495&gt;=3))*ROW('CASE MASTER'!$T$2:$T$495))-(ROW('CASE MASTER'!#REF!)-1))))+1))-1)*50+1,50))&amp;"_"&amp;INDEX('CASE MASTER'!$Q$2:$Q$495,(SUMPRODUCT((('CASE MASTER'!$T$2:$T$495=2)*('CASE MASTER'!$U$2:$U$495&lt;=5)*('CASE MASTER'!$W$2:$W$495&gt;=5)*('CASE MASTER'!$V$2:$V$495&lt;=3)*('CASE MASTER'!$X$2:$X$495&gt;=3))*ROW('CASE MASTER'!$T$2:$T$495))-(ROW('CASE MASTER'!#REF!)-1))),IF(SUMPRODUCT((('CASE MASTER'!$T$2:$T$495=2)*('CASE MASTER'!$AA$2:$AA$495&lt;=5)*('CASE MASTER'!$AC$2:$AC$495&gt;=5)*('CASE MASTER'!$AB$2:$AB$495&lt;=3)*('CASE MASTER'!$AD$2:$AD$495&gt;=3))*ROW('CASE MASTER'!$T$2:$T$495))&gt;0,INDEX('CASE MASTER'!$Y$2:$Y$495,(SUMPRODUCT((('CASE MASTER'!$T$2:$T$495=2)*('CASE MASTER'!$AA$2:$AA$495&lt;=5)*('CASE MASTER'!$AC$2:$AC$495&gt;=5)*('CASE MASTER'!$AB$2:$AB$495&lt;=3)*('CASE MASTER'!$AD$2:$AD$495&gt;=3))*ROW('CASE MASTER'!$T$2:$T$495))-(ROW('CASE MASTER'!#REF!)-1)))&amp;TRIM(MID(SUBSTITUTE(SUBSTITUTE(INDEX('CASE MASTER'!$N$2:$N$495,(SUMPRODUCT((('CASE MASTER'!$T$2:$T$495=2)*('CASE MASTER'!$AA$2:$AA$495&lt;=5)*('CASE MASTER'!$AC$2:$AC$495&gt;=5)*('CASE MASTER'!$AB$2:$AB$495&lt;=3)*('CASE MASTER'!$AD$2:$AD$495&gt;=3))*ROW('CASE MASTER'!$T$2:$T$495))-(ROW('CASE MASTER'!#REF!)-1))),":",","),",",REPT(" ",50)),(((INDEX('CASE MASTER'!$Z$2:$Z$495,(SUMPRODUCT((('CASE MASTER'!$T$2:$T$495=2)*('CASE MASTER'!$AA$2:$AA$495&lt;=5)*('CASE MASTER'!$AC$2:$AC$495&gt;=5)*('CASE MASTER'!$AB$2:$AB$495&lt;=3)*('CASE MASTER'!$AD$2:$AD$495&gt;=3))*ROW('CASE MASTER'!$T$2:$T$495))-(ROW('CASE MASTER'!#REF!)-1)))+((5-INDEX('CASE MASTER'!$AA$2:$AA$495,(SUMPRODUCT((('CASE MASTER'!$T$2:$T$495=2)*('CASE MASTER'!$AA$2:$AA$495&lt;=5)*('CASE MASTER'!$AC$2:$AC$495&gt;=5)*('CASE MASTER'!$AB$2:$AB$495&lt;=3)*('CASE MASTER'!$AD$2:$AD$495&gt;=3))*ROW('CASE MASTER'!$T$2:$T$495))-(ROW('CASE MASTER'!#REF!)-1))))*(INDEX('CASE MASTER'!$AD$2:$AD$495,(SUMPRODUCT((('CASE MASTER'!$T$2:$T$495=2)*('CASE MASTER'!$AA$2:$AA$495&lt;=5)*('CASE MASTER'!$AC$2:$AC$495&gt;=5)*('CASE MASTER'!$AB$2:$AB$495&lt;=3)*('CASE MASTER'!$AD$2:$AD$495&gt;=3))*ROW('CASE MASTER'!$T$2:$T$495))-(ROW('CASE MASTER'!#REF!)-1)))-INDEX('CASE MASTER'!$AB$2:$AB$495,(SUMPRODUCT((('CASE MASTER'!$T$2:$T$495=2)*('CASE MASTER'!$AA$2:$AA$495&lt;=5)*('CASE MASTER'!$AC$2:$AC$495&gt;=5)*('CASE MASTER'!$AB$2:$AB$495&lt;=3)*('CASE MASTER'!$AD$2:$AD$495&gt;=3))*ROW('CASE MASTER'!$T$2:$T$495))-(ROW('CASE MASTER'!#REF!)-1)))+1)+(3-INDEX('CASE MASTER'!$AB$2:$AB$495,(SUMPRODUCT((('CASE MASTER'!$T$2:$T$495=2)*('CASE MASTER'!$AA$2:$AA$495&lt;=5)*('CASE MASTER'!$AC$2:$AC$495&gt;=5)*('CASE MASTER'!$AB$2:$AB$495&lt;=3)*('CASE MASTER'!$AD$2:$AD$495&gt;=3))*ROW('CASE MASTER'!$T$2:$T$495))-(ROW('CASE MASTER'!#REF!)-1))))+1)))-1)*50+1,50))&amp;"_"&amp;INDEX('CASE MASTER'!$Q$2:$Q$495,(SUMPRODUCT((('CASE MASTER'!$T$2:$T$495=2)*('CASE MASTER'!$AA$2:$AA$495&lt;=5)*('CASE MASTER'!$AC$2:$AC$495&gt;=5)*('CASE MASTER'!$AB$2:$AB$495&lt;=3)*('CASE MASTER'!$AD$2:$AD$495&gt;=3))*ROW('CASE MASTER'!$T$2:$T$495))-(ROW('CASE MASTER'!#REF!)-1))),"")),"")</f>
        <v/>
      </c>
      <c r="E21" s="10" t="str">
        <f>IFERROR(IF(SUMPRODUCT((('CASE MASTER'!$T$2:$T$495=2)*('CASE MASTER'!$U$2:$U$495&lt;=5)*('CASE MASTER'!$W$2:$W$495&gt;=5)*('CASE MASTER'!$V$2:$V$495&lt;=4)*('CASE MASTER'!$X$2:$X$495&gt;=4))*ROW('CASE MASTER'!$T$2:$T$495))&gt;0,INDEX('CASE MASTER'!$Y$2:$Y$495,(SUMPRODUCT((('CASE MASTER'!$T$2:$T$495=2)*('CASE MASTER'!$U$2:$U$495&lt;=5)*('CASE MASTER'!$W$2:$W$495&gt;=5)*('CASE MASTER'!$V$2:$V$495&lt;=4)*('CASE MASTER'!$X$2:$X$495&gt;=4))*ROW('CASE MASTER'!$T$2:$T$495))-(ROW('CASE MASTER'!#REF!)-1)))&amp;TRIM(MID(SUBSTITUTE(SUBSTITUTE(INDEX('CASE MASTER'!$N$2:$N$495,(SUMPRODUCT((('CASE MASTER'!$T$2:$T$495=2)*('CASE MASTER'!$U$2:$U$495&lt;=5)*('CASE MASTER'!$W$2:$W$495&gt;=5)*('CASE MASTER'!$V$2:$V$495&lt;=4)*('CASE MASTER'!$X$2:$X$495&gt;=4))*ROW('CASE MASTER'!$T$2:$T$495))-(ROW('CASE MASTER'!#REF!)-1))),":",","),",",REPT(" ",50)),((((5-INDEX('CASE MASTER'!$U$2:$U$495,(SUMPRODUCT((('CASE MASTER'!$T$2:$T$495=2)*('CASE MASTER'!$U$2:$U$495&lt;=5)*('CASE MASTER'!$W$2:$W$495&gt;=5)*('CASE MASTER'!$V$2:$V$495&lt;=4)*('CASE MASTER'!$X$2:$X$495&gt;=4))*ROW('CASE MASTER'!$T$2:$T$495))-(ROW('CASE MASTER'!#REF!)-1))))*(INDEX('CASE MASTER'!$X$2:$X$495,(SUMPRODUCT((('CASE MASTER'!$T$2:$T$495=2)*('CASE MASTER'!$U$2:$U$495&lt;=5)*('CASE MASTER'!$W$2:$W$495&gt;=5)*('CASE MASTER'!$V$2:$V$495&lt;=4)*('CASE MASTER'!$X$2:$X$495&gt;=4))*ROW('CASE MASTER'!$T$2:$T$495))-(ROW('CASE MASTER'!#REF!)-1)))-INDEX('CASE MASTER'!$V$2:$V$495,(SUMPRODUCT((('CASE MASTER'!$T$2:$T$495=2)*('CASE MASTER'!$U$2:$U$495&lt;=5)*('CASE MASTER'!$W$2:$W$495&gt;=5)*('CASE MASTER'!$V$2:$V$495&lt;=4)*('CASE MASTER'!$X$2:$X$495&gt;=4))*ROW('CASE MASTER'!$T$2:$T$495))-(ROW('CASE MASTER'!#REF!)-1)))+1)+(4-INDEX('CASE MASTER'!$V$2:$V$495,(SUMPRODUCT((('CASE MASTER'!$T$2:$T$495=2)*('CASE MASTER'!$U$2:$U$495&lt;=5)*('CASE MASTER'!$W$2:$W$495&gt;=5)*('CASE MASTER'!$V$2:$V$495&lt;=4)*('CASE MASTER'!$X$2:$X$495&gt;=4))*ROW('CASE MASTER'!$T$2:$T$495))-(ROW('CASE MASTER'!#REF!)-1))))+1))-1)*50+1,50))&amp;"_"&amp;INDEX('CASE MASTER'!$Q$2:$Q$495,(SUMPRODUCT((('CASE MASTER'!$T$2:$T$495=2)*('CASE MASTER'!$U$2:$U$495&lt;=5)*('CASE MASTER'!$W$2:$W$495&gt;=5)*('CASE MASTER'!$V$2:$V$495&lt;=4)*('CASE MASTER'!$X$2:$X$495&gt;=4))*ROW('CASE MASTER'!$T$2:$T$495))-(ROW('CASE MASTER'!#REF!)-1))),IF(SUMPRODUCT((('CASE MASTER'!$T$2:$T$495=2)*('CASE MASTER'!$AA$2:$AA$495&lt;=5)*('CASE MASTER'!$AC$2:$AC$495&gt;=5)*('CASE MASTER'!$AB$2:$AB$495&lt;=4)*('CASE MASTER'!$AD$2:$AD$495&gt;=4))*ROW('CASE MASTER'!$T$2:$T$495))&gt;0,INDEX('CASE MASTER'!$Y$2:$Y$495,(SUMPRODUCT((('CASE MASTER'!$T$2:$T$495=2)*('CASE MASTER'!$AA$2:$AA$495&lt;=5)*('CASE MASTER'!$AC$2:$AC$495&gt;=5)*('CASE MASTER'!$AB$2:$AB$495&lt;=4)*('CASE MASTER'!$AD$2:$AD$495&gt;=4))*ROW('CASE MASTER'!$T$2:$T$495))-(ROW('CASE MASTER'!#REF!)-1)))&amp;TRIM(MID(SUBSTITUTE(SUBSTITUTE(INDEX('CASE MASTER'!$N$2:$N$495,(SUMPRODUCT((('CASE MASTER'!$T$2:$T$495=2)*('CASE MASTER'!$AA$2:$AA$495&lt;=5)*('CASE MASTER'!$AC$2:$AC$495&gt;=5)*('CASE MASTER'!$AB$2:$AB$495&lt;=4)*('CASE MASTER'!$AD$2:$AD$495&gt;=4))*ROW('CASE MASTER'!$T$2:$T$495))-(ROW('CASE MASTER'!#REF!)-1))),":",","),",",REPT(" ",50)),(((INDEX('CASE MASTER'!$Z$2:$Z$495,(SUMPRODUCT((('CASE MASTER'!$T$2:$T$495=2)*('CASE MASTER'!$AA$2:$AA$495&lt;=5)*('CASE MASTER'!$AC$2:$AC$495&gt;=5)*('CASE MASTER'!$AB$2:$AB$495&lt;=4)*('CASE MASTER'!$AD$2:$AD$495&gt;=4))*ROW('CASE MASTER'!$T$2:$T$495))-(ROW('CASE MASTER'!#REF!)-1)))+((5-INDEX('CASE MASTER'!$AA$2:$AA$495,(SUMPRODUCT((('CASE MASTER'!$T$2:$T$495=2)*('CASE MASTER'!$AA$2:$AA$495&lt;=5)*('CASE MASTER'!$AC$2:$AC$495&gt;=5)*('CASE MASTER'!$AB$2:$AB$495&lt;=4)*('CASE MASTER'!$AD$2:$AD$495&gt;=4))*ROW('CASE MASTER'!$T$2:$T$495))-(ROW('CASE MASTER'!#REF!)-1))))*(INDEX('CASE MASTER'!$AD$2:$AD$495,(SUMPRODUCT((('CASE MASTER'!$T$2:$T$495=2)*('CASE MASTER'!$AA$2:$AA$495&lt;=5)*('CASE MASTER'!$AC$2:$AC$495&gt;=5)*('CASE MASTER'!$AB$2:$AB$495&lt;=4)*('CASE MASTER'!$AD$2:$AD$495&gt;=4))*ROW('CASE MASTER'!$T$2:$T$495))-(ROW('CASE MASTER'!#REF!)-1)))-INDEX('CASE MASTER'!$AB$2:$AB$495,(SUMPRODUCT((('CASE MASTER'!$T$2:$T$495=2)*('CASE MASTER'!$AA$2:$AA$495&lt;=5)*('CASE MASTER'!$AC$2:$AC$495&gt;=5)*('CASE MASTER'!$AB$2:$AB$495&lt;=4)*('CASE MASTER'!$AD$2:$AD$495&gt;=4))*ROW('CASE MASTER'!$T$2:$T$495))-(ROW('CASE MASTER'!#REF!)-1)))+1)+(4-INDEX('CASE MASTER'!$AB$2:$AB$495,(SUMPRODUCT((('CASE MASTER'!$T$2:$T$495=2)*('CASE MASTER'!$AA$2:$AA$495&lt;=5)*('CASE MASTER'!$AC$2:$AC$495&gt;=5)*('CASE MASTER'!$AB$2:$AB$495&lt;=4)*('CASE MASTER'!$AD$2:$AD$495&gt;=4))*ROW('CASE MASTER'!$T$2:$T$495))-(ROW('CASE MASTER'!#REF!)-1))))+1)))-1)*50+1,50))&amp;"_"&amp;INDEX('CASE MASTER'!$Q$2:$Q$495,(SUMPRODUCT((('CASE MASTER'!$T$2:$T$495=2)*('CASE MASTER'!$AA$2:$AA$495&lt;=5)*('CASE MASTER'!$AC$2:$AC$495&gt;=5)*('CASE MASTER'!$AB$2:$AB$495&lt;=4)*('CASE MASTER'!$AD$2:$AD$495&gt;=4))*ROW('CASE MASTER'!$T$2:$T$495))-(ROW('CASE MASTER'!#REF!)-1))),"")),"")</f>
        <v/>
      </c>
      <c r="F21" s="10" t="str">
        <f>IFERROR(IF(SUMPRODUCT((('CASE MASTER'!$T$2:$T$495=2)*('CASE MASTER'!$U$2:$U$495&lt;=5)*('CASE MASTER'!$W$2:$W$495&gt;=5)*('CASE MASTER'!$V$2:$V$495&lt;=5)*('CASE MASTER'!$X$2:$X$495&gt;=5))*ROW('CASE MASTER'!$T$2:$T$495))&gt;0,INDEX('CASE MASTER'!$Y$2:$Y$495,(SUMPRODUCT((('CASE MASTER'!$T$2:$T$495=2)*('CASE MASTER'!$U$2:$U$495&lt;=5)*('CASE MASTER'!$W$2:$W$495&gt;=5)*('CASE MASTER'!$V$2:$V$495&lt;=5)*('CASE MASTER'!$X$2:$X$495&gt;=5))*ROW('CASE MASTER'!$T$2:$T$495))-(ROW('CASE MASTER'!#REF!)-1)))&amp;TRIM(MID(SUBSTITUTE(SUBSTITUTE(INDEX('CASE MASTER'!$N$2:$N$495,(SUMPRODUCT((('CASE MASTER'!$T$2:$T$495=2)*('CASE MASTER'!$U$2:$U$495&lt;=5)*('CASE MASTER'!$W$2:$W$495&gt;=5)*('CASE MASTER'!$V$2:$V$495&lt;=5)*('CASE MASTER'!$X$2:$X$495&gt;=5))*ROW('CASE MASTER'!$T$2:$T$495))-(ROW('CASE MASTER'!#REF!)-1))),":",","),",",REPT(" ",50)),((((5-INDEX('CASE MASTER'!$U$2:$U$495,(SUMPRODUCT((('CASE MASTER'!$T$2:$T$495=2)*('CASE MASTER'!$U$2:$U$495&lt;=5)*('CASE MASTER'!$W$2:$W$495&gt;=5)*('CASE MASTER'!$V$2:$V$495&lt;=5)*('CASE MASTER'!$X$2:$X$495&gt;=5))*ROW('CASE MASTER'!$T$2:$T$495))-(ROW('CASE MASTER'!#REF!)-1))))*(INDEX('CASE MASTER'!$X$2:$X$495,(SUMPRODUCT((('CASE MASTER'!$T$2:$T$495=2)*('CASE MASTER'!$U$2:$U$495&lt;=5)*('CASE MASTER'!$W$2:$W$495&gt;=5)*('CASE MASTER'!$V$2:$V$495&lt;=5)*('CASE MASTER'!$X$2:$X$495&gt;=5))*ROW('CASE MASTER'!$T$2:$T$495))-(ROW('CASE MASTER'!#REF!)-1)))-INDEX('CASE MASTER'!$V$2:$V$495,(SUMPRODUCT((('CASE MASTER'!$T$2:$T$495=2)*('CASE MASTER'!$U$2:$U$495&lt;=5)*('CASE MASTER'!$W$2:$W$495&gt;=5)*('CASE MASTER'!$V$2:$V$495&lt;=5)*('CASE MASTER'!$X$2:$X$495&gt;=5))*ROW('CASE MASTER'!$T$2:$T$495))-(ROW('CASE MASTER'!#REF!)-1)))+1)+(5-INDEX('CASE MASTER'!$V$2:$V$495,(SUMPRODUCT((('CASE MASTER'!$T$2:$T$495=2)*('CASE MASTER'!$U$2:$U$495&lt;=5)*('CASE MASTER'!$W$2:$W$495&gt;=5)*('CASE MASTER'!$V$2:$V$495&lt;=5)*('CASE MASTER'!$X$2:$X$495&gt;=5))*ROW('CASE MASTER'!$T$2:$T$495))-(ROW('CASE MASTER'!#REF!)-1))))+1))-1)*50+1,50))&amp;"_"&amp;INDEX('CASE MASTER'!$Q$2:$Q$495,(SUMPRODUCT((('CASE MASTER'!$T$2:$T$495=2)*('CASE MASTER'!$U$2:$U$495&lt;=5)*('CASE MASTER'!$W$2:$W$495&gt;=5)*('CASE MASTER'!$V$2:$V$495&lt;=5)*('CASE MASTER'!$X$2:$X$495&gt;=5))*ROW('CASE MASTER'!$T$2:$T$495))-(ROW('CASE MASTER'!#REF!)-1))),IF(SUMPRODUCT((('CASE MASTER'!$T$2:$T$495=2)*('CASE MASTER'!$AA$2:$AA$495&lt;=5)*('CASE MASTER'!$AC$2:$AC$495&gt;=5)*('CASE MASTER'!$AB$2:$AB$495&lt;=5)*('CASE MASTER'!$AD$2:$AD$495&gt;=5))*ROW('CASE MASTER'!$T$2:$T$495))&gt;0,INDEX('CASE MASTER'!$Y$2:$Y$495,(SUMPRODUCT((('CASE MASTER'!$T$2:$T$495=2)*('CASE MASTER'!$AA$2:$AA$495&lt;=5)*('CASE MASTER'!$AC$2:$AC$495&gt;=5)*('CASE MASTER'!$AB$2:$AB$495&lt;=5)*('CASE MASTER'!$AD$2:$AD$495&gt;=5))*ROW('CASE MASTER'!$T$2:$T$495))-(ROW('CASE MASTER'!#REF!)-1)))&amp;TRIM(MID(SUBSTITUTE(SUBSTITUTE(INDEX('CASE MASTER'!$N$2:$N$495,(SUMPRODUCT((('CASE MASTER'!$T$2:$T$495=2)*('CASE MASTER'!$AA$2:$AA$495&lt;=5)*('CASE MASTER'!$AC$2:$AC$495&gt;=5)*('CASE MASTER'!$AB$2:$AB$495&lt;=5)*('CASE MASTER'!$AD$2:$AD$495&gt;=5))*ROW('CASE MASTER'!$T$2:$T$495))-(ROW('CASE MASTER'!#REF!)-1))),":",","),",",REPT(" ",50)),(((INDEX('CASE MASTER'!$Z$2:$Z$495,(SUMPRODUCT((('CASE MASTER'!$T$2:$T$495=2)*('CASE MASTER'!$AA$2:$AA$495&lt;=5)*('CASE MASTER'!$AC$2:$AC$495&gt;=5)*('CASE MASTER'!$AB$2:$AB$495&lt;=5)*('CASE MASTER'!$AD$2:$AD$495&gt;=5))*ROW('CASE MASTER'!$T$2:$T$495))-(ROW('CASE MASTER'!#REF!)-1)))+((5-INDEX('CASE MASTER'!$AA$2:$AA$495,(SUMPRODUCT((('CASE MASTER'!$T$2:$T$495=2)*('CASE MASTER'!$AA$2:$AA$495&lt;=5)*('CASE MASTER'!$AC$2:$AC$495&gt;=5)*('CASE MASTER'!$AB$2:$AB$495&lt;=5)*('CASE MASTER'!$AD$2:$AD$495&gt;=5))*ROW('CASE MASTER'!$T$2:$T$495))-(ROW('CASE MASTER'!#REF!)-1))))*(INDEX('CASE MASTER'!$AD$2:$AD$495,(SUMPRODUCT((('CASE MASTER'!$T$2:$T$495=2)*('CASE MASTER'!$AA$2:$AA$495&lt;=5)*('CASE MASTER'!$AC$2:$AC$495&gt;=5)*('CASE MASTER'!$AB$2:$AB$495&lt;=5)*('CASE MASTER'!$AD$2:$AD$495&gt;=5))*ROW('CASE MASTER'!$T$2:$T$495))-(ROW('CASE MASTER'!#REF!)-1)))-INDEX('CASE MASTER'!$AB$2:$AB$495,(SUMPRODUCT((('CASE MASTER'!$T$2:$T$495=2)*('CASE MASTER'!$AA$2:$AA$495&lt;=5)*('CASE MASTER'!$AC$2:$AC$495&gt;=5)*('CASE MASTER'!$AB$2:$AB$495&lt;=5)*('CASE MASTER'!$AD$2:$AD$495&gt;=5))*ROW('CASE MASTER'!$T$2:$T$495))-(ROW('CASE MASTER'!#REF!)-1)))+1)+(5-INDEX('CASE MASTER'!$AB$2:$AB$495,(SUMPRODUCT((('CASE MASTER'!$T$2:$T$495=2)*('CASE MASTER'!$AA$2:$AA$495&lt;=5)*('CASE MASTER'!$AC$2:$AC$495&gt;=5)*('CASE MASTER'!$AB$2:$AB$495&lt;=5)*('CASE MASTER'!$AD$2:$AD$495&gt;=5))*ROW('CASE MASTER'!$T$2:$T$495))-(ROW('CASE MASTER'!#REF!)-1))))+1)))-1)*50+1,50))&amp;"_"&amp;INDEX('CASE MASTER'!$Q$2:$Q$495,(SUMPRODUCT((('CASE MASTER'!$T$2:$T$495=2)*('CASE MASTER'!$AA$2:$AA$495&lt;=5)*('CASE MASTER'!$AC$2:$AC$495&gt;=5)*('CASE MASTER'!$AB$2:$AB$495&lt;=5)*('CASE MASTER'!$AD$2:$AD$495&gt;=5))*ROW('CASE MASTER'!$T$2:$T$495))-(ROW('CASE MASTER'!#REF!)-1))),"")),"")</f>
        <v/>
      </c>
      <c r="G21" s="10" t="str">
        <f>IFERROR(IF(SUMPRODUCT((('CASE MASTER'!$T$2:$T$495=2)*('CASE MASTER'!$U$2:$U$495&lt;=5)*('CASE MASTER'!$W$2:$W$495&gt;=5)*('CASE MASTER'!$V$2:$V$495&lt;=6)*('CASE MASTER'!$X$2:$X$495&gt;=6))*ROW('CASE MASTER'!$T$2:$T$495))&gt;0,INDEX('CASE MASTER'!$Y$2:$Y$495,(SUMPRODUCT((('CASE MASTER'!$T$2:$T$495=2)*('CASE MASTER'!$U$2:$U$495&lt;=5)*('CASE MASTER'!$W$2:$W$495&gt;=5)*('CASE MASTER'!$V$2:$V$495&lt;=6)*('CASE MASTER'!$X$2:$X$495&gt;=6))*ROW('CASE MASTER'!$T$2:$T$495))-(ROW('CASE MASTER'!#REF!)-1)))&amp;TRIM(MID(SUBSTITUTE(SUBSTITUTE(INDEX('CASE MASTER'!$N$2:$N$495,(SUMPRODUCT((('CASE MASTER'!$T$2:$T$495=2)*('CASE MASTER'!$U$2:$U$495&lt;=5)*('CASE MASTER'!$W$2:$W$495&gt;=5)*('CASE MASTER'!$V$2:$V$495&lt;=6)*('CASE MASTER'!$X$2:$X$495&gt;=6))*ROW('CASE MASTER'!$T$2:$T$495))-(ROW('CASE MASTER'!#REF!)-1))),":",","),",",REPT(" ",50)),((((5-INDEX('CASE MASTER'!$U$2:$U$495,(SUMPRODUCT((('CASE MASTER'!$T$2:$T$495=2)*('CASE MASTER'!$U$2:$U$495&lt;=5)*('CASE MASTER'!$W$2:$W$495&gt;=5)*('CASE MASTER'!$V$2:$V$495&lt;=6)*('CASE MASTER'!$X$2:$X$495&gt;=6))*ROW('CASE MASTER'!$T$2:$T$495))-(ROW('CASE MASTER'!#REF!)-1))))*(INDEX('CASE MASTER'!$X$2:$X$495,(SUMPRODUCT((('CASE MASTER'!$T$2:$T$495=2)*('CASE MASTER'!$U$2:$U$495&lt;=5)*('CASE MASTER'!$W$2:$W$495&gt;=5)*('CASE MASTER'!$V$2:$V$495&lt;=6)*('CASE MASTER'!$X$2:$X$495&gt;=6))*ROW('CASE MASTER'!$T$2:$T$495))-(ROW('CASE MASTER'!#REF!)-1)))-INDEX('CASE MASTER'!$V$2:$V$495,(SUMPRODUCT((('CASE MASTER'!$T$2:$T$495=2)*('CASE MASTER'!$U$2:$U$495&lt;=5)*('CASE MASTER'!$W$2:$W$495&gt;=5)*('CASE MASTER'!$V$2:$V$495&lt;=6)*('CASE MASTER'!$X$2:$X$495&gt;=6))*ROW('CASE MASTER'!$T$2:$T$495))-(ROW('CASE MASTER'!#REF!)-1)))+1)+(6-INDEX('CASE MASTER'!$V$2:$V$495,(SUMPRODUCT((('CASE MASTER'!$T$2:$T$495=2)*('CASE MASTER'!$U$2:$U$495&lt;=5)*('CASE MASTER'!$W$2:$W$495&gt;=5)*('CASE MASTER'!$V$2:$V$495&lt;=6)*('CASE MASTER'!$X$2:$X$495&gt;=6))*ROW('CASE MASTER'!$T$2:$T$495))-(ROW('CASE MASTER'!#REF!)-1))))+1))-1)*50+1,50))&amp;"_"&amp;INDEX('CASE MASTER'!$Q$2:$Q$495,(SUMPRODUCT((('CASE MASTER'!$T$2:$T$495=2)*('CASE MASTER'!$U$2:$U$495&lt;=5)*('CASE MASTER'!$W$2:$W$495&gt;=5)*('CASE MASTER'!$V$2:$V$495&lt;=6)*('CASE MASTER'!$X$2:$X$495&gt;=6))*ROW('CASE MASTER'!$T$2:$T$495))-(ROW('CASE MASTER'!#REF!)-1))),IF(SUMPRODUCT((('CASE MASTER'!$T$2:$T$495=2)*('CASE MASTER'!$AA$2:$AA$495&lt;=5)*('CASE MASTER'!$AC$2:$AC$495&gt;=5)*('CASE MASTER'!$AB$2:$AB$495&lt;=6)*('CASE MASTER'!$AD$2:$AD$495&gt;=6))*ROW('CASE MASTER'!$T$2:$T$495))&gt;0,INDEX('CASE MASTER'!$Y$2:$Y$495,(SUMPRODUCT((('CASE MASTER'!$T$2:$T$495=2)*('CASE MASTER'!$AA$2:$AA$495&lt;=5)*('CASE MASTER'!$AC$2:$AC$495&gt;=5)*('CASE MASTER'!$AB$2:$AB$495&lt;=6)*('CASE MASTER'!$AD$2:$AD$495&gt;=6))*ROW('CASE MASTER'!$T$2:$T$495))-(ROW('CASE MASTER'!#REF!)-1)))&amp;TRIM(MID(SUBSTITUTE(SUBSTITUTE(INDEX('CASE MASTER'!$N$2:$N$495,(SUMPRODUCT((('CASE MASTER'!$T$2:$T$495=2)*('CASE MASTER'!$AA$2:$AA$495&lt;=5)*('CASE MASTER'!$AC$2:$AC$495&gt;=5)*('CASE MASTER'!$AB$2:$AB$495&lt;=6)*('CASE MASTER'!$AD$2:$AD$495&gt;=6))*ROW('CASE MASTER'!$T$2:$T$495))-(ROW('CASE MASTER'!#REF!)-1))),":",","),",",REPT(" ",50)),(((INDEX('CASE MASTER'!$Z$2:$Z$495,(SUMPRODUCT((('CASE MASTER'!$T$2:$T$495=2)*('CASE MASTER'!$AA$2:$AA$495&lt;=5)*('CASE MASTER'!$AC$2:$AC$495&gt;=5)*('CASE MASTER'!$AB$2:$AB$495&lt;=6)*('CASE MASTER'!$AD$2:$AD$495&gt;=6))*ROW('CASE MASTER'!$T$2:$T$495))-(ROW('CASE MASTER'!#REF!)-1)))+((5-INDEX('CASE MASTER'!$AA$2:$AA$495,(SUMPRODUCT((('CASE MASTER'!$T$2:$T$495=2)*('CASE MASTER'!$AA$2:$AA$495&lt;=5)*('CASE MASTER'!$AC$2:$AC$495&gt;=5)*('CASE MASTER'!$AB$2:$AB$495&lt;=6)*('CASE MASTER'!$AD$2:$AD$495&gt;=6))*ROW('CASE MASTER'!$T$2:$T$495))-(ROW('CASE MASTER'!#REF!)-1))))*(INDEX('CASE MASTER'!$AD$2:$AD$495,(SUMPRODUCT((('CASE MASTER'!$T$2:$T$495=2)*('CASE MASTER'!$AA$2:$AA$495&lt;=5)*('CASE MASTER'!$AC$2:$AC$495&gt;=5)*('CASE MASTER'!$AB$2:$AB$495&lt;=6)*('CASE MASTER'!$AD$2:$AD$495&gt;=6))*ROW('CASE MASTER'!$T$2:$T$495))-(ROW('CASE MASTER'!#REF!)-1)))-INDEX('CASE MASTER'!$AB$2:$AB$495,(SUMPRODUCT((('CASE MASTER'!$T$2:$T$495=2)*('CASE MASTER'!$AA$2:$AA$495&lt;=5)*('CASE MASTER'!$AC$2:$AC$495&gt;=5)*('CASE MASTER'!$AB$2:$AB$495&lt;=6)*('CASE MASTER'!$AD$2:$AD$495&gt;=6))*ROW('CASE MASTER'!$T$2:$T$495))-(ROW('CASE MASTER'!#REF!)-1)))+1)+(6-INDEX('CASE MASTER'!$AB$2:$AB$495,(SUMPRODUCT((('CASE MASTER'!$T$2:$T$495=2)*('CASE MASTER'!$AA$2:$AA$495&lt;=5)*('CASE MASTER'!$AC$2:$AC$495&gt;=5)*('CASE MASTER'!$AB$2:$AB$495&lt;=6)*('CASE MASTER'!$AD$2:$AD$495&gt;=6))*ROW('CASE MASTER'!$T$2:$T$495))-(ROW('CASE MASTER'!#REF!)-1))))+1)))-1)*50+1,50))&amp;"_"&amp;INDEX('CASE MASTER'!$Q$2:$Q$495,(SUMPRODUCT((('CASE MASTER'!$T$2:$T$495=2)*('CASE MASTER'!$AA$2:$AA$495&lt;=5)*('CASE MASTER'!$AC$2:$AC$495&gt;=5)*('CASE MASTER'!$AB$2:$AB$495&lt;=6)*('CASE MASTER'!$AD$2:$AD$495&gt;=6))*ROW('CASE MASTER'!$T$2:$T$495))-(ROW('CASE MASTER'!#REF!)-1))),"")),"")</f>
        <v/>
      </c>
      <c r="H21" s="10" t="str">
        <f>IFERROR(IF(SUMPRODUCT((('CASE MASTER'!$T$2:$T$495=2)*('CASE MASTER'!$U$2:$U$495&lt;=5)*('CASE MASTER'!$W$2:$W$495&gt;=5)*('CASE MASTER'!$V$2:$V$495&lt;=7)*('CASE MASTER'!$X$2:$X$495&gt;=7))*ROW('CASE MASTER'!$T$2:$T$495))&gt;0,INDEX('CASE MASTER'!$Y$2:$Y$495,(SUMPRODUCT((('CASE MASTER'!$T$2:$T$495=2)*('CASE MASTER'!$U$2:$U$495&lt;=5)*('CASE MASTER'!$W$2:$W$495&gt;=5)*('CASE MASTER'!$V$2:$V$495&lt;=7)*('CASE MASTER'!$X$2:$X$495&gt;=7))*ROW('CASE MASTER'!$T$2:$T$495))-(ROW('CASE MASTER'!#REF!)-1)))&amp;TRIM(MID(SUBSTITUTE(SUBSTITUTE(INDEX('CASE MASTER'!$N$2:$N$495,(SUMPRODUCT((('CASE MASTER'!$T$2:$T$495=2)*('CASE MASTER'!$U$2:$U$495&lt;=5)*('CASE MASTER'!$W$2:$W$495&gt;=5)*('CASE MASTER'!$V$2:$V$495&lt;=7)*('CASE MASTER'!$X$2:$X$495&gt;=7))*ROW('CASE MASTER'!$T$2:$T$495))-(ROW('CASE MASTER'!#REF!)-1))),":",","),",",REPT(" ",50)),((((5-INDEX('CASE MASTER'!$U$2:$U$495,(SUMPRODUCT((('CASE MASTER'!$T$2:$T$495=2)*('CASE MASTER'!$U$2:$U$495&lt;=5)*('CASE MASTER'!$W$2:$W$495&gt;=5)*('CASE MASTER'!$V$2:$V$495&lt;=7)*('CASE MASTER'!$X$2:$X$495&gt;=7))*ROW('CASE MASTER'!$T$2:$T$495))-(ROW('CASE MASTER'!#REF!)-1))))*(INDEX('CASE MASTER'!$X$2:$X$495,(SUMPRODUCT((('CASE MASTER'!$T$2:$T$495=2)*('CASE MASTER'!$U$2:$U$495&lt;=5)*('CASE MASTER'!$W$2:$W$495&gt;=5)*('CASE MASTER'!$V$2:$V$495&lt;=7)*('CASE MASTER'!$X$2:$X$495&gt;=7))*ROW('CASE MASTER'!$T$2:$T$495))-(ROW('CASE MASTER'!#REF!)-1)))-INDEX('CASE MASTER'!$V$2:$V$495,(SUMPRODUCT((('CASE MASTER'!$T$2:$T$495=2)*('CASE MASTER'!$U$2:$U$495&lt;=5)*('CASE MASTER'!$W$2:$W$495&gt;=5)*('CASE MASTER'!$V$2:$V$495&lt;=7)*('CASE MASTER'!$X$2:$X$495&gt;=7))*ROW('CASE MASTER'!$T$2:$T$495))-(ROW('CASE MASTER'!#REF!)-1)))+1)+(7-INDEX('CASE MASTER'!$V$2:$V$495,(SUMPRODUCT((('CASE MASTER'!$T$2:$T$495=2)*('CASE MASTER'!$U$2:$U$495&lt;=5)*('CASE MASTER'!$W$2:$W$495&gt;=5)*('CASE MASTER'!$V$2:$V$495&lt;=7)*('CASE MASTER'!$X$2:$X$495&gt;=7))*ROW('CASE MASTER'!$T$2:$T$495))-(ROW('CASE MASTER'!#REF!)-1))))+1))-1)*50+1,50))&amp;"_"&amp;INDEX('CASE MASTER'!$Q$2:$Q$495,(SUMPRODUCT((('CASE MASTER'!$T$2:$T$495=2)*('CASE MASTER'!$U$2:$U$495&lt;=5)*('CASE MASTER'!$W$2:$W$495&gt;=5)*('CASE MASTER'!$V$2:$V$495&lt;=7)*('CASE MASTER'!$X$2:$X$495&gt;=7))*ROW('CASE MASTER'!$T$2:$T$495))-(ROW('CASE MASTER'!#REF!)-1))),IF(SUMPRODUCT((('CASE MASTER'!$T$2:$T$495=2)*('CASE MASTER'!$AA$2:$AA$495&lt;=5)*('CASE MASTER'!$AC$2:$AC$495&gt;=5)*('CASE MASTER'!$AB$2:$AB$495&lt;=7)*('CASE MASTER'!$AD$2:$AD$495&gt;=7))*ROW('CASE MASTER'!$T$2:$T$495))&gt;0,INDEX('CASE MASTER'!$Y$2:$Y$495,(SUMPRODUCT((('CASE MASTER'!$T$2:$T$495=2)*('CASE MASTER'!$AA$2:$AA$495&lt;=5)*('CASE MASTER'!$AC$2:$AC$495&gt;=5)*('CASE MASTER'!$AB$2:$AB$495&lt;=7)*('CASE MASTER'!$AD$2:$AD$495&gt;=7))*ROW('CASE MASTER'!$T$2:$T$495))-(ROW('CASE MASTER'!#REF!)-1)))&amp;TRIM(MID(SUBSTITUTE(SUBSTITUTE(INDEX('CASE MASTER'!$N$2:$N$495,(SUMPRODUCT((('CASE MASTER'!$T$2:$T$495=2)*('CASE MASTER'!$AA$2:$AA$495&lt;=5)*('CASE MASTER'!$AC$2:$AC$495&gt;=5)*('CASE MASTER'!$AB$2:$AB$495&lt;=7)*('CASE MASTER'!$AD$2:$AD$495&gt;=7))*ROW('CASE MASTER'!$T$2:$T$495))-(ROW('CASE MASTER'!#REF!)-1))),":",","),",",REPT(" ",50)),(((INDEX('CASE MASTER'!$Z$2:$Z$495,(SUMPRODUCT((('CASE MASTER'!$T$2:$T$495=2)*('CASE MASTER'!$AA$2:$AA$495&lt;=5)*('CASE MASTER'!$AC$2:$AC$495&gt;=5)*('CASE MASTER'!$AB$2:$AB$495&lt;=7)*('CASE MASTER'!$AD$2:$AD$495&gt;=7))*ROW('CASE MASTER'!$T$2:$T$495))-(ROW('CASE MASTER'!#REF!)-1)))+((5-INDEX('CASE MASTER'!$AA$2:$AA$495,(SUMPRODUCT((('CASE MASTER'!$T$2:$T$495=2)*('CASE MASTER'!$AA$2:$AA$495&lt;=5)*('CASE MASTER'!$AC$2:$AC$495&gt;=5)*('CASE MASTER'!$AB$2:$AB$495&lt;=7)*('CASE MASTER'!$AD$2:$AD$495&gt;=7))*ROW('CASE MASTER'!$T$2:$T$495))-(ROW('CASE MASTER'!#REF!)-1))))*(INDEX('CASE MASTER'!$AD$2:$AD$495,(SUMPRODUCT((('CASE MASTER'!$T$2:$T$495=2)*('CASE MASTER'!$AA$2:$AA$495&lt;=5)*('CASE MASTER'!$AC$2:$AC$495&gt;=5)*('CASE MASTER'!$AB$2:$AB$495&lt;=7)*('CASE MASTER'!$AD$2:$AD$495&gt;=7))*ROW('CASE MASTER'!$T$2:$T$495))-(ROW('CASE MASTER'!#REF!)-1)))-INDEX('CASE MASTER'!$AB$2:$AB$495,(SUMPRODUCT((('CASE MASTER'!$T$2:$T$495=2)*('CASE MASTER'!$AA$2:$AA$495&lt;=5)*('CASE MASTER'!$AC$2:$AC$495&gt;=5)*('CASE MASTER'!$AB$2:$AB$495&lt;=7)*('CASE MASTER'!$AD$2:$AD$495&gt;=7))*ROW('CASE MASTER'!$T$2:$T$495))-(ROW('CASE MASTER'!#REF!)-1)))+1)+(7-INDEX('CASE MASTER'!$AB$2:$AB$495,(SUMPRODUCT((('CASE MASTER'!$T$2:$T$495=2)*('CASE MASTER'!$AA$2:$AA$495&lt;=5)*('CASE MASTER'!$AC$2:$AC$495&gt;=5)*('CASE MASTER'!$AB$2:$AB$495&lt;=7)*('CASE MASTER'!$AD$2:$AD$495&gt;=7))*ROW('CASE MASTER'!$T$2:$T$495))-(ROW('CASE MASTER'!#REF!)-1))))+1)))-1)*50+1,50))&amp;"_"&amp;INDEX('CASE MASTER'!$Q$2:$Q$495,(SUMPRODUCT((('CASE MASTER'!$T$2:$T$495=2)*('CASE MASTER'!$AA$2:$AA$495&lt;=5)*('CASE MASTER'!$AC$2:$AC$495&gt;=5)*('CASE MASTER'!$AB$2:$AB$495&lt;=7)*('CASE MASTER'!$AD$2:$AD$495&gt;=7))*ROW('CASE MASTER'!$T$2:$T$495))-(ROW('CASE MASTER'!#REF!)-1))),"")),"")</f>
        <v/>
      </c>
      <c r="I21" s="10" t="str">
        <f>IFERROR(IF(SUMPRODUCT((('CASE MASTER'!$T$2:$T$495=2)*('CASE MASTER'!$U$2:$U$495&lt;=5)*('CASE MASTER'!$W$2:$W$495&gt;=5)*('CASE MASTER'!$V$2:$V$495&lt;=8)*('CASE MASTER'!$X$2:$X$495&gt;=8))*ROW('CASE MASTER'!$T$2:$T$495))&gt;0,INDEX('CASE MASTER'!$Y$2:$Y$495,(SUMPRODUCT((('CASE MASTER'!$T$2:$T$495=2)*('CASE MASTER'!$U$2:$U$495&lt;=5)*('CASE MASTER'!$W$2:$W$495&gt;=5)*('CASE MASTER'!$V$2:$V$495&lt;=8)*('CASE MASTER'!$X$2:$X$495&gt;=8))*ROW('CASE MASTER'!$T$2:$T$495))-(ROW('CASE MASTER'!#REF!)-1)))&amp;TRIM(MID(SUBSTITUTE(SUBSTITUTE(INDEX('CASE MASTER'!$N$2:$N$495,(SUMPRODUCT((('CASE MASTER'!$T$2:$T$495=2)*('CASE MASTER'!$U$2:$U$495&lt;=5)*('CASE MASTER'!$W$2:$W$495&gt;=5)*('CASE MASTER'!$V$2:$V$495&lt;=8)*('CASE MASTER'!$X$2:$X$495&gt;=8))*ROW('CASE MASTER'!$T$2:$T$495))-(ROW('CASE MASTER'!#REF!)-1))),":",","),",",REPT(" ",50)),((((5-INDEX('CASE MASTER'!$U$2:$U$495,(SUMPRODUCT((('CASE MASTER'!$T$2:$T$495=2)*('CASE MASTER'!$U$2:$U$495&lt;=5)*('CASE MASTER'!$W$2:$W$495&gt;=5)*('CASE MASTER'!$V$2:$V$495&lt;=8)*('CASE MASTER'!$X$2:$X$495&gt;=8))*ROW('CASE MASTER'!$T$2:$T$495))-(ROW('CASE MASTER'!#REF!)-1))))*(INDEX('CASE MASTER'!$X$2:$X$495,(SUMPRODUCT((('CASE MASTER'!$T$2:$T$495=2)*('CASE MASTER'!$U$2:$U$495&lt;=5)*('CASE MASTER'!$W$2:$W$495&gt;=5)*('CASE MASTER'!$V$2:$V$495&lt;=8)*('CASE MASTER'!$X$2:$X$495&gt;=8))*ROW('CASE MASTER'!$T$2:$T$495))-(ROW('CASE MASTER'!#REF!)-1)))-INDEX('CASE MASTER'!$V$2:$V$495,(SUMPRODUCT((('CASE MASTER'!$T$2:$T$495=2)*('CASE MASTER'!$U$2:$U$495&lt;=5)*('CASE MASTER'!$W$2:$W$495&gt;=5)*('CASE MASTER'!$V$2:$V$495&lt;=8)*('CASE MASTER'!$X$2:$X$495&gt;=8))*ROW('CASE MASTER'!$T$2:$T$495))-(ROW('CASE MASTER'!#REF!)-1)))+1)+(8-INDEX('CASE MASTER'!$V$2:$V$495,(SUMPRODUCT((('CASE MASTER'!$T$2:$T$495=2)*('CASE MASTER'!$U$2:$U$495&lt;=5)*('CASE MASTER'!$W$2:$W$495&gt;=5)*('CASE MASTER'!$V$2:$V$495&lt;=8)*('CASE MASTER'!$X$2:$X$495&gt;=8))*ROW('CASE MASTER'!$T$2:$T$495))-(ROW('CASE MASTER'!#REF!)-1))))+1))-1)*50+1,50))&amp;"_"&amp;INDEX('CASE MASTER'!$Q$2:$Q$495,(SUMPRODUCT((('CASE MASTER'!$T$2:$T$495=2)*('CASE MASTER'!$U$2:$U$495&lt;=5)*('CASE MASTER'!$W$2:$W$495&gt;=5)*('CASE MASTER'!$V$2:$V$495&lt;=8)*('CASE MASTER'!$X$2:$X$495&gt;=8))*ROW('CASE MASTER'!$T$2:$T$495))-(ROW('CASE MASTER'!#REF!)-1))),IF(SUMPRODUCT((('CASE MASTER'!$T$2:$T$495=2)*('CASE MASTER'!$AA$2:$AA$495&lt;=5)*('CASE MASTER'!$AC$2:$AC$495&gt;=5)*('CASE MASTER'!$AB$2:$AB$495&lt;=8)*('CASE MASTER'!$AD$2:$AD$495&gt;=8))*ROW('CASE MASTER'!$T$2:$T$495))&gt;0,INDEX('CASE MASTER'!$Y$2:$Y$495,(SUMPRODUCT((('CASE MASTER'!$T$2:$T$495=2)*('CASE MASTER'!$AA$2:$AA$495&lt;=5)*('CASE MASTER'!$AC$2:$AC$495&gt;=5)*('CASE MASTER'!$AB$2:$AB$495&lt;=8)*('CASE MASTER'!$AD$2:$AD$495&gt;=8))*ROW('CASE MASTER'!$T$2:$T$495))-(ROW('CASE MASTER'!#REF!)-1)))&amp;TRIM(MID(SUBSTITUTE(SUBSTITUTE(INDEX('CASE MASTER'!$N$2:$N$495,(SUMPRODUCT((('CASE MASTER'!$T$2:$T$495=2)*('CASE MASTER'!$AA$2:$AA$495&lt;=5)*('CASE MASTER'!$AC$2:$AC$495&gt;=5)*('CASE MASTER'!$AB$2:$AB$495&lt;=8)*('CASE MASTER'!$AD$2:$AD$495&gt;=8))*ROW('CASE MASTER'!$T$2:$T$495))-(ROW('CASE MASTER'!#REF!)-1))),":",","),",",REPT(" ",50)),(((INDEX('CASE MASTER'!$Z$2:$Z$495,(SUMPRODUCT((('CASE MASTER'!$T$2:$T$495=2)*('CASE MASTER'!$AA$2:$AA$495&lt;=5)*('CASE MASTER'!$AC$2:$AC$495&gt;=5)*('CASE MASTER'!$AB$2:$AB$495&lt;=8)*('CASE MASTER'!$AD$2:$AD$495&gt;=8))*ROW('CASE MASTER'!$T$2:$T$495))-(ROW('CASE MASTER'!#REF!)-1)))+((5-INDEX('CASE MASTER'!$AA$2:$AA$495,(SUMPRODUCT((('CASE MASTER'!$T$2:$T$495=2)*('CASE MASTER'!$AA$2:$AA$495&lt;=5)*('CASE MASTER'!$AC$2:$AC$495&gt;=5)*('CASE MASTER'!$AB$2:$AB$495&lt;=8)*('CASE MASTER'!$AD$2:$AD$495&gt;=8))*ROW('CASE MASTER'!$T$2:$T$495))-(ROW('CASE MASTER'!#REF!)-1))))*(INDEX('CASE MASTER'!$AD$2:$AD$495,(SUMPRODUCT((('CASE MASTER'!$T$2:$T$495=2)*('CASE MASTER'!$AA$2:$AA$495&lt;=5)*('CASE MASTER'!$AC$2:$AC$495&gt;=5)*('CASE MASTER'!$AB$2:$AB$495&lt;=8)*('CASE MASTER'!$AD$2:$AD$495&gt;=8))*ROW('CASE MASTER'!$T$2:$T$495))-(ROW('CASE MASTER'!#REF!)-1)))-INDEX('CASE MASTER'!$AB$2:$AB$495,(SUMPRODUCT((('CASE MASTER'!$T$2:$T$495=2)*('CASE MASTER'!$AA$2:$AA$495&lt;=5)*('CASE MASTER'!$AC$2:$AC$495&gt;=5)*('CASE MASTER'!$AB$2:$AB$495&lt;=8)*('CASE MASTER'!$AD$2:$AD$495&gt;=8))*ROW('CASE MASTER'!$T$2:$T$495))-(ROW('CASE MASTER'!#REF!)-1)))+1)+(8-INDEX('CASE MASTER'!$AB$2:$AB$495,(SUMPRODUCT((('CASE MASTER'!$T$2:$T$495=2)*('CASE MASTER'!$AA$2:$AA$495&lt;=5)*('CASE MASTER'!$AC$2:$AC$495&gt;=5)*('CASE MASTER'!$AB$2:$AB$495&lt;=8)*('CASE MASTER'!$AD$2:$AD$495&gt;=8))*ROW('CASE MASTER'!$T$2:$T$495))-(ROW('CASE MASTER'!#REF!)-1))))+1)))-1)*50+1,50))&amp;"_"&amp;INDEX('CASE MASTER'!$Q$2:$Q$495,(SUMPRODUCT((('CASE MASTER'!$T$2:$T$495=2)*('CASE MASTER'!$AA$2:$AA$495&lt;=5)*('CASE MASTER'!$AC$2:$AC$495&gt;=5)*('CASE MASTER'!$AB$2:$AB$495&lt;=8)*('CASE MASTER'!$AD$2:$AD$495&gt;=8))*ROW('CASE MASTER'!$T$2:$T$495))-(ROW('CASE MASTER'!#REF!)-1))),"")),"")</f>
        <v/>
      </c>
      <c r="J21" s="10" t="str">
        <f>IFERROR(IF(SUMPRODUCT((('CASE MASTER'!$T$2:$T$495=2)*('CASE MASTER'!$U$2:$U$495&lt;=5)*('CASE MASTER'!$W$2:$W$495&gt;=5)*('CASE MASTER'!$V$2:$V$495&lt;=9)*('CASE MASTER'!$X$2:$X$495&gt;=9))*ROW('CASE MASTER'!$T$2:$T$495))&gt;0,INDEX('CASE MASTER'!$Y$2:$Y$495,(SUMPRODUCT((('CASE MASTER'!$T$2:$T$495=2)*('CASE MASTER'!$U$2:$U$495&lt;=5)*('CASE MASTER'!$W$2:$W$495&gt;=5)*('CASE MASTER'!$V$2:$V$495&lt;=9)*('CASE MASTER'!$X$2:$X$495&gt;=9))*ROW('CASE MASTER'!$T$2:$T$495))-(ROW('CASE MASTER'!#REF!)-1)))&amp;TRIM(MID(SUBSTITUTE(SUBSTITUTE(INDEX('CASE MASTER'!$N$2:$N$495,(SUMPRODUCT((('CASE MASTER'!$T$2:$T$495=2)*('CASE MASTER'!$U$2:$U$495&lt;=5)*('CASE MASTER'!$W$2:$W$495&gt;=5)*('CASE MASTER'!$V$2:$V$495&lt;=9)*('CASE MASTER'!$X$2:$X$495&gt;=9))*ROW('CASE MASTER'!$T$2:$T$495))-(ROW('CASE MASTER'!#REF!)-1))),":",","),",",REPT(" ",50)),((((5-INDEX('CASE MASTER'!$U$2:$U$495,(SUMPRODUCT((('CASE MASTER'!$T$2:$T$495=2)*('CASE MASTER'!$U$2:$U$495&lt;=5)*('CASE MASTER'!$W$2:$W$495&gt;=5)*('CASE MASTER'!$V$2:$V$495&lt;=9)*('CASE MASTER'!$X$2:$X$495&gt;=9))*ROW('CASE MASTER'!$T$2:$T$495))-(ROW('CASE MASTER'!#REF!)-1))))*(INDEX('CASE MASTER'!$X$2:$X$495,(SUMPRODUCT((('CASE MASTER'!$T$2:$T$495=2)*('CASE MASTER'!$U$2:$U$495&lt;=5)*('CASE MASTER'!$W$2:$W$495&gt;=5)*('CASE MASTER'!$V$2:$V$495&lt;=9)*('CASE MASTER'!$X$2:$X$495&gt;=9))*ROW('CASE MASTER'!$T$2:$T$495))-(ROW('CASE MASTER'!#REF!)-1)))-INDEX('CASE MASTER'!$V$2:$V$495,(SUMPRODUCT((('CASE MASTER'!$T$2:$T$495=2)*('CASE MASTER'!$U$2:$U$495&lt;=5)*('CASE MASTER'!$W$2:$W$495&gt;=5)*('CASE MASTER'!$V$2:$V$495&lt;=9)*('CASE MASTER'!$X$2:$X$495&gt;=9))*ROW('CASE MASTER'!$T$2:$T$495))-(ROW('CASE MASTER'!#REF!)-1)))+1)+(9-INDEX('CASE MASTER'!$V$2:$V$495,(SUMPRODUCT((('CASE MASTER'!$T$2:$T$495=2)*('CASE MASTER'!$U$2:$U$495&lt;=5)*('CASE MASTER'!$W$2:$W$495&gt;=5)*('CASE MASTER'!$V$2:$V$495&lt;=9)*('CASE MASTER'!$X$2:$X$495&gt;=9))*ROW('CASE MASTER'!$T$2:$T$495))-(ROW('CASE MASTER'!#REF!)-1))))+1))-1)*50+1,50))&amp;"_"&amp;INDEX('CASE MASTER'!$Q$2:$Q$495,(SUMPRODUCT((('CASE MASTER'!$T$2:$T$495=2)*('CASE MASTER'!$U$2:$U$495&lt;=5)*('CASE MASTER'!$W$2:$W$495&gt;=5)*('CASE MASTER'!$V$2:$V$495&lt;=9)*('CASE MASTER'!$X$2:$X$495&gt;=9))*ROW('CASE MASTER'!$T$2:$T$495))-(ROW('CASE MASTER'!#REF!)-1))),IF(SUMPRODUCT((('CASE MASTER'!$T$2:$T$495=2)*('CASE MASTER'!$AA$2:$AA$495&lt;=5)*('CASE MASTER'!$AC$2:$AC$495&gt;=5)*('CASE MASTER'!$AB$2:$AB$495&lt;=9)*('CASE MASTER'!$AD$2:$AD$495&gt;=9))*ROW('CASE MASTER'!$T$2:$T$495))&gt;0,INDEX('CASE MASTER'!$Y$2:$Y$495,(SUMPRODUCT((('CASE MASTER'!$T$2:$T$495=2)*('CASE MASTER'!$AA$2:$AA$495&lt;=5)*('CASE MASTER'!$AC$2:$AC$495&gt;=5)*('CASE MASTER'!$AB$2:$AB$495&lt;=9)*('CASE MASTER'!$AD$2:$AD$495&gt;=9))*ROW('CASE MASTER'!$T$2:$T$495))-(ROW('CASE MASTER'!#REF!)-1)))&amp;TRIM(MID(SUBSTITUTE(SUBSTITUTE(INDEX('CASE MASTER'!$N$2:$N$495,(SUMPRODUCT((('CASE MASTER'!$T$2:$T$495=2)*('CASE MASTER'!$AA$2:$AA$495&lt;=5)*('CASE MASTER'!$AC$2:$AC$495&gt;=5)*('CASE MASTER'!$AB$2:$AB$495&lt;=9)*('CASE MASTER'!$AD$2:$AD$495&gt;=9))*ROW('CASE MASTER'!$T$2:$T$495))-(ROW('CASE MASTER'!#REF!)-1))),":",","),",",REPT(" ",50)),(((INDEX('CASE MASTER'!$Z$2:$Z$495,(SUMPRODUCT((('CASE MASTER'!$T$2:$T$495=2)*('CASE MASTER'!$AA$2:$AA$495&lt;=5)*('CASE MASTER'!$AC$2:$AC$495&gt;=5)*('CASE MASTER'!$AB$2:$AB$495&lt;=9)*('CASE MASTER'!$AD$2:$AD$495&gt;=9))*ROW('CASE MASTER'!$T$2:$T$495))-(ROW('CASE MASTER'!#REF!)-1)))+((5-INDEX('CASE MASTER'!$AA$2:$AA$495,(SUMPRODUCT((('CASE MASTER'!$T$2:$T$495=2)*('CASE MASTER'!$AA$2:$AA$495&lt;=5)*('CASE MASTER'!$AC$2:$AC$495&gt;=5)*('CASE MASTER'!$AB$2:$AB$495&lt;=9)*('CASE MASTER'!$AD$2:$AD$495&gt;=9))*ROW('CASE MASTER'!$T$2:$T$495))-(ROW('CASE MASTER'!#REF!)-1))))*(INDEX('CASE MASTER'!$AD$2:$AD$495,(SUMPRODUCT((('CASE MASTER'!$T$2:$T$495=2)*('CASE MASTER'!$AA$2:$AA$495&lt;=5)*('CASE MASTER'!$AC$2:$AC$495&gt;=5)*('CASE MASTER'!$AB$2:$AB$495&lt;=9)*('CASE MASTER'!$AD$2:$AD$495&gt;=9))*ROW('CASE MASTER'!$T$2:$T$495))-(ROW('CASE MASTER'!#REF!)-1)))-INDEX('CASE MASTER'!$AB$2:$AB$495,(SUMPRODUCT((('CASE MASTER'!$T$2:$T$495=2)*('CASE MASTER'!$AA$2:$AA$495&lt;=5)*('CASE MASTER'!$AC$2:$AC$495&gt;=5)*('CASE MASTER'!$AB$2:$AB$495&lt;=9)*('CASE MASTER'!$AD$2:$AD$495&gt;=9))*ROW('CASE MASTER'!$T$2:$T$495))-(ROW('CASE MASTER'!#REF!)-1)))+1)+(9-INDEX('CASE MASTER'!$AB$2:$AB$495,(SUMPRODUCT((('CASE MASTER'!$T$2:$T$495=2)*('CASE MASTER'!$AA$2:$AA$495&lt;=5)*('CASE MASTER'!$AC$2:$AC$495&gt;=5)*('CASE MASTER'!$AB$2:$AB$495&lt;=9)*('CASE MASTER'!$AD$2:$AD$495&gt;=9))*ROW('CASE MASTER'!$T$2:$T$495))-(ROW('CASE MASTER'!#REF!)-1))))+1)))-1)*50+1,50))&amp;"_"&amp;INDEX('CASE MASTER'!$Q$2:$Q$495,(SUMPRODUCT((('CASE MASTER'!$T$2:$T$495=2)*('CASE MASTER'!$AA$2:$AA$495&lt;=5)*('CASE MASTER'!$AC$2:$AC$495&gt;=5)*('CASE MASTER'!$AB$2:$AB$495&lt;=9)*('CASE MASTER'!$AD$2:$AD$495&gt;=9))*ROW('CASE MASTER'!$T$2:$T$495))-(ROW('CASE MASTER'!#REF!)-1))),"")),"")</f>
        <v/>
      </c>
      <c r="K21" s="10" t="str">
        <f>IFERROR(IF(SUMPRODUCT((('CASE MASTER'!$T$2:$T$495=2)*('CASE MASTER'!$U$2:$U$495&lt;=5)*('CASE MASTER'!$W$2:$W$495&gt;=5)*('CASE MASTER'!$V$2:$V$495&lt;=10)*('CASE MASTER'!$X$2:$X$495&gt;=10))*ROW('CASE MASTER'!$T$2:$T$495))&gt;0,INDEX('CASE MASTER'!$Y$2:$Y$495,(SUMPRODUCT((('CASE MASTER'!$T$2:$T$495=2)*('CASE MASTER'!$U$2:$U$495&lt;=5)*('CASE MASTER'!$W$2:$W$495&gt;=5)*('CASE MASTER'!$V$2:$V$495&lt;=10)*('CASE MASTER'!$X$2:$X$495&gt;=10))*ROW('CASE MASTER'!$T$2:$T$495))-(ROW('CASE MASTER'!#REF!)-1)))&amp;TRIM(MID(SUBSTITUTE(SUBSTITUTE(INDEX('CASE MASTER'!$N$2:$N$495,(SUMPRODUCT((('CASE MASTER'!$T$2:$T$495=2)*('CASE MASTER'!$U$2:$U$495&lt;=5)*('CASE MASTER'!$W$2:$W$495&gt;=5)*('CASE MASTER'!$V$2:$V$495&lt;=10)*('CASE MASTER'!$X$2:$X$495&gt;=10))*ROW('CASE MASTER'!$T$2:$T$495))-(ROW('CASE MASTER'!#REF!)-1))),":",","),",",REPT(" ",50)),((((5-INDEX('CASE MASTER'!$U$2:$U$495,(SUMPRODUCT((('CASE MASTER'!$T$2:$T$495=2)*('CASE MASTER'!$U$2:$U$495&lt;=5)*('CASE MASTER'!$W$2:$W$495&gt;=5)*('CASE MASTER'!$V$2:$V$495&lt;=10)*('CASE MASTER'!$X$2:$X$495&gt;=10))*ROW('CASE MASTER'!$T$2:$T$495))-(ROW('CASE MASTER'!#REF!)-1))))*(INDEX('CASE MASTER'!$X$2:$X$495,(SUMPRODUCT((('CASE MASTER'!$T$2:$T$495=2)*('CASE MASTER'!$U$2:$U$495&lt;=5)*('CASE MASTER'!$W$2:$W$495&gt;=5)*('CASE MASTER'!$V$2:$V$495&lt;=10)*('CASE MASTER'!$X$2:$X$495&gt;=10))*ROW('CASE MASTER'!$T$2:$T$495))-(ROW('CASE MASTER'!#REF!)-1)))-INDEX('CASE MASTER'!$V$2:$V$495,(SUMPRODUCT((('CASE MASTER'!$T$2:$T$495=2)*('CASE MASTER'!$U$2:$U$495&lt;=5)*('CASE MASTER'!$W$2:$W$495&gt;=5)*('CASE MASTER'!$V$2:$V$495&lt;=10)*('CASE MASTER'!$X$2:$X$495&gt;=10))*ROW('CASE MASTER'!$T$2:$T$495))-(ROW('CASE MASTER'!#REF!)-1)))+1)+(10-INDEX('CASE MASTER'!$V$2:$V$495,(SUMPRODUCT((('CASE MASTER'!$T$2:$T$495=2)*('CASE MASTER'!$U$2:$U$495&lt;=5)*('CASE MASTER'!$W$2:$W$495&gt;=5)*('CASE MASTER'!$V$2:$V$495&lt;=10)*('CASE MASTER'!$X$2:$X$495&gt;=10))*ROW('CASE MASTER'!$T$2:$T$495))-(ROW('CASE MASTER'!#REF!)-1))))+1))-1)*50+1,50))&amp;"_"&amp;INDEX('CASE MASTER'!$Q$2:$Q$495,(SUMPRODUCT((('CASE MASTER'!$T$2:$T$495=2)*('CASE MASTER'!$U$2:$U$495&lt;=5)*('CASE MASTER'!$W$2:$W$495&gt;=5)*('CASE MASTER'!$V$2:$V$495&lt;=10)*('CASE MASTER'!$X$2:$X$495&gt;=10))*ROW('CASE MASTER'!$T$2:$T$495))-(ROW('CASE MASTER'!#REF!)-1))),IF(SUMPRODUCT((('CASE MASTER'!$T$2:$T$495=2)*('CASE MASTER'!$AA$2:$AA$495&lt;=5)*('CASE MASTER'!$AC$2:$AC$495&gt;=5)*('CASE MASTER'!$AB$2:$AB$495&lt;=10)*('CASE MASTER'!$AD$2:$AD$495&gt;=10))*ROW('CASE MASTER'!$T$2:$T$495))&gt;0,INDEX('CASE MASTER'!$Y$2:$Y$495,(SUMPRODUCT((('CASE MASTER'!$T$2:$T$495=2)*('CASE MASTER'!$AA$2:$AA$495&lt;=5)*('CASE MASTER'!$AC$2:$AC$495&gt;=5)*('CASE MASTER'!$AB$2:$AB$495&lt;=10)*('CASE MASTER'!$AD$2:$AD$495&gt;=10))*ROW('CASE MASTER'!$T$2:$T$495))-(ROW('CASE MASTER'!#REF!)-1)))&amp;TRIM(MID(SUBSTITUTE(SUBSTITUTE(INDEX('CASE MASTER'!$N$2:$N$495,(SUMPRODUCT((('CASE MASTER'!$T$2:$T$495=2)*('CASE MASTER'!$AA$2:$AA$495&lt;=5)*('CASE MASTER'!$AC$2:$AC$495&gt;=5)*('CASE MASTER'!$AB$2:$AB$495&lt;=10)*('CASE MASTER'!$AD$2:$AD$495&gt;=10))*ROW('CASE MASTER'!$T$2:$T$495))-(ROW('CASE MASTER'!#REF!)-1))),":",","),",",REPT(" ",50)),(((INDEX('CASE MASTER'!$Z$2:$Z$495,(SUMPRODUCT((('CASE MASTER'!$T$2:$T$495=2)*('CASE MASTER'!$AA$2:$AA$495&lt;=5)*('CASE MASTER'!$AC$2:$AC$495&gt;=5)*('CASE MASTER'!$AB$2:$AB$495&lt;=10)*('CASE MASTER'!$AD$2:$AD$495&gt;=10))*ROW('CASE MASTER'!$T$2:$T$495))-(ROW('CASE MASTER'!#REF!)-1)))+((5-INDEX('CASE MASTER'!$AA$2:$AA$495,(SUMPRODUCT((('CASE MASTER'!$T$2:$T$495=2)*('CASE MASTER'!$AA$2:$AA$495&lt;=5)*('CASE MASTER'!$AC$2:$AC$495&gt;=5)*('CASE MASTER'!$AB$2:$AB$495&lt;=10)*('CASE MASTER'!$AD$2:$AD$495&gt;=10))*ROW('CASE MASTER'!$T$2:$T$495))-(ROW('CASE MASTER'!#REF!)-1))))*(INDEX('CASE MASTER'!$AD$2:$AD$495,(SUMPRODUCT((('CASE MASTER'!$T$2:$T$495=2)*('CASE MASTER'!$AA$2:$AA$495&lt;=5)*('CASE MASTER'!$AC$2:$AC$495&gt;=5)*('CASE MASTER'!$AB$2:$AB$495&lt;=10)*('CASE MASTER'!$AD$2:$AD$495&gt;=10))*ROW('CASE MASTER'!$T$2:$T$495))-(ROW('CASE MASTER'!#REF!)-1)))-INDEX('CASE MASTER'!$AB$2:$AB$495,(SUMPRODUCT((('CASE MASTER'!$T$2:$T$495=2)*('CASE MASTER'!$AA$2:$AA$495&lt;=5)*('CASE MASTER'!$AC$2:$AC$495&gt;=5)*('CASE MASTER'!$AB$2:$AB$495&lt;=10)*('CASE MASTER'!$AD$2:$AD$495&gt;=10))*ROW('CASE MASTER'!$T$2:$T$495))-(ROW('CASE MASTER'!#REF!)-1)))+1)+(10-INDEX('CASE MASTER'!$AB$2:$AB$495,(SUMPRODUCT((('CASE MASTER'!$T$2:$T$495=2)*('CASE MASTER'!$AA$2:$AA$495&lt;=5)*('CASE MASTER'!$AC$2:$AC$495&gt;=5)*('CASE MASTER'!$AB$2:$AB$495&lt;=10)*('CASE MASTER'!$AD$2:$AD$495&gt;=10))*ROW('CASE MASTER'!$T$2:$T$495))-(ROW('CASE MASTER'!#REF!)-1))))+1)))-1)*50+1,50))&amp;"_"&amp;INDEX('CASE MASTER'!$Q$2:$Q$495,(SUMPRODUCT((('CASE MASTER'!$T$2:$T$495=2)*('CASE MASTER'!$AA$2:$AA$495&lt;=5)*('CASE MASTER'!$AC$2:$AC$495&gt;=5)*('CASE MASTER'!$AB$2:$AB$495&lt;=10)*('CASE MASTER'!$AD$2:$AD$495&gt;=10))*ROW('CASE MASTER'!$T$2:$T$495))-(ROW('CASE MASTER'!#REF!)-1))),"")),"")</f>
        <v/>
      </c>
    </row>
    <row r="22" spans="1:11" ht="15" customHeight="1" x14ac:dyDescent="0.35">
      <c r="A22" s="8" t="s">
        <v>33</v>
      </c>
      <c r="B22" s="10" t="str">
        <f>IFERROR(IF(SUMPRODUCT((('CASE MASTER'!$T$2:$T$495=2)*('CASE MASTER'!$U$2:$U$495&lt;=6)*('CASE MASTER'!$W$2:$W$495&gt;=6)*('CASE MASTER'!$V$2:$V$495&lt;=1)*('CASE MASTER'!$X$2:$X$495&gt;=1))*ROW('CASE MASTER'!$T$2:$T$495))&gt;0,INDEX('CASE MASTER'!$Y$2:$Y$495,(SUMPRODUCT((('CASE MASTER'!$T$2:$T$495=2)*('CASE MASTER'!$U$2:$U$495&lt;=6)*('CASE MASTER'!$W$2:$W$495&gt;=6)*('CASE MASTER'!$V$2:$V$495&lt;=1)*('CASE MASTER'!$X$2:$X$495&gt;=1))*ROW('CASE MASTER'!$T$2:$T$495))-(ROW('CASE MASTER'!#REF!)-1)))&amp;TRIM(MID(SUBSTITUTE(SUBSTITUTE(INDEX('CASE MASTER'!$N$2:$N$495,(SUMPRODUCT((('CASE MASTER'!$T$2:$T$495=2)*('CASE MASTER'!$U$2:$U$495&lt;=6)*('CASE MASTER'!$W$2:$W$495&gt;=6)*('CASE MASTER'!$V$2:$V$495&lt;=1)*('CASE MASTER'!$X$2:$X$495&gt;=1))*ROW('CASE MASTER'!$T$2:$T$495))-(ROW('CASE MASTER'!#REF!)-1))),":",","),",",REPT(" ",50)),((((6-INDEX('CASE MASTER'!$U$2:$U$495,(SUMPRODUCT((('CASE MASTER'!$T$2:$T$495=2)*('CASE MASTER'!$U$2:$U$495&lt;=6)*('CASE MASTER'!$W$2:$W$495&gt;=6)*('CASE MASTER'!$V$2:$V$495&lt;=1)*('CASE MASTER'!$X$2:$X$495&gt;=1))*ROW('CASE MASTER'!$T$2:$T$495))-(ROW('CASE MASTER'!#REF!)-1))))*(INDEX('CASE MASTER'!$X$2:$X$495,(SUMPRODUCT((('CASE MASTER'!$T$2:$T$495=2)*('CASE MASTER'!$U$2:$U$495&lt;=6)*('CASE MASTER'!$W$2:$W$495&gt;=6)*('CASE MASTER'!$V$2:$V$495&lt;=1)*('CASE MASTER'!$X$2:$X$495&gt;=1))*ROW('CASE MASTER'!$T$2:$T$495))-(ROW('CASE MASTER'!#REF!)-1)))-INDEX('CASE MASTER'!$V$2:$V$495,(SUMPRODUCT((('CASE MASTER'!$T$2:$T$495=2)*('CASE MASTER'!$U$2:$U$495&lt;=6)*('CASE MASTER'!$W$2:$W$495&gt;=6)*('CASE MASTER'!$V$2:$V$495&lt;=1)*('CASE MASTER'!$X$2:$X$495&gt;=1))*ROW('CASE MASTER'!$T$2:$T$495))-(ROW('CASE MASTER'!#REF!)-1)))+1)+(1-INDEX('CASE MASTER'!$V$2:$V$495,(SUMPRODUCT((('CASE MASTER'!$T$2:$T$495=2)*('CASE MASTER'!$U$2:$U$495&lt;=6)*('CASE MASTER'!$W$2:$W$495&gt;=6)*('CASE MASTER'!$V$2:$V$495&lt;=1)*('CASE MASTER'!$X$2:$X$495&gt;=1))*ROW('CASE MASTER'!$T$2:$T$495))-(ROW('CASE MASTER'!#REF!)-1))))+1))-1)*50+1,50))&amp;"_"&amp;INDEX('CASE MASTER'!$Q$2:$Q$495,(SUMPRODUCT((('CASE MASTER'!$T$2:$T$495=2)*('CASE MASTER'!$U$2:$U$495&lt;=6)*('CASE MASTER'!$W$2:$W$495&gt;=6)*('CASE MASTER'!$V$2:$V$495&lt;=1)*('CASE MASTER'!$X$2:$X$495&gt;=1))*ROW('CASE MASTER'!$T$2:$T$495))-(ROW('CASE MASTER'!#REF!)-1))),IF(SUMPRODUCT((('CASE MASTER'!$T$2:$T$495=2)*('CASE MASTER'!$AA$2:$AA$495&lt;=6)*('CASE MASTER'!$AC$2:$AC$495&gt;=6)*('CASE MASTER'!$AB$2:$AB$495&lt;=1)*('CASE MASTER'!$AD$2:$AD$495&gt;=1))*ROW('CASE MASTER'!$T$2:$T$495))&gt;0,INDEX('CASE MASTER'!$Y$2:$Y$495,(SUMPRODUCT((('CASE MASTER'!$T$2:$T$495=2)*('CASE MASTER'!$AA$2:$AA$495&lt;=6)*('CASE MASTER'!$AC$2:$AC$495&gt;=6)*('CASE MASTER'!$AB$2:$AB$495&lt;=1)*('CASE MASTER'!$AD$2:$AD$495&gt;=1))*ROW('CASE MASTER'!$T$2:$T$495))-(ROW('CASE MASTER'!#REF!)-1)))&amp;TRIM(MID(SUBSTITUTE(SUBSTITUTE(INDEX('CASE MASTER'!$N$2:$N$495,(SUMPRODUCT((('CASE MASTER'!$T$2:$T$495=2)*('CASE MASTER'!$AA$2:$AA$495&lt;=6)*('CASE MASTER'!$AC$2:$AC$495&gt;=6)*('CASE MASTER'!$AB$2:$AB$495&lt;=1)*('CASE MASTER'!$AD$2:$AD$495&gt;=1))*ROW('CASE MASTER'!$T$2:$T$495))-(ROW('CASE MASTER'!#REF!)-1))),":",","),",",REPT(" ",50)),(((INDEX('CASE MASTER'!$Z$2:$Z$495,(SUMPRODUCT((('CASE MASTER'!$T$2:$T$495=2)*('CASE MASTER'!$AA$2:$AA$495&lt;=6)*('CASE MASTER'!$AC$2:$AC$495&gt;=6)*('CASE MASTER'!$AB$2:$AB$495&lt;=1)*('CASE MASTER'!$AD$2:$AD$495&gt;=1))*ROW('CASE MASTER'!$T$2:$T$495))-(ROW('CASE MASTER'!#REF!)-1)))+((6-INDEX('CASE MASTER'!$AA$2:$AA$495,(SUMPRODUCT((('CASE MASTER'!$T$2:$T$495=2)*('CASE MASTER'!$AA$2:$AA$495&lt;=6)*('CASE MASTER'!$AC$2:$AC$495&gt;=6)*('CASE MASTER'!$AB$2:$AB$495&lt;=1)*('CASE MASTER'!$AD$2:$AD$495&gt;=1))*ROW('CASE MASTER'!$T$2:$T$495))-(ROW('CASE MASTER'!#REF!)-1))))*(INDEX('CASE MASTER'!$AD$2:$AD$495,(SUMPRODUCT((('CASE MASTER'!$T$2:$T$495=2)*('CASE MASTER'!$AA$2:$AA$495&lt;=6)*('CASE MASTER'!$AC$2:$AC$495&gt;=6)*('CASE MASTER'!$AB$2:$AB$495&lt;=1)*('CASE MASTER'!$AD$2:$AD$495&gt;=1))*ROW('CASE MASTER'!$T$2:$T$495))-(ROW('CASE MASTER'!#REF!)-1)))-INDEX('CASE MASTER'!$AB$2:$AB$495,(SUMPRODUCT((('CASE MASTER'!$T$2:$T$495=2)*('CASE MASTER'!$AA$2:$AA$495&lt;=6)*('CASE MASTER'!$AC$2:$AC$495&gt;=6)*('CASE MASTER'!$AB$2:$AB$495&lt;=1)*('CASE MASTER'!$AD$2:$AD$495&gt;=1))*ROW('CASE MASTER'!$T$2:$T$495))-(ROW('CASE MASTER'!#REF!)-1)))+1)+(1-INDEX('CASE MASTER'!$AB$2:$AB$495,(SUMPRODUCT((('CASE MASTER'!$T$2:$T$495=2)*('CASE MASTER'!$AA$2:$AA$495&lt;=6)*('CASE MASTER'!$AC$2:$AC$495&gt;=6)*('CASE MASTER'!$AB$2:$AB$495&lt;=1)*('CASE MASTER'!$AD$2:$AD$495&gt;=1))*ROW('CASE MASTER'!$T$2:$T$495))-(ROW('CASE MASTER'!#REF!)-1))))+1)))-1)*50+1,50))&amp;"_"&amp;INDEX('CASE MASTER'!$Q$2:$Q$495,(SUMPRODUCT((('CASE MASTER'!$T$2:$T$495=2)*('CASE MASTER'!$AA$2:$AA$495&lt;=6)*('CASE MASTER'!$AC$2:$AC$495&gt;=6)*('CASE MASTER'!$AB$2:$AB$495&lt;=1)*('CASE MASTER'!$AD$2:$AD$495&gt;=1))*ROW('CASE MASTER'!$T$2:$T$495))-(ROW('CASE MASTER'!#REF!)-1))),"")),"")</f>
        <v/>
      </c>
      <c r="C22" s="10" t="str">
        <f>IFERROR(IF(SUMPRODUCT((('CASE MASTER'!$T$2:$T$495=2)*('CASE MASTER'!$U$2:$U$495&lt;=6)*('CASE MASTER'!$W$2:$W$495&gt;=6)*('CASE MASTER'!$V$2:$V$495&lt;=2)*('CASE MASTER'!$X$2:$X$495&gt;=2))*ROW('CASE MASTER'!$T$2:$T$495))&gt;0,INDEX('CASE MASTER'!$Y$2:$Y$495,(SUMPRODUCT((('CASE MASTER'!$T$2:$T$495=2)*('CASE MASTER'!$U$2:$U$495&lt;=6)*('CASE MASTER'!$W$2:$W$495&gt;=6)*('CASE MASTER'!$V$2:$V$495&lt;=2)*('CASE MASTER'!$X$2:$X$495&gt;=2))*ROW('CASE MASTER'!$T$2:$T$495))-(ROW('CASE MASTER'!#REF!)-1)))&amp;TRIM(MID(SUBSTITUTE(SUBSTITUTE(INDEX('CASE MASTER'!$N$2:$N$495,(SUMPRODUCT((('CASE MASTER'!$T$2:$T$495=2)*('CASE MASTER'!$U$2:$U$495&lt;=6)*('CASE MASTER'!$W$2:$W$495&gt;=6)*('CASE MASTER'!$V$2:$V$495&lt;=2)*('CASE MASTER'!$X$2:$X$495&gt;=2))*ROW('CASE MASTER'!$T$2:$T$495))-(ROW('CASE MASTER'!#REF!)-1))),":",","),",",REPT(" ",50)),((((6-INDEX('CASE MASTER'!$U$2:$U$495,(SUMPRODUCT((('CASE MASTER'!$T$2:$T$495=2)*('CASE MASTER'!$U$2:$U$495&lt;=6)*('CASE MASTER'!$W$2:$W$495&gt;=6)*('CASE MASTER'!$V$2:$V$495&lt;=2)*('CASE MASTER'!$X$2:$X$495&gt;=2))*ROW('CASE MASTER'!$T$2:$T$495))-(ROW('CASE MASTER'!#REF!)-1))))*(INDEX('CASE MASTER'!$X$2:$X$495,(SUMPRODUCT((('CASE MASTER'!$T$2:$T$495=2)*('CASE MASTER'!$U$2:$U$495&lt;=6)*('CASE MASTER'!$W$2:$W$495&gt;=6)*('CASE MASTER'!$V$2:$V$495&lt;=2)*('CASE MASTER'!$X$2:$X$495&gt;=2))*ROW('CASE MASTER'!$T$2:$T$495))-(ROW('CASE MASTER'!#REF!)-1)))-INDEX('CASE MASTER'!$V$2:$V$495,(SUMPRODUCT((('CASE MASTER'!$T$2:$T$495=2)*('CASE MASTER'!$U$2:$U$495&lt;=6)*('CASE MASTER'!$W$2:$W$495&gt;=6)*('CASE MASTER'!$V$2:$V$495&lt;=2)*('CASE MASTER'!$X$2:$X$495&gt;=2))*ROW('CASE MASTER'!$T$2:$T$495))-(ROW('CASE MASTER'!#REF!)-1)))+1)+(2-INDEX('CASE MASTER'!$V$2:$V$495,(SUMPRODUCT((('CASE MASTER'!$T$2:$T$495=2)*('CASE MASTER'!$U$2:$U$495&lt;=6)*('CASE MASTER'!$W$2:$W$495&gt;=6)*('CASE MASTER'!$V$2:$V$495&lt;=2)*('CASE MASTER'!$X$2:$X$495&gt;=2))*ROW('CASE MASTER'!$T$2:$T$495))-(ROW('CASE MASTER'!#REF!)-1))))+1))-1)*50+1,50))&amp;"_"&amp;INDEX('CASE MASTER'!$Q$2:$Q$495,(SUMPRODUCT((('CASE MASTER'!$T$2:$T$495=2)*('CASE MASTER'!$U$2:$U$495&lt;=6)*('CASE MASTER'!$W$2:$W$495&gt;=6)*('CASE MASTER'!$V$2:$V$495&lt;=2)*('CASE MASTER'!$X$2:$X$495&gt;=2))*ROW('CASE MASTER'!$T$2:$T$495))-(ROW('CASE MASTER'!#REF!)-1))),IF(SUMPRODUCT((('CASE MASTER'!$T$2:$T$495=2)*('CASE MASTER'!$AA$2:$AA$495&lt;=6)*('CASE MASTER'!$AC$2:$AC$495&gt;=6)*('CASE MASTER'!$AB$2:$AB$495&lt;=2)*('CASE MASTER'!$AD$2:$AD$495&gt;=2))*ROW('CASE MASTER'!$T$2:$T$495))&gt;0,INDEX('CASE MASTER'!$Y$2:$Y$495,(SUMPRODUCT((('CASE MASTER'!$T$2:$T$495=2)*('CASE MASTER'!$AA$2:$AA$495&lt;=6)*('CASE MASTER'!$AC$2:$AC$495&gt;=6)*('CASE MASTER'!$AB$2:$AB$495&lt;=2)*('CASE MASTER'!$AD$2:$AD$495&gt;=2))*ROW('CASE MASTER'!$T$2:$T$495))-(ROW('CASE MASTER'!#REF!)-1)))&amp;TRIM(MID(SUBSTITUTE(SUBSTITUTE(INDEX('CASE MASTER'!$N$2:$N$495,(SUMPRODUCT((('CASE MASTER'!$T$2:$T$495=2)*('CASE MASTER'!$AA$2:$AA$495&lt;=6)*('CASE MASTER'!$AC$2:$AC$495&gt;=6)*('CASE MASTER'!$AB$2:$AB$495&lt;=2)*('CASE MASTER'!$AD$2:$AD$495&gt;=2))*ROW('CASE MASTER'!$T$2:$T$495))-(ROW('CASE MASTER'!#REF!)-1))),":",","),",",REPT(" ",50)),(((INDEX('CASE MASTER'!$Z$2:$Z$495,(SUMPRODUCT((('CASE MASTER'!$T$2:$T$495=2)*('CASE MASTER'!$AA$2:$AA$495&lt;=6)*('CASE MASTER'!$AC$2:$AC$495&gt;=6)*('CASE MASTER'!$AB$2:$AB$495&lt;=2)*('CASE MASTER'!$AD$2:$AD$495&gt;=2))*ROW('CASE MASTER'!$T$2:$T$495))-(ROW('CASE MASTER'!#REF!)-1)))+((6-INDEX('CASE MASTER'!$AA$2:$AA$495,(SUMPRODUCT((('CASE MASTER'!$T$2:$T$495=2)*('CASE MASTER'!$AA$2:$AA$495&lt;=6)*('CASE MASTER'!$AC$2:$AC$495&gt;=6)*('CASE MASTER'!$AB$2:$AB$495&lt;=2)*('CASE MASTER'!$AD$2:$AD$495&gt;=2))*ROW('CASE MASTER'!$T$2:$T$495))-(ROW('CASE MASTER'!#REF!)-1))))*(INDEX('CASE MASTER'!$AD$2:$AD$495,(SUMPRODUCT((('CASE MASTER'!$T$2:$T$495=2)*('CASE MASTER'!$AA$2:$AA$495&lt;=6)*('CASE MASTER'!$AC$2:$AC$495&gt;=6)*('CASE MASTER'!$AB$2:$AB$495&lt;=2)*('CASE MASTER'!$AD$2:$AD$495&gt;=2))*ROW('CASE MASTER'!$T$2:$T$495))-(ROW('CASE MASTER'!#REF!)-1)))-INDEX('CASE MASTER'!$AB$2:$AB$495,(SUMPRODUCT((('CASE MASTER'!$T$2:$T$495=2)*('CASE MASTER'!$AA$2:$AA$495&lt;=6)*('CASE MASTER'!$AC$2:$AC$495&gt;=6)*('CASE MASTER'!$AB$2:$AB$495&lt;=2)*('CASE MASTER'!$AD$2:$AD$495&gt;=2))*ROW('CASE MASTER'!$T$2:$T$495))-(ROW('CASE MASTER'!#REF!)-1)))+1)+(2-INDEX('CASE MASTER'!$AB$2:$AB$495,(SUMPRODUCT((('CASE MASTER'!$T$2:$T$495=2)*('CASE MASTER'!$AA$2:$AA$495&lt;=6)*('CASE MASTER'!$AC$2:$AC$495&gt;=6)*('CASE MASTER'!$AB$2:$AB$495&lt;=2)*('CASE MASTER'!$AD$2:$AD$495&gt;=2))*ROW('CASE MASTER'!$T$2:$T$495))-(ROW('CASE MASTER'!#REF!)-1))))+1)))-1)*50+1,50))&amp;"_"&amp;INDEX('CASE MASTER'!$Q$2:$Q$495,(SUMPRODUCT((('CASE MASTER'!$T$2:$T$495=2)*('CASE MASTER'!$AA$2:$AA$495&lt;=6)*('CASE MASTER'!$AC$2:$AC$495&gt;=6)*('CASE MASTER'!$AB$2:$AB$495&lt;=2)*('CASE MASTER'!$AD$2:$AD$495&gt;=2))*ROW('CASE MASTER'!$T$2:$T$495))-(ROW('CASE MASTER'!#REF!)-1))),"")),"")</f>
        <v/>
      </c>
      <c r="D22" s="10" t="str">
        <f>IFERROR(IF(SUMPRODUCT((('CASE MASTER'!$T$2:$T$495=2)*('CASE MASTER'!$U$2:$U$495&lt;=6)*('CASE MASTER'!$W$2:$W$495&gt;=6)*('CASE MASTER'!$V$2:$V$495&lt;=3)*('CASE MASTER'!$X$2:$X$495&gt;=3))*ROW('CASE MASTER'!$T$2:$T$495))&gt;0,INDEX('CASE MASTER'!$Y$2:$Y$495,(SUMPRODUCT((('CASE MASTER'!$T$2:$T$495=2)*('CASE MASTER'!$U$2:$U$495&lt;=6)*('CASE MASTER'!$W$2:$W$495&gt;=6)*('CASE MASTER'!$V$2:$V$495&lt;=3)*('CASE MASTER'!$X$2:$X$495&gt;=3))*ROW('CASE MASTER'!$T$2:$T$495))-(ROW('CASE MASTER'!#REF!)-1)))&amp;TRIM(MID(SUBSTITUTE(SUBSTITUTE(INDEX('CASE MASTER'!$N$2:$N$495,(SUMPRODUCT((('CASE MASTER'!$T$2:$T$495=2)*('CASE MASTER'!$U$2:$U$495&lt;=6)*('CASE MASTER'!$W$2:$W$495&gt;=6)*('CASE MASTER'!$V$2:$V$495&lt;=3)*('CASE MASTER'!$X$2:$X$495&gt;=3))*ROW('CASE MASTER'!$T$2:$T$495))-(ROW('CASE MASTER'!#REF!)-1))),":",","),",",REPT(" ",50)),((((6-INDEX('CASE MASTER'!$U$2:$U$495,(SUMPRODUCT((('CASE MASTER'!$T$2:$T$495=2)*('CASE MASTER'!$U$2:$U$495&lt;=6)*('CASE MASTER'!$W$2:$W$495&gt;=6)*('CASE MASTER'!$V$2:$V$495&lt;=3)*('CASE MASTER'!$X$2:$X$495&gt;=3))*ROW('CASE MASTER'!$T$2:$T$495))-(ROW('CASE MASTER'!#REF!)-1))))*(INDEX('CASE MASTER'!$X$2:$X$495,(SUMPRODUCT((('CASE MASTER'!$T$2:$T$495=2)*('CASE MASTER'!$U$2:$U$495&lt;=6)*('CASE MASTER'!$W$2:$W$495&gt;=6)*('CASE MASTER'!$V$2:$V$495&lt;=3)*('CASE MASTER'!$X$2:$X$495&gt;=3))*ROW('CASE MASTER'!$T$2:$T$495))-(ROW('CASE MASTER'!#REF!)-1)))-INDEX('CASE MASTER'!$V$2:$V$495,(SUMPRODUCT((('CASE MASTER'!$T$2:$T$495=2)*('CASE MASTER'!$U$2:$U$495&lt;=6)*('CASE MASTER'!$W$2:$W$495&gt;=6)*('CASE MASTER'!$V$2:$V$495&lt;=3)*('CASE MASTER'!$X$2:$X$495&gt;=3))*ROW('CASE MASTER'!$T$2:$T$495))-(ROW('CASE MASTER'!#REF!)-1)))+1)+(3-INDEX('CASE MASTER'!$V$2:$V$495,(SUMPRODUCT((('CASE MASTER'!$T$2:$T$495=2)*('CASE MASTER'!$U$2:$U$495&lt;=6)*('CASE MASTER'!$W$2:$W$495&gt;=6)*('CASE MASTER'!$V$2:$V$495&lt;=3)*('CASE MASTER'!$X$2:$X$495&gt;=3))*ROW('CASE MASTER'!$T$2:$T$495))-(ROW('CASE MASTER'!#REF!)-1))))+1))-1)*50+1,50))&amp;"_"&amp;INDEX('CASE MASTER'!$Q$2:$Q$495,(SUMPRODUCT((('CASE MASTER'!$T$2:$T$495=2)*('CASE MASTER'!$U$2:$U$495&lt;=6)*('CASE MASTER'!$W$2:$W$495&gt;=6)*('CASE MASTER'!$V$2:$V$495&lt;=3)*('CASE MASTER'!$X$2:$X$495&gt;=3))*ROW('CASE MASTER'!$T$2:$T$495))-(ROW('CASE MASTER'!#REF!)-1))),IF(SUMPRODUCT((('CASE MASTER'!$T$2:$T$495=2)*('CASE MASTER'!$AA$2:$AA$495&lt;=6)*('CASE MASTER'!$AC$2:$AC$495&gt;=6)*('CASE MASTER'!$AB$2:$AB$495&lt;=3)*('CASE MASTER'!$AD$2:$AD$495&gt;=3))*ROW('CASE MASTER'!$T$2:$T$495))&gt;0,INDEX('CASE MASTER'!$Y$2:$Y$495,(SUMPRODUCT((('CASE MASTER'!$T$2:$T$495=2)*('CASE MASTER'!$AA$2:$AA$495&lt;=6)*('CASE MASTER'!$AC$2:$AC$495&gt;=6)*('CASE MASTER'!$AB$2:$AB$495&lt;=3)*('CASE MASTER'!$AD$2:$AD$495&gt;=3))*ROW('CASE MASTER'!$T$2:$T$495))-(ROW('CASE MASTER'!#REF!)-1)))&amp;TRIM(MID(SUBSTITUTE(SUBSTITUTE(INDEX('CASE MASTER'!$N$2:$N$495,(SUMPRODUCT((('CASE MASTER'!$T$2:$T$495=2)*('CASE MASTER'!$AA$2:$AA$495&lt;=6)*('CASE MASTER'!$AC$2:$AC$495&gt;=6)*('CASE MASTER'!$AB$2:$AB$495&lt;=3)*('CASE MASTER'!$AD$2:$AD$495&gt;=3))*ROW('CASE MASTER'!$T$2:$T$495))-(ROW('CASE MASTER'!#REF!)-1))),":",","),",",REPT(" ",50)),(((INDEX('CASE MASTER'!$Z$2:$Z$495,(SUMPRODUCT((('CASE MASTER'!$T$2:$T$495=2)*('CASE MASTER'!$AA$2:$AA$495&lt;=6)*('CASE MASTER'!$AC$2:$AC$495&gt;=6)*('CASE MASTER'!$AB$2:$AB$495&lt;=3)*('CASE MASTER'!$AD$2:$AD$495&gt;=3))*ROW('CASE MASTER'!$T$2:$T$495))-(ROW('CASE MASTER'!#REF!)-1)))+((6-INDEX('CASE MASTER'!$AA$2:$AA$495,(SUMPRODUCT((('CASE MASTER'!$T$2:$T$495=2)*('CASE MASTER'!$AA$2:$AA$495&lt;=6)*('CASE MASTER'!$AC$2:$AC$495&gt;=6)*('CASE MASTER'!$AB$2:$AB$495&lt;=3)*('CASE MASTER'!$AD$2:$AD$495&gt;=3))*ROW('CASE MASTER'!$T$2:$T$495))-(ROW('CASE MASTER'!#REF!)-1))))*(INDEX('CASE MASTER'!$AD$2:$AD$495,(SUMPRODUCT((('CASE MASTER'!$T$2:$T$495=2)*('CASE MASTER'!$AA$2:$AA$495&lt;=6)*('CASE MASTER'!$AC$2:$AC$495&gt;=6)*('CASE MASTER'!$AB$2:$AB$495&lt;=3)*('CASE MASTER'!$AD$2:$AD$495&gt;=3))*ROW('CASE MASTER'!$T$2:$T$495))-(ROW('CASE MASTER'!#REF!)-1)))-INDEX('CASE MASTER'!$AB$2:$AB$495,(SUMPRODUCT((('CASE MASTER'!$T$2:$T$495=2)*('CASE MASTER'!$AA$2:$AA$495&lt;=6)*('CASE MASTER'!$AC$2:$AC$495&gt;=6)*('CASE MASTER'!$AB$2:$AB$495&lt;=3)*('CASE MASTER'!$AD$2:$AD$495&gt;=3))*ROW('CASE MASTER'!$T$2:$T$495))-(ROW('CASE MASTER'!#REF!)-1)))+1)+(3-INDEX('CASE MASTER'!$AB$2:$AB$495,(SUMPRODUCT((('CASE MASTER'!$T$2:$T$495=2)*('CASE MASTER'!$AA$2:$AA$495&lt;=6)*('CASE MASTER'!$AC$2:$AC$495&gt;=6)*('CASE MASTER'!$AB$2:$AB$495&lt;=3)*('CASE MASTER'!$AD$2:$AD$495&gt;=3))*ROW('CASE MASTER'!$T$2:$T$495))-(ROW('CASE MASTER'!#REF!)-1))))+1)))-1)*50+1,50))&amp;"_"&amp;INDEX('CASE MASTER'!$Q$2:$Q$495,(SUMPRODUCT((('CASE MASTER'!$T$2:$T$495=2)*('CASE MASTER'!$AA$2:$AA$495&lt;=6)*('CASE MASTER'!$AC$2:$AC$495&gt;=6)*('CASE MASTER'!$AB$2:$AB$495&lt;=3)*('CASE MASTER'!$AD$2:$AD$495&gt;=3))*ROW('CASE MASTER'!$T$2:$T$495))-(ROW('CASE MASTER'!#REF!)-1))),"")),"")</f>
        <v/>
      </c>
      <c r="E22" s="10" t="str">
        <f>IFERROR(IF(SUMPRODUCT((('CASE MASTER'!$T$2:$T$495=2)*('CASE MASTER'!$U$2:$U$495&lt;=6)*('CASE MASTER'!$W$2:$W$495&gt;=6)*('CASE MASTER'!$V$2:$V$495&lt;=4)*('CASE MASTER'!$X$2:$X$495&gt;=4))*ROW('CASE MASTER'!$T$2:$T$495))&gt;0,INDEX('CASE MASTER'!$Y$2:$Y$495,(SUMPRODUCT((('CASE MASTER'!$T$2:$T$495=2)*('CASE MASTER'!$U$2:$U$495&lt;=6)*('CASE MASTER'!$W$2:$W$495&gt;=6)*('CASE MASTER'!$V$2:$V$495&lt;=4)*('CASE MASTER'!$X$2:$X$495&gt;=4))*ROW('CASE MASTER'!$T$2:$T$495))-(ROW('CASE MASTER'!#REF!)-1)))&amp;TRIM(MID(SUBSTITUTE(SUBSTITUTE(INDEX('CASE MASTER'!$N$2:$N$495,(SUMPRODUCT((('CASE MASTER'!$T$2:$T$495=2)*('CASE MASTER'!$U$2:$U$495&lt;=6)*('CASE MASTER'!$W$2:$W$495&gt;=6)*('CASE MASTER'!$V$2:$V$495&lt;=4)*('CASE MASTER'!$X$2:$X$495&gt;=4))*ROW('CASE MASTER'!$T$2:$T$495))-(ROW('CASE MASTER'!#REF!)-1))),":",","),",",REPT(" ",50)),((((6-INDEX('CASE MASTER'!$U$2:$U$495,(SUMPRODUCT((('CASE MASTER'!$T$2:$T$495=2)*('CASE MASTER'!$U$2:$U$495&lt;=6)*('CASE MASTER'!$W$2:$W$495&gt;=6)*('CASE MASTER'!$V$2:$V$495&lt;=4)*('CASE MASTER'!$X$2:$X$495&gt;=4))*ROW('CASE MASTER'!$T$2:$T$495))-(ROW('CASE MASTER'!#REF!)-1))))*(INDEX('CASE MASTER'!$X$2:$X$495,(SUMPRODUCT((('CASE MASTER'!$T$2:$T$495=2)*('CASE MASTER'!$U$2:$U$495&lt;=6)*('CASE MASTER'!$W$2:$W$495&gt;=6)*('CASE MASTER'!$V$2:$V$495&lt;=4)*('CASE MASTER'!$X$2:$X$495&gt;=4))*ROW('CASE MASTER'!$T$2:$T$495))-(ROW('CASE MASTER'!#REF!)-1)))-INDEX('CASE MASTER'!$V$2:$V$495,(SUMPRODUCT((('CASE MASTER'!$T$2:$T$495=2)*('CASE MASTER'!$U$2:$U$495&lt;=6)*('CASE MASTER'!$W$2:$W$495&gt;=6)*('CASE MASTER'!$V$2:$V$495&lt;=4)*('CASE MASTER'!$X$2:$X$495&gt;=4))*ROW('CASE MASTER'!$T$2:$T$495))-(ROW('CASE MASTER'!#REF!)-1)))+1)+(4-INDEX('CASE MASTER'!$V$2:$V$495,(SUMPRODUCT((('CASE MASTER'!$T$2:$T$495=2)*('CASE MASTER'!$U$2:$U$495&lt;=6)*('CASE MASTER'!$W$2:$W$495&gt;=6)*('CASE MASTER'!$V$2:$V$495&lt;=4)*('CASE MASTER'!$X$2:$X$495&gt;=4))*ROW('CASE MASTER'!$T$2:$T$495))-(ROW('CASE MASTER'!#REF!)-1))))+1))-1)*50+1,50))&amp;"_"&amp;INDEX('CASE MASTER'!$Q$2:$Q$495,(SUMPRODUCT((('CASE MASTER'!$T$2:$T$495=2)*('CASE MASTER'!$U$2:$U$495&lt;=6)*('CASE MASTER'!$W$2:$W$495&gt;=6)*('CASE MASTER'!$V$2:$V$495&lt;=4)*('CASE MASTER'!$X$2:$X$495&gt;=4))*ROW('CASE MASTER'!$T$2:$T$495))-(ROW('CASE MASTER'!#REF!)-1))),IF(SUMPRODUCT((('CASE MASTER'!$T$2:$T$495=2)*('CASE MASTER'!$AA$2:$AA$495&lt;=6)*('CASE MASTER'!$AC$2:$AC$495&gt;=6)*('CASE MASTER'!$AB$2:$AB$495&lt;=4)*('CASE MASTER'!$AD$2:$AD$495&gt;=4))*ROW('CASE MASTER'!$T$2:$T$495))&gt;0,INDEX('CASE MASTER'!$Y$2:$Y$495,(SUMPRODUCT((('CASE MASTER'!$T$2:$T$495=2)*('CASE MASTER'!$AA$2:$AA$495&lt;=6)*('CASE MASTER'!$AC$2:$AC$495&gt;=6)*('CASE MASTER'!$AB$2:$AB$495&lt;=4)*('CASE MASTER'!$AD$2:$AD$495&gt;=4))*ROW('CASE MASTER'!$T$2:$T$495))-(ROW('CASE MASTER'!#REF!)-1)))&amp;TRIM(MID(SUBSTITUTE(SUBSTITUTE(INDEX('CASE MASTER'!$N$2:$N$495,(SUMPRODUCT((('CASE MASTER'!$T$2:$T$495=2)*('CASE MASTER'!$AA$2:$AA$495&lt;=6)*('CASE MASTER'!$AC$2:$AC$495&gt;=6)*('CASE MASTER'!$AB$2:$AB$495&lt;=4)*('CASE MASTER'!$AD$2:$AD$495&gt;=4))*ROW('CASE MASTER'!$T$2:$T$495))-(ROW('CASE MASTER'!#REF!)-1))),":",","),",",REPT(" ",50)),(((INDEX('CASE MASTER'!$Z$2:$Z$495,(SUMPRODUCT((('CASE MASTER'!$T$2:$T$495=2)*('CASE MASTER'!$AA$2:$AA$495&lt;=6)*('CASE MASTER'!$AC$2:$AC$495&gt;=6)*('CASE MASTER'!$AB$2:$AB$495&lt;=4)*('CASE MASTER'!$AD$2:$AD$495&gt;=4))*ROW('CASE MASTER'!$T$2:$T$495))-(ROW('CASE MASTER'!#REF!)-1)))+((6-INDEX('CASE MASTER'!$AA$2:$AA$495,(SUMPRODUCT((('CASE MASTER'!$T$2:$T$495=2)*('CASE MASTER'!$AA$2:$AA$495&lt;=6)*('CASE MASTER'!$AC$2:$AC$495&gt;=6)*('CASE MASTER'!$AB$2:$AB$495&lt;=4)*('CASE MASTER'!$AD$2:$AD$495&gt;=4))*ROW('CASE MASTER'!$T$2:$T$495))-(ROW('CASE MASTER'!#REF!)-1))))*(INDEX('CASE MASTER'!$AD$2:$AD$495,(SUMPRODUCT((('CASE MASTER'!$T$2:$T$495=2)*('CASE MASTER'!$AA$2:$AA$495&lt;=6)*('CASE MASTER'!$AC$2:$AC$495&gt;=6)*('CASE MASTER'!$AB$2:$AB$495&lt;=4)*('CASE MASTER'!$AD$2:$AD$495&gt;=4))*ROW('CASE MASTER'!$T$2:$T$495))-(ROW('CASE MASTER'!#REF!)-1)))-INDEX('CASE MASTER'!$AB$2:$AB$495,(SUMPRODUCT((('CASE MASTER'!$T$2:$T$495=2)*('CASE MASTER'!$AA$2:$AA$495&lt;=6)*('CASE MASTER'!$AC$2:$AC$495&gt;=6)*('CASE MASTER'!$AB$2:$AB$495&lt;=4)*('CASE MASTER'!$AD$2:$AD$495&gt;=4))*ROW('CASE MASTER'!$T$2:$T$495))-(ROW('CASE MASTER'!#REF!)-1)))+1)+(4-INDEX('CASE MASTER'!$AB$2:$AB$495,(SUMPRODUCT((('CASE MASTER'!$T$2:$T$495=2)*('CASE MASTER'!$AA$2:$AA$495&lt;=6)*('CASE MASTER'!$AC$2:$AC$495&gt;=6)*('CASE MASTER'!$AB$2:$AB$495&lt;=4)*('CASE MASTER'!$AD$2:$AD$495&gt;=4))*ROW('CASE MASTER'!$T$2:$T$495))-(ROW('CASE MASTER'!#REF!)-1))))+1)))-1)*50+1,50))&amp;"_"&amp;INDEX('CASE MASTER'!$Q$2:$Q$495,(SUMPRODUCT((('CASE MASTER'!$T$2:$T$495=2)*('CASE MASTER'!$AA$2:$AA$495&lt;=6)*('CASE MASTER'!$AC$2:$AC$495&gt;=6)*('CASE MASTER'!$AB$2:$AB$495&lt;=4)*('CASE MASTER'!$AD$2:$AD$495&gt;=4))*ROW('CASE MASTER'!$T$2:$T$495))-(ROW('CASE MASTER'!#REF!)-1))),"")),"")</f>
        <v/>
      </c>
      <c r="F22" s="10" t="str">
        <f>IFERROR(IF(SUMPRODUCT((('CASE MASTER'!$T$2:$T$495=2)*('CASE MASTER'!$U$2:$U$495&lt;=6)*('CASE MASTER'!$W$2:$W$495&gt;=6)*('CASE MASTER'!$V$2:$V$495&lt;=5)*('CASE MASTER'!$X$2:$X$495&gt;=5))*ROW('CASE MASTER'!$T$2:$T$495))&gt;0,INDEX('CASE MASTER'!$Y$2:$Y$495,(SUMPRODUCT((('CASE MASTER'!$T$2:$T$495=2)*('CASE MASTER'!$U$2:$U$495&lt;=6)*('CASE MASTER'!$W$2:$W$495&gt;=6)*('CASE MASTER'!$V$2:$V$495&lt;=5)*('CASE MASTER'!$X$2:$X$495&gt;=5))*ROW('CASE MASTER'!$T$2:$T$495))-(ROW('CASE MASTER'!#REF!)-1)))&amp;TRIM(MID(SUBSTITUTE(SUBSTITUTE(INDEX('CASE MASTER'!$N$2:$N$495,(SUMPRODUCT((('CASE MASTER'!$T$2:$T$495=2)*('CASE MASTER'!$U$2:$U$495&lt;=6)*('CASE MASTER'!$W$2:$W$495&gt;=6)*('CASE MASTER'!$V$2:$V$495&lt;=5)*('CASE MASTER'!$X$2:$X$495&gt;=5))*ROW('CASE MASTER'!$T$2:$T$495))-(ROW('CASE MASTER'!#REF!)-1))),":",","),",",REPT(" ",50)),((((6-INDEX('CASE MASTER'!$U$2:$U$495,(SUMPRODUCT((('CASE MASTER'!$T$2:$T$495=2)*('CASE MASTER'!$U$2:$U$495&lt;=6)*('CASE MASTER'!$W$2:$W$495&gt;=6)*('CASE MASTER'!$V$2:$V$495&lt;=5)*('CASE MASTER'!$X$2:$X$495&gt;=5))*ROW('CASE MASTER'!$T$2:$T$495))-(ROW('CASE MASTER'!#REF!)-1))))*(INDEX('CASE MASTER'!$X$2:$X$495,(SUMPRODUCT((('CASE MASTER'!$T$2:$T$495=2)*('CASE MASTER'!$U$2:$U$495&lt;=6)*('CASE MASTER'!$W$2:$W$495&gt;=6)*('CASE MASTER'!$V$2:$V$495&lt;=5)*('CASE MASTER'!$X$2:$X$495&gt;=5))*ROW('CASE MASTER'!$T$2:$T$495))-(ROW('CASE MASTER'!#REF!)-1)))-INDEX('CASE MASTER'!$V$2:$V$495,(SUMPRODUCT((('CASE MASTER'!$T$2:$T$495=2)*('CASE MASTER'!$U$2:$U$495&lt;=6)*('CASE MASTER'!$W$2:$W$495&gt;=6)*('CASE MASTER'!$V$2:$V$495&lt;=5)*('CASE MASTER'!$X$2:$X$495&gt;=5))*ROW('CASE MASTER'!$T$2:$T$495))-(ROW('CASE MASTER'!#REF!)-1)))+1)+(5-INDEX('CASE MASTER'!$V$2:$V$495,(SUMPRODUCT((('CASE MASTER'!$T$2:$T$495=2)*('CASE MASTER'!$U$2:$U$495&lt;=6)*('CASE MASTER'!$W$2:$W$495&gt;=6)*('CASE MASTER'!$V$2:$V$495&lt;=5)*('CASE MASTER'!$X$2:$X$495&gt;=5))*ROW('CASE MASTER'!$T$2:$T$495))-(ROW('CASE MASTER'!#REF!)-1))))+1))-1)*50+1,50))&amp;"_"&amp;INDEX('CASE MASTER'!$Q$2:$Q$495,(SUMPRODUCT((('CASE MASTER'!$T$2:$T$495=2)*('CASE MASTER'!$U$2:$U$495&lt;=6)*('CASE MASTER'!$W$2:$W$495&gt;=6)*('CASE MASTER'!$V$2:$V$495&lt;=5)*('CASE MASTER'!$X$2:$X$495&gt;=5))*ROW('CASE MASTER'!$T$2:$T$495))-(ROW('CASE MASTER'!#REF!)-1))),IF(SUMPRODUCT((('CASE MASTER'!$T$2:$T$495=2)*('CASE MASTER'!$AA$2:$AA$495&lt;=6)*('CASE MASTER'!$AC$2:$AC$495&gt;=6)*('CASE MASTER'!$AB$2:$AB$495&lt;=5)*('CASE MASTER'!$AD$2:$AD$495&gt;=5))*ROW('CASE MASTER'!$T$2:$T$495))&gt;0,INDEX('CASE MASTER'!$Y$2:$Y$495,(SUMPRODUCT((('CASE MASTER'!$T$2:$T$495=2)*('CASE MASTER'!$AA$2:$AA$495&lt;=6)*('CASE MASTER'!$AC$2:$AC$495&gt;=6)*('CASE MASTER'!$AB$2:$AB$495&lt;=5)*('CASE MASTER'!$AD$2:$AD$495&gt;=5))*ROW('CASE MASTER'!$T$2:$T$495))-(ROW('CASE MASTER'!#REF!)-1)))&amp;TRIM(MID(SUBSTITUTE(SUBSTITUTE(INDEX('CASE MASTER'!$N$2:$N$495,(SUMPRODUCT((('CASE MASTER'!$T$2:$T$495=2)*('CASE MASTER'!$AA$2:$AA$495&lt;=6)*('CASE MASTER'!$AC$2:$AC$495&gt;=6)*('CASE MASTER'!$AB$2:$AB$495&lt;=5)*('CASE MASTER'!$AD$2:$AD$495&gt;=5))*ROW('CASE MASTER'!$T$2:$T$495))-(ROW('CASE MASTER'!#REF!)-1))),":",","),",",REPT(" ",50)),(((INDEX('CASE MASTER'!$Z$2:$Z$495,(SUMPRODUCT((('CASE MASTER'!$T$2:$T$495=2)*('CASE MASTER'!$AA$2:$AA$495&lt;=6)*('CASE MASTER'!$AC$2:$AC$495&gt;=6)*('CASE MASTER'!$AB$2:$AB$495&lt;=5)*('CASE MASTER'!$AD$2:$AD$495&gt;=5))*ROW('CASE MASTER'!$T$2:$T$495))-(ROW('CASE MASTER'!#REF!)-1)))+((6-INDEX('CASE MASTER'!$AA$2:$AA$495,(SUMPRODUCT((('CASE MASTER'!$T$2:$T$495=2)*('CASE MASTER'!$AA$2:$AA$495&lt;=6)*('CASE MASTER'!$AC$2:$AC$495&gt;=6)*('CASE MASTER'!$AB$2:$AB$495&lt;=5)*('CASE MASTER'!$AD$2:$AD$495&gt;=5))*ROW('CASE MASTER'!$T$2:$T$495))-(ROW('CASE MASTER'!#REF!)-1))))*(INDEX('CASE MASTER'!$AD$2:$AD$495,(SUMPRODUCT((('CASE MASTER'!$T$2:$T$495=2)*('CASE MASTER'!$AA$2:$AA$495&lt;=6)*('CASE MASTER'!$AC$2:$AC$495&gt;=6)*('CASE MASTER'!$AB$2:$AB$495&lt;=5)*('CASE MASTER'!$AD$2:$AD$495&gt;=5))*ROW('CASE MASTER'!$T$2:$T$495))-(ROW('CASE MASTER'!#REF!)-1)))-INDEX('CASE MASTER'!$AB$2:$AB$495,(SUMPRODUCT((('CASE MASTER'!$T$2:$T$495=2)*('CASE MASTER'!$AA$2:$AA$495&lt;=6)*('CASE MASTER'!$AC$2:$AC$495&gt;=6)*('CASE MASTER'!$AB$2:$AB$495&lt;=5)*('CASE MASTER'!$AD$2:$AD$495&gt;=5))*ROW('CASE MASTER'!$T$2:$T$495))-(ROW('CASE MASTER'!#REF!)-1)))+1)+(5-INDEX('CASE MASTER'!$AB$2:$AB$495,(SUMPRODUCT((('CASE MASTER'!$T$2:$T$495=2)*('CASE MASTER'!$AA$2:$AA$495&lt;=6)*('CASE MASTER'!$AC$2:$AC$495&gt;=6)*('CASE MASTER'!$AB$2:$AB$495&lt;=5)*('CASE MASTER'!$AD$2:$AD$495&gt;=5))*ROW('CASE MASTER'!$T$2:$T$495))-(ROW('CASE MASTER'!#REF!)-1))))+1)))-1)*50+1,50))&amp;"_"&amp;INDEX('CASE MASTER'!$Q$2:$Q$495,(SUMPRODUCT((('CASE MASTER'!$T$2:$T$495=2)*('CASE MASTER'!$AA$2:$AA$495&lt;=6)*('CASE MASTER'!$AC$2:$AC$495&gt;=6)*('CASE MASTER'!$AB$2:$AB$495&lt;=5)*('CASE MASTER'!$AD$2:$AD$495&gt;=5))*ROW('CASE MASTER'!$T$2:$T$495))-(ROW('CASE MASTER'!#REF!)-1))),"")),"")</f>
        <v/>
      </c>
      <c r="G22" s="10" t="str">
        <f>IFERROR(IF(SUMPRODUCT((('CASE MASTER'!$T$2:$T$495=2)*('CASE MASTER'!$U$2:$U$495&lt;=6)*('CASE MASTER'!$W$2:$W$495&gt;=6)*('CASE MASTER'!$V$2:$V$495&lt;=6)*('CASE MASTER'!$X$2:$X$495&gt;=6))*ROW('CASE MASTER'!$T$2:$T$495))&gt;0,INDEX('CASE MASTER'!$Y$2:$Y$495,(SUMPRODUCT((('CASE MASTER'!$T$2:$T$495=2)*('CASE MASTER'!$U$2:$U$495&lt;=6)*('CASE MASTER'!$W$2:$W$495&gt;=6)*('CASE MASTER'!$V$2:$V$495&lt;=6)*('CASE MASTER'!$X$2:$X$495&gt;=6))*ROW('CASE MASTER'!$T$2:$T$495))-(ROW('CASE MASTER'!#REF!)-1)))&amp;TRIM(MID(SUBSTITUTE(SUBSTITUTE(INDEX('CASE MASTER'!$N$2:$N$495,(SUMPRODUCT((('CASE MASTER'!$T$2:$T$495=2)*('CASE MASTER'!$U$2:$U$495&lt;=6)*('CASE MASTER'!$W$2:$W$495&gt;=6)*('CASE MASTER'!$V$2:$V$495&lt;=6)*('CASE MASTER'!$X$2:$X$495&gt;=6))*ROW('CASE MASTER'!$T$2:$T$495))-(ROW('CASE MASTER'!#REF!)-1))),":",","),",",REPT(" ",50)),((((6-INDEX('CASE MASTER'!$U$2:$U$495,(SUMPRODUCT((('CASE MASTER'!$T$2:$T$495=2)*('CASE MASTER'!$U$2:$U$495&lt;=6)*('CASE MASTER'!$W$2:$W$495&gt;=6)*('CASE MASTER'!$V$2:$V$495&lt;=6)*('CASE MASTER'!$X$2:$X$495&gt;=6))*ROW('CASE MASTER'!$T$2:$T$495))-(ROW('CASE MASTER'!#REF!)-1))))*(INDEX('CASE MASTER'!$X$2:$X$495,(SUMPRODUCT((('CASE MASTER'!$T$2:$T$495=2)*('CASE MASTER'!$U$2:$U$495&lt;=6)*('CASE MASTER'!$W$2:$W$495&gt;=6)*('CASE MASTER'!$V$2:$V$495&lt;=6)*('CASE MASTER'!$X$2:$X$495&gt;=6))*ROW('CASE MASTER'!$T$2:$T$495))-(ROW('CASE MASTER'!#REF!)-1)))-INDEX('CASE MASTER'!$V$2:$V$495,(SUMPRODUCT((('CASE MASTER'!$T$2:$T$495=2)*('CASE MASTER'!$U$2:$U$495&lt;=6)*('CASE MASTER'!$W$2:$W$495&gt;=6)*('CASE MASTER'!$V$2:$V$495&lt;=6)*('CASE MASTER'!$X$2:$X$495&gt;=6))*ROW('CASE MASTER'!$T$2:$T$495))-(ROW('CASE MASTER'!#REF!)-1)))+1)+(6-INDEX('CASE MASTER'!$V$2:$V$495,(SUMPRODUCT((('CASE MASTER'!$T$2:$T$495=2)*('CASE MASTER'!$U$2:$U$495&lt;=6)*('CASE MASTER'!$W$2:$W$495&gt;=6)*('CASE MASTER'!$V$2:$V$495&lt;=6)*('CASE MASTER'!$X$2:$X$495&gt;=6))*ROW('CASE MASTER'!$T$2:$T$495))-(ROW('CASE MASTER'!#REF!)-1))))+1))-1)*50+1,50))&amp;"_"&amp;INDEX('CASE MASTER'!$Q$2:$Q$495,(SUMPRODUCT((('CASE MASTER'!$T$2:$T$495=2)*('CASE MASTER'!$U$2:$U$495&lt;=6)*('CASE MASTER'!$W$2:$W$495&gt;=6)*('CASE MASTER'!$V$2:$V$495&lt;=6)*('CASE MASTER'!$X$2:$X$495&gt;=6))*ROW('CASE MASTER'!$T$2:$T$495))-(ROW('CASE MASTER'!#REF!)-1))),IF(SUMPRODUCT((('CASE MASTER'!$T$2:$T$495=2)*('CASE MASTER'!$AA$2:$AA$495&lt;=6)*('CASE MASTER'!$AC$2:$AC$495&gt;=6)*('CASE MASTER'!$AB$2:$AB$495&lt;=6)*('CASE MASTER'!$AD$2:$AD$495&gt;=6))*ROW('CASE MASTER'!$T$2:$T$495))&gt;0,INDEX('CASE MASTER'!$Y$2:$Y$495,(SUMPRODUCT((('CASE MASTER'!$T$2:$T$495=2)*('CASE MASTER'!$AA$2:$AA$495&lt;=6)*('CASE MASTER'!$AC$2:$AC$495&gt;=6)*('CASE MASTER'!$AB$2:$AB$495&lt;=6)*('CASE MASTER'!$AD$2:$AD$495&gt;=6))*ROW('CASE MASTER'!$T$2:$T$495))-(ROW('CASE MASTER'!#REF!)-1)))&amp;TRIM(MID(SUBSTITUTE(SUBSTITUTE(INDEX('CASE MASTER'!$N$2:$N$495,(SUMPRODUCT((('CASE MASTER'!$T$2:$T$495=2)*('CASE MASTER'!$AA$2:$AA$495&lt;=6)*('CASE MASTER'!$AC$2:$AC$495&gt;=6)*('CASE MASTER'!$AB$2:$AB$495&lt;=6)*('CASE MASTER'!$AD$2:$AD$495&gt;=6))*ROW('CASE MASTER'!$T$2:$T$495))-(ROW('CASE MASTER'!#REF!)-1))),":",","),",",REPT(" ",50)),(((INDEX('CASE MASTER'!$Z$2:$Z$495,(SUMPRODUCT((('CASE MASTER'!$T$2:$T$495=2)*('CASE MASTER'!$AA$2:$AA$495&lt;=6)*('CASE MASTER'!$AC$2:$AC$495&gt;=6)*('CASE MASTER'!$AB$2:$AB$495&lt;=6)*('CASE MASTER'!$AD$2:$AD$495&gt;=6))*ROW('CASE MASTER'!$T$2:$T$495))-(ROW('CASE MASTER'!#REF!)-1)))+((6-INDEX('CASE MASTER'!$AA$2:$AA$495,(SUMPRODUCT((('CASE MASTER'!$T$2:$T$495=2)*('CASE MASTER'!$AA$2:$AA$495&lt;=6)*('CASE MASTER'!$AC$2:$AC$495&gt;=6)*('CASE MASTER'!$AB$2:$AB$495&lt;=6)*('CASE MASTER'!$AD$2:$AD$495&gt;=6))*ROW('CASE MASTER'!$T$2:$T$495))-(ROW('CASE MASTER'!#REF!)-1))))*(INDEX('CASE MASTER'!$AD$2:$AD$495,(SUMPRODUCT((('CASE MASTER'!$T$2:$T$495=2)*('CASE MASTER'!$AA$2:$AA$495&lt;=6)*('CASE MASTER'!$AC$2:$AC$495&gt;=6)*('CASE MASTER'!$AB$2:$AB$495&lt;=6)*('CASE MASTER'!$AD$2:$AD$495&gt;=6))*ROW('CASE MASTER'!$T$2:$T$495))-(ROW('CASE MASTER'!#REF!)-1)))-INDEX('CASE MASTER'!$AB$2:$AB$495,(SUMPRODUCT((('CASE MASTER'!$T$2:$T$495=2)*('CASE MASTER'!$AA$2:$AA$495&lt;=6)*('CASE MASTER'!$AC$2:$AC$495&gt;=6)*('CASE MASTER'!$AB$2:$AB$495&lt;=6)*('CASE MASTER'!$AD$2:$AD$495&gt;=6))*ROW('CASE MASTER'!$T$2:$T$495))-(ROW('CASE MASTER'!#REF!)-1)))+1)+(6-INDEX('CASE MASTER'!$AB$2:$AB$495,(SUMPRODUCT((('CASE MASTER'!$T$2:$T$495=2)*('CASE MASTER'!$AA$2:$AA$495&lt;=6)*('CASE MASTER'!$AC$2:$AC$495&gt;=6)*('CASE MASTER'!$AB$2:$AB$495&lt;=6)*('CASE MASTER'!$AD$2:$AD$495&gt;=6))*ROW('CASE MASTER'!$T$2:$T$495))-(ROW('CASE MASTER'!#REF!)-1))))+1)))-1)*50+1,50))&amp;"_"&amp;INDEX('CASE MASTER'!$Q$2:$Q$495,(SUMPRODUCT((('CASE MASTER'!$T$2:$T$495=2)*('CASE MASTER'!$AA$2:$AA$495&lt;=6)*('CASE MASTER'!$AC$2:$AC$495&gt;=6)*('CASE MASTER'!$AB$2:$AB$495&lt;=6)*('CASE MASTER'!$AD$2:$AD$495&gt;=6))*ROW('CASE MASTER'!$T$2:$T$495))-(ROW('CASE MASTER'!#REF!)-1))),"")),"")</f>
        <v/>
      </c>
      <c r="H22" s="10" t="str">
        <f>IFERROR(IF(SUMPRODUCT((('CASE MASTER'!$T$2:$T$495=2)*('CASE MASTER'!$U$2:$U$495&lt;=6)*('CASE MASTER'!$W$2:$W$495&gt;=6)*('CASE MASTER'!$V$2:$V$495&lt;=7)*('CASE MASTER'!$X$2:$X$495&gt;=7))*ROW('CASE MASTER'!$T$2:$T$495))&gt;0,INDEX('CASE MASTER'!$Y$2:$Y$495,(SUMPRODUCT((('CASE MASTER'!$T$2:$T$495=2)*('CASE MASTER'!$U$2:$U$495&lt;=6)*('CASE MASTER'!$W$2:$W$495&gt;=6)*('CASE MASTER'!$V$2:$V$495&lt;=7)*('CASE MASTER'!$X$2:$X$495&gt;=7))*ROW('CASE MASTER'!$T$2:$T$495))-(ROW('CASE MASTER'!#REF!)-1)))&amp;TRIM(MID(SUBSTITUTE(SUBSTITUTE(INDEX('CASE MASTER'!$N$2:$N$495,(SUMPRODUCT((('CASE MASTER'!$T$2:$T$495=2)*('CASE MASTER'!$U$2:$U$495&lt;=6)*('CASE MASTER'!$W$2:$W$495&gt;=6)*('CASE MASTER'!$V$2:$V$495&lt;=7)*('CASE MASTER'!$X$2:$X$495&gt;=7))*ROW('CASE MASTER'!$T$2:$T$495))-(ROW('CASE MASTER'!#REF!)-1))),":",","),",",REPT(" ",50)),((((6-INDEX('CASE MASTER'!$U$2:$U$495,(SUMPRODUCT((('CASE MASTER'!$T$2:$T$495=2)*('CASE MASTER'!$U$2:$U$495&lt;=6)*('CASE MASTER'!$W$2:$W$495&gt;=6)*('CASE MASTER'!$V$2:$V$495&lt;=7)*('CASE MASTER'!$X$2:$X$495&gt;=7))*ROW('CASE MASTER'!$T$2:$T$495))-(ROW('CASE MASTER'!#REF!)-1))))*(INDEX('CASE MASTER'!$X$2:$X$495,(SUMPRODUCT((('CASE MASTER'!$T$2:$T$495=2)*('CASE MASTER'!$U$2:$U$495&lt;=6)*('CASE MASTER'!$W$2:$W$495&gt;=6)*('CASE MASTER'!$V$2:$V$495&lt;=7)*('CASE MASTER'!$X$2:$X$495&gt;=7))*ROW('CASE MASTER'!$T$2:$T$495))-(ROW('CASE MASTER'!#REF!)-1)))-INDEX('CASE MASTER'!$V$2:$V$495,(SUMPRODUCT((('CASE MASTER'!$T$2:$T$495=2)*('CASE MASTER'!$U$2:$U$495&lt;=6)*('CASE MASTER'!$W$2:$W$495&gt;=6)*('CASE MASTER'!$V$2:$V$495&lt;=7)*('CASE MASTER'!$X$2:$X$495&gt;=7))*ROW('CASE MASTER'!$T$2:$T$495))-(ROW('CASE MASTER'!#REF!)-1)))+1)+(7-INDEX('CASE MASTER'!$V$2:$V$495,(SUMPRODUCT((('CASE MASTER'!$T$2:$T$495=2)*('CASE MASTER'!$U$2:$U$495&lt;=6)*('CASE MASTER'!$W$2:$W$495&gt;=6)*('CASE MASTER'!$V$2:$V$495&lt;=7)*('CASE MASTER'!$X$2:$X$495&gt;=7))*ROW('CASE MASTER'!$T$2:$T$495))-(ROW('CASE MASTER'!#REF!)-1))))+1))-1)*50+1,50))&amp;"_"&amp;INDEX('CASE MASTER'!$Q$2:$Q$495,(SUMPRODUCT((('CASE MASTER'!$T$2:$T$495=2)*('CASE MASTER'!$U$2:$U$495&lt;=6)*('CASE MASTER'!$W$2:$W$495&gt;=6)*('CASE MASTER'!$V$2:$V$495&lt;=7)*('CASE MASTER'!$X$2:$X$495&gt;=7))*ROW('CASE MASTER'!$T$2:$T$495))-(ROW('CASE MASTER'!#REF!)-1))),IF(SUMPRODUCT((('CASE MASTER'!$T$2:$T$495=2)*('CASE MASTER'!$AA$2:$AA$495&lt;=6)*('CASE MASTER'!$AC$2:$AC$495&gt;=6)*('CASE MASTER'!$AB$2:$AB$495&lt;=7)*('CASE MASTER'!$AD$2:$AD$495&gt;=7))*ROW('CASE MASTER'!$T$2:$T$495))&gt;0,INDEX('CASE MASTER'!$Y$2:$Y$495,(SUMPRODUCT((('CASE MASTER'!$T$2:$T$495=2)*('CASE MASTER'!$AA$2:$AA$495&lt;=6)*('CASE MASTER'!$AC$2:$AC$495&gt;=6)*('CASE MASTER'!$AB$2:$AB$495&lt;=7)*('CASE MASTER'!$AD$2:$AD$495&gt;=7))*ROW('CASE MASTER'!$T$2:$T$495))-(ROW('CASE MASTER'!#REF!)-1)))&amp;TRIM(MID(SUBSTITUTE(SUBSTITUTE(INDEX('CASE MASTER'!$N$2:$N$495,(SUMPRODUCT((('CASE MASTER'!$T$2:$T$495=2)*('CASE MASTER'!$AA$2:$AA$495&lt;=6)*('CASE MASTER'!$AC$2:$AC$495&gt;=6)*('CASE MASTER'!$AB$2:$AB$495&lt;=7)*('CASE MASTER'!$AD$2:$AD$495&gt;=7))*ROW('CASE MASTER'!$T$2:$T$495))-(ROW('CASE MASTER'!#REF!)-1))),":",","),",",REPT(" ",50)),(((INDEX('CASE MASTER'!$Z$2:$Z$495,(SUMPRODUCT((('CASE MASTER'!$T$2:$T$495=2)*('CASE MASTER'!$AA$2:$AA$495&lt;=6)*('CASE MASTER'!$AC$2:$AC$495&gt;=6)*('CASE MASTER'!$AB$2:$AB$495&lt;=7)*('CASE MASTER'!$AD$2:$AD$495&gt;=7))*ROW('CASE MASTER'!$T$2:$T$495))-(ROW('CASE MASTER'!#REF!)-1)))+((6-INDEX('CASE MASTER'!$AA$2:$AA$495,(SUMPRODUCT((('CASE MASTER'!$T$2:$T$495=2)*('CASE MASTER'!$AA$2:$AA$495&lt;=6)*('CASE MASTER'!$AC$2:$AC$495&gt;=6)*('CASE MASTER'!$AB$2:$AB$495&lt;=7)*('CASE MASTER'!$AD$2:$AD$495&gt;=7))*ROW('CASE MASTER'!$T$2:$T$495))-(ROW('CASE MASTER'!#REF!)-1))))*(INDEX('CASE MASTER'!$AD$2:$AD$495,(SUMPRODUCT((('CASE MASTER'!$T$2:$T$495=2)*('CASE MASTER'!$AA$2:$AA$495&lt;=6)*('CASE MASTER'!$AC$2:$AC$495&gt;=6)*('CASE MASTER'!$AB$2:$AB$495&lt;=7)*('CASE MASTER'!$AD$2:$AD$495&gt;=7))*ROW('CASE MASTER'!$T$2:$T$495))-(ROW('CASE MASTER'!#REF!)-1)))-INDEX('CASE MASTER'!$AB$2:$AB$495,(SUMPRODUCT((('CASE MASTER'!$T$2:$T$495=2)*('CASE MASTER'!$AA$2:$AA$495&lt;=6)*('CASE MASTER'!$AC$2:$AC$495&gt;=6)*('CASE MASTER'!$AB$2:$AB$495&lt;=7)*('CASE MASTER'!$AD$2:$AD$495&gt;=7))*ROW('CASE MASTER'!$T$2:$T$495))-(ROW('CASE MASTER'!#REF!)-1)))+1)+(7-INDEX('CASE MASTER'!$AB$2:$AB$495,(SUMPRODUCT((('CASE MASTER'!$T$2:$T$495=2)*('CASE MASTER'!$AA$2:$AA$495&lt;=6)*('CASE MASTER'!$AC$2:$AC$495&gt;=6)*('CASE MASTER'!$AB$2:$AB$495&lt;=7)*('CASE MASTER'!$AD$2:$AD$495&gt;=7))*ROW('CASE MASTER'!$T$2:$T$495))-(ROW('CASE MASTER'!#REF!)-1))))+1)))-1)*50+1,50))&amp;"_"&amp;INDEX('CASE MASTER'!$Q$2:$Q$495,(SUMPRODUCT((('CASE MASTER'!$T$2:$T$495=2)*('CASE MASTER'!$AA$2:$AA$495&lt;=6)*('CASE MASTER'!$AC$2:$AC$495&gt;=6)*('CASE MASTER'!$AB$2:$AB$495&lt;=7)*('CASE MASTER'!$AD$2:$AD$495&gt;=7))*ROW('CASE MASTER'!$T$2:$T$495))-(ROW('CASE MASTER'!#REF!)-1))),"")),"")</f>
        <v/>
      </c>
      <c r="I22" s="10" t="str">
        <f>IFERROR(IF(SUMPRODUCT((('CASE MASTER'!$T$2:$T$495=2)*('CASE MASTER'!$U$2:$U$495&lt;=6)*('CASE MASTER'!$W$2:$W$495&gt;=6)*('CASE MASTER'!$V$2:$V$495&lt;=8)*('CASE MASTER'!$X$2:$X$495&gt;=8))*ROW('CASE MASTER'!$T$2:$T$495))&gt;0,INDEX('CASE MASTER'!$Y$2:$Y$495,(SUMPRODUCT((('CASE MASTER'!$T$2:$T$495=2)*('CASE MASTER'!$U$2:$U$495&lt;=6)*('CASE MASTER'!$W$2:$W$495&gt;=6)*('CASE MASTER'!$V$2:$V$495&lt;=8)*('CASE MASTER'!$X$2:$X$495&gt;=8))*ROW('CASE MASTER'!$T$2:$T$495))-(ROW('CASE MASTER'!#REF!)-1)))&amp;TRIM(MID(SUBSTITUTE(SUBSTITUTE(INDEX('CASE MASTER'!$N$2:$N$495,(SUMPRODUCT((('CASE MASTER'!$T$2:$T$495=2)*('CASE MASTER'!$U$2:$U$495&lt;=6)*('CASE MASTER'!$W$2:$W$495&gt;=6)*('CASE MASTER'!$V$2:$V$495&lt;=8)*('CASE MASTER'!$X$2:$X$495&gt;=8))*ROW('CASE MASTER'!$T$2:$T$495))-(ROW('CASE MASTER'!#REF!)-1))),":",","),",",REPT(" ",50)),((((6-INDEX('CASE MASTER'!$U$2:$U$495,(SUMPRODUCT((('CASE MASTER'!$T$2:$T$495=2)*('CASE MASTER'!$U$2:$U$495&lt;=6)*('CASE MASTER'!$W$2:$W$495&gt;=6)*('CASE MASTER'!$V$2:$V$495&lt;=8)*('CASE MASTER'!$X$2:$X$495&gt;=8))*ROW('CASE MASTER'!$T$2:$T$495))-(ROW('CASE MASTER'!#REF!)-1))))*(INDEX('CASE MASTER'!$X$2:$X$495,(SUMPRODUCT((('CASE MASTER'!$T$2:$T$495=2)*('CASE MASTER'!$U$2:$U$495&lt;=6)*('CASE MASTER'!$W$2:$W$495&gt;=6)*('CASE MASTER'!$V$2:$V$495&lt;=8)*('CASE MASTER'!$X$2:$X$495&gt;=8))*ROW('CASE MASTER'!$T$2:$T$495))-(ROW('CASE MASTER'!#REF!)-1)))-INDEX('CASE MASTER'!$V$2:$V$495,(SUMPRODUCT((('CASE MASTER'!$T$2:$T$495=2)*('CASE MASTER'!$U$2:$U$495&lt;=6)*('CASE MASTER'!$W$2:$W$495&gt;=6)*('CASE MASTER'!$V$2:$V$495&lt;=8)*('CASE MASTER'!$X$2:$X$495&gt;=8))*ROW('CASE MASTER'!$T$2:$T$495))-(ROW('CASE MASTER'!#REF!)-1)))+1)+(8-INDEX('CASE MASTER'!$V$2:$V$495,(SUMPRODUCT((('CASE MASTER'!$T$2:$T$495=2)*('CASE MASTER'!$U$2:$U$495&lt;=6)*('CASE MASTER'!$W$2:$W$495&gt;=6)*('CASE MASTER'!$V$2:$V$495&lt;=8)*('CASE MASTER'!$X$2:$X$495&gt;=8))*ROW('CASE MASTER'!$T$2:$T$495))-(ROW('CASE MASTER'!#REF!)-1))))+1))-1)*50+1,50))&amp;"_"&amp;INDEX('CASE MASTER'!$Q$2:$Q$495,(SUMPRODUCT((('CASE MASTER'!$T$2:$T$495=2)*('CASE MASTER'!$U$2:$U$495&lt;=6)*('CASE MASTER'!$W$2:$W$495&gt;=6)*('CASE MASTER'!$V$2:$V$495&lt;=8)*('CASE MASTER'!$X$2:$X$495&gt;=8))*ROW('CASE MASTER'!$T$2:$T$495))-(ROW('CASE MASTER'!#REF!)-1))),IF(SUMPRODUCT((('CASE MASTER'!$T$2:$T$495=2)*('CASE MASTER'!$AA$2:$AA$495&lt;=6)*('CASE MASTER'!$AC$2:$AC$495&gt;=6)*('CASE MASTER'!$AB$2:$AB$495&lt;=8)*('CASE MASTER'!$AD$2:$AD$495&gt;=8))*ROW('CASE MASTER'!$T$2:$T$495))&gt;0,INDEX('CASE MASTER'!$Y$2:$Y$495,(SUMPRODUCT((('CASE MASTER'!$T$2:$T$495=2)*('CASE MASTER'!$AA$2:$AA$495&lt;=6)*('CASE MASTER'!$AC$2:$AC$495&gt;=6)*('CASE MASTER'!$AB$2:$AB$495&lt;=8)*('CASE MASTER'!$AD$2:$AD$495&gt;=8))*ROW('CASE MASTER'!$T$2:$T$495))-(ROW('CASE MASTER'!#REF!)-1)))&amp;TRIM(MID(SUBSTITUTE(SUBSTITUTE(INDEX('CASE MASTER'!$N$2:$N$495,(SUMPRODUCT((('CASE MASTER'!$T$2:$T$495=2)*('CASE MASTER'!$AA$2:$AA$495&lt;=6)*('CASE MASTER'!$AC$2:$AC$495&gt;=6)*('CASE MASTER'!$AB$2:$AB$495&lt;=8)*('CASE MASTER'!$AD$2:$AD$495&gt;=8))*ROW('CASE MASTER'!$T$2:$T$495))-(ROW('CASE MASTER'!#REF!)-1))),":",","),",",REPT(" ",50)),(((INDEX('CASE MASTER'!$Z$2:$Z$495,(SUMPRODUCT((('CASE MASTER'!$T$2:$T$495=2)*('CASE MASTER'!$AA$2:$AA$495&lt;=6)*('CASE MASTER'!$AC$2:$AC$495&gt;=6)*('CASE MASTER'!$AB$2:$AB$495&lt;=8)*('CASE MASTER'!$AD$2:$AD$495&gt;=8))*ROW('CASE MASTER'!$T$2:$T$495))-(ROW('CASE MASTER'!#REF!)-1)))+((6-INDEX('CASE MASTER'!$AA$2:$AA$495,(SUMPRODUCT((('CASE MASTER'!$T$2:$T$495=2)*('CASE MASTER'!$AA$2:$AA$495&lt;=6)*('CASE MASTER'!$AC$2:$AC$495&gt;=6)*('CASE MASTER'!$AB$2:$AB$495&lt;=8)*('CASE MASTER'!$AD$2:$AD$495&gt;=8))*ROW('CASE MASTER'!$T$2:$T$495))-(ROW('CASE MASTER'!#REF!)-1))))*(INDEX('CASE MASTER'!$AD$2:$AD$495,(SUMPRODUCT((('CASE MASTER'!$T$2:$T$495=2)*('CASE MASTER'!$AA$2:$AA$495&lt;=6)*('CASE MASTER'!$AC$2:$AC$495&gt;=6)*('CASE MASTER'!$AB$2:$AB$495&lt;=8)*('CASE MASTER'!$AD$2:$AD$495&gt;=8))*ROW('CASE MASTER'!$T$2:$T$495))-(ROW('CASE MASTER'!#REF!)-1)))-INDEX('CASE MASTER'!$AB$2:$AB$495,(SUMPRODUCT((('CASE MASTER'!$T$2:$T$495=2)*('CASE MASTER'!$AA$2:$AA$495&lt;=6)*('CASE MASTER'!$AC$2:$AC$495&gt;=6)*('CASE MASTER'!$AB$2:$AB$495&lt;=8)*('CASE MASTER'!$AD$2:$AD$495&gt;=8))*ROW('CASE MASTER'!$T$2:$T$495))-(ROW('CASE MASTER'!#REF!)-1)))+1)+(8-INDEX('CASE MASTER'!$AB$2:$AB$495,(SUMPRODUCT((('CASE MASTER'!$T$2:$T$495=2)*('CASE MASTER'!$AA$2:$AA$495&lt;=6)*('CASE MASTER'!$AC$2:$AC$495&gt;=6)*('CASE MASTER'!$AB$2:$AB$495&lt;=8)*('CASE MASTER'!$AD$2:$AD$495&gt;=8))*ROW('CASE MASTER'!$T$2:$T$495))-(ROW('CASE MASTER'!#REF!)-1))))+1)))-1)*50+1,50))&amp;"_"&amp;INDEX('CASE MASTER'!$Q$2:$Q$495,(SUMPRODUCT((('CASE MASTER'!$T$2:$T$495=2)*('CASE MASTER'!$AA$2:$AA$495&lt;=6)*('CASE MASTER'!$AC$2:$AC$495&gt;=6)*('CASE MASTER'!$AB$2:$AB$495&lt;=8)*('CASE MASTER'!$AD$2:$AD$495&gt;=8))*ROW('CASE MASTER'!$T$2:$T$495))-(ROW('CASE MASTER'!#REF!)-1))),"")),"")</f>
        <v/>
      </c>
      <c r="J22" s="10" t="str">
        <f>IFERROR(IF(SUMPRODUCT((('CASE MASTER'!$T$2:$T$495=2)*('CASE MASTER'!$U$2:$U$495&lt;=6)*('CASE MASTER'!$W$2:$W$495&gt;=6)*('CASE MASTER'!$V$2:$V$495&lt;=9)*('CASE MASTER'!$X$2:$X$495&gt;=9))*ROW('CASE MASTER'!$T$2:$T$495))&gt;0,INDEX('CASE MASTER'!$Y$2:$Y$495,(SUMPRODUCT((('CASE MASTER'!$T$2:$T$495=2)*('CASE MASTER'!$U$2:$U$495&lt;=6)*('CASE MASTER'!$W$2:$W$495&gt;=6)*('CASE MASTER'!$V$2:$V$495&lt;=9)*('CASE MASTER'!$X$2:$X$495&gt;=9))*ROW('CASE MASTER'!$T$2:$T$495))-(ROW('CASE MASTER'!#REF!)-1)))&amp;TRIM(MID(SUBSTITUTE(SUBSTITUTE(INDEX('CASE MASTER'!$N$2:$N$495,(SUMPRODUCT((('CASE MASTER'!$T$2:$T$495=2)*('CASE MASTER'!$U$2:$U$495&lt;=6)*('CASE MASTER'!$W$2:$W$495&gt;=6)*('CASE MASTER'!$V$2:$V$495&lt;=9)*('CASE MASTER'!$X$2:$X$495&gt;=9))*ROW('CASE MASTER'!$T$2:$T$495))-(ROW('CASE MASTER'!#REF!)-1))),":",","),",",REPT(" ",50)),((((6-INDEX('CASE MASTER'!$U$2:$U$495,(SUMPRODUCT((('CASE MASTER'!$T$2:$T$495=2)*('CASE MASTER'!$U$2:$U$495&lt;=6)*('CASE MASTER'!$W$2:$W$495&gt;=6)*('CASE MASTER'!$V$2:$V$495&lt;=9)*('CASE MASTER'!$X$2:$X$495&gt;=9))*ROW('CASE MASTER'!$T$2:$T$495))-(ROW('CASE MASTER'!#REF!)-1))))*(INDEX('CASE MASTER'!$X$2:$X$495,(SUMPRODUCT((('CASE MASTER'!$T$2:$T$495=2)*('CASE MASTER'!$U$2:$U$495&lt;=6)*('CASE MASTER'!$W$2:$W$495&gt;=6)*('CASE MASTER'!$V$2:$V$495&lt;=9)*('CASE MASTER'!$X$2:$X$495&gt;=9))*ROW('CASE MASTER'!$T$2:$T$495))-(ROW('CASE MASTER'!#REF!)-1)))-INDEX('CASE MASTER'!$V$2:$V$495,(SUMPRODUCT((('CASE MASTER'!$T$2:$T$495=2)*('CASE MASTER'!$U$2:$U$495&lt;=6)*('CASE MASTER'!$W$2:$W$495&gt;=6)*('CASE MASTER'!$V$2:$V$495&lt;=9)*('CASE MASTER'!$X$2:$X$495&gt;=9))*ROW('CASE MASTER'!$T$2:$T$495))-(ROW('CASE MASTER'!#REF!)-1)))+1)+(9-INDEX('CASE MASTER'!$V$2:$V$495,(SUMPRODUCT((('CASE MASTER'!$T$2:$T$495=2)*('CASE MASTER'!$U$2:$U$495&lt;=6)*('CASE MASTER'!$W$2:$W$495&gt;=6)*('CASE MASTER'!$V$2:$V$495&lt;=9)*('CASE MASTER'!$X$2:$X$495&gt;=9))*ROW('CASE MASTER'!$T$2:$T$495))-(ROW('CASE MASTER'!#REF!)-1))))+1))-1)*50+1,50))&amp;"_"&amp;INDEX('CASE MASTER'!$Q$2:$Q$495,(SUMPRODUCT((('CASE MASTER'!$T$2:$T$495=2)*('CASE MASTER'!$U$2:$U$495&lt;=6)*('CASE MASTER'!$W$2:$W$495&gt;=6)*('CASE MASTER'!$V$2:$V$495&lt;=9)*('CASE MASTER'!$X$2:$X$495&gt;=9))*ROW('CASE MASTER'!$T$2:$T$495))-(ROW('CASE MASTER'!#REF!)-1))),IF(SUMPRODUCT((('CASE MASTER'!$T$2:$T$495=2)*('CASE MASTER'!$AA$2:$AA$495&lt;=6)*('CASE MASTER'!$AC$2:$AC$495&gt;=6)*('CASE MASTER'!$AB$2:$AB$495&lt;=9)*('CASE MASTER'!$AD$2:$AD$495&gt;=9))*ROW('CASE MASTER'!$T$2:$T$495))&gt;0,INDEX('CASE MASTER'!$Y$2:$Y$495,(SUMPRODUCT((('CASE MASTER'!$T$2:$T$495=2)*('CASE MASTER'!$AA$2:$AA$495&lt;=6)*('CASE MASTER'!$AC$2:$AC$495&gt;=6)*('CASE MASTER'!$AB$2:$AB$495&lt;=9)*('CASE MASTER'!$AD$2:$AD$495&gt;=9))*ROW('CASE MASTER'!$T$2:$T$495))-(ROW('CASE MASTER'!#REF!)-1)))&amp;TRIM(MID(SUBSTITUTE(SUBSTITUTE(INDEX('CASE MASTER'!$N$2:$N$495,(SUMPRODUCT((('CASE MASTER'!$T$2:$T$495=2)*('CASE MASTER'!$AA$2:$AA$495&lt;=6)*('CASE MASTER'!$AC$2:$AC$495&gt;=6)*('CASE MASTER'!$AB$2:$AB$495&lt;=9)*('CASE MASTER'!$AD$2:$AD$495&gt;=9))*ROW('CASE MASTER'!$T$2:$T$495))-(ROW('CASE MASTER'!#REF!)-1))),":",","),",",REPT(" ",50)),(((INDEX('CASE MASTER'!$Z$2:$Z$495,(SUMPRODUCT((('CASE MASTER'!$T$2:$T$495=2)*('CASE MASTER'!$AA$2:$AA$495&lt;=6)*('CASE MASTER'!$AC$2:$AC$495&gt;=6)*('CASE MASTER'!$AB$2:$AB$495&lt;=9)*('CASE MASTER'!$AD$2:$AD$495&gt;=9))*ROW('CASE MASTER'!$T$2:$T$495))-(ROW('CASE MASTER'!#REF!)-1)))+((6-INDEX('CASE MASTER'!$AA$2:$AA$495,(SUMPRODUCT((('CASE MASTER'!$T$2:$T$495=2)*('CASE MASTER'!$AA$2:$AA$495&lt;=6)*('CASE MASTER'!$AC$2:$AC$495&gt;=6)*('CASE MASTER'!$AB$2:$AB$495&lt;=9)*('CASE MASTER'!$AD$2:$AD$495&gt;=9))*ROW('CASE MASTER'!$T$2:$T$495))-(ROW('CASE MASTER'!#REF!)-1))))*(INDEX('CASE MASTER'!$AD$2:$AD$495,(SUMPRODUCT((('CASE MASTER'!$T$2:$T$495=2)*('CASE MASTER'!$AA$2:$AA$495&lt;=6)*('CASE MASTER'!$AC$2:$AC$495&gt;=6)*('CASE MASTER'!$AB$2:$AB$495&lt;=9)*('CASE MASTER'!$AD$2:$AD$495&gt;=9))*ROW('CASE MASTER'!$T$2:$T$495))-(ROW('CASE MASTER'!#REF!)-1)))-INDEX('CASE MASTER'!$AB$2:$AB$495,(SUMPRODUCT((('CASE MASTER'!$T$2:$T$495=2)*('CASE MASTER'!$AA$2:$AA$495&lt;=6)*('CASE MASTER'!$AC$2:$AC$495&gt;=6)*('CASE MASTER'!$AB$2:$AB$495&lt;=9)*('CASE MASTER'!$AD$2:$AD$495&gt;=9))*ROW('CASE MASTER'!$T$2:$T$495))-(ROW('CASE MASTER'!#REF!)-1)))+1)+(9-INDEX('CASE MASTER'!$AB$2:$AB$495,(SUMPRODUCT((('CASE MASTER'!$T$2:$T$495=2)*('CASE MASTER'!$AA$2:$AA$495&lt;=6)*('CASE MASTER'!$AC$2:$AC$495&gt;=6)*('CASE MASTER'!$AB$2:$AB$495&lt;=9)*('CASE MASTER'!$AD$2:$AD$495&gt;=9))*ROW('CASE MASTER'!$T$2:$T$495))-(ROW('CASE MASTER'!#REF!)-1))))+1)))-1)*50+1,50))&amp;"_"&amp;INDEX('CASE MASTER'!$Q$2:$Q$495,(SUMPRODUCT((('CASE MASTER'!$T$2:$T$495=2)*('CASE MASTER'!$AA$2:$AA$495&lt;=6)*('CASE MASTER'!$AC$2:$AC$495&gt;=6)*('CASE MASTER'!$AB$2:$AB$495&lt;=9)*('CASE MASTER'!$AD$2:$AD$495&gt;=9))*ROW('CASE MASTER'!$T$2:$T$495))-(ROW('CASE MASTER'!#REF!)-1))),"")),"")</f>
        <v/>
      </c>
      <c r="K22" s="10" t="str">
        <f>IFERROR(IF(SUMPRODUCT((('CASE MASTER'!$T$2:$T$495=2)*('CASE MASTER'!$U$2:$U$495&lt;=6)*('CASE MASTER'!$W$2:$W$495&gt;=6)*('CASE MASTER'!$V$2:$V$495&lt;=10)*('CASE MASTER'!$X$2:$X$495&gt;=10))*ROW('CASE MASTER'!$T$2:$T$495))&gt;0,INDEX('CASE MASTER'!$Y$2:$Y$495,(SUMPRODUCT((('CASE MASTER'!$T$2:$T$495=2)*('CASE MASTER'!$U$2:$U$495&lt;=6)*('CASE MASTER'!$W$2:$W$495&gt;=6)*('CASE MASTER'!$V$2:$V$495&lt;=10)*('CASE MASTER'!$X$2:$X$495&gt;=10))*ROW('CASE MASTER'!$T$2:$T$495))-(ROW('CASE MASTER'!#REF!)-1)))&amp;TRIM(MID(SUBSTITUTE(SUBSTITUTE(INDEX('CASE MASTER'!$N$2:$N$495,(SUMPRODUCT((('CASE MASTER'!$T$2:$T$495=2)*('CASE MASTER'!$U$2:$U$495&lt;=6)*('CASE MASTER'!$W$2:$W$495&gt;=6)*('CASE MASTER'!$V$2:$V$495&lt;=10)*('CASE MASTER'!$X$2:$X$495&gt;=10))*ROW('CASE MASTER'!$T$2:$T$495))-(ROW('CASE MASTER'!#REF!)-1))),":",","),",",REPT(" ",50)),((((6-INDEX('CASE MASTER'!$U$2:$U$495,(SUMPRODUCT((('CASE MASTER'!$T$2:$T$495=2)*('CASE MASTER'!$U$2:$U$495&lt;=6)*('CASE MASTER'!$W$2:$W$495&gt;=6)*('CASE MASTER'!$V$2:$V$495&lt;=10)*('CASE MASTER'!$X$2:$X$495&gt;=10))*ROW('CASE MASTER'!$T$2:$T$495))-(ROW('CASE MASTER'!#REF!)-1))))*(INDEX('CASE MASTER'!$X$2:$X$495,(SUMPRODUCT((('CASE MASTER'!$T$2:$T$495=2)*('CASE MASTER'!$U$2:$U$495&lt;=6)*('CASE MASTER'!$W$2:$W$495&gt;=6)*('CASE MASTER'!$V$2:$V$495&lt;=10)*('CASE MASTER'!$X$2:$X$495&gt;=10))*ROW('CASE MASTER'!$T$2:$T$495))-(ROW('CASE MASTER'!#REF!)-1)))-INDEX('CASE MASTER'!$V$2:$V$495,(SUMPRODUCT((('CASE MASTER'!$T$2:$T$495=2)*('CASE MASTER'!$U$2:$U$495&lt;=6)*('CASE MASTER'!$W$2:$W$495&gt;=6)*('CASE MASTER'!$V$2:$V$495&lt;=10)*('CASE MASTER'!$X$2:$X$495&gt;=10))*ROW('CASE MASTER'!$T$2:$T$495))-(ROW('CASE MASTER'!#REF!)-1)))+1)+(10-INDEX('CASE MASTER'!$V$2:$V$495,(SUMPRODUCT((('CASE MASTER'!$T$2:$T$495=2)*('CASE MASTER'!$U$2:$U$495&lt;=6)*('CASE MASTER'!$W$2:$W$495&gt;=6)*('CASE MASTER'!$V$2:$V$495&lt;=10)*('CASE MASTER'!$X$2:$X$495&gt;=10))*ROW('CASE MASTER'!$T$2:$T$495))-(ROW('CASE MASTER'!#REF!)-1))))+1))-1)*50+1,50))&amp;"_"&amp;INDEX('CASE MASTER'!$Q$2:$Q$495,(SUMPRODUCT((('CASE MASTER'!$T$2:$T$495=2)*('CASE MASTER'!$U$2:$U$495&lt;=6)*('CASE MASTER'!$W$2:$W$495&gt;=6)*('CASE MASTER'!$V$2:$V$495&lt;=10)*('CASE MASTER'!$X$2:$X$495&gt;=10))*ROW('CASE MASTER'!$T$2:$T$495))-(ROW('CASE MASTER'!#REF!)-1))),IF(SUMPRODUCT((('CASE MASTER'!$T$2:$T$495=2)*('CASE MASTER'!$AA$2:$AA$495&lt;=6)*('CASE MASTER'!$AC$2:$AC$495&gt;=6)*('CASE MASTER'!$AB$2:$AB$495&lt;=10)*('CASE MASTER'!$AD$2:$AD$495&gt;=10))*ROW('CASE MASTER'!$T$2:$T$495))&gt;0,INDEX('CASE MASTER'!$Y$2:$Y$495,(SUMPRODUCT((('CASE MASTER'!$T$2:$T$495=2)*('CASE MASTER'!$AA$2:$AA$495&lt;=6)*('CASE MASTER'!$AC$2:$AC$495&gt;=6)*('CASE MASTER'!$AB$2:$AB$495&lt;=10)*('CASE MASTER'!$AD$2:$AD$495&gt;=10))*ROW('CASE MASTER'!$T$2:$T$495))-(ROW('CASE MASTER'!#REF!)-1)))&amp;TRIM(MID(SUBSTITUTE(SUBSTITUTE(INDEX('CASE MASTER'!$N$2:$N$495,(SUMPRODUCT((('CASE MASTER'!$T$2:$T$495=2)*('CASE MASTER'!$AA$2:$AA$495&lt;=6)*('CASE MASTER'!$AC$2:$AC$495&gt;=6)*('CASE MASTER'!$AB$2:$AB$495&lt;=10)*('CASE MASTER'!$AD$2:$AD$495&gt;=10))*ROW('CASE MASTER'!$T$2:$T$495))-(ROW('CASE MASTER'!#REF!)-1))),":",","),",",REPT(" ",50)),(((INDEX('CASE MASTER'!$Z$2:$Z$495,(SUMPRODUCT((('CASE MASTER'!$T$2:$T$495=2)*('CASE MASTER'!$AA$2:$AA$495&lt;=6)*('CASE MASTER'!$AC$2:$AC$495&gt;=6)*('CASE MASTER'!$AB$2:$AB$495&lt;=10)*('CASE MASTER'!$AD$2:$AD$495&gt;=10))*ROW('CASE MASTER'!$T$2:$T$495))-(ROW('CASE MASTER'!#REF!)-1)))+((6-INDEX('CASE MASTER'!$AA$2:$AA$495,(SUMPRODUCT((('CASE MASTER'!$T$2:$T$495=2)*('CASE MASTER'!$AA$2:$AA$495&lt;=6)*('CASE MASTER'!$AC$2:$AC$495&gt;=6)*('CASE MASTER'!$AB$2:$AB$495&lt;=10)*('CASE MASTER'!$AD$2:$AD$495&gt;=10))*ROW('CASE MASTER'!$T$2:$T$495))-(ROW('CASE MASTER'!#REF!)-1))))*(INDEX('CASE MASTER'!$AD$2:$AD$495,(SUMPRODUCT((('CASE MASTER'!$T$2:$T$495=2)*('CASE MASTER'!$AA$2:$AA$495&lt;=6)*('CASE MASTER'!$AC$2:$AC$495&gt;=6)*('CASE MASTER'!$AB$2:$AB$495&lt;=10)*('CASE MASTER'!$AD$2:$AD$495&gt;=10))*ROW('CASE MASTER'!$T$2:$T$495))-(ROW('CASE MASTER'!#REF!)-1)))-INDEX('CASE MASTER'!$AB$2:$AB$495,(SUMPRODUCT((('CASE MASTER'!$T$2:$T$495=2)*('CASE MASTER'!$AA$2:$AA$495&lt;=6)*('CASE MASTER'!$AC$2:$AC$495&gt;=6)*('CASE MASTER'!$AB$2:$AB$495&lt;=10)*('CASE MASTER'!$AD$2:$AD$495&gt;=10))*ROW('CASE MASTER'!$T$2:$T$495))-(ROW('CASE MASTER'!#REF!)-1)))+1)+(10-INDEX('CASE MASTER'!$AB$2:$AB$495,(SUMPRODUCT((('CASE MASTER'!$T$2:$T$495=2)*('CASE MASTER'!$AA$2:$AA$495&lt;=6)*('CASE MASTER'!$AC$2:$AC$495&gt;=6)*('CASE MASTER'!$AB$2:$AB$495&lt;=10)*('CASE MASTER'!$AD$2:$AD$495&gt;=10))*ROW('CASE MASTER'!$T$2:$T$495))-(ROW('CASE MASTER'!#REF!)-1))))+1)))-1)*50+1,50))&amp;"_"&amp;INDEX('CASE MASTER'!$Q$2:$Q$495,(SUMPRODUCT((('CASE MASTER'!$T$2:$T$495=2)*('CASE MASTER'!$AA$2:$AA$495&lt;=6)*('CASE MASTER'!$AC$2:$AC$495&gt;=6)*('CASE MASTER'!$AB$2:$AB$495&lt;=10)*('CASE MASTER'!$AD$2:$AD$495&gt;=10))*ROW('CASE MASTER'!$T$2:$T$495))-(ROW('CASE MASTER'!#REF!)-1))),"")),"")</f>
        <v/>
      </c>
    </row>
    <row r="23" spans="1:11" ht="15" customHeight="1" x14ac:dyDescent="0.35">
      <c r="A23" s="8" t="s">
        <v>34</v>
      </c>
      <c r="B23" s="10" t="str">
        <f>IFERROR(IF(SUMPRODUCT((('CASE MASTER'!$T$2:$T$495=2)*('CASE MASTER'!$U$2:$U$495&lt;=7)*('CASE MASTER'!$W$2:$W$495&gt;=7)*('CASE MASTER'!$V$2:$V$495&lt;=1)*('CASE MASTER'!$X$2:$X$495&gt;=1))*ROW('CASE MASTER'!$T$2:$T$495))&gt;0,INDEX('CASE MASTER'!$Y$2:$Y$495,(SUMPRODUCT((('CASE MASTER'!$T$2:$T$495=2)*('CASE MASTER'!$U$2:$U$495&lt;=7)*('CASE MASTER'!$W$2:$W$495&gt;=7)*('CASE MASTER'!$V$2:$V$495&lt;=1)*('CASE MASTER'!$X$2:$X$495&gt;=1))*ROW('CASE MASTER'!$T$2:$T$495))-(ROW('CASE MASTER'!#REF!)-1)))&amp;TRIM(MID(SUBSTITUTE(SUBSTITUTE(INDEX('CASE MASTER'!$N$2:$N$495,(SUMPRODUCT((('CASE MASTER'!$T$2:$T$495=2)*('CASE MASTER'!$U$2:$U$495&lt;=7)*('CASE MASTER'!$W$2:$W$495&gt;=7)*('CASE MASTER'!$V$2:$V$495&lt;=1)*('CASE MASTER'!$X$2:$X$495&gt;=1))*ROW('CASE MASTER'!$T$2:$T$495))-(ROW('CASE MASTER'!#REF!)-1))),":",","),",",REPT(" ",50)),((((7-INDEX('CASE MASTER'!$U$2:$U$495,(SUMPRODUCT((('CASE MASTER'!$T$2:$T$495=2)*('CASE MASTER'!$U$2:$U$495&lt;=7)*('CASE MASTER'!$W$2:$W$495&gt;=7)*('CASE MASTER'!$V$2:$V$495&lt;=1)*('CASE MASTER'!$X$2:$X$495&gt;=1))*ROW('CASE MASTER'!$T$2:$T$495))-(ROW('CASE MASTER'!#REF!)-1))))*(INDEX('CASE MASTER'!$X$2:$X$495,(SUMPRODUCT((('CASE MASTER'!$T$2:$T$495=2)*('CASE MASTER'!$U$2:$U$495&lt;=7)*('CASE MASTER'!$W$2:$W$495&gt;=7)*('CASE MASTER'!$V$2:$V$495&lt;=1)*('CASE MASTER'!$X$2:$X$495&gt;=1))*ROW('CASE MASTER'!$T$2:$T$495))-(ROW('CASE MASTER'!#REF!)-1)))-INDEX('CASE MASTER'!$V$2:$V$495,(SUMPRODUCT((('CASE MASTER'!$T$2:$T$495=2)*('CASE MASTER'!$U$2:$U$495&lt;=7)*('CASE MASTER'!$W$2:$W$495&gt;=7)*('CASE MASTER'!$V$2:$V$495&lt;=1)*('CASE MASTER'!$X$2:$X$495&gt;=1))*ROW('CASE MASTER'!$T$2:$T$495))-(ROW('CASE MASTER'!#REF!)-1)))+1)+(1-INDEX('CASE MASTER'!$V$2:$V$495,(SUMPRODUCT((('CASE MASTER'!$T$2:$T$495=2)*('CASE MASTER'!$U$2:$U$495&lt;=7)*('CASE MASTER'!$W$2:$W$495&gt;=7)*('CASE MASTER'!$V$2:$V$495&lt;=1)*('CASE MASTER'!$X$2:$X$495&gt;=1))*ROW('CASE MASTER'!$T$2:$T$495))-(ROW('CASE MASTER'!#REF!)-1))))+1))-1)*50+1,50))&amp;"_"&amp;INDEX('CASE MASTER'!$Q$2:$Q$495,(SUMPRODUCT((('CASE MASTER'!$T$2:$T$495=2)*('CASE MASTER'!$U$2:$U$495&lt;=7)*('CASE MASTER'!$W$2:$W$495&gt;=7)*('CASE MASTER'!$V$2:$V$495&lt;=1)*('CASE MASTER'!$X$2:$X$495&gt;=1))*ROW('CASE MASTER'!$T$2:$T$495))-(ROW('CASE MASTER'!#REF!)-1))),IF(SUMPRODUCT((('CASE MASTER'!$T$2:$T$495=2)*('CASE MASTER'!$AA$2:$AA$495&lt;=7)*('CASE MASTER'!$AC$2:$AC$495&gt;=7)*('CASE MASTER'!$AB$2:$AB$495&lt;=1)*('CASE MASTER'!$AD$2:$AD$495&gt;=1))*ROW('CASE MASTER'!$T$2:$T$495))&gt;0,INDEX('CASE MASTER'!$Y$2:$Y$495,(SUMPRODUCT((('CASE MASTER'!$T$2:$T$495=2)*('CASE MASTER'!$AA$2:$AA$495&lt;=7)*('CASE MASTER'!$AC$2:$AC$495&gt;=7)*('CASE MASTER'!$AB$2:$AB$495&lt;=1)*('CASE MASTER'!$AD$2:$AD$495&gt;=1))*ROW('CASE MASTER'!$T$2:$T$495))-(ROW('CASE MASTER'!#REF!)-1)))&amp;TRIM(MID(SUBSTITUTE(SUBSTITUTE(INDEX('CASE MASTER'!$N$2:$N$495,(SUMPRODUCT((('CASE MASTER'!$T$2:$T$495=2)*('CASE MASTER'!$AA$2:$AA$495&lt;=7)*('CASE MASTER'!$AC$2:$AC$495&gt;=7)*('CASE MASTER'!$AB$2:$AB$495&lt;=1)*('CASE MASTER'!$AD$2:$AD$495&gt;=1))*ROW('CASE MASTER'!$T$2:$T$495))-(ROW('CASE MASTER'!#REF!)-1))),":",","),",",REPT(" ",50)),(((INDEX('CASE MASTER'!$Z$2:$Z$495,(SUMPRODUCT((('CASE MASTER'!$T$2:$T$495=2)*('CASE MASTER'!$AA$2:$AA$495&lt;=7)*('CASE MASTER'!$AC$2:$AC$495&gt;=7)*('CASE MASTER'!$AB$2:$AB$495&lt;=1)*('CASE MASTER'!$AD$2:$AD$495&gt;=1))*ROW('CASE MASTER'!$T$2:$T$495))-(ROW('CASE MASTER'!#REF!)-1)))+((7-INDEX('CASE MASTER'!$AA$2:$AA$495,(SUMPRODUCT((('CASE MASTER'!$T$2:$T$495=2)*('CASE MASTER'!$AA$2:$AA$495&lt;=7)*('CASE MASTER'!$AC$2:$AC$495&gt;=7)*('CASE MASTER'!$AB$2:$AB$495&lt;=1)*('CASE MASTER'!$AD$2:$AD$495&gt;=1))*ROW('CASE MASTER'!$T$2:$T$495))-(ROW('CASE MASTER'!#REF!)-1))))*(INDEX('CASE MASTER'!$AD$2:$AD$495,(SUMPRODUCT((('CASE MASTER'!$T$2:$T$495=2)*('CASE MASTER'!$AA$2:$AA$495&lt;=7)*('CASE MASTER'!$AC$2:$AC$495&gt;=7)*('CASE MASTER'!$AB$2:$AB$495&lt;=1)*('CASE MASTER'!$AD$2:$AD$495&gt;=1))*ROW('CASE MASTER'!$T$2:$T$495))-(ROW('CASE MASTER'!#REF!)-1)))-INDEX('CASE MASTER'!$AB$2:$AB$495,(SUMPRODUCT((('CASE MASTER'!$T$2:$T$495=2)*('CASE MASTER'!$AA$2:$AA$495&lt;=7)*('CASE MASTER'!$AC$2:$AC$495&gt;=7)*('CASE MASTER'!$AB$2:$AB$495&lt;=1)*('CASE MASTER'!$AD$2:$AD$495&gt;=1))*ROW('CASE MASTER'!$T$2:$T$495))-(ROW('CASE MASTER'!#REF!)-1)))+1)+(1-INDEX('CASE MASTER'!$AB$2:$AB$495,(SUMPRODUCT((('CASE MASTER'!$T$2:$T$495=2)*('CASE MASTER'!$AA$2:$AA$495&lt;=7)*('CASE MASTER'!$AC$2:$AC$495&gt;=7)*('CASE MASTER'!$AB$2:$AB$495&lt;=1)*('CASE MASTER'!$AD$2:$AD$495&gt;=1))*ROW('CASE MASTER'!$T$2:$T$495))-(ROW('CASE MASTER'!#REF!)-1))))+1)))-1)*50+1,50))&amp;"_"&amp;INDEX('CASE MASTER'!$Q$2:$Q$495,(SUMPRODUCT((('CASE MASTER'!$T$2:$T$495=2)*('CASE MASTER'!$AA$2:$AA$495&lt;=7)*('CASE MASTER'!$AC$2:$AC$495&gt;=7)*('CASE MASTER'!$AB$2:$AB$495&lt;=1)*('CASE MASTER'!$AD$2:$AD$495&gt;=1))*ROW('CASE MASTER'!$T$2:$T$495))-(ROW('CASE MASTER'!#REF!)-1))),"")),"")</f>
        <v/>
      </c>
      <c r="C23" s="10" t="str">
        <f>IFERROR(IF(SUMPRODUCT((('CASE MASTER'!$T$2:$T$495=2)*('CASE MASTER'!$U$2:$U$495&lt;=7)*('CASE MASTER'!$W$2:$W$495&gt;=7)*('CASE MASTER'!$V$2:$V$495&lt;=2)*('CASE MASTER'!$X$2:$X$495&gt;=2))*ROW('CASE MASTER'!$T$2:$T$495))&gt;0,INDEX('CASE MASTER'!$Y$2:$Y$495,(SUMPRODUCT((('CASE MASTER'!$T$2:$T$495=2)*('CASE MASTER'!$U$2:$U$495&lt;=7)*('CASE MASTER'!$W$2:$W$495&gt;=7)*('CASE MASTER'!$V$2:$V$495&lt;=2)*('CASE MASTER'!$X$2:$X$495&gt;=2))*ROW('CASE MASTER'!$T$2:$T$495))-(ROW('CASE MASTER'!#REF!)-1)))&amp;TRIM(MID(SUBSTITUTE(SUBSTITUTE(INDEX('CASE MASTER'!$N$2:$N$495,(SUMPRODUCT((('CASE MASTER'!$T$2:$T$495=2)*('CASE MASTER'!$U$2:$U$495&lt;=7)*('CASE MASTER'!$W$2:$W$495&gt;=7)*('CASE MASTER'!$V$2:$V$495&lt;=2)*('CASE MASTER'!$X$2:$X$495&gt;=2))*ROW('CASE MASTER'!$T$2:$T$495))-(ROW('CASE MASTER'!#REF!)-1))),":",","),",",REPT(" ",50)),((((7-INDEX('CASE MASTER'!$U$2:$U$495,(SUMPRODUCT((('CASE MASTER'!$T$2:$T$495=2)*('CASE MASTER'!$U$2:$U$495&lt;=7)*('CASE MASTER'!$W$2:$W$495&gt;=7)*('CASE MASTER'!$V$2:$V$495&lt;=2)*('CASE MASTER'!$X$2:$X$495&gt;=2))*ROW('CASE MASTER'!$T$2:$T$495))-(ROW('CASE MASTER'!#REF!)-1))))*(INDEX('CASE MASTER'!$X$2:$X$495,(SUMPRODUCT((('CASE MASTER'!$T$2:$T$495=2)*('CASE MASTER'!$U$2:$U$495&lt;=7)*('CASE MASTER'!$W$2:$W$495&gt;=7)*('CASE MASTER'!$V$2:$V$495&lt;=2)*('CASE MASTER'!$X$2:$X$495&gt;=2))*ROW('CASE MASTER'!$T$2:$T$495))-(ROW('CASE MASTER'!#REF!)-1)))-INDEX('CASE MASTER'!$V$2:$V$495,(SUMPRODUCT((('CASE MASTER'!$T$2:$T$495=2)*('CASE MASTER'!$U$2:$U$495&lt;=7)*('CASE MASTER'!$W$2:$W$495&gt;=7)*('CASE MASTER'!$V$2:$V$495&lt;=2)*('CASE MASTER'!$X$2:$X$495&gt;=2))*ROW('CASE MASTER'!$T$2:$T$495))-(ROW('CASE MASTER'!#REF!)-1)))+1)+(2-INDEX('CASE MASTER'!$V$2:$V$495,(SUMPRODUCT((('CASE MASTER'!$T$2:$T$495=2)*('CASE MASTER'!$U$2:$U$495&lt;=7)*('CASE MASTER'!$W$2:$W$495&gt;=7)*('CASE MASTER'!$V$2:$V$495&lt;=2)*('CASE MASTER'!$X$2:$X$495&gt;=2))*ROW('CASE MASTER'!$T$2:$T$495))-(ROW('CASE MASTER'!#REF!)-1))))+1))-1)*50+1,50))&amp;"_"&amp;INDEX('CASE MASTER'!$Q$2:$Q$495,(SUMPRODUCT((('CASE MASTER'!$T$2:$T$495=2)*('CASE MASTER'!$U$2:$U$495&lt;=7)*('CASE MASTER'!$W$2:$W$495&gt;=7)*('CASE MASTER'!$V$2:$V$495&lt;=2)*('CASE MASTER'!$X$2:$X$495&gt;=2))*ROW('CASE MASTER'!$T$2:$T$495))-(ROW('CASE MASTER'!#REF!)-1))),IF(SUMPRODUCT((('CASE MASTER'!$T$2:$T$495=2)*('CASE MASTER'!$AA$2:$AA$495&lt;=7)*('CASE MASTER'!$AC$2:$AC$495&gt;=7)*('CASE MASTER'!$AB$2:$AB$495&lt;=2)*('CASE MASTER'!$AD$2:$AD$495&gt;=2))*ROW('CASE MASTER'!$T$2:$T$495))&gt;0,INDEX('CASE MASTER'!$Y$2:$Y$495,(SUMPRODUCT((('CASE MASTER'!$T$2:$T$495=2)*('CASE MASTER'!$AA$2:$AA$495&lt;=7)*('CASE MASTER'!$AC$2:$AC$495&gt;=7)*('CASE MASTER'!$AB$2:$AB$495&lt;=2)*('CASE MASTER'!$AD$2:$AD$495&gt;=2))*ROW('CASE MASTER'!$T$2:$T$495))-(ROW('CASE MASTER'!#REF!)-1)))&amp;TRIM(MID(SUBSTITUTE(SUBSTITUTE(INDEX('CASE MASTER'!$N$2:$N$495,(SUMPRODUCT((('CASE MASTER'!$T$2:$T$495=2)*('CASE MASTER'!$AA$2:$AA$495&lt;=7)*('CASE MASTER'!$AC$2:$AC$495&gt;=7)*('CASE MASTER'!$AB$2:$AB$495&lt;=2)*('CASE MASTER'!$AD$2:$AD$495&gt;=2))*ROW('CASE MASTER'!$T$2:$T$495))-(ROW('CASE MASTER'!#REF!)-1))),":",","),",",REPT(" ",50)),(((INDEX('CASE MASTER'!$Z$2:$Z$495,(SUMPRODUCT((('CASE MASTER'!$T$2:$T$495=2)*('CASE MASTER'!$AA$2:$AA$495&lt;=7)*('CASE MASTER'!$AC$2:$AC$495&gt;=7)*('CASE MASTER'!$AB$2:$AB$495&lt;=2)*('CASE MASTER'!$AD$2:$AD$495&gt;=2))*ROW('CASE MASTER'!$T$2:$T$495))-(ROW('CASE MASTER'!#REF!)-1)))+((7-INDEX('CASE MASTER'!$AA$2:$AA$495,(SUMPRODUCT((('CASE MASTER'!$T$2:$T$495=2)*('CASE MASTER'!$AA$2:$AA$495&lt;=7)*('CASE MASTER'!$AC$2:$AC$495&gt;=7)*('CASE MASTER'!$AB$2:$AB$495&lt;=2)*('CASE MASTER'!$AD$2:$AD$495&gt;=2))*ROW('CASE MASTER'!$T$2:$T$495))-(ROW('CASE MASTER'!#REF!)-1))))*(INDEX('CASE MASTER'!$AD$2:$AD$495,(SUMPRODUCT((('CASE MASTER'!$T$2:$T$495=2)*('CASE MASTER'!$AA$2:$AA$495&lt;=7)*('CASE MASTER'!$AC$2:$AC$495&gt;=7)*('CASE MASTER'!$AB$2:$AB$495&lt;=2)*('CASE MASTER'!$AD$2:$AD$495&gt;=2))*ROW('CASE MASTER'!$T$2:$T$495))-(ROW('CASE MASTER'!#REF!)-1)))-INDEX('CASE MASTER'!$AB$2:$AB$495,(SUMPRODUCT((('CASE MASTER'!$T$2:$T$495=2)*('CASE MASTER'!$AA$2:$AA$495&lt;=7)*('CASE MASTER'!$AC$2:$AC$495&gt;=7)*('CASE MASTER'!$AB$2:$AB$495&lt;=2)*('CASE MASTER'!$AD$2:$AD$495&gt;=2))*ROW('CASE MASTER'!$T$2:$T$495))-(ROW('CASE MASTER'!#REF!)-1)))+1)+(2-INDEX('CASE MASTER'!$AB$2:$AB$495,(SUMPRODUCT((('CASE MASTER'!$T$2:$T$495=2)*('CASE MASTER'!$AA$2:$AA$495&lt;=7)*('CASE MASTER'!$AC$2:$AC$495&gt;=7)*('CASE MASTER'!$AB$2:$AB$495&lt;=2)*('CASE MASTER'!$AD$2:$AD$495&gt;=2))*ROW('CASE MASTER'!$T$2:$T$495))-(ROW('CASE MASTER'!#REF!)-1))))+1)))-1)*50+1,50))&amp;"_"&amp;INDEX('CASE MASTER'!$Q$2:$Q$495,(SUMPRODUCT((('CASE MASTER'!$T$2:$T$495=2)*('CASE MASTER'!$AA$2:$AA$495&lt;=7)*('CASE MASTER'!$AC$2:$AC$495&gt;=7)*('CASE MASTER'!$AB$2:$AB$495&lt;=2)*('CASE MASTER'!$AD$2:$AD$495&gt;=2))*ROW('CASE MASTER'!$T$2:$T$495))-(ROW('CASE MASTER'!#REF!)-1))),"")),"")</f>
        <v/>
      </c>
      <c r="D23" s="10" t="str">
        <f>IFERROR(IF(SUMPRODUCT((('CASE MASTER'!$T$2:$T$495=2)*('CASE MASTER'!$U$2:$U$495&lt;=7)*('CASE MASTER'!$W$2:$W$495&gt;=7)*('CASE MASTER'!$V$2:$V$495&lt;=3)*('CASE MASTER'!$X$2:$X$495&gt;=3))*ROW('CASE MASTER'!$T$2:$T$495))&gt;0,INDEX('CASE MASTER'!$Y$2:$Y$495,(SUMPRODUCT((('CASE MASTER'!$T$2:$T$495=2)*('CASE MASTER'!$U$2:$U$495&lt;=7)*('CASE MASTER'!$W$2:$W$495&gt;=7)*('CASE MASTER'!$V$2:$V$495&lt;=3)*('CASE MASTER'!$X$2:$X$495&gt;=3))*ROW('CASE MASTER'!$T$2:$T$495))-(ROW('CASE MASTER'!#REF!)-1)))&amp;TRIM(MID(SUBSTITUTE(SUBSTITUTE(INDEX('CASE MASTER'!$N$2:$N$495,(SUMPRODUCT((('CASE MASTER'!$T$2:$T$495=2)*('CASE MASTER'!$U$2:$U$495&lt;=7)*('CASE MASTER'!$W$2:$W$495&gt;=7)*('CASE MASTER'!$V$2:$V$495&lt;=3)*('CASE MASTER'!$X$2:$X$495&gt;=3))*ROW('CASE MASTER'!$T$2:$T$495))-(ROW('CASE MASTER'!#REF!)-1))),":",","),",",REPT(" ",50)),((((7-INDEX('CASE MASTER'!$U$2:$U$495,(SUMPRODUCT((('CASE MASTER'!$T$2:$T$495=2)*('CASE MASTER'!$U$2:$U$495&lt;=7)*('CASE MASTER'!$W$2:$W$495&gt;=7)*('CASE MASTER'!$V$2:$V$495&lt;=3)*('CASE MASTER'!$X$2:$X$495&gt;=3))*ROW('CASE MASTER'!$T$2:$T$495))-(ROW('CASE MASTER'!#REF!)-1))))*(INDEX('CASE MASTER'!$X$2:$X$495,(SUMPRODUCT((('CASE MASTER'!$T$2:$T$495=2)*('CASE MASTER'!$U$2:$U$495&lt;=7)*('CASE MASTER'!$W$2:$W$495&gt;=7)*('CASE MASTER'!$V$2:$V$495&lt;=3)*('CASE MASTER'!$X$2:$X$495&gt;=3))*ROW('CASE MASTER'!$T$2:$T$495))-(ROW('CASE MASTER'!#REF!)-1)))-INDEX('CASE MASTER'!$V$2:$V$495,(SUMPRODUCT((('CASE MASTER'!$T$2:$T$495=2)*('CASE MASTER'!$U$2:$U$495&lt;=7)*('CASE MASTER'!$W$2:$W$495&gt;=7)*('CASE MASTER'!$V$2:$V$495&lt;=3)*('CASE MASTER'!$X$2:$X$495&gt;=3))*ROW('CASE MASTER'!$T$2:$T$495))-(ROW('CASE MASTER'!#REF!)-1)))+1)+(3-INDEX('CASE MASTER'!$V$2:$V$495,(SUMPRODUCT((('CASE MASTER'!$T$2:$T$495=2)*('CASE MASTER'!$U$2:$U$495&lt;=7)*('CASE MASTER'!$W$2:$W$495&gt;=7)*('CASE MASTER'!$V$2:$V$495&lt;=3)*('CASE MASTER'!$X$2:$X$495&gt;=3))*ROW('CASE MASTER'!$T$2:$T$495))-(ROW('CASE MASTER'!#REF!)-1))))+1))-1)*50+1,50))&amp;"_"&amp;INDEX('CASE MASTER'!$Q$2:$Q$495,(SUMPRODUCT((('CASE MASTER'!$T$2:$T$495=2)*('CASE MASTER'!$U$2:$U$495&lt;=7)*('CASE MASTER'!$W$2:$W$495&gt;=7)*('CASE MASTER'!$V$2:$V$495&lt;=3)*('CASE MASTER'!$X$2:$X$495&gt;=3))*ROW('CASE MASTER'!$T$2:$T$495))-(ROW('CASE MASTER'!#REF!)-1))),IF(SUMPRODUCT((('CASE MASTER'!$T$2:$T$495=2)*('CASE MASTER'!$AA$2:$AA$495&lt;=7)*('CASE MASTER'!$AC$2:$AC$495&gt;=7)*('CASE MASTER'!$AB$2:$AB$495&lt;=3)*('CASE MASTER'!$AD$2:$AD$495&gt;=3))*ROW('CASE MASTER'!$T$2:$T$495))&gt;0,INDEX('CASE MASTER'!$Y$2:$Y$495,(SUMPRODUCT((('CASE MASTER'!$T$2:$T$495=2)*('CASE MASTER'!$AA$2:$AA$495&lt;=7)*('CASE MASTER'!$AC$2:$AC$495&gt;=7)*('CASE MASTER'!$AB$2:$AB$495&lt;=3)*('CASE MASTER'!$AD$2:$AD$495&gt;=3))*ROW('CASE MASTER'!$T$2:$T$495))-(ROW('CASE MASTER'!#REF!)-1)))&amp;TRIM(MID(SUBSTITUTE(SUBSTITUTE(INDEX('CASE MASTER'!$N$2:$N$495,(SUMPRODUCT((('CASE MASTER'!$T$2:$T$495=2)*('CASE MASTER'!$AA$2:$AA$495&lt;=7)*('CASE MASTER'!$AC$2:$AC$495&gt;=7)*('CASE MASTER'!$AB$2:$AB$495&lt;=3)*('CASE MASTER'!$AD$2:$AD$495&gt;=3))*ROW('CASE MASTER'!$T$2:$T$495))-(ROW('CASE MASTER'!#REF!)-1))),":",","),",",REPT(" ",50)),(((INDEX('CASE MASTER'!$Z$2:$Z$495,(SUMPRODUCT((('CASE MASTER'!$T$2:$T$495=2)*('CASE MASTER'!$AA$2:$AA$495&lt;=7)*('CASE MASTER'!$AC$2:$AC$495&gt;=7)*('CASE MASTER'!$AB$2:$AB$495&lt;=3)*('CASE MASTER'!$AD$2:$AD$495&gt;=3))*ROW('CASE MASTER'!$T$2:$T$495))-(ROW('CASE MASTER'!#REF!)-1)))+((7-INDEX('CASE MASTER'!$AA$2:$AA$495,(SUMPRODUCT((('CASE MASTER'!$T$2:$T$495=2)*('CASE MASTER'!$AA$2:$AA$495&lt;=7)*('CASE MASTER'!$AC$2:$AC$495&gt;=7)*('CASE MASTER'!$AB$2:$AB$495&lt;=3)*('CASE MASTER'!$AD$2:$AD$495&gt;=3))*ROW('CASE MASTER'!$T$2:$T$495))-(ROW('CASE MASTER'!#REF!)-1))))*(INDEX('CASE MASTER'!$AD$2:$AD$495,(SUMPRODUCT((('CASE MASTER'!$T$2:$T$495=2)*('CASE MASTER'!$AA$2:$AA$495&lt;=7)*('CASE MASTER'!$AC$2:$AC$495&gt;=7)*('CASE MASTER'!$AB$2:$AB$495&lt;=3)*('CASE MASTER'!$AD$2:$AD$495&gt;=3))*ROW('CASE MASTER'!$T$2:$T$495))-(ROW('CASE MASTER'!#REF!)-1)))-INDEX('CASE MASTER'!$AB$2:$AB$495,(SUMPRODUCT((('CASE MASTER'!$T$2:$T$495=2)*('CASE MASTER'!$AA$2:$AA$495&lt;=7)*('CASE MASTER'!$AC$2:$AC$495&gt;=7)*('CASE MASTER'!$AB$2:$AB$495&lt;=3)*('CASE MASTER'!$AD$2:$AD$495&gt;=3))*ROW('CASE MASTER'!$T$2:$T$495))-(ROW('CASE MASTER'!#REF!)-1)))+1)+(3-INDEX('CASE MASTER'!$AB$2:$AB$495,(SUMPRODUCT((('CASE MASTER'!$T$2:$T$495=2)*('CASE MASTER'!$AA$2:$AA$495&lt;=7)*('CASE MASTER'!$AC$2:$AC$495&gt;=7)*('CASE MASTER'!$AB$2:$AB$495&lt;=3)*('CASE MASTER'!$AD$2:$AD$495&gt;=3))*ROW('CASE MASTER'!$T$2:$T$495))-(ROW('CASE MASTER'!#REF!)-1))))+1)))-1)*50+1,50))&amp;"_"&amp;INDEX('CASE MASTER'!$Q$2:$Q$495,(SUMPRODUCT((('CASE MASTER'!$T$2:$T$495=2)*('CASE MASTER'!$AA$2:$AA$495&lt;=7)*('CASE MASTER'!$AC$2:$AC$495&gt;=7)*('CASE MASTER'!$AB$2:$AB$495&lt;=3)*('CASE MASTER'!$AD$2:$AD$495&gt;=3))*ROW('CASE MASTER'!$T$2:$T$495))-(ROW('CASE MASTER'!#REF!)-1))),"")),"")</f>
        <v/>
      </c>
      <c r="E23" s="10" t="str">
        <f>IFERROR(IF(SUMPRODUCT((('CASE MASTER'!$T$2:$T$495=2)*('CASE MASTER'!$U$2:$U$495&lt;=7)*('CASE MASTER'!$W$2:$W$495&gt;=7)*('CASE MASTER'!$V$2:$V$495&lt;=4)*('CASE MASTER'!$X$2:$X$495&gt;=4))*ROW('CASE MASTER'!$T$2:$T$495))&gt;0,INDEX('CASE MASTER'!$Y$2:$Y$495,(SUMPRODUCT((('CASE MASTER'!$T$2:$T$495=2)*('CASE MASTER'!$U$2:$U$495&lt;=7)*('CASE MASTER'!$W$2:$W$495&gt;=7)*('CASE MASTER'!$V$2:$V$495&lt;=4)*('CASE MASTER'!$X$2:$X$495&gt;=4))*ROW('CASE MASTER'!$T$2:$T$495))-(ROW('CASE MASTER'!#REF!)-1)))&amp;TRIM(MID(SUBSTITUTE(SUBSTITUTE(INDEX('CASE MASTER'!$N$2:$N$495,(SUMPRODUCT((('CASE MASTER'!$T$2:$T$495=2)*('CASE MASTER'!$U$2:$U$495&lt;=7)*('CASE MASTER'!$W$2:$W$495&gt;=7)*('CASE MASTER'!$V$2:$V$495&lt;=4)*('CASE MASTER'!$X$2:$X$495&gt;=4))*ROW('CASE MASTER'!$T$2:$T$495))-(ROW('CASE MASTER'!#REF!)-1))),":",","),",",REPT(" ",50)),((((7-INDEX('CASE MASTER'!$U$2:$U$495,(SUMPRODUCT((('CASE MASTER'!$T$2:$T$495=2)*('CASE MASTER'!$U$2:$U$495&lt;=7)*('CASE MASTER'!$W$2:$W$495&gt;=7)*('CASE MASTER'!$V$2:$V$495&lt;=4)*('CASE MASTER'!$X$2:$X$495&gt;=4))*ROW('CASE MASTER'!$T$2:$T$495))-(ROW('CASE MASTER'!#REF!)-1))))*(INDEX('CASE MASTER'!$X$2:$X$495,(SUMPRODUCT((('CASE MASTER'!$T$2:$T$495=2)*('CASE MASTER'!$U$2:$U$495&lt;=7)*('CASE MASTER'!$W$2:$W$495&gt;=7)*('CASE MASTER'!$V$2:$V$495&lt;=4)*('CASE MASTER'!$X$2:$X$495&gt;=4))*ROW('CASE MASTER'!$T$2:$T$495))-(ROW('CASE MASTER'!#REF!)-1)))-INDEX('CASE MASTER'!$V$2:$V$495,(SUMPRODUCT((('CASE MASTER'!$T$2:$T$495=2)*('CASE MASTER'!$U$2:$U$495&lt;=7)*('CASE MASTER'!$W$2:$W$495&gt;=7)*('CASE MASTER'!$V$2:$V$495&lt;=4)*('CASE MASTER'!$X$2:$X$495&gt;=4))*ROW('CASE MASTER'!$T$2:$T$495))-(ROW('CASE MASTER'!#REF!)-1)))+1)+(4-INDEX('CASE MASTER'!$V$2:$V$495,(SUMPRODUCT((('CASE MASTER'!$T$2:$T$495=2)*('CASE MASTER'!$U$2:$U$495&lt;=7)*('CASE MASTER'!$W$2:$W$495&gt;=7)*('CASE MASTER'!$V$2:$V$495&lt;=4)*('CASE MASTER'!$X$2:$X$495&gt;=4))*ROW('CASE MASTER'!$T$2:$T$495))-(ROW('CASE MASTER'!#REF!)-1))))+1))-1)*50+1,50))&amp;"_"&amp;INDEX('CASE MASTER'!$Q$2:$Q$495,(SUMPRODUCT((('CASE MASTER'!$T$2:$T$495=2)*('CASE MASTER'!$U$2:$U$495&lt;=7)*('CASE MASTER'!$W$2:$W$495&gt;=7)*('CASE MASTER'!$V$2:$V$495&lt;=4)*('CASE MASTER'!$X$2:$X$495&gt;=4))*ROW('CASE MASTER'!$T$2:$T$495))-(ROW('CASE MASTER'!#REF!)-1))),IF(SUMPRODUCT((('CASE MASTER'!$T$2:$T$495=2)*('CASE MASTER'!$AA$2:$AA$495&lt;=7)*('CASE MASTER'!$AC$2:$AC$495&gt;=7)*('CASE MASTER'!$AB$2:$AB$495&lt;=4)*('CASE MASTER'!$AD$2:$AD$495&gt;=4))*ROW('CASE MASTER'!$T$2:$T$495))&gt;0,INDEX('CASE MASTER'!$Y$2:$Y$495,(SUMPRODUCT((('CASE MASTER'!$T$2:$T$495=2)*('CASE MASTER'!$AA$2:$AA$495&lt;=7)*('CASE MASTER'!$AC$2:$AC$495&gt;=7)*('CASE MASTER'!$AB$2:$AB$495&lt;=4)*('CASE MASTER'!$AD$2:$AD$495&gt;=4))*ROW('CASE MASTER'!$T$2:$T$495))-(ROW('CASE MASTER'!#REF!)-1)))&amp;TRIM(MID(SUBSTITUTE(SUBSTITUTE(INDEX('CASE MASTER'!$N$2:$N$495,(SUMPRODUCT((('CASE MASTER'!$T$2:$T$495=2)*('CASE MASTER'!$AA$2:$AA$495&lt;=7)*('CASE MASTER'!$AC$2:$AC$495&gt;=7)*('CASE MASTER'!$AB$2:$AB$495&lt;=4)*('CASE MASTER'!$AD$2:$AD$495&gt;=4))*ROW('CASE MASTER'!$T$2:$T$495))-(ROW('CASE MASTER'!#REF!)-1))),":",","),",",REPT(" ",50)),(((INDEX('CASE MASTER'!$Z$2:$Z$495,(SUMPRODUCT((('CASE MASTER'!$T$2:$T$495=2)*('CASE MASTER'!$AA$2:$AA$495&lt;=7)*('CASE MASTER'!$AC$2:$AC$495&gt;=7)*('CASE MASTER'!$AB$2:$AB$495&lt;=4)*('CASE MASTER'!$AD$2:$AD$495&gt;=4))*ROW('CASE MASTER'!$T$2:$T$495))-(ROW('CASE MASTER'!#REF!)-1)))+((7-INDEX('CASE MASTER'!$AA$2:$AA$495,(SUMPRODUCT((('CASE MASTER'!$T$2:$T$495=2)*('CASE MASTER'!$AA$2:$AA$495&lt;=7)*('CASE MASTER'!$AC$2:$AC$495&gt;=7)*('CASE MASTER'!$AB$2:$AB$495&lt;=4)*('CASE MASTER'!$AD$2:$AD$495&gt;=4))*ROW('CASE MASTER'!$T$2:$T$495))-(ROW('CASE MASTER'!#REF!)-1))))*(INDEX('CASE MASTER'!$AD$2:$AD$495,(SUMPRODUCT((('CASE MASTER'!$T$2:$T$495=2)*('CASE MASTER'!$AA$2:$AA$495&lt;=7)*('CASE MASTER'!$AC$2:$AC$495&gt;=7)*('CASE MASTER'!$AB$2:$AB$495&lt;=4)*('CASE MASTER'!$AD$2:$AD$495&gt;=4))*ROW('CASE MASTER'!$T$2:$T$495))-(ROW('CASE MASTER'!#REF!)-1)))-INDEX('CASE MASTER'!$AB$2:$AB$495,(SUMPRODUCT((('CASE MASTER'!$T$2:$T$495=2)*('CASE MASTER'!$AA$2:$AA$495&lt;=7)*('CASE MASTER'!$AC$2:$AC$495&gt;=7)*('CASE MASTER'!$AB$2:$AB$495&lt;=4)*('CASE MASTER'!$AD$2:$AD$495&gt;=4))*ROW('CASE MASTER'!$T$2:$T$495))-(ROW('CASE MASTER'!#REF!)-1)))+1)+(4-INDEX('CASE MASTER'!$AB$2:$AB$495,(SUMPRODUCT((('CASE MASTER'!$T$2:$T$495=2)*('CASE MASTER'!$AA$2:$AA$495&lt;=7)*('CASE MASTER'!$AC$2:$AC$495&gt;=7)*('CASE MASTER'!$AB$2:$AB$495&lt;=4)*('CASE MASTER'!$AD$2:$AD$495&gt;=4))*ROW('CASE MASTER'!$T$2:$T$495))-(ROW('CASE MASTER'!#REF!)-1))))+1)))-1)*50+1,50))&amp;"_"&amp;INDEX('CASE MASTER'!$Q$2:$Q$495,(SUMPRODUCT((('CASE MASTER'!$T$2:$T$495=2)*('CASE MASTER'!$AA$2:$AA$495&lt;=7)*('CASE MASTER'!$AC$2:$AC$495&gt;=7)*('CASE MASTER'!$AB$2:$AB$495&lt;=4)*('CASE MASTER'!$AD$2:$AD$495&gt;=4))*ROW('CASE MASTER'!$T$2:$T$495))-(ROW('CASE MASTER'!#REF!)-1))),"")),"")</f>
        <v/>
      </c>
      <c r="F23" s="10" t="str">
        <f>IFERROR(IF(SUMPRODUCT((('CASE MASTER'!$T$2:$T$495=2)*('CASE MASTER'!$U$2:$U$495&lt;=7)*('CASE MASTER'!$W$2:$W$495&gt;=7)*('CASE MASTER'!$V$2:$V$495&lt;=5)*('CASE MASTER'!$X$2:$X$495&gt;=5))*ROW('CASE MASTER'!$T$2:$T$495))&gt;0,INDEX('CASE MASTER'!$Y$2:$Y$495,(SUMPRODUCT((('CASE MASTER'!$T$2:$T$495=2)*('CASE MASTER'!$U$2:$U$495&lt;=7)*('CASE MASTER'!$W$2:$W$495&gt;=7)*('CASE MASTER'!$V$2:$V$495&lt;=5)*('CASE MASTER'!$X$2:$X$495&gt;=5))*ROW('CASE MASTER'!$T$2:$T$495))-(ROW('CASE MASTER'!#REF!)-1)))&amp;TRIM(MID(SUBSTITUTE(SUBSTITUTE(INDEX('CASE MASTER'!$N$2:$N$495,(SUMPRODUCT((('CASE MASTER'!$T$2:$T$495=2)*('CASE MASTER'!$U$2:$U$495&lt;=7)*('CASE MASTER'!$W$2:$W$495&gt;=7)*('CASE MASTER'!$V$2:$V$495&lt;=5)*('CASE MASTER'!$X$2:$X$495&gt;=5))*ROW('CASE MASTER'!$T$2:$T$495))-(ROW('CASE MASTER'!#REF!)-1))),":",","),",",REPT(" ",50)),((((7-INDEX('CASE MASTER'!$U$2:$U$495,(SUMPRODUCT((('CASE MASTER'!$T$2:$T$495=2)*('CASE MASTER'!$U$2:$U$495&lt;=7)*('CASE MASTER'!$W$2:$W$495&gt;=7)*('CASE MASTER'!$V$2:$V$495&lt;=5)*('CASE MASTER'!$X$2:$X$495&gt;=5))*ROW('CASE MASTER'!$T$2:$T$495))-(ROW('CASE MASTER'!#REF!)-1))))*(INDEX('CASE MASTER'!$X$2:$X$495,(SUMPRODUCT((('CASE MASTER'!$T$2:$T$495=2)*('CASE MASTER'!$U$2:$U$495&lt;=7)*('CASE MASTER'!$W$2:$W$495&gt;=7)*('CASE MASTER'!$V$2:$V$495&lt;=5)*('CASE MASTER'!$X$2:$X$495&gt;=5))*ROW('CASE MASTER'!$T$2:$T$495))-(ROW('CASE MASTER'!#REF!)-1)))-INDEX('CASE MASTER'!$V$2:$V$495,(SUMPRODUCT((('CASE MASTER'!$T$2:$T$495=2)*('CASE MASTER'!$U$2:$U$495&lt;=7)*('CASE MASTER'!$W$2:$W$495&gt;=7)*('CASE MASTER'!$V$2:$V$495&lt;=5)*('CASE MASTER'!$X$2:$X$495&gt;=5))*ROW('CASE MASTER'!$T$2:$T$495))-(ROW('CASE MASTER'!#REF!)-1)))+1)+(5-INDEX('CASE MASTER'!$V$2:$V$495,(SUMPRODUCT((('CASE MASTER'!$T$2:$T$495=2)*('CASE MASTER'!$U$2:$U$495&lt;=7)*('CASE MASTER'!$W$2:$W$495&gt;=7)*('CASE MASTER'!$V$2:$V$495&lt;=5)*('CASE MASTER'!$X$2:$X$495&gt;=5))*ROW('CASE MASTER'!$T$2:$T$495))-(ROW('CASE MASTER'!#REF!)-1))))+1))-1)*50+1,50))&amp;"_"&amp;INDEX('CASE MASTER'!$Q$2:$Q$495,(SUMPRODUCT((('CASE MASTER'!$T$2:$T$495=2)*('CASE MASTER'!$U$2:$U$495&lt;=7)*('CASE MASTER'!$W$2:$W$495&gt;=7)*('CASE MASTER'!$V$2:$V$495&lt;=5)*('CASE MASTER'!$X$2:$X$495&gt;=5))*ROW('CASE MASTER'!$T$2:$T$495))-(ROW('CASE MASTER'!#REF!)-1))),IF(SUMPRODUCT((('CASE MASTER'!$T$2:$T$495=2)*('CASE MASTER'!$AA$2:$AA$495&lt;=7)*('CASE MASTER'!$AC$2:$AC$495&gt;=7)*('CASE MASTER'!$AB$2:$AB$495&lt;=5)*('CASE MASTER'!$AD$2:$AD$495&gt;=5))*ROW('CASE MASTER'!$T$2:$T$495))&gt;0,INDEX('CASE MASTER'!$Y$2:$Y$495,(SUMPRODUCT((('CASE MASTER'!$T$2:$T$495=2)*('CASE MASTER'!$AA$2:$AA$495&lt;=7)*('CASE MASTER'!$AC$2:$AC$495&gt;=7)*('CASE MASTER'!$AB$2:$AB$495&lt;=5)*('CASE MASTER'!$AD$2:$AD$495&gt;=5))*ROW('CASE MASTER'!$T$2:$T$495))-(ROW('CASE MASTER'!#REF!)-1)))&amp;TRIM(MID(SUBSTITUTE(SUBSTITUTE(INDEX('CASE MASTER'!$N$2:$N$495,(SUMPRODUCT((('CASE MASTER'!$T$2:$T$495=2)*('CASE MASTER'!$AA$2:$AA$495&lt;=7)*('CASE MASTER'!$AC$2:$AC$495&gt;=7)*('CASE MASTER'!$AB$2:$AB$495&lt;=5)*('CASE MASTER'!$AD$2:$AD$495&gt;=5))*ROW('CASE MASTER'!$T$2:$T$495))-(ROW('CASE MASTER'!#REF!)-1))),":",","),",",REPT(" ",50)),(((INDEX('CASE MASTER'!$Z$2:$Z$495,(SUMPRODUCT((('CASE MASTER'!$T$2:$T$495=2)*('CASE MASTER'!$AA$2:$AA$495&lt;=7)*('CASE MASTER'!$AC$2:$AC$495&gt;=7)*('CASE MASTER'!$AB$2:$AB$495&lt;=5)*('CASE MASTER'!$AD$2:$AD$495&gt;=5))*ROW('CASE MASTER'!$T$2:$T$495))-(ROW('CASE MASTER'!#REF!)-1)))+((7-INDEX('CASE MASTER'!$AA$2:$AA$495,(SUMPRODUCT((('CASE MASTER'!$T$2:$T$495=2)*('CASE MASTER'!$AA$2:$AA$495&lt;=7)*('CASE MASTER'!$AC$2:$AC$495&gt;=7)*('CASE MASTER'!$AB$2:$AB$495&lt;=5)*('CASE MASTER'!$AD$2:$AD$495&gt;=5))*ROW('CASE MASTER'!$T$2:$T$495))-(ROW('CASE MASTER'!#REF!)-1))))*(INDEX('CASE MASTER'!$AD$2:$AD$495,(SUMPRODUCT((('CASE MASTER'!$T$2:$T$495=2)*('CASE MASTER'!$AA$2:$AA$495&lt;=7)*('CASE MASTER'!$AC$2:$AC$495&gt;=7)*('CASE MASTER'!$AB$2:$AB$495&lt;=5)*('CASE MASTER'!$AD$2:$AD$495&gt;=5))*ROW('CASE MASTER'!$T$2:$T$495))-(ROW('CASE MASTER'!#REF!)-1)))-INDEX('CASE MASTER'!$AB$2:$AB$495,(SUMPRODUCT((('CASE MASTER'!$T$2:$T$495=2)*('CASE MASTER'!$AA$2:$AA$495&lt;=7)*('CASE MASTER'!$AC$2:$AC$495&gt;=7)*('CASE MASTER'!$AB$2:$AB$495&lt;=5)*('CASE MASTER'!$AD$2:$AD$495&gt;=5))*ROW('CASE MASTER'!$T$2:$T$495))-(ROW('CASE MASTER'!#REF!)-1)))+1)+(5-INDEX('CASE MASTER'!$AB$2:$AB$495,(SUMPRODUCT((('CASE MASTER'!$T$2:$T$495=2)*('CASE MASTER'!$AA$2:$AA$495&lt;=7)*('CASE MASTER'!$AC$2:$AC$495&gt;=7)*('CASE MASTER'!$AB$2:$AB$495&lt;=5)*('CASE MASTER'!$AD$2:$AD$495&gt;=5))*ROW('CASE MASTER'!$T$2:$T$495))-(ROW('CASE MASTER'!#REF!)-1))))+1)))-1)*50+1,50))&amp;"_"&amp;INDEX('CASE MASTER'!$Q$2:$Q$495,(SUMPRODUCT((('CASE MASTER'!$T$2:$T$495=2)*('CASE MASTER'!$AA$2:$AA$495&lt;=7)*('CASE MASTER'!$AC$2:$AC$495&gt;=7)*('CASE MASTER'!$AB$2:$AB$495&lt;=5)*('CASE MASTER'!$AD$2:$AD$495&gt;=5))*ROW('CASE MASTER'!$T$2:$T$495))-(ROW('CASE MASTER'!#REF!)-1))),"")),"")</f>
        <v/>
      </c>
      <c r="G23" s="10" t="str">
        <f>IFERROR(IF(SUMPRODUCT((('CASE MASTER'!$T$2:$T$495=2)*('CASE MASTER'!$U$2:$U$495&lt;=7)*('CASE MASTER'!$W$2:$W$495&gt;=7)*('CASE MASTER'!$V$2:$V$495&lt;=6)*('CASE MASTER'!$X$2:$X$495&gt;=6))*ROW('CASE MASTER'!$T$2:$T$495))&gt;0,INDEX('CASE MASTER'!$Y$2:$Y$495,(SUMPRODUCT((('CASE MASTER'!$T$2:$T$495=2)*('CASE MASTER'!$U$2:$U$495&lt;=7)*('CASE MASTER'!$W$2:$W$495&gt;=7)*('CASE MASTER'!$V$2:$V$495&lt;=6)*('CASE MASTER'!$X$2:$X$495&gt;=6))*ROW('CASE MASTER'!$T$2:$T$495))-(ROW('CASE MASTER'!#REF!)-1)))&amp;TRIM(MID(SUBSTITUTE(SUBSTITUTE(INDEX('CASE MASTER'!$N$2:$N$495,(SUMPRODUCT((('CASE MASTER'!$T$2:$T$495=2)*('CASE MASTER'!$U$2:$U$495&lt;=7)*('CASE MASTER'!$W$2:$W$495&gt;=7)*('CASE MASTER'!$V$2:$V$495&lt;=6)*('CASE MASTER'!$X$2:$X$495&gt;=6))*ROW('CASE MASTER'!$T$2:$T$495))-(ROW('CASE MASTER'!#REF!)-1))),":",","),",",REPT(" ",50)),((((7-INDEX('CASE MASTER'!$U$2:$U$495,(SUMPRODUCT((('CASE MASTER'!$T$2:$T$495=2)*('CASE MASTER'!$U$2:$U$495&lt;=7)*('CASE MASTER'!$W$2:$W$495&gt;=7)*('CASE MASTER'!$V$2:$V$495&lt;=6)*('CASE MASTER'!$X$2:$X$495&gt;=6))*ROW('CASE MASTER'!$T$2:$T$495))-(ROW('CASE MASTER'!#REF!)-1))))*(INDEX('CASE MASTER'!$X$2:$X$495,(SUMPRODUCT((('CASE MASTER'!$T$2:$T$495=2)*('CASE MASTER'!$U$2:$U$495&lt;=7)*('CASE MASTER'!$W$2:$W$495&gt;=7)*('CASE MASTER'!$V$2:$V$495&lt;=6)*('CASE MASTER'!$X$2:$X$495&gt;=6))*ROW('CASE MASTER'!$T$2:$T$495))-(ROW('CASE MASTER'!#REF!)-1)))-INDEX('CASE MASTER'!$V$2:$V$495,(SUMPRODUCT((('CASE MASTER'!$T$2:$T$495=2)*('CASE MASTER'!$U$2:$U$495&lt;=7)*('CASE MASTER'!$W$2:$W$495&gt;=7)*('CASE MASTER'!$V$2:$V$495&lt;=6)*('CASE MASTER'!$X$2:$X$495&gt;=6))*ROW('CASE MASTER'!$T$2:$T$495))-(ROW('CASE MASTER'!#REF!)-1)))+1)+(6-INDEX('CASE MASTER'!$V$2:$V$495,(SUMPRODUCT((('CASE MASTER'!$T$2:$T$495=2)*('CASE MASTER'!$U$2:$U$495&lt;=7)*('CASE MASTER'!$W$2:$W$495&gt;=7)*('CASE MASTER'!$V$2:$V$495&lt;=6)*('CASE MASTER'!$X$2:$X$495&gt;=6))*ROW('CASE MASTER'!$T$2:$T$495))-(ROW('CASE MASTER'!#REF!)-1))))+1))-1)*50+1,50))&amp;"_"&amp;INDEX('CASE MASTER'!$Q$2:$Q$495,(SUMPRODUCT((('CASE MASTER'!$T$2:$T$495=2)*('CASE MASTER'!$U$2:$U$495&lt;=7)*('CASE MASTER'!$W$2:$W$495&gt;=7)*('CASE MASTER'!$V$2:$V$495&lt;=6)*('CASE MASTER'!$X$2:$X$495&gt;=6))*ROW('CASE MASTER'!$T$2:$T$495))-(ROW('CASE MASTER'!#REF!)-1))),IF(SUMPRODUCT((('CASE MASTER'!$T$2:$T$495=2)*('CASE MASTER'!$AA$2:$AA$495&lt;=7)*('CASE MASTER'!$AC$2:$AC$495&gt;=7)*('CASE MASTER'!$AB$2:$AB$495&lt;=6)*('CASE MASTER'!$AD$2:$AD$495&gt;=6))*ROW('CASE MASTER'!$T$2:$T$495))&gt;0,INDEX('CASE MASTER'!$Y$2:$Y$495,(SUMPRODUCT((('CASE MASTER'!$T$2:$T$495=2)*('CASE MASTER'!$AA$2:$AA$495&lt;=7)*('CASE MASTER'!$AC$2:$AC$495&gt;=7)*('CASE MASTER'!$AB$2:$AB$495&lt;=6)*('CASE MASTER'!$AD$2:$AD$495&gt;=6))*ROW('CASE MASTER'!$T$2:$T$495))-(ROW('CASE MASTER'!#REF!)-1)))&amp;TRIM(MID(SUBSTITUTE(SUBSTITUTE(INDEX('CASE MASTER'!$N$2:$N$495,(SUMPRODUCT((('CASE MASTER'!$T$2:$T$495=2)*('CASE MASTER'!$AA$2:$AA$495&lt;=7)*('CASE MASTER'!$AC$2:$AC$495&gt;=7)*('CASE MASTER'!$AB$2:$AB$495&lt;=6)*('CASE MASTER'!$AD$2:$AD$495&gt;=6))*ROW('CASE MASTER'!$T$2:$T$495))-(ROW('CASE MASTER'!#REF!)-1))),":",","),",",REPT(" ",50)),(((INDEX('CASE MASTER'!$Z$2:$Z$495,(SUMPRODUCT((('CASE MASTER'!$T$2:$T$495=2)*('CASE MASTER'!$AA$2:$AA$495&lt;=7)*('CASE MASTER'!$AC$2:$AC$495&gt;=7)*('CASE MASTER'!$AB$2:$AB$495&lt;=6)*('CASE MASTER'!$AD$2:$AD$495&gt;=6))*ROW('CASE MASTER'!$T$2:$T$495))-(ROW('CASE MASTER'!#REF!)-1)))+((7-INDEX('CASE MASTER'!$AA$2:$AA$495,(SUMPRODUCT((('CASE MASTER'!$T$2:$T$495=2)*('CASE MASTER'!$AA$2:$AA$495&lt;=7)*('CASE MASTER'!$AC$2:$AC$495&gt;=7)*('CASE MASTER'!$AB$2:$AB$495&lt;=6)*('CASE MASTER'!$AD$2:$AD$495&gt;=6))*ROW('CASE MASTER'!$T$2:$T$495))-(ROW('CASE MASTER'!#REF!)-1))))*(INDEX('CASE MASTER'!$AD$2:$AD$495,(SUMPRODUCT((('CASE MASTER'!$T$2:$T$495=2)*('CASE MASTER'!$AA$2:$AA$495&lt;=7)*('CASE MASTER'!$AC$2:$AC$495&gt;=7)*('CASE MASTER'!$AB$2:$AB$495&lt;=6)*('CASE MASTER'!$AD$2:$AD$495&gt;=6))*ROW('CASE MASTER'!$T$2:$T$495))-(ROW('CASE MASTER'!#REF!)-1)))-INDEX('CASE MASTER'!$AB$2:$AB$495,(SUMPRODUCT((('CASE MASTER'!$T$2:$T$495=2)*('CASE MASTER'!$AA$2:$AA$495&lt;=7)*('CASE MASTER'!$AC$2:$AC$495&gt;=7)*('CASE MASTER'!$AB$2:$AB$495&lt;=6)*('CASE MASTER'!$AD$2:$AD$495&gt;=6))*ROW('CASE MASTER'!$T$2:$T$495))-(ROW('CASE MASTER'!#REF!)-1)))+1)+(6-INDEX('CASE MASTER'!$AB$2:$AB$495,(SUMPRODUCT((('CASE MASTER'!$T$2:$T$495=2)*('CASE MASTER'!$AA$2:$AA$495&lt;=7)*('CASE MASTER'!$AC$2:$AC$495&gt;=7)*('CASE MASTER'!$AB$2:$AB$495&lt;=6)*('CASE MASTER'!$AD$2:$AD$495&gt;=6))*ROW('CASE MASTER'!$T$2:$T$495))-(ROW('CASE MASTER'!#REF!)-1))))+1)))-1)*50+1,50))&amp;"_"&amp;INDEX('CASE MASTER'!$Q$2:$Q$495,(SUMPRODUCT((('CASE MASTER'!$T$2:$T$495=2)*('CASE MASTER'!$AA$2:$AA$495&lt;=7)*('CASE MASTER'!$AC$2:$AC$495&gt;=7)*('CASE MASTER'!$AB$2:$AB$495&lt;=6)*('CASE MASTER'!$AD$2:$AD$495&gt;=6))*ROW('CASE MASTER'!$T$2:$T$495))-(ROW('CASE MASTER'!#REF!)-1))),"")),"")</f>
        <v/>
      </c>
      <c r="H23" s="10" t="str">
        <f>IFERROR(IF(SUMPRODUCT((('CASE MASTER'!$T$2:$T$495=2)*('CASE MASTER'!$U$2:$U$495&lt;=7)*('CASE MASTER'!$W$2:$W$495&gt;=7)*('CASE MASTER'!$V$2:$V$495&lt;=7)*('CASE MASTER'!$X$2:$X$495&gt;=7))*ROW('CASE MASTER'!$T$2:$T$495))&gt;0,INDEX('CASE MASTER'!$Y$2:$Y$495,(SUMPRODUCT((('CASE MASTER'!$T$2:$T$495=2)*('CASE MASTER'!$U$2:$U$495&lt;=7)*('CASE MASTER'!$W$2:$W$495&gt;=7)*('CASE MASTER'!$V$2:$V$495&lt;=7)*('CASE MASTER'!$X$2:$X$495&gt;=7))*ROW('CASE MASTER'!$T$2:$T$495))-(ROW('CASE MASTER'!#REF!)-1)))&amp;TRIM(MID(SUBSTITUTE(SUBSTITUTE(INDEX('CASE MASTER'!$N$2:$N$495,(SUMPRODUCT((('CASE MASTER'!$T$2:$T$495=2)*('CASE MASTER'!$U$2:$U$495&lt;=7)*('CASE MASTER'!$W$2:$W$495&gt;=7)*('CASE MASTER'!$V$2:$V$495&lt;=7)*('CASE MASTER'!$X$2:$X$495&gt;=7))*ROW('CASE MASTER'!$T$2:$T$495))-(ROW('CASE MASTER'!#REF!)-1))),":",","),",",REPT(" ",50)),((((7-INDEX('CASE MASTER'!$U$2:$U$495,(SUMPRODUCT((('CASE MASTER'!$T$2:$T$495=2)*('CASE MASTER'!$U$2:$U$495&lt;=7)*('CASE MASTER'!$W$2:$W$495&gt;=7)*('CASE MASTER'!$V$2:$V$495&lt;=7)*('CASE MASTER'!$X$2:$X$495&gt;=7))*ROW('CASE MASTER'!$T$2:$T$495))-(ROW('CASE MASTER'!#REF!)-1))))*(INDEX('CASE MASTER'!$X$2:$X$495,(SUMPRODUCT((('CASE MASTER'!$T$2:$T$495=2)*('CASE MASTER'!$U$2:$U$495&lt;=7)*('CASE MASTER'!$W$2:$W$495&gt;=7)*('CASE MASTER'!$V$2:$V$495&lt;=7)*('CASE MASTER'!$X$2:$X$495&gt;=7))*ROW('CASE MASTER'!$T$2:$T$495))-(ROW('CASE MASTER'!#REF!)-1)))-INDEX('CASE MASTER'!$V$2:$V$495,(SUMPRODUCT((('CASE MASTER'!$T$2:$T$495=2)*('CASE MASTER'!$U$2:$U$495&lt;=7)*('CASE MASTER'!$W$2:$W$495&gt;=7)*('CASE MASTER'!$V$2:$V$495&lt;=7)*('CASE MASTER'!$X$2:$X$495&gt;=7))*ROW('CASE MASTER'!$T$2:$T$495))-(ROW('CASE MASTER'!#REF!)-1)))+1)+(7-INDEX('CASE MASTER'!$V$2:$V$495,(SUMPRODUCT((('CASE MASTER'!$T$2:$T$495=2)*('CASE MASTER'!$U$2:$U$495&lt;=7)*('CASE MASTER'!$W$2:$W$495&gt;=7)*('CASE MASTER'!$V$2:$V$495&lt;=7)*('CASE MASTER'!$X$2:$X$495&gt;=7))*ROW('CASE MASTER'!$T$2:$T$495))-(ROW('CASE MASTER'!#REF!)-1))))+1))-1)*50+1,50))&amp;"_"&amp;INDEX('CASE MASTER'!$Q$2:$Q$495,(SUMPRODUCT((('CASE MASTER'!$T$2:$T$495=2)*('CASE MASTER'!$U$2:$U$495&lt;=7)*('CASE MASTER'!$W$2:$W$495&gt;=7)*('CASE MASTER'!$V$2:$V$495&lt;=7)*('CASE MASTER'!$X$2:$X$495&gt;=7))*ROW('CASE MASTER'!$T$2:$T$495))-(ROW('CASE MASTER'!#REF!)-1))),IF(SUMPRODUCT((('CASE MASTER'!$T$2:$T$495=2)*('CASE MASTER'!$AA$2:$AA$495&lt;=7)*('CASE MASTER'!$AC$2:$AC$495&gt;=7)*('CASE MASTER'!$AB$2:$AB$495&lt;=7)*('CASE MASTER'!$AD$2:$AD$495&gt;=7))*ROW('CASE MASTER'!$T$2:$T$495))&gt;0,INDEX('CASE MASTER'!$Y$2:$Y$495,(SUMPRODUCT((('CASE MASTER'!$T$2:$T$495=2)*('CASE MASTER'!$AA$2:$AA$495&lt;=7)*('CASE MASTER'!$AC$2:$AC$495&gt;=7)*('CASE MASTER'!$AB$2:$AB$495&lt;=7)*('CASE MASTER'!$AD$2:$AD$495&gt;=7))*ROW('CASE MASTER'!$T$2:$T$495))-(ROW('CASE MASTER'!#REF!)-1)))&amp;TRIM(MID(SUBSTITUTE(SUBSTITUTE(INDEX('CASE MASTER'!$N$2:$N$495,(SUMPRODUCT((('CASE MASTER'!$T$2:$T$495=2)*('CASE MASTER'!$AA$2:$AA$495&lt;=7)*('CASE MASTER'!$AC$2:$AC$495&gt;=7)*('CASE MASTER'!$AB$2:$AB$495&lt;=7)*('CASE MASTER'!$AD$2:$AD$495&gt;=7))*ROW('CASE MASTER'!$T$2:$T$495))-(ROW('CASE MASTER'!#REF!)-1))),":",","),",",REPT(" ",50)),(((INDEX('CASE MASTER'!$Z$2:$Z$495,(SUMPRODUCT((('CASE MASTER'!$T$2:$T$495=2)*('CASE MASTER'!$AA$2:$AA$495&lt;=7)*('CASE MASTER'!$AC$2:$AC$495&gt;=7)*('CASE MASTER'!$AB$2:$AB$495&lt;=7)*('CASE MASTER'!$AD$2:$AD$495&gt;=7))*ROW('CASE MASTER'!$T$2:$T$495))-(ROW('CASE MASTER'!#REF!)-1)))+((7-INDEX('CASE MASTER'!$AA$2:$AA$495,(SUMPRODUCT((('CASE MASTER'!$T$2:$T$495=2)*('CASE MASTER'!$AA$2:$AA$495&lt;=7)*('CASE MASTER'!$AC$2:$AC$495&gt;=7)*('CASE MASTER'!$AB$2:$AB$495&lt;=7)*('CASE MASTER'!$AD$2:$AD$495&gt;=7))*ROW('CASE MASTER'!$T$2:$T$495))-(ROW('CASE MASTER'!#REF!)-1))))*(INDEX('CASE MASTER'!$AD$2:$AD$495,(SUMPRODUCT((('CASE MASTER'!$T$2:$T$495=2)*('CASE MASTER'!$AA$2:$AA$495&lt;=7)*('CASE MASTER'!$AC$2:$AC$495&gt;=7)*('CASE MASTER'!$AB$2:$AB$495&lt;=7)*('CASE MASTER'!$AD$2:$AD$495&gt;=7))*ROW('CASE MASTER'!$T$2:$T$495))-(ROW('CASE MASTER'!#REF!)-1)))-INDEX('CASE MASTER'!$AB$2:$AB$495,(SUMPRODUCT((('CASE MASTER'!$T$2:$T$495=2)*('CASE MASTER'!$AA$2:$AA$495&lt;=7)*('CASE MASTER'!$AC$2:$AC$495&gt;=7)*('CASE MASTER'!$AB$2:$AB$495&lt;=7)*('CASE MASTER'!$AD$2:$AD$495&gt;=7))*ROW('CASE MASTER'!$T$2:$T$495))-(ROW('CASE MASTER'!#REF!)-1)))+1)+(7-INDEX('CASE MASTER'!$AB$2:$AB$495,(SUMPRODUCT((('CASE MASTER'!$T$2:$T$495=2)*('CASE MASTER'!$AA$2:$AA$495&lt;=7)*('CASE MASTER'!$AC$2:$AC$495&gt;=7)*('CASE MASTER'!$AB$2:$AB$495&lt;=7)*('CASE MASTER'!$AD$2:$AD$495&gt;=7))*ROW('CASE MASTER'!$T$2:$T$495))-(ROW('CASE MASTER'!#REF!)-1))))+1)))-1)*50+1,50))&amp;"_"&amp;INDEX('CASE MASTER'!$Q$2:$Q$495,(SUMPRODUCT((('CASE MASTER'!$T$2:$T$495=2)*('CASE MASTER'!$AA$2:$AA$495&lt;=7)*('CASE MASTER'!$AC$2:$AC$495&gt;=7)*('CASE MASTER'!$AB$2:$AB$495&lt;=7)*('CASE MASTER'!$AD$2:$AD$495&gt;=7))*ROW('CASE MASTER'!$T$2:$T$495))-(ROW('CASE MASTER'!#REF!)-1))),"")),"")</f>
        <v/>
      </c>
      <c r="I23" s="10" t="str">
        <f>IFERROR(IF(SUMPRODUCT((('CASE MASTER'!$T$2:$T$495=2)*('CASE MASTER'!$U$2:$U$495&lt;=7)*('CASE MASTER'!$W$2:$W$495&gt;=7)*('CASE MASTER'!$V$2:$V$495&lt;=8)*('CASE MASTER'!$X$2:$X$495&gt;=8))*ROW('CASE MASTER'!$T$2:$T$495))&gt;0,INDEX('CASE MASTER'!$Y$2:$Y$495,(SUMPRODUCT((('CASE MASTER'!$T$2:$T$495=2)*('CASE MASTER'!$U$2:$U$495&lt;=7)*('CASE MASTER'!$W$2:$W$495&gt;=7)*('CASE MASTER'!$V$2:$V$495&lt;=8)*('CASE MASTER'!$X$2:$X$495&gt;=8))*ROW('CASE MASTER'!$T$2:$T$495))-(ROW('CASE MASTER'!#REF!)-1)))&amp;TRIM(MID(SUBSTITUTE(SUBSTITUTE(INDEX('CASE MASTER'!$N$2:$N$495,(SUMPRODUCT((('CASE MASTER'!$T$2:$T$495=2)*('CASE MASTER'!$U$2:$U$495&lt;=7)*('CASE MASTER'!$W$2:$W$495&gt;=7)*('CASE MASTER'!$V$2:$V$495&lt;=8)*('CASE MASTER'!$X$2:$X$495&gt;=8))*ROW('CASE MASTER'!$T$2:$T$495))-(ROW('CASE MASTER'!#REF!)-1))),":",","),",",REPT(" ",50)),((((7-INDEX('CASE MASTER'!$U$2:$U$495,(SUMPRODUCT((('CASE MASTER'!$T$2:$T$495=2)*('CASE MASTER'!$U$2:$U$495&lt;=7)*('CASE MASTER'!$W$2:$W$495&gt;=7)*('CASE MASTER'!$V$2:$V$495&lt;=8)*('CASE MASTER'!$X$2:$X$495&gt;=8))*ROW('CASE MASTER'!$T$2:$T$495))-(ROW('CASE MASTER'!#REF!)-1))))*(INDEX('CASE MASTER'!$X$2:$X$495,(SUMPRODUCT((('CASE MASTER'!$T$2:$T$495=2)*('CASE MASTER'!$U$2:$U$495&lt;=7)*('CASE MASTER'!$W$2:$W$495&gt;=7)*('CASE MASTER'!$V$2:$V$495&lt;=8)*('CASE MASTER'!$X$2:$X$495&gt;=8))*ROW('CASE MASTER'!$T$2:$T$495))-(ROW('CASE MASTER'!#REF!)-1)))-INDEX('CASE MASTER'!$V$2:$V$495,(SUMPRODUCT((('CASE MASTER'!$T$2:$T$495=2)*('CASE MASTER'!$U$2:$U$495&lt;=7)*('CASE MASTER'!$W$2:$W$495&gt;=7)*('CASE MASTER'!$V$2:$V$495&lt;=8)*('CASE MASTER'!$X$2:$X$495&gt;=8))*ROW('CASE MASTER'!$T$2:$T$495))-(ROW('CASE MASTER'!#REF!)-1)))+1)+(8-INDEX('CASE MASTER'!$V$2:$V$495,(SUMPRODUCT((('CASE MASTER'!$T$2:$T$495=2)*('CASE MASTER'!$U$2:$U$495&lt;=7)*('CASE MASTER'!$W$2:$W$495&gt;=7)*('CASE MASTER'!$V$2:$V$495&lt;=8)*('CASE MASTER'!$X$2:$X$495&gt;=8))*ROW('CASE MASTER'!$T$2:$T$495))-(ROW('CASE MASTER'!#REF!)-1))))+1))-1)*50+1,50))&amp;"_"&amp;INDEX('CASE MASTER'!$Q$2:$Q$495,(SUMPRODUCT((('CASE MASTER'!$T$2:$T$495=2)*('CASE MASTER'!$U$2:$U$495&lt;=7)*('CASE MASTER'!$W$2:$W$495&gt;=7)*('CASE MASTER'!$V$2:$V$495&lt;=8)*('CASE MASTER'!$X$2:$X$495&gt;=8))*ROW('CASE MASTER'!$T$2:$T$495))-(ROW('CASE MASTER'!#REF!)-1))),IF(SUMPRODUCT((('CASE MASTER'!$T$2:$T$495=2)*('CASE MASTER'!$AA$2:$AA$495&lt;=7)*('CASE MASTER'!$AC$2:$AC$495&gt;=7)*('CASE MASTER'!$AB$2:$AB$495&lt;=8)*('CASE MASTER'!$AD$2:$AD$495&gt;=8))*ROW('CASE MASTER'!$T$2:$T$495))&gt;0,INDEX('CASE MASTER'!$Y$2:$Y$495,(SUMPRODUCT((('CASE MASTER'!$T$2:$T$495=2)*('CASE MASTER'!$AA$2:$AA$495&lt;=7)*('CASE MASTER'!$AC$2:$AC$495&gt;=7)*('CASE MASTER'!$AB$2:$AB$495&lt;=8)*('CASE MASTER'!$AD$2:$AD$495&gt;=8))*ROW('CASE MASTER'!$T$2:$T$495))-(ROW('CASE MASTER'!#REF!)-1)))&amp;TRIM(MID(SUBSTITUTE(SUBSTITUTE(INDEX('CASE MASTER'!$N$2:$N$495,(SUMPRODUCT((('CASE MASTER'!$T$2:$T$495=2)*('CASE MASTER'!$AA$2:$AA$495&lt;=7)*('CASE MASTER'!$AC$2:$AC$495&gt;=7)*('CASE MASTER'!$AB$2:$AB$495&lt;=8)*('CASE MASTER'!$AD$2:$AD$495&gt;=8))*ROW('CASE MASTER'!$T$2:$T$495))-(ROW('CASE MASTER'!#REF!)-1))),":",","),",",REPT(" ",50)),(((INDEX('CASE MASTER'!$Z$2:$Z$495,(SUMPRODUCT((('CASE MASTER'!$T$2:$T$495=2)*('CASE MASTER'!$AA$2:$AA$495&lt;=7)*('CASE MASTER'!$AC$2:$AC$495&gt;=7)*('CASE MASTER'!$AB$2:$AB$495&lt;=8)*('CASE MASTER'!$AD$2:$AD$495&gt;=8))*ROW('CASE MASTER'!$T$2:$T$495))-(ROW('CASE MASTER'!#REF!)-1)))+((7-INDEX('CASE MASTER'!$AA$2:$AA$495,(SUMPRODUCT((('CASE MASTER'!$T$2:$T$495=2)*('CASE MASTER'!$AA$2:$AA$495&lt;=7)*('CASE MASTER'!$AC$2:$AC$495&gt;=7)*('CASE MASTER'!$AB$2:$AB$495&lt;=8)*('CASE MASTER'!$AD$2:$AD$495&gt;=8))*ROW('CASE MASTER'!$T$2:$T$495))-(ROW('CASE MASTER'!#REF!)-1))))*(INDEX('CASE MASTER'!$AD$2:$AD$495,(SUMPRODUCT((('CASE MASTER'!$T$2:$T$495=2)*('CASE MASTER'!$AA$2:$AA$495&lt;=7)*('CASE MASTER'!$AC$2:$AC$495&gt;=7)*('CASE MASTER'!$AB$2:$AB$495&lt;=8)*('CASE MASTER'!$AD$2:$AD$495&gt;=8))*ROW('CASE MASTER'!$T$2:$T$495))-(ROW('CASE MASTER'!#REF!)-1)))-INDEX('CASE MASTER'!$AB$2:$AB$495,(SUMPRODUCT((('CASE MASTER'!$T$2:$T$495=2)*('CASE MASTER'!$AA$2:$AA$495&lt;=7)*('CASE MASTER'!$AC$2:$AC$495&gt;=7)*('CASE MASTER'!$AB$2:$AB$495&lt;=8)*('CASE MASTER'!$AD$2:$AD$495&gt;=8))*ROW('CASE MASTER'!$T$2:$T$495))-(ROW('CASE MASTER'!#REF!)-1)))+1)+(8-INDEX('CASE MASTER'!$AB$2:$AB$495,(SUMPRODUCT((('CASE MASTER'!$T$2:$T$495=2)*('CASE MASTER'!$AA$2:$AA$495&lt;=7)*('CASE MASTER'!$AC$2:$AC$495&gt;=7)*('CASE MASTER'!$AB$2:$AB$495&lt;=8)*('CASE MASTER'!$AD$2:$AD$495&gt;=8))*ROW('CASE MASTER'!$T$2:$T$495))-(ROW('CASE MASTER'!#REF!)-1))))+1)))-1)*50+1,50))&amp;"_"&amp;INDEX('CASE MASTER'!$Q$2:$Q$495,(SUMPRODUCT((('CASE MASTER'!$T$2:$T$495=2)*('CASE MASTER'!$AA$2:$AA$495&lt;=7)*('CASE MASTER'!$AC$2:$AC$495&gt;=7)*('CASE MASTER'!$AB$2:$AB$495&lt;=8)*('CASE MASTER'!$AD$2:$AD$495&gt;=8))*ROW('CASE MASTER'!$T$2:$T$495))-(ROW('CASE MASTER'!#REF!)-1))),"")),"")</f>
        <v/>
      </c>
      <c r="J23" s="10" t="str">
        <f>IFERROR(IF(SUMPRODUCT((('CASE MASTER'!$T$2:$T$495=2)*('CASE MASTER'!$U$2:$U$495&lt;=7)*('CASE MASTER'!$W$2:$W$495&gt;=7)*('CASE MASTER'!$V$2:$V$495&lt;=9)*('CASE MASTER'!$X$2:$X$495&gt;=9))*ROW('CASE MASTER'!$T$2:$T$495))&gt;0,INDEX('CASE MASTER'!$Y$2:$Y$495,(SUMPRODUCT((('CASE MASTER'!$T$2:$T$495=2)*('CASE MASTER'!$U$2:$U$495&lt;=7)*('CASE MASTER'!$W$2:$W$495&gt;=7)*('CASE MASTER'!$V$2:$V$495&lt;=9)*('CASE MASTER'!$X$2:$X$495&gt;=9))*ROW('CASE MASTER'!$T$2:$T$495))-(ROW('CASE MASTER'!#REF!)-1)))&amp;TRIM(MID(SUBSTITUTE(SUBSTITUTE(INDEX('CASE MASTER'!$N$2:$N$495,(SUMPRODUCT((('CASE MASTER'!$T$2:$T$495=2)*('CASE MASTER'!$U$2:$U$495&lt;=7)*('CASE MASTER'!$W$2:$W$495&gt;=7)*('CASE MASTER'!$V$2:$V$495&lt;=9)*('CASE MASTER'!$X$2:$X$495&gt;=9))*ROW('CASE MASTER'!$T$2:$T$495))-(ROW('CASE MASTER'!#REF!)-1))),":",","),",",REPT(" ",50)),((((7-INDEX('CASE MASTER'!$U$2:$U$495,(SUMPRODUCT((('CASE MASTER'!$T$2:$T$495=2)*('CASE MASTER'!$U$2:$U$495&lt;=7)*('CASE MASTER'!$W$2:$W$495&gt;=7)*('CASE MASTER'!$V$2:$V$495&lt;=9)*('CASE MASTER'!$X$2:$X$495&gt;=9))*ROW('CASE MASTER'!$T$2:$T$495))-(ROW('CASE MASTER'!#REF!)-1))))*(INDEX('CASE MASTER'!$X$2:$X$495,(SUMPRODUCT((('CASE MASTER'!$T$2:$T$495=2)*('CASE MASTER'!$U$2:$U$495&lt;=7)*('CASE MASTER'!$W$2:$W$495&gt;=7)*('CASE MASTER'!$V$2:$V$495&lt;=9)*('CASE MASTER'!$X$2:$X$495&gt;=9))*ROW('CASE MASTER'!$T$2:$T$495))-(ROW('CASE MASTER'!#REF!)-1)))-INDEX('CASE MASTER'!$V$2:$V$495,(SUMPRODUCT((('CASE MASTER'!$T$2:$T$495=2)*('CASE MASTER'!$U$2:$U$495&lt;=7)*('CASE MASTER'!$W$2:$W$495&gt;=7)*('CASE MASTER'!$V$2:$V$495&lt;=9)*('CASE MASTER'!$X$2:$X$495&gt;=9))*ROW('CASE MASTER'!$T$2:$T$495))-(ROW('CASE MASTER'!#REF!)-1)))+1)+(9-INDEX('CASE MASTER'!$V$2:$V$495,(SUMPRODUCT((('CASE MASTER'!$T$2:$T$495=2)*('CASE MASTER'!$U$2:$U$495&lt;=7)*('CASE MASTER'!$W$2:$W$495&gt;=7)*('CASE MASTER'!$V$2:$V$495&lt;=9)*('CASE MASTER'!$X$2:$X$495&gt;=9))*ROW('CASE MASTER'!$T$2:$T$495))-(ROW('CASE MASTER'!#REF!)-1))))+1))-1)*50+1,50))&amp;"_"&amp;INDEX('CASE MASTER'!$Q$2:$Q$495,(SUMPRODUCT((('CASE MASTER'!$T$2:$T$495=2)*('CASE MASTER'!$U$2:$U$495&lt;=7)*('CASE MASTER'!$W$2:$W$495&gt;=7)*('CASE MASTER'!$V$2:$V$495&lt;=9)*('CASE MASTER'!$X$2:$X$495&gt;=9))*ROW('CASE MASTER'!$T$2:$T$495))-(ROW('CASE MASTER'!#REF!)-1))),IF(SUMPRODUCT((('CASE MASTER'!$T$2:$T$495=2)*('CASE MASTER'!$AA$2:$AA$495&lt;=7)*('CASE MASTER'!$AC$2:$AC$495&gt;=7)*('CASE MASTER'!$AB$2:$AB$495&lt;=9)*('CASE MASTER'!$AD$2:$AD$495&gt;=9))*ROW('CASE MASTER'!$T$2:$T$495))&gt;0,INDEX('CASE MASTER'!$Y$2:$Y$495,(SUMPRODUCT((('CASE MASTER'!$T$2:$T$495=2)*('CASE MASTER'!$AA$2:$AA$495&lt;=7)*('CASE MASTER'!$AC$2:$AC$495&gt;=7)*('CASE MASTER'!$AB$2:$AB$495&lt;=9)*('CASE MASTER'!$AD$2:$AD$495&gt;=9))*ROW('CASE MASTER'!$T$2:$T$495))-(ROW('CASE MASTER'!#REF!)-1)))&amp;TRIM(MID(SUBSTITUTE(SUBSTITUTE(INDEX('CASE MASTER'!$N$2:$N$495,(SUMPRODUCT((('CASE MASTER'!$T$2:$T$495=2)*('CASE MASTER'!$AA$2:$AA$495&lt;=7)*('CASE MASTER'!$AC$2:$AC$495&gt;=7)*('CASE MASTER'!$AB$2:$AB$495&lt;=9)*('CASE MASTER'!$AD$2:$AD$495&gt;=9))*ROW('CASE MASTER'!$T$2:$T$495))-(ROW('CASE MASTER'!#REF!)-1))),":",","),",",REPT(" ",50)),(((INDEX('CASE MASTER'!$Z$2:$Z$495,(SUMPRODUCT((('CASE MASTER'!$T$2:$T$495=2)*('CASE MASTER'!$AA$2:$AA$495&lt;=7)*('CASE MASTER'!$AC$2:$AC$495&gt;=7)*('CASE MASTER'!$AB$2:$AB$495&lt;=9)*('CASE MASTER'!$AD$2:$AD$495&gt;=9))*ROW('CASE MASTER'!$T$2:$T$495))-(ROW('CASE MASTER'!#REF!)-1)))+((7-INDEX('CASE MASTER'!$AA$2:$AA$495,(SUMPRODUCT((('CASE MASTER'!$T$2:$T$495=2)*('CASE MASTER'!$AA$2:$AA$495&lt;=7)*('CASE MASTER'!$AC$2:$AC$495&gt;=7)*('CASE MASTER'!$AB$2:$AB$495&lt;=9)*('CASE MASTER'!$AD$2:$AD$495&gt;=9))*ROW('CASE MASTER'!$T$2:$T$495))-(ROW('CASE MASTER'!#REF!)-1))))*(INDEX('CASE MASTER'!$AD$2:$AD$495,(SUMPRODUCT((('CASE MASTER'!$T$2:$T$495=2)*('CASE MASTER'!$AA$2:$AA$495&lt;=7)*('CASE MASTER'!$AC$2:$AC$495&gt;=7)*('CASE MASTER'!$AB$2:$AB$495&lt;=9)*('CASE MASTER'!$AD$2:$AD$495&gt;=9))*ROW('CASE MASTER'!$T$2:$T$495))-(ROW('CASE MASTER'!#REF!)-1)))-INDEX('CASE MASTER'!$AB$2:$AB$495,(SUMPRODUCT((('CASE MASTER'!$T$2:$T$495=2)*('CASE MASTER'!$AA$2:$AA$495&lt;=7)*('CASE MASTER'!$AC$2:$AC$495&gt;=7)*('CASE MASTER'!$AB$2:$AB$495&lt;=9)*('CASE MASTER'!$AD$2:$AD$495&gt;=9))*ROW('CASE MASTER'!$T$2:$T$495))-(ROW('CASE MASTER'!#REF!)-1)))+1)+(9-INDEX('CASE MASTER'!$AB$2:$AB$495,(SUMPRODUCT((('CASE MASTER'!$T$2:$T$495=2)*('CASE MASTER'!$AA$2:$AA$495&lt;=7)*('CASE MASTER'!$AC$2:$AC$495&gt;=7)*('CASE MASTER'!$AB$2:$AB$495&lt;=9)*('CASE MASTER'!$AD$2:$AD$495&gt;=9))*ROW('CASE MASTER'!$T$2:$T$495))-(ROW('CASE MASTER'!#REF!)-1))))+1)))-1)*50+1,50))&amp;"_"&amp;INDEX('CASE MASTER'!$Q$2:$Q$495,(SUMPRODUCT((('CASE MASTER'!$T$2:$T$495=2)*('CASE MASTER'!$AA$2:$AA$495&lt;=7)*('CASE MASTER'!$AC$2:$AC$495&gt;=7)*('CASE MASTER'!$AB$2:$AB$495&lt;=9)*('CASE MASTER'!$AD$2:$AD$495&gt;=9))*ROW('CASE MASTER'!$T$2:$T$495))-(ROW('CASE MASTER'!#REF!)-1))),"")),"")</f>
        <v/>
      </c>
      <c r="K23" s="10" t="str">
        <f>IFERROR(IF(SUMPRODUCT((('CASE MASTER'!$T$2:$T$495=2)*('CASE MASTER'!$U$2:$U$495&lt;=7)*('CASE MASTER'!$W$2:$W$495&gt;=7)*('CASE MASTER'!$V$2:$V$495&lt;=10)*('CASE MASTER'!$X$2:$X$495&gt;=10))*ROW('CASE MASTER'!$T$2:$T$495))&gt;0,INDEX('CASE MASTER'!$Y$2:$Y$495,(SUMPRODUCT((('CASE MASTER'!$T$2:$T$495=2)*('CASE MASTER'!$U$2:$U$495&lt;=7)*('CASE MASTER'!$W$2:$W$495&gt;=7)*('CASE MASTER'!$V$2:$V$495&lt;=10)*('CASE MASTER'!$X$2:$X$495&gt;=10))*ROW('CASE MASTER'!$T$2:$T$495))-(ROW('CASE MASTER'!#REF!)-1)))&amp;TRIM(MID(SUBSTITUTE(SUBSTITUTE(INDEX('CASE MASTER'!$N$2:$N$495,(SUMPRODUCT((('CASE MASTER'!$T$2:$T$495=2)*('CASE MASTER'!$U$2:$U$495&lt;=7)*('CASE MASTER'!$W$2:$W$495&gt;=7)*('CASE MASTER'!$V$2:$V$495&lt;=10)*('CASE MASTER'!$X$2:$X$495&gt;=10))*ROW('CASE MASTER'!$T$2:$T$495))-(ROW('CASE MASTER'!#REF!)-1))),":",","),",",REPT(" ",50)),((((7-INDEX('CASE MASTER'!$U$2:$U$495,(SUMPRODUCT((('CASE MASTER'!$T$2:$T$495=2)*('CASE MASTER'!$U$2:$U$495&lt;=7)*('CASE MASTER'!$W$2:$W$495&gt;=7)*('CASE MASTER'!$V$2:$V$495&lt;=10)*('CASE MASTER'!$X$2:$X$495&gt;=10))*ROW('CASE MASTER'!$T$2:$T$495))-(ROW('CASE MASTER'!#REF!)-1))))*(INDEX('CASE MASTER'!$X$2:$X$495,(SUMPRODUCT((('CASE MASTER'!$T$2:$T$495=2)*('CASE MASTER'!$U$2:$U$495&lt;=7)*('CASE MASTER'!$W$2:$W$495&gt;=7)*('CASE MASTER'!$V$2:$V$495&lt;=10)*('CASE MASTER'!$X$2:$X$495&gt;=10))*ROW('CASE MASTER'!$T$2:$T$495))-(ROW('CASE MASTER'!#REF!)-1)))-INDEX('CASE MASTER'!$V$2:$V$495,(SUMPRODUCT((('CASE MASTER'!$T$2:$T$495=2)*('CASE MASTER'!$U$2:$U$495&lt;=7)*('CASE MASTER'!$W$2:$W$495&gt;=7)*('CASE MASTER'!$V$2:$V$495&lt;=10)*('CASE MASTER'!$X$2:$X$495&gt;=10))*ROW('CASE MASTER'!$T$2:$T$495))-(ROW('CASE MASTER'!#REF!)-1)))+1)+(10-INDEX('CASE MASTER'!$V$2:$V$495,(SUMPRODUCT((('CASE MASTER'!$T$2:$T$495=2)*('CASE MASTER'!$U$2:$U$495&lt;=7)*('CASE MASTER'!$W$2:$W$495&gt;=7)*('CASE MASTER'!$V$2:$V$495&lt;=10)*('CASE MASTER'!$X$2:$X$495&gt;=10))*ROW('CASE MASTER'!$T$2:$T$495))-(ROW('CASE MASTER'!#REF!)-1))))+1))-1)*50+1,50))&amp;"_"&amp;INDEX('CASE MASTER'!$Q$2:$Q$495,(SUMPRODUCT((('CASE MASTER'!$T$2:$T$495=2)*('CASE MASTER'!$U$2:$U$495&lt;=7)*('CASE MASTER'!$W$2:$W$495&gt;=7)*('CASE MASTER'!$V$2:$V$495&lt;=10)*('CASE MASTER'!$X$2:$X$495&gt;=10))*ROW('CASE MASTER'!$T$2:$T$495))-(ROW('CASE MASTER'!#REF!)-1))),IF(SUMPRODUCT((('CASE MASTER'!$T$2:$T$495=2)*('CASE MASTER'!$AA$2:$AA$495&lt;=7)*('CASE MASTER'!$AC$2:$AC$495&gt;=7)*('CASE MASTER'!$AB$2:$AB$495&lt;=10)*('CASE MASTER'!$AD$2:$AD$495&gt;=10))*ROW('CASE MASTER'!$T$2:$T$495))&gt;0,INDEX('CASE MASTER'!$Y$2:$Y$495,(SUMPRODUCT((('CASE MASTER'!$T$2:$T$495=2)*('CASE MASTER'!$AA$2:$AA$495&lt;=7)*('CASE MASTER'!$AC$2:$AC$495&gt;=7)*('CASE MASTER'!$AB$2:$AB$495&lt;=10)*('CASE MASTER'!$AD$2:$AD$495&gt;=10))*ROW('CASE MASTER'!$T$2:$T$495))-(ROW('CASE MASTER'!#REF!)-1)))&amp;TRIM(MID(SUBSTITUTE(SUBSTITUTE(INDEX('CASE MASTER'!$N$2:$N$495,(SUMPRODUCT((('CASE MASTER'!$T$2:$T$495=2)*('CASE MASTER'!$AA$2:$AA$495&lt;=7)*('CASE MASTER'!$AC$2:$AC$495&gt;=7)*('CASE MASTER'!$AB$2:$AB$495&lt;=10)*('CASE MASTER'!$AD$2:$AD$495&gt;=10))*ROW('CASE MASTER'!$T$2:$T$495))-(ROW('CASE MASTER'!#REF!)-1))),":",","),",",REPT(" ",50)),(((INDEX('CASE MASTER'!$Z$2:$Z$495,(SUMPRODUCT((('CASE MASTER'!$T$2:$T$495=2)*('CASE MASTER'!$AA$2:$AA$495&lt;=7)*('CASE MASTER'!$AC$2:$AC$495&gt;=7)*('CASE MASTER'!$AB$2:$AB$495&lt;=10)*('CASE MASTER'!$AD$2:$AD$495&gt;=10))*ROW('CASE MASTER'!$T$2:$T$495))-(ROW('CASE MASTER'!#REF!)-1)))+((7-INDEX('CASE MASTER'!$AA$2:$AA$495,(SUMPRODUCT((('CASE MASTER'!$T$2:$T$495=2)*('CASE MASTER'!$AA$2:$AA$495&lt;=7)*('CASE MASTER'!$AC$2:$AC$495&gt;=7)*('CASE MASTER'!$AB$2:$AB$495&lt;=10)*('CASE MASTER'!$AD$2:$AD$495&gt;=10))*ROW('CASE MASTER'!$T$2:$T$495))-(ROW('CASE MASTER'!#REF!)-1))))*(INDEX('CASE MASTER'!$AD$2:$AD$495,(SUMPRODUCT((('CASE MASTER'!$T$2:$T$495=2)*('CASE MASTER'!$AA$2:$AA$495&lt;=7)*('CASE MASTER'!$AC$2:$AC$495&gt;=7)*('CASE MASTER'!$AB$2:$AB$495&lt;=10)*('CASE MASTER'!$AD$2:$AD$495&gt;=10))*ROW('CASE MASTER'!$T$2:$T$495))-(ROW('CASE MASTER'!#REF!)-1)))-INDEX('CASE MASTER'!$AB$2:$AB$495,(SUMPRODUCT((('CASE MASTER'!$T$2:$T$495=2)*('CASE MASTER'!$AA$2:$AA$495&lt;=7)*('CASE MASTER'!$AC$2:$AC$495&gt;=7)*('CASE MASTER'!$AB$2:$AB$495&lt;=10)*('CASE MASTER'!$AD$2:$AD$495&gt;=10))*ROW('CASE MASTER'!$T$2:$T$495))-(ROW('CASE MASTER'!#REF!)-1)))+1)+(10-INDEX('CASE MASTER'!$AB$2:$AB$495,(SUMPRODUCT((('CASE MASTER'!$T$2:$T$495=2)*('CASE MASTER'!$AA$2:$AA$495&lt;=7)*('CASE MASTER'!$AC$2:$AC$495&gt;=7)*('CASE MASTER'!$AB$2:$AB$495&lt;=10)*('CASE MASTER'!$AD$2:$AD$495&gt;=10))*ROW('CASE MASTER'!$T$2:$T$495))-(ROW('CASE MASTER'!#REF!)-1))))+1)))-1)*50+1,50))&amp;"_"&amp;INDEX('CASE MASTER'!$Q$2:$Q$495,(SUMPRODUCT((('CASE MASTER'!$T$2:$T$495=2)*('CASE MASTER'!$AA$2:$AA$495&lt;=7)*('CASE MASTER'!$AC$2:$AC$495&gt;=7)*('CASE MASTER'!$AB$2:$AB$495&lt;=10)*('CASE MASTER'!$AD$2:$AD$495&gt;=10))*ROW('CASE MASTER'!$T$2:$T$495))-(ROW('CASE MASTER'!#REF!)-1))),"")),"")</f>
        <v/>
      </c>
    </row>
    <row r="24" spans="1:11" ht="15" customHeight="1" x14ac:dyDescent="0.35">
      <c r="A24" s="8" t="s">
        <v>35</v>
      </c>
      <c r="B24" s="10" t="str">
        <f>IFERROR(IF(SUMPRODUCT((('CASE MASTER'!$T$2:$T$495=2)*('CASE MASTER'!$U$2:$U$495&lt;=8)*('CASE MASTER'!$W$2:$W$495&gt;=8)*('CASE MASTER'!$V$2:$V$495&lt;=1)*('CASE MASTER'!$X$2:$X$495&gt;=1))*ROW('CASE MASTER'!$T$2:$T$495))&gt;0,INDEX('CASE MASTER'!$Y$2:$Y$495,(SUMPRODUCT((('CASE MASTER'!$T$2:$T$495=2)*('CASE MASTER'!$U$2:$U$495&lt;=8)*('CASE MASTER'!$W$2:$W$495&gt;=8)*('CASE MASTER'!$V$2:$V$495&lt;=1)*('CASE MASTER'!$X$2:$X$495&gt;=1))*ROW('CASE MASTER'!$T$2:$T$495))-(ROW('CASE MASTER'!#REF!)-1)))&amp;TRIM(MID(SUBSTITUTE(SUBSTITUTE(INDEX('CASE MASTER'!$N$2:$N$495,(SUMPRODUCT((('CASE MASTER'!$T$2:$T$495=2)*('CASE MASTER'!$U$2:$U$495&lt;=8)*('CASE MASTER'!$W$2:$W$495&gt;=8)*('CASE MASTER'!$V$2:$V$495&lt;=1)*('CASE MASTER'!$X$2:$X$495&gt;=1))*ROW('CASE MASTER'!$T$2:$T$495))-(ROW('CASE MASTER'!#REF!)-1))),":",","),",",REPT(" ",50)),((((8-INDEX('CASE MASTER'!$U$2:$U$495,(SUMPRODUCT((('CASE MASTER'!$T$2:$T$495=2)*('CASE MASTER'!$U$2:$U$495&lt;=8)*('CASE MASTER'!$W$2:$W$495&gt;=8)*('CASE MASTER'!$V$2:$V$495&lt;=1)*('CASE MASTER'!$X$2:$X$495&gt;=1))*ROW('CASE MASTER'!$T$2:$T$495))-(ROW('CASE MASTER'!#REF!)-1))))*(INDEX('CASE MASTER'!$X$2:$X$495,(SUMPRODUCT((('CASE MASTER'!$T$2:$T$495=2)*('CASE MASTER'!$U$2:$U$495&lt;=8)*('CASE MASTER'!$W$2:$W$495&gt;=8)*('CASE MASTER'!$V$2:$V$495&lt;=1)*('CASE MASTER'!$X$2:$X$495&gt;=1))*ROW('CASE MASTER'!$T$2:$T$495))-(ROW('CASE MASTER'!#REF!)-1)))-INDEX('CASE MASTER'!$V$2:$V$495,(SUMPRODUCT((('CASE MASTER'!$T$2:$T$495=2)*('CASE MASTER'!$U$2:$U$495&lt;=8)*('CASE MASTER'!$W$2:$W$495&gt;=8)*('CASE MASTER'!$V$2:$V$495&lt;=1)*('CASE MASTER'!$X$2:$X$495&gt;=1))*ROW('CASE MASTER'!$T$2:$T$495))-(ROW('CASE MASTER'!#REF!)-1)))+1)+(1-INDEX('CASE MASTER'!$V$2:$V$495,(SUMPRODUCT((('CASE MASTER'!$T$2:$T$495=2)*('CASE MASTER'!$U$2:$U$495&lt;=8)*('CASE MASTER'!$W$2:$W$495&gt;=8)*('CASE MASTER'!$V$2:$V$495&lt;=1)*('CASE MASTER'!$X$2:$X$495&gt;=1))*ROW('CASE MASTER'!$T$2:$T$495))-(ROW('CASE MASTER'!#REF!)-1))))+1))-1)*50+1,50))&amp;"_"&amp;INDEX('CASE MASTER'!$Q$2:$Q$495,(SUMPRODUCT((('CASE MASTER'!$T$2:$T$495=2)*('CASE MASTER'!$U$2:$U$495&lt;=8)*('CASE MASTER'!$W$2:$W$495&gt;=8)*('CASE MASTER'!$V$2:$V$495&lt;=1)*('CASE MASTER'!$X$2:$X$495&gt;=1))*ROW('CASE MASTER'!$T$2:$T$495))-(ROW('CASE MASTER'!#REF!)-1))),IF(SUMPRODUCT((('CASE MASTER'!$T$2:$T$495=2)*('CASE MASTER'!$AA$2:$AA$495&lt;=8)*('CASE MASTER'!$AC$2:$AC$495&gt;=8)*('CASE MASTER'!$AB$2:$AB$495&lt;=1)*('CASE MASTER'!$AD$2:$AD$495&gt;=1))*ROW('CASE MASTER'!$T$2:$T$495))&gt;0,INDEX('CASE MASTER'!$Y$2:$Y$495,(SUMPRODUCT((('CASE MASTER'!$T$2:$T$495=2)*('CASE MASTER'!$AA$2:$AA$495&lt;=8)*('CASE MASTER'!$AC$2:$AC$495&gt;=8)*('CASE MASTER'!$AB$2:$AB$495&lt;=1)*('CASE MASTER'!$AD$2:$AD$495&gt;=1))*ROW('CASE MASTER'!$T$2:$T$495))-(ROW('CASE MASTER'!#REF!)-1)))&amp;TRIM(MID(SUBSTITUTE(SUBSTITUTE(INDEX('CASE MASTER'!$N$2:$N$495,(SUMPRODUCT((('CASE MASTER'!$T$2:$T$495=2)*('CASE MASTER'!$AA$2:$AA$495&lt;=8)*('CASE MASTER'!$AC$2:$AC$495&gt;=8)*('CASE MASTER'!$AB$2:$AB$495&lt;=1)*('CASE MASTER'!$AD$2:$AD$495&gt;=1))*ROW('CASE MASTER'!$T$2:$T$495))-(ROW('CASE MASTER'!#REF!)-1))),":",","),",",REPT(" ",50)),(((INDEX('CASE MASTER'!$Z$2:$Z$495,(SUMPRODUCT((('CASE MASTER'!$T$2:$T$495=2)*('CASE MASTER'!$AA$2:$AA$495&lt;=8)*('CASE MASTER'!$AC$2:$AC$495&gt;=8)*('CASE MASTER'!$AB$2:$AB$495&lt;=1)*('CASE MASTER'!$AD$2:$AD$495&gt;=1))*ROW('CASE MASTER'!$T$2:$T$495))-(ROW('CASE MASTER'!#REF!)-1)))+((8-INDEX('CASE MASTER'!$AA$2:$AA$495,(SUMPRODUCT((('CASE MASTER'!$T$2:$T$495=2)*('CASE MASTER'!$AA$2:$AA$495&lt;=8)*('CASE MASTER'!$AC$2:$AC$495&gt;=8)*('CASE MASTER'!$AB$2:$AB$495&lt;=1)*('CASE MASTER'!$AD$2:$AD$495&gt;=1))*ROW('CASE MASTER'!$T$2:$T$495))-(ROW('CASE MASTER'!#REF!)-1))))*(INDEX('CASE MASTER'!$AD$2:$AD$495,(SUMPRODUCT((('CASE MASTER'!$T$2:$T$495=2)*('CASE MASTER'!$AA$2:$AA$495&lt;=8)*('CASE MASTER'!$AC$2:$AC$495&gt;=8)*('CASE MASTER'!$AB$2:$AB$495&lt;=1)*('CASE MASTER'!$AD$2:$AD$495&gt;=1))*ROW('CASE MASTER'!$T$2:$T$495))-(ROW('CASE MASTER'!#REF!)-1)))-INDEX('CASE MASTER'!$AB$2:$AB$495,(SUMPRODUCT((('CASE MASTER'!$T$2:$T$495=2)*('CASE MASTER'!$AA$2:$AA$495&lt;=8)*('CASE MASTER'!$AC$2:$AC$495&gt;=8)*('CASE MASTER'!$AB$2:$AB$495&lt;=1)*('CASE MASTER'!$AD$2:$AD$495&gt;=1))*ROW('CASE MASTER'!$T$2:$T$495))-(ROW('CASE MASTER'!#REF!)-1)))+1)+(1-INDEX('CASE MASTER'!$AB$2:$AB$495,(SUMPRODUCT((('CASE MASTER'!$T$2:$T$495=2)*('CASE MASTER'!$AA$2:$AA$495&lt;=8)*('CASE MASTER'!$AC$2:$AC$495&gt;=8)*('CASE MASTER'!$AB$2:$AB$495&lt;=1)*('CASE MASTER'!$AD$2:$AD$495&gt;=1))*ROW('CASE MASTER'!$T$2:$T$495))-(ROW('CASE MASTER'!#REF!)-1))))+1)))-1)*50+1,50))&amp;"_"&amp;INDEX('CASE MASTER'!$Q$2:$Q$495,(SUMPRODUCT((('CASE MASTER'!$T$2:$T$495=2)*('CASE MASTER'!$AA$2:$AA$495&lt;=8)*('CASE MASTER'!$AC$2:$AC$495&gt;=8)*('CASE MASTER'!$AB$2:$AB$495&lt;=1)*('CASE MASTER'!$AD$2:$AD$495&gt;=1))*ROW('CASE MASTER'!$T$2:$T$495))-(ROW('CASE MASTER'!#REF!)-1))),"")),"")</f>
        <v/>
      </c>
      <c r="C24" s="10" t="str">
        <f>IFERROR(IF(SUMPRODUCT((('CASE MASTER'!$T$2:$T$495=2)*('CASE MASTER'!$U$2:$U$495&lt;=8)*('CASE MASTER'!$W$2:$W$495&gt;=8)*('CASE MASTER'!$V$2:$V$495&lt;=2)*('CASE MASTER'!$X$2:$X$495&gt;=2))*ROW('CASE MASTER'!$T$2:$T$495))&gt;0,INDEX('CASE MASTER'!$Y$2:$Y$495,(SUMPRODUCT((('CASE MASTER'!$T$2:$T$495=2)*('CASE MASTER'!$U$2:$U$495&lt;=8)*('CASE MASTER'!$W$2:$W$495&gt;=8)*('CASE MASTER'!$V$2:$V$495&lt;=2)*('CASE MASTER'!$X$2:$X$495&gt;=2))*ROW('CASE MASTER'!$T$2:$T$495))-(ROW('CASE MASTER'!#REF!)-1)))&amp;TRIM(MID(SUBSTITUTE(SUBSTITUTE(INDEX('CASE MASTER'!$N$2:$N$495,(SUMPRODUCT((('CASE MASTER'!$T$2:$T$495=2)*('CASE MASTER'!$U$2:$U$495&lt;=8)*('CASE MASTER'!$W$2:$W$495&gt;=8)*('CASE MASTER'!$V$2:$V$495&lt;=2)*('CASE MASTER'!$X$2:$X$495&gt;=2))*ROW('CASE MASTER'!$T$2:$T$495))-(ROW('CASE MASTER'!#REF!)-1))),":",","),",",REPT(" ",50)),((((8-INDEX('CASE MASTER'!$U$2:$U$495,(SUMPRODUCT((('CASE MASTER'!$T$2:$T$495=2)*('CASE MASTER'!$U$2:$U$495&lt;=8)*('CASE MASTER'!$W$2:$W$495&gt;=8)*('CASE MASTER'!$V$2:$V$495&lt;=2)*('CASE MASTER'!$X$2:$X$495&gt;=2))*ROW('CASE MASTER'!$T$2:$T$495))-(ROW('CASE MASTER'!#REF!)-1))))*(INDEX('CASE MASTER'!$X$2:$X$495,(SUMPRODUCT((('CASE MASTER'!$T$2:$T$495=2)*('CASE MASTER'!$U$2:$U$495&lt;=8)*('CASE MASTER'!$W$2:$W$495&gt;=8)*('CASE MASTER'!$V$2:$V$495&lt;=2)*('CASE MASTER'!$X$2:$X$495&gt;=2))*ROW('CASE MASTER'!$T$2:$T$495))-(ROW('CASE MASTER'!#REF!)-1)))-INDEX('CASE MASTER'!$V$2:$V$495,(SUMPRODUCT((('CASE MASTER'!$T$2:$T$495=2)*('CASE MASTER'!$U$2:$U$495&lt;=8)*('CASE MASTER'!$W$2:$W$495&gt;=8)*('CASE MASTER'!$V$2:$V$495&lt;=2)*('CASE MASTER'!$X$2:$X$495&gt;=2))*ROW('CASE MASTER'!$T$2:$T$495))-(ROW('CASE MASTER'!#REF!)-1)))+1)+(2-INDEX('CASE MASTER'!$V$2:$V$495,(SUMPRODUCT((('CASE MASTER'!$T$2:$T$495=2)*('CASE MASTER'!$U$2:$U$495&lt;=8)*('CASE MASTER'!$W$2:$W$495&gt;=8)*('CASE MASTER'!$V$2:$V$495&lt;=2)*('CASE MASTER'!$X$2:$X$495&gt;=2))*ROW('CASE MASTER'!$T$2:$T$495))-(ROW('CASE MASTER'!#REF!)-1))))+1))-1)*50+1,50))&amp;"_"&amp;INDEX('CASE MASTER'!$Q$2:$Q$495,(SUMPRODUCT((('CASE MASTER'!$T$2:$T$495=2)*('CASE MASTER'!$U$2:$U$495&lt;=8)*('CASE MASTER'!$W$2:$W$495&gt;=8)*('CASE MASTER'!$V$2:$V$495&lt;=2)*('CASE MASTER'!$X$2:$X$495&gt;=2))*ROW('CASE MASTER'!$T$2:$T$495))-(ROW('CASE MASTER'!#REF!)-1))),IF(SUMPRODUCT((('CASE MASTER'!$T$2:$T$495=2)*('CASE MASTER'!$AA$2:$AA$495&lt;=8)*('CASE MASTER'!$AC$2:$AC$495&gt;=8)*('CASE MASTER'!$AB$2:$AB$495&lt;=2)*('CASE MASTER'!$AD$2:$AD$495&gt;=2))*ROW('CASE MASTER'!$T$2:$T$495))&gt;0,INDEX('CASE MASTER'!$Y$2:$Y$495,(SUMPRODUCT((('CASE MASTER'!$T$2:$T$495=2)*('CASE MASTER'!$AA$2:$AA$495&lt;=8)*('CASE MASTER'!$AC$2:$AC$495&gt;=8)*('CASE MASTER'!$AB$2:$AB$495&lt;=2)*('CASE MASTER'!$AD$2:$AD$495&gt;=2))*ROW('CASE MASTER'!$T$2:$T$495))-(ROW('CASE MASTER'!#REF!)-1)))&amp;TRIM(MID(SUBSTITUTE(SUBSTITUTE(INDEX('CASE MASTER'!$N$2:$N$495,(SUMPRODUCT((('CASE MASTER'!$T$2:$T$495=2)*('CASE MASTER'!$AA$2:$AA$495&lt;=8)*('CASE MASTER'!$AC$2:$AC$495&gt;=8)*('CASE MASTER'!$AB$2:$AB$495&lt;=2)*('CASE MASTER'!$AD$2:$AD$495&gt;=2))*ROW('CASE MASTER'!$T$2:$T$495))-(ROW('CASE MASTER'!#REF!)-1))),":",","),",",REPT(" ",50)),(((INDEX('CASE MASTER'!$Z$2:$Z$495,(SUMPRODUCT((('CASE MASTER'!$T$2:$T$495=2)*('CASE MASTER'!$AA$2:$AA$495&lt;=8)*('CASE MASTER'!$AC$2:$AC$495&gt;=8)*('CASE MASTER'!$AB$2:$AB$495&lt;=2)*('CASE MASTER'!$AD$2:$AD$495&gt;=2))*ROW('CASE MASTER'!$T$2:$T$495))-(ROW('CASE MASTER'!#REF!)-1)))+((8-INDEX('CASE MASTER'!$AA$2:$AA$495,(SUMPRODUCT((('CASE MASTER'!$T$2:$T$495=2)*('CASE MASTER'!$AA$2:$AA$495&lt;=8)*('CASE MASTER'!$AC$2:$AC$495&gt;=8)*('CASE MASTER'!$AB$2:$AB$495&lt;=2)*('CASE MASTER'!$AD$2:$AD$495&gt;=2))*ROW('CASE MASTER'!$T$2:$T$495))-(ROW('CASE MASTER'!#REF!)-1))))*(INDEX('CASE MASTER'!$AD$2:$AD$495,(SUMPRODUCT((('CASE MASTER'!$T$2:$T$495=2)*('CASE MASTER'!$AA$2:$AA$495&lt;=8)*('CASE MASTER'!$AC$2:$AC$495&gt;=8)*('CASE MASTER'!$AB$2:$AB$495&lt;=2)*('CASE MASTER'!$AD$2:$AD$495&gt;=2))*ROW('CASE MASTER'!$T$2:$T$495))-(ROW('CASE MASTER'!#REF!)-1)))-INDEX('CASE MASTER'!$AB$2:$AB$495,(SUMPRODUCT((('CASE MASTER'!$T$2:$T$495=2)*('CASE MASTER'!$AA$2:$AA$495&lt;=8)*('CASE MASTER'!$AC$2:$AC$495&gt;=8)*('CASE MASTER'!$AB$2:$AB$495&lt;=2)*('CASE MASTER'!$AD$2:$AD$495&gt;=2))*ROW('CASE MASTER'!$T$2:$T$495))-(ROW('CASE MASTER'!#REF!)-1)))+1)+(2-INDEX('CASE MASTER'!$AB$2:$AB$495,(SUMPRODUCT((('CASE MASTER'!$T$2:$T$495=2)*('CASE MASTER'!$AA$2:$AA$495&lt;=8)*('CASE MASTER'!$AC$2:$AC$495&gt;=8)*('CASE MASTER'!$AB$2:$AB$495&lt;=2)*('CASE MASTER'!$AD$2:$AD$495&gt;=2))*ROW('CASE MASTER'!$T$2:$T$495))-(ROW('CASE MASTER'!#REF!)-1))))+1)))-1)*50+1,50))&amp;"_"&amp;INDEX('CASE MASTER'!$Q$2:$Q$495,(SUMPRODUCT((('CASE MASTER'!$T$2:$T$495=2)*('CASE MASTER'!$AA$2:$AA$495&lt;=8)*('CASE MASTER'!$AC$2:$AC$495&gt;=8)*('CASE MASTER'!$AB$2:$AB$495&lt;=2)*('CASE MASTER'!$AD$2:$AD$495&gt;=2))*ROW('CASE MASTER'!$T$2:$T$495))-(ROW('CASE MASTER'!#REF!)-1))),"")),"")</f>
        <v/>
      </c>
      <c r="D24" s="10" t="str">
        <f>IFERROR(IF(SUMPRODUCT((('CASE MASTER'!$T$2:$T$495=2)*('CASE MASTER'!$U$2:$U$495&lt;=8)*('CASE MASTER'!$W$2:$W$495&gt;=8)*('CASE MASTER'!$V$2:$V$495&lt;=3)*('CASE MASTER'!$X$2:$X$495&gt;=3))*ROW('CASE MASTER'!$T$2:$T$495))&gt;0,INDEX('CASE MASTER'!$Y$2:$Y$495,(SUMPRODUCT((('CASE MASTER'!$T$2:$T$495=2)*('CASE MASTER'!$U$2:$U$495&lt;=8)*('CASE MASTER'!$W$2:$W$495&gt;=8)*('CASE MASTER'!$V$2:$V$495&lt;=3)*('CASE MASTER'!$X$2:$X$495&gt;=3))*ROW('CASE MASTER'!$T$2:$T$495))-(ROW('CASE MASTER'!#REF!)-1)))&amp;TRIM(MID(SUBSTITUTE(SUBSTITUTE(INDEX('CASE MASTER'!$N$2:$N$495,(SUMPRODUCT((('CASE MASTER'!$T$2:$T$495=2)*('CASE MASTER'!$U$2:$U$495&lt;=8)*('CASE MASTER'!$W$2:$W$495&gt;=8)*('CASE MASTER'!$V$2:$V$495&lt;=3)*('CASE MASTER'!$X$2:$X$495&gt;=3))*ROW('CASE MASTER'!$T$2:$T$495))-(ROW('CASE MASTER'!#REF!)-1))),":",","),",",REPT(" ",50)),((((8-INDEX('CASE MASTER'!$U$2:$U$495,(SUMPRODUCT((('CASE MASTER'!$T$2:$T$495=2)*('CASE MASTER'!$U$2:$U$495&lt;=8)*('CASE MASTER'!$W$2:$W$495&gt;=8)*('CASE MASTER'!$V$2:$V$495&lt;=3)*('CASE MASTER'!$X$2:$X$495&gt;=3))*ROW('CASE MASTER'!$T$2:$T$495))-(ROW('CASE MASTER'!#REF!)-1))))*(INDEX('CASE MASTER'!$X$2:$X$495,(SUMPRODUCT((('CASE MASTER'!$T$2:$T$495=2)*('CASE MASTER'!$U$2:$U$495&lt;=8)*('CASE MASTER'!$W$2:$W$495&gt;=8)*('CASE MASTER'!$V$2:$V$495&lt;=3)*('CASE MASTER'!$X$2:$X$495&gt;=3))*ROW('CASE MASTER'!$T$2:$T$495))-(ROW('CASE MASTER'!#REF!)-1)))-INDEX('CASE MASTER'!$V$2:$V$495,(SUMPRODUCT((('CASE MASTER'!$T$2:$T$495=2)*('CASE MASTER'!$U$2:$U$495&lt;=8)*('CASE MASTER'!$W$2:$W$495&gt;=8)*('CASE MASTER'!$V$2:$V$495&lt;=3)*('CASE MASTER'!$X$2:$X$495&gt;=3))*ROW('CASE MASTER'!$T$2:$T$495))-(ROW('CASE MASTER'!#REF!)-1)))+1)+(3-INDEX('CASE MASTER'!$V$2:$V$495,(SUMPRODUCT((('CASE MASTER'!$T$2:$T$495=2)*('CASE MASTER'!$U$2:$U$495&lt;=8)*('CASE MASTER'!$W$2:$W$495&gt;=8)*('CASE MASTER'!$V$2:$V$495&lt;=3)*('CASE MASTER'!$X$2:$X$495&gt;=3))*ROW('CASE MASTER'!$T$2:$T$495))-(ROW('CASE MASTER'!#REF!)-1))))+1))-1)*50+1,50))&amp;"_"&amp;INDEX('CASE MASTER'!$Q$2:$Q$495,(SUMPRODUCT((('CASE MASTER'!$T$2:$T$495=2)*('CASE MASTER'!$U$2:$U$495&lt;=8)*('CASE MASTER'!$W$2:$W$495&gt;=8)*('CASE MASTER'!$V$2:$V$495&lt;=3)*('CASE MASTER'!$X$2:$X$495&gt;=3))*ROW('CASE MASTER'!$T$2:$T$495))-(ROW('CASE MASTER'!#REF!)-1))),IF(SUMPRODUCT((('CASE MASTER'!$T$2:$T$495=2)*('CASE MASTER'!$AA$2:$AA$495&lt;=8)*('CASE MASTER'!$AC$2:$AC$495&gt;=8)*('CASE MASTER'!$AB$2:$AB$495&lt;=3)*('CASE MASTER'!$AD$2:$AD$495&gt;=3))*ROW('CASE MASTER'!$T$2:$T$495))&gt;0,INDEX('CASE MASTER'!$Y$2:$Y$495,(SUMPRODUCT((('CASE MASTER'!$T$2:$T$495=2)*('CASE MASTER'!$AA$2:$AA$495&lt;=8)*('CASE MASTER'!$AC$2:$AC$495&gt;=8)*('CASE MASTER'!$AB$2:$AB$495&lt;=3)*('CASE MASTER'!$AD$2:$AD$495&gt;=3))*ROW('CASE MASTER'!$T$2:$T$495))-(ROW('CASE MASTER'!#REF!)-1)))&amp;TRIM(MID(SUBSTITUTE(SUBSTITUTE(INDEX('CASE MASTER'!$N$2:$N$495,(SUMPRODUCT((('CASE MASTER'!$T$2:$T$495=2)*('CASE MASTER'!$AA$2:$AA$495&lt;=8)*('CASE MASTER'!$AC$2:$AC$495&gt;=8)*('CASE MASTER'!$AB$2:$AB$495&lt;=3)*('CASE MASTER'!$AD$2:$AD$495&gt;=3))*ROW('CASE MASTER'!$T$2:$T$495))-(ROW('CASE MASTER'!#REF!)-1))),":",","),",",REPT(" ",50)),(((INDEX('CASE MASTER'!$Z$2:$Z$495,(SUMPRODUCT((('CASE MASTER'!$T$2:$T$495=2)*('CASE MASTER'!$AA$2:$AA$495&lt;=8)*('CASE MASTER'!$AC$2:$AC$495&gt;=8)*('CASE MASTER'!$AB$2:$AB$495&lt;=3)*('CASE MASTER'!$AD$2:$AD$495&gt;=3))*ROW('CASE MASTER'!$T$2:$T$495))-(ROW('CASE MASTER'!#REF!)-1)))+((8-INDEX('CASE MASTER'!$AA$2:$AA$495,(SUMPRODUCT((('CASE MASTER'!$T$2:$T$495=2)*('CASE MASTER'!$AA$2:$AA$495&lt;=8)*('CASE MASTER'!$AC$2:$AC$495&gt;=8)*('CASE MASTER'!$AB$2:$AB$495&lt;=3)*('CASE MASTER'!$AD$2:$AD$495&gt;=3))*ROW('CASE MASTER'!$T$2:$T$495))-(ROW('CASE MASTER'!#REF!)-1))))*(INDEX('CASE MASTER'!$AD$2:$AD$495,(SUMPRODUCT((('CASE MASTER'!$T$2:$T$495=2)*('CASE MASTER'!$AA$2:$AA$495&lt;=8)*('CASE MASTER'!$AC$2:$AC$495&gt;=8)*('CASE MASTER'!$AB$2:$AB$495&lt;=3)*('CASE MASTER'!$AD$2:$AD$495&gt;=3))*ROW('CASE MASTER'!$T$2:$T$495))-(ROW('CASE MASTER'!#REF!)-1)))-INDEX('CASE MASTER'!$AB$2:$AB$495,(SUMPRODUCT((('CASE MASTER'!$T$2:$T$495=2)*('CASE MASTER'!$AA$2:$AA$495&lt;=8)*('CASE MASTER'!$AC$2:$AC$495&gt;=8)*('CASE MASTER'!$AB$2:$AB$495&lt;=3)*('CASE MASTER'!$AD$2:$AD$495&gt;=3))*ROW('CASE MASTER'!$T$2:$T$495))-(ROW('CASE MASTER'!#REF!)-1)))+1)+(3-INDEX('CASE MASTER'!$AB$2:$AB$495,(SUMPRODUCT((('CASE MASTER'!$T$2:$T$495=2)*('CASE MASTER'!$AA$2:$AA$495&lt;=8)*('CASE MASTER'!$AC$2:$AC$495&gt;=8)*('CASE MASTER'!$AB$2:$AB$495&lt;=3)*('CASE MASTER'!$AD$2:$AD$495&gt;=3))*ROW('CASE MASTER'!$T$2:$T$495))-(ROW('CASE MASTER'!#REF!)-1))))+1)))-1)*50+1,50))&amp;"_"&amp;INDEX('CASE MASTER'!$Q$2:$Q$495,(SUMPRODUCT((('CASE MASTER'!$T$2:$T$495=2)*('CASE MASTER'!$AA$2:$AA$495&lt;=8)*('CASE MASTER'!$AC$2:$AC$495&gt;=8)*('CASE MASTER'!$AB$2:$AB$495&lt;=3)*('CASE MASTER'!$AD$2:$AD$495&gt;=3))*ROW('CASE MASTER'!$T$2:$T$495))-(ROW('CASE MASTER'!#REF!)-1))),"")),"")</f>
        <v/>
      </c>
      <c r="E24" s="10" t="str">
        <f>IFERROR(IF(SUMPRODUCT((('CASE MASTER'!$T$2:$T$495=2)*('CASE MASTER'!$U$2:$U$495&lt;=8)*('CASE MASTER'!$W$2:$W$495&gt;=8)*('CASE MASTER'!$V$2:$V$495&lt;=4)*('CASE MASTER'!$X$2:$X$495&gt;=4))*ROW('CASE MASTER'!$T$2:$T$495))&gt;0,INDEX('CASE MASTER'!$Y$2:$Y$495,(SUMPRODUCT((('CASE MASTER'!$T$2:$T$495=2)*('CASE MASTER'!$U$2:$U$495&lt;=8)*('CASE MASTER'!$W$2:$W$495&gt;=8)*('CASE MASTER'!$V$2:$V$495&lt;=4)*('CASE MASTER'!$X$2:$X$495&gt;=4))*ROW('CASE MASTER'!$T$2:$T$495))-(ROW('CASE MASTER'!#REF!)-1)))&amp;TRIM(MID(SUBSTITUTE(SUBSTITUTE(INDEX('CASE MASTER'!$N$2:$N$495,(SUMPRODUCT((('CASE MASTER'!$T$2:$T$495=2)*('CASE MASTER'!$U$2:$U$495&lt;=8)*('CASE MASTER'!$W$2:$W$495&gt;=8)*('CASE MASTER'!$V$2:$V$495&lt;=4)*('CASE MASTER'!$X$2:$X$495&gt;=4))*ROW('CASE MASTER'!$T$2:$T$495))-(ROW('CASE MASTER'!#REF!)-1))),":",","),",",REPT(" ",50)),((((8-INDEX('CASE MASTER'!$U$2:$U$495,(SUMPRODUCT((('CASE MASTER'!$T$2:$T$495=2)*('CASE MASTER'!$U$2:$U$495&lt;=8)*('CASE MASTER'!$W$2:$W$495&gt;=8)*('CASE MASTER'!$V$2:$V$495&lt;=4)*('CASE MASTER'!$X$2:$X$495&gt;=4))*ROW('CASE MASTER'!$T$2:$T$495))-(ROW('CASE MASTER'!#REF!)-1))))*(INDEX('CASE MASTER'!$X$2:$X$495,(SUMPRODUCT((('CASE MASTER'!$T$2:$T$495=2)*('CASE MASTER'!$U$2:$U$495&lt;=8)*('CASE MASTER'!$W$2:$W$495&gt;=8)*('CASE MASTER'!$V$2:$V$495&lt;=4)*('CASE MASTER'!$X$2:$X$495&gt;=4))*ROW('CASE MASTER'!$T$2:$T$495))-(ROW('CASE MASTER'!#REF!)-1)))-INDEX('CASE MASTER'!$V$2:$V$495,(SUMPRODUCT((('CASE MASTER'!$T$2:$T$495=2)*('CASE MASTER'!$U$2:$U$495&lt;=8)*('CASE MASTER'!$W$2:$W$495&gt;=8)*('CASE MASTER'!$V$2:$V$495&lt;=4)*('CASE MASTER'!$X$2:$X$495&gt;=4))*ROW('CASE MASTER'!$T$2:$T$495))-(ROW('CASE MASTER'!#REF!)-1)))+1)+(4-INDEX('CASE MASTER'!$V$2:$V$495,(SUMPRODUCT((('CASE MASTER'!$T$2:$T$495=2)*('CASE MASTER'!$U$2:$U$495&lt;=8)*('CASE MASTER'!$W$2:$W$495&gt;=8)*('CASE MASTER'!$V$2:$V$495&lt;=4)*('CASE MASTER'!$X$2:$X$495&gt;=4))*ROW('CASE MASTER'!$T$2:$T$495))-(ROW('CASE MASTER'!#REF!)-1))))+1))-1)*50+1,50))&amp;"_"&amp;INDEX('CASE MASTER'!$Q$2:$Q$495,(SUMPRODUCT((('CASE MASTER'!$T$2:$T$495=2)*('CASE MASTER'!$U$2:$U$495&lt;=8)*('CASE MASTER'!$W$2:$W$495&gt;=8)*('CASE MASTER'!$V$2:$V$495&lt;=4)*('CASE MASTER'!$X$2:$X$495&gt;=4))*ROW('CASE MASTER'!$T$2:$T$495))-(ROW('CASE MASTER'!#REF!)-1))),IF(SUMPRODUCT((('CASE MASTER'!$T$2:$T$495=2)*('CASE MASTER'!$AA$2:$AA$495&lt;=8)*('CASE MASTER'!$AC$2:$AC$495&gt;=8)*('CASE MASTER'!$AB$2:$AB$495&lt;=4)*('CASE MASTER'!$AD$2:$AD$495&gt;=4))*ROW('CASE MASTER'!$T$2:$T$495))&gt;0,INDEX('CASE MASTER'!$Y$2:$Y$495,(SUMPRODUCT((('CASE MASTER'!$T$2:$T$495=2)*('CASE MASTER'!$AA$2:$AA$495&lt;=8)*('CASE MASTER'!$AC$2:$AC$495&gt;=8)*('CASE MASTER'!$AB$2:$AB$495&lt;=4)*('CASE MASTER'!$AD$2:$AD$495&gt;=4))*ROW('CASE MASTER'!$T$2:$T$495))-(ROW('CASE MASTER'!#REF!)-1)))&amp;TRIM(MID(SUBSTITUTE(SUBSTITUTE(INDEX('CASE MASTER'!$N$2:$N$495,(SUMPRODUCT((('CASE MASTER'!$T$2:$T$495=2)*('CASE MASTER'!$AA$2:$AA$495&lt;=8)*('CASE MASTER'!$AC$2:$AC$495&gt;=8)*('CASE MASTER'!$AB$2:$AB$495&lt;=4)*('CASE MASTER'!$AD$2:$AD$495&gt;=4))*ROW('CASE MASTER'!$T$2:$T$495))-(ROW('CASE MASTER'!#REF!)-1))),":",","),",",REPT(" ",50)),(((INDEX('CASE MASTER'!$Z$2:$Z$495,(SUMPRODUCT((('CASE MASTER'!$T$2:$T$495=2)*('CASE MASTER'!$AA$2:$AA$495&lt;=8)*('CASE MASTER'!$AC$2:$AC$495&gt;=8)*('CASE MASTER'!$AB$2:$AB$495&lt;=4)*('CASE MASTER'!$AD$2:$AD$495&gt;=4))*ROW('CASE MASTER'!$T$2:$T$495))-(ROW('CASE MASTER'!#REF!)-1)))+((8-INDEX('CASE MASTER'!$AA$2:$AA$495,(SUMPRODUCT((('CASE MASTER'!$T$2:$T$495=2)*('CASE MASTER'!$AA$2:$AA$495&lt;=8)*('CASE MASTER'!$AC$2:$AC$495&gt;=8)*('CASE MASTER'!$AB$2:$AB$495&lt;=4)*('CASE MASTER'!$AD$2:$AD$495&gt;=4))*ROW('CASE MASTER'!$T$2:$T$495))-(ROW('CASE MASTER'!#REF!)-1))))*(INDEX('CASE MASTER'!$AD$2:$AD$495,(SUMPRODUCT((('CASE MASTER'!$T$2:$T$495=2)*('CASE MASTER'!$AA$2:$AA$495&lt;=8)*('CASE MASTER'!$AC$2:$AC$495&gt;=8)*('CASE MASTER'!$AB$2:$AB$495&lt;=4)*('CASE MASTER'!$AD$2:$AD$495&gt;=4))*ROW('CASE MASTER'!$T$2:$T$495))-(ROW('CASE MASTER'!#REF!)-1)))-INDEX('CASE MASTER'!$AB$2:$AB$495,(SUMPRODUCT((('CASE MASTER'!$T$2:$T$495=2)*('CASE MASTER'!$AA$2:$AA$495&lt;=8)*('CASE MASTER'!$AC$2:$AC$495&gt;=8)*('CASE MASTER'!$AB$2:$AB$495&lt;=4)*('CASE MASTER'!$AD$2:$AD$495&gt;=4))*ROW('CASE MASTER'!$T$2:$T$495))-(ROW('CASE MASTER'!#REF!)-1)))+1)+(4-INDEX('CASE MASTER'!$AB$2:$AB$495,(SUMPRODUCT((('CASE MASTER'!$T$2:$T$495=2)*('CASE MASTER'!$AA$2:$AA$495&lt;=8)*('CASE MASTER'!$AC$2:$AC$495&gt;=8)*('CASE MASTER'!$AB$2:$AB$495&lt;=4)*('CASE MASTER'!$AD$2:$AD$495&gt;=4))*ROW('CASE MASTER'!$T$2:$T$495))-(ROW('CASE MASTER'!#REF!)-1))))+1)))-1)*50+1,50))&amp;"_"&amp;INDEX('CASE MASTER'!$Q$2:$Q$495,(SUMPRODUCT((('CASE MASTER'!$T$2:$T$495=2)*('CASE MASTER'!$AA$2:$AA$495&lt;=8)*('CASE MASTER'!$AC$2:$AC$495&gt;=8)*('CASE MASTER'!$AB$2:$AB$495&lt;=4)*('CASE MASTER'!$AD$2:$AD$495&gt;=4))*ROW('CASE MASTER'!$T$2:$T$495))-(ROW('CASE MASTER'!#REF!)-1))),"")),"")</f>
        <v/>
      </c>
      <c r="F24" s="10" t="str">
        <f>IFERROR(IF(SUMPRODUCT((('CASE MASTER'!$T$2:$T$495=2)*('CASE MASTER'!$U$2:$U$495&lt;=8)*('CASE MASTER'!$W$2:$W$495&gt;=8)*('CASE MASTER'!$V$2:$V$495&lt;=5)*('CASE MASTER'!$X$2:$X$495&gt;=5))*ROW('CASE MASTER'!$T$2:$T$495))&gt;0,INDEX('CASE MASTER'!$Y$2:$Y$495,(SUMPRODUCT((('CASE MASTER'!$T$2:$T$495=2)*('CASE MASTER'!$U$2:$U$495&lt;=8)*('CASE MASTER'!$W$2:$W$495&gt;=8)*('CASE MASTER'!$V$2:$V$495&lt;=5)*('CASE MASTER'!$X$2:$X$495&gt;=5))*ROW('CASE MASTER'!$T$2:$T$495))-(ROW('CASE MASTER'!#REF!)-1)))&amp;TRIM(MID(SUBSTITUTE(SUBSTITUTE(INDEX('CASE MASTER'!$N$2:$N$495,(SUMPRODUCT((('CASE MASTER'!$T$2:$T$495=2)*('CASE MASTER'!$U$2:$U$495&lt;=8)*('CASE MASTER'!$W$2:$W$495&gt;=8)*('CASE MASTER'!$V$2:$V$495&lt;=5)*('CASE MASTER'!$X$2:$X$495&gt;=5))*ROW('CASE MASTER'!$T$2:$T$495))-(ROW('CASE MASTER'!#REF!)-1))),":",","),",",REPT(" ",50)),((((8-INDEX('CASE MASTER'!$U$2:$U$495,(SUMPRODUCT((('CASE MASTER'!$T$2:$T$495=2)*('CASE MASTER'!$U$2:$U$495&lt;=8)*('CASE MASTER'!$W$2:$W$495&gt;=8)*('CASE MASTER'!$V$2:$V$495&lt;=5)*('CASE MASTER'!$X$2:$X$495&gt;=5))*ROW('CASE MASTER'!$T$2:$T$495))-(ROW('CASE MASTER'!#REF!)-1))))*(INDEX('CASE MASTER'!$X$2:$X$495,(SUMPRODUCT((('CASE MASTER'!$T$2:$T$495=2)*('CASE MASTER'!$U$2:$U$495&lt;=8)*('CASE MASTER'!$W$2:$W$495&gt;=8)*('CASE MASTER'!$V$2:$V$495&lt;=5)*('CASE MASTER'!$X$2:$X$495&gt;=5))*ROW('CASE MASTER'!$T$2:$T$495))-(ROW('CASE MASTER'!#REF!)-1)))-INDEX('CASE MASTER'!$V$2:$V$495,(SUMPRODUCT((('CASE MASTER'!$T$2:$T$495=2)*('CASE MASTER'!$U$2:$U$495&lt;=8)*('CASE MASTER'!$W$2:$W$495&gt;=8)*('CASE MASTER'!$V$2:$V$495&lt;=5)*('CASE MASTER'!$X$2:$X$495&gt;=5))*ROW('CASE MASTER'!$T$2:$T$495))-(ROW('CASE MASTER'!#REF!)-1)))+1)+(5-INDEX('CASE MASTER'!$V$2:$V$495,(SUMPRODUCT((('CASE MASTER'!$T$2:$T$495=2)*('CASE MASTER'!$U$2:$U$495&lt;=8)*('CASE MASTER'!$W$2:$W$495&gt;=8)*('CASE MASTER'!$V$2:$V$495&lt;=5)*('CASE MASTER'!$X$2:$X$495&gt;=5))*ROW('CASE MASTER'!$T$2:$T$495))-(ROW('CASE MASTER'!#REF!)-1))))+1))-1)*50+1,50))&amp;"_"&amp;INDEX('CASE MASTER'!$Q$2:$Q$495,(SUMPRODUCT((('CASE MASTER'!$T$2:$T$495=2)*('CASE MASTER'!$U$2:$U$495&lt;=8)*('CASE MASTER'!$W$2:$W$495&gt;=8)*('CASE MASTER'!$V$2:$V$495&lt;=5)*('CASE MASTER'!$X$2:$X$495&gt;=5))*ROW('CASE MASTER'!$T$2:$T$495))-(ROW('CASE MASTER'!#REF!)-1))),IF(SUMPRODUCT((('CASE MASTER'!$T$2:$T$495=2)*('CASE MASTER'!$AA$2:$AA$495&lt;=8)*('CASE MASTER'!$AC$2:$AC$495&gt;=8)*('CASE MASTER'!$AB$2:$AB$495&lt;=5)*('CASE MASTER'!$AD$2:$AD$495&gt;=5))*ROW('CASE MASTER'!$T$2:$T$495))&gt;0,INDEX('CASE MASTER'!$Y$2:$Y$495,(SUMPRODUCT((('CASE MASTER'!$T$2:$T$495=2)*('CASE MASTER'!$AA$2:$AA$495&lt;=8)*('CASE MASTER'!$AC$2:$AC$495&gt;=8)*('CASE MASTER'!$AB$2:$AB$495&lt;=5)*('CASE MASTER'!$AD$2:$AD$495&gt;=5))*ROW('CASE MASTER'!$T$2:$T$495))-(ROW('CASE MASTER'!#REF!)-1)))&amp;TRIM(MID(SUBSTITUTE(SUBSTITUTE(INDEX('CASE MASTER'!$N$2:$N$495,(SUMPRODUCT((('CASE MASTER'!$T$2:$T$495=2)*('CASE MASTER'!$AA$2:$AA$495&lt;=8)*('CASE MASTER'!$AC$2:$AC$495&gt;=8)*('CASE MASTER'!$AB$2:$AB$495&lt;=5)*('CASE MASTER'!$AD$2:$AD$495&gt;=5))*ROW('CASE MASTER'!$T$2:$T$495))-(ROW('CASE MASTER'!#REF!)-1))),":",","),",",REPT(" ",50)),(((INDEX('CASE MASTER'!$Z$2:$Z$495,(SUMPRODUCT((('CASE MASTER'!$T$2:$T$495=2)*('CASE MASTER'!$AA$2:$AA$495&lt;=8)*('CASE MASTER'!$AC$2:$AC$495&gt;=8)*('CASE MASTER'!$AB$2:$AB$495&lt;=5)*('CASE MASTER'!$AD$2:$AD$495&gt;=5))*ROW('CASE MASTER'!$T$2:$T$495))-(ROW('CASE MASTER'!#REF!)-1)))+((8-INDEX('CASE MASTER'!$AA$2:$AA$495,(SUMPRODUCT((('CASE MASTER'!$T$2:$T$495=2)*('CASE MASTER'!$AA$2:$AA$495&lt;=8)*('CASE MASTER'!$AC$2:$AC$495&gt;=8)*('CASE MASTER'!$AB$2:$AB$495&lt;=5)*('CASE MASTER'!$AD$2:$AD$495&gt;=5))*ROW('CASE MASTER'!$T$2:$T$495))-(ROW('CASE MASTER'!#REF!)-1))))*(INDEX('CASE MASTER'!$AD$2:$AD$495,(SUMPRODUCT((('CASE MASTER'!$T$2:$T$495=2)*('CASE MASTER'!$AA$2:$AA$495&lt;=8)*('CASE MASTER'!$AC$2:$AC$495&gt;=8)*('CASE MASTER'!$AB$2:$AB$495&lt;=5)*('CASE MASTER'!$AD$2:$AD$495&gt;=5))*ROW('CASE MASTER'!$T$2:$T$495))-(ROW('CASE MASTER'!#REF!)-1)))-INDEX('CASE MASTER'!$AB$2:$AB$495,(SUMPRODUCT((('CASE MASTER'!$T$2:$T$495=2)*('CASE MASTER'!$AA$2:$AA$495&lt;=8)*('CASE MASTER'!$AC$2:$AC$495&gt;=8)*('CASE MASTER'!$AB$2:$AB$495&lt;=5)*('CASE MASTER'!$AD$2:$AD$495&gt;=5))*ROW('CASE MASTER'!$T$2:$T$495))-(ROW('CASE MASTER'!#REF!)-1)))+1)+(5-INDEX('CASE MASTER'!$AB$2:$AB$495,(SUMPRODUCT((('CASE MASTER'!$T$2:$T$495=2)*('CASE MASTER'!$AA$2:$AA$495&lt;=8)*('CASE MASTER'!$AC$2:$AC$495&gt;=8)*('CASE MASTER'!$AB$2:$AB$495&lt;=5)*('CASE MASTER'!$AD$2:$AD$495&gt;=5))*ROW('CASE MASTER'!$T$2:$T$495))-(ROW('CASE MASTER'!#REF!)-1))))+1)))-1)*50+1,50))&amp;"_"&amp;INDEX('CASE MASTER'!$Q$2:$Q$495,(SUMPRODUCT((('CASE MASTER'!$T$2:$T$495=2)*('CASE MASTER'!$AA$2:$AA$495&lt;=8)*('CASE MASTER'!$AC$2:$AC$495&gt;=8)*('CASE MASTER'!$AB$2:$AB$495&lt;=5)*('CASE MASTER'!$AD$2:$AD$495&gt;=5))*ROW('CASE MASTER'!$T$2:$T$495))-(ROW('CASE MASTER'!#REF!)-1))),"")),"")</f>
        <v/>
      </c>
      <c r="G24" s="10" t="str">
        <f>IFERROR(IF(SUMPRODUCT((('CASE MASTER'!$T$2:$T$495=2)*('CASE MASTER'!$U$2:$U$495&lt;=8)*('CASE MASTER'!$W$2:$W$495&gt;=8)*('CASE MASTER'!$V$2:$V$495&lt;=6)*('CASE MASTER'!$X$2:$X$495&gt;=6))*ROW('CASE MASTER'!$T$2:$T$495))&gt;0,INDEX('CASE MASTER'!$Y$2:$Y$495,(SUMPRODUCT((('CASE MASTER'!$T$2:$T$495=2)*('CASE MASTER'!$U$2:$U$495&lt;=8)*('CASE MASTER'!$W$2:$W$495&gt;=8)*('CASE MASTER'!$V$2:$V$495&lt;=6)*('CASE MASTER'!$X$2:$X$495&gt;=6))*ROW('CASE MASTER'!$T$2:$T$495))-(ROW('CASE MASTER'!#REF!)-1)))&amp;TRIM(MID(SUBSTITUTE(SUBSTITUTE(INDEX('CASE MASTER'!$N$2:$N$495,(SUMPRODUCT((('CASE MASTER'!$T$2:$T$495=2)*('CASE MASTER'!$U$2:$U$495&lt;=8)*('CASE MASTER'!$W$2:$W$495&gt;=8)*('CASE MASTER'!$V$2:$V$495&lt;=6)*('CASE MASTER'!$X$2:$X$495&gt;=6))*ROW('CASE MASTER'!$T$2:$T$495))-(ROW('CASE MASTER'!#REF!)-1))),":",","),",",REPT(" ",50)),((((8-INDEX('CASE MASTER'!$U$2:$U$495,(SUMPRODUCT((('CASE MASTER'!$T$2:$T$495=2)*('CASE MASTER'!$U$2:$U$495&lt;=8)*('CASE MASTER'!$W$2:$W$495&gt;=8)*('CASE MASTER'!$V$2:$V$495&lt;=6)*('CASE MASTER'!$X$2:$X$495&gt;=6))*ROW('CASE MASTER'!$T$2:$T$495))-(ROW('CASE MASTER'!#REF!)-1))))*(INDEX('CASE MASTER'!$X$2:$X$495,(SUMPRODUCT((('CASE MASTER'!$T$2:$T$495=2)*('CASE MASTER'!$U$2:$U$495&lt;=8)*('CASE MASTER'!$W$2:$W$495&gt;=8)*('CASE MASTER'!$V$2:$V$495&lt;=6)*('CASE MASTER'!$X$2:$X$495&gt;=6))*ROW('CASE MASTER'!$T$2:$T$495))-(ROW('CASE MASTER'!#REF!)-1)))-INDEX('CASE MASTER'!$V$2:$V$495,(SUMPRODUCT((('CASE MASTER'!$T$2:$T$495=2)*('CASE MASTER'!$U$2:$U$495&lt;=8)*('CASE MASTER'!$W$2:$W$495&gt;=8)*('CASE MASTER'!$V$2:$V$495&lt;=6)*('CASE MASTER'!$X$2:$X$495&gt;=6))*ROW('CASE MASTER'!$T$2:$T$495))-(ROW('CASE MASTER'!#REF!)-1)))+1)+(6-INDEX('CASE MASTER'!$V$2:$V$495,(SUMPRODUCT((('CASE MASTER'!$T$2:$T$495=2)*('CASE MASTER'!$U$2:$U$495&lt;=8)*('CASE MASTER'!$W$2:$W$495&gt;=8)*('CASE MASTER'!$V$2:$V$495&lt;=6)*('CASE MASTER'!$X$2:$X$495&gt;=6))*ROW('CASE MASTER'!$T$2:$T$495))-(ROW('CASE MASTER'!#REF!)-1))))+1))-1)*50+1,50))&amp;"_"&amp;INDEX('CASE MASTER'!$Q$2:$Q$495,(SUMPRODUCT((('CASE MASTER'!$T$2:$T$495=2)*('CASE MASTER'!$U$2:$U$495&lt;=8)*('CASE MASTER'!$W$2:$W$495&gt;=8)*('CASE MASTER'!$V$2:$V$495&lt;=6)*('CASE MASTER'!$X$2:$X$495&gt;=6))*ROW('CASE MASTER'!$T$2:$T$495))-(ROW('CASE MASTER'!#REF!)-1))),IF(SUMPRODUCT((('CASE MASTER'!$T$2:$T$495=2)*('CASE MASTER'!$AA$2:$AA$495&lt;=8)*('CASE MASTER'!$AC$2:$AC$495&gt;=8)*('CASE MASTER'!$AB$2:$AB$495&lt;=6)*('CASE MASTER'!$AD$2:$AD$495&gt;=6))*ROW('CASE MASTER'!$T$2:$T$495))&gt;0,INDEX('CASE MASTER'!$Y$2:$Y$495,(SUMPRODUCT((('CASE MASTER'!$T$2:$T$495=2)*('CASE MASTER'!$AA$2:$AA$495&lt;=8)*('CASE MASTER'!$AC$2:$AC$495&gt;=8)*('CASE MASTER'!$AB$2:$AB$495&lt;=6)*('CASE MASTER'!$AD$2:$AD$495&gt;=6))*ROW('CASE MASTER'!$T$2:$T$495))-(ROW('CASE MASTER'!#REF!)-1)))&amp;TRIM(MID(SUBSTITUTE(SUBSTITUTE(INDEX('CASE MASTER'!$N$2:$N$495,(SUMPRODUCT((('CASE MASTER'!$T$2:$T$495=2)*('CASE MASTER'!$AA$2:$AA$495&lt;=8)*('CASE MASTER'!$AC$2:$AC$495&gt;=8)*('CASE MASTER'!$AB$2:$AB$495&lt;=6)*('CASE MASTER'!$AD$2:$AD$495&gt;=6))*ROW('CASE MASTER'!$T$2:$T$495))-(ROW('CASE MASTER'!#REF!)-1))),":",","),",",REPT(" ",50)),(((INDEX('CASE MASTER'!$Z$2:$Z$495,(SUMPRODUCT((('CASE MASTER'!$T$2:$T$495=2)*('CASE MASTER'!$AA$2:$AA$495&lt;=8)*('CASE MASTER'!$AC$2:$AC$495&gt;=8)*('CASE MASTER'!$AB$2:$AB$495&lt;=6)*('CASE MASTER'!$AD$2:$AD$495&gt;=6))*ROW('CASE MASTER'!$T$2:$T$495))-(ROW('CASE MASTER'!#REF!)-1)))+((8-INDEX('CASE MASTER'!$AA$2:$AA$495,(SUMPRODUCT((('CASE MASTER'!$T$2:$T$495=2)*('CASE MASTER'!$AA$2:$AA$495&lt;=8)*('CASE MASTER'!$AC$2:$AC$495&gt;=8)*('CASE MASTER'!$AB$2:$AB$495&lt;=6)*('CASE MASTER'!$AD$2:$AD$495&gt;=6))*ROW('CASE MASTER'!$T$2:$T$495))-(ROW('CASE MASTER'!#REF!)-1))))*(INDEX('CASE MASTER'!$AD$2:$AD$495,(SUMPRODUCT((('CASE MASTER'!$T$2:$T$495=2)*('CASE MASTER'!$AA$2:$AA$495&lt;=8)*('CASE MASTER'!$AC$2:$AC$495&gt;=8)*('CASE MASTER'!$AB$2:$AB$495&lt;=6)*('CASE MASTER'!$AD$2:$AD$495&gt;=6))*ROW('CASE MASTER'!$T$2:$T$495))-(ROW('CASE MASTER'!#REF!)-1)))-INDEX('CASE MASTER'!$AB$2:$AB$495,(SUMPRODUCT((('CASE MASTER'!$T$2:$T$495=2)*('CASE MASTER'!$AA$2:$AA$495&lt;=8)*('CASE MASTER'!$AC$2:$AC$495&gt;=8)*('CASE MASTER'!$AB$2:$AB$495&lt;=6)*('CASE MASTER'!$AD$2:$AD$495&gt;=6))*ROW('CASE MASTER'!$T$2:$T$495))-(ROW('CASE MASTER'!#REF!)-1)))+1)+(6-INDEX('CASE MASTER'!$AB$2:$AB$495,(SUMPRODUCT((('CASE MASTER'!$T$2:$T$495=2)*('CASE MASTER'!$AA$2:$AA$495&lt;=8)*('CASE MASTER'!$AC$2:$AC$495&gt;=8)*('CASE MASTER'!$AB$2:$AB$495&lt;=6)*('CASE MASTER'!$AD$2:$AD$495&gt;=6))*ROW('CASE MASTER'!$T$2:$T$495))-(ROW('CASE MASTER'!#REF!)-1))))+1)))-1)*50+1,50))&amp;"_"&amp;INDEX('CASE MASTER'!$Q$2:$Q$495,(SUMPRODUCT((('CASE MASTER'!$T$2:$T$495=2)*('CASE MASTER'!$AA$2:$AA$495&lt;=8)*('CASE MASTER'!$AC$2:$AC$495&gt;=8)*('CASE MASTER'!$AB$2:$AB$495&lt;=6)*('CASE MASTER'!$AD$2:$AD$495&gt;=6))*ROW('CASE MASTER'!$T$2:$T$495))-(ROW('CASE MASTER'!#REF!)-1))),"")),"")</f>
        <v/>
      </c>
      <c r="H24" s="10" t="str">
        <f>IFERROR(IF(SUMPRODUCT((('CASE MASTER'!$T$2:$T$495=2)*('CASE MASTER'!$U$2:$U$495&lt;=8)*('CASE MASTER'!$W$2:$W$495&gt;=8)*('CASE MASTER'!$V$2:$V$495&lt;=7)*('CASE MASTER'!$X$2:$X$495&gt;=7))*ROW('CASE MASTER'!$T$2:$T$495))&gt;0,INDEX('CASE MASTER'!$Y$2:$Y$495,(SUMPRODUCT((('CASE MASTER'!$T$2:$T$495=2)*('CASE MASTER'!$U$2:$U$495&lt;=8)*('CASE MASTER'!$W$2:$W$495&gt;=8)*('CASE MASTER'!$V$2:$V$495&lt;=7)*('CASE MASTER'!$X$2:$X$495&gt;=7))*ROW('CASE MASTER'!$T$2:$T$495))-(ROW('CASE MASTER'!#REF!)-1)))&amp;TRIM(MID(SUBSTITUTE(SUBSTITUTE(INDEX('CASE MASTER'!$N$2:$N$495,(SUMPRODUCT((('CASE MASTER'!$T$2:$T$495=2)*('CASE MASTER'!$U$2:$U$495&lt;=8)*('CASE MASTER'!$W$2:$W$495&gt;=8)*('CASE MASTER'!$V$2:$V$495&lt;=7)*('CASE MASTER'!$X$2:$X$495&gt;=7))*ROW('CASE MASTER'!$T$2:$T$495))-(ROW('CASE MASTER'!#REF!)-1))),":",","),",",REPT(" ",50)),((((8-INDEX('CASE MASTER'!$U$2:$U$495,(SUMPRODUCT((('CASE MASTER'!$T$2:$T$495=2)*('CASE MASTER'!$U$2:$U$495&lt;=8)*('CASE MASTER'!$W$2:$W$495&gt;=8)*('CASE MASTER'!$V$2:$V$495&lt;=7)*('CASE MASTER'!$X$2:$X$495&gt;=7))*ROW('CASE MASTER'!$T$2:$T$495))-(ROW('CASE MASTER'!#REF!)-1))))*(INDEX('CASE MASTER'!$X$2:$X$495,(SUMPRODUCT((('CASE MASTER'!$T$2:$T$495=2)*('CASE MASTER'!$U$2:$U$495&lt;=8)*('CASE MASTER'!$W$2:$W$495&gt;=8)*('CASE MASTER'!$V$2:$V$495&lt;=7)*('CASE MASTER'!$X$2:$X$495&gt;=7))*ROW('CASE MASTER'!$T$2:$T$495))-(ROW('CASE MASTER'!#REF!)-1)))-INDEX('CASE MASTER'!$V$2:$V$495,(SUMPRODUCT((('CASE MASTER'!$T$2:$T$495=2)*('CASE MASTER'!$U$2:$U$495&lt;=8)*('CASE MASTER'!$W$2:$W$495&gt;=8)*('CASE MASTER'!$V$2:$V$495&lt;=7)*('CASE MASTER'!$X$2:$X$495&gt;=7))*ROW('CASE MASTER'!$T$2:$T$495))-(ROW('CASE MASTER'!#REF!)-1)))+1)+(7-INDEX('CASE MASTER'!$V$2:$V$495,(SUMPRODUCT((('CASE MASTER'!$T$2:$T$495=2)*('CASE MASTER'!$U$2:$U$495&lt;=8)*('CASE MASTER'!$W$2:$W$495&gt;=8)*('CASE MASTER'!$V$2:$V$495&lt;=7)*('CASE MASTER'!$X$2:$X$495&gt;=7))*ROW('CASE MASTER'!$T$2:$T$495))-(ROW('CASE MASTER'!#REF!)-1))))+1))-1)*50+1,50))&amp;"_"&amp;INDEX('CASE MASTER'!$Q$2:$Q$495,(SUMPRODUCT((('CASE MASTER'!$T$2:$T$495=2)*('CASE MASTER'!$U$2:$U$495&lt;=8)*('CASE MASTER'!$W$2:$W$495&gt;=8)*('CASE MASTER'!$V$2:$V$495&lt;=7)*('CASE MASTER'!$X$2:$X$495&gt;=7))*ROW('CASE MASTER'!$T$2:$T$495))-(ROW('CASE MASTER'!#REF!)-1))),IF(SUMPRODUCT((('CASE MASTER'!$T$2:$T$495=2)*('CASE MASTER'!$AA$2:$AA$495&lt;=8)*('CASE MASTER'!$AC$2:$AC$495&gt;=8)*('CASE MASTER'!$AB$2:$AB$495&lt;=7)*('CASE MASTER'!$AD$2:$AD$495&gt;=7))*ROW('CASE MASTER'!$T$2:$T$495))&gt;0,INDEX('CASE MASTER'!$Y$2:$Y$495,(SUMPRODUCT((('CASE MASTER'!$T$2:$T$495=2)*('CASE MASTER'!$AA$2:$AA$495&lt;=8)*('CASE MASTER'!$AC$2:$AC$495&gt;=8)*('CASE MASTER'!$AB$2:$AB$495&lt;=7)*('CASE MASTER'!$AD$2:$AD$495&gt;=7))*ROW('CASE MASTER'!$T$2:$T$495))-(ROW('CASE MASTER'!#REF!)-1)))&amp;TRIM(MID(SUBSTITUTE(SUBSTITUTE(INDEX('CASE MASTER'!$N$2:$N$495,(SUMPRODUCT((('CASE MASTER'!$T$2:$T$495=2)*('CASE MASTER'!$AA$2:$AA$495&lt;=8)*('CASE MASTER'!$AC$2:$AC$495&gt;=8)*('CASE MASTER'!$AB$2:$AB$495&lt;=7)*('CASE MASTER'!$AD$2:$AD$495&gt;=7))*ROW('CASE MASTER'!$T$2:$T$495))-(ROW('CASE MASTER'!#REF!)-1))),":",","),",",REPT(" ",50)),(((INDEX('CASE MASTER'!$Z$2:$Z$495,(SUMPRODUCT((('CASE MASTER'!$T$2:$T$495=2)*('CASE MASTER'!$AA$2:$AA$495&lt;=8)*('CASE MASTER'!$AC$2:$AC$495&gt;=8)*('CASE MASTER'!$AB$2:$AB$495&lt;=7)*('CASE MASTER'!$AD$2:$AD$495&gt;=7))*ROW('CASE MASTER'!$T$2:$T$495))-(ROW('CASE MASTER'!#REF!)-1)))+((8-INDEX('CASE MASTER'!$AA$2:$AA$495,(SUMPRODUCT((('CASE MASTER'!$T$2:$T$495=2)*('CASE MASTER'!$AA$2:$AA$495&lt;=8)*('CASE MASTER'!$AC$2:$AC$495&gt;=8)*('CASE MASTER'!$AB$2:$AB$495&lt;=7)*('CASE MASTER'!$AD$2:$AD$495&gt;=7))*ROW('CASE MASTER'!$T$2:$T$495))-(ROW('CASE MASTER'!#REF!)-1))))*(INDEX('CASE MASTER'!$AD$2:$AD$495,(SUMPRODUCT((('CASE MASTER'!$T$2:$T$495=2)*('CASE MASTER'!$AA$2:$AA$495&lt;=8)*('CASE MASTER'!$AC$2:$AC$495&gt;=8)*('CASE MASTER'!$AB$2:$AB$495&lt;=7)*('CASE MASTER'!$AD$2:$AD$495&gt;=7))*ROW('CASE MASTER'!$T$2:$T$495))-(ROW('CASE MASTER'!#REF!)-1)))-INDEX('CASE MASTER'!$AB$2:$AB$495,(SUMPRODUCT((('CASE MASTER'!$T$2:$T$495=2)*('CASE MASTER'!$AA$2:$AA$495&lt;=8)*('CASE MASTER'!$AC$2:$AC$495&gt;=8)*('CASE MASTER'!$AB$2:$AB$495&lt;=7)*('CASE MASTER'!$AD$2:$AD$495&gt;=7))*ROW('CASE MASTER'!$T$2:$T$495))-(ROW('CASE MASTER'!#REF!)-1)))+1)+(7-INDEX('CASE MASTER'!$AB$2:$AB$495,(SUMPRODUCT((('CASE MASTER'!$T$2:$T$495=2)*('CASE MASTER'!$AA$2:$AA$495&lt;=8)*('CASE MASTER'!$AC$2:$AC$495&gt;=8)*('CASE MASTER'!$AB$2:$AB$495&lt;=7)*('CASE MASTER'!$AD$2:$AD$495&gt;=7))*ROW('CASE MASTER'!$T$2:$T$495))-(ROW('CASE MASTER'!#REF!)-1))))+1)))-1)*50+1,50))&amp;"_"&amp;INDEX('CASE MASTER'!$Q$2:$Q$495,(SUMPRODUCT((('CASE MASTER'!$T$2:$T$495=2)*('CASE MASTER'!$AA$2:$AA$495&lt;=8)*('CASE MASTER'!$AC$2:$AC$495&gt;=8)*('CASE MASTER'!$AB$2:$AB$495&lt;=7)*('CASE MASTER'!$AD$2:$AD$495&gt;=7))*ROW('CASE MASTER'!$T$2:$T$495))-(ROW('CASE MASTER'!#REF!)-1))),"")),"")</f>
        <v/>
      </c>
      <c r="I24" s="10" t="str">
        <f>IFERROR(IF(SUMPRODUCT((('CASE MASTER'!$T$2:$T$495=2)*('CASE MASTER'!$U$2:$U$495&lt;=8)*('CASE MASTER'!$W$2:$W$495&gt;=8)*('CASE MASTER'!$V$2:$V$495&lt;=8)*('CASE MASTER'!$X$2:$X$495&gt;=8))*ROW('CASE MASTER'!$T$2:$T$495))&gt;0,INDEX('CASE MASTER'!$Y$2:$Y$495,(SUMPRODUCT((('CASE MASTER'!$T$2:$T$495=2)*('CASE MASTER'!$U$2:$U$495&lt;=8)*('CASE MASTER'!$W$2:$W$495&gt;=8)*('CASE MASTER'!$V$2:$V$495&lt;=8)*('CASE MASTER'!$X$2:$X$495&gt;=8))*ROW('CASE MASTER'!$T$2:$T$495))-(ROW('CASE MASTER'!#REF!)-1)))&amp;TRIM(MID(SUBSTITUTE(SUBSTITUTE(INDEX('CASE MASTER'!$N$2:$N$495,(SUMPRODUCT((('CASE MASTER'!$T$2:$T$495=2)*('CASE MASTER'!$U$2:$U$495&lt;=8)*('CASE MASTER'!$W$2:$W$495&gt;=8)*('CASE MASTER'!$V$2:$V$495&lt;=8)*('CASE MASTER'!$X$2:$X$495&gt;=8))*ROW('CASE MASTER'!$T$2:$T$495))-(ROW('CASE MASTER'!#REF!)-1))),":",","),",",REPT(" ",50)),((((8-INDEX('CASE MASTER'!$U$2:$U$495,(SUMPRODUCT((('CASE MASTER'!$T$2:$T$495=2)*('CASE MASTER'!$U$2:$U$495&lt;=8)*('CASE MASTER'!$W$2:$W$495&gt;=8)*('CASE MASTER'!$V$2:$V$495&lt;=8)*('CASE MASTER'!$X$2:$X$495&gt;=8))*ROW('CASE MASTER'!$T$2:$T$495))-(ROW('CASE MASTER'!#REF!)-1))))*(INDEX('CASE MASTER'!$X$2:$X$495,(SUMPRODUCT((('CASE MASTER'!$T$2:$T$495=2)*('CASE MASTER'!$U$2:$U$495&lt;=8)*('CASE MASTER'!$W$2:$W$495&gt;=8)*('CASE MASTER'!$V$2:$V$495&lt;=8)*('CASE MASTER'!$X$2:$X$495&gt;=8))*ROW('CASE MASTER'!$T$2:$T$495))-(ROW('CASE MASTER'!#REF!)-1)))-INDEX('CASE MASTER'!$V$2:$V$495,(SUMPRODUCT((('CASE MASTER'!$T$2:$T$495=2)*('CASE MASTER'!$U$2:$U$495&lt;=8)*('CASE MASTER'!$W$2:$W$495&gt;=8)*('CASE MASTER'!$V$2:$V$495&lt;=8)*('CASE MASTER'!$X$2:$X$495&gt;=8))*ROW('CASE MASTER'!$T$2:$T$495))-(ROW('CASE MASTER'!#REF!)-1)))+1)+(8-INDEX('CASE MASTER'!$V$2:$V$495,(SUMPRODUCT((('CASE MASTER'!$T$2:$T$495=2)*('CASE MASTER'!$U$2:$U$495&lt;=8)*('CASE MASTER'!$W$2:$W$495&gt;=8)*('CASE MASTER'!$V$2:$V$495&lt;=8)*('CASE MASTER'!$X$2:$X$495&gt;=8))*ROW('CASE MASTER'!$T$2:$T$495))-(ROW('CASE MASTER'!#REF!)-1))))+1))-1)*50+1,50))&amp;"_"&amp;INDEX('CASE MASTER'!$Q$2:$Q$495,(SUMPRODUCT((('CASE MASTER'!$T$2:$T$495=2)*('CASE MASTER'!$U$2:$U$495&lt;=8)*('CASE MASTER'!$W$2:$W$495&gt;=8)*('CASE MASTER'!$V$2:$V$495&lt;=8)*('CASE MASTER'!$X$2:$X$495&gt;=8))*ROW('CASE MASTER'!$T$2:$T$495))-(ROW('CASE MASTER'!#REF!)-1))),IF(SUMPRODUCT((('CASE MASTER'!$T$2:$T$495=2)*('CASE MASTER'!$AA$2:$AA$495&lt;=8)*('CASE MASTER'!$AC$2:$AC$495&gt;=8)*('CASE MASTER'!$AB$2:$AB$495&lt;=8)*('CASE MASTER'!$AD$2:$AD$495&gt;=8))*ROW('CASE MASTER'!$T$2:$T$495))&gt;0,INDEX('CASE MASTER'!$Y$2:$Y$495,(SUMPRODUCT((('CASE MASTER'!$T$2:$T$495=2)*('CASE MASTER'!$AA$2:$AA$495&lt;=8)*('CASE MASTER'!$AC$2:$AC$495&gt;=8)*('CASE MASTER'!$AB$2:$AB$495&lt;=8)*('CASE MASTER'!$AD$2:$AD$495&gt;=8))*ROW('CASE MASTER'!$T$2:$T$495))-(ROW('CASE MASTER'!#REF!)-1)))&amp;TRIM(MID(SUBSTITUTE(SUBSTITUTE(INDEX('CASE MASTER'!$N$2:$N$495,(SUMPRODUCT((('CASE MASTER'!$T$2:$T$495=2)*('CASE MASTER'!$AA$2:$AA$495&lt;=8)*('CASE MASTER'!$AC$2:$AC$495&gt;=8)*('CASE MASTER'!$AB$2:$AB$495&lt;=8)*('CASE MASTER'!$AD$2:$AD$495&gt;=8))*ROW('CASE MASTER'!$T$2:$T$495))-(ROW('CASE MASTER'!#REF!)-1))),":",","),",",REPT(" ",50)),(((INDEX('CASE MASTER'!$Z$2:$Z$495,(SUMPRODUCT((('CASE MASTER'!$T$2:$T$495=2)*('CASE MASTER'!$AA$2:$AA$495&lt;=8)*('CASE MASTER'!$AC$2:$AC$495&gt;=8)*('CASE MASTER'!$AB$2:$AB$495&lt;=8)*('CASE MASTER'!$AD$2:$AD$495&gt;=8))*ROW('CASE MASTER'!$T$2:$T$495))-(ROW('CASE MASTER'!#REF!)-1)))+((8-INDEX('CASE MASTER'!$AA$2:$AA$495,(SUMPRODUCT((('CASE MASTER'!$T$2:$T$495=2)*('CASE MASTER'!$AA$2:$AA$495&lt;=8)*('CASE MASTER'!$AC$2:$AC$495&gt;=8)*('CASE MASTER'!$AB$2:$AB$495&lt;=8)*('CASE MASTER'!$AD$2:$AD$495&gt;=8))*ROW('CASE MASTER'!$T$2:$T$495))-(ROW('CASE MASTER'!#REF!)-1))))*(INDEX('CASE MASTER'!$AD$2:$AD$495,(SUMPRODUCT((('CASE MASTER'!$T$2:$T$495=2)*('CASE MASTER'!$AA$2:$AA$495&lt;=8)*('CASE MASTER'!$AC$2:$AC$495&gt;=8)*('CASE MASTER'!$AB$2:$AB$495&lt;=8)*('CASE MASTER'!$AD$2:$AD$495&gt;=8))*ROW('CASE MASTER'!$T$2:$T$495))-(ROW('CASE MASTER'!#REF!)-1)))-INDEX('CASE MASTER'!$AB$2:$AB$495,(SUMPRODUCT((('CASE MASTER'!$T$2:$T$495=2)*('CASE MASTER'!$AA$2:$AA$495&lt;=8)*('CASE MASTER'!$AC$2:$AC$495&gt;=8)*('CASE MASTER'!$AB$2:$AB$495&lt;=8)*('CASE MASTER'!$AD$2:$AD$495&gt;=8))*ROW('CASE MASTER'!$T$2:$T$495))-(ROW('CASE MASTER'!#REF!)-1)))+1)+(8-INDEX('CASE MASTER'!$AB$2:$AB$495,(SUMPRODUCT((('CASE MASTER'!$T$2:$T$495=2)*('CASE MASTER'!$AA$2:$AA$495&lt;=8)*('CASE MASTER'!$AC$2:$AC$495&gt;=8)*('CASE MASTER'!$AB$2:$AB$495&lt;=8)*('CASE MASTER'!$AD$2:$AD$495&gt;=8))*ROW('CASE MASTER'!$T$2:$T$495))-(ROW('CASE MASTER'!#REF!)-1))))+1)))-1)*50+1,50))&amp;"_"&amp;INDEX('CASE MASTER'!$Q$2:$Q$495,(SUMPRODUCT((('CASE MASTER'!$T$2:$T$495=2)*('CASE MASTER'!$AA$2:$AA$495&lt;=8)*('CASE MASTER'!$AC$2:$AC$495&gt;=8)*('CASE MASTER'!$AB$2:$AB$495&lt;=8)*('CASE MASTER'!$AD$2:$AD$495&gt;=8))*ROW('CASE MASTER'!$T$2:$T$495))-(ROW('CASE MASTER'!#REF!)-1))),"")),"")</f>
        <v/>
      </c>
      <c r="J24" s="10" t="str">
        <f>IFERROR(IF(SUMPRODUCT((('CASE MASTER'!$T$2:$T$495=2)*('CASE MASTER'!$U$2:$U$495&lt;=8)*('CASE MASTER'!$W$2:$W$495&gt;=8)*('CASE MASTER'!$V$2:$V$495&lt;=9)*('CASE MASTER'!$X$2:$X$495&gt;=9))*ROW('CASE MASTER'!$T$2:$T$495))&gt;0,INDEX('CASE MASTER'!$Y$2:$Y$495,(SUMPRODUCT((('CASE MASTER'!$T$2:$T$495=2)*('CASE MASTER'!$U$2:$U$495&lt;=8)*('CASE MASTER'!$W$2:$W$495&gt;=8)*('CASE MASTER'!$V$2:$V$495&lt;=9)*('CASE MASTER'!$X$2:$X$495&gt;=9))*ROW('CASE MASTER'!$T$2:$T$495))-(ROW('CASE MASTER'!#REF!)-1)))&amp;TRIM(MID(SUBSTITUTE(SUBSTITUTE(INDEX('CASE MASTER'!$N$2:$N$495,(SUMPRODUCT((('CASE MASTER'!$T$2:$T$495=2)*('CASE MASTER'!$U$2:$U$495&lt;=8)*('CASE MASTER'!$W$2:$W$495&gt;=8)*('CASE MASTER'!$V$2:$V$495&lt;=9)*('CASE MASTER'!$X$2:$X$495&gt;=9))*ROW('CASE MASTER'!$T$2:$T$495))-(ROW('CASE MASTER'!#REF!)-1))),":",","),",",REPT(" ",50)),((((8-INDEX('CASE MASTER'!$U$2:$U$495,(SUMPRODUCT((('CASE MASTER'!$T$2:$T$495=2)*('CASE MASTER'!$U$2:$U$495&lt;=8)*('CASE MASTER'!$W$2:$W$495&gt;=8)*('CASE MASTER'!$V$2:$V$495&lt;=9)*('CASE MASTER'!$X$2:$X$495&gt;=9))*ROW('CASE MASTER'!$T$2:$T$495))-(ROW('CASE MASTER'!#REF!)-1))))*(INDEX('CASE MASTER'!$X$2:$X$495,(SUMPRODUCT((('CASE MASTER'!$T$2:$T$495=2)*('CASE MASTER'!$U$2:$U$495&lt;=8)*('CASE MASTER'!$W$2:$W$495&gt;=8)*('CASE MASTER'!$V$2:$V$495&lt;=9)*('CASE MASTER'!$X$2:$X$495&gt;=9))*ROW('CASE MASTER'!$T$2:$T$495))-(ROW('CASE MASTER'!#REF!)-1)))-INDEX('CASE MASTER'!$V$2:$V$495,(SUMPRODUCT((('CASE MASTER'!$T$2:$T$495=2)*('CASE MASTER'!$U$2:$U$495&lt;=8)*('CASE MASTER'!$W$2:$W$495&gt;=8)*('CASE MASTER'!$V$2:$V$495&lt;=9)*('CASE MASTER'!$X$2:$X$495&gt;=9))*ROW('CASE MASTER'!$T$2:$T$495))-(ROW('CASE MASTER'!#REF!)-1)))+1)+(9-INDEX('CASE MASTER'!$V$2:$V$495,(SUMPRODUCT((('CASE MASTER'!$T$2:$T$495=2)*('CASE MASTER'!$U$2:$U$495&lt;=8)*('CASE MASTER'!$W$2:$W$495&gt;=8)*('CASE MASTER'!$V$2:$V$495&lt;=9)*('CASE MASTER'!$X$2:$X$495&gt;=9))*ROW('CASE MASTER'!$T$2:$T$495))-(ROW('CASE MASTER'!#REF!)-1))))+1))-1)*50+1,50))&amp;"_"&amp;INDEX('CASE MASTER'!$Q$2:$Q$495,(SUMPRODUCT((('CASE MASTER'!$T$2:$T$495=2)*('CASE MASTER'!$U$2:$U$495&lt;=8)*('CASE MASTER'!$W$2:$W$495&gt;=8)*('CASE MASTER'!$V$2:$V$495&lt;=9)*('CASE MASTER'!$X$2:$X$495&gt;=9))*ROW('CASE MASTER'!$T$2:$T$495))-(ROW('CASE MASTER'!#REF!)-1))),IF(SUMPRODUCT((('CASE MASTER'!$T$2:$T$495=2)*('CASE MASTER'!$AA$2:$AA$495&lt;=8)*('CASE MASTER'!$AC$2:$AC$495&gt;=8)*('CASE MASTER'!$AB$2:$AB$495&lt;=9)*('CASE MASTER'!$AD$2:$AD$495&gt;=9))*ROW('CASE MASTER'!$T$2:$T$495))&gt;0,INDEX('CASE MASTER'!$Y$2:$Y$495,(SUMPRODUCT((('CASE MASTER'!$T$2:$T$495=2)*('CASE MASTER'!$AA$2:$AA$495&lt;=8)*('CASE MASTER'!$AC$2:$AC$495&gt;=8)*('CASE MASTER'!$AB$2:$AB$495&lt;=9)*('CASE MASTER'!$AD$2:$AD$495&gt;=9))*ROW('CASE MASTER'!$T$2:$T$495))-(ROW('CASE MASTER'!#REF!)-1)))&amp;TRIM(MID(SUBSTITUTE(SUBSTITUTE(INDEX('CASE MASTER'!$N$2:$N$495,(SUMPRODUCT((('CASE MASTER'!$T$2:$T$495=2)*('CASE MASTER'!$AA$2:$AA$495&lt;=8)*('CASE MASTER'!$AC$2:$AC$495&gt;=8)*('CASE MASTER'!$AB$2:$AB$495&lt;=9)*('CASE MASTER'!$AD$2:$AD$495&gt;=9))*ROW('CASE MASTER'!$T$2:$T$495))-(ROW('CASE MASTER'!#REF!)-1))),":",","),",",REPT(" ",50)),(((INDEX('CASE MASTER'!$Z$2:$Z$495,(SUMPRODUCT((('CASE MASTER'!$T$2:$T$495=2)*('CASE MASTER'!$AA$2:$AA$495&lt;=8)*('CASE MASTER'!$AC$2:$AC$495&gt;=8)*('CASE MASTER'!$AB$2:$AB$495&lt;=9)*('CASE MASTER'!$AD$2:$AD$495&gt;=9))*ROW('CASE MASTER'!$T$2:$T$495))-(ROW('CASE MASTER'!#REF!)-1)))+((8-INDEX('CASE MASTER'!$AA$2:$AA$495,(SUMPRODUCT((('CASE MASTER'!$T$2:$T$495=2)*('CASE MASTER'!$AA$2:$AA$495&lt;=8)*('CASE MASTER'!$AC$2:$AC$495&gt;=8)*('CASE MASTER'!$AB$2:$AB$495&lt;=9)*('CASE MASTER'!$AD$2:$AD$495&gt;=9))*ROW('CASE MASTER'!$T$2:$T$495))-(ROW('CASE MASTER'!#REF!)-1))))*(INDEX('CASE MASTER'!$AD$2:$AD$495,(SUMPRODUCT((('CASE MASTER'!$T$2:$T$495=2)*('CASE MASTER'!$AA$2:$AA$495&lt;=8)*('CASE MASTER'!$AC$2:$AC$495&gt;=8)*('CASE MASTER'!$AB$2:$AB$495&lt;=9)*('CASE MASTER'!$AD$2:$AD$495&gt;=9))*ROW('CASE MASTER'!$T$2:$T$495))-(ROW('CASE MASTER'!#REF!)-1)))-INDEX('CASE MASTER'!$AB$2:$AB$495,(SUMPRODUCT((('CASE MASTER'!$T$2:$T$495=2)*('CASE MASTER'!$AA$2:$AA$495&lt;=8)*('CASE MASTER'!$AC$2:$AC$495&gt;=8)*('CASE MASTER'!$AB$2:$AB$495&lt;=9)*('CASE MASTER'!$AD$2:$AD$495&gt;=9))*ROW('CASE MASTER'!$T$2:$T$495))-(ROW('CASE MASTER'!#REF!)-1)))+1)+(9-INDEX('CASE MASTER'!$AB$2:$AB$495,(SUMPRODUCT((('CASE MASTER'!$T$2:$T$495=2)*('CASE MASTER'!$AA$2:$AA$495&lt;=8)*('CASE MASTER'!$AC$2:$AC$495&gt;=8)*('CASE MASTER'!$AB$2:$AB$495&lt;=9)*('CASE MASTER'!$AD$2:$AD$495&gt;=9))*ROW('CASE MASTER'!$T$2:$T$495))-(ROW('CASE MASTER'!#REF!)-1))))+1)))-1)*50+1,50))&amp;"_"&amp;INDEX('CASE MASTER'!$Q$2:$Q$495,(SUMPRODUCT((('CASE MASTER'!$T$2:$T$495=2)*('CASE MASTER'!$AA$2:$AA$495&lt;=8)*('CASE MASTER'!$AC$2:$AC$495&gt;=8)*('CASE MASTER'!$AB$2:$AB$495&lt;=9)*('CASE MASTER'!$AD$2:$AD$495&gt;=9))*ROW('CASE MASTER'!$T$2:$T$495))-(ROW('CASE MASTER'!#REF!)-1))),"")),"")</f>
        <v/>
      </c>
      <c r="K24" s="10" t="str">
        <f>IFERROR(IF(SUMPRODUCT((('CASE MASTER'!$T$2:$T$495=2)*('CASE MASTER'!$U$2:$U$495&lt;=8)*('CASE MASTER'!$W$2:$W$495&gt;=8)*('CASE MASTER'!$V$2:$V$495&lt;=10)*('CASE MASTER'!$X$2:$X$495&gt;=10))*ROW('CASE MASTER'!$T$2:$T$495))&gt;0,INDEX('CASE MASTER'!$Y$2:$Y$495,(SUMPRODUCT((('CASE MASTER'!$T$2:$T$495=2)*('CASE MASTER'!$U$2:$U$495&lt;=8)*('CASE MASTER'!$W$2:$W$495&gt;=8)*('CASE MASTER'!$V$2:$V$495&lt;=10)*('CASE MASTER'!$X$2:$X$495&gt;=10))*ROW('CASE MASTER'!$T$2:$T$495))-(ROW('CASE MASTER'!#REF!)-1)))&amp;TRIM(MID(SUBSTITUTE(SUBSTITUTE(INDEX('CASE MASTER'!$N$2:$N$495,(SUMPRODUCT((('CASE MASTER'!$T$2:$T$495=2)*('CASE MASTER'!$U$2:$U$495&lt;=8)*('CASE MASTER'!$W$2:$W$495&gt;=8)*('CASE MASTER'!$V$2:$V$495&lt;=10)*('CASE MASTER'!$X$2:$X$495&gt;=10))*ROW('CASE MASTER'!$T$2:$T$495))-(ROW('CASE MASTER'!#REF!)-1))),":",","),",",REPT(" ",50)),((((8-INDEX('CASE MASTER'!$U$2:$U$495,(SUMPRODUCT((('CASE MASTER'!$T$2:$T$495=2)*('CASE MASTER'!$U$2:$U$495&lt;=8)*('CASE MASTER'!$W$2:$W$495&gt;=8)*('CASE MASTER'!$V$2:$V$495&lt;=10)*('CASE MASTER'!$X$2:$X$495&gt;=10))*ROW('CASE MASTER'!$T$2:$T$495))-(ROW('CASE MASTER'!#REF!)-1))))*(INDEX('CASE MASTER'!$X$2:$X$495,(SUMPRODUCT((('CASE MASTER'!$T$2:$T$495=2)*('CASE MASTER'!$U$2:$U$495&lt;=8)*('CASE MASTER'!$W$2:$W$495&gt;=8)*('CASE MASTER'!$V$2:$V$495&lt;=10)*('CASE MASTER'!$X$2:$X$495&gt;=10))*ROW('CASE MASTER'!$T$2:$T$495))-(ROW('CASE MASTER'!#REF!)-1)))-INDEX('CASE MASTER'!$V$2:$V$495,(SUMPRODUCT((('CASE MASTER'!$T$2:$T$495=2)*('CASE MASTER'!$U$2:$U$495&lt;=8)*('CASE MASTER'!$W$2:$W$495&gt;=8)*('CASE MASTER'!$V$2:$V$495&lt;=10)*('CASE MASTER'!$X$2:$X$495&gt;=10))*ROW('CASE MASTER'!$T$2:$T$495))-(ROW('CASE MASTER'!#REF!)-1)))+1)+(10-INDEX('CASE MASTER'!$V$2:$V$495,(SUMPRODUCT((('CASE MASTER'!$T$2:$T$495=2)*('CASE MASTER'!$U$2:$U$495&lt;=8)*('CASE MASTER'!$W$2:$W$495&gt;=8)*('CASE MASTER'!$V$2:$V$495&lt;=10)*('CASE MASTER'!$X$2:$X$495&gt;=10))*ROW('CASE MASTER'!$T$2:$T$495))-(ROW('CASE MASTER'!#REF!)-1))))+1))-1)*50+1,50))&amp;"_"&amp;INDEX('CASE MASTER'!$Q$2:$Q$495,(SUMPRODUCT((('CASE MASTER'!$T$2:$T$495=2)*('CASE MASTER'!$U$2:$U$495&lt;=8)*('CASE MASTER'!$W$2:$W$495&gt;=8)*('CASE MASTER'!$V$2:$V$495&lt;=10)*('CASE MASTER'!$X$2:$X$495&gt;=10))*ROW('CASE MASTER'!$T$2:$T$495))-(ROW('CASE MASTER'!#REF!)-1))),IF(SUMPRODUCT((('CASE MASTER'!$T$2:$T$495=2)*('CASE MASTER'!$AA$2:$AA$495&lt;=8)*('CASE MASTER'!$AC$2:$AC$495&gt;=8)*('CASE MASTER'!$AB$2:$AB$495&lt;=10)*('CASE MASTER'!$AD$2:$AD$495&gt;=10))*ROW('CASE MASTER'!$T$2:$T$495))&gt;0,INDEX('CASE MASTER'!$Y$2:$Y$495,(SUMPRODUCT((('CASE MASTER'!$T$2:$T$495=2)*('CASE MASTER'!$AA$2:$AA$495&lt;=8)*('CASE MASTER'!$AC$2:$AC$495&gt;=8)*('CASE MASTER'!$AB$2:$AB$495&lt;=10)*('CASE MASTER'!$AD$2:$AD$495&gt;=10))*ROW('CASE MASTER'!$T$2:$T$495))-(ROW('CASE MASTER'!#REF!)-1)))&amp;TRIM(MID(SUBSTITUTE(SUBSTITUTE(INDEX('CASE MASTER'!$N$2:$N$495,(SUMPRODUCT((('CASE MASTER'!$T$2:$T$495=2)*('CASE MASTER'!$AA$2:$AA$495&lt;=8)*('CASE MASTER'!$AC$2:$AC$495&gt;=8)*('CASE MASTER'!$AB$2:$AB$495&lt;=10)*('CASE MASTER'!$AD$2:$AD$495&gt;=10))*ROW('CASE MASTER'!$T$2:$T$495))-(ROW('CASE MASTER'!#REF!)-1))),":",","),",",REPT(" ",50)),(((INDEX('CASE MASTER'!$Z$2:$Z$495,(SUMPRODUCT((('CASE MASTER'!$T$2:$T$495=2)*('CASE MASTER'!$AA$2:$AA$495&lt;=8)*('CASE MASTER'!$AC$2:$AC$495&gt;=8)*('CASE MASTER'!$AB$2:$AB$495&lt;=10)*('CASE MASTER'!$AD$2:$AD$495&gt;=10))*ROW('CASE MASTER'!$T$2:$T$495))-(ROW('CASE MASTER'!#REF!)-1)))+((8-INDEX('CASE MASTER'!$AA$2:$AA$495,(SUMPRODUCT((('CASE MASTER'!$T$2:$T$495=2)*('CASE MASTER'!$AA$2:$AA$495&lt;=8)*('CASE MASTER'!$AC$2:$AC$495&gt;=8)*('CASE MASTER'!$AB$2:$AB$495&lt;=10)*('CASE MASTER'!$AD$2:$AD$495&gt;=10))*ROW('CASE MASTER'!$T$2:$T$495))-(ROW('CASE MASTER'!#REF!)-1))))*(INDEX('CASE MASTER'!$AD$2:$AD$495,(SUMPRODUCT((('CASE MASTER'!$T$2:$T$495=2)*('CASE MASTER'!$AA$2:$AA$495&lt;=8)*('CASE MASTER'!$AC$2:$AC$495&gt;=8)*('CASE MASTER'!$AB$2:$AB$495&lt;=10)*('CASE MASTER'!$AD$2:$AD$495&gt;=10))*ROW('CASE MASTER'!$T$2:$T$495))-(ROW('CASE MASTER'!#REF!)-1)))-INDEX('CASE MASTER'!$AB$2:$AB$495,(SUMPRODUCT((('CASE MASTER'!$T$2:$T$495=2)*('CASE MASTER'!$AA$2:$AA$495&lt;=8)*('CASE MASTER'!$AC$2:$AC$495&gt;=8)*('CASE MASTER'!$AB$2:$AB$495&lt;=10)*('CASE MASTER'!$AD$2:$AD$495&gt;=10))*ROW('CASE MASTER'!$T$2:$T$495))-(ROW('CASE MASTER'!#REF!)-1)))+1)+(10-INDEX('CASE MASTER'!$AB$2:$AB$495,(SUMPRODUCT((('CASE MASTER'!$T$2:$T$495=2)*('CASE MASTER'!$AA$2:$AA$495&lt;=8)*('CASE MASTER'!$AC$2:$AC$495&gt;=8)*('CASE MASTER'!$AB$2:$AB$495&lt;=10)*('CASE MASTER'!$AD$2:$AD$495&gt;=10))*ROW('CASE MASTER'!$T$2:$T$495))-(ROW('CASE MASTER'!#REF!)-1))))+1)))-1)*50+1,50))&amp;"_"&amp;INDEX('CASE MASTER'!$Q$2:$Q$495,(SUMPRODUCT((('CASE MASTER'!$T$2:$T$495=2)*('CASE MASTER'!$AA$2:$AA$495&lt;=8)*('CASE MASTER'!$AC$2:$AC$495&gt;=8)*('CASE MASTER'!$AB$2:$AB$495&lt;=10)*('CASE MASTER'!$AD$2:$AD$495&gt;=10))*ROW('CASE MASTER'!$T$2:$T$495))-(ROW('CASE MASTER'!#REF!)-1))),"")),"")</f>
        <v/>
      </c>
    </row>
    <row r="25" spans="1:11" ht="15" customHeight="1" x14ac:dyDescent="0.35">
      <c r="A25" s="8" t="s">
        <v>81</v>
      </c>
      <c r="B25" s="10" t="str">
        <f>IFERROR(IF(SUMPRODUCT((('CASE MASTER'!$T$2:$T$495=2)*('CASE MASTER'!$U$2:$U$495&lt;=9)*('CASE MASTER'!$W$2:$W$495&gt;=9)*('CASE MASTER'!$V$2:$V$495&lt;=1)*('CASE MASTER'!$X$2:$X$495&gt;=1))*ROW('CASE MASTER'!$T$2:$T$495))&gt;0,INDEX('CASE MASTER'!$Y$2:$Y$495,(SUMPRODUCT((('CASE MASTER'!$T$2:$T$495=2)*('CASE MASTER'!$U$2:$U$495&lt;=9)*('CASE MASTER'!$W$2:$W$495&gt;=9)*('CASE MASTER'!$V$2:$V$495&lt;=1)*('CASE MASTER'!$X$2:$X$495&gt;=1))*ROW('CASE MASTER'!$T$2:$T$495))-(ROW('CASE MASTER'!#REF!)-1)))&amp;TRIM(MID(SUBSTITUTE(SUBSTITUTE(INDEX('CASE MASTER'!$N$2:$N$495,(SUMPRODUCT((('CASE MASTER'!$T$2:$T$495=2)*('CASE MASTER'!$U$2:$U$495&lt;=9)*('CASE MASTER'!$W$2:$W$495&gt;=9)*('CASE MASTER'!$V$2:$V$495&lt;=1)*('CASE MASTER'!$X$2:$X$495&gt;=1))*ROW('CASE MASTER'!$T$2:$T$495))-(ROW('CASE MASTER'!#REF!)-1))),":",","),",",REPT(" ",50)),((((9-INDEX('CASE MASTER'!$U$2:$U$495,(SUMPRODUCT((('CASE MASTER'!$T$2:$T$495=2)*('CASE MASTER'!$U$2:$U$495&lt;=9)*('CASE MASTER'!$W$2:$W$495&gt;=9)*('CASE MASTER'!$V$2:$V$495&lt;=1)*('CASE MASTER'!$X$2:$X$495&gt;=1))*ROW('CASE MASTER'!$T$2:$T$495))-(ROW('CASE MASTER'!#REF!)-1))))*(INDEX('CASE MASTER'!$X$2:$X$495,(SUMPRODUCT((('CASE MASTER'!$T$2:$T$495=2)*('CASE MASTER'!$U$2:$U$495&lt;=9)*('CASE MASTER'!$W$2:$W$495&gt;=9)*('CASE MASTER'!$V$2:$V$495&lt;=1)*('CASE MASTER'!$X$2:$X$495&gt;=1))*ROW('CASE MASTER'!$T$2:$T$495))-(ROW('CASE MASTER'!#REF!)-1)))-INDEX('CASE MASTER'!$V$2:$V$495,(SUMPRODUCT((('CASE MASTER'!$T$2:$T$495=2)*('CASE MASTER'!$U$2:$U$495&lt;=9)*('CASE MASTER'!$W$2:$W$495&gt;=9)*('CASE MASTER'!$V$2:$V$495&lt;=1)*('CASE MASTER'!$X$2:$X$495&gt;=1))*ROW('CASE MASTER'!$T$2:$T$495))-(ROW('CASE MASTER'!#REF!)-1)))+1)+(1-INDEX('CASE MASTER'!$V$2:$V$495,(SUMPRODUCT((('CASE MASTER'!$T$2:$T$495=2)*('CASE MASTER'!$U$2:$U$495&lt;=9)*('CASE MASTER'!$W$2:$W$495&gt;=9)*('CASE MASTER'!$V$2:$V$495&lt;=1)*('CASE MASTER'!$X$2:$X$495&gt;=1))*ROW('CASE MASTER'!$T$2:$T$495))-(ROW('CASE MASTER'!#REF!)-1))))+1))-1)*50+1,50))&amp;"_"&amp;INDEX('CASE MASTER'!$Q$2:$Q$495,(SUMPRODUCT((('CASE MASTER'!$T$2:$T$495=2)*('CASE MASTER'!$U$2:$U$495&lt;=9)*('CASE MASTER'!$W$2:$W$495&gt;=9)*('CASE MASTER'!$V$2:$V$495&lt;=1)*('CASE MASTER'!$X$2:$X$495&gt;=1))*ROW('CASE MASTER'!$T$2:$T$495))-(ROW('CASE MASTER'!#REF!)-1))),IF(SUMPRODUCT((('CASE MASTER'!$T$2:$T$495=2)*('CASE MASTER'!$AA$2:$AA$495&lt;=9)*('CASE MASTER'!$AC$2:$AC$495&gt;=9)*('CASE MASTER'!$AB$2:$AB$495&lt;=1)*('CASE MASTER'!$AD$2:$AD$495&gt;=1))*ROW('CASE MASTER'!$T$2:$T$495))&gt;0,INDEX('CASE MASTER'!$Y$2:$Y$495,(SUMPRODUCT((('CASE MASTER'!$T$2:$T$495=2)*('CASE MASTER'!$AA$2:$AA$495&lt;=9)*('CASE MASTER'!$AC$2:$AC$495&gt;=9)*('CASE MASTER'!$AB$2:$AB$495&lt;=1)*('CASE MASTER'!$AD$2:$AD$495&gt;=1))*ROW('CASE MASTER'!$T$2:$T$495))-(ROW('CASE MASTER'!#REF!)-1)))&amp;TRIM(MID(SUBSTITUTE(SUBSTITUTE(INDEX('CASE MASTER'!$N$2:$N$495,(SUMPRODUCT((('CASE MASTER'!$T$2:$T$495=2)*('CASE MASTER'!$AA$2:$AA$495&lt;=9)*('CASE MASTER'!$AC$2:$AC$495&gt;=9)*('CASE MASTER'!$AB$2:$AB$495&lt;=1)*('CASE MASTER'!$AD$2:$AD$495&gt;=1))*ROW('CASE MASTER'!$T$2:$T$495))-(ROW('CASE MASTER'!#REF!)-1))),":",","),",",REPT(" ",50)),(((INDEX('CASE MASTER'!$Z$2:$Z$495,(SUMPRODUCT((('CASE MASTER'!$T$2:$T$495=2)*('CASE MASTER'!$AA$2:$AA$495&lt;=9)*('CASE MASTER'!$AC$2:$AC$495&gt;=9)*('CASE MASTER'!$AB$2:$AB$495&lt;=1)*('CASE MASTER'!$AD$2:$AD$495&gt;=1))*ROW('CASE MASTER'!$T$2:$T$495))-(ROW('CASE MASTER'!#REF!)-1)))+((9-INDEX('CASE MASTER'!$AA$2:$AA$495,(SUMPRODUCT((('CASE MASTER'!$T$2:$T$495=2)*('CASE MASTER'!$AA$2:$AA$495&lt;=9)*('CASE MASTER'!$AC$2:$AC$495&gt;=9)*('CASE MASTER'!$AB$2:$AB$495&lt;=1)*('CASE MASTER'!$AD$2:$AD$495&gt;=1))*ROW('CASE MASTER'!$T$2:$T$495))-(ROW('CASE MASTER'!#REF!)-1))))*(INDEX('CASE MASTER'!$AD$2:$AD$495,(SUMPRODUCT((('CASE MASTER'!$T$2:$T$495=2)*('CASE MASTER'!$AA$2:$AA$495&lt;=9)*('CASE MASTER'!$AC$2:$AC$495&gt;=9)*('CASE MASTER'!$AB$2:$AB$495&lt;=1)*('CASE MASTER'!$AD$2:$AD$495&gt;=1))*ROW('CASE MASTER'!$T$2:$T$495))-(ROW('CASE MASTER'!#REF!)-1)))-INDEX('CASE MASTER'!$AB$2:$AB$495,(SUMPRODUCT((('CASE MASTER'!$T$2:$T$495=2)*('CASE MASTER'!$AA$2:$AA$495&lt;=9)*('CASE MASTER'!$AC$2:$AC$495&gt;=9)*('CASE MASTER'!$AB$2:$AB$495&lt;=1)*('CASE MASTER'!$AD$2:$AD$495&gt;=1))*ROW('CASE MASTER'!$T$2:$T$495))-(ROW('CASE MASTER'!#REF!)-1)))+1)+(1-INDEX('CASE MASTER'!$AB$2:$AB$495,(SUMPRODUCT((('CASE MASTER'!$T$2:$T$495=2)*('CASE MASTER'!$AA$2:$AA$495&lt;=9)*('CASE MASTER'!$AC$2:$AC$495&gt;=9)*('CASE MASTER'!$AB$2:$AB$495&lt;=1)*('CASE MASTER'!$AD$2:$AD$495&gt;=1))*ROW('CASE MASTER'!$T$2:$T$495))-(ROW('CASE MASTER'!#REF!)-1))))+1)))-1)*50+1,50))&amp;"_"&amp;INDEX('CASE MASTER'!$Q$2:$Q$495,(SUMPRODUCT((('CASE MASTER'!$T$2:$T$495=2)*('CASE MASTER'!$AA$2:$AA$495&lt;=9)*('CASE MASTER'!$AC$2:$AC$495&gt;=9)*('CASE MASTER'!$AB$2:$AB$495&lt;=1)*('CASE MASTER'!$AD$2:$AD$495&gt;=1))*ROW('CASE MASTER'!$T$2:$T$495))-(ROW('CASE MASTER'!#REF!)-1))),"")),"")</f>
        <v/>
      </c>
      <c r="C25" s="10" t="str">
        <f>IFERROR(IF(SUMPRODUCT((('CASE MASTER'!$T$2:$T$495=2)*('CASE MASTER'!$U$2:$U$495&lt;=9)*('CASE MASTER'!$W$2:$W$495&gt;=9)*('CASE MASTER'!$V$2:$V$495&lt;=2)*('CASE MASTER'!$X$2:$X$495&gt;=2))*ROW('CASE MASTER'!$T$2:$T$495))&gt;0,INDEX('CASE MASTER'!$Y$2:$Y$495,(SUMPRODUCT((('CASE MASTER'!$T$2:$T$495=2)*('CASE MASTER'!$U$2:$U$495&lt;=9)*('CASE MASTER'!$W$2:$W$495&gt;=9)*('CASE MASTER'!$V$2:$V$495&lt;=2)*('CASE MASTER'!$X$2:$X$495&gt;=2))*ROW('CASE MASTER'!$T$2:$T$495))-(ROW('CASE MASTER'!#REF!)-1)))&amp;TRIM(MID(SUBSTITUTE(SUBSTITUTE(INDEX('CASE MASTER'!$N$2:$N$495,(SUMPRODUCT((('CASE MASTER'!$T$2:$T$495=2)*('CASE MASTER'!$U$2:$U$495&lt;=9)*('CASE MASTER'!$W$2:$W$495&gt;=9)*('CASE MASTER'!$V$2:$V$495&lt;=2)*('CASE MASTER'!$X$2:$X$495&gt;=2))*ROW('CASE MASTER'!$T$2:$T$495))-(ROW('CASE MASTER'!#REF!)-1))),":",","),",",REPT(" ",50)),((((9-INDEX('CASE MASTER'!$U$2:$U$495,(SUMPRODUCT((('CASE MASTER'!$T$2:$T$495=2)*('CASE MASTER'!$U$2:$U$495&lt;=9)*('CASE MASTER'!$W$2:$W$495&gt;=9)*('CASE MASTER'!$V$2:$V$495&lt;=2)*('CASE MASTER'!$X$2:$X$495&gt;=2))*ROW('CASE MASTER'!$T$2:$T$495))-(ROW('CASE MASTER'!#REF!)-1))))*(INDEX('CASE MASTER'!$X$2:$X$495,(SUMPRODUCT((('CASE MASTER'!$T$2:$T$495=2)*('CASE MASTER'!$U$2:$U$495&lt;=9)*('CASE MASTER'!$W$2:$W$495&gt;=9)*('CASE MASTER'!$V$2:$V$495&lt;=2)*('CASE MASTER'!$X$2:$X$495&gt;=2))*ROW('CASE MASTER'!$T$2:$T$495))-(ROW('CASE MASTER'!#REF!)-1)))-INDEX('CASE MASTER'!$V$2:$V$495,(SUMPRODUCT((('CASE MASTER'!$T$2:$T$495=2)*('CASE MASTER'!$U$2:$U$495&lt;=9)*('CASE MASTER'!$W$2:$W$495&gt;=9)*('CASE MASTER'!$V$2:$V$495&lt;=2)*('CASE MASTER'!$X$2:$X$495&gt;=2))*ROW('CASE MASTER'!$T$2:$T$495))-(ROW('CASE MASTER'!#REF!)-1)))+1)+(2-INDEX('CASE MASTER'!$V$2:$V$495,(SUMPRODUCT((('CASE MASTER'!$T$2:$T$495=2)*('CASE MASTER'!$U$2:$U$495&lt;=9)*('CASE MASTER'!$W$2:$W$495&gt;=9)*('CASE MASTER'!$V$2:$V$495&lt;=2)*('CASE MASTER'!$X$2:$X$495&gt;=2))*ROW('CASE MASTER'!$T$2:$T$495))-(ROW('CASE MASTER'!#REF!)-1))))+1))-1)*50+1,50))&amp;"_"&amp;INDEX('CASE MASTER'!$Q$2:$Q$495,(SUMPRODUCT((('CASE MASTER'!$T$2:$T$495=2)*('CASE MASTER'!$U$2:$U$495&lt;=9)*('CASE MASTER'!$W$2:$W$495&gt;=9)*('CASE MASTER'!$V$2:$V$495&lt;=2)*('CASE MASTER'!$X$2:$X$495&gt;=2))*ROW('CASE MASTER'!$T$2:$T$495))-(ROW('CASE MASTER'!#REF!)-1))),IF(SUMPRODUCT((('CASE MASTER'!$T$2:$T$495=2)*('CASE MASTER'!$AA$2:$AA$495&lt;=9)*('CASE MASTER'!$AC$2:$AC$495&gt;=9)*('CASE MASTER'!$AB$2:$AB$495&lt;=2)*('CASE MASTER'!$AD$2:$AD$495&gt;=2))*ROW('CASE MASTER'!$T$2:$T$495))&gt;0,INDEX('CASE MASTER'!$Y$2:$Y$495,(SUMPRODUCT((('CASE MASTER'!$T$2:$T$495=2)*('CASE MASTER'!$AA$2:$AA$495&lt;=9)*('CASE MASTER'!$AC$2:$AC$495&gt;=9)*('CASE MASTER'!$AB$2:$AB$495&lt;=2)*('CASE MASTER'!$AD$2:$AD$495&gt;=2))*ROW('CASE MASTER'!$T$2:$T$495))-(ROW('CASE MASTER'!#REF!)-1)))&amp;TRIM(MID(SUBSTITUTE(SUBSTITUTE(INDEX('CASE MASTER'!$N$2:$N$495,(SUMPRODUCT((('CASE MASTER'!$T$2:$T$495=2)*('CASE MASTER'!$AA$2:$AA$495&lt;=9)*('CASE MASTER'!$AC$2:$AC$495&gt;=9)*('CASE MASTER'!$AB$2:$AB$495&lt;=2)*('CASE MASTER'!$AD$2:$AD$495&gt;=2))*ROW('CASE MASTER'!$T$2:$T$495))-(ROW('CASE MASTER'!#REF!)-1))),":",","),",",REPT(" ",50)),(((INDEX('CASE MASTER'!$Z$2:$Z$495,(SUMPRODUCT((('CASE MASTER'!$T$2:$T$495=2)*('CASE MASTER'!$AA$2:$AA$495&lt;=9)*('CASE MASTER'!$AC$2:$AC$495&gt;=9)*('CASE MASTER'!$AB$2:$AB$495&lt;=2)*('CASE MASTER'!$AD$2:$AD$495&gt;=2))*ROW('CASE MASTER'!$T$2:$T$495))-(ROW('CASE MASTER'!#REF!)-1)))+((9-INDEX('CASE MASTER'!$AA$2:$AA$495,(SUMPRODUCT((('CASE MASTER'!$T$2:$T$495=2)*('CASE MASTER'!$AA$2:$AA$495&lt;=9)*('CASE MASTER'!$AC$2:$AC$495&gt;=9)*('CASE MASTER'!$AB$2:$AB$495&lt;=2)*('CASE MASTER'!$AD$2:$AD$495&gt;=2))*ROW('CASE MASTER'!$T$2:$T$495))-(ROW('CASE MASTER'!#REF!)-1))))*(INDEX('CASE MASTER'!$AD$2:$AD$495,(SUMPRODUCT((('CASE MASTER'!$T$2:$T$495=2)*('CASE MASTER'!$AA$2:$AA$495&lt;=9)*('CASE MASTER'!$AC$2:$AC$495&gt;=9)*('CASE MASTER'!$AB$2:$AB$495&lt;=2)*('CASE MASTER'!$AD$2:$AD$495&gt;=2))*ROW('CASE MASTER'!$T$2:$T$495))-(ROW('CASE MASTER'!#REF!)-1)))-INDEX('CASE MASTER'!$AB$2:$AB$495,(SUMPRODUCT((('CASE MASTER'!$T$2:$T$495=2)*('CASE MASTER'!$AA$2:$AA$495&lt;=9)*('CASE MASTER'!$AC$2:$AC$495&gt;=9)*('CASE MASTER'!$AB$2:$AB$495&lt;=2)*('CASE MASTER'!$AD$2:$AD$495&gt;=2))*ROW('CASE MASTER'!$T$2:$T$495))-(ROW('CASE MASTER'!#REF!)-1)))+1)+(2-INDEX('CASE MASTER'!$AB$2:$AB$495,(SUMPRODUCT((('CASE MASTER'!$T$2:$T$495=2)*('CASE MASTER'!$AA$2:$AA$495&lt;=9)*('CASE MASTER'!$AC$2:$AC$495&gt;=9)*('CASE MASTER'!$AB$2:$AB$495&lt;=2)*('CASE MASTER'!$AD$2:$AD$495&gt;=2))*ROW('CASE MASTER'!$T$2:$T$495))-(ROW('CASE MASTER'!#REF!)-1))))+1)))-1)*50+1,50))&amp;"_"&amp;INDEX('CASE MASTER'!$Q$2:$Q$495,(SUMPRODUCT((('CASE MASTER'!$T$2:$T$495=2)*('CASE MASTER'!$AA$2:$AA$495&lt;=9)*('CASE MASTER'!$AC$2:$AC$495&gt;=9)*('CASE MASTER'!$AB$2:$AB$495&lt;=2)*('CASE MASTER'!$AD$2:$AD$495&gt;=2))*ROW('CASE MASTER'!$T$2:$T$495))-(ROW('CASE MASTER'!#REF!)-1))),"")),"")</f>
        <v/>
      </c>
      <c r="D25" s="10" t="str">
        <f>IFERROR(IF(SUMPRODUCT((('CASE MASTER'!$T$2:$T$495=2)*('CASE MASTER'!$U$2:$U$495&lt;=9)*('CASE MASTER'!$W$2:$W$495&gt;=9)*('CASE MASTER'!$V$2:$V$495&lt;=3)*('CASE MASTER'!$X$2:$X$495&gt;=3))*ROW('CASE MASTER'!$T$2:$T$495))&gt;0,INDEX('CASE MASTER'!$Y$2:$Y$495,(SUMPRODUCT((('CASE MASTER'!$T$2:$T$495=2)*('CASE MASTER'!$U$2:$U$495&lt;=9)*('CASE MASTER'!$W$2:$W$495&gt;=9)*('CASE MASTER'!$V$2:$V$495&lt;=3)*('CASE MASTER'!$X$2:$X$495&gt;=3))*ROW('CASE MASTER'!$T$2:$T$495))-(ROW('CASE MASTER'!#REF!)-1)))&amp;TRIM(MID(SUBSTITUTE(SUBSTITUTE(INDEX('CASE MASTER'!$N$2:$N$495,(SUMPRODUCT((('CASE MASTER'!$T$2:$T$495=2)*('CASE MASTER'!$U$2:$U$495&lt;=9)*('CASE MASTER'!$W$2:$W$495&gt;=9)*('CASE MASTER'!$V$2:$V$495&lt;=3)*('CASE MASTER'!$X$2:$X$495&gt;=3))*ROW('CASE MASTER'!$T$2:$T$495))-(ROW('CASE MASTER'!#REF!)-1))),":",","),",",REPT(" ",50)),((((9-INDEX('CASE MASTER'!$U$2:$U$495,(SUMPRODUCT((('CASE MASTER'!$T$2:$T$495=2)*('CASE MASTER'!$U$2:$U$495&lt;=9)*('CASE MASTER'!$W$2:$W$495&gt;=9)*('CASE MASTER'!$V$2:$V$495&lt;=3)*('CASE MASTER'!$X$2:$X$495&gt;=3))*ROW('CASE MASTER'!$T$2:$T$495))-(ROW('CASE MASTER'!#REF!)-1))))*(INDEX('CASE MASTER'!$X$2:$X$495,(SUMPRODUCT((('CASE MASTER'!$T$2:$T$495=2)*('CASE MASTER'!$U$2:$U$495&lt;=9)*('CASE MASTER'!$W$2:$W$495&gt;=9)*('CASE MASTER'!$V$2:$V$495&lt;=3)*('CASE MASTER'!$X$2:$X$495&gt;=3))*ROW('CASE MASTER'!$T$2:$T$495))-(ROW('CASE MASTER'!#REF!)-1)))-INDEX('CASE MASTER'!$V$2:$V$495,(SUMPRODUCT((('CASE MASTER'!$T$2:$T$495=2)*('CASE MASTER'!$U$2:$U$495&lt;=9)*('CASE MASTER'!$W$2:$W$495&gt;=9)*('CASE MASTER'!$V$2:$V$495&lt;=3)*('CASE MASTER'!$X$2:$X$495&gt;=3))*ROW('CASE MASTER'!$T$2:$T$495))-(ROW('CASE MASTER'!#REF!)-1)))+1)+(3-INDEX('CASE MASTER'!$V$2:$V$495,(SUMPRODUCT((('CASE MASTER'!$T$2:$T$495=2)*('CASE MASTER'!$U$2:$U$495&lt;=9)*('CASE MASTER'!$W$2:$W$495&gt;=9)*('CASE MASTER'!$V$2:$V$495&lt;=3)*('CASE MASTER'!$X$2:$X$495&gt;=3))*ROW('CASE MASTER'!$T$2:$T$495))-(ROW('CASE MASTER'!#REF!)-1))))+1))-1)*50+1,50))&amp;"_"&amp;INDEX('CASE MASTER'!$Q$2:$Q$495,(SUMPRODUCT((('CASE MASTER'!$T$2:$T$495=2)*('CASE MASTER'!$U$2:$U$495&lt;=9)*('CASE MASTER'!$W$2:$W$495&gt;=9)*('CASE MASTER'!$V$2:$V$495&lt;=3)*('CASE MASTER'!$X$2:$X$495&gt;=3))*ROW('CASE MASTER'!$T$2:$T$495))-(ROW('CASE MASTER'!#REF!)-1))),IF(SUMPRODUCT((('CASE MASTER'!$T$2:$T$495=2)*('CASE MASTER'!$AA$2:$AA$495&lt;=9)*('CASE MASTER'!$AC$2:$AC$495&gt;=9)*('CASE MASTER'!$AB$2:$AB$495&lt;=3)*('CASE MASTER'!$AD$2:$AD$495&gt;=3))*ROW('CASE MASTER'!$T$2:$T$495))&gt;0,INDEX('CASE MASTER'!$Y$2:$Y$495,(SUMPRODUCT((('CASE MASTER'!$T$2:$T$495=2)*('CASE MASTER'!$AA$2:$AA$495&lt;=9)*('CASE MASTER'!$AC$2:$AC$495&gt;=9)*('CASE MASTER'!$AB$2:$AB$495&lt;=3)*('CASE MASTER'!$AD$2:$AD$495&gt;=3))*ROW('CASE MASTER'!$T$2:$T$495))-(ROW('CASE MASTER'!#REF!)-1)))&amp;TRIM(MID(SUBSTITUTE(SUBSTITUTE(INDEX('CASE MASTER'!$N$2:$N$495,(SUMPRODUCT((('CASE MASTER'!$T$2:$T$495=2)*('CASE MASTER'!$AA$2:$AA$495&lt;=9)*('CASE MASTER'!$AC$2:$AC$495&gt;=9)*('CASE MASTER'!$AB$2:$AB$495&lt;=3)*('CASE MASTER'!$AD$2:$AD$495&gt;=3))*ROW('CASE MASTER'!$T$2:$T$495))-(ROW('CASE MASTER'!#REF!)-1))),":",","),",",REPT(" ",50)),(((INDEX('CASE MASTER'!$Z$2:$Z$495,(SUMPRODUCT((('CASE MASTER'!$T$2:$T$495=2)*('CASE MASTER'!$AA$2:$AA$495&lt;=9)*('CASE MASTER'!$AC$2:$AC$495&gt;=9)*('CASE MASTER'!$AB$2:$AB$495&lt;=3)*('CASE MASTER'!$AD$2:$AD$495&gt;=3))*ROW('CASE MASTER'!$T$2:$T$495))-(ROW('CASE MASTER'!#REF!)-1)))+((9-INDEX('CASE MASTER'!$AA$2:$AA$495,(SUMPRODUCT((('CASE MASTER'!$T$2:$T$495=2)*('CASE MASTER'!$AA$2:$AA$495&lt;=9)*('CASE MASTER'!$AC$2:$AC$495&gt;=9)*('CASE MASTER'!$AB$2:$AB$495&lt;=3)*('CASE MASTER'!$AD$2:$AD$495&gt;=3))*ROW('CASE MASTER'!$T$2:$T$495))-(ROW('CASE MASTER'!#REF!)-1))))*(INDEX('CASE MASTER'!$AD$2:$AD$495,(SUMPRODUCT((('CASE MASTER'!$T$2:$T$495=2)*('CASE MASTER'!$AA$2:$AA$495&lt;=9)*('CASE MASTER'!$AC$2:$AC$495&gt;=9)*('CASE MASTER'!$AB$2:$AB$495&lt;=3)*('CASE MASTER'!$AD$2:$AD$495&gt;=3))*ROW('CASE MASTER'!$T$2:$T$495))-(ROW('CASE MASTER'!#REF!)-1)))-INDEX('CASE MASTER'!$AB$2:$AB$495,(SUMPRODUCT((('CASE MASTER'!$T$2:$T$495=2)*('CASE MASTER'!$AA$2:$AA$495&lt;=9)*('CASE MASTER'!$AC$2:$AC$495&gt;=9)*('CASE MASTER'!$AB$2:$AB$495&lt;=3)*('CASE MASTER'!$AD$2:$AD$495&gt;=3))*ROW('CASE MASTER'!$T$2:$T$495))-(ROW('CASE MASTER'!#REF!)-1)))+1)+(3-INDEX('CASE MASTER'!$AB$2:$AB$495,(SUMPRODUCT((('CASE MASTER'!$T$2:$T$495=2)*('CASE MASTER'!$AA$2:$AA$495&lt;=9)*('CASE MASTER'!$AC$2:$AC$495&gt;=9)*('CASE MASTER'!$AB$2:$AB$495&lt;=3)*('CASE MASTER'!$AD$2:$AD$495&gt;=3))*ROW('CASE MASTER'!$T$2:$T$495))-(ROW('CASE MASTER'!#REF!)-1))))+1)))-1)*50+1,50))&amp;"_"&amp;INDEX('CASE MASTER'!$Q$2:$Q$495,(SUMPRODUCT((('CASE MASTER'!$T$2:$T$495=2)*('CASE MASTER'!$AA$2:$AA$495&lt;=9)*('CASE MASTER'!$AC$2:$AC$495&gt;=9)*('CASE MASTER'!$AB$2:$AB$495&lt;=3)*('CASE MASTER'!$AD$2:$AD$495&gt;=3))*ROW('CASE MASTER'!$T$2:$T$495))-(ROW('CASE MASTER'!#REF!)-1))),"")),"")</f>
        <v/>
      </c>
      <c r="E25" s="10" t="str">
        <f>IFERROR(IF(SUMPRODUCT((('CASE MASTER'!$T$2:$T$495=2)*('CASE MASTER'!$U$2:$U$495&lt;=9)*('CASE MASTER'!$W$2:$W$495&gt;=9)*('CASE MASTER'!$V$2:$V$495&lt;=4)*('CASE MASTER'!$X$2:$X$495&gt;=4))*ROW('CASE MASTER'!$T$2:$T$495))&gt;0,INDEX('CASE MASTER'!$Y$2:$Y$495,(SUMPRODUCT((('CASE MASTER'!$T$2:$T$495=2)*('CASE MASTER'!$U$2:$U$495&lt;=9)*('CASE MASTER'!$W$2:$W$495&gt;=9)*('CASE MASTER'!$V$2:$V$495&lt;=4)*('CASE MASTER'!$X$2:$X$495&gt;=4))*ROW('CASE MASTER'!$T$2:$T$495))-(ROW('CASE MASTER'!#REF!)-1)))&amp;TRIM(MID(SUBSTITUTE(SUBSTITUTE(INDEX('CASE MASTER'!$N$2:$N$495,(SUMPRODUCT((('CASE MASTER'!$T$2:$T$495=2)*('CASE MASTER'!$U$2:$U$495&lt;=9)*('CASE MASTER'!$W$2:$W$495&gt;=9)*('CASE MASTER'!$V$2:$V$495&lt;=4)*('CASE MASTER'!$X$2:$X$495&gt;=4))*ROW('CASE MASTER'!$T$2:$T$495))-(ROW('CASE MASTER'!#REF!)-1))),":",","),",",REPT(" ",50)),((((9-INDEX('CASE MASTER'!$U$2:$U$495,(SUMPRODUCT((('CASE MASTER'!$T$2:$T$495=2)*('CASE MASTER'!$U$2:$U$495&lt;=9)*('CASE MASTER'!$W$2:$W$495&gt;=9)*('CASE MASTER'!$V$2:$V$495&lt;=4)*('CASE MASTER'!$X$2:$X$495&gt;=4))*ROW('CASE MASTER'!$T$2:$T$495))-(ROW('CASE MASTER'!#REF!)-1))))*(INDEX('CASE MASTER'!$X$2:$X$495,(SUMPRODUCT((('CASE MASTER'!$T$2:$T$495=2)*('CASE MASTER'!$U$2:$U$495&lt;=9)*('CASE MASTER'!$W$2:$W$495&gt;=9)*('CASE MASTER'!$V$2:$V$495&lt;=4)*('CASE MASTER'!$X$2:$X$495&gt;=4))*ROW('CASE MASTER'!$T$2:$T$495))-(ROW('CASE MASTER'!#REF!)-1)))-INDEX('CASE MASTER'!$V$2:$V$495,(SUMPRODUCT((('CASE MASTER'!$T$2:$T$495=2)*('CASE MASTER'!$U$2:$U$495&lt;=9)*('CASE MASTER'!$W$2:$W$495&gt;=9)*('CASE MASTER'!$V$2:$V$495&lt;=4)*('CASE MASTER'!$X$2:$X$495&gt;=4))*ROW('CASE MASTER'!$T$2:$T$495))-(ROW('CASE MASTER'!#REF!)-1)))+1)+(4-INDEX('CASE MASTER'!$V$2:$V$495,(SUMPRODUCT((('CASE MASTER'!$T$2:$T$495=2)*('CASE MASTER'!$U$2:$U$495&lt;=9)*('CASE MASTER'!$W$2:$W$495&gt;=9)*('CASE MASTER'!$V$2:$V$495&lt;=4)*('CASE MASTER'!$X$2:$X$495&gt;=4))*ROW('CASE MASTER'!$T$2:$T$495))-(ROW('CASE MASTER'!#REF!)-1))))+1))-1)*50+1,50))&amp;"_"&amp;INDEX('CASE MASTER'!$Q$2:$Q$495,(SUMPRODUCT((('CASE MASTER'!$T$2:$T$495=2)*('CASE MASTER'!$U$2:$U$495&lt;=9)*('CASE MASTER'!$W$2:$W$495&gt;=9)*('CASE MASTER'!$V$2:$V$495&lt;=4)*('CASE MASTER'!$X$2:$X$495&gt;=4))*ROW('CASE MASTER'!$T$2:$T$495))-(ROW('CASE MASTER'!#REF!)-1))),IF(SUMPRODUCT((('CASE MASTER'!$T$2:$T$495=2)*('CASE MASTER'!$AA$2:$AA$495&lt;=9)*('CASE MASTER'!$AC$2:$AC$495&gt;=9)*('CASE MASTER'!$AB$2:$AB$495&lt;=4)*('CASE MASTER'!$AD$2:$AD$495&gt;=4))*ROW('CASE MASTER'!$T$2:$T$495))&gt;0,INDEX('CASE MASTER'!$Y$2:$Y$495,(SUMPRODUCT((('CASE MASTER'!$T$2:$T$495=2)*('CASE MASTER'!$AA$2:$AA$495&lt;=9)*('CASE MASTER'!$AC$2:$AC$495&gt;=9)*('CASE MASTER'!$AB$2:$AB$495&lt;=4)*('CASE MASTER'!$AD$2:$AD$495&gt;=4))*ROW('CASE MASTER'!$T$2:$T$495))-(ROW('CASE MASTER'!#REF!)-1)))&amp;TRIM(MID(SUBSTITUTE(SUBSTITUTE(INDEX('CASE MASTER'!$N$2:$N$495,(SUMPRODUCT((('CASE MASTER'!$T$2:$T$495=2)*('CASE MASTER'!$AA$2:$AA$495&lt;=9)*('CASE MASTER'!$AC$2:$AC$495&gt;=9)*('CASE MASTER'!$AB$2:$AB$495&lt;=4)*('CASE MASTER'!$AD$2:$AD$495&gt;=4))*ROW('CASE MASTER'!$T$2:$T$495))-(ROW('CASE MASTER'!#REF!)-1))),":",","),",",REPT(" ",50)),(((INDEX('CASE MASTER'!$Z$2:$Z$495,(SUMPRODUCT((('CASE MASTER'!$T$2:$T$495=2)*('CASE MASTER'!$AA$2:$AA$495&lt;=9)*('CASE MASTER'!$AC$2:$AC$495&gt;=9)*('CASE MASTER'!$AB$2:$AB$495&lt;=4)*('CASE MASTER'!$AD$2:$AD$495&gt;=4))*ROW('CASE MASTER'!$T$2:$T$495))-(ROW('CASE MASTER'!#REF!)-1)))+((9-INDEX('CASE MASTER'!$AA$2:$AA$495,(SUMPRODUCT((('CASE MASTER'!$T$2:$T$495=2)*('CASE MASTER'!$AA$2:$AA$495&lt;=9)*('CASE MASTER'!$AC$2:$AC$495&gt;=9)*('CASE MASTER'!$AB$2:$AB$495&lt;=4)*('CASE MASTER'!$AD$2:$AD$495&gt;=4))*ROW('CASE MASTER'!$T$2:$T$495))-(ROW('CASE MASTER'!#REF!)-1))))*(INDEX('CASE MASTER'!$AD$2:$AD$495,(SUMPRODUCT((('CASE MASTER'!$T$2:$T$495=2)*('CASE MASTER'!$AA$2:$AA$495&lt;=9)*('CASE MASTER'!$AC$2:$AC$495&gt;=9)*('CASE MASTER'!$AB$2:$AB$495&lt;=4)*('CASE MASTER'!$AD$2:$AD$495&gt;=4))*ROW('CASE MASTER'!$T$2:$T$495))-(ROW('CASE MASTER'!#REF!)-1)))-INDEX('CASE MASTER'!$AB$2:$AB$495,(SUMPRODUCT((('CASE MASTER'!$T$2:$T$495=2)*('CASE MASTER'!$AA$2:$AA$495&lt;=9)*('CASE MASTER'!$AC$2:$AC$495&gt;=9)*('CASE MASTER'!$AB$2:$AB$495&lt;=4)*('CASE MASTER'!$AD$2:$AD$495&gt;=4))*ROW('CASE MASTER'!$T$2:$T$495))-(ROW('CASE MASTER'!#REF!)-1)))+1)+(4-INDEX('CASE MASTER'!$AB$2:$AB$495,(SUMPRODUCT((('CASE MASTER'!$T$2:$T$495=2)*('CASE MASTER'!$AA$2:$AA$495&lt;=9)*('CASE MASTER'!$AC$2:$AC$495&gt;=9)*('CASE MASTER'!$AB$2:$AB$495&lt;=4)*('CASE MASTER'!$AD$2:$AD$495&gt;=4))*ROW('CASE MASTER'!$T$2:$T$495))-(ROW('CASE MASTER'!#REF!)-1))))+1)))-1)*50+1,50))&amp;"_"&amp;INDEX('CASE MASTER'!$Q$2:$Q$495,(SUMPRODUCT((('CASE MASTER'!$T$2:$T$495=2)*('CASE MASTER'!$AA$2:$AA$495&lt;=9)*('CASE MASTER'!$AC$2:$AC$495&gt;=9)*('CASE MASTER'!$AB$2:$AB$495&lt;=4)*('CASE MASTER'!$AD$2:$AD$495&gt;=4))*ROW('CASE MASTER'!$T$2:$T$495))-(ROW('CASE MASTER'!#REF!)-1))),"")),"")</f>
        <v/>
      </c>
      <c r="F25" s="10" t="str">
        <f>IFERROR(IF(SUMPRODUCT((('CASE MASTER'!$T$2:$T$495=2)*('CASE MASTER'!$U$2:$U$495&lt;=9)*('CASE MASTER'!$W$2:$W$495&gt;=9)*('CASE MASTER'!$V$2:$V$495&lt;=5)*('CASE MASTER'!$X$2:$X$495&gt;=5))*ROW('CASE MASTER'!$T$2:$T$495))&gt;0,INDEX('CASE MASTER'!$Y$2:$Y$495,(SUMPRODUCT((('CASE MASTER'!$T$2:$T$495=2)*('CASE MASTER'!$U$2:$U$495&lt;=9)*('CASE MASTER'!$W$2:$W$495&gt;=9)*('CASE MASTER'!$V$2:$V$495&lt;=5)*('CASE MASTER'!$X$2:$X$495&gt;=5))*ROW('CASE MASTER'!$T$2:$T$495))-(ROW('CASE MASTER'!#REF!)-1)))&amp;TRIM(MID(SUBSTITUTE(SUBSTITUTE(INDEX('CASE MASTER'!$N$2:$N$495,(SUMPRODUCT((('CASE MASTER'!$T$2:$T$495=2)*('CASE MASTER'!$U$2:$U$495&lt;=9)*('CASE MASTER'!$W$2:$W$495&gt;=9)*('CASE MASTER'!$V$2:$V$495&lt;=5)*('CASE MASTER'!$X$2:$X$495&gt;=5))*ROW('CASE MASTER'!$T$2:$T$495))-(ROW('CASE MASTER'!#REF!)-1))),":",","),",",REPT(" ",50)),((((9-INDEX('CASE MASTER'!$U$2:$U$495,(SUMPRODUCT((('CASE MASTER'!$T$2:$T$495=2)*('CASE MASTER'!$U$2:$U$495&lt;=9)*('CASE MASTER'!$W$2:$W$495&gt;=9)*('CASE MASTER'!$V$2:$V$495&lt;=5)*('CASE MASTER'!$X$2:$X$495&gt;=5))*ROW('CASE MASTER'!$T$2:$T$495))-(ROW('CASE MASTER'!#REF!)-1))))*(INDEX('CASE MASTER'!$X$2:$X$495,(SUMPRODUCT((('CASE MASTER'!$T$2:$T$495=2)*('CASE MASTER'!$U$2:$U$495&lt;=9)*('CASE MASTER'!$W$2:$W$495&gt;=9)*('CASE MASTER'!$V$2:$V$495&lt;=5)*('CASE MASTER'!$X$2:$X$495&gt;=5))*ROW('CASE MASTER'!$T$2:$T$495))-(ROW('CASE MASTER'!#REF!)-1)))-INDEX('CASE MASTER'!$V$2:$V$495,(SUMPRODUCT((('CASE MASTER'!$T$2:$T$495=2)*('CASE MASTER'!$U$2:$U$495&lt;=9)*('CASE MASTER'!$W$2:$W$495&gt;=9)*('CASE MASTER'!$V$2:$V$495&lt;=5)*('CASE MASTER'!$X$2:$X$495&gt;=5))*ROW('CASE MASTER'!$T$2:$T$495))-(ROW('CASE MASTER'!#REF!)-1)))+1)+(5-INDEX('CASE MASTER'!$V$2:$V$495,(SUMPRODUCT((('CASE MASTER'!$T$2:$T$495=2)*('CASE MASTER'!$U$2:$U$495&lt;=9)*('CASE MASTER'!$W$2:$W$495&gt;=9)*('CASE MASTER'!$V$2:$V$495&lt;=5)*('CASE MASTER'!$X$2:$X$495&gt;=5))*ROW('CASE MASTER'!$T$2:$T$495))-(ROW('CASE MASTER'!#REF!)-1))))+1))-1)*50+1,50))&amp;"_"&amp;INDEX('CASE MASTER'!$Q$2:$Q$495,(SUMPRODUCT((('CASE MASTER'!$T$2:$T$495=2)*('CASE MASTER'!$U$2:$U$495&lt;=9)*('CASE MASTER'!$W$2:$W$495&gt;=9)*('CASE MASTER'!$V$2:$V$495&lt;=5)*('CASE MASTER'!$X$2:$X$495&gt;=5))*ROW('CASE MASTER'!$T$2:$T$495))-(ROW('CASE MASTER'!#REF!)-1))),IF(SUMPRODUCT((('CASE MASTER'!$T$2:$T$495=2)*('CASE MASTER'!$AA$2:$AA$495&lt;=9)*('CASE MASTER'!$AC$2:$AC$495&gt;=9)*('CASE MASTER'!$AB$2:$AB$495&lt;=5)*('CASE MASTER'!$AD$2:$AD$495&gt;=5))*ROW('CASE MASTER'!$T$2:$T$495))&gt;0,INDEX('CASE MASTER'!$Y$2:$Y$495,(SUMPRODUCT((('CASE MASTER'!$T$2:$T$495=2)*('CASE MASTER'!$AA$2:$AA$495&lt;=9)*('CASE MASTER'!$AC$2:$AC$495&gt;=9)*('CASE MASTER'!$AB$2:$AB$495&lt;=5)*('CASE MASTER'!$AD$2:$AD$495&gt;=5))*ROW('CASE MASTER'!$T$2:$T$495))-(ROW('CASE MASTER'!#REF!)-1)))&amp;TRIM(MID(SUBSTITUTE(SUBSTITUTE(INDEX('CASE MASTER'!$N$2:$N$495,(SUMPRODUCT((('CASE MASTER'!$T$2:$T$495=2)*('CASE MASTER'!$AA$2:$AA$495&lt;=9)*('CASE MASTER'!$AC$2:$AC$495&gt;=9)*('CASE MASTER'!$AB$2:$AB$495&lt;=5)*('CASE MASTER'!$AD$2:$AD$495&gt;=5))*ROW('CASE MASTER'!$T$2:$T$495))-(ROW('CASE MASTER'!#REF!)-1))),":",","),",",REPT(" ",50)),(((INDEX('CASE MASTER'!$Z$2:$Z$495,(SUMPRODUCT((('CASE MASTER'!$T$2:$T$495=2)*('CASE MASTER'!$AA$2:$AA$495&lt;=9)*('CASE MASTER'!$AC$2:$AC$495&gt;=9)*('CASE MASTER'!$AB$2:$AB$495&lt;=5)*('CASE MASTER'!$AD$2:$AD$495&gt;=5))*ROW('CASE MASTER'!$T$2:$T$495))-(ROW('CASE MASTER'!#REF!)-1)))+((9-INDEX('CASE MASTER'!$AA$2:$AA$495,(SUMPRODUCT((('CASE MASTER'!$T$2:$T$495=2)*('CASE MASTER'!$AA$2:$AA$495&lt;=9)*('CASE MASTER'!$AC$2:$AC$495&gt;=9)*('CASE MASTER'!$AB$2:$AB$495&lt;=5)*('CASE MASTER'!$AD$2:$AD$495&gt;=5))*ROW('CASE MASTER'!$T$2:$T$495))-(ROW('CASE MASTER'!#REF!)-1))))*(INDEX('CASE MASTER'!$AD$2:$AD$495,(SUMPRODUCT((('CASE MASTER'!$T$2:$T$495=2)*('CASE MASTER'!$AA$2:$AA$495&lt;=9)*('CASE MASTER'!$AC$2:$AC$495&gt;=9)*('CASE MASTER'!$AB$2:$AB$495&lt;=5)*('CASE MASTER'!$AD$2:$AD$495&gt;=5))*ROW('CASE MASTER'!$T$2:$T$495))-(ROW('CASE MASTER'!#REF!)-1)))-INDEX('CASE MASTER'!$AB$2:$AB$495,(SUMPRODUCT((('CASE MASTER'!$T$2:$T$495=2)*('CASE MASTER'!$AA$2:$AA$495&lt;=9)*('CASE MASTER'!$AC$2:$AC$495&gt;=9)*('CASE MASTER'!$AB$2:$AB$495&lt;=5)*('CASE MASTER'!$AD$2:$AD$495&gt;=5))*ROW('CASE MASTER'!$T$2:$T$495))-(ROW('CASE MASTER'!#REF!)-1)))+1)+(5-INDEX('CASE MASTER'!$AB$2:$AB$495,(SUMPRODUCT((('CASE MASTER'!$T$2:$T$495=2)*('CASE MASTER'!$AA$2:$AA$495&lt;=9)*('CASE MASTER'!$AC$2:$AC$495&gt;=9)*('CASE MASTER'!$AB$2:$AB$495&lt;=5)*('CASE MASTER'!$AD$2:$AD$495&gt;=5))*ROW('CASE MASTER'!$T$2:$T$495))-(ROW('CASE MASTER'!#REF!)-1))))+1)))-1)*50+1,50))&amp;"_"&amp;INDEX('CASE MASTER'!$Q$2:$Q$495,(SUMPRODUCT((('CASE MASTER'!$T$2:$T$495=2)*('CASE MASTER'!$AA$2:$AA$495&lt;=9)*('CASE MASTER'!$AC$2:$AC$495&gt;=9)*('CASE MASTER'!$AB$2:$AB$495&lt;=5)*('CASE MASTER'!$AD$2:$AD$495&gt;=5))*ROW('CASE MASTER'!$T$2:$T$495))-(ROW('CASE MASTER'!#REF!)-1))),"")),"")</f>
        <v/>
      </c>
      <c r="G25" s="10" t="str">
        <f>IFERROR(IF(SUMPRODUCT((('CASE MASTER'!$T$2:$T$495=2)*('CASE MASTER'!$U$2:$U$495&lt;=9)*('CASE MASTER'!$W$2:$W$495&gt;=9)*('CASE MASTER'!$V$2:$V$495&lt;=6)*('CASE MASTER'!$X$2:$X$495&gt;=6))*ROW('CASE MASTER'!$T$2:$T$495))&gt;0,INDEX('CASE MASTER'!$Y$2:$Y$495,(SUMPRODUCT((('CASE MASTER'!$T$2:$T$495=2)*('CASE MASTER'!$U$2:$U$495&lt;=9)*('CASE MASTER'!$W$2:$W$495&gt;=9)*('CASE MASTER'!$V$2:$V$495&lt;=6)*('CASE MASTER'!$X$2:$X$495&gt;=6))*ROW('CASE MASTER'!$T$2:$T$495))-(ROW('CASE MASTER'!#REF!)-1)))&amp;TRIM(MID(SUBSTITUTE(SUBSTITUTE(INDEX('CASE MASTER'!$N$2:$N$495,(SUMPRODUCT((('CASE MASTER'!$T$2:$T$495=2)*('CASE MASTER'!$U$2:$U$495&lt;=9)*('CASE MASTER'!$W$2:$W$495&gt;=9)*('CASE MASTER'!$V$2:$V$495&lt;=6)*('CASE MASTER'!$X$2:$X$495&gt;=6))*ROW('CASE MASTER'!$T$2:$T$495))-(ROW('CASE MASTER'!#REF!)-1))),":",","),",",REPT(" ",50)),((((9-INDEX('CASE MASTER'!$U$2:$U$495,(SUMPRODUCT((('CASE MASTER'!$T$2:$T$495=2)*('CASE MASTER'!$U$2:$U$495&lt;=9)*('CASE MASTER'!$W$2:$W$495&gt;=9)*('CASE MASTER'!$V$2:$V$495&lt;=6)*('CASE MASTER'!$X$2:$X$495&gt;=6))*ROW('CASE MASTER'!$T$2:$T$495))-(ROW('CASE MASTER'!#REF!)-1))))*(INDEX('CASE MASTER'!$X$2:$X$495,(SUMPRODUCT((('CASE MASTER'!$T$2:$T$495=2)*('CASE MASTER'!$U$2:$U$495&lt;=9)*('CASE MASTER'!$W$2:$W$495&gt;=9)*('CASE MASTER'!$V$2:$V$495&lt;=6)*('CASE MASTER'!$X$2:$X$495&gt;=6))*ROW('CASE MASTER'!$T$2:$T$495))-(ROW('CASE MASTER'!#REF!)-1)))-INDEX('CASE MASTER'!$V$2:$V$495,(SUMPRODUCT((('CASE MASTER'!$T$2:$T$495=2)*('CASE MASTER'!$U$2:$U$495&lt;=9)*('CASE MASTER'!$W$2:$W$495&gt;=9)*('CASE MASTER'!$V$2:$V$495&lt;=6)*('CASE MASTER'!$X$2:$X$495&gt;=6))*ROW('CASE MASTER'!$T$2:$T$495))-(ROW('CASE MASTER'!#REF!)-1)))+1)+(6-INDEX('CASE MASTER'!$V$2:$V$495,(SUMPRODUCT((('CASE MASTER'!$T$2:$T$495=2)*('CASE MASTER'!$U$2:$U$495&lt;=9)*('CASE MASTER'!$W$2:$W$495&gt;=9)*('CASE MASTER'!$V$2:$V$495&lt;=6)*('CASE MASTER'!$X$2:$X$495&gt;=6))*ROW('CASE MASTER'!$T$2:$T$495))-(ROW('CASE MASTER'!#REF!)-1))))+1))-1)*50+1,50))&amp;"_"&amp;INDEX('CASE MASTER'!$Q$2:$Q$495,(SUMPRODUCT((('CASE MASTER'!$T$2:$T$495=2)*('CASE MASTER'!$U$2:$U$495&lt;=9)*('CASE MASTER'!$W$2:$W$495&gt;=9)*('CASE MASTER'!$V$2:$V$495&lt;=6)*('CASE MASTER'!$X$2:$X$495&gt;=6))*ROW('CASE MASTER'!$T$2:$T$495))-(ROW('CASE MASTER'!#REF!)-1))),IF(SUMPRODUCT((('CASE MASTER'!$T$2:$T$495=2)*('CASE MASTER'!$AA$2:$AA$495&lt;=9)*('CASE MASTER'!$AC$2:$AC$495&gt;=9)*('CASE MASTER'!$AB$2:$AB$495&lt;=6)*('CASE MASTER'!$AD$2:$AD$495&gt;=6))*ROW('CASE MASTER'!$T$2:$T$495))&gt;0,INDEX('CASE MASTER'!$Y$2:$Y$495,(SUMPRODUCT((('CASE MASTER'!$T$2:$T$495=2)*('CASE MASTER'!$AA$2:$AA$495&lt;=9)*('CASE MASTER'!$AC$2:$AC$495&gt;=9)*('CASE MASTER'!$AB$2:$AB$495&lt;=6)*('CASE MASTER'!$AD$2:$AD$495&gt;=6))*ROW('CASE MASTER'!$T$2:$T$495))-(ROW('CASE MASTER'!#REF!)-1)))&amp;TRIM(MID(SUBSTITUTE(SUBSTITUTE(INDEX('CASE MASTER'!$N$2:$N$495,(SUMPRODUCT((('CASE MASTER'!$T$2:$T$495=2)*('CASE MASTER'!$AA$2:$AA$495&lt;=9)*('CASE MASTER'!$AC$2:$AC$495&gt;=9)*('CASE MASTER'!$AB$2:$AB$495&lt;=6)*('CASE MASTER'!$AD$2:$AD$495&gt;=6))*ROW('CASE MASTER'!$T$2:$T$495))-(ROW('CASE MASTER'!#REF!)-1))),":",","),",",REPT(" ",50)),(((INDEX('CASE MASTER'!$Z$2:$Z$495,(SUMPRODUCT((('CASE MASTER'!$T$2:$T$495=2)*('CASE MASTER'!$AA$2:$AA$495&lt;=9)*('CASE MASTER'!$AC$2:$AC$495&gt;=9)*('CASE MASTER'!$AB$2:$AB$495&lt;=6)*('CASE MASTER'!$AD$2:$AD$495&gt;=6))*ROW('CASE MASTER'!$T$2:$T$495))-(ROW('CASE MASTER'!#REF!)-1)))+((9-INDEX('CASE MASTER'!$AA$2:$AA$495,(SUMPRODUCT((('CASE MASTER'!$T$2:$T$495=2)*('CASE MASTER'!$AA$2:$AA$495&lt;=9)*('CASE MASTER'!$AC$2:$AC$495&gt;=9)*('CASE MASTER'!$AB$2:$AB$495&lt;=6)*('CASE MASTER'!$AD$2:$AD$495&gt;=6))*ROW('CASE MASTER'!$T$2:$T$495))-(ROW('CASE MASTER'!#REF!)-1))))*(INDEX('CASE MASTER'!$AD$2:$AD$495,(SUMPRODUCT((('CASE MASTER'!$T$2:$T$495=2)*('CASE MASTER'!$AA$2:$AA$495&lt;=9)*('CASE MASTER'!$AC$2:$AC$495&gt;=9)*('CASE MASTER'!$AB$2:$AB$495&lt;=6)*('CASE MASTER'!$AD$2:$AD$495&gt;=6))*ROW('CASE MASTER'!$T$2:$T$495))-(ROW('CASE MASTER'!#REF!)-1)))-INDEX('CASE MASTER'!$AB$2:$AB$495,(SUMPRODUCT((('CASE MASTER'!$T$2:$T$495=2)*('CASE MASTER'!$AA$2:$AA$495&lt;=9)*('CASE MASTER'!$AC$2:$AC$495&gt;=9)*('CASE MASTER'!$AB$2:$AB$495&lt;=6)*('CASE MASTER'!$AD$2:$AD$495&gt;=6))*ROW('CASE MASTER'!$T$2:$T$495))-(ROW('CASE MASTER'!#REF!)-1)))+1)+(6-INDEX('CASE MASTER'!$AB$2:$AB$495,(SUMPRODUCT((('CASE MASTER'!$T$2:$T$495=2)*('CASE MASTER'!$AA$2:$AA$495&lt;=9)*('CASE MASTER'!$AC$2:$AC$495&gt;=9)*('CASE MASTER'!$AB$2:$AB$495&lt;=6)*('CASE MASTER'!$AD$2:$AD$495&gt;=6))*ROW('CASE MASTER'!$T$2:$T$495))-(ROW('CASE MASTER'!#REF!)-1))))+1)))-1)*50+1,50))&amp;"_"&amp;INDEX('CASE MASTER'!$Q$2:$Q$495,(SUMPRODUCT((('CASE MASTER'!$T$2:$T$495=2)*('CASE MASTER'!$AA$2:$AA$495&lt;=9)*('CASE MASTER'!$AC$2:$AC$495&gt;=9)*('CASE MASTER'!$AB$2:$AB$495&lt;=6)*('CASE MASTER'!$AD$2:$AD$495&gt;=6))*ROW('CASE MASTER'!$T$2:$T$495))-(ROW('CASE MASTER'!#REF!)-1))),"")),"")</f>
        <v/>
      </c>
      <c r="H25" s="10" t="str">
        <f>IFERROR(IF(SUMPRODUCT((('CASE MASTER'!$T$2:$T$495=2)*('CASE MASTER'!$U$2:$U$495&lt;=9)*('CASE MASTER'!$W$2:$W$495&gt;=9)*('CASE MASTER'!$V$2:$V$495&lt;=7)*('CASE MASTER'!$X$2:$X$495&gt;=7))*ROW('CASE MASTER'!$T$2:$T$495))&gt;0,INDEX('CASE MASTER'!$Y$2:$Y$495,(SUMPRODUCT((('CASE MASTER'!$T$2:$T$495=2)*('CASE MASTER'!$U$2:$U$495&lt;=9)*('CASE MASTER'!$W$2:$W$495&gt;=9)*('CASE MASTER'!$V$2:$V$495&lt;=7)*('CASE MASTER'!$X$2:$X$495&gt;=7))*ROW('CASE MASTER'!$T$2:$T$495))-(ROW('CASE MASTER'!#REF!)-1)))&amp;TRIM(MID(SUBSTITUTE(SUBSTITUTE(INDEX('CASE MASTER'!$N$2:$N$495,(SUMPRODUCT((('CASE MASTER'!$T$2:$T$495=2)*('CASE MASTER'!$U$2:$U$495&lt;=9)*('CASE MASTER'!$W$2:$W$495&gt;=9)*('CASE MASTER'!$V$2:$V$495&lt;=7)*('CASE MASTER'!$X$2:$X$495&gt;=7))*ROW('CASE MASTER'!$T$2:$T$495))-(ROW('CASE MASTER'!#REF!)-1))),":",","),",",REPT(" ",50)),((((9-INDEX('CASE MASTER'!$U$2:$U$495,(SUMPRODUCT((('CASE MASTER'!$T$2:$T$495=2)*('CASE MASTER'!$U$2:$U$495&lt;=9)*('CASE MASTER'!$W$2:$W$495&gt;=9)*('CASE MASTER'!$V$2:$V$495&lt;=7)*('CASE MASTER'!$X$2:$X$495&gt;=7))*ROW('CASE MASTER'!$T$2:$T$495))-(ROW('CASE MASTER'!#REF!)-1))))*(INDEX('CASE MASTER'!$X$2:$X$495,(SUMPRODUCT((('CASE MASTER'!$T$2:$T$495=2)*('CASE MASTER'!$U$2:$U$495&lt;=9)*('CASE MASTER'!$W$2:$W$495&gt;=9)*('CASE MASTER'!$V$2:$V$495&lt;=7)*('CASE MASTER'!$X$2:$X$495&gt;=7))*ROW('CASE MASTER'!$T$2:$T$495))-(ROW('CASE MASTER'!#REF!)-1)))-INDEX('CASE MASTER'!$V$2:$V$495,(SUMPRODUCT((('CASE MASTER'!$T$2:$T$495=2)*('CASE MASTER'!$U$2:$U$495&lt;=9)*('CASE MASTER'!$W$2:$W$495&gt;=9)*('CASE MASTER'!$V$2:$V$495&lt;=7)*('CASE MASTER'!$X$2:$X$495&gt;=7))*ROW('CASE MASTER'!$T$2:$T$495))-(ROW('CASE MASTER'!#REF!)-1)))+1)+(7-INDEX('CASE MASTER'!$V$2:$V$495,(SUMPRODUCT((('CASE MASTER'!$T$2:$T$495=2)*('CASE MASTER'!$U$2:$U$495&lt;=9)*('CASE MASTER'!$W$2:$W$495&gt;=9)*('CASE MASTER'!$V$2:$V$495&lt;=7)*('CASE MASTER'!$X$2:$X$495&gt;=7))*ROW('CASE MASTER'!$T$2:$T$495))-(ROW('CASE MASTER'!#REF!)-1))))+1))-1)*50+1,50))&amp;"_"&amp;INDEX('CASE MASTER'!$Q$2:$Q$495,(SUMPRODUCT((('CASE MASTER'!$T$2:$T$495=2)*('CASE MASTER'!$U$2:$U$495&lt;=9)*('CASE MASTER'!$W$2:$W$495&gt;=9)*('CASE MASTER'!$V$2:$V$495&lt;=7)*('CASE MASTER'!$X$2:$X$495&gt;=7))*ROW('CASE MASTER'!$T$2:$T$495))-(ROW('CASE MASTER'!#REF!)-1))),IF(SUMPRODUCT((('CASE MASTER'!$T$2:$T$495=2)*('CASE MASTER'!$AA$2:$AA$495&lt;=9)*('CASE MASTER'!$AC$2:$AC$495&gt;=9)*('CASE MASTER'!$AB$2:$AB$495&lt;=7)*('CASE MASTER'!$AD$2:$AD$495&gt;=7))*ROW('CASE MASTER'!$T$2:$T$495))&gt;0,INDEX('CASE MASTER'!$Y$2:$Y$495,(SUMPRODUCT((('CASE MASTER'!$T$2:$T$495=2)*('CASE MASTER'!$AA$2:$AA$495&lt;=9)*('CASE MASTER'!$AC$2:$AC$495&gt;=9)*('CASE MASTER'!$AB$2:$AB$495&lt;=7)*('CASE MASTER'!$AD$2:$AD$495&gt;=7))*ROW('CASE MASTER'!$T$2:$T$495))-(ROW('CASE MASTER'!#REF!)-1)))&amp;TRIM(MID(SUBSTITUTE(SUBSTITUTE(INDEX('CASE MASTER'!$N$2:$N$495,(SUMPRODUCT((('CASE MASTER'!$T$2:$T$495=2)*('CASE MASTER'!$AA$2:$AA$495&lt;=9)*('CASE MASTER'!$AC$2:$AC$495&gt;=9)*('CASE MASTER'!$AB$2:$AB$495&lt;=7)*('CASE MASTER'!$AD$2:$AD$495&gt;=7))*ROW('CASE MASTER'!$T$2:$T$495))-(ROW('CASE MASTER'!#REF!)-1))),":",","),",",REPT(" ",50)),(((INDEX('CASE MASTER'!$Z$2:$Z$495,(SUMPRODUCT((('CASE MASTER'!$T$2:$T$495=2)*('CASE MASTER'!$AA$2:$AA$495&lt;=9)*('CASE MASTER'!$AC$2:$AC$495&gt;=9)*('CASE MASTER'!$AB$2:$AB$495&lt;=7)*('CASE MASTER'!$AD$2:$AD$495&gt;=7))*ROW('CASE MASTER'!$T$2:$T$495))-(ROW('CASE MASTER'!#REF!)-1)))+((9-INDEX('CASE MASTER'!$AA$2:$AA$495,(SUMPRODUCT((('CASE MASTER'!$T$2:$T$495=2)*('CASE MASTER'!$AA$2:$AA$495&lt;=9)*('CASE MASTER'!$AC$2:$AC$495&gt;=9)*('CASE MASTER'!$AB$2:$AB$495&lt;=7)*('CASE MASTER'!$AD$2:$AD$495&gt;=7))*ROW('CASE MASTER'!$T$2:$T$495))-(ROW('CASE MASTER'!#REF!)-1))))*(INDEX('CASE MASTER'!$AD$2:$AD$495,(SUMPRODUCT((('CASE MASTER'!$T$2:$T$495=2)*('CASE MASTER'!$AA$2:$AA$495&lt;=9)*('CASE MASTER'!$AC$2:$AC$495&gt;=9)*('CASE MASTER'!$AB$2:$AB$495&lt;=7)*('CASE MASTER'!$AD$2:$AD$495&gt;=7))*ROW('CASE MASTER'!$T$2:$T$495))-(ROW('CASE MASTER'!#REF!)-1)))-INDEX('CASE MASTER'!$AB$2:$AB$495,(SUMPRODUCT((('CASE MASTER'!$T$2:$T$495=2)*('CASE MASTER'!$AA$2:$AA$495&lt;=9)*('CASE MASTER'!$AC$2:$AC$495&gt;=9)*('CASE MASTER'!$AB$2:$AB$495&lt;=7)*('CASE MASTER'!$AD$2:$AD$495&gt;=7))*ROW('CASE MASTER'!$T$2:$T$495))-(ROW('CASE MASTER'!#REF!)-1)))+1)+(7-INDEX('CASE MASTER'!$AB$2:$AB$495,(SUMPRODUCT((('CASE MASTER'!$T$2:$T$495=2)*('CASE MASTER'!$AA$2:$AA$495&lt;=9)*('CASE MASTER'!$AC$2:$AC$495&gt;=9)*('CASE MASTER'!$AB$2:$AB$495&lt;=7)*('CASE MASTER'!$AD$2:$AD$495&gt;=7))*ROW('CASE MASTER'!$T$2:$T$495))-(ROW('CASE MASTER'!#REF!)-1))))+1)))-1)*50+1,50))&amp;"_"&amp;INDEX('CASE MASTER'!$Q$2:$Q$495,(SUMPRODUCT((('CASE MASTER'!$T$2:$T$495=2)*('CASE MASTER'!$AA$2:$AA$495&lt;=9)*('CASE MASTER'!$AC$2:$AC$495&gt;=9)*('CASE MASTER'!$AB$2:$AB$495&lt;=7)*('CASE MASTER'!$AD$2:$AD$495&gt;=7))*ROW('CASE MASTER'!$T$2:$T$495))-(ROW('CASE MASTER'!#REF!)-1))),"")),"")</f>
        <v/>
      </c>
      <c r="I25" s="10" t="str">
        <f>IFERROR(IF(SUMPRODUCT((('CASE MASTER'!$T$2:$T$495=2)*('CASE MASTER'!$U$2:$U$495&lt;=9)*('CASE MASTER'!$W$2:$W$495&gt;=9)*('CASE MASTER'!$V$2:$V$495&lt;=8)*('CASE MASTER'!$X$2:$X$495&gt;=8))*ROW('CASE MASTER'!$T$2:$T$495))&gt;0,INDEX('CASE MASTER'!$Y$2:$Y$495,(SUMPRODUCT((('CASE MASTER'!$T$2:$T$495=2)*('CASE MASTER'!$U$2:$U$495&lt;=9)*('CASE MASTER'!$W$2:$W$495&gt;=9)*('CASE MASTER'!$V$2:$V$495&lt;=8)*('CASE MASTER'!$X$2:$X$495&gt;=8))*ROW('CASE MASTER'!$T$2:$T$495))-(ROW('CASE MASTER'!#REF!)-1)))&amp;TRIM(MID(SUBSTITUTE(SUBSTITUTE(INDEX('CASE MASTER'!$N$2:$N$495,(SUMPRODUCT((('CASE MASTER'!$T$2:$T$495=2)*('CASE MASTER'!$U$2:$U$495&lt;=9)*('CASE MASTER'!$W$2:$W$495&gt;=9)*('CASE MASTER'!$V$2:$V$495&lt;=8)*('CASE MASTER'!$X$2:$X$495&gt;=8))*ROW('CASE MASTER'!$T$2:$T$495))-(ROW('CASE MASTER'!#REF!)-1))),":",","),",",REPT(" ",50)),((((9-INDEX('CASE MASTER'!$U$2:$U$495,(SUMPRODUCT((('CASE MASTER'!$T$2:$T$495=2)*('CASE MASTER'!$U$2:$U$495&lt;=9)*('CASE MASTER'!$W$2:$W$495&gt;=9)*('CASE MASTER'!$V$2:$V$495&lt;=8)*('CASE MASTER'!$X$2:$X$495&gt;=8))*ROW('CASE MASTER'!$T$2:$T$495))-(ROW('CASE MASTER'!#REF!)-1))))*(INDEX('CASE MASTER'!$X$2:$X$495,(SUMPRODUCT((('CASE MASTER'!$T$2:$T$495=2)*('CASE MASTER'!$U$2:$U$495&lt;=9)*('CASE MASTER'!$W$2:$W$495&gt;=9)*('CASE MASTER'!$V$2:$V$495&lt;=8)*('CASE MASTER'!$X$2:$X$495&gt;=8))*ROW('CASE MASTER'!$T$2:$T$495))-(ROW('CASE MASTER'!#REF!)-1)))-INDEX('CASE MASTER'!$V$2:$V$495,(SUMPRODUCT((('CASE MASTER'!$T$2:$T$495=2)*('CASE MASTER'!$U$2:$U$495&lt;=9)*('CASE MASTER'!$W$2:$W$495&gt;=9)*('CASE MASTER'!$V$2:$V$495&lt;=8)*('CASE MASTER'!$X$2:$X$495&gt;=8))*ROW('CASE MASTER'!$T$2:$T$495))-(ROW('CASE MASTER'!#REF!)-1)))+1)+(8-INDEX('CASE MASTER'!$V$2:$V$495,(SUMPRODUCT((('CASE MASTER'!$T$2:$T$495=2)*('CASE MASTER'!$U$2:$U$495&lt;=9)*('CASE MASTER'!$W$2:$W$495&gt;=9)*('CASE MASTER'!$V$2:$V$495&lt;=8)*('CASE MASTER'!$X$2:$X$495&gt;=8))*ROW('CASE MASTER'!$T$2:$T$495))-(ROW('CASE MASTER'!#REF!)-1))))+1))-1)*50+1,50))&amp;"_"&amp;INDEX('CASE MASTER'!$Q$2:$Q$495,(SUMPRODUCT((('CASE MASTER'!$T$2:$T$495=2)*('CASE MASTER'!$U$2:$U$495&lt;=9)*('CASE MASTER'!$W$2:$W$495&gt;=9)*('CASE MASTER'!$V$2:$V$495&lt;=8)*('CASE MASTER'!$X$2:$X$495&gt;=8))*ROW('CASE MASTER'!$T$2:$T$495))-(ROW('CASE MASTER'!#REF!)-1))),IF(SUMPRODUCT((('CASE MASTER'!$T$2:$T$495=2)*('CASE MASTER'!$AA$2:$AA$495&lt;=9)*('CASE MASTER'!$AC$2:$AC$495&gt;=9)*('CASE MASTER'!$AB$2:$AB$495&lt;=8)*('CASE MASTER'!$AD$2:$AD$495&gt;=8))*ROW('CASE MASTER'!$T$2:$T$495))&gt;0,INDEX('CASE MASTER'!$Y$2:$Y$495,(SUMPRODUCT((('CASE MASTER'!$T$2:$T$495=2)*('CASE MASTER'!$AA$2:$AA$495&lt;=9)*('CASE MASTER'!$AC$2:$AC$495&gt;=9)*('CASE MASTER'!$AB$2:$AB$495&lt;=8)*('CASE MASTER'!$AD$2:$AD$495&gt;=8))*ROW('CASE MASTER'!$T$2:$T$495))-(ROW('CASE MASTER'!#REF!)-1)))&amp;TRIM(MID(SUBSTITUTE(SUBSTITUTE(INDEX('CASE MASTER'!$N$2:$N$495,(SUMPRODUCT((('CASE MASTER'!$T$2:$T$495=2)*('CASE MASTER'!$AA$2:$AA$495&lt;=9)*('CASE MASTER'!$AC$2:$AC$495&gt;=9)*('CASE MASTER'!$AB$2:$AB$495&lt;=8)*('CASE MASTER'!$AD$2:$AD$495&gt;=8))*ROW('CASE MASTER'!$T$2:$T$495))-(ROW('CASE MASTER'!#REF!)-1))),":",","),",",REPT(" ",50)),(((INDEX('CASE MASTER'!$Z$2:$Z$495,(SUMPRODUCT((('CASE MASTER'!$T$2:$T$495=2)*('CASE MASTER'!$AA$2:$AA$495&lt;=9)*('CASE MASTER'!$AC$2:$AC$495&gt;=9)*('CASE MASTER'!$AB$2:$AB$495&lt;=8)*('CASE MASTER'!$AD$2:$AD$495&gt;=8))*ROW('CASE MASTER'!$T$2:$T$495))-(ROW('CASE MASTER'!#REF!)-1)))+((9-INDEX('CASE MASTER'!$AA$2:$AA$495,(SUMPRODUCT((('CASE MASTER'!$T$2:$T$495=2)*('CASE MASTER'!$AA$2:$AA$495&lt;=9)*('CASE MASTER'!$AC$2:$AC$495&gt;=9)*('CASE MASTER'!$AB$2:$AB$495&lt;=8)*('CASE MASTER'!$AD$2:$AD$495&gt;=8))*ROW('CASE MASTER'!$T$2:$T$495))-(ROW('CASE MASTER'!#REF!)-1))))*(INDEX('CASE MASTER'!$AD$2:$AD$495,(SUMPRODUCT((('CASE MASTER'!$T$2:$T$495=2)*('CASE MASTER'!$AA$2:$AA$495&lt;=9)*('CASE MASTER'!$AC$2:$AC$495&gt;=9)*('CASE MASTER'!$AB$2:$AB$495&lt;=8)*('CASE MASTER'!$AD$2:$AD$495&gt;=8))*ROW('CASE MASTER'!$T$2:$T$495))-(ROW('CASE MASTER'!#REF!)-1)))-INDEX('CASE MASTER'!$AB$2:$AB$495,(SUMPRODUCT((('CASE MASTER'!$T$2:$T$495=2)*('CASE MASTER'!$AA$2:$AA$495&lt;=9)*('CASE MASTER'!$AC$2:$AC$495&gt;=9)*('CASE MASTER'!$AB$2:$AB$495&lt;=8)*('CASE MASTER'!$AD$2:$AD$495&gt;=8))*ROW('CASE MASTER'!$T$2:$T$495))-(ROW('CASE MASTER'!#REF!)-1)))+1)+(8-INDEX('CASE MASTER'!$AB$2:$AB$495,(SUMPRODUCT((('CASE MASTER'!$T$2:$T$495=2)*('CASE MASTER'!$AA$2:$AA$495&lt;=9)*('CASE MASTER'!$AC$2:$AC$495&gt;=9)*('CASE MASTER'!$AB$2:$AB$495&lt;=8)*('CASE MASTER'!$AD$2:$AD$495&gt;=8))*ROW('CASE MASTER'!$T$2:$T$495))-(ROW('CASE MASTER'!#REF!)-1))))+1)))-1)*50+1,50))&amp;"_"&amp;INDEX('CASE MASTER'!$Q$2:$Q$495,(SUMPRODUCT((('CASE MASTER'!$T$2:$T$495=2)*('CASE MASTER'!$AA$2:$AA$495&lt;=9)*('CASE MASTER'!$AC$2:$AC$495&gt;=9)*('CASE MASTER'!$AB$2:$AB$495&lt;=8)*('CASE MASTER'!$AD$2:$AD$495&gt;=8))*ROW('CASE MASTER'!$T$2:$T$495))-(ROW('CASE MASTER'!#REF!)-1))),"")),"")</f>
        <v/>
      </c>
      <c r="J25" s="10" t="str">
        <f>IFERROR(IF(SUMPRODUCT((('CASE MASTER'!$T$2:$T$495=2)*('CASE MASTER'!$U$2:$U$495&lt;=9)*('CASE MASTER'!$W$2:$W$495&gt;=9)*('CASE MASTER'!$V$2:$V$495&lt;=9)*('CASE MASTER'!$X$2:$X$495&gt;=9))*ROW('CASE MASTER'!$T$2:$T$495))&gt;0,INDEX('CASE MASTER'!$Y$2:$Y$495,(SUMPRODUCT((('CASE MASTER'!$T$2:$T$495=2)*('CASE MASTER'!$U$2:$U$495&lt;=9)*('CASE MASTER'!$W$2:$W$495&gt;=9)*('CASE MASTER'!$V$2:$V$495&lt;=9)*('CASE MASTER'!$X$2:$X$495&gt;=9))*ROW('CASE MASTER'!$T$2:$T$495))-(ROW('CASE MASTER'!#REF!)-1)))&amp;TRIM(MID(SUBSTITUTE(SUBSTITUTE(INDEX('CASE MASTER'!$N$2:$N$495,(SUMPRODUCT((('CASE MASTER'!$T$2:$T$495=2)*('CASE MASTER'!$U$2:$U$495&lt;=9)*('CASE MASTER'!$W$2:$W$495&gt;=9)*('CASE MASTER'!$V$2:$V$495&lt;=9)*('CASE MASTER'!$X$2:$X$495&gt;=9))*ROW('CASE MASTER'!$T$2:$T$495))-(ROW('CASE MASTER'!#REF!)-1))),":",","),",",REPT(" ",50)),((((9-INDEX('CASE MASTER'!$U$2:$U$495,(SUMPRODUCT((('CASE MASTER'!$T$2:$T$495=2)*('CASE MASTER'!$U$2:$U$495&lt;=9)*('CASE MASTER'!$W$2:$W$495&gt;=9)*('CASE MASTER'!$V$2:$V$495&lt;=9)*('CASE MASTER'!$X$2:$X$495&gt;=9))*ROW('CASE MASTER'!$T$2:$T$495))-(ROW('CASE MASTER'!#REF!)-1))))*(INDEX('CASE MASTER'!$X$2:$X$495,(SUMPRODUCT((('CASE MASTER'!$T$2:$T$495=2)*('CASE MASTER'!$U$2:$U$495&lt;=9)*('CASE MASTER'!$W$2:$W$495&gt;=9)*('CASE MASTER'!$V$2:$V$495&lt;=9)*('CASE MASTER'!$X$2:$X$495&gt;=9))*ROW('CASE MASTER'!$T$2:$T$495))-(ROW('CASE MASTER'!#REF!)-1)))-INDEX('CASE MASTER'!$V$2:$V$495,(SUMPRODUCT((('CASE MASTER'!$T$2:$T$495=2)*('CASE MASTER'!$U$2:$U$495&lt;=9)*('CASE MASTER'!$W$2:$W$495&gt;=9)*('CASE MASTER'!$V$2:$V$495&lt;=9)*('CASE MASTER'!$X$2:$X$495&gt;=9))*ROW('CASE MASTER'!$T$2:$T$495))-(ROW('CASE MASTER'!#REF!)-1)))+1)+(9-INDEX('CASE MASTER'!$V$2:$V$495,(SUMPRODUCT((('CASE MASTER'!$T$2:$T$495=2)*('CASE MASTER'!$U$2:$U$495&lt;=9)*('CASE MASTER'!$W$2:$W$495&gt;=9)*('CASE MASTER'!$V$2:$V$495&lt;=9)*('CASE MASTER'!$X$2:$X$495&gt;=9))*ROW('CASE MASTER'!$T$2:$T$495))-(ROW('CASE MASTER'!#REF!)-1))))+1))-1)*50+1,50))&amp;"_"&amp;INDEX('CASE MASTER'!$Q$2:$Q$495,(SUMPRODUCT((('CASE MASTER'!$T$2:$T$495=2)*('CASE MASTER'!$U$2:$U$495&lt;=9)*('CASE MASTER'!$W$2:$W$495&gt;=9)*('CASE MASTER'!$V$2:$V$495&lt;=9)*('CASE MASTER'!$X$2:$X$495&gt;=9))*ROW('CASE MASTER'!$T$2:$T$495))-(ROW('CASE MASTER'!#REF!)-1))),IF(SUMPRODUCT((('CASE MASTER'!$T$2:$T$495=2)*('CASE MASTER'!$AA$2:$AA$495&lt;=9)*('CASE MASTER'!$AC$2:$AC$495&gt;=9)*('CASE MASTER'!$AB$2:$AB$495&lt;=9)*('CASE MASTER'!$AD$2:$AD$495&gt;=9))*ROW('CASE MASTER'!$T$2:$T$495))&gt;0,INDEX('CASE MASTER'!$Y$2:$Y$495,(SUMPRODUCT((('CASE MASTER'!$T$2:$T$495=2)*('CASE MASTER'!$AA$2:$AA$495&lt;=9)*('CASE MASTER'!$AC$2:$AC$495&gt;=9)*('CASE MASTER'!$AB$2:$AB$495&lt;=9)*('CASE MASTER'!$AD$2:$AD$495&gt;=9))*ROW('CASE MASTER'!$T$2:$T$495))-(ROW('CASE MASTER'!#REF!)-1)))&amp;TRIM(MID(SUBSTITUTE(SUBSTITUTE(INDEX('CASE MASTER'!$N$2:$N$495,(SUMPRODUCT((('CASE MASTER'!$T$2:$T$495=2)*('CASE MASTER'!$AA$2:$AA$495&lt;=9)*('CASE MASTER'!$AC$2:$AC$495&gt;=9)*('CASE MASTER'!$AB$2:$AB$495&lt;=9)*('CASE MASTER'!$AD$2:$AD$495&gt;=9))*ROW('CASE MASTER'!$T$2:$T$495))-(ROW('CASE MASTER'!#REF!)-1))),":",","),",",REPT(" ",50)),(((INDEX('CASE MASTER'!$Z$2:$Z$495,(SUMPRODUCT((('CASE MASTER'!$T$2:$T$495=2)*('CASE MASTER'!$AA$2:$AA$495&lt;=9)*('CASE MASTER'!$AC$2:$AC$495&gt;=9)*('CASE MASTER'!$AB$2:$AB$495&lt;=9)*('CASE MASTER'!$AD$2:$AD$495&gt;=9))*ROW('CASE MASTER'!$T$2:$T$495))-(ROW('CASE MASTER'!#REF!)-1)))+((9-INDEX('CASE MASTER'!$AA$2:$AA$495,(SUMPRODUCT((('CASE MASTER'!$T$2:$T$495=2)*('CASE MASTER'!$AA$2:$AA$495&lt;=9)*('CASE MASTER'!$AC$2:$AC$495&gt;=9)*('CASE MASTER'!$AB$2:$AB$495&lt;=9)*('CASE MASTER'!$AD$2:$AD$495&gt;=9))*ROW('CASE MASTER'!$T$2:$T$495))-(ROW('CASE MASTER'!#REF!)-1))))*(INDEX('CASE MASTER'!$AD$2:$AD$495,(SUMPRODUCT((('CASE MASTER'!$T$2:$T$495=2)*('CASE MASTER'!$AA$2:$AA$495&lt;=9)*('CASE MASTER'!$AC$2:$AC$495&gt;=9)*('CASE MASTER'!$AB$2:$AB$495&lt;=9)*('CASE MASTER'!$AD$2:$AD$495&gt;=9))*ROW('CASE MASTER'!$T$2:$T$495))-(ROW('CASE MASTER'!#REF!)-1)))-INDEX('CASE MASTER'!$AB$2:$AB$495,(SUMPRODUCT((('CASE MASTER'!$T$2:$T$495=2)*('CASE MASTER'!$AA$2:$AA$495&lt;=9)*('CASE MASTER'!$AC$2:$AC$495&gt;=9)*('CASE MASTER'!$AB$2:$AB$495&lt;=9)*('CASE MASTER'!$AD$2:$AD$495&gt;=9))*ROW('CASE MASTER'!$T$2:$T$495))-(ROW('CASE MASTER'!#REF!)-1)))+1)+(9-INDEX('CASE MASTER'!$AB$2:$AB$495,(SUMPRODUCT((('CASE MASTER'!$T$2:$T$495=2)*('CASE MASTER'!$AA$2:$AA$495&lt;=9)*('CASE MASTER'!$AC$2:$AC$495&gt;=9)*('CASE MASTER'!$AB$2:$AB$495&lt;=9)*('CASE MASTER'!$AD$2:$AD$495&gt;=9))*ROW('CASE MASTER'!$T$2:$T$495))-(ROW('CASE MASTER'!#REF!)-1))))+1)))-1)*50+1,50))&amp;"_"&amp;INDEX('CASE MASTER'!$Q$2:$Q$495,(SUMPRODUCT((('CASE MASTER'!$T$2:$T$495=2)*('CASE MASTER'!$AA$2:$AA$495&lt;=9)*('CASE MASTER'!$AC$2:$AC$495&gt;=9)*('CASE MASTER'!$AB$2:$AB$495&lt;=9)*('CASE MASTER'!$AD$2:$AD$495&gt;=9))*ROW('CASE MASTER'!$T$2:$T$495))-(ROW('CASE MASTER'!#REF!)-1))),"")),"")</f>
        <v/>
      </c>
      <c r="K25" s="10" t="str">
        <f>IFERROR(IF(SUMPRODUCT((('CASE MASTER'!$T$2:$T$495=2)*('CASE MASTER'!$U$2:$U$495&lt;=9)*('CASE MASTER'!$W$2:$W$495&gt;=9)*('CASE MASTER'!$V$2:$V$495&lt;=10)*('CASE MASTER'!$X$2:$X$495&gt;=10))*ROW('CASE MASTER'!$T$2:$T$495))&gt;0,INDEX('CASE MASTER'!$Y$2:$Y$495,(SUMPRODUCT((('CASE MASTER'!$T$2:$T$495=2)*('CASE MASTER'!$U$2:$U$495&lt;=9)*('CASE MASTER'!$W$2:$W$495&gt;=9)*('CASE MASTER'!$V$2:$V$495&lt;=10)*('CASE MASTER'!$X$2:$X$495&gt;=10))*ROW('CASE MASTER'!$T$2:$T$495))-(ROW('CASE MASTER'!#REF!)-1)))&amp;TRIM(MID(SUBSTITUTE(SUBSTITUTE(INDEX('CASE MASTER'!$N$2:$N$495,(SUMPRODUCT((('CASE MASTER'!$T$2:$T$495=2)*('CASE MASTER'!$U$2:$U$495&lt;=9)*('CASE MASTER'!$W$2:$W$495&gt;=9)*('CASE MASTER'!$V$2:$V$495&lt;=10)*('CASE MASTER'!$X$2:$X$495&gt;=10))*ROW('CASE MASTER'!$T$2:$T$495))-(ROW('CASE MASTER'!#REF!)-1))),":",","),",",REPT(" ",50)),((((9-INDEX('CASE MASTER'!$U$2:$U$495,(SUMPRODUCT((('CASE MASTER'!$T$2:$T$495=2)*('CASE MASTER'!$U$2:$U$495&lt;=9)*('CASE MASTER'!$W$2:$W$495&gt;=9)*('CASE MASTER'!$V$2:$V$495&lt;=10)*('CASE MASTER'!$X$2:$X$495&gt;=10))*ROW('CASE MASTER'!$T$2:$T$495))-(ROW('CASE MASTER'!#REF!)-1))))*(INDEX('CASE MASTER'!$X$2:$X$495,(SUMPRODUCT((('CASE MASTER'!$T$2:$T$495=2)*('CASE MASTER'!$U$2:$U$495&lt;=9)*('CASE MASTER'!$W$2:$W$495&gt;=9)*('CASE MASTER'!$V$2:$V$495&lt;=10)*('CASE MASTER'!$X$2:$X$495&gt;=10))*ROW('CASE MASTER'!$T$2:$T$495))-(ROW('CASE MASTER'!#REF!)-1)))-INDEX('CASE MASTER'!$V$2:$V$495,(SUMPRODUCT((('CASE MASTER'!$T$2:$T$495=2)*('CASE MASTER'!$U$2:$U$495&lt;=9)*('CASE MASTER'!$W$2:$W$495&gt;=9)*('CASE MASTER'!$V$2:$V$495&lt;=10)*('CASE MASTER'!$X$2:$X$495&gt;=10))*ROW('CASE MASTER'!$T$2:$T$495))-(ROW('CASE MASTER'!#REF!)-1)))+1)+(10-INDEX('CASE MASTER'!$V$2:$V$495,(SUMPRODUCT((('CASE MASTER'!$T$2:$T$495=2)*('CASE MASTER'!$U$2:$U$495&lt;=9)*('CASE MASTER'!$W$2:$W$495&gt;=9)*('CASE MASTER'!$V$2:$V$495&lt;=10)*('CASE MASTER'!$X$2:$X$495&gt;=10))*ROW('CASE MASTER'!$T$2:$T$495))-(ROW('CASE MASTER'!#REF!)-1))))+1))-1)*50+1,50))&amp;"_"&amp;INDEX('CASE MASTER'!$Q$2:$Q$495,(SUMPRODUCT((('CASE MASTER'!$T$2:$T$495=2)*('CASE MASTER'!$U$2:$U$495&lt;=9)*('CASE MASTER'!$W$2:$W$495&gt;=9)*('CASE MASTER'!$V$2:$V$495&lt;=10)*('CASE MASTER'!$X$2:$X$495&gt;=10))*ROW('CASE MASTER'!$T$2:$T$495))-(ROW('CASE MASTER'!#REF!)-1))),IF(SUMPRODUCT((('CASE MASTER'!$T$2:$T$495=2)*('CASE MASTER'!$AA$2:$AA$495&lt;=9)*('CASE MASTER'!$AC$2:$AC$495&gt;=9)*('CASE MASTER'!$AB$2:$AB$495&lt;=10)*('CASE MASTER'!$AD$2:$AD$495&gt;=10))*ROW('CASE MASTER'!$T$2:$T$495))&gt;0,INDEX('CASE MASTER'!$Y$2:$Y$495,(SUMPRODUCT((('CASE MASTER'!$T$2:$T$495=2)*('CASE MASTER'!$AA$2:$AA$495&lt;=9)*('CASE MASTER'!$AC$2:$AC$495&gt;=9)*('CASE MASTER'!$AB$2:$AB$495&lt;=10)*('CASE MASTER'!$AD$2:$AD$495&gt;=10))*ROW('CASE MASTER'!$T$2:$T$495))-(ROW('CASE MASTER'!#REF!)-1)))&amp;TRIM(MID(SUBSTITUTE(SUBSTITUTE(INDEX('CASE MASTER'!$N$2:$N$495,(SUMPRODUCT((('CASE MASTER'!$T$2:$T$495=2)*('CASE MASTER'!$AA$2:$AA$495&lt;=9)*('CASE MASTER'!$AC$2:$AC$495&gt;=9)*('CASE MASTER'!$AB$2:$AB$495&lt;=10)*('CASE MASTER'!$AD$2:$AD$495&gt;=10))*ROW('CASE MASTER'!$T$2:$T$495))-(ROW('CASE MASTER'!#REF!)-1))),":",","),",",REPT(" ",50)),(((INDEX('CASE MASTER'!$Z$2:$Z$495,(SUMPRODUCT((('CASE MASTER'!$T$2:$T$495=2)*('CASE MASTER'!$AA$2:$AA$495&lt;=9)*('CASE MASTER'!$AC$2:$AC$495&gt;=9)*('CASE MASTER'!$AB$2:$AB$495&lt;=10)*('CASE MASTER'!$AD$2:$AD$495&gt;=10))*ROW('CASE MASTER'!$T$2:$T$495))-(ROW('CASE MASTER'!#REF!)-1)))+((9-INDEX('CASE MASTER'!$AA$2:$AA$495,(SUMPRODUCT((('CASE MASTER'!$T$2:$T$495=2)*('CASE MASTER'!$AA$2:$AA$495&lt;=9)*('CASE MASTER'!$AC$2:$AC$495&gt;=9)*('CASE MASTER'!$AB$2:$AB$495&lt;=10)*('CASE MASTER'!$AD$2:$AD$495&gt;=10))*ROW('CASE MASTER'!$T$2:$T$495))-(ROW('CASE MASTER'!#REF!)-1))))*(INDEX('CASE MASTER'!$AD$2:$AD$495,(SUMPRODUCT((('CASE MASTER'!$T$2:$T$495=2)*('CASE MASTER'!$AA$2:$AA$495&lt;=9)*('CASE MASTER'!$AC$2:$AC$495&gt;=9)*('CASE MASTER'!$AB$2:$AB$495&lt;=10)*('CASE MASTER'!$AD$2:$AD$495&gt;=10))*ROW('CASE MASTER'!$T$2:$T$495))-(ROW('CASE MASTER'!#REF!)-1)))-INDEX('CASE MASTER'!$AB$2:$AB$495,(SUMPRODUCT((('CASE MASTER'!$T$2:$T$495=2)*('CASE MASTER'!$AA$2:$AA$495&lt;=9)*('CASE MASTER'!$AC$2:$AC$495&gt;=9)*('CASE MASTER'!$AB$2:$AB$495&lt;=10)*('CASE MASTER'!$AD$2:$AD$495&gt;=10))*ROW('CASE MASTER'!$T$2:$T$495))-(ROW('CASE MASTER'!#REF!)-1)))+1)+(10-INDEX('CASE MASTER'!$AB$2:$AB$495,(SUMPRODUCT((('CASE MASTER'!$T$2:$T$495=2)*('CASE MASTER'!$AA$2:$AA$495&lt;=9)*('CASE MASTER'!$AC$2:$AC$495&gt;=9)*('CASE MASTER'!$AB$2:$AB$495&lt;=10)*('CASE MASTER'!$AD$2:$AD$495&gt;=10))*ROW('CASE MASTER'!$T$2:$T$495))-(ROW('CASE MASTER'!#REF!)-1))))+1)))-1)*50+1,50))&amp;"_"&amp;INDEX('CASE MASTER'!$Q$2:$Q$495,(SUMPRODUCT((('CASE MASTER'!$T$2:$T$495=2)*('CASE MASTER'!$AA$2:$AA$495&lt;=9)*('CASE MASTER'!$AC$2:$AC$495&gt;=9)*('CASE MASTER'!$AB$2:$AB$495&lt;=10)*('CASE MASTER'!$AD$2:$AD$495&gt;=10))*ROW('CASE MASTER'!$T$2:$T$495))-(ROW('CASE MASTER'!#REF!)-1))),"")),"")</f>
        <v/>
      </c>
    </row>
    <row r="26" spans="1:11" ht="15" customHeight="1" x14ac:dyDescent="0.35">
      <c r="A26" s="8" t="s">
        <v>82</v>
      </c>
      <c r="B26" s="10" t="str">
        <f>IFERROR(IF(SUMPRODUCT((('CASE MASTER'!$T$2:$T$495=2)*('CASE MASTER'!$U$2:$U$495&lt;=10)*('CASE MASTER'!$W$2:$W$495&gt;=10)*('CASE MASTER'!$V$2:$V$495&lt;=1)*('CASE MASTER'!$X$2:$X$495&gt;=1))*ROW('CASE MASTER'!$T$2:$T$495))&gt;0,INDEX('CASE MASTER'!$Y$2:$Y$495,(SUMPRODUCT((('CASE MASTER'!$T$2:$T$495=2)*('CASE MASTER'!$U$2:$U$495&lt;=10)*('CASE MASTER'!$W$2:$W$495&gt;=10)*('CASE MASTER'!$V$2:$V$495&lt;=1)*('CASE MASTER'!$X$2:$X$495&gt;=1))*ROW('CASE MASTER'!$T$2:$T$495))-(ROW('CASE MASTER'!#REF!)-1)))&amp;TRIM(MID(SUBSTITUTE(SUBSTITUTE(INDEX('CASE MASTER'!$N$2:$N$495,(SUMPRODUCT((('CASE MASTER'!$T$2:$T$495=2)*('CASE MASTER'!$U$2:$U$495&lt;=10)*('CASE MASTER'!$W$2:$W$495&gt;=10)*('CASE MASTER'!$V$2:$V$495&lt;=1)*('CASE MASTER'!$X$2:$X$495&gt;=1))*ROW('CASE MASTER'!$T$2:$T$495))-(ROW('CASE MASTER'!#REF!)-1))),":",","),",",REPT(" ",50)),((((10-INDEX('CASE MASTER'!$U$2:$U$495,(SUMPRODUCT((('CASE MASTER'!$T$2:$T$495=2)*('CASE MASTER'!$U$2:$U$495&lt;=10)*('CASE MASTER'!$W$2:$W$495&gt;=10)*('CASE MASTER'!$V$2:$V$495&lt;=1)*('CASE MASTER'!$X$2:$X$495&gt;=1))*ROW('CASE MASTER'!$T$2:$T$495))-(ROW('CASE MASTER'!#REF!)-1))))*(INDEX('CASE MASTER'!$X$2:$X$495,(SUMPRODUCT((('CASE MASTER'!$T$2:$T$495=2)*('CASE MASTER'!$U$2:$U$495&lt;=10)*('CASE MASTER'!$W$2:$W$495&gt;=10)*('CASE MASTER'!$V$2:$V$495&lt;=1)*('CASE MASTER'!$X$2:$X$495&gt;=1))*ROW('CASE MASTER'!$T$2:$T$495))-(ROW('CASE MASTER'!#REF!)-1)))-INDEX('CASE MASTER'!$V$2:$V$495,(SUMPRODUCT((('CASE MASTER'!$T$2:$T$495=2)*('CASE MASTER'!$U$2:$U$495&lt;=10)*('CASE MASTER'!$W$2:$W$495&gt;=10)*('CASE MASTER'!$V$2:$V$495&lt;=1)*('CASE MASTER'!$X$2:$X$495&gt;=1))*ROW('CASE MASTER'!$T$2:$T$495))-(ROW('CASE MASTER'!#REF!)-1)))+1)+(1-INDEX('CASE MASTER'!$V$2:$V$495,(SUMPRODUCT((('CASE MASTER'!$T$2:$T$495=2)*('CASE MASTER'!$U$2:$U$495&lt;=10)*('CASE MASTER'!$W$2:$W$495&gt;=10)*('CASE MASTER'!$V$2:$V$495&lt;=1)*('CASE MASTER'!$X$2:$X$495&gt;=1))*ROW('CASE MASTER'!$T$2:$T$495))-(ROW('CASE MASTER'!#REF!)-1))))+1))-1)*50+1,50))&amp;"_"&amp;INDEX('CASE MASTER'!$Q$2:$Q$495,(SUMPRODUCT((('CASE MASTER'!$T$2:$T$495=2)*('CASE MASTER'!$U$2:$U$495&lt;=10)*('CASE MASTER'!$W$2:$W$495&gt;=10)*('CASE MASTER'!$V$2:$V$495&lt;=1)*('CASE MASTER'!$X$2:$X$495&gt;=1))*ROW('CASE MASTER'!$T$2:$T$495))-(ROW('CASE MASTER'!#REF!)-1))),IF(SUMPRODUCT((('CASE MASTER'!$T$2:$T$495=2)*('CASE MASTER'!$AA$2:$AA$495&lt;=10)*('CASE MASTER'!$AC$2:$AC$495&gt;=10)*('CASE MASTER'!$AB$2:$AB$495&lt;=1)*('CASE MASTER'!$AD$2:$AD$495&gt;=1))*ROW('CASE MASTER'!$T$2:$T$495))&gt;0,INDEX('CASE MASTER'!$Y$2:$Y$495,(SUMPRODUCT((('CASE MASTER'!$T$2:$T$495=2)*('CASE MASTER'!$AA$2:$AA$495&lt;=10)*('CASE MASTER'!$AC$2:$AC$495&gt;=10)*('CASE MASTER'!$AB$2:$AB$495&lt;=1)*('CASE MASTER'!$AD$2:$AD$495&gt;=1))*ROW('CASE MASTER'!$T$2:$T$495))-(ROW('CASE MASTER'!#REF!)-1)))&amp;TRIM(MID(SUBSTITUTE(SUBSTITUTE(INDEX('CASE MASTER'!$N$2:$N$495,(SUMPRODUCT((('CASE MASTER'!$T$2:$T$495=2)*('CASE MASTER'!$AA$2:$AA$495&lt;=10)*('CASE MASTER'!$AC$2:$AC$495&gt;=10)*('CASE MASTER'!$AB$2:$AB$495&lt;=1)*('CASE MASTER'!$AD$2:$AD$495&gt;=1))*ROW('CASE MASTER'!$T$2:$T$495))-(ROW('CASE MASTER'!#REF!)-1))),":",","),",",REPT(" ",50)),(((INDEX('CASE MASTER'!$Z$2:$Z$495,(SUMPRODUCT((('CASE MASTER'!$T$2:$T$495=2)*('CASE MASTER'!$AA$2:$AA$495&lt;=10)*('CASE MASTER'!$AC$2:$AC$495&gt;=10)*('CASE MASTER'!$AB$2:$AB$495&lt;=1)*('CASE MASTER'!$AD$2:$AD$495&gt;=1))*ROW('CASE MASTER'!$T$2:$T$495))-(ROW('CASE MASTER'!#REF!)-1)))+((10-INDEX('CASE MASTER'!$AA$2:$AA$495,(SUMPRODUCT((('CASE MASTER'!$T$2:$T$495=2)*('CASE MASTER'!$AA$2:$AA$495&lt;=10)*('CASE MASTER'!$AC$2:$AC$495&gt;=10)*('CASE MASTER'!$AB$2:$AB$495&lt;=1)*('CASE MASTER'!$AD$2:$AD$495&gt;=1))*ROW('CASE MASTER'!$T$2:$T$495))-(ROW('CASE MASTER'!#REF!)-1))))*(INDEX('CASE MASTER'!$AD$2:$AD$495,(SUMPRODUCT((('CASE MASTER'!$T$2:$T$495=2)*('CASE MASTER'!$AA$2:$AA$495&lt;=10)*('CASE MASTER'!$AC$2:$AC$495&gt;=10)*('CASE MASTER'!$AB$2:$AB$495&lt;=1)*('CASE MASTER'!$AD$2:$AD$495&gt;=1))*ROW('CASE MASTER'!$T$2:$T$495))-(ROW('CASE MASTER'!#REF!)-1)))-INDEX('CASE MASTER'!$AB$2:$AB$495,(SUMPRODUCT((('CASE MASTER'!$T$2:$T$495=2)*('CASE MASTER'!$AA$2:$AA$495&lt;=10)*('CASE MASTER'!$AC$2:$AC$495&gt;=10)*('CASE MASTER'!$AB$2:$AB$495&lt;=1)*('CASE MASTER'!$AD$2:$AD$495&gt;=1))*ROW('CASE MASTER'!$T$2:$T$495))-(ROW('CASE MASTER'!#REF!)-1)))+1)+(1-INDEX('CASE MASTER'!$AB$2:$AB$495,(SUMPRODUCT((('CASE MASTER'!$T$2:$T$495=2)*('CASE MASTER'!$AA$2:$AA$495&lt;=10)*('CASE MASTER'!$AC$2:$AC$495&gt;=10)*('CASE MASTER'!$AB$2:$AB$495&lt;=1)*('CASE MASTER'!$AD$2:$AD$495&gt;=1))*ROW('CASE MASTER'!$T$2:$T$495))-(ROW('CASE MASTER'!#REF!)-1))))+1)))-1)*50+1,50))&amp;"_"&amp;INDEX('CASE MASTER'!$Q$2:$Q$495,(SUMPRODUCT((('CASE MASTER'!$T$2:$T$495=2)*('CASE MASTER'!$AA$2:$AA$495&lt;=10)*('CASE MASTER'!$AC$2:$AC$495&gt;=10)*('CASE MASTER'!$AB$2:$AB$495&lt;=1)*('CASE MASTER'!$AD$2:$AD$495&gt;=1))*ROW('CASE MASTER'!$T$2:$T$495))-(ROW('CASE MASTER'!#REF!)-1))),"")),"")</f>
        <v/>
      </c>
      <c r="C26" s="10" t="str">
        <f>IFERROR(IF(SUMPRODUCT((('CASE MASTER'!$T$2:$T$495=2)*('CASE MASTER'!$U$2:$U$495&lt;=10)*('CASE MASTER'!$W$2:$W$495&gt;=10)*('CASE MASTER'!$V$2:$V$495&lt;=2)*('CASE MASTER'!$X$2:$X$495&gt;=2))*ROW('CASE MASTER'!$T$2:$T$495))&gt;0,INDEX('CASE MASTER'!$Y$2:$Y$495,(SUMPRODUCT((('CASE MASTER'!$T$2:$T$495=2)*('CASE MASTER'!$U$2:$U$495&lt;=10)*('CASE MASTER'!$W$2:$W$495&gt;=10)*('CASE MASTER'!$V$2:$V$495&lt;=2)*('CASE MASTER'!$X$2:$X$495&gt;=2))*ROW('CASE MASTER'!$T$2:$T$495))-(ROW('CASE MASTER'!#REF!)-1)))&amp;TRIM(MID(SUBSTITUTE(SUBSTITUTE(INDEX('CASE MASTER'!$N$2:$N$495,(SUMPRODUCT((('CASE MASTER'!$T$2:$T$495=2)*('CASE MASTER'!$U$2:$U$495&lt;=10)*('CASE MASTER'!$W$2:$W$495&gt;=10)*('CASE MASTER'!$V$2:$V$495&lt;=2)*('CASE MASTER'!$X$2:$X$495&gt;=2))*ROW('CASE MASTER'!$T$2:$T$495))-(ROW('CASE MASTER'!#REF!)-1))),":",","),",",REPT(" ",50)),((((10-INDEX('CASE MASTER'!$U$2:$U$495,(SUMPRODUCT((('CASE MASTER'!$T$2:$T$495=2)*('CASE MASTER'!$U$2:$U$495&lt;=10)*('CASE MASTER'!$W$2:$W$495&gt;=10)*('CASE MASTER'!$V$2:$V$495&lt;=2)*('CASE MASTER'!$X$2:$X$495&gt;=2))*ROW('CASE MASTER'!$T$2:$T$495))-(ROW('CASE MASTER'!#REF!)-1))))*(INDEX('CASE MASTER'!$X$2:$X$495,(SUMPRODUCT((('CASE MASTER'!$T$2:$T$495=2)*('CASE MASTER'!$U$2:$U$495&lt;=10)*('CASE MASTER'!$W$2:$W$495&gt;=10)*('CASE MASTER'!$V$2:$V$495&lt;=2)*('CASE MASTER'!$X$2:$X$495&gt;=2))*ROW('CASE MASTER'!$T$2:$T$495))-(ROW('CASE MASTER'!#REF!)-1)))-INDEX('CASE MASTER'!$V$2:$V$495,(SUMPRODUCT((('CASE MASTER'!$T$2:$T$495=2)*('CASE MASTER'!$U$2:$U$495&lt;=10)*('CASE MASTER'!$W$2:$W$495&gt;=10)*('CASE MASTER'!$V$2:$V$495&lt;=2)*('CASE MASTER'!$X$2:$X$495&gt;=2))*ROW('CASE MASTER'!$T$2:$T$495))-(ROW('CASE MASTER'!#REF!)-1)))+1)+(2-INDEX('CASE MASTER'!$V$2:$V$495,(SUMPRODUCT((('CASE MASTER'!$T$2:$T$495=2)*('CASE MASTER'!$U$2:$U$495&lt;=10)*('CASE MASTER'!$W$2:$W$495&gt;=10)*('CASE MASTER'!$V$2:$V$495&lt;=2)*('CASE MASTER'!$X$2:$X$495&gt;=2))*ROW('CASE MASTER'!$T$2:$T$495))-(ROW('CASE MASTER'!#REF!)-1))))+1))-1)*50+1,50))&amp;"_"&amp;INDEX('CASE MASTER'!$Q$2:$Q$495,(SUMPRODUCT((('CASE MASTER'!$T$2:$T$495=2)*('CASE MASTER'!$U$2:$U$495&lt;=10)*('CASE MASTER'!$W$2:$W$495&gt;=10)*('CASE MASTER'!$V$2:$V$495&lt;=2)*('CASE MASTER'!$X$2:$X$495&gt;=2))*ROW('CASE MASTER'!$T$2:$T$495))-(ROW('CASE MASTER'!#REF!)-1))),IF(SUMPRODUCT((('CASE MASTER'!$T$2:$T$495=2)*('CASE MASTER'!$AA$2:$AA$495&lt;=10)*('CASE MASTER'!$AC$2:$AC$495&gt;=10)*('CASE MASTER'!$AB$2:$AB$495&lt;=2)*('CASE MASTER'!$AD$2:$AD$495&gt;=2))*ROW('CASE MASTER'!$T$2:$T$495))&gt;0,INDEX('CASE MASTER'!$Y$2:$Y$495,(SUMPRODUCT((('CASE MASTER'!$T$2:$T$495=2)*('CASE MASTER'!$AA$2:$AA$495&lt;=10)*('CASE MASTER'!$AC$2:$AC$495&gt;=10)*('CASE MASTER'!$AB$2:$AB$495&lt;=2)*('CASE MASTER'!$AD$2:$AD$495&gt;=2))*ROW('CASE MASTER'!$T$2:$T$495))-(ROW('CASE MASTER'!#REF!)-1)))&amp;TRIM(MID(SUBSTITUTE(SUBSTITUTE(INDEX('CASE MASTER'!$N$2:$N$495,(SUMPRODUCT((('CASE MASTER'!$T$2:$T$495=2)*('CASE MASTER'!$AA$2:$AA$495&lt;=10)*('CASE MASTER'!$AC$2:$AC$495&gt;=10)*('CASE MASTER'!$AB$2:$AB$495&lt;=2)*('CASE MASTER'!$AD$2:$AD$495&gt;=2))*ROW('CASE MASTER'!$T$2:$T$495))-(ROW('CASE MASTER'!#REF!)-1))),":",","),",",REPT(" ",50)),(((INDEX('CASE MASTER'!$Z$2:$Z$495,(SUMPRODUCT((('CASE MASTER'!$T$2:$T$495=2)*('CASE MASTER'!$AA$2:$AA$495&lt;=10)*('CASE MASTER'!$AC$2:$AC$495&gt;=10)*('CASE MASTER'!$AB$2:$AB$495&lt;=2)*('CASE MASTER'!$AD$2:$AD$495&gt;=2))*ROW('CASE MASTER'!$T$2:$T$495))-(ROW('CASE MASTER'!#REF!)-1)))+((10-INDEX('CASE MASTER'!$AA$2:$AA$495,(SUMPRODUCT((('CASE MASTER'!$T$2:$T$495=2)*('CASE MASTER'!$AA$2:$AA$495&lt;=10)*('CASE MASTER'!$AC$2:$AC$495&gt;=10)*('CASE MASTER'!$AB$2:$AB$495&lt;=2)*('CASE MASTER'!$AD$2:$AD$495&gt;=2))*ROW('CASE MASTER'!$T$2:$T$495))-(ROW('CASE MASTER'!#REF!)-1))))*(INDEX('CASE MASTER'!$AD$2:$AD$495,(SUMPRODUCT((('CASE MASTER'!$T$2:$T$495=2)*('CASE MASTER'!$AA$2:$AA$495&lt;=10)*('CASE MASTER'!$AC$2:$AC$495&gt;=10)*('CASE MASTER'!$AB$2:$AB$495&lt;=2)*('CASE MASTER'!$AD$2:$AD$495&gt;=2))*ROW('CASE MASTER'!$T$2:$T$495))-(ROW('CASE MASTER'!#REF!)-1)))-INDEX('CASE MASTER'!$AB$2:$AB$495,(SUMPRODUCT((('CASE MASTER'!$T$2:$T$495=2)*('CASE MASTER'!$AA$2:$AA$495&lt;=10)*('CASE MASTER'!$AC$2:$AC$495&gt;=10)*('CASE MASTER'!$AB$2:$AB$495&lt;=2)*('CASE MASTER'!$AD$2:$AD$495&gt;=2))*ROW('CASE MASTER'!$T$2:$T$495))-(ROW('CASE MASTER'!#REF!)-1)))+1)+(2-INDEX('CASE MASTER'!$AB$2:$AB$495,(SUMPRODUCT((('CASE MASTER'!$T$2:$T$495=2)*('CASE MASTER'!$AA$2:$AA$495&lt;=10)*('CASE MASTER'!$AC$2:$AC$495&gt;=10)*('CASE MASTER'!$AB$2:$AB$495&lt;=2)*('CASE MASTER'!$AD$2:$AD$495&gt;=2))*ROW('CASE MASTER'!$T$2:$T$495))-(ROW('CASE MASTER'!#REF!)-1))))+1)))-1)*50+1,50))&amp;"_"&amp;INDEX('CASE MASTER'!$Q$2:$Q$495,(SUMPRODUCT((('CASE MASTER'!$T$2:$T$495=2)*('CASE MASTER'!$AA$2:$AA$495&lt;=10)*('CASE MASTER'!$AC$2:$AC$495&gt;=10)*('CASE MASTER'!$AB$2:$AB$495&lt;=2)*('CASE MASTER'!$AD$2:$AD$495&gt;=2))*ROW('CASE MASTER'!$T$2:$T$495))-(ROW('CASE MASTER'!#REF!)-1))),"")),"")</f>
        <v/>
      </c>
      <c r="D26" s="10" t="str">
        <f>IFERROR(IF(SUMPRODUCT((('CASE MASTER'!$T$2:$T$495=2)*('CASE MASTER'!$U$2:$U$495&lt;=10)*('CASE MASTER'!$W$2:$W$495&gt;=10)*('CASE MASTER'!$V$2:$V$495&lt;=3)*('CASE MASTER'!$X$2:$X$495&gt;=3))*ROW('CASE MASTER'!$T$2:$T$495))&gt;0,INDEX('CASE MASTER'!$Y$2:$Y$495,(SUMPRODUCT((('CASE MASTER'!$T$2:$T$495=2)*('CASE MASTER'!$U$2:$U$495&lt;=10)*('CASE MASTER'!$W$2:$W$495&gt;=10)*('CASE MASTER'!$V$2:$V$495&lt;=3)*('CASE MASTER'!$X$2:$X$495&gt;=3))*ROW('CASE MASTER'!$T$2:$T$495))-(ROW('CASE MASTER'!#REF!)-1)))&amp;TRIM(MID(SUBSTITUTE(SUBSTITUTE(INDEX('CASE MASTER'!$N$2:$N$495,(SUMPRODUCT((('CASE MASTER'!$T$2:$T$495=2)*('CASE MASTER'!$U$2:$U$495&lt;=10)*('CASE MASTER'!$W$2:$W$495&gt;=10)*('CASE MASTER'!$V$2:$V$495&lt;=3)*('CASE MASTER'!$X$2:$X$495&gt;=3))*ROW('CASE MASTER'!$T$2:$T$495))-(ROW('CASE MASTER'!#REF!)-1))),":",","),",",REPT(" ",50)),((((10-INDEX('CASE MASTER'!$U$2:$U$495,(SUMPRODUCT((('CASE MASTER'!$T$2:$T$495=2)*('CASE MASTER'!$U$2:$U$495&lt;=10)*('CASE MASTER'!$W$2:$W$495&gt;=10)*('CASE MASTER'!$V$2:$V$495&lt;=3)*('CASE MASTER'!$X$2:$X$495&gt;=3))*ROW('CASE MASTER'!$T$2:$T$495))-(ROW('CASE MASTER'!#REF!)-1))))*(INDEX('CASE MASTER'!$X$2:$X$495,(SUMPRODUCT((('CASE MASTER'!$T$2:$T$495=2)*('CASE MASTER'!$U$2:$U$495&lt;=10)*('CASE MASTER'!$W$2:$W$495&gt;=10)*('CASE MASTER'!$V$2:$V$495&lt;=3)*('CASE MASTER'!$X$2:$X$495&gt;=3))*ROW('CASE MASTER'!$T$2:$T$495))-(ROW('CASE MASTER'!#REF!)-1)))-INDEX('CASE MASTER'!$V$2:$V$495,(SUMPRODUCT((('CASE MASTER'!$T$2:$T$495=2)*('CASE MASTER'!$U$2:$U$495&lt;=10)*('CASE MASTER'!$W$2:$W$495&gt;=10)*('CASE MASTER'!$V$2:$V$495&lt;=3)*('CASE MASTER'!$X$2:$X$495&gt;=3))*ROW('CASE MASTER'!$T$2:$T$495))-(ROW('CASE MASTER'!#REF!)-1)))+1)+(3-INDEX('CASE MASTER'!$V$2:$V$495,(SUMPRODUCT((('CASE MASTER'!$T$2:$T$495=2)*('CASE MASTER'!$U$2:$U$495&lt;=10)*('CASE MASTER'!$W$2:$W$495&gt;=10)*('CASE MASTER'!$V$2:$V$495&lt;=3)*('CASE MASTER'!$X$2:$X$495&gt;=3))*ROW('CASE MASTER'!$T$2:$T$495))-(ROW('CASE MASTER'!#REF!)-1))))+1))-1)*50+1,50))&amp;"_"&amp;INDEX('CASE MASTER'!$Q$2:$Q$495,(SUMPRODUCT((('CASE MASTER'!$T$2:$T$495=2)*('CASE MASTER'!$U$2:$U$495&lt;=10)*('CASE MASTER'!$W$2:$W$495&gt;=10)*('CASE MASTER'!$V$2:$V$495&lt;=3)*('CASE MASTER'!$X$2:$X$495&gt;=3))*ROW('CASE MASTER'!$T$2:$T$495))-(ROW('CASE MASTER'!#REF!)-1))),IF(SUMPRODUCT((('CASE MASTER'!$T$2:$T$495=2)*('CASE MASTER'!$AA$2:$AA$495&lt;=10)*('CASE MASTER'!$AC$2:$AC$495&gt;=10)*('CASE MASTER'!$AB$2:$AB$495&lt;=3)*('CASE MASTER'!$AD$2:$AD$495&gt;=3))*ROW('CASE MASTER'!$T$2:$T$495))&gt;0,INDEX('CASE MASTER'!$Y$2:$Y$495,(SUMPRODUCT((('CASE MASTER'!$T$2:$T$495=2)*('CASE MASTER'!$AA$2:$AA$495&lt;=10)*('CASE MASTER'!$AC$2:$AC$495&gt;=10)*('CASE MASTER'!$AB$2:$AB$495&lt;=3)*('CASE MASTER'!$AD$2:$AD$495&gt;=3))*ROW('CASE MASTER'!$T$2:$T$495))-(ROW('CASE MASTER'!#REF!)-1)))&amp;TRIM(MID(SUBSTITUTE(SUBSTITUTE(INDEX('CASE MASTER'!$N$2:$N$495,(SUMPRODUCT((('CASE MASTER'!$T$2:$T$495=2)*('CASE MASTER'!$AA$2:$AA$495&lt;=10)*('CASE MASTER'!$AC$2:$AC$495&gt;=10)*('CASE MASTER'!$AB$2:$AB$495&lt;=3)*('CASE MASTER'!$AD$2:$AD$495&gt;=3))*ROW('CASE MASTER'!$T$2:$T$495))-(ROW('CASE MASTER'!#REF!)-1))),":",","),",",REPT(" ",50)),(((INDEX('CASE MASTER'!$Z$2:$Z$495,(SUMPRODUCT((('CASE MASTER'!$T$2:$T$495=2)*('CASE MASTER'!$AA$2:$AA$495&lt;=10)*('CASE MASTER'!$AC$2:$AC$495&gt;=10)*('CASE MASTER'!$AB$2:$AB$495&lt;=3)*('CASE MASTER'!$AD$2:$AD$495&gt;=3))*ROW('CASE MASTER'!$T$2:$T$495))-(ROW('CASE MASTER'!#REF!)-1)))+((10-INDEX('CASE MASTER'!$AA$2:$AA$495,(SUMPRODUCT((('CASE MASTER'!$T$2:$T$495=2)*('CASE MASTER'!$AA$2:$AA$495&lt;=10)*('CASE MASTER'!$AC$2:$AC$495&gt;=10)*('CASE MASTER'!$AB$2:$AB$495&lt;=3)*('CASE MASTER'!$AD$2:$AD$495&gt;=3))*ROW('CASE MASTER'!$T$2:$T$495))-(ROW('CASE MASTER'!#REF!)-1))))*(INDEX('CASE MASTER'!$AD$2:$AD$495,(SUMPRODUCT((('CASE MASTER'!$T$2:$T$495=2)*('CASE MASTER'!$AA$2:$AA$495&lt;=10)*('CASE MASTER'!$AC$2:$AC$495&gt;=10)*('CASE MASTER'!$AB$2:$AB$495&lt;=3)*('CASE MASTER'!$AD$2:$AD$495&gt;=3))*ROW('CASE MASTER'!$T$2:$T$495))-(ROW('CASE MASTER'!#REF!)-1)))-INDEX('CASE MASTER'!$AB$2:$AB$495,(SUMPRODUCT((('CASE MASTER'!$T$2:$T$495=2)*('CASE MASTER'!$AA$2:$AA$495&lt;=10)*('CASE MASTER'!$AC$2:$AC$495&gt;=10)*('CASE MASTER'!$AB$2:$AB$495&lt;=3)*('CASE MASTER'!$AD$2:$AD$495&gt;=3))*ROW('CASE MASTER'!$T$2:$T$495))-(ROW('CASE MASTER'!#REF!)-1)))+1)+(3-INDEX('CASE MASTER'!$AB$2:$AB$495,(SUMPRODUCT((('CASE MASTER'!$T$2:$T$495=2)*('CASE MASTER'!$AA$2:$AA$495&lt;=10)*('CASE MASTER'!$AC$2:$AC$495&gt;=10)*('CASE MASTER'!$AB$2:$AB$495&lt;=3)*('CASE MASTER'!$AD$2:$AD$495&gt;=3))*ROW('CASE MASTER'!$T$2:$T$495))-(ROW('CASE MASTER'!#REF!)-1))))+1)))-1)*50+1,50))&amp;"_"&amp;INDEX('CASE MASTER'!$Q$2:$Q$495,(SUMPRODUCT((('CASE MASTER'!$T$2:$T$495=2)*('CASE MASTER'!$AA$2:$AA$495&lt;=10)*('CASE MASTER'!$AC$2:$AC$495&gt;=10)*('CASE MASTER'!$AB$2:$AB$495&lt;=3)*('CASE MASTER'!$AD$2:$AD$495&gt;=3))*ROW('CASE MASTER'!$T$2:$T$495))-(ROW('CASE MASTER'!#REF!)-1))),"")),"")</f>
        <v/>
      </c>
      <c r="E26" s="10" t="str">
        <f>IFERROR(IF(SUMPRODUCT((('CASE MASTER'!$T$2:$T$495=2)*('CASE MASTER'!$U$2:$U$495&lt;=10)*('CASE MASTER'!$W$2:$W$495&gt;=10)*('CASE MASTER'!$V$2:$V$495&lt;=4)*('CASE MASTER'!$X$2:$X$495&gt;=4))*ROW('CASE MASTER'!$T$2:$T$495))&gt;0,INDEX('CASE MASTER'!$Y$2:$Y$495,(SUMPRODUCT((('CASE MASTER'!$T$2:$T$495=2)*('CASE MASTER'!$U$2:$U$495&lt;=10)*('CASE MASTER'!$W$2:$W$495&gt;=10)*('CASE MASTER'!$V$2:$V$495&lt;=4)*('CASE MASTER'!$X$2:$X$495&gt;=4))*ROW('CASE MASTER'!$T$2:$T$495))-(ROW('CASE MASTER'!#REF!)-1)))&amp;TRIM(MID(SUBSTITUTE(SUBSTITUTE(INDEX('CASE MASTER'!$N$2:$N$495,(SUMPRODUCT((('CASE MASTER'!$T$2:$T$495=2)*('CASE MASTER'!$U$2:$U$495&lt;=10)*('CASE MASTER'!$W$2:$W$495&gt;=10)*('CASE MASTER'!$V$2:$V$495&lt;=4)*('CASE MASTER'!$X$2:$X$495&gt;=4))*ROW('CASE MASTER'!$T$2:$T$495))-(ROW('CASE MASTER'!#REF!)-1))),":",","),",",REPT(" ",50)),((((10-INDEX('CASE MASTER'!$U$2:$U$495,(SUMPRODUCT((('CASE MASTER'!$T$2:$T$495=2)*('CASE MASTER'!$U$2:$U$495&lt;=10)*('CASE MASTER'!$W$2:$W$495&gt;=10)*('CASE MASTER'!$V$2:$V$495&lt;=4)*('CASE MASTER'!$X$2:$X$495&gt;=4))*ROW('CASE MASTER'!$T$2:$T$495))-(ROW('CASE MASTER'!#REF!)-1))))*(INDEX('CASE MASTER'!$X$2:$X$495,(SUMPRODUCT((('CASE MASTER'!$T$2:$T$495=2)*('CASE MASTER'!$U$2:$U$495&lt;=10)*('CASE MASTER'!$W$2:$W$495&gt;=10)*('CASE MASTER'!$V$2:$V$495&lt;=4)*('CASE MASTER'!$X$2:$X$495&gt;=4))*ROW('CASE MASTER'!$T$2:$T$495))-(ROW('CASE MASTER'!#REF!)-1)))-INDEX('CASE MASTER'!$V$2:$V$495,(SUMPRODUCT((('CASE MASTER'!$T$2:$T$495=2)*('CASE MASTER'!$U$2:$U$495&lt;=10)*('CASE MASTER'!$W$2:$W$495&gt;=10)*('CASE MASTER'!$V$2:$V$495&lt;=4)*('CASE MASTER'!$X$2:$X$495&gt;=4))*ROW('CASE MASTER'!$T$2:$T$495))-(ROW('CASE MASTER'!#REF!)-1)))+1)+(4-INDEX('CASE MASTER'!$V$2:$V$495,(SUMPRODUCT((('CASE MASTER'!$T$2:$T$495=2)*('CASE MASTER'!$U$2:$U$495&lt;=10)*('CASE MASTER'!$W$2:$W$495&gt;=10)*('CASE MASTER'!$V$2:$V$495&lt;=4)*('CASE MASTER'!$X$2:$X$495&gt;=4))*ROW('CASE MASTER'!$T$2:$T$495))-(ROW('CASE MASTER'!#REF!)-1))))+1))-1)*50+1,50))&amp;"_"&amp;INDEX('CASE MASTER'!$Q$2:$Q$495,(SUMPRODUCT((('CASE MASTER'!$T$2:$T$495=2)*('CASE MASTER'!$U$2:$U$495&lt;=10)*('CASE MASTER'!$W$2:$W$495&gt;=10)*('CASE MASTER'!$V$2:$V$495&lt;=4)*('CASE MASTER'!$X$2:$X$495&gt;=4))*ROW('CASE MASTER'!$T$2:$T$495))-(ROW('CASE MASTER'!#REF!)-1))),IF(SUMPRODUCT((('CASE MASTER'!$T$2:$T$495=2)*('CASE MASTER'!$AA$2:$AA$495&lt;=10)*('CASE MASTER'!$AC$2:$AC$495&gt;=10)*('CASE MASTER'!$AB$2:$AB$495&lt;=4)*('CASE MASTER'!$AD$2:$AD$495&gt;=4))*ROW('CASE MASTER'!$T$2:$T$495))&gt;0,INDEX('CASE MASTER'!$Y$2:$Y$495,(SUMPRODUCT((('CASE MASTER'!$T$2:$T$495=2)*('CASE MASTER'!$AA$2:$AA$495&lt;=10)*('CASE MASTER'!$AC$2:$AC$495&gt;=10)*('CASE MASTER'!$AB$2:$AB$495&lt;=4)*('CASE MASTER'!$AD$2:$AD$495&gt;=4))*ROW('CASE MASTER'!$T$2:$T$495))-(ROW('CASE MASTER'!#REF!)-1)))&amp;TRIM(MID(SUBSTITUTE(SUBSTITUTE(INDEX('CASE MASTER'!$N$2:$N$495,(SUMPRODUCT((('CASE MASTER'!$T$2:$T$495=2)*('CASE MASTER'!$AA$2:$AA$495&lt;=10)*('CASE MASTER'!$AC$2:$AC$495&gt;=10)*('CASE MASTER'!$AB$2:$AB$495&lt;=4)*('CASE MASTER'!$AD$2:$AD$495&gt;=4))*ROW('CASE MASTER'!$T$2:$T$495))-(ROW('CASE MASTER'!#REF!)-1))),":",","),",",REPT(" ",50)),(((INDEX('CASE MASTER'!$Z$2:$Z$495,(SUMPRODUCT((('CASE MASTER'!$T$2:$T$495=2)*('CASE MASTER'!$AA$2:$AA$495&lt;=10)*('CASE MASTER'!$AC$2:$AC$495&gt;=10)*('CASE MASTER'!$AB$2:$AB$495&lt;=4)*('CASE MASTER'!$AD$2:$AD$495&gt;=4))*ROW('CASE MASTER'!$T$2:$T$495))-(ROW('CASE MASTER'!#REF!)-1)))+((10-INDEX('CASE MASTER'!$AA$2:$AA$495,(SUMPRODUCT((('CASE MASTER'!$T$2:$T$495=2)*('CASE MASTER'!$AA$2:$AA$495&lt;=10)*('CASE MASTER'!$AC$2:$AC$495&gt;=10)*('CASE MASTER'!$AB$2:$AB$495&lt;=4)*('CASE MASTER'!$AD$2:$AD$495&gt;=4))*ROW('CASE MASTER'!$T$2:$T$495))-(ROW('CASE MASTER'!#REF!)-1))))*(INDEX('CASE MASTER'!$AD$2:$AD$495,(SUMPRODUCT((('CASE MASTER'!$T$2:$T$495=2)*('CASE MASTER'!$AA$2:$AA$495&lt;=10)*('CASE MASTER'!$AC$2:$AC$495&gt;=10)*('CASE MASTER'!$AB$2:$AB$495&lt;=4)*('CASE MASTER'!$AD$2:$AD$495&gt;=4))*ROW('CASE MASTER'!$T$2:$T$495))-(ROW('CASE MASTER'!#REF!)-1)))-INDEX('CASE MASTER'!$AB$2:$AB$495,(SUMPRODUCT((('CASE MASTER'!$T$2:$T$495=2)*('CASE MASTER'!$AA$2:$AA$495&lt;=10)*('CASE MASTER'!$AC$2:$AC$495&gt;=10)*('CASE MASTER'!$AB$2:$AB$495&lt;=4)*('CASE MASTER'!$AD$2:$AD$495&gt;=4))*ROW('CASE MASTER'!$T$2:$T$495))-(ROW('CASE MASTER'!#REF!)-1)))+1)+(4-INDEX('CASE MASTER'!$AB$2:$AB$495,(SUMPRODUCT((('CASE MASTER'!$T$2:$T$495=2)*('CASE MASTER'!$AA$2:$AA$495&lt;=10)*('CASE MASTER'!$AC$2:$AC$495&gt;=10)*('CASE MASTER'!$AB$2:$AB$495&lt;=4)*('CASE MASTER'!$AD$2:$AD$495&gt;=4))*ROW('CASE MASTER'!$T$2:$T$495))-(ROW('CASE MASTER'!#REF!)-1))))+1)))-1)*50+1,50))&amp;"_"&amp;INDEX('CASE MASTER'!$Q$2:$Q$495,(SUMPRODUCT((('CASE MASTER'!$T$2:$T$495=2)*('CASE MASTER'!$AA$2:$AA$495&lt;=10)*('CASE MASTER'!$AC$2:$AC$495&gt;=10)*('CASE MASTER'!$AB$2:$AB$495&lt;=4)*('CASE MASTER'!$AD$2:$AD$495&gt;=4))*ROW('CASE MASTER'!$T$2:$T$495))-(ROW('CASE MASTER'!#REF!)-1))),"")),"")</f>
        <v/>
      </c>
      <c r="F26" s="10" t="str">
        <f>IFERROR(IF(SUMPRODUCT((('CASE MASTER'!$T$2:$T$495=2)*('CASE MASTER'!$U$2:$U$495&lt;=10)*('CASE MASTER'!$W$2:$W$495&gt;=10)*('CASE MASTER'!$V$2:$V$495&lt;=5)*('CASE MASTER'!$X$2:$X$495&gt;=5))*ROW('CASE MASTER'!$T$2:$T$495))&gt;0,INDEX('CASE MASTER'!$Y$2:$Y$495,(SUMPRODUCT((('CASE MASTER'!$T$2:$T$495=2)*('CASE MASTER'!$U$2:$U$495&lt;=10)*('CASE MASTER'!$W$2:$W$495&gt;=10)*('CASE MASTER'!$V$2:$V$495&lt;=5)*('CASE MASTER'!$X$2:$X$495&gt;=5))*ROW('CASE MASTER'!$T$2:$T$495))-(ROW('CASE MASTER'!#REF!)-1)))&amp;TRIM(MID(SUBSTITUTE(SUBSTITUTE(INDEX('CASE MASTER'!$N$2:$N$495,(SUMPRODUCT((('CASE MASTER'!$T$2:$T$495=2)*('CASE MASTER'!$U$2:$U$495&lt;=10)*('CASE MASTER'!$W$2:$W$495&gt;=10)*('CASE MASTER'!$V$2:$V$495&lt;=5)*('CASE MASTER'!$X$2:$X$495&gt;=5))*ROW('CASE MASTER'!$T$2:$T$495))-(ROW('CASE MASTER'!#REF!)-1))),":",","),",",REPT(" ",50)),((((10-INDEX('CASE MASTER'!$U$2:$U$495,(SUMPRODUCT((('CASE MASTER'!$T$2:$T$495=2)*('CASE MASTER'!$U$2:$U$495&lt;=10)*('CASE MASTER'!$W$2:$W$495&gt;=10)*('CASE MASTER'!$V$2:$V$495&lt;=5)*('CASE MASTER'!$X$2:$X$495&gt;=5))*ROW('CASE MASTER'!$T$2:$T$495))-(ROW('CASE MASTER'!#REF!)-1))))*(INDEX('CASE MASTER'!$X$2:$X$495,(SUMPRODUCT((('CASE MASTER'!$T$2:$T$495=2)*('CASE MASTER'!$U$2:$U$495&lt;=10)*('CASE MASTER'!$W$2:$W$495&gt;=10)*('CASE MASTER'!$V$2:$V$495&lt;=5)*('CASE MASTER'!$X$2:$X$495&gt;=5))*ROW('CASE MASTER'!$T$2:$T$495))-(ROW('CASE MASTER'!#REF!)-1)))-INDEX('CASE MASTER'!$V$2:$V$495,(SUMPRODUCT((('CASE MASTER'!$T$2:$T$495=2)*('CASE MASTER'!$U$2:$U$495&lt;=10)*('CASE MASTER'!$W$2:$W$495&gt;=10)*('CASE MASTER'!$V$2:$V$495&lt;=5)*('CASE MASTER'!$X$2:$X$495&gt;=5))*ROW('CASE MASTER'!$T$2:$T$495))-(ROW('CASE MASTER'!#REF!)-1)))+1)+(5-INDEX('CASE MASTER'!$V$2:$V$495,(SUMPRODUCT((('CASE MASTER'!$T$2:$T$495=2)*('CASE MASTER'!$U$2:$U$495&lt;=10)*('CASE MASTER'!$W$2:$W$495&gt;=10)*('CASE MASTER'!$V$2:$V$495&lt;=5)*('CASE MASTER'!$X$2:$X$495&gt;=5))*ROW('CASE MASTER'!$T$2:$T$495))-(ROW('CASE MASTER'!#REF!)-1))))+1))-1)*50+1,50))&amp;"_"&amp;INDEX('CASE MASTER'!$Q$2:$Q$495,(SUMPRODUCT((('CASE MASTER'!$T$2:$T$495=2)*('CASE MASTER'!$U$2:$U$495&lt;=10)*('CASE MASTER'!$W$2:$W$495&gt;=10)*('CASE MASTER'!$V$2:$V$495&lt;=5)*('CASE MASTER'!$X$2:$X$495&gt;=5))*ROW('CASE MASTER'!$T$2:$T$495))-(ROW('CASE MASTER'!#REF!)-1))),IF(SUMPRODUCT((('CASE MASTER'!$T$2:$T$495=2)*('CASE MASTER'!$AA$2:$AA$495&lt;=10)*('CASE MASTER'!$AC$2:$AC$495&gt;=10)*('CASE MASTER'!$AB$2:$AB$495&lt;=5)*('CASE MASTER'!$AD$2:$AD$495&gt;=5))*ROW('CASE MASTER'!$T$2:$T$495))&gt;0,INDEX('CASE MASTER'!$Y$2:$Y$495,(SUMPRODUCT((('CASE MASTER'!$T$2:$T$495=2)*('CASE MASTER'!$AA$2:$AA$495&lt;=10)*('CASE MASTER'!$AC$2:$AC$495&gt;=10)*('CASE MASTER'!$AB$2:$AB$495&lt;=5)*('CASE MASTER'!$AD$2:$AD$495&gt;=5))*ROW('CASE MASTER'!$T$2:$T$495))-(ROW('CASE MASTER'!#REF!)-1)))&amp;TRIM(MID(SUBSTITUTE(SUBSTITUTE(INDEX('CASE MASTER'!$N$2:$N$495,(SUMPRODUCT((('CASE MASTER'!$T$2:$T$495=2)*('CASE MASTER'!$AA$2:$AA$495&lt;=10)*('CASE MASTER'!$AC$2:$AC$495&gt;=10)*('CASE MASTER'!$AB$2:$AB$495&lt;=5)*('CASE MASTER'!$AD$2:$AD$495&gt;=5))*ROW('CASE MASTER'!$T$2:$T$495))-(ROW('CASE MASTER'!#REF!)-1))),":",","),",",REPT(" ",50)),(((INDEX('CASE MASTER'!$Z$2:$Z$495,(SUMPRODUCT((('CASE MASTER'!$T$2:$T$495=2)*('CASE MASTER'!$AA$2:$AA$495&lt;=10)*('CASE MASTER'!$AC$2:$AC$495&gt;=10)*('CASE MASTER'!$AB$2:$AB$495&lt;=5)*('CASE MASTER'!$AD$2:$AD$495&gt;=5))*ROW('CASE MASTER'!$T$2:$T$495))-(ROW('CASE MASTER'!#REF!)-1)))+((10-INDEX('CASE MASTER'!$AA$2:$AA$495,(SUMPRODUCT((('CASE MASTER'!$T$2:$T$495=2)*('CASE MASTER'!$AA$2:$AA$495&lt;=10)*('CASE MASTER'!$AC$2:$AC$495&gt;=10)*('CASE MASTER'!$AB$2:$AB$495&lt;=5)*('CASE MASTER'!$AD$2:$AD$495&gt;=5))*ROW('CASE MASTER'!$T$2:$T$495))-(ROW('CASE MASTER'!#REF!)-1))))*(INDEX('CASE MASTER'!$AD$2:$AD$495,(SUMPRODUCT((('CASE MASTER'!$T$2:$T$495=2)*('CASE MASTER'!$AA$2:$AA$495&lt;=10)*('CASE MASTER'!$AC$2:$AC$495&gt;=10)*('CASE MASTER'!$AB$2:$AB$495&lt;=5)*('CASE MASTER'!$AD$2:$AD$495&gt;=5))*ROW('CASE MASTER'!$T$2:$T$495))-(ROW('CASE MASTER'!#REF!)-1)))-INDEX('CASE MASTER'!$AB$2:$AB$495,(SUMPRODUCT((('CASE MASTER'!$T$2:$T$495=2)*('CASE MASTER'!$AA$2:$AA$495&lt;=10)*('CASE MASTER'!$AC$2:$AC$495&gt;=10)*('CASE MASTER'!$AB$2:$AB$495&lt;=5)*('CASE MASTER'!$AD$2:$AD$495&gt;=5))*ROW('CASE MASTER'!$T$2:$T$495))-(ROW('CASE MASTER'!#REF!)-1)))+1)+(5-INDEX('CASE MASTER'!$AB$2:$AB$495,(SUMPRODUCT((('CASE MASTER'!$T$2:$T$495=2)*('CASE MASTER'!$AA$2:$AA$495&lt;=10)*('CASE MASTER'!$AC$2:$AC$495&gt;=10)*('CASE MASTER'!$AB$2:$AB$495&lt;=5)*('CASE MASTER'!$AD$2:$AD$495&gt;=5))*ROW('CASE MASTER'!$T$2:$T$495))-(ROW('CASE MASTER'!#REF!)-1))))+1)))-1)*50+1,50))&amp;"_"&amp;INDEX('CASE MASTER'!$Q$2:$Q$495,(SUMPRODUCT((('CASE MASTER'!$T$2:$T$495=2)*('CASE MASTER'!$AA$2:$AA$495&lt;=10)*('CASE MASTER'!$AC$2:$AC$495&gt;=10)*('CASE MASTER'!$AB$2:$AB$495&lt;=5)*('CASE MASTER'!$AD$2:$AD$495&gt;=5))*ROW('CASE MASTER'!$T$2:$T$495))-(ROW('CASE MASTER'!#REF!)-1))),"")),"")</f>
        <v/>
      </c>
      <c r="G26" s="10" t="str">
        <f>IFERROR(IF(SUMPRODUCT((('CASE MASTER'!$T$2:$T$495=2)*('CASE MASTER'!$U$2:$U$495&lt;=10)*('CASE MASTER'!$W$2:$W$495&gt;=10)*('CASE MASTER'!$V$2:$V$495&lt;=6)*('CASE MASTER'!$X$2:$X$495&gt;=6))*ROW('CASE MASTER'!$T$2:$T$495))&gt;0,INDEX('CASE MASTER'!$Y$2:$Y$495,(SUMPRODUCT((('CASE MASTER'!$T$2:$T$495=2)*('CASE MASTER'!$U$2:$U$495&lt;=10)*('CASE MASTER'!$W$2:$W$495&gt;=10)*('CASE MASTER'!$V$2:$V$495&lt;=6)*('CASE MASTER'!$X$2:$X$495&gt;=6))*ROW('CASE MASTER'!$T$2:$T$495))-(ROW('CASE MASTER'!#REF!)-1)))&amp;TRIM(MID(SUBSTITUTE(SUBSTITUTE(INDEX('CASE MASTER'!$N$2:$N$495,(SUMPRODUCT((('CASE MASTER'!$T$2:$T$495=2)*('CASE MASTER'!$U$2:$U$495&lt;=10)*('CASE MASTER'!$W$2:$W$495&gt;=10)*('CASE MASTER'!$V$2:$V$495&lt;=6)*('CASE MASTER'!$X$2:$X$495&gt;=6))*ROW('CASE MASTER'!$T$2:$T$495))-(ROW('CASE MASTER'!#REF!)-1))),":",","),",",REPT(" ",50)),((((10-INDEX('CASE MASTER'!$U$2:$U$495,(SUMPRODUCT((('CASE MASTER'!$T$2:$T$495=2)*('CASE MASTER'!$U$2:$U$495&lt;=10)*('CASE MASTER'!$W$2:$W$495&gt;=10)*('CASE MASTER'!$V$2:$V$495&lt;=6)*('CASE MASTER'!$X$2:$X$495&gt;=6))*ROW('CASE MASTER'!$T$2:$T$495))-(ROW('CASE MASTER'!#REF!)-1))))*(INDEX('CASE MASTER'!$X$2:$X$495,(SUMPRODUCT((('CASE MASTER'!$T$2:$T$495=2)*('CASE MASTER'!$U$2:$U$495&lt;=10)*('CASE MASTER'!$W$2:$W$495&gt;=10)*('CASE MASTER'!$V$2:$V$495&lt;=6)*('CASE MASTER'!$X$2:$X$495&gt;=6))*ROW('CASE MASTER'!$T$2:$T$495))-(ROW('CASE MASTER'!#REF!)-1)))-INDEX('CASE MASTER'!$V$2:$V$495,(SUMPRODUCT((('CASE MASTER'!$T$2:$T$495=2)*('CASE MASTER'!$U$2:$U$495&lt;=10)*('CASE MASTER'!$W$2:$W$495&gt;=10)*('CASE MASTER'!$V$2:$V$495&lt;=6)*('CASE MASTER'!$X$2:$X$495&gt;=6))*ROW('CASE MASTER'!$T$2:$T$495))-(ROW('CASE MASTER'!#REF!)-1)))+1)+(6-INDEX('CASE MASTER'!$V$2:$V$495,(SUMPRODUCT((('CASE MASTER'!$T$2:$T$495=2)*('CASE MASTER'!$U$2:$U$495&lt;=10)*('CASE MASTER'!$W$2:$W$495&gt;=10)*('CASE MASTER'!$V$2:$V$495&lt;=6)*('CASE MASTER'!$X$2:$X$495&gt;=6))*ROW('CASE MASTER'!$T$2:$T$495))-(ROW('CASE MASTER'!#REF!)-1))))+1))-1)*50+1,50))&amp;"_"&amp;INDEX('CASE MASTER'!$Q$2:$Q$495,(SUMPRODUCT((('CASE MASTER'!$T$2:$T$495=2)*('CASE MASTER'!$U$2:$U$495&lt;=10)*('CASE MASTER'!$W$2:$W$495&gt;=10)*('CASE MASTER'!$V$2:$V$495&lt;=6)*('CASE MASTER'!$X$2:$X$495&gt;=6))*ROW('CASE MASTER'!$T$2:$T$495))-(ROW('CASE MASTER'!#REF!)-1))),IF(SUMPRODUCT((('CASE MASTER'!$T$2:$T$495=2)*('CASE MASTER'!$AA$2:$AA$495&lt;=10)*('CASE MASTER'!$AC$2:$AC$495&gt;=10)*('CASE MASTER'!$AB$2:$AB$495&lt;=6)*('CASE MASTER'!$AD$2:$AD$495&gt;=6))*ROW('CASE MASTER'!$T$2:$T$495))&gt;0,INDEX('CASE MASTER'!$Y$2:$Y$495,(SUMPRODUCT((('CASE MASTER'!$T$2:$T$495=2)*('CASE MASTER'!$AA$2:$AA$495&lt;=10)*('CASE MASTER'!$AC$2:$AC$495&gt;=10)*('CASE MASTER'!$AB$2:$AB$495&lt;=6)*('CASE MASTER'!$AD$2:$AD$495&gt;=6))*ROW('CASE MASTER'!$T$2:$T$495))-(ROW('CASE MASTER'!#REF!)-1)))&amp;TRIM(MID(SUBSTITUTE(SUBSTITUTE(INDEX('CASE MASTER'!$N$2:$N$495,(SUMPRODUCT((('CASE MASTER'!$T$2:$T$495=2)*('CASE MASTER'!$AA$2:$AA$495&lt;=10)*('CASE MASTER'!$AC$2:$AC$495&gt;=10)*('CASE MASTER'!$AB$2:$AB$495&lt;=6)*('CASE MASTER'!$AD$2:$AD$495&gt;=6))*ROW('CASE MASTER'!$T$2:$T$495))-(ROW('CASE MASTER'!#REF!)-1))),":",","),",",REPT(" ",50)),(((INDEX('CASE MASTER'!$Z$2:$Z$495,(SUMPRODUCT((('CASE MASTER'!$T$2:$T$495=2)*('CASE MASTER'!$AA$2:$AA$495&lt;=10)*('CASE MASTER'!$AC$2:$AC$495&gt;=10)*('CASE MASTER'!$AB$2:$AB$495&lt;=6)*('CASE MASTER'!$AD$2:$AD$495&gt;=6))*ROW('CASE MASTER'!$T$2:$T$495))-(ROW('CASE MASTER'!#REF!)-1)))+((10-INDEX('CASE MASTER'!$AA$2:$AA$495,(SUMPRODUCT((('CASE MASTER'!$T$2:$T$495=2)*('CASE MASTER'!$AA$2:$AA$495&lt;=10)*('CASE MASTER'!$AC$2:$AC$495&gt;=10)*('CASE MASTER'!$AB$2:$AB$495&lt;=6)*('CASE MASTER'!$AD$2:$AD$495&gt;=6))*ROW('CASE MASTER'!$T$2:$T$495))-(ROW('CASE MASTER'!#REF!)-1))))*(INDEX('CASE MASTER'!$AD$2:$AD$495,(SUMPRODUCT((('CASE MASTER'!$T$2:$T$495=2)*('CASE MASTER'!$AA$2:$AA$495&lt;=10)*('CASE MASTER'!$AC$2:$AC$495&gt;=10)*('CASE MASTER'!$AB$2:$AB$495&lt;=6)*('CASE MASTER'!$AD$2:$AD$495&gt;=6))*ROW('CASE MASTER'!$T$2:$T$495))-(ROW('CASE MASTER'!#REF!)-1)))-INDEX('CASE MASTER'!$AB$2:$AB$495,(SUMPRODUCT((('CASE MASTER'!$T$2:$T$495=2)*('CASE MASTER'!$AA$2:$AA$495&lt;=10)*('CASE MASTER'!$AC$2:$AC$495&gt;=10)*('CASE MASTER'!$AB$2:$AB$495&lt;=6)*('CASE MASTER'!$AD$2:$AD$495&gt;=6))*ROW('CASE MASTER'!$T$2:$T$495))-(ROW('CASE MASTER'!#REF!)-1)))+1)+(6-INDEX('CASE MASTER'!$AB$2:$AB$495,(SUMPRODUCT((('CASE MASTER'!$T$2:$T$495=2)*('CASE MASTER'!$AA$2:$AA$495&lt;=10)*('CASE MASTER'!$AC$2:$AC$495&gt;=10)*('CASE MASTER'!$AB$2:$AB$495&lt;=6)*('CASE MASTER'!$AD$2:$AD$495&gt;=6))*ROW('CASE MASTER'!$T$2:$T$495))-(ROW('CASE MASTER'!#REF!)-1))))+1)))-1)*50+1,50))&amp;"_"&amp;INDEX('CASE MASTER'!$Q$2:$Q$495,(SUMPRODUCT((('CASE MASTER'!$T$2:$T$495=2)*('CASE MASTER'!$AA$2:$AA$495&lt;=10)*('CASE MASTER'!$AC$2:$AC$495&gt;=10)*('CASE MASTER'!$AB$2:$AB$495&lt;=6)*('CASE MASTER'!$AD$2:$AD$495&gt;=6))*ROW('CASE MASTER'!$T$2:$T$495))-(ROW('CASE MASTER'!#REF!)-1))),"")),"")</f>
        <v/>
      </c>
      <c r="H26" s="10" t="str">
        <f>IFERROR(IF(SUMPRODUCT((('CASE MASTER'!$T$2:$T$495=2)*('CASE MASTER'!$U$2:$U$495&lt;=10)*('CASE MASTER'!$W$2:$W$495&gt;=10)*('CASE MASTER'!$V$2:$V$495&lt;=7)*('CASE MASTER'!$X$2:$X$495&gt;=7))*ROW('CASE MASTER'!$T$2:$T$495))&gt;0,INDEX('CASE MASTER'!$Y$2:$Y$495,(SUMPRODUCT((('CASE MASTER'!$T$2:$T$495=2)*('CASE MASTER'!$U$2:$U$495&lt;=10)*('CASE MASTER'!$W$2:$W$495&gt;=10)*('CASE MASTER'!$V$2:$V$495&lt;=7)*('CASE MASTER'!$X$2:$X$495&gt;=7))*ROW('CASE MASTER'!$T$2:$T$495))-(ROW('CASE MASTER'!#REF!)-1)))&amp;TRIM(MID(SUBSTITUTE(SUBSTITUTE(INDEX('CASE MASTER'!$N$2:$N$495,(SUMPRODUCT((('CASE MASTER'!$T$2:$T$495=2)*('CASE MASTER'!$U$2:$U$495&lt;=10)*('CASE MASTER'!$W$2:$W$495&gt;=10)*('CASE MASTER'!$V$2:$V$495&lt;=7)*('CASE MASTER'!$X$2:$X$495&gt;=7))*ROW('CASE MASTER'!$T$2:$T$495))-(ROW('CASE MASTER'!#REF!)-1))),":",","),",",REPT(" ",50)),((((10-INDEX('CASE MASTER'!$U$2:$U$495,(SUMPRODUCT((('CASE MASTER'!$T$2:$T$495=2)*('CASE MASTER'!$U$2:$U$495&lt;=10)*('CASE MASTER'!$W$2:$W$495&gt;=10)*('CASE MASTER'!$V$2:$V$495&lt;=7)*('CASE MASTER'!$X$2:$X$495&gt;=7))*ROW('CASE MASTER'!$T$2:$T$495))-(ROW('CASE MASTER'!#REF!)-1))))*(INDEX('CASE MASTER'!$X$2:$X$495,(SUMPRODUCT((('CASE MASTER'!$T$2:$T$495=2)*('CASE MASTER'!$U$2:$U$495&lt;=10)*('CASE MASTER'!$W$2:$W$495&gt;=10)*('CASE MASTER'!$V$2:$V$495&lt;=7)*('CASE MASTER'!$X$2:$X$495&gt;=7))*ROW('CASE MASTER'!$T$2:$T$495))-(ROW('CASE MASTER'!#REF!)-1)))-INDEX('CASE MASTER'!$V$2:$V$495,(SUMPRODUCT((('CASE MASTER'!$T$2:$T$495=2)*('CASE MASTER'!$U$2:$U$495&lt;=10)*('CASE MASTER'!$W$2:$W$495&gt;=10)*('CASE MASTER'!$V$2:$V$495&lt;=7)*('CASE MASTER'!$X$2:$X$495&gt;=7))*ROW('CASE MASTER'!$T$2:$T$495))-(ROW('CASE MASTER'!#REF!)-1)))+1)+(7-INDEX('CASE MASTER'!$V$2:$V$495,(SUMPRODUCT((('CASE MASTER'!$T$2:$T$495=2)*('CASE MASTER'!$U$2:$U$495&lt;=10)*('CASE MASTER'!$W$2:$W$495&gt;=10)*('CASE MASTER'!$V$2:$V$495&lt;=7)*('CASE MASTER'!$X$2:$X$495&gt;=7))*ROW('CASE MASTER'!$T$2:$T$495))-(ROW('CASE MASTER'!#REF!)-1))))+1))-1)*50+1,50))&amp;"_"&amp;INDEX('CASE MASTER'!$Q$2:$Q$495,(SUMPRODUCT((('CASE MASTER'!$T$2:$T$495=2)*('CASE MASTER'!$U$2:$U$495&lt;=10)*('CASE MASTER'!$W$2:$W$495&gt;=10)*('CASE MASTER'!$V$2:$V$495&lt;=7)*('CASE MASTER'!$X$2:$X$495&gt;=7))*ROW('CASE MASTER'!$T$2:$T$495))-(ROW('CASE MASTER'!#REF!)-1))),IF(SUMPRODUCT((('CASE MASTER'!$T$2:$T$495=2)*('CASE MASTER'!$AA$2:$AA$495&lt;=10)*('CASE MASTER'!$AC$2:$AC$495&gt;=10)*('CASE MASTER'!$AB$2:$AB$495&lt;=7)*('CASE MASTER'!$AD$2:$AD$495&gt;=7))*ROW('CASE MASTER'!$T$2:$T$495))&gt;0,INDEX('CASE MASTER'!$Y$2:$Y$495,(SUMPRODUCT((('CASE MASTER'!$T$2:$T$495=2)*('CASE MASTER'!$AA$2:$AA$495&lt;=10)*('CASE MASTER'!$AC$2:$AC$495&gt;=10)*('CASE MASTER'!$AB$2:$AB$495&lt;=7)*('CASE MASTER'!$AD$2:$AD$495&gt;=7))*ROW('CASE MASTER'!$T$2:$T$495))-(ROW('CASE MASTER'!#REF!)-1)))&amp;TRIM(MID(SUBSTITUTE(SUBSTITUTE(INDEX('CASE MASTER'!$N$2:$N$495,(SUMPRODUCT((('CASE MASTER'!$T$2:$T$495=2)*('CASE MASTER'!$AA$2:$AA$495&lt;=10)*('CASE MASTER'!$AC$2:$AC$495&gt;=10)*('CASE MASTER'!$AB$2:$AB$495&lt;=7)*('CASE MASTER'!$AD$2:$AD$495&gt;=7))*ROW('CASE MASTER'!$T$2:$T$495))-(ROW('CASE MASTER'!#REF!)-1))),":",","),",",REPT(" ",50)),(((INDEX('CASE MASTER'!$Z$2:$Z$495,(SUMPRODUCT((('CASE MASTER'!$T$2:$T$495=2)*('CASE MASTER'!$AA$2:$AA$495&lt;=10)*('CASE MASTER'!$AC$2:$AC$495&gt;=10)*('CASE MASTER'!$AB$2:$AB$495&lt;=7)*('CASE MASTER'!$AD$2:$AD$495&gt;=7))*ROW('CASE MASTER'!$T$2:$T$495))-(ROW('CASE MASTER'!#REF!)-1)))+((10-INDEX('CASE MASTER'!$AA$2:$AA$495,(SUMPRODUCT((('CASE MASTER'!$T$2:$T$495=2)*('CASE MASTER'!$AA$2:$AA$495&lt;=10)*('CASE MASTER'!$AC$2:$AC$495&gt;=10)*('CASE MASTER'!$AB$2:$AB$495&lt;=7)*('CASE MASTER'!$AD$2:$AD$495&gt;=7))*ROW('CASE MASTER'!$T$2:$T$495))-(ROW('CASE MASTER'!#REF!)-1))))*(INDEX('CASE MASTER'!$AD$2:$AD$495,(SUMPRODUCT((('CASE MASTER'!$T$2:$T$495=2)*('CASE MASTER'!$AA$2:$AA$495&lt;=10)*('CASE MASTER'!$AC$2:$AC$495&gt;=10)*('CASE MASTER'!$AB$2:$AB$495&lt;=7)*('CASE MASTER'!$AD$2:$AD$495&gt;=7))*ROW('CASE MASTER'!$T$2:$T$495))-(ROW('CASE MASTER'!#REF!)-1)))-INDEX('CASE MASTER'!$AB$2:$AB$495,(SUMPRODUCT((('CASE MASTER'!$T$2:$T$495=2)*('CASE MASTER'!$AA$2:$AA$495&lt;=10)*('CASE MASTER'!$AC$2:$AC$495&gt;=10)*('CASE MASTER'!$AB$2:$AB$495&lt;=7)*('CASE MASTER'!$AD$2:$AD$495&gt;=7))*ROW('CASE MASTER'!$T$2:$T$495))-(ROW('CASE MASTER'!#REF!)-1)))+1)+(7-INDEX('CASE MASTER'!$AB$2:$AB$495,(SUMPRODUCT((('CASE MASTER'!$T$2:$T$495=2)*('CASE MASTER'!$AA$2:$AA$495&lt;=10)*('CASE MASTER'!$AC$2:$AC$495&gt;=10)*('CASE MASTER'!$AB$2:$AB$495&lt;=7)*('CASE MASTER'!$AD$2:$AD$495&gt;=7))*ROW('CASE MASTER'!$T$2:$T$495))-(ROW('CASE MASTER'!#REF!)-1))))+1)))-1)*50+1,50))&amp;"_"&amp;INDEX('CASE MASTER'!$Q$2:$Q$495,(SUMPRODUCT((('CASE MASTER'!$T$2:$T$495=2)*('CASE MASTER'!$AA$2:$AA$495&lt;=10)*('CASE MASTER'!$AC$2:$AC$495&gt;=10)*('CASE MASTER'!$AB$2:$AB$495&lt;=7)*('CASE MASTER'!$AD$2:$AD$495&gt;=7))*ROW('CASE MASTER'!$T$2:$T$495))-(ROW('CASE MASTER'!#REF!)-1))),"")),"")</f>
        <v/>
      </c>
      <c r="I26" s="10" t="str">
        <f>IFERROR(IF(SUMPRODUCT((('CASE MASTER'!$T$2:$T$495=2)*('CASE MASTER'!$U$2:$U$495&lt;=10)*('CASE MASTER'!$W$2:$W$495&gt;=10)*('CASE MASTER'!$V$2:$V$495&lt;=8)*('CASE MASTER'!$X$2:$X$495&gt;=8))*ROW('CASE MASTER'!$T$2:$T$495))&gt;0,INDEX('CASE MASTER'!$Y$2:$Y$495,(SUMPRODUCT((('CASE MASTER'!$T$2:$T$495=2)*('CASE MASTER'!$U$2:$U$495&lt;=10)*('CASE MASTER'!$W$2:$W$495&gt;=10)*('CASE MASTER'!$V$2:$V$495&lt;=8)*('CASE MASTER'!$X$2:$X$495&gt;=8))*ROW('CASE MASTER'!$T$2:$T$495))-(ROW('CASE MASTER'!#REF!)-1)))&amp;TRIM(MID(SUBSTITUTE(SUBSTITUTE(INDEX('CASE MASTER'!$N$2:$N$495,(SUMPRODUCT((('CASE MASTER'!$T$2:$T$495=2)*('CASE MASTER'!$U$2:$U$495&lt;=10)*('CASE MASTER'!$W$2:$W$495&gt;=10)*('CASE MASTER'!$V$2:$V$495&lt;=8)*('CASE MASTER'!$X$2:$X$495&gt;=8))*ROW('CASE MASTER'!$T$2:$T$495))-(ROW('CASE MASTER'!#REF!)-1))),":",","),",",REPT(" ",50)),((((10-INDEX('CASE MASTER'!$U$2:$U$495,(SUMPRODUCT((('CASE MASTER'!$T$2:$T$495=2)*('CASE MASTER'!$U$2:$U$495&lt;=10)*('CASE MASTER'!$W$2:$W$495&gt;=10)*('CASE MASTER'!$V$2:$V$495&lt;=8)*('CASE MASTER'!$X$2:$X$495&gt;=8))*ROW('CASE MASTER'!$T$2:$T$495))-(ROW('CASE MASTER'!#REF!)-1))))*(INDEX('CASE MASTER'!$X$2:$X$495,(SUMPRODUCT((('CASE MASTER'!$T$2:$T$495=2)*('CASE MASTER'!$U$2:$U$495&lt;=10)*('CASE MASTER'!$W$2:$W$495&gt;=10)*('CASE MASTER'!$V$2:$V$495&lt;=8)*('CASE MASTER'!$X$2:$X$495&gt;=8))*ROW('CASE MASTER'!$T$2:$T$495))-(ROW('CASE MASTER'!#REF!)-1)))-INDEX('CASE MASTER'!$V$2:$V$495,(SUMPRODUCT((('CASE MASTER'!$T$2:$T$495=2)*('CASE MASTER'!$U$2:$U$495&lt;=10)*('CASE MASTER'!$W$2:$W$495&gt;=10)*('CASE MASTER'!$V$2:$V$495&lt;=8)*('CASE MASTER'!$X$2:$X$495&gt;=8))*ROW('CASE MASTER'!$T$2:$T$495))-(ROW('CASE MASTER'!#REF!)-1)))+1)+(8-INDEX('CASE MASTER'!$V$2:$V$495,(SUMPRODUCT((('CASE MASTER'!$T$2:$T$495=2)*('CASE MASTER'!$U$2:$U$495&lt;=10)*('CASE MASTER'!$W$2:$W$495&gt;=10)*('CASE MASTER'!$V$2:$V$495&lt;=8)*('CASE MASTER'!$X$2:$X$495&gt;=8))*ROW('CASE MASTER'!$T$2:$T$495))-(ROW('CASE MASTER'!#REF!)-1))))+1))-1)*50+1,50))&amp;"_"&amp;INDEX('CASE MASTER'!$Q$2:$Q$495,(SUMPRODUCT((('CASE MASTER'!$T$2:$T$495=2)*('CASE MASTER'!$U$2:$U$495&lt;=10)*('CASE MASTER'!$W$2:$W$495&gt;=10)*('CASE MASTER'!$V$2:$V$495&lt;=8)*('CASE MASTER'!$X$2:$X$495&gt;=8))*ROW('CASE MASTER'!$T$2:$T$495))-(ROW('CASE MASTER'!#REF!)-1))),IF(SUMPRODUCT((('CASE MASTER'!$T$2:$T$495=2)*('CASE MASTER'!$AA$2:$AA$495&lt;=10)*('CASE MASTER'!$AC$2:$AC$495&gt;=10)*('CASE MASTER'!$AB$2:$AB$495&lt;=8)*('CASE MASTER'!$AD$2:$AD$495&gt;=8))*ROW('CASE MASTER'!$T$2:$T$495))&gt;0,INDEX('CASE MASTER'!$Y$2:$Y$495,(SUMPRODUCT((('CASE MASTER'!$T$2:$T$495=2)*('CASE MASTER'!$AA$2:$AA$495&lt;=10)*('CASE MASTER'!$AC$2:$AC$495&gt;=10)*('CASE MASTER'!$AB$2:$AB$495&lt;=8)*('CASE MASTER'!$AD$2:$AD$495&gt;=8))*ROW('CASE MASTER'!$T$2:$T$495))-(ROW('CASE MASTER'!#REF!)-1)))&amp;TRIM(MID(SUBSTITUTE(SUBSTITUTE(INDEX('CASE MASTER'!$N$2:$N$495,(SUMPRODUCT((('CASE MASTER'!$T$2:$T$495=2)*('CASE MASTER'!$AA$2:$AA$495&lt;=10)*('CASE MASTER'!$AC$2:$AC$495&gt;=10)*('CASE MASTER'!$AB$2:$AB$495&lt;=8)*('CASE MASTER'!$AD$2:$AD$495&gt;=8))*ROW('CASE MASTER'!$T$2:$T$495))-(ROW('CASE MASTER'!#REF!)-1))),":",","),",",REPT(" ",50)),(((INDEX('CASE MASTER'!$Z$2:$Z$495,(SUMPRODUCT((('CASE MASTER'!$T$2:$T$495=2)*('CASE MASTER'!$AA$2:$AA$495&lt;=10)*('CASE MASTER'!$AC$2:$AC$495&gt;=10)*('CASE MASTER'!$AB$2:$AB$495&lt;=8)*('CASE MASTER'!$AD$2:$AD$495&gt;=8))*ROW('CASE MASTER'!$T$2:$T$495))-(ROW('CASE MASTER'!#REF!)-1)))+((10-INDEX('CASE MASTER'!$AA$2:$AA$495,(SUMPRODUCT((('CASE MASTER'!$T$2:$T$495=2)*('CASE MASTER'!$AA$2:$AA$495&lt;=10)*('CASE MASTER'!$AC$2:$AC$495&gt;=10)*('CASE MASTER'!$AB$2:$AB$495&lt;=8)*('CASE MASTER'!$AD$2:$AD$495&gt;=8))*ROW('CASE MASTER'!$T$2:$T$495))-(ROW('CASE MASTER'!#REF!)-1))))*(INDEX('CASE MASTER'!$AD$2:$AD$495,(SUMPRODUCT((('CASE MASTER'!$T$2:$T$495=2)*('CASE MASTER'!$AA$2:$AA$495&lt;=10)*('CASE MASTER'!$AC$2:$AC$495&gt;=10)*('CASE MASTER'!$AB$2:$AB$495&lt;=8)*('CASE MASTER'!$AD$2:$AD$495&gt;=8))*ROW('CASE MASTER'!$T$2:$T$495))-(ROW('CASE MASTER'!#REF!)-1)))-INDEX('CASE MASTER'!$AB$2:$AB$495,(SUMPRODUCT((('CASE MASTER'!$T$2:$T$495=2)*('CASE MASTER'!$AA$2:$AA$495&lt;=10)*('CASE MASTER'!$AC$2:$AC$495&gt;=10)*('CASE MASTER'!$AB$2:$AB$495&lt;=8)*('CASE MASTER'!$AD$2:$AD$495&gt;=8))*ROW('CASE MASTER'!$T$2:$T$495))-(ROW('CASE MASTER'!#REF!)-1)))+1)+(8-INDEX('CASE MASTER'!$AB$2:$AB$495,(SUMPRODUCT((('CASE MASTER'!$T$2:$T$495=2)*('CASE MASTER'!$AA$2:$AA$495&lt;=10)*('CASE MASTER'!$AC$2:$AC$495&gt;=10)*('CASE MASTER'!$AB$2:$AB$495&lt;=8)*('CASE MASTER'!$AD$2:$AD$495&gt;=8))*ROW('CASE MASTER'!$T$2:$T$495))-(ROW('CASE MASTER'!#REF!)-1))))+1)))-1)*50+1,50))&amp;"_"&amp;INDEX('CASE MASTER'!$Q$2:$Q$495,(SUMPRODUCT((('CASE MASTER'!$T$2:$T$495=2)*('CASE MASTER'!$AA$2:$AA$495&lt;=10)*('CASE MASTER'!$AC$2:$AC$495&gt;=10)*('CASE MASTER'!$AB$2:$AB$495&lt;=8)*('CASE MASTER'!$AD$2:$AD$495&gt;=8))*ROW('CASE MASTER'!$T$2:$T$495))-(ROW('CASE MASTER'!#REF!)-1))),"")),"")</f>
        <v/>
      </c>
      <c r="J26" s="10" t="str">
        <f>IFERROR(IF(SUMPRODUCT((('CASE MASTER'!$T$2:$T$495=2)*('CASE MASTER'!$U$2:$U$495&lt;=10)*('CASE MASTER'!$W$2:$W$495&gt;=10)*('CASE MASTER'!$V$2:$V$495&lt;=9)*('CASE MASTER'!$X$2:$X$495&gt;=9))*ROW('CASE MASTER'!$T$2:$T$495))&gt;0,INDEX('CASE MASTER'!$Y$2:$Y$495,(SUMPRODUCT((('CASE MASTER'!$T$2:$T$495=2)*('CASE MASTER'!$U$2:$U$495&lt;=10)*('CASE MASTER'!$W$2:$W$495&gt;=10)*('CASE MASTER'!$V$2:$V$495&lt;=9)*('CASE MASTER'!$X$2:$X$495&gt;=9))*ROW('CASE MASTER'!$T$2:$T$495))-(ROW('CASE MASTER'!#REF!)-1)))&amp;TRIM(MID(SUBSTITUTE(SUBSTITUTE(INDEX('CASE MASTER'!$N$2:$N$495,(SUMPRODUCT((('CASE MASTER'!$T$2:$T$495=2)*('CASE MASTER'!$U$2:$U$495&lt;=10)*('CASE MASTER'!$W$2:$W$495&gt;=10)*('CASE MASTER'!$V$2:$V$495&lt;=9)*('CASE MASTER'!$X$2:$X$495&gt;=9))*ROW('CASE MASTER'!$T$2:$T$495))-(ROW('CASE MASTER'!#REF!)-1))),":",","),",",REPT(" ",50)),((((10-INDEX('CASE MASTER'!$U$2:$U$495,(SUMPRODUCT((('CASE MASTER'!$T$2:$T$495=2)*('CASE MASTER'!$U$2:$U$495&lt;=10)*('CASE MASTER'!$W$2:$W$495&gt;=10)*('CASE MASTER'!$V$2:$V$495&lt;=9)*('CASE MASTER'!$X$2:$X$495&gt;=9))*ROW('CASE MASTER'!$T$2:$T$495))-(ROW('CASE MASTER'!#REF!)-1))))*(INDEX('CASE MASTER'!$X$2:$X$495,(SUMPRODUCT((('CASE MASTER'!$T$2:$T$495=2)*('CASE MASTER'!$U$2:$U$495&lt;=10)*('CASE MASTER'!$W$2:$W$495&gt;=10)*('CASE MASTER'!$V$2:$V$495&lt;=9)*('CASE MASTER'!$X$2:$X$495&gt;=9))*ROW('CASE MASTER'!$T$2:$T$495))-(ROW('CASE MASTER'!#REF!)-1)))-INDEX('CASE MASTER'!$V$2:$V$495,(SUMPRODUCT((('CASE MASTER'!$T$2:$T$495=2)*('CASE MASTER'!$U$2:$U$495&lt;=10)*('CASE MASTER'!$W$2:$W$495&gt;=10)*('CASE MASTER'!$V$2:$V$495&lt;=9)*('CASE MASTER'!$X$2:$X$495&gt;=9))*ROW('CASE MASTER'!$T$2:$T$495))-(ROW('CASE MASTER'!#REF!)-1)))+1)+(9-INDEX('CASE MASTER'!$V$2:$V$495,(SUMPRODUCT((('CASE MASTER'!$T$2:$T$495=2)*('CASE MASTER'!$U$2:$U$495&lt;=10)*('CASE MASTER'!$W$2:$W$495&gt;=10)*('CASE MASTER'!$V$2:$V$495&lt;=9)*('CASE MASTER'!$X$2:$X$495&gt;=9))*ROW('CASE MASTER'!$T$2:$T$495))-(ROW('CASE MASTER'!#REF!)-1))))+1))-1)*50+1,50))&amp;"_"&amp;INDEX('CASE MASTER'!$Q$2:$Q$495,(SUMPRODUCT((('CASE MASTER'!$T$2:$T$495=2)*('CASE MASTER'!$U$2:$U$495&lt;=10)*('CASE MASTER'!$W$2:$W$495&gt;=10)*('CASE MASTER'!$V$2:$V$495&lt;=9)*('CASE MASTER'!$X$2:$X$495&gt;=9))*ROW('CASE MASTER'!$T$2:$T$495))-(ROW('CASE MASTER'!#REF!)-1))),IF(SUMPRODUCT((('CASE MASTER'!$T$2:$T$495=2)*('CASE MASTER'!$AA$2:$AA$495&lt;=10)*('CASE MASTER'!$AC$2:$AC$495&gt;=10)*('CASE MASTER'!$AB$2:$AB$495&lt;=9)*('CASE MASTER'!$AD$2:$AD$495&gt;=9))*ROW('CASE MASTER'!$T$2:$T$495))&gt;0,INDEX('CASE MASTER'!$Y$2:$Y$495,(SUMPRODUCT((('CASE MASTER'!$T$2:$T$495=2)*('CASE MASTER'!$AA$2:$AA$495&lt;=10)*('CASE MASTER'!$AC$2:$AC$495&gt;=10)*('CASE MASTER'!$AB$2:$AB$495&lt;=9)*('CASE MASTER'!$AD$2:$AD$495&gt;=9))*ROW('CASE MASTER'!$T$2:$T$495))-(ROW('CASE MASTER'!#REF!)-1)))&amp;TRIM(MID(SUBSTITUTE(SUBSTITUTE(INDEX('CASE MASTER'!$N$2:$N$495,(SUMPRODUCT((('CASE MASTER'!$T$2:$T$495=2)*('CASE MASTER'!$AA$2:$AA$495&lt;=10)*('CASE MASTER'!$AC$2:$AC$495&gt;=10)*('CASE MASTER'!$AB$2:$AB$495&lt;=9)*('CASE MASTER'!$AD$2:$AD$495&gt;=9))*ROW('CASE MASTER'!$T$2:$T$495))-(ROW('CASE MASTER'!#REF!)-1))),":",","),",",REPT(" ",50)),(((INDEX('CASE MASTER'!$Z$2:$Z$495,(SUMPRODUCT((('CASE MASTER'!$T$2:$T$495=2)*('CASE MASTER'!$AA$2:$AA$495&lt;=10)*('CASE MASTER'!$AC$2:$AC$495&gt;=10)*('CASE MASTER'!$AB$2:$AB$495&lt;=9)*('CASE MASTER'!$AD$2:$AD$495&gt;=9))*ROW('CASE MASTER'!$T$2:$T$495))-(ROW('CASE MASTER'!#REF!)-1)))+((10-INDEX('CASE MASTER'!$AA$2:$AA$495,(SUMPRODUCT((('CASE MASTER'!$T$2:$T$495=2)*('CASE MASTER'!$AA$2:$AA$495&lt;=10)*('CASE MASTER'!$AC$2:$AC$495&gt;=10)*('CASE MASTER'!$AB$2:$AB$495&lt;=9)*('CASE MASTER'!$AD$2:$AD$495&gt;=9))*ROW('CASE MASTER'!$T$2:$T$495))-(ROW('CASE MASTER'!#REF!)-1))))*(INDEX('CASE MASTER'!$AD$2:$AD$495,(SUMPRODUCT((('CASE MASTER'!$T$2:$T$495=2)*('CASE MASTER'!$AA$2:$AA$495&lt;=10)*('CASE MASTER'!$AC$2:$AC$495&gt;=10)*('CASE MASTER'!$AB$2:$AB$495&lt;=9)*('CASE MASTER'!$AD$2:$AD$495&gt;=9))*ROW('CASE MASTER'!$T$2:$T$495))-(ROW('CASE MASTER'!#REF!)-1)))-INDEX('CASE MASTER'!$AB$2:$AB$495,(SUMPRODUCT((('CASE MASTER'!$T$2:$T$495=2)*('CASE MASTER'!$AA$2:$AA$495&lt;=10)*('CASE MASTER'!$AC$2:$AC$495&gt;=10)*('CASE MASTER'!$AB$2:$AB$495&lt;=9)*('CASE MASTER'!$AD$2:$AD$495&gt;=9))*ROW('CASE MASTER'!$T$2:$T$495))-(ROW('CASE MASTER'!#REF!)-1)))+1)+(9-INDEX('CASE MASTER'!$AB$2:$AB$495,(SUMPRODUCT((('CASE MASTER'!$T$2:$T$495=2)*('CASE MASTER'!$AA$2:$AA$495&lt;=10)*('CASE MASTER'!$AC$2:$AC$495&gt;=10)*('CASE MASTER'!$AB$2:$AB$495&lt;=9)*('CASE MASTER'!$AD$2:$AD$495&gt;=9))*ROW('CASE MASTER'!$T$2:$T$495))-(ROW('CASE MASTER'!#REF!)-1))))+1)))-1)*50+1,50))&amp;"_"&amp;INDEX('CASE MASTER'!$Q$2:$Q$495,(SUMPRODUCT((('CASE MASTER'!$T$2:$T$495=2)*('CASE MASTER'!$AA$2:$AA$495&lt;=10)*('CASE MASTER'!$AC$2:$AC$495&gt;=10)*('CASE MASTER'!$AB$2:$AB$495&lt;=9)*('CASE MASTER'!$AD$2:$AD$495&gt;=9))*ROW('CASE MASTER'!$T$2:$T$495))-(ROW('CASE MASTER'!#REF!)-1))),"")),"")</f>
        <v/>
      </c>
      <c r="K26" s="10" t="str">
        <f>IFERROR(IF(SUMPRODUCT((('CASE MASTER'!$T$2:$T$495=2)*('CASE MASTER'!$U$2:$U$495&lt;=10)*('CASE MASTER'!$W$2:$W$495&gt;=10)*('CASE MASTER'!$V$2:$V$495&lt;=10)*('CASE MASTER'!$X$2:$X$495&gt;=10))*ROW('CASE MASTER'!$T$2:$T$495))&gt;0,INDEX('CASE MASTER'!$Y$2:$Y$495,(SUMPRODUCT((('CASE MASTER'!$T$2:$T$495=2)*('CASE MASTER'!$U$2:$U$495&lt;=10)*('CASE MASTER'!$W$2:$W$495&gt;=10)*('CASE MASTER'!$V$2:$V$495&lt;=10)*('CASE MASTER'!$X$2:$X$495&gt;=10))*ROW('CASE MASTER'!$T$2:$T$495))-(ROW('CASE MASTER'!#REF!)-1)))&amp;TRIM(MID(SUBSTITUTE(SUBSTITUTE(INDEX('CASE MASTER'!$N$2:$N$495,(SUMPRODUCT((('CASE MASTER'!$T$2:$T$495=2)*('CASE MASTER'!$U$2:$U$495&lt;=10)*('CASE MASTER'!$W$2:$W$495&gt;=10)*('CASE MASTER'!$V$2:$V$495&lt;=10)*('CASE MASTER'!$X$2:$X$495&gt;=10))*ROW('CASE MASTER'!$T$2:$T$495))-(ROW('CASE MASTER'!#REF!)-1))),":",","),",",REPT(" ",50)),((((10-INDEX('CASE MASTER'!$U$2:$U$495,(SUMPRODUCT((('CASE MASTER'!$T$2:$T$495=2)*('CASE MASTER'!$U$2:$U$495&lt;=10)*('CASE MASTER'!$W$2:$W$495&gt;=10)*('CASE MASTER'!$V$2:$V$495&lt;=10)*('CASE MASTER'!$X$2:$X$495&gt;=10))*ROW('CASE MASTER'!$T$2:$T$495))-(ROW('CASE MASTER'!#REF!)-1))))*(INDEX('CASE MASTER'!$X$2:$X$495,(SUMPRODUCT((('CASE MASTER'!$T$2:$T$495=2)*('CASE MASTER'!$U$2:$U$495&lt;=10)*('CASE MASTER'!$W$2:$W$495&gt;=10)*('CASE MASTER'!$V$2:$V$495&lt;=10)*('CASE MASTER'!$X$2:$X$495&gt;=10))*ROW('CASE MASTER'!$T$2:$T$495))-(ROW('CASE MASTER'!#REF!)-1)))-INDEX('CASE MASTER'!$V$2:$V$495,(SUMPRODUCT((('CASE MASTER'!$T$2:$T$495=2)*('CASE MASTER'!$U$2:$U$495&lt;=10)*('CASE MASTER'!$W$2:$W$495&gt;=10)*('CASE MASTER'!$V$2:$V$495&lt;=10)*('CASE MASTER'!$X$2:$X$495&gt;=10))*ROW('CASE MASTER'!$T$2:$T$495))-(ROW('CASE MASTER'!#REF!)-1)))+1)+(10-INDEX('CASE MASTER'!$V$2:$V$495,(SUMPRODUCT((('CASE MASTER'!$T$2:$T$495=2)*('CASE MASTER'!$U$2:$U$495&lt;=10)*('CASE MASTER'!$W$2:$W$495&gt;=10)*('CASE MASTER'!$V$2:$V$495&lt;=10)*('CASE MASTER'!$X$2:$X$495&gt;=10))*ROW('CASE MASTER'!$T$2:$T$495))-(ROW('CASE MASTER'!#REF!)-1))))+1))-1)*50+1,50))&amp;"_"&amp;INDEX('CASE MASTER'!$Q$2:$Q$495,(SUMPRODUCT((('CASE MASTER'!$T$2:$T$495=2)*('CASE MASTER'!$U$2:$U$495&lt;=10)*('CASE MASTER'!$W$2:$W$495&gt;=10)*('CASE MASTER'!$V$2:$V$495&lt;=10)*('CASE MASTER'!$X$2:$X$495&gt;=10))*ROW('CASE MASTER'!$T$2:$T$495))-(ROW('CASE MASTER'!#REF!)-1))),IF(SUMPRODUCT((('CASE MASTER'!$T$2:$T$495=2)*('CASE MASTER'!$AA$2:$AA$495&lt;=10)*('CASE MASTER'!$AC$2:$AC$495&gt;=10)*('CASE MASTER'!$AB$2:$AB$495&lt;=10)*('CASE MASTER'!$AD$2:$AD$495&gt;=10))*ROW('CASE MASTER'!$T$2:$T$495))&gt;0,INDEX('CASE MASTER'!$Y$2:$Y$495,(SUMPRODUCT((('CASE MASTER'!$T$2:$T$495=2)*('CASE MASTER'!$AA$2:$AA$495&lt;=10)*('CASE MASTER'!$AC$2:$AC$495&gt;=10)*('CASE MASTER'!$AB$2:$AB$495&lt;=10)*('CASE MASTER'!$AD$2:$AD$495&gt;=10))*ROW('CASE MASTER'!$T$2:$T$495))-(ROW('CASE MASTER'!#REF!)-1)))&amp;TRIM(MID(SUBSTITUTE(SUBSTITUTE(INDEX('CASE MASTER'!$N$2:$N$495,(SUMPRODUCT((('CASE MASTER'!$T$2:$T$495=2)*('CASE MASTER'!$AA$2:$AA$495&lt;=10)*('CASE MASTER'!$AC$2:$AC$495&gt;=10)*('CASE MASTER'!$AB$2:$AB$495&lt;=10)*('CASE MASTER'!$AD$2:$AD$495&gt;=10))*ROW('CASE MASTER'!$T$2:$T$495))-(ROW('CASE MASTER'!#REF!)-1))),":",","),",",REPT(" ",50)),(((INDEX('CASE MASTER'!$Z$2:$Z$495,(SUMPRODUCT((('CASE MASTER'!$T$2:$T$495=2)*('CASE MASTER'!$AA$2:$AA$495&lt;=10)*('CASE MASTER'!$AC$2:$AC$495&gt;=10)*('CASE MASTER'!$AB$2:$AB$495&lt;=10)*('CASE MASTER'!$AD$2:$AD$495&gt;=10))*ROW('CASE MASTER'!$T$2:$T$495))-(ROW('CASE MASTER'!#REF!)-1)))+((10-INDEX('CASE MASTER'!$AA$2:$AA$495,(SUMPRODUCT((('CASE MASTER'!$T$2:$T$495=2)*('CASE MASTER'!$AA$2:$AA$495&lt;=10)*('CASE MASTER'!$AC$2:$AC$495&gt;=10)*('CASE MASTER'!$AB$2:$AB$495&lt;=10)*('CASE MASTER'!$AD$2:$AD$495&gt;=10))*ROW('CASE MASTER'!$T$2:$T$495))-(ROW('CASE MASTER'!#REF!)-1))))*(INDEX('CASE MASTER'!$AD$2:$AD$495,(SUMPRODUCT((('CASE MASTER'!$T$2:$T$495=2)*('CASE MASTER'!$AA$2:$AA$495&lt;=10)*('CASE MASTER'!$AC$2:$AC$495&gt;=10)*('CASE MASTER'!$AB$2:$AB$495&lt;=10)*('CASE MASTER'!$AD$2:$AD$495&gt;=10))*ROW('CASE MASTER'!$T$2:$T$495))-(ROW('CASE MASTER'!#REF!)-1)))-INDEX('CASE MASTER'!$AB$2:$AB$495,(SUMPRODUCT((('CASE MASTER'!$T$2:$T$495=2)*('CASE MASTER'!$AA$2:$AA$495&lt;=10)*('CASE MASTER'!$AC$2:$AC$495&gt;=10)*('CASE MASTER'!$AB$2:$AB$495&lt;=10)*('CASE MASTER'!$AD$2:$AD$495&gt;=10))*ROW('CASE MASTER'!$T$2:$T$495))-(ROW('CASE MASTER'!#REF!)-1)))+1)+(10-INDEX('CASE MASTER'!$AB$2:$AB$495,(SUMPRODUCT((('CASE MASTER'!$T$2:$T$495=2)*('CASE MASTER'!$AA$2:$AA$495&lt;=10)*('CASE MASTER'!$AC$2:$AC$495&gt;=10)*('CASE MASTER'!$AB$2:$AB$495&lt;=10)*('CASE MASTER'!$AD$2:$AD$495&gt;=10))*ROW('CASE MASTER'!$T$2:$T$495))-(ROW('CASE MASTER'!#REF!)-1))))+1)))-1)*50+1,50))&amp;"_"&amp;INDEX('CASE MASTER'!$Q$2:$Q$495,(SUMPRODUCT((('CASE MASTER'!$T$2:$T$495=2)*('CASE MASTER'!$AA$2:$AA$495&lt;=10)*('CASE MASTER'!$AC$2:$AC$495&gt;=10)*('CASE MASTER'!$AB$2:$AB$495&lt;=10)*('CASE MASTER'!$AD$2:$AD$495&gt;=10))*ROW('CASE MASTER'!$T$2:$T$495))-(ROW('CASE MASTER'!#REF!)-1))),"")),"")</f>
        <v/>
      </c>
    </row>
    <row r="29" spans="1:11" ht="15" customHeight="1" x14ac:dyDescent="0.35">
      <c r="A29" s="12" t="s">
        <v>84</v>
      </c>
      <c r="B29" s="13"/>
      <c r="C29" s="13"/>
      <c r="D29" s="13"/>
      <c r="E29" s="13"/>
      <c r="F29" s="13"/>
      <c r="G29" s="13"/>
      <c r="H29" s="13"/>
      <c r="I29" s="13"/>
      <c r="J29" s="13"/>
      <c r="K29" s="13"/>
    </row>
    <row r="30" spans="1:11" ht="15" customHeight="1" x14ac:dyDescent="0.35">
      <c r="B30" s="8">
        <v>1</v>
      </c>
      <c r="C30" s="8">
        <v>2</v>
      </c>
      <c r="D30" s="8">
        <v>3</v>
      </c>
      <c r="E30" s="8">
        <v>4</v>
      </c>
      <c r="F30" s="8">
        <v>5</v>
      </c>
      <c r="G30" s="8">
        <v>6</v>
      </c>
      <c r="H30" s="8">
        <v>7</v>
      </c>
      <c r="I30" s="8">
        <v>8</v>
      </c>
      <c r="J30" s="8">
        <v>9</v>
      </c>
      <c r="K30" s="8">
        <v>10</v>
      </c>
    </row>
    <row r="31" spans="1:11" ht="15" customHeight="1" x14ac:dyDescent="0.35">
      <c r="A31" s="8" t="s">
        <v>28</v>
      </c>
      <c r="B31" s="10" t="str">
        <f>IFERROR(IF(SUMPRODUCT((('CASE MASTER'!$T$2:$T$495=3)*('CASE MASTER'!$U$2:$U$495&lt;=1)*('CASE MASTER'!$W$2:$W$495&gt;=1)*('CASE MASTER'!$V$2:$V$495&lt;=1)*('CASE MASTER'!$X$2:$X$495&gt;=1))*ROW('CASE MASTER'!$T$2:$T$495))&gt;0,INDEX('CASE MASTER'!$Y$2:$Y$495,(SUMPRODUCT((('CASE MASTER'!$T$2:$T$495=3)*('CASE MASTER'!$U$2:$U$495&lt;=1)*('CASE MASTER'!$W$2:$W$495&gt;=1)*('CASE MASTER'!$V$2:$V$495&lt;=1)*('CASE MASTER'!$X$2:$X$495&gt;=1))*ROW('CASE MASTER'!$T$2:$T$495))-(ROW('CASE MASTER'!#REF!)-1)))&amp;TRIM(MID(SUBSTITUTE(SUBSTITUTE(INDEX('CASE MASTER'!$N$2:$N$495,(SUMPRODUCT((('CASE MASTER'!$T$2:$T$495=3)*('CASE MASTER'!$U$2:$U$495&lt;=1)*('CASE MASTER'!$W$2:$W$495&gt;=1)*('CASE MASTER'!$V$2:$V$495&lt;=1)*('CASE MASTER'!$X$2:$X$495&gt;=1))*ROW('CASE MASTER'!$T$2:$T$495))-(ROW('CASE MASTER'!#REF!)-1))),":",","),",",REPT(" ",50)),((((1-INDEX('CASE MASTER'!$U$2:$U$495,(SUMPRODUCT((('CASE MASTER'!$T$2:$T$495=3)*('CASE MASTER'!$U$2:$U$495&lt;=1)*('CASE MASTER'!$W$2:$W$495&gt;=1)*('CASE MASTER'!$V$2:$V$495&lt;=1)*('CASE MASTER'!$X$2:$X$495&gt;=1))*ROW('CASE MASTER'!$T$2:$T$495))-(ROW('CASE MASTER'!#REF!)-1))))*(INDEX('CASE MASTER'!$X$2:$X$495,(SUMPRODUCT((('CASE MASTER'!$T$2:$T$495=3)*('CASE MASTER'!$U$2:$U$495&lt;=1)*('CASE MASTER'!$W$2:$W$495&gt;=1)*('CASE MASTER'!$V$2:$V$495&lt;=1)*('CASE MASTER'!$X$2:$X$495&gt;=1))*ROW('CASE MASTER'!$T$2:$T$495))-(ROW('CASE MASTER'!#REF!)-1)))-INDEX('CASE MASTER'!$V$2:$V$495,(SUMPRODUCT((('CASE MASTER'!$T$2:$T$495=3)*('CASE MASTER'!$U$2:$U$495&lt;=1)*('CASE MASTER'!$W$2:$W$495&gt;=1)*('CASE MASTER'!$V$2:$V$495&lt;=1)*('CASE MASTER'!$X$2:$X$495&gt;=1))*ROW('CASE MASTER'!$T$2:$T$495))-(ROW('CASE MASTER'!#REF!)-1)))+1)+(1-INDEX('CASE MASTER'!$V$2:$V$495,(SUMPRODUCT((('CASE MASTER'!$T$2:$T$495=3)*('CASE MASTER'!$U$2:$U$495&lt;=1)*('CASE MASTER'!$W$2:$W$495&gt;=1)*('CASE MASTER'!$V$2:$V$495&lt;=1)*('CASE MASTER'!$X$2:$X$495&gt;=1))*ROW('CASE MASTER'!$T$2:$T$495))-(ROW('CASE MASTER'!#REF!)-1))))+1))-1)*50+1,50))&amp;"_"&amp;INDEX('CASE MASTER'!$Q$2:$Q$495,(SUMPRODUCT((('CASE MASTER'!$T$2:$T$495=3)*('CASE MASTER'!$U$2:$U$495&lt;=1)*('CASE MASTER'!$W$2:$W$495&gt;=1)*('CASE MASTER'!$V$2:$V$495&lt;=1)*('CASE MASTER'!$X$2:$X$495&gt;=1))*ROW('CASE MASTER'!$T$2:$T$495))-(ROW('CASE MASTER'!#REF!)-1))),IF(SUMPRODUCT((('CASE MASTER'!$T$2:$T$495=3)*('CASE MASTER'!$AA$2:$AA$495&lt;=1)*('CASE MASTER'!$AC$2:$AC$495&gt;=1)*('CASE MASTER'!$AB$2:$AB$495&lt;=1)*('CASE MASTER'!$AD$2:$AD$495&gt;=1))*ROW('CASE MASTER'!$T$2:$T$495))&gt;0,INDEX('CASE MASTER'!$Y$2:$Y$495,(SUMPRODUCT((('CASE MASTER'!$T$2:$T$495=3)*('CASE MASTER'!$AA$2:$AA$495&lt;=1)*('CASE MASTER'!$AC$2:$AC$495&gt;=1)*('CASE MASTER'!$AB$2:$AB$495&lt;=1)*('CASE MASTER'!$AD$2:$AD$495&gt;=1))*ROW('CASE MASTER'!$T$2:$T$495))-(ROW('CASE MASTER'!#REF!)-1)))&amp;TRIM(MID(SUBSTITUTE(SUBSTITUTE(INDEX('CASE MASTER'!$N$2:$N$495,(SUMPRODUCT((('CASE MASTER'!$T$2:$T$495=3)*('CASE MASTER'!$AA$2:$AA$495&lt;=1)*('CASE MASTER'!$AC$2:$AC$495&gt;=1)*('CASE MASTER'!$AB$2:$AB$495&lt;=1)*('CASE MASTER'!$AD$2:$AD$495&gt;=1))*ROW('CASE MASTER'!$T$2:$T$495))-(ROW('CASE MASTER'!#REF!)-1))),":",","),",",REPT(" ",50)),(((INDEX('CASE MASTER'!$Z$2:$Z$495,(SUMPRODUCT((('CASE MASTER'!$T$2:$T$495=3)*('CASE MASTER'!$AA$2:$AA$495&lt;=1)*('CASE MASTER'!$AC$2:$AC$495&gt;=1)*('CASE MASTER'!$AB$2:$AB$495&lt;=1)*('CASE MASTER'!$AD$2:$AD$495&gt;=1))*ROW('CASE MASTER'!$T$2:$T$495))-(ROW('CASE MASTER'!#REF!)-1)))+((1-INDEX('CASE MASTER'!$AA$2:$AA$495,(SUMPRODUCT((('CASE MASTER'!$T$2:$T$495=3)*('CASE MASTER'!$AA$2:$AA$495&lt;=1)*('CASE MASTER'!$AC$2:$AC$495&gt;=1)*('CASE MASTER'!$AB$2:$AB$495&lt;=1)*('CASE MASTER'!$AD$2:$AD$495&gt;=1))*ROW('CASE MASTER'!$T$2:$T$495))-(ROW('CASE MASTER'!#REF!)-1))))*(INDEX('CASE MASTER'!$AD$2:$AD$495,(SUMPRODUCT((('CASE MASTER'!$T$2:$T$495=3)*('CASE MASTER'!$AA$2:$AA$495&lt;=1)*('CASE MASTER'!$AC$2:$AC$495&gt;=1)*('CASE MASTER'!$AB$2:$AB$495&lt;=1)*('CASE MASTER'!$AD$2:$AD$495&gt;=1))*ROW('CASE MASTER'!$T$2:$T$495))-(ROW('CASE MASTER'!#REF!)-1)))-INDEX('CASE MASTER'!$AB$2:$AB$495,(SUMPRODUCT((('CASE MASTER'!$T$2:$T$495=3)*('CASE MASTER'!$AA$2:$AA$495&lt;=1)*('CASE MASTER'!$AC$2:$AC$495&gt;=1)*('CASE MASTER'!$AB$2:$AB$495&lt;=1)*('CASE MASTER'!$AD$2:$AD$495&gt;=1))*ROW('CASE MASTER'!$T$2:$T$495))-(ROW('CASE MASTER'!#REF!)-1)))+1)+(1-INDEX('CASE MASTER'!$AB$2:$AB$495,(SUMPRODUCT((('CASE MASTER'!$T$2:$T$495=3)*('CASE MASTER'!$AA$2:$AA$495&lt;=1)*('CASE MASTER'!$AC$2:$AC$495&gt;=1)*('CASE MASTER'!$AB$2:$AB$495&lt;=1)*('CASE MASTER'!$AD$2:$AD$495&gt;=1))*ROW('CASE MASTER'!$T$2:$T$495))-(ROW('CASE MASTER'!#REF!)-1))))+1)))-1)*50+1,50))&amp;"_"&amp;INDEX('CASE MASTER'!$Q$2:$Q$495,(SUMPRODUCT((('CASE MASTER'!$T$2:$T$495=3)*('CASE MASTER'!$AA$2:$AA$495&lt;=1)*('CASE MASTER'!$AC$2:$AC$495&gt;=1)*('CASE MASTER'!$AB$2:$AB$495&lt;=1)*('CASE MASTER'!$AD$2:$AD$495&gt;=1))*ROW('CASE MASTER'!$T$2:$T$495))-(ROW('CASE MASTER'!#REF!)-1))),"")),"")</f>
        <v/>
      </c>
      <c r="C31" s="10" t="str">
        <f>IFERROR(IF(SUMPRODUCT((('CASE MASTER'!$T$2:$T$495=3)*('CASE MASTER'!$U$2:$U$495&lt;=1)*('CASE MASTER'!$W$2:$W$495&gt;=1)*('CASE MASTER'!$V$2:$V$495&lt;=2)*('CASE MASTER'!$X$2:$X$495&gt;=2))*ROW('CASE MASTER'!$T$2:$T$495))&gt;0,INDEX('CASE MASTER'!$Y$2:$Y$495,(SUMPRODUCT((('CASE MASTER'!$T$2:$T$495=3)*('CASE MASTER'!$U$2:$U$495&lt;=1)*('CASE MASTER'!$W$2:$W$495&gt;=1)*('CASE MASTER'!$V$2:$V$495&lt;=2)*('CASE MASTER'!$X$2:$X$495&gt;=2))*ROW('CASE MASTER'!$T$2:$T$495))-(ROW('CASE MASTER'!#REF!)-1)))&amp;TRIM(MID(SUBSTITUTE(SUBSTITUTE(INDEX('CASE MASTER'!$N$2:$N$495,(SUMPRODUCT((('CASE MASTER'!$T$2:$T$495=3)*('CASE MASTER'!$U$2:$U$495&lt;=1)*('CASE MASTER'!$W$2:$W$495&gt;=1)*('CASE MASTER'!$V$2:$V$495&lt;=2)*('CASE MASTER'!$X$2:$X$495&gt;=2))*ROW('CASE MASTER'!$T$2:$T$495))-(ROW('CASE MASTER'!#REF!)-1))),":",","),",",REPT(" ",50)),((((1-INDEX('CASE MASTER'!$U$2:$U$495,(SUMPRODUCT((('CASE MASTER'!$T$2:$T$495=3)*('CASE MASTER'!$U$2:$U$495&lt;=1)*('CASE MASTER'!$W$2:$W$495&gt;=1)*('CASE MASTER'!$V$2:$V$495&lt;=2)*('CASE MASTER'!$X$2:$X$495&gt;=2))*ROW('CASE MASTER'!$T$2:$T$495))-(ROW('CASE MASTER'!#REF!)-1))))*(INDEX('CASE MASTER'!$X$2:$X$495,(SUMPRODUCT((('CASE MASTER'!$T$2:$T$495=3)*('CASE MASTER'!$U$2:$U$495&lt;=1)*('CASE MASTER'!$W$2:$W$495&gt;=1)*('CASE MASTER'!$V$2:$V$495&lt;=2)*('CASE MASTER'!$X$2:$X$495&gt;=2))*ROW('CASE MASTER'!$T$2:$T$495))-(ROW('CASE MASTER'!#REF!)-1)))-INDEX('CASE MASTER'!$V$2:$V$495,(SUMPRODUCT((('CASE MASTER'!$T$2:$T$495=3)*('CASE MASTER'!$U$2:$U$495&lt;=1)*('CASE MASTER'!$W$2:$W$495&gt;=1)*('CASE MASTER'!$V$2:$V$495&lt;=2)*('CASE MASTER'!$X$2:$X$495&gt;=2))*ROW('CASE MASTER'!$T$2:$T$495))-(ROW('CASE MASTER'!#REF!)-1)))+1)+(2-INDEX('CASE MASTER'!$V$2:$V$495,(SUMPRODUCT((('CASE MASTER'!$T$2:$T$495=3)*('CASE MASTER'!$U$2:$U$495&lt;=1)*('CASE MASTER'!$W$2:$W$495&gt;=1)*('CASE MASTER'!$V$2:$V$495&lt;=2)*('CASE MASTER'!$X$2:$X$495&gt;=2))*ROW('CASE MASTER'!$T$2:$T$495))-(ROW('CASE MASTER'!#REF!)-1))))+1))-1)*50+1,50))&amp;"_"&amp;INDEX('CASE MASTER'!$Q$2:$Q$495,(SUMPRODUCT((('CASE MASTER'!$T$2:$T$495=3)*('CASE MASTER'!$U$2:$U$495&lt;=1)*('CASE MASTER'!$W$2:$W$495&gt;=1)*('CASE MASTER'!$V$2:$V$495&lt;=2)*('CASE MASTER'!$X$2:$X$495&gt;=2))*ROW('CASE MASTER'!$T$2:$T$495))-(ROW('CASE MASTER'!#REF!)-1))),IF(SUMPRODUCT((('CASE MASTER'!$T$2:$T$495=3)*('CASE MASTER'!$AA$2:$AA$495&lt;=1)*('CASE MASTER'!$AC$2:$AC$495&gt;=1)*('CASE MASTER'!$AB$2:$AB$495&lt;=2)*('CASE MASTER'!$AD$2:$AD$495&gt;=2))*ROW('CASE MASTER'!$T$2:$T$495))&gt;0,INDEX('CASE MASTER'!$Y$2:$Y$495,(SUMPRODUCT((('CASE MASTER'!$T$2:$T$495=3)*('CASE MASTER'!$AA$2:$AA$495&lt;=1)*('CASE MASTER'!$AC$2:$AC$495&gt;=1)*('CASE MASTER'!$AB$2:$AB$495&lt;=2)*('CASE MASTER'!$AD$2:$AD$495&gt;=2))*ROW('CASE MASTER'!$T$2:$T$495))-(ROW('CASE MASTER'!#REF!)-1)))&amp;TRIM(MID(SUBSTITUTE(SUBSTITUTE(INDEX('CASE MASTER'!$N$2:$N$495,(SUMPRODUCT((('CASE MASTER'!$T$2:$T$495=3)*('CASE MASTER'!$AA$2:$AA$495&lt;=1)*('CASE MASTER'!$AC$2:$AC$495&gt;=1)*('CASE MASTER'!$AB$2:$AB$495&lt;=2)*('CASE MASTER'!$AD$2:$AD$495&gt;=2))*ROW('CASE MASTER'!$T$2:$T$495))-(ROW('CASE MASTER'!#REF!)-1))),":",","),",",REPT(" ",50)),(((INDEX('CASE MASTER'!$Z$2:$Z$495,(SUMPRODUCT((('CASE MASTER'!$T$2:$T$495=3)*('CASE MASTER'!$AA$2:$AA$495&lt;=1)*('CASE MASTER'!$AC$2:$AC$495&gt;=1)*('CASE MASTER'!$AB$2:$AB$495&lt;=2)*('CASE MASTER'!$AD$2:$AD$495&gt;=2))*ROW('CASE MASTER'!$T$2:$T$495))-(ROW('CASE MASTER'!#REF!)-1)))+((1-INDEX('CASE MASTER'!$AA$2:$AA$495,(SUMPRODUCT((('CASE MASTER'!$T$2:$T$495=3)*('CASE MASTER'!$AA$2:$AA$495&lt;=1)*('CASE MASTER'!$AC$2:$AC$495&gt;=1)*('CASE MASTER'!$AB$2:$AB$495&lt;=2)*('CASE MASTER'!$AD$2:$AD$495&gt;=2))*ROW('CASE MASTER'!$T$2:$T$495))-(ROW('CASE MASTER'!#REF!)-1))))*(INDEX('CASE MASTER'!$AD$2:$AD$495,(SUMPRODUCT((('CASE MASTER'!$T$2:$T$495=3)*('CASE MASTER'!$AA$2:$AA$495&lt;=1)*('CASE MASTER'!$AC$2:$AC$495&gt;=1)*('CASE MASTER'!$AB$2:$AB$495&lt;=2)*('CASE MASTER'!$AD$2:$AD$495&gt;=2))*ROW('CASE MASTER'!$T$2:$T$495))-(ROW('CASE MASTER'!#REF!)-1)))-INDEX('CASE MASTER'!$AB$2:$AB$495,(SUMPRODUCT((('CASE MASTER'!$T$2:$T$495=3)*('CASE MASTER'!$AA$2:$AA$495&lt;=1)*('CASE MASTER'!$AC$2:$AC$495&gt;=1)*('CASE MASTER'!$AB$2:$AB$495&lt;=2)*('CASE MASTER'!$AD$2:$AD$495&gt;=2))*ROW('CASE MASTER'!$T$2:$T$495))-(ROW('CASE MASTER'!#REF!)-1)))+1)+(2-INDEX('CASE MASTER'!$AB$2:$AB$495,(SUMPRODUCT((('CASE MASTER'!$T$2:$T$495=3)*('CASE MASTER'!$AA$2:$AA$495&lt;=1)*('CASE MASTER'!$AC$2:$AC$495&gt;=1)*('CASE MASTER'!$AB$2:$AB$495&lt;=2)*('CASE MASTER'!$AD$2:$AD$495&gt;=2))*ROW('CASE MASTER'!$T$2:$T$495))-(ROW('CASE MASTER'!#REF!)-1))))+1)))-1)*50+1,50))&amp;"_"&amp;INDEX('CASE MASTER'!$Q$2:$Q$495,(SUMPRODUCT((('CASE MASTER'!$T$2:$T$495=3)*('CASE MASTER'!$AA$2:$AA$495&lt;=1)*('CASE MASTER'!$AC$2:$AC$495&gt;=1)*('CASE MASTER'!$AB$2:$AB$495&lt;=2)*('CASE MASTER'!$AD$2:$AD$495&gt;=2))*ROW('CASE MASTER'!$T$2:$T$495))-(ROW('CASE MASTER'!#REF!)-1))),"")),"")</f>
        <v/>
      </c>
      <c r="D31" s="10" t="str">
        <f>IFERROR(IF(SUMPRODUCT((('CASE MASTER'!$T$2:$T$495=3)*('CASE MASTER'!$U$2:$U$495&lt;=1)*('CASE MASTER'!$W$2:$W$495&gt;=1)*('CASE MASTER'!$V$2:$V$495&lt;=3)*('CASE MASTER'!$X$2:$X$495&gt;=3))*ROW('CASE MASTER'!$T$2:$T$495))&gt;0,INDEX('CASE MASTER'!$Y$2:$Y$495,(SUMPRODUCT((('CASE MASTER'!$T$2:$T$495=3)*('CASE MASTER'!$U$2:$U$495&lt;=1)*('CASE MASTER'!$W$2:$W$495&gt;=1)*('CASE MASTER'!$V$2:$V$495&lt;=3)*('CASE MASTER'!$X$2:$X$495&gt;=3))*ROW('CASE MASTER'!$T$2:$T$495))-(ROW('CASE MASTER'!#REF!)-1)))&amp;TRIM(MID(SUBSTITUTE(SUBSTITUTE(INDEX('CASE MASTER'!$N$2:$N$495,(SUMPRODUCT((('CASE MASTER'!$T$2:$T$495=3)*('CASE MASTER'!$U$2:$U$495&lt;=1)*('CASE MASTER'!$W$2:$W$495&gt;=1)*('CASE MASTER'!$V$2:$V$495&lt;=3)*('CASE MASTER'!$X$2:$X$495&gt;=3))*ROW('CASE MASTER'!$T$2:$T$495))-(ROW('CASE MASTER'!#REF!)-1))),":",","),",",REPT(" ",50)),((((1-INDEX('CASE MASTER'!$U$2:$U$495,(SUMPRODUCT((('CASE MASTER'!$T$2:$T$495=3)*('CASE MASTER'!$U$2:$U$495&lt;=1)*('CASE MASTER'!$W$2:$W$495&gt;=1)*('CASE MASTER'!$V$2:$V$495&lt;=3)*('CASE MASTER'!$X$2:$X$495&gt;=3))*ROW('CASE MASTER'!$T$2:$T$495))-(ROW('CASE MASTER'!#REF!)-1))))*(INDEX('CASE MASTER'!$X$2:$X$495,(SUMPRODUCT((('CASE MASTER'!$T$2:$T$495=3)*('CASE MASTER'!$U$2:$U$495&lt;=1)*('CASE MASTER'!$W$2:$W$495&gt;=1)*('CASE MASTER'!$V$2:$V$495&lt;=3)*('CASE MASTER'!$X$2:$X$495&gt;=3))*ROW('CASE MASTER'!$T$2:$T$495))-(ROW('CASE MASTER'!#REF!)-1)))-INDEX('CASE MASTER'!$V$2:$V$495,(SUMPRODUCT((('CASE MASTER'!$T$2:$T$495=3)*('CASE MASTER'!$U$2:$U$495&lt;=1)*('CASE MASTER'!$W$2:$W$495&gt;=1)*('CASE MASTER'!$V$2:$V$495&lt;=3)*('CASE MASTER'!$X$2:$X$495&gt;=3))*ROW('CASE MASTER'!$T$2:$T$495))-(ROW('CASE MASTER'!#REF!)-1)))+1)+(3-INDEX('CASE MASTER'!$V$2:$V$495,(SUMPRODUCT((('CASE MASTER'!$T$2:$T$495=3)*('CASE MASTER'!$U$2:$U$495&lt;=1)*('CASE MASTER'!$W$2:$W$495&gt;=1)*('CASE MASTER'!$V$2:$V$495&lt;=3)*('CASE MASTER'!$X$2:$X$495&gt;=3))*ROW('CASE MASTER'!$T$2:$T$495))-(ROW('CASE MASTER'!#REF!)-1))))+1))-1)*50+1,50))&amp;"_"&amp;INDEX('CASE MASTER'!$Q$2:$Q$495,(SUMPRODUCT((('CASE MASTER'!$T$2:$T$495=3)*('CASE MASTER'!$U$2:$U$495&lt;=1)*('CASE MASTER'!$W$2:$W$495&gt;=1)*('CASE MASTER'!$V$2:$V$495&lt;=3)*('CASE MASTER'!$X$2:$X$495&gt;=3))*ROW('CASE MASTER'!$T$2:$T$495))-(ROW('CASE MASTER'!#REF!)-1))),IF(SUMPRODUCT((('CASE MASTER'!$T$2:$T$495=3)*('CASE MASTER'!$AA$2:$AA$495&lt;=1)*('CASE MASTER'!$AC$2:$AC$495&gt;=1)*('CASE MASTER'!$AB$2:$AB$495&lt;=3)*('CASE MASTER'!$AD$2:$AD$495&gt;=3))*ROW('CASE MASTER'!$T$2:$T$495))&gt;0,INDEX('CASE MASTER'!$Y$2:$Y$495,(SUMPRODUCT((('CASE MASTER'!$T$2:$T$495=3)*('CASE MASTER'!$AA$2:$AA$495&lt;=1)*('CASE MASTER'!$AC$2:$AC$495&gt;=1)*('CASE MASTER'!$AB$2:$AB$495&lt;=3)*('CASE MASTER'!$AD$2:$AD$495&gt;=3))*ROW('CASE MASTER'!$T$2:$T$495))-(ROW('CASE MASTER'!#REF!)-1)))&amp;TRIM(MID(SUBSTITUTE(SUBSTITUTE(INDEX('CASE MASTER'!$N$2:$N$495,(SUMPRODUCT((('CASE MASTER'!$T$2:$T$495=3)*('CASE MASTER'!$AA$2:$AA$495&lt;=1)*('CASE MASTER'!$AC$2:$AC$495&gt;=1)*('CASE MASTER'!$AB$2:$AB$495&lt;=3)*('CASE MASTER'!$AD$2:$AD$495&gt;=3))*ROW('CASE MASTER'!$T$2:$T$495))-(ROW('CASE MASTER'!#REF!)-1))),":",","),",",REPT(" ",50)),(((INDEX('CASE MASTER'!$Z$2:$Z$495,(SUMPRODUCT((('CASE MASTER'!$T$2:$T$495=3)*('CASE MASTER'!$AA$2:$AA$495&lt;=1)*('CASE MASTER'!$AC$2:$AC$495&gt;=1)*('CASE MASTER'!$AB$2:$AB$495&lt;=3)*('CASE MASTER'!$AD$2:$AD$495&gt;=3))*ROW('CASE MASTER'!$T$2:$T$495))-(ROW('CASE MASTER'!#REF!)-1)))+((1-INDEX('CASE MASTER'!$AA$2:$AA$495,(SUMPRODUCT((('CASE MASTER'!$T$2:$T$495=3)*('CASE MASTER'!$AA$2:$AA$495&lt;=1)*('CASE MASTER'!$AC$2:$AC$495&gt;=1)*('CASE MASTER'!$AB$2:$AB$495&lt;=3)*('CASE MASTER'!$AD$2:$AD$495&gt;=3))*ROW('CASE MASTER'!$T$2:$T$495))-(ROW('CASE MASTER'!#REF!)-1))))*(INDEX('CASE MASTER'!$AD$2:$AD$495,(SUMPRODUCT((('CASE MASTER'!$T$2:$T$495=3)*('CASE MASTER'!$AA$2:$AA$495&lt;=1)*('CASE MASTER'!$AC$2:$AC$495&gt;=1)*('CASE MASTER'!$AB$2:$AB$495&lt;=3)*('CASE MASTER'!$AD$2:$AD$495&gt;=3))*ROW('CASE MASTER'!$T$2:$T$495))-(ROW('CASE MASTER'!#REF!)-1)))-INDEX('CASE MASTER'!$AB$2:$AB$495,(SUMPRODUCT((('CASE MASTER'!$T$2:$T$495=3)*('CASE MASTER'!$AA$2:$AA$495&lt;=1)*('CASE MASTER'!$AC$2:$AC$495&gt;=1)*('CASE MASTER'!$AB$2:$AB$495&lt;=3)*('CASE MASTER'!$AD$2:$AD$495&gt;=3))*ROW('CASE MASTER'!$T$2:$T$495))-(ROW('CASE MASTER'!#REF!)-1)))+1)+(3-INDEX('CASE MASTER'!$AB$2:$AB$495,(SUMPRODUCT((('CASE MASTER'!$T$2:$T$495=3)*('CASE MASTER'!$AA$2:$AA$495&lt;=1)*('CASE MASTER'!$AC$2:$AC$495&gt;=1)*('CASE MASTER'!$AB$2:$AB$495&lt;=3)*('CASE MASTER'!$AD$2:$AD$495&gt;=3))*ROW('CASE MASTER'!$T$2:$T$495))-(ROW('CASE MASTER'!#REF!)-1))))+1)))-1)*50+1,50))&amp;"_"&amp;INDEX('CASE MASTER'!$Q$2:$Q$495,(SUMPRODUCT((('CASE MASTER'!$T$2:$T$495=3)*('CASE MASTER'!$AA$2:$AA$495&lt;=1)*('CASE MASTER'!$AC$2:$AC$495&gt;=1)*('CASE MASTER'!$AB$2:$AB$495&lt;=3)*('CASE MASTER'!$AD$2:$AD$495&gt;=3))*ROW('CASE MASTER'!$T$2:$T$495))-(ROW('CASE MASTER'!#REF!)-1))),"")),"")</f>
        <v/>
      </c>
      <c r="E31" s="10" t="str">
        <f>IFERROR(IF(SUMPRODUCT((('CASE MASTER'!$T$2:$T$495=3)*('CASE MASTER'!$U$2:$U$495&lt;=1)*('CASE MASTER'!$W$2:$W$495&gt;=1)*('CASE MASTER'!$V$2:$V$495&lt;=4)*('CASE MASTER'!$X$2:$X$495&gt;=4))*ROW('CASE MASTER'!$T$2:$T$495))&gt;0,INDEX('CASE MASTER'!$Y$2:$Y$495,(SUMPRODUCT((('CASE MASTER'!$T$2:$T$495=3)*('CASE MASTER'!$U$2:$U$495&lt;=1)*('CASE MASTER'!$W$2:$W$495&gt;=1)*('CASE MASTER'!$V$2:$V$495&lt;=4)*('CASE MASTER'!$X$2:$X$495&gt;=4))*ROW('CASE MASTER'!$T$2:$T$495))-(ROW('CASE MASTER'!#REF!)-1)))&amp;TRIM(MID(SUBSTITUTE(SUBSTITUTE(INDEX('CASE MASTER'!$N$2:$N$495,(SUMPRODUCT((('CASE MASTER'!$T$2:$T$495=3)*('CASE MASTER'!$U$2:$U$495&lt;=1)*('CASE MASTER'!$W$2:$W$495&gt;=1)*('CASE MASTER'!$V$2:$V$495&lt;=4)*('CASE MASTER'!$X$2:$X$495&gt;=4))*ROW('CASE MASTER'!$T$2:$T$495))-(ROW('CASE MASTER'!#REF!)-1))),":",","),",",REPT(" ",50)),((((1-INDEX('CASE MASTER'!$U$2:$U$495,(SUMPRODUCT((('CASE MASTER'!$T$2:$T$495=3)*('CASE MASTER'!$U$2:$U$495&lt;=1)*('CASE MASTER'!$W$2:$W$495&gt;=1)*('CASE MASTER'!$V$2:$V$495&lt;=4)*('CASE MASTER'!$X$2:$X$495&gt;=4))*ROW('CASE MASTER'!$T$2:$T$495))-(ROW('CASE MASTER'!#REF!)-1))))*(INDEX('CASE MASTER'!$X$2:$X$495,(SUMPRODUCT((('CASE MASTER'!$T$2:$T$495=3)*('CASE MASTER'!$U$2:$U$495&lt;=1)*('CASE MASTER'!$W$2:$W$495&gt;=1)*('CASE MASTER'!$V$2:$V$495&lt;=4)*('CASE MASTER'!$X$2:$X$495&gt;=4))*ROW('CASE MASTER'!$T$2:$T$495))-(ROW('CASE MASTER'!#REF!)-1)))-INDEX('CASE MASTER'!$V$2:$V$495,(SUMPRODUCT((('CASE MASTER'!$T$2:$T$495=3)*('CASE MASTER'!$U$2:$U$495&lt;=1)*('CASE MASTER'!$W$2:$W$495&gt;=1)*('CASE MASTER'!$V$2:$V$495&lt;=4)*('CASE MASTER'!$X$2:$X$495&gt;=4))*ROW('CASE MASTER'!$T$2:$T$495))-(ROW('CASE MASTER'!#REF!)-1)))+1)+(4-INDEX('CASE MASTER'!$V$2:$V$495,(SUMPRODUCT((('CASE MASTER'!$T$2:$T$495=3)*('CASE MASTER'!$U$2:$U$495&lt;=1)*('CASE MASTER'!$W$2:$W$495&gt;=1)*('CASE MASTER'!$V$2:$V$495&lt;=4)*('CASE MASTER'!$X$2:$X$495&gt;=4))*ROW('CASE MASTER'!$T$2:$T$495))-(ROW('CASE MASTER'!#REF!)-1))))+1))-1)*50+1,50))&amp;"_"&amp;INDEX('CASE MASTER'!$Q$2:$Q$495,(SUMPRODUCT((('CASE MASTER'!$T$2:$T$495=3)*('CASE MASTER'!$U$2:$U$495&lt;=1)*('CASE MASTER'!$W$2:$W$495&gt;=1)*('CASE MASTER'!$V$2:$V$495&lt;=4)*('CASE MASTER'!$X$2:$X$495&gt;=4))*ROW('CASE MASTER'!$T$2:$T$495))-(ROW('CASE MASTER'!#REF!)-1))),IF(SUMPRODUCT((('CASE MASTER'!$T$2:$T$495=3)*('CASE MASTER'!$AA$2:$AA$495&lt;=1)*('CASE MASTER'!$AC$2:$AC$495&gt;=1)*('CASE MASTER'!$AB$2:$AB$495&lt;=4)*('CASE MASTER'!$AD$2:$AD$495&gt;=4))*ROW('CASE MASTER'!$T$2:$T$495))&gt;0,INDEX('CASE MASTER'!$Y$2:$Y$495,(SUMPRODUCT((('CASE MASTER'!$T$2:$T$495=3)*('CASE MASTER'!$AA$2:$AA$495&lt;=1)*('CASE MASTER'!$AC$2:$AC$495&gt;=1)*('CASE MASTER'!$AB$2:$AB$495&lt;=4)*('CASE MASTER'!$AD$2:$AD$495&gt;=4))*ROW('CASE MASTER'!$T$2:$T$495))-(ROW('CASE MASTER'!#REF!)-1)))&amp;TRIM(MID(SUBSTITUTE(SUBSTITUTE(INDEX('CASE MASTER'!$N$2:$N$495,(SUMPRODUCT((('CASE MASTER'!$T$2:$T$495=3)*('CASE MASTER'!$AA$2:$AA$495&lt;=1)*('CASE MASTER'!$AC$2:$AC$495&gt;=1)*('CASE MASTER'!$AB$2:$AB$495&lt;=4)*('CASE MASTER'!$AD$2:$AD$495&gt;=4))*ROW('CASE MASTER'!$T$2:$T$495))-(ROW('CASE MASTER'!#REF!)-1))),":",","),",",REPT(" ",50)),(((INDEX('CASE MASTER'!$Z$2:$Z$495,(SUMPRODUCT((('CASE MASTER'!$T$2:$T$495=3)*('CASE MASTER'!$AA$2:$AA$495&lt;=1)*('CASE MASTER'!$AC$2:$AC$495&gt;=1)*('CASE MASTER'!$AB$2:$AB$495&lt;=4)*('CASE MASTER'!$AD$2:$AD$495&gt;=4))*ROW('CASE MASTER'!$T$2:$T$495))-(ROW('CASE MASTER'!#REF!)-1)))+((1-INDEX('CASE MASTER'!$AA$2:$AA$495,(SUMPRODUCT((('CASE MASTER'!$T$2:$T$495=3)*('CASE MASTER'!$AA$2:$AA$495&lt;=1)*('CASE MASTER'!$AC$2:$AC$495&gt;=1)*('CASE MASTER'!$AB$2:$AB$495&lt;=4)*('CASE MASTER'!$AD$2:$AD$495&gt;=4))*ROW('CASE MASTER'!$T$2:$T$495))-(ROW('CASE MASTER'!#REF!)-1))))*(INDEX('CASE MASTER'!$AD$2:$AD$495,(SUMPRODUCT((('CASE MASTER'!$T$2:$T$495=3)*('CASE MASTER'!$AA$2:$AA$495&lt;=1)*('CASE MASTER'!$AC$2:$AC$495&gt;=1)*('CASE MASTER'!$AB$2:$AB$495&lt;=4)*('CASE MASTER'!$AD$2:$AD$495&gt;=4))*ROW('CASE MASTER'!$T$2:$T$495))-(ROW('CASE MASTER'!#REF!)-1)))-INDEX('CASE MASTER'!$AB$2:$AB$495,(SUMPRODUCT((('CASE MASTER'!$T$2:$T$495=3)*('CASE MASTER'!$AA$2:$AA$495&lt;=1)*('CASE MASTER'!$AC$2:$AC$495&gt;=1)*('CASE MASTER'!$AB$2:$AB$495&lt;=4)*('CASE MASTER'!$AD$2:$AD$495&gt;=4))*ROW('CASE MASTER'!$T$2:$T$495))-(ROW('CASE MASTER'!#REF!)-1)))+1)+(4-INDEX('CASE MASTER'!$AB$2:$AB$495,(SUMPRODUCT((('CASE MASTER'!$T$2:$T$495=3)*('CASE MASTER'!$AA$2:$AA$495&lt;=1)*('CASE MASTER'!$AC$2:$AC$495&gt;=1)*('CASE MASTER'!$AB$2:$AB$495&lt;=4)*('CASE MASTER'!$AD$2:$AD$495&gt;=4))*ROW('CASE MASTER'!$T$2:$T$495))-(ROW('CASE MASTER'!#REF!)-1))))+1)))-1)*50+1,50))&amp;"_"&amp;INDEX('CASE MASTER'!$Q$2:$Q$495,(SUMPRODUCT((('CASE MASTER'!$T$2:$T$495=3)*('CASE MASTER'!$AA$2:$AA$495&lt;=1)*('CASE MASTER'!$AC$2:$AC$495&gt;=1)*('CASE MASTER'!$AB$2:$AB$495&lt;=4)*('CASE MASTER'!$AD$2:$AD$495&gt;=4))*ROW('CASE MASTER'!$T$2:$T$495))-(ROW('CASE MASTER'!#REF!)-1))),"")),"")</f>
        <v/>
      </c>
      <c r="F31" s="10" t="str">
        <f>IFERROR(IF(SUMPRODUCT((('CASE MASTER'!$T$2:$T$495=3)*('CASE MASTER'!$U$2:$U$495&lt;=1)*('CASE MASTER'!$W$2:$W$495&gt;=1)*('CASE MASTER'!$V$2:$V$495&lt;=5)*('CASE MASTER'!$X$2:$X$495&gt;=5))*ROW('CASE MASTER'!$T$2:$T$495))&gt;0,INDEX('CASE MASTER'!$Y$2:$Y$495,(SUMPRODUCT((('CASE MASTER'!$T$2:$T$495=3)*('CASE MASTER'!$U$2:$U$495&lt;=1)*('CASE MASTER'!$W$2:$W$495&gt;=1)*('CASE MASTER'!$V$2:$V$495&lt;=5)*('CASE MASTER'!$X$2:$X$495&gt;=5))*ROW('CASE MASTER'!$T$2:$T$495))-(ROW('CASE MASTER'!#REF!)-1)))&amp;TRIM(MID(SUBSTITUTE(SUBSTITUTE(INDEX('CASE MASTER'!$N$2:$N$495,(SUMPRODUCT((('CASE MASTER'!$T$2:$T$495=3)*('CASE MASTER'!$U$2:$U$495&lt;=1)*('CASE MASTER'!$W$2:$W$495&gt;=1)*('CASE MASTER'!$V$2:$V$495&lt;=5)*('CASE MASTER'!$X$2:$X$495&gt;=5))*ROW('CASE MASTER'!$T$2:$T$495))-(ROW('CASE MASTER'!#REF!)-1))),":",","),",",REPT(" ",50)),((((1-INDEX('CASE MASTER'!$U$2:$U$495,(SUMPRODUCT((('CASE MASTER'!$T$2:$T$495=3)*('CASE MASTER'!$U$2:$U$495&lt;=1)*('CASE MASTER'!$W$2:$W$495&gt;=1)*('CASE MASTER'!$V$2:$V$495&lt;=5)*('CASE MASTER'!$X$2:$X$495&gt;=5))*ROW('CASE MASTER'!$T$2:$T$495))-(ROW('CASE MASTER'!#REF!)-1))))*(INDEX('CASE MASTER'!$X$2:$X$495,(SUMPRODUCT((('CASE MASTER'!$T$2:$T$495=3)*('CASE MASTER'!$U$2:$U$495&lt;=1)*('CASE MASTER'!$W$2:$W$495&gt;=1)*('CASE MASTER'!$V$2:$V$495&lt;=5)*('CASE MASTER'!$X$2:$X$495&gt;=5))*ROW('CASE MASTER'!$T$2:$T$495))-(ROW('CASE MASTER'!#REF!)-1)))-INDEX('CASE MASTER'!$V$2:$V$495,(SUMPRODUCT((('CASE MASTER'!$T$2:$T$495=3)*('CASE MASTER'!$U$2:$U$495&lt;=1)*('CASE MASTER'!$W$2:$W$495&gt;=1)*('CASE MASTER'!$V$2:$V$495&lt;=5)*('CASE MASTER'!$X$2:$X$495&gt;=5))*ROW('CASE MASTER'!$T$2:$T$495))-(ROW('CASE MASTER'!#REF!)-1)))+1)+(5-INDEX('CASE MASTER'!$V$2:$V$495,(SUMPRODUCT((('CASE MASTER'!$T$2:$T$495=3)*('CASE MASTER'!$U$2:$U$495&lt;=1)*('CASE MASTER'!$W$2:$W$495&gt;=1)*('CASE MASTER'!$V$2:$V$495&lt;=5)*('CASE MASTER'!$X$2:$X$495&gt;=5))*ROW('CASE MASTER'!$T$2:$T$495))-(ROW('CASE MASTER'!#REF!)-1))))+1))-1)*50+1,50))&amp;"_"&amp;INDEX('CASE MASTER'!$Q$2:$Q$495,(SUMPRODUCT((('CASE MASTER'!$T$2:$T$495=3)*('CASE MASTER'!$U$2:$U$495&lt;=1)*('CASE MASTER'!$W$2:$W$495&gt;=1)*('CASE MASTER'!$V$2:$V$495&lt;=5)*('CASE MASTER'!$X$2:$X$495&gt;=5))*ROW('CASE MASTER'!$T$2:$T$495))-(ROW('CASE MASTER'!#REF!)-1))),IF(SUMPRODUCT((('CASE MASTER'!$T$2:$T$495=3)*('CASE MASTER'!$AA$2:$AA$495&lt;=1)*('CASE MASTER'!$AC$2:$AC$495&gt;=1)*('CASE MASTER'!$AB$2:$AB$495&lt;=5)*('CASE MASTER'!$AD$2:$AD$495&gt;=5))*ROW('CASE MASTER'!$T$2:$T$495))&gt;0,INDEX('CASE MASTER'!$Y$2:$Y$495,(SUMPRODUCT((('CASE MASTER'!$T$2:$T$495=3)*('CASE MASTER'!$AA$2:$AA$495&lt;=1)*('CASE MASTER'!$AC$2:$AC$495&gt;=1)*('CASE MASTER'!$AB$2:$AB$495&lt;=5)*('CASE MASTER'!$AD$2:$AD$495&gt;=5))*ROW('CASE MASTER'!$T$2:$T$495))-(ROW('CASE MASTER'!#REF!)-1)))&amp;TRIM(MID(SUBSTITUTE(SUBSTITUTE(INDEX('CASE MASTER'!$N$2:$N$495,(SUMPRODUCT((('CASE MASTER'!$T$2:$T$495=3)*('CASE MASTER'!$AA$2:$AA$495&lt;=1)*('CASE MASTER'!$AC$2:$AC$495&gt;=1)*('CASE MASTER'!$AB$2:$AB$495&lt;=5)*('CASE MASTER'!$AD$2:$AD$495&gt;=5))*ROW('CASE MASTER'!$T$2:$T$495))-(ROW('CASE MASTER'!#REF!)-1))),":",","),",",REPT(" ",50)),(((INDEX('CASE MASTER'!$Z$2:$Z$495,(SUMPRODUCT((('CASE MASTER'!$T$2:$T$495=3)*('CASE MASTER'!$AA$2:$AA$495&lt;=1)*('CASE MASTER'!$AC$2:$AC$495&gt;=1)*('CASE MASTER'!$AB$2:$AB$495&lt;=5)*('CASE MASTER'!$AD$2:$AD$495&gt;=5))*ROW('CASE MASTER'!$T$2:$T$495))-(ROW('CASE MASTER'!#REF!)-1)))+((1-INDEX('CASE MASTER'!$AA$2:$AA$495,(SUMPRODUCT((('CASE MASTER'!$T$2:$T$495=3)*('CASE MASTER'!$AA$2:$AA$495&lt;=1)*('CASE MASTER'!$AC$2:$AC$495&gt;=1)*('CASE MASTER'!$AB$2:$AB$495&lt;=5)*('CASE MASTER'!$AD$2:$AD$495&gt;=5))*ROW('CASE MASTER'!$T$2:$T$495))-(ROW('CASE MASTER'!#REF!)-1))))*(INDEX('CASE MASTER'!$AD$2:$AD$495,(SUMPRODUCT((('CASE MASTER'!$T$2:$T$495=3)*('CASE MASTER'!$AA$2:$AA$495&lt;=1)*('CASE MASTER'!$AC$2:$AC$495&gt;=1)*('CASE MASTER'!$AB$2:$AB$495&lt;=5)*('CASE MASTER'!$AD$2:$AD$495&gt;=5))*ROW('CASE MASTER'!$T$2:$T$495))-(ROW('CASE MASTER'!#REF!)-1)))-INDEX('CASE MASTER'!$AB$2:$AB$495,(SUMPRODUCT((('CASE MASTER'!$T$2:$T$495=3)*('CASE MASTER'!$AA$2:$AA$495&lt;=1)*('CASE MASTER'!$AC$2:$AC$495&gt;=1)*('CASE MASTER'!$AB$2:$AB$495&lt;=5)*('CASE MASTER'!$AD$2:$AD$495&gt;=5))*ROW('CASE MASTER'!$T$2:$T$495))-(ROW('CASE MASTER'!#REF!)-1)))+1)+(5-INDEX('CASE MASTER'!$AB$2:$AB$495,(SUMPRODUCT((('CASE MASTER'!$T$2:$T$495=3)*('CASE MASTER'!$AA$2:$AA$495&lt;=1)*('CASE MASTER'!$AC$2:$AC$495&gt;=1)*('CASE MASTER'!$AB$2:$AB$495&lt;=5)*('CASE MASTER'!$AD$2:$AD$495&gt;=5))*ROW('CASE MASTER'!$T$2:$T$495))-(ROW('CASE MASTER'!#REF!)-1))))+1)))-1)*50+1,50))&amp;"_"&amp;INDEX('CASE MASTER'!$Q$2:$Q$495,(SUMPRODUCT((('CASE MASTER'!$T$2:$T$495=3)*('CASE MASTER'!$AA$2:$AA$495&lt;=1)*('CASE MASTER'!$AC$2:$AC$495&gt;=1)*('CASE MASTER'!$AB$2:$AB$495&lt;=5)*('CASE MASTER'!$AD$2:$AD$495&gt;=5))*ROW('CASE MASTER'!$T$2:$T$495))-(ROW('CASE MASTER'!#REF!)-1))),"")),"")</f>
        <v/>
      </c>
      <c r="G31" s="10" t="str">
        <f>IFERROR(IF(SUMPRODUCT((('CASE MASTER'!$T$2:$T$495=3)*('CASE MASTER'!$U$2:$U$495&lt;=1)*('CASE MASTER'!$W$2:$W$495&gt;=1)*('CASE MASTER'!$V$2:$V$495&lt;=6)*('CASE MASTER'!$X$2:$X$495&gt;=6))*ROW('CASE MASTER'!$T$2:$T$495))&gt;0,INDEX('CASE MASTER'!$Y$2:$Y$495,(SUMPRODUCT((('CASE MASTER'!$T$2:$T$495=3)*('CASE MASTER'!$U$2:$U$495&lt;=1)*('CASE MASTER'!$W$2:$W$495&gt;=1)*('CASE MASTER'!$V$2:$V$495&lt;=6)*('CASE MASTER'!$X$2:$X$495&gt;=6))*ROW('CASE MASTER'!$T$2:$T$495))-(ROW('CASE MASTER'!#REF!)-1)))&amp;TRIM(MID(SUBSTITUTE(SUBSTITUTE(INDEX('CASE MASTER'!$N$2:$N$495,(SUMPRODUCT((('CASE MASTER'!$T$2:$T$495=3)*('CASE MASTER'!$U$2:$U$495&lt;=1)*('CASE MASTER'!$W$2:$W$495&gt;=1)*('CASE MASTER'!$V$2:$V$495&lt;=6)*('CASE MASTER'!$X$2:$X$495&gt;=6))*ROW('CASE MASTER'!$T$2:$T$495))-(ROW('CASE MASTER'!#REF!)-1))),":",","),",",REPT(" ",50)),((((1-INDEX('CASE MASTER'!$U$2:$U$495,(SUMPRODUCT((('CASE MASTER'!$T$2:$T$495=3)*('CASE MASTER'!$U$2:$U$495&lt;=1)*('CASE MASTER'!$W$2:$W$495&gt;=1)*('CASE MASTER'!$V$2:$V$495&lt;=6)*('CASE MASTER'!$X$2:$X$495&gt;=6))*ROW('CASE MASTER'!$T$2:$T$495))-(ROW('CASE MASTER'!#REF!)-1))))*(INDEX('CASE MASTER'!$X$2:$X$495,(SUMPRODUCT((('CASE MASTER'!$T$2:$T$495=3)*('CASE MASTER'!$U$2:$U$495&lt;=1)*('CASE MASTER'!$W$2:$W$495&gt;=1)*('CASE MASTER'!$V$2:$V$495&lt;=6)*('CASE MASTER'!$X$2:$X$495&gt;=6))*ROW('CASE MASTER'!$T$2:$T$495))-(ROW('CASE MASTER'!#REF!)-1)))-INDEX('CASE MASTER'!$V$2:$V$495,(SUMPRODUCT((('CASE MASTER'!$T$2:$T$495=3)*('CASE MASTER'!$U$2:$U$495&lt;=1)*('CASE MASTER'!$W$2:$W$495&gt;=1)*('CASE MASTER'!$V$2:$V$495&lt;=6)*('CASE MASTER'!$X$2:$X$495&gt;=6))*ROW('CASE MASTER'!$T$2:$T$495))-(ROW('CASE MASTER'!#REF!)-1)))+1)+(6-INDEX('CASE MASTER'!$V$2:$V$495,(SUMPRODUCT((('CASE MASTER'!$T$2:$T$495=3)*('CASE MASTER'!$U$2:$U$495&lt;=1)*('CASE MASTER'!$W$2:$W$495&gt;=1)*('CASE MASTER'!$V$2:$V$495&lt;=6)*('CASE MASTER'!$X$2:$X$495&gt;=6))*ROW('CASE MASTER'!$T$2:$T$495))-(ROW('CASE MASTER'!#REF!)-1))))+1))-1)*50+1,50))&amp;"_"&amp;INDEX('CASE MASTER'!$Q$2:$Q$495,(SUMPRODUCT((('CASE MASTER'!$T$2:$T$495=3)*('CASE MASTER'!$U$2:$U$495&lt;=1)*('CASE MASTER'!$W$2:$W$495&gt;=1)*('CASE MASTER'!$V$2:$V$495&lt;=6)*('CASE MASTER'!$X$2:$X$495&gt;=6))*ROW('CASE MASTER'!$T$2:$T$495))-(ROW('CASE MASTER'!#REF!)-1))),IF(SUMPRODUCT((('CASE MASTER'!$T$2:$T$495=3)*('CASE MASTER'!$AA$2:$AA$495&lt;=1)*('CASE MASTER'!$AC$2:$AC$495&gt;=1)*('CASE MASTER'!$AB$2:$AB$495&lt;=6)*('CASE MASTER'!$AD$2:$AD$495&gt;=6))*ROW('CASE MASTER'!$T$2:$T$495))&gt;0,INDEX('CASE MASTER'!$Y$2:$Y$495,(SUMPRODUCT((('CASE MASTER'!$T$2:$T$495=3)*('CASE MASTER'!$AA$2:$AA$495&lt;=1)*('CASE MASTER'!$AC$2:$AC$495&gt;=1)*('CASE MASTER'!$AB$2:$AB$495&lt;=6)*('CASE MASTER'!$AD$2:$AD$495&gt;=6))*ROW('CASE MASTER'!$T$2:$T$495))-(ROW('CASE MASTER'!#REF!)-1)))&amp;TRIM(MID(SUBSTITUTE(SUBSTITUTE(INDEX('CASE MASTER'!$N$2:$N$495,(SUMPRODUCT((('CASE MASTER'!$T$2:$T$495=3)*('CASE MASTER'!$AA$2:$AA$495&lt;=1)*('CASE MASTER'!$AC$2:$AC$495&gt;=1)*('CASE MASTER'!$AB$2:$AB$495&lt;=6)*('CASE MASTER'!$AD$2:$AD$495&gt;=6))*ROW('CASE MASTER'!$T$2:$T$495))-(ROW('CASE MASTER'!#REF!)-1))),":",","),",",REPT(" ",50)),(((INDEX('CASE MASTER'!$Z$2:$Z$495,(SUMPRODUCT((('CASE MASTER'!$T$2:$T$495=3)*('CASE MASTER'!$AA$2:$AA$495&lt;=1)*('CASE MASTER'!$AC$2:$AC$495&gt;=1)*('CASE MASTER'!$AB$2:$AB$495&lt;=6)*('CASE MASTER'!$AD$2:$AD$495&gt;=6))*ROW('CASE MASTER'!$T$2:$T$495))-(ROW('CASE MASTER'!#REF!)-1)))+((1-INDEX('CASE MASTER'!$AA$2:$AA$495,(SUMPRODUCT((('CASE MASTER'!$T$2:$T$495=3)*('CASE MASTER'!$AA$2:$AA$495&lt;=1)*('CASE MASTER'!$AC$2:$AC$495&gt;=1)*('CASE MASTER'!$AB$2:$AB$495&lt;=6)*('CASE MASTER'!$AD$2:$AD$495&gt;=6))*ROW('CASE MASTER'!$T$2:$T$495))-(ROW('CASE MASTER'!#REF!)-1))))*(INDEX('CASE MASTER'!$AD$2:$AD$495,(SUMPRODUCT((('CASE MASTER'!$T$2:$T$495=3)*('CASE MASTER'!$AA$2:$AA$495&lt;=1)*('CASE MASTER'!$AC$2:$AC$495&gt;=1)*('CASE MASTER'!$AB$2:$AB$495&lt;=6)*('CASE MASTER'!$AD$2:$AD$495&gt;=6))*ROW('CASE MASTER'!$T$2:$T$495))-(ROW('CASE MASTER'!#REF!)-1)))-INDEX('CASE MASTER'!$AB$2:$AB$495,(SUMPRODUCT((('CASE MASTER'!$T$2:$T$495=3)*('CASE MASTER'!$AA$2:$AA$495&lt;=1)*('CASE MASTER'!$AC$2:$AC$495&gt;=1)*('CASE MASTER'!$AB$2:$AB$495&lt;=6)*('CASE MASTER'!$AD$2:$AD$495&gt;=6))*ROW('CASE MASTER'!$T$2:$T$495))-(ROW('CASE MASTER'!#REF!)-1)))+1)+(6-INDEX('CASE MASTER'!$AB$2:$AB$495,(SUMPRODUCT((('CASE MASTER'!$T$2:$T$495=3)*('CASE MASTER'!$AA$2:$AA$495&lt;=1)*('CASE MASTER'!$AC$2:$AC$495&gt;=1)*('CASE MASTER'!$AB$2:$AB$495&lt;=6)*('CASE MASTER'!$AD$2:$AD$495&gt;=6))*ROW('CASE MASTER'!$T$2:$T$495))-(ROW('CASE MASTER'!#REF!)-1))))+1)))-1)*50+1,50))&amp;"_"&amp;INDEX('CASE MASTER'!$Q$2:$Q$495,(SUMPRODUCT((('CASE MASTER'!$T$2:$T$495=3)*('CASE MASTER'!$AA$2:$AA$495&lt;=1)*('CASE MASTER'!$AC$2:$AC$495&gt;=1)*('CASE MASTER'!$AB$2:$AB$495&lt;=6)*('CASE MASTER'!$AD$2:$AD$495&gt;=6))*ROW('CASE MASTER'!$T$2:$T$495))-(ROW('CASE MASTER'!#REF!)-1))),"")),"")</f>
        <v/>
      </c>
      <c r="H31" s="10" t="str">
        <f>IFERROR(IF(SUMPRODUCT((('CASE MASTER'!$T$2:$T$495=3)*('CASE MASTER'!$U$2:$U$495&lt;=1)*('CASE MASTER'!$W$2:$W$495&gt;=1)*('CASE MASTER'!$V$2:$V$495&lt;=7)*('CASE MASTER'!$X$2:$X$495&gt;=7))*ROW('CASE MASTER'!$T$2:$T$495))&gt;0,INDEX('CASE MASTER'!$Y$2:$Y$495,(SUMPRODUCT((('CASE MASTER'!$T$2:$T$495=3)*('CASE MASTER'!$U$2:$U$495&lt;=1)*('CASE MASTER'!$W$2:$W$495&gt;=1)*('CASE MASTER'!$V$2:$V$495&lt;=7)*('CASE MASTER'!$X$2:$X$495&gt;=7))*ROW('CASE MASTER'!$T$2:$T$495))-(ROW('CASE MASTER'!#REF!)-1)))&amp;TRIM(MID(SUBSTITUTE(SUBSTITUTE(INDEX('CASE MASTER'!$N$2:$N$495,(SUMPRODUCT((('CASE MASTER'!$T$2:$T$495=3)*('CASE MASTER'!$U$2:$U$495&lt;=1)*('CASE MASTER'!$W$2:$W$495&gt;=1)*('CASE MASTER'!$V$2:$V$495&lt;=7)*('CASE MASTER'!$X$2:$X$495&gt;=7))*ROW('CASE MASTER'!$T$2:$T$495))-(ROW('CASE MASTER'!#REF!)-1))),":",","),",",REPT(" ",50)),((((1-INDEX('CASE MASTER'!$U$2:$U$495,(SUMPRODUCT((('CASE MASTER'!$T$2:$T$495=3)*('CASE MASTER'!$U$2:$U$495&lt;=1)*('CASE MASTER'!$W$2:$W$495&gt;=1)*('CASE MASTER'!$V$2:$V$495&lt;=7)*('CASE MASTER'!$X$2:$X$495&gt;=7))*ROW('CASE MASTER'!$T$2:$T$495))-(ROW('CASE MASTER'!#REF!)-1))))*(INDEX('CASE MASTER'!$X$2:$X$495,(SUMPRODUCT((('CASE MASTER'!$T$2:$T$495=3)*('CASE MASTER'!$U$2:$U$495&lt;=1)*('CASE MASTER'!$W$2:$W$495&gt;=1)*('CASE MASTER'!$V$2:$V$495&lt;=7)*('CASE MASTER'!$X$2:$X$495&gt;=7))*ROW('CASE MASTER'!$T$2:$T$495))-(ROW('CASE MASTER'!#REF!)-1)))-INDEX('CASE MASTER'!$V$2:$V$495,(SUMPRODUCT((('CASE MASTER'!$T$2:$T$495=3)*('CASE MASTER'!$U$2:$U$495&lt;=1)*('CASE MASTER'!$W$2:$W$495&gt;=1)*('CASE MASTER'!$V$2:$V$495&lt;=7)*('CASE MASTER'!$X$2:$X$495&gt;=7))*ROW('CASE MASTER'!$T$2:$T$495))-(ROW('CASE MASTER'!#REF!)-1)))+1)+(7-INDEX('CASE MASTER'!$V$2:$V$495,(SUMPRODUCT((('CASE MASTER'!$T$2:$T$495=3)*('CASE MASTER'!$U$2:$U$495&lt;=1)*('CASE MASTER'!$W$2:$W$495&gt;=1)*('CASE MASTER'!$V$2:$V$495&lt;=7)*('CASE MASTER'!$X$2:$X$495&gt;=7))*ROW('CASE MASTER'!$T$2:$T$495))-(ROW('CASE MASTER'!#REF!)-1))))+1))-1)*50+1,50))&amp;"_"&amp;INDEX('CASE MASTER'!$Q$2:$Q$495,(SUMPRODUCT((('CASE MASTER'!$T$2:$T$495=3)*('CASE MASTER'!$U$2:$U$495&lt;=1)*('CASE MASTER'!$W$2:$W$495&gt;=1)*('CASE MASTER'!$V$2:$V$495&lt;=7)*('CASE MASTER'!$X$2:$X$495&gt;=7))*ROW('CASE MASTER'!$T$2:$T$495))-(ROW('CASE MASTER'!#REF!)-1))),IF(SUMPRODUCT((('CASE MASTER'!$T$2:$T$495=3)*('CASE MASTER'!$AA$2:$AA$495&lt;=1)*('CASE MASTER'!$AC$2:$AC$495&gt;=1)*('CASE MASTER'!$AB$2:$AB$495&lt;=7)*('CASE MASTER'!$AD$2:$AD$495&gt;=7))*ROW('CASE MASTER'!$T$2:$T$495))&gt;0,INDEX('CASE MASTER'!$Y$2:$Y$495,(SUMPRODUCT((('CASE MASTER'!$T$2:$T$495=3)*('CASE MASTER'!$AA$2:$AA$495&lt;=1)*('CASE MASTER'!$AC$2:$AC$495&gt;=1)*('CASE MASTER'!$AB$2:$AB$495&lt;=7)*('CASE MASTER'!$AD$2:$AD$495&gt;=7))*ROW('CASE MASTER'!$T$2:$T$495))-(ROW('CASE MASTER'!#REF!)-1)))&amp;TRIM(MID(SUBSTITUTE(SUBSTITUTE(INDEX('CASE MASTER'!$N$2:$N$495,(SUMPRODUCT((('CASE MASTER'!$T$2:$T$495=3)*('CASE MASTER'!$AA$2:$AA$495&lt;=1)*('CASE MASTER'!$AC$2:$AC$495&gt;=1)*('CASE MASTER'!$AB$2:$AB$495&lt;=7)*('CASE MASTER'!$AD$2:$AD$495&gt;=7))*ROW('CASE MASTER'!$T$2:$T$495))-(ROW('CASE MASTER'!#REF!)-1))),":",","),",",REPT(" ",50)),(((INDEX('CASE MASTER'!$Z$2:$Z$495,(SUMPRODUCT((('CASE MASTER'!$T$2:$T$495=3)*('CASE MASTER'!$AA$2:$AA$495&lt;=1)*('CASE MASTER'!$AC$2:$AC$495&gt;=1)*('CASE MASTER'!$AB$2:$AB$495&lt;=7)*('CASE MASTER'!$AD$2:$AD$495&gt;=7))*ROW('CASE MASTER'!$T$2:$T$495))-(ROW('CASE MASTER'!#REF!)-1)))+((1-INDEX('CASE MASTER'!$AA$2:$AA$495,(SUMPRODUCT((('CASE MASTER'!$T$2:$T$495=3)*('CASE MASTER'!$AA$2:$AA$495&lt;=1)*('CASE MASTER'!$AC$2:$AC$495&gt;=1)*('CASE MASTER'!$AB$2:$AB$495&lt;=7)*('CASE MASTER'!$AD$2:$AD$495&gt;=7))*ROW('CASE MASTER'!$T$2:$T$495))-(ROW('CASE MASTER'!#REF!)-1))))*(INDEX('CASE MASTER'!$AD$2:$AD$495,(SUMPRODUCT((('CASE MASTER'!$T$2:$T$495=3)*('CASE MASTER'!$AA$2:$AA$495&lt;=1)*('CASE MASTER'!$AC$2:$AC$495&gt;=1)*('CASE MASTER'!$AB$2:$AB$495&lt;=7)*('CASE MASTER'!$AD$2:$AD$495&gt;=7))*ROW('CASE MASTER'!$T$2:$T$495))-(ROW('CASE MASTER'!#REF!)-1)))-INDEX('CASE MASTER'!$AB$2:$AB$495,(SUMPRODUCT((('CASE MASTER'!$T$2:$T$495=3)*('CASE MASTER'!$AA$2:$AA$495&lt;=1)*('CASE MASTER'!$AC$2:$AC$495&gt;=1)*('CASE MASTER'!$AB$2:$AB$495&lt;=7)*('CASE MASTER'!$AD$2:$AD$495&gt;=7))*ROW('CASE MASTER'!$T$2:$T$495))-(ROW('CASE MASTER'!#REF!)-1)))+1)+(7-INDEX('CASE MASTER'!$AB$2:$AB$495,(SUMPRODUCT((('CASE MASTER'!$T$2:$T$495=3)*('CASE MASTER'!$AA$2:$AA$495&lt;=1)*('CASE MASTER'!$AC$2:$AC$495&gt;=1)*('CASE MASTER'!$AB$2:$AB$495&lt;=7)*('CASE MASTER'!$AD$2:$AD$495&gt;=7))*ROW('CASE MASTER'!$T$2:$T$495))-(ROW('CASE MASTER'!#REF!)-1))))+1)))-1)*50+1,50))&amp;"_"&amp;INDEX('CASE MASTER'!$Q$2:$Q$495,(SUMPRODUCT((('CASE MASTER'!$T$2:$T$495=3)*('CASE MASTER'!$AA$2:$AA$495&lt;=1)*('CASE MASTER'!$AC$2:$AC$495&gt;=1)*('CASE MASTER'!$AB$2:$AB$495&lt;=7)*('CASE MASTER'!$AD$2:$AD$495&gt;=7))*ROW('CASE MASTER'!$T$2:$T$495))-(ROW('CASE MASTER'!#REF!)-1))),"")),"")</f>
        <v/>
      </c>
      <c r="I31" s="10" t="str">
        <f>IFERROR(IF(SUMPRODUCT((('CASE MASTER'!$T$2:$T$495=3)*('CASE MASTER'!$U$2:$U$495&lt;=1)*('CASE MASTER'!$W$2:$W$495&gt;=1)*('CASE MASTER'!$V$2:$V$495&lt;=8)*('CASE MASTER'!$X$2:$X$495&gt;=8))*ROW('CASE MASTER'!$T$2:$T$495))&gt;0,INDEX('CASE MASTER'!$Y$2:$Y$495,(SUMPRODUCT((('CASE MASTER'!$T$2:$T$495=3)*('CASE MASTER'!$U$2:$U$495&lt;=1)*('CASE MASTER'!$W$2:$W$495&gt;=1)*('CASE MASTER'!$V$2:$V$495&lt;=8)*('CASE MASTER'!$X$2:$X$495&gt;=8))*ROW('CASE MASTER'!$T$2:$T$495))-(ROW('CASE MASTER'!#REF!)-1)))&amp;TRIM(MID(SUBSTITUTE(SUBSTITUTE(INDEX('CASE MASTER'!$N$2:$N$495,(SUMPRODUCT((('CASE MASTER'!$T$2:$T$495=3)*('CASE MASTER'!$U$2:$U$495&lt;=1)*('CASE MASTER'!$W$2:$W$495&gt;=1)*('CASE MASTER'!$V$2:$V$495&lt;=8)*('CASE MASTER'!$X$2:$X$495&gt;=8))*ROW('CASE MASTER'!$T$2:$T$495))-(ROW('CASE MASTER'!#REF!)-1))),":",","),",",REPT(" ",50)),((((1-INDEX('CASE MASTER'!$U$2:$U$495,(SUMPRODUCT((('CASE MASTER'!$T$2:$T$495=3)*('CASE MASTER'!$U$2:$U$495&lt;=1)*('CASE MASTER'!$W$2:$W$495&gt;=1)*('CASE MASTER'!$V$2:$V$495&lt;=8)*('CASE MASTER'!$X$2:$X$495&gt;=8))*ROW('CASE MASTER'!$T$2:$T$495))-(ROW('CASE MASTER'!#REF!)-1))))*(INDEX('CASE MASTER'!$X$2:$X$495,(SUMPRODUCT((('CASE MASTER'!$T$2:$T$495=3)*('CASE MASTER'!$U$2:$U$495&lt;=1)*('CASE MASTER'!$W$2:$W$495&gt;=1)*('CASE MASTER'!$V$2:$V$495&lt;=8)*('CASE MASTER'!$X$2:$X$495&gt;=8))*ROW('CASE MASTER'!$T$2:$T$495))-(ROW('CASE MASTER'!#REF!)-1)))-INDEX('CASE MASTER'!$V$2:$V$495,(SUMPRODUCT((('CASE MASTER'!$T$2:$T$495=3)*('CASE MASTER'!$U$2:$U$495&lt;=1)*('CASE MASTER'!$W$2:$W$495&gt;=1)*('CASE MASTER'!$V$2:$V$495&lt;=8)*('CASE MASTER'!$X$2:$X$495&gt;=8))*ROW('CASE MASTER'!$T$2:$T$495))-(ROW('CASE MASTER'!#REF!)-1)))+1)+(8-INDEX('CASE MASTER'!$V$2:$V$495,(SUMPRODUCT((('CASE MASTER'!$T$2:$T$495=3)*('CASE MASTER'!$U$2:$U$495&lt;=1)*('CASE MASTER'!$W$2:$W$495&gt;=1)*('CASE MASTER'!$V$2:$V$495&lt;=8)*('CASE MASTER'!$X$2:$X$495&gt;=8))*ROW('CASE MASTER'!$T$2:$T$495))-(ROW('CASE MASTER'!#REF!)-1))))+1))-1)*50+1,50))&amp;"_"&amp;INDEX('CASE MASTER'!$Q$2:$Q$495,(SUMPRODUCT((('CASE MASTER'!$T$2:$T$495=3)*('CASE MASTER'!$U$2:$U$495&lt;=1)*('CASE MASTER'!$W$2:$W$495&gt;=1)*('CASE MASTER'!$V$2:$V$495&lt;=8)*('CASE MASTER'!$X$2:$X$495&gt;=8))*ROW('CASE MASTER'!$T$2:$T$495))-(ROW('CASE MASTER'!#REF!)-1))),IF(SUMPRODUCT((('CASE MASTER'!$T$2:$T$495=3)*('CASE MASTER'!$AA$2:$AA$495&lt;=1)*('CASE MASTER'!$AC$2:$AC$495&gt;=1)*('CASE MASTER'!$AB$2:$AB$495&lt;=8)*('CASE MASTER'!$AD$2:$AD$495&gt;=8))*ROW('CASE MASTER'!$T$2:$T$495))&gt;0,INDEX('CASE MASTER'!$Y$2:$Y$495,(SUMPRODUCT((('CASE MASTER'!$T$2:$T$495=3)*('CASE MASTER'!$AA$2:$AA$495&lt;=1)*('CASE MASTER'!$AC$2:$AC$495&gt;=1)*('CASE MASTER'!$AB$2:$AB$495&lt;=8)*('CASE MASTER'!$AD$2:$AD$495&gt;=8))*ROW('CASE MASTER'!$T$2:$T$495))-(ROW('CASE MASTER'!#REF!)-1)))&amp;TRIM(MID(SUBSTITUTE(SUBSTITUTE(INDEX('CASE MASTER'!$N$2:$N$495,(SUMPRODUCT((('CASE MASTER'!$T$2:$T$495=3)*('CASE MASTER'!$AA$2:$AA$495&lt;=1)*('CASE MASTER'!$AC$2:$AC$495&gt;=1)*('CASE MASTER'!$AB$2:$AB$495&lt;=8)*('CASE MASTER'!$AD$2:$AD$495&gt;=8))*ROW('CASE MASTER'!$T$2:$T$495))-(ROW('CASE MASTER'!#REF!)-1))),":",","),",",REPT(" ",50)),(((INDEX('CASE MASTER'!$Z$2:$Z$495,(SUMPRODUCT((('CASE MASTER'!$T$2:$T$495=3)*('CASE MASTER'!$AA$2:$AA$495&lt;=1)*('CASE MASTER'!$AC$2:$AC$495&gt;=1)*('CASE MASTER'!$AB$2:$AB$495&lt;=8)*('CASE MASTER'!$AD$2:$AD$495&gt;=8))*ROW('CASE MASTER'!$T$2:$T$495))-(ROW('CASE MASTER'!#REF!)-1)))+((1-INDEX('CASE MASTER'!$AA$2:$AA$495,(SUMPRODUCT((('CASE MASTER'!$T$2:$T$495=3)*('CASE MASTER'!$AA$2:$AA$495&lt;=1)*('CASE MASTER'!$AC$2:$AC$495&gt;=1)*('CASE MASTER'!$AB$2:$AB$495&lt;=8)*('CASE MASTER'!$AD$2:$AD$495&gt;=8))*ROW('CASE MASTER'!$T$2:$T$495))-(ROW('CASE MASTER'!#REF!)-1))))*(INDEX('CASE MASTER'!$AD$2:$AD$495,(SUMPRODUCT((('CASE MASTER'!$T$2:$T$495=3)*('CASE MASTER'!$AA$2:$AA$495&lt;=1)*('CASE MASTER'!$AC$2:$AC$495&gt;=1)*('CASE MASTER'!$AB$2:$AB$495&lt;=8)*('CASE MASTER'!$AD$2:$AD$495&gt;=8))*ROW('CASE MASTER'!$T$2:$T$495))-(ROW('CASE MASTER'!#REF!)-1)))-INDEX('CASE MASTER'!$AB$2:$AB$495,(SUMPRODUCT((('CASE MASTER'!$T$2:$T$495=3)*('CASE MASTER'!$AA$2:$AA$495&lt;=1)*('CASE MASTER'!$AC$2:$AC$495&gt;=1)*('CASE MASTER'!$AB$2:$AB$495&lt;=8)*('CASE MASTER'!$AD$2:$AD$495&gt;=8))*ROW('CASE MASTER'!$T$2:$T$495))-(ROW('CASE MASTER'!#REF!)-1)))+1)+(8-INDEX('CASE MASTER'!$AB$2:$AB$495,(SUMPRODUCT((('CASE MASTER'!$T$2:$T$495=3)*('CASE MASTER'!$AA$2:$AA$495&lt;=1)*('CASE MASTER'!$AC$2:$AC$495&gt;=1)*('CASE MASTER'!$AB$2:$AB$495&lt;=8)*('CASE MASTER'!$AD$2:$AD$495&gt;=8))*ROW('CASE MASTER'!$T$2:$T$495))-(ROW('CASE MASTER'!#REF!)-1))))+1)))-1)*50+1,50))&amp;"_"&amp;INDEX('CASE MASTER'!$Q$2:$Q$495,(SUMPRODUCT((('CASE MASTER'!$T$2:$T$495=3)*('CASE MASTER'!$AA$2:$AA$495&lt;=1)*('CASE MASTER'!$AC$2:$AC$495&gt;=1)*('CASE MASTER'!$AB$2:$AB$495&lt;=8)*('CASE MASTER'!$AD$2:$AD$495&gt;=8))*ROW('CASE MASTER'!$T$2:$T$495))-(ROW('CASE MASTER'!#REF!)-1))),"")),"")</f>
        <v/>
      </c>
      <c r="J31" s="10" t="str">
        <f>IFERROR(IF(SUMPRODUCT((('CASE MASTER'!$T$2:$T$495=3)*('CASE MASTER'!$U$2:$U$495&lt;=1)*('CASE MASTER'!$W$2:$W$495&gt;=1)*('CASE MASTER'!$V$2:$V$495&lt;=9)*('CASE MASTER'!$X$2:$X$495&gt;=9))*ROW('CASE MASTER'!$T$2:$T$495))&gt;0,INDEX('CASE MASTER'!$Y$2:$Y$495,(SUMPRODUCT((('CASE MASTER'!$T$2:$T$495=3)*('CASE MASTER'!$U$2:$U$495&lt;=1)*('CASE MASTER'!$W$2:$W$495&gt;=1)*('CASE MASTER'!$V$2:$V$495&lt;=9)*('CASE MASTER'!$X$2:$X$495&gt;=9))*ROW('CASE MASTER'!$T$2:$T$495))-(ROW('CASE MASTER'!#REF!)-1)))&amp;TRIM(MID(SUBSTITUTE(SUBSTITUTE(INDEX('CASE MASTER'!$N$2:$N$495,(SUMPRODUCT((('CASE MASTER'!$T$2:$T$495=3)*('CASE MASTER'!$U$2:$U$495&lt;=1)*('CASE MASTER'!$W$2:$W$495&gt;=1)*('CASE MASTER'!$V$2:$V$495&lt;=9)*('CASE MASTER'!$X$2:$X$495&gt;=9))*ROW('CASE MASTER'!$T$2:$T$495))-(ROW('CASE MASTER'!#REF!)-1))),":",","),",",REPT(" ",50)),((((1-INDEX('CASE MASTER'!$U$2:$U$495,(SUMPRODUCT((('CASE MASTER'!$T$2:$T$495=3)*('CASE MASTER'!$U$2:$U$495&lt;=1)*('CASE MASTER'!$W$2:$W$495&gt;=1)*('CASE MASTER'!$V$2:$V$495&lt;=9)*('CASE MASTER'!$X$2:$X$495&gt;=9))*ROW('CASE MASTER'!$T$2:$T$495))-(ROW('CASE MASTER'!#REF!)-1))))*(INDEX('CASE MASTER'!$X$2:$X$495,(SUMPRODUCT((('CASE MASTER'!$T$2:$T$495=3)*('CASE MASTER'!$U$2:$U$495&lt;=1)*('CASE MASTER'!$W$2:$W$495&gt;=1)*('CASE MASTER'!$V$2:$V$495&lt;=9)*('CASE MASTER'!$X$2:$X$495&gt;=9))*ROW('CASE MASTER'!$T$2:$T$495))-(ROW('CASE MASTER'!#REF!)-1)))-INDEX('CASE MASTER'!$V$2:$V$495,(SUMPRODUCT((('CASE MASTER'!$T$2:$T$495=3)*('CASE MASTER'!$U$2:$U$495&lt;=1)*('CASE MASTER'!$W$2:$W$495&gt;=1)*('CASE MASTER'!$V$2:$V$495&lt;=9)*('CASE MASTER'!$X$2:$X$495&gt;=9))*ROW('CASE MASTER'!$T$2:$T$495))-(ROW('CASE MASTER'!#REF!)-1)))+1)+(9-INDEX('CASE MASTER'!$V$2:$V$495,(SUMPRODUCT((('CASE MASTER'!$T$2:$T$495=3)*('CASE MASTER'!$U$2:$U$495&lt;=1)*('CASE MASTER'!$W$2:$W$495&gt;=1)*('CASE MASTER'!$V$2:$V$495&lt;=9)*('CASE MASTER'!$X$2:$X$495&gt;=9))*ROW('CASE MASTER'!$T$2:$T$495))-(ROW('CASE MASTER'!#REF!)-1))))+1))-1)*50+1,50))&amp;"_"&amp;INDEX('CASE MASTER'!$Q$2:$Q$495,(SUMPRODUCT((('CASE MASTER'!$T$2:$T$495=3)*('CASE MASTER'!$U$2:$U$495&lt;=1)*('CASE MASTER'!$W$2:$W$495&gt;=1)*('CASE MASTER'!$V$2:$V$495&lt;=9)*('CASE MASTER'!$X$2:$X$495&gt;=9))*ROW('CASE MASTER'!$T$2:$T$495))-(ROW('CASE MASTER'!#REF!)-1))),IF(SUMPRODUCT((('CASE MASTER'!$T$2:$T$495=3)*('CASE MASTER'!$AA$2:$AA$495&lt;=1)*('CASE MASTER'!$AC$2:$AC$495&gt;=1)*('CASE MASTER'!$AB$2:$AB$495&lt;=9)*('CASE MASTER'!$AD$2:$AD$495&gt;=9))*ROW('CASE MASTER'!$T$2:$T$495))&gt;0,INDEX('CASE MASTER'!$Y$2:$Y$495,(SUMPRODUCT((('CASE MASTER'!$T$2:$T$495=3)*('CASE MASTER'!$AA$2:$AA$495&lt;=1)*('CASE MASTER'!$AC$2:$AC$495&gt;=1)*('CASE MASTER'!$AB$2:$AB$495&lt;=9)*('CASE MASTER'!$AD$2:$AD$495&gt;=9))*ROW('CASE MASTER'!$T$2:$T$495))-(ROW('CASE MASTER'!#REF!)-1)))&amp;TRIM(MID(SUBSTITUTE(SUBSTITUTE(INDEX('CASE MASTER'!$N$2:$N$495,(SUMPRODUCT((('CASE MASTER'!$T$2:$T$495=3)*('CASE MASTER'!$AA$2:$AA$495&lt;=1)*('CASE MASTER'!$AC$2:$AC$495&gt;=1)*('CASE MASTER'!$AB$2:$AB$495&lt;=9)*('CASE MASTER'!$AD$2:$AD$495&gt;=9))*ROW('CASE MASTER'!$T$2:$T$495))-(ROW('CASE MASTER'!#REF!)-1))),":",","),",",REPT(" ",50)),(((INDEX('CASE MASTER'!$Z$2:$Z$495,(SUMPRODUCT((('CASE MASTER'!$T$2:$T$495=3)*('CASE MASTER'!$AA$2:$AA$495&lt;=1)*('CASE MASTER'!$AC$2:$AC$495&gt;=1)*('CASE MASTER'!$AB$2:$AB$495&lt;=9)*('CASE MASTER'!$AD$2:$AD$495&gt;=9))*ROW('CASE MASTER'!$T$2:$T$495))-(ROW('CASE MASTER'!#REF!)-1)))+((1-INDEX('CASE MASTER'!$AA$2:$AA$495,(SUMPRODUCT((('CASE MASTER'!$T$2:$T$495=3)*('CASE MASTER'!$AA$2:$AA$495&lt;=1)*('CASE MASTER'!$AC$2:$AC$495&gt;=1)*('CASE MASTER'!$AB$2:$AB$495&lt;=9)*('CASE MASTER'!$AD$2:$AD$495&gt;=9))*ROW('CASE MASTER'!$T$2:$T$495))-(ROW('CASE MASTER'!#REF!)-1))))*(INDEX('CASE MASTER'!$AD$2:$AD$495,(SUMPRODUCT((('CASE MASTER'!$T$2:$T$495=3)*('CASE MASTER'!$AA$2:$AA$495&lt;=1)*('CASE MASTER'!$AC$2:$AC$495&gt;=1)*('CASE MASTER'!$AB$2:$AB$495&lt;=9)*('CASE MASTER'!$AD$2:$AD$495&gt;=9))*ROW('CASE MASTER'!$T$2:$T$495))-(ROW('CASE MASTER'!#REF!)-1)))-INDEX('CASE MASTER'!$AB$2:$AB$495,(SUMPRODUCT((('CASE MASTER'!$T$2:$T$495=3)*('CASE MASTER'!$AA$2:$AA$495&lt;=1)*('CASE MASTER'!$AC$2:$AC$495&gt;=1)*('CASE MASTER'!$AB$2:$AB$495&lt;=9)*('CASE MASTER'!$AD$2:$AD$495&gt;=9))*ROW('CASE MASTER'!$T$2:$T$495))-(ROW('CASE MASTER'!#REF!)-1)))+1)+(9-INDEX('CASE MASTER'!$AB$2:$AB$495,(SUMPRODUCT((('CASE MASTER'!$T$2:$T$495=3)*('CASE MASTER'!$AA$2:$AA$495&lt;=1)*('CASE MASTER'!$AC$2:$AC$495&gt;=1)*('CASE MASTER'!$AB$2:$AB$495&lt;=9)*('CASE MASTER'!$AD$2:$AD$495&gt;=9))*ROW('CASE MASTER'!$T$2:$T$495))-(ROW('CASE MASTER'!#REF!)-1))))+1)))-1)*50+1,50))&amp;"_"&amp;INDEX('CASE MASTER'!$Q$2:$Q$495,(SUMPRODUCT((('CASE MASTER'!$T$2:$T$495=3)*('CASE MASTER'!$AA$2:$AA$495&lt;=1)*('CASE MASTER'!$AC$2:$AC$495&gt;=1)*('CASE MASTER'!$AB$2:$AB$495&lt;=9)*('CASE MASTER'!$AD$2:$AD$495&gt;=9))*ROW('CASE MASTER'!$T$2:$T$495))-(ROW('CASE MASTER'!#REF!)-1))),"")),"")</f>
        <v/>
      </c>
      <c r="K31" s="10" t="str">
        <f>IFERROR(IF(SUMPRODUCT((('CASE MASTER'!$T$2:$T$495=3)*('CASE MASTER'!$U$2:$U$495&lt;=1)*('CASE MASTER'!$W$2:$W$495&gt;=1)*('CASE MASTER'!$V$2:$V$495&lt;=10)*('CASE MASTER'!$X$2:$X$495&gt;=10))*ROW('CASE MASTER'!$T$2:$T$495))&gt;0,INDEX('CASE MASTER'!$Y$2:$Y$495,(SUMPRODUCT((('CASE MASTER'!$T$2:$T$495=3)*('CASE MASTER'!$U$2:$U$495&lt;=1)*('CASE MASTER'!$W$2:$W$495&gt;=1)*('CASE MASTER'!$V$2:$V$495&lt;=10)*('CASE MASTER'!$X$2:$X$495&gt;=10))*ROW('CASE MASTER'!$T$2:$T$495))-(ROW('CASE MASTER'!#REF!)-1)))&amp;TRIM(MID(SUBSTITUTE(SUBSTITUTE(INDEX('CASE MASTER'!$N$2:$N$495,(SUMPRODUCT((('CASE MASTER'!$T$2:$T$495=3)*('CASE MASTER'!$U$2:$U$495&lt;=1)*('CASE MASTER'!$W$2:$W$495&gt;=1)*('CASE MASTER'!$V$2:$V$495&lt;=10)*('CASE MASTER'!$X$2:$X$495&gt;=10))*ROW('CASE MASTER'!$T$2:$T$495))-(ROW('CASE MASTER'!#REF!)-1))),":",","),",",REPT(" ",50)),((((1-INDEX('CASE MASTER'!$U$2:$U$495,(SUMPRODUCT((('CASE MASTER'!$T$2:$T$495=3)*('CASE MASTER'!$U$2:$U$495&lt;=1)*('CASE MASTER'!$W$2:$W$495&gt;=1)*('CASE MASTER'!$V$2:$V$495&lt;=10)*('CASE MASTER'!$X$2:$X$495&gt;=10))*ROW('CASE MASTER'!$T$2:$T$495))-(ROW('CASE MASTER'!#REF!)-1))))*(INDEX('CASE MASTER'!$X$2:$X$495,(SUMPRODUCT((('CASE MASTER'!$T$2:$T$495=3)*('CASE MASTER'!$U$2:$U$495&lt;=1)*('CASE MASTER'!$W$2:$W$495&gt;=1)*('CASE MASTER'!$V$2:$V$495&lt;=10)*('CASE MASTER'!$X$2:$X$495&gt;=10))*ROW('CASE MASTER'!$T$2:$T$495))-(ROW('CASE MASTER'!#REF!)-1)))-INDEX('CASE MASTER'!$V$2:$V$495,(SUMPRODUCT((('CASE MASTER'!$T$2:$T$495=3)*('CASE MASTER'!$U$2:$U$495&lt;=1)*('CASE MASTER'!$W$2:$W$495&gt;=1)*('CASE MASTER'!$V$2:$V$495&lt;=10)*('CASE MASTER'!$X$2:$X$495&gt;=10))*ROW('CASE MASTER'!$T$2:$T$495))-(ROW('CASE MASTER'!#REF!)-1)))+1)+(10-INDEX('CASE MASTER'!$V$2:$V$495,(SUMPRODUCT((('CASE MASTER'!$T$2:$T$495=3)*('CASE MASTER'!$U$2:$U$495&lt;=1)*('CASE MASTER'!$W$2:$W$495&gt;=1)*('CASE MASTER'!$V$2:$V$495&lt;=10)*('CASE MASTER'!$X$2:$X$495&gt;=10))*ROW('CASE MASTER'!$T$2:$T$495))-(ROW('CASE MASTER'!#REF!)-1))))+1))-1)*50+1,50))&amp;"_"&amp;INDEX('CASE MASTER'!$Q$2:$Q$495,(SUMPRODUCT((('CASE MASTER'!$T$2:$T$495=3)*('CASE MASTER'!$U$2:$U$495&lt;=1)*('CASE MASTER'!$W$2:$W$495&gt;=1)*('CASE MASTER'!$V$2:$V$495&lt;=10)*('CASE MASTER'!$X$2:$X$495&gt;=10))*ROW('CASE MASTER'!$T$2:$T$495))-(ROW('CASE MASTER'!#REF!)-1))),IF(SUMPRODUCT((('CASE MASTER'!$T$2:$T$495=3)*('CASE MASTER'!$AA$2:$AA$495&lt;=1)*('CASE MASTER'!$AC$2:$AC$495&gt;=1)*('CASE MASTER'!$AB$2:$AB$495&lt;=10)*('CASE MASTER'!$AD$2:$AD$495&gt;=10))*ROW('CASE MASTER'!$T$2:$T$495))&gt;0,INDEX('CASE MASTER'!$Y$2:$Y$495,(SUMPRODUCT((('CASE MASTER'!$T$2:$T$495=3)*('CASE MASTER'!$AA$2:$AA$495&lt;=1)*('CASE MASTER'!$AC$2:$AC$495&gt;=1)*('CASE MASTER'!$AB$2:$AB$495&lt;=10)*('CASE MASTER'!$AD$2:$AD$495&gt;=10))*ROW('CASE MASTER'!$T$2:$T$495))-(ROW('CASE MASTER'!#REF!)-1)))&amp;TRIM(MID(SUBSTITUTE(SUBSTITUTE(INDEX('CASE MASTER'!$N$2:$N$495,(SUMPRODUCT((('CASE MASTER'!$T$2:$T$495=3)*('CASE MASTER'!$AA$2:$AA$495&lt;=1)*('CASE MASTER'!$AC$2:$AC$495&gt;=1)*('CASE MASTER'!$AB$2:$AB$495&lt;=10)*('CASE MASTER'!$AD$2:$AD$495&gt;=10))*ROW('CASE MASTER'!$T$2:$T$495))-(ROW('CASE MASTER'!#REF!)-1))),":",","),",",REPT(" ",50)),(((INDEX('CASE MASTER'!$Z$2:$Z$495,(SUMPRODUCT((('CASE MASTER'!$T$2:$T$495=3)*('CASE MASTER'!$AA$2:$AA$495&lt;=1)*('CASE MASTER'!$AC$2:$AC$495&gt;=1)*('CASE MASTER'!$AB$2:$AB$495&lt;=10)*('CASE MASTER'!$AD$2:$AD$495&gt;=10))*ROW('CASE MASTER'!$T$2:$T$495))-(ROW('CASE MASTER'!#REF!)-1)))+((1-INDEX('CASE MASTER'!$AA$2:$AA$495,(SUMPRODUCT((('CASE MASTER'!$T$2:$T$495=3)*('CASE MASTER'!$AA$2:$AA$495&lt;=1)*('CASE MASTER'!$AC$2:$AC$495&gt;=1)*('CASE MASTER'!$AB$2:$AB$495&lt;=10)*('CASE MASTER'!$AD$2:$AD$495&gt;=10))*ROW('CASE MASTER'!$T$2:$T$495))-(ROW('CASE MASTER'!#REF!)-1))))*(INDEX('CASE MASTER'!$AD$2:$AD$495,(SUMPRODUCT((('CASE MASTER'!$T$2:$T$495=3)*('CASE MASTER'!$AA$2:$AA$495&lt;=1)*('CASE MASTER'!$AC$2:$AC$495&gt;=1)*('CASE MASTER'!$AB$2:$AB$495&lt;=10)*('CASE MASTER'!$AD$2:$AD$495&gt;=10))*ROW('CASE MASTER'!$T$2:$T$495))-(ROW('CASE MASTER'!#REF!)-1)))-INDEX('CASE MASTER'!$AB$2:$AB$495,(SUMPRODUCT((('CASE MASTER'!$T$2:$T$495=3)*('CASE MASTER'!$AA$2:$AA$495&lt;=1)*('CASE MASTER'!$AC$2:$AC$495&gt;=1)*('CASE MASTER'!$AB$2:$AB$495&lt;=10)*('CASE MASTER'!$AD$2:$AD$495&gt;=10))*ROW('CASE MASTER'!$T$2:$T$495))-(ROW('CASE MASTER'!#REF!)-1)))+1)+(10-INDEX('CASE MASTER'!$AB$2:$AB$495,(SUMPRODUCT((('CASE MASTER'!$T$2:$T$495=3)*('CASE MASTER'!$AA$2:$AA$495&lt;=1)*('CASE MASTER'!$AC$2:$AC$495&gt;=1)*('CASE MASTER'!$AB$2:$AB$495&lt;=10)*('CASE MASTER'!$AD$2:$AD$495&gt;=10))*ROW('CASE MASTER'!$T$2:$T$495))-(ROW('CASE MASTER'!#REF!)-1))))+1)))-1)*50+1,50))&amp;"_"&amp;INDEX('CASE MASTER'!$Q$2:$Q$495,(SUMPRODUCT((('CASE MASTER'!$T$2:$T$495=3)*('CASE MASTER'!$AA$2:$AA$495&lt;=1)*('CASE MASTER'!$AC$2:$AC$495&gt;=1)*('CASE MASTER'!$AB$2:$AB$495&lt;=10)*('CASE MASTER'!$AD$2:$AD$495&gt;=10))*ROW('CASE MASTER'!$T$2:$T$495))-(ROW('CASE MASTER'!#REF!)-1))),"")),"")</f>
        <v/>
      </c>
    </row>
    <row r="32" spans="1:11" ht="15" customHeight="1" x14ac:dyDescent="0.35">
      <c r="A32" s="8" t="s">
        <v>29</v>
      </c>
      <c r="B32" s="10" t="str">
        <f>IFERROR(IF(SUMPRODUCT((('CASE MASTER'!$T$2:$T$495=3)*('CASE MASTER'!$U$2:$U$495&lt;=2)*('CASE MASTER'!$W$2:$W$495&gt;=2)*('CASE MASTER'!$V$2:$V$495&lt;=1)*('CASE MASTER'!$X$2:$X$495&gt;=1))*ROW('CASE MASTER'!$T$2:$T$495))&gt;0,INDEX('CASE MASTER'!$Y$2:$Y$495,(SUMPRODUCT((('CASE MASTER'!$T$2:$T$495=3)*('CASE MASTER'!$U$2:$U$495&lt;=2)*('CASE MASTER'!$W$2:$W$495&gt;=2)*('CASE MASTER'!$V$2:$V$495&lt;=1)*('CASE MASTER'!$X$2:$X$495&gt;=1))*ROW('CASE MASTER'!$T$2:$T$495))-(ROW('CASE MASTER'!#REF!)-1)))&amp;TRIM(MID(SUBSTITUTE(SUBSTITUTE(INDEX('CASE MASTER'!$N$2:$N$495,(SUMPRODUCT((('CASE MASTER'!$T$2:$T$495=3)*('CASE MASTER'!$U$2:$U$495&lt;=2)*('CASE MASTER'!$W$2:$W$495&gt;=2)*('CASE MASTER'!$V$2:$V$495&lt;=1)*('CASE MASTER'!$X$2:$X$495&gt;=1))*ROW('CASE MASTER'!$T$2:$T$495))-(ROW('CASE MASTER'!#REF!)-1))),":",","),",",REPT(" ",50)),((((2-INDEX('CASE MASTER'!$U$2:$U$495,(SUMPRODUCT((('CASE MASTER'!$T$2:$T$495=3)*('CASE MASTER'!$U$2:$U$495&lt;=2)*('CASE MASTER'!$W$2:$W$495&gt;=2)*('CASE MASTER'!$V$2:$V$495&lt;=1)*('CASE MASTER'!$X$2:$X$495&gt;=1))*ROW('CASE MASTER'!$T$2:$T$495))-(ROW('CASE MASTER'!#REF!)-1))))*(INDEX('CASE MASTER'!$X$2:$X$495,(SUMPRODUCT((('CASE MASTER'!$T$2:$T$495=3)*('CASE MASTER'!$U$2:$U$495&lt;=2)*('CASE MASTER'!$W$2:$W$495&gt;=2)*('CASE MASTER'!$V$2:$V$495&lt;=1)*('CASE MASTER'!$X$2:$X$495&gt;=1))*ROW('CASE MASTER'!$T$2:$T$495))-(ROW('CASE MASTER'!#REF!)-1)))-INDEX('CASE MASTER'!$V$2:$V$495,(SUMPRODUCT((('CASE MASTER'!$T$2:$T$495=3)*('CASE MASTER'!$U$2:$U$495&lt;=2)*('CASE MASTER'!$W$2:$W$495&gt;=2)*('CASE MASTER'!$V$2:$V$495&lt;=1)*('CASE MASTER'!$X$2:$X$495&gt;=1))*ROW('CASE MASTER'!$T$2:$T$495))-(ROW('CASE MASTER'!#REF!)-1)))+1)+(1-INDEX('CASE MASTER'!$V$2:$V$495,(SUMPRODUCT((('CASE MASTER'!$T$2:$T$495=3)*('CASE MASTER'!$U$2:$U$495&lt;=2)*('CASE MASTER'!$W$2:$W$495&gt;=2)*('CASE MASTER'!$V$2:$V$495&lt;=1)*('CASE MASTER'!$X$2:$X$495&gt;=1))*ROW('CASE MASTER'!$T$2:$T$495))-(ROW('CASE MASTER'!#REF!)-1))))+1))-1)*50+1,50))&amp;"_"&amp;INDEX('CASE MASTER'!$Q$2:$Q$495,(SUMPRODUCT((('CASE MASTER'!$T$2:$T$495=3)*('CASE MASTER'!$U$2:$U$495&lt;=2)*('CASE MASTER'!$W$2:$W$495&gt;=2)*('CASE MASTER'!$V$2:$V$495&lt;=1)*('CASE MASTER'!$X$2:$X$495&gt;=1))*ROW('CASE MASTER'!$T$2:$T$495))-(ROW('CASE MASTER'!#REF!)-1))),IF(SUMPRODUCT((('CASE MASTER'!$T$2:$T$495=3)*('CASE MASTER'!$AA$2:$AA$495&lt;=2)*('CASE MASTER'!$AC$2:$AC$495&gt;=2)*('CASE MASTER'!$AB$2:$AB$495&lt;=1)*('CASE MASTER'!$AD$2:$AD$495&gt;=1))*ROW('CASE MASTER'!$T$2:$T$495))&gt;0,INDEX('CASE MASTER'!$Y$2:$Y$495,(SUMPRODUCT((('CASE MASTER'!$T$2:$T$495=3)*('CASE MASTER'!$AA$2:$AA$495&lt;=2)*('CASE MASTER'!$AC$2:$AC$495&gt;=2)*('CASE MASTER'!$AB$2:$AB$495&lt;=1)*('CASE MASTER'!$AD$2:$AD$495&gt;=1))*ROW('CASE MASTER'!$T$2:$T$495))-(ROW('CASE MASTER'!#REF!)-1)))&amp;TRIM(MID(SUBSTITUTE(SUBSTITUTE(INDEX('CASE MASTER'!$N$2:$N$495,(SUMPRODUCT((('CASE MASTER'!$T$2:$T$495=3)*('CASE MASTER'!$AA$2:$AA$495&lt;=2)*('CASE MASTER'!$AC$2:$AC$495&gt;=2)*('CASE MASTER'!$AB$2:$AB$495&lt;=1)*('CASE MASTER'!$AD$2:$AD$495&gt;=1))*ROW('CASE MASTER'!$T$2:$T$495))-(ROW('CASE MASTER'!#REF!)-1))),":",","),",",REPT(" ",50)),(((INDEX('CASE MASTER'!$Z$2:$Z$495,(SUMPRODUCT((('CASE MASTER'!$T$2:$T$495=3)*('CASE MASTER'!$AA$2:$AA$495&lt;=2)*('CASE MASTER'!$AC$2:$AC$495&gt;=2)*('CASE MASTER'!$AB$2:$AB$495&lt;=1)*('CASE MASTER'!$AD$2:$AD$495&gt;=1))*ROW('CASE MASTER'!$T$2:$T$495))-(ROW('CASE MASTER'!#REF!)-1)))+((2-INDEX('CASE MASTER'!$AA$2:$AA$495,(SUMPRODUCT((('CASE MASTER'!$T$2:$T$495=3)*('CASE MASTER'!$AA$2:$AA$495&lt;=2)*('CASE MASTER'!$AC$2:$AC$495&gt;=2)*('CASE MASTER'!$AB$2:$AB$495&lt;=1)*('CASE MASTER'!$AD$2:$AD$495&gt;=1))*ROW('CASE MASTER'!$T$2:$T$495))-(ROW('CASE MASTER'!#REF!)-1))))*(INDEX('CASE MASTER'!$AD$2:$AD$495,(SUMPRODUCT((('CASE MASTER'!$T$2:$T$495=3)*('CASE MASTER'!$AA$2:$AA$495&lt;=2)*('CASE MASTER'!$AC$2:$AC$495&gt;=2)*('CASE MASTER'!$AB$2:$AB$495&lt;=1)*('CASE MASTER'!$AD$2:$AD$495&gt;=1))*ROW('CASE MASTER'!$T$2:$T$495))-(ROW('CASE MASTER'!#REF!)-1)))-INDEX('CASE MASTER'!$AB$2:$AB$495,(SUMPRODUCT((('CASE MASTER'!$T$2:$T$495=3)*('CASE MASTER'!$AA$2:$AA$495&lt;=2)*('CASE MASTER'!$AC$2:$AC$495&gt;=2)*('CASE MASTER'!$AB$2:$AB$495&lt;=1)*('CASE MASTER'!$AD$2:$AD$495&gt;=1))*ROW('CASE MASTER'!$T$2:$T$495))-(ROW('CASE MASTER'!#REF!)-1)))+1)+(1-INDEX('CASE MASTER'!$AB$2:$AB$495,(SUMPRODUCT((('CASE MASTER'!$T$2:$T$495=3)*('CASE MASTER'!$AA$2:$AA$495&lt;=2)*('CASE MASTER'!$AC$2:$AC$495&gt;=2)*('CASE MASTER'!$AB$2:$AB$495&lt;=1)*('CASE MASTER'!$AD$2:$AD$495&gt;=1))*ROW('CASE MASTER'!$T$2:$T$495))-(ROW('CASE MASTER'!#REF!)-1))))+1)))-1)*50+1,50))&amp;"_"&amp;INDEX('CASE MASTER'!$Q$2:$Q$495,(SUMPRODUCT((('CASE MASTER'!$T$2:$T$495=3)*('CASE MASTER'!$AA$2:$AA$495&lt;=2)*('CASE MASTER'!$AC$2:$AC$495&gt;=2)*('CASE MASTER'!$AB$2:$AB$495&lt;=1)*('CASE MASTER'!$AD$2:$AD$495&gt;=1))*ROW('CASE MASTER'!$T$2:$T$495))-(ROW('CASE MASTER'!#REF!)-1))),"")),"")</f>
        <v/>
      </c>
      <c r="C32" s="10" t="str">
        <f>IFERROR(IF(SUMPRODUCT((('CASE MASTER'!$T$2:$T$495=3)*('CASE MASTER'!$U$2:$U$495&lt;=2)*('CASE MASTER'!$W$2:$W$495&gt;=2)*('CASE MASTER'!$V$2:$V$495&lt;=2)*('CASE MASTER'!$X$2:$X$495&gt;=2))*ROW('CASE MASTER'!$T$2:$T$495))&gt;0,INDEX('CASE MASTER'!$Y$2:$Y$495,(SUMPRODUCT((('CASE MASTER'!$T$2:$T$495=3)*('CASE MASTER'!$U$2:$U$495&lt;=2)*('CASE MASTER'!$W$2:$W$495&gt;=2)*('CASE MASTER'!$V$2:$V$495&lt;=2)*('CASE MASTER'!$X$2:$X$495&gt;=2))*ROW('CASE MASTER'!$T$2:$T$495))-(ROW('CASE MASTER'!#REF!)-1)))&amp;TRIM(MID(SUBSTITUTE(SUBSTITUTE(INDEX('CASE MASTER'!$N$2:$N$495,(SUMPRODUCT((('CASE MASTER'!$T$2:$T$495=3)*('CASE MASTER'!$U$2:$U$495&lt;=2)*('CASE MASTER'!$W$2:$W$495&gt;=2)*('CASE MASTER'!$V$2:$V$495&lt;=2)*('CASE MASTER'!$X$2:$X$495&gt;=2))*ROW('CASE MASTER'!$T$2:$T$495))-(ROW('CASE MASTER'!#REF!)-1))),":",","),",",REPT(" ",50)),((((2-INDEX('CASE MASTER'!$U$2:$U$495,(SUMPRODUCT((('CASE MASTER'!$T$2:$T$495=3)*('CASE MASTER'!$U$2:$U$495&lt;=2)*('CASE MASTER'!$W$2:$W$495&gt;=2)*('CASE MASTER'!$V$2:$V$495&lt;=2)*('CASE MASTER'!$X$2:$X$495&gt;=2))*ROW('CASE MASTER'!$T$2:$T$495))-(ROW('CASE MASTER'!#REF!)-1))))*(INDEX('CASE MASTER'!$X$2:$X$495,(SUMPRODUCT((('CASE MASTER'!$T$2:$T$495=3)*('CASE MASTER'!$U$2:$U$495&lt;=2)*('CASE MASTER'!$W$2:$W$495&gt;=2)*('CASE MASTER'!$V$2:$V$495&lt;=2)*('CASE MASTER'!$X$2:$X$495&gt;=2))*ROW('CASE MASTER'!$T$2:$T$495))-(ROW('CASE MASTER'!#REF!)-1)))-INDEX('CASE MASTER'!$V$2:$V$495,(SUMPRODUCT((('CASE MASTER'!$T$2:$T$495=3)*('CASE MASTER'!$U$2:$U$495&lt;=2)*('CASE MASTER'!$W$2:$W$495&gt;=2)*('CASE MASTER'!$V$2:$V$495&lt;=2)*('CASE MASTER'!$X$2:$X$495&gt;=2))*ROW('CASE MASTER'!$T$2:$T$495))-(ROW('CASE MASTER'!#REF!)-1)))+1)+(2-INDEX('CASE MASTER'!$V$2:$V$495,(SUMPRODUCT((('CASE MASTER'!$T$2:$T$495=3)*('CASE MASTER'!$U$2:$U$495&lt;=2)*('CASE MASTER'!$W$2:$W$495&gt;=2)*('CASE MASTER'!$V$2:$V$495&lt;=2)*('CASE MASTER'!$X$2:$X$495&gt;=2))*ROW('CASE MASTER'!$T$2:$T$495))-(ROW('CASE MASTER'!#REF!)-1))))+1))-1)*50+1,50))&amp;"_"&amp;INDEX('CASE MASTER'!$Q$2:$Q$495,(SUMPRODUCT((('CASE MASTER'!$T$2:$T$495=3)*('CASE MASTER'!$U$2:$U$495&lt;=2)*('CASE MASTER'!$W$2:$W$495&gt;=2)*('CASE MASTER'!$V$2:$V$495&lt;=2)*('CASE MASTER'!$X$2:$X$495&gt;=2))*ROW('CASE MASTER'!$T$2:$T$495))-(ROW('CASE MASTER'!#REF!)-1))),IF(SUMPRODUCT((('CASE MASTER'!$T$2:$T$495=3)*('CASE MASTER'!$AA$2:$AA$495&lt;=2)*('CASE MASTER'!$AC$2:$AC$495&gt;=2)*('CASE MASTER'!$AB$2:$AB$495&lt;=2)*('CASE MASTER'!$AD$2:$AD$495&gt;=2))*ROW('CASE MASTER'!$T$2:$T$495))&gt;0,INDEX('CASE MASTER'!$Y$2:$Y$495,(SUMPRODUCT((('CASE MASTER'!$T$2:$T$495=3)*('CASE MASTER'!$AA$2:$AA$495&lt;=2)*('CASE MASTER'!$AC$2:$AC$495&gt;=2)*('CASE MASTER'!$AB$2:$AB$495&lt;=2)*('CASE MASTER'!$AD$2:$AD$495&gt;=2))*ROW('CASE MASTER'!$T$2:$T$495))-(ROW('CASE MASTER'!#REF!)-1)))&amp;TRIM(MID(SUBSTITUTE(SUBSTITUTE(INDEX('CASE MASTER'!$N$2:$N$495,(SUMPRODUCT((('CASE MASTER'!$T$2:$T$495=3)*('CASE MASTER'!$AA$2:$AA$495&lt;=2)*('CASE MASTER'!$AC$2:$AC$495&gt;=2)*('CASE MASTER'!$AB$2:$AB$495&lt;=2)*('CASE MASTER'!$AD$2:$AD$495&gt;=2))*ROW('CASE MASTER'!$T$2:$T$495))-(ROW('CASE MASTER'!#REF!)-1))),":",","),",",REPT(" ",50)),(((INDEX('CASE MASTER'!$Z$2:$Z$495,(SUMPRODUCT((('CASE MASTER'!$T$2:$T$495=3)*('CASE MASTER'!$AA$2:$AA$495&lt;=2)*('CASE MASTER'!$AC$2:$AC$495&gt;=2)*('CASE MASTER'!$AB$2:$AB$495&lt;=2)*('CASE MASTER'!$AD$2:$AD$495&gt;=2))*ROW('CASE MASTER'!$T$2:$T$495))-(ROW('CASE MASTER'!#REF!)-1)))+((2-INDEX('CASE MASTER'!$AA$2:$AA$495,(SUMPRODUCT((('CASE MASTER'!$T$2:$T$495=3)*('CASE MASTER'!$AA$2:$AA$495&lt;=2)*('CASE MASTER'!$AC$2:$AC$495&gt;=2)*('CASE MASTER'!$AB$2:$AB$495&lt;=2)*('CASE MASTER'!$AD$2:$AD$495&gt;=2))*ROW('CASE MASTER'!$T$2:$T$495))-(ROW('CASE MASTER'!#REF!)-1))))*(INDEX('CASE MASTER'!$AD$2:$AD$495,(SUMPRODUCT((('CASE MASTER'!$T$2:$T$495=3)*('CASE MASTER'!$AA$2:$AA$495&lt;=2)*('CASE MASTER'!$AC$2:$AC$495&gt;=2)*('CASE MASTER'!$AB$2:$AB$495&lt;=2)*('CASE MASTER'!$AD$2:$AD$495&gt;=2))*ROW('CASE MASTER'!$T$2:$T$495))-(ROW('CASE MASTER'!#REF!)-1)))-INDEX('CASE MASTER'!$AB$2:$AB$495,(SUMPRODUCT((('CASE MASTER'!$T$2:$T$495=3)*('CASE MASTER'!$AA$2:$AA$495&lt;=2)*('CASE MASTER'!$AC$2:$AC$495&gt;=2)*('CASE MASTER'!$AB$2:$AB$495&lt;=2)*('CASE MASTER'!$AD$2:$AD$495&gt;=2))*ROW('CASE MASTER'!$T$2:$T$495))-(ROW('CASE MASTER'!#REF!)-1)))+1)+(2-INDEX('CASE MASTER'!$AB$2:$AB$495,(SUMPRODUCT((('CASE MASTER'!$T$2:$T$495=3)*('CASE MASTER'!$AA$2:$AA$495&lt;=2)*('CASE MASTER'!$AC$2:$AC$495&gt;=2)*('CASE MASTER'!$AB$2:$AB$495&lt;=2)*('CASE MASTER'!$AD$2:$AD$495&gt;=2))*ROW('CASE MASTER'!$T$2:$T$495))-(ROW('CASE MASTER'!#REF!)-1))))+1)))-1)*50+1,50))&amp;"_"&amp;INDEX('CASE MASTER'!$Q$2:$Q$495,(SUMPRODUCT((('CASE MASTER'!$T$2:$T$495=3)*('CASE MASTER'!$AA$2:$AA$495&lt;=2)*('CASE MASTER'!$AC$2:$AC$495&gt;=2)*('CASE MASTER'!$AB$2:$AB$495&lt;=2)*('CASE MASTER'!$AD$2:$AD$495&gt;=2))*ROW('CASE MASTER'!$T$2:$T$495))-(ROW('CASE MASTER'!#REF!)-1))),"")),"")</f>
        <v/>
      </c>
      <c r="D32" s="10" t="str">
        <f>IFERROR(IF(SUMPRODUCT((('CASE MASTER'!$T$2:$T$495=3)*('CASE MASTER'!$U$2:$U$495&lt;=2)*('CASE MASTER'!$W$2:$W$495&gt;=2)*('CASE MASTER'!$V$2:$V$495&lt;=3)*('CASE MASTER'!$X$2:$X$495&gt;=3))*ROW('CASE MASTER'!$T$2:$T$495))&gt;0,INDEX('CASE MASTER'!$Y$2:$Y$495,(SUMPRODUCT((('CASE MASTER'!$T$2:$T$495=3)*('CASE MASTER'!$U$2:$U$495&lt;=2)*('CASE MASTER'!$W$2:$W$495&gt;=2)*('CASE MASTER'!$V$2:$V$495&lt;=3)*('CASE MASTER'!$X$2:$X$495&gt;=3))*ROW('CASE MASTER'!$T$2:$T$495))-(ROW('CASE MASTER'!#REF!)-1)))&amp;TRIM(MID(SUBSTITUTE(SUBSTITUTE(INDEX('CASE MASTER'!$N$2:$N$495,(SUMPRODUCT((('CASE MASTER'!$T$2:$T$495=3)*('CASE MASTER'!$U$2:$U$495&lt;=2)*('CASE MASTER'!$W$2:$W$495&gt;=2)*('CASE MASTER'!$V$2:$V$495&lt;=3)*('CASE MASTER'!$X$2:$X$495&gt;=3))*ROW('CASE MASTER'!$T$2:$T$495))-(ROW('CASE MASTER'!#REF!)-1))),":",","),",",REPT(" ",50)),((((2-INDEX('CASE MASTER'!$U$2:$U$495,(SUMPRODUCT((('CASE MASTER'!$T$2:$T$495=3)*('CASE MASTER'!$U$2:$U$495&lt;=2)*('CASE MASTER'!$W$2:$W$495&gt;=2)*('CASE MASTER'!$V$2:$V$495&lt;=3)*('CASE MASTER'!$X$2:$X$495&gt;=3))*ROW('CASE MASTER'!$T$2:$T$495))-(ROW('CASE MASTER'!#REF!)-1))))*(INDEX('CASE MASTER'!$X$2:$X$495,(SUMPRODUCT((('CASE MASTER'!$T$2:$T$495=3)*('CASE MASTER'!$U$2:$U$495&lt;=2)*('CASE MASTER'!$W$2:$W$495&gt;=2)*('CASE MASTER'!$V$2:$V$495&lt;=3)*('CASE MASTER'!$X$2:$X$495&gt;=3))*ROW('CASE MASTER'!$T$2:$T$495))-(ROW('CASE MASTER'!#REF!)-1)))-INDEX('CASE MASTER'!$V$2:$V$495,(SUMPRODUCT((('CASE MASTER'!$T$2:$T$495=3)*('CASE MASTER'!$U$2:$U$495&lt;=2)*('CASE MASTER'!$W$2:$W$495&gt;=2)*('CASE MASTER'!$V$2:$V$495&lt;=3)*('CASE MASTER'!$X$2:$X$495&gt;=3))*ROW('CASE MASTER'!$T$2:$T$495))-(ROW('CASE MASTER'!#REF!)-1)))+1)+(3-INDEX('CASE MASTER'!$V$2:$V$495,(SUMPRODUCT((('CASE MASTER'!$T$2:$T$495=3)*('CASE MASTER'!$U$2:$U$495&lt;=2)*('CASE MASTER'!$W$2:$W$495&gt;=2)*('CASE MASTER'!$V$2:$V$495&lt;=3)*('CASE MASTER'!$X$2:$X$495&gt;=3))*ROW('CASE MASTER'!$T$2:$T$495))-(ROW('CASE MASTER'!#REF!)-1))))+1))-1)*50+1,50))&amp;"_"&amp;INDEX('CASE MASTER'!$Q$2:$Q$495,(SUMPRODUCT((('CASE MASTER'!$T$2:$T$495=3)*('CASE MASTER'!$U$2:$U$495&lt;=2)*('CASE MASTER'!$W$2:$W$495&gt;=2)*('CASE MASTER'!$V$2:$V$495&lt;=3)*('CASE MASTER'!$X$2:$X$495&gt;=3))*ROW('CASE MASTER'!$T$2:$T$495))-(ROW('CASE MASTER'!#REF!)-1))),IF(SUMPRODUCT((('CASE MASTER'!$T$2:$T$495=3)*('CASE MASTER'!$AA$2:$AA$495&lt;=2)*('CASE MASTER'!$AC$2:$AC$495&gt;=2)*('CASE MASTER'!$AB$2:$AB$495&lt;=3)*('CASE MASTER'!$AD$2:$AD$495&gt;=3))*ROW('CASE MASTER'!$T$2:$T$495))&gt;0,INDEX('CASE MASTER'!$Y$2:$Y$495,(SUMPRODUCT((('CASE MASTER'!$T$2:$T$495=3)*('CASE MASTER'!$AA$2:$AA$495&lt;=2)*('CASE MASTER'!$AC$2:$AC$495&gt;=2)*('CASE MASTER'!$AB$2:$AB$495&lt;=3)*('CASE MASTER'!$AD$2:$AD$495&gt;=3))*ROW('CASE MASTER'!$T$2:$T$495))-(ROW('CASE MASTER'!#REF!)-1)))&amp;TRIM(MID(SUBSTITUTE(SUBSTITUTE(INDEX('CASE MASTER'!$N$2:$N$495,(SUMPRODUCT((('CASE MASTER'!$T$2:$T$495=3)*('CASE MASTER'!$AA$2:$AA$495&lt;=2)*('CASE MASTER'!$AC$2:$AC$495&gt;=2)*('CASE MASTER'!$AB$2:$AB$495&lt;=3)*('CASE MASTER'!$AD$2:$AD$495&gt;=3))*ROW('CASE MASTER'!$T$2:$T$495))-(ROW('CASE MASTER'!#REF!)-1))),":",","),",",REPT(" ",50)),(((INDEX('CASE MASTER'!$Z$2:$Z$495,(SUMPRODUCT((('CASE MASTER'!$T$2:$T$495=3)*('CASE MASTER'!$AA$2:$AA$495&lt;=2)*('CASE MASTER'!$AC$2:$AC$495&gt;=2)*('CASE MASTER'!$AB$2:$AB$495&lt;=3)*('CASE MASTER'!$AD$2:$AD$495&gt;=3))*ROW('CASE MASTER'!$T$2:$T$495))-(ROW('CASE MASTER'!#REF!)-1)))+((2-INDEX('CASE MASTER'!$AA$2:$AA$495,(SUMPRODUCT((('CASE MASTER'!$T$2:$T$495=3)*('CASE MASTER'!$AA$2:$AA$495&lt;=2)*('CASE MASTER'!$AC$2:$AC$495&gt;=2)*('CASE MASTER'!$AB$2:$AB$495&lt;=3)*('CASE MASTER'!$AD$2:$AD$495&gt;=3))*ROW('CASE MASTER'!$T$2:$T$495))-(ROW('CASE MASTER'!#REF!)-1))))*(INDEX('CASE MASTER'!$AD$2:$AD$495,(SUMPRODUCT((('CASE MASTER'!$T$2:$T$495=3)*('CASE MASTER'!$AA$2:$AA$495&lt;=2)*('CASE MASTER'!$AC$2:$AC$495&gt;=2)*('CASE MASTER'!$AB$2:$AB$495&lt;=3)*('CASE MASTER'!$AD$2:$AD$495&gt;=3))*ROW('CASE MASTER'!$T$2:$T$495))-(ROW('CASE MASTER'!#REF!)-1)))-INDEX('CASE MASTER'!$AB$2:$AB$495,(SUMPRODUCT((('CASE MASTER'!$T$2:$T$495=3)*('CASE MASTER'!$AA$2:$AA$495&lt;=2)*('CASE MASTER'!$AC$2:$AC$495&gt;=2)*('CASE MASTER'!$AB$2:$AB$495&lt;=3)*('CASE MASTER'!$AD$2:$AD$495&gt;=3))*ROW('CASE MASTER'!$T$2:$T$495))-(ROW('CASE MASTER'!#REF!)-1)))+1)+(3-INDEX('CASE MASTER'!$AB$2:$AB$495,(SUMPRODUCT((('CASE MASTER'!$T$2:$T$495=3)*('CASE MASTER'!$AA$2:$AA$495&lt;=2)*('CASE MASTER'!$AC$2:$AC$495&gt;=2)*('CASE MASTER'!$AB$2:$AB$495&lt;=3)*('CASE MASTER'!$AD$2:$AD$495&gt;=3))*ROW('CASE MASTER'!$T$2:$T$495))-(ROW('CASE MASTER'!#REF!)-1))))+1)))-1)*50+1,50))&amp;"_"&amp;INDEX('CASE MASTER'!$Q$2:$Q$495,(SUMPRODUCT((('CASE MASTER'!$T$2:$T$495=3)*('CASE MASTER'!$AA$2:$AA$495&lt;=2)*('CASE MASTER'!$AC$2:$AC$495&gt;=2)*('CASE MASTER'!$AB$2:$AB$495&lt;=3)*('CASE MASTER'!$AD$2:$AD$495&gt;=3))*ROW('CASE MASTER'!$T$2:$T$495))-(ROW('CASE MASTER'!#REF!)-1))),"")),"")</f>
        <v/>
      </c>
      <c r="E32" s="10" t="str">
        <f>IFERROR(IF(SUMPRODUCT((('CASE MASTER'!$T$2:$T$495=3)*('CASE MASTER'!$U$2:$U$495&lt;=2)*('CASE MASTER'!$W$2:$W$495&gt;=2)*('CASE MASTER'!$V$2:$V$495&lt;=4)*('CASE MASTER'!$X$2:$X$495&gt;=4))*ROW('CASE MASTER'!$T$2:$T$495))&gt;0,INDEX('CASE MASTER'!$Y$2:$Y$495,(SUMPRODUCT((('CASE MASTER'!$T$2:$T$495=3)*('CASE MASTER'!$U$2:$U$495&lt;=2)*('CASE MASTER'!$W$2:$W$495&gt;=2)*('CASE MASTER'!$V$2:$V$495&lt;=4)*('CASE MASTER'!$X$2:$X$495&gt;=4))*ROW('CASE MASTER'!$T$2:$T$495))-(ROW('CASE MASTER'!#REF!)-1)))&amp;TRIM(MID(SUBSTITUTE(SUBSTITUTE(INDEX('CASE MASTER'!$N$2:$N$495,(SUMPRODUCT((('CASE MASTER'!$T$2:$T$495=3)*('CASE MASTER'!$U$2:$U$495&lt;=2)*('CASE MASTER'!$W$2:$W$495&gt;=2)*('CASE MASTER'!$V$2:$V$495&lt;=4)*('CASE MASTER'!$X$2:$X$495&gt;=4))*ROW('CASE MASTER'!$T$2:$T$495))-(ROW('CASE MASTER'!#REF!)-1))),":",","),",",REPT(" ",50)),((((2-INDEX('CASE MASTER'!$U$2:$U$495,(SUMPRODUCT((('CASE MASTER'!$T$2:$T$495=3)*('CASE MASTER'!$U$2:$U$495&lt;=2)*('CASE MASTER'!$W$2:$W$495&gt;=2)*('CASE MASTER'!$V$2:$V$495&lt;=4)*('CASE MASTER'!$X$2:$X$495&gt;=4))*ROW('CASE MASTER'!$T$2:$T$495))-(ROW('CASE MASTER'!#REF!)-1))))*(INDEX('CASE MASTER'!$X$2:$X$495,(SUMPRODUCT((('CASE MASTER'!$T$2:$T$495=3)*('CASE MASTER'!$U$2:$U$495&lt;=2)*('CASE MASTER'!$W$2:$W$495&gt;=2)*('CASE MASTER'!$V$2:$V$495&lt;=4)*('CASE MASTER'!$X$2:$X$495&gt;=4))*ROW('CASE MASTER'!$T$2:$T$495))-(ROW('CASE MASTER'!#REF!)-1)))-INDEX('CASE MASTER'!$V$2:$V$495,(SUMPRODUCT((('CASE MASTER'!$T$2:$T$495=3)*('CASE MASTER'!$U$2:$U$495&lt;=2)*('CASE MASTER'!$W$2:$W$495&gt;=2)*('CASE MASTER'!$V$2:$V$495&lt;=4)*('CASE MASTER'!$X$2:$X$495&gt;=4))*ROW('CASE MASTER'!$T$2:$T$495))-(ROW('CASE MASTER'!#REF!)-1)))+1)+(4-INDEX('CASE MASTER'!$V$2:$V$495,(SUMPRODUCT((('CASE MASTER'!$T$2:$T$495=3)*('CASE MASTER'!$U$2:$U$495&lt;=2)*('CASE MASTER'!$W$2:$W$495&gt;=2)*('CASE MASTER'!$V$2:$V$495&lt;=4)*('CASE MASTER'!$X$2:$X$495&gt;=4))*ROW('CASE MASTER'!$T$2:$T$495))-(ROW('CASE MASTER'!#REF!)-1))))+1))-1)*50+1,50))&amp;"_"&amp;INDEX('CASE MASTER'!$Q$2:$Q$495,(SUMPRODUCT((('CASE MASTER'!$T$2:$T$495=3)*('CASE MASTER'!$U$2:$U$495&lt;=2)*('CASE MASTER'!$W$2:$W$495&gt;=2)*('CASE MASTER'!$V$2:$V$495&lt;=4)*('CASE MASTER'!$X$2:$X$495&gt;=4))*ROW('CASE MASTER'!$T$2:$T$495))-(ROW('CASE MASTER'!#REF!)-1))),IF(SUMPRODUCT((('CASE MASTER'!$T$2:$T$495=3)*('CASE MASTER'!$AA$2:$AA$495&lt;=2)*('CASE MASTER'!$AC$2:$AC$495&gt;=2)*('CASE MASTER'!$AB$2:$AB$495&lt;=4)*('CASE MASTER'!$AD$2:$AD$495&gt;=4))*ROW('CASE MASTER'!$T$2:$T$495))&gt;0,INDEX('CASE MASTER'!$Y$2:$Y$495,(SUMPRODUCT((('CASE MASTER'!$T$2:$T$495=3)*('CASE MASTER'!$AA$2:$AA$495&lt;=2)*('CASE MASTER'!$AC$2:$AC$495&gt;=2)*('CASE MASTER'!$AB$2:$AB$495&lt;=4)*('CASE MASTER'!$AD$2:$AD$495&gt;=4))*ROW('CASE MASTER'!$T$2:$T$495))-(ROW('CASE MASTER'!#REF!)-1)))&amp;TRIM(MID(SUBSTITUTE(SUBSTITUTE(INDEX('CASE MASTER'!$N$2:$N$495,(SUMPRODUCT((('CASE MASTER'!$T$2:$T$495=3)*('CASE MASTER'!$AA$2:$AA$495&lt;=2)*('CASE MASTER'!$AC$2:$AC$495&gt;=2)*('CASE MASTER'!$AB$2:$AB$495&lt;=4)*('CASE MASTER'!$AD$2:$AD$495&gt;=4))*ROW('CASE MASTER'!$T$2:$T$495))-(ROW('CASE MASTER'!#REF!)-1))),":",","),",",REPT(" ",50)),(((INDEX('CASE MASTER'!$Z$2:$Z$495,(SUMPRODUCT((('CASE MASTER'!$T$2:$T$495=3)*('CASE MASTER'!$AA$2:$AA$495&lt;=2)*('CASE MASTER'!$AC$2:$AC$495&gt;=2)*('CASE MASTER'!$AB$2:$AB$495&lt;=4)*('CASE MASTER'!$AD$2:$AD$495&gt;=4))*ROW('CASE MASTER'!$T$2:$T$495))-(ROW('CASE MASTER'!#REF!)-1)))+((2-INDEX('CASE MASTER'!$AA$2:$AA$495,(SUMPRODUCT((('CASE MASTER'!$T$2:$T$495=3)*('CASE MASTER'!$AA$2:$AA$495&lt;=2)*('CASE MASTER'!$AC$2:$AC$495&gt;=2)*('CASE MASTER'!$AB$2:$AB$495&lt;=4)*('CASE MASTER'!$AD$2:$AD$495&gt;=4))*ROW('CASE MASTER'!$T$2:$T$495))-(ROW('CASE MASTER'!#REF!)-1))))*(INDEX('CASE MASTER'!$AD$2:$AD$495,(SUMPRODUCT((('CASE MASTER'!$T$2:$T$495=3)*('CASE MASTER'!$AA$2:$AA$495&lt;=2)*('CASE MASTER'!$AC$2:$AC$495&gt;=2)*('CASE MASTER'!$AB$2:$AB$495&lt;=4)*('CASE MASTER'!$AD$2:$AD$495&gt;=4))*ROW('CASE MASTER'!$T$2:$T$495))-(ROW('CASE MASTER'!#REF!)-1)))-INDEX('CASE MASTER'!$AB$2:$AB$495,(SUMPRODUCT((('CASE MASTER'!$T$2:$T$495=3)*('CASE MASTER'!$AA$2:$AA$495&lt;=2)*('CASE MASTER'!$AC$2:$AC$495&gt;=2)*('CASE MASTER'!$AB$2:$AB$495&lt;=4)*('CASE MASTER'!$AD$2:$AD$495&gt;=4))*ROW('CASE MASTER'!$T$2:$T$495))-(ROW('CASE MASTER'!#REF!)-1)))+1)+(4-INDEX('CASE MASTER'!$AB$2:$AB$495,(SUMPRODUCT((('CASE MASTER'!$T$2:$T$495=3)*('CASE MASTER'!$AA$2:$AA$495&lt;=2)*('CASE MASTER'!$AC$2:$AC$495&gt;=2)*('CASE MASTER'!$AB$2:$AB$495&lt;=4)*('CASE MASTER'!$AD$2:$AD$495&gt;=4))*ROW('CASE MASTER'!$T$2:$T$495))-(ROW('CASE MASTER'!#REF!)-1))))+1)))-1)*50+1,50))&amp;"_"&amp;INDEX('CASE MASTER'!$Q$2:$Q$495,(SUMPRODUCT((('CASE MASTER'!$T$2:$T$495=3)*('CASE MASTER'!$AA$2:$AA$495&lt;=2)*('CASE MASTER'!$AC$2:$AC$495&gt;=2)*('CASE MASTER'!$AB$2:$AB$495&lt;=4)*('CASE MASTER'!$AD$2:$AD$495&gt;=4))*ROW('CASE MASTER'!$T$2:$T$495))-(ROW('CASE MASTER'!#REF!)-1))),"")),"")</f>
        <v/>
      </c>
      <c r="F32" s="10" t="str">
        <f>IFERROR(IF(SUMPRODUCT((('CASE MASTER'!$T$2:$T$495=3)*('CASE MASTER'!$U$2:$U$495&lt;=2)*('CASE MASTER'!$W$2:$W$495&gt;=2)*('CASE MASTER'!$V$2:$V$495&lt;=5)*('CASE MASTER'!$X$2:$X$495&gt;=5))*ROW('CASE MASTER'!$T$2:$T$495))&gt;0,INDEX('CASE MASTER'!$Y$2:$Y$495,(SUMPRODUCT((('CASE MASTER'!$T$2:$T$495=3)*('CASE MASTER'!$U$2:$U$495&lt;=2)*('CASE MASTER'!$W$2:$W$495&gt;=2)*('CASE MASTER'!$V$2:$V$495&lt;=5)*('CASE MASTER'!$X$2:$X$495&gt;=5))*ROW('CASE MASTER'!$T$2:$T$495))-(ROW('CASE MASTER'!#REF!)-1)))&amp;TRIM(MID(SUBSTITUTE(SUBSTITUTE(INDEX('CASE MASTER'!$N$2:$N$495,(SUMPRODUCT((('CASE MASTER'!$T$2:$T$495=3)*('CASE MASTER'!$U$2:$U$495&lt;=2)*('CASE MASTER'!$W$2:$W$495&gt;=2)*('CASE MASTER'!$V$2:$V$495&lt;=5)*('CASE MASTER'!$X$2:$X$495&gt;=5))*ROW('CASE MASTER'!$T$2:$T$495))-(ROW('CASE MASTER'!#REF!)-1))),":",","),",",REPT(" ",50)),((((2-INDEX('CASE MASTER'!$U$2:$U$495,(SUMPRODUCT((('CASE MASTER'!$T$2:$T$495=3)*('CASE MASTER'!$U$2:$U$495&lt;=2)*('CASE MASTER'!$W$2:$W$495&gt;=2)*('CASE MASTER'!$V$2:$V$495&lt;=5)*('CASE MASTER'!$X$2:$X$495&gt;=5))*ROW('CASE MASTER'!$T$2:$T$495))-(ROW('CASE MASTER'!#REF!)-1))))*(INDEX('CASE MASTER'!$X$2:$X$495,(SUMPRODUCT((('CASE MASTER'!$T$2:$T$495=3)*('CASE MASTER'!$U$2:$U$495&lt;=2)*('CASE MASTER'!$W$2:$W$495&gt;=2)*('CASE MASTER'!$V$2:$V$495&lt;=5)*('CASE MASTER'!$X$2:$X$495&gt;=5))*ROW('CASE MASTER'!$T$2:$T$495))-(ROW('CASE MASTER'!#REF!)-1)))-INDEX('CASE MASTER'!$V$2:$V$495,(SUMPRODUCT((('CASE MASTER'!$T$2:$T$495=3)*('CASE MASTER'!$U$2:$U$495&lt;=2)*('CASE MASTER'!$W$2:$W$495&gt;=2)*('CASE MASTER'!$V$2:$V$495&lt;=5)*('CASE MASTER'!$X$2:$X$495&gt;=5))*ROW('CASE MASTER'!$T$2:$T$495))-(ROW('CASE MASTER'!#REF!)-1)))+1)+(5-INDEX('CASE MASTER'!$V$2:$V$495,(SUMPRODUCT((('CASE MASTER'!$T$2:$T$495=3)*('CASE MASTER'!$U$2:$U$495&lt;=2)*('CASE MASTER'!$W$2:$W$495&gt;=2)*('CASE MASTER'!$V$2:$V$495&lt;=5)*('CASE MASTER'!$X$2:$X$495&gt;=5))*ROW('CASE MASTER'!$T$2:$T$495))-(ROW('CASE MASTER'!#REF!)-1))))+1))-1)*50+1,50))&amp;"_"&amp;INDEX('CASE MASTER'!$Q$2:$Q$495,(SUMPRODUCT((('CASE MASTER'!$T$2:$T$495=3)*('CASE MASTER'!$U$2:$U$495&lt;=2)*('CASE MASTER'!$W$2:$W$495&gt;=2)*('CASE MASTER'!$V$2:$V$495&lt;=5)*('CASE MASTER'!$X$2:$X$495&gt;=5))*ROW('CASE MASTER'!$T$2:$T$495))-(ROW('CASE MASTER'!#REF!)-1))),IF(SUMPRODUCT((('CASE MASTER'!$T$2:$T$495=3)*('CASE MASTER'!$AA$2:$AA$495&lt;=2)*('CASE MASTER'!$AC$2:$AC$495&gt;=2)*('CASE MASTER'!$AB$2:$AB$495&lt;=5)*('CASE MASTER'!$AD$2:$AD$495&gt;=5))*ROW('CASE MASTER'!$T$2:$T$495))&gt;0,INDEX('CASE MASTER'!$Y$2:$Y$495,(SUMPRODUCT((('CASE MASTER'!$T$2:$T$495=3)*('CASE MASTER'!$AA$2:$AA$495&lt;=2)*('CASE MASTER'!$AC$2:$AC$495&gt;=2)*('CASE MASTER'!$AB$2:$AB$495&lt;=5)*('CASE MASTER'!$AD$2:$AD$495&gt;=5))*ROW('CASE MASTER'!$T$2:$T$495))-(ROW('CASE MASTER'!#REF!)-1)))&amp;TRIM(MID(SUBSTITUTE(SUBSTITUTE(INDEX('CASE MASTER'!$N$2:$N$495,(SUMPRODUCT((('CASE MASTER'!$T$2:$T$495=3)*('CASE MASTER'!$AA$2:$AA$495&lt;=2)*('CASE MASTER'!$AC$2:$AC$495&gt;=2)*('CASE MASTER'!$AB$2:$AB$495&lt;=5)*('CASE MASTER'!$AD$2:$AD$495&gt;=5))*ROW('CASE MASTER'!$T$2:$T$495))-(ROW('CASE MASTER'!#REF!)-1))),":",","),",",REPT(" ",50)),(((INDEX('CASE MASTER'!$Z$2:$Z$495,(SUMPRODUCT((('CASE MASTER'!$T$2:$T$495=3)*('CASE MASTER'!$AA$2:$AA$495&lt;=2)*('CASE MASTER'!$AC$2:$AC$495&gt;=2)*('CASE MASTER'!$AB$2:$AB$495&lt;=5)*('CASE MASTER'!$AD$2:$AD$495&gt;=5))*ROW('CASE MASTER'!$T$2:$T$495))-(ROW('CASE MASTER'!#REF!)-1)))+((2-INDEX('CASE MASTER'!$AA$2:$AA$495,(SUMPRODUCT((('CASE MASTER'!$T$2:$T$495=3)*('CASE MASTER'!$AA$2:$AA$495&lt;=2)*('CASE MASTER'!$AC$2:$AC$495&gt;=2)*('CASE MASTER'!$AB$2:$AB$495&lt;=5)*('CASE MASTER'!$AD$2:$AD$495&gt;=5))*ROW('CASE MASTER'!$T$2:$T$495))-(ROW('CASE MASTER'!#REF!)-1))))*(INDEX('CASE MASTER'!$AD$2:$AD$495,(SUMPRODUCT((('CASE MASTER'!$T$2:$T$495=3)*('CASE MASTER'!$AA$2:$AA$495&lt;=2)*('CASE MASTER'!$AC$2:$AC$495&gt;=2)*('CASE MASTER'!$AB$2:$AB$495&lt;=5)*('CASE MASTER'!$AD$2:$AD$495&gt;=5))*ROW('CASE MASTER'!$T$2:$T$495))-(ROW('CASE MASTER'!#REF!)-1)))-INDEX('CASE MASTER'!$AB$2:$AB$495,(SUMPRODUCT((('CASE MASTER'!$T$2:$T$495=3)*('CASE MASTER'!$AA$2:$AA$495&lt;=2)*('CASE MASTER'!$AC$2:$AC$495&gt;=2)*('CASE MASTER'!$AB$2:$AB$495&lt;=5)*('CASE MASTER'!$AD$2:$AD$495&gt;=5))*ROW('CASE MASTER'!$T$2:$T$495))-(ROW('CASE MASTER'!#REF!)-1)))+1)+(5-INDEX('CASE MASTER'!$AB$2:$AB$495,(SUMPRODUCT((('CASE MASTER'!$T$2:$T$495=3)*('CASE MASTER'!$AA$2:$AA$495&lt;=2)*('CASE MASTER'!$AC$2:$AC$495&gt;=2)*('CASE MASTER'!$AB$2:$AB$495&lt;=5)*('CASE MASTER'!$AD$2:$AD$495&gt;=5))*ROW('CASE MASTER'!$T$2:$T$495))-(ROW('CASE MASTER'!#REF!)-1))))+1)))-1)*50+1,50))&amp;"_"&amp;INDEX('CASE MASTER'!$Q$2:$Q$495,(SUMPRODUCT((('CASE MASTER'!$T$2:$T$495=3)*('CASE MASTER'!$AA$2:$AA$495&lt;=2)*('CASE MASTER'!$AC$2:$AC$495&gt;=2)*('CASE MASTER'!$AB$2:$AB$495&lt;=5)*('CASE MASTER'!$AD$2:$AD$495&gt;=5))*ROW('CASE MASTER'!$T$2:$T$495))-(ROW('CASE MASTER'!#REF!)-1))),"")),"")</f>
        <v/>
      </c>
      <c r="G32" s="10" t="str">
        <f>IFERROR(IF(SUMPRODUCT((('CASE MASTER'!$T$2:$T$495=3)*('CASE MASTER'!$U$2:$U$495&lt;=2)*('CASE MASTER'!$W$2:$W$495&gt;=2)*('CASE MASTER'!$V$2:$V$495&lt;=6)*('CASE MASTER'!$X$2:$X$495&gt;=6))*ROW('CASE MASTER'!$T$2:$T$495))&gt;0,INDEX('CASE MASTER'!$Y$2:$Y$495,(SUMPRODUCT((('CASE MASTER'!$T$2:$T$495=3)*('CASE MASTER'!$U$2:$U$495&lt;=2)*('CASE MASTER'!$W$2:$W$495&gt;=2)*('CASE MASTER'!$V$2:$V$495&lt;=6)*('CASE MASTER'!$X$2:$X$495&gt;=6))*ROW('CASE MASTER'!$T$2:$T$495))-(ROW('CASE MASTER'!#REF!)-1)))&amp;TRIM(MID(SUBSTITUTE(SUBSTITUTE(INDEX('CASE MASTER'!$N$2:$N$495,(SUMPRODUCT((('CASE MASTER'!$T$2:$T$495=3)*('CASE MASTER'!$U$2:$U$495&lt;=2)*('CASE MASTER'!$W$2:$W$495&gt;=2)*('CASE MASTER'!$V$2:$V$495&lt;=6)*('CASE MASTER'!$X$2:$X$495&gt;=6))*ROW('CASE MASTER'!$T$2:$T$495))-(ROW('CASE MASTER'!#REF!)-1))),":",","),",",REPT(" ",50)),((((2-INDEX('CASE MASTER'!$U$2:$U$495,(SUMPRODUCT((('CASE MASTER'!$T$2:$T$495=3)*('CASE MASTER'!$U$2:$U$495&lt;=2)*('CASE MASTER'!$W$2:$W$495&gt;=2)*('CASE MASTER'!$V$2:$V$495&lt;=6)*('CASE MASTER'!$X$2:$X$495&gt;=6))*ROW('CASE MASTER'!$T$2:$T$495))-(ROW('CASE MASTER'!#REF!)-1))))*(INDEX('CASE MASTER'!$X$2:$X$495,(SUMPRODUCT((('CASE MASTER'!$T$2:$T$495=3)*('CASE MASTER'!$U$2:$U$495&lt;=2)*('CASE MASTER'!$W$2:$W$495&gt;=2)*('CASE MASTER'!$V$2:$V$495&lt;=6)*('CASE MASTER'!$X$2:$X$495&gt;=6))*ROW('CASE MASTER'!$T$2:$T$495))-(ROW('CASE MASTER'!#REF!)-1)))-INDEX('CASE MASTER'!$V$2:$V$495,(SUMPRODUCT((('CASE MASTER'!$T$2:$T$495=3)*('CASE MASTER'!$U$2:$U$495&lt;=2)*('CASE MASTER'!$W$2:$W$495&gt;=2)*('CASE MASTER'!$V$2:$V$495&lt;=6)*('CASE MASTER'!$X$2:$X$495&gt;=6))*ROW('CASE MASTER'!$T$2:$T$495))-(ROW('CASE MASTER'!#REF!)-1)))+1)+(6-INDEX('CASE MASTER'!$V$2:$V$495,(SUMPRODUCT((('CASE MASTER'!$T$2:$T$495=3)*('CASE MASTER'!$U$2:$U$495&lt;=2)*('CASE MASTER'!$W$2:$W$495&gt;=2)*('CASE MASTER'!$V$2:$V$495&lt;=6)*('CASE MASTER'!$X$2:$X$495&gt;=6))*ROW('CASE MASTER'!$T$2:$T$495))-(ROW('CASE MASTER'!#REF!)-1))))+1))-1)*50+1,50))&amp;"_"&amp;INDEX('CASE MASTER'!$Q$2:$Q$495,(SUMPRODUCT((('CASE MASTER'!$T$2:$T$495=3)*('CASE MASTER'!$U$2:$U$495&lt;=2)*('CASE MASTER'!$W$2:$W$495&gt;=2)*('CASE MASTER'!$V$2:$V$495&lt;=6)*('CASE MASTER'!$X$2:$X$495&gt;=6))*ROW('CASE MASTER'!$T$2:$T$495))-(ROW('CASE MASTER'!#REF!)-1))),IF(SUMPRODUCT((('CASE MASTER'!$T$2:$T$495=3)*('CASE MASTER'!$AA$2:$AA$495&lt;=2)*('CASE MASTER'!$AC$2:$AC$495&gt;=2)*('CASE MASTER'!$AB$2:$AB$495&lt;=6)*('CASE MASTER'!$AD$2:$AD$495&gt;=6))*ROW('CASE MASTER'!$T$2:$T$495))&gt;0,INDEX('CASE MASTER'!$Y$2:$Y$495,(SUMPRODUCT((('CASE MASTER'!$T$2:$T$495=3)*('CASE MASTER'!$AA$2:$AA$495&lt;=2)*('CASE MASTER'!$AC$2:$AC$495&gt;=2)*('CASE MASTER'!$AB$2:$AB$495&lt;=6)*('CASE MASTER'!$AD$2:$AD$495&gt;=6))*ROW('CASE MASTER'!$T$2:$T$495))-(ROW('CASE MASTER'!#REF!)-1)))&amp;TRIM(MID(SUBSTITUTE(SUBSTITUTE(INDEX('CASE MASTER'!$N$2:$N$495,(SUMPRODUCT((('CASE MASTER'!$T$2:$T$495=3)*('CASE MASTER'!$AA$2:$AA$495&lt;=2)*('CASE MASTER'!$AC$2:$AC$495&gt;=2)*('CASE MASTER'!$AB$2:$AB$495&lt;=6)*('CASE MASTER'!$AD$2:$AD$495&gt;=6))*ROW('CASE MASTER'!$T$2:$T$495))-(ROW('CASE MASTER'!#REF!)-1))),":",","),",",REPT(" ",50)),(((INDEX('CASE MASTER'!$Z$2:$Z$495,(SUMPRODUCT((('CASE MASTER'!$T$2:$T$495=3)*('CASE MASTER'!$AA$2:$AA$495&lt;=2)*('CASE MASTER'!$AC$2:$AC$495&gt;=2)*('CASE MASTER'!$AB$2:$AB$495&lt;=6)*('CASE MASTER'!$AD$2:$AD$495&gt;=6))*ROW('CASE MASTER'!$T$2:$T$495))-(ROW('CASE MASTER'!#REF!)-1)))+((2-INDEX('CASE MASTER'!$AA$2:$AA$495,(SUMPRODUCT((('CASE MASTER'!$T$2:$T$495=3)*('CASE MASTER'!$AA$2:$AA$495&lt;=2)*('CASE MASTER'!$AC$2:$AC$495&gt;=2)*('CASE MASTER'!$AB$2:$AB$495&lt;=6)*('CASE MASTER'!$AD$2:$AD$495&gt;=6))*ROW('CASE MASTER'!$T$2:$T$495))-(ROW('CASE MASTER'!#REF!)-1))))*(INDEX('CASE MASTER'!$AD$2:$AD$495,(SUMPRODUCT((('CASE MASTER'!$T$2:$T$495=3)*('CASE MASTER'!$AA$2:$AA$495&lt;=2)*('CASE MASTER'!$AC$2:$AC$495&gt;=2)*('CASE MASTER'!$AB$2:$AB$495&lt;=6)*('CASE MASTER'!$AD$2:$AD$495&gt;=6))*ROW('CASE MASTER'!$T$2:$T$495))-(ROW('CASE MASTER'!#REF!)-1)))-INDEX('CASE MASTER'!$AB$2:$AB$495,(SUMPRODUCT((('CASE MASTER'!$T$2:$T$495=3)*('CASE MASTER'!$AA$2:$AA$495&lt;=2)*('CASE MASTER'!$AC$2:$AC$495&gt;=2)*('CASE MASTER'!$AB$2:$AB$495&lt;=6)*('CASE MASTER'!$AD$2:$AD$495&gt;=6))*ROW('CASE MASTER'!$T$2:$T$495))-(ROW('CASE MASTER'!#REF!)-1)))+1)+(6-INDEX('CASE MASTER'!$AB$2:$AB$495,(SUMPRODUCT((('CASE MASTER'!$T$2:$T$495=3)*('CASE MASTER'!$AA$2:$AA$495&lt;=2)*('CASE MASTER'!$AC$2:$AC$495&gt;=2)*('CASE MASTER'!$AB$2:$AB$495&lt;=6)*('CASE MASTER'!$AD$2:$AD$495&gt;=6))*ROW('CASE MASTER'!$T$2:$T$495))-(ROW('CASE MASTER'!#REF!)-1))))+1)))-1)*50+1,50))&amp;"_"&amp;INDEX('CASE MASTER'!$Q$2:$Q$495,(SUMPRODUCT((('CASE MASTER'!$T$2:$T$495=3)*('CASE MASTER'!$AA$2:$AA$495&lt;=2)*('CASE MASTER'!$AC$2:$AC$495&gt;=2)*('CASE MASTER'!$AB$2:$AB$495&lt;=6)*('CASE MASTER'!$AD$2:$AD$495&gt;=6))*ROW('CASE MASTER'!$T$2:$T$495))-(ROW('CASE MASTER'!#REF!)-1))),"")),"")</f>
        <v/>
      </c>
      <c r="H32" s="10" t="str">
        <f>IFERROR(IF(SUMPRODUCT((('CASE MASTER'!$T$2:$T$495=3)*('CASE MASTER'!$U$2:$U$495&lt;=2)*('CASE MASTER'!$W$2:$W$495&gt;=2)*('CASE MASTER'!$V$2:$V$495&lt;=7)*('CASE MASTER'!$X$2:$X$495&gt;=7))*ROW('CASE MASTER'!$T$2:$T$495))&gt;0,INDEX('CASE MASTER'!$Y$2:$Y$495,(SUMPRODUCT((('CASE MASTER'!$T$2:$T$495=3)*('CASE MASTER'!$U$2:$U$495&lt;=2)*('CASE MASTER'!$W$2:$W$495&gt;=2)*('CASE MASTER'!$V$2:$V$495&lt;=7)*('CASE MASTER'!$X$2:$X$495&gt;=7))*ROW('CASE MASTER'!$T$2:$T$495))-(ROW('CASE MASTER'!#REF!)-1)))&amp;TRIM(MID(SUBSTITUTE(SUBSTITUTE(INDEX('CASE MASTER'!$N$2:$N$495,(SUMPRODUCT((('CASE MASTER'!$T$2:$T$495=3)*('CASE MASTER'!$U$2:$U$495&lt;=2)*('CASE MASTER'!$W$2:$W$495&gt;=2)*('CASE MASTER'!$V$2:$V$495&lt;=7)*('CASE MASTER'!$X$2:$X$495&gt;=7))*ROW('CASE MASTER'!$T$2:$T$495))-(ROW('CASE MASTER'!#REF!)-1))),":",","),",",REPT(" ",50)),((((2-INDEX('CASE MASTER'!$U$2:$U$495,(SUMPRODUCT((('CASE MASTER'!$T$2:$T$495=3)*('CASE MASTER'!$U$2:$U$495&lt;=2)*('CASE MASTER'!$W$2:$W$495&gt;=2)*('CASE MASTER'!$V$2:$V$495&lt;=7)*('CASE MASTER'!$X$2:$X$495&gt;=7))*ROW('CASE MASTER'!$T$2:$T$495))-(ROW('CASE MASTER'!#REF!)-1))))*(INDEX('CASE MASTER'!$X$2:$X$495,(SUMPRODUCT((('CASE MASTER'!$T$2:$T$495=3)*('CASE MASTER'!$U$2:$U$495&lt;=2)*('CASE MASTER'!$W$2:$W$495&gt;=2)*('CASE MASTER'!$V$2:$V$495&lt;=7)*('CASE MASTER'!$X$2:$X$495&gt;=7))*ROW('CASE MASTER'!$T$2:$T$495))-(ROW('CASE MASTER'!#REF!)-1)))-INDEX('CASE MASTER'!$V$2:$V$495,(SUMPRODUCT((('CASE MASTER'!$T$2:$T$495=3)*('CASE MASTER'!$U$2:$U$495&lt;=2)*('CASE MASTER'!$W$2:$W$495&gt;=2)*('CASE MASTER'!$V$2:$V$495&lt;=7)*('CASE MASTER'!$X$2:$X$495&gt;=7))*ROW('CASE MASTER'!$T$2:$T$495))-(ROW('CASE MASTER'!#REF!)-1)))+1)+(7-INDEX('CASE MASTER'!$V$2:$V$495,(SUMPRODUCT((('CASE MASTER'!$T$2:$T$495=3)*('CASE MASTER'!$U$2:$U$495&lt;=2)*('CASE MASTER'!$W$2:$W$495&gt;=2)*('CASE MASTER'!$V$2:$V$495&lt;=7)*('CASE MASTER'!$X$2:$X$495&gt;=7))*ROW('CASE MASTER'!$T$2:$T$495))-(ROW('CASE MASTER'!#REF!)-1))))+1))-1)*50+1,50))&amp;"_"&amp;INDEX('CASE MASTER'!$Q$2:$Q$495,(SUMPRODUCT((('CASE MASTER'!$T$2:$T$495=3)*('CASE MASTER'!$U$2:$U$495&lt;=2)*('CASE MASTER'!$W$2:$W$495&gt;=2)*('CASE MASTER'!$V$2:$V$495&lt;=7)*('CASE MASTER'!$X$2:$X$495&gt;=7))*ROW('CASE MASTER'!$T$2:$T$495))-(ROW('CASE MASTER'!#REF!)-1))),IF(SUMPRODUCT((('CASE MASTER'!$T$2:$T$495=3)*('CASE MASTER'!$AA$2:$AA$495&lt;=2)*('CASE MASTER'!$AC$2:$AC$495&gt;=2)*('CASE MASTER'!$AB$2:$AB$495&lt;=7)*('CASE MASTER'!$AD$2:$AD$495&gt;=7))*ROW('CASE MASTER'!$T$2:$T$495))&gt;0,INDEX('CASE MASTER'!$Y$2:$Y$495,(SUMPRODUCT((('CASE MASTER'!$T$2:$T$495=3)*('CASE MASTER'!$AA$2:$AA$495&lt;=2)*('CASE MASTER'!$AC$2:$AC$495&gt;=2)*('CASE MASTER'!$AB$2:$AB$495&lt;=7)*('CASE MASTER'!$AD$2:$AD$495&gt;=7))*ROW('CASE MASTER'!$T$2:$T$495))-(ROW('CASE MASTER'!#REF!)-1)))&amp;TRIM(MID(SUBSTITUTE(SUBSTITUTE(INDEX('CASE MASTER'!$N$2:$N$495,(SUMPRODUCT((('CASE MASTER'!$T$2:$T$495=3)*('CASE MASTER'!$AA$2:$AA$495&lt;=2)*('CASE MASTER'!$AC$2:$AC$495&gt;=2)*('CASE MASTER'!$AB$2:$AB$495&lt;=7)*('CASE MASTER'!$AD$2:$AD$495&gt;=7))*ROW('CASE MASTER'!$T$2:$T$495))-(ROW('CASE MASTER'!#REF!)-1))),":",","),",",REPT(" ",50)),(((INDEX('CASE MASTER'!$Z$2:$Z$495,(SUMPRODUCT((('CASE MASTER'!$T$2:$T$495=3)*('CASE MASTER'!$AA$2:$AA$495&lt;=2)*('CASE MASTER'!$AC$2:$AC$495&gt;=2)*('CASE MASTER'!$AB$2:$AB$495&lt;=7)*('CASE MASTER'!$AD$2:$AD$495&gt;=7))*ROW('CASE MASTER'!$T$2:$T$495))-(ROW('CASE MASTER'!#REF!)-1)))+((2-INDEX('CASE MASTER'!$AA$2:$AA$495,(SUMPRODUCT((('CASE MASTER'!$T$2:$T$495=3)*('CASE MASTER'!$AA$2:$AA$495&lt;=2)*('CASE MASTER'!$AC$2:$AC$495&gt;=2)*('CASE MASTER'!$AB$2:$AB$495&lt;=7)*('CASE MASTER'!$AD$2:$AD$495&gt;=7))*ROW('CASE MASTER'!$T$2:$T$495))-(ROW('CASE MASTER'!#REF!)-1))))*(INDEX('CASE MASTER'!$AD$2:$AD$495,(SUMPRODUCT((('CASE MASTER'!$T$2:$T$495=3)*('CASE MASTER'!$AA$2:$AA$495&lt;=2)*('CASE MASTER'!$AC$2:$AC$495&gt;=2)*('CASE MASTER'!$AB$2:$AB$495&lt;=7)*('CASE MASTER'!$AD$2:$AD$495&gt;=7))*ROW('CASE MASTER'!$T$2:$T$495))-(ROW('CASE MASTER'!#REF!)-1)))-INDEX('CASE MASTER'!$AB$2:$AB$495,(SUMPRODUCT((('CASE MASTER'!$T$2:$T$495=3)*('CASE MASTER'!$AA$2:$AA$495&lt;=2)*('CASE MASTER'!$AC$2:$AC$495&gt;=2)*('CASE MASTER'!$AB$2:$AB$495&lt;=7)*('CASE MASTER'!$AD$2:$AD$495&gt;=7))*ROW('CASE MASTER'!$T$2:$T$495))-(ROW('CASE MASTER'!#REF!)-1)))+1)+(7-INDEX('CASE MASTER'!$AB$2:$AB$495,(SUMPRODUCT((('CASE MASTER'!$T$2:$T$495=3)*('CASE MASTER'!$AA$2:$AA$495&lt;=2)*('CASE MASTER'!$AC$2:$AC$495&gt;=2)*('CASE MASTER'!$AB$2:$AB$495&lt;=7)*('CASE MASTER'!$AD$2:$AD$495&gt;=7))*ROW('CASE MASTER'!$T$2:$T$495))-(ROW('CASE MASTER'!#REF!)-1))))+1)))-1)*50+1,50))&amp;"_"&amp;INDEX('CASE MASTER'!$Q$2:$Q$495,(SUMPRODUCT((('CASE MASTER'!$T$2:$T$495=3)*('CASE MASTER'!$AA$2:$AA$495&lt;=2)*('CASE MASTER'!$AC$2:$AC$495&gt;=2)*('CASE MASTER'!$AB$2:$AB$495&lt;=7)*('CASE MASTER'!$AD$2:$AD$495&gt;=7))*ROW('CASE MASTER'!$T$2:$T$495))-(ROW('CASE MASTER'!#REF!)-1))),"")),"")</f>
        <v/>
      </c>
      <c r="I32" s="10" t="str">
        <f>IFERROR(IF(SUMPRODUCT((('CASE MASTER'!$T$2:$T$495=3)*('CASE MASTER'!$U$2:$U$495&lt;=2)*('CASE MASTER'!$W$2:$W$495&gt;=2)*('CASE MASTER'!$V$2:$V$495&lt;=8)*('CASE MASTER'!$X$2:$X$495&gt;=8))*ROW('CASE MASTER'!$T$2:$T$495))&gt;0,INDEX('CASE MASTER'!$Y$2:$Y$495,(SUMPRODUCT((('CASE MASTER'!$T$2:$T$495=3)*('CASE MASTER'!$U$2:$U$495&lt;=2)*('CASE MASTER'!$W$2:$W$495&gt;=2)*('CASE MASTER'!$V$2:$V$495&lt;=8)*('CASE MASTER'!$X$2:$X$495&gt;=8))*ROW('CASE MASTER'!$T$2:$T$495))-(ROW('CASE MASTER'!#REF!)-1)))&amp;TRIM(MID(SUBSTITUTE(SUBSTITUTE(INDEX('CASE MASTER'!$N$2:$N$495,(SUMPRODUCT((('CASE MASTER'!$T$2:$T$495=3)*('CASE MASTER'!$U$2:$U$495&lt;=2)*('CASE MASTER'!$W$2:$W$495&gt;=2)*('CASE MASTER'!$V$2:$V$495&lt;=8)*('CASE MASTER'!$X$2:$X$495&gt;=8))*ROW('CASE MASTER'!$T$2:$T$495))-(ROW('CASE MASTER'!#REF!)-1))),":",","),",",REPT(" ",50)),((((2-INDEX('CASE MASTER'!$U$2:$U$495,(SUMPRODUCT((('CASE MASTER'!$T$2:$T$495=3)*('CASE MASTER'!$U$2:$U$495&lt;=2)*('CASE MASTER'!$W$2:$W$495&gt;=2)*('CASE MASTER'!$V$2:$V$495&lt;=8)*('CASE MASTER'!$X$2:$X$495&gt;=8))*ROW('CASE MASTER'!$T$2:$T$495))-(ROW('CASE MASTER'!#REF!)-1))))*(INDEX('CASE MASTER'!$X$2:$X$495,(SUMPRODUCT((('CASE MASTER'!$T$2:$T$495=3)*('CASE MASTER'!$U$2:$U$495&lt;=2)*('CASE MASTER'!$W$2:$W$495&gt;=2)*('CASE MASTER'!$V$2:$V$495&lt;=8)*('CASE MASTER'!$X$2:$X$495&gt;=8))*ROW('CASE MASTER'!$T$2:$T$495))-(ROW('CASE MASTER'!#REF!)-1)))-INDEX('CASE MASTER'!$V$2:$V$495,(SUMPRODUCT((('CASE MASTER'!$T$2:$T$495=3)*('CASE MASTER'!$U$2:$U$495&lt;=2)*('CASE MASTER'!$W$2:$W$495&gt;=2)*('CASE MASTER'!$V$2:$V$495&lt;=8)*('CASE MASTER'!$X$2:$X$495&gt;=8))*ROW('CASE MASTER'!$T$2:$T$495))-(ROW('CASE MASTER'!#REF!)-1)))+1)+(8-INDEX('CASE MASTER'!$V$2:$V$495,(SUMPRODUCT((('CASE MASTER'!$T$2:$T$495=3)*('CASE MASTER'!$U$2:$U$495&lt;=2)*('CASE MASTER'!$W$2:$W$495&gt;=2)*('CASE MASTER'!$V$2:$V$495&lt;=8)*('CASE MASTER'!$X$2:$X$495&gt;=8))*ROW('CASE MASTER'!$T$2:$T$495))-(ROW('CASE MASTER'!#REF!)-1))))+1))-1)*50+1,50))&amp;"_"&amp;INDEX('CASE MASTER'!$Q$2:$Q$495,(SUMPRODUCT((('CASE MASTER'!$T$2:$T$495=3)*('CASE MASTER'!$U$2:$U$495&lt;=2)*('CASE MASTER'!$W$2:$W$495&gt;=2)*('CASE MASTER'!$V$2:$V$495&lt;=8)*('CASE MASTER'!$X$2:$X$495&gt;=8))*ROW('CASE MASTER'!$T$2:$T$495))-(ROW('CASE MASTER'!#REF!)-1))),IF(SUMPRODUCT((('CASE MASTER'!$T$2:$T$495=3)*('CASE MASTER'!$AA$2:$AA$495&lt;=2)*('CASE MASTER'!$AC$2:$AC$495&gt;=2)*('CASE MASTER'!$AB$2:$AB$495&lt;=8)*('CASE MASTER'!$AD$2:$AD$495&gt;=8))*ROW('CASE MASTER'!$T$2:$T$495))&gt;0,INDEX('CASE MASTER'!$Y$2:$Y$495,(SUMPRODUCT((('CASE MASTER'!$T$2:$T$495=3)*('CASE MASTER'!$AA$2:$AA$495&lt;=2)*('CASE MASTER'!$AC$2:$AC$495&gt;=2)*('CASE MASTER'!$AB$2:$AB$495&lt;=8)*('CASE MASTER'!$AD$2:$AD$495&gt;=8))*ROW('CASE MASTER'!$T$2:$T$495))-(ROW('CASE MASTER'!#REF!)-1)))&amp;TRIM(MID(SUBSTITUTE(SUBSTITUTE(INDEX('CASE MASTER'!$N$2:$N$495,(SUMPRODUCT((('CASE MASTER'!$T$2:$T$495=3)*('CASE MASTER'!$AA$2:$AA$495&lt;=2)*('CASE MASTER'!$AC$2:$AC$495&gt;=2)*('CASE MASTER'!$AB$2:$AB$495&lt;=8)*('CASE MASTER'!$AD$2:$AD$495&gt;=8))*ROW('CASE MASTER'!$T$2:$T$495))-(ROW('CASE MASTER'!#REF!)-1))),":",","),",",REPT(" ",50)),(((INDEX('CASE MASTER'!$Z$2:$Z$495,(SUMPRODUCT((('CASE MASTER'!$T$2:$T$495=3)*('CASE MASTER'!$AA$2:$AA$495&lt;=2)*('CASE MASTER'!$AC$2:$AC$495&gt;=2)*('CASE MASTER'!$AB$2:$AB$495&lt;=8)*('CASE MASTER'!$AD$2:$AD$495&gt;=8))*ROW('CASE MASTER'!$T$2:$T$495))-(ROW('CASE MASTER'!#REF!)-1)))+((2-INDEX('CASE MASTER'!$AA$2:$AA$495,(SUMPRODUCT((('CASE MASTER'!$T$2:$T$495=3)*('CASE MASTER'!$AA$2:$AA$495&lt;=2)*('CASE MASTER'!$AC$2:$AC$495&gt;=2)*('CASE MASTER'!$AB$2:$AB$495&lt;=8)*('CASE MASTER'!$AD$2:$AD$495&gt;=8))*ROW('CASE MASTER'!$T$2:$T$495))-(ROW('CASE MASTER'!#REF!)-1))))*(INDEX('CASE MASTER'!$AD$2:$AD$495,(SUMPRODUCT((('CASE MASTER'!$T$2:$T$495=3)*('CASE MASTER'!$AA$2:$AA$495&lt;=2)*('CASE MASTER'!$AC$2:$AC$495&gt;=2)*('CASE MASTER'!$AB$2:$AB$495&lt;=8)*('CASE MASTER'!$AD$2:$AD$495&gt;=8))*ROW('CASE MASTER'!$T$2:$T$495))-(ROW('CASE MASTER'!#REF!)-1)))-INDEX('CASE MASTER'!$AB$2:$AB$495,(SUMPRODUCT((('CASE MASTER'!$T$2:$T$495=3)*('CASE MASTER'!$AA$2:$AA$495&lt;=2)*('CASE MASTER'!$AC$2:$AC$495&gt;=2)*('CASE MASTER'!$AB$2:$AB$495&lt;=8)*('CASE MASTER'!$AD$2:$AD$495&gt;=8))*ROW('CASE MASTER'!$T$2:$T$495))-(ROW('CASE MASTER'!#REF!)-1)))+1)+(8-INDEX('CASE MASTER'!$AB$2:$AB$495,(SUMPRODUCT((('CASE MASTER'!$T$2:$T$495=3)*('CASE MASTER'!$AA$2:$AA$495&lt;=2)*('CASE MASTER'!$AC$2:$AC$495&gt;=2)*('CASE MASTER'!$AB$2:$AB$495&lt;=8)*('CASE MASTER'!$AD$2:$AD$495&gt;=8))*ROW('CASE MASTER'!$T$2:$T$495))-(ROW('CASE MASTER'!#REF!)-1))))+1)))-1)*50+1,50))&amp;"_"&amp;INDEX('CASE MASTER'!$Q$2:$Q$495,(SUMPRODUCT((('CASE MASTER'!$T$2:$T$495=3)*('CASE MASTER'!$AA$2:$AA$495&lt;=2)*('CASE MASTER'!$AC$2:$AC$495&gt;=2)*('CASE MASTER'!$AB$2:$AB$495&lt;=8)*('CASE MASTER'!$AD$2:$AD$495&gt;=8))*ROW('CASE MASTER'!$T$2:$T$495))-(ROW('CASE MASTER'!#REF!)-1))),"")),"")</f>
        <v/>
      </c>
      <c r="J32" s="10" t="str">
        <f>IFERROR(IF(SUMPRODUCT((('CASE MASTER'!$T$2:$T$495=3)*('CASE MASTER'!$U$2:$U$495&lt;=2)*('CASE MASTER'!$W$2:$W$495&gt;=2)*('CASE MASTER'!$V$2:$V$495&lt;=9)*('CASE MASTER'!$X$2:$X$495&gt;=9))*ROW('CASE MASTER'!$T$2:$T$495))&gt;0,INDEX('CASE MASTER'!$Y$2:$Y$495,(SUMPRODUCT((('CASE MASTER'!$T$2:$T$495=3)*('CASE MASTER'!$U$2:$U$495&lt;=2)*('CASE MASTER'!$W$2:$W$495&gt;=2)*('CASE MASTER'!$V$2:$V$495&lt;=9)*('CASE MASTER'!$X$2:$X$495&gt;=9))*ROW('CASE MASTER'!$T$2:$T$495))-(ROW('CASE MASTER'!#REF!)-1)))&amp;TRIM(MID(SUBSTITUTE(SUBSTITUTE(INDEX('CASE MASTER'!$N$2:$N$495,(SUMPRODUCT((('CASE MASTER'!$T$2:$T$495=3)*('CASE MASTER'!$U$2:$U$495&lt;=2)*('CASE MASTER'!$W$2:$W$495&gt;=2)*('CASE MASTER'!$V$2:$V$495&lt;=9)*('CASE MASTER'!$X$2:$X$495&gt;=9))*ROW('CASE MASTER'!$T$2:$T$495))-(ROW('CASE MASTER'!#REF!)-1))),":",","),",",REPT(" ",50)),((((2-INDEX('CASE MASTER'!$U$2:$U$495,(SUMPRODUCT((('CASE MASTER'!$T$2:$T$495=3)*('CASE MASTER'!$U$2:$U$495&lt;=2)*('CASE MASTER'!$W$2:$W$495&gt;=2)*('CASE MASTER'!$V$2:$V$495&lt;=9)*('CASE MASTER'!$X$2:$X$495&gt;=9))*ROW('CASE MASTER'!$T$2:$T$495))-(ROW('CASE MASTER'!#REF!)-1))))*(INDEX('CASE MASTER'!$X$2:$X$495,(SUMPRODUCT((('CASE MASTER'!$T$2:$T$495=3)*('CASE MASTER'!$U$2:$U$495&lt;=2)*('CASE MASTER'!$W$2:$W$495&gt;=2)*('CASE MASTER'!$V$2:$V$495&lt;=9)*('CASE MASTER'!$X$2:$X$495&gt;=9))*ROW('CASE MASTER'!$T$2:$T$495))-(ROW('CASE MASTER'!#REF!)-1)))-INDEX('CASE MASTER'!$V$2:$V$495,(SUMPRODUCT((('CASE MASTER'!$T$2:$T$495=3)*('CASE MASTER'!$U$2:$U$495&lt;=2)*('CASE MASTER'!$W$2:$W$495&gt;=2)*('CASE MASTER'!$V$2:$V$495&lt;=9)*('CASE MASTER'!$X$2:$X$495&gt;=9))*ROW('CASE MASTER'!$T$2:$T$495))-(ROW('CASE MASTER'!#REF!)-1)))+1)+(9-INDEX('CASE MASTER'!$V$2:$V$495,(SUMPRODUCT((('CASE MASTER'!$T$2:$T$495=3)*('CASE MASTER'!$U$2:$U$495&lt;=2)*('CASE MASTER'!$W$2:$W$495&gt;=2)*('CASE MASTER'!$V$2:$V$495&lt;=9)*('CASE MASTER'!$X$2:$X$495&gt;=9))*ROW('CASE MASTER'!$T$2:$T$495))-(ROW('CASE MASTER'!#REF!)-1))))+1))-1)*50+1,50))&amp;"_"&amp;INDEX('CASE MASTER'!$Q$2:$Q$495,(SUMPRODUCT((('CASE MASTER'!$T$2:$T$495=3)*('CASE MASTER'!$U$2:$U$495&lt;=2)*('CASE MASTER'!$W$2:$W$495&gt;=2)*('CASE MASTER'!$V$2:$V$495&lt;=9)*('CASE MASTER'!$X$2:$X$495&gt;=9))*ROW('CASE MASTER'!$T$2:$T$495))-(ROW('CASE MASTER'!#REF!)-1))),IF(SUMPRODUCT((('CASE MASTER'!$T$2:$T$495=3)*('CASE MASTER'!$AA$2:$AA$495&lt;=2)*('CASE MASTER'!$AC$2:$AC$495&gt;=2)*('CASE MASTER'!$AB$2:$AB$495&lt;=9)*('CASE MASTER'!$AD$2:$AD$495&gt;=9))*ROW('CASE MASTER'!$T$2:$T$495))&gt;0,INDEX('CASE MASTER'!$Y$2:$Y$495,(SUMPRODUCT((('CASE MASTER'!$T$2:$T$495=3)*('CASE MASTER'!$AA$2:$AA$495&lt;=2)*('CASE MASTER'!$AC$2:$AC$495&gt;=2)*('CASE MASTER'!$AB$2:$AB$495&lt;=9)*('CASE MASTER'!$AD$2:$AD$495&gt;=9))*ROW('CASE MASTER'!$T$2:$T$495))-(ROW('CASE MASTER'!#REF!)-1)))&amp;TRIM(MID(SUBSTITUTE(SUBSTITUTE(INDEX('CASE MASTER'!$N$2:$N$495,(SUMPRODUCT((('CASE MASTER'!$T$2:$T$495=3)*('CASE MASTER'!$AA$2:$AA$495&lt;=2)*('CASE MASTER'!$AC$2:$AC$495&gt;=2)*('CASE MASTER'!$AB$2:$AB$495&lt;=9)*('CASE MASTER'!$AD$2:$AD$495&gt;=9))*ROW('CASE MASTER'!$T$2:$T$495))-(ROW('CASE MASTER'!#REF!)-1))),":",","),",",REPT(" ",50)),(((INDEX('CASE MASTER'!$Z$2:$Z$495,(SUMPRODUCT((('CASE MASTER'!$T$2:$T$495=3)*('CASE MASTER'!$AA$2:$AA$495&lt;=2)*('CASE MASTER'!$AC$2:$AC$495&gt;=2)*('CASE MASTER'!$AB$2:$AB$495&lt;=9)*('CASE MASTER'!$AD$2:$AD$495&gt;=9))*ROW('CASE MASTER'!$T$2:$T$495))-(ROW('CASE MASTER'!#REF!)-1)))+((2-INDEX('CASE MASTER'!$AA$2:$AA$495,(SUMPRODUCT((('CASE MASTER'!$T$2:$T$495=3)*('CASE MASTER'!$AA$2:$AA$495&lt;=2)*('CASE MASTER'!$AC$2:$AC$495&gt;=2)*('CASE MASTER'!$AB$2:$AB$495&lt;=9)*('CASE MASTER'!$AD$2:$AD$495&gt;=9))*ROW('CASE MASTER'!$T$2:$T$495))-(ROW('CASE MASTER'!#REF!)-1))))*(INDEX('CASE MASTER'!$AD$2:$AD$495,(SUMPRODUCT((('CASE MASTER'!$T$2:$T$495=3)*('CASE MASTER'!$AA$2:$AA$495&lt;=2)*('CASE MASTER'!$AC$2:$AC$495&gt;=2)*('CASE MASTER'!$AB$2:$AB$495&lt;=9)*('CASE MASTER'!$AD$2:$AD$495&gt;=9))*ROW('CASE MASTER'!$T$2:$T$495))-(ROW('CASE MASTER'!#REF!)-1)))-INDEX('CASE MASTER'!$AB$2:$AB$495,(SUMPRODUCT((('CASE MASTER'!$T$2:$T$495=3)*('CASE MASTER'!$AA$2:$AA$495&lt;=2)*('CASE MASTER'!$AC$2:$AC$495&gt;=2)*('CASE MASTER'!$AB$2:$AB$495&lt;=9)*('CASE MASTER'!$AD$2:$AD$495&gt;=9))*ROW('CASE MASTER'!$T$2:$T$495))-(ROW('CASE MASTER'!#REF!)-1)))+1)+(9-INDEX('CASE MASTER'!$AB$2:$AB$495,(SUMPRODUCT((('CASE MASTER'!$T$2:$T$495=3)*('CASE MASTER'!$AA$2:$AA$495&lt;=2)*('CASE MASTER'!$AC$2:$AC$495&gt;=2)*('CASE MASTER'!$AB$2:$AB$495&lt;=9)*('CASE MASTER'!$AD$2:$AD$495&gt;=9))*ROW('CASE MASTER'!$T$2:$T$495))-(ROW('CASE MASTER'!#REF!)-1))))+1)))-1)*50+1,50))&amp;"_"&amp;INDEX('CASE MASTER'!$Q$2:$Q$495,(SUMPRODUCT((('CASE MASTER'!$T$2:$T$495=3)*('CASE MASTER'!$AA$2:$AA$495&lt;=2)*('CASE MASTER'!$AC$2:$AC$495&gt;=2)*('CASE MASTER'!$AB$2:$AB$495&lt;=9)*('CASE MASTER'!$AD$2:$AD$495&gt;=9))*ROW('CASE MASTER'!$T$2:$T$495))-(ROW('CASE MASTER'!#REF!)-1))),"")),"")</f>
        <v/>
      </c>
      <c r="K32" s="10" t="str">
        <f>IFERROR(IF(SUMPRODUCT((('CASE MASTER'!$T$2:$T$495=3)*('CASE MASTER'!$U$2:$U$495&lt;=2)*('CASE MASTER'!$W$2:$W$495&gt;=2)*('CASE MASTER'!$V$2:$V$495&lt;=10)*('CASE MASTER'!$X$2:$X$495&gt;=10))*ROW('CASE MASTER'!$T$2:$T$495))&gt;0,INDEX('CASE MASTER'!$Y$2:$Y$495,(SUMPRODUCT((('CASE MASTER'!$T$2:$T$495=3)*('CASE MASTER'!$U$2:$U$495&lt;=2)*('CASE MASTER'!$W$2:$W$495&gt;=2)*('CASE MASTER'!$V$2:$V$495&lt;=10)*('CASE MASTER'!$X$2:$X$495&gt;=10))*ROW('CASE MASTER'!$T$2:$T$495))-(ROW('CASE MASTER'!#REF!)-1)))&amp;TRIM(MID(SUBSTITUTE(SUBSTITUTE(INDEX('CASE MASTER'!$N$2:$N$495,(SUMPRODUCT((('CASE MASTER'!$T$2:$T$495=3)*('CASE MASTER'!$U$2:$U$495&lt;=2)*('CASE MASTER'!$W$2:$W$495&gt;=2)*('CASE MASTER'!$V$2:$V$495&lt;=10)*('CASE MASTER'!$X$2:$X$495&gt;=10))*ROW('CASE MASTER'!$T$2:$T$495))-(ROW('CASE MASTER'!#REF!)-1))),":",","),",",REPT(" ",50)),((((2-INDEX('CASE MASTER'!$U$2:$U$495,(SUMPRODUCT((('CASE MASTER'!$T$2:$T$495=3)*('CASE MASTER'!$U$2:$U$495&lt;=2)*('CASE MASTER'!$W$2:$W$495&gt;=2)*('CASE MASTER'!$V$2:$V$495&lt;=10)*('CASE MASTER'!$X$2:$X$495&gt;=10))*ROW('CASE MASTER'!$T$2:$T$495))-(ROW('CASE MASTER'!#REF!)-1))))*(INDEX('CASE MASTER'!$X$2:$X$495,(SUMPRODUCT((('CASE MASTER'!$T$2:$T$495=3)*('CASE MASTER'!$U$2:$U$495&lt;=2)*('CASE MASTER'!$W$2:$W$495&gt;=2)*('CASE MASTER'!$V$2:$V$495&lt;=10)*('CASE MASTER'!$X$2:$X$495&gt;=10))*ROW('CASE MASTER'!$T$2:$T$495))-(ROW('CASE MASTER'!#REF!)-1)))-INDEX('CASE MASTER'!$V$2:$V$495,(SUMPRODUCT((('CASE MASTER'!$T$2:$T$495=3)*('CASE MASTER'!$U$2:$U$495&lt;=2)*('CASE MASTER'!$W$2:$W$495&gt;=2)*('CASE MASTER'!$V$2:$V$495&lt;=10)*('CASE MASTER'!$X$2:$X$495&gt;=10))*ROW('CASE MASTER'!$T$2:$T$495))-(ROW('CASE MASTER'!#REF!)-1)))+1)+(10-INDEX('CASE MASTER'!$V$2:$V$495,(SUMPRODUCT((('CASE MASTER'!$T$2:$T$495=3)*('CASE MASTER'!$U$2:$U$495&lt;=2)*('CASE MASTER'!$W$2:$W$495&gt;=2)*('CASE MASTER'!$V$2:$V$495&lt;=10)*('CASE MASTER'!$X$2:$X$495&gt;=10))*ROW('CASE MASTER'!$T$2:$T$495))-(ROW('CASE MASTER'!#REF!)-1))))+1))-1)*50+1,50))&amp;"_"&amp;INDEX('CASE MASTER'!$Q$2:$Q$495,(SUMPRODUCT((('CASE MASTER'!$T$2:$T$495=3)*('CASE MASTER'!$U$2:$U$495&lt;=2)*('CASE MASTER'!$W$2:$W$495&gt;=2)*('CASE MASTER'!$V$2:$V$495&lt;=10)*('CASE MASTER'!$X$2:$X$495&gt;=10))*ROW('CASE MASTER'!$T$2:$T$495))-(ROW('CASE MASTER'!#REF!)-1))),IF(SUMPRODUCT((('CASE MASTER'!$T$2:$T$495=3)*('CASE MASTER'!$AA$2:$AA$495&lt;=2)*('CASE MASTER'!$AC$2:$AC$495&gt;=2)*('CASE MASTER'!$AB$2:$AB$495&lt;=10)*('CASE MASTER'!$AD$2:$AD$495&gt;=10))*ROW('CASE MASTER'!$T$2:$T$495))&gt;0,INDEX('CASE MASTER'!$Y$2:$Y$495,(SUMPRODUCT((('CASE MASTER'!$T$2:$T$495=3)*('CASE MASTER'!$AA$2:$AA$495&lt;=2)*('CASE MASTER'!$AC$2:$AC$495&gt;=2)*('CASE MASTER'!$AB$2:$AB$495&lt;=10)*('CASE MASTER'!$AD$2:$AD$495&gt;=10))*ROW('CASE MASTER'!$T$2:$T$495))-(ROW('CASE MASTER'!#REF!)-1)))&amp;TRIM(MID(SUBSTITUTE(SUBSTITUTE(INDEX('CASE MASTER'!$N$2:$N$495,(SUMPRODUCT((('CASE MASTER'!$T$2:$T$495=3)*('CASE MASTER'!$AA$2:$AA$495&lt;=2)*('CASE MASTER'!$AC$2:$AC$495&gt;=2)*('CASE MASTER'!$AB$2:$AB$495&lt;=10)*('CASE MASTER'!$AD$2:$AD$495&gt;=10))*ROW('CASE MASTER'!$T$2:$T$495))-(ROW('CASE MASTER'!#REF!)-1))),":",","),",",REPT(" ",50)),(((INDEX('CASE MASTER'!$Z$2:$Z$495,(SUMPRODUCT((('CASE MASTER'!$T$2:$T$495=3)*('CASE MASTER'!$AA$2:$AA$495&lt;=2)*('CASE MASTER'!$AC$2:$AC$495&gt;=2)*('CASE MASTER'!$AB$2:$AB$495&lt;=10)*('CASE MASTER'!$AD$2:$AD$495&gt;=10))*ROW('CASE MASTER'!$T$2:$T$495))-(ROW('CASE MASTER'!#REF!)-1)))+((2-INDEX('CASE MASTER'!$AA$2:$AA$495,(SUMPRODUCT((('CASE MASTER'!$T$2:$T$495=3)*('CASE MASTER'!$AA$2:$AA$495&lt;=2)*('CASE MASTER'!$AC$2:$AC$495&gt;=2)*('CASE MASTER'!$AB$2:$AB$495&lt;=10)*('CASE MASTER'!$AD$2:$AD$495&gt;=10))*ROW('CASE MASTER'!$T$2:$T$495))-(ROW('CASE MASTER'!#REF!)-1))))*(INDEX('CASE MASTER'!$AD$2:$AD$495,(SUMPRODUCT((('CASE MASTER'!$T$2:$T$495=3)*('CASE MASTER'!$AA$2:$AA$495&lt;=2)*('CASE MASTER'!$AC$2:$AC$495&gt;=2)*('CASE MASTER'!$AB$2:$AB$495&lt;=10)*('CASE MASTER'!$AD$2:$AD$495&gt;=10))*ROW('CASE MASTER'!$T$2:$T$495))-(ROW('CASE MASTER'!#REF!)-1)))-INDEX('CASE MASTER'!$AB$2:$AB$495,(SUMPRODUCT((('CASE MASTER'!$T$2:$T$495=3)*('CASE MASTER'!$AA$2:$AA$495&lt;=2)*('CASE MASTER'!$AC$2:$AC$495&gt;=2)*('CASE MASTER'!$AB$2:$AB$495&lt;=10)*('CASE MASTER'!$AD$2:$AD$495&gt;=10))*ROW('CASE MASTER'!$T$2:$T$495))-(ROW('CASE MASTER'!#REF!)-1)))+1)+(10-INDEX('CASE MASTER'!$AB$2:$AB$495,(SUMPRODUCT((('CASE MASTER'!$T$2:$T$495=3)*('CASE MASTER'!$AA$2:$AA$495&lt;=2)*('CASE MASTER'!$AC$2:$AC$495&gt;=2)*('CASE MASTER'!$AB$2:$AB$495&lt;=10)*('CASE MASTER'!$AD$2:$AD$495&gt;=10))*ROW('CASE MASTER'!$T$2:$T$495))-(ROW('CASE MASTER'!#REF!)-1))))+1)))-1)*50+1,50))&amp;"_"&amp;INDEX('CASE MASTER'!$Q$2:$Q$495,(SUMPRODUCT((('CASE MASTER'!$T$2:$T$495=3)*('CASE MASTER'!$AA$2:$AA$495&lt;=2)*('CASE MASTER'!$AC$2:$AC$495&gt;=2)*('CASE MASTER'!$AB$2:$AB$495&lt;=10)*('CASE MASTER'!$AD$2:$AD$495&gt;=10))*ROW('CASE MASTER'!$T$2:$T$495))-(ROW('CASE MASTER'!#REF!)-1))),"")),"")</f>
        <v/>
      </c>
    </row>
    <row r="33" spans="1:11" ht="15" customHeight="1" x14ac:dyDescent="0.35">
      <c r="A33" s="8" t="s">
        <v>30</v>
      </c>
      <c r="B33" s="10" t="str">
        <f>IFERROR(IF(SUMPRODUCT((('CASE MASTER'!$T$2:$T$495=3)*('CASE MASTER'!$U$2:$U$495&lt;=3)*('CASE MASTER'!$W$2:$W$495&gt;=3)*('CASE MASTER'!$V$2:$V$495&lt;=1)*('CASE MASTER'!$X$2:$X$495&gt;=1))*ROW('CASE MASTER'!$T$2:$T$495))&gt;0,INDEX('CASE MASTER'!$Y$2:$Y$495,(SUMPRODUCT((('CASE MASTER'!$T$2:$T$495=3)*('CASE MASTER'!$U$2:$U$495&lt;=3)*('CASE MASTER'!$W$2:$W$495&gt;=3)*('CASE MASTER'!$V$2:$V$495&lt;=1)*('CASE MASTER'!$X$2:$X$495&gt;=1))*ROW('CASE MASTER'!$T$2:$T$495))-(ROW('CASE MASTER'!#REF!)-1)))&amp;TRIM(MID(SUBSTITUTE(SUBSTITUTE(INDEX('CASE MASTER'!$N$2:$N$495,(SUMPRODUCT((('CASE MASTER'!$T$2:$T$495=3)*('CASE MASTER'!$U$2:$U$495&lt;=3)*('CASE MASTER'!$W$2:$W$495&gt;=3)*('CASE MASTER'!$V$2:$V$495&lt;=1)*('CASE MASTER'!$X$2:$X$495&gt;=1))*ROW('CASE MASTER'!$T$2:$T$495))-(ROW('CASE MASTER'!#REF!)-1))),":",","),",",REPT(" ",50)),((((3-INDEX('CASE MASTER'!$U$2:$U$495,(SUMPRODUCT((('CASE MASTER'!$T$2:$T$495=3)*('CASE MASTER'!$U$2:$U$495&lt;=3)*('CASE MASTER'!$W$2:$W$495&gt;=3)*('CASE MASTER'!$V$2:$V$495&lt;=1)*('CASE MASTER'!$X$2:$X$495&gt;=1))*ROW('CASE MASTER'!$T$2:$T$495))-(ROW('CASE MASTER'!#REF!)-1))))*(INDEX('CASE MASTER'!$X$2:$X$495,(SUMPRODUCT((('CASE MASTER'!$T$2:$T$495=3)*('CASE MASTER'!$U$2:$U$495&lt;=3)*('CASE MASTER'!$W$2:$W$495&gt;=3)*('CASE MASTER'!$V$2:$V$495&lt;=1)*('CASE MASTER'!$X$2:$X$495&gt;=1))*ROW('CASE MASTER'!$T$2:$T$495))-(ROW('CASE MASTER'!#REF!)-1)))-INDEX('CASE MASTER'!$V$2:$V$495,(SUMPRODUCT((('CASE MASTER'!$T$2:$T$495=3)*('CASE MASTER'!$U$2:$U$495&lt;=3)*('CASE MASTER'!$W$2:$W$495&gt;=3)*('CASE MASTER'!$V$2:$V$495&lt;=1)*('CASE MASTER'!$X$2:$X$495&gt;=1))*ROW('CASE MASTER'!$T$2:$T$495))-(ROW('CASE MASTER'!#REF!)-1)))+1)+(1-INDEX('CASE MASTER'!$V$2:$V$495,(SUMPRODUCT((('CASE MASTER'!$T$2:$T$495=3)*('CASE MASTER'!$U$2:$U$495&lt;=3)*('CASE MASTER'!$W$2:$W$495&gt;=3)*('CASE MASTER'!$V$2:$V$495&lt;=1)*('CASE MASTER'!$X$2:$X$495&gt;=1))*ROW('CASE MASTER'!$T$2:$T$495))-(ROW('CASE MASTER'!#REF!)-1))))+1))-1)*50+1,50))&amp;"_"&amp;INDEX('CASE MASTER'!$Q$2:$Q$495,(SUMPRODUCT((('CASE MASTER'!$T$2:$T$495=3)*('CASE MASTER'!$U$2:$U$495&lt;=3)*('CASE MASTER'!$W$2:$W$495&gt;=3)*('CASE MASTER'!$V$2:$V$495&lt;=1)*('CASE MASTER'!$X$2:$X$495&gt;=1))*ROW('CASE MASTER'!$T$2:$T$495))-(ROW('CASE MASTER'!#REF!)-1))),IF(SUMPRODUCT((('CASE MASTER'!$T$2:$T$495=3)*('CASE MASTER'!$AA$2:$AA$495&lt;=3)*('CASE MASTER'!$AC$2:$AC$495&gt;=3)*('CASE MASTER'!$AB$2:$AB$495&lt;=1)*('CASE MASTER'!$AD$2:$AD$495&gt;=1))*ROW('CASE MASTER'!$T$2:$T$495))&gt;0,INDEX('CASE MASTER'!$Y$2:$Y$495,(SUMPRODUCT((('CASE MASTER'!$T$2:$T$495=3)*('CASE MASTER'!$AA$2:$AA$495&lt;=3)*('CASE MASTER'!$AC$2:$AC$495&gt;=3)*('CASE MASTER'!$AB$2:$AB$495&lt;=1)*('CASE MASTER'!$AD$2:$AD$495&gt;=1))*ROW('CASE MASTER'!$T$2:$T$495))-(ROW('CASE MASTER'!#REF!)-1)))&amp;TRIM(MID(SUBSTITUTE(SUBSTITUTE(INDEX('CASE MASTER'!$N$2:$N$495,(SUMPRODUCT((('CASE MASTER'!$T$2:$T$495=3)*('CASE MASTER'!$AA$2:$AA$495&lt;=3)*('CASE MASTER'!$AC$2:$AC$495&gt;=3)*('CASE MASTER'!$AB$2:$AB$495&lt;=1)*('CASE MASTER'!$AD$2:$AD$495&gt;=1))*ROW('CASE MASTER'!$T$2:$T$495))-(ROW('CASE MASTER'!#REF!)-1))),":",","),",",REPT(" ",50)),(((INDEX('CASE MASTER'!$Z$2:$Z$495,(SUMPRODUCT((('CASE MASTER'!$T$2:$T$495=3)*('CASE MASTER'!$AA$2:$AA$495&lt;=3)*('CASE MASTER'!$AC$2:$AC$495&gt;=3)*('CASE MASTER'!$AB$2:$AB$495&lt;=1)*('CASE MASTER'!$AD$2:$AD$495&gt;=1))*ROW('CASE MASTER'!$T$2:$T$495))-(ROW('CASE MASTER'!#REF!)-1)))+((3-INDEX('CASE MASTER'!$AA$2:$AA$495,(SUMPRODUCT((('CASE MASTER'!$T$2:$T$495=3)*('CASE MASTER'!$AA$2:$AA$495&lt;=3)*('CASE MASTER'!$AC$2:$AC$495&gt;=3)*('CASE MASTER'!$AB$2:$AB$495&lt;=1)*('CASE MASTER'!$AD$2:$AD$495&gt;=1))*ROW('CASE MASTER'!$T$2:$T$495))-(ROW('CASE MASTER'!#REF!)-1))))*(INDEX('CASE MASTER'!$AD$2:$AD$495,(SUMPRODUCT((('CASE MASTER'!$T$2:$T$495=3)*('CASE MASTER'!$AA$2:$AA$495&lt;=3)*('CASE MASTER'!$AC$2:$AC$495&gt;=3)*('CASE MASTER'!$AB$2:$AB$495&lt;=1)*('CASE MASTER'!$AD$2:$AD$495&gt;=1))*ROW('CASE MASTER'!$T$2:$T$495))-(ROW('CASE MASTER'!#REF!)-1)))-INDEX('CASE MASTER'!$AB$2:$AB$495,(SUMPRODUCT((('CASE MASTER'!$T$2:$T$495=3)*('CASE MASTER'!$AA$2:$AA$495&lt;=3)*('CASE MASTER'!$AC$2:$AC$495&gt;=3)*('CASE MASTER'!$AB$2:$AB$495&lt;=1)*('CASE MASTER'!$AD$2:$AD$495&gt;=1))*ROW('CASE MASTER'!$T$2:$T$495))-(ROW('CASE MASTER'!#REF!)-1)))+1)+(1-INDEX('CASE MASTER'!$AB$2:$AB$495,(SUMPRODUCT((('CASE MASTER'!$T$2:$T$495=3)*('CASE MASTER'!$AA$2:$AA$495&lt;=3)*('CASE MASTER'!$AC$2:$AC$495&gt;=3)*('CASE MASTER'!$AB$2:$AB$495&lt;=1)*('CASE MASTER'!$AD$2:$AD$495&gt;=1))*ROW('CASE MASTER'!$T$2:$T$495))-(ROW('CASE MASTER'!#REF!)-1))))+1)))-1)*50+1,50))&amp;"_"&amp;INDEX('CASE MASTER'!$Q$2:$Q$495,(SUMPRODUCT((('CASE MASTER'!$T$2:$T$495=3)*('CASE MASTER'!$AA$2:$AA$495&lt;=3)*('CASE MASTER'!$AC$2:$AC$495&gt;=3)*('CASE MASTER'!$AB$2:$AB$495&lt;=1)*('CASE MASTER'!$AD$2:$AD$495&gt;=1))*ROW('CASE MASTER'!$T$2:$T$495))-(ROW('CASE MASTER'!#REF!)-1))),"")),"")</f>
        <v/>
      </c>
      <c r="C33" s="10" t="str">
        <f>IFERROR(IF(SUMPRODUCT((('CASE MASTER'!$T$2:$T$495=3)*('CASE MASTER'!$U$2:$U$495&lt;=3)*('CASE MASTER'!$W$2:$W$495&gt;=3)*('CASE MASTER'!$V$2:$V$495&lt;=2)*('CASE MASTER'!$X$2:$X$495&gt;=2))*ROW('CASE MASTER'!$T$2:$T$495))&gt;0,INDEX('CASE MASTER'!$Y$2:$Y$495,(SUMPRODUCT((('CASE MASTER'!$T$2:$T$495=3)*('CASE MASTER'!$U$2:$U$495&lt;=3)*('CASE MASTER'!$W$2:$W$495&gt;=3)*('CASE MASTER'!$V$2:$V$495&lt;=2)*('CASE MASTER'!$X$2:$X$495&gt;=2))*ROW('CASE MASTER'!$T$2:$T$495))-(ROW('CASE MASTER'!#REF!)-1)))&amp;TRIM(MID(SUBSTITUTE(SUBSTITUTE(INDEX('CASE MASTER'!$N$2:$N$495,(SUMPRODUCT((('CASE MASTER'!$T$2:$T$495=3)*('CASE MASTER'!$U$2:$U$495&lt;=3)*('CASE MASTER'!$W$2:$W$495&gt;=3)*('CASE MASTER'!$V$2:$V$495&lt;=2)*('CASE MASTER'!$X$2:$X$495&gt;=2))*ROW('CASE MASTER'!$T$2:$T$495))-(ROW('CASE MASTER'!#REF!)-1))),":",","),",",REPT(" ",50)),((((3-INDEX('CASE MASTER'!$U$2:$U$495,(SUMPRODUCT((('CASE MASTER'!$T$2:$T$495=3)*('CASE MASTER'!$U$2:$U$495&lt;=3)*('CASE MASTER'!$W$2:$W$495&gt;=3)*('CASE MASTER'!$V$2:$V$495&lt;=2)*('CASE MASTER'!$X$2:$X$495&gt;=2))*ROW('CASE MASTER'!$T$2:$T$495))-(ROW('CASE MASTER'!#REF!)-1))))*(INDEX('CASE MASTER'!$X$2:$X$495,(SUMPRODUCT((('CASE MASTER'!$T$2:$T$495=3)*('CASE MASTER'!$U$2:$U$495&lt;=3)*('CASE MASTER'!$W$2:$W$495&gt;=3)*('CASE MASTER'!$V$2:$V$495&lt;=2)*('CASE MASTER'!$X$2:$X$495&gt;=2))*ROW('CASE MASTER'!$T$2:$T$495))-(ROW('CASE MASTER'!#REF!)-1)))-INDEX('CASE MASTER'!$V$2:$V$495,(SUMPRODUCT((('CASE MASTER'!$T$2:$T$495=3)*('CASE MASTER'!$U$2:$U$495&lt;=3)*('CASE MASTER'!$W$2:$W$495&gt;=3)*('CASE MASTER'!$V$2:$V$495&lt;=2)*('CASE MASTER'!$X$2:$X$495&gt;=2))*ROW('CASE MASTER'!$T$2:$T$495))-(ROW('CASE MASTER'!#REF!)-1)))+1)+(2-INDEX('CASE MASTER'!$V$2:$V$495,(SUMPRODUCT((('CASE MASTER'!$T$2:$T$495=3)*('CASE MASTER'!$U$2:$U$495&lt;=3)*('CASE MASTER'!$W$2:$W$495&gt;=3)*('CASE MASTER'!$V$2:$V$495&lt;=2)*('CASE MASTER'!$X$2:$X$495&gt;=2))*ROW('CASE MASTER'!$T$2:$T$495))-(ROW('CASE MASTER'!#REF!)-1))))+1))-1)*50+1,50))&amp;"_"&amp;INDEX('CASE MASTER'!$Q$2:$Q$495,(SUMPRODUCT((('CASE MASTER'!$T$2:$T$495=3)*('CASE MASTER'!$U$2:$U$495&lt;=3)*('CASE MASTER'!$W$2:$W$495&gt;=3)*('CASE MASTER'!$V$2:$V$495&lt;=2)*('CASE MASTER'!$X$2:$X$495&gt;=2))*ROW('CASE MASTER'!$T$2:$T$495))-(ROW('CASE MASTER'!#REF!)-1))),IF(SUMPRODUCT((('CASE MASTER'!$T$2:$T$495=3)*('CASE MASTER'!$AA$2:$AA$495&lt;=3)*('CASE MASTER'!$AC$2:$AC$495&gt;=3)*('CASE MASTER'!$AB$2:$AB$495&lt;=2)*('CASE MASTER'!$AD$2:$AD$495&gt;=2))*ROW('CASE MASTER'!$T$2:$T$495))&gt;0,INDEX('CASE MASTER'!$Y$2:$Y$495,(SUMPRODUCT((('CASE MASTER'!$T$2:$T$495=3)*('CASE MASTER'!$AA$2:$AA$495&lt;=3)*('CASE MASTER'!$AC$2:$AC$495&gt;=3)*('CASE MASTER'!$AB$2:$AB$495&lt;=2)*('CASE MASTER'!$AD$2:$AD$495&gt;=2))*ROW('CASE MASTER'!$T$2:$T$495))-(ROW('CASE MASTER'!#REF!)-1)))&amp;TRIM(MID(SUBSTITUTE(SUBSTITUTE(INDEX('CASE MASTER'!$N$2:$N$495,(SUMPRODUCT((('CASE MASTER'!$T$2:$T$495=3)*('CASE MASTER'!$AA$2:$AA$495&lt;=3)*('CASE MASTER'!$AC$2:$AC$495&gt;=3)*('CASE MASTER'!$AB$2:$AB$495&lt;=2)*('CASE MASTER'!$AD$2:$AD$495&gt;=2))*ROW('CASE MASTER'!$T$2:$T$495))-(ROW('CASE MASTER'!#REF!)-1))),":",","),",",REPT(" ",50)),(((INDEX('CASE MASTER'!$Z$2:$Z$495,(SUMPRODUCT((('CASE MASTER'!$T$2:$T$495=3)*('CASE MASTER'!$AA$2:$AA$495&lt;=3)*('CASE MASTER'!$AC$2:$AC$495&gt;=3)*('CASE MASTER'!$AB$2:$AB$495&lt;=2)*('CASE MASTER'!$AD$2:$AD$495&gt;=2))*ROW('CASE MASTER'!$T$2:$T$495))-(ROW('CASE MASTER'!#REF!)-1)))+((3-INDEX('CASE MASTER'!$AA$2:$AA$495,(SUMPRODUCT((('CASE MASTER'!$T$2:$T$495=3)*('CASE MASTER'!$AA$2:$AA$495&lt;=3)*('CASE MASTER'!$AC$2:$AC$495&gt;=3)*('CASE MASTER'!$AB$2:$AB$495&lt;=2)*('CASE MASTER'!$AD$2:$AD$495&gt;=2))*ROW('CASE MASTER'!$T$2:$T$495))-(ROW('CASE MASTER'!#REF!)-1))))*(INDEX('CASE MASTER'!$AD$2:$AD$495,(SUMPRODUCT((('CASE MASTER'!$T$2:$T$495=3)*('CASE MASTER'!$AA$2:$AA$495&lt;=3)*('CASE MASTER'!$AC$2:$AC$495&gt;=3)*('CASE MASTER'!$AB$2:$AB$495&lt;=2)*('CASE MASTER'!$AD$2:$AD$495&gt;=2))*ROW('CASE MASTER'!$T$2:$T$495))-(ROW('CASE MASTER'!#REF!)-1)))-INDEX('CASE MASTER'!$AB$2:$AB$495,(SUMPRODUCT((('CASE MASTER'!$T$2:$T$495=3)*('CASE MASTER'!$AA$2:$AA$495&lt;=3)*('CASE MASTER'!$AC$2:$AC$495&gt;=3)*('CASE MASTER'!$AB$2:$AB$495&lt;=2)*('CASE MASTER'!$AD$2:$AD$495&gt;=2))*ROW('CASE MASTER'!$T$2:$T$495))-(ROW('CASE MASTER'!#REF!)-1)))+1)+(2-INDEX('CASE MASTER'!$AB$2:$AB$495,(SUMPRODUCT((('CASE MASTER'!$T$2:$T$495=3)*('CASE MASTER'!$AA$2:$AA$495&lt;=3)*('CASE MASTER'!$AC$2:$AC$495&gt;=3)*('CASE MASTER'!$AB$2:$AB$495&lt;=2)*('CASE MASTER'!$AD$2:$AD$495&gt;=2))*ROW('CASE MASTER'!$T$2:$T$495))-(ROW('CASE MASTER'!#REF!)-1))))+1)))-1)*50+1,50))&amp;"_"&amp;INDEX('CASE MASTER'!$Q$2:$Q$495,(SUMPRODUCT((('CASE MASTER'!$T$2:$T$495=3)*('CASE MASTER'!$AA$2:$AA$495&lt;=3)*('CASE MASTER'!$AC$2:$AC$495&gt;=3)*('CASE MASTER'!$AB$2:$AB$495&lt;=2)*('CASE MASTER'!$AD$2:$AD$495&gt;=2))*ROW('CASE MASTER'!$T$2:$T$495))-(ROW('CASE MASTER'!#REF!)-1))),"")),"")</f>
        <v/>
      </c>
      <c r="D33" s="10" t="str">
        <f>IFERROR(IF(SUMPRODUCT((('CASE MASTER'!$T$2:$T$495=3)*('CASE MASTER'!$U$2:$U$495&lt;=3)*('CASE MASTER'!$W$2:$W$495&gt;=3)*('CASE MASTER'!$V$2:$V$495&lt;=3)*('CASE MASTER'!$X$2:$X$495&gt;=3))*ROW('CASE MASTER'!$T$2:$T$495))&gt;0,INDEX('CASE MASTER'!$Y$2:$Y$495,(SUMPRODUCT((('CASE MASTER'!$T$2:$T$495=3)*('CASE MASTER'!$U$2:$U$495&lt;=3)*('CASE MASTER'!$W$2:$W$495&gt;=3)*('CASE MASTER'!$V$2:$V$495&lt;=3)*('CASE MASTER'!$X$2:$X$495&gt;=3))*ROW('CASE MASTER'!$T$2:$T$495))-(ROW('CASE MASTER'!#REF!)-1)))&amp;TRIM(MID(SUBSTITUTE(SUBSTITUTE(INDEX('CASE MASTER'!$N$2:$N$495,(SUMPRODUCT((('CASE MASTER'!$T$2:$T$495=3)*('CASE MASTER'!$U$2:$U$495&lt;=3)*('CASE MASTER'!$W$2:$W$495&gt;=3)*('CASE MASTER'!$V$2:$V$495&lt;=3)*('CASE MASTER'!$X$2:$X$495&gt;=3))*ROW('CASE MASTER'!$T$2:$T$495))-(ROW('CASE MASTER'!#REF!)-1))),":",","),",",REPT(" ",50)),((((3-INDEX('CASE MASTER'!$U$2:$U$495,(SUMPRODUCT((('CASE MASTER'!$T$2:$T$495=3)*('CASE MASTER'!$U$2:$U$495&lt;=3)*('CASE MASTER'!$W$2:$W$495&gt;=3)*('CASE MASTER'!$V$2:$V$495&lt;=3)*('CASE MASTER'!$X$2:$X$495&gt;=3))*ROW('CASE MASTER'!$T$2:$T$495))-(ROW('CASE MASTER'!#REF!)-1))))*(INDEX('CASE MASTER'!$X$2:$X$495,(SUMPRODUCT((('CASE MASTER'!$T$2:$T$495=3)*('CASE MASTER'!$U$2:$U$495&lt;=3)*('CASE MASTER'!$W$2:$W$495&gt;=3)*('CASE MASTER'!$V$2:$V$495&lt;=3)*('CASE MASTER'!$X$2:$X$495&gt;=3))*ROW('CASE MASTER'!$T$2:$T$495))-(ROW('CASE MASTER'!#REF!)-1)))-INDEX('CASE MASTER'!$V$2:$V$495,(SUMPRODUCT((('CASE MASTER'!$T$2:$T$495=3)*('CASE MASTER'!$U$2:$U$495&lt;=3)*('CASE MASTER'!$W$2:$W$495&gt;=3)*('CASE MASTER'!$V$2:$V$495&lt;=3)*('CASE MASTER'!$X$2:$X$495&gt;=3))*ROW('CASE MASTER'!$T$2:$T$495))-(ROW('CASE MASTER'!#REF!)-1)))+1)+(3-INDEX('CASE MASTER'!$V$2:$V$495,(SUMPRODUCT((('CASE MASTER'!$T$2:$T$495=3)*('CASE MASTER'!$U$2:$U$495&lt;=3)*('CASE MASTER'!$W$2:$W$495&gt;=3)*('CASE MASTER'!$V$2:$V$495&lt;=3)*('CASE MASTER'!$X$2:$X$495&gt;=3))*ROW('CASE MASTER'!$T$2:$T$495))-(ROW('CASE MASTER'!#REF!)-1))))+1))-1)*50+1,50))&amp;"_"&amp;INDEX('CASE MASTER'!$Q$2:$Q$495,(SUMPRODUCT((('CASE MASTER'!$T$2:$T$495=3)*('CASE MASTER'!$U$2:$U$495&lt;=3)*('CASE MASTER'!$W$2:$W$495&gt;=3)*('CASE MASTER'!$V$2:$V$495&lt;=3)*('CASE MASTER'!$X$2:$X$495&gt;=3))*ROW('CASE MASTER'!$T$2:$T$495))-(ROW('CASE MASTER'!#REF!)-1))),IF(SUMPRODUCT((('CASE MASTER'!$T$2:$T$495=3)*('CASE MASTER'!$AA$2:$AA$495&lt;=3)*('CASE MASTER'!$AC$2:$AC$495&gt;=3)*('CASE MASTER'!$AB$2:$AB$495&lt;=3)*('CASE MASTER'!$AD$2:$AD$495&gt;=3))*ROW('CASE MASTER'!$T$2:$T$495))&gt;0,INDEX('CASE MASTER'!$Y$2:$Y$495,(SUMPRODUCT((('CASE MASTER'!$T$2:$T$495=3)*('CASE MASTER'!$AA$2:$AA$495&lt;=3)*('CASE MASTER'!$AC$2:$AC$495&gt;=3)*('CASE MASTER'!$AB$2:$AB$495&lt;=3)*('CASE MASTER'!$AD$2:$AD$495&gt;=3))*ROW('CASE MASTER'!$T$2:$T$495))-(ROW('CASE MASTER'!#REF!)-1)))&amp;TRIM(MID(SUBSTITUTE(SUBSTITUTE(INDEX('CASE MASTER'!$N$2:$N$495,(SUMPRODUCT((('CASE MASTER'!$T$2:$T$495=3)*('CASE MASTER'!$AA$2:$AA$495&lt;=3)*('CASE MASTER'!$AC$2:$AC$495&gt;=3)*('CASE MASTER'!$AB$2:$AB$495&lt;=3)*('CASE MASTER'!$AD$2:$AD$495&gt;=3))*ROW('CASE MASTER'!$T$2:$T$495))-(ROW('CASE MASTER'!#REF!)-1))),":",","),",",REPT(" ",50)),(((INDEX('CASE MASTER'!$Z$2:$Z$495,(SUMPRODUCT((('CASE MASTER'!$T$2:$T$495=3)*('CASE MASTER'!$AA$2:$AA$495&lt;=3)*('CASE MASTER'!$AC$2:$AC$495&gt;=3)*('CASE MASTER'!$AB$2:$AB$495&lt;=3)*('CASE MASTER'!$AD$2:$AD$495&gt;=3))*ROW('CASE MASTER'!$T$2:$T$495))-(ROW('CASE MASTER'!#REF!)-1)))+((3-INDEX('CASE MASTER'!$AA$2:$AA$495,(SUMPRODUCT((('CASE MASTER'!$T$2:$T$495=3)*('CASE MASTER'!$AA$2:$AA$495&lt;=3)*('CASE MASTER'!$AC$2:$AC$495&gt;=3)*('CASE MASTER'!$AB$2:$AB$495&lt;=3)*('CASE MASTER'!$AD$2:$AD$495&gt;=3))*ROW('CASE MASTER'!$T$2:$T$495))-(ROW('CASE MASTER'!#REF!)-1))))*(INDEX('CASE MASTER'!$AD$2:$AD$495,(SUMPRODUCT((('CASE MASTER'!$T$2:$T$495=3)*('CASE MASTER'!$AA$2:$AA$495&lt;=3)*('CASE MASTER'!$AC$2:$AC$495&gt;=3)*('CASE MASTER'!$AB$2:$AB$495&lt;=3)*('CASE MASTER'!$AD$2:$AD$495&gt;=3))*ROW('CASE MASTER'!$T$2:$T$495))-(ROW('CASE MASTER'!#REF!)-1)))-INDEX('CASE MASTER'!$AB$2:$AB$495,(SUMPRODUCT((('CASE MASTER'!$T$2:$T$495=3)*('CASE MASTER'!$AA$2:$AA$495&lt;=3)*('CASE MASTER'!$AC$2:$AC$495&gt;=3)*('CASE MASTER'!$AB$2:$AB$495&lt;=3)*('CASE MASTER'!$AD$2:$AD$495&gt;=3))*ROW('CASE MASTER'!$T$2:$T$495))-(ROW('CASE MASTER'!#REF!)-1)))+1)+(3-INDEX('CASE MASTER'!$AB$2:$AB$495,(SUMPRODUCT((('CASE MASTER'!$T$2:$T$495=3)*('CASE MASTER'!$AA$2:$AA$495&lt;=3)*('CASE MASTER'!$AC$2:$AC$495&gt;=3)*('CASE MASTER'!$AB$2:$AB$495&lt;=3)*('CASE MASTER'!$AD$2:$AD$495&gt;=3))*ROW('CASE MASTER'!$T$2:$T$495))-(ROW('CASE MASTER'!#REF!)-1))))+1)))-1)*50+1,50))&amp;"_"&amp;INDEX('CASE MASTER'!$Q$2:$Q$495,(SUMPRODUCT((('CASE MASTER'!$T$2:$T$495=3)*('CASE MASTER'!$AA$2:$AA$495&lt;=3)*('CASE MASTER'!$AC$2:$AC$495&gt;=3)*('CASE MASTER'!$AB$2:$AB$495&lt;=3)*('CASE MASTER'!$AD$2:$AD$495&gt;=3))*ROW('CASE MASTER'!$T$2:$T$495))-(ROW('CASE MASTER'!#REF!)-1))),"")),"")</f>
        <v/>
      </c>
      <c r="E33" s="10" t="str">
        <f>IFERROR(IF(SUMPRODUCT((('CASE MASTER'!$T$2:$T$495=3)*('CASE MASTER'!$U$2:$U$495&lt;=3)*('CASE MASTER'!$W$2:$W$495&gt;=3)*('CASE MASTER'!$V$2:$V$495&lt;=4)*('CASE MASTER'!$X$2:$X$495&gt;=4))*ROW('CASE MASTER'!$T$2:$T$495))&gt;0,INDEX('CASE MASTER'!$Y$2:$Y$495,(SUMPRODUCT((('CASE MASTER'!$T$2:$T$495=3)*('CASE MASTER'!$U$2:$U$495&lt;=3)*('CASE MASTER'!$W$2:$W$495&gt;=3)*('CASE MASTER'!$V$2:$V$495&lt;=4)*('CASE MASTER'!$X$2:$X$495&gt;=4))*ROW('CASE MASTER'!$T$2:$T$495))-(ROW('CASE MASTER'!#REF!)-1)))&amp;TRIM(MID(SUBSTITUTE(SUBSTITUTE(INDEX('CASE MASTER'!$N$2:$N$495,(SUMPRODUCT((('CASE MASTER'!$T$2:$T$495=3)*('CASE MASTER'!$U$2:$U$495&lt;=3)*('CASE MASTER'!$W$2:$W$495&gt;=3)*('CASE MASTER'!$V$2:$V$495&lt;=4)*('CASE MASTER'!$X$2:$X$495&gt;=4))*ROW('CASE MASTER'!$T$2:$T$495))-(ROW('CASE MASTER'!#REF!)-1))),":",","),",",REPT(" ",50)),((((3-INDEX('CASE MASTER'!$U$2:$U$495,(SUMPRODUCT((('CASE MASTER'!$T$2:$T$495=3)*('CASE MASTER'!$U$2:$U$495&lt;=3)*('CASE MASTER'!$W$2:$W$495&gt;=3)*('CASE MASTER'!$V$2:$V$495&lt;=4)*('CASE MASTER'!$X$2:$X$495&gt;=4))*ROW('CASE MASTER'!$T$2:$T$495))-(ROW('CASE MASTER'!#REF!)-1))))*(INDEX('CASE MASTER'!$X$2:$X$495,(SUMPRODUCT((('CASE MASTER'!$T$2:$T$495=3)*('CASE MASTER'!$U$2:$U$495&lt;=3)*('CASE MASTER'!$W$2:$W$495&gt;=3)*('CASE MASTER'!$V$2:$V$495&lt;=4)*('CASE MASTER'!$X$2:$X$495&gt;=4))*ROW('CASE MASTER'!$T$2:$T$495))-(ROW('CASE MASTER'!#REF!)-1)))-INDEX('CASE MASTER'!$V$2:$V$495,(SUMPRODUCT((('CASE MASTER'!$T$2:$T$495=3)*('CASE MASTER'!$U$2:$U$495&lt;=3)*('CASE MASTER'!$W$2:$W$495&gt;=3)*('CASE MASTER'!$V$2:$V$495&lt;=4)*('CASE MASTER'!$X$2:$X$495&gt;=4))*ROW('CASE MASTER'!$T$2:$T$495))-(ROW('CASE MASTER'!#REF!)-1)))+1)+(4-INDEX('CASE MASTER'!$V$2:$V$495,(SUMPRODUCT((('CASE MASTER'!$T$2:$T$495=3)*('CASE MASTER'!$U$2:$U$495&lt;=3)*('CASE MASTER'!$W$2:$W$495&gt;=3)*('CASE MASTER'!$V$2:$V$495&lt;=4)*('CASE MASTER'!$X$2:$X$495&gt;=4))*ROW('CASE MASTER'!$T$2:$T$495))-(ROW('CASE MASTER'!#REF!)-1))))+1))-1)*50+1,50))&amp;"_"&amp;INDEX('CASE MASTER'!$Q$2:$Q$495,(SUMPRODUCT((('CASE MASTER'!$T$2:$T$495=3)*('CASE MASTER'!$U$2:$U$495&lt;=3)*('CASE MASTER'!$W$2:$W$495&gt;=3)*('CASE MASTER'!$V$2:$V$495&lt;=4)*('CASE MASTER'!$X$2:$X$495&gt;=4))*ROW('CASE MASTER'!$T$2:$T$495))-(ROW('CASE MASTER'!#REF!)-1))),IF(SUMPRODUCT((('CASE MASTER'!$T$2:$T$495=3)*('CASE MASTER'!$AA$2:$AA$495&lt;=3)*('CASE MASTER'!$AC$2:$AC$495&gt;=3)*('CASE MASTER'!$AB$2:$AB$495&lt;=4)*('CASE MASTER'!$AD$2:$AD$495&gt;=4))*ROW('CASE MASTER'!$T$2:$T$495))&gt;0,INDEX('CASE MASTER'!$Y$2:$Y$495,(SUMPRODUCT((('CASE MASTER'!$T$2:$T$495=3)*('CASE MASTER'!$AA$2:$AA$495&lt;=3)*('CASE MASTER'!$AC$2:$AC$495&gt;=3)*('CASE MASTER'!$AB$2:$AB$495&lt;=4)*('CASE MASTER'!$AD$2:$AD$495&gt;=4))*ROW('CASE MASTER'!$T$2:$T$495))-(ROW('CASE MASTER'!#REF!)-1)))&amp;TRIM(MID(SUBSTITUTE(SUBSTITUTE(INDEX('CASE MASTER'!$N$2:$N$495,(SUMPRODUCT((('CASE MASTER'!$T$2:$T$495=3)*('CASE MASTER'!$AA$2:$AA$495&lt;=3)*('CASE MASTER'!$AC$2:$AC$495&gt;=3)*('CASE MASTER'!$AB$2:$AB$495&lt;=4)*('CASE MASTER'!$AD$2:$AD$495&gt;=4))*ROW('CASE MASTER'!$T$2:$T$495))-(ROW('CASE MASTER'!#REF!)-1))),":",","),",",REPT(" ",50)),(((INDEX('CASE MASTER'!$Z$2:$Z$495,(SUMPRODUCT((('CASE MASTER'!$T$2:$T$495=3)*('CASE MASTER'!$AA$2:$AA$495&lt;=3)*('CASE MASTER'!$AC$2:$AC$495&gt;=3)*('CASE MASTER'!$AB$2:$AB$495&lt;=4)*('CASE MASTER'!$AD$2:$AD$495&gt;=4))*ROW('CASE MASTER'!$T$2:$T$495))-(ROW('CASE MASTER'!#REF!)-1)))+((3-INDEX('CASE MASTER'!$AA$2:$AA$495,(SUMPRODUCT((('CASE MASTER'!$T$2:$T$495=3)*('CASE MASTER'!$AA$2:$AA$495&lt;=3)*('CASE MASTER'!$AC$2:$AC$495&gt;=3)*('CASE MASTER'!$AB$2:$AB$495&lt;=4)*('CASE MASTER'!$AD$2:$AD$495&gt;=4))*ROW('CASE MASTER'!$T$2:$T$495))-(ROW('CASE MASTER'!#REF!)-1))))*(INDEX('CASE MASTER'!$AD$2:$AD$495,(SUMPRODUCT((('CASE MASTER'!$T$2:$T$495=3)*('CASE MASTER'!$AA$2:$AA$495&lt;=3)*('CASE MASTER'!$AC$2:$AC$495&gt;=3)*('CASE MASTER'!$AB$2:$AB$495&lt;=4)*('CASE MASTER'!$AD$2:$AD$495&gt;=4))*ROW('CASE MASTER'!$T$2:$T$495))-(ROW('CASE MASTER'!#REF!)-1)))-INDEX('CASE MASTER'!$AB$2:$AB$495,(SUMPRODUCT((('CASE MASTER'!$T$2:$T$495=3)*('CASE MASTER'!$AA$2:$AA$495&lt;=3)*('CASE MASTER'!$AC$2:$AC$495&gt;=3)*('CASE MASTER'!$AB$2:$AB$495&lt;=4)*('CASE MASTER'!$AD$2:$AD$495&gt;=4))*ROW('CASE MASTER'!$T$2:$T$495))-(ROW('CASE MASTER'!#REF!)-1)))+1)+(4-INDEX('CASE MASTER'!$AB$2:$AB$495,(SUMPRODUCT((('CASE MASTER'!$T$2:$T$495=3)*('CASE MASTER'!$AA$2:$AA$495&lt;=3)*('CASE MASTER'!$AC$2:$AC$495&gt;=3)*('CASE MASTER'!$AB$2:$AB$495&lt;=4)*('CASE MASTER'!$AD$2:$AD$495&gt;=4))*ROW('CASE MASTER'!$T$2:$T$495))-(ROW('CASE MASTER'!#REF!)-1))))+1)))-1)*50+1,50))&amp;"_"&amp;INDEX('CASE MASTER'!$Q$2:$Q$495,(SUMPRODUCT((('CASE MASTER'!$T$2:$T$495=3)*('CASE MASTER'!$AA$2:$AA$495&lt;=3)*('CASE MASTER'!$AC$2:$AC$495&gt;=3)*('CASE MASTER'!$AB$2:$AB$495&lt;=4)*('CASE MASTER'!$AD$2:$AD$495&gt;=4))*ROW('CASE MASTER'!$T$2:$T$495))-(ROW('CASE MASTER'!#REF!)-1))),"")),"")</f>
        <v/>
      </c>
      <c r="F33" s="10" t="str">
        <f>IFERROR(IF(SUMPRODUCT((('CASE MASTER'!$T$2:$T$495=3)*('CASE MASTER'!$U$2:$U$495&lt;=3)*('CASE MASTER'!$W$2:$W$495&gt;=3)*('CASE MASTER'!$V$2:$V$495&lt;=5)*('CASE MASTER'!$X$2:$X$495&gt;=5))*ROW('CASE MASTER'!$T$2:$T$495))&gt;0,INDEX('CASE MASTER'!$Y$2:$Y$495,(SUMPRODUCT((('CASE MASTER'!$T$2:$T$495=3)*('CASE MASTER'!$U$2:$U$495&lt;=3)*('CASE MASTER'!$W$2:$W$495&gt;=3)*('CASE MASTER'!$V$2:$V$495&lt;=5)*('CASE MASTER'!$X$2:$X$495&gt;=5))*ROW('CASE MASTER'!$T$2:$T$495))-(ROW('CASE MASTER'!#REF!)-1)))&amp;TRIM(MID(SUBSTITUTE(SUBSTITUTE(INDEX('CASE MASTER'!$N$2:$N$495,(SUMPRODUCT((('CASE MASTER'!$T$2:$T$495=3)*('CASE MASTER'!$U$2:$U$495&lt;=3)*('CASE MASTER'!$W$2:$W$495&gt;=3)*('CASE MASTER'!$V$2:$V$495&lt;=5)*('CASE MASTER'!$X$2:$X$495&gt;=5))*ROW('CASE MASTER'!$T$2:$T$495))-(ROW('CASE MASTER'!#REF!)-1))),":",","),",",REPT(" ",50)),((((3-INDEX('CASE MASTER'!$U$2:$U$495,(SUMPRODUCT((('CASE MASTER'!$T$2:$T$495=3)*('CASE MASTER'!$U$2:$U$495&lt;=3)*('CASE MASTER'!$W$2:$W$495&gt;=3)*('CASE MASTER'!$V$2:$V$495&lt;=5)*('CASE MASTER'!$X$2:$X$495&gt;=5))*ROW('CASE MASTER'!$T$2:$T$495))-(ROW('CASE MASTER'!#REF!)-1))))*(INDEX('CASE MASTER'!$X$2:$X$495,(SUMPRODUCT((('CASE MASTER'!$T$2:$T$495=3)*('CASE MASTER'!$U$2:$U$495&lt;=3)*('CASE MASTER'!$W$2:$W$495&gt;=3)*('CASE MASTER'!$V$2:$V$495&lt;=5)*('CASE MASTER'!$X$2:$X$495&gt;=5))*ROW('CASE MASTER'!$T$2:$T$495))-(ROW('CASE MASTER'!#REF!)-1)))-INDEX('CASE MASTER'!$V$2:$V$495,(SUMPRODUCT((('CASE MASTER'!$T$2:$T$495=3)*('CASE MASTER'!$U$2:$U$495&lt;=3)*('CASE MASTER'!$W$2:$W$495&gt;=3)*('CASE MASTER'!$V$2:$V$495&lt;=5)*('CASE MASTER'!$X$2:$X$495&gt;=5))*ROW('CASE MASTER'!$T$2:$T$495))-(ROW('CASE MASTER'!#REF!)-1)))+1)+(5-INDEX('CASE MASTER'!$V$2:$V$495,(SUMPRODUCT((('CASE MASTER'!$T$2:$T$495=3)*('CASE MASTER'!$U$2:$U$495&lt;=3)*('CASE MASTER'!$W$2:$W$495&gt;=3)*('CASE MASTER'!$V$2:$V$495&lt;=5)*('CASE MASTER'!$X$2:$X$495&gt;=5))*ROW('CASE MASTER'!$T$2:$T$495))-(ROW('CASE MASTER'!#REF!)-1))))+1))-1)*50+1,50))&amp;"_"&amp;INDEX('CASE MASTER'!$Q$2:$Q$495,(SUMPRODUCT((('CASE MASTER'!$T$2:$T$495=3)*('CASE MASTER'!$U$2:$U$495&lt;=3)*('CASE MASTER'!$W$2:$W$495&gt;=3)*('CASE MASTER'!$V$2:$V$495&lt;=5)*('CASE MASTER'!$X$2:$X$495&gt;=5))*ROW('CASE MASTER'!$T$2:$T$495))-(ROW('CASE MASTER'!#REF!)-1))),IF(SUMPRODUCT((('CASE MASTER'!$T$2:$T$495=3)*('CASE MASTER'!$AA$2:$AA$495&lt;=3)*('CASE MASTER'!$AC$2:$AC$495&gt;=3)*('CASE MASTER'!$AB$2:$AB$495&lt;=5)*('CASE MASTER'!$AD$2:$AD$495&gt;=5))*ROW('CASE MASTER'!$T$2:$T$495))&gt;0,INDEX('CASE MASTER'!$Y$2:$Y$495,(SUMPRODUCT((('CASE MASTER'!$T$2:$T$495=3)*('CASE MASTER'!$AA$2:$AA$495&lt;=3)*('CASE MASTER'!$AC$2:$AC$495&gt;=3)*('CASE MASTER'!$AB$2:$AB$495&lt;=5)*('CASE MASTER'!$AD$2:$AD$495&gt;=5))*ROW('CASE MASTER'!$T$2:$T$495))-(ROW('CASE MASTER'!#REF!)-1)))&amp;TRIM(MID(SUBSTITUTE(SUBSTITUTE(INDEX('CASE MASTER'!$N$2:$N$495,(SUMPRODUCT((('CASE MASTER'!$T$2:$T$495=3)*('CASE MASTER'!$AA$2:$AA$495&lt;=3)*('CASE MASTER'!$AC$2:$AC$495&gt;=3)*('CASE MASTER'!$AB$2:$AB$495&lt;=5)*('CASE MASTER'!$AD$2:$AD$495&gt;=5))*ROW('CASE MASTER'!$T$2:$T$495))-(ROW('CASE MASTER'!#REF!)-1))),":",","),",",REPT(" ",50)),(((INDEX('CASE MASTER'!$Z$2:$Z$495,(SUMPRODUCT((('CASE MASTER'!$T$2:$T$495=3)*('CASE MASTER'!$AA$2:$AA$495&lt;=3)*('CASE MASTER'!$AC$2:$AC$495&gt;=3)*('CASE MASTER'!$AB$2:$AB$495&lt;=5)*('CASE MASTER'!$AD$2:$AD$495&gt;=5))*ROW('CASE MASTER'!$T$2:$T$495))-(ROW('CASE MASTER'!#REF!)-1)))+((3-INDEX('CASE MASTER'!$AA$2:$AA$495,(SUMPRODUCT((('CASE MASTER'!$T$2:$T$495=3)*('CASE MASTER'!$AA$2:$AA$495&lt;=3)*('CASE MASTER'!$AC$2:$AC$495&gt;=3)*('CASE MASTER'!$AB$2:$AB$495&lt;=5)*('CASE MASTER'!$AD$2:$AD$495&gt;=5))*ROW('CASE MASTER'!$T$2:$T$495))-(ROW('CASE MASTER'!#REF!)-1))))*(INDEX('CASE MASTER'!$AD$2:$AD$495,(SUMPRODUCT((('CASE MASTER'!$T$2:$T$495=3)*('CASE MASTER'!$AA$2:$AA$495&lt;=3)*('CASE MASTER'!$AC$2:$AC$495&gt;=3)*('CASE MASTER'!$AB$2:$AB$495&lt;=5)*('CASE MASTER'!$AD$2:$AD$495&gt;=5))*ROW('CASE MASTER'!$T$2:$T$495))-(ROW('CASE MASTER'!#REF!)-1)))-INDEX('CASE MASTER'!$AB$2:$AB$495,(SUMPRODUCT((('CASE MASTER'!$T$2:$T$495=3)*('CASE MASTER'!$AA$2:$AA$495&lt;=3)*('CASE MASTER'!$AC$2:$AC$495&gt;=3)*('CASE MASTER'!$AB$2:$AB$495&lt;=5)*('CASE MASTER'!$AD$2:$AD$495&gt;=5))*ROW('CASE MASTER'!$T$2:$T$495))-(ROW('CASE MASTER'!#REF!)-1)))+1)+(5-INDEX('CASE MASTER'!$AB$2:$AB$495,(SUMPRODUCT((('CASE MASTER'!$T$2:$T$495=3)*('CASE MASTER'!$AA$2:$AA$495&lt;=3)*('CASE MASTER'!$AC$2:$AC$495&gt;=3)*('CASE MASTER'!$AB$2:$AB$495&lt;=5)*('CASE MASTER'!$AD$2:$AD$495&gt;=5))*ROW('CASE MASTER'!$T$2:$T$495))-(ROW('CASE MASTER'!#REF!)-1))))+1)))-1)*50+1,50))&amp;"_"&amp;INDEX('CASE MASTER'!$Q$2:$Q$495,(SUMPRODUCT((('CASE MASTER'!$T$2:$T$495=3)*('CASE MASTER'!$AA$2:$AA$495&lt;=3)*('CASE MASTER'!$AC$2:$AC$495&gt;=3)*('CASE MASTER'!$AB$2:$AB$495&lt;=5)*('CASE MASTER'!$AD$2:$AD$495&gt;=5))*ROW('CASE MASTER'!$T$2:$T$495))-(ROW('CASE MASTER'!#REF!)-1))),"")),"")</f>
        <v/>
      </c>
      <c r="G33" s="10" t="str">
        <f>IFERROR(IF(SUMPRODUCT((('CASE MASTER'!$T$2:$T$495=3)*('CASE MASTER'!$U$2:$U$495&lt;=3)*('CASE MASTER'!$W$2:$W$495&gt;=3)*('CASE MASTER'!$V$2:$V$495&lt;=6)*('CASE MASTER'!$X$2:$X$495&gt;=6))*ROW('CASE MASTER'!$T$2:$T$495))&gt;0,INDEX('CASE MASTER'!$Y$2:$Y$495,(SUMPRODUCT((('CASE MASTER'!$T$2:$T$495=3)*('CASE MASTER'!$U$2:$U$495&lt;=3)*('CASE MASTER'!$W$2:$W$495&gt;=3)*('CASE MASTER'!$V$2:$V$495&lt;=6)*('CASE MASTER'!$X$2:$X$495&gt;=6))*ROW('CASE MASTER'!$T$2:$T$495))-(ROW('CASE MASTER'!#REF!)-1)))&amp;TRIM(MID(SUBSTITUTE(SUBSTITUTE(INDEX('CASE MASTER'!$N$2:$N$495,(SUMPRODUCT((('CASE MASTER'!$T$2:$T$495=3)*('CASE MASTER'!$U$2:$U$495&lt;=3)*('CASE MASTER'!$W$2:$W$495&gt;=3)*('CASE MASTER'!$V$2:$V$495&lt;=6)*('CASE MASTER'!$X$2:$X$495&gt;=6))*ROW('CASE MASTER'!$T$2:$T$495))-(ROW('CASE MASTER'!#REF!)-1))),":",","),",",REPT(" ",50)),((((3-INDEX('CASE MASTER'!$U$2:$U$495,(SUMPRODUCT((('CASE MASTER'!$T$2:$T$495=3)*('CASE MASTER'!$U$2:$U$495&lt;=3)*('CASE MASTER'!$W$2:$W$495&gt;=3)*('CASE MASTER'!$V$2:$V$495&lt;=6)*('CASE MASTER'!$X$2:$X$495&gt;=6))*ROW('CASE MASTER'!$T$2:$T$495))-(ROW('CASE MASTER'!#REF!)-1))))*(INDEX('CASE MASTER'!$X$2:$X$495,(SUMPRODUCT((('CASE MASTER'!$T$2:$T$495=3)*('CASE MASTER'!$U$2:$U$495&lt;=3)*('CASE MASTER'!$W$2:$W$495&gt;=3)*('CASE MASTER'!$V$2:$V$495&lt;=6)*('CASE MASTER'!$X$2:$X$495&gt;=6))*ROW('CASE MASTER'!$T$2:$T$495))-(ROW('CASE MASTER'!#REF!)-1)))-INDEX('CASE MASTER'!$V$2:$V$495,(SUMPRODUCT((('CASE MASTER'!$T$2:$T$495=3)*('CASE MASTER'!$U$2:$U$495&lt;=3)*('CASE MASTER'!$W$2:$W$495&gt;=3)*('CASE MASTER'!$V$2:$V$495&lt;=6)*('CASE MASTER'!$X$2:$X$495&gt;=6))*ROW('CASE MASTER'!$T$2:$T$495))-(ROW('CASE MASTER'!#REF!)-1)))+1)+(6-INDEX('CASE MASTER'!$V$2:$V$495,(SUMPRODUCT((('CASE MASTER'!$T$2:$T$495=3)*('CASE MASTER'!$U$2:$U$495&lt;=3)*('CASE MASTER'!$W$2:$W$495&gt;=3)*('CASE MASTER'!$V$2:$V$495&lt;=6)*('CASE MASTER'!$X$2:$X$495&gt;=6))*ROW('CASE MASTER'!$T$2:$T$495))-(ROW('CASE MASTER'!#REF!)-1))))+1))-1)*50+1,50))&amp;"_"&amp;INDEX('CASE MASTER'!$Q$2:$Q$495,(SUMPRODUCT((('CASE MASTER'!$T$2:$T$495=3)*('CASE MASTER'!$U$2:$U$495&lt;=3)*('CASE MASTER'!$W$2:$W$495&gt;=3)*('CASE MASTER'!$V$2:$V$495&lt;=6)*('CASE MASTER'!$X$2:$X$495&gt;=6))*ROW('CASE MASTER'!$T$2:$T$495))-(ROW('CASE MASTER'!#REF!)-1))),IF(SUMPRODUCT((('CASE MASTER'!$T$2:$T$495=3)*('CASE MASTER'!$AA$2:$AA$495&lt;=3)*('CASE MASTER'!$AC$2:$AC$495&gt;=3)*('CASE MASTER'!$AB$2:$AB$495&lt;=6)*('CASE MASTER'!$AD$2:$AD$495&gt;=6))*ROW('CASE MASTER'!$T$2:$T$495))&gt;0,INDEX('CASE MASTER'!$Y$2:$Y$495,(SUMPRODUCT((('CASE MASTER'!$T$2:$T$495=3)*('CASE MASTER'!$AA$2:$AA$495&lt;=3)*('CASE MASTER'!$AC$2:$AC$495&gt;=3)*('CASE MASTER'!$AB$2:$AB$495&lt;=6)*('CASE MASTER'!$AD$2:$AD$495&gt;=6))*ROW('CASE MASTER'!$T$2:$T$495))-(ROW('CASE MASTER'!#REF!)-1)))&amp;TRIM(MID(SUBSTITUTE(SUBSTITUTE(INDEX('CASE MASTER'!$N$2:$N$495,(SUMPRODUCT((('CASE MASTER'!$T$2:$T$495=3)*('CASE MASTER'!$AA$2:$AA$495&lt;=3)*('CASE MASTER'!$AC$2:$AC$495&gt;=3)*('CASE MASTER'!$AB$2:$AB$495&lt;=6)*('CASE MASTER'!$AD$2:$AD$495&gt;=6))*ROW('CASE MASTER'!$T$2:$T$495))-(ROW('CASE MASTER'!#REF!)-1))),":",","),",",REPT(" ",50)),(((INDEX('CASE MASTER'!$Z$2:$Z$495,(SUMPRODUCT((('CASE MASTER'!$T$2:$T$495=3)*('CASE MASTER'!$AA$2:$AA$495&lt;=3)*('CASE MASTER'!$AC$2:$AC$495&gt;=3)*('CASE MASTER'!$AB$2:$AB$495&lt;=6)*('CASE MASTER'!$AD$2:$AD$495&gt;=6))*ROW('CASE MASTER'!$T$2:$T$495))-(ROW('CASE MASTER'!#REF!)-1)))+((3-INDEX('CASE MASTER'!$AA$2:$AA$495,(SUMPRODUCT((('CASE MASTER'!$T$2:$T$495=3)*('CASE MASTER'!$AA$2:$AA$495&lt;=3)*('CASE MASTER'!$AC$2:$AC$495&gt;=3)*('CASE MASTER'!$AB$2:$AB$495&lt;=6)*('CASE MASTER'!$AD$2:$AD$495&gt;=6))*ROW('CASE MASTER'!$T$2:$T$495))-(ROW('CASE MASTER'!#REF!)-1))))*(INDEX('CASE MASTER'!$AD$2:$AD$495,(SUMPRODUCT((('CASE MASTER'!$T$2:$T$495=3)*('CASE MASTER'!$AA$2:$AA$495&lt;=3)*('CASE MASTER'!$AC$2:$AC$495&gt;=3)*('CASE MASTER'!$AB$2:$AB$495&lt;=6)*('CASE MASTER'!$AD$2:$AD$495&gt;=6))*ROW('CASE MASTER'!$T$2:$T$495))-(ROW('CASE MASTER'!#REF!)-1)))-INDEX('CASE MASTER'!$AB$2:$AB$495,(SUMPRODUCT((('CASE MASTER'!$T$2:$T$495=3)*('CASE MASTER'!$AA$2:$AA$495&lt;=3)*('CASE MASTER'!$AC$2:$AC$495&gt;=3)*('CASE MASTER'!$AB$2:$AB$495&lt;=6)*('CASE MASTER'!$AD$2:$AD$495&gt;=6))*ROW('CASE MASTER'!$T$2:$T$495))-(ROW('CASE MASTER'!#REF!)-1)))+1)+(6-INDEX('CASE MASTER'!$AB$2:$AB$495,(SUMPRODUCT((('CASE MASTER'!$T$2:$T$495=3)*('CASE MASTER'!$AA$2:$AA$495&lt;=3)*('CASE MASTER'!$AC$2:$AC$495&gt;=3)*('CASE MASTER'!$AB$2:$AB$495&lt;=6)*('CASE MASTER'!$AD$2:$AD$495&gt;=6))*ROW('CASE MASTER'!$T$2:$T$495))-(ROW('CASE MASTER'!#REF!)-1))))+1)))-1)*50+1,50))&amp;"_"&amp;INDEX('CASE MASTER'!$Q$2:$Q$495,(SUMPRODUCT((('CASE MASTER'!$T$2:$T$495=3)*('CASE MASTER'!$AA$2:$AA$495&lt;=3)*('CASE MASTER'!$AC$2:$AC$495&gt;=3)*('CASE MASTER'!$AB$2:$AB$495&lt;=6)*('CASE MASTER'!$AD$2:$AD$495&gt;=6))*ROW('CASE MASTER'!$T$2:$T$495))-(ROW('CASE MASTER'!#REF!)-1))),"")),"")</f>
        <v/>
      </c>
      <c r="H33" s="10" t="str">
        <f>IFERROR(IF(SUMPRODUCT((('CASE MASTER'!$T$2:$T$495=3)*('CASE MASTER'!$U$2:$U$495&lt;=3)*('CASE MASTER'!$W$2:$W$495&gt;=3)*('CASE MASTER'!$V$2:$V$495&lt;=7)*('CASE MASTER'!$X$2:$X$495&gt;=7))*ROW('CASE MASTER'!$T$2:$T$495))&gt;0,INDEX('CASE MASTER'!$Y$2:$Y$495,(SUMPRODUCT((('CASE MASTER'!$T$2:$T$495=3)*('CASE MASTER'!$U$2:$U$495&lt;=3)*('CASE MASTER'!$W$2:$W$495&gt;=3)*('CASE MASTER'!$V$2:$V$495&lt;=7)*('CASE MASTER'!$X$2:$X$495&gt;=7))*ROW('CASE MASTER'!$T$2:$T$495))-(ROW('CASE MASTER'!#REF!)-1)))&amp;TRIM(MID(SUBSTITUTE(SUBSTITUTE(INDEX('CASE MASTER'!$N$2:$N$495,(SUMPRODUCT((('CASE MASTER'!$T$2:$T$495=3)*('CASE MASTER'!$U$2:$U$495&lt;=3)*('CASE MASTER'!$W$2:$W$495&gt;=3)*('CASE MASTER'!$V$2:$V$495&lt;=7)*('CASE MASTER'!$X$2:$X$495&gt;=7))*ROW('CASE MASTER'!$T$2:$T$495))-(ROW('CASE MASTER'!#REF!)-1))),":",","),",",REPT(" ",50)),((((3-INDEX('CASE MASTER'!$U$2:$U$495,(SUMPRODUCT((('CASE MASTER'!$T$2:$T$495=3)*('CASE MASTER'!$U$2:$U$495&lt;=3)*('CASE MASTER'!$W$2:$W$495&gt;=3)*('CASE MASTER'!$V$2:$V$495&lt;=7)*('CASE MASTER'!$X$2:$X$495&gt;=7))*ROW('CASE MASTER'!$T$2:$T$495))-(ROW('CASE MASTER'!#REF!)-1))))*(INDEX('CASE MASTER'!$X$2:$X$495,(SUMPRODUCT((('CASE MASTER'!$T$2:$T$495=3)*('CASE MASTER'!$U$2:$U$495&lt;=3)*('CASE MASTER'!$W$2:$W$495&gt;=3)*('CASE MASTER'!$V$2:$V$495&lt;=7)*('CASE MASTER'!$X$2:$X$495&gt;=7))*ROW('CASE MASTER'!$T$2:$T$495))-(ROW('CASE MASTER'!#REF!)-1)))-INDEX('CASE MASTER'!$V$2:$V$495,(SUMPRODUCT((('CASE MASTER'!$T$2:$T$495=3)*('CASE MASTER'!$U$2:$U$495&lt;=3)*('CASE MASTER'!$W$2:$W$495&gt;=3)*('CASE MASTER'!$V$2:$V$495&lt;=7)*('CASE MASTER'!$X$2:$X$495&gt;=7))*ROW('CASE MASTER'!$T$2:$T$495))-(ROW('CASE MASTER'!#REF!)-1)))+1)+(7-INDEX('CASE MASTER'!$V$2:$V$495,(SUMPRODUCT((('CASE MASTER'!$T$2:$T$495=3)*('CASE MASTER'!$U$2:$U$495&lt;=3)*('CASE MASTER'!$W$2:$W$495&gt;=3)*('CASE MASTER'!$V$2:$V$495&lt;=7)*('CASE MASTER'!$X$2:$X$495&gt;=7))*ROW('CASE MASTER'!$T$2:$T$495))-(ROW('CASE MASTER'!#REF!)-1))))+1))-1)*50+1,50))&amp;"_"&amp;INDEX('CASE MASTER'!$Q$2:$Q$495,(SUMPRODUCT((('CASE MASTER'!$T$2:$T$495=3)*('CASE MASTER'!$U$2:$U$495&lt;=3)*('CASE MASTER'!$W$2:$W$495&gt;=3)*('CASE MASTER'!$V$2:$V$495&lt;=7)*('CASE MASTER'!$X$2:$X$495&gt;=7))*ROW('CASE MASTER'!$T$2:$T$495))-(ROW('CASE MASTER'!#REF!)-1))),IF(SUMPRODUCT((('CASE MASTER'!$T$2:$T$495=3)*('CASE MASTER'!$AA$2:$AA$495&lt;=3)*('CASE MASTER'!$AC$2:$AC$495&gt;=3)*('CASE MASTER'!$AB$2:$AB$495&lt;=7)*('CASE MASTER'!$AD$2:$AD$495&gt;=7))*ROW('CASE MASTER'!$T$2:$T$495))&gt;0,INDEX('CASE MASTER'!$Y$2:$Y$495,(SUMPRODUCT((('CASE MASTER'!$T$2:$T$495=3)*('CASE MASTER'!$AA$2:$AA$495&lt;=3)*('CASE MASTER'!$AC$2:$AC$495&gt;=3)*('CASE MASTER'!$AB$2:$AB$495&lt;=7)*('CASE MASTER'!$AD$2:$AD$495&gt;=7))*ROW('CASE MASTER'!$T$2:$T$495))-(ROW('CASE MASTER'!#REF!)-1)))&amp;TRIM(MID(SUBSTITUTE(SUBSTITUTE(INDEX('CASE MASTER'!$N$2:$N$495,(SUMPRODUCT((('CASE MASTER'!$T$2:$T$495=3)*('CASE MASTER'!$AA$2:$AA$495&lt;=3)*('CASE MASTER'!$AC$2:$AC$495&gt;=3)*('CASE MASTER'!$AB$2:$AB$495&lt;=7)*('CASE MASTER'!$AD$2:$AD$495&gt;=7))*ROW('CASE MASTER'!$T$2:$T$495))-(ROW('CASE MASTER'!#REF!)-1))),":",","),",",REPT(" ",50)),(((INDEX('CASE MASTER'!$Z$2:$Z$495,(SUMPRODUCT((('CASE MASTER'!$T$2:$T$495=3)*('CASE MASTER'!$AA$2:$AA$495&lt;=3)*('CASE MASTER'!$AC$2:$AC$495&gt;=3)*('CASE MASTER'!$AB$2:$AB$495&lt;=7)*('CASE MASTER'!$AD$2:$AD$495&gt;=7))*ROW('CASE MASTER'!$T$2:$T$495))-(ROW('CASE MASTER'!#REF!)-1)))+((3-INDEX('CASE MASTER'!$AA$2:$AA$495,(SUMPRODUCT((('CASE MASTER'!$T$2:$T$495=3)*('CASE MASTER'!$AA$2:$AA$495&lt;=3)*('CASE MASTER'!$AC$2:$AC$495&gt;=3)*('CASE MASTER'!$AB$2:$AB$495&lt;=7)*('CASE MASTER'!$AD$2:$AD$495&gt;=7))*ROW('CASE MASTER'!$T$2:$T$495))-(ROW('CASE MASTER'!#REF!)-1))))*(INDEX('CASE MASTER'!$AD$2:$AD$495,(SUMPRODUCT((('CASE MASTER'!$T$2:$T$495=3)*('CASE MASTER'!$AA$2:$AA$495&lt;=3)*('CASE MASTER'!$AC$2:$AC$495&gt;=3)*('CASE MASTER'!$AB$2:$AB$495&lt;=7)*('CASE MASTER'!$AD$2:$AD$495&gt;=7))*ROW('CASE MASTER'!$T$2:$T$495))-(ROW('CASE MASTER'!#REF!)-1)))-INDEX('CASE MASTER'!$AB$2:$AB$495,(SUMPRODUCT((('CASE MASTER'!$T$2:$T$495=3)*('CASE MASTER'!$AA$2:$AA$495&lt;=3)*('CASE MASTER'!$AC$2:$AC$495&gt;=3)*('CASE MASTER'!$AB$2:$AB$495&lt;=7)*('CASE MASTER'!$AD$2:$AD$495&gt;=7))*ROW('CASE MASTER'!$T$2:$T$495))-(ROW('CASE MASTER'!#REF!)-1)))+1)+(7-INDEX('CASE MASTER'!$AB$2:$AB$495,(SUMPRODUCT((('CASE MASTER'!$T$2:$T$495=3)*('CASE MASTER'!$AA$2:$AA$495&lt;=3)*('CASE MASTER'!$AC$2:$AC$495&gt;=3)*('CASE MASTER'!$AB$2:$AB$495&lt;=7)*('CASE MASTER'!$AD$2:$AD$495&gt;=7))*ROW('CASE MASTER'!$T$2:$T$495))-(ROW('CASE MASTER'!#REF!)-1))))+1)))-1)*50+1,50))&amp;"_"&amp;INDEX('CASE MASTER'!$Q$2:$Q$495,(SUMPRODUCT((('CASE MASTER'!$T$2:$T$495=3)*('CASE MASTER'!$AA$2:$AA$495&lt;=3)*('CASE MASTER'!$AC$2:$AC$495&gt;=3)*('CASE MASTER'!$AB$2:$AB$495&lt;=7)*('CASE MASTER'!$AD$2:$AD$495&gt;=7))*ROW('CASE MASTER'!$T$2:$T$495))-(ROW('CASE MASTER'!#REF!)-1))),"")),"")</f>
        <v/>
      </c>
      <c r="I33" s="10" t="str">
        <f>IFERROR(IF(SUMPRODUCT((('CASE MASTER'!$T$2:$T$495=3)*('CASE MASTER'!$U$2:$U$495&lt;=3)*('CASE MASTER'!$W$2:$W$495&gt;=3)*('CASE MASTER'!$V$2:$V$495&lt;=8)*('CASE MASTER'!$X$2:$X$495&gt;=8))*ROW('CASE MASTER'!$T$2:$T$495))&gt;0,INDEX('CASE MASTER'!$Y$2:$Y$495,(SUMPRODUCT((('CASE MASTER'!$T$2:$T$495=3)*('CASE MASTER'!$U$2:$U$495&lt;=3)*('CASE MASTER'!$W$2:$W$495&gt;=3)*('CASE MASTER'!$V$2:$V$495&lt;=8)*('CASE MASTER'!$X$2:$X$495&gt;=8))*ROW('CASE MASTER'!$T$2:$T$495))-(ROW('CASE MASTER'!#REF!)-1)))&amp;TRIM(MID(SUBSTITUTE(SUBSTITUTE(INDEX('CASE MASTER'!$N$2:$N$495,(SUMPRODUCT((('CASE MASTER'!$T$2:$T$495=3)*('CASE MASTER'!$U$2:$U$495&lt;=3)*('CASE MASTER'!$W$2:$W$495&gt;=3)*('CASE MASTER'!$V$2:$V$495&lt;=8)*('CASE MASTER'!$X$2:$X$495&gt;=8))*ROW('CASE MASTER'!$T$2:$T$495))-(ROW('CASE MASTER'!#REF!)-1))),":",","),",",REPT(" ",50)),((((3-INDEX('CASE MASTER'!$U$2:$U$495,(SUMPRODUCT((('CASE MASTER'!$T$2:$T$495=3)*('CASE MASTER'!$U$2:$U$495&lt;=3)*('CASE MASTER'!$W$2:$W$495&gt;=3)*('CASE MASTER'!$V$2:$V$495&lt;=8)*('CASE MASTER'!$X$2:$X$495&gt;=8))*ROW('CASE MASTER'!$T$2:$T$495))-(ROW('CASE MASTER'!#REF!)-1))))*(INDEX('CASE MASTER'!$X$2:$X$495,(SUMPRODUCT((('CASE MASTER'!$T$2:$T$495=3)*('CASE MASTER'!$U$2:$U$495&lt;=3)*('CASE MASTER'!$W$2:$W$495&gt;=3)*('CASE MASTER'!$V$2:$V$495&lt;=8)*('CASE MASTER'!$X$2:$X$495&gt;=8))*ROW('CASE MASTER'!$T$2:$T$495))-(ROW('CASE MASTER'!#REF!)-1)))-INDEX('CASE MASTER'!$V$2:$V$495,(SUMPRODUCT((('CASE MASTER'!$T$2:$T$495=3)*('CASE MASTER'!$U$2:$U$495&lt;=3)*('CASE MASTER'!$W$2:$W$495&gt;=3)*('CASE MASTER'!$V$2:$V$495&lt;=8)*('CASE MASTER'!$X$2:$X$495&gt;=8))*ROW('CASE MASTER'!$T$2:$T$495))-(ROW('CASE MASTER'!#REF!)-1)))+1)+(8-INDEX('CASE MASTER'!$V$2:$V$495,(SUMPRODUCT((('CASE MASTER'!$T$2:$T$495=3)*('CASE MASTER'!$U$2:$U$495&lt;=3)*('CASE MASTER'!$W$2:$W$495&gt;=3)*('CASE MASTER'!$V$2:$V$495&lt;=8)*('CASE MASTER'!$X$2:$X$495&gt;=8))*ROW('CASE MASTER'!$T$2:$T$495))-(ROW('CASE MASTER'!#REF!)-1))))+1))-1)*50+1,50))&amp;"_"&amp;INDEX('CASE MASTER'!$Q$2:$Q$495,(SUMPRODUCT((('CASE MASTER'!$T$2:$T$495=3)*('CASE MASTER'!$U$2:$U$495&lt;=3)*('CASE MASTER'!$W$2:$W$495&gt;=3)*('CASE MASTER'!$V$2:$V$495&lt;=8)*('CASE MASTER'!$X$2:$X$495&gt;=8))*ROW('CASE MASTER'!$T$2:$T$495))-(ROW('CASE MASTER'!#REF!)-1))),IF(SUMPRODUCT((('CASE MASTER'!$T$2:$T$495=3)*('CASE MASTER'!$AA$2:$AA$495&lt;=3)*('CASE MASTER'!$AC$2:$AC$495&gt;=3)*('CASE MASTER'!$AB$2:$AB$495&lt;=8)*('CASE MASTER'!$AD$2:$AD$495&gt;=8))*ROW('CASE MASTER'!$T$2:$T$495))&gt;0,INDEX('CASE MASTER'!$Y$2:$Y$495,(SUMPRODUCT((('CASE MASTER'!$T$2:$T$495=3)*('CASE MASTER'!$AA$2:$AA$495&lt;=3)*('CASE MASTER'!$AC$2:$AC$495&gt;=3)*('CASE MASTER'!$AB$2:$AB$495&lt;=8)*('CASE MASTER'!$AD$2:$AD$495&gt;=8))*ROW('CASE MASTER'!$T$2:$T$495))-(ROW('CASE MASTER'!#REF!)-1)))&amp;TRIM(MID(SUBSTITUTE(SUBSTITUTE(INDEX('CASE MASTER'!$N$2:$N$495,(SUMPRODUCT((('CASE MASTER'!$T$2:$T$495=3)*('CASE MASTER'!$AA$2:$AA$495&lt;=3)*('CASE MASTER'!$AC$2:$AC$495&gt;=3)*('CASE MASTER'!$AB$2:$AB$495&lt;=8)*('CASE MASTER'!$AD$2:$AD$495&gt;=8))*ROW('CASE MASTER'!$T$2:$T$495))-(ROW('CASE MASTER'!#REF!)-1))),":",","),",",REPT(" ",50)),(((INDEX('CASE MASTER'!$Z$2:$Z$495,(SUMPRODUCT((('CASE MASTER'!$T$2:$T$495=3)*('CASE MASTER'!$AA$2:$AA$495&lt;=3)*('CASE MASTER'!$AC$2:$AC$495&gt;=3)*('CASE MASTER'!$AB$2:$AB$495&lt;=8)*('CASE MASTER'!$AD$2:$AD$495&gt;=8))*ROW('CASE MASTER'!$T$2:$T$495))-(ROW('CASE MASTER'!#REF!)-1)))+((3-INDEX('CASE MASTER'!$AA$2:$AA$495,(SUMPRODUCT((('CASE MASTER'!$T$2:$T$495=3)*('CASE MASTER'!$AA$2:$AA$495&lt;=3)*('CASE MASTER'!$AC$2:$AC$495&gt;=3)*('CASE MASTER'!$AB$2:$AB$495&lt;=8)*('CASE MASTER'!$AD$2:$AD$495&gt;=8))*ROW('CASE MASTER'!$T$2:$T$495))-(ROW('CASE MASTER'!#REF!)-1))))*(INDEX('CASE MASTER'!$AD$2:$AD$495,(SUMPRODUCT((('CASE MASTER'!$T$2:$T$495=3)*('CASE MASTER'!$AA$2:$AA$495&lt;=3)*('CASE MASTER'!$AC$2:$AC$495&gt;=3)*('CASE MASTER'!$AB$2:$AB$495&lt;=8)*('CASE MASTER'!$AD$2:$AD$495&gt;=8))*ROW('CASE MASTER'!$T$2:$T$495))-(ROW('CASE MASTER'!#REF!)-1)))-INDEX('CASE MASTER'!$AB$2:$AB$495,(SUMPRODUCT((('CASE MASTER'!$T$2:$T$495=3)*('CASE MASTER'!$AA$2:$AA$495&lt;=3)*('CASE MASTER'!$AC$2:$AC$495&gt;=3)*('CASE MASTER'!$AB$2:$AB$495&lt;=8)*('CASE MASTER'!$AD$2:$AD$495&gt;=8))*ROW('CASE MASTER'!$T$2:$T$495))-(ROW('CASE MASTER'!#REF!)-1)))+1)+(8-INDEX('CASE MASTER'!$AB$2:$AB$495,(SUMPRODUCT((('CASE MASTER'!$T$2:$T$495=3)*('CASE MASTER'!$AA$2:$AA$495&lt;=3)*('CASE MASTER'!$AC$2:$AC$495&gt;=3)*('CASE MASTER'!$AB$2:$AB$495&lt;=8)*('CASE MASTER'!$AD$2:$AD$495&gt;=8))*ROW('CASE MASTER'!$T$2:$T$495))-(ROW('CASE MASTER'!#REF!)-1))))+1)))-1)*50+1,50))&amp;"_"&amp;INDEX('CASE MASTER'!$Q$2:$Q$495,(SUMPRODUCT((('CASE MASTER'!$T$2:$T$495=3)*('CASE MASTER'!$AA$2:$AA$495&lt;=3)*('CASE MASTER'!$AC$2:$AC$495&gt;=3)*('CASE MASTER'!$AB$2:$AB$495&lt;=8)*('CASE MASTER'!$AD$2:$AD$495&gt;=8))*ROW('CASE MASTER'!$T$2:$T$495))-(ROW('CASE MASTER'!#REF!)-1))),"")),"")</f>
        <v/>
      </c>
      <c r="J33" s="10" t="str">
        <f>IFERROR(IF(SUMPRODUCT((('CASE MASTER'!$T$2:$T$495=3)*('CASE MASTER'!$U$2:$U$495&lt;=3)*('CASE MASTER'!$W$2:$W$495&gt;=3)*('CASE MASTER'!$V$2:$V$495&lt;=9)*('CASE MASTER'!$X$2:$X$495&gt;=9))*ROW('CASE MASTER'!$T$2:$T$495))&gt;0,INDEX('CASE MASTER'!$Y$2:$Y$495,(SUMPRODUCT((('CASE MASTER'!$T$2:$T$495=3)*('CASE MASTER'!$U$2:$U$495&lt;=3)*('CASE MASTER'!$W$2:$W$495&gt;=3)*('CASE MASTER'!$V$2:$V$495&lt;=9)*('CASE MASTER'!$X$2:$X$495&gt;=9))*ROW('CASE MASTER'!$T$2:$T$495))-(ROW('CASE MASTER'!#REF!)-1)))&amp;TRIM(MID(SUBSTITUTE(SUBSTITUTE(INDEX('CASE MASTER'!$N$2:$N$495,(SUMPRODUCT((('CASE MASTER'!$T$2:$T$495=3)*('CASE MASTER'!$U$2:$U$495&lt;=3)*('CASE MASTER'!$W$2:$W$495&gt;=3)*('CASE MASTER'!$V$2:$V$495&lt;=9)*('CASE MASTER'!$X$2:$X$495&gt;=9))*ROW('CASE MASTER'!$T$2:$T$495))-(ROW('CASE MASTER'!#REF!)-1))),":",","),",",REPT(" ",50)),((((3-INDEX('CASE MASTER'!$U$2:$U$495,(SUMPRODUCT((('CASE MASTER'!$T$2:$T$495=3)*('CASE MASTER'!$U$2:$U$495&lt;=3)*('CASE MASTER'!$W$2:$W$495&gt;=3)*('CASE MASTER'!$V$2:$V$495&lt;=9)*('CASE MASTER'!$X$2:$X$495&gt;=9))*ROW('CASE MASTER'!$T$2:$T$495))-(ROW('CASE MASTER'!#REF!)-1))))*(INDEX('CASE MASTER'!$X$2:$X$495,(SUMPRODUCT((('CASE MASTER'!$T$2:$T$495=3)*('CASE MASTER'!$U$2:$U$495&lt;=3)*('CASE MASTER'!$W$2:$W$495&gt;=3)*('CASE MASTER'!$V$2:$V$495&lt;=9)*('CASE MASTER'!$X$2:$X$495&gt;=9))*ROW('CASE MASTER'!$T$2:$T$495))-(ROW('CASE MASTER'!#REF!)-1)))-INDEX('CASE MASTER'!$V$2:$V$495,(SUMPRODUCT((('CASE MASTER'!$T$2:$T$495=3)*('CASE MASTER'!$U$2:$U$495&lt;=3)*('CASE MASTER'!$W$2:$W$495&gt;=3)*('CASE MASTER'!$V$2:$V$495&lt;=9)*('CASE MASTER'!$X$2:$X$495&gt;=9))*ROW('CASE MASTER'!$T$2:$T$495))-(ROW('CASE MASTER'!#REF!)-1)))+1)+(9-INDEX('CASE MASTER'!$V$2:$V$495,(SUMPRODUCT((('CASE MASTER'!$T$2:$T$495=3)*('CASE MASTER'!$U$2:$U$495&lt;=3)*('CASE MASTER'!$W$2:$W$495&gt;=3)*('CASE MASTER'!$V$2:$V$495&lt;=9)*('CASE MASTER'!$X$2:$X$495&gt;=9))*ROW('CASE MASTER'!$T$2:$T$495))-(ROW('CASE MASTER'!#REF!)-1))))+1))-1)*50+1,50))&amp;"_"&amp;INDEX('CASE MASTER'!$Q$2:$Q$495,(SUMPRODUCT((('CASE MASTER'!$T$2:$T$495=3)*('CASE MASTER'!$U$2:$U$495&lt;=3)*('CASE MASTER'!$W$2:$W$495&gt;=3)*('CASE MASTER'!$V$2:$V$495&lt;=9)*('CASE MASTER'!$X$2:$X$495&gt;=9))*ROW('CASE MASTER'!$T$2:$T$495))-(ROW('CASE MASTER'!#REF!)-1))),IF(SUMPRODUCT((('CASE MASTER'!$T$2:$T$495=3)*('CASE MASTER'!$AA$2:$AA$495&lt;=3)*('CASE MASTER'!$AC$2:$AC$495&gt;=3)*('CASE MASTER'!$AB$2:$AB$495&lt;=9)*('CASE MASTER'!$AD$2:$AD$495&gt;=9))*ROW('CASE MASTER'!$T$2:$T$495))&gt;0,INDEX('CASE MASTER'!$Y$2:$Y$495,(SUMPRODUCT((('CASE MASTER'!$T$2:$T$495=3)*('CASE MASTER'!$AA$2:$AA$495&lt;=3)*('CASE MASTER'!$AC$2:$AC$495&gt;=3)*('CASE MASTER'!$AB$2:$AB$495&lt;=9)*('CASE MASTER'!$AD$2:$AD$495&gt;=9))*ROW('CASE MASTER'!$T$2:$T$495))-(ROW('CASE MASTER'!#REF!)-1)))&amp;TRIM(MID(SUBSTITUTE(SUBSTITUTE(INDEX('CASE MASTER'!$N$2:$N$495,(SUMPRODUCT((('CASE MASTER'!$T$2:$T$495=3)*('CASE MASTER'!$AA$2:$AA$495&lt;=3)*('CASE MASTER'!$AC$2:$AC$495&gt;=3)*('CASE MASTER'!$AB$2:$AB$495&lt;=9)*('CASE MASTER'!$AD$2:$AD$495&gt;=9))*ROW('CASE MASTER'!$T$2:$T$495))-(ROW('CASE MASTER'!#REF!)-1))),":",","),",",REPT(" ",50)),(((INDEX('CASE MASTER'!$Z$2:$Z$495,(SUMPRODUCT((('CASE MASTER'!$T$2:$T$495=3)*('CASE MASTER'!$AA$2:$AA$495&lt;=3)*('CASE MASTER'!$AC$2:$AC$495&gt;=3)*('CASE MASTER'!$AB$2:$AB$495&lt;=9)*('CASE MASTER'!$AD$2:$AD$495&gt;=9))*ROW('CASE MASTER'!$T$2:$T$495))-(ROW('CASE MASTER'!#REF!)-1)))+((3-INDEX('CASE MASTER'!$AA$2:$AA$495,(SUMPRODUCT((('CASE MASTER'!$T$2:$T$495=3)*('CASE MASTER'!$AA$2:$AA$495&lt;=3)*('CASE MASTER'!$AC$2:$AC$495&gt;=3)*('CASE MASTER'!$AB$2:$AB$495&lt;=9)*('CASE MASTER'!$AD$2:$AD$495&gt;=9))*ROW('CASE MASTER'!$T$2:$T$495))-(ROW('CASE MASTER'!#REF!)-1))))*(INDEX('CASE MASTER'!$AD$2:$AD$495,(SUMPRODUCT((('CASE MASTER'!$T$2:$T$495=3)*('CASE MASTER'!$AA$2:$AA$495&lt;=3)*('CASE MASTER'!$AC$2:$AC$495&gt;=3)*('CASE MASTER'!$AB$2:$AB$495&lt;=9)*('CASE MASTER'!$AD$2:$AD$495&gt;=9))*ROW('CASE MASTER'!$T$2:$T$495))-(ROW('CASE MASTER'!#REF!)-1)))-INDEX('CASE MASTER'!$AB$2:$AB$495,(SUMPRODUCT((('CASE MASTER'!$T$2:$T$495=3)*('CASE MASTER'!$AA$2:$AA$495&lt;=3)*('CASE MASTER'!$AC$2:$AC$495&gt;=3)*('CASE MASTER'!$AB$2:$AB$495&lt;=9)*('CASE MASTER'!$AD$2:$AD$495&gt;=9))*ROW('CASE MASTER'!$T$2:$T$495))-(ROW('CASE MASTER'!#REF!)-1)))+1)+(9-INDEX('CASE MASTER'!$AB$2:$AB$495,(SUMPRODUCT((('CASE MASTER'!$T$2:$T$495=3)*('CASE MASTER'!$AA$2:$AA$495&lt;=3)*('CASE MASTER'!$AC$2:$AC$495&gt;=3)*('CASE MASTER'!$AB$2:$AB$495&lt;=9)*('CASE MASTER'!$AD$2:$AD$495&gt;=9))*ROW('CASE MASTER'!$T$2:$T$495))-(ROW('CASE MASTER'!#REF!)-1))))+1)))-1)*50+1,50))&amp;"_"&amp;INDEX('CASE MASTER'!$Q$2:$Q$495,(SUMPRODUCT((('CASE MASTER'!$T$2:$T$495=3)*('CASE MASTER'!$AA$2:$AA$495&lt;=3)*('CASE MASTER'!$AC$2:$AC$495&gt;=3)*('CASE MASTER'!$AB$2:$AB$495&lt;=9)*('CASE MASTER'!$AD$2:$AD$495&gt;=9))*ROW('CASE MASTER'!$T$2:$T$495))-(ROW('CASE MASTER'!#REF!)-1))),"")),"")</f>
        <v/>
      </c>
      <c r="K33" s="10" t="str">
        <f>IFERROR(IF(SUMPRODUCT((('CASE MASTER'!$T$2:$T$495=3)*('CASE MASTER'!$U$2:$U$495&lt;=3)*('CASE MASTER'!$W$2:$W$495&gt;=3)*('CASE MASTER'!$V$2:$V$495&lt;=10)*('CASE MASTER'!$X$2:$X$495&gt;=10))*ROW('CASE MASTER'!$T$2:$T$495))&gt;0,INDEX('CASE MASTER'!$Y$2:$Y$495,(SUMPRODUCT((('CASE MASTER'!$T$2:$T$495=3)*('CASE MASTER'!$U$2:$U$495&lt;=3)*('CASE MASTER'!$W$2:$W$495&gt;=3)*('CASE MASTER'!$V$2:$V$495&lt;=10)*('CASE MASTER'!$X$2:$X$495&gt;=10))*ROW('CASE MASTER'!$T$2:$T$495))-(ROW('CASE MASTER'!#REF!)-1)))&amp;TRIM(MID(SUBSTITUTE(SUBSTITUTE(INDEX('CASE MASTER'!$N$2:$N$495,(SUMPRODUCT((('CASE MASTER'!$T$2:$T$495=3)*('CASE MASTER'!$U$2:$U$495&lt;=3)*('CASE MASTER'!$W$2:$W$495&gt;=3)*('CASE MASTER'!$V$2:$V$495&lt;=10)*('CASE MASTER'!$X$2:$X$495&gt;=10))*ROW('CASE MASTER'!$T$2:$T$495))-(ROW('CASE MASTER'!#REF!)-1))),":",","),",",REPT(" ",50)),((((3-INDEX('CASE MASTER'!$U$2:$U$495,(SUMPRODUCT((('CASE MASTER'!$T$2:$T$495=3)*('CASE MASTER'!$U$2:$U$495&lt;=3)*('CASE MASTER'!$W$2:$W$495&gt;=3)*('CASE MASTER'!$V$2:$V$495&lt;=10)*('CASE MASTER'!$X$2:$X$495&gt;=10))*ROW('CASE MASTER'!$T$2:$T$495))-(ROW('CASE MASTER'!#REF!)-1))))*(INDEX('CASE MASTER'!$X$2:$X$495,(SUMPRODUCT((('CASE MASTER'!$T$2:$T$495=3)*('CASE MASTER'!$U$2:$U$495&lt;=3)*('CASE MASTER'!$W$2:$W$495&gt;=3)*('CASE MASTER'!$V$2:$V$495&lt;=10)*('CASE MASTER'!$X$2:$X$495&gt;=10))*ROW('CASE MASTER'!$T$2:$T$495))-(ROW('CASE MASTER'!#REF!)-1)))-INDEX('CASE MASTER'!$V$2:$V$495,(SUMPRODUCT((('CASE MASTER'!$T$2:$T$495=3)*('CASE MASTER'!$U$2:$U$495&lt;=3)*('CASE MASTER'!$W$2:$W$495&gt;=3)*('CASE MASTER'!$V$2:$V$495&lt;=10)*('CASE MASTER'!$X$2:$X$495&gt;=10))*ROW('CASE MASTER'!$T$2:$T$495))-(ROW('CASE MASTER'!#REF!)-1)))+1)+(10-INDEX('CASE MASTER'!$V$2:$V$495,(SUMPRODUCT((('CASE MASTER'!$T$2:$T$495=3)*('CASE MASTER'!$U$2:$U$495&lt;=3)*('CASE MASTER'!$W$2:$W$495&gt;=3)*('CASE MASTER'!$V$2:$V$495&lt;=10)*('CASE MASTER'!$X$2:$X$495&gt;=10))*ROW('CASE MASTER'!$T$2:$T$495))-(ROW('CASE MASTER'!#REF!)-1))))+1))-1)*50+1,50))&amp;"_"&amp;INDEX('CASE MASTER'!$Q$2:$Q$495,(SUMPRODUCT((('CASE MASTER'!$T$2:$T$495=3)*('CASE MASTER'!$U$2:$U$495&lt;=3)*('CASE MASTER'!$W$2:$W$495&gt;=3)*('CASE MASTER'!$V$2:$V$495&lt;=10)*('CASE MASTER'!$X$2:$X$495&gt;=10))*ROW('CASE MASTER'!$T$2:$T$495))-(ROW('CASE MASTER'!#REF!)-1))),IF(SUMPRODUCT((('CASE MASTER'!$T$2:$T$495=3)*('CASE MASTER'!$AA$2:$AA$495&lt;=3)*('CASE MASTER'!$AC$2:$AC$495&gt;=3)*('CASE MASTER'!$AB$2:$AB$495&lt;=10)*('CASE MASTER'!$AD$2:$AD$495&gt;=10))*ROW('CASE MASTER'!$T$2:$T$495))&gt;0,INDEX('CASE MASTER'!$Y$2:$Y$495,(SUMPRODUCT((('CASE MASTER'!$T$2:$T$495=3)*('CASE MASTER'!$AA$2:$AA$495&lt;=3)*('CASE MASTER'!$AC$2:$AC$495&gt;=3)*('CASE MASTER'!$AB$2:$AB$495&lt;=10)*('CASE MASTER'!$AD$2:$AD$495&gt;=10))*ROW('CASE MASTER'!$T$2:$T$495))-(ROW('CASE MASTER'!#REF!)-1)))&amp;TRIM(MID(SUBSTITUTE(SUBSTITUTE(INDEX('CASE MASTER'!$N$2:$N$495,(SUMPRODUCT((('CASE MASTER'!$T$2:$T$495=3)*('CASE MASTER'!$AA$2:$AA$495&lt;=3)*('CASE MASTER'!$AC$2:$AC$495&gt;=3)*('CASE MASTER'!$AB$2:$AB$495&lt;=10)*('CASE MASTER'!$AD$2:$AD$495&gt;=10))*ROW('CASE MASTER'!$T$2:$T$495))-(ROW('CASE MASTER'!#REF!)-1))),":",","),",",REPT(" ",50)),(((INDEX('CASE MASTER'!$Z$2:$Z$495,(SUMPRODUCT((('CASE MASTER'!$T$2:$T$495=3)*('CASE MASTER'!$AA$2:$AA$495&lt;=3)*('CASE MASTER'!$AC$2:$AC$495&gt;=3)*('CASE MASTER'!$AB$2:$AB$495&lt;=10)*('CASE MASTER'!$AD$2:$AD$495&gt;=10))*ROW('CASE MASTER'!$T$2:$T$495))-(ROW('CASE MASTER'!#REF!)-1)))+((3-INDEX('CASE MASTER'!$AA$2:$AA$495,(SUMPRODUCT((('CASE MASTER'!$T$2:$T$495=3)*('CASE MASTER'!$AA$2:$AA$495&lt;=3)*('CASE MASTER'!$AC$2:$AC$495&gt;=3)*('CASE MASTER'!$AB$2:$AB$495&lt;=10)*('CASE MASTER'!$AD$2:$AD$495&gt;=10))*ROW('CASE MASTER'!$T$2:$T$495))-(ROW('CASE MASTER'!#REF!)-1))))*(INDEX('CASE MASTER'!$AD$2:$AD$495,(SUMPRODUCT((('CASE MASTER'!$T$2:$T$495=3)*('CASE MASTER'!$AA$2:$AA$495&lt;=3)*('CASE MASTER'!$AC$2:$AC$495&gt;=3)*('CASE MASTER'!$AB$2:$AB$495&lt;=10)*('CASE MASTER'!$AD$2:$AD$495&gt;=10))*ROW('CASE MASTER'!$T$2:$T$495))-(ROW('CASE MASTER'!#REF!)-1)))-INDEX('CASE MASTER'!$AB$2:$AB$495,(SUMPRODUCT((('CASE MASTER'!$T$2:$T$495=3)*('CASE MASTER'!$AA$2:$AA$495&lt;=3)*('CASE MASTER'!$AC$2:$AC$495&gt;=3)*('CASE MASTER'!$AB$2:$AB$495&lt;=10)*('CASE MASTER'!$AD$2:$AD$495&gt;=10))*ROW('CASE MASTER'!$T$2:$T$495))-(ROW('CASE MASTER'!#REF!)-1)))+1)+(10-INDEX('CASE MASTER'!$AB$2:$AB$495,(SUMPRODUCT((('CASE MASTER'!$T$2:$T$495=3)*('CASE MASTER'!$AA$2:$AA$495&lt;=3)*('CASE MASTER'!$AC$2:$AC$495&gt;=3)*('CASE MASTER'!$AB$2:$AB$495&lt;=10)*('CASE MASTER'!$AD$2:$AD$495&gt;=10))*ROW('CASE MASTER'!$T$2:$T$495))-(ROW('CASE MASTER'!#REF!)-1))))+1)))-1)*50+1,50))&amp;"_"&amp;INDEX('CASE MASTER'!$Q$2:$Q$495,(SUMPRODUCT((('CASE MASTER'!$T$2:$T$495=3)*('CASE MASTER'!$AA$2:$AA$495&lt;=3)*('CASE MASTER'!$AC$2:$AC$495&gt;=3)*('CASE MASTER'!$AB$2:$AB$495&lt;=10)*('CASE MASTER'!$AD$2:$AD$495&gt;=10))*ROW('CASE MASTER'!$T$2:$T$495))-(ROW('CASE MASTER'!#REF!)-1))),"")),"")</f>
        <v/>
      </c>
    </row>
    <row r="34" spans="1:11" ht="15" customHeight="1" x14ac:dyDescent="0.35">
      <c r="A34" s="8" t="s">
        <v>31</v>
      </c>
      <c r="B34" s="10" t="str">
        <f>IFERROR(IF(SUMPRODUCT((('CASE MASTER'!$T$2:$T$495=3)*('CASE MASTER'!$U$2:$U$495&lt;=4)*('CASE MASTER'!$W$2:$W$495&gt;=4)*('CASE MASTER'!$V$2:$V$495&lt;=1)*('CASE MASTER'!$X$2:$X$495&gt;=1))*ROW('CASE MASTER'!$T$2:$T$495))&gt;0,INDEX('CASE MASTER'!$Y$2:$Y$495,(SUMPRODUCT((('CASE MASTER'!$T$2:$T$495=3)*('CASE MASTER'!$U$2:$U$495&lt;=4)*('CASE MASTER'!$W$2:$W$495&gt;=4)*('CASE MASTER'!$V$2:$V$495&lt;=1)*('CASE MASTER'!$X$2:$X$495&gt;=1))*ROW('CASE MASTER'!$T$2:$T$495))-(ROW('CASE MASTER'!#REF!)-1)))&amp;TRIM(MID(SUBSTITUTE(SUBSTITUTE(INDEX('CASE MASTER'!$N$2:$N$495,(SUMPRODUCT((('CASE MASTER'!$T$2:$T$495=3)*('CASE MASTER'!$U$2:$U$495&lt;=4)*('CASE MASTER'!$W$2:$W$495&gt;=4)*('CASE MASTER'!$V$2:$V$495&lt;=1)*('CASE MASTER'!$X$2:$X$495&gt;=1))*ROW('CASE MASTER'!$T$2:$T$495))-(ROW('CASE MASTER'!#REF!)-1))),":",","),",",REPT(" ",50)),((((4-INDEX('CASE MASTER'!$U$2:$U$495,(SUMPRODUCT((('CASE MASTER'!$T$2:$T$495=3)*('CASE MASTER'!$U$2:$U$495&lt;=4)*('CASE MASTER'!$W$2:$W$495&gt;=4)*('CASE MASTER'!$V$2:$V$495&lt;=1)*('CASE MASTER'!$X$2:$X$495&gt;=1))*ROW('CASE MASTER'!$T$2:$T$495))-(ROW('CASE MASTER'!#REF!)-1))))*(INDEX('CASE MASTER'!$X$2:$X$495,(SUMPRODUCT((('CASE MASTER'!$T$2:$T$495=3)*('CASE MASTER'!$U$2:$U$495&lt;=4)*('CASE MASTER'!$W$2:$W$495&gt;=4)*('CASE MASTER'!$V$2:$V$495&lt;=1)*('CASE MASTER'!$X$2:$X$495&gt;=1))*ROW('CASE MASTER'!$T$2:$T$495))-(ROW('CASE MASTER'!#REF!)-1)))-INDEX('CASE MASTER'!$V$2:$V$495,(SUMPRODUCT((('CASE MASTER'!$T$2:$T$495=3)*('CASE MASTER'!$U$2:$U$495&lt;=4)*('CASE MASTER'!$W$2:$W$495&gt;=4)*('CASE MASTER'!$V$2:$V$495&lt;=1)*('CASE MASTER'!$X$2:$X$495&gt;=1))*ROW('CASE MASTER'!$T$2:$T$495))-(ROW('CASE MASTER'!#REF!)-1)))+1)+(1-INDEX('CASE MASTER'!$V$2:$V$495,(SUMPRODUCT((('CASE MASTER'!$T$2:$T$495=3)*('CASE MASTER'!$U$2:$U$495&lt;=4)*('CASE MASTER'!$W$2:$W$495&gt;=4)*('CASE MASTER'!$V$2:$V$495&lt;=1)*('CASE MASTER'!$X$2:$X$495&gt;=1))*ROW('CASE MASTER'!$T$2:$T$495))-(ROW('CASE MASTER'!#REF!)-1))))+1))-1)*50+1,50))&amp;"_"&amp;INDEX('CASE MASTER'!$Q$2:$Q$495,(SUMPRODUCT((('CASE MASTER'!$T$2:$T$495=3)*('CASE MASTER'!$U$2:$U$495&lt;=4)*('CASE MASTER'!$W$2:$W$495&gt;=4)*('CASE MASTER'!$V$2:$V$495&lt;=1)*('CASE MASTER'!$X$2:$X$495&gt;=1))*ROW('CASE MASTER'!$T$2:$T$495))-(ROW('CASE MASTER'!#REF!)-1))),IF(SUMPRODUCT((('CASE MASTER'!$T$2:$T$495=3)*('CASE MASTER'!$AA$2:$AA$495&lt;=4)*('CASE MASTER'!$AC$2:$AC$495&gt;=4)*('CASE MASTER'!$AB$2:$AB$495&lt;=1)*('CASE MASTER'!$AD$2:$AD$495&gt;=1))*ROW('CASE MASTER'!$T$2:$T$495))&gt;0,INDEX('CASE MASTER'!$Y$2:$Y$495,(SUMPRODUCT((('CASE MASTER'!$T$2:$T$495=3)*('CASE MASTER'!$AA$2:$AA$495&lt;=4)*('CASE MASTER'!$AC$2:$AC$495&gt;=4)*('CASE MASTER'!$AB$2:$AB$495&lt;=1)*('CASE MASTER'!$AD$2:$AD$495&gt;=1))*ROW('CASE MASTER'!$T$2:$T$495))-(ROW('CASE MASTER'!#REF!)-1)))&amp;TRIM(MID(SUBSTITUTE(SUBSTITUTE(INDEX('CASE MASTER'!$N$2:$N$495,(SUMPRODUCT((('CASE MASTER'!$T$2:$T$495=3)*('CASE MASTER'!$AA$2:$AA$495&lt;=4)*('CASE MASTER'!$AC$2:$AC$495&gt;=4)*('CASE MASTER'!$AB$2:$AB$495&lt;=1)*('CASE MASTER'!$AD$2:$AD$495&gt;=1))*ROW('CASE MASTER'!$T$2:$T$495))-(ROW('CASE MASTER'!#REF!)-1))),":",","),",",REPT(" ",50)),(((INDEX('CASE MASTER'!$Z$2:$Z$495,(SUMPRODUCT((('CASE MASTER'!$T$2:$T$495=3)*('CASE MASTER'!$AA$2:$AA$495&lt;=4)*('CASE MASTER'!$AC$2:$AC$495&gt;=4)*('CASE MASTER'!$AB$2:$AB$495&lt;=1)*('CASE MASTER'!$AD$2:$AD$495&gt;=1))*ROW('CASE MASTER'!$T$2:$T$495))-(ROW('CASE MASTER'!#REF!)-1)))+((4-INDEX('CASE MASTER'!$AA$2:$AA$495,(SUMPRODUCT((('CASE MASTER'!$T$2:$T$495=3)*('CASE MASTER'!$AA$2:$AA$495&lt;=4)*('CASE MASTER'!$AC$2:$AC$495&gt;=4)*('CASE MASTER'!$AB$2:$AB$495&lt;=1)*('CASE MASTER'!$AD$2:$AD$495&gt;=1))*ROW('CASE MASTER'!$T$2:$T$495))-(ROW('CASE MASTER'!#REF!)-1))))*(INDEX('CASE MASTER'!$AD$2:$AD$495,(SUMPRODUCT((('CASE MASTER'!$T$2:$T$495=3)*('CASE MASTER'!$AA$2:$AA$495&lt;=4)*('CASE MASTER'!$AC$2:$AC$495&gt;=4)*('CASE MASTER'!$AB$2:$AB$495&lt;=1)*('CASE MASTER'!$AD$2:$AD$495&gt;=1))*ROW('CASE MASTER'!$T$2:$T$495))-(ROW('CASE MASTER'!#REF!)-1)))-INDEX('CASE MASTER'!$AB$2:$AB$495,(SUMPRODUCT((('CASE MASTER'!$T$2:$T$495=3)*('CASE MASTER'!$AA$2:$AA$495&lt;=4)*('CASE MASTER'!$AC$2:$AC$495&gt;=4)*('CASE MASTER'!$AB$2:$AB$495&lt;=1)*('CASE MASTER'!$AD$2:$AD$495&gt;=1))*ROW('CASE MASTER'!$T$2:$T$495))-(ROW('CASE MASTER'!#REF!)-1)))+1)+(1-INDEX('CASE MASTER'!$AB$2:$AB$495,(SUMPRODUCT((('CASE MASTER'!$T$2:$T$495=3)*('CASE MASTER'!$AA$2:$AA$495&lt;=4)*('CASE MASTER'!$AC$2:$AC$495&gt;=4)*('CASE MASTER'!$AB$2:$AB$495&lt;=1)*('CASE MASTER'!$AD$2:$AD$495&gt;=1))*ROW('CASE MASTER'!$T$2:$T$495))-(ROW('CASE MASTER'!#REF!)-1))))+1)))-1)*50+1,50))&amp;"_"&amp;INDEX('CASE MASTER'!$Q$2:$Q$495,(SUMPRODUCT((('CASE MASTER'!$T$2:$T$495=3)*('CASE MASTER'!$AA$2:$AA$495&lt;=4)*('CASE MASTER'!$AC$2:$AC$495&gt;=4)*('CASE MASTER'!$AB$2:$AB$495&lt;=1)*('CASE MASTER'!$AD$2:$AD$495&gt;=1))*ROW('CASE MASTER'!$T$2:$T$495))-(ROW('CASE MASTER'!#REF!)-1))),"")),"")</f>
        <v/>
      </c>
      <c r="C34" s="10" t="str">
        <f>IFERROR(IF(SUMPRODUCT((('CASE MASTER'!$T$2:$T$495=3)*('CASE MASTER'!$U$2:$U$495&lt;=4)*('CASE MASTER'!$W$2:$W$495&gt;=4)*('CASE MASTER'!$V$2:$V$495&lt;=2)*('CASE MASTER'!$X$2:$X$495&gt;=2))*ROW('CASE MASTER'!$T$2:$T$495))&gt;0,INDEX('CASE MASTER'!$Y$2:$Y$495,(SUMPRODUCT((('CASE MASTER'!$T$2:$T$495=3)*('CASE MASTER'!$U$2:$U$495&lt;=4)*('CASE MASTER'!$W$2:$W$495&gt;=4)*('CASE MASTER'!$V$2:$V$495&lt;=2)*('CASE MASTER'!$X$2:$X$495&gt;=2))*ROW('CASE MASTER'!$T$2:$T$495))-(ROW('CASE MASTER'!#REF!)-1)))&amp;TRIM(MID(SUBSTITUTE(SUBSTITUTE(INDEX('CASE MASTER'!$N$2:$N$495,(SUMPRODUCT((('CASE MASTER'!$T$2:$T$495=3)*('CASE MASTER'!$U$2:$U$495&lt;=4)*('CASE MASTER'!$W$2:$W$495&gt;=4)*('CASE MASTER'!$V$2:$V$495&lt;=2)*('CASE MASTER'!$X$2:$X$495&gt;=2))*ROW('CASE MASTER'!$T$2:$T$495))-(ROW('CASE MASTER'!#REF!)-1))),":",","),",",REPT(" ",50)),((((4-INDEX('CASE MASTER'!$U$2:$U$495,(SUMPRODUCT((('CASE MASTER'!$T$2:$T$495=3)*('CASE MASTER'!$U$2:$U$495&lt;=4)*('CASE MASTER'!$W$2:$W$495&gt;=4)*('CASE MASTER'!$V$2:$V$495&lt;=2)*('CASE MASTER'!$X$2:$X$495&gt;=2))*ROW('CASE MASTER'!$T$2:$T$495))-(ROW('CASE MASTER'!#REF!)-1))))*(INDEX('CASE MASTER'!$X$2:$X$495,(SUMPRODUCT((('CASE MASTER'!$T$2:$T$495=3)*('CASE MASTER'!$U$2:$U$495&lt;=4)*('CASE MASTER'!$W$2:$W$495&gt;=4)*('CASE MASTER'!$V$2:$V$495&lt;=2)*('CASE MASTER'!$X$2:$X$495&gt;=2))*ROW('CASE MASTER'!$T$2:$T$495))-(ROW('CASE MASTER'!#REF!)-1)))-INDEX('CASE MASTER'!$V$2:$V$495,(SUMPRODUCT((('CASE MASTER'!$T$2:$T$495=3)*('CASE MASTER'!$U$2:$U$495&lt;=4)*('CASE MASTER'!$W$2:$W$495&gt;=4)*('CASE MASTER'!$V$2:$V$495&lt;=2)*('CASE MASTER'!$X$2:$X$495&gt;=2))*ROW('CASE MASTER'!$T$2:$T$495))-(ROW('CASE MASTER'!#REF!)-1)))+1)+(2-INDEX('CASE MASTER'!$V$2:$V$495,(SUMPRODUCT((('CASE MASTER'!$T$2:$T$495=3)*('CASE MASTER'!$U$2:$U$495&lt;=4)*('CASE MASTER'!$W$2:$W$495&gt;=4)*('CASE MASTER'!$V$2:$V$495&lt;=2)*('CASE MASTER'!$X$2:$X$495&gt;=2))*ROW('CASE MASTER'!$T$2:$T$495))-(ROW('CASE MASTER'!#REF!)-1))))+1))-1)*50+1,50))&amp;"_"&amp;INDEX('CASE MASTER'!$Q$2:$Q$495,(SUMPRODUCT((('CASE MASTER'!$T$2:$T$495=3)*('CASE MASTER'!$U$2:$U$495&lt;=4)*('CASE MASTER'!$W$2:$W$495&gt;=4)*('CASE MASTER'!$V$2:$V$495&lt;=2)*('CASE MASTER'!$X$2:$X$495&gt;=2))*ROW('CASE MASTER'!$T$2:$T$495))-(ROW('CASE MASTER'!#REF!)-1))),IF(SUMPRODUCT((('CASE MASTER'!$T$2:$T$495=3)*('CASE MASTER'!$AA$2:$AA$495&lt;=4)*('CASE MASTER'!$AC$2:$AC$495&gt;=4)*('CASE MASTER'!$AB$2:$AB$495&lt;=2)*('CASE MASTER'!$AD$2:$AD$495&gt;=2))*ROW('CASE MASTER'!$T$2:$T$495))&gt;0,INDEX('CASE MASTER'!$Y$2:$Y$495,(SUMPRODUCT((('CASE MASTER'!$T$2:$T$495=3)*('CASE MASTER'!$AA$2:$AA$495&lt;=4)*('CASE MASTER'!$AC$2:$AC$495&gt;=4)*('CASE MASTER'!$AB$2:$AB$495&lt;=2)*('CASE MASTER'!$AD$2:$AD$495&gt;=2))*ROW('CASE MASTER'!$T$2:$T$495))-(ROW('CASE MASTER'!#REF!)-1)))&amp;TRIM(MID(SUBSTITUTE(SUBSTITUTE(INDEX('CASE MASTER'!$N$2:$N$495,(SUMPRODUCT((('CASE MASTER'!$T$2:$T$495=3)*('CASE MASTER'!$AA$2:$AA$495&lt;=4)*('CASE MASTER'!$AC$2:$AC$495&gt;=4)*('CASE MASTER'!$AB$2:$AB$495&lt;=2)*('CASE MASTER'!$AD$2:$AD$495&gt;=2))*ROW('CASE MASTER'!$T$2:$T$495))-(ROW('CASE MASTER'!#REF!)-1))),":",","),",",REPT(" ",50)),(((INDEX('CASE MASTER'!$Z$2:$Z$495,(SUMPRODUCT((('CASE MASTER'!$T$2:$T$495=3)*('CASE MASTER'!$AA$2:$AA$495&lt;=4)*('CASE MASTER'!$AC$2:$AC$495&gt;=4)*('CASE MASTER'!$AB$2:$AB$495&lt;=2)*('CASE MASTER'!$AD$2:$AD$495&gt;=2))*ROW('CASE MASTER'!$T$2:$T$495))-(ROW('CASE MASTER'!#REF!)-1)))+((4-INDEX('CASE MASTER'!$AA$2:$AA$495,(SUMPRODUCT((('CASE MASTER'!$T$2:$T$495=3)*('CASE MASTER'!$AA$2:$AA$495&lt;=4)*('CASE MASTER'!$AC$2:$AC$495&gt;=4)*('CASE MASTER'!$AB$2:$AB$495&lt;=2)*('CASE MASTER'!$AD$2:$AD$495&gt;=2))*ROW('CASE MASTER'!$T$2:$T$495))-(ROW('CASE MASTER'!#REF!)-1))))*(INDEX('CASE MASTER'!$AD$2:$AD$495,(SUMPRODUCT((('CASE MASTER'!$T$2:$T$495=3)*('CASE MASTER'!$AA$2:$AA$495&lt;=4)*('CASE MASTER'!$AC$2:$AC$495&gt;=4)*('CASE MASTER'!$AB$2:$AB$495&lt;=2)*('CASE MASTER'!$AD$2:$AD$495&gt;=2))*ROW('CASE MASTER'!$T$2:$T$495))-(ROW('CASE MASTER'!#REF!)-1)))-INDEX('CASE MASTER'!$AB$2:$AB$495,(SUMPRODUCT((('CASE MASTER'!$T$2:$T$495=3)*('CASE MASTER'!$AA$2:$AA$495&lt;=4)*('CASE MASTER'!$AC$2:$AC$495&gt;=4)*('CASE MASTER'!$AB$2:$AB$495&lt;=2)*('CASE MASTER'!$AD$2:$AD$495&gt;=2))*ROW('CASE MASTER'!$T$2:$T$495))-(ROW('CASE MASTER'!#REF!)-1)))+1)+(2-INDEX('CASE MASTER'!$AB$2:$AB$495,(SUMPRODUCT((('CASE MASTER'!$T$2:$T$495=3)*('CASE MASTER'!$AA$2:$AA$495&lt;=4)*('CASE MASTER'!$AC$2:$AC$495&gt;=4)*('CASE MASTER'!$AB$2:$AB$495&lt;=2)*('CASE MASTER'!$AD$2:$AD$495&gt;=2))*ROW('CASE MASTER'!$T$2:$T$495))-(ROW('CASE MASTER'!#REF!)-1))))+1)))-1)*50+1,50))&amp;"_"&amp;INDEX('CASE MASTER'!$Q$2:$Q$495,(SUMPRODUCT((('CASE MASTER'!$T$2:$T$495=3)*('CASE MASTER'!$AA$2:$AA$495&lt;=4)*('CASE MASTER'!$AC$2:$AC$495&gt;=4)*('CASE MASTER'!$AB$2:$AB$495&lt;=2)*('CASE MASTER'!$AD$2:$AD$495&gt;=2))*ROW('CASE MASTER'!$T$2:$T$495))-(ROW('CASE MASTER'!#REF!)-1))),"")),"")</f>
        <v/>
      </c>
      <c r="D34" s="10" t="str">
        <f>IFERROR(IF(SUMPRODUCT((('CASE MASTER'!$T$2:$T$495=3)*('CASE MASTER'!$U$2:$U$495&lt;=4)*('CASE MASTER'!$W$2:$W$495&gt;=4)*('CASE MASTER'!$V$2:$V$495&lt;=3)*('CASE MASTER'!$X$2:$X$495&gt;=3))*ROW('CASE MASTER'!$T$2:$T$495))&gt;0,INDEX('CASE MASTER'!$Y$2:$Y$495,(SUMPRODUCT((('CASE MASTER'!$T$2:$T$495=3)*('CASE MASTER'!$U$2:$U$495&lt;=4)*('CASE MASTER'!$W$2:$W$495&gt;=4)*('CASE MASTER'!$V$2:$V$495&lt;=3)*('CASE MASTER'!$X$2:$X$495&gt;=3))*ROW('CASE MASTER'!$T$2:$T$495))-(ROW('CASE MASTER'!#REF!)-1)))&amp;TRIM(MID(SUBSTITUTE(SUBSTITUTE(INDEX('CASE MASTER'!$N$2:$N$495,(SUMPRODUCT((('CASE MASTER'!$T$2:$T$495=3)*('CASE MASTER'!$U$2:$U$495&lt;=4)*('CASE MASTER'!$W$2:$W$495&gt;=4)*('CASE MASTER'!$V$2:$V$495&lt;=3)*('CASE MASTER'!$X$2:$X$495&gt;=3))*ROW('CASE MASTER'!$T$2:$T$495))-(ROW('CASE MASTER'!#REF!)-1))),":",","),",",REPT(" ",50)),((((4-INDEX('CASE MASTER'!$U$2:$U$495,(SUMPRODUCT((('CASE MASTER'!$T$2:$T$495=3)*('CASE MASTER'!$U$2:$U$495&lt;=4)*('CASE MASTER'!$W$2:$W$495&gt;=4)*('CASE MASTER'!$V$2:$V$495&lt;=3)*('CASE MASTER'!$X$2:$X$495&gt;=3))*ROW('CASE MASTER'!$T$2:$T$495))-(ROW('CASE MASTER'!#REF!)-1))))*(INDEX('CASE MASTER'!$X$2:$X$495,(SUMPRODUCT((('CASE MASTER'!$T$2:$T$495=3)*('CASE MASTER'!$U$2:$U$495&lt;=4)*('CASE MASTER'!$W$2:$W$495&gt;=4)*('CASE MASTER'!$V$2:$V$495&lt;=3)*('CASE MASTER'!$X$2:$X$495&gt;=3))*ROW('CASE MASTER'!$T$2:$T$495))-(ROW('CASE MASTER'!#REF!)-1)))-INDEX('CASE MASTER'!$V$2:$V$495,(SUMPRODUCT((('CASE MASTER'!$T$2:$T$495=3)*('CASE MASTER'!$U$2:$U$495&lt;=4)*('CASE MASTER'!$W$2:$W$495&gt;=4)*('CASE MASTER'!$V$2:$V$495&lt;=3)*('CASE MASTER'!$X$2:$X$495&gt;=3))*ROW('CASE MASTER'!$T$2:$T$495))-(ROW('CASE MASTER'!#REF!)-1)))+1)+(3-INDEX('CASE MASTER'!$V$2:$V$495,(SUMPRODUCT((('CASE MASTER'!$T$2:$T$495=3)*('CASE MASTER'!$U$2:$U$495&lt;=4)*('CASE MASTER'!$W$2:$W$495&gt;=4)*('CASE MASTER'!$V$2:$V$495&lt;=3)*('CASE MASTER'!$X$2:$X$495&gt;=3))*ROW('CASE MASTER'!$T$2:$T$495))-(ROW('CASE MASTER'!#REF!)-1))))+1))-1)*50+1,50))&amp;"_"&amp;INDEX('CASE MASTER'!$Q$2:$Q$495,(SUMPRODUCT((('CASE MASTER'!$T$2:$T$495=3)*('CASE MASTER'!$U$2:$U$495&lt;=4)*('CASE MASTER'!$W$2:$W$495&gt;=4)*('CASE MASTER'!$V$2:$V$495&lt;=3)*('CASE MASTER'!$X$2:$X$495&gt;=3))*ROW('CASE MASTER'!$T$2:$T$495))-(ROW('CASE MASTER'!#REF!)-1))),IF(SUMPRODUCT((('CASE MASTER'!$T$2:$T$495=3)*('CASE MASTER'!$AA$2:$AA$495&lt;=4)*('CASE MASTER'!$AC$2:$AC$495&gt;=4)*('CASE MASTER'!$AB$2:$AB$495&lt;=3)*('CASE MASTER'!$AD$2:$AD$495&gt;=3))*ROW('CASE MASTER'!$T$2:$T$495))&gt;0,INDEX('CASE MASTER'!$Y$2:$Y$495,(SUMPRODUCT((('CASE MASTER'!$T$2:$T$495=3)*('CASE MASTER'!$AA$2:$AA$495&lt;=4)*('CASE MASTER'!$AC$2:$AC$495&gt;=4)*('CASE MASTER'!$AB$2:$AB$495&lt;=3)*('CASE MASTER'!$AD$2:$AD$495&gt;=3))*ROW('CASE MASTER'!$T$2:$T$495))-(ROW('CASE MASTER'!#REF!)-1)))&amp;TRIM(MID(SUBSTITUTE(SUBSTITUTE(INDEX('CASE MASTER'!$N$2:$N$495,(SUMPRODUCT((('CASE MASTER'!$T$2:$T$495=3)*('CASE MASTER'!$AA$2:$AA$495&lt;=4)*('CASE MASTER'!$AC$2:$AC$495&gt;=4)*('CASE MASTER'!$AB$2:$AB$495&lt;=3)*('CASE MASTER'!$AD$2:$AD$495&gt;=3))*ROW('CASE MASTER'!$T$2:$T$495))-(ROW('CASE MASTER'!#REF!)-1))),":",","),",",REPT(" ",50)),(((INDEX('CASE MASTER'!$Z$2:$Z$495,(SUMPRODUCT((('CASE MASTER'!$T$2:$T$495=3)*('CASE MASTER'!$AA$2:$AA$495&lt;=4)*('CASE MASTER'!$AC$2:$AC$495&gt;=4)*('CASE MASTER'!$AB$2:$AB$495&lt;=3)*('CASE MASTER'!$AD$2:$AD$495&gt;=3))*ROW('CASE MASTER'!$T$2:$T$495))-(ROW('CASE MASTER'!#REF!)-1)))+((4-INDEX('CASE MASTER'!$AA$2:$AA$495,(SUMPRODUCT((('CASE MASTER'!$T$2:$T$495=3)*('CASE MASTER'!$AA$2:$AA$495&lt;=4)*('CASE MASTER'!$AC$2:$AC$495&gt;=4)*('CASE MASTER'!$AB$2:$AB$495&lt;=3)*('CASE MASTER'!$AD$2:$AD$495&gt;=3))*ROW('CASE MASTER'!$T$2:$T$495))-(ROW('CASE MASTER'!#REF!)-1))))*(INDEX('CASE MASTER'!$AD$2:$AD$495,(SUMPRODUCT((('CASE MASTER'!$T$2:$T$495=3)*('CASE MASTER'!$AA$2:$AA$495&lt;=4)*('CASE MASTER'!$AC$2:$AC$495&gt;=4)*('CASE MASTER'!$AB$2:$AB$495&lt;=3)*('CASE MASTER'!$AD$2:$AD$495&gt;=3))*ROW('CASE MASTER'!$T$2:$T$495))-(ROW('CASE MASTER'!#REF!)-1)))-INDEX('CASE MASTER'!$AB$2:$AB$495,(SUMPRODUCT((('CASE MASTER'!$T$2:$T$495=3)*('CASE MASTER'!$AA$2:$AA$495&lt;=4)*('CASE MASTER'!$AC$2:$AC$495&gt;=4)*('CASE MASTER'!$AB$2:$AB$495&lt;=3)*('CASE MASTER'!$AD$2:$AD$495&gt;=3))*ROW('CASE MASTER'!$T$2:$T$495))-(ROW('CASE MASTER'!#REF!)-1)))+1)+(3-INDEX('CASE MASTER'!$AB$2:$AB$495,(SUMPRODUCT((('CASE MASTER'!$T$2:$T$495=3)*('CASE MASTER'!$AA$2:$AA$495&lt;=4)*('CASE MASTER'!$AC$2:$AC$495&gt;=4)*('CASE MASTER'!$AB$2:$AB$495&lt;=3)*('CASE MASTER'!$AD$2:$AD$495&gt;=3))*ROW('CASE MASTER'!$T$2:$T$495))-(ROW('CASE MASTER'!#REF!)-1))))+1)))-1)*50+1,50))&amp;"_"&amp;INDEX('CASE MASTER'!$Q$2:$Q$495,(SUMPRODUCT((('CASE MASTER'!$T$2:$T$495=3)*('CASE MASTER'!$AA$2:$AA$495&lt;=4)*('CASE MASTER'!$AC$2:$AC$495&gt;=4)*('CASE MASTER'!$AB$2:$AB$495&lt;=3)*('CASE MASTER'!$AD$2:$AD$495&gt;=3))*ROW('CASE MASTER'!$T$2:$T$495))-(ROW('CASE MASTER'!#REF!)-1))),"")),"")</f>
        <v/>
      </c>
      <c r="E34" s="10" t="str">
        <f>IFERROR(IF(SUMPRODUCT((('CASE MASTER'!$T$2:$T$495=3)*('CASE MASTER'!$U$2:$U$495&lt;=4)*('CASE MASTER'!$W$2:$W$495&gt;=4)*('CASE MASTER'!$V$2:$V$495&lt;=4)*('CASE MASTER'!$X$2:$X$495&gt;=4))*ROW('CASE MASTER'!$T$2:$T$495))&gt;0,INDEX('CASE MASTER'!$Y$2:$Y$495,(SUMPRODUCT((('CASE MASTER'!$T$2:$T$495=3)*('CASE MASTER'!$U$2:$U$495&lt;=4)*('CASE MASTER'!$W$2:$W$495&gt;=4)*('CASE MASTER'!$V$2:$V$495&lt;=4)*('CASE MASTER'!$X$2:$X$495&gt;=4))*ROW('CASE MASTER'!$T$2:$T$495))-(ROW('CASE MASTER'!#REF!)-1)))&amp;TRIM(MID(SUBSTITUTE(SUBSTITUTE(INDEX('CASE MASTER'!$N$2:$N$495,(SUMPRODUCT((('CASE MASTER'!$T$2:$T$495=3)*('CASE MASTER'!$U$2:$U$495&lt;=4)*('CASE MASTER'!$W$2:$W$495&gt;=4)*('CASE MASTER'!$V$2:$V$495&lt;=4)*('CASE MASTER'!$X$2:$X$495&gt;=4))*ROW('CASE MASTER'!$T$2:$T$495))-(ROW('CASE MASTER'!#REF!)-1))),":",","),",",REPT(" ",50)),((((4-INDEX('CASE MASTER'!$U$2:$U$495,(SUMPRODUCT((('CASE MASTER'!$T$2:$T$495=3)*('CASE MASTER'!$U$2:$U$495&lt;=4)*('CASE MASTER'!$W$2:$W$495&gt;=4)*('CASE MASTER'!$V$2:$V$495&lt;=4)*('CASE MASTER'!$X$2:$X$495&gt;=4))*ROW('CASE MASTER'!$T$2:$T$495))-(ROW('CASE MASTER'!#REF!)-1))))*(INDEX('CASE MASTER'!$X$2:$X$495,(SUMPRODUCT((('CASE MASTER'!$T$2:$T$495=3)*('CASE MASTER'!$U$2:$U$495&lt;=4)*('CASE MASTER'!$W$2:$W$495&gt;=4)*('CASE MASTER'!$V$2:$V$495&lt;=4)*('CASE MASTER'!$X$2:$X$495&gt;=4))*ROW('CASE MASTER'!$T$2:$T$495))-(ROW('CASE MASTER'!#REF!)-1)))-INDEX('CASE MASTER'!$V$2:$V$495,(SUMPRODUCT((('CASE MASTER'!$T$2:$T$495=3)*('CASE MASTER'!$U$2:$U$495&lt;=4)*('CASE MASTER'!$W$2:$W$495&gt;=4)*('CASE MASTER'!$V$2:$V$495&lt;=4)*('CASE MASTER'!$X$2:$X$495&gt;=4))*ROW('CASE MASTER'!$T$2:$T$495))-(ROW('CASE MASTER'!#REF!)-1)))+1)+(4-INDEX('CASE MASTER'!$V$2:$V$495,(SUMPRODUCT((('CASE MASTER'!$T$2:$T$495=3)*('CASE MASTER'!$U$2:$U$495&lt;=4)*('CASE MASTER'!$W$2:$W$495&gt;=4)*('CASE MASTER'!$V$2:$V$495&lt;=4)*('CASE MASTER'!$X$2:$X$495&gt;=4))*ROW('CASE MASTER'!$T$2:$T$495))-(ROW('CASE MASTER'!#REF!)-1))))+1))-1)*50+1,50))&amp;"_"&amp;INDEX('CASE MASTER'!$Q$2:$Q$495,(SUMPRODUCT((('CASE MASTER'!$T$2:$T$495=3)*('CASE MASTER'!$U$2:$U$495&lt;=4)*('CASE MASTER'!$W$2:$W$495&gt;=4)*('CASE MASTER'!$V$2:$V$495&lt;=4)*('CASE MASTER'!$X$2:$X$495&gt;=4))*ROW('CASE MASTER'!$T$2:$T$495))-(ROW('CASE MASTER'!#REF!)-1))),IF(SUMPRODUCT((('CASE MASTER'!$T$2:$T$495=3)*('CASE MASTER'!$AA$2:$AA$495&lt;=4)*('CASE MASTER'!$AC$2:$AC$495&gt;=4)*('CASE MASTER'!$AB$2:$AB$495&lt;=4)*('CASE MASTER'!$AD$2:$AD$495&gt;=4))*ROW('CASE MASTER'!$T$2:$T$495))&gt;0,INDEX('CASE MASTER'!$Y$2:$Y$495,(SUMPRODUCT((('CASE MASTER'!$T$2:$T$495=3)*('CASE MASTER'!$AA$2:$AA$495&lt;=4)*('CASE MASTER'!$AC$2:$AC$495&gt;=4)*('CASE MASTER'!$AB$2:$AB$495&lt;=4)*('CASE MASTER'!$AD$2:$AD$495&gt;=4))*ROW('CASE MASTER'!$T$2:$T$495))-(ROW('CASE MASTER'!#REF!)-1)))&amp;TRIM(MID(SUBSTITUTE(SUBSTITUTE(INDEX('CASE MASTER'!$N$2:$N$495,(SUMPRODUCT((('CASE MASTER'!$T$2:$T$495=3)*('CASE MASTER'!$AA$2:$AA$495&lt;=4)*('CASE MASTER'!$AC$2:$AC$495&gt;=4)*('CASE MASTER'!$AB$2:$AB$495&lt;=4)*('CASE MASTER'!$AD$2:$AD$495&gt;=4))*ROW('CASE MASTER'!$T$2:$T$495))-(ROW('CASE MASTER'!#REF!)-1))),":",","),",",REPT(" ",50)),(((INDEX('CASE MASTER'!$Z$2:$Z$495,(SUMPRODUCT((('CASE MASTER'!$T$2:$T$495=3)*('CASE MASTER'!$AA$2:$AA$495&lt;=4)*('CASE MASTER'!$AC$2:$AC$495&gt;=4)*('CASE MASTER'!$AB$2:$AB$495&lt;=4)*('CASE MASTER'!$AD$2:$AD$495&gt;=4))*ROW('CASE MASTER'!$T$2:$T$495))-(ROW('CASE MASTER'!#REF!)-1)))+((4-INDEX('CASE MASTER'!$AA$2:$AA$495,(SUMPRODUCT((('CASE MASTER'!$T$2:$T$495=3)*('CASE MASTER'!$AA$2:$AA$495&lt;=4)*('CASE MASTER'!$AC$2:$AC$495&gt;=4)*('CASE MASTER'!$AB$2:$AB$495&lt;=4)*('CASE MASTER'!$AD$2:$AD$495&gt;=4))*ROW('CASE MASTER'!$T$2:$T$495))-(ROW('CASE MASTER'!#REF!)-1))))*(INDEX('CASE MASTER'!$AD$2:$AD$495,(SUMPRODUCT((('CASE MASTER'!$T$2:$T$495=3)*('CASE MASTER'!$AA$2:$AA$495&lt;=4)*('CASE MASTER'!$AC$2:$AC$495&gt;=4)*('CASE MASTER'!$AB$2:$AB$495&lt;=4)*('CASE MASTER'!$AD$2:$AD$495&gt;=4))*ROW('CASE MASTER'!$T$2:$T$495))-(ROW('CASE MASTER'!#REF!)-1)))-INDEX('CASE MASTER'!$AB$2:$AB$495,(SUMPRODUCT((('CASE MASTER'!$T$2:$T$495=3)*('CASE MASTER'!$AA$2:$AA$495&lt;=4)*('CASE MASTER'!$AC$2:$AC$495&gt;=4)*('CASE MASTER'!$AB$2:$AB$495&lt;=4)*('CASE MASTER'!$AD$2:$AD$495&gt;=4))*ROW('CASE MASTER'!$T$2:$T$495))-(ROW('CASE MASTER'!#REF!)-1)))+1)+(4-INDEX('CASE MASTER'!$AB$2:$AB$495,(SUMPRODUCT((('CASE MASTER'!$T$2:$T$495=3)*('CASE MASTER'!$AA$2:$AA$495&lt;=4)*('CASE MASTER'!$AC$2:$AC$495&gt;=4)*('CASE MASTER'!$AB$2:$AB$495&lt;=4)*('CASE MASTER'!$AD$2:$AD$495&gt;=4))*ROW('CASE MASTER'!$T$2:$T$495))-(ROW('CASE MASTER'!#REF!)-1))))+1)))-1)*50+1,50))&amp;"_"&amp;INDEX('CASE MASTER'!$Q$2:$Q$495,(SUMPRODUCT((('CASE MASTER'!$T$2:$T$495=3)*('CASE MASTER'!$AA$2:$AA$495&lt;=4)*('CASE MASTER'!$AC$2:$AC$495&gt;=4)*('CASE MASTER'!$AB$2:$AB$495&lt;=4)*('CASE MASTER'!$AD$2:$AD$495&gt;=4))*ROW('CASE MASTER'!$T$2:$T$495))-(ROW('CASE MASTER'!#REF!)-1))),"")),"")</f>
        <v/>
      </c>
      <c r="F34" s="10" t="str">
        <f>IFERROR(IF(SUMPRODUCT((('CASE MASTER'!$T$2:$T$495=3)*('CASE MASTER'!$U$2:$U$495&lt;=4)*('CASE MASTER'!$W$2:$W$495&gt;=4)*('CASE MASTER'!$V$2:$V$495&lt;=5)*('CASE MASTER'!$X$2:$X$495&gt;=5))*ROW('CASE MASTER'!$T$2:$T$495))&gt;0,INDEX('CASE MASTER'!$Y$2:$Y$495,(SUMPRODUCT((('CASE MASTER'!$T$2:$T$495=3)*('CASE MASTER'!$U$2:$U$495&lt;=4)*('CASE MASTER'!$W$2:$W$495&gt;=4)*('CASE MASTER'!$V$2:$V$495&lt;=5)*('CASE MASTER'!$X$2:$X$495&gt;=5))*ROW('CASE MASTER'!$T$2:$T$495))-(ROW('CASE MASTER'!#REF!)-1)))&amp;TRIM(MID(SUBSTITUTE(SUBSTITUTE(INDEX('CASE MASTER'!$N$2:$N$495,(SUMPRODUCT((('CASE MASTER'!$T$2:$T$495=3)*('CASE MASTER'!$U$2:$U$495&lt;=4)*('CASE MASTER'!$W$2:$W$495&gt;=4)*('CASE MASTER'!$V$2:$V$495&lt;=5)*('CASE MASTER'!$X$2:$X$495&gt;=5))*ROW('CASE MASTER'!$T$2:$T$495))-(ROW('CASE MASTER'!#REF!)-1))),":",","),",",REPT(" ",50)),((((4-INDEX('CASE MASTER'!$U$2:$U$495,(SUMPRODUCT((('CASE MASTER'!$T$2:$T$495=3)*('CASE MASTER'!$U$2:$U$495&lt;=4)*('CASE MASTER'!$W$2:$W$495&gt;=4)*('CASE MASTER'!$V$2:$V$495&lt;=5)*('CASE MASTER'!$X$2:$X$495&gt;=5))*ROW('CASE MASTER'!$T$2:$T$495))-(ROW('CASE MASTER'!#REF!)-1))))*(INDEX('CASE MASTER'!$X$2:$X$495,(SUMPRODUCT((('CASE MASTER'!$T$2:$T$495=3)*('CASE MASTER'!$U$2:$U$495&lt;=4)*('CASE MASTER'!$W$2:$W$495&gt;=4)*('CASE MASTER'!$V$2:$V$495&lt;=5)*('CASE MASTER'!$X$2:$X$495&gt;=5))*ROW('CASE MASTER'!$T$2:$T$495))-(ROW('CASE MASTER'!#REF!)-1)))-INDEX('CASE MASTER'!$V$2:$V$495,(SUMPRODUCT((('CASE MASTER'!$T$2:$T$495=3)*('CASE MASTER'!$U$2:$U$495&lt;=4)*('CASE MASTER'!$W$2:$W$495&gt;=4)*('CASE MASTER'!$V$2:$V$495&lt;=5)*('CASE MASTER'!$X$2:$X$495&gt;=5))*ROW('CASE MASTER'!$T$2:$T$495))-(ROW('CASE MASTER'!#REF!)-1)))+1)+(5-INDEX('CASE MASTER'!$V$2:$V$495,(SUMPRODUCT((('CASE MASTER'!$T$2:$T$495=3)*('CASE MASTER'!$U$2:$U$495&lt;=4)*('CASE MASTER'!$W$2:$W$495&gt;=4)*('CASE MASTER'!$V$2:$V$495&lt;=5)*('CASE MASTER'!$X$2:$X$495&gt;=5))*ROW('CASE MASTER'!$T$2:$T$495))-(ROW('CASE MASTER'!#REF!)-1))))+1))-1)*50+1,50))&amp;"_"&amp;INDEX('CASE MASTER'!$Q$2:$Q$495,(SUMPRODUCT((('CASE MASTER'!$T$2:$T$495=3)*('CASE MASTER'!$U$2:$U$495&lt;=4)*('CASE MASTER'!$W$2:$W$495&gt;=4)*('CASE MASTER'!$V$2:$V$495&lt;=5)*('CASE MASTER'!$X$2:$X$495&gt;=5))*ROW('CASE MASTER'!$T$2:$T$495))-(ROW('CASE MASTER'!#REF!)-1))),IF(SUMPRODUCT((('CASE MASTER'!$T$2:$T$495=3)*('CASE MASTER'!$AA$2:$AA$495&lt;=4)*('CASE MASTER'!$AC$2:$AC$495&gt;=4)*('CASE MASTER'!$AB$2:$AB$495&lt;=5)*('CASE MASTER'!$AD$2:$AD$495&gt;=5))*ROW('CASE MASTER'!$T$2:$T$495))&gt;0,INDEX('CASE MASTER'!$Y$2:$Y$495,(SUMPRODUCT((('CASE MASTER'!$T$2:$T$495=3)*('CASE MASTER'!$AA$2:$AA$495&lt;=4)*('CASE MASTER'!$AC$2:$AC$495&gt;=4)*('CASE MASTER'!$AB$2:$AB$495&lt;=5)*('CASE MASTER'!$AD$2:$AD$495&gt;=5))*ROW('CASE MASTER'!$T$2:$T$495))-(ROW('CASE MASTER'!#REF!)-1)))&amp;TRIM(MID(SUBSTITUTE(SUBSTITUTE(INDEX('CASE MASTER'!$N$2:$N$495,(SUMPRODUCT((('CASE MASTER'!$T$2:$T$495=3)*('CASE MASTER'!$AA$2:$AA$495&lt;=4)*('CASE MASTER'!$AC$2:$AC$495&gt;=4)*('CASE MASTER'!$AB$2:$AB$495&lt;=5)*('CASE MASTER'!$AD$2:$AD$495&gt;=5))*ROW('CASE MASTER'!$T$2:$T$495))-(ROW('CASE MASTER'!#REF!)-1))),":",","),",",REPT(" ",50)),(((INDEX('CASE MASTER'!$Z$2:$Z$495,(SUMPRODUCT((('CASE MASTER'!$T$2:$T$495=3)*('CASE MASTER'!$AA$2:$AA$495&lt;=4)*('CASE MASTER'!$AC$2:$AC$495&gt;=4)*('CASE MASTER'!$AB$2:$AB$495&lt;=5)*('CASE MASTER'!$AD$2:$AD$495&gt;=5))*ROW('CASE MASTER'!$T$2:$T$495))-(ROW('CASE MASTER'!#REF!)-1)))+((4-INDEX('CASE MASTER'!$AA$2:$AA$495,(SUMPRODUCT((('CASE MASTER'!$T$2:$T$495=3)*('CASE MASTER'!$AA$2:$AA$495&lt;=4)*('CASE MASTER'!$AC$2:$AC$495&gt;=4)*('CASE MASTER'!$AB$2:$AB$495&lt;=5)*('CASE MASTER'!$AD$2:$AD$495&gt;=5))*ROW('CASE MASTER'!$T$2:$T$495))-(ROW('CASE MASTER'!#REF!)-1))))*(INDEX('CASE MASTER'!$AD$2:$AD$495,(SUMPRODUCT((('CASE MASTER'!$T$2:$T$495=3)*('CASE MASTER'!$AA$2:$AA$495&lt;=4)*('CASE MASTER'!$AC$2:$AC$495&gt;=4)*('CASE MASTER'!$AB$2:$AB$495&lt;=5)*('CASE MASTER'!$AD$2:$AD$495&gt;=5))*ROW('CASE MASTER'!$T$2:$T$495))-(ROW('CASE MASTER'!#REF!)-1)))-INDEX('CASE MASTER'!$AB$2:$AB$495,(SUMPRODUCT((('CASE MASTER'!$T$2:$T$495=3)*('CASE MASTER'!$AA$2:$AA$495&lt;=4)*('CASE MASTER'!$AC$2:$AC$495&gt;=4)*('CASE MASTER'!$AB$2:$AB$495&lt;=5)*('CASE MASTER'!$AD$2:$AD$495&gt;=5))*ROW('CASE MASTER'!$T$2:$T$495))-(ROW('CASE MASTER'!#REF!)-1)))+1)+(5-INDEX('CASE MASTER'!$AB$2:$AB$495,(SUMPRODUCT((('CASE MASTER'!$T$2:$T$495=3)*('CASE MASTER'!$AA$2:$AA$495&lt;=4)*('CASE MASTER'!$AC$2:$AC$495&gt;=4)*('CASE MASTER'!$AB$2:$AB$495&lt;=5)*('CASE MASTER'!$AD$2:$AD$495&gt;=5))*ROW('CASE MASTER'!$T$2:$T$495))-(ROW('CASE MASTER'!#REF!)-1))))+1)))-1)*50+1,50))&amp;"_"&amp;INDEX('CASE MASTER'!$Q$2:$Q$495,(SUMPRODUCT((('CASE MASTER'!$T$2:$T$495=3)*('CASE MASTER'!$AA$2:$AA$495&lt;=4)*('CASE MASTER'!$AC$2:$AC$495&gt;=4)*('CASE MASTER'!$AB$2:$AB$495&lt;=5)*('CASE MASTER'!$AD$2:$AD$495&gt;=5))*ROW('CASE MASTER'!$T$2:$T$495))-(ROW('CASE MASTER'!#REF!)-1))),"")),"")</f>
        <v/>
      </c>
      <c r="G34" s="10" t="str">
        <f>IFERROR(IF(SUMPRODUCT((('CASE MASTER'!$T$2:$T$495=3)*('CASE MASTER'!$U$2:$U$495&lt;=4)*('CASE MASTER'!$W$2:$W$495&gt;=4)*('CASE MASTER'!$V$2:$V$495&lt;=6)*('CASE MASTER'!$X$2:$X$495&gt;=6))*ROW('CASE MASTER'!$T$2:$T$495))&gt;0,INDEX('CASE MASTER'!$Y$2:$Y$495,(SUMPRODUCT((('CASE MASTER'!$T$2:$T$495=3)*('CASE MASTER'!$U$2:$U$495&lt;=4)*('CASE MASTER'!$W$2:$W$495&gt;=4)*('CASE MASTER'!$V$2:$V$495&lt;=6)*('CASE MASTER'!$X$2:$X$495&gt;=6))*ROW('CASE MASTER'!$T$2:$T$495))-(ROW('CASE MASTER'!#REF!)-1)))&amp;TRIM(MID(SUBSTITUTE(SUBSTITUTE(INDEX('CASE MASTER'!$N$2:$N$495,(SUMPRODUCT((('CASE MASTER'!$T$2:$T$495=3)*('CASE MASTER'!$U$2:$U$495&lt;=4)*('CASE MASTER'!$W$2:$W$495&gt;=4)*('CASE MASTER'!$V$2:$V$495&lt;=6)*('CASE MASTER'!$X$2:$X$495&gt;=6))*ROW('CASE MASTER'!$T$2:$T$495))-(ROW('CASE MASTER'!#REF!)-1))),":",","),",",REPT(" ",50)),((((4-INDEX('CASE MASTER'!$U$2:$U$495,(SUMPRODUCT((('CASE MASTER'!$T$2:$T$495=3)*('CASE MASTER'!$U$2:$U$495&lt;=4)*('CASE MASTER'!$W$2:$W$495&gt;=4)*('CASE MASTER'!$V$2:$V$495&lt;=6)*('CASE MASTER'!$X$2:$X$495&gt;=6))*ROW('CASE MASTER'!$T$2:$T$495))-(ROW('CASE MASTER'!#REF!)-1))))*(INDEX('CASE MASTER'!$X$2:$X$495,(SUMPRODUCT((('CASE MASTER'!$T$2:$T$495=3)*('CASE MASTER'!$U$2:$U$495&lt;=4)*('CASE MASTER'!$W$2:$W$495&gt;=4)*('CASE MASTER'!$V$2:$V$495&lt;=6)*('CASE MASTER'!$X$2:$X$495&gt;=6))*ROW('CASE MASTER'!$T$2:$T$495))-(ROW('CASE MASTER'!#REF!)-1)))-INDEX('CASE MASTER'!$V$2:$V$495,(SUMPRODUCT((('CASE MASTER'!$T$2:$T$495=3)*('CASE MASTER'!$U$2:$U$495&lt;=4)*('CASE MASTER'!$W$2:$W$495&gt;=4)*('CASE MASTER'!$V$2:$V$495&lt;=6)*('CASE MASTER'!$X$2:$X$495&gt;=6))*ROW('CASE MASTER'!$T$2:$T$495))-(ROW('CASE MASTER'!#REF!)-1)))+1)+(6-INDEX('CASE MASTER'!$V$2:$V$495,(SUMPRODUCT((('CASE MASTER'!$T$2:$T$495=3)*('CASE MASTER'!$U$2:$U$495&lt;=4)*('CASE MASTER'!$W$2:$W$495&gt;=4)*('CASE MASTER'!$V$2:$V$495&lt;=6)*('CASE MASTER'!$X$2:$X$495&gt;=6))*ROW('CASE MASTER'!$T$2:$T$495))-(ROW('CASE MASTER'!#REF!)-1))))+1))-1)*50+1,50))&amp;"_"&amp;INDEX('CASE MASTER'!$Q$2:$Q$495,(SUMPRODUCT((('CASE MASTER'!$T$2:$T$495=3)*('CASE MASTER'!$U$2:$U$495&lt;=4)*('CASE MASTER'!$W$2:$W$495&gt;=4)*('CASE MASTER'!$V$2:$V$495&lt;=6)*('CASE MASTER'!$X$2:$X$495&gt;=6))*ROW('CASE MASTER'!$T$2:$T$495))-(ROW('CASE MASTER'!#REF!)-1))),IF(SUMPRODUCT((('CASE MASTER'!$T$2:$T$495=3)*('CASE MASTER'!$AA$2:$AA$495&lt;=4)*('CASE MASTER'!$AC$2:$AC$495&gt;=4)*('CASE MASTER'!$AB$2:$AB$495&lt;=6)*('CASE MASTER'!$AD$2:$AD$495&gt;=6))*ROW('CASE MASTER'!$T$2:$T$495))&gt;0,INDEX('CASE MASTER'!$Y$2:$Y$495,(SUMPRODUCT((('CASE MASTER'!$T$2:$T$495=3)*('CASE MASTER'!$AA$2:$AA$495&lt;=4)*('CASE MASTER'!$AC$2:$AC$495&gt;=4)*('CASE MASTER'!$AB$2:$AB$495&lt;=6)*('CASE MASTER'!$AD$2:$AD$495&gt;=6))*ROW('CASE MASTER'!$T$2:$T$495))-(ROW('CASE MASTER'!#REF!)-1)))&amp;TRIM(MID(SUBSTITUTE(SUBSTITUTE(INDEX('CASE MASTER'!$N$2:$N$495,(SUMPRODUCT((('CASE MASTER'!$T$2:$T$495=3)*('CASE MASTER'!$AA$2:$AA$495&lt;=4)*('CASE MASTER'!$AC$2:$AC$495&gt;=4)*('CASE MASTER'!$AB$2:$AB$495&lt;=6)*('CASE MASTER'!$AD$2:$AD$495&gt;=6))*ROW('CASE MASTER'!$T$2:$T$495))-(ROW('CASE MASTER'!#REF!)-1))),":",","),",",REPT(" ",50)),(((INDEX('CASE MASTER'!$Z$2:$Z$495,(SUMPRODUCT((('CASE MASTER'!$T$2:$T$495=3)*('CASE MASTER'!$AA$2:$AA$495&lt;=4)*('CASE MASTER'!$AC$2:$AC$495&gt;=4)*('CASE MASTER'!$AB$2:$AB$495&lt;=6)*('CASE MASTER'!$AD$2:$AD$495&gt;=6))*ROW('CASE MASTER'!$T$2:$T$495))-(ROW('CASE MASTER'!#REF!)-1)))+((4-INDEX('CASE MASTER'!$AA$2:$AA$495,(SUMPRODUCT((('CASE MASTER'!$T$2:$T$495=3)*('CASE MASTER'!$AA$2:$AA$495&lt;=4)*('CASE MASTER'!$AC$2:$AC$495&gt;=4)*('CASE MASTER'!$AB$2:$AB$495&lt;=6)*('CASE MASTER'!$AD$2:$AD$495&gt;=6))*ROW('CASE MASTER'!$T$2:$T$495))-(ROW('CASE MASTER'!#REF!)-1))))*(INDEX('CASE MASTER'!$AD$2:$AD$495,(SUMPRODUCT((('CASE MASTER'!$T$2:$T$495=3)*('CASE MASTER'!$AA$2:$AA$495&lt;=4)*('CASE MASTER'!$AC$2:$AC$495&gt;=4)*('CASE MASTER'!$AB$2:$AB$495&lt;=6)*('CASE MASTER'!$AD$2:$AD$495&gt;=6))*ROW('CASE MASTER'!$T$2:$T$495))-(ROW('CASE MASTER'!#REF!)-1)))-INDEX('CASE MASTER'!$AB$2:$AB$495,(SUMPRODUCT((('CASE MASTER'!$T$2:$T$495=3)*('CASE MASTER'!$AA$2:$AA$495&lt;=4)*('CASE MASTER'!$AC$2:$AC$495&gt;=4)*('CASE MASTER'!$AB$2:$AB$495&lt;=6)*('CASE MASTER'!$AD$2:$AD$495&gt;=6))*ROW('CASE MASTER'!$T$2:$T$495))-(ROW('CASE MASTER'!#REF!)-1)))+1)+(6-INDEX('CASE MASTER'!$AB$2:$AB$495,(SUMPRODUCT((('CASE MASTER'!$T$2:$T$495=3)*('CASE MASTER'!$AA$2:$AA$495&lt;=4)*('CASE MASTER'!$AC$2:$AC$495&gt;=4)*('CASE MASTER'!$AB$2:$AB$495&lt;=6)*('CASE MASTER'!$AD$2:$AD$495&gt;=6))*ROW('CASE MASTER'!$T$2:$T$495))-(ROW('CASE MASTER'!#REF!)-1))))+1)))-1)*50+1,50))&amp;"_"&amp;INDEX('CASE MASTER'!$Q$2:$Q$495,(SUMPRODUCT((('CASE MASTER'!$T$2:$T$495=3)*('CASE MASTER'!$AA$2:$AA$495&lt;=4)*('CASE MASTER'!$AC$2:$AC$495&gt;=4)*('CASE MASTER'!$AB$2:$AB$495&lt;=6)*('CASE MASTER'!$AD$2:$AD$495&gt;=6))*ROW('CASE MASTER'!$T$2:$T$495))-(ROW('CASE MASTER'!#REF!)-1))),"")),"")</f>
        <v/>
      </c>
      <c r="H34" s="10" t="str">
        <f>IFERROR(IF(SUMPRODUCT((('CASE MASTER'!$T$2:$T$495=3)*('CASE MASTER'!$U$2:$U$495&lt;=4)*('CASE MASTER'!$W$2:$W$495&gt;=4)*('CASE MASTER'!$V$2:$V$495&lt;=7)*('CASE MASTER'!$X$2:$X$495&gt;=7))*ROW('CASE MASTER'!$T$2:$T$495))&gt;0,INDEX('CASE MASTER'!$Y$2:$Y$495,(SUMPRODUCT((('CASE MASTER'!$T$2:$T$495=3)*('CASE MASTER'!$U$2:$U$495&lt;=4)*('CASE MASTER'!$W$2:$W$495&gt;=4)*('CASE MASTER'!$V$2:$V$495&lt;=7)*('CASE MASTER'!$X$2:$X$495&gt;=7))*ROW('CASE MASTER'!$T$2:$T$495))-(ROW('CASE MASTER'!#REF!)-1)))&amp;TRIM(MID(SUBSTITUTE(SUBSTITUTE(INDEX('CASE MASTER'!$N$2:$N$495,(SUMPRODUCT((('CASE MASTER'!$T$2:$T$495=3)*('CASE MASTER'!$U$2:$U$495&lt;=4)*('CASE MASTER'!$W$2:$W$495&gt;=4)*('CASE MASTER'!$V$2:$V$495&lt;=7)*('CASE MASTER'!$X$2:$X$495&gt;=7))*ROW('CASE MASTER'!$T$2:$T$495))-(ROW('CASE MASTER'!#REF!)-1))),":",","),",",REPT(" ",50)),((((4-INDEX('CASE MASTER'!$U$2:$U$495,(SUMPRODUCT((('CASE MASTER'!$T$2:$T$495=3)*('CASE MASTER'!$U$2:$U$495&lt;=4)*('CASE MASTER'!$W$2:$W$495&gt;=4)*('CASE MASTER'!$V$2:$V$495&lt;=7)*('CASE MASTER'!$X$2:$X$495&gt;=7))*ROW('CASE MASTER'!$T$2:$T$495))-(ROW('CASE MASTER'!#REF!)-1))))*(INDEX('CASE MASTER'!$X$2:$X$495,(SUMPRODUCT((('CASE MASTER'!$T$2:$T$495=3)*('CASE MASTER'!$U$2:$U$495&lt;=4)*('CASE MASTER'!$W$2:$W$495&gt;=4)*('CASE MASTER'!$V$2:$V$495&lt;=7)*('CASE MASTER'!$X$2:$X$495&gt;=7))*ROW('CASE MASTER'!$T$2:$T$495))-(ROW('CASE MASTER'!#REF!)-1)))-INDEX('CASE MASTER'!$V$2:$V$495,(SUMPRODUCT((('CASE MASTER'!$T$2:$T$495=3)*('CASE MASTER'!$U$2:$U$495&lt;=4)*('CASE MASTER'!$W$2:$W$495&gt;=4)*('CASE MASTER'!$V$2:$V$495&lt;=7)*('CASE MASTER'!$X$2:$X$495&gt;=7))*ROW('CASE MASTER'!$T$2:$T$495))-(ROW('CASE MASTER'!#REF!)-1)))+1)+(7-INDEX('CASE MASTER'!$V$2:$V$495,(SUMPRODUCT((('CASE MASTER'!$T$2:$T$495=3)*('CASE MASTER'!$U$2:$U$495&lt;=4)*('CASE MASTER'!$W$2:$W$495&gt;=4)*('CASE MASTER'!$V$2:$V$495&lt;=7)*('CASE MASTER'!$X$2:$X$495&gt;=7))*ROW('CASE MASTER'!$T$2:$T$495))-(ROW('CASE MASTER'!#REF!)-1))))+1))-1)*50+1,50))&amp;"_"&amp;INDEX('CASE MASTER'!$Q$2:$Q$495,(SUMPRODUCT((('CASE MASTER'!$T$2:$T$495=3)*('CASE MASTER'!$U$2:$U$495&lt;=4)*('CASE MASTER'!$W$2:$W$495&gt;=4)*('CASE MASTER'!$V$2:$V$495&lt;=7)*('CASE MASTER'!$X$2:$X$495&gt;=7))*ROW('CASE MASTER'!$T$2:$T$495))-(ROW('CASE MASTER'!#REF!)-1))),IF(SUMPRODUCT((('CASE MASTER'!$T$2:$T$495=3)*('CASE MASTER'!$AA$2:$AA$495&lt;=4)*('CASE MASTER'!$AC$2:$AC$495&gt;=4)*('CASE MASTER'!$AB$2:$AB$495&lt;=7)*('CASE MASTER'!$AD$2:$AD$495&gt;=7))*ROW('CASE MASTER'!$T$2:$T$495))&gt;0,INDEX('CASE MASTER'!$Y$2:$Y$495,(SUMPRODUCT((('CASE MASTER'!$T$2:$T$495=3)*('CASE MASTER'!$AA$2:$AA$495&lt;=4)*('CASE MASTER'!$AC$2:$AC$495&gt;=4)*('CASE MASTER'!$AB$2:$AB$495&lt;=7)*('CASE MASTER'!$AD$2:$AD$495&gt;=7))*ROW('CASE MASTER'!$T$2:$T$495))-(ROW('CASE MASTER'!#REF!)-1)))&amp;TRIM(MID(SUBSTITUTE(SUBSTITUTE(INDEX('CASE MASTER'!$N$2:$N$495,(SUMPRODUCT((('CASE MASTER'!$T$2:$T$495=3)*('CASE MASTER'!$AA$2:$AA$495&lt;=4)*('CASE MASTER'!$AC$2:$AC$495&gt;=4)*('CASE MASTER'!$AB$2:$AB$495&lt;=7)*('CASE MASTER'!$AD$2:$AD$495&gt;=7))*ROW('CASE MASTER'!$T$2:$T$495))-(ROW('CASE MASTER'!#REF!)-1))),":",","),",",REPT(" ",50)),(((INDEX('CASE MASTER'!$Z$2:$Z$495,(SUMPRODUCT((('CASE MASTER'!$T$2:$T$495=3)*('CASE MASTER'!$AA$2:$AA$495&lt;=4)*('CASE MASTER'!$AC$2:$AC$495&gt;=4)*('CASE MASTER'!$AB$2:$AB$495&lt;=7)*('CASE MASTER'!$AD$2:$AD$495&gt;=7))*ROW('CASE MASTER'!$T$2:$T$495))-(ROW('CASE MASTER'!#REF!)-1)))+((4-INDEX('CASE MASTER'!$AA$2:$AA$495,(SUMPRODUCT((('CASE MASTER'!$T$2:$T$495=3)*('CASE MASTER'!$AA$2:$AA$495&lt;=4)*('CASE MASTER'!$AC$2:$AC$495&gt;=4)*('CASE MASTER'!$AB$2:$AB$495&lt;=7)*('CASE MASTER'!$AD$2:$AD$495&gt;=7))*ROW('CASE MASTER'!$T$2:$T$495))-(ROW('CASE MASTER'!#REF!)-1))))*(INDEX('CASE MASTER'!$AD$2:$AD$495,(SUMPRODUCT((('CASE MASTER'!$T$2:$T$495=3)*('CASE MASTER'!$AA$2:$AA$495&lt;=4)*('CASE MASTER'!$AC$2:$AC$495&gt;=4)*('CASE MASTER'!$AB$2:$AB$495&lt;=7)*('CASE MASTER'!$AD$2:$AD$495&gt;=7))*ROW('CASE MASTER'!$T$2:$T$495))-(ROW('CASE MASTER'!#REF!)-1)))-INDEX('CASE MASTER'!$AB$2:$AB$495,(SUMPRODUCT((('CASE MASTER'!$T$2:$T$495=3)*('CASE MASTER'!$AA$2:$AA$495&lt;=4)*('CASE MASTER'!$AC$2:$AC$495&gt;=4)*('CASE MASTER'!$AB$2:$AB$495&lt;=7)*('CASE MASTER'!$AD$2:$AD$495&gt;=7))*ROW('CASE MASTER'!$T$2:$T$495))-(ROW('CASE MASTER'!#REF!)-1)))+1)+(7-INDEX('CASE MASTER'!$AB$2:$AB$495,(SUMPRODUCT((('CASE MASTER'!$T$2:$T$495=3)*('CASE MASTER'!$AA$2:$AA$495&lt;=4)*('CASE MASTER'!$AC$2:$AC$495&gt;=4)*('CASE MASTER'!$AB$2:$AB$495&lt;=7)*('CASE MASTER'!$AD$2:$AD$495&gt;=7))*ROW('CASE MASTER'!$T$2:$T$495))-(ROW('CASE MASTER'!#REF!)-1))))+1)))-1)*50+1,50))&amp;"_"&amp;INDEX('CASE MASTER'!$Q$2:$Q$495,(SUMPRODUCT((('CASE MASTER'!$T$2:$T$495=3)*('CASE MASTER'!$AA$2:$AA$495&lt;=4)*('CASE MASTER'!$AC$2:$AC$495&gt;=4)*('CASE MASTER'!$AB$2:$AB$495&lt;=7)*('CASE MASTER'!$AD$2:$AD$495&gt;=7))*ROW('CASE MASTER'!$T$2:$T$495))-(ROW('CASE MASTER'!#REF!)-1))),"")),"")</f>
        <v/>
      </c>
      <c r="I34" s="10" t="str">
        <f>IFERROR(IF(SUMPRODUCT((('CASE MASTER'!$T$2:$T$495=3)*('CASE MASTER'!$U$2:$U$495&lt;=4)*('CASE MASTER'!$W$2:$W$495&gt;=4)*('CASE MASTER'!$V$2:$V$495&lt;=8)*('CASE MASTER'!$X$2:$X$495&gt;=8))*ROW('CASE MASTER'!$T$2:$T$495))&gt;0,INDEX('CASE MASTER'!$Y$2:$Y$495,(SUMPRODUCT((('CASE MASTER'!$T$2:$T$495=3)*('CASE MASTER'!$U$2:$U$495&lt;=4)*('CASE MASTER'!$W$2:$W$495&gt;=4)*('CASE MASTER'!$V$2:$V$495&lt;=8)*('CASE MASTER'!$X$2:$X$495&gt;=8))*ROW('CASE MASTER'!$T$2:$T$495))-(ROW('CASE MASTER'!#REF!)-1)))&amp;TRIM(MID(SUBSTITUTE(SUBSTITUTE(INDEX('CASE MASTER'!$N$2:$N$495,(SUMPRODUCT((('CASE MASTER'!$T$2:$T$495=3)*('CASE MASTER'!$U$2:$U$495&lt;=4)*('CASE MASTER'!$W$2:$W$495&gt;=4)*('CASE MASTER'!$V$2:$V$495&lt;=8)*('CASE MASTER'!$X$2:$X$495&gt;=8))*ROW('CASE MASTER'!$T$2:$T$495))-(ROW('CASE MASTER'!#REF!)-1))),":",","),",",REPT(" ",50)),((((4-INDEX('CASE MASTER'!$U$2:$U$495,(SUMPRODUCT((('CASE MASTER'!$T$2:$T$495=3)*('CASE MASTER'!$U$2:$U$495&lt;=4)*('CASE MASTER'!$W$2:$W$495&gt;=4)*('CASE MASTER'!$V$2:$V$495&lt;=8)*('CASE MASTER'!$X$2:$X$495&gt;=8))*ROW('CASE MASTER'!$T$2:$T$495))-(ROW('CASE MASTER'!#REF!)-1))))*(INDEX('CASE MASTER'!$X$2:$X$495,(SUMPRODUCT((('CASE MASTER'!$T$2:$T$495=3)*('CASE MASTER'!$U$2:$U$495&lt;=4)*('CASE MASTER'!$W$2:$W$495&gt;=4)*('CASE MASTER'!$V$2:$V$495&lt;=8)*('CASE MASTER'!$X$2:$X$495&gt;=8))*ROW('CASE MASTER'!$T$2:$T$495))-(ROW('CASE MASTER'!#REF!)-1)))-INDEX('CASE MASTER'!$V$2:$V$495,(SUMPRODUCT((('CASE MASTER'!$T$2:$T$495=3)*('CASE MASTER'!$U$2:$U$495&lt;=4)*('CASE MASTER'!$W$2:$W$495&gt;=4)*('CASE MASTER'!$V$2:$V$495&lt;=8)*('CASE MASTER'!$X$2:$X$495&gt;=8))*ROW('CASE MASTER'!$T$2:$T$495))-(ROW('CASE MASTER'!#REF!)-1)))+1)+(8-INDEX('CASE MASTER'!$V$2:$V$495,(SUMPRODUCT((('CASE MASTER'!$T$2:$T$495=3)*('CASE MASTER'!$U$2:$U$495&lt;=4)*('CASE MASTER'!$W$2:$W$495&gt;=4)*('CASE MASTER'!$V$2:$V$495&lt;=8)*('CASE MASTER'!$X$2:$X$495&gt;=8))*ROW('CASE MASTER'!$T$2:$T$495))-(ROW('CASE MASTER'!#REF!)-1))))+1))-1)*50+1,50))&amp;"_"&amp;INDEX('CASE MASTER'!$Q$2:$Q$495,(SUMPRODUCT((('CASE MASTER'!$T$2:$T$495=3)*('CASE MASTER'!$U$2:$U$495&lt;=4)*('CASE MASTER'!$W$2:$W$495&gt;=4)*('CASE MASTER'!$V$2:$V$495&lt;=8)*('CASE MASTER'!$X$2:$X$495&gt;=8))*ROW('CASE MASTER'!$T$2:$T$495))-(ROW('CASE MASTER'!#REF!)-1))),IF(SUMPRODUCT((('CASE MASTER'!$T$2:$T$495=3)*('CASE MASTER'!$AA$2:$AA$495&lt;=4)*('CASE MASTER'!$AC$2:$AC$495&gt;=4)*('CASE MASTER'!$AB$2:$AB$495&lt;=8)*('CASE MASTER'!$AD$2:$AD$495&gt;=8))*ROW('CASE MASTER'!$T$2:$T$495))&gt;0,INDEX('CASE MASTER'!$Y$2:$Y$495,(SUMPRODUCT((('CASE MASTER'!$T$2:$T$495=3)*('CASE MASTER'!$AA$2:$AA$495&lt;=4)*('CASE MASTER'!$AC$2:$AC$495&gt;=4)*('CASE MASTER'!$AB$2:$AB$495&lt;=8)*('CASE MASTER'!$AD$2:$AD$495&gt;=8))*ROW('CASE MASTER'!$T$2:$T$495))-(ROW('CASE MASTER'!#REF!)-1)))&amp;TRIM(MID(SUBSTITUTE(SUBSTITUTE(INDEX('CASE MASTER'!$N$2:$N$495,(SUMPRODUCT((('CASE MASTER'!$T$2:$T$495=3)*('CASE MASTER'!$AA$2:$AA$495&lt;=4)*('CASE MASTER'!$AC$2:$AC$495&gt;=4)*('CASE MASTER'!$AB$2:$AB$495&lt;=8)*('CASE MASTER'!$AD$2:$AD$495&gt;=8))*ROW('CASE MASTER'!$T$2:$T$495))-(ROW('CASE MASTER'!#REF!)-1))),":",","),",",REPT(" ",50)),(((INDEX('CASE MASTER'!$Z$2:$Z$495,(SUMPRODUCT((('CASE MASTER'!$T$2:$T$495=3)*('CASE MASTER'!$AA$2:$AA$495&lt;=4)*('CASE MASTER'!$AC$2:$AC$495&gt;=4)*('CASE MASTER'!$AB$2:$AB$495&lt;=8)*('CASE MASTER'!$AD$2:$AD$495&gt;=8))*ROW('CASE MASTER'!$T$2:$T$495))-(ROW('CASE MASTER'!#REF!)-1)))+((4-INDEX('CASE MASTER'!$AA$2:$AA$495,(SUMPRODUCT((('CASE MASTER'!$T$2:$T$495=3)*('CASE MASTER'!$AA$2:$AA$495&lt;=4)*('CASE MASTER'!$AC$2:$AC$495&gt;=4)*('CASE MASTER'!$AB$2:$AB$495&lt;=8)*('CASE MASTER'!$AD$2:$AD$495&gt;=8))*ROW('CASE MASTER'!$T$2:$T$495))-(ROW('CASE MASTER'!#REF!)-1))))*(INDEX('CASE MASTER'!$AD$2:$AD$495,(SUMPRODUCT((('CASE MASTER'!$T$2:$T$495=3)*('CASE MASTER'!$AA$2:$AA$495&lt;=4)*('CASE MASTER'!$AC$2:$AC$495&gt;=4)*('CASE MASTER'!$AB$2:$AB$495&lt;=8)*('CASE MASTER'!$AD$2:$AD$495&gt;=8))*ROW('CASE MASTER'!$T$2:$T$495))-(ROW('CASE MASTER'!#REF!)-1)))-INDEX('CASE MASTER'!$AB$2:$AB$495,(SUMPRODUCT((('CASE MASTER'!$T$2:$T$495=3)*('CASE MASTER'!$AA$2:$AA$495&lt;=4)*('CASE MASTER'!$AC$2:$AC$495&gt;=4)*('CASE MASTER'!$AB$2:$AB$495&lt;=8)*('CASE MASTER'!$AD$2:$AD$495&gt;=8))*ROW('CASE MASTER'!$T$2:$T$495))-(ROW('CASE MASTER'!#REF!)-1)))+1)+(8-INDEX('CASE MASTER'!$AB$2:$AB$495,(SUMPRODUCT((('CASE MASTER'!$T$2:$T$495=3)*('CASE MASTER'!$AA$2:$AA$495&lt;=4)*('CASE MASTER'!$AC$2:$AC$495&gt;=4)*('CASE MASTER'!$AB$2:$AB$495&lt;=8)*('CASE MASTER'!$AD$2:$AD$495&gt;=8))*ROW('CASE MASTER'!$T$2:$T$495))-(ROW('CASE MASTER'!#REF!)-1))))+1)))-1)*50+1,50))&amp;"_"&amp;INDEX('CASE MASTER'!$Q$2:$Q$495,(SUMPRODUCT((('CASE MASTER'!$T$2:$T$495=3)*('CASE MASTER'!$AA$2:$AA$495&lt;=4)*('CASE MASTER'!$AC$2:$AC$495&gt;=4)*('CASE MASTER'!$AB$2:$AB$495&lt;=8)*('CASE MASTER'!$AD$2:$AD$495&gt;=8))*ROW('CASE MASTER'!$T$2:$T$495))-(ROW('CASE MASTER'!#REF!)-1))),"")),"")</f>
        <v/>
      </c>
      <c r="J34" s="10" t="str">
        <f>IFERROR(IF(SUMPRODUCT((('CASE MASTER'!$T$2:$T$495=3)*('CASE MASTER'!$U$2:$U$495&lt;=4)*('CASE MASTER'!$W$2:$W$495&gt;=4)*('CASE MASTER'!$V$2:$V$495&lt;=9)*('CASE MASTER'!$X$2:$X$495&gt;=9))*ROW('CASE MASTER'!$T$2:$T$495))&gt;0,INDEX('CASE MASTER'!$Y$2:$Y$495,(SUMPRODUCT((('CASE MASTER'!$T$2:$T$495=3)*('CASE MASTER'!$U$2:$U$495&lt;=4)*('CASE MASTER'!$W$2:$W$495&gt;=4)*('CASE MASTER'!$V$2:$V$495&lt;=9)*('CASE MASTER'!$X$2:$X$495&gt;=9))*ROW('CASE MASTER'!$T$2:$T$495))-(ROW('CASE MASTER'!#REF!)-1)))&amp;TRIM(MID(SUBSTITUTE(SUBSTITUTE(INDEX('CASE MASTER'!$N$2:$N$495,(SUMPRODUCT((('CASE MASTER'!$T$2:$T$495=3)*('CASE MASTER'!$U$2:$U$495&lt;=4)*('CASE MASTER'!$W$2:$W$495&gt;=4)*('CASE MASTER'!$V$2:$V$495&lt;=9)*('CASE MASTER'!$X$2:$X$495&gt;=9))*ROW('CASE MASTER'!$T$2:$T$495))-(ROW('CASE MASTER'!#REF!)-1))),":",","),",",REPT(" ",50)),((((4-INDEX('CASE MASTER'!$U$2:$U$495,(SUMPRODUCT((('CASE MASTER'!$T$2:$T$495=3)*('CASE MASTER'!$U$2:$U$495&lt;=4)*('CASE MASTER'!$W$2:$W$495&gt;=4)*('CASE MASTER'!$V$2:$V$495&lt;=9)*('CASE MASTER'!$X$2:$X$495&gt;=9))*ROW('CASE MASTER'!$T$2:$T$495))-(ROW('CASE MASTER'!#REF!)-1))))*(INDEX('CASE MASTER'!$X$2:$X$495,(SUMPRODUCT((('CASE MASTER'!$T$2:$T$495=3)*('CASE MASTER'!$U$2:$U$495&lt;=4)*('CASE MASTER'!$W$2:$W$495&gt;=4)*('CASE MASTER'!$V$2:$V$495&lt;=9)*('CASE MASTER'!$X$2:$X$495&gt;=9))*ROW('CASE MASTER'!$T$2:$T$495))-(ROW('CASE MASTER'!#REF!)-1)))-INDEX('CASE MASTER'!$V$2:$V$495,(SUMPRODUCT((('CASE MASTER'!$T$2:$T$495=3)*('CASE MASTER'!$U$2:$U$495&lt;=4)*('CASE MASTER'!$W$2:$W$495&gt;=4)*('CASE MASTER'!$V$2:$V$495&lt;=9)*('CASE MASTER'!$X$2:$X$495&gt;=9))*ROW('CASE MASTER'!$T$2:$T$495))-(ROW('CASE MASTER'!#REF!)-1)))+1)+(9-INDEX('CASE MASTER'!$V$2:$V$495,(SUMPRODUCT((('CASE MASTER'!$T$2:$T$495=3)*('CASE MASTER'!$U$2:$U$495&lt;=4)*('CASE MASTER'!$W$2:$W$495&gt;=4)*('CASE MASTER'!$V$2:$V$495&lt;=9)*('CASE MASTER'!$X$2:$X$495&gt;=9))*ROW('CASE MASTER'!$T$2:$T$495))-(ROW('CASE MASTER'!#REF!)-1))))+1))-1)*50+1,50))&amp;"_"&amp;INDEX('CASE MASTER'!$Q$2:$Q$495,(SUMPRODUCT((('CASE MASTER'!$T$2:$T$495=3)*('CASE MASTER'!$U$2:$U$495&lt;=4)*('CASE MASTER'!$W$2:$W$495&gt;=4)*('CASE MASTER'!$V$2:$V$495&lt;=9)*('CASE MASTER'!$X$2:$X$495&gt;=9))*ROW('CASE MASTER'!$T$2:$T$495))-(ROW('CASE MASTER'!#REF!)-1))),IF(SUMPRODUCT((('CASE MASTER'!$T$2:$T$495=3)*('CASE MASTER'!$AA$2:$AA$495&lt;=4)*('CASE MASTER'!$AC$2:$AC$495&gt;=4)*('CASE MASTER'!$AB$2:$AB$495&lt;=9)*('CASE MASTER'!$AD$2:$AD$495&gt;=9))*ROW('CASE MASTER'!$T$2:$T$495))&gt;0,INDEX('CASE MASTER'!$Y$2:$Y$495,(SUMPRODUCT((('CASE MASTER'!$T$2:$T$495=3)*('CASE MASTER'!$AA$2:$AA$495&lt;=4)*('CASE MASTER'!$AC$2:$AC$495&gt;=4)*('CASE MASTER'!$AB$2:$AB$495&lt;=9)*('CASE MASTER'!$AD$2:$AD$495&gt;=9))*ROW('CASE MASTER'!$T$2:$T$495))-(ROW('CASE MASTER'!#REF!)-1)))&amp;TRIM(MID(SUBSTITUTE(SUBSTITUTE(INDEX('CASE MASTER'!$N$2:$N$495,(SUMPRODUCT((('CASE MASTER'!$T$2:$T$495=3)*('CASE MASTER'!$AA$2:$AA$495&lt;=4)*('CASE MASTER'!$AC$2:$AC$495&gt;=4)*('CASE MASTER'!$AB$2:$AB$495&lt;=9)*('CASE MASTER'!$AD$2:$AD$495&gt;=9))*ROW('CASE MASTER'!$T$2:$T$495))-(ROW('CASE MASTER'!#REF!)-1))),":",","),",",REPT(" ",50)),(((INDEX('CASE MASTER'!$Z$2:$Z$495,(SUMPRODUCT((('CASE MASTER'!$T$2:$T$495=3)*('CASE MASTER'!$AA$2:$AA$495&lt;=4)*('CASE MASTER'!$AC$2:$AC$495&gt;=4)*('CASE MASTER'!$AB$2:$AB$495&lt;=9)*('CASE MASTER'!$AD$2:$AD$495&gt;=9))*ROW('CASE MASTER'!$T$2:$T$495))-(ROW('CASE MASTER'!#REF!)-1)))+((4-INDEX('CASE MASTER'!$AA$2:$AA$495,(SUMPRODUCT((('CASE MASTER'!$T$2:$T$495=3)*('CASE MASTER'!$AA$2:$AA$495&lt;=4)*('CASE MASTER'!$AC$2:$AC$495&gt;=4)*('CASE MASTER'!$AB$2:$AB$495&lt;=9)*('CASE MASTER'!$AD$2:$AD$495&gt;=9))*ROW('CASE MASTER'!$T$2:$T$495))-(ROW('CASE MASTER'!#REF!)-1))))*(INDEX('CASE MASTER'!$AD$2:$AD$495,(SUMPRODUCT((('CASE MASTER'!$T$2:$T$495=3)*('CASE MASTER'!$AA$2:$AA$495&lt;=4)*('CASE MASTER'!$AC$2:$AC$495&gt;=4)*('CASE MASTER'!$AB$2:$AB$495&lt;=9)*('CASE MASTER'!$AD$2:$AD$495&gt;=9))*ROW('CASE MASTER'!$T$2:$T$495))-(ROW('CASE MASTER'!#REF!)-1)))-INDEX('CASE MASTER'!$AB$2:$AB$495,(SUMPRODUCT((('CASE MASTER'!$T$2:$T$495=3)*('CASE MASTER'!$AA$2:$AA$495&lt;=4)*('CASE MASTER'!$AC$2:$AC$495&gt;=4)*('CASE MASTER'!$AB$2:$AB$495&lt;=9)*('CASE MASTER'!$AD$2:$AD$495&gt;=9))*ROW('CASE MASTER'!$T$2:$T$495))-(ROW('CASE MASTER'!#REF!)-1)))+1)+(9-INDEX('CASE MASTER'!$AB$2:$AB$495,(SUMPRODUCT((('CASE MASTER'!$T$2:$T$495=3)*('CASE MASTER'!$AA$2:$AA$495&lt;=4)*('CASE MASTER'!$AC$2:$AC$495&gt;=4)*('CASE MASTER'!$AB$2:$AB$495&lt;=9)*('CASE MASTER'!$AD$2:$AD$495&gt;=9))*ROW('CASE MASTER'!$T$2:$T$495))-(ROW('CASE MASTER'!#REF!)-1))))+1)))-1)*50+1,50))&amp;"_"&amp;INDEX('CASE MASTER'!$Q$2:$Q$495,(SUMPRODUCT((('CASE MASTER'!$T$2:$T$495=3)*('CASE MASTER'!$AA$2:$AA$495&lt;=4)*('CASE MASTER'!$AC$2:$AC$495&gt;=4)*('CASE MASTER'!$AB$2:$AB$495&lt;=9)*('CASE MASTER'!$AD$2:$AD$495&gt;=9))*ROW('CASE MASTER'!$T$2:$T$495))-(ROW('CASE MASTER'!#REF!)-1))),"")),"")</f>
        <v/>
      </c>
      <c r="K34" s="10" t="str">
        <f>IFERROR(IF(SUMPRODUCT((('CASE MASTER'!$T$2:$T$495=3)*('CASE MASTER'!$U$2:$U$495&lt;=4)*('CASE MASTER'!$W$2:$W$495&gt;=4)*('CASE MASTER'!$V$2:$V$495&lt;=10)*('CASE MASTER'!$X$2:$X$495&gt;=10))*ROW('CASE MASTER'!$T$2:$T$495))&gt;0,INDEX('CASE MASTER'!$Y$2:$Y$495,(SUMPRODUCT((('CASE MASTER'!$T$2:$T$495=3)*('CASE MASTER'!$U$2:$U$495&lt;=4)*('CASE MASTER'!$W$2:$W$495&gt;=4)*('CASE MASTER'!$V$2:$V$495&lt;=10)*('CASE MASTER'!$X$2:$X$495&gt;=10))*ROW('CASE MASTER'!$T$2:$T$495))-(ROW('CASE MASTER'!#REF!)-1)))&amp;TRIM(MID(SUBSTITUTE(SUBSTITUTE(INDEX('CASE MASTER'!$N$2:$N$495,(SUMPRODUCT((('CASE MASTER'!$T$2:$T$495=3)*('CASE MASTER'!$U$2:$U$495&lt;=4)*('CASE MASTER'!$W$2:$W$495&gt;=4)*('CASE MASTER'!$V$2:$V$495&lt;=10)*('CASE MASTER'!$X$2:$X$495&gt;=10))*ROW('CASE MASTER'!$T$2:$T$495))-(ROW('CASE MASTER'!#REF!)-1))),":",","),",",REPT(" ",50)),((((4-INDEX('CASE MASTER'!$U$2:$U$495,(SUMPRODUCT((('CASE MASTER'!$T$2:$T$495=3)*('CASE MASTER'!$U$2:$U$495&lt;=4)*('CASE MASTER'!$W$2:$W$495&gt;=4)*('CASE MASTER'!$V$2:$V$495&lt;=10)*('CASE MASTER'!$X$2:$X$495&gt;=10))*ROW('CASE MASTER'!$T$2:$T$495))-(ROW('CASE MASTER'!#REF!)-1))))*(INDEX('CASE MASTER'!$X$2:$X$495,(SUMPRODUCT((('CASE MASTER'!$T$2:$T$495=3)*('CASE MASTER'!$U$2:$U$495&lt;=4)*('CASE MASTER'!$W$2:$W$495&gt;=4)*('CASE MASTER'!$V$2:$V$495&lt;=10)*('CASE MASTER'!$X$2:$X$495&gt;=10))*ROW('CASE MASTER'!$T$2:$T$495))-(ROW('CASE MASTER'!#REF!)-1)))-INDEX('CASE MASTER'!$V$2:$V$495,(SUMPRODUCT((('CASE MASTER'!$T$2:$T$495=3)*('CASE MASTER'!$U$2:$U$495&lt;=4)*('CASE MASTER'!$W$2:$W$495&gt;=4)*('CASE MASTER'!$V$2:$V$495&lt;=10)*('CASE MASTER'!$X$2:$X$495&gt;=10))*ROW('CASE MASTER'!$T$2:$T$495))-(ROW('CASE MASTER'!#REF!)-1)))+1)+(10-INDEX('CASE MASTER'!$V$2:$V$495,(SUMPRODUCT((('CASE MASTER'!$T$2:$T$495=3)*('CASE MASTER'!$U$2:$U$495&lt;=4)*('CASE MASTER'!$W$2:$W$495&gt;=4)*('CASE MASTER'!$V$2:$V$495&lt;=10)*('CASE MASTER'!$X$2:$X$495&gt;=10))*ROW('CASE MASTER'!$T$2:$T$495))-(ROW('CASE MASTER'!#REF!)-1))))+1))-1)*50+1,50))&amp;"_"&amp;INDEX('CASE MASTER'!$Q$2:$Q$495,(SUMPRODUCT((('CASE MASTER'!$T$2:$T$495=3)*('CASE MASTER'!$U$2:$U$495&lt;=4)*('CASE MASTER'!$W$2:$W$495&gt;=4)*('CASE MASTER'!$V$2:$V$495&lt;=10)*('CASE MASTER'!$X$2:$X$495&gt;=10))*ROW('CASE MASTER'!$T$2:$T$495))-(ROW('CASE MASTER'!#REF!)-1))),IF(SUMPRODUCT((('CASE MASTER'!$T$2:$T$495=3)*('CASE MASTER'!$AA$2:$AA$495&lt;=4)*('CASE MASTER'!$AC$2:$AC$495&gt;=4)*('CASE MASTER'!$AB$2:$AB$495&lt;=10)*('CASE MASTER'!$AD$2:$AD$495&gt;=10))*ROW('CASE MASTER'!$T$2:$T$495))&gt;0,INDEX('CASE MASTER'!$Y$2:$Y$495,(SUMPRODUCT((('CASE MASTER'!$T$2:$T$495=3)*('CASE MASTER'!$AA$2:$AA$495&lt;=4)*('CASE MASTER'!$AC$2:$AC$495&gt;=4)*('CASE MASTER'!$AB$2:$AB$495&lt;=10)*('CASE MASTER'!$AD$2:$AD$495&gt;=10))*ROW('CASE MASTER'!$T$2:$T$495))-(ROW('CASE MASTER'!#REF!)-1)))&amp;TRIM(MID(SUBSTITUTE(SUBSTITUTE(INDEX('CASE MASTER'!$N$2:$N$495,(SUMPRODUCT((('CASE MASTER'!$T$2:$T$495=3)*('CASE MASTER'!$AA$2:$AA$495&lt;=4)*('CASE MASTER'!$AC$2:$AC$495&gt;=4)*('CASE MASTER'!$AB$2:$AB$495&lt;=10)*('CASE MASTER'!$AD$2:$AD$495&gt;=10))*ROW('CASE MASTER'!$T$2:$T$495))-(ROW('CASE MASTER'!#REF!)-1))),":",","),",",REPT(" ",50)),(((INDEX('CASE MASTER'!$Z$2:$Z$495,(SUMPRODUCT((('CASE MASTER'!$T$2:$T$495=3)*('CASE MASTER'!$AA$2:$AA$495&lt;=4)*('CASE MASTER'!$AC$2:$AC$495&gt;=4)*('CASE MASTER'!$AB$2:$AB$495&lt;=10)*('CASE MASTER'!$AD$2:$AD$495&gt;=10))*ROW('CASE MASTER'!$T$2:$T$495))-(ROW('CASE MASTER'!#REF!)-1)))+((4-INDEX('CASE MASTER'!$AA$2:$AA$495,(SUMPRODUCT((('CASE MASTER'!$T$2:$T$495=3)*('CASE MASTER'!$AA$2:$AA$495&lt;=4)*('CASE MASTER'!$AC$2:$AC$495&gt;=4)*('CASE MASTER'!$AB$2:$AB$495&lt;=10)*('CASE MASTER'!$AD$2:$AD$495&gt;=10))*ROW('CASE MASTER'!$T$2:$T$495))-(ROW('CASE MASTER'!#REF!)-1))))*(INDEX('CASE MASTER'!$AD$2:$AD$495,(SUMPRODUCT((('CASE MASTER'!$T$2:$T$495=3)*('CASE MASTER'!$AA$2:$AA$495&lt;=4)*('CASE MASTER'!$AC$2:$AC$495&gt;=4)*('CASE MASTER'!$AB$2:$AB$495&lt;=10)*('CASE MASTER'!$AD$2:$AD$495&gt;=10))*ROW('CASE MASTER'!$T$2:$T$495))-(ROW('CASE MASTER'!#REF!)-1)))-INDEX('CASE MASTER'!$AB$2:$AB$495,(SUMPRODUCT((('CASE MASTER'!$T$2:$T$495=3)*('CASE MASTER'!$AA$2:$AA$495&lt;=4)*('CASE MASTER'!$AC$2:$AC$495&gt;=4)*('CASE MASTER'!$AB$2:$AB$495&lt;=10)*('CASE MASTER'!$AD$2:$AD$495&gt;=10))*ROW('CASE MASTER'!$T$2:$T$495))-(ROW('CASE MASTER'!#REF!)-1)))+1)+(10-INDEX('CASE MASTER'!$AB$2:$AB$495,(SUMPRODUCT((('CASE MASTER'!$T$2:$T$495=3)*('CASE MASTER'!$AA$2:$AA$495&lt;=4)*('CASE MASTER'!$AC$2:$AC$495&gt;=4)*('CASE MASTER'!$AB$2:$AB$495&lt;=10)*('CASE MASTER'!$AD$2:$AD$495&gt;=10))*ROW('CASE MASTER'!$T$2:$T$495))-(ROW('CASE MASTER'!#REF!)-1))))+1)))-1)*50+1,50))&amp;"_"&amp;INDEX('CASE MASTER'!$Q$2:$Q$495,(SUMPRODUCT((('CASE MASTER'!$T$2:$T$495=3)*('CASE MASTER'!$AA$2:$AA$495&lt;=4)*('CASE MASTER'!$AC$2:$AC$495&gt;=4)*('CASE MASTER'!$AB$2:$AB$495&lt;=10)*('CASE MASTER'!$AD$2:$AD$495&gt;=10))*ROW('CASE MASTER'!$T$2:$T$495))-(ROW('CASE MASTER'!#REF!)-1))),"")),"")</f>
        <v/>
      </c>
    </row>
    <row r="35" spans="1:11" ht="15" customHeight="1" x14ac:dyDescent="0.35">
      <c r="A35" s="8" t="s">
        <v>32</v>
      </c>
      <c r="B35" s="10" t="str">
        <f>IFERROR(IF(SUMPRODUCT((('CASE MASTER'!$T$2:$T$495=3)*('CASE MASTER'!$U$2:$U$495&lt;=5)*('CASE MASTER'!$W$2:$W$495&gt;=5)*('CASE MASTER'!$V$2:$V$495&lt;=1)*('CASE MASTER'!$X$2:$X$495&gt;=1))*ROW('CASE MASTER'!$T$2:$T$495))&gt;0,INDEX('CASE MASTER'!$Y$2:$Y$495,(SUMPRODUCT((('CASE MASTER'!$T$2:$T$495=3)*('CASE MASTER'!$U$2:$U$495&lt;=5)*('CASE MASTER'!$W$2:$W$495&gt;=5)*('CASE MASTER'!$V$2:$V$495&lt;=1)*('CASE MASTER'!$X$2:$X$495&gt;=1))*ROW('CASE MASTER'!$T$2:$T$495))-(ROW('CASE MASTER'!#REF!)-1)))&amp;TRIM(MID(SUBSTITUTE(SUBSTITUTE(INDEX('CASE MASTER'!$N$2:$N$495,(SUMPRODUCT((('CASE MASTER'!$T$2:$T$495=3)*('CASE MASTER'!$U$2:$U$495&lt;=5)*('CASE MASTER'!$W$2:$W$495&gt;=5)*('CASE MASTER'!$V$2:$V$495&lt;=1)*('CASE MASTER'!$X$2:$X$495&gt;=1))*ROW('CASE MASTER'!$T$2:$T$495))-(ROW('CASE MASTER'!#REF!)-1))),":",","),",",REPT(" ",50)),((((5-INDEX('CASE MASTER'!$U$2:$U$495,(SUMPRODUCT((('CASE MASTER'!$T$2:$T$495=3)*('CASE MASTER'!$U$2:$U$495&lt;=5)*('CASE MASTER'!$W$2:$W$495&gt;=5)*('CASE MASTER'!$V$2:$V$495&lt;=1)*('CASE MASTER'!$X$2:$X$495&gt;=1))*ROW('CASE MASTER'!$T$2:$T$495))-(ROW('CASE MASTER'!#REF!)-1))))*(INDEX('CASE MASTER'!$X$2:$X$495,(SUMPRODUCT((('CASE MASTER'!$T$2:$T$495=3)*('CASE MASTER'!$U$2:$U$495&lt;=5)*('CASE MASTER'!$W$2:$W$495&gt;=5)*('CASE MASTER'!$V$2:$V$495&lt;=1)*('CASE MASTER'!$X$2:$X$495&gt;=1))*ROW('CASE MASTER'!$T$2:$T$495))-(ROW('CASE MASTER'!#REF!)-1)))-INDEX('CASE MASTER'!$V$2:$V$495,(SUMPRODUCT((('CASE MASTER'!$T$2:$T$495=3)*('CASE MASTER'!$U$2:$U$495&lt;=5)*('CASE MASTER'!$W$2:$W$495&gt;=5)*('CASE MASTER'!$V$2:$V$495&lt;=1)*('CASE MASTER'!$X$2:$X$495&gt;=1))*ROW('CASE MASTER'!$T$2:$T$495))-(ROW('CASE MASTER'!#REF!)-1)))+1)+(1-INDEX('CASE MASTER'!$V$2:$V$495,(SUMPRODUCT((('CASE MASTER'!$T$2:$T$495=3)*('CASE MASTER'!$U$2:$U$495&lt;=5)*('CASE MASTER'!$W$2:$W$495&gt;=5)*('CASE MASTER'!$V$2:$V$495&lt;=1)*('CASE MASTER'!$X$2:$X$495&gt;=1))*ROW('CASE MASTER'!$T$2:$T$495))-(ROW('CASE MASTER'!#REF!)-1))))+1))-1)*50+1,50))&amp;"_"&amp;INDEX('CASE MASTER'!$Q$2:$Q$495,(SUMPRODUCT((('CASE MASTER'!$T$2:$T$495=3)*('CASE MASTER'!$U$2:$U$495&lt;=5)*('CASE MASTER'!$W$2:$W$495&gt;=5)*('CASE MASTER'!$V$2:$V$495&lt;=1)*('CASE MASTER'!$X$2:$X$495&gt;=1))*ROW('CASE MASTER'!$T$2:$T$495))-(ROW('CASE MASTER'!#REF!)-1))),IF(SUMPRODUCT((('CASE MASTER'!$T$2:$T$495=3)*('CASE MASTER'!$AA$2:$AA$495&lt;=5)*('CASE MASTER'!$AC$2:$AC$495&gt;=5)*('CASE MASTER'!$AB$2:$AB$495&lt;=1)*('CASE MASTER'!$AD$2:$AD$495&gt;=1))*ROW('CASE MASTER'!$T$2:$T$495))&gt;0,INDEX('CASE MASTER'!$Y$2:$Y$495,(SUMPRODUCT((('CASE MASTER'!$T$2:$T$495=3)*('CASE MASTER'!$AA$2:$AA$495&lt;=5)*('CASE MASTER'!$AC$2:$AC$495&gt;=5)*('CASE MASTER'!$AB$2:$AB$495&lt;=1)*('CASE MASTER'!$AD$2:$AD$495&gt;=1))*ROW('CASE MASTER'!$T$2:$T$495))-(ROW('CASE MASTER'!#REF!)-1)))&amp;TRIM(MID(SUBSTITUTE(SUBSTITUTE(INDEX('CASE MASTER'!$N$2:$N$495,(SUMPRODUCT((('CASE MASTER'!$T$2:$T$495=3)*('CASE MASTER'!$AA$2:$AA$495&lt;=5)*('CASE MASTER'!$AC$2:$AC$495&gt;=5)*('CASE MASTER'!$AB$2:$AB$495&lt;=1)*('CASE MASTER'!$AD$2:$AD$495&gt;=1))*ROW('CASE MASTER'!$T$2:$T$495))-(ROW('CASE MASTER'!#REF!)-1))),":",","),",",REPT(" ",50)),(((INDEX('CASE MASTER'!$Z$2:$Z$495,(SUMPRODUCT((('CASE MASTER'!$T$2:$T$495=3)*('CASE MASTER'!$AA$2:$AA$495&lt;=5)*('CASE MASTER'!$AC$2:$AC$495&gt;=5)*('CASE MASTER'!$AB$2:$AB$495&lt;=1)*('CASE MASTER'!$AD$2:$AD$495&gt;=1))*ROW('CASE MASTER'!$T$2:$T$495))-(ROW('CASE MASTER'!#REF!)-1)))+((5-INDEX('CASE MASTER'!$AA$2:$AA$495,(SUMPRODUCT((('CASE MASTER'!$T$2:$T$495=3)*('CASE MASTER'!$AA$2:$AA$495&lt;=5)*('CASE MASTER'!$AC$2:$AC$495&gt;=5)*('CASE MASTER'!$AB$2:$AB$495&lt;=1)*('CASE MASTER'!$AD$2:$AD$495&gt;=1))*ROW('CASE MASTER'!$T$2:$T$495))-(ROW('CASE MASTER'!#REF!)-1))))*(INDEX('CASE MASTER'!$AD$2:$AD$495,(SUMPRODUCT((('CASE MASTER'!$T$2:$T$495=3)*('CASE MASTER'!$AA$2:$AA$495&lt;=5)*('CASE MASTER'!$AC$2:$AC$495&gt;=5)*('CASE MASTER'!$AB$2:$AB$495&lt;=1)*('CASE MASTER'!$AD$2:$AD$495&gt;=1))*ROW('CASE MASTER'!$T$2:$T$495))-(ROW('CASE MASTER'!#REF!)-1)))-INDEX('CASE MASTER'!$AB$2:$AB$495,(SUMPRODUCT((('CASE MASTER'!$T$2:$T$495=3)*('CASE MASTER'!$AA$2:$AA$495&lt;=5)*('CASE MASTER'!$AC$2:$AC$495&gt;=5)*('CASE MASTER'!$AB$2:$AB$495&lt;=1)*('CASE MASTER'!$AD$2:$AD$495&gt;=1))*ROW('CASE MASTER'!$T$2:$T$495))-(ROW('CASE MASTER'!#REF!)-1)))+1)+(1-INDEX('CASE MASTER'!$AB$2:$AB$495,(SUMPRODUCT((('CASE MASTER'!$T$2:$T$495=3)*('CASE MASTER'!$AA$2:$AA$495&lt;=5)*('CASE MASTER'!$AC$2:$AC$495&gt;=5)*('CASE MASTER'!$AB$2:$AB$495&lt;=1)*('CASE MASTER'!$AD$2:$AD$495&gt;=1))*ROW('CASE MASTER'!$T$2:$T$495))-(ROW('CASE MASTER'!#REF!)-1))))+1)))-1)*50+1,50))&amp;"_"&amp;INDEX('CASE MASTER'!$Q$2:$Q$495,(SUMPRODUCT((('CASE MASTER'!$T$2:$T$495=3)*('CASE MASTER'!$AA$2:$AA$495&lt;=5)*('CASE MASTER'!$AC$2:$AC$495&gt;=5)*('CASE MASTER'!$AB$2:$AB$495&lt;=1)*('CASE MASTER'!$AD$2:$AD$495&gt;=1))*ROW('CASE MASTER'!$T$2:$T$495))-(ROW('CASE MASTER'!#REF!)-1))),"")),"")</f>
        <v/>
      </c>
      <c r="C35" s="10" t="str">
        <f>IFERROR(IF(SUMPRODUCT((('CASE MASTER'!$T$2:$T$495=3)*('CASE MASTER'!$U$2:$U$495&lt;=5)*('CASE MASTER'!$W$2:$W$495&gt;=5)*('CASE MASTER'!$V$2:$V$495&lt;=2)*('CASE MASTER'!$X$2:$X$495&gt;=2))*ROW('CASE MASTER'!$T$2:$T$495))&gt;0,INDEX('CASE MASTER'!$Y$2:$Y$495,(SUMPRODUCT((('CASE MASTER'!$T$2:$T$495=3)*('CASE MASTER'!$U$2:$U$495&lt;=5)*('CASE MASTER'!$W$2:$W$495&gt;=5)*('CASE MASTER'!$V$2:$V$495&lt;=2)*('CASE MASTER'!$X$2:$X$495&gt;=2))*ROW('CASE MASTER'!$T$2:$T$495))-(ROW('CASE MASTER'!#REF!)-1)))&amp;TRIM(MID(SUBSTITUTE(SUBSTITUTE(INDEX('CASE MASTER'!$N$2:$N$495,(SUMPRODUCT((('CASE MASTER'!$T$2:$T$495=3)*('CASE MASTER'!$U$2:$U$495&lt;=5)*('CASE MASTER'!$W$2:$W$495&gt;=5)*('CASE MASTER'!$V$2:$V$495&lt;=2)*('CASE MASTER'!$X$2:$X$495&gt;=2))*ROW('CASE MASTER'!$T$2:$T$495))-(ROW('CASE MASTER'!#REF!)-1))),":",","),",",REPT(" ",50)),((((5-INDEX('CASE MASTER'!$U$2:$U$495,(SUMPRODUCT((('CASE MASTER'!$T$2:$T$495=3)*('CASE MASTER'!$U$2:$U$495&lt;=5)*('CASE MASTER'!$W$2:$W$495&gt;=5)*('CASE MASTER'!$V$2:$V$495&lt;=2)*('CASE MASTER'!$X$2:$X$495&gt;=2))*ROW('CASE MASTER'!$T$2:$T$495))-(ROW('CASE MASTER'!#REF!)-1))))*(INDEX('CASE MASTER'!$X$2:$X$495,(SUMPRODUCT((('CASE MASTER'!$T$2:$T$495=3)*('CASE MASTER'!$U$2:$U$495&lt;=5)*('CASE MASTER'!$W$2:$W$495&gt;=5)*('CASE MASTER'!$V$2:$V$495&lt;=2)*('CASE MASTER'!$X$2:$X$495&gt;=2))*ROW('CASE MASTER'!$T$2:$T$495))-(ROW('CASE MASTER'!#REF!)-1)))-INDEX('CASE MASTER'!$V$2:$V$495,(SUMPRODUCT((('CASE MASTER'!$T$2:$T$495=3)*('CASE MASTER'!$U$2:$U$495&lt;=5)*('CASE MASTER'!$W$2:$W$495&gt;=5)*('CASE MASTER'!$V$2:$V$495&lt;=2)*('CASE MASTER'!$X$2:$X$495&gt;=2))*ROW('CASE MASTER'!$T$2:$T$495))-(ROW('CASE MASTER'!#REF!)-1)))+1)+(2-INDEX('CASE MASTER'!$V$2:$V$495,(SUMPRODUCT((('CASE MASTER'!$T$2:$T$495=3)*('CASE MASTER'!$U$2:$U$495&lt;=5)*('CASE MASTER'!$W$2:$W$495&gt;=5)*('CASE MASTER'!$V$2:$V$495&lt;=2)*('CASE MASTER'!$X$2:$X$495&gt;=2))*ROW('CASE MASTER'!$T$2:$T$495))-(ROW('CASE MASTER'!#REF!)-1))))+1))-1)*50+1,50))&amp;"_"&amp;INDEX('CASE MASTER'!$Q$2:$Q$495,(SUMPRODUCT((('CASE MASTER'!$T$2:$T$495=3)*('CASE MASTER'!$U$2:$U$495&lt;=5)*('CASE MASTER'!$W$2:$W$495&gt;=5)*('CASE MASTER'!$V$2:$V$495&lt;=2)*('CASE MASTER'!$X$2:$X$495&gt;=2))*ROW('CASE MASTER'!$T$2:$T$495))-(ROW('CASE MASTER'!#REF!)-1))),IF(SUMPRODUCT((('CASE MASTER'!$T$2:$T$495=3)*('CASE MASTER'!$AA$2:$AA$495&lt;=5)*('CASE MASTER'!$AC$2:$AC$495&gt;=5)*('CASE MASTER'!$AB$2:$AB$495&lt;=2)*('CASE MASTER'!$AD$2:$AD$495&gt;=2))*ROW('CASE MASTER'!$T$2:$T$495))&gt;0,INDEX('CASE MASTER'!$Y$2:$Y$495,(SUMPRODUCT((('CASE MASTER'!$T$2:$T$495=3)*('CASE MASTER'!$AA$2:$AA$495&lt;=5)*('CASE MASTER'!$AC$2:$AC$495&gt;=5)*('CASE MASTER'!$AB$2:$AB$495&lt;=2)*('CASE MASTER'!$AD$2:$AD$495&gt;=2))*ROW('CASE MASTER'!$T$2:$T$495))-(ROW('CASE MASTER'!#REF!)-1)))&amp;TRIM(MID(SUBSTITUTE(SUBSTITUTE(INDEX('CASE MASTER'!$N$2:$N$495,(SUMPRODUCT((('CASE MASTER'!$T$2:$T$495=3)*('CASE MASTER'!$AA$2:$AA$495&lt;=5)*('CASE MASTER'!$AC$2:$AC$495&gt;=5)*('CASE MASTER'!$AB$2:$AB$495&lt;=2)*('CASE MASTER'!$AD$2:$AD$495&gt;=2))*ROW('CASE MASTER'!$T$2:$T$495))-(ROW('CASE MASTER'!#REF!)-1))),":",","),",",REPT(" ",50)),(((INDEX('CASE MASTER'!$Z$2:$Z$495,(SUMPRODUCT((('CASE MASTER'!$T$2:$T$495=3)*('CASE MASTER'!$AA$2:$AA$495&lt;=5)*('CASE MASTER'!$AC$2:$AC$495&gt;=5)*('CASE MASTER'!$AB$2:$AB$495&lt;=2)*('CASE MASTER'!$AD$2:$AD$495&gt;=2))*ROW('CASE MASTER'!$T$2:$T$495))-(ROW('CASE MASTER'!#REF!)-1)))+((5-INDEX('CASE MASTER'!$AA$2:$AA$495,(SUMPRODUCT((('CASE MASTER'!$T$2:$T$495=3)*('CASE MASTER'!$AA$2:$AA$495&lt;=5)*('CASE MASTER'!$AC$2:$AC$495&gt;=5)*('CASE MASTER'!$AB$2:$AB$495&lt;=2)*('CASE MASTER'!$AD$2:$AD$495&gt;=2))*ROW('CASE MASTER'!$T$2:$T$495))-(ROW('CASE MASTER'!#REF!)-1))))*(INDEX('CASE MASTER'!$AD$2:$AD$495,(SUMPRODUCT((('CASE MASTER'!$T$2:$T$495=3)*('CASE MASTER'!$AA$2:$AA$495&lt;=5)*('CASE MASTER'!$AC$2:$AC$495&gt;=5)*('CASE MASTER'!$AB$2:$AB$495&lt;=2)*('CASE MASTER'!$AD$2:$AD$495&gt;=2))*ROW('CASE MASTER'!$T$2:$T$495))-(ROW('CASE MASTER'!#REF!)-1)))-INDEX('CASE MASTER'!$AB$2:$AB$495,(SUMPRODUCT((('CASE MASTER'!$T$2:$T$495=3)*('CASE MASTER'!$AA$2:$AA$495&lt;=5)*('CASE MASTER'!$AC$2:$AC$495&gt;=5)*('CASE MASTER'!$AB$2:$AB$495&lt;=2)*('CASE MASTER'!$AD$2:$AD$495&gt;=2))*ROW('CASE MASTER'!$T$2:$T$495))-(ROW('CASE MASTER'!#REF!)-1)))+1)+(2-INDEX('CASE MASTER'!$AB$2:$AB$495,(SUMPRODUCT((('CASE MASTER'!$T$2:$T$495=3)*('CASE MASTER'!$AA$2:$AA$495&lt;=5)*('CASE MASTER'!$AC$2:$AC$495&gt;=5)*('CASE MASTER'!$AB$2:$AB$495&lt;=2)*('CASE MASTER'!$AD$2:$AD$495&gt;=2))*ROW('CASE MASTER'!$T$2:$T$495))-(ROW('CASE MASTER'!#REF!)-1))))+1)))-1)*50+1,50))&amp;"_"&amp;INDEX('CASE MASTER'!$Q$2:$Q$495,(SUMPRODUCT((('CASE MASTER'!$T$2:$T$495=3)*('CASE MASTER'!$AA$2:$AA$495&lt;=5)*('CASE MASTER'!$AC$2:$AC$495&gt;=5)*('CASE MASTER'!$AB$2:$AB$495&lt;=2)*('CASE MASTER'!$AD$2:$AD$495&gt;=2))*ROW('CASE MASTER'!$T$2:$T$495))-(ROW('CASE MASTER'!#REF!)-1))),"")),"")</f>
        <v/>
      </c>
      <c r="D35" s="10" t="str">
        <f>IFERROR(IF(SUMPRODUCT((('CASE MASTER'!$T$2:$T$495=3)*('CASE MASTER'!$U$2:$U$495&lt;=5)*('CASE MASTER'!$W$2:$W$495&gt;=5)*('CASE MASTER'!$V$2:$V$495&lt;=3)*('CASE MASTER'!$X$2:$X$495&gt;=3))*ROW('CASE MASTER'!$T$2:$T$495))&gt;0,INDEX('CASE MASTER'!$Y$2:$Y$495,(SUMPRODUCT((('CASE MASTER'!$T$2:$T$495=3)*('CASE MASTER'!$U$2:$U$495&lt;=5)*('CASE MASTER'!$W$2:$W$495&gt;=5)*('CASE MASTER'!$V$2:$V$495&lt;=3)*('CASE MASTER'!$X$2:$X$495&gt;=3))*ROW('CASE MASTER'!$T$2:$T$495))-(ROW('CASE MASTER'!#REF!)-1)))&amp;TRIM(MID(SUBSTITUTE(SUBSTITUTE(INDEX('CASE MASTER'!$N$2:$N$495,(SUMPRODUCT((('CASE MASTER'!$T$2:$T$495=3)*('CASE MASTER'!$U$2:$U$495&lt;=5)*('CASE MASTER'!$W$2:$W$495&gt;=5)*('CASE MASTER'!$V$2:$V$495&lt;=3)*('CASE MASTER'!$X$2:$X$495&gt;=3))*ROW('CASE MASTER'!$T$2:$T$495))-(ROW('CASE MASTER'!#REF!)-1))),":",","),",",REPT(" ",50)),((((5-INDEX('CASE MASTER'!$U$2:$U$495,(SUMPRODUCT((('CASE MASTER'!$T$2:$T$495=3)*('CASE MASTER'!$U$2:$U$495&lt;=5)*('CASE MASTER'!$W$2:$W$495&gt;=5)*('CASE MASTER'!$V$2:$V$495&lt;=3)*('CASE MASTER'!$X$2:$X$495&gt;=3))*ROW('CASE MASTER'!$T$2:$T$495))-(ROW('CASE MASTER'!#REF!)-1))))*(INDEX('CASE MASTER'!$X$2:$X$495,(SUMPRODUCT((('CASE MASTER'!$T$2:$T$495=3)*('CASE MASTER'!$U$2:$U$495&lt;=5)*('CASE MASTER'!$W$2:$W$495&gt;=5)*('CASE MASTER'!$V$2:$V$495&lt;=3)*('CASE MASTER'!$X$2:$X$495&gt;=3))*ROW('CASE MASTER'!$T$2:$T$495))-(ROW('CASE MASTER'!#REF!)-1)))-INDEX('CASE MASTER'!$V$2:$V$495,(SUMPRODUCT((('CASE MASTER'!$T$2:$T$495=3)*('CASE MASTER'!$U$2:$U$495&lt;=5)*('CASE MASTER'!$W$2:$W$495&gt;=5)*('CASE MASTER'!$V$2:$V$495&lt;=3)*('CASE MASTER'!$X$2:$X$495&gt;=3))*ROW('CASE MASTER'!$T$2:$T$495))-(ROW('CASE MASTER'!#REF!)-1)))+1)+(3-INDEX('CASE MASTER'!$V$2:$V$495,(SUMPRODUCT((('CASE MASTER'!$T$2:$T$495=3)*('CASE MASTER'!$U$2:$U$495&lt;=5)*('CASE MASTER'!$W$2:$W$495&gt;=5)*('CASE MASTER'!$V$2:$V$495&lt;=3)*('CASE MASTER'!$X$2:$X$495&gt;=3))*ROW('CASE MASTER'!$T$2:$T$495))-(ROW('CASE MASTER'!#REF!)-1))))+1))-1)*50+1,50))&amp;"_"&amp;INDEX('CASE MASTER'!$Q$2:$Q$495,(SUMPRODUCT((('CASE MASTER'!$T$2:$T$495=3)*('CASE MASTER'!$U$2:$U$495&lt;=5)*('CASE MASTER'!$W$2:$W$495&gt;=5)*('CASE MASTER'!$V$2:$V$495&lt;=3)*('CASE MASTER'!$X$2:$X$495&gt;=3))*ROW('CASE MASTER'!$T$2:$T$495))-(ROW('CASE MASTER'!#REF!)-1))),IF(SUMPRODUCT((('CASE MASTER'!$T$2:$T$495=3)*('CASE MASTER'!$AA$2:$AA$495&lt;=5)*('CASE MASTER'!$AC$2:$AC$495&gt;=5)*('CASE MASTER'!$AB$2:$AB$495&lt;=3)*('CASE MASTER'!$AD$2:$AD$495&gt;=3))*ROW('CASE MASTER'!$T$2:$T$495))&gt;0,INDEX('CASE MASTER'!$Y$2:$Y$495,(SUMPRODUCT((('CASE MASTER'!$T$2:$T$495=3)*('CASE MASTER'!$AA$2:$AA$495&lt;=5)*('CASE MASTER'!$AC$2:$AC$495&gt;=5)*('CASE MASTER'!$AB$2:$AB$495&lt;=3)*('CASE MASTER'!$AD$2:$AD$495&gt;=3))*ROW('CASE MASTER'!$T$2:$T$495))-(ROW('CASE MASTER'!#REF!)-1)))&amp;TRIM(MID(SUBSTITUTE(SUBSTITUTE(INDEX('CASE MASTER'!$N$2:$N$495,(SUMPRODUCT((('CASE MASTER'!$T$2:$T$495=3)*('CASE MASTER'!$AA$2:$AA$495&lt;=5)*('CASE MASTER'!$AC$2:$AC$495&gt;=5)*('CASE MASTER'!$AB$2:$AB$495&lt;=3)*('CASE MASTER'!$AD$2:$AD$495&gt;=3))*ROW('CASE MASTER'!$T$2:$T$495))-(ROW('CASE MASTER'!#REF!)-1))),":",","),",",REPT(" ",50)),(((INDEX('CASE MASTER'!$Z$2:$Z$495,(SUMPRODUCT((('CASE MASTER'!$T$2:$T$495=3)*('CASE MASTER'!$AA$2:$AA$495&lt;=5)*('CASE MASTER'!$AC$2:$AC$495&gt;=5)*('CASE MASTER'!$AB$2:$AB$495&lt;=3)*('CASE MASTER'!$AD$2:$AD$495&gt;=3))*ROW('CASE MASTER'!$T$2:$T$495))-(ROW('CASE MASTER'!#REF!)-1)))+((5-INDEX('CASE MASTER'!$AA$2:$AA$495,(SUMPRODUCT((('CASE MASTER'!$T$2:$T$495=3)*('CASE MASTER'!$AA$2:$AA$495&lt;=5)*('CASE MASTER'!$AC$2:$AC$495&gt;=5)*('CASE MASTER'!$AB$2:$AB$495&lt;=3)*('CASE MASTER'!$AD$2:$AD$495&gt;=3))*ROW('CASE MASTER'!$T$2:$T$495))-(ROW('CASE MASTER'!#REF!)-1))))*(INDEX('CASE MASTER'!$AD$2:$AD$495,(SUMPRODUCT((('CASE MASTER'!$T$2:$T$495=3)*('CASE MASTER'!$AA$2:$AA$495&lt;=5)*('CASE MASTER'!$AC$2:$AC$495&gt;=5)*('CASE MASTER'!$AB$2:$AB$495&lt;=3)*('CASE MASTER'!$AD$2:$AD$495&gt;=3))*ROW('CASE MASTER'!$T$2:$T$495))-(ROW('CASE MASTER'!#REF!)-1)))-INDEX('CASE MASTER'!$AB$2:$AB$495,(SUMPRODUCT((('CASE MASTER'!$T$2:$T$495=3)*('CASE MASTER'!$AA$2:$AA$495&lt;=5)*('CASE MASTER'!$AC$2:$AC$495&gt;=5)*('CASE MASTER'!$AB$2:$AB$495&lt;=3)*('CASE MASTER'!$AD$2:$AD$495&gt;=3))*ROW('CASE MASTER'!$T$2:$T$495))-(ROW('CASE MASTER'!#REF!)-1)))+1)+(3-INDEX('CASE MASTER'!$AB$2:$AB$495,(SUMPRODUCT((('CASE MASTER'!$T$2:$T$495=3)*('CASE MASTER'!$AA$2:$AA$495&lt;=5)*('CASE MASTER'!$AC$2:$AC$495&gt;=5)*('CASE MASTER'!$AB$2:$AB$495&lt;=3)*('CASE MASTER'!$AD$2:$AD$495&gt;=3))*ROW('CASE MASTER'!$T$2:$T$495))-(ROW('CASE MASTER'!#REF!)-1))))+1)))-1)*50+1,50))&amp;"_"&amp;INDEX('CASE MASTER'!$Q$2:$Q$495,(SUMPRODUCT((('CASE MASTER'!$T$2:$T$495=3)*('CASE MASTER'!$AA$2:$AA$495&lt;=5)*('CASE MASTER'!$AC$2:$AC$495&gt;=5)*('CASE MASTER'!$AB$2:$AB$495&lt;=3)*('CASE MASTER'!$AD$2:$AD$495&gt;=3))*ROW('CASE MASTER'!$T$2:$T$495))-(ROW('CASE MASTER'!#REF!)-1))),"")),"")</f>
        <v/>
      </c>
      <c r="E35" s="10" t="str">
        <f>IFERROR(IF(SUMPRODUCT((('CASE MASTER'!$T$2:$T$495=3)*('CASE MASTER'!$U$2:$U$495&lt;=5)*('CASE MASTER'!$W$2:$W$495&gt;=5)*('CASE MASTER'!$V$2:$V$495&lt;=4)*('CASE MASTER'!$X$2:$X$495&gt;=4))*ROW('CASE MASTER'!$T$2:$T$495))&gt;0,INDEX('CASE MASTER'!$Y$2:$Y$495,(SUMPRODUCT((('CASE MASTER'!$T$2:$T$495=3)*('CASE MASTER'!$U$2:$U$495&lt;=5)*('CASE MASTER'!$W$2:$W$495&gt;=5)*('CASE MASTER'!$V$2:$V$495&lt;=4)*('CASE MASTER'!$X$2:$X$495&gt;=4))*ROW('CASE MASTER'!$T$2:$T$495))-(ROW('CASE MASTER'!#REF!)-1)))&amp;TRIM(MID(SUBSTITUTE(SUBSTITUTE(INDEX('CASE MASTER'!$N$2:$N$495,(SUMPRODUCT((('CASE MASTER'!$T$2:$T$495=3)*('CASE MASTER'!$U$2:$U$495&lt;=5)*('CASE MASTER'!$W$2:$W$495&gt;=5)*('CASE MASTER'!$V$2:$V$495&lt;=4)*('CASE MASTER'!$X$2:$X$495&gt;=4))*ROW('CASE MASTER'!$T$2:$T$495))-(ROW('CASE MASTER'!#REF!)-1))),":",","),",",REPT(" ",50)),((((5-INDEX('CASE MASTER'!$U$2:$U$495,(SUMPRODUCT((('CASE MASTER'!$T$2:$T$495=3)*('CASE MASTER'!$U$2:$U$495&lt;=5)*('CASE MASTER'!$W$2:$W$495&gt;=5)*('CASE MASTER'!$V$2:$V$495&lt;=4)*('CASE MASTER'!$X$2:$X$495&gt;=4))*ROW('CASE MASTER'!$T$2:$T$495))-(ROW('CASE MASTER'!#REF!)-1))))*(INDEX('CASE MASTER'!$X$2:$X$495,(SUMPRODUCT((('CASE MASTER'!$T$2:$T$495=3)*('CASE MASTER'!$U$2:$U$495&lt;=5)*('CASE MASTER'!$W$2:$W$495&gt;=5)*('CASE MASTER'!$V$2:$V$495&lt;=4)*('CASE MASTER'!$X$2:$X$495&gt;=4))*ROW('CASE MASTER'!$T$2:$T$495))-(ROW('CASE MASTER'!#REF!)-1)))-INDEX('CASE MASTER'!$V$2:$V$495,(SUMPRODUCT((('CASE MASTER'!$T$2:$T$495=3)*('CASE MASTER'!$U$2:$U$495&lt;=5)*('CASE MASTER'!$W$2:$W$495&gt;=5)*('CASE MASTER'!$V$2:$V$495&lt;=4)*('CASE MASTER'!$X$2:$X$495&gt;=4))*ROW('CASE MASTER'!$T$2:$T$495))-(ROW('CASE MASTER'!#REF!)-1)))+1)+(4-INDEX('CASE MASTER'!$V$2:$V$495,(SUMPRODUCT((('CASE MASTER'!$T$2:$T$495=3)*('CASE MASTER'!$U$2:$U$495&lt;=5)*('CASE MASTER'!$W$2:$W$495&gt;=5)*('CASE MASTER'!$V$2:$V$495&lt;=4)*('CASE MASTER'!$X$2:$X$495&gt;=4))*ROW('CASE MASTER'!$T$2:$T$495))-(ROW('CASE MASTER'!#REF!)-1))))+1))-1)*50+1,50))&amp;"_"&amp;INDEX('CASE MASTER'!$Q$2:$Q$495,(SUMPRODUCT((('CASE MASTER'!$T$2:$T$495=3)*('CASE MASTER'!$U$2:$U$495&lt;=5)*('CASE MASTER'!$W$2:$W$495&gt;=5)*('CASE MASTER'!$V$2:$V$495&lt;=4)*('CASE MASTER'!$X$2:$X$495&gt;=4))*ROW('CASE MASTER'!$T$2:$T$495))-(ROW('CASE MASTER'!#REF!)-1))),IF(SUMPRODUCT((('CASE MASTER'!$T$2:$T$495=3)*('CASE MASTER'!$AA$2:$AA$495&lt;=5)*('CASE MASTER'!$AC$2:$AC$495&gt;=5)*('CASE MASTER'!$AB$2:$AB$495&lt;=4)*('CASE MASTER'!$AD$2:$AD$495&gt;=4))*ROW('CASE MASTER'!$T$2:$T$495))&gt;0,INDEX('CASE MASTER'!$Y$2:$Y$495,(SUMPRODUCT((('CASE MASTER'!$T$2:$T$495=3)*('CASE MASTER'!$AA$2:$AA$495&lt;=5)*('CASE MASTER'!$AC$2:$AC$495&gt;=5)*('CASE MASTER'!$AB$2:$AB$495&lt;=4)*('CASE MASTER'!$AD$2:$AD$495&gt;=4))*ROW('CASE MASTER'!$T$2:$T$495))-(ROW('CASE MASTER'!#REF!)-1)))&amp;TRIM(MID(SUBSTITUTE(SUBSTITUTE(INDEX('CASE MASTER'!$N$2:$N$495,(SUMPRODUCT((('CASE MASTER'!$T$2:$T$495=3)*('CASE MASTER'!$AA$2:$AA$495&lt;=5)*('CASE MASTER'!$AC$2:$AC$495&gt;=5)*('CASE MASTER'!$AB$2:$AB$495&lt;=4)*('CASE MASTER'!$AD$2:$AD$495&gt;=4))*ROW('CASE MASTER'!$T$2:$T$495))-(ROW('CASE MASTER'!#REF!)-1))),":",","),",",REPT(" ",50)),(((INDEX('CASE MASTER'!$Z$2:$Z$495,(SUMPRODUCT((('CASE MASTER'!$T$2:$T$495=3)*('CASE MASTER'!$AA$2:$AA$495&lt;=5)*('CASE MASTER'!$AC$2:$AC$495&gt;=5)*('CASE MASTER'!$AB$2:$AB$495&lt;=4)*('CASE MASTER'!$AD$2:$AD$495&gt;=4))*ROW('CASE MASTER'!$T$2:$T$495))-(ROW('CASE MASTER'!#REF!)-1)))+((5-INDEX('CASE MASTER'!$AA$2:$AA$495,(SUMPRODUCT((('CASE MASTER'!$T$2:$T$495=3)*('CASE MASTER'!$AA$2:$AA$495&lt;=5)*('CASE MASTER'!$AC$2:$AC$495&gt;=5)*('CASE MASTER'!$AB$2:$AB$495&lt;=4)*('CASE MASTER'!$AD$2:$AD$495&gt;=4))*ROW('CASE MASTER'!$T$2:$T$495))-(ROW('CASE MASTER'!#REF!)-1))))*(INDEX('CASE MASTER'!$AD$2:$AD$495,(SUMPRODUCT((('CASE MASTER'!$T$2:$T$495=3)*('CASE MASTER'!$AA$2:$AA$495&lt;=5)*('CASE MASTER'!$AC$2:$AC$495&gt;=5)*('CASE MASTER'!$AB$2:$AB$495&lt;=4)*('CASE MASTER'!$AD$2:$AD$495&gt;=4))*ROW('CASE MASTER'!$T$2:$T$495))-(ROW('CASE MASTER'!#REF!)-1)))-INDEX('CASE MASTER'!$AB$2:$AB$495,(SUMPRODUCT((('CASE MASTER'!$T$2:$T$495=3)*('CASE MASTER'!$AA$2:$AA$495&lt;=5)*('CASE MASTER'!$AC$2:$AC$495&gt;=5)*('CASE MASTER'!$AB$2:$AB$495&lt;=4)*('CASE MASTER'!$AD$2:$AD$495&gt;=4))*ROW('CASE MASTER'!$T$2:$T$495))-(ROW('CASE MASTER'!#REF!)-1)))+1)+(4-INDEX('CASE MASTER'!$AB$2:$AB$495,(SUMPRODUCT((('CASE MASTER'!$T$2:$T$495=3)*('CASE MASTER'!$AA$2:$AA$495&lt;=5)*('CASE MASTER'!$AC$2:$AC$495&gt;=5)*('CASE MASTER'!$AB$2:$AB$495&lt;=4)*('CASE MASTER'!$AD$2:$AD$495&gt;=4))*ROW('CASE MASTER'!$T$2:$T$495))-(ROW('CASE MASTER'!#REF!)-1))))+1)))-1)*50+1,50))&amp;"_"&amp;INDEX('CASE MASTER'!$Q$2:$Q$495,(SUMPRODUCT((('CASE MASTER'!$T$2:$T$495=3)*('CASE MASTER'!$AA$2:$AA$495&lt;=5)*('CASE MASTER'!$AC$2:$AC$495&gt;=5)*('CASE MASTER'!$AB$2:$AB$495&lt;=4)*('CASE MASTER'!$AD$2:$AD$495&gt;=4))*ROW('CASE MASTER'!$T$2:$T$495))-(ROW('CASE MASTER'!#REF!)-1))),"")),"")</f>
        <v/>
      </c>
      <c r="F35" s="10" t="str">
        <f>IFERROR(IF(SUMPRODUCT((('CASE MASTER'!$T$2:$T$495=3)*('CASE MASTER'!$U$2:$U$495&lt;=5)*('CASE MASTER'!$W$2:$W$495&gt;=5)*('CASE MASTER'!$V$2:$V$495&lt;=5)*('CASE MASTER'!$X$2:$X$495&gt;=5))*ROW('CASE MASTER'!$T$2:$T$495))&gt;0,INDEX('CASE MASTER'!$Y$2:$Y$495,(SUMPRODUCT((('CASE MASTER'!$T$2:$T$495=3)*('CASE MASTER'!$U$2:$U$495&lt;=5)*('CASE MASTER'!$W$2:$W$495&gt;=5)*('CASE MASTER'!$V$2:$V$495&lt;=5)*('CASE MASTER'!$X$2:$X$495&gt;=5))*ROW('CASE MASTER'!$T$2:$T$495))-(ROW('CASE MASTER'!#REF!)-1)))&amp;TRIM(MID(SUBSTITUTE(SUBSTITUTE(INDEX('CASE MASTER'!$N$2:$N$495,(SUMPRODUCT((('CASE MASTER'!$T$2:$T$495=3)*('CASE MASTER'!$U$2:$U$495&lt;=5)*('CASE MASTER'!$W$2:$W$495&gt;=5)*('CASE MASTER'!$V$2:$V$495&lt;=5)*('CASE MASTER'!$X$2:$X$495&gt;=5))*ROW('CASE MASTER'!$T$2:$T$495))-(ROW('CASE MASTER'!#REF!)-1))),":",","),",",REPT(" ",50)),((((5-INDEX('CASE MASTER'!$U$2:$U$495,(SUMPRODUCT((('CASE MASTER'!$T$2:$T$495=3)*('CASE MASTER'!$U$2:$U$495&lt;=5)*('CASE MASTER'!$W$2:$W$495&gt;=5)*('CASE MASTER'!$V$2:$V$495&lt;=5)*('CASE MASTER'!$X$2:$X$495&gt;=5))*ROW('CASE MASTER'!$T$2:$T$495))-(ROW('CASE MASTER'!#REF!)-1))))*(INDEX('CASE MASTER'!$X$2:$X$495,(SUMPRODUCT((('CASE MASTER'!$T$2:$T$495=3)*('CASE MASTER'!$U$2:$U$495&lt;=5)*('CASE MASTER'!$W$2:$W$495&gt;=5)*('CASE MASTER'!$V$2:$V$495&lt;=5)*('CASE MASTER'!$X$2:$X$495&gt;=5))*ROW('CASE MASTER'!$T$2:$T$495))-(ROW('CASE MASTER'!#REF!)-1)))-INDEX('CASE MASTER'!$V$2:$V$495,(SUMPRODUCT((('CASE MASTER'!$T$2:$T$495=3)*('CASE MASTER'!$U$2:$U$495&lt;=5)*('CASE MASTER'!$W$2:$W$495&gt;=5)*('CASE MASTER'!$V$2:$V$495&lt;=5)*('CASE MASTER'!$X$2:$X$495&gt;=5))*ROW('CASE MASTER'!$T$2:$T$495))-(ROW('CASE MASTER'!#REF!)-1)))+1)+(5-INDEX('CASE MASTER'!$V$2:$V$495,(SUMPRODUCT((('CASE MASTER'!$T$2:$T$495=3)*('CASE MASTER'!$U$2:$U$495&lt;=5)*('CASE MASTER'!$W$2:$W$495&gt;=5)*('CASE MASTER'!$V$2:$V$495&lt;=5)*('CASE MASTER'!$X$2:$X$495&gt;=5))*ROW('CASE MASTER'!$T$2:$T$495))-(ROW('CASE MASTER'!#REF!)-1))))+1))-1)*50+1,50))&amp;"_"&amp;INDEX('CASE MASTER'!$Q$2:$Q$495,(SUMPRODUCT((('CASE MASTER'!$T$2:$T$495=3)*('CASE MASTER'!$U$2:$U$495&lt;=5)*('CASE MASTER'!$W$2:$W$495&gt;=5)*('CASE MASTER'!$V$2:$V$495&lt;=5)*('CASE MASTER'!$X$2:$X$495&gt;=5))*ROW('CASE MASTER'!$T$2:$T$495))-(ROW('CASE MASTER'!#REF!)-1))),IF(SUMPRODUCT((('CASE MASTER'!$T$2:$T$495=3)*('CASE MASTER'!$AA$2:$AA$495&lt;=5)*('CASE MASTER'!$AC$2:$AC$495&gt;=5)*('CASE MASTER'!$AB$2:$AB$495&lt;=5)*('CASE MASTER'!$AD$2:$AD$495&gt;=5))*ROW('CASE MASTER'!$T$2:$T$495))&gt;0,INDEX('CASE MASTER'!$Y$2:$Y$495,(SUMPRODUCT((('CASE MASTER'!$T$2:$T$495=3)*('CASE MASTER'!$AA$2:$AA$495&lt;=5)*('CASE MASTER'!$AC$2:$AC$495&gt;=5)*('CASE MASTER'!$AB$2:$AB$495&lt;=5)*('CASE MASTER'!$AD$2:$AD$495&gt;=5))*ROW('CASE MASTER'!$T$2:$T$495))-(ROW('CASE MASTER'!#REF!)-1)))&amp;TRIM(MID(SUBSTITUTE(SUBSTITUTE(INDEX('CASE MASTER'!$N$2:$N$495,(SUMPRODUCT((('CASE MASTER'!$T$2:$T$495=3)*('CASE MASTER'!$AA$2:$AA$495&lt;=5)*('CASE MASTER'!$AC$2:$AC$495&gt;=5)*('CASE MASTER'!$AB$2:$AB$495&lt;=5)*('CASE MASTER'!$AD$2:$AD$495&gt;=5))*ROW('CASE MASTER'!$T$2:$T$495))-(ROW('CASE MASTER'!#REF!)-1))),":",","),",",REPT(" ",50)),(((INDEX('CASE MASTER'!$Z$2:$Z$495,(SUMPRODUCT((('CASE MASTER'!$T$2:$T$495=3)*('CASE MASTER'!$AA$2:$AA$495&lt;=5)*('CASE MASTER'!$AC$2:$AC$495&gt;=5)*('CASE MASTER'!$AB$2:$AB$495&lt;=5)*('CASE MASTER'!$AD$2:$AD$495&gt;=5))*ROW('CASE MASTER'!$T$2:$T$495))-(ROW('CASE MASTER'!#REF!)-1)))+((5-INDEX('CASE MASTER'!$AA$2:$AA$495,(SUMPRODUCT((('CASE MASTER'!$T$2:$T$495=3)*('CASE MASTER'!$AA$2:$AA$495&lt;=5)*('CASE MASTER'!$AC$2:$AC$495&gt;=5)*('CASE MASTER'!$AB$2:$AB$495&lt;=5)*('CASE MASTER'!$AD$2:$AD$495&gt;=5))*ROW('CASE MASTER'!$T$2:$T$495))-(ROW('CASE MASTER'!#REF!)-1))))*(INDEX('CASE MASTER'!$AD$2:$AD$495,(SUMPRODUCT((('CASE MASTER'!$T$2:$T$495=3)*('CASE MASTER'!$AA$2:$AA$495&lt;=5)*('CASE MASTER'!$AC$2:$AC$495&gt;=5)*('CASE MASTER'!$AB$2:$AB$495&lt;=5)*('CASE MASTER'!$AD$2:$AD$495&gt;=5))*ROW('CASE MASTER'!$T$2:$T$495))-(ROW('CASE MASTER'!#REF!)-1)))-INDEX('CASE MASTER'!$AB$2:$AB$495,(SUMPRODUCT((('CASE MASTER'!$T$2:$T$495=3)*('CASE MASTER'!$AA$2:$AA$495&lt;=5)*('CASE MASTER'!$AC$2:$AC$495&gt;=5)*('CASE MASTER'!$AB$2:$AB$495&lt;=5)*('CASE MASTER'!$AD$2:$AD$495&gt;=5))*ROW('CASE MASTER'!$T$2:$T$495))-(ROW('CASE MASTER'!#REF!)-1)))+1)+(5-INDEX('CASE MASTER'!$AB$2:$AB$495,(SUMPRODUCT((('CASE MASTER'!$T$2:$T$495=3)*('CASE MASTER'!$AA$2:$AA$495&lt;=5)*('CASE MASTER'!$AC$2:$AC$495&gt;=5)*('CASE MASTER'!$AB$2:$AB$495&lt;=5)*('CASE MASTER'!$AD$2:$AD$495&gt;=5))*ROW('CASE MASTER'!$T$2:$T$495))-(ROW('CASE MASTER'!#REF!)-1))))+1)))-1)*50+1,50))&amp;"_"&amp;INDEX('CASE MASTER'!$Q$2:$Q$495,(SUMPRODUCT((('CASE MASTER'!$T$2:$T$495=3)*('CASE MASTER'!$AA$2:$AA$495&lt;=5)*('CASE MASTER'!$AC$2:$AC$495&gt;=5)*('CASE MASTER'!$AB$2:$AB$495&lt;=5)*('CASE MASTER'!$AD$2:$AD$495&gt;=5))*ROW('CASE MASTER'!$T$2:$T$495))-(ROW('CASE MASTER'!#REF!)-1))),"")),"")</f>
        <v/>
      </c>
      <c r="G35" s="10" t="str">
        <f>IFERROR(IF(SUMPRODUCT((('CASE MASTER'!$T$2:$T$495=3)*('CASE MASTER'!$U$2:$U$495&lt;=5)*('CASE MASTER'!$W$2:$W$495&gt;=5)*('CASE MASTER'!$V$2:$V$495&lt;=6)*('CASE MASTER'!$X$2:$X$495&gt;=6))*ROW('CASE MASTER'!$T$2:$T$495))&gt;0,INDEX('CASE MASTER'!$Y$2:$Y$495,(SUMPRODUCT((('CASE MASTER'!$T$2:$T$495=3)*('CASE MASTER'!$U$2:$U$495&lt;=5)*('CASE MASTER'!$W$2:$W$495&gt;=5)*('CASE MASTER'!$V$2:$V$495&lt;=6)*('CASE MASTER'!$X$2:$X$495&gt;=6))*ROW('CASE MASTER'!$T$2:$T$495))-(ROW('CASE MASTER'!#REF!)-1)))&amp;TRIM(MID(SUBSTITUTE(SUBSTITUTE(INDEX('CASE MASTER'!$N$2:$N$495,(SUMPRODUCT((('CASE MASTER'!$T$2:$T$495=3)*('CASE MASTER'!$U$2:$U$495&lt;=5)*('CASE MASTER'!$W$2:$W$495&gt;=5)*('CASE MASTER'!$V$2:$V$495&lt;=6)*('CASE MASTER'!$X$2:$X$495&gt;=6))*ROW('CASE MASTER'!$T$2:$T$495))-(ROW('CASE MASTER'!#REF!)-1))),":",","),",",REPT(" ",50)),((((5-INDEX('CASE MASTER'!$U$2:$U$495,(SUMPRODUCT((('CASE MASTER'!$T$2:$T$495=3)*('CASE MASTER'!$U$2:$U$495&lt;=5)*('CASE MASTER'!$W$2:$W$495&gt;=5)*('CASE MASTER'!$V$2:$V$495&lt;=6)*('CASE MASTER'!$X$2:$X$495&gt;=6))*ROW('CASE MASTER'!$T$2:$T$495))-(ROW('CASE MASTER'!#REF!)-1))))*(INDEX('CASE MASTER'!$X$2:$X$495,(SUMPRODUCT((('CASE MASTER'!$T$2:$T$495=3)*('CASE MASTER'!$U$2:$U$495&lt;=5)*('CASE MASTER'!$W$2:$W$495&gt;=5)*('CASE MASTER'!$V$2:$V$495&lt;=6)*('CASE MASTER'!$X$2:$X$495&gt;=6))*ROW('CASE MASTER'!$T$2:$T$495))-(ROW('CASE MASTER'!#REF!)-1)))-INDEX('CASE MASTER'!$V$2:$V$495,(SUMPRODUCT((('CASE MASTER'!$T$2:$T$495=3)*('CASE MASTER'!$U$2:$U$495&lt;=5)*('CASE MASTER'!$W$2:$W$495&gt;=5)*('CASE MASTER'!$V$2:$V$495&lt;=6)*('CASE MASTER'!$X$2:$X$495&gt;=6))*ROW('CASE MASTER'!$T$2:$T$495))-(ROW('CASE MASTER'!#REF!)-1)))+1)+(6-INDEX('CASE MASTER'!$V$2:$V$495,(SUMPRODUCT((('CASE MASTER'!$T$2:$T$495=3)*('CASE MASTER'!$U$2:$U$495&lt;=5)*('CASE MASTER'!$W$2:$W$495&gt;=5)*('CASE MASTER'!$V$2:$V$495&lt;=6)*('CASE MASTER'!$X$2:$X$495&gt;=6))*ROW('CASE MASTER'!$T$2:$T$495))-(ROW('CASE MASTER'!#REF!)-1))))+1))-1)*50+1,50))&amp;"_"&amp;INDEX('CASE MASTER'!$Q$2:$Q$495,(SUMPRODUCT((('CASE MASTER'!$T$2:$T$495=3)*('CASE MASTER'!$U$2:$U$495&lt;=5)*('CASE MASTER'!$W$2:$W$495&gt;=5)*('CASE MASTER'!$V$2:$V$495&lt;=6)*('CASE MASTER'!$X$2:$X$495&gt;=6))*ROW('CASE MASTER'!$T$2:$T$495))-(ROW('CASE MASTER'!#REF!)-1))),IF(SUMPRODUCT((('CASE MASTER'!$T$2:$T$495=3)*('CASE MASTER'!$AA$2:$AA$495&lt;=5)*('CASE MASTER'!$AC$2:$AC$495&gt;=5)*('CASE MASTER'!$AB$2:$AB$495&lt;=6)*('CASE MASTER'!$AD$2:$AD$495&gt;=6))*ROW('CASE MASTER'!$T$2:$T$495))&gt;0,INDEX('CASE MASTER'!$Y$2:$Y$495,(SUMPRODUCT((('CASE MASTER'!$T$2:$T$495=3)*('CASE MASTER'!$AA$2:$AA$495&lt;=5)*('CASE MASTER'!$AC$2:$AC$495&gt;=5)*('CASE MASTER'!$AB$2:$AB$495&lt;=6)*('CASE MASTER'!$AD$2:$AD$495&gt;=6))*ROW('CASE MASTER'!$T$2:$T$495))-(ROW('CASE MASTER'!#REF!)-1)))&amp;TRIM(MID(SUBSTITUTE(SUBSTITUTE(INDEX('CASE MASTER'!$N$2:$N$495,(SUMPRODUCT((('CASE MASTER'!$T$2:$T$495=3)*('CASE MASTER'!$AA$2:$AA$495&lt;=5)*('CASE MASTER'!$AC$2:$AC$495&gt;=5)*('CASE MASTER'!$AB$2:$AB$495&lt;=6)*('CASE MASTER'!$AD$2:$AD$495&gt;=6))*ROW('CASE MASTER'!$T$2:$T$495))-(ROW('CASE MASTER'!#REF!)-1))),":",","),",",REPT(" ",50)),(((INDEX('CASE MASTER'!$Z$2:$Z$495,(SUMPRODUCT((('CASE MASTER'!$T$2:$T$495=3)*('CASE MASTER'!$AA$2:$AA$495&lt;=5)*('CASE MASTER'!$AC$2:$AC$495&gt;=5)*('CASE MASTER'!$AB$2:$AB$495&lt;=6)*('CASE MASTER'!$AD$2:$AD$495&gt;=6))*ROW('CASE MASTER'!$T$2:$T$495))-(ROW('CASE MASTER'!#REF!)-1)))+((5-INDEX('CASE MASTER'!$AA$2:$AA$495,(SUMPRODUCT((('CASE MASTER'!$T$2:$T$495=3)*('CASE MASTER'!$AA$2:$AA$495&lt;=5)*('CASE MASTER'!$AC$2:$AC$495&gt;=5)*('CASE MASTER'!$AB$2:$AB$495&lt;=6)*('CASE MASTER'!$AD$2:$AD$495&gt;=6))*ROW('CASE MASTER'!$T$2:$T$495))-(ROW('CASE MASTER'!#REF!)-1))))*(INDEX('CASE MASTER'!$AD$2:$AD$495,(SUMPRODUCT((('CASE MASTER'!$T$2:$T$495=3)*('CASE MASTER'!$AA$2:$AA$495&lt;=5)*('CASE MASTER'!$AC$2:$AC$495&gt;=5)*('CASE MASTER'!$AB$2:$AB$495&lt;=6)*('CASE MASTER'!$AD$2:$AD$495&gt;=6))*ROW('CASE MASTER'!$T$2:$T$495))-(ROW('CASE MASTER'!#REF!)-1)))-INDEX('CASE MASTER'!$AB$2:$AB$495,(SUMPRODUCT((('CASE MASTER'!$T$2:$T$495=3)*('CASE MASTER'!$AA$2:$AA$495&lt;=5)*('CASE MASTER'!$AC$2:$AC$495&gt;=5)*('CASE MASTER'!$AB$2:$AB$495&lt;=6)*('CASE MASTER'!$AD$2:$AD$495&gt;=6))*ROW('CASE MASTER'!$T$2:$T$495))-(ROW('CASE MASTER'!#REF!)-1)))+1)+(6-INDEX('CASE MASTER'!$AB$2:$AB$495,(SUMPRODUCT((('CASE MASTER'!$T$2:$T$495=3)*('CASE MASTER'!$AA$2:$AA$495&lt;=5)*('CASE MASTER'!$AC$2:$AC$495&gt;=5)*('CASE MASTER'!$AB$2:$AB$495&lt;=6)*('CASE MASTER'!$AD$2:$AD$495&gt;=6))*ROW('CASE MASTER'!$T$2:$T$495))-(ROW('CASE MASTER'!#REF!)-1))))+1)))-1)*50+1,50))&amp;"_"&amp;INDEX('CASE MASTER'!$Q$2:$Q$495,(SUMPRODUCT((('CASE MASTER'!$T$2:$T$495=3)*('CASE MASTER'!$AA$2:$AA$495&lt;=5)*('CASE MASTER'!$AC$2:$AC$495&gt;=5)*('CASE MASTER'!$AB$2:$AB$495&lt;=6)*('CASE MASTER'!$AD$2:$AD$495&gt;=6))*ROW('CASE MASTER'!$T$2:$T$495))-(ROW('CASE MASTER'!#REF!)-1))),"")),"")</f>
        <v/>
      </c>
      <c r="H35" s="10" t="str">
        <f>IFERROR(IF(SUMPRODUCT((('CASE MASTER'!$T$2:$T$495=3)*('CASE MASTER'!$U$2:$U$495&lt;=5)*('CASE MASTER'!$W$2:$W$495&gt;=5)*('CASE MASTER'!$V$2:$V$495&lt;=7)*('CASE MASTER'!$X$2:$X$495&gt;=7))*ROW('CASE MASTER'!$T$2:$T$495))&gt;0,INDEX('CASE MASTER'!$Y$2:$Y$495,(SUMPRODUCT((('CASE MASTER'!$T$2:$T$495=3)*('CASE MASTER'!$U$2:$U$495&lt;=5)*('CASE MASTER'!$W$2:$W$495&gt;=5)*('CASE MASTER'!$V$2:$V$495&lt;=7)*('CASE MASTER'!$X$2:$X$495&gt;=7))*ROW('CASE MASTER'!$T$2:$T$495))-(ROW('CASE MASTER'!#REF!)-1)))&amp;TRIM(MID(SUBSTITUTE(SUBSTITUTE(INDEX('CASE MASTER'!$N$2:$N$495,(SUMPRODUCT((('CASE MASTER'!$T$2:$T$495=3)*('CASE MASTER'!$U$2:$U$495&lt;=5)*('CASE MASTER'!$W$2:$W$495&gt;=5)*('CASE MASTER'!$V$2:$V$495&lt;=7)*('CASE MASTER'!$X$2:$X$495&gt;=7))*ROW('CASE MASTER'!$T$2:$T$495))-(ROW('CASE MASTER'!#REF!)-1))),":",","),",",REPT(" ",50)),((((5-INDEX('CASE MASTER'!$U$2:$U$495,(SUMPRODUCT((('CASE MASTER'!$T$2:$T$495=3)*('CASE MASTER'!$U$2:$U$495&lt;=5)*('CASE MASTER'!$W$2:$W$495&gt;=5)*('CASE MASTER'!$V$2:$V$495&lt;=7)*('CASE MASTER'!$X$2:$X$495&gt;=7))*ROW('CASE MASTER'!$T$2:$T$495))-(ROW('CASE MASTER'!#REF!)-1))))*(INDEX('CASE MASTER'!$X$2:$X$495,(SUMPRODUCT((('CASE MASTER'!$T$2:$T$495=3)*('CASE MASTER'!$U$2:$U$495&lt;=5)*('CASE MASTER'!$W$2:$W$495&gt;=5)*('CASE MASTER'!$V$2:$V$495&lt;=7)*('CASE MASTER'!$X$2:$X$495&gt;=7))*ROW('CASE MASTER'!$T$2:$T$495))-(ROW('CASE MASTER'!#REF!)-1)))-INDEX('CASE MASTER'!$V$2:$V$495,(SUMPRODUCT((('CASE MASTER'!$T$2:$T$495=3)*('CASE MASTER'!$U$2:$U$495&lt;=5)*('CASE MASTER'!$W$2:$W$495&gt;=5)*('CASE MASTER'!$V$2:$V$495&lt;=7)*('CASE MASTER'!$X$2:$X$495&gt;=7))*ROW('CASE MASTER'!$T$2:$T$495))-(ROW('CASE MASTER'!#REF!)-1)))+1)+(7-INDEX('CASE MASTER'!$V$2:$V$495,(SUMPRODUCT((('CASE MASTER'!$T$2:$T$495=3)*('CASE MASTER'!$U$2:$U$495&lt;=5)*('CASE MASTER'!$W$2:$W$495&gt;=5)*('CASE MASTER'!$V$2:$V$495&lt;=7)*('CASE MASTER'!$X$2:$X$495&gt;=7))*ROW('CASE MASTER'!$T$2:$T$495))-(ROW('CASE MASTER'!#REF!)-1))))+1))-1)*50+1,50))&amp;"_"&amp;INDEX('CASE MASTER'!$Q$2:$Q$495,(SUMPRODUCT((('CASE MASTER'!$T$2:$T$495=3)*('CASE MASTER'!$U$2:$U$495&lt;=5)*('CASE MASTER'!$W$2:$W$495&gt;=5)*('CASE MASTER'!$V$2:$V$495&lt;=7)*('CASE MASTER'!$X$2:$X$495&gt;=7))*ROW('CASE MASTER'!$T$2:$T$495))-(ROW('CASE MASTER'!#REF!)-1))),IF(SUMPRODUCT((('CASE MASTER'!$T$2:$T$495=3)*('CASE MASTER'!$AA$2:$AA$495&lt;=5)*('CASE MASTER'!$AC$2:$AC$495&gt;=5)*('CASE MASTER'!$AB$2:$AB$495&lt;=7)*('CASE MASTER'!$AD$2:$AD$495&gt;=7))*ROW('CASE MASTER'!$T$2:$T$495))&gt;0,INDEX('CASE MASTER'!$Y$2:$Y$495,(SUMPRODUCT((('CASE MASTER'!$T$2:$T$495=3)*('CASE MASTER'!$AA$2:$AA$495&lt;=5)*('CASE MASTER'!$AC$2:$AC$495&gt;=5)*('CASE MASTER'!$AB$2:$AB$495&lt;=7)*('CASE MASTER'!$AD$2:$AD$495&gt;=7))*ROW('CASE MASTER'!$T$2:$T$495))-(ROW('CASE MASTER'!#REF!)-1)))&amp;TRIM(MID(SUBSTITUTE(SUBSTITUTE(INDEX('CASE MASTER'!$N$2:$N$495,(SUMPRODUCT((('CASE MASTER'!$T$2:$T$495=3)*('CASE MASTER'!$AA$2:$AA$495&lt;=5)*('CASE MASTER'!$AC$2:$AC$495&gt;=5)*('CASE MASTER'!$AB$2:$AB$495&lt;=7)*('CASE MASTER'!$AD$2:$AD$495&gt;=7))*ROW('CASE MASTER'!$T$2:$T$495))-(ROW('CASE MASTER'!#REF!)-1))),":",","),",",REPT(" ",50)),(((INDEX('CASE MASTER'!$Z$2:$Z$495,(SUMPRODUCT((('CASE MASTER'!$T$2:$T$495=3)*('CASE MASTER'!$AA$2:$AA$495&lt;=5)*('CASE MASTER'!$AC$2:$AC$495&gt;=5)*('CASE MASTER'!$AB$2:$AB$495&lt;=7)*('CASE MASTER'!$AD$2:$AD$495&gt;=7))*ROW('CASE MASTER'!$T$2:$T$495))-(ROW('CASE MASTER'!#REF!)-1)))+((5-INDEX('CASE MASTER'!$AA$2:$AA$495,(SUMPRODUCT((('CASE MASTER'!$T$2:$T$495=3)*('CASE MASTER'!$AA$2:$AA$495&lt;=5)*('CASE MASTER'!$AC$2:$AC$495&gt;=5)*('CASE MASTER'!$AB$2:$AB$495&lt;=7)*('CASE MASTER'!$AD$2:$AD$495&gt;=7))*ROW('CASE MASTER'!$T$2:$T$495))-(ROW('CASE MASTER'!#REF!)-1))))*(INDEX('CASE MASTER'!$AD$2:$AD$495,(SUMPRODUCT((('CASE MASTER'!$T$2:$T$495=3)*('CASE MASTER'!$AA$2:$AA$495&lt;=5)*('CASE MASTER'!$AC$2:$AC$495&gt;=5)*('CASE MASTER'!$AB$2:$AB$495&lt;=7)*('CASE MASTER'!$AD$2:$AD$495&gt;=7))*ROW('CASE MASTER'!$T$2:$T$495))-(ROW('CASE MASTER'!#REF!)-1)))-INDEX('CASE MASTER'!$AB$2:$AB$495,(SUMPRODUCT((('CASE MASTER'!$T$2:$T$495=3)*('CASE MASTER'!$AA$2:$AA$495&lt;=5)*('CASE MASTER'!$AC$2:$AC$495&gt;=5)*('CASE MASTER'!$AB$2:$AB$495&lt;=7)*('CASE MASTER'!$AD$2:$AD$495&gt;=7))*ROW('CASE MASTER'!$T$2:$T$495))-(ROW('CASE MASTER'!#REF!)-1)))+1)+(7-INDEX('CASE MASTER'!$AB$2:$AB$495,(SUMPRODUCT((('CASE MASTER'!$T$2:$T$495=3)*('CASE MASTER'!$AA$2:$AA$495&lt;=5)*('CASE MASTER'!$AC$2:$AC$495&gt;=5)*('CASE MASTER'!$AB$2:$AB$495&lt;=7)*('CASE MASTER'!$AD$2:$AD$495&gt;=7))*ROW('CASE MASTER'!$T$2:$T$495))-(ROW('CASE MASTER'!#REF!)-1))))+1)))-1)*50+1,50))&amp;"_"&amp;INDEX('CASE MASTER'!$Q$2:$Q$495,(SUMPRODUCT((('CASE MASTER'!$T$2:$T$495=3)*('CASE MASTER'!$AA$2:$AA$495&lt;=5)*('CASE MASTER'!$AC$2:$AC$495&gt;=5)*('CASE MASTER'!$AB$2:$AB$495&lt;=7)*('CASE MASTER'!$AD$2:$AD$495&gt;=7))*ROW('CASE MASTER'!$T$2:$T$495))-(ROW('CASE MASTER'!#REF!)-1))),"")),"")</f>
        <v/>
      </c>
      <c r="I35" s="10" t="str">
        <f>IFERROR(IF(SUMPRODUCT((('CASE MASTER'!$T$2:$T$495=3)*('CASE MASTER'!$U$2:$U$495&lt;=5)*('CASE MASTER'!$W$2:$W$495&gt;=5)*('CASE MASTER'!$V$2:$V$495&lt;=8)*('CASE MASTER'!$X$2:$X$495&gt;=8))*ROW('CASE MASTER'!$T$2:$T$495))&gt;0,INDEX('CASE MASTER'!$Y$2:$Y$495,(SUMPRODUCT((('CASE MASTER'!$T$2:$T$495=3)*('CASE MASTER'!$U$2:$U$495&lt;=5)*('CASE MASTER'!$W$2:$W$495&gt;=5)*('CASE MASTER'!$V$2:$V$495&lt;=8)*('CASE MASTER'!$X$2:$X$495&gt;=8))*ROW('CASE MASTER'!$T$2:$T$495))-(ROW('CASE MASTER'!#REF!)-1)))&amp;TRIM(MID(SUBSTITUTE(SUBSTITUTE(INDEX('CASE MASTER'!$N$2:$N$495,(SUMPRODUCT((('CASE MASTER'!$T$2:$T$495=3)*('CASE MASTER'!$U$2:$U$495&lt;=5)*('CASE MASTER'!$W$2:$W$495&gt;=5)*('CASE MASTER'!$V$2:$V$495&lt;=8)*('CASE MASTER'!$X$2:$X$495&gt;=8))*ROW('CASE MASTER'!$T$2:$T$495))-(ROW('CASE MASTER'!#REF!)-1))),":",","),",",REPT(" ",50)),((((5-INDEX('CASE MASTER'!$U$2:$U$495,(SUMPRODUCT((('CASE MASTER'!$T$2:$T$495=3)*('CASE MASTER'!$U$2:$U$495&lt;=5)*('CASE MASTER'!$W$2:$W$495&gt;=5)*('CASE MASTER'!$V$2:$V$495&lt;=8)*('CASE MASTER'!$X$2:$X$495&gt;=8))*ROW('CASE MASTER'!$T$2:$T$495))-(ROW('CASE MASTER'!#REF!)-1))))*(INDEX('CASE MASTER'!$X$2:$X$495,(SUMPRODUCT((('CASE MASTER'!$T$2:$T$495=3)*('CASE MASTER'!$U$2:$U$495&lt;=5)*('CASE MASTER'!$W$2:$W$495&gt;=5)*('CASE MASTER'!$V$2:$V$495&lt;=8)*('CASE MASTER'!$X$2:$X$495&gt;=8))*ROW('CASE MASTER'!$T$2:$T$495))-(ROW('CASE MASTER'!#REF!)-1)))-INDEX('CASE MASTER'!$V$2:$V$495,(SUMPRODUCT((('CASE MASTER'!$T$2:$T$495=3)*('CASE MASTER'!$U$2:$U$495&lt;=5)*('CASE MASTER'!$W$2:$W$495&gt;=5)*('CASE MASTER'!$V$2:$V$495&lt;=8)*('CASE MASTER'!$X$2:$X$495&gt;=8))*ROW('CASE MASTER'!$T$2:$T$495))-(ROW('CASE MASTER'!#REF!)-1)))+1)+(8-INDEX('CASE MASTER'!$V$2:$V$495,(SUMPRODUCT((('CASE MASTER'!$T$2:$T$495=3)*('CASE MASTER'!$U$2:$U$495&lt;=5)*('CASE MASTER'!$W$2:$W$495&gt;=5)*('CASE MASTER'!$V$2:$V$495&lt;=8)*('CASE MASTER'!$X$2:$X$495&gt;=8))*ROW('CASE MASTER'!$T$2:$T$495))-(ROW('CASE MASTER'!#REF!)-1))))+1))-1)*50+1,50))&amp;"_"&amp;INDEX('CASE MASTER'!$Q$2:$Q$495,(SUMPRODUCT((('CASE MASTER'!$T$2:$T$495=3)*('CASE MASTER'!$U$2:$U$495&lt;=5)*('CASE MASTER'!$W$2:$W$495&gt;=5)*('CASE MASTER'!$V$2:$V$495&lt;=8)*('CASE MASTER'!$X$2:$X$495&gt;=8))*ROW('CASE MASTER'!$T$2:$T$495))-(ROW('CASE MASTER'!#REF!)-1))),IF(SUMPRODUCT((('CASE MASTER'!$T$2:$T$495=3)*('CASE MASTER'!$AA$2:$AA$495&lt;=5)*('CASE MASTER'!$AC$2:$AC$495&gt;=5)*('CASE MASTER'!$AB$2:$AB$495&lt;=8)*('CASE MASTER'!$AD$2:$AD$495&gt;=8))*ROW('CASE MASTER'!$T$2:$T$495))&gt;0,INDEX('CASE MASTER'!$Y$2:$Y$495,(SUMPRODUCT((('CASE MASTER'!$T$2:$T$495=3)*('CASE MASTER'!$AA$2:$AA$495&lt;=5)*('CASE MASTER'!$AC$2:$AC$495&gt;=5)*('CASE MASTER'!$AB$2:$AB$495&lt;=8)*('CASE MASTER'!$AD$2:$AD$495&gt;=8))*ROW('CASE MASTER'!$T$2:$T$495))-(ROW('CASE MASTER'!#REF!)-1)))&amp;TRIM(MID(SUBSTITUTE(SUBSTITUTE(INDEX('CASE MASTER'!$N$2:$N$495,(SUMPRODUCT((('CASE MASTER'!$T$2:$T$495=3)*('CASE MASTER'!$AA$2:$AA$495&lt;=5)*('CASE MASTER'!$AC$2:$AC$495&gt;=5)*('CASE MASTER'!$AB$2:$AB$495&lt;=8)*('CASE MASTER'!$AD$2:$AD$495&gt;=8))*ROW('CASE MASTER'!$T$2:$T$495))-(ROW('CASE MASTER'!#REF!)-1))),":",","),",",REPT(" ",50)),(((INDEX('CASE MASTER'!$Z$2:$Z$495,(SUMPRODUCT((('CASE MASTER'!$T$2:$T$495=3)*('CASE MASTER'!$AA$2:$AA$495&lt;=5)*('CASE MASTER'!$AC$2:$AC$495&gt;=5)*('CASE MASTER'!$AB$2:$AB$495&lt;=8)*('CASE MASTER'!$AD$2:$AD$495&gt;=8))*ROW('CASE MASTER'!$T$2:$T$495))-(ROW('CASE MASTER'!#REF!)-1)))+((5-INDEX('CASE MASTER'!$AA$2:$AA$495,(SUMPRODUCT((('CASE MASTER'!$T$2:$T$495=3)*('CASE MASTER'!$AA$2:$AA$495&lt;=5)*('CASE MASTER'!$AC$2:$AC$495&gt;=5)*('CASE MASTER'!$AB$2:$AB$495&lt;=8)*('CASE MASTER'!$AD$2:$AD$495&gt;=8))*ROW('CASE MASTER'!$T$2:$T$495))-(ROW('CASE MASTER'!#REF!)-1))))*(INDEX('CASE MASTER'!$AD$2:$AD$495,(SUMPRODUCT((('CASE MASTER'!$T$2:$T$495=3)*('CASE MASTER'!$AA$2:$AA$495&lt;=5)*('CASE MASTER'!$AC$2:$AC$495&gt;=5)*('CASE MASTER'!$AB$2:$AB$495&lt;=8)*('CASE MASTER'!$AD$2:$AD$495&gt;=8))*ROW('CASE MASTER'!$T$2:$T$495))-(ROW('CASE MASTER'!#REF!)-1)))-INDEX('CASE MASTER'!$AB$2:$AB$495,(SUMPRODUCT((('CASE MASTER'!$T$2:$T$495=3)*('CASE MASTER'!$AA$2:$AA$495&lt;=5)*('CASE MASTER'!$AC$2:$AC$495&gt;=5)*('CASE MASTER'!$AB$2:$AB$495&lt;=8)*('CASE MASTER'!$AD$2:$AD$495&gt;=8))*ROW('CASE MASTER'!$T$2:$T$495))-(ROW('CASE MASTER'!#REF!)-1)))+1)+(8-INDEX('CASE MASTER'!$AB$2:$AB$495,(SUMPRODUCT((('CASE MASTER'!$T$2:$T$495=3)*('CASE MASTER'!$AA$2:$AA$495&lt;=5)*('CASE MASTER'!$AC$2:$AC$495&gt;=5)*('CASE MASTER'!$AB$2:$AB$495&lt;=8)*('CASE MASTER'!$AD$2:$AD$495&gt;=8))*ROW('CASE MASTER'!$T$2:$T$495))-(ROW('CASE MASTER'!#REF!)-1))))+1)))-1)*50+1,50))&amp;"_"&amp;INDEX('CASE MASTER'!$Q$2:$Q$495,(SUMPRODUCT((('CASE MASTER'!$T$2:$T$495=3)*('CASE MASTER'!$AA$2:$AA$495&lt;=5)*('CASE MASTER'!$AC$2:$AC$495&gt;=5)*('CASE MASTER'!$AB$2:$AB$495&lt;=8)*('CASE MASTER'!$AD$2:$AD$495&gt;=8))*ROW('CASE MASTER'!$T$2:$T$495))-(ROW('CASE MASTER'!#REF!)-1))),"")),"")</f>
        <v/>
      </c>
      <c r="J35" s="10" t="str">
        <f>IFERROR(IF(SUMPRODUCT((('CASE MASTER'!$T$2:$T$495=3)*('CASE MASTER'!$U$2:$U$495&lt;=5)*('CASE MASTER'!$W$2:$W$495&gt;=5)*('CASE MASTER'!$V$2:$V$495&lt;=9)*('CASE MASTER'!$X$2:$X$495&gt;=9))*ROW('CASE MASTER'!$T$2:$T$495))&gt;0,INDEX('CASE MASTER'!$Y$2:$Y$495,(SUMPRODUCT((('CASE MASTER'!$T$2:$T$495=3)*('CASE MASTER'!$U$2:$U$495&lt;=5)*('CASE MASTER'!$W$2:$W$495&gt;=5)*('CASE MASTER'!$V$2:$V$495&lt;=9)*('CASE MASTER'!$X$2:$X$495&gt;=9))*ROW('CASE MASTER'!$T$2:$T$495))-(ROW('CASE MASTER'!#REF!)-1)))&amp;TRIM(MID(SUBSTITUTE(SUBSTITUTE(INDEX('CASE MASTER'!$N$2:$N$495,(SUMPRODUCT((('CASE MASTER'!$T$2:$T$495=3)*('CASE MASTER'!$U$2:$U$495&lt;=5)*('CASE MASTER'!$W$2:$W$495&gt;=5)*('CASE MASTER'!$V$2:$V$495&lt;=9)*('CASE MASTER'!$X$2:$X$495&gt;=9))*ROW('CASE MASTER'!$T$2:$T$495))-(ROW('CASE MASTER'!#REF!)-1))),":",","),",",REPT(" ",50)),((((5-INDEX('CASE MASTER'!$U$2:$U$495,(SUMPRODUCT((('CASE MASTER'!$T$2:$T$495=3)*('CASE MASTER'!$U$2:$U$495&lt;=5)*('CASE MASTER'!$W$2:$W$495&gt;=5)*('CASE MASTER'!$V$2:$V$495&lt;=9)*('CASE MASTER'!$X$2:$X$495&gt;=9))*ROW('CASE MASTER'!$T$2:$T$495))-(ROW('CASE MASTER'!#REF!)-1))))*(INDEX('CASE MASTER'!$X$2:$X$495,(SUMPRODUCT((('CASE MASTER'!$T$2:$T$495=3)*('CASE MASTER'!$U$2:$U$495&lt;=5)*('CASE MASTER'!$W$2:$W$495&gt;=5)*('CASE MASTER'!$V$2:$V$495&lt;=9)*('CASE MASTER'!$X$2:$X$495&gt;=9))*ROW('CASE MASTER'!$T$2:$T$495))-(ROW('CASE MASTER'!#REF!)-1)))-INDEX('CASE MASTER'!$V$2:$V$495,(SUMPRODUCT((('CASE MASTER'!$T$2:$T$495=3)*('CASE MASTER'!$U$2:$U$495&lt;=5)*('CASE MASTER'!$W$2:$W$495&gt;=5)*('CASE MASTER'!$V$2:$V$495&lt;=9)*('CASE MASTER'!$X$2:$X$495&gt;=9))*ROW('CASE MASTER'!$T$2:$T$495))-(ROW('CASE MASTER'!#REF!)-1)))+1)+(9-INDEX('CASE MASTER'!$V$2:$V$495,(SUMPRODUCT((('CASE MASTER'!$T$2:$T$495=3)*('CASE MASTER'!$U$2:$U$495&lt;=5)*('CASE MASTER'!$W$2:$W$495&gt;=5)*('CASE MASTER'!$V$2:$V$495&lt;=9)*('CASE MASTER'!$X$2:$X$495&gt;=9))*ROW('CASE MASTER'!$T$2:$T$495))-(ROW('CASE MASTER'!#REF!)-1))))+1))-1)*50+1,50))&amp;"_"&amp;INDEX('CASE MASTER'!$Q$2:$Q$495,(SUMPRODUCT((('CASE MASTER'!$T$2:$T$495=3)*('CASE MASTER'!$U$2:$U$495&lt;=5)*('CASE MASTER'!$W$2:$W$495&gt;=5)*('CASE MASTER'!$V$2:$V$495&lt;=9)*('CASE MASTER'!$X$2:$X$495&gt;=9))*ROW('CASE MASTER'!$T$2:$T$495))-(ROW('CASE MASTER'!#REF!)-1))),IF(SUMPRODUCT((('CASE MASTER'!$T$2:$T$495=3)*('CASE MASTER'!$AA$2:$AA$495&lt;=5)*('CASE MASTER'!$AC$2:$AC$495&gt;=5)*('CASE MASTER'!$AB$2:$AB$495&lt;=9)*('CASE MASTER'!$AD$2:$AD$495&gt;=9))*ROW('CASE MASTER'!$T$2:$T$495))&gt;0,INDEX('CASE MASTER'!$Y$2:$Y$495,(SUMPRODUCT((('CASE MASTER'!$T$2:$T$495=3)*('CASE MASTER'!$AA$2:$AA$495&lt;=5)*('CASE MASTER'!$AC$2:$AC$495&gt;=5)*('CASE MASTER'!$AB$2:$AB$495&lt;=9)*('CASE MASTER'!$AD$2:$AD$495&gt;=9))*ROW('CASE MASTER'!$T$2:$T$495))-(ROW('CASE MASTER'!#REF!)-1)))&amp;TRIM(MID(SUBSTITUTE(SUBSTITUTE(INDEX('CASE MASTER'!$N$2:$N$495,(SUMPRODUCT((('CASE MASTER'!$T$2:$T$495=3)*('CASE MASTER'!$AA$2:$AA$495&lt;=5)*('CASE MASTER'!$AC$2:$AC$495&gt;=5)*('CASE MASTER'!$AB$2:$AB$495&lt;=9)*('CASE MASTER'!$AD$2:$AD$495&gt;=9))*ROW('CASE MASTER'!$T$2:$T$495))-(ROW('CASE MASTER'!#REF!)-1))),":",","),",",REPT(" ",50)),(((INDEX('CASE MASTER'!$Z$2:$Z$495,(SUMPRODUCT((('CASE MASTER'!$T$2:$T$495=3)*('CASE MASTER'!$AA$2:$AA$495&lt;=5)*('CASE MASTER'!$AC$2:$AC$495&gt;=5)*('CASE MASTER'!$AB$2:$AB$495&lt;=9)*('CASE MASTER'!$AD$2:$AD$495&gt;=9))*ROW('CASE MASTER'!$T$2:$T$495))-(ROW('CASE MASTER'!#REF!)-1)))+((5-INDEX('CASE MASTER'!$AA$2:$AA$495,(SUMPRODUCT((('CASE MASTER'!$T$2:$T$495=3)*('CASE MASTER'!$AA$2:$AA$495&lt;=5)*('CASE MASTER'!$AC$2:$AC$495&gt;=5)*('CASE MASTER'!$AB$2:$AB$495&lt;=9)*('CASE MASTER'!$AD$2:$AD$495&gt;=9))*ROW('CASE MASTER'!$T$2:$T$495))-(ROW('CASE MASTER'!#REF!)-1))))*(INDEX('CASE MASTER'!$AD$2:$AD$495,(SUMPRODUCT((('CASE MASTER'!$T$2:$T$495=3)*('CASE MASTER'!$AA$2:$AA$495&lt;=5)*('CASE MASTER'!$AC$2:$AC$495&gt;=5)*('CASE MASTER'!$AB$2:$AB$495&lt;=9)*('CASE MASTER'!$AD$2:$AD$495&gt;=9))*ROW('CASE MASTER'!$T$2:$T$495))-(ROW('CASE MASTER'!#REF!)-1)))-INDEX('CASE MASTER'!$AB$2:$AB$495,(SUMPRODUCT((('CASE MASTER'!$T$2:$T$495=3)*('CASE MASTER'!$AA$2:$AA$495&lt;=5)*('CASE MASTER'!$AC$2:$AC$495&gt;=5)*('CASE MASTER'!$AB$2:$AB$495&lt;=9)*('CASE MASTER'!$AD$2:$AD$495&gt;=9))*ROW('CASE MASTER'!$T$2:$T$495))-(ROW('CASE MASTER'!#REF!)-1)))+1)+(9-INDEX('CASE MASTER'!$AB$2:$AB$495,(SUMPRODUCT((('CASE MASTER'!$T$2:$T$495=3)*('CASE MASTER'!$AA$2:$AA$495&lt;=5)*('CASE MASTER'!$AC$2:$AC$495&gt;=5)*('CASE MASTER'!$AB$2:$AB$495&lt;=9)*('CASE MASTER'!$AD$2:$AD$495&gt;=9))*ROW('CASE MASTER'!$T$2:$T$495))-(ROW('CASE MASTER'!#REF!)-1))))+1)))-1)*50+1,50))&amp;"_"&amp;INDEX('CASE MASTER'!$Q$2:$Q$495,(SUMPRODUCT((('CASE MASTER'!$T$2:$T$495=3)*('CASE MASTER'!$AA$2:$AA$495&lt;=5)*('CASE MASTER'!$AC$2:$AC$495&gt;=5)*('CASE MASTER'!$AB$2:$AB$495&lt;=9)*('CASE MASTER'!$AD$2:$AD$495&gt;=9))*ROW('CASE MASTER'!$T$2:$T$495))-(ROW('CASE MASTER'!#REF!)-1))),"")),"")</f>
        <v/>
      </c>
      <c r="K35" s="10" t="str">
        <f>IFERROR(IF(SUMPRODUCT((('CASE MASTER'!$T$2:$T$495=3)*('CASE MASTER'!$U$2:$U$495&lt;=5)*('CASE MASTER'!$W$2:$W$495&gt;=5)*('CASE MASTER'!$V$2:$V$495&lt;=10)*('CASE MASTER'!$X$2:$X$495&gt;=10))*ROW('CASE MASTER'!$T$2:$T$495))&gt;0,INDEX('CASE MASTER'!$Y$2:$Y$495,(SUMPRODUCT((('CASE MASTER'!$T$2:$T$495=3)*('CASE MASTER'!$U$2:$U$495&lt;=5)*('CASE MASTER'!$W$2:$W$495&gt;=5)*('CASE MASTER'!$V$2:$V$495&lt;=10)*('CASE MASTER'!$X$2:$X$495&gt;=10))*ROW('CASE MASTER'!$T$2:$T$495))-(ROW('CASE MASTER'!#REF!)-1)))&amp;TRIM(MID(SUBSTITUTE(SUBSTITUTE(INDEX('CASE MASTER'!$N$2:$N$495,(SUMPRODUCT((('CASE MASTER'!$T$2:$T$495=3)*('CASE MASTER'!$U$2:$U$495&lt;=5)*('CASE MASTER'!$W$2:$W$495&gt;=5)*('CASE MASTER'!$V$2:$V$495&lt;=10)*('CASE MASTER'!$X$2:$X$495&gt;=10))*ROW('CASE MASTER'!$T$2:$T$495))-(ROW('CASE MASTER'!#REF!)-1))),":",","),",",REPT(" ",50)),((((5-INDEX('CASE MASTER'!$U$2:$U$495,(SUMPRODUCT((('CASE MASTER'!$T$2:$T$495=3)*('CASE MASTER'!$U$2:$U$495&lt;=5)*('CASE MASTER'!$W$2:$W$495&gt;=5)*('CASE MASTER'!$V$2:$V$495&lt;=10)*('CASE MASTER'!$X$2:$X$495&gt;=10))*ROW('CASE MASTER'!$T$2:$T$495))-(ROW('CASE MASTER'!#REF!)-1))))*(INDEX('CASE MASTER'!$X$2:$X$495,(SUMPRODUCT((('CASE MASTER'!$T$2:$T$495=3)*('CASE MASTER'!$U$2:$U$495&lt;=5)*('CASE MASTER'!$W$2:$W$495&gt;=5)*('CASE MASTER'!$V$2:$V$495&lt;=10)*('CASE MASTER'!$X$2:$X$495&gt;=10))*ROW('CASE MASTER'!$T$2:$T$495))-(ROW('CASE MASTER'!#REF!)-1)))-INDEX('CASE MASTER'!$V$2:$V$495,(SUMPRODUCT((('CASE MASTER'!$T$2:$T$495=3)*('CASE MASTER'!$U$2:$U$495&lt;=5)*('CASE MASTER'!$W$2:$W$495&gt;=5)*('CASE MASTER'!$V$2:$V$495&lt;=10)*('CASE MASTER'!$X$2:$X$495&gt;=10))*ROW('CASE MASTER'!$T$2:$T$495))-(ROW('CASE MASTER'!#REF!)-1)))+1)+(10-INDEX('CASE MASTER'!$V$2:$V$495,(SUMPRODUCT((('CASE MASTER'!$T$2:$T$495=3)*('CASE MASTER'!$U$2:$U$495&lt;=5)*('CASE MASTER'!$W$2:$W$495&gt;=5)*('CASE MASTER'!$V$2:$V$495&lt;=10)*('CASE MASTER'!$X$2:$X$495&gt;=10))*ROW('CASE MASTER'!$T$2:$T$495))-(ROW('CASE MASTER'!#REF!)-1))))+1))-1)*50+1,50))&amp;"_"&amp;INDEX('CASE MASTER'!$Q$2:$Q$495,(SUMPRODUCT((('CASE MASTER'!$T$2:$T$495=3)*('CASE MASTER'!$U$2:$U$495&lt;=5)*('CASE MASTER'!$W$2:$W$495&gt;=5)*('CASE MASTER'!$V$2:$V$495&lt;=10)*('CASE MASTER'!$X$2:$X$495&gt;=10))*ROW('CASE MASTER'!$T$2:$T$495))-(ROW('CASE MASTER'!#REF!)-1))),IF(SUMPRODUCT((('CASE MASTER'!$T$2:$T$495=3)*('CASE MASTER'!$AA$2:$AA$495&lt;=5)*('CASE MASTER'!$AC$2:$AC$495&gt;=5)*('CASE MASTER'!$AB$2:$AB$495&lt;=10)*('CASE MASTER'!$AD$2:$AD$495&gt;=10))*ROW('CASE MASTER'!$T$2:$T$495))&gt;0,INDEX('CASE MASTER'!$Y$2:$Y$495,(SUMPRODUCT((('CASE MASTER'!$T$2:$T$495=3)*('CASE MASTER'!$AA$2:$AA$495&lt;=5)*('CASE MASTER'!$AC$2:$AC$495&gt;=5)*('CASE MASTER'!$AB$2:$AB$495&lt;=10)*('CASE MASTER'!$AD$2:$AD$495&gt;=10))*ROW('CASE MASTER'!$T$2:$T$495))-(ROW('CASE MASTER'!#REF!)-1)))&amp;TRIM(MID(SUBSTITUTE(SUBSTITUTE(INDEX('CASE MASTER'!$N$2:$N$495,(SUMPRODUCT((('CASE MASTER'!$T$2:$T$495=3)*('CASE MASTER'!$AA$2:$AA$495&lt;=5)*('CASE MASTER'!$AC$2:$AC$495&gt;=5)*('CASE MASTER'!$AB$2:$AB$495&lt;=10)*('CASE MASTER'!$AD$2:$AD$495&gt;=10))*ROW('CASE MASTER'!$T$2:$T$495))-(ROW('CASE MASTER'!#REF!)-1))),":",","),",",REPT(" ",50)),(((INDEX('CASE MASTER'!$Z$2:$Z$495,(SUMPRODUCT((('CASE MASTER'!$T$2:$T$495=3)*('CASE MASTER'!$AA$2:$AA$495&lt;=5)*('CASE MASTER'!$AC$2:$AC$495&gt;=5)*('CASE MASTER'!$AB$2:$AB$495&lt;=10)*('CASE MASTER'!$AD$2:$AD$495&gt;=10))*ROW('CASE MASTER'!$T$2:$T$495))-(ROW('CASE MASTER'!#REF!)-1)))+((5-INDEX('CASE MASTER'!$AA$2:$AA$495,(SUMPRODUCT((('CASE MASTER'!$T$2:$T$495=3)*('CASE MASTER'!$AA$2:$AA$495&lt;=5)*('CASE MASTER'!$AC$2:$AC$495&gt;=5)*('CASE MASTER'!$AB$2:$AB$495&lt;=10)*('CASE MASTER'!$AD$2:$AD$495&gt;=10))*ROW('CASE MASTER'!$T$2:$T$495))-(ROW('CASE MASTER'!#REF!)-1))))*(INDEX('CASE MASTER'!$AD$2:$AD$495,(SUMPRODUCT((('CASE MASTER'!$T$2:$T$495=3)*('CASE MASTER'!$AA$2:$AA$495&lt;=5)*('CASE MASTER'!$AC$2:$AC$495&gt;=5)*('CASE MASTER'!$AB$2:$AB$495&lt;=10)*('CASE MASTER'!$AD$2:$AD$495&gt;=10))*ROW('CASE MASTER'!$T$2:$T$495))-(ROW('CASE MASTER'!#REF!)-1)))-INDEX('CASE MASTER'!$AB$2:$AB$495,(SUMPRODUCT((('CASE MASTER'!$T$2:$T$495=3)*('CASE MASTER'!$AA$2:$AA$495&lt;=5)*('CASE MASTER'!$AC$2:$AC$495&gt;=5)*('CASE MASTER'!$AB$2:$AB$495&lt;=10)*('CASE MASTER'!$AD$2:$AD$495&gt;=10))*ROW('CASE MASTER'!$T$2:$T$495))-(ROW('CASE MASTER'!#REF!)-1)))+1)+(10-INDEX('CASE MASTER'!$AB$2:$AB$495,(SUMPRODUCT((('CASE MASTER'!$T$2:$T$495=3)*('CASE MASTER'!$AA$2:$AA$495&lt;=5)*('CASE MASTER'!$AC$2:$AC$495&gt;=5)*('CASE MASTER'!$AB$2:$AB$495&lt;=10)*('CASE MASTER'!$AD$2:$AD$495&gt;=10))*ROW('CASE MASTER'!$T$2:$T$495))-(ROW('CASE MASTER'!#REF!)-1))))+1)))-1)*50+1,50))&amp;"_"&amp;INDEX('CASE MASTER'!$Q$2:$Q$495,(SUMPRODUCT((('CASE MASTER'!$T$2:$T$495=3)*('CASE MASTER'!$AA$2:$AA$495&lt;=5)*('CASE MASTER'!$AC$2:$AC$495&gt;=5)*('CASE MASTER'!$AB$2:$AB$495&lt;=10)*('CASE MASTER'!$AD$2:$AD$495&gt;=10))*ROW('CASE MASTER'!$T$2:$T$495))-(ROW('CASE MASTER'!#REF!)-1))),"")),"")</f>
        <v/>
      </c>
    </row>
    <row r="36" spans="1:11" ht="15" customHeight="1" x14ac:dyDescent="0.35">
      <c r="A36" s="8" t="s">
        <v>33</v>
      </c>
      <c r="B36" s="10" t="str">
        <f>IFERROR(IF(SUMPRODUCT((('CASE MASTER'!$T$2:$T$495=3)*('CASE MASTER'!$U$2:$U$495&lt;=6)*('CASE MASTER'!$W$2:$W$495&gt;=6)*('CASE MASTER'!$V$2:$V$495&lt;=1)*('CASE MASTER'!$X$2:$X$495&gt;=1))*ROW('CASE MASTER'!$T$2:$T$495))&gt;0,INDEX('CASE MASTER'!$Y$2:$Y$495,(SUMPRODUCT((('CASE MASTER'!$T$2:$T$495=3)*('CASE MASTER'!$U$2:$U$495&lt;=6)*('CASE MASTER'!$W$2:$W$495&gt;=6)*('CASE MASTER'!$V$2:$V$495&lt;=1)*('CASE MASTER'!$X$2:$X$495&gt;=1))*ROW('CASE MASTER'!$T$2:$T$495))-(ROW('CASE MASTER'!#REF!)-1)))&amp;TRIM(MID(SUBSTITUTE(SUBSTITUTE(INDEX('CASE MASTER'!$N$2:$N$495,(SUMPRODUCT((('CASE MASTER'!$T$2:$T$495=3)*('CASE MASTER'!$U$2:$U$495&lt;=6)*('CASE MASTER'!$W$2:$W$495&gt;=6)*('CASE MASTER'!$V$2:$V$495&lt;=1)*('CASE MASTER'!$X$2:$X$495&gt;=1))*ROW('CASE MASTER'!$T$2:$T$495))-(ROW('CASE MASTER'!#REF!)-1))),":",","),",",REPT(" ",50)),((((6-INDEX('CASE MASTER'!$U$2:$U$495,(SUMPRODUCT((('CASE MASTER'!$T$2:$T$495=3)*('CASE MASTER'!$U$2:$U$495&lt;=6)*('CASE MASTER'!$W$2:$W$495&gt;=6)*('CASE MASTER'!$V$2:$V$495&lt;=1)*('CASE MASTER'!$X$2:$X$495&gt;=1))*ROW('CASE MASTER'!$T$2:$T$495))-(ROW('CASE MASTER'!#REF!)-1))))*(INDEX('CASE MASTER'!$X$2:$X$495,(SUMPRODUCT((('CASE MASTER'!$T$2:$T$495=3)*('CASE MASTER'!$U$2:$U$495&lt;=6)*('CASE MASTER'!$W$2:$W$495&gt;=6)*('CASE MASTER'!$V$2:$V$495&lt;=1)*('CASE MASTER'!$X$2:$X$495&gt;=1))*ROW('CASE MASTER'!$T$2:$T$495))-(ROW('CASE MASTER'!#REF!)-1)))-INDEX('CASE MASTER'!$V$2:$V$495,(SUMPRODUCT((('CASE MASTER'!$T$2:$T$495=3)*('CASE MASTER'!$U$2:$U$495&lt;=6)*('CASE MASTER'!$W$2:$W$495&gt;=6)*('CASE MASTER'!$V$2:$V$495&lt;=1)*('CASE MASTER'!$X$2:$X$495&gt;=1))*ROW('CASE MASTER'!$T$2:$T$495))-(ROW('CASE MASTER'!#REF!)-1)))+1)+(1-INDEX('CASE MASTER'!$V$2:$V$495,(SUMPRODUCT((('CASE MASTER'!$T$2:$T$495=3)*('CASE MASTER'!$U$2:$U$495&lt;=6)*('CASE MASTER'!$W$2:$W$495&gt;=6)*('CASE MASTER'!$V$2:$V$495&lt;=1)*('CASE MASTER'!$X$2:$X$495&gt;=1))*ROW('CASE MASTER'!$T$2:$T$495))-(ROW('CASE MASTER'!#REF!)-1))))+1))-1)*50+1,50))&amp;"_"&amp;INDEX('CASE MASTER'!$Q$2:$Q$495,(SUMPRODUCT((('CASE MASTER'!$T$2:$T$495=3)*('CASE MASTER'!$U$2:$U$495&lt;=6)*('CASE MASTER'!$W$2:$W$495&gt;=6)*('CASE MASTER'!$V$2:$V$495&lt;=1)*('CASE MASTER'!$X$2:$X$495&gt;=1))*ROW('CASE MASTER'!$T$2:$T$495))-(ROW('CASE MASTER'!#REF!)-1))),IF(SUMPRODUCT((('CASE MASTER'!$T$2:$T$495=3)*('CASE MASTER'!$AA$2:$AA$495&lt;=6)*('CASE MASTER'!$AC$2:$AC$495&gt;=6)*('CASE MASTER'!$AB$2:$AB$495&lt;=1)*('CASE MASTER'!$AD$2:$AD$495&gt;=1))*ROW('CASE MASTER'!$T$2:$T$495))&gt;0,INDEX('CASE MASTER'!$Y$2:$Y$495,(SUMPRODUCT((('CASE MASTER'!$T$2:$T$495=3)*('CASE MASTER'!$AA$2:$AA$495&lt;=6)*('CASE MASTER'!$AC$2:$AC$495&gt;=6)*('CASE MASTER'!$AB$2:$AB$495&lt;=1)*('CASE MASTER'!$AD$2:$AD$495&gt;=1))*ROW('CASE MASTER'!$T$2:$T$495))-(ROW('CASE MASTER'!#REF!)-1)))&amp;TRIM(MID(SUBSTITUTE(SUBSTITUTE(INDEX('CASE MASTER'!$N$2:$N$495,(SUMPRODUCT((('CASE MASTER'!$T$2:$T$495=3)*('CASE MASTER'!$AA$2:$AA$495&lt;=6)*('CASE MASTER'!$AC$2:$AC$495&gt;=6)*('CASE MASTER'!$AB$2:$AB$495&lt;=1)*('CASE MASTER'!$AD$2:$AD$495&gt;=1))*ROW('CASE MASTER'!$T$2:$T$495))-(ROW('CASE MASTER'!#REF!)-1))),":",","),",",REPT(" ",50)),(((INDEX('CASE MASTER'!$Z$2:$Z$495,(SUMPRODUCT((('CASE MASTER'!$T$2:$T$495=3)*('CASE MASTER'!$AA$2:$AA$495&lt;=6)*('CASE MASTER'!$AC$2:$AC$495&gt;=6)*('CASE MASTER'!$AB$2:$AB$495&lt;=1)*('CASE MASTER'!$AD$2:$AD$495&gt;=1))*ROW('CASE MASTER'!$T$2:$T$495))-(ROW('CASE MASTER'!#REF!)-1)))+((6-INDEX('CASE MASTER'!$AA$2:$AA$495,(SUMPRODUCT((('CASE MASTER'!$T$2:$T$495=3)*('CASE MASTER'!$AA$2:$AA$495&lt;=6)*('CASE MASTER'!$AC$2:$AC$495&gt;=6)*('CASE MASTER'!$AB$2:$AB$495&lt;=1)*('CASE MASTER'!$AD$2:$AD$495&gt;=1))*ROW('CASE MASTER'!$T$2:$T$495))-(ROW('CASE MASTER'!#REF!)-1))))*(INDEX('CASE MASTER'!$AD$2:$AD$495,(SUMPRODUCT((('CASE MASTER'!$T$2:$T$495=3)*('CASE MASTER'!$AA$2:$AA$495&lt;=6)*('CASE MASTER'!$AC$2:$AC$495&gt;=6)*('CASE MASTER'!$AB$2:$AB$495&lt;=1)*('CASE MASTER'!$AD$2:$AD$495&gt;=1))*ROW('CASE MASTER'!$T$2:$T$495))-(ROW('CASE MASTER'!#REF!)-1)))-INDEX('CASE MASTER'!$AB$2:$AB$495,(SUMPRODUCT((('CASE MASTER'!$T$2:$T$495=3)*('CASE MASTER'!$AA$2:$AA$495&lt;=6)*('CASE MASTER'!$AC$2:$AC$495&gt;=6)*('CASE MASTER'!$AB$2:$AB$495&lt;=1)*('CASE MASTER'!$AD$2:$AD$495&gt;=1))*ROW('CASE MASTER'!$T$2:$T$495))-(ROW('CASE MASTER'!#REF!)-1)))+1)+(1-INDEX('CASE MASTER'!$AB$2:$AB$495,(SUMPRODUCT((('CASE MASTER'!$T$2:$T$495=3)*('CASE MASTER'!$AA$2:$AA$495&lt;=6)*('CASE MASTER'!$AC$2:$AC$495&gt;=6)*('CASE MASTER'!$AB$2:$AB$495&lt;=1)*('CASE MASTER'!$AD$2:$AD$495&gt;=1))*ROW('CASE MASTER'!$T$2:$T$495))-(ROW('CASE MASTER'!#REF!)-1))))+1)))-1)*50+1,50))&amp;"_"&amp;INDEX('CASE MASTER'!$Q$2:$Q$495,(SUMPRODUCT((('CASE MASTER'!$T$2:$T$495=3)*('CASE MASTER'!$AA$2:$AA$495&lt;=6)*('CASE MASTER'!$AC$2:$AC$495&gt;=6)*('CASE MASTER'!$AB$2:$AB$495&lt;=1)*('CASE MASTER'!$AD$2:$AD$495&gt;=1))*ROW('CASE MASTER'!$T$2:$T$495))-(ROW('CASE MASTER'!#REF!)-1))),"")),"")</f>
        <v/>
      </c>
      <c r="C36" s="10" t="str">
        <f>IFERROR(IF(SUMPRODUCT((('CASE MASTER'!$T$2:$T$495=3)*('CASE MASTER'!$U$2:$U$495&lt;=6)*('CASE MASTER'!$W$2:$W$495&gt;=6)*('CASE MASTER'!$V$2:$V$495&lt;=2)*('CASE MASTER'!$X$2:$X$495&gt;=2))*ROW('CASE MASTER'!$T$2:$T$495))&gt;0,INDEX('CASE MASTER'!$Y$2:$Y$495,(SUMPRODUCT((('CASE MASTER'!$T$2:$T$495=3)*('CASE MASTER'!$U$2:$U$495&lt;=6)*('CASE MASTER'!$W$2:$W$495&gt;=6)*('CASE MASTER'!$V$2:$V$495&lt;=2)*('CASE MASTER'!$X$2:$X$495&gt;=2))*ROW('CASE MASTER'!$T$2:$T$495))-(ROW('CASE MASTER'!#REF!)-1)))&amp;TRIM(MID(SUBSTITUTE(SUBSTITUTE(INDEX('CASE MASTER'!$N$2:$N$495,(SUMPRODUCT((('CASE MASTER'!$T$2:$T$495=3)*('CASE MASTER'!$U$2:$U$495&lt;=6)*('CASE MASTER'!$W$2:$W$495&gt;=6)*('CASE MASTER'!$V$2:$V$495&lt;=2)*('CASE MASTER'!$X$2:$X$495&gt;=2))*ROW('CASE MASTER'!$T$2:$T$495))-(ROW('CASE MASTER'!#REF!)-1))),":",","),",",REPT(" ",50)),((((6-INDEX('CASE MASTER'!$U$2:$U$495,(SUMPRODUCT((('CASE MASTER'!$T$2:$T$495=3)*('CASE MASTER'!$U$2:$U$495&lt;=6)*('CASE MASTER'!$W$2:$W$495&gt;=6)*('CASE MASTER'!$V$2:$V$495&lt;=2)*('CASE MASTER'!$X$2:$X$495&gt;=2))*ROW('CASE MASTER'!$T$2:$T$495))-(ROW('CASE MASTER'!#REF!)-1))))*(INDEX('CASE MASTER'!$X$2:$X$495,(SUMPRODUCT((('CASE MASTER'!$T$2:$T$495=3)*('CASE MASTER'!$U$2:$U$495&lt;=6)*('CASE MASTER'!$W$2:$W$495&gt;=6)*('CASE MASTER'!$V$2:$V$495&lt;=2)*('CASE MASTER'!$X$2:$X$495&gt;=2))*ROW('CASE MASTER'!$T$2:$T$495))-(ROW('CASE MASTER'!#REF!)-1)))-INDEX('CASE MASTER'!$V$2:$V$495,(SUMPRODUCT((('CASE MASTER'!$T$2:$T$495=3)*('CASE MASTER'!$U$2:$U$495&lt;=6)*('CASE MASTER'!$W$2:$W$495&gt;=6)*('CASE MASTER'!$V$2:$V$495&lt;=2)*('CASE MASTER'!$X$2:$X$495&gt;=2))*ROW('CASE MASTER'!$T$2:$T$495))-(ROW('CASE MASTER'!#REF!)-1)))+1)+(2-INDEX('CASE MASTER'!$V$2:$V$495,(SUMPRODUCT((('CASE MASTER'!$T$2:$T$495=3)*('CASE MASTER'!$U$2:$U$495&lt;=6)*('CASE MASTER'!$W$2:$W$495&gt;=6)*('CASE MASTER'!$V$2:$V$495&lt;=2)*('CASE MASTER'!$X$2:$X$495&gt;=2))*ROW('CASE MASTER'!$T$2:$T$495))-(ROW('CASE MASTER'!#REF!)-1))))+1))-1)*50+1,50))&amp;"_"&amp;INDEX('CASE MASTER'!$Q$2:$Q$495,(SUMPRODUCT((('CASE MASTER'!$T$2:$T$495=3)*('CASE MASTER'!$U$2:$U$495&lt;=6)*('CASE MASTER'!$W$2:$W$495&gt;=6)*('CASE MASTER'!$V$2:$V$495&lt;=2)*('CASE MASTER'!$X$2:$X$495&gt;=2))*ROW('CASE MASTER'!$T$2:$T$495))-(ROW('CASE MASTER'!#REF!)-1))),IF(SUMPRODUCT((('CASE MASTER'!$T$2:$T$495=3)*('CASE MASTER'!$AA$2:$AA$495&lt;=6)*('CASE MASTER'!$AC$2:$AC$495&gt;=6)*('CASE MASTER'!$AB$2:$AB$495&lt;=2)*('CASE MASTER'!$AD$2:$AD$495&gt;=2))*ROW('CASE MASTER'!$T$2:$T$495))&gt;0,INDEX('CASE MASTER'!$Y$2:$Y$495,(SUMPRODUCT((('CASE MASTER'!$T$2:$T$495=3)*('CASE MASTER'!$AA$2:$AA$495&lt;=6)*('CASE MASTER'!$AC$2:$AC$495&gt;=6)*('CASE MASTER'!$AB$2:$AB$495&lt;=2)*('CASE MASTER'!$AD$2:$AD$495&gt;=2))*ROW('CASE MASTER'!$T$2:$T$495))-(ROW('CASE MASTER'!#REF!)-1)))&amp;TRIM(MID(SUBSTITUTE(SUBSTITUTE(INDEX('CASE MASTER'!$N$2:$N$495,(SUMPRODUCT((('CASE MASTER'!$T$2:$T$495=3)*('CASE MASTER'!$AA$2:$AA$495&lt;=6)*('CASE MASTER'!$AC$2:$AC$495&gt;=6)*('CASE MASTER'!$AB$2:$AB$495&lt;=2)*('CASE MASTER'!$AD$2:$AD$495&gt;=2))*ROW('CASE MASTER'!$T$2:$T$495))-(ROW('CASE MASTER'!#REF!)-1))),":",","),",",REPT(" ",50)),(((INDEX('CASE MASTER'!$Z$2:$Z$495,(SUMPRODUCT((('CASE MASTER'!$T$2:$T$495=3)*('CASE MASTER'!$AA$2:$AA$495&lt;=6)*('CASE MASTER'!$AC$2:$AC$495&gt;=6)*('CASE MASTER'!$AB$2:$AB$495&lt;=2)*('CASE MASTER'!$AD$2:$AD$495&gt;=2))*ROW('CASE MASTER'!$T$2:$T$495))-(ROW('CASE MASTER'!#REF!)-1)))+((6-INDEX('CASE MASTER'!$AA$2:$AA$495,(SUMPRODUCT((('CASE MASTER'!$T$2:$T$495=3)*('CASE MASTER'!$AA$2:$AA$495&lt;=6)*('CASE MASTER'!$AC$2:$AC$495&gt;=6)*('CASE MASTER'!$AB$2:$AB$495&lt;=2)*('CASE MASTER'!$AD$2:$AD$495&gt;=2))*ROW('CASE MASTER'!$T$2:$T$495))-(ROW('CASE MASTER'!#REF!)-1))))*(INDEX('CASE MASTER'!$AD$2:$AD$495,(SUMPRODUCT((('CASE MASTER'!$T$2:$T$495=3)*('CASE MASTER'!$AA$2:$AA$495&lt;=6)*('CASE MASTER'!$AC$2:$AC$495&gt;=6)*('CASE MASTER'!$AB$2:$AB$495&lt;=2)*('CASE MASTER'!$AD$2:$AD$495&gt;=2))*ROW('CASE MASTER'!$T$2:$T$495))-(ROW('CASE MASTER'!#REF!)-1)))-INDEX('CASE MASTER'!$AB$2:$AB$495,(SUMPRODUCT((('CASE MASTER'!$T$2:$T$495=3)*('CASE MASTER'!$AA$2:$AA$495&lt;=6)*('CASE MASTER'!$AC$2:$AC$495&gt;=6)*('CASE MASTER'!$AB$2:$AB$495&lt;=2)*('CASE MASTER'!$AD$2:$AD$495&gt;=2))*ROW('CASE MASTER'!$T$2:$T$495))-(ROW('CASE MASTER'!#REF!)-1)))+1)+(2-INDEX('CASE MASTER'!$AB$2:$AB$495,(SUMPRODUCT((('CASE MASTER'!$T$2:$T$495=3)*('CASE MASTER'!$AA$2:$AA$495&lt;=6)*('CASE MASTER'!$AC$2:$AC$495&gt;=6)*('CASE MASTER'!$AB$2:$AB$495&lt;=2)*('CASE MASTER'!$AD$2:$AD$495&gt;=2))*ROW('CASE MASTER'!$T$2:$T$495))-(ROW('CASE MASTER'!#REF!)-1))))+1)))-1)*50+1,50))&amp;"_"&amp;INDEX('CASE MASTER'!$Q$2:$Q$495,(SUMPRODUCT((('CASE MASTER'!$T$2:$T$495=3)*('CASE MASTER'!$AA$2:$AA$495&lt;=6)*('CASE MASTER'!$AC$2:$AC$495&gt;=6)*('CASE MASTER'!$AB$2:$AB$495&lt;=2)*('CASE MASTER'!$AD$2:$AD$495&gt;=2))*ROW('CASE MASTER'!$T$2:$T$495))-(ROW('CASE MASTER'!#REF!)-1))),"")),"")</f>
        <v/>
      </c>
      <c r="D36" s="10" t="str">
        <f>IFERROR(IF(SUMPRODUCT((('CASE MASTER'!$T$2:$T$495=3)*('CASE MASTER'!$U$2:$U$495&lt;=6)*('CASE MASTER'!$W$2:$W$495&gt;=6)*('CASE MASTER'!$V$2:$V$495&lt;=3)*('CASE MASTER'!$X$2:$X$495&gt;=3))*ROW('CASE MASTER'!$T$2:$T$495))&gt;0,INDEX('CASE MASTER'!$Y$2:$Y$495,(SUMPRODUCT((('CASE MASTER'!$T$2:$T$495=3)*('CASE MASTER'!$U$2:$U$495&lt;=6)*('CASE MASTER'!$W$2:$W$495&gt;=6)*('CASE MASTER'!$V$2:$V$495&lt;=3)*('CASE MASTER'!$X$2:$X$495&gt;=3))*ROW('CASE MASTER'!$T$2:$T$495))-(ROW('CASE MASTER'!#REF!)-1)))&amp;TRIM(MID(SUBSTITUTE(SUBSTITUTE(INDEX('CASE MASTER'!$N$2:$N$495,(SUMPRODUCT((('CASE MASTER'!$T$2:$T$495=3)*('CASE MASTER'!$U$2:$U$495&lt;=6)*('CASE MASTER'!$W$2:$W$495&gt;=6)*('CASE MASTER'!$V$2:$V$495&lt;=3)*('CASE MASTER'!$X$2:$X$495&gt;=3))*ROW('CASE MASTER'!$T$2:$T$495))-(ROW('CASE MASTER'!#REF!)-1))),":",","),",",REPT(" ",50)),((((6-INDEX('CASE MASTER'!$U$2:$U$495,(SUMPRODUCT((('CASE MASTER'!$T$2:$T$495=3)*('CASE MASTER'!$U$2:$U$495&lt;=6)*('CASE MASTER'!$W$2:$W$495&gt;=6)*('CASE MASTER'!$V$2:$V$495&lt;=3)*('CASE MASTER'!$X$2:$X$495&gt;=3))*ROW('CASE MASTER'!$T$2:$T$495))-(ROW('CASE MASTER'!#REF!)-1))))*(INDEX('CASE MASTER'!$X$2:$X$495,(SUMPRODUCT((('CASE MASTER'!$T$2:$T$495=3)*('CASE MASTER'!$U$2:$U$495&lt;=6)*('CASE MASTER'!$W$2:$W$495&gt;=6)*('CASE MASTER'!$V$2:$V$495&lt;=3)*('CASE MASTER'!$X$2:$X$495&gt;=3))*ROW('CASE MASTER'!$T$2:$T$495))-(ROW('CASE MASTER'!#REF!)-1)))-INDEX('CASE MASTER'!$V$2:$V$495,(SUMPRODUCT((('CASE MASTER'!$T$2:$T$495=3)*('CASE MASTER'!$U$2:$U$495&lt;=6)*('CASE MASTER'!$W$2:$W$495&gt;=6)*('CASE MASTER'!$V$2:$V$495&lt;=3)*('CASE MASTER'!$X$2:$X$495&gt;=3))*ROW('CASE MASTER'!$T$2:$T$495))-(ROW('CASE MASTER'!#REF!)-1)))+1)+(3-INDEX('CASE MASTER'!$V$2:$V$495,(SUMPRODUCT((('CASE MASTER'!$T$2:$T$495=3)*('CASE MASTER'!$U$2:$U$495&lt;=6)*('CASE MASTER'!$W$2:$W$495&gt;=6)*('CASE MASTER'!$V$2:$V$495&lt;=3)*('CASE MASTER'!$X$2:$X$495&gt;=3))*ROW('CASE MASTER'!$T$2:$T$495))-(ROW('CASE MASTER'!#REF!)-1))))+1))-1)*50+1,50))&amp;"_"&amp;INDEX('CASE MASTER'!$Q$2:$Q$495,(SUMPRODUCT((('CASE MASTER'!$T$2:$T$495=3)*('CASE MASTER'!$U$2:$U$495&lt;=6)*('CASE MASTER'!$W$2:$W$495&gt;=6)*('CASE MASTER'!$V$2:$V$495&lt;=3)*('CASE MASTER'!$X$2:$X$495&gt;=3))*ROW('CASE MASTER'!$T$2:$T$495))-(ROW('CASE MASTER'!#REF!)-1))),IF(SUMPRODUCT((('CASE MASTER'!$T$2:$T$495=3)*('CASE MASTER'!$AA$2:$AA$495&lt;=6)*('CASE MASTER'!$AC$2:$AC$495&gt;=6)*('CASE MASTER'!$AB$2:$AB$495&lt;=3)*('CASE MASTER'!$AD$2:$AD$495&gt;=3))*ROW('CASE MASTER'!$T$2:$T$495))&gt;0,INDEX('CASE MASTER'!$Y$2:$Y$495,(SUMPRODUCT((('CASE MASTER'!$T$2:$T$495=3)*('CASE MASTER'!$AA$2:$AA$495&lt;=6)*('CASE MASTER'!$AC$2:$AC$495&gt;=6)*('CASE MASTER'!$AB$2:$AB$495&lt;=3)*('CASE MASTER'!$AD$2:$AD$495&gt;=3))*ROW('CASE MASTER'!$T$2:$T$495))-(ROW('CASE MASTER'!#REF!)-1)))&amp;TRIM(MID(SUBSTITUTE(SUBSTITUTE(INDEX('CASE MASTER'!$N$2:$N$495,(SUMPRODUCT((('CASE MASTER'!$T$2:$T$495=3)*('CASE MASTER'!$AA$2:$AA$495&lt;=6)*('CASE MASTER'!$AC$2:$AC$495&gt;=6)*('CASE MASTER'!$AB$2:$AB$495&lt;=3)*('CASE MASTER'!$AD$2:$AD$495&gt;=3))*ROW('CASE MASTER'!$T$2:$T$495))-(ROW('CASE MASTER'!#REF!)-1))),":",","),",",REPT(" ",50)),(((INDEX('CASE MASTER'!$Z$2:$Z$495,(SUMPRODUCT((('CASE MASTER'!$T$2:$T$495=3)*('CASE MASTER'!$AA$2:$AA$495&lt;=6)*('CASE MASTER'!$AC$2:$AC$495&gt;=6)*('CASE MASTER'!$AB$2:$AB$495&lt;=3)*('CASE MASTER'!$AD$2:$AD$495&gt;=3))*ROW('CASE MASTER'!$T$2:$T$495))-(ROW('CASE MASTER'!#REF!)-1)))+((6-INDEX('CASE MASTER'!$AA$2:$AA$495,(SUMPRODUCT((('CASE MASTER'!$T$2:$T$495=3)*('CASE MASTER'!$AA$2:$AA$495&lt;=6)*('CASE MASTER'!$AC$2:$AC$495&gt;=6)*('CASE MASTER'!$AB$2:$AB$495&lt;=3)*('CASE MASTER'!$AD$2:$AD$495&gt;=3))*ROW('CASE MASTER'!$T$2:$T$495))-(ROW('CASE MASTER'!#REF!)-1))))*(INDEX('CASE MASTER'!$AD$2:$AD$495,(SUMPRODUCT((('CASE MASTER'!$T$2:$T$495=3)*('CASE MASTER'!$AA$2:$AA$495&lt;=6)*('CASE MASTER'!$AC$2:$AC$495&gt;=6)*('CASE MASTER'!$AB$2:$AB$495&lt;=3)*('CASE MASTER'!$AD$2:$AD$495&gt;=3))*ROW('CASE MASTER'!$T$2:$T$495))-(ROW('CASE MASTER'!#REF!)-1)))-INDEX('CASE MASTER'!$AB$2:$AB$495,(SUMPRODUCT((('CASE MASTER'!$T$2:$T$495=3)*('CASE MASTER'!$AA$2:$AA$495&lt;=6)*('CASE MASTER'!$AC$2:$AC$495&gt;=6)*('CASE MASTER'!$AB$2:$AB$495&lt;=3)*('CASE MASTER'!$AD$2:$AD$495&gt;=3))*ROW('CASE MASTER'!$T$2:$T$495))-(ROW('CASE MASTER'!#REF!)-1)))+1)+(3-INDEX('CASE MASTER'!$AB$2:$AB$495,(SUMPRODUCT((('CASE MASTER'!$T$2:$T$495=3)*('CASE MASTER'!$AA$2:$AA$495&lt;=6)*('CASE MASTER'!$AC$2:$AC$495&gt;=6)*('CASE MASTER'!$AB$2:$AB$495&lt;=3)*('CASE MASTER'!$AD$2:$AD$495&gt;=3))*ROW('CASE MASTER'!$T$2:$T$495))-(ROW('CASE MASTER'!#REF!)-1))))+1)))-1)*50+1,50))&amp;"_"&amp;INDEX('CASE MASTER'!$Q$2:$Q$495,(SUMPRODUCT((('CASE MASTER'!$T$2:$T$495=3)*('CASE MASTER'!$AA$2:$AA$495&lt;=6)*('CASE MASTER'!$AC$2:$AC$495&gt;=6)*('CASE MASTER'!$AB$2:$AB$495&lt;=3)*('CASE MASTER'!$AD$2:$AD$495&gt;=3))*ROW('CASE MASTER'!$T$2:$T$495))-(ROW('CASE MASTER'!#REF!)-1))),"")),"")</f>
        <v/>
      </c>
      <c r="E36" s="10" t="str">
        <f>IFERROR(IF(SUMPRODUCT((('CASE MASTER'!$T$2:$T$495=3)*('CASE MASTER'!$U$2:$U$495&lt;=6)*('CASE MASTER'!$W$2:$W$495&gt;=6)*('CASE MASTER'!$V$2:$V$495&lt;=4)*('CASE MASTER'!$X$2:$X$495&gt;=4))*ROW('CASE MASTER'!$T$2:$T$495))&gt;0,INDEX('CASE MASTER'!$Y$2:$Y$495,(SUMPRODUCT((('CASE MASTER'!$T$2:$T$495=3)*('CASE MASTER'!$U$2:$U$495&lt;=6)*('CASE MASTER'!$W$2:$W$495&gt;=6)*('CASE MASTER'!$V$2:$V$495&lt;=4)*('CASE MASTER'!$X$2:$X$495&gt;=4))*ROW('CASE MASTER'!$T$2:$T$495))-(ROW('CASE MASTER'!#REF!)-1)))&amp;TRIM(MID(SUBSTITUTE(SUBSTITUTE(INDEX('CASE MASTER'!$N$2:$N$495,(SUMPRODUCT((('CASE MASTER'!$T$2:$T$495=3)*('CASE MASTER'!$U$2:$U$495&lt;=6)*('CASE MASTER'!$W$2:$W$495&gt;=6)*('CASE MASTER'!$V$2:$V$495&lt;=4)*('CASE MASTER'!$X$2:$X$495&gt;=4))*ROW('CASE MASTER'!$T$2:$T$495))-(ROW('CASE MASTER'!#REF!)-1))),":",","),",",REPT(" ",50)),((((6-INDEX('CASE MASTER'!$U$2:$U$495,(SUMPRODUCT((('CASE MASTER'!$T$2:$T$495=3)*('CASE MASTER'!$U$2:$U$495&lt;=6)*('CASE MASTER'!$W$2:$W$495&gt;=6)*('CASE MASTER'!$V$2:$V$495&lt;=4)*('CASE MASTER'!$X$2:$X$495&gt;=4))*ROW('CASE MASTER'!$T$2:$T$495))-(ROW('CASE MASTER'!#REF!)-1))))*(INDEX('CASE MASTER'!$X$2:$X$495,(SUMPRODUCT((('CASE MASTER'!$T$2:$T$495=3)*('CASE MASTER'!$U$2:$U$495&lt;=6)*('CASE MASTER'!$W$2:$W$495&gt;=6)*('CASE MASTER'!$V$2:$V$495&lt;=4)*('CASE MASTER'!$X$2:$X$495&gt;=4))*ROW('CASE MASTER'!$T$2:$T$495))-(ROW('CASE MASTER'!#REF!)-1)))-INDEX('CASE MASTER'!$V$2:$V$495,(SUMPRODUCT((('CASE MASTER'!$T$2:$T$495=3)*('CASE MASTER'!$U$2:$U$495&lt;=6)*('CASE MASTER'!$W$2:$W$495&gt;=6)*('CASE MASTER'!$V$2:$V$495&lt;=4)*('CASE MASTER'!$X$2:$X$495&gt;=4))*ROW('CASE MASTER'!$T$2:$T$495))-(ROW('CASE MASTER'!#REF!)-1)))+1)+(4-INDEX('CASE MASTER'!$V$2:$V$495,(SUMPRODUCT((('CASE MASTER'!$T$2:$T$495=3)*('CASE MASTER'!$U$2:$U$495&lt;=6)*('CASE MASTER'!$W$2:$W$495&gt;=6)*('CASE MASTER'!$V$2:$V$495&lt;=4)*('CASE MASTER'!$X$2:$X$495&gt;=4))*ROW('CASE MASTER'!$T$2:$T$495))-(ROW('CASE MASTER'!#REF!)-1))))+1))-1)*50+1,50))&amp;"_"&amp;INDEX('CASE MASTER'!$Q$2:$Q$495,(SUMPRODUCT((('CASE MASTER'!$T$2:$T$495=3)*('CASE MASTER'!$U$2:$U$495&lt;=6)*('CASE MASTER'!$W$2:$W$495&gt;=6)*('CASE MASTER'!$V$2:$V$495&lt;=4)*('CASE MASTER'!$X$2:$X$495&gt;=4))*ROW('CASE MASTER'!$T$2:$T$495))-(ROW('CASE MASTER'!#REF!)-1))),IF(SUMPRODUCT((('CASE MASTER'!$T$2:$T$495=3)*('CASE MASTER'!$AA$2:$AA$495&lt;=6)*('CASE MASTER'!$AC$2:$AC$495&gt;=6)*('CASE MASTER'!$AB$2:$AB$495&lt;=4)*('CASE MASTER'!$AD$2:$AD$495&gt;=4))*ROW('CASE MASTER'!$T$2:$T$495))&gt;0,INDEX('CASE MASTER'!$Y$2:$Y$495,(SUMPRODUCT((('CASE MASTER'!$T$2:$T$495=3)*('CASE MASTER'!$AA$2:$AA$495&lt;=6)*('CASE MASTER'!$AC$2:$AC$495&gt;=6)*('CASE MASTER'!$AB$2:$AB$495&lt;=4)*('CASE MASTER'!$AD$2:$AD$495&gt;=4))*ROW('CASE MASTER'!$T$2:$T$495))-(ROW('CASE MASTER'!#REF!)-1)))&amp;TRIM(MID(SUBSTITUTE(SUBSTITUTE(INDEX('CASE MASTER'!$N$2:$N$495,(SUMPRODUCT((('CASE MASTER'!$T$2:$T$495=3)*('CASE MASTER'!$AA$2:$AA$495&lt;=6)*('CASE MASTER'!$AC$2:$AC$495&gt;=6)*('CASE MASTER'!$AB$2:$AB$495&lt;=4)*('CASE MASTER'!$AD$2:$AD$495&gt;=4))*ROW('CASE MASTER'!$T$2:$T$495))-(ROW('CASE MASTER'!#REF!)-1))),":",","),",",REPT(" ",50)),(((INDEX('CASE MASTER'!$Z$2:$Z$495,(SUMPRODUCT((('CASE MASTER'!$T$2:$T$495=3)*('CASE MASTER'!$AA$2:$AA$495&lt;=6)*('CASE MASTER'!$AC$2:$AC$495&gt;=6)*('CASE MASTER'!$AB$2:$AB$495&lt;=4)*('CASE MASTER'!$AD$2:$AD$495&gt;=4))*ROW('CASE MASTER'!$T$2:$T$495))-(ROW('CASE MASTER'!#REF!)-1)))+((6-INDEX('CASE MASTER'!$AA$2:$AA$495,(SUMPRODUCT((('CASE MASTER'!$T$2:$T$495=3)*('CASE MASTER'!$AA$2:$AA$495&lt;=6)*('CASE MASTER'!$AC$2:$AC$495&gt;=6)*('CASE MASTER'!$AB$2:$AB$495&lt;=4)*('CASE MASTER'!$AD$2:$AD$495&gt;=4))*ROW('CASE MASTER'!$T$2:$T$495))-(ROW('CASE MASTER'!#REF!)-1))))*(INDEX('CASE MASTER'!$AD$2:$AD$495,(SUMPRODUCT((('CASE MASTER'!$T$2:$T$495=3)*('CASE MASTER'!$AA$2:$AA$495&lt;=6)*('CASE MASTER'!$AC$2:$AC$495&gt;=6)*('CASE MASTER'!$AB$2:$AB$495&lt;=4)*('CASE MASTER'!$AD$2:$AD$495&gt;=4))*ROW('CASE MASTER'!$T$2:$T$495))-(ROW('CASE MASTER'!#REF!)-1)))-INDEX('CASE MASTER'!$AB$2:$AB$495,(SUMPRODUCT((('CASE MASTER'!$T$2:$T$495=3)*('CASE MASTER'!$AA$2:$AA$495&lt;=6)*('CASE MASTER'!$AC$2:$AC$495&gt;=6)*('CASE MASTER'!$AB$2:$AB$495&lt;=4)*('CASE MASTER'!$AD$2:$AD$495&gt;=4))*ROW('CASE MASTER'!$T$2:$T$495))-(ROW('CASE MASTER'!#REF!)-1)))+1)+(4-INDEX('CASE MASTER'!$AB$2:$AB$495,(SUMPRODUCT((('CASE MASTER'!$T$2:$T$495=3)*('CASE MASTER'!$AA$2:$AA$495&lt;=6)*('CASE MASTER'!$AC$2:$AC$495&gt;=6)*('CASE MASTER'!$AB$2:$AB$495&lt;=4)*('CASE MASTER'!$AD$2:$AD$495&gt;=4))*ROW('CASE MASTER'!$T$2:$T$495))-(ROW('CASE MASTER'!#REF!)-1))))+1)))-1)*50+1,50))&amp;"_"&amp;INDEX('CASE MASTER'!$Q$2:$Q$495,(SUMPRODUCT((('CASE MASTER'!$T$2:$T$495=3)*('CASE MASTER'!$AA$2:$AA$495&lt;=6)*('CASE MASTER'!$AC$2:$AC$495&gt;=6)*('CASE MASTER'!$AB$2:$AB$495&lt;=4)*('CASE MASTER'!$AD$2:$AD$495&gt;=4))*ROW('CASE MASTER'!$T$2:$T$495))-(ROW('CASE MASTER'!#REF!)-1))),"")),"")</f>
        <v/>
      </c>
      <c r="F36" s="10" t="str">
        <f>IFERROR(IF(SUMPRODUCT((('CASE MASTER'!$T$2:$T$495=3)*('CASE MASTER'!$U$2:$U$495&lt;=6)*('CASE MASTER'!$W$2:$W$495&gt;=6)*('CASE MASTER'!$V$2:$V$495&lt;=5)*('CASE MASTER'!$X$2:$X$495&gt;=5))*ROW('CASE MASTER'!$T$2:$T$495))&gt;0,INDEX('CASE MASTER'!$Y$2:$Y$495,(SUMPRODUCT((('CASE MASTER'!$T$2:$T$495=3)*('CASE MASTER'!$U$2:$U$495&lt;=6)*('CASE MASTER'!$W$2:$W$495&gt;=6)*('CASE MASTER'!$V$2:$V$495&lt;=5)*('CASE MASTER'!$X$2:$X$495&gt;=5))*ROW('CASE MASTER'!$T$2:$T$495))-(ROW('CASE MASTER'!#REF!)-1)))&amp;TRIM(MID(SUBSTITUTE(SUBSTITUTE(INDEX('CASE MASTER'!$N$2:$N$495,(SUMPRODUCT((('CASE MASTER'!$T$2:$T$495=3)*('CASE MASTER'!$U$2:$U$495&lt;=6)*('CASE MASTER'!$W$2:$W$495&gt;=6)*('CASE MASTER'!$V$2:$V$495&lt;=5)*('CASE MASTER'!$X$2:$X$495&gt;=5))*ROW('CASE MASTER'!$T$2:$T$495))-(ROW('CASE MASTER'!#REF!)-1))),":",","),",",REPT(" ",50)),((((6-INDEX('CASE MASTER'!$U$2:$U$495,(SUMPRODUCT((('CASE MASTER'!$T$2:$T$495=3)*('CASE MASTER'!$U$2:$U$495&lt;=6)*('CASE MASTER'!$W$2:$W$495&gt;=6)*('CASE MASTER'!$V$2:$V$495&lt;=5)*('CASE MASTER'!$X$2:$X$495&gt;=5))*ROW('CASE MASTER'!$T$2:$T$495))-(ROW('CASE MASTER'!#REF!)-1))))*(INDEX('CASE MASTER'!$X$2:$X$495,(SUMPRODUCT((('CASE MASTER'!$T$2:$T$495=3)*('CASE MASTER'!$U$2:$U$495&lt;=6)*('CASE MASTER'!$W$2:$W$495&gt;=6)*('CASE MASTER'!$V$2:$V$495&lt;=5)*('CASE MASTER'!$X$2:$X$495&gt;=5))*ROW('CASE MASTER'!$T$2:$T$495))-(ROW('CASE MASTER'!#REF!)-1)))-INDEX('CASE MASTER'!$V$2:$V$495,(SUMPRODUCT((('CASE MASTER'!$T$2:$T$495=3)*('CASE MASTER'!$U$2:$U$495&lt;=6)*('CASE MASTER'!$W$2:$W$495&gt;=6)*('CASE MASTER'!$V$2:$V$495&lt;=5)*('CASE MASTER'!$X$2:$X$495&gt;=5))*ROW('CASE MASTER'!$T$2:$T$495))-(ROW('CASE MASTER'!#REF!)-1)))+1)+(5-INDEX('CASE MASTER'!$V$2:$V$495,(SUMPRODUCT((('CASE MASTER'!$T$2:$T$495=3)*('CASE MASTER'!$U$2:$U$495&lt;=6)*('CASE MASTER'!$W$2:$W$495&gt;=6)*('CASE MASTER'!$V$2:$V$495&lt;=5)*('CASE MASTER'!$X$2:$X$495&gt;=5))*ROW('CASE MASTER'!$T$2:$T$495))-(ROW('CASE MASTER'!#REF!)-1))))+1))-1)*50+1,50))&amp;"_"&amp;INDEX('CASE MASTER'!$Q$2:$Q$495,(SUMPRODUCT((('CASE MASTER'!$T$2:$T$495=3)*('CASE MASTER'!$U$2:$U$495&lt;=6)*('CASE MASTER'!$W$2:$W$495&gt;=6)*('CASE MASTER'!$V$2:$V$495&lt;=5)*('CASE MASTER'!$X$2:$X$495&gt;=5))*ROW('CASE MASTER'!$T$2:$T$495))-(ROW('CASE MASTER'!#REF!)-1))),IF(SUMPRODUCT((('CASE MASTER'!$T$2:$T$495=3)*('CASE MASTER'!$AA$2:$AA$495&lt;=6)*('CASE MASTER'!$AC$2:$AC$495&gt;=6)*('CASE MASTER'!$AB$2:$AB$495&lt;=5)*('CASE MASTER'!$AD$2:$AD$495&gt;=5))*ROW('CASE MASTER'!$T$2:$T$495))&gt;0,INDEX('CASE MASTER'!$Y$2:$Y$495,(SUMPRODUCT((('CASE MASTER'!$T$2:$T$495=3)*('CASE MASTER'!$AA$2:$AA$495&lt;=6)*('CASE MASTER'!$AC$2:$AC$495&gt;=6)*('CASE MASTER'!$AB$2:$AB$495&lt;=5)*('CASE MASTER'!$AD$2:$AD$495&gt;=5))*ROW('CASE MASTER'!$T$2:$T$495))-(ROW('CASE MASTER'!#REF!)-1)))&amp;TRIM(MID(SUBSTITUTE(SUBSTITUTE(INDEX('CASE MASTER'!$N$2:$N$495,(SUMPRODUCT((('CASE MASTER'!$T$2:$T$495=3)*('CASE MASTER'!$AA$2:$AA$495&lt;=6)*('CASE MASTER'!$AC$2:$AC$495&gt;=6)*('CASE MASTER'!$AB$2:$AB$495&lt;=5)*('CASE MASTER'!$AD$2:$AD$495&gt;=5))*ROW('CASE MASTER'!$T$2:$T$495))-(ROW('CASE MASTER'!#REF!)-1))),":",","),",",REPT(" ",50)),(((INDEX('CASE MASTER'!$Z$2:$Z$495,(SUMPRODUCT((('CASE MASTER'!$T$2:$T$495=3)*('CASE MASTER'!$AA$2:$AA$495&lt;=6)*('CASE MASTER'!$AC$2:$AC$495&gt;=6)*('CASE MASTER'!$AB$2:$AB$495&lt;=5)*('CASE MASTER'!$AD$2:$AD$495&gt;=5))*ROW('CASE MASTER'!$T$2:$T$495))-(ROW('CASE MASTER'!#REF!)-1)))+((6-INDEX('CASE MASTER'!$AA$2:$AA$495,(SUMPRODUCT((('CASE MASTER'!$T$2:$T$495=3)*('CASE MASTER'!$AA$2:$AA$495&lt;=6)*('CASE MASTER'!$AC$2:$AC$495&gt;=6)*('CASE MASTER'!$AB$2:$AB$495&lt;=5)*('CASE MASTER'!$AD$2:$AD$495&gt;=5))*ROW('CASE MASTER'!$T$2:$T$495))-(ROW('CASE MASTER'!#REF!)-1))))*(INDEX('CASE MASTER'!$AD$2:$AD$495,(SUMPRODUCT((('CASE MASTER'!$T$2:$T$495=3)*('CASE MASTER'!$AA$2:$AA$495&lt;=6)*('CASE MASTER'!$AC$2:$AC$495&gt;=6)*('CASE MASTER'!$AB$2:$AB$495&lt;=5)*('CASE MASTER'!$AD$2:$AD$495&gt;=5))*ROW('CASE MASTER'!$T$2:$T$495))-(ROW('CASE MASTER'!#REF!)-1)))-INDEX('CASE MASTER'!$AB$2:$AB$495,(SUMPRODUCT((('CASE MASTER'!$T$2:$T$495=3)*('CASE MASTER'!$AA$2:$AA$495&lt;=6)*('CASE MASTER'!$AC$2:$AC$495&gt;=6)*('CASE MASTER'!$AB$2:$AB$495&lt;=5)*('CASE MASTER'!$AD$2:$AD$495&gt;=5))*ROW('CASE MASTER'!$T$2:$T$495))-(ROW('CASE MASTER'!#REF!)-1)))+1)+(5-INDEX('CASE MASTER'!$AB$2:$AB$495,(SUMPRODUCT((('CASE MASTER'!$T$2:$T$495=3)*('CASE MASTER'!$AA$2:$AA$495&lt;=6)*('CASE MASTER'!$AC$2:$AC$495&gt;=6)*('CASE MASTER'!$AB$2:$AB$495&lt;=5)*('CASE MASTER'!$AD$2:$AD$495&gt;=5))*ROW('CASE MASTER'!$T$2:$T$495))-(ROW('CASE MASTER'!#REF!)-1))))+1)))-1)*50+1,50))&amp;"_"&amp;INDEX('CASE MASTER'!$Q$2:$Q$495,(SUMPRODUCT((('CASE MASTER'!$T$2:$T$495=3)*('CASE MASTER'!$AA$2:$AA$495&lt;=6)*('CASE MASTER'!$AC$2:$AC$495&gt;=6)*('CASE MASTER'!$AB$2:$AB$495&lt;=5)*('CASE MASTER'!$AD$2:$AD$495&gt;=5))*ROW('CASE MASTER'!$T$2:$T$495))-(ROW('CASE MASTER'!#REF!)-1))),"")),"")</f>
        <v/>
      </c>
      <c r="G36" s="10" t="str">
        <f>IFERROR(IF(SUMPRODUCT((('CASE MASTER'!$T$2:$T$495=3)*('CASE MASTER'!$U$2:$U$495&lt;=6)*('CASE MASTER'!$W$2:$W$495&gt;=6)*('CASE MASTER'!$V$2:$V$495&lt;=6)*('CASE MASTER'!$X$2:$X$495&gt;=6))*ROW('CASE MASTER'!$T$2:$T$495))&gt;0,INDEX('CASE MASTER'!$Y$2:$Y$495,(SUMPRODUCT((('CASE MASTER'!$T$2:$T$495=3)*('CASE MASTER'!$U$2:$U$495&lt;=6)*('CASE MASTER'!$W$2:$W$495&gt;=6)*('CASE MASTER'!$V$2:$V$495&lt;=6)*('CASE MASTER'!$X$2:$X$495&gt;=6))*ROW('CASE MASTER'!$T$2:$T$495))-(ROW('CASE MASTER'!#REF!)-1)))&amp;TRIM(MID(SUBSTITUTE(SUBSTITUTE(INDEX('CASE MASTER'!$N$2:$N$495,(SUMPRODUCT((('CASE MASTER'!$T$2:$T$495=3)*('CASE MASTER'!$U$2:$U$495&lt;=6)*('CASE MASTER'!$W$2:$W$495&gt;=6)*('CASE MASTER'!$V$2:$V$495&lt;=6)*('CASE MASTER'!$X$2:$X$495&gt;=6))*ROW('CASE MASTER'!$T$2:$T$495))-(ROW('CASE MASTER'!#REF!)-1))),":",","),",",REPT(" ",50)),((((6-INDEX('CASE MASTER'!$U$2:$U$495,(SUMPRODUCT((('CASE MASTER'!$T$2:$T$495=3)*('CASE MASTER'!$U$2:$U$495&lt;=6)*('CASE MASTER'!$W$2:$W$495&gt;=6)*('CASE MASTER'!$V$2:$V$495&lt;=6)*('CASE MASTER'!$X$2:$X$495&gt;=6))*ROW('CASE MASTER'!$T$2:$T$495))-(ROW('CASE MASTER'!#REF!)-1))))*(INDEX('CASE MASTER'!$X$2:$X$495,(SUMPRODUCT((('CASE MASTER'!$T$2:$T$495=3)*('CASE MASTER'!$U$2:$U$495&lt;=6)*('CASE MASTER'!$W$2:$W$495&gt;=6)*('CASE MASTER'!$V$2:$V$495&lt;=6)*('CASE MASTER'!$X$2:$X$495&gt;=6))*ROW('CASE MASTER'!$T$2:$T$495))-(ROW('CASE MASTER'!#REF!)-1)))-INDEX('CASE MASTER'!$V$2:$V$495,(SUMPRODUCT((('CASE MASTER'!$T$2:$T$495=3)*('CASE MASTER'!$U$2:$U$495&lt;=6)*('CASE MASTER'!$W$2:$W$495&gt;=6)*('CASE MASTER'!$V$2:$V$495&lt;=6)*('CASE MASTER'!$X$2:$X$495&gt;=6))*ROW('CASE MASTER'!$T$2:$T$495))-(ROW('CASE MASTER'!#REF!)-1)))+1)+(6-INDEX('CASE MASTER'!$V$2:$V$495,(SUMPRODUCT((('CASE MASTER'!$T$2:$T$495=3)*('CASE MASTER'!$U$2:$U$495&lt;=6)*('CASE MASTER'!$W$2:$W$495&gt;=6)*('CASE MASTER'!$V$2:$V$495&lt;=6)*('CASE MASTER'!$X$2:$X$495&gt;=6))*ROW('CASE MASTER'!$T$2:$T$495))-(ROW('CASE MASTER'!#REF!)-1))))+1))-1)*50+1,50))&amp;"_"&amp;INDEX('CASE MASTER'!$Q$2:$Q$495,(SUMPRODUCT((('CASE MASTER'!$T$2:$T$495=3)*('CASE MASTER'!$U$2:$U$495&lt;=6)*('CASE MASTER'!$W$2:$W$495&gt;=6)*('CASE MASTER'!$V$2:$V$495&lt;=6)*('CASE MASTER'!$X$2:$X$495&gt;=6))*ROW('CASE MASTER'!$T$2:$T$495))-(ROW('CASE MASTER'!#REF!)-1))),IF(SUMPRODUCT((('CASE MASTER'!$T$2:$T$495=3)*('CASE MASTER'!$AA$2:$AA$495&lt;=6)*('CASE MASTER'!$AC$2:$AC$495&gt;=6)*('CASE MASTER'!$AB$2:$AB$495&lt;=6)*('CASE MASTER'!$AD$2:$AD$495&gt;=6))*ROW('CASE MASTER'!$T$2:$T$495))&gt;0,INDEX('CASE MASTER'!$Y$2:$Y$495,(SUMPRODUCT((('CASE MASTER'!$T$2:$T$495=3)*('CASE MASTER'!$AA$2:$AA$495&lt;=6)*('CASE MASTER'!$AC$2:$AC$495&gt;=6)*('CASE MASTER'!$AB$2:$AB$495&lt;=6)*('CASE MASTER'!$AD$2:$AD$495&gt;=6))*ROW('CASE MASTER'!$T$2:$T$495))-(ROW('CASE MASTER'!#REF!)-1)))&amp;TRIM(MID(SUBSTITUTE(SUBSTITUTE(INDEX('CASE MASTER'!$N$2:$N$495,(SUMPRODUCT((('CASE MASTER'!$T$2:$T$495=3)*('CASE MASTER'!$AA$2:$AA$495&lt;=6)*('CASE MASTER'!$AC$2:$AC$495&gt;=6)*('CASE MASTER'!$AB$2:$AB$495&lt;=6)*('CASE MASTER'!$AD$2:$AD$495&gt;=6))*ROW('CASE MASTER'!$T$2:$T$495))-(ROW('CASE MASTER'!#REF!)-1))),":",","),",",REPT(" ",50)),(((INDEX('CASE MASTER'!$Z$2:$Z$495,(SUMPRODUCT((('CASE MASTER'!$T$2:$T$495=3)*('CASE MASTER'!$AA$2:$AA$495&lt;=6)*('CASE MASTER'!$AC$2:$AC$495&gt;=6)*('CASE MASTER'!$AB$2:$AB$495&lt;=6)*('CASE MASTER'!$AD$2:$AD$495&gt;=6))*ROW('CASE MASTER'!$T$2:$T$495))-(ROW('CASE MASTER'!#REF!)-1)))+((6-INDEX('CASE MASTER'!$AA$2:$AA$495,(SUMPRODUCT((('CASE MASTER'!$T$2:$T$495=3)*('CASE MASTER'!$AA$2:$AA$495&lt;=6)*('CASE MASTER'!$AC$2:$AC$495&gt;=6)*('CASE MASTER'!$AB$2:$AB$495&lt;=6)*('CASE MASTER'!$AD$2:$AD$495&gt;=6))*ROW('CASE MASTER'!$T$2:$T$495))-(ROW('CASE MASTER'!#REF!)-1))))*(INDEX('CASE MASTER'!$AD$2:$AD$495,(SUMPRODUCT((('CASE MASTER'!$T$2:$T$495=3)*('CASE MASTER'!$AA$2:$AA$495&lt;=6)*('CASE MASTER'!$AC$2:$AC$495&gt;=6)*('CASE MASTER'!$AB$2:$AB$495&lt;=6)*('CASE MASTER'!$AD$2:$AD$495&gt;=6))*ROW('CASE MASTER'!$T$2:$T$495))-(ROW('CASE MASTER'!#REF!)-1)))-INDEX('CASE MASTER'!$AB$2:$AB$495,(SUMPRODUCT((('CASE MASTER'!$T$2:$T$495=3)*('CASE MASTER'!$AA$2:$AA$495&lt;=6)*('CASE MASTER'!$AC$2:$AC$495&gt;=6)*('CASE MASTER'!$AB$2:$AB$495&lt;=6)*('CASE MASTER'!$AD$2:$AD$495&gt;=6))*ROW('CASE MASTER'!$T$2:$T$495))-(ROW('CASE MASTER'!#REF!)-1)))+1)+(6-INDEX('CASE MASTER'!$AB$2:$AB$495,(SUMPRODUCT((('CASE MASTER'!$T$2:$T$495=3)*('CASE MASTER'!$AA$2:$AA$495&lt;=6)*('CASE MASTER'!$AC$2:$AC$495&gt;=6)*('CASE MASTER'!$AB$2:$AB$495&lt;=6)*('CASE MASTER'!$AD$2:$AD$495&gt;=6))*ROW('CASE MASTER'!$T$2:$T$495))-(ROW('CASE MASTER'!#REF!)-1))))+1)))-1)*50+1,50))&amp;"_"&amp;INDEX('CASE MASTER'!$Q$2:$Q$495,(SUMPRODUCT((('CASE MASTER'!$T$2:$T$495=3)*('CASE MASTER'!$AA$2:$AA$495&lt;=6)*('CASE MASTER'!$AC$2:$AC$495&gt;=6)*('CASE MASTER'!$AB$2:$AB$495&lt;=6)*('CASE MASTER'!$AD$2:$AD$495&gt;=6))*ROW('CASE MASTER'!$T$2:$T$495))-(ROW('CASE MASTER'!#REF!)-1))),"")),"")</f>
        <v/>
      </c>
      <c r="H36" s="10" t="str">
        <f>IFERROR(IF(SUMPRODUCT((('CASE MASTER'!$T$2:$T$495=3)*('CASE MASTER'!$U$2:$U$495&lt;=6)*('CASE MASTER'!$W$2:$W$495&gt;=6)*('CASE MASTER'!$V$2:$V$495&lt;=7)*('CASE MASTER'!$X$2:$X$495&gt;=7))*ROW('CASE MASTER'!$T$2:$T$495))&gt;0,INDEX('CASE MASTER'!$Y$2:$Y$495,(SUMPRODUCT((('CASE MASTER'!$T$2:$T$495=3)*('CASE MASTER'!$U$2:$U$495&lt;=6)*('CASE MASTER'!$W$2:$W$495&gt;=6)*('CASE MASTER'!$V$2:$V$495&lt;=7)*('CASE MASTER'!$X$2:$X$495&gt;=7))*ROW('CASE MASTER'!$T$2:$T$495))-(ROW('CASE MASTER'!#REF!)-1)))&amp;TRIM(MID(SUBSTITUTE(SUBSTITUTE(INDEX('CASE MASTER'!$N$2:$N$495,(SUMPRODUCT((('CASE MASTER'!$T$2:$T$495=3)*('CASE MASTER'!$U$2:$U$495&lt;=6)*('CASE MASTER'!$W$2:$W$495&gt;=6)*('CASE MASTER'!$V$2:$V$495&lt;=7)*('CASE MASTER'!$X$2:$X$495&gt;=7))*ROW('CASE MASTER'!$T$2:$T$495))-(ROW('CASE MASTER'!#REF!)-1))),":",","),",",REPT(" ",50)),((((6-INDEX('CASE MASTER'!$U$2:$U$495,(SUMPRODUCT((('CASE MASTER'!$T$2:$T$495=3)*('CASE MASTER'!$U$2:$U$495&lt;=6)*('CASE MASTER'!$W$2:$W$495&gt;=6)*('CASE MASTER'!$V$2:$V$495&lt;=7)*('CASE MASTER'!$X$2:$X$495&gt;=7))*ROW('CASE MASTER'!$T$2:$T$495))-(ROW('CASE MASTER'!#REF!)-1))))*(INDEX('CASE MASTER'!$X$2:$X$495,(SUMPRODUCT((('CASE MASTER'!$T$2:$T$495=3)*('CASE MASTER'!$U$2:$U$495&lt;=6)*('CASE MASTER'!$W$2:$W$495&gt;=6)*('CASE MASTER'!$V$2:$V$495&lt;=7)*('CASE MASTER'!$X$2:$X$495&gt;=7))*ROW('CASE MASTER'!$T$2:$T$495))-(ROW('CASE MASTER'!#REF!)-1)))-INDEX('CASE MASTER'!$V$2:$V$495,(SUMPRODUCT((('CASE MASTER'!$T$2:$T$495=3)*('CASE MASTER'!$U$2:$U$495&lt;=6)*('CASE MASTER'!$W$2:$W$495&gt;=6)*('CASE MASTER'!$V$2:$V$495&lt;=7)*('CASE MASTER'!$X$2:$X$495&gt;=7))*ROW('CASE MASTER'!$T$2:$T$495))-(ROW('CASE MASTER'!#REF!)-1)))+1)+(7-INDEX('CASE MASTER'!$V$2:$V$495,(SUMPRODUCT((('CASE MASTER'!$T$2:$T$495=3)*('CASE MASTER'!$U$2:$U$495&lt;=6)*('CASE MASTER'!$W$2:$W$495&gt;=6)*('CASE MASTER'!$V$2:$V$495&lt;=7)*('CASE MASTER'!$X$2:$X$495&gt;=7))*ROW('CASE MASTER'!$T$2:$T$495))-(ROW('CASE MASTER'!#REF!)-1))))+1))-1)*50+1,50))&amp;"_"&amp;INDEX('CASE MASTER'!$Q$2:$Q$495,(SUMPRODUCT((('CASE MASTER'!$T$2:$T$495=3)*('CASE MASTER'!$U$2:$U$495&lt;=6)*('CASE MASTER'!$W$2:$W$495&gt;=6)*('CASE MASTER'!$V$2:$V$495&lt;=7)*('CASE MASTER'!$X$2:$X$495&gt;=7))*ROW('CASE MASTER'!$T$2:$T$495))-(ROW('CASE MASTER'!#REF!)-1))),IF(SUMPRODUCT((('CASE MASTER'!$T$2:$T$495=3)*('CASE MASTER'!$AA$2:$AA$495&lt;=6)*('CASE MASTER'!$AC$2:$AC$495&gt;=6)*('CASE MASTER'!$AB$2:$AB$495&lt;=7)*('CASE MASTER'!$AD$2:$AD$495&gt;=7))*ROW('CASE MASTER'!$T$2:$T$495))&gt;0,INDEX('CASE MASTER'!$Y$2:$Y$495,(SUMPRODUCT((('CASE MASTER'!$T$2:$T$495=3)*('CASE MASTER'!$AA$2:$AA$495&lt;=6)*('CASE MASTER'!$AC$2:$AC$495&gt;=6)*('CASE MASTER'!$AB$2:$AB$495&lt;=7)*('CASE MASTER'!$AD$2:$AD$495&gt;=7))*ROW('CASE MASTER'!$T$2:$T$495))-(ROW('CASE MASTER'!#REF!)-1)))&amp;TRIM(MID(SUBSTITUTE(SUBSTITUTE(INDEX('CASE MASTER'!$N$2:$N$495,(SUMPRODUCT((('CASE MASTER'!$T$2:$T$495=3)*('CASE MASTER'!$AA$2:$AA$495&lt;=6)*('CASE MASTER'!$AC$2:$AC$495&gt;=6)*('CASE MASTER'!$AB$2:$AB$495&lt;=7)*('CASE MASTER'!$AD$2:$AD$495&gt;=7))*ROW('CASE MASTER'!$T$2:$T$495))-(ROW('CASE MASTER'!#REF!)-1))),":",","),",",REPT(" ",50)),(((INDEX('CASE MASTER'!$Z$2:$Z$495,(SUMPRODUCT((('CASE MASTER'!$T$2:$T$495=3)*('CASE MASTER'!$AA$2:$AA$495&lt;=6)*('CASE MASTER'!$AC$2:$AC$495&gt;=6)*('CASE MASTER'!$AB$2:$AB$495&lt;=7)*('CASE MASTER'!$AD$2:$AD$495&gt;=7))*ROW('CASE MASTER'!$T$2:$T$495))-(ROW('CASE MASTER'!#REF!)-1)))+((6-INDEX('CASE MASTER'!$AA$2:$AA$495,(SUMPRODUCT((('CASE MASTER'!$T$2:$T$495=3)*('CASE MASTER'!$AA$2:$AA$495&lt;=6)*('CASE MASTER'!$AC$2:$AC$495&gt;=6)*('CASE MASTER'!$AB$2:$AB$495&lt;=7)*('CASE MASTER'!$AD$2:$AD$495&gt;=7))*ROW('CASE MASTER'!$T$2:$T$495))-(ROW('CASE MASTER'!#REF!)-1))))*(INDEX('CASE MASTER'!$AD$2:$AD$495,(SUMPRODUCT((('CASE MASTER'!$T$2:$T$495=3)*('CASE MASTER'!$AA$2:$AA$495&lt;=6)*('CASE MASTER'!$AC$2:$AC$495&gt;=6)*('CASE MASTER'!$AB$2:$AB$495&lt;=7)*('CASE MASTER'!$AD$2:$AD$495&gt;=7))*ROW('CASE MASTER'!$T$2:$T$495))-(ROW('CASE MASTER'!#REF!)-1)))-INDEX('CASE MASTER'!$AB$2:$AB$495,(SUMPRODUCT((('CASE MASTER'!$T$2:$T$495=3)*('CASE MASTER'!$AA$2:$AA$495&lt;=6)*('CASE MASTER'!$AC$2:$AC$495&gt;=6)*('CASE MASTER'!$AB$2:$AB$495&lt;=7)*('CASE MASTER'!$AD$2:$AD$495&gt;=7))*ROW('CASE MASTER'!$T$2:$T$495))-(ROW('CASE MASTER'!#REF!)-1)))+1)+(7-INDEX('CASE MASTER'!$AB$2:$AB$495,(SUMPRODUCT((('CASE MASTER'!$T$2:$T$495=3)*('CASE MASTER'!$AA$2:$AA$495&lt;=6)*('CASE MASTER'!$AC$2:$AC$495&gt;=6)*('CASE MASTER'!$AB$2:$AB$495&lt;=7)*('CASE MASTER'!$AD$2:$AD$495&gt;=7))*ROW('CASE MASTER'!$T$2:$T$495))-(ROW('CASE MASTER'!#REF!)-1))))+1)))-1)*50+1,50))&amp;"_"&amp;INDEX('CASE MASTER'!$Q$2:$Q$495,(SUMPRODUCT((('CASE MASTER'!$T$2:$T$495=3)*('CASE MASTER'!$AA$2:$AA$495&lt;=6)*('CASE MASTER'!$AC$2:$AC$495&gt;=6)*('CASE MASTER'!$AB$2:$AB$495&lt;=7)*('CASE MASTER'!$AD$2:$AD$495&gt;=7))*ROW('CASE MASTER'!$T$2:$T$495))-(ROW('CASE MASTER'!#REF!)-1))),"")),"")</f>
        <v/>
      </c>
      <c r="I36" s="10" t="str">
        <f>IFERROR(IF(SUMPRODUCT((('CASE MASTER'!$T$2:$T$495=3)*('CASE MASTER'!$U$2:$U$495&lt;=6)*('CASE MASTER'!$W$2:$W$495&gt;=6)*('CASE MASTER'!$V$2:$V$495&lt;=8)*('CASE MASTER'!$X$2:$X$495&gt;=8))*ROW('CASE MASTER'!$T$2:$T$495))&gt;0,INDEX('CASE MASTER'!$Y$2:$Y$495,(SUMPRODUCT((('CASE MASTER'!$T$2:$T$495=3)*('CASE MASTER'!$U$2:$U$495&lt;=6)*('CASE MASTER'!$W$2:$W$495&gt;=6)*('CASE MASTER'!$V$2:$V$495&lt;=8)*('CASE MASTER'!$X$2:$X$495&gt;=8))*ROW('CASE MASTER'!$T$2:$T$495))-(ROW('CASE MASTER'!#REF!)-1)))&amp;TRIM(MID(SUBSTITUTE(SUBSTITUTE(INDEX('CASE MASTER'!$N$2:$N$495,(SUMPRODUCT((('CASE MASTER'!$T$2:$T$495=3)*('CASE MASTER'!$U$2:$U$495&lt;=6)*('CASE MASTER'!$W$2:$W$495&gt;=6)*('CASE MASTER'!$V$2:$V$495&lt;=8)*('CASE MASTER'!$X$2:$X$495&gt;=8))*ROW('CASE MASTER'!$T$2:$T$495))-(ROW('CASE MASTER'!#REF!)-1))),":",","),",",REPT(" ",50)),((((6-INDEX('CASE MASTER'!$U$2:$U$495,(SUMPRODUCT((('CASE MASTER'!$T$2:$T$495=3)*('CASE MASTER'!$U$2:$U$495&lt;=6)*('CASE MASTER'!$W$2:$W$495&gt;=6)*('CASE MASTER'!$V$2:$V$495&lt;=8)*('CASE MASTER'!$X$2:$X$495&gt;=8))*ROW('CASE MASTER'!$T$2:$T$495))-(ROW('CASE MASTER'!#REF!)-1))))*(INDEX('CASE MASTER'!$X$2:$X$495,(SUMPRODUCT((('CASE MASTER'!$T$2:$T$495=3)*('CASE MASTER'!$U$2:$U$495&lt;=6)*('CASE MASTER'!$W$2:$W$495&gt;=6)*('CASE MASTER'!$V$2:$V$495&lt;=8)*('CASE MASTER'!$X$2:$X$495&gt;=8))*ROW('CASE MASTER'!$T$2:$T$495))-(ROW('CASE MASTER'!#REF!)-1)))-INDEX('CASE MASTER'!$V$2:$V$495,(SUMPRODUCT((('CASE MASTER'!$T$2:$T$495=3)*('CASE MASTER'!$U$2:$U$495&lt;=6)*('CASE MASTER'!$W$2:$W$495&gt;=6)*('CASE MASTER'!$V$2:$V$495&lt;=8)*('CASE MASTER'!$X$2:$X$495&gt;=8))*ROW('CASE MASTER'!$T$2:$T$495))-(ROW('CASE MASTER'!#REF!)-1)))+1)+(8-INDEX('CASE MASTER'!$V$2:$V$495,(SUMPRODUCT((('CASE MASTER'!$T$2:$T$495=3)*('CASE MASTER'!$U$2:$U$495&lt;=6)*('CASE MASTER'!$W$2:$W$495&gt;=6)*('CASE MASTER'!$V$2:$V$495&lt;=8)*('CASE MASTER'!$X$2:$X$495&gt;=8))*ROW('CASE MASTER'!$T$2:$T$495))-(ROW('CASE MASTER'!#REF!)-1))))+1))-1)*50+1,50))&amp;"_"&amp;INDEX('CASE MASTER'!$Q$2:$Q$495,(SUMPRODUCT((('CASE MASTER'!$T$2:$T$495=3)*('CASE MASTER'!$U$2:$U$495&lt;=6)*('CASE MASTER'!$W$2:$W$495&gt;=6)*('CASE MASTER'!$V$2:$V$495&lt;=8)*('CASE MASTER'!$X$2:$X$495&gt;=8))*ROW('CASE MASTER'!$T$2:$T$495))-(ROW('CASE MASTER'!#REF!)-1))),IF(SUMPRODUCT((('CASE MASTER'!$T$2:$T$495=3)*('CASE MASTER'!$AA$2:$AA$495&lt;=6)*('CASE MASTER'!$AC$2:$AC$495&gt;=6)*('CASE MASTER'!$AB$2:$AB$495&lt;=8)*('CASE MASTER'!$AD$2:$AD$495&gt;=8))*ROW('CASE MASTER'!$T$2:$T$495))&gt;0,INDEX('CASE MASTER'!$Y$2:$Y$495,(SUMPRODUCT((('CASE MASTER'!$T$2:$T$495=3)*('CASE MASTER'!$AA$2:$AA$495&lt;=6)*('CASE MASTER'!$AC$2:$AC$495&gt;=6)*('CASE MASTER'!$AB$2:$AB$495&lt;=8)*('CASE MASTER'!$AD$2:$AD$495&gt;=8))*ROW('CASE MASTER'!$T$2:$T$495))-(ROW('CASE MASTER'!#REF!)-1)))&amp;TRIM(MID(SUBSTITUTE(SUBSTITUTE(INDEX('CASE MASTER'!$N$2:$N$495,(SUMPRODUCT((('CASE MASTER'!$T$2:$T$495=3)*('CASE MASTER'!$AA$2:$AA$495&lt;=6)*('CASE MASTER'!$AC$2:$AC$495&gt;=6)*('CASE MASTER'!$AB$2:$AB$495&lt;=8)*('CASE MASTER'!$AD$2:$AD$495&gt;=8))*ROW('CASE MASTER'!$T$2:$T$495))-(ROW('CASE MASTER'!#REF!)-1))),":",","),",",REPT(" ",50)),(((INDEX('CASE MASTER'!$Z$2:$Z$495,(SUMPRODUCT((('CASE MASTER'!$T$2:$T$495=3)*('CASE MASTER'!$AA$2:$AA$495&lt;=6)*('CASE MASTER'!$AC$2:$AC$495&gt;=6)*('CASE MASTER'!$AB$2:$AB$495&lt;=8)*('CASE MASTER'!$AD$2:$AD$495&gt;=8))*ROW('CASE MASTER'!$T$2:$T$495))-(ROW('CASE MASTER'!#REF!)-1)))+((6-INDEX('CASE MASTER'!$AA$2:$AA$495,(SUMPRODUCT((('CASE MASTER'!$T$2:$T$495=3)*('CASE MASTER'!$AA$2:$AA$495&lt;=6)*('CASE MASTER'!$AC$2:$AC$495&gt;=6)*('CASE MASTER'!$AB$2:$AB$495&lt;=8)*('CASE MASTER'!$AD$2:$AD$495&gt;=8))*ROW('CASE MASTER'!$T$2:$T$495))-(ROW('CASE MASTER'!#REF!)-1))))*(INDEX('CASE MASTER'!$AD$2:$AD$495,(SUMPRODUCT((('CASE MASTER'!$T$2:$T$495=3)*('CASE MASTER'!$AA$2:$AA$495&lt;=6)*('CASE MASTER'!$AC$2:$AC$495&gt;=6)*('CASE MASTER'!$AB$2:$AB$495&lt;=8)*('CASE MASTER'!$AD$2:$AD$495&gt;=8))*ROW('CASE MASTER'!$T$2:$T$495))-(ROW('CASE MASTER'!#REF!)-1)))-INDEX('CASE MASTER'!$AB$2:$AB$495,(SUMPRODUCT((('CASE MASTER'!$T$2:$T$495=3)*('CASE MASTER'!$AA$2:$AA$495&lt;=6)*('CASE MASTER'!$AC$2:$AC$495&gt;=6)*('CASE MASTER'!$AB$2:$AB$495&lt;=8)*('CASE MASTER'!$AD$2:$AD$495&gt;=8))*ROW('CASE MASTER'!$T$2:$T$495))-(ROW('CASE MASTER'!#REF!)-1)))+1)+(8-INDEX('CASE MASTER'!$AB$2:$AB$495,(SUMPRODUCT((('CASE MASTER'!$T$2:$T$495=3)*('CASE MASTER'!$AA$2:$AA$495&lt;=6)*('CASE MASTER'!$AC$2:$AC$495&gt;=6)*('CASE MASTER'!$AB$2:$AB$495&lt;=8)*('CASE MASTER'!$AD$2:$AD$495&gt;=8))*ROW('CASE MASTER'!$T$2:$T$495))-(ROW('CASE MASTER'!#REF!)-1))))+1)))-1)*50+1,50))&amp;"_"&amp;INDEX('CASE MASTER'!$Q$2:$Q$495,(SUMPRODUCT((('CASE MASTER'!$T$2:$T$495=3)*('CASE MASTER'!$AA$2:$AA$495&lt;=6)*('CASE MASTER'!$AC$2:$AC$495&gt;=6)*('CASE MASTER'!$AB$2:$AB$495&lt;=8)*('CASE MASTER'!$AD$2:$AD$495&gt;=8))*ROW('CASE MASTER'!$T$2:$T$495))-(ROW('CASE MASTER'!#REF!)-1))),"")),"")</f>
        <v/>
      </c>
      <c r="J36" s="10" t="str">
        <f>IFERROR(IF(SUMPRODUCT((('CASE MASTER'!$T$2:$T$495=3)*('CASE MASTER'!$U$2:$U$495&lt;=6)*('CASE MASTER'!$W$2:$W$495&gt;=6)*('CASE MASTER'!$V$2:$V$495&lt;=9)*('CASE MASTER'!$X$2:$X$495&gt;=9))*ROW('CASE MASTER'!$T$2:$T$495))&gt;0,INDEX('CASE MASTER'!$Y$2:$Y$495,(SUMPRODUCT((('CASE MASTER'!$T$2:$T$495=3)*('CASE MASTER'!$U$2:$U$495&lt;=6)*('CASE MASTER'!$W$2:$W$495&gt;=6)*('CASE MASTER'!$V$2:$V$495&lt;=9)*('CASE MASTER'!$X$2:$X$495&gt;=9))*ROW('CASE MASTER'!$T$2:$T$495))-(ROW('CASE MASTER'!#REF!)-1)))&amp;TRIM(MID(SUBSTITUTE(SUBSTITUTE(INDEX('CASE MASTER'!$N$2:$N$495,(SUMPRODUCT((('CASE MASTER'!$T$2:$T$495=3)*('CASE MASTER'!$U$2:$U$495&lt;=6)*('CASE MASTER'!$W$2:$W$495&gt;=6)*('CASE MASTER'!$V$2:$V$495&lt;=9)*('CASE MASTER'!$X$2:$X$495&gt;=9))*ROW('CASE MASTER'!$T$2:$T$495))-(ROW('CASE MASTER'!#REF!)-1))),":",","),",",REPT(" ",50)),((((6-INDEX('CASE MASTER'!$U$2:$U$495,(SUMPRODUCT((('CASE MASTER'!$T$2:$T$495=3)*('CASE MASTER'!$U$2:$U$495&lt;=6)*('CASE MASTER'!$W$2:$W$495&gt;=6)*('CASE MASTER'!$V$2:$V$495&lt;=9)*('CASE MASTER'!$X$2:$X$495&gt;=9))*ROW('CASE MASTER'!$T$2:$T$495))-(ROW('CASE MASTER'!#REF!)-1))))*(INDEX('CASE MASTER'!$X$2:$X$495,(SUMPRODUCT((('CASE MASTER'!$T$2:$T$495=3)*('CASE MASTER'!$U$2:$U$495&lt;=6)*('CASE MASTER'!$W$2:$W$495&gt;=6)*('CASE MASTER'!$V$2:$V$495&lt;=9)*('CASE MASTER'!$X$2:$X$495&gt;=9))*ROW('CASE MASTER'!$T$2:$T$495))-(ROW('CASE MASTER'!#REF!)-1)))-INDEX('CASE MASTER'!$V$2:$V$495,(SUMPRODUCT((('CASE MASTER'!$T$2:$T$495=3)*('CASE MASTER'!$U$2:$U$495&lt;=6)*('CASE MASTER'!$W$2:$W$495&gt;=6)*('CASE MASTER'!$V$2:$V$495&lt;=9)*('CASE MASTER'!$X$2:$X$495&gt;=9))*ROW('CASE MASTER'!$T$2:$T$495))-(ROW('CASE MASTER'!#REF!)-1)))+1)+(9-INDEX('CASE MASTER'!$V$2:$V$495,(SUMPRODUCT((('CASE MASTER'!$T$2:$T$495=3)*('CASE MASTER'!$U$2:$U$495&lt;=6)*('CASE MASTER'!$W$2:$W$495&gt;=6)*('CASE MASTER'!$V$2:$V$495&lt;=9)*('CASE MASTER'!$X$2:$X$495&gt;=9))*ROW('CASE MASTER'!$T$2:$T$495))-(ROW('CASE MASTER'!#REF!)-1))))+1))-1)*50+1,50))&amp;"_"&amp;INDEX('CASE MASTER'!$Q$2:$Q$495,(SUMPRODUCT((('CASE MASTER'!$T$2:$T$495=3)*('CASE MASTER'!$U$2:$U$495&lt;=6)*('CASE MASTER'!$W$2:$W$495&gt;=6)*('CASE MASTER'!$V$2:$V$495&lt;=9)*('CASE MASTER'!$X$2:$X$495&gt;=9))*ROW('CASE MASTER'!$T$2:$T$495))-(ROW('CASE MASTER'!#REF!)-1))),IF(SUMPRODUCT((('CASE MASTER'!$T$2:$T$495=3)*('CASE MASTER'!$AA$2:$AA$495&lt;=6)*('CASE MASTER'!$AC$2:$AC$495&gt;=6)*('CASE MASTER'!$AB$2:$AB$495&lt;=9)*('CASE MASTER'!$AD$2:$AD$495&gt;=9))*ROW('CASE MASTER'!$T$2:$T$495))&gt;0,INDEX('CASE MASTER'!$Y$2:$Y$495,(SUMPRODUCT((('CASE MASTER'!$T$2:$T$495=3)*('CASE MASTER'!$AA$2:$AA$495&lt;=6)*('CASE MASTER'!$AC$2:$AC$495&gt;=6)*('CASE MASTER'!$AB$2:$AB$495&lt;=9)*('CASE MASTER'!$AD$2:$AD$495&gt;=9))*ROW('CASE MASTER'!$T$2:$T$495))-(ROW('CASE MASTER'!#REF!)-1)))&amp;TRIM(MID(SUBSTITUTE(SUBSTITUTE(INDEX('CASE MASTER'!$N$2:$N$495,(SUMPRODUCT((('CASE MASTER'!$T$2:$T$495=3)*('CASE MASTER'!$AA$2:$AA$495&lt;=6)*('CASE MASTER'!$AC$2:$AC$495&gt;=6)*('CASE MASTER'!$AB$2:$AB$495&lt;=9)*('CASE MASTER'!$AD$2:$AD$495&gt;=9))*ROW('CASE MASTER'!$T$2:$T$495))-(ROW('CASE MASTER'!#REF!)-1))),":",","),",",REPT(" ",50)),(((INDEX('CASE MASTER'!$Z$2:$Z$495,(SUMPRODUCT((('CASE MASTER'!$T$2:$T$495=3)*('CASE MASTER'!$AA$2:$AA$495&lt;=6)*('CASE MASTER'!$AC$2:$AC$495&gt;=6)*('CASE MASTER'!$AB$2:$AB$495&lt;=9)*('CASE MASTER'!$AD$2:$AD$495&gt;=9))*ROW('CASE MASTER'!$T$2:$T$495))-(ROW('CASE MASTER'!#REF!)-1)))+((6-INDEX('CASE MASTER'!$AA$2:$AA$495,(SUMPRODUCT((('CASE MASTER'!$T$2:$T$495=3)*('CASE MASTER'!$AA$2:$AA$495&lt;=6)*('CASE MASTER'!$AC$2:$AC$495&gt;=6)*('CASE MASTER'!$AB$2:$AB$495&lt;=9)*('CASE MASTER'!$AD$2:$AD$495&gt;=9))*ROW('CASE MASTER'!$T$2:$T$495))-(ROW('CASE MASTER'!#REF!)-1))))*(INDEX('CASE MASTER'!$AD$2:$AD$495,(SUMPRODUCT((('CASE MASTER'!$T$2:$T$495=3)*('CASE MASTER'!$AA$2:$AA$495&lt;=6)*('CASE MASTER'!$AC$2:$AC$495&gt;=6)*('CASE MASTER'!$AB$2:$AB$495&lt;=9)*('CASE MASTER'!$AD$2:$AD$495&gt;=9))*ROW('CASE MASTER'!$T$2:$T$495))-(ROW('CASE MASTER'!#REF!)-1)))-INDEX('CASE MASTER'!$AB$2:$AB$495,(SUMPRODUCT((('CASE MASTER'!$T$2:$T$495=3)*('CASE MASTER'!$AA$2:$AA$495&lt;=6)*('CASE MASTER'!$AC$2:$AC$495&gt;=6)*('CASE MASTER'!$AB$2:$AB$495&lt;=9)*('CASE MASTER'!$AD$2:$AD$495&gt;=9))*ROW('CASE MASTER'!$T$2:$T$495))-(ROW('CASE MASTER'!#REF!)-1)))+1)+(9-INDEX('CASE MASTER'!$AB$2:$AB$495,(SUMPRODUCT((('CASE MASTER'!$T$2:$T$495=3)*('CASE MASTER'!$AA$2:$AA$495&lt;=6)*('CASE MASTER'!$AC$2:$AC$495&gt;=6)*('CASE MASTER'!$AB$2:$AB$495&lt;=9)*('CASE MASTER'!$AD$2:$AD$495&gt;=9))*ROW('CASE MASTER'!$T$2:$T$495))-(ROW('CASE MASTER'!#REF!)-1))))+1)))-1)*50+1,50))&amp;"_"&amp;INDEX('CASE MASTER'!$Q$2:$Q$495,(SUMPRODUCT((('CASE MASTER'!$T$2:$T$495=3)*('CASE MASTER'!$AA$2:$AA$495&lt;=6)*('CASE MASTER'!$AC$2:$AC$495&gt;=6)*('CASE MASTER'!$AB$2:$AB$495&lt;=9)*('CASE MASTER'!$AD$2:$AD$495&gt;=9))*ROW('CASE MASTER'!$T$2:$T$495))-(ROW('CASE MASTER'!#REF!)-1))),"")),"")</f>
        <v/>
      </c>
      <c r="K36" s="10" t="str">
        <f>IFERROR(IF(SUMPRODUCT((('CASE MASTER'!$T$2:$T$495=3)*('CASE MASTER'!$U$2:$U$495&lt;=6)*('CASE MASTER'!$W$2:$W$495&gt;=6)*('CASE MASTER'!$V$2:$V$495&lt;=10)*('CASE MASTER'!$X$2:$X$495&gt;=10))*ROW('CASE MASTER'!$T$2:$T$495))&gt;0,INDEX('CASE MASTER'!$Y$2:$Y$495,(SUMPRODUCT((('CASE MASTER'!$T$2:$T$495=3)*('CASE MASTER'!$U$2:$U$495&lt;=6)*('CASE MASTER'!$W$2:$W$495&gt;=6)*('CASE MASTER'!$V$2:$V$495&lt;=10)*('CASE MASTER'!$X$2:$X$495&gt;=10))*ROW('CASE MASTER'!$T$2:$T$495))-(ROW('CASE MASTER'!#REF!)-1)))&amp;TRIM(MID(SUBSTITUTE(SUBSTITUTE(INDEX('CASE MASTER'!$N$2:$N$495,(SUMPRODUCT((('CASE MASTER'!$T$2:$T$495=3)*('CASE MASTER'!$U$2:$U$495&lt;=6)*('CASE MASTER'!$W$2:$W$495&gt;=6)*('CASE MASTER'!$V$2:$V$495&lt;=10)*('CASE MASTER'!$X$2:$X$495&gt;=10))*ROW('CASE MASTER'!$T$2:$T$495))-(ROW('CASE MASTER'!#REF!)-1))),":",","),",",REPT(" ",50)),((((6-INDEX('CASE MASTER'!$U$2:$U$495,(SUMPRODUCT((('CASE MASTER'!$T$2:$T$495=3)*('CASE MASTER'!$U$2:$U$495&lt;=6)*('CASE MASTER'!$W$2:$W$495&gt;=6)*('CASE MASTER'!$V$2:$V$495&lt;=10)*('CASE MASTER'!$X$2:$X$495&gt;=10))*ROW('CASE MASTER'!$T$2:$T$495))-(ROW('CASE MASTER'!#REF!)-1))))*(INDEX('CASE MASTER'!$X$2:$X$495,(SUMPRODUCT((('CASE MASTER'!$T$2:$T$495=3)*('CASE MASTER'!$U$2:$U$495&lt;=6)*('CASE MASTER'!$W$2:$W$495&gt;=6)*('CASE MASTER'!$V$2:$V$495&lt;=10)*('CASE MASTER'!$X$2:$X$495&gt;=10))*ROW('CASE MASTER'!$T$2:$T$495))-(ROW('CASE MASTER'!#REF!)-1)))-INDEX('CASE MASTER'!$V$2:$V$495,(SUMPRODUCT((('CASE MASTER'!$T$2:$T$495=3)*('CASE MASTER'!$U$2:$U$495&lt;=6)*('CASE MASTER'!$W$2:$W$495&gt;=6)*('CASE MASTER'!$V$2:$V$495&lt;=10)*('CASE MASTER'!$X$2:$X$495&gt;=10))*ROW('CASE MASTER'!$T$2:$T$495))-(ROW('CASE MASTER'!#REF!)-1)))+1)+(10-INDEX('CASE MASTER'!$V$2:$V$495,(SUMPRODUCT((('CASE MASTER'!$T$2:$T$495=3)*('CASE MASTER'!$U$2:$U$495&lt;=6)*('CASE MASTER'!$W$2:$W$495&gt;=6)*('CASE MASTER'!$V$2:$V$495&lt;=10)*('CASE MASTER'!$X$2:$X$495&gt;=10))*ROW('CASE MASTER'!$T$2:$T$495))-(ROW('CASE MASTER'!#REF!)-1))))+1))-1)*50+1,50))&amp;"_"&amp;INDEX('CASE MASTER'!$Q$2:$Q$495,(SUMPRODUCT((('CASE MASTER'!$T$2:$T$495=3)*('CASE MASTER'!$U$2:$U$495&lt;=6)*('CASE MASTER'!$W$2:$W$495&gt;=6)*('CASE MASTER'!$V$2:$V$495&lt;=10)*('CASE MASTER'!$X$2:$X$495&gt;=10))*ROW('CASE MASTER'!$T$2:$T$495))-(ROW('CASE MASTER'!#REF!)-1))),IF(SUMPRODUCT((('CASE MASTER'!$T$2:$T$495=3)*('CASE MASTER'!$AA$2:$AA$495&lt;=6)*('CASE MASTER'!$AC$2:$AC$495&gt;=6)*('CASE MASTER'!$AB$2:$AB$495&lt;=10)*('CASE MASTER'!$AD$2:$AD$495&gt;=10))*ROW('CASE MASTER'!$T$2:$T$495))&gt;0,INDEX('CASE MASTER'!$Y$2:$Y$495,(SUMPRODUCT((('CASE MASTER'!$T$2:$T$495=3)*('CASE MASTER'!$AA$2:$AA$495&lt;=6)*('CASE MASTER'!$AC$2:$AC$495&gt;=6)*('CASE MASTER'!$AB$2:$AB$495&lt;=10)*('CASE MASTER'!$AD$2:$AD$495&gt;=10))*ROW('CASE MASTER'!$T$2:$T$495))-(ROW('CASE MASTER'!#REF!)-1)))&amp;TRIM(MID(SUBSTITUTE(SUBSTITUTE(INDEX('CASE MASTER'!$N$2:$N$495,(SUMPRODUCT((('CASE MASTER'!$T$2:$T$495=3)*('CASE MASTER'!$AA$2:$AA$495&lt;=6)*('CASE MASTER'!$AC$2:$AC$495&gt;=6)*('CASE MASTER'!$AB$2:$AB$495&lt;=10)*('CASE MASTER'!$AD$2:$AD$495&gt;=10))*ROW('CASE MASTER'!$T$2:$T$495))-(ROW('CASE MASTER'!#REF!)-1))),":",","),",",REPT(" ",50)),(((INDEX('CASE MASTER'!$Z$2:$Z$495,(SUMPRODUCT((('CASE MASTER'!$T$2:$T$495=3)*('CASE MASTER'!$AA$2:$AA$495&lt;=6)*('CASE MASTER'!$AC$2:$AC$495&gt;=6)*('CASE MASTER'!$AB$2:$AB$495&lt;=10)*('CASE MASTER'!$AD$2:$AD$495&gt;=10))*ROW('CASE MASTER'!$T$2:$T$495))-(ROW('CASE MASTER'!#REF!)-1)))+((6-INDEX('CASE MASTER'!$AA$2:$AA$495,(SUMPRODUCT((('CASE MASTER'!$T$2:$T$495=3)*('CASE MASTER'!$AA$2:$AA$495&lt;=6)*('CASE MASTER'!$AC$2:$AC$495&gt;=6)*('CASE MASTER'!$AB$2:$AB$495&lt;=10)*('CASE MASTER'!$AD$2:$AD$495&gt;=10))*ROW('CASE MASTER'!$T$2:$T$495))-(ROW('CASE MASTER'!#REF!)-1))))*(INDEX('CASE MASTER'!$AD$2:$AD$495,(SUMPRODUCT((('CASE MASTER'!$T$2:$T$495=3)*('CASE MASTER'!$AA$2:$AA$495&lt;=6)*('CASE MASTER'!$AC$2:$AC$495&gt;=6)*('CASE MASTER'!$AB$2:$AB$495&lt;=10)*('CASE MASTER'!$AD$2:$AD$495&gt;=10))*ROW('CASE MASTER'!$T$2:$T$495))-(ROW('CASE MASTER'!#REF!)-1)))-INDEX('CASE MASTER'!$AB$2:$AB$495,(SUMPRODUCT((('CASE MASTER'!$T$2:$T$495=3)*('CASE MASTER'!$AA$2:$AA$495&lt;=6)*('CASE MASTER'!$AC$2:$AC$495&gt;=6)*('CASE MASTER'!$AB$2:$AB$495&lt;=10)*('CASE MASTER'!$AD$2:$AD$495&gt;=10))*ROW('CASE MASTER'!$T$2:$T$495))-(ROW('CASE MASTER'!#REF!)-1)))+1)+(10-INDEX('CASE MASTER'!$AB$2:$AB$495,(SUMPRODUCT((('CASE MASTER'!$T$2:$T$495=3)*('CASE MASTER'!$AA$2:$AA$495&lt;=6)*('CASE MASTER'!$AC$2:$AC$495&gt;=6)*('CASE MASTER'!$AB$2:$AB$495&lt;=10)*('CASE MASTER'!$AD$2:$AD$495&gt;=10))*ROW('CASE MASTER'!$T$2:$T$495))-(ROW('CASE MASTER'!#REF!)-1))))+1)))-1)*50+1,50))&amp;"_"&amp;INDEX('CASE MASTER'!$Q$2:$Q$495,(SUMPRODUCT((('CASE MASTER'!$T$2:$T$495=3)*('CASE MASTER'!$AA$2:$AA$495&lt;=6)*('CASE MASTER'!$AC$2:$AC$495&gt;=6)*('CASE MASTER'!$AB$2:$AB$495&lt;=10)*('CASE MASTER'!$AD$2:$AD$495&gt;=10))*ROW('CASE MASTER'!$T$2:$T$495))-(ROW('CASE MASTER'!#REF!)-1))),"")),"")</f>
        <v/>
      </c>
    </row>
    <row r="37" spans="1:11" ht="15" customHeight="1" x14ac:dyDescent="0.35">
      <c r="A37" s="8" t="s">
        <v>34</v>
      </c>
      <c r="B37" s="10" t="str">
        <f>IFERROR(IF(SUMPRODUCT((('CASE MASTER'!$T$2:$T$495=3)*('CASE MASTER'!$U$2:$U$495&lt;=7)*('CASE MASTER'!$W$2:$W$495&gt;=7)*('CASE MASTER'!$V$2:$V$495&lt;=1)*('CASE MASTER'!$X$2:$X$495&gt;=1))*ROW('CASE MASTER'!$T$2:$T$495))&gt;0,INDEX('CASE MASTER'!$Y$2:$Y$495,(SUMPRODUCT((('CASE MASTER'!$T$2:$T$495=3)*('CASE MASTER'!$U$2:$U$495&lt;=7)*('CASE MASTER'!$W$2:$W$495&gt;=7)*('CASE MASTER'!$V$2:$V$495&lt;=1)*('CASE MASTER'!$X$2:$X$495&gt;=1))*ROW('CASE MASTER'!$T$2:$T$495))-(ROW('CASE MASTER'!#REF!)-1)))&amp;TRIM(MID(SUBSTITUTE(SUBSTITUTE(INDEX('CASE MASTER'!$N$2:$N$495,(SUMPRODUCT((('CASE MASTER'!$T$2:$T$495=3)*('CASE MASTER'!$U$2:$U$495&lt;=7)*('CASE MASTER'!$W$2:$W$495&gt;=7)*('CASE MASTER'!$V$2:$V$495&lt;=1)*('CASE MASTER'!$X$2:$X$495&gt;=1))*ROW('CASE MASTER'!$T$2:$T$495))-(ROW('CASE MASTER'!#REF!)-1))),":",","),",",REPT(" ",50)),((((7-INDEX('CASE MASTER'!$U$2:$U$495,(SUMPRODUCT((('CASE MASTER'!$T$2:$T$495=3)*('CASE MASTER'!$U$2:$U$495&lt;=7)*('CASE MASTER'!$W$2:$W$495&gt;=7)*('CASE MASTER'!$V$2:$V$495&lt;=1)*('CASE MASTER'!$X$2:$X$495&gt;=1))*ROW('CASE MASTER'!$T$2:$T$495))-(ROW('CASE MASTER'!#REF!)-1))))*(INDEX('CASE MASTER'!$X$2:$X$495,(SUMPRODUCT((('CASE MASTER'!$T$2:$T$495=3)*('CASE MASTER'!$U$2:$U$495&lt;=7)*('CASE MASTER'!$W$2:$W$495&gt;=7)*('CASE MASTER'!$V$2:$V$495&lt;=1)*('CASE MASTER'!$X$2:$X$495&gt;=1))*ROW('CASE MASTER'!$T$2:$T$495))-(ROW('CASE MASTER'!#REF!)-1)))-INDEX('CASE MASTER'!$V$2:$V$495,(SUMPRODUCT((('CASE MASTER'!$T$2:$T$495=3)*('CASE MASTER'!$U$2:$U$495&lt;=7)*('CASE MASTER'!$W$2:$W$495&gt;=7)*('CASE MASTER'!$V$2:$V$495&lt;=1)*('CASE MASTER'!$X$2:$X$495&gt;=1))*ROW('CASE MASTER'!$T$2:$T$495))-(ROW('CASE MASTER'!#REF!)-1)))+1)+(1-INDEX('CASE MASTER'!$V$2:$V$495,(SUMPRODUCT((('CASE MASTER'!$T$2:$T$495=3)*('CASE MASTER'!$U$2:$U$495&lt;=7)*('CASE MASTER'!$W$2:$W$495&gt;=7)*('CASE MASTER'!$V$2:$V$495&lt;=1)*('CASE MASTER'!$X$2:$X$495&gt;=1))*ROW('CASE MASTER'!$T$2:$T$495))-(ROW('CASE MASTER'!#REF!)-1))))+1))-1)*50+1,50))&amp;"_"&amp;INDEX('CASE MASTER'!$Q$2:$Q$495,(SUMPRODUCT((('CASE MASTER'!$T$2:$T$495=3)*('CASE MASTER'!$U$2:$U$495&lt;=7)*('CASE MASTER'!$W$2:$W$495&gt;=7)*('CASE MASTER'!$V$2:$V$495&lt;=1)*('CASE MASTER'!$X$2:$X$495&gt;=1))*ROW('CASE MASTER'!$T$2:$T$495))-(ROW('CASE MASTER'!#REF!)-1))),IF(SUMPRODUCT((('CASE MASTER'!$T$2:$T$495=3)*('CASE MASTER'!$AA$2:$AA$495&lt;=7)*('CASE MASTER'!$AC$2:$AC$495&gt;=7)*('CASE MASTER'!$AB$2:$AB$495&lt;=1)*('CASE MASTER'!$AD$2:$AD$495&gt;=1))*ROW('CASE MASTER'!$T$2:$T$495))&gt;0,INDEX('CASE MASTER'!$Y$2:$Y$495,(SUMPRODUCT((('CASE MASTER'!$T$2:$T$495=3)*('CASE MASTER'!$AA$2:$AA$495&lt;=7)*('CASE MASTER'!$AC$2:$AC$495&gt;=7)*('CASE MASTER'!$AB$2:$AB$495&lt;=1)*('CASE MASTER'!$AD$2:$AD$495&gt;=1))*ROW('CASE MASTER'!$T$2:$T$495))-(ROW('CASE MASTER'!#REF!)-1)))&amp;TRIM(MID(SUBSTITUTE(SUBSTITUTE(INDEX('CASE MASTER'!$N$2:$N$495,(SUMPRODUCT((('CASE MASTER'!$T$2:$T$495=3)*('CASE MASTER'!$AA$2:$AA$495&lt;=7)*('CASE MASTER'!$AC$2:$AC$495&gt;=7)*('CASE MASTER'!$AB$2:$AB$495&lt;=1)*('CASE MASTER'!$AD$2:$AD$495&gt;=1))*ROW('CASE MASTER'!$T$2:$T$495))-(ROW('CASE MASTER'!#REF!)-1))),":",","),",",REPT(" ",50)),(((INDEX('CASE MASTER'!$Z$2:$Z$495,(SUMPRODUCT((('CASE MASTER'!$T$2:$T$495=3)*('CASE MASTER'!$AA$2:$AA$495&lt;=7)*('CASE MASTER'!$AC$2:$AC$495&gt;=7)*('CASE MASTER'!$AB$2:$AB$495&lt;=1)*('CASE MASTER'!$AD$2:$AD$495&gt;=1))*ROW('CASE MASTER'!$T$2:$T$495))-(ROW('CASE MASTER'!#REF!)-1)))+((7-INDEX('CASE MASTER'!$AA$2:$AA$495,(SUMPRODUCT((('CASE MASTER'!$T$2:$T$495=3)*('CASE MASTER'!$AA$2:$AA$495&lt;=7)*('CASE MASTER'!$AC$2:$AC$495&gt;=7)*('CASE MASTER'!$AB$2:$AB$495&lt;=1)*('CASE MASTER'!$AD$2:$AD$495&gt;=1))*ROW('CASE MASTER'!$T$2:$T$495))-(ROW('CASE MASTER'!#REF!)-1))))*(INDEX('CASE MASTER'!$AD$2:$AD$495,(SUMPRODUCT((('CASE MASTER'!$T$2:$T$495=3)*('CASE MASTER'!$AA$2:$AA$495&lt;=7)*('CASE MASTER'!$AC$2:$AC$495&gt;=7)*('CASE MASTER'!$AB$2:$AB$495&lt;=1)*('CASE MASTER'!$AD$2:$AD$495&gt;=1))*ROW('CASE MASTER'!$T$2:$T$495))-(ROW('CASE MASTER'!#REF!)-1)))-INDEX('CASE MASTER'!$AB$2:$AB$495,(SUMPRODUCT((('CASE MASTER'!$T$2:$T$495=3)*('CASE MASTER'!$AA$2:$AA$495&lt;=7)*('CASE MASTER'!$AC$2:$AC$495&gt;=7)*('CASE MASTER'!$AB$2:$AB$495&lt;=1)*('CASE MASTER'!$AD$2:$AD$495&gt;=1))*ROW('CASE MASTER'!$T$2:$T$495))-(ROW('CASE MASTER'!#REF!)-1)))+1)+(1-INDEX('CASE MASTER'!$AB$2:$AB$495,(SUMPRODUCT((('CASE MASTER'!$T$2:$T$495=3)*('CASE MASTER'!$AA$2:$AA$495&lt;=7)*('CASE MASTER'!$AC$2:$AC$495&gt;=7)*('CASE MASTER'!$AB$2:$AB$495&lt;=1)*('CASE MASTER'!$AD$2:$AD$495&gt;=1))*ROW('CASE MASTER'!$T$2:$T$495))-(ROW('CASE MASTER'!#REF!)-1))))+1)))-1)*50+1,50))&amp;"_"&amp;INDEX('CASE MASTER'!$Q$2:$Q$495,(SUMPRODUCT((('CASE MASTER'!$T$2:$T$495=3)*('CASE MASTER'!$AA$2:$AA$495&lt;=7)*('CASE MASTER'!$AC$2:$AC$495&gt;=7)*('CASE MASTER'!$AB$2:$AB$495&lt;=1)*('CASE MASTER'!$AD$2:$AD$495&gt;=1))*ROW('CASE MASTER'!$T$2:$T$495))-(ROW('CASE MASTER'!#REF!)-1))),"")),"")</f>
        <v/>
      </c>
      <c r="C37" s="10" t="str">
        <f>IFERROR(IF(SUMPRODUCT((('CASE MASTER'!$T$2:$T$495=3)*('CASE MASTER'!$U$2:$U$495&lt;=7)*('CASE MASTER'!$W$2:$W$495&gt;=7)*('CASE MASTER'!$V$2:$V$495&lt;=2)*('CASE MASTER'!$X$2:$X$495&gt;=2))*ROW('CASE MASTER'!$T$2:$T$495))&gt;0,INDEX('CASE MASTER'!$Y$2:$Y$495,(SUMPRODUCT((('CASE MASTER'!$T$2:$T$495=3)*('CASE MASTER'!$U$2:$U$495&lt;=7)*('CASE MASTER'!$W$2:$W$495&gt;=7)*('CASE MASTER'!$V$2:$V$495&lt;=2)*('CASE MASTER'!$X$2:$X$495&gt;=2))*ROW('CASE MASTER'!$T$2:$T$495))-(ROW('CASE MASTER'!#REF!)-1)))&amp;TRIM(MID(SUBSTITUTE(SUBSTITUTE(INDEX('CASE MASTER'!$N$2:$N$495,(SUMPRODUCT((('CASE MASTER'!$T$2:$T$495=3)*('CASE MASTER'!$U$2:$U$495&lt;=7)*('CASE MASTER'!$W$2:$W$495&gt;=7)*('CASE MASTER'!$V$2:$V$495&lt;=2)*('CASE MASTER'!$X$2:$X$495&gt;=2))*ROW('CASE MASTER'!$T$2:$T$495))-(ROW('CASE MASTER'!#REF!)-1))),":",","),",",REPT(" ",50)),((((7-INDEX('CASE MASTER'!$U$2:$U$495,(SUMPRODUCT((('CASE MASTER'!$T$2:$T$495=3)*('CASE MASTER'!$U$2:$U$495&lt;=7)*('CASE MASTER'!$W$2:$W$495&gt;=7)*('CASE MASTER'!$V$2:$V$495&lt;=2)*('CASE MASTER'!$X$2:$X$495&gt;=2))*ROW('CASE MASTER'!$T$2:$T$495))-(ROW('CASE MASTER'!#REF!)-1))))*(INDEX('CASE MASTER'!$X$2:$X$495,(SUMPRODUCT((('CASE MASTER'!$T$2:$T$495=3)*('CASE MASTER'!$U$2:$U$495&lt;=7)*('CASE MASTER'!$W$2:$W$495&gt;=7)*('CASE MASTER'!$V$2:$V$495&lt;=2)*('CASE MASTER'!$X$2:$X$495&gt;=2))*ROW('CASE MASTER'!$T$2:$T$495))-(ROW('CASE MASTER'!#REF!)-1)))-INDEX('CASE MASTER'!$V$2:$V$495,(SUMPRODUCT((('CASE MASTER'!$T$2:$T$495=3)*('CASE MASTER'!$U$2:$U$495&lt;=7)*('CASE MASTER'!$W$2:$W$495&gt;=7)*('CASE MASTER'!$V$2:$V$495&lt;=2)*('CASE MASTER'!$X$2:$X$495&gt;=2))*ROW('CASE MASTER'!$T$2:$T$495))-(ROW('CASE MASTER'!#REF!)-1)))+1)+(2-INDEX('CASE MASTER'!$V$2:$V$495,(SUMPRODUCT((('CASE MASTER'!$T$2:$T$495=3)*('CASE MASTER'!$U$2:$U$495&lt;=7)*('CASE MASTER'!$W$2:$W$495&gt;=7)*('CASE MASTER'!$V$2:$V$495&lt;=2)*('CASE MASTER'!$X$2:$X$495&gt;=2))*ROW('CASE MASTER'!$T$2:$T$495))-(ROW('CASE MASTER'!#REF!)-1))))+1))-1)*50+1,50))&amp;"_"&amp;INDEX('CASE MASTER'!$Q$2:$Q$495,(SUMPRODUCT((('CASE MASTER'!$T$2:$T$495=3)*('CASE MASTER'!$U$2:$U$495&lt;=7)*('CASE MASTER'!$W$2:$W$495&gt;=7)*('CASE MASTER'!$V$2:$V$495&lt;=2)*('CASE MASTER'!$X$2:$X$495&gt;=2))*ROW('CASE MASTER'!$T$2:$T$495))-(ROW('CASE MASTER'!#REF!)-1))),IF(SUMPRODUCT((('CASE MASTER'!$T$2:$T$495=3)*('CASE MASTER'!$AA$2:$AA$495&lt;=7)*('CASE MASTER'!$AC$2:$AC$495&gt;=7)*('CASE MASTER'!$AB$2:$AB$495&lt;=2)*('CASE MASTER'!$AD$2:$AD$495&gt;=2))*ROW('CASE MASTER'!$T$2:$T$495))&gt;0,INDEX('CASE MASTER'!$Y$2:$Y$495,(SUMPRODUCT((('CASE MASTER'!$T$2:$T$495=3)*('CASE MASTER'!$AA$2:$AA$495&lt;=7)*('CASE MASTER'!$AC$2:$AC$495&gt;=7)*('CASE MASTER'!$AB$2:$AB$495&lt;=2)*('CASE MASTER'!$AD$2:$AD$495&gt;=2))*ROW('CASE MASTER'!$T$2:$T$495))-(ROW('CASE MASTER'!#REF!)-1)))&amp;TRIM(MID(SUBSTITUTE(SUBSTITUTE(INDEX('CASE MASTER'!$N$2:$N$495,(SUMPRODUCT((('CASE MASTER'!$T$2:$T$495=3)*('CASE MASTER'!$AA$2:$AA$495&lt;=7)*('CASE MASTER'!$AC$2:$AC$495&gt;=7)*('CASE MASTER'!$AB$2:$AB$495&lt;=2)*('CASE MASTER'!$AD$2:$AD$495&gt;=2))*ROW('CASE MASTER'!$T$2:$T$495))-(ROW('CASE MASTER'!#REF!)-1))),":",","),",",REPT(" ",50)),(((INDEX('CASE MASTER'!$Z$2:$Z$495,(SUMPRODUCT((('CASE MASTER'!$T$2:$T$495=3)*('CASE MASTER'!$AA$2:$AA$495&lt;=7)*('CASE MASTER'!$AC$2:$AC$495&gt;=7)*('CASE MASTER'!$AB$2:$AB$495&lt;=2)*('CASE MASTER'!$AD$2:$AD$495&gt;=2))*ROW('CASE MASTER'!$T$2:$T$495))-(ROW('CASE MASTER'!#REF!)-1)))+((7-INDEX('CASE MASTER'!$AA$2:$AA$495,(SUMPRODUCT((('CASE MASTER'!$T$2:$T$495=3)*('CASE MASTER'!$AA$2:$AA$495&lt;=7)*('CASE MASTER'!$AC$2:$AC$495&gt;=7)*('CASE MASTER'!$AB$2:$AB$495&lt;=2)*('CASE MASTER'!$AD$2:$AD$495&gt;=2))*ROW('CASE MASTER'!$T$2:$T$495))-(ROW('CASE MASTER'!#REF!)-1))))*(INDEX('CASE MASTER'!$AD$2:$AD$495,(SUMPRODUCT((('CASE MASTER'!$T$2:$T$495=3)*('CASE MASTER'!$AA$2:$AA$495&lt;=7)*('CASE MASTER'!$AC$2:$AC$495&gt;=7)*('CASE MASTER'!$AB$2:$AB$495&lt;=2)*('CASE MASTER'!$AD$2:$AD$495&gt;=2))*ROW('CASE MASTER'!$T$2:$T$495))-(ROW('CASE MASTER'!#REF!)-1)))-INDEX('CASE MASTER'!$AB$2:$AB$495,(SUMPRODUCT((('CASE MASTER'!$T$2:$T$495=3)*('CASE MASTER'!$AA$2:$AA$495&lt;=7)*('CASE MASTER'!$AC$2:$AC$495&gt;=7)*('CASE MASTER'!$AB$2:$AB$495&lt;=2)*('CASE MASTER'!$AD$2:$AD$495&gt;=2))*ROW('CASE MASTER'!$T$2:$T$495))-(ROW('CASE MASTER'!#REF!)-1)))+1)+(2-INDEX('CASE MASTER'!$AB$2:$AB$495,(SUMPRODUCT((('CASE MASTER'!$T$2:$T$495=3)*('CASE MASTER'!$AA$2:$AA$495&lt;=7)*('CASE MASTER'!$AC$2:$AC$495&gt;=7)*('CASE MASTER'!$AB$2:$AB$495&lt;=2)*('CASE MASTER'!$AD$2:$AD$495&gt;=2))*ROW('CASE MASTER'!$T$2:$T$495))-(ROW('CASE MASTER'!#REF!)-1))))+1)))-1)*50+1,50))&amp;"_"&amp;INDEX('CASE MASTER'!$Q$2:$Q$495,(SUMPRODUCT((('CASE MASTER'!$T$2:$T$495=3)*('CASE MASTER'!$AA$2:$AA$495&lt;=7)*('CASE MASTER'!$AC$2:$AC$495&gt;=7)*('CASE MASTER'!$AB$2:$AB$495&lt;=2)*('CASE MASTER'!$AD$2:$AD$495&gt;=2))*ROW('CASE MASTER'!$T$2:$T$495))-(ROW('CASE MASTER'!#REF!)-1))),"")),"")</f>
        <v/>
      </c>
      <c r="D37" s="10" t="str">
        <f>IFERROR(IF(SUMPRODUCT((('CASE MASTER'!$T$2:$T$495=3)*('CASE MASTER'!$U$2:$U$495&lt;=7)*('CASE MASTER'!$W$2:$W$495&gt;=7)*('CASE MASTER'!$V$2:$V$495&lt;=3)*('CASE MASTER'!$X$2:$X$495&gt;=3))*ROW('CASE MASTER'!$T$2:$T$495))&gt;0,INDEX('CASE MASTER'!$Y$2:$Y$495,(SUMPRODUCT((('CASE MASTER'!$T$2:$T$495=3)*('CASE MASTER'!$U$2:$U$495&lt;=7)*('CASE MASTER'!$W$2:$W$495&gt;=7)*('CASE MASTER'!$V$2:$V$495&lt;=3)*('CASE MASTER'!$X$2:$X$495&gt;=3))*ROW('CASE MASTER'!$T$2:$T$495))-(ROW('CASE MASTER'!#REF!)-1)))&amp;TRIM(MID(SUBSTITUTE(SUBSTITUTE(INDEX('CASE MASTER'!$N$2:$N$495,(SUMPRODUCT((('CASE MASTER'!$T$2:$T$495=3)*('CASE MASTER'!$U$2:$U$495&lt;=7)*('CASE MASTER'!$W$2:$W$495&gt;=7)*('CASE MASTER'!$V$2:$V$495&lt;=3)*('CASE MASTER'!$X$2:$X$495&gt;=3))*ROW('CASE MASTER'!$T$2:$T$495))-(ROW('CASE MASTER'!#REF!)-1))),":",","),",",REPT(" ",50)),((((7-INDEX('CASE MASTER'!$U$2:$U$495,(SUMPRODUCT((('CASE MASTER'!$T$2:$T$495=3)*('CASE MASTER'!$U$2:$U$495&lt;=7)*('CASE MASTER'!$W$2:$W$495&gt;=7)*('CASE MASTER'!$V$2:$V$495&lt;=3)*('CASE MASTER'!$X$2:$X$495&gt;=3))*ROW('CASE MASTER'!$T$2:$T$495))-(ROW('CASE MASTER'!#REF!)-1))))*(INDEX('CASE MASTER'!$X$2:$X$495,(SUMPRODUCT((('CASE MASTER'!$T$2:$T$495=3)*('CASE MASTER'!$U$2:$U$495&lt;=7)*('CASE MASTER'!$W$2:$W$495&gt;=7)*('CASE MASTER'!$V$2:$V$495&lt;=3)*('CASE MASTER'!$X$2:$X$495&gt;=3))*ROW('CASE MASTER'!$T$2:$T$495))-(ROW('CASE MASTER'!#REF!)-1)))-INDEX('CASE MASTER'!$V$2:$V$495,(SUMPRODUCT((('CASE MASTER'!$T$2:$T$495=3)*('CASE MASTER'!$U$2:$U$495&lt;=7)*('CASE MASTER'!$W$2:$W$495&gt;=7)*('CASE MASTER'!$V$2:$V$495&lt;=3)*('CASE MASTER'!$X$2:$X$495&gt;=3))*ROW('CASE MASTER'!$T$2:$T$495))-(ROW('CASE MASTER'!#REF!)-1)))+1)+(3-INDEX('CASE MASTER'!$V$2:$V$495,(SUMPRODUCT((('CASE MASTER'!$T$2:$T$495=3)*('CASE MASTER'!$U$2:$U$495&lt;=7)*('CASE MASTER'!$W$2:$W$495&gt;=7)*('CASE MASTER'!$V$2:$V$495&lt;=3)*('CASE MASTER'!$X$2:$X$495&gt;=3))*ROW('CASE MASTER'!$T$2:$T$495))-(ROW('CASE MASTER'!#REF!)-1))))+1))-1)*50+1,50))&amp;"_"&amp;INDEX('CASE MASTER'!$Q$2:$Q$495,(SUMPRODUCT((('CASE MASTER'!$T$2:$T$495=3)*('CASE MASTER'!$U$2:$U$495&lt;=7)*('CASE MASTER'!$W$2:$W$495&gt;=7)*('CASE MASTER'!$V$2:$V$495&lt;=3)*('CASE MASTER'!$X$2:$X$495&gt;=3))*ROW('CASE MASTER'!$T$2:$T$495))-(ROW('CASE MASTER'!#REF!)-1))),IF(SUMPRODUCT((('CASE MASTER'!$T$2:$T$495=3)*('CASE MASTER'!$AA$2:$AA$495&lt;=7)*('CASE MASTER'!$AC$2:$AC$495&gt;=7)*('CASE MASTER'!$AB$2:$AB$495&lt;=3)*('CASE MASTER'!$AD$2:$AD$495&gt;=3))*ROW('CASE MASTER'!$T$2:$T$495))&gt;0,INDEX('CASE MASTER'!$Y$2:$Y$495,(SUMPRODUCT((('CASE MASTER'!$T$2:$T$495=3)*('CASE MASTER'!$AA$2:$AA$495&lt;=7)*('CASE MASTER'!$AC$2:$AC$495&gt;=7)*('CASE MASTER'!$AB$2:$AB$495&lt;=3)*('CASE MASTER'!$AD$2:$AD$495&gt;=3))*ROW('CASE MASTER'!$T$2:$T$495))-(ROW('CASE MASTER'!#REF!)-1)))&amp;TRIM(MID(SUBSTITUTE(SUBSTITUTE(INDEX('CASE MASTER'!$N$2:$N$495,(SUMPRODUCT((('CASE MASTER'!$T$2:$T$495=3)*('CASE MASTER'!$AA$2:$AA$495&lt;=7)*('CASE MASTER'!$AC$2:$AC$495&gt;=7)*('CASE MASTER'!$AB$2:$AB$495&lt;=3)*('CASE MASTER'!$AD$2:$AD$495&gt;=3))*ROW('CASE MASTER'!$T$2:$T$495))-(ROW('CASE MASTER'!#REF!)-1))),":",","),",",REPT(" ",50)),(((INDEX('CASE MASTER'!$Z$2:$Z$495,(SUMPRODUCT((('CASE MASTER'!$T$2:$T$495=3)*('CASE MASTER'!$AA$2:$AA$495&lt;=7)*('CASE MASTER'!$AC$2:$AC$495&gt;=7)*('CASE MASTER'!$AB$2:$AB$495&lt;=3)*('CASE MASTER'!$AD$2:$AD$495&gt;=3))*ROW('CASE MASTER'!$T$2:$T$495))-(ROW('CASE MASTER'!#REF!)-1)))+((7-INDEX('CASE MASTER'!$AA$2:$AA$495,(SUMPRODUCT((('CASE MASTER'!$T$2:$T$495=3)*('CASE MASTER'!$AA$2:$AA$495&lt;=7)*('CASE MASTER'!$AC$2:$AC$495&gt;=7)*('CASE MASTER'!$AB$2:$AB$495&lt;=3)*('CASE MASTER'!$AD$2:$AD$495&gt;=3))*ROW('CASE MASTER'!$T$2:$T$495))-(ROW('CASE MASTER'!#REF!)-1))))*(INDEX('CASE MASTER'!$AD$2:$AD$495,(SUMPRODUCT((('CASE MASTER'!$T$2:$T$495=3)*('CASE MASTER'!$AA$2:$AA$495&lt;=7)*('CASE MASTER'!$AC$2:$AC$495&gt;=7)*('CASE MASTER'!$AB$2:$AB$495&lt;=3)*('CASE MASTER'!$AD$2:$AD$495&gt;=3))*ROW('CASE MASTER'!$T$2:$T$495))-(ROW('CASE MASTER'!#REF!)-1)))-INDEX('CASE MASTER'!$AB$2:$AB$495,(SUMPRODUCT((('CASE MASTER'!$T$2:$T$495=3)*('CASE MASTER'!$AA$2:$AA$495&lt;=7)*('CASE MASTER'!$AC$2:$AC$495&gt;=7)*('CASE MASTER'!$AB$2:$AB$495&lt;=3)*('CASE MASTER'!$AD$2:$AD$495&gt;=3))*ROW('CASE MASTER'!$T$2:$T$495))-(ROW('CASE MASTER'!#REF!)-1)))+1)+(3-INDEX('CASE MASTER'!$AB$2:$AB$495,(SUMPRODUCT((('CASE MASTER'!$T$2:$T$495=3)*('CASE MASTER'!$AA$2:$AA$495&lt;=7)*('CASE MASTER'!$AC$2:$AC$495&gt;=7)*('CASE MASTER'!$AB$2:$AB$495&lt;=3)*('CASE MASTER'!$AD$2:$AD$495&gt;=3))*ROW('CASE MASTER'!$T$2:$T$495))-(ROW('CASE MASTER'!#REF!)-1))))+1)))-1)*50+1,50))&amp;"_"&amp;INDEX('CASE MASTER'!$Q$2:$Q$495,(SUMPRODUCT((('CASE MASTER'!$T$2:$T$495=3)*('CASE MASTER'!$AA$2:$AA$495&lt;=7)*('CASE MASTER'!$AC$2:$AC$495&gt;=7)*('CASE MASTER'!$AB$2:$AB$495&lt;=3)*('CASE MASTER'!$AD$2:$AD$495&gt;=3))*ROW('CASE MASTER'!$T$2:$T$495))-(ROW('CASE MASTER'!#REF!)-1))),"")),"")</f>
        <v/>
      </c>
      <c r="E37" s="10" t="str">
        <f>IFERROR(IF(SUMPRODUCT((('CASE MASTER'!$T$2:$T$495=3)*('CASE MASTER'!$U$2:$U$495&lt;=7)*('CASE MASTER'!$W$2:$W$495&gt;=7)*('CASE MASTER'!$V$2:$V$495&lt;=4)*('CASE MASTER'!$X$2:$X$495&gt;=4))*ROW('CASE MASTER'!$T$2:$T$495))&gt;0,INDEX('CASE MASTER'!$Y$2:$Y$495,(SUMPRODUCT((('CASE MASTER'!$T$2:$T$495=3)*('CASE MASTER'!$U$2:$U$495&lt;=7)*('CASE MASTER'!$W$2:$W$495&gt;=7)*('CASE MASTER'!$V$2:$V$495&lt;=4)*('CASE MASTER'!$X$2:$X$495&gt;=4))*ROW('CASE MASTER'!$T$2:$T$495))-(ROW('CASE MASTER'!#REF!)-1)))&amp;TRIM(MID(SUBSTITUTE(SUBSTITUTE(INDEX('CASE MASTER'!$N$2:$N$495,(SUMPRODUCT((('CASE MASTER'!$T$2:$T$495=3)*('CASE MASTER'!$U$2:$U$495&lt;=7)*('CASE MASTER'!$W$2:$W$495&gt;=7)*('CASE MASTER'!$V$2:$V$495&lt;=4)*('CASE MASTER'!$X$2:$X$495&gt;=4))*ROW('CASE MASTER'!$T$2:$T$495))-(ROW('CASE MASTER'!#REF!)-1))),":",","),",",REPT(" ",50)),((((7-INDEX('CASE MASTER'!$U$2:$U$495,(SUMPRODUCT((('CASE MASTER'!$T$2:$T$495=3)*('CASE MASTER'!$U$2:$U$495&lt;=7)*('CASE MASTER'!$W$2:$W$495&gt;=7)*('CASE MASTER'!$V$2:$V$495&lt;=4)*('CASE MASTER'!$X$2:$X$495&gt;=4))*ROW('CASE MASTER'!$T$2:$T$495))-(ROW('CASE MASTER'!#REF!)-1))))*(INDEX('CASE MASTER'!$X$2:$X$495,(SUMPRODUCT((('CASE MASTER'!$T$2:$T$495=3)*('CASE MASTER'!$U$2:$U$495&lt;=7)*('CASE MASTER'!$W$2:$W$495&gt;=7)*('CASE MASTER'!$V$2:$V$495&lt;=4)*('CASE MASTER'!$X$2:$X$495&gt;=4))*ROW('CASE MASTER'!$T$2:$T$495))-(ROW('CASE MASTER'!#REF!)-1)))-INDEX('CASE MASTER'!$V$2:$V$495,(SUMPRODUCT((('CASE MASTER'!$T$2:$T$495=3)*('CASE MASTER'!$U$2:$U$495&lt;=7)*('CASE MASTER'!$W$2:$W$495&gt;=7)*('CASE MASTER'!$V$2:$V$495&lt;=4)*('CASE MASTER'!$X$2:$X$495&gt;=4))*ROW('CASE MASTER'!$T$2:$T$495))-(ROW('CASE MASTER'!#REF!)-1)))+1)+(4-INDEX('CASE MASTER'!$V$2:$V$495,(SUMPRODUCT((('CASE MASTER'!$T$2:$T$495=3)*('CASE MASTER'!$U$2:$U$495&lt;=7)*('CASE MASTER'!$W$2:$W$495&gt;=7)*('CASE MASTER'!$V$2:$V$495&lt;=4)*('CASE MASTER'!$X$2:$X$495&gt;=4))*ROW('CASE MASTER'!$T$2:$T$495))-(ROW('CASE MASTER'!#REF!)-1))))+1))-1)*50+1,50))&amp;"_"&amp;INDEX('CASE MASTER'!$Q$2:$Q$495,(SUMPRODUCT((('CASE MASTER'!$T$2:$T$495=3)*('CASE MASTER'!$U$2:$U$495&lt;=7)*('CASE MASTER'!$W$2:$W$495&gt;=7)*('CASE MASTER'!$V$2:$V$495&lt;=4)*('CASE MASTER'!$X$2:$X$495&gt;=4))*ROW('CASE MASTER'!$T$2:$T$495))-(ROW('CASE MASTER'!#REF!)-1))),IF(SUMPRODUCT((('CASE MASTER'!$T$2:$T$495=3)*('CASE MASTER'!$AA$2:$AA$495&lt;=7)*('CASE MASTER'!$AC$2:$AC$495&gt;=7)*('CASE MASTER'!$AB$2:$AB$495&lt;=4)*('CASE MASTER'!$AD$2:$AD$495&gt;=4))*ROW('CASE MASTER'!$T$2:$T$495))&gt;0,INDEX('CASE MASTER'!$Y$2:$Y$495,(SUMPRODUCT((('CASE MASTER'!$T$2:$T$495=3)*('CASE MASTER'!$AA$2:$AA$495&lt;=7)*('CASE MASTER'!$AC$2:$AC$495&gt;=7)*('CASE MASTER'!$AB$2:$AB$495&lt;=4)*('CASE MASTER'!$AD$2:$AD$495&gt;=4))*ROW('CASE MASTER'!$T$2:$T$495))-(ROW('CASE MASTER'!#REF!)-1)))&amp;TRIM(MID(SUBSTITUTE(SUBSTITUTE(INDEX('CASE MASTER'!$N$2:$N$495,(SUMPRODUCT((('CASE MASTER'!$T$2:$T$495=3)*('CASE MASTER'!$AA$2:$AA$495&lt;=7)*('CASE MASTER'!$AC$2:$AC$495&gt;=7)*('CASE MASTER'!$AB$2:$AB$495&lt;=4)*('CASE MASTER'!$AD$2:$AD$495&gt;=4))*ROW('CASE MASTER'!$T$2:$T$495))-(ROW('CASE MASTER'!#REF!)-1))),":",","),",",REPT(" ",50)),(((INDEX('CASE MASTER'!$Z$2:$Z$495,(SUMPRODUCT((('CASE MASTER'!$T$2:$T$495=3)*('CASE MASTER'!$AA$2:$AA$495&lt;=7)*('CASE MASTER'!$AC$2:$AC$495&gt;=7)*('CASE MASTER'!$AB$2:$AB$495&lt;=4)*('CASE MASTER'!$AD$2:$AD$495&gt;=4))*ROW('CASE MASTER'!$T$2:$T$495))-(ROW('CASE MASTER'!#REF!)-1)))+((7-INDEX('CASE MASTER'!$AA$2:$AA$495,(SUMPRODUCT((('CASE MASTER'!$T$2:$T$495=3)*('CASE MASTER'!$AA$2:$AA$495&lt;=7)*('CASE MASTER'!$AC$2:$AC$495&gt;=7)*('CASE MASTER'!$AB$2:$AB$495&lt;=4)*('CASE MASTER'!$AD$2:$AD$495&gt;=4))*ROW('CASE MASTER'!$T$2:$T$495))-(ROW('CASE MASTER'!#REF!)-1))))*(INDEX('CASE MASTER'!$AD$2:$AD$495,(SUMPRODUCT((('CASE MASTER'!$T$2:$T$495=3)*('CASE MASTER'!$AA$2:$AA$495&lt;=7)*('CASE MASTER'!$AC$2:$AC$495&gt;=7)*('CASE MASTER'!$AB$2:$AB$495&lt;=4)*('CASE MASTER'!$AD$2:$AD$495&gt;=4))*ROW('CASE MASTER'!$T$2:$T$495))-(ROW('CASE MASTER'!#REF!)-1)))-INDEX('CASE MASTER'!$AB$2:$AB$495,(SUMPRODUCT((('CASE MASTER'!$T$2:$T$495=3)*('CASE MASTER'!$AA$2:$AA$495&lt;=7)*('CASE MASTER'!$AC$2:$AC$495&gt;=7)*('CASE MASTER'!$AB$2:$AB$495&lt;=4)*('CASE MASTER'!$AD$2:$AD$495&gt;=4))*ROW('CASE MASTER'!$T$2:$T$495))-(ROW('CASE MASTER'!#REF!)-1)))+1)+(4-INDEX('CASE MASTER'!$AB$2:$AB$495,(SUMPRODUCT((('CASE MASTER'!$T$2:$T$495=3)*('CASE MASTER'!$AA$2:$AA$495&lt;=7)*('CASE MASTER'!$AC$2:$AC$495&gt;=7)*('CASE MASTER'!$AB$2:$AB$495&lt;=4)*('CASE MASTER'!$AD$2:$AD$495&gt;=4))*ROW('CASE MASTER'!$T$2:$T$495))-(ROW('CASE MASTER'!#REF!)-1))))+1)))-1)*50+1,50))&amp;"_"&amp;INDEX('CASE MASTER'!$Q$2:$Q$495,(SUMPRODUCT((('CASE MASTER'!$T$2:$T$495=3)*('CASE MASTER'!$AA$2:$AA$495&lt;=7)*('CASE MASTER'!$AC$2:$AC$495&gt;=7)*('CASE MASTER'!$AB$2:$AB$495&lt;=4)*('CASE MASTER'!$AD$2:$AD$495&gt;=4))*ROW('CASE MASTER'!$T$2:$T$495))-(ROW('CASE MASTER'!#REF!)-1))),"")),"")</f>
        <v/>
      </c>
      <c r="F37" s="10" t="str">
        <f>IFERROR(IF(SUMPRODUCT((('CASE MASTER'!$T$2:$T$495=3)*('CASE MASTER'!$U$2:$U$495&lt;=7)*('CASE MASTER'!$W$2:$W$495&gt;=7)*('CASE MASTER'!$V$2:$V$495&lt;=5)*('CASE MASTER'!$X$2:$X$495&gt;=5))*ROW('CASE MASTER'!$T$2:$T$495))&gt;0,INDEX('CASE MASTER'!$Y$2:$Y$495,(SUMPRODUCT((('CASE MASTER'!$T$2:$T$495=3)*('CASE MASTER'!$U$2:$U$495&lt;=7)*('CASE MASTER'!$W$2:$W$495&gt;=7)*('CASE MASTER'!$V$2:$V$495&lt;=5)*('CASE MASTER'!$X$2:$X$495&gt;=5))*ROW('CASE MASTER'!$T$2:$T$495))-(ROW('CASE MASTER'!#REF!)-1)))&amp;TRIM(MID(SUBSTITUTE(SUBSTITUTE(INDEX('CASE MASTER'!$N$2:$N$495,(SUMPRODUCT((('CASE MASTER'!$T$2:$T$495=3)*('CASE MASTER'!$U$2:$U$495&lt;=7)*('CASE MASTER'!$W$2:$W$495&gt;=7)*('CASE MASTER'!$V$2:$V$495&lt;=5)*('CASE MASTER'!$X$2:$X$495&gt;=5))*ROW('CASE MASTER'!$T$2:$T$495))-(ROW('CASE MASTER'!#REF!)-1))),":",","),",",REPT(" ",50)),((((7-INDEX('CASE MASTER'!$U$2:$U$495,(SUMPRODUCT((('CASE MASTER'!$T$2:$T$495=3)*('CASE MASTER'!$U$2:$U$495&lt;=7)*('CASE MASTER'!$W$2:$W$495&gt;=7)*('CASE MASTER'!$V$2:$V$495&lt;=5)*('CASE MASTER'!$X$2:$X$495&gt;=5))*ROW('CASE MASTER'!$T$2:$T$495))-(ROW('CASE MASTER'!#REF!)-1))))*(INDEX('CASE MASTER'!$X$2:$X$495,(SUMPRODUCT((('CASE MASTER'!$T$2:$T$495=3)*('CASE MASTER'!$U$2:$U$495&lt;=7)*('CASE MASTER'!$W$2:$W$495&gt;=7)*('CASE MASTER'!$V$2:$V$495&lt;=5)*('CASE MASTER'!$X$2:$X$495&gt;=5))*ROW('CASE MASTER'!$T$2:$T$495))-(ROW('CASE MASTER'!#REF!)-1)))-INDEX('CASE MASTER'!$V$2:$V$495,(SUMPRODUCT((('CASE MASTER'!$T$2:$T$495=3)*('CASE MASTER'!$U$2:$U$495&lt;=7)*('CASE MASTER'!$W$2:$W$495&gt;=7)*('CASE MASTER'!$V$2:$V$495&lt;=5)*('CASE MASTER'!$X$2:$X$495&gt;=5))*ROW('CASE MASTER'!$T$2:$T$495))-(ROW('CASE MASTER'!#REF!)-1)))+1)+(5-INDEX('CASE MASTER'!$V$2:$V$495,(SUMPRODUCT((('CASE MASTER'!$T$2:$T$495=3)*('CASE MASTER'!$U$2:$U$495&lt;=7)*('CASE MASTER'!$W$2:$W$495&gt;=7)*('CASE MASTER'!$V$2:$V$495&lt;=5)*('CASE MASTER'!$X$2:$X$495&gt;=5))*ROW('CASE MASTER'!$T$2:$T$495))-(ROW('CASE MASTER'!#REF!)-1))))+1))-1)*50+1,50))&amp;"_"&amp;INDEX('CASE MASTER'!$Q$2:$Q$495,(SUMPRODUCT((('CASE MASTER'!$T$2:$T$495=3)*('CASE MASTER'!$U$2:$U$495&lt;=7)*('CASE MASTER'!$W$2:$W$495&gt;=7)*('CASE MASTER'!$V$2:$V$495&lt;=5)*('CASE MASTER'!$X$2:$X$495&gt;=5))*ROW('CASE MASTER'!$T$2:$T$495))-(ROW('CASE MASTER'!#REF!)-1))),IF(SUMPRODUCT((('CASE MASTER'!$T$2:$T$495=3)*('CASE MASTER'!$AA$2:$AA$495&lt;=7)*('CASE MASTER'!$AC$2:$AC$495&gt;=7)*('CASE MASTER'!$AB$2:$AB$495&lt;=5)*('CASE MASTER'!$AD$2:$AD$495&gt;=5))*ROW('CASE MASTER'!$T$2:$T$495))&gt;0,INDEX('CASE MASTER'!$Y$2:$Y$495,(SUMPRODUCT((('CASE MASTER'!$T$2:$T$495=3)*('CASE MASTER'!$AA$2:$AA$495&lt;=7)*('CASE MASTER'!$AC$2:$AC$495&gt;=7)*('CASE MASTER'!$AB$2:$AB$495&lt;=5)*('CASE MASTER'!$AD$2:$AD$495&gt;=5))*ROW('CASE MASTER'!$T$2:$T$495))-(ROW('CASE MASTER'!#REF!)-1)))&amp;TRIM(MID(SUBSTITUTE(SUBSTITUTE(INDEX('CASE MASTER'!$N$2:$N$495,(SUMPRODUCT((('CASE MASTER'!$T$2:$T$495=3)*('CASE MASTER'!$AA$2:$AA$495&lt;=7)*('CASE MASTER'!$AC$2:$AC$495&gt;=7)*('CASE MASTER'!$AB$2:$AB$495&lt;=5)*('CASE MASTER'!$AD$2:$AD$495&gt;=5))*ROW('CASE MASTER'!$T$2:$T$495))-(ROW('CASE MASTER'!#REF!)-1))),":",","),",",REPT(" ",50)),(((INDEX('CASE MASTER'!$Z$2:$Z$495,(SUMPRODUCT((('CASE MASTER'!$T$2:$T$495=3)*('CASE MASTER'!$AA$2:$AA$495&lt;=7)*('CASE MASTER'!$AC$2:$AC$495&gt;=7)*('CASE MASTER'!$AB$2:$AB$495&lt;=5)*('CASE MASTER'!$AD$2:$AD$495&gt;=5))*ROW('CASE MASTER'!$T$2:$T$495))-(ROW('CASE MASTER'!#REF!)-1)))+((7-INDEX('CASE MASTER'!$AA$2:$AA$495,(SUMPRODUCT((('CASE MASTER'!$T$2:$T$495=3)*('CASE MASTER'!$AA$2:$AA$495&lt;=7)*('CASE MASTER'!$AC$2:$AC$495&gt;=7)*('CASE MASTER'!$AB$2:$AB$495&lt;=5)*('CASE MASTER'!$AD$2:$AD$495&gt;=5))*ROW('CASE MASTER'!$T$2:$T$495))-(ROW('CASE MASTER'!#REF!)-1))))*(INDEX('CASE MASTER'!$AD$2:$AD$495,(SUMPRODUCT((('CASE MASTER'!$T$2:$T$495=3)*('CASE MASTER'!$AA$2:$AA$495&lt;=7)*('CASE MASTER'!$AC$2:$AC$495&gt;=7)*('CASE MASTER'!$AB$2:$AB$495&lt;=5)*('CASE MASTER'!$AD$2:$AD$495&gt;=5))*ROW('CASE MASTER'!$T$2:$T$495))-(ROW('CASE MASTER'!#REF!)-1)))-INDEX('CASE MASTER'!$AB$2:$AB$495,(SUMPRODUCT((('CASE MASTER'!$T$2:$T$495=3)*('CASE MASTER'!$AA$2:$AA$495&lt;=7)*('CASE MASTER'!$AC$2:$AC$495&gt;=7)*('CASE MASTER'!$AB$2:$AB$495&lt;=5)*('CASE MASTER'!$AD$2:$AD$495&gt;=5))*ROW('CASE MASTER'!$T$2:$T$495))-(ROW('CASE MASTER'!#REF!)-1)))+1)+(5-INDEX('CASE MASTER'!$AB$2:$AB$495,(SUMPRODUCT((('CASE MASTER'!$T$2:$T$495=3)*('CASE MASTER'!$AA$2:$AA$495&lt;=7)*('CASE MASTER'!$AC$2:$AC$495&gt;=7)*('CASE MASTER'!$AB$2:$AB$495&lt;=5)*('CASE MASTER'!$AD$2:$AD$495&gt;=5))*ROW('CASE MASTER'!$T$2:$T$495))-(ROW('CASE MASTER'!#REF!)-1))))+1)))-1)*50+1,50))&amp;"_"&amp;INDEX('CASE MASTER'!$Q$2:$Q$495,(SUMPRODUCT((('CASE MASTER'!$T$2:$T$495=3)*('CASE MASTER'!$AA$2:$AA$495&lt;=7)*('CASE MASTER'!$AC$2:$AC$495&gt;=7)*('CASE MASTER'!$AB$2:$AB$495&lt;=5)*('CASE MASTER'!$AD$2:$AD$495&gt;=5))*ROW('CASE MASTER'!$T$2:$T$495))-(ROW('CASE MASTER'!#REF!)-1))),"")),"")</f>
        <v/>
      </c>
      <c r="G37" s="10" t="str">
        <f>IFERROR(IF(SUMPRODUCT((('CASE MASTER'!$T$2:$T$495=3)*('CASE MASTER'!$U$2:$U$495&lt;=7)*('CASE MASTER'!$W$2:$W$495&gt;=7)*('CASE MASTER'!$V$2:$V$495&lt;=6)*('CASE MASTER'!$X$2:$X$495&gt;=6))*ROW('CASE MASTER'!$T$2:$T$495))&gt;0,INDEX('CASE MASTER'!$Y$2:$Y$495,(SUMPRODUCT((('CASE MASTER'!$T$2:$T$495=3)*('CASE MASTER'!$U$2:$U$495&lt;=7)*('CASE MASTER'!$W$2:$W$495&gt;=7)*('CASE MASTER'!$V$2:$V$495&lt;=6)*('CASE MASTER'!$X$2:$X$495&gt;=6))*ROW('CASE MASTER'!$T$2:$T$495))-(ROW('CASE MASTER'!#REF!)-1)))&amp;TRIM(MID(SUBSTITUTE(SUBSTITUTE(INDEX('CASE MASTER'!$N$2:$N$495,(SUMPRODUCT((('CASE MASTER'!$T$2:$T$495=3)*('CASE MASTER'!$U$2:$U$495&lt;=7)*('CASE MASTER'!$W$2:$W$495&gt;=7)*('CASE MASTER'!$V$2:$V$495&lt;=6)*('CASE MASTER'!$X$2:$X$495&gt;=6))*ROW('CASE MASTER'!$T$2:$T$495))-(ROW('CASE MASTER'!#REF!)-1))),":",","),",",REPT(" ",50)),((((7-INDEX('CASE MASTER'!$U$2:$U$495,(SUMPRODUCT((('CASE MASTER'!$T$2:$T$495=3)*('CASE MASTER'!$U$2:$U$495&lt;=7)*('CASE MASTER'!$W$2:$W$495&gt;=7)*('CASE MASTER'!$V$2:$V$495&lt;=6)*('CASE MASTER'!$X$2:$X$495&gt;=6))*ROW('CASE MASTER'!$T$2:$T$495))-(ROW('CASE MASTER'!#REF!)-1))))*(INDEX('CASE MASTER'!$X$2:$X$495,(SUMPRODUCT((('CASE MASTER'!$T$2:$T$495=3)*('CASE MASTER'!$U$2:$U$495&lt;=7)*('CASE MASTER'!$W$2:$W$495&gt;=7)*('CASE MASTER'!$V$2:$V$495&lt;=6)*('CASE MASTER'!$X$2:$X$495&gt;=6))*ROW('CASE MASTER'!$T$2:$T$495))-(ROW('CASE MASTER'!#REF!)-1)))-INDEX('CASE MASTER'!$V$2:$V$495,(SUMPRODUCT((('CASE MASTER'!$T$2:$T$495=3)*('CASE MASTER'!$U$2:$U$495&lt;=7)*('CASE MASTER'!$W$2:$W$495&gt;=7)*('CASE MASTER'!$V$2:$V$495&lt;=6)*('CASE MASTER'!$X$2:$X$495&gt;=6))*ROW('CASE MASTER'!$T$2:$T$495))-(ROW('CASE MASTER'!#REF!)-1)))+1)+(6-INDEX('CASE MASTER'!$V$2:$V$495,(SUMPRODUCT((('CASE MASTER'!$T$2:$T$495=3)*('CASE MASTER'!$U$2:$U$495&lt;=7)*('CASE MASTER'!$W$2:$W$495&gt;=7)*('CASE MASTER'!$V$2:$V$495&lt;=6)*('CASE MASTER'!$X$2:$X$495&gt;=6))*ROW('CASE MASTER'!$T$2:$T$495))-(ROW('CASE MASTER'!#REF!)-1))))+1))-1)*50+1,50))&amp;"_"&amp;INDEX('CASE MASTER'!$Q$2:$Q$495,(SUMPRODUCT((('CASE MASTER'!$T$2:$T$495=3)*('CASE MASTER'!$U$2:$U$495&lt;=7)*('CASE MASTER'!$W$2:$W$495&gt;=7)*('CASE MASTER'!$V$2:$V$495&lt;=6)*('CASE MASTER'!$X$2:$X$495&gt;=6))*ROW('CASE MASTER'!$T$2:$T$495))-(ROW('CASE MASTER'!#REF!)-1))),IF(SUMPRODUCT((('CASE MASTER'!$T$2:$T$495=3)*('CASE MASTER'!$AA$2:$AA$495&lt;=7)*('CASE MASTER'!$AC$2:$AC$495&gt;=7)*('CASE MASTER'!$AB$2:$AB$495&lt;=6)*('CASE MASTER'!$AD$2:$AD$495&gt;=6))*ROW('CASE MASTER'!$T$2:$T$495))&gt;0,INDEX('CASE MASTER'!$Y$2:$Y$495,(SUMPRODUCT((('CASE MASTER'!$T$2:$T$495=3)*('CASE MASTER'!$AA$2:$AA$495&lt;=7)*('CASE MASTER'!$AC$2:$AC$495&gt;=7)*('CASE MASTER'!$AB$2:$AB$495&lt;=6)*('CASE MASTER'!$AD$2:$AD$495&gt;=6))*ROW('CASE MASTER'!$T$2:$T$495))-(ROW('CASE MASTER'!#REF!)-1)))&amp;TRIM(MID(SUBSTITUTE(SUBSTITUTE(INDEX('CASE MASTER'!$N$2:$N$495,(SUMPRODUCT((('CASE MASTER'!$T$2:$T$495=3)*('CASE MASTER'!$AA$2:$AA$495&lt;=7)*('CASE MASTER'!$AC$2:$AC$495&gt;=7)*('CASE MASTER'!$AB$2:$AB$495&lt;=6)*('CASE MASTER'!$AD$2:$AD$495&gt;=6))*ROW('CASE MASTER'!$T$2:$T$495))-(ROW('CASE MASTER'!#REF!)-1))),":",","),",",REPT(" ",50)),(((INDEX('CASE MASTER'!$Z$2:$Z$495,(SUMPRODUCT((('CASE MASTER'!$T$2:$T$495=3)*('CASE MASTER'!$AA$2:$AA$495&lt;=7)*('CASE MASTER'!$AC$2:$AC$495&gt;=7)*('CASE MASTER'!$AB$2:$AB$495&lt;=6)*('CASE MASTER'!$AD$2:$AD$495&gt;=6))*ROW('CASE MASTER'!$T$2:$T$495))-(ROW('CASE MASTER'!#REF!)-1)))+((7-INDEX('CASE MASTER'!$AA$2:$AA$495,(SUMPRODUCT((('CASE MASTER'!$T$2:$T$495=3)*('CASE MASTER'!$AA$2:$AA$495&lt;=7)*('CASE MASTER'!$AC$2:$AC$495&gt;=7)*('CASE MASTER'!$AB$2:$AB$495&lt;=6)*('CASE MASTER'!$AD$2:$AD$495&gt;=6))*ROW('CASE MASTER'!$T$2:$T$495))-(ROW('CASE MASTER'!#REF!)-1))))*(INDEX('CASE MASTER'!$AD$2:$AD$495,(SUMPRODUCT((('CASE MASTER'!$T$2:$T$495=3)*('CASE MASTER'!$AA$2:$AA$495&lt;=7)*('CASE MASTER'!$AC$2:$AC$495&gt;=7)*('CASE MASTER'!$AB$2:$AB$495&lt;=6)*('CASE MASTER'!$AD$2:$AD$495&gt;=6))*ROW('CASE MASTER'!$T$2:$T$495))-(ROW('CASE MASTER'!#REF!)-1)))-INDEX('CASE MASTER'!$AB$2:$AB$495,(SUMPRODUCT((('CASE MASTER'!$T$2:$T$495=3)*('CASE MASTER'!$AA$2:$AA$495&lt;=7)*('CASE MASTER'!$AC$2:$AC$495&gt;=7)*('CASE MASTER'!$AB$2:$AB$495&lt;=6)*('CASE MASTER'!$AD$2:$AD$495&gt;=6))*ROW('CASE MASTER'!$T$2:$T$495))-(ROW('CASE MASTER'!#REF!)-1)))+1)+(6-INDEX('CASE MASTER'!$AB$2:$AB$495,(SUMPRODUCT((('CASE MASTER'!$T$2:$T$495=3)*('CASE MASTER'!$AA$2:$AA$495&lt;=7)*('CASE MASTER'!$AC$2:$AC$495&gt;=7)*('CASE MASTER'!$AB$2:$AB$495&lt;=6)*('CASE MASTER'!$AD$2:$AD$495&gt;=6))*ROW('CASE MASTER'!$T$2:$T$495))-(ROW('CASE MASTER'!#REF!)-1))))+1)))-1)*50+1,50))&amp;"_"&amp;INDEX('CASE MASTER'!$Q$2:$Q$495,(SUMPRODUCT((('CASE MASTER'!$T$2:$T$495=3)*('CASE MASTER'!$AA$2:$AA$495&lt;=7)*('CASE MASTER'!$AC$2:$AC$495&gt;=7)*('CASE MASTER'!$AB$2:$AB$495&lt;=6)*('CASE MASTER'!$AD$2:$AD$495&gt;=6))*ROW('CASE MASTER'!$T$2:$T$495))-(ROW('CASE MASTER'!#REF!)-1))),"")),"")</f>
        <v/>
      </c>
      <c r="H37" s="10" t="str">
        <f>IFERROR(IF(SUMPRODUCT((('CASE MASTER'!$T$2:$T$495=3)*('CASE MASTER'!$U$2:$U$495&lt;=7)*('CASE MASTER'!$W$2:$W$495&gt;=7)*('CASE MASTER'!$V$2:$V$495&lt;=7)*('CASE MASTER'!$X$2:$X$495&gt;=7))*ROW('CASE MASTER'!$T$2:$T$495))&gt;0,INDEX('CASE MASTER'!$Y$2:$Y$495,(SUMPRODUCT((('CASE MASTER'!$T$2:$T$495=3)*('CASE MASTER'!$U$2:$U$495&lt;=7)*('CASE MASTER'!$W$2:$W$495&gt;=7)*('CASE MASTER'!$V$2:$V$495&lt;=7)*('CASE MASTER'!$X$2:$X$495&gt;=7))*ROW('CASE MASTER'!$T$2:$T$495))-(ROW('CASE MASTER'!#REF!)-1)))&amp;TRIM(MID(SUBSTITUTE(SUBSTITUTE(INDEX('CASE MASTER'!$N$2:$N$495,(SUMPRODUCT((('CASE MASTER'!$T$2:$T$495=3)*('CASE MASTER'!$U$2:$U$495&lt;=7)*('CASE MASTER'!$W$2:$W$495&gt;=7)*('CASE MASTER'!$V$2:$V$495&lt;=7)*('CASE MASTER'!$X$2:$X$495&gt;=7))*ROW('CASE MASTER'!$T$2:$T$495))-(ROW('CASE MASTER'!#REF!)-1))),":",","),",",REPT(" ",50)),((((7-INDEX('CASE MASTER'!$U$2:$U$495,(SUMPRODUCT((('CASE MASTER'!$T$2:$T$495=3)*('CASE MASTER'!$U$2:$U$495&lt;=7)*('CASE MASTER'!$W$2:$W$495&gt;=7)*('CASE MASTER'!$V$2:$V$495&lt;=7)*('CASE MASTER'!$X$2:$X$495&gt;=7))*ROW('CASE MASTER'!$T$2:$T$495))-(ROW('CASE MASTER'!#REF!)-1))))*(INDEX('CASE MASTER'!$X$2:$X$495,(SUMPRODUCT((('CASE MASTER'!$T$2:$T$495=3)*('CASE MASTER'!$U$2:$U$495&lt;=7)*('CASE MASTER'!$W$2:$W$495&gt;=7)*('CASE MASTER'!$V$2:$V$495&lt;=7)*('CASE MASTER'!$X$2:$X$495&gt;=7))*ROW('CASE MASTER'!$T$2:$T$495))-(ROW('CASE MASTER'!#REF!)-1)))-INDEX('CASE MASTER'!$V$2:$V$495,(SUMPRODUCT((('CASE MASTER'!$T$2:$T$495=3)*('CASE MASTER'!$U$2:$U$495&lt;=7)*('CASE MASTER'!$W$2:$W$495&gt;=7)*('CASE MASTER'!$V$2:$V$495&lt;=7)*('CASE MASTER'!$X$2:$X$495&gt;=7))*ROW('CASE MASTER'!$T$2:$T$495))-(ROW('CASE MASTER'!#REF!)-1)))+1)+(7-INDEX('CASE MASTER'!$V$2:$V$495,(SUMPRODUCT((('CASE MASTER'!$T$2:$T$495=3)*('CASE MASTER'!$U$2:$U$495&lt;=7)*('CASE MASTER'!$W$2:$W$495&gt;=7)*('CASE MASTER'!$V$2:$V$495&lt;=7)*('CASE MASTER'!$X$2:$X$495&gt;=7))*ROW('CASE MASTER'!$T$2:$T$495))-(ROW('CASE MASTER'!#REF!)-1))))+1))-1)*50+1,50))&amp;"_"&amp;INDEX('CASE MASTER'!$Q$2:$Q$495,(SUMPRODUCT((('CASE MASTER'!$T$2:$T$495=3)*('CASE MASTER'!$U$2:$U$495&lt;=7)*('CASE MASTER'!$W$2:$W$495&gt;=7)*('CASE MASTER'!$V$2:$V$495&lt;=7)*('CASE MASTER'!$X$2:$X$495&gt;=7))*ROW('CASE MASTER'!$T$2:$T$495))-(ROW('CASE MASTER'!#REF!)-1))),IF(SUMPRODUCT((('CASE MASTER'!$T$2:$T$495=3)*('CASE MASTER'!$AA$2:$AA$495&lt;=7)*('CASE MASTER'!$AC$2:$AC$495&gt;=7)*('CASE MASTER'!$AB$2:$AB$495&lt;=7)*('CASE MASTER'!$AD$2:$AD$495&gt;=7))*ROW('CASE MASTER'!$T$2:$T$495))&gt;0,INDEX('CASE MASTER'!$Y$2:$Y$495,(SUMPRODUCT((('CASE MASTER'!$T$2:$T$495=3)*('CASE MASTER'!$AA$2:$AA$495&lt;=7)*('CASE MASTER'!$AC$2:$AC$495&gt;=7)*('CASE MASTER'!$AB$2:$AB$495&lt;=7)*('CASE MASTER'!$AD$2:$AD$495&gt;=7))*ROW('CASE MASTER'!$T$2:$T$495))-(ROW('CASE MASTER'!#REF!)-1)))&amp;TRIM(MID(SUBSTITUTE(SUBSTITUTE(INDEX('CASE MASTER'!$N$2:$N$495,(SUMPRODUCT((('CASE MASTER'!$T$2:$T$495=3)*('CASE MASTER'!$AA$2:$AA$495&lt;=7)*('CASE MASTER'!$AC$2:$AC$495&gt;=7)*('CASE MASTER'!$AB$2:$AB$495&lt;=7)*('CASE MASTER'!$AD$2:$AD$495&gt;=7))*ROW('CASE MASTER'!$T$2:$T$495))-(ROW('CASE MASTER'!#REF!)-1))),":",","),",",REPT(" ",50)),(((INDEX('CASE MASTER'!$Z$2:$Z$495,(SUMPRODUCT((('CASE MASTER'!$T$2:$T$495=3)*('CASE MASTER'!$AA$2:$AA$495&lt;=7)*('CASE MASTER'!$AC$2:$AC$495&gt;=7)*('CASE MASTER'!$AB$2:$AB$495&lt;=7)*('CASE MASTER'!$AD$2:$AD$495&gt;=7))*ROW('CASE MASTER'!$T$2:$T$495))-(ROW('CASE MASTER'!#REF!)-1)))+((7-INDEX('CASE MASTER'!$AA$2:$AA$495,(SUMPRODUCT((('CASE MASTER'!$T$2:$T$495=3)*('CASE MASTER'!$AA$2:$AA$495&lt;=7)*('CASE MASTER'!$AC$2:$AC$495&gt;=7)*('CASE MASTER'!$AB$2:$AB$495&lt;=7)*('CASE MASTER'!$AD$2:$AD$495&gt;=7))*ROW('CASE MASTER'!$T$2:$T$495))-(ROW('CASE MASTER'!#REF!)-1))))*(INDEX('CASE MASTER'!$AD$2:$AD$495,(SUMPRODUCT((('CASE MASTER'!$T$2:$T$495=3)*('CASE MASTER'!$AA$2:$AA$495&lt;=7)*('CASE MASTER'!$AC$2:$AC$495&gt;=7)*('CASE MASTER'!$AB$2:$AB$495&lt;=7)*('CASE MASTER'!$AD$2:$AD$495&gt;=7))*ROW('CASE MASTER'!$T$2:$T$495))-(ROW('CASE MASTER'!#REF!)-1)))-INDEX('CASE MASTER'!$AB$2:$AB$495,(SUMPRODUCT((('CASE MASTER'!$T$2:$T$495=3)*('CASE MASTER'!$AA$2:$AA$495&lt;=7)*('CASE MASTER'!$AC$2:$AC$495&gt;=7)*('CASE MASTER'!$AB$2:$AB$495&lt;=7)*('CASE MASTER'!$AD$2:$AD$495&gt;=7))*ROW('CASE MASTER'!$T$2:$T$495))-(ROW('CASE MASTER'!#REF!)-1)))+1)+(7-INDEX('CASE MASTER'!$AB$2:$AB$495,(SUMPRODUCT((('CASE MASTER'!$T$2:$T$495=3)*('CASE MASTER'!$AA$2:$AA$495&lt;=7)*('CASE MASTER'!$AC$2:$AC$495&gt;=7)*('CASE MASTER'!$AB$2:$AB$495&lt;=7)*('CASE MASTER'!$AD$2:$AD$495&gt;=7))*ROW('CASE MASTER'!$T$2:$T$495))-(ROW('CASE MASTER'!#REF!)-1))))+1)))-1)*50+1,50))&amp;"_"&amp;INDEX('CASE MASTER'!$Q$2:$Q$495,(SUMPRODUCT((('CASE MASTER'!$T$2:$T$495=3)*('CASE MASTER'!$AA$2:$AA$495&lt;=7)*('CASE MASTER'!$AC$2:$AC$495&gt;=7)*('CASE MASTER'!$AB$2:$AB$495&lt;=7)*('CASE MASTER'!$AD$2:$AD$495&gt;=7))*ROW('CASE MASTER'!$T$2:$T$495))-(ROW('CASE MASTER'!#REF!)-1))),"")),"")</f>
        <v/>
      </c>
      <c r="I37" s="10" t="str">
        <f>IFERROR(IF(SUMPRODUCT((('CASE MASTER'!$T$2:$T$495=3)*('CASE MASTER'!$U$2:$U$495&lt;=7)*('CASE MASTER'!$W$2:$W$495&gt;=7)*('CASE MASTER'!$V$2:$V$495&lt;=8)*('CASE MASTER'!$X$2:$X$495&gt;=8))*ROW('CASE MASTER'!$T$2:$T$495))&gt;0,INDEX('CASE MASTER'!$Y$2:$Y$495,(SUMPRODUCT((('CASE MASTER'!$T$2:$T$495=3)*('CASE MASTER'!$U$2:$U$495&lt;=7)*('CASE MASTER'!$W$2:$W$495&gt;=7)*('CASE MASTER'!$V$2:$V$495&lt;=8)*('CASE MASTER'!$X$2:$X$495&gt;=8))*ROW('CASE MASTER'!$T$2:$T$495))-(ROW('CASE MASTER'!#REF!)-1)))&amp;TRIM(MID(SUBSTITUTE(SUBSTITUTE(INDEX('CASE MASTER'!$N$2:$N$495,(SUMPRODUCT((('CASE MASTER'!$T$2:$T$495=3)*('CASE MASTER'!$U$2:$U$495&lt;=7)*('CASE MASTER'!$W$2:$W$495&gt;=7)*('CASE MASTER'!$V$2:$V$495&lt;=8)*('CASE MASTER'!$X$2:$X$495&gt;=8))*ROW('CASE MASTER'!$T$2:$T$495))-(ROW('CASE MASTER'!#REF!)-1))),":",","),",",REPT(" ",50)),((((7-INDEX('CASE MASTER'!$U$2:$U$495,(SUMPRODUCT((('CASE MASTER'!$T$2:$T$495=3)*('CASE MASTER'!$U$2:$U$495&lt;=7)*('CASE MASTER'!$W$2:$W$495&gt;=7)*('CASE MASTER'!$V$2:$V$495&lt;=8)*('CASE MASTER'!$X$2:$X$495&gt;=8))*ROW('CASE MASTER'!$T$2:$T$495))-(ROW('CASE MASTER'!#REF!)-1))))*(INDEX('CASE MASTER'!$X$2:$X$495,(SUMPRODUCT((('CASE MASTER'!$T$2:$T$495=3)*('CASE MASTER'!$U$2:$U$495&lt;=7)*('CASE MASTER'!$W$2:$W$495&gt;=7)*('CASE MASTER'!$V$2:$V$495&lt;=8)*('CASE MASTER'!$X$2:$X$495&gt;=8))*ROW('CASE MASTER'!$T$2:$T$495))-(ROW('CASE MASTER'!#REF!)-1)))-INDEX('CASE MASTER'!$V$2:$V$495,(SUMPRODUCT((('CASE MASTER'!$T$2:$T$495=3)*('CASE MASTER'!$U$2:$U$495&lt;=7)*('CASE MASTER'!$W$2:$W$495&gt;=7)*('CASE MASTER'!$V$2:$V$495&lt;=8)*('CASE MASTER'!$X$2:$X$495&gt;=8))*ROW('CASE MASTER'!$T$2:$T$495))-(ROW('CASE MASTER'!#REF!)-1)))+1)+(8-INDEX('CASE MASTER'!$V$2:$V$495,(SUMPRODUCT((('CASE MASTER'!$T$2:$T$495=3)*('CASE MASTER'!$U$2:$U$495&lt;=7)*('CASE MASTER'!$W$2:$W$495&gt;=7)*('CASE MASTER'!$V$2:$V$495&lt;=8)*('CASE MASTER'!$X$2:$X$495&gt;=8))*ROW('CASE MASTER'!$T$2:$T$495))-(ROW('CASE MASTER'!#REF!)-1))))+1))-1)*50+1,50))&amp;"_"&amp;INDEX('CASE MASTER'!$Q$2:$Q$495,(SUMPRODUCT((('CASE MASTER'!$T$2:$T$495=3)*('CASE MASTER'!$U$2:$U$495&lt;=7)*('CASE MASTER'!$W$2:$W$495&gt;=7)*('CASE MASTER'!$V$2:$V$495&lt;=8)*('CASE MASTER'!$X$2:$X$495&gt;=8))*ROW('CASE MASTER'!$T$2:$T$495))-(ROW('CASE MASTER'!#REF!)-1))),IF(SUMPRODUCT((('CASE MASTER'!$T$2:$T$495=3)*('CASE MASTER'!$AA$2:$AA$495&lt;=7)*('CASE MASTER'!$AC$2:$AC$495&gt;=7)*('CASE MASTER'!$AB$2:$AB$495&lt;=8)*('CASE MASTER'!$AD$2:$AD$495&gt;=8))*ROW('CASE MASTER'!$T$2:$T$495))&gt;0,INDEX('CASE MASTER'!$Y$2:$Y$495,(SUMPRODUCT((('CASE MASTER'!$T$2:$T$495=3)*('CASE MASTER'!$AA$2:$AA$495&lt;=7)*('CASE MASTER'!$AC$2:$AC$495&gt;=7)*('CASE MASTER'!$AB$2:$AB$495&lt;=8)*('CASE MASTER'!$AD$2:$AD$495&gt;=8))*ROW('CASE MASTER'!$T$2:$T$495))-(ROW('CASE MASTER'!#REF!)-1)))&amp;TRIM(MID(SUBSTITUTE(SUBSTITUTE(INDEX('CASE MASTER'!$N$2:$N$495,(SUMPRODUCT((('CASE MASTER'!$T$2:$T$495=3)*('CASE MASTER'!$AA$2:$AA$495&lt;=7)*('CASE MASTER'!$AC$2:$AC$495&gt;=7)*('CASE MASTER'!$AB$2:$AB$495&lt;=8)*('CASE MASTER'!$AD$2:$AD$495&gt;=8))*ROW('CASE MASTER'!$T$2:$T$495))-(ROW('CASE MASTER'!#REF!)-1))),":",","),",",REPT(" ",50)),(((INDEX('CASE MASTER'!$Z$2:$Z$495,(SUMPRODUCT((('CASE MASTER'!$T$2:$T$495=3)*('CASE MASTER'!$AA$2:$AA$495&lt;=7)*('CASE MASTER'!$AC$2:$AC$495&gt;=7)*('CASE MASTER'!$AB$2:$AB$495&lt;=8)*('CASE MASTER'!$AD$2:$AD$495&gt;=8))*ROW('CASE MASTER'!$T$2:$T$495))-(ROW('CASE MASTER'!#REF!)-1)))+((7-INDEX('CASE MASTER'!$AA$2:$AA$495,(SUMPRODUCT((('CASE MASTER'!$T$2:$T$495=3)*('CASE MASTER'!$AA$2:$AA$495&lt;=7)*('CASE MASTER'!$AC$2:$AC$495&gt;=7)*('CASE MASTER'!$AB$2:$AB$495&lt;=8)*('CASE MASTER'!$AD$2:$AD$495&gt;=8))*ROW('CASE MASTER'!$T$2:$T$495))-(ROW('CASE MASTER'!#REF!)-1))))*(INDEX('CASE MASTER'!$AD$2:$AD$495,(SUMPRODUCT((('CASE MASTER'!$T$2:$T$495=3)*('CASE MASTER'!$AA$2:$AA$495&lt;=7)*('CASE MASTER'!$AC$2:$AC$495&gt;=7)*('CASE MASTER'!$AB$2:$AB$495&lt;=8)*('CASE MASTER'!$AD$2:$AD$495&gt;=8))*ROW('CASE MASTER'!$T$2:$T$495))-(ROW('CASE MASTER'!#REF!)-1)))-INDEX('CASE MASTER'!$AB$2:$AB$495,(SUMPRODUCT((('CASE MASTER'!$T$2:$T$495=3)*('CASE MASTER'!$AA$2:$AA$495&lt;=7)*('CASE MASTER'!$AC$2:$AC$495&gt;=7)*('CASE MASTER'!$AB$2:$AB$495&lt;=8)*('CASE MASTER'!$AD$2:$AD$495&gt;=8))*ROW('CASE MASTER'!$T$2:$T$495))-(ROW('CASE MASTER'!#REF!)-1)))+1)+(8-INDEX('CASE MASTER'!$AB$2:$AB$495,(SUMPRODUCT((('CASE MASTER'!$T$2:$T$495=3)*('CASE MASTER'!$AA$2:$AA$495&lt;=7)*('CASE MASTER'!$AC$2:$AC$495&gt;=7)*('CASE MASTER'!$AB$2:$AB$495&lt;=8)*('CASE MASTER'!$AD$2:$AD$495&gt;=8))*ROW('CASE MASTER'!$T$2:$T$495))-(ROW('CASE MASTER'!#REF!)-1))))+1)))-1)*50+1,50))&amp;"_"&amp;INDEX('CASE MASTER'!$Q$2:$Q$495,(SUMPRODUCT((('CASE MASTER'!$T$2:$T$495=3)*('CASE MASTER'!$AA$2:$AA$495&lt;=7)*('CASE MASTER'!$AC$2:$AC$495&gt;=7)*('CASE MASTER'!$AB$2:$AB$495&lt;=8)*('CASE MASTER'!$AD$2:$AD$495&gt;=8))*ROW('CASE MASTER'!$T$2:$T$495))-(ROW('CASE MASTER'!#REF!)-1))),"")),"")</f>
        <v/>
      </c>
      <c r="J37" s="10" t="str">
        <f>IFERROR(IF(SUMPRODUCT((('CASE MASTER'!$T$2:$T$495=3)*('CASE MASTER'!$U$2:$U$495&lt;=7)*('CASE MASTER'!$W$2:$W$495&gt;=7)*('CASE MASTER'!$V$2:$V$495&lt;=9)*('CASE MASTER'!$X$2:$X$495&gt;=9))*ROW('CASE MASTER'!$T$2:$T$495))&gt;0,INDEX('CASE MASTER'!$Y$2:$Y$495,(SUMPRODUCT((('CASE MASTER'!$T$2:$T$495=3)*('CASE MASTER'!$U$2:$U$495&lt;=7)*('CASE MASTER'!$W$2:$W$495&gt;=7)*('CASE MASTER'!$V$2:$V$495&lt;=9)*('CASE MASTER'!$X$2:$X$495&gt;=9))*ROW('CASE MASTER'!$T$2:$T$495))-(ROW('CASE MASTER'!#REF!)-1)))&amp;TRIM(MID(SUBSTITUTE(SUBSTITUTE(INDEX('CASE MASTER'!$N$2:$N$495,(SUMPRODUCT((('CASE MASTER'!$T$2:$T$495=3)*('CASE MASTER'!$U$2:$U$495&lt;=7)*('CASE MASTER'!$W$2:$W$495&gt;=7)*('CASE MASTER'!$V$2:$V$495&lt;=9)*('CASE MASTER'!$X$2:$X$495&gt;=9))*ROW('CASE MASTER'!$T$2:$T$495))-(ROW('CASE MASTER'!#REF!)-1))),":",","),",",REPT(" ",50)),((((7-INDEX('CASE MASTER'!$U$2:$U$495,(SUMPRODUCT((('CASE MASTER'!$T$2:$T$495=3)*('CASE MASTER'!$U$2:$U$495&lt;=7)*('CASE MASTER'!$W$2:$W$495&gt;=7)*('CASE MASTER'!$V$2:$V$495&lt;=9)*('CASE MASTER'!$X$2:$X$495&gt;=9))*ROW('CASE MASTER'!$T$2:$T$495))-(ROW('CASE MASTER'!#REF!)-1))))*(INDEX('CASE MASTER'!$X$2:$X$495,(SUMPRODUCT((('CASE MASTER'!$T$2:$T$495=3)*('CASE MASTER'!$U$2:$U$495&lt;=7)*('CASE MASTER'!$W$2:$W$495&gt;=7)*('CASE MASTER'!$V$2:$V$495&lt;=9)*('CASE MASTER'!$X$2:$X$495&gt;=9))*ROW('CASE MASTER'!$T$2:$T$495))-(ROW('CASE MASTER'!#REF!)-1)))-INDEX('CASE MASTER'!$V$2:$V$495,(SUMPRODUCT((('CASE MASTER'!$T$2:$T$495=3)*('CASE MASTER'!$U$2:$U$495&lt;=7)*('CASE MASTER'!$W$2:$W$495&gt;=7)*('CASE MASTER'!$V$2:$V$495&lt;=9)*('CASE MASTER'!$X$2:$X$495&gt;=9))*ROW('CASE MASTER'!$T$2:$T$495))-(ROW('CASE MASTER'!#REF!)-1)))+1)+(9-INDEX('CASE MASTER'!$V$2:$V$495,(SUMPRODUCT((('CASE MASTER'!$T$2:$T$495=3)*('CASE MASTER'!$U$2:$U$495&lt;=7)*('CASE MASTER'!$W$2:$W$495&gt;=7)*('CASE MASTER'!$V$2:$V$495&lt;=9)*('CASE MASTER'!$X$2:$X$495&gt;=9))*ROW('CASE MASTER'!$T$2:$T$495))-(ROW('CASE MASTER'!#REF!)-1))))+1))-1)*50+1,50))&amp;"_"&amp;INDEX('CASE MASTER'!$Q$2:$Q$495,(SUMPRODUCT((('CASE MASTER'!$T$2:$T$495=3)*('CASE MASTER'!$U$2:$U$495&lt;=7)*('CASE MASTER'!$W$2:$W$495&gt;=7)*('CASE MASTER'!$V$2:$V$495&lt;=9)*('CASE MASTER'!$X$2:$X$495&gt;=9))*ROW('CASE MASTER'!$T$2:$T$495))-(ROW('CASE MASTER'!#REF!)-1))),IF(SUMPRODUCT((('CASE MASTER'!$T$2:$T$495=3)*('CASE MASTER'!$AA$2:$AA$495&lt;=7)*('CASE MASTER'!$AC$2:$AC$495&gt;=7)*('CASE MASTER'!$AB$2:$AB$495&lt;=9)*('CASE MASTER'!$AD$2:$AD$495&gt;=9))*ROW('CASE MASTER'!$T$2:$T$495))&gt;0,INDEX('CASE MASTER'!$Y$2:$Y$495,(SUMPRODUCT((('CASE MASTER'!$T$2:$T$495=3)*('CASE MASTER'!$AA$2:$AA$495&lt;=7)*('CASE MASTER'!$AC$2:$AC$495&gt;=7)*('CASE MASTER'!$AB$2:$AB$495&lt;=9)*('CASE MASTER'!$AD$2:$AD$495&gt;=9))*ROW('CASE MASTER'!$T$2:$T$495))-(ROW('CASE MASTER'!#REF!)-1)))&amp;TRIM(MID(SUBSTITUTE(SUBSTITUTE(INDEX('CASE MASTER'!$N$2:$N$495,(SUMPRODUCT((('CASE MASTER'!$T$2:$T$495=3)*('CASE MASTER'!$AA$2:$AA$495&lt;=7)*('CASE MASTER'!$AC$2:$AC$495&gt;=7)*('CASE MASTER'!$AB$2:$AB$495&lt;=9)*('CASE MASTER'!$AD$2:$AD$495&gt;=9))*ROW('CASE MASTER'!$T$2:$T$495))-(ROW('CASE MASTER'!#REF!)-1))),":",","),",",REPT(" ",50)),(((INDEX('CASE MASTER'!$Z$2:$Z$495,(SUMPRODUCT((('CASE MASTER'!$T$2:$T$495=3)*('CASE MASTER'!$AA$2:$AA$495&lt;=7)*('CASE MASTER'!$AC$2:$AC$495&gt;=7)*('CASE MASTER'!$AB$2:$AB$495&lt;=9)*('CASE MASTER'!$AD$2:$AD$495&gt;=9))*ROW('CASE MASTER'!$T$2:$T$495))-(ROW('CASE MASTER'!#REF!)-1)))+((7-INDEX('CASE MASTER'!$AA$2:$AA$495,(SUMPRODUCT((('CASE MASTER'!$T$2:$T$495=3)*('CASE MASTER'!$AA$2:$AA$495&lt;=7)*('CASE MASTER'!$AC$2:$AC$495&gt;=7)*('CASE MASTER'!$AB$2:$AB$495&lt;=9)*('CASE MASTER'!$AD$2:$AD$495&gt;=9))*ROW('CASE MASTER'!$T$2:$T$495))-(ROW('CASE MASTER'!#REF!)-1))))*(INDEX('CASE MASTER'!$AD$2:$AD$495,(SUMPRODUCT((('CASE MASTER'!$T$2:$T$495=3)*('CASE MASTER'!$AA$2:$AA$495&lt;=7)*('CASE MASTER'!$AC$2:$AC$495&gt;=7)*('CASE MASTER'!$AB$2:$AB$495&lt;=9)*('CASE MASTER'!$AD$2:$AD$495&gt;=9))*ROW('CASE MASTER'!$T$2:$T$495))-(ROW('CASE MASTER'!#REF!)-1)))-INDEX('CASE MASTER'!$AB$2:$AB$495,(SUMPRODUCT((('CASE MASTER'!$T$2:$T$495=3)*('CASE MASTER'!$AA$2:$AA$495&lt;=7)*('CASE MASTER'!$AC$2:$AC$495&gt;=7)*('CASE MASTER'!$AB$2:$AB$495&lt;=9)*('CASE MASTER'!$AD$2:$AD$495&gt;=9))*ROW('CASE MASTER'!$T$2:$T$495))-(ROW('CASE MASTER'!#REF!)-1)))+1)+(9-INDEX('CASE MASTER'!$AB$2:$AB$495,(SUMPRODUCT((('CASE MASTER'!$T$2:$T$495=3)*('CASE MASTER'!$AA$2:$AA$495&lt;=7)*('CASE MASTER'!$AC$2:$AC$495&gt;=7)*('CASE MASTER'!$AB$2:$AB$495&lt;=9)*('CASE MASTER'!$AD$2:$AD$495&gt;=9))*ROW('CASE MASTER'!$T$2:$T$495))-(ROW('CASE MASTER'!#REF!)-1))))+1)))-1)*50+1,50))&amp;"_"&amp;INDEX('CASE MASTER'!$Q$2:$Q$495,(SUMPRODUCT((('CASE MASTER'!$T$2:$T$495=3)*('CASE MASTER'!$AA$2:$AA$495&lt;=7)*('CASE MASTER'!$AC$2:$AC$495&gt;=7)*('CASE MASTER'!$AB$2:$AB$495&lt;=9)*('CASE MASTER'!$AD$2:$AD$495&gt;=9))*ROW('CASE MASTER'!$T$2:$T$495))-(ROW('CASE MASTER'!#REF!)-1))),"")),"")</f>
        <v/>
      </c>
      <c r="K37" s="10" t="str">
        <f>IFERROR(IF(SUMPRODUCT((('CASE MASTER'!$T$2:$T$495=3)*('CASE MASTER'!$U$2:$U$495&lt;=7)*('CASE MASTER'!$W$2:$W$495&gt;=7)*('CASE MASTER'!$V$2:$V$495&lt;=10)*('CASE MASTER'!$X$2:$X$495&gt;=10))*ROW('CASE MASTER'!$T$2:$T$495))&gt;0,INDEX('CASE MASTER'!$Y$2:$Y$495,(SUMPRODUCT((('CASE MASTER'!$T$2:$T$495=3)*('CASE MASTER'!$U$2:$U$495&lt;=7)*('CASE MASTER'!$W$2:$W$495&gt;=7)*('CASE MASTER'!$V$2:$V$495&lt;=10)*('CASE MASTER'!$X$2:$X$495&gt;=10))*ROW('CASE MASTER'!$T$2:$T$495))-(ROW('CASE MASTER'!#REF!)-1)))&amp;TRIM(MID(SUBSTITUTE(SUBSTITUTE(INDEX('CASE MASTER'!$N$2:$N$495,(SUMPRODUCT((('CASE MASTER'!$T$2:$T$495=3)*('CASE MASTER'!$U$2:$U$495&lt;=7)*('CASE MASTER'!$W$2:$W$495&gt;=7)*('CASE MASTER'!$V$2:$V$495&lt;=10)*('CASE MASTER'!$X$2:$X$495&gt;=10))*ROW('CASE MASTER'!$T$2:$T$495))-(ROW('CASE MASTER'!#REF!)-1))),":",","),",",REPT(" ",50)),((((7-INDEX('CASE MASTER'!$U$2:$U$495,(SUMPRODUCT((('CASE MASTER'!$T$2:$T$495=3)*('CASE MASTER'!$U$2:$U$495&lt;=7)*('CASE MASTER'!$W$2:$W$495&gt;=7)*('CASE MASTER'!$V$2:$V$495&lt;=10)*('CASE MASTER'!$X$2:$X$495&gt;=10))*ROW('CASE MASTER'!$T$2:$T$495))-(ROW('CASE MASTER'!#REF!)-1))))*(INDEX('CASE MASTER'!$X$2:$X$495,(SUMPRODUCT((('CASE MASTER'!$T$2:$T$495=3)*('CASE MASTER'!$U$2:$U$495&lt;=7)*('CASE MASTER'!$W$2:$W$495&gt;=7)*('CASE MASTER'!$V$2:$V$495&lt;=10)*('CASE MASTER'!$X$2:$X$495&gt;=10))*ROW('CASE MASTER'!$T$2:$T$495))-(ROW('CASE MASTER'!#REF!)-1)))-INDEX('CASE MASTER'!$V$2:$V$495,(SUMPRODUCT((('CASE MASTER'!$T$2:$T$495=3)*('CASE MASTER'!$U$2:$U$495&lt;=7)*('CASE MASTER'!$W$2:$W$495&gt;=7)*('CASE MASTER'!$V$2:$V$495&lt;=10)*('CASE MASTER'!$X$2:$X$495&gt;=10))*ROW('CASE MASTER'!$T$2:$T$495))-(ROW('CASE MASTER'!#REF!)-1)))+1)+(10-INDEX('CASE MASTER'!$V$2:$V$495,(SUMPRODUCT((('CASE MASTER'!$T$2:$T$495=3)*('CASE MASTER'!$U$2:$U$495&lt;=7)*('CASE MASTER'!$W$2:$W$495&gt;=7)*('CASE MASTER'!$V$2:$V$495&lt;=10)*('CASE MASTER'!$X$2:$X$495&gt;=10))*ROW('CASE MASTER'!$T$2:$T$495))-(ROW('CASE MASTER'!#REF!)-1))))+1))-1)*50+1,50))&amp;"_"&amp;INDEX('CASE MASTER'!$Q$2:$Q$495,(SUMPRODUCT((('CASE MASTER'!$T$2:$T$495=3)*('CASE MASTER'!$U$2:$U$495&lt;=7)*('CASE MASTER'!$W$2:$W$495&gt;=7)*('CASE MASTER'!$V$2:$V$495&lt;=10)*('CASE MASTER'!$X$2:$X$495&gt;=10))*ROW('CASE MASTER'!$T$2:$T$495))-(ROW('CASE MASTER'!#REF!)-1))),IF(SUMPRODUCT((('CASE MASTER'!$T$2:$T$495=3)*('CASE MASTER'!$AA$2:$AA$495&lt;=7)*('CASE MASTER'!$AC$2:$AC$495&gt;=7)*('CASE MASTER'!$AB$2:$AB$495&lt;=10)*('CASE MASTER'!$AD$2:$AD$495&gt;=10))*ROW('CASE MASTER'!$T$2:$T$495))&gt;0,INDEX('CASE MASTER'!$Y$2:$Y$495,(SUMPRODUCT((('CASE MASTER'!$T$2:$T$495=3)*('CASE MASTER'!$AA$2:$AA$495&lt;=7)*('CASE MASTER'!$AC$2:$AC$495&gt;=7)*('CASE MASTER'!$AB$2:$AB$495&lt;=10)*('CASE MASTER'!$AD$2:$AD$495&gt;=10))*ROW('CASE MASTER'!$T$2:$T$495))-(ROW('CASE MASTER'!#REF!)-1)))&amp;TRIM(MID(SUBSTITUTE(SUBSTITUTE(INDEX('CASE MASTER'!$N$2:$N$495,(SUMPRODUCT((('CASE MASTER'!$T$2:$T$495=3)*('CASE MASTER'!$AA$2:$AA$495&lt;=7)*('CASE MASTER'!$AC$2:$AC$495&gt;=7)*('CASE MASTER'!$AB$2:$AB$495&lt;=10)*('CASE MASTER'!$AD$2:$AD$495&gt;=10))*ROW('CASE MASTER'!$T$2:$T$495))-(ROW('CASE MASTER'!#REF!)-1))),":",","),",",REPT(" ",50)),(((INDEX('CASE MASTER'!$Z$2:$Z$495,(SUMPRODUCT((('CASE MASTER'!$T$2:$T$495=3)*('CASE MASTER'!$AA$2:$AA$495&lt;=7)*('CASE MASTER'!$AC$2:$AC$495&gt;=7)*('CASE MASTER'!$AB$2:$AB$495&lt;=10)*('CASE MASTER'!$AD$2:$AD$495&gt;=10))*ROW('CASE MASTER'!$T$2:$T$495))-(ROW('CASE MASTER'!#REF!)-1)))+((7-INDEX('CASE MASTER'!$AA$2:$AA$495,(SUMPRODUCT((('CASE MASTER'!$T$2:$T$495=3)*('CASE MASTER'!$AA$2:$AA$495&lt;=7)*('CASE MASTER'!$AC$2:$AC$495&gt;=7)*('CASE MASTER'!$AB$2:$AB$495&lt;=10)*('CASE MASTER'!$AD$2:$AD$495&gt;=10))*ROW('CASE MASTER'!$T$2:$T$495))-(ROW('CASE MASTER'!#REF!)-1))))*(INDEX('CASE MASTER'!$AD$2:$AD$495,(SUMPRODUCT((('CASE MASTER'!$T$2:$T$495=3)*('CASE MASTER'!$AA$2:$AA$495&lt;=7)*('CASE MASTER'!$AC$2:$AC$495&gt;=7)*('CASE MASTER'!$AB$2:$AB$495&lt;=10)*('CASE MASTER'!$AD$2:$AD$495&gt;=10))*ROW('CASE MASTER'!$T$2:$T$495))-(ROW('CASE MASTER'!#REF!)-1)))-INDEX('CASE MASTER'!$AB$2:$AB$495,(SUMPRODUCT((('CASE MASTER'!$T$2:$T$495=3)*('CASE MASTER'!$AA$2:$AA$495&lt;=7)*('CASE MASTER'!$AC$2:$AC$495&gt;=7)*('CASE MASTER'!$AB$2:$AB$495&lt;=10)*('CASE MASTER'!$AD$2:$AD$495&gt;=10))*ROW('CASE MASTER'!$T$2:$T$495))-(ROW('CASE MASTER'!#REF!)-1)))+1)+(10-INDEX('CASE MASTER'!$AB$2:$AB$495,(SUMPRODUCT((('CASE MASTER'!$T$2:$T$495=3)*('CASE MASTER'!$AA$2:$AA$495&lt;=7)*('CASE MASTER'!$AC$2:$AC$495&gt;=7)*('CASE MASTER'!$AB$2:$AB$495&lt;=10)*('CASE MASTER'!$AD$2:$AD$495&gt;=10))*ROW('CASE MASTER'!$T$2:$T$495))-(ROW('CASE MASTER'!#REF!)-1))))+1)))-1)*50+1,50))&amp;"_"&amp;INDEX('CASE MASTER'!$Q$2:$Q$495,(SUMPRODUCT((('CASE MASTER'!$T$2:$T$495=3)*('CASE MASTER'!$AA$2:$AA$495&lt;=7)*('CASE MASTER'!$AC$2:$AC$495&gt;=7)*('CASE MASTER'!$AB$2:$AB$495&lt;=10)*('CASE MASTER'!$AD$2:$AD$495&gt;=10))*ROW('CASE MASTER'!$T$2:$T$495))-(ROW('CASE MASTER'!#REF!)-1))),"")),"")</f>
        <v/>
      </c>
    </row>
    <row r="38" spans="1:11" ht="15" customHeight="1" x14ac:dyDescent="0.35">
      <c r="A38" s="8" t="s">
        <v>35</v>
      </c>
      <c r="B38" s="10" t="str">
        <f>IFERROR(IF(SUMPRODUCT((('CASE MASTER'!$T$2:$T$495=3)*('CASE MASTER'!$U$2:$U$495&lt;=8)*('CASE MASTER'!$W$2:$W$495&gt;=8)*('CASE MASTER'!$V$2:$V$495&lt;=1)*('CASE MASTER'!$X$2:$X$495&gt;=1))*ROW('CASE MASTER'!$T$2:$T$495))&gt;0,INDEX('CASE MASTER'!$Y$2:$Y$495,(SUMPRODUCT((('CASE MASTER'!$T$2:$T$495=3)*('CASE MASTER'!$U$2:$U$495&lt;=8)*('CASE MASTER'!$W$2:$W$495&gt;=8)*('CASE MASTER'!$V$2:$V$495&lt;=1)*('CASE MASTER'!$X$2:$X$495&gt;=1))*ROW('CASE MASTER'!$T$2:$T$495))-(ROW('CASE MASTER'!#REF!)-1)))&amp;TRIM(MID(SUBSTITUTE(SUBSTITUTE(INDEX('CASE MASTER'!$N$2:$N$495,(SUMPRODUCT((('CASE MASTER'!$T$2:$T$495=3)*('CASE MASTER'!$U$2:$U$495&lt;=8)*('CASE MASTER'!$W$2:$W$495&gt;=8)*('CASE MASTER'!$V$2:$V$495&lt;=1)*('CASE MASTER'!$X$2:$X$495&gt;=1))*ROW('CASE MASTER'!$T$2:$T$495))-(ROW('CASE MASTER'!#REF!)-1))),":",","),",",REPT(" ",50)),((((8-INDEX('CASE MASTER'!$U$2:$U$495,(SUMPRODUCT((('CASE MASTER'!$T$2:$T$495=3)*('CASE MASTER'!$U$2:$U$495&lt;=8)*('CASE MASTER'!$W$2:$W$495&gt;=8)*('CASE MASTER'!$V$2:$V$495&lt;=1)*('CASE MASTER'!$X$2:$X$495&gt;=1))*ROW('CASE MASTER'!$T$2:$T$495))-(ROW('CASE MASTER'!#REF!)-1))))*(INDEX('CASE MASTER'!$X$2:$X$495,(SUMPRODUCT((('CASE MASTER'!$T$2:$T$495=3)*('CASE MASTER'!$U$2:$U$495&lt;=8)*('CASE MASTER'!$W$2:$W$495&gt;=8)*('CASE MASTER'!$V$2:$V$495&lt;=1)*('CASE MASTER'!$X$2:$X$495&gt;=1))*ROW('CASE MASTER'!$T$2:$T$495))-(ROW('CASE MASTER'!#REF!)-1)))-INDEX('CASE MASTER'!$V$2:$V$495,(SUMPRODUCT((('CASE MASTER'!$T$2:$T$495=3)*('CASE MASTER'!$U$2:$U$495&lt;=8)*('CASE MASTER'!$W$2:$W$495&gt;=8)*('CASE MASTER'!$V$2:$V$495&lt;=1)*('CASE MASTER'!$X$2:$X$495&gt;=1))*ROW('CASE MASTER'!$T$2:$T$495))-(ROW('CASE MASTER'!#REF!)-1)))+1)+(1-INDEX('CASE MASTER'!$V$2:$V$495,(SUMPRODUCT((('CASE MASTER'!$T$2:$T$495=3)*('CASE MASTER'!$U$2:$U$495&lt;=8)*('CASE MASTER'!$W$2:$W$495&gt;=8)*('CASE MASTER'!$V$2:$V$495&lt;=1)*('CASE MASTER'!$X$2:$X$495&gt;=1))*ROW('CASE MASTER'!$T$2:$T$495))-(ROW('CASE MASTER'!#REF!)-1))))+1))-1)*50+1,50))&amp;"_"&amp;INDEX('CASE MASTER'!$Q$2:$Q$495,(SUMPRODUCT((('CASE MASTER'!$T$2:$T$495=3)*('CASE MASTER'!$U$2:$U$495&lt;=8)*('CASE MASTER'!$W$2:$W$495&gt;=8)*('CASE MASTER'!$V$2:$V$495&lt;=1)*('CASE MASTER'!$X$2:$X$495&gt;=1))*ROW('CASE MASTER'!$T$2:$T$495))-(ROW('CASE MASTER'!#REF!)-1))),IF(SUMPRODUCT((('CASE MASTER'!$T$2:$T$495=3)*('CASE MASTER'!$AA$2:$AA$495&lt;=8)*('CASE MASTER'!$AC$2:$AC$495&gt;=8)*('CASE MASTER'!$AB$2:$AB$495&lt;=1)*('CASE MASTER'!$AD$2:$AD$495&gt;=1))*ROW('CASE MASTER'!$T$2:$T$495))&gt;0,INDEX('CASE MASTER'!$Y$2:$Y$495,(SUMPRODUCT((('CASE MASTER'!$T$2:$T$495=3)*('CASE MASTER'!$AA$2:$AA$495&lt;=8)*('CASE MASTER'!$AC$2:$AC$495&gt;=8)*('CASE MASTER'!$AB$2:$AB$495&lt;=1)*('CASE MASTER'!$AD$2:$AD$495&gt;=1))*ROW('CASE MASTER'!$T$2:$T$495))-(ROW('CASE MASTER'!#REF!)-1)))&amp;TRIM(MID(SUBSTITUTE(SUBSTITUTE(INDEX('CASE MASTER'!$N$2:$N$495,(SUMPRODUCT((('CASE MASTER'!$T$2:$T$495=3)*('CASE MASTER'!$AA$2:$AA$495&lt;=8)*('CASE MASTER'!$AC$2:$AC$495&gt;=8)*('CASE MASTER'!$AB$2:$AB$495&lt;=1)*('CASE MASTER'!$AD$2:$AD$495&gt;=1))*ROW('CASE MASTER'!$T$2:$T$495))-(ROW('CASE MASTER'!#REF!)-1))),":",","),",",REPT(" ",50)),(((INDEX('CASE MASTER'!$Z$2:$Z$495,(SUMPRODUCT((('CASE MASTER'!$T$2:$T$495=3)*('CASE MASTER'!$AA$2:$AA$495&lt;=8)*('CASE MASTER'!$AC$2:$AC$495&gt;=8)*('CASE MASTER'!$AB$2:$AB$495&lt;=1)*('CASE MASTER'!$AD$2:$AD$495&gt;=1))*ROW('CASE MASTER'!$T$2:$T$495))-(ROW('CASE MASTER'!#REF!)-1)))+((8-INDEX('CASE MASTER'!$AA$2:$AA$495,(SUMPRODUCT((('CASE MASTER'!$T$2:$T$495=3)*('CASE MASTER'!$AA$2:$AA$495&lt;=8)*('CASE MASTER'!$AC$2:$AC$495&gt;=8)*('CASE MASTER'!$AB$2:$AB$495&lt;=1)*('CASE MASTER'!$AD$2:$AD$495&gt;=1))*ROW('CASE MASTER'!$T$2:$T$495))-(ROW('CASE MASTER'!#REF!)-1))))*(INDEX('CASE MASTER'!$AD$2:$AD$495,(SUMPRODUCT((('CASE MASTER'!$T$2:$T$495=3)*('CASE MASTER'!$AA$2:$AA$495&lt;=8)*('CASE MASTER'!$AC$2:$AC$495&gt;=8)*('CASE MASTER'!$AB$2:$AB$495&lt;=1)*('CASE MASTER'!$AD$2:$AD$495&gt;=1))*ROW('CASE MASTER'!$T$2:$T$495))-(ROW('CASE MASTER'!#REF!)-1)))-INDEX('CASE MASTER'!$AB$2:$AB$495,(SUMPRODUCT((('CASE MASTER'!$T$2:$T$495=3)*('CASE MASTER'!$AA$2:$AA$495&lt;=8)*('CASE MASTER'!$AC$2:$AC$495&gt;=8)*('CASE MASTER'!$AB$2:$AB$495&lt;=1)*('CASE MASTER'!$AD$2:$AD$495&gt;=1))*ROW('CASE MASTER'!$T$2:$T$495))-(ROW('CASE MASTER'!#REF!)-1)))+1)+(1-INDEX('CASE MASTER'!$AB$2:$AB$495,(SUMPRODUCT((('CASE MASTER'!$T$2:$T$495=3)*('CASE MASTER'!$AA$2:$AA$495&lt;=8)*('CASE MASTER'!$AC$2:$AC$495&gt;=8)*('CASE MASTER'!$AB$2:$AB$495&lt;=1)*('CASE MASTER'!$AD$2:$AD$495&gt;=1))*ROW('CASE MASTER'!$T$2:$T$495))-(ROW('CASE MASTER'!#REF!)-1))))+1)))-1)*50+1,50))&amp;"_"&amp;INDEX('CASE MASTER'!$Q$2:$Q$495,(SUMPRODUCT((('CASE MASTER'!$T$2:$T$495=3)*('CASE MASTER'!$AA$2:$AA$495&lt;=8)*('CASE MASTER'!$AC$2:$AC$495&gt;=8)*('CASE MASTER'!$AB$2:$AB$495&lt;=1)*('CASE MASTER'!$AD$2:$AD$495&gt;=1))*ROW('CASE MASTER'!$T$2:$T$495))-(ROW('CASE MASTER'!#REF!)-1))),"")),"")</f>
        <v/>
      </c>
      <c r="C38" s="10" t="str">
        <f>IFERROR(IF(SUMPRODUCT((('CASE MASTER'!$T$2:$T$495=3)*('CASE MASTER'!$U$2:$U$495&lt;=8)*('CASE MASTER'!$W$2:$W$495&gt;=8)*('CASE MASTER'!$V$2:$V$495&lt;=2)*('CASE MASTER'!$X$2:$X$495&gt;=2))*ROW('CASE MASTER'!$T$2:$T$495))&gt;0,INDEX('CASE MASTER'!$Y$2:$Y$495,(SUMPRODUCT((('CASE MASTER'!$T$2:$T$495=3)*('CASE MASTER'!$U$2:$U$495&lt;=8)*('CASE MASTER'!$W$2:$W$495&gt;=8)*('CASE MASTER'!$V$2:$V$495&lt;=2)*('CASE MASTER'!$X$2:$X$495&gt;=2))*ROW('CASE MASTER'!$T$2:$T$495))-(ROW('CASE MASTER'!#REF!)-1)))&amp;TRIM(MID(SUBSTITUTE(SUBSTITUTE(INDEX('CASE MASTER'!$N$2:$N$495,(SUMPRODUCT((('CASE MASTER'!$T$2:$T$495=3)*('CASE MASTER'!$U$2:$U$495&lt;=8)*('CASE MASTER'!$W$2:$W$495&gt;=8)*('CASE MASTER'!$V$2:$V$495&lt;=2)*('CASE MASTER'!$X$2:$X$495&gt;=2))*ROW('CASE MASTER'!$T$2:$T$495))-(ROW('CASE MASTER'!#REF!)-1))),":",","),",",REPT(" ",50)),((((8-INDEX('CASE MASTER'!$U$2:$U$495,(SUMPRODUCT((('CASE MASTER'!$T$2:$T$495=3)*('CASE MASTER'!$U$2:$U$495&lt;=8)*('CASE MASTER'!$W$2:$W$495&gt;=8)*('CASE MASTER'!$V$2:$V$495&lt;=2)*('CASE MASTER'!$X$2:$X$495&gt;=2))*ROW('CASE MASTER'!$T$2:$T$495))-(ROW('CASE MASTER'!#REF!)-1))))*(INDEX('CASE MASTER'!$X$2:$X$495,(SUMPRODUCT((('CASE MASTER'!$T$2:$T$495=3)*('CASE MASTER'!$U$2:$U$495&lt;=8)*('CASE MASTER'!$W$2:$W$495&gt;=8)*('CASE MASTER'!$V$2:$V$495&lt;=2)*('CASE MASTER'!$X$2:$X$495&gt;=2))*ROW('CASE MASTER'!$T$2:$T$495))-(ROW('CASE MASTER'!#REF!)-1)))-INDEX('CASE MASTER'!$V$2:$V$495,(SUMPRODUCT((('CASE MASTER'!$T$2:$T$495=3)*('CASE MASTER'!$U$2:$U$495&lt;=8)*('CASE MASTER'!$W$2:$W$495&gt;=8)*('CASE MASTER'!$V$2:$V$495&lt;=2)*('CASE MASTER'!$X$2:$X$495&gt;=2))*ROW('CASE MASTER'!$T$2:$T$495))-(ROW('CASE MASTER'!#REF!)-1)))+1)+(2-INDEX('CASE MASTER'!$V$2:$V$495,(SUMPRODUCT((('CASE MASTER'!$T$2:$T$495=3)*('CASE MASTER'!$U$2:$U$495&lt;=8)*('CASE MASTER'!$W$2:$W$495&gt;=8)*('CASE MASTER'!$V$2:$V$495&lt;=2)*('CASE MASTER'!$X$2:$X$495&gt;=2))*ROW('CASE MASTER'!$T$2:$T$495))-(ROW('CASE MASTER'!#REF!)-1))))+1))-1)*50+1,50))&amp;"_"&amp;INDEX('CASE MASTER'!$Q$2:$Q$495,(SUMPRODUCT((('CASE MASTER'!$T$2:$T$495=3)*('CASE MASTER'!$U$2:$U$495&lt;=8)*('CASE MASTER'!$W$2:$W$495&gt;=8)*('CASE MASTER'!$V$2:$V$495&lt;=2)*('CASE MASTER'!$X$2:$X$495&gt;=2))*ROW('CASE MASTER'!$T$2:$T$495))-(ROW('CASE MASTER'!#REF!)-1))),IF(SUMPRODUCT((('CASE MASTER'!$T$2:$T$495=3)*('CASE MASTER'!$AA$2:$AA$495&lt;=8)*('CASE MASTER'!$AC$2:$AC$495&gt;=8)*('CASE MASTER'!$AB$2:$AB$495&lt;=2)*('CASE MASTER'!$AD$2:$AD$495&gt;=2))*ROW('CASE MASTER'!$T$2:$T$495))&gt;0,INDEX('CASE MASTER'!$Y$2:$Y$495,(SUMPRODUCT((('CASE MASTER'!$T$2:$T$495=3)*('CASE MASTER'!$AA$2:$AA$495&lt;=8)*('CASE MASTER'!$AC$2:$AC$495&gt;=8)*('CASE MASTER'!$AB$2:$AB$495&lt;=2)*('CASE MASTER'!$AD$2:$AD$495&gt;=2))*ROW('CASE MASTER'!$T$2:$T$495))-(ROW('CASE MASTER'!#REF!)-1)))&amp;TRIM(MID(SUBSTITUTE(SUBSTITUTE(INDEX('CASE MASTER'!$N$2:$N$495,(SUMPRODUCT((('CASE MASTER'!$T$2:$T$495=3)*('CASE MASTER'!$AA$2:$AA$495&lt;=8)*('CASE MASTER'!$AC$2:$AC$495&gt;=8)*('CASE MASTER'!$AB$2:$AB$495&lt;=2)*('CASE MASTER'!$AD$2:$AD$495&gt;=2))*ROW('CASE MASTER'!$T$2:$T$495))-(ROW('CASE MASTER'!#REF!)-1))),":",","),",",REPT(" ",50)),(((INDEX('CASE MASTER'!$Z$2:$Z$495,(SUMPRODUCT((('CASE MASTER'!$T$2:$T$495=3)*('CASE MASTER'!$AA$2:$AA$495&lt;=8)*('CASE MASTER'!$AC$2:$AC$495&gt;=8)*('CASE MASTER'!$AB$2:$AB$495&lt;=2)*('CASE MASTER'!$AD$2:$AD$495&gt;=2))*ROW('CASE MASTER'!$T$2:$T$495))-(ROW('CASE MASTER'!#REF!)-1)))+((8-INDEX('CASE MASTER'!$AA$2:$AA$495,(SUMPRODUCT((('CASE MASTER'!$T$2:$T$495=3)*('CASE MASTER'!$AA$2:$AA$495&lt;=8)*('CASE MASTER'!$AC$2:$AC$495&gt;=8)*('CASE MASTER'!$AB$2:$AB$495&lt;=2)*('CASE MASTER'!$AD$2:$AD$495&gt;=2))*ROW('CASE MASTER'!$T$2:$T$495))-(ROW('CASE MASTER'!#REF!)-1))))*(INDEX('CASE MASTER'!$AD$2:$AD$495,(SUMPRODUCT((('CASE MASTER'!$T$2:$T$495=3)*('CASE MASTER'!$AA$2:$AA$495&lt;=8)*('CASE MASTER'!$AC$2:$AC$495&gt;=8)*('CASE MASTER'!$AB$2:$AB$495&lt;=2)*('CASE MASTER'!$AD$2:$AD$495&gt;=2))*ROW('CASE MASTER'!$T$2:$T$495))-(ROW('CASE MASTER'!#REF!)-1)))-INDEX('CASE MASTER'!$AB$2:$AB$495,(SUMPRODUCT((('CASE MASTER'!$T$2:$T$495=3)*('CASE MASTER'!$AA$2:$AA$495&lt;=8)*('CASE MASTER'!$AC$2:$AC$495&gt;=8)*('CASE MASTER'!$AB$2:$AB$495&lt;=2)*('CASE MASTER'!$AD$2:$AD$495&gt;=2))*ROW('CASE MASTER'!$T$2:$T$495))-(ROW('CASE MASTER'!#REF!)-1)))+1)+(2-INDEX('CASE MASTER'!$AB$2:$AB$495,(SUMPRODUCT((('CASE MASTER'!$T$2:$T$495=3)*('CASE MASTER'!$AA$2:$AA$495&lt;=8)*('CASE MASTER'!$AC$2:$AC$495&gt;=8)*('CASE MASTER'!$AB$2:$AB$495&lt;=2)*('CASE MASTER'!$AD$2:$AD$495&gt;=2))*ROW('CASE MASTER'!$T$2:$T$495))-(ROW('CASE MASTER'!#REF!)-1))))+1)))-1)*50+1,50))&amp;"_"&amp;INDEX('CASE MASTER'!$Q$2:$Q$495,(SUMPRODUCT((('CASE MASTER'!$T$2:$T$495=3)*('CASE MASTER'!$AA$2:$AA$495&lt;=8)*('CASE MASTER'!$AC$2:$AC$495&gt;=8)*('CASE MASTER'!$AB$2:$AB$495&lt;=2)*('CASE MASTER'!$AD$2:$AD$495&gt;=2))*ROW('CASE MASTER'!$T$2:$T$495))-(ROW('CASE MASTER'!#REF!)-1))),"")),"")</f>
        <v/>
      </c>
      <c r="D38" s="10" t="str">
        <f>IFERROR(IF(SUMPRODUCT((('CASE MASTER'!$T$2:$T$495=3)*('CASE MASTER'!$U$2:$U$495&lt;=8)*('CASE MASTER'!$W$2:$W$495&gt;=8)*('CASE MASTER'!$V$2:$V$495&lt;=3)*('CASE MASTER'!$X$2:$X$495&gt;=3))*ROW('CASE MASTER'!$T$2:$T$495))&gt;0,INDEX('CASE MASTER'!$Y$2:$Y$495,(SUMPRODUCT((('CASE MASTER'!$T$2:$T$495=3)*('CASE MASTER'!$U$2:$U$495&lt;=8)*('CASE MASTER'!$W$2:$W$495&gt;=8)*('CASE MASTER'!$V$2:$V$495&lt;=3)*('CASE MASTER'!$X$2:$X$495&gt;=3))*ROW('CASE MASTER'!$T$2:$T$495))-(ROW('CASE MASTER'!#REF!)-1)))&amp;TRIM(MID(SUBSTITUTE(SUBSTITUTE(INDEX('CASE MASTER'!$N$2:$N$495,(SUMPRODUCT((('CASE MASTER'!$T$2:$T$495=3)*('CASE MASTER'!$U$2:$U$495&lt;=8)*('CASE MASTER'!$W$2:$W$495&gt;=8)*('CASE MASTER'!$V$2:$V$495&lt;=3)*('CASE MASTER'!$X$2:$X$495&gt;=3))*ROW('CASE MASTER'!$T$2:$T$495))-(ROW('CASE MASTER'!#REF!)-1))),":",","),",",REPT(" ",50)),((((8-INDEX('CASE MASTER'!$U$2:$U$495,(SUMPRODUCT((('CASE MASTER'!$T$2:$T$495=3)*('CASE MASTER'!$U$2:$U$495&lt;=8)*('CASE MASTER'!$W$2:$W$495&gt;=8)*('CASE MASTER'!$V$2:$V$495&lt;=3)*('CASE MASTER'!$X$2:$X$495&gt;=3))*ROW('CASE MASTER'!$T$2:$T$495))-(ROW('CASE MASTER'!#REF!)-1))))*(INDEX('CASE MASTER'!$X$2:$X$495,(SUMPRODUCT((('CASE MASTER'!$T$2:$T$495=3)*('CASE MASTER'!$U$2:$U$495&lt;=8)*('CASE MASTER'!$W$2:$W$495&gt;=8)*('CASE MASTER'!$V$2:$V$495&lt;=3)*('CASE MASTER'!$X$2:$X$495&gt;=3))*ROW('CASE MASTER'!$T$2:$T$495))-(ROW('CASE MASTER'!#REF!)-1)))-INDEX('CASE MASTER'!$V$2:$V$495,(SUMPRODUCT((('CASE MASTER'!$T$2:$T$495=3)*('CASE MASTER'!$U$2:$U$495&lt;=8)*('CASE MASTER'!$W$2:$W$495&gt;=8)*('CASE MASTER'!$V$2:$V$495&lt;=3)*('CASE MASTER'!$X$2:$X$495&gt;=3))*ROW('CASE MASTER'!$T$2:$T$495))-(ROW('CASE MASTER'!#REF!)-1)))+1)+(3-INDEX('CASE MASTER'!$V$2:$V$495,(SUMPRODUCT((('CASE MASTER'!$T$2:$T$495=3)*('CASE MASTER'!$U$2:$U$495&lt;=8)*('CASE MASTER'!$W$2:$W$495&gt;=8)*('CASE MASTER'!$V$2:$V$495&lt;=3)*('CASE MASTER'!$X$2:$X$495&gt;=3))*ROW('CASE MASTER'!$T$2:$T$495))-(ROW('CASE MASTER'!#REF!)-1))))+1))-1)*50+1,50))&amp;"_"&amp;INDEX('CASE MASTER'!$Q$2:$Q$495,(SUMPRODUCT((('CASE MASTER'!$T$2:$T$495=3)*('CASE MASTER'!$U$2:$U$495&lt;=8)*('CASE MASTER'!$W$2:$W$495&gt;=8)*('CASE MASTER'!$V$2:$V$495&lt;=3)*('CASE MASTER'!$X$2:$X$495&gt;=3))*ROW('CASE MASTER'!$T$2:$T$495))-(ROW('CASE MASTER'!#REF!)-1))),IF(SUMPRODUCT((('CASE MASTER'!$T$2:$T$495=3)*('CASE MASTER'!$AA$2:$AA$495&lt;=8)*('CASE MASTER'!$AC$2:$AC$495&gt;=8)*('CASE MASTER'!$AB$2:$AB$495&lt;=3)*('CASE MASTER'!$AD$2:$AD$495&gt;=3))*ROW('CASE MASTER'!$T$2:$T$495))&gt;0,INDEX('CASE MASTER'!$Y$2:$Y$495,(SUMPRODUCT((('CASE MASTER'!$T$2:$T$495=3)*('CASE MASTER'!$AA$2:$AA$495&lt;=8)*('CASE MASTER'!$AC$2:$AC$495&gt;=8)*('CASE MASTER'!$AB$2:$AB$495&lt;=3)*('CASE MASTER'!$AD$2:$AD$495&gt;=3))*ROW('CASE MASTER'!$T$2:$T$495))-(ROW('CASE MASTER'!#REF!)-1)))&amp;TRIM(MID(SUBSTITUTE(SUBSTITUTE(INDEX('CASE MASTER'!$N$2:$N$495,(SUMPRODUCT((('CASE MASTER'!$T$2:$T$495=3)*('CASE MASTER'!$AA$2:$AA$495&lt;=8)*('CASE MASTER'!$AC$2:$AC$495&gt;=8)*('CASE MASTER'!$AB$2:$AB$495&lt;=3)*('CASE MASTER'!$AD$2:$AD$495&gt;=3))*ROW('CASE MASTER'!$T$2:$T$495))-(ROW('CASE MASTER'!#REF!)-1))),":",","),",",REPT(" ",50)),(((INDEX('CASE MASTER'!$Z$2:$Z$495,(SUMPRODUCT((('CASE MASTER'!$T$2:$T$495=3)*('CASE MASTER'!$AA$2:$AA$495&lt;=8)*('CASE MASTER'!$AC$2:$AC$495&gt;=8)*('CASE MASTER'!$AB$2:$AB$495&lt;=3)*('CASE MASTER'!$AD$2:$AD$495&gt;=3))*ROW('CASE MASTER'!$T$2:$T$495))-(ROW('CASE MASTER'!#REF!)-1)))+((8-INDEX('CASE MASTER'!$AA$2:$AA$495,(SUMPRODUCT((('CASE MASTER'!$T$2:$T$495=3)*('CASE MASTER'!$AA$2:$AA$495&lt;=8)*('CASE MASTER'!$AC$2:$AC$495&gt;=8)*('CASE MASTER'!$AB$2:$AB$495&lt;=3)*('CASE MASTER'!$AD$2:$AD$495&gt;=3))*ROW('CASE MASTER'!$T$2:$T$495))-(ROW('CASE MASTER'!#REF!)-1))))*(INDEX('CASE MASTER'!$AD$2:$AD$495,(SUMPRODUCT((('CASE MASTER'!$T$2:$T$495=3)*('CASE MASTER'!$AA$2:$AA$495&lt;=8)*('CASE MASTER'!$AC$2:$AC$495&gt;=8)*('CASE MASTER'!$AB$2:$AB$495&lt;=3)*('CASE MASTER'!$AD$2:$AD$495&gt;=3))*ROW('CASE MASTER'!$T$2:$T$495))-(ROW('CASE MASTER'!#REF!)-1)))-INDEX('CASE MASTER'!$AB$2:$AB$495,(SUMPRODUCT((('CASE MASTER'!$T$2:$T$495=3)*('CASE MASTER'!$AA$2:$AA$495&lt;=8)*('CASE MASTER'!$AC$2:$AC$495&gt;=8)*('CASE MASTER'!$AB$2:$AB$495&lt;=3)*('CASE MASTER'!$AD$2:$AD$495&gt;=3))*ROW('CASE MASTER'!$T$2:$T$495))-(ROW('CASE MASTER'!#REF!)-1)))+1)+(3-INDEX('CASE MASTER'!$AB$2:$AB$495,(SUMPRODUCT((('CASE MASTER'!$T$2:$T$495=3)*('CASE MASTER'!$AA$2:$AA$495&lt;=8)*('CASE MASTER'!$AC$2:$AC$495&gt;=8)*('CASE MASTER'!$AB$2:$AB$495&lt;=3)*('CASE MASTER'!$AD$2:$AD$495&gt;=3))*ROW('CASE MASTER'!$T$2:$T$495))-(ROW('CASE MASTER'!#REF!)-1))))+1)))-1)*50+1,50))&amp;"_"&amp;INDEX('CASE MASTER'!$Q$2:$Q$495,(SUMPRODUCT((('CASE MASTER'!$T$2:$T$495=3)*('CASE MASTER'!$AA$2:$AA$495&lt;=8)*('CASE MASTER'!$AC$2:$AC$495&gt;=8)*('CASE MASTER'!$AB$2:$AB$495&lt;=3)*('CASE MASTER'!$AD$2:$AD$495&gt;=3))*ROW('CASE MASTER'!$T$2:$T$495))-(ROW('CASE MASTER'!#REF!)-1))),"")),"")</f>
        <v/>
      </c>
      <c r="E38" s="10" t="str">
        <f>IFERROR(IF(SUMPRODUCT((('CASE MASTER'!$T$2:$T$495=3)*('CASE MASTER'!$U$2:$U$495&lt;=8)*('CASE MASTER'!$W$2:$W$495&gt;=8)*('CASE MASTER'!$V$2:$V$495&lt;=4)*('CASE MASTER'!$X$2:$X$495&gt;=4))*ROW('CASE MASTER'!$T$2:$T$495))&gt;0,INDEX('CASE MASTER'!$Y$2:$Y$495,(SUMPRODUCT((('CASE MASTER'!$T$2:$T$495=3)*('CASE MASTER'!$U$2:$U$495&lt;=8)*('CASE MASTER'!$W$2:$W$495&gt;=8)*('CASE MASTER'!$V$2:$V$495&lt;=4)*('CASE MASTER'!$X$2:$X$495&gt;=4))*ROW('CASE MASTER'!$T$2:$T$495))-(ROW('CASE MASTER'!#REF!)-1)))&amp;TRIM(MID(SUBSTITUTE(SUBSTITUTE(INDEX('CASE MASTER'!$N$2:$N$495,(SUMPRODUCT((('CASE MASTER'!$T$2:$T$495=3)*('CASE MASTER'!$U$2:$U$495&lt;=8)*('CASE MASTER'!$W$2:$W$495&gt;=8)*('CASE MASTER'!$V$2:$V$495&lt;=4)*('CASE MASTER'!$X$2:$X$495&gt;=4))*ROW('CASE MASTER'!$T$2:$T$495))-(ROW('CASE MASTER'!#REF!)-1))),":",","),",",REPT(" ",50)),((((8-INDEX('CASE MASTER'!$U$2:$U$495,(SUMPRODUCT((('CASE MASTER'!$T$2:$T$495=3)*('CASE MASTER'!$U$2:$U$495&lt;=8)*('CASE MASTER'!$W$2:$W$495&gt;=8)*('CASE MASTER'!$V$2:$V$495&lt;=4)*('CASE MASTER'!$X$2:$X$495&gt;=4))*ROW('CASE MASTER'!$T$2:$T$495))-(ROW('CASE MASTER'!#REF!)-1))))*(INDEX('CASE MASTER'!$X$2:$X$495,(SUMPRODUCT((('CASE MASTER'!$T$2:$T$495=3)*('CASE MASTER'!$U$2:$U$495&lt;=8)*('CASE MASTER'!$W$2:$W$495&gt;=8)*('CASE MASTER'!$V$2:$V$495&lt;=4)*('CASE MASTER'!$X$2:$X$495&gt;=4))*ROW('CASE MASTER'!$T$2:$T$495))-(ROW('CASE MASTER'!#REF!)-1)))-INDEX('CASE MASTER'!$V$2:$V$495,(SUMPRODUCT((('CASE MASTER'!$T$2:$T$495=3)*('CASE MASTER'!$U$2:$U$495&lt;=8)*('CASE MASTER'!$W$2:$W$495&gt;=8)*('CASE MASTER'!$V$2:$V$495&lt;=4)*('CASE MASTER'!$X$2:$X$495&gt;=4))*ROW('CASE MASTER'!$T$2:$T$495))-(ROW('CASE MASTER'!#REF!)-1)))+1)+(4-INDEX('CASE MASTER'!$V$2:$V$495,(SUMPRODUCT((('CASE MASTER'!$T$2:$T$495=3)*('CASE MASTER'!$U$2:$U$495&lt;=8)*('CASE MASTER'!$W$2:$W$495&gt;=8)*('CASE MASTER'!$V$2:$V$495&lt;=4)*('CASE MASTER'!$X$2:$X$495&gt;=4))*ROW('CASE MASTER'!$T$2:$T$495))-(ROW('CASE MASTER'!#REF!)-1))))+1))-1)*50+1,50))&amp;"_"&amp;INDEX('CASE MASTER'!$Q$2:$Q$495,(SUMPRODUCT((('CASE MASTER'!$T$2:$T$495=3)*('CASE MASTER'!$U$2:$U$495&lt;=8)*('CASE MASTER'!$W$2:$W$495&gt;=8)*('CASE MASTER'!$V$2:$V$495&lt;=4)*('CASE MASTER'!$X$2:$X$495&gt;=4))*ROW('CASE MASTER'!$T$2:$T$495))-(ROW('CASE MASTER'!#REF!)-1))),IF(SUMPRODUCT((('CASE MASTER'!$T$2:$T$495=3)*('CASE MASTER'!$AA$2:$AA$495&lt;=8)*('CASE MASTER'!$AC$2:$AC$495&gt;=8)*('CASE MASTER'!$AB$2:$AB$495&lt;=4)*('CASE MASTER'!$AD$2:$AD$495&gt;=4))*ROW('CASE MASTER'!$T$2:$T$495))&gt;0,INDEX('CASE MASTER'!$Y$2:$Y$495,(SUMPRODUCT((('CASE MASTER'!$T$2:$T$495=3)*('CASE MASTER'!$AA$2:$AA$495&lt;=8)*('CASE MASTER'!$AC$2:$AC$495&gt;=8)*('CASE MASTER'!$AB$2:$AB$495&lt;=4)*('CASE MASTER'!$AD$2:$AD$495&gt;=4))*ROW('CASE MASTER'!$T$2:$T$495))-(ROW('CASE MASTER'!#REF!)-1)))&amp;TRIM(MID(SUBSTITUTE(SUBSTITUTE(INDEX('CASE MASTER'!$N$2:$N$495,(SUMPRODUCT((('CASE MASTER'!$T$2:$T$495=3)*('CASE MASTER'!$AA$2:$AA$495&lt;=8)*('CASE MASTER'!$AC$2:$AC$495&gt;=8)*('CASE MASTER'!$AB$2:$AB$495&lt;=4)*('CASE MASTER'!$AD$2:$AD$495&gt;=4))*ROW('CASE MASTER'!$T$2:$T$495))-(ROW('CASE MASTER'!#REF!)-1))),":",","),",",REPT(" ",50)),(((INDEX('CASE MASTER'!$Z$2:$Z$495,(SUMPRODUCT((('CASE MASTER'!$T$2:$T$495=3)*('CASE MASTER'!$AA$2:$AA$495&lt;=8)*('CASE MASTER'!$AC$2:$AC$495&gt;=8)*('CASE MASTER'!$AB$2:$AB$495&lt;=4)*('CASE MASTER'!$AD$2:$AD$495&gt;=4))*ROW('CASE MASTER'!$T$2:$T$495))-(ROW('CASE MASTER'!#REF!)-1)))+((8-INDEX('CASE MASTER'!$AA$2:$AA$495,(SUMPRODUCT((('CASE MASTER'!$T$2:$T$495=3)*('CASE MASTER'!$AA$2:$AA$495&lt;=8)*('CASE MASTER'!$AC$2:$AC$495&gt;=8)*('CASE MASTER'!$AB$2:$AB$495&lt;=4)*('CASE MASTER'!$AD$2:$AD$495&gt;=4))*ROW('CASE MASTER'!$T$2:$T$495))-(ROW('CASE MASTER'!#REF!)-1))))*(INDEX('CASE MASTER'!$AD$2:$AD$495,(SUMPRODUCT((('CASE MASTER'!$T$2:$T$495=3)*('CASE MASTER'!$AA$2:$AA$495&lt;=8)*('CASE MASTER'!$AC$2:$AC$495&gt;=8)*('CASE MASTER'!$AB$2:$AB$495&lt;=4)*('CASE MASTER'!$AD$2:$AD$495&gt;=4))*ROW('CASE MASTER'!$T$2:$T$495))-(ROW('CASE MASTER'!#REF!)-1)))-INDEX('CASE MASTER'!$AB$2:$AB$495,(SUMPRODUCT((('CASE MASTER'!$T$2:$T$495=3)*('CASE MASTER'!$AA$2:$AA$495&lt;=8)*('CASE MASTER'!$AC$2:$AC$495&gt;=8)*('CASE MASTER'!$AB$2:$AB$495&lt;=4)*('CASE MASTER'!$AD$2:$AD$495&gt;=4))*ROW('CASE MASTER'!$T$2:$T$495))-(ROW('CASE MASTER'!#REF!)-1)))+1)+(4-INDEX('CASE MASTER'!$AB$2:$AB$495,(SUMPRODUCT((('CASE MASTER'!$T$2:$T$495=3)*('CASE MASTER'!$AA$2:$AA$495&lt;=8)*('CASE MASTER'!$AC$2:$AC$495&gt;=8)*('CASE MASTER'!$AB$2:$AB$495&lt;=4)*('CASE MASTER'!$AD$2:$AD$495&gt;=4))*ROW('CASE MASTER'!$T$2:$T$495))-(ROW('CASE MASTER'!#REF!)-1))))+1)))-1)*50+1,50))&amp;"_"&amp;INDEX('CASE MASTER'!$Q$2:$Q$495,(SUMPRODUCT((('CASE MASTER'!$T$2:$T$495=3)*('CASE MASTER'!$AA$2:$AA$495&lt;=8)*('CASE MASTER'!$AC$2:$AC$495&gt;=8)*('CASE MASTER'!$AB$2:$AB$495&lt;=4)*('CASE MASTER'!$AD$2:$AD$495&gt;=4))*ROW('CASE MASTER'!$T$2:$T$495))-(ROW('CASE MASTER'!#REF!)-1))),"")),"")</f>
        <v/>
      </c>
      <c r="F38" s="10" t="str">
        <f>IFERROR(IF(SUMPRODUCT((('CASE MASTER'!$T$2:$T$495=3)*('CASE MASTER'!$U$2:$U$495&lt;=8)*('CASE MASTER'!$W$2:$W$495&gt;=8)*('CASE MASTER'!$V$2:$V$495&lt;=5)*('CASE MASTER'!$X$2:$X$495&gt;=5))*ROW('CASE MASTER'!$T$2:$T$495))&gt;0,INDEX('CASE MASTER'!$Y$2:$Y$495,(SUMPRODUCT((('CASE MASTER'!$T$2:$T$495=3)*('CASE MASTER'!$U$2:$U$495&lt;=8)*('CASE MASTER'!$W$2:$W$495&gt;=8)*('CASE MASTER'!$V$2:$V$495&lt;=5)*('CASE MASTER'!$X$2:$X$495&gt;=5))*ROW('CASE MASTER'!$T$2:$T$495))-(ROW('CASE MASTER'!#REF!)-1)))&amp;TRIM(MID(SUBSTITUTE(SUBSTITUTE(INDEX('CASE MASTER'!$N$2:$N$495,(SUMPRODUCT((('CASE MASTER'!$T$2:$T$495=3)*('CASE MASTER'!$U$2:$U$495&lt;=8)*('CASE MASTER'!$W$2:$W$495&gt;=8)*('CASE MASTER'!$V$2:$V$495&lt;=5)*('CASE MASTER'!$X$2:$X$495&gt;=5))*ROW('CASE MASTER'!$T$2:$T$495))-(ROW('CASE MASTER'!#REF!)-1))),":",","),",",REPT(" ",50)),((((8-INDEX('CASE MASTER'!$U$2:$U$495,(SUMPRODUCT((('CASE MASTER'!$T$2:$T$495=3)*('CASE MASTER'!$U$2:$U$495&lt;=8)*('CASE MASTER'!$W$2:$W$495&gt;=8)*('CASE MASTER'!$V$2:$V$495&lt;=5)*('CASE MASTER'!$X$2:$X$495&gt;=5))*ROW('CASE MASTER'!$T$2:$T$495))-(ROW('CASE MASTER'!#REF!)-1))))*(INDEX('CASE MASTER'!$X$2:$X$495,(SUMPRODUCT((('CASE MASTER'!$T$2:$T$495=3)*('CASE MASTER'!$U$2:$U$495&lt;=8)*('CASE MASTER'!$W$2:$W$495&gt;=8)*('CASE MASTER'!$V$2:$V$495&lt;=5)*('CASE MASTER'!$X$2:$X$495&gt;=5))*ROW('CASE MASTER'!$T$2:$T$495))-(ROW('CASE MASTER'!#REF!)-1)))-INDEX('CASE MASTER'!$V$2:$V$495,(SUMPRODUCT((('CASE MASTER'!$T$2:$T$495=3)*('CASE MASTER'!$U$2:$U$495&lt;=8)*('CASE MASTER'!$W$2:$W$495&gt;=8)*('CASE MASTER'!$V$2:$V$495&lt;=5)*('CASE MASTER'!$X$2:$X$495&gt;=5))*ROW('CASE MASTER'!$T$2:$T$495))-(ROW('CASE MASTER'!#REF!)-1)))+1)+(5-INDEX('CASE MASTER'!$V$2:$V$495,(SUMPRODUCT((('CASE MASTER'!$T$2:$T$495=3)*('CASE MASTER'!$U$2:$U$495&lt;=8)*('CASE MASTER'!$W$2:$W$495&gt;=8)*('CASE MASTER'!$V$2:$V$495&lt;=5)*('CASE MASTER'!$X$2:$X$495&gt;=5))*ROW('CASE MASTER'!$T$2:$T$495))-(ROW('CASE MASTER'!#REF!)-1))))+1))-1)*50+1,50))&amp;"_"&amp;INDEX('CASE MASTER'!$Q$2:$Q$495,(SUMPRODUCT((('CASE MASTER'!$T$2:$T$495=3)*('CASE MASTER'!$U$2:$U$495&lt;=8)*('CASE MASTER'!$W$2:$W$495&gt;=8)*('CASE MASTER'!$V$2:$V$495&lt;=5)*('CASE MASTER'!$X$2:$X$495&gt;=5))*ROW('CASE MASTER'!$T$2:$T$495))-(ROW('CASE MASTER'!#REF!)-1))),IF(SUMPRODUCT((('CASE MASTER'!$T$2:$T$495=3)*('CASE MASTER'!$AA$2:$AA$495&lt;=8)*('CASE MASTER'!$AC$2:$AC$495&gt;=8)*('CASE MASTER'!$AB$2:$AB$495&lt;=5)*('CASE MASTER'!$AD$2:$AD$495&gt;=5))*ROW('CASE MASTER'!$T$2:$T$495))&gt;0,INDEX('CASE MASTER'!$Y$2:$Y$495,(SUMPRODUCT((('CASE MASTER'!$T$2:$T$495=3)*('CASE MASTER'!$AA$2:$AA$495&lt;=8)*('CASE MASTER'!$AC$2:$AC$495&gt;=8)*('CASE MASTER'!$AB$2:$AB$495&lt;=5)*('CASE MASTER'!$AD$2:$AD$495&gt;=5))*ROW('CASE MASTER'!$T$2:$T$495))-(ROW('CASE MASTER'!#REF!)-1)))&amp;TRIM(MID(SUBSTITUTE(SUBSTITUTE(INDEX('CASE MASTER'!$N$2:$N$495,(SUMPRODUCT((('CASE MASTER'!$T$2:$T$495=3)*('CASE MASTER'!$AA$2:$AA$495&lt;=8)*('CASE MASTER'!$AC$2:$AC$495&gt;=8)*('CASE MASTER'!$AB$2:$AB$495&lt;=5)*('CASE MASTER'!$AD$2:$AD$495&gt;=5))*ROW('CASE MASTER'!$T$2:$T$495))-(ROW('CASE MASTER'!#REF!)-1))),":",","),",",REPT(" ",50)),(((INDEX('CASE MASTER'!$Z$2:$Z$495,(SUMPRODUCT((('CASE MASTER'!$T$2:$T$495=3)*('CASE MASTER'!$AA$2:$AA$495&lt;=8)*('CASE MASTER'!$AC$2:$AC$495&gt;=8)*('CASE MASTER'!$AB$2:$AB$495&lt;=5)*('CASE MASTER'!$AD$2:$AD$495&gt;=5))*ROW('CASE MASTER'!$T$2:$T$495))-(ROW('CASE MASTER'!#REF!)-1)))+((8-INDEX('CASE MASTER'!$AA$2:$AA$495,(SUMPRODUCT((('CASE MASTER'!$T$2:$T$495=3)*('CASE MASTER'!$AA$2:$AA$495&lt;=8)*('CASE MASTER'!$AC$2:$AC$495&gt;=8)*('CASE MASTER'!$AB$2:$AB$495&lt;=5)*('CASE MASTER'!$AD$2:$AD$495&gt;=5))*ROW('CASE MASTER'!$T$2:$T$495))-(ROW('CASE MASTER'!#REF!)-1))))*(INDEX('CASE MASTER'!$AD$2:$AD$495,(SUMPRODUCT((('CASE MASTER'!$T$2:$T$495=3)*('CASE MASTER'!$AA$2:$AA$495&lt;=8)*('CASE MASTER'!$AC$2:$AC$495&gt;=8)*('CASE MASTER'!$AB$2:$AB$495&lt;=5)*('CASE MASTER'!$AD$2:$AD$495&gt;=5))*ROW('CASE MASTER'!$T$2:$T$495))-(ROW('CASE MASTER'!#REF!)-1)))-INDEX('CASE MASTER'!$AB$2:$AB$495,(SUMPRODUCT((('CASE MASTER'!$T$2:$T$495=3)*('CASE MASTER'!$AA$2:$AA$495&lt;=8)*('CASE MASTER'!$AC$2:$AC$495&gt;=8)*('CASE MASTER'!$AB$2:$AB$495&lt;=5)*('CASE MASTER'!$AD$2:$AD$495&gt;=5))*ROW('CASE MASTER'!$T$2:$T$495))-(ROW('CASE MASTER'!#REF!)-1)))+1)+(5-INDEX('CASE MASTER'!$AB$2:$AB$495,(SUMPRODUCT((('CASE MASTER'!$T$2:$T$495=3)*('CASE MASTER'!$AA$2:$AA$495&lt;=8)*('CASE MASTER'!$AC$2:$AC$495&gt;=8)*('CASE MASTER'!$AB$2:$AB$495&lt;=5)*('CASE MASTER'!$AD$2:$AD$495&gt;=5))*ROW('CASE MASTER'!$T$2:$T$495))-(ROW('CASE MASTER'!#REF!)-1))))+1)))-1)*50+1,50))&amp;"_"&amp;INDEX('CASE MASTER'!$Q$2:$Q$495,(SUMPRODUCT((('CASE MASTER'!$T$2:$T$495=3)*('CASE MASTER'!$AA$2:$AA$495&lt;=8)*('CASE MASTER'!$AC$2:$AC$495&gt;=8)*('CASE MASTER'!$AB$2:$AB$495&lt;=5)*('CASE MASTER'!$AD$2:$AD$495&gt;=5))*ROW('CASE MASTER'!$T$2:$T$495))-(ROW('CASE MASTER'!#REF!)-1))),"")),"")</f>
        <v/>
      </c>
      <c r="G38" s="10" t="str">
        <f>IFERROR(IF(SUMPRODUCT((('CASE MASTER'!$T$2:$T$495=3)*('CASE MASTER'!$U$2:$U$495&lt;=8)*('CASE MASTER'!$W$2:$W$495&gt;=8)*('CASE MASTER'!$V$2:$V$495&lt;=6)*('CASE MASTER'!$X$2:$X$495&gt;=6))*ROW('CASE MASTER'!$T$2:$T$495))&gt;0,INDEX('CASE MASTER'!$Y$2:$Y$495,(SUMPRODUCT((('CASE MASTER'!$T$2:$T$495=3)*('CASE MASTER'!$U$2:$U$495&lt;=8)*('CASE MASTER'!$W$2:$W$495&gt;=8)*('CASE MASTER'!$V$2:$V$495&lt;=6)*('CASE MASTER'!$X$2:$X$495&gt;=6))*ROW('CASE MASTER'!$T$2:$T$495))-(ROW('CASE MASTER'!#REF!)-1)))&amp;TRIM(MID(SUBSTITUTE(SUBSTITUTE(INDEX('CASE MASTER'!$N$2:$N$495,(SUMPRODUCT((('CASE MASTER'!$T$2:$T$495=3)*('CASE MASTER'!$U$2:$U$495&lt;=8)*('CASE MASTER'!$W$2:$W$495&gt;=8)*('CASE MASTER'!$V$2:$V$495&lt;=6)*('CASE MASTER'!$X$2:$X$495&gt;=6))*ROW('CASE MASTER'!$T$2:$T$495))-(ROW('CASE MASTER'!#REF!)-1))),":",","),",",REPT(" ",50)),((((8-INDEX('CASE MASTER'!$U$2:$U$495,(SUMPRODUCT((('CASE MASTER'!$T$2:$T$495=3)*('CASE MASTER'!$U$2:$U$495&lt;=8)*('CASE MASTER'!$W$2:$W$495&gt;=8)*('CASE MASTER'!$V$2:$V$495&lt;=6)*('CASE MASTER'!$X$2:$X$495&gt;=6))*ROW('CASE MASTER'!$T$2:$T$495))-(ROW('CASE MASTER'!#REF!)-1))))*(INDEX('CASE MASTER'!$X$2:$X$495,(SUMPRODUCT((('CASE MASTER'!$T$2:$T$495=3)*('CASE MASTER'!$U$2:$U$495&lt;=8)*('CASE MASTER'!$W$2:$W$495&gt;=8)*('CASE MASTER'!$V$2:$V$495&lt;=6)*('CASE MASTER'!$X$2:$X$495&gt;=6))*ROW('CASE MASTER'!$T$2:$T$495))-(ROW('CASE MASTER'!#REF!)-1)))-INDEX('CASE MASTER'!$V$2:$V$495,(SUMPRODUCT((('CASE MASTER'!$T$2:$T$495=3)*('CASE MASTER'!$U$2:$U$495&lt;=8)*('CASE MASTER'!$W$2:$W$495&gt;=8)*('CASE MASTER'!$V$2:$V$495&lt;=6)*('CASE MASTER'!$X$2:$X$495&gt;=6))*ROW('CASE MASTER'!$T$2:$T$495))-(ROW('CASE MASTER'!#REF!)-1)))+1)+(6-INDEX('CASE MASTER'!$V$2:$V$495,(SUMPRODUCT((('CASE MASTER'!$T$2:$T$495=3)*('CASE MASTER'!$U$2:$U$495&lt;=8)*('CASE MASTER'!$W$2:$W$495&gt;=8)*('CASE MASTER'!$V$2:$V$495&lt;=6)*('CASE MASTER'!$X$2:$X$495&gt;=6))*ROW('CASE MASTER'!$T$2:$T$495))-(ROW('CASE MASTER'!#REF!)-1))))+1))-1)*50+1,50))&amp;"_"&amp;INDEX('CASE MASTER'!$Q$2:$Q$495,(SUMPRODUCT((('CASE MASTER'!$T$2:$T$495=3)*('CASE MASTER'!$U$2:$U$495&lt;=8)*('CASE MASTER'!$W$2:$W$495&gt;=8)*('CASE MASTER'!$V$2:$V$495&lt;=6)*('CASE MASTER'!$X$2:$X$495&gt;=6))*ROW('CASE MASTER'!$T$2:$T$495))-(ROW('CASE MASTER'!#REF!)-1))),IF(SUMPRODUCT((('CASE MASTER'!$T$2:$T$495=3)*('CASE MASTER'!$AA$2:$AA$495&lt;=8)*('CASE MASTER'!$AC$2:$AC$495&gt;=8)*('CASE MASTER'!$AB$2:$AB$495&lt;=6)*('CASE MASTER'!$AD$2:$AD$495&gt;=6))*ROW('CASE MASTER'!$T$2:$T$495))&gt;0,INDEX('CASE MASTER'!$Y$2:$Y$495,(SUMPRODUCT((('CASE MASTER'!$T$2:$T$495=3)*('CASE MASTER'!$AA$2:$AA$495&lt;=8)*('CASE MASTER'!$AC$2:$AC$495&gt;=8)*('CASE MASTER'!$AB$2:$AB$495&lt;=6)*('CASE MASTER'!$AD$2:$AD$495&gt;=6))*ROW('CASE MASTER'!$T$2:$T$495))-(ROW('CASE MASTER'!#REF!)-1)))&amp;TRIM(MID(SUBSTITUTE(SUBSTITUTE(INDEX('CASE MASTER'!$N$2:$N$495,(SUMPRODUCT((('CASE MASTER'!$T$2:$T$495=3)*('CASE MASTER'!$AA$2:$AA$495&lt;=8)*('CASE MASTER'!$AC$2:$AC$495&gt;=8)*('CASE MASTER'!$AB$2:$AB$495&lt;=6)*('CASE MASTER'!$AD$2:$AD$495&gt;=6))*ROW('CASE MASTER'!$T$2:$T$495))-(ROW('CASE MASTER'!#REF!)-1))),":",","),",",REPT(" ",50)),(((INDEX('CASE MASTER'!$Z$2:$Z$495,(SUMPRODUCT((('CASE MASTER'!$T$2:$T$495=3)*('CASE MASTER'!$AA$2:$AA$495&lt;=8)*('CASE MASTER'!$AC$2:$AC$495&gt;=8)*('CASE MASTER'!$AB$2:$AB$495&lt;=6)*('CASE MASTER'!$AD$2:$AD$495&gt;=6))*ROW('CASE MASTER'!$T$2:$T$495))-(ROW('CASE MASTER'!#REF!)-1)))+((8-INDEX('CASE MASTER'!$AA$2:$AA$495,(SUMPRODUCT((('CASE MASTER'!$T$2:$T$495=3)*('CASE MASTER'!$AA$2:$AA$495&lt;=8)*('CASE MASTER'!$AC$2:$AC$495&gt;=8)*('CASE MASTER'!$AB$2:$AB$495&lt;=6)*('CASE MASTER'!$AD$2:$AD$495&gt;=6))*ROW('CASE MASTER'!$T$2:$T$495))-(ROW('CASE MASTER'!#REF!)-1))))*(INDEX('CASE MASTER'!$AD$2:$AD$495,(SUMPRODUCT((('CASE MASTER'!$T$2:$T$495=3)*('CASE MASTER'!$AA$2:$AA$495&lt;=8)*('CASE MASTER'!$AC$2:$AC$495&gt;=8)*('CASE MASTER'!$AB$2:$AB$495&lt;=6)*('CASE MASTER'!$AD$2:$AD$495&gt;=6))*ROW('CASE MASTER'!$T$2:$T$495))-(ROW('CASE MASTER'!#REF!)-1)))-INDEX('CASE MASTER'!$AB$2:$AB$495,(SUMPRODUCT((('CASE MASTER'!$T$2:$T$495=3)*('CASE MASTER'!$AA$2:$AA$495&lt;=8)*('CASE MASTER'!$AC$2:$AC$495&gt;=8)*('CASE MASTER'!$AB$2:$AB$495&lt;=6)*('CASE MASTER'!$AD$2:$AD$495&gt;=6))*ROW('CASE MASTER'!$T$2:$T$495))-(ROW('CASE MASTER'!#REF!)-1)))+1)+(6-INDEX('CASE MASTER'!$AB$2:$AB$495,(SUMPRODUCT((('CASE MASTER'!$T$2:$T$495=3)*('CASE MASTER'!$AA$2:$AA$495&lt;=8)*('CASE MASTER'!$AC$2:$AC$495&gt;=8)*('CASE MASTER'!$AB$2:$AB$495&lt;=6)*('CASE MASTER'!$AD$2:$AD$495&gt;=6))*ROW('CASE MASTER'!$T$2:$T$495))-(ROW('CASE MASTER'!#REF!)-1))))+1)))-1)*50+1,50))&amp;"_"&amp;INDEX('CASE MASTER'!$Q$2:$Q$495,(SUMPRODUCT((('CASE MASTER'!$T$2:$T$495=3)*('CASE MASTER'!$AA$2:$AA$495&lt;=8)*('CASE MASTER'!$AC$2:$AC$495&gt;=8)*('CASE MASTER'!$AB$2:$AB$495&lt;=6)*('CASE MASTER'!$AD$2:$AD$495&gt;=6))*ROW('CASE MASTER'!$T$2:$T$495))-(ROW('CASE MASTER'!#REF!)-1))),"")),"")</f>
        <v/>
      </c>
      <c r="H38" s="10" t="str">
        <f>IFERROR(IF(SUMPRODUCT((('CASE MASTER'!$T$2:$T$495=3)*('CASE MASTER'!$U$2:$U$495&lt;=8)*('CASE MASTER'!$W$2:$W$495&gt;=8)*('CASE MASTER'!$V$2:$V$495&lt;=7)*('CASE MASTER'!$X$2:$X$495&gt;=7))*ROW('CASE MASTER'!$T$2:$T$495))&gt;0,INDEX('CASE MASTER'!$Y$2:$Y$495,(SUMPRODUCT((('CASE MASTER'!$T$2:$T$495=3)*('CASE MASTER'!$U$2:$U$495&lt;=8)*('CASE MASTER'!$W$2:$W$495&gt;=8)*('CASE MASTER'!$V$2:$V$495&lt;=7)*('CASE MASTER'!$X$2:$X$495&gt;=7))*ROW('CASE MASTER'!$T$2:$T$495))-(ROW('CASE MASTER'!#REF!)-1)))&amp;TRIM(MID(SUBSTITUTE(SUBSTITUTE(INDEX('CASE MASTER'!$N$2:$N$495,(SUMPRODUCT((('CASE MASTER'!$T$2:$T$495=3)*('CASE MASTER'!$U$2:$U$495&lt;=8)*('CASE MASTER'!$W$2:$W$495&gt;=8)*('CASE MASTER'!$V$2:$V$495&lt;=7)*('CASE MASTER'!$X$2:$X$495&gt;=7))*ROW('CASE MASTER'!$T$2:$T$495))-(ROW('CASE MASTER'!#REF!)-1))),":",","),",",REPT(" ",50)),((((8-INDEX('CASE MASTER'!$U$2:$U$495,(SUMPRODUCT((('CASE MASTER'!$T$2:$T$495=3)*('CASE MASTER'!$U$2:$U$495&lt;=8)*('CASE MASTER'!$W$2:$W$495&gt;=8)*('CASE MASTER'!$V$2:$V$495&lt;=7)*('CASE MASTER'!$X$2:$X$495&gt;=7))*ROW('CASE MASTER'!$T$2:$T$495))-(ROW('CASE MASTER'!#REF!)-1))))*(INDEX('CASE MASTER'!$X$2:$X$495,(SUMPRODUCT((('CASE MASTER'!$T$2:$T$495=3)*('CASE MASTER'!$U$2:$U$495&lt;=8)*('CASE MASTER'!$W$2:$W$495&gt;=8)*('CASE MASTER'!$V$2:$V$495&lt;=7)*('CASE MASTER'!$X$2:$X$495&gt;=7))*ROW('CASE MASTER'!$T$2:$T$495))-(ROW('CASE MASTER'!#REF!)-1)))-INDEX('CASE MASTER'!$V$2:$V$495,(SUMPRODUCT((('CASE MASTER'!$T$2:$T$495=3)*('CASE MASTER'!$U$2:$U$495&lt;=8)*('CASE MASTER'!$W$2:$W$495&gt;=8)*('CASE MASTER'!$V$2:$V$495&lt;=7)*('CASE MASTER'!$X$2:$X$495&gt;=7))*ROW('CASE MASTER'!$T$2:$T$495))-(ROW('CASE MASTER'!#REF!)-1)))+1)+(7-INDEX('CASE MASTER'!$V$2:$V$495,(SUMPRODUCT((('CASE MASTER'!$T$2:$T$495=3)*('CASE MASTER'!$U$2:$U$495&lt;=8)*('CASE MASTER'!$W$2:$W$495&gt;=8)*('CASE MASTER'!$V$2:$V$495&lt;=7)*('CASE MASTER'!$X$2:$X$495&gt;=7))*ROW('CASE MASTER'!$T$2:$T$495))-(ROW('CASE MASTER'!#REF!)-1))))+1))-1)*50+1,50))&amp;"_"&amp;INDEX('CASE MASTER'!$Q$2:$Q$495,(SUMPRODUCT((('CASE MASTER'!$T$2:$T$495=3)*('CASE MASTER'!$U$2:$U$495&lt;=8)*('CASE MASTER'!$W$2:$W$495&gt;=8)*('CASE MASTER'!$V$2:$V$495&lt;=7)*('CASE MASTER'!$X$2:$X$495&gt;=7))*ROW('CASE MASTER'!$T$2:$T$495))-(ROW('CASE MASTER'!#REF!)-1))),IF(SUMPRODUCT((('CASE MASTER'!$T$2:$T$495=3)*('CASE MASTER'!$AA$2:$AA$495&lt;=8)*('CASE MASTER'!$AC$2:$AC$495&gt;=8)*('CASE MASTER'!$AB$2:$AB$495&lt;=7)*('CASE MASTER'!$AD$2:$AD$495&gt;=7))*ROW('CASE MASTER'!$T$2:$T$495))&gt;0,INDEX('CASE MASTER'!$Y$2:$Y$495,(SUMPRODUCT((('CASE MASTER'!$T$2:$T$495=3)*('CASE MASTER'!$AA$2:$AA$495&lt;=8)*('CASE MASTER'!$AC$2:$AC$495&gt;=8)*('CASE MASTER'!$AB$2:$AB$495&lt;=7)*('CASE MASTER'!$AD$2:$AD$495&gt;=7))*ROW('CASE MASTER'!$T$2:$T$495))-(ROW('CASE MASTER'!#REF!)-1)))&amp;TRIM(MID(SUBSTITUTE(SUBSTITUTE(INDEX('CASE MASTER'!$N$2:$N$495,(SUMPRODUCT((('CASE MASTER'!$T$2:$T$495=3)*('CASE MASTER'!$AA$2:$AA$495&lt;=8)*('CASE MASTER'!$AC$2:$AC$495&gt;=8)*('CASE MASTER'!$AB$2:$AB$495&lt;=7)*('CASE MASTER'!$AD$2:$AD$495&gt;=7))*ROW('CASE MASTER'!$T$2:$T$495))-(ROW('CASE MASTER'!#REF!)-1))),":",","),",",REPT(" ",50)),(((INDEX('CASE MASTER'!$Z$2:$Z$495,(SUMPRODUCT((('CASE MASTER'!$T$2:$T$495=3)*('CASE MASTER'!$AA$2:$AA$495&lt;=8)*('CASE MASTER'!$AC$2:$AC$495&gt;=8)*('CASE MASTER'!$AB$2:$AB$495&lt;=7)*('CASE MASTER'!$AD$2:$AD$495&gt;=7))*ROW('CASE MASTER'!$T$2:$T$495))-(ROW('CASE MASTER'!#REF!)-1)))+((8-INDEX('CASE MASTER'!$AA$2:$AA$495,(SUMPRODUCT((('CASE MASTER'!$T$2:$T$495=3)*('CASE MASTER'!$AA$2:$AA$495&lt;=8)*('CASE MASTER'!$AC$2:$AC$495&gt;=8)*('CASE MASTER'!$AB$2:$AB$495&lt;=7)*('CASE MASTER'!$AD$2:$AD$495&gt;=7))*ROW('CASE MASTER'!$T$2:$T$495))-(ROW('CASE MASTER'!#REF!)-1))))*(INDEX('CASE MASTER'!$AD$2:$AD$495,(SUMPRODUCT((('CASE MASTER'!$T$2:$T$495=3)*('CASE MASTER'!$AA$2:$AA$495&lt;=8)*('CASE MASTER'!$AC$2:$AC$495&gt;=8)*('CASE MASTER'!$AB$2:$AB$495&lt;=7)*('CASE MASTER'!$AD$2:$AD$495&gt;=7))*ROW('CASE MASTER'!$T$2:$T$495))-(ROW('CASE MASTER'!#REF!)-1)))-INDEX('CASE MASTER'!$AB$2:$AB$495,(SUMPRODUCT((('CASE MASTER'!$T$2:$T$495=3)*('CASE MASTER'!$AA$2:$AA$495&lt;=8)*('CASE MASTER'!$AC$2:$AC$495&gt;=8)*('CASE MASTER'!$AB$2:$AB$495&lt;=7)*('CASE MASTER'!$AD$2:$AD$495&gt;=7))*ROW('CASE MASTER'!$T$2:$T$495))-(ROW('CASE MASTER'!#REF!)-1)))+1)+(7-INDEX('CASE MASTER'!$AB$2:$AB$495,(SUMPRODUCT((('CASE MASTER'!$T$2:$T$495=3)*('CASE MASTER'!$AA$2:$AA$495&lt;=8)*('CASE MASTER'!$AC$2:$AC$495&gt;=8)*('CASE MASTER'!$AB$2:$AB$495&lt;=7)*('CASE MASTER'!$AD$2:$AD$495&gt;=7))*ROW('CASE MASTER'!$T$2:$T$495))-(ROW('CASE MASTER'!#REF!)-1))))+1)))-1)*50+1,50))&amp;"_"&amp;INDEX('CASE MASTER'!$Q$2:$Q$495,(SUMPRODUCT((('CASE MASTER'!$T$2:$T$495=3)*('CASE MASTER'!$AA$2:$AA$495&lt;=8)*('CASE MASTER'!$AC$2:$AC$495&gt;=8)*('CASE MASTER'!$AB$2:$AB$495&lt;=7)*('CASE MASTER'!$AD$2:$AD$495&gt;=7))*ROW('CASE MASTER'!$T$2:$T$495))-(ROW('CASE MASTER'!#REF!)-1))),"")),"")</f>
        <v/>
      </c>
      <c r="I38" s="10" t="str">
        <f>IFERROR(IF(SUMPRODUCT((('CASE MASTER'!$T$2:$T$495=3)*('CASE MASTER'!$U$2:$U$495&lt;=8)*('CASE MASTER'!$W$2:$W$495&gt;=8)*('CASE MASTER'!$V$2:$V$495&lt;=8)*('CASE MASTER'!$X$2:$X$495&gt;=8))*ROW('CASE MASTER'!$T$2:$T$495))&gt;0,INDEX('CASE MASTER'!$Y$2:$Y$495,(SUMPRODUCT((('CASE MASTER'!$T$2:$T$495=3)*('CASE MASTER'!$U$2:$U$495&lt;=8)*('CASE MASTER'!$W$2:$W$495&gt;=8)*('CASE MASTER'!$V$2:$V$495&lt;=8)*('CASE MASTER'!$X$2:$X$495&gt;=8))*ROW('CASE MASTER'!$T$2:$T$495))-(ROW('CASE MASTER'!#REF!)-1)))&amp;TRIM(MID(SUBSTITUTE(SUBSTITUTE(INDEX('CASE MASTER'!$N$2:$N$495,(SUMPRODUCT((('CASE MASTER'!$T$2:$T$495=3)*('CASE MASTER'!$U$2:$U$495&lt;=8)*('CASE MASTER'!$W$2:$W$495&gt;=8)*('CASE MASTER'!$V$2:$V$495&lt;=8)*('CASE MASTER'!$X$2:$X$495&gt;=8))*ROW('CASE MASTER'!$T$2:$T$495))-(ROW('CASE MASTER'!#REF!)-1))),":",","),",",REPT(" ",50)),((((8-INDEX('CASE MASTER'!$U$2:$U$495,(SUMPRODUCT((('CASE MASTER'!$T$2:$T$495=3)*('CASE MASTER'!$U$2:$U$495&lt;=8)*('CASE MASTER'!$W$2:$W$495&gt;=8)*('CASE MASTER'!$V$2:$V$495&lt;=8)*('CASE MASTER'!$X$2:$X$495&gt;=8))*ROW('CASE MASTER'!$T$2:$T$495))-(ROW('CASE MASTER'!#REF!)-1))))*(INDEX('CASE MASTER'!$X$2:$X$495,(SUMPRODUCT((('CASE MASTER'!$T$2:$T$495=3)*('CASE MASTER'!$U$2:$U$495&lt;=8)*('CASE MASTER'!$W$2:$W$495&gt;=8)*('CASE MASTER'!$V$2:$V$495&lt;=8)*('CASE MASTER'!$X$2:$X$495&gt;=8))*ROW('CASE MASTER'!$T$2:$T$495))-(ROW('CASE MASTER'!#REF!)-1)))-INDEX('CASE MASTER'!$V$2:$V$495,(SUMPRODUCT((('CASE MASTER'!$T$2:$T$495=3)*('CASE MASTER'!$U$2:$U$495&lt;=8)*('CASE MASTER'!$W$2:$W$495&gt;=8)*('CASE MASTER'!$V$2:$V$495&lt;=8)*('CASE MASTER'!$X$2:$X$495&gt;=8))*ROW('CASE MASTER'!$T$2:$T$495))-(ROW('CASE MASTER'!#REF!)-1)))+1)+(8-INDEX('CASE MASTER'!$V$2:$V$495,(SUMPRODUCT((('CASE MASTER'!$T$2:$T$495=3)*('CASE MASTER'!$U$2:$U$495&lt;=8)*('CASE MASTER'!$W$2:$W$495&gt;=8)*('CASE MASTER'!$V$2:$V$495&lt;=8)*('CASE MASTER'!$X$2:$X$495&gt;=8))*ROW('CASE MASTER'!$T$2:$T$495))-(ROW('CASE MASTER'!#REF!)-1))))+1))-1)*50+1,50))&amp;"_"&amp;INDEX('CASE MASTER'!$Q$2:$Q$495,(SUMPRODUCT((('CASE MASTER'!$T$2:$T$495=3)*('CASE MASTER'!$U$2:$U$495&lt;=8)*('CASE MASTER'!$W$2:$W$495&gt;=8)*('CASE MASTER'!$V$2:$V$495&lt;=8)*('CASE MASTER'!$X$2:$X$495&gt;=8))*ROW('CASE MASTER'!$T$2:$T$495))-(ROW('CASE MASTER'!#REF!)-1))),IF(SUMPRODUCT((('CASE MASTER'!$T$2:$T$495=3)*('CASE MASTER'!$AA$2:$AA$495&lt;=8)*('CASE MASTER'!$AC$2:$AC$495&gt;=8)*('CASE MASTER'!$AB$2:$AB$495&lt;=8)*('CASE MASTER'!$AD$2:$AD$495&gt;=8))*ROW('CASE MASTER'!$T$2:$T$495))&gt;0,INDEX('CASE MASTER'!$Y$2:$Y$495,(SUMPRODUCT((('CASE MASTER'!$T$2:$T$495=3)*('CASE MASTER'!$AA$2:$AA$495&lt;=8)*('CASE MASTER'!$AC$2:$AC$495&gt;=8)*('CASE MASTER'!$AB$2:$AB$495&lt;=8)*('CASE MASTER'!$AD$2:$AD$495&gt;=8))*ROW('CASE MASTER'!$T$2:$T$495))-(ROW('CASE MASTER'!#REF!)-1)))&amp;TRIM(MID(SUBSTITUTE(SUBSTITUTE(INDEX('CASE MASTER'!$N$2:$N$495,(SUMPRODUCT((('CASE MASTER'!$T$2:$T$495=3)*('CASE MASTER'!$AA$2:$AA$495&lt;=8)*('CASE MASTER'!$AC$2:$AC$495&gt;=8)*('CASE MASTER'!$AB$2:$AB$495&lt;=8)*('CASE MASTER'!$AD$2:$AD$495&gt;=8))*ROW('CASE MASTER'!$T$2:$T$495))-(ROW('CASE MASTER'!#REF!)-1))),":",","),",",REPT(" ",50)),(((INDEX('CASE MASTER'!$Z$2:$Z$495,(SUMPRODUCT((('CASE MASTER'!$T$2:$T$495=3)*('CASE MASTER'!$AA$2:$AA$495&lt;=8)*('CASE MASTER'!$AC$2:$AC$495&gt;=8)*('CASE MASTER'!$AB$2:$AB$495&lt;=8)*('CASE MASTER'!$AD$2:$AD$495&gt;=8))*ROW('CASE MASTER'!$T$2:$T$495))-(ROW('CASE MASTER'!#REF!)-1)))+((8-INDEX('CASE MASTER'!$AA$2:$AA$495,(SUMPRODUCT((('CASE MASTER'!$T$2:$T$495=3)*('CASE MASTER'!$AA$2:$AA$495&lt;=8)*('CASE MASTER'!$AC$2:$AC$495&gt;=8)*('CASE MASTER'!$AB$2:$AB$495&lt;=8)*('CASE MASTER'!$AD$2:$AD$495&gt;=8))*ROW('CASE MASTER'!$T$2:$T$495))-(ROW('CASE MASTER'!#REF!)-1))))*(INDEX('CASE MASTER'!$AD$2:$AD$495,(SUMPRODUCT((('CASE MASTER'!$T$2:$T$495=3)*('CASE MASTER'!$AA$2:$AA$495&lt;=8)*('CASE MASTER'!$AC$2:$AC$495&gt;=8)*('CASE MASTER'!$AB$2:$AB$495&lt;=8)*('CASE MASTER'!$AD$2:$AD$495&gt;=8))*ROW('CASE MASTER'!$T$2:$T$495))-(ROW('CASE MASTER'!#REF!)-1)))-INDEX('CASE MASTER'!$AB$2:$AB$495,(SUMPRODUCT((('CASE MASTER'!$T$2:$T$495=3)*('CASE MASTER'!$AA$2:$AA$495&lt;=8)*('CASE MASTER'!$AC$2:$AC$495&gt;=8)*('CASE MASTER'!$AB$2:$AB$495&lt;=8)*('CASE MASTER'!$AD$2:$AD$495&gt;=8))*ROW('CASE MASTER'!$T$2:$T$495))-(ROW('CASE MASTER'!#REF!)-1)))+1)+(8-INDEX('CASE MASTER'!$AB$2:$AB$495,(SUMPRODUCT((('CASE MASTER'!$T$2:$T$495=3)*('CASE MASTER'!$AA$2:$AA$495&lt;=8)*('CASE MASTER'!$AC$2:$AC$495&gt;=8)*('CASE MASTER'!$AB$2:$AB$495&lt;=8)*('CASE MASTER'!$AD$2:$AD$495&gt;=8))*ROW('CASE MASTER'!$T$2:$T$495))-(ROW('CASE MASTER'!#REF!)-1))))+1)))-1)*50+1,50))&amp;"_"&amp;INDEX('CASE MASTER'!$Q$2:$Q$495,(SUMPRODUCT((('CASE MASTER'!$T$2:$T$495=3)*('CASE MASTER'!$AA$2:$AA$495&lt;=8)*('CASE MASTER'!$AC$2:$AC$495&gt;=8)*('CASE MASTER'!$AB$2:$AB$495&lt;=8)*('CASE MASTER'!$AD$2:$AD$495&gt;=8))*ROW('CASE MASTER'!$T$2:$T$495))-(ROW('CASE MASTER'!#REF!)-1))),"")),"")</f>
        <v/>
      </c>
      <c r="J38" s="10" t="str">
        <f>IFERROR(IF(SUMPRODUCT((('CASE MASTER'!$T$2:$T$495=3)*('CASE MASTER'!$U$2:$U$495&lt;=8)*('CASE MASTER'!$W$2:$W$495&gt;=8)*('CASE MASTER'!$V$2:$V$495&lt;=9)*('CASE MASTER'!$X$2:$X$495&gt;=9))*ROW('CASE MASTER'!$T$2:$T$495))&gt;0,INDEX('CASE MASTER'!$Y$2:$Y$495,(SUMPRODUCT((('CASE MASTER'!$T$2:$T$495=3)*('CASE MASTER'!$U$2:$U$495&lt;=8)*('CASE MASTER'!$W$2:$W$495&gt;=8)*('CASE MASTER'!$V$2:$V$495&lt;=9)*('CASE MASTER'!$X$2:$X$495&gt;=9))*ROW('CASE MASTER'!$T$2:$T$495))-(ROW('CASE MASTER'!#REF!)-1)))&amp;TRIM(MID(SUBSTITUTE(SUBSTITUTE(INDEX('CASE MASTER'!$N$2:$N$495,(SUMPRODUCT((('CASE MASTER'!$T$2:$T$495=3)*('CASE MASTER'!$U$2:$U$495&lt;=8)*('CASE MASTER'!$W$2:$W$495&gt;=8)*('CASE MASTER'!$V$2:$V$495&lt;=9)*('CASE MASTER'!$X$2:$X$495&gt;=9))*ROW('CASE MASTER'!$T$2:$T$495))-(ROW('CASE MASTER'!#REF!)-1))),":",","),",",REPT(" ",50)),((((8-INDEX('CASE MASTER'!$U$2:$U$495,(SUMPRODUCT((('CASE MASTER'!$T$2:$T$495=3)*('CASE MASTER'!$U$2:$U$495&lt;=8)*('CASE MASTER'!$W$2:$W$495&gt;=8)*('CASE MASTER'!$V$2:$V$495&lt;=9)*('CASE MASTER'!$X$2:$X$495&gt;=9))*ROW('CASE MASTER'!$T$2:$T$495))-(ROW('CASE MASTER'!#REF!)-1))))*(INDEX('CASE MASTER'!$X$2:$X$495,(SUMPRODUCT((('CASE MASTER'!$T$2:$T$495=3)*('CASE MASTER'!$U$2:$U$495&lt;=8)*('CASE MASTER'!$W$2:$W$495&gt;=8)*('CASE MASTER'!$V$2:$V$495&lt;=9)*('CASE MASTER'!$X$2:$X$495&gt;=9))*ROW('CASE MASTER'!$T$2:$T$495))-(ROW('CASE MASTER'!#REF!)-1)))-INDEX('CASE MASTER'!$V$2:$V$495,(SUMPRODUCT((('CASE MASTER'!$T$2:$T$495=3)*('CASE MASTER'!$U$2:$U$495&lt;=8)*('CASE MASTER'!$W$2:$W$495&gt;=8)*('CASE MASTER'!$V$2:$V$495&lt;=9)*('CASE MASTER'!$X$2:$X$495&gt;=9))*ROW('CASE MASTER'!$T$2:$T$495))-(ROW('CASE MASTER'!#REF!)-1)))+1)+(9-INDEX('CASE MASTER'!$V$2:$V$495,(SUMPRODUCT((('CASE MASTER'!$T$2:$T$495=3)*('CASE MASTER'!$U$2:$U$495&lt;=8)*('CASE MASTER'!$W$2:$W$495&gt;=8)*('CASE MASTER'!$V$2:$V$495&lt;=9)*('CASE MASTER'!$X$2:$X$495&gt;=9))*ROW('CASE MASTER'!$T$2:$T$495))-(ROW('CASE MASTER'!#REF!)-1))))+1))-1)*50+1,50))&amp;"_"&amp;INDEX('CASE MASTER'!$Q$2:$Q$495,(SUMPRODUCT((('CASE MASTER'!$T$2:$T$495=3)*('CASE MASTER'!$U$2:$U$495&lt;=8)*('CASE MASTER'!$W$2:$W$495&gt;=8)*('CASE MASTER'!$V$2:$V$495&lt;=9)*('CASE MASTER'!$X$2:$X$495&gt;=9))*ROW('CASE MASTER'!$T$2:$T$495))-(ROW('CASE MASTER'!#REF!)-1))),IF(SUMPRODUCT((('CASE MASTER'!$T$2:$T$495=3)*('CASE MASTER'!$AA$2:$AA$495&lt;=8)*('CASE MASTER'!$AC$2:$AC$495&gt;=8)*('CASE MASTER'!$AB$2:$AB$495&lt;=9)*('CASE MASTER'!$AD$2:$AD$495&gt;=9))*ROW('CASE MASTER'!$T$2:$T$495))&gt;0,INDEX('CASE MASTER'!$Y$2:$Y$495,(SUMPRODUCT((('CASE MASTER'!$T$2:$T$495=3)*('CASE MASTER'!$AA$2:$AA$495&lt;=8)*('CASE MASTER'!$AC$2:$AC$495&gt;=8)*('CASE MASTER'!$AB$2:$AB$495&lt;=9)*('CASE MASTER'!$AD$2:$AD$495&gt;=9))*ROW('CASE MASTER'!$T$2:$T$495))-(ROW('CASE MASTER'!#REF!)-1)))&amp;TRIM(MID(SUBSTITUTE(SUBSTITUTE(INDEX('CASE MASTER'!$N$2:$N$495,(SUMPRODUCT((('CASE MASTER'!$T$2:$T$495=3)*('CASE MASTER'!$AA$2:$AA$495&lt;=8)*('CASE MASTER'!$AC$2:$AC$495&gt;=8)*('CASE MASTER'!$AB$2:$AB$495&lt;=9)*('CASE MASTER'!$AD$2:$AD$495&gt;=9))*ROW('CASE MASTER'!$T$2:$T$495))-(ROW('CASE MASTER'!#REF!)-1))),":",","),",",REPT(" ",50)),(((INDEX('CASE MASTER'!$Z$2:$Z$495,(SUMPRODUCT((('CASE MASTER'!$T$2:$T$495=3)*('CASE MASTER'!$AA$2:$AA$495&lt;=8)*('CASE MASTER'!$AC$2:$AC$495&gt;=8)*('CASE MASTER'!$AB$2:$AB$495&lt;=9)*('CASE MASTER'!$AD$2:$AD$495&gt;=9))*ROW('CASE MASTER'!$T$2:$T$495))-(ROW('CASE MASTER'!#REF!)-1)))+((8-INDEX('CASE MASTER'!$AA$2:$AA$495,(SUMPRODUCT((('CASE MASTER'!$T$2:$T$495=3)*('CASE MASTER'!$AA$2:$AA$495&lt;=8)*('CASE MASTER'!$AC$2:$AC$495&gt;=8)*('CASE MASTER'!$AB$2:$AB$495&lt;=9)*('CASE MASTER'!$AD$2:$AD$495&gt;=9))*ROW('CASE MASTER'!$T$2:$T$495))-(ROW('CASE MASTER'!#REF!)-1))))*(INDEX('CASE MASTER'!$AD$2:$AD$495,(SUMPRODUCT((('CASE MASTER'!$T$2:$T$495=3)*('CASE MASTER'!$AA$2:$AA$495&lt;=8)*('CASE MASTER'!$AC$2:$AC$495&gt;=8)*('CASE MASTER'!$AB$2:$AB$495&lt;=9)*('CASE MASTER'!$AD$2:$AD$495&gt;=9))*ROW('CASE MASTER'!$T$2:$T$495))-(ROW('CASE MASTER'!#REF!)-1)))-INDEX('CASE MASTER'!$AB$2:$AB$495,(SUMPRODUCT((('CASE MASTER'!$T$2:$T$495=3)*('CASE MASTER'!$AA$2:$AA$495&lt;=8)*('CASE MASTER'!$AC$2:$AC$495&gt;=8)*('CASE MASTER'!$AB$2:$AB$495&lt;=9)*('CASE MASTER'!$AD$2:$AD$495&gt;=9))*ROW('CASE MASTER'!$T$2:$T$495))-(ROW('CASE MASTER'!#REF!)-1)))+1)+(9-INDEX('CASE MASTER'!$AB$2:$AB$495,(SUMPRODUCT((('CASE MASTER'!$T$2:$T$495=3)*('CASE MASTER'!$AA$2:$AA$495&lt;=8)*('CASE MASTER'!$AC$2:$AC$495&gt;=8)*('CASE MASTER'!$AB$2:$AB$495&lt;=9)*('CASE MASTER'!$AD$2:$AD$495&gt;=9))*ROW('CASE MASTER'!$T$2:$T$495))-(ROW('CASE MASTER'!#REF!)-1))))+1)))-1)*50+1,50))&amp;"_"&amp;INDEX('CASE MASTER'!$Q$2:$Q$495,(SUMPRODUCT((('CASE MASTER'!$T$2:$T$495=3)*('CASE MASTER'!$AA$2:$AA$495&lt;=8)*('CASE MASTER'!$AC$2:$AC$495&gt;=8)*('CASE MASTER'!$AB$2:$AB$495&lt;=9)*('CASE MASTER'!$AD$2:$AD$495&gt;=9))*ROW('CASE MASTER'!$T$2:$T$495))-(ROW('CASE MASTER'!#REF!)-1))),"")),"")</f>
        <v/>
      </c>
      <c r="K38" s="10" t="str">
        <f>IFERROR(IF(SUMPRODUCT((('CASE MASTER'!$T$2:$T$495=3)*('CASE MASTER'!$U$2:$U$495&lt;=8)*('CASE MASTER'!$W$2:$W$495&gt;=8)*('CASE MASTER'!$V$2:$V$495&lt;=10)*('CASE MASTER'!$X$2:$X$495&gt;=10))*ROW('CASE MASTER'!$T$2:$T$495))&gt;0,INDEX('CASE MASTER'!$Y$2:$Y$495,(SUMPRODUCT((('CASE MASTER'!$T$2:$T$495=3)*('CASE MASTER'!$U$2:$U$495&lt;=8)*('CASE MASTER'!$W$2:$W$495&gt;=8)*('CASE MASTER'!$V$2:$V$495&lt;=10)*('CASE MASTER'!$X$2:$X$495&gt;=10))*ROW('CASE MASTER'!$T$2:$T$495))-(ROW('CASE MASTER'!#REF!)-1)))&amp;TRIM(MID(SUBSTITUTE(SUBSTITUTE(INDEX('CASE MASTER'!$N$2:$N$495,(SUMPRODUCT((('CASE MASTER'!$T$2:$T$495=3)*('CASE MASTER'!$U$2:$U$495&lt;=8)*('CASE MASTER'!$W$2:$W$495&gt;=8)*('CASE MASTER'!$V$2:$V$495&lt;=10)*('CASE MASTER'!$X$2:$X$495&gt;=10))*ROW('CASE MASTER'!$T$2:$T$495))-(ROW('CASE MASTER'!#REF!)-1))),":",","),",",REPT(" ",50)),((((8-INDEX('CASE MASTER'!$U$2:$U$495,(SUMPRODUCT((('CASE MASTER'!$T$2:$T$495=3)*('CASE MASTER'!$U$2:$U$495&lt;=8)*('CASE MASTER'!$W$2:$W$495&gt;=8)*('CASE MASTER'!$V$2:$V$495&lt;=10)*('CASE MASTER'!$X$2:$X$495&gt;=10))*ROW('CASE MASTER'!$T$2:$T$495))-(ROW('CASE MASTER'!#REF!)-1))))*(INDEX('CASE MASTER'!$X$2:$X$495,(SUMPRODUCT((('CASE MASTER'!$T$2:$T$495=3)*('CASE MASTER'!$U$2:$U$495&lt;=8)*('CASE MASTER'!$W$2:$W$495&gt;=8)*('CASE MASTER'!$V$2:$V$495&lt;=10)*('CASE MASTER'!$X$2:$X$495&gt;=10))*ROW('CASE MASTER'!$T$2:$T$495))-(ROW('CASE MASTER'!#REF!)-1)))-INDEX('CASE MASTER'!$V$2:$V$495,(SUMPRODUCT((('CASE MASTER'!$T$2:$T$495=3)*('CASE MASTER'!$U$2:$U$495&lt;=8)*('CASE MASTER'!$W$2:$W$495&gt;=8)*('CASE MASTER'!$V$2:$V$495&lt;=10)*('CASE MASTER'!$X$2:$X$495&gt;=10))*ROW('CASE MASTER'!$T$2:$T$495))-(ROW('CASE MASTER'!#REF!)-1)))+1)+(10-INDEX('CASE MASTER'!$V$2:$V$495,(SUMPRODUCT((('CASE MASTER'!$T$2:$T$495=3)*('CASE MASTER'!$U$2:$U$495&lt;=8)*('CASE MASTER'!$W$2:$W$495&gt;=8)*('CASE MASTER'!$V$2:$V$495&lt;=10)*('CASE MASTER'!$X$2:$X$495&gt;=10))*ROW('CASE MASTER'!$T$2:$T$495))-(ROW('CASE MASTER'!#REF!)-1))))+1))-1)*50+1,50))&amp;"_"&amp;INDEX('CASE MASTER'!$Q$2:$Q$495,(SUMPRODUCT((('CASE MASTER'!$T$2:$T$495=3)*('CASE MASTER'!$U$2:$U$495&lt;=8)*('CASE MASTER'!$W$2:$W$495&gt;=8)*('CASE MASTER'!$V$2:$V$495&lt;=10)*('CASE MASTER'!$X$2:$X$495&gt;=10))*ROW('CASE MASTER'!$T$2:$T$495))-(ROW('CASE MASTER'!#REF!)-1))),IF(SUMPRODUCT((('CASE MASTER'!$T$2:$T$495=3)*('CASE MASTER'!$AA$2:$AA$495&lt;=8)*('CASE MASTER'!$AC$2:$AC$495&gt;=8)*('CASE MASTER'!$AB$2:$AB$495&lt;=10)*('CASE MASTER'!$AD$2:$AD$495&gt;=10))*ROW('CASE MASTER'!$T$2:$T$495))&gt;0,INDEX('CASE MASTER'!$Y$2:$Y$495,(SUMPRODUCT((('CASE MASTER'!$T$2:$T$495=3)*('CASE MASTER'!$AA$2:$AA$495&lt;=8)*('CASE MASTER'!$AC$2:$AC$495&gt;=8)*('CASE MASTER'!$AB$2:$AB$495&lt;=10)*('CASE MASTER'!$AD$2:$AD$495&gt;=10))*ROW('CASE MASTER'!$T$2:$T$495))-(ROW('CASE MASTER'!#REF!)-1)))&amp;TRIM(MID(SUBSTITUTE(SUBSTITUTE(INDEX('CASE MASTER'!$N$2:$N$495,(SUMPRODUCT((('CASE MASTER'!$T$2:$T$495=3)*('CASE MASTER'!$AA$2:$AA$495&lt;=8)*('CASE MASTER'!$AC$2:$AC$495&gt;=8)*('CASE MASTER'!$AB$2:$AB$495&lt;=10)*('CASE MASTER'!$AD$2:$AD$495&gt;=10))*ROW('CASE MASTER'!$T$2:$T$495))-(ROW('CASE MASTER'!#REF!)-1))),":",","),",",REPT(" ",50)),(((INDEX('CASE MASTER'!$Z$2:$Z$495,(SUMPRODUCT((('CASE MASTER'!$T$2:$T$495=3)*('CASE MASTER'!$AA$2:$AA$495&lt;=8)*('CASE MASTER'!$AC$2:$AC$495&gt;=8)*('CASE MASTER'!$AB$2:$AB$495&lt;=10)*('CASE MASTER'!$AD$2:$AD$495&gt;=10))*ROW('CASE MASTER'!$T$2:$T$495))-(ROW('CASE MASTER'!#REF!)-1)))+((8-INDEX('CASE MASTER'!$AA$2:$AA$495,(SUMPRODUCT((('CASE MASTER'!$T$2:$T$495=3)*('CASE MASTER'!$AA$2:$AA$495&lt;=8)*('CASE MASTER'!$AC$2:$AC$495&gt;=8)*('CASE MASTER'!$AB$2:$AB$495&lt;=10)*('CASE MASTER'!$AD$2:$AD$495&gt;=10))*ROW('CASE MASTER'!$T$2:$T$495))-(ROW('CASE MASTER'!#REF!)-1))))*(INDEX('CASE MASTER'!$AD$2:$AD$495,(SUMPRODUCT((('CASE MASTER'!$T$2:$T$495=3)*('CASE MASTER'!$AA$2:$AA$495&lt;=8)*('CASE MASTER'!$AC$2:$AC$495&gt;=8)*('CASE MASTER'!$AB$2:$AB$495&lt;=10)*('CASE MASTER'!$AD$2:$AD$495&gt;=10))*ROW('CASE MASTER'!$T$2:$T$495))-(ROW('CASE MASTER'!#REF!)-1)))-INDEX('CASE MASTER'!$AB$2:$AB$495,(SUMPRODUCT((('CASE MASTER'!$T$2:$T$495=3)*('CASE MASTER'!$AA$2:$AA$495&lt;=8)*('CASE MASTER'!$AC$2:$AC$495&gt;=8)*('CASE MASTER'!$AB$2:$AB$495&lt;=10)*('CASE MASTER'!$AD$2:$AD$495&gt;=10))*ROW('CASE MASTER'!$T$2:$T$495))-(ROW('CASE MASTER'!#REF!)-1)))+1)+(10-INDEX('CASE MASTER'!$AB$2:$AB$495,(SUMPRODUCT((('CASE MASTER'!$T$2:$T$495=3)*('CASE MASTER'!$AA$2:$AA$495&lt;=8)*('CASE MASTER'!$AC$2:$AC$495&gt;=8)*('CASE MASTER'!$AB$2:$AB$495&lt;=10)*('CASE MASTER'!$AD$2:$AD$495&gt;=10))*ROW('CASE MASTER'!$T$2:$T$495))-(ROW('CASE MASTER'!#REF!)-1))))+1)))-1)*50+1,50))&amp;"_"&amp;INDEX('CASE MASTER'!$Q$2:$Q$495,(SUMPRODUCT((('CASE MASTER'!$T$2:$T$495=3)*('CASE MASTER'!$AA$2:$AA$495&lt;=8)*('CASE MASTER'!$AC$2:$AC$495&gt;=8)*('CASE MASTER'!$AB$2:$AB$495&lt;=10)*('CASE MASTER'!$AD$2:$AD$495&gt;=10))*ROW('CASE MASTER'!$T$2:$T$495))-(ROW('CASE MASTER'!#REF!)-1))),"")),"")</f>
        <v/>
      </c>
    </row>
    <row r="39" spans="1:11" ht="15" customHeight="1" x14ac:dyDescent="0.35">
      <c r="A39" s="8" t="s">
        <v>81</v>
      </c>
      <c r="B39" s="10" t="str">
        <f>IFERROR(IF(SUMPRODUCT((('CASE MASTER'!$T$2:$T$495=3)*('CASE MASTER'!$U$2:$U$495&lt;=9)*('CASE MASTER'!$W$2:$W$495&gt;=9)*('CASE MASTER'!$V$2:$V$495&lt;=1)*('CASE MASTER'!$X$2:$X$495&gt;=1))*ROW('CASE MASTER'!$T$2:$T$495))&gt;0,INDEX('CASE MASTER'!$Y$2:$Y$495,(SUMPRODUCT((('CASE MASTER'!$T$2:$T$495=3)*('CASE MASTER'!$U$2:$U$495&lt;=9)*('CASE MASTER'!$W$2:$W$495&gt;=9)*('CASE MASTER'!$V$2:$V$495&lt;=1)*('CASE MASTER'!$X$2:$X$495&gt;=1))*ROW('CASE MASTER'!$T$2:$T$495))-(ROW('CASE MASTER'!#REF!)-1)))&amp;TRIM(MID(SUBSTITUTE(SUBSTITUTE(INDEX('CASE MASTER'!$N$2:$N$495,(SUMPRODUCT((('CASE MASTER'!$T$2:$T$495=3)*('CASE MASTER'!$U$2:$U$495&lt;=9)*('CASE MASTER'!$W$2:$W$495&gt;=9)*('CASE MASTER'!$V$2:$V$495&lt;=1)*('CASE MASTER'!$X$2:$X$495&gt;=1))*ROW('CASE MASTER'!$T$2:$T$495))-(ROW('CASE MASTER'!#REF!)-1))),":",","),",",REPT(" ",50)),((((9-INDEX('CASE MASTER'!$U$2:$U$495,(SUMPRODUCT((('CASE MASTER'!$T$2:$T$495=3)*('CASE MASTER'!$U$2:$U$495&lt;=9)*('CASE MASTER'!$W$2:$W$495&gt;=9)*('CASE MASTER'!$V$2:$V$495&lt;=1)*('CASE MASTER'!$X$2:$X$495&gt;=1))*ROW('CASE MASTER'!$T$2:$T$495))-(ROW('CASE MASTER'!#REF!)-1))))*(INDEX('CASE MASTER'!$X$2:$X$495,(SUMPRODUCT((('CASE MASTER'!$T$2:$T$495=3)*('CASE MASTER'!$U$2:$U$495&lt;=9)*('CASE MASTER'!$W$2:$W$495&gt;=9)*('CASE MASTER'!$V$2:$V$495&lt;=1)*('CASE MASTER'!$X$2:$X$495&gt;=1))*ROW('CASE MASTER'!$T$2:$T$495))-(ROW('CASE MASTER'!#REF!)-1)))-INDEX('CASE MASTER'!$V$2:$V$495,(SUMPRODUCT((('CASE MASTER'!$T$2:$T$495=3)*('CASE MASTER'!$U$2:$U$495&lt;=9)*('CASE MASTER'!$W$2:$W$495&gt;=9)*('CASE MASTER'!$V$2:$V$495&lt;=1)*('CASE MASTER'!$X$2:$X$495&gt;=1))*ROW('CASE MASTER'!$T$2:$T$495))-(ROW('CASE MASTER'!#REF!)-1)))+1)+(1-INDEX('CASE MASTER'!$V$2:$V$495,(SUMPRODUCT((('CASE MASTER'!$T$2:$T$495=3)*('CASE MASTER'!$U$2:$U$495&lt;=9)*('CASE MASTER'!$W$2:$W$495&gt;=9)*('CASE MASTER'!$V$2:$V$495&lt;=1)*('CASE MASTER'!$X$2:$X$495&gt;=1))*ROW('CASE MASTER'!$T$2:$T$495))-(ROW('CASE MASTER'!#REF!)-1))))+1))-1)*50+1,50))&amp;"_"&amp;INDEX('CASE MASTER'!$Q$2:$Q$495,(SUMPRODUCT((('CASE MASTER'!$T$2:$T$495=3)*('CASE MASTER'!$U$2:$U$495&lt;=9)*('CASE MASTER'!$W$2:$W$495&gt;=9)*('CASE MASTER'!$V$2:$V$495&lt;=1)*('CASE MASTER'!$X$2:$X$495&gt;=1))*ROW('CASE MASTER'!$T$2:$T$495))-(ROW('CASE MASTER'!#REF!)-1))),IF(SUMPRODUCT((('CASE MASTER'!$T$2:$T$495=3)*('CASE MASTER'!$AA$2:$AA$495&lt;=9)*('CASE MASTER'!$AC$2:$AC$495&gt;=9)*('CASE MASTER'!$AB$2:$AB$495&lt;=1)*('CASE MASTER'!$AD$2:$AD$495&gt;=1))*ROW('CASE MASTER'!$T$2:$T$495))&gt;0,INDEX('CASE MASTER'!$Y$2:$Y$495,(SUMPRODUCT((('CASE MASTER'!$T$2:$T$495=3)*('CASE MASTER'!$AA$2:$AA$495&lt;=9)*('CASE MASTER'!$AC$2:$AC$495&gt;=9)*('CASE MASTER'!$AB$2:$AB$495&lt;=1)*('CASE MASTER'!$AD$2:$AD$495&gt;=1))*ROW('CASE MASTER'!$T$2:$T$495))-(ROW('CASE MASTER'!#REF!)-1)))&amp;TRIM(MID(SUBSTITUTE(SUBSTITUTE(INDEX('CASE MASTER'!$N$2:$N$495,(SUMPRODUCT((('CASE MASTER'!$T$2:$T$495=3)*('CASE MASTER'!$AA$2:$AA$495&lt;=9)*('CASE MASTER'!$AC$2:$AC$495&gt;=9)*('CASE MASTER'!$AB$2:$AB$495&lt;=1)*('CASE MASTER'!$AD$2:$AD$495&gt;=1))*ROW('CASE MASTER'!$T$2:$T$495))-(ROW('CASE MASTER'!#REF!)-1))),":",","),",",REPT(" ",50)),(((INDEX('CASE MASTER'!$Z$2:$Z$495,(SUMPRODUCT((('CASE MASTER'!$T$2:$T$495=3)*('CASE MASTER'!$AA$2:$AA$495&lt;=9)*('CASE MASTER'!$AC$2:$AC$495&gt;=9)*('CASE MASTER'!$AB$2:$AB$495&lt;=1)*('CASE MASTER'!$AD$2:$AD$495&gt;=1))*ROW('CASE MASTER'!$T$2:$T$495))-(ROW('CASE MASTER'!#REF!)-1)))+((9-INDEX('CASE MASTER'!$AA$2:$AA$495,(SUMPRODUCT((('CASE MASTER'!$T$2:$T$495=3)*('CASE MASTER'!$AA$2:$AA$495&lt;=9)*('CASE MASTER'!$AC$2:$AC$495&gt;=9)*('CASE MASTER'!$AB$2:$AB$495&lt;=1)*('CASE MASTER'!$AD$2:$AD$495&gt;=1))*ROW('CASE MASTER'!$T$2:$T$495))-(ROW('CASE MASTER'!#REF!)-1))))*(INDEX('CASE MASTER'!$AD$2:$AD$495,(SUMPRODUCT((('CASE MASTER'!$T$2:$T$495=3)*('CASE MASTER'!$AA$2:$AA$495&lt;=9)*('CASE MASTER'!$AC$2:$AC$495&gt;=9)*('CASE MASTER'!$AB$2:$AB$495&lt;=1)*('CASE MASTER'!$AD$2:$AD$495&gt;=1))*ROW('CASE MASTER'!$T$2:$T$495))-(ROW('CASE MASTER'!#REF!)-1)))-INDEX('CASE MASTER'!$AB$2:$AB$495,(SUMPRODUCT((('CASE MASTER'!$T$2:$T$495=3)*('CASE MASTER'!$AA$2:$AA$495&lt;=9)*('CASE MASTER'!$AC$2:$AC$495&gt;=9)*('CASE MASTER'!$AB$2:$AB$495&lt;=1)*('CASE MASTER'!$AD$2:$AD$495&gt;=1))*ROW('CASE MASTER'!$T$2:$T$495))-(ROW('CASE MASTER'!#REF!)-1)))+1)+(1-INDEX('CASE MASTER'!$AB$2:$AB$495,(SUMPRODUCT((('CASE MASTER'!$T$2:$T$495=3)*('CASE MASTER'!$AA$2:$AA$495&lt;=9)*('CASE MASTER'!$AC$2:$AC$495&gt;=9)*('CASE MASTER'!$AB$2:$AB$495&lt;=1)*('CASE MASTER'!$AD$2:$AD$495&gt;=1))*ROW('CASE MASTER'!$T$2:$T$495))-(ROW('CASE MASTER'!#REF!)-1))))+1)))-1)*50+1,50))&amp;"_"&amp;INDEX('CASE MASTER'!$Q$2:$Q$495,(SUMPRODUCT((('CASE MASTER'!$T$2:$T$495=3)*('CASE MASTER'!$AA$2:$AA$495&lt;=9)*('CASE MASTER'!$AC$2:$AC$495&gt;=9)*('CASE MASTER'!$AB$2:$AB$495&lt;=1)*('CASE MASTER'!$AD$2:$AD$495&gt;=1))*ROW('CASE MASTER'!$T$2:$T$495))-(ROW('CASE MASTER'!#REF!)-1))),"")),"")</f>
        <v/>
      </c>
      <c r="C39" s="10" t="str">
        <f>IFERROR(IF(SUMPRODUCT((('CASE MASTER'!$T$2:$T$495=3)*('CASE MASTER'!$U$2:$U$495&lt;=9)*('CASE MASTER'!$W$2:$W$495&gt;=9)*('CASE MASTER'!$V$2:$V$495&lt;=2)*('CASE MASTER'!$X$2:$X$495&gt;=2))*ROW('CASE MASTER'!$T$2:$T$495))&gt;0,INDEX('CASE MASTER'!$Y$2:$Y$495,(SUMPRODUCT((('CASE MASTER'!$T$2:$T$495=3)*('CASE MASTER'!$U$2:$U$495&lt;=9)*('CASE MASTER'!$W$2:$W$495&gt;=9)*('CASE MASTER'!$V$2:$V$495&lt;=2)*('CASE MASTER'!$X$2:$X$495&gt;=2))*ROW('CASE MASTER'!$T$2:$T$495))-(ROW('CASE MASTER'!#REF!)-1)))&amp;TRIM(MID(SUBSTITUTE(SUBSTITUTE(INDEX('CASE MASTER'!$N$2:$N$495,(SUMPRODUCT((('CASE MASTER'!$T$2:$T$495=3)*('CASE MASTER'!$U$2:$U$495&lt;=9)*('CASE MASTER'!$W$2:$W$495&gt;=9)*('CASE MASTER'!$V$2:$V$495&lt;=2)*('CASE MASTER'!$X$2:$X$495&gt;=2))*ROW('CASE MASTER'!$T$2:$T$495))-(ROW('CASE MASTER'!#REF!)-1))),":",","),",",REPT(" ",50)),((((9-INDEX('CASE MASTER'!$U$2:$U$495,(SUMPRODUCT((('CASE MASTER'!$T$2:$T$495=3)*('CASE MASTER'!$U$2:$U$495&lt;=9)*('CASE MASTER'!$W$2:$W$495&gt;=9)*('CASE MASTER'!$V$2:$V$495&lt;=2)*('CASE MASTER'!$X$2:$X$495&gt;=2))*ROW('CASE MASTER'!$T$2:$T$495))-(ROW('CASE MASTER'!#REF!)-1))))*(INDEX('CASE MASTER'!$X$2:$X$495,(SUMPRODUCT((('CASE MASTER'!$T$2:$T$495=3)*('CASE MASTER'!$U$2:$U$495&lt;=9)*('CASE MASTER'!$W$2:$W$495&gt;=9)*('CASE MASTER'!$V$2:$V$495&lt;=2)*('CASE MASTER'!$X$2:$X$495&gt;=2))*ROW('CASE MASTER'!$T$2:$T$495))-(ROW('CASE MASTER'!#REF!)-1)))-INDEX('CASE MASTER'!$V$2:$V$495,(SUMPRODUCT((('CASE MASTER'!$T$2:$T$495=3)*('CASE MASTER'!$U$2:$U$495&lt;=9)*('CASE MASTER'!$W$2:$W$495&gt;=9)*('CASE MASTER'!$V$2:$V$495&lt;=2)*('CASE MASTER'!$X$2:$X$495&gt;=2))*ROW('CASE MASTER'!$T$2:$T$495))-(ROW('CASE MASTER'!#REF!)-1)))+1)+(2-INDEX('CASE MASTER'!$V$2:$V$495,(SUMPRODUCT((('CASE MASTER'!$T$2:$T$495=3)*('CASE MASTER'!$U$2:$U$495&lt;=9)*('CASE MASTER'!$W$2:$W$495&gt;=9)*('CASE MASTER'!$V$2:$V$495&lt;=2)*('CASE MASTER'!$X$2:$X$495&gt;=2))*ROW('CASE MASTER'!$T$2:$T$495))-(ROW('CASE MASTER'!#REF!)-1))))+1))-1)*50+1,50))&amp;"_"&amp;INDEX('CASE MASTER'!$Q$2:$Q$495,(SUMPRODUCT((('CASE MASTER'!$T$2:$T$495=3)*('CASE MASTER'!$U$2:$U$495&lt;=9)*('CASE MASTER'!$W$2:$W$495&gt;=9)*('CASE MASTER'!$V$2:$V$495&lt;=2)*('CASE MASTER'!$X$2:$X$495&gt;=2))*ROW('CASE MASTER'!$T$2:$T$495))-(ROW('CASE MASTER'!#REF!)-1))),IF(SUMPRODUCT((('CASE MASTER'!$T$2:$T$495=3)*('CASE MASTER'!$AA$2:$AA$495&lt;=9)*('CASE MASTER'!$AC$2:$AC$495&gt;=9)*('CASE MASTER'!$AB$2:$AB$495&lt;=2)*('CASE MASTER'!$AD$2:$AD$495&gt;=2))*ROW('CASE MASTER'!$T$2:$T$495))&gt;0,INDEX('CASE MASTER'!$Y$2:$Y$495,(SUMPRODUCT((('CASE MASTER'!$T$2:$T$495=3)*('CASE MASTER'!$AA$2:$AA$495&lt;=9)*('CASE MASTER'!$AC$2:$AC$495&gt;=9)*('CASE MASTER'!$AB$2:$AB$495&lt;=2)*('CASE MASTER'!$AD$2:$AD$495&gt;=2))*ROW('CASE MASTER'!$T$2:$T$495))-(ROW('CASE MASTER'!#REF!)-1)))&amp;TRIM(MID(SUBSTITUTE(SUBSTITUTE(INDEX('CASE MASTER'!$N$2:$N$495,(SUMPRODUCT((('CASE MASTER'!$T$2:$T$495=3)*('CASE MASTER'!$AA$2:$AA$495&lt;=9)*('CASE MASTER'!$AC$2:$AC$495&gt;=9)*('CASE MASTER'!$AB$2:$AB$495&lt;=2)*('CASE MASTER'!$AD$2:$AD$495&gt;=2))*ROW('CASE MASTER'!$T$2:$T$495))-(ROW('CASE MASTER'!#REF!)-1))),":",","),",",REPT(" ",50)),(((INDEX('CASE MASTER'!$Z$2:$Z$495,(SUMPRODUCT((('CASE MASTER'!$T$2:$T$495=3)*('CASE MASTER'!$AA$2:$AA$495&lt;=9)*('CASE MASTER'!$AC$2:$AC$495&gt;=9)*('CASE MASTER'!$AB$2:$AB$495&lt;=2)*('CASE MASTER'!$AD$2:$AD$495&gt;=2))*ROW('CASE MASTER'!$T$2:$T$495))-(ROW('CASE MASTER'!#REF!)-1)))+((9-INDEX('CASE MASTER'!$AA$2:$AA$495,(SUMPRODUCT((('CASE MASTER'!$T$2:$T$495=3)*('CASE MASTER'!$AA$2:$AA$495&lt;=9)*('CASE MASTER'!$AC$2:$AC$495&gt;=9)*('CASE MASTER'!$AB$2:$AB$495&lt;=2)*('CASE MASTER'!$AD$2:$AD$495&gt;=2))*ROW('CASE MASTER'!$T$2:$T$495))-(ROW('CASE MASTER'!#REF!)-1))))*(INDEX('CASE MASTER'!$AD$2:$AD$495,(SUMPRODUCT((('CASE MASTER'!$T$2:$T$495=3)*('CASE MASTER'!$AA$2:$AA$495&lt;=9)*('CASE MASTER'!$AC$2:$AC$495&gt;=9)*('CASE MASTER'!$AB$2:$AB$495&lt;=2)*('CASE MASTER'!$AD$2:$AD$495&gt;=2))*ROW('CASE MASTER'!$T$2:$T$495))-(ROW('CASE MASTER'!#REF!)-1)))-INDEX('CASE MASTER'!$AB$2:$AB$495,(SUMPRODUCT((('CASE MASTER'!$T$2:$T$495=3)*('CASE MASTER'!$AA$2:$AA$495&lt;=9)*('CASE MASTER'!$AC$2:$AC$495&gt;=9)*('CASE MASTER'!$AB$2:$AB$495&lt;=2)*('CASE MASTER'!$AD$2:$AD$495&gt;=2))*ROW('CASE MASTER'!$T$2:$T$495))-(ROW('CASE MASTER'!#REF!)-1)))+1)+(2-INDEX('CASE MASTER'!$AB$2:$AB$495,(SUMPRODUCT((('CASE MASTER'!$T$2:$T$495=3)*('CASE MASTER'!$AA$2:$AA$495&lt;=9)*('CASE MASTER'!$AC$2:$AC$495&gt;=9)*('CASE MASTER'!$AB$2:$AB$495&lt;=2)*('CASE MASTER'!$AD$2:$AD$495&gt;=2))*ROW('CASE MASTER'!$T$2:$T$495))-(ROW('CASE MASTER'!#REF!)-1))))+1)))-1)*50+1,50))&amp;"_"&amp;INDEX('CASE MASTER'!$Q$2:$Q$495,(SUMPRODUCT((('CASE MASTER'!$T$2:$T$495=3)*('CASE MASTER'!$AA$2:$AA$495&lt;=9)*('CASE MASTER'!$AC$2:$AC$495&gt;=9)*('CASE MASTER'!$AB$2:$AB$495&lt;=2)*('CASE MASTER'!$AD$2:$AD$495&gt;=2))*ROW('CASE MASTER'!$T$2:$T$495))-(ROW('CASE MASTER'!#REF!)-1))),"")),"")</f>
        <v/>
      </c>
      <c r="D39" s="10" t="str">
        <f>IFERROR(IF(SUMPRODUCT((('CASE MASTER'!$T$2:$T$495=3)*('CASE MASTER'!$U$2:$U$495&lt;=9)*('CASE MASTER'!$W$2:$W$495&gt;=9)*('CASE MASTER'!$V$2:$V$495&lt;=3)*('CASE MASTER'!$X$2:$X$495&gt;=3))*ROW('CASE MASTER'!$T$2:$T$495))&gt;0,INDEX('CASE MASTER'!$Y$2:$Y$495,(SUMPRODUCT((('CASE MASTER'!$T$2:$T$495=3)*('CASE MASTER'!$U$2:$U$495&lt;=9)*('CASE MASTER'!$W$2:$W$495&gt;=9)*('CASE MASTER'!$V$2:$V$495&lt;=3)*('CASE MASTER'!$X$2:$X$495&gt;=3))*ROW('CASE MASTER'!$T$2:$T$495))-(ROW('CASE MASTER'!#REF!)-1)))&amp;TRIM(MID(SUBSTITUTE(SUBSTITUTE(INDEX('CASE MASTER'!$N$2:$N$495,(SUMPRODUCT((('CASE MASTER'!$T$2:$T$495=3)*('CASE MASTER'!$U$2:$U$495&lt;=9)*('CASE MASTER'!$W$2:$W$495&gt;=9)*('CASE MASTER'!$V$2:$V$495&lt;=3)*('CASE MASTER'!$X$2:$X$495&gt;=3))*ROW('CASE MASTER'!$T$2:$T$495))-(ROW('CASE MASTER'!#REF!)-1))),":",","),",",REPT(" ",50)),((((9-INDEX('CASE MASTER'!$U$2:$U$495,(SUMPRODUCT((('CASE MASTER'!$T$2:$T$495=3)*('CASE MASTER'!$U$2:$U$495&lt;=9)*('CASE MASTER'!$W$2:$W$495&gt;=9)*('CASE MASTER'!$V$2:$V$495&lt;=3)*('CASE MASTER'!$X$2:$X$495&gt;=3))*ROW('CASE MASTER'!$T$2:$T$495))-(ROW('CASE MASTER'!#REF!)-1))))*(INDEX('CASE MASTER'!$X$2:$X$495,(SUMPRODUCT((('CASE MASTER'!$T$2:$T$495=3)*('CASE MASTER'!$U$2:$U$495&lt;=9)*('CASE MASTER'!$W$2:$W$495&gt;=9)*('CASE MASTER'!$V$2:$V$495&lt;=3)*('CASE MASTER'!$X$2:$X$495&gt;=3))*ROW('CASE MASTER'!$T$2:$T$495))-(ROW('CASE MASTER'!#REF!)-1)))-INDEX('CASE MASTER'!$V$2:$V$495,(SUMPRODUCT((('CASE MASTER'!$T$2:$T$495=3)*('CASE MASTER'!$U$2:$U$495&lt;=9)*('CASE MASTER'!$W$2:$W$495&gt;=9)*('CASE MASTER'!$V$2:$V$495&lt;=3)*('CASE MASTER'!$X$2:$X$495&gt;=3))*ROW('CASE MASTER'!$T$2:$T$495))-(ROW('CASE MASTER'!#REF!)-1)))+1)+(3-INDEX('CASE MASTER'!$V$2:$V$495,(SUMPRODUCT((('CASE MASTER'!$T$2:$T$495=3)*('CASE MASTER'!$U$2:$U$495&lt;=9)*('CASE MASTER'!$W$2:$W$495&gt;=9)*('CASE MASTER'!$V$2:$V$495&lt;=3)*('CASE MASTER'!$X$2:$X$495&gt;=3))*ROW('CASE MASTER'!$T$2:$T$495))-(ROW('CASE MASTER'!#REF!)-1))))+1))-1)*50+1,50))&amp;"_"&amp;INDEX('CASE MASTER'!$Q$2:$Q$495,(SUMPRODUCT((('CASE MASTER'!$T$2:$T$495=3)*('CASE MASTER'!$U$2:$U$495&lt;=9)*('CASE MASTER'!$W$2:$W$495&gt;=9)*('CASE MASTER'!$V$2:$V$495&lt;=3)*('CASE MASTER'!$X$2:$X$495&gt;=3))*ROW('CASE MASTER'!$T$2:$T$495))-(ROW('CASE MASTER'!#REF!)-1))),IF(SUMPRODUCT((('CASE MASTER'!$T$2:$T$495=3)*('CASE MASTER'!$AA$2:$AA$495&lt;=9)*('CASE MASTER'!$AC$2:$AC$495&gt;=9)*('CASE MASTER'!$AB$2:$AB$495&lt;=3)*('CASE MASTER'!$AD$2:$AD$495&gt;=3))*ROW('CASE MASTER'!$T$2:$T$495))&gt;0,INDEX('CASE MASTER'!$Y$2:$Y$495,(SUMPRODUCT((('CASE MASTER'!$T$2:$T$495=3)*('CASE MASTER'!$AA$2:$AA$495&lt;=9)*('CASE MASTER'!$AC$2:$AC$495&gt;=9)*('CASE MASTER'!$AB$2:$AB$495&lt;=3)*('CASE MASTER'!$AD$2:$AD$495&gt;=3))*ROW('CASE MASTER'!$T$2:$T$495))-(ROW('CASE MASTER'!#REF!)-1)))&amp;TRIM(MID(SUBSTITUTE(SUBSTITUTE(INDEX('CASE MASTER'!$N$2:$N$495,(SUMPRODUCT((('CASE MASTER'!$T$2:$T$495=3)*('CASE MASTER'!$AA$2:$AA$495&lt;=9)*('CASE MASTER'!$AC$2:$AC$495&gt;=9)*('CASE MASTER'!$AB$2:$AB$495&lt;=3)*('CASE MASTER'!$AD$2:$AD$495&gt;=3))*ROW('CASE MASTER'!$T$2:$T$495))-(ROW('CASE MASTER'!#REF!)-1))),":",","),",",REPT(" ",50)),(((INDEX('CASE MASTER'!$Z$2:$Z$495,(SUMPRODUCT((('CASE MASTER'!$T$2:$T$495=3)*('CASE MASTER'!$AA$2:$AA$495&lt;=9)*('CASE MASTER'!$AC$2:$AC$495&gt;=9)*('CASE MASTER'!$AB$2:$AB$495&lt;=3)*('CASE MASTER'!$AD$2:$AD$495&gt;=3))*ROW('CASE MASTER'!$T$2:$T$495))-(ROW('CASE MASTER'!#REF!)-1)))+((9-INDEX('CASE MASTER'!$AA$2:$AA$495,(SUMPRODUCT((('CASE MASTER'!$T$2:$T$495=3)*('CASE MASTER'!$AA$2:$AA$495&lt;=9)*('CASE MASTER'!$AC$2:$AC$495&gt;=9)*('CASE MASTER'!$AB$2:$AB$495&lt;=3)*('CASE MASTER'!$AD$2:$AD$495&gt;=3))*ROW('CASE MASTER'!$T$2:$T$495))-(ROW('CASE MASTER'!#REF!)-1))))*(INDEX('CASE MASTER'!$AD$2:$AD$495,(SUMPRODUCT((('CASE MASTER'!$T$2:$T$495=3)*('CASE MASTER'!$AA$2:$AA$495&lt;=9)*('CASE MASTER'!$AC$2:$AC$495&gt;=9)*('CASE MASTER'!$AB$2:$AB$495&lt;=3)*('CASE MASTER'!$AD$2:$AD$495&gt;=3))*ROW('CASE MASTER'!$T$2:$T$495))-(ROW('CASE MASTER'!#REF!)-1)))-INDEX('CASE MASTER'!$AB$2:$AB$495,(SUMPRODUCT((('CASE MASTER'!$T$2:$T$495=3)*('CASE MASTER'!$AA$2:$AA$495&lt;=9)*('CASE MASTER'!$AC$2:$AC$495&gt;=9)*('CASE MASTER'!$AB$2:$AB$495&lt;=3)*('CASE MASTER'!$AD$2:$AD$495&gt;=3))*ROW('CASE MASTER'!$T$2:$T$495))-(ROW('CASE MASTER'!#REF!)-1)))+1)+(3-INDEX('CASE MASTER'!$AB$2:$AB$495,(SUMPRODUCT((('CASE MASTER'!$T$2:$T$495=3)*('CASE MASTER'!$AA$2:$AA$495&lt;=9)*('CASE MASTER'!$AC$2:$AC$495&gt;=9)*('CASE MASTER'!$AB$2:$AB$495&lt;=3)*('CASE MASTER'!$AD$2:$AD$495&gt;=3))*ROW('CASE MASTER'!$T$2:$T$495))-(ROW('CASE MASTER'!#REF!)-1))))+1)))-1)*50+1,50))&amp;"_"&amp;INDEX('CASE MASTER'!$Q$2:$Q$495,(SUMPRODUCT((('CASE MASTER'!$T$2:$T$495=3)*('CASE MASTER'!$AA$2:$AA$495&lt;=9)*('CASE MASTER'!$AC$2:$AC$495&gt;=9)*('CASE MASTER'!$AB$2:$AB$495&lt;=3)*('CASE MASTER'!$AD$2:$AD$495&gt;=3))*ROW('CASE MASTER'!$T$2:$T$495))-(ROW('CASE MASTER'!#REF!)-1))),"")),"")</f>
        <v/>
      </c>
      <c r="E39" s="10" t="str">
        <f>IFERROR(IF(SUMPRODUCT((('CASE MASTER'!$T$2:$T$495=3)*('CASE MASTER'!$U$2:$U$495&lt;=9)*('CASE MASTER'!$W$2:$W$495&gt;=9)*('CASE MASTER'!$V$2:$V$495&lt;=4)*('CASE MASTER'!$X$2:$X$495&gt;=4))*ROW('CASE MASTER'!$T$2:$T$495))&gt;0,INDEX('CASE MASTER'!$Y$2:$Y$495,(SUMPRODUCT((('CASE MASTER'!$T$2:$T$495=3)*('CASE MASTER'!$U$2:$U$495&lt;=9)*('CASE MASTER'!$W$2:$W$495&gt;=9)*('CASE MASTER'!$V$2:$V$495&lt;=4)*('CASE MASTER'!$X$2:$X$495&gt;=4))*ROW('CASE MASTER'!$T$2:$T$495))-(ROW('CASE MASTER'!#REF!)-1)))&amp;TRIM(MID(SUBSTITUTE(SUBSTITUTE(INDEX('CASE MASTER'!$N$2:$N$495,(SUMPRODUCT((('CASE MASTER'!$T$2:$T$495=3)*('CASE MASTER'!$U$2:$U$495&lt;=9)*('CASE MASTER'!$W$2:$W$495&gt;=9)*('CASE MASTER'!$V$2:$V$495&lt;=4)*('CASE MASTER'!$X$2:$X$495&gt;=4))*ROW('CASE MASTER'!$T$2:$T$495))-(ROW('CASE MASTER'!#REF!)-1))),":",","),",",REPT(" ",50)),((((9-INDEX('CASE MASTER'!$U$2:$U$495,(SUMPRODUCT((('CASE MASTER'!$T$2:$T$495=3)*('CASE MASTER'!$U$2:$U$495&lt;=9)*('CASE MASTER'!$W$2:$W$495&gt;=9)*('CASE MASTER'!$V$2:$V$495&lt;=4)*('CASE MASTER'!$X$2:$X$495&gt;=4))*ROW('CASE MASTER'!$T$2:$T$495))-(ROW('CASE MASTER'!#REF!)-1))))*(INDEX('CASE MASTER'!$X$2:$X$495,(SUMPRODUCT((('CASE MASTER'!$T$2:$T$495=3)*('CASE MASTER'!$U$2:$U$495&lt;=9)*('CASE MASTER'!$W$2:$W$495&gt;=9)*('CASE MASTER'!$V$2:$V$495&lt;=4)*('CASE MASTER'!$X$2:$X$495&gt;=4))*ROW('CASE MASTER'!$T$2:$T$495))-(ROW('CASE MASTER'!#REF!)-1)))-INDEX('CASE MASTER'!$V$2:$V$495,(SUMPRODUCT((('CASE MASTER'!$T$2:$T$495=3)*('CASE MASTER'!$U$2:$U$495&lt;=9)*('CASE MASTER'!$W$2:$W$495&gt;=9)*('CASE MASTER'!$V$2:$V$495&lt;=4)*('CASE MASTER'!$X$2:$X$495&gt;=4))*ROW('CASE MASTER'!$T$2:$T$495))-(ROW('CASE MASTER'!#REF!)-1)))+1)+(4-INDEX('CASE MASTER'!$V$2:$V$495,(SUMPRODUCT((('CASE MASTER'!$T$2:$T$495=3)*('CASE MASTER'!$U$2:$U$495&lt;=9)*('CASE MASTER'!$W$2:$W$495&gt;=9)*('CASE MASTER'!$V$2:$V$495&lt;=4)*('CASE MASTER'!$X$2:$X$495&gt;=4))*ROW('CASE MASTER'!$T$2:$T$495))-(ROW('CASE MASTER'!#REF!)-1))))+1))-1)*50+1,50))&amp;"_"&amp;INDEX('CASE MASTER'!$Q$2:$Q$495,(SUMPRODUCT((('CASE MASTER'!$T$2:$T$495=3)*('CASE MASTER'!$U$2:$U$495&lt;=9)*('CASE MASTER'!$W$2:$W$495&gt;=9)*('CASE MASTER'!$V$2:$V$495&lt;=4)*('CASE MASTER'!$X$2:$X$495&gt;=4))*ROW('CASE MASTER'!$T$2:$T$495))-(ROW('CASE MASTER'!#REF!)-1))),IF(SUMPRODUCT((('CASE MASTER'!$T$2:$T$495=3)*('CASE MASTER'!$AA$2:$AA$495&lt;=9)*('CASE MASTER'!$AC$2:$AC$495&gt;=9)*('CASE MASTER'!$AB$2:$AB$495&lt;=4)*('CASE MASTER'!$AD$2:$AD$495&gt;=4))*ROW('CASE MASTER'!$T$2:$T$495))&gt;0,INDEX('CASE MASTER'!$Y$2:$Y$495,(SUMPRODUCT((('CASE MASTER'!$T$2:$T$495=3)*('CASE MASTER'!$AA$2:$AA$495&lt;=9)*('CASE MASTER'!$AC$2:$AC$495&gt;=9)*('CASE MASTER'!$AB$2:$AB$495&lt;=4)*('CASE MASTER'!$AD$2:$AD$495&gt;=4))*ROW('CASE MASTER'!$T$2:$T$495))-(ROW('CASE MASTER'!#REF!)-1)))&amp;TRIM(MID(SUBSTITUTE(SUBSTITUTE(INDEX('CASE MASTER'!$N$2:$N$495,(SUMPRODUCT((('CASE MASTER'!$T$2:$T$495=3)*('CASE MASTER'!$AA$2:$AA$495&lt;=9)*('CASE MASTER'!$AC$2:$AC$495&gt;=9)*('CASE MASTER'!$AB$2:$AB$495&lt;=4)*('CASE MASTER'!$AD$2:$AD$495&gt;=4))*ROW('CASE MASTER'!$T$2:$T$495))-(ROW('CASE MASTER'!#REF!)-1))),":",","),",",REPT(" ",50)),(((INDEX('CASE MASTER'!$Z$2:$Z$495,(SUMPRODUCT((('CASE MASTER'!$T$2:$T$495=3)*('CASE MASTER'!$AA$2:$AA$495&lt;=9)*('CASE MASTER'!$AC$2:$AC$495&gt;=9)*('CASE MASTER'!$AB$2:$AB$495&lt;=4)*('CASE MASTER'!$AD$2:$AD$495&gt;=4))*ROW('CASE MASTER'!$T$2:$T$495))-(ROW('CASE MASTER'!#REF!)-1)))+((9-INDEX('CASE MASTER'!$AA$2:$AA$495,(SUMPRODUCT((('CASE MASTER'!$T$2:$T$495=3)*('CASE MASTER'!$AA$2:$AA$495&lt;=9)*('CASE MASTER'!$AC$2:$AC$495&gt;=9)*('CASE MASTER'!$AB$2:$AB$495&lt;=4)*('CASE MASTER'!$AD$2:$AD$495&gt;=4))*ROW('CASE MASTER'!$T$2:$T$495))-(ROW('CASE MASTER'!#REF!)-1))))*(INDEX('CASE MASTER'!$AD$2:$AD$495,(SUMPRODUCT((('CASE MASTER'!$T$2:$T$495=3)*('CASE MASTER'!$AA$2:$AA$495&lt;=9)*('CASE MASTER'!$AC$2:$AC$495&gt;=9)*('CASE MASTER'!$AB$2:$AB$495&lt;=4)*('CASE MASTER'!$AD$2:$AD$495&gt;=4))*ROW('CASE MASTER'!$T$2:$T$495))-(ROW('CASE MASTER'!#REF!)-1)))-INDEX('CASE MASTER'!$AB$2:$AB$495,(SUMPRODUCT((('CASE MASTER'!$T$2:$T$495=3)*('CASE MASTER'!$AA$2:$AA$495&lt;=9)*('CASE MASTER'!$AC$2:$AC$495&gt;=9)*('CASE MASTER'!$AB$2:$AB$495&lt;=4)*('CASE MASTER'!$AD$2:$AD$495&gt;=4))*ROW('CASE MASTER'!$T$2:$T$495))-(ROW('CASE MASTER'!#REF!)-1)))+1)+(4-INDEX('CASE MASTER'!$AB$2:$AB$495,(SUMPRODUCT((('CASE MASTER'!$T$2:$T$495=3)*('CASE MASTER'!$AA$2:$AA$495&lt;=9)*('CASE MASTER'!$AC$2:$AC$495&gt;=9)*('CASE MASTER'!$AB$2:$AB$495&lt;=4)*('CASE MASTER'!$AD$2:$AD$495&gt;=4))*ROW('CASE MASTER'!$T$2:$T$495))-(ROW('CASE MASTER'!#REF!)-1))))+1)))-1)*50+1,50))&amp;"_"&amp;INDEX('CASE MASTER'!$Q$2:$Q$495,(SUMPRODUCT((('CASE MASTER'!$T$2:$T$495=3)*('CASE MASTER'!$AA$2:$AA$495&lt;=9)*('CASE MASTER'!$AC$2:$AC$495&gt;=9)*('CASE MASTER'!$AB$2:$AB$495&lt;=4)*('CASE MASTER'!$AD$2:$AD$495&gt;=4))*ROW('CASE MASTER'!$T$2:$T$495))-(ROW('CASE MASTER'!#REF!)-1))),"")),"")</f>
        <v/>
      </c>
      <c r="F39" s="10" t="str">
        <f>IFERROR(IF(SUMPRODUCT((('CASE MASTER'!$T$2:$T$495=3)*('CASE MASTER'!$U$2:$U$495&lt;=9)*('CASE MASTER'!$W$2:$W$495&gt;=9)*('CASE MASTER'!$V$2:$V$495&lt;=5)*('CASE MASTER'!$X$2:$X$495&gt;=5))*ROW('CASE MASTER'!$T$2:$T$495))&gt;0,INDEX('CASE MASTER'!$Y$2:$Y$495,(SUMPRODUCT((('CASE MASTER'!$T$2:$T$495=3)*('CASE MASTER'!$U$2:$U$495&lt;=9)*('CASE MASTER'!$W$2:$W$495&gt;=9)*('CASE MASTER'!$V$2:$V$495&lt;=5)*('CASE MASTER'!$X$2:$X$495&gt;=5))*ROW('CASE MASTER'!$T$2:$T$495))-(ROW('CASE MASTER'!#REF!)-1)))&amp;TRIM(MID(SUBSTITUTE(SUBSTITUTE(INDEX('CASE MASTER'!$N$2:$N$495,(SUMPRODUCT((('CASE MASTER'!$T$2:$T$495=3)*('CASE MASTER'!$U$2:$U$495&lt;=9)*('CASE MASTER'!$W$2:$W$495&gt;=9)*('CASE MASTER'!$V$2:$V$495&lt;=5)*('CASE MASTER'!$X$2:$X$495&gt;=5))*ROW('CASE MASTER'!$T$2:$T$495))-(ROW('CASE MASTER'!#REF!)-1))),":",","),",",REPT(" ",50)),((((9-INDEX('CASE MASTER'!$U$2:$U$495,(SUMPRODUCT((('CASE MASTER'!$T$2:$T$495=3)*('CASE MASTER'!$U$2:$U$495&lt;=9)*('CASE MASTER'!$W$2:$W$495&gt;=9)*('CASE MASTER'!$V$2:$V$495&lt;=5)*('CASE MASTER'!$X$2:$X$495&gt;=5))*ROW('CASE MASTER'!$T$2:$T$495))-(ROW('CASE MASTER'!#REF!)-1))))*(INDEX('CASE MASTER'!$X$2:$X$495,(SUMPRODUCT((('CASE MASTER'!$T$2:$T$495=3)*('CASE MASTER'!$U$2:$U$495&lt;=9)*('CASE MASTER'!$W$2:$W$495&gt;=9)*('CASE MASTER'!$V$2:$V$495&lt;=5)*('CASE MASTER'!$X$2:$X$495&gt;=5))*ROW('CASE MASTER'!$T$2:$T$495))-(ROW('CASE MASTER'!#REF!)-1)))-INDEX('CASE MASTER'!$V$2:$V$495,(SUMPRODUCT((('CASE MASTER'!$T$2:$T$495=3)*('CASE MASTER'!$U$2:$U$495&lt;=9)*('CASE MASTER'!$W$2:$W$495&gt;=9)*('CASE MASTER'!$V$2:$V$495&lt;=5)*('CASE MASTER'!$X$2:$X$495&gt;=5))*ROW('CASE MASTER'!$T$2:$T$495))-(ROW('CASE MASTER'!#REF!)-1)))+1)+(5-INDEX('CASE MASTER'!$V$2:$V$495,(SUMPRODUCT((('CASE MASTER'!$T$2:$T$495=3)*('CASE MASTER'!$U$2:$U$495&lt;=9)*('CASE MASTER'!$W$2:$W$495&gt;=9)*('CASE MASTER'!$V$2:$V$495&lt;=5)*('CASE MASTER'!$X$2:$X$495&gt;=5))*ROW('CASE MASTER'!$T$2:$T$495))-(ROW('CASE MASTER'!#REF!)-1))))+1))-1)*50+1,50))&amp;"_"&amp;INDEX('CASE MASTER'!$Q$2:$Q$495,(SUMPRODUCT((('CASE MASTER'!$T$2:$T$495=3)*('CASE MASTER'!$U$2:$U$495&lt;=9)*('CASE MASTER'!$W$2:$W$495&gt;=9)*('CASE MASTER'!$V$2:$V$495&lt;=5)*('CASE MASTER'!$X$2:$X$495&gt;=5))*ROW('CASE MASTER'!$T$2:$T$495))-(ROW('CASE MASTER'!#REF!)-1))),IF(SUMPRODUCT((('CASE MASTER'!$T$2:$T$495=3)*('CASE MASTER'!$AA$2:$AA$495&lt;=9)*('CASE MASTER'!$AC$2:$AC$495&gt;=9)*('CASE MASTER'!$AB$2:$AB$495&lt;=5)*('CASE MASTER'!$AD$2:$AD$495&gt;=5))*ROW('CASE MASTER'!$T$2:$T$495))&gt;0,INDEX('CASE MASTER'!$Y$2:$Y$495,(SUMPRODUCT((('CASE MASTER'!$T$2:$T$495=3)*('CASE MASTER'!$AA$2:$AA$495&lt;=9)*('CASE MASTER'!$AC$2:$AC$495&gt;=9)*('CASE MASTER'!$AB$2:$AB$495&lt;=5)*('CASE MASTER'!$AD$2:$AD$495&gt;=5))*ROW('CASE MASTER'!$T$2:$T$495))-(ROW('CASE MASTER'!#REF!)-1)))&amp;TRIM(MID(SUBSTITUTE(SUBSTITUTE(INDEX('CASE MASTER'!$N$2:$N$495,(SUMPRODUCT((('CASE MASTER'!$T$2:$T$495=3)*('CASE MASTER'!$AA$2:$AA$495&lt;=9)*('CASE MASTER'!$AC$2:$AC$495&gt;=9)*('CASE MASTER'!$AB$2:$AB$495&lt;=5)*('CASE MASTER'!$AD$2:$AD$495&gt;=5))*ROW('CASE MASTER'!$T$2:$T$495))-(ROW('CASE MASTER'!#REF!)-1))),":",","),",",REPT(" ",50)),(((INDEX('CASE MASTER'!$Z$2:$Z$495,(SUMPRODUCT((('CASE MASTER'!$T$2:$T$495=3)*('CASE MASTER'!$AA$2:$AA$495&lt;=9)*('CASE MASTER'!$AC$2:$AC$495&gt;=9)*('CASE MASTER'!$AB$2:$AB$495&lt;=5)*('CASE MASTER'!$AD$2:$AD$495&gt;=5))*ROW('CASE MASTER'!$T$2:$T$495))-(ROW('CASE MASTER'!#REF!)-1)))+((9-INDEX('CASE MASTER'!$AA$2:$AA$495,(SUMPRODUCT((('CASE MASTER'!$T$2:$T$495=3)*('CASE MASTER'!$AA$2:$AA$495&lt;=9)*('CASE MASTER'!$AC$2:$AC$495&gt;=9)*('CASE MASTER'!$AB$2:$AB$495&lt;=5)*('CASE MASTER'!$AD$2:$AD$495&gt;=5))*ROW('CASE MASTER'!$T$2:$T$495))-(ROW('CASE MASTER'!#REF!)-1))))*(INDEX('CASE MASTER'!$AD$2:$AD$495,(SUMPRODUCT((('CASE MASTER'!$T$2:$T$495=3)*('CASE MASTER'!$AA$2:$AA$495&lt;=9)*('CASE MASTER'!$AC$2:$AC$495&gt;=9)*('CASE MASTER'!$AB$2:$AB$495&lt;=5)*('CASE MASTER'!$AD$2:$AD$495&gt;=5))*ROW('CASE MASTER'!$T$2:$T$495))-(ROW('CASE MASTER'!#REF!)-1)))-INDEX('CASE MASTER'!$AB$2:$AB$495,(SUMPRODUCT((('CASE MASTER'!$T$2:$T$495=3)*('CASE MASTER'!$AA$2:$AA$495&lt;=9)*('CASE MASTER'!$AC$2:$AC$495&gt;=9)*('CASE MASTER'!$AB$2:$AB$495&lt;=5)*('CASE MASTER'!$AD$2:$AD$495&gt;=5))*ROW('CASE MASTER'!$T$2:$T$495))-(ROW('CASE MASTER'!#REF!)-1)))+1)+(5-INDEX('CASE MASTER'!$AB$2:$AB$495,(SUMPRODUCT((('CASE MASTER'!$T$2:$T$495=3)*('CASE MASTER'!$AA$2:$AA$495&lt;=9)*('CASE MASTER'!$AC$2:$AC$495&gt;=9)*('CASE MASTER'!$AB$2:$AB$495&lt;=5)*('CASE MASTER'!$AD$2:$AD$495&gt;=5))*ROW('CASE MASTER'!$T$2:$T$495))-(ROW('CASE MASTER'!#REF!)-1))))+1)))-1)*50+1,50))&amp;"_"&amp;INDEX('CASE MASTER'!$Q$2:$Q$495,(SUMPRODUCT((('CASE MASTER'!$T$2:$T$495=3)*('CASE MASTER'!$AA$2:$AA$495&lt;=9)*('CASE MASTER'!$AC$2:$AC$495&gt;=9)*('CASE MASTER'!$AB$2:$AB$495&lt;=5)*('CASE MASTER'!$AD$2:$AD$495&gt;=5))*ROW('CASE MASTER'!$T$2:$T$495))-(ROW('CASE MASTER'!#REF!)-1))),"")),"")</f>
        <v/>
      </c>
      <c r="G39" s="10" t="str">
        <f>IFERROR(IF(SUMPRODUCT((('CASE MASTER'!$T$2:$T$495=3)*('CASE MASTER'!$U$2:$U$495&lt;=9)*('CASE MASTER'!$W$2:$W$495&gt;=9)*('CASE MASTER'!$V$2:$V$495&lt;=6)*('CASE MASTER'!$X$2:$X$495&gt;=6))*ROW('CASE MASTER'!$T$2:$T$495))&gt;0,INDEX('CASE MASTER'!$Y$2:$Y$495,(SUMPRODUCT((('CASE MASTER'!$T$2:$T$495=3)*('CASE MASTER'!$U$2:$U$495&lt;=9)*('CASE MASTER'!$W$2:$W$495&gt;=9)*('CASE MASTER'!$V$2:$V$495&lt;=6)*('CASE MASTER'!$X$2:$X$495&gt;=6))*ROW('CASE MASTER'!$T$2:$T$495))-(ROW('CASE MASTER'!#REF!)-1)))&amp;TRIM(MID(SUBSTITUTE(SUBSTITUTE(INDEX('CASE MASTER'!$N$2:$N$495,(SUMPRODUCT((('CASE MASTER'!$T$2:$T$495=3)*('CASE MASTER'!$U$2:$U$495&lt;=9)*('CASE MASTER'!$W$2:$W$495&gt;=9)*('CASE MASTER'!$V$2:$V$495&lt;=6)*('CASE MASTER'!$X$2:$X$495&gt;=6))*ROW('CASE MASTER'!$T$2:$T$495))-(ROW('CASE MASTER'!#REF!)-1))),":",","),",",REPT(" ",50)),((((9-INDEX('CASE MASTER'!$U$2:$U$495,(SUMPRODUCT((('CASE MASTER'!$T$2:$T$495=3)*('CASE MASTER'!$U$2:$U$495&lt;=9)*('CASE MASTER'!$W$2:$W$495&gt;=9)*('CASE MASTER'!$V$2:$V$495&lt;=6)*('CASE MASTER'!$X$2:$X$495&gt;=6))*ROW('CASE MASTER'!$T$2:$T$495))-(ROW('CASE MASTER'!#REF!)-1))))*(INDEX('CASE MASTER'!$X$2:$X$495,(SUMPRODUCT((('CASE MASTER'!$T$2:$T$495=3)*('CASE MASTER'!$U$2:$U$495&lt;=9)*('CASE MASTER'!$W$2:$W$495&gt;=9)*('CASE MASTER'!$V$2:$V$495&lt;=6)*('CASE MASTER'!$X$2:$X$495&gt;=6))*ROW('CASE MASTER'!$T$2:$T$495))-(ROW('CASE MASTER'!#REF!)-1)))-INDEX('CASE MASTER'!$V$2:$V$495,(SUMPRODUCT((('CASE MASTER'!$T$2:$T$495=3)*('CASE MASTER'!$U$2:$U$495&lt;=9)*('CASE MASTER'!$W$2:$W$495&gt;=9)*('CASE MASTER'!$V$2:$V$495&lt;=6)*('CASE MASTER'!$X$2:$X$495&gt;=6))*ROW('CASE MASTER'!$T$2:$T$495))-(ROW('CASE MASTER'!#REF!)-1)))+1)+(6-INDEX('CASE MASTER'!$V$2:$V$495,(SUMPRODUCT((('CASE MASTER'!$T$2:$T$495=3)*('CASE MASTER'!$U$2:$U$495&lt;=9)*('CASE MASTER'!$W$2:$W$495&gt;=9)*('CASE MASTER'!$V$2:$V$495&lt;=6)*('CASE MASTER'!$X$2:$X$495&gt;=6))*ROW('CASE MASTER'!$T$2:$T$495))-(ROW('CASE MASTER'!#REF!)-1))))+1))-1)*50+1,50))&amp;"_"&amp;INDEX('CASE MASTER'!$Q$2:$Q$495,(SUMPRODUCT((('CASE MASTER'!$T$2:$T$495=3)*('CASE MASTER'!$U$2:$U$495&lt;=9)*('CASE MASTER'!$W$2:$W$495&gt;=9)*('CASE MASTER'!$V$2:$V$495&lt;=6)*('CASE MASTER'!$X$2:$X$495&gt;=6))*ROW('CASE MASTER'!$T$2:$T$495))-(ROW('CASE MASTER'!#REF!)-1))),IF(SUMPRODUCT((('CASE MASTER'!$T$2:$T$495=3)*('CASE MASTER'!$AA$2:$AA$495&lt;=9)*('CASE MASTER'!$AC$2:$AC$495&gt;=9)*('CASE MASTER'!$AB$2:$AB$495&lt;=6)*('CASE MASTER'!$AD$2:$AD$495&gt;=6))*ROW('CASE MASTER'!$T$2:$T$495))&gt;0,INDEX('CASE MASTER'!$Y$2:$Y$495,(SUMPRODUCT((('CASE MASTER'!$T$2:$T$495=3)*('CASE MASTER'!$AA$2:$AA$495&lt;=9)*('CASE MASTER'!$AC$2:$AC$495&gt;=9)*('CASE MASTER'!$AB$2:$AB$495&lt;=6)*('CASE MASTER'!$AD$2:$AD$495&gt;=6))*ROW('CASE MASTER'!$T$2:$T$495))-(ROW('CASE MASTER'!#REF!)-1)))&amp;TRIM(MID(SUBSTITUTE(SUBSTITUTE(INDEX('CASE MASTER'!$N$2:$N$495,(SUMPRODUCT((('CASE MASTER'!$T$2:$T$495=3)*('CASE MASTER'!$AA$2:$AA$495&lt;=9)*('CASE MASTER'!$AC$2:$AC$495&gt;=9)*('CASE MASTER'!$AB$2:$AB$495&lt;=6)*('CASE MASTER'!$AD$2:$AD$495&gt;=6))*ROW('CASE MASTER'!$T$2:$T$495))-(ROW('CASE MASTER'!#REF!)-1))),":",","),",",REPT(" ",50)),(((INDEX('CASE MASTER'!$Z$2:$Z$495,(SUMPRODUCT((('CASE MASTER'!$T$2:$T$495=3)*('CASE MASTER'!$AA$2:$AA$495&lt;=9)*('CASE MASTER'!$AC$2:$AC$495&gt;=9)*('CASE MASTER'!$AB$2:$AB$495&lt;=6)*('CASE MASTER'!$AD$2:$AD$495&gt;=6))*ROW('CASE MASTER'!$T$2:$T$495))-(ROW('CASE MASTER'!#REF!)-1)))+((9-INDEX('CASE MASTER'!$AA$2:$AA$495,(SUMPRODUCT((('CASE MASTER'!$T$2:$T$495=3)*('CASE MASTER'!$AA$2:$AA$495&lt;=9)*('CASE MASTER'!$AC$2:$AC$495&gt;=9)*('CASE MASTER'!$AB$2:$AB$495&lt;=6)*('CASE MASTER'!$AD$2:$AD$495&gt;=6))*ROW('CASE MASTER'!$T$2:$T$495))-(ROW('CASE MASTER'!#REF!)-1))))*(INDEX('CASE MASTER'!$AD$2:$AD$495,(SUMPRODUCT((('CASE MASTER'!$T$2:$T$495=3)*('CASE MASTER'!$AA$2:$AA$495&lt;=9)*('CASE MASTER'!$AC$2:$AC$495&gt;=9)*('CASE MASTER'!$AB$2:$AB$495&lt;=6)*('CASE MASTER'!$AD$2:$AD$495&gt;=6))*ROW('CASE MASTER'!$T$2:$T$495))-(ROW('CASE MASTER'!#REF!)-1)))-INDEX('CASE MASTER'!$AB$2:$AB$495,(SUMPRODUCT((('CASE MASTER'!$T$2:$T$495=3)*('CASE MASTER'!$AA$2:$AA$495&lt;=9)*('CASE MASTER'!$AC$2:$AC$495&gt;=9)*('CASE MASTER'!$AB$2:$AB$495&lt;=6)*('CASE MASTER'!$AD$2:$AD$495&gt;=6))*ROW('CASE MASTER'!$T$2:$T$495))-(ROW('CASE MASTER'!#REF!)-1)))+1)+(6-INDEX('CASE MASTER'!$AB$2:$AB$495,(SUMPRODUCT((('CASE MASTER'!$T$2:$T$495=3)*('CASE MASTER'!$AA$2:$AA$495&lt;=9)*('CASE MASTER'!$AC$2:$AC$495&gt;=9)*('CASE MASTER'!$AB$2:$AB$495&lt;=6)*('CASE MASTER'!$AD$2:$AD$495&gt;=6))*ROW('CASE MASTER'!$T$2:$T$495))-(ROW('CASE MASTER'!#REF!)-1))))+1)))-1)*50+1,50))&amp;"_"&amp;INDEX('CASE MASTER'!$Q$2:$Q$495,(SUMPRODUCT((('CASE MASTER'!$T$2:$T$495=3)*('CASE MASTER'!$AA$2:$AA$495&lt;=9)*('CASE MASTER'!$AC$2:$AC$495&gt;=9)*('CASE MASTER'!$AB$2:$AB$495&lt;=6)*('CASE MASTER'!$AD$2:$AD$495&gt;=6))*ROW('CASE MASTER'!$T$2:$T$495))-(ROW('CASE MASTER'!#REF!)-1))),"")),"")</f>
        <v/>
      </c>
      <c r="H39" s="10" t="str">
        <f>IFERROR(IF(SUMPRODUCT((('CASE MASTER'!$T$2:$T$495=3)*('CASE MASTER'!$U$2:$U$495&lt;=9)*('CASE MASTER'!$W$2:$W$495&gt;=9)*('CASE MASTER'!$V$2:$V$495&lt;=7)*('CASE MASTER'!$X$2:$X$495&gt;=7))*ROW('CASE MASTER'!$T$2:$T$495))&gt;0,INDEX('CASE MASTER'!$Y$2:$Y$495,(SUMPRODUCT((('CASE MASTER'!$T$2:$T$495=3)*('CASE MASTER'!$U$2:$U$495&lt;=9)*('CASE MASTER'!$W$2:$W$495&gt;=9)*('CASE MASTER'!$V$2:$V$495&lt;=7)*('CASE MASTER'!$X$2:$X$495&gt;=7))*ROW('CASE MASTER'!$T$2:$T$495))-(ROW('CASE MASTER'!#REF!)-1)))&amp;TRIM(MID(SUBSTITUTE(SUBSTITUTE(INDEX('CASE MASTER'!$N$2:$N$495,(SUMPRODUCT((('CASE MASTER'!$T$2:$T$495=3)*('CASE MASTER'!$U$2:$U$495&lt;=9)*('CASE MASTER'!$W$2:$W$495&gt;=9)*('CASE MASTER'!$V$2:$V$495&lt;=7)*('CASE MASTER'!$X$2:$X$495&gt;=7))*ROW('CASE MASTER'!$T$2:$T$495))-(ROW('CASE MASTER'!#REF!)-1))),":",","),",",REPT(" ",50)),((((9-INDEX('CASE MASTER'!$U$2:$U$495,(SUMPRODUCT((('CASE MASTER'!$T$2:$T$495=3)*('CASE MASTER'!$U$2:$U$495&lt;=9)*('CASE MASTER'!$W$2:$W$495&gt;=9)*('CASE MASTER'!$V$2:$V$495&lt;=7)*('CASE MASTER'!$X$2:$X$495&gt;=7))*ROW('CASE MASTER'!$T$2:$T$495))-(ROW('CASE MASTER'!#REF!)-1))))*(INDEX('CASE MASTER'!$X$2:$X$495,(SUMPRODUCT((('CASE MASTER'!$T$2:$T$495=3)*('CASE MASTER'!$U$2:$U$495&lt;=9)*('CASE MASTER'!$W$2:$W$495&gt;=9)*('CASE MASTER'!$V$2:$V$495&lt;=7)*('CASE MASTER'!$X$2:$X$495&gt;=7))*ROW('CASE MASTER'!$T$2:$T$495))-(ROW('CASE MASTER'!#REF!)-1)))-INDEX('CASE MASTER'!$V$2:$V$495,(SUMPRODUCT((('CASE MASTER'!$T$2:$T$495=3)*('CASE MASTER'!$U$2:$U$495&lt;=9)*('CASE MASTER'!$W$2:$W$495&gt;=9)*('CASE MASTER'!$V$2:$V$495&lt;=7)*('CASE MASTER'!$X$2:$X$495&gt;=7))*ROW('CASE MASTER'!$T$2:$T$495))-(ROW('CASE MASTER'!#REF!)-1)))+1)+(7-INDEX('CASE MASTER'!$V$2:$V$495,(SUMPRODUCT((('CASE MASTER'!$T$2:$T$495=3)*('CASE MASTER'!$U$2:$U$495&lt;=9)*('CASE MASTER'!$W$2:$W$495&gt;=9)*('CASE MASTER'!$V$2:$V$495&lt;=7)*('CASE MASTER'!$X$2:$X$495&gt;=7))*ROW('CASE MASTER'!$T$2:$T$495))-(ROW('CASE MASTER'!#REF!)-1))))+1))-1)*50+1,50))&amp;"_"&amp;INDEX('CASE MASTER'!$Q$2:$Q$495,(SUMPRODUCT((('CASE MASTER'!$T$2:$T$495=3)*('CASE MASTER'!$U$2:$U$495&lt;=9)*('CASE MASTER'!$W$2:$W$495&gt;=9)*('CASE MASTER'!$V$2:$V$495&lt;=7)*('CASE MASTER'!$X$2:$X$495&gt;=7))*ROW('CASE MASTER'!$T$2:$T$495))-(ROW('CASE MASTER'!#REF!)-1))),IF(SUMPRODUCT((('CASE MASTER'!$T$2:$T$495=3)*('CASE MASTER'!$AA$2:$AA$495&lt;=9)*('CASE MASTER'!$AC$2:$AC$495&gt;=9)*('CASE MASTER'!$AB$2:$AB$495&lt;=7)*('CASE MASTER'!$AD$2:$AD$495&gt;=7))*ROW('CASE MASTER'!$T$2:$T$495))&gt;0,INDEX('CASE MASTER'!$Y$2:$Y$495,(SUMPRODUCT((('CASE MASTER'!$T$2:$T$495=3)*('CASE MASTER'!$AA$2:$AA$495&lt;=9)*('CASE MASTER'!$AC$2:$AC$495&gt;=9)*('CASE MASTER'!$AB$2:$AB$495&lt;=7)*('CASE MASTER'!$AD$2:$AD$495&gt;=7))*ROW('CASE MASTER'!$T$2:$T$495))-(ROW('CASE MASTER'!#REF!)-1)))&amp;TRIM(MID(SUBSTITUTE(SUBSTITUTE(INDEX('CASE MASTER'!$N$2:$N$495,(SUMPRODUCT((('CASE MASTER'!$T$2:$T$495=3)*('CASE MASTER'!$AA$2:$AA$495&lt;=9)*('CASE MASTER'!$AC$2:$AC$495&gt;=9)*('CASE MASTER'!$AB$2:$AB$495&lt;=7)*('CASE MASTER'!$AD$2:$AD$495&gt;=7))*ROW('CASE MASTER'!$T$2:$T$495))-(ROW('CASE MASTER'!#REF!)-1))),":",","),",",REPT(" ",50)),(((INDEX('CASE MASTER'!$Z$2:$Z$495,(SUMPRODUCT((('CASE MASTER'!$T$2:$T$495=3)*('CASE MASTER'!$AA$2:$AA$495&lt;=9)*('CASE MASTER'!$AC$2:$AC$495&gt;=9)*('CASE MASTER'!$AB$2:$AB$495&lt;=7)*('CASE MASTER'!$AD$2:$AD$495&gt;=7))*ROW('CASE MASTER'!$T$2:$T$495))-(ROW('CASE MASTER'!#REF!)-1)))+((9-INDEX('CASE MASTER'!$AA$2:$AA$495,(SUMPRODUCT((('CASE MASTER'!$T$2:$T$495=3)*('CASE MASTER'!$AA$2:$AA$495&lt;=9)*('CASE MASTER'!$AC$2:$AC$495&gt;=9)*('CASE MASTER'!$AB$2:$AB$495&lt;=7)*('CASE MASTER'!$AD$2:$AD$495&gt;=7))*ROW('CASE MASTER'!$T$2:$T$495))-(ROW('CASE MASTER'!#REF!)-1))))*(INDEX('CASE MASTER'!$AD$2:$AD$495,(SUMPRODUCT((('CASE MASTER'!$T$2:$T$495=3)*('CASE MASTER'!$AA$2:$AA$495&lt;=9)*('CASE MASTER'!$AC$2:$AC$495&gt;=9)*('CASE MASTER'!$AB$2:$AB$495&lt;=7)*('CASE MASTER'!$AD$2:$AD$495&gt;=7))*ROW('CASE MASTER'!$T$2:$T$495))-(ROW('CASE MASTER'!#REF!)-1)))-INDEX('CASE MASTER'!$AB$2:$AB$495,(SUMPRODUCT((('CASE MASTER'!$T$2:$T$495=3)*('CASE MASTER'!$AA$2:$AA$495&lt;=9)*('CASE MASTER'!$AC$2:$AC$495&gt;=9)*('CASE MASTER'!$AB$2:$AB$495&lt;=7)*('CASE MASTER'!$AD$2:$AD$495&gt;=7))*ROW('CASE MASTER'!$T$2:$T$495))-(ROW('CASE MASTER'!#REF!)-1)))+1)+(7-INDEX('CASE MASTER'!$AB$2:$AB$495,(SUMPRODUCT((('CASE MASTER'!$T$2:$T$495=3)*('CASE MASTER'!$AA$2:$AA$495&lt;=9)*('CASE MASTER'!$AC$2:$AC$495&gt;=9)*('CASE MASTER'!$AB$2:$AB$495&lt;=7)*('CASE MASTER'!$AD$2:$AD$495&gt;=7))*ROW('CASE MASTER'!$T$2:$T$495))-(ROW('CASE MASTER'!#REF!)-1))))+1)))-1)*50+1,50))&amp;"_"&amp;INDEX('CASE MASTER'!$Q$2:$Q$495,(SUMPRODUCT((('CASE MASTER'!$T$2:$T$495=3)*('CASE MASTER'!$AA$2:$AA$495&lt;=9)*('CASE MASTER'!$AC$2:$AC$495&gt;=9)*('CASE MASTER'!$AB$2:$AB$495&lt;=7)*('CASE MASTER'!$AD$2:$AD$495&gt;=7))*ROW('CASE MASTER'!$T$2:$T$495))-(ROW('CASE MASTER'!#REF!)-1))),"")),"")</f>
        <v/>
      </c>
      <c r="I39" s="10" t="str">
        <f>IFERROR(IF(SUMPRODUCT((('CASE MASTER'!$T$2:$T$495=3)*('CASE MASTER'!$U$2:$U$495&lt;=9)*('CASE MASTER'!$W$2:$W$495&gt;=9)*('CASE MASTER'!$V$2:$V$495&lt;=8)*('CASE MASTER'!$X$2:$X$495&gt;=8))*ROW('CASE MASTER'!$T$2:$T$495))&gt;0,INDEX('CASE MASTER'!$Y$2:$Y$495,(SUMPRODUCT((('CASE MASTER'!$T$2:$T$495=3)*('CASE MASTER'!$U$2:$U$495&lt;=9)*('CASE MASTER'!$W$2:$W$495&gt;=9)*('CASE MASTER'!$V$2:$V$495&lt;=8)*('CASE MASTER'!$X$2:$X$495&gt;=8))*ROW('CASE MASTER'!$T$2:$T$495))-(ROW('CASE MASTER'!#REF!)-1)))&amp;TRIM(MID(SUBSTITUTE(SUBSTITUTE(INDEX('CASE MASTER'!$N$2:$N$495,(SUMPRODUCT((('CASE MASTER'!$T$2:$T$495=3)*('CASE MASTER'!$U$2:$U$495&lt;=9)*('CASE MASTER'!$W$2:$W$495&gt;=9)*('CASE MASTER'!$V$2:$V$495&lt;=8)*('CASE MASTER'!$X$2:$X$495&gt;=8))*ROW('CASE MASTER'!$T$2:$T$495))-(ROW('CASE MASTER'!#REF!)-1))),":",","),",",REPT(" ",50)),((((9-INDEX('CASE MASTER'!$U$2:$U$495,(SUMPRODUCT((('CASE MASTER'!$T$2:$T$495=3)*('CASE MASTER'!$U$2:$U$495&lt;=9)*('CASE MASTER'!$W$2:$W$495&gt;=9)*('CASE MASTER'!$V$2:$V$495&lt;=8)*('CASE MASTER'!$X$2:$X$495&gt;=8))*ROW('CASE MASTER'!$T$2:$T$495))-(ROW('CASE MASTER'!#REF!)-1))))*(INDEX('CASE MASTER'!$X$2:$X$495,(SUMPRODUCT((('CASE MASTER'!$T$2:$T$495=3)*('CASE MASTER'!$U$2:$U$495&lt;=9)*('CASE MASTER'!$W$2:$W$495&gt;=9)*('CASE MASTER'!$V$2:$V$495&lt;=8)*('CASE MASTER'!$X$2:$X$495&gt;=8))*ROW('CASE MASTER'!$T$2:$T$495))-(ROW('CASE MASTER'!#REF!)-1)))-INDEX('CASE MASTER'!$V$2:$V$495,(SUMPRODUCT((('CASE MASTER'!$T$2:$T$495=3)*('CASE MASTER'!$U$2:$U$495&lt;=9)*('CASE MASTER'!$W$2:$W$495&gt;=9)*('CASE MASTER'!$V$2:$V$495&lt;=8)*('CASE MASTER'!$X$2:$X$495&gt;=8))*ROW('CASE MASTER'!$T$2:$T$495))-(ROW('CASE MASTER'!#REF!)-1)))+1)+(8-INDEX('CASE MASTER'!$V$2:$V$495,(SUMPRODUCT((('CASE MASTER'!$T$2:$T$495=3)*('CASE MASTER'!$U$2:$U$495&lt;=9)*('CASE MASTER'!$W$2:$W$495&gt;=9)*('CASE MASTER'!$V$2:$V$495&lt;=8)*('CASE MASTER'!$X$2:$X$495&gt;=8))*ROW('CASE MASTER'!$T$2:$T$495))-(ROW('CASE MASTER'!#REF!)-1))))+1))-1)*50+1,50))&amp;"_"&amp;INDEX('CASE MASTER'!$Q$2:$Q$495,(SUMPRODUCT((('CASE MASTER'!$T$2:$T$495=3)*('CASE MASTER'!$U$2:$U$495&lt;=9)*('CASE MASTER'!$W$2:$W$495&gt;=9)*('CASE MASTER'!$V$2:$V$495&lt;=8)*('CASE MASTER'!$X$2:$X$495&gt;=8))*ROW('CASE MASTER'!$T$2:$T$495))-(ROW('CASE MASTER'!#REF!)-1))),IF(SUMPRODUCT((('CASE MASTER'!$T$2:$T$495=3)*('CASE MASTER'!$AA$2:$AA$495&lt;=9)*('CASE MASTER'!$AC$2:$AC$495&gt;=9)*('CASE MASTER'!$AB$2:$AB$495&lt;=8)*('CASE MASTER'!$AD$2:$AD$495&gt;=8))*ROW('CASE MASTER'!$T$2:$T$495))&gt;0,INDEX('CASE MASTER'!$Y$2:$Y$495,(SUMPRODUCT((('CASE MASTER'!$T$2:$T$495=3)*('CASE MASTER'!$AA$2:$AA$495&lt;=9)*('CASE MASTER'!$AC$2:$AC$495&gt;=9)*('CASE MASTER'!$AB$2:$AB$495&lt;=8)*('CASE MASTER'!$AD$2:$AD$495&gt;=8))*ROW('CASE MASTER'!$T$2:$T$495))-(ROW('CASE MASTER'!#REF!)-1)))&amp;TRIM(MID(SUBSTITUTE(SUBSTITUTE(INDEX('CASE MASTER'!$N$2:$N$495,(SUMPRODUCT((('CASE MASTER'!$T$2:$T$495=3)*('CASE MASTER'!$AA$2:$AA$495&lt;=9)*('CASE MASTER'!$AC$2:$AC$495&gt;=9)*('CASE MASTER'!$AB$2:$AB$495&lt;=8)*('CASE MASTER'!$AD$2:$AD$495&gt;=8))*ROW('CASE MASTER'!$T$2:$T$495))-(ROW('CASE MASTER'!#REF!)-1))),":",","),",",REPT(" ",50)),(((INDEX('CASE MASTER'!$Z$2:$Z$495,(SUMPRODUCT((('CASE MASTER'!$T$2:$T$495=3)*('CASE MASTER'!$AA$2:$AA$495&lt;=9)*('CASE MASTER'!$AC$2:$AC$495&gt;=9)*('CASE MASTER'!$AB$2:$AB$495&lt;=8)*('CASE MASTER'!$AD$2:$AD$495&gt;=8))*ROW('CASE MASTER'!$T$2:$T$495))-(ROW('CASE MASTER'!#REF!)-1)))+((9-INDEX('CASE MASTER'!$AA$2:$AA$495,(SUMPRODUCT((('CASE MASTER'!$T$2:$T$495=3)*('CASE MASTER'!$AA$2:$AA$495&lt;=9)*('CASE MASTER'!$AC$2:$AC$495&gt;=9)*('CASE MASTER'!$AB$2:$AB$495&lt;=8)*('CASE MASTER'!$AD$2:$AD$495&gt;=8))*ROW('CASE MASTER'!$T$2:$T$495))-(ROW('CASE MASTER'!#REF!)-1))))*(INDEX('CASE MASTER'!$AD$2:$AD$495,(SUMPRODUCT((('CASE MASTER'!$T$2:$T$495=3)*('CASE MASTER'!$AA$2:$AA$495&lt;=9)*('CASE MASTER'!$AC$2:$AC$495&gt;=9)*('CASE MASTER'!$AB$2:$AB$495&lt;=8)*('CASE MASTER'!$AD$2:$AD$495&gt;=8))*ROW('CASE MASTER'!$T$2:$T$495))-(ROW('CASE MASTER'!#REF!)-1)))-INDEX('CASE MASTER'!$AB$2:$AB$495,(SUMPRODUCT((('CASE MASTER'!$T$2:$T$495=3)*('CASE MASTER'!$AA$2:$AA$495&lt;=9)*('CASE MASTER'!$AC$2:$AC$495&gt;=9)*('CASE MASTER'!$AB$2:$AB$495&lt;=8)*('CASE MASTER'!$AD$2:$AD$495&gt;=8))*ROW('CASE MASTER'!$T$2:$T$495))-(ROW('CASE MASTER'!#REF!)-1)))+1)+(8-INDEX('CASE MASTER'!$AB$2:$AB$495,(SUMPRODUCT((('CASE MASTER'!$T$2:$T$495=3)*('CASE MASTER'!$AA$2:$AA$495&lt;=9)*('CASE MASTER'!$AC$2:$AC$495&gt;=9)*('CASE MASTER'!$AB$2:$AB$495&lt;=8)*('CASE MASTER'!$AD$2:$AD$495&gt;=8))*ROW('CASE MASTER'!$T$2:$T$495))-(ROW('CASE MASTER'!#REF!)-1))))+1)))-1)*50+1,50))&amp;"_"&amp;INDEX('CASE MASTER'!$Q$2:$Q$495,(SUMPRODUCT((('CASE MASTER'!$T$2:$T$495=3)*('CASE MASTER'!$AA$2:$AA$495&lt;=9)*('CASE MASTER'!$AC$2:$AC$495&gt;=9)*('CASE MASTER'!$AB$2:$AB$495&lt;=8)*('CASE MASTER'!$AD$2:$AD$495&gt;=8))*ROW('CASE MASTER'!$T$2:$T$495))-(ROW('CASE MASTER'!#REF!)-1))),"")),"")</f>
        <v/>
      </c>
      <c r="J39" s="10" t="str">
        <f>IFERROR(IF(SUMPRODUCT((('CASE MASTER'!$T$2:$T$495=3)*('CASE MASTER'!$U$2:$U$495&lt;=9)*('CASE MASTER'!$W$2:$W$495&gt;=9)*('CASE MASTER'!$V$2:$V$495&lt;=9)*('CASE MASTER'!$X$2:$X$495&gt;=9))*ROW('CASE MASTER'!$T$2:$T$495))&gt;0,INDEX('CASE MASTER'!$Y$2:$Y$495,(SUMPRODUCT((('CASE MASTER'!$T$2:$T$495=3)*('CASE MASTER'!$U$2:$U$495&lt;=9)*('CASE MASTER'!$W$2:$W$495&gt;=9)*('CASE MASTER'!$V$2:$V$495&lt;=9)*('CASE MASTER'!$X$2:$X$495&gt;=9))*ROW('CASE MASTER'!$T$2:$T$495))-(ROW('CASE MASTER'!#REF!)-1)))&amp;TRIM(MID(SUBSTITUTE(SUBSTITUTE(INDEX('CASE MASTER'!$N$2:$N$495,(SUMPRODUCT((('CASE MASTER'!$T$2:$T$495=3)*('CASE MASTER'!$U$2:$U$495&lt;=9)*('CASE MASTER'!$W$2:$W$495&gt;=9)*('CASE MASTER'!$V$2:$V$495&lt;=9)*('CASE MASTER'!$X$2:$X$495&gt;=9))*ROW('CASE MASTER'!$T$2:$T$495))-(ROW('CASE MASTER'!#REF!)-1))),":",","),",",REPT(" ",50)),((((9-INDEX('CASE MASTER'!$U$2:$U$495,(SUMPRODUCT((('CASE MASTER'!$T$2:$T$495=3)*('CASE MASTER'!$U$2:$U$495&lt;=9)*('CASE MASTER'!$W$2:$W$495&gt;=9)*('CASE MASTER'!$V$2:$V$495&lt;=9)*('CASE MASTER'!$X$2:$X$495&gt;=9))*ROW('CASE MASTER'!$T$2:$T$495))-(ROW('CASE MASTER'!#REF!)-1))))*(INDEX('CASE MASTER'!$X$2:$X$495,(SUMPRODUCT((('CASE MASTER'!$T$2:$T$495=3)*('CASE MASTER'!$U$2:$U$495&lt;=9)*('CASE MASTER'!$W$2:$W$495&gt;=9)*('CASE MASTER'!$V$2:$V$495&lt;=9)*('CASE MASTER'!$X$2:$X$495&gt;=9))*ROW('CASE MASTER'!$T$2:$T$495))-(ROW('CASE MASTER'!#REF!)-1)))-INDEX('CASE MASTER'!$V$2:$V$495,(SUMPRODUCT((('CASE MASTER'!$T$2:$T$495=3)*('CASE MASTER'!$U$2:$U$495&lt;=9)*('CASE MASTER'!$W$2:$W$495&gt;=9)*('CASE MASTER'!$V$2:$V$495&lt;=9)*('CASE MASTER'!$X$2:$X$495&gt;=9))*ROW('CASE MASTER'!$T$2:$T$495))-(ROW('CASE MASTER'!#REF!)-1)))+1)+(9-INDEX('CASE MASTER'!$V$2:$V$495,(SUMPRODUCT((('CASE MASTER'!$T$2:$T$495=3)*('CASE MASTER'!$U$2:$U$495&lt;=9)*('CASE MASTER'!$W$2:$W$495&gt;=9)*('CASE MASTER'!$V$2:$V$495&lt;=9)*('CASE MASTER'!$X$2:$X$495&gt;=9))*ROW('CASE MASTER'!$T$2:$T$495))-(ROW('CASE MASTER'!#REF!)-1))))+1))-1)*50+1,50))&amp;"_"&amp;INDEX('CASE MASTER'!$Q$2:$Q$495,(SUMPRODUCT((('CASE MASTER'!$T$2:$T$495=3)*('CASE MASTER'!$U$2:$U$495&lt;=9)*('CASE MASTER'!$W$2:$W$495&gt;=9)*('CASE MASTER'!$V$2:$V$495&lt;=9)*('CASE MASTER'!$X$2:$X$495&gt;=9))*ROW('CASE MASTER'!$T$2:$T$495))-(ROW('CASE MASTER'!#REF!)-1))),IF(SUMPRODUCT((('CASE MASTER'!$T$2:$T$495=3)*('CASE MASTER'!$AA$2:$AA$495&lt;=9)*('CASE MASTER'!$AC$2:$AC$495&gt;=9)*('CASE MASTER'!$AB$2:$AB$495&lt;=9)*('CASE MASTER'!$AD$2:$AD$495&gt;=9))*ROW('CASE MASTER'!$T$2:$T$495))&gt;0,INDEX('CASE MASTER'!$Y$2:$Y$495,(SUMPRODUCT((('CASE MASTER'!$T$2:$T$495=3)*('CASE MASTER'!$AA$2:$AA$495&lt;=9)*('CASE MASTER'!$AC$2:$AC$495&gt;=9)*('CASE MASTER'!$AB$2:$AB$495&lt;=9)*('CASE MASTER'!$AD$2:$AD$495&gt;=9))*ROW('CASE MASTER'!$T$2:$T$495))-(ROW('CASE MASTER'!#REF!)-1)))&amp;TRIM(MID(SUBSTITUTE(SUBSTITUTE(INDEX('CASE MASTER'!$N$2:$N$495,(SUMPRODUCT((('CASE MASTER'!$T$2:$T$495=3)*('CASE MASTER'!$AA$2:$AA$495&lt;=9)*('CASE MASTER'!$AC$2:$AC$495&gt;=9)*('CASE MASTER'!$AB$2:$AB$495&lt;=9)*('CASE MASTER'!$AD$2:$AD$495&gt;=9))*ROW('CASE MASTER'!$T$2:$T$495))-(ROW('CASE MASTER'!#REF!)-1))),":",","),",",REPT(" ",50)),(((INDEX('CASE MASTER'!$Z$2:$Z$495,(SUMPRODUCT((('CASE MASTER'!$T$2:$T$495=3)*('CASE MASTER'!$AA$2:$AA$495&lt;=9)*('CASE MASTER'!$AC$2:$AC$495&gt;=9)*('CASE MASTER'!$AB$2:$AB$495&lt;=9)*('CASE MASTER'!$AD$2:$AD$495&gt;=9))*ROW('CASE MASTER'!$T$2:$T$495))-(ROW('CASE MASTER'!#REF!)-1)))+((9-INDEX('CASE MASTER'!$AA$2:$AA$495,(SUMPRODUCT((('CASE MASTER'!$T$2:$T$495=3)*('CASE MASTER'!$AA$2:$AA$495&lt;=9)*('CASE MASTER'!$AC$2:$AC$495&gt;=9)*('CASE MASTER'!$AB$2:$AB$495&lt;=9)*('CASE MASTER'!$AD$2:$AD$495&gt;=9))*ROW('CASE MASTER'!$T$2:$T$495))-(ROW('CASE MASTER'!#REF!)-1))))*(INDEX('CASE MASTER'!$AD$2:$AD$495,(SUMPRODUCT((('CASE MASTER'!$T$2:$T$495=3)*('CASE MASTER'!$AA$2:$AA$495&lt;=9)*('CASE MASTER'!$AC$2:$AC$495&gt;=9)*('CASE MASTER'!$AB$2:$AB$495&lt;=9)*('CASE MASTER'!$AD$2:$AD$495&gt;=9))*ROW('CASE MASTER'!$T$2:$T$495))-(ROW('CASE MASTER'!#REF!)-1)))-INDEX('CASE MASTER'!$AB$2:$AB$495,(SUMPRODUCT((('CASE MASTER'!$T$2:$T$495=3)*('CASE MASTER'!$AA$2:$AA$495&lt;=9)*('CASE MASTER'!$AC$2:$AC$495&gt;=9)*('CASE MASTER'!$AB$2:$AB$495&lt;=9)*('CASE MASTER'!$AD$2:$AD$495&gt;=9))*ROW('CASE MASTER'!$T$2:$T$495))-(ROW('CASE MASTER'!#REF!)-1)))+1)+(9-INDEX('CASE MASTER'!$AB$2:$AB$495,(SUMPRODUCT((('CASE MASTER'!$T$2:$T$495=3)*('CASE MASTER'!$AA$2:$AA$495&lt;=9)*('CASE MASTER'!$AC$2:$AC$495&gt;=9)*('CASE MASTER'!$AB$2:$AB$495&lt;=9)*('CASE MASTER'!$AD$2:$AD$495&gt;=9))*ROW('CASE MASTER'!$T$2:$T$495))-(ROW('CASE MASTER'!#REF!)-1))))+1)))-1)*50+1,50))&amp;"_"&amp;INDEX('CASE MASTER'!$Q$2:$Q$495,(SUMPRODUCT((('CASE MASTER'!$T$2:$T$495=3)*('CASE MASTER'!$AA$2:$AA$495&lt;=9)*('CASE MASTER'!$AC$2:$AC$495&gt;=9)*('CASE MASTER'!$AB$2:$AB$495&lt;=9)*('CASE MASTER'!$AD$2:$AD$495&gt;=9))*ROW('CASE MASTER'!$T$2:$T$495))-(ROW('CASE MASTER'!#REF!)-1))),"")),"")</f>
        <v/>
      </c>
      <c r="K39" s="10" t="str">
        <f>IFERROR(IF(SUMPRODUCT((('CASE MASTER'!$T$2:$T$495=3)*('CASE MASTER'!$U$2:$U$495&lt;=9)*('CASE MASTER'!$W$2:$W$495&gt;=9)*('CASE MASTER'!$V$2:$V$495&lt;=10)*('CASE MASTER'!$X$2:$X$495&gt;=10))*ROW('CASE MASTER'!$T$2:$T$495))&gt;0,INDEX('CASE MASTER'!$Y$2:$Y$495,(SUMPRODUCT((('CASE MASTER'!$T$2:$T$495=3)*('CASE MASTER'!$U$2:$U$495&lt;=9)*('CASE MASTER'!$W$2:$W$495&gt;=9)*('CASE MASTER'!$V$2:$V$495&lt;=10)*('CASE MASTER'!$X$2:$X$495&gt;=10))*ROW('CASE MASTER'!$T$2:$T$495))-(ROW('CASE MASTER'!#REF!)-1)))&amp;TRIM(MID(SUBSTITUTE(SUBSTITUTE(INDEX('CASE MASTER'!$N$2:$N$495,(SUMPRODUCT((('CASE MASTER'!$T$2:$T$495=3)*('CASE MASTER'!$U$2:$U$495&lt;=9)*('CASE MASTER'!$W$2:$W$495&gt;=9)*('CASE MASTER'!$V$2:$V$495&lt;=10)*('CASE MASTER'!$X$2:$X$495&gt;=10))*ROW('CASE MASTER'!$T$2:$T$495))-(ROW('CASE MASTER'!#REF!)-1))),":",","),",",REPT(" ",50)),((((9-INDEX('CASE MASTER'!$U$2:$U$495,(SUMPRODUCT((('CASE MASTER'!$T$2:$T$495=3)*('CASE MASTER'!$U$2:$U$495&lt;=9)*('CASE MASTER'!$W$2:$W$495&gt;=9)*('CASE MASTER'!$V$2:$V$495&lt;=10)*('CASE MASTER'!$X$2:$X$495&gt;=10))*ROW('CASE MASTER'!$T$2:$T$495))-(ROW('CASE MASTER'!#REF!)-1))))*(INDEX('CASE MASTER'!$X$2:$X$495,(SUMPRODUCT((('CASE MASTER'!$T$2:$T$495=3)*('CASE MASTER'!$U$2:$U$495&lt;=9)*('CASE MASTER'!$W$2:$W$495&gt;=9)*('CASE MASTER'!$V$2:$V$495&lt;=10)*('CASE MASTER'!$X$2:$X$495&gt;=10))*ROW('CASE MASTER'!$T$2:$T$495))-(ROW('CASE MASTER'!#REF!)-1)))-INDEX('CASE MASTER'!$V$2:$V$495,(SUMPRODUCT((('CASE MASTER'!$T$2:$T$495=3)*('CASE MASTER'!$U$2:$U$495&lt;=9)*('CASE MASTER'!$W$2:$W$495&gt;=9)*('CASE MASTER'!$V$2:$V$495&lt;=10)*('CASE MASTER'!$X$2:$X$495&gt;=10))*ROW('CASE MASTER'!$T$2:$T$495))-(ROW('CASE MASTER'!#REF!)-1)))+1)+(10-INDEX('CASE MASTER'!$V$2:$V$495,(SUMPRODUCT((('CASE MASTER'!$T$2:$T$495=3)*('CASE MASTER'!$U$2:$U$495&lt;=9)*('CASE MASTER'!$W$2:$W$495&gt;=9)*('CASE MASTER'!$V$2:$V$495&lt;=10)*('CASE MASTER'!$X$2:$X$495&gt;=10))*ROW('CASE MASTER'!$T$2:$T$495))-(ROW('CASE MASTER'!#REF!)-1))))+1))-1)*50+1,50))&amp;"_"&amp;INDEX('CASE MASTER'!$Q$2:$Q$495,(SUMPRODUCT((('CASE MASTER'!$T$2:$T$495=3)*('CASE MASTER'!$U$2:$U$495&lt;=9)*('CASE MASTER'!$W$2:$W$495&gt;=9)*('CASE MASTER'!$V$2:$V$495&lt;=10)*('CASE MASTER'!$X$2:$X$495&gt;=10))*ROW('CASE MASTER'!$T$2:$T$495))-(ROW('CASE MASTER'!#REF!)-1))),IF(SUMPRODUCT((('CASE MASTER'!$T$2:$T$495=3)*('CASE MASTER'!$AA$2:$AA$495&lt;=9)*('CASE MASTER'!$AC$2:$AC$495&gt;=9)*('CASE MASTER'!$AB$2:$AB$495&lt;=10)*('CASE MASTER'!$AD$2:$AD$495&gt;=10))*ROW('CASE MASTER'!$T$2:$T$495))&gt;0,INDEX('CASE MASTER'!$Y$2:$Y$495,(SUMPRODUCT((('CASE MASTER'!$T$2:$T$495=3)*('CASE MASTER'!$AA$2:$AA$495&lt;=9)*('CASE MASTER'!$AC$2:$AC$495&gt;=9)*('CASE MASTER'!$AB$2:$AB$495&lt;=10)*('CASE MASTER'!$AD$2:$AD$495&gt;=10))*ROW('CASE MASTER'!$T$2:$T$495))-(ROW('CASE MASTER'!#REF!)-1)))&amp;TRIM(MID(SUBSTITUTE(SUBSTITUTE(INDEX('CASE MASTER'!$N$2:$N$495,(SUMPRODUCT((('CASE MASTER'!$T$2:$T$495=3)*('CASE MASTER'!$AA$2:$AA$495&lt;=9)*('CASE MASTER'!$AC$2:$AC$495&gt;=9)*('CASE MASTER'!$AB$2:$AB$495&lt;=10)*('CASE MASTER'!$AD$2:$AD$495&gt;=10))*ROW('CASE MASTER'!$T$2:$T$495))-(ROW('CASE MASTER'!#REF!)-1))),":",","),",",REPT(" ",50)),(((INDEX('CASE MASTER'!$Z$2:$Z$495,(SUMPRODUCT((('CASE MASTER'!$T$2:$T$495=3)*('CASE MASTER'!$AA$2:$AA$495&lt;=9)*('CASE MASTER'!$AC$2:$AC$495&gt;=9)*('CASE MASTER'!$AB$2:$AB$495&lt;=10)*('CASE MASTER'!$AD$2:$AD$495&gt;=10))*ROW('CASE MASTER'!$T$2:$T$495))-(ROW('CASE MASTER'!#REF!)-1)))+((9-INDEX('CASE MASTER'!$AA$2:$AA$495,(SUMPRODUCT((('CASE MASTER'!$T$2:$T$495=3)*('CASE MASTER'!$AA$2:$AA$495&lt;=9)*('CASE MASTER'!$AC$2:$AC$495&gt;=9)*('CASE MASTER'!$AB$2:$AB$495&lt;=10)*('CASE MASTER'!$AD$2:$AD$495&gt;=10))*ROW('CASE MASTER'!$T$2:$T$495))-(ROW('CASE MASTER'!#REF!)-1))))*(INDEX('CASE MASTER'!$AD$2:$AD$495,(SUMPRODUCT((('CASE MASTER'!$T$2:$T$495=3)*('CASE MASTER'!$AA$2:$AA$495&lt;=9)*('CASE MASTER'!$AC$2:$AC$495&gt;=9)*('CASE MASTER'!$AB$2:$AB$495&lt;=10)*('CASE MASTER'!$AD$2:$AD$495&gt;=10))*ROW('CASE MASTER'!$T$2:$T$495))-(ROW('CASE MASTER'!#REF!)-1)))-INDEX('CASE MASTER'!$AB$2:$AB$495,(SUMPRODUCT((('CASE MASTER'!$T$2:$T$495=3)*('CASE MASTER'!$AA$2:$AA$495&lt;=9)*('CASE MASTER'!$AC$2:$AC$495&gt;=9)*('CASE MASTER'!$AB$2:$AB$495&lt;=10)*('CASE MASTER'!$AD$2:$AD$495&gt;=10))*ROW('CASE MASTER'!$T$2:$T$495))-(ROW('CASE MASTER'!#REF!)-1)))+1)+(10-INDEX('CASE MASTER'!$AB$2:$AB$495,(SUMPRODUCT((('CASE MASTER'!$T$2:$T$495=3)*('CASE MASTER'!$AA$2:$AA$495&lt;=9)*('CASE MASTER'!$AC$2:$AC$495&gt;=9)*('CASE MASTER'!$AB$2:$AB$495&lt;=10)*('CASE MASTER'!$AD$2:$AD$495&gt;=10))*ROW('CASE MASTER'!$T$2:$T$495))-(ROW('CASE MASTER'!#REF!)-1))))+1)))-1)*50+1,50))&amp;"_"&amp;INDEX('CASE MASTER'!$Q$2:$Q$495,(SUMPRODUCT((('CASE MASTER'!$T$2:$T$495=3)*('CASE MASTER'!$AA$2:$AA$495&lt;=9)*('CASE MASTER'!$AC$2:$AC$495&gt;=9)*('CASE MASTER'!$AB$2:$AB$495&lt;=10)*('CASE MASTER'!$AD$2:$AD$495&gt;=10))*ROW('CASE MASTER'!$T$2:$T$495))-(ROW('CASE MASTER'!#REF!)-1))),"")),"")</f>
        <v/>
      </c>
    </row>
    <row r="40" spans="1:11" ht="15" customHeight="1" x14ac:dyDescent="0.35">
      <c r="A40" s="8" t="s">
        <v>82</v>
      </c>
      <c r="B40" s="10" t="str">
        <f>IFERROR(IF(SUMPRODUCT((('CASE MASTER'!$T$2:$T$495=3)*('CASE MASTER'!$U$2:$U$495&lt;=10)*('CASE MASTER'!$W$2:$W$495&gt;=10)*('CASE MASTER'!$V$2:$V$495&lt;=1)*('CASE MASTER'!$X$2:$X$495&gt;=1))*ROW('CASE MASTER'!$T$2:$T$495))&gt;0,INDEX('CASE MASTER'!$Y$2:$Y$495,(SUMPRODUCT((('CASE MASTER'!$T$2:$T$495=3)*('CASE MASTER'!$U$2:$U$495&lt;=10)*('CASE MASTER'!$W$2:$W$495&gt;=10)*('CASE MASTER'!$V$2:$V$495&lt;=1)*('CASE MASTER'!$X$2:$X$495&gt;=1))*ROW('CASE MASTER'!$T$2:$T$495))-(ROW('CASE MASTER'!#REF!)-1)))&amp;TRIM(MID(SUBSTITUTE(SUBSTITUTE(INDEX('CASE MASTER'!$N$2:$N$495,(SUMPRODUCT((('CASE MASTER'!$T$2:$T$495=3)*('CASE MASTER'!$U$2:$U$495&lt;=10)*('CASE MASTER'!$W$2:$W$495&gt;=10)*('CASE MASTER'!$V$2:$V$495&lt;=1)*('CASE MASTER'!$X$2:$X$495&gt;=1))*ROW('CASE MASTER'!$T$2:$T$495))-(ROW('CASE MASTER'!#REF!)-1))),":",","),",",REPT(" ",50)),((((10-INDEX('CASE MASTER'!$U$2:$U$495,(SUMPRODUCT((('CASE MASTER'!$T$2:$T$495=3)*('CASE MASTER'!$U$2:$U$495&lt;=10)*('CASE MASTER'!$W$2:$W$495&gt;=10)*('CASE MASTER'!$V$2:$V$495&lt;=1)*('CASE MASTER'!$X$2:$X$495&gt;=1))*ROW('CASE MASTER'!$T$2:$T$495))-(ROW('CASE MASTER'!#REF!)-1))))*(INDEX('CASE MASTER'!$X$2:$X$495,(SUMPRODUCT((('CASE MASTER'!$T$2:$T$495=3)*('CASE MASTER'!$U$2:$U$495&lt;=10)*('CASE MASTER'!$W$2:$W$495&gt;=10)*('CASE MASTER'!$V$2:$V$495&lt;=1)*('CASE MASTER'!$X$2:$X$495&gt;=1))*ROW('CASE MASTER'!$T$2:$T$495))-(ROW('CASE MASTER'!#REF!)-1)))-INDEX('CASE MASTER'!$V$2:$V$495,(SUMPRODUCT((('CASE MASTER'!$T$2:$T$495=3)*('CASE MASTER'!$U$2:$U$495&lt;=10)*('CASE MASTER'!$W$2:$W$495&gt;=10)*('CASE MASTER'!$V$2:$V$495&lt;=1)*('CASE MASTER'!$X$2:$X$495&gt;=1))*ROW('CASE MASTER'!$T$2:$T$495))-(ROW('CASE MASTER'!#REF!)-1)))+1)+(1-INDEX('CASE MASTER'!$V$2:$V$495,(SUMPRODUCT((('CASE MASTER'!$T$2:$T$495=3)*('CASE MASTER'!$U$2:$U$495&lt;=10)*('CASE MASTER'!$W$2:$W$495&gt;=10)*('CASE MASTER'!$V$2:$V$495&lt;=1)*('CASE MASTER'!$X$2:$X$495&gt;=1))*ROW('CASE MASTER'!$T$2:$T$495))-(ROW('CASE MASTER'!#REF!)-1))))+1))-1)*50+1,50))&amp;"_"&amp;INDEX('CASE MASTER'!$Q$2:$Q$495,(SUMPRODUCT((('CASE MASTER'!$T$2:$T$495=3)*('CASE MASTER'!$U$2:$U$495&lt;=10)*('CASE MASTER'!$W$2:$W$495&gt;=10)*('CASE MASTER'!$V$2:$V$495&lt;=1)*('CASE MASTER'!$X$2:$X$495&gt;=1))*ROW('CASE MASTER'!$T$2:$T$495))-(ROW('CASE MASTER'!#REF!)-1))),IF(SUMPRODUCT((('CASE MASTER'!$T$2:$T$495=3)*('CASE MASTER'!$AA$2:$AA$495&lt;=10)*('CASE MASTER'!$AC$2:$AC$495&gt;=10)*('CASE MASTER'!$AB$2:$AB$495&lt;=1)*('CASE MASTER'!$AD$2:$AD$495&gt;=1))*ROW('CASE MASTER'!$T$2:$T$495))&gt;0,INDEX('CASE MASTER'!$Y$2:$Y$495,(SUMPRODUCT((('CASE MASTER'!$T$2:$T$495=3)*('CASE MASTER'!$AA$2:$AA$495&lt;=10)*('CASE MASTER'!$AC$2:$AC$495&gt;=10)*('CASE MASTER'!$AB$2:$AB$495&lt;=1)*('CASE MASTER'!$AD$2:$AD$495&gt;=1))*ROW('CASE MASTER'!$T$2:$T$495))-(ROW('CASE MASTER'!#REF!)-1)))&amp;TRIM(MID(SUBSTITUTE(SUBSTITUTE(INDEX('CASE MASTER'!$N$2:$N$495,(SUMPRODUCT((('CASE MASTER'!$T$2:$T$495=3)*('CASE MASTER'!$AA$2:$AA$495&lt;=10)*('CASE MASTER'!$AC$2:$AC$495&gt;=10)*('CASE MASTER'!$AB$2:$AB$495&lt;=1)*('CASE MASTER'!$AD$2:$AD$495&gt;=1))*ROW('CASE MASTER'!$T$2:$T$495))-(ROW('CASE MASTER'!#REF!)-1))),":",","),",",REPT(" ",50)),(((INDEX('CASE MASTER'!$Z$2:$Z$495,(SUMPRODUCT((('CASE MASTER'!$T$2:$T$495=3)*('CASE MASTER'!$AA$2:$AA$495&lt;=10)*('CASE MASTER'!$AC$2:$AC$495&gt;=10)*('CASE MASTER'!$AB$2:$AB$495&lt;=1)*('CASE MASTER'!$AD$2:$AD$495&gt;=1))*ROW('CASE MASTER'!$T$2:$T$495))-(ROW('CASE MASTER'!#REF!)-1)))+((10-INDEX('CASE MASTER'!$AA$2:$AA$495,(SUMPRODUCT((('CASE MASTER'!$T$2:$T$495=3)*('CASE MASTER'!$AA$2:$AA$495&lt;=10)*('CASE MASTER'!$AC$2:$AC$495&gt;=10)*('CASE MASTER'!$AB$2:$AB$495&lt;=1)*('CASE MASTER'!$AD$2:$AD$495&gt;=1))*ROW('CASE MASTER'!$T$2:$T$495))-(ROW('CASE MASTER'!#REF!)-1))))*(INDEX('CASE MASTER'!$AD$2:$AD$495,(SUMPRODUCT((('CASE MASTER'!$T$2:$T$495=3)*('CASE MASTER'!$AA$2:$AA$495&lt;=10)*('CASE MASTER'!$AC$2:$AC$495&gt;=10)*('CASE MASTER'!$AB$2:$AB$495&lt;=1)*('CASE MASTER'!$AD$2:$AD$495&gt;=1))*ROW('CASE MASTER'!$T$2:$T$495))-(ROW('CASE MASTER'!#REF!)-1)))-INDEX('CASE MASTER'!$AB$2:$AB$495,(SUMPRODUCT((('CASE MASTER'!$T$2:$T$495=3)*('CASE MASTER'!$AA$2:$AA$495&lt;=10)*('CASE MASTER'!$AC$2:$AC$495&gt;=10)*('CASE MASTER'!$AB$2:$AB$495&lt;=1)*('CASE MASTER'!$AD$2:$AD$495&gt;=1))*ROW('CASE MASTER'!$T$2:$T$495))-(ROW('CASE MASTER'!#REF!)-1)))+1)+(1-INDEX('CASE MASTER'!$AB$2:$AB$495,(SUMPRODUCT((('CASE MASTER'!$T$2:$T$495=3)*('CASE MASTER'!$AA$2:$AA$495&lt;=10)*('CASE MASTER'!$AC$2:$AC$495&gt;=10)*('CASE MASTER'!$AB$2:$AB$495&lt;=1)*('CASE MASTER'!$AD$2:$AD$495&gt;=1))*ROW('CASE MASTER'!$T$2:$T$495))-(ROW('CASE MASTER'!#REF!)-1))))+1)))-1)*50+1,50))&amp;"_"&amp;INDEX('CASE MASTER'!$Q$2:$Q$495,(SUMPRODUCT((('CASE MASTER'!$T$2:$T$495=3)*('CASE MASTER'!$AA$2:$AA$495&lt;=10)*('CASE MASTER'!$AC$2:$AC$495&gt;=10)*('CASE MASTER'!$AB$2:$AB$495&lt;=1)*('CASE MASTER'!$AD$2:$AD$495&gt;=1))*ROW('CASE MASTER'!$T$2:$T$495))-(ROW('CASE MASTER'!#REF!)-1))),"")),"")</f>
        <v/>
      </c>
      <c r="C40" s="10" t="str">
        <f>IFERROR(IF(SUMPRODUCT((('CASE MASTER'!$T$2:$T$495=3)*('CASE MASTER'!$U$2:$U$495&lt;=10)*('CASE MASTER'!$W$2:$W$495&gt;=10)*('CASE MASTER'!$V$2:$V$495&lt;=2)*('CASE MASTER'!$X$2:$X$495&gt;=2))*ROW('CASE MASTER'!$T$2:$T$495))&gt;0,INDEX('CASE MASTER'!$Y$2:$Y$495,(SUMPRODUCT((('CASE MASTER'!$T$2:$T$495=3)*('CASE MASTER'!$U$2:$U$495&lt;=10)*('CASE MASTER'!$W$2:$W$495&gt;=10)*('CASE MASTER'!$V$2:$V$495&lt;=2)*('CASE MASTER'!$X$2:$X$495&gt;=2))*ROW('CASE MASTER'!$T$2:$T$495))-(ROW('CASE MASTER'!#REF!)-1)))&amp;TRIM(MID(SUBSTITUTE(SUBSTITUTE(INDEX('CASE MASTER'!$N$2:$N$495,(SUMPRODUCT((('CASE MASTER'!$T$2:$T$495=3)*('CASE MASTER'!$U$2:$U$495&lt;=10)*('CASE MASTER'!$W$2:$W$495&gt;=10)*('CASE MASTER'!$V$2:$V$495&lt;=2)*('CASE MASTER'!$X$2:$X$495&gt;=2))*ROW('CASE MASTER'!$T$2:$T$495))-(ROW('CASE MASTER'!#REF!)-1))),":",","),",",REPT(" ",50)),((((10-INDEX('CASE MASTER'!$U$2:$U$495,(SUMPRODUCT((('CASE MASTER'!$T$2:$T$495=3)*('CASE MASTER'!$U$2:$U$495&lt;=10)*('CASE MASTER'!$W$2:$W$495&gt;=10)*('CASE MASTER'!$V$2:$V$495&lt;=2)*('CASE MASTER'!$X$2:$X$495&gt;=2))*ROW('CASE MASTER'!$T$2:$T$495))-(ROW('CASE MASTER'!#REF!)-1))))*(INDEX('CASE MASTER'!$X$2:$X$495,(SUMPRODUCT((('CASE MASTER'!$T$2:$T$495=3)*('CASE MASTER'!$U$2:$U$495&lt;=10)*('CASE MASTER'!$W$2:$W$495&gt;=10)*('CASE MASTER'!$V$2:$V$495&lt;=2)*('CASE MASTER'!$X$2:$X$495&gt;=2))*ROW('CASE MASTER'!$T$2:$T$495))-(ROW('CASE MASTER'!#REF!)-1)))-INDEX('CASE MASTER'!$V$2:$V$495,(SUMPRODUCT((('CASE MASTER'!$T$2:$T$495=3)*('CASE MASTER'!$U$2:$U$495&lt;=10)*('CASE MASTER'!$W$2:$W$495&gt;=10)*('CASE MASTER'!$V$2:$V$495&lt;=2)*('CASE MASTER'!$X$2:$X$495&gt;=2))*ROW('CASE MASTER'!$T$2:$T$495))-(ROW('CASE MASTER'!#REF!)-1)))+1)+(2-INDEX('CASE MASTER'!$V$2:$V$495,(SUMPRODUCT((('CASE MASTER'!$T$2:$T$495=3)*('CASE MASTER'!$U$2:$U$495&lt;=10)*('CASE MASTER'!$W$2:$W$495&gt;=10)*('CASE MASTER'!$V$2:$V$495&lt;=2)*('CASE MASTER'!$X$2:$X$495&gt;=2))*ROW('CASE MASTER'!$T$2:$T$495))-(ROW('CASE MASTER'!#REF!)-1))))+1))-1)*50+1,50))&amp;"_"&amp;INDEX('CASE MASTER'!$Q$2:$Q$495,(SUMPRODUCT((('CASE MASTER'!$T$2:$T$495=3)*('CASE MASTER'!$U$2:$U$495&lt;=10)*('CASE MASTER'!$W$2:$W$495&gt;=10)*('CASE MASTER'!$V$2:$V$495&lt;=2)*('CASE MASTER'!$X$2:$X$495&gt;=2))*ROW('CASE MASTER'!$T$2:$T$495))-(ROW('CASE MASTER'!#REF!)-1))),IF(SUMPRODUCT((('CASE MASTER'!$T$2:$T$495=3)*('CASE MASTER'!$AA$2:$AA$495&lt;=10)*('CASE MASTER'!$AC$2:$AC$495&gt;=10)*('CASE MASTER'!$AB$2:$AB$495&lt;=2)*('CASE MASTER'!$AD$2:$AD$495&gt;=2))*ROW('CASE MASTER'!$T$2:$T$495))&gt;0,INDEX('CASE MASTER'!$Y$2:$Y$495,(SUMPRODUCT((('CASE MASTER'!$T$2:$T$495=3)*('CASE MASTER'!$AA$2:$AA$495&lt;=10)*('CASE MASTER'!$AC$2:$AC$495&gt;=10)*('CASE MASTER'!$AB$2:$AB$495&lt;=2)*('CASE MASTER'!$AD$2:$AD$495&gt;=2))*ROW('CASE MASTER'!$T$2:$T$495))-(ROW('CASE MASTER'!#REF!)-1)))&amp;TRIM(MID(SUBSTITUTE(SUBSTITUTE(INDEX('CASE MASTER'!$N$2:$N$495,(SUMPRODUCT((('CASE MASTER'!$T$2:$T$495=3)*('CASE MASTER'!$AA$2:$AA$495&lt;=10)*('CASE MASTER'!$AC$2:$AC$495&gt;=10)*('CASE MASTER'!$AB$2:$AB$495&lt;=2)*('CASE MASTER'!$AD$2:$AD$495&gt;=2))*ROW('CASE MASTER'!$T$2:$T$495))-(ROW('CASE MASTER'!#REF!)-1))),":",","),",",REPT(" ",50)),(((INDEX('CASE MASTER'!$Z$2:$Z$495,(SUMPRODUCT((('CASE MASTER'!$T$2:$T$495=3)*('CASE MASTER'!$AA$2:$AA$495&lt;=10)*('CASE MASTER'!$AC$2:$AC$495&gt;=10)*('CASE MASTER'!$AB$2:$AB$495&lt;=2)*('CASE MASTER'!$AD$2:$AD$495&gt;=2))*ROW('CASE MASTER'!$T$2:$T$495))-(ROW('CASE MASTER'!#REF!)-1)))+((10-INDEX('CASE MASTER'!$AA$2:$AA$495,(SUMPRODUCT((('CASE MASTER'!$T$2:$T$495=3)*('CASE MASTER'!$AA$2:$AA$495&lt;=10)*('CASE MASTER'!$AC$2:$AC$495&gt;=10)*('CASE MASTER'!$AB$2:$AB$495&lt;=2)*('CASE MASTER'!$AD$2:$AD$495&gt;=2))*ROW('CASE MASTER'!$T$2:$T$495))-(ROW('CASE MASTER'!#REF!)-1))))*(INDEX('CASE MASTER'!$AD$2:$AD$495,(SUMPRODUCT((('CASE MASTER'!$T$2:$T$495=3)*('CASE MASTER'!$AA$2:$AA$495&lt;=10)*('CASE MASTER'!$AC$2:$AC$495&gt;=10)*('CASE MASTER'!$AB$2:$AB$495&lt;=2)*('CASE MASTER'!$AD$2:$AD$495&gt;=2))*ROW('CASE MASTER'!$T$2:$T$495))-(ROW('CASE MASTER'!#REF!)-1)))-INDEX('CASE MASTER'!$AB$2:$AB$495,(SUMPRODUCT((('CASE MASTER'!$T$2:$T$495=3)*('CASE MASTER'!$AA$2:$AA$495&lt;=10)*('CASE MASTER'!$AC$2:$AC$495&gt;=10)*('CASE MASTER'!$AB$2:$AB$495&lt;=2)*('CASE MASTER'!$AD$2:$AD$495&gt;=2))*ROW('CASE MASTER'!$T$2:$T$495))-(ROW('CASE MASTER'!#REF!)-1)))+1)+(2-INDEX('CASE MASTER'!$AB$2:$AB$495,(SUMPRODUCT((('CASE MASTER'!$T$2:$T$495=3)*('CASE MASTER'!$AA$2:$AA$495&lt;=10)*('CASE MASTER'!$AC$2:$AC$495&gt;=10)*('CASE MASTER'!$AB$2:$AB$495&lt;=2)*('CASE MASTER'!$AD$2:$AD$495&gt;=2))*ROW('CASE MASTER'!$T$2:$T$495))-(ROW('CASE MASTER'!#REF!)-1))))+1)))-1)*50+1,50))&amp;"_"&amp;INDEX('CASE MASTER'!$Q$2:$Q$495,(SUMPRODUCT((('CASE MASTER'!$T$2:$T$495=3)*('CASE MASTER'!$AA$2:$AA$495&lt;=10)*('CASE MASTER'!$AC$2:$AC$495&gt;=10)*('CASE MASTER'!$AB$2:$AB$495&lt;=2)*('CASE MASTER'!$AD$2:$AD$495&gt;=2))*ROW('CASE MASTER'!$T$2:$T$495))-(ROW('CASE MASTER'!#REF!)-1))),"")),"")</f>
        <v/>
      </c>
      <c r="D40" s="10" t="str">
        <f>IFERROR(IF(SUMPRODUCT((('CASE MASTER'!$T$2:$T$495=3)*('CASE MASTER'!$U$2:$U$495&lt;=10)*('CASE MASTER'!$W$2:$W$495&gt;=10)*('CASE MASTER'!$V$2:$V$495&lt;=3)*('CASE MASTER'!$X$2:$X$495&gt;=3))*ROW('CASE MASTER'!$T$2:$T$495))&gt;0,INDEX('CASE MASTER'!$Y$2:$Y$495,(SUMPRODUCT((('CASE MASTER'!$T$2:$T$495=3)*('CASE MASTER'!$U$2:$U$495&lt;=10)*('CASE MASTER'!$W$2:$W$495&gt;=10)*('CASE MASTER'!$V$2:$V$495&lt;=3)*('CASE MASTER'!$X$2:$X$495&gt;=3))*ROW('CASE MASTER'!$T$2:$T$495))-(ROW('CASE MASTER'!#REF!)-1)))&amp;TRIM(MID(SUBSTITUTE(SUBSTITUTE(INDEX('CASE MASTER'!$N$2:$N$495,(SUMPRODUCT((('CASE MASTER'!$T$2:$T$495=3)*('CASE MASTER'!$U$2:$U$495&lt;=10)*('CASE MASTER'!$W$2:$W$495&gt;=10)*('CASE MASTER'!$V$2:$V$495&lt;=3)*('CASE MASTER'!$X$2:$X$495&gt;=3))*ROW('CASE MASTER'!$T$2:$T$495))-(ROW('CASE MASTER'!#REF!)-1))),":",","),",",REPT(" ",50)),((((10-INDEX('CASE MASTER'!$U$2:$U$495,(SUMPRODUCT((('CASE MASTER'!$T$2:$T$495=3)*('CASE MASTER'!$U$2:$U$495&lt;=10)*('CASE MASTER'!$W$2:$W$495&gt;=10)*('CASE MASTER'!$V$2:$V$495&lt;=3)*('CASE MASTER'!$X$2:$X$495&gt;=3))*ROW('CASE MASTER'!$T$2:$T$495))-(ROW('CASE MASTER'!#REF!)-1))))*(INDEX('CASE MASTER'!$X$2:$X$495,(SUMPRODUCT((('CASE MASTER'!$T$2:$T$495=3)*('CASE MASTER'!$U$2:$U$495&lt;=10)*('CASE MASTER'!$W$2:$W$495&gt;=10)*('CASE MASTER'!$V$2:$V$495&lt;=3)*('CASE MASTER'!$X$2:$X$495&gt;=3))*ROW('CASE MASTER'!$T$2:$T$495))-(ROW('CASE MASTER'!#REF!)-1)))-INDEX('CASE MASTER'!$V$2:$V$495,(SUMPRODUCT((('CASE MASTER'!$T$2:$T$495=3)*('CASE MASTER'!$U$2:$U$495&lt;=10)*('CASE MASTER'!$W$2:$W$495&gt;=10)*('CASE MASTER'!$V$2:$V$495&lt;=3)*('CASE MASTER'!$X$2:$X$495&gt;=3))*ROW('CASE MASTER'!$T$2:$T$495))-(ROW('CASE MASTER'!#REF!)-1)))+1)+(3-INDEX('CASE MASTER'!$V$2:$V$495,(SUMPRODUCT((('CASE MASTER'!$T$2:$T$495=3)*('CASE MASTER'!$U$2:$U$495&lt;=10)*('CASE MASTER'!$W$2:$W$495&gt;=10)*('CASE MASTER'!$V$2:$V$495&lt;=3)*('CASE MASTER'!$X$2:$X$495&gt;=3))*ROW('CASE MASTER'!$T$2:$T$495))-(ROW('CASE MASTER'!#REF!)-1))))+1))-1)*50+1,50))&amp;"_"&amp;INDEX('CASE MASTER'!$Q$2:$Q$495,(SUMPRODUCT((('CASE MASTER'!$T$2:$T$495=3)*('CASE MASTER'!$U$2:$U$495&lt;=10)*('CASE MASTER'!$W$2:$W$495&gt;=10)*('CASE MASTER'!$V$2:$V$495&lt;=3)*('CASE MASTER'!$X$2:$X$495&gt;=3))*ROW('CASE MASTER'!$T$2:$T$495))-(ROW('CASE MASTER'!#REF!)-1))),IF(SUMPRODUCT((('CASE MASTER'!$T$2:$T$495=3)*('CASE MASTER'!$AA$2:$AA$495&lt;=10)*('CASE MASTER'!$AC$2:$AC$495&gt;=10)*('CASE MASTER'!$AB$2:$AB$495&lt;=3)*('CASE MASTER'!$AD$2:$AD$495&gt;=3))*ROW('CASE MASTER'!$T$2:$T$495))&gt;0,INDEX('CASE MASTER'!$Y$2:$Y$495,(SUMPRODUCT((('CASE MASTER'!$T$2:$T$495=3)*('CASE MASTER'!$AA$2:$AA$495&lt;=10)*('CASE MASTER'!$AC$2:$AC$495&gt;=10)*('CASE MASTER'!$AB$2:$AB$495&lt;=3)*('CASE MASTER'!$AD$2:$AD$495&gt;=3))*ROW('CASE MASTER'!$T$2:$T$495))-(ROW('CASE MASTER'!#REF!)-1)))&amp;TRIM(MID(SUBSTITUTE(SUBSTITUTE(INDEX('CASE MASTER'!$N$2:$N$495,(SUMPRODUCT((('CASE MASTER'!$T$2:$T$495=3)*('CASE MASTER'!$AA$2:$AA$495&lt;=10)*('CASE MASTER'!$AC$2:$AC$495&gt;=10)*('CASE MASTER'!$AB$2:$AB$495&lt;=3)*('CASE MASTER'!$AD$2:$AD$495&gt;=3))*ROW('CASE MASTER'!$T$2:$T$495))-(ROW('CASE MASTER'!#REF!)-1))),":",","),",",REPT(" ",50)),(((INDEX('CASE MASTER'!$Z$2:$Z$495,(SUMPRODUCT((('CASE MASTER'!$T$2:$T$495=3)*('CASE MASTER'!$AA$2:$AA$495&lt;=10)*('CASE MASTER'!$AC$2:$AC$495&gt;=10)*('CASE MASTER'!$AB$2:$AB$495&lt;=3)*('CASE MASTER'!$AD$2:$AD$495&gt;=3))*ROW('CASE MASTER'!$T$2:$T$495))-(ROW('CASE MASTER'!#REF!)-1)))+((10-INDEX('CASE MASTER'!$AA$2:$AA$495,(SUMPRODUCT((('CASE MASTER'!$T$2:$T$495=3)*('CASE MASTER'!$AA$2:$AA$495&lt;=10)*('CASE MASTER'!$AC$2:$AC$495&gt;=10)*('CASE MASTER'!$AB$2:$AB$495&lt;=3)*('CASE MASTER'!$AD$2:$AD$495&gt;=3))*ROW('CASE MASTER'!$T$2:$T$495))-(ROW('CASE MASTER'!#REF!)-1))))*(INDEX('CASE MASTER'!$AD$2:$AD$495,(SUMPRODUCT((('CASE MASTER'!$T$2:$T$495=3)*('CASE MASTER'!$AA$2:$AA$495&lt;=10)*('CASE MASTER'!$AC$2:$AC$495&gt;=10)*('CASE MASTER'!$AB$2:$AB$495&lt;=3)*('CASE MASTER'!$AD$2:$AD$495&gt;=3))*ROW('CASE MASTER'!$T$2:$T$495))-(ROW('CASE MASTER'!#REF!)-1)))-INDEX('CASE MASTER'!$AB$2:$AB$495,(SUMPRODUCT((('CASE MASTER'!$T$2:$T$495=3)*('CASE MASTER'!$AA$2:$AA$495&lt;=10)*('CASE MASTER'!$AC$2:$AC$495&gt;=10)*('CASE MASTER'!$AB$2:$AB$495&lt;=3)*('CASE MASTER'!$AD$2:$AD$495&gt;=3))*ROW('CASE MASTER'!$T$2:$T$495))-(ROW('CASE MASTER'!#REF!)-1)))+1)+(3-INDEX('CASE MASTER'!$AB$2:$AB$495,(SUMPRODUCT((('CASE MASTER'!$T$2:$T$495=3)*('CASE MASTER'!$AA$2:$AA$495&lt;=10)*('CASE MASTER'!$AC$2:$AC$495&gt;=10)*('CASE MASTER'!$AB$2:$AB$495&lt;=3)*('CASE MASTER'!$AD$2:$AD$495&gt;=3))*ROW('CASE MASTER'!$T$2:$T$495))-(ROW('CASE MASTER'!#REF!)-1))))+1)))-1)*50+1,50))&amp;"_"&amp;INDEX('CASE MASTER'!$Q$2:$Q$495,(SUMPRODUCT((('CASE MASTER'!$T$2:$T$495=3)*('CASE MASTER'!$AA$2:$AA$495&lt;=10)*('CASE MASTER'!$AC$2:$AC$495&gt;=10)*('CASE MASTER'!$AB$2:$AB$495&lt;=3)*('CASE MASTER'!$AD$2:$AD$495&gt;=3))*ROW('CASE MASTER'!$T$2:$T$495))-(ROW('CASE MASTER'!#REF!)-1))),"")),"")</f>
        <v/>
      </c>
      <c r="E40" s="10" t="str">
        <f>IFERROR(IF(SUMPRODUCT((('CASE MASTER'!$T$2:$T$495=3)*('CASE MASTER'!$U$2:$U$495&lt;=10)*('CASE MASTER'!$W$2:$W$495&gt;=10)*('CASE MASTER'!$V$2:$V$495&lt;=4)*('CASE MASTER'!$X$2:$X$495&gt;=4))*ROW('CASE MASTER'!$T$2:$T$495))&gt;0,INDEX('CASE MASTER'!$Y$2:$Y$495,(SUMPRODUCT((('CASE MASTER'!$T$2:$T$495=3)*('CASE MASTER'!$U$2:$U$495&lt;=10)*('CASE MASTER'!$W$2:$W$495&gt;=10)*('CASE MASTER'!$V$2:$V$495&lt;=4)*('CASE MASTER'!$X$2:$X$495&gt;=4))*ROW('CASE MASTER'!$T$2:$T$495))-(ROW('CASE MASTER'!#REF!)-1)))&amp;TRIM(MID(SUBSTITUTE(SUBSTITUTE(INDEX('CASE MASTER'!$N$2:$N$495,(SUMPRODUCT((('CASE MASTER'!$T$2:$T$495=3)*('CASE MASTER'!$U$2:$U$495&lt;=10)*('CASE MASTER'!$W$2:$W$495&gt;=10)*('CASE MASTER'!$V$2:$V$495&lt;=4)*('CASE MASTER'!$X$2:$X$495&gt;=4))*ROW('CASE MASTER'!$T$2:$T$495))-(ROW('CASE MASTER'!#REF!)-1))),":",","),",",REPT(" ",50)),((((10-INDEX('CASE MASTER'!$U$2:$U$495,(SUMPRODUCT((('CASE MASTER'!$T$2:$T$495=3)*('CASE MASTER'!$U$2:$U$495&lt;=10)*('CASE MASTER'!$W$2:$W$495&gt;=10)*('CASE MASTER'!$V$2:$V$495&lt;=4)*('CASE MASTER'!$X$2:$X$495&gt;=4))*ROW('CASE MASTER'!$T$2:$T$495))-(ROW('CASE MASTER'!#REF!)-1))))*(INDEX('CASE MASTER'!$X$2:$X$495,(SUMPRODUCT((('CASE MASTER'!$T$2:$T$495=3)*('CASE MASTER'!$U$2:$U$495&lt;=10)*('CASE MASTER'!$W$2:$W$495&gt;=10)*('CASE MASTER'!$V$2:$V$495&lt;=4)*('CASE MASTER'!$X$2:$X$495&gt;=4))*ROW('CASE MASTER'!$T$2:$T$495))-(ROW('CASE MASTER'!#REF!)-1)))-INDEX('CASE MASTER'!$V$2:$V$495,(SUMPRODUCT((('CASE MASTER'!$T$2:$T$495=3)*('CASE MASTER'!$U$2:$U$495&lt;=10)*('CASE MASTER'!$W$2:$W$495&gt;=10)*('CASE MASTER'!$V$2:$V$495&lt;=4)*('CASE MASTER'!$X$2:$X$495&gt;=4))*ROW('CASE MASTER'!$T$2:$T$495))-(ROW('CASE MASTER'!#REF!)-1)))+1)+(4-INDEX('CASE MASTER'!$V$2:$V$495,(SUMPRODUCT((('CASE MASTER'!$T$2:$T$495=3)*('CASE MASTER'!$U$2:$U$495&lt;=10)*('CASE MASTER'!$W$2:$W$495&gt;=10)*('CASE MASTER'!$V$2:$V$495&lt;=4)*('CASE MASTER'!$X$2:$X$495&gt;=4))*ROW('CASE MASTER'!$T$2:$T$495))-(ROW('CASE MASTER'!#REF!)-1))))+1))-1)*50+1,50))&amp;"_"&amp;INDEX('CASE MASTER'!$Q$2:$Q$495,(SUMPRODUCT((('CASE MASTER'!$T$2:$T$495=3)*('CASE MASTER'!$U$2:$U$495&lt;=10)*('CASE MASTER'!$W$2:$W$495&gt;=10)*('CASE MASTER'!$V$2:$V$495&lt;=4)*('CASE MASTER'!$X$2:$X$495&gt;=4))*ROW('CASE MASTER'!$T$2:$T$495))-(ROW('CASE MASTER'!#REF!)-1))),IF(SUMPRODUCT((('CASE MASTER'!$T$2:$T$495=3)*('CASE MASTER'!$AA$2:$AA$495&lt;=10)*('CASE MASTER'!$AC$2:$AC$495&gt;=10)*('CASE MASTER'!$AB$2:$AB$495&lt;=4)*('CASE MASTER'!$AD$2:$AD$495&gt;=4))*ROW('CASE MASTER'!$T$2:$T$495))&gt;0,INDEX('CASE MASTER'!$Y$2:$Y$495,(SUMPRODUCT((('CASE MASTER'!$T$2:$T$495=3)*('CASE MASTER'!$AA$2:$AA$495&lt;=10)*('CASE MASTER'!$AC$2:$AC$495&gt;=10)*('CASE MASTER'!$AB$2:$AB$495&lt;=4)*('CASE MASTER'!$AD$2:$AD$495&gt;=4))*ROW('CASE MASTER'!$T$2:$T$495))-(ROW('CASE MASTER'!#REF!)-1)))&amp;TRIM(MID(SUBSTITUTE(SUBSTITUTE(INDEX('CASE MASTER'!$N$2:$N$495,(SUMPRODUCT((('CASE MASTER'!$T$2:$T$495=3)*('CASE MASTER'!$AA$2:$AA$495&lt;=10)*('CASE MASTER'!$AC$2:$AC$495&gt;=10)*('CASE MASTER'!$AB$2:$AB$495&lt;=4)*('CASE MASTER'!$AD$2:$AD$495&gt;=4))*ROW('CASE MASTER'!$T$2:$T$495))-(ROW('CASE MASTER'!#REF!)-1))),":",","),",",REPT(" ",50)),(((INDEX('CASE MASTER'!$Z$2:$Z$495,(SUMPRODUCT((('CASE MASTER'!$T$2:$T$495=3)*('CASE MASTER'!$AA$2:$AA$495&lt;=10)*('CASE MASTER'!$AC$2:$AC$495&gt;=10)*('CASE MASTER'!$AB$2:$AB$495&lt;=4)*('CASE MASTER'!$AD$2:$AD$495&gt;=4))*ROW('CASE MASTER'!$T$2:$T$495))-(ROW('CASE MASTER'!#REF!)-1)))+((10-INDEX('CASE MASTER'!$AA$2:$AA$495,(SUMPRODUCT((('CASE MASTER'!$T$2:$T$495=3)*('CASE MASTER'!$AA$2:$AA$495&lt;=10)*('CASE MASTER'!$AC$2:$AC$495&gt;=10)*('CASE MASTER'!$AB$2:$AB$495&lt;=4)*('CASE MASTER'!$AD$2:$AD$495&gt;=4))*ROW('CASE MASTER'!$T$2:$T$495))-(ROW('CASE MASTER'!#REF!)-1))))*(INDEX('CASE MASTER'!$AD$2:$AD$495,(SUMPRODUCT((('CASE MASTER'!$T$2:$T$495=3)*('CASE MASTER'!$AA$2:$AA$495&lt;=10)*('CASE MASTER'!$AC$2:$AC$495&gt;=10)*('CASE MASTER'!$AB$2:$AB$495&lt;=4)*('CASE MASTER'!$AD$2:$AD$495&gt;=4))*ROW('CASE MASTER'!$T$2:$T$495))-(ROW('CASE MASTER'!#REF!)-1)))-INDEX('CASE MASTER'!$AB$2:$AB$495,(SUMPRODUCT((('CASE MASTER'!$T$2:$T$495=3)*('CASE MASTER'!$AA$2:$AA$495&lt;=10)*('CASE MASTER'!$AC$2:$AC$495&gt;=10)*('CASE MASTER'!$AB$2:$AB$495&lt;=4)*('CASE MASTER'!$AD$2:$AD$495&gt;=4))*ROW('CASE MASTER'!$T$2:$T$495))-(ROW('CASE MASTER'!#REF!)-1)))+1)+(4-INDEX('CASE MASTER'!$AB$2:$AB$495,(SUMPRODUCT((('CASE MASTER'!$T$2:$T$495=3)*('CASE MASTER'!$AA$2:$AA$495&lt;=10)*('CASE MASTER'!$AC$2:$AC$495&gt;=10)*('CASE MASTER'!$AB$2:$AB$495&lt;=4)*('CASE MASTER'!$AD$2:$AD$495&gt;=4))*ROW('CASE MASTER'!$T$2:$T$495))-(ROW('CASE MASTER'!#REF!)-1))))+1)))-1)*50+1,50))&amp;"_"&amp;INDEX('CASE MASTER'!$Q$2:$Q$495,(SUMPRODUCT((('CASE MASTER'!$T$2:$T$495=3)*('CASE MASTER'!$AA$2:$AA$495&lt;=10)*('CASE MASTER'!$AC$2:$AC$495&gt;=10)*('CASE MASTER'!$AB$2:$AB$495&lt;=4)*('CASE MASTER'!$AD$2:$AD$495&gt;=4))*ROW('CASE MASTER'!$T$2:$T$495))-(ROW('CASE MASTER'!#REF!)-1))),"")),"")</f>
        <v/>
      </c>
      <c r="F40" s="10" t="str">
        <f>IFERROR(IF(SUMPRODUCT((('CASE MASTER'!$T$2:$T$495=3)*('CASE MASTER'!$U$2:$U$495&lt;=10)*('CASE MASTER'!$W$2:$W$495&gt;=10)*('CASE MASTER'!$V$2:$V$495&lt;=5)*('CASE MASTER'!$X$2:$X$495&gt;=5))*ROW('CASE MASTER'!$T$2:$T$495))&gt;0,INDEX('CASE MASTER'!$Y$2:$Y$495,(SUMPRODUCT((('CASE MASTER'!$T$2:$T$495=3)*('CASE MASTER'!$U$2:$U$495&lt;=10)*('CASE MASTER'!$W$2:$W$495&gt;=10)*('CASE MASTER'!$V$2:$V$495&lt;=5)*('CASE MASTER'!$X$2:$X$495&gt;=5))*ROW('CASE MASTER'!$T$2:$T$495))-(ROW('CASE MASTER'!#REF!)-1)))&amp;TRIM(MID(SUBSTITUTE(SUBSTITUTE(INDEX('CASE MASTER'!$N$2:$N$495,(SUMPRODUCT((('CASE MASTER'!$T$2:$T$495=3)*('CASE MASTER'!$U$2:$U$495&lt;=10)*('CASE MASTER'!$W$2:$W$495&gt;=10)*('CASE MASTER'!$V$2:$V$495&lt;=5)*('CASE MASTER'!$X$2:$X$495&gt;=5))*ROW('CASE MASTER'!$T$2:$T$495))-(ROW('CASE MASTER'!#REF!)-1))),":",","),",",REPT(" ",50)),((((10-INDEX('CASE MASTER'!$U$2:$U$495,(SUMPRODUCT((('CASE MASTER'!$T$2:$T$495=3)*('CASE MASTER'!$U$2:$U$495&lt;=10)*('CASE MASTER'!$W$2:$W$495&gt;=10)*('CASE MASTER'!$V$2:$V$495&lt;=5)*('CASE MASTER'!$X$2:$X$495&gt;=5))*ROW('CASE MASTER'!$T$2:$T$495))-(ROW('CASE MASTER'!#REF!)-1))))*(INDEX('CASE MASTER'!$X$2:$X$495,(SUMPRODUCT((('CASE MASTER'!$T$2:$T$495=3)*('CASE MASTER'!$U$2:$U$495&lt;=10)*('CASE MASTER'!$W$2:$W$495&gt;=10)*('CASE MASTER'!$V$2:$V$495&lt;=5)*('CASE MASTER'!$X$2:$X$495&gt;=5))*ROW('CASE MASTER'!$T$2:$T$495))-(ROW('CASE MASTER'!#REF!)-1)))-INDEX('CASE MASTER'!$V$2:$V$495,(SUMPRODUCT((('CASE MASTER'!$T$2:$T$495=3)*('CASE MASTER'!$U$2:$U$495&lt;=10)*('CASE MASTER'!$W$2:$W$495&gt;=10)*('CASE MASTER'!$V$2:$V$495&lt;=5)*('CASE MASTER'!$X$2:$X$495&gt;=5))*ROW('CASE MASTER'!$T$2:$T$495))-(ROW('CASE MASTER'!#REF!)-1)))+1)+(5-INDEX('CASE MASTER'!$V$2:$V$495,(SUMPRODUCT((('CASE MASTER'!$T$2:$T$495=3)*('CASE MASTER'!$U$2:$U$495&lt;=10)*('CASE MASTER'!$W$2:$W$495&gt;=10)*('CASE MASTER'!$V$2:$V$495&lt;=5)*('CASE MASTER'!$X$2:$X$495&gt;=5))*ROW('CASE MASTER'!$T$2:$T$495))-(ROW('CASE MASTER'!#REF!)-1))))+1))-1)*50+1,50))&amp;"_"&amp;INDEX('CASE MASTER'!$Q$2:$Q$495,(SUMPRODUCT((('CASE MASTER'!$T$2:$T$495=3)*('CASE MASTER'!$U$2:$U$495&lt;=10)*('CASE MASTER'!$W$2:$W$495&gt;=10)*('CASE MASTER'!$V$2:$V$495&lt;=5)*('CASE MASTER'!$X$2:$X$495&gt;=5))*ROW('CASE MASTER'!$T$2:$T$495))-(ROW('CASE MASTER'!#REF!)-1))),IF(SUMPRODUCT((('CASE MASTER'!$T$2:$T$495=3)*('CASE MASTER'!$AA$2:$AA$495&lt;=10)*('CASE MASTER'!$AC$2:$AC$495&gt;=10)*('CASE MASTER'!$AB$2:$AB$495&lt;=5)*('CASE MASTER'!$AD$2:$AD$495&gt;=5))*ROW('CASE MASTER'!$T$2:$T$495))&gt;0,INDEX('CASE MASTER'!$Y$2:$Y$495,(SUMPRODUCT((('CASE MASTER'!$T$2:$T$495=3)*('CASE MASTER'!$AA$2:$AA$495&lt;=10)*('CASE MASTER'!$AC$2:$AC$495&gt;=10)*('CASE MASTER'!$AB$2:$AB$495&lt;=5)*('CASE MASTER'!$AD$2:$AD$495&gt;=5))*ROW('CASE MASTER'!$T$2:$T$495))-(ROW('CASE MASTER'!#REF!)-1)))&amp;TRIM(MID(SUBSTITUTE(SUBSTITUTE(INDEX('CASE MASTER'!$N$2:$N$495,(SUMPRODUCT((('CASE MASTER'!$T$2:$T$495=3)*('CASE MASTER'!$AA$2:$AA$495&lt;=10)*('CASE MASTER'!$AC$2:$AC$495&gt;=10)*('CASE MASTER'!$AB$2:$AB$495&lt;=5)*('CASE MASTER'!$AD$2:$AD$495&gt;=5))*ROW('CASE MASTER'!$T$2:$T$495))-(ROW('CASE MASTER'!#REF!)-1))),":",","),",",REPT(" ",50)),(((INDEX('CASE MASTER'!$Z$2:$Z$495,(SUMPRODUCT((('CASE MASTER'!$T$2:$T$495=3)*('CASE MASTER'!$AA$2:$AA$495&lt;=10)*('CASE MASTER'!$AC$2:$AC$495&gt;=10)*('CASE MASTER'!$AB$2:$AB$495&lt;=5)*('CASE MASTER'!$AD$2:$AD$495&gt;=5))*ROW('CASE MASTER'!$T$2:$T$495))-(ROW('CASE MASTER'!#REF!)-1)))+((10-INDEX('CASE MASTER'!$AA$2:$AA$495,(SUMPRODUCT((('CASE MASTER'!$T$2:$T$495=3)*('CASE MASTER'!$AA$2:$AA$495&lt;=10)*('CASE MASTER'!$AC$2:$AC$495&gt;=10)*('CASE MASTER'!$AB$2:$AB$495&lt;=5)*('CASE MASTER'!$AD$2:$AD$495&gt;=5))*ROW('CASE MASTER'!$T$2:$T$495))-(ROW('CASE MASTER'!#REF!)-1))))*(INDEX('CASE MASTER'!$AD$2:$AD$495,(SUMPRODUCT((('CASE MASTER'!$T$2:$T$495=3)*('CASE MASTER'!$AA$2:$AA$495&lt;=10)*('CASE MASTER'!$AC$2:$AC$495&gt;=10)*('CASE MASTER'!$AB$2:$AB$495&lt;=5)*('CASE MASTER'!$AD$2:$AD$495&gt;=5))*ROW('CASE MASTER'!$T$2:$T$495))-(ROW('CASE MASTER'!#REF!)-1)))-INDEX('CASE MASTER'!$AB$2:$AB$495,(SUMPRODUCT((('CASE MASTER'!$T$2:$T$495=3)*('CASE MASTER'!$AA$2:$AA$495&lt;=10)*('CASE MASTER'!$AC$2:$AC$495&gt;=10)*('CASE MASTER'!$AB$2:$AB$495&lt;=5)*('CASE MASTER'!$AD$2:$AD$495&gt;=5))*ROW('CASE MASTER'!$T$2:$T$495))-(ROW('CASE MASTER'!#REF!)-1)))+1)+(5-INDEX('CASE MASTER'!$AB$2:$AB$495,(SUMPRODUCT((('CASE MASTER'!$T$2:$T$495=3)*('CASE MASTER'!$AA$2:$AA$495&lt;=10)*('CASE MASTER'!$AC$2:$AC$495&gt;=10)*('CASE MASTER'!$AB$2:$AB$495&lt;=5)*('CASE MASTER'!$AD$2:$AD$495&gt;=5))*ROW('CASE MASTER'!$T$2:$T$495))-(ROW('CASE MASTER'!#REF!)-1))))+1)))-1)*50+1,50))&amp;"_"&amp;INDEX('CASE MASTER'!$Q$2:$Q$495,(SUMPRODUCT((('CASE MASTER'!$T$2:$T$495=3)*('CASE MASTER'!$AA$2:$AA$495&lt;=10)*('CASE MASTER'!$AC$2:$AC$495&gt;=10)*('CASE MASTER'!$AB$2:$AB$495&lt;=5)*('CASE MASTER'!$AD$2:$AD$495&gt;=5))*ROW('CASE MASTER'!$T$2:$T$495))-(ROW('CASE MASTER'!#REF!)-1))),"")),"")</f>
        <v/>
      </c>
      <c r="G40" s="10" t="str">
        <f>IFERROR(IF(SUMPRODUCT((('CASE MASTER'!$T$2:$T$495=3)*('CASE MASTER'!$U$2:$U$495&lt;=10)*('CASE MASTER'!$W$2:$W$495&gt;=10)*('CASE MASTER'!$V$2:$V$495&lt;=6)*('CASE MASTER'!$X$2:$X$495&gt;=6))*ROW('CASE MASTER'!$T$2:$T$495))&gt;0,INDEX('CASE MASTER'!$Y$2:$Y$495,(SUMPRODUCT((('CASE MASTER'!$T$2:$T$495=3)*('CASE MASTER'!$U$2:$U$495&lt;=10)*('CASE MASTER'!$W$2:$W$495&gt;=10)*('CASE MASTER'!$V$2:$V$495&lt;=6)*('CASE MASTER'!$X$2:$X$495&gt;=6))*ROW('CASE MASTER'!$T$2:$T$495))-(ROW('CASE MASTER'!#REF!)-1)))&amp;TRIM(MID(SUBSTITUTE(SUBSTITUTE(INDEX('CASE MASTER'!$N$2:$N$495,(SUMPRODUCT((('CASE MASTER'!$T$2:$T$495=3)*('CASE MASTER'!$U$2:$U$495&lt;=10)*('CASE MASTER'!$W$2:$W$495&gt;=10)*('CASE MASTER'!$V$2:$V$495&lt;=6)*('CASE MASTER'!$X$2:$X$495&gt;=6))*ROW('CASE MASTER'!$T$2:$T$495))-(ROW('CASE MASTER'!#REF!)-1))),":",","),",",REPT(" ",50)),((((10-INDEX('CASE MASTER'!$U$2:$U$495,(SUMPRODUCT((('CASE MASTER'!$T$2:$T$495=3)*('CASE MASTER'!$U$2:$U$495&lt;=10)*('CASE MASTER'!$W$2:$W$495&gt;=10)*('CASE MASTER'!$V$2:$V$495&lt;=6)*('CASE MASTER'!$X$2:$X$495&gt;=6))*ROW('CASE MASTER'!$T$2:$T$495))-(ROW('CASE MASTER'!#REF!)-1))))*(INDEX('CASE MASTER'!$X$2:$X$495,(SUMPRODUCT((('CASE MASTER'!$T$2:$T$495=3)*('CASE MASTER'!$U$2:$U$495&lt;=10)*('CASE MASTER'!$W$2:$W$495&gt;=10)*('CASE MASTER'!$V$2:$V$495&lt;=6)*('CASE MASTER'!$X$2:$X$495&gt;=6))*ROW('CASE MASTER'!$T$2:$T$495))-(ROW('CASE MASTER'!#REF!)-1)))-INDEX('CASE MASTER'!$V$2:$V$495,(SUMPRODUCT((('CASE MASTER'!$T$2:$T$495=3)*('CASE MASTER'!$U$2:$U$495&lt;=10)*('CASE MASTER'!$W$2:$W$495&gt;=10)*('CASE MASTER'!$V$2:$V$495&lt;=6)*('CASE MASTER'!$X$2:$X$495&gt;=6))*ROW('CASE MASTER'!$T$2:$T$495))-(ROW('CASE MASTER'!#REF!)-1)))+1)+(6-INDEX('CASE MASTER'!$V$2:$V$495,(SUMPRODUCT((('CASE MASTER'!$T$2:$T$495=3)*('CASE MASTER'!$U$2:$U$495&lt;=10)*('CASE MASTER'!$W$2:$W$495&gt;=10)*('CASE MASTER'!$V$2:$V$495&lt;=6)*('CASE MASTER'!$X$2:$X$495&gt;=6))*ROW('CASE MASTER'!$T$2:$T$495))-(ROW('CASE MASTER'!#REF!)-1))))+1))-1)*50+1,50))&amp;"_"&amp;INDEX('CASE MASTER'!$Q$2:$Q$495,(SUMPRODUCT((('CASE MASTER'!$T$2:$T$495=3)*('CASE MASTER'!$U$2:$U$495&lt;=10)*('CASE MASTER'!$W$2:$W$495&gt;=10)*('CASE MASTER'!$V$2:$V$495&lt;=6)*('CASE MASTER'!$X$2:$X$495&gt;=6))*ROW('CASE MASTER'!$T$2:$T$495))-(ROW('CASE MASTER'!#REF!)-1))),IF(SUMPRODUCT((('CASE MASTER'!$T$2:$T$495=3)*('CASE MASTER'!$AA$2:$AA$495&lt;=10)*('CASE MASTER'!$AC$2:$AC$495&gt;=10)*('CASE MASTER'!$AB$2:$AB$495&lt;=6)*('CASE MASTER'!$AD$2:$AD$495&gt;=6))*ROW('CASE MASTER'!$T$2:$T$495))&gt;0,INDEX('CASE MASTER'!$Y$2:$Y$495,(SUMPRODUCT((('CASE MASTER'!$T$2:$T$495=3)*('CASE MASTER'!$AA$2:$AA$495&lt;=10)*('CASE MASTER'!$AC$2:$AC$495&gt;=10)*('CASE MASTER'!$AB$2:$AB$495&lt;=6)*('CASE MASTER'!$AD$2:$AD$495&gt;=6))*ROW('CASE MASTER'!$T$2:$T$495))-(ROW('CASE MASTER'!#REF!)-1)))&amp;TRIM(MID(SUBSTITUTE(SUBSTITUTE(INDEX('CASE MASTER'!$N$2:$N$495,(SUMPRODUCT((('CASE MASTER'!$T$2:$T$495=3)*('CASE MASTER'!$AA$2:$AA$495&lt;=10)*('CASE MASTER'!$AC$2:$AC$495&gt;=10)*('CASE MASTER'!$AB$2:$AB$495&lt;=6)*('CASE MASTER'!$AD$2:$AD$495&gt;=6))*ROW('CASE MASTER'!$T$2:$T$495))-(ROW('CASE MASTER'!#REF!)-1))),":",","),",",REPT(" ",50)),(((INDEX('CASE MASTER'!$Z$2:$Z$495,(SUMPRODUCT((('CASE MASTER'!$T$2:$T$495=3)*('CASE MASTER'!$AA$2:$AA$495&lt;=10)*('CASE MASTER'!$AC$2:$AC$495&gt;=10)*('CASE MASTER'!$AB$2:$AB$495&lt;=6)*('CASE MASTER'!$AD$2:$AD$495&gt;=6))*ROW('CASE MASTER'!$T$2:$T$495))-(ROW('CASE MASTER'!#REF!)-1)))+((10-INDEX('CASE MASTER'!$AA$2:$AA$495,(SUMPRODUCT((('CASE MASTER'!$T$2:$T$495=3)*('CASE MASTER'!$AA$2:$AA$495&lt;=10)*('CASE MASTER'!$AC$2:$AC$495&gt;=10)*('CASE MASTER'!$AB$2:$AB$495&lt;=6)*('CASE MASTER'!$AD$2:$AD$495&gt;=6))*ROW('CASE MASTER'!$T$2:$T$495))-(ROW('CASE MASTER'!#REF!)-1))))*(INDEX('CASE MASTER'!$AD$2:$AD$495,(SUMPRODUCT((('CASE MASTER'!$T$2:$T$495=3)*('CASE MASTER'!$AA$2:$AA$495&lt;=10)*('CASE MASTER'!$AC$2:$AC$495&gt;=10)*('CASE MASTER'!$AB$2:$AB$495&lt;=6)*('CASE MASTER'!$AD$2:$AD$495&gt;=6))*ROW('CASE MASTER'!$T$2:$T$495))-(ROW('CASE MASTER'!#REF!)-1)))-INDEX('CASE MASTER'!$AB$2:$AB$495,(SUMPRODUCT((('CASE MASTER'!$T$2:$T$495=3)*('CASE MASTER'!$AA$2:$AA$495&lt;=10)*('CASE MASTER'!$AC$2:$AC$495&gt;=10)*('CASE MASTER'!$AB$2:$AB$495&lt;=6)*('CASE MASTER'!$AD$2:$AD$495&gt;=6))*ROW('CASE MASTER'!$T$2:$T$495))-(ROW('CASE MASTER'!#REF!)-1)))+1)+(6-INDEX('CASE MASTER'!$AB$2:$AB$495,(SUMPRODUCT((('CASE MASTER'!$T$2:$T$495=3)*('CASE MASTER'!$AA$2:$AA$495&lt;=10)*('CASE MASTER'!$AC$2:$AC$495&gt;=10)*('CASE MASTER'!$AB$2:$AB$495&lt;=6)*('CASE MASTER'!$AD$2:$AD$495&gt;=6))*ROW('CASE MASTER'!$T$2:$T$495))-(ROW('CASE MASTER'!#REF!)-1))))+1)))-1)*50+1,50))&amp;"_"&amp;INDEX('CASE MASTER'!$Q$2:$Q$495,(SUMPRODUCT((('CASE MASTER'!$T$2:$T$495=3)*('CASE MASTER'!$AA$2:$AA$495&lt;=10)*('CASE MASTER'!$AC$2:$AC$495&gt;=10)*('CASE MASTER'!$AB$2:$AB$495&lt;=6)*('CASE MASTER'!$AD$2:$AD$495&gt;=6))*ROW('CASE MASTER'!$T$2:$T$495))-(ROW('CASE MASTER'!#REF!)-1))),"")),"")</f>
        <v/>
      </c>
      <c r="H40" s="10" t="str">
        <f>IFERROR(IF(SUMPRODUCT((('CASE MASTER'!$T$2:$T$495=3)*('CASE MASTER'!$U$2:$U$495&lt;=10)*('CASE MASTER'!$W$2:$W$495&gt;=10)*('CASE MASTER'!$V$2:$V$495&lt;=7)*('CASE MASTER'!$X$2:$X$495&gt;=7))*ROW('CASE MASTER'!$T$2:$T$495))&gt;0,INDEX('CASE MASTER'!$Y$2:$Y$495,(SUMPRODUCT((('CASE MASTER'!$T$2:$T$495=3)*('CASE MASTER'!$U$2:$U$495&lt;=10)*('CASE MASTER'!$W$2:$W$495&gt;=10)*('CASE MASTER'!$V$2:$V$495&lt;=7)*('CASE MASTER'!$X$2:$X$495&gt;=7))*ROW('CASE MASTER'!$T$2:$T$495))-(ROW('CASE MASTER'!#REF!)-1)))&amp;TRIM(MID(SUBSTITUTE(SUBSTITUTE(INDEX('CASE MASTER'!$N$2:$N$495,(SUMPRODUCT((('CASE MASTER'!$T$2:$T$495=3)*('CASE MASTER'!$U$2:$U$495&lt;=10)*('CASE MASTER'!$W$2:$W$495&gt;=10)*('CASE MASTER'!$V$2:$V$495&lt;=7)*('CASE MASTER'!$X$2:$X$495&gt;=7))*ROW('CASE MASTER'!$T$2:$T$495))-(ROW('CASE MASTER'!#REF!)-1))),":",","),",",REPT(" ",50)),((((10-INDEX('CASE MASTER'!$U$2:$U$495,(SUMPRODUCT((('CASE MASTER'!$T$2:$T$495=3)*('CASE MASTER'!$U$2:$U$495&lt;=10)*('CASE MASTER'!$W$2:$W$495&gt;=10)*('CASE MASTER'!$V$2:$V$495&lt;=7)*('CASE MASTER'!$X$2:$X$495&gt;=7))*ROW('CASE MASTER'!$T$2:$T$495))-(ROW('CASE MASTER'!#REF!)-1))))*(INDEX('CASE MASTER'!$X$2:$X$495,(SUMPRODUCT((('CASE MASTER'!$T$2:$T$495=3)*('CASE MASTER'!$U$2:$U$495&lt;=10)*('CASE MASTER'!$W$2:$W$495&gt;=10)*('CASE MASTER'!$V$2:$V$495&lt;=7)*('CASE MASTER'!$X$2:$X$495&gt;=7))*ROW('CASE MASTER'!$T$2:$T$495))-(ROW('CASE MASTER'!#REF!)-1)))-INDEX('CASE MASTER'!$V$2:$V$495,(SUMPRODUCT((('CASE MASTER'!$T$2:$T$495=3)*('CASE MASTER'!$U$2:$U$495&lt;=10)*('CASE MASTER'!$W$2:$W$495&gt;=10)*('CASE MASTER'!$V$2:$V$495&lt;=7)*('CASE MASTER'!$X$2:$X$495&gt;=7))*ROW('CASE MASTER'!$T$2:$T$495))-(ROW('CASE MASTER'!#REF!)-1)))+1)+(7-INDEX('CASE MASTER'!$V$2:$V$495,(SUMPRODUCT((('CASE MASTER'!$T$2:$T$495=3)*('CASE MASTER'!$U$2:$U$495&lt;=10)*('CASE MASTER'!$W$2:$W$495&gt;=10)*('CASE MASTER'!$V$2:$V$495&lt;=7)*('CASE MASTER'!$X$2:$X$495&gt;=7))*ROW('CASE MASTER'!$T$2:$T$495))-(ROW('CASE MASTER'!#REF!)-1))))+1))-1)*50+1,50))&amp;"_"&amp;INDEX('CASE MASTER'!$Q$2:$Q$495,(SUMPRODUCT((('CASE MASTER'!$T$2:$T$495=3)*('CASE MASTER'!$U$2:$U$495&lt;=10)*('CASE MASTER'!$W$2:$W$495&gt;=10)*('CASE MASTER'!$V$2:$V$495&lt;=7)*('CASE MASTER'!$X$2:$X$495&gt;=7))*ROW('CASE MASTER'!$T$2:$T$495))-(ROW('CASE MASTER'!#REF!)-1))),IF(SUMPRODUCT((('CASE MASTER'!$T$2:$T$495=3)*('CASE MASTER'!$AA$2:$AA$495&lt;=10)*('CASE MASTER'!$AC$2:$AC$495&gt;=10)*('CASE MASTER'!$AB$2:$AB$495&lt;=7)*('CASE MASTER'!$AD$2:$AD$495&gt;=7))*ROW('CASE MASTER'!$T$2:$T$495))&gt;0,INDEX('CASE MASTER'!$Y$2:$Y$495,(SUMPRODUCT((('CASE MASTER'!$T$2:$T$495=3)*('CASE MASTER'!$AA$2:$AA$495&lt;=10)*('CASE MASTER'!$AC$2:$AC$495&gt;=10)*('CASE MASTER'!$AB$2:$AB$495&lt;=7)*('CASE MASTER'!$AD$2:$AD$495&gt;=7))*ROW('CASE MASTER'!$T$2:$T$495))-(ROW('CASE MASTER'!#REF!)-1)))&amp;TRIM(MID(SUBSTITUTE(SUBSTITUTE(INDEX('CASE MASTER'!$N$2:$N$495,(SUMPRODUCT((('CASE MASTER'!$T$2:$T$495=3)*('CASE MASTER'!$AA$2:$AA$495&lt;=10)*('CASE MASTER'!$AC$2:$AC$495&gt;=10)*('CASE MASTER'!$AB$2:$AB$495&lt;=7)*('CASE MASTER'!$AD$2:$AD$495&gt;=7))*ROW('CASE MASTER'!$T$2:$T$495))-(ROW('CASE MASTER'!#REF!)-1))),":",","),",",REPT(" ",50)),(((INDEX('CASE MASTER'!$Z$2:$Z$495,(SUMPRODUCT((('CASE MASTER'!$T$2:$T$495=3)*('CASE MASTER'!$AA$2:$AA$495&lt;=10)*('CASE MASTER'!$AC$2:$AC$495&gt;=10)*('CASE MASTER'!$AB$2:$AB$495&lt;=7)*('CASE MASTER'!$AD$2:$AD$495&gt;=7))*ROW('CASE MASTER'!$T$2:$T$495))-(ROW('CASE MASTER'!#REF!)-1)))+((10-INDEX('CASE MASTER'!$AA$2:$AA$495,(SUMPRODUCT((('CASE MASTER'!$T$2:$T$495=3)*('CASE MASTER'!$AA$2:$AA$495&lt;=10)*('CASE MASTER'!$AC$2:$AC$495&gt;=10)*('CASE MASTER'!$AB$2:$AB$495&lt;=7)*('CASE MASTER'!$AD$2:$AD$495&gt;=7))*ROW('CASE MASTER'!$T$2:$T$495))-(ROW('CASE MASTER'!#REF!)-1))))*(INDEX('CASE MASTER'!$AD$2:$AD$495,(SUMPRODUCT((('CASE MASTER'!$T$2:$T$495=3)*('CASE MASTER'!$AA$2:$AA$495&lt;=10)*('CASE MASTER'!$AC$2:$AC$495&gt;=10)*('CASE MASTER'!$AB$2:$AB$495&lt;=7)*('CASE MASTER'!$AD$2:$AD$495&gt;=7))*ROW('CASE MASTER'!$T$2:$T$495))-(ROW('CASE MASTER'!#REF!)-1)))-INDEX('CASE MASTER'!$AB$2:$AB$495,(SUMPRODUCT((('CASE MASTER'!$T$2:$T$495=3)*('CASE MASTER'!$AA$2:$AA$495&lt;=10)*('CASE MASTER'!$AC$2:$AC$495&gt;=10)*('CASE MASTER'!$AB$2:$AB$495&lt;=7)*('CASE MASTER'!$AD$2:$AD$495&gt;=7))*ROW('CASE MASTER'!$T$2:$T$495))-(ROW('CASE MASTER'!#REF!)-1)))+1)+(7-INDEX('CASE MASTER'!$AB$2:$AB$495,(SUMPRODUCT((('CASE MASTER'!$T$2:$T$495=3)*('CASE MASTER'!$AA$2:$AA$495&lt;=10)*('CASE MASTER'!$AC$2:$AC$495&gt;=10)*('CASE MASTER'!$AB$2:$AB$495&lt;=7)*('CASE MASTER'!$AD$2:$AD$495&gt;=7))*ROW('CASE MASTER'!$T$2:$T$495))-(ROW('CASE MASTER'!#REF!)-1))))+1)))-1)*50+1,50))&amp;"_"&amp;INDEX('CASE MASTER'!$Q$2:$Q$495,(SUMPRODUCT((('CASE MASTER'!$T$2:$T$495=3)*('CASE MASTER'!$AA$2:$AA$495&lt;=10)*('CASE MASTER'!$AC$2:$AC$495&gt;=10)*('CASE MASTER'!$AB$2:$AB$495&lt;=7)*('CASE MASTER'!$AD$2:$AD$495&gt;=7))*ROW('CASE MASTER'!$T$2:$T$495))-(ROW('CASE MASTER'!#REF!)-1))),"")),"")</f>
        <v/>
      </c>
      <c r="I40" s="10" t="str">
        <f>IFERROR(IF(SUMPRODUCT((('CASE MASTER'!$T$2:$T$495=3)*('CASE MASTER'!$U$2:$U$495&lt;=10)*('CASE MASTER'!$W$2:$W$495&gt;=10)*('CASE MASTER'!$V$2:$V$495&lt;=8)*('CASE MASTER'!$X$2:$X$495&gt;=8))*ROW('CASE MASTER'!$T$2:$T$495))&gt;0,INDEX('CASE MASTER'!$Y$2:$Y$495,(SUMPRODUCT((('CASE MASTER'!$T$2:$T$495=3)*('CASE MASTER'!$U$2:$U$495&lt;=10)*('CASE MASTER'!$W$2:$W$495&gt;=10)*('CASE MASTER'!$V$2:$V$495&lt;=8)*('CASE MASTER'!$X$2:$X$495&gt;=8))*ROW('CASE MASTER'!$T$2:$T$495))-(ROW('CASE MASTER'!#REF!)-1)))&amp;TRIM(MID(SUBSTITUTE(SUBSTITUTE(INDEX('CASE MASTER'!$N$2:$N$495,(SUMPRODUCT((('CASE MASTER'!$T$2:$T$495=3)*('CASE MASTER'!$U$2:$U$495&lt;=10)*('CASE MASTER'!$W$2:$W$495&gt;=10)*('CASE MASTER'!$V$2:$V$495&lt;=8)*('CASE MASTER'!$X$2:$X$495&gt;=8))*ROW('CASE MASTER'!$T$2:$T$495))-(ROW('CASE MASTER'!#REF!)-1))),":",","),",",REPT(" ",50)),((((10-INDEX('CASE MASTER'!$U$2:$U$495,(SUMPRODUCT((('CASE MASTER'!$T$2:$T$495=3)*('CASE MASTER'!$U$2:$U$495&lt;=10)*('CASE MASTER'!$W$2:$W$495&gt;=10)*('CASE MASTER'!$V$2:$V$495&lt;=8)*('CASE MASTER'!$X$2:$X$495&gt;=8))*ROW('CASE MASTER'!$T$2:$T$495))-(ROW('CASE MASTER'!#REF!)-1))))*(INDEX('CASE MASTER'!$X$2:$X$495,(SUMPRODUCT((('CASE MASTER'!$T$2:$T$495=3)*('CASE MASTER'!$U$2:$U$495&lt;=10)*('CASE MASTER'!$W$2:$W$495&gt;=10)*('CASE MASTER'!$V$2:$V$495&lt;=8)*('CASE MASTER'!$X$2:$X$495&gt;=8))*ROW('CASE MASTER'!$T$2:$T$495))-(ROW('CASE MASTER'!#REF!)-1)))-INDEX('CASE MASTER'!$V$2:$V$495,(SUMPRODUCT((('CASE MASTER'!$T$2:$T$495=3)*('CASE MASTER'!$U$2:$U$495&lt;=10)*('CASE MASTER'!$W$2:$W$495&gt;=10)*('CASE MASTER'!$V$2:$V$495&lt;=8)*('CASE MASTER'!$X$2:$X$495&gt;=8))*ROW('CASE MASTER'!$T$2:$T$495))-(ROW('CASE MASTER'!#REF!)-1)))+1)+(8-INDEX('CASE MASTER'!$V$2:$V$495,(SUMPRODUCT((('CASE MASTER'!$T$2:$T$495=3)*('CASE MASTER'!$U$2:$U$495&lt;=10)*('CASE MASTER'!$W$2:$W$495&gt;=10)*('CASE MASTER'!$V$2:$V$495&lt;=8)*('CASE MASTER'!$X$2:$X$495&gt;=8))*ROW('CASE MASTER'!$T$2:$T$495))-(ROW('CASE MASTER'!#REF!)-1))))+1))-1)*50+1,50))&amp;"_"&amp;INDEX('CASE MASTER'!$Q$2:$Q$495,(SUMPRODUCT((('CASE MASTER'!$T$2:$T$495=3)*('CASE MASTER'!$U$2:$U$495&lt;=10)*('CASE MASTER'!$W$2:$W$495&gt;=10)*('CASE MASTER'!$V$2:$V$495&lt;=8)*('CASE MASTER'!$X$2:$X$495&gt;=8))*ROW('CASE MASTER'!$T$2:$T$495))-(ROW('CASE MASTER'!#REF!)-1))),IF(SUMPRODUCT((('CASE MASTER'!$T$2:$T$495=3)*('CASE MASTER'!$AA$2:$AA$495&lt;=10)*('CASE MASTER'!$AC$2:$AC$495&gt;=10)*('CASE MASTER'!$AB$2:$AB$495&lt;=8)*('CASE MASTER'!$AD$2:$AD$495&gt;=8))*ROW('CASE MASTER'!$T$2:$T$495))&gt;0,INDEX('CASE MASTER'!$Y$2:$Y$495,(SUMPRODUCT((('CASE MASTER'!$T$2:$T$495=3)*('CASE MASTER'!$AA$2:$AA$495&lt;=10)*('CASE MASTER'!$AC$2:$AC$495&gt;=10)*('CASE MASTER'!$AB$2:$AB$495&lt;=8)*('CASE MASTER'!$AD$2:$AD$495&gt;=8))*ROW('CASE MASTER'!$T$2:$T$495))-(ROW('CASE MASTER'!#REF!)-1)))&amp;TRIM(MID(SUBSTITUTE(SUBSTITUTE(INDEX('CASE MASTER'!$N$2:$N$495,(SUMPRODUCT((('CASE MASTER'!$T$2:$T$495=3)*('CASE MASTER'!$AA$2:$AA$495&lt;=10)*('CASE MASTER'!$AC$2:$AC$495&gt;=10)*('CASE MASTER'!$AB$2:$AB$495&lt;=8)*('CASE MASTER'!$AD$2:$AD$495&gt;=8))*ROW('CASE MASTER'!$T$2:$T$495))-(ROW('CASE MASTER'!#REF!)-1))),":",","),",",REPT(" ",50)),(((INDEX('CASE MASTER'!$Z$2:$Z$495,(SUMPRODUCT((('CASE MASTER'!$T$2:$T$495=3)*('CASE MASTER'!$AA$2:$AA$495&lt;=10)*('CASE MASTER'!$AC$2:$AC$495&gt;=10)*('CASE MASTER'!$AB$2:$AB$495&lt;=8)*('CASE MASTER'!$AD$2:$AD$495&gt;=8))*ROW('CASE MASTER'!$T$2:$T$495))-(ROW('CASE MASTER'!#REF!)-1)))+((10-INDEX('CASE MASTER'!$AA$2:$AA$495,(SUMPRODUCT((('CASE MASTER'!$T$2:$T$495=3)*('CASE MASTER'!$AA$2:$AA$495&lt;=10)*('CASE MASTER'!$AC$2:$AC$495&gt;=10)*('CASE MASTER'!$AB$2:$AB$495&lt;=8)*('CASE MASTER'!$AD$2:$AD$495&gt;=8))*ROW('CASE MASTER'!$T$2:$T$495))-(ROW('CASE MASTER'!#REF!)-1))))*(INDEX('CASE MASTER'!$AD$2:$AD$495,(SUMPRODUCT((('CASE MASTER'!$T$2:$T$495=3)*('CASE MASTER'!$AA$2:$AA$495&lt;=10)*('CASE MASTER'!$AC$2:$AC$495&gt;=10)*('CASE MASTER'!$AB$2:$AB$495&lt;=8)*('CASE MASTER'!$AD$2:$AD$495&gt;=8))*ROW('CASE MASTER'!$T$2:$T$495))-(ROW('CASE MASTER'!#REF!)-1)))-INDEX('CASE MASTER'!$AB$2:$AB$495,(SUMPRODUCT((('CASE MASTER'!$T$2:$T$495=3)*('CASE MASTER'!$AA$2:$AA$495&lt;=10)*('CASE MASTER'!$AC$2:$AC$495&gt;=10)*('CASE MASTER'!$AB$2:$AB$495&lt;=8)*('CASE MASTER'!$AD$2:$AD$495&gt;=8))*ROW('CASE MASTER'!$T$2:$T$495))-(ROW('CASE MASTER'!#REF!)-1)))+1)+(8-INDEX('CASE MASTER'!$AB$2:$AB$495,(SUMPRODUCT((('CASE MASTER'!$T$2:$T$495=3)*('CASE MASTER'!$AA$2:$AA$495&lt;=10)*('CASE MASTER'!$AC$2:$AC$495&gt;=10)*('CASE MASTER'!$AB$2:$AB$495&lt;=8)*('CASE MASTER'!$AD$2:$AD$495&gt;=8))*ROW('CASE MASTER'!$T$2:$T$495))-(ROW('CASE MASTER'!#REF!)-1))))+1)))-1)*50+1,50))&amp;"_"&amp;INDEX('CASE MASTER'!$Q$2:$Q$495,(SUMPRODUCT((('CASE MASTER'!$T$2:$T$495=3)*('CASE MASTER'!$AA$2:$AA$495&lt;=10)*('CASE MASTER'!$AC$2:$AC$495&gt;=10)*('CASE MASTER'!$AB$2:$AB$495&lt;=8)*('CASE MASTER'!$AD$2:$AD$495&gt;=8))*ROW('CASE MASTER'!$T$2:$T$495))-(ROW('CASE MASTER'!#REF!)-1))),"")),"")</f>
        <v/>
      </c>
      <c r="J40" s="10" t="str">
        <f>IFERROR(IF(SUMPRODUCT((('CASE MASTER'!$T$2:$T$495=3)*('CASE MASTER'!$U$2:$U$495&lt;=10)*('CASE MASTER'!$W$2:$W$495&gt;=10)*('CASE MASTER'!$V$2:$V$495&lt;=9)*('CASE MASTER'!$X$2:$X$495&gt;=9))*ROW('CASE MASTER'!$T$2:$T$495))&gt;0,INDEX('CASE MASTER'!$Y$2:$Y$495,(SUMPRODUCT((('CASE MASTER'!$T$2:$T$495=3)*('CASE MASTER'!$U$2:$U$495&lt;=10)*('CASE MASTER'!$W$2:$W$495&gt;=10)*('CASE MASTER'!$V$2:$V$495&lt;=9)*('CASE MASTER'!$X$2:$X$495&gt;=9))*ROW('CASE MASTER'!$T$2:$T$495))-(ROW('CASE MASTER'!#REF!)-1)))&amp;TRIM(MID(SUBSTITUTE(SUBSTITUTE(INDEX('CASE MASTER'!$N$2:$N$495,(SUMPRODUCT((('CASE MASTER'!$T$2:$T$495=3)*('CASE MASTER'!$U$2:$U$495&lt;=10)*('CASE MASTER'!$W$2:$W$495&gt;=10)*('CASE MASTER'!$V$2:$V$495&lt;=9)*('CASE MASTER'!$X$2:$X$495&gt;=9))*ROW('CASE MASTER'!$T$2:$T$495))-(ROW('CASE MASTER'!#REF!)-1))),":",","),",",REPT(" ",50)),((((10-INDEX('CASE MASTER'!$U$2:$U$495,(SUMPRODUCT((('CASE MASTER'!$T$2:$T$495=3)*('CASE MASTER'!$U$2:$U$495&lt;=10)*('CASE MASTER'!$W$2:$W$495&gt;=10)*('CASE MASTER'!$V$2:$V$495&lt;=9)*('CASE MASTER'!$X$2:$X$495&gt;=9))*ROW('CASE MASTER'!$T$2:$T$495))-(ROW('CASE MASTER'!#REF!)-1))))*(INDEX('CASE MASTER'!$X$2:$X$495,(SUMPRODUCT((('CASE MASTER'!$T$2:$T$495=3)*('CASE MASTER'!$U$2:$U$495&lt;=10)*('CASE MASTER'!$W$2:$W$495&gt;=10)*('CASE MASTER'!$V$2:$V$495&lt;=9)*('CASE MASTER'!$X$2:$X$495&gt;=9))*ROW('CASE MASTER'!$T$2:$T$495))-(ROW('CASE MASTER'!#REF!)-1)))-INDEX('CASE MASTER'!$V$2:$V$495,(SUMPRODUCT((('CASE MASTER'!$T$2:$T$495=3)*('CASE MASTER'!$U$2:$U$495&lt;=10)*('CASE MASTER'!$W$2:$W$495&gt;=10)*('CASE MASTER'!$V$2:$V$495&lt;=9)*('CASE MASTER'!$X$2:$X$495&gt;=9))*ROW('CASE MASTER'!$T$2:$T$495))-(ROW('CASE MASTER'!#REF!)-1)))+1)+(9-INDEX('CASE MASTER'!$V$2:$V$495,(SUMPRODUCT((('CASE MASTER'!$T$2:$T$495=3)*('CASE MASTER'!$U$2:$U$495&lt;=10)*('CASE MASTER'!$W$2:$W$495&gt;=10)*('CASE MASTER'!$V$2:$V$495&lt;=9)*('CASE MASTER'!$X$2:$X$495&gt;=9))*ROW('CASE MASTER'!$T$2:$T$495))-(ROW('CASE MASTER'!#REF!)-1))))+1))-1)*50+1,50))&amp;"_"&amp;INDEX('CASE MASTER'!$Q$2:$Q$495,(SUMPRODUCT((('CASE MASTER'!$T$2:$T$495=3)*('CASE MASTER'!$U$2:$U$495&lt;=10)*('CASE MASTER'!$W$2:$W$495&gt;=10)*('CASE MASTER'!$V$2:$V$495&lt;=9)*('CASE MASTER'!$X$2:$X$495&gt;=9))*ROW('CASE MASTER'!$T$2:$T$495))-(ROW('CASE MASTER'!#REF!)-1))),IF(SUMPRODUCT((('CASE MASTER'!$T$2:$T$495=3)*('CASE MASTER'!$AA$2:$AA$495&lt;=10)*('CASE MASTER'!$AC$2:$AC$495&gt;=10)*('CASE MASTER'!$AB$2:$AB$495&lt;=9)*('CASE MASTER'!$AD$2:$AD$495&gt;=9))*ROW('CASE MASTER'!$T$2:$T$495))&gt;0,INDEX('CASE MASTER'!$Y$2:$Y$495,(SUMPRODUCT((('CASE MASTER'!$T$2:$T$495=3)*('CASE MASTER'!$AA$2:$AA$495&lt;=10)*('CASE MASTER'!$AC$2:$AC$495&gt;=10)*('CASE MASTER'!$AB$2:$AB$495&lt;=9)*('CASE MASTER'!$AD$2:$AD$495&gt;=9))*ROW('CASE MASTER'!$T$2:$T$495))-(ROW('CASE MASTER'!#REF!)-1)))&amp;TRIM(MID(SUBSTITUTE(SUBSTITUTE(INDEX('CASE MASTER'!$N$2:$N$495,(SUMPRODUCT((('CASE MASTER'!$T$2:$T$495=3)*('CASE MASTER'!$AA$2:$AA$495&lt;=10)*('CASE MASTER'!$AC$2:$AC$495&gt;=10)*('CASE MASTER'!$AB$2:$AB$495&lt;=9)*('CASE MASTER'!$AD$2:$AD$495&gt;=9))*ROW('CASE MASTER'!$T$2:$T$495))-(ROW('CASE MASTER'!#REF!)-1))),":",","),",",REPT(" ",50)),(((INDEX('CASE MASTER'!$Z$2:$Z$495,(SUMPRODUCT((('CASE MASTER'!$T$2:$T$495=3)*('CASE MASTER'!$AA$2:$AA$495&lt;=10)*('CASE MASTER'!$AC$2:$AC$495&gt;=10)*('CASE MASTER'!$AB$2:$AB$495&lt;=9)*('CASE MASTER'!$AD$2:$AD$495&gt;=9))*ROW('CASE MASTER'!$T$2:$T$495))-(ROW('CASE MASTER'!#REF!)-1)))+((10-INDEX('CASE MASTER'!$AA$2:$AA$495,(SUMPRODUCT((('CASE MASTER'!$T$2:$T$495=3)*('CASE MASTER'!$AA$2:$AA$495&lt;=10)*('CASE MASTER'!$AC$2:$AC$495&gt;=10)*('CASE MASTER'!$AB$2:$AB$495&lt;=9)*('CASE MASTER'!$AD$2:$AD$495&gt;=9))*ROW('CASE MASTER'!$T$2:$T$495))-(ROW('CASE MASTER'!#REF!)-1))))*(INDEX('CASE MASTER'!$AD$2:$AD$495,(SUMPRODUCT((('CASE MASTER'!$T$2:$T$495=3)*('CASE MASTER'!$AA$2:$AA$495&lt;=10)*('CASE MASTER'!$AC$2:$AC$495&gt;=10)*('CASE MASTER'!$AB$2:$AB$495&lt;=9)*('CASE MASTER'!$AD$2:$AD$495&gt;=9))*ROW('CASE MASTER'!$T$2:$T$495))-(ROW('CASE MASTER'!#REF!)-1)))-INDEX('CASE MASTER'!$AB$2:$AB$495,(SUMPRODUCT((('CASE MASTER'!$T$2:$T$495=3)*('CASE MASTER'!$AA$2:$AA$495&lt;=10)*('CASE MASTER'!$AC$2:$AC$495&gt;=10)*('CASE MASTER'!$AB$2:$AB$495&lt;=9)*('CASE MASTER'!$AD$2:$AD$495&gt;=9))*ROW('CASE MASTER'!$T$2:$T$495))-(ROW('CASE MASTER'!#REF!)-1)))+1)+(9-INDEX('CASE MASTER'!$AB$2:$AB$495,(SUMPRODUCT((('CASE MASTER'!$T$2:$T$495=3)*('CASE MASTER'!$AA$2:$AA$495&lt;=10)*('CASE MASTER'!$AC$2:$AC$495&gt;=10)*('CASE MASTER'!$AB$2:$AB$495&lt;=9)*('CASE MASTER'!$AD$2:$AD$495&gt;=9))*ROW('CASE MASTER'!$T$2:$T$495))-(ROW('CASE MASTER'!#REF!)-1))))+1)))-1)*50+1,50))&amp;"_"&amp;INDEX('CASE MASTER'!$Q$2:$Q$495,(SUMPRODUCT((('CASE MASTER'!$T$2:$T$495=3)*('CASE MASTER'!$AA$2:$AA$495&lt;=10)*('CASE MASTER'!$AC$2:$AC$495&gt;=10)*('CASE MASTER'!$AB$2:$AB$495&lt;=9)*('CASE MASTER'!$AD$2:$AD$495&gt;=9))*ROW('CASE MASTER'!$T$2:$T$495))-(ROW('CASE MASTER'!#REF!)-1))),"")),"")</f>
        <v/>
      </c>
      <c r="K40" s="10" t="str">
        <f>IFERROR(IF(SUMPRODUCT((('CASE MASTER'!$T$2:$T$495=3)*('CASE MASTER'!$U$2:$U$495&lt;=10)*('CASE MASTER'!$W$2:$W$495&gt;=10)*('CASE MASTER'!$V$2:$V$495&lt;=10)*('CASE MASTER'!$X$2:$X$495&gt;=10))*ROW('CASE MASTER'!$T$2:$T$495))&gt;0,INDEX('CASE MASTER'!$Y$2:$Y$495,(SUMPRODUCT((('CASE MASTER'!$T$2:$T$495=3)*('CASE MASTER'!$U$2:$U$495&lt;=10)*('CASE MASTER'!$W$2:$W$495&gt;=10)*('CASE MASTER'!$V$2:$V$495&lt;=10)*('CASE MASTER'!$X$2:$X$495&gt;=10))*ROW('CASE MASTER'!$T$2:$T$495))-(ROW('CASE MASTER'!#REF!)-1)))&amp;TRIM(MID(SUBSTITUTE(SUBSTITUTE(INDEX('CASE MASTER'!$N$2:$N$495,(SUMPRODUCT((('CASE MASTER'!$T$2:$T$495=3)*('CASE MASTER'!$U$2:$U$495&lt;=10)*('CASE MASTER'!$W$2:$W$495&gt;=10)*('CASE MASTER'!$V$2:$V$495&lt;=10)*('CASE MASTER'!$X$2:$X$495&gt;=10))*ROW('CASE MASTER'!$T$2:$T$495))-(ROW('CASE MASTER'!#REF!)-1))),":",","),",",REPT(" ",50)),((((10-INDEX('CASE MASTER'!$U$2:$U$495,(SUMPRODUCT((('CASE MASTER'!$T$2:$T$495=3)*('CASE MASTER'!$U$2:$U$495&lt;=10)*('CASE MASTER'!$W$2:$W$495&gt;=10)*('CASE MASTER'!$V$2:$V$495&lt;=10)*('CASE MASTER'!$X$2:$X$495&gt;=10))*ROW('CASE MASTER'!$T$2:$T$495))-(ROW('CASE MASTER'!#REF!)-1))))*(INDEX('CASE MASTER'!$X$2:$X$495,(SUMPRODUCT((('CASE MASTER'!$T$2:$T$495=3)*('CASE MASTER'!$U$2:$U$495&lt;=10)*('CASE MASTER'!$W$2:$W$495&gt;=10)*('CASE MASTER'!$V$2:$V$495&lt;=10)*('CASE MASTER'!$X$2:$X$495&gt;=10))*ROW('CASE MASTER'!$T$2:$T$495))-(ROW('CASE MASTER'!#REF!)-1)))-INDEX('CASE MASTER'!$V$2:$V$495,(SUMPRODUCT((('CASE MASTER'!$T$2:$T$495=3)*('CASE MASTER'!$U$2:$U$495&lt;=10)*('CASE MASTER'!$W$2:$W$495&gt;=10)*('CASE MASTER'!$V$2:$V$495&lt;=10)*('CASE MASTER'!$X$2:$X$495&gt;=10))*ROW('CASE MASTER'!$T$2:$T$495))-(ROW('CASE MASTER'!#REF!)-1)))+1)+(10-INDEX('CASE MASTER'!$V$2:$V$495,(SUMPRODUCT((('CASE MASTER'!$T$2:$T$495=3)*('CASE MASTER'!$U$2:$U$495&lt;=10)*('CASE MASTER'!$W$2:$W$495&gt;=10)*('CASE MASTER'!$V$2:$V$495&lt;=10)*('CASE MASTER'!$X$2:$X$495&gt;=10))*ROW('CASE MASTER'!$T$2:$T$495))-(ROW('CASE MASTER'!#REF!)-1))))+1))-1)*50+1,50))&amp;"_"&amp;INDEX('CASE MASTER'!$Q$2:$Q$495,(SUMPRODUCT((('CASE MASTER'!$T$2:$T$495=3)*('CASE MASTER'!$U$2:$U$495&lt;=10)*('CASE MASTER'!$W$2:$W$495&gt;=10)*('CASE MASTER'!$V$2:$V$495&lt;=10)*('CASE MASTER'!$X$2:$X$495&gt;=10))*ROW('CASE MASTER'!$T$2:$T$495))-(ROW('CASE MASTER'!#REF!)-1))),IF(SUMPRODUCT((('CASE MASTER'!$T$2:$T$495=3)*('CASE MASTER'!$AA$2:$AA$495&lt;=10)*('CASE MASTER'!$AC$2:$AC$495&gt;=10)*('CASE MASTER'!$AB$2:$AB$495&lt;=10)*('CASE MASTER'!$AD$2:$AD$495&gt;=10))*ROW('CASE MASTER'!$T$2:$T$495))&gt;0,INDEX('CASE MASTER'!$Y$2:$Y$495,(SUMPRODUCT((('CASE MASTER'!$T$2:$T$495=3)*('CASE MASTER'!$AA$2:$AA$495&lt;=10)*('CASE MASTER'!$AC$2:$AC$495&gt;=10)*('CASE MASTER'!$AB$2:$AB$495&lt;=10)*('CASE MASTER'!$AD$2:$AD$495&gt;=10))*ROW('CASE MASTER'!$T$2:$T$495))-(ROW('CASE MASTER'!#REF!)-1)))&amp;TRIM(MID(SUBSTITUTE(SUBSTITUTE(INDEX('CASE MASTER'!$N$2:$N$495,(SUMPRODUCT((('CASE MASTER'!$T$2:$T$495=3)*('CASE MASTER'!$AA$2:$AA$495&lt;=10)*('CASE MASTER'!$AC$2:$AC$495&gt;=10)*('CASE MASTER'!$AB$2:$AB$495&lt;=10)*('CASE MASTER'!$AD$2:$AD$495&gt;=10))*ROW('CASE MASTER'!$T$2:$T$495))-(ROW('CASE MASTER'!#REF!)-1))),":",","),",",REPT(" ",50)),(((INDEX('CASE MASTER'!$Z$2:$Z$495,(SUMPRODUCT((('CASE MASTER'!$T$2:$T$495=3)*('CASE MASTER'!$AA$2:$AA$495&lt;=10)*('CASE MASTER'!$AC$2:$AC$495&gt;=10)*('CASE MASTER'!$AB$2:$AB$495&lt;=10)*('CASE MASTER'!$AD$2:$AD$495&gt;=10))*ROW('CASE MASTER'!$T$2:$T$495))-(ROW('CASE MASTER'!#REF!)-1)))+((10-INDEX('CASE MASTER'!$AA$2:$AA$495,(SUMPRODUCT((('CASE MASTER'!$T$2:$T$495=3)*('CASE MASTER'!$AA$2:$AA$495&lt;=10)*('CASE MASTER'!$AC$2:$AC$495&gt;=10)*('CASE MASTER'!$AB$2:$AB$495&lt;=10)*('CASE MASTER'!$AD$2:$AD$495&gt;=10))*ROW('CASE MASTER'!$T$2:$T$495))-(ROW('CASE MASTER'!#REF!)-1))))*(INDEX('CASE MASTER'!$AD$2:$AD$495,(SUMPRODUCT((('CASE MASTER'!$T$2:$T$495=3)*('CASE MASTER'!$AA$2:$AA$495&lt;=10)*('CASE MASTER'!$AC$2:$AC$495&gt;=10)*('CASE MASTER'!$AB$2:$AB$495&lt;=10)*('CASE MASTER'!$AD$2:$AD$495&gt;=10))*ROW('CASE MASTER'!$T$2:$T$495))-(ROW('CASE MASTER'!#REF!)-1)))-INDEX('CASE MASTER'!$AB$2:$AB$495,(SUMPRODUCT((('CASE MASTER'!$T$2:$T$495=3)*('CASE MASTER'!$AA$2:$AA$495&lt;=10)*('CASE MASTER'!$AC$2:$AC$495&gt;=10)*('CASE MASTER'!$AB$2:$AB$495&lt;=10)*('CASE MASTER'!$AD$2:$AD$495&gt;=10))*ROW('CASE MASTER'!$T$2:$T$495))-(ROW('CASE MASTER'!#REF!)-1)))+1)+(10-INDEX('CASE MASTER'!$AB$2:$AB$495,(SUMPRODUCT((('CASE MASTER'!$T$2:$T$495=3)*('CASE MASTER'!$AA$2:$AA$495&lt;=10)*('CASE MASTER'!$AC$2:$AC$495&gt;=10)*('CASE MASTER'!$AB$2:$AB$495&lt;=10)*('CASE MASTER'!$AD$2:$AD$495&gt;=10))*ROW('CASE MASTER'!$T$2:$T$495))-(ROW('CASE MASTER'!#REF!)-1))))+1)))-1)*50+1,50))&amp;"_"&amp;INDEX('CASE MASTER'!$Q$2:$Q$495,(SUMPRODUCT((('CASE MASTER'!$T$2:$T$495=3)*('CASE MASTER'!$AA$2:$AA$495&lt;=10)*('CASE MASTER'!$AC$2:$AC$495&gt;=10)*('CASE MASTER'!$AB$2:$AB$495&lt;=10)*('CASE MASTER'!$AD$2:$AD$495&gt;=10))*ROW('CASE MASTER'!$T$2:$T$495))-(ROW('CASE MASTER'!#REF!)-1))),"")),"")</f>
        <v/>
      </c>
    </row>
    <row r="43" spans="1:11" ht="15" customHeight="1" x14ac:dyDescent="0.35">
      <c r="A43" s="12" t="s">
        <v>85</v>
      </c>
      <c r="B43" s="13"/>
      <c r="C43" s="13"/>
      <c r="D43" s="13"/>
      <c r="E43" s="13"/>
      <c r="F43" s="13"/>
      <c r="G43" s="13"/>
      <c r="H43" s="13"/>
      <c r="I43" s="13"/>
      <c r="J43" s="13"/>
      <c r="K43" s="13"/>
    </row>
    <row r="44" spans="1:11" ht="15" customHeight="1" x14ac:dyDescent="0.35">
      <c r="B44" s="8">
        <v>1</v>
      </c>
      <c r="C44" s="8">
        <v>2</v>
      </c>
      <c r="D44" s="8">
        <v>3</v>
      </c>
      <c r="E44" s="8">
        <v>4</v>
      </c>
      <c r="F44" s="8">
        <v>5</v>
      </c>
      <c r="G44" s="8">
        <v>6</v>
      </c>
      <c r="H44" s="8">
        <v>7</v>
      </c>
      <c r="I44" s="8">
        <v>8</v>
      </c>
      <c r="J44" s="8">
        <v>9</v>
      </c>
      <c r="K44" s="8">
        <v>10</v>
      </c>
    </row>
    <row r="45" spans="1:11" ht="15" customHeight="1" x14ac:dyDescent="0.35">
      <c r="A45" s="8" t="s">
        <v>28</v>
      </c>
      <c r="B45" s="10" t="str">
        <f>IFERROR(IF(SUMPRODUCT((('CASE MASTER'!$T$2:$T$495=4)*('CASE MASTER'!$U$2:$U$495&lt;=1)*('CASE MASTER'!$W$2:$W$495&gt;=1)*('CASE MASTER'!$V$2:$V$495&lt;=1)*('CASE MASTER'!$X$2:$X$495&gt;=1))*ROW('CASE MASTER'!$T$2:$T$495))&gt;0,INDEX('CASE MASTER'!$Y$2:$Y$495,(SUMPRODUCT((('CASE MASTER'!$T$2:$T$495=4)*('CASE MASTER'!$U$2:$U$495&lt;=1)*('CASE MASTER'!$W$2:$W$495&gt;=1)*('CASE MASTER'!$V$2:$V$495&lt;=1)*('CASE MASTER'!$X$2:$X$495&gt;=1))*ROW('CASE MASTER'!$T$2:$T$495))-(ROW('CASE MASTER'!#REF!)-1)))&amp;TRIM(MID(SUBSTITUTE(SUBSTITUTE(INDEX('CASE MASTER'!$N$2:$N$495,(SUMPRODUCT((('CASE MASTER'!$T$2:$T$495=4)*('CASE MASTER'!$U$2:$U$495&lt;=1)*('CASE MASTER'!$W$2:$W$495&gt;=1)*('CASE MASTER'!$V$2:$V$495&lt;=1)*('CASE MASTER'!$X$2:$X$495&gt;=1))*ROW('CASE MASTER'!$T$2:$T$495))-(ROW('CASE MASTER'!#REF!)-1))),":",","),",",REPT(" ",50)),((((1-INDEX('CASE MASTER'!$U$2:$U$495,(SUMPRODUCT((('CASE MASTER'!$T$2:$T$495=4)*('CASE MASTER'!$U$2:$U$495&lt;=1)*('CASE MASTER'!$W$2:$W$495&gt;=1)*('CASE MASTER'!$V$2:$V$495&lt;=1)*('CASE MASTER'!$X$2:$X$495&gt;=1))*ROW('CASE MASTER'!$T$2:$T$495))-(ROW('CASE MASTER'!#REF!)-1))))*(INDEX('CASE MASTER'!$X$2:$X$495,(SUMPRODUCT((('CASE MASTER'!$T$2:$T$495=4)*('CASE MASTER'!$U$2:$U$495&lt;=1)*('CASE MASTER'!$W$2:$W$495&gt;=1)*('CASE MASTER'!$V$2:$V$495&lt;=1)*('CASE MASTER'!$X$2:$X$495&gt;=1))*ROW('CASE MASTER'!$T$2:$T$495))-(ROW('CASE MASTER'!#REF!)-1)))-INDEX('CASE MASTER'!$V$2:$V$495,(SUMPRODUCT((('CASE MASTER'!$T$2:$T$495=4)*('CASE MASTER'!$U$2:$U$495&lt;=1)*('CASE MASTER'!$W$2:$W$495&gt;=1)*('CASE MASTER'!$V$2:$V$495&lt;=1)*('CASE MASTER'!$X$2:$X$495&gt;=1))*ROW('CASE MASTER'!$T$2:$T$495))-(ROW('CASE MASTER'!#REF!)-1)))+1)+(1-INDEX('CASE MASTER'!$V$2:$V$495,(SUMPRODUCT((('CASE MASTER'!$T$2:$T$495=4)*('CASE MASTER'!$U$2:$U$495&lt;=1)*('CASE MASTER'!$W$2:$W$495&gt;=1)*('CASE MASTER'!$V$2:$V$495&lt;=1)*('CASE MASTER'!$X$2:$X$495&gt;=1))*ROW('CASE MASTER'!$T$2:$T$495))-(ROW('CASE MASTER'!#REF!)-1))))+1))-1)*50+1,50))&amp;"_"&amp;INDEX('CASE MASTER'!$Q$2:$Q$495,(SUMPRODUCT((('CASE MASTER'!$T$2:$T$495=4)*('CASE MASTER'!$U$2:$U$495&lt;=1)*('CASE MASTER'!$W$2:$W$495&gt;=1)*('CASE MASTER'!$V$2:$V$495&lt;=1)*('CASE MASTER'!$X$2:$X$495&gt;=1))*ROW('CASE MASTER'!$T$2:$T$495))-(ROW('CASE MASTER'!#REF!)-1))),IF(SUMPRODUCT((('CASE MASTER'!$T$2:$T$495=4)*('CASE MASTER'!$AA$2:$AA$495&lt;=1)*('CASE MASTER'!$AC$2:$AC$495&gt;=1)*('CASE MASTER'!$AB$2:$AB$495&lt;=1)*('CASE MASTER'!$AD$2:$AD$495&gt;=1))*ROW('CASE MASTER'!$T$2:$T$495))&gt;0,INDEX('CASE MASTER'!$Y$2:$Y$495,(SUMPRODUCT((('CASE MASTER'!$T$2:$T$495=4)*('CASE MASTER'!$AA$2:$AA$495&lt;=1)*('CASE MASTER'!$AC$2:$AC$495&gt;=1)*('CASE MASTER'!$AB$2:$AB$495&lt;=1)*('CASE MASTER'!$AD$2:$AD$495&gt;=1))*ROW('CASE MASTER'!$T$2:$T$495))-(ROW('CASE MASTER'!#REF!)-1)))&amp;TRIM(MID(SUBSTITUTE(SUBSTITUTE(INDEX('CASE MASTER'!$N$2:$N$495,(SUMPRODUCT((('CASE MASTER'!$T$2:$T$495=4)*('CASE MASTER'!$AA$2:$AA$495&lt;=1)*('CASE MASTER'!$AC$2:$AC$495&gt;=1)*('CASE MASTER'!$AB$2:$AB$495&lt;=1)*('CASE MASTER'!$AD$2:$AD$495&gt;=1))*ROW('CASE MASTER'!$T$2:$T$495))-(ROW('CASE MASTER'!#REF!)-1))),":",","),",",REPT(" ",50)),(((INDEX('CASE MASTER'!$Z$2:$Z$495,(SUMPRODUCT((('CASE MASTER'!$T$2:$T$495=4)*('CASE MASTER'!$AA$2:$AA$495&lt;=1)*('CASE MASTER'!$AC$2:$AC$495&gt;=1)*('CASE MASTER'!$AB$2:$AB$495&lt;=1)*('CASE MASTER'!$AD$2:$AD$495&gt;=1))*ROW('CASE MASTER'!$T$2:$T$495))-(ROW('CASE MASTER'!#REF!)-1)))+((1-INDEX('CASE MASTER'!$AA$2:$AA$495,(SUMPRODUCT((('CASE MASTER'!$T$2:$T$495=4)*('CASE MASTER'!$AA$2:$AA$495&lt;=1)*('CASE MASTER'!$AC$2:$AC$495&gt;=1)*('CASE MASTER'!$AB$2:$AB$495&lt;=1)*('CASE MASTER'!$AD$2:$AD$495&gt;=1))*ROW('CASE MASTER'!$T$2:$T$495))-(ROW('CASE MASTER'!#REF!)-1))))*(INDEX('CASE MASTER'!$AD$2:$AD$495,(SUMPRODUCT((('CASE MASTER'!$T$2:$T$495=4)*('CASE MASTER'!$AA$2:$AA$495&lt;=1)*('CASE MASTER'!$AC$2:$AC$495&gt;=1)*('CASE MASTER'!$AB$2:$AB$495&lt;=1)*('CASE MASTER'!$AD$2:$AD$495&gt;=1))*ROW('CASE MASTER'!$T$2:$T$495))-(ROW('CASE MASTER'!#REF!)-1)))-INDEX('CASE MASTER'!$AB$2:$AB$495,(SUMPRODUCT((('CASE MASTER'!$T$2:$T$495=4)*('CASE MASTER'!$AA$2:$AA$495&lt;=1)*('CASE MASTER'!$AC$2:$AC$495&gt;=1)*('CASE MASTER'!$AB$2:$AB$495&lt;=1)*('CASE MASTER'!$AD$2:$AD$495&gt;=1))*ROW('CASE MASTER'!$T$2:$T$495))-(ROW('CASE MASTER'!#REF!)-1)))+1)+(1-INDEX('CASE MASTER'!$AB$2:$AB$495,(SUMPRODUCT((('CASE MASTER'!$T$2:$T$495=4)*('CASE MASTER'!$AA$2:$AA$495&lt;=1)*('CASE MASTER'!$AC$2:$AC$495&gt;=1)*('CASE MASTER'!$AB$2:$AB$495&lt;=1)*('CASE MASTER'!$AD$2:$AD$495&gt;=1))*ROW('CASE MASTER'!$T$2:$T$495))-(ROW('CASE MASTER'!#REF!)-1))))+1)))-1)*50+1,50))&amp;"_"&amp;INDEX('CASE MASTER'!$Q$2:$Q$495,(SUMPRODUCT((('CASE MASTER'!$T$2:$T$495=4)*('CASE MASTER'!$AA$2:$AA$495&lt;=1)*('CASE MASTER'!$AC$2:$AC$495&gt;=1)*('CASE MASTER'!$AB$2:$AB$495&lt;=1)*('CASE MASTER'!$AD$2:$AD$495&gt;=1))*ROW('CASE MASTER'!$T$2:$T$495))-(ROW('CASE MASTER'!#REF!)-1))),"")),"")</f>
        <v/>
      </c>
      <c r="C45" s="10" t="str">
        <f>IFERROR(IF(SUMPRODUCT((('CASE MASTER'!$T$2:$T$495=4)*('CASE MASTER'!$U$2:$U$495&lt;=1)*('CASE MASTER'!$W$2:$W$495&gt;=1)*('CASE MASTER'!$V$2:$V$495&lt;=2)*('CASE MASTER'!$X$2:$X$495&gt;=2))*ROW('CASE MASTER'!$T$2:$T$495))&gt;0,INDEX('CASE MASTER'!$Y$2:$Y$495,(SUMPRODUCT((('CASE MASTER'!$T$2:$T$495=4)*('CASE MASTER'!$U$2:$U$495&lt;=1)*('CASE MASTER'!$W$2:$W$495&gt;=1)*('CASE MASTER'!$V$2:$V$495&lt;=2)*('CASE MASTER'!$X$2:$X$495&gt;=2))*ROW('CASE MASTER'!$T$2:$T$495))-(ROW('CASE MASTER'!#REF!)-1)))&amp;TRIM(MID(SUBSTITUTE(SUBSTITUTE(INDEX('CASE MASTER'!$N$2:$N$495,(SUMPRODUCT((('CASE MASTER'!$T$2:$T$495=4)*('CASE MASTER'!$U$2:$U$495&lt;=1)*('CASE MASTER'!$W$2:$W$495&gt;=1)*('CASE MASTER'!$V$2:$V$495&lt;=2)*('CASE MASTER'!$X$2:$X$495&gt;=2))*ROW('CASE MASTER'!$T$2:$T$495))-(ROW('CASE MASTER'!#REF!)-1))),":",","),",",REPT(" ",50)),((((1-INDEX('CASE MASTER'!$U$2:$U$495,(SUMPRODUCT((('CASE MASTER'!$T$2:$T$495=4)*('CASE MASTER'!$U$2:$U$495&lt;=1)*('CASE MASTER'!$W$2:$W$495&gt;=1)*('CASE MASTER'!$V$2:$V$495&lt;=2)*('CASE MASTER'!$X$2:$X$495&gt;=2))*ROW('CASE MASTER'!$T$2:$T$495))-(ROW('CASE MASTER'!#REF!)-1))))*(INDEX('CASE MASTER'!$X$2:$X$495,(SUMPRODUCT((('CASE MASTER'!$T$2:$T$495=4)*('CASE MASTER'!$U$2:$U$495&lt;=1)*('CASE MASTER'!$W$2:$W$495&gt;=1)*('CASE MASTER'!$V$2:$V$495&lt;=2)*('CASE MASTER'!$X$2:$X$495&gt;=2))*ROW('CASE MASTER'!$T$2:$T$495))-(ROW('CASE MASTER'!#REF!)-1)))-INDEX('CASE MASTER'!$V$2:$V$495,(SUMPRODUCT((('CASE MASTER'!$T$2:$T$495=4)*('CASE MASTER'!$U$2:$U$495&lt;=1)*('CASE MASTER'!$W$2:$W$495&gt;=1)*('CASE MASTER'!$V$2:$V$495&lt;=2)*('CASE MASTER'!$X$2:$X$495&gt;=2))*ROW('CASE MASTER'!$T$2:$T$495))-(ROW('CASE MASTER'!#REF!)-1)))+1)+(2-INDEX('CASE MASTER'!$V$2:$V$495,(SUMPRODUCT((('CASE MASTER'!$T$2:$T$495=4)*('CASE MASTER'!$U$2:$U$495&lt;=1)*('CASE MASTER'!$W$2:$W$495&gt;=1)*('CASE MASTER'!$V$2:$V$495&lt;=2)*('CASE MASTER'!$X$2:$X$495&gt;=2))*ROW('CASE MASTER'!$T$2:$T$495))-(ROW('CASE MASTER'!#REF!)-1))))+1))-1)*50+1,50))&amp;"_"&amp;INDEX('CASE MASTER'!$Q$2:$Q$495,(SUMPRODUCT((('CASE MASTER'!$T$2:$T$495=4)*('CASE MASTER'!$U$2:$U$495&lt;=1)*('CASE MASTER'!$W$2:$W$495&gt;=1)*('CASE MASTER'!$V$2:$V$495&lt;=2)*('CASE MASTER'!$X$2:$X$495&gt;=2))*ROW('CASE MASTER'!$T$2:$T$495))-(ROW('CASE MASTER'!#REF!)-1))),IF(SUMPRODUCT((('CASE MASTER'!$T$2:$T$495=4)*('CASE MASTER'!$AA$2:$AA$495&lt;=1)*('CASE MASTER'!$AC$2:$AC$495&gt;=1)*('CASE MASTER'!$AB$2:$AB$495&lt;=2)*('CASE MASTER'!$AD$2:$AD$495&gt;=2))*ROW('CASE MASTER'!$T$2:$T$495))&gt;0,INDEX('CASE MASTER'!$Y$2:$Y$495,(SUMPRODUCT((('CASE MASTER'!$T$2:$T$495=4)*('CASE MASTER'!$AA$2:$AA$495&lt;=1)*('CASE MASTER'!$AC$2:$AC$495&gt;=1)*('CASE MASTER'!$AB$2:$AB$495&lt;=2)*('CASE MASTER'!$AD$2:$AD$495&gt;=2))*ROW('CASE MASTER'!$T$2:$T$495))-(ROW('CASE MASTER'!#REF!)-1)))&amp;TRIM(MID(SUBSTITUTE(SUBSTITUTE(INDEX('CASE MASTER'!$N$2:$N$495,(SUMPRODUCT((('CASE MASTER'!$T$2:$T$495=4)*('CASE MASTER'!$AA$2:$AA$495&lt;=1)*('CASE MASTER'!$AC$2:$AC$495&gt;=1)*('CASE MASTER'!$AB$2:$AB$495&lt;=2)*('CASE MASTER'!$AD$2:$AD$495&gt;=2))*ROW('CASE MASTER'!$T$2:$T$495))-(ROW('CASE MASTER'!#REF!)-1))),":",","),",",REPT(" ",50)),(((INDEX('CASE MASTER'!$Z$2:$Z$495,(SUMPRODUCT((('CASE MASTER'!$T$2:$T$495=4)*('CASE MASTER'!$AA$2:$AA$495&lt;=1)*('CASE MASTER'!$AC$2:$AC$495&gt;=1)*('CASE MASTER'!$AB$2:$AB$495&lt;=2)*('CASE MASTER'!$AD$2:$AD$495&gt;=2))*ROW('CASE MASTER'!$T$2:$T$495))-(ROW('CASE MASTER'!#REF!)-1)))+((1-INDEX('CASE MASTER'!$AA$2:$AA$495,(SUMPRODUCT((('CASE MASTER'!$T$2:$T$495=4)*('CASE MASTER'!$AA$2:$AA$495&lt;=1)*('CASE MASTER'!$AC$2:$AC$495&gt;=1)*('CASE MASTER'!$AB$2:$AB$495&lt;=2)*('CASE MASTER'!$AD$2:$AD$495&gt;=2))*ROW('CASE MASTER'!$T$2:$T$495))-(ROW('CASE MASTER'!#REF!)-1))))*(INDEX('CASE MASTER'!$AD$2:$AD$495,(SUMPRODUCT((('CASE MASTER'!$T$2:$T$495=4)*('CASE MASTER'!$AA$2:$AA$495&lt;=1)*('CASE MASTER'!$AC$2:$AC$495&gt;=1)*('CASE MASTER'!$AB$2:$AB$495&lt;=2)*('CASE MASTER'!$AD$2:$AD$495&gt;=2))*ROW('CASE MASTER'!$T$2:$T$495))-(ROW('CASE MASTER'!#REF!)-1)))-INDEX('CASE MASTER'!$AB$2:$AB$495,(SUMPRODUCT((('CASE MASTER'!$T$2:$T$495=4)*('CASE MASTER'!$AA$2:$AA$495&lt;=1)*('CASE MASTER'!$AC$2:$AC$495&gt;=1)*('CASE MASTER'!$AB$2:$AB$495&lt;=2)*('CASE MASTER'!$AD$2:$AD$495&gt;=2))*ROW('CASE MASTER'!$T$2:$T$495))-(ROW('CASE MASTER'!#REF!)-1)))+1)+(2-INDEX('CASE MASTER'!$AB$2:$AB$495,(SUMPRODUCT((('CASE MASTER'!$T$2:$T$495=4)*('CASE MASTER'!$AA$2:$AA$495&lt;=1)*('CASE MASTER'!$AC$2:$AC$495&gt;=1)*('CASE MASTER'!$AB$2:$AB$495&lt;=2)*('CASE MASTER'!$AD$2:$AD$495&gt;=2))*ROW('CASE MASTER'!$T$2:$T$495))-(ROW('CASE MASTER'!#REF!)-1))))+1)))-1)*50+1,50))&amp;"_"&amp;INDEX('CASE MASTER'!$Q$2:$Q$495,(SUMPRODUCT((('CASE MASTER'!$T$2:$T$495=4)*('CASE MASTER'!$AA$2:$AA$495&lt;=1)*('CASE MASTER'!$AC$2:$AC$495&gt;=1)*('CASE MASTER'!$AB$2:$AB$495&lt;=2)*('CASE MASTER'!$AD$2:$AD$495&gt;=2))*ROW('CASE MASTER'!$T$2:$T$495))-(ROW('CASE MASTER'!#REF!)-1))),"")),"")</f>
        <v/>
      </c>
      <c r="D45" s="10" t="str">
        <f>IFERROR(IF(SUMPRODUCT((('CASE MASTER'!$T$2:$T$495=4)*('CASE MASTER'!$U$2:$U$495&lt;=1)*('CASE MASTER'!$W$2:$W$495&gt;=1)*('CASE MASTER'!$V$2:$V$495&lt;=3)*('CASE MASTER'!$X$2:$X$495&gt;=3))*ROW('CASE MASTER'!$T$2:$T$495))&gt;0,INDEX('CASE MASTER'!$Y$2:$Y$495,(SUMPRODUCT((('CASE MASTER'!$T$2:$T$495=4)*('CASE MASTER'!$U$2:$U$495&lt;=1)*('CASE MASTER'!$W$2:$W$495&gt;=1)*('CASE MASTER'!$V$2:$V$495&lt;=3)*('CASE MASTER'!$X$2:$X$495&gt;=3))*ROW('CASE MASTER'!$T$2:$T$495))-(ROW('CASE MASTER'!#REF!)-1)))&amp;TRIM(MID(SUBSTITUTE(SUBSTITUTE(INDEX('CASE MASTER'!$N$2:$N$495,(SUMPRODUCT((('CASE MASTER'!$T$2:$T$495=4)*('CASE MASTER'!$U$2:$U$495&lt;=1)*('CASE MASTER'!$W$2:$W$495&gt;=1)*('CASE MASTER'!$V$2:$V$495&lt;=3)*('CASE MASTER'!$X$2:$X$495&gt;=3))*ROW('CASE MASTER'!$T$2:$T$495))-(ROW('CASE MASTER'!#REF!)-1))),":",","),",",REPT(" ",50)),((((1-INDEX('CASE MASTER'!$U$2:$U$495,(SUMPRODUCT((('CASE MASTER'!$T$2:$T$495=4)*('CASE MASTER'!$U$2:$U$495&lt;=1)*('CASE MASTER'!$W$2:$W$495&gt;=1)*('CASE MASTER'!$V$2:$V$495&lt;=3)*('CASE MASTER'!$X$2:$X$495&gt;=3))*ROW('CASE MASTER'!$T$2:$T$495))-(ROW('CASE MASTER'!#REF!)-1))))*(INDEX('CASE MASTER'!$X$2:$X$495,(SUMPRODUCT((('CASE MASTER'!$T$2:$T$495=4)*('CASE MASTER'!$U$2:$U$495&lt;=1)*('CASE MASTER'!$W$2:$W$495&gt;=1)*('CASE MASTER'!$V$2:$V$495&lt;=3)*('CASE MASTER'!$X$2:$X$495&gt;=3))*ROW('CASE MASTER'!$T$2:$T$495))-(ROW('CASE MASTER'!#REF!)-1)))-INDEX('CASE MASTER'!$V$2:$V$495,(SUMPRODUCT((('CASE MASTER'!$T$2:$T$495=4)*('CASE MASTER'!$U$2:$U$495&lt;=1)*('CASE MASTER'!$W$2:$W$495&gt;=1)*('CASE MASTER'!$V$2:$V$495&lt;=3)*('CASE MASTER'!$X$2:$X$495&gt;=3))*ROW('CASE MASTER'!$T$2:$T$495))-(ROW('CASE MASTER'!#REF!)-1)))+1)+(3-INDEX('CASE MASTER'!$V$2:$V$495,(SUMPRODUCT((('CASE MASTER'!$T$2:$T$495=4)*('CASE MASTER'!$U$2:$U$495&lt;=1)*('CASE MASTER'!$W$2:$W$495&gt;=1)*('CASE MASTER'!$V$2:$V$495&lt;=3)*('CASE MASTER'!$X$2:$X$495&gt;=3))*ROW('CASE MASTER'!$T$2:$T$495))-(ROW('CASE MASTER'!#REF!)-1))))+1))-1)*50+1,50))&amp;"_"&amp;INDEX('CASE MASTER'!$Q$2:$Q$495,(SUMPRODUCT((('CASE MASTER'!$T$2:$T$495=4)*('CASE MASTER'!$U$2:$U$495&lt;=1)*('CASE MASTER'!$W$2:$W$495&gt;=1)*('CASE MASTER'!$V$2:$V$495&lt;=3)*('CASE MASTER'!$X$2:$X$495&gt;=3))*ROW('CASE MASTER'!$T$2:$T$495))-(ROW('CASE MASTER'!#REF!)-1))),IF(SUMPRODUCT((('CASE MASTER'!$T$2:$T$495=4)*('CASE MASTER'!$AA$2:$AA$495&lt;=1)*('CASE MASTER'!$AC$2:$AC$495&gt;=1)*('CASE MASTER'!$AB$2:$AB$495&lt;=3)*('CASE MASTER'!$AD$2:$AD$495&gt;=3))*ROW('CASE MASTER'!$T$2:$T$495))&gt;0,INDEX('CASE MASTER'!$Y$2:$Y$495,(SUMPRODUCT((('CASE MASTER'!$T$2:$T$495=4)*('CASE MASTER'!$AA$2:$AA$495&lt;=1)*('CASE MASTER'!$AC$2:$AC$495&gt;=1)*('CASE MASTER'!$AB$2:$AB$495&lt;=3)*('CASE MASTER'!$AD$2:$AD$495&gt;=3))*ROW('CASE MASTER'!$T$2:$T$495))-(ROW('CASE MASTER'!#REF!)-1)))&amp;TRIM(MID(SUBSTITUTE(SUBSTITUTE(INDEX('CASE MASTER'!$N$2:$N$495,(SUMPRODUCT((('CASE MASTER'!$T$2:$T$495=4)*('CASE MASTER'!$AA$2:$AA$495&lt;=1)*('CASE MASTER'!$AC$2:$AC$495&gt;=1)*('CASE MASTER'!$AB$2:$AB$495&lt;=3)*('CASE MASTER'!$AD$2:$AD$495&gt;=3))*ROW('CASE MASTER'!$T$2:$T$495))-(ROW('CASE MASTER'!#REF!)-1))),":",","),",",REPT(" ",50)),(((INDEX('CASE MASTER'!$Z$2:$Z$495,(SUMPRODUCT((('CASE MASTER'!$T$2:$T$495=4)*('CASE MASTER'!$AA$2:$AA$495&lt;=1)*('CASE MASTER'!$AC$2:$AC$495&gt;=1)*('CASE MASTER'!$AB$2:$AB$495&lt;=3)*('CASE MASTER'!$AD$2:$AD$495&gt;=3))*ROW('CASE MASTER'!$T$2:$T$495))-(ROW('CASE MASTER'!#REF!)-1)))+((1-INDEX('CASE MASTER'!$AA$2:$AA$495,(SUMPRODUCT((('CASE MASTER'!$T$2:$T$495=4)*('CASE MASTER'!$AA$2:$AA$495&lt;=1)*('CASE MASTER'!$AC$2:$AC$495&gt;=1)*('CASE MASTER'!$AB$2:$AB$495&lt;=3)*('CASE MASTER'!$AD$2:$AD$495&gt;=3))*ROW('CASE MASTER'!$T$2:$T$495))-(ROW('CASE MASTER'!#REF!)-1))))*(INDEX('CASE MASTER'!$AD$2:$AD$495,(SUMPRODUCT((('CASE MASTER'!$T$2:$T$495=4)*('CASE MASTER'!$AA$2:$AA$495&lt;=1)*('CASE MASTER'!$AC$2:$AC$495&gt;=1)*('CASE MASTER'!$AB$2:$AB$495&lt;=3)*('CASE MASTER'!$AD$2:$AD$495&gt;=3))*ROW('CASE MASTER'!$T$2:$T$495))-(ROW('CASE MASTER'!#REF!)-1)))-INDEX('CASE MASTER'!$AB$2:$AB$495,(SUMPRODUCT((('CASE MASTER'!$T$2:$T$495=4)*('CASE MASTER'!$AA$2:$AA$495&lt;=1)*('CASE MASTER'!$AC$2:$AC$495&gt;=1)*('CASE MASTER'!$AB$2:$AB$495&lt;=3)*('CASE MASTER'!$AD$2:$AD$495&gt;=3))*ROW('CASE MASTER'!$T$2:$T$495))-(ROW('CASE MASTER'!#REF!)-1)))+1)+(3-INDEX('CASE MASTER'!$AB$2:$AB$495,(SUMPRODUCT((('CASE MASTER'!$T$2:$T$495=4)*('CASE MASTER'!$AA$2:$AA$495&lt;=1)*('CASE MASTER'!$AC$2:$AC$495&gt;=1)*('CASE MASTER'!$AB$2:$AB$495&lt;=3)*('CASE MASTER'!$AD$2:$AD$495&gt;=3))*ROW('CASE MASTER'!$T$2:$T$495))-(ROW('CASE MASTER'!#REF!)-1))))+1)))-1)*50+1,50))&amp;"_"&amp;INDEX('CASE MASTER'!$Q$2:$Q$495,(SUMPRODUCT((('CASE MASTER'!$T$2:$T$495=4)*('CASE MASTER'!$AA$2:$AA$495&lt;=1)*('CASE MASTER'!$AC$2:$AC$495&gt;=1)*('CASE MASTER'!$AB$2:$AB$495&lt;=3)*('CASE MASTER'!$AD$2:$AD$495&gt;=3))*ROW('CASE MASTER'!$T$2:$T$495))-(ROW('CASE MASTER'!#REF!)-1))),"")),"")</f>
        <v/>
      </c>
      <c r="E45" s="10" t="str">
        <f>IFERROR(IF(SUMPRODUCT((('CASE MASTER'!$T$2:$T$495=4)*('CASE MASTER'!$U$2:$U$495&lt;=1)*('CASE MASTER'!$W$2:$W$495&gt;=1)*('CASE MASTER'!$V$2:$V$495&lt;=4)*('CASE MASTER'!$X$2:$X$495&gt;=4))*ROW('CASE MASTER'!$T$2:$T$495))&gt;0,INDEX('CASE MASTER'!$Y$2:$Y$495,(SUMPRODUCT((('CASE MASTER'!$T$2:$T$495=4)*('CASE MASTER'!$U$2:$U$495&lt;=1)*('CASE MASTER'!$W$2:$W$495&gt;=1)*('CASE MASTER'!$V$2:$V$495&lt;=4)*('CASE MASTER'!$X$2:$X$495&gt;=4))*ROW('CASE MASTER'!$T$2:$T$495))-(ROW('CASE MASTER'!#REF!)-1)))&amp;TRIM(MID(SUBSTITUTE(SUBSTITUTE(INDEX('CASE MASTER'!$N$2:$N$495,(SUMPRODUCT((('CASE MASTER'!$T$2:$T$495=4)*('CASE MASTER'!$U$2:$U$495&lt;=1)*('CASE MASTER'!$W$2:$W$495&gt;=1)*('CASE MASTER'!$V$2:$V$495&lt;=4)*('CASE MASTER'!$X$2:$X$495&gt;=4))*ROW('CASE MASTER'!$T$2:$T$495))-(ROW('CASE MASTER'!#REF!)-1))),":",","),",",REPT(" ",50)),((((1-INDEX('CASE MASTER'!$U$2:$U$495,(SUMPRODUCT((('CASE MASTER'!$T$2:$T$495=4)*('CASE MASTER'!$U$2:$U$495&lt;=1)*('CASE MASTER'!$W$2:$W$495&gt;=1)*('CASE MASTER'!$V$2:$V$495&lt;=4)*('CASE MASTER'!$X$2:$X$495&gt;=4))*ROW('CASE MASTER'!$T$2:$T$495))-(ROW('CASE MASTER'!#REF!)-1))))*(INDEX('CASE MASTER'!$X$2:$X$495,(SUMPRODUCT((('CASE MASTER'!$T$2:$T$495=4)*('CASE MASTER'!$U$2:$U$495&lt;=1)*('CASE MASTER'!$W$2:$W$495&gt;=1)*('CASE MASTER'!$V$2:$V$495&lt;=4)*('CASE MASTER'!$X$2:$X$495&gt;=4))*ROW('CASE MASTER'!$T$2:$T$495))-(ROW('CASE MASTER'!#REF!)-1)))-INDEX('CASE MASTER'!$V$2:$V$495,(SUMPRODUCT((('CASE MASTER'!$T$2:$T$495=4)*('CASE MASTER'!$U$2:$U$495&lt;=1)*('CASE MASTER'!$W$2:$W$495&gt;=1)*('CASE MASTER'!$V$2:$V$495&lt;=4)*('CASE MASTER'!$X$2:$X$495&gt;=4))*ROW('CASE MASTER'!$T$2:$T$495))-(ROW('CASE MASTER'!#REF!)-1)))+1)+(4-INDEX('CASE MASTER'!$V$2:$V$495,(SUMPRODUCT((('CASE MASTER'!$T$2:$T$495=4)*('CASE MASTER'!$U$2:$U$495&lt;=1)*('CASE MASTER'!$W$2:$W$495&gt;=1)*('CASE MASTER'!$V$2:$V$495&lt;=4)*('CASE MASTER'!$X$2:$X$495&gt;=4))*ROW('CASE MASTER'!$T$2:$T$495))-(ROW('CASE MASTER'!#REF!)-1))))+1))-1)*50+1,50))&amp;"_"&amp;INDEX('CASE MASTER'!$Q$2:$Q$495,(SUMPRODUCT((('CASE MASTER'!$T$2:$T$495=4)*('CASE MASTER'!$U$2:$U$495&lt;=1)*('CASE MASTER'!$W$2:$W$495&gt;=1)*('CASE MASTER'!$V$2:$V$495&lt;=4)*('CASE MASTER'!$X$2:$X$495&gt;=4))*ROW('CASE MASTER'!$T$2:$T$495))-(ROW('CASE MASTER'!#REF!)-1))),IF(SUMPRODUCT((('CASE MASTER'!$T$2:$T$495=4)*('CASE MASTER'!$AA$2:$AA$495&lt;=1)*('CASE MASTER'!$AC$2:$AC$495&gt;=1)*('CASE MASTER'!$AB$2:$AB$495&lt;=4)*('CASE MASTER'!$AD$2:$AD$495&gt;=4))*ROW('CASE MASTER'!$T$2:$T$495))&gt;0,INDEX('CASE MASTER'!$Y$2:$Y$495,(SUMPRODUCT((('CASE MASTER'!$T$2:$T$495=4)*('CASE MASTER'!$AA$2:$AA$495&lt;=1)*('CASE MASTER'!$AC$2:$AC$495&gt;=1)*('CASE MASTER'!$AB$2:$AB$495&lt;=4)*('CASE MASTER'!$AD$2:$AD$495&gt;=4))*ROW('CASE MASTER'!$T$2:$T$495))-(ROW('CASE MASTER'!#REF!)-1)))&amp;TRIM(MID(SUBSTITUTE(SUBSTITUTE(INDEX('CASE MASTER'!$N$2:$N$495,(SUMPRODUCT((('CASE MASTER'!$T$2:$T$495=4)*('CASE MASTER'!$AA$2:$AA$495&lt;=1)*('CASE MASTER'!$AC$2:$AC$495&gt;=1)*('CASE MASTER'!$AB$2:$AB$495&lt;=4)*('CASE MASTER'!$AD$2:$AD$495&gt;=4))*ROW('CASE MASTER'!$T$2:$T$495))-(ROW('CASE MASTER'!#REF!)-1))),":",","),",",REPT(" ",50)),(((INDEX('CASE MASTER'!$Z$2:$Z$495,(SUMPRODUCT((('CASE MASTER'!$T$2:$T$495=4)*('CASE MASTER'!$AA$2:$AA$495&lt;=1)*('CASE MASTER'!$AC$2:$AC$495&gt;=1)*('CASE MASTER'!$AB$2:$AB$495&lt;=4)*('CASE MASTER'!$AD$2:$AD$495&gt;=4))*ROW('CASE MASTER'!$T$2:$T$495))-(ROW('CASE MASTER'!#REF!)-1)))+((1-INDEX('CASE MASTER'!$AA$2:$AA$495,(SUMPRODUCT((('CASE MASTER'!$T$2:$T$495=4)*('CASE MASTER'!$AA$2:$AA$495&lt;=1)*('CASE MASTER'!$AC$2:$AC$495&gt;=1)*('CASE MASTER'!$AB$2:$AB$495&lt;=4)*('CASE MASTER'!$AD$2:$AD$495&gt;=4))*ROW('CASE MASTER'!$T$2:$T$495))-(ROW('CASE MASTER'!#REF!)-1))))*(INDEX('CASE MASTER'!$AD$2:$AD$495,(SUMPRODUCT((('CASE MASTER'!$T$2:$T$495=4)*('CASE MASTER'!$AA$2:$AA$495&lt;=1)*('CASE MASTER'!$AC$2:$AC$495&gt;=1)*('CASE MASTER'!$AB$2:$AB$495&lt;=4)*('CASE MASTER'!$AD$2:$AD$495&gt;=4))*ROW('CASE MASTER'!$T$2:$T$495))-(ROW('CASE MASTER'!#REF!)-1)))-INDEX('CASE MASTER'!$AB$2:$AB$495,(SUMPRODUCT((('CASE MASTER'!$T$2:$T$495=4)*('CASE MASTER'!$AA$2:$AA$495&lt;=1)*('CASE MASTER'!$AC$2:$AC$495&gt;=1)*('CASE MASTER'!$AB$2:$AB$495&lt;=4)*('CASE MASTER'!$AD$2:$AD$495&gt;=4))*ROW('CASE MASTER'!$T$2:$T$495))-(ROW('CASE MASTER'!#REF!)-1)))+1)+(4-INDEX('CASE MASTER'!$AB$2:$AB$495,(SUMPRODUCT((('CASE MASTER'!$T$2:$T$495=4)*('CASE MASTER'!$AA$2:$AA$495&lt;=1)*('CASE MASTER'!$AC$2:$AC$495&gt;=1)*('CASE MASTER'!$AB$2:$AB$495&lt;=4)*('CASE MASTER'!$AD$2:$AD$495&gt;=4))*ROW('CASE MASTER'!$T$2:$T$495))-(ROW('CASE MASTER'!#REF!)-1))))+1)))-1)*50+1,50))&amp;"_"&amp;INDEX('CASE MASTER'!$Q$2:$Q$495,(SUMPRODUCT((('CASE MASTER'!$T$2:$T$495=4)*('CASE MASTER'!$AA$2:$AA$495&lt;=1)*('CASE MASTER'!$AC$2:$AC$495&gt;=1)*('CASE MASTER'!$AB$2:$AB$495&lt;=4)*('CASE MASTER'!$AD$2:$AD$495&gt;=4))*ROW('CASE MASTER'!$T$2:$T$495))-(ROW('CASE MASTER'!#REF!)-1))),"")),"")</f>
        <v/>
      </c>
      <c r="F45" s="10" t="str">
        <f>IFERROR(IF(SUMPRODUCT((('CASE MASTER'!$T$2:$T$495=4)*('CASE MASTER'!$U$2:$U$495&lt;=1)*('CASE MASTER'!$W$2:$W$495&gt;=1)*('CASE MASTER'!$V$2:$V$495&lt;=5)*('CASE MASTER'!$X$2:$X$495&gt;=5))*ROW('CASE MASTER'!$T$2:$T$495))&gt;0,INDEX('CASE MASTER'!$Y$2:$Y$495,(SUMPRODUCT((('CASE MASTER'!$T$2:$T$495=4)*('CASE MASTER'!$U$2:$U$495&lt;=1)*('CASE MASTER'!$W$2:$W$495&gt;=1)*('CASE MASTER'!$V$2:$V$495&lt;=5)*('CASE MASTER'!$X$2:$X$495&gt;=5))*ROW('CASE MASTER'!$T$2:$T$495))-(ROW('CASE MASTER'!#REF!)-1)))&amp;TRIM(MID(SUBSTITUTE(SUBSTITUTE(INDEX('CASE MASTER'!$N$2:$N$495,(SUMPRODUCT((('CASE MASTER'!$T$2:$T$495=4)*('CASE MASTER'!$U$2:$U$495&lt;=1)*('CASE MASTER'!$W$2:$W$495&gt;=1)*('CASE MASTER'!$V$2:$V$495&lt;=5)*('CASE MASTER'!$X$2:$X$495&gt;=5))*ROW('CASE MASTER'!$T$2:$T$495))-(ROW('CASE MASTER'!#REF!)-1))),":",","),",",REPT(" ",50)),((((1-INDEX('CASE MASTER'!$U$2:$U$495,(SUMPRODUCT((('CASE MASTER'!$T$2:$T$495=4)*('CASE MASTER'!$U$2:$U$495&lt;=1)*('CASE MASTER'!$W$2:$W$495&gt;=1)*('CASE MASTER'!$V$2:$V$495&lt;=5)*('CASE MASTER'!$X$2:$X$495&gt;=5))*ROW('CASE MASTER'!$T$2:$T$495))-(ROW('CASE MASTER'!#REF!)-1))))*(INDEX('CASE MASTER'!$X$2:$X$495,(SUMPRODUCT((('CASE MASTER'!$T$2:$T$495=4)*('CASE MASTER'!$U$2:$U$495&lt;=1)*('CASE MASTER'!$W$2:$W$495&gt;=1)*('CASE MASTER'!$V$2:$V$495&lt;=5)*('CASE MASTER'!$X$2:$X$495&gt;=5))*ROW('CASE MASTER'!$T$2:$T$495))-(ROW('CASE MASTER'!#REF!)-1)))-INDEX('CASE MASTER'!$V$2:$V$495,(SUMPRODUCT((('CASE MASTER'!$T$2:$T$495=4)*('CASE MASTER'!$U$2:$U$495&lt;=1)*('CASE MASTER'!$W$2:$W$495&gt;=1)*('CASE MASTER'!$V$2:$V$495&lt;=5)*('CASE MASTER'!$X$2:$X$495&gt;=5))*ROW('CASE MASTER'!$T$2:$T$495))-(ROW('CASE MASTER'!#REF!)-1)))+1)+(5-INDEX('CASE MASTER'!$V$2:$V$495,(SUMPRODUCT((('CASE MASTER'!$T$2:$T$495=4)*('CASE MASTER'!$U$2:$U$495&lt;=1)*('CASE MASTER'!$W$2:$W$495&gt;=1)*('CASE MASTER'!$V$2:$V$495&lt;=5)*('CASE MASTER'!$X$2:$X$495&gt;=5))*ROW('CASE MASTER'!$T$2:$T$495))-(ROW('CASE MASTER'!#REF!)-1))))+1))-1)*50+1,50))&amp;"_"&amp;INDEX('CASE MASTER'!$Q$2:$Q$495,(SUMPRODUCT((('CASE MASTER'!$T$2:$T$495=4)*('CASE MASTER'!$U$2:$U$495&lt;=1)*('CASE MASTER'!$W$2:$W$495&gt;=1)*('CASE MASTER'!$V$2:$V$495&lt;=5)*('CASE MASTER'!$X$2:$X$495&gt;=5))*ROW('CASE MASTER'!$T$2:$T$495))-(ROW('CASE MASTER'!#REF!)-1))),IF(SUMPRODUCT((('CASE MASTER'!$T$2:$T$495=4)*('CASE MASTER'!$AA$2:$AA$495&lt;=1)*('CASE MASTER'!$AC$2:$AC$495&gt;=1)*('CASE MASTER'!$AB$2:$AB$495&lt;=5)*('CASE MASTER'!$AD$2:$AD$495&gt;=5))*ROW('CASE MASTER'!$T$2:$T$495))&gt;0,INDEX('CASE MASTER'!$Y$2:$Y$495,(SUMPRODUCT((('CASE MASTER'!$T$2:$T$495=4)*('CASE MASTER'!$AA$2:$AA$495&lt;=1)*('CASE MASTER'!$AC$2:$AC$495&gt;=1)*('CASE MASTER'!$AB$2:$AB$495&lt;=5)*('CASE MASTER'!$AD$2:$AD$495&gt;=5))*ROW('CASE MASTER'!$T$2:$T$495))-(ROW('CASE MASTER'!#REF!)-1)))&amp;TRIM(MID(SUBSTITUTE(SUBSTITUTE(INDEX('CASE MASTER'!$N$2:$N$495,(SUMPRODUCT((('CASE MASTER'!$T$2:$T$495=4)*('CASE MASTER'!$AA$2:$AA$495&lt;=1)*('CASE MASTER'!$AC$2:$AC$495&gt;=1)*('CASE MASTER'!$AB$2:$AB$495&lt;=5)*('CASE MASTER'!$AD$2:$AD$495&gt;=5))*ROW('CASE MASTER'!$T$2:$T$495))-(ROW('CASE MASTER'!#REF!)-1))),":",","),",",REPT(" ",50)),(((INDEX('CASE MASTER'!$Z$2:$Z$495,(SUMPRODUCT((('CASE MASTER'!$T$2:$T$495=4)*('CASE MASTER'!$AA$2:$AA$495&lt;=1)*('CASE MASTER'!$AC$2:$AC$495&gt;=1)*('CASE MASTER'!$AB$2:$AB$495&lt;=5)*('CASE MASTER'!$AD$2:$AD$495&gt;=5))*ROW('CASE MASTER'!$T$2:$T$495))-(ROW('CASE MASTER'!#REF!)-1)))+((1-INDEX('CASE MASTER'!$AA$2:$AA$495,(SUMPRODUCT((('CASE MASTER'!$T$2:$T$495=4)*('CASE MASTER'!$AA$2:$AA$495&lt;=1)*('CASE MASTER'!$AC$2:$AC$495&gt;=1)*('CASE MASTER'!$AB$2:$AB$495&lt;=5)*('CASE MASTER'!$AD$2:$AD$495&gt;=5))*ROW('CASE MASTER'!$T$2:$T$495))-(ROW('CASE MASTER'!#REF!)-1))))*(INDEX('CASE MASTER'!$AD$2:$AD$495,(SUMPRODUCT((('CASE MASTER'!$T$2:$T$495=4)*('CASE MASTER'!$AA$2:$AA$495&lt;=1)*('CASE MASTER'!$AC$2:$AC$495&gt;=1)*('CASE MASTER'!$AB$2:$AB$495&lt;=5)*('CASE MASTER'!$AD$2:$AD$495&gt;=5))*ROW('CASE MASTER'!$T$2:$T$495))-(ROW('CASE MASTER'!#REF!)-1)))-INDEX('CASE MASTER'!$AB$2:$AB$495,(SUMPRODUCT((('CASE MASTER'!$T$2:$T$495=4)*('CASE MASTER'!$AA$2:$AA$495&lt;=1)*('CASE MASTER'!$AC$2:$AC$495&gt;=1)*('CASE MASTER'!$AB$2:$AB$495&lt;=5)*('CASE MASTER'!$AD$2:$AD$495&gt;=5))*ROW('CASE MASTER'!$T$2:$T$495))-(ROW('CASE MASTER'!#REF!)-1)))+1)+(5-INDEX('CASE MASTER'!$AB$2:$AB$495,(SUMPRODUCT((('CASE MASTER'!$T$2:$T$495=4)*('CASE MASTER'!$AA$2:$AA$495&lt;=1)*('CASE MASTER'!$AC$2:$AC$495&gt;=1)*('CASE MASTER'!$AB$2:$AB$495&lt;=5)*('CASE MASTER'!$AD$2:$AD$495&gt;=5))*ROW('CASE MASTER'!$T$2:$T$495))-(ROW('CASE MASTER'!#REF!)-1))))+1)))-1)*50+1,50))&amp;"_"&amp;INDEX('CASE MASTER'!$Q$2:$Q$495,(SUMPRODUCT((('CASE MASTER'!$T$2:$T$495=4)*('CASE MASTER'!$AA$2:$AA$495&lt;=1)*('CASE MASTER'!$AC$2:$AC$495&gt;=1)*('CASE MASTER'!$AB$2:$AB$495&lt;=5)*('CASE MASTER'!$AD$2:$AD$495&gt;=5))*ROW('CASE MASTER'!$T$2:$T$495))-(ROW('CASE MASTER'!#REF!)-1))),"")),"")</f>
        <v/>
      </c>
      <c r="G45" s="10" t="str">
        <f>IFERROR(IF(SUMPRODUCT((('CASE MASTER'!$T$2:$T$495=4)*('CASE MASTER'!$U$2:$U$495&lt;=1)*('CASE MASTER'!$W$2:$W$495&gt;=1)*('CASE MASTER'!$V$2:$V$495&lt;=6)*('CASE MASTER'!$X$2:$X$495&gt;=6))*ROW('CASE MASTER'!$T$2:$T$495))&gt;0,INDEX('CASE MASTER'!$Y$2:$Y$495,(SUMPRODUCT((('CASE MASTER'!$T$2:$T$495=4)*('CASE MASTER'!$U$2:$U$495&lt;=1)*('CASE MASTER'!$W$2:$W$495&gt;=1)*('CASE MASTER'!$V$2:$V$495&lt;=6)*('CASE MASTER'!$X$2:$X$495&gt;=6))*ROW('CASE MASTER'!$T$2:$T$495))-(ROW('CASE MASTER'!#REF!)-1)))&amp;TRIM(MID(SUBSTITUTE(SUBSTITUTE(INDEX('CASE MASTER'!$N$2:$N$495,(SUMPRODUCT((('CASE MASTER'!$T$2:$T$495=4)*('CASE MASTER'!$U$2:$U$495&lt;=1)*('CASE MASTER'!$W$2:$W$495&gt;=1)*('CASE MASTER'!$V$2:$V$495&lt;=6)*('CASE MASTER'!$X$2:$X$495&gt;=6))*ROW('CASE MASTER'!$T$2:$T$495))-(ROW('CASE MASTER'!#REF!)-1))),":",","),",",REPT(" ",50)),((((1-INDEX('CASE MASTER'!$U$2:$U$495,(SUMPRODUCT((('CASE MASTER'!$T$2:$T$495=4)*('CASE MASTER'!$U$2:$U$495&lt;=1)*('CASE MASTER'!$W$2:$W$495&gt;=1)*('CASE MASTER'!$V$2:$V$495&lt;=6)*('CASE MASTER'!$X$2:$X$495&gt;=6))*ROW('CASE MASTER'!$T$2:$T$495))-(ROW('CASE MASTER'!#REF!)-1))))*(INDEX('CASE MASTER'!$X$2:$X$495,(SUMPRODUCT((('CASE MASTER'!$T$2:$T$495=4)*('CASE MASTER'!$U$2:$U$495&lt;=1)*('CASE MASTER'!$W$2:$W$495&gt;=1)*('CASE MASTER'!$V$2:$V$495&lt;=6)*('CASE MASTER'!$X$2:$X$495&gt;=6))*ROW('CASE MASTER'!$T$2:$T$495))-(ROW('CASE MASTER'!#REF!)-1)))-INDEX('CASE MASTER'!$V$2:$V$495,(SUMPRODUCT((('CASE MASTER'!$T$2:$T$495=4)*('CASE MASTER'!$U$2:$U$495&lt;=1)*('CASE MASTER'!$W$2:$W$495&gt;=1)*('CASE MASTER'!$V$2:$V$495&lt;=6)*('CASE MASTER'!$X$2:$X$495&gt;=6))*ROW('CASE MASTER'!$T$2:$T$495))-(ROW('CASE MASTER'!#REF!)-1)))+1)+(6-INDEX('CASE MASTER'!$V$2:$V$495,(SUMPRODUCT((('CASE MASTER'!$T$2:$T$495=4)*('CASE MASTER'!$U$2:$U$495&lt;=1)*('CASE MASTER'!$W$2:$W$495&gt;=1)*('CASE MASTER'!$V$2:$V$495&lt;=6)*('CASE MASTER'!$X$2:$X$495&gt;=6))*ROW('CASE MASTER'!$T$2:$T$495))-(ROW('CASE MASTER'!#REF!)-1))))+1))-1)*50+1,50))&amp;"_"&amp;INDEX('CASE MASTER'!$Q$2:$Q$495,(SUMPRODUCT((('CASE MASTER'!$T$2:$T$495=4)*('CASE MASTER'!$U$2:$U$495&lt;=1)*('CASE MASTER'!$W$2:$W$495&gt;=1)*('CASE MASTER'!$V$2:$V$495&lt;=6)*('CASE MASTER'!$X$2:$X$495&gt;=6))*ROW('CASE MASTER'!$T$2:$T$495))-(ROW('CASE MASTER'!#REF!)-1))),IF(SUMPRODUCT((('CASE MASTER'!$T$2:$T$495=4)*('CASE MASTER'!$AA$2:$AA$495&lt;=1)*('CASE MASTER'!$AC$2:$AC$495&gt;=1)*('CASE MASTER'!$AB$2:$AB$495&lt;=6)*('CASE MASTER'!$AD$2:$AD$495&gt;=6))*ROW('CASE MASTER'!$T$2:$T$495))&gt;0,INDEX('CASE MASTER'!$Y$2:$Y$495,(SUMPRODUCT((('CASE MASTER'!$T$2:$T$495=4)*('CASE MASTER'!$AA$2:$AA$495&lt;=1)*('CASE MASTER'!$AC$2:$AC$495&gt;=1)*('CASE MASTER'!$AB$2:$AB$495&lt;=6)*('CASE MASTER'!$AD$2:$AD$495&gt;=6))*ROW('CASE MASTER'!$T$2:$T$495))-(ROW('CASE MASTER'!#REF!)-1)))&amp;TRIM(MID(SUBSTITUTE(SUBSTITUTE(INDEX('CASE MASTER'!$N$2:$N$495,(SUMPRODUCT((('CASE MASTER'!$T$2:$T$495=4)*('CASE MASTER'!$AA$2:$AA$495&lt;=1)*('CASE MASTER'!$AC$2:$AC$495&gt;=1)*('CASE MASTER'!$AB$2:$AB$495&lt;=6)*('CASE MASTER'!$AD$2:$AD$495&gt;=6))*ROW('CASE MASTER'!$T$2:$T$495))-(ROW('CASE MASTER'!#REF!)-1))),":",","),",",REPT(" ",50)),(((INDEX('CASE MASTER'!$Z$2:$Z$495,(SUMPRODUCT((('CASE MASTER'!$T$2:$T$495=4)*('CASE MASTER'!$AA$2:$AA$495&lt;=1)*('CASE MASTER'!$AC$2:$AC$495&gt;=1)*('CASE MASTER'!$AB$2:$AB$495&lt;=6)*('CASE MASTER'!$AD$2:$AD$495&gt;=6))*ROW('CASE MASTER'!$T$2:$T$495))-(ROW('CASE MASTER'!#REF!)-1)))+((1-INDEX('CASE MASTER'!$AA$2:$AA$495,(SUMPRODUCT((('CASE MASTER'!$T$2:$T$495=4)*('CASE MASTER'!$AA$2:$AA$495&lt;=1)*('CASE MASTER'!$AC$2:$AC$495&gt;=1)*('CASE MASTER'!$AB$2:$AB$495&lt;=6)*('CASE MASTER'!$AD$2:$AD$495&gt;=6))*ROW('CASE MASTER'!$T$2:$T$495))-(ROW('CASE MASTER'!#REF!)-1))))*(INDEX('CASE MASTER'!$AD$2:$AD$495,(SUMPRODUCT((('CASE MASTER'!$T$2:$T$495=4)*('CASE MASTER'!$AA$2:$AA$495&lt;=1)*('CASE MASTER'!$AC$2:$AC$495&gt;=1)*('CASE MASTER'!$AB$2:$AB$495&lt;=6)*('CASE MASTER'!$AD$2:$AD$495&gt;=6))*ROW('CASE MASTER'!$T$2:$T$495))-(ROW('CASE MASTER'!#REF!)-1)))-INDEX('CASE MASTER'!$AB$2:$AB$495,(SUMPRODUCT((('CASE MASTER'!$T$2:$T$495=4)*('CASE MASTER'!$AA$2:$AA$495&lt;=1)*('CASE MASTER'!$AC$2:$AC$495&gt;=1)*('CASE MASTER'!$AB$2:$AB$495&lt;=6)*('CASE MASTER'!$AD$2:$AD$495&gt;=6))*ROW('CASE MASTER'!$T$2:$T$495))-(ROW('CASE MASTER'!#REF!)-1)))+1)+(6-INDEX('CASE MASTER'!$AB$2:$AB$495,(SUMPRODUCT((('CASE MASTER'!$T$2:$T$495=4)*('CASE MASTER'!$AA$2:$AA$495&lt;=1)*('CASE MASTER'!$AC$2:$AC$495&gt;=1)*('CASE MASTER'!$AB$2:$AB$495&lt;=6)*('CASE MASTER'!$AD$2:$AD$495&gt;=6))*ROW('CASE MASTER'!$T$2:$T$495))-(ROW('CASE MASTER'!#REF!)-1))))+1)))-1)*50+1,50))&amp;"_"&amp;INDEX('CASE MASTER'!$Q$2:$Q$495,(SUMPRODUCT((('CASE MASTER'!$T$2:$T$495=4)*('CASE MASTER'!$AA$2:$AA$495&lt;=1)*('CASE MASTER'!$AC$2:$AC$495&gt;=1)*('CASE MASTER'!$AB$2:$AB$495&lt;=6)*('CASE MASTER'!$AD$2:$AD$495&gt;=6))*ROW('CASE MASTER'!$T$2:$T$495))-(ROW('CASE MASTER'!#REF!)-1))),"")),"")</f>
        <v/>
      </c>
      <c r="H45" s="10" t="str">
        <f>IFERROR(IF(SUMPRODUCT((('CASE MASTER'!$T$2:$T$495=4)*('CASE MASTER'!$U$2:$U$495&lt;=1)*('CASE MASTER'!$W$2:$W$495&gt;=1)*('CASE MASTER'!$V$2:$V$495&lt;=7)*('CASE MASTER'!$X$2:$X$495&gt;=7))*ROW('CASE MASTER'!$T$2:$T$495))&gt;0,INDEX('CASE MASTER'!$Y$2:$Y$495,(SUMPRODUCT((('CASE MASTER'!$T$2:$T$495=4)*('CASE MASTER'!$U$2:$U$495&lt;=1)*('CASE MASTER'!$W$2:$W$495&gt;=1)*('CASE MASTER'!$V$2:$V$495&lt;=7)*('CASE MASTER'!$X$2:$X$495&gt;=7))*ROW('CASE MASTER'!$T$2:$T$495))-(ROW('CASE MASTER'!#REF!)-1)))&amp;TRIM(MID(SUBSTITUTE(SUBSTITUTE(INDEX('CASE MASTER'!$N$2:$N$495,(SUMPRODUCT((('CASE MASTER'!$T$2:$T$495=4)*('CASE MASTER'!$U$2:$U$495&lt;=1)*('CASE MASTER'!$W$2:$W$495&gt;=1)*('CASE MASTER'!$V$2:$V$495&lt;=7)*('CASE MASTER'!$X$2:$X$495&gt;=7))*ROW('CASE MASTER'!$T$2:$T$495))-(ROW('CASE MASTER'!#REF!)-1))),":",","),",",REPT(" ",50)),((((1-INDEX('CASE MASTER'!$U$2:$U$495,(SUMPRODUCT((('CASE MASTER'!$T$2:$T$495=4)*('CASE MASTER'!$U$2:$U$495&lt;=1)*('CASE MASTER'!$W$2:$W$495&gt;=1)*('CASE MASTER'!$V$2:$V$495&lt;=7)*('CASE MASTER'!$X$2:$X$495&gt;=7))*ROW('CASE MASTER'!$T$2:$T$495))-(ROW('CASE MASTER'!#REF!)-1))))*(INDEX('CASE MASTER'!$X$2:$X$495,(SUMPRODUCT((('CASE MASTER'!$T$2:$T$495=4)*('CASE MASTER'!$U$2:$U$495&lt;=1)*('CASE MASTER'!$W$2:$W$495&gt;=1)*('CASE MASTER'!$V$2:$V$495&lt;=7)*('CASE MASTER'!$X$2:$X$495&gt;=7))*ROW('CASE MASTER'!$T$2:$T$495))-(ROW('CASE MASTER'!#REF!)-1)))-INDEX('CASE MASTER'!$V$2:$V$495,(SUMPRODUCT((('CASE MASTER'!$T$2:$T$495=4)*('CASE MASTER'!$U$2:$U$495&lt;=1)*('CASE MASTER'!$W$2:$W$495&gt;=1)*('CASE MASTER'!$V$2:$V$495&lt;=7)*('CASE MASTER'!$X$2:$X$495&gt;=7))*ROW('CASE MASTER'!$T$2:$T$495))-(ROW('CASE MASTER'!#REF!)-1)))+1)+(7-INDEX('CASE MASTER'!$V$2:$V$495,(SUMPRODUCT((('CASE MASTER'!$T$2:$T$495=4)*('CASE MASTER'!$U$2:$U$495&lt;=1)*('CASE MASTER'!$W$2:$W$495&gt;=1)*('CASE MASTER'!$V$2:$V$495&lt;=7)*('CASE MASTER'!$X$2:$X$495&gt;=7))*ROW('CASE MASTER'!$T$2:$T$495))-(ROW('CASE MASTER'!#REF!)-1))))+1))-1)*50+1,50))&amp;"_"&amp;INDEX('CASE MASTER'!$Q$2:$Q$495,(SUMPRODUCT((('CASE MASTER'!$T$2:$T$495=4)*('CASE MASTER'!$U$2:$U$495&lt;=1)*('CASE MASTER'!$W$2:$W$495&gt;=1)*('CASE MASTER'!$V$2:$V$495&lt;=7)*('CASE MASTER'!$X$2:$X$495&gt;=7))*ROW('CASE MASTER'!$T$2:$T$495))-(ROW('CASE MASTER'!#REF!)-1))),IF(SUMPRODUCT((('CASE MASTER'!$T$2:$T$495=4)*('CASE MASTER'!$AA$2:$AA$495&lt;=1)*('CASE MASTER'!$AC$2:$AC$495&gt;=1)*('CASE MASTER'!$AB$2:$AB$495&lt;=7)*('CASE MASTER'!$AD$2:$AD$495&gt;=7))*ROW('CASE MASTER'!$T$2:$T$495))&gt;0,INDEX('CASE MASTER'!$Y$2:$Y$495,(SUMPRODUCT((('CASE MASTER'!$T$2:$T$495=4)*('CASE MASTER'!$AA$2:$AA$495&lt;=1)*('CASE MASTER'!$AC$2:$AC$495&gt;=1)*('CASE MASTER'!$AB$2:$AB$495&lt;=7)*('CASE MASTER'!$AD$2:$AD$495&gt;=7))*ROW('CASE MASTER'!$T$2:$T$495))-(ROW('CASE MASTER'!#REF!)-1)))&amp;TRIM(MID(SUBSTITUTE(SUBSTITUTE(INDEX('CASE MASTER'!$N$2:$N$495,(SUMPRODUCT((('CASE MASTER'!$T$2:$T$495=4)*('CASE MASTER'!$AA$2:$AA$495&lt;=1)*('CASE MASTER'!$AC$2:$AC$495&gt;=1)*('CASE MASTER'!$AB$2:$AB$495&lt;=7)*('CASE MASTER'!$AD$2:$AD$495&gt;=7))*ROW('CASE MASTER'!$T$2:$T$495))-(ROW('CASE MASTER'!#REF!)-1))),":",","),",",REPT(" ",50)),(((INDEX('CASE MASTER'!$Z$2:$Z$495,(SUMPRODUCT((('CASE MASTER'!$T$2:$T$495=4)*('CASE MASTER'!$AA$2:$AA$495&lt;=1)*('CASE MASTER'!$AC$2:$AC$495&gt;=1)*('CASE MASTER'!$AB$2:$AB$495&lt;=7)*('CASE MASTER'!$AD$2:$AD$495&gt;=7))*ROW('CASE MASTER'!$T$2:$T$495))-(ROW('CASE MASTER'!#REF!)-1)))+((1-INDEX('CASE MASTER'!$AA$2:$AA$495,(SUMPRODUCT((('CASE MASTER'!$T$2:$T$495=4)*('CASE MASTER'!$AA$2:$AA$495&lt;=1)*('CASE MASTER'!$AC$2:$AC$495&gt;=1)*('CASE MASTER'!$AB$2:$AB$495&lt;=7)*('CASE MASTER'!$AD$2:$AD$495&gt;=7))*ROW('CASE MASTER'!$T$2:$T$495))-(ROW('CASE MASTER'!#REF!)-1))))*(INDEX('CASE MASTER'!$AD$2:$AD$495,(SUMPRODUCT((('CASE MASTER'!$T$2:$T$495=4)*('CASE MASTER'!$AA$2:$AA$495&lt;=1)*('CASE MASTER'!$AC$2:$AC$495&gt;=1)*('CASE MASTER'!$AB$2:$AB$495&lt;=7)*('CASE MASTER'!$AD$2:$AD$495&gt;=7))*ROW('CASE MASTER'!$T$2:$T$495))-(ROW('CASE MASTER'!#REF!)-1)))-INDEX('CASE MASTER'!$AB$2:$AB$495,(SUMPRODUCT((('CASE MASTER'!$T$2:$T$495=4)*('CASE MASTER'!$AA$2:$AA$495&lt;=1)*('CASE MASTER'!$AC$2:$AC$495&gt;=1)*('CASE MASTER'!$AB$2:$AB$495&lt;=7)*('CASE MASTER'!$AD$2:$AD$495&gt;=7))*ROW('CASE MASTER'!$T$2:$T$495))-(ROW('CASE MASTER'!#REF!)-1)))+1)+(7-INDEX('CASE MASTER'!$AB$2:$AB$495,(SUMPRODUCT((('CASE MASTER'!$T$2:$T$495=4)*('CASE MASTER'!$AA$2:$AA$495&lt;=1)*('CASE MASTER'!$AC$2:$AC$495&gt;=1)*('CASE MASTER'!$AB$2:$AB$495&lt;=7)*('CASE MASTER'!$AD$2:$AD$495&gt;=7))*ROW('CASE MASTER'!$T$2:$T$495))-(ROW('CASE MASTER'!#REF!)-1))))+1)))-1)*50+1,50))&amp;"_"&amp;INDEX('CASE MASTER'!$Q$2:$Q$495,(SUMPRODUCT((('CASE MASTER'!$T$2:$T$495=4)*('CASE MASTER'!$AA$2:$AA$495&lt;=1)*('CASE MASTER'!$AC$2:$AC$495&gt;=1)*('CASE MASTER'!$AB$2:$AB$495&lt;=7)*('CASE MASTER'!$AD$2:$AD$495&gt;=7))*ROW('CASE MASTER'!$T$2:$T$495))-(ROW('CASE MASTER'!#REF!)-1))),"")),"")</f>
        <v/>
      </c>
      <c r="I45" s="10" t="str">
        <f>IFERROR(IF(SUMPRODUCT((('CASE MASTER'!$T$2:$T$495=4)*('CASE MASTER'!$U$2:$U$495&lt;=1)*('CASE MASTER'!$W$2:$W$495&gt;=1)*('CASE MASTER'!$V$2:$V$495&lt;=8)*('CASE MASTER'!$X$2:$X$495&gt;=8))*ROW('CASE MASTER'!$T$2:$T$495))&gt;0,INDEX('CASE MASTER'!$Y$2:$Y$495,(SUMPRODUCT((('CASE MASTER'!$T$2:$T$495=4)*('CASE MASTER'!$U$2:$U$495&lt;=1)*('CASE MASTER'!$W$2:$W$495&gt;=1)*('CASE MASTER'!$V$2:$V$495&lt;=8)*('CASE MASTER'!$X$2:$X$495&gt;=8))*ROW('CASE MASTER'!$T$2:$T$495))-(ROW('CASE MASTER'!#REF!)-1)))&amp;TRIM(MID(SUBSTITUTE(SUBSTITUTE(INDEX('CASE MASTER'!$N$2:$N$495,(SUMPRODUCT((('CASE MASTER'!$T$2:$T$495=4)*('CASE MASTER'!$U$2:$U$495&lt;=1)*('CASE MASTER'!$W$2:$W$495&gt;=1)*('CASE MASTER'!$V$2:$V$495&lt;=8)*('CASE MASTER'!$X$2:$X$495&gt;=8))*ROW('CASE MASTER'!$T$2:$T$495))-(ROW('CASE MASTER'!#REF!)-1))),":",","),",",REPT(" ",50)),((((1-INDEX('CASE MASTER'!$U$2:$U$495,(SUMPRODUCT((('CASE MASTER'!$T$2:$T$495=4)*('CASE MASTER'!$U$2:$U$495&lt;=1)*('CASE MASTER'!$W$2:$W$495&gt;=1)*('CASE MASTER'!$V$2:$V$495&lt;=8)*('CASE MASTER'!$X$2:$X$495&gt;=8))*ROW('CASE MASTER'!$T$2:$T$495))-(ROW('CASE MASTER'!#REF!)-1))))*(INDEX('CASE MASTER'!$X$2:$X$495,(SUMPRODUCT((('CASE MASTER'!$T$2:$T$495=4)*('CASE MASTER'!$U$2:$U$495&lt;=1)*('CASE MASTER'!$W$2:$W$495&gt;=1)*('CASE MASTER'!$V$2:$V$495&lt;=8)*('CASE MASTER'!$X$2:$X$495&gt;=8))*ROW('CASE MASTER'!$T$2:$T$495))-(ROW('CASE MASTER'!#REF!)-1)))-INDEX('CASE MASTER'!$V$2:$V$495,(SUMPRODUCT((('CASE MASTER'!$T$2:$T$495=4)*('CASE MASTER'!$U$2:$U$495&lt;=1)*('CASE MASTER'!$W$2:$W$495&gt;=1)*('CASE MASTER'!$V$2:$V$495&lt;=8)*('CASE MASTER'!$X$2:$X$495&gt;=8))*ROW('CASE MASTER'!$T$2:$T$495))-(ROW('CASE MASTER'!#REF!)-1)))+1)+(8-INDEX('CASE MASTER'!$V$2:$V$495,(SUMPRODUCT((('CASE MASTER'!$T$2:$T$495=4)*('CASE MASTER'!$U$2:$U$495&lt;=1)*('CASE MASTER'!$W$2:$W$495&gt;=1)*('CASE MASTER'!$V$2:$V$495&lt;=8)*('CASE MASTER'!$X$2:$X$495&gt;=8))*ROW('CASE MASTER'!$T$2:$T$495))-(ROW('CASE MASTER'!#REF!)-1))))+1))-1)*50+1,50))&amp;"_"&amp;INDEX('CASE MASTER'!$Q$2:$Q$495,(SUMPRODUCT((('CASE MASTER'!$T$2:$T$495=4)*('CASE MASTER'!$U$2:$U$495&lt;=1)*('CASE MASTER'!$W$2:$W$495&gt;=1)*('CASE MASTER'!$V$2:$V$495&lt;=8)*('CASE MASTER'!$X$2:$X$495&gt;=8))*ROW('CASE MASTER'!$T$2:$T$495))-(ROW('CASE MASTER'!#REF!)-1))),IF(SUMPRODUCT((('CASE MASTER'!$T$2:$T$495=4)*('CASE MASTER'!$AA$2:$AA$495&lt;=1)*('CASE MASTER'!$AC$2:$AC$495&gt;=1)*('CASE MASTER'!$AB$2:$AB$495&lt;=8)*('CASE MASTER'!$AD$2:$AD$495&gt;=8))*ROW('CASE MASTER'!$T$2:$T$495))&gt;0,INDEX('CASE MASTER'!$Y$2:$Y$495,(SUMPRODUCT((('CASE MASTER'!$T$2:$T$495=4)*('CASE MASTER'!$AA$2:$AA$495&lt;=1)*('CASE MASTER'!$AC$2:$AC$495&gt;=1)*('CASE MASTER'!$AB$2:$AB$495&lt;=8)*('CASE MASTER'!$AD$2:$AD$495&gt;=8))*ROW('CASE MASTER'!$T$2:$T$495))-(ROW('CASE MASTER'!#REF!)-1)))&amp;TRIM(MID(SUBSTITUTE(SUBSTITUTE(INDEX('CASE MASTER'!$N$2:$N$495,(SUMPRODUCT((('CASE MASTER'!$T$2:$T$495=4)*('CASE MASTER'!$AA$2:$AA$495&lt;=1)*('CASE MASTER'!$AC$2:$AC$495&gt;=1)*('CASE MASTER'!$AB$2:$AB$495&lt;=8)*('CASE MASTER'!$AD$2:$AD$495&gt;=8))*ROW('CASE MASTER'!$T$2:$T$495))-(ROW('CASE MASTER'!#REF!)-1))),":",","),",",REPT(" ",50)),(((INDEX('CASE MASTER'!$Z$2:$Z$495,(SUMPRODUCT((('CASE MASTER'!$T$2:$T$495=4)*('CASE MASTER'!$AA$2:$AA$495&lt;=1)*('CASE MASTER'!$AC$2:$AC$495&gt;=1)*('CASE MASTER'!$AB$2:$AB$495&lt;=8)*('CASE MASTER'!$AD$2:$AD$495&gt;=8))*ROW('CASE MASTER'!$T$2:$T$495))-(ROW('CASE MASTER'!#REF!)-1)))+((1-INDEX('CASE MASTER'!$AA$2:$AA$495,(SUMPRODUCT((('CASE MASTER'!$T$2:$T$495=4)*('CASE MASTER'!$AA$2:$AA$495&lt;=1)*('CASE MASTER'!$AC$2:$AC$495&gt;=1)*('CASE MASTER'!$AB$2:$AB$495&lt;=8)*('CASE MASTER'!$AD$2:$AD$495&gt;=8))*ROW('CASE MASTER'!$T$2:$T$495))-(ROW('CASE MASTER'!#REF!)-1))))*(INDEX('CASE MASTER'!$AD$2:$AD$495,(SUMPRODUCT((('CASE MASTER'!$T$2:$T$495=4)*('CASE MASTER'!$AA$2:$AA$495&lt;=1)*('CASE MASTER'!$AC$2:$AC$495&gt;=1)*('CASE MASTER'!$AB$2:$AB$495&lt;=8)*('CASE MASTER'!$AD$2:$AD$495&gt;=8))*ROW('CASE MASTER'!$T$2:$T$495))-(ROW('CASE MASTER'!#REF!)-1)))-INDEX('CASE MASTER'!$AB$2:$AB$495,(SUMPRODUCT((('CASE MASTER'!$T$2:$T$495=4)*('CASE MASTER'!$AA$2:$AA$495&lt;=1)*('CASE MASTER'!$AC$2:$AC$495&gt;=1)*('CASE MASTER'!$AB$2:$AB$495&lt;=8)*('CASE MASTER'!$AD$2:$AD$495&gt;=8))*ROW('CASE MASTER'!$T$2:$T$495))-(ROW('CASE MASTER'!#REF!)-1)))+1)+(8-INDEX('CASE MASTER'!$AB$2:$AB$495,(SUMPRODUCT((('CASE MASTER'!$T$2:$T$495=4)*('CASE MASTER'!$AA$2:$AA$495&lt;=1)*('CASE MASTER'!$AC$2:$AC$495&gt;=1)*('CASE MASTER'!$AB$2:$AB$495&lt;=8)*('CASE MASTER'!$AD$2:$AD$495&gt;=8))*ROW('CASE MASTER'!$T$2:$T$495))-(ROW('CASE MASTER'!#REF!)-1))))+1)))-1)*50+1,50))&amp;"_"&amp;INDEX('CASE MASTER'!$Q$2:$Q$495,(SUMPRODUCT((('CASE MASTER'!$T$2:$T$495=4)*('CASE MASTER'!$AA$2:$AA$495&lt;=1)*('CASE MASTER'!$AC$2:$AC$495&gt;=1)*('CASE MASTER'!$AB$2:$AB$495&lt;=8)*('CASE MASTER'!$AD$2:$AD$495&gt;=8))*ROW('CASE MASTER'!$T$2:$T$495))-(ROW('CASE MASTER'!#REF!)-1))),"")),"")</f>
        <v/>
      </c>
      <c r="J45" s="10" t="str">
        <f>IFERROR(IF(SUMPRODUCT((('CASE MASTER'!$T$2:$T$495=4)*('CASE MASTER'!$U$2:$U$495&lt;=1)*('CASE MASTER'!$W$2:$W$495&gt;=1)*('CASE MASTER'!$V$2:$V$495&lt;=9)*('CASE MASTER'!$X$2:$X$495&gt;=9))*ROW('CASE MASTER'!$T$2:$T$495))&gt;0,INDEX('CASE MASTER'!$Y$2:$Y$495,(SUMPRODUCT((('CASE MASTER'!$T$2:$T$495=4)*('CASE MASTER'!$U$2:$U$495&lt;=1)*('CASE MASTER'!$W$2:$W$495&gt;=1)*('CASE MASTER'!$V$2:$V$495&lt;=9)*('CASE MASTER'!$X$2:$X$495&gt;=9))*ROW('CASE MASTER'!$T$2:$T$495))-(ROW('CASE MASTER'!#REF!)-1)))&amp;TRIM(MID(SUBSTITUTE(SUBSTITUTE(INDEX('CASE MASTER'!$N$2:$N$495,(SUMPRODUCT((('CASE MASTER'!$T$2:$T$495=4)*('CASE MASTER'!$U$2:$U$495&lt;=1)*('CASE MASTER'!$W$2:$W$495&gt;=1)*('CASE MASTER'!$V$2:$V$495&lt;=9)*('CASE MASTER'!$X$2:$X$495&gt;=9))*ROW('CASE MASTER'!$T$2:$T$495))-(ROW('CASE MASTER'!#REF!)-1))),":",","),",",REPT(" ",50)),((((1-INDEX('CASE MASTER'!$U$2:$U$495,(SUMPRODUCT((('CASE MASTER'!$T$2:$T$495=4)*('CASE MASTER'!$U$2:$U$495&lt;=1)*('CASE MASTER'!$W$2:$W$495&gt;=1)*('CASE MASTER'!$V$2:$V$495&lt;=9)*('CASE MASTER'!$X$2:$X$495&gt;=9))*ROW('CASE MASTER'!$T$2:$T$495))-(ROW('CASE MASTER'!#REF!)-1))))*(INDEX('CASE MASTER'!$X$2:$X$495,(SUMPRODUCT((('CASE MASTER'!$T$2:$T$495=4)*('CASE MASTER'!$U$2:$U$495&lt;=1)*('CASE MASTER'!$W$2:$W$495&gt;=1)*('CASE MASTER'!$V$2:$V$495&lt;=9)*('CASE MASTER'!$X$2:$X$495&gt;=9))*ROW('CASE MASTER'!$T$2:$T$495))-(ROW('CASE MASTER'!#REF!)-1)))-INDEX('CASE MASTER'!$V$2:$V$495,(SUMPRODUCT((('CASE MASTER'!$T$2:$T$495=4)*('CASE MASTER'!$U$2:$U$495&lt;=1)*('CASE MASTER'!$W$2:$W$495&gt;=1)*('CASE MASTER'!$V$2:$V$495&lt;=9)*('CASE MASTER'!$X$2:$X$495&gt;=9))*ROW('CASE MASTER'!$T$2:$T$495))-(ROW('CASE MASTER'!#REF!)-1)))+1)+(9-INDEX('CASE MASTER'!$V$2:$V$495,(SUMPRODUCT((('CASE MASTER'!$T$2:$T$495=4)*('CASE MASTER'!$U$2:$U$495&lt;=1)*('CASE MASTER'!$W$2:$W$495&gt;=1)*('CASE MASTER'!$V$2:$V$495&lt;=9)*('CASE MASTER'!$X$2:$X$495&gt;=9))*ROW('CASE MASTER'!$T$2:$T$495))-(ROW('CASE MASTER'!#REF!)-1))))+1))-1)*50+1,50))&amp;"_"&amp;INDEX('CASE MASTER'!$Q$2:$Q$495,(SUMPRODUCT((('CASE MASTER'!$T$2:$T$495=4)*('CASE MASTER'!$U$2:$U$495&lt;=1)*('CASE MASTER'!$W$2:$W$495&gt;=1)*('CASE MASTER'!$V$2:$V$495&lt;=9)*('CASE MASTER'!$X$2:$X$495&gt;=9))*ROW('CASE MASTER'!$T$2:$T$495))-(ROW('CASE MASTER'!#REF!)-1))),IF(SUMPRODUCT((('CASE MASTER'!$T$2:$T$495=4)*('CASE MASTER'!$AA$2:$AA$495&lt;=1)*('CASE MASTER'!$AC$2:$AC$495&gt;=1)*('CASE MASTER'!$AB$2:$AB$495&lt;=9)*('CASE MASTER'!$AD$2:$AD$495&gt;=9))*ROW('CASE MASTER'!$T$2:$T$495))&gt;0,INDEX('CASE MASTER'!$Y$2:$Y$495,(SUMPRODUCT((('CASE MASTER'!$T$2:$T$495=4)*('CASE MASTER'!$AA$2:$AA$495&lt;=1)*('CASE MASTER'!$AC$2:$AC$495&gt;=1)*('CASE MASTER'!$AB$2:$AB$495&lt;=9)*('CASE MASTER'!$AD$2:$AD$495&gt;=9))*ROW('CASE MASTER'!$T$2:$T$495))-(ROW('CASE MASTER'!#REF!)-1)))&amp;TRIM(MID(SUBSTITUTE(SUBSTITUTE(INDEX('CASE MASTER'!$N$2:$N$495,(SUMPRODUCT((('CASE MASTER'!$T$2:$T$495=4)*('CASE MASTER'!$AA$2:$AA$495&lt;=1)*('CASE MASTER'!$AC$2:$AC$495&gt;=1)*('CASE MASTER'!$AB$2:$AB$495&lt;=9)*('CASE MASTER'!$AD$2:$AD$495&gt;=9))*ROW('CASE MASTER'!$T$2:$T$495))-(ROW('CASE MASTER'!#REF!)-1))),":",","),",",REPT(" ",50)),(((INDEX('CASE MASTER'!$Z$2:$Z$495,(SUMPRODUCT((('CASE MASTER'!$T$2:$T$495=4)*('CASE MASTER'!$AA$2:$AA$495&lt;=1)*('CASE MASTER'!$AC$2:$AC$495&gt;=1)*('CASE MASTER'!$AB$2:$AB$495&lt;=9)*('CASE MASTER'!$AD$2:$AD$495&gt;=9))*ROW('CASE MASTER'!$T$2:$T$495))-(ROW('CASE MASTER'!#REF!)-1)))+((1-INDEX('CASE MASTER'!$AA$2:$AA$495,(SUMPRODUCT((('CASE MASTER'!$T$2:$T$495=4)*('CASE MASTER'!$AA$2:$AA$495&lt;=1)*('CASE MASTER'!$AC$2:$AC$495&gt;=1)*('CASE MASTER'!$AB$2:$AB$495&lt;=9)*('CASE MASTER'!$AD$2:$AD$495&gt;=9))*ROW('CASE MASTER'!$T$2:$T$495))-(ROW('CASE MASTER'!#REF!)-1))))*(INDEX('CASE MASTER'!$AD$2:$AD$495,(SUMPRODUCT((('CASE MASTER'!$T$2:$T$495=4)*('CASE MASTER'!$AA$2:$AA$495&lt;=1)*('CASE MASTER'!$AC$2:$AC$495&gt;=1)*('CASE MASTER'!$AB$2:$AB$495&lt;=9)*('CASE MASTER'!$AD$2:$AD$495&gt;=9))*ROW('CASE MASTER'!$T$2:$T$495))-(ROW('CASE MASTER'!#REF!)-1)))-INDEX('CASE MASTER'!$AB$2:$AB$495,(SUMPRODUCT((('CASE MASTER'!$T$2:$T$495=4)*('CASE MASTER'!$AA$2:$AA$495&lt;=1)*('CASE MASTER'!$AC$2:$AC$495&gt;=1)*('CASE MASTER'!$AB$2:$AB$495&lt;=9)*('CASE MASTER'!$AD$2:$AD$495&gt;=9))*ROW('CASE MASTER'!$T$2:$T$495))-(ROW('CASE MASTER'!#REF!)-1)))+1)+(9-INDEX('CASE MASTER'!$AB$2:$AB$495,(SUMPRODUCT((('CASE MASTER'!$T$2:$T$495=4)*('CASE MASTER'!$AA$2:$AA$495&lt;=1)*('CASE MASTER'!$AC$2:$AC$495&gt;=1)*('CASE MASTER'!$AB$2:$AB$495&lt;=9)*('CASE MASTER'!$AD$2:$AD$495&gt;=9))*ROW('CASE MASTER'!$T$2:$T$495))-(ROW('CASE MASTER'!#REF!)-1))))+1)))-1)*50+1,50))&amp;"_"&amp;INDEX('CASE MASTER'!$Q$2:$Q$495,(SUMPRODUCT((('CASE MASTER'!$T$2:$T$495=4)*('CASE MASTER'!$AA$2:$AA$495&lt;=1)*('CASE MASTER'!$AC$2:$AC$495&gt;=1)*('CASE MASTER'!$AB$2:$AB$495&lt;=9)*('CASE MASTER'!$AD$2:$AD$495&gt;=9))*ROW('CASE MASTER'!$T$2:$T$495))-(ROW('CASE MASTER'!#REF!)-1))),"")),"")</f>
        <v/>
      </c>
      <c r="K45" s="10" t="str">
        <f>IFERROR(IF(SUMPRODUCT((('CASE MASTER'!$T$2:$T$495=4)*('CASE MASTER'!$U$2:$U$495&lt;=1)*('CASE MASTER'!$W$2:$W$495&gt;=1)*('CASE MASTER'!$V$2:$V$495&lt;=10)*('CASE MASTER'!$X$2:$X$495&gt;=10))*ROW('CASE MASTER'!$T$2:$T$495))&gt;0,INDEX('CASE MASTER'!$Y$2:$Y$495,(SUMPRODUCT((('CASE MASTER'!$T$2:$T$495=4)*('CASE MASTER'!$U$2:$U$495&lt;=1)*('CASE MASTER'!$W$2:$W$495&gt;=1)*('CASE MASTER'!$V$2:$V$495&lt;=10)*('CASE MASTER'!$X$2:$X$495&gt;=10))*ROW('CASE MASTER'!$T$2:$T$495))-(ROW('CASE MASTER'!#REF!)-1)))&amp;TRIM(MID(SUBSTITUTE(SUBSTITUTE(INDEX('CASE MASTER'!$N$2:$N$495,(SUMPRODUCT((('CASE MASTER'!$T$2:$T$495=4)*('CASE MASTER'!$U$2:$U$495&lt;=1)*('CASE MASTER'!$W$2:$W$495&gt;=1)*('CASE MASTER'!$V$2:$V$495&lt;=10)*('CASE MASTER'!$X$2:$X$495&gt;=10))*ROW('CASE MASTER'!$T$2:$T$495))-(ROW('CASE MASTER'!#REF!)-1))),":",","),",",REPT(" ",50)),((((1-INDEX('CASE MASTER'!$U$2:$U$495,(SUMPRODUCT((('CASE MASTER'!$T$2:$T$495=4)*('CASE MASTER'!$U$2:$U$495&lt;=1)*('CASE MASTER'!$W$2:$W$495&gt;=1)*('CASE MASTER'!$V$2:$V$495&lt;=10)*('CASE MASTER'!$X$2:$X$495&gt;=10))*ROW('CASE MASTER'!$T$2:$T$495))-(ROW('CASE MASTER'!#REF!)-1))))*(INDEX('CASE MASTER'!$X$2:$X$495,(SUMPRODUCT((('CASE MASTER'!$T$2:$T$495=4)*('CASE MASTER'!$U$2:$U$495&lt;=1)*('CASE MASTER'!$W$2:$W$495&gt;=1)*('CASE MASTER'!$V$2:$V$495&lt;=10)*('CASE MASTER'!$X$2:$X$495&gt;=10))*ROW('CASE MASTER'!$T$2:$T$495))-(ROW('CASE MASTER'!#REF!)-1)))-INDEX('CASE MASTER'!$V$2:$V$495,(SUMPRODUCT((('CASE MASTER'!$T$2:$T$495=4)*('CASE MASTER'!$U$2:$U$495&lt;=1)*('CASE MASTER'!$W$2:$W$495&gt;=1)*('CASE MASTER'!$V$2:$V$495&lt;=10)*('CASE MASTER'!$X$2:$X$495&gt;=10))*ROW('CASE MASTER'!$T$2:$T$495))-(ROW('CASE MASTER'!#REF!)-1)))+1)+(10-INDEX('CASE MASTER'!$V$2:$V$495,(SUMPRODUCT((('CASE MASTER'!$T$2:$T$495=4)*('CASE MASTER'!$U$2:$U$495&lt;=1)*('CASE MASTER'!$W$2:$W$495&gt;=1)*('CASE MASTER'!$V$2:$V$495&lt;=10)*('CASE MASTER'!$X$2:$X$495&gt;=10))*ROW('CASE MASTER'!$T$2:$T$495))-(ROW('CASE MASTER'!#REF!)-1))))+1))-1)*50+1,50))&amp;"_"&amp;INDEX('CASE MASTER'!$Q$2:$Q$495,(SUMPRODUCT((('CASE MASTER'!$T$2:$T$495=4)*('CASE MASTER'!$U$2:$U$495&lt;=1)*('CASE MASTER'!$W$2:$W$495&gt;=1)*('CASE MASTER'!$V$2:$V$495&lt;=10)*('CASE MASTER'!$X$2:$X$495&gt;=10))*ROW('CASE MASTER'!$T$2:$T$495))-(ROW('CASE MASTER'!#REF!)-1))),IF(SUMPRODUCT((('CASE MASTER'!$T$2:$T$495=4)*('CASE MASTER'!$AA$2:$AA$495&lt;=1)*('CASE MASTER'!$AC$2:$AC$495&gt;=1)*('CASE MASTER'!$AB$2:$AB$495&lt;=10)*('CASE MASTER'!$AD$2:$AD$495&gt;=10))*ROW('CASE MASTER'!$T$2:$T$495))&gt;0,INDEX('CASE MASTER'!$Y$2:$Y$495,(SUMPRODUCT((('CASE MASTER'!$T$2:$T$495=4)*('CASE MASTER'!$AA$2:$AA$495&lt;=1)*('CASE MASTER'!$AC$2:$AC$495&gt;=1)*('CASE MASTER'!$AB$2:$AB$495&lt;=10)*('CASE MASTER'!$AD$2:$AD$495&gt;=10))*ROW('CASE MASTER'!$T$2:$T$495))-(ROW('CASE MASTER'!#REF!)-1)))&amp;TRIM(MID(SUBSTITUTE(SUBSTITUTE(INDEX('CASE MASTER'!$N$2:$N$495,(SUMPRODUCT((('CASE MASTER'!$T$2:$T$495=4)*('CASE MASTER'!$AA$2:$AA$495&lt;=1)*('CASE MASTER'!$AC$2:$AC$495&gt;=1)*('CASE MASTER'!$AB$2:$AB$495&lt;=10)*('CASE MASTER'!$AD$2:$AD$495&gt;=10))*ROW('CASE MASTER'!$T$2:$T$495))-(ROW('CASE MASTER'!#REF!)-1))),":",","),",",REPT(" ",50)),(((INDEX('CASE MASTER'!$Z$2:$Z$495,(SUMPRODUCT((('CASE MASTER'!$T$2:$T$495=4)*('CASE MASTER'!$AA$2:$AA$495&lt;=1)*('CASE MASTER'!$AC$2:$AC$495&gt;=1)*('CASE MASTER'!$AB$2:$AB$495&lt;=10)*('CASE MASTER'!$AD$2:$AD$495&gt;=10))*ROW('CASE MASTER'!$T$2:$T$495))-(ROW('CASE MASTER'!#REF!)-1)))+((1-INDEX('CASE MASTER'!$AA$2:$AA$495,(SUMPRODUCT((('CASE MASTER'!$T$2:$T$495=4)*('CASE MASTER'!$AA$2:$AA$495&lt;=1)*('CASE MASTER'!$AC$2:$AC$495&gt;=1)*('CASE MASTER'!$AB$2:$AB$495&lt;=10)*('CASE MASTER'!$AD$2:$AD$495&gt;=10))*ROW('CASE MASTER'!$T$2:$T$495))-(ROW('CASE MASTER'!#REF!)-1))))*(INDEX('CASE MASTER'!$AD$2:$AD$495,(SUMPRODUCT((('CASE MASTER'!$T$2:$T$495=4)*('CASE MASTER'!$AA$2:$AA$495&lt;=1)*('CASE MASTER'!$AC$2:$AC$495&gt;=1)*('CASE MASTER'!$AB$2:$AB$495&lt;=10)*('CASE MASTER'!$AD$2:$AD$495&gt;=10))*ROW('CASE MASTER'!$T$2:$T$495))-(ROW('CASE MASTER'!#REF!)-1)))-INDEX('CASE MASTER'!$AB$2:$AB$495,(SUMPRODUCT((('CASE MASTER'!$T$2:$T$495=4)*('CASE MASTER'!$AA$2:$AA$495&lt;=1)*('CASE MASTER'!$AC$2:$AC$495&gt;=1)*('CASE MASTER'!$AB$2:$AB$495&lt;=10)*('CASE MASTER'!$AD$2:$AD$495&gt;=10))*ROW('CASE MASTER'!$T$2:$T$495))-(ROW('CASE MASTER'!#REF!)-1)))+1)+(10-INDEX('CASE MASTER'!$AB$2:$AB$495,(SUMPRODUCT((('CASE MASTER'!$T$2:$T$495=4)*('CASE MASTER'!$AA$2:$AA$495&lt;=1)*('CASE MASTER'!$AC$2:$AC$495&gt;=1)*('CASE MASTER'!$AB$2:$AB$495&lt;=10)*('CASE MASTER'!$AD$2:$AD$495&gt;=10))*ROW('CASE MASTER'!$T$2:$T$495))-(ROW('CASE MASTER'!#REF!)-1))))+1)))-1)*50+1,50))&amp;"_"&amp;INDEX('CASE MASTER'!$Q$2:$Q$495,(SUMPRODUCT((('CASE MASTER'!$T$2:$T$495=4)*('CASE MASTER'!$AA$2:$AA$495&lt;=1)*('CASE MASTER'!$AC$2:$AC$495&gt;=1)*('CASE MASTER'!$AB$2:$AB$495&lt;=10)*('CASE MASTER'!$AD$2:$AD$495&gt;=10))*ROW('CASE MASTER'!$T$2:$T$495))-(ROW('CASE MASTER'!#REF!)-1))),"")),"")</f>
        <v/>
      </c>
    </row>
    <row r="46" spans="1:11" ht="15" customHeight="1" x14ac:dyDescent="0.35">
      <c r="A46" s="8" t="s">
        <v>29</v>
      </c>
      <c r="B46" s="10" t="str">
        <f>IFERROR(IF(SUMPRODUCT((('CASE MASTER'!$T$2:$T$495=4)*('CASE MASTER'!$U$2:$U$495&lt;=2)*('CASE MASTER'!$W$2:$W$495&gt;=2)*('CASE MASTER'!$V$2:$V$495&lt;=1)*('CASE MASTER'!$X$2:$X$495&gt;=1))*ROW('CASE MASTER'!$T$2:$T$495))&gt;0,INDEX('CASE MASTER'!$Y$2:$Y$495,(SUMPRODUCT((('CASE MASTER'!$T$2:$T$495=4)*('CASE MASTER'!$U$2:$U$495&lt;=2)*('CASE MASTER'!$W$2:$W$495&gt;=2)*('CASE MASTER'!$V$2:$V$495&lt;=1)*('CASE MASTER'!$X$2:$X$495&gt;=1))*ROW('CASE MASTER'!$T$2:$T$495))-(ROW('CASE MASTER'!#REF!)-1)))&amp;TRIM(MID(SUBSTITUTE(SUBSTITUTE(INDEX('CASE MASTER'!$N$2:$N$495,(SUMPRODUCT((('CASE MASTER'!$T$2:$T$495=4)*('CASE MASTER'!$U$2:$U$495&lt;=2)*('CASE MASTER'!$W$2:$W$495&gt;=2)*('CASE MASTER'!$V$2:$V$495&lt;=1)*('CASE MASTER'!$X$2:$X$495&gt;=1))*ROW('CASE MASTER'!$T$2:$T$495))-(ROW('CASE MASTER'!#REF!)-1))),":",","),",",REPT(" ",50)),((((2-INDEX('CASE MASTER'!$U$2:$U$495,(SUMPRODUCT((('CASE MASTER'!$T$2:$T$495=4)*('CASE MASTER'!$U$2:$U$495&lt;=2)*('CASE MASTER'!$W$2:$W$495&gt;=2)*('CASE MASTER'!$V$2:$V$495&lt;=1)*('CASE MASTER'!$X$2:$X$495&gt;=1))*ROW('CASE MASTER'!$T$2:$T$495))-(ROW('CASE MASTER'!#REF!)-1))))*(INDEX('CASE MASTER'!$X$2:$X$495,(SUMPRODUCT((('CASE MASTER'!$T$2:$T$495=4)*('CASE MASTER'!$U$2:$U$495&lt;=2)*('CASE MASTER'!$W$2:$W$495&gt;=2)*('CASE MASTER'!$V$2:$V$495&lt;=1)*('CASE MASTER'!$X$2:$X$495&gt;=1))*ROW('CASE MASTER'!$T$2:$T$495))-(ROW('CASE MASTER'!#REF!)-1)))-INDEX('CASE MASTER'!$V$2:$V$495,(SUMPRODUCT((('CASE MASTER'!$T$2:$T$495=4)*('CASE MASTER'!$U$2:$U$495&lt;=2)*('CASE MASTER'!$W$2:$W$495&gt;=2)*('CASE MASTER'!$V$2:$V$495&lt;=1)*('CASE MASTER'!$X$2:$X$495&gt;=1))*ROW('CASE MASTER'!$T$2:$T$495))-(ROW('CASE MASTER'!#REF!)-1)))+1)+(1-INDEX('CASE MASTER'!$V$2:$V$495,(SUMPRODUCT((('CASE MASTER'!$T$2:$T$495=4)*('CASE MASTER'!$U$2:$U$495&lt;=2)*('CASE MASTER'!$W$2:$W$495&gt;=2)*('CASE MASTER'!$V$2:$V$495&lt;=1)*('CASE MASTER'!$X$2:$X$495&gt;=1))*ROW('CASE MASTER'!$T$2:$T$495))-(ROW('CASE MASTER'!#REF!)-1))))+1))-1)*50+1,50))&amp;"_"&amp;INDEX('CASE MASTER'!$Q$2:$Q$495,(SUMPRODUCT((('CASE MASTER'!$T$2:$T$495=4)*('CASE MASTER'!$U$2:$U$495&lt;=2)*('CASE MASTER'!$W$2:$W$495&gt;=2)*('CASE MASTER'!$V$2:$V$495&lt;=1)*('CASE MASTER'!$X$2:$X$495&gt;=1))*ROW('CASE MASTER'!$T$2:$T$495))-(ROW('CASE MASTER'!#REF!)-1))),IF(SUMPRODUCT((('CASE MASTER'!$T$2:$T$495=4)*('CASE MASTER'!$AA$2:$AA$495&lt;=2)*('CASE MASTER'!$AC$2:$AC$495&gt;=2)*('CASE MASTER'!$AB$2:$AB$495&lt;=1)*('CASE MASTER'!$AD$2:$AD$495&gt;=1))*ROW('CASE MASTER'!$T$2:$T$495))&gt;0,INDEX('CASE MASTER'!$Y$2:$Y$495,(SUMPRODUCT((('CASE MASTER'!$T$2:$T$495=4)*('CASE MASTER'!$AA$2:$AA$495&lt;=2)*('CASE MASTER'!$AC$2:$AC$495&gt;=2)*('CASE MASTER'!$AB$2:$AB$495&lt;=1)*('CASE MASTER'!$AD$2:$AD$495&gt;=1))*ROW('CASE MASTER'!$T$2:$T$495))-(ROW('CASE MASTER'!#REF!)-1)))&amp;TRIM(MID(SUBSTITUTE(SUBSTITUTE(INDEX('CASE MASTER'!$N$2:$N$495,(SUMPRODUCT((('CASE MASTER'!$T$2:$T$495=4)*('CASE MASTER'!$AA$2:$AA$495&lt;=2)*('CASE MASTER'!$AC$2:$AC$495&gt;=2)*('CASE MASTER'!$AB$2:$AB$495&lt;=1)*('CASE MASTER'!$AD$2:$AD$495&gt;=1))*ROW('CASE MASTER'!$T$2:$T$495))-(ROW('CASE MASTER'!#REF!)-1))),":",","),",",REPT(" ",50)),(((INDEX('CASE MASTER'!$Z$2:$Z$495,(SUMPRODUCT((('CASE MASTER'!$T$2:$T$495=4)*('CASE MASTER'!$AA$2:$AA$495&lt;=2)*('CASE MASTER'!$AC$2:$AC$495&gt;=2)*('CASE MASTER'!$AB$2:$AB$495&lt;=1)*('CASE MASTER'!$AD$2:$AD$495&gt;=1))*ROW('CASE MASTER'!$T$2:$T$495))-(ROW('CASE MASTER'!#REF!)-1)))+((2-INDEX('CASE MASTER'!$AA$2:$AA$495,(SUMPRODUCT((('CASE MASTER'!$T$2:$T$495=4)*('CASE MASTER'!$AA$2:$AA$495&lt;=2)*('CASE MASTER'!$AC$2:$AC$495&gt;=2)*('CASE MASTER'!$AB$2:$AB$495&lt;=1)*('CASE MASTER'!$AD$2:$AD$495&gt;=1))*ROW('CASE MASTER'!$T$2:$T$495))-(ROW('CASE MASTER'!#REF!)-1))))*(INDEX('CASE MASTER'!$AD$2:$AD$495,(SUMPRODUCT((('CASE MASTER'!$T$2:$T$495=4)*('CASE MASTER'!$AA$2:$AA$495&lt;=2)*('CASE MASTER'!$AC$2:$AC$495&gt;=2)*('CASE MASTER'!$AB$2:$AB$495&lt;=1)*('CASE MASTER'!$AD$2:$AD$495&gt;=1))*ROW('CASE MASTER'!$T$2:$T$495))-(ROW('CASE MASTER'!#REF!)-1)))-INDEX('CASE MASTER'!$AB$2:$AB$495,(SUMPRODUCT((('CASE MASTER'!$T$2:$T$495=4)*('CASE MASTER'!$AA$2:$AA$495&lt;=2)*('CASE MASTER'!$AC$2:$AC$495&gt;=2)*('CASE MASTER'!$AB$2:$AB$495&lt;=1)*('CASE MASTER'!$AD$2:$AD$495&gt;=1))*ROW('CASE MASTER'!$T$2:$T$495))-(ROW('CASE MASTER'!#REF!)-1)))+1)+(1-INDEX('CASE MASTER'!$AB$2:$AB$495,(SUMPRODUCT((('CASE MASTER'!$T$2:$T$495=4)*('CASE MASTER'!$AA$2:$AA$495&lt;=2)*('CASE MASTER'!$AC$2:$AC$495&gt;=2)*('CASE MASTER'!$AB$2:$AB$495&lt;=1)*('CASE MASTER'!$AD$2:$AD$495&gt;=1))*ROW('CASE MASTER'!$T$2:$T$495))-(ROW('CASE MASTER'!#REF!)-1))))+1)))-1)*50+1,50))&amp;"_"&amp;INDEX('CASE MASTER'!$Q$2:$Q$495,(SUMPRODUCT((('CASE MASTER'!$T$2:$T$495=4)*('CASE MASTER'!$AA$2:$AA$495&lt;=2)*('CASE MASTER'!$AC$2:$AC$495&gt;=2)*('CASE MASTER'!$AB$2:$AB$495&lt;=1)*('CASE MASTER'!$AD$2:$AD$495&gt;=1))*ROW('CASE MASTER'!$T$2:$T$495))-(ROW('CASE MASTER'!#REF!)-1))),"")),"")</f>
        <v/>
      </c>
      <c r="C46" s="10" t="str">
        <f>IFERROR(IF(SUMPRODUCT((('CASE MASTER'!$T$2:$T$495=4)*('CASE MASTER'!$U$2:$U$495&lt;=2)*('CASE MASTER'!$W$2:$W$495&gt;=2)*('CASE MASTER'!$V$2:$V$495&lt;=2)*('CASE MASTER'!$X$2:$X$495&gt;=2))*ROW('CASE MASTER'!$T$2:$T$495))&gt;0,INDEX('CASE MASTER'!$Y$2:$Y$495,(SUMPRODUCT((('CASE MASTER'!$T$2:$T$495=4)*('CASE MASTER'!$U$2:$U$495&lt;=2)*('CASE MASTER'!$W$2:$W$495&gt;=2)*('CASE MASTER'!$V$2:$V$495&lt;=2)*('CASE MASTER'!$X$2:$X$495&gt;=2))*ROW('CASE MASTER'!$T$2:$T$495))-(ROW('CASE MASTER'!#REF!)-1)))&amp;TRIM(MID(SUBSTITUTE(SUBSTITUTE(INDEX('CASE MASTER'!$N$2:$N$495,(SUMPRODUCT((('CASE MASTER'!$T$2:$T$495=4)*('CASE MASTER'!$U$2:$U$495&lt;=2)*('CASE MASTER'!$W$2:$W$495&gt;=2)*('CASE MASTER'!$V$2:$V$495&lt;=2)*('CASE MASTER'!$X$2:$X$495&gt;=2))*ROW('CASE MASTER'!$T$2:$T$495))-(ROW('CASE MASTER'!#REF!)-1))),":",","),",",REPT(" ",50)),((((2-INDEX('CASE MASTER'!$U$2:$U$495,(SUMPRODUCT((('CASE MASTER'!$T$2:$T$495=4)*('CASE MASTER'!$U$2:$U$495&lt;=2)*('CASE MASTER'!$W$2:$W$495&gt;=2)*('CASE MASTER'!$V$2:$V$495&lt;=2)*('CASE MASTER'!$X$2:$X$495&gt;=2))*ROW('CASE MASTER'!$T$2:$T$495))-(ROW('CASE MASTER'!#REF!)-1))))*(INDEX('CASE MASTER'!$X$2:$X$495,(SUMPRODUCT((('CASE MASTER'!$T$2:$T$495=4)*('CASE MASTER'!$U$2:$U$495&lt;=2)*('CASE MASTER'!$W$2:$W$495&gt;=2)*('CASE MASTER'!$V$2:$V$495&lt;=2)*('CASE MASTER'!$X$2:$X$495&gt;=2))*ROW('CASE MASTER'!$T$2:$T$495))-(ROW('CASE MASTER'!#REF!)-1)))-INDEX('CASE MASTER'!$V$2:$V$495,(SUMPRODUCT((('CASE MASTER'!$T$2:$T$495=4)*('CASE MASTER'!$U$2:$U$495&lt;=2)*('CASE MASTER'!$W$2:$W$495&gt;=2)*('CASE MASTER'!$V$2:$V$495&lt;=2)*('CASE MASTER'!$X$2:$X$495&gt;=2))*ROW('CASE MASTER'!$T$2:$T$495))-(ROW('CASE MASTER'!#REF!)-1)))+1)+(2-INDEX('CASE MASTER'!$V$2:$V$495,(SUMPRODUCT((('CASE MASTER'!$T$2:$T$495=4)*('CASE MASTER'!$U$2:$U$495&lt;=2)*('CASE MASTER'!$W$2:$W$495&gt;=2)*('CASE MASTER'!$V$2:$V$495&lt;=2)*('CASE MASTER'!$X$2:$X$495&gt;=2))*ROW('CASE MASTER'!$T$2:$T$495))-(ROW('CASE MASTER'!#REF!)-1))))+1))-1)*50+1,50))&amp;"_"&amp;INDEX('CASE MASTER'!$Q$2:$Q$495,(SUMPRODUCT((('CASE MASTER'!$T$2:$T$495=4)*('CASE MASTER'!$U$2:$U$495&lt;=2)*('CASE MASTER'!$W$2:$W$495&gt;=2)*('CASE MASTER'!$V$2:$V$495&lt;=2)*('CASE MASTER'!$X$2:$X$495&gt;=2))*ROW('CASE MASTER'!$T$2:$T$495))-(ROW('CASE MASTER'!#REF!)-1))),IF(SUMPRODUCT((('CASE MASTER'!$T$2:$T$495=4)*('CASE MASTER'!$AA$2:$AA$495&lt;=2)*('CASE MASTER'!$AC$2:$AC$495&gt;=2)*('CASE MASTER'!$AB$2:$AB$495&lt;=2)*('CASE MASTER'!$AD$2:$AD$495&gt;=2))*ROW('CASE MASTER'!$T$2:$T$495))&gt;0,INDEX('CASE MASTER'!$Y$2:$Y$495,(SUMPRODUCT((('CASE MASTER'!$T$2:$T$495=4)*('CASE MASTER'!$AA$2:$AA$495&lt;=2)*('CASE MASTER'!$AC$2:$AC$495&gt;=2)*('CASE MASTER'!$AB$2:$AB$495&lt;=2)*('CASE MASTER'!$AD$2:$AD$495&gt;=2))*ROW('CASE MASTER'!$T$2:$T$495))-(ROW('CASE MASTER'!#REF!)-1)))&amp;TRIM(MID(SUBSTITUTE(SUBSTITUTE(INDEX('CASE MASTER'!$N$2:$N$495,(SUMPRODUCT((('CASE MASTER'!$T$2:$T$495=4)*('CASE MASTER'!$AA$2:$AA$495&lt;=2)*('CASE MASTER'!$AC$2:$AC$495&gt;=2)*('CASE MASTER'!$AB$2:$AB$495&lt;=2)*('CASE MASTER'!$AD$2:$AD$495&gt;=2))*ROW('CASE MASTER'!$T$2:$T$495))-(ROW('CASE MASTER'!#REF!)-1))),":",","),",",REPT(" ",50)),(((INDEX('CASE MASTER'!$Z$2:$Z$495,(SUMPRODUCT((('CASE MASTER'!$T$2:$T$495=4)*('CASE MASTER'!$AA$2:$AA$495&lt;=2)*('CASE MASTER'!$AC$2:$AC$495&gt;=2)*('CASE MASTER'!$AB$2:$AB$495&lt;=2)*('CASE MASTER'!$AD$2:$AD$495&gt;=2))*ROW('CASE MASTER'!$T$2:$T$495))-(ROW('CASE MASTER'!#REF!)-1)))+((2-INDEX('CASE MASTER'!$AA$2:$AA$495,(SUMPRODUCT((('CASE MASTER'!$T$2:$T$495=4)*('CASE MASTER'!$AA$2:$AA$495&lt;=2)*('CASE MASTER'!$AC$2:$AC$495&gt;=2)*('CASE MASTER'!$AB$2:$AB$495&lt;=2)*('CASE MASTER'!$AD$2:$AD$495&gt;=2))*ROW('CASE MASTER'!$T$2:$T$495))-(ROW('CASE MASTER'!#REF!)-1))))*(INDEX('CASE MASTER'!$AD$2:$AD$495,(SUMPRODUCT((('CASE MASTER'!$T$2:$T$495=4)*('CASE MASTER'!$AA$2:$AA$495&lt;=2)*('CASE MASTER'!$AC$2:$AC$495&gt;=2)*('CASE MASTER'!$AB$2:$AB$495&lt;=2)*('CASE MASTER'!$AD$2:$AD$495&gt;=2))*ROW('CASE MASTER'!$T$2:$T$495))-(ROW('CASE MASTER'!#REF!)-1)))-INDEX('CASE MASTER'!$AB$2:$AB$495,(SUMPRODUCT((('CASE MASTER'!$T$2:$T$495=4)*('CASE MASTER'!$AA$2:$AA$495&lt;=2)*('CASE MASTER'!$AC$2:$AC$495&gt;=2)*('CASE MASTER'!$AB$2:$AB$495&lt;=2)*('CASE MASTER'!$AD$2:$AD$495&gt;=2))*ROW('CASE MASTER'!$T$2:$T$495))-(ROW('CASE MASTER'!#REF!)-1)))+1)+(2-INDEX('CASE MASTER'!$AB$2:$AB$495,(SUMPRODUCT((('CASE MASTER'!$T$2:$T$495=4)*('CASE MASTER'!$AA$2:$AA$495&lt;=2)*('CASE MASTER'!$AC$2:$AC$495&gt;=2)*('CASE MASTER'!$AB$2:$AB$495&lt;=2)*('CASE MASTER'!$AD$2:$AD$495&gt;=2))*ROW('CASE MASTER'!$T$2:$T$495))-(ROW('CASE MASTER'!#REF!)-1))))+1)))-1)*50+1,50))&amp;"_"&amp;INDEX('CASE MASTER'!$Q$2:$Q$495,(SUMPRODUCT((('CASE MASTER'!$T$2:$T$495=4)*('CASE MASTER'!$AA$2:$AA$495&lt;=2)*('CASE MASTER'!$AC$2:$AC$495&gt;=2)*('CASE MASTER'!$AB$2:$AB$495&lt;=2)*('CASE MASTER'!$AD$2:$AD$495&gt;=2))*ROW('CASE MASTER'!$T$2:$T$495))-(ROW('CASE MASTER'!#REF!)-1))),"")),"")</f>
        <v/>
      </c>
      <c r="D46" s="10" t="str">
        <f>IFERROR(IF(SUMPRODUCT((('CASE MASTER'!$T$2:$T$495=4)*('CASE MASTER'!$U$2:$U$495&lt;=2)*('CASE MASTER'!$W$2:$W$495&gt;=2)*('CASE MASTER'!$V$2:$V$495&lt;=3)*('CASE MASTER'!$X$2:$X$495&gt;=3))*ROW('CASE MASTER'!$T$2:$T$495))&gt;0,INDEX('CASE MASTER'!$Y$2:$Y$495,(SUMPRODUCT((('CASE MASTER'!$T$2:$T$495=4)*('CASE MASTER'!$U$2:$U$495&lt;=2)*('CASE MASTER'!$W$2:$W$495&gt;=2)*('CASE MASTER'!$V$2:$V$495&lt;=3)*('CASE MASTER'!$X$2:$X$495&gt;=3))*ROW('CASE MASTER'!$T$2:$T$495))-(ROW('CASE MASTER'!#REF!)-1)))&amp;TRIM(MID(SUBSTITUTE(SUBSTITUTE(INDEX('CASE MASTER'!$N$2:$N$495,(SUMPRODUCT((('CASE MASTER'!$T$2:$T$495=4)*('CASE MASTER'!$U$2:$U$495&lt;=2)*('CASE MASTER'!$W$2:$W$495&gt;=2)*('CASE MASTER'!$V$2:$V$495&lt;=3)*('CASE MASTER'!$X$2:$X$495&gt;=3))*ROW('CASE MASTER'!$T$2:$T$495))-(ROW('CASE MASTER'!#REF!)-1))),":",","),",",REPT(" ",50)),((((2-INDEX('CASE MASTER'!$U$2:$U$495,(SUMPRODUCT((('CASE MASTER'!$T$2:$T$495=4)*('CASE MASTER'!$U$2:$U$495&lt;=2)*('CASE MASTER'!$W$2:$W$495&gt;=2)*('CASE MASTER'!$V$2:$V$495&lt;=3)*('CASE MASTER'!$X$2:$X$495&gt;=3))*ROW('CASE MASTER'!$T$2:$T$495))-(ROW('CASE MASTER'!#REF!)-1))))*(INDEX('CASE MASTER'!$X$2:$X$495,(SUMPRODUCT((('CASE MASTER'!$T$2:$T$495=4)*('CASE MASTER'!$U$2:$U$495&lt;=2)*('CASE MASTER'!$W$2:$W$495&gt;=2)*('CASE MASTER'!$V$2:$V$495&lt;=3)*('CASE MASTER'!$X$2:$X$495&gt;=3))*ROW('CASE MASTER'!$T$2:$T$495))-(ROW('CASE MASTER'!#REF!)-1)))-INDEX('CASE MASTER'!$V$2:$V$495,(SUMPRODUCT((('CASE MASTER'!$T$2:$T$495=4)*('CASE MASTER'!$U$2:$U$495&lt;=2)*('CASE MASTER'!$W$2:$W$495&gt;=2)*('CASE MASTER'!$V$2:$V$495&lt;=3)*('CASE MASTER'!$X$2:$X$495&gt;=3))*ROW('CASE MASTER'!$T$2:$T$495))-(ROW('CASE MASTER'!#REF!)-1)))+1)+(3-INDEX('CASE MASTER'!$V$2:$V$495,(SUMPRODUCT((('CASE MASTER'!$T$2:$T$495=4)*('CASE MASTER'!$U$2:$U$495&lt;=2)*('CASE MASTER'!$W$2:$W$495&gt;=2)*('CASE MASTER'!$V$2:$V$495&lt;=3)*('CASE MASTER'!$X$2:$X$495&gt;=3))*ROW('CASE MASTER'!$T$2:$T$495))-(ROW('CASE MASTER'!#REF!)-1))))+1))-1)*50+1,50))&amp;"_"&amp;INDEX('CASE MASTER'!$Q$2:$Q$495,(SUMPRODUCT((('CASE MASTER'!$T$2:$T$495=4)*('CASE MASTER'!$U$2:$U$495&lt;=2)*('CASE MASTER'!$W$2:$W$495&gt;=2)*('CASE MASTER'!$V$2:$V$495&lt;=3)*('CASE MASTER'!$X$2:$X$495&gt;=3))*ROW('CASE MASTER'!$T$2:$T$495))-(ROW('CASE MASTER'!#REF!)-1))),IF(SUMPRODUCT((('CASE MASTER'!$T$2:$T$495=4)*('CASE MASTER'!$AA$2:$AA$495&lt;=2)*('CASE MASTER'!$AC$2:$AC$495&gt;=2)*('CASE MASTER'!$AB$2:$AB$495&lt;=3)*('CASE MASTER'!$AD$2:$AD$495&gt;=3))*ROW('CASE MASTER'!$T$2:$T$495))&gt;0,INDEX('CASE MASTER'!$Y$2:$Y$495,(SUMPRODUCT((('CASE MASTER'!$T$2:$T$495=4)*('CASE MASTER'!$AA$2:$AA$495&lt;=2)*('CASE MASTER'!$AC$2:$AC$495&gt;=2)*('CASE MASTER'!$AB$2:$AB$495&lt;=3)*('CASE MASTER'!$AD$2:$AD$495&gt;=3))*ROW('CASE MASTER'!$T$2:$T$495))-(ROW('CASE MASTER'!#REF!)-1)))&amp;TRIM(MID(SUBSTITUTE(SUBSTITUTE(INDEX('CASE MASTER'!$N$2:$N$495,(SUMPRODUCT((('CASE MASTER'!$T$2:$T$495=4)*('CASE MASTER'!$AA$2:$AA$495&lt;=2)*('CASE MASTER'!$AC$2:$AC$495&gt;=2)*('CASE MASTER'!$AB$2:$AB$495&lt;=3)*('CASE MASTER'!$AD$2:$AD$495&gt;=3))*ROW('CASE MASTER'!$T$2:$T$495))-(ROW('CASE MASTER'!#REF!)-1))),":",","),",",REPT(" ",50)),(((INDEX('CASE MASTER'!$Z$2:$Z$495,(SUMPRODUCT((('CASE MASTER'!$T$2:$T$495=4)*('CASE MASTER'!$AA$2:$AA$495&lt;=2)*('CASE MASTER'!$AC$2:$AC$495&gt;=2)*('CASE MASTER'!$AB$2:$AB$495&lt;=3)*('CASE MASTER'!$AD$2:$AD$495&gt;=3))*ROW('CASE MASTER'!$T$2:$T$495))-(ROW('CASE MASTER'!#REF!)-1)))+((2-INDEX('CASE MASTER'!$AA$2:$AA$495,(SUMPRODUCT((('CASE MASTER'!$T$2:$T$495=4)*('CASE MASTER'!$AA$2:$AA$495&lt;=2)*('CASE MASTER'!$AC$2:$AC$495&gt;=2)*('CASE MASTER'!$AB$2:$AB$495&lt;=3)*('CASE MASTER'!$AD$2:$AD$495&gt;=3))*ROW('CASE MASTER'!$T$2:$T$495))-(ROW('CASE MASTER'!#REF!)-1))))*(INDEX('CASE MASTER'!$AD$2:$AD$495,(SUMPRODUCT((('CASE MASTER'!$T$2:$T$495=4)*('CASE MASTER'!$AA$2:$AA$495&lt;=2)*('CASE MASTER'!$AC$2:$AC$495&gt;=2)*('CASE MASTER'!$AB$2:$AB$495&lt;=3)*('CASE MASTER'!$AD$2:$AD$495&gt;=3))*ROW('CASE MASTER'!$T$2:$T$495))-(ROW('CASE MASTER'!#REF!)-1)))-INDEX('CASE MASTER'!$AB$2:$AB$495,(SUMPRODUCT((('CASE MASTER'!$T$2:$T$495=4)*('CASE MASTER'!$AA$2:$AA$495&lt;=2)*('CASE MASTER'!$AC$2:$AC$495&gt;=2)*('CASE MASTER'!$AB$2:$AB$495&lt;=3)*('CASE MASTER'!$AD$2:$AD$495&gt;=3))*ROW('CASE MASTER'!$T$2:$T$495))-(ROW('CASE MASTER'!#REF!)-1)))+1)+(3-INDEX('CASE MASTER'!$AB$2:$AB$495,(SUMPRODUCT((('CASE MASTER'!$T$2:$T$495=4)*('CASE MASTER'!$AA$2:$AA$495&lt;=2)*('CASE MASTER'!$AC$2:$AC$495&gt;=2)*('CASE MASTER'!$AB$2:$AB$495&lt;=3)*('CASE MASTER'!$AD$2:$AD$495&gt;=3))*ROW('CASE MASTER'!$T$2:$T$495))-(ROW('CASE MASTER'!#REF!)-1))))+1)))-1)*50+1,50))&amp;"_"&amp;INDEX('CASE MASTER'!$Q$2:$Q$495,(SUMPRODUCT((('CASE MASTER'!$T$2:$T$495=4)*('CASE MASTER'!$AA$2:$AA$495&lt;=2)*('CASE MASTER'!$AC$2:$AC$495&gt;=2)*('CASE MASTER'!$AB$2:$AB$495&lt;=3)*('CASE MASTER'!$AD$2:$AD$495&gt;=3))*ROW('CASE MASTER'!$T$2:$T$495))-(ROW('CASE MASTER'!#REF!)-1))),"")),"")</f>
        <v/>
      </c>
      <c r="E46" s="10" t="str">
        <f>IFERROR(IF(SUMPRODUCT((('CASE MASTER'!$T$2:$T$495=4)*('CASE MASTER'!$U$2:$U$495&lt;=2)*('CASE MASTER'!$W$2:$W$495&gt;=2)*('CASE MASTER'!$V$2:$V$495&lt;=4)*('CASE MASTER'!$X$2:$X$495&gt;=4))*ROW('CASE MASTER'!$T$2:$T$495))&gt;0,INDEX('CASE MASTER'!$Y$2:$Y$495,(SUMPRODUCT((('CASE MASTER'!$T$2:$T$495=4)*('CASE MASTER'!$U$2:$U$495&lt;=2)*('CASE MASTER'!$W$2:$W$495&gt;=2)*('CASE MASTER'!$V$2:$V$495&lt;=4)*('CASE MASTER'!$X$2:$X$495&gt;=4))*ROW('CASE MASTER'!$T$2:$T$495))-(ROW('CASE MASTER'!#REF!)-1)))&amp;TRIM(MID(SUBSTITUTE(SUBSTITUTE(INDEX('CASE MASTER'!$N$2:$N$495,(SUMPRODUCT((('CASE MASTER'!$T$2:$T$495=4)*('CASE MASTER'!$U$2:$U$495&lt;=2)*('CASE MASTER'!$W$2:$W$495&gt;=2)*('CASE MASTER'!$V$2:$V$495&lt;=4)*('CASE MASTER'!$X$2:$X$495&gt;=4))*ROW('CASE MASTER'!$T$2:$T$495))-(ROW('CASE MASTER'!#REF!)-1))),":",","),",",REPT(" ",50)),((((2-INDEX('CASE MASTER'!$U$2:$U$495,(SUMPRODUCT((('CASE MASTER'!$T$2:$T$495=4)*('CASE MASTER'!$U$2:$U$495&lt;=2)*('CASE MASTER'!$W$2:$W$495&gt;=2)*('CASE MASTER'!$V$2:$V$495&lt;=4)*('CASE MASTER'!$X$2:$X$495&gt;=4))*ROW('CASE MASTER'!$T$2:$T$495))-(ROW('CASE MASTER'!#REF!)-1))))*(INDEX('CASE MASTER'!$X$2:$X$495,(SUMPRODUCT((('CASE MASTER'!$T$2:$T$495=4)*('CASE MASTER'!$U$2:$U$495&lt;=2)*('CASE MASTER'!$W$2:$W$495&gt;=2)*('CASE MASTER'!$V$2:$V$495&lt;=4)*('CASE MASTER'!$X$2:$X$495&gt;=4))*ROW('CASE MASTER'!$T$2:$T$495))-(ROW('CASE MASTER'!#REF!)-1)))-INDEX('CASE MASTER'!$V$2:$V$495,(SUMPRODUCT((('CASE MASTER'!$T$2:$T$495=4)*('CASE MASTER'!$U$2:$U$495&lt;=2)*('CASE MASTER'!$W$2:$W$495&gt;=2)*('CASE MASTER'!$V$2:$V$495&lt;=4)*('CASE MASTER'!$X$2:$X$495&gt;=4))*ROW('CASE MASTER'!$T$2:$T$495))-(ROW('CASE MASTER'!#REF!)-1)))+1)+(4-INDEX('CASE MASTER'!$V$2:$V$495,(SUMPRODUCT((('CASE MASTER'!$T$2:$T$495=4)*('CASE MASTER'!$U$2:$U$495&lt;=2)*('CASE MASTER'!$W$2:$W$495&gt;=2)*('CASE MASTER'!$V$2:$V$495&lt;=4)*('CASE MASTER'!$X$2:$X$495&gt;=4))*ROW('CASE MASTER'!$T$2:$T$495))-(ROW('CASE MASTER'!#REF!)-1))))+1))-1)*50+1,50))&amp;"_"&amp;INDEX('CASE MASTER'!$Q$2:$Q$495,(SUMPRODUCT((('CASE MASTER'!$T$2:$T$495=4)*('CASE MASTER'!$U$2:$U$495&lt;=2)*('CASE MASTER'!$W$2:$W$495&gt;=2)*('CASE MASTER'!$V$2:$V$495&lt;=4)*('CASE MASTER'!$X$2:$X$495&gt;=4))*ROW('CASE MASTER'!$T$2:$T$495))-(ROW('CASE MASTER'!#REF!)-1))),IF(SUMPRODUCT((('CASE MASTER'!$T$2:$T$495=4)*('CASE MASTER'!$AA$2:$AA$495&lt;=2)*('CASE MASTER'!$AC$2:$AC$495&gt;=2)*('CASE MASTER'!$AB$2:$AB$495&lt;=4)*('CASE MASTER'!$AD$2:$AD$495&gt;=4))*ROW('CASE MASTER'!$T$2:$T$495))&gt;0,INDEX('CASE MASTER'!$Y$2:$Y$495,(SUMPRODUCT((('CASE MASTER'!$T$2:$T$495=4)*('CASE MASTER'!$AA$2:$AA$495&lt;=2)*('CASE MASTER'!$AC$2:$AC$495&gt;=2)*('CASE MASTER'!$AB$2:$AB$495&lt;=4)*('CASE MASTER'!$AD$2:$AD$495&gt;=4))*ROW('CASE MASTER'!$T$2:$T$495))-(ROW('CASE MASTER'!#REF!)-1)))&amp;TRIM(MID(SUBSTITUTE(SUBSTITUTE(INDEX('CASE MASTER'!$N$2:$N$495,(SUMPRODUCT((('CASE MASTER'!$T$2:$T$495=4)*('CASE MASTER'!$AA$2:$AA$495&lt;=2)*('CASE MASTER'!$AC$2:$AC$495&gt;=2)*('CASE MASTER'!$AB$2:$AB$495&lt;=4)*('CASE MASTER'!$AD$2:$AD$495&gt;=4))*ROW('CASE MASTER'!$T$2:$T$495))-(ROW('CASE MASTER'!#REF!)-1))),":",","),",",REPT(" ",50)),(((INDEX('CASE MASTER'!$Z$2:$Z$495,(SUMPRODUCT((('CASE MASTER'!$T$2:$T$495=4)*('CASE MASTER'!$AA$2:$AA$495&lt;=2)*('CASE MASTER'!$AC$2:$AC$495&gt;=2)*('CASE MASTER'!$AB$2:$AB$495&lt;=4)*('CASE MASTER'!$AD$2:$AD$495&gt;=4))*ROW('CASE MASTER'!$T$2:$T$495))-(ROW('CASE MASTER'!#REF!)-1)))+((2-INDEX('CASE MASTER'!$AA$2:$AA$495,(SUMPRODUCT((('CASE MASTER'!$T$2:$T$495=4)*('CASE MASTER'!$AA$2:$AA$495&lt;=2)*('CASE MASTER'!$AC$2:$AC$495&gt;=2)*('CASE MASTER'!$AB$2:$AB$495&lt;=4)*('CASE MASTER'!$AD$2:$AD$495&gt;=4))*ROW('CASE MASTER'!$T$2:$T$495))-(ROW('CASE MASTER'!#REF!)-1))))*(INDEX('CASE MASTER'!$AD$2:$AD$495,(SUMPRODUCT((('CASE MASTER'!$T$2:$T$495=4)*('CASE MASTER'!$AA$2:$AA$495&lt;=2)*('CASE MASTER'!$AC$2:$AC$495&gt;=2)*('CASE MASTER'!$AB$2:$AB$495&lt;=4)*('CASE MASTER'!$AD$2:$AD$495&gt;=4))*ROW('CASE MASTER'!$T$2:$T$495))-(ROW('CASE MASTER'!#REF!)-1)))-INDEX('CASE MASTER'!$AB$2:$AB$495,(SUMPRODUCT((('CASE MASTER'!$T$2:$T$495=4)*('CASE MASTER'!$AA$2:$AA$495&lt;=2)*('CASE MASTER'!$AC$2:$AC$495&gt;=2)*('CASE MASTER'!$AB$2:$AB$495&lt;=4)*('CASE MASTER'!$AD$2:$AD$495&gt;=4))*ROW('CASE MASTER'!$T$2:$T$495))-(ROW('CASE MASTER'!#REF!)-1)))+1)+(4-INDEX('CASE MASTER'!$AB$2:$AB$495,(SUMPRODUCT((('CASE MASTER'!$T$2:$T$495=4)*('CASE MASTER'!$AA$2:$AA$495&lt;=2)*('CASE MASTER'!$AC$2:$AC$495&gt;=2)*('CASE MASTER'!$AB$2:$AB$495&lt;=4)*('CASE MASTER'!$AD$2:$AD$495&gt;=4))*ROW('CASE MASTER'!$T$2:$T$495))-(ROW('CASE MASTER'!#REF!)-1))))+1)))-1)*50+1,50))&amp;"_"&amp;INDEX('CASE MASTER'!$Q$2:$Q$495,(SUMPRODUCT((('CASE MASTER'!$T$2:$T$495=4)*('CASE MASTER'!$AA$2:$AA$495&lt;=2)*('CASE MASTER'!$AC$2:$AC$495&gt;=2)*('CASE MASTER'!$AB$2:$AB$495&lt;=4)*('CASE MASTER'!$AD$2:$AD$495&gt;=4))*ROW('CASE MASTER'!$T$2:$T$495))-(ROW('CASE MASTER'!#REF!)-1))),"")),"")</f>
        <v/>
      </c>
      <c r="F46" s="10" t="str">
        <f>IFERROR(IF(SUMPRODUCT((('CASE MASTER'!$T$2:$T$495=4)*('CASE MASTER'!$U$2:$U$495&lt;=2)*('CASE MASTER'!$W$2:$W$495&gt;=2)*('CASE MASTER'!$V$2:$V$495&lt;=5)*('CASE MASTER'!$X$2:$X$495&gt;=5))*ROW('CASE MASTER'!$T$2:$T$495))&gt;0,INDEX('CASE MASTER'!$Y$2:$Y$495,(SUMPRODUCT((('CASE MASTER'!$T$2:$T$495=4)*('CASE MASTER'!$U$2:$U$495&lt;=2)*('CASE MASTER'!$W$2:$W$495&gt;=2)*('CASE MASTER'!$V$2:$V$495&lt;=5)*('CASE MASTER'!$X$2:$X$495&gt;=5))*ROW('CASE MASTER'!$T$2:$T$495))-(ROW('CASE MASTER'!#REF!)-1)))&amp;TRIM(MID(SUBSTITUTE(SUBSTITUTE(INDEX('CASE MASTER'!$N$2:$N$495,(SUMPRODUCT((('CASE MASTER'!$T$2:$T$495=4)*('CASE MASTER'!$U$2:$U$495&lt;=2)*('CASE MASTER'!$W$2:$W$495&gt;=2)*('CASE MASTER'!$V$2:$V$495&lt;=5)*('CASE MASTER'!$X$2:$X$495&gt;=5))*ROW('CASE MASTER'!$T$2:$T$495))-(ROW('CASE MASTER'!#REF!)-1))),":",","),",",REPT(" ",50)),((((2-INDEX('CASE MASTER'!$U$2:$U$495,(SUMPRODUCT((('CASE MASTER'!$T$2:$T$495=4)*('CASE MASTER'!$U$2:$U$495&lt;=2)*('CASE MASTER'!$W$2:$W$495&gt;=2)*('CASE MASTER'!$V$2:$V$495&lt;=5)*('CASE MASTER'!$X$2:$X$495&gt;=5))*ROW('CASE MASTER'!$T$2:$T$495))-(ROW('CASE MASTER'!#REF!)-1))))*(INDEX('CASE MASTER'!$X$2:$X$495,(SUMPRODUCT((('CASE MASTER'!$T$2:$T$495=4)*('CASE MASTER'!$U$2:$U$495&lt;=2)*('CASE MASTER'!$W$2:$W$495&gt;=2)*('CASE MASTER'!$V$2:$V$495&lt;=5)*('CASE MASTER'!$X$2:$X$495&gt;=5))*ROW('CASE MASTER'!$T$2:$T$495))-(ROW('CASE MASTER'!#REF!)-1)))-INDEX('CASE MASTER'!$V$2:$V$495,(SUMPRODUCT((('CASE MASTER'!$T$2:$T$495=4)*('CASE MASTER'!$U$2:$U$495&lt;=2)*('CASE MASTER'!$W$2:$W$495&gt;=2)*('CASE MASTER'!$V$2:$V$495&lt;=5)*('CASE MASTER'!$X$2:$X$495&gt;=5))*ROW('CASE MASTER'!$T$2:$T$495))-(ROW('CASE MASTER'!#REF!)-1)))+1)+(5-INDEX('CASE MASTER'!$V$2:$V$495,(SUMPRODUCT((('CASE MASTER'!$T$2:$T$495=4)*('CASE MASTER'!$U$2:$U$495&lt;=2)*('CASE MASTER'!$W$2:$W$495&gt;=2)*('CASE MASTER'!$V$2:$V$495&lt;=5)*('CASE MASTER'!$X$2:$X$495&gt;=5))*ROW('CASE MASTER'!$T$2:$T$495))-(ROW('CASE MASTER'!#REF!)-1))))+1))-1)*50+1,50))&amp;"_"&amp;INDEX('CASE MASTER'!$Q$2:$Q$495,(SUMPRODUCT((('CASE MASTER'!$T$2:$T$495=4)*('CASE MASTER'!$U$2:$U$495&lt;=2)*('CASE MASTER'!$W$2:$W$495&gt;=2)*('CASE MASTER'!$V$2:$V$495&lt;=5)*('CASE MASTER'!$X$2:$X$495&gt;=5))*ROW('CASE MASTER'!$T$2:$T$495))-(ROW('CASE MASTER'!#REF!)-1))),IF(SUMPRODUCT((('CASE MASTER'!$T$2:$T$495=4)*('CASE MASTER'!$AA$2:$AA$495&lt;=2)*('CASE MASTER'!$AC$2:$AC$495&gt;=2)*('CASE MASTER'!$AB$2:$AB$495&lt;=5)*('CASE MASTER'!$AD$2:$AD$495&gt;=5))*ROW('CASE MASTER'!$T$2:$T$495))&gt;0,INDEX('CASE MASTER'!$Y$2:$Y$495,(SUMPRODUCT((('CASE MASTER'!$T$2:$T$495=4)*('CASE MASTER'!$AA$2:$AA$495&lt;=2)*('CASE MASTER'!$AC$2:$AC$495&gt;=2)*('CASE MASTER'!$AB$2:$AB$495&lt;=5)*('CASE MASTER'!$AD$2:$AD$495&gt;=5))*ROW('CASE MASTER'!$T$2:$T$495))-(ROW('CASE MASTER'!#REF!)-1)))&amp;TRIM(MID(SUBSTITUTE(SUBSTITUTE(INDEX('CASE MASTER'!$N$2:$N$495,(SUMPRODUCT((('CASE MASTER'!$T$2:$T$495=4)*('CASE MASTER'!$AA$2:$AA$495&lt;=2)*('CASE MASTER'!$AC$2:$AC$495&gt;=2)*('CASE MASTER'!$AB$2:$AB$495&lt;=5)*('CASE MASTER'!$AD$2:$AD$495&gt;=5))*ROW('CASE MASTER'!$T$2:$T$495))-(ROW('CASE MASTER'!#REF!)-1))),":",","),",",REPT(" ",50)),(((INDEX('CASE MASTER'!$Z$2:$Z$495,(SUMPRODUCT((('CASE MASTER'!$T$2:$T$495=4)*('CASE MASTER'!$AA$2:$AA$495&lt;=2)*('CASE MASTER'!$AC$2:$AC$495&gt;=2)*('CASE MASTER'!$AB$2:$AB$495&lt;=5)*('CASE MASTER'!$AD$2:$AD$495&gt;=5))*ROW('CASE MASTER'!$T$2:$T$495))-(ROW('CASE MASTER'!#REF!)-1)))+((2-INDEX('CASE MASTER'!$AA$2:$AA$495,(SUMPRODUCT((('CASE MASTER'!$T$2:$T$495=4)*('CASE MASTER'!$AA$2:$AA$495&lt;=2)*('CASE MASTER'!$AC$2:$AC$495&gt;=2)*('CASE MASTER'!$AB$2:$AB$495&lt;=5)*('CASE MASTER'!$AD$2:$AD$495&gt;=5))*ROW('CASE MASTER'!$T$2:$T$495))-(ROW('CASE MASTER'!#REF!)-1))))*(INDEX('CASE MASTER'!$AD$2:$AD$495,(SUMPRODUCT((('CASE MASTER'!$T$2:$T$495=4)*('CASE MASTER'!$AA$2:$AA$495&lt;=2)*('CASE MASTER'!$AC$2:$AC$495&gt;=2)*('CASE MASTER'!$AB$2:$AB$495&lt;=5)*('CASE MASTER'!$AD$2:$AD$495&gt;=5))*ROW('CASE MASTER'!$T$2:$T$495))-(ROW('CASE MASTER'!#REF!)-1)))-INDEX('CASE MASTER'!$AB$2:$AB$495,(SUMPRODUCT((('CASE MASTER'!$T$2:$T$495=4)*('CASE MASTER'!$AA$2:$AA$495&lt;=2)*('CASE MASTER'!$AC$2:$AC$495&gt;=2)*('CASE MASTER'!$AB$2:$AB$495&lt;=5)*('CASE MASTER'!$AD$2:$AD$495&gt;=5))*ROW('CASE MASTER'!$T$2:$T$495))-(ROW('CASE MASTER'!#REF!)-1)))+1)+(5-INDEX('CASE MASTER'!$AB$2:$AB$495,(SUMPRODUCT((('CASE MASTER'!$T$2:$T$495=4)*('CASE MASTER'!$AA$2:$AA$495&lt;=2)*('CASE MASTER'!$AC$2:$AC$495&gt;=2)*('CASE MASTER'!$AB$2:$AB$495&lt;=5)*('CASE MASTER'!$AD$2:$AD$495&gt;=5))*ROW('CASE MASTER'!$T$2:$T$495))-(ROW('CASE MASTER'!#REF!)-1))))+1)))-1)*50+1,50))&amp;"_"&amp;INDEX('CASE MASTER'!$Q$2:$Q$495,(SUMPRODUCT((('CASE MASTER'!$T$2:$T$495=4)*('CASE MASTER'!$AA$2:$AA$495&lt;=2)*('CASE MASTER'!$AC$2:$AC$495&gt;=2)*('CASE MASTER'!$AB$2:$AB$495&lt;=5)*('CASE MASTER'!$AD$2:$AD$495&gt;=5))*ROW('CASE MASTER'!$T$2:$T$495))-(ROW('CASE MASTER'!#REF!)-1))),"")),"")</f>
        <v/>
      </c>
      <c r="G46" s="10" t="str">
        <f>IFERROR(IF(SUMPRODUCT((('CASE MASTER'!$T$2:$T$495=4)*('CASE MASTER'!$U$2:$U$495&lt;=2)*('CASE MASTER'!$W$2:$W$495&gt;=2)*('CASE MASTER'!$V$2:$V$495&lt;=6)*('CASE MASTER'!$X$2:$X$495&gt;=6))*ROW('CASE MASTER'!$T$2:$T$495))&gt;0,INDEX('CASE MASTER'!$Y$2:$Y$495,(SUMPRODUCT((('CASE MASTER'!$T$2:$T$495=4)*('CASE MASTER'!$U$2:$U$495&lt;=2)*('CASE MASTER'!$W$2:$W$495&gt;=2)*('CASE MASTER'!$V$2:$V$495&lt;=6)*('CASE MASTER'!$X$2:$X$495&gt;=6))*ROW('CASE MASTER'!$T$2:$T$495))-(ROW('CASE MASTER'!#REF!)-1)))&amp;TRIM(MID(SUBSTITUTE(SUBSTITUTE(INDEX('CASE MASTER'!$N$2:$N$495,(SUMPRODUCT((('CASE MASTER'!$T$2:$T$495=4)*('CASE MASTER'!$U$2:$U$495&lt;=2)*('CASE MASTER'!$W$2:$W$495&gt;=2)*('CASE MASTER'!$V$2:$V$495&lt;=6)*('CASE MASTER'!$X$2:$X$495&gt;=6))*ROW('CASE MASTER'!$T$2:$T$495))-(ROW('CASE MASTER'!#REF!)-1))),":",","),",",REPT(" ",50)),((((2-INDEX('CASE MASTER'!$U$2:$U$495,(SUMPRODUCT((('CASE MASTER'!$T$2:$T$495=4)*('CASE MASTER'!$U$2:$U$495&lt;=2)*('CASE MASTER'!$W$2:$W$495&gt;=2)*('CASE MASTER'!$V$2:$V$495&lt;=6)*('CASE MASTER'!$X$2:$X$495&gt;=6))*ROW('CASE MASTER'!$T$2:$T$495))-(ROW('CASE MASTER'!#REF!)-1))))*(INDEX('CASE MASTER'!$X$2:$X$495,(SUMPRODUCT((('CASE MASTER'!$T$2:$T$495=4)*('CASE MASTER'!$U$2:$U$495&lt;=2)*('CASE MASTER'!$W$2:$W$495&gt;=2)*('CASE MASTER'!$V$2:$V$495&lt;=6)*('CASE MASTER'!$X$2:$X$495&gt;=6))*ROW('CASE MASTER'!$T$2:$T$495))-(ROW('CASE MASTER'!#REF!)-1)))-INDEX('CASE MASTER'!$V$2:$V$495,(SUMPRODUCT((('CASE MASTER'!$T$2:$T$495=4)*('CASE MASTER'!$U$2:$U$495&lt;=2)*('CASE MASTER'!$W$2:$W$495&gt;=2)*('CASE MASTER'!$V$2:$V$495&lt;=6)*('CASE MASTER'!$X$2:$X$495&gt;=6))*ROW('CASE MASTER'!$T$2:$T$495))-(ROW('CASE MASTER'!#REF!)-1)))+1)+(6-INDEX('CASE MASTER'!$V$2:$V$495,(SUMPRODUCT((('CASE MASTER'!$T$2:$T$495=4)*('CASE MASTER'!$U$2:$U$495&lt;=2)*('CASE MASTER'!$W$2:$W$495&gt;=2)*('CASE MASTER'!$V$2:$V$495&lt;=6)*('CASE MASTER'!$X$2:$X$495&gt;=6))*ROW('CASE MASTER'!$T$2:$T$495))-(ROW('CASE MASTER'!#REF!)-1))))+1))-1)*50+1,50))&amp;"_"&amp;INDEX('CASE MASTER'!$Q$2:$Q$495,(SUMPRODUCT((('CASE MASTER'!$T$2:$T$495=4)*('CASE MASTER'!$U$2:$U$495&lt;=2)*('CASE MASTER'!$W$2:$W$495&gt;=2)*('CASE MASTER'!$V$2:$V$495&lt;=6)*('CASE MASTER'!$X$2:$X$495&gt;=6))*ROW('CASE MASTER'!$T$2:$T$495))-(ROW('CASE MASTER'!#REF!)-1))),IF(SUMPRODUCT((('CASE MASTER'!$T$2:$T$495=4)*('CASE MASTER'!$AA$2:$AA$495&lt;=2)*('CASE MASTER'!$AC$2:$AC$495&gt;=2)*('CASE MASTER'!$AB$2:$AB$495&lt;=6)*('CASE MASTER'!$AD$2:$AD$495&gt;=6))*ROW('CASE MASTER'!$T$2:$T$495))&gt;0,INDEX('CASE MASTER'!$Y$2:$Y$495,(SUMPRODUCT((('CASE MASTER'!$T$2:$T$495=4)*('CASE MASTER'!$AA$2:$AA$495&lt;=2)*('CASE MASTER'!$AC$2:$AC$495&gt;=2)*('CASE MASTER'!$AB$2:$AB$495&lt;=6)*('CASE MASTER'!$AD$2:$AD$495&gt;=6))*ROW('CASE MASTER'!$T$2:$T$495))-(ROW('CASE MASTER'!#REF!)-1)))&amp;TRIM(MID(SUBSTITUTE(SUBSTITUTE(INDEX('CASE MASTER'!$N$2:$N$495,(SUMPRODUCT((('CASE MASTER'!$T$2:$T$495=4)*('CASE MASTER'!$AA$2:$AA$495&lt;=2)*('CASE MASTER'!$AC$2:$AC$495&gt;=2)*('CASE MASTER'!$AB$2:$AB$495&lt;=6)*('CASE MASTER'!$AD$2:$AD$495&gt;=6))*ROW('CASE MASTER'!$T$2:$T$495))-(ROW('CASE MASTER'!#REF!)-1))),":",","),",",REPT(" ",50)),(((INDEX('CASE MASTER'!$Z$2:$Z$495,(SUMPRODUCT((('CASE MASTER'!$T$2:$T$495=4)*('CASE MASTER'!$AA$2:$AA$495&lt;=2)*('CASE MASTER'!$AC$2:$AC$495&gt;=2)*('CASE MASTER'!$AB$2:$AB$495&lt;=6)*('CASE MASTER'!$AD$2:$AD$495&gt;=6))*ROW('CASE MASTER'!$T$2:$T$495))-(ROW('CASE MASTER'!#REF!)-1)))+((2-INDEX('CASE MASTER'!$AA$2:$AA$495,(SUMPRODUCT((('CASE MASTER'!$T$2:$T$495=4)*('CASE MASTER'!$AA$2:$AA$495&lt;=2)*('CASE MASTER'!$AC$2:$AC$495&gt;=2)*('CASE MASTER'!$AB$2:$AB$495&lt;=6)*('CASE MASTER'!$AD$2:$AD$495&gt;=6))*ROW('CASE MASTER'!$T$2:$T$495))-(ROW('CASE MASTER'!#REF!)-1))))*(INDEX('CASE MASTER'!$AD$2:$AD$495,(SUMPRODUCT((('CASE MASTER'!$T$2:$T$495=4)*('CASE MASTER'!$AA$2:$AA$495&lt;=2)*('CASE MASTER'!$AC$2:$AC$495&gt;=2)*('CASE MASTER'!$AB$2:$AB$495&lt;=6)*('CASE MASTER'!$AD$2:$AD$495&gt;=6))*ROW('CASE MASTER'!$T$2:$T$495))-(ROW('CASE MASTER'!#REF!)-1)))-INDEX('CASE MASTER'!$AB$2:$AB$495,(SUMPRODUCT((('CASE MASTER'!$T$2:$T$495=4)*('CASE MASTER'!$AA$2:$AA$495&lt;=2)*('CASE MASTER'!$AC$2:$AC$495&gt;=2)*('CASE MASTER'!$AB$2:$AB$495&lt;=6)*('CASE MASTER'!$AD$2:$AD$495&gt;=6))*ROW('CASE MASTER'!$T$2:$T$495))-(ROW('CASE MASTER'!#REF!)-1)))+1)+(6-INDEX('CASE MASTER'!$AB$2:$AB$495,(SUMPRODUCT((('CASE MASTER'!$T$2:$T$495=4)*('CASE MASTER'!$AA$2:$AA$495&lt;=2)*('CASE MASTER'!$AC$2:$AC$495&gt;=2)*('CASE MASTER'!$AB$2:$AB$495&lt;=6)*('CASE MASTER'!$AD$2:$AD$495&gt;=6))*ROW('CASE MASTER'!$T$2:$T$495))-(ROW('CASE MASTER'!#REF!)-1))))+1)))-1)*50+1,50))&amp;"_"&amp;INDEX('CASE MASTER'!$Q$2:$Q$495,(SUMPRODUCT((('CASE MASTER'!$T$2:$T$495=4)*('CASE MASTER'!$AA$2:$AA$495&lt;=2)*('CASE MASTER'!$AC$2:$AC$495&gt;=2)*('CASE MASTER'!$AB$2:$AB$495&lt;=6)*('CASE MASTER'!$AD$2:$AD$495&gt;=6))*ROW('CASE MASTER'!$T$2:$T$495))-(ROW('CASE MASTER'!#REF!)-1))),"")),"")</f>
        <v/>
      </c>
      <c r="H46" s="10" t="str">
        <f>IFERROR(IF(SUMPRODUCT((('CASE MASTER'!$T$2:$T$495=4)*('CASE MASTER'!$U$2:$U$495&lt;=2)*('CASE MASTER'!$W$2:$W$495&gt;=2)*('CASE MASTER'!$V$2:$V$495&lt;=7)*('CASE MASTER'!$X$2:$X$495&gt;=7))*ROW('CASE MASTER'!$T$2:$T$495))&gt;0,INDEX('CASE MASTER'!$Y$2:$Y$495,(SUMPRODUCT((('CASE MASTER'!$T$2:$T$495=4)*('CASE MASTER'!$U$2:$U$495&lt;=2)*('CASE MASTER'!$W$2:$W$495&gt;=2)*('CASE MASTER'!$V$2:$V$495&lt;=7)*('CASE MASTER'!$X$2:$X$495&gt;=7))*ROW('CASE MASTER'!$T$2:$T$495))-(ROW('CASE MASTER'!#REF!)-1)))&amp;TRIM(MID(SUBSTITUTE(SUBSTITUTE(INDEX('CASE MASTER'!$N$2:$N$495,(SUMPRODUCT((('CASE MASTER'!$T$2:$T$495=4)*('CASE MASTER'!$U$2:$U$495&lt;=2)*('CASE MASTER'!$W$2:$W$495&gt;=2)*('CASE MASTER'!$V$2:$V$495&lt;=7)*('CASE MASTER'!$X$2:$X$495&gt;=7))*ROW('CASE MASTER'!$T$2:$T$495))-(ROW('CASE MASTER'!#REF!)-1))),":",","),",",REPT(" ",50)),((((2-INDEX('CASE MASTER'!$U$2:$U$495,(SUMPRODUCT((('CASE MASTER'!$T$2:$T$495=4)*('CASE MASTER'!$U$2:$U$495&lt;=2)*('CASE MASTER'!$W$2:$W$495&gt;=2)*('CASE MASTER'!$V$2:$V$495&lt;=7)*('CASE MASTER'!$X$2:$X$495&gt;=7))*ROW('CASE MASTER'!$T$2:$T$495))-(ROW('CASE MASTER'!#REF!)-1))))*(INDEX('CASE MASTER'!$X$2:$X$495,(SUMPRODUCT((('CASE MASTER'!$T$2:$T$495=4)*('CASE MASTER'!$U$2:$U$495&lt;=2)*('CASE MASTER'!$W$2:$W$495&gt;=2)*('CASE MASTER'!$V$2:$V$495&lt;=7)*('CASE MASTER'!$X$2:$X$495&gt;=7))*ROW('CASE MASTER'!$T$2:$T$495))-(ROW('CASE MASTER'!#REF!)-1)))-INDEX('CASE MASTER'!$V$2:$V$495,(SUMPRODUCT((('CASE MASTER'!$T$2:$T$495=4)*('CASE MASTER'!$U$2:$U$495&lt;=2)*('CASE MASTER'!$W$2:$W$495&gt;=2)*('CASE MASTER'!$V$2:$V$495&lt;=7)*('CASE MASTER'!$X$2:$X$495&gt;=7))*ROW('CASE MASTER'!$T$2:$T$495))-(ROW('CASE MASTER'!#REF!)-1)))+1)+(7-INDEX('CASE MASTER'!$V$2:$V$495,(SUMPRODUCT((('CASE MASTER'!$T$2:$T$495=4)*('CASE MASTER'!$U$2:$U$495&lt;=2)*('CASE MASTER'!$W$2:$W$495&gt;=2)*('CASE MASTER'!$V$2:$V$495&lt;=7)*('CASE MASTER'!$X$2:$X$495&gt;=7))*ROW('CASE MASTER'!$T$2:$T$495))-(ROW('CASE MASTER'!#REF!)-1))))+1))-1)*50+1,50))&amp;"_"&amp;INDEX('CASE MASTER'!$Q$2:$Q$495,(SUMPRODUCT((('CASE MASTER'!$T$2:$T$495=4)*('CASE MASTER'!$U$2:$U$495&lt;=2)*('CASE MASTER'!$W$2:$W$495&gt;=2)*('CASE MASTER'!$V$2:$V$495&lt;=7)*('CASE MASTER'!$X$2:$X$495&gt;=7))*ROW('CASE MASTER'!$T$2:$T$495))-(ROW('CASE MASTER'!#REF!)-1))),IF(SUMPRODUCT((('CASE MASTER'!$T$2:$T$495=4)*('CASE MASTER'!$AA$2:$AA$495&lt;=2)*('CASE MASTER'!$AC$2:$AC$495&gt;=2)*('CASE MASTER'!$AB$2:$AB$495&lt;=7)*('CASE MASTER'!$AD$2:$AD$495&gt;=7))*ROW('CASE MASTER'!$T$2:$T$495))&gt;0,INDEX('CASE MASTER'!$Y$2:$Y$495,(SUMPRODUCT((('CASE MASTER'!$T$2:$T$495=4)*('CASE MASTER'!$AA$2:$AA$495&lt;=2)*('CASE MASTER'!$AC$2:$AC$495&gt;=2)*('CASE MASTER'!$AB$2:$AB$495&lt;=7)*('CASE MASTER'!$AD$2:$AD$495&gt;=7))*ROW('CASE MASTER'!$T$2:$T$495))-(ROW('CASE MASTER'!#REF!)-1)))&amp;TRIM(MID(SUBSTITUTE(SUBSTITUTE(INDEX('CASE MASTER'!$N$2:$N$495,(SUMPRODUCT((('CASE MASTER'!$T$2:$T$495=4)*('CASE MASTER'!$AA$2:$AA$495&lt;=2)*('CASE MASTER'!$AC$2:$AC$495&gt;=2)*('CASE MASTER'!$AB$2:$AB$495&lt;=7)*('CASE MASTER'!$AD$2:$AD$495&gt;=7))*ROW('CASE MASTER'!$T$2:$T$495))-(ROW('CASE MASTER'!#REF!)-1))),":",","),",",REPT(" ",50)),(((INDEX('CASE MASTER'!$Z$2:$Z$495,(SUMPRODUCT((('CASE MASTER'!$T$2:$T$495=4)*('CASE MASTER'!$AA$2:$AA$495&lt;=2)*('CASE MASTER'!$AC$2:$AC$495&gt;=2)*('CASE MASTER'!$AB$2:$AB$495&lt;=7)*('CASE MASTER'!$AD$2:$AD$495&gt;=7))*ROW('CASE MASTER'!$T$2:$T$495))-(ROW('CASE MASTER'!#REF!)-1)))+((2-INDEX('CASE MASTER'!$AA$2:$AA$495,(SUMPRODUCT((('CASE MASTER'!$T$2:$T$495=4)*('CASE MASTER'!$AA$2:$AA$495&lt;=2)*('CASE MASTER'!$AC$2:$AC$495&gt;=2)*('CASE MASTER'!$AB$2:$AB$495&lt;=7)*('CASE MASTER'!$AD$2:$AD$495&gt;=7))*ROW('CASE MASTER'!$T$2:$T$495))-(ROW('CASE MASTER'!#REF!)-1))))*(INDEX('CASE MASTER'!$AD$2:$AD$495,(SUMPRODUCT((('CASE MASTER'!$T$2:$T$495=4)*('CASE MASTER'!$AA$2:$AA$495&lt;=2)*('CASE MASTER'!$AC$2:$AC$495&gt;=2)*('CASE MASTER'!$AB$2:$AB$495&lt;=7)*('CASE MASTER'!$AD$2:$AD$495&gt;=7))*ROW('CASE MASTER'!$T$2:$T$495))-(ROW('CASE MASTER'!#REF!)-1)))-INDEX('CASE MASTER'!$AB$2:$AB$495,(SUMPRODUCT((('CASE MASTER'!$T$2:$T$495=4)*('CASE MASTER'!$AA$2:$AA$495&lt;=2)*('CASE MASTER'!$AC$2:$AC$495&gt;=2)*('CASE MASTER'!$AB$2:$AB$495&lt;=7)*('CASE MASTER'!$AD$2:$AD$495&gt;=7))*ROW('CASE MASTER'!$T$2:$T$495))-(ROW('CASE MASTER'!#REF!)-1)))+1)+(7-INDEX('CASE MASTER'!$AB$2:$AB$495,(SUMPRODUCT((('CASE MASTER'!$T$2:$T$495=4)*('CASE MASTER'!$AA$2:$AA$495&lt;=2)*('CASE MASTER'!$AC$2:$AC$495&gt;=2)*('CASE MASTER'!$AB$2:$AB$495&lt;=7)*('CASE MASTER'!$AD$2:$AD$495&gt;=7))*ROW('CASE MASTER'!$T$2:$T$495))-(ROW('CASE MASTER'!#REF!)-1))))+1)))-1)*50+1,50))&amp;"_"&amp;INDEX('CASE MASTER'!$Q$2:$Q$495,(SUMPRODUCT((('CASE MASTER'!$T$2:$T$495=4)*('CASE MASTER'!$AA$2:$AA$495&lt;=2)*('CASE MASTER'!$AC$2:$AC$495&gt;=2)*('CASE MASTER'!$AB$2:$AB$495&lt;=7)*('CASE MASTER'!$AD$2:$AD$495&gt;=7))*ROW('CASE MASTER'!$T$2:$T$495))-(ROW('CASE MASTER'!#REF!)-1))),"")),"")</f>
        <v/>
      </c>
      <c r="I46" s="10" t="str">
        <f>IFERROR(IF(SUMPRODUCT((('CASE MASTER'!$T$2:$T$495=4)*('CASE MASTER'!$U$2:$U$495&lt;=2)*('CASE MASTER'!$W$2:$W$495&gt;=2)*('CASE MASTER'!$V$2:$V$495&lt;=8)*('CASE MASTER'!$X$2:$X$495&gt;=8))*ROW('CASE MASTER'!$T$2:$T$495))&gt;0,INDEX('CASE MASTER'!$Y$2:$Y$495,(SUMPRODUCT((('CASE MASTER'!$T$2:$T$495=4)*('CASE MASTER'!$U$2:$U$495&lt;=2)*('CASE MASTER'!$W$2:$W$495&gt;=2)*('CASE MASTER'!$V$2:$V$495&lt;=8)*('CASE MASTER'!$X$2:$X$495&gt;=8))*ROW('CASE MASTER'!$T$2:$T$495))-(ROW('CASE MASTER'!#REF!)-1)))&amp;TRIM(MID(SUBSTITUTE(SUBSTITUTE(INDEX('CASE MASTER'!$N$2:$N$495,(SUMPRODUCT((('CASE MASTER'!$T$2:$T$495=4)*('CASE MASTER'!$U$2:$U$495&lt;=2)*('CASE MASTER'!$W$2:$W$495&gt;=2)*('CASE MASTER'!$V$2:$V$495&lt;=8)*('CASE MASTER'!$X$2:$X$495&gt;=8))*ROW('CASE MASTER'!$T$2:$T$495))-(ROW('CASE MASTER'!#REF!)-1))),":",","),",",REPT(" ",50)),((((2-INDEX('CASE MASTER'!$U$2:$U$495,(SUMPRODUCT((('CASE MASTER'!$T$2:$T$495=4)*('CASE MASTER'!$U$2:$U$495&lt;=2)*('CASE MASTER'!$W$2:$W$495&gt;=2)*('CASE MASTER'!$V$2:$V$495&lt;=8)*('CASE MASTER'!$X$2:$X$495&gt;=8))*ROW('CASE MASTER'!$T$2:$T$495))-(ROW('CASE MASTER'!#REF!)-1))))*(INDEX('CASE MASTER'!$X$2:$X$495,(SUMPRODUCT((('CASE MASTER'!$T$2:$T$495=4)*('CASE MASTER'!$U$2:$U$495&lt;=2)*('CASE MASTER'!$W$2:$W$495&gt;=2)*('CASE MASTER'!$V$2:$V$495&lt;=8)*('CASE MASTER'!$X$2:$X$495&gt;=8))*ROW('CASE MASTER'!$T$2:$T$495))-(ROW('CASE MASTER'!#REF!)-1)))-INDEX('CASE MASTER'!$V$2:$V$495,(SUMPRODUCT((('CASE MASTER'!$T$2:$T$495=4)*('CASE MASTER'!$U$2:$U$495&lt;=2)*('CASE MASTER'!$W$2:$W$495&gt;=2)*('CASE MASTER'!$V$2:$V$495&lt;=8)*('CASE MASTER'!$X$2:$X$495&gt;=8))*ROW('CASE MASTER'!$T$2:$T$495))-(ROW('CASE MASTER'!#REF!)-1)))+1)+(8-INDEX('CASE MASTER'!$V$2:$V$495,(SUMPRODUCT((('CASE MASTER'!$T$2:$T$495=4)*('CASE MASTER'!$U$2:$U$495&lt;=2)*('CASE MASTER'!$W$2:$W$495&gt;=2)*('CASE MASTER'!$V$2:$V$495&lt;=8)*('CASE MASTER'!$X$2:$X$495&gt;=8))*ROW('CASE MASTER'!$T$2:$T$495))-(ROW('CASE MASTER'!#REF!)-1))))+1))-1)*50+1,50))&amp;"_"&amp;INDEX('CASE MASTER'!$Q$2:$Q$495,(SUMPRODUCT((('CASE MASTER'!$T$2:$T$495=4)*('CASE MASTER'!$U$2:$U$495&lt;=2)*('CASE MASTER'!$W$2:$W$495&gt;=2)*('CASE MASTER'!$V$2:$V$495&lt;=8)*('CASE MASTER'!$X$2:$X$495&gt;=8))*ROW('CASE MASTER'!$T$2:$T$495))-(ROW('CASE MASTER'!#REF!)-1))),IF(SUMPRODUCT((('CASE MASTER'!$T$2:$T$495=4)*('CASE MASTER'!$AA$2:$AA$495&lt;=2)*('CASE MASTER'!$AC$2:$AC$495&gt;=2)*('CASE MASTER'!$AB$2:$AB$495&lt;=8)*('CASE MASTER'!$AD$2:$AD$495&gt;=8))*ROW('CASE MASTER'!$T$2:$T$495))&gt;0,INDEX('CASE MASTER'!$Y$2:$Y$495,(SUMPRODUCT((('CASE MASTER'!$T$2:$T$495=4)*('CASE MASTER'!$AA$2:$AA$495&lt;=2)*('CASE MASTER'!$AC$2:$AC$495&gt;=2)*('CASE MASTER'!$AB$2:$AB$495&lt;=8)*('CASE MASTER'!$AD$2:$AD$495&gt;=8))*ROW('CASE MASTER'!$T$2:$T$495))-(ROW('CASE MASTER'!#REF!)-1)))&amp;TRIM(MID(SUBSTITUTE(SUBSTITUTE(INDEX('CASE MASTER'!$N$2:$N$495,(SUMPRODUCT((('CASE MASTER'!$T$2:$T$495=4)*('CASE MASTER'!$AA$2:$AA$495&lt;=2)*('CASE MASTER'!$AC$2:$AC$495&gt;=2)*('CASE MASTER'!$AB$2:$AB$495&lt;=8)*('CASE MASTER'!$AD$2:$AD$495&gt;=8))*ROW('CASE MASTER'!$T$2:$T$495))-(ROW('CASE MASTER'!#REF!)-1))),":",","),",",REPT(" ",50)),(((INDEX('CASE MASTER'!$Z$2:$Z$495,(SUMPRODUCT((('CASE MASTER'!$T$2:$T$495=4)*('CASE MASTER'!$AA$2:$AA$495&lt;=2)*('CASE MASTER'!$AC$2:$AC$495&gt;=2)*('CASE MASTER'!$AB$2:$AB$495&lt;=8)*('CASE MASTER'!$AD$2:$AD$495&gt;=8))*ROW('CASE MASTER'!$T$2:$T$495))-(ROW('CASE MASTER'!#REF!)-1)))+((2-INDEX('CASE MASTER'!$AA$2:$AA$495,(SUMPRODUCT((('CASE MASTER'!$T$2:$T$495=4)*('CASE MASTER'!$AA$2:$AA$495&lt;=2)*('CASE MASTER'!$AC$2:$AC$495&gt;=2)*('CASE MASTER'!$AB$2:$AB$495&lt;=8)*('CASE MASTER'!$AD$2:$AD$495&gt;=8))*ROW('CASE MASTER'!$T$2:$T$495))-(ROW('CASE MASTER'!#REF!)-1))))*(INDEX('CASE MASTER'!$AD$2:$AD$495,(SUMPRODUCT((('CASE MASTER'!$T$2:$T$495=4)*('CASE MASTER'!$AA$2:$AA$495&lt;=2)*('CASE MASTER'!$AC$2:$AC$495&gt;=2)*('CASE MASTER'!$AB$2:$AB$495&lt;=8)*('CASE MASTER'!$AD$2:$AD$495&gt;=8))*ROW('CASE MASTER'!$T$2:$T$495))-(ROW('CASE MASTER'!#REF!)-1)))-INDEX('CASE MASTER'!$AB$2:$AB$495,(SUMPRODUCT((('CASE MASTER'!$T$2:$T$495=4)*('CASE MASTER'!$AA$2:$AA$495&lt;=2)*('CASE MASTER'!$AC$2:$AC$495&gt;=2)*('CASE MASTER'!$AB$2:$AB$495&lt;=8)*('CASE MASTER'!$AD$2:$AD$495&gt;=8))*ROW('CASE MASTER'!$T$2:$T$495))-(ROW('CASE MASTER'!#REF!)-1)))+1)+(8-INDEX('CASE MASTER'!$AB$2:$AB$495,(SUMPRODUCT((('CASE MASTER'!$T$2:$T$495=4)*('CASE MASTER'!$AA$2:$AA$495&lt;=2)*('CASE MASTER'!$AC$2:$AC$495&gt;=2)*('CASE MASTER'!$AB$2:$AB$495&lt;=8)*('CASE MASTER'!$AD$2:$AD$495&gt;=8))*ROW('CASE MASTER'!$T$2:$T$495))-(ROW('CASE MASTER'!#REF!)-1))))+1)))-1)*50+1,50))&amp;"_"&amp;INDEX('CASE MASTER'!$Q$2:$Q$495,(SUMPRODUCT((('CASE MASTER'!$T$2:$T$495=4)*('CASE MASTER'!$AA$2:$AA$495&lt;=2)*('CASE MASTER'!$AC$2:$AC$495&gt;=2)*('CASE MASTER'!$AB$2:$AB$495&lt;=8)*('CASE MASTER'!$AD$2:$AD$495&gt;=8))*ROW('CASE MASTER'!$T$2:$T$495))-(ROW('CASE MASTER'!#REF!)-1))),"")),"")</f>
        <v/>
      </c>
      <c r="J46" s="10" t="str">
        <f>IFERROR(IF(SUMPRODUCT((('CASE MASTER'!$T$2:$T$495=4)*('CASE MASTER'!$U$2:$U$495&lt;=2)*('CASE MASTER'!$W$2:$W$495&gt;=2)*('CASE MASTER'!$V$2:$V$495&lt;=9)*('CASE MASTER'!$X$2:$X$495&gt;=9))*ROW('CASE MASTER'!$T$2:$T$495))&gt;0,INDEX('CASE MASTER'!$Y$2:$Y$495,(SUMPRODUCT((('CASE MASTER'!$T$2:$T$495=4)*('CASE MASTER'!$U$2:$U$495&lt;=2)*('CASE MASTER'!$W$2:$W$495&gt;=2)*('CASE MASTER'!$V$2:$V$495&lt;=9)*('CASE MASTER'!$X$2:$X$495&gt;=9))*ROW('CASE MASTER'!$T$2:$T$495))-(ROW('CASE MASTER'!#REF!)-1)))&amp;TRIM(MID(SUBSTITUTE(SUBSTITUTE(INDEX('CASE MASTER'!$N$2:$N$495,(SUMPRODUCT((('CASE MASTER'!$T$2:$T$495=4)*('CASE MASTER'!$U$2:$U$495&lt;=2)*('CASE MASTER'!$W$2:$W$495&gt;=2)*('CASE MASTER'!$V$2:$V$495&lt;=9)*('CASE MASTER'!$X$2:$X$495&gt;=9))*ROW('CASE MASTER'!$T$2:$T$495))-(ROW('CASE MASTER'!#REF!)-1))),":",","),",",REPT(" ",50)),((((2-INDEX('CASE MASTER'!$U$2:$U$495,(SUMPRODUCT((('CASE MASTER'!$T$2:$T$495=4)*('CASE MASTER'!$U$2:$U$495&lt;=2)*('CASE MASTER'!$W$2:$W$495&gt;=2)*('CASE MASTER'!$V$2:$V$495&lt;=9)*('CASE MASTER'!$X$2:$X$495&gt;=9))*ROW('CASE MASTER'!$T$2:$T$495))-(ROW('CASE MASTER'!#REF!)-1))))*(INDEX('CASE MASTER'!$X$2:$X$495,(SUMPRODUCT((('CASE MASTER'!$T$2:$T$495=4)*('CASE MASTER'!$U$2:$U$495&lt;=2)*('CASE MASTER'!$W$2:$W$495&gt;=2)*('CASE MASTER'!$V$2:$V$495&lt;=9)*('CASE MASTER'!$X$2:$X$495&gt;=9))*ROW('CASE MASTER'!$T$2:$T$495))-(ROW('CASE MASTER'!#REF!)-1)))-INDEX('CASE MASTER'!$V$2:$V$495,(SUMPRODUCT((('CASE MASTER'!$T$2:$T$495=4)*('CASE MASTER'!$U$2:$U$495&lt;=2)*('CASE MASTER'!$W$2:$W$495&gt;=2)*('CASE MASTER'!$V$2:$V$495&lt;=9)*('CASE MASTER'!$X$2:$X$495&gt;=9))*ROW('CASE MASTER'!$T$2:$T$495))-(ROW('CASE MASTER'!#REF!)-1)))+1)+(9-INDEX('CASE MASTER'!$V$2:$V$495,(SUMPRODUCT((('CASE MASTER'!$T$2:$T$495=4)*('CASE MASTER'!$U$2:$U$495&lt;=2)*('CASE MASTER'!$W$2:$W$495&gt;=2)*('CASE MASTER'!$V$2:$V$495&lt;=9)*('CASE MASTER'!$X$2:$X$495&gt;=9))*ROW('CASE MASTER'!$T$2:$T$495))-(ROW('CASE MASTER'!#REF!)-1))))+1))-1)*50+1,50))&amp;"_"&amp;INDEX('CASE MASTER'!$Q$2:$Q$495,(SUMPRODUCT((('CASE MASTER'!$T$2:$T$495=4)*('CASE MASTER'!$U$2:$U$495&lt;=2)*('CASE MASTER'!$W$2:$W$495&gt;=2)*('CASE MASTER'!$V$2:$V$495&lt;=9)*('CASE MASTER'!$X$2:$X$495&gt;=9))*ROW('CASE MASTER'!$T$2:$T$495))-(ROW('CASE MASTER'!#REF!)-1))),IF(SUMPRODUCT((('CASE MASTER'!$T$2:$T$495=4)*('CASE MASTER'!$AA$2:$AA$495&lt;=2)*('CASE MASTER'!$AC$2:$AC$495&gt;=2)*('CASE MASTER'!$AB$2:$AB$495&lt;=9)*('CASE MASTER'!$AD$2:$AD$495&gt;=9))*ROW('CASE MASTER'!$T$2:$T$495))&gt;0,INDEX('CASE MASTER'!$Y$2:$Y$495,(SUMPRODUCT((('CASE MASTER'!$T$2:$T$495=4)*('CASE MASTER'!$AA$2:$AA$495&lt;=2)*('CASE MASTER'!$AC$2:$AC$495&gt;=2)*('CASE MASTER'!$AB$2:$AB$495&lt;=9)*('CASE MASTER'!$AD$2:$AD$495&gt;=9))*ROW('CASE MASTER'!$T$2:$T$495))-(ROW('CASE MASTER'!#REF!)-1)))&amp;TRIM(MID(SUBSTITUTE(SUBSTITUTE(INDEX('CASE MASTER'!$N$2:$N$495,(SUMPRODUCT((('CASE MASTER'!$T$2:$T$495=4)*('CASE MASTER'!$AA$2:$AA$495&lt;=2)*('CASE MASTER'!$AC$2:$AC$495&gt;=2)*('CASE MASTER'!$AB$2:$AB$495&lt;=9)*('CASE MASTER'!$AD$2:$AD$495&gt;=9))*ROW('CASE MASTER'!$T$2:$T$495))-(ROW('CASE MASTER'!#REF!)-1))),":",","),",",REPT(" ",50)),(((INDEX('CASE MASTER'!$Z$2:$Z$495,(SUMPRODUCT((('CASE MASTER'!$T$2:$T$495=4)*('CASE MASTER'!$AA$2:$AA$495&lt;=2)*('CASE MASTER'!$AC$2:$AC$495&gt;=2)*('CASE MASTER'!$AB$2:$AB$495&lt;=9)*('CASE MASTER'!$AD$2:$AD$495&gt;=9))*ROW('CASE MASTER'!$T$2:$T$495))-(ROW('CASE MASTER'!#REF!)-1)))+((2-INDEX('CASE MASTER'!$AA$2:$AA$495,(SUMPRODUCT((('CASE MASTER'!$T$2:$T$495=4)*('CASE MASTER'!$AA$2:$AA$495&lt;=2)*('CASE MASTER'!$AC$2:$AC$495&gt;=2)*('CASE MASTER'!$AB$2:$AB$495&lt;=9)*('CASE MASTER'!$AD$2:$AD$495&gt;=9))*ROW('CASE MASTER'!$T$2:$T$495))-(ROW('CASE MASTER'!#REF!)-1))))*(INDEX('CASE MASTER'!$AD$2:$AD$495,(SUMPRODUCT((('CASE MASTER'!$T$2:$T$495=4)*('CASE MASTER'!$AA$2:$AA$495&lt;=2)*('CASE MASTER'!$AC$2:$AC$495&gt;=2)*('CASE MASTER'!$AB$2:$AB$495&lt;=9)*('CASE MASTER'!$AD$2:$AD$495&gt;=9))*ROW('CASE MASTER'!$T$2:$T$495))-(ROW('CASE MASTER'!#REF!)-1)))-INDEX('CASE MASTER'!$AB$2:$AB$495,(SUMPRODUCT((('CASE MASTER'!$T$2:$T$495=4)*('CASE MASTER'!$AA$2:$AA$495&lt;=2)*('CASE MASTER'!$AC$2:$AC$495&gt;=2)*('CASE MASTER'!$AB$2:$AB$495&lt;=9)*('CASE MASTER'!$AD$2:$AD$495&gt;=9))*ROW('CASE MASTER'!$T$2:$T$495))-(ROW('CASE MASTER'!#REF!)-1)))+1)+(9-INDEX('CASE MASTER'!$AB$2:$AB$495,(SUMPRODUCT((('CASE MASTER'!$T$2:$T$495=4)*('CASE MASTER'!$AA$2:$AA$495&lt;=2)*('CASE MASTER'!$AC$2:$AC$495&gt;=2)*('CASE MASTER'!$AB$2:$AB$495&lt;=9)*('CASE MASTER'!$AD$2:$AD$495&gt;=9))*ROW('CASE MASTER'!$T$2:$T$495))-(ROW('CASE MASTER'!#REF!)-1))))+1)))-1)*50+1,50))&amp;"_"&amp;INDEX('CASE MASTER'!$Q$2:$Q$495,(SUMPRODUCT((('CASE MASTER'!$T$2:$T$495=4)*('CASE MASTER'!$AA$2:$AA$495&lt;=2)*('CASE MASTER'!$AC$2:$AC$495&gt;=2)*('CASE MASTER'!$AB$2:$AB$495&lt;=9)*('CASE MASTER'!$AD$2:$AD$495&gt;=9))*ROW('CASE MASTER'!$T$2:$T$495))-(ROW('CASE MASTER'!#REF!)-1))),"")),"")</f>
        <v/>
      </c>
      <c r="K46" s="10" t="str">
        <f>IFERROR(IF(SUMPRODUCT((('CASE MASTER'!$T$2:$T$495=4)*('CASE MASTER'!$U$2:$U$495&lt;=2)*('CASE MASTER'!$W$2:$W$495&gt;=2)*('CASE MASTER'!$V$2:$V$495&lt;=10)*('CASE MASTER'!$X$2:$X$495&gt;=10))*ROW('CASE MASTER'!$T$2:$T$495))&gt;0,INDEX('CASE MASTER'!$Y$2:$Y$495,(SUMPRODUCT((('CASE MASTER'!$T$2:$T$495=4)*('CASE MASTER'!$U$2:$U$495&lt;=2)*('CASE MASTER'!$W$2:$W$495&gt;=2)*('CASE MASTER'!$V$2:$V$495&lt;=10)*('CASE MASTER'!$X$2:$X$495&gt;=10))*ROW('CASE MASTER'!$T$2:$T$495))-(ROW('CASE MASTER'!#REF!)-1)))&amp;TRIM(MID(SUBSTITUTE(SUBSTITUTE(INDEX('CASE MASTER'!$N$2:$N$495,(SUMPRODUCT((('CASE MASTER'!$T$2:$T$495=4)*('CASE MASTER'!$U$2:$U$495&lt;=2)*('CASE MASTER'!$W$2:$W$495&gt;=2)*('CASE MASTER'!$V$2:$V$495&lt;=10)*('CASE MASTER'!$X$2:$X$495&gt;=10))*ROW('CASE MASTER'!$T$2:$T$495))-(ROW('CASE MASTER'!#REF!)-1))),":",","),",",REPT(" ",50)),((((2-INDEX('CASE MASTER'!$U$2:$U$495,(SUMPRODUCT((('CASE MASTER'!$T$2:$T$495=4)*('CASE MASTER'!$U$2:$U$495&lt;=2)*('CASE MASTER'!$W$2:$W$495&gt;=2)*('CASE MASTER'!$V$2:$V$495&lt;=10)*('CASE MASTER'!$X$2:$X$495&gt;=10))*ROW('CASE MASTER'!$T$2:$T$495))-(ROW('CASE MASTER'!#REF!)-1))))*(INDEX('CASE MASTER'!$X$2:$X$495,(SUMPRODUCT((('CASE MASTER'!$T$2:$T$495=4)*('CASE MASTER'!$U$2:$U$495&lt;=2)*('CASE MASTER'!$W$2:$W$495&gt;=2)*('CASE MASTER'!$V$2:$V$495&lt;=10)*('CASE MASTER'!$X$2:$X$495&gt;=10))*ROW('CASE MASTER'!$T$2:$T$495))-(ROW('CASE MASTER'!#REF!)-1)))-INDEX('CASE MASTER'!$V$2:$V$495,(SUMPRODUCT((('CASE MASTER'!$T$2:$T$495=4)*('CASE MASTER'!$U$2:$U$495&lt;=2)*('CASE MASTER'!$W$2:$W$495&gt;=2)*('CASE MASTER'!$V$2:$V$495&lt;=10)*('CASE MASTER'!$X$2:$X$495&gt;=10))*ROW('CASE MASTER'!$T$2:$T$495))-(ROW('CASE MASTER'!#REF!)-1)))+1)+(10-INDEX('CASE MASTER'!$V$2:$V$495,(SUMPRODUCT((('CASE MASTER'!$T$2:$T$495=4)*('CASE MASTER'!$U$2:$U$495&lt;=2)*('CASE MASTER'!$W$2:$W$495&gt;=2)*('CASE MASTER'!$V$2:$V$495&lt;=10)*('CASE MASTER'!$X$2:$X$495&gt;=10))*ROW('CASE MASTER'!$T$2:$T$495))-(ROW('CASE MASTER'!#REF!)-1))))+1))-1)*50+1,50))&amp;"_"&amp;INDEX('CASE MASTER'!$Q$2:$Q$495,(SUMPRODUCT((('CASE MASTER'!$T$2:$T$495=4)*('CASE MASTER'!$U$2:$U$495&lt;=2)*('CASE MASTER'!$W$2:$W$495&gt;=2)*('CASE MASTER'!$V$2:$V$495&lt;=10)*('CASE MASTER'!$X$2:$X$495&gt;=10))*ROW('CASE MASTER'!$T$2:$T$495))-(ROW('CASE MASTER'!#REF!)-1))),IF(SUMPRODUCT((('CASE MASTER'!$T$2:$T$495=4)*('CASE MASTER'!$AA$2:$AA$495&lt;=2)*('CASE MASTER'!$AC$2:$AC$495&gt;=2)*('CASE MASTER'!$AB$2:$AB$495&lt;=10)*('CASE MASTER'!$AD$2:$AD$495&gt;=10))*ROW('CASE MASTER'!$T$2:$T$495))&gt;0,INDEX('CASE MASTER'!$Y$2:$Y$495,(SUMPRODUCT((('CASE MASTER'!$T$2:$T$495=4)*('CASE MASTER'!$AA$2:$AA$495&lt;=2)*('CASE MASTER'!$AC$2:$AC$495&gt;=2)*('CASE MASTER'!$AB$2:$AB$495&lt;=10)*('CASE MASTER'!$AD$2:$AD$495&gt;=10))*ROW('CASE MASTER'!$T$2:$T$495))-(ROW('CASE MASTER'!#REF!)-1)))&amp;TRIM(MID(SUBSTITUTE(SUBSTITUTE(INDEX('CASE MASTER'!$N$2:$N$495,(SUMPRODUCT((('CASE MASTER'!$T$2:$T$495=4)*('CASE MASTER'!$AA$2:$AA$495&lt;=2)*('CASE MASTER'!$AC$2:$AC$495&gt;=2)*('CASE MASTER'!$AB$2:$AB$495&lt;=10)*('CASE MASTER'!$AD$2:$AD$495&gt;=10))*ROW('CASE MASTER'!$T$2:$T$495))-(ROW('CASE MASTER'!#REF!)-1))),":",","),",",REPT(" ",50)),(((INDEX('CASE MASTER'!$Z$2:$Z$495,(SUMPRODUCT((('CASE MASTER'!$T$2:$T$495=4)*('CASE MASTER'!$AA$2:$AA$495&lt;=2)*('CASE MASTER'!$AC$2:$AC$495&gt;=2)*('CASE MASTER'!$AB$2:$AB$495&lt;=10)*('CASE MASTER'!$AD$2:$AD$495&gt;=10))*ROW('CASE MASTER'!$T$2:$T$495))-(ROW('CASE MASTER'!#REF!)-1)))+((2-INDEX('CASE MASTER'!$AA$2:$AA$495,(SUMPRODUCT((('CASE MASTER'!$T$2:$T$495=4)*('CASE MASTER'!$AA$2:$AA$495&lt;=2)*('CASE MASTER'!$AC$2:$AC$495&gt;=2)*('CASE MASTER'!$AB$2:$AB$495&lt;=10)*('CASE MASTER'!$AD$2:$AD$495&gt;=10))*ROW('CASE MASTER'!$T$2:$T$495))-(ROW('CASE MASTER'!#REF!)-1))))*(INDEX('CASE MASTER'!$AD$2:$AD$495,(SUMPRODUCT((('CASE MASTER'!$T$2:$T$495=4)*('CASE MASTER'!$AA$2:$AA$495&lt;=2)*('CASE MASTER'!$AC$2:$AC$495&gt;=2)*('CASE MASTER'!$AB$2:$AB$495&lt;=10)*('CASE MASTER'!$AD$2:$AD$495&gt;=10))*ROW('CASE MASTER'!$T$2:$T$495))-(ROW('CASE MASTER'!#REF!)-1)))-INDEX('CASE MASTER'!$AB$2:$AB$495,(SUMPRODUCT((('CASE MASTER'!$T$2:$T$495=4)*('CASE MASTER'!$AA$2:$AA$495&lt;=2)*('CASE MASTER'!$AC$2:$AC$495&gt;=2)*('CASE MASTER'!$AB$2:$AB$495&lt;=10)*('CASE MASTER'!$AD$2:$AD$495&gt;=10))*ROW('CASE MASTER'!$T$2:$T$495))-(ROW('CASE MASTER'!#REF!)-1)))+1)+(10-INDEX('CASE MASTER'!$AB$2:$AB$495,(SUMPRODUCT((('CASE MASTER'!$T$2:$T$495=4)*('CASE MASTER'!$AA$2:$AA$495&lt;=2)*('CASE MASTER'!$AC$2:$AC$495&gt;=2)*('CASE MASTER'!$AB$2:$AB$495&lt;=10)*('CASE MASTER'!$AD$2:$AD$495&gt;=10))*ROW('CASE MASTER'!$T$2:$T$495))-(ROW('CASE MASTER'!#REF!)-1))))+1)))-1)*50+1,50))&amp;"_"&amp;INDEX('CASE MASTER'!$Q$2:$Q$495,(SUMPRODUCT((('CASE MASTER'!$T$2:$T$495=4)*('CASE MASTER'!$AA$2:$AA$495&lt;=2)*('CASE MASTER'!$AC$2:$AC$495&gt;=2)*('CASE MASTER'!$AB$2:$AB$495&lt;=10)*('CASE MASTER'!$AD$2:$AD$495&gt;=10))*ROW('CASE MASTER'!$T$2:$T$495))-(ROW('CASE MASTER'!#REF!)-1))),"")),"")</f>
        <v/>
      </c>
    </row>
    <row r="47" spans="1:11" ht="15" customHeight="1" x14ac:dyDescent="0.35">
      <c r="A47" s="8" t="s">
        <v>30</v>
      </c>
      <c r="B47" s="10" t="str">
        <f>IFERROR(IF(SUMPRODUCT((('CASE MASTER'!$T$2:$T$495=4)*('CASE MASTER'!$U$2:$U$495&lt;=3)*('CASE MASTER'!$W$2:$W$495&gt;=3)*('CASE MASTER'!$V$2:$V$495&lt;=1)*('CASE MASTER'!$X$2:$X$495&gt;=1))*ROW('CASE MASTER'!$T$2:$T$495))&gt;0,INDEX('CASE MASTER'!$Y$2:$Y$495,(SUMPRODUCT((('CASE MASTER'!$T$2:$T$495=4)*('CASE MASTER'!$U$2:$U$495&lt;=3)*('CASE MASTER'!$W$2:$W$495&gt;=3)*('CASE MASTER'!$V$2:$V$495&lt;=1)*('CASE MASTER'!$X$2:$X$495&gt;=1))*ROW('CASE MASTER'!$T$2:$T$495))-(ROW('CASE MASTER'!#REF!)-1)))&amp;TRIM(MID(SUBSTITUTE(SUBSTITUTE(INDEX('CASE MASTER'!$N$2:$N$495,(SUMPRODUCT((('CASE MASTER'!$T$2:$T$495=4)*('CASE MASTER'!$U$2:$U$495&lt;=3)*('CASE MASTER'!$W$2:$W$495&gt;=3)*('CASE MASTER'!$V$2:$V$495&lt;=1)*('CASE MASTER'!$X$2:$X$495&gt;=1))*ROW('CASE MASTER'!$T$2:$T$495))-(ROW('CASE MASTER'!#REF!)-1))),":",","),",",REPT(" ",50)),((((3-INDEX('CASE MASTER'!$U$2:$U$495,(SUMPRODUCT((('CASE MASTER'!$T$2:$T$495=4)*('CASE MASTER'!$U$2:$U$495&lt;=3)*('CASE MASTER'!$W$2:$W$495&gt;=3)*('CASE MASTER'!$V$2:$V$495&lt;=1)*('CASE MASTER'!$X$2:$X$495&gt;=1))*ROW('CASE MASTER'!$T$2:$T$495))-(ROW('CASE MASTER'!#REF!)-1))))*(INDEX('CASE MASTER'!$X$2:$X$495,(SUMPRODUCT((('CASE MASTER'!$T$2:$T$495=4)*('CASE MASTER'!$U$2:$U$495&lt;=3)*('CASE MASTER'!$W$2:$W$495&gt;=3)*('CASE MASTER'!$V$2:$V$495&lt;=1)*('CASE MASTER'!$X$2:$X$495&gt;=1))*ROW('CASE MASTER'!$T$2:$T$495))-(ROW('CASE MASTER'!#REF!)-1)))-INDEX('CASE MASTER'!$V$2:$V$495,(SUMPRODUCT((('CASE MASTER'!$T$2:$T$495=4)*('CASE MASTER'!$U$2:$U$495&lt;=3)*('CASE MASTER'!$W$2:$W$495&gt;=3)*('CASE MASTER'!$V$2:$V$495&lt;=1)*('CASE MASTER'!$X$2:$X$495&gt;=1))*ROW('CASE MASTER'!$T$2:$T$495))-(ROW('CASE MASTER'!#REF!)-1)))+1)+(1-INDEX('CASE MASTER'!$V$2:$V$495,(SUMPRODUCT((('CASE MASTER'!$T$2:$T$495=4)*('CASE MASTER'!$U$2:$U$495&lt;=3)*('CASE MASTER'!$W$2:$W$495&gt;=3)*('CASE MASTER'!$V$2:$V$495&lt;=1)*('CASE MASTER'!$X$2:$X$495&gt;=1))*ROW('CASE MASTER'!$T$2:$T$495))-(ROW('CASE MASTER'!#REF!)-1))))+1))-1)*50+1,50))&amp;"_"&amp;INDEX('CASE MASTER'!$Q$2:$Q$495,(SUMPRODUCT((('CASE MASTER'!$T$2:$T$495=4)*('CASE MASTER'!$U$2:$U$495&lt;=3)*('CASE MASTER'!$W$2:$W$495&gt;=3)*('CASE MASTER'!$V$2:$V$495&lt;=1)*('CASE MASTER'!$X$2:$X$495&gt;=1))*ROW('CASE MASTER'!$T$2:$T$495))-(ROW('CASE MASTER'!#REF!)-1))),IF(SUMPRODUCT((('CASE MASTER'!$T$2:$T$495=4)*('CASE MASTER'!$AA$2:$AA$495&lt;=3)*('CASE MASTER'!$AC$2:$AC$495&gt;=3)*('CASE MASTER'!$AB$2:$AB$495&lt;=1)*('CASE MASTER'!$AD$2:$AD$495&gt;=1))*ROW('CASE MASTER'!$T$2:$T$495))&gt;0,INDEX('CASE MASTER'!$Y$2:$Y$495,(SUMPRODUCT((('CASE MASTER'!$T$2:$T$495=4)*('CASE MASTER'!$AA$2:$AA$495&lt;=3)*('CASE MASTER'!$AC$2:$AC$495&gt;=3)*('CASE MASTER'!$AB$2:$AB$495&lt;=1)*('CASE MASTER'!$AD$2:$AD$495&gt;=1))*ROW('CASE MASTER'!$T$2:$T$495))-(ROW('CASE MASTER'!#REF!)-1)))&amp;TRIM(MID(SUBSTITUTE(SUBSTITUTE(INDEX('CASE MASTER'!$N$2:$N$495,(SUMPRODUCT((('CASE MASTER'!$T$2:$T$495=4)*('CASE MASTER'!$AA$2:$AA$495&lt;=3)*('CASE MASTER'!$AC$2:$AC$495&gt;=3)*('CASE MASTER'!$AB$2:$AB$495&lt;=1)*('CASE MASTER'!$AD$2:$AD$495&gt;=1))*ROW('CASE MASTER'!$T$2:$T$495))-(ROW('CASE MASTER'!#REF!)-1))),":",","),",",REPT(" ",50)),(((INDEX('CASE MASTER'!$Z$2:$Z$495,(SUMPRODUCT((('CASE MASTER'!$T$2:$T$495=4)*('CASE MASTER'!$AA$2:$AA$495&lt;=3)*('CASE MASTER'!$AC$2:$AC$495&gt;=3)*('CASE MASTER'!$AB$2:$AB$495&lt;=1)*('CASE MASTER'!$AD$2:$AD$495&gt;=1))*ROW('CASE MASTER'!$T$2:$T$495))-(ROW('CASE MASTER'!#REF!)-1)))+((3-INDEX('CASE MASTER'!$AA$2:$AA$495,(SUMPRODUCT((('CASE MASTER'!$T$2:$T$495=4)*('CASE MASTER'!$AA$2:$AA$495&lt;=3)*('CASE MASTER'!$AC$2:$AC$495&gt;=3)*('CASE MASTER'!$AB$2:$AB$495&lt;=1)*('CASE MASTER'!$AD$2:$AD$495&gt;=1))*ROW('CASE MASTER'!$T$2:$T$495))-(ROW('CASE MASTER'!#REF!)-1))))*(INDEX('CASE MASTER'!$AD$2:$AD$495,(SUMPRODUCT((('CASE MASTER'!$T$2:$T$495=4)*('CASE MASTER'!$AA$2:$AA$495&lt;=3)*('CASE MASTER'!$AC$2:$AC$495&gt;=3)*('CASE MASTER'!$AB$2:$AB$495&lt;=1)*('CASE MASTER'!$AD$2:$AD$495&gt;=1))*ROW('CASE MASTER'!$T$2:$T$495))-(ROW('CASE MASTER'!#REF!)-1)))-INDEX('CASE MASTER'!$AB$2:$AB$495,(SUMPRODUCT((('CASE MASTER'!$T$2:$T$495=4)*('CASE MASTER'!$AA$2:$AA$495&lt;=3)*('CASE MASTER'!$AC$2:$AC$495&gt;=3)*('CASE MASTER'!$AB$2:$AB$495&lt;=1)*('CASE MASTER'!$AD$2:$AD$495&gt;=1))*ROW('CASE MASTER'!$T$2:$T$495))-(ROW('CASE MASTER'!#REF!)-1)))+1)+(1-INDEX('CASE MASTER'!$AB$2:$AB$495,(SUMPRODUCT((('CASE MASTER'!$T$2:$T$495=4)*('CASE MASTER'!$AA$2:$AA$495&lt;=3)*('CASE MASTER'!$AC$2:$AC$495&gt;=3)*('CASE MASTER'!$AB$2:$AB$495&lt;=1)*('CASE MASTER'!$AD$2:$AD$495&gt;=1))*ROW('CASE MASTER'!$T$2:$T$495))-(ROW('CASE MASTER'!#REF!)-1))))+1)))-1)*50+1,50))&amp;"_"&amp;INDEX('CASE MASTER'!$Q$2:$Q$495,(SUMPRODUCT((('CASE MASTER'!$T$2:$T$495=4)*('CASE MASTER'!$AA$2:$AA$495&lt;=3)*('CASE MASTER'!$AC$2:$AC$495&gt;=3)*('CASE MASTER'!$AB$2:$AB$495&lt;=1)*('CASE MASTER'!$AD$2:$AD$495&gt;=1))*ROW('CASE MASTER'!$T$2:$T$495))-(ROW('CASE MASTER'!#REF!)-1))),"")),"")</f>
        <v/>
      </c>
      <c r="C47" s="10" t="str">
        <f>IFERROR(IF(SUMPRODUCT((('CASE MASTER'!$T$2:$T$495=4)*('CASE MASTER'!$U$2:$U$495&lt;=3)*('CASE MASTER'!$W$2:$W$495&gt;=3)*('CASE MASTER'!$V$2:$V$495&lt;=2)*('CASE MASTER'!$X$2:$X$495&gt;=2))*ROW('CASE MASTER'!$T$2:$T$495))&gt;0,INDEX('CASE MASTER'!$Y$2:$Y$495,(SUMPRODUCT((('CASE MASTER'!$T$2:$T$495=4)*('CASE MASTER'!$U$2:$U$495&lt;=3)*('CASE MASTER'!$W$2:$W$495&gt;=3)*('CASE MASTER'!$V$2:$V$495&lt;=2)*('CASE MASTER'!$X$2:$X$495&gt;=2))*ROW('CASE MASTER'!$T$2:$T$495))-(ROW('CASE MASTER'!#REF!)-1)))&amp;TRIM(MID(SUBSTITUTE(SUBSTITUTE(INDEX('CASE MASTER'!$N$2:$N$495,(SUMPRODUCT((('CASE MASTER'!$T$2:$T$495=4)*('CASE MASTER'!$U$2:$U$495&lt;=3)*('CASE MASTER'!$W$2:$W$495&gt;=3)*('CASE MASTER'!$V$2:$V$495&lt;=2)*('CASE MASTER'!$X$2:$X$495&gt;=2))*ROW('CASE MASTER'!$T$2:$T$495))-(ROW('CASE MASTER'!#REF!)-1))),":",","),",",REPT(" ",50)),((((3-INDEX('CASE MASTER'!$U$2:$U$495,(SUMPRODUCT((('CASE MASTER'!$T$2:$T$495=4)*('CASE MASTER'!$U$2:$U$495&lt;=3)*('CASE MASTER'!$W$2:$W$495&gt;=3)*('CASE MASTER'!$V$2:$V$495&lt;=2)*('CASE MASTER'!$X$2:$X$495&gt;=2))*ROW('CASE MASTER'!$T$2:$T$495))-(ROW('CASE MASTER'!#REF!)-1))))*(INDEX('CASE MASTER'!$X$2:$X$495,(SUMPRODUCT((('CASE MASTER'!$T$2:$T$495=4)*('CASE MASTER'!$U$2:$U$495&lt;=3)*('CASE MASTER'!$W$2:$W$495&gt;=3)*('CASE MASTER'!$V$2:$V$495&lt;=2)*('CASE MASTER'!$X$2:$X$495&gt;=2))*ROW('CASE MASTER'!$T$2:$T$495))-(ROW('CASE MASTER'!#REF!)-1)))-INDEX('CASE MASTER'!$V$2:$V$495,(SUMPRODUCT((('CASE MASTER'!$T$2:$T$495=4)*('CASE MASTER'!$U$2:$U$495&lt;=3)*('CASE MASTER'!$W$2:$W$495&gt;=3)*('CASE MASTER'!$V$2:$V$495&lt;=2)*('CASE MASTER'!$X$2:$X$495&gt;=2))*ROW('CASE MASTER'!$T$2:$T$495))-(ROW('CASE MASTER'!#REF!)-1)))+1)+(2-INDEX('CASE MASTER'!$V$2:$V$495,(SUMPRODUCT((('CASE MASTER'!$T$2:$T$495=4)*('CASE MASTER'!$U$2:$U$495&lt;=3)*('CASE MASTER'!$W$2:$W$495&gt;=3)*('CASE MASTER'!$V$2:$V$495&lt;=2)*('CASE MASTER'!$X$2:$X$495&gt;=2))*ROW('CASE MASTER'!$T$2:$T$495))-(ROW('CASE MASTER'!#REF!)-1))))+1))-1)*50+1,50))&amp;"_"&amp;INDEX('CASE MASTER'!$Q$2:$Q$495,(SUMPRODUCT((('CASE MASTER'!$T$2:$T$495=4)*('CASE MASTER'!$U$2:$U$495&lt;=3)*('CASE MASTER'!$W$2:$W$495&gt;=3)*('CASE MASTER'!$V$2:$V$495&lt;=2)*('CASE MASTER'!$X$2:$X$495&gt;=2))*ROW('CASE MASTER'!$T$2:$T$495))-(ROW('CASE MASTER'!#REF!)-1))),IF(SUMPRODUCT((('CASE MASTER'!$T$2:$T$495=4)*('CASE MASTER'!$AA$2:$AA$495&lt;=3)*('CASE MASTER'!$AC$2:$AC$495&gt;=3)*('CASE MASTER'!$AB$2:$AB$495&lt;=2)*('CASE MASTER'!$AD$2:$AD$495&gt;=2))*ROW('CASE MASTER'!$T$2:$T$495))&gt;0,INDEX('CASE MASTER'!$Y$2:$Y$495,(SUMPRODUCT((('CASE MASTER'!$T$2:$T$495=4)*('CASE MASTER'!$AA$2:$AA$495&lt;=3)*('CASE MASTER'!$AC$2:$AC$495&gt;=3)*('CASE MASTER'!$AB$2:$AB$495&lt;=2)*('CASE MASTER'!$AD$2:$AD$495&gt;=2))*ROW('CASE MASTER'!$T$2:$T$495))-(ROW('CASE MASTER'!#REF!)-1)))&amp;TRIM(MID(SUBSTITUTE(SUBSTITUTE(INDEX('CASE MASTER'!$N$2:$N$495,(SUMPRODUCT((('CASE MASTER'!$T$2:$T$495=4)*('CASE MASTER'!$AA$2:$AA$495&lt;=3)*('CASE MASTER'!$AC$2:$AC$495&gt;=3)*('CASE MASTER'!$AB$2:$AB$495&lt;=2)*('CASE MASTER'!$AD$2:$AD$495&gt;=2))*ROW('CASE MASTER'!$T$2:$T$495))-(ROW('CASE MASTER'!#REF!)-1))),":",","),",",REPT(" ",50)),(((INDEX('CASE MASTER'!$Z$2:$Z$495,(SUMPRODUCT((('CASE MASTER'!$T$2:$T$495=4)*('CASE MASTER'!$AA$2:$AA$495&lt;=3)*('CASE MASTER'!$AC$2:$AC$495&gt;=3)*('CASE MASTER'!$AB$2:$AB$495&lt;=2)*('CASE MASTER'!$AD$2:$AD$495&gt;=2))*ROW('CASE MASTER'!$T$2:$T$495))-(ROW('CASE MASTER'!#REF!)-1)))+((3-INDEX('CASE MASTER'!$AA$2:$AA$495,(SUMPRODUCT((('CASE MASTER'!$T$2:$T$495=4)*('CASE MASTER'!$AA$2:$AA$495&lt;=3)*('CASE MASTER'!$AC$2:$AC$495&gt;=3)*('CASE MASTER'!$AB$2:$AB$495&lt;=2)*('CASE MASTER'!$AD$2:$AD$495&gt;=2))*ROW('CASE MASTER'!$T$2:$T$495))-(ROW('CASE MASTER'!#REF!)-1))))*(INDEX('CASE MASTER'!$AD$2:$AD$495,(SUMPRODUCT((('CASE MASTER'!$T$2:$T$495=4)*('CASE MASTER'!$AA$2:$AA$495&lt;=3)*('CASE MASTER'!$AC$2:$AC$495&gt;=3)*('CASE MASTER'!$AB$2:$AB$495&lt;=2)*('CASE MASTER'!$AD$2:$AD$495&gt;=2))*ROW('CASE MASTER'!$T$2:$T$495))-(ROW('CASE MASTER'!#REF!)-1)))-INDEX('CASE MASTER'!$AB$2:$AB$495,(SUMPRODUCT((('CASE MASTER'!$T$2:$T$495=4)*('CASE MASTER'!$AA$2:$AA$495&lt;=3)*('CASE MASTER'!$AC$2:$AC$495&gt;=3)*('CASE MASTER'!$AB$2:$AB$495&lt;=2)*('CASE MASTER'!$AD$2:$AD$495&gt;=2))*ROW('CASE MASTER'!$T$2:$T$495))-(ROW('CASE MASTER'!#REF!)-1)))+1)+(2-INDEX('CASE MASTER'!$AB$2:$AB$495,(SUMPRODUCT((('CASE MASTER'!$T$2:$T$495=4)*('CASE MASTER'!$AA$2:$AA$495&lt;=3)*('CASE MASTER'!$AC$2:$AC$495&gt;=3)*('CASE MASTER'!$AB$2:$AB$495&lt;=2)*('CASE MASTER'!$AD$2:$AD$495&gt;=2))*ROW('CASE MASTER'!$T$2:$T$495))-(ROW('CASE MASTER'!#REF!)-1))))+1)))-1)*50+1,50))&amp;"_"&amp;INDEX('CASE MASTER'!$Q$2:$Q$495,(SUMPRODUCT((('CASE MASTER'!$T$2:$T$495=4)*('CASE MASTER'!$AA$2:$AA$495&lt;=3)*('CASE MASTER'!$AC$2:$AC$495&gt;=3)*('CASE MASTER'!$AB$2:$AB$495&lt;=2)*('CASE MASTER'!$AD$2:$AD$495&gt;=2))*ROW('CASE MASTER'!$T$2:$T$495))-(ROW('CASE MASTER'!#REF!)-1))),"")),"")</f>
        <v/>
      </c>
      <c r="D47" s="10" t="str">
        <f>IFERROR(IF(SUMPRODUCT((('CASE MASTER'!$T$2:$T$495=4)*('CASE MASTER'!$U$2:$U$495&lt;=3)*('CASE MASTER'!$W$2:$W$495&gt;=3)*('CASE MASTER'!$V$2:$V$495&lt;=3)*('CASE MASTER'!$X$2:$X$495&gt;=3))*ROW('CASE MASTER'!$T$2:$T$495))&gt;0,INDEX('CASE MASTER'!$Y$2:$Y$495,(SUMPRODUCT((('CASE MASTER'!$T$2:$T$495=4)*('CASE MASTER'!$U$2:$U$495&lt;=3)*('CASE MASTER'!$W$2:$W$495&gt;=3)*('CASE MASTER'!$V$2:$V$495&lt;=3)*('CASE MASTER'!$X$2:$X$495&gt;=3))*ROW('CASE MASTER'!$T$2:$T$495))-(ROW('CASE MASTER'!#REF!)-1)))&amp;TRIM(MID(SUBSTITUTE(SUBSTITUTE(INDEX('CASE MASTER'!$N$2:$N$495,(SUMPRODUCT((('CASE MASTER'!$T$2:$T$495=4)*('CASE MASTER'!$U$2:$U$495&lt;=3)*('CASE MASTER'!$W$2:$W$495&gt;=3)*('CASE MASTER'!$V$2:$V$495&lt;=3)*('CASE MASTER'!$X$2:$X$495&gt;=3))*ROW('CASE MASTER'!$T$2:$T$495))-(ROW('CASE MASTER'!#REF!)-1))),":",","),",",REPT(" ",50)),((((3-INDEX('CASE MASTER'!$U$2:$U$495,(SUMPRODUCT((('CASE MASTER'!$T$2:$T$495=4)*('CASE MASTER'!$U$2:$U$495&lt;=3)*('CASE MASTER'!$W$2:$W$495&gt;=3)*('CASE MASTER'!$V$2:$V$495&lt;=3)*('CASE MASTER'!$X$2:$X$495&gt;=3))*ROW('CASE MASTER'!$T$2:$T$495))-(ROW('CASE MASTER'!#REF!)-1))))*(INDEX('CASE MASTER'!$X$2:$X$495,(SUMPRODUCT((('CASE MASTER'!$T$2:$T$495=4)*('CASE MASTER'!$U$2:$U$495&lt;=3)*('CASE MASTER'!$W$2:$W$495&gt;=3)*('CASE MASTER'!$V$2:$V$495&lt;=3)*('CASE MASTER'!$X$2:$X$495&gt;=3))*ROW('CASE MASTER'!$T$2:$T$495))-(ROW('CASE MASTER'!#REF!)-1)))-INDEX('CASE MASTER'!$V$2:$V$495,(SUMPRODUCT((('CASE MASTER'!$T$2:$T$495=4)*('CASE MASTER'!$U$2:$U$495&lt;=3)*('CASE MASTER'!$W$2:$W$495&gt;=3)*('CASE MASTER'!$V$2:$V$495&lt;=3)*('CASE MASTER'!$X$2:$X$495&gt;=3))*ROW('CASE MASTER'!$T$2:$T$495))-(ROW('CASE MASTER'!#REF!)-1)))+1)+(3-INDEX('CASE MASTER'!$V$2:$V$495,(SUMPRODUCT((('CASE MASTER'!$T$2:$T$495=4)*('CASE MASTER'!$U$2:$U$495&lt;=3)*('CASE MASTER'!$W$2:$W$495&gt;=3)*('CASE MASTER'!$V$2:$V$495&lt;=3)*('CASE MASTER'!$X$2:$X$495&gt;=3))*ROW('CASE MASTER'!$T$2:$T$495))-(ROW('CASE MASTER'!#REF!)-1))))+1))-1)*50+1,50))&amp;"_"&amp;INDEX('CASE MASTER'!$Q$2:$Q$495,(SUMPRODUCT((('CASE MASTER'!$T$2:$T$495=4)*('CASE MASTER'!$U$2:$U$495&lt;=3)*('CASE MASTER'!$W$2:$W$495&gt;=3)*('CASE MASTER'!$V$2:$V$495&lt;=3)*('CASE MASTER'!$X$2:$X$495&gt;=3))*ROW('CASE MASTER'!$T$2:$T$495))-(ROW('CASE MASTER'!#REF!)-1))),IF(SUMPRODUCT((('CASE MASTER'!$T$2:$T$495=4)*('CASE MASTER'!$AA$2:$AA$495&lt;=3)*('CASE MASTER'!$AC$2:$AC$495&gt;=3)*('CASE MASTER'!$AB$2:$AB$495&lt;=3)*('CASE MASTER'!$AD$2:$AD$495&gt;=3))*ROW('CASE MASTER'!$T$2:$T$495))&gt;0,INDEX('CASE MASTER'!$Y$2:$Y$495,(SUMPRODUCT((('CASE MASTER'!$T$2:$T$495=4)*('CASE MASTER'!$AA$2:$AA$495&lt;=3)*('CASE MASTER'!$AC$2:$AC$495&gt;=3)*('CASE MASTER'!$AB$2:$AB$495&lt;=3)*('CASE MASTER'!$AD$2:$AD$495&gt;=3))*ROW('CASE MASTER'!$T$2:$T$495))-(ROW('CASE MASTER'!#REF!)-1)))&amp;TRIM(MID(SUBSTITUTE(SUBSTITUTE(INDEX('CASE MASTER'!$N$2:$N$495,(SUMPRODUCT((('CASE MASTER'!$T$2:$T$495=4)*('CASE MASTER'!$AA$2:$AA$495&lt;=3)*('CASE MASTER'!$AC$2:$AC$495&gt;=3)*('CASE MASTER'!$AB$2:$AB$495&lt;=3)*('CASE MASTER'!$AD$2:$AD$495&gt;=3))*ROW('CASE MASTER'!$T$2:$T$495))-(ROW('CASE MASTER'!#REF!)-1))),":",","),",",REPT(" ",50)),(((INDEX('CASE MASTER'!$Z$2:$Z$495,(SUMPRODUCT((('CASE MASTER'!$T$2:$T$495=4)*('CASE MASTER'!$AA$2:$AA$495&lt;=3)*('CASE MASTER'!$AC$2:$AC$495&gt;=3)*('CASE MASTER'!$AB$2:$AB$495&lt;=3)*('CASE MASTER'!$AD$2:$AD$495&gt;=3))*ROW('CASE MASTER'!$T$2:$T$495))-(ROW('CASE MASTER'!#REF!)-1)))+((3-INDEX('CASE MASTER'!$AA$2:$AA$495,(SUMPRODUCT((('CASE MASTER'!$T$2:$T$495=4)*('CASE MASTER'!$AA$2:$AA$495&lt;=3)*('CASE MASTER'!$AC$2:$AC$495&gt;=3)*('CASE MASTER'!$AB$2:$AB$495&lt;=3)*('CASE MASTER'!$AD$2:$AD$495&gt;=3))*ROW('CASE MASTER'!$T$2:$T$495))-(ROW('CASE MASTER'!#REF!)-1))))*(INDEX('CASE MASTER'!$AD$2:$AD$495,(SUMPRODUCT((('CASE MASTER'!$T$2:$T$495=4)*('CASE MASTER'!$AA$2:$AA$495&lt;=3)*('CASE MASTER'!$AC$2:$AC$495&gt;=3)*('CASE MASTER'!$AB$2:$AB$495&lt;=3)*('CASE MASTER'!$AD$2:$AD$495&gt;=3))*ROW('CASE MASTER'!$T$2:$T$495))-(ROW('CASE MASTER'!#REF!)-1)))-INDEX('CASE MASTER'!$AB$2:$AB$495,(SUMPRODUCT((('CASE MASTER'!$T$2:$T$495=4)*('CASE MASTER'!$AA$2:$AA$495&lt;=3)*('CASE MASTER'!$AC$2:$AC$495&gt;=3)*('CASE MASTER'!$AB$2:$AB$495&lt;=3)*('CASE MASTER'!$AD$2:$AD$495&gt;=3))*ROW('CASE MASTER'!$T$2:$T$495))-(ROW('CASE MASTER'!#REF!)-1)))+1)+(3-INDEX('CASE MASTER'!$AB$2:$AB$495,(SUMPRODUCT((('CASE MASTER'!$T$2:$T$495=4)*('CASE MASTER'!$AA$2:$AA$495&lt;=3)*('CASE MASTER'!$AC$2:$AC$495&gt;=3)*('CASE MASTER'!$AB$2:$AB$495&lt;=3)*('CASE MASTER'!$AD$2:$AD$495&gt;=3))*ROW('CASE MASTER'!$T$2:$T$495))-(ROW('CASE MASTER'!#REF!)-1))))+1)))-1)*50+1,50))&amp;"_"&amp;INDEX('CASE MASTER'!$Q$2:$Q$495,(SUMPRODUCT((('CASE MASTER'!$T$2:$T$495=4)*('CASE MASTER'!$AA$2:$AA$495&lt;=3)*('CASE MASTER'!$AC$2:$AC$495&gt;=3)*('CASE MASTER'!$AB$2:$AB$495&lt;=3)*('CASE MASTER'!$AD$2:$AD$495&gt;=3))*ROW('CASE MASTER'!$T$2:$T$495))-(ROW('CASE MASTER'!#REF!)-1))),"")),"")</f>
        <v/>
      </c>
      <c r="E47" s="10" t="str">
        <f>IFERROR(IF(SUMPRODUCT((('CASE MASTER'!$T$2:$T$495=4)*('CASE MASTER'!$U$2:$U$495&lt;=3)*('CASE MASTER'!$W$2:$W$495&gt;=3)*('CASE MASTER'!$V$2:$V$495&lt;=4)*('CASE MASTER'!$X$2:$X$495&gt;=4))*ROW('CASE MASTER'!$T$2:$T$495))&gt;0,INDEX('CASE MASTER'!$Y$2:$Y$495,(SUMPRODUCT((('CASE MASTER'!$T$2:$T$495=4)*('CASE MASTER'!$U$2:$U$495&lt;=3)*('CASE MASTER'!$W$2:$W$495&gt;=3)*('CASE MASTER'!$V$2:$V$495&lt;=4)*('CASE MASTER'!$X$2:$X$495&gt;=4))*ROW('CASE MASTER'!$T$2:$T$495))-(ROW('CASE MASTER'!#REF!)-1)))&amp;TRIM(MID(SUBSTITUTE(SUBSTITUTE(INDEX('CASE MASTER'!$N$2:$N$495,(SUMPRODUCT((('CASE MASTER'!$T$2:$T$495=4)*('CASE MASTER'!$U$2:$U$495&lt;=3)*('CASE MASTER'!$W$2:$W$495&gt;=3)*('CASE MASTER'!$V$2:$V$495&lt;=4)*('CASE MASTER'!$X$2:$X$495&gt;=4))*ROW('CASE MASTER'!$T$2:$T$495))-(ROW('CASE MASTER'!#REF!)-1))),":",","),",",REPT(" ",50)),((((3-INDEX('CASE MASTER'!$U$2:$U$495,(SUMPRODUCT((('CASE MASTER'!$T$2:$T$495=4)*('CASE MASTER'!$U$2:$U$495&lt;=3)*('CASE MASTER'!$W$2:$W$495&gt;=3)*('CASE MASTER'!$V$2:$V$495&lt;=4)*('CASE MASTER'!$X$2:$X$495&gt;=4))*ROW('CASE MASTER'!$T$2:$T$495))-(ROW('CASE MASTER'!#REF!)-1))))*(INDEX('CASE MASTER'!$X$2:$X$495,(SUMPRODUCT((('CASE MASTER'!$T$2:$T$495=4)*('CASE MASTER'!$U$2:$U$495&lt;=3)*('CASE MASTER'!$W$2:$W$495&gt;=3)*('CASE MASTER'!$V$2:$V$495&lt;=4)*('CASE MASTER'!$X$2:$X$495&gt;=4))*ROW('CASE MASTER'!$T$2:$T$495))-(ROW('CASE MASTER'!#REF!)-1)))-INDEX('CASE MASTER'!$V$2:$V$495,(SUMPRODUCT((('CASE MASTER'!$T$2:$T$495=4)*('CASE MASTER'!$U$2:$U$495&lt;=3)*('CASE MASTER'!$W$2:$W$495&gt;=3)*('CASE MASTER'!$V$2:$V$495&lt;=4)*('CASE MASTER'!$X$2:$X$495&gt;=4))*ROW('CASE MASTER'!$T$2:$T$495))-(ROW('CASE MASTER'!#REF!)-1)))+1)+(4-INDEX('CASE MASTER'!$V$2:$V$495,(SUMPRODUCT((('CASE MASTER'!$T$2:$T$495=4)*('CASE MASTER'!$U$2:$U$495&lt;=3)*('CASE MASTER'!$W$2:$W$495&gt;=3)*('CASE MASTER'!$V$2:$V$495&lt;=4)*('CASE MASTER'!$X$2:$X$495&gt;=4))*ROW('CASE MASTER'!$T$2:$T$495))-(ROW('CASE MASTER'!#REF!)-1))))+1))-1)*50+1,50))&amp;"_"&amp;INDEX('CASE MASTER'!$Q$2:$Q$495,(SUMPRODUCT((('CASE MASTER'!$T$2:$T$495=4)*('CASE MASTER'!$U$2:$U$495&lt;=3)*('CASE MASTER'!$W$2:$W$495&gt;=3)*('CASE MASTER'!$V$2:$V$495&lt;=4)*('CASE MASTER'!$X$2:$X$495&gt;=4))*ROW('CASE MASTER'!$T$2:$T$495))-(ROW('CASE MASTER'!#REF!)-1))),IF(SUMPRODUCT((('CASE MASTER'!$T$2:$T$495=4)*('CASE MASTER'!$AA$2:$AA$495&lt;=3)*('CASE MASTER'!$AC$2:$AC$495&gt;=3)*('CASE MASTER'!$AB$2:$AB$495&lt;=4)*('CASE MASTER'!$AD$2:$AD$495&gt;=4))*ROW('CASE MASTER'!$T$2:$T$495))&gt;0,INDEX('CASE MASTER'!$Y$2:$Y$495,(SUMPRODUCT((('CASE MASTER'!$T$2:$T$495=4)*('CASE MASTER'!$AA$2:$AA$495&lt;=3)*('CASE MASTER'!$AC$2:$AC$495&gt;=3)*('CASE MASTER'!$AB$2:$AB$495&lt;=4)*('CASE MASTER'!$AD$2:$AD$495&gt;=4))*ROW('CASE MASTER'!$T$2:$T$495))-(ROW('CASE MASTER'!#REF!)-1)))&amp;TRIM(MID(SUBSTITUTE(SUBSTITUTE(INDEX('CASE MASTER'!$N$2:$N$495,(SUMPRODUCT((('CASE MASTER'!$T$2:$T$495=4)*('CASE MASTER'!$AA$2:$AA$495&lt;=3)*('CASE MASTER'!$AC$2:$AC$495&gt;=3)*('CASE MASTER'!$AB$2:$AB$495&lt;=4)*('CASE MASTER'!$AD$2:$AD$495&gt;=4))*ROW('CASE MASTER'!$T$2:$T$495))-(ROW('CASE MASTER'!#REF!)-1))),":",","),",",REPT(" ",50)),(((INDEX('CASE MASTER'!$Z$2:$Z$495,(SUMPRODUCT((('CASE MASTER'!$T$2:$T$495=4)*('CASE MASTER'!$AA$2:$AA$495&lt;=3)*('CASE MASTER'!$AC$2:$AC$495&gt;=3)*('CASE MASTER'!$AB$2:$AB$495&lt;=4)*('CASE MASTER'!$AD$2:$AD$495&gt;=4))*ROW('CASE MASTER'!$T$2:$T$495))-(ROW('CASE MASTER'!#REF!)-1)))+((3-INDEX('CASE MASTER'!$AA$2:$AA$495,(SUMPRODUCT((('CASE MASTER'!$T$2:$T$495=4)*('CASE MASTER'!$AA$2:$AA$495&lt;=3)*('CASE MASTER'!$AC$2:$AC$495&gt;=3)*('CASE MASTER'!$AB$2:$AB$495&lt;=4)*('CASE MASTER'!$AD$2:$AD$495&gt;=4))*ROW('CASE MASTER'!$T$2:$T$495))-(ROW('CASE MASTER'!#REF!)-1))))*(INDEX('CASE MASTER'!$AD$2:$AD$495,(SUMPRODUCT((('CASE MASTER'!$T$2:$T$495=4)*('CASE MASTER'!$AA$2:$AA$495&lt;=3)*('CASE MASTER'!$AC$2:$AC$495&gt;=3)*('CASE MASTER'!$AB$2:$AB$495&lt;=4)*('CASE MASTER'!$AD$2:$AD$495&gt;=4))*ROW('CASE MASTER'!$T$2:$T$495))-(ROW('CASE MASTER'!#REF!)-1)))-INDEX('CASE MASTER'!$AB$2:$AB$495,(SUMPRODUCT((('CASE MASTER'!$T$2:$T$495=4)*('CASE MASTER'!$AA$2:$AA$495&lt;=3)*('CASE MASTER'!$AC$2:$AC$495&gt;=3)*('CASE MASTER'!$AB$2:$AB$495&lt;=4)*('CASE MASTER'!$AD$2:$AD$495&gt;=4))*ROW('CASE MASTER'!$T$2:$T$495))-(ROW('CASE MASTER'!#REF!)-1)))+1)+(4-INDEX('CASE MASTER'!$AB$2:$AB$495,(SUMPRODUCT((('CASE MASTER'!$T$2:$T$495=4)*('CASE MASTER'!$AA$2:$AA$495&lt;=3)*('CASE MASTER'!$AC$2:$AC$495&gt;=3)*('CASE MASTER'!$AB$2:$AB$495&lt;=4)*('CASE MASTER'!$AD$2:$AD$495&gt;=4))*ROW('CASE MASTER'!$T$2:$T$495))-(ROW('CASE MASTER'!#REF!)-1))))+1)))-1)*50+1,50))&amp;"_"&amp;INDEX('CASE MASTER'!$Q$2:$Q$495,(SUMPRODUCT((('CASE MASTER'!$T$2:$T$495=4)*('CASE MASTER'!$AA$2:$AA$495&lt;=3)*('CASE MASTER'!$AC$2:$AC$495&gt;=3)*('CASE MASTER'!$AB$2:$AB$495&lt;=4)*('CASE MASTER'!$AD$2:$AD$495&gt;=4))*ROW('CASE MASTER'!$T$2:$T$495))-(ROW('CASE MASTER'!#REF!)-1))),"")),"")</f>
        <v/>
      </c>
      <c r="F47" s="10" t="str">
        <f>IFERROR(IF(SUMPRODUCT((('CASE MASTER'!$T$2:$T$495=4)*('CASE MASTER'!$U$2:$U$495&lt;=3)*('CASE MASTER'!$W$2:$W$495&gt;=3)*('CASE MASTER'!$V$2:$V$495&lt;=5)*('CASE MASTER'!$X$2:$X$495&gt;=5))*ROW('CASE MASTER'!$T$2:$T$495))&gt;0,INDEX('CASE MASTER'!$Y$2:$Y$495,(SUMPRODUCT((('CASE MASTER'!$T$2:$T$495=4)*('CASE MASTER'!$U$2:$U$495&lt;=3)*('CASE MASTER'!$W$2:$W$495&gt;=3)*('CASE MASTER'!$V$2:$V$495&lt;=5)*('CASE MASTER'!$X$2:$X$495&gt;=5))*ROW('CASE MASTER'!$T$2:$T$495))-(ROW('CASE MASTER'!#REF!)-1)))&amp;TRIM(MID(SUBSTITUTE(SUBSTITUTE(INDEX('CASE MASTER'!$N$2:$N$495,(SUMPRODUCT((('CASE MASTER'!$T$2:$T$495=4)*('CASE MASTER'!$U$2:$U$495&lt;=3)*('CASE MASTER'!$W$2:$W$495&gt;=3)*('CASE MASTER'!$V$2:$V$495&lt;=5)*('CASE MASTER'!$X$2:$X$495&gt;=5))*ROW('CASE MASTER'!$T$2:$T$495))-(ROW('CASE MASTER'!#REF!)-1))),":",","),",",REPT(" ",50)),((((3-INDEX('CASE MASTER'!$U$2:$U$495,(SUMPRODUCT((('CASE MASTER'!$T$2:$T$495=4)*('CASE MASTER'!$U$2:$U$495&lt;=3)*('CASE MASTER'!$W$2:$W$495&gt;=3)*('CASE MASTER'!$V$2:$V$495&lt;=5)*('CASE MASTER'!$X$2:$X$495&gt;=5))*ROW('CASE MASTER'!$T$2:$T$495))-(ROW('CASE MASTER'!#REF!)-1))))*(INDEX('CASE MASTER'!$X$2:$X$495,(SUMPRODUCT((('CASE MASTER'!$T$2:$T$495=4)*('CASE MASTER'!$U$2:$U$495&lt;=3)*('CASE MASTER'!$W$2:$W$495&gt;=3)*('CASE MASTER'!$V$2:$V$495&lt;=5)*('CASE MASTER'!$X$2:$X$495&gt;=5))*ROW('CASE MASTER'!$T$2:$T$495))-(ROW('CASE MASTER'!#REF!)-1)))-INDEX('CASE MASTER'!$V$2:$V$495,(SUMPRODUCT((('CASE MASTER'!$T$2:$T$495=4)*('CASE MASTER'!$U$2:$U$495&lt;=3)*('CASE MASTER'!$W$2:$W$495&gt;=3)*('CASE MASTER'!$V$2:$V$495&lt;=5)*('CASE MASTER'!$X$2:$X$495&gt;=5))*ROW('CASE MASTER'!$T$2:$T$495))-(ROW('CASE MASTER'!#REF!)-1)))+1)+(5-INDEX('CASE MASTER'!$V$2:$V$495,(SUMPRODUCT((('CASE MASTER'!$T$2:$T$495=4)*('CASE MASTER'!$U$2:$U$495&lt;=3)*('CASE MASTER'!$W$2:$W$495&gt;=3)*('CASE MASTER'!$V$2:$V$495&lt;=5)*('CASE MASTER'!$X$2:$X$495&gt;=5))*ROW('CASE MASTER'!$T$2:$T$495))-(ROW('CASE MASTER'!#REF!)-1))))+1))-1)*50+1,50))&amp;"_"&amp;INDEX('CASE MASTER'!$Q$2:$Q$495,(SUMPRODUCT((('CASE MASTER'!$T$2:$T$495=4)*('CASE MASTER'!$U$2:$U$495&lt;=3)*('CASE MASTER'!$W$2:$W$495&gt;=3)*('CASE MASTER'!$V$2:$V$495&lt;=5)*('CASE MASTER'!$X$2:$X$495&gt;=5))*ROW('CASE MASTER'!$T$2:$T$495))-(ROW('CASE MASTER'!#REF!)-1))),IF(SUMPRODUCT((('CASE MASTER'!$T$2:$T$495=4)*('CASE MASTER'!$AA$2:$AA$495&lt;=3)*('CASE MASTER'!$AC$2:$AC$495&gt;=3)*('CASE MASTER'!$AB$2:$AB$495&lt;=5)*('CASE MASTER'!$AD$2:$AD$495&gt;=5))*ROW('CASE MASTER'!$T$2:$T$495))&gt;0,INDEX('CASE MASTER'!$Y$2:$Y$495,(SUMPRODUCT((('CASE MASTER'!$T$2:$T$495=4)*('CASE MASTER'!$AA$2:$AA$495&lt;=3)*('CASE MASTER'!$AC$2:$AC$495&gt;=3)*('CASE MASTER'!$AB$2:$AB$495&lt;=5)*('CASE MASTER'!$AD$2:$AD$495&gt;=5))*ROW('CASE MASTER'!$T$2:$T$495))-(ROW('CASE MASTER'!#REF!)-1)))&amp;TRIM(MID(SUBSTITUTE(SUBSTITUTE(INDEX('CASE MASTER'!$N$2:$N$495,(SUMPRODUCT((('CASE MASTER'!$T$2:$T$495=4)*('CASE MASTER'!$AA$2:$AA$495&lt;=3)*('CASE MASTER'!$AC$2:$AC$495&gt;=3)*('CASE MASTER'!$AB$2:$AB$495&lt;=5)*('CASE MASTER'!$AD$2:$AD$495&gt;=5))*ROW('CASE MASTER'!$T$2:$T$495))-(ROW('CASE MASTER'!#REF!)-1))),":",","),",",REPT(" ",50)),(((INDEX('CASE MASTER'!$Z$2:$Z$495,(SUMPRODUCT((('CASE MASTER'!$T$2:$T$495=4)*('CASE MASTER'!$AA$2:$AA$495&lt;=3)*('CASE MASTER'!$AC$2:$AC$495&gt;=3)*('CASE MASTER'!$AB$2:$AB$495&lt;=5)*('CASE MASTER'!$AD$2:$AD$495&gt;=5))*ROW('CASE MASTER'!$T$2:$T$495))-(ROW('CASE MASTER'!#REF!)-1)))+((3-INDEX('CASE MASTER'!$AA$2:$AA$495,(SUMPRODUCT((('CASE MASTER'!$T$2:$T$495=4)*('CASE MASTER'!$AA$2:$AA$495&lt;=3)*('CASE MASTER'!$AC$2:$AC$495&gt;=3)*('CASE MASTER'!$AB$2:$AB$495&lt;=5)*('CASE MASTER'!$AD$2:$AD$495&gt;=5))*ROW('CASE MASTER'!$T$2:$T$495))-(ROW('CASE MASTER'!#REF!)-1))))*(INDEX('CASE MASTER'!$AD$2:$AD$495,(SUMPRODUCT((('CASE MASTER'!$T$2:$T$495=4)*('CASE MASTER'!$AA$2:$AA$495&lt;=3)*('CASE MASTER'!$AC$2:$AC$495&gt;=3)*('CASE MASTER'!$AB$2:$AB$495&lt;=5)*('CASE MASTER'!$AD$2:$AD$495&gt;=5))*ROW('CASE MASTER'!$T$2:$T$495))-(ROW('CASE MASTER'!#REF!)-1)))-INDEX('CASE MASTER'!$AB$2:$AB$495,(SUMPRODUCT((('CASE MASTER'!$T$2:$T$495=4)*('CASE MASTER'!$AA$2:$AA$495&lt;=3)*('CASE MASTER'!$AC$2:$AC$495&gt;=3)*('CASE MASTER'!$AB$2:$AB$495&lt;=5)*('CASE MASTER'!$AD$2:$AD$495&gt;=5))*ROW('CASE MASTER'!$T$2:$T$495))-(ROW('CASE MASTER'!#REF!)-1)))+1)+(5-INDEX('CASE MASTER'!$AB$2:$AB$495,(SUMPRODUCT((('CASE MASTER'!$T$2:$T$495=4)*('CASE MASTER'!$AA$2:$AA$495&lt;=3)*('CASE MASTER'!$AC$2:$AC$495&gt;=3)*('CASE MASTER'!$AB$2:$AB$495&lt;=5)*('CASE MASTER'!$AD$2:$AD$495&gt;=5))*ROW('CASE MASTER'!$T$2:$T$495))-(ROW('CASE MASTER'!#REF!)-1))))+1)))-1)*50+1,50))&amp;"_"&amp;INDEX('CASE MASTER'!$Q$2:$Q$495,(SUMPRODUCT((('CASE MASTER'!$T$2:$T$495=4)*('CASE MASTER'!$AA$2:$AA$495&lt;=3)*('CASE MASTER'!$AC$2:$AC$495&gt;=3)*('CASE MASTER'!$AB$2:$AB$495&lt;=5)*('CASE MASTER'!$AD$2:$AD$495&gt;=5))*ROW('CASE MASTER'!$T$2:$T$495))-(ROW('CASE MASTER'!#REF!)-1))),"")),"")</f>
        <v/>
      </c>
      <c r="G47" s="10" t="str">
        <f>IFERROR(IF(SUMPRODUCT((('CASE MASTER'!$T$2:$T$495=4)*('CASE MASTER'!$U$2:$U$495&lt;=3)*('CASE MASTER'!$W$2:$W$495&gt;=3)*('CASE MASTER'!$V$2:$V$495&lt;=6)*('CASE MASTER'!$X$2:$X$495&gt;=6))*ROW('CASE MASTER'!$T$2:$T$495))&gt;0,INDEX('CASE MASTER'!$Y$2:$Y$495,(SUMPRODUCT((('CASE MASTER'!$T$2:$T$495=4)*('CASE MASTER'!$U$2:$U$495&lt;=3)*('CASE MASTER'!$W$2:$W$495&gt;=3)*('CASE MASTER'!$V$2:$V$495&lt;=6)*('CASE MASTER'!$X$2:$X$495&gt;=6))*ROW('CASE MASTER'!$T$2:$T$495))-(ROW('CASE MASTER'!#REF!)-1)))&amp;TRIM(MID(SUBSTITUTE(SUBSTITUTE(INDEX('CASE MASTER'!$N$2:$N$495,(SUMPRODUCT((('CASE MASTER'!$T$2:$T$495=4)*('CASE MASTER'!$U$2:$U$495&lt;=3)*('CASE MASTER'!$W$2:$W$495&gt;=3)*('CASE MASTER'!$V$2:$V$495&lt;=6)*('CASE MASTER'!$X$2:$X$495&gt;=6))*ROW('CASE MASTER'!$T$2:$T$495))-(ROW('CASE MASTER'!#REF!)-1))),":",","),",",REPT(" ",50)),((((3-INDEX('CASE MASTER'!$U$2:$U$495,(SUMPRODUCT((('CASE MASTER'!$T$2:$T$495=4)*('CASE MASTER'!$U$2:$U$495&lt;=3)*('CASE MASTER'!$W$2:$W$495&gt;=3)*('CASE MASTER'!$V$2:$V$495&lt;=6)*('CASE MASTER'!$X$2:$X$495&gt;=6))*ROW('CASE MASTER'!$T$2:$T$495))-(ROW('CASE MASTER'!#REF!)-1))))*(INDEX('CASE MASTER'!$X$2:$X$495,(SUMPRODUCT((('CASE MASTER'!$T$2:$T$495=4)*('CASE MASTER'!$U$2:$U$495&lt;=3)*('CASE MASTER'!$W$2:$W$495&gt;=3)*('CASE MASTER'!$V$2:$V$495&lt;=6)*('CASE MASTER'!$X$2:$X$495&gt;=6))*ROW('CASE MASTER'!$T$2:$T$495))-(ROW('CASE MASTER'!#REF!)-1)))-INDEX('CASE MASTER'!$V$2:$V$495,(SUMPRODUCT((('CASE MASTER'!$T$2:$T$495=4)*('CASE MASTER'!$U$2:$U$495&lt;=3)*('CASE MASTER'!$W$2:$W$495&gt;=3)*('CASE MASTER'!$V$2:$V$495&lt;=6)*('CASE MASTER'!$X$2:$X$495&gt;=6))*ROW('CASE MASTER'!$T$2:$T$495))-(ROW('CASE MASTER'!#REF!)-1)))+1)+(6-INDEX('CASE MASTER'!$V$2:$V$495,(SUMPRODUCT((('CASE MASTER'!$T$2:$T$495=4)*('CASE MASTER'!$U$2:$U$495&lt;=3)*('CASE MASTER'!$W$2:$W$495&gt;=3)*('CASE MASTER'!$V$2:$V$495&lt;=6)*('CASE MASTER'!$X$2:$X$495&gt;=6))*ROW('CASE MASTER'!$T$2:$T$495))-(ROW('CASE MASTER'!#REF!)-1))))+1))-1)*50+1,50))&amp;"_"&amp;INDEX('CASE MASTER'!$Q$2:$Q$495,(SUMPRODUCT((('CASE MASTER'!$T$2:$T$495=4)*('CASE MASTER'!$U$2:$U$495&lt;=3)*('CASE MASTER'!$W$2:$W$495&gt;=3)*('CASE MASTER'!$V$2:$V$495&lt;=6)*('CASE MASTER'!$X$2:$X$495&gt;=6))*ROW('CASE MASTER'!$T$2:$T$495))-(ROW('CASE MASTER'!#REF!)-1))),IF(SUMPRODUCT((('CASE MASTER'!$T$2:$T$495=4)*('CASE MASTER'!$AA$2:$AA$495&lt;=3)*('CASE MASTER'!$AC$2:$AC$495&gt;=3)*('CASE MASTER'!$AB$2:$AB$495&lt;=6)*('CASE MASTER'!$AD$2:$AD$495&gt;=6))*ROW('CASE MASTER'!$T$2:$T$495))&gt;0,INDEX('CASE MASTER'!$Y$2:$Y$495,(SUMPRODUCT((('CASE MASTER'!$T$2:$T$495=4)*('CASE MASTER'!$AA$2:$AA$495&lt;=3)*('CASE MASTER'!$AC$2:$AC$495&gt;=3)*('CASE MASTER'!$AB$2:$AB$495&lt;=6)*('CASE MASTER'!$AD$2:$AD$495&gt;=6))*ROW('CASE MASTER'!$T$2:$T$495))-(ROW('CASE MASTER'!#REF!)-1)))&amp;TRIM(MID(SUBSTITUTE(SUBSTITUTE(INDEX('CASE MASTER'!$N$2:$N$495,(SUMPRODUCT((('CASE MASTER'!$T$2:$T$495=4)*('CASE MASTER'!$AA$2:$AA$495&lt;=3)*('CASE MASTER'!$AC$2:$AC$495&gt;=3)*('CASE MASTER'!$AB$2:$AB$495&lt;=6)*('CASE MASTER'!$AD$2:$AD$495&gt;=6))*ROW('CASE MASTER'!$T$2:$T$495))-(ROW('CASE MASTER'!#REF!)-1))),":",","),",",REPT(" ",50)),(((INDEX('CASE MASTER'!$Z$2:$Z$495,(SUMPRODUCT((('CASE MASTER'!$T$2:$T$495=4)*('CASE MASTER'!$AA$2:$AA$495&lt;=3)*('CASE MASTER'!$AC$2:$AC$495&gt;=3)*('CASE MASTER'!$AB$2:$AB$495&lt;=6)*('CASE MASTER'!$AD$2:$AD$495&gt;=6))*ROW('CASE MASTER'!$T$2:$T$495))-(ROW('CASE MASTER'!#REF!)-1)))+((3-INDEX('CASE MASTER'!$AA$2:$AA$495,(SUMPRODUCT((('CASE MASTER'!$T$2:$T$495=4)*('CASE MASTER'!$AA$2:$AA$495&lt;=3)*('CASE MASTER'!$AC$2:$AC$495&gt;=3)*('CASE MASTER'!$AB$2:$AB$495&lt;=6)*('CASE MASTER'!$AD$2:$AD$495&gt;=6))*ROW('CASE MASTER'!$T$2:$T$495))-(ROW('CASE MASTER'!#REF!)-1))))*(INDEX('CASE MASTER'!$AD$2:$AD$495,(SUMPRODUCT((('CASE MASTER'!$T$2:$T$495=4)*('CASE MASTER'!$AA$2:$AA$495&lt;=3)*('CASE MASTER'!$AC$2:$AC$495&gt;=3)*('CASE MASTER'!$AB$2:$AB$495&lt;=6)*('CASE MASTER'!$AD$2:$AD$495&gt;=6))*ROW('CASE MASTER'!$T$2:$T$495))-(ROW('CASE MASTER'!#REF!)-1)))-INDEX('CASE MASTER'!$AB$2:$AB$495,(SUMPRODUCT((('CASE MASTER'!$T$2:$T$495=4)*('CASE MASTER'!$AA$2:$AA$495&lt;=3)*('CASE MASTER'!$AC$2:$AC$495&gt;=3)*('CASE MASTER'!$AB$2:$AB$495&lt;=6)*('CASE MASTER'!$AD$2:$AD$495&gt;=6))*ROW('CASE MASTER'!$T$2:$T$495))-(ROW('CASE MASTER'!#REF!)-1)))+1)+(6-INDEX('CASE MASTER'!$AB$2:$AB$495,(SUMPRODUCT((('CASE MASTER'!$T$2:$T$495=4)*('CASE MASTER'!$AA$2:$AA$495&lt;=3)*('CASE MASTER'!$AC$2:$AC$495&gt;=3)*('CASE MASTER'!$AB$2:$AB$495&lt;=6)*('CASE MASTER'!$AD$2:$AD$495&gt;=6))*ROW('CASE MASTER'!$T$2:$T$495))-(ROW('CASE MASTER'!#REF!)-1))))+1)))-1)*50+1,50))&amp;"_"&amp;INDEX('CASE MASTER'!$Q$2:$Q$495,(SUMPRODUCT((('CASE MASTER'!$T$2:$T$495=4)*('CASE MASTER'!$AA$2:$AA$495&lt;=3)*('CASE MASTER'!$AC$2:$AC$495&gt;=3)*('CASE MASTER'!$AB$2:$AB$495&lt;=6)*('CASE MASTER'!$AD$2:$AD$495&gt;=6))*ROW('CASE MASTER'!$T$2:$T$495))-(ROW('CASE MASTER'!#REF!)-1))),"")),"")</f>
        <v/>
      </c>
      <c r="H47" s="10" t="str">
        <f>IFERROR(IF(SUMPRODUCT((('CASE MASTER'!$T$2:$T$495=4)*('CASE MASTER'!$U$2:$U$495&lt;=3)*('CASE MASTER'!$W$2:$W$495&gt;=3)*('CASE MASTER'!$V$2:$V$495&lt;=7)*('CASE MASTER'!$X$2:$X$495&gt;=7))*ROW('CASE MASTER'!$T$2:$T$495))&gt;0,INDEX('CASE MASTER'!$Y$2:$Y$495,(SUMPRODUCT((('CASE MASTER'!$T$2:$T$495=4)*('CASE MASTER'!$U$2:$U$495&lt;=3)*('CASE MASTER'!$W$2:$W$495&gt;=3)*('CASE MASTER'!$V$2:$V$495&lt;=7)*('CASE MASTER'!$X$2:$X$495&gt;=7))*ROW('CASE MASTER'!$T$2:$T$495))-(ROW('CASE MASTER'!#REF!)-1)))&amp;TRIM(MID(SUBSTITUTE(SUBSTITUTE(INDEX('CASE MASTER'!$N$2:$N$495,(SUMPRODUCT((('CASE MASTER'!$T$2:$T$495=4)*('CASE MASTER'!$U$2:$U$495&lt;=3)*('CASE MASTER'!$W$2:$W$495&gt;=3)*('CASE MASTER'!$V$2:$V$495&lt;=7)*('CASE MASTER'!$X$2:$X$495&gt;=7))*ROW('CASE MASTER'!$T$2:$T$495))-(ROW('CASE MASTER'!#REF!)-1))),":",","),",",REPT(" ",50)),((((3-INDEX('CASE MASTER'!$U$2:$U$495,(SUMPRODUCT((('CASE MASTER'!$T$2:$T$495=4)*('CASE MASTER'!$U$2:$U$495&lt;=3)*('CASE MASTER'!$W$2:$W$495&gt;=3)*('CASE MASTER'!$V$2:$V$495&lt;=7)*('CASE MASTER'!$X$2:$X$495&gt;=7))*ROW('CASE MASTER'!$T$2:$T$495))-(ROW('CASE MASTER'!#REF!)-1))))*(INDEX('CASE MASTER'!$X$2:$X$495,(SUMPRODUCT((('CASE MASTER'!$T$2:$T$495=4)*('CASE MASTER'!$U$2:$U$495&lt;=3)*('CASE MASTER'!$W$2:$W$495&gt;=3)*('CASE MASTER'!$V$2:$V$495&lt;=7)*('CASE MASTER'!$X$2:$X$495&gt;=7))*ROW('CASE MASTER'!$T$2:$T$495))-(ROW('CASE MASTER'!#REF!)-1)))-INDEX('CASE MASTER'!$V$2:$V$495,(SUMPRODUCT((('CASE MASTER'!$T$2:$T$495=4)*('CASE MASTER'!$U$2:$U$495&lt;=3)*('CASE MASTER'!$W$2:$W$495&gt;=3)*('CASE MASTER'!$V$2:$V$495&lt;=7)*('CASE MASTER'!$X$2:$X$495&gt;=7))*ROW('CASE MASTER'!$T$2:$T$495))-(ROW('CASE MASTER'!#REF!)-1)))+1)+(7-INDEX('CASE MASTER'!$V$2:$V$495,(SUMPRODUCT((('CASE MASTER'!$T$2:$T$495=4)*('CASE MASTER'!$U$2:$U$495&lt;=3)*('CASE MASTER'!$W$2:$W$495&gt;=3)*('CASE MASTER'!$V$2:$V$495&lt;=7)*('CASE MASTER'!$X$2:$X$495&gt;=7))*ROW('CASE MASTER'!$T$2:$T$495))-(ROW('CASE MASTER'!#REF!)-1))))+1))-1)*50+1,50))&amp;"_"&amp;INDEX('CASE MASTER'!$Q$2:$Q$495,(SUMPRODUCT((('CASE MASTER'!$T$2:$T$495=4)*('CASE MASTER'!$U$2:$U$495&lt;=3)*('CASE MASTER'!$W$2:$W$495&gt;=3)*('CASE MASTER'!$V$2:$V$495&lt;=7)*('CASE MASTER'!$X$2:$X$495&gt;=7))*ROW('CASE MASTER'!$T$2:$T$495))-(ROW('CASE MASTER'!#REF!)-1))),IF(SUMPRODUCT((('CASE MASTER'!$T$2:$T$495=4)*('CASE MASTER'!$AA$2:$AA$495&lt;=3)*('CASE MASTER'!$AC$2:$AC$495&gt;=3)*('CASE MASTER'!$AB$2:$AB$495&lt;=7)*('CASE MASTER'!$AD$2:$AD$495&gt;=7))*ROW('CASE MASTER'!$T$2:$T$495))&gt;0,INDEX('CASE MASTER'!$Y$2:$Y$495,(SUMPRODUCT((('CASE MASTER'!$T$2:$T$495=4)*('CASE MASTER'!$AA$2:$AA$495&lt;=3)*('CASE MASTER'!$AC$2:$AC$495&gt;=3)*('CASE MASTER'!$AB$2:$AB$495&lt;=7)*('CASE MASTER'!$AD$2:$AD$495&gt;=7))*ROW('CASE MASTER'!$T$2:$T$495))-(ROW('CASE MASTER'!#REF!)-1)))&amp;TRIM(MID(SUBSTITUTE(SUBSTITUTE(INDEX('CASE MASTER'!$N$2:$N$495,(SUMPRODUCT((('CASE MASTER'!$T$2:$T$495=4)*('CASE MASTER'!$AA$2:$AA$495&lt;=3)*('CASE MASTER'!$AC$2:$AC$495&gt;=3)*('CASE MASTER'!$AB$2:$AB$495&lt;=7)*('CASE MASTER'!$AD$2:$AD$495&gt;=7))*ROW('CASE MASTER'!$T$2:$T$495))-(ROW('CASE MASTER'!#REF!)-1))),":",","),",",REPT(" ",50)),(((INDEX('CASE MASTER'!$Z$2:$Z$495,(SUMPRODUCT((('CASE MASTER'!$T$2:$T$495=4)*('CASE MASTER'!$AA$2:$AA$495&lt;=3)*('CASE MASTER'!$AC$2:$AC$495&gt;=3)*('CASE MASTER'!$AB$2:$AB$495&lt;=7)*('CASE MASTER'!$AD$2:$AD$495&gt;=7))*ROW('CASE MASTER'!$T$2:$T$495))-(ROW('CASE MASTER'!#REF!)-1)))+((3-INDEX('CASE MASTER'!$AA$2:$AA$495,(SUMPRODUCT((('CASE MASTER'!$T$2:$T$495=4)*('CASE MASTER'!$AA$2:$AA$495&lt;=3)*('CASE MASTER'!$AC$2:$AC$495&gt;=3)*('CASE MASTER'!$AB$2:$AB$495&lt;=7)*('CASE MASTER'!$AD$2:$AD$495&gt;=7))*ROW('CASE MASTER'!$T$2:$T$495))-(ROW('CASE MASTER'!#REF!)-1))))*(INDEX('CASE MASTER'!$AD$2:$AD$495,(SUMPRODUCT((('CASE MASTER'!$T$2:$T$495=4)*('CASE MASTER'!$AA$2:$AA$495&lt;=3)*('CASE MASTER'!$AC$2:$AC$495&gt;=3)*('CASE MASTER'!$AB$2:$AB$495&lt;=7)*('CASE MASTER'!$AD$2:$AD$495&gt;=7))*ROW('CASE MASTER'!$T$2:$T$495))-(ROW('CASE MASTER'!#REF!)-1)))-INDEX('CASE MASTER'!$AB$2:$AB$495,(SUMPRODUCT((('CASE MASTER'!$T$2:$T$495=4)*('CASE MASTER'!$AA$2:$AA$495&lt;=3)*('CASE MASTER'!$AC$2:$AC$495&gt;=3)*('CASE MASTER'!$AB$2:$AB$495&lt;=7)*('CASE MASTER'!$AD$2:$AD$495&gt;=7))*ROW('CASE MASTER'!$T$2:$T$495))-(ROW('CASE MASTER'!#REF!)-1)))+1)+(7-INDEX('CASE MASTER'!$AB$2:$AB$495,(SUMPRODUCT((('CASE MASTER'!$T$2:$T$495=4)*('CASE MASTER'!$AA$2:$AA$495&lt;=3)*('CASE MASTER'!$AC$2:$AC$495&gt;=3)*('CASE MASTER'!$AB$2:$AB$495&lt;=7)*('CASE MASTER'!$AD$2:$AD$495&gt;=7))*ROW('CASE MASTER'!$T$2:$T$495))-(ROW('CASE MASTER'!#REF!)-1))))+1)))-1)*50+1,50))&amp;"_"&amp;INDEX('CASE MASTER'!$Q$2:$Q$495,(SUMPRODUCT((('CASE MASTER'!$T$2:$T$495=4)*('CASE MASTER'!$AA$2:$AA$495&lt;=3)*('CASE MASTER'!$AC$2:$AC$495&gt;=3)*('CASE MASTER'!$AB$2:$AB$495&lt;=7)*('CASE MASTER'!$AD$2:$AD$495&gt;=7))*ROW('CASE MASTER'!$T$2:$T$495))-(ROW('CASE MASTER'!#REF!)-1))),"")),"")</f>
        <v/>
      </c>
      <c r="I47" s="10" t="str">
        <f>IFERROR(IF(SUMPRODUCT((('CASE MASTER'!$T$2:$T$495=4)*('CASE MASTER'!$U$2:$U$495&lt;=3)*('CASE MASTER'!$W$2:$W$495&gt;=3)*('CASE MASTER'!$V$2:$V$495&lt;=8)*('CASE MASTER'!$X$2:$X$495&gt;=8))*ROW('CASE MASTER'!$T$2:$T$495))&gt;0,INDEX('CASE MASTER'!$Y$2:$Y$495,(SUMPRODUCT((('CASE MASTER'!$T$2:$T$495=4)*('CASE MASTER'!$U$2:$U$495&lt;=3)*('CASE MASTER'!$W$2:$W$495&gt;=3)*('CASE MASTER'!$V$2:$V$495&lt;=8)*('CASE MASTER'!$X$2:$X$495&gt;=8))*ROW('CASE MASTER'!$T$2:$T$495))-(ROW('CASE MASTER'!#REF!)-1)))&amp;TRIM(MID(SUBSTITUTE(SUBSTITUTE(INDEX('CASE MASTER'!$N$2:$N$495,(SUMPRODUCT((('CASE MASTER'!$T$2:$T$495=4)*('CASE MASTER'!$U$2:$U$495&lt;=3)*('CASE MASTER'!$W$2:$W$495&gt;=3)*('CASE MASTER'!$V$2:$V$495&lt;=8)*('CASE MASTER'!$X$2:$X$495&gt;=8))*ROW('CASE MASTER'!$T$2:$T$495))-(ROW('CASE MASTER'!#REF!)-1))),":",","),",",REPT(" ",50)),((((3-INDEX('CASE MASTER'!$U$2:$U$495,(SUMPRODUCT((('CASE MASTER'!$T$2:$T$495=4)*('CASE MASTER'!$U$2:$U$495&lt;=3)*('CASE MASTER'!$W$2:$W$495&gt;=3)*('CASE MASTER'!$V$2:$V$495&lt;=8)*('CASE MASTER'!$X$2:$X$495&gt;=8))*ROW('CASE MASTER'!$T$2:$T$495))-(ROW('CASE MASTER'!#REF!)-1))))*(INDEX('CASE MASTER'!$X$2:$X$495,(SUMPRODUCT((('CASE MASTER'!$T$2:$T$495=4)*('CASE MASTER'!$U$2:$U$495&lt;=3)*('CASE MASTER'!$W$2:$W$495&gt;=3)*('CASE MASTER'!$V$2:$V$495&lt;=8)*('CASE MASTER'!$X$2:$X$495&gt;=8))*ROW('CASE MASTER'!$T$2:$T$495))-(ROW('CASE MASTER'!#REF!)-1)))-INDEX('CASE MASTER'!$V$2:$V$495,(SUMPRODUCT((('CASE MASTER'!$T$2:$T$495=4)*('CASE MASTER'!$U$2:$U$495&lt;=3)*('CASE MASTER'!$W$2:$W$495&gt;=3)*('CASE MASTER'!$V$2:$V$495&lt;=8)*('CASE MASTER'!$X$2:$X$495&gt;=8))*ROW('CASE MASTER'!$T$2:$T$495))-(ROW('CASE MASTER'!#REF!)-1)))+1)+(8-INDEX('CASE MASTER'!$V$2:$V$495,(SUMPRODUCT((('CASE MASTER'!$T$2:$T$495=4)*('CASE MASTER'!$U$2:$U$495&lt;=3)*('CASE MASTER'!$W$2:$W$495&gt;=3)*('CASE MASTER'!$V$2:$V$495&lt;=8)*('CASE MASTER'!$X$2:$X$495&gt;=8))*ROW('CASE MASTER'!$T$2:$T$495))-(ROW('CASE MASTER'!#REF!)-1))))+1))-1)*50+1,50))&amp;"_"&amp;INDEX('CASE MASTER'!$Q$2:$Q$495,(SUMPRODUCT((('CASE MASTER'!$T$2:$T$495=4)*('CASE MASTER'!$U$2:$U$495&lt;=3)*('CASE MASTER'!$W$2:$W$495&gt;=3)*('CASE MASTER'!$V$2:$V$495&lt;=8)*('CASE MASTER'!$X$2:$X$495&gt;=8))*ROW('CASE MASTER'!$T$2:$T$495))-(ROW('CASE MASTER'!#REF!)-1))),IF(SUMPRODUCT((('CASE MASTER'!$T$2:$T$495=4)*('CASE MASTER'!$AA$2:$AA$495&lt;=3)*('CASE MASTER'!$AC$2:$AC$495&gt;=3)*('CASE MASTER'!$AB$2:$AB$495&lt;=8)*('CASE MASTER'!$AD$2:$AD$495&gt;=8))*ROW('CASE MASTER'!$T$2:$T$495))&gt;0,INDEX('CASE MASTER'!$Y$2:$Y$495,(SUMPRODUCT((('CASE MASTER'!$T$2:$T$495=4)*('CASE MASTER'!$AA$2:$AA$495&lt;=3)*('CASE MASTER'!$AC$2:$AC$495&gt;=3)*('CASE MASTER'!$AB$2:$AB$495&lt;=8)*('CASE MASTER'!$AD$2:$AD$495&gt;=8))*ROW('CASE MASTER'!$T$2:$T$495))-(ROW('CASE MASTER'!#REF!)-1)))&amp;TRIM(MID(SUBSTITUTE(SUBSTITUTE(INDEX('CASE MASTER'!$N$2:$N$495,(SUMPRODUCT((('CASE MASTER'!$T$2:$T$495=4)*('CASE MASTER'!$AA$2:$AA$495&lt;=3)*('CASE MASTER'!$AC$2:$AC$495&gt;=3)*('CASE MASTER'!$AB$2:$AB$495&lt;=8)*('CASE MASTER'!$AD$2:$AD$495&gt;=8))*ROW('CASE MASTER'!$T$2:$T$495))-(ROW('CASE MASTER'!#REF!)-1))),":",","),",",REPT(" ",50)),(((INDEX('CASE MASTER'!$Z$2:$Z$495,(SUMPRODUCT((('CASE MASTER'!$T$2:$T$495=4)*('CASE MASTER'!$AA$2:$AA$495&lt;=3)*('CASE MASTER'!$AC$2:$AC$495&gt;=3)*('CASE MASTER'!$AB$2:$AB$495&lt;=8)*('CASE MASTER'!$AD$2:$AD$495&gt;=8))*ROW('CASE MASTER'!$T$2:$T$495))-(ROW('CASE MASTER'!#REF!)-1)))+((3-INDEX('CASE MASTER'!$AA$2:$AA$495,(SUMPRODUCT((('CASE MASTER'!$T$2:$T$495=4)*('CASE MASTER'!$AA$2:$AA$495&lt;=3)*('CASE MASTER'!$AC$2:$AC$495&gt;=3)*('CASE MASTER'!$AB$2:$AB$495&lt;=8)*('CASE MASTER'!$AD$2:$AD$495&gt;=8))*ROW('CASE MASTER'!$T$2:$T$495))-(ROW('CASE MASTER'!#REF!)-1))))*(INDEX('CASE MASTER'!$AD$2:$AD$495,(SUMPRODUCT((('CASE MASTER'!$T$2:$T$495=4)*('CASE MASTER'!$AA$2:$AA$495&lt;=3)*('CASE MASTER'!$AC$2:$AC$495&gt;=3)*('CASE MASTER'!$AB$2:$AB$495&lt;=8)*('CASE MASTER'!$AD$2:$AD$495&gt;=8))*ROW('CASE MASTER'!$T$2:$T$495))-(ROW('CASE MASTER'!#REF!)-1)))-INDEX('CASE MASTER'!$AB$2:$AB$495,(SUMPRODUCT((('CASE MASTER'!$T$2:$T$495=4)*('CASE MASTER'!$AA$2:$AA$495&lt;=3)*('CASE MASTER'!$AC$2:$AC$495&gt;=3)*('CASE MASTER'!$AB$2:$AB$495&lt;=8)*('CASE MASTER'!$AD$2:$AD$495&gt;=8))*ROW('CASE MASTER'!$T$2:$T$495))-(ROW('CASE MASTER'!#REF!)-1)))+1)+(8-INDEX('CASE MASTER'!$AB$2:$AB$495,(SUMPRODUCT((('CASE MASTER'!$T$2:$T$495=4)*('CASE MASTER'!$AA$2:$AA$495&lt;=3)*('CASE MASTER'!$AC$2:$AC$495&gt;=3)*('CASE MASTER'!$AB$2:$AB$495&lt;=8)*('CASE MASTER'!$AD$2:$AD$495&gt;=8))*ROW('CASE MASTER'!$T$2:$T$495))-(ROW('CASE MASTER'!#REF!)-1))))+1)))-1)*50+1,50))&amp;"_"&amp;INDEX('CASE MASTER'!$Q$2:$Q$495,(SUMPRODUCT((('CASE MASTER'!$T$2:$T$495=4)*('CASE MASTER'!$AA$2:$AA$495&lt;=3)*('CASE MASTER'!$AC$2:$AC$495&gt;=3)*('CASE MASTER'!$AB$2:$AB$495&lt;=8)*('CASE MASTER'!$AD$2:$AD$495&gt;=8))*ROW('CASE MASTER'!$T$2:$T$495))-(ROW('CASE MASTER'!#REF!)-1))),"")),"")</f>
        <v/>
      </c>
      <c r="J47" s="10" t="str">
        <f>IFERROR(IF(SUMPRODUCT((('CASE MASTER'!$T$2:$T$495=4)*('CASE MASTER'!$U$2:$U$495&lt;=3)*('CASE MASTER'!$W$2:$W$495&gt;=3)*('CASE MASTER'!$V$2:$V$495&lt;=9)*('CASE MASTER'!$X$2:$X$495&gt;=9))*ROW('CASE MASTER'!$T$2:$T$495))&gt;0,INDEX('CASE MASTER'!$Y$2:$Y$495,(SUMPRODUCT((('CASE MASTER'!$T$2:$T$495=4)*('CASE MASTER'!$U$2:$U$495&lt;=3)*('CASE MASTER'!$W$2:$W$495&gt;=3)*('CASE MASTER'!$V$2:$V$495&lt;=9)*('CASE MASTER'!$X$2:$X$495&gt;=9))*ROW('CASE MASTER'!$T$2:$T$495))-(ROW('CASE MASTER'!#REF!)-1)))&amp;TRIM(MID(SUBSTITUTE(SUBSTITUTE(INDEX('CASE MASTER'!$N$2:$N$495,(SUMPRODUCT((('CASE MASTER'!$T$2:$T$495=4)*('CASE MASTER'!$U$2:$U$495&lt;=3)*('CASE MASTER'!$W$2:$W$495&gt;=3)*('CASE MASTER'!$V$2:$V$495&lt;=9)*('CASE MASTER'!$X$2:$X$495&gt;=9))*ROW('CASE MASTER'!$T$2:$T$495))-(ROW('CASE MASTER'!#REF!)-1))),":",","),",",REPT(" ",50)),((((3-INDEX('CASE MASTER'!$U$2:$U$495,(SUMPRODUCT((('CASE MASTER'!$T$2:$T$495=4)*('CASE MASTER'!$U$2:$U$495&lt;=3)*('CASE MASTER'!$W$2:$W$495&gt;=3)*('CASE MASTER'!$V$2:$V$495&lt;=9)*('CASE MASTER'!$X$2:$X$495&gt;=9))*ROW('CASE MASTER'!$T$2:$T$495))-(ROW('CASE MASTER'!#REF!)-1))))*(INDEX('CASE MASTER'!$X$2:$X$495,(SUMPRODUCT((('CASE MASTER'!$T$2:$T$495=4)*('CASE MASTER'!$U$2:$U$495&lt;=3)*('CASE MASTER'!$W$2:$W$495&gt;=3)*('CASE MASTER'!$V$2:$V$495&lt;=9)*('CASE MASTER'!$X$2:$X$495&gt;=9))*ROW('CASE MASTER'!$T$2:$T$495))-(ROW('CASE MASTER'!#REF!)-1)))-INDEX('CASE MASTER'!$V$2:$V$495,(SUMPRODUCT((('CASE MASTER'!$T$2:$T$495=4)*('CASE MASTER'!$U$2:$U$495&lt;=3)*('CASE MASTER'!$W$2:$W$495&gt;=3)*('CASE MASTER'!$V$2:$V$495&lt;=9)*('CASE MASTER'!$X$2:$X$495&gt;=9))*ROW('CASE MASTER'!$T$2:$T$495))-(ROW('CASE MASTER'!#REF!)-1)))+1)+(9-INDEX('CASE MASTER'!$V$2:$V$495,(SUMPRODUCT((('CASE MASTER'!$T$2:$T$495=4)*('CASE MASTER'!$U$2:$U$495&lt;=3)*('CASE MASTER'!$W$2:$W$495&gt;=3)*('CASE MASTER'!$V$2:$V$495&lt;=9)*('CASE MASTER'!$X$2:$X$495&gt;=9))*ROW('CASE MASTER'!$T$2:$T$495))-(ROW('CASE MASTER'!#REF!)-1))))+1))-1)*50+1,50))&amp;"_"&amp;INDEX('CASE MASTER'!$Q$2:$Q$495,(SUMPRODUCT((('CASE MASTER'!$T$2:$T$495=4)*('CASE MASTER'!$U$2:$U$495&lt;=3)*('CASE MASTER'!$W$2:$W$495&gt;=3)*('CASE MASTER'!$V$2:$V$495&lt;=9)*('CASE MASTER'!$X$2:$X$495&gt;=9))*ROW('CASE MASTER'!$T$2:$T$495))-(ROW('CASE MASTER'!#REF!)-1))),IF(SUMPRODUCT((('CASE MASTER'!$T$2:$T$495=4)*('CASE MASTER'!$AA$2:$AA$495&lt;=3)*('CASE MASTER'!$AC$2:$AC$495&gt;=3)*('CASE MASTER'!$AB$2:$AB$495&lt;=9)*('CASE MASTER'!$AD$2:$AD$495&gt;=9))*ROW('CASE MASTER'!$T$2:$T$495))&gt;0,INDEX('CASE MASTER'!$Y$2:$Y$495,(SUMPRODUCT((('CASE MASTER'!$T$2:$T$495=4)*('CASE MASTER'!$AA$2:$AA$495&lt;=3)*('CASE MASTER'!$AC$2:$AC$495&gt;=3)*('CASE MASTER'!$AB$2:$AB$495&lt;=9)*('CASE MASTER'!$AD$2:$AD$495&gt;=9))*ROW('CASE MASTER'!$T$2:$T$495))-(ROW('CASE MASTER'!#REF!)-1)))&amp;TRIM(MID(SUBSTITUTE(SUBSTITUTE(INDEX('CASE MASTER'!$N$2:$N$495,(SUMPRODUCT((('CASE MASTER'!$T$2:$T$495=4)*('CASE MASTER'!$AA$2:$AA$495&lt;=3)*('CASE MASTER'!$AC$2:$AC$495&gt;=3)*('CASE MASTER'!$AB$2:$AB$495&lt;=9)*('CASE MASTER'!$AD$2:$AD$495&gt;=9))*ROW('CASE MASTER'!$T$2:$T$495))-(ROW('CASE MASTER'!#REF!)-1))),":",","),",",REPT(" ",50)),(((INDEX('CASE MASTER'!$Z$2:$Z$495,(SUMPRODUCT((('CASE MASTER'!$T$2:$T$495=4)*('CASE MASTER'!$AA$2:$AA$495&lt;=3)*('CASE MASTER'!$AC$2:$AC$495&gt;=3)*('CASE MASTER'!$AB$2:$AB$495&lt;=9)*('CASE MASTER'!$AD$2:$AD$495&gt;=9))*ROW('CASE MASTER'!$T$2:$T$495))-(ROW('CASE MASTER'!#REF!)-1)))+((3-INDEX('CASE MASTER'!$AA$2:$AA$495,(SUMPRODUCT((('CASE MASTER'!$T$2:$T$495=4)*('CASE MASTER'!$AA$2:$AA$495&lt;=3)*('CASE MASTER'!$AC$2:$AC$495&gt;=3)*('CASE MASTER'!$AB$2:$AB$495&lt;=9)*('CASE MASTER'!$AD$2:$AD$495&gt;=9))*ROW('CASE MASTER'!$T$2:$T$495))-(ROW('CASE MASTER'!#REF!)-1))))*(INDEX('CASE MASTER'!$AD$2:$AD$495,(SUMPRODUCT((('CASE MASTER'!$T$2:$T$495=4)*('CASE MASTER'!$AA$2:$AA$495&lt;=3)*('CASE MASTER'!$AC$2:$AC$495&gt;=3)*('CASE MASTER'!$AB$2:$AB$495&lt;=9)*('CASE MASTER'!$AD$2:$AD$495&gt;=9))*ROW('CASE MASTER'!$T$2:$T$495))-(ROW('CASE MASTER'!#REF!)-1)))-INDEX('CASE MASTER'!$AB$2:$AB$495,(SUMPRODUCT((('CASE MASTER'!$T$2:$T$495=4)*('CASE MASTER'!$AA$2:$AA$495&lt;=3)*('CASE MASTER'!$AC$2:$AC$495&gt;=3)*('CASE MASTER'!$AB$2:$AB$495&lt;=9)*('CASE MASTER'!$AD$2:$AD$495&gt;=9))*ROW('CASE MASTER'!$T$2:$T$495))-(ROW('CASE MASTER'!#REF!)-1)))+1)+(9-INDEX('CASE MASTER'!$AB$2:$AB$495,(SUMPRODUCT((('CASE MASTER'!$T$2:$T$495=4)*('CASE MASTER'!$AA$2:$AA$495&lt;=3)*('CASE MASTER'!$AC$2:$AC$495&gt;=3)*('CASE MASTER'!$AB$2:$AB$495&lt;=9)*('CASE MASTER'!$AD$2:$AD$495&gt;=9))*ROW('CASE MASTER'!$T$2:$T$495))-(ROW('CASE MASTER'!#REF!)-1))))+1)))-1)*50+1,50))&amp;"_"&amp;INDEX('CASE MASTER'!$Q$2:$Q$495,(SUMPRODUCT((('CASE MASTER'!$T$2:$T$495=4)*('CASE MASTER'!$AA$2:$AA$495&lt;=3)*('CASE MASTER'!$AC$2:$AC$495&gt;=3)*('CASE MASTER'!$AB$2:$AB$495&lt;=9)*('CASE MASTER'!$AD$2:$AD$495&gt;=9))*ROW('CASE MASTER'!$T$2:$T$495))-(ROW('CASE MASTER'!#REF!)-1))),"")),"")</f>
        <v/>
      </c>
      <c r="K47" s="10" t="str">
        <f>IFERROR(IF(SUMPRODUCT((('CASE MASTER'!$T$2:$T$495=4)*('CASE MASTER'!$U$2:$U$495&lt;=3)*('CASE MASTER'!$W$2:$W$495&gt;=3)*('CASE MASTER'!$V$2:$V$495&lt;=10)*('CASE MASTER'!$X$2:$X$495&gt;=10))*ROW('CASE MASTER'!$T$2:$T$495))&gt;0,INDEX('CASE MASTER'!$Y$2:$Y$495,(SUMPRODUCT((('CASE MASTER'!$T$2:$T$495=4)*('CASE MASTER'!$U$2:$U$495&lt;=3)*('CASE MASTER'!$W$2:$W$495&gt;=3)*('CASE MASTER'!$V$2:$V$495&lt;=10)*('CASE MASTER'!$X$2:$X$495&gt;=10))*ROW('CASE MASTER'!$T$2:$T$495))-(ROW('CASE MASTER'!#REF!)-1)))&amp;TRIM(MID(SUBSTITUTE(SUBSTITUTE(INDEX('CASE MASTER'!$N$2:$N$495,(SUMPRODUCT((('CASE MASTER'!$T$2:$T$495=4)*('CASE MASTER'!$U$2:$U$495&lt;=3)*('CASE MASTER'!$W$2:$W$495&gt;=3)*('CASE MASTER'!$V$2:$V$495&lt;=10)*('CASE MASTER'!$X$2:$X$495&gt;=10))*ROW('CASE MASTER'!$T$2:$T$495))-(ROW('CASE MASTER'!#REF!)-1))),":",","),",",REPT(" ",50)),((((3-INDEX('CASE MASTER'!$U$2:$U$495,(SUMPRODUCT((('CASE MASTER'!$T$2:$T$495=4)*('CASE MASTER'!$U$2:$U$495&lt;=3)*('CASE MASTER'!$W$2:$W$495&gt;=3)*('CASE MASTER'!$V$2:$V$495&lt;=10)*('CASE MASTER'!$X$2:$X$495&gt;=10))*ROW('CASE MASTER'!$T$2:$T$495))-(ROW('CASE MASTER'!#REF!)-1))))*(INDEX('CASE MASTER'!$X$2:$X$495,(SUMPRODUCT((('CASE MASTER'!$T$2:$T$495=4)*('CASE MASTER'!$U$2:$U$495&lt;=3)*('CASE MASTER'!$W$2:$W$495&gt;=3)*('CASE MASTER'!$V$2:$V$495&lt;=10)*('CASE MASTER'!$X$2:$X$495&gt;=10))*ROW('CASE MASTER'!$T$2:$T$495))-(ROW('CASE MASTER'!#REF!)-1)))-INDEX('CASE MASTER'!$V$2:$V$495,(SUMPRODUCT((('CASE MASTER'!$T$2:$T$495=4)*('CASE MASTER'!$U$2:$U$495&lt;=3)*('CASE MASTER'!$W$2:$W$495&gt;=3)*('CASE MASTER'!$V$2:$V$495&lt;=10)*('CASE MASTER'!$X$2:$X$495&gt;=10))*ROW('CASE MASTER'!$T$2:$T$495))-(ROW('CASE MASTER'!#REF!)-1)))+1)+(10-INDEX('CASE MASTER'!$V$2:$V$495,(SUMPRODUCT((('CASE MASTER'!$T$2:$T$495=4)*('CASE MASTER'!$U$2:$U$495&lt;=3)*('CASE MASTER'!$W$2:$W$495&gt;=3)*('CASE MASTER'!$V$2:$V$495&lt;=10)*('CASE MASTER'!$X$2:$X$495&gt;=10))*ROW('CASE MASTER'!$T$2:$T$495))-(ROW('CASE MASTER'!#REF!)-1))))+1))-1)*50+1,50))&amp;"_"&amp;INDEX('CASE MASTER'!$Q$2:$Q$495,(SUMPRODUCT((('CASE MASTER'!$T$2:$T$495=4)*('CASE MASTER'!$U$2:$U$495&lt;=3)*('CASE MASTER'!$W$2:$W$495&gt;=3)*('CASE MASTER'!$V$2:$V$495&lt;=10)*('CASE MASTER'!$X$2:$X$495&gt;=10))*ROW('CASE MASTER'!$T$2:$T$495))-(ROW('CASE MASTER'!#REF!)-1))),IF(SUMPRODUCT((('CASE MASTER'!$T$2:$T$495=4)*('CASE MASTER'!$AA$2:$AA$495&lt;=3)*('CASE MASTER'!$AC$2:$AC$495&gt;=3)*('CASE MASTER'!$AB$2:$AB$495&lt;=10)*('CASE MASTER'!$AD$2:$AD$495&gt;=10))*ROW('CASE MASTER'!$T$2:$T$495))&gt;0,INDEX('CASE MASTER'!$Y$2:$Y$495,(SUMPRODUCT((('CASE MASTER'!$T$2:$T$495=4)*('CASE MASTER'!$AA$2:$AA$495&lt;=3)*('CASE MASTER'!$AC$2:$AC$495&gt;=3)*('CASE MASTER'!$AB$2:$AB$495&lt;=10)*('CASE MASTER'!$AD$2:$AD$495&gt;=10))*ROW('CASE MASTER'!$T$2:$T$495))-(ROW('CASE MASTER'!#REF!)-1)))&amp;TRIM(MID(SUBSTITUTE(SUBSTITUTE(INDEX('CASE MASTER'!$N$2:$N$495,(SUMPRODUCT((('CASE MASTER'!$T$2:$T$495=4)*('CASE MASTER'!$AA$2:$AA$495&lt;=3)*('CASE MASTER'!$AC$2:$AC$495&gt;=3)*('CASE MASTER'!$AB$2:$AB$495&lt;=10)*('CASE MASTER'!$AD$2:$AD$495&gt;=10))*ROW('CASE MASTER'!$T$2:$T$495))-(ROW('CASE MASTER'!#REF!)-1))),":",","),",",REPT(" ",50)),(((INDEX('CASE MASTER'!$Z$2:$Z$495,(SUMPRODUCT((('CASE MASTER'!$T$2:$T$495=4)*('CASE MASTER'!$AA$2:$AA$495&lt;=3)*('CASE MASTER'!$AC$2:$AC$495&gt;=3)*('CASE MASTER'!$AB$2:$AB$495&lt;=10)*('CASE MASTER'!$AD$2:$AD$495&gt;=10))*ROW('CASE MASTER'!$T$2:$T$495))-(ROW('CASE MASTER'!#REF!)-1)))+((3-INDEX('CASE MASTER'!$AA$2:$AA$495,(SUMPRODUCT((('CASE MASTER'!$T$2:$T$495=4)*('CASE MASTER'!$AA$2:$AA$495&lt;=3)*('CASE MASTER'!$AC$2:$AC$495&gt;=3)*('CASE MASTER'!$AB$2:$AB$495&lt;=10)*('CASE MASTER'!$AD$2:$AD$495&gt;=10))*ROW('CASE MASTER'!$T$2:$T$495))-(ROW('CASE MASTER'!#REF!)-1))))*(INDEX('CASE MASTER'!$AD$2:$AD$495,(SUMPRODUCT((('CASE MASTER'!$T$2:$T$495=4)*('CASE MASTER'!$AA$2:$AA$495&lt;=3)*('CASE MASTER'!$AC$2:$AC$495&gt;=3)*('CASE MASTER'!$AB$2:$AB$495&lt;=10)*('CASE MASTER'!$AD$2:$AD$495&gt;=10))*ROW('CASE MASTER'!$T$2:$T$495))-(ROW('CASE MASTER'!#REF!)-1)))-INDEX('CASE MASTER'!$AB$2:$AB$495,(SUMPRODUCT((('CASE MASTER'!$T$2:$T$495=4)*('CASE MASTER'!$AA$2:$AA$495&lt;=3)*('CASE MASTER'!$AC$2:$AC$495&gt;=3)*('CASE MASTER'!$AB$2:$AB$495&lt;=10)*('CASE MASTER'!$AD$2:$AD$495&gt;=10))*ROW('CASE MASTER'!$T$2:$T$495))-(ROW('CASE MASTER'!#REF!)-1)))+1)+(10-INDEX('CASE MASTER'!$AB$2:$AB$495,(SUMPRODUCT((('CASE MASTER'!$T$2:$T$495=4)*('CASE MASTER'!$AA$2:$AA$495&lt;=3)*('CASE MASTER'!$AC$2:$AC$495&gt;=3)*('CASE MASTER'!$AB$2:$AB$495&lt;=10)*('CASE MASTER'!$AD$2:$AD$495&gt;=10))*ROW('CASE MASTER'!$T$2:$T$495))-(ROW('CASE MASTER'!#REF!)-1))))+1)))-1)*50+1,50))&amp;"_"&amp;INDEX('CASE MASTER'!$Q$2:$Q$495,(SUMPRODUCT((('CASE MASTER'!$T$2:$T$495=4)*('CASE MASTER'!$AA$2:$AA$495&lt;=3)*('CASE MASTER'!$AC$2:$AC$495&gt;=3)*('CASE MASTER'!$AB$2:$AB$495&lt;=10)*('CASE MASTER'!$AD$2:$AD$495&gt;=10))*ROW('CASE MASTER'!$T$2:$T$495))-(ROW('CASE MASTER'!#REF!)-1))),"")),"")</f>
        <v/>
      </c>
    </row>
    <row r="48" spans="1:11" ht="15" customHeight="1" x14ac:dyDescent="0.35">
      <c r="A48" s="8" t="s">
        <v>31</v>
      </c>
      <c r="B48" s="10" t="str">
        <f>IFERROR(IF(SUMPRODUCT((('CASE MASTER'!$T$2:$T$495=4)*('CASE MASTER'!$U$2:$U$495&lt;=4)*('CASE MASTER'!$W$2:$W$495&gt;=4)*('CASE MASTER'!$V$2:$V$495&lt;=1)*('CASE MASTER'!$X$2:$X$495&gt;=1))*ROW('CASE MASTER'!$T$2:$T$495))&gt;0,INDEX('CASE MASTER'!$Y$2:$Y$495,(SUMPRODUCT((('CASE MASTER'!$T$2:$T$495=4)*('CASE MASTER'!$U$2:$U$495&lt;=4)*('CASE MASTER'!$W$2:$W$495&gt;=4)*('CASE MASTER'!$V$2:$V$495&lt;=1)*('CASE MASTER'!$X$2:$X$495&gt;=1))*ROW('CASE MASTER'!$T$2:$T$495))-(ROW('CASE MASTER'!#REF!)-1)))&amp;TRIM(MID(SUBSTITUTE(SUBSTITUTE(INDEX('CASE MASTER'!$N$2:$N$495,(SUMPRODUCT((('CASE MASTER'!$T$2:$T$495=4)*('CASE MASTER'!$U$2:$U$495&lt;=4)*('CASE MASTER'!$W$2:$W$495&gt;=4)*('CASE MASTER'!$V$2:$V$495&lt;=1)*('CASE MASTER'!$X$2:$X$495&gt;=1))*ROW('CASE MASTER'!$T$2:$T$495))-(ROW('CASE MASTER'!#REF!)-1))),":",","),",",REPT(" ",50)),((((4-INDEX('CASE MASTER'!$U$2:$U$495,(SUMPRODUCT((('CASE MASTER'!$T$2:$T$495=4)*('CASE MASTER'!$U$2:$U$495&lt;=4)*('CASE MASTER'!$W$2:$W$495&gt;=4)*('CASE MASTER'!$V$2:$V$495&lt;=1)*('CASE MASTER'!$X$2:$X$495&gt;=1))*ROW('CASE MASTER'!$T$2:$T$495))-(ROW('CASE MASTER'!#REF!)-1))))*(INDEX('CASE MASTER'!$X$2:$X$495,(SUMPRODUCT((('CASE MASTER'!$T$2:$T$495=4)*('CASE MASTER'!$U$2:$U$495&lt;=4)*('CASE MASTER'!$W$2:$W$495&gt;=4)*('CASE MASTER'!$V$2:$V$495&lt;=1)*('CASE MASTER'!$X$2:$X$495&gt;=1))*ROW('CASE MASTER'!$T$2:$T$495))-(ROW('CASE MASTER'!#REF!)-1)))-INDEX('CASE MASTER'!$V$2:$V$495,(SUMPRODUCT((('CASE MASTER'!$T$2:$T$495=4)*('CASE MASTER'!$U$2:$U$495&lt;=4)*('CASE MASTER'!$W$2:$W$495&gt;=4)*('CASE MASTER'!$V$2:$V$495&lt;=1)*('CASE MASTER'!$X$2:$X$495&gt;=1))*ROW('CASE MASTER'!$T$2:$T$495))-(ROW('CASE MASTER'!#REF!)-1)))+1)+(1-INDEX('CASE MASTER'!$V$2:$V$495,(SUMPRODUCT((('CASE MASTER'!$T$2:$T$495=4)*('CASE MASTER'!$U$2:$U$495&lt;=4)*('CASE MASTER'!$W$2:$W$495&gt;=4)*('CASE MASTER'!$V$2:$V$495&lt;=1)*('CASE MASTER'!$X$2:$X$495&gt;=1))*ROW('CASE MASTER'!$T$2:$T$495))-(ROW('CASE MASTER'!#REF!)-1))))+1))-1)*50+1,50))&amp;"_"&amp;INDEX('CASE MASTER'!$Q$2:$Q$495,(SUMPRODUCT((('CASE MASTER'!$T$2:$T$495=4)*('CASE MASTER'!$U$2:$U$495&lt;=4)*('CASE MASTER'!$W$2:$W$495&gt;=4)*('CASE MASTER'!$V$2:$V$495&lt;=1)*('CASE MASTER'!$X$2:$X$495&gt;=1))*ROW('CASE MASTER'!$T$2:$T$495))-(ROW('CASE MASTER'!#REF!)-1))),IF(SUMPRODUCT((('CASE MASTER'!$T$2:$T$495=4)*('CASE MASTER'!$AA$2:$AA$495&lt;=4)*('CASE MASTER'!$AC$2:$AC$495&gt;=4)*('CASE MASTER'!$AB$2:$AB$495&lt;=1)*('CASE MASTER'!$AD$2:$AD$495&gt;=1))*ROW('CASE MASTER'!$T$2:$T$495))&gt;0,INDEX('CASE MASTER'!$Y$2:$Y$495,(SUMPRODUCT((('CASE MASTER'!$T$2:$T$495=4)*('CASE MASTER'!$AA$2:$AA$495&lt;=4)*('CASE MASTER'!$AC$2:$AC$495&gt;=4)*('CASE MASTER'!$AB$2:$AB$495&lt;=1)*('CASE MASTER'!$AD$2:$AD$495&gt;=1))*ROW('CASE MASTER'!$T$2:$T$495))-(ROW('CASE MASTER'!#REF!)-1)))&amp;TRIM(MID(SUBSTITUTE(SUBSTITUTE(INDEX('CASE MASTER'!$N$2:$N$495,(SUMPRODUCT((('CASE MASTER'!$T$2:$T$495=4)*('CASE MASTER'!$AA$2:$AA$495&lt;=4)*('CASE MASTER'!$AC$2:$AC$495&gt;=4)*('CASE MASTER'!$AB$2:$AB$495&lt;=1)*('CASE MASTER'!$AD$2:$AD$495&gt;=1))*ROW('CASE MASTER'!$T$2:$T$495))-(ROW('CASE MASTER'!#REF!)-1))),":",","),",",REPT(" ",50)),(((INDEX('CASE MASTER'!$Z$2:$Z$495,(SUMPRODUCT((('CASE MASTER'!$T$2:$T$495=4)*('CASE MASTER'!$AA$2:$AA$495&lt;=4)*('CASE MASTER'!$AC$2:$AC$495&gt;=4)*('CASE MASTER'!$AB$2:$AB$495&lt;=1)*('CASE MASTER'!$AD$2:$AD$495&gt;=1))*ROW('CASE MASTER'!$T$2:$T$495))-(ROW('CASE MASTER'!#REF!)-1)))+((4-INDEX('CASE MASTER'!$AA$2:$AA$495,(SUMPRODUCT((('CASE MASTER'!$T$2:$T$495=4)*('CASE MASTER'!$AA$2:$AA$495&lt;=4)*('CASE MASTER'!$AC$2:$AC$495&gt;=4)*('CASE MASTER'!$AB$2:$AB$495&lt;=1)*('CASE MASTER'!$AD$2:$AD$495&gt;=1))*ROW('CASE MASTER'!$T$2:$T$495))-(ROW('CASE MASTER'!#REF!)-1))))*(INDEX('CASE MASTER'!$AD$2:$AD$495,(SUMPRODUCT((('CASE MASTER'!$T$2:$T$495=4)*('CASE MASTER'!$AA$2:$AA$495&lt;=4)*('CASE MASTER'!$AC$2:$AC$495&gt;=4)*('CASE MASTER'!$AB$2:$AB$495&lt;=1)*('CASE MASTER'!$AD$2:$AD$495&gt;=1))*ROW('CASE MASTER'!$T$2:$T$495))-(ROW('CASE MASTER'!#REF!)-1)))-INDEX('CASE MASTER'!$AB$2:$AB$495,(SUMPRODUCT((('CASE MASTER'!$T$2:$T$495=4)*('CASE MASTER'!$AA$2:$AA$495&lt;=4)*('CASE MASTER'!$AC$2:$AC$495&gt;=4)*('CASE MASTER'!$AB$2:$AB$495&lt;=1)*('CASE MASTER'!$AD$2:$AD$495&gt;=1))*ROW('CASE MASTER'!$T$2:$T$495))-(ROW('CASE MASTER'!#REF!)-1)))+1)+(1-INDEX('CASE MASTER'!$AB$2:$AB$495,(SUMPRODUCT((('CASE MASTER'!$T$2:$T$495=4)*('CASE MASTER'!$AA$2:$AA$495&lt;=4)*('CASE MASTER'!$AC$2:$AC$495&gt;=4)*('CASE MASTER'!$AB$2:$AB$495&lt;=1)*('CASE MASTER'!$AD$2:$AD$495&gt;=1))*ROW('CASE MASTER'!$T$2:$T$495))-(ROW('CASE MASTER'!#REF!)-1))))+1)))-1)*50+1,50))&amp;"_"&amp;INDEX('CASE MASTER'!$Q$2:$Q$495,(SUMPRODUCT((('CASE MASTER'!$T$2:$T$495=4)*('CASE MASTER'!$AA$2:$AA$495&lt;=4)*('CASE MASTER'!$AC$2:$AC$495&gt;=4)*('CASE MASTER'!$AB$2:$AB$495&lt;=1)*('CASE MASTER'!$AD$2:$AD$495&gt;=1))*ROW('CASE MASTER'!$T$2:$T$495))-(ROW('CASE MASTER'!#REF!)-1))),"")),"")</f>
        <v/>
      </c>
      <c r="C48" s="10" t="str">
        <f>IFERROR(IF(SUMPRODUCT((('CASE MASTER'!$T$2:$T$495=4)*('CASE MASTER'!$U$2:$U$495&lt;=4)*('CASE MASTER'!$W$2:$W$495&gt;=4)*('CASE MASTER'!$V$2:$V$495&lt;=2)*('CASE MASTER'!$X$2:$X$495&gt;=2))*ROW('CASE MASTER'!$T$2:$T$495))&gt;0,INDEX('CASE MASTER'!$Y$2:$Y$495,(SUMPRODUCT((('CASE MASTER'!$T$2:$T$495=4)*('CASE MASTER'!$U$2:$U$495&lt;=4)*('CASE MASTER'!$W$2:$W$495&gt;=4)*('CASE MASTER'!$V$2:$V$495&lt;=2)*('CASE MASTER'!$X$2:$X$495&gt;=2))*ROW('CASE MASTER'!$T$2:$T$495))-(ROW('CASE MASTER'!#REF!)-1)))&amp;TRIM(MID(SUBSTITUTE(SUBSTITUTE(INDEX('CASE MASTER'!$N$2:$N$495,(SUMPRODUCT((('CASE MASTER'!$T$2:$T$495=4)*('CASE MASTER'!$U$2:$U$495&lt;=4)*('CASE MASTER'!$W$2:$W$495&gt;=4)*('CASE MASTER'!$V$2:$V$495&lt;=2)*('CASE MASTER'!$X$2:$X$495&gt;=2))*ROW('CASE MASTER'!$T$2:$T$495))-(ROW('CASE MASTER'!#REF!)-1))),":",","),",",REPT(" ",50)),((((4-INDEX('CASE MASTER'!$U$2:$U$495,(SUMPRODUCT((('CASE MASTER'!$T$2:$T$495=4)*('CASE MASTER'!$U$2:$U$495&lt;=4)*('CASE MASTER'!$W$2:$W$495&gt;=4)*('CASE MASTER'!$V$2:$V$495&lt;=2)*('CASE MASTER'!$X$2:$X$495&gt;=2))*ROW('CASE MASTER'!$T$2:$T$495))-(ROW('CASE MASTER'!#REF!)-1))))*(INDEX('CASE MASTER'!$X$2:$X$495,(SUMPRODUCT((('CASE MASTER'!$T$2:$T$495=4)*('CASE MASTER'!$U$2:$U$495&lt;=4)*('CASE MASTER'!$W$2:$W$495&gt;=4)*('CASE MASTER'!$V$2:$V$495&lt;=2)*('CASE MASTER'!$X$2:$X$495&gt;=2))*ROW('CASE MASTER'!$T$2:$T$495))-(ROW('CASE MASTER'!#REF!)-1)))-INDEX('CASE MASTER'!$V$2:$V$495,(SUMPRODUCT((('CASE MASTER'!$T$2:$T$495=4)*('CASE MASTER'!$U$2:$U$495&lt;=4)*('CASE MASTER'!$W$2:$W$495&gt;=4)*('CASE MASTER'!$V$2:$V$495&lt;=2)*('CASE MASTER'!$X$2:$X$495&gt;=2))*ROW('CASE MASTER'!$T$2:$T$495))-(ROW('CASE MASTER'!#REF!)-1)))+1)+(2-INDEX('CASE MASTER'!$V$2:$V$495,(SUMPRODUCT((('CASE MASTER'!$T$2:$T$495=4)*('CASE MASTER'!$U$2:$U$495&lt;=4)*('CASE MASTER'!$W$2:$W$495&gt;=4)*('CASE MASTER'!$V$2:$V$495&lt;=2)*('CASE MASTER'!$X$2:$X$495&gt;=2))*ROW('CASE MASTER'!$T$2:$T$495))-(ROW('CASE MASTER'!#REF!)-1))))+1))-1)*50+1,50))&amp;"_"&amp;INDEX('CASE MASTER'!$Q$2:$Q$495,(SUMPRODUCT((('CASE MASTER'!$T$2:$T$495=4)*('CASE MASTER'!$U$2:$U$495&lt;=4)*('CASE MASTER'!$W$2:$W$495&gt;=4)*('CASE MASTER'!$V$2:$V$495&lt;=2)*('CASE MASTER'!$X$2:$X$495&gt;=2))*ROW('CASE MASTER'!$T$2:$T$495))-(ROW('CASE MASTER'!#REF!)-1))),IF(SUMPRODUCT((('CASE MASTER'!$T$2:$T$495=4)*('CASE MASTER'!$AA$2:$AA$495&lt;=4)*('CASE MASTER'!$AC$2:$AC$495&gt;=4)*('CASE MASTER'!$AB$2:$AB$495&lt;=2)*('CASE MASTER'!$AD$2:$AD$495&gt;=2))*ROW('CASE MASTER'!$T$2:$T$495))&gt;0,INDEX('CASE MASTER'!$Y$2:$Y$495,(SUMPRODUCT((('CASE MASTER'!$T$2:$T$495=4)*('CASE MASTER'!$AA$2:$AA$495&lt;=4)*('CASE MASTER'!$AC$2:$AC$495&gt;=4)*('CASE MASTER'!$AB$2:$AB$495&lt;=2)*('CASE MASTER'!$AD$2:$AD$495&gt;=2))*ROW('CASE MASTER'!$T$2:$T$495))-(ROW('CASE MASTER'!#REF!)-1)))&amp;TRIM(MID(SUBSTITUTE(SUBSTITUTE(INDEX('CASE MASTER'!$N$2:$N$495,(SUMPRODUCT((('CASE MASTER'!$T$2:$T$495=4)*('CASE MASTER'!$AA$2:$AA$495&lt;=4)*('CASE MASTER'!$AC$2:$AC$495&gt;=4)*('CASE MASTER'!$AB$2:$AB$495&lt;=2)*('CASE MASTER'!$AD$2:$AD$495&gt;=2))*ROW('CASE MASTER'!$T$2:$T$495))-(ROW('CASE MASTER'!#REF!)-1))),":",","),",",REPT(" ",50)),(((INDEX('CASE MASTER'!$Z$2:$Z$495,(SUMPRODUCT((('CASE MASTER'!$T$2:$T$495=4)*('CASE MASTER'!$AA$2:$AA$495&lt;=4)*('CASE MASTER'!$AC$2:$AC$495&gt;=4)*('CASE MASTER'!$AB$2:$AB$495&lt;=2)*('CASE MASTER'!$AD$2:$AD$495&gt;=2))*ROW('CASE MASTER'!$T$2:$T$495))-(ROW('CASE MASTER'!#REF!)-1)))+((4-INDEX('CASE MASTER'!$AA$2:$AA$495,(SUMPRODUCT((('CASE MASTER'!$T$2:$T$495=4)*('CASE MASTER'!$AA$2:$AA$495&lt;=4)*('CASE MASTER'!$AC$2:$AC$495&gt;=4)*('CASE MASTER'!$AB$2:$AB$495&lt;=2)*('CASE MASTER'!$AD$2:$AD$495&gt;=2))*ROW('CASE MASTER'!$T$2:$T$495))-(ROW('CASE MASTER'!#REF!)-1))))*(INDEX('CASE MASTER'!$AD$2:$AD$495,(SUMPRODUCT((('CASE MASTER'!$T$2:$T$495=4)*('CASE MASTER'!$AA$2:$AA$495&lt;=4)*('CASE MASTER'!$AC$2:$AC$495&gt;=4)*('CASE MASTER'!$AB$2:$AB$495&lt;=2)*('CASE MASTER'!$AD$2:$AD$495&gt;=2))*ROW('CASE MASTER'!$T$2:$T$495))-(ROW('CASE MASTER'!#REF!)-1)))-INDEX('CASE MASTER'!$AB$2:$AB$495,(SUMPRODUCT((('CASE MASTER'!$T$2:$T$495=4)*('CASE MASTER'!$AA$2:$AA$495&lt;=4)*('CASE MASTER'!$AC$2:$AC$495&gt;=4)*('CASE MASTER'!$AB$2:$AB$495&lt;=2)*('CASE MASTER'!$AD$2:$AD$495&gt;=2))*ROW('CASE MASTER'!$T$2:$T$495))-(ROW('CASE MASTER'!#REF!)-1)))+1)+(2-INDEX('CASE MASTER'!$AB$2:$AB$495,(SUMPRODUCT((('CASE MASTER'!$T$2:$T$495=4)*('CASE MASTER'!$AA$2:$AA$495&lt;=4)*('CASE MASTER'!$AC$2:$AC$495&gt;=4)*('CASE MASTER'!$AB$2:$AB$495&lt;=2)*('CASE MASTER'!$AD$2:$AD$495&gt;=2))*ROW('CASE MASTER'!$T$2:$T$495))-(ROW('CASE MASTER'!#REF!)-1))))+1)))-1)*50+1,50))&amp;"_"&amp;INDEX('CASE MASTER'!$Q$2:$Q$495,(SUMPRODUCT((('CASE MASTER'!$T$2:$T$495=4)*('CASE MASTER'!$AA$2:$AA$495&lt;=4)*('CASE MASTER'!$AC$2:$AC$495&gt;=4)*('CASE MASTER'!$AB$2:$AB$495&lt;=2)*('CASE MASTER'!$AD$2:$AD$495&gt;=2))*ROW('CASE MASTER'!$T$2:$T$495))-(ROW('CASE MASTER'!#REF!)-1))),"")),"")</f>
        <v/>
      </c>
      <c r="D48" s="10" t="str">
        <f>IFERROR(IF(SUMPRODUCT((('CASE MASTER'!$T$2:$T$495=4)*('CASE MASTER'!$U$2:$U$495&lt;=4)*('CASE MASTER'!$W$2:$W$495&gt;=4)*('CASE MASTER'!$V$2:$V$495&lt;=3)*('CASE MASTER'!$X$2:$X$495&gt;=3))*ROW('CASE MASTER'!$T$2:$T$495))&gt;0,INDEX('CASE MASTER'!$Y$2:$Y$495,(SUMPRODUCT((('CASE MASTER'!$T$2:$T$495=4)*('CASE MASTER'!$U$2:$U$495&lt;=4)*('CASE MASTER'!$W$2:$W$495&gt;=4)*('CASE MASTER'!$V$2:$V$495&lt;=3)*('CASE MASTER'!$X$2:$X$495&gt;=3))*ROW('CASE MASTER'!$T$2:$T$495))-(ROW('CASE MASTER'!#REF!)-1)))&amp;TRIM(MID(SUBSTITUTE(SUBSTITUTE(INDEX('CASE MASTER'!$N$2:$N$495,(SUMPRODUCT((('CASE MASTER'!$T$2:$T$495=4)*('CASE MASTER'!$U$2:$U$495&lt;=4)*('CASE MASTER'!$W$2:$W$495&gt;=4)*('CASE MASTER'!$V$2:$V$495&lt;=3)*('CASE MASTER'!$X$2:$X$495&gt;=3))*ROW('CASE MASTER'!$T$2:$T$495))-(ROW('CASE MASTER'!#REF!)-1))),":",","),",",REPT(" ",50)),((((4-INDEX('CASE MASTER'!$U$2:$U$495,(SUMPRODUCT((('CASE MASTER'!$T$2:$T$495=4)*('CASE MASTER'!$U$2:$U$495&lt;=4)*('CASE MASTER'!$W$2:$W$495&gt;=4)*('CASE MASTER'!$V$2:$V$495&lt;=3)*('CASE MASTER'!$X$2:$X$495&gt;=3))*ROW('CASE MASTER'!$T$2:$T$495))-(ROW('CASE MASTER'!#REF!)-1))))*(INDEX('CASE MASTER'!$X$2:$X$495,(SUMPRODUCT((('CASE MASTER'!$T$2:$T$495=4)*('CASE MASTER'!$U$2:$U$495&lt;=4)*('CASE MASTER'!$W$2:$W$495&gt;=4)*('CASE MASTER'!$V$2:$V$495&lt;=3)*('CASE MASTER'!$X$2:$X$495&gt;=3))*ROW('CASE MASTER'!$T$2:$T$495))-(ROW('CASE MASTER'!#REF!)-1)))-INDEX('CASE MASTER'!$V$2:$V$495,(SUMPRODUCT((('CASE MASTER'!$T$2:$T$495=4)*('CASE MASTER'!$U$2:$U$495&lt;=4)*('CASE MASTER'!$W$2:$W$495&gt;=4)*('CASE MASTER'!$V$2:$V$495&lt;=3)*('CASE MASTER'!$X$2:$X$495&gt;=3))*ROW('CASE MASTER'!$T$2:$T$495))-(ROW('CASE MASTER'!#REF!)-1)))+1)+(3-INDEX('CASE MASTER'!$V$2:$V$495,(SUMPRODUCT((('CASE MASTER'!$T$2:$T$495=4)*('CASE MASTER'!$U$2:$U$495&lt;=4)*('CASE MASTER'!$W$2:$W$495&gt;=4)*('CASE MASTER'!$V$2:$V$495&lt;=3)*('CASE MASTER'!$X$2:$X$495&gt;=3))*ROW('CASE MASTER'!$T$2:$T$495))-(ROW('CASE MASTER'!#REF!)-1))))+1))-1)*50+1,50))&amp;"_"&amp;INDEX('CASE MASTER'!$Q$2:$Q$495,(SUMPRODUCT((('CASE MASTER'!$T$2:$T$495=4)*('CASE MASTER'!$U$2:$U$495&lt;=4)*('CASE MASTER'!$W$2:$W$495&gt;=4)*('CASE MASTER'!$V$2:$V$495&lt;=3)*('CASE MASTER'!$X$2:$X$495&gt;=3))*ROW('CASE MASTER'!$T$2:$T$495))-(ROW('CASE MASTER'!#REF!)-1))),IF(SUMPRODUCT((('CASE MASTER'!$T$2:$T$495=4)*('CASE MASTER'!$AA$2:$AA$495&lt;=4)*('CASE MASTER'!$AC$2:$AC$495&gt;=4)*('CASE MASTER'!$AB$2:$AB$495&lt;=3)*('CASE MASTER'!$AD$2:$AD$495&gt;=3))*ROW('CASE MASTER'!$T$2:$T$495))&gt;0,INDEX('CASE MASTER'!$Y$2:$Y$495,(SUMPRODUCT((('CASE MASTER'!$T$2:$T$495=4)*('CASE MASTER'!$AA$2:$AA$495&lt;=4)*('CASE MASTER'!$AC$2:$AC$495&gt;=4)*('CASE MASTER'!$AB$2:$AB$495&lt;=3)*('CASE MASTER'!$AD$2:$AD$495&gt;=3))*ROW('CASE MASTER'!$T$2:$T$495))-(ROW('CASE MASTER'!#REF!)-1)))&amp;TRIM(MID(SUBSTITUTE(SUBSTITUTE(INDEX('CASE MASTER'!$N$2:$N$495,(SUMPRODUCT((('CASE MASTER'!$T$2:$T$495=4)*('CASE MASTER'!$AA$2:$AA$495&lt;=4)*('CASE MASTER'!$AC$2:$AC$495&gt;=4)*('CASE MASTER'!$AB$2:$AB$495&lt;=3)*('CASE MASTER'!$AD$2:$AD$495&gt;=3))*ROW('CASE MASTER'!$T$2:$T$495))-(ROW('CASE MASTER'!#REF!)-1))),":",","),",",REPT(" ",50)),(((INDEX('CASE MASTER'!$Z$2:$Z$495,(SUMPRODUCT((('CASE MASTER'!$T$2:$T$495=4)*('CASE MASTER'!$AA$2:$AA$495&lt;=4)*('CASE MASTER'!$AC$2:$AC$495&gt;=4)*('CASE MASTER'!$AB$2:$AB$495&lt;=3)*('CASE MASTER'!$AD$2:$AD$495&gt;=3))*ROW('CASE MASTER'!$T$2:$T$495))-(ROW('CASE MASTER'!#REF!)-1)))+((4-INDEX('CASE MASTER'!$AA$2:$AA$495,(SUMPRODUCT((('CASE MASTER'!$T$2:$T$495=4)*('CASE MASTER'!$AA$2:$AA$495&lt;=4)*('CASE MASTER'!$AC$2:$AC$495&gt;=4)*('CASE MASTER'!$AB$2:$AB$495&lt;=3)*('CASE MASTER'!$AD$2:$AD$495&gt;=3))*ROW('CASE MASTER'!$T$2:$T$495))-(ROW('CASE MASTER'!#REF!)-1))))*(INDEX('CASE MASTER'!$AD$2:$AD$495,(SUMPRODUCT((('CASE MASTER'!$T$2:$T$495=4)*('CASE MASTER'!$AA$2:$AA$495&lt;=4)*('CASE MASTER'!$AC$2:$AC$495&gt;=4)*('CASE MASTER'!$AB$2:$AB$495&lt;=3)*('CASE MASTER'!$AD$2:$AD$495&gt;=3))*ROW('CASE MASTER'!$T$2:$T$495))-(ROW('CASE MASTER'!#REF!)-1)))-INDEX('CASE MASTER'!$AB$2:$AB$495,(SUMPRODUCT((('CASE MASTER'!$T$2:$T$495=4)*('CASE MASTER'!$AA$2:$AA$495&lt;=4)*('CASE MASTER'!$AC$2:$AC$495&gt;=4)*('CASE MASTER'!$AB$2:$AB$495&lt;=3)*('CASE MASTER'!$AD$2:$AD$495&gt;=3))*ROW('CASE MASTER'!$T$2:$T$495))-(ROW('CASE MASTER'!#REF!)-1)))+1)+(3-INDEX('CASE MASTER'!$AB$2:$AB$495,(SUMPRODUCT((('CASE MASTER'!$T$2:$T$495=4)*('CASE MASTER'!$AA$2:$AA$495&lt;=4)*('CASE MASTER'!$AC$2:$AC$495&gt;=4)*('CASE MASTER'!$AB$2:$AB$495&lt;=3)*('CASE MASTER'!$AD$2:$AD$495&gt;=3))*ROW('CASE MASTER'!$T$2:$T$495))-(ROW('CASE MASTER'!#REF!)-1))))+1)))-1)*50+1,50))&amp;"_"&amp;INDEX('CASE MASTER'!$Q$2:$Q$495,(SUMPRODUCT((('CASE MASTER'!$T$2:$T$495=4)*('CASE MASTER'!$AA$2:$AA$495&lt;=4)*('CASE MASTER'!$AC$2:$AC$495&gt;=4)*('CASE MASTER'!$AB$2:$AB$495&lt;=3)*('CASE MASTER'!$AD$2:$AD$495&gt;=3))*ROW('CASE MASTER'!$T$2:$T$495))-(ROW('CASE MASTER'!#REF!)-1))),"")),"")</f>
        <v/>
      </c>
      <c r="E48" s="10" t="str">
        <f>IFERROR(IF(SUMPRODUCT((('CASE MASTER'!$T$2:$T$495=4)*('CASE MASTER'!$U$2:$U$495&lt;=4)*('CASE MASTER'!$W$2:$W$495&gt;=4)*('CASE MASTER'!$V$2:$V$495&lt;=4)*('CASE MASTER'!$X$2:$X$495&gt;=4))*ROW('CASE MASTER'!$T$2:$T$495))&gt;0,INDEX('CASE MASTER'!$Y$2:$Y$495,(SUMPRODUCT((('CASE MASTER'!$T$2:$T$495=4)*('CASE MASTER'!$U$2:$U$495&lt;=4)*('CASE MASTER'!$W$2:$W$495&gt;=4)*('CASE MASTER'!$V$2:$V$495&lt;=4)*('CASE MASTER'!$X$2:$X$495&gt;=4))*ROW('CASE MASTER'!$T$2:$T$495))-(ROW('CASE MASTER'!#REF!)-1)))&amp;TRIM(MID(SUBSTITUTE(SUBSTITUTE(INDEX('CASE MASTER'!$N$2:$N$495,(SUMPRODUCT((('CASE MASTER'!$T$2:$T$495=4)*('CASE MASTER'!$U$2:$U$495&lt;=4)*('CASE MASTER'!$W$2:$W$495&gt;=4)*('CASE MASTER'!$V$2:$V$495&lt;=4)*('CASE MASTER'!$X$2:$X$495&gt;=4))*ROW('CASE MASTER'!$T$2:$T$495))-(ROW('CASE MASTER'!#REF!)-1))),":",","),",",REPT(" ",50)),((((4-INDEX('CASE MASTER'!$U$2:$U$495,(SUMPRODUCT((('CASE MASTER'!$T$2:$T$495=4)*('CASE MASTER'!$U$2:$U$495&lt;=4)*('CASE MASTER'!$W$2:$W$495&gt;=4)*('CASE MASTER'!$V$2:$V$495&lt;=4)*('CASE MASTER'!$X$2:$X$495&gt;=4))*ROW('CASE MASTER'!$T$2:$T$495))-(ROW('CASE MASTER'!#REF!)-1))))*(INDEX('CASE MASTER'!$X$2:$X$495,(SUMPRODUCT((('CASE MASTER'!$T$2:$T$495=4)*('CASE MASTER'!$U$2:$U$495&lt;=4)*('CASE MASTER'!$W$2:$W$495&gt;=4)*('CASE MASTER'!$V$2:$V$495&lt;=4)*('CASE MASTER'!$X$2:$X$495&gt;=4))*ROW('CASE MASTER'!$T$2:$T$495))-(ROW('CASE MASTER'!#REF!)-1)))-INDEX('CASE MASTER'!$V$2:$V$495,(SUMPRODUCT((('CASE MASTER'!$T$2:$T$495=4)*('CASE MASTER'!$U$2:$U$495&lt;=4)*('CASE MASTER'!$W$2:$W$495&gt;=4)*('CASE MASTER'!$V$2:$V$495&lt;=4)*('CASE MASTER'!$X$2:$X$495&gt;=4))*ROW('CASE MASTER'!$T$2:$T$495))-(ROW('CASE MASTER'!#REF!)-1)))+1)+(4-INDEX('CASE MASTER'!$V$2:$V$495,(SUMPRODUCT((('CASE MASTER'!$T$2:$T$495=4)*('CASE MASTER'!$U$2:$U$495&lt;=4)*('CASE MASTER'!$W$2:$W$495&gt;=4)*('CASE MASTER'!$V$2:$V$495&lt;=4)*('CASE MASTER'!$X$2:$X$495&gt;=4))*ROW('CASE MASTER'!$T$2:$T$495))-(ROW('CASE MASTER'!#REF!)-1))))+1))-1)*50+1,50))&amp;"_"&amp;INDEX('CASE MASTER'!$Q$2:$Q$495,(SUMPRODUCT((('CASE MASTER'!$T$2:$T$495=4)*('CASE MASTER'!$U$2:$U$495&lt;=4)*('CASE MASTER'!$W$2:$W$495&gt;=4)*('CASE MASTER'!$V$2:$V$495&lt;=4)*('CASE MASTER'!$X$2:$X$495&gt;=4))*ROW('CASE MASTER'!$T$2:$T$495))-(ROW('CASE MASTER'!#REF!)-1))),IF(SUMPRODUCT((('CASE MASTER'!$T$2:$T$495=4)*('CASE MASTER'!$AA$2:$AA$495&lt;=4)*('CASE MASTER'!$AC$2:$AC$495&gt;=4)*('CASE MASTER'!$AB$2:$AB$495&lt;=4)*('CASE MASTER'!$AD$2:$AD$495&gt;=4))*ROW('CASE MASTER'!$T$2:$T$495))&gt;0,INDEX('CASE MASTER'!$Y$2:$Y$495,(SUMPRODUCT((('CASE MASTER'!$T$2:$T$495=4)*('CASE MASTER'!$AA$2:$AA$495&lt;=4)*('CASE MASTER'!$AC$2:$AC$495&gt;=4)*('CASE MASTER'!$AB$2:$AB$495&lt;=4)*('CASE MASTER'!$AD$2:$AD$495&gt;=4))*ROW('CASE MASTER'!$T$2:$T$495))-(ROW('CASE MASTER'!#REF!)-1)))&amp;TRIM(MID(SUBSTITUTE(SUBSTITUTE(INDEX('CASE MASTER'!$N$2:$N$495,(SUMPRODUCT((('CASE MASTER'!$T$2:$T$495=4)*('CASE MASTER'!$AA$2:$AA$495&lt;=4)*('CASE MASTER'!$AC$2:$AC$495&gt;=4)*('CASE MASTER'!$AB$2:$AB$495&lt;=4)*('CASE MASTER'!$AD$2:$AD$495&gt;=4))*ROW('CASE MASTER'!$T$2:$T$495))-(ROW('CASE MASTER'!#REF!)-1))),":",","),",",REPT(" ",50)),(((INDEX('CASE MASTER'!$Z$2:$Z$495,(SUMPRODUCT((('CASE MASTER'!$T$2:$T$495=4)*('CASE MASTER'!$AA$2:$AA$495&lt;=4)*('CASE MASTER'!$AC$2:$AC$495&gt;=4)*('CASE MASTER'!$AB$2:$AB$495&lt;=4)*('CASE MASTER'!$AD$2:$AD$495&gt;=4))*ROW('CASE MASTER'!$T$2:$T$495))-(ROW('CASE MASTER'!#REF!)-1)))+((4-INDEX('CASE MASTER'!$AA$2:$AA$495,(SUMPRODUCT((('CASE MASTER'!$T$2:$T$495=4)*('CASE MASTER'!$AA$2:$AA$495&lt;=4)*('CASE MASTER'!$AC$2:$AC$495&gt;=4)*('CASE MASTER'!$AB$2:$AB$495&lt;=4)*('CASE MASTER'!$AD$2:$AD$495&gt;=4))*ROW('CASE MASTER'!$T$2:$T$495))-(ROW('CASE MASTER'!#REF!)-1))))*(INDEX('CASE MASTER'!$AD$2:$AD$495,(SUMPRODUCT((('CASE MASTER'!$T$2:$T$495=4)*('CASE MASTER'!$AA$2:$AA$495&lt;=4)*('CASE MASTER'!$AC$2:$AC$495&gt;=4)*('CASE MASTER'!$AB$2:$AB$495&lt;=4)*('CASE MASTER'!$AD$2:$AD$495&gt;=4))*ROW('CASE MASTER'!$T$2:$T$495))-(ROW('CASE MASTER'!#REF!)-1)))-INDEX('CASE MASTER'!$AB$2:$AB$495,(SUMPRODUCT((('CASE MASTER'!$T$2:$T$495=4)*('CASE MASTER'!$AA$2:$AA$495&lt;=4)*('CASE MASTER'!$AC$2:$AC$495&gt;=4)*('CASE MASTER'!$AB$2:$AB$495&lt;=4)*('CASE MASTER'!$AD$2:$AD$495&gt;=4))*ROW('CASE MASTER'!$T$2:$T$495))-(ROW('CASE MASTER'!#REF!)-1)))+1)+(4-INDEX('CASE MASTER'!$AB$2:$AB$495,(SUMPRODUCT((('CASE MASTER'!$T$2:$T$495=4)*('CASE MASTER'!$AA$2:$AA$495&lt;=4)*('CASE MASTER'!$AC$2:$AC$495&gt;=4)*('CASE MASTER'!$AB$2:$AB$495&lt;=4)*('CASE MASTER'!$AD$2:$AD$495&gt;=4))*ROW('CASE MASTER'!$T$2:$T$495))-(ROW('CASE MASTER'!#REF!)-1))))+1)))-1)*50+1,50))&amp;"_"&amp;INDEX('CASE MASTER'!$Q$2:$Q$495,(SUMPRODUCT((('CASE MASTER'!$T$2:$T$495=4)*('CASE MASTER'!$AA$2:$AA$495&lt;=4)*('CASE MASTER'!$AC$2:$AC$495&gt;=4)*('CASE MASTER'!$AB$2:$AB$495&lt;=4)*('CASE MASTER'!$AD$2:$AD$495&gt;=4))*ROW('CASE MASTER'!$T$2:$T$495))-(ROW('CASE MASTER'!#REF!)-1))),"")),"")</f>
        <v/>
      </c>
      <c r="F48" s="10" t="str">
        <f>IFERROR(IF(SUMPRODUCT((('CASE MASTER'!$T$2:$T$495=4)*('CASE MASTER'!$U$2:$U$495&lt;=4)*('CASE MASTER'!$W$2:$W$495&gt;=4)*('CASE MASTER'!$V$2:$V$495&lt;=5)*('CASE MASTER'!$X$2:$X$495&gt;=5))*ROW('CASE MASTER'!$T$2:$T$495))&gt;0,INDEX('CASE MASTER'!$Y$2:$Y$495,(SUMPRODUCT((('CASE MASTER'!$T$2:$T$495=4)*('CASE MASTER'!$U$2:$U$495&lt;=4)*('CASE MASTER'!$W$2:$W$495&gt;=4)*('CASE MASTER'!$V$2:$V$495&lt;=5)*('CASE MASTER'!$X$2:$X$495&gt;=5))*ROW('CASE MASTER'!$T$2:$T$495))-(ROW('CASE MASTER'!#REF!)-1)))&amp;TRIM(MID(SUBSTITUTE(SUBSTITUTE(INDEX('CASE MASTER'!$N$2:$N$495,(SUMPRODUCT((('CASE MASTER'!$T$2:$T$495=4)*('CASE MASTER'!$U$2:$U$495&lt;=4)*('CASE MASTER'!$W$2:$W$495&gt;=4)*('CASE MASTER'!$V$2:$V$495&lt;=5)*('CASE MASTER'!$X$2:$X$495&gt;=5))*ROW('CASE MASTER'!$T$2:$T$495))-(ROW('CASE MASTER'!#REF!)-1))),":",","),",",REPT(" ",50)),((((4-INDEX('CASE MASTER'!$U$2:$U$495,(SUMPRODUCT((('CASE MASTER'!$T$2:$T$495=4)*('CASE MASTER'!$U$2:$U$495&lt;=4)*('CASE MASTER'!$W$2:$W$495&gt;=4)*('CASE MASTER'!$V$2:$V$495&lt;=5)*('CASE MASTER'!$X$2:$X$495&gt;=5))*ROW('CASE MASTER'!$T$2:$T$495))-(ROW('CASE MASTER'!#REF!)-1))))*(INDEX('CASE MASTER'!$X$2:$X$495,(SUMPRODUCT((('CASE MASTER'!$T$2:$T$495=4)*('CASE MASTER'!$U$2:$U$495&lt;=4)*('CASE MASTER'!$W$2:$W$495&gt;=4)*('CASE MASTER'!$V$2:$V$495&lt;=5)*('CASE MASTER'!$X$2:$X$495&gt;=5))*ROW('CASE MASTER'!$T$2:$T$495))-(ROW('CASE MASTER'!#REF!)-1)))-INDEX('CASE MASTER'!$V$2:$V$495,(SUMPRODUCT((('CASE MASTER'!$T$2:$T$495=4)*('CASE MASTER'!$U$2:$U$495&lt;=4)*('CASE MASTER'!$W$2:$W$495&gt;=4)*('CASE MASTER'!$V$2:$V$495&lt;=5)*('CASE MASTER'!$X$2:$X$495&gt;=5))*ROW('CASE MASTER'!$T$2:$T$495))-(ROW('CASE MASTER'!#REF!)-1)))+1)+(5-INDEX('CASE MASTER'!$V$2:$V$495,(SUMPRODUCT((('CASE MASTER'!$T$2:$T$495=4)*('CASE MASTER'!$U$2:$U$495&lt;=4)*('CASE MASTER'!$W$2:$W$495&gt;=4)*('CASE MASTER'!$V$2:$V$495&lt;=5)*('CASE MASTER'!$X$2:$X$495&gt;=5))*ROW('CASE MASTER'!$T$2:$T$495))-(ROW('CASE MASTER'!#REF!)-1))))+1))-1)*50+1,50))&amp;"_"&amp;INDEX('CASE MASTER'!$Q$2:$Q$495,(SUMPRODUCT((('CASE MASTER'!$T$2:$T$495=4)*('CASE MASTER'!$U$2:$U$495&lt;=4)*('CASE MASTER'!$W$2:$W$495&gt;=4)*('CASE MASTER'!$V$2:$V$495&lt;=5)*('CASE MASTER'!$X$2:$X$495&gt;=5))*ROW('CASE MASTER'!$T$2:$T$495))-(ROW('CASE MASTER'!#REF!)-1))),IF(SUMPRODUCT((('CASE MASTER'!$T$2:$T$495=4)*('CASE MASTER'!$AA$2:$AA$495&lt;=4)*('CASE MASTER'!$AC$2:$AC$495&gt;=4)*('CASE MASTER'!$AB$2:$AB$495&lt;=5)*('CASE MASTER'!$AD$2:$AD$495&gt;=5))*ROW('CASE MASTER'!$T$2:$T$495))&gt;0,INDEX('CASE MASTER'!$Y$2:$Y$495,(SUMPRODUCT((('CASE MASTER'!$T$2:$T$495=4)*('CASE MASTER'!$AA$2:$AA$495&lt;=4)*('CASE MASTER'!$AC$2:$AC$495&gt;=4)*('CASE MASTER'!$AB$2:$AB$495&lt;=5)*('CASE MASTER'!$AD$2:$AD$495&gt;=5))*ROW('CASE MASTER'!$T$2:$T$495))-(ROW('CASE MASTER'!#REF!)-1)))&amp;TRIM(MID(SUBSTITUTE(SUBSTITUTE(INDEX('CASE MASTER'!$N$2:$N$495,(SUMPRODUCT((('CASE MASTER'!$T$2:$T$495=4)*('CASE MASTER'!$AA$2:$AA$495&lt;=4)*('CASE MASTER'!$AC$2:$AC$495&gt;=4)*('CASE MASTER'!$AB$2:$AB$495&lt;=5)*('CASE MASTER'!$AD$2:$AD$495&gt;=5))*ROW('CASE MASTER'!$T$2:$T$495))-(ROW('CASE MASTER'!#REF!)-1))),":",","),",",REPT(" ",50)),(((INDEX('CASE MASTER'!$Z$2:$Z$495,(SUMPRODUCT((('CASE MASTER'!$T$2:$T$495=4)*('CASE MASTER'!$AA$2:$AA$495&lt;=4)*('CASE MASTER'!$AC$2:$AC$495&gt;=4)*('CASE MASTER'!$AB$2:$AB$495&lt;=5)*('CASE MASTER'!$AD$2:$AD$495&gt;=5))*ROW('CASE MASTER'!$T$2:$T$495))-(ROW('CASE MASTER'!#REF!)-1)))+((4-INDEX('CASE MASTER'!$AA$2:$AA$495,(SUMPRODUCT((('CASE MASTER'!$T$2:$T$495=4)*('CASE MASTER'!$AA$2:$AA$495&lt;=4)*('CASE MASTER'!$AC$2:$AC$495&gt;=4)*('CASE MASTER'!$AB$2:$AB$495&lt;=5)*('CASE MASTER'!$AD$2:$AD$495&gt;=5))*ROW('CASE MASTER'!$T$2:$T$495))-(ROW('CASE MASTER'!#REF!)-1))))*(INDEX('CASE MASTER'!$AD$2:$AD$495,(SUMPRODUCT((('CASE MASTER'!$T$2:$T$495=4)*('CASE MASTER'!$AA$2:$AA$495&lt;=4)*('CASE MASTER'!$AC$2:$AC$495&gt;=4)*('CASE MASTER'!$AB$2:$AB$495&lt;=5)*('CASE MASTER'!$AD$2:$AD$495&gt;=5))*ROW('CASE MASTER'!$T$2:$T$495))-(ROW('CASE MASTER'!#REF!)-1)))-INDEX('CASE MASTER'!$AB$2:$AB$495,(SUMPRODUCT((('CASE MASTER'!$T$2:$T$495=4)*('CASE MASTER'!$AA$2:$AA$495&lt;=4)*('CASE MASTER'!$AC$2:$AC$495&gt;=4)*('CASE MASTER'!$AB$2:$AB$495&lt;=5)*('CASE MASTER'!$AD$2:$AD$495&gt;=5))*ROW('CASE MASTER'!$T$2:$T$495))-(ROW('CASE MASTER'!#REF!)-1)))+1)+(5-INDEX('CASE MASTER'!$AB$2:$AB$495,(SUMPRODUCT((('CASE MASTER'!$T$2:$T$495=4)*('CASE MASTER'!$AA$2:$AA$495&lt;=4)*('CASE MASTER'!$AC$2:$AC$495&gt;=4)*('CASE MASTER'!$AB$2:$AB$495&lt;=5)*('CASE MASTER'!$AD$2:$AD$495&gt;=5))*ROW('CASE MASTER'!$T$2:$T$495))-(ROW('CASE MASTER'!#REF!)-1))))+1)))-1)*50+1,50))&amp;"_"&amp;INDEX('CASE MASTER'!$Q$2:$Q$495,(SUMPRODUCT((('CASE MASTER'!$T$2:$T$495=4)*('CASE MASTER'!$AA$2:$AA$495&lt;=4)*('CASE MASTER'!$AC$2:$AC$495&gt;=4)*('CASE MASTER'!$AB$2:$AB$495&lt;=5)*('CASE MASTER'!$AD$2:$AD$495&gt;=5))*ROW('CASE MASTER'!$T$2:$T$495))-(ROW('CASE MASTER'!#REF!)-1))),"")),"")</f>
        <v/>
      </c>
      <c r="G48" s="10" t="str">
        <f>IFERROR(IF(SUMPRODUCT((('CASE MASTER'!$T$2:$T$495=4)*('CASE MASTER'!$U$2:$U$495&lt;=4)*('CASE MASTER'!$W$2:$W$495&gt;=4)*('CASE MASTER'!$V$2:$V$495&lt;=6)*('CASE MASTER'!$X$2:$X$495&gt;=6))*ROW('CASE MASTER'!$T$2:$T$495))&gt;0,INDEX('CASE MASTER'!$Y$2:$Y$495,(SUMPRODUCT((('CASE MASTER'!$T$2:$T$495=4)*('CASE MASTER'!$U$2:$U$495&lt;=4)*('CASE MASTER'!$W$2:$W$495&gt;=4)*('CASE MASTER'!$V$2:$V$495&lt;=6)*('CASE MASTER'!$X$2:$X$495&gt;=6))*ROW('CASE MASTER'!$T$2:$T$495))-(ROW('CASE MASTER'!#REF!)-1)))&amp;TRIM(MID(SUBSTITUTE(SUBSTITUTE(INDEX('CASE MASTER'!$N$2:$N$495,(SUMPRODUCT((('CASE MASTER'!$T$2:$T$495=4)*('CASE MASTER'!$U$2:$U$495&lt;=4)*('CASE MASTER'!$W$2:$W$495&gt;=4)*('CASE MASTER'!$V$2:$V$495&lt;=6)*('CASE MASTER'!$X$2:$X$495&gt;=6))*ROW('CASE MASTER'!$T$2:$T$495))-(ROW('CASE MASTER'!#REF!)-1))),":",","),",",REPT(" ",50)),((((4-INDEX('CASE MASTER'!$U$2:$U$495,(SUMPRODUCT((('CASE MASTER'!$T$2:$T$495=4)*('CASE MASTER'!$U$2:$U$495&lt;=4)*('CASE MASTER'!$W$2:$W$495&gt;=4)*('CASE MASTER'!$V$2:$V$495&lt;=6)*('CASE MASTER'!$X$2:$X$495&gt;=6))*ROW('CASE MASTER'!$T$2:$T$495))-(ROW('CASE MASTER'!#REF!)-1))))*(INDEX('CASE MASTER'!$X$2:$X$495,(SUMPRODUCT((('CASE MASTER'!$T$2:$T$495=4)*('CASE MASTER'!$U$2:$U$495&lt;=4)*('CASE MASTER'!$W$2:$W$495&gt;=4)*('CASE MASTER'!$V$2:$V$495&lt;=6)*('CASE MASTER'!$X$2:$X$495&gt;=6))*ROW('CASE MASTER'!$T$2:$T$495))-(ROW('CASE MASTER'!#REF!)-1)))-INDEX('CASE MASTER'!$V$2:$V$495,(SUMPRODUCT((('CASE MASTER'!$T$2:$T$495=4)*('CASE MASTER'!$U$2:$U$495&lt;=4)*('CASE MASTER'!$W$2:$W$495&gt;=4)*('CASE MASTER'!$V$2:$V$495&lt;=6)*('CASE MASTER'!$X$2:$X$495&gt;=6))*ROW('CASE MASTER'!$T$2:$T$495))-(ROW('CASE MASTER'!#REF!)-1)))+1)+(6-INDEX('CASE MASTER'!$V$2:$V$495,(SUMPRODUCT((('CASE MASTER'!$T$2:$T$495=4)*('CASE MASTER'!$U$2:$U$495&lt;=4)*('CASE MASTER'!$W$2:$W$495&gt;=4)*('CASE MASTER'!$V$2:$V$495&lt;=6)*('CASE MASTER'!$X$2:$X$495&gt;=6))*ROW('CASE MASTER'!$T$2:$T$495))-(ROW('CASE MASTER'!#REF!)-1))))+1))-1)*50+1,50))&amp;"_"&amp;INDEX('CASE MASTER'!$Q$2:$Q$495,(SUMPRODUCT((('CASE MASTER'!$T$2:$T$495=4)*('CASE MASTER'!$U$2:$U$495&lt;=4)*('CASE MASTER'!$W$2:$W$495&gt;=4)*('CASE MASTER'!$V$2:$V$495&lt;=6)*('CASE MASTER'!$X$2:$X$495&gt;=6))*ROW('CASE MASTER'!$T$2:$T$495))-(ROW('CASE MASTER'!#REF!)-1))),IF(SUMPRODUCT((('CASE MASTER'!$T$2:$T$495=4)*('CASE MASTER'!$AA$2:$AA$495&lt;=4)*('CASE MASTER'!$AC$2:$AC$495&gt;=4)*('CASE MASTER'!$AB$2:$AB$495&lt;=6)*('CASE MASTER'!$AD$2:$AD$495&gt;=6))*ROW('CASE MASTER'!$T$2:$T$495))&gt;0,INDEX('CASE MASTER'!$Y$2:$Y$495,(SUMPRODUCT((('CASE MASTER'!$T$2:$T$495=4)*('CASE MASTER'!$AA$2:$AA$495&lt;=4)*('CASE MASTER'!$AC$2:$AC$495&gt;=4)*('CASE MASTER'!$AB$2:$AB$495&lt;=6)*('CASE MASTER'!$AD$2:$AD$495&gt;=6))*ROW('CASE MASTER'!$T$2:$T$495))-(ROW('CASE MASTER'!#REF!)-1)))&amp;TRIM(MID(SUBSTITUTE(SUBSTITUTE(INDEX('CASE MASTER'!$N$2:$N$495,(SUMPRODUCT((('CASE MASTER'!$T$2:$T$495=4)*('CASE MASTER'!$AA$2:$AA$495&lt;=4)*('CASE MASTER'!$AC$2:$AC$495&gt;=4)*('CASE MASTER'!$AB$2:$AB$495&lt;=6)*('CASE MASTER'!$AD$2:$AD$495&gt;=6))*ROW('CASE MASTER'!$T$2:$T$495))-(ROW('CASE MASTER'!#REF!)-1))),":",","),",",REPT(" ",50)),(((INDEX('CASE MASTER'!$Z$2:$Z$495,(SUMPRODUCT((('CASE MASTER'!$T$2:$T$495=4)*('CASE MASTER'!$AA$2:$AA$495&lt;=4)*('CASE MASTER'!$AC$2:$AC$495&gt;=4)*('CASE MASTER'!$AB$2:$AB$495&lt;=6)*('CASE MASTER'!$AD$2:$AD$495&gt;=6))*ROW('CASE MASTER'!$T$2:$T$495))-(ROW('CASE MASTER'!#REF!)-1)))+((4-INDEX('CASE MASTER'!$AA$2:$AA$495,(SUMPRODUCT((('CASE MASTER'!$T$2:$T$495=4)*('CASE MASTER'!$AA$2:$AA$495&lt;=4)*('CASE MASTER'!$AC$2:$AC$495&gt;=4)*('CASE MASTER'!$AB$2:$AB$495&lt;=6)*('CASE MASTER'!$AD$2:$AD$495&gt;=6))*ROW('CASE MASTER'!$T$2:$T$495))-(ROW('CASE MASTER'!#REF!)-1))))*(INDEX('CASE MASTER'!$AD$2:$AD$495,(SUMPRODUCT((('CASE MASTER'!$T$2:$T$495=4)*('CASE MASTER'!$AA$2:$AA$495&lt;=4)*('CASE MASTER'!$AC$2:$AC$495&gt;=4)*('CASE MASTER'!$AB$2:$AB$495&lt;=6)*('CASE MASTER'!$AD$2:$AD$495&gt;=6))*ROW('CASE MASTER'!$T$2:$T$495))-(ROW('CASE MASTER'!#REF!)-1)))-INDEX('CASE MASTER'!$AB$2:$AB$495,(SUMPRODUCT((('CASE MASTER'!$T$2:$T$495=4)*('CASE MASTER'!$AA$2:$AA$495&lt;=4)*('CASE MASTER'!$AC$2:$AC$495&gt;=4)*('CASE MASTER'!$AB$2:$AB$495&lt;=6)*('CASE MASTER'!$AD$2:$AD$495&gt;=6))*ROW('CASE MASTER'!$T$2:$T$495))-(ROW('CASE MASTER'!#REF!)-1)))+1)+(6-INDEX('CASE MASTER'!$AB$2:$AB$495,(SUMPRODUCT((('CASE MASTER'!$T$2:$T$495=4)*('CASE MASTER'!$AA$2:$AA$495&lt;=4)*('CASE MASTER'!$AC$2:$AC$495&gt;=4)*('CASE MASTER'!$AB$2:$AB$495&lt;=6)*('CASE MASTER'!$AD$2:$AD$495&gt;=6))*ROW('CASE MASTER'!$T$2:$T$495))-(ROW('CASE MASTER'!#REF!)-1))))+1)))-1)*50+1,50))&amp;"_"&amp;INDEX('CASE MASTER'!$Q$2:$Q$495,(SUMPRODUCT((('CASE MASTER'!$T$2:$T$495=4)*('CASE MASTER'!$AA$2:$AA$495&lt;=4)*('CASE MASTER'!$AC$2:$AC$495&gt;=4)*('CASE MASTER'!$AB$2:$AB$495&lt;=6)*('CASE MASTER'!$AD$2:$AD$495&gt;=6))*ROW('CASE MASTER'!$T$2:$T$495))-(ROW('CASE MASTER'!#REF!)-1))),"")),"")</f>
        <v/>
      </c>
      <c r="H48" s="10" t="str">
        <f>IFERROR(IF(SUMPRODUCT((('CASE MASTER'!$T$2:$T$495=4)*('CASE MASTER'!$U$2:$U$495&lt;=4)*('CASE MASTER'!$W$2:$W$495&gt;=4)*('CASE MASTER'!$V$2:$V$495&lt;=7)*('CASE MASTER'!$X$2:$X$495&gt;=7))*ROW('CASE MASTER'!$T$2:$T$495))&gt;0,INDEX('CASE MASTER'!$Y$2:$Y$495,(SUMPRODUCT((('CASE MASTER'!$T$2:$T$495=4)*('CASE MASTER'!$U$2:$U$495&lt;=4)*('CASE MASTER'!$W$2:$W$495&gt;=4)*('CASE MASTER'!$V$2:$V$495&lt;=7)*('CASE MASTER'!$X$2:$X$495&gt;=7))*ROW('CASE MASTER'!$T$2:$T$495))-(ROW('CASE MASTER'!#REF!)-1)))&amp;TRIM(MID(SUBSTITUTE(SUBSTITUTE(INDEX('CASE MASTER'!$N$2:$N$495,(SUMPRODUCT((('CASE MASTER'!$T$2:$T$495=4)*('CASE MASTER'!$U$2:$U$495&lt;=4)*('CASE MASTER'!$W$2:$W$495&gt;=4)*('CASE MASTER'!$V$2:$V$495&lt;=7)*('CASE MASTER'!$X$2:$X$495&gt;=7))*ROW('CASE MASTER'!$T$2:$T$495))-(ROW('CASE MASTER'!#REF!)-1))),":",","),",",REPT(" ",50)),((((4-INDEX('CASE MASTER'!$U$2:$U$495,(SUMPRODUCT((('CASE MASTER'!$T$2:$T$495=4)*('CASE MASTER'!$U$2:$U$495&lt;=4)*('CASE MASTER'!$W$2:$W$495&gt;=4)*('CASE MASTER'!$V$2:$V$495&lt;=7)*('CASE MASTER'!$X$2:$X$495&gt;=7))*ROW('CASE MASTER'!$T$2:$T$495))-(ROW('CASE MASTER'!#REF!)-1))))*(INDEX('CASE MASTER'!$X$2:$X$495,(SUMPRODUCT((('CASE MASTER'!$T$2:$T$495=4)*('CASE MASTER'!$U$2:$U$495&lt;=4)*('CASE MASTER'!$W$2:$W$495&gt;=4)*('CASE MASTER'!$V$2:$V$495&lt;=7)*('CASE MASTER'!$X$2:$X$495&gt;=7))*ROW('CASE MASTER'!$T$2:$T$495))-(ROW('CASE MASTER'!#REF!)-1)))-INDEX('CASE MASTER'!$V$2:$V$495,(SUMPRODUCT((('CASE MASTER'!$T$2:$T$495=4)*('CASE MASTER'!$U$2:$U$495&lt;=4)*('CASE MASTER'!$W$2:$W$495&gt;=4)*('CASE MASTER'!$V$2:$V$495&lt;=7)*('CASE MASTER'!$X$2:$X$495&gt;=7))*ROW('CASE MASTER'!$T$2:$T$495))-(ROW('CASE MASTER'!#REF!)-1)))+1)+(7-INDEX('CASE MASTER'!$V$2:$V$495,(SUMPRODUCT((('CASE MASTER'!$T$2:$T$495=4)*('CASE MASTER'!$U$2:$U$495&lt;=4)*('CASE MASTER'!$W$2:$W$495&gt;=4)*('CASE MASTER'!$V$2:$V$495&lt;=7)*('CASE MASTER'!$X$2:$X$495&gt;=7))*ROW('CASE MASTER'!$T$2:$T$495))-(ROW('CASE MASTER'!#REF!)-1))))+1))-1)*50+1,50))&amp;"_"&amp;INDEX('CASE MASTER'!$Q$2:$Q$495,(SUMPRODUCT((('CASE MASTER'!$T$2:$T$495=4)*('CASE MASTER'!$U$2:$U$495&lt;=4)*('CASE MASTER'!$W$2:$W$495&gt;=4)*('CASE MASTER'!$V$2:$V$495&lt;=7)*('CASE MASTER'!$X$2:$X$495&gt;=7))*ROW('CASE MASTER'!$T$2:$T$495))-(ROW('CASE MASTER'!#REF!)-1))),IF(SUMPRODUCT((('CASE MASTER'!$T$2:$T$495=4)*('CASE MASTER'!$AA$2:$AA$495&lt;=4)*('CASE MASTER'!$AC$2:$AC$495&gt;=4)*('CASE MASTER'!$AB$2:$AB$495&lt;=7)*('CASE MASTER'!$AD$2:$AD$495&gt;=7))*ROW('CASE MASTER'!$T$2:$T$495))&gt;0,INDEX('CASE MASTER'!$Y$2:$Y$495,(SUMPRODUCT((('CASE MASTER'!$T$2:$T$495=4)*('CASE MASTER'!$AA$2:$AA$495&lt;=4)*('CASE MASTER'!$AC$2:$AC$495&gt;=4)*('CASE MASTER'!$AB$2:$AB$495&lt;=7)*('CASE MASTER'!$AD$2:$AD$495&gt;=7))*ROW('CASE MASTER'!$T$2:$T$495))-(ROW('CASE MASTER'!#REF!)-1)))&amp;TRIM(MID(SUBSTITUTE(SUBSTITUTE(INDEX('CASE MASTER'!$N$2:$N$495,(SUMPRODUCT((('CASE MASTER'!$T$2:$T$495=4)*('CASE MASTER'!$AA$2:$AA$495&lt;=4)*('CASE MASTER'!$AC$2:$AC$495&gt;=4)*('CASE MASTER'!$AB$2:$AB$495&lt;=7)*('CASE MASTER'!$AD$2:$AD$495&gt;=7))*ROW('CASE MASTER'!$T$2:$T$495))-(ROW('CASE MASTER'!#REF!)-1))),":",","),",",REPT(" ",50)),(((INDEX('CASE MASTER'!$Z$2:$Z$495,(SUMPRODUCT((('CASE MASTER'!$T$2:$T$495=4)*('CASE MASTER'!$AA$2:$AA$495&lt;=4)*('CASE MASTER'!$AC$2:$AC$495&gt;=4)*('CASE MASTER'!$AB$2:$AB$495&lt;=7)*('CASE MASTER'!$AD$2:$AD$495&gt;=7))*ROW('CASE MASTER'!$T$2:$T$495))-(ROW('CASE MASTER'!#REF!)-1)))+((4-INDEX('CASE MASTER'!$AA$2:$AA$495,(SUMPRODUCT((('CASE MASTER'!$T$2:$T$495=4)*('CASE MASTER'!$AA$2:$AA$495&lt;=4)*('CASE MASTER'!$AC$2:$AC$495&gt;=4)*('CASE MASTER'!$AB$2:$AB$495&lt;=7)*('CASE MASTER'!$AD$2:$AD$495&gt;=7))*ROW('CASE MASTER'!$T$2:$T$495))-(ROW('CASE MASTER'!#REF!)-1))))*(INDEX('CASE MASTER'!$AD$2:$AD$495,(SUMPRODUCT((('CASE MASTER'!$T$2:$T$495=4)*('CASE MASTER'!$AA$2:$AA$495&lt;=4)*('CASE MASTER'!$AC$2:$AC$495&gt;=4)*('CASE MASTER'!$AB$2:$AB$495&lt;=7)*('CASE MASTER'!$AD$2:$AD$495&gt;=7))*ROW('CASE MASTER'!$T$2:$T$495))-(ROW('CASE MASTER'!#REF!)-1)))-INDEX('CASE MASTER'!$AB$2:$AB$495,(SUMPRODUCT((('CASE MASTER'!$T$2:$T$495=4)*('CASE MASTER'!$AA$2:$AA$495&lt;=4)*('CASE MASTER'!$AC$2:$AC$495&gt;=4)*('CASE MASTER'!$AB$2:$AB$495&lt;=7)*('CASE MASTER'!$AD$2:$AD$495&gt;=7))*ROW('CASE MASTER'!$T$2:$T$495))-(ROW('CASE MASTER'!#REF!)-1)))+1)+(7-INDEX('CASE MASTER'!$AB$2:$AB$495,(SUMPRODUCT((('CASE MASTER'!$T$2:$T$495=4)*('CASE MASTER'!$AA$2:$AA$495&lt;=4)*('CASE MASTER'!$AC$2:$AC$495&gt;=4)*('CASE MASTER'!$AB$2:$AB$495&lt;=7)*('CASE MASTER'!$AD$2:$AD$495&gt;=7))*ROW('CASE MASTER'!$T$2:$T$495))-(ROW('CASE MASTER'!#REF!)-1))))+1)))-1)*50+1,50))&amp;"_"&amp;INDEX('CASE MASTER'!$Q$2:$Q$495,(SUMPRODUCT((('CASE MASTER'!$T$2:$T$495=4)*('CASE MASTER'!$AA$2:$AA$495&lt;=4)*('CASE MASTER'!$AC$2:$AC$495&gt;=4)*('CASE MASTER'!$AB$2:$AB$495&lt;=7)*('CASE MASTER'!$AD$2:$AD$495&gt;=7))*ROW('CASE MASTER'!$T$2:$T$495))-(ROW('CASE MASTER'!#REF!)-1))),"")),"")</f>
        <v/>
      </c>
      <c r="I48" s="10" t="str">
        <f>IFERROR(IF(SUMPRODUCT((('CASE MASTER'!$T$2:$T$495=4)*('CASE MASTER'!$U$2:$U$495&lt;=4)*('CASE MASTER'!$W$2:$W$495&gt;=4)*('CASE MASTER'!$V$2:$V$495&lt;=8)*('CASE MASTER'!$X$2:$X$495&gt;=8))*ROW('CASE MASTER'!$T$2:$T$495))&gt;0,INDEX('CASE MASTER'!$Y$2:$Y$495,(SUMPRODUCT((('CASE MASTER'!$T$2:$T$495=4)*('CASE MASTER'!$U$2:$U$495&lt;=4)*('CASE MASTER'!$W$2:$W$495&gt;=4)*('CASE MASTER'!$V$2:$V$495&lt;=8)*('CASE MASTER'!$X$2:$X$495&gt;=8))*ROW('CASE MASTER'!$T$2:$T$495))-(ROW('CASE MASTER'!#REF!)-1)))&amp;TRIM(MID(SUBSTITUTE(SUBSTITUTE(INDEX('CASE MASTER'!$N$2:$N$495,(SUMPRODUCT((('CASE MASTER'!$T$2:$T$495=4)*('CASE MASTER'!$U$2:$U$495&lt;=4)*('CASE MASTER'!$W$2:$W$495&gt;=4)*('CASE MASTER'!$V$2:$V$495&lt;=8)*('CASE MASTER'!$X$2:$X$495&gt;=8))*ROW('CASE MASTER'!$T$2:$T$495))-(ROW('CASE MASTER'!#REF!)-1))),":",","),",",REPT(" ",50)),((((4-INDEX('CASE MASTER'!$U$2:$U$495,(SUMPRODUCT((('CASE MASTER'!$T$2:$T$495=4)*('CASE MASTER'!$U$2:$U$495&lt;=4)*('CASE MASTER'!$W$2:$W$495&gt;=4)*('CASE MASTER'!$V$2:$V$495&lt;=8)*('CASE MASTER'!$X$2:$X$495&gt;=8))*ROW('CASE MASTER'!$T$2:$T$495))-(ROW('CASE MASTER'!#REF!)-1))))*(INDEX('CASE MASTER'!$X$2:$X$495,(SUMPRODUCT((('CASE MASTER'!$T$2:$T$495=4)*('CASE MASTER'!$U$2:$U$495&lt;=4)*('CASE MASTER'!$W$2:$W$495&gt;=4)*('CASE MASTER'!$V$2:$V$495&lt;=8)*('CASE MASTER'!$X$2:$X$495&gt;=8))*ROW('CASE MASTER'!$T$2:$T$495))-(ROW('CASE MASTER'!#REF!)-1)))-INDEX('CASE MASTER'!$V$2:$V$495,(SUMPRODUCT((('CASE MASTER'!$T$2:$T$495=4)*('CASE MASTER'!$U$2:$U$495&lt;=4)*('CASE MASTER'!$W$2:$W$495&gt;=4)*('CASE MASTER'!$V$2:$V$495&lt;=8)*('CASE MASTER'!$X$2:$X$495&gt;=8))*ROW('CASE MASTER'!$T$2:$T$495))-(ROW('CASE MASTER'!#REF!)-1)))+1)+(8-INDEX('CASE MASTER'!$V$2:$V$495,(SUMPRODUCT((('CASE MASTER'!$T$2:$T$495=4)*('CASE MASTER'!$U$2:$U$495&lt;=4)*('CASE MASTER'!$W$2:$W$495&gt;=4)*('CASE MASTER'!$V$2:$V$495&lt;=8)*('CASE MASTER'!$X$2:$X$495&gt;=8))*ROW('CASE MASTER'!$T$2:$T$495))-(ROW('CASE MASTER'!#REF!)-1))))+1))-1)*50+1,50))&amp;"_"&amp;INDEX('CASE MASTER'!$Q$2:$Q$495,(SUMPRODUCT((('CASE MASTER'!$T$2:$T$495=4)*('CASE MASTER'!$U$2:$U$495&lt;=4)*('CASE MASTER'!$W$2:$W$495&gt;=4)*('CASE MASTER'!$V$2:$V$495&lt;=8)*('CASE MASTER'!$X$2:$X$495&gt;=8))*ROW('CASE MASTER'!$T$2:$T$495))-(ROW('CASE MASTER'!#REF!)-1))),IF(SUMPRODUCT((('CASE MASTER'!$T$2:$T$495=4)*('CASE MASTER'!$AA$2:$AA$495&lt;=4)*('CASE MASTER'!$AC$2:$AC$495&gt;=4)*('CASE MASTER'!$AB$2:$AB$495&lt;=8)*('CASE MASTER'!$AD$2:$AD$495&gt;=8))*ROW('CASE MASTER'!$T$2:$T$495))&gt;0,INDEX('CASE MASTER'!$Y$2:$Y$495,(SUMPRODUCT((('CASE MASTER'!$T$2:$T$495=4)*('CASE MASTER'!$AA$2:$AA$495&lt;=4)*('CASE MASTER'!$AC$2:$AC$495&gt;=4)*('CASE MASTER'!$AB$2:$AB$495&lt;=8)*('CASE MASTER'!$AD$2:$AD$495&gt;=8))*ROW('CASE MASTER'!$T$2:$T$495))-(ROW('CASE MASTER'!#REF!)-1)))&amp;TRIM(MID(SUBSTITUTE(SUBSTITUTE(INDEX('CASE MASTER'!$N$2:$N$495,(SUMPRODUCT((('CASE MASTER'!$T$2:$T$495=4)*('CASE MASTER'!$AA$2:$AA$495&lt;=4)*('CASE MASTER'!$AC$2:$AC$495&gt;=4)*('CASE MASTER'!$AB$2:$AB$495&lt;=8)*('CASE MASTER'!$AD$2:$AD$495&gt;=8))*ROW('CASE MASTER'!$T$2:$T$495))-(ROW('CASE MASTER'!#REF!)-1))),":",","),",",REPT(" ",50)),(((INDEX('CASE MASTER'!$Z$2:$Z$495,(SUMPRODUCT((('CASE MASTER'!$T$2:$T$495=4)*('CASE MASTER'!$AA$2:$AA$495&lt;=4)*('CASE MASTER'!$AC$2:$AC$495&gt;=4)*('CASE MASTER'!$AB$2:$AB$495&lt;=8)*('CASE MASTER'!$AD$2:$AD$495&gt;=8))*ROW('CASE MASTER'!$T$2:$T$495))-(ROW('CASE MASTER'!#REF!)-1)))+((4-INDEX('CASE MASTER'!$AA$2:$AA$495,(SUMPRODUCT((('CASE MASTER'!$T$2:$T$495=4)*('CASE MASTER'!$AA$2:$AA$495&lt;=4)*('CASE MASTER'!$AC$2:$AC$495&gt;=4)*('CASE MASTER'!$AB$2:$AB$495&lt;=8)*('CASE MASTER'!$AD$2:$AD$495&gt;=8))*ROW('CASE MASTER'!$T$2:$T$495))-(ROW('CASE MASTER'!#REF!)-1))))*(INDEX('CASE MASTER'!$AD$2:$AD$495,(SUMPRODUCT((('CASE MASTER'!$T$2:$T$495=4)*('CASE MASTER'!$AA$2:$AA$495&lt;=4)*('CASE MASTER'!$AC$2:$AC$495&gt;=4)*('CASE MASTER'!$AB$2:$AB$495&lt;=8)*('CASE MASTER'!$AD$2:$AD$495&gt;=8))*ROW('CASE MASTER'!$T$2:$T$495))-(ROW('CASE MASTER'!#REF!)-1)))-INDEX('CASE MASTER'!$AB$2:$AB$495,(SUMPRODUCT((('CASE MASTER'!$T$2:$T$495=4)*('CASE MASTER'!$AA$2:$AA$495&lt;=4)*('CASE MASTER'!$AC$2:$AC$495&gt;=4)*('CASE MASTER'!$AB$2:$AB$495&lt;=8)*('CASE MASTER'!$AD$2:$AD$495&gt;=8))*ROW('CASE MASTER'!$T$2:$T$495))-(ROW('CASE MASTER'!#REF!)-1)))+1)+(8-INDEX('CASE MASTER'!$AB$2:$AB$495,(SUMPRODUCT((('CASE MASTER'!$T$2:$T$495=4)*('CASE MASTER'!$AA$2:$AA$495&lt;=4)*('CASE MASTER'!$AC$2:$AC$495&gt;=4)*('CASE MASTER'!$AB$2:$AB$495&lt;=8)*('CASE MASTER'!$AD$2:$AD$495&gt;=8))*ROW('CASE MASTER'!$T$2:$T$495))-(ROW('CASE MASTER'!#REF!)-1))))+1)))-1)*50+1,50))&amp;"_"&amp;INDEX('CASE MASTER'!$Q$2:$Q$495,(SUMPRODUCT((('CASE MASTER'!$T$2:$T$495=4)*('CASE MASTER'!$AA$2:$AA$495&lt;=4)*('CASE MASTER'!$AC$2:$AC$495&gt;=4)*('CASE MASTER'!$AB$2:$AB$495&lt;=8)*('CASE MASTER'!$AD$2:$AD$495&gt;=8))*ROW('CASE MASTER'!$T$2:$T$495))-(ROW('CASE MASTER'!#REF!)-1))),"")),"")</f>
        <v/>
      </c>
      <c r="J48" s="10" t="str">
        <f>IFERROR(IF(SUMPRODUCT((('CASE MASTER'!$T$2:$T$495=4)*('CASE MASTER'!$U$2:$U$495&lt;=4)*('CASE MASTER'!$W$2:$W$495&gt;=4)*('CASE MASTER'!$V$2:$V$495&lt;=9)*('CASE MASTER'!$X$2:$X$495&gt;=9))*ROW('CASE MASTER'!$T$2:$T$495))&gt;0,INDEX('CASE MASTER'!$Y$2:$Y$495,(SUMPRODUCT((('CASE MASTER'!$T$2:$T$495=4)*('CASE MASTER'!$U$2:$U$495&lt;=4)*('CASE MASTER'!$W$2:$W$495&gt;=4)*('CASE MASTER'!$V$2:$V$495&lt;=9)*('CASE MASTER'!$X$2:$X$495&gt;=9))*ROW('CASE MASTER'!$T$2:$T$495))-(ROW('CASE MASTER'!#REF!)-1)))&amp;TRIM(MID(SUBSTITUTE(SUBSTITUTE(INDEX('CASE MASTER'!$N$2:$N$495,(SUMPRODUCT((('CASE MASTER'!$T$2:$T$495=4)*('CASE MASTER'!$U$2:$U$495&lt;=4)*('CASE MASTER'!$W$2:$W$495&gt;=4)*('CASE MASTER'!$V$2:$V$495&lt;=9)*('CASE MASTER'!$X$2:$X$495&gt;=9))*ROW('CASE MASTER'!$T$2:$T$495))-(ROW('CASE MASTER'!#REF!)-1))),":",","),",",REPT(" ",50)),((((4-INDEX('CASE MASTER'!$U$2:$U$495,(SUMPRODUCT((('CASE MASTER'!$T$2:$T$495=4)*('CASE MASTER'!$U$2:$U$495&lt;=4)*('CASE MASTER'!$W$2:$W$495&gt;=4)*('CASE MASTER'!$V$2:$V$495&lt;=9)*('CASE MASTER'!$X$2:$X$495&gt;=9))*ROW('CASE MASTER'!$T$2:$T$495))-(ROW('CASE MASTER'!#REF!)-1))))*(INDEX('CASE MASTER'!$X$2:$X$495,(SUMPRODUCT((('CASE MASTER'!$T$2:$T$495=4)*('CASE MASTER'!$U$2:$U$495&lt;=4)*('CASE MASTER'!$W$2:$W$495&gt;=4)*('CASE MASTER'!$V$2:$V$495&lt;=9)*('CASE MASTER'!$X$2:$X$495&gt;=9))*ROW('CASE MASTER'!$T$2:$T$495))-(ROW('CASE MASTER'!#REF!)-1)))-INDEX('CASE MASTER'!$V$2:$V$495,(SUMPRODUCT((('CASE MASTER'!$T$2:$T$495=4)*('CASE MASTER'!$U$2:$U$495&lt;=4)*('CASE MASTER'!$W$2:$W$495&gt;=4)*('CASE MASTER'!$V$2:$V$495&lt;=9)*('CASE MASTER'!$X$2:$X$495&gt;=9))*ROW('CASE MASTER'!$T$2:$T$495))-(ROW('CASE MASTER'!#REF!)-1)))+1)+(9-INDEX('CASE MASTER'!$V$2:$V$495,(SUMPRODUCT((('CASE MASTER'!$T$2:$T$495=4)*('CASE MASTER'!$U$2:$U$495&lt;=4)*('CASE MASTER'!$W$2:$W$495&gt;=4)*('CASE MASTER'!$V$2:$V$495&lt;=9)*('CASE MASTER'!$X$2:$X$495&gt;=9))*ROW('CASE MASTER'!$T$2:$T$495))-(ROW('CASE MASTER'!#REF!)-1))))+1))-1)*50+1,50))&amp;"_"&amp;INDEX('CASE MASTER'!$Q$2:$Q$495,(SUMPRODUCT((('CASE MASTER'!$T$2:$T$495=4)*('CASE MASTER'!$U$2:$U$495&lt;=4)*('CASE MASTER'!$W$2:$W$495&gt;=4)*('CASE MASTER'!$V$2:$V$495&lt;=9)*('CASE MASTER'!$X$2:$X$495&gt;=9))*ROW('CASE MASTER'!$T$2:$T$495))-(ROW('CASE MASTER'!#REF!)-1))),IF(SUMPRODUCT((('CASE MASTER'!$T$2:$T$495=4)*('CASE MASTER'!$AA$2:$AA$495&lt;=4)*('CASE MASTER'!$AC$2:$AC$495&gt;=4)*('CASE MASTER'!$AB$2:$AB$495&lt;=9)*('CASE MASTER'!$AD$2:$AD$495&gt;=9))*ROW('CASE MASTER'!$T$2:$T$495))&gt;0,INDEX('CASE MASTER'!$Y$2:$Y$495,(SUMPRODUCT((('CASE MASTER'!$T$2:$T$495=4)*('CASE MASTER'!$AA$2:$AA$495&lt;=4)*('CASE MASTER'!$AC$2:$AC$495&gt;=4)*('CASE MASTER'!$AB$2:$AB$495&lt;=9)*('CASE MASTER'!$AD$2:$AD$495&gt;=9))*ROW('CASE MASTER'!$T$2:$T$495))-(ROW('CASE MASTER'!#REF!)-1)))&amp;TRIM(MID(SUBSTITUTE(SUBSTITUTE(INDEX('CASE MASTER'!$N$2:$N$495,(SUMPRODUCT((('CASE MASTER'!$T$2:$T$495=4)*('CASE MASTER'!$AA$2:$AA$495&lt;=4)*('CASE MASTER'!$AC$2:$AC$495&gt;=4)*('CASE MASTER'!$AB$2:$AB$495&lt;=9)*('CASE MASTER'!$AD$2:$AD$495&gt;=9))*ROW('CASE MASTER'!$T$2:$T$495))-(ROW('CASE MASTER'!#REF!)-1))),":",","),",",REPT(" ",50)),(((INDEX('CASE MASTER'!$Z$2:$Z$495,(SUMPRODUCT((('CASE MASTER'!$T$2:$T$495=4)*('CASE MASTER'!$AA$2:$AA$495&lt;=4)*('CASE MASTER'!$AC$2:$AC$495&gt;=4)*('CASE MASTER'!$AB$2:$AB$495&lt;=9)*('CASE MASTER'!$AD$2:$AD$495&gt;=9))*ROW('CASE MASTER'!$T$2:$T$495))-(ROW('CASE MASTER'!#REF!)-1)))+((4-INDEX('CASE MASTER'!$AA$2:$AA$495,(SUMPRODUCT((('CASE MASTER'!$T$2:$T$495=4)*('CASE MASTER'!$AA$2:$AA$495&lt;=4)*('CASE MASTER'!$AC$2:$AC$495&gt;=4)*('CASE MASTER'!$AB$2:$AB$495&lt;=9)*('CASE MASTER'!$AD$2:$AD$495&gt;=9))*ROW('CASE MASTER'!$T$2:$T$495))-(ROW('CASE MASTER'!#REF!)-1))))*(INDEX('CASE MASTER'!$AD$2:$AD$495,(SUMPRODUCT((('CASE MASTER'!$T$2:$T$495=4)*('CASE MASTER'!$AA$2:$AA$495&lt;=4)*('CASE MASTER'!$AC$2:$AC$495&gt;=4)*('CASE MASTER'!$AB$2:$AB$495&lt;=9)*('CASE MASTER'!$AD$2:$AD$495&gt;=9))*ROW('CASE MASTER'!$T$2:$T$495))-(ROW('CASE MASTER'!#REF!)-1)))-INDEX('CASE MASTER'!$AB$2:$AB$495,(SUMPRODUCT((('CASE MASTER'!$T$2:$T$495=4)*('CASE MASTER'!$AA$2:$AA$495&lt;=4)*('CASE MASTER'!$AC$2:$AC$495&gt;=4)*('CASE MASTER'!$AB$2:$AB$495&lt;=9)*('CASE MASTER'!$AD$2:$AD$495&gt;=9))*ROW('CASE MASTER'!$T$2:$T$495))-(ROW('CASE MASTER'!#REF!)-1)))+1)+(9-INDEX('CASE MASTER'!$AB$2:$AB$495,(SUMPRODUCT((('CASE MASTER'!$T$2:$T$495=4)*('CASE MASTER'!$AA$2:$AA$495&lt;=4)*('CASE MASTER'!$AC$2:$AC$495&gt;=4)*('CASE MASTER'!$AB$2:$AB$495&lt;=9)*('CASE MASTER'!$AD$2:$AD$495&gt;=9))*ROW('CASE MASTER'!$T$2:$T$495))-(ROW('CASE MASTER'!#REF!)-1))))+1)))-1)*50+1,50))&amp;"_"&amp;INDEX('CASE MASTER'!$Q$2:$Q$495,(SUMPRODUCT((('CASE MASTER'!$T$2:$T$495=4)*('CASE MASTER'!$AA$2:$AA$495&lt;=4)*('CASE MASTER'!$AC$2:$AC$495&gt;=4)*('CASE MASTER'!$AB$2:$AB$495&lt;=9)*('CASE MASTER'!$AD$2:$AD$495&gt;=9))*ROW('CASE MASTER'!$T$2:$T$495))-(ROW('CASE MASTER'!#REF!)-1))),"")),"")</f>
        <v/>
      </c>
      <c r="K48" s="10" t="str">
        <f>IFERROR(IF(SUMPRODUCT((('CASE MASTER'!$T$2:$T$495=4)*('CASE MASTER'!$U$2:$U$495&lt;=4)*('CASE MASTER'!$W$2:$W$495&gt;=4)*('CASE MASTER'!$V$2:$V$495&lt;=10)*('CASE MASTER'!$X$2:$X$495&gt;=10))*ROW('CASE MASTER'!$T$2:$T$495))&gt;0,INDEX('CASE MASTER'!$Y$2:$Y$495,(SUMPRODUCT((('CASE MASTER'!$T$2:$T$495=4)*('CASE MASTER'!$U$2:$U$495&lt;=4)*('CASE MASTER'!$W$2:$W$495&gt;=4)*('CASE MASTER'!$V$2:$V$495&lt;=10)*('CASE MASTER'!$X$2:$X$495&gt;=10))*ROW('CASE MASTER'!$T$2:$T$495))-(ROW('CASE MASTER'!#REF!)-1)))&amp;TRIM(MID(SUBSTITUTE(SUBSTITUTE(INDEX('CASE MASTER'!$N$2:$N$495,(SUMPRODUCT((('CASE MASTER'!$T$2:$T$495=4)*('CASE MASTER'!$U$2:$U$495&lt;=4)*('CASE MASTER'!$W$2:$W$495&gt;=4)*('CASE MASTER'!$V$2:$V$495&lt;=10)*('CASE MASTER'!$X$2:$X$495&gt;=10))*ROW('CASE MASTER'!$T$2:$T$495))-(ROW('CASE MASTER'!#REF!)-1))),":",","),",",REPT(" ",50)),((((4-INDEX('CASE MASTER'!$U$2:$U$495,(SUMPRODUCT((('CASE MASTER'!$T$2:$T$495=4)*('CASE MASTER'!$U$2:$U$495&lt;=4)*('CASE MASTER'!$W$2:$W$495&gt;=4)*('CASE MASTER'!$V$2:$V$495&lt;=10)*('CASE MASTER'!$X$2:$X$495&gt;=10))*ROW('CASE MASTER'!$T$2:$T$495))-(ROW('CASE MASTER'!#REF!)-1))))*(INDEX('CASE MASTER'!$X$2:$X$495,(SUMPRODUCT((('CASE MASTER'!$T$2:$T$495=4)*('CASE MASTER'!$U$2:$U$495&lt;=4)*('CASE MASTER'!$W$2:$W$495&gt;=4)*('CASE MASTER'!$V$2:$V$495&lt;=10)*('CASE MASTER'!$X$2:$X$495&gt;=10))*ROW('CASE MASTER'!$T$2:$T$495))-(ROW('CASE MASTER'!#REF!)-1)))-INDEX('CASE MASTER'!$V$2:$V$495,(SUMPRODUCT((('CASE MASTER'!$T$2:$T$495=4)*('CASE MASTER'!$U$2:$U$495&lt;=4)*('CASE MASTER'!$W$2:$W$495&gt;=4)*('CASE MASTER'!$V$2:$V$495&lt;=10)*('CASE MASTER'!$X$2:$X$495&gt;=10))*ROW('CASE MASTER'!$T$2:$T$495))-(ROW('CASE MASTER'!#REF!)-1)))+1)+(10-INDEX('CASE MASTER'!$V$2:$V$495,(SUMPRODUCT((('CASE MASTER'!$T$2:$T$495=4)*('CASE MASTER'!$U$2:$U$495&lt;=4)*('CASE MASTER'!$W$2:$W$495&gt;=4)*('CASE MASTER'!$V$2:$V$495&lt;=10)*('CASE MASTER'!$X$2:$X$495&gt;=10))*ROW('CASE MASTER'!$T$2:$T$495))-(ROW('CASE MASTER'!#REF!)-1))))+1))-1)*50+1,50))&amp;"_"&amp;INDEX('CASE MASTER'!$Q$2:$Q$495,(SUMPRODUCT((('CASE MASTER'!$T$2:$T$495=4)*('CASE MASTER'!$U$2:$U$495&lt;=4)*('CASE MASTER'!$W$2:$W$495&gt;=4)*('CASE MASTER'!$V$2:$V$495&lt;=10)*('CASE MASTER'!$X$2:$X$495&gt;=10))*ROW('CASE MASTER'!$T$2:$T$495))-(ROW('CASE MASTER'!#REF!)-1))),IF(SUMPRODUCT((('CASE MASTER'!$T$2:$T$495=4)*('CASE MASTER'!$AA$2:$AA$495&lt;=4)*('CASE MASTER'!$AC$2:$AC$495&gt;=4)*('CASE MASTER'!$AB$2:$AB$495&lt;=10)*('CASE MASTER'!$AD$2:$AD$495&gt;=10))*ROW('CASE MASTER'!$T$2:$T$495))&gt;0,INDEX('CASE MASTER'!$Y$2:$Y$495,(SUMPRODUCT((('CASE MASTER'!$T$2:$T$495=4)*('CASE MASTER'!$AA$2:$AA$495&lt;=4)*('CASE MASTER'!$AC$2:$AC$495&gt;=4)*('CASE MASTER'!$AB$2:$AB$495&lt;=10)*('CASE MASTER'!$AD$2:$AD$495&gt;=10))*ROW('CASE MASTER'!$T$2:$T$495))-(ROW('CASE MASTER'!#REF!)-1)))&amp;TRIM(MID(SUBSTITUTE(SUBSTITUTE(INDEX('CASE MASTER'!$N$2:$N$495,(SUMPRODUCT((('CASE MASTER'!$T$2:$T$495=4)*('CASE MASTER'!$AA$2:$AA$495&lt;=4)*('CASE MASTER'!$AC$2:$AC$495&gt;=4)*('CASE MASTER'!$AB$2:$AB$495&lt;=10)*('CASE MASTER'!$AD$2:$AD$495&gt;=10))*ROW('CASE MASTER'!$T$2:$T$495))-(ROW('CASE MASTER'!#REF!)-1))),":",","),",",REPT(" ",50)),(((INDEX('CASE MASTER'!$Z$2:$Z$495,(SUMPRODUCT((('CASE MASTER'!$T$2:$T$495=4)*('CASE MASTER'!$AA$2:$AA$495&lt;=4)*('CASE MASTER'!$AC$2:$AC$495&gt;=4)*('CASE MASTER'!$AB$2:$AB$495&lt;=10)*('CASE MASTER'!$AD$2:$AD$495&gt;=10))*ROW('CASE MASTER'!$T$2:$T$495))-(ROW('CASE MASTER'!#REF!)-1)))+((4-INDEX('CASE MASTER'!$AA$2:$AA$495,(SUMPRODUCT((('CASE MASTER'!$T$2:$T$495=4)*('CASE MASTER'!$AA$2:$AA$495&lt;=4)*('CASE MASTER'!$AC$2:$AC$495&gt;=4)*('CASE MASTER'!$AB$2:$AB$495&lt;=10)*('CASE MASTER'!$AD$2:$AD$495&gt;=10))*ROW('CASE MASTER'!$T$2:$T$495))-(ROW('CASE MASTER'!#REF!)-1))))*(INDEX('CASE MASTER'!$AD$2:$AD$495,(SUMPRODUCT((('CASE MASTER'!$T$2:$T$495=4)*('CASE MASTER'!$AA$2:$AA$495&lt;=4)*('CASE MASTER'!$AC$2:$AC$495&gt;=4)*('CASE MASTER'!$AB$2:$AB$495&lt;=10)*('CASE MASTER'!$AD$2:$AD$495&gt;=10))*ROW('CASE MASTER'!$T$2:$T$495))-(ROW('CASE MASTER'!#REF!)-1)))-INDEX('CASE MASTER'!$AB$2:$AB$495,(SUMPRODUCT((('CASE MASTER'!$T$2:$T$495=4)*('CASE MASTER'!$AA$2:$AA$495&lt;=4)*('CASE MASTER'!$AC$2:$AC$495&gt;=4)*('CASE MASTER'!$AB$2:$AB$495&lt;=10)*('CASE MASTER'!$AD$2:$AD$495&gt;=10))*ROW('CASE MASTER'!$T$2:$T$495))-(ROW('CASE MASTER'!#REF!)-1)))+1)+(10-INDEX('CASE MASTER'!$AB$2:$AB$495,(SUMPRODUCT((('CASE MASTER'!$T$2:$T$495=4)*('CASE MASTER'!$AA$2:$AA$495&lt;=4)*('CASE MASTER'!$AC$2:$AC$495&gt;=4)*('CASE MASTER'!$AB$2:$AB$495&lt;=10)*('CASE MASTER'!$AD$2:$AD$495&gt;=10))*ROW('CASE MASTER'!$T$2:$T$495))-(ROW('CASE MASTER'!#REF!)-1))))+1)))-1)*50+1,50))&amp;"_"&amp;INDEX('CASE MASTER'!$Q$2:$Q$495,(SUMPRODUCT((('CASE MASTER'!$T$2:$T$495=4)*('CASE MASTER'!$AA$2:$AA$495&lt;=4)*('CASE MASTER'!$AC$2:$AC$495&gt;=4)*('CASE MASTER'!$AB$2:$AB$495&lt;=10)*('CASE MASTER'!$AD$2:$AD$495&gt;=10))*ROW('CASE MASTER'!$T$2:$T$495))-(ROW('CASE MASTER'!#REF!)-1))),"")),"")</f>
        <v/>
      </c>
    </row>
    <row r="49" spans="1:11" ht="15" customHeight="1" x14ac:dyDescent="0.35">
      <c r="A49" s="8" t="s">
        <v>32</v>
      </c>
      <c r="B49" s="10" t="str">
        <f>IFERROR(IF(SUMPRODUCT((('CASE MASTER'!$T$2:$T$495=4)*('CASE MASTER'!$U$2:$U$495&lt;=5)*('CASE MASTER'!$W$2:$W$495&gt;=5)*('CASE MASTER'!$V$2:$V$495&lt;=1)*('CASE MASTER'!$X$2:$X$495&gt;=1))*ROW('CASE MASTER'!$T$2:$T$495))&gt;0,INDEX('CASE MASTER'!$Y$2:$Y$495,(SUMPRODUCT((('CASE MASTER'!$T$2:$T$495=4)*('CASE MASTER'!$U$2:$U$495&lt;=5)*('CASE MASTER'!$W$2:$W$495&gt;=5)*('CASE MASTER'!$V$2:$V$495&lt;=1)*('CASE MASTER'!$X$2:$X$495&gt;=1))*ROW('CASE MASTER'!$T$2:$T$495))-(ROW('CASE MASTER'!#REF!)-1)))&amp;TRIM(MID(SUBSTITUTE(SUBSTITUTE(INDEX('CASE MASTER'!$N$2:$N$495,(SUMPRODUCT((('CASE MASTER'!$T$2:$T$495=4)*('CASE MASTER'!$U$2:$U$495&lt;=5)*('CASE MASTER'!$W$2:$W$495&gt;=5)*('CASE MASTER'!$V$2:$V$495&lt;=1)*('CASE MASTER'!$X$2:$X$495&gt;=1))*ROW('CASE MASTER'!$T$2:$T$495))-(ROW('CASE MASTER'!#REF!)-1))),":",","),",",REPT(" ",50)),((((5-INDEX('CASE MASTER'!$U$2:$U$495,(SUMPRODUCT((('CASE MASTER'!$T$2:$T$495=4)*('CASE MASTER'!$U$2:$U$495&lt;=5)*('CASE MASTER'!$W$2:$W$495&gt;=5)*('CASE MASTER'!$V$2:$V$495&lt;=1)*('CASE MASTER'!$X$2:$X$495&gt;=1))*ROW('CASE MASTER'!$T$2:$T$495))-(ROW('CASE MASTER'!#REF!)-1))))*(INDEX('CASE MASTER'!$X$2:$X$495,(SUMPRODUCT((('CASE MASTER'!$T$2:$T$495=4)*('CASE MASTER'!$U$2:$U$495&lt;=5)*('CASE MASTER'!$W$2:$W$495&gt;=5)*('CASE MASTER'!$V$2:$V$495&lt;=1)*('CASE MASTER'!$X$2:$X$495&gt;=1))*ROW('CASE MASTER'!$T$2:$T$495))-(ROW('CASE MASTER'!#REF!)-1)))-INDEX('CASE MASTER'!$V$2:$V$495,(SUMPRODUCT((('CASE MASTER'!$T$2:$T$495=4)*('CASE MASTER'!$U$2:$U$495&lt;=5)*('CASE MASTER'!$W$2:$W$495&gt;=5)*('CASE MASTER'!$V$2:$V$495&lt;=1)*('CASE MASTER'!$X$2:$X$495&gt;=1))*ROW('CASE MASTER'!$T$2:$T$495))-(ROW('CASE MASTER'!#REF!)-1)))+1)+(1-INDEX('CASE MASTER'!$V$2:$V$495,(SUMPRODUCT((('CASE MASTER'!$T$2:$T$495=4)*('CASE MASTER'!$U$2:$U$495&lt;=5)*('CASE MASTER'!$W$2:$W$495&gt;=5)*('CASE MASTER'!$V$2:$V$495&lt;=1)*('CASE MASTER'!$X$2:$X$495&gt;=1))*ROW('CASE MASTER'!$T$2:$T$495))-(ROW('CASE MASTER'!#REF!)-1))))+1))-1)*50+1,50))&amp;"_"&amp;INDEX('CASE MASTER'!$Q$2:$Q$495,(SUMPRODUCT((('CASE MASTER'!$T$2:$T$495=4)*('CASE MASTER'!$U$2:$U$495&lt;=5)*('CASE MASTER'!$W$2:$W$495&gt;=5)*('CASE MASTER'!$V$2:$V$495&lt;=1)*('CASE MASTER'!$X$2:$X$495&gt;=1))*ROW('CASE MASTER'!$T$2:$T$495))-(ROW('CASE MASTER'!#REF!)-1))),IF(SUMPRODUCT((('CASE MASTER'!$T$2:$T$495=4)*('CASE MASTER'!$AA$2:$AA$495&lt;=5)*('CASE MASTER'!$AC$2:$AC$495&gt;=5)*('CASE MASTER'!$AB$2:$AB$495&lt;=1)*('CASE MASTER'!$AD$2:$AD$495&gt;=1))*ROW('CASE MASTER'!$T$2:$T$495))&gt;0,INDEX('CASE MASTER'!$Y$2:$Y$495,(SUMPRODUCT((('CASE MASTER'!$T$2:$T$495=4)*('CASE MASTER'!$AA$2:$AA$495&lt;=5)*('CASE MASTER'!$AC$2:$AC$495&gt;=5)*('CASE MASTER'!$AB$2:$AB$495&lt;=1)*('CASE MASTER'!$AD$2:$AD$495&gt;=1))*ROW('CASE MASTER'!$T$2:$T$495))-(ROW('CASE MASTER'!#REF!)-1)))&amp;TRIM(MID(SUBSTITUTE(SUBSTITUTE(INDEX('CASE MASTER'!$N$2:$N$495,(SUMPRODUCT((('CASE MASTER'!$T$2:$T$495=4)*('CASE MASTER'!$AA$2:$AA$495&lt;=5)*('CASE MASTER'!$AC$2:$AC$495&gt;=5)*('CASE MASTER'!$AB$2:$AB$495&lt;=1)*('CASE MASTER'!$AD$2:$AD$495&gt;=1))*ROW('CASE MASTER'!$T$2:$T$495))-(ROW('CASE MASTER'!#REF!)-1))),":",","),",",REPT(" ",50)),(((INDEX('CASE MASTER'!$Z$2:$Z$495,(SUMPRODUCT((('CASE MASTER'!$T$2:$T$495=4)*('CASE MASTER'!$AA$2:$AA$495&lt;=5)*('CASE MASTER'!$AC$2:$AC$495&gt;=5)*('CASE MASTER'!$AB$2:$AB$495&lt;=1)*('CASE MASTER'!$AD$2:$AD$495&gt;=1))*ROW('CASE MASTER'!$T$2:$T$495))-(ROW('CASE MASTER'!#REF!)-1)))+((5-INDEX('CASE MASTER'!$AA$2:$AA$495,(SUMPRODUCT((('CASE MASTER'!$T$2:$T$495=4)*('CASE MASTER'!$AA$2:$AA$495&lt;=5)*('CASE MASTER'!$AC$2:$AC$495&gt;=5)*('CASE MASTER'!$AB$2:$AB$495&lt;=1)*('CASE MASTER'!$AD$2:$AD$495&gt;=1))*ROW('CASE MASTER'!$T$2:$T$495))-(ROW('CASE MASTER'!#REF!)-1))))*(INDEX('CASE MASTER'!$AD$2:$AD$495,(SUMPRODUCT((('CASE MASTER'!$T$2:$T$495=4)*('CASE MASTER'!$AA$2:$AA$495&lt;=5)*('CASE MASTER'!$AC$2:$AC$495&gt;=5)*('CASE MASTER'!$AB$2:$AB$495&lt;=1)*('CASE MASTER'!$AD$2:$AD$495&gt;=1))*ROW('CASE MASTER'!$T$2:$T$495))-(ROW('CASE MASTER'!#REF!)-1)))-INDEX('CASE MASTER'!$AB$2:$AB$495,(SUMPRODUCT((('CASE MASTER'!$T$2:$T$495=4)*('CASE MASTER'!$AA$2:$AA$495&lt;=5)*('CASE MASTER'!$AC$2:$AC$495&gt;=5)*('CASE MASTER'!$AB$2:$AB$495&lt;=1)*('CASE MASTER'!$AD$2:$AD$495&gt;=1))*ROW('CASE MASTER'!$T$2:$T$495))-(ROW('CASE MASTER'!#REF!)-1)))+1)+(1-INDEX('CASE MASTER'!$AB$2:$AB$495,(SUMPRODUCT((('CASE MASTER'!$T$2:$T$495=4)*('CASE MASTER'!$AA$2:$AA$495&lt;=5)*('CASE MASTER'!$AC$2:$AC$495&gt;=5)*('CASE MASTER'!$AB$2:$AB$495&lt;=1)*('CASE MASTER'!$AD$2:$AD$495&gt;=1))*ROW('CASE MASTER'!$T$2:$T$495))-(ROW('CASE MASTER'!#REF!)-1))))+1)))-1)*50+1,50))&amp;"_"&amp;INDEX('CASE MASTER'!$Q$2:$Q$495,(SUMPRODUCT((('CASE MASTER'!$T$2:$T$495=4)*('CASE MASTER'!$AA$2:$AA$495&lt;=5)*('CASE MASTER'!$AC$2:$AC$495&gt;=5)*('CASE MASTER'!$AB$2:$AB$495&lt;=1)*('CASE MASTER'!$AD$2:$AD$495&gt;=1))*ROW('CASE MASTER'!$T$2:$T$495))-(ROW('CASE MASTER'!#REF!)-1))),"")),"")</f>
        <v/>
      </c>
      <c r="C49" s="10" t="str">
        <f>IFERROR(IF(SUMPRODUCT((('CASE MASTER'!$T$2:$T$495=4)*('CASE MASTER'!$U$2:$U$495&lt;=5)*('CASE MASTER'!$W$2:$W$495&gt;=5)*('CASE MASTER'!$V$2:$V$495&lt;=2)*('CASE MASTER'!$X$2:$X$495&gt;=2))*ROW('CASE MASTER'!$T$2:$T$495))&gt;0,INDEX('CASE MASTER'!$Y$2:$Y$495,(SUMPRODUCT((('CASE MASTER'!$T$2:$T$495=4)*('CASE MASTER'!$U$2:$U$495&lt;=5)*('CASE MASTER'!$W$2:$W$495&gt;=5)*('CASE MASTER'!$V$2:$V$495&lt;=2)*('CASE MASTER'!$X$2:$X$495&gt;=2))*ROW('CASE MASTER'!$T$2:$T$495))-(ROW('CASE MASTER'!#REF!)-1)))&amp;TRIM(MID(SUBSTITUTE(SUBSTITUTE(INDEX('CASE MASTER'!$N$2:$N$495,(SUMPRODUCT((('CASE MASTER'!$T$2:$T$495=4)*('CASE MASTER'!$U$2:$U$495&lt;=5)*('CASE MASTER'!$W$2:$W$495&gt;=5)*('CASE MASTER'!$V$2:$V$495&lt;=2)*('CASE MASTER'!$X$2:$X$495&gt;=2))*ROW('CASE MASTER'!$T$2:$T$495))-(ROW('CASE MASTER'!#REF!)-1))),":",","),",",REPT(" ",50)),((((5-INDEX('CASE MASTER'!$U$2:$U$495,(SUMPRODUCT((('CASE MASTER'!$T$2:$T$495=4)*('CASE MASTER'!$U$2:$U$495&lt;=5)*('CASE MASTER'!$W$2:$W$495&gt;=5)*('CASE MASTER'!$V$2:$V$495&lt;=2)*('CASE MASTER'!$X$2:$X$495&gt;=2))*ROW('CASE MASTER'!$T$2:$T$495))-(ROW('CASE MASTER'!#REF!)-1))))*(INDEX('CASE MASTER'!$X$2:$X$495,(SUMPRODUCT((('CASE MASTER'!$T$2:$T$495=4)*('CASE MASTER'!$U$2:$U$495&lt;=5)*('CASE MASTER'!$W$2:$W$495&gt;=5)*('CASE MASTER'!$V$2:$V$495&lt;=2)*('CASE MASTER'!$X$2:$X$495&gt;=2))*ROW('CASE MASTER'!$T$2:$T$495))-(ROW('CASE MASTER'!#REF!)-1)))-INDEX('CASE MASTER'!$V$2:$V$495,(SUMPRODUCT((('CASE MASTER'!$T$2:$T$495=4)*('CASE MASTER'!$U$2:$U$495&lt;=5)*('CASE MASTER'!$W$2:$W$495&gt;=5)*('CASE MASTER'!$V$2:$V$495&lt;=2)*('CASE MASTER'!$X$2:$X$495&gt;=2))*ROW('CASE MASTER'!$T$2:$T$495))-(ROW('CASE MASTER'!#REF!)-1)))+1)+(2-INDEX('CASE MASTER'!$V$2:$V$495,(SUMPRODUCT((('CASE MASTER'!$T$2:$T$495=4)*('CASE MASTER'!$U$2:$U$495&lt;=5)*('CASE MASTER'!$W$2:$W$495&gt;=5)*('CASE MASTER'!$V$2:$V$495&lt;=2)*('CASE MASTER'!$X$2:$X$495&gt;=2))*ROW('CASE MASTER'!$T$2:$T$495))-(ROW('CASE MASTER'!#REF!)-1))))+1))-1)*50+1,50))&amp;"_"&amp;INDEX('CASE MASTER'!$Q$2:$Q$495,(SUMPRODUCT((('CASE MASTER'!$T$2:$T$495=4)*('CASE MASTER'!$U$2:$U$495&lt;=5)*('CASE MASTER'!$W$2:$W$495&gt;=5)*('CASE MASTER'!$V$2:$V$495&lt;=2)*('CASE MASTER'!$X$2:$X$495&gt;=2))*ROW('CASE MASTER'!$T$2:$T$495))-(ROW('CASE MASTER'!#REF!)-1))),IF(SUMPRODUCT((('CASE MASTER'!$T$2:$T$495=4)*('CASE MASTER'!$AA$2:$AA$495&lt;=5)*('CASE MASTER'!$AC$2:$AC$495&gt;=5)*('CASE MASTER'!$AB$2:$AB$495&lt;=2)*('CASE MASTER'!$AD$2:$AD$495&gt;=2))*ROW('CASE MASTER'!$T$2:$T$495))&gt;0,INDEX('CASE MASTER'!$Y$2:$Y$495,(SUMPRODUCT((('CASE MASTER'!$T$2:$T$495=4)*('CASE MASTER'!$AA$2:$AA$495&lt;=5)*('CASE MASTER'!$AC$2:$AC$495&gt;=5)*('CASE MASTER'!$AB$2:$AB$495&lt;=2)*('CASE MASTER'!$AD$2:$AD$495&gt;=2))*ROW('CASE MASTER'!$T$2:$T$495))-(ROW('CASE MASTER'!#REF!)-1)))&amp;TRIM(MID(SUBSTITUTE(SUBSTITUTE(INDEX('CASE MASTER'!$N$2:$N$495,(SUMPRODUCT((('CASE MASTER'!$T$2:$T$495=4)*('CASE MASTER'!$AA$2:$AA$495&lt;=5)*('CASE MASTER'!$AC$2:$AC$495&gt;=5)*('CASE MASTER'!$AB$2:$AB$495&lt;=2)*('CASE MASTER'!$AD$2:$AD$495&gt;=2))*ROW('CASE MASTER'!$T$2:$T$495))-(ROW('CASE MASTER'!#REF!)-1))),":",","),",",REPT(" ",50)),(((INDEX('CASE MASTER'!$Z$2:$Z$495,(SUMPRODUCT((('CASE MASTER'!$T$2:$T$495=4)*('CASE MASTER'!$AA$2:$AA$495&lt;=5)*('CASE MASTER'!$AC$2:$AC$495&gt;=5)*('CASE MASTER'!$AB$2:$AB$495&lt;=2)*('CASE MASTER'!$AD$2:$AD$495&gt;=2))*ROW('CASE MASTER'!$T$2:$T$495))-(ROW('CASE MASTER'!#REF!)-1)))+((5-INDEX('CASE MASTER'!$AA$2:$AA$495,(SUMPRODUCT((('CASE MASTER'!$T$2:$T$495=4)*('CASE MASTER'!$AA$2:$AA$495&lt;=5)*('CASE MASTER'!$AC$2:$AC$495&gt;=5)*('CASE MASTER'!$AB$2:$AB$495&lt;=2)*('CASE MASTER'!$AD$2:$AD$495&gt;=2))*ROW('CASE MASTER'!$T$2:$T$495))-(ROW('CASE MASTER'!#REF!)-1))))*(INDEX('CASE MASTER'!$AD$2:$AD$495,(SUMPRODUCT((('CASE MASTER'!$T$2:$T$495=4)*('CASE MASTER'!$AA$2:$AA$495&lt;=5)*('CASE MASTER'!$AC$2:$AC$495&gt;=5)*('CASE MASTER'!$AB$2:$AB$495&lt;=2)*('CASE MASTER'!$AD$2:$AD$495&gt;=2))*ROW('CASE MASTER'!$T$2:$T$495))-(ROW('CASE MASTER'!#REF!)-1)))-INDEX('CASE MASTER'!$AB$2:$AB$495,(SUMPRODUCT((('CASE MASTER'!$T$2:$T$495=4)*('CASE MASTER'!$AA$2:$AA$495&lt;=5)*('CASE MASTER'!$AC$2:$AC$495&gt;=5)*('CASE MASTER'!$AB$2:$AB$495&lt;=2)*('CASE MASTER'!$AD$2:$AD$495&gt;=2))*ROW('CASE MASTER'!$T$2:$T$495))-(ROW('CASE MASTER'!#REF!)-1)))+1)+(2-INDEX('CASE MASTER'!$AB$2:$AB$495,(SUMPRODUCT((('CASE MASTER'!$T$2:$T$495=4)*('CASE MASTER'!$AA$2:$AA$495&lt;=5)*('CASE MASTER'!$AC$2:$AC$495&gt;=5)*('CASE MASTER'!$AB$2:$AB$495&lt;=2)*('CASE MASTER'!$AD$2:$AD$495&gt;=2))*ROW('CASE MASTER'!$T$2:$T$495))-(ROW('CASE MASTER'!#REF!)-1))))+1)))-1)*50+1,50))&amp;"_"&amp;INDEX('CASE MASTER'!$Q$2:$Q$495,(SUMPRODUCT((('CASE MASTER'!$T$2:$T$495=4)*('CASE MASTER'!$AA$2:$AA$495&lt;=5)*('CASE MASTER'!$AC$2:$AC$495&gt;=5)*('CASE MASTER'!$AB$2:$AB$495&lt;=2)*('CASE MASTER'!$AD$2:$AD$495&gt;=2))*ROW('CASE MASTER'!$T$2:$T$495))-(ROW('CASE MASTER'!#REF!)-1))),"")),"")</f>
        <v/>
      </c>
      <c r="D49" s="10" t="str">
        <f>IFERROR(IF(SUMPRODUCT((('CASE MASTER'!$T$2:$T$495=4)*('CASE MASTER'!$U$2:$U$495&lt;=5)*('CASE MASTER'!$W$2:$W$495&gt;=5)*('CASE MASTER'!$V$2:$V$495&lt;=3)*('CASE MASTER'!$X$2:$X$495&gt;=3))*ROW('CASE MASTER'!$T$2:$T$495))&gt;0,INDEX('CASE MASTER'!$Y$2:$Y$495,(SUMPRODUCT((('CASE MASTER'!$T$2:$T$495=4)*('CASE MASTER'!$U$2:$U$495&lt;=5)*('CASE MASTER'!$W$2:$W$495&gt;=5)*('CASE MASTER'!$V$2:$V$495&lt;=3)*('CASE MASTER'!$X$2:$X$495&gt;=3))*ROW('CASE MASTER'!$T$2:$T$495))-(ROW('CASE MASTER'!#REF!)-1)))&amp;TRIM(MID(SUBSTITUTE(SUBSTITUTE(INDEX('CASE MASTER'!$N$2:$N$495,(SUMPRODUCT((('CASE MASTER'!$T$2:$T$495=4)*('CASE MASTER'!$U$2:$U$495&lt;=5)*('CASE MASTER'!$W$2:$W$495&gt;=5)*('CASE MASTER'!$V$2:$V$495&lt;=3)*('CASE MASTER'!$X$2:$X$495&gt;=3))*ROW('CASE MASTER'!$T$2:$T$495))-(ROW('CASE MASTER'!#REF!)-1))),":",","),",",REPT(" ",50)),((((5-INDEX('CASE MASTER'!$U$2:$U$495,(SUMPRODUCT((('CASE MASTER'!$T$2:$T$495=4)*('CASE MASTER'!$U$2:$U$495&lt;=5)*('CASE MASTER'!$W$2:$W$495&gt;=5)*('CASE MASTER'!$V$2:$V$495&lt;=3)*('CASE MASTER'!$X$2:$X$495&gt;=3))*ROW('CASE MASTER'!$T$2:$T$495))-(ROW('CASE MASTER'!#REF!)-1))))*(INDEX('CASE MASTER'!$X$2:$X$495,(SUMPRODUCT((('CASE MASTER'!$T$2:$T$495=4)*('CASE MASTER'!$U$2:$U$495&lt;=5)*('CASE MASTER'!$W$2:$W$495&gt;=5)*('CASE MASTER'!$V$2:$V$495&lt;=3)*('CASE MASTER'!$X$2:$X$495&gt;=3))*ROW('CASE MASTER'!$T$2:$T$495))-(ROW('CASE MASTER'!#REF!)-1)))-INDEX('CASE MASTER'!$V$2:$V$495,(SUMPRODUCT((('CASE MASTER'!$T$2:$T$495=4)*('CASE MASTER'!$U$2:$U$495&lt;=5)*('CASE MASTER'!$W$2:$W$495&gt;=5)*('CASE MASTER'!$V$2:$V$495&lt;=3)*('CASE MASTER'!$X$2:$X$495&gt;=3))*ROW('CASE MASTER'!$T$2:$T$495))-(ROW('CASE MASTER'!#REF!)-1)))+1)+(3-INDEX('CASE MASTER'!$V$2:$V$495,(SUMPRODUCT((('CASE MASTER'!$T$2:$T$495=4)*('CASE MASTER'!$U$2:$U$495&lt;=5)*('CASE MASTER'!$W$2:$W$495&gt;=5)*('CASE MASTER'!$V$2:$V$495&lt;=3)*('CASE MASTER'!$X$2:$X$495&gt;=3))*ROW('CASE MASTER'!$T$2:$T$495))-(ROW('CASE MASTER'!#REF!)-1))))+1))-1)*50+1,50))&amp;"_"&amp;INDEX('CASE MASTER'!$Q$2:$Q$495,(SUMPRODUCT((('CASE MASTER'!$T$2:$T$495=4)*('CASE MASTER'!$U$2:$U$495&lt;=5)*('CASE MASTER'!$W$2:$W$495&gt;=5)*('CASE MASTER'!$V$2:$V$495&lt;=3)*('CASE MASTER'!$X$2:$X$495&gt;=3))*ROW('CASE MASTER'!$T$2:$T$495))-(ROW('CASE MASTER'!#REF!)-1))),IF(SUMPRODUCT((('CASE MASTER'!$T$2:$T$495=4)*('CASE MASTER'!$AA$2:$AA$495&lt;=5)*('CASE MASTER'!$AC$2:$AC$495&gt;=5)*('CASE MASTER'!$AB$2:$AB$495&lt;=3)*('CASE MASTER'!$AD$2:$AD$495&gt;=3))*ROW('CASE MASTER'!$T$2:$T$495))&gt;0,INDEX('CASE MASTER'!$Y$2:$Y$495,(SUMPRODUCT((('CASE MASTER'!$T$2:$T$495=4)*('CASE MASTER'!$AA$2:$AA$495&lt;=5)*('CASE MASTER'!$AC$2:$AC$495&gt;=5)*('CASE MASTER'!$AB$2:$AB$495&lt;=3)*('CASE MASTER'!$AD$2:$AD$495&gt;=3))*ROW('CASE MASTER'!$T$2:$T$495))-(ROW('CASE MASTER'!#REF!)-1)))&amp;TRIM(MID(SUBSTITUTE(SUBSTITUTE(INDEX('CASE MASTER'!$N$2:$N$495,(SUMPRODUCT((('CASE MASTER'!$T$2:$T$495=4)*('CASE MASTER'!$AA$2:$AA$495&lt;=5)*('CASE MASTER'!$AC$2:$AC$495&gt;=5)*('CASE MASTER'!$AB$2:$AB$495&lt;=3)*('CASE MASTER'!$AD$2:$AD$495&gt;=3))*ROW('CASE MASTER'!$T$2:$T$495))-(ROW('CASE MASTER'!#REF!)-1))),":",","),",",REPT(" ",50)),(((INDEX('CASE MASTER'!$Z$2:$Z$495,(SUMPRODUCT((('CASE MASTER'!$T$2:$T$495=4)*('CASE MASTER'!$AA$2:$AA$495&lt;=5)*('CASE MASTER'!$AC$2:$AC$495&gt;=5)*('CASE MASTER'!$AB$2:$AB$495&lt;=3)*('CASE MASTER'!$AD$2:$AD$495&gt;=3))*ROW('CASE MASTER'!$T$2:$T$495))-(ROW('CASE MASTER'!#REF!)-1)))+((5-INDEX('CASE MASTER'!$AA$2:$AA$495,(SUMPRODUCT((('CASE MASTER'!$T$2:$T$495=4)*('CASE MASTER'!$AA$2:$AA$495&lt;=5)*('CASE MASTER'!$AC$2:$AC$495&gt;=5)*('CASE MASTER'!$AB$2:$AB$495&lt;=3)*('CASE MASTER'!$AD$2:$AD$495&gt;=3))*ROW('CASE MASTER'!$T$2:$T$495))-(ROW('CASE MASTER'!#REF!)-1))))*(INDEX('CASE MASTER'!$AD$2:$AD$495,(SUMPRODUCT((('CASE MASTER'!$T$2:$T$495=4)*('CASE MASTER'!$AA$2:$AA$495&lt;=5)*('CASE MASTER'!$AC$2:$AC$495&gt;=5)*('CASE MASTER'!$AB$2:$AB$495&lt;=3)*('CASE MASTER'!$AD$2:$AD$495&gt;=3))*ROW('CASE MASTER'!$T$2:$T$495))-(ROW('CASE MASTER'!#REF!)-1)))-INDEX('CASE MASTER'!$AB$2:$AB$495,(SUMPRODUCT((('CASE MASTER'!$T$2:$T$495=4)*('CASE MASTER'!$AA$2:$AA$495&lt;=5)*('CASE MASTER'!$AC$2:$AC$495&gt;=5)*('CASE MASTER'!$AB$2:$AB$495&lt;=3)*('CASE MASTER'!$AD$2:$AD$495&gt;=3))*ROW('CASE MASTER'!$T$2:$T$495))-(ROW('CASE MASTER'!#REF!)-1)))+1)+(3-INDEX('CASE MASTER'!$AB$2:$AB$495,(SUMPRODUCT((('CASE MASTER'!$T$2:$T$495=4)*('CASE MASTER'!$AA$2:$AA$495&lt;=5)*('CASE MASTER'!$AC$2:$AC$495&gt;=5)*('CASE MASTER'!$AB$2:$AB$495&lt;=3)*('CASE MASTER'!$AD$2:$AD$495&gt;=3))*ROW('CASE MASTER'!$T$2:$T$495))-(ROW('CASE MASTER'!#REF!)-1))))+1)))-1)*50+1,50))&amp;"_"&amp;INDEX('CASE MASTER'!$Q$2:$Q$495,(SUMPRODUCT((('CASE MASTER'!$T$2:$T$495=4)*('CASE MASTER'!$AA$2:$AA$495&lt;=5)*('CASE MASTER'!$AC$2:$AC$495&gt;=5)*('CASE MASTER'!$AB$2:$AB$495&lt;=3)*('CASE MASTER'!$AD$2:$AD$495&gt;=3))*ROW('CASE MASTER'!$T$2:$T$495))-(ROW('CASE MASTER'!#REF!)-1))),"")),"")</f>
        <v/>
      </c>
      <c r="E49" s="10" t="str">
        <f>IFERROR(IF(SUMPRODUCT((('CASE MASTER'!$T$2:$T$495=4)*('CASE MASTER'!$U$2:$U$495&lt;=5)*('CASE MASTER'!$W$2:$W$495&gt;=5)*('CASE MASTER'!$V$2:$V$495&lt;=4)*('CASE MASTER'!$X$2:$X$495&gt;=4))*ROW('CASE MASTER'!$T$2:$T$495))&gt;0,INDEX('CASE MASTER'!$Y$2:$Y$495,(SUMPRODUCT((('CASE MASTER'!$T$2:$T$495=4)*('CASE MASTER'!$U$2:$U$495&lt;=5)*('CASE MASTER'!$W$2:$W$495&gt;=5)*('CASE MASTER'!$V$2:$V$495&lt;=4)*('CASE MASTER'!$X$2:$X$495&gt;=4))*ROW('CASE MASTER'!$T$2:$T$495))-(ROW('CASE MASTER'!#REF!)-1)))&amp;TRIM(MID(SUBSTITUTE(SUBSTITUTE(INDEX('CASE MASTER'!$N$2:$N$495,(SUMPRODUCT((('CASE MASTER'!$T$2:$T$495=4)*('CASE MASTER'!$U$2:$U$495&lt;=5)*('CASE MASTER'!$W$2:$W$495&gt;=5)*('CASE MASTER'!$V$2:$V$495&lt;=4)*('CASE MASTER'!$X$2:$X$495&gt;=4))*ROW('CASE MASTER'!$T$2:$T$495))-(ROW('CASE MASTER'!#REF!)-1))),":",","),",",REPT(" ",50)),((((5-INDEX('CASE MASTER'!$U$2:$U$495,(SUMPRODUCT((('CASE MASTER'!$T$2:$T$495=4)*('CASE MASTER'!$U$2:$U$495&lt;=5)*('CASE MASTER'!$W$2:$W$495&gt;=5)*('CASE MASTER'!$V$2:$V$495&lt;=4)*('CASE MASTER'!$X$2:$X$495&gt;=4))*ROW('CASE MASTER'!$T$2:$T$495))-(ROW('CASE MASTER'!#REF!)-1))))*(INDEX('CASE MASTER'!$X$2:$X$495,(SUMPRODUCT((('CASE MASTER'!$T$2:$T$495=4)*('CASE MASTER'!$U$2:$U$495&lt;=5)*('CASE MASTER'!$W$2:$W$495&gt;=5)*('CASE MASTER'!$V$2:$V$495&lt;=4)*('CASE MASTER'!$X$2:$X$495&gt;=4))*ROW('CASE MASTER'!$T$2:$T$495))-(ROW('CASE MASTER'!#REF!)-1)))-INDEX('CASE MASTER'!$V$2:$V$495,(SUMPRODUCT((('CASE MASTER'!$T$2:$T$495=4)*('CASE MASTER'!$U$2:$U$495&lt;=5)*('CASE MASTER'!$W$2:$W$495&gt;=5)*('CASE MASTER'!$V$2:$V$495&lt;=4)*('CASE MASTER'!$X$2:$X$495&gt;=4))*ROW('CASE MASTER'!$T$2:$T$495))-(ROW('CASE MASTER'!#REF!)-1)))+1)+(4-INDEX('CASE MASTER'!$V$2:$V$495,(SUMPRODUCT((('CASE MASTER'!$T$2:$T$495=4)*('CASE MASTER'!$U$2:$U$495&lt;=5)*('CASE MASTER'!$W$2:$W$495&gt;=5)*('CASE MASTER'!$V$2:$V$495&lt;=4)*('CASE MASTER'!$X$2:$X$495&gt;=4))*ROW('CASE MASTER'!$T$2:$T$495))-(ROW('CASE MASTER'!#REF!)-1))))+1))-1)*50+1,50))&amp;"_"&amp;INDEX('CASE MASTER'!$Q$2:$Q$495,(SUMPRODUCT((('CASE MASTER'!$T$2:$T$495=4)*('CASE MASTER'!$U$2:$U$495&lt;=5)*('CASE MASTER'!$W$2:$W$495&gt;=5)*('CASE MASTER'!$V$2:$V$495&lt;=4)*('CASE MASTER'!$X$2:$X$495&gt;=4))*ROW('CASE MASTER'!$T$2:$T$495))-(ROW('CASE MASTER'!#REF!)-1))),IF(SUMPRODUCT((('CASE MASTER'!$T$2:$T$495=4)*('CASE MASTER'!$AA$2:$AA$495&lt;=5)*('CASE MASTER'!$AC$2:$AC$495&gt;=5)*('CASE MASTER'!$AB$2:$AB$495&lt;=4)*('CASE MASTER'!$AD$2:$AD$495&gt;=4))*ROW('CASE MASTER'!$T$2:$T$495))&gt;0,INDEX('CASE MASTER'!$Y$2:$Y$495,(SUMPRODUCT((('CASE MASTER'!$T$2:$T$495=4)*('CASE MASTER'!$AA$2:$AA$495&lt;=5)*('CASE MASTER'!$AC$2:$AC$495&gt;=5)*('CASE MASTER'!$AB$2:$AB$495&lt;=4)*('CASE MASTER'!$AD$2:$AD$495&gt;=4))*ROW('CASE MASTER'!$T$2:$T$495))-(ROW('CASE MASTER'!#REF!)-1)))&amp;TRIM(MID(SUBSTITUTE(SUBSTITUTE(INDEX('CASE MASTER'!$N$2:$N$495,(SUMPRODUCT((('CASE MASTER'!$T$2:$T$495=4)*('CASE MASTER'!$AA$2:$AA$495&lt;=5)*('CASE MASTER'!$AC$2:$AC$495&gt;=5)*('CASE MASTER'!$AB$2:$AB$495&lt;=4)*('CASE MASTER'!$AD$2:$AD$495&gt;=4))*ROW('CASE MASTER'!$T$2:$T$495))-(ROW('CASE MASTER'!#REF!)-1))),":",","),",",REPT(" ",50)),(((INDEX('CASE MASTER'!$Z$2:$Z$495,(SUMPRODUCT((('CASE MASTER'!$T$2:$T$495=4)*('CASE MASTER'!$AA$2:$AA$495&lt;=5)*('CASE MASTER'!$AC$2:$AC$495&gt;=5)*('CASE MASTER'!$AB$2:$AB$495&lt;=4)*('CASE MASTER'!$AD$2:$AD$495&gt;=4))*ROW('CASE MASTER'!$T$2:$T$495))-(ROW('CASE MASTER'!#REF!)-1)))+((5-INDEX('CASE MASTER'!$AA$2:$AA$495,(SUMPRODUCT((('CASE MASTER'!$T$2:$T$495=4)*('CASE MASTER'!$AA$2:$AA$495&lt;=5)*('CASE MASTER'!$AC$2:$AC$495&gt;=5)*('CASE MASTER'!$AB$2:$AB$495&lt;=4)*('CASE MASTER'!$AD$2:$AD$495&gt;=4))*ROW('CASE MASTER'!$T$2:$T$495))-(ROW('CASE MASTER'!#REF!)-1))))*(INDEX('CASE MASTER'!$AD$2:$AD$495,(SUMPRODUCT((('CASE MASTER'!$T$2:$T$495=4)*('CASE MASTER'!$AA$2:$AA$495&lt;=5)*('CASE MASTER'!$AC$2:$AC$495&gt;=5)*('CASE MASTER'!$AB$2:$AB$495&lt;=4)*('CASE MASTER'!$AD$2:$AD$495&gt;=4))*ROW('CASE MASTER'!$T$2:$T$495))-(ROW('CASE MASTER'!#REF!)-1)))-INDEX('CASE MASTER'!$AB$2:$AB$495,(SUMPRODUCT((('CASE MASTER'!$T$2:$T$495=4)*('CASE MASTER'!$AA$2:$AA$495&lt;=5)*('CASE MASTER'!$AC$2:$AC$495&gt;=5)*('CASE MASTER'!$AB$2:$AB$495&lt;=4)*('CASE MASTER'!$AD$2:$AD$495&gt;=4))*ROW('CASE MASTER'!$T$2:$T$495))-(ROW('CASE MASTER'!#REF!)-1)))+1)+(4-INDEX('CASE MASTER'!$AB$2:$AB$495,(SUMPRODUCT((('CASE MASTER'!$T$2:$T$495=4)*('CASE MASTER'!$AA$2:$AA$495&lt;=5)*('CASE MASTER'!$AC$2:$AC$495&gt;=5)*('CASE MASTER'!$AB$2:$AB$495&lt;=4)*('CASE MASTER'!$AD$2:$AD$495&gt;=4))*ROW('CASE MASTER'!$T$2:$T$495))-(ROW('CASE MASTER'!#REF!)-1))))+1)))-1)*50+1,50))&amp;"_"&amp;INDEX('CASE MASTER'!$Q$2:$Q$495,(SUMPRODUCT((('CASE MASTER'!$T$2:$T$495=4)*('CASE MASTER'!$AA$2:$AA$495&lt;=5)*('CASE MASTER'!$AC$2:$AC$495&gt;=5)*('CASE MASTER'!$AB$2:$AB$495&lt;=4)*('CASE MASTER'!$AD$2:$AD$495&gt;=4))*ROW('CASE MASTER'!$T$2:$T$495))-(ROW('CASE MASTER'!#REF!)-1))),"")),"")</f>
        <v/>
      </c>
      <c r="F49" s="10" t="str">
        <f>IFERROR(IF(SUMPRODUCT((('CASE MASTER'!$T$2:$T$495=4)*('CASE MASTER'!$U$2:$U$495&lt;=5)*('CASE MASTER'!$W$2:$W$495&gt;=5)*('CASE MASTER'!$V$2:$V$495&lt;=5)*('CASE MASTER'!$X$2:$X$495&gt;=5))*ROW('CASE MASTER'!$T$2:$T$495))&gt;0,INDEX('CASE MASTER'!$Y$2:$Y$495,(SUMPRODUCT((('CASE MASTER'!$T$2:$T$495=4)*('CASE MASTER'!$U$2:$U$495&lt;=5)*('CASE MASTER'!$W$2:$W$495&gt;=5)*('CASE MASTER'!$V$2:$V$495&lt;=5)*('CASE MASTER'!$X$2:$X$495&gt;=5))*ROW('CASE MASTER'!$T$2:$T$495))-(ROW('CASE MASTER'!#REF!)-1)))&amp;TRIM(MID(SUBSTITUTE(SUBSTITUTE(INDEX('CASE MASTER'!$N$2:$N$495,(SUMPRODUCT((('CASE MASTER'!$T$2:$T$495=4)*('CASE MASTER'!$U$2:$U$495&lt;=5)*('CASE MASTER'!$W$2:$W$495&gt;=5)*('CASE MASTER'!$V$2:$V$495&lt;=5)*('CASE MASTER'!$X$2:$X$495&gt;=5))*ROW('CASE MASTER'!$T$2:$T$495))-(ROW('CASE MASTER'!#REF!)-1))),":",","),",",REPT(" ",50)),((((5-INDEX('CASE MASTER'!$U$2:$U$495,(SUMPRODUCT((('CASE MASTER'!$T$2:$T$495=4)*('CASE MASTER'!$U$2:$U$495&lt;=5)*('CASE MASTER'!$W$2:$W$495&gt;=5)*('CASE MASTER'!$V$2:$V$495&lt;=5)*('CASE MASTER'!$X$2:$X$495&gt;=5))*ROW('CASE MASTER'!$T$2:$T$495))-(ROW('CASE MASTER'!#REF!)-1))))*(INDEX('CASE MASTER'!$X$2:$X$495,(SUMPRODUCT((('CASE MASTER'!$T$2:$T$495=4)*('CASE MASTER'!$U$2:$U$495&lt;=5)*('CASE MASTER'!$W$2:$W$495&gt;=5)*('CASE MASTER'!$V$2:$V$495&lt;=5)*('CASE MASTER'!$X$2:$X$495&gt;=5))*ROW('CASE MASTER'!$T$2:$T$495))-(ROW('CASE MASTER'!#REF!)-1)))-INDEX('CASE MASTER'!$V$2:$V$495,(SUMPRODUCT((('CASE MASTER'!$T$2:$T$495=4)*('CASE MASTER'!$U$2:$U$495&lt;=5)*('CASE MASTER'!$W$2:$W$495&gt;=5)*('CASE MASTER'!$V$2:$V$495&lt;=5)*('CASE MASTER'!$X$2:$X$495&gt;=5))*ROW('CASE MASTER'!$T$2:$T$495))-(ROW('CASE MASTER'!#REF!)-1)))+1)+(5-INDEX('CASE MASTER'!$V$2:$V$495,(SUMPRODUCT((('CASE MASTER'!$T$2:$T$495=4)*('CASE MASTER'!$U$2:$U$495&lt;=5)*('CASE MASTER'!$W$2:$W$495&gt;=5)*('CASE MASTER'!$V$2:$V$495&lt;=5)*('CASE MASTER'!$X$2:$X$495&gt;=5))*ROW('CASE MASTER'!$T$2:$T$495))-(ROW('CASE MASTER'!#REF!)-1))))+1))-1)*50+1,50))&amp;"_"&amp;INDEX('CASE MASTER'!$Q$2:$Q$495,(SUMPRODUCT((('CASE MASTER'!$T$2:$T$495=4)*('CASE MASTER'!$U$2:$U$495&lt;=5)*('CASE MASTER'!$W$2:$W$495&gt;=5)*('CASE MASTER'!$V$2:$V$495&lt;=5)*('CASE MASTER'!$X$2:$X$495&gt;=5))*ROW('CASE MASTER'!$T$2:$T$495))-(ROW('CASE MASTER'!#REF!)-1))),IF(SUMPRODUCT((('CASE MASTER'!$T$2:$T$495=4)*('CASE MASTER'!$AA$2:$AA$495&lt;=5)*('CASE MASTER'!$AC$2:$AC$495&gt;=5)*('CASE MASTER'!$AB$2:$AB$495&lt;=5)*('CASE MASTER'!$AD$2:$AD$495&gt;=5))*ROW('CASE MASTER'!$T$2:$T$495))&gt;0,INDEX('CASE MASTER'!$Y$2:$Y$495,(SUMPRODUCT((('CASE MASTER'!$T$2:$T$495=4)*('CASE MASTER'!$AA$2:$AA$495&lt;=5)*('CASE MASTER'!$AC$2:$AC$495&gt;=5)*('CASE MASTER'!$AB$2:$AB$495&lt;=5)*('CASE MASTER'!$AD$2:$AD$495&gt;=5))*ROW('CASE MASTER'!$T$2:$T$495))-(ROW('CASE MASTER'!#REF!)-1)))&amp;TRIM(MID(SUBSTITUTE(SUBSTITUTE(INDEX('CASE MASTER'!$N$2:$N$495,(SUMPRODUCT((('CASE MASTER'!$T$2:$T$495=4)*('CASE MASTER'!$AA$2:$AA$495&lt;=5)*('CASE MASTER'!$AC$2:$AC$495&gt;=5)*('CASE MASTER'!$AB$2:$AB$495&lt;=5)*('CASE MASTER'!$AD$2:$AD$495&gt;=5))*ROW('CASE MASTER'!$T$2:$T$495))-(ROW('CASE MASTER'!#REF!)-1))),":",","),",",REPT(" ",50)),(((INDEX('CASE MASTER'!$Z$2:$Z$495,(SUMPRODUCT((('CASE MASTER'!$T$2:$T$495=4)*('CASE MASTER'!$AA$2:$AA$495&lt;=5)*('CASE MASTER'!$AC$2:$AC$495&gt;=5)*('CASE MASTER'!$AB$2:$AB$495&lt;=5)*('CASE MASTER'!$AD$2:$AD$495&gt;=5))*ROW('CASE MASTER'!$T$2:$T$495))-(ROW('CASE MASTER'!#REF!)-1)))+((5-INDEX('CASE MASTER'!$AA$2:$AA$495,(SUMPRODUCT((('CASE MASTER'!$T$2:$T$495=4)*('CASE MASTER'!$AA$2:$AA$495&lt;=5)*('CASE MASTER'!$AC$2:$AC$495&gt;=5)*('CASE MASTER'!$AB$2:$AB$495&lt;=5)*('CASE MASTER'!$AD$2:$AD$495&gt;=5))*ROW('CASE MASTER'!$T$2:$T$495))-(ROW('CASE MASTER'!#REF!)-1))))*(INDEX('CASE MASTER'!$AD$2:$AD$495,(SUMPRODUCT((('CASE MASTER'!$T$2:$T$495=4)*('CASE MASTER'!$AA$2:$AA$495&lt;=5)*('CASE MASTER'!$AC$2:$AC$495&gt;=5)*('CASE MASTER'!$AB$2:$AB$495&lt;=5)*('CASE MASTER'!$AD$2:$AD$495&gt;=5))*ROW('CASE MASTER'!$T$2:$T$495))-(ROW('CASE MASTER'!#REF!)-1)))-INDEX('CASE MASTER'!$AB$2:$AB$495,(SUMPRODUCT((('CASE MASTER'!$T$2:$T$495=4)*('CASE MASTER'!$AA$2:$AA$495&lt;=5)*('CASE MASTER'!$AC$2:$AC$495&gt;=5)*('CASE MASTER'!$AB$2:$AB$495&lt;=5)*('CASE MASTER'!$AD$2:$AD$495&gt;=5))*ROW('CASE MASTER'!$T$2:$T$495))-(ROW('CASE MASTER'!#REF!)-1)))+1)+(5-INDEX('CASE MASTER'!$AB$2:$AB$495,(SUMPRODUCT((('CASE MASTER'!$T$2:$T$495=4)*('CASE MASTER'!$AA$2:$AA$495&lt;=5)*('CASE MASTER'!$AC$2:$AC$495&gt;=5)*('CASE MASTER'!$AB$2:$AB$495&lt;=5)*('CASE MASTER'!$AD$2:$AD$495&gt;=5))*ROW('CASE MASTER'!$T$2:$T$495))-(ROW('CASE MASTER'!#REF!)-1))))+1)))-1)*50+1,50))&amp;"_"&amp;INDEX('CASE MASTER'!$Q$2:$Q$495,(SUMPRODUCT((('CASE MASTER'!$T$2:$T$495=4)*('CASE MASTER'!$AA$2:$AA$495&lt;=5)*('CASE MASTER'!$AC$2:$AC$495&gt;=5)*('CASE MASTER'!$AB$2:$AB$495&lt;=5)*('CASE MASTER'!$AD$2:$AD$495&gt;=5))*ROW('CASE MASTER'!$T$2:$T$495))-(ROW('CASE MASTER'!#REF!)-1))),"")),"")</f>
        <v/>
      </c>
      <c r="G49" s="10" t="str">
        <f>IFERROR(IF(SUMPRODUCT((('CASE MASTER'!$T$2:$T$495=4)*('CASE MASTER'!$U$2:$U$495&lt;=5)*('CASE MASTER'!$W$2:$W$495&gt;=5)*('CASE MASTER'!$V$2:$V$495&lt;=6)*('CASE MASTER'!$X$2:$X$495&gt;=6))*ROW('CASE MASTER'!$T$2:$T$495))&gt;0,INDEX('CASE MASTER'!$Y$2:$Y$495,(SUMPRODUCT((('CASE MASTER'!$T$2:$T$495=4)*('CASE MASTER'!$U$2:$U$495&lt;=5)*('CASE MASTER'!$W$2:$W$495&gt;=5)*('CASE MASTER'!$V$2:$V$495&lt;=6)*('CASE MASTER'!$X$2:$X$495&gt;=6))*ROW('CASE MASTER'!$T$2:$T$495))-(ROW('CASE MASTER'!#REF!)-1)))&amp;TRIM(MID(SUBSTITUTE(SUBSTITUTE(INDEX('CASE MASTER'!$N$2:$N$495,(SUMPRODUCT((('CASE MASTER'!$T$2:$T$495=4)*('CASE MASTER'!$U$2:$U$495&lt;=5)*('CASE MASTER'!$W$2:$W$495&gt;=5)*('CASE MASTER'!$V$2:$V$495&lt;=6)*('CASE MASTER'!$X$2:$X$495&gt;=6))*ROW('CASE MASTER'!$T$2:$T$495))-(ROW('CASE MASTER'!#REF!)-1))),":",","),",",REPT(" ",50)),((((5-INDEX('CASE MASTER'!$U$2:$U$495,(SUMPRODUCT((('CASE MASTER'!$T$2:$T$495=4)*('CASE MASTER'!$U$2:$U$495&lt;=5)*('CASE MASTER'!$W$2:$W$495&gt;=5)*('CASE MASTER'!$V$2:$V$495&lt;=6)*('CASE MASTER'!$X$2:$X$495&gt;=6))*ROW('CASE MASTER'!$T$2:$T$495))-(ROW('CASE MASTER'!#REF!)-1))))*(INDEX('CASE MASTER'!$X$2:$X$495,(SUMPRODUCT((('CASE MASTER'!$T$2:$T$495=4)*('CASE MASTER'!$U$2:$U$495&lt;=5)*('CASE MASTER'!$W$2:$W$495&gt;=5)*('CASE MASTER'!$V$2:$V$495&lt;=6)*('CASE MASTER'!$X$2:$X$495&gt;=6))*ROW('CASE MASTER'!$T$2:$T$495))-(ROW('CASE MASTER'!#REF!)-1)))-INDEX('CASE MASTER'!$V$2:$V$495,(SUMPRODUCT((('CASE MASTER'!$T$2:$T$495=4)*('CASE MASTER'!$U$2:$U$495&lt;=5)*('CASE MASTER'!$W$2:$W$495&gt;=5)*('CASE MASTER'!$V$2:$V$495&lt;=6)*('CASE MASTER'!$X$2:$X$495&gt;=6))*ROW('CASE MASTER'!$T$2:$T$495))-(ROW('CASE MASTER'!#REF!)-1)))+1)+(6-INDEX('CASE MASTER'!$V$2:$V$495,(SUMPRODUCT((('CASE MASTER'!$T$2:$T$495=4)*('CASE MASTER'!$U$2:$U$495&lt;=5)*('CASE MASTER'!$W$2:$W$495&gt;=5)*('CASE MASTER'!$V$2:$V$495&lt;=6)*('CASE MASTER'!$X$2:$X$495&gt;=6))*ROW('CASE MASTER'!$T$2:$T$495))-(ROW('CASE MASTER'!#REF!)-1))))+1))-1)*50+1,50))&amp;"_"&amp;INDEX('CASE MASTER'!$Q$2:$Q$495,(SUMPRODUCT((('CASE MASTER'!$T$2:$T$495=4)*('CASE MASTER'!$U$2:$U$495&lt;=5)*('CASE MASTER'!$W$2:$W$495&gt;=5)*('CASE MASTER'!$V$2:$V$495&lt;=6)*('CASE MASTER'!$X$2:$X$495&gt;=6))*ROW('CASE MASTER'!$T$2:$T$495))-(ROW('CASE MASTER'!#REF!)-1))),IF(SUMPRODUCT((('CASE MASTER'!$T$2:$T$495=4)*('CASE MASTER'!$AA$2:$AA$495&lt;=5)*('CASE MASTER'!$AC$2:$AC$495&gt;=5)*('CASE MASTER'!$AB$2:$AB$495&lt;=6)*('CASE MASTER'!$AD$2:$AD$495&gt;=6))*ROW('CASE MASTER'!$T$2:$T$495))&gt;0,INDEX('CASE MASTER'!$Y$2:$Y$495,(SUMPRODUCT((('CASE MASTER'!$T$2:$T$495=4)*('CASE MASTER'!$AA$2:$AA$495&lt;=5)*('CASE MASTER'!$AC$2:$AC$495&gt;=5)*('CASE MASTER'!$AB$2:$AB$495&lt;=6)*('CASE MASTER'!$AD$2:$AD$495&gt;=6))*ROW('CASE MASTER'!$T$2:$T$495))-(ROW('CASE MASTER'!#REF!)-1)))&amp;TRIM(MID(SUBSTITUTE(SUBSTITUTE(INDEX('CASE MASTER'!$N$2:$N$495,(SUMPRODUCT((('CASE MASTER'!$T$2:$T$495=4)*('CASE MASTER'!$AA$2:$AA$495&lt;=5)*('CASE MASTER'!$AC$2:$AC$495&gt;=5)*('CASE MASTER'!$AB$2:$AB$495&lt;=6)*('CASE MASTER'!$AD$2:$AD$495&gt;=6))*ROW('CASE MASTER'!$T$2:$T$495))-(ROW('CASE MASTER'!#REF!)-1))),":",","),",",REPT(" ",50)),(((INDEX('CASE MASTER'!$Z$2:$Z$495,(SUMPRODUCT((('CASE MASTER'!$T$2:$T$495=4)*('CASE MASTER'!$AA$2:$AA$495&lt;=5)*('CASE MASTER'!$AC$2:$AC$495&gt;=5)*('CASE MASTER'!$AB$2:$AB$495&lt;=6)*('CASE MASTER'!$AD$2:$AD$495&gt;=6))*ROW('CASE MASTER'!$T$2:$T$495))-(ROW('CASE MASTER'!#REF!)-1)))+((5-INDEX('CASE MASTER'!$AA$2:$AA$495,(SUMPRODUCT((('CASE MASTER'!$T$2:$T$495=4)*('CASE MASTER'!$AA$2:$AA$495&lt;=5)*('CASE MASTER'!$AC$2:$AC$495&gt;=5)*('CASE MASTER'!$AB$2:$AB$495&lt;=6)*('CASE MASTER'!$AD$2:$AD$495&gt;=6))*ROW('CASE MASTER'!$T$2:$T$495))-(ROW('CASE MASTER'!#REF!)-1))))*(INDEX('CASE MASTER'!$AD$2:$AD$495,(SUMPRODUCT((('CASE MASTER'!$T$2:$T$495=4)*('CASE MASTER'!$AA$2:$AA$495&lt;=5)*('CASE MASTER'!$AC$2:$AC$495&gt;=5)*('CASE MASTER'!$AB$2:$AB$495&lt;=6)*('CASE MASTER'!$AD$2:$AD$495&gt;=6))*ROW('CASE MASTER'!$T$2:$T$495))-(ROW('CASE MASTER'!#REF!)-1)))-INDEX('CASE MASTER'!$AB$2:$AB$495,(SUMPRODUCT((('CASE MASTER'!$T$2:$T$495=4)*('CASE MASTER'!$AA$2:$AA$495&lt;=5)*('CASE MASTER'!$AC$2:$AC$495&gt;=5)*('CASE MASTER'!$AB$2:$AB$495&lt;=6)*('CASE MASTER'!$AD$2:$AD$495&gt;=6))*ROW('CASE MASTER'!$T$2:$T$495))-(ROW('CASE MASTER'!#REF!)-1)))+1)+(6-INDEX('CASE MASTER'!$AB$2:$AB$495,(SUMPRODUCT((('CASE MASTER'!$T$2:$T$495=4)*('CASE MASTER'!$AA$2:$AA$495&lt;=5)*('CASE MASTER'!$AC$2:$AC$495&gt;=5)*('CASE MASTER'!$AB$2:$AB$495&lt;=6)*('CASE MASTER'!$AD$2:$AD$495&gt;=6))*ROW('CASE MASTER'!$T$2:$T$495))-(ROW('CASE MASTER'!#REF!)-1))))+1)))-1)*50+1,50))&amp;"_"&amp;INDEX('CASE MASTER'!$Q$2:$Q$495,(SUMPRODUCT((('CASE MASTER'!$T$2:$T$495=4)*('CASE MASTER'!$AA$2:$AA$495&lt;=5)*('CASE MASTER'!$AC$2:$AC$495&gt;=5)*('CASE MASTER'!$AB$2:$AB$495&lt;=6)*('CASE MASTER'!$AD$2:$AD$495&gt;=6))*ROW('CASE MASTER'!$T$2:$T$495))-(ROW('CASE MASTER'!#REF!)-1))),"")),"")</f>
        <v/>
      </c>
      <c r="H49" s="10" t="str">
        <f>IFERROR(IF(SUMPRODUCT((('CASE MASTER'!$T$2:$T$495=4)*('CASE MASTER'!$U$2:$U$495&lt;=5)*('CASE MASTER'!$W$2:$W$495&gt;=5)*('CASE MASTER'!$V$2:$V$495&lt;=7)*('CASE MASTER'!$X$2:$X$495&gt;=7))*ROW('CASE MASTER'!$T$2:$T$495))&gt;0,INDEX('CASE MASTER'!$Y$2:$Y$495,(SUMPRODUCT((('CASE MASTER'!$T$2:$T$495=4)*('CASE MASTER'!$U$2:$U$495&lt;=5)*('CASE MASTER'!$W$2:$W$495&gt;=5)*('CASE MASTER'!$V$2:$V$495&lt;=7)*('CASE MASTER'!$X$2:$X$495&gt;=7))*ROW('CASE MASTER'!$T$2:$T$495))-(ROW('CASE MASTER'!#REF!)-1)))&amp;TRIM(MID(SUBSTITUTE(SUBSTITUTE(INDEX('CASE MASTER'!$N$2:$N$495,(SUMPRODUCT((('CASE MASTER'!$T$2:$T$495=4)*('CASE MASTER'!$U$2:$U$495&lt;=5)*('CASE MASTER'!$W$2:$W$495&gt;=5)*('CASE MASTER'!$V$2:$V$495&lt;=7)*('CASE MASTER'!$X$2:$X$495&gt;=7))*ROW('CASE MASTER'!$T$2:$T$495))-(ROW('CASE MASTER'!#REF!)-1))),":",","),",",REPT(" ",50)),((((5-INDEX('CASE MASTER'!$U$2:$U$495,(SUMPRODUCT((('CASE MASTER'!$T$2:$T$495=4)*('CASE MASTER'!$U$2:$U$495&lt;=5)*('CASE MASTER'!$W$2:$W$495&gt;=5)*('CASE MASTER'!$V$2:$V$495&lt;=7)*('CASE MASTER'!$X$2:$X$495&gt;=7))*ROW('CASE MASTER'!$T$2:$T$495))-(ROW('CASE MASTER'!#REF!)-1))))*(INDEX('CASE MASTER'!$X$2:$X$495,(SUMPRODUCT((('CASE MASTER'!$T$2:$T$495=4)*('CASE MASTER'!$U$2:$U$495&lt;=5)*('CASE MASTER'!$W$2:$W$495&gt;=5)*('CASE MASTER'!$V$2:$V$495&lt;=7)*('CASE MASTER'!$X$2:$X$495&gt;=7))*ROW('CASE MASTER'!$T$2:$T$495))-(ROW('CASE MASTER'!#REF!)-1)))-INDEX('CASE MASTER'!$V$2:$V$495,(SUMPRODUCT((('CASE MASTER'!$T$2:$T$495=4)*('CASE MASTER'!$U$2:$U$495&lt;=5)*('CASE MASTER'!$W$2:$W$495&gt;=5)*('CASE MASTER'!$V$2:$V$495&lt;=7)*('CASE MASTER'!$X$2:$X$495&gt;=7))*ROW('CASE MASTER'!$T$2:$T$495))-(ROW('CASE MASTER'!#REF!)-1)))+1)+(7-INDEX('CASE MASTER'!$V$2:$V$495,(SUMPRODUCT((('CASE MASTER'!$T$2:$T$495=4)*('CASE MASTER'!$U$2:$U$495&lt;=5)*('CASE MASTER'!$W$2:$W$495&gt;=5)*('CASE MASTER'!$V$2:$V$495&lt;=7)*('CASE MASTER'!$X$2:$X$495&gt;=7))*ROW('CASE MASTER'!$T$2:$T$495))-(ROW('CASE MASTER'!#REF!)-1))))+1))-1)*50+1,50))&amp;"_"&amp;INDEX('CASE MASTER'!$Q$2:$Q$495,(SUMPRODUCT((('CASE MASTER'!$T$2:$T$495=4)*('CASE MASTER'!$U$2:$U$495&lt;=5)*('CASE MASTER'!$W$2:$W$495&gt;=5)*('CASE MASTER'!$V$2:$V$495&lt;=7)*('CASE MASTER'!$X$2:$X$495&gt;=7))*ROW('CASE MASTER'!$T$2:$T$495))-(ROW('CASE MASTER'!#REF!)-1))),IF(SUMPRODUCT((('CASE MASTER'!$T$2:$T$495=4)*('CASE MASTER'!$AA$2:$AA$495&lt;=5)*('CASE MASTER'!$AC$2:$AC$495&gt;=5)*('CASE MASTER'!$AB$2:$AB$495&lt;=7)*('CASE MASTER'!$AD$2:$AD$495&gt;=7))*ROW('CASE MASTER'!$T$2:$T$495))&gt;0,INDEX('CASE MASTER'!$Y$2:$Y$495,(SUMPRODUCT((('CASE MASTER'!$T$2:$T$495=4)*('CASE MASTER'!$AA$2:$AA$495&lt;=5)*('CASE MASTER'!$AC$2:$AC$495&gt;=5)*('CASE MASTER'!$AB$2:$AB$495&lt;=7)*('CASE MASTER'!$AD$2:$AD$495&gt;=7))*ROW('CASE MASTER'!$T$2:$T$495))-(ROW('CASE MASTER'!#REF!)-1)))&amp;TRIM(MID(SUBSTITUTE(SUBSTITUTE(INDEX('CASE MASTER'!$N$2:$N$495,(SUMPRODUCT((('CASE MASTER'!$T$2:$T$495=4)*('CASE MASTER'!$AA$2:$AA$495&lt;=5)*('CASE MASTER'!$AC$2:$AC$495&gt;=5)*('CASE MASTER'!$AB$2:$AB$495&lt;=7)*('CASE MASTER'!$AD$2:$AD$495&gt;=7))*ROW('CASE MASTER'!$T$2:$T$495))-(ROW('CASE MASTER'!#REF!)-1))),":",","),",",REPT(" ",50)),(((INDEX('CASE MASTER'!$Z$2:$Z$495,(SUMPRODUCT((('CASE MASTER'!$T$2:$T$495=4)*('CASE MASTER'!$AA$2:$AA$495&lt;=5)*('CASE MASTER'!$AC$2:$AC$495&gt;=5)*('CASE MASTER'!$AB$2:$AB$495&lt;=7)*('CASE MASTER'!$AD$2:$AD$495&gt;=7))*ROW('CASE MASTER'!$T$2:$T$495))-(ROW('CASE MASTER'!#REF!)-1)))+((5-INDEX('CASE MASTER'!$AA$2:$AA$495,(SUMPRODUCT((('CASE MASTER'!$T$2:$T$495=4)*('CASE MASTER'!$AA$2:$AA$495&lt;=5)*('CASE MASTER'!$AC$2:$AC$495&gt;=5)*('CASE MASTER'!$AB$2:$AB$495&lt;=7)*('CASE MASTER'!$AD$2:$AD$495&gt;=7))*ROW('CASE MASTER'!$T$2:$T$495))-(ROW('CASE MASTER'!#REF!)-1))))*(INDEX('CASE MASTER'!$AD$2:$AD$495,(SUMPRODUCT((('CASE MASTER'!$T$2:$T$495=4)*('CASE MASTER'!$AA$2:$AA$495&lt;=5)*('CASE MASTER'!$AC$2:$AC$495&gt;=5)*('CASE MASTER'!$AB$2:$AB$495&lt;=7)*('CASE MASTER'!$AD$2:$AD$495&gt;=7))*ROW('CASE MASTER'!$T$2:$T$495))-(ROW('CASE MASTER'!#REF!)-1)))-INDEX('CASE MASTER'!$AB$2:$AB$495,(SUMPRODUCT((('CASE MASTER'!$T$2:$T$495=4)*('CASE MASTER'!$AA$2:$AA$495&lt;=5)*('CASE MASTER'!$AC$2:$AC$495&gt;=5)*('CASE MASTER'!$AB$2:$AB$495&lt;=7)*('CASE MASTER'!$AD$2:$AD$495&gt;=7))*ROW('CASE MASTER'!$T$2:$T$495))-(ROW('CASE MASTER'!#REF!)-1)))+1)+(7-INDEX('CASE MASTER'!$AB$2:$AB$495,(SUMPRODUCT((('CASE MASTER'!$T$2:$T$495=4)*('CASE MASTER'!$AA$2:$AA$495&lt;=5)*('CASE MASTER'!$AC$2:$AC$495&gt;=5)*('CASE MASTER'!$AB$2:$AB$495&lt;=7)*('CASE MASTER'!$AD$2:$AD$495&gt;=7))*ROW('CASE MASTER'!$T$2:$T$495))-(ROW('CASE MASTER'!#REF!)-1))))+1)))-1)*50+1,50))&amp;"_"&amp;INDEX('CASE MASTER'!$Q$2:$Q$495,(SUMPRODUCT((('CASE MASTER'!$T$2:$T$495=4)*('CASE MASTER'!$AA$2:$AA$495&lt;=5)*('CASE MASTER'!$AC$2:$AC$495&gt;=5)*('CASE MASTER'!$AB$2:$AB$495&lt;=7)*('CASE MASTER'!$AD$2:$AD$495&gt;=7))*ROW('CASE MASTER'!$T$2:$T$495))-(ROW('CASE MASTER'!#REF!)-1))),"")),"")</f>
        <v/>
      </c>
      <c r="I49" s="10" t="str">
        <f>IFERROR(IF(SUMPRODUCT((('CASE MASTER'!$T$2:$T$495=4)*('CASE MASTER'!$U$2:$U$495&lt;=5)*('CASE MASTER'!$W$2:$W$495&gt;=5)*('CASE MASTER'!$V$2:$V$495&lt;=8)*('CASE MASTER'!$X$2:$X$495&gt;=8))*ROW('CASE MASTER'!$T$2:$T$495))&gt;0,INDEX('CASE MASTER'!$Y$2:$Y$495,(SUMPRODUCT((('CASE MASTER'!$T$2:$T$495=4)*('CASE MASTER'!$U$2:$U$495&lt;=5)*('CASE MASTER'!$W$2:$W$495&gt;=5)*('CASE MASTER'!$V$2:$V$495&lt;=8)*('CASE MASTER'!$X$2:$X$495&gt;=8))*ROW('CASE MASTER'!$T$2:$T$495))-(ROW('CASE MASTER'!#REF!)-1)))&amp;TRIM(MID(SUBSTITUTE(SUBSTITUTE(INDEX('CASE MASTER'!$N$2:$N$495,(SUMPRODUCT((('CASE MASTER'!$T$2:$T$495=4)*('CASE MASTER'!$U$2:$U$495&lt;=5)*('CASE MASTER'!$W$2:$W$495&gt;=5)*('CASE MASTER'!$V$2:$V$495&lt;=8)*('CASE MASTER'!$X$2:$X$495&gt;=8))*ROW('CASE MASTER'!$T$2:$T$495))-(ROW('CASE MASTER'!#REF!)-1))),":",","),",",REPT(" ",50)),((((5-INDEX('CASE MASTER'!$U$2:$U$495,(SUMPRODUCT((('CASE MASTER'!$T$2:$T$495=4)*('CASE MASTER'!$U$2:$U$495&lt;=5)*('CASE MASTER'!$W$2:$W$495&gt;=5)*('CASE MASTER'!$V$2:$V$495&lt;=8)*('CASE MASTER'!$X$2:$X$495&gt;=8))*ROW('CASE MASTER'!$T$2:$T$495))-(ROW('CASE MASTER'!#REF!)-1))))*(INDEX('CASE MASTER'!$X$2:$X$495,(SUMPRODUCT((('CASE MASTER'!$T$2:$T$495=4)*('CASE MASTER'!$U$2:$U$495&lt;=5)*('CASE MASTER'!$W$2:$W$495&gt;=5)*('CASE MASTER'!$V$2:$V$495&lt;=8)*('CASE MASTER'!$X$2:$X$495&gt;=8))*ROW('CASE MASTER'!$T$2:$T$495))-(ROW('CASE MASTER'!#REF!)-1)))-INDEX('CASE MASTER'!$V$2:$V$495,(SUMPRODUCT((('CASE MASTER'!$T$2:$T$495=4)*('CASE MASTER'!$U$2:$U$495&lt;=5)*('CASE MASTER'!$W$2:$W$495&gt;=5)*('CASE MASTER'!$V$2:$V$495&lt;=8)*('CASE MASTER'!$X$2:$X$495&gt;=8))*ROW('CASE MASTER'!$T$2:$T$495))-(ROW('CASE MASTER'!#REF!)-1)))+1)+(8-INDEX('CASE MASTER'!$V$2:$V$495,(SUMPRODUCT((('CASE MASTER'!$T$2:$T$495=4)*('CASE MASTER'!$U$2:$U$495&lt;=5)*('CASE MASTER'!$W$2:$W$495&gt;=5)*('CASE MASTER'!$V$2:$V$495&lt;=8)*('CASE MASTER'!$X$2:$X$495&gt;=8))*ROW('CASE MASTER'!$T$2:$T$495))-(ROW('CASE MASTER'!#REF!)-1))))+1))-1)*50+1,50))&amp;"_"&amp;INDEX('CASE MASTER'!$Q$2:$Q$495,(SUMPRODUCT((('CASE MASTER'!$T$2:$T$495=4)*('CASE MASTER'!$U$2:$U$495&lt;=5)*('CASE MASTER'!$W$2:$W$495&gt;=5)*('CASE MASTER'!$V$2:$V$495&lt;=8)*('CASE MASTER'!$X$2:$X$495&gt;=8))*ROW('CASE MASTER'!$T$2:$T$495))-(ROW('CASE MASTER'!#REF!)-1))),IF(SUMPRODUCT((('CASE MASTER'!$T$2:$T$495=4)*('CASE MASTER'!$AA$2:$AA$495&lt;=5)*('CASE MASTER'!$AC$2:$AC$495&gt;=5)*('CASE MASTER'!$AB$2:$AB$495&lt;=8)*('CASE MASTER'!$AD$2:$AD$495&gt;=8))*ROW('CASE MASTER'!$T$2:$T$495))&gt;0,INDEX('CASE MASTER'!$Y$2:$Y$495,(SUMPRODUCT((('CASE MASTER'!$T$2:$T$495=4)*('CASE MASTER'!$AA$2:$AA$495&lt;=5)*('CASE MASTER'!$AC$2:$AC$495&gt;=5)*('CASE MASTER'!$AB$2:$AB$495&lt;=8)*('CASE MASTER'!$AD$2:$AD$495&gt;=8))*ROW('CASE MASTER'!$T$2:$T$495))-(ROW('CASE MASTER'!#REF!)-1)))&amp;TRIM(MID(SUBSTITUTE(SUBSTITUTE(INDEX('CASE MASTER'!$N$2:$N$495,(SUMPRODUCT((('CASE MASTER'!$T$2:$T$495=4)*('CASE MASTER'!$AA$2:$AA$495&lt;=5)*('CASE MASTER'!$AC$2:$AC$495&gt;=5)*('CASE MASTER'!$AB$2:$AB$495&lt;=8)*('CASE MASTER'!$AD$2:$AD$495&gt;=8))*ROW('CASE MASTER'!$T$2:$T$495))-(ROW('CASE MASTER'!#REF!)-1))),":",","),",",REPT(" ",50)),(((INDEX('CASE MASTER'!$Z$2:$Z$495,(SUMPRODUCT((('CASE MASTER'!$T$2:$T$495=4)*('CASE MASTER'!$AA$2:$AA$495&lt;=5)*('CASE MASTER'!$AC$2:$AC$495&gt;=5)*('CASE MASTER'!$AB$2:$AB$495&lt;=8)*('CASE MASTER'!$AD$2:$AD$495&gt;=8))*ROW('CASE MASTER'!$T$2:$T$495))-(ROW('CASE MASTER'!#REF!)-1)))+((5-INDEX('CASE MASTER'!$AA$2:$AA$495,(SUMPRODUCT((('CASE MASTER'!$T$2:$T$495=4)*('CASE MASTER'!$AA$2:$AA$495&lt;=5)*('CASE MASTER'!$AC$2:$AC$495&gt;=5)*('CASE MASTER'!$AB$2:$AB$495&lt;=8)*('CASE MASTER'!$AD$2:$AD$495&gt;=8))*ROW('CASE MASTER'!$T$2:$T$495))-(ROW('CASE MASTER'!#REF!)-1))))*(INDEX('CASE MASTER'!$AD$2:$AD$495,(SUMPRODUCT((('CASE MASTER'!$T$2:$T$495=4)*('CASE MASTER'!$AA$2:$AA$495&lt;=5)*('CASE MASTER'!$AC$2:$AC$495&gt;=5)*('CASE MASTER'!$AB$2:$AB$495&lt;=8)*('CASE MASTER'!$AD$2:$AD$495&gt;=8))*ROW('CASE MASTER'!$T$2:$T$495))-(ROW('CASE MASTER'!#REF!)-1)))-INDEX('CASE MASTER'!$AB$2:$AB$495,(SUMPRODUCT((('CASE MASTER'!$T$2:$T$495=4)*('CASE MASTER'!$AA$2:$AA$495&lt;=5)*('CASE MASTER'!$AC$2:$AC$495&gt;=5)*('CASE MASTER'!$AB$2:$AB$495&lt;=8)*('CASE MASTER'!$AD$2:$AD$495&gt;=8))*ROW('CASE MASTER'!$T$2:$T$495))-(ROW('CASE MASTER'!#REF!)-1)))+1)+(8-INDEX('CASE MASTER'!$AB$2:$AB$495,(SUMPRODUCT((('CASE MASTER'!$T$2:$T$495=4)*('CASE MASTER'!$AA$2:$AA$495&lt;=5)*('CASE MASTER'!$AC$2:$AC$495&gt;=5)*('CASE MASTER'!$AB$2:$AB$495&lt;=8)*('CASE MASTER'!$AD$2:$AD$495&gt;=8))*ROW('CASE MASTER'!$T$2:$T$495))-(ROW('CASE MASTER'!#REF!)-1))))+1)))-1)*50+1,50))&amp;"_"&amp;INDEX('CASE MASTER'!$Q$2:$Q$495,(SUMPRODUCT((('CASE MASTER'!$T$2:$T$495=4)*('CASE MASTER'!$AA$2:$AA$495&lt;=5)*('CASE MASTER'!$AC$2:$AC$495&gt;=5)*('CASE MASTER'!$AB$2:$AB$495&lt;=8)*('CASE MASTER'!$AD$2:$AD$495&gt;=8))*ROW('CASE MASTER'!$T$2:$T$495))-(ROW('CASE MASTER'!#REF!)-1))),"")),"")</f>
        <v/>
      </c>
      <c r="J49" s="10" t="str">
        <f>IFERROR(IF(SUMPRODUCT((('CASE MASTER'!$T$2:$T$495=4)*('CASE MASTER'!$U$2:$U$495&lt;=5)*('CASE MASTER'!$W$2:$W$495&gt;=5)*('CASE MASTER'!$V$2:$V$495&lt;=9)*('CASE MASTER'!$X$2:$X$495&gt;=9))*ROW('CASE MASTER'!$T$2:$T$495))&gt;0,INDEX('CASE MASTER'!$Y$2:$Y$495,(SUMPRODUCT((('CASE MASTER'!$T$2:$T$495=4)*('CASE MASTER'!$U$2:$U$495&lt;=5)*('CASE MASTER'!$W$2:$W$495&gt;=5)*('CASE MASTER'!$V$2:$V$495&lt;=9)*('CASE MASTER'!$X$2:$X$495&gt;=9))*ROW('CASE MASTER'!$T$2:$T$495))-(ROW('CASE MASTER'!#REF!)-1)))&amp;TRIM(MID(SUBSTITUTE(SUBSTITUTE(INDEX('CASE MASTER'!$N$2:$N$495,(SUMPRODUCT((('CASE MASTER'!$T$2:$T$495=4)*('CASE MASTER'!$U$2:$U$495&lt;=5)*('CASE MASTER'!$W$2:$W$495&gt;=5)*('CASE MASTER'!$V$2:$V$495&lt;=9)*('CASE MASTER'!$X$2:$X$495&gt;=9))*ROW('CASE MASTER'!$T$2:$T$495))-(ROW('CASE MASTER'!#REF!)-1))),":",","),",",REPT(" ",50)),((((5-INDEX('CASE MASTER'!$U$2:$U$495,(SUMPRODUCT((('CASE MASTER'!$T$2:$T$495=4)*('CASE MASTER'!$U$2:$U$495&lt;=5)*('CASE MASTER'!$W$2:$W$495&gt;=5)*('CASE MASTER'!$V$2:$V$495&lt;=9)*('CASE MASTER'!$X$2:$X$495&gt;=9))*ROW('CASE MASTER'!$T$2:$T$495))-(ROW('CASE MASTER'!#REF!)-1))))*(INDEX('CASE MASTER'!$X$2:$X$495,(SUMPRODUCT((('CASE MASTER'!$T$2:$T$495=4)*('CASE MASTER'!$U$2:$U$495&lt;=5)*('CASE MASTER'!$W$2:$W$495&gt;=5)*('CASE MASTER'!$V$2:$V$495&lt;=9)*('CASE MASTER'!$X$2:$X$495&gt;=9))*ROW('CASE MASTER'!$T$2:$T$495))-(ROW('CASE MASTER'!#REF!)-1)))-INDEX('CASE MASTER'!$V$2:$V$495,(SUMPRODUCT((('CASE MASTER'!$T$2:$T$495=4)*('CASE MASTER'!$U$2:$U$495&lt;=5)*('CASE MASTER'!$W$2:$W$495&gt;=5)*('CASE MASTER'!$V$2:$V$495&lt;=9)*('CASE MASTER'!$X$2:$X$495&gt;=9))*ROW('CASE MASTER'!$T$2:$T$495))-(ROW('CASE MASTER'!#REF!)-1)))+1)+(9-INDEX('CASE MASTER'!$V$2:$V$495,(SUMPRODUCT((('CASE MASTER'!$T$2:$T$495=4)*('CASE MASTER'!$U$2:$U$495&lt;=5)*('CASE MASTER'!$W$2:$W$495&gt;=5)*('CASE MASTER'!$V$2:$V$495&lt;=9)*('CASE MASTER'!$X$2:$X$495&gt;=9))*ROW('CASE MASTER'!$T$2:$T$495))-(ROW('CASE MASTER'!#REF!)-1))))+1))-1)*50+1,50))&amp;"_"&amp;INDEX('CASE MASTER'!$Q$2:$Q$495,(SUMPRODUCT((('CASE MASTER'!$T$2:$T$495=4)*('CASE MASTER'!$U$2:$U$495&lt;=5)*('CASE MASTER'!$W$2:$W$495&gt;=5)*('CASE MASTER'!$V$2:$V$495&lt;=9)*('CASE MASTER'!$X$2:$X$495&gt;=9))*ROW('CASE MASTER'!$T$2:$T$495))-(ROW('CASE MASTER'!#REF!)-1))),IF(SUMPRODUCT((('CASE MASTER'!$T$2:$T$495=4)*('CASE MASTER'!$AA$2:$AA$495&lt;=5)*('CASE MASTER'!$AC$2:$AC$495&gt;=5)*('CASE MASTER'!$AB$2:$AB$495&lt;=9)*('CASE MASTER'!$AD$2:$AD$495&gt;=9))*ROW('CASE MASTER'!$T$2:$T$495))&gt;0,INDEX('CASE MASTER'!$Y$2:$Y$495,(SUMPRODUCT((('CASE MASTER'!$T$2:$T$495=4)*('CASE MASTER'!$AA$2:$AA$495&lt;=5)*('CASE MASTER'!$AC$2:$AC$495&gt;=5)*('CASE MASTER'!$AB$2:$AB$495&lt;=9)*('CASE MASTER'!$AD$2:$AD$495&gt;=9))*ROW('CASE MASTER'!$T$2:$T$495))-(ROW('CASE MASTER'!#REF!)-1)))&amp;TRIM(MID(SUBSTITUTE(SUBSTITUTE(INDEX('CASE MASTER'!$N$2:$N$495,(SUMPRODUCT((('CASE MASTER'!$T$2:$T$495=4)*('CASE MASTER'!$AA$2:$AA$495&lt;=5)*('CASE MASTER'!$AC$2:$AC$495&gt;=5)*('CASE MASTER'!$AB$2:$AB$495&lt;=9)*('CASE MASTER'!$AD$2:$AD$495&gt;=9))*ROW('CASE MASTER'!$T$2:$T$495))-(ROW('CASE MASTER'!#REF!)-1))),":",","),",",REPT(" ",50)),(((INDEX('CASE MASTER'!$Z$2:$Z$495,(SUMPRODUCT((('CASE MASTER'!$T$2:$T$495=4)*('CASE MASTER'!$AA$2:$AA$495&lt;=5)*('CASE MASTER'!$AC$2:$AC$495&gt;=5)*('CASE MASTER'!$AB$2:$AB$495&lt;=9)*('CASE MASTER'!$AD$2:$AD$495&gt;=9))*ROW('CASE MASTER'!$T$2:$T$495))-(ROW('CASE MASTER'!#REF!)-1)))+((5-INDEX('CASE MASTER'!$AA$2:$AA$495,(SUMPRODUCT((('CASE MASTER'!$T$2:$T$495=4)*('CASE MASTER'!$AA$2:$AA$495&lt;=5)*('CASE MASTER'!$AC$2:$AC$495&gt;=5)*('CASE MASTER'!$AB$2:$AB$495&lt;=9)*('CASE MASTER'!$AD$2:$AD$495&gt;=9))*ROW('CASE MASTER'!$T$2:$T$495))-(ROW('CASE MASTER'!#REF!)-1))))*(INDEX('CASE MASTER'!$AD$2:$AD$495,(SUMPRODUCT((('CASE MASTER'!$T$2:$T$495=4)*('CASE MASTER'!$AA$2:$AA$495&lt;=5)*('CASE MASTER'!$AC$2:$AC$495&gt;=5)*('CASE MASTER'!$AB$2:$AB$495&lt;=9)*('CASE MASTER'!$AD$2:$AD$495&gt;=9))*ROW('CASE MASTER'!$T$2:$T$495))-(ROW('CASE MASTER'!#REF!)-1)))-INDEX('CASE MASTER'!$AB$2:$AB$495,(SUMPRODUCT((('CASE MASTER'!$T$2:$T$495=4)*('CASE MASTER'!$AA$2:$AA$495&lt;=5)*('CASE MASTER'!$AC$2:$AC$495&gt;=5)*('CASE MASTER'!$AB$2:$AB$495&lt;=9)*('CASE MASTER'!$AD$2:$AD$495&gt;=9))*ROW('CASE MASTER'!$T$2:$T$495))-(ROW('CASE MASTER'!#REF!)-1)))+1)+(9-INDEX('CASE MASTER'!$AB$2:$AB$495,(SUMPRODUCT((('CASE MASTER'!$T$2:$T$495=4)*('CASE MASTER'!$AA$2:$AA$495&lt;=5)*('CASE MASTER'!$AC$2:$AC$495&gt;=5)*('CASE MASTER'!$AB$2:$AB$495&lt;=9)*('CASE MASTER'!$AD$2:$AD$495&gt;=9))*ROW('CASE MASTER'!$T$2:$T$495))-(ROW('CASE MASTER'!#REF!)-1))))+1)))-1)*50+1,50))&amp;"_"&amp;INDEX('CASE MASTER'!$Q$2:$Q$495,(SUMPRODUCT((('CASE MASTER'!$T$2:$T$495=4)*('CASE MASTER'!$AA$2:$AA$495&lt;=5)*('CASE MASTER'!$AC$2:$AC$495&gt;=5)*('CASE MASTER'!$AB$2:$AB$495&lt;=9)*('CASE MASTER'!$AD$2:$AD$495&gt;=9))*ROW('CASE MASTER'!$T$2:$T$495))-(ROW('CASE MASTER'!#REF!)-1))),"")),"")</f>
        <v/>
      </c>
      <c r="K49" s="10" t="str">
        <f>IFERROR(IF(SUMPRODUCT((('CASE MASTER'!$T$2:$T$495=4)*('CASE MASTER'!$U$2:$U$495&lt;=5)*('CASE MASTER'!$W$2:$W$495&gt;=5)*('CASE MASTER'!$V$2:$V$495&lt;=10)*('CASE MASTER'!$X$2:$X$495&gt;=10))*ROW('CASE MASTER'!$T$2:$T$495))&gt;0,INDEX('CASE MASTER'!$Y$2:$Y$495,(SUMPRODUCT((('CASE MASTER'!$T$2:$T$495=4)*('CASE MASTER'!$U$2:$U$495&lt;=5)*('CASE MASTER'!$W$2:$W$495&gt;=5)*('CASE MASTER'!$V$2:$V$495&lt;=10)*('CASE MASTER'!$X$2:$X$495&gt;=10))*ROW('CASE MASTER'!$T$2:$T$495))-(ROW('CASE MASTER'!#REF!)-1)))&amp;TRIM(MID(SUBSTITUTE(SUBSTITUTE(INDEX('CASE MASTER'!$N$2:$N$495,(SUMPRODUCT((('CASE MASTER'!$T$2:$T$495=4)*('CASE MASTER'!$U$2:$U$495&lt;=5)*('CASE MASTER'!$W$2:$W$495&gt;=5)*('CASE MASTER'!$V$2:$V$495&lt;=10)*('CASE MASTER'!$X$2:$X$495&gt;=10))*ROW('CASE MASTER'!$T$2:$T$495))-(ROW('CASE MASTER'!#REF!)-1))),":",","),",",REPT(" ",50)),((((5-INDEX('CASE MASTER'!$U$2:$U$495,(SUMPRODUCT((('CASE MASTER'!$T$2:$T$495=4)*('CASE MASTER'!$U$2:$U$495&lt;=5)*('CASE MASTER'!$W$2:$W$495&gt;=5)*('CASE MASTER'!$V$2:$V$495&lt;=10)*('CASE MASTER'!$X$2:$X$495&gt;=10))*ROW('CASE MASTER'!$T$2:$T$495))-(ROW('CASE MASTER'!#REF!)-1))))*(INDEX('CASE MASTER'!$X$2:$X$495,(SUMPRODUCT((('CASE MASTER'!$T$2:$T$495=4)*('CASE MASTER'!$U$2:$U$495&lt;=5)*('CASE MASTER'!$W$2:$W$495&gt;=5)*('CASE MASTER'!$V$2:$V$495&lt;=10)*('CASE MASTER'!$X$2:$X$495&gt;=10))*ROW('CASE MASTER'!$T$2:$T$495))-(ROW('CASE MASTER'!#REF!)-1)))-INDEX('CASE MASTER'!$V$2:$V$495,(SUMPRODUCT((('CASE MASTER'!$T$2:$T$495=4)*('CASE MASTER'!$U$2:$U$495&lt;=5)*('CASE MASTER'!$W$2:$W$495&gt;=5)*('CASE MASTER'!$V$2:$V$495&lt;=10)*('CASE MASTER'!$X$2:$X$495&gt;=10))*ROW('CASE MASTER'!$T$2:$T$495))-(ROW('CASE MASTER'!#REF!)-1)))+1)+(10-INDEX('CASE MASTER'!$V$2:$V$495,(SUMPRODUCT((('CASE MASTER'!$T$2:$T$495=4)*('CASE MASTER'!$U$2:$U$495&lt;=5)*('CASE MASTER'!$W$2:$W$495&gt;=5)*('CASE MASTER'!$V$2:$V$495&lt;=10)*('CASE MASTER'!$X$2:$X$495&gt;=10))*ROW('CASE MASTER'!$T$2:$T$495))-(ROW('CASE MASTER'!#REF!)-1))))+1))-1)*50+1,50))&amp;"_"&amp;INDEX('CASE MASTER'!$Q$2:$Q$495,(SUMPRODUCT((('CASE MASTER'!$T$2:$T$495=4)*('CASE MASTER'!$U$2:$U$495&lt;=5)*('CASE MASTER'!$W$2:$W$495&gt;=5)*('CASE MASTER'!$V$2:$V$495&lt;=10)*('CASE MASTER'!$X$2:$X$495&gt;=10))*ROW('CASE MASTER'!$T$2:$T$495))-(ROW('CASE MASTER'!#REF!)-1))),IF(SUMPRODUCT((('CASE MASTER'!$T$2:$T$495=4)*('CASE MASTER'!$AA$2:$AA$495&lt;=5)*('CASE MASTER'!$AC$2:$AC$495&gt;=5)*('CASE MASTER'!$AB$2:$AB$495&lt;=10)*('CASE MASTER'!$AD$2:$AD$495&gt;=10))*ROW('CASE MASTER'!$T$2:$T$495))&gt;0,INDEX('CASE MASTER'!$Y$2:$Y$495,(SUMPRODUCT((('CASE MASTER'!$T$2:$T$495=4)*('CASE MASTER'!$AA$2:$AA$495&lt;=5)*('CASE MASTER'!$AC$2:$AC$495&gt;=5)*('CASE MASTER'!$AB$2:$AB$495&lt;=10)*('CASE MASTER'!$AD$2:$AD$495&gt;=10))*ROW('CASE MASTER'!$T$2:$T$495))-(ROW('CASE MASTER'!#REF!)-1)))&amp;TRIM(MID(SUBSTITUTE(SUBSTITUTE(INDEX('CASE MASTER'!$N$2:$N$495,(SUMPRODUCT((('CASE MASTER'!$T$2:$T$495=4)*('CASE MASTER'!$AA$2:$AA$495&lt;=5)*('CASE MASTER'!$AC$2:$AC$495&gt;=5)*('CASE MASTER'!$AB$2:$AB$495&lt;=10)*('CASE MASTER'!$AD$2:$AD$495&gt;=10))*ROW('CASE MASTER'!$T$2:$T$495))-(ROW('CASE MASTER'!#REF!)-1))),":",","),",",REPT(" ",50)),(((INDEX('CASE MASTER'!$Z$2:$Z$495,(SUMPRODUCT((('CASE MASTER'!$T$2:$T$495=4)*('CASE MASTER'!$AA$2:$AA$495&lt;=5)*('CASE MASTER'!$AC$2:$AC$495&gt;=5)*('CASE MASTER'!$AB$2:$AB$495&lt;=10)*('CASE MASTER'!$AD$2:$AD$495&gt;=10))*ROW('CASE MASTER'!$T$2:$T$495))-(ROW('CASE MASTER'!#REF!)-1)))+((5-INDEX('CASE MASTER'!$AA$2:$AA$495,(SUMPRODUCT((('CASE MASTER'!$T$2:$T$495=4)*('CASE MASTER'!$AA$2:$AA$495&lt;=5)*('CASE MASTER'!$AC$2:$AC$495&gt;=5)*('CASE MASTER'!$AB$2:$AB$495&lt;=10)*('CASE MASTER'!$AD$2:$AD$495&gt;=10))*ROW('CASE MASTER'!$T$2:$T$495))-(ROW('CASE MASTER'!#REF!)-1))))*(INDEX('CASE MASTER'!$AD$2:$AD$495,(SUMPRODUCT((('CASE MASTER'!$T$2:$T$495=4)*('CASE MASTER'!$AA$2:$AA$495&lt;=5)*('CASE MASTER'!$AC$2:$AC$495&gt;=5)*('CASE MASTER'!$AB$2:$AB$495&lt;=10)*('CASE MASTER'!$AD$2:$AD$495&gt;=10))*ROW('CASE MASTER'!$T$2:$T$495))-(ROW('CASE MASTER'!#REF!)-1)))-INDEX('CASE MASTER'!$AB$2:$AB$495,(SUMPRODUCT((('CASE MASTER'!$T$2:$T$495=4)*('CASE MASTER'!$AA$2:$AA$495&lt;=5)*('CASE MASTER'!$AC$2:$AC$495&gt;=5)*('CASE MASTER'!$AB$2:$AB$495&lt;=10)*('CASE MASTER'!$AD$2:$AD$495&gt;=10))*ROW('CASE MASTER'!$T$2:$T$495))-(ROW('CASE MASTER'!#REF!)-1)))+1)+(10-INDEX('CASE MASTER'!$AB$2:$AB$495,(SUMPRODUCT((('CASE MASTER'!$T$2:$T$495=4)*('CASE MASTER'!$AA$2:$AA$495&lt;=5)*('CASE MASTER'!$AC$2:$AC$495&gt;=5)*('CASE MASTER'!$AB$2:$AB$495&lt;=10)*('CASE MASTER'!$AD$2:$AD$495&gt;=10))*ROW('CASE MASTER'!$T$2:$T$495))-(ROW('CASE MASTER'!#REF!)-1))))+1)))-1)*50+1,50))&amp;"_"&amp;INDEX('CASE MASTER'!$Q$2:$Q$495,(SUMPRODUCT((('CASE MASTER'!$T$2:$T$495=4)*('CASE MASTER'!$AA$2:$AA$495&lt;=5)*('CASE MASTER'!$AC$2:$AC$495&gt;=5)*('CASE MASTER'!$AB$2:$AB$495&lt;=10)*('CASE MASTER'!$AD$2:$AD$495&gt;=10))*ROW('CASE MASTER'!$T$2:$T$495))-(ROW('CASE MASTER'!#REF!)-1))),"")),"")</f>
        <v/>
      </c>
    </row>
    <row r="50" spans="1:11" ht="15" customHeight="1" x14ac:dyDescent="0.35">
      <c r="A50" s="8" t="s">
        <v>33</v>
      </c>
      <c r="B50" s="10" t="str">
        <f>IFERROR(IF(SUMPRODUCT((('CASE MASTER'!$T$2:$T$495=4)*('CASE MASTER'!$U$2:$U$495&lt;=6)*('CASE MASTER'!$W$2:$W$495&gt;=6)*('CASE MASTER'!$V$2:$V$495&lt;=1)*('CASE MASTER'!$X$2:$X$495&gt;=1))*ROW('CASE MASTER'!$T$2:$T$495))&gt;0,INDEX('CASE MASTER'!$Y$2:$Y$495,(SUMPRODUCT((('CASE MASTER'!$T$2:$T$495=4)*('CASE MASTER'!$U$2:$U$495&lt;=6)*('CASE MASTER'!$W$2:$W$495&gt;=6)*('CASE MASTER'!$V$2:$V$495&lt;=1)*('CASE MASTER'!$X$2:$X$495&gt;=1))*ROW('CASE MASTER'!$T$2:$T$495))-(ROW('CASE MASTER'!#REF!)-1)))&amp;TRIM(MID(SUBSTITUTE(SUBSTITUTE(INDEX('CASE MASTER'!$N$2:$N$495,(SUMPRODUCT((('CASE MASTER'!$T$2:$T$495=4)*('CASE MASTER'!$U$2:$U$495&lt;=6)*('CASE MASTER'!$W$2:$W$495&gt;=6)*('CASE MASTER'!$V$2:$V$495&lt;=1)*('CASE MASTER'!$X$2:$X$495&gt;=1))*ROW('CASE MASTER'!$T$2:$T$495))-(ROW('CASE MASTER'!#REF!)-1))),":",","),",",REPT(" ",50)),((((6-INDEX('CASE MASTER'!$U$2:$U$495,(SUMPRODUCT((('CASE MASTER'!$T$2:$T$495=4)*('CASE MASTER'!$U$2:$U$495&lt;=6)*('CASE MASTER'!$W$2:$W$495&gt;=6)*('CASE MASTER'!$V$2:$V$495&lt;=1)*('CASE MASTER'!$X$2:$X$495&gt;=1))*ROW('CASE MASTER'!$T$2:$T$495))-(ROW('CASE MASTER'!#REF!)-1))))*(INDEX('CASE MASTER'!$X$2:$X$495,(SUMPRODUCT((('CASE MASTER'!$T$2:$T$495=4)*('CASE MASTER'!$U$2:$U$495&lt;=6)*('CASE MASTER'!$W$2:$W$495&gt;=6)*('CASE MASTER'!$V$2:$V$495&lt;=1)*('CASE MASTER'!$X$2:$X$495&gt;=1))*ROW('CASE MASTER'!$T$2:$T$495))-(ROW('CASE MASTER'!#REF!)-1)))-INDEX('CASE MASTER'!$V$2:$V$495,(SUMPRODUCT((('CASE MASTER'!$T$2:$T$495=4)*('CASE MASTER'!$U$2:$U$495&lt;=6)*('CASE MASTER'!$W$2:$W$495&gt;=6)*('CASE MASTER'!$V$2:$V$495&lt;=1)*('CASE MASTER'!$X$2:$X$495&gt;=1))*ROW('CASE MASTER'!$T$2:$T$495))-(ROW('CASE MASTER'!#REF!)-1)))+1)+(1-INDEX('CASE MASTER'!$V$2:$V$495,(SUMPRODUCT((('CASE MASTER'!$T$2:$T$495=4)*('CASE MASTER'!$U$2:$U$495&lt;=6)*('CASE MASTER'!$W$2:$W$495&gt;=6)*('CASE MASTER'!$V$2:$V$495&lt;=1)*('CASE MASTER'!$X$2:$X$495&gt;=1))*ROW('CASE MASTER'!$T$2:$T$495))-(ROW('CASE MASTER'!#REF!)-1))))+1))-1)*50+1,50))&amp;"_"&amp;INDEX('CASE MASTER'!$Q$2:$Q$495,(SUMPRODUCT((('CASE MASTER'!$T$2:$T$495=4)*('CASE MASTER'!$U$2:$U$495&lt;=6)*('CASE MASTER'!$W$2:$W$495&gt;=6)*('CASE MASTER'!$V$2:$V$495&lt;=1)*('CASE MASTER'!$X$2:$X$495&gt;=1))*ROW('CASE MASTER'!$T$2:$T$495))-(ROW('CASE MASTER'!#REF!)-1))),IF(SUMPRODUCT((('CASE MASTER'!$T$2:$T$495=4)*('CASE MASTER'!$AA$2:$AA$495&lt;=6)*('CASE MASTER'!$AC$2:$AC$495&gt;=6)*('CASE MASTER'!$AB$2:$AB$495&lt;=1)*('CASE MASTER'!$AD$2:$AD$495&gt;=1))*ROW('CASE MASTER'!$T$2:$T$495))&gt;0,INDEX('CASE MASTER'!$Y$2:$Y$495,(SUMPRODUCT((('CASE MASTER'!$T$2:$T$495=4)*('CASE MASTER'!$AA$2:$AA$495&lt;=6)*('CASE MASTER'!$AC$2:$AC$495&gt;=6)*('CASE MASTER'!$AB$2:$AB$495&lt;=1)*('CASE MASTER'!$AD$2:$AD$495&gt;=1))*ROW('CASE MASTER'!$T$2:$T$495))-(ROW('CASE MASTER'!#REF!)-1)))&amp;TRIM(MID(SUBSTITUTE(SUBSTITUTE(INDEX('CASE MASTER'!$N$2:$N$495,(SUMPRODUCT((('CASE MASTER'!$T$2:$T$495=4)*('CASE MASTER'!$AA$2:$AA$495&lt;=6)*('CASE MASTER'!$AC$2:$AC$495&gt;=6)*('CASE MASTER'!$AB$2:$AB$495&lt;=1)*('CASE MASTER'!$AD$2:$AD$495&gt;=1))*ROW('CASE MASTER'!$T$2:$T$495))-(ROW('CASE MASTER'!#REF!)-1))),":",","),",",REPT(" ",50)),(((INDEX('CASE MASTER'!$Z$2:$Z$495,(SUMPRODUCT((('CASE MASTER'!$T$2:$T$495=4)*('CASE MASTER'!$AA$2:$AA$495&lt;=6)*('CASE MASTER'!$AC$2:$AC$495&gt;=6)*('CASE MASTER'!$AB$2:$AB$495&lt;=1)*('CASE MASTER'!$AD$2:$AD$495&gt;=1))*ROW('CASE MASTER'!$T$2:$T$495))-(ROW('CASE MASTER'!#REF!)-1)))+((6-INDEX('CASE MASTER'!$AA$2:$AA$495,(SUMPRODUCT((('CASE MASTER'!$T$2:$T$495=4)*('CASE MASTER'!$AA$2:$AA$495&lt;=6)*('CASE MASTER'!$AC$2:$AC$495&gt;=6)*('CASE MASTER'!$AB$2:$AB$495&lt;=1)*('CASE MASTER'!$AD$2:$AD$495&gt;=1))*ROW('CASE MASTER'!$T$2:$T$495))-(ROW('CASE MASTER'!#REF!)-1))))*(INDEX('CASE MASTER'!$AD$2:$AD$495,(SUMPRODUCT((('CASE MASTER'!$T$2:$T$495=4)*('CASE MASTER'!$AA$2:$AA$495&lt;=6)*('CASE MASTER'!$AC$2:$AC$495&gt;=6)*('CASE MASTER'!$AB$2:$AB$495&lt;=1)*('CASE MASTER'!$AD$2:$AD$495&gt;=1))*ROW('CASE MASTER'!$T$2:$T$495))-(ROW('CASE MASTER'!#REF!)-1)))-INDEX('CASE MASTER'!$AB$2:$AB$495,(SUMPRODUCT((('CASE MASTER'!$T$2:$T$495=4)*('CASE MASTER'!$AA$2:$AA$495&lt;=6)*('CASE MASTER'!$AC$2:$AC$495&gt;=6)*('CASE MASTER'!$AB$2:$AB$495&lt;=1)*('CASE MASTER'!$AD$2:$AD$495&gt;=1))*ROW('CASE MASTER'!$T$2:$T$495))-(ROW('CASE MASTER'!#REF!)-1)))+1)+(1-INDEX('CASE MASTER'!$AB$2:$AB$495,(SUMPRODUCT((('CASE MASTER'!$T$2:$T$495=4)*('CASE MASTER'!$AA$2:$AA$495&lt;=6)*('CASE MASTER'!$AC$2:$AC$495&gt;=6)*('CASE MASTER'!$AB$2:$AB$495&lt;=1)*('CASE MASTER'!$AD$2:$AD$495&gt;=1))*ROW('CASE MASTER'!$T$2:$T$495))-(ROW('CASE MASTER'!#REF!)-1))))+1)))-1)*50+1,50))&amp;"_"&amp;INDEX('CASE MASTER'!$Q$2:$Q$495,(SUMPRODUCT((('CASE MASTER'!$T$2:$T$495=4)*('CASE MASTER'!$AA$2:$AA$495&lt;=6)*('CASE MASTER'!$AC$2:$AC$495&gt;=6)*('CASE MASTER'!$AB$2:$AB$495&lt;=1)*('CASE MASTER'!$AD$2:$AD$495&gt;=1))*ROW('CASE MASTER'!$T$2:$T$495))-(ROW('CASE MASTER'!#REF!)-1))),"")),"")</f>
        <v/>
      </c>
      <c r="C50" s="10" t="str">
        <f>IFERROR(IF(SUMPRODUCT((('CASE MASTER'!$T$2:$T$495=4)*('CASE MASTER'!$U$2:$U$495&lt;=6)*('CASE MASTER'!$W$2:$W$495&gt;=6)*('CASE MASTER'!$V$2:$V$495&lt;=2)*('CASE MASTER'!$X$2:$X$495&gt;=2))*ROW('CASE MASTER'!$T$2:$T$495))&gt;0,INDEX('CASE MASTER'!$Y$2:$Y$495,(SUMPRODUCT((('CASE MASTER'!$T$2:$T$495=4)*('CASE MASTER'!$U$2:$U$495&lt;=6)*('CASE MASTER'!$W$2:$W$495&gt;=6)*('CASE MASTER'!$V$2:$V$495&lt;=2)*('CASE MASTER'!$X$2:$X$495&gt;=2))*ROW('CASE MASTER'!$T$2:$T$495))-(ROW('CASE MASTER'!#REF!)-1)))&amp;TRIM(MID(SUBSTITUTE(SUBSTITUTE(INDEX('CASE MASTER'!$N$2:$N$495,(SUMPRODUCT((('CASE MASTER'!$T$2:$T$495=4)*('CASE MASTER'!$U$2:$U$495&lt;=6)*('CASE MASTER'!$W$2:$W$495&gt;=6)*('CASE MASTER'!$V$2:$V$495&lt;=2)*('CASE MASTER'!$X$2:$X$495&gt;=2))*ROW('CASE MASTER'!$T$2:$T$495))-(ROW('CASE MASTER'!#REF!)-1))),":",","),",",REPT(" ",50)),((((6-INDEX('CASE MASTER'!$U$2:$U$495,(SUMPRODUCT((('CASE MASTER'!$T$2:$T$495=4)*('CASE MASTER'!$U$2:$U$495&lt;=6)*('CASE MASTER'!$W$2:$W$495&gt;=6)*('CASE MASTER'!$V$2:$V$495&lt;=2)*('CASE MASTER'!$X$2:$X$495&gt;=2))*ROW('CASE MASTER'!$T$2:$T$495))-(ROW('CASE MASTER'!#REF!)-1))))*(INDEX('CASE MASTER'!$X$2:$X$495,(SUMPRODUCT((('CASE MASTER'!$T$2:$T$495=4)*('CASE MASTER'!$U$2:$U$495&lt;=6)*('CASE MASTER'!$W$2:$W$495&gt;=6)*('CASE MASTER'!$V$2:$V$495&lt;=2)*('CASE MASTER'!$X$2:$X$495&gt;=2))*ROW('CASE MASTER'!$T$2:$T$495))-(ROW('CASE MASTER'!#REF!)-1)))-INDEX('CASE MASTER'!$V$2:$V$495,(SUMPRODUCT((('CASE MASTER'!$T$2:$T$495=4)*('CASE MASTER'!$U$2:$U$495&lt;=6)*('CASE MASTER'!$W$2:$W$495&gt;=6)*('CASE MASTER'!$V$2:$V$495&lt;=2)*('CASE MASTER'!$X$2:$X$495&gt;=2))*ROW('CASE MASTER'!$T$2:$T$495))-(ROW('CASE MASTER'!#REF!)-1)))+1)+(2-INDEX('CASE MASTER'!$V$2:$V$495,(SUMPRODUCT((('CASE MASTER'!$T$2:$T$495=4)*('CASE MASTER'!$U$2:$U$495&lt;=6)*('CASE MASTER'!$W$2:$W$495&gt;=6)*('CASE MASTER'!$V$2:$V$495&lt;=2)*('CASE MASTER'!$X$2:$X$495&gt;=2))*ROW('CASE MASTER'!$T$2:$T$495))-(ROW('CASE MASTER'!#REF!)-1))))+1))-1)*50+1,50))&amp;"_"&amp;INDEX('CASE MASTER'!$Q$2:$Q$495,(SUMPRODUCT((('CASE MASTER'!$T$2:$T$495=4)*('CASE MASTER'!$U$2:$U$495&lt;=6)*('CASE MASTER'!$W$2:$W$495&gt;=6)*('CASE MASTER'!$V$2:$V$495&lt;=2)*('CASE MASTER'!$X$2:$X$495&gt;=2))*ROW('CASE MASTER'!$T$2:$T$495))-(ROW('CASE MASTER'!#REF!)-1))),IF(SUMPRODUCT((('CASE MASTER'!$T$2:$T$495=4)*('CASE MASTER'!$AA$2:$AA$495&lt;=6)*('CASE MASTER'!$AC$2:$AC$495&gt;=6)*('CASE MASTER'!$AB$2:$AB$495&lt;=2)*('CASE MASTER'!$AD$2:$AD$495&gt;=2))*ROW('CASE MASTER'!$T$2:$T$495))&gt;0,INDEX('CASE MASTER'!$Y$2:$Y$495,(SUMPRODUCT((('CASE MASTER'!$T$2:$T$495=4)*('CASE MASTER'!$AA$2:$AA$495&lt;=6)*('CASE MASTER'!$AC$2:$AC$495&gt;=6)*('CASE MASTER'!$AB$2:$AB$495&lt;=2)*('CASE MASTER'!$AD$2:$AD$495&gt;=2))*ROW('CASE MASTER'!$T$2:$T$495))-(ROW('CASE MASTER'!#REF!)-1)))&amp;TRIM(MID(SUBSTITUTE(SUBSTITUTE(INDEX('CASE MASTER'!$N$2:$N$495,(SUMPRODUCT((('CASE MASTER'!$T$2:$T$495=4)*('CASE MASTER'!$AA$2:$AA$495&lt;=6)*('CASE MASTER'!$AC$2:$AC$495&gt;=6)*('CASE MASTER'!$AB$2:$AB$495&lt;=2)*('CASE MASTER'!$AD$2:$AD$495&gt;=2))*ROW('CASE MASTER'!$T$2:$T$495))-(ROW('CASE MASTER'!#REF!)-1))),":",","),",",REPT(" ",50)),(((INDEX('CASE MASTER'!$Z$2:$Z$495,(SUMPRODUCT((('CASE MASTER'!$T$2:$T$495=4)*('CASE MASTER'!$AA$2:$AA$495&lt;=6)*('CASE MASTER'!$AC$2:$AC$495&gt;=6)*('CASE MASTER'!$AB$2:$AB$495&lt;=2)*('CASE MASTER'!$AD$2:$AD$495&gt;=2))*ROW('CASE MASTER'!$T$2:$T$495))-(ROW('CASE MASTER'!#REF!)-1)))+((6-INDEX('CASE MASTER'!$AA$2:$AA$495,(SUMPRODUCT((('CASE MASTER'!$T$2:$T$495=4)*('CASE MASTER'!$AA$2:$AA$495&lt;=6)*('CASE MASTER'!$AC$2:$AC$495&gt;=6)*('CASE MASTER'!$AB$2:$AB$495&lt;=2)*('CASE MASTER'!$AD$2:$AD$495&gt;=2))*ROW('CASE MASTER'!$T$2:$T$495))-(ROW('CASE MASTER'!#REF!)-1))))*(INDEX('CASE MASTER'!$AD$2:$AD$495,(SUMPRODUCT((('CASE MASTER'!$T$2:$T$495=4)*('CASE MASTER'!$AA$2:$AA$495&lt;=6)*('CASE MASTER'!$AC$2:$AC$495&gt;=6)*('CASE MASTER'!$AB$2:$AB$495&lt;=2)*('CASE MASTER'!$AD$2:$AD$495&gt;=2))*ROW('CASE MASTER'!$T$2:$T$495))-(ROW('CASE MASTER'!#REF!)-1)))-INDEX('CASE MASTER'!$AB$2:$AB$495,(SUMPRODUCT((('CASE MASTER'!$T$2:$T$495=4)*('CASE MASTER'!$AA$2:$AA$495&lt;=6)*('CASE MASTER'!$AC$2:$AC$495&gt;=6)*('CASE MASTER'!$AB$2:$AB$495&lt;=2)*('CASE MASTER'!$AD$2:$AD$495&gt;=2))*ROW('CASE MASTER'!$T$2:$T$495))-(ROW('CASE MASTER'!#REF!)-1)))+1)+(2-INDEX('CASE MASTER'!$AB$2:$AB$495,(SUMPRODUCT((('CASE MASTER'!$T$2:$T$495=4)*('CASE MASTER'!$AA$2:$AA$495&lt;=6)*('CASE MASTER'!$AC$2:$AC$495&gt;=6)*('CASE MASTER'!$AB$2:$AB$495&lt;=2)*('CASE MASTER'!$AD$2:$AD$495&gt;=2))*ROW('CASE MASTER'!$T$2:$T$495))-(ROW('CASE MASTER'!#REF!)-1))))+1)))-1)*50+1,50))&amp;"_"&amp;INDEX('CASE MASTER'!$Q$2:$Q$495,(SUMPRODUCT((('CASE MASTER'!$T$2:$T$495=4)*('CASE MASTER'!$AA$2:$AA$495&lt;=6)*('CASE MASTER'!$AC$2:$AC$495&gt;=6)*('CASE MASTER'!$AB$2:$AB$495&lt;=2)*('CASE MASTER'!$AD$2:$AD$495&gt;=2))*ROW('CASE MASTER'!$T$2:$T$495))-(ROW('CASE MASTER'!#REF!)-1))),"")),"")</f>
        <v/>
      </c>
      <c r="D50" s="10" t="str">
        <f>IFERROR(IF(SUMPRODUCT((('CASE MASTER'!$T$2:$T$495=4)*('CASE MASTER'!$U$2:$U$495&lt;=6)*('CASE MASTER'!$W$2:$W$495&gt;=6)*('CASE MASTER'!$V$2:$V$495&lt;=3)*('CASE MASTER'!$X$2:$X$495&gt;=3))*ROW('CASE MASTER'!$T$2:$T$495))&gt;0,INDEX('CASE MASTER'!$Y$2:$Y$495,(SUMPRODUCT((('CASE MASTER'!$T$2:$T$495=4)*('CASE MASTER'!$U$2:$U$495&lt;=6)*('CASE MASTER'!$W$2:$W$495&gt;=6)*('CASE MASTER'!$V$2:$V$495&lt;=3)*('CASE MASTER'!$X$2:$X$495&gt;=3))*ROW('CASE MASTER'!$T$2:$T$495))-(ROW('CASE MASTER'!#REF!)-1)))&amp;TRIM(MID(SUBSTITUTE(SUBSTITUTE(INDEX('CASE MASTER'!$N$2:$N$495,(SUMPRODUCT((('CASE MASTER'!$T$2:$T$495=4)*('CASE MASTER'!$U$2:$U$495&lt;=6)*('CASE MASTER'!$W$2:$W$495&gt;=6)*('CASE MASTER'!$V$2:$V$495&lt;=3)*('CASE MASTER'!$X$2:$X$495&gt;=3))*ROW('CASE MASTER'!$T$2:$T$495))-(ROW('CASE MASTER'!#REF!)-1))),":",","),",",REPT(" ",50)),((((6-INDEX('CASE MASTER'!$U$2:$U$495,(SUMPRODUCT((('CASE MASTER'!$T$2:$T$495=4)*('CASE MASTER'!$U$2:$U$495&lt;=6)*('CASE MASTER'!$W$2:$W$495&gt;=6)*('CASE MASTER'!$V$2:$V$495&lt;=3)*('CASE MASTER'!$X$2:$X$495&gt;=3))*ROW('CASE MASTER'!$T$2:$T$495))-(ROW('CASE MASTER'!#REF!)-1))))*(INDEX('CASE MASTER'!$X$2:$X$495,(SUMPRODUCT((('CASE MASTER'!$T$2:$T$495=4)*('CASE MASTER'!$U$2:$U$495&lt;=6)*('CASE MASTER'!$W$2:$W$495&gt;=6)*('CASE MASTER'!$V$2:$V$495&lt;=3)*('CASE MASTER'!$X$2:$X$495&gt;=3))*ROW('CASE MASTER'!$T$2:$T$495))-(ROW('CASE MASTER'!#REF!)-1)))-INDEX('CASE MASTER'!$V$2:$V$495,(SUMPRODUCT((('CASE MASTER'!$T$2:$T$495=4)*('CASE MASTER'!$U$2:$U$495&lt;=6)*('CASE MASTER'!$W$2:$W$495&gt;=6)*('CASE MASTER'!$V$2:$V$495&lt;=3)*('CASE MASTER'!$X$2:$X$495&gt;=3))*ROW('CASE MASTER'!$T$2:$T$495))-(ROW('CASE MASTER'!#REF!)-1)))+1)+(3-INDEX('CASE MASTER'!$V$2:$V$495,(SUMPRODUCT((('CASE MASTER'!$T$2:$T$495=4)*('CASE MASTER'!$U$2:$U$495&lt;=6)*('CASE MASTER'!$W$2:$W$495&gt;=6)*('CASE MASTER'!$V$2:$V$495&lt;=3)*('CASE MASTER'!$X$2:$X$495&gt;=3))*ROW('CASE MASTER'!$T$2:$T$495))-(ROW('CASE MASTER'!#REF!)-1))))+1))-1)*50+1,50))&amp;"_"&amp;INDEX('CASE MASTER'!$Q$2:$Q$495,(SUMPRODUCT((('CASE MASTER'!$T$2:$T$495=4)*('CASE MASTER'!$U$2:$U$495&lt;=6)*('CASE MASTER'!$W$2:$W$495&gt;=6)*('CASE MASTER'!$V$2:$V$495&lt;=3)*('CASE MASTER'!$X$2:$X$495&gt;=3))*ROW('CASE MASTER'!$T$2:$T$495))-(ROW('CASE MASTER'!#REF!)-1))),IF(SUMPRODUCT((('CASE MASTER'!$T$2:$T$495=4)*('CASE MASTER'!$AA$2:$AA$495&lt;=6)*('CASE MASTER'!$AC$2:$AC$495&gt;=6)*('CASE MASTER'!$AB$2:$AB$495&lt;=3)*('CASE MASTER'!$AD$2:$AD$495&gt;=3))*ROW('CASE MASTER'!$T$2:$T$495))&gt;0,INDEX('CASE MASTER'!$Y$2:$Y$495,(SUMPRODUCT((('CASE MASTER'!$T$2:$T$495=4)*('CASE MASTER'!$AA$2:$AA$495&lt;=6)*('CASE MASTER'!$AC$2:$AC$495&gt;=6)*('CASE MASTER'!$AB$2:$AB$495&lt;=3)*('CASE MASTER'!$AD$2:$AD$495&gt;=3))*ROW('CASE MASTER'!$T$2:$T$495))-(ROW('CASE MASTER'!#REF!)-1)))&amp;TRIM(MID(SUBSTITUTE(SUBSTITUTE(INDEX('CASE MASTER'!$N$2:$N$495,(SUMPRODUCT((('CASE MASTER'!$T$2:$T$495=4)*('CASE MASTER'!$AA$2:$AA$495&lt;=6)*('CASE MASTER'!$AC$2:$AC$495&gt;=6)*('CASE MASTER'!$AB$2:$AB$495&lt;=3)*('CASE MASTER'!$AD$2:$AD$495&gt;=3))*ROW('CASE MASTER'!$T$2:$T$495))-(ROW('CASE MASTER'!#REF!)-1))),":",","),",",REPT(" ",50)),(((INDEX('CASE MASTER'!$Z$2:$Z$495,(SUMPRODUCT((('CASE MASTER'!$T$2:$T$495=4)*('CASE MASTER'!$AA$2:$AA$495&lt;=6)*('CASE MASTER'!$AC$2:$AC$495&gt;=6)*('CASE MASTER'!$AB$2:$AB$495&lt;=3)*('CASE MASTER'!$AD$2:$AD$495&gt;=3))*ROW('CASE MASTER'!$T$2:$T$495))-(ROW('CASE MASTER'!#REF!)-1)))+((6-INDEX('CASE MASTER'!$AA$2:$AA$495,(SUMPRODUCT((('CASE MASTER'!$T$2:$T$495=4)*('CASE MASTER'!$AA$2:$AA$495&lt;=6)*('CASE MASTER'!$AC$2:$AC$495&gt;=6)*('CASE MASTER'!$AB$2:$AB$495&lt;=3)*('CASE MASTER'!$AD$2:$AD$495&gt;=3))*ROW('CASE MASTER'!$T$2:$T$495))-(ROW('CASE MASTER'!#REF!)-1))))*(INDEX('CASE MASTER'!$AD$2:$AD$495,(SUMPRODUCT((('CASE MASTER'!$T$2:$T$495=4)*('CASE MASTER'!$AA$2:$AA$495&lt;=6)*('CASE MASTER'!$AC$2:$AC$495&gt;=6)*('CASE MASTER'!$AB$2:$AB$495&lt;=3)*('CASE MASTER'!$AD$2:$AD$495&gt;=3))*ROW('CASE MASTER'!$T$2:$T$495))-(ROW('CASE MASTER'!#REF!)-1)))-INDEX('CASE MASTER'!$AB$2:$AB$495,(SUMPRODUCT((('CASE MASTER'!$T$2:$T$495=4)*('CASE MASTER'!$AA$2:$AA$495&lt;=6)*('CASE MASTER'!$AC$2:$AC$495&gt;=6)*('CASE MASTER'!$AB$2:$AB$495&lt;=3)*('CASE MASTER'!$AD$2:$AD$495&gt;=3))*ROW('CASE MASTER'!$T$2:$T$495))-(ROW('CASE MASTER'!#REF!)-1)))+1)+(3-INDEX('CASE MASTER'!$AB$2:$AB$495,(SUMPRODUCT((('CASE MASTER'!$T$2:$T$495=4)*('CASE MASTER'!$AA$2:$AA$495&lt;=6)*('CASE MASTER'!$AC$2:$AC$495&gt;=6)*('CASE MASTER'!$AB$2:$AB$495&lt;=3)*('CASE MASTER'!$AD$2:$AD$495&gt;=3))*ROW('CASE MASTER'!$T$2:$T$495))-(ROW('CASE MASTER'!#REF!)-1))))+1)))-1)*50+1,50))&amp;"_"&amp;INDEX('CASE MASTER'!$Q$2:$Q$495,(SUMPRODUCT((('CASE MASTER'!$T$2:$T$495=4)*('CASE MASTER'!$AA$2:$AA$495&lt;=6)*('CASE MASTER'!$AC$2:$AC$495&gt;=6)*('CASE MASTER'!$AB$2:$AB$495&lt;=3)*('CASE MASTER'!$AD$2:$AD$495&gt;=3))*ROW('CASE MASTER'!$T$2:$T$495))-(ROW('CASE MASTER'!#REF!)-1))),"")),"")</f>
        <v/>
      </c>
      <c r="E50" s="10" t="str">
        <f>IFERROR(IF(SUMPRODUCT((('CASE MASTER'!$T$2:$T$495=4)*('CASE MASTER'!$U$2:$U$495&lt;=6)*('CASE MASTER'!$W$2:$W$495&gt;=6)*('CASE MASTER'!$V$2:$V$495&lt;=4)*('CASE MASTER'!$X$2:$X$495&gt;=4))*ROW('CASE MASTER'!$T$2:$T$495))&gt;0,INDEX('CASE MASTER'!$Y$2:$Y$495,(SUMPRODUCT((('CASE MASTER'!$T$2:$T$495=4)*('CASE MASTER'!$U$2:$U$495&lt;=6)*('CASE MASTER'!$W$2:$W$495&gt;=6)*('CASE MASTER'!$V$2:$V$495&lt;=4)*('CASE MASTER'!$X$2:$X$495&gt;=4))*ROW('CASE MASTER'!$T$2:$T$495))-(ROW('CASE MASTER'!#REF!)-1)))&amp;TRIM(MID(SUBSTITUTE(SUBSTITUTE(INDEX('CASE MASTER'!$N$2:$N$495,(SUMPRODUCT((('CASE MASTER'!$T$2:$T$495=4)*('CASE MASTER'!$U$2:$U$495&lt;=6)*('CASE MASTER'!$W$2:$W$495&gt;=6)*('CASE MASTER'!$V$2:$V$495&lt;=4)*('CASE MASTER'!$X$2:$X$495&gt;=4))*ROW('CASE MASTER'!$T$2:$T$495))-(ROW('CASE MASTER'!#REF!)-1))),":",","),",",REPT(" ",50)),((((6-INDEX('CASE MASTER'!$U$2:$U$495,(SUMPRODUCT((('CASE MASTER'!$T$2:$T$495=4)*('CASE MASTER'!$U$2:$U$495&lt;=6)*('CASE MASTER'!$W$2:$W$495&gt;=6)*('CASE MASTER'!$V$2:$V$495&lt;=4)*('CASE MASTER'!$X$2:$X$495&gt;=4))*ROW('CASE MASTER'!$T$2:$T$495))-(ROW('CASE MASTER'!#REF!)-1))))*(INDEX('CASE MASTER'!$X$2:$X$495,(SUMPRODUCT((('CASE MASTER'!$T$2:$T$495=4)*('CASE MASTER'!$U$2:$U$495&lt;=6)*('CASE MASTER'!$W$2:$W$495&gt;=6)*('CASE MASTER'!$V$2:$V$495&lt;=4)*('CASE MASTER'!$X$2:$X$495&gt;=4))*ROW('CASE MASTER'!$T$2:$T$495))-(ROW('CASE MASTER'!#REF!)-1)))-INDEX('CASE MASTER'!$V$2:$V$495,(SUMPRODUCT((('CASE MASTER'!$T$2:$T$495=4)*('CASE MASTER'!$U$2:$U$495&lt;=6)*('CASE MASTER'!$W$2:$W$495&gt;=6)*('CASE MASTER'!$V$2:$V$495&lt;=4)*('CASE MASTER'!$X$2:$X$495&gt;=4))*ROW('CASE MASTER'!$T$2:$T$495))-(ROW('CASE MASTER'!#REF!)-1)))+1)+(4-INDEX('CASE MASTER'!$V$2:$V$495,(SUMPRODUCT((('CASE MASTER'!$T$2:$T$495=4)*('CASE MASTER'!$U$2:$U$495&lt;=6)*('CASE MASTER'!$W$2:$W$495&gt;=6)*('CASE MASTER'!$V$2:$V$495&lt;=4)*('CASE MASTER'!$X$2:$X$495&gt;=4))*ROW('CASE MASTER'!$T$2:$T$495))-(ROW('CASE MASTER'!#REF!)-1))))+1))-1)*50+1,50))&amp;"_"&amp;INDEX('CASE MASTER'!$Q$2:$Q$495,(SUMPRODUCT((('CASE MASTER'!$T$2:$T$495=4)*('CASE MASTER'!$U$2:$U$495&lt;=6)*('CASE MASTER'!$W$2:$W$495&gt;=6)*('CASE MASTER'!$V$2:$V$495&lt;=4)*('CASE MASTER'!$X$2:$X$495&gt;=4))*ROW('CASE MASTER'!$T$2:$T$495))-(ROW('CASE MASTER'!#REF!)-1))),IF(SUMPRODUCT((('CASE MASTER'!$T$2:$T$495=4)*('CASE MASTER'!$AA$2:$AA$495&lt;=6)*('CASE MASTER'!$AC$2:$AC$495&gt;=6)*('CASE MASTER'!$AB$2:$AB$495&lt;=4)*('CASE MASTER'!$AD$2:$AD$495&gt;=4))*ROW('CASE MASTER'!$T$2:$T$495))&gt;0,INDEX('CASE MASTER'!$Y$2:$Y$495,(SUMPRODUCT((('CASE MASTER'!$T$2:$T$495=4)*('CASE MASTER'!$AA$2:$AA$495&lt;=6)*('CASE MASTER'!$AC$2:$AC$495&gt;=6)*('CASE MASTER'!$AB$2:$AB$495&lt;=4)*('CASE MASTER'!$AD$2:$AD$495&gt;=4))*ROW('CASE MASTER'!$T$2:$T$495))-(ROW('CASE MASTER'!#REF!)-1)))&amp;TRIM(MID(SUBSTITUTE(SUBSTITUTE(INDEX('CASE MASTER'!$N$2:$N$495,(SUMPRODUCT((('CASE MASTER'!$T$2:$T$495=4)*('CASE MASTER'!$AA$2:$AA$495&lt;=6)*('CASE MASTER'!$AC$2:$AC$495&gt;=6)*('CASE MASTER'!$AB$2:$AB$495&lt;=4)*('CASE MASTER'!$AD$2:$AD$495&gt;=4))*ROW('CASE MASTER'!$T$2:$T$495))-(ROW('CASE MASTER'!#REF!)-1))),":",","),",",REPT(" ",50)),(((INDEX('CASE MASTER'!$Z$2:$Z$495,(SUMPRODUCT((('CASE MASTER'!$T$2:$T$495=4)*('CASE MASTER'!$AA$2:$AA$495&lt;=6)*('CASE MASTER'!$AC$2:$AC$495&gt;=6)*('CASE MASTER'!$AB$2:$AB$495&lt;=4)*('CASE MASTER'!$AD$2:$AD$495&gt;=4))*ROW('CASE MASTER'!$T$2:$T$495))-(ROW('CASE MASTER'!#REF!)-1)))+((6-INDEX('CASE MASTER'!$AA$2:$AA$495,(SUMPRODUCT((('CASE MASTER'!$T$2:$T$495=4)*('CASE MASTER'!$AA$2:$AA$495&lt;=6)*('CASE MASTER'!$AC$2:$AC$495&gt;=6)*('CASE MASTER'!$AB$2:$AB$495&lt;=4)*('CASE MASTER'!$AD$2:$AD$495&gt;=4))*ROW('CASE MASTER'!$T$2:$T$495))-(ROW('CASE MASTER'!#REF!)-1))))*(INDEX('CASE MASTER'!$AD$2:$AD$495,(SUMPRODUCT((('CASE MASTER'!$T$2:$T$495=4)*('CASE MASTER'!$AA$2:$AA$495&lt;=6)*('CASE MASTER'!$AC$2:$AC$495&gt;=6)*('CASE MASTER'!$AB$2:$AB$495&lt;=4)*('CASE MASTER'!$AD$2:$AD$495&gt;=4))*ROW('CASE MASTER'!$T$2:$T$495))-(ROW('CASE MASTER'!#REF!)-1)))-INDEX('CASE MASTER'!$AB$2:$AB$495,(SUMPRODUCT((('CASE MASTER'!$T$2:$T$495=4)*('CASE MASTER'!$AA$2:$AA$495&lt;=6)*('CASE MASTER'!$AC$2:$AC$495&gt;=6)*('CASE MASTER'!$AB$2:$AB$495&lt;=4)*('CASE MASTER'!$AD$2:$AD$495&gt;=4))*ROW('CASE MASTER'!$T$2:$T$495))-(ROW('CASE MASTER'!#REF!)-1)))+1)+(4-INDEX('CASE MASTER'!$AB$2:$AB$495,(SUMPRODUCT((('CASE MASTER'!$T$2:$T$495=4)*('CASE MASTER'!$AA$2:$AA$495&lt;=6)*('CASE MASTER'!$AC$2:$AC$495&gt;=6)*('CASE MASTER'!$AB$2:$AB$495&lt;=4)*('CASE MASTER'!$AD$2:$AD$495&gt;=4))*ROW('CASE MASTER'!$T$2:$T$495))-(ROW('CASE MASTER'!#REF!)-1))))+1)))-1)*50+1,50))&amp;"_"&amp;INDEX('CASE MASTER'!$Q$2:$Q$495,(SUMPRODUCT((('CASE MASTER'!$T$2:$T$495=4)*('CASE MASTER'!$AA$2:$AA$495&lt;=6)*('CASE MASTER'!$AC$2:$AC$495&gt;=6)*('CASE MASTER'!$AB$2:$AB$495&lt;=4)*('CASE MASTER'!$AD$2:$AD$495&gt;=4))*ROW('CASE MASTER'!$T$2:$T$495))-(ROW('CASE MASTER'!#REF!)-1))),"")),"")</f>
        <v/>
      </c>
      <c r="F50" s="10" t="str">
        <f>IFERROR(IF(SUMPRODUCT((('CASE MASTER'!$T$2:$T$495=4)*('CASE MASTER'!$U$2:$U$495&lt;=6)*('CASE MASTER'!$W$2:$W$495&gt;=6)*('CASE MASTER'!$V$2:$V$495&lt;=5)*('CASE MASTER'!$X$2:$X$495&gt;=5))*ROW('CASE MASTER'!$T$2:$T$495))&gt;0,INDEX('CASE MASTER'!$Y$2:$Y$495,(SUMPRODUCT((('CASE MASTER'!$T$2:$T$495=4)*('CASE MASTER'!$U$2:$U$495&lt;=6)*('CASE MASTER'!$W$2:$W$495&gt;=6)*('CASE MASTER'!$V$2:$V$495&lt;=5)*('CASE MASTER'!$X$2:$X$495&gt;=5))*ROW('CASE MASTER'!$T$2:$T$495))-(ROW('CASE MASTER'!#REF!)-1)))&amp;TRIM(MID(SUBSTITUTE(SUBSTITUTE(INDEX('CASE MASTER'!$N$2:$N$495,(SUMPRODUCT((('CASE MASTER'!$T$2:$T$495=4)*('CASE MASTER'!$U$2:$U$495&lt;=6)*('CASE MASTER'!$W$2:$W$495&gt;=6)*('CASE MASTER'!$V$2:$V$495&lt;=5)*('CASE MASTER'!$X$2:$X$495&gt;=5))*ROW('CASE MASTER'!$T$2:$T$495))-(ROW('CASE MASTER'!#REF!)-1))),":",","),",",REPT(" ",50)),((((6-INDEX('CASE MASTER'!$U$2:$U$495,(SUMPRODUCT((('CASE MASTER'!$T$2:$T$495=4)*('CASE MASTER'!$U$2:$U$495&lt;=6)*('CASE MASTER'!$W$2:$W$495&gt;=6)*('CASE MASTER'!$V$2:$V$495&lt;=5)*('CASE MASTER'!$X$2:$X$495&gt;=5))*ROW('CASE MASTER'!$T$2:$T$495))-(ROW('CASE MASTER'!#REF!)-1))))*(INDEX('CASE MASTER'!$X$2:$X$495,(SUMPRODUCT((('CASE MASTER'!$T$2:$T$495=4)*('CASE MASTER'!$U$2:$U$495&lt;=6)*('CASE MASTER'!$W$2:$W$495&gt;=6)*('CASE MASTER'!$V$2:$V$495&lt;=5)*('CASE MASTER'!$X$2:$X$495&gt;=5))*ROW('CASE MASTER'!$T$2:$T$495))-(ROW('CASE MASTER'!#REF!)-1)))-INDEX('CASE MASTER'!$V$2:$V$495,(SUMPRODUCT((('CASE MASTER'!$T$2:$T$495=4)*('CASE MASTER'!$U$2:$U$495&lt;=6)*('CASE MASTER'!$W$2:$W$495&gt;=6)*('CASE MASTER'!$V$2:$V$495&lt;=5)*('CASE MASTER'!$X$2:$X$495&gt;=5))*ROW('CASE MASTER'!$T$2:$T$495))-(ROW('CASE MASTER'!#REF!)-1)))+1)+(5-INDEX('CASE MASTER'!$V$2:$V$495,(SUMPRODUCT((('CASE MASTER'!$T$2:$T$495=4)*('CASE MASTER'!$U$2:$U$495&lt;=6)*('CASE MASTER'!$W$2:$W$495&gt;=6)*('CASE MASTER'!$V$2:$V$495&lt;=5)*('CASE MASTER'!$X$2:$X$495&gt;=5))*ROW('CASE MASTER'!$T$2:$T$495))-(ROW('CASE MASTER'!#REF!)-1))))+1))-1)*50+1,50))&amp;"_"&amp;INDEX('CASE MASTER'!$Q$2:$Q$495,(SUMPRODUCT((('CASE MASTER'!$T$2:$T$495=4)*('CASE MASTER'!$U$2:$U$495&lt;=6)*('CASE MASTER'!$W$2:$W$495&gt;=6)*('CASE MASTER'!$V$2:$V$495&lt;=5)*('CASE MASTER'!$X$2:$X$495&gt;=5))*ROW('CASE MASTER'!$T$2:$T$495))-(ROW('CASE MASTER'!#REF!)-1))),IF(SUMPRODUCT((('CASE MASTER'!$T$2:$T$495=4)*('CASE MASTER'!$AA$2:$AA$495&lt;=6)*('CASE MASTER'!$AC$2:$AC$495&gt;=6)*('CASE MASTER'!$AB$2:$AB$495&lt;=5)*('CASE MASTER'!$AD$2:$AD$495&gt;=5))*ROW('CASE MASTER'!$T$2:$T$495))&gt;0,INDEX('CASE MASTER'!$Y$2:$Y$495,(SUMPRODUCT((('CASE MASTER'!$T$2:$T$495=4)*('CASE MASTER'!$AA$2:$AA$495&lt;=6)*('CASE MASTER'!$AC$2:$AC$495&gt;=6)*('CASE MASTER'!$AB$2:$AB$495&lt;=5)*('CASE MASTER'!$AD$2:$AD$495&gt;=5))*ROW('CASE MASTER'!$T$2:$T$495))-(ROW('CASE MASTER'!#REF!)-1)))&amp;TRIM(MID(SUBSTITUTE(SUBSTITUTE(INDEX('CASE MASTER'!$N$2:$N$495,(SUMPRODUCT((('CASE MASTER'!$T$2:$T$495=4)*('CASE MASTER'!$AA$2:$AA$495&lt;=6)*('CASE MASTER'!$AC$2:$AC$495&gt;=6)*('CASE MASTER'!$AB$2:$AB$495&lt;=5)*('CASE MASTER'!$AD$2:$AD$495&gt;=5))*ROW('CASE MASTER'!$T$2:$T$495))-(ROW('CASE MASTER'!#REF!)-1))),":",","),",",REPT(" ",50)),(((INDEX('CASE MASTER'!$Z$2:$Z$495,(SUMPRODUCT((('CASE MASTER'!$T$2:$T$495=4)*('CASE MASTER'!$AA$2:$AA$495&lt;=6)*('CASE MASTER'!$AC$2:$AC$495&gt;=6)*('CASE MASTER'!$AB$2:$AB$495&lt;=5)*('CASE MASTER'!$AD$2:$AD$495&gt;=5))*ROW('CASE MASTER'!$T$2:$T$495))-(ROW('CASE MASTER'!#REF!)-1)))+((6-INDEX('CASE MASTER'!$AA$2:$AA$495,(SUMPRODUCT((('CASE MASTER'!$T$2:$T$495=4)*('CASE MASTER'!$AA$2:$AA$495&lt;=6)*('CASE MASTER'!$AC$2:$AC$495&gt;=6)*('CASE MASTER'!$AB$2:$AB$495&lt;=5)*('CASE MASTER'!$AD$2:$AD$495&gt;=5))*ROW('CASE MASTER'!$T$2:$T$495))-(ROW('CASE MASTER'!#REF!)-1))))*(INDEX('CASE MASTER'!$AD$2:$AD$495,(SUMPRODUCT((('CASE MASTER'!$T$2:$T$495=4)*('CASE MASTER'!$AA$2:$AA$495&lt;=6)*('CASE MASTER'!$AC$2:$AC$495&gt;=6)*('CASE MASTER'!$AB$2:$AB$495&lt;=5)*('CASE MASTER'!$AD$2:$AD$495&gt;=5))*ROW('CASE MASTER'!$T$2:$T$495))-(ROW('CASE MASTER'!#REF!)-1)))-INDEX('CASE MASTER'!$AB$2:$AB$495,(SUMPRODUCT((('CASE MASTER'!$T$2:$T$495=4)*('CASE MASTER'!$AA$2:$AA$495&lt;=6)*('CASE MASTER'!$AC$2:$AC$495&gt;=6)*('CASE MASTER'!$AB$2:$AB$495&lt;=5)*('CASE MASTER'!$AD$2:$AD$495&gt;=5))*ROW('CASE MASTER'!$T$2:$T$495))-(ROW('CASE MASTER'!#REF!)-1)))+1)+(5-INDEX('CASE MASTER'!$AB$2:$AB$495,(SUMPRODUCT((('CASE MASTER'!$T$2:$T$495=4)*('CASE MASTER'!$AA$2:$AA$495&lt;=6)*('CASE MASTER'!$AC$2:$AC$495&gt;=6)*('CASE MASTER'!$AB$2:$AB$495&lt;=5)*('CASE MASTER'!$AD$2:$AD$495&gt;=5))*ROW('CASE MASTER'!$T$2:$T$495))-(ROW('CASE MASTER'!#REF!)-1))))+1)))-1)*50+1,50))&amp;"_"&amp;INDEX('CASE MASTER'!$Q$2:$Q$495,(SUMPRODUCT((('CASE MASTER'!$T$2:$T$495=4)*('CASE MASTER'!$AA$2:$AA$495&lt;=6)*('CASE MASTER'!$AC$2:$AC$495&gt;=6)*('CASE MASTER'!$AB$2:$AB$495&lt;=5)*('CASE MASTER'!$AD$2:$AD$495&gt;=5))*ROW('CASE MASTER'!$T$2:$T$495))-(ROW('CASE MASTER'!#REF!)-1))),"")),"")</f>
        <v/>
      </c>
      <c r="G50" s="10" t="str">
        <f>IFERROR(IF(SUMPRODUCT((('CASE MASTER'!$T$2:$T$495=4)*('CASE MASTER'!$U$2:$U$495&lt;=6)*('CASE MASTER'!$W$2:$W$495&gt;=6)*('CASE MASTER'!$V$2:$V$495&lt;=6)*('CASE MASTER'!$X$2:$X$495&gt;=6))*ROW('CASE MASTER'!$T$2:$T$495))&gt;0,INDEX('CASE MASTER'!$Y$2:$Y$495,(SUMPRODUCT((('CASE MASTER'!$T$2:$T$495=4)*('CASE MASTER'!$U$2:$U$495&lt;=6)*('CASE MASTER'!$W$2:$W$495&gt;=6)*('CASE MASTER'!$V$2:$V$495&lt;=6)*('CASE MASTER'!$X$2:$X$495&gt;=6))*ROW('CASE MASTER'!$T$2:$T$495))-(ROW('CASE MASTER'!#REF!)-1)))&amp;TRIM(MID(SUBSTITUTE(SUBSTITUTE(INDEX('CASE MASTER'!$N$2:$N$495,(SUMPRODUCT((('CASE MASTER'!$T$2:$T$495=4)*('CASE MASTER'!$U$2:$U$495&lt;=6)*('CASE MASTER'!$W$2:$W$495&gt;=6)*('CASE MASTER'!$V$2:$V$495&lt;=6)*('CASE MASTER'!$X$2:$X$495&gt;=6))*ROW('CASE MASTER'!$T$2:$T$495))-(ROW('CASE MASTER'!#REF!)-1))),":",","),",",REPT(" ",50)),((((6-INDEX('CASE MASTER'!$U$2:$U$495,(SUMPRODUCT((('CASE MASTER'!$T$2:$T$495=4)*('CASE MASTER'!$U$2:$U$495&lt;=6)*('CASE MASTER'!$W$2:$W$495&gt;=6)*('CASE MASTER'!$V$2:$V$495&lt;=6)*('CASE MASTER'!$X$2:$X$495&gt;=6))*ROW('CASE MASTER'!$T$2:$T$495))-(ROW('CASE MASTER'!#REF!)-1))))*(INDEX('CASE MASTER'!$X$2:$X$495,(SUMPRODUCT((('CASE MASTER'!$T$2:$T$495=4)*('CASE MASTER'!$U$2:$U$495&lt;=6)*('CASE MASTER'!$W$2:$W$495&gt;=6)*('CASE MASTER'!$V$2:$V$495&lt;=6)*('CASE MASTER'!$X$2:$X$495&gt;=6))*ROW('CASE MASTER'!$T$2:$T$495))-(ROW('CASE MASTER'!#REF!)-1)))-INDEX('CASE MASTER'!$V$2:$V$495,(SUMPRODUCT((('CASE MASTER'!$T$2:$T$495=4)*('CASE MASTER'!$U$2:$U$495&lt;=6)*('CASE MASTER'!$W$2:$W$495&gt;=6)*('CASE MASTER'!$V$2:$V$495&lt;=6)*('CASE MASTER'!$X$2:$X$495&gt;=6))*ROW('CASE MASTER'!$T$2:$T$495))-(ROW('CASE MASTER'!#REF!)-1)))+1)+(6-INDEX('CASE MASTER'!$V$2:$V$495,(SUMPRODUCT((('CASE MASTER'!$T$2:$T$495=4)*('CASE MASTER'!$U$2:$U$495&lt;=6)*('CASE MASTER'!$W$2:$W$495&gt;=6)*('CASE MASTER'!$V$2:$V$495&lt;=6)*('CASE MASTER'!$X$2:$X$495&gt;=6))*ROW('CASE MASTER'!$T$2:$T$495))-(ROW('CASE MASTER'!#REF!)-1))))+1))-1)*50+1,50))&amp;"_"&amp;INDEX('CASE MASTER'!$Q$2:$Q$495,(SUMPRODUCT((('CASE MASTER'!$T$2:$T$495=4)*('CASE MASTER'!$U$2:$U$495&lt;=6)*('CASE MASTER'!$W$2:$W$495&gt;=6)*('CASE MASTER'!$V$2:$V$495&lt;=6)*('CASE MASTER'!$X$2:$X$495&gt;=6))*ROW('CASE MASTER'!$T$2:$T$495))-(ROW('CASE MASTER'!#REF!)-1))),IF(SUMPRODUCT((('CASE MASTER'!$T$2:$T$495=4)*('CASE MASTER'!$AA$2:$AA$495&lt;=6)*('CASE MASTER'!$AC$2:$AC$495&gt;=6)*('CASE MASTER'!$AB$2:$AB$495&lt;=6)*('CASE MASTER'!$AD$2:$AD$495&gt;=6))*ROW('CASE MASTER'!$T$2:$T$495))&gt;0,INDEX('CASE MASTER'!$Y$2:$Y$495,(SUMPRODUCT((('CASE MASTER'!$T$2:$T$495=4)*('CASE MASTER'!$AA$2:$AA$495&lt;=6)*('CASE MASTER'!$AC$2:$AC$495&gt;=6)*('CASE MASTER'!$AB$2:$AB$495&lt;=6)*('CASE MASTER'!$AD$2:$AD$495&gt;=6))*ROW('CASE MASTER'!$T$2:$T$495))-(ROW('CASE MASTER'!#REF!)-1)))&amp;TRIM(MID(SUBSTITUTE(SUBSTITUTE(INDEX('CASE MASTER'!$N$2:$N$495,(SUMPRODUCT((('CASE MASTER'!$T$2:$T$495=4)*('CASE MASTER'!$AA$2:$AA$495&lt;=6)*('CASE MASTER'!$AC$2:$AC$495&gt;=6)*('CASE MASTER'!$AB$2:$AB$495&lt;=6)*('CASE MASTER'!$AD$2:$AD$495&gt;=6))*ROW('CASE MASTER'!$T$2:$T$495))-(ROW('CASE MASTER'!#REF!)-1))),":",","),",",REPT(" ",50)),(((INDEX('CASE MASTER'!$Z$2:$Z$495,(SUMPRODUCT((('CASE MASTER'!$T$2:$T$495=4)*('CASE MASTER'!$AA$2:$AA$495&lt;=6)*('CASE MASTER'!$AC$2:$AC$495&gt;=6)*('CASE MASTER'!$AB$2:$AB$495&lt;=6)*('CASE MASTER'!$AD$2:$AD$495&gt;=6))*ROW('CASE MASTER'!$T$2:$T$495))-(ROW('CASE MASTER'!#REF!)-1)))+((6-INDEX('CASE MASTER'!$AA$2:$AA$495,(SUMPRODUCT((('CASE MASTER'!$T$2:$T$495=4)*('CASE MASTER'!$AA$2:$AA$495&lt;=6)*('CASE MASTER'!$AC$2:$AC$495&gt;=6)*('CASE MASTER'!$AB$2:$AB$495&lt;=6)*('CASE MASTER'!$AD$2:$AD$495&gt;=6))*ROW('CASE MASTER'!$T$2:$T$495))-(ROW('CASE MASTER'!#REF!)-1))))*(INDEX('CASE MASTER'!$AD$2:$AD$495,(SUMPRODUCT((('CASE MASTER'!$T$2:$T$495=4)*('CASE MASTER'!$AA$2:$AA$495&lt;=6)*('CASE MASTER'!$AC$2:$AC$495&gt;=6)*('CASE MASTER'!$AB$2:$AB$495&lt;=6)*('CASE MASTER'!$AD$2:$AD$495&gt;=6))*ROW('CASE MASTER'!$T$2:$T$495))-(ROW('CASE MASTER'!#REF!)-1)))-INDEX('CASE MASTER'!$AB$2:$AB$495,(SUMPRODUCT((('CASE MASTER'!$T$2:$T$495=4)*('CASE MASTER'!$AA$2:$AA$495&lt;=6)*('CASE MASTER'!$AC$2:$AC$495&gt;=6)*('CASE MASTER'!$AB$2:$AB$495&lt;=6)*('CASE MASTER'!$AD$2:$AD$495&gt;=6))*ROW('CASE MASTER'!$T$2:$T$495))-(ROW('CASE MASTER'!#REF!)-1)))+1)+(6-INDEX('CASE MASTER'!$AB$2:$AB$495,(SUMPRODUCT((('CASE MASTER'!$T$2:$T$495=4)*('CASE MASTER'!$AA$2:$AA$495&lt;=6)*('CASE MASTER'!$AC$2:$AC$495&gt;=6)*('CASE MASTER'!$AB$2:$AB$495&lt;=6)*('CASE MASTER'!$AD$2:$AD$495&gt;=6))*ROW('CASE MASTER'!$T$2:$T$495))-(ROW('CASE MASTER'!#REF!)-1))))+1)))-1)*50+1,50))&amp;"_"&amp;INDEX('CASE MASTER'!$Q$2:$Q$495,(SUMPRODUCT((('CASE MASTER'!$T$2:$T$495=4)*('CASE MASTER'!$AA$2:$AA$495&lt;=6)*('CASE MASTER'!$AC$2:$AC$495&gt;=6)*('CASE MASTER'!$AB$2:$AB$495&lt;=6)*('CASE MASTER'!$AD$2:$AD$495&gt;=6))*ROW('CASE MASTER'!$T$2:$T$495))-(ROW('CASE MASTER'!#REF!)-1))),"")),"")</f>
        <v/>
      </c>
      <c r="H50" s="10" t="str">
        <f>IFERROR(IF(SUMPRODUCT((('CASE MASTER'!$T$2:$T$495=4)*('CASE MASTER'!$U$2:$U$495&lt;=6)*('CASE MASTER'!$W$2:$W$495&gt;=6)*('CASE MASTER'!$V$2:$V$495&lt;=7)*('CASE MASTER'!$X$2:$X$495&gt;=7))*ROW('CASE MASTER'!$T$2:$T$495))&gt;0,INDEX('CASE MASTER'!$Y$2:$Y$495,(SUMPRODUCT((('CASE MASTER'!$T$2:$T$495=4)*('CASE MASTER'!$U$2:$U$495&lt;=6)*('CASE MASTER'!$W$2:$W$495&gt;=6)*('CASE MASTER'!$V$2:$V$495&lt;=7)*('CASE MASTER'!$X$2:$X$495&gt;=7))*ROW('CASE MASTER'!$T$2:$T$495))-(ROW('CASE MASTER'!#REF!)-1)))&amp;TRIM(MID(SUBSTITUTE(SUBSTITUTE(INDEX('CASE MASTER'!$N$2:$N$495,(SUMPRODUCT((('CASE MASTER'!$T$2:$T$495=4)*('CASE MASTER'!$U$2:$U$495&lt;=6)*('CASE MASTER'!$W$2:$W$495&gt;=6)*('CASE MASTER'!$V$2:$V$495&lt;=7)*('CASE MASTER'!$X$2:$X$495&gt;=7))*ROW('CASE MASTER'!$T$2:$T$495))-(ROW('CASE MASTER'!#REF!)-1))),":",","),",",REPT(" ",50)),((((6-INDEX('CASE MASTER'!$U$2:$U$495,(SUMPRODUCT((('CASE MASTER'!$T$2:$T$495=4)*('CASE MASTER'!$U$2:$U$495&lt;=6)*('CASE MASTER'!$W$2:$W$495&gt;=6)*('CASE MASTER'!$V$2:$V$495&lt;=7)*('CASE MASTER'!$X$2:$X$495&gt;=7))*ROW('CASE MASTER'!$T$2:$T$495))-(ROW('CASE MASTER'!#REF!)-1))))*(INDEX('CASE MASTER'!$X$2:$X$495,(SUMPRODUCT((('CASE MASTER'!$T$2:$T$495=4)*('CASE MASTER'!$U$2:$U$495&lt;=6)*('CASE MASTER'!$W$2:$W$495&gt;=6)*('CASE MASTER'!$V$2:$V$495&lt;=7)*('CASE MASTER'!$X$2:$X$495&gt;=7))*ROW('CASE MASTER'!$T$2:$T$495))-(ROW('CASE MASTER'!#REF!)-1)))-INDEX('CASE MASTER'!$V$2:$V$495,(SUMPRODUCT((('CASE MASTER'!$T$2:$T$495=4)*('CASE MASTER'!$U$2:$U$495&lt;=6)*('CASE MASTER'!$W$2:$W$495&gt;=6)*('CASE MASTER'!$V$2:$V$495&lt;=7)*('CASE MASTER'!$X$2:$X$495&gt;=7))*ROW('CASE MASTER'!$T$2:$T$495))-(ROW('CASE MASTER'!#REF!)-1)))+1)+(7-INDEX('CASE MASTER'!$V$2:$V$495,(SUMPRODUCT((('CASE MASTER'!$T$2:$T$495=4)*('CASE MASTER'!$U$2:$U$495&lt;=6)*('CASE MASTER'!$W$2:$W$495&gt;=6)*('CASE MASTER'!$V$2:$V$495&lt;=7)*('CASE MASTER'!$X$2:$X$495&gt;=7))*ROW('CASE MASTER'!$T$2:$T$495))-(ROW('CASE MASTER'!#REF!)-1))))+1))-1)*50+1,50))&amp;"_"&amp;INDEX('CASE MASTER'!$Q$2:$Q$495,(SUMPRODUCT((('CASE MASTER'!$T$2:$T$495=4)*('CASE MASTER'!$U$2:$U$495&lt;=6)*('CASE MASTER'!$W$2:$W$495&gt;=6)*('CASE MASTER'!$V$2:$V$495&lt;=7)*('CASE MASTER'!$X$2:$X$495&gt;=7))*ROW('CASE MASTER'!$T$2:$T$495))-(ROW('CASE MASTER'!#REF!)-1))),IF(SUMPRODUCT((('CASE MASTER'!$T$2:$T$495=4)*('CASE MASTER'!$AA$2:$AA$495&lt;=6)*('CASE MASTER'!$AC$2:$AC$495&gt;=6)*('CASE MASTER'!$AB$2:$AB$495&lt;=7)*('CASE MASTER'!$AD$2:$AD$495&gt;=7))*ROW('CASE MASTER'!$T$2:$T$495))&gt;0,INDEX('CASE MASTER'!$Y$2:$Y$495,(SUMPRODUCT((('CASE MASTER'!$T$2:$T$495=4)*('CASE MASTER'!$AA$2:$AA$495&lt;=6)*('CASE MASTER'!$AC$2:$AC$495&gt;=6)*('CASE MASTER'!$AB$2:$AB$495&lt;=7)*('CASE MASTER'!$AD$2:$AD$495&gt;=7))*ROW('CASE MASTER'!$T$2:$T$495))-(ROW('CASE MASTER'!#REF!)-1)))&amp;TRIM(MID(SUBSTITUTE(SUBSTITUTE(INDEX('CASE MASTER'!$N$2:$N$495,(SUMPRODUCT((('CASE MASTER'!$T$2:$T$495=4)*('CASE MASTER'!$AA$2:$AA$495&lt;=6)*('CASE MASTER'!$AC$2:$AC$495&gt;=6)*('CASE MASTER'!$AB$2:$AB$495&lt;=7)*('CASE MASTER'!$AD$2:$AD$495&gt;=7))*ROW('CASE MASTER'!$T$2:$T$495))-(ROW('CASE MASTER'!#REF!)-1))),":",","),",",REPT(" ",50)),(((INDEX('CASE MASTER'!$Z$2:$Z$495,(SUMPRODUCT((('CASE MASTER'!$T$2:$T$495=4)*('CASE MASTER'!$AA$2:$AA$495&lt;=6)*('CASE MASTER'!$AC$2:$AC$495&gt;=6)*('CASE MASTER'!$AB$2:$AB$495&lt;=7)*('CASE MASTER'!$AD$2:$AD$495&gt;=7))*ROW('CASE MASTER'!$T$2:$T$495))-(ROW('CASE MASTER'!#REF!)-1)))+((6-INDEX('CASE MASTER'!$AA$2:$AA$495,(SUMPRODUCT((('CASE MASTER'!$T$2:$T$495=4)*('CASE MASTER'!$AA$2:$AA$495&lt;=6)*('CASE MASTER'!$AC$2:$AC$495&gt;=6)*('CASE MASTER'!$AB$2:$AB$495&lt;=7)*('CASE MASTER'!$AD$2:$AD$495&gt;=7))*ROW('CASE MASTER'!$T$2:$T$495))-(ROW('CASE MASTER'!#REF!)-1))))*(INDEX('CASE MASTER'!$AD$2:$AD$495,(SUMPRODUCT((('CASE MASTER'!$T$2:$T$495=4)*('CASE MASTER'!$AA$2:$AA$495&lt;=6)*('CASE MASTER'!$AC$2:$AC$495&gt;=6)*('CASE MASTER'!$AB$2:$AB$495&lt;=7)*('CASE MASTER'!$AD$2:$AD$495&gt;=7))*ROW('CASE MASTER'!$T$2:$T$495))-(ROW('CASE MASTER'!#REF!)-1)))-INDEX('CASE MASTER'!$AB$2:$AB$495,(SUMPRODUCT((('CASE MASTER'!$T$2:$T$495=4)*('CASE MASTER'!$AA$2:$AA$495&lt;=6)*('CASE MASTER'!$AC$2:$AC$495&gt;=6)*('CASE MASTER'!$AB$2:$AB$495&lt;=7)*('CASE MASTER'!$AD$2:$AD$495&gt;=7))*ROW('CASE MASTER'!$T$2:$T$495))-(ROW('CASE MASTER'!#REF!)-1)))+1)+(7-INDEX('CASE MASTER'!$AB$2:$AB$495,(SUMPRODUCT((('CASE MASTER'!$T$2:$T$495=4)*('CASE MASTER'!$AA$2:$AA$495&lt;=6)*('CASE MASTER'!$AC$2:$AC$495&gt;=6)*('CASE MASTER'!$AB$2:$AB$495&lt;=7)*('CASE MASTER'!$AD$2:$AD$495&gt;=7))*ROW('CASE MASTER'!$T$2:$T$495))-(ROW('CASE MASTER'!#REF!)-1))))+1)))-1)*50+1,50))&amp;"_"&amp;INDEX('CASE MASTER'!$Q$2:$Q$495,(SUMPRODUCT((('CASE MASTER'!$T$2:$T$495=4)*('CASE MASTER'!$AA$2:$AA$495&lt;=6)*('CASE MASTER'!$AC$2:$AC$495&gt;=6)*('CASE MASTER'!$AB$2:$AB$495&lt;=7)*('CASE MASTER'!$AD$2:$AD$495&gt;=7))*ROW('CASE MASTER'!$T$2:$T$495))-(ROW('CASE MASTER'!#REF!)-1))),"")),"")</f>
        <v/>
      </c>
      <c r="I50" s="10" t="str">
        <f>IFERROR(IF(SUMPRODUCT((('CASE MASTER'!$T$2:$T$495=4)*('CASE MASTER'!$U$2:$U$495&lt;=6)*('CASE MASTER'!$W$2:$W$495&gt;=6)*('CASE MASTER'!$V$2:$V$495&lt;=8)*('CASE MASTER'!$X$2:$X$495&gt;=8))*ROW('CASE MASTER'!$T$2:$T$495))&gt;0,INDEX('CASE MASTER'!$Y$2:$Y$495,(SUMPRODUCT((('CASE MASTER'!$T$2:$T$495=4)*('CASE MASTER'!$U$2:$U$495&lt;=6)*('CASE MASTER'!$W$2:$W$495&gt;=6)*('CASE MASTER'!$V$2:$V$495&lt;=8)*('CASE MASTER'!$X$2:$X$495&gt;=8))*ROW('CASE MASTER'!$T$2:$T$495))-(ROW('CASE MASTER'!#REF!)-1)))&amp;TRIM(MID(SUBSTITUTE(SUBSTITUTE(INDEX('CASE MASTER'!$N$2:$N$495,(SUMPRODUCT((('CASE MASTER'!$T$2:$T$495=4)*('CASE MASTER'!$U$2:$U$495&lt;=6)*('CASE MASTER'!$W$2:$W$495&gt;=6)*('CASE MASTER'!$V$2:$V$495&lt;=8)*('CASE MASTER'!$X$2:$X$495&gt;=8))*ROW('CASE MASTER'!$T$2:$T$495))-(ROW('CASE MASTER'!#REF!)-1))),":",","),",",REPT(" ",50)),((((6-INDEX('CASE MASTER'!$U$2:$U$495,(SUMPRODUCT((('CASE MASTER'!$T$2:$T$495=4)*('CASE MASTER'!$U$2:$U$495&lt;=6)*('CASE MASTER'!$W$2:$W$495&gt;=6)*('CASE MASTER'!$V$2:$V$495&lt;=8)*('CASE MASTER'!$X$2:$X$495&gt;=8))*ROW('CASE MASTER'!$T$2:$T$495))-(ROW('CASE MASTER'!#REF!)-1))))*(INDEX('CASE MASTER'!$X$2:$X$495,(SUMPRODUCT((('CASE MASTER'!$T$2:$T$495=4)*('CASE MASTER'!$U$2:$U$495&lt;=6)*('CASE MASTER'!$W$2:$W$495&gt;=6)*('CASE MASTER'!$V$2:$V$495&lt;=8)*('CASE MASTER'!$X$2:$X$495&gt;=8))*ROW('CASE MASTER'!$T$2:$T$495))-(ROW('CASE MASTER'!#REF!)-1)))-INDEX('CASE MASTER'!$V$2:$V$495,(SUMPRODUCT((('CASE MASTER'!$T$2:$T$495=4)*('CASE MASTER'!$U$2:$U$495&lt;=6)*('CASE MASTER'!$W$2:$W$495&gt;=6)*('CASE MASTER'!$V$2:$V$495&lt;=8)*('CASE MASTER'!$X$2:$X$495&gt;=8))*ROW('CASE MASTER'!$T$2:$T$495))-(ROW('CASE MASTER'!#REF!)-1)))+1)+(8-INDEX('CASE MASTER'!$V$2:$V$495,(SUMPRODUCT((('CASE MASTER'!$T$2:$T$495=4)*('CASE MASTER'!$U$2:$U$495&lt;=6)*('CASE MASTER'!$W$2:$W$495&gt;=6)*('CASE MASTER'!$V$2:$V$495&lt;=8)*('CASE MASTER'!$X$2:$X$495&gt;=8))*ROW('CASE MASTER'!$T$2:$T$495))-(ROW('CASE MASTER'!#REF!)-1))))+1))-1)*50+1,50))&amp;"_"&amp;INDEX('CASE MASTER'!$Q$2:$Q$495,(SUMPRODUCT((('CASE MASTER'!$T$2:$T$495=4)*('CASE MASTER'!$U$2:$U$495&lt;=6)*('CASE MASTER'!$W$2:$W$495&gt;=6)*('CASE MASTER'!$V$2:$V$495&lt;=8)*('CASE MASTER'!$X$2:$X$495&gt;=8))*ROW('CASE MASTER'!$T$2:$T$495))-(ROW('CASE MASTER'!#REF!)-1))),IF(SUMPRODUCT((('CASE MASTER'!$T$2:$T$495=4)*('CASE MASTER'!$AA$2:$AA$495&lt;=6)*('CASE MASTER'!$AC$2:$AC$495&gt;=6)*('CASE MASTER'!$AB$2:$AB$495&lt;=8)*('CASE MASTER'!$AD$2:$AD$495&gt;=8))*ROW('CASE MASTER'!$T$2:$T$495))&gt;0,INDEX('CASE MASTER'!$Y$2:$Y$495,(SUMPRODUCT((('CASE MASTER'!$T$2:$T$495=4)*('CASE MASTER'!$AA$2:$AA$495&lt;=6)*('CASE MASTER'!$AC$2:$AC$495&gt;=6)*('CASE MASTER'!$AB$2:$AB$495&lt;=8)*('CASE MASTER'!$AD$2:$AD$495&gt;=8))*ROW('CASE MASTER'!$T$2:$T$495))-(ROW('CASE MASTER'!#REF!)-1)))&amp;TRIM(MID(SUBSTITUTE(SUBSTITUTE(INDEX('CASE MASTER'!$N$2:$N$495,(SUMPRODUCT((('CASE MASTER'!$T$2:$T$495=4)*('CASE MASTER'!$AA$2:$AA$495&lt;=6)*('CASE MASTER'!$AC$2:$AC$495&gt;=6)*('CASE MASTER'!$AB$2:$AB$495&lt;=8)*('CASE MASTER'!$AD$2:$AD$495&gt;=8))*ROW('CASE MASTER'!$T$2:$T$495))-(ROW('CASE MASTER'!#REF!)-1))),":",","),",",REPT(" ",50)),(((INDEX('CASE MASTER'!$Z$2:$Z$495,(SUMPRODUCT((('CASE MASTER'!$T$2:$T$495=4)*('CASE MASTER'!$AA$2:$AA$495&lt;=6)*('CASE MASTER'!$AC$2:$AC$495&gt;=6)*('CASE MASTER'!$AB$2:$AB$495&lt;=8)*('CASE MASTER'!$AD$2:$AD$495&gt;=8))*ROW('CASE MASTER'!$T$2:$T$495))-(ROW('CASE MASTER'!#REF!)-1)))+((6-INDEX('CASE MASTER'!$AA$2:$AA$495,(SUMPRODUCT((('CASE MASTER'!$T$2:$T$495=4)*('CASE MASTER'!$AA$2:$AA$495&lt;=6)*('CASE MASTER'!$AC$2:$AC$495&gt;=6)*('CASE MASTER'!$AB$2:$AB$495&lt;=8)*('CASE MASTER'!$AD$2:$AD$495&gt;=8))*ROW('CASE MASTER'!$T$2:$T$495))-(ROW('CASE MASTER'!#REF!)-1))))*(INDEX('CASE MASTER'!$AD$2:$AD$495,(SUMPRODUCT((('CASE MASTER'!$T$2:$T$495=4)*('CASE MASTER'!$AA$2:$AA$495&lt;=6)*('CASE MASTER'!$AC$2:$AC$495&gt;=6)*('CASE MASTER'!$AB$2:$AB$495&lt;=8)*('CASE MASTER'!$AD$2:$AD$495&gt;=8))*ROW('CASE MASTER'!$T$2:$T$495))-(ROW('CASE MASTER'!#REF!)-1)))-INDEX('CASE MASTER'!$AB$2:$AB$495,(SUMPRODUCT((('CASE MASTER'!$T$2:$T$495=4)*('CASE MASTER'!$AA$2:$AA$495&lt;=6)*('CASE MASTER'!$AC$2:$AC$495&gt;=6)*('CASE MASTER'!$AB$2:$AB$495&lt;=8)*('CASE MASTER'!$AD$2:$AD$495&gt;=8))*ROW('CASE MASTER'!$T$2:$T$495))-(ROW('CASE MASTER'!#REF!)-1)))+1)+(8-INDEX('CASE MASTER'!$AB$2:$AB$495,(SUMPRODUCT((('CASE MASTER'!$T$2:$T$495=4)*('CASE MASTER'!$AA$2:$AA$495&lt;=6)*('CASE MASTER'!$AC$2:$AC$495&gt;=6)*('CASE MASTER'!$AB$2:$AB$495&lt;=8)*('CASE MASTER'!$AD$2:$AD$495&gt;=8))*ROW('CASE MASTER'!$T$2:$T$495))-(ROW('CASE MASTER'!#REF!)-1))))+1)))-1)*50+1,50))&amp;"_"&amp;INDEX('CASE MASTER'!$Q$2:$Q$495,(SUMPRODUCT((('CASE MASTER'!$T$2:$T$495=4)*('CASE MASTER'!$AA$2:$AA$495&lt;=6)*('CASE MASTER'!$AC$2:$AC$495&gt;=6)*('CASE MASTER'!$AB$2:$AB$495&lt;=8)*('CASE MASTER'!$AD$2:$AD$495&gt;=8))*ROW('CASE MASTER'!$T$2:$T$495))-(ROW('CASE MASTER'!#REF!)-1))),"")),"")</f>
        <v/>
      </c>
      <c r="J50" s="10" t="str">
        <f>IFERROR(IF(SUMPRODUCT((('CASE MASTER'!$T$2:$T$495=4)*('CASE MASTER'!$U$2:$U$495&lt;=6)*('CASE MASTER'!$W$2:$W$495&gt;=6)*('CASE MASTER'!$V$2:$V$495&lt;=9)*('CASE MASTER'!$X$2:$X$495&gt;=9))*ROW('CASE MASTER'!$T$2:$T$495))&gt;0,INDEX('CASE MASTER'!$Y$2:$Y$495,(SUMPRODUCT((('CASE MASTER'!$T$2:$T$495=4)*('CASE MASTER'!$U$2:$U$495&lt;=6)*('CASE MASTER'!$W$2:$W$495&gt;=6)*('CASE MASTER'!$V$2:$V$495&lt;=9)*('CASE MASTER'!$X$2:$X$495&gt;=9))*ROW('CASE MASTER'!$T$2:$T$495))-(ROW('CASE MASTER'!#REF!)-1)))&amp;TRIM(MID(SUBSTITUTE(SUBSTITUTE(INDEX('CASE MASTER'!$N$2:$N$495,(SUMPRODUCT((('CASE MASTER'!$T$2:$T$495=4)*('CASE MASTER'!$U$2:$U$495&lt;=6)*('CASE MASTER'!$W$2:$W$495&gt;=6)*('CASE MASTER'!$V$2:$V$495&lt;=9)*('CASE MASTER'!$X$2:$X$495&gt;=9))*ROW('CASE MASTER'!$T$2:$T$495))-(ROW('CASE MASTER'!#REF!)-1))),":",","),",",REPT(" ",50)),((((6-INDEX('CASE MASTER'!$U$2:$U$495,(SUMPRODUCT((('CASE MASTER'!$T$2:$T$495=4)*('CASE MASTER'!$U$2:$U$495&lt;=6)*('CASE MASTER'!$W$2:$W$495&gt;=6)*('CASE MASTER'!$V$2:$V$495&lt;=9)*('CASE MASTER'!$X$2:$X$495&gt;=9))*ROW('CASE MASTER'!$T$2:$T$495))-(ROW('CASE MASTER'!#REF!)-1))))*(INDEX('CASE MASTER'!$X$2:$X$495,(SUMPRODUCT((('CASE MASTER'!$T$2:$T$495=4)*('CASE MASTER'!$U$2:$U$495&lt;=6)*('CASE MASTER'!$W$2:$W$495&gt;=6)*('CASE MASTER'!$V$2:$V$495&lt;=9)*('CASE MASTER'!$X$2:$X$495&gt;=9))*ROW('CASE MASTER'!$T$2:$T$495))-(ROW('CASE MASTER'!#REF!)-1)))-INDEX('CASE MASTER'!$V$2:$V$495,(SUMPRODUCT((('CASE MASTER'!$T$2:$T$495=4)*('CASE MASTER'!$U$2:$U$495&lt;=6)*('CASE MASTER'!$W$2:$W$495&gt;=6)*('CASE MASTER'!$V$2:$V$495&lt;=9)*('CASE MASTER'!$X$2:$X$495&gt;=9))*ROW('CASE MASTER'!$T$2:$T$495))-(ROW('CASE MASTER'!#REF!)-1)))+1)+(9-INDEX('CASE MASTER'!$V$2:$V$495,(SUMPRODUCT((('CASE MASTER'!$T$2:$T$495=4)*('CASE MASTER'!$U$2:$U$495&lt;=6)*('CASE MASTER'!$W$2:$W$495&gt;=6)*('CASE MASTER'!$V$2:$V$495&lt;=9)*('CASE MASTER'!$X$2:$X$495&gt;=9))*ROW('CASE MASTER'!$T$2:$T$495))-(ROW('CASE MASTER'!#REF!)-1))))+1))-1)*50+1,50))&amp;"_"&amp;INDEX('CASE MASTER'!$Q$2:$Q$495,(SUMPRODUCT((('CASE MASTER'!$T$2:$T$495=4)*('CASE MASTER'!$U$2:$U$495&lt;=6)*('CASE MASTER'!$W$2:$W$495&gt;=6)*('CASE MASTER'!$V$2:$V$495&lt;=9)*('CASE MASTER'!$X$2:$X$495&gt;=9))*ROW('CASE MASTER'!$T$2:$T$495))-(ROW('CASE MASTER'!#REF!)-1))),IF(SUMPRODUCT((('CASE MASTER'!$T$2:$T$495=4)*('CASE MASTER'!$AA$2:$AA$495&lt;=6)*('CASE MASTER'!$AC$2:$AC$495&gt;=6)*('CASE MASTER'!$AB$2:$AB$495&lt;=9)*('CASE MASTER'!$AD$2:$AD$495&gt;=9))*ROW('CASE MASTER'!$T$2:$T$495))&gt;0,INDEX('CASE MASTER'!$Y$2:$Y$495,(SUMPRODUCT((('CASE MASTER'!$T$2:$T$495=4)*('CASE MASTER'!$AA$2:$AA$495&lt;=6)*('CASE MASTER'!$AC$2:$AC$495&gt;=6)*('CASE MASTER'!$AB$2:$AB$495&lt;=9)*('CASE MASTER'!$AD$2:$AD$495&gt;=9))*ROW('CASE MASTER'!$T$2:$T$495))-(ROW('CASE MASTER'!#REF!)-1)))&amp;TRIM(MID(SUBSTITUTE(SUBSTITUTE(INDEX('CASE MASTER'!$N$2:$N$495,(SUMPRODUCT((('CASE MASTER'!$T$2:$T$495=4)*('CASE MASTER'!$AA$2:$AA$495&lt;=6)*('CASE MASTER'!$AC$2:$AC$495&gt;=6)*('CASE MASTER'!$AB$2:$AB$495&lt;=9)*('CASE MASTER'!$AD$2:$AD$495&gt;=9))*ROW('CASE MASTER'!$T$2:$T$495))-(ROW('CASE MASTER'!#REF!)-1))),":",","),",",REPT(" ",50)),(((INDEX('CASE MASTER'!$Z$2:$Z$495,(SUMPRODUCT((('CASE MASTER'!$T$2:$T$495=4)*('CASE MASTER'!$AA$2:$AA$495&lt;=6)*('CASE MASTER'!$AC$2:$AC$495&gt;=6)*('CASE MASTER'!$AB$2:$AB$495&lt;=9)*('CASE MASTER'!$AD$2:$AD$495&gt;=9))*ROW('CASE MASTER'!$T$2:$T$495))-(ROW('CASE MASTER'!#REF!)-1)))+((6-INDEX('CASE MASTER'!$AA$2:$AA$495,(SUMPRODUCT((('CASE MASTER'!$T$2:$T$495=4)*('CASE MASTER'!$AA$2:$AA$495&lt;=6)*('CASE MASTER'!$AC$2:$AC$495&gt;=6)*('CASE MASTER'!$AB$2:$AB$495&lt;=9)*('CASE MASTER'!$AD$2:$AD$495&gt;=9))*ROW('CASE MASTER'!$T$2:$T$495))-(ROW('CASE MASTER'!#REF!)-1))))*(INDEX('CASE MASTER'!$AD$2:$AD$495,(SUMPRODUCT((('CASE MASTER'!$T$2:$T$495=4)*('CASE MASTER'!$AA$2:$AA$495&lt;=6)*('CASE MASTER'!$AC$2:$AC$495&gt;=6)*('CASE MASTER'!$AB$2:$AB$495&lt;=9)*('CASE MASTER'!$AD$2:$AD$495&gt;=9))*ROW('CASE MASTER'!$T$2:$T$495))-(ROW('CASE MASTER'!#REF!)-1)))-INDEX('CASE MASTER'!$AB$2:$AB$495,(SUMPRODUCT((('CASE MASTER'!$T$2:$T$495=4)*('CASE MASTER'!$AA$2:$AA$495&lt;=6)*('CASE MASTER'!$AC$2:$AC$495&gt;=6)*('CASE MASTER'!$AB$2:$AB$495&lt;=9)*('CASE MASTER'!$AD$2:$AD$495&gt;=9))*ROW('CASE MASTER'!$T$2:$T$495))-(ROW('CASE MASTER'!#REF!)-1)))+1)+(9-INDEX('CASE MASTER'!$AB$2:$AB$495,(SUMPRODUCT((('CASE MASTER'!$T$2:$T$495=4)*('CASE MASTER'!$AA$2:$AA$495&lt;=6)*('CASE MASTER'!$AC$2:$AC$495&gt;=6)*('CASE MASTER'!$AB$2:$AB$495&lt;=9)*('CASE MASTER'!$AD$2:$AD$495&gt;=9))*ROW('CASE MASTER'!$T$2:$T$495))-(ROW('CASE MASTER'!#REF!)-1))))+1)))-1)*50+1,50))&amp;"_"&amp;INDEX('CASE MASTER'!$Q$2:$Q$495,(SUMPRODUCT((('CASE MASTER'!$T$2:$T$495=4)*('CASE MASTER'!$AA$2:$AA$495&lt;=6)*('CASE MASTER'!$AC$2:$AC$495&gt;=6)*('CASE MASTER'!$AB$2:$AB$495&lt;=9)*('CASE MASTER'!$AD$2:$AD$495&gt;=9))*ROW('CASE MASTER'!$T$2:$T$495))-(ROW('CASE MASTER'!#REF!)-1))),"")),"")</f>
        <v/>
      </c>
      <c r="K50" s="10" t="str">
        <f>IFERROR(IF(SUMPRODUCT((('CASE MASTER'!$T$2:$T$495=4)*('CASE MASTER'!$U$2:$U$495&lt;=6)*('CASE MASTER'!$W$2:$W$495&gt;=6)*('CASE MASTER'!$V$2:$V$495&lt;=10)*('CASE MASTER'!$X$2:$X$495&gt;=10))*ROW('CASE MASTER'!$T$2:$T$495))&gt;0,INDEX('CASE MASTER'!$Y$2:$Y$495,(SUMPRODUCT((('CASE MASTER'!$T$2:$T$495=4)*('CASE MASTER'!$U$2:$U$495&lt;=6)*('CASE MASTER'!$W$2:$W$495&gt;=6)*('CASE MASTER'!$V$2:$V$495&lt;=10)*('CASE MASTER'!$X$2:$X$495&gt;=10))*ROW('CASE MASTER'!$T$2:$T$495))-(ROW('CASE MASTER'!#REF!)-1)))&amp;TRIM(MID(SUBSTITUTE(SUBSTITUTE(INDEX('CASE MASTER'!$N$2:$N$495,(SUMPRODUCT((('CASE MASTER'!$T$2:$T$495=4)*('CASE MASTER'!$U$2:$U$495&lt;=6)*('CASE MASTER'!$W$2:$W$495&gt;=6)*('CASE MASTER'!$V$2:$V$495&lt;=10)*('CASE MASTER'!$X$2:$X$495&gt;=10))*ROW('CASE MASTER'!$T$2:$T$495))-(ROW('CASE MASTER'!#REF!)-1))),":",","),",",REPT(" ",50)),((((6-INDEX('CASE MASTER'!$U$2:$U$495,(SUMPRODUCT((('CASE MASTER'!$T$2:$T$495=4)*('CASE MASTER'!$U$2:$U$495&lt;=6)*('CASE MASTER'!$W$2:$W$495&gt;=6)*('CASE MASTER'!$V$2:$V$495&lt;=10)*('CASE MASTER'!$X$2:$X$495&gt;=10))*ROW('CASE MASTER'!$T$2:$T$495))-(ROW('CASE MASTER'!#REF!)-1))))*(INDEX('CASE MASTER'!$X$2:$X$495,(SUMPRODUCT((('CASE MASTER'!$T$2:$T$495=4)*('CASE MASTER'!$U$2:$U$495&lt;=6)*('CASE MASTER'!$W$2:$W$495&gt;=6)*('CASE MASTER'!$V$2:$V$495&lt;=10)*('CASE MASTER'!$X$2:$X$495&gt;=10))*ROW('CASE MASTER'!$T$2:$T$495))-(ROW('CASE MASTER'!#REF!)-1)))-INDEX('CASE MASTER'!$V$2:$V$495,(SUMPRODUCT((('CASE MASTER'!$T$2:$T$495=4)*('CASE MASTER'!$U$2:$U$495&lt;=6)*('CASE MASTER'!$W$2:$W$495&gt;=6)*('CASE MASTER'!$V$2:$V$495&lt;=10)*('CASE MASTER'!$X$2:$X$495&gt;=10))*ROW('CASE MASTER'!$T$2:$T$495))-(ROW('CASE MASTER'!#REF!)-1)))+1)+(10-INDEX('CASE MASTER'!$V$2:$V$495,(SUMPRODUCT((('CASE MASTER'!$T$2:$T$495=4)*('CASE MASTER'!$U$2:$U$495&lt;=6)*('CASE MASTER'!$W$2:$W$495&gt;=6)*('CASE MASTER'!$V$2:$V$495&lt;=10)*('CASE MASTER'!$X$2:$X$495&gt;=10))*ROW('CASE MASTER'!$T$2:$T$495))-(ROW('CASE MASTER'!#REF!)-1))))+1))-1)*50+1,50))&amp;"_"&amp;INDEX('CASE MASTER'!$Q$2:$Q$495,(SUMPRODUCT((('CASE MASTER'!$T$2:$T$495=4)*('CASE MASTER'!$U$2:$U$495&lt;=6)*('CASE MASTER'!$W$2:$W$495&gt;=6)*('CASE MASTER'!$V$2:$V$495&lt;=10)*('CASE MASTER'!$X$2:$X$495&gt;=10))*ROW('CASE MASTER'!$T$2:$T$495))-(ROW('CASE MASTER'!#REF!)-1))),IF(SUMPRODUCT((('CASE MASTER'!$T$2:$T$495=4)*('CASE MASTER'!$AA$2:$AA$495&lt;=6)*('CASE MASTER'!$AC$2:$AC$495&gt;=6)*('CASE MASTER'!$AB$2:$AB$495&lt;=10)*('CASE MASTER'!$AD$2:$AD$495&gt;=10))*ROW('CASE MASTER'!$T$2:$T$495))&gt;0,INDEX('CASE MASTER'!$Y$2:$Y$495,(SUMPRODUCT((('CASE MASTER'!$T$2:$T$495=4)*('CASE MASTER'!$AA$2:$AA$495&lt;=6)*('CASE MASTER'!$AC$2:$AC$495&gt;=6)*('CASE MASTER'!$AB$2:$AB$495&lt;=10)*('CASE MASTER'!$AD$2:$AD$495&gt;=10))*ROW('CASE MASTER'!$T$2:$T$495))-(ROW('CASE MASTER'!#REF!)-1)))&amp;TRIM(MID(SUBSTITUTE(SUBSTITUTE(INDEX('CASE MASTER'!$N$2:$N$495,(SUMPRODUCT((('CASE MASTER'!$T$2:$T$495=4)*('CASE MASTER'!$AA$2:$AA$495&lt;=6)*('CASE MASTER'!$AC$2:$AC$495&gt;=6)*('CASE MASTER'!$AB$2:$AB$495&lt;=10)*('CASE MASTER'!$AD$2:$AD$495&gt;=10))*ROW('CASE MASTER'!$T$2:$T$495))-(ROW('CASE MASTER'!#REF!)-1))),":",","),",",REPT(" ",50)),(((INDEX('CASE MASTER'!$Z$2:$Z$495,(SUMPRODUCT((('CASE MASTER'!$T$2:$T$495=4)*('CASE MASTER'!$AA$2:$AA$495&lt;=6)*('CASE MASTER'!$AC$2:$AC$495&gt;=6)*('CASE MASTER'!$AB$2:$AB$495&lt;=10)*('CASE MASTER'!$AD$2:$AD$495&gt;=10))*ROW('CASE MASTER'!$T$2:$T$495))-(ROW('CASE MASTER'!#REF!)-1)))+((6-INDEX('CASE MASTER'!$AA$2:$AA$495,(SUMPRODUCT((('CASE MASTER'!$T$2:$T$495=4)*('CASE MASTER'!$AA$2:$AA$495&lt;=6)*('CASE MASTER'!$AC$2:$AC$495&gt;=6)*('CASE MASTER'!$AB$2:$AB$495&lt;=10)*('CASE MASTER'!$AD$2:$AD$495&gt;=10))*ROW('CASE MASTER'!$T$2:$T$495))-(ROW('CASE MASTER'!#REF!)-1))))*(INDEX('CASE MASTER'!$AD$2:$AD$495,(SUMPRODUCT((('CASE MASTER'!$T$2:$T$495=4)*('CASE MASTER'!$AA$2:$AA$495&lt;=6)*('CASE MASTER'!$AC$2:$AC$495&gt;=6)*('CASE MASTER'!$AB$2:$AB$495&lt;=10)*('CASE MASTER'!$AD$2:$AD$495&gt;=10))*ROW('CASE MASTER'!$T$2:$T$495))-(ROW('CASE MASTER'!#REF!)-1)))-INDEX('CASE MASTER'!$AB$2:$AB$495,(SUMPRODUCT((('CASE MASTER'!$T$2:$T$495=4)*('CASE MASTER'!$AA$2:$AA$495&lt;=6)*('CASE MASTER'!$AC$2:$AC$495&gt;=6)*('CASE MASTER'!$AB$2:$AB$495&lt;=10)*('CASE MASTER'!$AD$2:$AD$495&gt;=10))*ROW('CASE MASTER'!$T$2:$T$495))-(ROW('CASE MASTER'!#REF!)-1)))+1)+(10-INDEX('CASE MASTER'!$AB$2:$AB$495,(SUMPRODUCT((('CASE MASTER'!$T$2:$T$495=4)*('CASE MASTER'!$AA$2:$AA$495&lt;=6)*('CASE MASTER'!$AC$2:$AC$495&gt;=6)*('CASE MASTER'!$AB$2:$AB$495&lt;=10)*('CASE MASTER'!$AD$2:$AD$495&gt;=10))*ROW('CASE MASTER'!$T$2:$T$495))-(ROW('CASE MASTER'!#REF!)-1))))+1)))-1)*50+1,50))&amp;"_"&amp;INDEX('CASE MASTER'!$Q$2:$Q$495,(SUMPRODUCT((('CASE MASTER'!$T$2:$T$495=4)*('CASE MASTER'!$AA$2:$AA$495&lt;=6)*('CASE MASTER'!$AC$2:$AC$495&gt;=6)*('CASE MASTER'!$AB$2:$AB$495&lt;=10)*('CASE MASTER'!$AD$2:$AD$495&gt;=10))*ROW('CASE MASTER'!$T$2:$T$495))-(ROW('CASE MASTER'!#REF!)-1))),"")),"")</f>
        <v/>
      </c>
    </row>
    <row r="51" spans="1:11" ht="15" customHeight="1" x14ac:dyDescent="0.35">
      <c r="A51" s="8" t="s">
        <v>34</v>
      </c>
      <c r="B51" s="10" t="str">
        <f>IFERROR(IF(SUMPRODUCT((('CASE MASTER'!$T$2:$T$495=4)*('CASE MASTER'!$U$2:$U$495&lt;=7)*('CASE MASTER'!$W$2:$W$495&gt;=7)*('CASE MASTER'!$V$2:$V$495&lt;=1)*('CASE MASTER'!$X$2:$X$495&gt;=1))*ROW('CASE MASTER'!$T$2:$T$495))&gt;0,INDEX('CASE MASTER'!$Y$2:$Y$495,(SUMPRODUCT((('CASE MASTER'!$T$2:$T$495=4)*('CASE MASTER'!$U$2:$U$495&lt;=7)*('CASE MASTER'!$W$2:$W$495&gt;=7)*('CASE MASTER'!$V$2:$V$495&lt;=1)*('CASE MASTER'!$X$2:$X$495&gt;=1))*ROW('CASE MASTER'!$T$2:$T$495))-(ROW('CASE MASTER'!#REF!)-1)))&amp;TRIM(MID(SUBSTITUTE(SUBSTITUTE(INDEX('CASE MASTER'!$N$2:$N$495,(SUMPRODUCT((('CASE MASTER'!$T$2:$T$495=4)*('CASE MASTER'!$U$2:$U$495&lt;=7)*('CASE MASTER'!$W$2:$W$495&gt;=7)*('CASE MASTER'!$V$2:$V$495&lt;=1)*('CASE MASTER'!$X$2:$X$495&gt;=1))*ROW('CASE MASTER'!$T$2:$T$495))-(ROW('CASE MASTER'!#REF!)-1))),":",","),",",REPT(" ",50)),((((7-INDEX('CASE MASTER'!$U$2:$U$495,(SUMPRODUCT((('CASE MASTER'!$T$2:$T$495=4)*('CASE MASTER'!$U$2:$U$495&lt;=7)*('CASE MASTER'!$W$2:$W$495&gt;=7)*('CASE MASTER'!$V$2:$V$495&lt;=1)*('CASE MASTER'!$X$2:$X$495&gt;=1))*ROW('CASE MASTER'!$T$2:$T$495))-(ROW('CASE MASTER'!#REF!)-1))))*(INDEX('CASE MASTER'!$X$2:$X$495,(SUMPRODUCT((('CASE MASTER'!$T$2:$T$495=4)*('CASE MASTER'!$U$2:$U$495&lt;=7)*('CASE MASTER'!$W$2:$W$495&gt;=7)*('CASE MASTER'!$V$2:$V$495&lt;=1)*('CASE MASTER'!$X$2:$X$495&gt;=1))*ROW('CASE MASTER'!$T$2:$T$495))-(ROW('CASE MASTER'!#REF!)-1)))-INDEX('CASE MASTER'!$V$2:$V$495,(SUMPRODUCT((('CASE MASTER'!$T$2:$T$495=4)*('CASE MASTER'!$U$2:$U$495&lt;=7)*('CASE MASTER'!$W$2:$W$495&gt;=7)*('CASE MASTER'!$V$2:$V$495&lt;=1)*('CASE MASTER'!$X$2:$X$495&gt;=1))*ROW('CASE MASTER'!$T$2:$T$495))-(ROW('CASE MASTER'!#REF!)-1)))+1)+(1-INDEX('CASE MASTER'!$V$2:$V$495,(SUMPRODUCT((('CASE MASTER'!$T$2:$T$495=4)*('CASE MASTER'!$U$2:$U$495&lt;=7)*('CASE MASTER'!$W$2:$W$495&gt;=7)*('CASE MASTER'!$V$2:$V$495&lt;=1)*('CASE MASTER'!$X$2:$X$495&gt;=1))*ROW('CASE MASTER'!$T$2:$T$495))-(ROW('CASE MASTER'!#REF!)-1))))+1))-1)*50+1,50))&amp;"_"&amp;INDEX('CASE MASTER'!$Q$2:$Q$495,(SUMPRODUCT((('CASE MASTER'!$T$2:$T$495=4)*('CASE MASTER'!$U$2:$U$495&lt;=7)*('CASE MASTER'!$W$2:$W$495&gt;=7)*('CASE MASTER'!$V$2:$V$495&lt;=1)*('CASE MASTER'!$X$2:$X$495&gt;=1))*ROW('CASE MASTER'!$T$2:$T$495))-(ROW('CASE MASTER'!#REF!)-1))),IF(SUMPRODUCT((('CASE MASTER'!$T$2:$T$495=4)*('CASE MASTER'!$AA$2:$AA$495&lt;=7)*('CASE MASTER'!$AC$2:$AC$495&gt;=7)*('CASE MASTER'!$AB$2:$AB$495&lt;=1)*('CASE MASTER'!$AD$2:$AD$495&gt;=1))*ROW('CASE MASTER'!$T$2:$T$495))&gt;0,INDEX('CASE MASTER'!$Y$2:$Y$495,(SUMPRODUCT((('CASE MASTER'!$T$2:$T$495=4)*('CASE MASTER'!$AA$2:$AA$495&lt;=7)*('CASE MASTER'!$AC$2:$AC$495&gt;=7)*('CASE MASTER'!$AB$2:$AB$495&lt;=1)*('CASE MASTER'!$AD$2:$AD$495&gt;=1))*ROW('CASE MASTER'!$T$2:$T$495))-(ROW('CASE MASTER'!#REF!)-1)))&amp;TRIM(MID(SUBSTITUTE(SUBSTITUTE(INDEX('CASE MASTER'!$N$2:$N$495,(SUMPRODUCT((('CASE MASTER'!$T$2:$T$495=4)*('CASE MASTER'!$AA$2:$AA$495&lt;=7)*('CASE MASTER'!$AC$2:$AC$495&gt;=7)*('CASE MASTER'!$AB$2:$AB$495&lt;=1)*('CASE MASTER'!$AD$2:$AD$495&gt;=1))*ROW('CASE MASTER'!$T$2:$T$495))-(ROW('CASE MASTER'!#REF!)-1))),":",","),",",REPT(" ",50)),(((INDEX('CASE MASTER'!$Z$2:$Z$495,(SUMPRODUCT((('CASE MASTER'!$T$2:$T$495=4)*('CASE MASTER'!$AA$2:$AA$495&lt;=7)*('CASE MASTER'!$AC$2:$AC$495&gt;=7)*('CASE MASTER'!$AB$2:$AB$495&lt;=1)*('CASE MASTER'!$AD$2:$AD$495&gt;=1))*ROW('CASE MASTER'!$T$2:$T$495))-(ROW('CASE MASTER'!#REF!)-1)))+((7-INDEX('CASE MASTER'!$AA$2:$AA$495,(SUMPRODUCT((('CASE MASTER'!$T$2:$T$495=4)*('CASE MASTER'!$AA$2:$AA$495&lt;=7)*('CASE MASTER'!$AC$2:$AC$495&gt;=7)*('CASE MASTER'!$AB$2:$AB$495&lt;=1)*('CASE MASTER'!$AD$2:$AD$495&gt;=1))*ROW('CASE MASTER'!$T$2:$T$495))-(ROW('CASE MASTER'!#REF!)-1))))*(INDEX('CASE MASTER'!$AD$2:$AD$495,(SUMPRODUCT((('CASE MASTER'!$T$2:$T$495=4)*('CASE MASTER'!$AA$2:$AA$495&lt;=7)*('CASE MASTER'!$AC$2:$AC$495&gt;=7)*('CASE MASTER'!$AB$2:$AB$495&lt;=1)*('CASE MASTER'!$AD$2:$AD$495&gt;=1))*ROW('CASE MASTER'!$T$2:$T$495))-(ROW('CASE MASTER'!#REF!)-1)))-INDEX('CASE MASTER'!$AB$2:$AB$495,(SUMPRODUCT((('CASE MASTER'!$T$2:$T$495=4)*('CASE MASTER'!$AA$2:$AA$495&lt;=7)*('CASE MASTER'!$AC$2:$AC$495&gt;=7)*('CASE MASTER'!$AB$2:$AB$495&lt;=1)*('CASE MASTER'!$AD$2:$AD$495&gt;=1))*ROW('CASE MASTER'!$T$2:$T$495))-(ROW('CASE MASTER'!#REF!)-1)))+1)+(1-INDEX('CASE MASTER'!$AB$2:$AB$495,(SUMPRODUCT((('CASE MASTER'!$T$2:$T$495=4)*('CASE MASTER'!$AA$2:$AA$495&lt;=7)*('CASE MASTER'!$AC$2:$AC$495&gt;=7)*('CASE MASTER'!$AB$2:$AB$495&lt;=1)*('CASE MASTER'!$AD$2:$AD$495&gt;=1))*ROW('CASE MASTER'!$T$2:$T$495))-(ROW('CASE MASTER'!#REF!)-1))))+1)))-1)*50+1,50))&amp;"_"&amp;INDEX('CASE MASTER'!$Q$2:$Q$495,(SUMPRODUCT((('CASE MASTER'!$T$2:$T$495=4)*('CASE MASTER'!$AA$2:$AA$495&lt;=7)*('CASE MASTER'!$AC$2:$AC$495&gt;=7)*('CASE MASTER'!$AB$2:$AB$495&lt;=1)*('CASE MASTER'!$AD$2:$AD$495&gt;=1))*ROW('CASE MASTER'!$T$2:$T$495))-(ROW('CASE MASTER'!#REF!)-1))),"")),"")</f>
        <v/>
      </c>
      <c r="C51" s="10" t="str">
        <f>IFERROR(IF(SUMPRODUCT((('CASE MASTER'!$T$2:$T$495=4)*('CASE MASTER'!$U$2:$U$495&lt;=7)*('CASE MASTER'!$W$2:$W$495&gt;=7)*('CASE MASTER'!$V$2:$V$495&lt;=2)*('CASE MASTER'!$X$2:$X$495&gt;=2))*ROW('CASE MASTER'!$T$2:$T$495))&gt;0,INDEX('CASE MASTER'!$Y$2:$Y$495,(SUMPRODUCT((('CASE MASTER'!$T$2:$T$495=4)*('CASE MASTER'!$U$2:$U$495&lt;=7)*('CASE MASTER'!$W$2:$W$495&gt;=7)*('CASE MASTER'!$V$2:$V$495&lt;=2)*('CASE MASTER'!$X$2:$X$495&gt;=2))*ROW('CASE MASTER'!$T$2:$T$495))-(ROW('CASE MASTER'!#REF!)-1)))&amp;TRIM(MID(SUBSTITUTE(SUBSTITUTE(INDEX('CASE MASTER'!$N$2:$N$495,(SUMPRODUCT((('CASE MASTER'!$T$2:$T$495=4)*('CASE MASTER'!$U$2:$U$495&lt;=7)*('CASE MASTER'!$W$2:$W$495&gt;=7)*('CASE MASTER'!$V$2:$V$495&lt;=2)*('CASE MASTER'!$X$2:$X$495&gt;=2))*ROW('CASE MASTER'!$T$2:$T$495))-(ROW('CASE MASTER'!#REF!)-1))),":",","),",",REPT(" ",50)),((((7-INDEX('CASE MASTER'!$U$2:$U$495,(SUMPRODUCT((('CASE MASTER'!$T$2:$T$495=4)*('CASE MASTER'!$U$2:$U$495&lt;=7)*('CASE MASTER'!$W$2:$W$495&gt;=7)*('CASE MASTER'!$V$2:$V$495&lt;=2)*('CASE MASTER'!$X$2:$X$495&gt;=2))*ROW('CASE MASTER'!$T$2:$T$495))-(ROW('CASE MASTER'!#REF!)-1))))*(INDEX('CASE MASTER'!$X$2:$X$495,(SUMPRODUCT((('CASE MASTER'!$T$2:$T$495=4)*('CASE MASTER'!$U$2:$U$495&lt;=7)*('CASE MASTER'!$W$2:$W$495&gt;=7)*('CASE MASTER'!$V$2:$V$495&lt;=2)*('CASE MASTER'!$X$2:$X$495&gt;=2))*ROW('CASE MASTER'!$T$2:$T$495))-(ROW('CASE MASTER'!#REF!)-1)))-INDEX('CASE MASTER'!$V$2:$V$495,(SUMPRODUCT((('CASE MASTER'!$T$2:$T$495=4)*('CASE MASTER'!$U$2:$U$495&lt;=7)*('CASE MASTER'!$W$2:$W$495&gt;=7)*('CASE MASTER'!$V$2:$V$495&lt;=2)*('CASE MASTER'!$X$2:$X$495&gt;=2))*ROW('CASE MASTER'!$T$2:$T$495))-(ROW('CASE MASTER'!#REF!)-1)))+1)+(2-INDEX('CASE MASTER'!$V$2:$V$495,(SUMPRODUCT((('CASE MASTER'!$T$2:$T$495=4)*('CASE MASTER'!$U$2:$U$495&lt;=7)*('CASE MASTER'!$W$2:$W$495&gt;=7)*('CASE MASTER'!$V$2:$V$495&lt;=2)*('CASE MASTER'!$X$2:$X$495&gt;=2))*ROW('CASE MASTER'!$T$2:$T$495))-(ROW('CASE MASTER'!#REF!)-1))))+1))-1)*50+1,50))&amp;"_"&amp;INDEX('CASE MASTER'!$Q$2:$Q$495,(SUMPRODUCT((('CASE MASTER'!$T$2:$T$495=4)*('CASE MASTER'!$U$2:$U$495&lt;=7)*('CASE MASTER'!$W$2:$W$495&gt;=7)*('CASE MASTER'!$V$2:$V$495&lt;=2)*('CASE MASTER'!$X$2:$X$495&gt;=2))*ROW('CASE MASTER'!$T$2:$T$495))-(ROW('CASE MASTER'!#REF!)-1))),IF(SUMPRODUCT((('CASE MASTER'!$T$2:$T$495=4)*('CASE MASTER'!$AA$2:$AA$495&lt;=7)*('CASE MASTER'!$AC$2:$AC$495&gt;=7)*('CASE MASTER'!$AB$2:$AB$495&lt;=2)*('CASE MASTER'!$AD$2:$AD$495&gt;=2))*ROW('CASE MASTER'!$T$2:$T$495))&gt;0,INDEX('CASE MASTER'!$Y$2:$Y$495,(SUMPRODUCT((('CASE MASTER'!$T$2:$T$495=4)*('CASE MASTER'!$AA$2:$AA$495&lt;=7)*('CASE MASTER'!$AC$2:$AC$495&gt;=7)*('CASE MASTER'!$AB$2:$AB$495&lt;=2)*('CASE MASTER'!$AD$2:$AD$495&gt;=2))*ROW('CASE MASTER'!$T$2:$T$495))-(ROW('CASE MASTER'!#REF!)-1)))&amp;TRIM(MID(SUBSTITUTE(SUBSTITUTE(INDEX('CASE MASTER'!$N$2:$N$495,(SUMPRODUCT((('CASE MASTER'!$T$2:$T$495=4)*('CASE MASTER'!$AA$2:$AA$495&lt;=7)*('CASE MASTER'!$AC$2:$AC$495&gt;=7)*('CASE MASTER'!$AB$2:$AB$495&lt;=2)*('CASE MASTER'!$AD$2:$AD$495&gt;=2))*ROW('CASE MASTER'!$T$2:$T$495))-(ROW('CASE MASTER'!#REF!)-1))),":",","),",",REPT(" ",50)),(((INDEX('CASE MASTER'!$Z$2:$Z$495,(SUMPRODUCT((('CASE MASTER'!$T$2:$T$495=4)*('CASE MASTER'!$AA$2:$AA$495&lt;=7)*('CASE MASTER'!$AC$2:$AC$495&gt;=7)*('CASE MASTER'!$AB$2:$AB$495&lt;=2)*('CASE MASTER'!$AD$2:$AD$495&gt;=2))*ROW('CASE MASTER'!$T$2:$T$495))-(ROW('CASE MASTER'!#REF!)-1)))+((7-INDEX('CASE MASTER'!$AA$2:$AA$495,(SUMPRODUCT((('CASE MASTER'!$T$2:$T$495=4)*('CASE MASTER'!$AA$2:$AA$495&lt;=7)*('CASE MASTER'!$AC$2:$AC$495&gt;=7)*('CASE MASTER'!$AB$2:$AB$495&lt;=2)*('CASE MASTER'!$AD$2:$AD$495&gt;=2))*ROW('CASE MASTER'!$T$2:$T$495))-(ROW('CASE MASTER'!#REF!)-1))))*(INDEX('CASE MASTER'!$AD$2:$AD$495,(SUMPRODUCT((('CASE MASTER'!$T$2:$T$495=4)*('CASE MASTER'!$AA$2:$AA$495&lt;=7)*('CASE MASTER'!$AC$2:$AC$495&gt;=7)*('CASE MASTER'!$AB$2:$AB$495&lt;=2)*('CASE MASTER'!$AD$2:$AD$495&gt;=2))*ROW('CASE MASTER'!$T$2:$T$495))-(ROW('CASE MASTER'!#REF!)-1)))-INDEX('CASE MASTER'!$AB$2:$AB$495,(SUMPRODUCT((('CASE MASTER'!$T$2:$T$495=4)*('CASE MASTER'!$AA$2:$AA$495&lt;=7)*('CASE MASTER'!$AC$2:$AC$495&gt;=7)*('CASE MASTER'!$AB$2:$AB$495&lt;=2)*('CASE MASTER'!$AD$2:$AD$495&gt;=2))*ROW('CASE MASTER'!$T$2:$T$495))-(ROW('CASE MASTER'!#REF!)-1)))+1)+(2-INDEX('CASE MASTER'!$AB$2:$AB$495,(SUMPRODUCT((('CASE MASTER'!$T$2:$T$495=4)*('CASE MASTER'!$AA$2:$AA$495&lt;=7)*('CASE MASTER'!$AC$2:$AC$495&gt;=7)*('CASE MASTER'!$AB$2:$AB$495&lt;=2)*('CASE MASTER'!$AD$2:$AD$495&gt;=2))*ROW('CASE MASTER'!$T$2:$T$495))-(ROW('CASE MASTER'!#REF!)-1))))+1)))-1)*50+1,50))&amp;"_"&amp;INDEX('CASE MASTER'!$Q$2:$Q$495,(SUMPRODUCT((('CASE MASTER'!$T$2:$T$495=4)*('CASE MASTER'!$AA$2:$AA$495&lt;=7)*('CASE MASTER'!$AC$2:$AC$495&gt;=7)*('CASE MASTER'!$AB$2:$AB$495&lt;=2)*('CASE MASTER'!$AD$2:$AD$495&gt;=2))*ROW('CASE MASTER'!$T$2:$T$495))-(ROW('CASE MASTER'!#REF!)-1))),"")),"")</f>
        <v/>
      </c>
      <c r="D51" s="10" t="str">
        <f>IFERROR(IF(SUMPRODUCT((('CASE MASTER'!$T$2:$T$495=4)*('CASE MASTER'!$U$2:$U$495&lt;=7)*('CASE MASTER'!$W$2:$W$495&gt;=7)*('CASE MASTER'!$V$2:$V$495&lt;=3)*('CASE MASTER'!$X$2:$X$495&gt;=3))*ROW('CASE MASTER'!$T$2:$T$495))&gt;0,INDEX('CASE MASTER'!$Y$2:$Y$495,(SUMPRODUCT((('CASE MASTER'!$T$2:$T$495=4)*('CASE MASTER'!$U$2:$U$495&lt;=7)*('CASE MASTER'!$W$2:$W$495&gt;=7)*('CASE MASTER'!$V$2:$V$495&lt;=3)*('CASE MASTER'!$X$2:$X$495&gt;=3))*ROW('CASE MASTER'!$T$2:$T$495))-(ROW('CASE MASTER'!#REF!)-1)))&amp;TRIM(MID(SUBSTITUTE(SUBSTITUTE(INDEX('CASE MASTER'!$N$2:$N$495,(SUMPRODUCT((('CASE MASTER'!$T$2:$T$495=4)*('CASE MASTER'!$U$2:$U$495&lt;=7)*('CASE MASTER'!$W$2:$W$495&gt;=7)*('CASE MASTER'!$V$2:$V$495&lt;=3)*('CASE MASTER'!$X$2:$X$495&gt;=3))*ROW('CASE MASTER'!$T$2:$T$495))-(ROW('CASE MASTER'!#REF!)-1))),":",","),",",REPT(" ",50)),((((7-INDEX('CASE MASTER'!$U$2:$U$495,(SUMPRODUCT((('CASE MASTER'!$T$2:$T$495=4)*('CASE MASTER'!$U$2:$U$495&lt;=7)*('CASE MASTER'!$W$2:$W$495&gt;=7)*('CASE MASTER'!$V$2:$V$495&lt;=3)*('CASE MASTER'!$X$2:$X$495&gt;=3))*ROW('CASE MASTER'!$T$2:$T$495))-(ROW('CASE MASTER'!#REF!)-1))))*(INDEX('CASE MASTER'!$X$2:$X$495,(SUMPRODUCT((('CASE MASTER'!$T$2:$T$495=4)*('CASE MASTER'!$U$2:$U$495&lt;=7)*('CASE MASTER'!$W$2:$W$495&gt;=7)*('CASE MASTER'!$V$2:$V$495&lt;=3)*('CASE MASTER'!$X$2:$X$495&gt;=3))*ROW('CASE MASTER'!$T$2:$T$495))-(ROW('CASE MASTER'!#REF!)-1)))-INDEX('CASE MASTER'!$V$2:$V$495,(SUMPRODUCT((('CASE MASTER'!$T$2:$T$495=4)*('CASE MASTER'!$U$2:$U$495&lt;=7)*('CASE MASTER'!$W$2:$W$495&gt;=7)*('CASE MASTER'!$V$2:$V$495&lt;=3)*('CASE MASTER'!$X$2:$X$495&gt;=3))*ROW('CASE MASTER'!$T$2:$T$495))-(ROW('CASE MASTER'!#REF!)-1)))+1)+(3-INDEX('CASE MASTER'!$V$2:$V$495,(SUMPRODUCT((('CASE MASTER'!$T$2:$T$495=4)*('CASE MASTER'!$U$2:$U$495&lt;=7)*('CASE MASTER'!$W$2:$W$495&gt;=7)*('CASE MASTER'!$V$2:$V$495&lt;=3)*('CASE MASTER'!$X$2:$X$495&gt;=3))*ROW('CASE MASTER'!$T$2:$T$495))-(ROW('CASE MASTER'!#REF!)-1))))+1))-1)*50+1,50))&amp;"_"&amp;INDEX('CASE MASTER'!$Q$2:$Q$495,(SUMPRODUCT((('CASE MASTER'!$T$2:$T$495=4)*('CASE MASTER'!$U$2:$U$495&lt;=7)*('CASE MASTER'!$W$2:$W$495&gt;=7)*('CASE MASTER'!$V$2:$V$495&lt;=3)*('CASE MASTER'!$X$2:$X$495&gt;=3))*ROW('CASE MASTER'!$T$2:$T$495))-(ROW('CASE MASTER'!#REF!)-1))),IF(SUMPRODUCT((('CASE MASTER'!$T$2:$T$495=4)*('CASE MASTER'!$AA$2:$AA$495&lt;=7)*('CASE MASTER'!$AC$2:$AC$495&gt;=7)*('CASE MASTER'!$AB$2:$AB$495&lt;=3)*('CASE MASTER'!$AD$2:$AD$495&gt;=3))*ROW('CASE MASTER'!$T$2:$T$495))&gt;0,INDEX('CASE MASTER'!$Y$2:$Y$495,(SUMPRODUCT((('CASE MASTER'!$T$2:$T$495=4)*('CASE MASTER'!$AA$2:$AA$495&lt;=7)*('CASE MASTER'!$AC$2:$AC$495&gt;=7)*('CASE MASTER'!$AB$2:$AB$495&lt;=3)*('CASE MASTER'!$AD$2:$AD$495&gt;=3))*ROW('CASE MASTER'!$T$2:$T$495))-(ROW('CASE MASTER'!#REF!)-1)))&amp;TRIM(MID(SUBSTITUTE(SUBSTITUTE(INDEX('CASE MASTER'!$N$2:$N$495,(SUMPRODUCT((('CASE MASTER'!$T$2:$T$495=4)*('CASE MASTER'!$AA$2:$AA$495&lt;=7)*('CASE MASTER'!$AC$2:$AC$495&gt;=7)*('CASE MASTER'!$AB$2:$AB$495&lt;=3)*('CASE MASTER'!$AD$2:$AD$495&gt;=3))*ROW('CASE MASTER'!$T$2:$T$495))-(ROW('CASE MASTER'!#REF!)-1))),":",","),",",REPT(" ",50)),(((INDEX('CASE MASTER'!$Z$2:$Z$495,(SUMPRODUCT((('CASE MASTER'!$T$2:$T$495=4)*('CASE MASTER'!$AA$2:$AA$495&lt;=7)*('CASE MASTER'!$AC$2:$AC$495&gt;=7)*('CASE MASTER'!$AB$2:$AB$495&lt;=3)*('CASE MASTER'!$AD$2:$AD$495&gt;=3))*ROW('CASE MASTER'!$T$2:$T$495))-(ROW('CASE MASTER'!#REF!)-1)))+((7-INDEX('CASE MASTER'!$AA$2:$AA$495,(SUMPRODUCT((('CASE MASTER'!$T$2:$T$495=4)*('CASE MASTER'!$AA$2:$AA$495&lt;=7)*('CASE MASTER'!$AC$2:$AC$495&gt;=7)*('CASE MASTER'!$AB$2:$AB$495&lt;=3)*('CASE MASTER'!$AD$2:$AD$495&gt;=3))*ROW('CASE MASTER'!$T$2:$T$495))-(ROW('CASE MASTER'!#REF!)-1))))*(INDEX('CASE MASTER'!$AD$2:$AD$495,(SUMPRODUCT((('CASE MASTER'!$T$2:$T$495=4)*('CASE MASTER'!$AA$2:$AA$495&lt;=7)*('CASE MASTER'!$AC$2:$AC$495&gt;=7)*('CASE MASTER'!$AB$2:$AB$495&lt;=3)*('CASE MASTER'!$AD$2:$AD$495&gt;=3))*ROW('CASE MASTER'!$T$2:$T$495))-(ROW('CASE MASTER'!#REF!)-1)))-INDEX('CASE MASTER'!$AB$2:$AB$495,(SUMPRODUCT((('CASE MASTER'!$T$2:$T$495=4)*('CASE MASTER'!$AA$2:$AA$495&lt;=7)*('CASE MASTER'!$AC$2:$AC$495&gt;=7)*('CASE MASTER'!$AB$2:$AB$495&lt;=3)*('CASE MASTER'!$AD$2:$AD$495&gt;=3))*ROW('CASE MASTER'!$T$2:$T$495))-(ROW('CASE MASTER'!#REF!)-1)))+1)+(3-INDEX('CASE MASTER'!$AB$2:$AB$495,(SUMPRODUCT((('CASE MASTER'!$T$2:$T$495=4)*('CASE MASTER'!$AA$2:$AA$495&lt;=7)*('CASE MASTER'!$AC$2:$AC$495&gt;=7)*('CASE MASTER'!$AB$2:$AB$495&lt;=3)*('CASE MASTER'!$AD$2:$AD$495&gt;=3))*ROW('CASE MASTER'!$T$2:$T$495))-(ROW('CASE MASTER'!#REF!)-1))))+1)))-1)*50+1,50))&amp;"_"&amp;INDEX('CASE MASTER'!$Q$2:$Q$495,(SUMPRODUCT((('CASE MASTER'!$T$2:$T$495=4)*('CASE MASTER'!$AA$2:$AA$495&lt;=7)*('CASE MASTER'!$AC$2:$AC$495&gt;=7)*('CASE MASTER'!$AB$2:$AB$495&lt;=3)*('CASE MASTER'!$AD$2:$AD$495&gt;=3))*ROW('CASE MASTER'!$T$2:$T$495))-(ROW('CASE MASTER'!#REF!)-1))),"")),"")</f>
        <v/>
      </c>
      <c r="E51" s="10" t="str">
        <f>IFERROR(IF(SUMPRODUCT((('CASE MASTER'!$T$2:$T$495=4)*('CASE MASTER'!$U$2:$U$495&lt;=7)*('CASE MASTER'!$W$2:$W$495&gt;=7)*('CASE MASTER'!$V$2:$V$495&lt;=4)*('CASE MASTER'!$X$2:$X$495&gt;=4))*ROW('CASE MASTER'!$T$2:$T$495))&gt;0,INDEX('CASE MASTER'!$Y$2:$Y$495,(SUMPRODUCT((('CASE MASTER'!$T$2:$T$495=4)*('CASE MASTER'!$U$2:$U$495&lt;=7)*('CASE MASTER'!$W$2:$W$495&gt;=7)*('CASE MASTER'!$V$2:$V$495&lt;=4)*('CASE MASTER'!$X$2:$X$495&gt;=4))*ROW('CASE MASTER'!$T$2:$T$495))-(ROW('CASE MASTER'!#REF!)-1)))&amp;TRIM(MID(SUBSTITUTE(SUBSTITUTE(INDEX('CASE MASTER'!$N$2:$N$495,(SUMPRODUCT((('CASE MASTER'!$T$2:$T$495=4)*('CASE MASTER'!$U$2:$U$495&lt;=7)*('CASE MASTER'!$W$2:$W$495&gt;=7)*('CASE MASTER'!$V$2:$V$495&lt;=4)*('CASE MASTER'!$X$2:$X$495&gt;=4))*ROW('CASE MASTER'!$T$2:$T$495))-(ROW('CASE MASTER'!#REF!)-1))),":",","),",",REPT(" ",50)),((((7-INDEX('CASE MASTER'!$U$2:$U$495,(SUMPRODUCT((('CASE MASTER'!$T$2:$T$495=4)*('CASE MASTER'!$U$2:$U$495&lt;=7)*('CASE MASTER'!$W$2:$W$495&gt;=7)*('CASE MASTER'!$V$2:$V$495&lt;=4)*('CASE MASTER'!$X$2:$X$495&gt;=4))*ROW('CASE MASTER'!$T$2:$T$495))-(ROW('CASE MASTER'!#REF!)-1))))*(INDEX('CASE MASTER'!$X$2:$X$495,(SUMPRODUCT((('CASE MASTER'!$T$2:$T$495=4)*('CASE MASTER'!$U$2:$U$495&lt;=7)*('CASE MASTER'!$W$2:$W$495&gt;=7)*('CASE MASTER'!$V$2:$V$495&lt;=4)*('CASE MASTER'!$X$2:$X$495&gt;=4))*ROW('CASE MASTER'!$T$2:$T$495))-(ROW('CASE MASTER'!#REF!)-1)))-INDEX('CASE MASTER'!$V$2:$V$495,(SUMPRODUCT((('CASE MASTER'!$T$2:$T$495=4)*('CASE MASTER'!$U$2:$U$495&lt;=7)*('CASE MASTER'!$W$2:$W$495&gt;=7)*('CASE MASTER'!$V$2:$V$495&lt;=4)*('CASE MASTER'!$X$2:$X$495&gt;=4))*ROW('CASE MASTER'!$T$2:$T$495))-(ROW('CASE MASTER'!#REF!)-1)))+1)+(4-INDEX('CASE MASTER'!$V$2:$V$495,(SUMPRODUCT((('CASE MASTER'!$T$2:$T$495=4)*('CASE MASTER'!$U$2:$U$495&lt;=7)*('CASE MASTER'!$W$2:$W$495&gt;=7)*('CASE MASTER'!$V$2:$V$495&lt;=4)*('CASE MASTER'!$X$2:$X$495&gt;=4))*ROW('CASE MASTER'!$T$2:$T$495))-(ROW('CASE MASTER'!#REF!)-1))))+1))-1)*50+1,50))&amp;"_"&amp;INDEX('CASE MASTER'!$Q$2:$Q$495,(SUMPRODUCT((('CASE MASTER'!$T$2:$T$495=4)*('CASE MASTER'!$U$2:$U$495&lt;=7)*('CASE MASTER'!$W$2:$W$495&gt;=7)*('CASE MASTER'!$V$2:$V$495&lt;=4)*('CASE MASTER'!$X$2:$X$495&gt;=4))*ROW('CASE MASTER'!$T$2:$T$495))-(ROW('CASE MASTER'!#REF!)-1))),IF(SUMPRODUCT((('CASE MASTER'!$T$2:$T$495=4)*('CASE MASTER'!$AA$2:$AA$495&lt;=7)*('CASE MASTER'!$AC$2:$AC$495&gt;=7)*('CASE MASTER'!$AB$2:$AB$495&lt;=4)*('CASE MASTER'!$AD$2:$AD$495&gt;=4))*ROW('CASE MASTER'!$T$2:$T$495))&gt;0,INDEX('CASE MASTER'!$Y$2:$Y$495,(SUMPRODUCT((('CASE MASTER'!$T$2:$T$495=4)*('CASE MASTER'!$AA$2:$AA$495&lt;=7)*('CASE MASTER'!$AC$2:$AC$495&gt;=7)*('CASE MASTER'!$AB$2:$AB$495&lt;=4)*('CASE MASTER'!$AD$2:$AD$495&gt;=4))*ROW('CASE MASTER'!$T$2:$T$495))-(ROW('CASE MASTER'!#REF!)-1)))&amp;TRIM(MID(SUBSTITUTE(SUBSTITUTE(INDEX('CASE MASTER'!$N$2:$N$495,(SUMPRODUCT((('CASE MASTER'!$T$2:$T$495=4)*('CASE MASTER'!$AA$2:$AA$495&lt;=7)*('CASE MASTER'!$AC$2:$AC$495&gt;=7)*('CASE MASTER'!$AB$2:$AB$495&lt;=4)*('CASE MASTER'!$AD$2:$AD$495&gt;=4))*ROW('CASE MASTER'!$T$2:$T$495))-(ROW('CASE MASTER'!#REF!)-1))),":",","),",",REPT(" ",50)),(((INDEX('CASE MASTER'!$Z$2:$Z$495,(SUMPRODUCT((('CASE MASTER'!$T$2:$T$495=4)*('CASE MASTER'!$AA$2:$AA$495&lt;=7)*('CASE MASTER'!$AC$2:$AC$495&gt;=7)*('CASE MASTER'!$AB$2:$AB$495&lt;=4)*('CASE MASTER'!$AD$2:$AD$495&gt;=4))*ROW('CASE MASTER'!$T$2:$T$495))-(ROW('CASE MASTER'!#REF!)-1)))+((7-INDEX('CASE MASTER'!$AA$2:$AA$495,(SUMPRODUCT((('CASE MASTER'!$T$2:$T$495=4)*('CASE MASTER'!$AA$2:$AA$495&lt;=7)*('CASE MASTER'!$AC$2:$AC$495&gt;=7)*('CASE MASTER'!$AB$2:$AB$495&lt;=4)*('CASE MASTER'!$AD$2:$AD$495&gt;=4))*ROW('CASE MASTER'!$T$2:$T$495))-(ROW('CASE MASTER'!#REF!)-1))))*(INDEX('CASE MASTER'!$AD$2:$AD$495,(SUMPRODUCT((('CASE MASTER'!$T$2:$T$495=4)*('CASE MASTER'!$AA$2:$AA$495&lt;=7)*('CASE MASTER'!$AC$2:$AC$495&gt;=7)*('CASE MASTER'!$AB$2:$AB$495&lt;=4)*('CASE MASTER'!$AD$2:$AD$495&gt;=4))*ROW('CASE MASTER'!$T$2:$T$495))-(ROW('CASE MASTER'!#REF!)-1)))-INDEX('CASE MASTER'!$AB$2:$AB$495,(SUMPRODUCT((('CASE MASTER'!$T$2:$T$495=4)*('CASE MASTER'!$AA$2:$AA$495&lt;=7)*('CASE MASTER'!$AC$2:$AC$495&gt;=7)*('CASE MASTER'!$AB$2:$AB$495&lt;=4)*('CASE MASTER'!$AD$2:$AD$495&gt;=4))*ROW('CASE MASTER'!$T$2:$T$495))-(ROW('CASE MASTER'!#REF!)-1)))+1)+(4-INDEX('CASE MASTER'!$AB$2:$AB$495,(SUMPRODUCT((('CASE MASTER'!$T$2:$T$495=4)*('CASE MASTER'!$AA$2:$AA$495&lt;=7)*('CASE MASTER'!$AC$2:$AC$495&gt;=7)*('CASE MASTER'!$AB$2:$AB$495&lt;=4)*('CASE MASTER'!$AD$2:$AD$495&gt;=4))*ROW('CASE MASTER'!$T$2:$T$495))-(ROW('CASE MASTER'!#REF!)-1))))+1)))-1)*50+1,50))&amp;"_"&amp;INDEX('CASE MASTER'!$Q$2:$Q$495,(SUMPRODUCT((('CASE MASTER'!$T$2:$T$495=4)*('CASE MASTER'!$AA$2:$AA$495&lt;=7)*('CASE MASTER'!$AC$2:$AC$495&gt;=7)*('CASE MASTER'!$AB$2:$AB$495&lt;=4)*('CASE MASTER'!$AD$2:$AD$495&gt;=4))*ROW('CASE MASTER'!$T$2:$T$495))-(ROW('CASE MASTER'!#REF!)-1))),"")),"")</f>
        <v/>
      </c>
      <c r="F51" s="10" t="str">
        <f>IFERROR(IF(SUMPRODUCT((('CASE MASTER'!$T$2:$T$495=4)*('CASE MASTER'!$U$2:$U$495&lt;=7)*('CASE MASTER'!$W$2:$W$495&gt;=7)*('CASE MASTER'!$V$2:$V$495&lt;=5)*('CASE MASTER'!$X$2:$X$495&gt;=5))*ROW('CASE MASTER'!$T$2:$T$495))&gt;0,INDEX('CASE MASTER'!$Y$2:$Y$495,(SUMPRODUCT((('CASE MASTER'!$T$2:$T$495=4)*('CASE MASTER'!$U$2:$U$495&lt;=7)*('CASE MASTER'!$W$2:$W$495&gt;=7)*('CASE MASTER'!$V$2:$V$495&lt;=5)*('CASE MASTER'!$X$2:$X$495&gt;=5))*ROW('CASE MASTER'!$T$2:$T$495))-(ROW('CASE MASTER'!#REF!)-1)))&amp;TRIM(MID(SUBSTITUTE(SUBSTITUTE(INDEX('CASE MASTER'!$N$2:$N$495,(SUMPRODUCT((('CASE MASTER'!$T$2:$T$495=4)*('CASE MASTER'!$U$2:$U$495&lt;=7)*('CASE MASTER'!$W$2:$W$495&gt;=7)*('CASE MASTER'!$V$2:$V$495&lt;=5)*('CASE MASTER'!$X$2:$X$495&gt;=5))*ROW('CASE MASTER'!$T$2:$T$495))-(ROW('CASE MASTER'!#REF!)-1))),":",","),",",REPT(" ",50)),((((7-INDEX('CASE MASTER'!$U$2:$U$495,(SUMPRODUCT((('CASE MASTER'!$T$2:$T$495=4)*('CASE MASTER'!$U$2:$U$495&lt;=7)*('CASE MASTER'!$W$2:$W$495&gt;=7)*('CASE MASTER'!$V$2:$V$495&lt;=5)*('CASE MASTER'!$X$2:$X$495&gt;=5))*ROW('CASE MASTER'!$T$2:$T$495))-(ROW('CASE MASTER'!#REF!)-1))))*(INDEX('CASE MASTER'!$X$2:$X$495,(SUMPRODUCT((('CASE MASTER'!$T$2:$T$495=4)*('CASE MASTER'!$U$2:$U$495&lt;=7)*('CASE MASTER'!$W$2:$W$495&gt;=7)*('CASE MASTER'!$V$2:$V$495&lt;=5)*('CASE MASTER'!$X$2:$X$495&gt;=5))*ROW('CASE MASTER'!$T$2:$T$495))-(ROW('CASE MASTER'!#REF!)-1)))-INDEX('CASE MASTER'!$V$2:$V$495,(SUMPRODUCT((('CASE MASTER'!$T$2:$T$495=4)*('CASE MASTER'!$U$2:$U$495&lt;=7)*('CASE MASTER'!$W$2:$W$495&gt;=7)*('CASE MASTER'!$V$2:$V$495&lt;=5)*('CASE MASTER'!$X$2:$X$495&gt;=5))*ROW('CASE MASTER'!$T$2:$T$495))-(ROW('CASE MASTER'!#REF!)-1)))+1)+(5-INDEX('CASE MASTER'!$V$2:$V$495,(SUMPRODUCT((('CASE MASTER'!$T$2:$T$495=4)*('CASE MASTER'!$U$2:$U$495&lt;=7)*('CASE MASTER'!$W$2:$W$495&gt;=7)*('CASE MASTER'!$V$2:$V$495&lt;=5)*('CASE MASTER'!$X$2:$X$495&gt;=5))*ROW('CASE MASTER'!$T$2:$T$495))-(ROW('CASE MASTER'!#REF!)-1))))+1))-1)*50+1,50))&amp;"_"&amp;INDEX('CASE MASTER'!$Q$2:$Q$495,(SUMPRODUCT((('CASE MASTER'!$T$2:$T$495=4)*('CASE MASTER'!$U$2:$U$495&lt;=7)*('CASE MASTER'!$W$2:$W$495&gt;=7)*('CASE MASTER'!$V$2:$V$495&lt;=5)*('CASE MASTER'!$X$2:$X$495&gt;=5))*ROW('CASE MASTER'!$T$2:$T$495))-(ROW('CASE MASTER'!#REF!)-1))),IF(SUMPRODUCT((('CASE MASTER'!$T$2:$T$495=4)*('CASE MASTER'!$AA$2:$AA$495&lt;=7)*('CASE MASTER'!$AC$2:$AC$495&gt;=7)*('CASE MASTER'!$AB$2:$AB$495&lt;=5)*('CASE MASTER'!$AD$2:$AD$495&gt;=5))*ROW('CASE MASTER'!$T$2:$T$495))&gt;0,INDEX('CASE MASTER'!$Y$2:$Y$495,(SUMPRODUCT((('CASE MASTER'!$T$2:$T$495=4)*('CASE MASTER'!$AA$2:$AA$495&lt;=7)*('CASE MASTER'!$AC$2:$AC$495&gt;=7)*('CASE MASTER'!$AB$2:$AB$495&lt;=5)*('CASE MASTER'!$AD$2:$AD$495&gt;=5))*ROW('CASE MASTER'!$T$2:$T$495))-(ROW('CASE MASTER'!#REF!)-1)))&amp;TRIM(MID(SUBSTITUTE(SUBSTITUTE(INDEX('CASE MASTER'!$N$2:$N$495,(SUMPRODUCT((('CASE MASTER'!$T$2:$T$495=4)*('CASE MASTER'!$AA$2:$AA$495&lt;=7)*('CASE MASTER'!$AC$2:$AC$495&gt;=7)*('CASE MASTER'!$AB$2:$AB$495&lt;=5)*('CASE MASTER'!$AD$2:$AD$495&gt;=5))*ROW('CASE MASTER'!$T$2:$T$495))-(ROW('CASE MASTER'!#REF!)-1))),":",","),",",REPT(" ",50)),(((INDEX('CASE MASTER'!$Z$2:$Z$495,(SUMPRODUCT((('CASE MASTER'!$T$2:$T$495=4)*('CASE MASTER'!$AA$2:$AA$495&lt;=7)*('CASE MASTER'!$AC$2:$AC$495&gt;=7)*('CASE MASTER'!$AB$2:$AB$495&lt;=5)*('CASE MASTER'!$AD$2:$AD$495&gt;=5))*ROW('CASE MASTER'!$T$2:$T$495))-(ROW('CASE MASTER'!#REF!)-1)))+((7-INDEX('CASE MASTER'!$AA$2:$AA$495,(SUMPRODUCT((('CASE MASTER'!$T$2:$T$495=4)*('CASE MASTER'!$AA$2:$AA$495&lt;=7)*('CASE MASTER'!$AC$2:$AC$495&gt;=7)*('CASE MASTER'!$AB$2:$AB$495&lt;=5)*('CASE MASTER'!$AD$2:$AD$495&gt;=5))*ROW('CASE MASTER'!$T$2:$T$495))-(ROW('CASE MASTER'!#REF!)-1))))*(INDEX('CASE MASTER'!$AD$2:$AD$495,(SUMPRODUCT((('CASE MASTER'!$T$2:$T$495=4)*('CASE MASTER'!$AA$2:$AA$495&lt;=7)*('CASE MASTER'!$AC$2:$AC$495&gt;=7)*('CASE MASTER'!$AB$2:$AB$495&lt;=5)*('CASE MASTER'!$AD$2:$AD$495&gt;=5))*ROW('CASE MASTER'!$T$2:$T$495))-(ROW('CASE MASTER'!#REF!)-1)))-INDEX('CASE MASTER'!$AB$2:$AB$495,(SUMPRODUCT((('CASE MASTER'!$T$2:$T$495=4)*('CASE MASTER'!$AA$2:$AA$495&lt;=7)*('CASE MASTER'!$AC$2:$AC$495&gt;=7)*('CASE MASTER'!$AB$2:$AB$495&lt;=5)*('CASE MASTER'!$AD$2:$AD$495&gt;=5))*ROW('CASE MASTER'!$T$2:$T$495))-(ROW('CASE MASTER'!#REF!)-1)))+1)+(5-INDEX('CASE MASTER'!$AB$2:$AB$495,(SUMPRODUCT((('CASE MASTER'!$T$2:$T$495=4)*('CASE MASTER'!$AA$2:$AA$495&lt;=7)*('CASE MASTER'!$AC$2:$AC$495&gt;=7)*('CASE MASTER'!$AB$2:$AB$495&lt;=5)*('CASE MASTER'!$AD$2:$AD$495&gt;=5))*ROW('CASE MASTER'!$T$2:$T$495))-(ROW('CASE MASTER'!#REF!)-1))))+1)))-1)*50+1,50))&amp;"_"&amp;INDEX('CASE MASTER'!$Q$2:$Q$495,(SUMPRODUCT((('CASE MASTER'!$T$2:$T$495=4)*('CASE MASTER'!$AA$2:$AA$495&lt;=7)*('CASE MASTER'!$AC$2:$AC$495&gt;=7)*('CASE MASTER'!$AB$2:$AB$495&lt;=5)*('CASE MASTER'!$AD$2:$AD$495&gt;=5))*ROW('CASE MASTER'!$T$2:$T$495))-(ROW('CASE MASTER'!#REF!)-1))),"")),"")</f>
        <v/>
      </c>
      <c r="G51" s="10" t="str">
        <f>IFERROR(IF(SUMPRODUCT((('CASE MASTER'!$T$2:$T$495=4)*('CASE MASTER'!$U$2:$U$495&lt;=7)*('CASE MASTER'!$W$2:$W$495&gt;=7)*('CASE MASTER'!$V$2:$V$495&lt;=6)*('CASE MASTER'!$X$2:$X$495&gt;=6))*ROW('CASE MASTER'!$T$2:$T$495))&gt;0,INDEX('CASE MASTER'!$Y$2:$Y$495,(SUMPRODUCT((('CASE MASTER'!$T$2:$T$495=4)*('CASE MASTER'!$U$2:$U$495&lt;=7)*('CASE MASTER'!$W$2:$W$495&gt;=7)*('CASE MASTER'!$V$2:$V$495&lt;=6)*('CASE MASTER'!$X$2:$X$495&gt;=6))*ROW('CASE MASTER'!$T$2:$T$495))-(ROW('CASE MASTER'!#REF!)-1)))&amp;TRIM(MID(SUBSTITUTE(SUBSTITUTE(INDEX('CASE MASTER'!$N$2:$N$495,(SUMPRODUCT((('CASE MASTER'!$T$2:$T$495=4)*('CASE MASTER'!$U$2:$U$495&lt;=7)*('CASE MASTER'!$W$2:$W$495&gt;=7)*('CASE MASTER'!$V$2:$V$495&lt;=6)*('CASE MASTER'!$X$2:$X$495&gt;=6))*ROW('CASE MASTER'!$T$2:$T$495))-(ROW('CASE MASTER'!#REF!)-1))),":",","),",",REPT(" ",50)),((((7-INDEX('CASE MASTER'!$U$2:$U$495,(SUMPRODUCT((('CASE MASTER'!$T$2:$T$495=4)*('CASE MASTER'!$U$2:$U$495&lt;=7)*('CASE MASTER'!$W$2:$W$495&gt;=7)*('CASE MASTER'!$V$2:$V$495&lt;=6)*('CASE MASTER'!$X$2:$X$495&gt;=6))*ROW('CASE MASTER'!$T$2:$T$495))-(ROW('CASE MASTER'!#REF!)-1))))*(INDEX('CASE MASTER'!$X$2:$X$495,(SUMPRODUCT((('CASE MASTER'!$T$2:$T$495=4)*('CASE MASTER'!$U$2:$U$495&lt;=7)*('CASE MASTER'!$W$2:$W$495&gt;=7)*('CASE MASTER'!$V$2:$V$495&lt;=6)*('CASE MASTER'!$X$2:$X$495&gt;=6))*ROW('CASE MASTER'!$T$2:$T$495))-(ROW('CASE MASTER'!#REF!)-1)))-INDEX('CASE MASTER'!$V$2:$V$495,(SUMPRODUCT((('CASE MASTER'!$T$2:$T$495=4)*('CASE MASTER'!$U$2:$U$495&lt;=7)*('CASE MASTER'!$W$2:$W$495&gt;=7)*('CASE MASTER'!$V$2:$V$495&lt;=6)*('CASE MASTER'!$X$2:$X$495&gt;=6))*ROW('CASE MASTER'!$T$2:$T$495))-(ROW('CASE MASTER'!#REF!)-1)))+1)+(6-INDEX('CASE MASTER'!$V$2:$V$495,(SUMPRODUCT((('CASE MASTER'!$T$2:$T$495=4)*('CASE MASTER'!$U$2:$U$495&lt;=7)*('CASE MASTER'!$W$2:$W$495&gt;=7)*('CASE MASTER'!$V$2:$V$495&lt;=6)*('CASE MASTER'!$X$2:$X$495&gt;=6))*ROW('CASE MASTER'!$T$2:$T$495))-(ROW('CASE MASTER'!#REF!)-1))))+1))-1)*50+1,50))&amp;"_"&amp;INDEX('CASE MASTER'!$Q$2:$Q$495,(SUMPRODUCT((('CASE MASTER'!$T$2:$T$495=4)*('CASE MASTER'!$U$2:$U$495&lt;=7)*('CASE MASTER'!$W$2:$W$495&gt;=7)*('CASE MASTER'!$V$2:$V$495&lt;=6)*('CASE MASTER'!$X$2:$X$495&gt;=6))*ROW('CASE MASTER'!$T$2:$T$495))-(ROW('CASE MASTER'!#REF!)-1))),IF(SUMPRODUCT((('CASE MASTER'!$T$2:$T$495=4)*('CASE MASTER'!$AA$2:$AA$495&lt;=7)*('CASE MASTER'!$AC$2:$AC$495&gt;=7)*('CASE MASTER'!$AB$2:$AB$495&lt;=6)*('CASE MASTER'!$AD$2:$AD$495&gt;=6))*ROW('CASE MASTER'!$T$2:$T$495))&gt;0,INDEX('CASE MASTER'!$Y$2:$Y$495,(SUMPRODUCT((('CASE MASTER'!$T$2:$T$495=4)*('CASE MASTER'!$AA$2:$AA$495&lt;=7)*('CASE MASTER'!$AC$2:$AC$495&gt;=7)*('CASE MASTER'!$AB$2:$AB$495&lt;=6)*('CASE MASTER'!$AD$2:$AD$495&gt;=6))*ROW('CASE MASTER'!$T$2:$T$495))-(ROW('CASE MASTER'!#REF!)-1)))&amp;TRIM(MID(SUBSTITUTE(SUBSTITUTE(INDEX('CASE MASTER'!$N$2:$N$495,(SUMPRODUCT((('CASE MASTER'!$T$2:$T$495=4)*('CASE MASTER'!$AA$2:$AA$495&lt;=7)*('CASE MASTER'!$AC$2:$AC$495&gt;=7)*('CASE MASTER'!$AB$2:$AB$495&lt;=6)*('CASE MASTER'!$AD$2:$AD$495&gt;=6))*ROW('CASE MASTER'!$T$2:$T$495))-(ROW('CASE MASTER'!#REF!)-1))),":",","),",",REPT(" ",50)),(((INDEX('CASE MASTER'!$Z$2:$Z$495,(SUMPRODUCT((('CASE MASTER'!$T$2:$T$495=4)*('CASE MASTER'!$AA$2:$AA$495&lt;=7)*('CASE MASTER'!$AC$2:$AC$495&gt;=7)*('CASE MASTER'!$AB$2:$AB$495&lt;=6)*('CASE MASTER'!$AD$2:$AD$495&gt;=6))*ROW('CASE MASTER'!$T$2:$T$495))-(ROW('CASE MASTER'!#REF!)-1)))+((7-INDEX('CASE MASTER'!$AA$2:$AA$495,(SUMPRODUCT((('CASE MASTER'!$T$2:$T$495=4)*('CASE MASTER'!$AA$2:$AA$495&lt;=7)*('CASE MASTER'!$AC$2:$AC$495&gt;=7)*('CASE MASTER'!$AB$2:$AB$495&lt;=6)*('CASE MASTER'!$AD$2:$AD$495&gt;=6))*ROW('CASE MASTER'!$T$2:$T$495))-(ROW('CASE MASTER'!#REF!)-1))))*(INDEX('CASE MASTER'!$AD$2:$AD$495,(SUMPRODUCT((('CASE MASTER'!$T$2:$T$495=4)*('CASE MASTER'!$AA$2:$AA$495&lt;=7)*('CASE MASTER'!$AC$2:$AC$495&gt;=7)*('CASE MASTER'!$AB$2:$AB$495&lt;=6)*('CASE MASTER'!$AD$2:$AD$495&gt;=6))*ROW('CASE MASTER'!$T$2:$T$495))-(ROW('CASE MASTER'!#REF!)-1)))-INDEX('CASE MASTER'!$AB$2:$AB$495,(SUMPRODUCT((('CASE MASTER'!$T$2:$T$495=4)*('CASE MASTER'!$AA$2:$AA$495&lt;=7)*('CASE MASTER'!$AC$2:$AC$495&gt;=7)*('CASE MASTER'!$AB$2:$AB$495&lt;=6)*('CASE MASTER'!$AD$2:$AD$495&gt;=6))*ROW('CASE MASTER'!$T$2:$T$495))-(ROW('CASE MASTER'!#REF!)-1)))+1)+(6-INDEX('CASE MASTER'!$AB$2:$AB$495,(SUMPRODUCT((('CASE MASTER'!$T$2:$T$495=4)*('CASE MASTER'!$AA$2:$AA$495&lt;=7)*('CASE MASTER'!$AC$2:$AC$495&gt;=7)*('CASE MASTER'!$AB$2:$AB$495&lt;=6)*('CASE MASTER'!$AD$2:$AD$495&gt;=6))*ROW('CASE MASTER'!$T$2:$T$495))-(ROW('CASE MASTER'!#REF!)-1))))+1)))-1)*50+1,50))&amp;"_"&amp;INDEX('CASE MASTER'!$Q$2:$Q$495,(SUMPRODUCT((('CASE MASTER'!$T$2:$T$495=4)*('CASE MASTER'!$AA$2:$AA$495&lt;=7)*('CASE MASTER'!$AC$2:$AC$495&gt;=7)*('CASE MASTER'!$AB$2:$AB$495&lt;=6)*('CASE MASTER'!$AD$2:$AD$495&gt;=6))*ROW('CASE MASTER'!$T$2:$T$495))-(ROW('CASE MASTER'!#REF!)-1))),"")),"")</f>
        <v/>
      </c>
      <c r="H51" s="10" t="str">
        <f>IFERROR(IF(SUMPRODUCT((('CASE MASTER'!$T$2:$T$495=4)*('CASE MASTER'!$U$2:$U$495&lt;=7)*('CASE MASTER'!$W$2:$W$495&gt;=7)*('CASE MASTER'!$V$2:$V$495&lt;=7)*('CASE MASTER'!$X$2:$X$495&gt;=7))*ROW('CASE MASTER'!$T$2:$T$495))&gt;0,INDEX('CASE MASTER'!$Y$2:$Y$495,(SUMPRODUCT((('CASE MASTER'!$T$2:$T$495=4)*('CASE MASTER'!$U$2:$U$495&lt;=7)*('CASE MASTER'!$W$2:$W$495&gt;=7)*('CASE MASTER'!$V$2:$V$495&lt;=7)*('CASE MASTER'!$X$2:$X$495&gt;=7))*ROW('CASE MASTER'!$T$2:$T$495))-(ROW('CASE MASTER'!#REF!)-1)))&amp;TRIM(MID(SUBSTITUTE(SUBSTITUTE(INDEX('CASE MASTER'!$N$2:$N$495,(SUMPRODUCT((('CASE MASTER'!$T$2:$T$495=4)*('CASE MASTER'!$U$2:$U$495&lt;=7)*('CASE MASTER'!$W$2:$W$495&gt;=7)*('CASE MASTER'!$V$2:$V$495&lt;=7)*('CASE MASTER'!$X$2:$X$495&gt;=7))*ROW('CASE MASTER'!$T$2:$T$495))-(ROW('CASE MASTER'!#REF!)-1))),":",","),",",REPT(" ",50)),((((7-INDEX('CASE MASTER'!$U$2:$U$495,(SUMPRODUCT((('CASE MASTER'!$T$2:$T$495=4)*('CASE MASTER'!$U$2:$U$495&lt;=7)*('CASE MASTER'!$W$2:$W$495&gt;=7)*('CASE MASTER'!$V$2:$V$495&lt;=7)*('CASE MASTER'!$X$2:$X$495&gt;=7))*ROW('CASE MASTER'!$T$2:$T$495))-(ROW('CASE MASTER'!#REF!)-1))))*(INDEX('CASE MASTER'!$X$2:$X$495,(SUMPRODUCT((('CASE MASTER'!$T$2:$T$495=4)*('CASE MASTER'!$U$2:$U$495&lt;=7)*('CASE MASTER'!$W$2:$W$495&gt;=7)*('CASE MASTER'!$V$2:$V$495&lt;=7)*('CASE MASTER'!$X$2:$X$495&gt;=7))*ROW('CASE MASTER'!$T$2:$T$495))-(ROW('CASE MASTER'!#REF!)-1)))-INDEX('CASE MASTER'!$V$2:$V$495,(SUMPRODUCT((('CASE MASTER'!$T$2:$T$495=4)*('CASE MASTER'!$U$2:$U$495&lt;=7)*('CASE MASTER'!$W$2:$W$495&gt;=7)*('CASE MASTER'!$V$2:$V$495&lt;=7)*('CASE MASTER'!$X$2:$X$495&gt;=7))*ROW('CASE MASTER'!$T$2:$T$495))-(ROW('CASE MASTER'!#REF!)-1)))+1)+(7-INDEX('CASE MASTER'!$V$2:$V$495,(SUMPRODUCT((('CASE MASTER'!$T$2:$T$495=4)*('CASE MASTER'!$U$2:$U$495&lt;=7)*('CASE MASTER'!$W$2:$W$495&gt;=7)*('CASE MASTER'!$V$2:$V$495&lt;=7)*('CASE MASTER'!$X$2:$X$495&gt;=7))*ROW('CASE MASTER'!$T$2:$T$495))-(ROW('CASE MASTER'!#REF!)-1))))+1))-1)*50+1,50))&amp;"_"&amp;INDEX('CASE MASTER'!$Q$2:$Q$495,(SUMPRODUCT((('CASE MASTER'!$T$2:$T$495=4)*('CASE MASTER'!$U$2:$U$495&lt;=7)*('CASE MASTER'!$W$2:$W$495&gt;=7)*('CASE MASTER'!$V$2:$V$495&lt;=7)*('CASE MASTER'!$X$2:$X$495&gt;=7))*ROW('CASE MASTER'!$T$2:$T$495))-(ROW('CASE MASTER'!#REF!)-1))),IF(SUMPRODUCT((('CASE MASTER'!$T$2:$T$495=4)*('CASE MASTER'!$AA$2:$AA$495&lt;=7)*('CASE MASTER'!$AC$2:$AC$495&gt;=7)*('CASE MASTER'!$AB$2:$AB$495&lt;=7)*('CASE MASTER'!$AD$2:$AD$495&gt;=7))*ROW('CASE MASTER'!$T$2:$T$495))&gt;0,INDEX('CASE MASTER'!$Y$2:$Y$495,(SUMPRODUCT((('CASE MASTER'!$T$2:$T$495=4)*('CASE MASTER'!$AA$2:$AA$495&lt;=7)*('CASE MASTER'!$AC$2:$AC$495&gt;=7)*('CASE MASTER'!$AB$2:$AB$495&lt;=7)*('CASE MASTER'!$AD$2:$AD$495&gt;=7))*ROW('CASE MASTER'!$T$2:$T$495))-(ROW('CASE MASTER'!#REF!)-1)))&amp;TRIM(MID(SUBSTITUTE(SUBSTITUTE(INDEX('CASE MASTER'!$N$2:$N$495,(SUMPRODUCT((('CASE MASTER'!$T$2:$T$495=4)*('CASE MASTER'!$AA$2:$AA$495&lt;=7)*('CASE MASTER'!$AC$2:$AC$495&gt;=7)*('CASE MASTER'!$AB$2:$AB$495&lt;=7)*('CASE MASTER'!$AD$2:$AD$495&gt;=7))*ROW('CASE MASTER'!$T$2:$T$495))-(ROW('CASE MASTER'!#REF!)-1))),":",","),",",REPT(" ",50)),(((INDEX('CASE MASTER'!$Z$2:$Z$495,(SUMPRODUCT((('CASE MASTER'!$T$2:$T$495=4)*('CASE MASTER'!$AA$2:$AA$495&lt;=7)*('CASE MASTER'!$AC$2:$AC$495&gt;=7)*('CASE MASTER'!$AB$2:$AB$495&lt;=7)*('CASE MASTER'!$AD$2:$AD$495&gt;=7))*ROW('CASE MASTER'!$T$2:$T$495))-(ROW('CASE MASTER'!#REF!)-1)))+((7-INDEX('CASE MASTER'!$AA$2:$AA$495,(SUMPRODUCT((('CASE MASTER'!$T$2:$T$495=4)*('CASE MASTER'!$AA$2:$AA$495&lt;=7)*('CASE MASTER'!$AC$2:$AC$495&gt;=7)*('CASE MASTER'!$AB$2:$AB$495&lt;=7)*('CASE MASTER'!$AD$2:$AD$495&gt;=7))*ROW('CASE MASTER'!$T$2:$T$495))-(ROW('CASE MASTER'!#REF!)-1))))*(INDEX('CASE MASTER'!$AD$2:$AD$495,(SUMPRODUCT((('CASE MASTER'!$T$2:$T$495=4)*('CASE MASTER'!$AA$2:$AA$495&lt;=7)*('CASE MASTER'!$AC$2:$AC$495&gt;=7)*('CASE MASTER'!$AB$2:$AB$495&lt;=7)*('CASE MASTER'!$AD$2:$AD$495&gt;=7))*ROW('CASE MASTER'!$T$2:$T$495))-(ROW('CASE MASTER'!#REF!)-1)))-INDEX('CASE MASTER'!$AB$2:$AB$495,(SUMPRODUCT((('CASE MASTER'!$T$2:$T$495=4)*('CASE MASTER'!$AA$2:$AA$495&lt;=7)*('CASE MASTER'!$AC$2:$AC$495&gt;=7)*('CASE MASTER'!$AB$2:$AB$495&lt;=7)*('CASE MASTER'!$AD$2:$AD$495&gt;=7))*ROW('CASE MASTER'!$T$2:$T$495))-(ROW('CASE MASTER'!#REF!)-1)))+1)+(7-INDEX('CASE MASTER'!$AB$2:$AB$495,(SUMPRODUCT((('CASE MASTER'!$T$2:$T$495=4)*('CASE MASTER'!$AA$2:$AA$495&lt;=7)*('CASE MASTER'!$AC$2:$AC$495&gt;=7)*('CASE MASTER'!$AB$2:$AB$495&lt;=7)*('CASE MASTER'!$AD$2:$AD$495&gt;=7))*ROW('CASE MASTER'!$T$2:$T$495))-(ROW('CASE MASTER'!#REF!)-1))))+1)))-1)*50+1,50))&amp;"_"&amp;INDEX('CASE MASTER'!$Q$2:$Q$495,(SUMPRODUCT((('CASE MASTER'!$T$2:$T$495=4)*('CASE MASTER'!$AA$2:$AA$495&lt;=7)*('CASE MASTER'!$AC$2:$AC$495&gt;=7)*('CASE MASTER'!$AB$2:$AB$495&lt;=7)*('CASE MASTER'!$AD$2:$AD$495&gt;=7))*ROW('CASE MASTER'!$T$2:$T$495))-(ROW('CASE MASTER'!#REF!)-1))),"")),"")</f>
        <v/>
      </c>
      <c r="I51" s="10" t="str">
        <f>IFERROR(IF(SUMPRODUCT((('CASE MASTER'!$T$2:$T$495=4)*('CASE MASTER'!$U$2:$U$495&lt;=7)*('CASE MASTER'!$W$2:$W$495&gt;=7)*('CASE MASTER'!$V$2:$V$495&lt;=8)*('CASE MASTER'!$X$2:$X$495&gt;=8))*ROW('CASE MASTER'!$T$2:$T$495))&gt;0,INDEX('CASE MASTER'!$Y$2:$Y$495,(SUMPRODUCT((('CASE MASTER'!$T$2:$T$495=4)*('CASE MASTER'!$U$2:$U$495&lt;=7)*('CASE MASTER'!$W$2:$W$495&gt;=7)*('CASE MASTER'!$V$2:$V$495&lt;=8)*('CASE MASTER'!$X$2:$X$495&gt;=8))*ROW('CASE MASTER'!$T$2:$T$495))-(ROW('CASE MASTER'!#REF!)-1)))&amp;TRIM(MID(SUBSTITUTE(SUBSTITUTE(INDEX('CASE MASTER'!$N$2:$N$495,(SUMPRODUCT((('CASE MASTER'!$T$2:$T$495=4)*('CASE MASTER'!$U$2:$U$495&lt;=7)*('CASE MASTER'!$W$2:$W$495&gt;=7)*('CASE MASTER'!$V$2:$V$495&lt;=8)*('CASE MASTER'!$X$2:$X$495&gt;=8))*ROW('CASE MASTER'!$T$2:$T$495))-(ROW('CASE MASTER'!#REF!)-1))),":",","),",",REPT(" ",50)),((((7-INDEX('CASE MASTER'!$U$2:$U$495,(SUMPRODUCT((('CASE MASTER'!$T$2:$T$495=4)*('CASE MASTER'!$U$2:$U$495&lt;=7)*('CASE MASTER'!$W$2:$W$495&gt;=7)*('CASE MASTER'!$V$2:$V$495&lt;=8)*('CASE MASTER'!$X$2:$X$495&gt;=8))*ROW('CASE MASTER'!$T$2:$T$495))-(ROW('CASE MASTER'!#REF!)-1))))*(INDEX('CASE MASTER'!$X$2:$X$495,(SUMPRODUCT((('CASE MASTER'!$T$2:$T$495=4)*('CASE MASTER'!$U$2:$U$495&lt;=7)*('CASE MASTER'!$W$2:$W$495&gt;=7)*('CASE MASTER'!$V$2:$V$495&lt;=8)*('CASE MASTER'!$X$2:$X$495&gt;=8))*ROW('CASE MASTER'!$T$2:$T$495))-(ROW('CASE MASTER'!#REF!)-1)))-INDEX('CASE MASTER'!$V$2:$V$495,(SUMPRODUCT((('CASE MASTER'!$T$2:$T$495=4)*('CASE MASTER'!$U$2:$U$495&lt;=7)*('CASE MASTER'!$W$2:$W$495&gt;=7)*('CASE MASTER'!$V$2:$V$495&lt;=8)*('CASE MASTER'!$X$2:$X$495&gt;=8))*ROW('CASE MASTER'!$T$2:$T$495))-(ROW('CASE MASTER'!#REF!)-1)))+1)+(8-INDEX('CASE MASTER'!$V$2:$V$495,(SUMPRODUCT((('CASE MASTER'!$T$2:$T$495=4)*('CASE MASTER'!$U$2:$U$495&lt;=7)*('CASE MASTER'!$W$2:$W$495&gt;=7)*('CASE MASTER'!$V$2:$V$495&lt;=8)*('CASE MASTER'!$X$2:$X$495&gt;=8))*ROW('CASE MASTER'!$T$2:$T$495))-(ROW('CASE MASTER'!#REF!)-1))))+1))-1)*50+1,50))&amp;"_"&amp;INDEX('CASE MASTER'!$Q$2:$Q$495,(SUMPRODUCT((('CASE MASTER'!$T$2:$T$495=4)*('CASE MASTER'!$U$2:$U$495&lt;=7)*('CASE MASTER'!$W$2:$W$495&gt;=7)*('CASE MASTER'!$V$2:$V$495&lt;=8)*('CASE MASTER'!$X$2:$X$495&gt;=8))*ROW('CASE MASTER'!$T$2:$T$495))-(ROW('CASE MASTER'!#REF!)-1))),IF(SUMPRODUCT((('CASE MASTER'!$T$2:$T$495=4)*('CASE MASTER'!$AA$2:$AA$495&lt;=7)*('CASE MASTER'!$AC$2:$AC$495&gt;=7)*('CASE MASTER'!$AB$2:$AB$495&lt;=8)*('CASE MASTER'!$AD$2:$AD$495&gt;=8))*ROW('CASE MASTER'!$T$2:$T$495))&gt;0,INDEX('CASE MASTER'!$Y$2:$Y$495,(SUMPRODUCT((('CASE MASTER'!$T$2:$T$495=4)*('CASE MASTER'!$AA$2:$AA$495&lt;=7)*('CASE MASTER'!$AC$2:$AC$495&gt;=7)*('CASE MASTER'!$AB$2:$AB$495&lt;=8)*('CASE MASTER'!$AD$2:$AD$495&gt;=8))*ROW('CASE MASTER'!$T$2:$T$495))-(ROW('CASE MASTER'!#REF!)-1)))&amp;TRIM(MID(SUBSTITUTE(SUBSTITUTE(INDEX('CASE MASTER'!$N$2:$N$495,(SUMPRODUCT((('CASE MASTER'!$T$2:$T$495=4)*('CASE MASTER'!$AA$2:$AA$495&lt;=7)*('CASE MASTER'!$AC$2:$AC$495&gt;=7)*('CASE MASTER'!$AB$2:$AB$495&lt;=8)*('CASE MASTER'!$AD$2:$AD$495&gt;=8))*ROW('CASE MASTER'!$T$2:$T$495))-(ROW('CASE MASTER'!#REF!)-1))),":",","),",",REPT(" ",50)),(((INDEX('CASE MASTER'!$Z$2:$Z$495,(SUMPRODUCT((('CASE MASTER'!$T$2:$T$495=4)*('CASE MASTER'!$AA$2:$AA$495&lt;=7)*('CASE MASTER'!$AC$2:$AC$495&gt;=7)*('CASE MASTER'!$AB$2:$AB$495&lt;=8)*('CASE MASTER'!$AD$2:$AD$495&gt;=8))*ROW('CASE MASTER'!$T$2:$T$495))-(ROW('CASE MASTER'!#REF!)-1)))+((7-INDEX('CASE MASTER'!$AA$2:$AA$495,(SUMPRODUCT((('CASE MASTER'!$T$2:$T$495=4)*('CASE MASTER'!$AA$2:$AA$495&lt;=7)*('CASE MASTER'!$AC$2:$AC$495&gt;=7)*('CASE MASTER'!$AB$2:$AB$495&lt;=8)*('CASE MASTER'!$AD$2:$AD$495&gt;=8))*ROW('CASE MASTER'!$T$2:$T$495))-(ROW('CASE MASTER'!#REF!)-1))))*(INDEX('CASE MASTER'!$AD$2:$AD$495,(SUMPRODUCT((('CASE MASTER'!$T$2:$T$495=4)*('CASE MASTER'!$AA$2:$AA$495&lt;=7)*('CASE MASTER'!$AC$2:$AC$495&gt;=7)*('CASE MASTER'!$AB$2:$AB$495&lt;=8)*('CASE MASTER'!$AD$2:$AD$495&gt;=8))*ROW('CASE MASTER'!$T$2:$T$495))-(ROW('CASE MASTER'!#REF!)-1)))-INDEX('CASE MASTER'!$AB$2:$AB$495,(SUMPRODUCT((('CASE MASTER'!$T$2:$T$495=4)*('CASE MASTER'!$AA$2:$AA$495&lt;=7)*('CASE MASTER'!$AC$2:$AC$495&gt;=7)*('CASE MASTER'!$AB$2:$AB$495&lt;=8)*('CASE MASTER'!$AD$2:$AD$495&gt;=8))*ROW('CASE MASTER'!$T$2:$T$495))-(ROW('CASE MASTER'!#REF!)-1)))+1)+(8-INDEX('CASE MASTER'!$AB$2:$AB$495,(SUMPRODUCT((('CASE MASTER'!$T$2:$T$495=4)*('CASE MASTER'!$AA$2:$AA$495&lt;=7)*('CASE MASTER'!$AC$2:$AC$495&gt;=7)*('CASE MASTER'!$AB$2:$AB$495&lt;=8)*('CASE MASTER'!$AD$2:$AD$495&gt;=8))*ROW('CASE MASTER'!$T$2:$T$495))-(ROW('CASE MASTER'!#REF!)-1))))+1)))-1)*50+1,50))&amp;"_"&amp;INDEX('CASE MASTER'!$Q$2:$Q$495,(SUMPRODUCT((('CASE MASTER'!$T$2:$T$495=4)*('CASE MASTER'!$AA$2:$AA$495&lt;=7)*('CASE MASTER'!$AC$2:$AC$495&gt;=7)*('CASE MASTER'!$AB$2:$AB$495&lt;=8)*('CASE MASTER'!$AD$2:$AD$495&gt;=8))*ROW('CASE MASTER'!$T$2:$T$495))-(ROW('CASE MASTER'!#REF!)-1))),"")),"")</f>
        <v/>
      </c>
      <c r="J51" s="10" t="str">
        <f>IFERROR(IF(SUMPRODUCT((('CASE MASTER'!$T$2:$T$495=4)*('CASE MASTER'!$U$2:$U$495&lt;=7)*('CASE MASTER'!$W$2:$W$495&gt;=7)*('CASE MASTER'!$V$2:$V$495&lt;=9)*('CASE MASTER'!$X$2:$X$495&gt;=9))*ROW('CASE MASTER'!$T$2:$T$495))&gt;0,INDEX('CASE MASTER'!$Y$2:$Y$495,(SUMPRODUCT((('CASE MASTER'!$T$2:$T$495=4)*('CASE MASTER'!$U$2:$U$495&lt;=7)*('CASE MASTER'!$W$2:$W$495&gt;=7)*('CASE MASTER'!$V$2:$V$495&lt;=9)*('CASE MASTER'!$X$2:$X$495&gt;=9))*ROW('CASE MASTER'!$T$2:$T$495))-(ROW('CASE MASTER'!#REF!)-1)))&amp;TRIM(MID(SUBSTITUTE(SUBSTITUTE(INDEX('CASE MASTER'!$N$2:$N$495,(SUMPRODUCT((('CASE MASTER'!$T$2:$T$495=4)*('CASE MASTER'!$U$2:$U$495&lt;=7)*('CASE MASTER'!$W$2:$W$495&gt;=7)*('CASE MASTER'!$V$2:$V$495&lt;=9)*('CASE MASTER'!$X$2:$X$495&gt;=9))*ROW('CASE MASTER'!$T$2:$T$495))-(ROW('CASE MASTER'!#REF!)-1))),":",","),",",REPT(" ",50)),((((7-INDEX('CASE MASTER'!$U$2:$U$495,(SUMPRODUCT((('CASE MASTER'!$T$2:$T$495=4)*('CASE MASTER'!$U$2:$U$495&lt;=7)*('CASE MASTER'!$W$2:$W$495&gt;=7)*('CASE MASTER'!$V$2:$V$495&lt;=9)*('CASE MASTER'!$X$2:$X$495&gt;=9))*ROW('CASE MASTER'!$T$2:$T$495))-(ROW('CASE MASTER'!#REF!)-1))))*(INDEX('CASE MASTER'!$X$2:$X$495,(SUMPRODUCT((('CASE MASTER'!$T$2:$T$495=4)*('CASE MASTER'!$U$2:$U$495&lt;=7)*('CASE MASTER'!$W$2:$W$495&gt;=7)*('CASE MASTER'!$V$2:$V$495&lt;=9)*('CASE MASTER'!$X$2:$X$495&gt;=9))*ROW('CASE MASTER'!$T$2:$T$495))-(ROW('CASE MASTER'!#REF!)-1)))-INDEX('CASE MASTER'!$V$2:$V$495,(SUMPRODUCT((('CASE MASTER'!$T$2:$T$495=4)*('CASE MASTER'!$U$2:$U$495&lt;=7)*('CASE MASTER'!$W$2:$W$495&gt;=7)*('CASE MASTER'!$V$2:$V$495&lt;=9)*('CASE MASTER'!$X$2:$X$495&gt;=9))*ROW('CASE MASTER'!$T$2:$T$495))-(ROW('CASE MASTER'!#REF!)-1)))+1)+(9-INDEX('CASE MASTER'!$V$2:$V$495,(SUMPRODUCT((('CASE MASTER'!$T$2:$T$495=4)*('CASE MASTER'!$U$2:$U$495&lt;=7)*('CASE MASTER'!$W$2:$W$495&gt;=7)*('CASE MASTER'!$V$2:$V$495&lt;=9)*('CASE MASTER'!$X$2:$X$495&gt;=9))*ROW('CASE MASTER'!$T$2:$T$495))-(ROW('CASE MASTER'!#REF!)-1))))+1))-1)*50+1,50))&amp;"_"&amp;INDEX('CASE MASTER'!$Q$2:$Q$495,(SUMPRODUCT((('CASE MASTER'!$T$2:$T$495=4)*('CASE MASTER'!$U$2:$U$495&lt;=7)*('CASE MASTER'!$W$2:$W$495&gt;=7)*('CASE MASTER'!$V$2:$V$495&lt;=9)*('CASE MASTER'!$X$2:$X$495&gt;=9))*ROW('CASE MASTER'!$T$2:$T$495))-(ROW('CASE MASTER'!#REF!)-1))),IF(SUMPRODUCT((('CASE MASTER'!$T$2:$T$495=4)*('CASE MASTER'!$AA$2:$AA$495&lt;=7)*('CASE MASTER'!$AC$2:$AC$495&gt;=7)*('CASE MASTER'!$AB$2:$AB$495&lt;=9)*('CASE MASTER'!$AD$2:$AD$495&gt;=9))*ROW('CASE MASTER'!$T$2:$T$495))&gt;0,INDEX('CASE MASTER'!$Y$2:$Y$495,(SUMPRODUCT((('CASE MASTER'!$T$2:$T$495=4)*('CASE MASTER'!$AA$2:$AA$495&lt;=7)*('CASE MASTER'!$AC$2:$AC$495&gt;=7)*('CASE MASTER'!$AB$2:$AB$495&lt;=9)*('CASE MASTER'!$AD$2:$AD$495&gt;=9))*ROW('CASE MASTER'!$T$2:$T$495))-(ROW('CASE MASTER'!#REF!)-1)))&amp;TRIM(MID(SUBSTITUTE(SUBSTITUTE(INDEX('CASE MASTER'!$N$2:$N$495,(SUMPRODUCT((('CASE MASTER'!$T$2:$T$495=4)*('CASE MASTER'!$AA$2:$AA$495&lt;=7)*('CASE MASTER'!$AC$2:$AC$495&gt;=7)*('CASE MASTER'!$AB$2:$AB$495&lt;=9)*('CASE MASTER'!$AD$2:$AD$495&gt;=9))*ROW('CASE MASTER'!$T$2:$T$495))-(ROW('CASE MASTER'!#REF!)-1))),":",","),",",REPT(" ",50)),(((INDEX('CASE MASTER'!$Z$2:$Z$495,(SUMPRODUCT((('CASE MASTER'!$T$2:$T$495=4)*('CASE MASTER'!$AA$2:$AA$495&lt;=7)*('CASE MASTER'!$AC$2:$AC$495&gt;=7)*('CASE MASTER'!$AB$2:$AB$495&lt;=9)*('CASE MASTER'!$AD$2:$AD$495&gt;=9))*ROW('CASE MASTER'!$T$2:$T$495))-(ROW('CASE MASTER'!#REF!)-1)))+((7-INDEX('CASE MASTER'!$AA$2:$AA$495,(SUMPRODUCT((('CASE MASTER'!$T$2:$T$495=4)*('CASE MASTER'!$AA$2:$AA$495&lt;=7)*('CASE MASTER'!$AC$2:$AC$495&gt;=7)*('CASE MASTER'!$AB$2:$AB$495&lt;=9)*('CASE MASTER'!$AD$2:$AD$495&gt;=9))*ROW('CASE MASTER'!$T$2:$T$495))-(ROW('CASE MASTER'!#REF!)-1))))*(INDEX('CASE MASTER'!$AD$2:$AD$495,(SUMPRODUCT((('CASE MASTER'!$T$2:$T$495=4)*('CASE MASTER'!$AA$2:$AA$495&lt;=7)*('CASE MASTER'!$AC$2:$AC$495&gt;=7)*('CASE MASTER'!$AB$2:$AB$495&lt;=9)*('CASE MASTER'!$AD$2:$AD$495&gt;=9))*ROW('CASE MASTER'!$T$2:$T$495))-(ROW('CASE MASTER'!#REF!)-1)))-INDEX('CASE MASTER'!$AB$2:$AB$495,(SUMPRODUCT((('CASE MASTER'!$T$2:$T$495=4)*('CASE MASTER'!$AA$2:$AA$495&lt;=7)*('CASE MASTER'!$AC$2:$AC$495&gt;=7)*('CASE MASTER'!$AB$2:$AB$495&lt;=9)*('CASE MASTER'!$AD$2:$AD$495&gt;=9))*ROW('CASE MASTER'!$T$2:$T$495))-(ROW('CASE MASTER'!#REF!)-1)))+1)+(9-INDEX('CASE MASTER'!$AB$2:$AB$495,(SUMPRODUCT((('CASE MASTER'!$T$2:$T$495=4)*('CASE MASTER'!$AA$2:$AA$495&lt;=7)*('CASE MASTER'!$AC$2:$AC$495&gt;=7)*('CASE MASTER'!$AB$2:$AB$495&lt;=9)*('CASE MASTER'!$AD$2:$AD$495&gt;=9))*ROW('CASE MASTER'!$T$2:$T$495))-(ROW('CASE MASTER'!#REF!)-1))))+1)))-1)*50+1,50))&amp;"_"&amp;INDEX('CASE MASTER'!$Q$2:$Q$495,(SUMPRODUCT((('CASE MASTER'!$T$2:$T$495=4)*('CASE MASTER'!$AA$2:$AA$495&lt;=7)*('CASE MASTER'!$AC$2:$AC$495&gt;=7)*('CASE MASTER'!$AB$2:$AB$495&lt;=9)*('CASE MASTER'!$AD$2:$AD$495&gt;=9))*ROW('CASE MASTER'!$T$2:$T$495))-(ROW('CASE MASTER'!#REF!)-1))),"")),"")</f>
        <v/>
      </c>
      <c r="K51" s="10" t="str">
        <f>IFERROR(IF(SUMPRODUCT((('CASE MASTER'!$T$2:$T$495=4)*('CASE MASTER'!$U$2:$U$495&lt;=7)*('CASE MASTER'!$W$2:$W$495&gt;=7)*('CASE MASTER'!$V$2:$V$495&lt;=10)*('CASE MASTER'!$X$2:$X$495&gt;=10))*ROW('CASE MASTER'!$T$2:$T$495))&gt;0,INDEX('CASE MASTER'!$Y$2:$Y$495,(SUMPRODUCT((('CASE MASTER'!$T$2:$T$495=4)*('CASE MASTER'!$U$2:$U$495&lt;=7)*('CASE MASTER'!$W$2:$W$495&gt;=7)*('CASE MASTER'!$V$2:$V$495&lt;=10)*('CASE MASTER'!$X$2:$X$495&gt;=10))*ROW('CASE MASTER'!$T$2:$T$495))-(ROW('CASE MASTER'!#REF!)-1)))&amp;TRIM(MID(SUBSTITUTE(SUBSTITUTE(INDEX('CASE MASTER'!$N$2:$N$495,(SUMPRODUCT((('CASE MASTER'!$T$2:$T$495=4)*('CASE MASTER'!$U$2:$U$495&lt;=7)*('CASE MASTER'!$W$2:$W$495&gt;=7)*('CASE MASTER'!$V$2:$V$495&lt;=10)*('CASE MASTER'!$X$2:$X$495&gt;=10))*ROW('CASE MASTER'!$T$2:$T$495))-(ROW('CASE MASTER'!#REF!)-1))),":",","),",",REPT(" ",50)),((((7-INDEX('CASE MASTER'!$U$2:$U$495,(SUMPRODUCT((('CASE MASTER'!$T$2:$T$495=4)*('CASE MASTER'!$U$2:$U$495&lt;=7)*('CASE MASTER'!$W$2:$W$495&gt;=7)*('CASE MASTER'!$V$2:$V$495&lt;=10)*('CASE MASTER'!$X$2:$X$495&gt;=10))*ROW('CASE MASTER'!$T$2:$T$495))-(ROW('CASE MASTER'!#REF!)-1))))*(INDEX('CASE MASTER'!$X$2:$X$495,(SUMPRODUCT((('CASE MASTER'!$T$2:$T$495=4)*('CASE MASTER'!$U$2:$U$495&lt;=7)*('CASE MASTER'!$W$2:$W$495&gt;=7)*('CASE MASTER'!$V$2:$V$495&lt;=10)*('CASE MASTER'!$X$2:$X$495&gt;=10))*ROW('CASE MASTER'!$T$2:$T$495))-(ROW('CASE MASTER'!#REF!)-1)))-INDEX('CASE MASTER'!$V$2:$V$495,(SUMPRODUCT((('CASE MASTER'!$T$2:$T$495=4)*('CASE MASTER'!$U$2:$U$495&lt;=7)*('CASE MASTER'!$W$2:$W$495&gt;=7)*('CASE MASTER'!$V$2:$V$495&lt;=10)*('CASE MASTER'!$X$2:$X$495&gt;=10))*ROW('CASE MASTER'!$T$2:$T$495))-(ROW('CASE MASTER'!#REF!)-1)))+1)+(10-INDEX('CASE MASTER'!$V$2:$V$495,(SUMPRODUCT((('CASE MASTER'!$T$2:$T$495=4)*('CASE MASTER'!$U$2:$U$495&lt;=7)*('CASE MASTER'!$W$2:$W$495&gt;=7)*('CASE MASTER'!$V$2:$V$495&lt;=10)*('CASE MASTER'!$X$2:$X$495&gt;=10))*ROW('CASE MASTER'!$T$2:$T$495))-(ROW('CASE MASTER'!#REF!)-1))))+1))-1)*50+1,50))&amp;"_"&amp;INDEX('CASE MASTER'!$Q$2:$Q$495,(SUMPRODUCT((('CASE MASTER'!$T$2:$T$495=4)*('CASE MASTER'!$U$2:$U$495&lt;=7)*('CASE MASTER'!$W$2:$W$495&gt;=7)*('CASE MASTER'!$V$2:$V$495&lt;=10)*('CASE MASTER'!$X$2:$X$495&gt;=10))*ROW('CASE MASTER'!$T$2:$T$495))-(ROW('CASE MASTER'!#REF!)-1))),IF(SUMPRODUCT((('CASE MASTER'!$T$2:$T$495=4)*('CASE MASTER'!$AA$2:$AA$495&lt;=7)*('CASE MASTER'!$AC$2:$AC$495&gt;=7)*('CASE MASTER'!$AB$2:$AB$495&lt;=10)*('CASE MASTER'!$AD$2:$AD$495&gt;=10))*ROW('CASE MASTER'!$T$2:$T$495))&gt;0,INDEX('CASE MASTER'!$Y$2:$Y$495,(SUMPRODUCT((('CASE MASTER'!$T$2:$T$495=4)*('CASE MASTER'!$AA$2:$AA$495&lt;=7)*('CASE MASTER'!$AC$2:$AC$495&gt;=7)*('CASE MASTER'!$AB$2:$AB$495&lt;=10)*('CASE MASTER'!$AD$2:$AD$495&gt;=10))*ROW('CASE MASTER'!$T$2:$T$495))-(ROW('CASE MASTER'!#REF!)-1)))&amp;TRIM(MID(SUBSTITUTE(SUBSTITUTE(INDEX('CASE MASTER'!$N$2:$N$495,(SUMPRODUCT((('CASE MASTER'!$T$2:$T$495=4)*('CASE MASTER'!$AA$2:$AA$495&lt;=7)*('CASE MASTER'!$AC$2:$AC$495&gt;=7)*('CASE MASTER'!$AB$2:$AB$495&lt;=10)*('CASE MASTER'!$AD$2:$AD$495&gt;=10))*ROW('CASE MASTER'!$T$2:$T$495))-(ROW('CASE MASTER'!#REF!)-1))),":",","),",",REPT(" ",50)),(((INDEX('CASE MASTER'!$Z$2:$Z$495,(SUMPRODUCT((('CASE MASTER'!$T$2:$T$495=4)*('CASE MASTER'!$AA$2:$AA$495&lt;=7)*('CASE MASTER'!$AC$2:$AC$495&gt;=7)*('CASE MASTER'!$AB$2:$AB$495&lt;=10)*('CASE MASTER'!$AD$2:$AD$495&gt;=10))*ROW('CASE MASTER'!$T$2:$T$495))-(ROW('CASE MASTER'!#REF!)-1)))+((7-INDEX('CASE MASTER'!$AA$2:$AA$495,(SUMPRODUCT((('CASE MASTER'!$T$2:$T$495=4)*('CASE MASTER'!$AA$2:$AA$495&lt;=7)*('CASE MASTER'!$AC$2:$AC$495&gt;=7)*('CASE MASTER'!$AB$2:$AB$495&lt;=10)*('CASE MASTER'!$AD$2:$AD$495&gt;=10))*ROW('CASE MASTER'!$T$2:$T$495))-(ROW('CASE MASTER'!#REF!)-1))))*(INDEX('CASE MASTER'!$AD$2:$AD$495,(SUMPRODUCT((('CASE MASTER'!$T$2:$T$495=4)*('CASE MASTER'!$AA$2:$AA$495&lt;=7)*('CASE MASTER'!$AC$2:$AC$495&gt;=7)*('CASE MASTER'!$AB$2:$AB$495&lt;=10)*('CASE MASTER'!$AD$2:$AD$495&gt;=10))*ROW('CASE MASTER'!$T$2:$T$495))-(ROW('CASE MASTER'!#REF!)-1)))-INDEX('CASE MASTER'!$AB$2:$AB$495,(SUMPRODUCT((('CASE MASTER'!$T$2:$T$495=4)*('CASE MASTER'!$AA$2:$AA$495&lt;=7)*('CASE MASTER'!$AC$2:$AC$495&gt;=7)*('CASE MASTER'!$AB$2:$AB$495&lt;=10)*('CASE MASTER'!$AD$2:$AD$495&gt;=10))*ROW('CASE MASTER'!$T$2:$T$495))-(ROW('CASE MASTER'!#REF!)-1)))+1)+(10-INDEX('CASE MASTER'!$AB$2:$AB$495,(SUMPRODUCT((('CASE MASTER'!$T$2:$T$495=4)*('CASE MASTER'!$AA$2:$AA$495&lt;=7)*('CASE MASTER'!$AC$2:$AC$495&gt;=7)*('CASE MASTER'!$AB$2:$AB$495&lt;=10)*('CASE MASTER'!$AD$2:$AD$495&gt;=10))*ROW('CASE MASTER'!$T$2:$T$495))-(ROW('CASE MASTER'!#REF!)-1))))+1)))-1)*50+1,50))&amp;"_"&amp;INDEX('CASE MASTER'!$Q$2:$Q$495,(SUMPRODUCT((('CASE MASTER'!$T$2:$T$495=4)*('CASE MASTER'!$AA$2:$AA$495&lt;=7)*('CASE MASTER'!$AC$2:$AC$495&gt;=7)*('CASE MASTER'!$AB$2:$AB$495&lt;=10)*('CASE MASTER'!$AD$2:$AD$495&gt;=10))*ROW('CASE MASTER'!$T$2:$T$495))-(ROW('CASE MASTER'!#REF!)-1))),"")),"")</f>
        <v/>
      </c>
    </row>
    <row r="52" spans="1:11" ht="15" customHeight="1" x14ac:dyDescent="0.35">
      <c r="A52" s="8" t="s">
        <v>35</v>
      </c>
      <c r="B52" s="10" t="str">
        <f>IFERROR(IF(SUMPRODUCT((('CASE MASTER'!$T$2:$T$495=4)*('CASE MASTER'!$U$2:$U$495&lt;=8)*('CASE MASTER'!$W$2:$W$495&gt;=8)*('CASE MASTER'!$V$2:$V$495&lt;=1)*('CASE MASTER'!$X$2:$X$495&gt;=1))*ROW('CASE MASTER'!$T$2:$T$495))&gt;0,INDEX('CASE MASTER'!$Y$2:$Y$495,(SUMPRODUCT((('CASE MASTER'!$T$2:$T$495=4)*('CASE MASTER'!$U$2:$U$495&lt;=8)*('CASE MASTER'!$W$2:$W$495&gt;=8)*('CASE MASTER'!$V$2:$V$495&lt;=1)*('CASE MASTER'!$X$2:$X$495&gt;=1))*ROW('CASE MASTER'!$T$2:$T$495))-(ROW('CASE MASTER'!#REF!)-1)))&amp;TRIM(MID(SUBSTITUTE(SUBSTITUTE(INDEX('CASE MASTER'!$N$2:$N$495,(SUMPRODUCT((('CASE MASTER'!$T$2:$T$495=4)*('CASE MASTER'!$U$2:$U$495&lt;=8)*('CASE MASTER'!$W$2:$W$495&gt;=8)*('CASE MASTER'!$V$2:$V$495&lt;=1)*('CASE MASTER'!$X$2:$X$495&gt;=1))*ROW('CASE MASTER'!$T$2:$T$495))-(ROW('CASE MASTER'!#REF!)-1))),":",","),",",REPT(" ",50)),((((8-INDEX('CASE MASTER'!$U$2:$U$495,(SUMPRODUCT((('CASE MASTER'!$T$2:$T$495=4)*('CASE MASTER'!$U$2:$U$495&lt;=8)*('CASE MASTER'!$W$2:$W$495&gt;=8)*('CASE MASTER'!$V$2:$V$495&lt;=1)*('CASE MASTER'!$X$2:$X$495&gt;=1))*ROW('CASE MASTER'!$T$2:$T$495))-(ROW('CASE MASTER'!#REF!)-1))))*(INDEX('CASE MASTER'!$X$2:$X$495,(SUMPRODUCT((('CASE MASTER'!$T$2:$T$495=4)*('CASE MASTER'!$U$2:$U$495&lt;=8)*('CASE MASTER'!$W$2:$W$495&gt;=8)*('CASE MASTER'!$V$2:$V$495&lt;=1)*('CASE MASTER'!$X$2:$X$495&gt;=1))*ROW('CASE MASTER'!$T$2:$T$495))-(ROW('CASE MASTER'!#REF!)-1)))-INDEX('CASE MASTER'!$V$2:$V$495,(SUMPRODUCT((('CASE MASTER'!$T$2:$T$495=4)*('CASE MASTER'!$U$2:$U$495&lt;=8)*('CASE MASTER'!$W$2:$W$495&gt;=8)*('CASE MASTER'!$V$2:$V$495&lt;=1)*('CASE MASTER'!$X$2:$X$495&gt;=1))*ROW('CASE MASTER'!$T$2:$T$495))-(ROW('CASE MASTER'!#REF!)-1)))+1)+(1-INDEX('CASE MASTER'!$V$2:$V$495,(SUMPRODUCT((('CASE MASTER'!$T$2:$T$495=4)*('CASE MASTER'!$U$2:$U$495&lt;=8)*('CASE MASTER'!$W$2:$W$495&gt;=8)*('CASE MASTER'!$V$2:$V$495&lt;=1)*('CASE MASTER'!$X$2:$X$495&gt;=1))*ROW('CASE MASTER'!$T$2:$T$495))-(ROW('CASE MASTER'!#REF!)-1))))+1))-1)*50+1,50))&amp;"_"&amp;INDEX('CASE MASTER'!$Q$2:$Q$495,(SUMPRODUCT((('CASE MASTER'!$T$2:$T$495=4)*('CASE MASTER'!$U$2:$U$495&lt;=8)*('CASE MASTER'!$W$2:$W$495&gt;=8)*('CASE MASTER'!$V$2:$V$495&lt;=1)*('CASE MASTER'!$X$2:$X$495&gt;=1))*ROW('CASE MASTER'!$T$2:$T$495))-(ROW('CASE MASTER'!#REF!)-1))),IF(SUMPRODUCT((('CASE MASTER'!$T$2:$T$495=4)*('CASE MASTER'!$AA$2:$AA$495&lt;=8)*('CASE MASTER'!$AC$2:$AC$495&gt;=8)*('CASE MASTER'!$AB$2:$AB$495&lt;=1)*('CASE MASTER'!$AD$2:$AD$495&gt;=1))*ROW('CASE MASTER'!$T$2:$T$495))&gt;0,INDEX('CASE MASTER'!$Y$2:$Y$495,(SUMPRODUCT((('CASE MASTER'!$T$2:$T$495=4)*('CASE MASTER'!$AA$2:$AA$495&lt;=8)*('CASE MASTER'!$AC$2:$AC$495&gt;=8)*('CASE MASTER'!$AB$2:$AB$495&lt;=1)*('CASE MASTER'!$AD$2:$AD$495&gt;=1))*ROW('CASE MASTER'!$T$2:$T$495))-(ROW('CASE MASTER'!#REF!)-1)))&amp;TRIM(MID(SUBSTITUTE(SUBSTITUTE(INDEX('CASE MASTER'!$N$2:$N$495,(SUMPRODUCT((('CASE MASTER'!$T$2:$T$495=4)*('CASE MASTER'!$AA$2:$AA$495&lt;=8)*('CASE MASTER'!$AC$2:$AC$495&gt;=8)*('CASE MASTER'!$AB$2:$AB$495&lt;=1)*('CASE MASTER'!$AD$2:$AD$495&gt;=1))*ROW('CASE MASTER'!$T$2:$T$495))-(ROW('CASE MASTER'!#REF!)-1))),":",","),",",REPT(" ",50)),(((INDEX('CASE MASTER'!$Z$2:$Z$495,(SUMPRODUCT((('CASE MASTER'!$T$2:$T$495=4)*('CASE MASTER'!$AA$2:$AA$495&lt;=8)*('CASE MASTER'!$AC$2:$AC$495&gt;=8)*('CASE MASTER'!$AB$2:$AB$495&lt;=1)*('CASE MASTER'!$AD$2:$AD$495&gt;=1))*ROW('CASE MASTER'!$T$2:$T$495))-(ROW('CASE MASTER'!#REF!)-1)))+((8-INDEX('CASE MASTER'!$AA$2:$AA$495,(SUMPRODUCT((('CASE MASTER'!$T$2:$T$495=4)*('CASE MASTER'!$AA$2:$AA$495&lt;=8)*('CASE MASTER'!$AC$2:$AC$495&gt;=8)*('CASE MASTER'!$AB$2:$AB$495&lt;=1)*('CASE MASTER'!$AD$2:$AD$495&gt;=1))*ROW('CASE MASTER'!$T$2:$T$495))-(ROW('CASE MASTER'!#REF!)-1))))*(INDEX('CASE MASTER'!$AD$2:$AD$495,(SUMPRODUCT((('CASE MASTER'!$T$2:$T$495=4)*('CASE MASTER'!$AA$2:$AA$495&lt;=8)*('CASE MASTER'!$AC$2:$AC$495&gt;=8)*('CASE MASTER'!$AB$2:$AB$495&lt;=1)*('CASE MASTER'!$AD$2:$AD$495&gt;=1))*ROW('CASE MASTER'!$T$2:$T$495))-(ROW('CASE MASTER'!#REF!)-1)))-INDEX('CASE MASTER'!$AB$2:$AB$495,(SUMPRODUCT((('CASE MASTER'!$T$2:$T$495=4)*('CASE MASTER'!$AA$2:$AA$495&lt;=8)*('CASE MASTER'!$AC$2:$AC$495&gt;=8)*('CASE MASTER'!$AB$2:$AB$495&lt;=1)*('CASE MASTER'!$AD$2:$AD$495&gt;=1))*ROW('CASE MASTER'!$T$2:$T$495))-(ROW('CASE MASTER'!#REF!)-1)))+1)+(1-INDEX('CASE MASTER'!$AB$2:$AB$495,(SUMPRODUCT((('CASE MASTER'!$T$2:$T$495=4)*('CASE MASTER'!$AA$2:$AA$495&lt;=8)*('CASE MASTER'!$AC$2:$AC$495&gt;=8)*('CASE MASTER'!$AB$2:$AB$495&lt;=1)*('CASE MASTER'!$AD$2:$AD$495&gt;=1))*ROW('CASE MASTER'!$T$2:$T$495))-(ROW('CASE MASTER'!#REF!)-1))))+1)))-1)*50+1,50))&amp;"_"&amp;INDEX('CASE MASTER'!$Q$2:$Q$495,(SUMPRODUCT((('CASE MASTER'!$T$2:$T$495=4)*('CASE MASTER'!$AA$2:$AA$495&lt;=8)*('CASE MASTER'!$AC$2:$AC$495&gt;=8)*('CASE MASTER'!$AB$2:$AB$495&lt;=1)*('CASE MASTER'!$AD$2:$AD$495&gt;=1))*ROW('CASE MASTER'!$T$2:$T$495))-(ROW('CASE MASTER'!#REF!)-1))),"")),"")</f>
        <v/>
      </c>
      <c r="C52" s="10" t="str">
        <f>IFERROR(IF(SUMPRODUCT((('CASE MASTER'!$T$2:$T$495=4)*('CASE MASTER'!$U$2:$U$495&lt;=8)*('CASE MASTER'!$W$2:$W$495&gt;=8)*('CASE MASTER'!$V$2:$V$495&lt;=2)*('CASE MASTER'!$X$2:$X$495&gt;=2))*ROW('CASE MASTER'!$T$2:$T$495))&gt;0,INDEX('CASE MASTER'!$Y$2:$Y$495,(SUMPRODUCT((('CASE MASTER'!$T$2:$T$495=4)*('CASE MASTER'!$U$2:$U$495&lt;=8)*('CASE MASTER'!$W$2:$W$495&gt;=8)*('CASE MASTER'!$V$2:$V$495&lt;=2)*('CASE MASTER'!$X$2:$X$495&gt;=2))*ROW('CASE MASTER'!$T$2:$T$495))-(ROW('CASE MASTER'!#REF!)-1)))&amp;TRIM(MID(SUBSTITUTE(SUBSTITUTE(INDEX('CASE MASTER'!$N$2:$N$495,(SUMPRODUCT((('CASE MASTER'!$T$2:$T$495=4)*('CASE MASTER'!$U$2:$U$495&lt;=8)*('CASE MASTER'!$W$2:$W$495&gt;=8)*('CASE MASTER'!$V$2:$V$495&lt;=2)*('CASE MASTER'!$X$2:$X$495&gt;=2))*ROW('CASE MASTER'!$T$2:$T$495))-(ROW('CASE MASTER'!#REF!)-1))),":",","),",",REPT(" ",50)),((((8-INDEX('CASE MASTER'!$U$2:$U$495,(SUMPRODUCT((('CASE MASTER'!$T$2:$T$495=4)*('CASE MASTER'!$U$2:$U$495&lt;=8)*('CASE MASTER'!$W$2:$W$495&gt;=8)*('CASE MASTER'!$V$2:$V$495&lt;=2)*('CASE MASTER'!$X$2:$X$495&gt;=2))*ROW('CASE MASTER'!$T$2:$T$495))-(ROW('CASE MASTER'!#REF!)-1))))*(INDEX('CASE MASTER'!$X$2:$X$495,(SUMPRODUCT((('CASE MASTER'!$T$2:$T$495=4)*('CASE MASTER'!$U$2:$U$495&lt;=8)*('CASE MASTER'!$W$2:$W$495&gt;=8)*('CASE MASTER'!$V$2:$V$495&lt;=2)*('CASE MASTER'!$X$2:$X$495&gt;=2))*ROW('CASE MASTER'!$T$2:$T$495))-(ROW('CASE MASTER'!#REF!)-1)))-INDEX('CASE MASTER'!$V$2:$V$495,(SUMPRODUCT((('CASE MASTER'!$T$2:$T$495=4)*('CASE MASTER'!$U$2:$U$495&lt;=8)*('CASE MASTER'!$W$2:$W$495&gt;=8)*('CASE MASTER'!$V$2:$V$495&lt;=2)*('CASE MASTER'!$X$2:$X$495&gt;=2))*ROW('CASE MASTER'!$T$2:$T$495))-(ROW('CASE MASTER'!#REF!)-1)))+1)+(2-INDEX('CASE MASTER'!$V$2:$V$495,(SUMPRODUCT((('CASE MASTER'!$T$2:$T$495=4)*('CASE MASTER'!$U$2:$U$495&lt;=8)*('CASE MASTER'!$W$2:$W$495&gt;=8)*('CASE MASTER'!$V$2:$V$495&lt;=2)*('CASE MASTER'!$X$2:$X$495&gt;=2))*ROW('CASE MASTER'!$T$2:$T$495))-(ROW('CASE MASTER'!#REF!)-1))))+1))-1)*50+1,50))&amp;"_"&amp;INDEX('CASE MASTER'!$Q$2:$Q$495,(SUMPRODUCT((('CASE MASTER'!$T$2:$T$495=4)*('CASE MASTER'!$U$2:$U$495&lt;=8)*('CASE MASTER'!$W$2:$W$495&gt;=8)*('CASE MASTER'!$V$2:$V$495&lt;=2)*('CASE MASTER'!$X$2:$X$495&gt;=2))*ROW('CASE MASTER'!$T$2:$T$495))-(ROW('CASE MASTER'!#REF!)-1))),IF(SUMPRODUCT((('CASE MASTER'!$T$2:$T$495=4)*('CASE MASTER'!$AA$2:$AA$495&lt;=8)*('CASE MASTER'!$AC$2:$AC$495&gt;=8)*('CASE MASTER'!$AB$2:$AB$495&lt;=2)*('CASE MASTER'!$AD$2:$AD$495&gt;=2))*ROW('CASE MASTER'!$T$2:$T$495))&gt;0,INDEX('CASE MASTER'!$Y$2:$Y$495,(SUMPRODUCT((('CASE MASTER'!$T$2:$T$495=4)*('CASE MASTER'!$AA$2:$AA$495&lt;=8)*('CASE MASTER'!$AC$2:$AC$495&gt;=8)*('CASE MASTER'!$AB$2:$AB$495&lt;=2)*('CASE MASTER'!$AD$2:$AD$495&gt;=2))*ROW('CASE MASTER'!$T$2:$T$495))-(ROW('CASE MASTER'!#REF!)-1)))&amp;TRIM(MID(SUBSTITUTE(SUBSTITUTE(INDEX('CASE MASTER'!$N$2:$N$495,(SUMPRODUCT((('CASE MASTER'!$T$2:$T$495=4)*('CASE MASTER'!$AA$2:$AA$495&lt;=8)*('CASE MASTER'!$AC$2:$AC$495&gt;=8)*('CASE MASTER'!$AB$2:$AB$495&lt;=2)*('CASE MASTER'!$AD$2:$AD$495&gt;=2))*ROW('CASE MASTER'!$T$2:$T$495))-(ROW('CASE MASTER'!#REF!)-1))),":",","),",",REPT(" ",50)),(((INDEX('CASE MASTER'!$Z$2:$Z$495,(SUMPRODUCT((('CASE MASTER'!$T$2:$T$495=4)*('CASE MASTER'!$AA$2:$AA$495&lt;=8)*('CASE MASTER'!$AC$2:$AC$495&gt;=8)*('CASE MASTER'!$AB$2:$AB$495&lt;=2)*('CASE MASTER'!$AD$2:$AD$495&gt;=2))*ROW('CASE MASTER'!$T$2:$T$495))-(ROW('CASE MASTER'!#REF!)-1)))+((8-INDEX('CASE MASTER'!$AA$2:$AA$495,(SUMPRODUCT((('CASE MASTER'!$T$2:$T$495=4)*('CASE MASTER'!$AA$2:$AA$495&lt;=8)*('CASE MASTER'!$AC$2:$AC$495&gt;=8)*('CASE MASTER'!$AB$2:$AB$495&lt;=2)*('CASE MASTER'!$AD$2:$AD$495&gt;=2))*ROW('CASE MASTER'!$T$2:$T$495))-(ROW('CASE MASTER'!#REF!)-1))))*(INDEX('CASE MASTER'!$AD$2:$AD$495,(SUMPRODUCT((('CASE MASTER'!$T$2:$T$495=4)*('CASE MASTER'!$AA$2:$AA$495&lt;=8)*('CASE MASTER'!$AC$2:$AC$495&gt;=8)*('CASE MASTER'!$AB$2:$AB$495&lt;=2)*('CASE MASTER'!$AD$2:$AD$495&gt;=2))*ROW('CASE MASTER'!$T$2:$T$495))-(ROW('CASE MASTER'!#REF!)-1)))-INDEX('CASE MASTER'!$AB$2:$AB$495,(SUMPRODUCT((('CASE MASTER'!$T$2:$T$495=4)*('CASE MASTER'!$AA$2:$AA$495&lt;=8)*('CASE MASTER'!$AC$2:$AC$495&gt;=8)*('CASE MASTER'!$AB$2:$AB$495&lt;=2)*('CASE MASTER'!$AD$2:$AD$495&gt;=2))*ROW('CASE MASTER'!$T$2:$T$495))-(ROW('CASE MASTER'!#REF!)-1)))+1)+(2-INDEX('CASE MASTER'!$AB$2:$AB$495,(SUMPRODUCT((('CASE MASTER'!$T$2:$T$495=4)*('CASE MASTER'!$AA$2:$AA$495&lt;=8)*('CASE MASTER'!$AC$2:$AC$495&gt;=8)*('CASE MASTER'!$AB$2:$AB$495&lt;=2)*('CASE MASTER'!$AD$2:$AD$495&gt;=2))*ROW('CASE MASTER'!$T$2:$T$495))-(ROW('CASE MASTER'!#REF!)-1))))+1)))-1)*50+1,50))&amp;"_"&amp;INDEX('CASE MASTER'!$Q$2:$Q$495,(SUMPRODUCT((('CASE MASTER'!$T$2:$T$495=4)*('CASE MASTER'!$AA$2:$AA$495&lt;=8)*('CASE MASTER'!$AC$2:$AC$495&gt;=8)*('CASE MASTER'!$AB$2:$AB$495&lt;=2)*('CASE MASTER'!$AD$2:$AD$495&gt;=2))*ROW('CASE MASTER'!$T$2:$T$495))-(ROW('CASE MASTER'!#REF!)-1))),"")),"")</f>
        <v/>
      </c>
      <c r="D52" s="10" t="str">
        <f>IFERROR(IF(SUMPRODUCT((('CASE MASTER'!$T$2:$T$495=4)*('CASE MASTER'!$U$2:$U$495&lt;=8)*('CASE MASTER'!$W$2:$W$495&gt;=8)*('CASE MASTER'!$V$2:$V$495&lt;=3)*('CASE MASTER'!$X$2:$X$495&gt;=3))*ROW('CASE MASTER'!$T$2:$T$495))&gt;0,INDEX('CASE MASTER'!$Y$2:$Y$495,(SUMPRODUCT((('CASE MASTER'!$T$2:$T$495=4)*('CASE MASTER'!$U$2:$U$495&lt;=8)*('CASE MASTER'!$W$2:$W$495&gt;=8)*('CASE MASTER'!$V$2:$V$495&lt;=3)*('CASE MASTER'!$X$2:$X$495&gt;=3))*ROW('CASE MASTER'!$T$2:$T$495))-(ROW('CASE MASTER'!#REF!)-1)))&amp;TRIM(MID(SUBSTITUTE(SUBSTITUTE(INDEX('CASE MASTER'!$N$2:$N$495,(SUMPRODUCT((('CASE MASTER'!$T$2:$T$495=4)*('CASE MASTER'!$U$2:$U$495&lt;=8)*('CASE MASTER'!$W$2:$W$495&gt;=8)*('CASE MASTER'!$V$2:$V$495&lt;=3)*('CASE MASTER'!$X$2:$X$495&gt;=3))*ROW('CASE MASTER'!$T$2:$T$495))-(ROW('CASE MASTER'!#REF!)-1))),":",","),",",REPT(" ",50)),((((8-INDEX('CASE MASTER'!$U$2:$U$495,(SUMPRODUCT((('CASE MASTER'!$T$2:$T$495=4)*('CASE MASTER'!$U$2:$U$495&lt;=8)*('CASE MASTER'!$W$2:$W$495&gt;=8)*('CASE MASTER'!$V$2:$V$495&lt;=3)*('CASE MASTER'!$X$2:$X$495&gt;=3))*ROW('CASE MASTER'!$T$2:$T$495))-(ROW('CASE MASTER'!#REF!)-1))))*(INDEX('CASE MASTER'!$X$2:$X$495,(SUMPRODUCT((('CASE MASTER'!$T$2:$T$495=4)*('CASE MASTER'!$U$2:$U$495&lt;=8)*('CASE MASTER'!$W$2:$W$495&gt;=8)*('CASE MASTER'!$V$2:$V$495&lt;=3)*('CASE MASTER'!$X$2:$X$495&gt;=3))*ROW('CASE MASTER'!$T$2:$T$495))-(ROW('CASE MASTER'!#REF!)-1)))-INDEX('CASE MASTER'!$V$2:$V$495,(SUMPRODUCT((('CASE MASTER'!$T$2:$T$495=4)*('CASE MASTER'!$U$2:$U$495&lt;=8)*('CASE MASTER'!$W$2:$W$495&gt;=8)*('CASE MASTER'!$V$2:$V$495&lt;=3)*('CASE MASTER'!$X$2:$X$495&gt;=3))*ROW('CASE MASTER'!$T$2:$T$495))-(ROW('CASE MASTER'!#REF!)-1)))+1)+(3-INDEX('CASE MASTER'!$V$2:$V$495,(SUMPRODUCT((('CASE MASTER'!$T$2:$T$495=4)*('CASE MASTER'!$U$2:$U$495&lt;=8)*('CASE MASTER'!$W$2:$W$495&gt;=8)*('CASE MASTER'!$V$2:$V$495&lt;=3)*('CASE MASTER'!$X$2:$X$495&gt;=3))*ROW('CASE MASTER'!$T$2:$T$495))-(ROW('CASE MASTER'!#REF!)-1))))+1))-1)*50+1,50))&amp;"_"&amp;INDEX('CASE MASTER'!$Q$2:$Q$495,(SUMPRODUCT((('CASE MASTER'!$T$2:$T$495=4)*('CASE MASTER'!$U$2:$U$495&lt;=8)*('CASE MASTER'!$W$2:$W$495&gt;=8)*('CASE MASTER'!$V$2:$V$495&lt;=3)*('CASE MASTER'!$X$2:$X$495&gt;=3))*ROW('CASE MASTER'!$T$2:$T$495))-(ROW('CASE MASTER'!#REF!)-1))),IF(SUMPRODUCT((('CASE MASTER'!$T$2:$T$495=4)*('CASE MASTER'!$AA$2:$AA$495&lt;=8)*('CASE MASTER'!$AC$2:$AC$495&gt;=8)*('CASE MASTER'!$AB$2:$AB$495&lt;=3)*('CASE MASTER'!$AD$2:$AD$495&gt;=3))*ROW('CASE MASTER'!$T$2:$T$495))&gt;0,INDEX('CASE MASTER'!$Y$2:$Y$495,(SUMPRODUCT((('CASE MASTER'!$T$2:$T$495=4)*('CASE MASTER'!$AA$2:$AA$495&lt;=8)*('CASE MASTER'!$AC$2:$AC$495&gt;=8)*('CASE MASTER'!$AB$2:$AB$495&lt;=3)*('CASE MASTER'!$AD$2:$AD$495&gt;=3))*ROW('CASE MASTER'!$T$2:$T$495))-(ROW('CASE MASTER'!#REF!)-1)))&amp;TRIM(MID(SUBSTITUTE(SUBSTITUTE(INDEX('CASE MASTER'!$N$2:$N$495,(SUMPRODUCT((('CASE MASTER'!$T$2:$T$495=4)*('CASE MASTER'!$AA$2:$AA$495&lt;=8)*('CASE MASTER'!$AC$2:$AC$495&gt;=8)*('CASE MASTER'!$AB$2:$AB$495&lt;=3)*('CASE MASTER'!$AD$2:$AD$495&gt;=3))*ROW('CASE MASTER'!$T$2:$T$495))-(ROW('CASE MASTER'!#REF!)-1))),":",","),",",REPT(" ",50)),(((INDEX('CASE MASTER'!$Z$2:$Z$495,(SUMPRODUCT((('CASE MASTER'!$T$2:$T$495=4)*('CASE MASTER'!$AA$2:$AA$495&lt;=8)*('CASE MASTER'!$AC$2:$AC$495&gt;=8)*('CASE MASTER'!$AB$2:$AB$495&lt;=3)*('CASE MASTER'!$AD$2:$AD$495&gt;=3))*ROW('CASE MASTER'!$T$2:$T$495))-(ROW('CASE MASTER'!#REF!)-1)))+((8-INDEX('CASE MASTER'!$AA$2:$AA$495,(SUMPRODUCT((('CASE MASTER'!$T$2:$T$495=4)*('CASE MASTER'!$AA$2:$AA$495&lt;=8)*('CASE MASTER'!$AC$2:$AC$495&gt;=8)*('CASE MASTER'!$AB$2:$AB$495&lt;=3)*('CASE MASTER'!$AD$2:$AD$495&gt;=3))*ROW('CASE MASTER'!$T$2:$T$495))-(ROW('CASE MASTER'!#REF!)-1))))*(INDEX('CASE MASTER'!$AD$2:$AD$495,(SUMPRODUCT((('CASE MASTER'!$T$2:$T$495=4)*('CASE MASTER'!$AA$2:$AA$495&lt;=8)*('CASE MASTER'!$AC$2:$AC$495&gt;=8)*('CASE MASTER'!$AB$2:$AB$495&lt;=3)*('CASE MASTER'!$AD$2:$AD$495&gt;=3))*ROW('CASE MASTER'!$T$2:$T$495))-(ROW('CASE MASTER'!#REF!)-1)))-INDEX('CASE MASTER'!$AB$2:$AB$495,(SUMPRODUCT((('CASE MASTER'!$T$2:$T$495=4)*('CASE MASTER'!$AA$2:$AA$495&lt;=8)*('CASE MASTER'!$AC$2:$AC$495&gt;=8)*('CASE MASTER'!$AB$2:$AB$495&lt;=3)*('CASE MASTER'!$AD$2:$AD$495&gt;=3))*ROW('CASE MASTER'!$T$2:$T$495))-(ROW('CASE MASTER'!#REF!)-1)))+1)+(3-INDEX('CASE MASTER'!$AB$2:$AB$495,(SUMPRODUCT((('CASE MASTER'!$T$2:$T$495=4)*('CASE MASTER'!$AA$2:$AA$495&lt;=8)*('CASE MASTER'!$AC$2:$AC$495&gt;=8)*('CASE MASTER'!$AB$2:$AB$495&lt;=3)*('CASE MASTER'!$AD$2:$AD$495&gt;=3))*ROW('CASE MASTER'!$T$2:$T$495))-(ROW('CASE MASTER'!#REF!)-1))))+1)))-1)*50+1,50))&amp;"_"&amp;INDEX('CASE MASTER'!$Q$2:$Q$495,(SUMPRODUCT((('CASE MASTER'!$T$2:$T$495=4)*('CASE MASTER'!$AA$2:$AA$495&lt;=8)*('CASE MASTER'!$AC$2:$AC$495&gt;=8)*('CASE MASTER'!$AB$2:$AB$495&lt;=3)*('CASE MASTER'!$AD$2:$AD$495&gt;=3))*ROW('CASE MASTER'!$T$2:$T$495))-(ROW('CASE MASTER'!#REF!)-1))),"")),"")</f>
        <v/>
      </c>
      <c r="E52" s="10" t="str">
        <f>IFERROR(IF(SUMPRODUCT((('CASE MASTER'!$T$2:$T$495=4)*('CASE MASTER'!$U$2:$U$495&lt;=8)*('CASE MASTER'!$W$2:$W$495&gt;=8)*('CASE MASTER'!$V$2:$V$495&lt;=4)*('CASE MASTER'!$X$2:$X$495&gt;=4))*ROW('CASE MASTER'!$T$2:$T$495))&gt;0,INDEX('CASE MASTER'!$Y$2:$Y$495,(SUMPRODUCT((('CASE MASTER'!$T$2:$T$495=4)*('CASE MASTER'!$U$2:$U$495&lt;=8)*('CASE MASTER'!$W$2:$W$495&gt;=8)*('CASE MASTER'!$V$2:$V$495&lt;=4)*('CASE MASTER'!$X$2:$X$495&gt;=4))*ROW('CASE MASTER'!$T$2:$T$495))-(ROW('CASE MASTER'!#REF!)-1)))&amp;TRIM(MID(SUBSTITUTE(SUBSTITUTE(INDEX('CASE MASTER'!$N$2:$N$495,(SUMPRODUCT((('CASE MASTER'!$T$2:$T$495=4)*('CASE MASTER'!$U$2:$U$495&lt;=8)*('CASE MASTER'!$W$2:$W$495&gt;=8)*('CASE MASTER'!$V$2:$V$495&lt;=4)*('CASE MASTER'!$X$2:$X$495&gt;=4))*ROW('CASE MASTER'!$T$2:$T$495))-(ROW('CASE MASTER'!#REF!)-1))),":",","),",",REPT(" ",50)),((((8-INDEX('CASE MASTER'!$U$2:$U$495,(SUMPRODUCT((('CASE MASTER'!$T$2:$T$495=4)*('CASE MASTER'!$U$2:$U$495&lt;=8)*('CASE MASTER'!$W$2:$W$495&gt;=8)*('CASE MASTER'!$V$2:$V$495&lt;=4)*('CASE MASTER'!$X$2:$X$495&gt;=4))*ROW('CASE MASTER'!$T$2:$T$495))-(ROW('CASE MASTER'!#REF!)-1))))*(INDEX('CASE MASTER'!$X$2:$X$495,(SUMPRODUCT((('CASE MASTER'!$T$2:$T$495=4)*('CASE MASTER'!$U$2:$U$495&lt;=8)*('CASE MASTER'!$W$2:$W$495&gt;=8)*('CASE MASTER'!$V$2:$V$495&lt;=4)*('CASE MASTER'!$X$2:$X$495&gt;=4))*ROW('CASE MASTER'!$T$2:$T$495))-(ROW('CASE MASTER'!#REF!)-1)))-INDEX('CASE MASTER'!$V$2:$V$495,(SUMPRODUCT((('CASE MASTER'!$T$2:$T$495=4)*('CASE MASTER'!$U$2:$U$495&lt;=8)*('CASE MASTER'!$W$2:$W$495&gt;=8)*('CASE MASTER'!$V$2:$V$495&lt;=4)*('CASE MASTER'!$X$2:$X$495&gt;=4))*ROW('CASE MASTER'!$T$2:$T$495))-(ROW('CASE MASTER'!#REF!)-1)))+1)+(4-INDEX('CASE MASTER'!$V$2:$V$495,(SUMPRODUCT((('CASE MASTER'!$T$2:$T$495=4)*('CASE MASTER'!$U$2:$U$495&lt;=8)*('CASE MASTER'!$W$2:$W$495&gt;=8)*('CASE MASTER'!$V$2:$V$495&lt;=4)*('CASE MASTER'!$X$2:$X$495&gt;=4))*ROW('CASE MASTER'!$T$2:$T$495))-(ROW('CASE MASTER'!#REF!)-1))))+1))-1)*50+1,50))&amp;"_"&amp;INDEX('CASE MASTER'!$Q$2:$Q$495,(SUMPRODUCT((('CASE MASTER'!$T$2:$T$495=4)*('CASE MASTER'!$U$2:$U$495&lt;=8)*('CASE MASTER'!$W$2:$W$495&gt;=8)*('CASE MASTER'!$V$2:$V$495&lt;=4)*('CASE MASTER'!$X$2:$X$495&gt;=4))*ROW('CASE MASTER'!$T$2:$T$495))-(ROW('CASE MASTER'!#REF!)-1))),IF(SUMPRODUCT((('CASE MASTER'!$T$2:$T$495=4)*('CASE MASTER'!$AA$2:$AA$495&lt;=8)*('CASE MASTER'!$AC$2:$AC$495&gt;=8)*('CASE MASTER'!$AB$2:$AB$495&lt;=4)*('CASE MASTER'!$AD$2:$AD$495&gt;=4))*ROW('CASE MASTER'!$T$2:$T$495))&gt;0,INDEX('CASE MASTER'!$Y$2:$Y$495,(SUMPRODUCT((('CASE MASTER'!$T$2:$T$495=4)*('CASE MASTER'!$AA$2:$AA$495&lt;=8)*('CASE MASTER'!$AC$2:$AC$495&gt;=8)*('CASE MASTER'!$AB$2:$AB$495&lt;=4)*('CASE MASTER'!$AD$2:$AD$495&gt;=4))*ROW('CASE MASTER'!$T$2:$T$495))-(ROW('CASE MASTER'!#REF!)-1)))&amp;TRIM(MID(SUBSTITUTE(SUBSTITUTE(INDEX('CASE MASTER'!$N$2:$N$495,(SUMPRODUCT((('CASE MASTER'!$T$2:$T$495=4)*('CASE MASTER'!$AA$2:$AA$495&lt;=8)*('CASE MASTER'!$AC$2:$AC$495&gt;=8)*('CASE MASTER'!$AB$2:$AB$495&lt;=4)*('CASE MASTER'!$AD$2:$AD$495&gt;=4))*ROW('CASE MASTER'!$T$2:$T$495))-(ROW('CASE MASTER'!#REF!)-1))),":",","),",",REPT(" ",50)),(((INDEX('CASE MASTER'!$Z$2:$Z$495,(SUMPRODUCT((('CASE MASTER'!$T$2:$T$495=4)*('CASE MASTER'!$AA$2:$AA$495&lt;=8)*('CASE MASTER'!$AC$2:$AC$495&gt;=8)*('CASE MASTER'!$AB$2:$AB$495&lt;=4)*('CASE MASTER'!$AD$2:$AD$495&gt;=4))*ROW('CASE MASTER'!$T$2:$T$495))-(ROW('CASE MASTER'!#REF!)-1)))+((8-INDEX('CASE MASTER'!$AA$2:$AA$495,(SUMPRODUCT((('CASE MASTER'!$T$2:$T$495=4)*('CASE MASTER'!$AA$2:$AA$495&lt;=8)*('CASE MASTER'!$AC$2:$AC$495&gt;=8)*('CASE MASTER'!$AB$2:$AB$495&lt;=4)*('CASE MASTER'!$AD$2:$AD$495&gt;=4))*ROW('CASE MASTER'!$T$2:$T$495))-(ROW('CASE MASTER'!#REF!)-1))))*(INDEX('CASE MASTER'!$AD$2:$AD$495,(SUMPRODUCT((('CASE MASTER'!$T$2:$T$495=4)*('CASE MASTER'!$AA$2:$AA$495&lt;=8)*('CASE MASTER'!$AC$2:$AC$495&gt;=8)*('CASE MASTER'!$AB$2:$AB$495&lt;=4)*('CASE MASTER'!$AD$2:$AD$495&gt;=4))*ROW('CASE MASTER'!$T$2:$T$495))-(ROW('CASE MASTER'!#REF!)-1)))-INDEX('CASE MASTER'!$AB$2:$AB$495,(SUMPRODUCT((('CASE MASTER'!$T$2:$T$495=4)*('CASE MASTER'!$AA$2:$AA$495&lt;=8)*('CASE MASTER'!$AC$2:$AC$495&gt;=8)*('CASE MASTER'!$AB$2:$AB$495&lt;=4)*('CASE MASTER'!$AD$2:$AD$495&gt;=4))*ROW('CASE MASTER'!$T$2:$T$495))-(ROW('CASE MASTER'!#REF!)-1)))+1)+(4-INDEX('CASE MASTER'!$AB$2:$AB$495,(SUMPRODUCT((('CASE MASTER'!$T$2:$T$495=4)*('CASE MASTER'!$AA$2:$AA$495&lt;=8)*('CASE MASTER'!$AC$2:$AC$495&gt;=8)*('CASE MASTER'!$AB$2:$AB$495&lt;=4)*('CASE MASTER'!$AD$2:$AD$495&gt;=4))*ROW('CASE MASTER'!$T$2:$T$495))-(ROW('CASE MASTER'!#REF!)-1))))+1)))-1)*50+1,50))&amp;"_"&amp;INDEX('CASE MASTER'!$Q$2:$Q$495,(SUMPRODUCT((('CASE MASTER'!$T$2:$T$495=4)*('CASE MASTER'!$AA$2:$AA$495&lt;=8)*('CASE MASTER'!$AC$2:$AC$495&gt;=8)*('CASE MASTER'!$AB$2:$AB$495&lt;=4)*('CASE MASTER'!$AD$2:$AD$495&gt;=4))*ROW('CASE MASTER'!$T$2:$T$495))-(ROW('CASE MASTER'!#REF!)-1))),"")),"")</f>
        <v/>
      </c>
      <c r="F52" s="10" t="str">
        <f>IFERROR(IF(SUMPRODUCT((('CASE MASTER'!$T$2:$T$495=4)*('CASE MASTER'!$U$2:$U$495&lt;=8)*('CASE MASTER'!$W$2:$W$495&gt;=8)*('CASE MASTER'!$V$2:$V$495&lt;=5)*('CASE MASTER'!$X$2:$X$495&gt;=5))*ROW('CASE MASTER'!$T$2:$T$495))&gt;0,INDEX('CASE MASTER'!$Y$2:$Y$495,(SUMPRODUCT((('CASE MASTER'!$T$2:$T$495=4)*('CASE MASTER'!$U$2:$U$495&lt;=8)*('CASE MASTER'!$W$2:$W$495&gt;=8)*('CASE MASTER'!$V$2:$V$495&lt;=5)*('CASE MASTER'!$X$2:$X$495&gt;=5))*ROW('CASE MASTER'!$T$2:$T$495))-(ROW('CASE MASTER'!#REF!)-1)))&amp;TRIM(MID(SUBSTITUTE(SUBSTITUTE(INDEX('CASE MASTER'!$N$2:$N$495,(SUMPRODUCT((('CASE MASTER'!$T$2:$T$495=4)*('CASE MASTER'!$U$2:$U$495&lt;=8)*('CASE MASTER'!$W$2:$W$495&gt;=8)*('CASE MASTER'!$V$2:$V$495&lt;=5)*('CASE MASTER'!$X$2:$X$495&gt;=5))*ROW('CASE MASTER'!$T$2:$T$495))-(ROW('CASE MASTER'!#REF!)-1))),":",","),",",REPT(" ",50)),((((8-INDEX('CASE MASTER'!$U$2:$U$495,(SUMPRODUCT((('CASE MASTER'!$T$2:$T$495=4)*('CASE MASTER'!$U$2:$U$495&lt;=8)*('CASE MASTER'!$W$2:$W$495&gt;=8)*('CASE MASTER'!$V$2:$V$495&lt;=5)*('CASE MASTER'!$X$2:$X$495&gt;=5))*ROW('CASE MASTER'!$T$2:$T$495))-(ROW('CASE MASTER'!#REF!)-1))))*(INDEX('CASE MASTER'!$X$2:$X$495,(SUMPRODUCT((('CASE MASTER'!$T$2:$T$495=4)*('CASE MASTER'!$U$2:$U$495&lt;=8)*('CASE MASTER'!$W$2:$W$495&gt;=8)*('CASE MASTER'!$V$2:$V$495&lt;=5)*('CASE MASTER'!$X$2:$X$495&gt;=5))*ROW('CASE MASTER'!$T$2:$T$495))-(ROW('CASE MASTER'!#REF!)-1)))-INDEX('CASE MASTER'!$V$2:$V$495,(SUMPRODUCT((('CASE MASTER'!$T$2:$T$495=4)*('CASE MASTER'!$U$2:$U$495&lt;=8)*('CASE MASTER'!$W$2:$W$495&gt;=8)*('CASE MASTER'!$V$2:$V$495&lt;=5)*('CASE MASTER'!$X$2:$X$495&gt;=5))*ROW('CASE MASTER'!$T$2:$T$495))-(ROW('CASE MASTER'!#REF!)-1)))+1)+(5-INDEX('CASE MASTER'!$V$2:$V$495,(SUMPRODUCT((('CASE MASTER'!$T$2:$T$495=4)*('CASE MASTER'!$U$2:$U$495&lt;=8)*('CASE MASTER'!$W$2:$W$495&gt;=8)*('CASE MASTER'!$V$2:$V$495&lt;=5)*('CASE MASTER'!$X$2:$X$495&gt;=5))*ROW('CASE MASTER'!$T$2:$T$495))-(ROW('CASE MASTER'!#REF!)-1))))+1))-1)*50+1,50))&amp;"_"&amp;INDEX('CASE MASTER'!$Q$2:$Q$495,(SUMPRODUCT((('CASE MASTER'!$T$2:$T$495=4)*('CASE MASTER'!$U$2:$U$495&lt;=8)*('CASE MASTER'!$W$2:$W$495&gt;=8)*('CASE MASTER'!$V$2:$V$495&lt;=5)*('CASE MASTER'!$X$2:$X$495&gt;=5))*ROW('CASE MASTER'!$T$2:$T$495))-(ROW('CASE MASTER'!#REF!)-1))),IF(SUMPRODUCT((('CASE MASTER'!$T$2:$T$495=4)*('CASE MASTER'!$AA$2:$AA$495&lt;=8)*('CASE MASTER'!$AC$2:$AC$495&gt;=8)*('CASE MASTER'!$AB$2:$AB$495&lt;=5)*('CASE MASTER'!$AD$2:$AD$495&gt;=5))*ROW('CASE MASTER'!$T$2:$T$495))&gt;0,INDEX('CASE MASTER'!$Y$2:$Y$495,(SUMPRODUCT((('CASE MASTER'!$T$2:$T$495=4)*('CASE MASTER'!$AA$2:$AA$495&lt;=8)*('CASE MASTER'!$AC$2:$AC$495&gt;=8)*('CASE MASTER'!$AB$2:$AB$495&lt;=5)*('CASE MASTER'!$AD$2:$AD$495&gt;=5))*ROW('CASE MASTER'!$T$2:$T$495))-(ROW('CASE MASTER'!#REF!)-1)))&amp;TRIM(MID(SUBSTITUTE(SUBSTITUTE(INDEX('CASE MASTER'!$N$2:$N$495,(SUMPRODUCT((('CASE MASTER'!$T$2:$T$495=4)*('CASE MASTER'!$AA$2:$AA$495&lt;=8)*('CASE MASTER'!$AC$2:$AC$495&gt;=8)*('CASE MASTER'!$AB$2:$AB$495&lt;=5)*('CASE MASTER'!$AD$2:$AD$495&gt;=5))*ROW('CASE MASTER'!$T$2:$T$495))-(ROW('CASE MASTER'!#REF!)-1))),":",","),",",REPT(" ",50)),(((INDEX('CASE MASTER'!$Z$2:$Z$495,(SUMPRODUCT((('CASE MASTER'!$T$2:$T$495=4)*('CASE MASTER'!$AA$2:$AA$495&lt;=8)*('CASE MASTER'!$AC$2:$AC$495&gt;=8)*('CASE MASTER'!$AB$2:$AB$495&lt;=5)*('CASE MASTER'!$AD$2:$AD$495&gt;=5))*ROW('CASE MASTER'!$T$2:$T$495))-(ROW('CASE MASTER'!#REF!)-1)))+((8-INDEX('CASE MASTER'!$AA$2:$AA$495,(SUMPRODUCT((('CASE MASTER'!$T$2:$T$495=4)*('CASE MASTER'!$AA$2:$AA$495&lt;=8)*('CASE MASTER'!$AC$2:$AC$495&gt;=8)*('CASE MASTER'!$AB$2:$AB$495&lt;=5)*('CASE MASTER'!$AD$2:$AD$495&gt;=5))*ROW('CASE MASTER'!$T$2:$T$495))-(ROW('CASE MASTER'!#REF!)-1))))*(INDEX('CASE MASTER'!$AD$2:$AD$495,(SUMPRODUCT((('CASE MASTER'!$T$2:$T$495=4)*('CASE MASTER'!$AA$2:$AA$495&lt;=8)*('CASE MASTER'!$AC$2:$AC$495&gt;=8)*('CASE MASTER'!$AB$2:$AB$495&lt;=5)*('CASE MASTER'!$AD$2:$AD$495&gt;=5))*ROW('CASE MASTER'!$T$2:$T$495))-(ROW('CASE MASTER'!#REF!)-1)))-INDEX('CASE MASTER'!$AB$2:$AB$495,(SUMPRODUCT((('CASE MASTER'!$T$2:$T$495=4)*('CASE MASTER'!$AA$2:$AA$495&lt;=8)*('CASE MASTER'!$AC$2:$AC$495&gt;=8)*('CASE MASTER'!$AB$2:$AB$495&lt;=5)*('CASE MASTER'!$AD$2:$AD$495&gt;=5))*ROW('CASE MASTER'!$T$2:$T$495))-(ROW('CASE MASTER'!#REF!)-1)))+1)+(5-INDEX('CASE MASTER'!$AB$2:$AB$495,(SUMPRODUCT((('CASE MASTER'!$T$2:$T$495=4)*('CASE MASTER'!$AA$2:$AA$495&lt;=8)*('CASE MASTER'!$AC$2:$AC$495&gt;=8)*('CASE MASTER'!$AB$2:$AB$495&lt;=5)*('CASE MASTER'!$AD$2:$AD$495&gt;=5))*ROW('CASE MASTER'!$T$2:$T$495))-(ROW('CASE MASTER'!#REF!)-1))))+1)))-1)*50+1,50))&amp;"_"&amp;INDEX('CASE MASTER'!$Q$2:$Q$495,(SUMPRODUCT((('CASE MASTER'!$T$2:$T$495=4)*('CASE MASTER'!$AA$2:$AA$495&lt;=8)*('CASE MASTER'!$AC$2:$AC$495&gt;=8)*('CASE MASTER'!$AB$2:$AB$495&lt;=5)*('CASE MASTER'!$AD$2:$AD$495&gt;=5))*ROW('CASE MASTER'!$T$2:$T$495))-(ROW('CASE MASTER'!#REF!)-1))),"")),"")</f>
        <v/>
      </c>
      <c r="G52" s="10" t="str">
        <f>IFERROR(IF(SUMPRODUCT((('CASE MASTER'!$T$2:$T$495=4)*('CASE MASTER'!$U$2:$U$495&lt;=8)*('CASE MASTER'!$W$2:$W$495&gt;=8)*('CASE MASTER'!$V$2:$V$495&lt;=6)*('CASE MASTER'!$X$2:$X$495&gt;=6))*ROW('CASE MASTER'!$T$2:$T$495))&gt;0,INDEX('CASE MASTER'!$Y$2:$Y$495,(SUMPRODUCT((('CASE MASTER'!$T$2:$T$495=4)*('CASE MASTER'!$U$2:$U$495&lt;=8)*('CASE MASTER'!$W$2:$W$495&gt;=8)*('CASE MASTER'!$V$2:$V$495&lt;=6)*('CASE MASTER'!$X$2:$X$495&gt;=6))*ROW('CASE MASTER'!$T$2:$T$495))-(ROW('CASE MASTER'!#REF!)-1)))&amp;TRIM(MID(SUBSTITUTE(SUBSTITUTE(INDEX('CASE MASTER'!$N$2:$N$495,(SUMPRODUCT((('CASE MASTER'!$T$2:$T$495=4)*('CASE MASTER'!$U$2:$U$495&lt;=8)*('CASE MASTER'!$W$2:$W$495&gt;=8)*('CASE MASTER'!$V$2:$V$495&lt;=6)*('CASE MASTER'!$X$2:$X$495&gt;=6))*ROW('CASE MASTER'!$T$2:$T$495))-(ROW('CASE MASTER'!#REF!)-1))),":",","),",",REPT(" ",50)),((((8-INDEX('CASE MASTER'!$U$2:$U$495,(SUMPRODUCT((('CASE MASTER'!$T$2:$T$495=4)*('CASE MASTER'!$U$2:$U$495&lt;=8)*('CASE MASTER'!$W$2:$W$495&gt;=8)*('CASE MASTER'!$V$2:$V$495&lt;=6)*('CASE MASTER'!$X$2:$X$495&gt;=6))*ROW('CASE MASTER'!$T$2:$T$495))-(ROW('CASE MASTER'!#REF!)-1))))*(INDEX('CASE MASTER'!$X$2:$X$495,(SUMPRODUCT((('CASE MASTER'!$T$2:$T$495=4)*('CASE MASTER'!$U$2:$U$495&lt;=8)*('CASE MASTER'!$W$2:$W$495&gt;=8)*('CASE MASTER'!$V$2:$V$495&lt;=6)*('CASE MASTER'!$X$2:$X$495&gt;=6))*ROW('CASE MASTER'!$T$2:$T$495))-(ROW('CASE MASTER'!#REF!)-1)))-INDEX('CASE MASTER'!$V$2:$V$495,(SUMPRODUCT((('CASE MASTER'!$T$2:$T$495=4)*('CASE MASTER'!$U$2:$U$495&lt;=8)*('CASE MASTER'!$W$2:$W$495&gt;=8)*('CASE MASTER'!$V$2:$V$495&lt;=6)*('CASE MASTER'!$X$2:$X$495&gt;=6))*ROW('CASE MASTER'!$T$2:$T$495))-(ROW('CASE MASTER'!#REF!)-1)))+1)+(6-INDEX('CASE MASTER'!$V$2:$V$495,(SUMPRODUCT((('CASE MASTER'!$T$2:$T$495=4)*('CASE MASTER'!$U$2:$U$495&lt;=8)*('CASE MASTER'!$W$2:$W$495&gt;=8)*('CASE MASTER'!$V$2:$V$495&lt;=6)*('CASE MASTER'!$X$2:$X$495&gt;=6))*ROW('CASE MASTER'!$T$2:$T$495))-(ROW('CASE MASTER'!#REF!)-1))))+1))-1)*50+1,50))&amp;"_"&amp;INDEX('CASE MASTER'!$Q$2:$Q$495,(SUMPRODUCT((('CASE MASTER'!$T$2:$T$495=4)*('CASE MASTER'!$U$2:$U$495&lt;=8)*('CASE MASTER'!$W$2:$W$495&gt;=8)*('CASE MASTER'!$V$2:$V$495&lt;=6)*('CASE MASTER'!$X$2:$X$495&gt;=6))*ROW('CASE MASTER'!$T$2:$T$495))-(ROW('CASE MASTER'!#REF!)-1))),IF(SUMPRODUCT((('CASE MASTER'!$T$2:$T$495=4)*('CASE MASTER'!$AA$2:$AA$495&lt;=8)*('CASE MASTER'!$AC$2:$AC$495&gt;=8)*('CASE MASTER'!$AB$2:$AB$495&lt;=6)*('CASE MASTER'!$AD$2:$AD$495&gt;=6))*ROW('CASE MASTER'!$T$2:$T$495))&gt;0,INDEX('CASE MASTER'!$Y$2:$Y$495,(SUMPRODUCT((('CASE MASTER'!$T$2:$T$495=4)*('CASE MASTER'!$AA$2:$AA$495&lt;=8)*('CASE MASTER'!$AC$2:$AC$495&gt;=8)*('CASE MASTER'!$AB$2:$AB$495&lt;=6)*('CASE MASTER'!$AD$2:$AD$495&gt;=6))*ROW('CASE MASTER'!$T$2:$T$495))-(ROW('CASE MASTER'!#REF!)-1)))&amp;TRIM(MID(SUBSTITUTE(SUBSTITUTE(INDEX('CASE MASTER'!$N$2:$N$495,(SUMPRODUCT((('CASE MASTER'!$T$2:$T$495=4)*('CASE MASTER'!$AA$2:$AA$495&lt;=8)*('CASE MASTER'!$AC$2:$AC$495&gt;=8)*('CASE MASTER'!$AB$2:$AB$495&lt;=6)*('CASE MASTER'!$AD$2:$AD$495&gt;=6))*ROW('CASE MASTER'!$T$2:$T$495))-(ROW('CASE MASTER'!#REF!)-1))),":",","),",",REPT(" ",50)),(((INDEX('CASE MASTER'!$Z$2:$Z$495,(SUMPRODUCT((('CASE MASTER'!$T$2:$T$495=4)*('CASE MASTER'!$AA$2:$AA$495&lt;=8)*('CASE MASTER'!$AC$2:$AC$495&gt;=8)*('CASE MASTER'!$AB$2:$AB$495&lt;=6)*('CASE MASTER'!$AD$2:$AD$495&gt;=6))*ROW('CASE MASTER'!$T$2:$T$495))-(ROW('CASE MASTER'!#REF!)-1)))+((8-INDEX('CASE MASTER'!$AA$2:$AA$495,(SUMPRODUCT((('CASE MASTER'!$T$2:$T$495=4)*('CASE MASTER'!$AA$2:$AA$495&lt;=8)*('CASE MASTER'!$AC$2:$AC$495&gt;=8)*('CASE MASTER'!$AB$2:$AB$495&lt;=6)*('CASE MASTER'!$AD$2:$AD$495&gt;=6))*ROW('CASE MASTER'!$T$2:$T$495))-(ROW('CASE MASTER'!#REF!)-1))))*(INDEX('CASE MASTER'!$AD$2:$AD$495,(SUMPRODUCT((('CASE MASTER'!$T$2:$T$495=4)*('CASE MASTER'!$AA$2:$AA$495&lt;=8)*('CASE MASTER'!$AC$2:$AC$495&gt;=8)*('CASE MASTER'!$AB$2:$AB$495&lt;=6)*('CASE MASTER'!$AD$2:$AD$495&gt;=6))*ROW('CASE MASTER'!$T$2:$T$495))-(ROW('CASE MASTER'!#REF!)-1)))-INDEX('CASE MASTER'!$AB$2:$AB$495,(SUMPRODUCT((('CASE MASTER'!$T$2:$T$495=4)*('CASE MASTER'!$AA$2:$AA$495&lt;=8)*('CASE MASTER'!$AC$2:$AC$495&gt;=8)*('CASE MASTER'!$AB$2:$AB$495&lt;=6)*('CASE MASTER'!$AD$2:$AD$495&gt;=6))*ROW('CASE MASTER'!$T$2:$T$495))-(ROW('CASE MASTER'!#REF!)-1)))+1)+(6-INDEX('CASE MASTER'!$AB$2:$AB$495,(SUMPRODUCT((('CASE MASTER'!$T$2:$T$495=4)*('CASE MASTER'!$AA$2:$AA$495&lt;=8)*('CASE MASTER'!$AC$2:$AC$495&gt;=8)*('CASE MASTER'!$AB$2:$AB$495&lt;=6)*('CASE MASTER'!$AD$2:$AD$495&gt;=6))*ROW('CASE MASTER'!$T$2:$T$495))-(ROW('CASE MASTER'!#REF!)-1))))+1)))-1)*50+1,50))&amp;"_"&amp;INDEX('CASE MASTER'!$Q$2:$Q$495,(SUMPRODUCT((('CASE MASTER'!$T$2:$T$495=4)*('CASE MASTER'!$AA$2:$AA$495&lt;=8)*('CASE MASTER'!$AC$2:$AC$495&gt;=8)*('CASE MASTER'!$AB$2:$AB$495&lt;=6)*('CASE MASTER'!$AD$2:$AD$495&gt;=6))*ROW('CASE MASTER'!$T$2:$T$495))-(ROW('CASE MASTER'!#REF!)-1))),"")),"")</f>
        <v/>
      </c>
      <c r="H52" s="10" t="str">
        <f>IFERROR(IF(SUMPRODUCT((('CASE MASTER'!$T$2:$T$495=4)*('CASE MASTER'!$U$2:$U$495&lt;=8)*('CASE MASTER'!$W$2:$W$495&gt;=8)*('CASE MASTER'!$V$2:$V$495&lt;=7)*('CASE MASTER'!$X$2:$X$495&gt;=7))*ROW('CASE MASTER'!$T$2:$T$495))&gt;0,INDEX('CASE MASTER'!$Y$2:$Y$495,(SUMPRODUCT((('CASE MASTER'!$T$2:$T$495=4)*('CASE MASTER'!$U$2:$U$495&lt;=8)*('CASE MASTER'!$W$2:$W$495&gt;=8)*('CASE MASTER'!$V$2:$V$495&lt;=7)*('CASE MASTER'!$X$2:$X$495&gt;=7))*ROW('CASE MASTER'!$T$2:$T$495))-(ROW('CASE MASTER'!#REF!)-1)))&amp;TRIM(MID(SUBSTITUTE(SUBSTITUTE(INDEX('CASE MASTER'!$N$2:$N$495,(SUMPRODUCT((('CASE MASTER'!$T$2:$T$495=4)*('CASE MASTER'!$U$2:$U$495&lt;=8)*('CASE MASTER'!$W$2:$W$495&gt;=8)*('CASE MASTER'!$V$2:$V$495&lt;=7)*('CASE MASTER'!$X$2:$X$495&gt;=7))*ROW('CASE MASTER'!$T$2:$T$495))-(ROW('CASE MASTER'!#REF!)-1))),":",","),",",REPT(" ",50)),((((8-INDEX('CASE MASTER'!$U$2:$U$495,(SUMPRODUCT((('CASE MASTER'!$T$2:$T$495=4)*('CASE MASTER'!$U$2:$U$495&lt;=8)*('CASE MASTER'!$W$2:$W$495&gt;=8)*('CASE MASTER'!$V$2:$V$495&lt;=7)*('CASE MASTER'!$X$2:$X$495&gt;=7))*ROW('CASE MASTER'!$T$2:$T$495))-(ROW('CASE MASTER'!#REF!)-1))))*(INDEX('CASE MASTER'!$X$2:$X$495,(SUMPRODUCT((('CASE MASTER'!$T$2:$T$495=4)*('CASE MASTER'!$U$2:$U$495&lt;=8)*('CASE MASTER'!$W$2:$W$495&gt;=8)*('CASE MASTER'!$V$2:$V$495&lt;=7)*('CASE MASTER'!$X$2:$X$495&gt;=7))*ROW('CASE MASTER'!$T$2:$T$495))-(ROW('CASE MASTER'!#REF!)-1)))-INDEX('CASE MASTER'!$V$2:$V$495,(SUMPRODUCT((('CASE MASTER'!$T$2:$T$495=4)*('CASE MASTER'!$U$2:$U$495&lt;=8)*('CASE MASTER'!$W$2:$W$495&gt;=8)*('CASE MASTER'!$V$2:$V$495&lt;=7)*('CASE MASTER'!$X$2:$X$495&gt;=7))*ROW('CASE MASTER'!$T$2:$T$495))-(ROW('CASE MASTER'!#REF!)-1)))+1)+(7-INDEX('CASE MASTER'!$V$2:$V$495,(SUMPRODUCT((('CASE MASTER'!$T$2:$T$495=4)*('CASE MASTER'!$U$2:$U$495&lt;=8)*('CASE MASTER'!$W$2:$W$495&gt;=8)*('CASE MASTER'!$V$2:$V$495&lt;=7)*('CASE MASTER'!$X$2:$X$495&gt;=7))*ROW('CASE MASTER'!$T$2:$T$495))-(ROW('CASE MASTER'!#REF!)-1))))+1))-1)*50+1,50))&amp;"_"&amp;INDEX('CASE MASTER'!$Q$2:$Q$495,(SUMPRODUCT((('CASE MASTER'!$T$2:$T$495=4)*('CASE MASTER'!$U$2:$U$495&lt;=8)*('CASE MASTER'!$W$2:$W$495&gt;=8)*('CASE MASTER'!$V$2:$V$495&lt;=7)*('CASE MASTER'!$X$2:$X$495&gt;=7))*ROW('CASE MASTER'!$T$2:$T$495))-(ROW('CASE MASTER'!#REF!)-1))),IF(SUMPRODUCT((('CASE MASTER'!$T$2:$T$495=4)*('CASE MASTER'!$AA$2:$AA$495&lt;=8)*('CASE MASTER'!$AC$2:$AC$495&gt;=8)*('CASE MASTER'!$AB$2:$AB$495&lt;=7)*('CASE MASTER'!$AD$2:$AD$495&gt;=7))*ROW('CASE MASTER'!$T$2:$T$495))&gt;0,INDEX('CASE MASTER'!$Y$2:$Y$495,(SUMPRODUCT((('CASE MASTER'!$T$2:$T$495=4)*('CASE MASTER'!$AA$2:$AA$495&lt;=8)*('CASE MASTER'!$AC$2:$AC$495&gt;=8)*('CASE MASTER'!$AB$2:$AB$495&lt;=7)*('CASE MASTER'!$AD$2:$AD$495&gt;=7))*ROW('CASE MASTER'!$T$2:$T$495))-(ROW('CASE MASTER'!#REF!)-1)))&amp;TRIM(MID(SUBSTITUTE(SUBSTITUTE(INDEX('CASE MASTER'!$N$2:$N$495,(SUMPRODUCT((('CASE MASTER'!$T$2:$T$495=4)*('CASE MASTER'!$AA$2:$AA$495&lt;=8)*('CASE MASTER'!$AC$2:$AC$495&gt;=8)*('CASE MASTER'!$AB$2:$AB$495&lt;=7)*('CASE MASTER'!$AD$2:$AD$495&gt;=7))*ROW('CASE MASTER'!$T$2:$T$495))-(ROW('CASE MASTER'!#REF!)-1))),":",","),",",REPT(" ",50)),(((INDEX('CASE MASTER'!$Z$2:$Z$495,(SUMPRODUCT((('CASE MASTER'!$T$2:$T$495=4)*('CASE MASTER'!$AA$2:$AA$495&lt;=8)*('CASE MASTER'!$AC$2:$AC$495&gt;=8)*('CASE MASTER'!$AB$2:$AB$495&lt;=7)*('CASE MASTER'!$AD$2:$AD$495&gt;=7))*ROW('CASE MASTER'!$T$2:$T$495))-(ROW('CASE MASTER'!#REF!)-1)))+((8-INDEX('CASE MASTER'!$AA$2:$AA$495,(SUMPRODUCT((('CASE MASTER'!$T$2:$T$495=4)*('CASE MASTER'!$AA$2:$AA$495&lt;=8)*('CASE MASTER'!$AC$2:$AC$495&gt;=8)*('CASE MASTER'!$AB$2:$AB$495&lt;=7)*('CASE MASTER'!$AD$2:$AD$495&gt;=7))*ROW('CASE MASTER'!$T$2:$T$495))-(ROW('CASE MASTER'!#REF!)-1))))*(INDEX('CASE MASTER'!$AD$2:$AD$495,(SUMPRODUCT((('CASE MASTER'!$T$2:$T$495=4)*('CASE MASTER'!$AA$2:$AA$495&lt;=8)*('CASE MASTER'!$AC$2:$AC$495&gt;=8)*('CASE MASTER'!$AB$2:$AB$495&lt;=7)*('CASE MASTER'!$AD$2:$AD$495&gt;=7))*ROW('CASE MASTER'!$T$2:$T$495))-(ROW('CASE MASTER'!#REF!)-1)))-INDEX('CASE MASTER'!$AB$2:$AB$495,(SUMPRODUCT((('CASE MASTER'!$T$2:$T$495=4)*('CASE MASTER'!$AA$2:$AA$495&lt;=8)*('CASE MASTER'!$AC$2:$AC$495&gt;=8)*('CASE MASTER'!$AB$2:$AB$495&lt;=7)*('CASE MASTER'!$AD$2:$AD$495&gt;=7))*ROW('CASE MASTER'!$T$2:$T$495))-(ROW('CASE MASTER'!#REF!)-1)))+1)+(7-INDEX('CASE MASTER'!$AB$2:$AB$495,(SUMPRODUCT((('CASE MASTER'!$T$2:$T$495=4)*('CASE MASTER'!$AA$2:$AA$495&lt;=8)*('CASE MASTER'!$AC$2:$AC$495&gt;=8)*('CASE MASTER'!$AB$2:$AB$495&lt;=7)*('CASE MASTER'!$AD$2:$AD$495&gt;=7))*ROW('CASE MASTER'!$T$2:$T$495))-(ROW('CASE MASTER'!#REF!)-1))))+1)))-1)*50+1,50))&amp;"_"&amp;INDEX('CASE MASTER'!$Q$2:$Q$495,(SUMPRODUCT((('CASE MASTER'!$T$2:$T$495=4)*('CASE MASTER'!$AA$2:$AA$495&lt;=8)*('CASE MASTER'!$AC$2:$AC$495&gt;=8)*('CASE MASTER'!$AB$2:$AB$495&lt;=7)*('CASE MASTER'!$AD$2:$AD$495&gt;=7))*ROW('CASE MASTER'!$T$2:$T$495))-(ROW('CASE MASTER'!#REF!)-1))),"")),"")</f>
        <v/>
      </c>
      <c r="I52" s="10" t="str">
        <f>IFERROR(IF(SUMPRODUCT((('CASE MASTER'!$T$2:$T$495=4)*('CASE MASTER'!$U$2:$U$495&lt;=8)*('CASE MASTER'!$W$2:$W$495&gt;=8)*('CASE MASTER'!$V$2:$V$495&lt;=8)*('CASE MASTER'!$X$2:$X$495&gt;=8))*ROW('CASE MASTER'!$T$2:$T$495))&gt;0,INDEX('CASE MASTER'!$Y$2:$Y$495,(SUMPRODUCT((('CASE MASTER'!$T$2:$T$495=4)*('CASE MASTER'!$U$2:$U$495&lt;=8)*('CASE MASTER'!$W$2:$W$495&gt;=8)*('CASE MASTER'!$V$2:$V$495&lt;=8)*('CASE MASTER'!$X$2:$X$495&gt;=8))*ROW('CASE MASTER'!$T$2:$T$495))-(ROW('CASE MASTER'!#REF!)-1)))&amp;TRIM(MID(SUBSTITUTE(SUBSTITUTE(INDEX('CASE MASTER'!$N$2:$N$495,(SUMPRODUCT((('CASE MASTER'!$T$2:$T$495=4)*('CASE MASTER'!$U$2:$U$495&lt;=8)*('CASE MASTER'!$W$2:$W$495&gt;=8)*('CASE MASTER'!$V$2:$V$495&lt;=8)*('CASE MASTER'!$X$2:$X$495&gt;=8))*ROW('CASE MASTER'!$T$2:$T$495))-(ROW('CASE MASTER'!#REF!)-1))),":",","),",",REPT(" ",50)),((((8-INDEX('CASE MASTER'!$U$2:$U$495,(SUMPRODUCT((('CASE MASTER'!$T$2:$T$495=4)*('CASE MASTER'!$U$2:$U$495&lt;=8)*('CASE MASTER'!$W$2:$W$495&gt;=8)*('CASE MASTER'!$V$2:$V$495&lt;=8)*('CASE MASTER'!$X$2:$X$495&gt;=8))*ROW('CASE MASTER'!$T$2:$T$495))-(ROW('CASE MASTER'!#REF!)-1))))*(INDEX('CASE MASTER'!$X$2:$X$495,(SUMPRODUCT((('CASE MASTER'!$T$2:$T$495=4)*('CASE MASTER'!$U$2:$U$495&lt;=8)*('CASE MASTER'!$W$2:$W$495&gt;=8)*('CASE MASTER'!$V$2:$V$495&lt;=8)*('CASE MASTER'!$X$2:$X$495&gt;=8))*ROW('CASE MASTER'!$T$2:$T$495))-(ROW('CASE MASTER'!#REF!)-1)))-INDEX('CASE MASTER'!$V$2:$V$495,(SUMPRODUCT((('CASE MASTER'!$T$2:$T$495=4)*('CASE MASTER'!$U$2:$U$495&lt;=8)*('CASE MASTER'!$W$2:$W$495&gt;=8)*('CASE MASTER'!$V$2:$V$495&lt;=8)*('CASE MASTER'!$X$2:$X$495&gt;=8))*ROW('CASE MASTER'!$T$2:$T$495))-(ROW('CASE MASTER'!#REF!)-1)))+1)+(8-INDEX('CASE MASTER'!$V$2:$V$495,(SUMPRODUCT((('CASE MASTER'!$T$2:$T$495=4)*('CASE MASTER'!$U$2:$U$495&lt;=8)*('CASE MASTER'!$W$2:$W$495&gt;=8)*('CASE MASTER'!$V$2:$V$495&lt;=8)*('CASE MASTER'!$X$2:$X$495&gt;=8))*ROW('CASE MASTER'!$T$2:$T$495))-(ROW('CASE MASTER'!#REF!)-1))))+1))-1)*50+1,50))&amp;"_"&amp;INDEX('CASE MASTER'!$Q$2:$Q$495,(SUMPRODUCT((('CASE MASTER'!$T$2:$T$495=4)*('CASE MASTER'!$U$2:$U$495&lt;=8)*('CASE MASTER'!$W$2:$W$495&gt;=8)*('CASE MASTER'!$V$2:$V$495&lt;=8)*('CASE MASTER'!$X$2:$X$495&gt;=8))*ROW('CASE MASTER'!$T$2:$T$495))-(ROW('CASE MASTER'!#REF!)-1))),IF(SUMPRODUCT((('CASE MASTER'!$T$2:$T$495=4)*('CASE MASTER'!$AA$2:$AA$495&lt;=8)*('CASE MASTER'!$AC$2:$AC$495&gt;=8)*('CASE MASTER'!$AB$2:$AB$495&lt;=8)*('CASE MASTER'!$AD$2:$AD$495&gt;=8))*ROW('CASE MASTER'!$T$2:$T$495))&gt;0,INDEX('CASE MASTER'!$Y$2:$Y$495,(SUMPRODUCT((('CASE MASTER'!$T$2:$T$495=4)*('CASE MASTER'!$AA$2:$AA$495&lt;=8)*('CASE MASTER'!$AC$2:$AC$495&gt;=8)*('CASE MASTER'!$AB$2:$AB$495&lt;=8)*('CASE MASTER'!$AD$2:$AD$495&gt;=8))*ROW('CASE MASTER'!$T$2:$T$495))-(ROW('CASE MASTER'!#REF!)-1)))&amp;TRIM(MID(SUBSTITUTE(SUBSTITUTE(INDEX('CASE MASTER'!$N$2:$N$495,(SUMPRODUCT((('CASE MASTER'!$T$2:$T$495=4)*('CASE MASTER'!$AA$2:$AA$495&lt;=8)*('CASE MASTER'!$AC$2:$AC$495&gt;=8)*('CASE MASTER'!$AB$2:$AB$495&lt;=8)*('CASE MASTER'!$AD$2:$AD$495&gt;=8))*ROW('CASE MASTER'!$T$2:$T$495))-(ROW('CASE MASTER'!#REF!)-1))),":",","),",",REPT(" ",50)),(((INDEX('CASE MASTER'!$Z$2:$Z$495,(SUMPRODUCT((('CASE MASTER'!$T$2:$T$495=4)*('CASE MASTER'!$AA$2:$AA$495&lt;=8)*('CASE MASTER'!$AC$2:$AC$495&gt;=8)*('CASE MASTER'!$AB$2:$AB$495&lt;=8)*('CASE MASTER'!$AD$2:$AD$495&gt;=8))*ROW('CASE MASTER'!$T$2:$T$495))-(ROW('CASE MASTER'!#REF!)-1)))+((8-INDEX('CASE MASTER'!$AA$2:$AA$495,(SUMPRODUCT((('CASE MASTER'!$T$2:$T$495=4)*('CASE MASTER'!$AA$2:$AA$495&lt;=8)*('CASE MASTER'!$AC$2:$AC$495&gt;=8)*('CASE MASTER'!$AB$2:$AB$495&lt;=8)*('CASE MASTER'!$AD$2:$AD$495&gt;=8))*ROW('CASE MASTER'!$T$2:$T$495))-(ROW('CASE MASTER'!#REF!)-1))))*(INDEX('CASE MASTER'!$AD$2:$AD$495,(SUMPRODUCT((('CASE MASTER'!$T$2:$T$495=4)*('CASE MASTER'!$AA$2:$AA$495&lt;=8)*('CASE MASTER'!$AC$2:$AC$495&gt;=8)*('CASE MASTER'!$AB$2:$AB$495&lt;=8)*('CASE MASTER'!$AD$2:$AD$495&gt;=8))*ROW('CASE MASTER'!$T$2:$T$495))-(ROW('CASE MASTER'!#REF!)-1)))-INDEX('CASE MASTER'!$AB$2:$AB$495,(SUMPRODUCT((('CASE MASTER'!$T$2:$T$495=4)*('CASE MASTER'!$AA$2:$AA$495&lt;=8)*('CASE MASTER'!$AC$2:$AC$495&gt;=8)*('CASE MASTER'!$AB$2:$AB$495&lt;=8)*('CASE MASTER'!$AD$2:$AD$495&gt;=8))*ROW('CASE MASTER'!$T$2:$T$495))-(ROW('CASE MASTER'!#REF!)-1)))+1)+(8-INDEX('CASE MASTER'!$AB$2:$AB$495,(SUMPRODUCT((('CASE MASTER'!$T$2:$T$495=4)*('CASE MASTER'!$AA$2:$AA$495&lt;=8)*('CASE MASTER'!$AC$2:$AC$495&gt;=8)*('CASE MASTER'!$AB$2:$AB$495&lt;=8)*('CASE MASTER'!$AD$2:$AD$495&gt;=8))*ROW('CASE MASTER'!$T$2:$T$495))-(ROW('CASE MASTER'!#REF!)-1))))+1)))-1)*50+1,50))&amp;"_"&amp;INDEX('CASE MASTER'!$Q$2:$Q$495,(SUMPRODUCT((('CASE MASTER'!$T$2:$T$495=4)*('CASE MASTER'!$AA$2:$AA$495&lt;=8)*('CASE MASTER'!$AC$2:$AC$495&gt;=8)*('CASE MASTER'!$AB$2:$AB$495&lt;=8)*('CASE MASTER'!$AD$2:$AD$495&gt;=8))*ROW('CASE MASTER'!$T$2:$T$495))-(ROW('CASE MASTER'!#REF!)-1))),"")),"")</f>
        <v/>
      </c>
      <c r="J52" s="10" t="str">
        <f>IFERROR(IF(SUMPRODUCT((('CASE MASTER'!$T$2:$T$495=4)*('CASE MASTER'!$U$2:$U$495&lt;=8)*('CASE MASTER'!$W$2:$W$495&gt;=8)*('CASE MASTER'!$V$2:$V$495&lt;=9)*('CASE MASTER'!$X$2:$X$495&gt;=9))*ROW('CASE MASTER'!$T$2:$T$495))&gt;0,INDEX('CASE MASTER'!$Y$2:$Y$495,(SUMPRODUCT((('CASE MASTER'!$T$2:$T$495=4)*('CASE MASTER'!$U$2:$U$495&lt;=8)*('CASE MASTER'!$W$2:$W$495&gt;=8)*('CASE MASTER'!$V$2:$V$495&lt;=9)*('CASE MASTER'!$X$2:$X$495&gt;=9))*ROW('CASE MASTER'!$T$2:$T$495))-(ROW('CASE MASTER'!#REF!)-1)))&amp;TRIM(MID(SUBSTITUTE(SUBSTITUTE(INDEX('CASE MASTER'!$N$2:$N$495,(SUMPRODUCT((('CASE MASTER'!$T$2:$T$495=4)*('CASE MASTER'!$U$2:$U$495&lt;=8)*('CASE MASTER'!$W$2:$W$495&gt;=8)*('CASE MASTER'!$V$2:$V$495&lt;=9)*('CASE MASTER'!$X$2:$X$495&gt;=9))*ROW('CASE MASTER'!$T$2:$T$495))-(ROW('CASE MASTER'!#REF!)-1))),":",","),",",REPT(" ",50)),((((8-INDEX('CASE MASTER'!$U$2:$U$495,(SUMPRODUCT((('CASE MASTER'!$T$2:$T$495=4)*('CASE MASTER'!$U$2:$U$495&lt;=8)*('CASE MASTER'!$W$2:$W$495&gt;=8)*('CASE MASTER'!$V$2:$V$495&lt;=9)*('CASE MASTER'!$X$2:$X$495&gt;=9))*ROW('CASE MASTER'!$T$2:$T$495))-(ROW('CASE MASTER'!#REF!)-1))))*(INDEX('CASE MASTER'!$X$2:$X$495,(SUMPRODUCT((('CASE MASTER'!$T$2:$T$495=4)*('CASE MASTER'!$U$2:$U$495&lt;=8)*('CASE MASTER'!$W$2:$W$495&gt;=8)*('CASE MASTER'!$V$2:$V$495&lt;=9)*('CASE MASTER'!$X$2:$X$495&gt;=9))*ROW('CASE MASTER'!$T$2:$T$495))-(ROW('CASE MASTER'!#REF!)-1)))-INDEX('CASE MASTER'!$V$2:$V$495,(SUMPRODUCT((('CASE MASTER'!$T$2:$T$495=4)*('CASE MASTER'!$U$2:$U$495&lt;=8)*('CASE MASTER'!$W$2:$W$495&gt;=8)*('CASE MASTER'!$V$2:$V$495&lt;=9)*('CASE MASTER'!$X$2:$X$495&gt;=9))*ROW('CASE MASTER'!$T$2:$T$495))-(ROW('CASE MASTER'!#REF!)-1)))+1)+(9-INDEX('CASE MASTER'!$V$2:$V$495,(SUMPRODUCT((('CASE MASTER'!$T$2:$T$495=4)*('CASE MASTER'!$U$2:$U$495&lt;=8)*('CASE MASTER'!$W$2:$W$495&gt;=8)*('CASE MASTER'!$V$2:$V$495&lt;=9)*('CASE MASTER'!$X$2:$X$495&gt;=9))*ROW('CASE MASTER'!$T$2:$T$495))-(ROW('CASE MASTER'!#REF!)-1))))+1))-1)*50+1,50))&amp;"_"&amp;INDEX('CASE MASTER'!$Q$2:$Q$495,(SUMPRODUCT((('CASE MASTER'!$T$2:$T$495=4)*('CASE MASTER'!$U$2:$U$495&lt;=8)*('CASE MASTER'!$W$2:$W$495&gt;=8)*('CASE MASTER'!$V$2:$V$495&lt;=9)*('CASE MASTER'!$X$2:$X$495&gt;=9))*ROW('CASE MASTER'!$T$2:$T$495))-(ROW('CASE MASTER'!#REF!)-1))),IF(SUMPRODUCT((('CASE MASTER'!$T$2:$T$495=4)*('CASE MASTER'!$AA$2:$AA$495&lt;=8)*('CASE MASTER'!$AC$2:$AC$495&gt;=8)*('CASE MASTER'!$AB$2:$AB$495&lt;=9)*('CASE MASTER'!$AD$2:$AD$495&gt;=9))*ROW('CASE MASTER'!$T$2:$T$495))&gt;0,INDEX('CASE MASTER'!$Y$2:$Y$495,(SUMPRODUCT((('CASE MASTER'!$T$2:$T$495=4)*('CASE MASTER'!$AA$2:$AA$495&lt;=8)*('CASE MASTER'!$AC$2:$AC$495&gt;=8)*('CASE MASTER'!$AB$2:$AB$495&lt;=9)*('CASE MASTER'!$AD$2:$AD$495&gt;=9))*ROW('CASE MASTER'!$T$2:$T$495))-(ROW('CASE MASTER'!#REF!)-1)))&amp;TRIM(MID(SUBSTITUTE(SUBSTITUTE(INDEX('CASE MASTER'!$N$2:$N$495,(SUMPRODUCT((('CASE MASTER'!$T$2:$T$495=4)*('CASE MASTER'!$AA$2:$AA$495&lt;=8)*('CASE MASTER'!$AC$2:$AC$495&gt;=8)*('CASE MASTER'!$AB$2:$AB$495&lt;=9)*('CASE MASTER'!$AD$2:$AD$495&gt;=9))*ROW('CASE MASTER'!$T$2:$T$495))-(ROW('CASE MASTER'!#REF!)-1))),":",","),",",REPT(" ",50)),(((INDEX('CASE MASTER'!$Z$2:$Z$495,(SUMPRODUCT((('CASE MASTER'!$T$2:$T$495=4)*('CASE MASTER'!$AA$2:$AA$495&lt;=8)*('CASE MASTER'!$AC$2:$AC$495&gt;=8)*('CASE MASTER'!$AB$2:$AB$495&lt;=9)*('CASE MASTER'!$AD$2:$AD$495&gt;=9))*ROW('CASE MASTER'!$T$2:$T$495))-(ROW('CASE MASTER'!#REF!)-1)))+((8-INDEX('CASE MASTER'!$AA$2:$AA$495,(SUMPRODUCT((('CASE MASTER'!$T$2:$T$495=4)*('CASE MASTER'!$AA$2:$AA$495&lt;=8)*('CASE MASTER'!$AC$2:$AC$495&gt;=8)*('CASE MASTER'!$AB$2:$AB$495&lt;=9)*('CASE MASTER'!$AD$2:$AD$495&gt;=9))*ROW('CASE MASTER'!$T$2:$T$495))-(ROW('CASE MASTER'!#REF!)-1))))*(INDEX('CASE MASTER'!$AD$2:$AD$495,(SUMPRODUCT((('CASE MASTER'!$T$2:$T$495=4)*('CASE MASTER'!$AA$2:$AA$495&lt;=8)*('CASE MASTER'!$AC$2:$AC$495&gt;=8)*('CASE MASTER'!$AB$2:$AB$495&lt;=9)*('CASE MASTER'!$AD$2:$AD$495&gt;=9))*ROW('CASE MASTER'!$T$2:$T$495))-(ROW('CASE MASTER'!#REF!)-1)))-INDEX('CASE MASTER'!$AB$2:$AB$495,(SUMPRODUCT((('CASE MASTER'!$T$2:$T$495=4)*('CASE MASTER'!$AA$2:$AA$495&lt;=8)*('CASE MASTER'!$AC$2:$AC$495&gt;=8)*('CASE MASTER'!$AB$2:$AB$495&lt;=9)*('CASE MASTER'!$AD$2:$AD$495&gt;=9))*ROW('CASE MASTER'!$T$2:$T$495))-(ROW('CASE MASTER'!#REF!)-1)))+1)+(9-INDEX('CASE MASTER'!$AB$2:$AB$495,(SUMPRODUCT((('CASE MASTER'!$T$2:$T$495=4)*('CASE MASTER'!$AA$2:$AA$495&lt;=8)*('CASE MASTER'!$AC$2:$AC$495&gt;=8)*('CASE MASTER'!$AB$2:$AB$495&lt;=9)*('CASE MASTER'!$AD$2:$AD$495&gt;=9))*ROW('CASE MASTER'!$T$2:$T$495))-(ROW('CASE MASTER'!#REF!)-1))))+1)))-1)*50+1,50))&amp;"_"&amp;INDEX('CASE MASTER'!$Q$2:$Q$495,(SUMPRODUCT((('CASE MASTER'!$T$2:$T$495=4)*('CASE MASTER'!$AA$2:$AA$495&lt;=8)*('CASE MASTER'!$AC$2:$AC$495&gt;=8)*('CASE MASTER'!$AB$2:$AB$495&lt;=9)*('CASE MASTER'!$AD$2:$AD$495&gt;=9))*ROW('CASE MASTER'!$T$2:$T$495))-(ROW('CASE MASTER'!#REF!)-1))),"")),"")</f>
        <v/>
      </c>
      <c r="K52" s="10" t="str">
        <f>IFERROR(IF(SUMPRODUCT((('CASE MASTER'!$T$2:$T$495=4)*('CASE MASTER'!$U$2:$U$495&lt;=8)*('CASE MASTER'!$W$2:$W$495&gt;=8)*('CASE MASTER'!$V$2:$V$495&lt;=10)*('CASE MASTER'!$X$2:$X$495&gt;=10))*ROW('CASE MASTER'!$T$2:$T$495))&gt;0,INDEX('CASE MASTER'!$Y$2:$Y$495,(SUMPRODUCT((('CASE MASTER'!$T$2:$T$495=4)*('CASE MASTER'!$U$2:$U$495&lt;=8)*('CASE MASTER'!$W$2:$W$495&gt;=8)*('CASE MASTER'!$V$2:$V$495&lt;=10)*('CASE MASTER'!$X$2:$X$495&gt;=10))*ROW('CASE MASTER'!$T$2:$T$495))-(ROW('CASE MASTER'!#REF!)-1)))&amp;TRIM(MID(SUBSTITUTE(SUBSTITUTE(INDEX('CASE MASTER'!$N$2:$N$495,(SUMPRODUCT((('CASE MASTER'!$T$2:$T$495=4)*('CASE MASTER'!$U$2:$U$495&lt;=8)*('CASE MASTER'!$W$2:$W$495&gt;=8)*('CASE MASTER'!$V$2:$V$495&lt;=10)*('CASE MASTER'!$X$2:$X$495&gt;=10))*ROW('CASE MASTER'!$T$2:$T$495))-(ROW('CASE MASTER'!#REF!)-1))),":",","),",",REPT(" ",50)),((((8-INDEX('CASE MASTER'!$U$2:$U$495,(SUMPRODUCT((('CASE MASTER'!$T$2:$T$495=4)*('CASE MASTER'!$U$2:$U$495&lt;=8)*('CASE MASTER'!$W$2:$W$495&gt;=8)*('CASE MASTER'!$V$2:$V$495&lt;=10)*('CASE MASTER'!$X$2:$X$495&gt;=10))*ROW('CASE MASTER'!$T$2:$T$495))-(ROW('CASE MASTER'!#REF!)-1))))*(INDEX('CASE MASTER'!$X$2:$X$495,(SUMPRODUCT((('CASE MASTER'!$T$2:$T$495=4)*('CASE MASTER'!$U$2:$U$495&lt;=8)*('CASE MASTER'!$W$2:$W$495&gt;=8)*('CASE MASTER'!$V$2:$V$495&lt;=10)*('CASE MASTER'!$X$2:$X$495&gt;=10))*ROW('CASE MASTER'!$T$2:$T$495))-(ROW('CASE MASTER'!#REF!)-1)))-INDEX('CASE MASTER'!$V$2:$V$495,(SUMPRODUCT((('CASE MASTER'!$T$2:$T$495=4)*('CASE MASTER'!$U$2:$U$495&lt;=8)*('CASE MASTER'!$W$2:$W$495&gt;=8)*('CASE MASTER'!$V$2:$V$495&lt;=10)*('CASE MASTER'!$X$2:$X$495&gt;=10))*ROW('CASE MASTER'!$T$2:$T$495))-(ROW('CASE MASTER'!#REF!)-1)))+1)+(10-INDEX('CASE MASTER'!$V$2:$V$495,(SUMPRODUCT((('CASE MASTER'!$T$2:$T$495=4)*('CASE MASTER'!$U$2:$U$495&lt;=8)*('CASE MASTER'!$W$2:$W$495&gt;=8)*('CASE MASTER'!$V$2:$V$495&lt;=10)*('CASE MASTER'!$X$2:$X$495&gt;=10))*ROW('CASE MASTER'!$T$2:$T$495))-(ROW('CASE MASTER'!#REF!)-1))))+1))-1)*50+1,50))&amp;"_"&amp;INDEX('CASE MASTER'!$Q$2:$Q$495,(SUMPRODUCT((('CASE MASTER'!$T$2:$T$495=4)*('CASE MASTER'!$U$2:$U$495&lt;=8)*('CASE MASTER'!$W$2:$W$495&gt;=8)*('CASE MASTER'!$V$2:$V$495&lt;=10)*('CASE MASTER'!$X$2:$X$495&gt;=10))*ROW('CASE MASTER'!$T$2:$T$495))-(ROW('CASE MASTER'!#REF!)-1))),IF(SUMPRODUCT((('CASE MASTER'!$T$2:$T$495=4)*('CASE MASTER'!$AA$2:$AA$495&lt;=8)*('CASE MASTER'!$AC$2:$AC$495&gt;=8)*('CASE MASTER'!$AB$2:$AB$495&lt;=10)*('CASE MASTER'!$AD$2:$AD$495&gt;=10))*ROW('CASE MASTER'!$T$2:$T$495))&gt;0,INDEX('CASE MASTER'!$Y$2:$Y$495,(SUMPRODUCT((('CASE MASTER'!$T$2:$T$495=4)*('CASE MASTER'!$AA$2:$AA$495&lt;=8)*('CASE MASTER'!$AC$2:$AC$495&gt;=8)*('CASE MASTER'!$AB$2:$AB$495&lt;=10)*('CASE MASTER'!$AD$2:$AD$495&gt;=10))*ROW('CASE MASTER'!$T$2:$T$495))-(ROW('CASE MASTER'!#REF!)-1)))&amp;TRIM(MID(SUBSTITUTE(SUBSTITUTE(INDEX('CASE MASTER'!$N$2:$N$495,(SUMPRODUCT((('CASE MASTER'!$T$2:$T$495=4)*('CASE MASTER'!$AA$2:$AA$495&lt;=8)*('CASE MASTER'!$AC$2:$AC$495&gt;=8)*('CASE MASTER'!$AB$2:$AB$495&lt;=10)*('CASE MASTER'!$AD$2:$AD$495&gt;=10))*ROW('CASE MASTER'!$T$2:$T$495))-(ROW('CASE MASTER'!#REF!)-1))),":",","),",",REPT(" ",50)),(((INDEX('CASE MASTER'!$Z$2:$Z$495,(SUMPRODUCT((('CASE MASTER'!$T$2:$T$495=4)*('CASE MASTER'!$AA$2:$AA$495&lt;=8)*('CASE MASTER'!$AC$2:$AC$495&gt;=8)*('CASE MASTER'!$AB$2:$AB$495&lt;=10)*('CASE MASTER'!$AD$2:$AD$495&gt;=10))*ROW('CASE MASTER'!$T$2:$T$495))-(ROW('CASE MASTER'!#REF!)-1)))+((8-INDEX('CASE MASTER'!$AA$2:$AA$495,(SUMPRODUCT((('CASE MASTER'!$T$2:$T$495=4)*('CASE MASTER'!$AA$2:$AA$495&lt;=8)*('CASE MASTER'!$AC$2:$AC$495&gt;=8)*('CASE MASTER'!$AB$2:$AB$495&lt;=10)*('CASE MASTER'!$AD$2:$AD$495&gt;=10))*ROW('CASE MASTER'!$T$2:$T$495))-(ROW('CASE MASTER'!#REF!)-1))))*(INDEX('CASE MASTER'!$AD$2:$AD$495,(SUMPRODUCT((('CASE MASTER'!$T$2:$T$495=4)*('CASE MASTER'!$AA$2:$AA$495&lt;=8)*('CASE MASTER'!$AC$2:$AC$495&gt;=8)*('CASE MASTER'!$AB$2:$AB$495&lt;=10)*('CASE MASTER'!$AD$2:$AD$495&gt;=10))*ROW('CASE MASTER'!$T$2:$T$495))-(ROW('CASE MASTER'!#REF!)-1)))-INDEX('CASE MASTER'!$AB$2:$AB$495,(SUMPRODUCT((('CASE MASTER'!$T$2:$T$495=4)*('CASE MASTER'!$AA$2:$AA$495&lt;=8)*('CASE MASTER'!$AC$2:$AC$495&gt;=8)*('CASE MASTER'!$AB$2:$AB$495&lt;=10)*('CASE MASTER'!$AD$2:$AD$495&gt;=10))*ROW('CASE MASTER'!$T$2:$T$495))-(ROW('CASE MASTER'!#REF!)-1)))+1)+(10-INDEX('CASE MASTER'!$AB$2:$AB$495,(SUMPRODUCT((('CASE MASTER'!$T$2:$T$495=4)*('CASE MASTER'!$AA$2:$AA$495&lt;=8)*('CASE MASTER'!$AC$2:$AC$495&gt;=8)*('CASE MASTER'!$AB$2:$AB$495&lt;=10)*('CASE MASTER'!$AD$2:$AD$495&gt;=10))*ROW('CASE MASTER'!$T$2:$T$495))-(ROW('CASE MASTER'!#REF!)-1))))+1)))-1)*50+1,50))&amp;"_"&amp;INDEX('CASE MASTER'!$Q$2:$Q$495,(SUMPRODUCT((('CASE MASTER'!$T$2:$T$495=4)*('CASE MASTER'!$AA$2:$AA$495&lt;=8)*('CASE MASTER'!$AC$2:$AC$495&gt;=8)*('CASE MASTER'!$AB$2:$AB$495&lt;=10)*('CASE MASTER'!$AD$2:$AD$495&gt;=10))*ROW('CASE MASTER'!$T$2:$T$495))-(ROW('CASE MASTER'!#REF!)-1))),"")),"")</f>
        <v/>
      </c>
    </row>
    <row r="53" spans="1:11" ht="15" customHeight="1" x14ac:dyDescent="0.35">
      <c r="A53" s="8" t="s">
        <v>81</v>
      </c>
      <c r="B53" s="10" t="str">
        <f>IFERROR(IF(SUMPRODUCT((('CASE MASTER'!$T$2:$T$495=4)*('CASE MASTER'!$U$2:$U$495&lt;=9)*('CASE MASTER'!$W$2:$W$495&gt;=9)*('CASE MASTER'!$V$2:$V$495&lt;=1)*('CASE MASTER'!$X$2:$X$495&gt;=1))*ROW('CASE MASTER'!$T$2:$T$495))&gt;0,INDEX('CASE MASTER'!$Y$2:$Y$495,(SUMPRODUCT((('CASE MASTER'!$T$2:$T$495=4)*('CASE MASTER'!$U$2:$U$495&lt;=9)*('CASE MASTER'!$W$2:$W$495&gt;=9)*('CASE MASTER'!$V$2:$V$495&lt;=1)*('CASE MASTER'!$X$2:$X$495&gt;=1))*ROW('CASE MASTER'!$T$2:$T$495))-(ROW('CASE MASTER'!#REF!)-1)))&amp;TRIM(MID(SUBSTITUTE(SUBSTITUTE(INDEX('CASE MASTER'!$N$2:$N$495,(SUMPRODUCT((('CASE MASTER'!$T$2:$T$495=4)*('CASE MASTER'!$U$2:$U$495&lt;=9)*('CASE MASTER'!$W$2:$W$495&gt;=9)*('CASE MASTER'!$V$2:$V$495&lt;=1)*('CASE MASTER'!$X$2:$X$495&gt;=1))*ROW('CASE MASTER'!$T$2:$T$495))-(ROW('CASE MASTER'!#REF!)-1))),":",","),",",REPT(" ",50)),((((9-INDEX('CASE MASTER'!$U$2:$U$495,(SUMPRODUCT((('CASE MASTER'!$T$2:$T$495=4)*('CASE MASTER'!$U$2:$U$495&lt;=9)*('CASE MASTER'!$W$2:$W$495&gt;=9)*('CASE MASTER'!$V$2:$V$495&lt;=1)*('CASE MASTER'!$X$2:$X$495&gt;=1))*ROW('CASE MASTER'!$T$2:$T$495))-(ROW('CASE MASTER'!#REF!)-1))))*(INDEX('CASE MASTER'!$X$2:$X$495,(SUMPRODUCT((('CASE MASTER'!$T$2:$T$495=4)*('CASE MASTER'!$U$2:$U$495&lt;=9)*('CASE MASTER'!$W$2:$W$495&gt;=9)*('CASE MASTER'!$V$2:$V$495&lt;=1)*('CASE MASTER'!$X$2:$X$495&gt;=1))*ROW('CASE MASTER'!$T$2:$T$495))-(ROW('CASE MASTER'!#REF!)-1)))-INDEX('CASE MASTER'!$V$2:$V$495,(SUMPRODUCT((('CASE MASTER'!$T$2:$T$495=4)*('CASE MASTER'!$U$2:$U$495&lt;=9)*('CASE MASTER'!$W$2:$W$495&gt;=9)*('CASE MASTER'!$V$2:$V$495&lt;=1)*('CASE MASTER'!$X$2:$X$495&gt;=1))*ROW('CASE MASTER'!$T$2:$T$495))-(ROW('CASE MASTER'!#REF!)-1)))+1)+(1-INDEX('CASE MASTER'!$V$2:$V$495,(SUMPRODUCT((('CASE MASTER'!$T$2:$T$495=4)*('CASE MASTER'!$U$2:$U$495&lt;=9)*('CASE MASTER'!$W$2:$W$495&gt;=9)*('CASE MASTER'!$V$2:$V$495&lt;=1)*('CASE MASTER'!$X$2:$X$495&gt;=1))*ROW('CASE MASTER'!$T$2:$T$495))-(ROW('CASE MASTER'!#REF!)-1))))+1))-1)*50+1,50))&amp;"_"&amp;INDEX('CASE MASTER'!$Q$2:$Q$495,(SUMPRODUCT((('CASE MASTER'!$T$2:$T$495=4)*('CASE MASTER'!$U$2:$U$495&lt;=9)*('CASE MASTER'!$W$2:$W$495&gt;=9)*('CASE MASTER'!$V$2:$V$495&lt;=1)*('CASE MASTER'!$X$2:$X$495&gt;=1))*ROW('CASE MASTER'!$T$2:$T$495))-(ROW('CASE MASTER'!#REF!)-1))),IF(SUMPRODUCT((('CASE MASTER'!$T$2:$T$495=4)*('CASE MASTER'!$AA$2:$AA$495&lt;=9)*('CASE MASTER'!$AC$2:$AC$495&gt;=9)*('CASE MASTER'!$AB$2:$AB$495&lt;=1)*('CASE MASTER'!$AD$2:$AD$495&gt;=1))*ROW('CASE MASTER'!$T$2:$T$495))&gt;0,INDEX('CASE MASTER'!$Y$2:$Y$495,(SUMPRODUCT((('CASE MASTER'!$T$2:$T$495=4)*('CASE MASTER'!$AA$2:$AA$495&lt;=9)*('CASE MASTER'!$AC$2:$AC$495&gt;=9)*('CASE MASTER'!$AB$2:$AB$495&lt;=1)*('CASE MASTER'!$AD$2:$AD$495&gt;=1))*ROW('CASE MASTER'!$T$2:$T$495))-(ROW('CASE MASTER'!#REF!)-1)))&amp;TRIM(MID(SUBSTITUTE(SUBSTITUTE(INDEX('CASE MASTER'!$N$2:$N$495,(SUMPRODUCT((('CASE MASTER'!$T$2:$T$495=4)*('CASE MASTER'!$AA$2:$AA$495&lt;=9)*('CASE MASTER'!$AC$2:$AC$495&gt;=9)*('CASE MASTER'!$AB$2:$AB$495&lt;=1)*('CASE MASTER'!$AD$2:$AD$495&gt;=1))*ROW('CASE MASTER'!$T$2:$T$495))-(ROW('CASE MASTER'!#REF!)-1))),":",","),",",REPT(" ",50)),(((INDEX('CASE MASTER'!$Z$2:$Z$495,(SUMPRODUCT((('CASE MASTER'!$T$2:$T$495=4)*('CASE MASTER'!$AA$2:$AA$495&lt;=9)*('CASE MASTER'!$AC$2:$AC$495&gt;=9)*('CASE MASTER'!$AB$2:$AB$495&lt;=1)*('CASE MASTER'!$AD$2:$AD$495&gt;=1))*ROW('CASE MASTER'!$T$2:$T$495))-(ROW('CASE MASTER'!#REF!)-1)))+((9-INDEX('CASE MASTER'!$AA$2:$AA$495,(SUMPRODUCT((('CASE MASTER'!$T$2:$T$495=4)*('CASE MASTER'!$AA$2:$AA$495&lt;=9)*('CASE MASTER'!$AC$2:$AC$495&gt;=9)*('CASE MASTER'!$AB$2:$AB$495&lt;=1)*('CASE MASTER'!$AD$2:$AD$495&gt;=1))*ROW('CASE MASTER'!$T$2:$T$495))-(ROW('CASE MASTER'!#REF!)-1))))*(INDEX('CASE MASTER'!$AD$2:$AD$495,(SUMPRODUCT((('CASE MASTER'!$T$2:$T$495=4)*('CASE MASTER'!$AA$2:$AA$495&lt;=9)*('CASE MASTER'!$AC$2:$AC$495&gt;=9)*('CASE MASTER'!$AB$2:$AB$495&lt;=1)*('CASE MASTER'!$AD$2:$AD$495&gt;=1))*ROW('CASE MASTER'!$T$2:$T$495))-(ROW('CASE MASTER'!#REF!)-1)))-INDEX('CASE MASTER'!$AB$2:$AB$495,(SUMPRODUCT((('CASE MASTER'!$T$2:$T$495=4)*('CASE MASTER'!$AA$2:$AA$495&lt;=9)*('CASE MASTER'!$AC$2:$AC$495&gt;=9)*('CASE MASTER'!$AB$2:$AB$495&lt;=1)*('CASE MASTER'!$AD$2:$AD$495&gt;=1))*ROW('CASE MASTER'!$T$2:$T$495))-(ROW('CASE MASTER'!#REF!)-1)))+1)+(1-INDEX('CASE MASTER'!$AB$2:$AB$495,(SUMPRODUCT((('CASE MASTER'!$T$2:$T$495=4)*('CASE MASTER'!$AA$2:$AA$495&lt;=9)*('CASE MASTER'!$AC$2:$AC$495&gt;=9)*('CASE MASTER'!$AB$2:$AB$495&lt;=1)*('CASE MASTER'!$AD$2:$AD$495&gt;=1))*ROW('CASE MASTER'!$T$2:$T$495))-(ROW('CASE MASTER'!#REF!)-1))))+1)))-1)*50+1,50))&amp;"_"&amp;INDEX('CASE MASTER'!$Q$2:$Q$495,(SUMPRODUCT((('CASE MASTER'!$T$2:$T$495=4)*('CASE MASTER'!$AA$2:$AA$495&lt;=9)*('CASE MASTER'!$AC$2:$AC$495&gt;=9)*('CASE MASTER'!$AB$2:$AB$495&lt;=1)*('CASE MASTER'!$AD$2:$AD$495&gt;=1))*ROW('CASE MASTER'!$T$2:$T$495))-(ROW('CASE MASTER'!#REF!)-1))),"")),"")</f>
        <v/>
      </c>
      <c r="C53" s="10" t="str">
        <f>IFERROR(IF(SUMPRODUCT((('CASE MASTER'!$T$2:$T$495=4)*('CASE MASTER'!$U$2:$U$495&lt;=9)*('CASE MASTER'!$W$2:$W$495&gt;=9)*('CASE MASTER'!$V$2:$V$495&lt;=2)*('CASE MASTER'!$X$2:$X$495&gt;=2))*ROW('CASE MASTER'!$T$2:$T$495))&gt;0,INDEX('CASE MASTER'!$Y$2:$Y$495,(SUMPRODUCT((('CASE MASTER'!$T$2:$T$495=4)*('CASE MASTER'!$U$2:$U$495&lt;=9)*('CASE MASTER'!$W$2:$W$495&gt;=9)*('CASE MASTER'!$V$2:$V$495&lt;=2)*('CASE MASTER'!$X$2:$X$495&gt;=2))*ROW('CASE MASTER'!$T$2:$T$495))-(ROW('CASE MASTER'!#REF!)-1)))&amp;TRIM(MID(SUBSTITUTE(SUBSTITUTE(INDEX('CASE MASTER'!$N$2:$N$495,(SUMPRODUCT((('CASE MASTER'!$T$2:$T$495=4)*('CASE MASTER'!$U$2:$U$495&lt;=9)*('CASE MASTER'!$W$2:$W$495&gt;=9)*('CASE MASTER'!$V$2:$V$495&lt;=2)*('CASE MASTER'!$X$2:$X$495&gt;=2))*ROW('CASE MASTER'!$T$2:$T$495))-(ROW('CASE MASTER'!#REF!)-1))),":",","),",",REPT(" ",50)),((((9-INDEX('CASE MASTER'!$U$2:$U$495,(SUMPRODUCT((('CASE MASTER'!$T$2:$T$495=4)*('CASE MASTER'!$U$2:$U$495&lt;=9)*('CASE MASTER'!$W$2:$W$495&gt;=9)*('CASE MASTER'!$V$2:$V$495&lt;=2)*('CASE MASTER'!$X$2:$X$495&gt;=2))*ROW('CASE MASTER'!$T$2:$T$495))-(ROW('CASE MASTER'!#REF!)-1))))*(INDEX('CASE MASTER'!$X$2:$X$495,(SUMPRODUCT((('CASE MASTER'!$T$2:$T$495=4)*('CASE MASTER'!$U$2:$U$495&lt;=9)*('CASE MASTER'!$W$2:$W$495&gt;=9)*('CASE MASTER'!$V$2:$V$495&lt;=2)*('CASE MASTER'!$X$2:$X$495&gt;=2))*ROW('CASE MASTER'!$T$2:$T$495))-(ROW('CASE MASTER'!#REF!)-1)))-INDEX('CASE MASTER'!$V$2:$V$495,(SUMPRODUCT((('CASE MASTER'!$T$2:$T$495=4)*('CASE MASTER'!$U$2:$U$495&lt;=9)*('CASE MASTER'!$W$2:$W$495&gt;=9)*('CASE MASTER'!$V$2:$V$495&lt;=2)*('CASE MASTER'!$X$2:$X$495&gt;=2))*ROW('CASE MASTER'!$T$2:$T$495))-(ROW('CASE MASTER'!#REF!)-1)))+1)+(2-INDEX('CASE MASTER'!$V$2:$V$495,(SUMPRODUCT((('CASE MASTER'!$T$2:$T$495=4)*('CASE MASTER'!$U$2:$U$495&lt;=9)*('CASE MASTER'!$W$2:$W$495&gt;=9)*('CASE MASTER'!$V$2:$V$495&lt;=2)*('CASE MASTER'!$X$2:$X$495&gt;=2))*ROW('CASE MASTER'!$T$2:$T$495))-(ROW('CASE MASTER'!#REF!)-1))))+1))-1)*50+1,50))&amp;"_"&amp;INDEX('CASE MASTER'!$Q$2:$Q$495,(SUMPRODUCT((('CASE MASTER'!$T$2:$T$495=4)*('CASE MASTER'!$U$2:$U$495&lt;=9)*('CASE MASTER'!$W$2:$W$495&gt;=9)*('CASE MASTER'!$V$2:$V$495&lt;=2)*('CASE MASTER'!$X$2:$X$495&gt;=2))*ROW('CASE MASTER'!$T$2:$T$495))-(ROW('CASE MASTER'!#REF!)-1))),IF(SUMPRODUCT((('CASE MASTER'!$T$2:$T$495=4)*('CASE MASTER'!$AA$2:$AA$495&lt;=9)*('CASE MASTER'!$AC$2:$AC$495&gt;=9)*('CASE MASTER'!$AB$2:$AB$495&lt;=2)*('CASE MASTER'!$AD$2:$AD$495&gt;=2))*ROW('CASE MASTER'!$T$2:$T$495))&gt;0,INDEX('CASE MASTER'!$Y$2:$Y$495,(SUMPRODUCT((('CASE MASTER'!$T$2:$T$495=4)*('CASE MASTER'!$AA$2:$AA$495&lt;=9)*('CASE MASTER'!$AC$2:$AC$495&gt;=9)*('CASE MASTER'!$AB$2:$AB$495&lt;=2)*('CASE MASTER'!$AD$2:$AD$495&gt;=2))*ROW('CASE MASTER'!$T$2:$T$495))-(ROW('CASE MASTER'!#REF!)-1)))&amp;TRIM(MID(SUBSTITUTE(SUBSTITUTE(INDEX('CASE MASTER'!$N$2:$N$495,(SUMPRODUCT((('CASE MASTER'!$T$2:$T$495=4)*('CASE MASTER'!$AA$2:$AA$495&lt;=9)*('CASE MASTER'!$AC$2:$AC$495&gt;=9)*('CASE MASTER'!$AB$2:$AB$495&lt;=2)*('CASE MASTER'!$AD$2:$AD$495&gt;=2))*ROW('CASE MASTER'!$T$2:$T$495))-(ROW('CASE MASTER'!#REF!)-1))),":",","),",",REPT(" ",50)),(((INDEX('CASE MASTER'!$Z$2:$Z$495,(SUMPRODUCT((('CASE MASTER'!$T$2:$T$495=4)*('CASE MASTER'!$AA$2:$AA$495&lt;=9)*('CASE MASTER'!$AC$2:$AC$495&gt;=9)*('CASE MASTER'!$AB$2:$AB$495&lt;=2)*('CASE MASTER'!$AD$2:$AD$495&gt;=2))*ROW('CASE MASTER'!$T$2:$T$495))-(ROW('CASE MASTER'!#REF!)-1)))+((9-INDEX('CASE MASTER'!$AA$2:$AA$495,(SUMPRODUCT((('CASE MASTER'!$T$2:$T$495=4)*('CASE MASTER'!$AA$2:$AA$495&lt;=9)*('CASE MASTER'!$AC$2:$AC$495&gt;=9)*('CASE MASTER'!$AB$2:$AB$495&lt;=2)*('CASE MASTER'!$AD$2:$AD$495&gt;=2))*ROW('CASE MASTER'!$T$2:$T$495))-(ROW('CASE MASTER'!#REF!)-1))))*(INDEX('CASE MASTER'!$AD$2:$AD$495,(SUMPRODUCT((('CASE MASTER'!$T$2:$T$495=4)*('CASE MASTER'!$AA$2:$AA$495&lt;=9)*('CASE MASTER'!$AC$2:$AC$495&gt;=9)*('CASE MASTER'!$AB$2:$AB$495&lt;=2)*('CASE MASTER'!$AD$2:$AD$495&gt;=2))*ROW('CASE MASTER'!$T$2:$T$495))-(ROW('CASE MASTER'!#REF!)-1)))-INDEX('CASE MASTER'!$AB$2:$AB$495,(SUMPRODUCT((('CASE MASTER'!$T$2:$T$495=4)*('CASE MASTER'!$AA$2:$AA$495&lt;=9)*('CASE MASTER'!$AC$2:$AC$495&gt;=9)*('CASE MASTER'!$AB$2:$AB$495&lt;=2)*('CASE MASTER'!$AD$2:$AD$495&gt;=2))*ROW('CASE MASTER'!$T$2:$T$495))-(ROW('CASE MASTER'!#REF!)-1)))+1)+(2-INDEX('CASE MASTER'!$AB$2:$AB$495,(SUMPRODUCT((('CASE MASTER'!$T$2:$T$495=4)*('CASE MASTER'!$AA$2:$AA$495&lt;=9)*('CASE MASTER'!$AC$2:$AC$495&gt;=9)*('CASE MASTER'!$AB$2:$AB$495&lt;=2)*('CASE MASTER'!$AD$2:$AD$495&gt;=2))*ROW('CASE MASTER'!$T$2:$T$495))-(ROW('CASE MASTER'!#REF!)-1))))+1)))-1)*50+1,50))&amp;"_"&amp;INDEX('CASE MASTER'!$Q$2:$Q$495,(SUMPRODUCT((('CASE MASTER'!$T$2:$T$495=4)*('CASE MASTER'!$AA$2:$AA$495&lt;=9)*('CASE MASTER'!$AC$2:$AC$495&gt;=9)*('CASE MASTER'!$AB$2:$AB$495&lt;=2)*('CASE MASTER'!$AD$2:$AD$495&gt;=2))*ROW('CASE MASTER'!$T$2:$T$495))-(ROW('CASE MASTER'!#REF!)-1))),"")),"")</f>
        <v/>
      </c>
      <c r="D53" s="10" t="str">
        <f>IFERROR(IF(SUMPRODUCT((('CASE MASTER'!$T$2:$T$495=4)*('CASE MASTER'!$U$2:$U$495&lt;=9)*('CASE MASTER'!$W$2:$W$495&gt;=9)*('CASE MASTER'!$V$2:$V$495&lt;=3)*('CASE MASTER'!$X$2:$X$495&gt;=3))*ROW('CASE MASTER'!$T$2:$T$495))&gt;0,INDEX('CASE MASTER'!$Y$2:$Y$495,(SUMPRODUCT((('CASE MASTER'!$T$2:$T$495=4)*('CASE MASTER'!$U$2:$U$495&lt;=9)*('CASE MASTER'!$W$2:$W$495&gt;=9)*('CASE MASTER'!$V$2:$V$495&lt;=3)*('CASE MASTER'!$X$2:$X$495&gt;=3))*ROW('CASE MASTER'!$T$2:$T$495))-(ROW('CASE MASTER'!#REF!)-1)))&amp;TRIM(MID(SUBSTITUTE(SUBSTITUTE(INDEX('CASE MASTER'!$N$2:$N$495,(SUMPRODUCT((('CASE MASTER'!$T$2:$T$495=4)*('CASE MASTER'!$U$2:$U$495&lt;=9)*('CASE MASTER'!$W$2:$W$495&gt;=9)*('CASE MASTER'!$V$2:$V$495&lt;=3)*('CASE MASTER'!$X$2:$X$495&gt;=3))*ROW('CASE MASTER'!$T$2:$T$495))-(ROW('CASE MASTER'!#REF!)-1))),":",","),",",REPT(" ",50)),((((9-INDEX('CASE MASTER'!$U$2:$U$495,(SUMPRODUCT((('CASE MASTER'!$T$2:$T$495=4)*('CASE MASTER'!$U$2:$U$495&lt;=9)*('CASE MASTER'!$W$2:$W$495&gt;=9)*('CASE MASTER'!$V$2:$V$495&lt;=3)*('CASE MASTER'!$X$2:$X$495&gt;=3))*ROW('CASE MASTER'!$T$2:$T$495))-(ROW('CASE MASTER'!#REF!)-1))))*(INDEX('CASE MASTER'!$X$2:$X$495,(SUMPRODUCT((('CASE MASTER'!$T$2:$T$495=4)*('CASE MASTER'!$U$2:$U$495&lt;=9)*('CASE MASTER'!$W$2:$W$495&gt;=9)*('CASE MASTER'!$V$2:$V$495&lt;=3)*('CASE MASTER'!$X$2:$X$495&gt;=3))*ROW('CASE MASTER'!$T$2:$T$495))-(ROW('CASE MASTER'!#REF!)-1)))-INDEX('CASE MASTER'!$V$2:$V$495,(SUMPRODUCT((('CASE MASTER'!$T$2:$T$495=4)*('CASE MASTER'!$U$2:$U$495&lt;=9)*('CASE MASTER'!$W$2:$W$495&gt;=9)*('CASE MASTER'!$V$2:$V$495&lt;=3)*('CASE MASTER'!$X$2:$X$495&gt;=3))*ROW('CASE MASTER'!$T$2:$T$495))-(ROW('CASE MASTER'!#REF!)-1)))+1)+(3-INDEX('CASE MASTER'!$V$2:$V$495,(SUMPRODUCT((('CASE MASTER'!$T$2:$T$495=4)*('CASE MASTER'!$U$2:$U$495&lt;=9)*('CASE MASTER'!$W$2:$W$495&gt;=9)*('CASE MASTER'!$V$2:$V$495&lt;=3)*('CASE MASTER'!$X$2:$X$495&gt;=3))*ROW('CASE MASTER'!$T$2:$T$495))-(ROW('CASE MASTER'!#REF!)-1))))+1))-1)*50+1,50))&amp;"_"&amp;INDEX('CASE MASTER'!$Q$2:$Q$495,(SUMPRODUCT((('CASE MASTER'!$T$2:$T$495=4)*('CASE MASTER'!$U$2:$U$495&lt;=9)*('CASE MASTER'!$W$2:$W$495&gt;=9)*('CASE MASTER'!$V$2:$V$495&lt;=3)*('CASE MASTER'!$X$2:$X$495&gt;=3))*ROW('CASE MASTER'!$T$2:$T$495))-(ROW('CASE MASTER'!#REF!)-1))),IF(SUMPRODUCT((('CASE MASTER'!$T$2:$T$495=4)*('CASE MASTER'!$AA$2:$AA$495&lt;=9)*('CASE MASTER'!$AC$2:$AC$495&gt;=9)*('CASE MASTER'!$AB$2:$AB$495&lt;=3)*('CASE MASTER'!$AD$2:$AD$495&gt;=3))*ROW('CASE MASTER'!$T$2:$T$495))&gt;0,INDEX('CASE MASTER'!$Y$2:$Y$495,(SUMPRODUCT((('CASE MASTER'!$T$2:$T$495=4)*('CASE MASTER'!$AA$2:$AA$495&lt;=9)*('CASE MASTER'!$AC$2:$AC$495&gt;=9)*('CASE MASTER'!$AB$2:$AB$495&lt;=3)*('CASE MASTER'!$AD$2:$AD$495&gt;=3))*ROW('CASE MASTER'!$T$2:$T$495))-(ROW('CASE MASTER'!#REF!)-1)))&amp;TRIM(MID(SUBSTITUTE(SUBSTITUTE(INDEX('CASE MASTER'!$N$2:$N$495,(SUMPRODUCT((('CASE MASTER'!$T$2:$T$495=4)*('CASE MASTER'!$AA$2:$AA$495&lt;=9)*('CASE MASTER'!$AC$2:$AC$495&gt;=9)*('CASE MASTER'!$AB$2:$AB$495&lt;=3)*('CASE MASTER'!$AD$2:$AD$495&gt;=3))*ROW('CASE MASTER'!$T$2:$T$495))-(ROW('CASE MASTER'!#REF!)-1))),":",","),",",REPT(" ",50)),(((INDEX('CASE MASTER'!$Z$2:$Z$495,(SUMPRODUCT((('CASE MASTER'!$T$2:$T$495=4)*('CASE MASTER'!$AA$2:$AA$495&lt;=9)*('CASE MASTER'!$AC$2:$AC$495&gt;=9)*('CASE MASTER'!$AB$2:$AB$495&lt;=3)*('CASE MASTER'!$AD$2:$AD$495&gt;=3))*ROW('CASE MASTER'!$T$2:$T$495))-(ROW('CASE MASTER'!#REF!)-1)))+((9-INDEX('CASE MASTER'!$AA$2:$AA$495,(SUMPRODUCT((('CASE MASTER'!$T$2:$T$495=4)*('CASE MASTER'!$AA$2:$AA$495&lt;=9)*('CASE MASTER'!$AC$2:$AC$495&gt;=9)*('CASE MASTER'!$AB$2:$AB$495&lt;=3)*('CASE MASTER'!$AD$2:$AD$495&gt;=3))*ROW('CASE MASTER'!$T$2:$T$495))-(ROW('CASE MASTER'!#REF!)-1))))*(INDEX('CASE MASTER'!$AD$2:$AD$495,(SUMPRODUCT((('CASE MASTER'!$T$2:$T$495=4)*('CASE MASTER'!$AA$2:$AA$495&lt;=9)*('CASE MASTER'!$AC$2:$AC$495&gt;=9)*('CASE MASTER'!$AB$2:$AB$495&lt;=3)*('CASE MASTER'!$AD$2:$AD$495&gt;=3))*ROW('CASE MASTER'!$T$2:$T$495))-(ROW('CASE MASTER'!#REF!)-1)))-INDEX('CASE MASTER'!$AB$2:$AB$495,(SUMPRODUCT((('CASE MASTER'!$T$2:$T$495=4)*('CASE MASTER'!$AA$2:$AA$495&lt;=9)*('CASE MASTER'!$AC$2:$AC$495&gt;=9)*('CASE MASTER'!$AB$2:$AB$495&lt;=3)*('CASE MASTER'!$AD$2:$AD$495&gt;=3))*ROW('CASE MASTER'!$T$2:$T$495))-(ROW('CASE MASTER'!#REF!)-1)))+1)+(3-INDEX('CASE MASTER'!$AB$2:$AB$495,(SUMPRODUCT((('CASE MASTER'!$T$2:$T$495=4)*('CASE MASTER'!$AA$2:$AA$495&lt;=9)*('CASE MASTER'!$AC$2:$AC$495&gt;=9)*('CASE MASTER'!$AB$2:$AB$495&lt;=3)*('CASE MASTER'!$AD$2:$AD$495&gt;=3))*ROW('CASE MASTER'!$T$2:$T$495))-(ROW('CASE MASTER'!#REF!)-1))))+1)))-1)*50+1,50))&amp;"_"&amp;INDEX('CASE MASTER'!$Q$2:$Q$495,(SUMPRODUCT((('CASE MASTER'!$T$2:$T$495=4)*('CASE MASTER'!$AA$2:$AA$495&lt;=9)*('CASE MASTER'!$AC$2:$AC$495&gt;=9)*('CASE MASTER'!$AB$2:$AB$495&lt;=3)*('CASE MASTER'!$AD$2:$AD$495&gt;=3))*ROW('CASE MASTER'!$T$2:$T$495))-(ROW('CASE MASTER'!#REF!)-1))),"")),"")</f>
        <v/>
      </c>
      <c r="E53" s="10" t="str">
        <f>IFERROR(IF(SUMPRODUCT((('CASE MASTER'!$T$2:$T$495=4)*('CASE MASTER'!$U$2:$U$495&lt;=9)*('CASE MASTER'!$W$2:$W$495&gt;=9)*('CASE MASTER'!$V$2:$V$495&lt;=4)*('CASE MASTER'!$X$2:$X$495&gt;=4))*ROW('CASE MASTER'!$T$2:$T$495))&gt;0,INDEX('CASE MASTER'!$Y$2:$Y$495,(SUMPRODUCT((('CASE MASTER'!$T$2:$T$495=4)*('CASE MASTER'!$U$2:$U$495&lt;=9)*('CASE MASTER'!$W$2:$W$495&gt;=9)*('CASE MASTER'!$V$2:$V$495&lt;=4)*('CASE MASTER'!$X$2:$X$495&gt;=4))*ROW('CASE MASTER'!$T$2:$T$495))-(ROW('CASE MASTER'!#REF!)-1)))&amp;TRIM(MID(SUBSTITUTE(SUBSTITUTE(INDEX('CASE MASTER'!$N$2:$N$495,(SUMPRODUCT((('CASE MASTER'!$T$2:$T$495=4)*('CASE MASTER'!$U$2:$U$495&lt;=9)*('CASE MASTER'!$W$2:$W$495&gt;=9)*('CASE MASTER'!$V$2:$V$495&lt;=4)*('CASE MASTER'!$X$2:$X$495&gt;=4))*ROW('CASE MASTER'!$T$2:$T$495))-(ROW('CASE MASTER'!#REF!)-1))),":",","),",",REPT(" ",50)),((((9-INDEX('CASE MASTER'!$U$2:$U$495,(SUMPRODUCT((('CASE MASTER'!$T$2:$T$495=4)*('CASE MASTER'!$U$2:$U$495&lt;=9)*('CASE MASTER'!$W$2:$W$495&gt;=9)*('CASE MASTER'!$V$2:$V$495&lt;=4)*('CASE MASTER'!$X$2:$X$495&gt;=4))*ROW('CASE MASTER'!$T$2:$T$495))-(ROW('CASE MASTER'!#REF!)-1))))*(INDEX('CASE MASTER'!$X$2:$X$495,(SUMPRODUCT((('CASE MASTER'!$T$2:$T$495=4)*('CASE MASTER'!$U$2:$U$495&lt;=9)*('CASE MASTER'!$W$2:$W$495&gt;=9)*('CASE MASTER'!$V$2:$V$495&lt;=4)*('CASE MASTER'!$X$2:$X$495&gt;=4))*ROW('CASE MASTER'!$T$2:$T$495))-(ROW('CASE MASTER'!#REF!)-1)))-INDEX('CASE MASTER'!$V$2:$V$495,(SUMPRODUCT((('CASE MASTER'!$T$2:$T$495=4)*('CASE MASTER'!$U$2:$U$495&lt;=9)*('CASE MASTER'!$W$2:$W$495&gt;=9)*('CASE MASTER'!$V$2:$V$495&lt;=4)*('CASE MASTER'!$X$2:$X$495&gt;=4))*ROW('CASE MASTER'!$T$2:$T$495))-(ROW('CASE MASTER'!#REF!)-1)))+1)+(4-INDEX('CASE MASTER'!$V$2:$V$495,(SUMPRODUCT((('CASE MASTER'!$T$2:$T$495=4)*('CASE MASTER'!$U$2:$U$495&lt;=9)*('CASE MASTER'!$W$2:$W$495&gt;=9)*('CASE MASTER'!$V$2:$V$495&lt;=4)*('CASE MASTER'!$X$2:$X$495&gt;=4))*ROW('CASE MASTER'!$T$2:$T$495))-(ROW('CASE MASTER'!#REF!)-1))))+1))-1)*50+1,50))&amp;"_"&amp;INDEX('CASE MASTER'!$Q$2:$Q$495,(SUMPRODUCT((('CASE MASTER'!$T$2:$T$495=4)*('CASE MASTER'!$U$2:$U$495&lt;=9)*('CASE MASTER'!$W$2:$W$495&gt;=9)*('CASE MASTER'!$V$2:$V$495&lt;=4)*('CASE MASTER'!$X$2:$X$495&gt;=4))*ROW('CASE MASTER'!$T$2:$T$495))-(ROW('CASE MASTER'!#REF!)-1))),IF(SUMPRODUCT((('CASE MASTER'!$T$2:$T$495=4)*('CASE MASTER'!$AA$2:$AA$495&lt;=9)*('CASE MASTER'!$AC$2:$AC$495&gt;=9)*('CASE MASTER'!$AB$2:$AB$495&lt;=4)*('CASE MASTER'!$AD$2:$AD$495&gt;=4))*ROW('CASE MASTER'!$T$2:$T$495))&gt;0,INDEX('CASE MASTER'!$Y$2:$Y$495,(SUMPRODUCT((('CASE MASTER'!$T$2:$T$495=4)*('CASE MASTER'!$AA$2:$AA$495&lt;=9)*('CASE MASTER'!$AC$2:$AC$495&gt;=9)*('CASE MASTER'!$AB$2:$AB$495&lt;=4)*('CASE MASTER'!$AD$2:$AD$495&gt;=4))*ROW('CASE MASTER'!$T$2:$T$495))-(ROW('CASE MASTER'!#REF!)-1)))&amp;TRIM(MID(SUBSTITUTE(SUBSTITUTE(INDEX('CASE MASTER'!$N$2:$N$495,(SUMPRODUCT((('CASE MASTER'!$T$2:$T$495=4)*('CASE MASTER'!$AA$2:$AA$495&lt;=9)*('CASE MASTER'!$AC$2:$AC$495&gt;=9)*('CASE MASTER'!$AB$2:$AB$495&lt;=4)*('CASE MASTER'!$AD$2:$AD$495&gt;=4))*ROW('CASE MASTER'!$T$2:$T$495))-(ROW('CASE MASTER'!#REF!)-1))),":",","),",",REPT(" ",50)),(((INDEX('CASE MASTER'!$Z$2:$Z$495,(SUMPRODUCT((('CASE MASTER'!$T$2:$T$495=4)*('CASE MASTER'!$AA$2:$AA$495&lt;=9)*('CASE MASTER'!$AC$2:$AC$495&gt;=9)*('CASE MASTER'!$AB$2:$AB$495&lt;=4)*('CASE MASTER'!$AD$2:$AD$495&gt;=4))*ROW('CASE MASTER'!$T$2:$T$495))-(ROW('CASE MASTER'!#REF!)-1)))+((9-INDEX('CASE MASTER'!$AA$2:$AA$495,(SUMPRODUCT((('CASE MASTER'!$T$2:$T$495=4)*('CASE MASTER'!$AA$2:$AA$495&lt;=9)*('CASE MASTER'!$AC$2:$AC$495&gt;=9)*('CASE MASTER'!$AB$2:$AB$495&lt;=4)*('CASE MASTER'!$AD$2:$AD$495&gt;=4))*ROW('CASE MASTER'!$T$2:$T$495))-(ROW('CASE MASTER'!#REF!)-1))))*(INDEX('CASE MASTER'!$AD$2:$AD$495,(SUMPRODUCT((('CASE MASTER'!$T$2:$T$495=4)*('CASE MASTER'!$AA$2:$AA$495&lt;=9)*('CASE MASTER'!$AC$2:$AC$495&gt;=9)*('CASE MASTER'!$AB$2:$AB$495&lt;=4)*('CASE MASTER'!$AD$2:$AD$495&gt;=4))*ROW('CASE MASTER'!$T$2:$T$495))-(ROW('CASE MASTER'!#REF!)-1)))-INDEX('CASE MASTER'!$AB$2:$AB$495,(SUMPRODUCT((('CASE MASTER'!$T$2:$T$495=4)*('CASE MASTER'!$AA$2:$AA$495&lt;=9)*('CASE MASTER'!$AC$2:$AC$495&gt;=9)*('CASE MASTER'!$AB$2:$AB$495&lt;=4)*('CASE MASTER'!$AD$2:$AD$495&gt;=4))*ROW('CASE MASTER'!$T$2:$T$495))-(ROW('CASE MASTER'!#REF!)-1)))+1)+(4-INDEX('CASE MASTER'!$AB$2:$AB$495,(SUMPRODUCT((('CASE MASTER'!$T$2:$T$495=4)*('CASE MASTER'!$AA$2:$AA$495&lt;=9)*('CASE MASTER'!$AC$2:$AC$495&gt;=9)*('CASE MASTER'!$AB$2:$AB$495&lt;=4)*('CASE MASTER'!$AD$2:$AD$495&gt;=4))*ROW('CASE MASTER'!$T$2:$T$495))-(ROW('CASE MASTER'!#REF!)-1))))+1)))-1)*50+1,50))&amp;"_"&amp;INDEX('CASE MASTER'!$Q$2:$Q$495,(SUMPRODUCT((('CASE MASTER'!$T$2:$T$495=4)*('CASE MASTER'!$AA$2:$AA$495&lt;=9)*('CASE MASTER'!$AC$2:$AC$495&gt;=9)*('CASE MASTER'!$AB$2:$AB$495&lt;=4)*('CASE MASTER'!$AD$2:$AD$495&gt;=4))*ROW('CASE MASTER'!$T$2:$T$495))-(ROW('CASE MASTER'!#REF!)-1))),"")),"")</f>
        <v/>
      </c>
      <c r="F53" s="10" t="str">
        <f>IFERROR(IF(SUMPRODUCT((('CASE MASTER'!$T$2:$T$495=4)*('CASE MASTER'!$U$2:$U$495&lt;=9)*('CASE MASTER'!$W$2:$W$495&gt;=9)*('CASE MASTER'!$V$2:$V$495&lt;=5)*('CASE MASTER'!$X$2:$X$495&gt;=5))*ROW('CASE MASTER'!$T$2:$T$495))&gt;0,INDEX('CASE MASTER'!$Y$2:$Y$495,(SUMPRODUCT((('CASE MASTER'!$T$2:$T$495=4)*('CASE MASTER'!$U$2:$U$495&lt;=9)*('CASE MASTER'!$W$2:$W$495&gt;=9)*('CASE MASTER'!$V$2:$V$495&lt;=5)*('CASE MASTER'!$X$2:$X$495&gt;=5))*ROW('CASE MASTER'!$T$2:$T$495))-(ROW('CASE MASTER'!#REF!)-1)))&amp;TRIM(MID(SUBSTITUTE(SUBSTITUTE(INDEX('CASE MASTER'!$N$2:$N$495,(SUMPRODUCT((('CASE MASTER'!$T$2:$T$495=4)*('CASE MASTER'!$U$2:$U$495&lt;=9)*('CASE MASTER'!$W$2:$W$495&gt;=9)*('CASE MASTER'!$V$2:$V$495&lt;=5)*('CASE MASTER'!$X$2:$X$495&gt;=5))*ROW('CASE MASTER'!$T$2:$T$495))-(ROW('CASE MASTER'!#REF!)-1))),":",","),",",REPT(" ",50)),((((9-INDEX('CASE MASTER'!$U$2:$U$495,(SUMPRODUCT((('CASE MASTER'!$T$2:$T$495=4)*('CASE MASTER'!$U$2:$U$495&lt;=9)*('CASE MASTER'!$W$2:$W$495&gt;=9)*('CASE MASTER'!$V$2:$V$495&lt;=5)*('CASE MASTER'!$X$2:$X$495&gt;=5))*ROW('CASE MASTER'!$T$2:$T$495))-(ROW('CASE MASTER'!#REF!)-1))))*(INDEX('CASE MASTER'!$X$2:$X$495,(SUMPRODUCT((('CASE MASTER'!$T$2:$T$495=4)*('CASE MASTER'!$U$2:$U$495&lt;=9)*('CASE MASTER'!$W$2:$W$495&gt;=9)*('CASE MASTER'!$V$2:$V$495&lt;=5)*('CASE MASTER'!$X$2:$X$495&gt;=5))*ROW('CASE MASTER'!$T$2:$T$495))-(ROW('CASE MASTER'!#REF!)-1)))-INDEX('CASE MASTER'!$V$2:$V$495,(SUMPRODUCT((('CASE MASTER'!$T$2:$T$495=4)*('CASE MASTER'!$U$2:$U$495&lt;=9)*('CASE MASTER'!$W$2:$W$495&gt;=9)*('CASE MASTER'!$V$2:$V$495&lt;=5)*('CASE MASTER'!$X$2:$X$495&gt;=5))*ROW('CASE MASTER'!$T$2:$T$495))-(ROW('CASE MASTER'!#REF!)-1)))+1)+(5-INDEX('CASE MASTER'!$V$2:$V$495,(SUMPRODUCT((('CASE MASTER'!$T$2:$T$495=4)*('CASE MASTER'!$U$2:$U$495&lt;=9)*('CASE MASTER'!$W$2:$W$495&gt;=9)*('CASE MASTER'!$V$2:$V$495&lt;=5)*('CASE MASTER'!$X$2:$X$495&gt;=5))*ROW('CASE MASTER'!$T$2:$T$495))-(ROW('CASE MASTER'!#REF!)-1))))+1))-1)*50+1,50))&amp;"_"&amp;INDEX('CASE MASTER'!$Q$2:$Q$495,(SUMPRODUCT((('CASE MASTER'!$T$2:$T$495=4)*('CASE MASTER'!$U$2:$U$495&lt;=9)*('CASE MASTER'!$W$2:$W$495&gt;=9)*('CASE MASTER'!$V$2:$V$495&lt;=5)*('CASE MASTER'!$X$2:$X$495&gt;=5))*ROW('CASE MASTER'!$T$2:$T$495))-(ROW('CASE MASTER'!#REF!)-1))),IF(SUMPRODUCT((('CASE MASTER'!$T$2:$T$495=4)*('CASE MASTER'!$AA$2:$AA$495&lt;=9)*('CASE MASTER'!$AC$2:$AC$495&gt;=9)*('CASE MASTER'!$AB$2:$AB$495&lt;=5)*('CASE MASTER'!$AD$2:$AD$495&gt;=5))*ROW('CASE MASTER'!$T$2:$T$495))&gt;0,INDEX('CASE MASTER'!$Y$2:$Y$495,(SUMPRODUCT((('CASE MASTER'!$T$2:$T$495=4)*('CASE MASTER'!$AA$2:$AA$495&lt;=9)*('CASE MASTER'!$AC$2:$AC$495&gt;=9)*('CASE MASTER'!$AB$2:$AB$495&lt;=5)*('CASE MASTER'!$AD$2:$AD$495&gt;=5))*ROW('CASE MASTER'!$T$2:$T$495))-(ROW('CASE MASTER'!#REF!)-1)))&amp;TRIM(MID(SUBSTITUTE(SUBSTITUTE(INDEX('CASE MASTER'!$N$2:$N$495,(SUMPRODUCT((('CASE MASTER'!$T$2:$T$495=4)*('CASE MASTER'!$AA$2:$AA$495&lt;=9)*('CASE MASTER'!$AC$2:$AC$495&gt;=9)*('CASE MASTER'!$AB$2:$AB$495&lt;=5)*('CASE MASTER'!$AD$2:$AD$495&gt;=5))*ROW('CASE MASTER'!$T$2:$T$495))-(ROW('CASE MASTER'!#REF!)-1))),":",","),",",REPT(" ",50)),(((INDEX('CASE MASTER'!$Z$2:$Z$495,(SUMPRODUCT((('CASE MASTER'!$T$2:$T$495=4)*('CASE MASTER'!$AA$2:$AA$495&lt;=9)*('CASE MASTER'!$AC$2:$AC$495&gt;=9)*('CASE MASTER'!$AB$2:$AB$495&lt;=5)*('CASE MASTER'!$AD$2:$AD$495&gt;=5))*ROW('CASE MASTER'!$T$2:$T$495))-(ROW('CASE MASTER'!#REF!)-1)))+((9-INDEX('CASE MASTER'!$AA$2:$AA$495,(SUMPRODUCT((('CASE MASTER'!$T$2:$T$495=4)*('CASE MASTER'!$AA$2:$AA$495&lt;=9)*('CASE MASTER'!$AC$2:$AC$495&gt;=9)*('CASE MASTER'!$AB$2:$AB$495&lt;=5)*('CASE MASTER'!$AD$2:$AD$495&gt;=5))*ROW('CASE MASTER'!$T$2:$T$495))-(ROW('CASE MASTER'!#REF!)-1))))*(INDEX('CASE MASTER'!$AD$2:$AD$495,(SUMPRODUCT((('CASE MASTER'!$T$2:$T$495=4)*('CASE MASTER'!$AA$2:$AA$495&lt;=9)*('CASE MASTER'!$AC$2:$AC$495&gt;=9)*('CASE MASTER'!$AB$2:$AB$495&lt;=5)*('CASE MASTER'!$AD$2:$AD$495&gt;=5))*ROW('CASE MASTER'!$T$2:$T$495))-(ROW('CASE MASTER'!#REF!)-1)))-INDEX('CASE MASTER'!$AB$2:$AB$495,(SUMPRODUCT((('CASE MASTER'!$T$2:$T$495=4)*('CASE MASTER'!$AA$2:$AA$495&lt;=9)*('CASE MASTER'!$AC$2:$AC$495&gt;=9)*('CASE MASTER'!$AB$2:$AB$495&lt;=5)*('CASE MASTER'!$AD$2:$AD$495&gt;=5))*ROW('CASE MASTER'!$T$2:$T$495))-(ROW('CASE MASTER'!#REF!)-1)))+1)+(5-INDEX('CASE MASTER'!$AB$2:$AB$495,(SUMPRODUCT((('CASE MASTER'!$T$2:$T$495=4)*('CASE MASTER'!$AA$2:$AA$495&lt;=9)*('CASE MASTER'!$AC$2:$AC$495&gt;=9)*('CASE MASTER'!$AB$2:$AB$495&lt;=5)*('CASE MASTER'!$AD$2:$AD$495&gt;=5))*ROW('CASE MASTER'!$T$2:$T$495))-(ROW('CASE MASTER'!#REF!)-1))))+1)))-1)*50+1,50))&amp;"_"&amp;INDEX('CASE MASTER'!$Q$2:$Q$495,(SUMPRODUCT((('CASE MASTER'!$T$2:$T$495=4)*('CASE MASTER'!$AA$2:$AA$495&lt;=9)*('CASE MASTER'!$AC$2:$AC$495&gt;=9)*('CASE MASTER'!$AB$2:$AB$495&lt;=5)*('CASE MASTER'!$AD$2:$AD$495&gt;=5))*ROW('CASE MASTER'!$T$2:$T$495))-(ROW('CASE MASTER'!#REF!)-1))),"")),"")</f>
        <v/>
      </c>
      <c r="G53" s="10" t="str">
        <f>IFERROR(IF(SUMPRODUCT((('CASE MASTER'!$T$2:$T$495=4)*('CASE MASTER'!$U$2:$U$495&lt;=9)*('CASE MASTER'!$W$2:$W$495&gt;=9)*('CASE MASTER'!$V$2:$V$495&lt;=6)*('CASE MASTER'!$X$2:$X$495&gt;=6))*ROW('CASE MASTER'!$T$2:$T$495))&gt;0,INDEX('CASE MASTER'!$Y$2:$Y$495,(SUMPRODUCT((('CASE MASTER'!$T$2:$T$495=4)*('CASE MASTER'!$U$2:$U$495&lt;=9)*('CASE MASTER'!$W$2:$W$495&gt;=9)*('CASE MASTER'!$V$2:$V$495&lt;=6)*('CASE MASTER'!$X$2:$X$495&gt;=6))*ROW('CASE MASTER'!$T$2:$T$495))-(ROW('CASE MASTER'!#REF!)-1)))&amp;TRIM(MID(SUBSTITUTE(SUBSTITUTE(INDEX('CASE MASTER'!$N$2:$N$495,(SUMPRODUCT((('CASE MASTER'!$T$2:$T$495=4)*('CASE MASTER'!$U$2:$U$495&lt;=9)*('CASE MASTER'!$W$2:$W$495&gt;=9)*('CASE MASTER'!$V$2:$V$495&lt;=6)*('CASE MASTER'!$X$2:$X$495&gt;=6))*ROW('CASE MASTER'!$T$2:$T$495))-(ROW('CASE MASTER'!#REF!)-1))),":",","),",",REPT(" ",50)),((((9-INDEX('CASE MASTER'!$U$2:$U$495,(SUMPRODUCT((('CASE MASTER'!$T$2:$T$495=4)*('CASE MASTER'!$U$2:$U$495&lt;=9)*('CASE MASTER'!$W$2:$W$495&gt;=9)*('CASE MASTER'!$V$2:$V$495&lt;=6)*('CASE MASTER'!$X$2:$X$495&gt;=6))*ROW('CASE MASTER'!$T$2:$T$495))-(ROW('CASE MASTER'!#REF!)-1))))*(INDEX('CASE MASTER'!$X$2:$X$495,(SUMPRODUCT((('CASE MASTER'!$T$2:$T$495=4)*('CASE MASTER'!$U$2:$U$495&lt;=9)*('CASE MASTER'!$W$2:$W$495&gt;=9)*('CASE MASTER'!$V$2:$V$495&lt;=6)*('CASE MASTER'!$X$2:$X$495&gt;=6))*ROW('CASE MASTER'!$T$2:$T$495))-(ROW('CASE MASTER'!#REF!)-1)))-INDEX('CASE MASTER'!$V$2:$V$495,(SUMPRODUCT((('CASE MASTER'!$T$2:$T$495=4)*('CASE MASTER'!$U$2:$U$495&lt;=9)*('CASE MASTER'!$W$2:$W$495&gt;=9)*('CASE MASTER'!$V$2:$V$495&lt;=6)*('CASE MASTER'!$X$2:$X$495&gt;=6))*ROW('CASE MASTER'!$T$2:$T$495))-(ROW('CASE MASTER'!#REF!)-1)))+1)+(6-INDEX('CASE MASTER'!$V$2:$V$495,(SUMPRODUCT((('CASE MASTER'!$T$2:$T$495=4)*('CASE MASTER'!$U$2:$U$495&lt;=9)*('CASE MASTER'!$W$2:$W$495&gt;=9)*('CASE MASTER'!$V$2:$V$495&lt;=6)*('CASE MASTER'!$X$2:$X$495&gt;=6))*ROW('CASE MASTER'!$T$2:$T$495))-(ROW('CASE MASTER'!#REF!)-1))))+1))-1)*50+1,50))&amp;"_"&amp;INDEX('CASE MASTER'!$Q$2:$Q$495,(SUMPRODUCT((('CASE MASTER'!$T$2:$T$495=4)*('CASE MASTER'!$U$2:$U$495&lt;=9)*('CASE MASTER'!$W$2:$W$495&gt;=9)*('CASE MASTER'!$V$2:$V$495&lt;=6)*('CASE MASTER'!$X$2:$X$495&gt;=6))*ROW('CASE MASTER'!$T$2:$T$495))-(ROW('CASE MASTER'!#REF!)-1))),IF(SUMPRODUCT((('CASE MASTER'!$T$2:$T$495=4)*('CASE MASTER'!$AA$2:$AA$495&lt;=9)*('CASE MASTER'!$AC$2:$AC$495&gt;=9)*('CASE MASTER'!$AB$2:$AB$495&lt;=6)*('CASE MASTER'!$AD$2:$AD$495&gt;=6))*ROW('CASE MASTER'!$T$2:$T$495))&gt;0,INDEX('CASE MASTER'!$Y$2:$Y$495,(SUMPRODUCT((('CASE MASTER'!$T$2:$T$495=4)*('CASE MASTER'!$AA$2:$AA$495&lt;=9)*('CASE MASTER'!$AC$2:$AC$495&gt;=9)*('CASE MASTER'!$AB$2:$AB$495&lt;=6)*('CASE MASTER'!$AD$2:$AD$495&gt;=6))*ROW('CASE MASTER'!$T$2:$T$495))-(ROW('CASE MASTER'!#REF!)-1)))&amp;TRIM(MID(SUBSTITUTE(SUBSTITUTE(INDEX('CASE MASTER'!$N$2:$N$495,(SUMPRODUCT((('CASE MASTER'!$T$2:$T$495=4)*('CASE MASTER'!$AA$2:$AA$495&lt;=9)*('CASE MASTER'!$AC$2:$AC$495&gt;=9)*('CASE MASTER'!$AB$2:$AB$495&lt;=6)*('CASE MASTER'!$AD$2:$AD$495&gt;=6))*ROW('CASE MASTER'!$T$2:$T$495))-(ROW('CASE MASTER'!#REF!)-1))),":",","),",",REPT(" ",50)),(((INDEX('CASE MASTER'!$Z$2:$Z$495,(SUMPRODUCT((('CASE MASTER'!$T$2:$T$495=4)*('CASE MASTER'!$AA$2:$AA$495&lt;=9)*('CASE MASTER'!$AC$2:$AC$495&gt;=9)*('CASE MASTER'!$AB$2:$AB$495&lt;=6)*('CASE MASTER'!$AD$2:$AD$495&gt;=6))*ROW('CASE MASTER'!$T$2:$T$495))-(ROW('CASE MASTER'!#REF!)-1)))+((9-INDEX('CASE MASTER'!$AA$2:$AA$495,(SUMPRODUCT((('CASE MASTER'!$T$2:$T$495=4)*('CASE MASTER'!$AA$2:$AA$495&lt;=9)*('CASE MASTER'!$AC$2:$AC$495&gt;=9)*('CASE MASTER'!$AB$2:$AB$495&lt;=6)*('CASE MASTER'!$AD$2:$AD$495&gt;=6))*ROW('CASE MASTER'!$T$2:$T$495))-(ROW('CASE MASTER'!#REF!)-1))))*(INDEX('CASE MASTER'!$AD$2:$AD$495,(SUMPRODUCT((('CASE MASTER'!$T$2:$T$495=4)*('CASE MASTER'!$AA$2:$AA$495&lt;=9)*('CASE MASTER'!$AC$2:$AC$495&gt;=9)*('CASE MASTER'!$AB$2:$AB$495&lt;=6)*('CASE MASTER'!$AD$2:$AD$495&gt;=6))*ROW('CASE MASTER'!$T$2:$T$495))-(ROW('CASE MASTER'!#REF!)-1)))-INDEX('CASE MASTER'!$AB$2:$AB$495,(SUMPRODUCT((('CASE MASTER'!$T$2:$T$495=4)*('CASE MASTER'!$AA$2:$AA$495&lt;=9)*('CASE MASTER'!$AC$2:$AC$495&gt;=9)*('CASE MASTER'!$AB$2:$AB$495&lt;=6)*('CASE MASTER'!$AD$2:$AD$495&gt;=6))*ROW('CASE MASTER'!$T$2:$T$495))-(ROW('CASE MASTER'!#REF!)-1)))+1)+(6-INDEX('CASE MASTER'!$AB$2:$AB$495,(SUMPRODUCT((('CASE MASTER'!$T$2:$T$495=4)*('CASE MASTER'!$AA$2:$AA$495&lt;=9)*('CASE MASTER'!$AC$2:$AC$495&gt;=9)*('CASE MASTER'!$AB$2:$AB$495&lt;=6)*('CASE MASTER'!$AD$2:$AD$495&gt;=6))*ROW('CASE MASTER'!$T$2:$T$495))-(ROW('CASE MASTER'!#REF!)-1))))+1)))-1)*50+1,50))&amp;"_"&amp;INDEX('CASE MASTER'!$Q$2:$Q$495,(SUMPRODUCT((('CASE MASTER'!$T$2:$T$495=4)*('CASE MASTER'!$AA$2:$AA$495&lt;=9)*('CASE MASTER'!$AC$2:$AC$495&gt;=9)*('CASE MASTER'!$AB$2:$AB$495&lt;=6)*('CASE MASTER'!$AD$2:$AD$495&gt;=6))*ROW('CASE MASTER'!$T$2:$T$495))-(ROW('CASE MASTER'!#REF!)-1))),"")),"")</f>
        <v/>
      </c>
      <c r="H53" s="10" t="str">
        <f>IFERROR(IF(SUMPRODUCT((('CASE MASTER'!$T$2:$T$495=4)*('CASE MASTER'!$U$2:$U$495&lt;=9)*('CASE MASTER'!$W$2:$W$495&gt;=9)*('CASE MASTER'!$V$2:$V$495&lt;=7)*('CASE MASTER'!$X$2:$X$495&gt;=7))*ROW('CASE MASTER'!$T$2:$T$495))&gt;0,INDEX('CASE MASTER'!$Y$2:$Y$495,(SUMPRODUCT((('CASE MASTER'!$T$2:$T$495=4)*('CASE MASTER'!$U$2:$U$495&lt;=9)*('CASE MASTER'!$W$2:$W$495&gt;=9)*('CASE MASTER'!$V$2:$V$495&lt;=7)*('CASE MASTER'!$X$2:$X$495&gt;=7))*ROW('CASE MASTER'!$T$2:$T$495))-(ROW('CASE MASTER'!#REF!)-1)))&amp;TRIM(MID(SUBSTITUTE(SUBSTITUTE(INDEX('CASE MASTER'!$N$2:$N$495,(SUMPRODUCT((('CASE MASTER'!$T$2:$T$495=4)*('CASE MASTER'!$U$2:$U$495&lt;=9)*('CASE MASTER'!$W$2:$W$495&gt;=9)*('CASE MASTER'!$V$2:$V$495&lt;=7)*('CASE MASTER'!$X$2:$X$495&gt;=7))*ROW('CASE MASTER'!$T$2:$T$495))-(ROW('CASE MASTER'!#REF!)-1))),":",","),",",REPT(" ",50)),((((9-INDEX('CASE MASTER'!$U$2:$U$495,(SUMPRODUCT((('CASE MASTER'!$T$2:$T$495=4)*('CASE MASTER'!$U$2:$U$495&lt;=9)*('CASE MASTER'!$W$2:$W$495&gt;=9)*('CASE MASTER'!$V$2:$V$495&lt;=7)*('CASE MASTER'!$X$2:$X$495&gt;=7))*ROW('CASE MASTER'!$T$2:$T$495))-(ROW('CASE MASTER'!#REF!)-1))))*(INDEX('CASE MASTER'!$X$2:$X$495,(SUMPRODUCT((('CASE MASTER'!$T$2:$T$495=4)*('CASE MASTER'!$U$2:$U$495&lt;=9)*('CASE MASTER'!$W$2:$W$495&gt;=9)*('CASE MASTER'!$V$2:$V$495&lt;=7)*('CASE MASTER'!$X$2:$X$495&gt;=7))*ROW('CASE MASTER'!$T$2:$T$495))-(ROW('CASE MASTER'!#REF!)-1)))-INDEX('CASE MASTER'!$V$2:$V$495,(SUMPRODUCT((('CASE MASTER'!$T$2:$T$495=4)*('CASE MASTER'!$U$2:$U$495&lt;=9)*('CASE MASTER'!$W$2:$W$495&gt;=9)*('CASE MASTER'!$V$2:$V$495&lt;=7)*('CASE MASTER'!$X$2:$X$495&gt;=7))*ROW('CASE MASTER'!$T$2:$T$495))-(ROW('CASE MASTER'!#REF!)-1)))+1)+(7-INDEX('CASE MASTER'!$V$2:$V$495,(SUMPRODUCT((('CASE MASTER'!$T$2:$T$495=4)*('CASE MASTER'!$U$2:$U$495&lt;=9)*('CASE MASTER'!$W$2:$W$495&gt;=9)*('CASE MASTER'!$V$2:$V$495&lt;=7)*('CASE MASTER'!$X$2:$X$495&gt;=7))*ROW('CASE MASTER'!$T$2:$T$495))-(ROW('CASE MASTER'!#REF!)-1))))+1))-1)*50+1,50))&amp;"_"&amp;INDEX('CASE MASTER'!$Q$2:$Q$495,(SUMPRODUCT((('CASE MASTER'!$T$2:$T$495=4)*('CASE MASTER'!$U$2:$U$495&lt;=9)*('CASE MASTER'!$W$2:$W$495&gt;=9)*('CASE MASTER'!$V$2:$V$495&lt;=7)*('CASE MASTER'!$X$2:$X$495&gt;=7))*ROW('CASE MASTER'!$T$2:$T$495))-(ROW('CASE MASTER'!#REF!)-1))),IF(SUMPRODUCT((('CASE MASTER'!$T$2:$T$495=4)*('CASE MASTER'!$AA$2:$AA$495&lt;=9)*('CASE MASTER'!$AC$2:$AC$495&gt;=9)*('CASE MASTER'!$AB$2:$AB$495&lt;=7)*('CASE MASTER'!$AD$2:$AD$495&gt;=7))*ROW('CASE MASTER'!$T$2:$T$495))&gt;0,INDEX('CASE MASTER'!$Y$2:$Y$495,(SUMPRODUCT((('CASE MASTER'!$T$2:$T$495=4)*('CASE MASTER'!$AA$2:$AA$495&lt;=9)*('CASE MASTER'!$AC$2:$AC$495&gt;=9)*('CASE MASTER'!$AB$2:$AB$495&lt;=7)*('CASE MASTER'!$AD$2:$AD$495&gt;=7))*ROW('CASE MASTER'!$T$2:$T$495))-(ROW('CASE MASTER'!#REF!)-1)))&amp;TRIM(MID(SUBSTITUTE(SUBSTITUTE(INDEX('CASE MASTER'!$N$2:$N$495,(SUMPRODUCT((('CASE MASTER'!$T$2:$T$495=4)*('CASE MASTER'!$AA$2:$AA$495&lt;=9)*('CASE MASTER'!$AC$2:$AC$495&gt;=9)*('CASE MASTER'!$AB$2:$AB$495&lt;=7)*('CASE MASTER'!$AD$2:$AD$495&gt;=7))*ROW('CASE MASTER'!$T$2:$T$495))-(ROW('CASE MASTER'!#REF!)-1))),":",","),",",REPT(" ",50)),(((INDEX('CASE MASTER'!$Z$2:$Z$495,(SUMPRODUCT((('CASE MASTER'!$T$2:$T$495=4)*('CASE MASTER'!$AA$2:$AA$495&lt;=9)*('CASE MASTER'!$AC$2:$AC$495&gt;=9)*('CASE MASTER'!$AB$2:$AB$495&lt;=7)*('CASE MASTER'!$AD$2:$AD$495&gt;=7))*ROW('CASE MASTER'!$T$2:$T$495))-(ROW('CASE MASTER'!#REF!)-1)))+((9-INDEX('CASE MASTER'!$AA$2:$AA$495,(SUMPRODUCT((('CASE MASTER'!$T$2:$T$495=4)*('CASE MASTER'!$AA$2:$AA$495&lt;=9)*('CASE MASTER'!$AC$2:$AC$495&gt;=9)*('CASE MASTER'!$AB$2:$AB$495&lt;=7)*('CASE MASTER'!$AD$2:$AD$495&gt;=7))*ROW('CASE MASTER'!$T$2:$T$495))-(ROW('CASE MASTER'!#REF!)-1))))*(INDEX('CASE MASTER'!$AD$2:$AD$495,(SUMPRODUCT((('CASE MASTER'!$T$2:$T$495=4)*('CASE MASTER'!$AA$2:$AA$495&lt;=9)*('CASE MASTER'!$AC$2:$AC$495&gt;=9)*('CASE MASTER'!$AB$2:$AB$495&lt;=7)*('CASE MASTER'!$AD$2:$AD$495&gt;=7))*ROW('CASE MASTER'!$T$2:$T$495))-(ROW('CASE MASTER'!#REF!)-1)))-INDEX('CASE MASTER'!$AB$2:$AB$495,(SUMPRODUCT((('CASE MASTER'!$T$2:$T$495=4)*('CASE MASTER'!$AA$2:$AA$495&lt;=9)*('CASE MASTER'!$AC$2:$AC$495&gt;=9)*('CASE MASTER'!$AB$2:$AB$495&lt;=7)*('CASE MASTER'!$AD$2:$AD$495&gt;=7))*ROW('CASE MASTER'!$T$2:$T$495))-(ROW('CASE MASTER'!#REF!)-1)))+1)+(7-INDEX('CASE MASTER'!$AB$2:$AB$495,(SUMPRODUCT((('CASE MASTER'!$T$2:$T$495=4)*('CASE MASTER'!$AA$2:$AA$495&lt;=9)*('CASE MASTER'!$AC$2:$AC$495&gt;=9)*('CASE MASTER'!$AB$2:$AB$495&lt;=7)*('CASE MASTER'!$AD$2:$AD$495&gt;=7))*ROW('CASE MASTER'!$T$2:$T$495))-(ROW('CASE MASTER'!#REF!)-1))))+1)))-1)*50+1,50))&amp;"_"&amp;INDEX('CASE MASTER'!$Q$2:$Q$495,(SUMPRODUCT((('CASE MASTER'!$T$2:$T$495=4)*('CASE MASTER'!$AA$2:$AA$495&lt;=9)*('CASE MASTER'!$AC$2:$AC$495&gt;=9)*('CASE MASTER'!$AB$2:$AB$495&lt;=7)*('CASE MASTER'!$AD$2:$AD$495&gt;=7))*ROW('CASE MASTER'!$T$2:$T$495))-(ROW('CASE MASTER'!#REF!)-1))),"")),"")</f>
        <v/>
      </c>
      <c r="I53" s="10" t="str">
        <f>IFERROR(IF(SUMPRODUCT((('CASE MASTER'!$T$2:$T$495=4)*('CASE MASTER'!$U$2:$U$495&lt;=9)*('CASE MASTER'!$W$2:$W$495&gt;=9)*('CASE MASTER'!$V$2:$V$495&lt;=8)*('CASE MASTER'!$X$2:$X$495&gt;=8))*ROW('CASE MASTER'!$T$2:$T$495))&gt;0,INDEX('CASE MASTER'!$Y$2:$Y$495,(SUMPRODUCT((('CASE MASTER'!$T$2:$T$495=4)*('CASE MASTER'!$U$2:$U$495&lt;=9)*('CASE MASTER'!$W$2:$W$495&gt;=9)*('CASE MASTER'!$V$2:$V$495&lt;=8)*('CASE MASTER'!$X$2:$X$495&gt;=8))*ROW('CASE MASTER'!$T$2:$T$495))-(ROW('CASE MASTER'!#REF!)-1)))&amp;TRIM(MID(SUBSTITUTE(SUBSTITUTE(INDEX('CASE MASTER'!$N$2:$N$495,(SUMPRODUCT((('CASE MASTER'!$T$2:$T$495=4)*('CASE MASTER'!$U$2:$U$495&lt;=9)*('CASE MASTER'!$W$2:$W$495&gt;=9)*('CASE MASTER'!$V$2:$V$495&lt;=8)*('CASE MASTER'!$X$2:$X$495&gt;=8))*ROW('CASE MASTER'!$T$2:$T$495))-(ROW('CASE MASTER'!#REF!)-1))),":",","),",",REPT(" ",50)),((((9-INDEX('CASE MASTER'!$U$2:$U$495,(SUMPRODUCT((('CASE MASTER'!$T$2:$T$495=4)*('CASE MASTER'!$U$2:$U$495&lt;=9)*('CASE MASTER'!$W$2:$W$495&gt;=9)*('CASE MASTER'!$V$2:$V$495&lt;=8)*('CASE MASTER'!$X$2:$X$495&gt;=8))*ROW('CASE MASTER'!$T$2:$T$495))-(ROW('CASE MASTER'!#REF!)-1))))*(INDEX('CASE MASTER'!$X$2:$X$495,(SUMPRODUCT((('CASE MASTER'!$T$2:$T$495=4)*('CASE MASTER'!$U$2:$U$495&lt;=9)*('CASE MASTER'!$W$2:$W$495&gt;=9)*('CASE MASTER'!$V$2:$V$495&lt;=8)*('CASE MASTER'!$X$2:$X$495&gt;=8))*ROW('CASE MASTER'!$T$2:$T$495))-(ROW('CASE MASTER'!#REF!)-1)))-INDEX('CASE MASTER'!$V$2:$V$495,(SUMPRODUCT((('CASE MASTER'!$T$2:$T$495=4)*('CASE MASTER'!$U$2:$U$495&lt;=9)*('CASE MASTER'!$W$2:$W$495&gt;=9)*('CASE MASTER'!$V$2:$V$495&lt;=8)*('CASE MASTER'!$X$2:$X$495&gt;=8))*ROW('CASE MASTER'!$T$2:$T$495))-(ROW('CASE MASTER'!#REF!)-1)))+1)+(8-INDEX('CASE MASTER'!$V$2:$V$495,(SUMPRODUCT((('CASE MASTER'!$T$2:$T$495=4)*('CASE MASTER'!$U$2:$U$495&lt;=9)*('CASE MASTER'!$W$2:$W$495&gt;=9)*('CASE MASTER'!$V$2:$V$495&lt;=8)*('CASE MASTER'!$X$2:$X$495&gt;=8))*ROW('CASE MASTER'!$T$2:$T$495))-(ROW('CASE MASTER'!#REF!)-1))))+1))-1)*50+1,50))&amp;"_"&amp;INDEX('CASE MASTER'!$Q$2:$Q$495,(SUMPRODUCT((('CASE MASTER'!$T$2:$T$495=4)*('CASE MASTER'!$U$2:$U$495&lt;=9)*('CASE MASTER'!$W$2:$W$495&gt;=9)*('CASE MASTER'!$V$2:$V$495&lt;=8)*('CASE MASTER'!$X$2:$X$495&gt;=8))*ROW('CASE MASTER'!$T$2:$T$495))-(ROW('CASE MASTER'!#REF!)-1))),IF(SUMPRODUCT((('CASE MASTER'!$T$2:$T$495=4)*('CASE MASTER'!$AA$2:$AA$495&lt;=9)*('CASE MASTER'!$AC$2:$AC$495&gt;=9)*('CASE MASTER'!$AB$2:$AB$495&lt;=8)*('CASE MASTER'!$AD$2:$AD$495&gt;=8))*ROW('CASE MASTER'!$T$2:$T$495))&gt;0,INDEX('CASE MASTER'!$Y$2:$Y$495,(SUMPRODUCT((('CASE MASTER'!$T$2:$T$495=4)*('CASE MASTER'!$AA$2:$AA$495&lt;=9)*('CASE MASTER'!$AC$2:$AC$495&gt;=9)*('CASE MASTER'!$AB$2:$AB$495&lt;=8)*('CASE MASTER'!$AD$2:$AD$495&gt;=8))*ROW('CASE MASTER'!$T$2:$T$495))-(ROW('CASE MASTER'!#REF!)-1)))&amp;TRIM(MID(SUBSTITUTE(SUBSTITUTE(INDEX('CASE MASTER'!$N$2:$N$495,(SUMPRODUCT((('CASE MASTER'!$T$2:$T$495=4)*('CASE MASTER'!$AA$2:$AA$495&lt;=9)*('CASE MASTER'!$AC$2:$AC$495&gt;=9)*('CASE MASTER'!$AB$2:$AB$495&lt;=8)*('CASE MASTER'!$AD$2:$AD$495&gt;=8))*ROW('CASE MASTER'!$T$2:$T$495))-(ROW('CASE MASTER'!#REF!)-1))),":",","),",",REPT(" ",50)),(((INDEX('CASE MASTER'!$Z$2:$Z$495,(SUMPRODUCT((('CASE MASTER'!$T$2:$T$495=4)*('CASE MASTER'!$AA$2:$AA$495&lt;=9)*('CASE MASTER'!$AC$2:$AC$495&gt;=9)*('CASE MASTER'!$AB$2:$AB$495&lt;=8)*('CASE MASTER'!$AD$2:$AD$495&gt;=8))*ROW('CASE MASTER'!$T$2:$T$495))-(ROW('CASE MASTER'!#REF!)-1)))+((9-INDEX('CASE MASTER'!$AA$2:$AA$495,(SUMPRODUCT((('CASE MASTER'!$T$2:$T$495=4)*('CASE MASTER'!$AA$2:$AA$495&lt;=9)*('CASE MASTER'!$AC$2:$AC$495&gt;=9)*('CASE MASTER'!$AB$2:$AB$495&lt;=8)*('CASE MASTER'!$AD$2:$AD$495&gt;=8))*ROW('CASE MASTER'!$T$2:$T$495))-(ROW('CASE MASTER'!#REF!)-1))))*(INDEX('CASE MASTER'!$AD$2:$AD$495,(SUMPRODUCT((('CASE MASTER'!$T$2:$T$495=4)*('CASE MASTER'!$AA$2:$AA$495&lt;=9)*('CASE MASTER'!$AC$2:$AC$495&gt;=9)*('CASE MASTER'!$AB$2:$AB$495&lt;=8)*('CASE MASTER'!$AD$2:$AD$495&gt;=8))*ROW('CASE MASTER'!$T$2:$T$495))-(ROW('CASE MASTER'!#REF!)-1)))-INDEX('CASE MASTER'!$AB$2:$AB$495,(SUMPRODUCT((('CASE MASTER'!$T$2:$T$495=4)*('CASE MASTER'!$AA$2:$AA$495&lt;=9)*('CASE MASTER'!$AC$2:$AC$495&gt;=9)*('CASE MASTER'!$AB$2:$AB$495&lt;=8)*('CASE MASTER'!$AD$2:$AD$495&gt;=8))*ROW('CASE MASTER'!$T$2:$T$495))-(ROW('CASE MASTER'!#REF!)-1)))+1)+(8-INDEX('CASE MASTER'!$AB$2:$AB$495,(SUMPRODUCT((('CASE MASTER'!$T$2:$T$495=4)*('CASE MASTER'!$AA$2:$AA$495&lt;=9)*('CASE MASTER'!$AC$2:$AC$495&gt;=9)*('CASE MASTER'!$AB$2:$AB$495&lt;=8)*('CASE MASTER'!$AD$2:$AD$495&gt;=8))*ROW('CASE MASTER'!$T$2:$T$495))-(ROW('CASE MASTER'!#REF!)-1))))+1)))-1)*50+1,50))&amp;"_"&amp;INDEX('CASE MASTER'!$Q$2:$Q$495,(SUMPRODUCT((('CASE MASTER'!$T$2:$T$495=4)*('CASE MASTER'!$AA$2:$AA$495&lt;=9)*('CASE MASTER'!$AC$2:$AC$495&gt;=9)*('CASE MASTER'!$AB$2:$AB$495&lt;=8)*('CASE MASTER'!$AD$2:$AD$495&gt;=8))*ROW('CASE MASTER'!$T$2:$T$495))-(ROW('CASE MASTER'!#REF!)-1))),"")),"")</f>
        <v/>
      </c>
      <c r="J53" s="10" t="str">
        <f>IFERROR(IF(SUMPRODUCT((('CASE MASTER'!$T$2:$T$495=4)*('CASE MASTER'!$U$2:$U$495&lt;=9)*('CASE MASTER'!$W$2:$W$495&gt;=9)*('CASE MASTER'!$V$2:$V$495&lt;=9)*('CASE MASTER'!$X$2:$X$495&gt;=9))*ROW('CASE MASTER'!$T$2:$T$495))&gt;0,INDEX('CASE MASTER'!$Y$2:$Y$495,(SUMPRODUCT((('CASE MASTER'!$T$2:$T$495=4)*('CASE MASTER'!$U$2:$U$495&lt;=9)*('CASE MASTER'!$W$2:$W$495&gt;=9)*('CASE MASTER'!$V$2:$V$495&lt;=9)*('CASE MASTER'!$X$2:$X$495&gt;=9))*ROW('CASE MASTER'!$T$2:$T$495))-(ROW('CASE MASTER'!#REF!)-1)))&amp;TRIM(MID(SUBSTITUTE(SUBSTITUTE(INDEX('CASE MASTER'!$N$2:$N$495,(SUMPRODUCT((('CASE MASTER'!$T$2:$T$495=4)*('CASE MASTER'!$U$2:$U$495&lt;=9)*('CASE MASTER'!$W$2:$W$495&gt;=9)*('CASE MASTER'!$V$2:$V$495&lt;=9)*('CASE MASTER'!$X$2:$X$495&gt;=9))*ROW('CASE MASTER'!$T$2:$T$495))-(ROW('CASE MASTER'!#REF!)-1))),":",","),",",REPT(" ",50)),((((9-INDEX('CASE MASTER'!$U$2:$U$495,(SUMPRODUCT((('CASE MASTER'!$T$2:$T$495=4)*('CASE MASTER'!$U$2:$U$495&lt;=9)*('CASE MASTER'!$W$2:$W$495&gt;=9)*('CASE MASTER'!$V$2:$V$495&lt;=9)*('CASE MASTER'!$X$2:$X$495&gt;=9))*ROW('CASE MASTER'!$T$2:$T$495))-(ROW('CASE MASTER'!#REF!)-1))))*(INDEX('CASE MASTER'!$X$2:$X$495,(SUMPRODUCT((('CASE MASTER'!$T$2:$T$495=4)*('CASE MASTER'!$U$2:$U$495&lt;=9)*('CASE MASTER'!$W$2:$W$495&gt;=9)*('CASE MASTER'!$V$2:$V$495&lt;=9)*('CASE MASTER'!$X$2:$X$495&gt;=9))*ROW('CASE MASTER'!$T$2:$T$495))-(ROW('CASE MASTER'!#REF!)-1)))-INDEX('CASE MASTER'!$V$2:$V$495,(SUMPRODUCT((('CASE MASTER'!$T$2:$T$495=4)*('CASE MASTER'!$U$2:$U$495&lt;=9)*('CASE MASTER'!$W$2:$W$495&gt;=9)*('CASE MASTER'!$V$2:$V$495&lt;=9)*('CASE MASTER'!$X$2:$X$495&gt;=9))*ROW('CASE MASTER'!$T$2:$T$495))-(ROW('CASE MASTER'!#REF!)-1)))+1)+(9-INDEX('CASE MASTER'!$V$2:$V$495,(SUMPRODUCT((('CASE MASTER'!$T$2:$T$495=4)*('CASE MASTER'!$U$2:$U$495&lt;=9)*('CASE MASTER'!$W$2:$W$495&gt;=9)*('CASE MASTER'!$V$2:$V$495&lt;=9)*('CASE MASTER'!$X$2:$X$495&gt;=9))*ROW('CASE MASTER'!$T$2:$T$495))-(ROW('CASE MASTER'!#REF!)-1))))+1))-1)*50+1,50))&amp;"_"&amp;INDEX('CASE MASTER'!$Q$2:$Q$495,(SUMPRODUCT((('CASE MASTER'!$T$2:$T$495=4)*('CASE MASTER'!$U$2:$U$495&lt;=9)*('CASE MASTER'!$W$2:$W$495&gt;=9)*('CASE MASTER'!$V$2:$V$495&lt;=9)*('CASE MASTER'!$X$2:$X$495&gt;=9))*ROW('CASE MASTER'!$T$2:$T$495))-(ROW('CASE MASTER'!#REF!)-1))),IF(SUMPRODUCT((('CASE MASTER'!$T$2:$T$495=4)*('CASE MASTER'!$AA$2:$AA$495&lt;=9)*('CASE MASTER'!$AC$2:$AC$495&gt;=9)*('CASE MASTER'!$AB$2:$AB$495&lt;=9)*('CASE MASTER'!$AD$2:$AD$495&gt;=9))*ROW('CASE MASTER'!$T$2:$T$495))&gt;0,INDEX('CASE MASTER'!$Y$2:$Y$495,(SUMPRODUCT((('CASE MASTER'!$T$2:$T$495=4)*('CASE MASTER'!$AA$2:$AA$495&lt;=9)*('CASE MASTER'!$AC$2:$AC$495&gt;=9)*('CASE MASTER'!$AB$2:$AB$495&lt;=9)*('CASE MASTER'!$AD$2:$AD$495&gt;=9))*ROW('CASE MASTER'!$T$2:$T$495))-(ROW('CASE MASTER'!#REF!)-1)))&amp;TRIM(MID(SUBSTITUTE(SUBSTITUTE(INDEX('CASE MASTER'!$N$2:$N$495,(SUMPRODUCT((('CASE MASTER'!$T$2:$T$495=4)*('CASE MASTER'!$AA$2:$AA$495&lt;=9)*('CASE MASTER'!$AC$2:$AC$495&gt;=9)*('CASE MASTER'!$AB$2:$AB$495&lt;=9)*('CASE MASTER'!$AD$2:$AD$495&gt;=9))*ROW('CASE MASTER'!$T$2:$T$495))-(ROW('CASE MASTER'!#REF!)-1))),":",","),",",REPT(" ",50)),(((INDEX('CASE MASTER'!$Z$2:$Z$495,(SUMPRODUCT((('CASE MASTER'!$T$2:$T$495=4)*('CASE MASTER'!$AA$2:$AA$495&lt;=9)*('CASE MASTER'!$AC$2:$AC$495&gt;=9)*('CASE MASTER'!$AB$2:$AB$495&lt;=9)*('CASE MASTER'!$AD$2:$AD$495&gt;=9))*ROW('CASE MASTER'!$T$2:$T$495))-(ROW('CASE MASTER'!#REF!)-1)))+((9-INDEX('CASE MASTER'!$AA$2:$AA$495,(SUMPRODUCT((('CASE MASTER'!$T$2:$T$495=4)*('CASE MASTER'!$AA$2:$AA$495&lt;=9)*('CASE MASTER'!$AC$2:$AC$495&gt;=9)*('CASE MASTER'!$AB$2:$AB$495&lt;=9)*('CASE MASTER'!$AD$2:$AD$495&gt;=9))*ROW('CASE MASTER'!$T$2:$T$495))-(ROW('CASE MASTER'!#REF!)-1))))*(INDEX('CASE MASTER'!$AD$2:$AD$495,(SUMPRODUCT((('CASE MASTER'!$T$2:$T$495=4)*('CASE MASTER'!$AA$2:$AA$495&lt;=9)*('CASE MASTER'!$AC$2:$AC$495&gt;=9)*('CASE MASTER'!$AB$2:$AB$495&lt;=9)*('CASE MASTER'!$AD$2:$AD$495&gt;=9))*ROW('CASE MASTER'!$T$2:$T$495))-(ROW('CASE MASTER'!#REF!)-1)))-INDEX('CASE MASTER'!$AB$2:$AB$495,(SUMPRODUCT((('CASE MASTER'!$T$2:$T$495=4)*('CASE MASTER'!$AA$2:$AA$495&lt;=9)*('CASE MASTER'!$AC$2:$AC$495&gt;=9)*('CASE MASTER'!$AB$2:$AB$495&lt;=9)*('CASE MASTER'!$AD$2:$AD$495&gt;=9))*ROW('CASE MASTER'!$T$2:$T$495))-(ROW('CASE MASTER'!#REF!)-1)))+1)+(9-INDEX('CASE MASTER'!$AB$2:$AB$495,(SUMPRODUCT((('CASE MASTER'!$T$2:$T$495=4)*('CASE MASTER'!$AA$2:$AA$495&lt;=9)*('CASE MASTER'!$AC$2:$AC$495&gt;=9)*('CASE MASTER'!$AB$2:$AB$495&lt;=9)*('CASE MASTER'!$AD$2:$AD$495&gt;=9))*ROW('CASE MASTER'!$T$2:$T$495))-(ROW('CASE MASTER'!#REF!)-1))))+1)))-1)*50+1,50))&amp;"_"&amp;INDEX('CASE MASTER'!$Q$2:$Q$495,(SUMPRODUCT((('CASE MASTER'!$T$2:$T$495=4)*('CASE MASTER'!$AA$2:$AA$495&lt;=9)*('CASE MASTER'!$AC$2:$AC$495&gt;=9)*('CASE MASTER'!$AB$2:$AB$495&lt;=9)*('CASE MASTER'!$AD$2:$AD$495&gt;=9))*ROW('CASE MASTER'!$T$2:$T$495))-(ROW('CASE MASTER'!#REF!)-1))),"")),"")</f>
        <v/>
      </c>
      <c r="K53" s="10" t="str">
        <f>IFERROR(IF(SUMPRODUCT((('CASE MASTER'!$T$2:$T$495=4)*('CASE MASTER'!$U$2:$U$495&lt;=9)*('CASE MASTER'!$W$2:$W$495&gt;=9)*('CASE MASTER'!$V$2:$V$495&lt;=10)*('CASE MASTER'!$X$2:$X$495&gt;=10))*ROW('CASE MASTER'!$T$2:$T$495))&gt;0,INDEX('CASE MASTER'!$Y$2:$Y$495,(SUMPRODUCT((('CASE MASTER'!$T$2:$T$495=4)*('CASE MASTER'!$U$2:$U$495&lt;=9)*('CASE MASTER'!$W$2:$W$495&gt;=9)*('CASE MASTER'!$V$2:$V$495&lt;=10)*('CASE MASTER'!$X$2:$X$495&gt;=10))*ROW('CASE MASTER'!$T$2:$T$495))-(ROW('CASE MASTER'!#REF!)-1)))&amp;TRIM(MID(SUBSTITUTE(SUBSTITUTE(INDEX('CASE MASTER'!$N$2:$N$495,(SUMPRODUCT((('CASE MASTER'!$T$2:$T$495=4)*('CASE MASTER'!$U$2:$U$495&lt;=9)*('CASE MASTER'!$W$2:$W$495&gt;=9)*('CASE MASTER'!$V$2:$V$495&lt;=10)*('CASE MASTER'!$X$2:$X$495&gt;=10))*ROW('CASE MASTER'!$T$2:$T$495))-(ROW('CASE MASTER'!#REF!)-1))),":",","),",",REPT(" ",50)),((((9-INDEX('CASE MASTER'!$U$2:$U$495,(SUMPRODUCT((('CASE MASTER'!$T$2:$T$495=4)*('CASE MASTER'!$U$2:$U$495&lt;=9)*('CASE MASTER'!$W$2:$W$495&gt;=9)*('CASE MASTER'!$V$2:$V$495&lt;=10)*('CASE MASTER'!$X$2:$X$495&gt;=10))*ROW('CASE MASTER'!$T$2:$T$495))-(ROW('CASE MASTER'!#REF!)-1))))*(INDEX('CASE MASTER'!$X$2:$X$495,(SUMPRODUCT((('CASE MASTER'!$T$2:$T$495=4)*('CASE MASTER'!$U$2:$U$495&lt;=9)*('CASE MASTER'!$W$2:$W$495&gt;=9)*('CASE MASTER'!$V$2:$V$495&lt;=10)*('CASE MASTER'!$X$2:$X$495&gt;=10))*ROW('CASE MASTER'!$T$2:$T$495))-(ROW('CASE MASTER'!#REF!)-1)))-INDEX('CASE MASTER'!$V$2:$V$495,(SUMPRODUCT((('CASE MASTER'!$T$2:$T$495=4)*('CASE MASTER'!$U$2:$U$495&lt;=9)*('CASE MASTER'!$W$2:$W$495&gt;=9)*('CASE MASTER'!$V$2:$V$495&lt;=10)*('CASE MASTER'!$X$2:$X$495&gt;=10))*ROW('CASE MASTER'!$T$2:$T$495))-(ROW('CASE MASTER'!#REF!)-1)))+1)+(10-INDEX('CASE MASTER'!$V$2:$V$495,(SUMPRODUCT((('CASE MASTER'!$T$2:$T$495=4)*('CASE MASTER'!$U$2:$U$495&lt;=9)*('CASE MASTER'!$W$2:$W$495&gt;=9)*('CASE MASTER'!$V$2:$V$495&lt;=10)*('CASE MASTER'!$X$2:$X$495&gt;=10))*ROW('CASE MASTER'!$T$2:$T$495))-(ROW('CASE MASTER'!#REF!)-1))))+1))-1)*50+1,50))&amp;"_"&amp;INDEX('CASE MASTER'!$Q$2:$Q$495,(SUMPRODUCT((('CASE MASTER'!$T$2:$T$495=4)*('CASE MASTER'!$U$2:$U$495&lt;=9)*('CASE MASTER'!$W$2:$W$495&gt;=9)*('CASE MASTER'!$V$2:$V$495&lt;=10)*('CASE MASTER'!$X$2:$X$495&gt;=10))*ROW('CASE MASTER'!$T$2:$T$495))-(ROW('CASE MASTER'!#REF!)-1))),IF(SUMPRODUCT((('CASE MASTER'!$T$2:$T$495=4)*('CASE MASTER'!$AA$2:$AA$495&lt;=9)*('CASE MASTER'!$AC$2:$AC$495&gt;=9)*('CASE MASTER'!$AB$2:$AB$495&lt;=10)*('CASE MASTER'!$AD$2:$AD$495&gt;=10))*ROW('CASE MASTER'!$T$2:$T$495))&gt;0,INDEX('CASE MASTER'!$Y$2:$Y$495,(SUMPRODUCT((('CASE MASTER'!$T$2:$T$495=4)*('CASE MASTER'!$AA$2:$AA$495&lt;=9)*('CASE MASTER'!$AC$2:$AC$495&gt;=9)*('CASE MASTER'!$AB$2:$AB$495&lt;=10)*('CASE MASTER'!$AD$2:$AD$495&gt;=10))*ROW('CASE MASTER'!$T$2:$T$495))-(ROW('CASE MASTER'!#REF!)-1)))&amp;TRIM(MID(SUBSTITUTE(SUBSTITUTE(INDEX('CASE MASTER'!$N$2:$N$495,(SUMPRODUCT((('CASE MASTER'!$T$2:$T$495=4)*('CASE MASTER'!$AA$2:$AA$495&lt;=9)*('CASE MASTER'!$AC$2:$AC$495&gt;=9)*('CASE MASTER'!$AB$2:$AB$495&lt;=10)*('CASE MASTER'!$AD$2:$AD$495&gt;=10))*ROW('CASE MASTER'!$T$2:$T$495))-(ROW('CASE MASTER'!#REF!)-1))),":",","),",",REPT(" ",50)),(((INDEX('CASE MASTER'!$Z$2:$Z$495,(SUMPRODUCT((('CASE MASTER'!$T$2:$T$495=4)*('CASE MASTER'!$AA$2:$AA$495&lt;=9)*('CASE MASTER'!$AC$2:$AC$495&gt;=9)*('CASE MASTER'!$AB$2:$AB$495&lt;=10)*('CASE MASTER'!$AD$2:$AD$495&gt;=10))*ROW('CASE MASTER'!$T$2:$T$495))-(ROW('CASE MASTER'!#REF!)-1)))+((9-INDEX('CASE MASTER'!$AA$2:$AA$495,(SUMPRODUCT((('CASE MASTER'!$T$2:$T$495=4)*('CASE MASTER'!$AA$2:$AA$495&lt;=9)*('CASE MASTER'!$AC$2:$AC$495&gt;=9)*('CASE MASTER'!$AB$2:$AB$495&lt;=10)*('CASE MASTER'!$AD$2:$AD$495&gt;=10))*ROW('CASE MASTER'!$T$2:$T$495))-(ROW('CASE MASTER'!#REF!)-1))))*(INDEX('CASE MASTER'!$AD$2:$AD$495,(SUMPRODUCT((('CASE MASTER'!$T$2:$T$495=4)*('CASE MASTER'!$AA$2:$AA$495&lt;=9)*('CASE MASTER'!$AC$2:$AC$495&gt;=9)*('CASE MASTER'!$AB$2:$AB$495&lt;=10)*('CASE MASTER'!$AD$2:$AD$495&gt;=10))*ROW('CASE MASTER'!$T$2:$T$495))-(ROW('CASE MASTER'!#REF!)-1)))-INDEX('CASE MASTER'!$AB$2:$AB$495,(SUMPRODUCT((('CASE MASTER'!$T$2:$T$495=4)*('CASE MASTER'!$AA$2:$AA$495&lt;=9)*('CASE MASTER'!$AC$2:$AC$495&gt;=9)*('CASE MASTER'!$AB$2:$AB$495&lt;=10)*('CASE MASTER'!$AD$2:$AD$495&gt;=10))*ROW('CASE MASTER'!$T$2:$T$495))-(ROW('CASE MASTER'!#REF!)-1)))+1)+(10-INDEX('CASE MASTER'!$AB$2:$AB$495,(SUMPRODUCT((('CASE MASTER'!$T$2:$T$495=4)*('CASE MASTER'!$AA$2:$AA$495&lt;=9)*('CASE MASTER'!$AC$2:$AC$495&gt;=9)*('CASE MASTER'!$AB$2:$AB$495&lt;=10)*('CASE MASTER'!$AD$2:$AD$495&gt;=10))*ROW('CASE MASTER'!$T$2:$T$495))-(ROW('CASE MASTER'!#REF!)-1))))+1)))-1)*50+1,50))&amp;"_"&amp;INDEX('CASE MASTER'!$Q$2:$Q$495,(SUMPRODUCT((('CASE MASTER'!$T$2:$T$495=4)*('CASE MASTER'!$AA$2:$AA$495&lt;=9)*('CASE MASTER'!$AC$2:$AC$495&gt;=9)*('CASE MASTER'!$AB$2:$AB$495&lt;=10)*('CASE MASTER'!$AD$2:$AD$495&gt;=10))*ROW('CASE MASTER'!$T$2:$T$495))-(ROW('CASE MASTER'!#REF!)-1))),"")),"")</f>
        <v/>
      </c>
    </row>
    <row r="54" spans="1:11" ht="15" customHeight="1" x14ac:dyDescent="0.35">
      <c r="A54" s="8" t="s">
        <v>82</v>
      </c>
      <c r="B54" s="10" t="str">
        <f>IFERROR(IF(SUMPRODUCT((('CASE MASTER'!$T$2:$T$495=4)*('CASE MASTER'!$U$2:$U$495&lt;=10)*('CASE MASTER'!$W$2:$W$495&gt;=10)*('CASE MASTER'!$V$2:$V$495&lt;=1)*('CASE MASTER'!$X$2:$X$495&gt;=1))*ROW('CASE MASTER'!$T$2:$T$495))&gt;0,INDEX('CASE MASTER'!$Y$2:$Y$495,(SUMPRODUCT((('CASE MASTER'!$T$2:$T$495=4)*('CASE MASTER'!$U$2:$U$495&lt;=10)*('CASE MASTER'!$W$2:$W$495&gt;=10)*('CASE MASTER'!$V$2:$V$495&lt;=1)*('CASE MASTER'!$X$2:$X$495&gt;=1))*ROW('CASE MASTER'!$T$2:$T$495))-(ROW('CASE MASTER'!#REF!)-1)))&amp;TRIM(MID(SUBSTITUTE(SUBSTITUTE(INDEX('CASE MASTER'!$N$2:$N$495,(SUMPRODUCT((('CASE MASTER'!$T$2:$T$495=4)*('CASE MASTER'!$U$2:$U$495&lt;=10)*('CASE MASTER'!$W$2:$W$495&gt;=10)*('CASE MASTER'!$V$2:$V$495&lt;=1)*('CASE MASTER'!$X$2:$X$495&gt;=1))*ROW('CASE MASTER'!$T$2:$T$495))-(ROW('CASE MASTER'!#REF!)-1))),":",","),",",REPT(" ",50)),((((10-INDEX('CASE MASTER'!$U$2:$U$495,(SUMPRODUCT((('CASE MASTER'!$T$2:$T$495=4)*('CASE MASTER'!$U$2:$U$495&lt;=10)*('CASE MASTER'!$W$2:$W$495&gt;=10)*('CASE MASTER'!$V$2:$V$495&lt;=1)*('CASE MASTER'!$X$2:$X$495&gt;=1))*ROW('CASE MASTER'!$T$2:$T$495))-(ROW('CASE MASTER'!#REF!)-1))))*(INDEX('CASE MASTER'!$X$2:$X$495,(SUMPRODUCT((('CASE MASTER'!$T$2:$T$495=4)*('CASE MASTER'!$U$2:$U$495&lt;=10)*('CASE MASTER'!$W$2:$W$495&gt;=10)*('CASE MASTER'!$V$2:$V$495&lt;=1)*('CASE MASTER'!$X$2:$X$495&gt;=1))*ROW('CASE MASTER'!$T$2:$T$495))-(ROW('CASE MASTER'!#REF!)-1)))-INDEX('CASE MASTER'!$V$2:$V$495,(SUMPRODUCT((('CASE MASTER'!$T$2:$T$495=4)*('CASE MASTER'!$U$2:$U$495&lt;=10)*('CASE MASTER'!$W$2:$W$495&gt;=10)*('CASE MASTER'!$V$2:$V$495&lt;=1)*('CASE MASTER'!$X$2:$X$495&gt;=1))*ROW('CASE MASTER'!$T$2:$T$495))-(ROW('CASE MASTER'!#REF!)-1)))+1)+(1-INDEX('CASE MASTER'!$V$2:$V$495,(SUMPRODUCT((('CASE MASTER'!$T$2:$T$495=4)*('CASE MASTER'!$U$2:$U$495&lt;=10)*('CASE MASTER'!$W$2:$W$495&gt;=10)*('CASE MASTER'!$V$2:$V$495&lt;=1)*('CASE MASTER'!$X$2:$X$495&gt;=1))*ROW('CASE MASTER'!$T$2:$T$495))-(ROW('CASE MASTER'!#REF!)-1))))+1))-1)*50+1,50))&amp;"_"&amp;INDEX('CASE MASTER'!$Q$2:$Q$495,(SUMPRODUCT((('CASE MASTER'!$T$2:$T$495=4)*('CASE MASTER'!$U$2:$U$495&lt;=10)*('CASE MASTER'!$W$2:$W$495&gt;=10)*('CASE MASTER'!$V$2:$V$495&lt;=1)*('CASE MASTER'!$X$2:$X$495&gt;=1))*ROW('CASE MASTER'!$T$2:$T$495))-(ROW('CASE MASTER'!#REF!)-1))),IF(SUMPRODUCT((('CASE MASTER'!$T$2:$T$495=4)*('CASE MASTER'!$AA$2:$AA$495&lt;=10)*('CASE MASTER'!$AC$2:$AC$495&gt;=10)*('CASE MASTER'!$AB$2:$AB$495&lt;=1)*('CASE MASTER'!$AD$2:$AD$495&gt;=1))*ROW('CASE MASTER'!$T$2:$T$495))&gt;0,INDEX('CASE MASTER'!$Y$2:$Y$495,(SUMPRODUCT((('CASE MASTER'!$T$2:$T$495=4)*('CASE MASTER'!$AA$2:$AA$495&lt;=10)*('CASE MASTER'!$AC$2:$AC$495&gt;=10)*('CASE MASTER'!$AB$2:$AB$495&lt;=1)*('CASE MASTER'!$AD$2:$AD$495&gt;=1))*ROW('CASE MASTER'!$T$2:$T$495))-(ROW('CASE MASTER'!#REF!)-1)))&amp;TRIM(MID(SUBSTITUTE(SUBSTITUTE(INDEX('CASE MASTER'!$N$2:$N$495,(SUMPRODUCT((('CASE MASTER'!$T$2:$T$495=4)*('CASE MASTER'!$AA$2:$AA$495&lt;=10)*('CASE MASTER'!$AC$2:$AC$495&gt;=10)*('CASE MASTER'!$AB$2:$AB$495&lt;=1)*('CASE MASTER'!$AD$2:$AD$495&gt;=1))*ROW('CASE MASTER'!$T$2:$T$495))-(ROW('CASE MASTER'!#REF!)-1))),":",","),",",REPT(" ",50)),(((INDEX('CASE MASTER'!$Z$2:$Z$495,(SUMPRODUCT((('CASE MASTER'!$T$2:$T$495=4)*('CASE MASTER'!$AA$2:$AA$495&lt;=10)*('CASE MASTER'!$AC$2:$AC$495&gt;=10)*('CASE MASTER'!$AB$2:$AB$495&lt;=1)*('CASE MASTER'!$AD$2:$AD$495&gt;=1))*ROW('CASE MASTER'!$T$2:$T$495))-(ROW('CASE MASTER'!#REF!)-1)))+((10-INDEX('CASE MASTER'!$AA$2:$AA$495,(SUMPRODUCT((('CASE MASTER'!$T$2:$T$495=4)*('CASE MASTER'!$AA$2:$AA$495&lt;=10)*('CASE MASTER'!$AC$2:$AC$495&gt;=10)*('CASE MASTER'!$AB$2:$AB$495&lt;=1)*('CASE MASTER'!$AD$2:$AD$495&gt;=1))*ROW('CASE MASTER'!$T$2:$T$495))-(ROW('CASE MASTER'!#REF!)-1))))*(INDEX('CASE MASTER'!$AD$2:$AD$495,(SUMPRODUCT((('CASE MASTER'!$T$2:$T$495=4)*('CASE MASTER'!$AA$2:$AA$495&lt;=10)*('CASE MASTER'!$AC$2:$AC$495&gt;=10)*('CASE MASTER'!$AB$2:$AB$495&lt;=1)*('CASE MASTER'!$AD$2:$AD$495&gt;=1))*ROW('CASE MASTER'!$T$2:$T$495))-(ROW('CASE MASTER'!#REF!)-1)))-INDEX('CASE MASTER'!$AB$2:$AB$495,(SUMPRODUCT((('CASE MASTER'!$T$2:$T$495=4)*('CASE MASTER'!$AA$2:$AA$495&lt;=10)*('CASE MASTER'!$AC$2:$AC$495&gt;=10)*('CASE MASTER'!$AB$2:$AB$495&lt;=1)*('CASE MASTER'!$AD$2:$AD$495&gt;=1))*ROW('CASE MASTER'!$T$2:$T$495))-(ROW('CASE MASTER'!#REF!)-1)))+1)+(1-INDEX('CASE MASTER'!$AB$2:$AB$495,(SUMPRODUCT((('CASE MASTER'!$T$2:$T$495=4)*('CASE MASTER'!$AA$2:$AA$495&lt;=10)*('CASE MASTER'!$AC$2:$AC$495&gt;=10)*('CASE MASTER'!$AB$2:$AB$495&lt;=1)*('CASE MASTER'!$AD$2:$AD$495&gt;=1))*ROW('CASE MASTER'!$T$2:$T$495))-(ROW('CASE MASTER'!#REF!)-1))))+1)))-1)*50+1,50))&amp;"_"&amp;INDEX('CASE MASTER'!$Q$2:$Q$495,(SUMPRODUCT((('CASE MASTER'!$T$2:$T$495=4)*('CASE MASTER'!$AA$2:$AA$495&lt;=10)*('CASE MASTER'!$AC$2:$AC$495&gt;=10)*('CASE MASTER'!$AB$2:$AB$495&lt;=1)*('CASE MASTER'!$AD$2:$AD$495&gt;=1))*ROW('CASE MASTER'!$T$2:$T$495))-(ROW('CASE MASTER'!#REF!)-1))),"")),"")</f>
        <v/>
      </c>
      <c r="C54" s="10" t="str">
        <f>IFERROR(IF(SUMPRODUCT((('CASE MASTER'!$T$2:$T$495=4)*('CASE MASTER'!$U$2:$U$495&lt;=10)*('CASE MASTER'!$W$2:$W$495&gt;=10)*('CASE MASTER'!$V$2:$V$495&lt;=2)*('CASE MASTER'!$X$2:$X$495&gt;=2))*ROW('CASE MASTER'!$T$2:$T$495))&gt;0,INDEX('CASE MASTER'!$Y$2:$Y$495,(SUMPRODUCT((('CASE MASTER'!$T$2:$T$495=4)*('CASE MASTER'!$U$2:$U$495&lt;=10)*('CASE MASTER'!$W$2:$W$495&gt;=10)*('CASE MASTER'!$V$2:$V$495&lt;=2)*('CASE MASTER'!$X$2:$X$495&gt;=2))*ROW('CASE MASTER'!$T$2:$T$495))-(ROW('CASE MASTER'!#REF!)-1)))&amp;TRIM(MID(SUBSTITUTE(SUBSTITUTE(INDEX('CASE MASTER'!$N$2:$N$495,(SUMPRODUCT((('CASE MASTER'!$T$2:$T$495=4)*('CASE MASTER'!$U$2:$U$495&lt;=10)*('CASE MASTER'!$W$2:$W$495&gt;=10)*('CASE MASTER'!$V$2:$V$495&lt;=2)*('CASE MASTER'!$X$2:$X$495&gt;=2))*ROW('CASE MASTER'!$T$2:$T$495))-(ROW('CASE MASTER'!#REF!)-1))),":",","),",",REPT(" ",50)),((((10-INDEX('CASE MASTER'!$U$2:$U$495,(SUMPRODUCT((('CASE MASTER'!$T$2:$T$495=4)*('CASE MASTER'!$U$2:$U$495&lt;=10)*('CASE MASTER'!$W$2:$W$495&gt;=10)*('CASE MASTER'!$V$2:$V$495&lt;=2)*('CASE MASTER'!$X$2:$X$495&gt;=2))*ROW('CASE MASTER'!$T$2:$T$495))-(ROW('CASE MASTER'!#REF!)-1))))*(INDEX('CASE MASTER'!$X$2:$X$495,(SUMPRODUCT((('CASE MASTER'!$T$2:$T$495=4)*('CASE MASTER'!$U$2:$U$495&lt;=10)*('CASE MASTER'!$W$2:$W$495&gt;=10)*('CASE MASTER'!$V$2:$V$495&lt;=2)*('CASE MASTER'!$X$2:$X$495&gt;=2))*ROW('CASE MASTER'!$T$2:$T$495))-(ROW('CASE MASTER'!#REF!)-1)))-INDEX('CASE MASTER'!$V$2:$V$495,(SUMPRODUCT((('CASE MASTER'!$T$2:$T$495=4)*('CASE MASTER'!$U$2:$U$495&lt;=10)*('CASE MASTER'!$W$2:$W$495&gt;=10)*('CASE MASTER'!$V$2:$V$495&lt;=2)*('CASE MASTER'!$X$2:$X$495&gt;=2))*ROW('CASE MASTER'!$T$2:$T$495))-(ROW('CASE MASTER'!#REF!)-1)))+1)+(2-INDEX('CASE MASTER'!$V$2:$V$495,(SUMPRODUCT((('CASE MASTER'!$T$2:$T$495=4)*('CASE MASTER'!$U$2:$U$495&lt;=10)*('CASE MASTER'!$W$2:$W$495&gt;=10)*('CASE MASTER'!$V$2:$V$495&lt;=2)*('CASE MASTER'!$X$2:$X$495&gt;=2))*ROW('CASE MASTER'!$T$2:$T$495))-(ROW('CASE MASTER'!#REF!)-1))))+1))-1)*50+1,50))&amp;"_"&amp;INDEX('CASE MASTER'!$Q$2:$Q$495,(SUMPRODUCT((('CASE MASTER'!$T$2:$T$495=4)*('CASE MASTER'!$U$2:$U$495&lt;=10)*('CASE MASTER'!$W$2:$W$495&gt;=10)*('CASE MASTER'!$V$2:$V$495&lt;=2)*('CASE MASTER'!$X$2:$X$495&gt;=2))*ROW('CASE MASTER'!$T$2:$T$495))-(ROW('CASE MASTER'!#REF!)-1))),IF(SUMPRODUCT((('CASE MASTER'!$T$2:$T$495=4)*('CASE MASTER'!$AA$2:$AA$495&lt;=10)*('CASE MASTER'!$AC$2:$AC$495&gt;=10)*('CASE MASTER'!$AB$2:$AB$495&lt;=2)*('CASE MASTER'!$AD$2:$AD$495&gt;=2))*ROW('CASE MASTER'!$T$2:$T$495))&gt;0,INDEX('CASE MASTER'!$Y$2:$Y$495,(SUMPRODUCT((('CASE MASTER'!$T$2:$T$495=4)*('CASE MASTER'!$AA$2:$AA$495&lt;=10)*('CASE MASTER'!$AC$2:$AC$495&gt;=10)*('CASE MASTER'!$AB$2:$AB$495&lt;=2)*('CASE MASTER'!$AD$2:$AD$495&gt;=2))*ROW('CASE MASTER'!$T$2:$T$495))-(ROW('CASE MASTER'!#REF!)-1)))&amp;TRIM(MID(SUBSTITUTE(SUBSTITUTE(INDEX('CASE MASTER'!$N$2:$N$495,(SUMPRODUCT((('CASE MASTER'!$T$2:$T$495=4)*('CASE MASTER'!$AA$2:$AA$495&lt;=10)*('CASE MASTER'!$AC$2:$AC$495&gt;=10)*('CASE MASTER'!$AB$2:$AB$495&lt;=2)*('CASE MASTER'!$AD$2:$AD$495&gt;=2))*ROW('CASE MASTER'!$T$2:$T$495))-(ROW('CASE MASTER'!#REF!)-1))),":",","),",",REPT(" ",50)),(((INDEX('CASE MASTER'!$Z$2:$Z$495,(SUMPRODUCT((('CASE MASTER'!$T$2:$T$495=4)*('CASE MASTER'!$AA$2:$AA$495&lt;=10)*('CASE MASTER'!$AC$2:$AC$495&gt;=10)*('CASE MASTER'!$AB$2:$AB$495&lt;=2)*('CASE MASTER'!$AD$2:$AD$495&gt;=2))*ROW('CASE MASTER'!$T$2:$T$495))-(ROW('CASE MASTER'!#REF!)-1)))+((10-INDEX('CASE MASTER'!$AA$2:$AA$495,(SUMPRODUCT((('CASE MASTER'!$T$2:$T$495=4)*('CASE MASTER'!$AA$2:$AA$495&lt;=10)*('CASE MASTER'!$AC$2:$AC$495&gt;=10)*('CASE MASTER'!$AB$2:$AB$495&lt;=2)*('CASE MASTER'!$AD$2:$AD$495&gt;=2))*ROW('CASE MASTER'!$T$2:$T$495))-(ROW('CASE MASTER'!#REF!)-1))))*(INDEX('CASE MASTER'!$AD$2:$AD$495,(SUMPRODUCT((('CASE MASTER'!$T$2:$T$495=4)*('CASE MASTER'!$AA$2:$AA$495&lt;=10)*('CASE MASTER'!$AC$2:$AC$495&gt;=10)*('CASE MASTER'!$AB$2:$AB$495&lt;=2)*('CASE MASTER'!$AD$2:$AD$495&gt;=2))*ROW('CASE MASTER'!$T$2:$T$495))-(ROW('CASE MASTER'!#REF!)-1)))-INDEX('CASE MASTER'!$AB$2:$AB$495,(SUMPRODUCT((('CASE MASTER'!$T$2:$T$495=4)*('CASE MASTER'!$AA$2:$AA$495&lt;=10)*('CASE MASTER'!$AC$2:$AC$495&gt;=10)*('CASE MASTER'!$AB$2:$AB$495&lt;=2)*('CASE MASTER'!$AD$2:$AD$495&gt;=2))*ROW('CASE MASTER'!$T$2:$T$495))-(ROW('CASE MASTER'!#REF!)-1)))+1)+(2-INDEX('CASE MASTER'!$AB$2:$AB$495,(SUMPRODUCT((('CASE MASTER'!$T$2:$T$495=4)*('CASE MASTER'!$AA$2:$AA$495&lt;=10)*('CASE MASTER'!$AC$2:$AC$495&gt;=10)*('CASE MASTER'!$AB$2:$AB$495&lt;=2)*('CASE MASTER'!$AD$2:$AD$495&gt;=2))*ROW('CASE MASTER'!$T$2:$T$495))-(ROW('CASE MASTER'!#REF!)-1))))+1)))-1)*50+1,50))&amp;"_"&amp;INDEX('CASE MASTER'!$Q$2:$Q$495,(SUMPRODUCT((('CASE MASTER'!$T$2:$T$495=4)*('CASE MASTER'!$AA$2:$AA$495&lt;=10)*('CASE MASTER'!$AC$2:$AC$495&gt;=10)*('CASE MASTER'!$AB$2:$AB$495&lt;=2)*('CASE MASTER'!$AD$2:$AD$495&gt;=2))*ROW('CASE MASTER'!$T$2:$T$495))-(ROW('CASE MASTER'!#REF!)-1))),"")),"")</f>
        <v/>
      </c>
      <c r="D54" s="10" t="str">
        <f>IFERROR(IF(SUMPRODUCT((('CASE MASTER'!$T$2:$T$495=4)*('CASE MASTER'!$U$2:$U$495&lt;=10)*('CASE MASTER'!$W$2:$W$495&gt;=10)*('CASE MASTER'!$V$2:$V$495&lt;=3)*('CASE MASTER'!$X$2:$X$495&gt;=3))*ROW('CASE MASTER'!$T$2:$T$495))&gt;0,INDEX('CASE MASTER'!$Y$2:$Y$495,(SUMPRODUCT((('CASE MASTER'!$T$2:$T$495=4)*('CASE MASTER'!$U$2:$U$495&lt;=10)*('CASE MASTER'!$W$2:$W$495&gt;=10)*('CASE MASTER'!$V$2:$V$495&lt;=3)*('CASE MASTER'!$X$2:$X$495&gt;=3))*ROW('CASE MASTER'!$T$2:$T$495))-(ROW('CASE MASTER'!#REF!)-1)))&amp;TRIM(MID(SUBSTITUTE(SUBSTITUTE(INDEX('CASE MASTER'!$N$2:$N$495,(SUMPRODUCT((('CASE MASTER'!$T$2:$T$495=4)*('CASE MASTER'!$U$2:$U$495&lt;=10)*('CASE MASTER'!$W$2:$W$495&gt;=10)*('CASE MASTER'!$V$2:$V$495&lt;=3)*('CASE MASTER'!$X$2:$X$495&gt;=3))*ROW('CASE MASTER'!$T$2:$T$495))-(ROW('CASE MASTER'!#REF!)-1))),":",","),",",REPT(" ",50)),((((10-INDEX('CASE MASTER'!$U$2:$U$495,(SUMPRODUCT((('CASE MASTER'!$T$2:$T$495=4)*('CASE MASTER'!$U$2:$U$495&lt;=10)*('CASE MASTER'!$W$2:$W$495&gt;=10)*('CASE MASTER'!$V$2:$V$495&lt;=3)*('CASE MASTER'!$X$2:$X$495&gt;=3))*ROW('CASE MASTER'!$T$2:$T$495))-(ROW('CASE MASTER'!#REF!)-1))))*(INDEX('CASE MASTER'!$X$2:$X$495,(SUMPRODUCT((('CASE MASTER'!$T$2:$T$495=4)*('CASE MASTER'!$U$2:$U$495&lt;=10)*('CASE MASTER'!$W$2:$W$495&gt;=10)*('CASE MASTER'!$V$2:$V$495&lt;=3)*('CASE MASTER'!$X$2:$X$495&gt;=3))*ROW('CASE MASTER'!$T$2:$T$495))-(ROW('CASE MASTER'!#REF!)-1)))-INDEX('CASE MASTER'!$V$2:$V$495,(SUMPRODUCT((('CASE MASTER'!$T$2:$T$495=4)*('CASE MASTER'!$U$2:$U$495&lt;=10)*('CASE MASTER'!$W$2:$W$495&gt;=10)*('CASE MASTER'!$V$2:$V$495&lt;=3)*('CASE MASTER'!$X$2:$X$495&gt;=3))*ROW('CASE MASTER'!$T$2:$T$495))-(ROW('CASE MASTER'!#REF!)-1)))+1)+(3-INDEX('CASE MASTER'!$V$2:$V$495,(SUMPRODUCT((('CASE MASTER'!$T$2:$T$495=4)*('CASE MASTER'!$U$2:$U$495&lt;=10)*('CASE MASTER'!$W$2:$W$495&gt;=10)*('CASE MASTER'!$V$2:$V$495&lt;=3)*('CASE MASTER'!$X$2:$X$495&gt;=3))*ROW('CASE MASTER'!$T$2:$T$495))-(ROW('CASE MASTER'!#REF!)-1))))+1))-1)*50+1,50))&amp;"_"&amp;INDEX('CASE MASTER'!$Q$2:$Q$495,(SUMPRODUCT((('CASE MASTER'!$T$2:$T$495=4)*('CASE MASTER'!$U$2:$U$495&lt;=10)*('CASE MASTER'!$W$2:$W$495&gt;=10)*('CASE MASTER'!$V$2:$V$495&lt;=3)*('CASE MASTER'!$X$2:$X$495&gt;=3))*ROW('CASE MASTER'!$T$2:$T$495))-(ROW('CASE MASTER'!#REF!)-1))),IF(SUMPRODUCT((('CASE MASTER'!$T$2:$T$495=4)*('CASE MASTER'!$AA$2:$AA$495&lt;=10)*('CASE MASTER'!$AC$2:$AC$495&gt;=10)*('CASE MASTER'!$AB$2:$AB$495&lt;=3)*('CASE MASTER'!$AD$2:$AD$495&gt;=3))*ROW('CASE MASTER'!$T$2:$T$495))&gt;0,INDEX('CASE MASTER'!$Y$2:$Y$495,(SUMPRODUCT((('CASE MASTER'!$T$2:$T$495=4)*('CASE MASTER'!$AA$2:$AA$495&lt;=10)*('CASE MASTER'!$AC$2:$AC$495&gt;=10)*('CASE MASTER'!$AB$2:$AB$495&lt;=3)*('CASE MASTER'!$AD$2:$AD$495&gt;=3))*ROW('CASE MASTER'!$T$2:$T$495))-(ROW('CASE MASTER'!#REF!)-1)))&amp;TRIM(MID(SUBSTITUTE(SUBSTITUTE(INDEX('CASE MASTER'!$N$2:$N$495,(SUMPRODUCT((('CASE MASTER'!$T$2:$T$495=4)*('CASE MASTER'!$AA$2:$AA$495&lt;=10)*('CASE MASTER'!$AC$2:$AC$495&gt;=10)*('CASE MASTER'!$AB$2:$AB$495&lt;=3)*('CASE MASTER'!$AD$2:$AD$495&gt;=3))*ROW('CASE MASTER'!$T$2:$T$495))-(ROW('CASE MASTER'!#REF!)-1))),":",","),",",REPT(" ",50)),(((INDEX('CASE MASTER'!$Z$2:$Z$495,(SUMPRODUCT((('CASE MASTER'!$T$2:$T$495=4)*('CASE MASTER'!$AA$2:$AA$495&lt;=10)*('CASE MASTER'!$AC$2:$AC$495&gt;=10)*('CASE MASTER'!$AB$2:$AB$495&lt;=3)*('CASE MASTER'!$AD$2:$AD$495&gt;=3))*ROW('CASE MASTER'!$T$2:$T$495))-(ROW('CASE MASTER'!#REF!)-1)))+((10-INDEX('CASE MASTER'!$AA$2:$AA$495,(SUMPRODUCT((('CASE MASTER'!$T$2:$T$495=4)*('CASE MASTER'!$AA$2:$AA$495&lt;=10)*('CASE MASTER'!$AC$2:$AC$495&gt;=10)*('CASE MASTER'!$AB$2:$AB$495&lt;=3)*('CASE MASTER'!$AD$2:$AD$495&gt;=3))*ROW('CASE MASTER'!$T$2:$T$495))-(ROW('CASE MASTER'!#REF!)-1))))*(INDEX('CASE MASTER'!$AD$2:$AD$495,(SUMPRODUCT((('CASE MASTER'!$T$2:$T$495=4)*('CASE MASTER'!$AA$2:$AA$495&lt;=10)*('CASE MASTER'!$AC$2:$AC$495&gt;=10)*('CASE MASTER'!$AB$2:$AB$495&lt;=3)*('CASE MASTER'!$AD$2:$AD$495&gt;=3))*ROW('CASE MASTER'!$T$2:$T$495))-(ROW('CASE MASTER'!#REF!)-1)))-INDEX('CASE MASTER'!$AB$2:$AB$495,(SUMPRODUCT((('CASE MASTER'!$T$2:$T$495=4)*('CASE MASTER'!$AA$2:$AA$495&lt;=10)*('CASE MASTER'!$AC$2:$AC$495&gt;=10)*('CASE MASTER'!$AB$2:$AB$495&lt;=3)*('CASE MASTER'!$AD$2:$AD$495&gt;=3))*ROW('CASE MASTER'!$T$2:$T$495))-(ROW('CASE MASTER'!#REF!)-1)))+1)+(3-INDEX('CASE MASTER'!$AB$2:$AB$495,(SUMPRODUCT((('CASE MASTER'!$T$2:$T$495=4)*('CASE MASTER'!$AA$2:$AA$495&lt;=10)*('CASE MASTER'!$AC$2:$AC$495&gt;=10)*('CASE MASTER'!$AB$2:$AB$495&lt;=3)*('CASE MASTER'!$AD$2:$AD$495&gt;=3))*ROW('CASE MASTER'!$T$2:$T$495))-(ROW('CASE MASTER'!#REF!)-1))))+1)))-1)*50+1,50))&amp;"_"&amp;INDEX('CASE MASTER'!$Q$2:$Q$495,(SUMPRODUCT((('CASE MASTER'!$T$2:$T$495=4)*('CASE MASTER'!$AA$2:$AA$495&lt;=10)*('CASE MASTER'!$AC$2:$AC$495&gt;=10)*('CASE MASTER'!$AB$2:$AB$495&lt;=3)*('CASE MASTER'!$AD$2:$AD$495&gt;=3))*ROW('CASE MASTER'!$T$2:$T$495))-(ROW('CASE MASTER'!#REF!)-1))),"")),"")</f>
        <v/>
      </c>
      <c r="E54" s="10" t="str">
        <f>IFERROR(IF(SUMPRODUCT((('CASE MASTER'!$T$2:$T$495=4)*('CASE MASTER'!$U$2:$U$495&lt;=10)*('CASE MASTER'!$W$2:$W$495&gt;=10)*('CASE MASTER'!$V$2:$V$495&lt;=4)*('CASE MASTER'!$X$2:$X$495&gt;=4))*ROW('CASE MASTER'!$T$2:$T$495))&gt;0,INDEX('CASE MASTER'!$Y$2:$Y$495,(SUMPRODUCT((('CASE MASTER'!$T$2:$T$495=4)*('CASE MASTER'!$U$2:$U$495&lt;=10)*('CASE MASTER'!$W$2:$W$495&gt;=10)*('CASE MASTER'!$V$2:$V$495&lt;=4)*('CASE MASTER'!$X$2:$X$495&gt;=4))*ROW('CASE MASTER'!$T$2:$T$495))-(ROW('CASE MASTER'!#REF!)-1)))&amp;TRIM(MID(SUBSTITUTE(SUBSTITUTE(INDEX('CASE MASTER'!$N$2:$N$495,(SUMPRODUCT((('CASE MASTER'!$T$2:$T$495=4)*('CASE MASTER'!$U$2:$U$495&lt;=10)*('CASE MASTER'!$W$2:$W$495&gt;=10)*('CASE MASTER'!$V$2:$V$495&lt;=4)*('CASE MASTER'!$X$2:$X$495&gt;=4))*ROW('CASE MASTER'!$T$2:$T$495))-(ROW('CASE MASTER'!#REF!)-1))),":",","),",",REPT(" ",50)),((((10-INDEX('CASE MASTER'!$U$2:$U$495,(SUMPRODUCT((('CASE MASTER'!$T$2:$T$495=4)*('CASE MASTER'!$U$2:$U$495&lt;=10)*('CASE MASTER'!$W$2:$W$495&gt;=10)*('CASE MASTER'!$V$2:$V$495&lt;=4)*('CASE MASTER'!$X$2:$X$495&gt;=4))*ROW('CASE MASTER'!$T$2:$T$495))-(ROW('CASE MASTER'!#REF!)-1))))*(INDEX('CASE MASTER'!$X$2:$X$495,(SUMPRODUCT((('CASE MASTER'!$T$2:$T$495=4)*('CASE MASTER'!$U$2:$U$495&lt;=10)*('CASE MASTER'!$W$2:$W$495&gt;=10)*('CASE MASTER'!$V$2:$V$495&lt;=4)*('CASE MASTER'!$X$2:$X$495&gt;=4))*ROW('CASE MASTER'!$T$2:$T$495))-(ROW('CASE MASTER'!#REF!)-1)))-INDEX('CASE MASTER'!$V$2:$V$495,(SUMPRODUCT((('CASE MASTER'!$T$2:$T$495=4)*('CASE MASTER'!$U$2:$U$495&lt;=10)*('CASE MASTER'!$W$2:$W$495&gt;=10)*('CASE MASTER'!$V$2:$V$495&lt;=4)*('CASE MASTER'!$X$2:$X$495&gt;=4))*ROW('CASE MASTER'!$T$2:$T$495))-(ROW('CASE MASTER'!#REF!)-1)))+1)+(4-INDEX('CASE MASTER'!$V$2:$V$495,(SUMPRODUCT((('CASE MASTER'!$T$2:$T$495=4)*('CASE MASTER'!$U$2:$U$495&lt;=10)*('CASE MASTER'!$W$2:$W$495&gt;=10)*('CASE MASTER'!$V$2:$V$495&lt;=4)*('CASE MASTER'!$X$2:$X$495&gt;=4))*ROW('CASE MASTER'!$T$2:$T$495))-(ROW('CASE MASTER'!#REF!)-1))))+1))-1)*50+1,50))&amp;"_"&amp;INDEX('CASE MASTER'!$Q$2:$Q$495,(SUMPRODUCT((('CASE MASTER'!$T$2:$T$495=4)*('CASE MASTER'!$U$2:$U$495&lt;=10)*('CASE MASTER'!$W$2:$W$495&gt;=10)*('CASE MASTER'!$V$2:$V$495&lt;=4)*('CASE MASTER'!$X$2:$X$495&gt;=4))*ROW('CASE MASTER'!$T$2:$T$495))-(ROW('CASE MASTER'!#REF!)-1))),IF(SUMPRODUCT((('CASE MASTER'!$T$2:$T$495=4)*('CASE MASTER'!$AA$2:$AA$495&lt;=10)*('CASE MASTER'!$AC$2:$AC$495&gt;=10)*('CASE MASTER'!$AB$2:$AB$495&lt;=4)*('CASE MASTER'!$AD$2:$AD$495&gt;=4))*ROW('CASE MASTER'!$T$2:$T$495))&gt;0,INDEX('CASE MASTER'!$Y$2:$Y$495,(SUMPRODUCT((('CASE MASTER'!$T$2:$T$495=4)*('CASE MASTER'!$AA$2:$AA$495&lt;=10)*('CASE MASTER'!$AC$2:$AC$495&gt;=10)*('CASE MASTER'!$AB$2:$AB$495&lt;=4)*('CASE MASTER'!$AD$2:$AD$495&gt;=4))*ROW('CASE MASTER'!$T$2:$T$495))-(ROW('CASE MASTER'!#REF!)-1)))&amp;TRIM(MID(SUBSTITUTE(SUBSTITUTE(INDEX('CASE MASTER'!$N$2:$N$495,(SUMPRODUCT((('CASE MASTER'!$T$2:$T$495=4)*('CASE MASTER'!$AA$2:$AA$495&lt;=10)*('CASE MASTER'!$AC$2:$AC$495&gt;=10)*('CASE MASTER'!$AB$2:$AB$495&lt;=4)*('CASE MASTER'!$AD$2:$AD$495&gt;=4))*ROW('CASE MASTER'!$T$2:$T$495))-(ROW('CASE MASTER'!#REF!)-1))),":",","),",",REPT(" ",50)),(((INDEX('CASE MASTER'!$Z$2:$Z$495,(SUMPRODUCT((('CASE MASTER'!$T$2:$T$495=4)*('CASE MASTER'!$AA$2:$AA$495&lt;=10)*('CASE MASTER'!$AC$2:$AC$495&gt;=10)*('CASE MASTER'!$AB$2:$AB$495&lt;=4)*('CASE MASTER'!$AD$2:$AD$495&gt;=4))*ROW('CASE MASTER'!$T$2:$T$495))-(ROW('CASE MASTER'!#REF!)-1)))+((10-INDEX('CASE MASTER'!$AA$2:$AA$495,(SUMPRODUCT((('CASE MASTER'!$T$2:$T$495=4)*('CASE MASTER'!$AA$2:$AA$495&lt;=10)*('CASE MASTER'!$AC$2:$AC$495&gt;=10)*('CASE MASTER'!$AB$2:$AB$495&lt;=4)*('CASE MASTER'!$AD$2:$AD$495&gt;=4))*ROW('CASE MASTER'!$T$2:$T$495))-(ROW('CASE MASTER'!#REF!)-1))))*(INDEX('CASE MASTER'!$AD$2:$AD$495,(SUMPRODUCT((('CASE MASTER'!$T$2:$T$495=4)*('CASE MASTER'!$AA$2:$AA$495&lt;=10)*('CASE MASTER'!$AC$2:$AC$495&gt;=10)*('CASE MASTER'!$AB$2:$AB$495&lt;=4)*('CASE MASTER'!$AD$2:$AD$495&gt;=4))*ROW('CASE MASTER'!$T$2:$T$495))-(ROW('CASE MASTER'!#REF!)-1)))-INDEX('CASE MASTER'!$AB$2:$AB$495,(SUMPRODUCT((('CASE MASTER'!$T$2:$T$495=4)*('CASE MASTER'!$AA$2:$AA$495&lt;=10)*('CASE MASTER'!$AC$2:$AC$495&gt;=10)*('CASE MASTER'!$AB$2:$AB$495&lt;=4)*('CASE MASTER'!$AD$2:$AD$495&gt;=4))*ROW('CASE MASTER'!$T$2:$T$495))-(ROW('CASE MASTER'!#REF!)-1)))+1)+(4-INDEX('CASE MASTER'!$AB$2:$AB$495,(SUMPRODUCT((('CASE MASTER'!$T$2:$T$495=4)*('CASE MASTER'!$AA$2:$AA$495&lt;=10)*('CASE MASTER'!$AC$2:$AC$495&gt;=10)*('CASE MASTER'!$AB$2:$AB$495&lt;=4)*('CASE MASTER'!$AD$2:$AD$495&gt;=4))*ROW('CASE MASTER'!$T$2:$T$495))-(ROW('CASE MASTER'!#REF!)-1))))+1)))-1)*50+1,50))&amp;"_"&amp;INDEX('CASE MASTER'!$Q$2:$Q$495,(SUMPRODUCT((('CASE MASTER'!$T$2:$T$495=4)*('CASE MASTER'!$AA$2:$AA$495&lt;=10)*('CASE MASTER'!$AC$2:$AC$495&gt;=10)*('CASE MASTER'!$AB$2:$AB$495&lt;=4)*('CASE MASTER'!$AD$2:$AD$495&gt;=4))*ROW('CASE MASTER'!$T$2:$T$495))-(ROW('CASE MASTER'!#REF!)-1))),"")),"")</f>
        <v/>
      </c>
      <c r="F54" s="10" t="str">
        <f>IFERROR(IF(SUMPRODUCT((('CASE MASTER'!$T$2:$T$495=4)*('CASE MASTER'!$U$2:$U$495&lt;=10)*('CASE MASTER'!$W$2:$W$495&gt;=10)*('CASE MASTER'!$V$2:$V$495&lt;=5)*('CASE MASTER'!$X$2:$X$495&gt;=5))*ROW('CASE MASTER'!$T$2:$T$495))&gt;0,INDEX('CASE MASTER'!$Y$2:$Y$495,(SUMPRODUCT((('CASE MASTER'!$T$2:$T$495=4)*('CASE MASTER'!$U$2:$U$495&lt;=10)*('CASE MASTER'!$W$2:$W$495&gt;=10)*('CASE MASTER'!$V$2:$V$495&lt;=5)*('CASE MASTER'!$X$2:$X$495&gt;=5))*ROW('CASE MASTER'!$T$2:$T$495))-(ROW('CASE MASTER'!#REF!)-1)))&amp;TRIM(MID(SUBSTITUTE(SUBSTITUTE(INDEX('CASE MASTER'!$N$2:$N$495,(SUMPRODUCT((('CASE MASTER'!$T$2:$T$495=4)*('CASE MASTER'!$U$2:$U$495&lt;=10)*('CASE MASTER'!$W$2:$W$495&gt;=10)*('CASE MASTER'!$V$2:$V$495&lt;=5)*('CASE MASTER'!$X$2:$X$495&gt;=5))*ROW('CASE MASTER'!$T$2:$T$495))-(ROW('CASE MASTER'!#REF!)-1))),":",","),",",REPT(" ",50)),((((10-INDEX('CASE MASTER'!$U$2:$U$495,(SUMPRODUCT((('CASE MASTER'!$T$2:$T$495=4)*('CASE MASTER'!$U$2:$U$495&lt;=10)*('CASE MASTER'!$W$2:$W$495&gt;=10)*('CASE MASTER'!$V$2:$V$495&lt;=5)*('CASE MASTER'!$X$2:$X$495&gt;=5))*ROW('CASE MASTER'!$T$2:$T$495))-(ROW('CASE MASTER'!#REF!)-1))))*(INDEX('CASE MASTER'!$X$2:$X$495,(SUMPRODUCT((('CASE MASTER'!$T$2:$T$495=4)*('CASE MASTER'!$U$2:$U$495&lt;=10)*('CASE MASTER'!$W$2:$W$495&gt;=10)*('CASE MASTER'!$V$2:$V$495&lt;=5)*('CASE MASTER'!$X$2:$X$495&gt;=5))*ROW('CASE MASTER'!$T$2:$T$495))-(ROW('CASE MASTER'!#REF!)-1)))-INDEX('CASE MASTER'!$V$2:$V$495,(SUMPRODUCT((('CASE MASTER'!$T$2:$T$495=4)*('CASE MASTER'!$U$2:$U$495&lt;=10)*('CASE MASTER'!$W$2:$W$495&gt;=10)*('CASE MASTER'!$V$2:$V$495&lt;=5)*('CASE MASTER'!$X$2:$X$495&gt;=5))*ROW('CASE MASTER'!$T$2:$T$495))-(ROW('CASE MASTER'!#REF!)-1)))+1)+(5-INDEX('CASE MASTER'!$V$2:$V$495,(SUMPRODUCT((('CASE MASTER'!$T$2:$T$495=4)*('CASE MASTER'!$U$2:$U$495&lt;=10)*('CASE MASTER'!$W$2:$W$495&gt;=10)*('CASE MASTER'!$V$2:$V$495&lt;=5)*('CASE MASTER'!$X$2:$X$495&gt;=5))*ROW('CASE MASTER'!$T$2:$T$495))-(ROW('CASE MASTER'!#REF!)-1))))+1))-1)*50+1,50))&amp;"_"&amp;INDEX('CASE MASTER'!$Q$2:$Q$495,(SUMPRODUCT((('CASE MASTER'!$T$2:$T$495=4)*('CASE MASTER'!$U$2:$U$495&lt;=10)*('CASE MASTER'!$W$2:$W$495&gt;=10)*('CASE MASTER'!$V$2:$V$495&lt;=5)*('CASE MASTER'!$X$2:$X$495&gt;=5))*ROW('CASE MASTER'!$T$2:$T$495))-(ROW('CASE MASTER'!#REF!)-1))),IF(SUMPRODUCT((('CASE MASTER'!$T$2:$T$495=4)*('CASE MASTER'!$AA$2:$AA$495&lt;=10)*('CASE MASTER'!$AC$2:$AC$495&gt;=10)*('CASE MASTER'!$AB$2:$AB$495&lt;=5)*('CASE MASTER'!$AD$2:$AD$495&gt;=5))*ROW('CASE MASTER'!$T$2:$T$495))&gt;0,INDEX('CASE MASTER'!$Y$2:$Y$495,(SUMPRODUCT((('CASE MASTER'!$T$2:$T$495=4)*('CASE MASTER'!$AA$2:$AA$495&lt;=10)*('CASE MASTER'!$AC$2:$AC$495&gt;=10)*('CASE MASTER'!$AB$2:$AB$495&lt;=5)*('CASE MASTER'!$AD$2:$AD$495&gt;=5))*ROW('CASE MASTER'!$T$2:$T$495))-(ROW('CASE MASTER'!#REF!)-1)))&amp;TRIM(MID(SUBSTITUTE(SUBSTITUTE(INDEX('CASE MASTER'!$N$2:$N$495,(SUMPRODUCT((('CASE MASTER'!$T$2:$T$495=4)*('CASE MASTER'!$AA$2:$AA$495&lt;=10)*('CASE MASTER'!$AC$2:$AC$495&gt;=10)*('CASE MASTER'!$AB$2:$AB$495&lt;=5)*('CASE MASTER'!$AD$2:$AD$495&gt;=5))*ROW('CASE MASTER'!$T$2:$T$495))-(ROW('CASE MASTER'!#REF!)-1))),":",","),",",REPT(" ",50)),(((INDEX('CASE MASTER'!$Z$2:$Z$495,(SUMPRODUCT((('CASE MASTER'!$T$2:$T$495=4)*('CASE MASTER'!$AA$2:$AA$495&lt;=10)*('CASE MASTER'!$AC$2:$AC$495&gt;=10)*('CASE MASTER'!$AB$2:$AB$495&lt;=5)*('CASE MASTER'!$AD$2:$AD$495&gt;=5))*ROW('CASE MASTER'!$T$2:$T$495))-(ROW('CASE MASTER'!#REF!)-1)))+((10-INDEX('CASE MASTER'!$AA$2:$AA$495,(SUMPRODUCT((('CASE MASTER'!$T$2:$T$495=4)*('CASE MASTER'!$AA$2:$AA$495&lt;=10)*('CASE MASTER'!$AC$2:$AC$495&gt;=10)*('CASE MASTER'!$AB$2:$AB$495&lt;=5)*('CASE MASTER'!$AD$2:$AD$495&gt;=5))*ROW('CASE MASTER'!$T$2:$T$495))-(ROW('CASE MASTER'!#REF!)-1))))*(INDEX('CASE MASTER'!$AD$2:$AD$495,(SUMPRODUCT((('CASE MASTER'!$T$2:$T$495=4)*('CASE MASTER'!$AA$2:$AA$495&lt;=10)*('CASE MASTER'!$AC$2:$AC$495&gt;=10)*('CASE MASTER'!$AB$2:$AB$495&lt;=5)*('CASE MASTER'!$AD$2:$AD$495&gt;=5))*ROW('CASE MASTER'!$T$2:$T$495))-(ROW('CASE MASTER'!#REF!)-1)))-INDEX('CASE MASTER'!$AB$2:$AB$495,(SUMPRODUCT((('CASE MASTER'!$T$2:$T$495=4)*('CASE MASTER'!$AA$2:$AA$495&lt;=10)*('CASE MASTER'!$AC$2:$AC$495&gt;=10)*('CASE MASTER'!$AB$2:$AB$495&lt;=5)*('CASE MASTER'!$AD$2:$AD$495&gt;=5))*ROW('CASE MASTER'!$T$2:$T$495))-(ROW('CASE MASTER'!#REF!)-1)))+1)+(5-INDEX('CASE MASTER'!$AB$2:$AB$495,(SUMPRODUCT((('CASE MASTER'!$T$2:$T$495=4)*('CASE MASTER'!$AA$2:$AA$495&lt;=10)*('CASE MASTER'!$AC$2:$AC$495&gt;=10)*('CASE MASTER'!$AB$2:$AB$495&lt;=5)*('CASE MASTER'!$AD$2:$AD$495&gt;=5))*ROW('CASE MASTER'!$T$2:$T$495))-(ROW('CASE MASTER'!#REF!)-1))))+1)))-1)*50+1,50))&amp;"_"&amp;INDEX('CASE MASTER'!$Q$2:$Q$495,(SUMPRODUCT((('CASE MASTER'!$T$2:$T$495=4)*('CASE MASTER'!$AA$2:$AA$495&lt;=10)*('CASE MASTER'!$AC$2:$AC$495&gt;=10)*('CASE MASTER'!$AB$2:$AB$495&lt;=5)*('CASE MASTER'!$AD$2:$AD$495&gt;=5))*ROW('CASE MASTER'!$T$2:$T$495))-(ROW('CASE MASTER'!#REF!)-1))),"")),"")</f>
        <v/>
      </c>
      <c r="G54" s="10" t="str">
        <f>IFERROR(IF(SUMPRODUCT((('CASE MASTER'!$T$2:$T$495=4)*('CASE MASTER'!$U$2:$U$495&lt;=10)*('CASE MASTER'!$W$2:$W$495&gt;=10)*('CASE MASTER'!$V$2:$V$495&lt;=6)*('CASE MASTER'!$X$2:$X$495&gt;=6))*ROW('CASE MASTER'!$T$2:$T$495))&gt;0,INDEX('CASE MASTER'!$Y$2:$Y$495,(SUMPRODUCT((('CASE MASTER'!$T$2:$T$495=4)*('CASE MASTER'!$U$2:$U$495&lt;=10)*('CASE MASTER'!$W$2:$W$495&gt;=10)*('CASE MASTER'!$V$2:$V$495&lt;=6)*('CASE MASTER'!$X$2:$X$495&gt;=6))*ROW('CASE MASTER'!$T$2:$T$495))-(ROW('CASE MASTER'!#REF!)-1)))&amp;TRIM(MID(SUBSTITUTE(SUBSTITUTE(INDEX('CASE MASTER'!$N$2:$N$495,(SUMPRODUCT((('CASE MASTER'!$T$2:$T$495=4)*('CASE MASTER'!$U$2:$U$495&lt;=10)*('CASE MASTER'!$W$2:$W$495&gt;=10)*('CASE MASTER'!$V$2:$V$495&lt;=6)*('CASE MASTER'!$X$2:$X$495&gt;=6))*ROW('CASE MASTER'!$T$2:$T$495))-(ROW('CASE MASTER'!#REF!)-1))),":",","),",",REPT(" ",50)),((((10-INDEX('CASE MASTER'!$U$2:$U$495,(SUMPRODUCT((('CASE MASTER'!$T$2:$T$495=4)*('CASE MASTER'!$U$2:$U$495&lt;=10)*('CASE MASTER'!$W$2:$W$495&gt;=10)*('CASE MASTER'!$V$2:$V$495&lt;=6)*('CASE MASTER'!$X$2:$X$495&gt;=6))*ROW('CASE MASTER'!$T$2:$T$495))-(ROW('CASE MASTER'!#REF!)-1))))*(INDEX('CASE MASTER'!$X$2:$X$495,(SUMPRODUCT((('CASE MASTER'!$T$2:$T$495=4)*('CASE MASTER'!$U$2:$U$495&lt;=10)*('CASE MASTER'!$W$2:$W$495&gt;=10)*('CASE MASTER'!$V$2:$V$495&lt;=6)*('CASE MASTER'!$X$2:$X$495&gt;=6))*ROW('CASE MASTER'!$T$2:$T$495))-(ROW('CASE MASTER'!#REF!)-1)))-INDEX('CASE MASTER'!$V$2:$V$495,(SUMPRODUCT((('CASE MASTER'!$T$2:$T$495=4)*('CASE MASTER'!$U$2:$U$495&lt;=10)*('CASE MASTER'!$W$2:$W$495&gt;=10)*('CASE MASTER'!$V$2:$V$495&lt;=6)*('CASE MASTER'!$X$2:$X$495&gt;=6))*ROW('CASE MASTER'!$T$2:$T$495))-(ROW('CASE MASTER'!#REF!)-1)))+1)+(6-INDEX('CASE MASTER'!$V$2:$V$495,(SUMPRODUCT((('CASE MASTER'!$T$2:$T$495=4)*('CASE MASTER'!$U$2:$U$495&lt;=10)*('CASE MASTER'!$W$2:$W$495&gt;=10)*('CASE MASTER'!$V$2:$V$495&lt;=6)*('CASE MASTER'!$X$2:$X$495&gt;=6))*ROW('CASE MASTER'!$T$2:$T$495))-(ROW('CASE MASTER'!#REF!)-1))))+1))-1)*50+1,50))&amp;"_"&amp;INDEX('CASE MASTER'!$Q$2:$Q$495,(SUMPRODUCT((('CASE MASTER'!$T$2:$T$495=4)*('CASE MASTER'!$U$2:$U$495&lt;=10)*('CASE MASTER'!$W$2:$W$495&gt;=10)*('CASE MASTER'!$V$2:$V$495&lt;=6)*('CASE MASTER'!$X$2:$X$495&gt;=6))*ROW('CASE MASTER'!$T$2:$T$495))-(ROW('CASE MASTER'!#REF!)-1))),IF(SUMPRODUCT((('CASE MASTER'!$T$2:$T$495=4)*('CASE MASTER'!$AA$2:$AA$495&lt;=10)*('CASE MASTER'!$AC$2:$AC$495&gt;=10)*('CASE MASTER'!$AB$2:$AB$495&lt;=6)*('CASE MASTER'!$AD$2:$AD$495&gt;=6))*ROW('CASE MASTER'!$T$2:$T$495))&gt;0,INDEX('CASE MASTER'!$Y$2:$Y$495,(SUMPRODUCT((('CASE MASTER'!$T$2:$T$495=4)*('CASE MASTER'!$AA$2:$AA$495&lt;=10)*('CASE MASTER'!$AC$2:$AC$495&gt;=10)*('CASE MASTER'!$AB$2:$AB$495&lt;=6)*('CASE MASTER'!$AD$2:$AD$495&gt;=6))*ROW('CASE MASTER'!$T$2:$T$495))-(ROW('CASE MASTER'!#REF!)-1)))&amp;TRIM(MID(SUBSTITUTE(SUBSTITUTE(INDEX('CASE MASTER'!$N$2:$N$495,(SUMPRODUCT((('CASE MASTER'!$T$2:$T$495=4)*('CASE MASTER'!$AA$2:$AA$495&lt;=10)*('CASE MASTER'!$AC$2:$AC$495&gt;=10)*('CASE MASTER'!$AB$2:$AB$495&lt;=6)*('CASE MASTER'!$AD$2:$AD$495&gt;=6))*ROW('CASE MASTER'!$T$2:$T$495))-(ROW('CASE MASTER'!#REF!)-1))),":",","),",",REPT(" ",50)),(((INDEX('CASE MASTER'!$Z$2:$Z$495,(SUMPRODUCT((('CASE MASTER'!$T$2:$T$495=4)*('CASE MASTER'!$AA$2:$AA$495&lt;=10)*('CASE MASTER'!$AC$2:$AC$495&gt;=10)*('CASE MASTER'!$AB$2:$AB$495&lt;=6)*('CASE MASTER'!$AD$2:$AD$495&gt;=6))*ROW('CASE MASTER'!$T$2:$T$495))-(ROW('CASE MASTER'!#REF!)-1)))+((10-INDEX('CASE MASTER'!$AA$2:$AA$495,(SUMPRODUCT((('CASE MASTER'!$T$2:$T$495=4)*('CASE MASTER'!$AA$2:$AA$495&lt;=10)*('CASE MASTER'!$AC$2:$AC$495&gt;=10)*('CASE MASTER'!$AB$2:$AB$495&lt;=6)*('CASE MASTER'!$AD$2:$AD$495&gt;=6))*ROW('CASE MASTER'!$T$2:$T$495))-(ROW('CASE MASTER'!#REF!)-1))))*(INDEX('CASE MASTER'!$AD$2:$AD$495,(SUMPRODUCT((('CASE MASTER'!$T$2:$T$495=4)*('CASE MASTER'!$AA$2:$AA$495&lt;=10)*('CASE MASTER'!$AC$2:$AC$495&gt;=10)*('CASE MASTER'!$AB$2:$AB$495&lt;=6)*('CASE MASTER'!$AD$2:$AD$495&gt;=6))*ROW('CASE MASTER'!$T$2:$T$495))-(ROW('CASE MASTER'!#REF!)-1)))-INDEX('CASE MASTER'!$AB$2:$AB$495,(SUMPRODUCT((('CASE MASTER'!$T$2:$T$495=4)*('CASE MASTER'!$AA$2:$AA$495&lt;=10)*('CASE MASTER'!$AC$2:$AC$495&gt;=10)*('CASE MASTER'!$AB$2:$AB$495&lt;=6)*('CASE MASTER'!$AD$2:$AD$495&gt;=6))*ROW('CASE MASTER'!$T$2:$T$495))-(ROW('CASE MASTER'!#REF!)-1)))+1)+(6-INDEX('CASE MASTER'!$AB$2:$AB$495,(SUMPRODUCT((('CASE MASTER'!$T$2:$T$495=4)*('CASE MASTER'!$AA$2:$AA$495&lt;=10)*('CASE MASTER'!$AC$2:$AC$495&gt;=10)*('CASE MASTER'!$AB$2:$AB$495&lt;=6)*('CASE MASTER'!$AD$2:$AD$495&gt;=6))*ROW('CASE MASTER'!$T$2:$T$495))-(ROW('CASE MASTER'!#REF!)-1))))+1)))-1)*50+1,50))&amp;"_"&amp;INDEX('CASE MASTER'!$Q$2:$Q$495,(SUMPRODUCT((('CASE MASTER'!$T$2:$T$495=4)*('CASE MASTER'!$AA$2:$AA$495&lt;=10)*('CASE MASTER'!$AC$2:$AC$495&gt;=10)*('CASE MASTER'!$AB$2:$AB$495&lt;=6)*('CASE MASTER'!$AD$2:$AD$495&gt;=6))*ROW('CASE MASTER'!$T$2:$T$495))-(ROW('CASE MASTER'!#REF!)-1))),"")),"")</f>
        <v/>
      </c>
      <c r="H54" s="10" t="str">
        <f>IFERROR(IF(SUMPRODUCT((('CASE MASTER'!$T$2:$T$495=4)*('CASE MASTER'!$U$2:$U$495&lt;=10)*('CASE MASTER'!$W$2:$W$495&gt;=10)*('CASE MASTER'!$V$2:$V$495&lt;=7)*('CASE MASTER'!$X$2:$X$495&gt;=7))*ROW('CASE MASTER'!$T$2:$T$495))&gt;0,INDEX('CASE MASTER'!$Y$2:$Y$495,(SUMPRODUCT((('CASE MASTER'!$T$2:$T$495=4)*('CASE MASTER'!$U$2:$U$495&lt;=10)*('CASE MASTER'!$W$2:$W$495&gt;=10)*('CASE MASTER'!$V$2:$V$495&lt;=7)*('CASE MASTER'!$X$2:$X$495&gt;=7))*ROW('CASE MASTER'!$T$2:$T$495))-(ROW('CASE MASTER'!#REF!)-1)))&amp;TRIM(MID(SUBSTITUTE(SUBSTITUTE(INDEX('CASE MASTER'!$N$2:$N$495,(SUMPRODUCT((('CASE MASTER'!$T$2:$T$495=4)*('CASE MASTER'!$U$2:$U$495&lt;=10)*('CASE MASTER'!$W$2:$W$495&gt;=10)*('CASE MASTER'!$V$2:$V$495&lt;=7)*('CASE MASTER'!$X$2:$X$495&gt;=7))*ROW('CASE MASTER'!$T$2:$T$495))-(ROW('CASE MASTER'!#REF!)-1))),":",","),",",REPT(" ",50)),((((10-INDEX('CASE MASTER'!$U$2:$U$495,(SUMPRODUCT((('CASE MASTER'!$T$2:$T$495=4)*('CASE MASTER'!$U$2:$U$495&lt;=10)*('CASE MASTER'!$W$2:$W$495&gt;=10)*('CASE MASTER'!$V$2:$V$495&lt;=7)*('CASE MASTER'!$X$2:$X$495&gt;=7))*ROW('CASE MASTER'!$T$2:$T$495))-(ROW('CASE MASTER'!#REF!)-1))))*(INDEX('CASE MASTER'!$X$2:$X$495,(SUMPRODUCT((('CASE MASTER'!$T$2:$T$495=4)*('CASE MASTER'!$U$2:$U$495&lt;=10)*('CASE MASTER'!$W$2:$W$495&gt;=10)*('CASE MASTER'!$V$2:$V$495&lt;=7)*('CASE MASTER'!$X$2:$X$495&gt;=7))*ROW('CASE MASTER'!$T$2:$T$495))-(ROW('CASE MASTER'!#REF!)-1)))-INDEX('CASE MASTER'!$V$2:$V$495,(SUMPRODUCT((('CASE MASTER'!$T$2:$T$495=4)*('CASE MASTER'!$U$2:$U$495&lt;=10)*('CASE MASTER'!$W$2:$W$495&gt;=10)*('CASE MASTER'!$V$2:$V$495&lt;=7)*('CASE MASTER'!$X$2:$X$495&gt;=7))*ROW('CASE MASTER'!$T$2:$T$495))-(ROW('CASE MASTER'!#REF!)-1)))+1)+(7-INDEX('CASE MASTER'!$V$2:$V$495,(SUMPRODUCT((('CASE MASTER'!$T$2:$T$495=4)*('CASE MASTER'!$U$2:$U$495&lt;=10)*('CASE MASTER'!$W$2:$W$495&gt;=10)*('CASE MASTER'!$V$2:$V$495&lt;=7)*('CASE MASTER'!$X$2:$X$495&gt;=7))*ROW('CASE MASTER'!$T$2:$T$495))-(ROW('CASE MASTER'!#REF!)-1))))+1))-1)*50+1,50))&amp;"_"&amp;INDEX('CASE MASTER'!$Q$2:$Q$495,(SUMPRODUCT((('CASE MASTER'!$T$2:$T$495=4)*('CASE MASTER'!$U$2:$U$495&lt;=10)*('CASE MASTER'!$W$2:$W$495&gt;=10)*('CASE MASTER'!$V$2:$V$495&lt;=7)*('CASE MASTER'!$X$2:$X$495&gt;=7))*ROW('CASE MASTER'!$T$2:$T$495))-(ROW('CASE MASTER'!#REF!)-1))),IF(SUMPRODUCT((('CASE MASTER'!$T$2:$T$495=4)*('CASE MASTER'!$AA$2:$AA$495&lt;=10)*('CASE MASTER'!$AC$2:$AC$495&gt;=10)*('CASE MASTER'!$AB$2:$AB$495&lt;=7)*('CASE MASTER'!$AD$2:$AD$495&gt;=7))*ROW('CASE MASTER'!$T$2:$T$495))&gt;0,INDEX('CASE MASTER'!$Y$2:$Y$495,(SUMPRODUCT((('CASE MASTER'!$T$2:$T$495=4)*('CASE MASTER'!$AA$2:$AA$495&lt;=10)*('CASE MASTER'!$AC$2:$AC$495&gt;=10)*('CASE MASTER'!$AB$2:$AB$495&lt;=7)*('CASE MASTER'!$AD$2:$AD$495&gt;=7))*ROW('CASE MASTER'!$T$2:$T$495))-(ROW('CASE MASTER'!#REF!)-1)))&amp;TRIM(MID(SUBSTITUTE(SUBSTITUTE(INDEX('CASE MASTER'!$N$2:$N$495,(SUMPRODUCT((('CASE MASTER'!$T$2:$T$495=4)*('CASE MASTER'!$AA$2:$AA$495&lt;=10)*('CASE MASTER'!$AC$2:$AC$495&gt;=10)*('CASE MASTER'!$AB$2:$AB$495&lt;=7)*('CASE MASTER'!$AD$2:$AD$495&gt;=7))*ROW('CASE MASTER'!$T$2:$T$495))-(ROW('CASE MASTER'!#REF!)-1))),":",","),",",REPT(" ",50)),(((INDEX('CASE MASTER'!$Z$2:$Z$495,(SUMPRODUCT((('CASE MASTER'!$T$2:$T$495=4)*('CASE MASTER'!$AA$2:$AA$495&lt;=10)*('CASE MASTER'!$AC$2:$AC$495&gt;=10)*('CASE MASTER'!$AB$2:$AB$495&lt;=7)*('CASE MASTER'!$AD$2:$AD$495&gt;=7))*ROW('CASE MASTER'!$T$2:$T$495))-(ROW('CASE MASTER'!#REF!)-1)))+((10-INDEX('CASE MASTER'!$AA$2:$AA$495,(SUMPRODUCT((('CASE MASTER'!$T$2:$T$495=4)*('CASE MASTER'!$AA$2:$AA$495&lt;=10)*('CASE MASTER'!$AC$2:$AC$495&gt;=10)*('CASE MASTER'!$AB$2:$AB$495&lt;=7)*('CASE MASTER'!$AD$2:$AD$495&gt;=7))*ROW('CASE MASTER'!$T$2:$T$495))-(ROW('CASE MASTER'!#REF!)-1))))*(INDEX('CASE MASTER'!$AD$2:$AD$495,(SUMPRODUCT((('CASE MASTER'!$T$2:$T$495=4)*('CASE MASTER'!$AA$2:$AA$495&lt;=10)*('CASE MASTER'!$AC$2:$AC$495&gt;=10)*('CASE MASTER'!$AB$2:$AB$495&lt;=7)*('CASE MASTER'!$AD$2:$AD$495&gt;=7))*ROW('CASE MASTER'!$T$2:$T$495))-(ROW('CASE MASTER'!#REF!)-1)))-INDEX('CASE MASTER'!$AB$2:$AB$495,(SUMPRODUCT((('CASE MASTER'!$T$2:$T$495=4)*('CASE MASTER'!$AA$2:$AA$495&lt;=10)*('CASE MASTER'!$AC$2:$AC$495&gt;=10)*('CASE MASTER'!$AB$2:$AB$495&lt;=7)*('CASE MASTER'!$AD$2:$AD$495&gt;=7))*ROW('CASE MASTER'!$T$2:$T$495))-(ROW('CASE MASTER'!#REF!)-1)))+1)+(7-INDEX('CASE MASTER'!$AB$2:$AB$495,(SUMPRODUCT((('CASE MASTER'!$T$2:$T$495=4)*('CASE MASTER'!$AA$2:$AA$495&lt;=10)*('CASE MASTER'!$AC$2:$AC$495&gt;=10)*('CASE MASTER'!$AB$2:$AB$495&lt;=7)*('CASE MASTER'!$AD$2:$AD$495&gt;=7))*ROW('CASE MASTER'!$T$2:$T$495))-(ROW('CASE MASTER'!#REF!)-1))))+1)))-1)*50+1,50))&amp;"_"&amp;INDEX('CASE MASTER'!$Q$2:$Q$495,(SUMPRODUCT((('CASE MASTER'!$T$2:$T$495=4)*('CASE MASTER'!$AA$2:$AA$495&lt;=10)*('CASE MASTER'!$AC$2:$AC$495&gt;=10)*('CASE MASTER'!$AB$2:$AB$495&lt;=7)*('CASE MASTER'!$AD$2:$AD$495&gt;=7))*ROW('CASE MASTER'!$T$2:$T$495))-(ROW('CASE MASTER'!#REF!)-1))),"")),"")</f>
        <v/>
      </c>
      <c r="I54" s="10" t="str">
        <f>IFERROR(IF(SUMPRODUCT((('CASE MASTER'!$T$2:$T$495=4)*('CASE MASTER'!$U$2:$U$495&lt;=10)*('CASE MASTER'!$W$2:$W$495&gt;=10)*('CASE MASTER'!$V$2:$V$495&lt;=8)*('CASE MASTER'!$X$2:$X$495&gt;=8))*ROW('CASE MASTER'!$T$2:$T$495))&gt;0,INDEX('CASE MASTER'!$Y$2:$Y$495,(SUMPRODUCT((('CASE MASTER'!$T$2:$T$495=4)*('CASE MASTER'!$U$2:$U$495&lt;=10)*('CASE MASTER'!$W$2:$W$495&gt;=10)*('CASE MASTER'!$V$2:$V$495&lt;=8)*('CASE MASTER'!$X$2:$X$495&gt;=8))*ROW('CASE MASTER'!$T$2:$T$495))-(ROW('CASE MASTER'!#REF!)-1)))&amp;TRIM(MID(SUBSTITUTE(SUBSTITUTE(INDEX('CASE MASTER'!$N$2:$N$495,(SUMPRODUCT((('CASE MASTER'!$T$2:$T$495=4)*('CASE MASTER'!$U$2:$U$495&lt;=10)*('CASE MASTER'!$W$2:$W$495&gt;=10)*('CASE MASTER'!$V$2:$V$495&lt;=8)*('CASE MASTER'!$X$2:$X$495&gt;=8))*ROW('CASE MASTER'!$T$2:$T$495))-(ROW('CASE MASTER'!#REF!)-1))),":",","),",",REPT(" ",50)),((((10-INDEX('CASE MASTER'!$U$2:$U$495,(SUMPRODUCT((('CASE MASTER'!$T$2:$T$495=4)*('CASE MASTER'!$U$2:$U$495&lt;=10)*('CASE MASTER'!$W$2:$W$495&gt;=10)*('CASE MASTER'!$V$2:$V$495&lt;=8)*('CASE MASTER'!$X$2:$X$495&gt;=8))*ROW('CASE MASTER'!$T$2:$T$495))-(ROW('CASE MASTER'!#REF!)-1))))*(INDEX('CASE MASTER'!$X$2:$X$495,(SUMPRODUCT((('CASE MASTER'!$T$2:$T$495=4)*('CASE MASTER'!$U$2:$U$495&lt;=10)*('CASE MASTER'!$W$2:$W$495&gt;=10)*('CASE MASTER'!$V$2:$V$495&lt;=8)*('CASE MASTER'!$X$2:$X$495&gt;=8))*ROW('CASE MASTER'!$T$2:$T$495))-(ROW('CASE MASTER'!#REF!)-1)))-INDEX('CASE MASTER'!$V$2:$V$495,(SUMPRODUCT((('CASE MASTER'!$T$2:$T$495=4)*('CASE MASTER'!$U$2:$U$495&lt;=10)*('CASE MASTER'!$W$2:$W$495&gt;=10)*('CASE MASTER'!$V$2:$V$495&lt;=8)*('CASE MASTER'!$X$2:$X$495&gt;=8))*ROW('CASE MASTER'!$T$2:$T$495))-(ROW('CASE MASTER'!#REF!)-1)))+1)+(8-INDEX('CASE MASTER'!$V$2:$V$495,(SUMPRODUCT((('CASE MASTER'!$T$2:$T$495=4)*('CASE MASTER'!$U$2:$U$495&lt;=10)*('CASE MASTER'!$W$2:$W$495&gt;=10)*('CASE MASTER'!$V$2:$V$495&lt;=8)*('CASE MASTER'!$X$2:$X$495&gt;=8))*ROW('CASE MASTER'!$T$2:$T$495))-(ROW('CASE MASTER'!#REF!)-1))))+1))-1)*50+1,50))&amp;"_"&amp;INDEX('CASE MASTER'!$Q$2:$Q$495,(SUMPRODUCT((('CASE MASTER'!$T$2:$T$495=4)*('CASE MASTER'!$U$2:$U$495&lt;=10)*('CASE MASTER'!$W$2:$W$495&gt;=10)*('CASE MASTER'!$V$2:$V$495&lt;=8)*('CASE MASTER'!$X$2:$X$495&gt;=8))*ROW('CASE MASTER'!$T$2:$T$495))-(ROW('CASE MASTER'!#REF!)-1))),IF(SUMPRODUCT((('CASE MASTER'!$T$2:$T$495=4)*('CASE MASTER'!$AA$2:$AA$495&lt;=10)*('CASE MASTER'!$AC$2:$AC$495&gt;=10)*('CASE MASTER'!$AB$2:$AB$495&lt;=8)*('CASE MASTER'!$AD$2:$AD$495&gt;=8))*ROW('CASE MASTER'!$T$2:$T$495))&gt;0,INDEX('CASE MASTER'!$Y$2:$Y$495,(SUMPRODUCT((('CASE MASTER'!$T$2:$T$495=4)*('CASE MASTER'!$AA$2:$AA$495&lt;=10)*('CASE MASTER'!$AC$2:$AC$495&gt;=10)*('CASE MASTER'!$AB$2:$AB$495&lt;=8)*('CASE MASTER'!$AD$2:$AD$495&gt;=8))*ROW('CASE MASTER'!$T$2:$T$495))-(ROW('CASE MASTER'!#REF!)-1)))&amp;TRIM(MID(SUBSTITUTE(SUBSTITUTE(INDEX('CASE MASTER'!$N$2:$N$495,(SUMPRODUCT((('CASE MASTER'!$T$2:$T$495=4)*('CASE MASTER'!$AA$2:$AA$495&lt;=10)*('CASE MASTER'!$AC$2:$AC$495&gt;=10)*('CASE MASTER'!$AB$2:$AB$495&lt;=8)*('CASE MASTER'!$AD$2:$AD$495&gt;=8))*ROW('CASE MASTER'!$T$2:$T$495))-(ROW('CASE MASTER'!#REF!)-1))),":",","),",",REPT(" ",50)),(((INDEX('CASE MASTER'!$Z$2:$Z$495,(SUMPRODUCT((('CASE MASTER'!$T$2:$T$495=4)*('CASE MASTER'!$AA$2:$AA$495&lt;=10)*('CASE MASTER'!$AC$2:$AC$495&gt;=10)*('CASE MASTER'!$AB$2:$AB$495&lt;=8)*('CASE MASTER'!$AD$2:$AD$495&gt;=8))*ROW('CASE MASTER'!$T$2:$T$495))-(ROW('CASE MASTER'!#REF!)-1)))+((10-INDEX('CASE MASTER'!$AA$2:$AA$495,(SUMPRODUCT((('CASE MASTER'!$T$2:$T$495=4)*('CASE MASTER'!$AA$2:$AA$495&lt;=10)*('CASE MASTER'!$AC$2:$AC$495&gt;=10)*('CASE MASTER'!$AB$2:$AB$495&lt;=8)*('CASE MASTER'!$AD$2:$AD$495&gt;=8))*ROW('CASE MASTER'!$T$2:$T$495))-(ROW('CASE MASTER'!#REF!)-1))))*(INDEX('CASE MASTER'!$AD$2:$AD$495,(SUMPRODUCT((('CASE MASTER'!$T$2:$T$495=4)*('CASE MASTER'!$AA$2:$AA$495&lt;=10)*('CASE MASTER'!$AC$2:$AC$495&gt;=10)*('CASE MASTER'!$AB$2:$AB$495&lt;=8)*('CASE MASTER'!$AD$2:$AD$495&gt;=8))*ROW('CASE MASTER'!$T$2:$T$495))-(ROW('CASE MASTER'!#REF!)-1)))-INDEX('CASE MASTER'!$AB$2:$AB$495,(SUMPRODUCT((('CASE MASTER'!$T$2:$T$495=4)*('CASE MASTER'!$AA$2:$AA$495&lt;=10)*('CASE MASTER'!$AC$2:$AC$495&gt;=10)*('CASE MASTER'!$AB$2:$AB$495&lt;=8)*('CASE MASTER'!$AD$2:$AD$495&gt;=8))*ROW('CASE MASTER'!$T$2:$T$495))-(ROW('CASE MASTER'!#REF!)-1)))+1)+(8-INDEX('CASE MASTER'!$AB$2:$AB$495,(SUMPRODUCT((('CASE MASTER'!$T$2:$T$495=4)*('CASE MASTER'!$AA$2:$AA$495&lt;=10)*('CASE MASTER'!$AC$2:$AC$495&gt;=10)*('CASE MASTER'!$AB$2:$AB$495&lt;=8)*('CASE MASTER'!$AD$2:$AD$495&gt;=8))*ROW('CASE MASTER'!$T$2:$T$495))-(ROW('CASE MASTER'!#REF!)-1))))+1)))-1)*50+1,50))&amp;"_"&amp;INDEX('CASE MASTER'!$Q$2:$Q$495,(SUMPRODUCT((('CASE MASTER'!$T$2:$T$495=4)*('CASE MASTER'!$AA$2:$AA$495&lt;=10)*('CASE MASTER'!$AC$2:$AC$495&gt;=10)*('CASE MASTER'!$AB$2:$AB$495&lt;=8)*('CASE MASTER'!$AD$2:$AD$495&gt;=8))*ROW('CASE MASTER'!$T$2:$T$495))-(ROW('CASE MASTER'!#REF!)-1))),"")),"")</f>
        <v/>
      </c>
      <c r="J54" s="10" t="str">
        <f>IFERROR(IF(SUMPRODUCT((('CASE MASTER'!$T$2:$T$495=4)*('CASE MASTER'!$U$2:$U$495&lt;=10)*('CASE MASTER'!$W$2:$W$495&gt;=10)*('CASE MASTER'!$V$2:$V$495&lt;=9)*('CASE MASTER'!$X$2:$X$495&gt;=9))*ROW('CASE MASTER'!$T$2:$T$495))&gt;0,INDEX('CASE MASTER'!$Y$2:$Y$495,(SUMPRODUCT((('CASE MASTER'!$T$2:$T$495=4)*('CASE MASTER'!$U$2:$U$495&lt;=10)*('CASE MASTER'!$W$2:$W$495&gt;=10)*('CASE MASTER'!$V$2:$V$495&lt;=9)*('CASE MASTER'!$X$2:$X$495&gt;=9))*ROW('CASE MASTER'!$T$2:$T$495))-(ROW('CASE MASTER'!#REF!)-1)))&amp;TRIM(MID(SUBSTITUTE(SUBSTITUTE(INDEX('CASE MASTER'!$N$2:$N$495,(SUMPRODUCT((('CASE MASTER'!$T$2:$T$495=4)*('CASE MASTER'!$U$2:$U$495&lt;=10)*('CASE MASTER'!$W$2:$W$495&gt;=10)*('CASE MASTER'!$V$2:$V$495&lt;=9)*('CASE MASTER'!$X$2:$X$495&gt;=9))*ROW('CASE MASTER'!$T$2:$T$495))-(ROW('CASE MASTER'!#REF!)-1))),":",","),",",REPT(" ",50)),((((10-INDEX('CASE MASTER'!$U$2:$U$495,(SUMPRODUCT((('CASE MASTER'!$T$2:$T$495=4)*('CASE MASTER'!$U$2:$U$495&lt;=10)*('CASE MASTER'!$W$2:$W$495&gt;=10)*('CASE MASTER'!$V$2:$V$495&lt;=9)*('CASE MASTER'!$X$2:$X$495&gt;=9))*ROW('CASE MASTER'!$T$2:$T$495))-(ROW('CASE MASTER'!#REF!)-1))))*(INDEX('CASE MASTER'!$X$2:$X$495,(SUMPRODUCT((('CASE MASTER'!$T$2:$T$495=4)*('CASE MASTER'!$U$2:$U$495&lt;=10)*('CASE MASTER'!$W$2:$W$495&gt;=10)*('CASE MASTER'!$V$2:$V$495&lt;=9)*('CASE MASTER'!$X$2:$X$495&gt;=9))*ROW('CASE MASTER'!$T$2:$T$495))-(ROW('CASE MASTER'!#REF!)-1)))-INDEX('CASE MASTER'!$V$2:$V$495,(SUMPRODUCT((('CASE MASTER'!$T$2:$T$495=4)*('CASE MASTER'!$U$2:$U$495&lt;=10)*('CASE MASTER'!$W$2:$W$495&gt;=10)*('CASE MASTER'!$V$2:$V$495&lt;=9)*('CASE MASTER'!$X$2:$X$495&gt;=9))*ROW('CASE MASTER'!$T$2:$T$495))-(ROW('CASE MASTER'!#REF!)-1)))+1)+(9-INDEX('CASE MASTER'!$V$2:$V$495,(SUMPRODUCT((('CASE MASTER'!$T$2:$T$495=4)*('CASE MASTER'!$U$2:$U$495&lt;=10)*('CASE MASTER'!$W$2:$W$495&gt;=10)*('CASE MASTER'!$V$2:$V$495&lt;=9)*('CASE MASTER'!$X$2:$X$495&gt;=9))*ROW('CASE MASTER'!$T$2:$T$495))-(ROW('CASE MASTER'!#REF!)-1))))+1))-1)*50+1,50))&amp;"_"&amp;INDEX('CASE MASTER'!$Q$2:$Q$495,(SUMPRODUCT((('CASE MASTER'!$T$2:$T$495=4)*('CASE MASTER'!$U$2:$U$495&lt;=10)*('CASE MASTER'!$W$2:$W$495&gt;=10)*('CASE MASTER'!$V$2:$V$495&lt;=9)*('CASE MASTER'!$X$2:$X$495&gt;=9))*ROW('CASE MASTER'!$T$2:$T$495))-(ROW('CASE MASTER'!#REF!)-1))),IF(SUMPRODUCT((('CASE MASTER'!$T$2:$T$495=4)*('CASE MASTER'!$AA$2:$AA$495&lt;=10)*('CASE MASTER'!$AC$2:$AC$495&gt;=10)*('CASE MASTER'!$AB$2:$AB$495&lt;=9)*('CASE MASTER'!$AD$2:$AD$495&gt;=9))*ROW('CASE MASTER'!$T$2:$T$495))&gt;0,INDEX('CASE MASTER'!$Y$2:$Y$495,(SUMPRODUCT((('CASE MASTER'!$T$2:$T$495=4)*('CASE MASTER'!$AA$2:$AA$495&lt;=10)*('CASE MASTER'!$AC$2:$AC$495&gt;=10)*('CASE MASTER'!$AB$2:$AB$495&lt;=9)*('CASE MASTER'!$AD$2:$AD$495&gt;=9))*ROW('CASE MASTER'!$T$2:$T$495))-(ROW('CASE MASTER'!#REF!)-1)))&amp;TRIM(MID(SUBSTITUTE(SUBSTITUTE(INDEX('CASE MASTER'!$N$2:$N$495,(SUMPRODUCT((('CASE MASTER'!$T$2:$T$495=4)*('CASE MASTER'!$AA$2:$AA$495&lt;=10)*('CASE MASTER'!$AC$2:$AC$495&gt;=10)*('CASE MASTER'!$AB$2:$AB$495&lt;=9)*('CASE MASTER'!$AD$2:$AD$495&gt;=9))*ROW('CASE MASTER'!$T$2:$T$495))-(ROW('CASE MASTER'!#REF!)-1))),":",","),",",REPT(" ",50)),(((INDEX('CASE MASTER'!$Z$2:$Z$495,(SUMPRODUCT((('CASE MASTER'!$T$2:$T$495=4)*('CASE MASTER'!$AA$2:$AA$495&lt;=10)*('CASE MASTER'!$AC$2:$AC$495&gt;=10)*('CASE MASTER'!$AB$2:$AB$495&lt;=9)*('CASE MASTER'!$AD$2:$AD$495&gt;=9))*ROW('CASE MASTER'!$T$2:$T$495))-(ROW('CASE MASTER'!#REF!)-1)))+((10-INDEX('CASE MASTER'!$AA$2:$AA$495,(SUMPRODUCT((('CASE MASTER'!$T$2:$T$495=4)*('CASE MASTER'!$AA$2:$AA$495&lt;=10)*('CASE MASTER'!$AC$2:$AC$495&gt;=10)*('CASE MASTER'!$AB$2:$AB$495&lt;=9)*('CASE MASTER'!$AD$2:$AD$495&gt;=9))*ROW('CASE MASTER'!$T$2:$T$495))-(ROW('CASE MASTER'!#REF!)-1))))*(INDEX('CASE MASTER'!$AD$2:$AD$495,(SUMPRODUCT((('CASE MASTER'!$T$2:$T$495=4)*('CASE MASTER'!$AA$2:$AA$495&lt;=10)*('CASE MASTER'!$AC$2:$AC$495&gt;=10)*('CASE MASTER'!$AB$2:$AB$495&lt;=9)*('CASE MASTER'!$AD$2:$AD$495&gt;=9))*ROW('CASE MASTER'!$T$2:$T$495))-(ROW('CASE MASTER'!#REF!)-1)))-INDEX('CASE MASTER'!$AB$2:$AB$495,(SUMPRODUCT((('CASE MASTER'!$T$2:$T$495=4)*('CASE MASTER'!$AA$2:$AA$495&lt;=10)*('CASE MASTER'!$AC$2:$AC$495&gt;=10)*('CASE MASTER'!$AB$2:$AB$495&lt;=9)*('CASE MASTER'!$AD$2:$AD$495&gt;=9))*ROW('CASE MASTER'!$T$2:$T$495))-(ROW('CASE MASTER'!#REF!)-1)))+1)+(9-INDEX('CASE MASTER'!$AB$2:$AB$495,(SUMPRODUCT((('CASE MASTER'!$T$2:$T$495=4)*('CASE MASTER'!$AA$2:$AA$495&lt;=10)*('CASE MASTER'!$AC$2:$AC$495&gt;=10)*('CASE MASTER'!$AB$2:$AB$495&lt;=9)*('CASE MASTER'!$AD$2:$AD$495&gt;=9))*ROW('CASE MASTER'!$T$2:$T$495))-(ROW('CASE MASTER'!#REF!)-1))))+1)))-1)*50+1,50))&amp;"_"&amp;INDEX('CASE MASTER'!$Q$2:$Q$495,(SUMPRODUCT((('CASE MASTER'!$T$2:$T$495=4)*('CASE MASTER'!$AA$2:$AA$495&lt;=10)*('CASE MASTER'!$AC$2:$AC$495&gt;=10)*('CASE MASTER'!$AB$2:$AB$495&lt;=9)*('CASE MASTER'!$AD$2:$AD$495&gt;=9))*ROW('CASE MASTER'!$T$2:$T$495))-(ROW('CASE MASTER'!#REF!)-1))),"")),"")</f>
        <v/>
      </c>
      <c r="K54" s="10" t="str">
        <f>IFERROR(IF(SUMPRODUCT((('CASE MASTER'!$T$2:$T$495=4)*('CASE MASTER'!$U$2:$U$495&lt;=10)*('CASE MASTER'!$W$2:$W$495&gt;=10)*('CASE MASTER'!$V$2:$V$495&lt;=10)*('CASE MASTER'!$X$2:$X$495&gt;=10))*ROW('CASE MASTER'!$T$2:$T$495))&gt;0,INDEX('CASE MASTER'!$Y$2:$Y$495,(SUMPRODUCT((('CASE MASTER'!$T$2:$T$495=4)*('CASE MASTER'!$U$2:$U$495&lt;=10)*('CASE MASTER'!$W$2:$W$495&gt;=10)*('CASE MASTER'!$V$2:$V$495&lt;=10)*('CASE MASTER'!$X$2:$X$495&gt;=10))*ROW('CASE MASTER'!$T$2:$T$495))-(ROW('CASE MASTER'!#REF!)-1)))&amp;TRIM(MID(SUBSTITUTE(SUBSTITUTE(INDEX('CASE MASTER'!$N$2:$N$495,(SUMPRODUCT((('CASE MASTER'!$T$2:$T$495=4)*('CASE MASTER'!$U$2:$U$495&lt;=10)*('CASE MASTER'!$W$2:$W$495&gt;=10)*('CASE MASTER'!$V$2:$V$495&lt;=10)*('CASE MASTER'!$X$2:$X$495&gt;=10))*ROW('CASE MASTER'!$T$2:$T$495))-(ROW('CASE MASTER'!#REF!)-1))),":",","),",",REPT(" ",50)),((((10-INDEX('CASE MASTER'!$U$2:$U$495,(SUMPRODUCT((('CASE MASTER'!$T$2:$T$495=4)*('CASE MASTER'!$U$2:$U$495&lt;=10)*('CASE MASTER'!$W$2:$W$495&gt;=10)*('CASE MASTER'!$V$2:$V$495&lt;=10)*('CASE MASTER'!$X$2:$X$495&gt;=10))*ROW('CASE MASTER'!$T$2:$T$495))-(ROW('CASE MASTER'!#REF!)-1))))*(INDEX('CASE MASTER'!$X$2:$X$495,(SUMPRODUCT((('CASE MASTER'!$T$2:$T$495=4)*('CASE MASTER'!$U$2:$U$495&lt;=10)*('CASE MASTER'!$W$2:$W$495&gt;=10)*('CASE MASTER'!$V$2:$V$495&lt;=10)*('CASE MASTER'!$X$2:$X$495&gt;=10))*ROW('CASE MASTER'!$T$2:$T$495))-(ROW('CASE MASTER'!#REF!)-1)))-INDEX('CASE MASTER'!$V$2:$V$495,(SUMPRODUCT((('CASE MASTER'!$T$2:$T$495=4)*('CASE MASTER'!$U$2:$U$495&lt;=10)*('CASE MASTER'!$W$2:$W$495&gt;=10)*('CASE MASTER'!$V$2:$V$495&lt;=10)*('CASE MASTER'!$X$2:$X$495&gt;=10))*ROW('CASE MASTER'!$T$2:$T$495))-(ROW('CASE MASTER'!#REF!)-1)))+1)+(10-INDEX('CASE MASTER'!$V$2:$V$495,(SUMPRODUCT((('CASE MASTER'!$T$2:$T$495=4)*('CASE MASTER'!$U$2:$U$495&lt;=10)*('CASE MASTER'!$W$2:$W$495&gt;=10)*('CASE MASTER'!$V$2:$V$495&lt;=10)*('CASE MASTER'!$X$2:$X$495&gt;=10))*ROW('CASE MASTER'!$T$2:$T$495))-(ROW('CASE MASTER'!#REF!)-1))))+1))-1)*50+1,50))&amp;"_"&amp;INDEX('CASE MASTER'!$Q$2:$Q$495,(SUMPRODUCT((('CASE MASTER'!$T$2:$T$495=4)*('CASE MASTER'!$U$2:$U$495&lt;=10)*('CASE MASTER'!$W$2:$W$495&gt;=10)*('CASE MASTER'!$V$2:$V$495&lt;=10)*('CASE MASTER'!$X$2:$X$495&gt;=10))*ROW('CASE MASTER'!$T$2:$T$495))-(ROW('CASE MASTER'!#REF!)-1))),IF(SUMPRODUCT((('CASE MASTER'!$T$2:$T$495=4)*('CASE MASTER'!$AA$2:$AA$495&lt;=10)*('CASE MASTER'!$AC$2:$AC$495&gt;=10)*('CASE MASTER'!$AB$2:$AB$495&lt;=10)*('CASE MASTER'!$AD$2:$AD$495&gt;=10))*ROW('CASE MASTER'!$T$2:$T$495))&gt;0,INDEX('CASE MASTER'!$Y$2:$Y$495,(SUMPRODUCT((('CASE MASTER'!$T$2:$T$495=4)*('CASE MASTER'!$AA$2:$AA$495&lt;=10)*('CASE MASTER'!$AC$2:$AC$495&gt;=10)*('CASE MASTER'!$AB$2:$AB$495&lt;=10)*('CASE MASTER'!$AD$2:$AD$495&gt;=10))*ROW('CASE MASTER'!$T$2:$T$495))-(ROW('CASE MASTER'!#REF!)-1)))&amp;TRIM(MID(SUBSTITUTE(SUBSTITUTE(INDEX('CASE MASTER'!$N$2:$N$495,(SUMPRODUCT((('CASE MASTER'!$T$2:$T$495=4)*('CASE MASTER'!$AA$2:$AA$495&lt;=10)*('CASE MASTER'!$AC$2:$AC$495&gt;=10)*('CASE MASTER'!$AB$2:$AB$495&lt;=10)*('CASE MASTER'!$AD$2:$AD$495&gt;=10))*ROW('CASE MASTER'!$T$2:$T$495))-(ROW('CASE MASTER'!#REF!)-1))),":",","),",",REPT(" ",50)),(((INDEX('CASE MASTER'!$Z$2:$Z$495,(SUMPRODUCT((('CASE MASTER'!$T$2:$T$495=4)*('CASE MASTER'!$AA$2:$AA$495&lt;=10)*('CASE MASTER'!$AC$2:$AC$495&gt;=10)*('CASE MASTER'!$AB$2:$AB$495&lt;=10)*('CASE MASTER'!$AD$2:$AD$495&gt;=10))*ROW('CASE MASTER'!$T$2:$T$495))-(ROW('CASE MASTER'!#REF!)-1)))+((10-INDEX('CASE MASTER'!$AA$2:$AA$495,(SUMPRODUCT((('CASE MASTER'!$T$2:$T$495=4)*('CASE MASTER'!$AA$2:$AA$495&lt;=10)*('CASE MASTER'!$AC$2:$AC$495&gt;=10)*('CASE MASTER'!$AB$2:$AB$495&lt;=10)*('CASE MASTER'!$AD$2:$AD$495&gt;=10))*ROW('CASE MASTER'!$T$2:$T$495))-(ROW('CASE MASTER'!#REF!)-1))))*(INDEX('CASE MASTER'!$AD$2:$AD$495,(SUMPRODUCT((('CASE MASTER'!$T$2:$T$495=4)*('CASE MASTER'!$AA$2:$AA$495&lt;=10)*('CASE MASTER'!$AC$2:$AC$495&gt;=10)*('CASE MASTER'!$AB$2:$AB$495&lt;=10)*('CASE MASTER'!$AD$2:$AD$495&gt;=10))*ROW('CASE MASTER'!$T$2:$T$495))-(ROW('CASE MASTER'!#REF!)-1)))-INDEX('CASE MASTER'!$AB$2:$AB$495,(SUMPRODUCT((('CASE MASTER'!$T$2:$T$495=4)*('CASE MASTER'!$AA$2:$AA$495&lt;=10)*('CASE MASTER'!$AC$2:$AC$495&gt;=10)*('CASE MASTER'!$AB$2:$AB$495&lt;=10)*('CASE MASTER'!$AD$2:$AD$495&gt;=10))*ROW('CASE MASTER'!$T$2:$T$495))-(ROW('CASE MASTER'!#REF!)-1)))+1)+(10-INDEX('CASE MASTER'!$AB$2:$AB$495,(SUMPRODUCT((('CASE MASTER'!$T$2:$T$495=4)*('CASE MASTER'!$AA$2:$AA$495&lt;=10)*('CASE MASTER'!$AC$2:$AC$495&gt;=10)*('CASE MASTER'!$AB$2:$AB$495&lt;=10)*('CASE MASTER'!$AD$2:$AD$495&gt;=10))*ROW('CASE MASTER'!$T$2:$T$495))-(ROW('CASE MASTER'!#REF!)-1))))+1)))-1)*50+1,50))&amp;"_"&amp;INDEX('CASE MASTER'!$Q$2:$Q$495,(SUMPRODUCT((('CASE MASTER'!$T$2:$T$495=4)*('CASE MASTER'!$AA$2:$AA$495&lt;=10)*('CASE MASTER'!$AC$2:$AC$495&gt;=10)*('CASE MASTER'!$AB$2:$AB$495&lt;=10)*('CASE MASTER'!$AD$2:$AD$495&gt;=10))*ROW('CASE MASTER'!$T$2:$T$495))-(ROW('CASE MASTER'!#REF!)-1))),"")),"")</f>
        <v/>
      </c>
    </row>
    <row r="57" spans="1:11" ht="15" customHeight="1" x14ac:dyDescent="0.35">
      <c r="A57" s="12" t="s">
        <v>86</v>
      </c>
      <c r="B57" s="13"/>
      <c r="C57" s="13"/>
      <c r="D57" s="13"/>
      <c r="E57" s="13"/>
      <c r="F57" s="13"/>
      <c r="G57" s="13"/>
      <c r="H57" s="13"/>
      <c r="I57" s="13"/>
      <c r="J57" s="13"/>
      <c r="K57" s="13"/>
    </row>
    <row r="58" spans="1:11" ht="15" customHeight="1" x14ac:dyDescent="0.35">
      <c r="B58" s="8">
        <v>1</v>
      </c>
      <c r="C58" s="8">
        <v>2</v>
      </c>
      <c r="D58" s="8">
        <v>3</v>
      </c>
      <c r="E58" s="8">
        <v>4</v>
      </c>
      <c r="F58" s="8">
        <v>5</v>
      </c>
      <c r="G58" s="8">
        <v>6</v>
      </c>
      <c r="H58" s="8">
        <v>7</v>
      </c>
      <c r="I58" s="8">
        <v>8</v>
      </c>
      <c r="J58" s="8">
        <v>9</v>
      </c>
      <c r="K58" s="8">
        <v>10</v>
      </c>
    </row>
    <row r="59" spans="1:11" ht="15" customHeight="1" x14ac:dyDescent="0.35">
      <c r="A59" s="8" t="s">
        <v>28</v>
      </c>
      <c r="B59" s="10" t="str">
        <f>IFERROR(IF(SUMPRODUCT((('CASE MASTER'!$T$2:$T$495=5)*('CASE MASTER'!$U$2:$U$495&lt;=1)*('CASE MASTER'!$W$2:$W$495&gt;=1)*('CASE MASTER'!$V$2:$V$495&lt;=1)*('CASE MASTER'!$X$2:$X$495&gt;=1))*ROW('CASE MASTER'!$T$2:$T$495))&gt;0,INDEX('CASE MASTER'!$Y$2:$Y$495,(SUMPRODUCT((('CASE MASTER'!$T$2:$T$495=5)*('CASE MASTER'!$U$2:$U$495&lt;=1)*('CASE MASTER'!$W$2:$W$495&gt;=1)*('CASE MASTER'!$V$2:$V$495&lt;=1)*('CASE MASTER'!$X$2:$X$495&gt;=1))*ROW('CASE MASTER'!$T$2:$T$495))-(ROW('CASE MASTER'!#REF!)-1)))&amp;TRIM(MID(SUBSTITUTE(SUBSTITUTE(INDEX('CASE MASTER'!$N$2:$N$495,(SUMPRODUCT((('CASE MASTER'!$T$2:$T$495=5)*('CASE MASTER'!$U$2:$U$495&lt;=1)*('CASE MASTER'!$W$2:$W$495&gt;=1)*('CASE MASTER'!$V$2:$V$495&lt;=1)*('CASE MASTER'!$X$2:$X$495&gt;=1))*ROW('CASE MASTER'!$T$2:$T$495))-(ROW('CASE MASTER'!#REF!)-1))),":",","),",",REPT(" ",50)),((((1-INDEX('CASE MASTER'!$U$2:$U$495,(SUMPRODUCT((('CASE MASTER'!$T$2:$T$495=5)*('CASE MASTER'!$U$2:$U$495&lt;=1)*('CASE MASTER'!$W$2:$W$495&gt;=1)*('CASE MASTER'!$V$2:$V$495&lt;=1)*('CASE MASTER'!$X$2:$X$495&gt;=1))*ROW('CASE MASTER'!$T$2:$T$495))-(ROW('CASE MASTER'!#REF!)-1))))*(INDEX('CASE MASTER'!$X$2:$X$495,(SUMPRODUCT((('CASE MASTER'!$T$2:$T$495=5)*('CASE MASTER'!$U$2:$U$495&lt;=1)*('CASE MASTER'!$W$2:$W$495&gt;=1)*('CASE MASTER'!$V$2:$V$495&lt;=1)*('CASE MASTER'!$X$2:$X$495&gt;=1))*ROW('CASE MASTER'!$T$2:$T$495))-(ROW('CASE MASTER'!#REF!)-1)))-INDEX('CASE MASTER'!$V$2:$V$495,(SUMPRODUCT((('CASE MASTER'!$T$2:$T$495=5)*('CASE MASTER'!$U$2:$U$495&lt;=1)*('CASE MASTER'!$W$2:$W$495&gt;=1)*('CASE MASTER'!$V$2:$V$495&lt;=1)*('CASE MASTER'!$X$2:$X$495&gt;=1))*ROW('CASE MASTER'!$T$2:$T$495))-(ROW('CASE MASTER'!#REF!)-1)))+1)+(1-INDEX('CASE MASTER'!$V$2:$V$495,(SUMPRODUCT((('CASE MASTER'!$T$2:$T$495=5)*('CASE MASTER'!$U$2:$U$495&lt;=1)*('CASE MASTER'!$W$2:$W$495&gt;=1)*('CASE MASTER'!$V$2:$V$495&lt;=1)*('CASE MASTER'!$X$2:$X$495&gt;=1))*ROW('CASE MASTER'!$T$2:$T$495))-(ROW('CASE MASTER'!#REF!)-1))))+1))-1)*50+1,50))&amp;"_"&amp;INDEX('CASE MASTER'!$Q$2:$Q$495,(SUMPRODUCT((('CASE MASTER'!$T$2:$T$495=5)*('CASE MASTER'!$U$2:$U$495&lt;=1)*('CASE MASTER'!$W$2:$W$495&gt;=1)*('CASE MASTER'!$V$2:$V$495&lt;=1)*('CASE MASTER'!$X$2:$X$495&gt;=1))*ROW('CASE MASTER'!$T$2:$T$495))-(ROW('CASE MASTER'!#REF!)-1))),IF(SUMPRODUCT((('CASE MASTER'!$T$2:$T$495=5)*('CASE MASTER'!$AA$2:$AA$495&lt;=1)*('CASE MASTER'!$AC$2:$AC$495&gt;=1)*('CASE MASTER'!$AB$2:$AB$495&lt;=1)*('CASE MASTER'!$AD$2:$AD$495&gt;=1))*ROW('CASE MASTER'!$T$2:$T$495))&gt;0,INDEX('CASE MASTER'!$Y$2:$Y$495,(SUMPRODUCT((('CASE MASTER'!$T$2:$T$495=5)*('CASE MASTER'!$AA$2:$AA$495&lt;=1)*('CASE MASTER'!$AC$2:$AC$495&gt;=1)*('CASE MASTER'!$AB$2:$AB$495&lt;=1)*('CASE MASTER'!$AD$2:$AD$495&gt;=1))*ROW('CASE MASTER'!$T$2:$T$495))-(ROW('CASE MASTER'!#REF!)-1)))&amp;TRIM(MID(SUBSTITUTE(SUBSTITUTE(INDEX('CASE MASTER'!$N$2:$N$495,(SUMPRODUCT((('CASE MASTER'!$T$2:$T$495=5)*('CASE MASTER'!$AA$2:$AA$495&lt;=1)*('CASE MASTER'!$AC$2:$AC$495&gt;=1)*('CASE MASTER'!$AB$2:$AB$495&lt;=1)*('CASE MASTER'!$AD$2:$AD$495&gt;=1))*ROW('CASE MASTER'!$T$2:$T$495))-(ROW('CASE MASTER'!#REF!)-1))),":",","),",",REPT(" ",50)),(((INDEX('CASE MASTER'!$Z$2:$Z$495,(SUMPRODUCT((('CASE MASTER'!$T$2:$T$495=5)*('CASE MASTER'!$AA$2:$AA$495&lt;=1)*('CASE MASTER'!$AC$2:$AC$495&gt;=1)*('CASE MASTER'!$AB$2:$AB$495&lt;=1)*('CASE MASTER'!$AD$2:$AD$495&gt;=1))*ROW('CASE MASTER'!$T$2:$T$495))-(ROW('CASE MASTER'!#REF!)-1)))+((1-INDEX('CASE MASTER'!$AA$2:$AA$495,(SUMPRODUCT((('CASE MASTER'!$T$2:$T$495=5)*('CASE MASTER'!$AA$2:$AA$495&lt;=1)*('CASE MASTER'!$AC$2:$AC$495&gt;=1)*('CASE MASTER'!$AB$2:$AB$495&lt;=1)*('CASE MASTER'!$AD$2:$AD$495&gt;=1))*ROW('CASE MASTER'!$T$2:$T$495))-(ROW('CASE MASTER'!#REF!)-1))))*(INDEX('CASE MASTER'!$AD$2:$AD$495,(SUMPRODUCT((('CASE MASTER'!$T$2:$T$495=5)*('CASE MASTER'!$AA$2:$AA$495&lt;=1)*('CASE MASTER'!$AC$2:$AC$495&gt;=1)*('CASE MASTER'!$AB$2:$AB$495&lt;=1)*('CASE MASTER'!$AD$2:$AD$495&gt;=1))*ROW('CASE MASTER'!$T$2:$T$495))-(ROW('CASE MASTER'!#REF!)-1)))-INDEX('CASE MASTER'!$AB$2:$AB$495,(SUMPRODUCT((('CASE MASTER'!$T$2:$T$495=5)*('CASE MASTER'!$AA$2:$AA$495&lt;=1)*('CASE MASTER'!$AC$2:$AC$495&gt;=1)*('CASE MASTER'!$AB$2:$AB$495&lt;=1)*('CASE MASTER'!$AD$2:$AD$495&gt;=1))*ROW('CASE MASTER'!$T$2:$T$495))-(ROW('CASE MASTER'!#REF!)-1)))+1)+(1-INDEX('CASE MASTER'!$AB$2:$AB$495,(SUMPRODUCT((('CASE MASTER'!$T$2:$T$495=5)*('CASE MASTER'!$AA$2:$AA$495&lt;=1)*('CASE MASTER'!$AC$2:$AC$495&gt;=1)*('CASE MASTER'!$AB$2:$AB$495&lt;=1)*('CASE MASTER'!$AD$2:$AD$495&gt;=1))*ROW('CASE MASTER'!$T$2:$T$495))-(ROW('CASE MASTER'!#REF!)-1))))+1)))-1)*50+1,50))&amp;"_"&amp;INDEX('CASE MASTER'!$Q$2:$Q$495,(SUMPRODUCT((('CASE MASTER'!$T$2:$T$495=5)*('CASE MASTER'!$AA$2:$AA$495&lt;=1)*('CASE MASTER'!$AC$2:$AC$495&gt;=1)*('CASE MASTER'!$AB$2:$AB$495&lt;=1)*('CASE MASTER'!$AD$2:$AD$495&gt;=1))*ROW('CASE MASTER'!$T$2:$T$495))-(ROW('CASE MASTER'!#REF!)-1))),"")),"")</f>
        <v/>
      </c>
      <c r="C59" s="10" t="str">
        <f>IFERROR(IF(SUMPRODUCT((('CASE MASTER'!$T$2:$T$495=5)*('CASE MASTER'!$U$2:$U$495&lt;=1)*('CASE MASTER'!$W$2:$W$495&gt;=1)*('CASE MASTER'!$V$2:$V$495&lt;=2)*('CASE MASTER'!$X$2:$X$495&gt;=2))*ROW('CASE MASTER'!$T$2:$T$495))&gt;0,INDEX('CASE MASTER'!$Y$2:$Y$495,(SUMPRODUCT((('CASE MASTER'!$T$2:$T$495=5)*('CASE MASTER'!$U$2:$U$495&lt;=1)*('CASE MASTER'!$W$2:$W$495&gt;=1)*('CASE MASTER'!$V$2:$V$495&lt;=2)*('CASE MASTER'!$X$2:$X$495&gt;=2))*ROW('CASE MASTER'!$T$2:$T$495))-(ROW('CASE MASTER'!#REF!)-1)))&amp;TRIM(MID(SUBSTITUTE(SUBSTITUTE(INDEX('CASE MASTER'!$N$2:$N$495,(SUMPRODUCT((('CASE MASTER'!$T$2:$T$495=5)*('CASE MASTER'!$U$2:$U$495&lt;=1)*('CASE MASTER'!$W$2:$W$495&gt;=1)*('CASE MASTER'!$V$2:$V$495&lt;=2)*('CASE MASTER'!$X$2:$X$495&gt;=2))*ROW('CASE MASTER'!$T$2:$T$495))-(ROW('CASE MASTER'!#REF!)-1))),":",","),",",REPT(" ",50)),((((1-INDEX('CASE MASTER'!$U$2:$U$495,(SUMPRODUCT((('CASE MASTER'!$T$2:$T$495=5)*('CASE MASTER'!$U$2:$U$495&lt;=1)*('CASE MASTER'!$W$2:$W$495&gt;=1)*('CASE MASTER'!$V$2:$V$495&lt;=2)*('CASE MASTER'!$X$2:$X$495&gt;=2))*ROW('CASE MASTER'!$T$2:$T$495))-(ROW('CASE MASTER'!#REF!)-1))))*(INDEX('CASE MASTER'!$X$2:$X$495,(SUMPRODUCT((('CASE MASTER'!$T$2:$T$495=5)*('CASE MASTER'!$U$2:$U$495&lt;=1)*('CASE MASTER'!$W$2:$W$495&gt;=1)*('CASE MASTER'!$V$2:$V$495&lt;=2)*('CASE MASTER'!$X$2:$X$495&gt;=2))*ROW('CASE MASTER'!$T$2:$T$495))-(ROW('CASE MASTER'!#REF!)-1)))-INDEX('CASE MASTER'!$V$2:$V$495,(SUMPRODUCT((('CASE MASTER'!$T$2:$T$495=5)*('CASE MASTER'!$U$2:$U$495&lt;=1)*('CASE MASTER'!$W$2:$W$495&gt;=1)*('CASE MASTER'!$V$2:$V$495&lt;=2)*('CASE MASTER'!$X$2:$X$495&gt;=2))*ROW('CASE MASTER'!$T$2:$T$495))-(ROW('CASE MASTER'!#REF!)-1)))+1)+(2-INDEX('CASE MASTER'!$V$2:$V$495,(SUMPRODUCT((('CASE MASTER'!$T$2:$T$495=5)*('CASE MASTER'!$U$2:$U$495&lt;=1)*('CASE MASTER'!$W$2:$W$495&gt;=1)*('CASE MASTER'!$V$2:$V$495&lt;=2)*('CASE MASTER'!$X$2:$X$495&gt;=2))*ROW('CASE MASTER'!$T$2:$T$495))-(ROW('CASE MASTER'!#REF!)-1))))+1))-1)*50+1,50))&amp;"_"&amp;INDEX('CASE MASTER'!$Q$2:$Q$495,(SUMPRODUCT((('CASE MASTER'!$T$2:$T$495=5)*('CASE MASTER'!$U$2:$U$495&lt;=1)*('CASE MASTER'!$W$2:$W$495&gt;=1)*('CASE MASTER'!$V$2:$V$495&lt;=2)*('CASE MASTER'!$X$2:$X$495&gt;=2))*ROW('CASE MASTER'!$T$2:$T$495))-(ROW('CASE MASTER'!#REF!)-1))),IF(SUMPRODUCT((('CASE MASTER'!$T$2:$T$495=5)*('CASE MASTER'!$AA$2:$AA$495&lt;=1)*('CASE MASTER'!$AC$2:$AC$495&gt;=1)*('CASE MASTER'!$AB$2:$AB$495&lt;=2)*('CASE MASTER'!$AD$2:$AD$495&gt;=2))*ROW('CASE MASTER'!$T$2:$T$495))&gt;0,INDEX('CASE MASTER'!$Y$2:$Y$495,(SUMPRODUCT((('CASE MASTER'!$T$2:$T$495=5)*('CASE MASTER'!$AA$2:$AA$495&lt;=1)*('CASE MASTER'!$AC$2:$AC$495&gt;=1)*('CASE MASTER'!$AB$2:$AB$495&lt;=2)*('CASE MASTER'!$AD$2:$AD$495&gt;=2))*ROW('CASE MASTER'!$T$2:$T$495))-(ROW('CASE MASTER'!#REF!)-1)))&amp;TRIM(MID(SUBSTITUTE(SUBSTITUTE(INDEX('CASE MASTER'!$N$2:$N$495,(SUMPRODUCT((('CASE MASTER'!$T$2:$T$495=5)*('CASE MASTER'!$AA$2:$AA$495&lt;=1)*('CASE MASTER'!$AC$2:$AC$495&gt;=1)*('CASE MASTER'!$AB$2:$AB$495&lt;=2)*('CASE MASTER'!$AD$2:$AD$495&gt;=2))*ROW('CASE MASTER'!$T$2:$T$495))-(ROW('CASE MASTER'!#REF!)-1))),":",","),",",REPT(" ",50)),(((INDEX('CASE MASTER'!$Z$2:$Z$495,(SUMPRODUCT((('CASE MASTER'!$T$2:$T$495=5)*('CASE MASTER'!$AA$2:$AA$495&lt;=1)*('CASE MASTER'!$AC$2:$AC$495&gt;=1)*('CASE MASTER'!$AB$2:$AB$495&lt;=2)*('CASE MASTER'!$AD$2:$AD$495&gt;=2))*ROW('CASE MASTER'!$T$2:$T$495))-(ROW('CASE MASTER'!#REF!)-1)))+((1-INDEX('CASE MASTER'!$AA$2:$AA$495,(SUMPRODUCT((('CASE MASTER'!$T$2:$T$495=5)*('CASE MASTER'!$AA$2:$AA$495&lt;=1)*('CASE MASTER'!$AC$2:$AC$495&gt;=1)*('CASE MASTER'!$AB$2:$AB$495&lt;=2)*('CASE MASTER'!$AD$2:$AD$495&gt;=2))*ROW('CASE MASTER'!$T$2:$T$495))-(ROW('CASE MASTER'!#REF!)-1))))*(INDEX('CASE MASTER'!$AD$2:$AD$495,(SUMPRODUCT((('CASE MASTER'!$T$2:$T$495=5)*('CASE MASTER'!$AA$2:$AA$495&lt;=1)*('CASE MASTER'!$AC$2:$AC$495&gt;=1)*('CASE MASTER'!$AB$2:$AB$495&lt;=2)*('CASE MASTER'!$AD$2:$AD$495&gt;=2))*ROW('CASE MASTER'!$T$2:$T$495))-(ROW('CASE MASTER'!#REF!)-1)))-INDEX('CASE MASTER'!$AB$2:$AB$495,(SUMPRODUCT((('CASE MASTER'!$T$2:$T$495=5)*('CASE MASTER'!$AA$2:$AA$495&lt;=1)*('CASE MASTER'!$AC$2:$AC$495&gt;=1)*('CASE MASTER'!$AB$2:$AB$495&lt;=2)*('CASE MASTER'!$AD$2:$AD$495&gt;=2))*ROW('CASE MASTER'!$T$2:$T$495))-(ROW('CASE MASTER'!#REF!)-1)))+1)+(2-INDEX('CASE MASTER'!$AB$2:$AB$495,(SUMPRODUCT((('CASE MASTER'!$T$2:$T$495=5)*('CASE MASTER'!$AA$2:$AA$495&lt;=1)*('CASE MASTER'!$AC$2:$AC$495&gt;=1)*('CASE MASTER'!$AB$2:$AB$495&lt;=2)*('CASE MASTER'!$AD$2:$AD$495&gt;=2))*ROW('CASE MASTER'!$T$2:$T$495))-(ROW('CASE MASTER'!#REF!)-1))))+1)))-1)*50+1,50))&amp;"_"&amp;INDEX('CASE MASTER'!$Q$2:$Q$495,(SUMPRODUCT((('CASE MASTER'!$T$2:$T$495=5)*('CASE MASTER'!$AA$2:$AA$495&lt;=1)*('CASE MASTER'!$AC$2:$AC$495&gt;=1)*('CASE MASTER'!$AB$2:$AB$495&lt;=2)*('CASE MASTER'!$AD$2:$AD$495&gt;=2))*ROW('CASE MASTER'!$T$2:$T$495))-(ROW('CASE MASTER'!#REF!)-1))),"")),"")</f>
        <v/>
      </c>
      <c r="D59" s="10" t="str">
        <f>IFERROR(IF(SUMPRODUCT((('CASE MASTER'!$T$2:$T$495=5)*('CASE MASTER'!$U$2:$U$495&lt;=1)*('CASE MASTER'!$W$2:$W$495&gt;=1)*('CASE MASTER'!$V$2:$V$495&lt;=3)*('CASE MASTER'!$X$2:$X$495&gt;=3))*ROW('CASE MASTER'!$T$2:$T$495))&gt;0,INDEX('CASE MASTER'!$Y$2:$Y$495,(SUMPRODUCT((('CASE MASTER'!$T$2:$T$495=5)*('CASE MASTER'!$U$2:$U$495&lt;=1)*('CASE MASTER'!$W$2:$W$495&gt;=1)*('CASE MASTER'!$V$2:$V$495&lt;=3)*('CASE MASTER'!$X$2:$X$495&gt;=3))*ROW('CASE MASTER'!$T$2:$T$495))-(ROW('CASE MASTER'!#REF!)-1)))&amp;TRIM(MID(SUBSTITUTE(SUBSTITUTE(INDEX('CASE MASTER'!$N$2:$N$495,(SUMPRODUCT((('CASE MASTER'!$T$2:$T$495=5)*('CASE MASTER'!$U$2:$U$495&lt;=1)*('CASE MASTER'!$W$2:$W$495&gt;=1)*('CASE MASTER'!$V$2:$V$495&lt;=3)*('CASE MASTER'!$X$2:$X$495&gt;=3))*ROW('CASE MASTER'!$T$2:$T$495))-(ROW('CASE MASTER'!#REF!)-1))),":",","),",",REPT(" ",50)),((((1-INDEX('CASE MASTER'!$U$2:$U$495,(SUMPRODUCT((('CASE MASTER'!$T$2:$T$495=5)*('CASE MASTER'!$U$2:$U$495&lt;=1)*('CASE MASTER'!$W$2:$W$495&gt;=1)*('CASE MASTER'!$V$2:$V$495&lt;=3)*('CASE MASTER'!$X$2:$X$495&gt;=3))*ROW('CASE MASTER'!$T$2:$T$495))-(ROW('CASE MASTER'!#REF!)-1))))*(INDEX('CASE MASTER'!$X$2:$X$495,(SUMPRODUCT((('CASE MASTER'!$T$2:$T$495=5)*('CASE MASTER'!$U$2:$U$495&lt;=1)*('CASE MASTER'!$W$2:$W$495&gt;=1)*('CASE MASTER'!$V$2:$V$495&lt;=3)*('CASE MASTER'!$X$2:$X$495&gt;=3))*ROW('CASE MASTER'!$T$2:$T$495))-(ROW('CASE MASTER'!#REF!)-1)))-INDEX('CASE MASTER'!$V$2:$V$495,(SUMPRODUCT((('CASE MASTER'!$T$2:$T$495=5)*('CASE MASTER'!$U$2:$U$495&lt;=1)*('CASE MASTER'!$W$2:$W$495&gt;=1)*('CASE MASTER'!$V$2:$V$495&lt;=3)*('CASE MASTER'!$X$2:$X$495&gt;=3))*ROW('CASE MASTER'!$T$2:$T$495))-(ROW('CASE MASTER'!#REF!)-1)))+1)+(3-INDEX('CASE MASTER'!$V$2:$V$495,(SUMPRODUCT((('CASE MASTER'!$T$2:$T$495=5)*('CASE MASTER'!$U$2:$U$495&lt;=1)*('CASE MASTER'!$W$2:$W$495&gt;=1)*('CASE MASTER'!$V$2:$V$495&lt;=3)*('CASE MASTER'!$X$2:$X$495&gt;=3))*ROW('CASE MASTER'!$T$2:$T$495))-(ROW('CASE MASTER'!#REF!)-1))))+1))-1)*50+1,50))&amp;"_"&amp;INDEX('CASE MASTER'!$Q$2:$Q$495,(SUMPRODUCT((('CASE MASTER'!$T$2:$T$495=5)*('CASE MASTER'!$U$2:$U$495&lt;=1)*('CASE MASTER'!$W$2:$W$495&gt;=1)*('CASE MASTER'!$V$2:$V$495&lt;=3)*('CASE MASTER'!$X$2:$X$495&gt;=3))*ROW('CASE MASTER'!$T$2:$T$495))-(ROW('CASE MASTER'!#REF!)-1))),IF(SUMPRODUCT((('CASE MASTER'!$T$2:$T$495=5)*('CASE MASTER'!$AA$2:$AA$495&lt;=1)*('CASE MASTER'!$AC$2:$AC$495&gt;=1)*('CASE MASTER'!$AB$2:$AB$495&lt;=3)*('CASE MASTER'!$AD$2:$AD$495&gt;=3))*ROW('CASE MASTER'!$T$2:$T$495))&gt;0,INDEX('CASE MASTER'!$Y$2:$Y$495,(SUMPRODUCT((('CASE MASTER'!$T$2:$T$495=5)*('CASE MASTER'!$AA$2:$AA$495&lt;=1)*('CASE MASTER'!$AC$2:$AC$495&gt;=1)*('CASE MASTER'!$AB$2:$AB$495&lt;=3)*('CASE MASTER'!$AD$2:$AD$495&gt;=3))*ROW('CASE MASTER'!$T$2:$T$495))-(ROW('CASE MASTER'!#REF!)-1)))&amp;TRIM(MID(SUBSTITUTE(SUBSTITUTE(INDEX('CASE MASTER'!$N$2:$N$495,(SUMPRODUCT((('CASE MASTER'!$T$2:$T$495=5)*('CASE MASTER'!$AA$2:$AA$495&lt;=1)*('CASE MASTER'!$AC$2:$AC$495&gt;=1)*('CASE MASTER'!$AB$2:$AB$495&lt;=3)*('CASE MASTER'!$AD$2:$AD$495&gt;=3))*ROW('CASE MASTER'!$T$2:$T$495))-(ROW('CASE MASTER'!#REF!)-1))),":",","),",",REPT(" ",50)),(((INDEX('CASE MASTER'!$Z$2:$Z$495,(SUMPRODUCT((('CASE MASTER'!$T$2:$T$495=5)*('CASE MASTER'!$AA$2:$AA$495&lt;=1)*('CASE MASTER'!$AC$2:$AC$495&gt;=1)*('CASE MASTER'!$AB$2:$AB$495&lt;=3)*('CASE MASTER'!$AD$2:$AD$495&gt;=3))*ROW('CASE MASTER'!$T$2:$T$495))-(ROW('CASE MASTER'!#REF!)-1)))+((1-INDEX('CASE MASTER'!$AA$2:$AA$495,(SUMPRODUCT((('CASE MASTER'!$T$2:$T$495=5)*('CASE MASTER'!$AA$2:$AA$495&lt;=1)*('CASE MASTER'!$AC$2:$AC$495&gt;=1)*('CASE MASTER'!$AB$2:$AB$495&lt;=3)*('CASE MASTER'!$AD$2:$AD$495&gt;=3))*ROW('CASE MASTER'!$T$2:$T$495))-(ROW('CASE MASTER'!#REF!)-1))))*(INDEX('CASE MASTER'!$AD$2:$AD$495,(SUMPRODUCT((('CASE MASTER'!$T$2:$T$495=5)*('CASE MASTER'!$AA$2:$AA$495&lt;=1)*('CASE MASTER'!$AC$2:$AC$495&gt;=1)*('CASE MASTER'!$AB$2:$AB$495&lt;=3)*('CASE MASTER'!$AD$2:$AD$495&gt;=3))*ROW('CASE MASTER'!$T$2:$T$495))-(ROW('CASE MASTER'!#REF!)-1)))-INDEX('CASE MASTER'!$AB$2:$AB$495,(SUMPRODUCT((('CASE MASTER'!$T$2:$T$495=5)*('CASE MASTER'!$AA$2:$AA$495&lt;=1)*('CASE MASTER'!$AC$2:$AC$495&gt;=1)*('CASE MASTER'!$AB$2:$AB$495&lt;=3)*('CASE MASTER'!$AD$2:$AD$495&gt;=3))*ROW('CASE MASTER'!$T$2:$T$495))-(ROW('CASE MASTER'!#REF!)-1)))+1)+(3-INDEX('CASE MASTER'!$AB$2:$AB$495,(SUMPRODUCT((('CASE MASTER'!$T$2:$T$495=5)*('CASE MASTER'!$AA$2:$AA$495&lt;=1)*('CASE MASTER'!$AC$2:$AC$495&gt;=1)*('CASE MASTER'!$AB$2:$AB$495&lt;=3)*('CASE MASTER'!$AD$2:$AD$495&gt;=3))*ROW('CASE MASTER'!$T$2:$T$495))-(ROW('CASE MASTER'!#REF!)-1))))+1)))-1)*50+1,50))&amp;"_"&amp;INDEX('CASE MASTER'!$Q$2:$Q$495,(SUMPRODUCT((('CASE MASTER'!$T$2:$T$495=5)*('CASE MASTER'!$AA$2:$AA$495&lt;=1)*('CASE MASTER'!$AC$2:$AC$495&gt;=1)*('CASE MASTER'!$AB$2:$AB$495&lt;=3)*('CASE MASTER'!$AD$2:$AD$495&gt;=3))*ROW('CASE MASTER'!$T$2:$T$495))-(ROW('CASE MASTER'!#REF!)-1))),"")),"")</f>
        <v/>
      </c>
      <c r="E59" s="10" t="str">
        <f>IFERROR(IF(SUMPRODUCT((('CASE MASTER'!$T$2:$T$495=5)*('CASE MASTER'!$U$2:$U$495&lt;=1)*('CASE MASTER'!$W$2:$W$495&gt;=1)*('CASE MASTER'!$V$2:$V$495&lt;=4)*('CASE MASTER'!$X$2:$X$495&gt;=4))*ROW('CASE MASTER'!$T$2:$T$495))&gt;0,INDEX('CASE MASTER'!$Y$2:$Y$495,(SUMPRODUCT((('CASE MASTER'!$T$2:$T$495=5)*('CASE MASTER'!$U$2:$U$495&lt;=1)*('CASE MASTER'!$W$2:$W$495&gt;=1)*('CASE MASTER'!$V$2:$V$495&lt;=4)*('CASE MASTER'!$X$2:$X$495&gt;=4))*ROW('CASE MASTER'!$T$2:$T$495))-(ROW('CASE MASTER'!#REF!)-1)))&amp;TRIM(MID(SUBSTITUTE(SUBSTITUTE(INDEX('CASE MASTER'!$N$2:$N$495,(SUMPRODUCT((('CASE MASTER'!$T$2:$T$495=5)*('CASE MASTER'!$U$2:$U$495&lt;=1)*('CASE MASTER'!$W$2:$W$495&gt;=1)*('CASE MASTER'!$V$2:$V$495&lt;=4)*('CASE MASTER'!$X$2:$X$495&gt;=4))*ROW('CASE MASTER'!$T$2:$T$495))-(ROW('CASE MASTER'!#REF!)-1))),":",","),",",REPT(" ",50)),((((1-INDEX('CASE MASTER'!$U$2:$U$495,(SUMPRODUCT((('CASE MASTER'!$T$2:$T$495=5)*('CASE MASTER'!$U$2:$U$495&lt;=1)*('CASE MASTER'!$W$2:$W$495&gt;=1)*('CASE MASTER'!$V$2:$V$495&lt;=4)*('CASE MASTER'!$X$2:$X$495&gt;=4))*ROW('CASE MASTER'!$T$2:$T$495))-(ROW('CASE MASTER'!#REF!)-1))))*(INDEX('CASE MASTER'!$X$2:$X$495,(SUMPRODUCT((('CASE MASTER'!$T$2:$T$495=5)*('CASE MASTER'!$U$2:$U$495&lt;=1)*('CASE MASTER'!$W$2:$W$495&gt;=1)*('CASE MASTER'!$V$2:$V$495&lt;=4)*('CASE MASTER'!$X$2:$X$495&gt;=4))*ROW('CASE MASTER'!$T$2:$T$495))-(ROW('CASE MASTER'!#REF!)-1)))-INDEX('CASE MASTER'!$V$2:$V$495,(SUMPRODUCT((('CASE MASTER'!$T$2:$T$495=5)*('CASE MASTER'!$U$2:$U$495&lt;=1)*('CASE MASTER'!$W$2:$W$495&gt;=1)*('CASE MASTER'!$V$2:$V$495&lt;=4)*('CASE MASTER'!$X$2:$X$495&gt;=4))*ROW('CASE MASTER'!$T$2:$T$495))-(ROW('CASE MASTER'!#REF!)-1)))+1)+(4-INDEX('CASE MASTER'!$V$2:$V$495,(SUMPRODUCT((('CASE MASTER'!$T$2:$T$495=5)*('CASE MASTER'!$U$2:$U$495&lt;=1)*('CASE MASTER'!$W$2:$W$495&gt;=1)*('CASE MASTER'!$V$2:$V$495&lt;=4)*('CASE MASTER'!$X$2:$X$495&gt;=4))*ROW('CASE MASTER'!$T$2:$T$495))-(ROW('CASE MASTER'!#REF!)-1))))+1))-1)*50+1,50))&amp;"_"&amp;INDEX('CASE MASTER'!$Q$2:$Q$495,(SUMPRODUCT((('CASE MASTER'!$T$2:$T$495=5)*('CASE MASTER'!$U$2:$U$495&lt;=1)*('CASE MASTER'!$W$2:$W$495&gt;=1)*('CASE MASTER'!$V$2:$V$495&lt;=4)*('CASE MASTER'!$X$2:$X$495&gt;=4))*ROW('CASE MASTER'!$T$2:$T$495))-(ROW('CASE MASTER'!#REF!)-1))),IF(SUMPRODUCT((('CASE MASTER'!$T$2:$T$495=5)*('CASE MASTER'!$AA$2:$AA$495&lt;=1)*('CASE MASTER'!$AC$2:$AC$495&gt;=1)*('CASE MASTER'!$AB$2:$AB$495&lt;=4)*('CASE MASTER'!$AD$2:$AD$495&gt;=4))*ROW('CASE MASTER'!$T$2:$T$495))&gt;0,INDEX('CASE MASTER'!$Y$2:$Y$495,(SUMPRODUCT((('CASE MASTER'!$T$2:$T$495=5)*('CASE MASTER'!$AA$2:$AA$495&lt;=1)*('CASE MASTER'!$AC$2:$AC$495&gt;=1)*('CASE MASTER'!$AB$2:$AB$495&lt;=4)*('CASE MASTER'!$AD$2:$AD$495&gt;=4))*ROW('CASE MASTER'!$T$2:$T$495))-(ROW('CASE MASTER'!#REF!)-1)))&amp;TRIM(MID(SUBSTITUTE(SUBSTITUTE(INDEX('CASE MASTER'!$N$2:$N$495,(SUMPRODUCT((('CASE MASTER'!$T$2:$T$495=5)*('CASE MASTER'!$AA$2:$AA$495&lt;=1)*('CASE MASTER'!$AC$2:$AC$495&gt;=1)*('CASE MASTER'!$AB$2:$AB$495&lt;=4)*('CASE MASTER'!$AD$2:$AD$495&gt;=4))*ROW('CASE MASTER'!$T$2:$T$495))-(ROW('CASE MASTER'!#REF!)-1))),":",","),",",REPT(" ",50)),(((INDEX('CASE MASTER'!$Z$2:$Z$495,(SUMPRODUCT((('CASE MASTER'!$T$2:$T$495=5)*('CASE MASTER'!$AA$2:$AA$495&lt;=1)*('CASE MASTER'!$AC$2:$AC$495&gt;=1)*('CASE MASTER'!$AB$2:$AB$495&lt;=4)*('CASE MASTER'!$AD$2:$AD$495&gt;=4))*ROW('CASE MASTER'!$T$2:$T$495))-(ROW('CASE MASTER'!#REF!)-1)))+((1-INDEX('CASE MASTER'!$AA$2:$AA$495,(SUMPRODUCT((('CASE MASTER'!$T$2:$T$495=5)*('CASE MASTER'!$AA$2:$AA$495&lt;=1)*('CASE MASTER'!$AC$2:$AC$495&gt;=1)*('CASE MASTER'!$AB$2:$AB$495&lt;=4)*('CASE MASTER'!$AD$2:$AD$495&gt;=4))*ROW('CASE MASTER'!$T$2:$T$495))-(ROW('CASE MASTER'!#REF!)-1))))*(INDEX('CASE MASTER'!$AD$2:$AD$495,(SUMPRODUCT((('CASE MASTER'!$T$2:$T$495=5)*('CASE MASTER'!$AA$2:$AA$495&lt;=1)*('CASE MASTER'!$AC$2:$AC$495&gt;=1)*('CASE MASTER'!$AB$2:$AB$495&lt;=4)*('CASE MASTER'!$AD$2:$AD$495&gt;=4))*ROW('CASE MASTER'!$T$2:$T$495))-(ROW('CASE MASTER'!#REF!)-1)))-INDEX('CASE MASTER'!$AB$2:$AB$495,(SUMPRODUCT((('CASE MASTER'!$T$2:$T$495=5)*('CASE MASTER'!$AA$2:$AA$495&lt;=1)*('CASE MASTER'!$AC$2:$AC$495&gt;=1)*('CASE MASTER'!$AB$2:$AB$495&lt;=4)*('CASE MASTER'!$AD$2:$AD$495&gt;=4))*ROW('CASE MASTER'!$T$2:$T$495))-(ROW('CASE MASTER'!#REF!)-1)))+1)+(4-INDEX('CASE MASTER'!$AB$2:$AB$495,(SUMPRODUCT((('CASE MASTER'!$T$2:$T$495=5)*('CASE MASTER'!$AA$2:$AA$495&lt;=1)*('CASE MASTER'!$AC$2:$AC$495&gt;=1)*('CASE MASTER'!$AB$2:$AB$495&lt;=4)*('CASE MASTER'!$AD$2:$AD$495&gt;=4))*ROW('CASE MASTER'!$T$2:$T$495))-(ROW('CASE MASTER'!#REF!)-1))))+1)))-1)*50+1,50))&amp;"_"&amp;INDEX('CASE MASTER'!$Q$2:$Q$495,(SUMPRODUCT((('CASE MASTER'!$T$2:$T$495=5)*('CASE MASTER'!$AA$2:$AA$495&lt;=1)*('CASE MASTER'!$AC$2:$AC$495&gt;=1)*('CASE MASTER'!$AB$2:$AB$495&lt;=4)*('CASE MASTER'!$AD$2:$AD$495&gt;=4))*ROW('CASE MASTER'!$T$2:$T$495))-(ROW('CASE MASTER'!#REF!)-1))),"")),"")</f>
        <v/>
      </c>
      <c r="F59" s="10" t="str">
        <f>IFERROR(IF(SUMPRODUCT((('CASE MASTER'!$T$2:$T$495=5)*('CASE MASTER'!$U$2:$U$495&lt;=1)*('CASE MASTER'!$W$2:$W$495&gt;=1)*('CASE MASTER'!$V$2:$V$495&lt;=5)*('CASE MASTER'!$X$2:$X$495&gt;=5))*ROW('CASE MASTER'!$T$2:$T$495))&gt;0,INDEX('CASE MASTER'!$Y$2:$Y$495,(SUMPRODUCT((('CASE MASTER'!$T$2:$T$495=5)*('CASE MASTER'!$U$2:$U$495&lt;=1)*('CASE MASTER'!$W$2:$W$495&gt;=1)*('CASE MASTER'!$V$2:$V$495&lt;=5)*('CASE MASTER'!$X$2:$X$495&gt;=5))*ROW('CASE MASTER'!$T$2:$T$495))-(ROW('CASE MASTER'!#REF!)-1)))&amp;TRIM(MID(SUBSTITUTE(SUBSTITUTE(INDEX('CASE MASTER'!$N$2:$N$495,(SUMPRODUCT((('CASE MASTER'!$T$2:$T$495=5)*('CASE MASTER'!$U$2:$U$495&lt;=1)*('CASE MASTER'!$W$2:$W$495&gt;=1)*('CASE MASTER'!$V$2:$V$495&lt;=5)*('CASE MASTER'!$X$2:$X$495&gt;=5))*ROW('CASE MASTER'!$T$2:$T$495))-(ROW('CASE MASTER'!#REF!)-1))),":",","),",",REPT(" ",50)),((((1-INDEX('CASE MASTER'!$U$2:$U$495,(SUMPRODUCT((('CASE MASTER'!$T$2:$T$495=5)*('CASE MASTER'!$U$2:$U$495&lt;=1)*('CASE MASTER'!$W$2:$W$495&gt;=1)*('CASE MASTER'!$V$2:$V$495&lt;=5)*('CASE MASTER'!$X$2:$X$495&gt;=5))*ROW('CASE MASTER'!$T$2:$T$495))-(ROW('CASE MASTER'!#REF!)-1))))*(INDEX('CASE MASTER'!$X$2:$X$495,(SUMPRODUCT((('CASE MASTER'!$T$2:$T$495=5)*('CASE MASTER'!$U$2:$U$495&lt;=1)*('CASE MASTER'!$W$2:$W$495&gt;=1)*('CASE MASTER'!$V$2:$V$495&lt;=5)*('CASE MASTER'!$X$2:$X$495&gt;=5))*ROW('CASE MASTER'!$T$2:$T$495))-(ROW('CASE MASTER'!#REF!)-1)))-INDEX('CASE MASTER'!$V$2:$V$495,(SUMPRODUCT((('CASE MASTER'!$T$2:$T$495=5)*('CASE MASTER'!$U$2:$U$495&lt;=1)*('CASE MASTER'!$W$2:$W$495&gt;=1)*('CASE MASTER'!$V$2:$V$495&lt;=5)*('CASE MASTER'!$X$2:$X$495&gt;=5))*ROW('CASE MASTER'!$T$2:$T$495))-(ROW('CASE MASTER'!#REF!)-1)))+1)+(5-INDEX('CASE MASTER'!$V$2:$V$495,(SUMPRODUCT((('CASE MASTER'!$T$2:$T$495=5)*('CASE MASTER'!$U$2:$U$495&lt;=1)*('CASE MASTER'!$W$2:$W$495&gt;=1)*('CASE MASTER'!$V$2:$V$495&lt;=5)*('CASE MASTER'!$X$2:$X$495&gt;=5))*ROW('CASE MASTER'!$T$2:$T$495))-(ROW('CASE MASTER'!#REF!)-1))))+1))-1)*50+1,50))&amp;"_"&amp;INDEX('CASE MASTER'!$Q$2:$Q$495,(SUMPRODUCT((('CASE MASTER'!$T$2:$T$495=5)*('CASE MASTER'!$U$2:$U$495&lt;=1)*('CASE MASTER'!$W$2:$W$495&gt;=1)*('CASE MASTER'!$V$2:$V$495&lt;=5)*('CASE MASTER'!$X$2:$X$495&gt;=5))*ROW('CASE MASTER'!$T$2:$T$495))-(ROW('CASE MASTER'!#REF!)-1))),IF(SUMPRODUCT((('CASE MASTER'!$T$2:$T$495=5)*('CASE MASTER'!$AA$2:$AA$495&lt;=1)*('CASE MASTER'!$AC$2:$AC$495&gt;=1)*('CASE MASTER'!$AB$2:$AB$495&lt;=5)*('CASE MASTER'!$AD$2:$AD$495&gt;=5))*ROW('CASE MASTER'!$T$2:$T$495))&gt;0,INDEX('CASE MASTER'!$Y$2:$Y$495,(SUMPRODUCT((('CASE MASTER'!$T$2:$T$495=5)*('CASE MASTER'!$AA$2:$AA$495&lt;=1)*('CASE MASTER'!$AC$2:$AC$495&gt;=1)*('CASE MASTER'!$AB$2:$AB$495&lt;=5)*('CASE MASTER'!$AD$2:$AD$495&gt;=5))*ROW('CASE MASTER'!$T$2:$T$495))-(ROW('CASE MASTER'!#REF!)-1)))&amp;TRIM(MID(SUBSTITUTE(SUBSTITUTE(INDEX('CASE MASTER'!$N$2:$N$495,(SUMPRODUCT((('CASE MASTER'!$T$2:$T$495=5)*('CASE MASTER'!$AA$2:$AA$495&lt;=1)*('CASE MASTER'!$AC$2:$AC$495&gt;=1)*('CASE MASTER'!$AB$2:$AB$495&lt;=5)*('CASE MASTER'!$AD$2:$AD$495&gt;=5))*ROW('CASE MASTER'!$T$2:$T$495))-(ROW('CASE MASTER'!#REF!)-1))),":",","),",",REPT(" ",50)),(((INDEX('CASE MASTER'!$Z$2:$Z$495,(SUMPRODUCT((('CASE MASTER'!$T$2:$T$495=5)*('CASE MASTER'!$AA$2:$AA$495&lt;=1)*('CASE MASTER'!$AC$2:$AC$495&gt;=1)*('CASE MASTER'!$AB$2:$AB$495&lt;=5)*('CASE MASTER'!$AD$2:$AD$495&gt;=5))*ROW('CASE MASTER'!$T$2:$T$495))-(ROW('CASE MASTER'!#REF!)-1)))+((1-INDEX('CASE MASTER'!$AA$2:$AA$495,(SUMPRODUCT((('CASE MASTER'!$T$2:$T$495=5)*('CASE MASTER'!$AA$2:$AA$495&lt;=1)*('CASE MASTER'!$AC$2:$AC$495&gt;=1)*('CASE MASTER'!$AB$2:$AB$495&lt;=5)*('CASE MASTER'!$AD$2:$AD$495&gt;=5))*ROW('CASE MASTER'!$T$2:$T$495))-(ROW('CASE MASTER'!#REF!)-1))))*(INDEX('CASE MASTER'!$AD$2:$AD$495,(SUMPRODUCT((('CASE MASTER'!$T$2:$T$495=5)*('CASE MASTER'!$AA$2:$AA$495&lt;=1)*('CASE MASTER'!$AC$2:$AC$495&gt;=1)*('CASE MASTER'!$AB$2:$AB$495&lt;=5)*('CASE MASTER'!$AD$2:$AD$495&gt;=5))*ROW('CASE MASTER'!$T$2:$T$495))-(ROW('CASE MASTER'!#REF!)-1)))-INDEX('CASE MASTER'!$AB$2:$AB$495,(SUMPRODUCT((('CASE MASTER'!$T$2:$T$495=5)*('CASE MASTER'!$AA$2:$AA$495&lt;=1)*('CASE MASTER'!$AC$2:$AC$495&gt;=1)*('CASE MASTER'!$AB$2:$AB$495&lt;=5)*('CASE MASTER'!$AD$2:$AD$495&gt;=5))*ROW('CASE MASTER'!$T$2:$T$495))-(ROW('CASE MASTER'!#REF!)-1)))+1)+(5-INDEX('CASE MASTER'!$AB$2:$AB$495,(SUMPRODUCT((('CASE MASTER'!$T$2:$T$495=5)*('CASE MASTER'!$AA$2:$AA$495&lt;=1)*('CASE MASTER'!$AC$2:$AC$495&gt;=1)*('CASE MASTER'!$AB$2:$AB$495&lt;=5)*('CASE MASTER'!$AD$2:$AD$495&gt;=5))*ROW('CASE MASTER'!$T$2:$T$495))-(ROW('CASE MASTER'!#REF!)-1))))+1)))-1)*50+1,50))&amp;"_"&amp;INDEX('CASE MASTER'!$Q$2:$Q$495,(SUMPRODUCT((('CASE MASTER'!$T$2:$T$495=5)*('CASE MASTER'!$AA$2:$AA$495&lt;=1)*('CASE MASTER'!$AC$2:$AC$495&gt;=1)*('CASE MASTER'!$AB$2:$AB$495&lt;=5)*('CASE MASTER'!$AD$2:$AD$495&gt;=5))*ROW('CASE MASTER'!$T$2:$T$495))-(ROW('CASE MASTER'!#REF!)-1))),"")),"")</f>
        <v/>
      </c>
      <c r="G59" s="10" t="str">
        <f>IFERROR(IF(SUMPRODUCT((('CASE MASTER'!$T$2:$T$495=5)*('CASE MASTER'!$U$2:$U$495&lt;=1)*('CASE MASTER'!$W$2:$W$495&gt;=1)*('CASE MASTER'!$V$2:$V$495&lt;=6)*('CASE MASTER'!$X$2:$X$495&gt;=6))*ROW('CASE MASTER'!$T$2:$T$495))&gt;0,INDEX('CASE MASTER'!$Y$2:$Y$495,(SUMPRODUCT((('CASE MASTER'!$T$2:$T$495=5)*('CASE MASTER'!$U$2:$U$495&lt;=1)*('CASE MASTER'!$W$2:$W$495&gt;=1)*('CASE MASTER'!$V$2:$V$495&lt;=6)*('CASE MASTER'!$X$2:$X$495&gt;=6))*ROW('CASE MASTER'!$T$2:$T$495))-(ROW('CASE MASTER'!#REF!)-1)))&amp;TRIM(MID(SUBSTITUTE(SUBSTITUTE(INDEX('CASE MASTER'!$N$2:$N$495,(SUMPRODUCT((('CASE MASTER'!$T$2:$T$495=5)*('CASE MASTER'!$U$2:$U$495&lt;=1)*('CASE MASTER'!$W$2:$W$495&gt;=1)*('CASE MASTER'!$V$2:$V$495&lt;=6)*('CASE MASTER'!$X$2:$X$495&gt;=6))*ROW('CASE MASTER'!$T$2:$T$495))-(ROW('CASE MASTER'!#REF!)-1))),":",","),",",REPT(" ",50)),((((1-INDEX('CASE MASTER'!$U$2:$U$495,(SUMPRODUCT((('CASE MASTER'!$T$2:$T$495=5)*('CASE MASTER'!$U$2:$U$495&lt;=1)*('CASE MASTER'!$W$2:$W$495&gt;=1)*('CASE MASTER'!$V$2:$V$495&lt;=6)*('CASE MASTER'!$X$2:$X$495&gt;=6))*ROW('CASE MASTER'!$T$2:$T$495))-(ROW('CASE MASTER'!#REF!)-1))))*(INDEX('CASE MASTER'!$X$2:$X$495,(SUMPRODUCT((('CASE MASTER'!$T$2:$T$495=5)*('CASE MASTER'!$U$2:$U$495&lt;=1)*('CASE MASTER'!$W$2:$W$495&gt;=1)*('CASE MASTER'!$V$2:$V$495&lt;=6)*('CASE MASTER'!$X$2:$X$495&gt;=6))*ROW('CASE MASTER'!$T$2:$T$495))-(ROW('CASE MASTER'!#REF!)-1)))-INDEX('CASE MASTER'!$V$2:$V$495,(SUMPRODUCT((('CASE MASTER'!$T$2:$T$495=5)*('CASE MASTER'!$U$2:$U$495&lt;=1)*('CASE MASTER'!$W$2:$W$495&gt;=1)*('CASE MASTER'!$V$2:$V$495&lt;=6)*('CASE MASTER'!$X$2:$X$495&gt;=6))*ROW('CASE MASTER'!$T$2:$T$495))-(ROW('CASE MASTER'!#REF!)-1)))+1)+(6-INDEX('CASE MASTER'!$V$2:$V$495,(SUMPRODUCT((('CASE MASTER'!$T$2:$T$495=5)*('CASE MASTER'!$U$2:$U$495&lt;=1)*('CASE MASTER'!$W$2:$W$495&gt;=1)*('CASE MASTER'!$V$2:$V$495&lt;=6)*('CASE MASTER'!$X$2:$X$495&gt;=6))*ROW('CASE MASTER'!$T$2:$T$495))-(ROW('CASE MASTER'!#REF!)-1))))+1))-1)*50+1,50))&amp;"_"&amp;INDEX('CASE MASTER'!$Q$2:$Q$495,(SUMPRODUCT((('CASE MASTER'!$T$2:$T$495=5)*('CASE MASTER'!$U$2:$U$495&lt;=1)*('CASE MASTER'!$W$2:$W$495&gt;=1)*('CASE MASTER'!$V$2:$V$495&lt;=6)*('CASE MASTER'!$X$2:$X$495&gt;=6))*ROW('CASE MASTER'!$T$2:$T$495))-(ROW('CASE MASTER'!#REF!)-1))),IF(SUMPRODUCT((('CASE MASTER'!$T$2:$T$495=5)*('CASE MASTER'!$AA$2:$AA$495&lt;=1)*('CASE MASTER'!$AC$2:$AC$495&gt;=1)*('CASE MASTER'!$AB$2:$AB$495&lt;=6)*('CASE MASTER'!$AD$2:$AD$495&gt;=6))*ROW('CASE MASTER'!$T$2:$T$495))&gt;0,INDEX('CASE MASTER'!$Y$2:$Y$495,(SUMPRODUCT((('CASE MASTER'!$T$2:$T$495=5)*('CASE MASTER'!$AA$2:$AA$495&lt;=1)*('CASE MASTER'!$AC$2:$AC$495&gt;=1)*('CASE MASTER'!$AB$2:$AB$495&lt;=6)*('CASE MASTER'!$AD$2:$AD$495&gt;=6))*ROW('CASE MASTER'!$T$2:$T$495))-(ROW('CASE MASTER'!#REF!)-1)))&amp;TRIM(MID(SUBSTITUTE(SUBSTITUTE(INDEX('CASE MASTER'!$N$2:$N$495,(SUMPRODUCT((('CASE MASTER'!$T$2:$T$495=5)*('CASE MASTER'!$AA$2:$AA$495&lt;=1)*('CASE MASTER'!$AC$2:$AC$495&gt;=1)*('CASE MASTER'!$AB$2:$AB$495&lt;=6)*('CASE MASTER'!$AD$2:$AD$495&gt;=6))*ROW('CASE MASTER'!$T$2:$T$495))-(ROW('CASE MASTER'!#REF!)-1))),":",","),",",REPT(" ",50)),(((INDEX('CASE MASTER'!$Z$2:$Z$495,(SUMPRODUCT((('CASE MASTER'!$T$2:$T$495=5)*('CASE MASTER'!$AA$2:$AA$495&lt;=1)*('CASE MASTER'!$AC$2:$AC$495&gt;=1)*('CASE MASTER'!$AB$2:$AB$495&lt;=6)*('CASE MASTER'!$AD$2:$AD$495&gt;=6))*ROW('CASE MASTER'!$T$2:$T$495))-(ROW('CASE MASTER'!#REF!)-1)))+((1-INDEX('CASE MASTER'!$AA$2:$AA$495,(SUMPRODUCT((('CASE MASTER'!$T$2:$T$495=5)*('CASE MASTER'!$AA$2:$AA$495&lt;=1)*('CASE MASTER'!$AC$2:$AC$495&gt;=1)*('CASE MASTER'!$AB$2:$AB$495&lt;=6)*('CASE MASTER'!$AD$2:$AD$495&gt;=6))*ROW('CASE MASTER'!$T$2:$T$495))-(ROW('CASE MASTER'!#REF!)-1))))*(INDEX('CASE MASTER'!$AD$2:$AD$495,(SUMPRODUCT((('CASE MASTER'!$T$2:$T$495=5)*('CASE MASTER'!$AA$2:$AA$495&lt;=1)*('CASE MASTER'!$AC$2:$AC$495&gt;=1)*('CASE MASTER'!$AB$2:$AB$495&lt;=6)*('CASE MASTER'!$AD$2:$AD$495&gt;=6))*ROW('CASE MASTER'!$T$2:$T$495))-(ROW('CASE MASTER'!#REF!)-1)))-INDEX('CASE MASTER'!$AB$2:$AB$495,(SUMPRODUCT((('CASE MASTER'!$T$2:$T$495=5)*('CASE MASTER'!$AA$2:$AA$495&lt;=1)*('CASE MASTER'!$AC$2:$AC$495&gt;=1)*('CASE MASTER'!$AB$2:$AB$495&lt;=6)*('CASE MASTER'!$AD$2:$AD$495&gt;=6))*ROW('CASE MASTER'!$T$2:$T$495))-(ROW('CASE MASTER'!#REF!)-1)))+1)+(6-INDEX('CASE MASTER'!$AB$2:$AB$495,(SUMPRODUCT((('CASE MASTER'!$T$2:$T$495=5)*('CASE MASTER'!$AA$2:$AA$495&lt;=1)*('CASE MASTER'!$AC$2:$AC$495&gt;=1)*('CASE MASTER'!$AB$2:$AB$495&lt;=6)*('CASE MASTER'!$AD$2:$AD$495&gt;=6))*ROW('CASE MASTER'!$T$2:$T$495))-(ROW('CASE MASTER'!#REF!)-1))))+1)))-1)*50+1,50))&amp;"_"&amp;INDEX('CASE MASTER'!$Q$2:$Q$495,(SUMPRODUCT((('CASE MASTER'!$T$2:$T$495=5)*('CASE MASTER'!$AA$2:$AA$495&lt;=1)*('CASE MASTER'!$AC$2:$AC$495&gt;=1)*('CASE MASTER'!$AB$2:$AB$495&lt;=6)*('CASE MASTER'!$AD$2:$AD$495&gt;=6))*ROW('CASE MASTER'!$T$2:$T$495))-(ROW('CASE MASTER'!#REF!)-1))),"")),"")</f>
        <v/>
      </c>
      <c r="H59" s="10" t="str">
        <f>IFERROR(IF(SUMPRODUCT((('CASE MASTER'!$T$2:$T$495=5)*('CASE MASTER'!$U$2:$U$495&lt;=1)*('CASE MASTER'!$W$2:$W$495&gt;=1)*('CASE MASTER'!$V$2:$V$495&lt;=7)*('CASE MASTER'!$X$2:$X$495&gt;=7))*ROW('CASE MASTER'!$T$2:$T$495))&gt;0,INDEX('CASE MASTER'!$Y$2:$Y$495,(SUMPRODUCT((('CASE MASTER'!$T$2:$T$495=5)*('CASE MASTER'!$U$2:$U$495&lt;=1)*('CASE MASTER'!$W$2:$W$495&gt;=1)*('CASE MASTER'!$V$2:$V$495&lt;=7)*('CASE MASTER'!$X$2:$X$495&gt;=7))*ROW('CASE MASTER'!$T$2:$T$495))-(ROW('CASE MASTER'!#REF!)-1)))&amp;TRIM(MID(SUBSTITUTE(SUBSTITUTE(INDEX('CASE MASTER'!$N$2:$N$495,(SUMPRODUCT((('CASE MASTER'!$T$2:$T$495=5)*('CASE MASTER'!$U$2:$U$495&lt;=1)*('CASE MASTER'!$W$2:$W$495&gt;=1)*('CASE MASTER'!$V$2:$V$495&lt;=7)*('CASE MASTER'!$X$2:$X$495&gt;=7))*ROW('CASE MASTER'!$T$2:$T$495))-(ROW('CASE MASTER'!#REF!)-1))),":",","),",",REPT(" ",50)),((((1-INDEX('CASE MASTER'!$U$2:$U$495,(SUMPRODUCT((('CASE MASTER'!$T$2:$T$495=5)*('CASE MASTER'!$U$2:$U$495&lt;=1)*('CASE MASTER'!$W$2:$W$495&gt;=1)*('CASE MASTER'!$V$2:$V$495&lt;=7)*('CASE MASTER'!$X$2:$X$495&gt;=7))*ROW('CASE MASTER'!$T$2:$T$495))-(ROW('CASE MASTER'!#REF!)-1))))*(INDEX('CASE MASTER'!$X$2:$X$495,(SUMPRODUCT((('CASE MASTER'!$T$2:$T$495=5)*('CASE MASTER'!$U$2:$U$495&lt;=1)*('CASE MASTER'!$W$2:$W$495&gt;=1)*('CASE MASTER'!$V$2:$V$495&lt;=7)*('CASE MASTER'!$X$2:$X$495&gt;=7))*ROW('CASE MASTER'!$T$2:$T$495))-(ROW('CASE MASTER'!#REF!)-1)))-INDEX('CASE MASTER'!$V$2:$V$495,(SUMPRODUCT((('CASE MASTER'!$T$2:$T$495=5)*('CASE MASTER'!$U$2:$U$495&lt;=1)*('CASE MASTER'!$W$2:$W$495&gt;=1)*('CASE MASTER'!$V$2:$V$495&lt;=7)*('CASE MASTER'!$X$2:$X$495&gt;=7))*ROW('CASE MASTER'!$T$2:$T$495))-(ROW('CASE MASTER'!#REF!)-1)))+1)+(7-INDEX('CASE MASTER'!$V$2:$V$495,(SUMPRODUCT((('CASE MASTER'!$T$2:$T$495=5)*('CASE MASTER'!$U$2:$U$495&lt;=1)*('CASE MASTER'!$W$2:$W$495&gt;=1)*('CASE MASTER'!$V$2:$V$495&lt;=7)*('CASE MASTER'!$X$2:$X$495&gt;=7))*ROW('CASE MASTER'!$T$2:$T$495))-(ROW('CASE MASTER'!#REF!)-1))))+1))-1)*50+1,50))&amp;"_"&amp;INDEX('CASE MASTER'!$Q$2:$Q$495,(SUMPRODUCT((('CASE MASTER'!$T$2:$T$495=5)*('CASE MASTER'!$U$2:$U$495&lt;=1)*('CASE MASTER'!$W$2:$W$495&gt;=1)*('CASE MASTER'!$V$2:$V$495&lt;=7)*('CASE MASTER'!$X$2:$X$495&gt;=7))*ROW('CASE MASTER'!$T$2:$T$495))-(ROW('CASE MASTER'!#REF!)-1))),IF(SUMPRODUCT((('CASE MASTER'!$T$2:$T$495=5)*('CASE MASTER'!$AA$2:$AA$495&lt;=1)*('CASE MASTER'!$AC$2:$AC$495&gt;=1)*('CASE MASTER'!$AB$2:$AB$495&lt;=7)*('CASE MASTER'!$AD$2:$AD$495&gt;=7))*ROW('CASE MASTER'!$T$2:$T$495))&gt;0,INDEX('CASE MASTER'!$Y$2:$Y$495,(SUMPRODUCT((('CASE MASTER'!$T$2:$T$495=5)*('CASE MASTER'!$AA$2:$AA$495&lt;=1)*('CASE MASTER'!$AC$2:$AC$495&gt;=1)*('CASE MASTER'!$AB$2:$AB$495&lt;=7)*('CASE MASTER'!$AD$2:$AD$495&gt;=7))*ROW('CASE MASTER'!$T$2:$T$495))-(ROW('CASE MASTER'!#REF!)-1)))&amp;TRIM(MID(SUBSTITUTE(SUBSTITUTE(INDEX('CASE MASTER'!$N$2:$N$495,(SUMPRODUCT((('CASE MASTER'!$T$2:$T$495=5)*('CASE MASTER'!$AA$2:$AA$495&lt;=1)*('CASE MASTER'!$AC$2:$AC$495&gt;=1)*('CASE MASTER'!$AB$2:$AB$495&lt;=7)*('CASE MASTER'!$AD$2:$AD$495&gt;=7))*ROW('CASE MASTER'!$T$2:$T$495))-(ROW('CASE MASTER'!#REF!)-1))),":",","),",",REPT(" ",50)),(((INDEX('CASE MASTER'!$Z$2:$Z$495,(SUMPRODUCT((('CASE MASTER'!$T$2:$T$495=5)*('CASE MASTER'!$AA$2:$AA$495&lt;=1)*('CASE MASTER'!$AC$2:$AC$495&gt;=1)*('CASE MASTER'!$AB$2:$AB$495&lt;=7)*('CASE MASTER'!$AD$2:$AD$495&gt;=7))*ROW('CASE MASTER'!$T$2:$T$495))-(ROW('CASE MASTER'!#REF!)-1)))+((1-INDEX('CASE MASTER'!$AA$2:$AA$495,(SUMPRODUCT((('CASE MASTER'!$T$2:$T$495=5)*('CASE MASTER'!$AA$2:$AA$495&lt;=1)*('CASE MASTER'!$AC$2:$AC$495&gt;=1)*('CASE MASTER'!$AB$2:$AB$495&lt;=7)*('CASE MASTER'!$AD$2:$AD$495&gt;=7))*ROW('CASE MASTER'!$T$2:$T$495))-(ROW('CASE MASTER'!#REF!)-1))))*(INDEX('CASE MASTER'!$AD$2:$AD$495,(SUMPRODUCT((('CASE MASTER'!$T$2:$T$495=5)*('CASE MASTER'!$AA$2:$AA$495&lt;=1)*('CASE MASTER'!$AC$2:$AC$495&gt;=1)*('CASE MASTER'!$AB$2:$AB$495&lt;=7)*('CASE MASTER'!$AD$2:$AD$495&gt;=7))*ROW('CASE MASTER'!$T$2:$T$495))-(ROW('CASE MASTER'!#REF!)-1)))-INDEX('CASE MASTER'!$AB$2:$AB$495,(SUMPRODUCT((('CASE MASTER'!$T$2:$T$495=5)*('CASE MASTER'!$AA$2:$AA$495&lt;=1)*('CASE MASTER'!$AC$2:$AC$495&gt;=1)*('CASE MASTER'!$AB$2:$AB$495&lt;=7)*('CASE MASTER'!$AD$2:$AD$495&gt;=7))*ROW('CASE MASTER'!$T$2:$T$495))-(ROW('CASE MASTER'!#REF!)-1)))+1)+(7-INDEX('CASE MASTER'!$AB$2:$AB$495,(SUMPRODUCT((('CASE MASTER'!$T$2:$T$495=5)*('CASE MASTER'!$AA$2:$AA$495&lt;=1)*('CASE MASTER'!$AC$2:$AC$495&gt;=1)*('CASE MASTER'!$AB$2:$AB$495&lt;=7)*('CASE MASTER'!$AD$2:$AD$495&gt;=7))*ROW('CASE MASTER'!$T$2:$T$495))-(ROW('CASE MASTER'!#REF!)-1))))+1)))-1)*50+1,50))&amp;"_"&amp;INDEX('CASE MASTER'!$Q$2:$Q$495,(SUMPRODUCT((('CASE MASTER'!$T$2:$T$495=5)*('CASE MASTER'!$AA$2:$AA$495&lt;=1)*('CASE MASTER'!$AC$2:$AC$495&gt;=1)*('CASE MASTER'!$AB$2:$AB$495&lt;=7)*('CASE MASTER'!$AD$2:$AD$495&gt;=7))*ROW('CASE MASTER'!$T$2:$T$495))-(ROW('CASE MASTER'!#REF!)-1))),"")),"")</f>
        <v/>
      </c>
      <c r="I59" s="10" t="str">
        <f>IFERROR(IF(SUMPRODUCT((('CASE MASTER'!$T$2:$T$495=5)*('CASE MASTER'!$U$2:$U$495&lt;=1)*('CASE MASTER'!$W$2:$W$495&gt;=1)*('CASE MASTER'!$V$2:$V$495&lt;=8)*('CASE MASTER'!$X$2:$X$495&gt;=8))*ROW('CASE MASTER'!$T$2:$T$495))&gt;0,INDEX('CASE MASTER'!$Y$2:$Y$495,(SUMPRODUCT((('CASE MASTER'!$T$2:$T$495=5)*('CASE MASTER'!$U$2:$U$495&lt;=1)*('CASE MASTER'!$W$2:$W$495&gt;=1)*('CASE MASTER'!$V$2:$V$495&lt;=8)*('CASE MASTER'!$X$2:$X$495&gt;=8))*ROW('CASE MASTER'!$T$2:$T$495))-(ROW('CASE MASTER'!#REF!)-1)))&amp;TRIM(MID(SUBSTITUTE(SUBSTITUTE(INDEX('CASE MASTER'!$N$2:$N$495,(SUMPRODUCT((('CASE MASTER'!$T$2:$T$495=5)*('CASE MASTER'!$U$2:$U$495&lt;=1)*('CASE MASTER'!$W$2:$W$495&gt;=1)*('CASE MASTER'!$V$2:$V$495&lt;=8)*('CASE MASTER'!$X$2:$X$495&gt;=8))*ROW('CASE MASTER'!$T$2:$T$495))-(ROW('CASE MASTER'!#REF!)-1))),":",","),",",REPT(" ",50)),((((1-INDEX('CASE MASTER'!$U$2:$U$495,(SUMPRODUCT((('CASE MASTER'!$T$2:$T$495=5)*('CASE MASTER'!$U$2:$U$495&lt;=1)*('CASE MASTER'!$W$2:$W$495&gt;=1)*('CASE MASTER'!$V$2:$V$495&lt;=8)*('CASE MASTER'!$X$2:$X$495&gt;=8))*ROW('CASE MASTER'!$T$2:$T$495))-(ROW('CASE MASTER'!#REF!)-1))))*(INDEX('CASE MASTER'!$X$2:$X$495,(SUMPRODUCT((('CASE MASTER'!$T$2:$T$495=5)*('CASE MASTER'!$U$2:$U$495&lt;=1)*('CASE MASTER'!$W$2:$W$495&gt;=1)*('CASE MASTER'!$V$2:$V$495&lt;=8)*('CASE MASTER'!$X$2:$X$495&gt;=8))*ROW('CASE MASTER'!$T$2:$T$495))-(ROW('CASE MASTER'!#REF!)-1)))-INDEX('CASE MASTER'!$V$2:$V$495,(SUMPRODUCT((('CASE MASTER'!$T$2:$T$495=5)*('CASE MASTER'!$U$2:$U$495&lt;=1)*('CASE MASTER'!$W$2:$W$495&gt;=1)*('CASE MASTER'!$V$2:$V$495&lt;=8)*('CASE MASTER'!$X$2:$X$495&gt;=8))*ROW('CASE MASTER'!$T$2:$T$495))-(ROW('CASE MASTER'!#REF!)-1)))+1)+(8-INDEX('CASE MASTER'!$V$2:$V$495,(SUMPRODUCT((('CASE MASTER'!$T$2:$T$495=5)*('CASE MASTER'!$U$2:$U$495&lt;=1)*('CASE MASTER'!$W$2:$W$495&gt;=1)*('CASE MASTER'!$V$2:$V$495&lt;=8)*('CASE MASTER'!$X$2:$X$495&gt;=8))*ROW('CASE MASTER'!$T$2:$T$495))-(ROW('CASE MASTER'!#REF!)-1))))+1))-1)*50+1,50))&amp;"_"&amp;INDEX('CASE MASTER'!$Q$2:$Q$495,(SUMPRODUCT((('CASE MASTER'!$T$2:$T$495=5)*('CASE MASTER'!$U$2:$U$495&lt;=1)*('CASE MASTER'!$W$2:$W$495&gt;=1)*('CASE MASTER'!$V$2:$V$495&lt;=8)*('CASE MASTER'!$X$2:$X$495&gt;=8))*ROW('CASE MASTER'!$T$2:$T$495))-(ROW('CASE MASTER'!#REF!)-1))),IF(SUMPRODUCT((('CASE MASTER'!$T$2:$T$495=5)*('CASE MASTER'!$AA$2:$AA$495&lt;=1)*('CASE MASTER'!$AC$2:$AC$495&gt;=1)*('CASE MASTER'!$AB$2:$AB$495&lt;=8)*('CASE MASTER'!$AD$2:$AD$495&gt;=8))*ROW('CASE MASTER'!$T$2:$T$495))&gt;0,INDEX('CASE MASTER'!$Y$2:$Y$495,(SUMPRODUCT((('CASE MASTER'!$T$2:$T$495=5)*('CASE MASTER'!$AA$2:$AA$495&lt;=1)*('CASE MASTER'!$AC$2:$AC$495&gt;=1)*('CASE MASTER'!$AB$2:$AB$495&lt;=8)*('CASE MASTER'!$AD$2:$AD$495&gt;=8))*ROW('CASE MASTER'!$T$2:$T$495))-(ROW('CASE MASTER'!#REF!)-1)))&amp;TRIM(MID(SUBSTITUTE(SUBSTITUTE(INDEX('CASE MASTER'!$N$2:$N$495,(SUMPRODUCT((('CASE MASTER'!$T$2:$T$495=5)*('CASE MASTER'!$AA$2:$AA$495&lt;=1)*('CASE MASTER'!$AC$2:$AC$495&gt;=1)*('CASE MASTER'!$AB$2:$AB$495&lt;=8)*('CASE MASTER'!$AD$2:$AD$495&gt;=8))*ROW('CASE MASTER'!$T$2:$T$495))-(ROW('CASE MASTER'!#REF!)-1))),":",","),",",REPT(" ",50)),(((INDEX('CASE MASTER'!$Z$2:$Z$495,(SUMPRODUCT((('CASE MASTER'!$T$2:$T$495=5)*('CASE MASTER'!$AA$2:$AA$495&lt;=1)*('CASE MASTER'!$AC$2:$AC$495&gt;=1)*('CASE MASTER'!$AB$2:$AB$495&lt;=8)*('CASE MASTER'!$AD$2:$AD$495&gt;=8))*ROW('CASE MASTER'!$T$2:$T$495))-(ROW('CASE MASTER'!#REF!)-1)))+((1-INDEX('CASE MASTER'!$AA$2:$AA$495,(SUMPRODUCT((('CASE MASTER'!$T$2:$T$495=5)*('CASE MASTER'!$AA$2:$AA$495&lt;=1)*('CASE MASTER'!$AC$2:$AC$495&gt;=1)*('CASE MASTER'!$AB$2:$AB$495&lt;=8)*('CASE MASTER'!$AD$2:$AD$495&gt;=8))*ROW('CASE MASTER'!$T$2:$T$495))-(ROW('CASE MASTER'!#REF!)-1))))*(INDEX('CASE MASTER'!$AD$2:$AD$495,(SUMPRODUCT((('CASE MASTER'!$T$2:$T$495=5)*('CASE MASTER'!$AA$2:$AA$495&lt;=1)*('CASE MASTER'!$AC$2:$AC$495&gt;=1)*('CASE MASTER'!$AB$2:$AB$495&lt;=8)*('CASE MASTER'!$AD$2:$AD$495&gt;=8))*ROW('CASE MASTER'!$T$2:$T$495))-(ROW('CASE MASTER'!#REF!)-1)))-INDEX('CASE MASTER'!$AB$2:$AB$495,(SUMPRODUCT((('CASE MASTER'!$T$2:$T$495=5)*('CASE MASTER'!$AA$2:$AA$495&lt;=1)*('CASE MASTER'!$AC$2:$AC$495&gt;=1)*('CASE MASTER'!$AB$2:$AB$495&lt;=8)*('CASE MASTER'!$AD$2:$AD$495&gt;=8))*ROW('CASE MASTER'!$T$2:$T$495))-(ROW('CASE MASTER'!#REF!)-1)))+1)+(8-INDEX('CASE MASTER'!$AB$2:$AB$495,(SUMPRODUCT((('CASE MASTER'!$T$2:$T$495=5)*('CASE MASTER'!$AA$2:$AA$495&lt;=1)*('CASE MASTER'!$AC$2:$AC$495&gt;=1)*('CASE MASTER'!$AB$2:$AB$495&lt;=8)*('CASE MASTER'!$AD$2:$AD$495&gt;=8))*ROW('CASE MASTER'!$T$2:$T$495))-(ROW('CASE MASTER'!#REF!)-1))))+1)))-1)*50+1,50))&amp;"_"&amp;INDEX('CASE MASTER'!$Q$2:$Q$495,(SUMPRODUCT((('CASE MASTER'!$T$2:$T$495=5)*('CASE MASTER'!$AA$2:$AA$495&lt;=1)*('CASE MASTER'!$AC$2:$AC$495&gt;=1)*('CASE MASTER'!$AB$2:$AB$495&lt;=8)*('CASE MASTER'!$AD$2:$AD$495&gt;=8))*ROW('CASE MASTER'!$T$2:$T$495))-(ROW('CASE MASTER'!#REF!)-1))),"")),"")</f>
        <v/>
      </c>
      <c r="J59" s="10" t="str">
        <f>IFERROR(IF(SUMPRODUCT((('CASE MASTER'!$T$2:$T$495=5)*('CASE MASTER'!$U$2:$U$495&lt;=1)*('CASE MASTER'!$W$2:$W$495&gt;=1)*('CASE MASTER'!$V$2:$V$495&lt;=9)*('CASE MASTER'!$X$2:$X$495&gt;=9))*ROW('CASE MASTER'!$T$2:$T$495))&gt;0,INDEX('CASE MASTER'!$Y$2:$Y$495,(SUMPRODUCT((('CASE MASTER'!$T$2:$T$495=5)*('CASE MASTER'!$U$2:$U$495&lt;=1)*('CASE MASTER'!$W$2:$W$495&gt;=1)*('CASE MASTER'!$V$2:$V$495&lt;=9)*('CASE MASTER'!$X$2:$X$495&gt;=9))*ROW('CASE MASTER'!$T$2:$T$495))-(ROW('CASE MASTER'!#REF!)-1)))&amp;TRIM(MID(SUBSTITUTE(SUBSTITUTE(INDEX('CASE MASTER'!$N$2:$N$495,(SUMPRODUCT((('CASE MASTER'!$T$2:$T$495=5)*('CASE MASTER'!$U$2:$U$495&lt;=1)*('CASE MASTER'!$W$2:$W$495&gt;=1)*('CASE MASTER'!$V$2:$V$495&lt;=9)*('CASE MASTER'!$X$2:$X$495&gt;=9))*ROW('CASE MASTER'!$T$2:$T$495))-(ROW('CASE MASTER'!#REF!)-1))),":",","),",",REPT(" ",50)),((((1-INDEX('CASE MASTER'!$U$2:$U$495,(SUMPRODUCT((('CASE MASTER'!$T$2:$T$495=5)*('CASE MASTER'!$U$2:$U$495&lt;=1)*('CASE MASTER'!$W$2:$W$495&gt;=1)*('CASE MASTER'!$V$2:$V$495&lt;=9)*('CASE MASTER'!$X$2:$X$495&gt;=9))*ROW('CASE MASTER'!$T$2:$T$495))-(ROW('CASE MASTER'!#REF!)-1))))*(INDEX('CASE MASTER'!$X$2:$X$495,(SUMPRODUCT((('CASE MASTER'!$T$2:$T$495=5)*('CASE MASTER'!$U$2:$U$495&lt;=1)*('CASE MASTER'!$W$2:$W$495&gt;=1)*('CASE MASTER'!$V$2:$V$495&lt;=9)*('CASE MASTER'!$X$2:$X$495&gt;=9))*ROW('CASE MASTER'!$T$2:$T$495))-(ROW('CASE MASTER'!#REF!)-1)))-INDEX('CASE MASTER'!$V$2:$V$495,(SUMPRODUCT((('CASE MASTER'!$T$2:$T$495=5)*('CASE MASTER'!$U$2:$U$495&lt;=1)*('CASE MASTER'!$W$2:$W$495&gt;=1)*('CASE MASTER'!$V$2:$V$495&lt;=9)*('CASE MASTER'!$X$2:$X$495&gt;=9))*ROW('CASE MASTER'!$T$2:$T$495))-(ROW('CASE MASTER'!#REF!)-1)))+1)+(9-INDEX('CASE MASTER'!$V$2:$V$495,(SUMPRODUCT((('CASE MASTER'!$T$2:$T$495=5)*('CASE MASTER'!$U$2:$U$495&lt;=1)*('CASE MASTER'!$W$2:$W$495&gt;=1)*('CASE MASTER'!$V$2:$V$495&lt;=9)*('CASE MASTER'!$X$2:$X$495&gt;=9))*ROW('CASE MASTER'!$T$2:$T$495))-(ROW('CASE MASTER'!#REF!)-1))))+1))-1)*50+1,50))&amp;"_"&amp;INDEX('CASE MASTER'!$Q$2:$Q$495,(SUMPRODUCT((('CASE MASTER'!$T$2:$T$495=5)*('CASE MASTER'!$U$2:$U$495&lt;=1)*('CASE MASTER'!$W$2:$W$495&gt;=1)*('CASE MASTER'!$V$2:$V$495&lt;=9)*('CASE MASTER'!$X$2:$X$495&gt;=9))*ROW('CASE MASTER'!$T$2:$T$495))-(ROW('CASE MASTER'!#REF!)-1))),IF(SUMPRODUCT((('CASE MASTER'!$T$2:$T$495=5)*('CASE MASTER'!$AA$2:$AA$495&lt;=1)*('CASE MASTER'!$AC$2:$AC$495&gt;=1)*('CASE MASTER'!$AB$2:$AB$495&lt;=9)*('CASE MASTER'!$AD$2:$AD$495&gt;=9))*ROW('CASE MASTER'!$T$2:$T$495))&gt;0,INDEX('CASE MASTER'!$Y$2:$Y$495,(SUMPRODUCT((('CASE MASTER'!$T$2:$T$495=5)*('CASE MASTER'!$AA$2:$AA$495&lt;=1)*('CASE MASTER'!$AC$2:$AC$495&gt;=1)*('CASE MASTER'!$AB$2:$AB$495&lt;=9)*('CASE MASTER'!$AD$2:$AD$495&gt;=9))*ROW('CASE MASTER'!$T$2:$T$495))-(ROW('CASE MASTER'!#REF!)-1)))&amp;TRIM(MID(SUBSTITUTE(SUBSTITUTE(INDEX('CASE MASTER'!$N$2:$N$495,(SUMPRODUCT((('CASE MASTER'!$T$2:$T$495=5)*('CASE MASTER'!$AA$2:$AA$495&lt;=1)*('CASE MASTER'!$AC$2:$AC$495&gt;=1)*('CASE MASTER'!$AB$2:$AB$495&lt;=9)*('CASE MASTER'!$AD$2:$AD$495&gt;=9))*ROW('CASE MASTER'!$T$2:$T$495))-(ROW('CASE MASTER'!#REF!)-1))),":",","),",",REPT(" ",50)),(((INDEX('CASE MASTER'!$Z$2:$Z$495,(SUMPRODUCT((('CASE MASTER'!$T$2:$T$495=5)*('CASE MASTER'!$AA$2:$AA$495&lt;=1)*('CASE MASTER'!$AC$2:$AC$495&gt;=1)*('CASE MASTER'!$AB$2:$AB$495&lt;=9)*('CASE MASTER'!$AD$2:$AD$495&gt;=9))*ROW('CASE MASTER'!$T$2:$T$495))-(ROW('CASE MASTER'!#REF!)-1)))+((1-INDEX('CASE MASTER'!$AA$2:$AA$495,(SUMPRODUCT((('CASE MASTER'!$T$2:$T$495=5)*('CASE MASTER'!$AA$2:$AA$495&lt;=1)*('CASE MASTER'!$AC$2:$AC$495&gt;=1)*('CASE MASTER'!$AB$2:$AB$495&lt;=9)*('CASE MASTER'!$AD$2:$AD$495&gt;=9))*ROW('CASE MASTER'!$T$2:$T$495))-(ROW('CASE MASTER'!#REF!)-1))))*(INDEX('CASE MASTER'!$AD$2:$AD$495,(SUMPRODUCT((('CASE MASTER'!$T$2:$T$495=5)*('CASE MASTER'!$AA$2:$AA$495&lt;=1)*('CASE MASTER'!$AC$2:$AC$495&gt;=1)*('CASE MASTER'!$AB$2:$AB$495&lt;=9)*('CASE MASTER'!$AD$2:$AD$495&gt;=9))*ROW('CASE MASTER'!$T$2:$T$495))-(ROW('CASE MASTER'!#REF!)-1)))-INDEX('CASE MASTER'!$AB$2:$AB$495,(SUMPRODUCT((('CASE MASTER'!$T$2:$T$495=5)*('CASE MASTER'!$AA$2:$AA$495&lt;=1)*('CASE MASTER'!$AC$2:$AC$495&gt;=1)*('CASE MASTER'!$AB$2:$AB$495&lt;=9)*('CASE MASTER'!$AD$2:$AD$495&gt;=9))*ROW('CASE MASTER'!$T$2:$T$495))-(ROW('CASE MASTER'!#REF!)-1)))+1)+(9-INDEX('CASE MASTER'!$AB$2:$AB$495,(SUMPRODUCT((('CASE MASTER'!$T$2:$T$495=5)*('CASE MASTER'!$AA$2:$AA$495&lt;=1)*('CASE MASTER'!$AC$2:$AC$495&gt;=1)*('CASE MASTER'!$AB$2:$AB$495&lt;=9)*('CASE MASTER'!$AD$2:$AD$495&gt;=9))*ROW('CASE MASTER'!$T$2:$T$495))-(ROW('CASE MASTER'!#REF!)-1))))+1)))-1)*50+1,50))&amp;"_"&amp;INDEX('CASE MASTER'!$Q$2:$Q$495,(SUMPRODUCT((('CASE MASTER'!$T$2:$T$495=5)*('CASE MASTER'!$AA$2:$AA$495&lt;=1)*('CASE MASTER'!$AC$2:$AC$495&gt;=1)*('CASE MASTER'!$AB$2:$AB$495&lt;=9)*('CASE MASTER'!$AD$2:$AD$495&gt;=9))*ROW('CASE MASTER'!$T$2:$T$495))-(ROW('CASE MASTER'!#REF!)-1))),"")),"")</f>
        <v/>
      </c>
      <c r="K59" s="10" t="str">
        <f>IFERROR(IF(SUMPRODUCT((('CASE MASTER'!$T$2:$T$495=5)*('CASE MASTER'!$U$2:$U$495&lt;=1)*('CASE MASTER'!$W$2:$W$495&gt;=1)*('CASE MASTER'!$V$2:$V$495&lt;=10)*('CASE MASTER'!$X$2:$X$495&gt;=10))*ROW('CASE MASTER'!$T$2:$T$495))&gt;0,INDEX('CASE MASTER'!$Y$2:$Y$495,(SUMPRODUCT((('CASE MASTER'!$T$2:$T$495=5)*('CASE MASTER'!$U$2:$U$495&lt;=1)*('CASE MASTER'!$W$2:$W$495&gt;=1)*('CASE MASTER'!$V$2:$V$495&lt;=10)*('CASE MASTER'!$X$2:$X$495&gt;=10))*ROW('CASE MASTER'!$T$2:$T$495))-(ROW('CASE MASTER'!#REF!)-1)))&amp;TRIM(MID(SUBSTITUTE(SUBSTITUTE(INDEX('CASE MASTER'!$N$2:$N$495,(SUMPRODUCT((('CASE MASTER'!$T$2:$T$495=5)*('CASE MASTER'!$U$2:$U$495&lt;=1)*('CASE MASTER'!$W$2:$W$495&gt;=1)*('CASE MASTER'!$V$2:$V$495&lt;=10)*('CASE MASTER'!$X$2:$X$495&gt;=10))*ROW('CASE MASTER'!$T$2:$T$495))-(ROW('CASE MASTER'!#REF!)-1))),":",","),",",REPT(" ",50)),((((1-INDEX('CASE MASTER'!$U$2:$U$495,(SUMPRODUCT((('CASE MASTER'!$T$2:$T$495=5)*('CASE MASTER'!$U$2:$U$495&lt;=1)*('CASE MASTER'!$W$2:$W$495&gt;=1)*('CASE MASTER'!$V$2:$V$495&lt;=10)*('CASE MASTER'!$X$2:$X$495&gt;=10))*ROW('CASE MASTER'!$T$2:$T$495))-(ROW('CASE MASTER'!#REF!)-1))))*(INDEX('CASE MASTER'!$X$2:$X$495,(SUMPRODUCT((('CASE MASTER'!$T$2:$T$495=5)*('CASE MASTER'!$U$2:$U$495&lt;=1)*('CASE MASTER'!$W$2:$W$495&gt;=1)*('CASE MASTER'!$V$2:$V$495&lt;=10)*('CASE MASTER'!$X$2:$X$495&gt;=10))*ROW('CASE MASTER'!$T$2:$T$495))-(ROW('CASE MASTER'!#REF!)-1)))-INDEX('CASE MASTER'!$V$2:$V$495,(SUMPRODUCT((('CASE MASTER'!$T$2:$T$495=5)*('CASE MASTER'!$U$2:$U$495&lt;=1)*('CASE MASTER'!$W$2:$W$495&gt;=1)*('CASE MASTER'!$V$2:$V$495&lt;=10)*('CASE MASTER'!$X$2:$X$495&gt;=10))*ROW('CASE MASTER'!$T$2:$T$495))-(ROW('CASE MASTER'!#REF!)-1)))+1)+(10-INDEX('CASE MASTER'!$V$2:$V$495,(SUMPRODUCT((('CASE MASTER'!$T$2:$T$495=5)*('CASE MASTER'!$U$2:$U$495&lt;=1)*('CASE MASTER'!$W$2:$W$495&gt;=1)*('CASE MASTER'!$V$2:$V$495&lt;=10)*('CASE MASTER'!$X$2:$X$495&gt;=10))*ROW('CASE MASTER'!$T$2:$T$495))-(ROW('CASE MASTER'!#REF!)-1))))+1))-1)*50+1,50))&amp;"_"&amp;INDEX('CASE MASTER'!$Q$2:$Q$495,(SUMPRODUCT((('CASE MASTER'!$T$2:$T$495=5)*('CASE MASTER'!$U$2:$U$495&lt;=1)*('CASE MASTER'!$W$2:$W$495&gt;=1)*('CASE MASTER'!$V$2:$V$495&lt;=10)*('CASE MASTER'!$X$2:$X$495&gt;=10))*ROW('CASE MASTER'!$T$2:$T$495))-(ROW('CASE MASTER'!#REF!)-1))),IF(SUMPRODUCT((('CASE MASTER'!$T$2:$T$495=5)*('CASE MASTER'!$AA$2:$AA$495&lt;=1)*('CASE MASTER'!$AC$2:$AC$495&gt;=1)*('CASE MASTER'!$AB$2:$AB$495&lt;=10)*('CASE MASTER'!$AD$2:$AD$495&gt;=10))*ROW('CASE MASTER'!$T$2:$T$495))&gt;0,INDEX('CASE MASTER'!$Y$2:$Y$495,(SUMPRODUCT((('CASE MASTER'!$T$2:$T$495=5)*('CASE MASTER'!$AA$2:$AA$495&lt;=1)*('CASE MASTER'!$AC$2:$AC$495&gt;=1)*('CASE MASTER'!$AB$2:$AB$495&lt;=10)*('CASE MASTER'!$AD$2:$AD$495&gt;=10))*ROW('CASE MASTER'!$T$2:$T$495))-(ROW('CASE MASTER'!#REF!)-1)))&amp;TRIM(MID(SUBSTITUTE(SUBSTITUTE(INDEX('CASE MASTER'!$N$2:$N$495,(SUMPRODUCT((('CASE MASTER'!$T$2:$T$495=5)*('CASE MASTER'!$AA$2:$AA$495&lt;=1)*('CASE MASTER'!$AC$2:$AC$495&gt;=1)*('CASE MASTER'!$AB$2:$AB$495&lt;=10)*('CASE MASTER'!$AD$2:$AD$495&gt;=10))*ROW('CASE MASTER'!$T$2:$T$495))-(ROW('CASE MASTER'!#REF!)-1))),":",","),",",REPT(" ",50)),(((INDEX('CASE MASTER'!$Z$2:$Z$495,(SUMPRODUCT((('CASE MASTER'!$T$2:$T$495=5)*('CASE MASTER'!$AA$2:$AA$495&lt;=1)*('CASE MASTER'!$AC$2:$AC$495&gt;=1)*('CASE MASTER'!$AB$2:$AB$495&lt;=10)*('CASE MASTER'!$AD$2:$AD$495&gt;=10))*ROW('CASE MASTER'!$T$2:$T$495))-(ROW('CASE MASTER'!#REF!)-1)))+((1-INDEX('CASE MASTER'!$AA$2:$AA$495,(SUMPRODUCT((('CASE MASTER'!$T$2:$T$495=5)*('CASE MASTER'!$AA$2:$AA$495&lt;=1)*('CASE MASTER'!$AC$2:$AC$495&gt;=1)*('CASE MASTER'!$AB$2:$AB$495&lt;=10)*('CASE MASTER'!$AD$2:$AD$495&gt;=10))*ROW('CASE MASTER'!$T$2:$T$495))-(ROW('CASE MASTER'!#REF!)-1))))*(INDEX('CASE MASTER'!$AD$2:$AD$495,(SUMPRODUCT((('CASE MASTER'!$T$2:$T$495=5)*('CASE MASTER'!$AA$2:$AA$495&lt;=1)*('CASE MASTER'!$AC$2:$AC$495&gt;=1)*('CASE MASTER'!$AB$2:$AB$495&lt;=10)*('CASE MASTER'!$AD$2:$AD$495&gt;=10))*ROW('CASE MASTER'!$T$2:$T$495))-(ROW('CASE MASTER'!#REF!)-1)))-INDEX('CASE MASTER'!$AB$2:$AB$495,(SUMPRODUCT((('CASE MASTER'!$T$2:$T$495=5)*('CASE MASTER'!$AA$2:$AA$495&lt;=1)*('CASE MASTER'!$AC$2:$AC$495&gt;=1)*('CASE MASTER'!$AB$2:$AB$495&lt;=10)*('CASE MASTER'!$AD$2:$AD$495&gt;=10))*ROW('CASE MASTER'!$T$2:$T$495))-(ROW('CASE MASTER'!#REF!)-1)))+1)+(10-INDEX('CASE MASTER'!$AB$2:$AB$495,(SUMPRODUCT((('CASE MASTER'!$T$2:$T$495=5)*('CASE MASTER'!$AA$2:$AA$495&lt;=1)*('CASE MASTER'!$AC$2:$AC$495&gt;=1)*('CASE MASTER'!$AB$2:$AB$495&lt;=10)*('CASE MASTER'!$AD$2:$AD$495&gt;=10))*ROW('CASE MASTER'!$T$2:$T$495))-(ROW('CASE MASTER'!#REF!)-1))))+1)))-1)*50+1,50))&amp;"_"&amp;INDEX('CASE MASTER'!$Q$2:$Q$495,(SUMPRODUCT((('CASE MASTER'!$T$2:$T$495=5)*('CASE MASTER'!$AA$2:$AA$495&lt;=1)*('CASE MASTER'!$AC$2:$AC$495&gt;=1)*('CASE MASTER'!$AB$2:$AB$495&lt;=10)*('CASE MASTER'!$AD$2:$AD$495&gt;=10))*ROW('CASE MASTER'!$T$2:$T$495))-(ROW('CASE MASTER'!#REF!)-1))),"")),"")</f>
        <v/>
      </c>
    </row>
    <row r="60" spans="1:11" ht="15" customHeight="1" x14ac:dyDescent="0.35">
      <c r="A60" s="8" t="s">
        <v>29</v>
      </c>
      <c r="B60" s="10" t="str">
        <f>IFERROR(IF(SUMPRODUCT((('CASE MASTER'!$T$2:$T$495=5)*('CASE MASTER'!$U$2:$U$495&lt;=2)*('CASE MASTER'!$W$2:$W$495&gt;=2)*('CASE MASTER'!$V$2:$V$495&lt;=1)*('CASE MASTER'!$X$2:$X$495&gt;=1))*ROW('CASE MASTER'!$T$2:$T$495))&gt;0,INDEX('CASE MASTER'!$Y$2:$Y$495,(SUMPRODUCT((('CASE MASTER'!$T$2:$T$495=5)*('CASE MASTER'!$U$2:$U$495&lt;=2)*('CASE MASTER'!$W$2:$W$495&gt;=2)*('CASE MASTER'!$V$2:$V$495&lt;=1)*('CASE MASTER'!$X$2:$X$495&gt;=1))*ROW('CASE MASTER'!$T$2:$T$495))-(ROW('CASE MASTER'!#REF!)-1)))&amp;TRIM(MID(SUBSTITUTE(SUBSTITUTE(INDEX('CASE MASTER'!$N$2:$N$495,(SUMPRODUCT((('CASE MASTER'!$T$2:$T$495=5)*('CASE MASTER'!$U$2:$U$495&lt;=2)*('CASE MASTER'!$W$2:$W$495&gt;=2)*('CASE MASTER'!$V$2:$V$495&lt;=1)*('CASE MASTER'!$X$2:$X$495&gt;=1))*ROW('CASE MASTER'!$T$2:$T$495))-(ROW('CASE MASTER'!#REF!)-1))),":",","),",",REPT(" ",50)),((((2-INDEX('CASE MASTER'!$U$2:$U$495,(SUMPRODUCT((('CASE MASTER'!$T$2:$T$495=5)*('CASE MASTER'!$U$2:$U$495&lt;=2)*('CASE MASTER'!$W$2:$W$495&gt;=2)*('CASE MASTER'!$V$2:$V$495&lt;=1)*('CASE MASTER'!$X$2:$X$495&gt;=1))*ROW('CASE MASTER'!$T$2:$T$495))-(ROW('CASE MASTER'!#REF!)-1))))*(INDEX('CASE MASTER'!$X$2:$X$495,(SUMPRODUCT((('CASE MASTER'!$T$2:$T$495=5)*('CASE MASTER'!$U$2:$U$495&lt;=2)*('CASE MASTER'!$W$2:$W$495&gt;=2)*('CASE MASTER'!$V$2:$V$495&lt;=1)*('CASE MASTER'!$X$2:$X$495&gt;=1))*ROW('CASE MASTER'!$T$2:$T$495))-(ROW('CASE MASTER'!#REF!)-1)))-INDEX('CASE MASTER'!$V$2:$V$495,(SUMPRODUCT((('CASE MASTER'!$T$2:$T$495=5)*('CASE MASTER'!$U$2:$U$495&lt;=2)*('CASE MASTER'!$W$2:$W$495&gt;=2)*('CASE MASTER'!$V$2:$V$495&lt;=1)*('CASE MASTER'!$X$2:$X$495&gt;=1))*ROW('CASE MASTER'!$T$2:$T$495))-(ROW('CASE MASTER'!#REF!)-1)))+1)+(1-INDEX('CASE MASTER'!$V$2:$V$495,(SUMPRODUCT((('CASE MASTER'!$T$2:$T$495=5)*('CASE MASTER'!$U$2:$U$495&lt;=2)*('CASE MASTER'!$W$2:$W$495&gt;=2)*('CASE MASTER'!$V$2:$V$495&lt;=1)*('CASE MASTER'!$X$2:$X$495&gt;=1))*ROW('CASE MASTER'!$T$2:$T$495))-(ROW('CASE MASTER'!#REF!)-1))))+1))-1)*50+1,50))&amp;"_"&amp;INDEX('CASE MASTER'!$Q$2:$Q$495,(SUMPRODUCT((('CASE MASTER'!$T$2:$T$495=5)*('CASE MASTER'!$U$2:$U$495&lt;=2)*('CASE MASTER'!$W$2:$W$495&gt;=2)*('CASE MASTER'!$V$2:$V$495&lt;=1)*('CASE MASTER'!$X$2:$X$495&gt;=1))*ROW('CASE MASTER'!$T$2:$T$495))-(ROW('CASE MASTER'!#REF!)-1))),IF(SUMPRODUCT((('CASE MASTER'!$T$2:$T$495=5)*('CASE MASTER'!$AA$2:$AA$495&lt;=2)*('CASE MASTER'!$AC$2:$AC$495&gt;=2)*('CASE MASTER'!$AB$2:$AB$495&lt;=1)*('CASE MASTER'!$AD$2:$AD$495&gt;=1))*ROW('CASE MASTER'!$T$2:$T$495))&gt;0,INDEX('CASE MASTER'!$Y$2:$Y$495,(SUMPRODUCT((('CASE MASTER'!$T$2:$T$495=5)*('CASE MASTER'!$AA$2:$AA$495&lt;=2)*('CASE MASTER'!$AC$2:$AC$495&gt;=2)*('CASE MASTER'!$AB$2:$AB$495&lt;=1)*('CASE MASTER'!$AD$2:$AD$495&gt;=1))*ROW('CASE MASTER'!$T$2:$T$495))-(ROW('CASE MASTER'!#REF!)-1)))&amp;TRIM(MID(SUBSTITUTE(SUBSTITUTE(INDEX('CASE MASTER'!$N$2:$N$495,(SUMPRODUCT((('CASE MASTER'!$T$2:$T$495=5)*('CASE MASTER'!$AA$2:$AA$495&lt;=2)*('CASE MASTER'!$AC$2:$AC$495&gt;=2)*('CASE MASTER'!$AB$2:$AB$495&lt;=1)*('CASE MASTER'!$AD$2:$AD$495&gt;=1))*ROW('CASE MASTER'!$T$2:$T$495))-(ROW('CASE MASTER'!#REF!)-1))),":",","),",",REPT(" ",50)),(((INDEX('CASE MASTER'!$Z$2:$Z$495,(SUMPRODUCT((('CASE MASTER'!$T$2:$T$495=5)*('CASE MASTER'!$AA$2:$AA$495&lt;=2)*('CASE MASTER'!$AC$2:$AC$495&gt;=2)*('CASE MASTER'!$AB$2:$AB$495&lt;=1)*('CASE MASTER'!$AD$2:$AD$495&gt;=1))*ROW('CASE MASTER'!$T$2:$T$495))-(ROW('CASE MASTER'!#REF!)-1)))+((2-INDEX('CASE MASTER'!$AA$2:$AA$495,(SUMPRODUCT((('CASE MASTER'!$T$2:$T$495=5)*('CASE MASTER'!$AA$2:$AA$495&lt;=2)*('CASE MASTER'!$AC$2:$AC$495&gt;=2)*('CASE MASTER'!$AB$2:$AB$495&lt;=1)*('CASE MASTER'!$AD$2:$AD$495&gt;=1))*ROW('CASE MASTER'!$T$2:$T$495))-(ROW('CASE MASTER'!#REF!)-1))))*(INDEX('CASE MASTER'!$AD$2:$AD$495,(SUMPRODUCT((('CASE MASTER'!$T$2:$T$495=5)*('CASE MASTER'!$AA$2:$AA$495&lt;=2)*('CASE MASTER'!$AC$2:$AC$495&gt;=2)*('CASE MASTER'!$AB$2:$AB$495&lt;=1)*('CASE MASTER'!$AD$2:$AD$495&gt;=1))*ROW('CASE MASTER'!$T$2:$T$495))-(ROW('CASE MASTER'!#REF!)-1)))-INDEX('CASE MASTER'!$AB$2:$AB$495,(SUMPRODUCT((('CASE MASTER'!$T$2:$T$495=5)*('CASE MASTER'!$AA$2:$AA$495&lt;=2)*('CASE MASTER'!$AC$2:$AC$495&gt;=2)*('CASE MASTER'!$AB$2:$AB$495&lt;=1)*('CASE MASTER'!$AD$2:$AD$495&gt;=1))*ROW('CASE MASTER'!$T$2:$T$495))-(ROW('CASE MASTER'!#REF!)-1)))+1)+(1-INDEX('CASE MASTER'!$AB$2:$AB$495,(SUMPRODUCT((('CASE MASTER'!$T$2:$T$495=5)*('CASE MASTER'!$AA$2:$AA$495&lt;=2)*('CASE MASTER'!$AC$2:$AC$495&gt;=2)*('CASE MASTER'!$AB$2:$AB$495&lt;=1)*('CASE MASTER'!$AD$2:$AD$495&gt;=1))*ROW('CASE MASTER'!$T$2:$T$495))-(ROW('CASE MASTER'!#REF!)-1))))+1)))-1)*50+1,50))&amp;"_"&amp;INDEX('CASE MASTER'!$Q$2:$Q$495,(SUMPRODUCT((('CASE MASTER'!$T$2:$T$495=5)*('CASE MASTER'!$AA$2:$AA$495&lt;=2)*('CASE MASTER'!$AC$2:$AC$495&gt;=2)*('CASE MASTER'!$AB$2:$AB$495&lt;=1)*('CASE MASTER'!$AD$2:$AD$495&gt;=1))*ROW('CASE MASTER'!$T$2:$T$495))-(ROW('CASE MASTER'!#REF!)-1))),"")),"")</f>
        <v/>
      </c>
      <c r="C60" s="10" t="str">
        <f>IFERROR(IF(SUMPRODUCT((('CASE MASTER'!$T$2:$T$495=5)*('CASE MASTER'!$U$2:$U$495&lt;=2)*('CASE MASTER'!$W$2:$W$495&gt;=2)*('CASE MASTER'!$V$2:$V$495&lt;=2)*('CASE MASTER'!$X$2:$X$495&gt;=2))*ROW('CASE MASTER'!$T$2:$T$495))&gt;0,INDEX('CASE MASTER'!$Y$2:$Y$495,(SUMPRODUCT((('CASE MASTER'!$T$2:$T$495=5)*('CASE MASTER'!$U$2:$U$495&lt;=2)*('CASE MASTER'!$W$2:$W$495&gt;=2)*('CASE MASTER'!$V$2:$V$495&lt;=2)*('CASE MASTER'!$X$2:$X$495&gt;=2))*ROW('CASE MASTER'!$T$2:$T$495))-(ROW('CASE MASTER'!#REF!)-1)))&amp;TRIM(MID(SUBSTITUTE(SUBSTITUTE(INDEX('CASE MASTER'!$N$2:$N$495,(SUMPRODUCT((('CASE MASTER'!$T$2:$T$495=5)*('CASE MASTER'!$U$2:$U$495&lt;=2)*('CASE MASTER'!$W$2:$W$495&gt;=2)*('CASE MASTER'!$V$2:$V$495&lt;=2)*('CASE MASTER'!$X$2:$X$495&gt;=2))*ROW('CASE MASTER'!$T$2:$T$495))-(ROW('CASE MASTER'!#REF!)-1))),":",","),",",REPT(" ",50)),((((2-INDEX('CASE MASTER'!$U$2:$U$495,(SUMPRODUCT((('CASE MASTER'!$T$2:$T$495=5)*('CASE MASTER'!$U$2:$U$495&lt;=2)*('CASE MASTER'!$W$2:$W$495&gt;=2)*('CASE MASTER'!$V$2:$V$495&lt;=2)*('CASE MASTER'!$X$2:$X$495&gt;=2))*ROW('CASE MASTER'!$T$2:$T$495))-(ROW('CASE MASTER'!#REF!)-1))))*(INDEX('CASE MASTER'!$X$2:$X$495,(SUMPRODUCT((('CASE MASTER'!$T$2:$T$495=5)*('CASE MASTER'!$U$2:$U$495&lt;=2)*('CASE MASTER'!$W$2:$W$495&gt;=2)*('CASE MASTER'!$V$2:$V$495&lt;=2)*('CASE MASTER'!$X$2:$X$495&gt;=2))*ROW('CASE MASTER'!$T$2:$T$495))-(ROW('CASE MASTER'!#REF!)-1)))-INDEX('CASE MASTER'!$V$2:$V$495,(SUMPRODUCT((('CASE MASTER'!$T$2:$T$495=5)*('CASE MASTER'!$U$2:$U$495&lt;=2)*('CASE MASTER'!$W$2:$W$495&gt;=2)*('CASE MASTER'!$V$2:$V$495&lt;=2)*('CASE MASTER'!$X$2:$X$495&gt;=2))*ROW('CASE MASTER'!$T$2:$T$495))-(ROW('CASE MASTER'!#REF!)-1)))+1)+(2-INDEX('CASE MASTER'!$V$2:$V$495,(SUMPRODUCT((('CASE MASTER'!$T$2:$T$495=5)*('CASE MASTER'!$U$2:$U$495&lt;=2)*('CASE MASTER'!$W$2:$W$495&gt;=2)*('CASE MASTER'!$V$2:$V$495&lt;=2)*('CASE MASTER'!$X$2:$X$495&gt;=2))*ROW('CASE MASTER'!$T$2:$T$495))-(ROW('CASE MASTER'!#REF!)-1))))+1))-1)*50+1,50))&amp;"_"&amp;INDEX('CASE MASTER'!$Q$2:$Q$495,(SUMPRODUCT((('CASE MASTER'!$T$2:$T$495=5)*('CASE MASTER'!$U$2:$U$495&lt;=2)*('CASE MASTER'!$W$2:$W$495&gt;=2)*('CASE MASTER'!$V$2:$V$495&lt;=2)*('CASE MASTER'!$X$2:$X$495&gt;=2))*ROW('CASE MASTER'!$T$2:$T$495))-(ROW('CASE MASTER'!#REF!)-1))),IF(SUMPRODUCT((('CASE MASTER'!$T$2:$T$495=5)*('CASE MASTER'!$AA$2:$AA$495&lt;=2)*('CASE MASTER'!$AC$2:$AC$495&gt;=2)*('CASE MASTER'!$AB$2:$AB$495&lt;=2)*('CASE MASTER'!$AD$2:$AD$495&gt;=2))*ROW('CASE MASTER'!$T$2:$T$495))&gt;0,INDEX('CASE MASTER'!$Y$2:$Y$495,(SUMPRODUCT((('CASE MASTER'!$T$2:$T$495=5)*('CASE MASTER'!$AA$2:$AA$495&lt;=2)*('CASE MASTER'!$AC$2:$AC$495&gt;=2)*('CASE MASTER'!$AB$2:$AB$495&lt;=2)*('CASE MASTER'!$AD$2:$AD$495&gt;=2))*ROW('CASE MASTER'!$T$2:$T$495))-(ROW('CASE MASTER'!#REF!)-1)))&amp;TRIM(MID(SUBSTITUTE(SUBSTITUTE(INDEX('CASE MASTER'!$N$2:$N$495,(SUMPRODUCT((('CASE MASTER'!$T$2:$T$495=5)*('CASE MASTER'!$AA$2:$AA$495&lt;=2)*('CASE MASTER'!$AC$2:$AC$495&gt;=2)*('CASE MASTER'!$AB$2:$AB$495&lt;=2)*('CASE MASTER'!$AD$2:$AD$495&gt;=2))*ROW('CASE MASTER'!$T$2:$T$495))-(ROW('CASE MASTER'!#REF!)-1))),":",","),",",REPT(" ",50)),(((INDEX('CASE MASTER'!$Z$2:$Z$495,(SUMPRODUCT((('CASE MASTER'!$T$2:$T$495=5)*('CASE MASTER'!$AA$2:$AA$495&lt;=2)*('CASE MASTER'!$AC$2:$AC$495&gt;=2)*('CASE MASTER'!$AB$2:$AB$495&lt;=2)*('CASE MASTER'!$AD$2:$AD$495&gt;=2))*ROW('CASE MASTER'!$T$2:$T$495))-(ROW('CASE MASTER'!#REF!)-1)))+((2-INDEX('CASE MASTER'!$AA$2:$AA$495,(SUMPRODUCT((('CASE MASTER'!$T$2:$T$495=5)*('CASE MASTER'!$AA$2:$AA$495&lt;=2)*('CASE MASTER'!$AC$2:$AC$495&gt;=2)*('CASE MASTER'!$AB$2:$AB$495&lt;=2)*('CASE MASTER'!$AD$2:$AD$495&gt;=2))*ROW('CASE MASTER'!$T$2:$T$495))-(ROW('CASE MASTER'!#REF!)-1))))*(INDEX('CASE MASTER'!$AD$2:$AD$495,(SUMPRODUCT((('CASE MASTER'!$T$2:$T$495=5)*('CASE MASTER'!$AA$2:$AA$495&lt;=2)*('CASE MASTER'!$AC$2:$AC$495&gt;=2)*('CASE MASTER'!$AB$2:$AB$495&lt;=2)*('CASE MASTER'!$AD$2:$AD$495&gt;=2))*ROW('CASE MASTER'!$T$2:$T$495))-(ROW('CASE MASTER'!#REF!)-1)))-INDEX('CASE MASTER'!$AB$2:$AB$495,(SUMPRODUCT((('CASE MASTER'!$T$2:$T$495=5)*('CASE MASTER'!$AA$2:$AA$495&lt;=2)*('CASE MASTER'!$AC$2:$AC$495&gt;=2)*('CASE MASTER'!$AB$2:$AB$495&lt;=2)*('CASE MASTER'!$AD$2:$AD$495&gt;=2))*ROW('CASE MASTER'!$T$2:$T$495))-(ROW('CASE MASTER'!#REF!)-1)))+1)+(2-INDEX('CASE MASTER'!$AB$2:$AB$495,(SUMPRODUCT((('CASE MASTER'!$T$2:$T$495=5)*('CASE MASTER'!$AA$2:$AA$495&lt;=2)*('CASE MASTER'!$AC$2:$AC$495&gt;=2)*('CASE MASTER'!$AB$2:$AB$495&lt;=2)*('CASE MASTER'!$AD$2:$AD$495&gt;=2))*ROW('CASE MASTER'!$T$2:$T$495))-(ROW('CASE MASTER'!#REF!)-1))))+1)))-1)*50+1,50))&amp;"_"&amp;INDEX('CASE MASTER'!$Q$2:$Q$495,(SUMPRODUCT((('CASE MASTER'!$T$2:$T$495=5)*('CASE MASTER'!$AA$2:$AA$495&lt;=2)*('CASE MASTER'!$AC$2:$AC$495&gt;=2)*('CASE MASTER'!$AB$2:$AB$495&lt;=2)*('CASE MASTER'!$AD$2:$AD$495&gt;=2))*ROW('CASE MASTER'!$T$2:$T$495))-(ROW('CASE MASTER'!#REF!)-1))),"")),"")</f>
        <v/>
      </c>
      <c r="D60" s="10" t="str">
        <f>IFERROR(IF(SUMPRODUCT((('CASE MASTER'!$T$2:$T$495=5)*('CASE MASTER'!$U$2:$U$495&lt;=2)*('CASE MASTER'!$W$2:$W$495&gt;=2)*('CASE MASTER'!$V$2:$V$495&lt;=3)*('CASE MASTER'!$X$2:$X$495&gt;=3))*ROW('CASE MASTER'!$T$2:$T$495))&gt;0,INDEX('CASE MASTER'!$Y$2:$Y$495,(SUMPRODUCT((('CASE MASTER'!$T$2:$T$495=5)*('CASE MASTER'!$U$2:$U$495&lt;=2)*('CASE MASTER'!$W$2:$W$495&gt;=2)*('CASE MASTER'!$V$2:$V$495&lt;=3)*('CASE MASTER'!$X$2:$X$495&gt;=3))*ROW('CASE MASTER'!$T$2:$T$495))-(ROW('CASE MASTER'!#REF!)-1)))&amp;TRIM(MID(SUBSTITUTE(SUBSTITUTE(INDEX('CASE MASTER'!$N$2:$N$495,(SUMPRODUCT((('CASE MASTER'!$T$2:$T$495=5)*('CASE MASTER'!$U$2:$U$495&lt;=2)*('CASE MASTER'!$W$2:$W$495&gt;=2)*('CASE MASTER'!$V$2:$V$495&lt;=3)*('CASE MASTER'!$X$2:$X$495&gt;=3))*ROW('CASE MASTER'!$T$2:$T$495))-(ROW('CASE MASTER'!#REF!)-1))),":",","),",",REPT(" ",50)),((((2-INDEX('CASE MASTER'!$U$2:$U$495,(SUMPRODUCT((('CASE MASTER'!$T$2:$T$495=5)*('CASE MASTER'!$U$2:$U$495&lt;=2)*('CASE MASTER'!$W$2:$W$495&gt;=2)*('CASE MASTER'!$V$2:$V$495&lt;=3)*('CASE MASTER'!$X$2:$X$495&gt;=3))*ROW('CASE MASTER'!$T$2:$T$495))-(ROW('CASE MASTER'!#REF!)-1))))*(INDEX('CASE MASTER'!$X$2:$X$495,(SUMPRODUCT((('CASE MASTER'!$T$2:$T$495=5)*('CASE MASTER'!$U$2:$U$495&lt;=2)*('CASE MASTER'!$W$2:$W$495&gt;=2)*('CASE MASTER'!$V$2:$V$495&lt;=3)*('CASE MASTER'!$X$2:$X$495&gt;=3))*ROW('CASE MASTER'!$T$2:$T$495))-(ROW('CASE MASTER'!#REF!)-1)))-INDEX('CASE MASTER'!$V$2:$V$495,(SUMPRODUCT((('CASE MASTER'!$T$2:$T$495=5)*('CASE MASTER'!$U$2:$U$495&lt;=2)*('CASE MASTER'!$W$2:$W$495&gt;=2)*('CASE MASTER'!$V$2:$V$495&lt;=3)*('CASE MASTER'!$X$2:$X$495&gt;=3))*ROW('CASE MASTER'!$T$2:$T$495))-(ROW('CASE MASTER'!#REF!)-1)))+1)+(3-INDEX('CASE MASTER'!$V$2:$V$495,(SUMPRODUCT((('CASE MASTER'!$T$2:$T$495=5)*('CASE MASTER'!$U$2:$U$495&lt;=2)*('CASE MASTER'!$W$2:$W$495&gt;=2)*('CASE MASTER'!$V$2:$V$495&lt;=3)*('CASE MASTER'!$X$2:$X$495&gt;=3))*ROW('CASE MASTER'!$T$2:$T$495))-(ROW('CASE MASTER'!#REF!)-1))))+1))-1)*50+1,50))&amp;"_"&amp;INDEX('CASE MASTER'!$Q$2:$Q$495,(SUMPRODUCT((('CASE MASTER'!$T$2:$T$495=5)*('CASE MASTER'!$U$2:$U$495&lt;=2)*('CASE MASTER'!$W$2:$W$495&gt;=2)*('CASE MASTER'!$V$2:$V$495&lt;=3)*('CASE MASTER'!$X$2:$X$495&gt;=3))*ROW('CASE MASTER'!$T$2:$T$495))-(ROW('CASE MASTER'!#REF!)-1))),IF(SUMPRODUCT((('CASE MASTER'!$T$2:$T$495=5)*('CASE MASTER'!$AA$2:$AA$495&lt;=2)*('CASE MASTER'!$AC$2:$AC$495&gt;=2)*('CASE MASTER'!$AB$2:$AB$495&lt;=3)*('CASE MASTER'!$AD$2:$AD$495&gt;=3))*ROW('CASE MASTER'!$T$2:$T$495))&gt;0,INDEX('CASE MASTER'!$Y$2:$Y$495,(SUMPRODUCT((('CASE MASTER'!$T$2:$T$495=5)*('CASE MASTER'!$AA$2:$AA$495&lt;=2)*('CASE MASTER'!$AC$2:$AC$495&gt;=2)*('CASE MASTER'!$AB$2:$AB$495&lt;=3)*('CASE MASTER'!$AD$2:$AD$495&gt;=3))*ROW('CASE MASTER'!$T$2:$T$495))-(ROW('CASE MASTER'!#REF!)-1)))&amp;TRIM(MID(SUBSTITUTE(SUBSTITUTE(INDEX('CASE MASTER'!$N$2:$N$495,(SUMPRODUCT((('CASE MASTER'!$T$2:$T$495=5)*('CASE MASTER'!$AA$2:$AA$495&lt;=2)*('CASE MASTER'!$AC$2:$AC$495&gt;=2)*('CASE MASTER'!$AB$2:$AB$495&lt;=3)*('CASE MASTER'!$AD$2:$AD$495&gt;=3))*ROW('CASE MASTER'!$T$2:$T$495))-(ROW('CASE MASTER'!#REF!)-1))),":",","),",",REPT(" ",50)),(((INDEX('CASE MASTER'!$Z$2:$Z$495,(SUMPRODUCT((('CASE MASTER'!$T$2:$T$495=5)*('CASE MASTER'!$AA$2:$AA$495&lt;=2)*('CASE MASTER'!$AC$2:$AC$495&gt;=2)*('CASE MASTER'!$AB$2:$AB$495&lt;=3)*('CASE MASTER'!$AD$2:$AD$495&gt;=3))*ROW('CASE MASTER'!$T$2:$T$495))-(ROW('CASE MASTER'!#REF!)-1)))+((2-INDEX('CASE MASTER'!$AA$2:$AA$495,(SUMPRODUCT((('CASE MASTER'!$T$2:$T$495=5)*('CASE MASTER'!$AA$2:$AA$495&lt;=2)*('CASE MASTER'!$AC$2:$AC$495&gt;=2)*('CASE MASTER'!$AB$2:$AB$495&lt;=3)*('CASE MASTER'!$AD$2:$AD$495&gt;=3))*ROW('CASE MASTER'!$T$2:$T$495))-(ROW('CASE MASTER'!#REF!)-1))))*(INDEX('CASE MASTER'!$AD$2:$AD$495,(SUMPRODUCT((('CASE MASTER'!$T$2:$T$495=5)*('CASE MASTER'!$AA$2:$AA$495&lt;=2)*('CASE MASTER'!$AC$2:$AC$495&gt;=2)*('CASE MASTER'!$AB$2:$AB$495&lt;=3)*('CASE MASTER'!$AD$2:$AD$495&gt;=3))*ROW('CASE MASTER'!$T$2:$T$495))-(ROW('CASE MASTER'!#REF!)-1)))-INDEX('CASE MASTER'!$AB$2:$AB$495,(SUMPRODUCT((('CASE MASTER'!$T$2:$T$495=5)*('CASE MASTER'!$AA$2:$AA$495&lt;=2)*('CASE MASTER'!$AC$2:$AC$495&gt;=2)*('CASE MASTER'!$AB$2:$AB$495&lt;=3)*('CASE MASTER'!$AD$2:$AD$495&gt;=3))*ROW('CASE MASTER'!$T$2:$T$495))-(ROW('CASE MASTER'!#REF!)-1)))+1)+(3-INDEX('CASE MASTER'!$AB$2:$AB$495,(SUMPRODUCT((('CASE MASTER'!$T$2:$T$495=5)*('CASE MASTER'!$AA$2:$AA$495&lt;=2)*('CASE MASTER'!$AC$2:$AC$495&gt;=2)*('CASE MASTER'!$AB$2:$AB$495&lt;=3)*('CASE MASTER'!$AD$2:$AD$495&gt;=3))*ROW('CASE MASTER'!$T$2:$T$495))-(ROW('CASE MASTER'!#REF!)-1))))+1)))-1)*50+1,50))&amp;"_"&amp;INDEX('CASE MASTER'!$Q$2:$Q$495,(SUMPRODUCT((('CASE MASTER'!$T$2:$T$495=5)*('CASE MASTER'!$AA$2:$AA$495&lt;=2)*('CASE MASTER'!$AC$2:$AC$495&gt;=2)*('CASE MASTER'!$AB$2:$AB$495&lt;=3)*('CASE MASTER'!$AD$2:$AD$495&gt;=3))*ROW('CASE MASTER'!$T$2:$T$495))-(ROW('CASE MASTER'!#REF!)-1))),"")),"")</f>
        <v/>
      </c>
      <c r="E60" s="10" t="str">
        <f>IFERROR(IF(SUMPRODUCT((('CASE MASTER'!$T$2:$T$495=5)*('CASE MASTER'!$U$2:$U$495&lt;=2)*('CASE MASTER'!$W$2:$W$495&gt;=2)*('CASE MASTER'!$V$2:$V$495&lt;=4)*('CASE MASTER'!$X$2:$X$495&gt;=4))*ROW('CASE MASTER'!$T$2:$T$495))&gt;0,INDEX('CASE MASTER'!$Y$2:$Y$495,(SUMPRODUCT((('CASE MASTER'!$T$2:$T$495=5)*('CASE MASTER'!$U$2:$U$495&lt;=2)*('CASE MASTER'!$W$2:$W$495&gt;=2)*('CASE MASTER'!$V$2:$V$495&lt;=4)*('CASE MASTER'!$X$2:$X$495&gt;=4))*ROW('CASE MASTER'!$T$2:$T$495))-(ROW('CASE MASTER'!#REF!)-1)))&amp;TRIM(MID(SUBSTITUTE(SUBSTITUTE(INDEX('CASE MASTER'!$N$2:$N$495,(SUMPRODUCT((('CASE MASTER'!$T$2:$T$495=5)*('CASE MASTER'!$U$2:$U$495&lt;=2)*('CASE MASTER'!$W$2:$W$495&gt;=2)*('CASE MASTER'!$V$2:$V$495&lt;=4)*('CASE MASTER'!$X$2:$X$495&gt;=4))*ROW('CASE MASTER'!$T$2:$T$495))-(ROW('CASE MASTER'!#REF!)-1))),":",","),",",REPT(" ",50)),((((2-INDEX('CASE MASTER'!$U$2:$U$495,(SUMPRODUCT((('CASE MASTER'!$T$2:$T$495=5)*('CASE MASTER'!$U$2:$U$495&lt;=2)*('CASE MASTER'!$W$2:$W$495&gt;=2)*('CASE MASTER'!$V$2:$V$495&lt;=4)*('CASE MASTER'!$X$2:$X$495&gt;=4))*ROW('CASE MASTER'!$T$2:$T$495))-(ROW('CASE MASTER'!#REF!)-1))))*(INDEX('CASE MASTER'!$X$2:$X$495,(SUMPRODUCT((('CASE MASTER'!$T$2:$T$495=5)*('CASE MASTER'!$U$2:$U$495&lt;=2)*('CASE MASTER'!$W$2:$W$495&gt;=2)*('CASE MASTER'!$V$2:$V$495&lt;=4)*('CASE MASTER'!$X$2:$X$495&gt;=4))*ROW('CASE MASTER'!$T$2:$T$495))-(ROW('CASE MASTER'!#REF!)-1)))-INDEX('CASE MASTER'!$V$2:$V$495,(SUMPRODUCT((('CASE MASTER'!$T$2:$T$495=5)*('CASE MASTER'!$U$2:$U$495&lt;=2)*('CASE MASTER'!$W$2:$W$495&gt;=2)*('CASE MASTER'!$V$2:$V$495&lt;=4)*('CASE MASTER'!$X$2:$X$495&gt;=4))*ROW('CASE MASTER'!$T$2:$T$495))-(ROW('CASE MASTER'!#REF!)-1)))+1)+(4-INDEX('CASE MASTER'!$V$2:$V$495,(SUMPRODUCT((('CASE MASTER'!$T$2:$T$495=5)*('CASE MASTER'!$U$2:$U$495&lt;=2)*('CASE MASTER'!$W$2:$W$495&gt;=2)*('CASE MASTER'!$V$2:$V$495&lt;=4)*('CASE MASTER'!$X$2:$X$495&gt;=4))*ROW('CASE MASTER'!$T$2:$T$495))-(ROW('CASE MASTER'!#REF!)-1))))+1))-1)*50+1,50))&amp;"_"&amp;INDEX('CASE MASTER'!$Q$2:$Q$495,(SUMPRODUCT((('CASE MASTER'!$T$2:$T$495=5)*('CASE MASTER'!$U$2:$U$495&lt;=2)*('CASE MASTER'!$W$2:$W$495&gt;=2)*('CASE MASTER'!$V$2:$V$495&lt;=4)*('CASE MASTER'!$X$2:$X$495&gt;=4))*ROW('CASE MASTER'!$T$2:$T$495))-(ROW('CASE MASTER'!#REF!)-1))),IF(SUMPRODUCT((('CASE MASTER'!$T$2:$T$495=5)*('CASE MASTER'!$AA$2:$AA$495&lt;=2)*('CASE MASTER'!$AC$2:$AC$495&gt;=2)*('CASE MASTER'!$AB$2:$AB$495&lt;=4)*('CASE MASTER'!$AD$2:$AD$495&gt;=4))*ROW('CASE MASTER'!$T$2:$T$495))&gt;0,INDEX('CASE MASTER'!$Y$2:$Y$495,(SUMPRODUCT((('CASE MASTER'!$T$2:$T$495=5)*('CASE MASTER'!$AA$2:$AA$495&lt;=2)*('CASE MASTER'!$AC$2:$AC$495&gt;=2)*('CASE MASTER'!$AB$2:$AB$495&lt;=4)*('CASE MASTER'!$AD$2:$AD$495&gt;=4))*ROW('CASE MASTER'!$T$2:$T$495))-(ROW('CASE MASTER'!#REF!)-1)))&amp;TRIM(MID(SUBSTITUTE(SUBSTITUTE(INDEX('CASE MASTER'!$N$2:$N$495,(SUMPRODUCT((('CASE MASTER'!$T$2:$T$495=5)*('CASE MASTER'!$AA$2:$AA$495&lt;=2)*('CASE MASTER'!$AC$2:$AC$495&gt;=2)*('CASE MASTER'!$AB$2:$AB$495&lt;=4)*('CASE MASTER'!$AD$2:$AD$495&gt;=4))*ROW('CASE MASTER'!$T$2:$T$495))-(ROW('CASE MASTER'!#REF!)-1))),":",","),",",REPT(" ",50)),(((INDEX('CASE MASTER'!$Z$2:$Z$495,(SUMPRODUCT((('CASE MASTER'!$T$2:$T$495=5)*('CASE MASTER'!$AA$2:$AA$495&lt;=2)*('CASE MASTER'!$AC$2:$AC$495&gt;=2)*('CASE MASTER'!$AB$2:$AB$495&lt;=4)*('CASE MASTER'!$AD$2:$AD$495&gt;=4))*ROW('CASE MASTER'!$T$2:$T$495))-(ROW('CASE MASTER'!#REF!)-1)))+((2-INDEX('CASE MASTER'!$AA$2:$AA$495,(SUMPRODUCT((('CASE MASTER'!$T$2:$T$495=5)*('CASE MASTER'!$AA$2:$AA$495&lt;=2)*('CASE MASTER'!$AC$2:$AC$495&gt;=2)*('CASE MASTER'!$AB$2:$AB$495&lt;=4)*('CASE MASTER'!$AD$2:$AD$495&gt;=4))*ROW('CASE MASTER'!$T$2:$T$495))-(ROW('CASE MASTER'!#REF!)-1))))*(INDEX('CASE MASTER'!$AD$2:$AD$495,(SUMPRODUCT((('CASE MASTER'!$T$2:$T$495=5)*('CASE MASTER'!$AA$2:$AA$495&lt;=2)*('CASE MASTER'!$AC$2:$AC$495&gt;=2)*('CASE MASTER'!$AB$2:$AB$495&lt;=4)*('CASE MASTER'!$AD$2:$AD$495&gt;=4))*ROW('CASE MASTER'!$T$2:$T$495))-(ROW('CASE MASTER'!#REF!)-1)))-INDEX('CASE MASTER'!$AB$2:$AB$495,(SUMPRODUCT((('CASE MASTER'!$T$2:$T$495=5)*('CASE MASTER'!$AA$2:$AA$495&lt;=2)*('CASE MASTER'!$AC$2:$AC$495&gt;=2)*('CASE MASTER'!$AB$2:$AB$495&lt;=4)*('CASE MASTER'!$AD$2:$AD$495&gt;=4))*ROW('CASE MASTER'!$T$2:$T$495))-(ROW('CASE MASTER'!#REF!)-1)))+1)+(4-INDEX('CASE MASTER'!$AB$2:$AB$495,(SUMPRODUCT((('CASE MASTER'!$T$2:$T$495=5)*('CASE MASTER'!$AA$2:$AA$495&lt;=2)*('CASE MASTER'!$AC$2:$AC$495&gt;=2)*('CASE MASTER'!$AB$2:$AB$495&lt;=4)*('CASE MASTER'!$AD$2:$AD$495&gt;=4))*ROW('CASE MASTER'!$T$2:$T$495))-(ROW('CASE MASTER'!#REF!)-1))))+1)))-1)*50+1,50))&amp;"_"&amp;INDEX('CASE MASTER'!$Q$2:$Q$495,(SUMPRODUCT((('CASE MASTER'!$T$2:$T$495=5)*('CASE MASTER'!$AA$2:$AA$495&lt;=2)*('CASE MASTER'!$AC$2:$AC$495&gt;=2)*('CASE MASTER'!$AB$2:$AB$495&lt;=4)*('CASE MASTER'!$AD$2:$AD$495&gt;=4))*ROW('CASE MASTER'!$T$2:$T$495))-(ROW('CASE MASTER'!#REF!)-1))),"")),"")</f>
        <v/>
      </c>
      <c r="F60" s="10" t="str">
        <f>IFERROR(IF(SUMPRODUCT((('CASE MASTER'!$T$2:$T$495=5)*('CASE MASTER'!$U$2:$U$495&lt;=2)*('CASE MASTER'!$W$2:$W$495&gt;=2)*('CASE MASTER'!$V$2:$V$495&lt;=5)*('CASE MASTER'!$X$2:$X$495&gt;=5))*ROW('CASE MASTER'!$T$2:$T$495))&gt;0,INDEX('CASE MASTER'!$Y$2:$Y$495,(SUMPRODUCT((('CASE MASTER'!$T$2:$T$495=5)*('CASE MASTER'!$U$2:$U$495&lt;=2)*('CASE MASTER'!$W$2:$W$495&gt;=2)*('CASE MASTER'!$V$2:$V$495&lt;=5)*('CASE MASTER'!$X$2:$X$495&gt;=5))*ROW('CASE MASTER'!$T$2:$T$495))-(ROW('CASE MASTER'!#REF!)-1)))&amp;TRIM(MID(SUBSTITUTE(SUBSTITUTE(INDEX('CASE MASTER'!$N$2:$N$495,(SUMPRODUCT((('CASE MASTER'!$T$2:$T$495=5)*('CASE MASTER'!$U$2:$U$495&lt;=2)*('CASE MASTER'!$W$2:$W$495&gt;=2)*('CASE MASTER'!$V$2:$V$495&lt;=5)*('CASE MASTER'!$X$2:$X$495&gt;=5))*ROW('CASE MASTER'!$T$2:$T$495))-(ROW('CASE MASTER'!#REF!)-1))),":",","),",",REPT(" ",50)),((((2-INDEX('CASE MASTER'!$U$2:$U$495,(SUMPRODUCT((('CASE MASTER'!$T$2:$T$495=5)*('CASE MASTER'!$U$2:$U$495&lt;=2)*('CASE MASTER'!$W$2:$W$495&gt;=2)*('CASE MASTER'!$V$2:$V$495&lt;=5)*('CASE MASTER'!$X$2:$X$495&gt;=5))*ROW('CASE MASTER'!$T$2:$T$495))-(ROW('CASE MASTER'!#REF!)-1))))*(INDEX('CASE MASTER'!$X$2:$X$495,(SUMPRODUCT((('CASE MASTER'!$T$2:$T$495=5)*('CASE MASTER'!$U$2:$U$495&lt;=2)*('CASE MASTER'!$W$2:$W$495&gt;=2)*('CASE MASTER'!$V$2:$V$495&lt;=5)*('CASE MASTER'!$X$2:$X$495&gt;=5))*ROW('CASE MASTER'!$T$2:$T$495))-(ROW('CASE MASTER'!#REF!)-1)))-INDEX('CASE MASTER'!$V$2:$V$495,(SUMPRODUCT((('CASE MASTER'!$T$2:$T$495=5)*('CASE MASTER'!$U$2:$U$495&lt;=2)*('CASE MASTER'!$W$2:$W$495&gt;=2)*('CASE MASTER'!$V$2:$V$495&lt;=5)*('CASE MASTER'!$X$2:$X$495&gt;=5))*ROW('CASE MASTER'!$T$2:$T$495))-(ROW('CASE MASTER'!#REF!)-1)))+1)+(5-INDEX('CASE MASTER'!$V$2:$V$495,(SUMPRODUCT((('CASE MASTER'!$T$2:$T$495=5)*('CASE MASTER'!$U$2:$U$495&lt;=2)*('CASE MASTER'!$W$2:$W$495&gt;=2)*('CASE MASTER'!$V$2:$V$495&lt;=5)*('CASE MASTER'!$X$2:$X$495&gt;=5))*ROW('CASE MASTER'!$T$2:$T$495))-(ROW('CASE MASTER'!#REF!)-1))))+1))-1)*50+1,50))&amp;"_"&amp;INDEX('CASE MASTER'!$Q$2:$Q$495,(SUMPRODUCT((('CASE MASTER'!$T$2:$T$495=5)*('CASE MASTER'!$U$2:$U$495&lt;=2)*('CASE MASTER'!$W$2:$W$495&gt;=2)*('CASE MASTER'!$V$2:$V$495&lt;=5)*('CASE MASTER'!$X$2:$X$495&gt;=5))*ROW('CASE MASTER'!$T$2:$T$495))-(ROW('CASE MASTER'!#REF!)-1))),IF(SUMPRODUCT((('CASE MASTER'!$T$2:$T$495=5)*('CASE MASTER'!$AA$2:$AA$495&lt;=2)*('CASE MASTER'!$AC$2:$AC$495&gt;=2)*('CASE MASTER'!$AB$2:$AB$495&lt;=5)*('CASE MASTER'!$AD$2:$AD$495&gt;=5))*ROW('CASE MASTER'!$T$2:$T$495))&gt;0,INDEX('CASE MASTER'!$Y$2:$Y$495,(SUMPRODUCT((('CASE MASTER'!$T$2:$T$495=5)*('CASE MASTER'!$AA$2:$AA$495&lt;=2)*('CASE MASTER'!$AC$2:$AC$495&gt;=2)*('CASE MASTER'!$AB$2:$AB$495&lt;=5)*('CASE MASTER'!$AD$2:$AD$495&gt;=5))*ROW('CASE MASTER'!$T$2:$T$495))-(ROW('CASE MASTER'!#REF!)-1)))&amp;TRIM(MID(SUBSTITUTE(SUBSTITUTE(INDEX('CASE MASTER'!$N$2:$N$495,(SUMPRODUCT((('CASE MASTER'!$T$2:$T$495=5)*('CASE MASTER'!$AA$2:$AA$495&lt;=2)*('CASE MASTER'!$AC$2:$AC$495&gt;=2)*('CASE MASTER'!$AB$2:$AB$495&lt;=5)*('CASE MASTER'!$AD$2:$AD$495&gt;=5))*ROW('CASE MASTER'!$T$2:$T$495))-(ROW('CASE MASTER'!#REF!)-1))),":",","),",",REPT(" ",50)),(((INDEX('CASE MASTER'!$Z$2:$Z$495,(SUMPRODUCT((('CASE MASTER'!$T$2:$T$495=5)*('CASE MASTER'!$AA$2:$AA$495&lt;=2)*('CASE MASTER'!$AC$2:$AC$495&gt;=2)*('CASE MASTER'!$AB$2:$AB$495&lt;=5)*('CASE MASTER'!$AD$2:$AD$495&gt;=5))*ROW('CASE MASTER'!$T$2:$T$495))-(ROW('CASE MASTER'!#REF!)-1)))+((2-INDEX('CASE MASTER'!$AA$2:$AA$495,(SUMPRODUCT((('CASE MASTER'!$T$2:$T$495=5)*('CASE MASTER'!$AA$2:$AA$495&lt;=2)*('CASE MASTER'!$AC$2:$AC$495&gt;=2)*('CASE MASTER'!$AB$2:$AB$495&lt;=5)*('CASE MASTER'!$AD$2:$AD$495&gt;=5))*ROW('CASE MASTER'!$T$2:$T$495))-(ROW('CASE MASTER'!#REF!)-1))))*(INDEX('CASE MASTER'!$AD$2:$AD$495,(SUMPRODUCT((('CASE MASTER'!$T$2:$T$495=5)*('CASE MASTER'!$AA$2:$AA$495&lt;=2)*('CASE MASTER'!$AC$2:$AC$495&gt;=2)*('CASE MASTER'!$AB$2:$AB$495&lt;=5)*('CASE MASTER'!$AD$2:$AD$495&gt;=5))*ROW('CASE MASTER'!$T$2:$T$495))-(ROW('CASE MASTER'!#REF!)-1)))-INDEX('CASE MASTER'!$AB$2:$AB$495,(SUMPRODUCT((('CASE MASTER'!$T$2:$T$495=5)*('CASE MASTER'!$AA$2:$AA$495&lt;=2)*('CASE MASTER'!$AC$2:$AC$495&gt;=2)*('CASE MASTER'!$AB$2:$AB$495&lt;=5)*('CASE MASTER'!$AD$2:$AD$495&gt;=5))*ROW('CASE MASTER'!$T$2:$T$495))-(ROW('CASE MASTER'!#REF!)-1)))+1)+(5-INDEX('CASE MASTER'!$AB$2:$AB$495,(SUMPRODUCT((('CASE MASTER'!$T$2:$T$495=5)*('CASE MASTER'!$AA$2:$AA$495&lt;=2)*('CASE MASTER'!$AC$2:$AC$495&gt;=2)*('CASE MASTER'!$AB$2:$AB$495&lt;=5)*('CASE MASTER'!$AD$2:$AD$495&gt;=5))*ROW('CASE MASTER'!$T$2:$T$495))-(ROW('CASE MASTER'!#REF!)-1))))+1)))-1)*50+1,50))&amp;"_"&amp;INDEX('CASE MASTER'!$Q$2:$Q$495,(SUMPRODUCT((('CASE MASTER'!$T$2:$T$495=5)*('CASE MASTER'!$AA$2:$AA$495&lt;=2)*('CASE MASTER'!$AC$2:$AC$495&gt;=2)*('CASE MASTER'!$AB$2:$AB$495&lt;=5)*('CASE MASTER'!$AD$2:$AD$495&gt;=5))*ROW('CASE MASTER'!$T$2:$T$495))-(ROW('CASE MASTER'!#REF!)-1))),"")),"")</f>
        <v/>
      </c>
      <c r="G60" s="10" t="str">
        <f>IFERROR(IF(SUMPRODUCT((('CASE MASTER'!$T$2:$T$495=5)*('CASE MASTER'!$U$2:$U$495&lt;=2)*('CASE MASTER'!$W$2:$W$495&gt;=2)*('CASE MASTER'!$V$2:$V$495&lt;=6)*('CASE MASTER'!$X$2:$X$495&gt;=6))*ROW('CASE MASTER'!$T$2:$T$495))&gt;0,INDEX('CASE MASTER'!$Y$2:$Y$495,(SUMPRODUCT((('CASE MASTER'!$T$2:$T$495=5)*('CASE MASTER'!$U$2:$U$495&lt;=2)*('CASE MASTER'!$W$2:$W$495&gt;=2)*('CASE MASTER'!$V$2:$V$495&lt;=6)*('CASE MASTER'!$X$2:$X$495&gt;=6))*ROW('CASE MASTER'!$T$2:$T$495))-(ROW('CASE MASTER'!#REF!)-1)))&amp;TRIM(MID(SUBSTITUTE(SUBSTITUTE(INDEX('CASE MASTER'!$N$2:$N$495,(SUMPRODUCT((('CASE MASTER'!$T$2:$T$495=5)*('CASE MASTER'!$U$2:$U$495&lt;=2)*('CASE MASTER'!$W$2:$W$495&gt;=2)*('CASE MASTER'!$V$2:$V$495&lt;=6)*('CASE MASTER'!$X$2:$X$495&gt;=6))*ROW('CASE MASTER'!$T$2:$T$495))-(ROW('CASE MASTER'!#REF!)-1))),":",","),",",REPT(" ",50)),((((2-INDEX('CASE MASTER'!$U$2:$U$495,(SUMPRODUCT((('CASE MASTER'!$T$2:$T$495=5)*('CASE MASTER'!$U$2:$U$495&lt;=2)*('CASE MASTER'!$W$2:$W$495&gt;=2)*('CASE MASTER'!$V$2:$V$495&lt;=6)*('CASE MASTER'!$X$2:$X$495&gt;=6))*ROW('CASE MASTER'!$T$2:$T$495))-(ROW('CASE MASTER'!#REF!)-1))))*(INDEX('CASE MASTER'!$X$2:$X$495,(SUMPRODUCT((('CASE MASTER'!$T$2:$T$495=5)*('CASE MASTER'!$U$2:$U$495&lt;=2)*('CASE MASTER'!$W$2:$W$495&gt;=2)*('CASE MASTER'!$V$2:$V$495&lt;=6)*('CASE MASTER'!$X$2:$X$495&gt;=6))*ROW('CASE MASTER'!$T$2:$T$495))-(ROW('CASE MASTER'!#REF!)-1)))-INDEX('CASE MASTER'!$V$2:$V$495,(SUMPRODUCT((('CASE MASTER'!$T$2:$T$495=5)*('CASE MASTER'!$U$2:$U$495&lt;=2)*('CASE MASTER'!$W$2:$W$495&gt;=2)*('CASE MASTER'!$V$2:$V$495&lt;=6)*('CASE MASTER'!$X$2:$X$495&gt;=6))*ROW('CASE MASTER'!$T$2:$T$495))-(ROW('CASE MASTER'!#REF!)-1)))+1)+(6-INDEX('CASE MASTER'!$V$2:$V$495,(SUMPRODUCT((('CASE MASTER'!$T$2:$T$495=5)*('CASE MASTER'!$U$2:$U$495&lt;=2)*('CASE MASTER'!$W$2:$W$495&gt;=2)*('CASE MASTER'!$V$2:$V$495&lt;=6)*('CASE MASTER'!$X$2:$X$495&gt;=6))*ROW('CASE MASTER'!$T$2:$T$495))-(ROW('CASE MASTER'!#REF!)-1))))+1))-1)*50+1,50))&amp;"_"&amp;INDEX('CASE MASTER'!$Q$2:$Q$495,(SUMPRODUCT((('CASE MASTER'!$T$2:$T$495=5)*('CASE MASTER'!$U$2:$U$495&lt;=2)*('CASE MASTER'!$W$2:$W$495&gt;=2)*('CASE MASTER'!$V$2:$V$495&lt;=6)*('CASE MASTER'!$X$2:$X$495&gt;=6))*ROW('CASE MASTER'!$T$2:$T$495))-(ROW('CASE MASTER'!#REF!)-1))),IF(SUMPRODUCT((('CASE MASTER'!$T$2:$T$495=5)*('CASE MASTER'!$AA$2:$AA$495&lt;=2)*('CASE MASTER'!$AC$2:$AC$495&gt;=2)*('CASE MASTER'!$AB$2:$AB$495&lt;=6)*('CASE MASTER'!$AD$2:$AD$495&gt;=6))*ROW('CASE MASTER'!$T$2:$T$495))&gt;0,INDEX('CASE MASTER'!$Y$2:$Y$495,(SUMPRODUCT((('CASE MASTER'!$T$2:$T$495=5)*('CASE MASTER'!$AA$2:$AA$495&lt;=2)*('CASE MASTER'!$AC$2:$AC$495&gt;=2)*('CASE MASTER'!$AB$2:$AB$495&lt;=6)*('CASE MASTER'!$AD$2:$AD$495&gt;=6))*ROW('CASE MASTER'!$T$2:$T$495))-(ROW('CASE MASTER'!#REF!)-1)))&amp;TRIM(MID(SUBSTITUTE(SUBSTITUTE(INDEX('CASE MASTER'!$N$2:$N$495,(SUMPRODUCT((('CASE MASTER'!$T$2:$T$495=5)*('CASE MASTER'!$AA$2:$AA$495&lt;=2)*('CASE MASTER'!$AC$2:$AC$495&gt;=2)*('CASE MASTER'!$AB$2:$AB$495&lt;=6)*('CASE MASTER'!$AD$2:$AD$495&gt;=6))*ROW('CASE MASTER'!$T$2:$T$495))-(ROW('CASE MASTER'!#REF!)-1))),":",","),",",REPT(" ",50)),(((INDEX('CASE MASTER'!$Z$2:$Z$495,(SUMPRODUCT((('CASE MASTER'!$T$2:$T$495=5)*('CASE MASTER'!$AA$2:$AA$495&lt;=2)*('CASE MASTER'!$AC$2:$AC$495&gt;=2)*('CASE MASTER'!$AB$2:$AB$495&lt;=6)*('CASE MASTER'!$AD$2:$AD$495&gt;=6))*ROW('CASE MASTER'!$T$2:$T$495))-(ROW('CASE MASTER'!#REF!)-1)))+((2-INDEX('CASE MASTER'!$AA$2:$AA$495,(SUMPRODUCT((('CASE MASTER'!$T$2:$T$495=5)*('CASE MASTER'!$AA$2:$AA$495&lt;=2)*('CASE MASTER'!$AC$2:$AC$495&gt;=2)*('CASE MASTER'!$AB$2:$AB$495&lt;=6)*('CASE MASTER'!$AD$2:$AD$495&gt;=6))*ROW('CASE MASTER'!$T$2:$T$495))-(ROW('CASE MASTER'!#REF!)-1))))*(INDEX('CASE MASTER'!$AD$2:$AD$495,(SUMPRODUCT((('CASE MASTER'!$T$2:$T$495=5)*('CASE MASTER'!$AA$2:$AA$495&lt;=2)*('CASE MASTER'!$AC$2:$AC$495&gt;=2)*('CASE MASTER'!$AB$2:$AB$495&lt;=6)*('CASE MASTER'!$AD$2:$AD$495&gt;=6))*ROW('CASE MASTER'!$T$2:$T$495))-(ROW('CASE MASTER'!#REF!)-1)))-INDEX('CASE MASTER'!$AB$2:$AB$495,(SUMPRODUCT((('CASE MASTER'!$T$2:$T$495=5)*('CASE MASTER'!$AA$2:$AA$495&lt;=2)*('CASE MASTER'!$AC$2:$AC$495&gt;=2)*('CASE MASTER'!$AB$2:$AB$495&lt;=6)*('CASE MASTER'!$AD$2:$AD$495&gt;=6))*ROW('CASE MASTER'!$T$2:$T$495))-(ROW('CASE MASTER'!#REF!)-1)))+1)+(6-INDEX('CASE MASTER'!$AB$2:$AB$495,(SUMPRODUCT((('CASE MASTER'!$T$2:$T$495=5)*('CASE MASTER'!$AA$2:$AA$495&lt;=2)*('CASE MASTER'!$AC$2:$AC$495&gt;=2)*('CASE MASTER'!$AB$2:$AB$495&lt;=6)*('CASE MASTER'!$AD$2:$AD$495&gt;=6))*ROW('CASE MASTER'!$T$2:$T$495))-(ROW('CASE MASTER'!#REF!)-1))))+1)))-1)*50+1,50))&amp;"_"&amp;INDEX('CASE MASTER'!$Q$2:$Q$495,(SUMPRODUCT((('CASE MASTER'!$T$2:$T$495=5)*('CASE MASTER'!$AA$2:$AA$495&lt;=2)*('CASE MASTER'!$AC$2:$AC$495&gt;=2)*('CASE MASTER'!$AB$2:$AB$495&lt;=6)*('CASE MASTER'!$AD$2:$AD$495&gt;=6))*ROW('CASE MASTER'!$T$2:$T$495))-(ROW('CASE MASTER'!#REF!)-1))),"")),"")</f>
        <v/>
      </c>
      <c r="H60" s="10" t="str">
        <f>IFERROR(IF(SUMPRODUCT((('CASE MASTER'!$T$2:$T$495=5)*('CASE MASTER'!$U$2:$U$495&lt;=2)*('CASE MASTER'!$W$2:$W$495&gt;=2)*('CASE MASTER'!$V$2:$V$495&lt;=7)*('CASE MASTER'!$X$2:$X$495&gt;=7))*ROW('CASE MASTER'!$T$2:$T$495))&gt;0,INDEX('CASE MASTER'!$Y$2:$Y$495,(SUMPRODUCT((('CASE MASTER'!$T$2:$T$495=5)*('CASE MASTER'!$U$2:$U$495&lt;=2)*('CASE MASTER'!$W$2:$W$495&gt;=2)*('CASE MASTER'!$V$2:$V$495&lt;=7)*('CASE MASTER'!$X$2:$X$495&gt;=7))*ROW('CASE MASTER'!$T$2:$T$495))-(ROW('CASE MASTER'!#REF!)-1)))&amp;TRIM(MID(SUBSTITUTE(SUBSTITUTE(INDEX('CASE MASTER'!$N$2:$N$495,(SUMPRODUCT((('CASE MASTER'!$T$2:$T$495=5)*('CASE MASTER'!$U$2:$U$495&lt;=2)*('CASE MASTER'!$W$2:$W$495&gt;=2)*('CASE MASTER'!$V$2:$V$495&lt;=7)*('CASE MASTER'!$X$2:$X$495&gt;=7))*ROW('CASE MASTER'!$T$2:$T$495))-(ROW('CASE MASTER'!#REF!)-1))),":",","),",",REPT(" ",50)),((((2-INDEX('CASE MASTER'!$U$2:$U$495,(SUMPRODUCT((('CASE MASTER'!$T$2:$T$495=5)*('CASE MASTER'!$U$2:$U$495&lt;=2)*('CASE MASTER'!$W$2:$W$495&gt;=2)*('CASE MASTER'!$V$2:$V$495&lt;=7)*('CASE MASTER'!$X$2:$X$495&gt;=7))*ROW('CASE MASTER'!$T$2:$T$495))-(ROW('CASE MASTER'!#REF!)-1))))*(INDEX('CASE MASTER'!$X$2:$X$495,(SUMPRODUCT((('CASE MASTER'!$T$2:$T$495=5)*('CASE MASTER'!$U$2:$U$495&lt;=2)*('CASE MASTER'!$W$2:$W$495&gt;=2)*('CASE MASTER'!$V$2:$V$495&lt;=7)*('CASE MASTER'!$X$2:$X$495&gt;=7))*ROW('CASE MASTER'!$T$2:$T$495))-(ROW('CASE MASTER'!#REF!)-1)))-INDEX('CASE MASTER'!$V$2:$V$495,(SUMPRODUCT((('CASE MASTER'!$T$2:$T$495=5)*('CASE MASTER'!$U$2:$U$495&lt;=2)*('CASE MASTER'!$W$2:$W$495&gt;=2)*('CASE MASTER'!$V$2:$V$495&lt;=7)*('CASE MASTER'!$X$2:$X$495&gt;=7))*ROW('CASE MASTER'!$T$2:$T$495))-(ROW('CASE MASTER'!#REF!)-1)))+1)+(7-INDEX('CASE MASTER'!$V$2:$V$495,(SUMPRODUCT((('CASE MASTER'!$T$2:$T$495=5)*('CASE MASTER'!$U$2:$U$495&lt;=2)*('CASE MASTER'!$W$2:$W$495&gt;=2)*('CASE MASTER'!$V$2:$V$495&lt;=7)*('CASE MASTER'!$X$2:$X$495&gt;=7))*ROW('CASE MASTER'!$T$2:$T$495))-(ROW('CASE MASTER'!#REF!)-1))))+1))-1)*50+1,50))&amp;"_"&amp;INDEX('CASE MASTER'!$Q$2:$Q$495,(SUMPRODUCT((('CASE MASTER'!$T$2:$T$495=5)*('CASE MASTER'!$U$2:$U$495&lt;=2)*('CASE MASTER'!$W$2:$W$495&gt;=2)*('CASE MASTER'!$V$2:$V$495&lt;=7)*('CASE MASTER'!$X$2:$X$495&gt;=7))*ROW('CASE MASTER'!$T$2:$T$495))-(ROW('CASE MASTER'!#REF!)-1))),IF(SUMPRODUCT((('CASE MASTER'!$T$2:$T$495=5)*('CASE MASTER'!$AA$2:$AA$495&lt;=2)*('CASE MASTER'!$AC$2:$AC$495&gt;=2)*('CASE MASTER'!$AB$2:$AB$495&lt;=7)*('CASE MASTER'!$AD$2:$AD$495&gt;=7))*ROW('CASE MASTER'!$T$2:$T$495))&gt;0,INDEX('CASE MASTER'!$Y$2:$Y$495,(SUMPRODUCT((('CASE MASTER'!$T$2:$T$495=5)*('CASE MASTER'!$AA$2:$AA$495&lt;=2)*('CASE MASTER'!$AC$2:$AC$495&gt;=2)*('CASE MASTER'!$AB$2:$AB$495&lt;=7)*('CASE MASTER'!$AD$2:$AD$495&gt;=7))*ROW('CASE MASTER'!$T$2:$T$495))-(ROW('CASE MASTER'!#REF!)-1)))&amp;TRIM(MID(SUBSTITUTE(SUBSTITUTE(INDEX('CASE MASTER'!$N$2:$N$495,(SUMPRODUCT((('CASE MASTER'!$T$2:$T$495=5)*('CASE MASTER'!$AA$2:$AA$495&lt;=2)*('CASE MASTER'!$AC$2:$AC$495&gt;=2)*('CASE MASTER'!$AB$2:$AB$495&lt;=7)*('CASE MASTER'!$AD$2:$AD$495&gt;=7))*ROW('CASE MASTER'!$T$2:$T$495))-(ROW('CASE MASTER'!#REF!)-1))),":",","),",",REPT(" ",50)),(((INDEX('CASE MASTER'!$Z$2:$Z$495,(SUMPRODUCT((('CASE MASTER'!$T$2:$T$495=5)*('CASE MASTER'!$AA$2:$AA$495&lt;=2)*('CASE MASTER'!$AC$2:$AC$495&gt;=2)*('CASE MASTER'!$AB$2:$AB$495&lt;=7)*('CASE MASTER'!$AD$2:$AD$495&gt;=7))*ROW('CASE MASTER'!$T$2:$T$495))-(ROW('CASE MASTER'!#REF!)-1)))+((2-INDEX('CASE MASTER'!$AA$2:$AA$495,(SUMPRODUCT((('CASE MASTER'!$T$2:$T$495=5)*('CASE MASTER'!$AA$2:$AA$495&lt;=2)*('CASE MASTER'!$AC$2:$AC$495&gt;=2)*('CASE MASTER'!$AB$2:$AB$495&lt;=7)*('CASE MASTER'!$AD$2:$AD$495&gt;=7))*ROW('CASE MASTER'!$T$2:$T$495))-(ROW('CASE MASTER'!#REF!)-1))))*(INDEX('CASE MASTER'!$AD$2:$AD$495,(SUMPRODUCT((('CASE MASTER'!$T$2:$T$495=5)*('CASE MASTER'!$AA$2:$AA$495&lt;=2)*('CASE MASTER'!$AC$2:$AC$495&gt;=2)*('CASE MASTER'!$AB$2:$AB$495&lt;=7)*('CASE MASTER'!$AD$2:$AD$495&gt;=7))*ROW('CASE MASTER'!$T$2:$T$495))-(ROW('CASE MASTER'!#REF!)-1)))-INDEX('CASE MASTER'!$AB$2:$AB$495,(SUMPRODUCT((('CASE MASTER'!$T$2:$T$495=5)*('CASE MASTER'!$AA$2:$AA$495&lt;=2)*('CASE MASTER'!$AC$2:$AC$495&gt;=2)*('CASE MASTER'!$AB$2:$AB$495&lt;=7)*('CASE MASTER'!$AD$2:$AD$495&gt;=7))*ROW('CASE MASTER'!$T$2:$T$495))-(ROW('CASE MASTER'!#REF!)-1)))+1)+(7-INDEX('CASE MASTER'!$AB$2:$AB$495,(SUMPRODUCT((('CASE MASTER'!$T$2:$T$495=5)*('CASE MASTER'!$AA$2:$AA$495&lt;=2)*('CASE MASTER'!$AC$2:$AC$495&gt;=2)*('CASE MASTER'!$AB$2:$AB$495&lt;=7)*('CASE MASTER'!$AD$2:$AD$495&gt;=7))*ROW('CASE MASTER'!$T$2:$T$495))-(ROW('CASE MASTER'!#REF!)-1))))+1)))-1)*50+1,50))&amp;"_"&amp;INDEX('CASE MASTER'!$Q$2:$Q$495,(SUMPRODUCT((('CASE MASTER'!$T$2:$T$495=5)*('CASE MASTER'!$AA$2:$AA$495&lt;=2)*('CASE MASTER'!$AC$2:$AC$495&gt;=2)*('CASE MASTER'!$AB$2:$AB$495&lt;=7)*('CASE MASTER'!$AD$2:$AD$495&gt;=7))*ROW('CASE MASTER'!$T$2:$T$495))-(ROW('CASE MASTER'!#REF!)-1))),"")),"")</f>
        <v/>
      </c>
      <c r="I60" s="10" t="str">
        <f>IFERROR(IF(SUMPRODUCT((('CASE MASTER'!$T$2:$T$495=5)*('CASE MASTER'!$U$2:$U$495&lt;=2)*('CASE MASTER'!$W$2:$W$495&gt;=2)*('CASE MASTER'!$V$2:$V$495&lt;=8)*('CASE MASTER'!$X$2:$X$495&gt;=8))*ROW('CASE MASTER'!$T$2:$T$495))&gt;0,INDEX('CASE MASTER'!$Y$2:$Y$495,(SUMPRODUCT((('CASE MASTER'!$T$2:$T$495=5)*('CASE MASTER'!$U$2:$U$495&lt;=2)*('CASE MASTER'!$W$2:$W$495&gt;=2)*('CASE MASTER'!$V$2:$V$495&lt;=8)*('CASE MASTER'!$X$2:$X$495&gt;=8))*ROW('CASE MASTER'!$T$2:$T$495))-(ROW('CASE MASTER'!#REF!)-1)))&amp;TRIM(MID(SUBSTITUTE(SUBSTITUTE(INDEX('CASE MASTER'!$N$2:$N$495,(SUMPRODUCT((('CASE MASTER'!$T$2:$T$495=5)*('CASE MASTER'!$U$2:$U$495&lt;=2)*('CASE MASTER'!$W$2:$W$495&gt;=2)*('CASE MASTER'!$V$2:$V$495&lt;=8)*('CASE MASTER'!$X$2:$X$495&gt;=8))*ROW('CASE MASTER'!$T$2:$T$495))-(ROW('CASE MASTER'!#REF!)-1))),":",","),",",REPT(" ",50)),((((2-INDEX('CASE MASTER'!$U$2:$U$495,(SUMPRODUCT((('CASE MASTER'!$T$2:$T$495=5)*('CASE MASTER'!$U$2:$U$495&lt;=2)*('CASE MASTER'!$W$2:$W$495&gt;=2)*('CASE MASTER'!$V$2:$V$495&lt;=8)*('CASE MASTER'!$X$2:$X$495&gt;=8))*ROW('CASE MASTER'!$T$2:$T$495))-(ROW('CASE MASTER'!#REF!)-1))))*(INDEX('CASE MASTER'!$X$2:$X$495,(SUMPRODUCT((('CASE MASTER'!$T$2:$T$495=5)*('CASE MASTER'!$U$2:$U$495&lt;=2)*('CASE MASTER'!$W$2:$W$495&gt;=2)*('CASE MASTER'!$V$2:$V$495&lt;=8)*('CASE MASTER'!$X$2:$X$495&gt;=8))*ROW('CASE MASTER'!$T$2:$T$495))-(ROW('CASE MASTER'!#REF!)-1)))-INDEX('CASE MASTER'!$V$2:$V$495,(SUMPRODUCT((('CASE MASTER'!$T$2:$T$495=5)*('CASE MASTER'!$U$2:$U$495&lt;=2)*('CASE MASTER'!$W$2:$W$495&gt;=2)*('CASE MASTER'!$V$2:$V$495&lt;=8)*('CASE MASTER'!$X$2:$X$495&gt;=8))*ROW('CASE MASTER'!$T$2:$T$495))-(ROW('CASE MASTER'!#REF!)-1)))+1)+(8-INDEX('CASE MASTER'!$V$2:$V$495,(SUMPRODUCT((('CASE MASTER'!$T$2:$T$495=5)*('CASE MASTER'!$U$2:$U$495&lt;=2)*('CASE MASTER'!$W$2:$W$495&gt;=2)*('CASE MASTER'!$V$2:$V$495&lt;=8)*('CASE MASTER'!$X$2:$X$495&gt;=8))*ROW('CASE MASTER'!$T$2:$T$495))-(ROW('CASE MASTER'!#REF!)-1))))+1))-1)*50+1,50))&amp;"_"&amp;INDEX('CASE MASTER'!$Q$2:$Q$495,(SUMPRODUCT((('CASE MASTER'!$T$2:$T$495=5)*('CASE MASTER'!$U$2:$U$495&lt;=2)*('CASE MASTER'!$W$2:$W$495&gt;=2)*('CASE MASTER'!$V$2:$V$495&lt;=8)*('CASE MASTER'!$X$2:$X$495&gt;=8))*ROW('CASE MASTER'!$T$2:$T$495))-(ROW('CASE MASTER'!#REF!)-1))),IF(SUMPRODUCT((('CASE MASTER'!$T$2:$T$495=5)*('CASE MASTER'!$AA$2:$AA$495&lt;=2)*('CASE MASTER'!$AC$2:$AC$495&gt;=2)*('CASE MASTER'!$AB$2:$AB$495&lt;=8)*('CASE MASTER'!$AD$2:$AD$495&gt;=8))*ROW('CASE MASTER'!$T$2:$T$495))&gt;0,INDEX('CASE MASTER'!$Y$2:$Y$495,(SUMPRODUCT((('CASE MASTER'!$T$2:$T$495=5)*('CASE MASTER'!$AA$2:$AA$495&lt;=2)*('CASE MASTER'!$AC$2:$AC$495&gt;=2)*('CASE MASTER'!$AB$2:$AB$495&lt;=8)*('CASE MASTER'!$AD$2:$AD$495&gt;=8))*ROW('CASE MASTER'!$T$2:$T$495))-(ROW('CASE MASTER'!#REF!)-1)))&amp;TRIM(MID(SUBSTITUTE(SUBSTITUTE(INDEX('CASE MASTER'!$N$2:$N$495,(SUMPRODUCT((('CASE MASTER'!$T$2:$T$495=5)*('CASE MASTER'!$AA$2:$AA$495&lt;=2)*('CASE MASTER'!$AC$2:$AC$495&gt;=2)*('CASE MASTER'!$AB$2:$AB$495&lt;=8)*('CASE MASTER'!$AD$2:$AD$495&gt;=8))*ROW('CASE MASTER'!$T$2:$T$495))-(ROW('CASE MASTER'!#REF!)-1))),":",","),",",REPT(" ",50)),(((INDEX('CASE MASTER'!$Z$2:$Z$495,(SUMPRODUCT((('CASE MASTER'!$T$2:$T$495=5)*('CASE MASTER'!$AA$2:$AA$495&lt;=2)*('CASE MASTER'!$AC$2:$AC$495&gt;=2)*('CASE MASTER'!$AB$2:$AB$495&lt;=8)*('CASE MASTER'!$AD$2:$AD$495&gt;=8))*ROW('CASE MASTER'!$T$2:$T$495))-(ROW('CASE MASTER'!#REF!)-1)))+((2-INDEX('CASE MASTER'!$AA$2:$AA$495,(SUMPRODUCT((('CASE MASTER'!$T$2:$T$495=5)*('CASE MASTER'!$AA$2:$AA$495&lt;=2)*('CASE MASTER'!$AC$2:$AC$495&gt;=2)*('CASE MASTER'!$AB$2:$AB$495&lt;=8)*('CASE MASTER'!$AD$2:$AD$495&gt;=8))*ROW('CASE MASTER'!$T$2:$T$495))-(ROW('CASE MASTER'!#REF!)-1))))*(INDEX('CASE MASTER'!$AD$2:$AD$495,(SUMPRODUCT((('CASE MASTER'!$T$2:$T$495=5)*('CASE MASTER'!$AA$2:$AA$495&lt;=2)*('CASE MASTER'!$AC$2:$AC$495&gt;=2)*('CASE MASTER'!$AB$2:$AB$495&lt;=8)*('CASE MASTER'!$AD$2:$AD$495&gt;=8))*ROW('CASE MASTER'!$T$2:$T$495))-(ROW('CASE MASTER'!#REF!)-1)))-INDEX('CASE MASTER'!$AB$2:$AB$495,(SUMPRODUCT((('CASE MASTER'!$T$2:$T$495=5)*('CASE MASTER'!$AA$2:$AA$495&lt;=2)*('CASE MASTER'!$AC$2:$AC$495&gt;=2)*('CASE MASTER'!$AB$2:$AB$495&lt;=8)*('CASE MASTER'!$AD$2:$AD$495&gt;=8))*ROW('CASE MASTER'!$T$2:$T$495))-(ROW('CASE MASTER'!#REF!)-1)))+1)+(8-INDEX('CASE MASTER'!$AB$2:$AB$495,(SUMPRODUCT((('CASE MASTER'!$T$2:$T$495=5)*('CASE MASTER'!$AA$2:$AA$495&lt;=2)*('CASE MASTER'!$AC$2:$AC$495&gt;=2)*('CASE MASTER'!$AB$2:$AB$495&lt;=8)*('CASE MASTER'!$AD$2:$AD$495&gt;=8))*ROW('CASE MASTER'!$T$2:$T$495))-(ROW('CASE MASTER'!#REF!)-1))))+1)))-1)*50+1,50))&amp;"_"&amp;INDEX('CASE MASTER'!$Q$2:$Q$495,(SUMPRODUCT((('CASE MASTER'!$T$2:$T$495=5)*('CASE MASTER'!$AA$2:$AA$495&lt;=2)*('CASE MASTER'!$AC$2:$AC$495&gt;=2)*('CASE MASTER'!$AB$2:$AB$495&lt;=8)*('CASE MASTER'!$AD$2:$AD$495&gt;=8))*ROW('CASE MASTER'!$T$2:$T$495))-(ROW('CASE MASTER'!#REF!)-1))),"")),"")</f>
        <v/>
      </c>
      <c r="J60" s="10" t="str">
        <f>IFERROR(IF(SUMPRODUCT((('CASE MASTER'!$T$2:$T$495=5)*('CASE MASTER'!$U$2:$U$495&lt;=2)*('CASE MASTER'!$W$2:$W$495&gt;=2)*('CASE MASTER'!$V$2:$V$495&lt;=9)*('CASE MASTER'!$X$2:$X$495&gt;=9))*ROW('CASE MASTER'!$T$2:$T$495))&gt;0,INDEX('CASE MASTER'!$Y$2:$Y$495,(SUMPRODUCT((('CASE MASTER'!$T$2:$T$495=5)*('CASE MASTER'!$U$2:$U$495&lt;=2)*('CASE MASTER'!$W$2:$W$495&gt;=2)*('CASE MASTER'!$V$2:$V$495&lt;=9)*('CASE MASTER'!$X$2:$X$495&gt;=9))*ROW('CASE MASTER'!$T$2:$T$495))-(ROW('CASE MASTER'!#REF!)-1)))&amp;TRIM(MID(SUBSTITUTE(SUBSTITUTE(INDEX('CASE MASTER'!$N$2:$N$495,(SUMPRODUCT((('CASE MASTER'!$T$2:$T$495=5)*('CASE MASTER'!$U$2:$U$495&lt;=2)*('CASE MASTER'!$W$2:$W$495&gt;=2)*('CASE MASTER'!$V$2:$V$495&lt;=9)*('CASE MASTER'!$X$2:$X$495&gt;=9))*ROW('CASE MASTER'!$T$2:$T$495))-(ROW('CASE MASTER'!#REF!)-1))),":",","),",",REPT(" ",50)),((((2-INDEX('CASE MASTER'!$U$2:$U$495,(SUMPRODUCT((('CASE MASTER'!$T$2:$T$495=5)*('CASE MASTER'!$U$2:$U$495&lt;=2)*('CASE MASTER'!$W$2:$W$495&gt;=2)*('CASE MASTER'!$V$2:$V$495&lt;=9)*('CASE MASTER'!$X$2:$X$495&gt;=9))*ROW('CASE MASTER'!$T$2:$T$495))-(ROW('CASE MASTER'!#REF!)-1))))*(INDEX('CASE MASTER'!$X$2:$X$495,(SUMPRODUCT((('CASE MASTER'!$T$2:$T$495=5)*('CASE MASTER'!$U$2:$U$495&lt;=2)*('CASE MASTER'!$W$2:$W$495&gt;=2)*('CASE MASTER'!$V$2:$V$495&lt;=9)*('CASE MASTER'!$X$2:$X$495&gt;=9))*ROW('CASE MASTER'!$T$2:$T$495))-(ROW('CASE MASTER'!#REF!)-1)))-INDEX('CASE MASTER'!$V$2:$V$495,(SUMPRODUCT((('CASE MASTER'!$T$2:$T$495=5)*('CASE MASTER'!$U$2:$U$495&lt;=2)*('CASE MASTER'!$W$2:$W$495&gt;=2)*('CASE MASTER'!$V$2:$V$495&lt;=9)*('CASE MASTER'!$X$2:$X$495&gt;=9))*ROW('CASE MASTER'!$T$2:$T$495))-(ROW('CASE MASTER'!#REF!)-1)))+1)+(9-INDEX('CASE MASTER'!$V$2:$V$495,(SUMPRODUCT((('CASE MASTER'!$T$2:$T$495=5)*('CASE MASTER'!$U$2:$U$495&lt;=2)*('CASE MASTER'!$W$2:$W$495&gt;=2)*('CASE MASTER'!$V$2:$V$495&lt;=9)*('CASE MASTER'!$X$2:$X$495&gt;=9))*ROW('CASE MASTER'!$T$2:$T$495))-(ROW('CASE MASTER'!#REF!)-1))))+1))-1)*50+1,50))&amp;"_"&amp;INDEX('CASE MASTER'!$Q$2:$Q$495,(SUMPRODUCT((('CASE MASTER'!$T$2:$T$495=5)*('CASE MASTER'!$U$2:$U$495&lt;=2)*('CASE MASTER'!$W$2:$W$495&gt;=2)*('CASE MASTER'!$V$2:$V$495&lt;=9)*('CASE MASTER'!$X$2:$X$495&gt;=9))*ROW('CASE MASTER'!$T$2:$T$495))-(ROW('CASE MASTER'!#REF!)-1))),IF(SUMPRODUCT((('CASE MASTER'!$T$2:$T$495=5)*('CASE MASTER'!$AA$2:$AA$495&lt;=2)*('CASE MASTER'!$AC$2:$AC$495&gt;=2)*('CASE MASTER'!$AB$2:$AB$495&lt;=9)*('CASE MASTER'!$AD$2:$AD$495&gt;=9))*ROW('CASE MASTER'!$T$2:$T$495))&gt;0,INDEX('CASE MASTER'!$Y$2:$Y$495,(SUMPRODUCT((('CASE MASTER'!$T$2:$T$495=5)*('CASE MASTER'!$AA$2:$AA$495&lt;=2)*('CASE MASTER'!$AC$2:$AC$495&gt;=2)*('CASE MASTER'!$AB$2:$AB$495&lt;=9)*('CASE MASTER'!$AD$2:$AD$495&gt;=9))*ROW('CASE MASTER'!$T$2:$T$495))-(ROW('CASE MASTER'!#REF!)-1)))&amp;TRIM(MID(SUBSTITUTE(SUBSTITUTE(INDEX('CASE MASTER'!$N$2:$N$495,(SUMPRODUCT((('CASE MASTER'!$T$2:$T$495=5)*('CASE MASTER'!$AA$2:$AA$495&lt;=2)*('CASE MASTER'!$AC$2:$AC$495&gt;=2)*('CASE MASTER'!$AB$2:$AB$495&lt;=9)*('CASE MASTER'!$AD$2:$AD$495&gt;=9))*ROW('CASE MASTER'!$T$2:$T$495))-(ROW('CASE MASTER'!#REF!)-1))),":",","),",",REPT(" ",50)),(((INDEX('CASE MASTER'!$Z$2:$Z$495,(SUMPRODUCT((('CASE MASTER'!$T$2:$T$495=5)*('CASE MASTER'!$AA$2:$AA$495&lt;=2)*('CASE MASTER'!$AC$2:$AC$495&gt;=2)*('CASE MASTER'!$AB$2:$AB$495&lt;=9)*('CASE MASTER'!$AD$2:$AD$495&gt;=9))*ROW('CASE MASTER'!$T$2:$T$495))-(ROW('CASE MASTER'!#REF!)-1)))+((2-INDEX('CASE MASTER'!$AA$2:$AA$495,(SUMPRODUCT((('CASE MASTER'!$T$2:$T$495=5)*('CASE MASTER'!$AA$2:$AA$495&lt;=2)*('CASE MASTER'!$AC$2:$AC$495&gt;=2)*('CASE MASTER'!$AB$2:$AB$495&lt;=9)*('CASE MASTER'!$AD$2:$AD$495&gt;=9))*ROW('CASE MASTER'!$T$2:$T$495))-(ROW('CASE MASTER'!#REF!)-1))))*(INDEX('CASE MASTER'!$AD$2:$AD$495,(SUMPRODUCT((('CASE MASTER'!$T$2:$T$495=5)*('CASE MASTER'!$AA$2:$AA$495&lt;=2)*('CASE MASTER'!$AC$2:$AC$495&gt;=2)*('CASE MASTER'!$AB$2:$AB$495&lt;=9)*('CASE MASTER'!$AD$2:$AD$495&gt;=9))*ROW('CASE MASTER'!$T$2:$T$495))-(ROW('CASE MASTER'!#REF!)-1)))-INDEX('CASE MASTER'!$AB$2:$AB$495,(SUMPRODUCT((('CASE MASTER'!$T$2:$T$495=5)*('CASE MASTER'!$AA$2:$AA$495&lt;=2)*('CASE MASTER'!$AC$2:$AC$495&gt;=2)*('CASE MASTER'!$AB$2:$AB$495&lt;=9)*('CASE MASTER'!$AD$2:$AD$495&gt;=9))*ROW('CASE MASTER'!$T$2:$T$495))-(ROW('CASE MASTER'!#REF!)-1)))+1)+(9-INDEX('CASE MASTER'!$AB$2:$AB$495,(SUMPRODUCT((('CASE MASTER'!$T$2:$T$495=5)*('CASE MASTER'!$AA$2:$AA$495&lt;=2)*('CASE MASTER'!$AC$2:$AC$495&gt;=2)*('CASE MASTER'!$AB$2:$AB$495&lt;=9)*('CASE MASTER'!$AD$2:$AD$495&gt;=9))*ROW('CASE MASTER'!$T$2:$T$495))-(ROW('CASE MASTER'!#REF!)-1))))+1)))-1)*50+1,50))&amp;"_"&amp;INDEX('CASE MASTER'!$Q$2:$Q$495,(SUMPRODUCT((('CASE MASTER'!$T$2:$T$495=5)*('CASE MASTER'!$AA$2:$AA$495&lt;=2)*('CASE MASTER'!$AC$2:$AC$495&gt;=2)*('CASE MASTER'!$AB$2:$AB$495&lt;=9)*('CASE MASTER'!$AD$2:$AD$495&gt;=9))*ROW('CASE MASTER'!$T$2:$T$495))-(ROW('CASE MASTER'!#REF!)-1))),"")),"")</f>
        <v/>
      </c>
      <c r="K60" s="10" t="str">
        <f>IFERROR(IF(SUMPRODUCT((('CASE MASTER'!$T$2:$T$495=5)*('CASE MASTER'!$U$2:$U$495&lt;=2)*('CASE MASTER'!$W$2:$W$495&gt;=2)*('CASE MASTER'!$V$2:$V$495&lt;=10)*('CASE MASTER'!$X$2:$X$495&gt;=10))*ROW('CASE MASTER'!$T$2:$T$495))&gt;0,INDEX('CASE MASTER'!$Y$2:$Y$495,(SUMPRODUCT((('CASE MASTER'!$T$2:$T$495=5)*('CASE MASTER'!$U$2:$U$495&lt;=2)*('CASE MASTER'!$W$2:$W$495&gt;=2)*('CASE MASTER'!$V$2:$V$495&lt;=10)*('CASE MASTER'!$X$2:$X$495&gt;=10))*ROW('CASE MASTER'!$T$2:$T$495))-(ROW('CASE MASTER'!#REF!)-1)))&amp;TRIM(MID(SUBSTITUTE(SUBSTITUTE(INDEX('CASE MASTER'!$N$2:$N$495,(SUMPRODUCT((('CASE MASTER'!$T$2:$T$495=5)*('CASE MASTER'!$U$2:$U$495&lt;=2)*('CASE MASTER'!$W$2:$W$495&gt;=2)*('CASE MASTER'!$V$2:$V$495&lt;=10)*('CASE MASTER'!$X$2:$X$495&gt;=10))*ROW('CASE MASTER'!$T$2:$T$495))-(ROW('CASE MASTER'!#REF!)-1))),":",","),",",REPT(" ",50)),((((2-INDEX('CASE MASTER'!$U$2:$U$495,(SUMPRODUCT((('CASE MASTER'!$T$2:$T$495=5)*('CASE MASTER'!$U$2:$U$495&lt;=2)*('CASE MASTER'!$W$2:$W$495&gt;=2)*('CASE MASTER'!$V$2:$V$495&lt;=10)*('CASE MASTER'!$X$2:$X$495&gt;=10))*ROW('CASE MASTER'!$T$2:$T$495))-(ROW('CASE MASTER'!#REF!)-1))))*(INDEX('CASE MASTER'!$X$2:$X$495,(SUMPRODUCT((('CASE MASTER'!$T$2:$T$495=5)*('CASE MASTER'!$U$2:$U$495&lt;=2)*('CASE MASTER'!$W$2:$W$495&gt;=2)*('CASE MASTER'!$V$2:$V$495&lt;=10)*('CASE MASTER'!$X$2:$X$495&gt;=10))*ROW('CASE MASTER'!$T$2:$T$495))-(ROW('CASE MASTER'!#REF!)-1)))-INDEX('CASE MASTER'!$V$2:$V$495,(SUMPRODUCT((('CASE MASTER'!$T$2:$T$495=5)*('CASE MASTER'!$U$2:$U$495&lt;=2)*('CASE MASTER'!$W$2:$W$495&gt;=2)*('CASE MASTER'!$V$2:$V$495&lt;=10)*('CASE MASTER'!$X$2:$X$495&gt;=10))*ROW('CASE MASTER'!$T$2:$T$495))-(ROW('CASE MASTER'!#REF!)-1)))+1)+(10-INDEX('CASE MASTER'!$V$2:$V$495,(SUMPRODUCT((('CASE MASTER'!$T$2:$T$495=5)*('CASE MASTER'!$U$2:$U$495&lt;=2)*('CASE MASTER'!$W$2:$W$495&gt;=2)*('CASE MASTER'!$V$2:$V$495&lt;=10)*('CASE MASTER'!$X$2:$X$495&gt;=10))*ROW('CASE MASTER'!$T$2:$T$495))-(ROW('CASE MASTER'!#REF!)-1))))+1))-1)*50+1,50))&amp;"_"&amp;INDEX('CASE MASTER'!$Q$2:$Q$495,(SUMPRODUCT((('CASE MASTER'!$T$2:$T$495=5)*('CASE MASTER'!$U$2:$U$495&lt;=2)*('CASE MASTER'!$W$2:$W$495&gt;=2)*('CASE MASTER'!$V$2:$V$495&lt;=10)*('CASE MASTER'!$X$2:$X$495&gt;=10))*ROW('CASE MASTER'!$T$2:$T$495))-(ROW('CASE MASTER'!#REF!)-1))),IF(SUMPRODUCT((('CASE MASTER'!$T$2:$T$495=5)*('CASE MASTER'!$AA$2:$AA$495&lt;=2)*('CASE MASTER'!$AC$2:$AC$495&gt;=2)*('CASE MASTER'!$AB$2:$AB$495&lt;=10)*('CASE MASTER'!$AD$2:$AD$495&gt;=10))*ROW('CASE MASTER'!$T$2:$T$495))&gt;0,INDEX('CASE MASTER'!$Y$2:$Y$495,(SUMPRODUCT((('CASE MASTER'!$T$2:$T$495=5)*('CASE MASTER'!$AA$2:$AA$495&lt;=2)*('CASE MASTER'!$AC$2:$AC$495&gt;=2)*('CASE MASTER'!$AB$2:$AB$495&lt;=10)*('CASE MASTER'!$AD$2:$AD$495&gt;=10))*ROW('CASE MASTER'!$T$2:$T$495))-(ROW('CASE MASTER'!#REF!)-1)))&amp;TRIM(MID(SUBSTITUTE(SUBSTITUTE(INDEX('CASE MASTER'!$N$2:$N$495,(SUMPRODUCT((('CASE MASTER'!$T$2:$T$495=5)*('CASE MASTER'!$AA$2:$AA$495&lt;=2)*('CASE MASTER'!$AC$2:$AC$495&gt;=2)*('CASE MASTER'!$AB$2:$AB$495&lt;=10)*('CASE MASTER'!$AD$2:$AD$495&gt;=10))*ROW('CASE MASTER'!$T$2:$T$495))-(ROW('CASE MASTER'!#REF!)-1))),":",","),",",REPT(" ",50)),(((INDEX('CASE MASTER'!$Z$2:$Z$495,(SUMPRODUCT((('CASE MASTER'!$T$2:$T$495=5)*('CASE MASTER'!$AA$2:$AA$495&lt;=2)*('CASE MASTER'!$AC$2:$AC$495&gt;=2)*('CASE MASTER'!$AB$2:$AB$495&lt;=10)*('CASE MASTER'!$AD$2:$AD$495&gt;=10))*ROW('CASE MASTER'!$T$2:$T$495))-(ROW('CASE MASTER'!#REF!)-1)))+((2-INDEX('CASE MASTER'!$AA$2:$AA$495,(SUMPRODUCT((('CASE MASTER'!$T$2:$T$495=5)*('CASE MASTER'!$AA$2:$AA$495&lt;=2)*('CASE MASTER'!$AC$2:$AC$495&gt;=2)*('CASE MASTER'!$AB$2:$AB$495&lt;=10)*('CASE MASTER'!$AD$2:$AD$495&gt;=10))*ROW('CASE MASTER'!$T$2:$T$495))-(ROW('CASE MASTER'!#REF!)-1))))*(INDEX('CASE MASTER'!$AD$2:$AD$495,(SUMPRODUCT((('CASE MASTER'!$T$2:$T$495=5)*('CASE MASTER'!$AA$2:$AA$495&lt;=2)*('CASE MASTER'!$AC$2:$AC$495&gt;=2)*('CASE MASTER'!$AB$2:$AB$495&lt;=10)*('CASE MASTER'!$AD$2:$AD$495&gt;=10))*ROW('CASE MASTER'!$T$2:$T$495))-(ROW('CASE MASTER'!#REF!)-1)))-INDEX('CASE MASTER'!$AB$2:$AB$495,(SUMPRODUCT((('CASE MASTER'!$T$2:$T$495=5)*('CASE MASTER'!$AA$2:$AA$495&lt;=2)*('CASE MASTER'!$AC$2:$AC$495&gt;=2)*('CASE MASTER'!$AB$2:$AB$495&lt;=10)*('CASE MASTER'!$AD$2:$AD$495&gt;=10))*ROW('CASE MASTER'!$T$2:$T$495))-(ROW('CASE MASTER'!#REF!)-1)))+1)+(10-INDEX('CASE MASTER'!$AB$2:$AB$495,(SUMPRODUCT((('CASE MASTER'!$T$2:$T$495=5)*('CASE MASTER'!$AA$2:$AA$495&lt;=2)*('CASE MASTER'!$AC$2:$AC$495&gt;=2)*('CASE MASTER'!$AB$2:$AB$495&lt;=10)*('CASE MASTER'!$AD$2:$AD$495&gt;=10))*ROW('CASE MASTER'!$T$2:$T$495))-(ROW('CASE MASTER'!#REF!)-1))))+1)))-1)*50+1,50))&amp;"_"&amp;INDEX('CASE MASTER'!$Q$2:$Q$495,(SUMPRODUCT((('CASE MASTER'!$T$2:$T$495=5)*('CASE MASTER'!$AA$2:$AA$495&lt;=2)*('CASE MASTER'!$AC$2:$AC$495&gt;=2)*('CASE MASTER'!$AB$2:$AB$495&lt;=10)*('CASE MASTER'!$AD$2:$AD$495&gt;=10))*ROW('CASE MASTER'!$T$2:$T$495))-(ROW('CASE MASTER'!#REF!)-1))),"")),"")</f>
        <v/>
      </c>
    </row>
    <row r="61" spans="1:11" ht="15" customHeight="1" x14ac:dyDescent="0.35">
      <c r="A61" s="8" t="s">
        <v>30</v>
      </c>
      <c r="B61" s="10" t="str">
        <f>IFERROR(IF(SUMPRODUCT((('CASE MASTER'!$T$2:$T$495=5)*('CASE MASTER'!$U$2:$U$495&lt;=3)*('CASE MASTER'!$W$2:$W$495&gt;=3)*('CASE MASTER'!$V$2:$V$495&lt;=1)*('CASE MASTER'!$X$2:$X$495&gt;=1))*ROW('CASE MASTER'!$T$2:$T$495))&gt;0,INDEX('CASE MASTER'!$Y$2:$Y$495,(SUMPRODUCT((('CASE MASTER'!$T$2:$T$495=5)*('CASE MASTER'!$U$2:$U$495&lt;=3)*('CASE MASTER'!$W$2:$W$495&gt;=3)*('CASE MASTER'!$V$2:$V$495&lt;=1)*('CASE MASTER'!$X$2:$X$495&gt;=1))*ROW('CASE MASTER'!$T$2:$T$495))-(ROW('CASE MASTER'!#REF!)-1)))&amp;TRIM(MID(SUBSTITUTE(SUBSTITUTE(INDEX('CASE MASTER'!$N$2:$N$495,(SUMPRODUCT((('CASE MASTER'!$T$2:$T$495=5)*('CASE MASTER'!$U$2:$U$495&lt;=3)*('CASE MASTER'!$W$2:$W$495&gt;=3)*('CASE MASTER'!$V$2:$V$495&lt;=1)*('CASE MASTER'!$X$2:$X$495&gt;=1))*ROW('CASE MASTER'!$T$2:$T$495))-(ROW('CASE MASTER'!#REF!)-1))),":",","),",",REPT(" ",50)),((((3-INDEX('CASE MASTER'!$U$2:$U$495,(SUMPRODUCT((('CASE MASTER'!$T$2:$T$495=5)*('CASE MASTER'!$U$2:$U$495&lt;=3)*('CASE MASTER'!$W$2:$W$495&gt;=3)*('CASE MASTER'!$V$2:$V$495&lt;=1)*('CASE MASTER'!$X$2:$X$495&gt;=1))*ROW('CASE MASTER'!$T$2:$T$495))-(ROW('CASE MASTER'!#REF!)-1))))*(INDEX('CASE MASTER'!$X$2:$X$495,(SUMPRODUCT((('CASE MASTER'!$T$2:$T$495=5)*('CASE MASTER'!$U$2:$U$495&lt;=3)*('CASE MASTER'!$W$2:$W$495&gt;=3)*('CASE MASTER'!$V$2:$V$495&lt;=1)*('CASE MASTER'!$X$2:$X$495&gt;=1))*ROW('CASE MASTER'!$T$2:$T$495))-(ROW('CASE MASTER'!#REF!)-1)))-INDEX('CASE MASTER'!$V$2:$V$495,(SUMPRODUCT((('CASE MASTER'!$T$2:$T$495=5)*('CASE MASTER'!$U$2:$U$495&lt;=3)*('CASE MASTER'!$W$2:$W$495&gt;=3)*('CASE MASTER'!$V$2:$V$495&lt;=1)*('CASE MASTER'!$X$2:$X$495&gt;=1))*ROW('CASE MASTER'!$T$2:$T$495))-(ROW('CASE MASTER'!#REF!)-1)))+1)+(1-INDEX('CASE MASTER'!$V$2:$V$495,(SUMPRODUCT((('CASE MASTER'!$T$2:$T$495=5)*('CASE MASTER'!$U$2:$U$495&lt;=3)*('CASE MASTER'!$W$2:$W$495&gt;=3)*('CASE MASTER'!$V$2:$V$495&lt;=1)*('CASE MASTER'!$X$2:$X$495&gt;=1))*ROW('CASE MASTER'!$T$2:$T$495))-(ROW('CASE MASTER'!#REF!)-1))))+1))-1)*50+1,50))&amp;"_"&amp;INDEX('CASE MASTER'!$Q$2:$Q$495,(SUMPRODUCT((('CASE MASTER'!$T$2:$T$495=5)*('CASE MASTER'!$U$2:$U$495&lt;=3)*('CASE MASTER'!$W$2:$W$495&gt;=3)*('CASE MASTER'!$V$2:$V$495&lt;=1)*('CASE MASTER'!$X$2:$X$495&gt;=1))*ROW('CASE MASTER'!$T$2:$T$495))-(ROW('CASE MASTER'!#REF!)-1))),IF(SUMPRODUCT((('CASE MASTER'!$T$2:$T$495=5)*('CASE MASTER'!$AA$2:$AA$495&lt;=3)*('CASE MASTER'!$AC$2:$AC$495&gt;=3)*('CASE MASTER'!$AB$2:$AB$495&lt;=1)*('CASE MASTER'!$AD$2:$AD$495&gt;=1))*ROW('CASE MASTER'!$T$2:$T$495))&gt;0,INDEX('CASE MASTER'!$Y$2:$Y$495,(SUMPRODUCT((('CASE MASTER'!$T$2:$T$495=5)*('CASE MASTER'!$AA$2:$AA$495&lt;=3)*('CASE MASTER'!$AC$2:$AC$495&gt;=3)*('CASE MASTER'!$AB$2:$AB$495&lt;=1)*('CASE MASTER'!$AD$2:$AD$495&gt;=1))*ROW('CASE MASTER'!$T$2:$T$495))-(ROW('CASE MASTER'!#REF!)-1)))&amp;TRIM(MID(SUBSTITUTE(SUBSTITUTE(INDEX('CASE MASTER'!$N$2:$N$495,(SUMPRODUCT((('CASE MASTER'!$T$2:$T$495=5)*('CASE MASTER'!$AA$2:$AA$495&lt;=3)*('CASE MASTER'!$AC$2:$AC$495&gt;=3)*('CASE MASTER'!$AB$2:$AB$495&lt;=1)*('CASE MASTER'!$AD$2:$AD$495&gt;=1))*ROW('CASE MASTER'!$T$2:$T$495))-(ROW('CASE MASTER'!#REF!)-1))),":",","),",",REPT(" ",50)),(((INDEX('CASE MASTER'!$Z$2:$Z$495,(SUMPRODUCT((('CASE MASTER'!$T$2:$T$495=5)*('CASE MASTER'!$AA$2:$AA$495&lt;=3)*('CASE MASTER'!$AC$2:$AC$495&gt;=3)*('CASE MASTER'!$AB$2:$AB$495&lt;=1)*('CASE MASTER'!$AD$2:$AD$495&gt;=1))*ROW('CASE MASTER'!$T$2:$T$495))-(ROW('CASE MASTER'!#REF!)-1)))+((3-INDEX('CASE MASTER'!$AA$2:$AA$495,(SUMPRODUCT((('CASE MASTER'!$T$2:$T$495=5)*('CASE MASTER'!$AA$2:$AA$495&lt;=3)*('CASE MASTER'!$AC$2:$AC$495&gt;=3)*('CASE MASTER'!$AB$2:$AB$495&lt;=1)*('CASE MASTER'!$AD$2:$AD$495&gt;=1))*ROW('CASE MASTER'!$T$2:$T$495))-(ROW('CASE MASTER'!#REF!)-1))))*(INDEX('CASE MASTER'!$AD$2:$AD$495,(SUMPRODUCT((('CASE MASTER'!$T$2:$T$495=5)*('CASE MASTER'!$AA$2:$AA$495&lt;=3)*('CASE MASTER'!$AC$2:$AC$495&gt;=3)*('CASE MASTER'!$AB$2:$AB$495&lt;=1)*('CASE MASTER'!$AD$2:$AD$495&gt;=1))*ROW('CASE MASTER'!$T$2:$T$495))-(ROW('CASE MASTER'!#REF!)-1)))-INDEX('CASE MASTER'!$AB$2:$AB$495,(SUMPRODUCT((('CASE MASTER'!$T$2:$T$495=5)*('CASE MASTER'!$AA$2:$AA$495&lt;=3)*('CASE MASTER'!$AC$2:$AC$495&gt;=3)*('CASE MASTER'!$AB$2:$AB$495&lt;=1)*('CASE MASTER'!$AD$2:$AD$495&gt;=1))*ROW('CASE MASTER'!$T$2:$T$495))-(ROW('CASE MASTER'!#REF!)-1)))+1)+(1-INDEX('CASE MASTER'!$AB$2:$AB$495,(SUMPRODUCT((('CASE MASTER'!$T$2:$T$495=5)*('CASE MASTER'!$AA$2:$AA$495&lt;=3)*('CASE MASTER'!$AC$2:$AC$495&gt;=3)*('CASE MASTER'!$AB$2:$AB$495&lt;=1)*('CASE MASTER'!$AD$2:$AD$495&gt;=1))*ROW('CASE MASTER'!$T$2:$T$495))-(ROW('CASE MASTER'!#REF!)-1))))+1)))-1)*50+1,50))&amp;"_"&amp;INDEX('CASE MASTER'!$Q$2:$Q$495,(SUMPRODUCT((('CASE MASTER'!$T$2:$T$495=5)*('CASE MASTER'!$AA$2:$AA$495&lt;=3)*('CASE MASTER'!$AC$2:$AC$495&gt;=3)*('CASE MASTER'!$AB$2:$AB$495&lt;=1)*('CASE MASTER'!$AD$2:$AD$495&gt;=1))*ROW('CASE MASTER'!$T$2:$T$495))-(ROW('CASE MASTER'!#REF!)-1))),"")),"")</f>
        <v/>
      </c>
      <c r="C61" s="10" t="str">
        <f>IFERROR(IF(SUMPRODUCT((('CASE MASTER'!$T$2:$T$495=5)*('CASE MASTER'!$U$2:$U$495&lt;=3)*('CASE MASTER'!$W$2:$W$495&gt;=3)*('CASE MASTER'!$V$2:$V$495&lt;=2)*('CASE MASTER'!$X$2:$X$495&gt;=2))*ROW('CASE MASTER'!$T$2:$T$495))&gt;0,INDEX('CASE MASTER'!$Y$2:$Y$495,(SUMPRODUCT((('CASE MASTER'!$T$2:$T$495=5)*('CASE MASTER'!$U$2:$U$495&lt;=3)*('CASE MASTER'!$W$2:$W$495&gt;=3)*('CASE MASTER'!$V$2:$V$495&lt;=2)*('CASE MASTER'!$X$2:$X$495&gt;=2))*ROW('CASE MASTER'!$T$2:$T$495))-(ROW('CASE MASTER'!#REF!)-1)))&amp;TRIM(MID(SUBSTITUTE(SUBSTITUTE(INDEX('CASE MASTER'!$N$2:$N$495,(SUMPRODUCT((('CASE MASTER'!$T$2:$T$495=5)*('CASE MASTER'!$U$2:$U$495&lt;=3)*('CASE MASTER'!$W$2:$W$495&gt;=3)*('CASE MASTER'!$V$2:$V$495&lt;=2)*('CASE MASTER'!$X$2:$X$495&gt;=2))*ROW('CASE MASTER'!$T$2:$T$495))-(ROW('CASE MASTER'!#REF!)-1))),":",","),",",REPT(" ",50)),((((3-INDEX('CASE MASTER'!$U$2:$U$495,(SUMPRODUCT((('CASE MASTER'!$T$2:$T$495=5)*('CASE MASTER'!$U$2:$U$495&lt;=3)*('CASE MASTER'!$W$2:$W$495&gt;=3)*('CASE MASTER'!$V$2:$V$495&lt;=2)*('CASE MASTER'!$X$2:$X$495&gt;=2))*ROW('CASE MASTER'!$T$2:$T$495))-(ROW('CASE MASTER'!#REF!)-1))))*(INDEX('CASE MASTER'!$X$2:$X$495,(SUMPRODUCT((('CASE MASTER'!$T$2:$T$495=5)*('CASE MASTER'!$U$2:$U$495&lt;=3)*('CASE MASTER'!$W$2:$W$495&gt;=3)*('CASE MASTER'!$V$2:$V$495&lt;=2)*('CASE MASTER'!$X$2:$X$495&gt;=2))*ROW('CASE MASTER'!$T$2:$T$495))-(ROW('CASE MASTER'!#REF!)-1)))-INDEX('CASE MASTER'!$V$2:$V$495,(SUMPRODUCT((('CASE MASTER'!$T$2:$T$495=5)*('CASE MASTER'!$U$2:$U$495&lt;=3)*('CASE MASTER'!$W$2:$W$495&gt;=3)*('CASE MASTER'!$V$2:$V$495&lt;=2)*('CASE MASTER'!$X$2:$X$495&gt;=2))*ROW('CASE MASTER'!$T$2:$T$495))-(ROW('CASE MASTER'!#REF!)-1)))+1)+(2-INDEX('CASE MASTER'!$V$2:$V$495,(SUMPRODUCT((('CASE MASTER'!$T$2:$T$495=5)*('CASE MASTER'!$U$2:$U$495&lt;=3)*('CASE MASTER'!$W$2:$W$495&gt;=3)*('CASE MASTER'!$V$2:$V$495&lt;=2)*('CASE MASTER'!$X$2:$X$495&gt;=2))*ROW('CASE MASTER'!$T$2:$T$495))-(ROW('CASE MASTER'!#REF!)-1))))+1))-1)*50+1,50))&amp;"_"&amp;INDEX('CASE MASTER'!$Q$2:$Q$495,(SUMPRODUCT((('CASE MASTER'!$T$2:$T$495=5)*('CASE MASTER'!$U$2:$U$495&lt;=3)*('CASE MASTER'!$W$2:$W$495&gt;=3)*('CASE MASTER'!$V$2:$V$495&lt;=2)*('CASE MASTER'!$X$2:$X$495&gt;=2))*ROW('CASE MASTER'!$T$2:$T$495))-(ROW('CASE MASTER'!#REF!)-1))),IF(SUMPRODUCT((('CASE MASTER'!$T$2:$T$495=5)*('CASE MASTER'!$AA$2:$AA$495&lt;=3)*('CASE MASTER'!$AC$2:$AC$495&gt;=3)*('CASE MASTER'!$AB$2:$AB$495&lt;=2)*('CASE MASTER'!$AD$2:$AD$495&gt;=2))*ROW('CASE MASTER'!$T$2:$T$495))&gt;0,INDEX('CASE MASTER'!$Y$2:$Y$495,(SUMPRODUCT((('CASE MASTER'!$T$2:$T$495=5)*('CASE MASTER'!$AA$2:$AA$495&lt;=3)*('CASE MASTER'!$AC$2:$AC$495&gt;=3)*('CASE MASTER'!$AB$2:$AB$495&lt;=2)*('CASE MASTER'!$AD$2:$AD$495&gt;=2))*ROW('CASE MASTER'!$T$2:$T$495))-(ROW('CASE MASTER'!#REF!)-1)))&amp;TRIM(MID(SUBSTITUTE(SUBSTITUTE(INDEX('CASE MASTER'!$N$2:$N$495,(SUMPRODUCT((('CASE MASTER'!$T$2:$T$495=5)*('CASE MASTER'!$AA$2:$AA$495&lt;=3)*('CASE MASTER'!$AC$2:$AC$495&gt;=3)*('CASE MASTER'!$AB$2:$AB$495&lt;=2)*('CASE MASTER'!$AD$2:$AD$495&gt;=2))*ROW('CASE MASTER'!$T$2:$T$495))-(ROW('CASE MASTER'!#REF!)-1))),":",","),",",REPT(" ",50)),(((INDEX('CASE MASTER'!$Z$2:$Z$495,(SUMPRODUCT((('CASE MASTER'!$T$2:$T$495=5)*('CASE MASTER'!$AA$2:$AA$495&lt;=3)*('CASE MASTER'!$AC$2:$AC$495&gt;=3)*('CASE MASTER'!$AB$2:$AB$495&lt;=2)*('CASE MASTER'!$AD$2:$AD$495&gt;=2))*ROW('CASE MASTER'!$T$2:$T$495))-(ROW('CASE MASTER'!#REF!)-1)))+((3-INDEX('CASE MASTER'!$AA$2:$AA$495,(SUMPRODUCT((('CASE MASTER'!$T$2:$T$495=5)*('CASE MASTER'!$AA$2:$AA$495&lt;=3)*('CASE MASTER'!$AC$2:$AC$495&gt;=3)*('CASE MASTER'!$AB$2:$AB$495&lt;=2)*('CASE MASTER'!$AD$2:$AD$495&gt;=2))*ROW('CASE MASTER'!$T$2:$T$495))-(ROW('CASE MASTER'!#REF!)-1))))*(INDEX('CASE MASTER'!$AD$2:$AD$495,(SUMPRODUCT((('CASE MASTER'!$T$2:$T$495=5)*('CASE MASTER'!$AA$2:$AA$495&lt;=3)*('CASE MASTER'!$AC$2:$AC$495&gt;=3)*('CASE MASTER'!$AB$2:$AB$495&lt;=2)*('CASE MASTER'!$AD$2:$AD$495&gt;=2))*ROW('CASE MASTER'!$T$2:$T$495))-(ROW('CASE MASTER'!#REF!)-1)))-INDEX('CASE MASTER'!$AB$2:$AB$495,(SUMPRODUCT((('CASE MASTER'!$T$2:$T$495=5)*('CASE MASTER'!$AA$2:$AA$495&lt;=3)*('CASE MASTER'!$AC$2:$AC$495&gt;=3)*('CASE MASTER'!$AB$2:$AB$495&lt;=2)*('CASE MASTER'!$AD$2:$AD$495&gt;=2))*ROW('CASE MASTER'!$T$2:$T$495))-(ROW('CASE MASTER'!#REF!)-1)))+1)+(2-INDEX('CASE MASTER'!$AB$2:$AB$495,(SUMPRODUCT((('CASE MASTER'!$T$2:$T$495=5)*('CASE MASTER'!$AA$2:$AA$495&lt;=3)*('CASE MASTER'!$AC$2:$AC$495&gt;=3)*('CASE MASTER'!$AB$2:$AB$495&lt;=2)*('CASE MASTER'!$AD$2:$AD$495&gt;=2))*ROW('CASE MASTER'!$T$2:$T$495))-(ROW('CASE MASTER'!#REF!)-1))))+1)))-1)*50+1,50))&amp;"_"&amp;INDEX('CASE MASTER'!$Q$2:$Q$495,(SUMPRODUCT((('CASE MASTER'!$T$2:$T$495=5)*('CASE MASTER'!$AA$2:$AA$495&lt;=3)*('CASE MASTER'!$AC$2:$AC$495&gt;=3)*('CASE MASTER'!$AB$2:$AB$495&lt;=2)*('CASE MASTER'!$AD$2:$AD$495&gt;=2))*ROW('CASE MASTER'!$T$2:$T$495))-(ROW('CASE MASTER'!#REF!)-1))),"")),"")</f>
        <v/>
      </c>
      <c r="D61" s="10" t="str">
        <f>IFERROR(IF(SUMPRODUCT((('CASE MASTER'!$T$2:$T$495=5)*('CASE MASTER'!$U$2:$U$495&lt;=3)*('CASE MASTER'!$W$2:$W$495&gt;=3)*('CASE MASTER'!$V$2:$V$495&lt;=3)*('CASE MASTER'!$X$2:$X$495&gt;=3))*ROW('CASE MASTER'!$T$2:$T$495))&gt;0,INDEX('CASE MASTER'!$Y$2:$Y$495,(SUMPRODUCT((('CASE MASTER'!$T$2:$T$495=5)*('CASE MASTER'!$U$2:$U$495&lt;=3)*('CASE MASTER'!$W$2:$W$495&gt;=3)*('CASE MASTER'!$V$2:$V$495&lt;=3)*('CASE MASTER'!$X$2:$X$495&gt;=3))*ROW('CASE MASTER'!$T$2:$T$495))-(ROW('CASE MASTER'!#REF!)-1)))&amp;TRIM(MID(SUBSTITUTE(SUBSTITUTE(INDEX('CASE MASTER'!$N$2:$N$495,(SUMPRODUCT((('CASE MASTER'!$T$2:$T$495=5)*('CASE MASTER'!$U$2:$U$495&lt;=3)*('CASE MASTER'!$W$2:$W$495&gt;=3)*('CASE MASTER'!$V$2:$V$495&lt;=3)*('CASE MASTER'!$X$2:$X$495&gt;=3))*ROW('CASE MASTER'!$T$2:$T$495))-(ROW('CASE MASTER'!#REF!)-1))),":",","),",",REPT(" ",50)),((((3-INDEX('CASE MASTER'!$U$2:$U$495,(SUMPRODUCT((('CASE MASTER'!$T$2:$T$495=5)*('CASE MASTER'!$U$2:$U$495&lt;=3)*('CASE MASTER'!$W$2:$W$495&gt;=3)*('CASE MASTER'!$V$2:$V$495&lt;=3)*('CASE MASTER'!$X$2:$X$495&gt;=3))*ROW('CASE MASTER'!$T$2:$T$495))-(ROW('CASE MASTER'!#REF!)-1))))*(INDEX('CASE MASTER'!$X$2:$X$495,(SUMPRODUCT((('CASE MASTER'!$T$2:$T$495=5)*('CASE MASTER'!$U$2:$U$495&lt;=3)*('CASE MASTER'!$W$2:$W$495&gt;=3)*('CASE MASTER'!$V$2:$V$495&lt;=3)*('CASE MASTER'!$X$2:$X$495&gt;=3))*ROW('CASE MASTER'!$T$2:$T$495))-(ROW('CASE MASTER'!#REF!)-1)))-INDEX('CASE MASTER'!$V$2:$V$495,(SUMPRODUCT((('CASE MASTER'!$T$2:$T$495=5)*('CASE MASTER'!$U$2:$U$495&lt;=3)*('CASE MASTER'!$W$2:$W$495&gt;=3)*('CASE MASTER'!$V$2:$V$495&lt;=3)*('CASE MASTER'!$X$2:$X$495&gt;=3))*ROW('CASE MASTER'!$T$2:$T$495))-(ROW('CASE MASTER'!#REF!)-1)))+1)+(3-INDEX('CASE MASTER'!$V$2:$V$495,(SUMPRODUCT((('CASE MASTER'!$T$2:$T$495=5)*('CASE MASTER'!$U$2:$U$495&lt;=3)*('CASE MASTER'!$W$2:$W$495&gt;=3)*('CASE MASTER'!$V$2:$V$495&lt;=3)*('CASE MASTER'!$X$2:$X$495&gt;=3))*ROW('CASE MASTER'!$T$2:$T$495))-(ROW('CASE MASTER'!#REF!)-1))))+1))-1)*50+1,50))&amp;"_"&amp;INDEX('CASE MASTER'!$Q$2:$Q$495,(SUMPRODUCT((('CASE MASTER'!$T$2:$T$495=5)*('CASE MASTER'!$U$2:$U$495&lt;=3)*('CASE MASTER'!$W$2:$W$495&gt;=3)*('CASE MASTER'!$V$2:$V$495&lt;=3)*('CASE MASTER'!$X$2:$X$495&gt;=3))*ROW('CASE MASTER'!$T$2:$T$495))-(ROW('CASE MASTER'!#REF!)-1))),IF(SUMPRODUCT((('CASE MASTER'!$T$2:$T$495=5)*('CASE MASTER'!$AA$2:$AA$495&lt;=3)*('CASE MASTER'!$AC$2:$AC$495&gt;=3)*('CASE MASTER'!$AB$2:$AB$495&lt;=3)*('CASE MASTER'!$AD$2:$AD$495&gt;=3))*ROW('CASE MASTER'!$T$2:$T$495))&gt;0,INDEX('CASE MASTER'!$Y$2:$Y$495,(SUMPRODUCT((('CASE MASTER'!$T$2:$T$495=5)*('CASE MASTER'!$AA$2:$AA$495&lt;=3)*('CASE MASTER'!$AC$2:$AC$495&gt;=3)*('CASE MASTER'!$AB$2:$AB$495&lt;=3)*('CASE MASTER'!$AD$2:$AD$495&gt;=3))*ROW('CASE MASTER'!$T$2:$T$495))-(ROW('CASE MASTER'!#REF!)-1)))&amp;TRIM(MID(SUBSTITUTE(SUBSTITUTE(INDEX('CASE MASTER'!$N$2:$N$495,(SUMPRODUCT((('CASE MASTER'!$T$2:$T$495=5)*('CASE MASTER'!$AA$2:$AA$495&lt;=3)*('CASE MASTER'!$AC$2:$AC$495&gt;=3)*('CASE MASTER'!$AB$2:$AB$495&lt;=3)*('CASE MASTER'!$AD$2:$AD$495&gt;=3))*ROW('CASE MASTER'!$T$2:$T$495))-(ROW('CASE MASTER'!#REF!)-1))),":",","),",",REPT(" ",50)),(((INDEX('CASE MASTER'!$Z$2:$Z$495,(SUMPRODUCT((('CASE MASTER'!$T$2:$T$495=5)*('CASE MASTER'!$AA$2:$AA$495&lt;=3)*('CASE MASTER'!$AC$2:$AC$495&gt;=3)*('CASE MASTER'!$AB$2:$AB$495&lt;=3)*('CASE MASTER'!$AD$2:$AD$495&gt;=3))*ROW('CASE MASTER'!$T$2:$T$495))-(ROW('CASE MASTER'!#REF!)-1)))+((3-INDEX('CASE MASTER'!$AA$2:$AA$495,(SUMPRODUCT((('CASE MASTER'!$T$2:$T$495=5)*('CASE MASTER'!$AA$2:$AA$495&lt;=3)*('CASE MASTER'!$AC$2:$AC$495&gt;=3)*('CASE MASTER'!$AB$2:$AB$495&lt;=3)*('CASE MASTER'!$AD$2:$AD$495&gt;=3))*ROW('CASE MASTER'!$T$2:$T$495))-(ROW('CASE MASTER'!#REF!)-1))))*(INDEX('CASE MASTER'!$AD$2:$AD$495,(SUMPRODUCT((('CASE MASTER'!$T$2:$T$495=5)*('CASE MASTER'!$AA$2:$AA$495&lt;=3)*('CASE MASTER'!$AC$2:$AC$495&gt;=3)*('CASE MASTER'!$AB$2:$AB$495&lt;=3)*('CASE MASTER'!$AD$2:$AD$495&gt;=3))*ROW('CASE MASTER'!$T$2:$T$495))-(ROW('CASE MASTER'!#REF!)-1)))-INDEX('CASE MASTER'!$AB$2:$AB$495,(SUMPRODUCT((('CASE MASTER'!$T$2:$T$495=5)*('CASE MASTER'!$AA$2:$AA$495&lt;=3)*('CASE MASTER'!$AC$2:$AC$495&gt;=3)*('CASE MASTER'!$AB$2:$AB$495&lt;=3)*('CASE MASTER'!$AD$2:$AD$495&gt;=3))*ROW('CASE MASTER'!$T$2:$T$495))-(ROW('CASE MASTER'!#REF!)-1)))+1)+(3-INDEX('CASE MASTER'!$AB$2:$AB$495,(SUMPRODUCT((('CASE MASTER'!$T$2:$T$495=5)*('CASE MASTER'!$AA$2:$AA$495&lt;=3)*('CASE MASTER'!$AC$2:$AC$495&gt;=3)*('CASE MASTER'!$AB$2:$AB$495&lt;=3)*('CASE MASTER'!$AD$2:$AD$495&gt;=3))*ROW('CASE MASTER'!$T$2:$T$495))-(ROW('CASE MASTER'!#REF!)-1))))+1)))-1)*50+1,50))&amp;"_"&amp;INDEX('CASE MASTER'!$Q$2:$Q$495,(SUMPRODUCT((('CASE MASTER'!$T$2:$T$495=5)*('CASE MASTER'!$AA$2:$AA$495&lt;=3)*('CASE MASTER'!$AC$2:$AC$495&gt;=3)*('CASE MASTER'!$AB$2:$AB$495&lt;=3)*('CASE MASTER'!$AD$2:$AD$495&gt;=3))*ROW('CASE MASTER'!$T$2:$T$495))-(ROW('CASE MASTER'!#REF!)-1))),"")),"")</f>
        <v/>
      </c>
      <c r="E61" s="10" t="str">
        <f>IFERROR(IF(SUMPRODUCT((('CASE MASTER'!$T$2:$T$495=5)*('CASE MASTER'!$U$2:$U$495&lt;=3)*('CASE MASTER'!$W$2:$W$495&gt;=3)*('CASE MASTER'!$V$2:$V$495&lt;=4)*('CASE MASTER'!$X$2:$X$495&gt;=4))*ROW('CASE MASTER'!$T$2:$T$495))&gt;0,INDEX('CASE MASTER'!$Y$2:$Y$495,(SUMPRODUCT((('CASE MASTER'!$T$2:$T$495=5)*('CASE MASTER'!$U$2:$U$495&lt;=3)*('CASE MASTER'!$W$2:$W$495&gt;=3)*('CASE MASTER'!$V$2:$V$495&lt;=4)*('CASE MASTER'!$X$2:$X$495&gt;=4))*ROW('CASE MASTER'!$T$2:$T$495))-(ROW('CASE MASTER'!#REF!)-1)))&amp;TRIM(MID(SUBSTITUTE(SUBSTITUTE(INDEX('CASE MASTER'!$N$2:$N$495,(SUMPRODUCT((('CASE MASTER'!$T$2:$T$495=5)*('CASE MASTER'!$U$2:$U$495&lt;=3)*('CASE MASTER'!$W$2:$W$495&gt;=3)*('CASE MASTER'!$V$2:$V$495&lt;=4)*('CASE MASTER'!$X$2:$X$495&gt;=4))*ROW('CASE MASTER'!$T$2:$T$495))-(ROW('CASE MASTER'!#REF!)-1))),":",","),",",REPT(" ",50)),((((3-INDEX('CASE MASTER'!$U$2:$U$495,(SUMPRODUCT((('CASE MASTER'!$T$2:$T$495=5)*('CASE MASTER'!$U$2:$U$495&lt;=3)*('CASE MASTER'!$W$2:$W$495&gt;=3)*('CASE MASTER'!$V$2:$V$495&lt;=4)*('CASE MASTER'!$X$2:$X$495&gt;=4))*ROW('CASE MASTER'!$T$2:$T$495))-(ROW('CASE MASTER'!#REF!)-1))))*(INDEX('CASE MASTER'!$X$2:$X$495,(SUMPRODUCT((('CASE MASTER'!$T$2:$T$495=5)*('CASE MASTER'!$U$2:$U$495&lt;=3)*('CASE MASTER'!$W$2:$W$495&gt;=3)*('CASE MASTER'!$V$2:$V$495&lt;=4)*('CASE MASTER'!$X$2:$X$495&gt;=4))*ROW('CASE MASTER'!$T$2:$T$495))-(ROW('CASE MASTER'!#REF!)-1)))-INDEX('CASE MASTER'!$V$2:$V$495,(SUMPRODUCT((('CASE MASTER'!$T$2:$T$495=5)*('CASE MASTER'!$U$2:$U$495&lt;=3)*('CASE MASTER'!$W$2:$W$495&gt;=3)*('CASE MASTER'!$V$2:$V$495&lt;=4)*('CASE MASTER'!$X$2:$X$495&gt;=4))*ROW('CASE MASTER'!$T$2:$T$495))-(ROW('CASE MASTER'!#REF!)-1)))+1)+(4-INDEX('CASE MASTER'!$V$2:$V$495,(SUMPRODUCT((('CASE MASTER'!$T$2:$T$495=5)*('CASE MASTER'!$U$2:$U$495&lt;=3)*('CASE MASTER'!$W$2:$W$495&gt;=3)*('CASE MASTER'!$V$2:$V$495&lt;=4)*('CASE MASTER'!$X$2:$X$495&gt;=4))*ROW('CASE MASTER'!$T$2:$T$495))-(ROW('CASE MASTER'!#REF!)-1))))+1))-1)*50+1,50))&amp;"_"&amp;INDEX('CASE MASTER'!$Q$2:$Q$495,(SUMPRODUCT((('CASE MASTER'!$T$2:$T$495=5)*('CASE MASTER'!$U$2:$U$495&lt;=3)*('CASE MASTER'!$W$2:$W$495&gt;=3)*('CASE MASTER'!$V$2:$V$495&lt;=4)*('CASE MASTER'!$X$2:$X$495&gt;=4))*ROW('CASE MASTER'!$T$2:$T$495))-(ROW('CASE MASTER'!#REF!)-1))),IF(SUMPRODUCT((('CASE MASTER'!$T$2:$T$495=5)*('CASE MASTER'!$AA$2:$AA$495&lt;=3)*('CASE MASTER'!$AC$2:$AC$495&gt;=3)*('CASE MASTER'!$AB$2:$AB$495&lt;=4)*('CASE MASTER'!$AD$2:$AD$495&gt;=4))*ROW('CASE MASTER'!$T$2:$T$495))&gt;0,INDEX('CASE MASTER'!$Y$2:$Y$495,(SUMPRODUCT((('CASE MASTER'!$T$2:$T$495=5)*('CASE MASTER'!$AA$2:$AA$495&lt;=3)*('CASE MASTER'!$AC$2:$AC$495&gt;=3)*('CASE MASTER'!$AB$2:$AB$495&lt;=4)*('CASE MASTER'!$AD$2:$AD$495&gt;=4))*ROW('CASE MASTER'!$T$2:$T$495))-(ROW('CASE MASTER'!#REF!)-1)))&amp;TRIM(MID(SUBSTITUTE(SUBSTITUTE(INDEX('CASE MASTER'!$N$2:$N$495,(SUMPRODUCT((('CASE MASTER'!$T$2:$T$495=5)*('CASE MASTER'!$AA$2:$AA$495&lt;=3)*('CASE MASTER'!$AC$2:$AC$495&gt;=3)*('CASE MASTER'!$AB$2:$AB$495&lt;=4)*('CASE MASTER'!$AD$2:$AD$495&gt;=4))*ROW('CASE MASTER'!$T$2:$T$495))-(ROW('CASE MASTER'!#REF!)-1))),":",","),",",REPT(" ",50)),(((INDEX('CASE MASTER'!$Z$2:$Z$495,(SUMPRODUCT((('CASE MASTER'!$T$2:$T$495=5)*('CASE MASTER'!$AA$2:$AA$495&lt;=3)*('CASE MASTER'!$AC$2:$AC$495&gt;=3)*('CASE MASTER'!$AB$2:$AB$495&lt;=4)*('CASE MASTER'!$AD$2:$AD$495&gt;=4))*ROW('CASE MASTER'!$T$2:$T$495))-(ROW('CASE MASTER'!#REF!)-1)))+((3-INDEX('CASE MASTER'!$AA$2:$AA$495,(SUMPRODUCT((('CASE MASTER'!$T$2:$T$495=5)*('CASE MASTER'!$AA$2:$AA$495&lt;=3)*('CASE MASTER'!$AC$2:$AC$495&gt;=3)*('CASE MASTER'!$AB$2:$AB$495&lt;=4)*('CASE MASTER'!$AD$2:$AD$495&gt;=4))*ROW('CASE MASTER'!$T$2:$T$495))-(ROW('CASE MASTER'!#REF!)-1))))*(INDEX('CASE MASTER'!$AD$2:$AD$495,(SUMPRODUCT((('CASE MASTER'!$T$2:$T$495=5)*('CASE MASTER'!$AA$2:$AA$495&lt;=3)*('CASE MASTER'!$AC$2:$AC$495&gt;=3)*('CASE MASTER'!$AB$2:$AB$495&lt;=4)*('CASE MASTER'!$AD$2:$AD$495&gt;=4))*ROW('CASE MASTER'!$T$2:$T$495))-(ROW('CASE MASTER'!#REF!)-1)))-INDEX('CASE MASTER'!$AB$2:$AB$495,(SUMPRODUCT((('CASE MASTER'!$T$2:$T$495=5)*('CASE MASTER'!$AA$2:$AA$495&lt;=3)*('CASE MASTER'!$AC$2:$AC$495&gt;=3)*('CASE MASTER'!$AB$2:$AB$495&lt;=4)*('CASE MASTER'!$AD$2:$AD$495&gt;=4))*ROW('CASE MASTER'!$T$2:$T$495))-(ROW('CASE MASTER'!#REF!)-1)))+1)+(4-INDEX('CASE MASTER'!$AB$2:$AB$495,(SUMPRODUCT((('CASE MASTER'!$T$2:$T$495=5)*('CASE MASTER'!$AA$2:$AA$495&lt;=3)*('CASE MASTER'!$AC$2:$AC$495&gt;=3)*('CASE MASTER'!$AB$2:$AB$495&lt;=4)*('CASE MASTER'!$AD$2:$AD$495&gt;=4))*ROW('CASE MASTER'!$T$2:$T$495))-(ROW('CASE MASTER'!#REF!)-1))))+1)))-1)*50+1,50))&amp;"_"&amp;INDEX('CASE MASTER'!$Q$2:$Q$495,(SUMPRODUCT((('CASE MASTER'!$T$2:$T$495=5)*('CASE MASTER'!$AA$2:$AA$495&lt;=3)*('CASE MASTER'!$AC$2:$AC$495&gt;=3)*('CASE MASTER'!$AB$2:$AB$495&lt;=4)*('CASE MASTER'!$AD$2:$AD$495&gt;=4))*ROW('CASE MASTER'!$T$2:$T$495))-(ROW('CASE MASTER'!#REF!)-1))),"")),"")</f>
        <v/>
      </c>
      <c r="F61" s="10" t="str">
        <f>IFERROR(IF(SUMPRODUCT((('CASE MASTER'!$T$2:$T$495=5)*('CASE MASTER'!$U$2:$U$495&lt;=3)*('CASE MASTER'!$W$2:$W$495&gt;=3)*('CASE MASTER'!$V$2:$V$495&lt;=5)*('CASE MASTER'!$X$2:$X$495&gt;=5))*ROW('CASE MASTER'!$T$2:$T$495))&gt;0,INDEX('CASE MASTER'!$Y$2:$Y$495,(SUMPRODUCT((('CASE MASTER'!$T$2:$T$495=5)*('CASE MASTER'!$U$2:$U$495&lt;=3)*('CASE MASTER'!$W$2:$W$495&gt;=3)*('CASE MASTER'!$V$2:$V$495&lt;=5)*('CASE MASTER'!$X$2:$X$495&gt;=5))*ROW('CASE MASTER'!$T$2:$T$495))-(ROW('CASE MASTER'!#REF!)-1)))&amp;TRIM(MID(SUBSTITUTE(SUBSTITUTE(INDEX('CASE MASTER'!$N$2:$N$495,(SUMPRODUCT((('CASE MASTER'!$T$2:$T$495=5)*('CASE MASTER'!$U$2:$U$495&lt;=3)*('CASE MASTER'!$W$2:$W$495&gt;=3)*('CASE MASTER'!$V$2:$V$495&lt;=5)*('CASE MASTER'!$X$2:$X$495&gt;=5))*ROW('CASE MASTER'!$T$2:$T$495))-(ROW('CASE MASTER'!#REF!)-1))),":",","),",",REPT(" ",50)),((((3-INDEX('CASE MASTER'!$U$2:$U$495,(SUMPRODUCT((('CASE MASTER'!$T$2:$T$495=5)*('CASE MASTER'!$U$2:$U$495&lt;=3)*('CASE MASTER'!$W$2:$W$495&gt;=3)*('CASE MASTER'!$V$2:$V$495&lt;=5)*('CASE MASTER'!$X$2:$X$495&gt;=5))*ROW('CASE MASTER'!$T$2:$T$495))-(ROW('CASE MASTER'!#REF!)-1))))*(INDEX('CASE MASTER'!$X$2:$X$495,(SUMPRODUCT((('CASE MASTER'!$T$2:$T$495=5)*('CASE MASTER'!$U$2:$U$495&lt;=3)*('CASE MASTER'!$W$2:$W$495&gt;=3)*('CASE MASTER'!$V$2:$V$495&lt;=5)*('CASE MASTER'!$X$2:$X$495&gt;=5))*ROW('CASE MASTER'!$T$2:$T$495))-(ROW('CASE MASTER'!#REF!)-1)))-INDEX('CASE MASTER'!$V$2:$V$495,(SUMPRODUCT((('CASE MASTER'!$T$2:$T$495=5)*('CASE MASTER'!$U$2:$U$495&lt;=3)*('CASE MASTER'!$W$2:$W$495&gt;=3)*('CASE MASTER'!$V$2:$V$495&lt;=5)*('CASE MASTER'!$X$2:$X$495&gt;=5))*ROW('CASE MASTER'!$T$2:$T$495))-(ROW('CASE MASTER'!#REF!)-1)))+1)+(5-INDEX('CASE MASTER'!$V$2:$V$495,(SUMPRODUCT((('CASE MASTER'!$T$2:$T$495=5)*('CASE MASTER'!$U$2:$U$495&lt;=3)*('CASE MASTER'!$W$2:$W$495&gt;=3)*('CASE MASTER'!$V$2:$V$495&lt;=5)*('CASE MASTER'!$X$2:$X$495&gt;=5))*ROW('CASE MASTER'!$T$2:$T$495))-(ROW('CASE MASTER'!#REF!)-1))))+1))-1)*50+1,50))&amp;"_"&amp;INDEX('CASE MASTER'!$Q$2:$Q$495,(SUMPRODUCT((('CASE MASTER'!$T$2:$T$495=5)*('CASE MASTER'!$U$2:$U$495&lt;=3)*('CASE MASTER'!$W$2:$W$495&gt;=3)*('CASE MASTER'!$V$2:$V$495&lt;=5)*('CASE MASTER'!$X$2:$X$495&gt;=5))*ROW('CASE MASTER'!$T$2:$T$495))-(ROW('CASE MASTER'!#REF!)-1))),IF(SUMPRODUCT((('CASE MASTER'!$T$2:$T$495=5)*('CASE MASTER'!$AA$2:$AA$495&lt;=3)*('CASE MASTER'!$AC$2:$AC$495&gt;=3)*('CASE MASTER'!$AB$2:$AB$495&lt;=5)*('CASE MASTER'!$AD$2:$AD$495&gt;=5))*ROW('CASE MASTER'!$T$2:$T$495))&gt;0,INDEX('CASE MASTER'!$Y$2:$Y$495,(SUMPRODUCT((('CASE MASTER'!$T$2:$T$495=5)*('CASE MASTER'!$AA$2:$AA$495&lt;=3)*('CASE MASTER'!$AC$2:$AC$495&gt;=3)*('CASE MASTER'!$AB$2:$AB$495&lt;=5)*('CASE MASTER'!$AD$2:$AD$495&gt;=5))*ROW('CASE MASTER'!$T$2:$T$495))-(ROW('CASE MASTER'!#REF!)-1)))&amp;TRIM(MID(SUBSTITUTE(SUBSTITUTE(INDEX('CASE MASTER'!$N$2:$N$495,(SUMPRODUCT((('CASE MASTER'!$T$2:$T$495=5)*('CASE MASTER'!$AA$2:$AA$495&lt;=3)*('CASE MASTER'!$AC$2:$AC$495&gt;=3)*('CASE MASTER'!$AB$2:$AB$495&lt;=5)*('CASE MASTER'!$AD$2:$AD$495&gt;=5))*ROW('CASE MASTER'!$T$2:$T$495))-(ROW('CASE MASTER'!#REF!)-1))),":",","),",",REPT(" ",50)),(((INDEX('CASE MASTER'!$Z$2:$Z$495,(SUMPRODUCT((('CASE MASTER'!$T$2:$T$495=5)*('CASE MASTER'!$AA$2:$AA$495&lt;=3)*('CASE MASTER'!$AC$2:$AC$495&gt;=3)*('CASE MASTER'!$AB$2:$AB$495&lt;=5)*('CASE MASTER'!$AD$2:$AD$495&gt;=5))*ROW('CASE MASTER'!$T$2:$T$495))-(ROW('CASE MASTER'!#REF!)-1)))+((3-INDEX('CASE MASTER'!$AA$2:$AA$495,(SUMPRODUCT((('CASE MASTER'!$T$2:$T$495=5)*('CASE MASTER'!$AA$2:$AA$495&lt;=3)*('CASE MASTER'!$AC$2:$AC$495&gt;=3)*('CASE MASTER'!$AB$2:$AB$495&lt;=5)*('CASE MASTER'!$AD$2:$AD$495&gt;=5))*ROW('CASE MASTER'!$T$2:$T$495))-(ROW('CASE MASTER'!#REF!)-1))))*(INDEX('CASE MASTER'!$AD$2:$AD$495,(SUMPRODUCT((('CASE MASTER'!$T$2:$T$495=5)*('CASE MASTER'!$AA$2:$AA$495&lt;=3)*('CASE MASTER'!$AC$2:$AC$495&gt;=3)*('CASE MASTER'!$AB$2:$AB$495&lt;=5)*('CASE MASTER'!$AD$2:$AD$495&gt;=5))*ROW('CASE MASTER'!$T$2:$T$495))-(ROW('CASE MASTER'!#REF!)-1)))-INDEX('CASE MASTER'!$AB$2:$AB$495,(SUMPRODUCT((('CASE MASTER'!$T$2:$T$495=5)*('CASE MASTER'!$AA$2:$AA$495&lt;=3)*('CASE MASTER'!$AC$2:$AC$495&gt;=3)*('CASE MASTER'!$AB$2:$AB$495&lt;=5)*('CASE MASTER'!$AD$2:$AD$495&gt;=5))*ROW('CASE MASTER'!$T$2:$T$495))-(ROW('CASE MASTER'!#REF!)-1)))+1)+(5-INDEX('CASE MASTER'!$AB$2:$AB$495,(SUMPRODUCT((('CASE MASTER'!$T$2:$T$495=5)*('CASE MASTER'!$AA$2:$AA$495&lt;=3)*('CASE MASTER'!$AC$2:$AC$495&gt;=3)*('CASE MASTER'!$AB$2:$AB$495&lt;=5)*('CASE MASTER'!$AD$2:$AD$495&gt;=5))*ROW('CASE MASTER'!$T$2:$T$495))-(ROW('CASE MASTER'!#REF!)-1))))+1)))-1)*50+1,50))&amp;"_"&amp;INDEX('CASE MASTER'!$Q$2:$Q$495,(SUMPRODUCT((('CASE MASTER'!$T$2:$T$495=5)*('CASE MASTER'!$AA$2:$AA$495&lt;=3)*('CASE MASTER'!$AC$2:$AC$495&gt;=3)*('CASE MASTER'!$AB$2:$AB$495&lt;=5)*('CASE MASTER'!$AD$2:$AD$495&gt;=5))*ROW('CASE MASTER'!$T$2:$T$495))-(ROW('CASE MASTER'!#REF!)-1))),"")),"")</f>
        <v/>
      </c>
      <c r="G61" s="10" t="str">
        <f>IFERROR(IF(SUMPRODUCT((('CASE MASTER'!$T$2:$T$495=5)*('CASE MASTER'!$U$2:$U$495&lt;=3)*('CASE MASTER'!$W$2:$W$495&gt;=3)*('CASE MASTER'!$V$2:$V$495&lt;=6)*('CASE MASTER'!$X$2:$X$495&gt;=6))*ROW('CASE MASTER'!$T$2:$T$495))&gt;0,INDEX('CASE MASTER'!$Y$2:$Y$495,(SUMPRODUCT((('CASE MASTER'!$T$2:$T$495=5)*('CASE MASTER'!$U$2:$U$495&lt;=3)*('CASE MASTER'!$W$2:$W$495&gt;=3)*('CASE MASTER'!$V$2:$V$495&lt;=6)*('CASE MASTER'!$X$2:$X$495&gt;=6))*ROW('CASE MASTER'!$T$2:$T$495))-(ROW('CASE MASTER'!#REF!)-1)))&amp;TRIM(MID(SUBSTITUTE(SUBSTITUTE(INDEX('CASE MASTER'!$N$2:$N$495,(SUMPRODUCT((('CASE MASTER'!$T$2:$T$495=5)*('CASE MASTER'!$U$2:$U$495&lt;=3)*('CASE MASTER'!$W$2:$W$495&gt;=3)*('CASE MASTER'!$V$2:$V$495&lt;=6)*('CASE MASTER'!$X$2:$X$495&gt;=6))*ROW('CASE MASTER'!$T$2:$T$495))-(ROW('CASE MASTER'!#REF!)-1))),":",","),",",REPT(" ",50)),((((3-INDEX('CASE MASTER'!$U$2:$U$495,(SUMPRODUCT((('CASE MASTER'!$T$2:$T$495=5)*('CASE MASTER'!$U$2:$U$495&lt;=3)*('CASE MASTER'!$W$2:$W$495&gt;=3)*('CASE MASTER'!$V$2:$V$495&lt;=6)*('CASE MASTER'!$X$2:$X$495&gt;=6))*ROW('CASE MASTER'!$T$2:$T$495))-(ROW('CASE MASTER'!#REF!)-1))))*(INDEX('CASE MASTER'!$X$2:$X$495,(SUMPRODUCT((('CASE MASTER'!$T$2:$T$495=5)*('CASE MASTER'!$U$2:$U$495&lt;=3)*('CASE MASTER'!$W$2:$W$495&gt;=3)*('CASE MASTER'!$V$2:$V$495&lt;=6)*('CASE MASTER'!$X$2:$X$495&gt;=6))*ROW('CASE MASTER'!$T$2:$T$495))-(ROW('CASE MASTER'!#REF!)-1)))-INDEX('CASE MASTER'!$V$2:$V$495,(SUMPRODUCT((('CASE MASTER'!$T$2:$T$495=5)*('CASE MASTER'!$U$2:$U$495&lt;=3)*('CASE MASTER'!$W$2:$W$495&gt;=3)*('CASE MASTER'!$V$2:$V$495&lt;=6)*('CASE MASTER'!$X$2:$X$495&gt;=6))*ROW('CASE MASTER'!$T$2:$T$495))-(ROW('CASE MASTER'!#REF!)-1)))+1)+(6-INDEX('CASE MASTER'!$V$2:$V$495,(SUMPRODUCT((('CASE MASTER'!$T$2:$T$495=5)*('CASE MASTER'!$U$2:$U$495&lt;=3)*('CASE MASTER'!$W$2:$W$495&gt;=3)*('CASE MASTER'!$V$2:$V$495&lt;=6)*('CASE MASTER'!$X$2:$X$495&gt;=6))*ROW('CASE MASTER'!$T$2:$T$495))-(ROW('CASE MASTER'!#REF!)-1))))+1))-1)*50+1,50))&amp;"_"&amp;INDEX('CASE MASTER'!$Q$2:$Q$495,(SUMPRODUCT((('CASE MASTER'!$T$2:$T$495=5)*('CASE MASTER'!$U$2:$U$495&lt;=3)*('CASE MASTER'!$W$2:$W$495&gt;=3)*('CASE MASTER'!$V$2:$V$495&lt;=6)*('CASE MASTER'!$X$2:$X$495&gt;=6))*ROW('CASE MASTER'!$T$2:$T$495))-(ROW('CASE MASTER'!#REF!)-1))),IF(SUMPRODUCT((('CASE MASTER'!$T$2:$T$495=5)*('CASE MASTER'!$AA$2:$AA$495&lt;=3)*('CASE MASTER'!$AC$2:$AC$495&gt;=3)*('CASE MASTER'!$AB$2:$AB$495&lt;=6)*('CASE MASTER'!$AD$2:$AD$495&gt;=6))*ROW('CASE MASTER'!$T$2:$T$495))&gt;0,INDEX('CASE MASTER'!$Y$2:$Y$495,(SUMPRODUCT((('CASE MASTER'!$T$2:$T$495=5)*('CASE MASTER'!$AA$2:$AA$495&lt;=3)*('CASE MASTER'!$AC$2:$AC$495&gt;=3)*('CASE MASTER'!$AB$2:$AB$495&lt;=6)*('CASE MASTER'!$AD$2:$AD$495&gt;=6))*ROW('CASE MASTER'!$T$2:$T$495))-(ROW('CASE MASTER'!#REF!)-1)))&amp;TRIM(MID(SUBSTITUTE(SUBSTITUTE(INDEX('CASE MASTER'!$N$2:$N$495,(SUMPRODUCT((('CASE MASTER'!$T$2:$T$495=5)*('CASE MASTER'!$AA$2:$AA$495&lt;=3)*('CASE MASTER'!$AC$2:$AC$495&gt;=3)*('CASE MASTER'!$AB$2:$AB$495&lt;=6)*('CASE MASTER'!$AD$2:$AD$495&gt;=6))*ROW('CASE MASTER'!$T$2:$T$495))-(ROW('CASE MASTER'!#REF!)-1))),":",","),",",REPT(" ",50)),(((INDEX('CASE MASTER'!$Z$2:$Z$495,(SUMPRODUCT((('CASE MASTER'!$T$2:$T$495=5)*('CASE MASTER'!$AA$2:$AA$495&lt;=3)*('CASE MASTER'!$AC$2:$AC$495&gt;=3)*('CASE MASTER'!$AB$2:$AB$495&lt;=6)*('CASE MASTER'!$AD$2:$AD$495&gt;=6))*ROW('CASE MASTER'!$T$2:$T$495))-(ROW('CASE MASTER'!#REF!)-1)))+((3-INDEX('CASE MASTER'!$AA$2:$AA$495,(SUMPRODUCT((('CASE MASTER'!$T$2:$T$495=5)*('CASE MASTER'!$AA$2:$AA$495&lt;=3)*('CASE MASTER'!$AC$2:$AC$495&gt;=3)*('CASE MASTER'!$AB$2:$AB$495&lt;=6)*('CASE MASTER'!$AD$2:$AD$495&gt;=6))*ROW('CASE MASTER'!$T$2:$T$495))-(ROW('CASE MASTER'!#REF!)-1))))*(INDEX('CASE MASTER'!$AD$2:$AD$495,(SUMPRODUCT((('CASE MASTER'!$T$2:$T$495=5)*('CASE MASTER'!$AA$2:$AA$495&lt;=3)*('CASE MASTER'!$AC$2:$AC$495&gt;=3)*('CASE MASTER'!$AB$2:$AB$495&lt;=6)*('CASE MASTER'!$AD$2:$AD$495&gt;=6))*ROW('CASE MASTER'!$T$2:$T$495))-(ROW('CASE MASTER'!#REF!)-1)))-INDEX('CASE MASTER'!$AB$2:$AB$495,(SUMPRODUCT((('CASE MASTER'!$T$2:$T$495=5)*('CASE MASTER'!$AA$2:$AA$495&lt;=3)*('CASE MASTER'!$AC$2:$AC$495&gt;=3)*('CASE MASTER'!$AB$2:$AB$495&lt;=6)*('CASE MASTER'!$AD$2:$AD$495&gt;=6))*ROW('CASE MASTER'!$T$2:$T$495))-(ROW('CASE MASTER'!#REF!)-1)))+1)+(6-INDEX('CASE MASTER'!$AB$2:$AB$495,(SUMPRODUCT((('CASE MASTER'!$T$2:$T$495=5)*('CASE MASTER'!$AA$2:$AA$495&lt;=3)*('CASE MASTER'!$AC$2:$AC$495&gt;=3)*('CASE MASTER'!$AB$2:$AB$495&lt;=6)*('CASE MASTER'!$AD$2:$AD$495&gt;=6))*ROW('CASE MASTER'!$T$2:$T$495))-(ROW('CASE MASTER'!#REF!)-1))))+1)))-1)*50+1,50))&amp;"_"&amp;INDEX('CASE MASTER'!$Q$2:$Q$495,(SUMPRODUCT((('CASE MASTER'!$T$2:$T$495=5)*('CASE MASTER'!$AA$2:$AA$495&lt;=3)*('CASE MASTER'!$AC$2:$AC$495&gt;=3)*('CASE MASTER'!$AB$2:$AB$495&lt;=6)*('CASE MASTER'!$AD$2:$AD$495&gt;=6))*ROW('CASE MASTER'!$T$2:$T$495))-(ROW('CASE MASTER'!#REF!)-1))),"")),"")</f>
        <v/>
      </c>
      <c r="H61" s="10" t="str">
        <f>IFERROR(IF(SUMPRODUCT((('CASE MASTER'!$T$2:$T$495=5)*('CASE MASTER'!$U$2:$U$495&lt;=3)*('CASE MASTER'!$W$2:$W$495&gt;=3)*('CASE MASTER'!$V$2:$V$495&lt;=7)*('CASE MASTER'!$X$2:$X$495&gt;=7))*ROW('CASE MASTER'!$T$2:$T$495))&gt;0,INDEX('CASE MASTER'!$Y$2:$Y$495,(SUMPRODUCT((('CASE MASTER'!$T$2:$T$495=5)*('CASE MASTER'!$U$2:$U$495&lt;=3)*('CASE MASTER'!$W$2:$W$495&gt;=3)*('CASE MASTER'!$V$2:$V$495&lt;=7)*('CASE MASTER'!$X$2:$X$495&gt;=7))*ROW('CASE MASTER'!$T$2:$T$495))-(ROW('CASE MASTER'!#REF!)-1)))&amp;TRIM(MID(SUBSTITUTE(SUBSTITUTE(INDEX('CASE MASTER'!$N$2:$N$495,(SUMPRODUCT((('CASE MASTER'!$T$2:$T$495=5)*('CASE MASTER'!$U$2:$U$495&lt;=3)*('CASE MASTER'!$W$2:$W$495&gt;=3)*('CASE MASTER'!$V$2:$V$495&lt;=7)*('CASE MASTER'!$X$2:$X$495&gt;=7))*ROW('CASE MASTER'!$T$2:$T$495))-(ROW('CASE MASTER'!#REF!)-1))),":",","),",",REPT(" ",50)),((((3-INDEX('CASE MASTER'!$U$2:$U$495,(SUMPRODUCT((('CASE MASTER'!$T$2:$T$495=5)*('CASE MASTER'!$U$2:$U$495&lt;=3)*('CASE MASTER'!$W$2:$W$495&gt;=3)*('CASE MASTER'!$V$2:$V$495&lt;=7)*('CASE MASTER'!$X$2:$X$495&gt;=7))*ROW('CASE MASTER'!$T$2:$T$495))-(ROW('CASE MASTER'!#REF!)-1))))*(INDEX('CASE MASTER'!$X$2:$X$495,(SUMPRODUCT((('CASE MASTER'!$T$2:$T$495=5)*('CASE MASTER'!$U$2:$U$495&lt;=3)*('CASE MASTER'!$W$2:$W$495&gt;=3)*('CASE MASTER'!$V$2:$V$495&lt;=7)*('CASE MASTER'!$X$2:$X$495&gt;=7))*ROW('CASE MASTER'!$T$2:$T$495))-(ROW('CASE MASTER'!#REF!)-1)))-INDEX('CASE MASTER'!$V$2:$V$495,(SUMPRODUCT((('CASE MASTER'!$T$2:$T$495=5)*('CASE MASTER'!$U$2:$U$495&lt;=3)*('CASE MASTER'!$W$2:$W$495&gt;=3)*('CASE MASTER'!$V$2:$V$495&lt;=7)*('CASE MASTER'!$X$2:$X$495&gt;=7))*ROW('CASE MASTER'!$T$2:$T$495))-(ROW('CASE MASTER'!#REF!)-1)))+1)+(7-INDEX('CASE MASTER'!$V$2:$V$495,(SUMPRODUCT((('CASE MASTER'!$T$2:$T$495=5)*('CASE MASTER'!$U$2:$U$495&lt;=3)*('CASE MASTER'!$W$2:$W$495&gt;=3)*('CASE MASTER'!$V$2:$V$495&lt;=7)*('CASE MASTER'!$X$2:$X$495&gt;=7))*ROW('CASE MASTER'!$T$2:$T$495))-(ROW('CASE MASTER'!#REF!)-1))))+1))-1)*50+1,50))&amp;"_"&amp;INDEX('CASE MASTER'!$Q$2:$Q$495,(SUMPRODUCT((('CASE MASTER'!$T$2:$T$495=5)*('CASE MASTER'!$U$2:$U$495&lt;=3)*('CASE MASTER'!$W$2:$W$495&gt;=3)*('CASE MASTER'!$V$2:$V$495&lt;=7)*('CASE MASTER'!$X$2:$X$495&gt;=7))*ROW('CASE MASTER'!$T$2:$T$495))-(ROW('CASE MASTER'!#REF!)-1))),IF(SUMPRODUCT((('CASE MASTER'!$T$2:$T$495=5)*('CASE MASTER'!$AA$2:$AA$495&lt;=3)*('CASE MASTER'!$AC$2:$AC$495&gt;=3)*('CASE MASTER'!$AB$2:$AB$495&lt;=7)*('CASE MASTER'!$AD$2:$AD$495&gt;=7))*ROW('CASE MASTER'!$T$2:$T$495))&gt;0,INDEX('CASE MASTER'!$Y$2:$Y$495,(SUMPRODUCT((('CASE MASTER'!$T$2:$T$495=5)*('CASE MASTER'!$AA$2:$AA$495&lt;=3)*('CASE MASTER'!$AC$2:$AC$495&gt;=3)*('CASE MASTER'!$AB$2:$AB$495&lt;=7)*('CASE MASTER'!$AD$2:$AD$495&gt;=7))*ROW('CASE MASTER'!$T$2:$T$495))-(ROW('CASE MASTER'!#REF!)-1)))&amp;TRIM(MID(SUBSTITUTE(SUBSTITUTE(INDEX('CASE MASTER'!$N$2:$N$495,(SUMPRODUCT((('CASE MASTER'!$T$2:$T$495=5)*('CASE MASTER'!$AA$2:$AA$495&lt;=3)*('CASE MASTER'!$AC$2:$AC$495&gt;=3)*('CASE MASTER'!$AB$2:$AB$495&lt;=7)*('CASE MASTER'!$AD$2:$AD$495&gt;=7))*ROW('CASE MASTER'!$T$2:$T$495))-(ROW('CASE MASTER'!#REF!)-1))),":",","),",",REPT(" ",50)),(((INDEX('CASE MASTER'!$Z$2:$Z$495,(SUMPRODUCT((('CASE MASTER'!$T$2:$T$495=5)*('CASE MASTER'!$AA$2:$AA$495&lt;=3)*('CASE MASTER'!$AC$2:$AC$495&gt;=3)*('CASE MASTER'!$AB$2:$AB$495&lt;=7)*('CASE MASTER'!$AD$2:$AD$495&gt;=7))*ROW('CASE MASTER'!$T$2:$T$495))-(ROW('CASE MASTER'!#REF!)-1)))+((3-INDEX('CASE MASTER'!$AA$2:$AA$495,(SUMPRODUCT((('CASE MASTER'!$T$2:$T$495=5)*('CASE MASTER'!$AA$2:$AA$495&lt;=3)*('CASE MASTER'!$AC$2:$AC$495&gt;=3)*('CASE MASTER'!$AB$2:$AB$495&lt;=7)*('CASE MASTER'!$AD$2:$AD$495&gt;=7))*ROW('CASE MASTER'!$T$2:$T$495))-(ROW('CASE MASTER'!#REF!)-1))))*(INDEX('CASE MASTER'!$AD$2:$AD$495,(SUMPRODUCT((('CASE MASTER'!$T$2:$T$495=5)*('CASE MASTER'!$AA$2:$AA$495&lt;=3)*('CASE MASTER'!$AC$2:$AC$495&gt;=3)*('CASE MASTER'!$AB$2:$AB$495&lt;=7)*('CASE MASTER'!$AD$2:$AD$495&gt;=7))*ROW('CASE MASTER'!$T$2:$T$495))-(ROW('CASE MASTER'!#REF!)-1)))-INDEX('CASE MASTER'!$AB$2:$AB$495,(SUMPRODUCT((('CASE MASTER'!$T$2:$T$495=5)*('CASE MASTER'!$AA$2:$AA$495&lt;=3)*('CASE MASTER'!$AC$2:$AC$495&gt;=3)*('CASE MASTER'!$AB$2:$AB$495&lt;=7)*('CASE MASTER'!$AD$2:$AD$495&gt;=7))*ROW('CASE MASTER'!$T$2:$T$495))-(ROW('CASE MASTER'!#REF!)-1)))+1)+(7-INDEX('CASE MASTER'!$AB$2:$AB$495,(SUMPRODUCT((('CASE MASTER'!$T$2:$T$495=5)*('CASE MASTER'!$AA$2:$AA$495&lt;=3)*('CASE MASTER'!$AC$2:$AC$495&gt;=3)*('CASE MASTER'!$AB$2:$AB$495&lt;=7)*('CASE MASTER'!$AD$2:$AD$495&gt;=7))*ROW('CASE MASTER'!$T$2:$T$495))-(ROW('CASE MASTER'!#REF!)-1))))+1)))-1)*50+1,50))&amp;"_"&amp;INDEX('CASE MASTER'!$Q$2:$Q$495,(SUMPRODUCT((('CASE MASTER'!$T$2:$T$495=5)*('CASE MASTER'!$AA$2:$AA$495&lt;=3)*('CASE MASTER'!$AC$2:$AC$495&gt;=3)*('CASE MASTER'!$AB$2:$AB$495&lt;=7)*('CASE MASTER'!$AD$2:$AD$495&gt;=7))*ROW('CASE MASTER'!$T$2:$T$495))-(ROW('CASE MASTER'!#REF!)-1))),"")),"")</f>
        <v/>
      </c>
      <c r="I61" s="10" t="str">
        <f>IFERROR(IF(SUMPRODUCT((('CASE MASTER'!$T$2:$T$495=5)*('CASE MASTER'!$U$2:$U$495&lt;=3)*('CASE MASTER'!$W$2:$W$495&gt;=3)*('CASE MASTER'!$V$2:$V$495&lt;=8)*('CASE MASTER'!$X$2:$X$495&gt;=8))*ROW('CASE MASTER'!$T$2:$T$495))&gt;0,INDEX('CASE MASTER'!$Y$2:$Y$495,(SUMPRODUCT((('CASE MASTER'!$T$2:$T$495=5)*('CASE MASTER'!$U$2:$U$495&lt;=3)*('CASE MASTER'!$W$2:$W$495&gt;=3)*('CASE MASTER'!$V$2:$V$495&lt;=8)*('CASE MASTER'!$X$2:$X$495&gt;=8))*ROW('CASE MASTER'!$T$2:$T$495))-(ROW('CASE MASTER'!#REF!)-1)))&amp;TRIM(MID(SUBSTITUTE(SUBSTITUTE(INDEX('CASE MASTER'!$N$2:$N$495,(SUMPRODUCT((('CASE MASTER'!$T$2:$T$495=5)*('CASE MASTER'!$U$2:$U$495&lt;=3)*('CASE MASTER'!$W$2:$W$495&gt;=3)*('CASE MASTER'!$V$2:$V$495&lt;=8)*('CASE MASTER'!$X$2:$X$495&gt;=8))*ROW('CASE MASTER'!$T$2:$T$495))-(ROW('CASE MASTER'!#REF!)-1))),":",","),",",REPT(" ",50)),((((3-INDEX('CASE MASTER'!$U$2:$U$495,(SUMPRODUCT((('CASE MASTER'!$T$2:$T$495=5)*('CASE MASTER'!$U$2:$U$495&lt;=3)*('CASE MASTER'!$W$2:$W$495&gt;=3)*('CASE MASTER'!$V$2:$V$495&lt;=8)*('CASE MASTER'!$X$2:$X$495&gt;=8))*ROW('CASE MASTER'!$T$2:$T$495))-(ROW('CASE MASTER'!#REF!)-1))))*(INDEX('CASE MASTER'!$X$2:$X$495,(SUMPRODUCT((('CASE MASTER'!$T$2:$T$495=5)*('CASE MASTER'!$U$2:$U$495&lt;=3)*('CASE MASTER'!$W$2:$W$495&gt;=3)*('CASE MASTER'!$V$2:$V$495&lt;=8)*('CASE MASTER'!$X$2:$X$495&gt;=8))*ROW('CASE MASTER'!$T$2:$T$495))-(ROW('CASE MASTER'!#REF!)-1)))-INDEX('CASE MASTER'!$V$2:$V$495,(SUMPRODUCT((('CASE MASTER'!$T$2:$T$495=5)*('CASE MASTER'!$U$2:$U$495&lt;=3)*('CASE MASTER'!$W$2:$W$495&gt;=3)*('CASE MASTER'!$V$2:$V$495&lt;=8)*('CASE MASTER'!$X$2:$X$495&gt;=8))*ROW('CASE MASTER'!$T$2:$T$495))-(ROW('CASE MASTER'!#REF!)-1)))+1)+(8-INDEX('CASE MASTER'!$V$2:$V$495,(SUMPRODUCT((('CASE MASTER'!$T$2:$T$495=5)*('CASE MASTER'!$U$2:$U$495&lt;=3)*('CASE MASTER'!$W$2:$W$495&gt;=3)*('CASE MASTER'!$V$2:$V$495&lt;=8)*('CASE MASTER'!$X$2:$X$495&gt;=8))*ROW('CASE MASTER'!$T$2:$T$495))-(ROW('CASE MASTER'!#REF!)-1))))+1))-1)*50+1,50))&amp;"_"&amp;INDEX('CASE MASTER'!$Q$2:$Q$495,(SUMPRODUCT((('CASE MASTER'!$T$2:$T$495=5)*('CASE MASTER'!$U$2:$U$495&lt;=3)*('CASE MASTER'!$W$2:$W$495&gt;=3)*('CASE MASTER'!$V$2:$V$495&lt;=8)*('CASE MASTER'!$X$2:$X$495&gt;=8))*ROW('CASE MASTER'!$T$2:$T$495))-(ROW('CASE MASTER'!#REF!)-1))),IF(SUMPRODUCT((('CASE MASTER'!$T$2:$T$495=5)*('CASE MASTER'!$AA$2:$AA$495&lt;=3)*('CASE MASTER'!$AC$2:$AC$495&gt;=3)*('CASE MASTER'!$AB$2:$AB$495&lt;=8)*('CASE MASTER'!$AD$2:$AD$495&gt;=8))*ROW('CASE MASTER'!$T$2:$T$495))&gt;0,INDEX('CASE MASTER'!$Y$2:$Y$495,(SUMPRODUCT((('CASE MASTER'!$T$2:$T$495=5)*('CASE MASTER'!$AA$2:$AA$495&lt;=3)*('CASE MASTER'!$AC$2:$AC$495&gt;=3)*('CASE MASTER'!$AB$2:$AB$495&lt;=8)*('CASE MASTER'!$AD$2:$AD$495&gt;=8))*ROW('CASE MASTER'!$T$2:$T$495))-(ROW('CASE MASTER'!#REF!)-1)))&amp;TRIM(MID(SUBSTITUTE(SUBSTITUTE(INDEX('CASE MASTER'!$N$2:$N$495,(SUMPRODUCT((('CASE MASTER'!$T$2:$T$495=5)*('CASE MASTER'!$AA$2:$AA$495&lt;=3)*('CASE MASTER'!$AC$2:$AC$495&gt;=3)*('CASE MASTER'!$AB$2:$AB$495&lt;=8)*('CASE MASTER'!$AD$2:$AD$495&gt;=8))*ROW('CASE MASTER'!$T$2:$T$495))-(ROW('CASE MASTER'!#REF!)-1))),":",","),",",REPT(" ",50)),(((INDEX('CASE MASTER'!$Z$2:$Z$495,(SUMPRODUCT((('CASE MASTER'!$T$2:$T$495=5)*('CASE MASTER'!$AA$2:$AA$495&lt;=3)*('CASE MASTER'!$AC$2:$AC$495&gt;=3)*('CASE MASTER'!$AB$2:$AB$495&lt;=8)*('CASE MASTER'!$AD$2:$AD$495&gt;=8))*ROW('CASE MASTER'!$T$2:$T$495))-(ROW('CASE MASTER'!#REF!)-1)))+((3-INDEX('CASE MASTER'!$AA$2:$AA$495,(SUMPRODUCT((('CASE MASTER'!$T$2:$T$495=5)*('CASE MASTER'!$AA$2:$AA$495&lt;=3)*('CASE MASTER'!$AC$2:$AC$495&gt;=3)*('CASE MASTER'!$AB$2:$AB$495&lt;=8)*('CASE MASTER'!$AD$2:$AD$495&gt;=8))*ROW('CASE MASTER'!$T$2:$T$495))-(ROW('CASE MASTER'!#REF!)-1))))*(INDEX('CASE MASTER'!$AD$2:$AD$495,(SUMPRODUCT((('CASE MASTER'!$T$2:$T$495=5)*('CASE MASTER'!$AA$2:$AA$495&lt;=3)*('CASE MASTER'!$AC$2:$AC$495&gt;=3)*('CASE MASTER'!$AB$2:$AB$495&lt;=8)*('CASE MASTER'!$AD$2:$AD$495&gt;=8))*ROW('CASE MASTER'!$T$2:$T$495))-(ROW('CASE MASTER'!#REF!)-1)))-INDEX('CASE MASTER'!$AB$2:$AB$495,(SUMPRODUCT((('CASE MASTER'!$T$2:$T$495=5)*('CASE MASTER'!$AA$2:$AA$495&lt;=3)*('CASE MASTER'!$AC$2:$AC$495&gt;=3)*('CASE MASTER'!$AB$2:$AB$495&lt;=8)*('CASE MASTER'!$AD$2:$AD$495&gt;=8))*ROW('CASE MASTER'!$T$2:$T$495))-(ROW('CASE MASTER'!#REF!)-1)))+1)+(8-INDEX('CASE MASTER'!$AB$2:$AB$495,(SUMPRODUCT((('CASE MASTER'!$T$2:$T$495=5)*('CASE MASTER'!$AA$2:$AA$495&lt;=3)*('CASE MASTER'!$AC$2:$AC$495&gt;=3)*('CASE MASTER'!$AB$2:$AB$495&lt;=8)*('CASE MASTER'!$AD$2:$AD$495&gt;=8))*ROW('CASE MASTER'!$T$2:$T$495))-(ROW('CASE MASTER'!#REF!)-1))))+1)))-1)*50+1,50))&amp;"_"&amp;INDEX('CASE MASTER'!$Q$2:$Q$495,(SUMPRODUCT((('CASE MASTER'!$T$2:$T$495=5)*('CASE MASTER'!$AA$2:$AA$495&lt;=3)*('CASE MASTER'!$AC$2:$AC$495&gt;=3)*('CASE MASTER'!$AB$2:$AB$495&lt;=8)*('CASE MASTER'!$AD$2:$AD$495&gt;=8))*ROW('CASE MASTER'!$T$2:$T$495))-(ROW('CASE MASTER'!#REF!)-1))),"")),"")</f>
        <v/>
      </c>
      <c r="J61" s="10" t="str">
        <f>IFERROR(IF(SUMPRODUCT((('CASE MASTER'!$T$2:$T$495=5)*('CASE MASTER'!$U$2:$U$495&lt;=3)*('CASE MASTER'!$W$2:$W$495&gt;=3)*('CASE MASTER'!$V$2:$V$495&lt;=9)*('CASE MASTER'!$X$2:$X$495&gt;=9))*ROW('CASE MASTER'!$T$2:$T$495))&gt;0,INDEX('CASE MASTER'!$Y$2:$Y$495,(SUMPRODUCT((('CASE MASTER'!$T$2:$T$495=5)*('CASE MASTER'!$U$2:$U$495&lt;=3)*('CASE MASTER'!$W$2:$W$495&gt;=3)*('CASE MASTER'!$V$2:$V$495&lt;=9)*('CASE MASTER'!$X$2:$X$495&gt;=9))*ROW('CASE MASTER'!$T$2:$T$495))-(ROW('CASE MASTER'!#REF!)-1)))&amp;TRIM(MID(SUBSTITUTE(SUBSTITUTE(INDEX('CASE MASTER'!$N$2:$N$495,(SUMPRODUCT((('CASE MASTER'!$T$2:$T$495=5)*('CASE MASTER'!$U$2:$U$495&lt;=3)*('CASE MASTER'!$W$2:$W$495&gt;=3)*('CASE MASTER'!$V$2:$V$495&lt;=9)*('CASE MASTER'!$X$2:$X$495&gt;=9))*ROW('CASE MASTER'!$T$2:$T$495))-(ROW('CASE MASTER'!#REF!)-1))),":",","),",",REPT(" ",50)),((((3-INDEX('CASE MASTER'!$U$2:$U$495,(SUMPRODUCT((('CASE MASTER'!$T$2:$T$495=5)*('CASE MASTER'!$U$2:$U$495&lt;=3)*('CASE MASTER'!$W$2:$W$495&gt;=3)*('CASE MASTER'!$V$2:$V$495&lt;=9)*('CASE MASTER'!$X$2:$X$495&gt;=9))*ROW('CASE MASTER'!$T$2:$T$495))-(ROW('CASE MASTER'!#REF!)-1))))*(INDEX('CASE MASTER'!$X$2:$X$495,(SUMPRODUCT((('CASE MASTER'!$T$2:$T$495=5)*('CASE MASTER'!$U$2:$U$495&lt;=3)*('CASE MASTER'!$W$2:$W$495&gt;=3)*('CASE MASTER'!$V$2:$V$495&lt;=9)*('CASE MASTER'!$X$2:$X$495&gt;=9))*ROW('CASE MASTER'!$T$2:$T$495))-(ROW('CASE MASTER'!#REF!)-1)))-INDEX('CASE MASTER'!$V$2:$V$495,(SUMPRODUCT((('CASE MASTER'!$T$2:$T$495=5)*('CASE MASTER'!$U$2:$U$495&lt;=3)*('CASE MASTER'!$W$2:$W$495&gt;=3)*('CASE MASTER'!$V$2:$V$495&lt;=9)*('CASE MASTER'!$X$2:$X$495&gt;=9))*ROW('CASE MASTER'!$T$2:$T$495))-(ROW('CASE MASTER'!#REF!)-1)))+1)+(9-INDEX('CASE MASTER'!$V$2:$V$495,(SUMPRODUCT((('CASE MASTER'!$T$2:$T$495=5)*('CASE MASTER'!$U$2:$U$495&lt;=3)*('CASE MASTER'!$W$2:$W$495&gt;=3)*('CASE MASTER'!$V$2:$V$495&lt;=9)*('CASE MASTER'!$X$2:$X$495&gt;=9))*ROW('CASE MASTER'!$T$2:$T$495))-(ROW('CASE MASTER'!#REF!)-1))))+1))-1)*50+1,50))&amp;"_"&amp;INDEX('CASE MASTER'!$Q$2:$Q$495,(SUMPRODUCT((('CASE MASTER'!$T$2:$T$495=5)*('CASE MASTER'!$U$2:$U$495&lt;=3)*('CASE MASTER'!$W$2:$W$495&gt;=3)*('CASE MASTER'!$V$2:$V$495&lt;=9)*('CASE MASTER'!$X$2:$X$495&gt;=9))*ROW('CASE MASTER'!$T$2:$T$495))-(ROW('CASE MASTER'!#REF!)-1))),IF(SUMPRODUCT((('CASE MASTER'!$T$2:$T$495=5)*('CASE MASTER'!$AA$2:$AA$495&lt;=3)*('CASE MASTER'!$AC$2:$AC$495&gt;=3)*('CASE MASTER'!$AB$2:$AB$495&lt;=9)*('CASE MASTER'!$AD$2:$AD$495&gt;=9))*ROW('CASE MASTER'!$T$2:$T$495))&gt;0,INDEX('CASE MASTER'!$Y$2:$Y$495,(SUMPRODUCT((('CASE MASTER'!$T$2:$T$495=5)*('CASE MASTER'!$AA$2:$AA$495&lt;=3)*('CASE MASTER'!$AC$2:$AC$495&gt;=3)*('CASE MASTER'!$AB$2:$AB$495&lt;=9)*('CASE MASTER'!$AD$2:$AD$495&gt;=9))*ROW('CASE MASTER'!$T$2:$T$495))-(ROW('CASE MASTER'!#REF!)-1)))&amp;TRIM(MID(SUBSTITUTE(SUBSTITUTE(INDEX('CASE MASTER'!$N$2:$N$495,(SUMPRODUCT((('CASE MASTER'!$T$2:$T$495=5)*('CASE MASTER'!$AA$2:$AA$495&lt;=3)*('CASE MASTER'!$AC$2:$AC$495&gt;=3)*('CASE MASTER'!$AB$2:$AB$495&lt;=9)*('CASE MASTER'!$AD$2:$AD$495&gt;=9))*ROW('CASE MASTER'!$T$2:$T$495))-(ROW('CASE MASTER'!#REF!)-1))),":",","),",",REPT(" ",50)),(((INDEX('CASE MASTER'!$Z$2:$Z$495,(SUMPRODUCT((('CASE MASTER'!$T$2:$T$495=5)*('CASE MASTER'!$AA$2:$AA$495&lt;=3)*('CASE MASTER'!$AC$2:$AC$495&gt;=3)*('CASE MASTER'!$AB$2:$AB$495&lt;=9)*('CASE MASTER'!$AD$2:$AD$495&gt;=9))*ROW('CASE MASTER'!$T$2:$T$495))-(ROW('CASE MASTER'!#REF!)-1)))+((3-INDEX('CASE MASTER'!$AA$2:$AA$495,(SUMPRODUCT((('CASE MASTER'!$T$2:$T$495=5)*('CASE MASTER'!$AA$2:$AA$495&lt;=3)*('CASE MASTER'!$AC$2:$AC$495&gt;=3)*('CASE MASTER'!$AB$2:$AB$495&lt;=9)*('CASE MASTER'!$AD$2:$AD$495&gt;=9))*ROW('CASE MASTER'!$T$2:$T$495))-(ROW('CASE MASTER'!#REF!)-1))))*(INDEX('CASE MASTER'!$AD$2:$AD$495,(SUMPRODUCT((('CASE MASTER'!$T$2:$T$495=5)*('CASE MASTER'!$AA$2:$AA$495&lt;=3)*('CASE MASTER'!$AC$2:$AC$495&gt;=3)*('CASE MASTER'!$AB$2:$AB$495&lt;=9)*('CASE MASTER'!$AD$2:$AD$495&gt;=9))*ROW('CASE MASTER'!$T$2:$T$495))-(ROW('CASE MASTER'!#REF!)-1)))-INDEX('CASE MASTER'!$AB$2:$AB$495,(SUMPRODUCT((('CASE MASTER'!$T$2:$T$495=5)*('CASE MASTER'!$AA$2:$AA$495&lt;=3)*('CASE MASTER'!$AC$2:$AC$495&gt;=3)*('CASE MASTER'!$AB$2:$AB$495&lt;=9)*('CASE MASTER'!$AD$2:$AD$495&gt;=9))*ROW('CASE MASTER'!$T$2:$T$495))-(ROW('CASE MASTER'!#REF!)-1)))+1)+(9-INDEX('CASE MASTER'!$AB$2:$AB$495,(SUMPRODUCT((('CASE MASTER'!$T$2:$T$495=5)*('CASE MASTER'!$AA$2:$AA$495&lt;=3)*('CASE MASTER'!$AC$2:$AC$495&gt;=3)*('CASE MASTER'!$AB$2:$AB$495&lt;=9)*('CASE MASTER'!$AD$2:$AD$495&gt;=9))*ROW('CASE MASTER'!$T$2:$T$495))-(ROW('CASE MASTER'!#REF!)-1))))+1)))-1)*50+1,50))&amp;"_"&amp;INDEX('CASE MASTER'!$Q$2:$Q$495,(SUMPRODUCT((('CASE MASTER'!$T$2:$T$495=5)*('CASE MASTER'!$AA$2:$AA$495&lt;=3)*('CASE MASTER'!$AC$2:$AC$495&gt;=3)*('CASE MASTER'!$AB$2:$AB$495&lt;=9)*('CASE MASTER'!$AD$2:$AD$495&gt;=9))*ROW('CASE MASTER'!$T$2:$T$495))-(ROW('CASE MASTER'!#REF!)-1))),"")),"")</f>
        <v/>
      </c>
      <c r="K61" s="10" t="str">
        <f>IFERROR(IF(SUMPRODUCT((('CASE MASTER'!$T$2:$T$495=5)*('CASE MASTER'!$U$2:$U$495&lt;=3)*('CASE MASTER'!$W$2:$W$495&gt;=3)*('CASE MASTER'!$V$2:$V$495&lt;=10)*('CASE MASTER'!$X$2:$X$495&gt;=10))*ROW('CASE MASTER'!$T$2:$T$495))&gt;0,INDEX('CASE MASTER'!$Y$2:$Y$495,(SUMPRODUCT((('CASE MASTER'!$T$2:$T$495=5)*('CASE MASTER'!$U$2:$U$495&lt;=3)*('CASE MASTER'!$W$2:$W$495&gt;=3)*('CASE MASTER'!$V$2:$V$495&lt;=10)*('CASE MASTER'!$X$2:$X$495&gt;=10))*ROW('CASE MASTER'!$T$2:$T$495))-(ROW('CASE MASTER'!#REF!)-1)))&amp;TRIM(MID(SUBSTITUTE(SUBSTITUTE(INDEX('CASE MASTER'!$N$2:$N$495,(SUMPRODUCT((('CASE MASTER'!$T$2:$T$495=5)*('CASE MASTER'!$U$2:$U$495&lt;=3)*('CASE MASTER'!$W$2:$W$495&gt;=3)*('CASE MASTER'!$V$2:$V$495&lt;=10)*('CASE MASTER'!$X$2:$X$495&gt;=10))*ROW('CASE MASTER'!$T$2:$T$495))-(ROW('CASE MASTER'!#REF!)-1))),":",","),",",REPT(" ",50)),((((3-INDEX('CASE MASTER'!$U$2:$U$495,(SUMPRODUCT((('CASE MASTER'!$T$2:$T$495=5)*('CASE MASTER'!$U$2:$U$495&lt;=3)*('CASE MASTER'!$W$2:$W$495&gt;=3)*('CASE MASTER'!$V$2:$V$495&lt;=10)*('CASE MASTER'!$X$2:$X$495&gt;=10))*ROW('CASE MASTER'!$T$2:$T$495))-(ROW('CASE MASTER'!#REF!)-1))))*(INDEX('CASE MASTER'!$X$2:$X$495,(SUMPRODUCT((('CASE MASTER'!$T$2:$T$495=5)*('CASE MASTER'!$U$2:$U$495&lt;=3)*('CASE MASTER'!$W$2:$W$495&gt;=3)*('CASE MASTER'!$V$2:$V$495&lt;=10)*('CASE MASTER'!$X$2:$X$495&gt;=10))*ROW('CASE MASTER'!$T$2:$T$495))-(ROW('CASE MASTER'!#REF!)-1)))-INDEX('CASE MASTER'!$V$2:$V$495,(SUMPRODUCT((('CASE MASTER'!$T$2:$T$495=5)*('CASE MASTER'!$U$2:$U$495&lt;=3)*('CASE MASTER'!$W$2:$W$495&gt;=3)*('CASE MASTER'!$V$2:$V$495&lt;=10)*('CASE MASTER'!$X$2:$X$495&gt;=10))*ROW('CASE MASTER'!$T$2:$T$495))-(ROW('CASE MASTER'!#REF!)-1)))+1)+(10-INDEX('CASE MASTER'!$V$2:$V$495,(SUMPRODUCT((('CASE MASTER'!$T$2:$T$495=5)*('CASE MASTER'!$U$2:$U$495&lt;=3)*('CASE MASTER'!$W$2:$W$495&gt;=3)*('CASE MASTER'!$V$2:$V$495&lt;=10)*('CASE MASTER'!$X$2:$X$495&gt;=10))*ROW('CASE MASTER'!$T$2:$T$495))-(ROW('CASE MASTER'!#REF!)-1))))+1))-1)*50+1,50))&amp;"_"&amp;INDEX('CASE MASTER'!$Q$2:$Q$495,(SUMPRODUCT((('CASE MASTER'!$T$2:$T$495=5)*('CASE MASTER'!$U$2:$U$495&lt;=3)*('CASE MASTER'!$W$2:$W$495&gt;=3)*('CASE MASTER'!$V$2:$V$495&lt;=10)*('CASE MASTER'!$X$2:$X$495&gt;=10))*ROW('CASE MASTER'!$T$2:$T$495))-(ROW('CASE MASTER'!#REF!)-1))),IF(SUMPRODUCT((('CASE MASTER'!$T$2:$T$495=5)*('CASE MASTER'!$AA$2:$AA$495&lt;=3)*('CASE MASTER'!$AC$2:$AC$495&gt;=3)*('CASE MASTER'!$AB$2:$AB$495&lt;=10)*('CASE MASTER'!$AD$2:$AD$495&gt;=10))*ROW('CASE MASTER'!$T$2:$T$495))&gt;0,INDEX('CASE MASTER'!$Y$2:$Y$495,(SUMPRODUCT((('CASE MASTER'!$T$2:$T$495=5)*('CASE MASTER'!$AA$2:$AA$495&lt;=3)*('CASE MASTER'!$AC$2:$AC$495&gt;=3)*('CASE MASTER'!$AB$2:$AB$495&lt;=10)*('CASE MASTER'!$AD$2:$AD$495&gt;=10))*ROW('CASE MASTER'!$T$2:$T$495))-(ROW('CASE MASTER'!#REF!)-1)))&amp;TRIM(MID(SUBSTITUTE(SUBSTITUTE(INDEX('CASE MASTER'!$N$2:$N$495,(SUMPRODUCT((('CASE MASTER'!$T$2:$T$495=5)*('CASE MASTER'!$AA$2:$AA$495&lt;=3)*('CASE MASTER'!$AC$2:$AC$495&gt;=3)*('CASE MASTER'!$AB$2:$AB$495&lt;=10)*('CASE MASTER'!$AD$2:$AD$495&gt;=10))*ROW('CASE MASTER'!$T$2:$T$495))-(ROW('CASE MASTER'!#REF!)-1))),":",","),",",REPT(" ",50)),(((INDEX('CASE MASTER'!$Z$2:$Z$495,(SUMPRODUCT((('CASE MASTER'!$T$2:$T$495=5)*('CASE MASTER'!$AA$2:$AA$495&lt;=3)*('CASE MASTER'!$AC$2:$AC$495&gt;=3)*('CASE MASTER'!$AB$2:$AB$495&lt;=10)*('CASE MASTER'!$AD$2:$AD$495&gt;=10))*ROW('CASE MASTER'!$T$2:$T$495))-(ROW('CASE MASTER'!#REF!)-1)))+((3-INDEX('CASE MASTER'!$AA$2:$AA$495,(SUMPRODUCT((('CASE MASTER'!$T$2:$T$495=5)*('CASE MASTER'!$AA$2:$AA$495&lt;=3)*('CASE MASTER'!$AC$2:$AC$495&gt;=3)*('CASE MASTER'!$AB$2:$AB$495&lt;=10)*('CASE MASTER'!$AD$2:$AD$495&gt;=10))*ROW('CASE MASTER'!$T$2:$T$495))-(ROW('CASE MASTER'!#REF!)-1))))*(INDEX('CASE MASTER'!$AD$2:$AD$495,(SUMPRODUCT((('CASE MASTER'!$T$2:$T$495=5)*('CASE MASTER'!$AA$2:$AA$495&lt;=3)*('CASE MASTER'!$AC$2:$AC$495&gt;=3)*('CASE MASTER'!$AB$2:$AB$495&lt;=10)*('CASE MASTER'!$AD$2:$AD$495&gt;=10))*ROW('CASE MASTER'!$T$2:$T$495))-(ROW('CASE MASTER'!#REF!)-1)))-INDEX('CASE MASTER'!$AB$2:$AB$495,(SUMPRODUCT((('CASE MASTER'!$T$2:$T$495=5)*('CASE MASTER'!$AA$2:$AA$495&lt;=3)*('CASE MASTER'!$AC$2:$AC$495&gt;=3)*('CASE MASTER'!$AB$2:$AB$495&lt;=10)*('CASE MASTER'!$AD$2:$AD$495&gt;=10))*ROW('CASE MASTER'!$T$2:$T$495))-(ROW('CASE MASTER'!#REF!)-1)))+1)+(10-INDEX('CASE MASTER'!$AB$2:$AB$495,(SUMPRODUCT((('CASE MASTER'!$T$2:$T$495=5)*('CASE MASTER'!$AA$2:$AA$495&lt;=3)*('CASE MASTER'!$AC$2:$AC$495&gt;=3)*('CASE MASTER'!$AB$2:$AB$495&lt;=10)*('CASE MASTER'!$AD$2:$AD$495&gt;=10))*ROW('CASE MASTER'!$T$2:$T$495))-(ROW('CASE MASTER'!#REF!)-1))))+1)))-1)*50+1,50))&amp;"_"&amp;INDEX('CASE MASTER'!$Q$2:$Q$495,(SUMPRODUCT((('CASE MASTER'!$T$2:$T$495=5)*('CASE MASTER'!$AA$2:$AA$495&lt;=3)*('CASE MASTER'!$AC$2:$AC$495&gt;=3)*('CASE MASTER'!$AB$2:$AB$495&lt;=10)*('CASE MASTER'!$AD$2:$AD$495&gt;=10))*ROW('CASE MASTER'!$T$2:$T$495))-(ROW('CASE MASTER'!#REF!)-1))),"")),"")</f>
        <v/>
      </c>
    </row>
    <row r="62" spans="1:11" ht="15" customHeight="1" x14ac:dyDescent="0.35">
      <c r="A62" s="8" t="s">
        <v>31</v>
      </c>
      <c r="B62" s="10" t="str">
        <f>IFERROR(IF(SUMPRODUCT((('CASE MASTER'!$T$2:$T$495=5)*('CASE MASTER'!$U$2:$U$495&lt;=4)*('CASE MASTER'!$W$2:$W$495&gt;=4)*('CASE MASTER'!$V$2:$V$495&lt;=1)*('CASE MASTER'!$X$2:$X$495&gt;=1))*ROW('CASE MASTER'!$T$2:$T$495))&gt;0,INDEX('CASE MASTER'!$Y$2:$Y$495,(SUMPRODUCT((('CASE MASTER'!$T$2:$T$495=5)*('CASE MASTER'!$U$2:$U$495&lt;=4)*('CASE MASTER'!$W$2:$W$495&gt;=4)*('CASE MASTER'!$V$2:$V$495&lt;=1)*('CASE MASTER'!$X$2:$X$495&gt;=1))*ROW('CASE MASTER'!$T$2:$T$495))-(ROW('CASE MASTER'!#REF!)-1)))&amp;TRIM(MID(SUBSTITUTE(SUBSTITUTE(INDEX('CASE MASTER'!$N$2:$N$495,(SUMPRODUCT((('CASE MASTER'!$T$2:$T$495=5)*('CASE MASTER'!$U$2:$U$495&lt;=4)*('CASE MASTER'!$W$2:$W$495&gt;=4)*('CASE MASTER'!$V$2:$V$495&lt;=1)*('CASE MASTER'!$X$2:$X$495&gt;=1))*ROW('CASE MASTER'!$T$2:$T$495))-(ROW('CASE MASTER'!#REF!)-1))),":",","),",",REPT(" ",50)),((((4-INDEX('CASE MASTER'!$U$2:$U$495,(SUMPRODUCT((('CASE MASTER'!$T$2:$T$495=5)*('CASE MASTER'!$U$2:$U$495&lt;=4)*('CASE MASTER'!$W$2:$W$495&gt;=4)*('CASE MASTER'!$V$2:$V$495&lt;=1)*('CASE MASTER'!$X$2:$X$495&gt;=1))*ROW('CASE MASTER'!$T$2:$T$495))-(ROW('CASE MASTER'!#REF!)-1))))*(INDEX('CASE MASTER'!$X$2:$X$495,(SUMPRODUCT((('CASE MASTER'!$T$2:$T$495=5)*('CASE MASTER'!$U$2:$U$495&lt;=4)*('CASE MASTER'!$W$2:$W$495&gt;=4)*('CASE MASTER'!$V$2:$V$495&lt;=1)*('CASE MASTER'!$X$2:$X$495&gt;=1))*ROW('CASE MASTER'!$T$2:$T$495))-(ROW('CASE MASTER'!#REF!)-1)))-INDEX('CASE MASTER'!$V$2:$V$495,(SUMPRODUCT((('CASE MASTER'!$T$2:$T$495=5)*('CASE MASTER'!$U$2:$U$495&lt;=4)*('CASE MASTER'!$W$2:$W$495&gt;=4)*('CASE MASTER'!$V$2:$V$495&lt;=1)*('CASE MASTER'!$X$2:$X$495&gt;=1))*ROW('CASE MASTER'!$T$2:$T$495))-(ROW('CASE MASTER'!#REF!)-1)))+1)+(1-INDEX('CASE MASTER'!$V$2:$V$495,(SUMPRODUCT((('CASE MASTER'!$T$2:$T$495=5)*('CASE MASTER'!$U$2:$U$495&lt;=4)*('CASE MASTER'!$W$2:$W$495&gt;=4)*('CASE MASTER'!$V$2:$V$495&lt;=1)*('CASE MASTER'!$X$2:$X$495&gt;=1))*ROW('CASE MASTER'!$T$2:$T$495))-(ROW('CASE MASTER'!#REF!)-1))))+1))-1)*50+1,50))&amp;"_"&amp;INDEX('CASE MASTER'!$Q$2:$Q$495,(SUMPRODUCT((('CASE MASTER'!$T$2:$T$495=5)*('CASE MASTER'!$U$2:$U$495&lt;=4)*('CASE MASTER'!$W$2:$W$495&gt;=4)*('CASE MASTER'!$V$2:$V$495&lt;=1)*('CASE MASTER'!$X$2:$X$495&gt;=1))*ROW('CASE MASTER'!$T$2:$T$495))-(ROW('CASE MASTER'!#REF!)-1))),IF(SUMPRODUCT((('CASE MASTER'!$T$2:$T$495=5)*('CASE MASTER'!$AA$2:$AA$495&lt;=4)*('CASE MASTER'!$AC$2:$AC$495&gt;=4)*('CASE MASTER'!$AB$2:$AB$495&lt;=1)*('CASE MASTER'!$AD$2:$AD$495&gt;=1))*ROW('CASE MASTER'!$T$2:$T$495))&gt;0,INDEX('CASE MASTER'!$Y$2:$Y$495,(SUMPRODUCT((('CASE MASTER'!$T$2:$T$495=5)*('CASE MASTER'!$AA$2:$AA$495&lt;=4)*('CASE MASTER'!$AC$2:$AC$495&gt;=4)*('CASE MASTER'!$AB$2:$AB$495&lt;=1)*('CASE MASTER'!$AD$2:$AD$495&gt;=1))*ROW('CASE MASTER'!$T$2:$T$495))-(ROW('CASE MASTER'!#REF!)-1)))&amp;TRIM(MID(SUBSTITUTE(SUBSTITUTE(INDEX('CASE MASTER'!$N$2:$N$495,(SUMPRODUCT((('CASE MASTER'!$T$2:$T$495=5)*('CASE MASTER'!$AA$2:$AA$495&lt;=4)*('CASE MASTER'!$AC$2:$AC$495&gt;=4)*('CASE MASTER'!$AB$2:$AB$495&lt;=1)*('CASE MASTER'!$AD$2:$AD$495&gt;=1))*ROW('CASE MASTER'!$T$2:$T$495))-(ROW('CASE MASTER'!#REF!)-1))),":",","),",",REPT(" ",50)),(((INDEX('CASE MASTER'!$Z$2:$Z$495,(SUMPRODUCT((('CASE MASTER'!$T$2:$T$495=5)*('CASE MASTER'!$AA$2:$AA$495&lt;=4)*('CASE MASTER'!$AC$2:$AC$495&gt;=4)*('CASE MASTER'!$AB$2:$AB$495&lt;=1)*('CASE MASTER'!$AD$2:$AD$495&gt;=1))*ROW('CASE MASTER'!$T$2:$T$495))-(ROW('CASE MASTER'!#REF!)-1)))+((4-INDEX('CASE MASTER'!$AA$2:$AA$495,(SUMPRODUCT((('CASE MASTER'!$T$2:$T$495=5)*('CASE MASTER'!$AA$2:$AA$495&lt;=4)*('CASE MASTER'!$AC$2:$AC$495&gt;=4)*('CASE MASTER'!$AB$2:$AB$495&lt;=1)*('CASE MASTER'!$AD$2:$AD$495&gt;=1))*ROW('CASE MASTER'!$T$2:$T$495))-(ROW('CASE MASTER'!#REF!)-1))))*(INDEX('CASE MASTER'!$AD$2:$AD$495,(SUMPRODUCT((('CASE MASTER'!$T$2:$T$495=5)*('CASE MASTER'!$AA$2:$AA$495&lt;=4)*('CASE MASTER'!$AC$2:$AC$495&gt;=4)*('CASE MASTER'!$AB$2:$AB$495&lt;=1)*('CASE MASTER'!$AD$2:$AD$495&gt;=1))*ROW('CASE MASTER'!$T$2:$T$495))-(ROW('CASE MASTER'!#REF!)-1)))-INDEX('CASE MASTER'!$AB$2:$AB$495,(SUMPRODUCT((('CASE MASTER'!$T$2:$T$495=5)*('CASE MASTER'!$AA$2:$AA$495&lt;=4)*('CASE MASTER'!$AC$2:$AC$495&gt;=4)*('CASE MASTER'!$AB$2:$AB$495&lt;=1)*('CASE MASTER'!$AD$2:$AD$495&gt;=1))*ROW('CASE MASTER'!$T$2:$T$495))-(ROW('CASE MASTER'!#REF!)-1)))+1)+(1-INDEX('CASE MASTER'!$AB$2:$AB$495,(SUMPRODUCT((('CASE MASTER'!$T$2:$T$495=5)*('CASE MASTER'!$AA$2:$AA$495&lt;=4)*('CASE MASTER'!$AC$2:$AC$495&gt;=4)*('CASE MASTER'!$AB$2:$AB$495&lt;=1)*('CASE MASTER'!$AD$2:$AD$495&gt;=1))*ROW('CASE MASTER'!$T$2:$T$495))-(ROW('CASE MASTER'!#REF!)-1))))+1)))-1)*50+1,50))&amp;"_"&amp;INDEX('CASE MASTER'!$Q$2:$Q$495,(SUMPRODUCT((('CASE MASTER'!$T$2:$T$495=5)*('CASE MASTER'!$AA$2:$AA$495&lt;=4)*('CASE MASTER'!$AC$2:$AC$495&gt;=4)*('CASE MASTER'!$AB$2:$AB$495&lt;=1)*('CASE MASTER'!$AD$2:$AD$495&gt;=1))*ROW('CASE MASTER'!$T$2:$T$495))-(ROW('CASE MASTER'!#REF!)-1))),"")),"")</f>
        <v/>
      </c>
      <c r="C62" s="10" t="str">
        <f>IFERROR(IF(SUMPRODUCT((('CASE MASTER'!$T$2:$T$495=5)*('CASE MASTER'!$U$2:$U$495&lt;=4)*('CASE MASTER'!$W$2:$W$495&gt;=4)*('CASE MASTER'!$V$2:$V$495&lt;=2)*('CASE MASTER'!$X$2:$X$495&gt;=2))*ROW('CASE MASTER'!$T$2:$T$495))&gt;0,INDEX('CASE MASTER'!$Y$2:$Y$495,(SUMPRODUCT((('CASE MASTER'!$T$2:$T$495=5)*('CASE MASTER'!$U$2:$U$495&lt;=4)*('CASE MASTER'!$W$2:$W$495&gt;=4)*('CASE MASTER'!$V$2:$V$495&lt;=2)*('CASE MASTER'!$X$2:$X$495&gt;=2))*ROW('CASE MASTER'!$T$2:$T$495))-(ROW('CASE MASTER'!#REF!)-1)))&amp;TRIM(MID(SUBSTITUTE(SUBSTITUTE(INDEX('CASE MASTER'!$N$2:$N$495,(SUMPRODUCT((('CASE MASTER'!$T$2:$T$495=5)*('CASE MASTER'!$U$2:$U$495&lt;=4)*('CASE MASTER'!$W$2:$W$495&gt;=4)*('CASE MASTER'!$V$2:$V$495&lt;=2)*('CASE MASTER'!$X$2:$X$495&gt;=2))*ROW('CASE MASTER'!$T$2:$T$495))-(ROW('CASE MASTER'!#REF!)-1))),":",","),",",REPT(" ",50)),((((4-INDEX('CASE MASTER'!$U$2:$U$495,(SUMPRODUCT((('CASE MASTER'!$T$2:$T$495=5)*('CASE MASTER'!$U$2:$U$495&lt;=4)*('CASE MASTER'!$W$2:$W$495&gt;=4)*('CASE MASTER'!$V$2:$V$495&lt;=2)*('CASE MASTER'!$X$2:$X$495&gt;=2))*ROW('CASE MASTER'!$T$2:$T$495))-(ROW('CASE MASTER'!#REF!)-1))))*(INDEX('CASE MASTER'!$X$2:$X$495,(SUMPRODUCT((('CASE MASTER'!$T$2:$T$495=5)*('CASE MASTER'!$U$2:$U$495&lt;=4)*('CASE MASTER'!$W$2:$W$495&gt;=4)*('CASE MASTER'!$V$2:$V$495&lt;=2)*('CASE MASTER'!$X$2:$X$495&gt;=2))*ROW('CASE MASTER'!$T$2:$T$495))-(ROW('CASE MASTER'!#REF!)-1)))-INDEX('CASE MASTER'!$V$2:$V$495,(SUMPRODUCT((('CASE MASTER'!$T$2:$T$495=5)*('CASE MASTER'!$U$2:$U$495&lt;=4)*('CASE MASTER'!$W$2:$W$495&gt;=4)*('CASE MASTER'!$V$2:$V$495&lt;=2)*('CASE MASTER'!$X$2:$X$495&gt;=2))*ROW('CASE MASTER'!$T$2:$T$495))-(ROW('CASE MASTER'!#REF!)-1)))+1)+(2-INDEX('CASE MASTER'!$V$2:$V$495,(SUMPRODUCT((('CASE MASTER'!$T$2:$T$495=5)*('CASE MASTER'!$U$2:$U$495&lt;=4)*('CASE MASTER'!$W$2:$W$495&gt;=4)*('CASE MASTER'!$V$2:$V$495&lt;=2)*('CASE MASTER'!$X$2:$X$495&gt;=2))*ROW('CASE MASTER'!$T$2:$T$495))-(ROW('CASE MASTER'!#REF!)-1))))+1))-1)*50+1,50))&amp;"_"&amp;INDEX('CASE MASTER'!$Q$2:$Q$495,(SUMPRODUCT((('CASE MASTER'!$T$2:$T$495=5)*('CASE MASTER'!$U$2:$U$495&lt;=4)*('CASE MASTER'!$W$2:$W$495&gt;=4)*('CASE MASTER'!$V$2:$V$495&lt;=2)*('CASE MASTER'!$X$2:$X$495&gt;=2))*ROW('CASE MASTER'!$T$2:$T$495))-(ROW('CASE MASTER'!#REF!)-1))),IF(SUMPRODUCT((('CASE MASTER'!$T$2:$T$495=5)*('CASE MASTER'!$AA$2:$AA$495&lt;=4)*('CASE MASTER'!$AC$2:$AC$495&gt;=4)*('CASE MASTER'!$AB$2:$AB$495&lt;=2)*('CASE MASTER'!$AD$2:$AD$495&gt;=2))*ROW('CASE MASTER'!$T$2:$T$495))&gt;0,INDEX('CASE MASTER'!$Y$2:$Y$495,(SUMPRODUCT((('CASE MASTER'!$T$2:$T$495=5)*('CASE MASTER'!$AA$2:$AA$495&lt;=4)*('CASE MASTER'!$AC$2:$AC$495&gt;=4)*('CASE MASTER'!$AB$2:$AB$495&lt;=2)*('CASE MASTER'!$AD$2:$AD$495&gt;=2))*ROW('CASE MASTER'!$T$2:$T$495))-(ROW('CASE MASTER'!#REF!)-1)))&amp;TRIM(MID(SUBSTITUTE(SUBSTITUTE(INDEX('CASE MASTER'!$N$2:$N$495,(SUMPRODUCT((('CASE MASTER'!$T$2:$T$495=5)*('CASE MASTER'!$AA$2:$AA$495&lt;=4)*('CASE MASTER'!$AC$2:$AC$495&gt;=4)*('CASE MASTER'!$AB$2:$AB$495&lt;=2)*('CASE MASTER'!$AD$2:$AD$495&gt;=2))*ROW('CASE MASTER'!$T$2:$T$495))-(ROW('CASE MASTER'!#REF!)-1))),":",","),",",REPT(" ",50)),(((INDEX('CASE MASTER'!$Z$2:$Z$495,(SUMPRODUCT((('CASE MASTER'!$T$2:$T$495=5)*('CASE MASTER'!$AA$2:$AA$495&lt;=4)*('CASE MASTER'!$AC$2:$AC$495&gt;=4)*('CASE MASTER'!$AB$2:$AB$495&lt;=2)*('CASE MASTER'!$AD$2:$AD$495&gt;=2))*ROW('CASE MASTER'!$T$2:$T$495))-(ROW('CASE MASTER'!#REF!)-1)))+((4-INDEX('CASE MASTER'!$AA$2:$AA$495,(SUMPRODUCT((('CASE MASTER'!$T$2:$T$495=5)*('CASE MASTER'!$AA$2:$AA$495&lt;=4)*('CASE MASTER'!$AC$2:$AC$495&gt;=4)*('CASE MASTER'!$AB$2:$AB$495&lt;=2)*('CASE MASTER'!$AD$2:$AD$495&gt;=2))*ROW('CASE MASTER'!$T$2:$T$495))-(ROW('CASE MASTER'!#REF!)-1))))*(INDEX('CASE MASTER'!$AD$2:$AD$495,(SUMPRODUCT((('CASE MASTER'!$T$2:$T$495=5)*('CASE MASTER'!$AA$2:$AA$495&lt;=4)*('CASE MASTER'!$AC$2:$AC$495&gt;=4)*('CASE MASTER'!$AB$2:$AB$495&lt;=2)*('CASE MASTER'!$AD$2:$AD$495&gt;=2))*ROW('CASE MASTER'!$T$2:$T$495))-(ROW('CASE MASTER'!#REF!)-1)))-INDEX('CASE MASTER'!$AB$2:$AB$495,(SUMPRODUCT((('CASE MASTER'!$T$2:$T$495=5)*('CASE MASTER'!$AA$2:$AA$495&lt;=4)*('CASE MASTER'!$AC$2:$AC$495&gt;=4)*('CASE MASTER'!$AB$2:$AB$495&lt;=2)*('CASE MASTER'!$AD$2:$AD$495&gt;=2))*ROW('CASE MASTER'!$T$2:$T$495))-(ROW('CASE MASTER'!#REF!)-1)))+1)+(2-INDEX('CASE MASTER'!$AB$2:$AB$495,(SUMPRODUCT((('CASE MASTER'!$T$2:$T$495=5)*('CASE MASTER'!$AA$2:$AA$495&lt;=4)*('CASE MASTER'!$AC$2:$AC$495&gt;=4)*('CASE MASTER'!$AB$2:$AB$495&lt;=2)*('CASE MASTER'!$AD$2:$AD$495&gt;=2))*ROW('CASE MASTER'!$T$2:$T$495))-(ROW('CASE MASTER'!#REF!)-1))))+1)))-1)*50+1,50))&amp;"_"&amp;INDEX('CASE MASTER'!$Q$2:$Q$495,(SUMPRODUCT((('CASE MASTER'!$T$2:$T$495=5)*('CASE MASTER'!$AA$2:$AA$495&lt;=4)*('CASE MASTER'!$AC$2:$AC$495&gt;=4)*('CASE MASTER'!$AB$2:$AB$495&lt;=2)*('CASE MASTER'!$AD$2:$AD$495&gt;=2))*ROW('CASE MASTER'!$T$2:$T$495))-(ROW('CASE MASTER'!#REF!)-1))),"")),"")</f>
        <v/>
      </c>
      <c r="D62" s="10" t="str">
        <f>IFERROR(IF(SUMPRODUCT((('CASE MASTER'!$T$2:$T$495=5)*('CASE MASTER'!$U$2:$U$495&lt;=4)*('CASE MASTER'!$W$2:$W$495&gt;=4)*('CASE MASTER'!$V$2:$V$495&lt;=3)*('CASE MASTER'!$X$2:$X$495&gt;=3))*ROW('CASE MASTER'!$T$2:$T$495))&gt;0,INDEX('CASE MASTER'!$Y$2:$Y$495,(SUMPRODUCT((('CASE MASTER'!$T$2:$T$495=5)*('CASE MASTER'!$U$2:$U$495&lt;=4)*('CASE MASTER'!$W$2:$W$495&gt;=4)*('CASE MASTER'!$V$2:$V$495&lt;=3)*('CASE MASTER'!$X$2:$X$495&gt;=3))*ROW('CASE MASTER'!$T$2:$T$495))-(ROW('CASE MASTER'!#REF!)-1)))&amp;TRIM(MID(SUBSTITUTE(SUBSTITUTE(INDEX('CASE MASTER'!$N$2:$N$495,(SUMPRODUCT((('CASE MASTER'!$T$2:$T$495=5)*('CASE MASTER'!$U$2:$U$495&lt;=4)*('CASE MASTER'!$W$2:$W$495&gt;=4)*('CASE MASTER'!$V$2:$V$495&lt;=3)*('CASE MASTER'!$X$2:$X$495&gt;=3))*ROW('CASE MASTER'!$T$2:$T$495))-(ROW('CASE MASTER'!#REF!)-1))),":",","),",",REPT(" ",50)),((((4-INDEX('CASE MASTER'!$U$2:$U$495,(SUMPRODUCT((('CASE MASTER'!$T$2:$T$495=5)*('CASE MASTER'!$U$2:$U$495&lt;=4)*('CASE MASTER'!$W$2:$W$495&gt;=4)*('CASE MASTER'!$V$2:$V$495&lt;=3)*('CASE MASTER'!$X$2:$X$495&gt;=3))*ROW('CASE MASTER'!$T$2:$T$495))-(ROW('CASE MASTER'!#REF!)-1))))*(INDEX('CASE MASTER'!$X$2:$X$495,(SUMPRODUCT((('CASE MASTER'!$T$2:$T$495=5)*('CASE MASTER'!$U$2:$U$495&lt;=4)*('CASE MASTER'!$W$2:$W$495&gt;=4)*('CASE MASTER'!$V$2:$V$495&lt;=3)*('CASE MASTER'!$X$2:$X$495&gt;=3))*ROW('CASE MASTER'!$T$2:$T$495))-(ROW('CASE MASTER'!#REF!)-1)))-INDEX('CASE MASTER'!$V$2:$V$495,(SUMPRODUCT((('CASE MASTER'!$T$2:$T$495=5)*('CASE MASTER'!$U$2:$U$495&lt;=4)*('CASE MASTER'!$W$2:$W$495&gt;=4)*('CASE MASTER'!$V$2:$V$495&lt;=3)*('CASE MASTER'!$X$2:$X$495&gt;=3))*ROW('CASE MASTER'!$T$2:$T$495))-(ROW('CASE MASTER'!#REF!)-1)))+1)+(3-INDEX('CASE MASTER'!$V$2:$V$495,(SUMPRODUCT((('CASE MASTER'!$T$2:$T$495=5)*('CASE MASTER'!$U$2:$U$495&lt;=4)*('CASE MASTER'!$W$2:$W$495&gt;=4)*('CASE MASTER'!$V$2:$V$495&lt;=3)*('CASE MASTER'!$X$2:$X$495&gt;=3))*ROW('CASE MASTER'!$T$2:$T$495))-(ROW('CASE MASTER'!#REF!)-1))))+1))-1)*50+1,50))&amp;"_"&amp;INDEX('CASE MASTER'!$Q$2:$Q$495,(SUMPRODUCT((('CASE MASTER'!$T$2:$T$495=5)*('CASE MASTER'!$U$2:$U$495&lt;=4)*('CASE MASTER'!$W$2:$W$495&gt;=4)*('CASE MASTER'!$V$2:$V$495&lt;=3)*('CASE MASTER'!$X$2:$X$495&gt;=3))*ROW('CASE MASTER'!$T$2:$T$495))-(ROW('CASE MASTER'!#REF!)-1))),IF(SUMPRODUCT((('CASE MASTER'!$T$2:$T$495=5)*('CASE MASTER'!$AA$2:$AA$495&lt;=4)*('CASE MASTER'!$AC$2:$AC$495&gt;=4)*('CASE MASTER'!$AB$2:$AB$495&lt;=3)*('CASE MASTER'!$AD$2:$AD$495&gt;=3))*ROW('CASE MASTER'!$T$2:$T$495))&gt;0,INDEX('CASE MASTER'!$Y$2:$Y$495,(SUMPRODUCT((('CASE MASTER'!$T$2:$T$495=5)*('CASE MASTER'!$AA$2:$AA$495&lt;=4)*('CASE MASTER'!$AC$2:$AC$495&gt;=4)*('CASE MASTER'!$AB$2:$AB$495&lt;=3)*('CASE MASTER'!$AD$2:$AD$495&gt;=3))*ROW('CASE MASTER'!$T$2:$T$495))-(ROW('CASE MASTER'!#REF!)-1)))&amp;TRIM(MID(SUBSTITUTE(SUBSTITUTE(INDEX('CASE MASTER'!$N$2:$N$495,(SUMPRODUCT((('CASE MASTER'!$T$2:$T$495=5)*('CASE MASTER'!$AA$2:$AA$495&lt;=4)*('CASE MASTER'!$AC$2:$AC$495&gt;=4)*('CASE MASTER'!$AB$2:$AB$495&lt;=3)*('CASE MASTER'!$AD$2:$AD$495&gt;=3))*ROW('CASE MASTER'!$T$2:$T$495))-(ROW('CASE MASTER'!#REF!)-1))),":",","),",",REPT(" ",50)),(((INDEX('CASE MASTER'!$Z$2:$Z$495,(SUMPRODUCT((('CASE MASTER'!$T$2:$T$495=5)*('CASE MASTER'!$AA$2:$AA$495&lt;=4)*('CASE MASTER'!$AC$2:$AC$495&gt;=4)*('CASE MASTER'!$AB$2:$AB$495&lt;=3)*('CASE MASTER'!$AD$2:$AD$495&gt;=3))*ROW('CASE MASTER'!$T$2:$T$495))-(ROW('CASE MASTER'!#REF!)-1)))+((4-INDEX('CASE MASTER'!$AA$2:$AA$495,(SUMPRODUCT((('CASE MASTER'!$T$2:$T$495=5)*('CASE MASTER'!$AA$2:$AA$495&lt;=4)*('CASE MASTER'!$AC$2:$AC$495&gt;=4)*('CASE MASTER'!$AB$2:$AB$495&lt;=3)*('CASE MASTER'!$AD$2:$AD$495&gt;=3))*ROW('CASE MASTER'!$T$2:$T$495))-(ROW('CASE MASTER'!#REF!)-1))))*(INDEX('CASE MASTER'!$AD$2:$AD$495,(SUMPRODUCT((('CASE MASTER'!$T$2:$T$495=5)*('CASE MASTER'!$AA$2:$AA$495&lt;=4)*('CASE MASTER'!$AC$2:$AC$495&gt;=4)*('CASE MASTER'!$AB$2:$AB$495&lt;=3)*('CASE MASTER'!$AD$2:$AD$495&gt;=3))*ROW('CASE MASTER'!$T$2:$T$495))-(ROW('CASE MASTER'!#REF!)-1)))-INDEX('CASE MASTER'!$AB$2:$AB$495,(SUMPRODUCT((('CASE MASTER'!$T$2:$T$495=5)*('CASE MASTER'!$AA$2:$AA$495&lt;=4)*('CASE MASTER'!$AC$2:$AC$495&gt;=4)*('CASE MASTER'!$AB$2:$AB$495&lt;=3)*('CASE MASTER'!$AD$2:$AD$495&gt;=3))*ROW('CASE MASTER'!$T$2:$T$495))-(ROW('CASE MASTER'!#REF!)-1)))+1)+(3-INDEX('CASE MASTER'!$AB$2:$AB$495,(SUMPRODUCT((('CASE MASTER'!$T$2:$T$495=5)*('CASE MASTER'!$AA$2:$AA$495&lt;=4)*('CASE MASTER'!$AC$2:$AC$495&gt;=4)*('CASE MASTER'!$AB$2:$AB$495&lt;=3)*('CASE MASTER'!$AD$2:$AD$495&gt;=3))*ROW('CASE MASTER'!$T$2:$T$495))-(ROW('CASE MASTER'!#REF!)-1))))+1)))-1)*50+1,50))&amp;"_"&amp;INDEX('CASE MASTER'!$Q$2:$Q$495,(SUMPRODUCT((('CASE MASTER'!$T$2:$T$495=5)*('CASE MASTER'!$AA$2:$AA$495&lt;=4)*('CASE MASTER'!$AC$2:$AC$495&gt;=4)*('CASE MASTER'!$AB$2:$AB$495&lt;=3)*('CASE MASTER'!$AD$2:$AD$495&gt;=3))*ROW('CASE MASTER'!$T$2:$T$495))-(ROW('CASE MASTER'!#REF!)-1))),"")),"")</f>
        <v/>
      </c>
      <c r="E62" s="10" t="str">
        <f>IFERROR(IF(SUMPRODUCT((('CASE MASTER'!$T$2:$T$495=5)*('CASE MASTER'!$U$2:$U$495&lt;=4)*('CASE MASTER'!$W$2:$W$495&gt;=4)*('CASE MASTER'!$V$2:$V$495&lt;=4)*('CASE MASTER'!$X$2:$X$495&gt;=4))*ROW('CASE MASTER'!$T$2:$T$495))&gt;0,INDEX('CASE MASTER'!$Y$2:$Y$495,(SUMPRODUCT((('CASE MASTER'!$T$2:$T$495=5)*('CASE MASTER'!$U$2:$U$495&lt;=4)*('CASE MASTER'!$W$2:$W$495&gt;=4)*('CASE MASTER'!$V$2:$V$495&lt;=4)*('CASE MASTER'!$X$2:$X$495&gt;=4))*ROW('CASE MASTER'!$T$2:$T$495))-(ROW('CASE MASTER'!#REF!)-1)))&amp;TRIM(MID(SUBSTITUTE(SUBSTITUTE(INDEX('CASE MASTER'!$N$2:$N$495,(SUMPRODUCT((('CASE MASTER'!$T$2:$T$495=5)*('CASE MASTER'!$U$2:$U$495&lt;=4)*('CASE MASTER'!$W$2:$W$495&gt;=4)*('CASE MASTER'!$V$2:$V$495&lt;=4)*('CASE MASTER'!$X$2:$X$495&gt;=4))*ROW('CASE MASTER'!$T$2:$T$495))-(ROW('CASE MASTER'!#REF!)-1))),":",","),",",REPT(" ",50)),((((4-INDEX('CASE MASTER'!$U$2:$U$495,(SUMPRODUCT((('CASE MASTER'!$T$2:$T$495=5)*('CASE MASTER'!$U$2:$U$495&lt;=4)*('CASE MASTER'!$W$2:$W$495&gt;=4)*('CASE MASTER'!$V$2:$V$495&lt;=4)*('CASE MASTER'!$X$2:$X$495&gt;=4))*ROW('CASE MASTER'!$T$2:$T$495))-(ROW('CASE MASTER'!#REF!)-1))))*(INDEX('CASE MASTER'!$X$2:$X$495,(SUMPRODUCT((('CASE MASTER'!$T$2:$T$495=5)*('CASE MASTER'!$U$2:$U$495&lt;=4)*('CASE MASTER'!$W$2:$W$495&gt;=4)*('CASE MASTER'!$V$2:$V$495&lt;=4)*('CASE MASTER'!$X$2:$X$495&gt;=4))*ROW('CASE MASTER'!$T$2:$T$495))-(ROW('CASE MASTER'!#REF!)-1)))-INDEX('CASE MASTER'!$V$2:$V$495,(SUMPRODUCT((('CASE MASTER'!$T$2:$T$495=5)*('CASE MASTER'!$U$2:$U$495&lt;=4)*('CASE MASTER'!$W$2:$W$495&gt;=4)*('CASE MASTER'!$V$2:$V$495&lt;=4)*('CASE MASTER'!$X$2:$X$495&gt;=4))*ROW('CASE MASTER'!$T$2:$T$495))-(ROW('CASE MASTER'!#REF!)-1)))+1)+(4-INDEX('CASE MASTER'!$V$2:$V$495,(SUMPRODUCT((('CASE MASTER'!$T$2:$T$495=5)*('CASE MASTER'!$U$2:$U$495&lt;=4)*('CASE MASTER'!$W$2:$W$495&gt;=4)*('CASE MASTER'!$V$2:$V$495&lt;=4)*('CASE MASTER'!$X$2:$X$495&gt;=4))*ROW('CASE MASTER'!$T$2:$T$495))-(ROW('CASE MASTER'!#REF!)-1))))+1))-1)*50+1,50))&amp;"_"&amp;INDEX('CASE MASTER'!$Q$2:$Q$495,(SUMPRODUCT((('CASE MASTER'!$T$2:$T$495=5)*('CASE MASTER'!$U$2:$U$495&lt;=4)*('CASE MASTER'!$W$2:$W$495&gt;=4)*('CASE MASTER'!$V$2:$V$495&lt;=4)*('CASE MASTER'!$X$2:$X$495&gt;=4))*ROW('CASE MASTER'!$T$2:$T$495))-(ROW('CASE MASTER'!#REF!)-1))),IF(SUMPRODUCT((('CASE MASTER'!$T$2:$T$495=5)*('CASE MASTER'!$AA$2:$AA$495&lt;=4)*('CASE MASTER'!$AC$2:$AC$495&gt;=4)*('CASE MASTER'!$AB$2:$AB$495&lt;=4)*('CASE MASTER'!$AD$2:$AD$495&gt;=4))*ROW('CASE MASTER'!$T$2:$T$495))&gt;0,INDEX('CASE MASTER'!$Y$2:$Y$495,(SUMPRODUCT((('CASE MASTER'!$T$2:$T$495=5)*('CASE MASTER'!$AA$2:$AA$495&lt;=4)*('CASE MASTER'!$AC$2:$AC$495&gt;=4)*('CASE MASTER'!$AB$2:$AB$495&lt;=4)*('CASE MASTER'!$AD$2:$AD$495&gt;=4))*ROW('CASE MASTER'!$T$2:$T$495))-(ROW('CASE MASTER'!#REF!)-1)))&amp;TRIM(MID(SUBSTITUTE(SUBSTITUTE(INDEX('CASE MASTER'!$N$2:$N$495,(SUMPRODUCT((('CASE MASTER'!$T$2:$T$495=5)*('CASE MASTER'!$AA$2:$AA$495&lt;=4)*('CASE MASTER'!$AC$2:$AC$495&gt;=4)*('CASE MASTER'!$AB$2:$AB$495&lt;=4)*('CASE MASTER'!$AD$2:$AD$495&gt;=4))*ROW('CASE MASTER'!$T$2:$T$495))-(ROW('CASE MASTER'!#REF!)-1))),":",","),",",REPT(" ",50)),(((INDEX('CASE MASTER'!$Z$2:$Z$495,(SUMPRODUCT((('CASE MASTER'!$T$2:$T$495=5)*('CASE MASTER'!$AA$2:$AA$495&lt;=4)*('CASE MASTER'!$AC$2:$AC$495&gt;=4)*('CASE MASTER'!$AB$2:$AB$495&lt;=4)*('CASE MASTER'!$AD$2:$AD$495&gt;=4))*ROW('CASE MASTER'!$T$2:$T$495))-(ROW('CASE MASTER'!#REF!)-1)))+((4-INDEX('CASE MASTER'!$AA$2:$AA$495,(SUMPRODUCT((('CASE MASTER'!$T$2:$T$495=5)*('CASE MASTER'!$AA$2:$AA$495&lt;=4)*('CASE MASTER'!$AC$2:$AC$495&gt;=4)*('CASE MASTER'!$AB$2:$AB$495&lt;=4)*('CASE MASTER'!$AD$2:$AD$495&gt;=4))*ROW('CASE MASTER'!$T$2:$T$495))-(ROW('CASE MASTER'!#REF!)-1))))*(INDEX('CASE MASTER'!$AD$2:$AD$495,(SUMPRODUCT((('CASE MASTER'!$T$2:$T$495=5)*('CASE MASTER'!$AA$2:$AA$495&lt;=4)*('CASE MASTER'!$AC$2:$AC$495&gt;=4)*('CASE MASTER'!$AB$2:$AB$495&lt;=4)*('CASE MASTER'!$AD$2:$AD$495&gt;=4))*ROW('CASE MASTER'!$T$2:$T$495))-(ROW('CASE MASTER'!#REF!)-1)))-INDEX('CASE MASTER'!$AB$2:$AB$495,(SUMPRODUCT((('CASE MASTER'!$T$2:$T$495=5)*('CASE MASTER'!$AA$2:$AA$495&lt;=4)*('CASE MASTER'!$AC$2:$AC$495&gt;=4)*('CASE MASTER'!$AB$2:$AB$495&lt;=4)*('CASE MASTER'!$AD$2:$AD$495&gt;=4))*ROW('CASE MASTER'!$T$2:$T$495))-(ROW('CASE MASTER'!#REF!)-1)))+1)+(4-INDEX('CASE MASTER'!$AB$2:$AB$495,(SUMPRODUCT((('CASE MASTER'!$T$2:$T$495=5)*('CASE MASTER'!$AA$2:$AA$495&lt;=4)*('CASE MASTER'!$AC$2:$AC$495&gt;=4)*('CASE MASTER'!$AB$2:$AB$495&lt;=4)*('CASE MASTER'!$AD$2:$AD$495&gt;=4))*ROW('CASE MASTER'!$T$2:$T$495))-(ROW('CASE MASTER'!#REF!)-1))))+1)))-1)*50+1,50))&amp;"_"&amp;INDEX('CASE MASTER'!$Q$2:$Q$495,(SUMPRODUCT((('CASE MASTER'!$T$2:$T$495=5)*('CASE MASTER'!$AA$2:$AA$495&lt;=4)*('CASE MASTER'!$AC$2:$AC$495&gt;=4)*('CASE MASTER'!$AB$2:$AB$495&lt;=4)*('CASE MASTER'!$AD$2:$AD$495&gt;=4))*ROW('CASE MASTER'!$T$2:$T$495))-(ROW('CASE MASTER'!#REF!)-1))),"")),"")</f>
        <v/>
      </c>
      <c r="F62" s="10" t="str">
        <f>IFERROR(IF(SUMPRODUCT((('CASE MASTER'!$T$2:$T$495=5)*('CASE MASTER'!$U$2:$U$495&lt;=4)*('CASE MASTER'!$W$2:$W$495&gt;=4)*('CASE MASTER'!$V$2:$V$495&lt;=5)*('CASE MASTER'!$X$2:$X$495&gt;=5))*ROW('CASE MASTER'!$T$2:$T$495))&gt;0,INDEX('CASE MASTER'!$Y$2:$Y$495,(SUMPRODUCT((('CASE MASTER'!$T$2:$T$495=5)*('CASE MASTER'!$U$2:$U$495&lt;=4)*('CASE MASTER'!$W$2:$W$495&gt;=4)*('CASE MASTER'!$V$2:$V$495&lt;=5)*('CASE MASTER'!$X$2:$X$495&gt;=5))*ROW('CASE MASTER'!$T$2:$T$495))-(ROW('CASE MASTER'!#REF!)-1)))&amp;TRIM(MID(SUBSTITUTE(SUBSTITUTE(INDEX('CASE MASTER'!$N$2:$N$495,(SUMPRODUCT((('CASE MASTER'!$T$2:$T$495=5)*('CASE MASTER'!$U$2:$U$495&lt;=4)*('CASE MASTER'!$W$2:$W$495&gt;=4)*('CASE MASTER'!$V$2:$V$495&lt;=5)*('CASE MASTER'!$X$2:$X$495&gt;=5))*ROW('CASE MASTER'!$T$2:$T$495))-(ROW('CASE MASTER'!#REF!)-1))),":",","),",",REPT(" ",50)),((((4-INDEX('CASE MASTER'!$U$2:$U$495,(SUMPRODUCT((('CASE MASTER'!$T$2:$T$495=5)*('CASE MASTER'!$U$2:$U$495&lt;=4)*('CASE MASTER'!$W$2:$W$495&gt;=4)*('CASE MASTER'!$V$2:$V$495&lt;=5)*('CASE MASTER'!$X$2:$X$495&gt;=5))*ROW('CASE MASTER'!$T$2:$T$495))-(ROW('CASE MASTER'!#REF!)-1))))*(INDEX('CASE MASTER'!$X$2:$X$495,(SUMPRODUCT((('CASE MASTER'!$T$2:$T$495=5)*('CASE MASTER'!$U$2:$U$495&lt;=4)*('CASE MASTER'!$W$2:$W$495&gt;=4)*('CASE MASTER'!$V$2:$V$495&lt;=5)*('CASE MASTER'!$X$2:$X$495&gt;=5))*ROW('CASE MASTER'!$T$2:$T$495))-(ROW('CASE MASTER'!#REF!)-1)))-INDEX('CASE MASTER'!$V$2:$V$495,(SUMPRODUCT((('CASE MASTER'!$T$2:$T$495=5)*('CASE MASTER'!$U$2:$U$495&lt;=4)*('CASE MASTER'!$W$2:$W$495&gt;=4)*('CASE MASTER'!$V$2:$V$495&lt;=5)*('CASE MASTER'!$X$2:$X$495&gt;=5))*ROW('CASE MASTER'!$T$2:$T$495))-(ROW('CASE MASTER'!#REF!)-1)))+1)+(5-INDEX('CASE MASTER'!$V$2:$V$495,(SUMPRODUCT((('CASE MASTER'!$T$2:$T$495=5)*('CASE MASTER'!$U$2:$U$495&lt;=4)*('CASE MASTER'!$W$2:$W$495&gt;=4)*('CASE MASTER'!$V$2:$V$495&lt;=5)*('CASE MASTER'!$X$2:$X$495&gt;=5))*ROW('CASE MASTER'!$T$2:$T$495))-(ROW('CASE MASTER'!#REF!)-1))))+1))-1)*50+1,50))&amp;"_"&amp;INDEX('CASE MASTER'!$Q$2:$Q$495,(SUMPRODUCT((('CASE MASTER'!$T$2:$T$495=5)*('CASE MASTER'!$U$2:$U$495&lt;=4)*('CASE MASTER'!$W$2:$W$495&gt;=4)*('CASE MASTER'!$V$2:$V$495&lt;=5)*('CASE MASTER'!$X$2:$X$495&gt;=5))*ROW('CASE MASTER'!$T$2:$T$495))-(ROW('CASE MASTER'!#REF!)-1))),IF(SUMPRODUCT((('CASE MASTER'!$T$2:$T$495=5)*('CASE MASTER'!$AA$2:$AA$495&lt;=4)*('CASE MASTER'!$AC$2:$AC$495&gt;=4)*('CASE MASTER'!$AB$2:$AB$495&lt;=5)*('CASE MASTER'!$AD$2:$AD$495&gt;=5))*ROW('CASE MASTER'!$T$2:$T$495))&gt;0,INDEX('CASE MASTER'!$Y$2:$Y$495,(SUMPRODUCT((('CASE MASTER'!$T$2:$T$495=5)*('CASE MASTER'!$AA$2:$AA$495&lt;=4)*('CASE MASTER'!$AC$2:$AC$495&gt;=4)*('CASE MASTER'!$AB$2:$AB$495&lt;=5)*('CASE MASTER'!$AD$2:$AD$495&gt;=5))*ROW('CASE MASTER'!$T$2:$T$495))-(ROW('CASE MASTER'!#REF!)-1)))&amp;TRIM(MID(SUBSTITUTE(SUBSTITUTE(INDEX('CASE MASTER'!$N$2:$N$495,(SUMPRODUCT((('CASE MASTER'!$T$2:$T$495=5)*('CASE MASTER'!$AA$2:$AA$495&lt;=4)*('CASE MASTER'!$AC$2:$AC$495&gt;=4)*('CASE MASTER'!$AB$2:$AB$495&lt;=5)*('CASE MASTER'!$AD$2:$AD$495&gt;=5))*ROW('CASE MASTER'!$T$2:$T$495))-(ROW('CASE MASTER'!#REF!)-1))),":",","),",",REPT(" ",50)),(((INDEX('CASE MASTER'!$Z$2:$Z$495,(SUMPRODUCT((('CASE MASTER'!$T$2:$T$495=5)*('CASE MASTER'!$AA$2:$AA$495&lt;=4)*('CASE MASTER'!$AC$2:$AC$495&gt;=4)*('CASE MASTER'!$AB$2:$AB$495&lt;=5)*('CASE MASTER'!$AD$2:$AD$495&gt;=5))*ROW('CASE MASTER'!$T$2:$T$495))-(ROW('CASE MASTER'!#REF!)-1)))+((4-INDEX('CASE MASTER'!$AA$2:$AA$495,(SUMPRODUCT((('CASE MASTER'!$T$2:$T$495=5)*('CASE MASTER'!$AA$2:$AA$495&lt;=4)*('CASE MASTER'!$AC$2:$AC$495&gt;=4)*('CASE MASTER'!$AB$2:$AB$495&lt;=5)*('CASE MASTER'!$AD$2:$AD$495&gt;=5))*ROW('CASE MASTER'!$T$2:$T$495))-(ROW('CASE MASTER'!#REF!)-1))))*(INDEX('CASE MASTER'!$AD$2:$AD$495,(SUMPRODUCT((('CASE MASTER'!$T$2:$T$495=5)*('CASE MASTER'!$AA$2:$AA$495&lt;=4)*('CASE MASTER'!$AC$2:$AC$495&gt;=4)*('CASE MASTER'!$AB$2:$AB$495&lt;=5)*('CASE MASTER'!$AD$2:$AD$495&gt;=5))*ROW('CASE MASTER'!$T$2:$T$495))-(ROW('CASE MASTER'!#REF!)-1)))-INDEX('CASE MASTER'!$AB$2:$AB$495,(SUMPRODUCT((('CASE MASTER'!$T$2:$T$495=5)*('CASE MASTER'!$AA$2:$AA$495&lt;=4)*('CASE MASTER'!$AC$2:$AC$495&gt;=4)*('CASE MASTER'!$AB$2:$AB$495&lt;=5)*('CASE MASTER'!$AD$2:$AD$495&gt;=5))*ROW('CASE MASTER'!$T$2:$T$495))-(ROW('CASE MASTER'!#REF!)-1)))+1)+(5-INDEX('CASE MASTER'!$AB$2:$AB$495,(SUMPRODUCT((('CASE MASTER'!$T$2:$T$495=5)*('CASE MASTER'!$AA$2:$AA$495&lt;=4)*('CASE MASTER'!$AC$2:$AC$495&gt;=4)*('CASE MASTER'!$AB$2:$AB$495&lt;=5)*('CASE MASTER'!$AD$2:$AD$495&gt;=5))*ROW('CASE MASTER'!$T$2:$T$495))-(ROW('CASE MASTER'!#REF!)-1))))+1)))-1)*50+1,50))&amp;"_"&amp;INDEX('CASE MASTER'!$Q$2:$Q$495,(SUMPRODUCT((('CASE MASTER'!$T$2:$T$495=5)*('CASE MASTER'!$AA$2:$AA$495&lt;=4)*('CASE MASTER'!$AC$2:$AC$495&gt;=4)*('CASE MASTER'!$AB$2:$AB$495&lt;=5)*('CASE MASTER'!$AD$2:$AD$495&gt;=5))*ROW('CASE MASTER'!$T$2:$T$495))-(ROW('CASE MASTER'!#REF!)-1))),"")),"")</f>
        <v/>
      </c>
      <c r="G62" s="10" t="str">
        <f>IFERROR(IF(SUMPRODUCT((('CASE MASTER'!$T$2:$T$495=5)*('CASE MASTER'!$U$2:$U$495&lt;=4)*('CASE MASTER'!$W$2:$W$495&gt;=4)*('CASE MASTER'!$V$2:$V$495&lt;=6)*('CASE MASTER'!$X$2:$X$495&gt;=6))*ROW('CASE MASTER'!$T$2:$T$495))&gt;0,INDEX('CASE MASTER'!$Y$2:$Y$495,(SUMPRODUCT((('CASE MASTER'!$T$2:$T$495=5)*('CASE MASTER'!$U$2:$U$495&lt;=4)*('CASE MASTER'!$W$2:$W$495&gt;=4)*('CASE MASTER'!$V$2:$V$495&lt;=6)*('CASE MASTER'!$X$2:$X$495&gt;=6))*ROW('CASE MASTER'!$T$2:$T$495))-(ROW('CASE MASTER'!#REF!)-1)))&amp;TRIM(MID(SUBSTITUTE(SUBSTITUTE(INDEX('CASE MASTER'!$N$2:$N$495,(SUMPRODUCT((('CASE MASTER'!$T$2:$T$495=5)*('CASE MASTER'!$U$2:$U$495&lt;=4)*('CASE MASTER'!$W$2:$W$495&gt;=4)*('CASE MASTER'!$V$2:$V$495&lt;=6)*('CASE MASTER'!$X$2:$X$495&gt;=6))*ROW('CASE MASTER'!$T$2:$T$495))-(ROW('CASE MASTER'!#REF!)-1))),":",","),",",REPT(" ",50)),((((4-INDEX('CASE MASTER'!$U$2:$U$495,(SUMPRODUCT((('CASE MASTER'!$T$2:$T$495=5)*('CASE MASTER'!$U$2:$U$495&lt;=4)*('CASE MASTER'!$W$2:$W$495&gt;=4)*('CASE MASTER'!$V$2:$V$495&lt;=6)*('CASE MASTER'!$X$2:$X$495&gt;=6))*ROW('CASE MASTER'!$T$2:$T$495))-(ROW('CASE MASTER'!#REF!)-1))))*(INDEX('CASE MASTER'!$X$2:$X$495,(SUMPRODUCT((('CASE MASTER'!$T$2:$T$495=5)*('CASE MASTER'!$U$2:$U$495&lt;=4)*('CASE MASTER'!$W$2:$W$495&gt;=4)*('CASE MASTER'!$V$2:$V$495&lt;=6)*('CASE MASTER'!$X$2:$X$495&gt;=6))*ROW('CASE MASTER'!$T$2:$T$495))-(ROW('CASE MASTER'!#REF!)-1)))-INDEX('CASE MASTER'!$V$2:$V$495,(SUMPRODUCT((('CASE MASTER'!$T$2:$T$495=5)*('CASE MASTER'!$U$2:$U$495&lt;=4)*('CASE MASTER'!$W$2:$W$495&gt;=4)*('CASE MASTER'!$V$2:$V$495&lt;=6)*('CASE MASTER'!$X$2:$X$495&gt;=6))*ROW('CASE MASTER'!$T$2:$T$495))-(ROW('CASE MASTER'!#REF!)-1)))+1)+(6-INDEX('CASE MASTER'!$V$2:$V$495,(SUMPRODUCT((('CASE MASTER'!$T$2:$T$495=5)*('CASE MASTER'!$U$2:$U$495&lt;=4)*('CASE MASTER'!$W$2:$W$495&gt;=4)*('CASE MASTER'!$V$2:$V$495&lt;=6)*('CASE MASTER'!$X$2:$X$495&gt;=6))*ROW('CASE MASTER'!$T$2:$T$495))-(ROW('CASE MASTER'!#REF!)-1))))+1))-1)*50+1,50))&amp;"_"&amp;INDEX('CASE MASTER'!$Q$2:$Q$495,(SUMPRODUCT((('CASE MASTER'!$T$2:$T$495=5)*('CASE MASTER'!$U$2:$U$495&lt;=4)*('CASE MASTER'!$W$2:$W$495&gt;=4)*('CASE MASTER'!$V$2:$V$495&lt;=6)*('CASE MASTER'!$X$2:$X$495&gt;=6))*ROW('CASE MASTER'!$T$2:$T$495))-(ROW('CASE MASTER'!#REF!)-1))),IF(SUMPRODUCT((('CASE MASTER'!$T$2:$T$495=5)*('CASE MASTER'!$AA$2:$AA$495&lt;=4)*('CASE MASTER'!$AC$2:$AC$495&gt;=4)*('CASE MASTER'!$AB$2:$AB$495&lt;=6)*('CASE MASTER'!$AD$2:$AD$495&gt;=6))*ROW('CASE MASTER'!$T$2:$T$495))&gt;0,INDEX('CASE MASTER'!$Y$2:$Y$495,(SUMPRODUCT((('CASE MASTER'!$T$2:$T$495=5)*('CASE MASTER'!$AA$2:$AA$495&lt;=4)*('CASE MASTER'!$AC$2:$AC$495&gt;=4)*('CASE MASTER'!$AB$2:$AB$495&lt;=6)*('CASE MASTER'!$AD$2:$AD$495&gt;=6))*ROW('CASE MASTER'!$T$2:$T$495))-(ROW('CASE MASTER'!#REF!)-1)))&amp;TRIM(MID(SUBSTITUTE(SUBSTITUTE(INDEX('CASE MASTER'!$N$2:$N$495,(SUMPRODUCT((('CASE MASTER'!$T$2:$T$495=5)*('CASE MASTER'!$AA$2:$AA$495&lt;=4)*('CASE MASTER'!$AC$2:$AC$495&gt;=4)*('CASE MASTER'!$AB$2:$AB$495&lt;=6)*('CASE MASTER'!$AD$2:$AD$495&gt;=6))*ROW('CASE MASTER'!$T$2:$T$495))-(ROW('CASE MASTER'!#REF!)-1))),":",","),",",REPT(" ",50)),(((INDEX('CASE MASTER'!$Z$2:$Z$495,(SUMPRODUCT((('CASE MASTER'!$T$2:$T$495=5)*('CASE MASTER'!$AA$2:$AA$495&lt;=4)*('CASE MASTER'!$AC$2:$AC$495&gt;=4)*('CASE MASTER'!$AB$2:$AB$495&lt;=6)*('CASE MASTER'!$AD$2:$AD$495&gt;=6))*ROW('CASE MASTER'!$T$2:$T$495))-(ROW('CASE MASTER'!#REF!)-1)))+((4-INDEX('CASE MASTER'!$AA$2:$AA$495,(SUMPRODUCT((('CASE MASTER'!$T$2:$T$495=5)*('CASE MASTER'!$AA$2:$AA$495&lt;=4)*('CASE MASTER'!$AC$2:$AC$495&gt;=4)*('CASE MASTER'!$AB$2:$AB$495&lt;=6)*('CASE MASTER'!$AD$2:$AD$495&gt;=6))*ROW('CASE MASTER'!$T$2:$T$495))-(ROW('CASE MASTER'!#REF!)-1))))*(INDEX('CASE MASTER'!$AD$2:$AD$495,(SUMPRODUCT((('CASE MASTER'!$T$2:$T$495=5)*('CASE MASTER'!$AA$2:$AA$495&lt;=4)*('CASE MASTER'!$AC$2:$AC$495&gt;=4)*('CASE MASTER'!$AB$2:$AB$495&lt;=6)*('CASE MASTER'!$AD$2:$AD$495&gt;=6))*ROW('CASE MASTER'!$T$2:$T$495))-(ROW('CASE MASTER'!#REF!)-1)))-INDEX('CASE MASTER'!$AB$2:$AB$495,(SUMPRODUCT((('CASE MASTER'!$T$2:$T$495=5)*('CASE MASTER'!$AA$2:$AA$495&lt;=4)*('CASE MASTER'!$AC$2:$AC$495&gt;=4)*('CASE MASTER'!$AB$2:$AB$495&lt;=6)*('CASE MASTER'!$AD$2:$AD$495&gt;=6))*ROW('CASE MASTER'!$T$2:$T$495))-(ROW('CASE MASTER'!#REF!)-1)))+1)+(6-INDEX('CASE MASTER'!$AB$2:$AB$495,(SUMPRODUCT((('CASE MASTER'!$T$2:$T$495=5)*('CASE MASTER'!$AA$2:$AA$495&lt;=4)*('CASE MASTER'!$AC$2:$AC$495&gt;=4)*('CASE MASTER'!$AB$2:$AB$495&lt;=6)*('CASE MASTER'!$AD$2:$AD$495&gt;=6))*ROW('CASE MASTER'!$T$2:$T$495))-(ROW('CASE MASTER'!#REF!)-1))))+1)))-1)*50+1,50))&amp;"_"&amp;INDEX('CASE MASTER'!$Q$2:$Q$495,(SUMPRODUCT((('CASE MASTER'!$T$2:$T$495=5)*('CASE MASTER'!$AA$2:$AA$495&lt;=4)*('CASE MASTER'!$AC$2:$AC$495&gt;=4)*('CASE MASTER'!$AB$2:$AB$495&lt;=6)*('CASE MASTER'!$AD$2:$AD$495&gt;=6))*ROW('CASE MASTER'!$T$2:$T$495))-(ROW('CASE MASTER'!#REF!)-1))),"")),"")</f>
        <v/>
      </c>
      <c r="H62" s="10" t="str">
        <f>IFERROR(IF(SUMPRODUCT((('CASE MASTER'!$T$2:$T$495=5)*('CASE MASTER'!$U$2:$U$495&lt;=4)*('CASE MASTER'!$W$2:$W$495&gt;=4)*('CASE MASTER'!$V$2:$V$495&lt;=7)*('CASE MASTER'!$X$2:$X$495&gt;=7))*ROW('CASE MASTER'!$T$2:$T$495))&gt;0,INDEX('CASE MASTER'!$Y$2:$Y$495,(SUMPRODUCT((('CASE MASTER'!$T$2:$T$495=5)*('CASE MASTER'!$U$2:$U$495&lt;=4)*('CASE MASTER'!$W$2:$W$495&gt;=4)*('CASE MASTER'!$V$2:$V$495&lt;=7)*('CASE MASTER'!$X$2:$X$495&gt;=7))*ROW('CASE MASTER'!$T$2:$T$495))-(ROW('CASE MASTER'!#REF!)-1)))&amp;TRIM(MID(SUBSTITUTE(SUBSTITUTE(INDEX('CASE MASTER'!$N$2:$N$495,(SUMPRODUCT((('CASE MASTER'!$T$2:$T$495=5)*('CASE MASTER'!$U$2:$U$495&lt;=4)*('CASE MASTER'!$W$2:$W$495&gt;=4)*('CASE MASTER'!$V$2:$V$495&lt;=7)*('CASE MASTER'!$X$2:$X$495&gt;=7))*ROW('CASE MASTER'!$T$2:$T$495))-(ROW('CASE MASTER'!#REF!)-1))),":",","),",",REPT(" ",50)),((((4-INDEX('CASE MASTER'!$U$2:$U$495,(SUMPRODUCT((('CASE MASTER'!$T$2:$T$495=5)*('CASE MASTER'!$U$2:$U$495&lt;=4)*('CASE MASTER'!$W$2:$W$495&gt;=4)*('CASE MASTER'!$V$2:$V$495&lt;=7)*('CASE MASTER'!$X$2:$X$495&gt;=7))*ROW('CASE MASTER'!$T$2:$T$495))-(ROW('CASE MASTER'!#REF!)-1))))*(INDEX('CASE MASTER'!$X$2:$X$495,(SUMPRODUCT((('CASE MASTER'!$T$2:$T$495=5)*('CASE MASTER'!$U$2:$U$495&lt;=4)*('CASE MASTER'!$W$2:$W$495&gt;=4)*('CASE MASTER'!$V$2:$V$495&lt;=7)*('CASE MASTER'!$X$2:$X$495&gt;=7))*ROW('CASE MASTER'!$T$2:$T$495))-(ROW('CASE MASTER'!#REF!)-1)))-INDEX('CASE MASTER'!$V$2:$V$495,(SUMPRODUCT((('CASE MASTER'!$T$2:$T$495=5)*('CASE MASTER'!$U$2:$U$495&lt;=4)*('CASE MASTER'!$W$2:$W$495&gt;=4)*('CASE MASTER'!$V$2:$V$495&lt;=7)*('CASE MASTER'!$X$2:$X$495&gt;=7))*ROW('CASE MASTER'!$T$2:$T$495))-(ROW('CASE MASTER'!#REF!)-1)))+1)+(7-INDEX('CASE MASTER'!$V$2:$V$495,(SUMPRODUCT((('CASE MASTER'!$T$2:$T$495=5)*('CASE MASTER'!$U$2:$U$495&lt;=4)*('CASE MASTER'!$W$2:$W$495&gt;=4)*('CASE MASTER'!$V$2:$V$495&lt;=7)*('CASE MASTER'!$X$2:$X$495&gt;=7))*ROW('CASE MASTER'!$T$2:$T$495))-(ROW('CASE MASTER'!#REF!)-1))))+1))-1)*50+1,50))&amp;"_"&amp;INDEX('CASE MASTER'!$Q$2:$Q$495,(SUMPRODUCT((('CASE MASTER'!$T$2:$T$495=5)*('CASE MASTER'!$U$2:$U$495&lt;=4)*('CASE MASTER'!$W$2:$W$495&gt;=4)*('CASE MASTER'!$V$2:$V$495&lt;=7)*('CASE MASTER'!$X$2:$X$495&gt;=7))*ROW('CASE MASTER'!$T$2:$T$495))-(ROW('CASE MASTER'!#REF!)-1))),IF(SUMPRODUCT((('CASE MASTER'!$T$2:$T$495=5)*('CASE MASTER'!$AA$2:$AA$495&lt;=4)*('CASE MASTER'!$AC$2:$AC$495&gt;=4)*('CASE MASTER'!$AB$2:$AB$495&lt;=7)*('CASE MASTER'!$AD$2:$AD$495&gt;=7))*ROW('CASE MASTER'!$T$2:$T$495))&gt;0,INDEX('CASE MASTER'!$Y$2:$Y$495,(SUMPRODUCT((('CASE MASTER'!$T$2:$T$495=5)*('CASE MASTER'!$AA$2:$AA$495&lt;=4)*('CASE MASTER'!$AC$2:$AC$495&gt;=4)*('CASE MASTER'!$AB$2:$AB$495&lt;=7)*('CASE MASTER'!$AD$2:$AD$495&gt;=7))*ROW('CASE MASTER'!$T$2:$T$495))-(ROW('CASE MASTER'!#REF!)-1)))&amp;TRIM(MID(SUBSTITUTE(SUBSTITUTE(INDEX('CASE MASTER'!$N$2:$N$495,(SUMPRODUCT((('CASE MASTER'!$T$2:$T$495=5)*('CASE MASTER'!$AA$2:$AA$495&lt;=4)*('CASE MASTER'!$AC$2:$AC$495&gt;=4)*('CASE MASTER'!$AB$2:$AB$495&lt;=7)*('CASE MASTER'!$AD$2:$AD$495&gt;=7))*ROW('CASE MASTER'!$T$2:$T$495))-(ROW('CASE MASTER'!#REF!)-1))),":",","),",",REPT(" ",50)),(((INDEX('CASE MASTER'!$Z$2:$Z$495,(SUMPRODUCT((('CASE MASTER'!$T$2:$T$495=5)*('CASE MASTER'!$AA$2:$AA$495&lt;=4)*('CASE MASTER'!$AC$2:$AC$495&gt;=4)*('CASE MASTER'!$AB$2:$AB$495&lt;=7)*('CASE MASTER'!$AD$2:$AD$495&gt;=7))*ROW('CASE MASTER'!$T$2:$T$495))-(ROW('CASE MASTER'!#REF!)-1)))+((4-INDEX('CASE MASTER'!$AA$2:$AA$495,(SUMPRODUCT((('CASE MASTER'!$T$2:$T$495=5)*('CASE MASTER'!$AA$2:$AA$495&lt;=4)*('CASE MASTER'!$AC$2:$AC$495&gt;=4)*('CASE MASTER'!$AB$2:$AB$495&lt;=7)*('CASE MASTER'!$AD$2:$AD$495&gt;=7))*ROW('CASE MASTER'!$T$2:$T$495))-(ROW('CASE MASTER'!#REF!)-1))))*(INDEX('CASE MASTER'!$AD$2:$AD$495,(SUMPRODUCT((('CASE MASTER'!$T$2:$T$495=5)*('CASE MASTER'!$AA$2:$AA$495&lt;=4)*('CASE MASTER'!$AC$2:$AC$495&gt;=4)*('CASE MASTER'!$AB$2:$AB$495&lt;=7)*('CASE MASTER'!$AD$2:$AD$495&gt;=7))*ROW('CASE MASTER'!$T$2:$T$495))-(ROW('CASE MASTER'!#REF!)-1)))-INDEX('CASE MASTER'!$AB$2:$AB$495,(SUMPRODUCT((('CASE MASTER'!$T$2:$T$495=5)*('CASE MASTER'!$AA$2:$AA$495&lt;=4)*('CASE MASTER'!$AC$2:$AC$495&gt;=4)*('CASE MASTER'!$AB$2:$AB$495&lt;=7)*('CASE MASTER'!$AD$2:$AD$495&gt;=7))*ROW('CASE MASTER'!$T$2:$T$495))-(ROW('CASE MASTER'!#REF!)-1)))+1)+(7-INDEX('CASE MASTER'!$AB$2:$AB$495,(SUMPRODUCT((('CASE MASTER'!$T$2:$T$495=5)*('CASE MASTER'!$AA$2:$AA$495&lt;=4)*('CASE MASTER'!$AC$2:$AC$495&gt;=4)*('CASE MASTER'!$AB$2:$AB$495&lt;=7)*('CASE MASTER'!$AD$2:$AD$495&gt;=7))*ROW('CASE MASTER'!$T$2:$T$495))-(ROW('CASE MASTER'!#REF!)-1))))+1)))-1)*50+1,50))&amp;"_"&amp;INDEX('CASE MASTER'!$Q$2:$Q$495,(SUMPRODUCT((('CASE MASTER'!$T$2:$T$495=5)*('CASE MASTER'!$AA$2:$AA$495&lt;=4)*('CASE MASTER'!$AC$2:$AC$495&gt;=4)*('CASE MASTER'!$AB$2:$AB$495&lt;=7)*('CASE MASTER'!$AD$2:$AD$495&gt;=7))*ROW('CASE MASTER'!$T$2:$T$495))-(ROW('CASE MASTER'!#REF!)-1))),"")),"")</f>
        <v/>
      </c>
      <c r="I62" s="10" t="str">
        <f>IFERROR(IF(SUMPRODUCT((('CASE MASTER'!$T$2:$T$495=5)*('CASE MASTER'!$U$2:$U$495&lt;=4)*('CASE MASTER'!$W$2:$W$495&gt;=4)*('CASE MASTER'!$V$2:$V$495&lt;=8)*('CASE MASTER'!$X$2:$X$495&gt;=8))*ROW('CASE MASTER'!$T$2:$T$495))&gt;0,INDEX('CASE MASTER'!$Y$2:$Y$495,(SUMPRODUCT((('CASE MASTER'!$T$2:$T$495=5)*('CASE MASTER'!$U$2:$U$495&lt;=4)*('CASE MASTER'!$W$2:$W$495&gt;=4)*('CASE MASTER'!$V$2:$V$495&lt;=8)*('CASE MASTER'!$X$2:$X$495&gt;=8))*ROW('CASE MASTER'!$T$2:$T$495))-(ROW('CASE MASTER'!#REF!)-1)))&amp;TRIM(MID(SUBSTITUTE(SUBSTITUTE(INDEX('CASE MASTER'!$N$2:$N$495,(SUMPRODUCT((('CASE MASTER'!$T$2:$T$495=5)*('CASE MASTER'!$U$2:$U$495&lt;=4)*('CASE MASTER'!$W$2:$W$495&gt;=4)*('CASE MASTER'!$V$2:$V$495&lt;=8)*('CASE MASTER'!$X$2:$X$495&gt;=8))*ROW('CASE MASTER'!$T$2:$T$495))-(ROW('CASE MASTER'!#REF!)-1))),":",","),",",REPT(" ",50)),((((4-INDEX('CASE MASTER'!$U$2:$U$495,(SUMPRODUCT((('CASE MASTER'!$T$2:$T$495=5)*('CASE MASTER'!$U$2:$U$495&lt;=4)*('CASE MASTER'!$W$2:$W$495&gt;=4)*('CASE MASTER'!$V$2:$V$495&lt;=8)*('CASE MASTER'!$X$2:$X$495&gt;=8))*ROW('CASE MASTER'!$T$2:$T$495))-(ROW('CASE MASTER'!#REF!)-1))))*(INDEX('CASE MASTER'!$X$2:$X$495,(SUMPRODUCT((('CASE MASTER'!$T$2:$T$495=5)*('CASE MASTER'!$U$2:$U$495&lt;=4)*('CASE MASTER'!$W$2:$W$495&gt;=4)*('CASE MASTER'!$V$2:$V$495&lt;=8)*('CASE MASTER'!$X$2:$X$495&gt;=8))*ROW('CASE MASTER'!$T$2:$T$495))-(ROW('CASE MASTER'!#REF!)-1)))-INDEX('CASE MASTER'!$V$2:$V$495,(SUMPRODUCT((('CASE MASTER'!$T$2:$T$495=5)*('CASE MASTER'!$U$2:$U$495&lt;=4)*('CASE MASTER'!$W$2:$W$495&gt;=4)*('CASE MASTER'!$V$2:$V$495&lt;=8)*('CASE MASTER'!$X$2:$X$495&gt;=8))*ROW('CASE MASTER'!$T$2:$T$495))-(ROW('CASE MASTER'!#REF!)-1)))+1)+(8-INDEX('CASE MASTER'!$V$2:$V$495,(SUMPRODUCT((('CASE MASTER'!$T$2:$T$495=5)*('CASE MASTER'!$U$2:$U$495&lt;=4)*('CASE MASTER'!$W$2:$W$495&gt;=4)*('CASE MASTER'!$V$2:$V$495&lt;=8)*('CASE MASTER'!$X$2:$X$495&gt;=8))*ROW('CASE MASTER'!$T$2:$T$495))-(ROW('CASE MASTER'!#REF!)-1))))+1))-1)*50+1,50))&amp;"_"&amp;INDEX('CASE MASTER'!$Q$2:$Q$495,(SUMPRODUCT((('CASE MASTER'!$T$2:$T$495=5)*('CASE MASTER'!$U$2:$U$495&lt;=4)*('CASE MASTER'!$W$2:$W$495&gt;=4)*('CASE MASTER'!$V$2:$V$495&lt;=8)*('CASE MASTER'!$X$2:$X$495&gt;=8))*ROW('CASE MASTER'!$T$2:$T$495))-(ROW('CASE MASTER'!#REF!)-1))),IF(SUMPRODUCT((('CASE MASTER'!$T$2:$T$495=5)*('CASE MASTER'!$AA$2:$AA$495&lt;=4)*('CASE MASTER'!$AC$2:$AC$495&gt;=4)*('CASE MASTER'!$AB$2:$AB$495&lt;=8)*('CASE MASTER'!$AD$2:$AD$495&gt;=8))*ROW('CASE MASTER'!$T$2:$T$495))&gt;0,INDEX('CASE MASTER'!$Y$2:$Y$495,(SUMPRODUCT((('CASE MASTER'!$T$2:$T$495=5)*('CASE MASTER'!$AA$2:$AA$495&lt;=4)*('CASE MASTER'!$AC$2:$AC$495&gt;=4)*('CASE MASTER'!$AB$2:$AB$495&lt;=8)*('CASE MASTER'!$AD$2:$AD$495&gt;=8))*ROW('CASE MASTER'!$T$2:$T$495))-(ROW('CASE MASTER'!#REF!)-1)))&amp;TRIM(MID(SUBSTITUTE(SUBSTITUTE(INDEX('CASE MASTER'!$N$2:$N$495,(SUMPRODUCT((('CASE MASTER'!$T$2:$T$495=5)*('CASE MASTER'!$AA$2:$AA$495&lt;=4)*('CASE MASTER'!$AC$2:$AC$495&gt;=4)*('CASE MASTER'!$AB$2:$AB$495&lt;=8)*('CASE MASTER'!$AD$2:$AD$495&gt;=8))*ROW('CASE MASTER'!$T$2:$T$495))-(ROW('CASE MASTER'!#REF!)-1))),":",","),",",REPT(" ",50)),(((INDEX('CASE MASTER'!$Z$2:$Z$495,(SUMPRODUCT((('CASE MASTER'!$T$2:$T$495=5)*('CASE MASTER'!$AA$2:$AA$495&lt;=4)*('CASE MASTER'!$AC$2:$AC$495&gt;=4)*('CASE MASTER'!$AB$2:$AB$495&lt;=8)*('CASE MASTER'!$AD$2:$AD$495&gt;=8))*ROW('CASE MASTER'!$T$2:$T$495))-(ROW('CASE MASTER'!#REF!)-1)))+((4-INDEX('CASE MASTER'!$AA$2:$AA$495,(SUMPRODUCT((('CASE MASTER'!$T$2:$T$495=5)*('CASE MASTER'!$AA$2:$AA$495&lt;=4)*('CASE MASTER'!$AC$2:$AC$495&gt;=4)*('CASE MASTER'!$AB$2:$AB$495&lt;=8)*('CASE MASTER'!$AD$2:$AD$495&gt;=8))*ROW('CASE MASTER'!$T$2:$T$495))-(ROW('CASE MASTER'!#REF!)-1))))*(INDEX('CASE MASTER'!$AD$2:$AD$495,(SUMPRODUCT((('CASE MASTER'!$T$2:$T$495=5)*('CASE MASTER'!$AA$2:$AA$495&lt;=4)*('CASE MASTER'!$AC$2:$AC$495&gt;=4)*('CASE MASTER'!$AB$2:$AB$495&lt;=8)*('CASE MASTER'!$AD$2:$AD$495&gt;=8))*ROW('CASE MASTER'!$T$2:$T$495))-(ROW('CASE MASTER'!#REF!)-1)))-INDEX('CASE MASTER'!$AB$2:$AB$495,(SUMPRODUCT((('CASE MASTER'!$T$2:$T$495=5)*('CASE MASTER'!$AA$2:$AA$495&lt;=4)*('CASE MASTER'!$AC$2:$AC$495&gt;=4)*('CASE MASTER'!$AB$2:$AB$495&lt;=8)*('CASE MASTER'!$AD$2:$AD$495&gt;=8))*ROW('CASE MASTER'!$T$2:$T$495))-(ROW('CASE MASTER'!#REF!)-1)))+1)+(8-INDEX('CASE MASTER'!$AB$2:$AB$495,(SUMPRODUCT((('CASE MASTER'!$T$2:$T$495=5)*('CASE MASTER'!$AA$2:$AA$495&lt;=4)*('CASE MASTER'!$AC$2:$AC$495&gt;=4)*('CASE MASTER'!$AB$2:$AB$495&lt;=8)*('CASE MASTER'!$AD$2:$AD$495&gt;=8))*ROW('CASE MASTER'!$T$2:$T$495))-(ROW('CASE MASTER'!#REF!)-1))))+1)))-1)*50+1,50))&amp;"_"&amp;INDEX('CASE MASTER'!$Q$2:$Q$495,(SUMPRODUCT((('CASE MASTER'!$T$2:$T$495=5)*('CASE MASTER'!$AA$2:$AA$495&lt;=4)*('CASE MASTER'!$AC$2:$AC$495&gt;=4)*('CASE MASTER'!$AB$2:$AB$495&lt;=8)*('CASE MASTER'!$AD$2:$AD$495&gt;=8))*ROW('CASE MASTER'!$T$2:$T$495))-(ROW('CASE MASTER'!#REF!)-1))),"")),"")</f>
        <v/>
      </c>
      <c r="J62" s="10" t="str">
        <f>IFERROR(IF(SUMPRODUCT((('CASE MASTER'!$T$2:$T$495=5)*('CASE MASTER'!$U$2:$U$495&lt;=4)*('CASE MASTER'!$W$2:$W$495&gt;=4)*('CASE MASTER'!$V$2:$V$495&lt;=9)*('CASE MASTER'!$X$2:$X$495&gt;=9))*ROW('CASE MASTER'!$T$2:$T$495))&gt;0,INDEX('CASE MASTER'!$Y$2:$Y$495,(SUMPRODUCT((('CASE MASTER'!$T$2:$T$495=5)*('CASE MASTER'!$U$2:$U$495&lt;=4)*('CASE MASTER'!$W$2:$W$495&gt;=4)*('CASE MASTER'!$V$2:$V$495&lt;=9)*('CASE MASTER'!$X$2:$X$495&gt;=9))*ROW('CASE MASTER'!$T$2:$T$495))-(ROW('CASE MASTER'!#REF!)-1)))&amp;TRIM(MID(SUBSTITUTE(SUBSTITUTE(INDEX('CASE MASTER'!$N$2:$N$495,(SUMPRODUCT((('CASE MASTER'!$T$2:$T$495=5)*('CASE MASTER'!$U$2:$U$495&lt;=4)*('CASE MASTER'!$W$2:$W$495&gt;=4)*('CASE MASTER'!$V$2:$V$495&lt;=9)*('CASE MASTER'!$X$2:$X$495&gt;=9))*ROW('CASE MASTER'!$T$2:$T$495))-(ROW('CASE MASTER'!#REF!)-1))),":",","),",",REPT(" ",50)),((((4-INDEX('CASE MASTER'!$U$2:$U$495,(SUMPRODUCT((('CASE MASTER'!$T$2:$T$495=5)*('CASE MASTER'!$U$2:$U$495&lt;=4)*('CASE MASTER'!$W$2:$W$495&gt;=4)*('CASE MASTER'!$V$2:$V$495&lt;=9)*('CASE MASTER'!$X$2:$X$495&gt;=9))*ROW('CASE MASTER'!$T$2:$T$495))-(ROW('CASE MASTER'!#REF!)-1))))*(INDEX('CASE MASTER'!$X$2:$X$495,(SUMPRODUCT((('CASE MASTER'!$T$2:$T$495=5)*('CASE MASTER'!$U$2:$U$495&lt;=4)*('CASE MASTER'!$W$2:$W$495&gt;=4)*('CASE MASTER'!$V$2:$V$495&lt;=9)*('CASE MASTER'!$X$2:$X$495&gt;=9))*ROW('CASE MASTER'!$T$2:$T$495))-(ROW('CASE MASTER'!#REF!)-1)))-INDEX('CASE MASTER'!$V$2:$V$495,(SUMPRODUCT((('CASE MASTER'!$T$2:$T$495=5)*('CASE MASTER'!$U$2:$U$495&lt;=4)*('CASE MASTER'!$W$2:$W$495&gt;=4)*('CASE MASTER'!$V$2:$V$495&lt;=9)*('CASE MASTER'!$X$2:$X$495&gt;=9))*ROW('CASE MASTER'!$T$2:$T$495))-(ROW('CASE MASTER'!#REF!)-1)))+1)+(9-INDEX('CASE MASTER'!$V$2:$V$495,(SUMPRODUCT((('CASE MASTER'!$T$2:$T$495=5)*('CASE MASTER'!$U$2:$U$495&lt;=4)*('CASE MASTER'!$W$2:$W$495&gt;=4)*('CASE MASTER'!$V$2:$V$495&lt;=9)*('CASE MASTER'!$X$2:$X$495&gt;=9))*ROW('CASE MASTER'!$T$2:$T$495))-(ROW('CASE MASTER'!#REF!)-1))))+1))-1)*50+1,50))&amp;"_"&amp;INDEX('CASE MASTER'!$Q$2:$Q$495,(SUMPRODUCT((('CASE MASTER'!$T$2:$T$495=5)*('CASE MASTER'!$U$2:$U$495&lt;=4)*('CASE MASTER'!$W$2:$W$495&gt;=4)*('CASE MASTER'!$V$2:$V$495&lt;=9)*('CASE MASTER'!$X$2:$X$495&gt;=9))*ROW('CASE MASTER'!$T$2:$T$495))-(ROW('CASE MASTER'!#REF!)-1))),IF(SUMPRODUCT((('CASE MASTER'!$T$2:$T$495=5)*('CASE MASTER'!$AA$2:$AA$495&lt;=4)*('CASE MASTER'!$AC$2:$AC$495&gt;=4)*('CASE MASTER'!$AB$2:$AB$495&lt;=9)*('CASE MASTER'!$AD$2:$AD$495&gt;=9))*ROW('CASE MASTER'!$T$2:$T$495))&gt;0,INDEX('CASE MASTER'!$Y$2:$Y$495,(SUMPRODUCT((('CASE MASTER'!$T$2:$T$495=5)*('CASE MASTER'!$AA$2:$AA$495&lt;=4)*('CASE MASTER'!$AC$2:$AC$495&gt;=4)*('CASE MASTER'!$AB$2:$AB$495&lt;=9)*('CASE MASTER'!$AD$2:$AD$495&gt;=9))*ROW('CASE MASTER'!$T$2:$T$495))-(ROW('CASE MASTER'!#REF!)-1)))&amp;TRIM(MID(SUBSTITUTE(SUBSTITUTE(INDEX('CASE MASTER'!$N$2:$N$495,(SUMPRODUCT((('CASE MASTER'!$T$2:$T$495=5)*('CASE MASTER'!$AA$2:$AA$495&lt;=4)*('CASE MASTER'!$AC$2:$AC$495&gt;=4)*('CASE MASTER'!$AB$2:$AB$495&lt;=9)*('CASE MASTER'!$AD$2:$AD$495&gt;=9))*ROW('CASE MASTER'!$T$2:$T$495))-(ROW('CASE MASTER'!#REF!)-1))),":",","),",",REPT(" ",50)),(((INDEX('CASE MASTER'!$Z$2:$Z$495,(SUMPRODUCT((('CASE MASTER'!$T$2:$T$495=5)*('CASE MASTER'!$AA$2:$AA$495&lt;=4)*('CASE MASTER'!$AC$2:$AC$495&gt;=4)*('CASE MASTER'!$AB$2:$AB$495&lt;=9)*('CASE MASTER'!$AD$2:$AD$495&gt;=9))*ROW('CASE MASTER'!$T$2:$T$495))-(ROW('CASE MASTER'!#REF!)-1)))+((4-INDEX('CASE MASTER'!$AA$2:$AA$495,(SUMPRODUCT((('CASE MASTER'!$T$2:$T$495=5)*('CASE MASTER'!$AA$2:$AA$495&lt;=4)*('CASE MASTER'!$AC$2:$AC$495&gt;=4)*('CASE MASTER'!$AB$2:$AB$495&lt;=9)*('CASE MASTER'!$AD$2:$AD$495&gt;=9))*ROW('CASE MASTER'!$T$2:$T$495))-(ROW('CASE MASTER'!#REF!)-1))))*(INDEX('CASE MASTER'!$AD$2:$AD$495,(SUMPRODUCT((('CASE MASTER'!$T$2:$T$495=5)*('CASE MASTER'!$AA$2:$AA$495&lt;=4)*('CASE MASTER'!$AC$2:$AC$495&gt;=4)*('CASE MASTER'!$AB$2:$AB$495&lt;=9)*('CASE MASTER'!$AD$2:$AD$495&gt;=9))*ROW('CASE MASTER'!$T$2:$T$495))-(ROW('CASE MASTER'!#REF!)-1)))-INDEX('CASE MASTER'!$AB$2:$AB$495,(SUMPRODUCT((('CASE MASTER'!$T$2:$T$495=5)*('CASE MASTER'!$AA$2:$AA$495&lt;=4)*('CASE MASTER'!$AC$2:$AC$495&gt;=4)*('CASE MASTER'!$AB$2:$AB$495&lt;=9)*('CASE MASTER'!$AD$2:$AD$495&gt;=9))*ROW('CASE MASTER'!$T$2:$T$495))-(ROW('CASE MASTER'!#REF!)-1)))+1)+(9-INDEX('CASE MASTER'!$AB$2:$AB$495,(SUMPRODUCT((('CASE MASTER'!$T$2:$T$495=5)*('CASE MASTER'!$AA$2:$AA$495&lt;=4)*('CASE MASTER'!$AC$2:$AC$495&gt;=4)*('CASE MASTER'!$AB$2:$AB$495&lt;=9)*('CASE MASTER'!$AD$2:$AD$495&gt;=9))*ROW('CASE MASTER'!$T$2:$T$495))-(ROW('CASE MASTER'!#REF!)-1))))+1)))-1)*50+1,50))&amp;"_"&amp;INDEX('CASE MASTER'!$Q$2:$Q$495,(SUMPRODUCT((('CASE MASTER'!$T$2:$T$495=5)*('CASE MASTER'!$AA$2:$AA$495&lt;=4)*('CASE MASTER'!$AC$2:$AC$495&gt;=4)*('CASE MASTER'!$AB$2:$AB$495&lt;=9)*('CASE MASTER'!$AD$2:$AD$495&gt;=9))*ROW('CASE MASTER'!$T$2:$T$495))-(ROW('CASE MASTER'!#REF!)-1))),"")),"")</f>
        <v/>
      </c>
      <c r="K62" s="10" t="str">
        <f>IFERROR(IF(SUMPRODUCT((('CASE MASTER'!$T$2:$T$495=5)*('CASE MASTER'!$U$2:$U$495&lt;=4)*('CASE MASTER'!$W$2:$W$495&gt;=4)*('CASE MASTER'!$V$2:$V$495&lt;=10)*('CASE MASTER'!$X$2:$X$495&gt;=10))*ROW('CASE MASTER'!$T$2:$T$495))&gt;0,INDEX('CASE MASTER'!$Y$2:$Y$495,(SUMPRODUCT((('CASE MASTER'!$T$2:$T$495=5)*('CASE MASTER'!$U$2:$U$495&lt;=4)*('CASE MASTER'!$W$2:$W$495&gt;=4)*('CASE MASTER'!$V$2:$V$495&lt;=10)*('CASE MASTER'!$X$2:$X$495&gt;=10))*ROW('CASE MASTER'!$T$2:$T$495))-(ROW('CASE MASTER'!#REF!)-1)))&amp;TRIM(MID(SUBSTITUTE(SUBSTITUTE(INDEX('CASE MASTER'!$N$2:$N$495,(SUMPRODUCT((('CASE MASTER'!$T$2:$T$495=5)*('CASE MASTER'!$U$2:$U$495&lt;=4)*('CASE MASTER'!$W$2:$W$495&gt;=4)*('CASE MASTER'!$V$2:$V$495&lt;=10)*('CASE MASTER'!$X$2:$X$495&gt;=10))*ROW('CASE MASTER'!$T$2:$T$495))-(ROW('CASE MASTER'!#REF!)-1))),":",","),",",REPT(" ",50)),((((4-INDEX('CASE MASTER'!$U$2:$U$495,(SUMPRODUCT((('CASE MASTER'!$T$2:$T$495=5)*('CASE MASTER'!$U$2:$U$495&lt;=4)*('CASE MASTER'!$W$2:$W$495&gt;=4)*('CASE MASTER'!$V$2:$V$495&lt;=10)*('CASE MASTER'!$X$2:$X$495&gt;=10))*ROW('CASE MASTER'!$T$2:$T$495))-(ROW('CASE MASTER'!#REF!)-1))))*(INDEX('CASE MASTER'!$X$2:$X$495,(SUMPRODUCT((('CASE MASTER'!$T$2:$T$495=5)*('CASE MASTER'!$U$2:$U$495&lt;=4)*('CASE MASTER'!$W$2:$W$495&gt;=4)*('CASE MASTER'!$V$2:$V$495&lt;=10)*('CASE MASTER'!$X$2:$X$495&gt;=10))*ROW('CASE MASTER'!$T$2:$T$495))-(ROW('CASE MASTER'!#REF!)-1)))-INDEX('CASE MASTER'!$V$2:$V$495,(SUMPRODUCT((('CASE MASTER'!$T$2:$T$495=5)*('CASE MASTER'!$U$2:$U$495&lt;=4)*('CASE MASTER'!$W$2:$W$495&gt;=4)*('CASE MASTER'!$V$2:$V$495&lt;=10)*('CASE MASTER'!$X$2:$X$495&gt;=10))*ROW('CASE MASTER'!$T$2:$T$495))-(ROW('CASE MASTER'!#REF!)-1)))+1)+(10-INDEX('CASE MASTER'!$V$2:$V$495,(SUMPRODUCT((('CASE MASTER'!$T$2:$T$495=5)*('CASE MASTER'!$U$2:$U$495&lt;=4)*('CASE MASTER'!$W$2:$W$495&gt;=4)*('CASE MASTER'!$V$2:$V$495&lt;=10)*('CASE MASTER'!$X$2:$X$495&gt;=10))*ROW('CASE MASTER'!$T$2:$T$495))-(ROW('CASE MASTER'!#REF!)-1))))+1))-1)*50+1,50))&amp;"_"&amp;INDEX('CASE MASTER'!$Q$2:$Q$495,(SUMPRODUCT((('CASE MASTER'!$T$2:$T$495=5)*('CASE MASTER'!$U$2:$U$495&lt;=4)*('CASE MASTER'!$W$2:$W$495&gt;=4)*('CASE MASTER'!$V$2:$V$495&lt;=10)*('CASE MASTER'!$X$2:$X$495&gt;=10))*ROW('CASE MASTER'!$T$2:$T$495))-(ROW('CASE MASTER'!#REF!)-1))),IF(SUMPRODUCT((('CASE MASTER'!$T$2:$T$495=5)*('CASE MASTER'!$AA$2:$AA$495&lt;=4)*('CASE MASTER'!$AC$2:$AC$495&gt;=4)*('CASE MASTER'!$AB$2:$AB$495&lt;=10)*('CASE MASTER'!$AD$2:$AD$495&gt;=10))*ROW('CASE MASTER'!$T$2:$T$495))&gt;0,INDEX('CASE MASTER'!$Y$2:$Y$495,(SUMPRODUCT((('CASE MASTER'!$T$2:$T$495=5)*('CASE MASTER'!$AA$2:$AA$495&lt;=4)*('CASE MASTER'!$AC$2:$AC$495&gt;=4)*('CASE MASTER'!$AB$2:$AB$495&lt;=10)*('CASE MASTER'!$AD$2:$AD$495&gt;=10))*ROW('CASE MASTER'!$T$2:$T$495))-(ROW('CASE MASTER'!#REF!)-1)))&amp;TRIM(MID(SUBSTITUTE(SUBSTITUTE(INDEX('CASE MASTER'!$N$2:$N$495,(SUMPRODUCT((('CASE MASTER'!$T$2:$T$495=5)*('CASE MASTER'!$AA$2:$AA$495&lt;=4)*('CASE MASTER'!$AC$2:$AC$495&gt;=4)*('CASE MASTER'!$AB$2:$AB$495&lt;=10)*('CASE MASTER'!$AD$2:$AD$495&gt;=10))*ROW('CASE MASTER'!$T$2:$T$495))-(ROW('CASE MASTER'!#REF!)-1))),":",","),",",REPT(" ",50)),(((INDEX('CASE MASTER'!$Z$2:$Z$495,(SUMPRODUCT((('CASE MASTER'!$T$2:$T$495=5)*('CASE MASTER'!$AA$2:$AA$495&lt;=4)*('CASE MASTER'!$AC$2:$AC$495&gt;=4)*('CASE MASTER'!$AB$2:$AB$495&lt;=10)*('CASE MASTER'!$AD$2:$AD$495&gt;=10))*ROW('CASE MASTER'!$T$2:$T$495))-(ROW('CASE MASTER'!#REF!)-1)))+((4-INDEX('CASE MASTER'!$AA$2:$AA$495,(SUMPRODUCT((('CASE MASTER'!$T$2:$T$495=5)*('CASE MASTER'!$AA$2:$AA$495&lt;=4)*('CASE MASTER'!$AC$2:$AC$495&gt;=4)*('CASE MASTER'!$AB$2:$AB$495&lt;=10)*('CASE MASTER'!$AD$2:$AD$495&gt;=10))*ROW('CASE MASTER'!$T$2:$T$495))-(ROW('CASE MASTER'!#REF!)-1))))*(INDEX('CASE MASTER'!$AD$2:$AD$495,(SUMPRODUCT((('CASE MASTER'!$T$2:$T$495=5)*('CASE MASTER'!$AA$2:$AA$495&lt;=4)*('CASE MASTER'!$AC$2:$AC$495&gt;=4)*('CASE MASTER'!$AB$2:$AB$495&lt;=10)*('CASE MASTER'!$AD$2:$AD$495&gt;=10))*ROW('CASE MASTER'!$T$2:$T$495))-(ROW('CASE MASTER'!#REF!)-1)))-INDEX('CASE MASTER'!$AB$2:$AB$495,(SUMPRODUCT((('CASE MASTER'!$T$2:$T$495=5)*('CASE MASTER'!$AA$2:$AA$495&lt;=4)*('CASE MASTER'!$AC$2:$AC$495&gt;=4)*('CASE MASTER'!$AB$2:$AB$495&lt;=10)*('CASE MASTER'!$AD$2:$AD$495&gt;=10))*ROW('CASE MASTER'!$T$2:$T$495))-(ROW('CASE MASTER'!#REF!)-1)))+1)+(10-INDEX('CASE MASTER'!$AB$2:$AB$495,(SUMPRODUCT((('CASE MASTER'!$T$2:$T$495=5)*('CASE MASTER'!$AA$2:$AA$495&lt;=4)*('CASE MASTER'!$AC$2:$AC$495&gt;=4)*('CASE MASTER'!$AB$2:$AB$495&lt;=10)*('CASE MASTER'!$AD$2:$AD$495&gt;=10))*ROW('CASE MASTER'!$T$2:$T$495))-(ROW('CASE MASTER'!#REF!)-1))))+1)))-1)*50+1,50))&amp;"_"&amp;INDEX('CASE MASTER'!$Q$2:$Q$495,(SUMPRODUCT((('CASE MASTER'!$T$2:$T$495=5)*('CASE MASTER'!$AA$2:$AA$495&lt;=4)*('CASE MASTER'!$AC$2:$AC$495&gt;=4)*('CASE MASTER'!$AB$2:$AB$495&lt;=10)*('CASE MASTER'!$AD$2:$AD$495&gt;=10))*ROW('CASE MASTER'!$T$2:$T$495))-(ROW('CASE MASTER'!#REF!)-1))),"")),"")</f>
        <v/>
      </c>
    </row>
    <row r="63" spans="1:11" ht="15" customHeight="1" x14ac:dyDescent="0.35">
      <c r="A63" s="8" t="s">
        <v>32</v>
      </c>
      <c r="B63" s="10" t="str">
        <f>IFERROR(IF(SUMPRODUCT((('CASE MASTER'!$T$2:$T$495=5)*('CASE MASTER'!$U$2:$U$495&lt;=5)*('CASE MASTER'!$W$2:$W$495&gt;=5)*('CASE MASTER'!$V$2:$V$495&lt;=1)*('CASE MASTER'!$X$2:$X$495&gt;=1))*ROW('CASE MASTER'!$T$2:$T$495))&gt;0,INDEX('CASE MASTER'!$Y$2:$Y$495,(SUMPRODUCT((('CASE MASTER'!$T$2:$T$495=5)*('CASE MASTER'!$U$2:$U$495&lt;=5)*('CASE MASTER'!$W$2:$W$495&gt;=5)*('CASE MASTER'!$V$2:$V$495&lt;=1)*('CASE MASTER'!$X$2:$X$495&gt;=1))*ROW('CASE MASTER'!$T$2:$T$495))-(ROW('CASE MASTER'!#REF!)-1)))&amp;TRIM(MID(SUBSTITUTE(SUBSTITUTE(INDEX('CASE MASTER'!$N$2:$N$495,(SUMPRODUCT((('CASE MASTER'!$T$2:$T$495=5)*('CASE MASTER'!$U$2:$U$495&lt;=5)*('CASE MASTER'!$W$2:$W$495&gt;=5)*('CASE MASTER'!$V$2:$V$495&lt;=1)*('CASE MASTER'!$X$2:$X$495&gt;=1))*ROW('CASE MASTER'!$T$2:$T$495))-(ROW('CASE MASTER'!#REF!)-1))),":",","),",",REPT(" ",50)),((((5-INDEX('CASE MASTER'!$U$2:$U$495,(SUMPRODUCT((('CASE MASTER'!$T$2:$T$495=5)*('CASE MASTER'!$U$2:$U$495&lt;=5)*('CASE MASTER'!$W$2:$W$495&gt;=5)*('CASE MASTER'!$V$2:$V$495&lt;=1)*('CASE MASTER'!$X$2:$X$495&gt;=1))*ROW('CASE MASTER'!$T$2:$T$495))-(ROW('CASE MASTER'!#REF!)-1))))*(INDEX('CASE MASTER'!$X$2:$X$495,(SUMPRODUCT((('CASE MASTER'!$T$2:$T$495=5)*('CASE MASTER'!$U$2:$U$495&lt;=5)*('CASE MASTER'!$W$2:$W$495&gt;=5)*('CASE MASTER'!$V$2:$V$495&lt;=1)*('CASE MASTER'!$X$2:$X$495&gt;=1))*ROW('CASE MASTER'!$T$2:$T$495))-(ROW('CASE MASTER'!#REF!)-1)))-INDEX('CASE MASTER'!$V$2:$V$495,(SUMPRODUCT((('CASE MASTER'!$T$2:$T$495=5)*('CASE MASTER'!$U$2:$U$495&lt;=5)*('CASE MASTER'!$W$2:$W$495&gt;=5)*('CASE MASTER'!$V$2:$V$495&lt;=1)*('CASE MASTER'!$X$2:$X$495&gt;=1))*ROW('CASE MASTER'!$T$2:$T$495))-(ROW('CASE MASTER'!#REF!)-1)))+1)+(1-INDEX('CASE MASTER'!$V$2:$V$495,(SUMPRODUCT((('CASE MASTER'!$T$2:$T$495=5)*('CASE MASTER'!$U$2:$U$495&lt;=5)*('CASE MASTER'!$W$2:$W$495&gt;=5)*('CASE MASTER'!$V$2:$V$495&lt;=1)*('CASE MASTER'!$X$2:$X$495&gt;=1))*ROW('CASE MASTER'!$T$2:$T$495))-(ROW('CASE MASTER'!#REF!)-1))))+1))-1)*50+1,50))&amp;"_"&amp;INDEX('CASE MASTER'!$Q$2:$Q$495,(SUMPRODUCT((('CASE MASTER'!$T$2:$T$495=5)*('CASE MASTER'!$U$2:$U$495&lt;=5)*('CASE MASTER'!$W$2:$W$495&gt;=5)*('CASE MASTER'!$V$2:$V$495&lt;=1)*('CASE MASTER'!$X$2:$X$495&gt;=1))*ROW('CASE MASTER'!$T$2:$T$495))-(ROW('CASE MASTER'!#REF!)-1))),IF(SUMPRODUCT((('CASE MASTER'!$T$2:$T$495=5)*('CASE MASTER'!$AA$2:$AA$495&lt;=5)*('CASE MASTER'!$AC$2:$AC$495&gt;=5)*('CASE MASTER'!$AB$2:$AB$495&lt;=1)*('CASE MASTER'!$AD$2:$AD$495&gt;=1))*ROW('CASE MASTER'!$T$2:$T$495))&gt;0,INDEX('CASE MASTER'!$Y$2:$Y$495,(SUMPRODUCT((('CASE MASTER'!$T$2:$T$495=5)*('CASE MASTER'!$AA$2:$AA$495&lt;=5)*('CASE MASTER'!$AC$2:$AC$495&gt;=5)*('CASE MASTER'!$AB$2:$AB$495&lt;=1)*('CASE MASTER'!$AD$2:$AD$495&gt;=1))*ROW('CASE MASTER'!$T$2:$T$495))-(ROW('CASE MASTER'!#REF!)-1)))&amp;TRIM(MID(SUBSTITUTE(SUBSTITUTE(INDEX('CASE MASTER'!$N$2:$N$495,(SUMPRODUCT((('CASE MASTER'!$T$2:$T$495=5)*('CASE MASTER'!$AA$2:$AA$495&lt;=5)*('CASE MASTER'!$AC$2:$AC$495&gt;=5)*('CASE MASTER'!$AB$2:$AB$495&lt;=1)*('CASE MASTER'!$AD$2:$AD$495&gt;=1))*ROW('CASE MASTER'!$T$2:$T$495))-(ROW('CASE MASTER'!#REF!)-1))),":",","),",",REPT(" ",50)),(((INDEX('CASE MASTER'!$Z$2:$Z$495,(SUMPRODUCT((('CASE MASTER'!$T$2:$T$495=5)*('CASE MASTER'!$AA$2:$AA$495&lt;=5)*('CASE MASTER'!$AC$2:$AC$495&gt;=5)*('CASE MASTER'!$AB$2:$AB$495&lt;=1)*('CASE MASTER'!$AD$2:$AD$495&gt;=1))*ROW('CASE MASTER'!$T$2:$T$495))-(ROW('CASE MASTER'!#REF!)-1)))+((5-INDEX('CASE MASTER'!$AA$2:$AA$495,(SUMPRODUCT((('CASE MASTER'!$T$2:$T$495=5)*('CASE MASTER'!$AA$2:$AA$495&lt;=5)*('CASE MASTER'!$AC$2:$AC$495&gt;=5)*('CASE MASTER'!$AB$2:$AB$495&lt;=1)*('CASE MASTER'!$AD$2:$AD$495&gt;=1))*ROW('CASE MASTER'!$T$2:$T$495))-(ROW('CASE MASTER'!#REF!)-1))))*(INDEX('CASE MASTER'!$AD$2:$AD$495,(SUMPRODUCT((('CASE MASTER'!$T$2:$T$495=5)*('CASE MASTER'!$AA$2:$AA$495&lt;=5)*('CASE MASTER'!$AC$2:$AC$495&gt;=5)*('CASE MASTER'!$AB$2:$AB$495&lt;=1)*('CASE MASTER'!$AD$2:$AD$495&gt;=1))*ROW('CASE MASTER'!$T$2:$T$495))-(ROW('CASE MASTER'!#REF!)-1)))-INDEX('CASE MASTER'!$AB$2:$AB$495,(SUMPRODUCT((('CASE MASTER'!$T$2:$T$495=5)*('CASE MASTER'!$AA$2:$AA$495&lt;=5)*('CASE MASTER'!$AC$2:$AC$495&gt;=5)*('CASE MASTER'!$AB$2:$AB$495&lt;=1)*('CASE MASTER'!$AD$2:$AD$495&gt;=1))*ROW('CASE MASTER'!$T$2:$T$495))-(ROW('CASE MASTER'!#REF!)-1)))+1)+(1-INDEX('CASE MASTER'!$AB$2:$AB$495,(SUMPRODUCT((('CASE MASTER'!$T$2:$T$495=5)*('CASE MASTER'!$AA$2:$AA$495&lt;=5)*('CASE MASTER'!$AC$2:$AC$495&gt;=5)*('CASE MASTER'!$AB$2:$AB$495&lt;=1)*('CASE MASTER'!$AD$2:$AD$495&gt;=1))*ROW('CASE MASTER'!$T$2:$T$495))-(ROW('CASE MASTER'!#REF!)-1))))+1)))-1)*50+1,50))&amp;"_"&amp;INDEX('CASE MASTER'!$Q$2:$Q$495,(SUMPRODUCT((('CASE MASTER'!$T$2:$T$495=5)*('CASE MASTER'!$AA$2:$AA$495&lt;=5)*('CASE MASTER'!$AC$2:$AC$495&gt;=5)*('CASE MASTER'!$AB$2:$AB$495&lt;=1)*('CASE MASTER'!$AD$2:$AD$495&gt;=1))*ROW('CASE MASTER'!$T$2:$T$495))-(ROW('CASE MASTER'!#REF!)-1))),"")),"")</f>
        <v/>
      </c>
      <c r="C63" s="10" t="str">
        <f>IFERROR(IF(SUMPRODUCT((('CASE MASTER'!$T$2:$T$495=5)*('CASE MASTER'!$U$2:$U$495&lt;=5)*('CASE MASTER'!$W$2:$W$495&gt;=5)*('CASE MASTER'!$V$2:$V$495&lt;=2)*('CASE MASTER'!$X$2:$X$495&gt;=2))*ROW('CASE MASTER'!$T$2:$T$495))&gt;0,INDEX('CASE MASTER'!$Y$2:$Y$495,(SUMPRODUCT((('CASE MASTER'!$T$2:$T$495=5)*('CASE MASTER'!$U$2:$U$495&lt;=5)*('CASE MASTER'!$W$2:$W$495&gt;=5)*('CASE MASTER'!$V$2:$V$495&lt;=2)*('CASE MASTER'!$X$2:$X$495&gt;=2))*ROW('CASE MASTER'!$T$2:$T$495))-(ROW('CASE MASTER'!#REF!)-1)))&amp;TRIM(MID(SUBSTITUTE(SUBSTITUTE(INDEX('CASE MASTER'!$N$2:$N$495,(SUMPRODUCT((('CASE MASTER'!$T$2:$T$495=5)*('CASE MASTER'!$U$2:$U$495&lt;=5)*('CASE MASTER'!$W$2:$W$495&gt;=5)*('CASE MASTER'!$V$2:$V$495&lt;=2)*('CASE MASTER'!$X$2:$X$495&gt;=2))*ROW('CASE MASTER'!$T$2:$T$495))-(ROW('CASE MASTER'!#REF!)-1))),":",","),",",REPT(" ",50)),((((5-INDEX('CASE MASTER'!$U$2:$U$495,(SUMPRODUCT((('CASE MASTER'!$T$2:$T$495=5)*('CASE MASTER'!$U$2:$U$495&lt;=5)*('CASE MASTER'!$W$2:$W$495&gt;=5)*('CASE MASTER'!$V$2:$V$495&lt;=2)*('CASE MASTER'!$X$2:$X$495&gt;=2))*ROW('CASE MASTER'!$T$2:$T$495))-(ROW('CASE MASTER'!#REF!)-1))))*(INDEX('CASE MASTER'!$X$2:$X$495,(SUMPRODUCT((('CASE MASTER'!$T$2:$T$495=5)*('CASE MASTER'!$U$2:$U$495&lt;=5)*('CASE MASTER'!$W$2:$W$495&gt;=5)*('CASE MASTER'!$V$2:$V$495&lt;=2)*('CASE MASTER'!$X$2:$X$495&gt;=2))*ROW('CASE MASTER'!$T$2:$T$495))-(ROW('CASE MASTER'!#REF!)-1)))-INDEX('CASE MASTER'!$V$2:$V$495,(SUMPRODUCT((('CASE MASTER'!$T$2:$T$495=5)*('CASE MASTER'!$U$2:$U$495&lt;=5)*('CASE MASTER'!$W$2:$W$495&gt;=5)*('CASE MASTER'!$V$2:$V$495&lt;=2)*('CASE MASTER'!$X$2:$X$495&gt;=2))*ROW('CASE MASTER'!$T$2:$T$495))-(ROW('CASE MASTER'!#REF!)-1)))+1)+(2-INDEX('CASE MASTER'!$V$2:$V$495,(SUMPRODUCT((('CASE MASTER'!$T$2:$T$495=5)*('CASE MASTER'!$U$2:$U$495&lt;=5)*('CASE MASTER'!$W$2:$W$495&gt;=5)*('CASE MASTER'!$V$2:$V$495&lt;=2)*('CASE MASTER'!$X$2:$X$495&gt;=2))*ROW('CASE MASTER'!$T$2:$T$495))-(ROW('CASE MASTER'!#REF!)-1))))+1))-1)*50+1,50))&amp;"_"&amp;INDEX('CASE MASTER'!$Q$2:$Q$495,(SUMPRODUCT((('CASE MASTER'!$T$2:$T$495=5)*('CASE MASTER'!$U$2:$U$495&lt;=5)*('CASE MASTER'!$W$2:$W$495&gt;=5)*('CASE MASTER'!$V$2:$V$495&lt;=2)*('CASE MASTER'!$X$2:$X$495&gt;=2))*ROW('CASE MASTER'!$T$2:$T$495))-(ROW('CASE MASTER'!#REF!)-1))),IF(SUMPRODUCT((('CASE MASTER'!$T$2:$T$495=5)*('CASE MASTER'!$AA$2:$AA$495&lt;=5)*('CASE MASTER'!$AC$2:$AC$495&gt;=5)*('CASE MASTER'!$AB$2:$AB$495&lt;=2)*('CASE MASTER'!$AD$2:$AD$495&gt;=2))*ROW('CASE MASTER'!$T$2:$T$495))&gt;0,INDEX('CASE MASTER'!$Y$2:$Y$495,(SUMPRODUCT((('CASE MASTER'!$T$2:$T$495=5)*('CASE MASTER'!$AA$2:$AA$495&lt;=5)*('CASE MASTER'!$AC$2:$AC$495&gt;=5)*('CASE MASTER'!$AB$2:$AB$495&lt;=2)*('CASE MASTER'!$AD$2:$AD$495&gt;=2))*ROW('CASE MASTER'!$T$2:$T$495))-(ROW('CASE MASTER'!#REF!)-1)))&amp;TRIM(MID(SUBSTITUTE(SUBSTITUTE(INDEX('CASE MASTER'!$N$2:$N$495,(SUMPRODUCT((('CASE MASTER'!$T$2:$T$495=5)*('CASE MASTER'!$AA$2:$AA$495&lt;=5)*('CASE MASTER'!$AC$2:$AC$495&gt;=5)*('CASE MASTER'!$AB$2:$AB$495&lt;=2)*('CASE MASTER'!$AD$2:$AD$495&gt;=2))*ROW('CASE MASTER'!$T$2:$T$495))-(ROW('CASE MASTER'!#REF!)-1))),":",","),",",REPT(" ",50)),(((INDEX('CASE MASTER'!$Z$2:$Z$495,(SUMPRODUCT((('CASE MASTER'!$T$2:$T$495=5)*('CASE MASTER'!$AA$2:$AA$495&lt;=5)*('CASE MASTER'!$AC$2:$AC$495&gt;=5)*('CASE MASTER'!$AB$2:$AB$495&lt;=2)*('CASE MASTER'!$AD$2:$AD$495&gt;=2))*ROW('CASE MASTER'!$T$2:$T$495))-(ROW('CASE MASTER'!#REF!)-1)))+((5-INDEX('CASE MASTER'!$AA$2:$AA$495,(SUMPRODUCT((('CASE MASTER'!$T$2:$T$495=5)*('CASE MASTER'!$AA$2:$AA$495&lt;=5)*('CASE MASTER'!$AC$2:$AC$495&gt;=5)*('CASE MASTER'!$AB$2:$AB$495&lt;=2)*('CASE MASTER'!$AD$2:$AD$495&gt;=2))*ROW('CASE MASTER'!$T$2:$T$495))-(ROW('CASE MASTER'!#REF!)-1))))*(INDEX('CASE MASTER'!$AD$2:$AD$495,(SUMPRODUCT((('CASE MASTER'!$T$2:$T$495=5)*('CASE MASTER'!$AA$2:$AA$495&lt;=5)*('CASE MASTER'!$AC$2:$AC$495&gt;=5)*('CASE MASTER'!$AB$2:$AB$495&lt;=2)*('CASE MASTER'!$AD$2:$AD$495&gt;=2))*ROW('CASE MASTER'!$T$2:$T$495))-(ROW('CASE MASTER'!#REF!)-1)))-INDEX('CASE MASTER'!$AB$2:$AB$495,(SUMPRODUCT((('CASE MASTER'!$T$2:$T$495=5)*('CASE MASTER'!$AA$2:$AA$495&lt;=5)*('CASE MASTER'!$AC$2:$AC$495&gt;=5)*('CASE MASTER'!$AB$2:$AB$495&lt;=2)*('CASE MASTER'!$AD$2:$AD$495&gt;=2))*ROW('CASE MASTER'!$T$2:$T$495))-(ROW('CASE MASTER'!#REF!)-1)))+1)+(2-INDEX('CASE MASTER'!$AB$2:$AB$495,(SUMPRODUCT((('CASE MASTER'!$T$2:$T$495=5)*('CASE MASTER'!$AA$2:$AA$495&lt;=5)*('CASE MASTER'!$AC$2:$AC$495&gt;=5)*('CASE MASTER'!$AB$2:$AB$495&lt;=2)*('CASE MASTER'!$AD$2:$AD$495&gt;=2))*ROW('CASE MASTER'!$T$2:$T$495))-(ROW('CASE MASTER'!#REF!)-1))))+1)))-1)*50+1,50))&amp;"_"&amp;INDEX('CASE MASTER'!$Q$2:$Q$495,(SUMPRODUCT((('CASE MASTER'!$T$2:$T$495=5)*('CASE MASTER'!$AA$2:$AA$495&lt;=5)*('CASE MASTER'!$AC$2:$AC$495&gt;=5)*('CASE MASTER'!$AB$2:$AB$495&lt;=2)*('CASE MASTER'!$AD$2:$AD$495&gt;=2))*ROW('CASE MASTER'!$T$2:$T$495))-(ROW('CASE MASTER'!#REF!)-1))),"")),"")</f>
        <v/>
      </c>
      <c r="D63" s="10" t="str">
        <f>IFERROR(IF(SUMPRODUCT((('CASE MASTER'!$T$2:$T$495=5)*('CASE MASTER'!$U$2:$U$495&lt;=5)*('CASE MASTER'!$W$2:$W$495&gt;=5)*('CASE MASTER'!$V$2:$V$495&lt;=3)*('CASE MASTER'!$X$2:$X$495&gt;=3))*ROW('CASE MASTER'!$T$2:$T$495))&gt;0,INDEX('CASE MASTER'!$Y$2:$Y$495,(SUMPRODUCT((('CASE MASTER'!$T$2:$T$495=5)*('CASE MASTER'!$U$2:$U$495&lt;=5)*('CASE MASTER'!$W$2:$W$495&gt;=5)*('CASE MASTER'!$V$2:$V$495&lt;=3)*('CASE MASTER'!$X$2:$X$495&gt;=3))*ROW('CASE MASTER'!$T$2:$T$495))-(ROW('CASE MASTER'!#REF!)-1)))&amp;TRIM(MID(SUBSTITUTE(SUBSTITUTE(INDEX('CASE MASTER'!$N$2:$N$495,(SUMPRODUCT((('CASE MASTER'!$T$2:$T$495=5)*('CASE MASTER'!$U$2:$U$495&lt;=5)*('CASE MASTER'!$W$2:$W$495&gt;=5)*('CASE MASTER'!$V$2:$V$495&lt;=3)*('CASE MASTER'!$X$2:$X$495&gt;=3))*ROW('CASE MASTER'!$T$2:$T$495))-(ROW('CASE MASTER'!#REF!)-1))),":",","),",",REPT(" ",50)),((((5-INDEX('CASE MASTER'!$U$2:$U$495,(SUMPRODUCT((('CASE MASTER'!$T$2:$T$495=5)*('CASE MASTER'!$U$2:$U$495&lt;=5)*('CASE MASTER'!$W$2:$W$495&gt;=5)*('CASE MASTER'!$V$2:$V$495&lt;=3)*('CASE MASTER'!$X$2:$X$495&gt;=3))*ROW('CASE MASTER'!$T$2:$T$495))-(ROW('CASE MASTER'!#REF!)-1))))*(INDEX('CASE MASTER'!$X$2:$X$495,(SUMPRODUCT((('CASE MASTER'!$T$2:$T$495=5)*('CASE MASTER'!$U$2:$U$495&lt;=5)*('CASE MASTER'!$W$2:$W$495&gt;=5)*('CASE MASTER'!$V$2:$V$495&lt;=3)*('CASE MASTER'!$X$2:$X$495&gt;=3))*ROW('CASE MASTER'!$T$2:$T$495))-(ROW('CASE MASTER'!#REF!)-1)))-INDEX('CASE MASTER'!$V$2:$V$495,(SUMPRODUCT((('CASE MASTER'!$T$2:$T$495=5)*('CASE MASTER'!$U$2:$U$495&lt;=5)*('CASE MASTER'!$W$2:$W$495&gt;=5)*('CASE MASTER'!$V$2:$V$495&lt;=3)*('CASE MASTER'!$X$2:$X$495&gt;=3))*ROW('CASE MASTER'!$T$2:$T$495))-(ROW('CASE MASTER'!#REF!)-1)))+1)+(3-INDEX('CASE MASTER'!$V$2:$V$495,(SUMPRODUCT((('CASE MASTER'!$T$2:$T$495=5)*('CASE MASTER'!$U$2:$U$495&lt;=5)*('CASE MASTER'!$W$2:$W$495&gt;=5)*('CASE MASTER'!$V$2:$V$495&lt;=3)*('CASE MASTER'!$X$2:$X$495&gt;=3))*ROW('CASE MASTER'!$T$2:$T$495))-(ROW('CASE MASTER'!#REF!)-1))))+1))-1)*50+1,50))&amp;"_"&amp;INDEX('CASE MASTER'!$Q$2:$Q$495,(SUMPRODUCT((('CASE MASTER'!$T$2:$T$495=5)*('CASE MASTER'!$U$2:$U$495&lt;=5)*('CASE MASTER'!$W$2:$W$495&gt;=5)*('CASE MASTER'!$V$2:$V$495&lt;=3)*('CASE MASTER'!$X$2:$X$495&gt;=3))*ROW('CASE MASTER'!$T$2:$T$495))-(ROW('CASE MASTER'!#REF!)-1))),IF(SUMPRODUCT((('CASE MASTER'!$T$2:$T$495=5)*('CASE MASTER'!$AA$2:$AA$495&lt;=5)*('CASE MASTER'!$AC$2:$AC$495&gt;=5)*('CASE MASTER'!$AB$2:$AB$495&lt;=3)*('CASE MASTER'!$AD$2:$AD$495&gt;=3))*ROW('CASE MASTER'!$T$2:$T$495))&gt;0,INDEX('CASE MASTER'!$Y$2:$Y$495,(SUMPRODUCT((('CASE MASTER'!$T$2:$T$495=5)*('CASE MASTER'!$AA$2:$AA$495&lt;=5)*('CASE MASTER'!$AC$2:$AC$495&gt;=5)*('CASE MASTER'!$AB$2:$AB$495&lt;=3)*('CASE MASTER'!$AD$2:$AD$495&gt;=3))*ROW('CASE MASTER'!$T$2:$T$495))-(ROW('CASE MASTER'!#REF!)-1)))&amp;TRIM(MID(SUBSTITUTE(SUBSTITUTE(INDEX('CASE MASTER'!$N$2:$N$495,(SUMPRODUCT((('CASE MASTER'!$T$2:$T$495=5)*('CASE MASTER'!$AA$2:$AA$495&lt;=5)*('CASE MASTER'!$AC$2:$AC$495&gt;=5)*('CASE MASTER'!$AB$2:$AB$495&lt;=3)*('CASE MASTER'!$AD$2:$AD$495&gt;=3))*ROW('CASE MASTER'!$T$2:$T$495))-(ROW('CASE MASTER'!#REF!)-1))),":",","),",",REPT(" ",50)),(((INDEX('CASE MASTER'!$Z$2:$Z$495,(SUMPRODUCT((('CASE MASTER'!$T$2:$T$495=5)*('CASE MASTER'!$AA$2:$AA$495&lt;=5)*('CASE MASTER'!$AC$2:$AC$495&gt;=5)*('CASE MASTER'!$AB$2:$AB$495&lt;=3)*('CASE MASTER'!$AD$2:$AD$495&gt;=3))*ROW('CASE MASTER'!$T$2:$T$495))-(ROW('CASE MASTER'!#REF!)-1)))+((5-INDEX('CASE MASTER'!$AA$2:$AA$495,(SUMPRODUCT((('CASE MASTER'!$T$2:$T$495=5)*('CASE MASTER'!$AA$2:$AA$495&lt;=5)*('CASE MASTER'!$AC$2:$AC$495&gt;=5)*('CASE MASTER'!$AB$2:$AB$495&lt;=3)*('CASE MASTER'!$AD$2:$AD$495&gt;=3))*ROW('CASE MASTER'!$T$2:$T$495))-(ROW('CASE MASTER'!#REF!)-1))))*(INDEX('CASE MASTER'!$AD$2:$AD$495,(SUMPRODUCT((('CASE MASTER'!$T$2:$T$495=5)*('CASE MASTER'!$AA$2:$AA$495&lt;=5)*('CASE MASTER'!$AC$2:$AC$495&gt;=5)*('CASE MASTER'!$AB$2:$AB$495&lt;=3)*('CASE MASTER'!$AD$2:$AD$495&gt;=3))*ROW('CASE MASTER'!$T$2:$T$495))-(ROW('CASE MASTER'!#REF!)-1)))-INDEX('CASE MASTER'!$AB$2:$AB$495,(SUMPRODUCT((('CASE MASTER'!$T$2:$T$495=5)*('CASE MASTER'!$AA$2:$AA$495&lt;=5)*('CASE MASTER'!$AC$2:$AC$495&gt;=5)*('CASE MASTER'!$AB$2:$AB$495&lt;=3)*('CASE MASTER'!$AD$2:$AD$495&gt;=3))*ROW('CASE MASTER'!$T$2:$T$495))-(ROW('CASE MASTER'!#REF!)-1)))+1)+(3-INDEX('CASE MASTER'!$AB$2:$AB$495,(SUMPRODUCT((('CASE MASTER'!$T$2:$T$495=5)*('CASE MASTER'!$AA$2:$AA$495&lt;=5)*('CASE MASTER'!$AC$2:$AC$495&gt;=5)*('CASE MASTER'!$AB$2:$AB$495&lt;=3)*('CASE MASTER'!$AD$2:$AD$495&gt;=3))*ROW('CASE MASTER'!$T$2:$T$495))-(ROW('CASE MASTER'!#REF!)-1))))+1)))-1)*50+1,50))&amp;"_"&amp;INDEX('CASE MASTER'!$Q$2:$Q$495,(SUMPRODUCT((('CASE MASTER'!$T$2:$T$495=5)*('CASE MASTER'!$AA$2:$AA$495&lt;=5)*('CASE MASTER'!$AC$2:$AC$495&gt;=5)*('CASE MASTER'!$AB$2:$AB$495&lt;=3)*('CASE MASTER'!$AD$2:$AD$495&gt;=3))*ROW('CASE MASTER'!$T$2:$T$495))-(ROW('CASE MASTER'!#REF!)-1))),"")),"")</f>
        <v/>
      </c>
      <c r="E63" s="10" t="str">
        <f>IFERROR(IF(SUMPRODUCT((('CASE MASTER'!$T$2:$T$495=5)*('CASE MASTER'!$U$2:$U$495&lt;=5)*('CASE MASTER'!$W$2:$W$495&gt;=5)*('CASE MASTER'!$V$2:$V$495&lt;=4)*('CASE MASTER'!$X$2:$X$495&gt;=4))*ROW('CASE MASTER'!$T$2:$T$495))&gt;0,INDEX('CASE MASTER'!$Y$2:$Y$495,(SUMPRODUCT((('CASE MASTER'!$T$2:$T$495=5)*('CASE MASTER'!$U$2:$U$495&lt;=5)*('CASE MASTER'!$W$2:$W$495&gt;=5)*('CASE MASTER'!$V$2:$V$495&lt;=4)*('CASE MASTER'!$X$2:$X$495&gt;=4))*ROW('CASE MASTER'!$T$2:$T$495))-(ROW('CASE MASTER'!#REF!)-1)))&amp;TRIM(MID(SUBSTITUTE(SUBSTITUTE(INDEX('CASE MASTER'!$N$2:$N$495,(SUMPRODUCT((('CASE MASTER'!$T$2:$T$495=5)*('CASE MASTER'!$U$2:$U$495&lt;=5)*('CASE MASTER'!$W$2:$W$495&gt;=5)*('CASE MASTER'!$V$2:$V$495&lt;=4)*('CASE MASTER'!$X$2:$X$495&gt;=4))*ROW('CASE MASTER'!$T$2:$T$495))-(ROW('CASE MASTER'!#REF!)-1))),":",","),",",REPT(" ",50)),((((5-INDEX('CASE MASTER'!$U$2:$U$495,(SUMPRODUCT((('CASE MASTER'!$T$2:$T$495=5)*('CASE MASTER'!$U$2:$U$495&lt;=5)*('CASE MASTER'!$W$2:$W$495&gt;=5)*('CASE MASTER'!$V$2:$V$495&lt;=4)*('CASE MASTER'!$X$2:$X$495&gt;=4))*ROW('CASE MASTER'!$T$2:$T$495))-(ROW('CASE MASTER'!#REF!)-1))))*(INDEX('CASE MASTER'!$X$2:$X$495,(SUMPRODUCT((('CASE MASTER'!$T$2:$T$495=5)*('CASE MASTER'!$U$2:$U$495&lt;=5)*('CASE MASTER'!$W$2:$W$495&gt;=5)*('CASE MASTER'!$V$2:$V$495&lt;=4)*('CASE MASTER'!$X$2:$X$495&gt;=4))*ROW('CASE MASTER'!$T$2:$T$495))-(ROW('CASE MASTER'!#REF!)-1)))-INDEX('CASE MASTER'!$V$2:$V$495,(SUMPRODUCT((('CASE MASTER'!$T$2:$T$495=5)*('CASE MASTER'!$U$2:$U$495&lt;=5)*('CASE MASTER'!$W$2:$W$495&gt;=5)*('CASE MASTER'!$V$2:$V$495&lt;=4)*('CASE MASTER'!$X$2:$X$495&gt;=4))*ROW('CASE MASTER'!$T$2:$T$495))-(ROW('CASE MASTER'!#REF!)-1)))+1)+(4-INDEX('CASE MASTER'!$V$2:$V$495,(SUMPRODUCT((('CASE MASTER'!$T$2:$T$495=5)*('CASE MASTER'!$U$2:$U$495&lt;=5)*('CASE MASTER'!$W$2:$W$495&gt;=5)*('CASE MASTER'!$V$2:$V$495&lt;=4)*('CASE MASTER'!$X$2:$X$495&gt;=4))*ROW('CASE MASTER'!$T$2:$T$495))-(ROW('CASE MASTER'!#REF!)-1))))+1))-1)*50+1,50))&amp;"_"&amp;INDEX('CASE MASTER'!$Q$2:$Q$495,(SUMPRODUCT((('CASE MASTER'!$T$2:$T$495=5)*('CASE MASTER'!$U$2:$U$495&lt;=5)*('CASE MASTER'!$W$2:$W$495&gt;=5)*('CASE MASTER'!$V$2:$V$495&lt;=4)*('CASE MASTER'!$X$2:$X$495&gt;=4))*ROW('CASE MASTER'!$T$2:$T$495))-(ROW('CASE MASTER'!#REF!)-1))),IF(SUMPRODUCT((('CASE MASTER'!$T$2:$T$495=5)*('CASE MASTER'!$AA$2:$AA$495&lt;=5)*('CASE MASTER'!$AC$2:$AC$495&gt;=5)*('CASE MASTER'!$AB$2:$AB$495&lt;=4)*('CASE MASTER'!$AD$2:$AD$495&gt;=4))*ROW('CASE MASTER'!$T$2:$T$495))&gt;0,INDEX('CASE MASTER'!$Y$2:$Y$495,(SUMPRODUCT((('CASE MASTER'!$T$2:$T$495=5)*('CASE MASTER'!$AA$2:$AA$495&lt;=5)*('CASE MASTER'!$AC$2:$AC$495&gt;=5)*('CASE MASTER'!$AB$2:$AB$495&lt;=4)*('CASE MASTER'!$AD$2:$AD$495&gt;=4))*ROW('CASE MASTER'!$T$2:$T$495))-(ROW('CASE MASTER'!#REF!)-1)))&amp;TRIM(MID(SUBSTITUTE(SUBSTITUTE(INDEX('CASE MASTER'!$N$2:$N$495,(SUMPRODUCT((('CASE MASTER'!$T$2:$T$495=5)*('CASE MASTER'!$AA$2:$AA$495&lt;=5)*('CASE MASTER'!$AC$2:$AC$495&gt;=5)*('CASE MASTER'!$AB$2:$AB$495&lt;=4)*('CASE MASTER'!$AD$2:$AD$495&gt;=4))*ROW('CASE MASTER'!$T$2:$T$495))-(ROW('CASE MASTER'!#REF!)-1))),":",","),",",REPT(" ",50)),(((INDEX('CASE MASTER'!$Z$2:$Z$495,(SUMPRODUCT((('CASE MASTER'!$T$2:$T$495=5)*('CASE MASTER'!$AA$2:$AA$495&lt;=5)*('CASE MASTER'!$AC$2:$AC$495&gt;=5)*('CASE MASTER'!$AB$2:$AB$495&lt;=4)*('CASE MASTER'!$AD$2:$AD$495&gt;=4))*ROW('CASE MASTER'!$T$2:$T$495))-(ROW('CASE MASTER'!#REF!)-1)))+((5-INDEX('CASE MASTER'!$AA$2:$AA$495,(SUMPRODUCT((('CASE MASTER'!$T$2:$T$495=5)*('CASE MASTER'!$AA$2:$AA$495&lt;=5)*('CASE MASTER'!$AC$2:$AC$495&gt;=5)*('CASE MASTER'!$AB$2:$AB$495&lt;=4)*('CASE MASTER'!$AD$2:$AD$495&gt;=4))*ROW('CASE MASTER'!$T$2:$T$495))-(ROW('CASE MASTER'!#REF!)-1))))*(INDEX('CASE MASTER'!$AD$2:$AD$495,(SUMPRODUCT((('CASE MASTER'!$T$2:$T$495=5)*('CASE MASTER'!$AA$2:$AA$495&lt;=5)*('CASE MASTER'!$AC$2:$AC$495&gt;=5)*('CASE MASTER'!$AB$2:$AB$495&lt;=4)*('CASE MASTER'!$AD$2:$AD$495&gt;=4))*ROW('CASE MASTER'!$T$2:$T$495))-(ROW('CASE MASTER'!#REF!)-1)))-INDEX('CASE MASTER'!$AB$2:$AB$495,(SUMPRODUCT((('CASE MASTER'!$T$2:$T$495=5)*('CASE MASTER'!$AA$2:$AA$495&lt;=5)*('CASE MASTER'!$AC$2:$AC$495&gt;=5)*('CASE MASTER'!$AB$2:$AB$495&lt;=4)*('CASE MASTER'!$AD$2:$AD$495&gt;=4))*ROW('CASE MASTER'!$T$2:$T$495))-(ROW('CASE MASTER'!#REF!)-1)))+1)+(4-INDEX('CASE MASTER'!$AB$2:$AB$495,(SUMPRODUCT((('CASE MASTER'!$T$2:$T$495=5)*('CASE MASTER'!$AA$2:$AA$495&lt;=5)*('CASE MASTER'!$AC$2:$AC$495&gt;=5)*('CASE MASTER'!$AB$2:$AB$495&lt;=4)*('CASE MASTER'!$AD$2:$AD$495&gt;=4))*ROW('CASE MASTER'!$T$2:$T$495))-(ROW('CASE MASTER'!#REF!)-1))))+1)))-1)*50+1,50))&amp;"_"&amp;INDEX('CASE MASTER'!$Q$2:$Q$495,(SUMPRODUCT((('CASE MASTER'!$T$2:$T$495=5)*('CASE MASTER'!$AA$2:$AA$495&lt;=5)*('CASE MASTER'!$AC$2:$AC$495&gt;=5)*('CASE MASTER'!$AB$2:$AB$495&lt;=4)*('CASE MASTER'!$AD$2:$AD$495&gt;=4))*ROW('CASE MASTER'!$T$2:$T$495))-(ROW('CASE MASTER'!#REF!)-1))),"")),"")</f>
        <v/>
      </c>
      <c r="F63" s="10" t="str">
        <f>IFERROR(IF(SUMPRODUCT((('CASE MASTER'!$T$2:$T$495=5)*('CASE MASTER'!$U$2:$U$495&lt;=5)*('CASE MASTER'!$W$2:$W$495&gt;=5)*('CASE MASTER'!$V$2:$V$495&lt;=5)*('CASE MASTER'!$X$2:$X$495&gt;=5))*ROW('CASE MASTER'!$T$2:$T$495))&gt;0,INDEX('CASE MASTER'!$Y$2:$Y$495,(SUMPRODUCT((('CASE MASTER'!$T$2:$T$495=5)*('CASE MASTER'!$U$2:$U$495&lt;=5)*('CASE MASTER'!$W$2:$W$495&gt;=5)*('CASE MASTER'!$V$2:$V$495&lt;=5)*('CASE MASTER'!$X$2:$X$495&gt;=5))*ROW('CASE MASTER'!$T$2:$T$495))-(ROW('CASE MASTER'!#REF!)-1)))&amp;TRIM(MID(SUBSTITUTE(SUBSTITUTE(INDEX('CASE MASTER'!$N$2:$N$495,(SUMPRODUCT((('CASE MASTER'!$T$2:$T$495=5)*('CASE MASTER'!$U$2:$U$495&lt;=5)*('CASE MASTER'!$W$2:$W$495&gt;=5)*('CASE MASTER'!$V$2:$V$495&lt;=5)*('CASE MASTER'!$X$2:$X$495&gt;=5))*ROW('CASE MASTER'!$T$2:$T$495))-(ROW('CASE MASTER'!#REF!)-1))),":",","),",",REPT(" ",50)),((((5-INDEX('CASE MASTER'!$U$2:$U$495,(SUMPRODUCT((('CASE MASTER'!$T$2:$T$495=5)*('CASE MASTER'!$U$2:$U$495&lt;=5)*('CASE MASTER'!$W$2:$W$495&gt;=5)*('CASE MASTER'!$V$2:$V$495&lt;=5)*('CASE MASTER'!$X$2:$X$495&gt;=5))*ROW('CASE MASTER'!$T$2:$T$495))-(ROW('CASE MASTER'!#REF!)-1))))*(INDEX('CASE MASTER'!$X$2:$X$495,(SUMPRODUCT((('CASE MASTER'!$T$2:$T$495=5)*('CASE MASTER'!$U$2:$U$495&lt;=5)*('CASE MASTER'!$W$2:$W$495&gt;=5)*('CASE MASTER'!$V$2:$V$495&lt;=5)*('CASE MASTER'!$X$2:$X$495&gt;=5))*ROW('CASE MASTER'!$T$2:$T$495))-(ROW('CASE MASTER'!#REF!)-1)))-INDEX('CASE MASTER'!$V$2:$V$495,(SUMPRODUCT((('CASE MASTER'!$T$2:$T$495=5)*('CASE MASTER'!$U$2:$U$495&lt;=5)*('CASE MASTER'!$W$2:$W$495&gt;=5)*('CASE MASTER'!$V$2:$V$495&lt;=5)*('CASE MASTER'!$X$2:$X$495&gt;=5))*ROW('CASE MASTER'!$T$2:$T$495))-(ROW('CASE MASTER'!#REF!)-1)))+1)+(5-INDEX('CASE MASTER'!$V$2:$V$495,(SUMPRODUCT((('CASE MASTER'!$T$2:$T$495=5)*('CASE MASTER'!$U$2:$U$495&lt;=5)*('CASE MASTER'!$W$2:$W$495&gt;=5)*('CASE MASTER'!$V$2:$V$495&lt;=5)*('CASE MASTER'!$X$2:$X$495&gt;=5))*ROW('CASE MASTER'!$T$2:$T$495))-(ROW('CASE MASTER'!#REF!)-1))))+1))-1)*50+1,50))&amp;"_"&amp;INDEX('CASE MASTER'!$Q$2:$Q$495,(SUMPRODUCT((('CASE MASTER'!$T$2:$T$495=5)*('CASE MASTER'!$U$2:$U$495&lt;=5)*('CASE MASTER'!$W$2:$W$495&gt;=5)*('CASE MASTER'!$V$2:$V$495&lt;=5)*('CASE MASTER'!$X$2:$X$495&gt;=5))*ROW('CASE MASTER'!$T$2:$T$495))-(ROW('CASE MASTER'!#REF!)-1))),IF(SUMPRODUCT((('CASE MASTER'!$T$2:$T$495=5)*('CASE MASTER'!$AA$2:$AA$495&lt;=5)*('CASE MASTER'!$AC$2:$AC$495&gt;=5)*('CASE MASTER'!$AB$2:$AB$495&lt;=5)*('CASE MASTER'!$AD$2:$AD$495&gt;=5))*ROW('CASE MASTER'!$T$2:$T$495))&gt;0,INDEX('CASE MASTER'!$Y$2:$Y$495,(SUMPRODUCT((('CASE MASTER'!$T$2:$T$495=5)*('CASE MASTER'!$AA$2:$AA$495&lt;=5)*('CASE MASTER'!$AC$2:$AC$495&gt;=5)*('CASE MASTER'!$AB$2:$AB$495&lt;=5)*('CASE MASTER'!$AD$2:$AD$495&gt;=5))*ROW('CASE MASTER'!$T$2:$T$495))-(ROW('CASE MASTER'!#REF!)-1)))&amp;TRIM(MID(SUBSTITUTE(SUBSTITUTE(INDEX('CASE MASTER'!$N$2:$N$495,(SUMPRODUCT((('CASE MASTER'!$T$2:$T$495=5)*('CASE MASTER'!$AA$2:$AA$495&lt;=5)*('CASE MASTER'!$AC$2:$AC$495&gt;=5)*('CASE MASTER'!$AB$2:$AB$495&lt;=5)*('CASE MASTER'!$AD$2:$AD$495&gt;=5))*ROW('CASE MASTER'!$T$2:$T$495))-(ROW('CASE MASTER'!#REF!)-1))),":",","),",",REPT(" ",50)),(((INDEX('CASE MASTER'!$Z$2:$Z$495,(SUMPRODUCT((('CASE MASTER'!$T$2:$T$495=5)*('CASE MASTER'!$AA$2:$AA$495&lt;=5)*('CASE MASTER'!$AC$2:$AC$495&gt;=5)*('CASE MASTER'!$AB$2:$AB$495&lt;=5)*('CASE MASTER'!$AD$2:$AD$495&gt;=5))*ROW('CASE MASTER'!$T$2:$T$495))-(ROW('CASE MASTER'!#REF!)-1)))+((5-INDEX('CASE MASTER'!$AA$2:$AA$495,(SUMPRODUCT((('CASE MASTER'!$T$2:$T$495=5)*('CASE MASTER'!$AA$2:$AA$495&lt;=5)*('CASE MASTER'!$AC$2:$AC$495&gt;=5)*('CASE MASTER'!$AB$2:$AB$495&lt;=5)*('CASE MASTER'!$AD$2:$AD$495&gt;=5))*ROW('CASE MASTER'!$T$2:$T$495))-(ROW('CASE MASTER'!#REF!)-1))))*(INDEX('CASE MASTER'!$AD$2:$AD$495,(SUMPRODUCT((('CASE MASTER'!$T$2:$T$495=5)*('CASE MASTER'!$AA$2:$AA$495&lt;=5)*('CASE MASTER'!$AC$2:$AC$495&gt;=5)*('CASE MASTER'!$AB$2:$AB$495&lt;=5)*('CASE MASTER'!$AD$2:$AD$495&gt;=5))*ROW('CASE MASTER'!$T$2:$T$495))-(ROW('CASE MASTER'!#REF!)-1)))-INDEX('CASE MASTER'!$AB$2:$AB$495,(SUMPRODUCT((('CASE MASTER'!$T$2:$T$495=5)*('CASE MASTER'!$AA$2:$AA$495&lt;=5)*('CASE MASTER'!$AC$2:$AC$495&gt;=5)*('CASE MASTER'!$AB$2:$AB$495&lt;=5)*('CASE MASTER'!$AD$2:$AD$495&gt;=5))*ROW('CASE MASTER'!$T$2:$T$495))-(ROW('CASE MASTER'!#REF!)-1)))+1)+(5-INDEX('CASE MASTER'!$AB$2:$AB$495,(SUMPRODUCT((('CASE MASTER'!$T$2:$T$495=5)*('CASE MASTER'!$AA$2:$AA$495&lt;=5)*('CASE MASTER'!$AC$2:$AC$495&gt;=5)*('CASE MASTER'!$AB$2:$AB$495&lt;=5)*('CASE MASTER'!$AD$2:$AD$495&gt;=5))*ROW('CASE MASTER'!$T$2:$T$495))-(ROW('CASE MASTER'!#REF!)-1))))+1)))-1)*50+1,50))&amp;"_"&amp;INDEX('CASE MASTER'!$Q$2:$Q$495,(SUMPRODUCT((('CASE MASTER'!$T$2:$T$495=5)*('CASE MASTER'!$AA$2:$AA$495&lt;=5)*('CASE MASTER'!$AC$2:$AC$495&gt;=5)*('CASE MASTER'!$AB$2:$AB$495&lt;=5)*('CASE MASTER'!$AD$2:$AD$495&gt;=5))*ROW('CASE MASTER'!$T$2:$T$495))-(ROW('CASE MASTER'!#REF!)-1))),"")),"")</f>
        <v/>
      </c>
      <c r="G63" s="10" t="str">
        <f>IFERROR(IF(SUMPRODUCT((('CASE MASTER'!$T$2:$T$495=5)*('CASE MASTER'!$U$2:$U$495&lt;=5)*('CASE MASTER'!$W$2:$W$495&gt;=5)*('CASE MASTER'!$V$2:$V$495&lt;=6)*('CASE MASTER'!$X$2:$X$495&gt;=6))*ROW('CASE MASTER'!$T$2:$T$495))&gt;0,INDEX('CASE MASTER'!$Y$2:$Y$495,(SUMPRODUCT((('CASE MASTER'!$T$2:$T$495=5)*('CASE MASTER'!$U$2:$U$495&lt;=5)*('CASE MASTER'!$W$2:$W$495&gt;=5)*('CASE MASTER'!$V$2:$V$495&lt;=6)*('CASE MASTER'!$X$2:$X$495&gt;=6))*ROW('CASE MASTER'!$T$2:$T$495))-(ROW('CASE MASTER'!#REF!)-1)))&amp;TRIM(MID(SUBSTITUTE(SUBSTITUTE(INDEX('CASE MASTER'!$N$2:$N$495,(SUMPRODUCT((('CASE MASTER'!$T$2:$T$495=5)*('CASE MASTER'!$U$2:$U$495&lt;=5)*('CASE MASTER'!$W$2:$W$495&gt;=5)*('CASE MASTER'!$V$2:$V$495&lt;=6)*('CASE MASTER'!$X$2:$X$495&gt;=6))*ROW('CASE MASTER'!$T$2:$T$495))-(ROW('CASE MASTER'!#REF!)-1))),":",","),",",REPT(" ",50)),((((5-INDEX('CASE MASTER'!$U$2:$U$495,(SUMPRODUCT((('CASE MASTER'!$T$2:$T$495=5)*('CASE MASTER'!$U$2:$U$495&lt;=5)*('CASE MASTER'!$W$2:$W$495&gt;=5)*('CASE MASTER'!$V$2:$V$495&lt;=6)*('CASE MASTER'!$X$2:$X$495&gt;=6))*ROW('CASE MASTER'!$T$2:$T$495))-(ROW('CASE MASTER'!#REF!)-1))))*(INDEX('CASE MASTER'!$X$2:$X$495,(SUMPRODUCT((('CASE MASTER'!$T$2:$T$495=5)*('CASE MASTER'!$U$2:$U$495&lt;=5)*('CASE MASTER'!$W$2:$W$495&gt;=5)*('CASE MASTER'!$V$2:$V$495&lt;=6)*('CASE MASTER'!$X$2:$X$495&gt;=6))*ROW('CASE MASTER'!$T$2:$T$495))-(ROW('CASE MASTER'!#REF!)-1)))-INDEX('CASE MASTER'!$V$2:$V$495,(SUMPRODUCT((('CASE MASTER'!$T$2:$T$495=5)*('CASE MASTER'!$U$2:$U$495&lt;=5)*('CASE MASTER'!$W$2:$W$495&gt;=5)*('CASE MASTER'!$V$2:$V$495&lt;=6)*('CASE MASTER'!$X$2:$X$495&gt;=6))*ROW('CASE MASTER'!$T$2:$T$495))-(ROW('CASE MASTER'!#REF!)-1)))+1)+(6-INDEX('CASE MASTER'!$V$2:$V$495,(SUMPRODUCT((('CASE MASTER'!$T$2:$T$495=5)*('CASE MASTER'!$U$2:$U$495&lt;=5)*('CASE MASTER'!$W$2:$W$495&gt;=5)*('CASE MASTER'!$V$2:$V$495&lt;=6)*('CASE MASTER'!$X$2:$X$495&gt;=6))*ROW('CASE MASTER'!$T$2:$T$495))-(ROW('CASE MASTER'!#REF!)-1))))+1))-1)*50+1,50))&amp;"_"&amp;INDEX('CASE MASTER'!$Q$2:$Q$495,(SUMPRODUCT((('CASE MASTER'!$T$2:$T$495=5)*('CASE MASTER'!$U$2:$U$495&lt;=5)*('CASE MASTER'!$W$2:$W$495&gt;=5)*('CASE MASTER'!$V$2:$V$495&lt;=6)*('CASE MASTER'!$X$2:$X$495&gt;=6))*ROW('CASE MASTER'!$T$2:$T$495))-(ROW('CASE MASTER'!#REF!)-1))),IF(SUMPRODUCT((('CASE MASTER'!$T$2:$T$495=5)*('CASE MASTER'!$AA$2:$AA$495&lt;=5)*('CASE MASTER'!$AC$2:$AC$495&gt;=5)*('CASE MASTER'!$AB$2:$AB$495&lt;=6)*('CASE MASTER'!$AD$2:$AD$495&gt;=6))*ROW('CASE MASTER'!$T$2:$T$495))&gt;0,INDEX('CASE MASTER'!$Y$2:$Y$495,(SUMPRODUCT((('CASE MASTER'!$T$2:$T$495=5)*('CASE MASTER'!$AA$2:$AA$495&lt;=5)*('CASE MASTER'!$AC$2:$AC$495&gt;=5)*('CASE MASTER'!$AB$2:$AB$495&lt;=6)*('CASE MASTER'!$AD$2:$AD$495&gt;=6))*ROW('CASE MASTER'!$T$2:$T$495))-(ROW('CASE MASTER'!#REF!)-1)))&amp;TRIM(MID(SUBSTITUTE(SUBSTITUTE(INDEX('CASE MASTER'!$N$2:$N$495,(SUMPRODUCT((('CASE MASTER'!$T$2:$T$495=5)*('CASE MASTER'!$AA$2:$AA$495&lt;=5)*('CASE MASTER'!$AC$2:$AC$495&gt;=5)*('CASE MASTER'!$AB$2:$AB$495&lt;=6)*('CASE MASTER'!$AD$2:$AD$495&gt;=6))*ROW('CASE MASTER'!$T$2:$T$495))-(ROW('CASE MASTER'!#REF!)-1))),":",","),",",REPT(" ",50)),(((INDEX('CASE MASTER'!$Z$2:$Z$495,(SUMPRODUCT((('CASE MASTER'!$T$2:$T$495=5)*('CASE MASTER'!$AA$2:$AA$495&lt;=5)*('CASE MASTER'!$AC$2:$AC$495&gt;=5)*('CASE MASTER'!$AB$2:$AB$495&lt;=6)*('CASE MASTER'!$AD$2:$AD$495&gt;=6))*ROW('CASE MASTER'!$T$2:$T$495))-(ROW('CASE MASTER'!#REF!)-1)))+((5-INDEX('CASE MASTER'!$AA$2:$AA$495,(SUMPRODUCT((('CASE MASTER'!$T$2:$T$495=5)*('CASE MASTER'!$AA$2:$AA$495&lt;=5)*('CASE MASTER'!$AC$2:$AC$495&gt;=5)*('CASE MASTER'!$AB$2:$AB$495&lt;=6)*('CASE MASTER'!$AD$2:$AD$495&gt;=6))*ROW('CASE MASTER'!$T$2:$T$495))-(ROW('CASE MASTER'!#REF!)-1))))*(INDEX('CASE MASTER'!$AD$2:$AD$495,(SUMPRODUCT((('CASE MASTER'!$T$2:$T$495=5)*('CASE MASTER'!$AA$2:$AA$495&lt;=5)*('CASE MASTER'!$AC$2:$AC$495&gt;=5)*('CASE MASTER'!$AB$2:$AB$495&lt;=6)*('CASE MASTER'!$AD$2:$AD$495&gt;=6))*ROW('CASE MASTER'!$T$2:$T$495))-(ROW('CASE MASTER'!#REF!)-1)))-INDEX('CASE MASTER'!$AB$2:$AB$495,(SUMPRODUCT((('CASE MASTER'!$T$2:$T$495=5)*('CASE MASTER'!$AA$2:$AA$495&lt;=5)*('CASE MASTER'!$AC$2:$AC$495&gt;=5)*('CASE MASTER'!$AB$2:$AB$495&lt;=6)*('CASE MASTER'!$AD$2:$AD$495&gt;=6))*ROW('CASE MASTER'!$T$2:$T$495))-(ROW('CASE MASTER'!#REF!)-1)))+1)+(6-INDEX('CASE MASTER'!$AB$2:$AB$495,(SUMPRODUCT((('CASE MASTER'!$T$2:$T$495=5)*('CASE MASTER'!$AA$2:$AA$495&lt;=5)*('CASE MASTER'!$AC$2:$AC$495&gt;=5)*('CASE MASTER'!$AB$2:$AB$495&lt;=6)*('CASE MASTER'!$AD$2:$AD$495&gt;=6))*ROW('CASE MASTER'!$T$2:$T$495))-(ROW('CASE MASTER'!#REF!)-1))))+1)))-1)*50+1,50))&amp;"_"&amp;INDEX('CASE MASTER'!$Q$2:$Q$495,(SUMPRODUCT((('CASE MASTER'!$T$2:$T$495=5)*('CASE MASTER'!$AA$2:$AA$495&lt;=5)*('CASE MASTER'!$AC$2:$AC$495&gt;=5)*('CASE MASTER'!$AB$2:$AB$495&lt;=6)*('CASE MASTER'!$AD$2:$AD$495&gt;=6))*ROW('CASE MASTER'!$T$2:$T$495))-(ROW('CASE MASTER'!#REF!)-1))),"")),"")</f>
        <v/>
      </c>
      <c r="H63" s="10" t="str">
        <f>IFERROR(IF(SUMPRODUCT((('CASE MASTER'!$T$2:$T$495=5)*('CASE MASTER'!$U$2:$U$495&lt;=5)*('CASE MASTER'!$W$2:$W$495&gt;=5)*('CASE MASTER'!$V$2:$V$495&lt;=7)*('CASE MASTER'!$X$2:$X$495&gt;=7))*ROW('CASE MASTER'!$T$2:$T$495))&gt;0,INDEX('CASE MASTER'!$Y$2:$Y$495,(SUMPRODUCT((('CASE MASTER'!$T$2:$T$495=5)*('CASE MASTER'!$U$2:$U$495&lt;=5)*('CASE MASTER'!$W$2:$W$495&gt;=5)*('CASE MASTER'!$V$2:$V$495&lt;=7)*('CASE MASTER'!$X$2:$X$495&gt;=7))*ROW('CASE MASTER'!$T$2:$T$495))-(ROW('CASE MASTER'!#REF!)-1)))&amp;TRIM(MID(SUBSTITUTE(SUBSTITUTE(INDEX('CASE MASTER'!$N$2:$N$495,(SUMPRODUCT((('CASE MASTER'!$T$2:$T$495=5)*('CASE MASTER'!$U$2:$U$495&lt;=5)*('CASE MASTER'!$W$2:$W$495&gt;=5)*('CASE MASTER'!$V$2:$V$495&lt;=7)*('CASE MASTER'!$X$2:$X$495&gt;=7))*ROW('CASE MASTER'!$T$2:$T$495))-(ROW('CASE MASTER'!#REF!)-1))),":",","),",",REPT(" ",50)),((((5-INDEX('CASE MASTER'!$U$2:$U$495,(SUMPRODUCT((('CASE MASTER'!$T$2:$T$495=5)*('CASE MASTER'!$U$2:$U$495&lt;=5)*('CASE MASTER'!$W$2:$W$495&gt;=5)*('CASE MASTER'!$V$2:$V$495&lt;=7)*('CASE MASTER'!$X$2:$X$495&gt;=7))*ROW('CASE MASTER'!$T$2:$T$495))-(ROW('CASE MASTER'!#REF!)-1))))*(INDEX('CASE MASTER'!$X$2:$X$495,(SUMPRODUCT((('CASE MASTER'!$T$2:$T$495=5)*('CASE MASTER'!$U$2:$U$495&lt;=5)*('CASE MASTER'!$W$2:$W$495&gt;=5)*('CASE MASTER'!$V$2:$V$495&lt;=7)*('CASE MASTER'!$X$2:$X$495&gt;=7))*ROW('CASE MASTER'!$T$2:$T$495))-(ROW('CASE MASTER'!#REF!)-1)))-INDEX('CASE MASTER'!$V$2:$V$495,(SUMPRODUCT((('CASE MASTER'!$T$2:$T$495=5)*('CASE MASTER'!$U$2:$U$495&lt;=5)*('CASE MASTER'!$W$2:$W$495&gt;=5)*('CASE MASTER'!$V$2:$V$495&lt;=7)*('CASE MASTER'!$X$2:$X$495&gt;=7))*ROW('CASE MASTER'!$T$2:$T$495))-(ROW('CASE MASTER'!#REF!)-1)))+1)+(7-INDEX('CASE MASTER'!$V$2:$V$495,(SUMPRODUCT((('CASE MASTER'!$T$2:$T$495=5)*('CASE MASTER'!$U$2:$U$495&lt;=5)*('CASE MASTER'!$W$2:$W$495&gt;=5)*('CASE MASTER'!$V$2:$V$495&lt;=7)*('CASE MASTER'!$X$2:$X$495&gt;=7))*ROW('CASE MASTER'!$T$2:$T$495))-(ROW('CASE MASTER'!#REF!)-1))))+1))-1)*50+1,50))&amp;"_"&amp;INDEX('CASE MASTER'!$Q$2:$Q$495,(SUMPRODUCT((('CASE MASTER'!$T$2:$T$495=5)*('CASE MASTER'!$U$2:$U$495&lt;=5)*('CASE MASTER'!$W$2:$W$495&gt;=5)*('CASE MASTER'!$V$2:$V$495&lt;=7)*('CASE MASTER'!$X$2:$X$495&gt;=7))*ROW('CASE MASTER'!$T$2:$T$495))-(ROW('CASE MASTER'!#REF!)-1))),IF(SUMPRODUCT((('CASE MASTER'!$T$2:$T$495=5)*('CASE MASTER'!$AA$2:$AA$495&lt;=5)*('CASE MASTER'!$AC$2:$AC$495&gt;=5)*('CASE MASTER'!$AB$2:$AB$495&lt;=7)*('CASE MASTER'!$AD$2:$AD$495&gt;=7))*ROW('CASE MASTER'!$T$2:$T$495))&gt;0,INDEX('CASE MASTER'!$Y$2:$Y$495,(SUMPRODUCT((('CASE MASTER'!$T$2:$T$495=5)*('CASE MASTER'!$AA$2:$AA$495&lt;=5)*('CASE MASTER'!$AC$2:$AC$495&gt;=5)*('CASE MASTER'!$AB$2:$AB$495&lt;=7)*('CASE MASTER'!$AD$2:$AD$495&gt;=7))*ROW('CASE MASTER'!$T$2:$T$495))-(ROW('CASE MASTER'!#REF!)-1)))&amp;TRIM(MID(SUBSTITUTE(SUBSTITUTE(INDEX('CASE MASTER'!$N$2:$N$495,(SUMPRODUCT((('CASE MASTER'!$T$2:$T$495=5)*('CASE MASTER'!$AA$2:$AA$495&lt;=5)*('CASE MASTER'!$AC$2:$AC$495&gt;=5)*('CASE MASTER'!$AB$2:$AB$495&lt;=7)*('CASE MASTER'!$AD$2:$AD$495&gt;=7))*ROW('CASE MASTER'!$T$2:$T$495))-(ROW('CASE MASTER'!#REF!)-1))),":",","),",",REPT(" ",50)),(((INDEX('CASE MASTER'!$Z$2:$Z$495,(SUMPRODUCT((('CASE MASTER'!$T$2:$T$495=5)*('CASE MASTER'!$AA$2:$AA$495&lt;=5)*('CASE MASTER'!$AC$2:$AC$495&gt;=5)*('CASE MASTER'!$AB$2:$AB$495&lt;=7)*('CASE MASTER'!$AD$2:$AD$495&gt;=7))*ROW('CASE MASTER'!$T$2:$T$495))-(ROW('CASE MASTER'!#REF!)-1)))+((5-INDEX('CASE MASTER'!$AA$2:$AA$495,(SUMPRODUCT((('CASE MASTER'!$T$2:$T$495=5)*('CASE MASTER'!$AA$2:$AA$495&lt;=5)*('CASE MASTER'!$AC$2:$AC$495&gt;=5)*('CASE MASTER'!$AB$2:$AB$495&lt;=7)*('CASE MASTER'!$AD$2:$AD$495&gt;=7))*ROW('CASE MASTER'!$T$2:$T$495))-(ROW('CASE MASTER'!#REF!)-1))))*(INDEX('CASE MASTER'!$AD$2:$AD$495,(SUMPRODUCT((('CASE MASTER'!$T$2:$T$495=5)*('CASE MASTER'!$AA$2:$AA$495&lt;=5)*('CASE MASTER'!$AC$2:$AC$495&gt;=5)*('CASE MASTER'!$AB$2:$AB$495&lt;=7)*('CASE MASTER'!$AD$2:$AD$495&gt;=7))*ROW('CASE MASTER'!$T$2:$T$495))-(ROW('CASE MASTER'!#REF!)-1)))-INDEX('CASE MASTER'!$AB$2:$AB$495,(SUMPRODUCT((('CASE MASTER'!$T$2:$T$495=5)*('CASE MASTER'!$AA$2:$AA$495&lt;=5)*('CASE MASTER'!$AC$2:$AC$495&gt;=5)*('CASE MASTER'!$AB$2:$AB$495&lt;=7)*('CASE MASTER'!$AD$2:$AD$495&gt;=7))*ROW('CASE MASTER'!$T$2:$T$495))-(ROW('CASE MASTER'!#REF!)-1)))+1)+(7-INDEX('CASE MASTER'!$AB$2:$AB$495,(SUMPRODUCT((('CASE MASTER'!$T$2:$T$495=5)*('CASE MASTER'!$AA$2:$AA$495&lt;=5)*('CASE MASTER'!$AC$2:$AC$495&gt;=5)*('CASE MASTER'!$AB$2:$AB$495&lt;=7)*('CASE MASTER'!$AD$2:$AD$495&gt;=7))*ROW('CASE MASTER'!$T$2:$T$495))-(ROW('CASE MASTER'!#REF!)-1))))+1)))-1)*50+1,50))&amp;"_"&amp;INDEX('CASE MASTER'!$Q$2:$Q$495,(SUMPRODUCT((('CASE MASTER'!$T$2:$T$495=5)*('CASE MASTER'!$AA$2:$AA$495&lt;=5)*('CASE MASTER'!$AC$2:$AC$495&gt;=5)*('CASE MASTER'!$AB$2:$AB$495&lt;=7)*('CASE MASTER'!$AD$2:$AD$495&gt;=7))*ROW('CASE MASTER'!$T$2:$T$495))-(ROW('CASE MASTER'!#REF!)-1))),"")),"")</f>
        <v/>
      </c>
      <c r="I63" s="10" t="str">
        <f>IFERROR(IF(SUMPRODUCT((('CASE MASTER'!$T$2:$T$495=5)*('CASE MASTER'!$U$2:$U$495&lt;=5)*('CASE MASTER'!$W$2:$W$495&gt;=5)*('CASE MASTER'!$V$2:$V$495&lt;=8)*('CASE MASTER'!$X$2:$X$495&gt;=8))*ROW('CASE MASTER'!$T$2:$T$495))&gt;0,INDEX('CASE MASTER'!$Y$2:$Y$495,(SUMPRODUCT((('CASE MASTER'!$T$2:$T$495=5)*('CASE MASTER'!$U$2:$U$495&lt;=5)*('CASE MASTER'!$W$2:$W$495&gt;=5)*('CASE MASTER'!$V$2:$V$495&lt;=8)*('CASE MASTER'!$X$2:$X$495&gt;=8))*ROW('CASE MASTER'!$T$2:$T$495))-(ROW('CASE MASTER'!#REF!)-1)))&amp;TRIM(MID(SUBSTITUTE(SUBSTITUTE(INDEX('CASE MASTER'!$N$2:$N$495,(SUMPRODUCT((('CASE MASTER'!$T$2:$T$495=5)*('CASE MASTER'!$U$2:$U$495&lt;=5)*('CASE MASTER'!$W$2:$W$495&gt;=5)*('CASE MASTER'!$V$2:$V$495&lt;=8)*('CASE MASTER'!$X$2:$X$495&gt;=8))*ROW('CASE MASTER'!$T$2:$T$495))-(ROW('CASE MASTER'!#REF!)-1))),":",","),",",REPT(" ",50)),((((5-INDEX('CASE MASTER'!$U$2:$U$495,(SUMPRODUCT((('CASE MASTER'!$T$2:$T$495=5)*('CASE MASTER'!$U$2:$U$495&lt;=5)*('CASE MASTER'!$W$2:$W$495&gt;=5)*('CASE MASTER'!$V$2:$V$495&lt;=8)*('CASE MASTER'!$X$2:$X$495&gt;=8))*ROW('CASE MASTER'!$T$2:$T$495))-(ROW('CASE MASTER'!#REF!)-1))))*(INDEX('CASE MASTER'!$X$2:$X$495,(SUMPRODUCT((('CASE MASTER'!$T$2:$T$495=5)*('CASE MASTER'!$U$2:$U$495&lt;=5)*('CASE MASTER'!$W$2:$W$495&gt;=5)*('CASE MASTER'!$V$2:$V$495&lt;=8)*('CASE MASTER'!$X$2:$X$495&gt;=8))*ROW('CASE MASTER'!$T$2:$T$495))-(ROW('CASE MASTER'!#REF!)-1)))-INDEX('CASE MASTER'!$V$2:$V$495,(SUMPRODUCT((('CASE MASTER'!$T$2:$T$495=5)*('CASE MASTER'!$U$2:$U$495&lt;=5)*('CASE MASTER'!$W$2:$W$495&gt;=5)*('CASE MASTER'!$V$2:$V$495&lt;=8)*('CASE MASTER'!$X$2:$X$495&gt;=8))*ROW('CASE MASTER'!$T$2:$T$495))-(ROW('CASE MASTER'!#REF!)-1)))+1)+(8-INDEX('CASE MASTER'!$V$2:$V$495,(SUMPRODUCT((('CASE MASTER'!$T$2:$T$495=5)*('CASE MASTER'!$U$2:$U$495&lt;=5)*('CASE MASTER'!$W$2:$W$495&gt;=5)*('CASE MASTER'!$V$2:$V$495&lt;=8)*('CASE MASTER'!$X$2:$X$495&gt;=8))*ROW('CASE MASTER'!$T$2:$T$495))-(ROW('CASE MASTER'!#REF!)-1))))+1))-1)*50+1,50))&amp;"_"&amp;INDEX('CASE MASTER'!$Q$2:$Q$495,(SUMPRODUCT((('CASE MASTER'!$T$2:$T$495=5)*('CASE MASTER'!$U$2:$U$495&lt;=5)*('CASE MASTER'!$W$2:$W$495&gt;=5)*('CASE MASTER'!$V$2:$V$495&lt;=8)*('CASE MASTER'!$X$2:$X$495&gt;=8))*ROW('CASE MASTER'!$T$2:$T$495))-(ROW('CASE MASTER'!#REF!)-1))),IF(SUMPRODUCT((('CASE MASTER'!$T$2:$T$495=5)*('CASE MASTER'!$AA$2:$AA$495&lt;=5)*('CASE MASTER'!$AC$2:$AC$495&gt;=5)*('CASE MASTER'!$AB$2:$AB$495&lt;=8)*('CASE MASTER'!$AD$2:$AD$495&gt;=8))*ROW('CASE MASTER'!$T$2:$T$495))&gt;0,INDEX('CASE MASTER'!$Y$2:$Y$495,(SUMPRODUCT((('CASE MASTER'!$T$2:$T$495=5)*('CASE MASTER'!$AA$2:$AA$495&lt;=5)*('CASE MASTER'!$AC$2:$AC$495&gt;=5)*('CASE MASTER'!$AB$2:$AB$495&lt;=8)*('CASE MASTER'!$AD$2:$AD$495&gt;=8))*ROW('CASE MASTER'!$T$2:$T$495))-(ROW('CASE MASTER'!#REF!)-1)))&amp;TRIM(MID(SUBSTITUTE(SUBSTITUTE(INDEX('CASE MASTER'!$N$2:$N$495,(SUMPRODUCT((('CASE MASTER'!$T$2:$T$495=5)*('CASE MASTER'!$AA$2:$AA$495&lt;=5)*('CASE MASTER'!$AC$2:$AC$495&gt;=5)*('CASE MASTER'!$AB$2:$AB$495&lt;=8)*('CASE MASTER'!$AD$2:$AD$495&gt;=8))*ROW('CASE MASTER'!$T$2:$T$495))-(ROW('CASE MASTER'!#REF!)-1))),":",","),",",REPT(" ",50)),(((INDEX('CASE MASTER'!$Z$2:$Z$495,(SUMPRODUCT((('CASE MASTER'!$T$2:$T$495=5)*('CASE MASTER'!$AA$2:$AA$495&lt;=5)*('CASE MASTER'!$AC$2:$AC$495&gt;=5)*('CASE MASTER'!$AB$2:$AB$495&lt;=8)*('CASE MASTER'!$AD$2:$AD$495&gt;=8))*ROW('CASE MASTER'!$T$2:$T$495))-(ROW('CASE MASTER'!#REF!)-1)))+((5-INDEX('CASE MASTER'!$AA$2:$AA$495,(SUMPRODUCT((('CASE MASTER'!$T$2:$T$495=5)*('CASE MASTER'!$AA$2:$AA$495&lt;=5)*('CASE MASTER'!$AC$2:$AC$495&gt;=5)*('CASE MASTER'!$AB$2:$AB$495&lt;=8)*('CASE MASTER'!$AD$2:$AD$495&gt;=8))*ROW('CASE MASTER'!$T$2:$T$495))-(ROW('CASE MASTER'!#REF!)-1))))*(INDEX('CASE MASTER'!$AD$2:$AD$495,(SUMPRODUCT((('CASE MASTER'!$T$2:$T$495=5)*('CASE MASTER'!$AA$2:$AA$495&lt;=5)*('CASE MASTER'!$AC$2:$AC$495&gt;=5)*('CASE MASTER'!$AB$2:$AB$495&lt;=8)*('CASE MASTER'!$AD$2:$AD$495&gt;=8))*ROW('CASE MASTER'!$T$2:$T$495))-(ROW('CASE MASTER'!#REF!)-1)))-INDEX('CASE MASTER'!$AB$2:$AB$495,(SUMPRODUCT((('CASE MASTER'!$T$2:$T$495=5)*('CASE MASTER'!$AA$2:$AA$495&lt;=5)*('CASE MASTER'!$AC$2:$AC$495&gt;=5)*('CASE MASTER'!$AB$2:$AB$495&lt;=8)*('CASE MASTER'!$AD$2:$AD$495&gt;=8))*ROW('CASE MASTER'!$T$2:$T$495))-(ROW('CASE MASTER'!#REF!)-1)))+1)+(8-INDEX('CASE MASTER'!$AB$2:$AB$495,(SUMPRODUCT((('CASE MASTER'!$T$2:$T$495=5)*('CASE MASTER'!$AA$2:$AA$495&lt;=5)*('CASE MASTER'!$AC$2:$AC$495&gt;=5)*('CASE MASTER'!$AB$2:$AB$495&lt;=8)*('CASE MASTER'!$AD$2:$AD$495&gt;=8))*ROW('CASE MASTER'!$T$2:$T$495))-(ROW('CASE MASTER'!#REF!)-1))))+1)))-1)*50+1,50))&amp;"_"&amp;INDEX('CASE MASTER'!$Q$2:$Q$495,(SUMPRODUCT((('CASE MASTER'!$T$2:$T$495=5)*('CASE MASTER'!$AA$2:$AA$495&lt;=5)*('CASE MASTER'!$AC$2:$AC$495&gt;=5)*('CASE MASTER'!$AB$2:$AB$495&lt;=8)*('CASE MASTER'!$AD$2:$AD$495&gt;=8))*ROW('CASE MASTER'!$T$2:$T$495))-(ROW('CASE MASTER'!#REF!)-1))),"")),"")</f>
        <v/>
      </c>
      <c r="J63" s="10" t="str">
        <f>IFERROR(IF(SUMPRODUCT((('CASE MASTER'!$T$2:$T$495=5)*('CASE MASTER'!$U$2:$U$495&lt;=5)*('CASE MASTER'!$W$2:$W$495&gt;=5)*('CASE MASTER'!$V$2:$V$495&lt;=9)*('CASE MASTER'!$X$2:$X$495&gt;=9))*ROW('CASE MASTER'!$T$2:$T$495))&gt;0,INDEX('CASE MASTER'!$Y$2:$Y$495,(SUMPRODUCT((('CASE MASTER'!$T$2:$T$495=5)*('CASE MASTER'!$U$2:$U$495&lt;=5)*('CASE MASTER'!$W$2:$W$495&gt;=5)*('CASE MASTER'!$V$2:$V$495&lt;=9)*('CASE MASTER'!$X$2:$X$495&gt;=9))*ROW('CASE MASTER'!$T$2:$T$495))-(ROW('CASE MASTER'!#REF!)-1)))&amp;TRIM(MID(SUBSTITUTE(SUBSTITUTE(INDEX('CASE MASTER'!$N$2:$N$495,(SUMPRODUCT((('CASE MASTER'!$T$2:$T$495=5)*('CASE MASTER'!$U$2:$U$495&lt;=5)*('CASE MASTER'!$W$2:$W$495&gt;=5)*('CASE MASTER'!$V$2:$V$495&lt;=9)*('CASE MASTER'!$X$2:$X$495&gt;=9))*ROW('CASE MASTER'!$T$2:$T$495))-(ROW('CASE MASTER'!#REF!)-1))),":",","),",",REPT(" ",50)),((((5-INDEX('CASE MASTER'!$U$2:$U$495,(SUMPRODUCT((('CASE MASTER'!$T$2:$T$495=5)*('CASE MASTER'!$U$2:$U$495&lt;=5)*('CASE MASTER'!$W$2:$W$495&gt;=5)*('CASE MASTER'!$V$2:$V$495&lt;=9)*('CASE MASTER'!$X$2:$X$495&gt;=9))*ROW('CASE MASTER'!$T$2:$T$495))-(ROW('CASE MASTER'!#REF!)-1))))*(INDEX('CASE MASTER'!$X$2:$X$495,(SUMPRODUCT((('CASE MASTER'!$T$2:$T$495=5)*('CASE MASTER'!$U$2:$U$495&lt;=5)*('CASE MASTER'!$W$2:$W$495&gt;=5)*('CASE MASTER'!$V$2:$V$495&lt;=9)*('CASE MASTER'!$X$2:$X$495&gt;=9))*ROW('CASE MASTER'!$T$2:$T$495))-(ROW('CASE MASTER'!#REF!)-1)))-INDEX('CASE MASTER'!$V$2:$V$495,(SUMPRODUCT((('CASE MASTER'!$T$2:$T$495=5)*('CASE MASTER'!$U$2:$U$495&lt;=5)*('CASE MASTER'!$W$2:$W$495&gt;=5)*('CASE MASTER'!$V$2:$V$495&lt;=9)*('CASE MASTER'!$X$2:$X$495&gt;=9))*ROW('CASE MASTER'!$T$2:$T$495))-(ROW('CASE MASTER'!#REF!)-1)))+1)+(9-INDEX('CASE MASTER'!$V$2:$V$495,(SUMPRODUCT((('CASE MASTER'!$T$2:$T$495=5)*('CASE MASTER'!$U$2:$U$495&lt;=5)*('CASE MASTER'!$W$2:$W$495&gt;=5)*('CASE MASTER'!$V$2:$V$495&lt;=9)*('CASE MASTER'!$X$2:$X$495&gt;=9))*ROW('CASE MASTER'!$T$2:$T$495))-(ROW('CASE MASTER'!#REF!)-1))))+1))-1)*50+1,50))&amp;"_"&amp;INDEX('CASE MASTER'!$Q$2:$Q$495,(SUMPRODUCT((('CASE MASTER'!$T$2:$T$495=5)*('CASE MASTER'!$U$2:$U$495&lt;=5)*('CASE MASTER'!$W$2:$W$495&gt;=5)*('CASE MASTER'!$V$2:$V$495&lt;=9)*('CASE MASTER'!$X$2:$X$495&gt;=9))*ROW('CASE MASTER'!$T$2:$T$495))-(ROW('CASE MASTER'!#REF!)-1))),IF(SUMPRODUCT((('CASE MASTER'!$T$2:$T$495=5)*('CASE MASTER'!$AA$2:$AA$495&lt;=5)*('CASE MASTER'!$AC$2:$AC$495&gt;=5)*('CASE MASTER'!$AB$2:$AB$495&lt;=9)*('CASE MASTER'!$AD$2:$AD$495&gt;=9))*ROW('CASE MASTER'!$T$2:$T$495))&gt;0,INDEX('CASE MASTER'!$Y$2:$Y$495,(SUMPRODUCT((('CASE MASTER'!$T$2:$T$495=5)*('CASE MASTER'!$AA$2:$AA$495&lt;=5)*('CASE MASTER'!$AC$2:$AC$495&gt;=5)*('CASE MASTER'!$AB$2:$AB$495&lt;=9)*('CASE MASTER'!$AD$2:$AD$495&gt;=9))*ROW('CASE MASTER'!$T$2:$T$495))-(ROW('CASE MASTER'!#REF!)-1)))&amp;TRIM(MID(SUBSTITUTE(SUBSTITUTE(INDEX('CASE MASTER'!$N$2:$N$495,(SUMPRODUCT((('CASE MASTER'!$T$2:$T$495=5)*('CASE MASTER'!$AA$2:$AA$495&lt;=5)*('CASE MASTER'!$AC$2:$AC$495&gt;=5)*('CASE MASTER'!$AB$2:$AB$495&lt;=9)*('CASE MASTER'!$AD$2:$AD$495&gt;=9))*ROW('CASE MASTER'!$T$2:$T$495))-(ROW('CASE MASTER'!#REF!)-1))),":",","),",",REPT(" ",50)),(((INDEX('CASE MASTER'!$Z$2:$Z$495,(SUMPRODUCT((('CASE MASTER'!$T$2:$T$495=5)*('CASE MASTER'!$AA$2:$AA$495&lt;=5)*('CASE MASTER'!$AC$2:$AC$495&gt;=5)*('CASE MASTER'!$AB$2:$AB$495&lt;=9)*('CASE MASTER'!$AD$2:$AD$495&gt;=9))*ROW('CASE MASTER'!$T$2:$T$495))-(ROW('CASE MASTER'!#REF!)-1)))+((5-INDEX('CASE MASTER'!$AA$2:$AA$495,(SUMPRODUCT((('CASE MASTER'!$T$2:$T$495=5)*('CASE MASTER'!$AA$2:$AA$495&lt;=5)*('CASE MASTER'!$AC$2:$AC$495&gt;=5)*('CASE MASTER'!$AB$2:$AB$495&lt;=9)*('CASE MASTER'!$AD$2:$AD$495&gt;=9))*ROW('CASE MASTER'!$T$2:$T$495))-(ROW('CASE MASTER'!#REF!)-1))))*(INDEX('CASE MASTER'!$AD$2:$AD$495,(SUMPRODUCT((('CASE MASTER'!$T$2:$T$495=5)*('CASE MASTER'!$AA$2:$AA$495&lt;=5)*('CASE MASTER'!$AC$2:$AC$495&gt;=5)*('CASE MASTER'!$AB$2:$AB$495&lt;=9)*('CASE MASTER'!$AD$2:$AD$495&gt;=9))*ROW('CASE MASTER'!$T$2:$T$495))-(ROW('CASE MASTER'!#REF!)-1)))-INDEX('CASE MASTER'!$AB$2:$AB$495,(SUMPRODUCT((('CASE MASTER'!$T$2:$T$495=5)*('CASE MASTER'!$AA$2:$AA$495&lt;=5)*('CASE MASTER'!$AC$2:$AC$495&gt;=5)*('CASE MASTER'!$AB$2:$AB$495&lt;=9)*('CASE MASTER'!$AD$2:$AD$495&gt;=9))*ROW('CASE MASTER'!$T$2:$T$495))-(ROW('CASE MASTER'!#REF!)-1)))+1)+(9-INDEX('CASE MASTER'!$AB$2:$AB$495,(SUMPRODUCT((('CASE MASTER'!$T$2:$T$495=5)*('CASE MASTER'!$AA$2:$AA$495&lt;=5)*('CASE MASTER'!$AC$2:$AC$495&gt;=5)*('CASE MASTER'!$AB$2:$AB$495&lt;=9)*('CASE MASTER'!$AD$2:$AD$495&gt;=9))*ROW('CASE MASTER'!$T$2:$T$495))-(ROW('CASE MASTER'!#REF!)-1))))+1)))-1)*50+1,50))&amp;"_"&amp;INDEX('CASE MASTER'!$Q$2:$Q$495,(SUMPRODUCT((('CASE MASTER'!$T$2:$T$495=5)*('CASE MASTER'!$AA$2:$AA$495&lt;=5)*('CASE MASTER'!$AC$2:$AC$495&gt;=5)*('CASE MASTER'!$AB$2:$AB$495&lt;=9)*('CASE MASTER'!$AD$2:$AD$495&gt;=9))*ROW('CASE MASTER'!$T$2:$T$495))-(ROW('CASE MASTER'!#REF!)-1))),"")),"")</f>
        <v/>
      </c>
      <c r="K63" s="10" t="str">
        <f>IFERROR(IF(SUMPRODUCT((('CASE MASTER'!$T$2:$T$495=5)*('CASE MASTER'!$U$2:$U$495&lt;=5)*('CASE MASTER'!$W$2:$W$495&gt;=5)*('CASE MASTER'!$V$2:$V$495&lt;=10)*('CASE MASTER'!$X$2:$X$495&gt;=10))*ROW('CASE MASTER'!$T$2:$T$495))&gt;0,INDEX('CASE MASTER'!$Y$2:$Y$495,(SUMPRODUCT((('CASE MASTER'!$T$2:$T$495=5)*('CASE MASTER'!$U$2:$U$495&lt;=5)*('CASE MASTER'!$W$2:$W$495&gt;=5)*('CASE MASTER'!$V$2:$V$495&lt;=10)*('CASE MASTER'!$X$2:$X$495&gt;=10))*ROW('CASE MASTER'!$T$2:$T$495))-(ROW('CASE MASTER'!#REF!)-1)))&amp;TRIM(MID(SUBSTITUTE(SUBSTITUTE(INDEX('CASE MASTER'!$N$2:$N$495,(SUMPRODUCT((('CASE MASTER'!$T$2:$T$495=5)*('CASE MASTER'!$U$2:$U$495&lt;=5)*('CASE MASTER'!$W$2:$W$495&gt;=5)*('CASE MASTER'!$V$2:$V$495&lt;=10)*('CASE MASTER'!$X$2:$X$495&gt;=10))*ROW('CASE MASTER'!$T$2:$T$495))-(ROW('CASE MASTER'!#REF!)-1))),":",","),",",REPT(" ",50)),((((5-INDEX('CASE MASTER'!$U$2:$U$495,(SUMPRODUCT((('CASE MASTER'!$T$2:$T$495=5)*('CASE MASTER'!$U$2:$U$495&lt;=5)*('CASE MASTER'!$W$2:$W$495&gt;=5)*('CASE MASTER'!$V$2:$V$495&lt;=10)*('CASE MASTER'!$X$2:$X$495&gt;=10))*ROW('CASE MASTER'!$T$2:$T$495))-(ROW('CASE MASTER'!#REF!)-1))))*(INDEX('CASE MASTER'!$X$2:$X$495,(SUMPRODUCT((('CASE MASTER'!$T$2:$T$495=5)*('CASE MASTER'!$U$2:$U$495&lt;=5)*('CASE MASTER'!$W$2:$W$495&gt;=5)*('CASE MASTER'!$V$2:$V$495&lt;=10)*('CASE MASTER'!$X$2:$X$495&gt;=10))*ROW('CASE MASTER'!$T$2:$T$495))-(ROW('CASE MASTER'!#REF!)-1)))-INDEX('CASE MASTER'!$V$2:$V$495,(SUMPRODUCT((('CASE MASTER'!$T$2:$T$495=5)*('CASE MASTER'!$U$2:$U$495&lt;=5)*('CASE MASTER'!$W$2:$W$495&gt;=5)*('CASE MASTER'!$V$2:$V$495&lt;=10)*('CASE MASTER'!$X$2:$X$495&gt;=10))*ROW('CASE MASTER'!$T$2:$T$495))-(ROW('CASE MASTER'!#REF!)-1)))+1)+(10-INDEX('CASE MASTER'!$V$2:$V$495,(SUMPRODUCT((('CASE MASTER'!$T$2:$T$495=5)*('CASE MASTER'!$U$2:$U$495&lt;=5)*('CASE MASTER'!$W$2:$W$495&gt;=5)*('CASE MASTER'!$V$2:$V$495&lt;=10)*('CASE MASTER'!$X$2:$X$495&gt;=10))*ROW('CASE MASTER'!$T$2:$T$495))-(ROW('CASE MASTER'!#REF!)-1))))+1))-1)*50+1,50))&amp;"_"&amp;INDEX('CASE MASTER'!$Q$2:$Q$495,(SUMPRODUCT((('CASE MASTER'!$T$2:$T$495=5)*('CASE MASTER'!$U$2:$U$495&lt;=5)*('CASE MASTER'!$W$2:$W$495&gt;=5)*('CASE MASTER'!$V$2:$V$495&lt;=10)*('CASE MASTER'!$X$2:$X$495&gt;=10))*ROW('CASE MASTER'!$T$2:$T$495))-(ROW('CASE MASTER'!#REF!)-1))),IF(SUMPRODUCT((('CASE MASTER'!$T$2:$T$495=5)*('CASE MASTER'!$AA$2:$AA$495&lt;=5)*('CASE MASTER'!$AC$2:$AC$495&gt;=5)*('CASE MASTER'!$AB$2:$AB$495&lt;=10)*('CASE MASTER'!$AD$2:$AD$495&gt;=10))*ROW('CASE MASTER'!$T$2:$T$495))&gt;0,INDEX('CASE MASTER'!$Y$2:$Y$495,(SUMPRODUCT((('CASE MASTER'!$T$2:$T$495=5)*('CASE MASTER'!$AA$2:$AA$495&lt;=5)*('CASE MASTER'!$AC$2:$AC$495&gt;=5)*('CASE MASTER'!$AB$2:$AB$495&lt;=10)*('CASE MASTER'!$AD$2:$AD$495&gt;=10))*ROW('CASE MASTER'!$T$2:$T$495))-(ROW('CASE MASTER'!#REF!)-1)))&amp;TRIM(MID(SUBSTITUTE(SUBSTITUTE(INDEX('CASE MASTER'!$N$2:$N$495,(SUMPRODUCT((('CASE MASTER'!$T$2:$T$495=5)*('CASE MASTER'!$AA$2:$AA$495&lt;=5)*('CASE MASTER'!$AC$2:$AC$495&gt;=5)*('CASE MASTER'!$AB$2:$AB$495&lt;=10)*('CASE MASTER'!$AD$2:$AD$495&gt;=10))*ROW('CASE MASTER'!$T$2:$T$495))-(ROW('CASE MASTER'!#REF!)-1))),":",","),",",REPT(" ",50)),(((INDEX('CASE MASTER'!$Z$2:$Z$495,(SUMPRODUCT((('CASE MASTER'!$T$2:$T$495=5)*('CASE MASTER'!$AA$2:$AA$495&lt;=5)*('CASE MASTER'!$AC$2:$AC$495&gt;=5)*('CASE MASTER'!$AB$2:$AB$495&lt;=10)*('CASE MASTER'!$AD$2:$AD$495&gt;=10))*ROW('CASE MASTER'!$T$2:$T$495))-(ROW('CASE MASTER'!#REF!)-1)))+((5-INDEX('CASE MASTER'!$AA$2:$AA$495,(SUMPRODUCT((('CASE MASTER'!$T$2:$T$495=5)*('CASE MASTER'!$AA$2:$AA$495&lt;=5)*('CASE MASTER'!$AC$2:$AC$495&gt;=5)*('CASE MASTER'!$AB$2:$AB$495&lt;=10)*('CASE MASTER'!$AD$2:$AD$495&gt;=10))*ROW('CASE MASTER'!$T$2:$T$495))-(ROW('CASE MASTER'!#REF!)-1))))*(INDEX('CASE MASTER'!$AD$2:$AD$495,(SUMPRODUCT((('CASE MASTER'!$T$2:$T$495=5)*('CASE MASTER'!$AA$2:$AA$495&lt;=5)*('CASE MASTER'!$AC$2:$AC$495&gt;=5)*('CASE MASTER'!$AB$2:$AB$495&lt;=10)*('CASE MASTER'!$AD$2:$AD$495&gt;=10))*ROW('CASE MASTER'!$T$2:$T$495))-(ROW('CASE MASTER'!#REF!)-1)))-INDEX('CASE MASTER'!$AB$2:$AB$495,(SUMPRODUCT((('CASE MASTER'!$T$2:$T$495=5)*('CASE MASTER'!$AA$2:$AA$495&lt;=5)*('CASE MASTER'!$AC$2:$AC$495&gt;=5)*('CASE MASTER'!$AB$2:$AB$495&lt;=10)*('CASE MASTER'!$AD$2:$AD$495&gt;=10))*ROW('CASE MASTER'!$T$2:$T$495))-(ROW('CASE MASTER'!#REF!)-1)))+1)+(10-INDEX('CASE MASTER'!$AB$2:$AB$495,(SUMPRODUCT((('CASE MASTER'!$T$2:$T$495=5)*('CASE MASTER'!$AA$2:$AA$495&lt;=5)*('CASE MASTER'!$AC$2:$AC$495&gt;=5)*('CASE MASTER'!$AB$2:$AB$495&lt;=10)*('CASE MASTER'!$AD$2:$AD$495&gt;=10))*ROW('CASE MASTER'!$T$2:$T$495))-(ROW('CASE MASTER'!#REF!)-1))))+1)))-1)*50+1,50))&amp;"_"&amp;INDEX('CASE MASTER'!$Q$2:$Q$495,(SUMPRODUCT((('CASE MASTER'!$T$2:$T$495=5)*('CASE MASTER'!$AA$2:$AA$495&lt;=5)*('CASE MASTER'!$AC$2:$AC$495&gt;=5)*('CASE MASTER'!$AB$2:$AB$495&lt;=10)*('CASE MASTER'!$AD$2:$AD$495&gt;=10))*ROW('CASE MASTER'!$T$2:$T$495))-(ROW('CASE MASTER'!#REF!)-1))),"")),"")</f>
        <v/>
      </c>
    </row>
    <row r="64" spans="1:11" ht="15" customHeight="1" x14ac:dyDescent="0.35">
      <c r="A64" s="8" t="s">
        <v>33</v>
      </c>
      <c r="B64" s="10" t="str">
        <f>IFERROR(IF(SUMPRODUCT((('CASE MASTER'!$T$2:$T$495=5)*('CASE MASTER'!$U$2:$U$495&lt;=6)*('CASE MASTER'!$W$2:$W$495&gt;=6)*('CASE MASTER'!$V$2:$V$495&lt;=1)*('CASE MASTER'!$X$2:$X$495&gt;=1))*ROW('CASE MASTER'!$T$2:$T$495))&gt;0,INDEX('CASE MASTER'!$Y$2:$Y$495,(SUMPRODUCT((('CASE MASTER'!$T$2:$T$495=5)*('CASE MASTER'!$U$2:$U$495&lt;=6)*('CASE MASTER'!$W$2:$W$495&gt;=6)*('CASE MASTER'!$V$2:$V$495&lt;=1)*('CASE MASTER'!$X$2:$X$495&gt;=1))*ROW('CASE MASTER'!$T$2:$T$495))-(ROW('CASE MASTER'!#REF!)-1)))&amp;TRIM(MID(SUBSTITUTE(SUBSTITUTE(INDEX('CASE MASTER'!$N$2:$N$495,(SUMPRODUCT((('CASE MASTER'!$T$2:$T$495=5)*('CASE MASTER'!$U$2:$U$495&lt;=6)*('CASE MASTER'!$W$2:$W$495&gt;=6)*('CASE MASTER'!$V$2:$V$495&lt;=1)*('CASE MASTER'!$X$2:$X$495&gt;=1))*ROW('CASE MASTER'!$T$2:$T$495))-(ROW('CASE MASTER'!#REF!)-1))),":",","),",",REPT(" ",50)),((((6-INDEX('CASE MASTER'!$U$2:$U$495,(SUMPRODUCT((('CASE MASTER'!$T$2:$T$495=5)*('CASE MASTER'!$U$2:$U$495&lt;=6)*('CASE MASTER'!$W$2:$W$495&gt;=6)*('CASE MASTER'!$V$2:$V$495&lt;=1)*('CASE MASTER'!$X$2:$X$495&gt;=1))*ROW('CASE MASTER'!$T$2:$T$495))-(ROW('CASE MASTER'!#REF!)-1))))*(INDEX('CASE MASTER'!$X$2:$X$495,(SUMPRODUCT((('CASE MASTER'!$T$2:$T$495=5)*('CASE MASTER'!$U$2:$U$495&lt;=6)*('CASE MASTER'!$W$2:$W$495&gt;=6)*('CASE MASTER'!$V$2:$V$495&lt;=1)*('CASE MASTER'!$X$2:$X$495&gt;=1))*ROW('CASE MASTER'!$T$2:$T$495))-(ROW('CASE MASTER'!#REF!)-1)))-INDEX('CASE MASTER'!$V$2:$V$495,(SUMPRODUCT((('CASE MASTER'!$T$2:$T$495=5)*('CASE MASTER'!$U$2:$U$495&lt;=6)*('CASE MASTER'!$W$2:$W$495&gt;=6)*('CASE MASTER'!$V$2:$V$495&lt;=1)*('CASE MASTER'!$X$2:$X$495&gt;=1))*ROW('CASE MASTER'!$T$2:$T$495))-(ROW('CASE MASTER'!#REF!)-1)))+1)+(1-INDEX('CASE MASTER'!$V$2:$V$495,(SUMPRODUCT((('CASE MASTER'!$T$2:$T$495=5)*('CASE MASTER'!$U$2:$U$495&lt;=6)*('CASE MASTER'!$W$2:$W$495&gt;=6)*('CASE MASTER'!$V$2:$V$495&lt;=1)*('CASE MASTER'!$X$2:$X$495&gt;=1))*ROW('CASE MASTER'!$T$2:$T$495))-(ROW('CASE MASTER'!#REF!)-1))))+1))-1)*50+1,50))&amp;"_"&amp;INDEX('CASE MASTER'!$Q$2:$Q$495,(SUMPRODUCT((('CASE MASTER'!$T$2:$T$495=5)*('CASE MASTER'!$U$2:$U$495&lt;=6)*('CASE MASTER'!$W$2:$W$495&gt;=6)*('CASE MASTER'!$V$2:$V$495&lt;=1)*('CASE MASTER'!$X$2:$X$495&gt;=1))*ROW('CASE MASTER'!$T$2:$T$495))-(ROW('CASE MASTER'!#REF!)-1))),IF(SUMPRODUCT((('CASE MASTER'!$T$2:$T$495=5)*('CASE MASTER'!$AA$2:$AA$495&lt;=6)*('CASE MASTER'!$AC$2:$AC$495&gt;=6)*('CASE MASTER'!$AB$2:$AB$495&lt;=1)*('CASE MASTER'!$AD$2:$AD$495&gt;=1))*ROW('CASE MASTER'!$T$2:$T$495))&gt;0,INDEX('CASE MASTER'!$Y$2:$Y$495,(SUMPRODUCT((('CASE MASTER'!$T$2:$T$495=5)*('CASE MASTER'!$AA$2:$AA$495&lt;=6)*('CASE MASTER'!$AC$2:$AC$495&gt;=6)*('CASE MASTER'!$AB$2:$AB$495&lt;=1)*('CASE MASTER'!$AD$2:$AD$495&gt;=1))*ROW('CASE MASTER'!$T$2:$T$495))-(ROW('CASE MASTER'!#REF!)-1)))&amp;TRIM(MID(SUBSTITUTE(SUBSTITUTE(INDEX('CASE MASTER'!$N$2:$N$495,(SUMPRODUCT((('CASE MASTER'!$T$2:$T$495=5)*('CASE MASTER'!$AA$2:$AA$495&lt;=6)*('CASE MASTER'!$AC$2:$AC$495&gt;=6)*('CASE MASTER'!$AB$2:$AB$495&lt;=1)*('CASE MASTER'!$AD$2:$AD$495&gt;=1))*ROW('CASE MASTER'!$T$2:$T$495))-(ROW('CASE MASTER'!#REF!)-1))),":",","),",",REPT(" ",50)),(((INDEX('CASE MASTER'!$Z$2:$Z$495,(SUMPRODUCT((('CASE MASTER'!$T$2:$T$495=5)*('CASE MASTER'!$AA$2:$AA$495&lt;=6)*('CASE MASTER'!$AC$2:$AC$495&gt;=6)*('CASE MASTER'!$AB$2:$AB$495&lt;=1)*('CASE MASTER'!$AD$2:$AD$495&gt;=1))*ROW('CASE MASTER'!$T$2:$T$495))-(ROW('CASE MASTER'!#REF!)-1)))+((6-INDEX('CASE MASTER'!$AA$2:$AA$495,(SUMPRODUCT((('CASE MASTER'!$T$2:$T$495=5)*('CASE MASTER'!$AA$2:$AA$495&lt;=6)*('CASE MASTER'!$AC$2:$AC$495&gt;=6)*('CASE MASTER'!$AB$2:$AB$495&lt;=1)*('CASE MASTER'!$AD$2:$AD$495&gt;=1))*ROW('CASE MASTER'!$T$2:$T$495))-(ROW('CASE MASTER'!#REF!)-1))))*(INDEX('CASE MASTER'!$AD$2:$AD$495,(SUMPRODUCT((('CASE MASTER'!$T$2:$T$495=5)*('CASE MASTER'!$AA$2:$AA$495&lt;=6)*('CASE MASTER'!$AC$2:$AC$495&gt;=6)*('CASE MASTER'!$AB$2:$AB$495&lt;=1)*('CASE MASTER'!$AD$2:$AD$495&gt;=1))*ROW('CASE MASTER'!$T$2:$T$495))-(ROW('CASE MASTER'!#REF!)-1)))-INDEX('CASE MASTER'!$AB$2:$AB$495,(SUMPRODUCT((('CASE MASTER'!$T$2:$T$495=5)*('CASE MASTER'!$AA$2:$AA$495&lt;=6)*('CASE MASTER'!$AC$2:$AC$495&gt;=6)*('CASE MASTER'!$AB$2:$AB$495&lt;=1)*('CASE MASTER'!$AD$2:$AD$495&gt;=1))*ROW('CASE MASTER'!$T$2:$T$495))-(ROW('CASE MASTER'!#REF!)-1)))+1)+(1-INDEX('CASE MASTER'!$AB$2:$AB$495,(SUMPRODUCT((('CASE MASTER'!$T$2:$T$495=5)*('CASE MASTER'!$AA$2:$AA$495&lt;=6)*('CASE MASTER'!$AC$2:$AC$495&gt;=6)*('CASE MASTER'!$AB$2:$AB$495&lt;=1)*('CASE MASTER'!$AD$2:$AD$495&gt;=1))*ROW('CASE MASTER'!$T$2:$T$495))-(ROW('CASE MASTER'!#REF!)-1))))+1)))-1)*50+1,50))&amp;"_"&amp;INDEX('CASE MASTER'!$Q$2:$Q$495,(SUMPRODUCT((('CASE MASTER'!$T$2:$T$495=5)*('CASE MASTER'!$AA$2:$AA$495&lt;=6)*('CASE MASTER'!$AC$2:$AC$495&gt;=6)*('CASE MASTER'!$AB$2:$AB$495&lt;=1)*('CASE MASTER'!$AD$2:$AD$495&gt;=1))*ROW('CASE MASTER'!$T$2:$T$495))-(ROW('CASE MASTER'!#REF!)-1))),"")),"")</f>
        <v/>
      </c>
      <c r="C64" s="10" t="str">
        <f>IFERROR(IF(SUMPRODUCT((('CASE MASTER'!$T$2:$T$495=5)*('CASE MASTER'!$U$2:$U$495&lt;=6)*('CASE MASTER'!$W$2:$W$495&gt;=6)*('CASE MASTER'!$V$2:$V$495&lt;=2)*('CASE MASTER'!$X$2:$X$495&gt;=2))*ROW('CASE MASTER'!$T$2:$T$495))&gt;0,INDEX('CASE MASTER'!$Y$2:$Y$495,(SUMPRODUCT((('CASE MASTER'!$T$2:$T$495=5)*('CASE MASTER'!$U$2:$U$495&lt;=6)*('CASE MASTER'!$W$2:$W$495&gt;=6)*('CASE MASTER'!$V$2:$V$495&lt;=2)*('CASE MASTER'!$X$2:$X$495&gt;=2))*ROW('CASE MASTER'!$T$2:$T$495))-(ROW('CASE MASTER'!#REF!)-1)))&amp;TRIM(MID(SUBSTITUTE(SUBSTITUTE(INDEX('CASE MASTER'!$N$2:$N$495,(SUMPRODUCT((('CASE MASTER'!$T$2:$T$495=5)*('CASE MASTER'!$U$2:$U$495&lt;=6)*('CASE MASTER'!$W$2:$W$495&gt;=6)*('CASE MASTER'!$V$2:$V$495&lt;=2)*('CASE MASTER'!$X$2:$X$495&gt;=2))*ROW('CASE MASTER'!$T$2:$T$495))-(ROW('CASE MASTER'!#REF!)-1))),":",","),",",REPT(" ",50)),((((6-INDEX('CASE MASTER'!$U$2:$U$495,(SUMPRODUCT((('CASE MASTER'!$T$2:$T$495=5)*('CASE MASTER'!$U$2:$U$495&lt;=6)*('CASE MASTER'!$W$2:$W$495&gt;=6)*('CASE MASTER'!$V$2:$V$495&lt;=2)*('CASE MASTER'!$X$2:$X$495&gt;=2))*ROW('CASE MASTER'!$T$2:$T$495))-(ROW('CASE MASTER'!#REF!)-1))))*(INDEX('CASE MASTER'!$X$2:$X$495,(SUMPRODUCT((('CASE MASTER'!$T$2:$T$495=5)*('CASE MASTER'!$U$2:$U$495&lt;=6)*('CASE MASTER'!$W$2:$W$495&gt;=6)*('CASE MASTER'!$V$2:$V$495&lt;=2)*('CASE MASTER'!$X$2:$X$495&gt;=2))*ROW('CASE MASTER'!$T$2:$T$495))-(ROW('CASE MASTER'!#REF!)-1)))-INDEX('CASE MASTER'!$V$2:$V$495,(SUMPRODUCT((('CASE MASTER'!$T$2:$T$495=5)*('CASE MASTER'!$U$2:$U$495&lt;=6)*('CASE MASTER'!$W$2:$W$495&gt;=6)*('CASE MASTER'!$V$2:$V$495&lt;=2)*('CASE MASTER'!$X$2:$X$495&gt;=2))*ROW('CASE MASTER'!$T$2:$T$495))-(ROW('CASE MASTER'!#REF!)-1)))+1)+(2-INDEX('CASE MASTER'!$V$2:$V$495,(SUMPRODUCT((('CASE MASTER'!$T$2:$T$495=5)*('CASE MASTER'!$U$2:$U$495&lt;=6)*('CASE MASTER'!$W$2:$W$495&gt;=6)*('CASE MASTER'!$V$2:$V$495&lt;=2)*('CASE MASTER'!$X$2:$X$495&gt;=2))*ROW('CASE MASTER'!$T$2:$T$495))-(ROW('CASE MASTER'!#REF!)-1))))+1))-1)*50+1,50))&amp;"_"&amp;INDEX('CASE MASTER'!$Q$2:$Q$495,(SUMPRODUCT((('CASE MASTER'!$T$2:$T$495=5)*('CASE MASTER'!$U$2:$U$495&lt;=6)*('CASE MASTER'!$W$2:$W$495&gt;=6)*('CASE MASTER'!$V$2:$V$495&lt;=2)*('CASE MASTER'!$X$2:$X$495&gt;=2))*ROW('CASE MASTER'!$T$2:$T$495))-(ROW('CASE MASTER'!#REF!)-1))),IF(SUMPRODUCT((('CASE MASTER'!$T$2:$T$495=5)*('CASE MASTER'!$AA$2:$AA$495&lt;=6)*('CASE MASTER'!$AC$2:$AC$495&gt;=6)*('CASE MASTER'!$AB$2:$AB$495&lt;=2)*('CASE MASTER'!$AD$2:$AD$495&gt;=2))*ROW('CASE MASTER'!$T$2:$T$495))&gt;0,INDEX('CASE MASTER'!$Y$2:$Y$495,(SUMPRODUCT((('CASE MASTER'!$T$2:$T$495=5)*('CASE MASTER'!$AA$2:$AA$495&lt;=6)*('CASE MASTER'!$AC$2:$AC$495&gt;=6)*('CASE MASTER'!$AB$2:$AB$495&lt;=2)*('CASE MASTER'!$AD$2:$AD$495&gt;=2))*ROW('CASE MASTER'!$T$2:$T$495))-(ROW('CASE MASTER'!#REF!)-1)))&amp;TRIM(MID(SUBSTITUTE(SUBSTITUTE(INDEX('CASE MASTER'!$N$2:$N$495,(SUMPRODUCT((('CASE MASTER'!$T$2:$T$495=5)*('CASE MASTER'!$AA$2:$AA$495&lt;=6)*('CASE MASTER'!$AC$2:$AC$495&gt;=6)*('CASE MASTER'!$AB$2:$AB$495&lt;=2)*('CASE MASTER'!$AD$2:$AD$495&gt;=2))*ROW('CASE MASTER'!$T$2:$T$495))-(ROW('CASE MASTER'!#REF!)-1))),":",","),",",REPT(" ",50)),(((INDEX('CASE MASTER'!$Z$2:$Z$495,(SUMPRODUCT((('CASE MASTER'!$T$2:$T$495=5)*('CASE MASTER'!$AA$2:$AA$495&lt;=6)*('CASE MASTER'!$AC$2:$AC$495&gt;=6)*('CASE MASTER'!$AB$2:$AB$495&lt;=2)*('CASE MASTER'!$AD$2:$AD$495&gt;=2))*ROW('CASE MASTER'!$T$2:$T$495))-(ROW('CASE MASTER'!#REF!)-1)))+((6-INDEX('CASE MASTER'!$AA$2:$AA$495,(SUMPRODUCT((('CASE MASTER'!$T$2:$T$495=5)*('CASE MASTER'!$AA$2:$AA$495&lt;=6)*('CASE MASTER'!$AC$2:$AC$495&gt;=6)*('CASE MASTER'!$AB$2:$AB$495&lt;=2)*('CASE MASTER'!$AD$2:$AD$495&gt;=2))*ROW('CASE MASTER'!$T$2:$T$495))-(ROW('CASE MASTER'!#REF!)-1))))*(INDEX('CASE MASTER'!$AD$2:$AD$495,(SUMPRODUCT((('CASE MASTER'!$T$2:$T$495=5)*('CASE MASTER'!$AA$2:$AA$495&lt;=6)*('CASE MASTER'!$AC$2:$AC$495&gt;=6)*('CASE MASTER'!$AB$2:$AB$495&lt;=2)*('CASE MASTER'!$AD$2:$AD$495&gt;=2))*ROW('CASE MASTER'!$T$2:$T$495))-(ROW('CASE MASTER'!#REF!)-1)))-INDEX('CASE MASTER'!$AB$2:$AB$495,(SUMPRODUCT((('CASE MASTER'!$T$2:$T$495=5)*('CASE MASTER'!$AA$2:$AA$495&lt;=6)*('CASE MASTER'!$AC$2:$AC$495&gt;=6)*('CASE MASTER'!$AB$2:$AB$495&lt;=2)*('CASE MASTER'!$AD$2:$AD$495&gt;=2))*ROW('CASE MASTER'!$T$2:$T$495))-(ROW('CASE MASTER'!#REF!)-1)))+1)+(2-INDEX('CASE MASTER'!$AB$2:$AB$495,(SUMPRODUCT((('CASE MASTER'!$T$2:$T$495=5)*('CASE MASTER'!$AA$2:$AA$495&lt;=6)*('CASE MASTER'!$AC$2:$AC$495&gt;=6)*('CASE MASTER'!$AB$2:$AB$495&lt;=2)*('CASE MASTER'!$AD$2:$AD$495&gt;=2))*ROW('CASE MASTER'!$T$2:$T$495))-(ROW('CASE MASTER'!#REF!)-1))))+1)))-1)*50+1,50))&amp;"_"&amp;INDEX('CASE MASTER'!$Q$2:$Q$495,(SUMPRODUCT((('CASE MASTER'!$T$2:$T$495=5)*('CASE MASTER'!$AA$2:$AA$495&lt;=6)*('CASE MASTER'!$AC$2:$AC$495&gt;=6)*('CASE MASTER'!$AB$2:$AB$495&lt;=2)*('CASE MASTER'!$AD$2:$AD$495&gt;=2))*ROW('CASE MASTER'!$T$2:$T$495))-(ROW('CASE MASTER'!#REF!)-1))),"")),"")</f>
        <v/>
      </c>
      <c r="D64" s="10" t="str">
        <f>IFERROR(IF(SUMPRODUCT((('CASE MASTER'!$T$2:$T$495=5)*('CASE MASTER'!$U$2:$U$495&lt;=6)*('CASE MASTER'!$W$2:$W$495&gt;=6)*('CASE MASTER'!$V$2:$V$495&lt;=3)*('CASE MASTER'!$X$2:$X$495&gt;=3))*ROW('CASE MASTER'!$T$2:$T$495))&gt;0,INDEX('CASE MASTER'!$Y$2:$Y$495,(SUMPRODUCT((('CASE MASTER'!$T$2:$T$495=5)*('CASE MASTER'!$U$2:$U$495&lt;=6)*('CASE MASTER'!$W$2:$W$495&gt;=6)*('CASE MASTER'!$V$2:$V$495&lt;=3)*('CASE MASTER'!$X$2:$X$495&gt;=3))*ROW('CASE MASTER'!$T$2:$T$495))-(ROW('CASE MASTER'!#REF!)-1)))&amp;TRIM(MID(SUBSTITUTE(SUBSTITUTE(INDEX('CASE MASTER'!$N$2:$N$495,(SUMPRODUCT((('CASE MASTER'!$T$2:$T$495=5)*('CASE MASTER'!$U$2:$U$495&lt;=6)*('CASE MASTER'!$W$2:$W$495&gt;=6)*('CASE MASTER'!$V$2:$V$495&lt;=3)*('CASE MASTER'!$X$2:$X$495&gt;=3))*ROW('CASE MASTER'!$T$2:$T$495))-(ROW('CASE MASTER'!#REF!)-1))),":",","),",",REPT(" ",50)),((((6-INDEX('CASE MASTER'!$U$2:$U$495,(SUMPRODUCT((('CASE MASTER'!$T$2:$T$495=5)*('CASE MASTER'!$U$2:$U$495&lt;=6)*('CASE MASTER'!$W$2:$W$495&gt;=6)*('CASE MASTER'!$V$2:$V$495&lt;=3)*('CASE MASTER'!$X$2:$X$495&gt;=3))*ROW('CASE MASTER'!$T$2:$T$495))-(ROW('CASE MASTER'!#REF!)-1))))*(INDEX('CASE MASTER'!$X$2:$X$495,(SUMPRODUCT((('CASE MASTER'!$T$2:$T$495=5)*('CASE MASTER'!$U$2:$U$495&lt;=6)*('CASE MASTER'!$W$2:$W$495&gt;=6)*('CASE MASTER'!$V$2:$V$495&lt;=3)*('CASE MASTER'!$X$2:$X$495&gt;=3))*ROW('CASE MASTER'!$T$2:$T$495))-(ROW('CASE MASTER'!#REF!)-1)))-INDEX('CASE MASTER'!$V$2:$V$495,(SUMPRODUCT((('CASE MASTER'!$T$2:$T$495=5)*('CASE MASTER'!$U$2:$U$495&lt;=6)*('CASE MASTER'!$W$2:$W$495&gt;=6)*('CASE MASTER'!$V$2:$V$495&lt;=3)*('CASE MASTER'!$X$2:$X$495&gt;=3))*ROW('CASE MASTER'!$T$2:$T$495))-(ROW('CASE MASTER'!#REF!)-1)))+1)+(3-INDEX('CASE MASTER'!$V$2:$V$495,(SUMPRODUCT((('CASE MASTER'!$T$2:$T$495=5)*('CASE MASTER'!$U$2:$U$495&lt;=6)*('CASE MASTER'!$W$2:$W$495&gt;=6)*('CASE MASTER'!$V$2:$V$495&lt;=3)*('CASE MASTER'!$X$2:$X$495&gt;=3))*ROW('CASE MASTER'!$T$2:$T$495))-(ROW('CASE MASTER'!#REF!)-1))))+1))-1)*50+1,50))&amp;"_"&amp;INDEX('CASE MASTER'!$Q$2:$Q$495,(SUMPRODUCT((('CASE MASTER'!$T$2:$T$495=5)*('CASE MASTER'!$U$2:$U$495&lt;=6)*('CASE MASTER'!$W$2:$W$495&gt;=6)*('CASE MASTER'!$V$2:$V$495&lt;=3)*('CASE MASTER'!$X$2:$X$495&gt;=3))*ROW('CASE MASTER'!$T$2:$T$495))-(ROW('CASE MASTER'!#REF!)-1))),IF(SUMPRODUCT((('CASE MASTER'!$T$2:$T$495=5)*('CASE MASTER'!$AA$2:$AA$495&lt;=6)*('CASE MASTER'!$AC$2:$AC$495&gt;=6)*('CASE MASTER'!$AB$2:$AB$495&lt;=3)*('CASE MASTER'!$AD$2:$AD$495&gt;=3))*ROW('CASE MASTER'!$T$2:$T$495))&gt;0,INDEX('CASE MASTER'!$Y$2:$Y$495,(SUMPRODUCT((('CASE MASTER'!$T$2:$T$495=5)*('CASE MASTER'!$AA$2:$AA$495&lt;=6)*('CASE MASTER'!$AC$2:$AC$495&gt;=6)*('CASE MASTER'!$AB$2:$AB$495&lt;=3)*('CASE MASTER'!$AD$2:$AD$495&gt;=3))*ROW('CASE MASTER'!$T$2:$T$495))-(ROW('CASE MASTER'!#REF!)-1)))&amp;TRIM(MID(SUBSTITUTE(SUBSTITUTE(INDEX('CASE MASTER'!$N$2:$N$495,(SUMPRODUCT((('CASE MASTER'!$T$2:$T$495=5)*('CASE MASTER'!$AA$2:$AA$495&lt;=6)*('CASE MASTER'!$AC$2:$AC$495&gt;=6)*('CASE MASTER'!$AB$2:$AB$495&lt;=3)*('CASE MASTER'!$AD$2:$AD$495&gt;=3))*ROW('CASE MASTER'!$T$2:$T$495))-(ROW('CASE MASTER'!#REF!)-1))),":",","),",",REPT(" ",50)),(((INDEX('CASE MASTER'!$Z$2:$Z$495,(SUMPRODUCT((('CASE MASTER'!$T$2:$T$495=5)*('CASE MASTER'!$AA$2:$AA$495&lt;=6)*('CASE MASTER'!$AC$2:$AC$495&gt;=6)*('CASE MASTER'!$AB$2:$AB$495&lt;=3)*('CASE MASTER'!$AD$2:$AD$495&gt;=3))*ROW('CASE MASTER'!$T$2:$T$495))-(ROW('CASE MASTER'!#REF!)-1)))+((6-INDEX('CASE MASTER'!$AA$2:$AA$495,(SUMPRODUCT((('CASE MASTER'!$T$2:$T$495=5)*('CASE MASTER'!$AA$2:$AA$495&lt;=6)*('CASE MASTER'!$AC$2:$AC$495&gt;=6)*('CASE MASTER'!$AB$2:$AB$495&lt;=3)*('CASE MASTER'!$AD$2:$AD$495&gt;=3))*ROW('CASE MASTER'!$T$2:$T$495))-(ROW('CASE MASTER'!#REF!)-1))))*(INDEX('CASE MASTER'!$AD$2:$AD$495,(SUMPRODUCT((('CASE MASTER'!$T$2:$T$495=5)*('CASE MASTER'!$AA$2:$AA$495&lt;=6)*('CASE MASTER'!$AC$2:$AC$495&gt;=6)*('CASE MASTER'!$AB$2:$AB$495&lt;=3)*('CASE MASTER'!$AD$2:$AD$495&gt;=3))*ROW('CASE MASTER'!$T$2:$T$495))-(ROW('CASE MASTER'!#REF!)-1)))-INDEX('CASE MASTER'!$AB$2:$AB$495,(SUMPRODUCT((('CASE MASTER'!$T$2:$T$495=5)*('CASE MASTER'!$AA$2:$AA$495&lt;=6)*('CASE MASTER'!$AC$2:$AC$495&gt;=6)*('CASE MASTER'!$AB$2:$AB$495&lt;=3)*('CASE MASTER'!$AD$2:$AD$495&gt;=3))*ROW('CASE MASTER'!$T$2:$T$495))-(ROW('CASE MASTER'!#REF!)-1)))+1)+(3-INDEX('CASE MASTER'!$AB$2:$AB$495,(SUMPRODUCT((('CASE MASTER'!$T$2:$T$495=5)*('CASE MASTER'!$AA$2:$AA$495&lt;=6)*('CASE MASTER'!$AC$2:$AC$495&gt;=6)*('CASE MASTER'!$AB$2:$AB$495&lt;=3)*('CASE MASTER'!$AD$2:$AD$495&gt;=3))*ROW('CASE MASTER'!$T$2:$T$495))-(ROW('CASE MASTER'!#REF!)-1))))+1)))-1)*50+1,50))&amp;"_"&amp;INDEX('CASE MASTER'!$Q$2:$Q$495,(SUMPRODUCT((('CASE MASTER'!$T$2:$T$495=5)*('CASE MASTER'!$AA$2:$AA$495&lt;=6)*('CASE MASTER'!$AC$2:$AC$495&gt;=6)*('CASE MASTER'!$AB$2:$AB$495&lt;=3)*('CASE MASTER'!$AD$2:$AD$495&gt;=3))*ROW('CASE MASTER'!$T$2:$T$495))-(ROW('CASE MASTER'!#REF!)-1))),"")),"")</f>
        <v/>
      </c>
      <c r="E64" s="10" t="str">
        <f>IFERROR(IF(SUMPRODUCT((('CASE MASTER'!$T$2:$T$495=5)*('CASE MASTER'!$U$2:$U$495&lt;=6)*('CASE MASTER'!$W$2:$W$495&gt;=6)*('CASE MASTER'!$V$2:$V$495&lt;=4)*('CASE MASTER'!$X$2:$X$495&gt;=4))*ROW('CASE MASTER'!$T$2:$T$495))&gt;0,INDEX('CASE MASTER'!$Y$2:$Y$495,(SUMPRODUCT((('CASE MASTER'!$T$2:$T$495=5)*('CASE MASTER'!$U$2:$U$495&lt;=6)*('CASE MASTER'!$W$2:$W$495&gt;=6)*('CASE MASTER'!$V$2:$V$495&lt;=4)*('CASE MASTER'!$X$2:$X$495&gt;=4))*ROW('CASE MASTER'!$T$2:$T$495))-(ROW('CASE MASTER'!#REF!)-1)))&amp;TRIM(MID(SUBSTITUTE(SUBSTITUTE(INDEX('CASE MASTER'!$N$2:$N$495,(SUMPRODUCT((('CASE MASTER'!$T$2:$T$495=5)*('CASE MASTER'!$U$2:$U$495&lt;=6)*('CASE MASTER'!$W$2:$W$495&gt;=6)*('CASE MASTER'!$V$2:$V$495&lt;=4)*('CASE MASTER'!$X$2:$X$495&gt;=4))*ROW('CASE MASTER'!$T$2:$T$495))-(ROW('CASE MASTER'!#REF!)-1))),":",","),",",REPT(" ",50)),((((6-INDEX('CASE MASTER'!$U$2:$U$495,(SUMPRODUCT((('CASE MASTER'!$T$2:$T$495=5)*('CASE MASTER'!$U$2:$U$495&lt;=6)*('CASE MASTER'!$W$2:$W$495&gt;=6)*('CASE MASTER'!$V$2:$V$495&lt;=4)*('CASE MASTER'!$X$2:$X$495&gt;=4))*ROW('CASE MASTER'!$T$2:$T$495))-(ROW('CASE MASTER'!#REF!)-1))))*(INDEX('CASE MASTER'!$X$2:$X$495,(SUMPRODUCT((('CASE MASTER'!$T$2:$T$495=5)*('CASE MASTER'!$U$2:$U$495&lt;=6)*('CASE MASTER'!$W$2:$W$495&gt;=6)*('CASE MASTER'!$V$2:$V$495&lt;=4)*('CASE MASTER'!$X$2:$X$495&gt;=4))*ROW('CASE MASTER'!$T$2:$T$495))-(ROW('CASE MASTER'!#REF!)-1)))-INDEX('CASE MASTER'!$V$2:$V$495,(SUMPRODUCT((('CASE MASTER'!$T$2:$T$495=5)*('CASE MASTER'!$U$2:$U$495&lt;=6)*('CASE MASTER'!$W$2:$W$495&gt;=6)*('CASE MASTER'!$V$2:$V$495&lt;=4)*('CASE MASTER'!$X$2:$X$495&gt;=4))*ROW('CASE MASTER'!$T$2:$T$495))-(ROW('CASE MASTER'!#REF!)-1)))+1)+(4-INDEX('CASE MASTER'!$V$2:$V$495,(SUMPRODUCT((('CASE MASTER'!$T$2:$T$495=5)*('CASE MASTER'!$U$2:$U$495&lt;=6)*('CASE MASTER'!$W$2:$W$495&gt;=6)*('CASE MASTER'!$V$2:$V$495&lt;=4)*('CASE MASTER'!$X$2:$X$495&gt;=4))*ROW('CASE MASTER'!$T$2:$T$495))-(ROW('CASE MASTER'!#REF!)-1))))+1))-1)*50+1,50))&amp;"_"&amp;INDEX('CASE MASTER'!$Q$2:$Q$495,(SUMPRODUCT((('CASE MASTER'!$T$2:$T$495=5)*('CASE MASTER'!$U$2:$U$495&lt;=6)*('CASE MASTER'!$W$2:$W$495&gt;=6)*('CASE MASTER'!$V$2:$V$495&lt;=4)*('CASE MASTER'!$X$2:$X$495&gt;=4))*ROW('CASE MASTER'!$T$2:$T$495))-(ROW('CASE MASTER'!#REF!)-1))),IF(SUMPRODUCT((('CASE MASTER'!$T$2:$T$495=5)*('CASE MASTER'!$AA$2:$AA$495&lt;=6)*('CASE MASTER'!$AC$2:$AC$495&gt;=6)*('CASE MASTER'!$AB$2:$AB$495&lt;=4)*('CASE MASTER'!$AD$2:$AD$495&gt;=4))*ROW('CASE MASTER'!$T$2:$T$495))&gt;0,INDEX('CASE MASTER'!$Y$2:$Y$495,(SUMPRODUCT((('CASE MASTER'!$T$2:$T$495=5)*('CASE MASTER'!$AA$2:$AA$495&lt;=6)*('CASE MASTER'!$AC$2:$AC$495&gt;=6)*('CASE MASTER'!$AB$2:$AB$495&lt;=4)*('CASE MASTER'!$AD$2:$AD$495&gt;=4))*ROW('CASE MASTER'!$T$2:$T$495))-(ROW('CASE MASTER'!#REF!)-1)))&amp;TRIM(MID(SUBSTITUTE(SUBSTITUTE(INDEX('CASE MASTER'!$N$2:$N$495,(SUMPRODUCT((('CASE MASTER'!$T$2:$T$495=5)*('CASE MASTER'!$AA$2:$AA$495&lt;=6)*('CASE MASTER'!$AC$2:$AC$495&gt;=6)*('CASE MASTER'!$AB$2:$AB$495&lt;=4)*('CASE MASTER'!$AD$2:$AD$495&gt;=4))*ROW('CASE MASTER'!$T$2:$T$495))-(ROW('CASE MASTER'!#REF!)-1))),":",","),",",REPT(" ",50)),(((INDEX('CASE MASTER'!$Z$2:$Z$495,(SUMPRODUCT((('CASE MASTER'!$T$2:$T$495=5)*('CASE MASTER'!$AA$2:$AA$495&lt;=6)*('CASE MASTER'!$AC$2:$AC$495&gt;=6)*('CASE MASTER'!$AB$2:$AB$495&lt;=4)*('CASE MASTER'!$AD$2:$AD$495&gt;=4))*ROW('CASE MASTER'!$T$2:$T$495))-(ROW('CASE MASTER'!#REF!)-1)))+((6-INDEX('CASE MASTER'!$AA$2:$AA$495,(SUMPRODUCT((('CASE MASTER'!$T$2:$T$495=5)*('CASE MASTER'!$AA$2:$AA$495&lt;=6)*('CASE MASTER'!$AC$2:$AC$495&gt;=6)*('CASE MASTER'!$AB$2:$AB$495&lt;=4)*('CASE MASTER'!$AD$2:$AD$495&gt;=4))*ROW('CASE MASTER'!$T$2:$T$495))-(ROW('CASE MASTER'!#REF!)-1))))*(INDEX('CASE MASTER'!$AD$2:$AD$495,(SUMPRODUCT((('CASE MASTER'!$T$2:$T$495=5)*('CASE MASTER'!$AA$2:$AA$495&lt;=6)*('CASE MASTER'!$AC$2:$AC$495&gt;=6)*('CASE MASTER'!$AB$2:$AB$495&lt;=4)*('CASE MASTER'!$AD$2:$AD$495&gt;=4))*ROW('CASE MASTER'!$T$2:$T$495))-(ROW('CASE MASTER'!#REF!)-1)))-INDEX('CASE MASTER'!$AB$2:$AB$495,(SUMPRODUCT((('CASE MASTER'!$T$2:$T$495=5)*('CASE MASTER'!$AA$2:$AA$495&lt;=6)*('CASE MASTER'!$AC$2:$AC$495&gt;=6)*('CASE MASTER'!$AB$2:$AB$495&lt;=4)*('CASE MASTER'!$AD$2:$AD$495&gt;=4))*ROW('CASE MASTER'!$T$2:$T$495))-(ROW('CASE MASTER'!#REF!)-1)))+1)+(4-INDEX('CASE MASTER'!$AB$2:$AB$495,(SUMPRODUCT((('CASE MASTER'!$T$2:$T$495=5)*('CASE MASTER'!$AA$2:$AA$495&lt;=6)*('CASE MASTER'!$AC$2:$AC$495&gt;=6)*('CASE MASTER'!$AB$2:$AB$495&lt;=4)*('CASE MASTER'!$AD$2:$AD$495&gt;=4))*ROW('CASE MASTER'!$T$2:$T$495))-(ROW('CASE MASTER'!#REF!)-1))))+1)))-1)*50+1,50))&amp;"_"&amp;INDEX('CASE MASTER'!$Q$2:$Q$495,(SUMPRODUCT((('CASE MASTER'!$T$2:$T$495=5)*('CASE MASTER'!$AA$2:$AA$495&lt;=6)*('CASE MASTER'!$AC$2:$AC$495&gt;=6)*('CASE MASTER'!$AB$2:$AB$495&lt;=4)*('CASE MASTER'!$AD$2:$AD$495&gt;=4))*ROW('CASE MASTER'!$T$2:$T$495))-(ROW('CASE MASTER'!#REF!)-1))),"")),"")</f>
        <v/>
      </c>
      <c r="F64" s="10" t="str">
        <f>IFERROR(IF(SUMPRODUCT((('CASE MASTER'!$T$2:$T$495=5)*('CASE MASTER'!$U$2:$U$495&lt;=6)*('CASE MASTER'!$W$2:$W$495&gt;=6)*('CASE MASTER'!$V$2:$V$495&lt;=5)*('CASE MASTER'!$X$2:$X$495&gt;=5))*ROW('CASE MASTER'!$T$2:$T$495))&gt;0,INDEX('CASE MASTER'!$Y$2:$Y$495,(SUMPRODUCT((('CASE MASTER'!$T$2:$T$495=5)*('CASE MASTER'!$U$2:$U$495&lt;=6)*('CASE MASTER'!$W$2:$W$495&gt;=6)*('CASE MASTER'!$V$2:$V$495&lt;=5)*('CASE MASTER'!$X$2:$X$495&gt;=5))*ROW('CASE MASTER'!$T$2:$T$495))-(ROW('CASE MASTER'!#REF!)-1)))&amp;TRIM(MID(SUBSTITUTE(SUBSTITUTE(INDEX('CASE MASTER'!$N$2:$N$495,(SUMPRODUCT((('CASE MASTER'!$T$2:$T$495=5)*('CASE MASTER'!$U$2:$U$495&lt;=6)*('CASE MASTER'!$W$2:$W$495&gt;=6)*('CASE MASTER'!$V$2:$V$495&lt;=5)*('CASE MASTER'!$X$2:$X$495&gt;=5))*ROW('CASE MASTER'!$T$2:$T$495))-(ROW('CASE MASTER'!#REF!)-1))),":",","),",",REPT(" ",50)),((((6-INDEX('CASE MASTER'!$U$2:$U$495,(SUMPRODUCT((('CASE MASTER'!$T$2:$T$495=5)*('CASE MASTER'!$U$2:$U$495&lt;=6)*('CASE MASTER'!$W$2:$W$495&gt;=6)*('CASE MASTER'!$V$2:$V$495&lt;=5)*('CASE MASTER'!$X$2:$X$495&gt;=5))*ROW('CASE MASTER'!$T$2:$T$495))-(ROW('CASE MASTER'!#REF!)-1))))*(INDEX('CASE MASTER'!$X$2:$X$495,(SUMPRODUCT((('CASE MASTER'!$T$2:$T$495=5)*('CASE MASTER'!$U$2:$U$495&lt;=6)*('CASE MASTER'!$W$2:$W$495&gt;=6)*('CASE MASTER'!$V$2:$V$495&lt;=5)*('CASE MASTER'!$X$2:$X$495&gt;=5))*ROW('CASE MASTER'!$T$2:$T$495))-(ROW('CASE MASTER'!#REF!)-1)))-INDEX('CASE MASTER'!$V$2:$V$495,(SUMPRODUCT((('CASE MASTER'!$T$2:$T$495=5)*('CASE MASTER'!$U$2:$U$495&lt;=6)*('CASE MASTER'!$W$2:$W$495&gt;=6)*('CASE MASTER'!$V$2:$V$495&lt;=5)*('CASE MASTER'!$X$2:$X$495&gt;=5))*ROW('CASE MASTER'!$T$2:$T$495))-(ROW('CASE MASTER'!#REF!)-1)))+1)+(5-INDEX('CASE MASTER'!$V$2:$V$495,(SUMPRODUCT((('CASE MASTER'!$T$2:$T$495=5)*('CASE MASTER'!$U$2:$U$495&lt;=6)*('CASE MASTER'!$W$2:$W$495&gt;=6)*('CASE MASTER'!$V$2:$V$495&lt;=5)*('CASE MASTER'!$X$2:$X$495&gt;=5))*ROW('CASE MASTER'!$T$2:$T$495))-(ROW('CASE MASTER'!#REF!)-1))))+1))-1)*50+1,50))&amp;"_"&amp;INDEX('CASE MASTER'!$Q$2:$Q$495,(SUMPRODUCT((('CASE MASTER'!$T$2:$T$495=5)*('CASE MASTER'!$U$2:$U$495&lt;=6)*('CASE MASTER'!$W$2:$W$495&gt;=6)*('CASE MASTER'!$V$2:$V$495&lt;=5)*('CASE MASTER'!$X$2:$X$495&gt;=5))*ROW('CASE MASTER'!$T$2:$T$495))-(ROW('CASE MASTER'!#REF!)-1))),IF(SUMPRODUCT((('CASE MASTER'!$T$2:$T$495=5)*('CASE MASTER'!$AA$2:$AA$495&lt;=6)*('CASE MASTER'!$AC$2:$AC$495&gt;=6)*('CASE MASTER'!$AB$2:$AB$495&lt;=5)*('CASE MASTER'!$AD$2:$AD$495&gt;=5))*ROW('CASE MASTER'!$T$2:$T$495))&gt;0,INDEX('CASE MASTER'!$Y$2:$Y$495,(SUMPRODUCT((('CASE MASTER'!$T$2:$T$495=5)*('CASE MASTER'!$AA$2:$AA$495&lt;=6)*('CASE MASTER'!$AC$2:$AC$495&gt;=6)*('CASE MASTER'!$AB$2:$AB$495&lt;=5)*('CASE MASTER'!$AD$2:$AD$495&gt;=5))*ROW('CASE MASTER'!$T$2:$T$495))-(ROW('CASE MASTER'!#REF!)-1)))&amp;TRIM(MID(SUBSTITUTE(SUBSTITUTE(INDEX('CASE MASTER'!$N$2:$N$495,(SUMPRODUCT((('CASE MASTER'!$T$2:$T$495=5)*('CASE MASTER'!$AA$2:$AA$495&lt;=6)*('CASE MASTER'!$AC$2:$AC$495&gt;=6)*('CASE MASTER'!$AB$2:$AB$495&lt;=5)*('CASE MASTER'!$AD$2:$AD$495&gt;=5))*ROW('CASE MASTER'!$T$2:$T$495))-(ROW('CASE MASTER'!#REF!)-1))),":",","),",",REPT(" ",50)),(((INDEX('CASE MASTER'!$Z$2:$Z$495,(SUMPRODUCT((('CASE MASTER'!$T$2:$T$495=5)*('CASE MASTER'!$AA$2:$AA$495&lt;=6)*('CASE MASTER'!$AC$2:$AC$495&gt;=6)*('CASE MASTER'!$AB$2:$AB$495&lt;=5)*('CASE MASTER'!$AD$2:$AD$495&gt;=5))*ROW('CASE MASTER'!$T$2:$T$495))-(ROW('CASE MASTER'!#REF!)-1)))+((6-INDEX('CASE MASTER'!$AA$2:$AA$495,(SUMPRODUCT((('CASE MASTER'!$T$2:$T$495=5)*('CASE MASTER'!$AA$2:$AA$495&lt;=6)*('CASE MASTER'!$AC$2:$AC$495&gt;=6)*('CASE MASTER'!$AB$2:$AB$495&lt;=5)*('CASE MASTER'!$AD$2:$AD$495&gt;=5))*ROW('CASE MASTER'!$T$2:$T$495))-(ROW('CASE MASTER'!#REF!)-1))))*(INDEX('CASE MASTER'!$AD$2:$AD$495,(SUMPRODUCT((('CASE MASTER'!$T$2:$T$495=5)*('CASE MASTER'!$AA$2:$AA$495&lt;=6)*('CASE MASTER'!$AC$2:$AC$495&gt;=6)*('CASE MASTER'!$AB$2:$AB$495&lt;=5)*('CASE MASTER'!$AD$2:$AD$495&gt;=5))*ROW('CASE MASTER'!$T$2:$T$495))-(ROW('CASE MASTER'!#REF!)-1)))-INDEX('CASE MASTER'!$AB$2:$AB$495,(SUMPRODUCT((('CASE MASTER'!$T$2:$T$495=5)*('CASE MASTER'!$AA$2:$AA$495&lt;=6)*('CASE MASTER'!$AC$2:$AC$495&gt;=6)*('CASE MASTER'!$AB$2:$AB$495&lt;=5)*('CASE MASTER'!$AD$2:$AD$495&gt;=5))*ROW('CASE MASTER'!$T$2:$T$495))-(ROW('CASE MASTER'!#REF!)-1)))+1)+(5-INDEX('CASE MASTER'!$AB$2:$AB$495,(SUMPRODUCT((('CASE MASTER'!$T$2:$T$495=5)*('CASE MASTER'!$AA$2:$AA$495&lt;=6)*('CASE MASTER'!$AC$2:$AC$495&gt;=6)*('CASE MASTER'!$AB$2:$AB$495&lt;=5)*('CASE MASTER'!$AD$2:$AD$495&gt;=5))*ROW('CASE MASTER'!$T$2:$T$495))-(ROW('CASE MASTER'!#REF!)-1))))+1)))-1)*50+1,50))&amp;"_"&amp;INDEX('CASE MASTER'!$Q$2:$Q$495,(SUMPRODUCT((('CASE MASTER'!$T$2:$T$495=5)*('CASE MASTER'!$AA$2:$AA$495&lt;=6)*('CASE MASTER'!$AC$2:$AC$495&gt;=6)*('CASE MASTER'!$AB$2:$AB$495&lt;=5)*('CASE MASTER'!$AD$2:$AD$495&gt;=5))*ROW('CASE MASTER'!$T$2:$T$495))-(ROW('CASE MASTER'!#REF!)-1))),"")),"")</f>
        <v/>
      </c>
      <c r="G64" s="10" t="str">
        <f>IFERROR(IF(SUMPRODUCT((('CASE MASTER'!$T$2:$T$495=5)*('CASE MASTER'!$U$2:$U$495&lt;=6)*('CASE MASTER'!$W$2:$W$495&gt;=6)*('CASE MASTER'!$V$2:$V$495&lt;=6)*('CASE MASTER'!$X$2:$X$495&gt;=6))*ROW('CASE MASTER'!$T$2:$T$495))&gt;0,INDEX('CASE MASTER'!$Y$2:$Y$495,(SUMPRODUCT((('CASE MASTER'!$T$2:$T$495=5)*('CASE MASTER'!$U$2:$U$495&lt;=6)*('CASE MASTER'!$W$2:$W$495&gt;=6)*('CASE MASTER'!$V$2:$V$495&lt;=6)*('CASE MASTER'!$X$2:$X$495&gt;=6))*ROW('CASE MASTER'!$T$2:$T$495))-(ROW('CASE MASTER'!#REF!)-1)))&amp;TRIM(MID(SUBSTITUTE(SUBSTITUTE(INDEX('CASE MASTER'!$N$2:$N$495,(SUMPRODUCT((('CASE MASTER'!$T$2:$T$495=5)*('CASE MASTER'!$U$2:$U$495&lt;=6)*('CASE MASTER'!$W$2:$W$495&gt;=6)*('CASE MASTER'!$V$2:$V$495&lt;=6)*('CASE MASTER'!$X$2:$X$495&gt;=6))*ROW('CASE MASTER'!$T$2:$T$495))-(ROW('CASE MASTER'!#REF!)-1))),":",","),",",REPT(" ",50)),((((6-INDEX('CASE MASTER'!$U$2:$U$495,(SUMPRODUCT((('CASE MASTER'!$T$2:$T$495=5)*('CASE MASTER'!$U$2:$U$495&lt;=6)*('CASE MASTER'!$W$2:$W$495&gt;=6)*('CASE MASTER'!$V$2:$V$495&lt;=6)*('CASE MASTER'!$X$2:$X$495&gt;=6))*ROW('CASE MASTER'!$T$2:$T$495))-(ROW('CASE MASTER'!#REF!)-1))))*(INDEX('CASE MASTER'!$X$2:$X$495,(SUMPRODUCT((('CASE MASTER'!$T$2:$T$495=5)*('CASE MASTER'!$U$2:$U$495&lt;=6)*('CASE MASTER'!$W$2:$W$495&gt;=6)*('CASE MASTER'!$V$2:$V$495&lt;=6)*('CASE MASTER'!$X$2:$X$495&gt;=6))*ROW('CASE MASTER'!$T$2:$T$495))-(ROW('CASE MASTER'!#REF!)-1)))-INDEX('CASE MASTER'!$V$2:$V$495,(SUMPRODUCT((('CASE MASTER'!$T$2:$T$495=5)*('CASE MASTER'!$U$2:$U$495&lt;=6)*('CASE MASTER'!$W$2:$W$495&gt;=6)*('CASE MASTER'!$V$2:$V$495&lt;=6)*('CASE MASTER'!$X$2:$X$495&gt;=6))*ROW('CASE MASTER'!$T$2:$T$495))-(ROW('CASE MASTER'!#REF!)-1)))+1)+(6-INDEX('CASE MASTER'!$V$2:$V$495,(SUMPRODUCT((('CASE MASTER'!$T$2:$T$495=5)*('CASE MASTER'!$U$2:$U$495&lt;=6)*('CASE MASTER'!$W$2:$W$495&gt;=6)*('CASE MASTER'!$V$2:$V$495&lt;=6)*('CASE MASTER'!$X$2:$X$495&gt;=6))*ROW('CASE MASTER'!$T$2:$T$495))-(ROW('CASE MASTER'!#REF!)-1))))+1))-1)*50+1,50))&amp;"_"&amp;INDEX('CASE MASTER'!$Q$2:$Q$495,(SUMPRODUCT((('CASE MASTER'!$T$2:$T$495=5)*('CASE MASTER'!$U$2:$U$495&lt;=6)*('CASE MASTER'!$W$2:$W$495&gt;=6)*('CASE MASTER'!$V$2:$V$495&lt;=6)*('CASE MASTER'!$X$2:$X$495&gt;=6))*ROW('CASE MASTER'!$T$2:$T$495))-(ROW('CASE MASTER'!#REF!)-1))),IF(SUMPRODUCT((('CASE MASTER'!$T$2:$T$495=5)*('CASE MASTER'!$AA$2:$AA$495&lt;=6)*('CASE MASTER'!$AC$2:$AC$495&gt;=6)*('CASE MASTER'!$AB$2:$AB$495&lt;=6)*('CASE MASTER'!$AD$2:$AD$495&gt;=6))*ROW('CASE MASTER'!$T$2:$T$495))&gt;0,INDEX('CASE MASTER'!$Y$2:$Y$495,(SUMPRODUCT((('CASE MASTER'!$T$2:$T$495=5)*('CASE MASTER'!$AA$2:$AA$495&lt;=6)*('CASE MASTER'!$AC$2:$AC$495&gt;=6)*('CASE MASTER'!$AB$2:$AB$495&lt;=6)*('CASE MASTER'!$AD$2:$AD$495&gt;=6))*ROW('CASE MASTER'!$T$2:$T$495))-(ROW('CASE MASTER'!#REF!)-1)))&amp;TRIM(MID(SUBSTITUTE(SUBSTITUTE(INDEX('CASE MASTER'!$N$2:$N$495,(SUMPRODUCT((('CASE MASTER'!$T$2:$T$495=5)*('CASE MASTER'!$AA$2:$AA$495&lt;=6)*('CASE MASTER'!$AC$2:$AC$495&gt;=6)*('CASE MASTER'!$AB$2:$AB$495&lt;=6)*('CASE MASTER'!$AD$2:$AD$495&gt;=6))*ROW('CASE MASTER'!$T$2:$T$495))-(ROW('CASE MASTER'!#REF!)-1))),":",","),",",REPT(" ",50)),(((INDEX('CASE MASTER'!$Z$2:$Z$495,(SUMPRODUCT((('CASE MASTER'!$T$2:$T$495=5)*('CASE MASTER'!$AA$2:$AA$495&lt;=6)*('CASE MASTER'!$AC$2:$AC$495&gt;=6)*('CASE MASTER'!$AB$2:$AB$495&lt;=6)*('CASE MASTER'!$AD$2:$AD$495&gt;=6))*ROW('CASE MASTER'!$T$2:$T$495))-(ROW('CASE MASTER'!#REF!)-1)))+((6-INDEX('CASE MASTER'!$AA$2:$AA$495,(SUMPRODUCT((('CASE MASTER'!$T$2:$T$495=5)*('CASE MASTER'!$AA$2:$AA$495&lt;=6)*('CASE MASTER'!$AC$2:$AC$495&gt;=6)*('CASE MASTER'!$AB$2:$AB$495&lt;=6)*('CASE MASTER'!$AD$2:$AD$495&gt;=6))*ROW('CASE MASTER'!$T$2:$T$495))-(ROW('CASE MASTER'!#REF!)-1))))*(INDEX('CASE MASTER'!$AD$2:$AD$495,(SUMPRODUCT((('CASE MASTER'!$T$2:$T$495=5)*('CASE MASTER'!$AA$2:$AA$495&lt;=6)*('CASE MASTER'!$AC$2:$AC$495&gt;=6)*('CASE MASTER'!$AB$2:$AB$495&lt;=6)*('CASE MASTER'!$AD$2:$AD$495&gt;=6))*ROW('CASE MASTER'!$T$2:$T$495))-(ROW('CASE MASTER'!#REF!)-1)))-INDEX('CASE MASTER'!$AB$2:$AB$495,(SUMPRODUCT((('CASE MASTER'!$T$2:$T$495=5)*('CASE MASTER'!$AA$2:$AA$495&lt;=6)*('CASE MASTER'!$AC$2:$AC$495&gt;=6)*('CASE MASTER'!$AB$2:$AB$495&lt;=6)*('CASE MASTER'!$AD$2:$AD$495&gt;=6))*ROW('CASE MASTER'!$T$2:$T$495))-(ROW('CASE MASTER'!#REF!)-1)))+1)+(6-INDEX('CASE MASTER'!$AB$2:$AB$495,(SUMPRODUCT((('CASE MASTER'!$T$2:$T$495=5)*('CASE MASTER'!$AA$2:$AA$495&lt;=6)*('CASE MASTER'!$AC$2:$AC$495&gt;=6)*('CASE MASTER'!$AB$2:$AB$495&lt;=6)*('CASE MASTER'!$AD$2:$AD$495&gt;=6))*ROW('CASE MASTER'!$T$2:$T$495))-(ROW('CASE MASTER'!#REF!)-1))))+1)))-1)*50+1,50))&amp;"_"&amp;INDEX('CASE MASTER'!$Q$2:$Q$495,(SUMPRODUCT((('CASE MASTER'!$T$2:$T$495=5)*('CASE MASTER'!$AA$2:$AA$495&lt;=6)*('CASE MASTER'!$AC$2:$AC$495&gt;=6)*('CASE MASTER'!$AB$2:$AB$495&lt;=6)*('CASE MASTER'!$AD$2:$AD$495&gt;=6))*ROW('CASE MASTER'!$T$2:$T$495))-(ROW('CASE MASTER'!#REF!)-1))),"")),"")</f>
        <v/>
      </c>
      <c r="H64" s="10" t="str">
        <f>IFERROR(IF(SUMPRODUCT((('CASE MASTER'!$T$2:$T$495=5)*('CASE MASTER'!$U$2:$U$495&lt;=6)*('CASE MASTER'!$W$2:$W$495&gt;=6)*('CASE MASTER'!$V$2:$V$495&lt;=7)*('CASE MASTER'!$X$2:$X$495&gt;=7))*ROW('CASE MASTER'!$T$2:$T$495))&gt;0,INDEX('CASE MASTER'!$Y$2:$Y$495,(SUMPRODUCT((('CASE MASTER'!$T$2:$T$495=5)*('CASE MASTER'!$U$2:$U$495&lt;=6)*('CASE MASTER'!$W$2:$W$495&gt;=6)*('CASE MASTER'!$V$2:$V$495&lt;=7)*('CASE MASTER'!$X$2:$X$495&gt;=7))*ROW('CASE MASTER'!$T$2:$T$495))-(ROW('CASE MASTER'!#REF!)-1)))&amp;TRIM(MID(SUBSTITUTE(SUBSTITUTE(INDEX('CASE MASTER'!$N$2:$N$495,(SUMPRODUCT((('CASE MASTER'!$T$2:$T$495=5)*('CASE MASTER'!$U$2:$U$495&lt;=6)*('CASE MASTER'!$W$2:$W$495&gt;=6)*('CASE MASTER'!$V$2:$V$495&lt;=7)*('CASE MASTER'!$X$2:$X$495&gt;=7))*ROW('CASE MASTER'!$T$2:$T$495))-(ROW('CASE MASTER'!#REF!)-1))),":",","),",",REPT(" ",50)),((((6-INDEX('CASE MASTER'!$U$2:$U$495,(SUMPRODUCT((('CASE MASTER'!$T$2:$T$495=5)*('CASE MASTER'!$U$2:$U$495&lt;=6)*('CASE MASTER'!$W$2:$W$495&gt;=6)*('CASE MASTER'!$V$2:$V$495&lt;=7)*('CASE MASTER'!$X$2:$X$495&gt;=7))*ROW('CASE MASTER'!$T$2:$T$495))-(ROW('CASE MASTER'!#REF!)-1))))*(INDEX('CASE MASTER'!$X$2:$X$495,(SUMPRODUCT((('CASE MASTER'!$T$2:$T$495=5)*('CASE MASTER'!$U$2:$U$495&lt;=6)*('CASE MASTER'!$W$2:$W$495&gt;=6)*('CASE MASTER'!$V$2:$V$495&lt;=7)*('CASE MASTER'!$X$2:$X$495&gt;=7))*ROW('CASE MASTER'!$T$2:$T$495))-(ROW('CASE MASTER'!#REF!)-1)))-INDEX('CASE MASTER'!$V$2:$V$495,(SUMPRODUCT((('CASE MASTER'!$T$2:$T$495=5)*('CASE MASTER'!$U$2:$U$495&lt;=6)*('CASE MASTER'!$W$2:$W$495&gt;=6)*('CASE MASTER'!$V$2:$V$495&lt;=7)*('CASE MASTER'!$X$2:$X$495&gt;=7))*ROW('CASE MASTER'!$T$2:$T$495))-(ROW('CASE MASTER'!#REF!)-1)))+1)+(7-INDEX('CASE MASTER'!$V$2:$V$495,(SUMPRODUCT((('CASE MASTER'!$T$2:$T$495=5)*('CASE MASTER'!$U$2:$U$495&lt;=6)*('CASE MASTER'!$W$2:$W$495&gt;=6)*('CASE MASTER'!$V$2:$V$495&lt;=7)*('CASE MASTER'!$X$2:$X$495&gt;=7))*ROW('CASE MASTER'!$T$2:$T$495))-(ROW('CASE MASTER'!#REF!)-1))))+1))-1)*50+1,50))&amp;"_"&amp;INDEX('CASE MASTER'!$Q$2:$Q$495,(SUMPRODUCT((('CASE MASTER'!$T$2:$T$495=5)*('CASE MASTER'!$U$2:$U$495&lt;=6)*('CASE MASTER'!$W$2:$W$495&gt;=6)*('CASE MASTER'!$V$2:$V$495&lt;=7)*('CASE MASTER'!$X$2:$X$495&gt;=7))*ROW('CASE MASTER'!$T$2:$T$495))-(ROW('CASE MASTER'!#REF!)-1))),IF(SUMPRODUCT((('CASE MASTER'!$T$2:$T$495=5)*('CASE MASTER'!$AA$2:$AA$495&lt;=6)*('CASE MASTER'!$AC$2:$AC$495&gt;=6)*('CASE MASTER'!$AB$2:$AB$495&lt;=7)*('CASE MASTER'!$AD$2:$AD$495&gt;=7))*ROW('CASE MASTER'!$T$2:$T$495))&gt;0,INDEX('CASE MASTER'!$Y$2:$Y$495,(SUMPRODUCT((('CASE MASTER'!$T$2:$T$495=5)*('CASE MASTER'!$AA$2:$AA$495&lt;=6)*('CASE MASTER'!$AC$2:$AC$495&gt;=6)*('CASE MASTER'!$AB$2:$AB$495&lt;=7)*('CASE MASTER'!$AD$2:$AD$495&gt;=7))*ROW('CASE MASTER'!$T$2:$T$495))-(ROW('CASE MASTER'!#REF!)-1)))&amp;TRIM(MID(SUBSTITUTE(SUBSTITUTE(INDEX('CASE MASTER'!$N$2:$N$495,(SUMPRODUCT((('CASE MASTER'!$T$2:$T$495=5)*('CASE MASTER'!$AA$2:$AA$495&lt;=6)*('CASE MASTER'!$AC$2:$AC$495&gt;=6)*('CASE MASTER'!$AB$2:$AB$495&lt;=7)*('CASE MASTER'!$AD$2:$AD$495&gt;=7))*ROW('CASE MASTER'!$T$2:$T$495))-(ROW('CASE MASTER'!#REF!)-1))),":",","),",",REPT(" ",50)),(((INDEX('CASE MASTER'!$Z$2:$Z$495,(SUMPRODUCT((('CASE MASTER'!$T$2:$T$495=5)*('CASE MASTER'!$AA$2:$AA$495&lt;=6)*('CASE MASTER'!$AC$2:$AC$495&gt;=6)*('CASE MASTER'!$AB$2:$AB$495&lt;=7)*('CASE MASTER'!$AD$2:$AD$495&gt;=7))*ROW('CASE MASTER'!$T$2:$T$495))-(ROW('CASE MASTER'!#REF!)-1)))+((6-INDEX('CASE MASTER'!$AA$2:$AA$495,(SUMPRODUCT((('CASE MASTER'!$T$2:$T$495=5)*('CASE MASTER'!$AA$2:$AA$495&lt;=6)*('CASE MASTER'!$AC$2:$AC$495&gt;=6)*('CASE MASTER'!$AB$2:$AB$495&lt;=7)*('CASE MASTER'!$AD$2:$AD$495&gt;=7))*ROW('CASE MASTER'!$T$2:$T$495))-(ROW('CASE MASTER'!#REF!)-1))))*(INDEX('CASE MASTER'!$AD$2:$AD$495,(SUMPRODUCT((('CASE MASTER'!$T$2:$T$495=5)*('CASE MASTER'!$AA$2:$AA$495&lt;=6)*('CASE MASTER'!$AC$2:$AC$495&gt;=6)*('CASE MASTER'!$AB$2:$AB$495&lt;=7)*('CASE MASTER'!$AD$2:$AD$495&gt;=7))*ROW('CASE MASTER'!$T$2:$T$495))-(ROW('CASE MASTER'!#REF!)-1)))-INDEX('CASE MASTER'!$AB$2:$AB$495,(SUMPRODUCT((('CASE MASTER'!$T$2:$T$495=5)*('CASE MASTER'!$AA$2:$AA$495&lt;=6)*('CASE MASTER'!$AC$2:$AC$495&gt;=6)*('CASE MASTER'!$AB$2:$AB$495&lt;=7)*('CASE MASTER'!$AD$2:$AD$495&gt;=7))*ROW('CASE MASTER'!$T$2:$T$495))-(ROW('CASE MASTER'!#REF!)-1)))+1)+(7-INDEX('CASE MASTER'!$AB$2:$AB$495,(SUMPRODUCT((('CASE MASTER'!$T$2:$T$495=5)*('CASE MASTER'!$AA$2:$AA$495&lt;=6)*('CASE MASTER'!$AC$2:$AC$495&gt;=6)*('CASE MASTER'!$AB$2:$AB$495&lt;=7)*('CASE MASTER'!$AD$2:$AD$495&gt;=7))*ROW('CASE MASTER'!$T$2:$T$495))-(ROW('CASE MASTER'!#REF!)-1))))+1)))-1)*50+1,50))&amp;"_"&amp;INDEX('CASE MASTER'!$Q$2:$Q$495,(SUMPRODUCT((('CASE MASTER'!$T$2:$T$495=5)*('CASE MASTER'!$AA$2:$AA$495&lt;=6)*('CASE MASTER'!$AC$2:$AC$495&gt;=6)*('CASE MASTER'!$AB$2:$AB$495&lt;=7)*('CASE MASTER'!$AD$2:$AD$495&gt;=7))*ROW('CASE MASTER'!$T$2:$T$495))-(ROW('CASE MASTER'!#REF!)-1))),"")),"")</f>
        <v/>
      </c>
      <c r="I64" s="10" t="str">
        <f>IFERROR(IF(SUMPRODUCT((('CASE MASTER'!$T$2:$T$495=5)*('CASE MASTER'!$U$2:$U$495&lt;=6)*('CASE MASTER'!$W$2:$W$495&gt;=6)*('CASE MASTER'!$V$2:$V$495&lt;=8)*('CASE MASTER'!$X$2:$X$495&gt;=8))*ROW('CASE MASTER'!$T$2:$T$495))&gt;0,INDEX('CASE MASTER'!$Y$2:$Y$495,(SUMPRODUCT((('CASE MASTER'!$T$2:$T$495=5)*('CASE MASTER'!$U$2:$U$495&lt;=6)*('CASE MASTER'!$W$2:$W$495&gt;=6)*('CASE MASTER'!$V$2:$V$495&lt;=8)*('CASE MASTER'!$X$2:$X$495&gt;=8))*ROW('CASE MASTER'!$T$2:$T$495))-(ROW('CASE MASTER'!#REF!)-1)))&amp;TRIM(MID(SUBSTITUTE(SUBSTITUTE(INDEX('CASE MASTER'!$N$2:$N$495,(SUMPRODUCT((('CASE MASTER'!$T$2:$T$495=5)*('CASE MASTER'!$U$2:$U$495&lt;=6)*('CASE MASTER'!$W$2:$W$495&gt;=6)*('CASE MASTER'!$V$2:$V$495&lt;=8)*('CASE MASTER'!$X$2:$X$495&gt;=8))*ROW('CASE MASTER'!$T$2:$T$495))-(ROW('CASE MASTER'!#REF!)-1))),":",","),",",REPT(" ",50)),((((6-INDEX('CASE MASTER'!$U$2:$U$495,(SUMPRODUCT((('CASE MASTER'!$T$2:$T$495=5)*('CASE MASTER'!$U$2:$U$495&lt;=6)*('CASE MASTER'!$W$2:$W$495&gt;=6)*('CASE MASTER'!$V$2:$V$495&lt;=8)*('CASE MASTER'!$X$2:$X$495&gt;=8))*ROW('CASE MASTER'!$T$2:$T$495))-(ROW('CASE MASTER'!#REF!)-1))))*(INDEX('CASE MASTER'!$X$2:$X$495,(SUMPRODUCT((('CASE MASTER'!$T$2:$T$495=5)*('CASE MASTER'!$U$2:$U$495&lt;=6)*('CASE MASTER'!$W$2:$W$495&gt;=6)*('CASE MASTER'!$V$2:$V$495&lt;=8)*('CASE MASTER'!$X$2:$X$495&gt;=8))*ROW('CASE MASTER'!$T$2:$T$495))-(ROW('CASE MASTER'!#REF!)-1)))-INDEX('CASE MASTER'!$V$2:$V$495,(SUMPRODUCT((('CASE MASTER'!$T$2:$T$495=5)*('CASE MASTER'!$U$2:$U$495&lt;=6)*('CASE MASTER'!$W$2:$W$495&gt;=6)*('CASE MASTER'!$V$2:$V$495&lt;=8)*('CASE MASTER'!$X$2:$X$495&gt;=8))*ROW('CASE MASTER'!$T$2:$T$495))-(ROW('CASE MASTER'!#REF!)-1)))+1)+(8-INDEX('CASE MASTER'!$V$2:$V$495,(SUMPRODUCT((('CASE MASTER'!$T$2:$T$495=5)*('CASE MASTER'!$U$2:$U$495&lt;=6)*('CASE MASTER'!$W$2:$W$495&gt;=6)*('CASE MASTER'!$V$2:$V$495&lt;=8)*('CASE MASTER'!$X$2:$X$495&gt;=8))*ROW('CASE MASTER'!$T$2:$T$495))-(ROW('CASE MASTER'!#REF!)-1))))+1))-1)*50+1,50))&amp;"_"&amp;INDEX('CASE MASTER'!$Q$2:$Q$495,(SUMPRODUCT((('CASE MASTER'!$T$2:$T$495=5)*('CASE MASTER'!$U$2:$U$495&lt;=6)*('CASE MASTER'!$W$2:$W$495&gt;=6)*('CASE MASTER'!$V$2:$V$495&lt;=8)*('CASE MASTER'!$X$2:$X$495&gt;=8))*ROW('CASE MASTER'!$T$2:$T$495))-(ROW('CASE MASTER'!#REF!)-1))),IF(SUMPRODUCT((('CASE MASTER'!$T$2:$T$495=5)*('CASE MASTER'!$AA$2:$AA$495&lt;=6)*('CASE MASTER'!$AC$2:$AC$495&gt;=6)*('CASE MASTER'!$AB$2:$AB$495&lt;=8)*('CASE MASTER'!$AD$2:$AD$495&gt;=8))*ROW('CASE MASTER'!$T$2:$T$495))&gt;0,INDEX('CASE MASTER'!$Y$2:$Y$495,(SUMPRODUCT((('CASE MASTER'!$T$2:$T$495=5)*('CASE MASTER'!$AA$2:$AA$495&lt;=6)*('CASE MASTER'!$AC$2:$AC$495&gt;=6)*('CASE MASTER'!$AB$2:$AB$495&lt;=8)*('CASE MASTER'!$AD$2:$AD$495&gt;=8))*ROW('CASE MASTER'!$T$2:$T$495))-(ROW('CASE MASTER'!#REF!)-1)))&amp;TRIM(MID(SUBSTITUTE(SUBSTITUTE(INDEX('CASE MASTER'!$N$2:$N$495,(SUMPRODUCT((('CASE MASTER'!$T$2:$T$495=5)*('CASE MASTER'!$AA$2:$AA$495&lt;=6)*('CASE MASTER'!$AC$2:$AC$495&gt;=6)*('CASE MASTER'!$AB$2:$AB$495&lt;=8)*('CASE MASTER'!$AD$2:$AD$495&gt;=8))*ROW('CASE MASTER'!$T$2:$T$495))-(ROW('CASE MASTER'!#REF!)-1))),":",","),",",REPT(" ",50)),(((INDEX('CASE MASTER'!$Z$2:$Z$495,(SUMPRODUCT((('CASE MASTER'!$T$2:$T$495=5)*('CASE MASTER'!$AA$2:$AA$495&lt;=6)*('CASE MASTER'!$AC$2:$AC$495&gt;=6)*('CASE MASTER'!$AB$2:$AB$495&lt;=8)*('CASE MASTER'!$AD$2:$AD$495&gt;=8))*ROW('CASE MASTER'!$T$2:$T$495))-(ROW('CASE MASTER'!#REF!)-1)))+((6-INDEX('CASE MASTER'!$AA$2:$AA$495,(SUMPRODUCT((('CASE MASTER'!$T$2:$T$495=5)*('CASE MASTER'!$AA$2:$AA$495&lt;=6)*('CASE MASTER'!$AC$2:$AC$495&gt;=6)*('CASE MASTER'!$AB$2:$AB$495&lt;=8)*('CASE MASTER'!$AD$2:$AD$495&gt;=8))*ROW('CASE MASTER'!$T$2:$T$495))-(ROW('CASE MASTER'!#REF!)-1))))*(INDEX('CASE MASTER'!$AD$2:$AD$495,(SUMPRODUCT((('CASE MASTER'!$T$2:$T$495=5)*('CASE MASTER'!$AA$2:$AA$495&lt;=6)*('CASE MASTER'!$AC$2:$AC$495&gt;=6)*('CASE MASTER'!$AB$2:$AB$495&lt;=8)*('CASE MASTER'!$AD$2:$AD$495&gt;=8))*ROW('CASE MASTER'!$T$2:$T$495))-(ROW('CASE MASTER'!#REF!)-1)))-INDEX('CASE MASTER'!$AB$2:$AB$495,(SUMPRODUCT((('CASE MASTER'!$T$2:$T$495=5)*('CASE MASTER'!$AA$2:$AA$495&lt;=6)*('CASE MASTER'!$AC$2:$AC$495&gt;=6)*('CASE MASTER'!$AB$2:$AB$495&lt;=8)*('CASE MASTER'!$AD$2:$AD$495&gt;=8))*ROW('CASE MASTER'!$T$2:$T$495))-(ROW('CASE MASTER'!#REF!)-1)))+1)+(8-INDEX('CASE MASTER'!$AB$2:$AB$495,(SUMPRODUCT((('CASE MASTER'!$T$2:$T$495=5)*('CASE MASTER'!$AA$2:$AA$495&lt;=6)*('CASE MASTER'!$AC$2:$AC$495&gt;=6)*('CASE MASTER'!$AB$2:$AB$495&lt;=8)*('CASE MASTER'!$AD$2:$AD$495&gt;=8))*ROW('CASE MASTER'!$T$2:$T$495))-(ROW('CASE MASTER'!#REF!)-1))))+1)))-1)*50+1,50))&amp;"_"&amp;INDEX('CASE MASTER'!$Q$2:$Q$495,(SUMPRODUCT((('CASE MASTER'!$T$2:$T$495=5)*('CASE MASTER'!$AA$2:$AA$495&lt;=6)*('CASE MASTER'!$AC$2:$AC$495&gt;=6)*('CASE MASTER'!$AB$2:$AB$495&lt;=8)*('CASE MASTER'!$AD$2:$AD$495&gt;=8))*ROW('CASE MASTER'!$T$2:$T$495))-(ROW('CASE MASTER'!#REF!)-1))),"")),"")</f>
        <v/>
      </c>
      <c r="J64" s="10" t="str">
        <f>IFERROR(IF(SUMPRODUCT((('CASE MASTER'!$T$2:$T$495=5)*('CASE MASTER'!$U$2:$U$495&lt;=6)*('CASE MASTER'!$W$2:$W$495&gt;=6)*('CASE MASTER'!$V$2:$V$495&lt;=9)*('CASE MASTER'!$X$2:$X$495&gt;=9))*ROW('CASE MASTER'!$T$2:$T$495))&gt;0,INDEX('CASE MASTER'!$Y$2:$Y$495,(SUMPRODUCT((('CASE MASTER'!$T$2:$T$495=5)*('CASE MASTER'!$U$2:$U$495&lt;=6)*('CASE MASTER'!$W$2:$W$495&gt;=6)*('CASE MASTER'!$V$2:$V$495&lt;=9)*('CASE MASTER'!$X$2:$X$495&gt;=9))*ROW('CASE MASTER'!$T$2:$T$495))-(ROW('CASE MASTER'!#REF!)-1)))&amp;TRIM(MID(SUBSTITUTE(SUBSTITUTE(INDEX('CASE MASTER'!$N$2:$N$495,(SUMPRODUCT((('CASE MASTER'!$T$2:$T$495=5)*('CASE MASTER'!$U$2:$U$495&lt;=6)*('CASE MASTER'!$W$2:$W$495&gt;=6)*('CASE MASTER'!$V$2:$V$495&lt;=9)*('CASE MASTER'!$X$2:$X$495&gt;=9))*ROW('CASE MASTER'!$T$2:$T$495))-(ROW('CASE MASTER'!#REF!)-1))),":",","),",",REPT(" ",50)),((((6-INDEX('CASE MASTER'!$U$2:$U$495,(SUMPRODUCT((('CASE MASTER'!$T$2:$T$495=5)*('CASE MASTER'!$U$2:$U$495&lt;=6)*('CASE MASTER'!$W$2:$W$495&gt;=6)*('CASE MASTER'!$V$2:$V$495&lt;=9)*('CASE MASTER'!$X$2:$X$495&gt;=9))*ROW('CASE MASTER'!$T$2:$T$495))-(ROW('CASE MASTER'!#REF!)-1))))*(INDEX('CASE MASTER'!$X$2:$X$495,(SUMPRODUCT((('CASE MASTER'!$T$2:$T$495=5)*('CASE MASTER'!$U$2:$U$495&lt;=6)*('CASE MASTER'!$W$2:$W$495&gt;=6)*('CASE MASTER'!$V$2:$V$495&lt;=9)*('CASE MASTER'!$X$2:$X$495&gt;=9))*ROW('CASE MASTER'!$T$2:$T$495))-(ROW('CASE MASTER'!#REF!)-1)))-INDEX('CASE MASTER'!$V$2:$V$495,(SUMPRODUCT((('CASE MASTER'!$T$2:$T$495=5)*('CASE MASTER'!$U$2:$U$495&lt;=6)*('CASE MASTER'!$W$2:$W$495&gt;=6)*('CASE MASTER'!$V$2:$V$495&lt;=9)*('CASE MASTER'!$X$2:$X$495&gt;=9))*ROW('CASE MASTER'!$T$2:$T$495))-(ROW('CASE MASTER'!#REF!)-1)))+1)+(9-INDEX('CASE MASTER'!$V$2:$V$495,(SUMPRODUCT((('CASE MASTER'!$T$2:$T$495=5)*('CASE MASTER'!$U$2:$U$495&lt;=6)*('CASE MASTER'!$W$2:$W$495&gt;=6)*('CASE MASTER'!$V$2:$V$495&lt;=9)*('CASE MASTER'!$X$2:$X$495&gt;=9))*ROW('CASE MASTER'!$T$2:$T$495))-(ROW('CASE MASTER'!#REF!)-1))))+1))-1)*50+1,50))&amp;"_"&amp;INDEX('CASE MASTER'!$Q$2:$Q$495,(SUMPRODUCT((('CASE MASTER'!$T$2:$T$495=5)*('CASE MASTER'!$U$2:$U$495&lt;=6)*('CASE MASTER'!$W$2:$W$495&gt;=6)*('CASE MASTER'!$V$2:$V$495&lt;=9)*('CASE MASTER'!$X$2:$X$495&gt;=9))*ROW('CASE MASTER'!$T$2:$T$495))-(ROW('CASE MASTER'!#REF!)-1))),IF(SUMPRODUCT((('CASE MASTER'!$T$2:$T$495=5)*('CASE MASTER'!$AA$2:$AA$495&lt;=6)*('CASE MASTER'!$AC$2:$AC$495&gt;=6)*('CASE MASTER'!$AB$2:$AB$495&lt;=9)*('CASE MASTER'!$AD$2:$AD$495&gt;=9))*ROW('CASE MASTER'!$T$2:$T$495))&gt;0,INDEX('CASE MASTER'!$Y$2:$Y$495,(SUMPRODUCT((('CASE MASTER'!$T$2:$T$495=5)*('CASE MASTER'!$AA$2:$AA$495&lt;=6)*('CASE MASTER'!$AC$2:$AC$495&gt;=6)*('CASE MASTER'!$AB$2:$AB$495&lt;=9)*('CASE MASTER'!$AD$2:$AD$495&gt;=9))*ROW('CASE MASTER'!$T$2:$T$495))-(ROW('CASE MASTER'!#REF!)-1)))&amp;TRIM(MID(SUBSTITUTE(SUBSTITUTE(INDEX('CASE MASTER'!$N$2:$N$495,(SUMPRODUCT((('CASE MASTER'!$T$2:$T$495=5)*('CASE MASTER'!$AA$2:$AA$495&lt;=6)*('CASE MASTER'!$AC$2:$AC$495&gt;=6)*('CASE MASTER'!$AB$2:$AB$495&lt;=9)*('CASE MASTER'!$AD$2:$AD$495&gt;=9))*ROW('CASE MASTER'!$T$2:$T$495))-(ROW('CASE MASTER'!#REF!)-1))),":",","),",",REPT(" ",50)),(((INDEX('CASE MASTER'!$Z$2:$Z$495,(SUMPRODUCT((('CASE MASTER'!$T$2:$T$495=5)*('CASE MASTER'!$AA$2:$AA$495&lt;=6)*('CASE MASTER'!$AC$2:$AC$495&gt;=6)*('CASE MASTER'!$AB$2:$AB$495&lt;=9)*('CASE MASTER'!$AD$2:$AD$495&gt;=9))*ROW('CASE MASTER'!$T$2:$T$495))-(ROW('CASE MASTER'!#REF!)-1)))+((6-INDEX('CASE MASTER'!$AA$2:$AA$495,(SUMPRODUCT((('CASE MASTER'!$T$2:$T$495=5)*('CASE MASTER'!$AA$2:$AA$495&lt;=6)*('CASE MASTER'!$AC$2:$AC$495&gt;=6)*('CASE MASTER'!$AB$2:$AB$495&lt;=9)*('CASE MASTER'!$AD$2:$AD$495&gt;=9))*ROW('CASE MASTER'!$T$2:$T$495))-(ROW('CASE MASTER'!#REF!)-1))))*(INDEX('CASE MASTER'!$AD$2:$AD$495,(SUMPRODUCT((('CASE MASTER'!$T$2:$T$495=5)*('CASE MASTER'!$AA$2:$AA$495&lt;=6)*('CASE MASTER'!$AC$2:$AC$495&gt;=6)*('CASE MASTER'!$AB$2:$AB$495&lt;=9)*('CASE MASTER'!$AD$2:$AD$495&gt;=9))*ROW('CASE MASTER'!$T$2:$T$495))-(ROW('CASE MASTER'!#REF!)-1)))-INDEX('CASE MASTER'!$AB$2:$AB$495,(SUMPRODUCT((('CASE MASTER'!$T$2:$T$495=5)*('CASE MASTER'!$AA$2:$AA$495&lt;=6)*('CASE MASTER'!$AC$2:$AC$495&gt;=6)*('CASE MASTER'!$AB$2:$AB$495&lt;=9)*('CASE MASTER'!$AD$2:$AD$495&gt;=9))*ROW('CASE MASTER'!$T$2:$T$495))-(ROW('CASE MASTER'!#REF!)-1)))+1)+(9-INDEX('CASE MASTER'!$AB$2:$AB$495,(SUMPRODUCT((('CASE MASTER'!$T$2:$T$495=5)*('CASE MASTER'!$AA$2:$AA$495&lt;=6)*('CASE MASTER'!$AC$2:$AC$495&gt;=6)*('CASE MASTER'!$AB$2:$AB$495&lt;=9)*('CASE MASTER'!$AD$2:$AD$495&gt;=9))*ROW('CASE MASTER'!$T$2:$T$495))-(ROW('CASE MASTER'!#REF!)-1))))+1)))-1)*50+1,50))&amp;"_"&amp;INDEX('CASE MASTER'!$Q$2:$Q$495,(SUMPRODUCT((('CASE MASTER'!$T$2:$T$495=5)*('CASE MASTER'!$AA$2:$AA$495&lt;=6)*('CASE MASTER'!$AC$2:$AC$495&gt;=6)*('CASE MASTER'!$AB$2:$AB$495&lt;=9)*('CASE MASTER'!$AD$2:$AD$495&gt;=9))*ROW('CASE MASTER'!$T$2:$T$495))-(ROW('CASE MASTER'!#REF!)-1))),"")),"")</f>
        <v/>
      </c>
      <c r="K64" s="10" t="str">
        <f>IFERROR(IF(SUMPRODUCT((('CASE MASTER'!$T$2:$T$495=5)*('CASE MASTER'!$U$2:$U$495&lt;=6)*('CASE MASTER'!$W$2:$W$495&gt;=6)*('CASE MASTER'!$V$2:$V$495&lt;=10)*('CASE MASTER'!$X$2:$X$495&gt;=10))*ROW('CASE MASTER'!$T$2:$T$495))&gt;0,INDEX('CASE MASTER'!$Y$2:$Y$495,(SUMPRODUCT((('CASE MASTER'!$T$2:$T$495=5)*('CASE MASTER'!$U$2:$U$495&lt;=6)*('CASE MASTER'!$W$2:$W$495&gt;=6)*('CASE MASTER'!$V$2:$V$495&lt;=10)*('CASE MASTER'!$X$2:$X$495&gt;=10))*ROW('CASE MASTER'!$T$2:$T$495))-(ROW('CASE MASTER'!#REF!)-1)))&amp;TRIM(MID(SUBSTITUTE(SUBSTITUTE(INDEX('CASE MASTER'!$N$2:$N$495,(SUMPRODUCT((('CASE MASTER'!$T$2:$T$495=5)*('CASE MASTER'!$U$2:$U$495&lt;=6)*('CASE MASTER'!$W$2:$W$495&gt;=6)*('CASE MASTER'!$V$2:$V$495&lt;=10)*('CASE MASTER'!$X$2:$X$495&gt;=10))*ROW('CASE MASTER'!$T$2:$T$495))-(ROW('CASE MASTER'!#REF!)-1))),":",","),",",REPT(" ",50)),((((6-INDEX('CASE MASTER'!$U$2:$U$495,(SUMPRODUCT((('CASE MASTER'!$T$2:$T$495=5)*('CASE MASTER'!$U$2:$U$495&lt;=6)*('CASE MASTER'!$W$2:$W$495&gt;=6)*('CASE MASTER'!$V$2:$V$495&lt;=10)*('CASE MASTER'!$X$2:$X$495&gt;=10))*ROW('CASE MASTER'!$T$2:$T$495))-(ROW('CASE MASTER'!#REF!)-1))))*(INDEX('CASE MASTER'!$X$2:$X$495,(SUMPRODUCT((('CASE MASTER'!$T$2:$T$495=5)*('CASE MASTER'!$U$2:$U$495&lt;=6)*('CASE MASTER'!$W$2:$W$495&gt;=6)*('CASE MASTER'!$V$2:$V$495&lt;=10)*('CASE MASTER'!$X$2:$X$495&gt;=10))*ROW('CASE MASTER'!$T$2:$T$495))-(ROW('CASE MASTER'!#REF!)-1)))-INDEX('CASE MASTER'!$V$2:$V$495,(SUMPRODUCT((('CASE MASTER'!$T$2:$T$495=5)*('CASE MASTER'!$U$2:$U$495&lt;=6)*('CASE MASTER'!$W$2:$W$495&gt;=6)*('CASE MASTER'!$V$2:$V$495&lt;=10)*('CASE MASTER'!$X$2:$X$495&gt;=10))*ROW('CASE MASTER'!$T$2:$T$495))-(ROW('CASE MASTER'!#REF!)-1)))+1)+(10-INDEX('CASE MASTER'!$V$2:$V$495,(SUMPRODUCT((('CASE MASTER'!$T$2:$T$495=5)*('CASE MASTER'!$U$2:$U$495&lt;=6)*('CASE MASTER'!$W$2:$W$495&gt;=6)*('CASE MASTER'!$V$2:$V$495&lt;=10)*('CASE MASTER'!$X$2:$X$495&gt;=10))*ROW('CASE MASTER'!$T$2:$T$495))-(ROW('CASE MASTER'!#REF!)-1))))+1))-1)*50+1,50))&amp;"_"&amp;INDEX('CASE MASTER'!$Q$2:$Q$495,(SUMPRODUCT((('CASE MASTER'!$T$2:$T$495=5)*('CASE MASTER'!$U$2:$U$495&lt;=6)*('CASE MASTER'!$W$2:$W$495&gt;=6)*('CASE MASTER'!$V$2:$V$495&lt;=10)*('CASE MASTER'!$X$2:$X$495&gt;=10))*ROW('CASE MASTER'!$T$2:$T$495))-(ROW('CASE MASTER'!#REF!)-1))),IF(SUMPRODUCT((('CASE MASTER'!$T$2:$T$495=5)*('CASE MASTER'!$AA$2:$AA$495&lt;=6)*('CASE MASTER'!$AC$2:$AC$495&gt;=6)*('CASE MASTER'!$AB$2:$AB$495&lt;=10)*('CASE MASTER'!$AD$2:$AD$495&gt;=10))*ROW('CASE MASTER'!$T$2:$T$495))&gt;0,INDEX('CASE MASTER'!$Y$2:$Y$495,(SUMPRODUCT((('CASE MASTER'!$T$2:$T$495=5)*('CASE MASTER'!$AA$2:$AA$495&lt;=6)*('CASE MASTER'!$AC$2:$AC$495&gt;=6)*('CASE MASTER'!$AB$2:$AB$495&lt;=10)*('CASE MASTER'!$AD$2:$AD$495&gt;=10))*ROW('CASE MASTER'!$T$2:$T$495))-(ROW('CASE MASTER'!#REF!)-1)))&amp;TRIM(MID(SUBSTITUTE(SUBSTITUTE(INDEX('CASE MASTER'!$N$2:$N$495,(SUMPRODUCT((('CASE MASTER'!$T$2:$T$495=5)*('CASE MASTER'!$AA$2:$AA$495&lt;=6)*('CASE MASTER'!$AC$2:$AC$495&gt;=6)*('CASE MASTER'!$AB$2:$AB$495&lt;=10)*('CASE MASTER'!$AD$2:$AD$495&gt;=10))*ROW('CASE MASTER'!$T$2:$T$495))-(ROW('CASE MASTER'!#REF!)-1))),":",","),",",REPT(" ",50)),(((INDEX('CASE MASTER'!$Z$2:$Z$495,(SUMPRODUCT((('CASE MASTER'!$T$2:$T$495=5)*('CASE MASTER'!$AA$2:$AA$495&lt;=6)*('CASE MASTER'!$AC$2:$AC$495&gt;=6)*('CASE MASTER'!$AB$2:$AB$495&lt;=10)*('CASE MASTER'!$AD$2:$AD$495&gt;=10))*ROW('CASE MASTER'!$T$2:$T$495))-(ROW('CASE MASTER'!#REF!)-1)))+((6-INDEX('CASE MASTER'!$AA$2:$AA$495,(SUMPRODUCT((('CASE MASTER'!$T$2:$T$495=5)*('CASE MASTER'!$AA$2:$AA$495&lt;=6)*('CASE MASTER'!$AC$2:$AC$495&gt;=6)*('CASE MASTER'!$AB$2:$AB$495&lt;=10)*('CASE MASTER'!$AD$2:$AD$495&gt;=10))*ROW('CASE MASTER'!$T$2:$T$495))-(ROW('CASE MASTER'!#REF!)-1))))*(INDEX('CASE MASTER'!$AD$2:$AD$495,(SUMPRODUCT((('CASE MASTER'!$T$2:$T$495=5)*('CASE MASTER'!$AA$2:$AA$495&lt;=6)*('CASE MASTER'!$AC$2:$AC$495&gt;=6)*('CASE MASTER'!$AB$2:$AB$495&lt;=10)*('CASE MASTER'!$AD$2:$AD$495&gt;=10))*ROW('CASE MASTER'!$T$2:$T$495))-(ROW('CASE MASTER'!#REF!)-1)))-INDEX('CASE MASTER'!$AB$2:$AB$495,(SUMPRODUCT((('CASE MASTER'!$T$2:$T$495=5)*('CASE MASTER'!$AA$2:$AA$495&lt;=6)*('CASE MASTER'!$AC$2:$AC$495&gt;=6)*('CASE MASTER'!$AB$2:$AB$495&lt;=10)*('CASE MASTER'!$AD$2:$AD$495&gt;=10))*ROW('CASE MASTER'!$T$2:$T$495))-(ROW('CASE MASTER'!#REF!)-1)))+1)+(10-INDEX('CASE MASTER'!$AB$2:$AB$495,(SUMPRODUCT((('CASE MASTER'!$T$2:$T$495=5)*('CASE MASTER'!$AA$2:$AA$495&lt;=6)*('CASE MASTER'!$AC$2:$AC$495&gt;=6)*('CASE MASTER'!$AB$2:$AB$495&lt;=10)*('CASE MASTER'!$AD$2:$AD$495&gt;=10))*ROW('CASE MASTER'!$T$2:$T$495))-(ROW('CASE MASTER'!#REF!)-1))))+1)))-1)*50+1,50))&amp;"_"&amp;INDEX('CASE MASTER'!$Q$2:$Q$495,(SUMPRODUCT((('CASE MASTER'!$T$2:$T$495=5)*('CASE MASTER'!$AA$2:$AA$495&lt;=6)*('CASE MASTER'!$AC$2:$AC$495&gt;=6)*('CASE MASTER'!$AB$2:$AB$495&lt;=10)*('CASE MASTER'!$AD$2:$AD$495&gt;=10))*ROW('CASE MASTER'!$T$2:$T$495))-(ROW('CASE MASTER'!#REF!)-1))),"")),"")</f>
        <v/>
      </c>
    </row>
    <row r="65" spans="1:11" ht="15" customHeight="1" x14ac:dyDescent="0.35">
      <c r="A65" s="8" t="s">
        <v>34</v>
      </c>
      <c r="B65" s="10" t="str">
        <f>IFERROR(IF(SUMPRODUCT((('CASE MASTER'!$T$2:$T$495=5)*('CASE MASTER'!$U$2:$U$495&lt;=7)*('CASE MASTER'!$W$2:$W$495&gt;=7)*('CASE MASTER'!$V$2:$V$495&lt;=1)*('CASE MASTER'!$X$2:$X$495&gt;=1))*ROW('CASE MASTER'!$T$2:$T$495))&gt;0,INDEX('CASE MASTER'!$Y$2:$Y$495,(SUMPRODUCT((('CASE MASTER'!$T$2:$T$495=5)*('CASE MASTER'!$U$2:$U$495&lt;=7)*('CASE MASTER'!$W$2:$W$495&gt;=7)*('CASE MASTER'!$V$2:$V$495&lt;=1)*('CASE MASTER'!$X$2:$X$495&gt;=1))*ROW('CASE MASTER'!$T$2:$T$495))-(ROW('CASE MASTER'!#REF!)-1)))&amp;TRIM(MID(SUBSTITUTE(SUBSTITUTE(INDEX('CASE MASTER'!$N$2:$N$495,(SUMPRODUCT((('CASE MASTER'!$T$2:$T$495=5)*('CASE MASTER'!$U$2:$U$495&lt;=7)*('CASE MASTER'!$W$2:$W$495&gt;=7)*('CASE MASTER'!$V$2:$V$495&lt;=1)*('CASE MASTER'!$X$2:$X$495&gt;=1))*ROW('CASE MASTER'!$T$2:$T$495))-(ROW('CASE MASTER'!#REF!)-1))),":",","),",",REPT(" ",50)),((((7-INDEX('CASE MASTER'!$U$2:$U$495,(SUMPRODUCT((('CASE MASTER'!$T$2:$T$495=5)*('CASE MASTER'!$U$2:$U$495&lt;=7)*('CASE MASTER'!$W$2:$W$495&gt;=7)*('CASE MASTER'!$V$2:$V$495&lt;=1)*('CASE MASTER'!$X$2:$X$495&gt;=1))*ROW('CASE MASTER'!$T$2:$T$495))-(ROW('CASE MASTER'!#REF!)-1))))*(INDEX('CASE MASTER'!$X$2:$X$495,(SUMPRODUCT((('CASE MASTER'!$T$2:$T$495=5)*('CASE MASTER'!$U$2:$U$495&lt;=7)*('CASE MASTER'!$W$2:$W$495&gt;=7)*('CASE MASTER'!$V$2:$V$495&lt;=1)*('CASE MASTER'!$X$2:$X$495&gt;=1))*ROW('CASE MASTER'!$T$2:$T$495))-(ROW('CASE MASTER'!#REF!)-1)))-INDEX('CASE MASTER'!$V$2:$V$495,(SUMPRODUCT((('CASE MASTER'!$T$2:$T$495=5)*('CASE MASTER'!$U$2:$U$495&lt;=7)*('CASE MASTER'!$W$2:$W$495&gt;=7)*('CASE MASTER'!$V$2:$V$495&lt;=1)*('CASE MASTER'!$X$2:$X$495&gt;=1))*ROW('CASE MASTER'!$T$2:$T$495))-(ROW('CASE MASTER'!#REF!)-1)))+1)+(1-INDEX('CASE MASTER'!$V$2:$V$495,(SUMPRODUCT((('CASE MASTER'!$T$2:$T$495=5)*('CASE MASTER'!$U$2:$U$495&lt;=7)*('CASE MASTER'!$W$2:$W$495&gt;=7)*('CASE MASTER'!$V$2:$V$495&lt;=1)*('CASE MASTER'!$X$2:$X$495&gt;=1))*ROW('CASE MASTER'!$T$2:$T$495))-(ROW('CASE MASTER'!#REF!)-1))))+1))-1)*50+1,50))&amp;"_"&amp;INDEX('CASE MASTER'!$Q$2:$Q$495,(SUMPRODUCT((('CASE MASTER'!$T$2:$T$495=5)*('CASE MASTER'!$U$2:$U$495&lt;=7)*('CASE MASTER'!$W$2:$W$495&gt;=7)*('CASE MASTER'!$V$2:$V$495&lt;=1)*('CASE MASTER'!$X$2:$X$495&gt;=1))*ROW('CASE MASTER'!$T$2:$T$495))-(ROW('CASE MASTER'!#REF!)-1))),IF(SUMPRODUCT((('CASE MASTER'!$T$2:$T$495=5)*('CASE MASTER'!$AA$2:$AA$495&lt;=7)*('CASE MASTER'!$AC$2:$AC$495&gt;=7)*('CASE MASTER'!$AB$2:$AB$495&lt;=1)*('CASE MASTER'!$AD$2:$AD$495&gt;=1))*ROW('CASE MASTER'!$T$2:$T$495))&gt;0,INDEX('CASE MASTER'!$Y$2:$Y$495,(SUMPRODUCT((('CASE MASTER'!$T$2:$T$495=5)*('CASE MASTER'!$AA$2:$AA$495&lt;=7)*('CASE MASTER'!$AC$2:$AC$495&gt;=7)*('CASE MASTER'!$AB$2:$AB$495&lt;=1)*('CASE MASTER'!$AD$2:$AD$495&gt;=1))*ROW('CASE MASTER'!$T$2:$T$495))-(ROW('CASE MASTER'!#REF!)-1)))&amp;TRIM(MID(SUBSTITUTE(SUBSTITUTE(INDEX('CASE MASTER'!$N$2:$N$495,(SUMPRODUCT((('CASE MASTER'!$T$2:$T$495=5)*('CASE MASTER'!$AA$2:$AA$495&lt;=7)*('CASE MASTER'!$AC$2:$AC$495&gt;=7)*('CASE MASTER'!$AB$2:$AB$495&lt;=1)*('CASE MASTER'!$AD$2:$AD$495&gt;=1))*ROW('CASE MASTER'!$T$2:$T$495))-(ROW('CASE MASTER'!#REF!)-1))),":",","),",",REPT(" ",50)),(((INDEX('CASE MASTER'!$Z$2:$Z$495,(SUMPRODUCT((('CASE MASTER'!$T$2:$T$495=5)*('CASE MASTER'!$AA$2:$AA$495&lt;=7)*('CASE MASTER'!$AC$2:$AC$495&gt;=7)*('CASE MASTER'!$AB$2:$AB$495&lt;=1)*('CASE MASTER'!$AD$2:$AD$495&gt;=1))*ROW('CASE MASTER'!$T$2:$T$495))-(ROW('CASE MASTER'!#REF!)-1)))+((7-INDEX('CASE MASTER'!$AA$2:$AA$495,(SUMPRODUCT((('CASE MASTER'!$T$2:$T$495=5)*('CASE MASTER'!$AA$2:$AA$495&lt;=7)*('CASE MASTER'!$AC$2:$AC$495&gt;=7)*('CASE MASTER'!$AB$2:$AB$495&lt;=1)*('CASE MASTER'!$AD$2:$AD$495&gt;=1))*ROW('CASE MASTER'!$T$2:$T$495))-(ROW('CASE MASTER'!#REF!)-1))))*(INDEX('CASE MASTER'!$AD$2:$AD$495,(SUMPRODUCT((('CASE MASTER'!$T$2:$T$495=5)*('CASE MASTER'!$AA$2:$AA$495&lt;=7)*('CASE MASTER'!$AC$2:$AC$495&gt;=7)*('CASE MASTER'!$AB$2:$AB$495&lt;=1)*('CASE MASTER'!$AD$2:$AD$495&gt;=1))*ROW('CASE MASTER'!$T$2:$T$495))-(ROW('CASE MASTER'!#REF!)-1)))-INDEX('CASE MASTER'!$AB$2:$AB$495,(SUMPRODUCT((('CASE MASTER'!$T$2:$T$495=5)*('CASE MASTER'!$AA$2:$AA$495&lt;=7)*('CASE MASTER'!$AC$2:$AC$495&gt;=7)*('CASE MASTER'!$AB$2:$AB$495&lt;=1)*('CASE MASTER'!$AD$2:$AD$495&gt;=1))*ROW('CASE MASTER'!$T$2:$T$495))-(ROW('CASE MASTER'!#REF!)-1)))+1)+(1-INDEX('CASE MASTER'!$AB$2:$AB$495,(SUMPRODUCT((('CASE MASTER'!$T$2:$T$495=5)*('CASE MASTER'!$AA$2:$AA$495&lt;=7)*('CASE MASTER'!$AC$2:$AC$495&gt;=7)*('CASE MASTER'!$AB$2:$AB$495&lt;=1)*('CASE MASTER'!$AD$2:$AD$495&gt;=1))*ROW('CASE MASTER'!$T$2:$T$495))-(ROW('CASE MASTER'!#REF!)-1))))+1)))-1)*50+1,50))&amp;"_"&amp;INDEX('CASE MASTER'!$Q$2:$Q$495,(SUMPRODUCT((('CASE MASTER'!$T$2:$T$495=5)*('CASE MASTER'!$AA$2:$AA$495&lt;=7)*('CASE MASTER'!$AC$2:$AC$495&gt;=7)*('CASE MASTER'!$AB$2:$AB$495&lt;=1)*('CASE MASTER'!$AD$2:$AD$495&gt;=1))*ROW('CASE MASTER'!$T$2:$T$495))-(ROW('CASE MASTER'!#REF!)-1))),"")),"")</f>
        <v/>
      </c>
      <c r="C65" s="10" t="str">
        <f>IFERROR(IF(SUMPRODUCT((('CASE MASTER'!$T$2:$T$495=5)*('CASE MASTER'!$U$2:$U$495&lt;=7)*('CASE MASTER'!$W$2:$W$495&gt;=7)*('CASE MASTER'!$V$2:$V$495&lt;=2)*('CASE MASTER'!$X$2:$X$495&gt;=2))*ROW('CASE MASTER'!$T$2:$T$495))&gt;0,INDEX('CASE MASTER'!$Y$2:$Y$495,(SUMPRODUCT((('CASE MASTER'!$T$2:$T$495=5)*('CASE MASTER'!$U$2:$U$495&lt;=7)*('CASE MASTER'!$W$2:$W$495&gt;=7)*('CASE MASTER'!$V$2:$V$495&lt;=2)*('CASE MASTER'!$X$2:$X$495&gt;=2))*ROW('CASE MASTER'!$T$2:$T$495))-(ROW('CASE MASTER'!#REF!)-1)))&amp;TRIM(MID(SUBSTITUTE(SUBSTITUTE(INDEX('CASE MASTER'!$N$2:$N$495,(SUMPRODUCT((('CASE MASTER'!$T$2:$T$495=5)*('CASE MASTER'!$U$2:$U$495&lt;=7)*('CASE MASTER'!$W$2:$W$495&gt;=7)*('CASE MASTER'!$V$2:$V$495&lt;=2)*('CASE MASTER'!$X$2:$X$495&gt;=2))*ROW('CASE MASTER'!$T$2:$T$495))-(ROW('CASE MASTER'!#REF!)-1))),":",","),",",REPT(" ",50)),((((7-INDEX('CASE MASTER'!$U$2:$U$495,(SUMPRODUCT((('CASE MASTER'!$T$2:$T$495=5)*('CASE MASTER'!$U$2:$U$495&lt;=7)*('CASE MASTER'!$W$2:$W$495&gt;=7)*('CASE MASTER'!$V$2:$V$495&lt;=2)*('CASE MASTER'!$X$2:$X$495&gt;=2))*ROW('CASE MASTER'!$T$2:$T$495))-(ROW('CASE MASTER'!#REF!)-1))))*(INDEX('CASE MASTER'!$X$2:$X$495,(SUMPRODUCT((('CASE MASTER'!$T$2:$T$495=5)*('CASE MASTER'!$U$2:$U$495&lt;=7)*('CASE MASTER'!$W$2:$W$495&gt;=7)*('CASE MASTER'!$V$2:$V$495&lt;=2)*('CASE MASTER'!$X$2:$X$495&gt;=2))*ROW('CASE MASTER'!$T$2:$T$495))-(ROW('CASE MASTER'!#REF!)-1)))-INDEX('CASE MASTER'!$V$2:$V$495,(SUMPRODUCT((('CASE MASTER'!$T$2:$T$495=5)*('CASE MASTER'!$U$2:$U$495&lt;=7)*('CASE MASTER'!$W$2:$W$495&gt;=7)*('CASE MASTER'!$V$2:$V$495&lt;=2)*('CASE MASTER'!$X$2:$X$495&gt;=2))*ROW('CASE MASTER'!$T$2:$T$495))-(ROW('CASE MASTER'!#REF!)-1)))+1)+(2-INDEX('CASE MASTER'!$V$2:$V$495,(SUMPRODUCT((('CASE MASTER'!$T$2:$T$495=5)*('CASE MASTER'!$U$2:$U$495&lt;=7)*('CASE MASTER'!$W$2:$W$495&gt;=7)*('CASE MASTER'!$V$2:$V$495&lt;=2)*('CASE MASTER'!$X$2:$X$495&gt;=2))*ROW('CASE MASTER'!$T$2:$T$495))-(ROW('CASE MASTER'!#REF!)-1))))+1))-1)*50+1,50))&amp;"_"&amp;INDEX('CASE MASTER'!$Q$2:$Q$495,(SUMPRODUCT((('CASE MASTER'!$T$2:$T$495=5)*('CASE MASTER'!$U$2:$U$495&lt;=7)*('CASE MASTER'!$W$2:$W$495&gt;=7)*('CASE MASTER'!$V$2:$V$495&lt;=2)*('CASE MASTER'!$X$2:$X$495&gt;=2))*ROW('CASE MASTER'!$T$2:$T$495))-(ROW('CASE MASTER'!#REF!)-1))),IF(SUMPRODUCT((('CASE MASTER'!$T$2:$T$495=5)*('CASE MASTER'!$AA$2:$AA$495&lt;=7)*('CASE MASTER'!$AC$2:$AC$495&gt;=7)*('CASE MASTER'!$AB$2:$AB$495&lt;=2)*('CASE MASTER'!$AD$2:$AD$495&gt;=2))*ROW('CASE MASTER'!$T$2:$T$495))&gt;0,INDEX('CASE MASTER'!$Y$2:$Y$495,(SUMPRODUCT((('CASE MASTER'!$T$2:$T$495=5)*('CASE MASTER'!$AA$2:$AA$495&lt;=7)*('CASE MASTER'!$AC$2:$AC$495&gt;=7)*('CASE MASTER'!$AB$2:$AB$495&lt;=2)*('CASE MASTER'!$AD$2:$AD$495&gt;=2))*ROW('CASE MASTER'!$T$2:$T$495))-(ROW('CASE MASTER'!#REF!)-1)))&amp;TRIM(MID(SUBSTITUTE(SUBSTITUTE(INDEX('CASE MASTER'!$N$2:$N$495,(SUMPRODUCT((('CASE MASTER'!$T$2:$T$495=5)*('CASE MASTER'!$AA$2:$AA$495&lt;=7)*('CASE MASTER'!$AC$2:$AC$495&gt;=7)*('CASE MASTER'!$AB$2:$AB$495&lt;=2)*('CASE MASTER'!$AD$2:$AD$495&gt;=2))*ROW('CASE MASTER'!$T$2:$T$495))-(ROW('CASE MASTER'!#REF!)-1))),":",","),",",REPT(" ",50)),(((INDEX('CASE MASTER'!$Z$2:$Z$495,(SUMPRODUCT((('CASE MASTER'!$T$2:$T$495=5)*('CASE MASTER'!$AA$2:$AA$495&lt;=7)*('CASE MASTER'!$AC$2:$AC$495&gt;=7)*('CASE MASTER'!$AB$2:$AB$495&lt;=2)*('CASE MASTER'!$AD$2:$AD$495&gt;=2))*ROW('CASE MASTER'!$T$2:$T$495))-(ROW('CASE MASTER'!#REF!)-1)))+((7-INDEX('CASE MASTER'!$AA$2:$AA$495,(SUMPRODUCT((('CASE MASTER'!$T$2:$T$495=5)*('CASE MASTER'!$AA$2:$AA$495&lt;=7)*('CASE MASTER'!$AC$2:$AC$495&gt;=7)*('CASE MASTER'!$AB$2:$AB$495&lt;=2)*('CASE MASTER'!$AD$2:$AD$495&gt;=2))*ROW('CASE MASTER'!$T$2:$T$495))-(ROW('CASE MASTER'!#REF!)-1))))*(INDEX('CASE MASTER'!$AD$2:$AD$495,(SUMPRODUCT((('CASE MASTER'!$T$2:$T$495=5)*('CASE MASTER'!$AA$2:$AA$495&lt;=7)*('CASE MASTER'!$AC$2:$AC$495&gt;=7)*('CASE MASTER'!$AB$2:$AB$495&lt;=2)*('CASE MASTER'!$AD$2:$AD$495&gt;=2))*ROW('CASE MASTER'!$T$2:$T$495))-(ROW('CASE MASTER'!#REF!)-1)))-INDEX('CASE MASTER'!$AB$2:$AB$495,(SUMPRODUCT((('CASE MASTER'!$T$2:$T$495=5)*('CASE MASTER'!$AA$2:$AA$495&lt;=7)*('CASE MASTER'!$AC$2:$AC$495&gt;=7)*('CASE MASTER'!$AB$2:$AB$495&lt;=2)*('CASE MASTER'!$AD$2:$AD$495&gt;=2))*ROW('CASE MASTER'!$T$2:$T$495))-(ROW('CASE MASTER'!#REF!)-1)))+1)+(2-INDEX('CASE MASTER'!$AB$2:$AB$495,(SUMPRODUCT((('CASE MASTER'!$T$2:$T$495=5)*('CASE MASTER'!$AA$2:$AA$495&lt;=7)*('CASE MASTER'!$AC$2:$AC$495&gt;=7)*('CASE MASTER'!$AB$2:$AB$495&lt;=2)*('CASE MASTER'!$AD$2:$AD$495&gt;=2))*ROW('CASE MASTER'!$T$2:$T$495))-(ROW('CASE MASTER'!#REF!)-1))))+1)))-1)*50+1,50))&amp;"_"&amp;INDEX('CASE MASTER'!$Q$2:$Q$495,(SUMPRODUCT((('CASE MASTER'!$T$2:$T$495=5)*('CASE MASTER'!$AA$2:$AA$495&lt;=7)*('CASE MASTER'!$AC$2:$AC$495&gt;=7)*('CASE MASTER'!$AB$2:$AB$495&lt;=2)*('CASE MASTER'!$AD$2:$AD$495&gt;=2))*ROW('CASE MASTER'!$T$2:$T$495))-(ROW('CASE MASTER'!#REF!)-1))),"")),"")</f>
        <v/>
      </c>
      <c r="D65" s="10" t="str">
        <f>IFERROR(IF(SUMPRODUCT((('CASE MASTER'!$T$2:$T$495=5)*('CASE MASTER'!$U$2:$U$495&lt;=7)*('CASE MASTER'!$W$2:$W$495&gt;=7)*('CASE MASTER'!$V$2:$V$495&lt;=3)*('CASE MASTER'!$X$2:$X$495&gt;=3))*ROW('CASE MASTER'!$T$2:$T$495))&gt;0,INDEX('CASE MASTER'!$Y$2:$Y$495,(SUMPRODUCT((('CASE MASTER'!$T$2:$T$495=5)*('CASE MASTER'!$U$2:$U$495&lt;=7)*('CASE MASTER'!$W$2:$W$495&gt;=7)*('CASE MASTER'!$V$2:$V$495&lt;=3)*('CASE MASTER'!$X$2:$X$495&gt;=3))*ROW('CASE MASTER'!$T$2:$T$495))-(ROW('CASE MASTER'!#REF!)-1)))&amp;TRIM(MID(SUBSTITUTE(SUBSTITUTE(INDEX('CASE MASTER'!$N$2:$N$495,(SUMPRODUCT((('CASE MASTER'!$T$2:$T$495=5)*('CASE MASTER'!$U$2:$U$495&lt;=7)*('CASE MASTER'!$W$2:$W$495&gt;=7)*('CASE MASTER'!$V$2:$V$495&lt;=3)*('CASE MASTER'!$X$2:$X$495&gt;=3))*ROW('CASE MASTER'!$T$2:$T$495))-(ROW('CASE MASTER'!#REF!)-1))),":",","),",",REPT(" ",50)),((((7-INDEX('CASE MASTER'!$U$2:$U$495,(SUMPRODUCT((('CASE MASTER'!$T$2:$T$495=5)*('CASE MASTER'!$U$2:$U$495&lt;=7)*('CASE MASTER'!$W$2:$W$495&gt;=7)*('CASE MASTER'!$V$2:$V$495&lt;=3)*('CASE MASTER'!$X$2:$X$495&gt;=3))*ROW('CASE MASTER'!$T$2:$T$495))-(ROW('CASE MASTER'!#REF!)-1))))*(INDEX('CASE MASTER'!$X$2:$X$495,(SUMPRODUCT((('CASE MASTER'!$T$2:$T$495=5)*('CASE MASTER'!$U$2:$U$495&lt;=7)*('CASE MASTER'!$W$2:$W$495&gt;=7)*('CASE MASTER'!$V$2:$V$495&lt;=3)*('CASE MASTER'!$X$2:$X$495&gt;=3))*ROW('CASE MASTER'!$T$2:$T$495))-(ROW('CASE MASTER'!#REF!)-1)))-INDEX('CASE MASTER'!$V$2:$V$495,(SUMPRODUCT((('CASE MASTER'!$T$2:$T$495=5)*('CASE MASTER'!$U$2:$U$495&lt;=7)*('CASE MASTER'!$W$2:$W$495&gt;=7)*('CASE MASTER'!$V$2:$V$495&lt;=3)*('CASE MASTER'!$X$2:$X$495&gt;=3))*ROW('CASE MASTER'!$T$2:$T$495))-(ROW('CASE MASTER'!#REF!)-1)))+1)+(3-INDEX('CASE MASTER'!$V$2:$V$495,(SUMPRODUCT((('CASE MASTER'!$T$2:$T$495=5)*('CASE MASTER'!$U$2:$U$495&lt;=7)*('CASE MASTER'!$W$2:$W$495&gt;=7)*('CASE MASTER'!$V$2:$V$495&lt;=3)*('CASE MASTER'!$X$2:$X$495&gt;=3))*ROW('CASE MASTER'!$T$2:$T$495))-(ROW('CASE MASTER'!#REF!)-1))))+1))-1)*50+1,50))&amp;"_"&amp;INDEX('CASE MASTER'!$Q$2:$Q$495,(SUMPRODUCT((('CASE MASTER'!$T$2:$T$495=5)*('CASE MASTER'!$U$2:$U$495&lt;=7)*('CASE MASTER'!$W$2:$W$495&gt;=7)*('CASE MASTER'!$V$2:$V$495&lt;=3)*('CASE MASTER'!$X$2:$X$495&gt;=3))*ROW('CASE MASTER'!$T$2:$T$495))-(ROW('CASE MASTER'!#REF!)-1))),IF(SUMPRODUCT((('CASE MASTER'!$T$2:$T$495=5)*('CASE MASTER'!$AA$2:$AA$495&lt;=7)*('CASE MASTER'!$AC$2:$AC$495&gt;=7)*('CASE MASTER'!$AB$2:$AB$495&lt;=3)*('CASE MASTER'!$AD$2:$AD$495&gt;=3))*ROW('CASE MASTER'!$T$2:$T$495))&gt;0,INDEX('CASE MASTER'!$Y$2:$Y$495,(SUMPRODUCT((('CASE MASTER'!$T$2:$T$495=5)*('CASE MASTER'!$AA$2:$AA$495&lt;=7)*('CASE MASTER'!$AC$2:$AC$495&gt;=7)*('CASE MASTER'!$AB$2:$AB$495&lt;=3)*('CASE MASTER'!$AD$2:$AD$495&gt;=3))*ROW('CASE MASTER'!$T$2:$T$495))-(ROW('CASE MASTER'!#REF!)-1)))&amp;TRIM(MID(SUBSTITUTE(SUBSTITUTE(INDEX('CASE MASTER'!$N$2:$N$495,(SUMPRODUCT((('CASE MASTER'!$T$2:$T$495=5)*('CASE MASTER'!$AA$2:$AA$495&lt;=7)*('CASE MASTER'!$AC$2:$AC$495&gt;=7)*('CASE MASTER'!$AB$2:$AB$495&lt;=3)*('CASE MASTER'!$AD$2:$AD$495&gt;=3))*ROW('CASE MASTER'!$T$2:$T$495))-(ROW('CASE MASTER'!#REF!)-1))),":",","),",",REPT(" ",50)),(((INDEX('CASE MASTER'!$Z$2:$Z$495,(SUMPRODUCT((('CASE MASTER'!$T$2:$T$495=5)*('CASE MASTER'!$AA$2:$AA$495&lt;=7)*('CASE MASTER'!$AC$2:$AC$495&gt;=7)*('CASE MASTER'!$AB$2:$AB$495&lt;=3)*('CASE MASTER'!$AD$2:$AD$495&gt;=3))*ROW('CASE MASTER'!$T$2:$T$495))-(ROW('CASE MASTER'!#REF!)-1)))+((7-INDEX('CASE MASTER'!$AA$2:$AA$495,(SUMPRODUCT((('CASE MASTER'!$T$2:$T$495=5)*('CASE MASTER'!$AA$2:$AA$495&lt;=7)*('CASE MASTER'!$AC$2:$AC$495&gt;=7)*('CASE MASTER'!$AB$2:$AB$495&lt;=3)*('CASE MASTER'!$AD$2:$AD$495&gt;=3))*ROW('CASE MASTER'!$T$2:$T$495))-(ROW('CASE MASTER'!#REF!)-1))))*(INDEX('CASE MASTER'!$AD$2:$AD$495,(SUMPRODUCT((('CASE MASTER'!$T$2:$T$495=5)*('CASE MASTER'!$AA$2:$AA$495&lt;=7)*('CASE MASTER'!$AC$2:$AC$495&gt;=7)*('CASE MASTER'!$AB$2:$AB$495&lt;=3)*('CASE MASTER'!$AD$2:$AD$495&gt;=3))*ROW('CASE MASTER'!$T$2:$T$495))-(ROW('CASE MASTER'!#REF!)-1)))-INDEX('CASE MASTER'!$AB$2:$AB$495,(SUMPRODUCT((('CASE MASTER'!$T$2:$T$495=5)*('CASE MASTER'!$AA$2:$AA$495&lt;=7)*('CASE MASTER'!$AC$2:$AC$495&gt;=7)*('CASE MASTER'!$AB$2:$AB$495&lt;=3)*('CASE MASTER'!$AD$2:$AD$495&gt;=3))*ROW('CASE MASTER'!$T$2:$T$495))-(ROW('CASE MASTER'!#REF!)-1)))+1)+(3-INDEX('CASE MASTER'!$AB$2:$AB$495,(SUMPRODUCT((('CASE MASTER'!$T$2:$T$495=5)*('CASE MASTER'!$AA$2:$AA$495&lt;=7)*('CASE MASTER'!$AC$2:$AC$495&gt;=7)*('CASE MASTER'!$AB$2:$AB$495&lt;=3)*('CASE MASTER'!$AD$2:$AD$495&gt;=3))*ROW('CASE MASTER'!$T$2:$T$495))-(ROW('CASE MASTER'!#REF!)-1))))+1)))-1)*50+1,50))&amp;"_"&amp;INDEX('CASE MASTER'!$Q$2:$Q$495,(SUMPRODUCT((('CASE MASTER'!$T$2:$T$495=5)*('CASE MASTER'!$AA$2:$AA$495&lt;=7)*('CASE MASTER'!$AC$2:$AC$495&gt;=7)*('CASE MASTER'!$AB$2:$AB$495&lt;=3)*('CASE MASTER'!$AD$2:$AD$495&gt;=3))*ROW('CASE MASTER'!$T$2:$T$495))-(ROW('CASE MASTER'!#REF!)-1))),"")),"")</f>
        <v/>
      </c>
      <c r="E65" s="10" t="str">
        <f>IFERROR(IF(SUMPRODUCT((('CASE MASTER'!$T$2:$T$495=5)*('CASE MASTER'!$U$2:$U$495&lt;=7)*('CASE MASTER'!$W$2:$W$495&gt;=7)*('CASE MASTER'!$V$2:$V$495&lt;=4)*('CASE MASTER'!$X$2:$X$495&gt;=4))*ROW('CASE MASTER'!$T$2:$T$495))&gt;0,INDEX('CASE MASTER'!$Y$2:$Y$495,(SUMPRODUCT((('CASE MASTER'!$T$2:$T$495=5)*('CASE MASTER'!$U$2:$U$495&lt;=7)*('CASE MASTER'!$W$2:$W$495&gt;=7)*('CASE MASTER'!$V$2:$V$495&lt;=4)*('CASE MASTER'!$X$2:$X$495&gt;=4))*ROW('CASE MASTER'!$T$2:$T$495))-(ROW('CASE MASTER'!#REF!)-1)))&amp;TRIM(MID(SUBSTITUTE(SUBSTITUTE(INDEX('CASE MASTER'!$N$2:$N$495,(SUMPRODUCT((('CASE MASTER'!$T$2:$T$495=5)*('CASE MASTER'!$U$2:$U$495&lt;=7)*('CASE MASTER'!$W$2:$W$495&gt;=7)*('CASE MASTER'!$V$2:$V$495&lt;=4)*('CASE MASTER'!$X$2:$X$495&gt;=4))*ROW('CASE MASTER'!$T$2:$T$495))-(ROW('CASE MASTER'!#REF!)-1))),":",","),",",REPT(" ",50)),((((7-INDEX('CASE MASTER'!$U$2:$U$495,(SUMPRODUCT((('CASE MASTER'!$T$2:$T$495=5)*('CASE MASTER'!$U$2:$U$495&lt;=7)*('CASE MASTER'!$W$2:$W$495&gt;=7)*('CASE MASTER'!$V$2:$V$495&lt;=4)*('CASE MASTER'!$X$2:$X$495&gt;=4))*ROW('CASE MASTER'!$T$2:$T$495))-(ROW('CASE MASTER'!#REF!)-1))))*(INDEX('CASE MASTER'!$X$2:$X$495,(SUMPRODUCT((('CASE MASTER'!$T$2:$T$495=5)*('CASE MASTER'!$U$2:$U$495&lt;=7)*('CASE MASTER'!$W$2:$W$495&gt;=7)*('CASE MASTER'!$V$2:$V$495&lt;=4)*('CASE MASTER'!$X$2:$X$495&gt;=4))*ROW('CASE MASTER'!$T$2:$T$495))-(ROW('CASE MASTER'!#REF!)-1)))-INDEX('CASE MASTER'!$V$2:$V$495,(SUMPRODUCT((('CASE MASTER'!$T$2:$T$495=5)*('CASE MASTER'!$U$2:$U$495&lt;=7)*('CASE MASTER'!$W$2:$W$495&gt;=7)*('CASE MASTER'!$V$2:$V$495&lt;=4)*('CASE MASTER'!$X$2:$X$495&gt;=4))*ROW('CASE MASTER'!$T$2:$T$495))-(ROW('CASE MASTER'!#REF!)-1)))+1)+(4-INDEX('CASE MASTER'!$V$2:$V$495,(SUMPRODUCT((('CASE MASTER'!$T$2:$T$495=5)*('CASE MASTER'!$U$2:$U$495&lt;=7)*('CASE MASTER'!$W$2:$W$495&gt;=7)*('CASE MASTER'!$V$2:$V$495&lt;=4)*('CASE MASTER'!$X$2:$X$495&gt;=4))*ROW('CASE MASTER'!$T$2:$T$495))-(ROW('CASE MASTER'!#REF!)-1))))+1))-1)*50+1,50))&amp;"_"&amp;INDEX('CASE MASTER'!$Q$2:$Q$495,(SUMPRODUCT((('CASE MASTER'!$T$2:$T$495=5)*('CASE MASTER'!$U$2:$U$495&lt;=7)*('CASE MASTER'!$W$2:$W$495&gt;=7)*('CASE MASTER'!$V$2:$V$495&lt;=4)*('CASE MASTER'!$X$2:$X$495&gt;=4))*ROW('CASE MASTER'!$T$2:$T$495))-(ROW('CASE MASTER'!#REF!)-1))),IF(SUMPRODUCT((('CASE MASTER'!$T$2:$T$495=5)*('CASE MASTER'!$AA$2:$AA$495&lt;=7)*('CASE MASTER'!$AC$2:$AC$495&gt;=7)*('CASE MASTER'!$AB$2:$AB$495&lt;=4)*('CASE MASTER'!$AD$2:$AD$495&gt;=4))*ROW('CASE MASTER'!$T$2:$T$495))&gt;0,INDEX('CASE MASTER'!$Y$2:$Y$495,(SUMPRODUCT((('CASE MASTER'!$T$2:$T$495=5)*('CASE MASTER'!$AA$2:$AA$495&lt;=7)*('CASE MASTER'!$AC$2:$AC$495&gt;=7)*('CASE MASTER'!$AB$2:$AB$495&lt;=4)*('CASE MASTER'!$AD$2:$AD$495&gt;=4))*ROW('CASE MASTER'!$T$2:$T$495))-(ROW('CASE MASTER'!#REF!)-1)))&amp;TRIM(MID(SUBSTITUTE(SUBSTITUTE(INDEX('CASE MASTER'!$N$2:$N$495,(SUMPRODUCT((('CASE MASTER'!$T$2:$T$495=5)*('CASE MASTER'!$AA$2:$AA$495&lt;=7)*('CASE MASTER'!$AC$2:$AC$495&gt;=7)*('CASE MASTER'!$AB$2:$AB$495&lt;=4)*('CASE MASTER'!$AD$2:$AD$495&gt;=4))*ROW('CASE MASTER'!$T$2:$T$495))-(ROW('CASE MASTER'!#REF!)-1))),":",","),",",REPT(" ",50)),(((INDEX('CASE MASTER'!$Z$2:$Z$495,(SUMPRODUCT((('CASE MASTER'!$T$2:$T$495=5)*('CASE MASTER'!$AA$2:$AA$495&lt;=7)*('CASE MASTER'!$AC$2:$AC$495&gt;=7)*('CASE MASTER'!$AB$2:$AB$495&lt;=4)*('CASE MASTER'!$AD$2:$AD$495&gt;=4))*ROW('CASE MASTER'!$T$2:$T$495))-(ROW('CASE MASTER'!#REF!)-1)))+((7-INDEX('CASE MASTER'!$AA$2:$AA$495,(SUMPRODUCT((('CASE MASTER'!$T$2:$T$495=5)*('CASE MASTER'!$AA$2:$AA$495&lt;=7)*('CASE MASTER'!$AC$2:$AC$495&gt;=7)*('CASE MASTER'!$AB$2:$AB$495&lt;=4)*('CASE MASTER'!$AD$2:$AD$495&gt;=4))*ROW('CASE MASTER'!$T$2:$T$495))-(ROW('CASE MASTER'!#REF!)-1))))*(INDEX('CASE MASTER'!$AD$2:$AD$495,(SUMPRODUCT((('CASE MASTER'!$T$2:$T$495=5)*('CASE MASTER'!$AA$2:$AA$495&lt;=7)*('CASE MASTER'!$AC$2:$AC$495&gt;=7)*('CASE MASTER'!$AB$2:$AB$495&lt;=4)*('CASE MASTER'!$AD$2:$AD$495&gt;=4))*ROW('CASE MASTER'!$T$2:$T$495))-(ROW('CASE MASTER'!#REF!)-1)))-INDEX('CASE MASTER'!$AB$2:$AB$495,(SUMPRODUCT((('CASE MASTER'!$T$2:$T$495=5)*('CASE MASTER'!$AA$2:$AA$495&lt;=7)*('CASE MASTER'!$AC$2:$AC$495&gt;=7)*('CASE MASTER'!$AB$2:$AB$495&lt;=4)*('CASE MASTER'!$AD$2:$AD$495&gt;=4))*ROW('CASE MASTER'!$T$2:$T$495))-(ROW('CASE MASTER'!#REF!)-1)))+1)+(4-INDEX('CASE MASTER'!$AB$2:$AB$495,(SUMPRODUCT((('CASE MASTER'!$T$2:$T$495=5)*('CASE MASTER'!$AA$2:$AA$495&lt;=7)*('CASE MASTER'!$AC$2:$AC$495&gt;=7)*('CASE MASTER'!$AB$2:$AB$495&lt;=4)*('CASE MASTER'!$AD$2:$AD$495&gt;=4))*ROW('CASE MASTER'!$T$2:$T$495))-(ROW('CASE MASTER'!#REF!)-1))))+1)))-1)*50+1,50))&amp;"_"&amp;INDEX('CASE MASTER'!$Q$2:$Q$495,(SUMPRODUCT((('CASE MASTER'!$T$2:$T$495=5)*('CASE MASTER'!$AA$2:$AA$495&lt;=7)*('CASE MASTER'!$AC$2:$AC$495&gt;=7)*('CASE MASTER'!$AB$2:$AB$495&lt;=4)*('CASE MASTER'!$AD$2:$AD$495&gt;=4))*ROW('CASE MASTER'!$T$2:$T$495))-(ROW('CASE MASTER'!#REF!)-1))),"")),"")</f>
        <v/>
      </c>
      <c r="F65" s="10" t="str">
        <f>IFERROR(IF(SUMPRODUCT((('CASE MASTER'!$T$2:$T$495=5)*('CASE MASTER'!$U$2:$U$495&lt;=7)*('CASE MASTER'!$W$2:$W$495&gt;=7)*('CASE MASTER'!$V$2:$V$495&lt;=5)*('CASE MASTER'!$X$2:$X$495&gt;=5))*ROW('CASE MASTER'!$T$2:$T$495))&gt;0,INDEX('CASE MASTER'!$Y$2:$Y$495,(SUMPRODUCT((('CASE MASTER'!$T$2:$T$495=5)*('CASE MASTER'!$U$2:$U$495&lt;=7)*('CASE MASTER'!$W$2:$W$495&gt;=7)*('CASE MASTER'!$V$2:$V$495&lt;=5)*('CASE MASTER'!$X$2:$X$495&gt;=5))*ROW('CASE MASTER'!$T$2:$T$495))-(ROW('CASE MASTER'!#REF!)-1)))&amp;TRIM(MID(SUBSTITUTE(SUBSTITUTE(INDEX('CASE MASTER'!$N$2:$N$495,(SUMPRODUCT((('CASE MASTER'!$T$2:$T$495=5)*('CASE MASTER'!$U$2:$U$495&lt;=7)*('CASE MASTER'!$W$2:$W$495&gt;=7)*('CASE MASTER'!$V$2:$V$495&lt;=5)*('CASE MASTER'!$X$2:$X$495&gt;=5))*ROW('CASE MASTER'!$T$2:$T$495))-(ROW('CASE MASTER'!#REF!)-1))),":",","),",",REPT(" ",50)),((((7-INDEX('CASE MASTER'!$U$2:$U$495,(SUMPRODUCT((('CASE MASTER'!$T$2:$T$495=5)*('CASE MASTER'!$U$2:$U$495&lt;=7)*('CASE MASTER'!$W$2:$W$495&gt;=7)*('CASE MASTER'!$V$2:$V$495&lt;=5)*('CASE MASTER'!$X$2:$X$495&gt;=5))*ROW('CASE MASTER'!$T$2:$T$495))-(ROW('CASE MASTER'!#REF!)-1))))*(INDEX('CASE MASTER'!$X$2:$X$495,(SUMPRODUCT((('CASE MASTER'!$T$2:$T$495=5)*('CASE MASTER'!$U$2:$U$495&lt;=7)*('CASE MASTER'!$W$2:$W$495&gt;=7)*('CASE MASTER'!$V$2:$V$495&lt;=5)*('CASE MASTER'!$X$2:$X$495&gt;=5))*ROW('CASE MASTER'!$T$2:$T$495))-(ROW('CASE MASTER'!#REF!)-1)))-INDEX('CASE MASTER'!$V$2:$V$495,(SUMPRODUCT((('CASE MASTER'!$T$2:$T$495=5)*('CASE MASTER'!$U$2:$U$495&lt;=7)*('CASE MASTER'!$W$2:$W$495&gt;=7)*('CASE MASTER'!$V$2:$V$495&lt;=5)*('CASE MASTER'!$X$2:$X$495&gt;=5))*ROW('CASE MASTER'!$T$2:$T$495))-(ROW('CASE MASTER'!#REF!)-1)))+1)+(5-INDEX('CASE MASTER'!$V$2:$V$495,(SUMPRODUCT((('CASE MASTER'!$T$2:$T$495=5)*('CASE MASTER'!$U$2:$U$495&lt;=7)*('CASE MASTER'!$W$2:$W$495&gt;=7)*('CASE MASTER'!$V$2:$V$495&lt;=5)*('CASE MASTER'!$X$2:$X$495&gt;=5))*ROW('CASE MASTER'!$T$2:$T$495))-(ROW('CASE MASTER'!#REF!)-1))))+1))-1)*50+1,50))&amp;"_"&amp;INDEX('CASE MASTER'!$Q$2:$Q$495,(SUMPRODUCT((('CASE MASTER'!$T$2:$T$495=5)*('CASE MASTER'!$U$2:$U$495&lt;=7)*('CASE MASTER'!$W$2:$W$495&gt;=7)*('CASE MASTER'!$V$2:$V$495&lt;=5)*('CASE MASTER'!$X$2:$X$495&gt;=5))*ROW('CASE MASTER'!$T$2:$T$495))-(ROW('CASE MASTER'!#REF!)-1))),IF(SUMPRODUCT((('CASE MASTER'!$T$2:$T$495=5)*('CASE MASTER'!$AA$2:$AA$495&lt;=7)*('CASE MASTER'!$AC$2:$AC$495&gt;=7)*('CASE MASTER'!$AB$2:$AB$495&lt;=5)*('CASE MASTER'!$AD$2:$AD$495&gt;=5))*ROW('CASE MASTER'!$T$2:$T$495))&gt;0,INDEX('CASE MASTER'!$Y$2:$Y$495,(SUMPRODUCT((('CASE MASTER'!$T$2:$T$495=5)*('CASE MASTER'!$AA$2:$AA$495&lt;=7)*('CASE MASTER'!$AC$2:$AC$495&gt;=7)*('CASE MASTER'!$AB$2:$AB$495&lt;=5)*('CASE MASTER'!$AD$2:$AD$495&gt;=5))*ROW('CASE MASTER'!$T$2:$T$495))-(ROW('CASE MASTER'!#REF!)-1)))&amp;TRIM(MID(SUBSTITUTE(SUBSTITUTE(INDEX('CASE MASTER'!$N$2:$N$495,(SUMPRODUCT((('CASE MASTER'!$T$2:$T$495=5)*('CASE MASTER'!$AA$2:$AA$495&lt;=7)*('CASE MASTER'!$AC$2:$AC$495&gt;=7)*('CASE MASTER'!$AB$2:$AB$495&lt;=5)*('CASE MASTER'!$AD$2:$AD$495&gt;=5))*ROW('CASE MASTER'!$T$2:$T$495))-(ROW('CASE MASTER'!#REF!)-1))),":",","),",",REPT(" ",50)),(((INDEX('CASE MASTER'!$Z$2:$Z$495,(SUMPRODUCT((('CASE MASTER'!$T$2:$T$495=5)*('CASE MASTER'!$AA$2:$AA$495&lt;=7)*('CASE MASTER'!$AC$2:$AC$495&gt;=7)*('CASE MASTER'!$AB$2:$AB$495&lt;=5)*('CASE MASTER'!$AD$2:$AD$495&gt;=5))*ROW('CASE MASTER'!$T$2:$T$495))-(ROW('CASE MASTER'!#REF!)-1)))+((7-INDEX('CASE MASTER'!$AA$2:$AA$495,(SUMPRODUCT((('CASE MASTER'!$T$2:$T$495=5)*('CASE MASTER'!$AA$2:$AA$495&lt;=7)*('CASE MASTER'!$AC$2:$AC$495&gt;=7)*('CASE MASTER'!$AB$2:$AB$495&lt;=5)*('CASE MASTER'!$AD$2:$AD$495&gt;=5))*ROW('CASE MASTER'!$T$2:$T$495))-(ROW('CASE MASTER'!#REF!)-1))))*(INDEX('CASE MASTER'!$AD$2:$AD$495,(SUMPRODUCT((('CASE MASTER'!$T$2:$T$495=5)*('CASE MASTER'!$AA$2:$AA$495&lt;=7)*('CASE MASTER'!$AC$2:$AC$495&gt;=7)*('CASE MASTER'!$AB$2:$AB$495&lt;=5)*('CASE MASTER'!$AD$2:$AD$495&gt;=5))*ROW('CASE MASTER'!$T$2:$T$495))-(ROW('CASE MASTER'!#REF!)-1)))-INDEX('CASE MASTER'!$AB$2:$AB$495,(SUMPRODUCT((('CASE MASTER'!$T$2:$T$495=5)*('CASE MASTER'!$AA$2:$AA$495&lt;=7)*('CASE MASTER'!$AC$2:$AC$495&gt;=7)*('CASE MASTER'!$AB$2:$AB$495&lt;=5)*('CASE MASTER'!$AD$2:$AD$495&gt;=5))*ROW('CASE MASTER'!$T$2:$T$495))-(ROW('CASE MASTER'!#REF!)-1)))+1)+(5-INDEX('CASE MASTER'!$AB$2:$AB$495,(SUMPRODUCT((('CASE MASTER'!$T$2:$T$495=5)*('CASE MASTER'!$AA$2:$AA$495&lt;=7)*('CASE MASTER'!$AC$2:$AC$495&gt;=7)*('CASE MASTER'!$AB$2:$AB$495&lt;=5)*('CASE MASTER'!$AD$2:$AD$495&gt;=5))*ROW('CASE MASTER'!$T$2:$T$495))-(ROW('CASE MASTER'!#REF!)-1))))+1)))-1)*50+1,50))&amp;"_"&amp;INDEX('CASE MASTER'!$Q$2:$Q$495,(SUMPRODUCT((('CASE MASTER'!$T$2:$T$495=5)*('CASE MASTER'!$AA$2:$AA$495&lt;=7)*('CASE MASTER'!$AC$2:$AC$495&gt;=7)*('CASE MASTER'!$AB$2:$AB$495&lt;=5)*('CASE MASTER'!$AD$2:$AD$495&gt;=5))*ROW('CASE MASTER'!$T$2:$T$495))-(ROW('CASE MASTER'!#REF!)-1))),"")),"")</f>
        <v/>
      </c>
      <c r="G65" s="10" t="str">
        <f>IFERROR(IF(SUMPRODUCT((('CASE MASTER'!$T$2:$T$495=5)*('CASE MASTER'!$U$2:$U$495&lt;=7)*('CASE MASTER'!$W$2:$W$495&gt;=7)*('CASE MASTER'!$V$2:$V$495&lt;=6)*('CASE MASTER'!$X$2:$X$495&gt;=6))*ROW('CASE MASTER'!$T$2:$T$495))&gt;0,INDEX('CASE MASTER'!$Y$2:$Y$495,(SUMPRODUCT((('CASE MASTER'!$T$2:$T$495=5)*('CASE MASTER'!$U$2:$U$495&lt;=7)*('CASE MASTER'!$W$2:$W$495&gt;=7)*('CASE MASTER'!$V$2:$V$495&lt;=6)*('CASE MASTER'!$X$2:$X$495&gt;=6))*ROW('CASE MASTER'!$T$2:$T$495))-(ROW('CASE MASTER'!#REF!)-1)))&amp;TRIM(MID(SUBSTITUTE(SUBSTITUTE(INDEX('CASE MASTER'!$N$2:$N$495,(SUMPRODUCT((('CASE MASTER'!$T$2:$T$495=5)*('CASE MASTER'!$U$2:$U$495&lt;=7)*('CASE MASTER'!$W$2:$W$495&gt;=7)*('CASE MASTER'!$V$2:$V$495&lt;=6)*('CASE MASTER'!$X$2:$X$495&gt;=6))*ROW('CASE MASTER'!$T$2:$T$495))-(ROW('CASE MASTER'!#REF!)-1))),":",","),",",REPT(" ",50)),((((7-INDEX('CASE MASTER'!$U$2:$U$495,(SUMPRODUCT((('CASE MASTER'!$T$2:$T$495=5)*('CASE MASTER'!$U$2:$U$495&lt;=7)*('CASE MASTER'!$W$2:$W$495&gt;=7)*('CASE MASTER'!$V$2:$V$495&lt;=6)*('CASE MASTER'!$X$2:$X$495&gt;=6))*ROW('CASE MASTER'!$T$2:$T$495))-(ROW('CASE MASTER'!#REF!)-1))))*(INDEX('CASE MASTER'!$X$2:$X$495,(SUMPRODUCT((('CASE MASTER'!$T$2:$T$495=5)*('CASE MASTER'!$U$2:$U$495&lt;=7)*('CASE MASTER'!$W$2:$W$495&gt;=7)*('CASE MASTER'!$V$2:$V$495&lt;=6)*('CASE MASTER'!$X$2:$X$495&gt;=6))*ROW('CASE MASTER'!$T$2:$T$495))-(ROW('CASE MASTER'!#REF!)-1)))-INDEX('CASE MASTER'!$V$2:$V$495,(SUMPRODUCT((('CASE MASTER'!$T$2:$T$495=5)*('CASE MASTER'!$U$2:$U$495&lt;=7)*('CASE MASTER'!$W$2:$W$495&gt;=7)*('CASE MASTER'!$V$2:$V$495&lt;=6)*('CASE MASTER'!$X$2:$X$495&gt;=6))*ROW('CASE MASTER'!$T$2:$T$495))-(ROW('CASE MASTER'!#REF!)-1)))+1)+(6-INDEX('CASE MASTER'!$V$2:$V$495,(SUMPRODUCT((('CASE MASTER'!$T$2:$T$495=5)*('CASE MASTER'!$U$2:$U$495&lt;=7)*('CASE MASTER'!$W$2:$W$495&gt;=7)*('CASE MASTER'!$V$2:$V$495&lt;=6)*('CASE MASTER'!$X$2:$X$495&gt;=6))*ROW('CASE MASTER'!$T$2:$T$495))-(ROW('CASE MASTER'!#REF!)-1))))+1))-1)*50+1,50))&amp;"_"&amp;INDEX('CASE MASTER'!$Q$2:$Q$495,(SUMPRODUCT((('CASE MASTER'!$T$2:$T$495=5)*('CASE MASTER'!$U$2:$U$495&lt;=7)*('CASE MASTER'!$W$2:$W$495&gt;=7)*('CASE MASTER'!$V$2:$V$495&lt;=6)*('CASE MASTER'!$X$2:$X$495&gt;=6))*ROW('CASE MASTER'!$T$2:$T$495))-(ROW('CASE MASTER'!#REF!)-1))),IF(SUMPRODUCT((('CASE MASTER'!$T$2:$T$495=5)*('CASE MASTER'!$AA$2:$AA$495&lt;=7)*('CASE MASTER'!$AC$2:$AC$495&gt;=7)*('CASE MASTER'!$AB$2:$AB$495&lt;=6)*('CASE MASTER'!$AD$2:$AD$495&gt;=6))*ROW('CASE MASTER'!$T$2:$T$495))&gt;0,INDEX('CASE MASTER'!$Y$2:$Y$495,(SUMPRODUCT((('CASE MASTER'!$T$2:$T$495=5)*('CASE MASTER'!$AA$2:$AA$495&lt;=7)*('CASE MASTER'!$AC$2:$AC$495&gt;=7)*('CASE MASTER'!$AB$2:$AB$495&lt;=6)*('CASE MASTER'!$AD$2:$AD$495&gt;=6))*ROW('CASE MASTER'!$T$2:$T$495))-(ROW('CASE MASTER'!#REF!)-1)))&amp;TRIM(MID(SUBSTITUTE(SUBSTITUTE(INDEX('CASE MASTER'!$N$2:$N$495,(SUMPRODUCT((('CASE MASTER'!$T$2:$T$495=5)*('CASE MASTER'!$AA$2:$AA$495&lt;=7)*('CASE MASTER'!$AC$2:$AC$495&gt;=7)*('CASE MASTER'!$AB$2:$AB$495&lt;=6)*('CASE MASTER'!$AD$2:$AD$495&gt;=6))*ROW('CASE MASTER'!$T$2:$T$495))-(ROW('CASE MASTER'!#REF!)-1))),":",","),",",REPT(" ",50)),(((INDEX('CASE MASTER'!$Z$2:$Z$495,(SUMPRODUCT((('CASE MASTER'!$T$2:$T$495=5)*('CASE MASTER'!$AA$2:$AA$495&lt;=7)*('CASE MASTER'!$AC$2:$AC$495&gt;=7)*('CASE MASTER'!$AB$2:$AB$495&lt;=6)*('CASE MASTER'!$AD$2:$AD$495&gt;=6))*ROW('CASE MASTER'!$T$2:$T$495))-(ROW('CASE MASTER'!#REF!)-1)))+((7-INDEX('CASE MASTER'!$AA$2:$AA$495,(SUMPRODUCT((('CASE MASTER'!$T$2:$T$495=5)*('CASE MASTER'!$AA$2:$AA$495&lt;=7)*('CASE MASTER'!$AC$2:$AC$495&gt;=7)*('CASE MASTER'!$AB$2:$AB$495&lt;=6)*('CASE MASTER'!$AD$2:$AD$495&gt;=6))*ROW('CASE MASTER'!$T$2:$T$495))-(ROW('CASE MASTER'!#REF!)-1))))*(INDEX('CASE MASTER'!$AD$2:$AD$495,(SUMPRODUCT((('CASE MASTER'!$T$2:$T$495=5)*('CASE MASTER'!$AA$2:$AA$495&lt;=7)*('CASE MASTER'!$AC$2:$AC$495&gt;=7)*('CASE MASTER'!$AB$2:$AB$495&lt;=6)*('CASE MASTER'!$AD$2:$AD$495&gt;=6))*ROW('CASE MASTER'!$T$2:$T$495))-(ROW('CASE MASTER'!#REF!)-1)))-INDEX('CASE MASTER'!$AB$2:$AB$495,(SUMPRODUCT((('CASE MASTER'!$T$2:$T$495=5)*('CASE MASTER'!$AA$2:$AA$495&lt;=7)*('CASE MASTER'!$AC$2:$AC$495&gt;=7)*('CASE MASTER'!$AB$2:$AB$495&lt;=6)*('CASE MASTER'!$AD$2:$AD$495&gt;=6))*ROW('CASE MASTER'!$T$2:$T$495))-(ROW('CASE MASTER'!#REF!)-1)))+1)+(6-INDEX('CASE MASTER'!$AB$2:$AB$495,(SUMPRODUCT((('CASE MASTER'!$T$2:$T$495=5)*('CASE MASTER'!$AA$2:$AA$495&lt;=7)*('CASE MASTER'!$AC$2:$AC$495&gt;=7)*('CASE MASTER'!$AB$2:$AB$495&lt;=6)*('CASE MASTER'!$AD$2:$AD$495&gt;=6))*ROW('CASE MASTER'!$T$2:$T$495))-(ROW('CASE MASTER'!#REF!)-1))))+1)))-1)*50+1,50))&amp;"_"&amp;INDEX('CASE MASTER'!$Q$2:$Q$495,(SUMPRODUCT((('CASE MASTER'!$T$2:$T$495=5)*('CASE MASTER'!$AA$2:$AA$495&lt;=7)*('CASE MASTER'!$AC$2:$AC$495&gt;=7)*('CASE MASTER'!$AB$2:$AB$495&lt;=6)*('CASE MASTER'!$AD$2:$AD$495&gt;=6))*ROW('CASE MASTER'!$T$2:$T$495))-(ROW('CASE MASTER'!#REF!)-1))),"")),"")</f>
        <v/>
      </c>
      <c r="H65" s="10" t="str">
        <f>IFERROR(IF(SUMPRODUCT((('CASE MASTER'!$T$2:$T$495=5)*('CASE MASTER'!$U$2:$U$495&lt;=7)*('CASE MASTER'!$W$2:$W$495&gt;=7)*('CASE MASTER'!$V$2:$V$495&lt;=7)*('CASE MASTER'!$X$2:$X$495&gt;=7))*ROW('CASE MASTER'!$T$2:$T$495))&gt;0,INDEX('CASE MASTER'!$Y$2:$Y$495,(SUMPRODUCT((('CASE MASTER'!$T$2:$T$495=5)*('CASE MASTER'!$U$2:$U$495&lt;=7)*('CASE MASTER'!$W$2:$W$495&gt;=7)*('CASE MASTER'!$V$2:$V$495&lt;=7)*('CASE MASTER'!$X$2:$X$495&gt;=7))*ROW('CASE MASTER'!$T$2:$T$495))-(ROW('CASE MASTER'!#REF!)-1)))&amp;TRIM(MID(SUBSTITUTE(SUBSTITUTE(INDEX('CASE MASTER'!$N$2:$N$495,(SUMPRODUCT((('CASE MASTER'!$T$2:$T$495=5)*('CASE MASTER'!$U$2:$U$495&lt;=7)*('CASE MASTER'!$W$2:$W$495&gt;=7)*('CASE MASTER'!$V$2:$V$495&lt;=7)*('CASE MASTER'!$X$2:$X$495&gt;=7))*ROW('CASE MASTER'!$T$2:$T$495))-(ROW('CASE MASTER'!#REF!)-1))),":",","),",",REPT(" ",50)),((((7-INDEX('CASE MASTER'!$U$2:$U$495,(SUMPRODUCT((('CASE MASTER'!$T$2:$T$495=5)*('CASE MASTER'!$U$2:$U$495&lt;=7)*('CASE MASTER'!$W$2:$W$495&gt;=7)*('CASE MASTER'!$V$2:$V$495&lt;=7)*('CASE MASTER'!$X$2:$X$495&gt;=7))*ROW('CASE MASTER'!$T$2:$T$495))-(ROW('CASE MASTER'!#REF!)-1))))*(INDEX('CASE MASTER'!$X$2:$X$495,(SUMPRODUCT((('CASE MASTER'!$T$2:$T$495=5)*('CASE MASTER'!$U$2:$U$495&lt;=7)*('CASE MASTER'!$W$2:$W$495&gt;=7)*('CASE MASTER'!$V$2:$V$495&lt;=7)*('CASE MASTER'!$X$2:$X$495&gt;=7))*ROW('CASE MASTER'!$T$2:$T$495))-(ROW('CASE MASTER'!#REF!)-1)))-INDEX('CASE MASTER'!$V$2:$V$495,(SUMPRODUCT((('CASE MASTER'!$T$2:$T$495=5)*('CASE MASTER'!$U$2:$U$495&lt;=7)*('CASE MASTER'!$W$2:$W$495&gt;=7)*('CASE MASTER'!$V$2:$V$495&lt;=7)*('CASE MASTER'!$X$2:$X$495&gt;=7))*ROW('CASE MASTER'!$T$2:$T$495))-(ROW('CASE MASTER'!#REF!)-1)))+1)+(7-INDEX('CASE MASTER'!$V$2:$V$495,(SUMPRODUCT((('CASE MASTER'!$T$2:$T$495=5)*('CASE MASTER'!$U$2:$U$495&lt;=7)*('CASE MASTER'!$W$2:$W$495&gt;=7)*('CASE MASTER'!$V$2:$V$495&lt;=7)*('CASE MASTER'!$X$2:$X$495&gt;=7))*ROW('CASE MASTER'!$T$2:$T$495))-(ROW('CASE MASTER'!#REF!)-1))))+1))-1)*50+1,50))&amp;"_"&amp;INDEX('CASE MASTER'!$Q$2:$Q$495,(SUMPRODUCT((('CASE MASTER'!$T$2:$T$495=5)*('CASE MASTER'!$U$2:$U$495&lt;=7)*('CASE MASTER'!$W$2:$W$495&gt;=7)*('CASE MASTER'!$V$2:$V$495&lt;=7)*('CASE MASTER'!$X$2:$X$495&gt;=7))*ROW('CASE MASTER'!$T$2:$T$495))-(ROW('CASE MASTER'!#REF!)-1))),IF(SUMPRODUCT((('CASE MASTER'!$T$2:$T$495=5)*('CASE MASTER'!$AA$2:$AA$495&lt;=7)*('CASE MASTER'!$AC$2:$AC$495&gt;=7)*('CASE MASTER'!$AB$2:$AB$495&lt;=7)*('CASE MASTER'!$AD$2:$AD$495&gt;=7))*ROW('CASE MASTER'!$T$2:$T$495))&gt;0,INDEX('CASE MASTER'!$Y$2:$Y$495,(SUMPRODUCT((('CASE MASTER'!$T$2:$T$495=5)*('CASE MASTER'!$AA$2:$AA$495&lt;=7)*('CASE MASTER'!$AC$2:$AC$495&gt;=7)*('CASE MASTER'!$AB$2:$AB$495&lt;=7)*('CASE MASTER'!$AD$2:$AD$495&gt;=7))*ROW('CASE MASTER'!$T$2:$T$495))-(ROW('CASE MASTER'!#REF!)-1)))&amp;TRIM(MID(SUBSTITUTE(SUBSTITUTE(INDEX('CASE MASTER'!$N$2:$N$495,(SUMPRODUCT((('CASE MASTER'!$T$2:$T$495=5)*('CASE MASTER'!$AA$2:$AA$495&lt;=7)*('CASE MASTER'!$AC$2:$AC$495&gt;=7)*('CASE MASTER'!$AB$2:$AB$495&lt;=7)*('CASE MASTER'!$AD$2:$AD$495&gt;=7))*ROW('CASE MASTER'!$T$2:$T$495))-(ROW('CASE MASTER'!#REF!)-1))),":",","),",",REPT(" ",50)),(((INDEX('CASE MASTER'!$Z$2:$Z$495,(SUMPRODUCT((('CASE MASTER'!$T$2:$T$495=5)*('CASE MASTER'!$AA$2:$AA$495&lt;=7)*('CASE MASTER'!$AC$2:$AC$495&gt;=7)*('CASE MASTER'!$AB$2:$AB$495&lt;=7)*('CASE MASTER'!$AD$2:$AD$495&gt;=7))*ROW('CASE MASTER'!$T$2:$T$495))-(ROW('CASE MASTER'!#REF!)-1)))+((7-INDEX('CASE MASTER'!$AA$2:$AA$495,(SUMPRODUCT((('CASE MASTER'!$T$2:$T$495=5)*('CASE MASTER'!$AA$2:$AA$495&lt;=7)*('CASE MASTER'!$AC$2:$AC$495&gt;=7)*('CASE MASTER'!$AB$2:$AB$495&lt;=7)*('CASE MASTER'!$AD$2:$AD$495&gt;=7))*ROW('CASE MASTER'!$T$2:$T$495))-(ROW('CASE MASTER'!#REF!)-1))))*(INDEX('CASE MASTER'!$AD$2:$AD$495,(SUMPRODUCT((('CASE MASTER'!$T$2:$T$495=5)*('CASE MASTER'!$AA$2:$AA$495&lt;=7)*('CASE MASTER'!$AC$2:$AC$495&gt;=7)*('CASE MASTER'!$AB$2:$AB$495&lt;=7)*('CASE MASTER'!$AD$2:$AD$495&gt;=7))*ROW('CASE MASTER'!$T$2:$T$495))-(ROW('CASE MASTER'!#REF!)-1)))-INDEX('CASE MASTER'!$AB$2:$AB$495,(SUMPRODUCT((('CASE MASTER'!$T$2:$T$495=5)*('CASE MASTER'!$AA$2:$AA$495&lt;=7)*('CASE MASTER'!$AC$2:$AC$495&gt;=7)*('CASE MASTER'!$AB$2:$AB$495&lt;=7)*('CASE MASTER'!$AD$2:$AD$495&gt;=7))*ROW('CASE MASTER'!$T$2:$T$495))-(ROW('CASE MASTER'!#REF!)-1)))+1)+(7-INDEX('CASE MASTER'!$AB$2:$AB$495,(SUMPRODUCT((('CASE MASTER'!$T$2:$T$495=5)*('CASE MASTER'!$AA$2:$AA$495&lt;=7)*('CASE MASTER'!$AC$2:$AC$495&gt;=7)*('CASE MASTER'!$AB$2:$AB$495&lt;=7)*('CASE MASTER'!$AD$2:$AD$495&gt;=7))*ROW('CASE MASTER'!$T$2:$T$495))-(ROW('CASE MASTER'!#REF!)-1))))+1)))-1)*50+1,50))&amp;"_"&amp;INDEX('CASE MASTER'!$Q$2:$Q$495,(SUMPRODUCT((('CASE MASTER'!$T$2:$T$495=5)*('CASE MASTER'!$AA$2:$AA$495&lt;=7)*('CASE MASTER'!$AC$2:$AC$495&gt;=7)*('CASE MASTER'!$AB$2:$AB$495&lt;=7)*('CASE MASTER'!$AD$2:$AD$495&gt;=7))*ROW('CASE MASTER'!$T$2:$T$495))-(ROW('CASE MASTER'!#REF!)-1))),"")),"")</f>
        <v/>
      </c>
      <c r="I65" s="10" t="str">
        <f>IFERROR(IF(SUMPRODUCT((('CASE MASTER'!$T$2:$T$495=5)*('CASE MASTER'!$U$2:$U$495&lt;=7)*('CASE MASTER'!$W$2:$W$495&gt;=7)*('CASE MASTER'!$V$2:$V$495&lt;=8)*('CASE MASTER'!$X$2:$X$495&gt;=8))*ROW('CASE MASTER'!$T$2:$T$495))&gt;0,INDEX('CASE MASTER'!$Y$2:$Y$495,(SUMPRODUCT((('CASE MASTER'!$T$2:$T$495=5)*('CASE MASTER'!$U$2:$U$495&lt;=7)*('CASE MASTER'!$W$2:$W$495&gt;=7)*('CASE MASTER'!$V$2:$V$495&lt;=8)*('CASE MASTER'!$X$2:$X$495&gt;=8))*ROW('CASE MASTER'!$T$2:$T$495))-(ROW('CASE MASTER'!#REF!)-1)))&amp;TRIM(MID(SUBSTITUTE(SUBSTITUTE(INDEX('CASE MASTER'!$N$2:$N$495,(SUMPRODUCT((('CASE MASTER'!$T$2:$T$495=5)*('CASE MASTER'!$U$2:$U$495&lt;=7)*('CASE MASTER'!$W$2:$W$495&gt;=7)*('CASE MASTER'!$V$2:$V$495&lt;=8)*('CASE MASTER'!$X$2:$X$495&gt;=8))*ROW('CASE MASTER'!$T$2:$T$495))-(ROW('CASE MASTER'!#REF!)-1))),":",","),",",REPT(" ",50)),((((7-INDEX('CASE MASTER'!$U$2:$U$495,(SUMPRODUCT((('CASE MASTER'!$T$2:$T$495=5)*('CASE MASTER'!$U$2:$U$495&lt;=7)*('CASE MASTER'!$W$2:$W$495&gt;=7)*('CASE MASTER'!$V$2:$V$495&lt;=8)*('CASE MASTER'!$X$2:$X$495&gt;=8))*ROW('CASE MASTER'!$T$2:$T$495))-(ROW('CASE MASTER'!#REF!)-1))))*(INDEX('CASE MASTER'!$X$2:$X$495,(SUMPRODUCT((('CASE MASTER'!$T$2:$T$495=5)*('CASE MASTER'!$U$2:$U$495&lt;=7)*('CASE MASTER'!$W$2:$W$495&gt;=7)*('CASE MASTER'!$V$2:$V$495&lt;=8)*('CASE MASTER'!$X$2:$X$495&gt;=8))*ROW('CASE MASTER'!$T$2:$T$495))-(ROW('CASE MASTER'!#REF!)-1)))-INDEX('CASE MASTER'!$V$2:$V$495,(SUMPRODUCT((('CASE MASTER'!$T$2:$T$495=5)*('CASE MASTER'!$U$2:$U$495&lt;=7)*('CASE MASTER'!$W$2:$W$495&gt;=7)*('CASE MASTER'!$V$2:$V$495&lt;=8)*('CASE MASTER'!$X$2:$X$495&gt;=8))*ROW('CASE MASTER'!$T$2:$T$495))-(ROW('CASE MASTER'!#REF!)-1)))+1)+(8-INDEX('CASE MASTER'!$V$2:$V$495,(SUMPRODUCT((('CASE MASTER'!$T$2:$T$495=5)*('CASE MASTER'!$U$2:$U$495&lt;=7)*('CASE MASTER'!$W$2:$W$495&gt;=7)*('CASE MASTER'!$V$2:$V$495&lt;=8)*('CASE MASTER'!$X$2:$X$495&gt;=8))*ROW('CASE MASTER'!$T$2:$T$495))-(ROW('CASE MASTER'!#REF!)-1))))+1))-1)*50+1,50))&amp;"_"&amp;INDEX('CASE MASTER'!$Q$2:$Q$495,(SUMPRODUCT((('CASE MASTER'!$T$2:$T$495=5)*('CASE MASTER'!$U$2:$U$495&lt;=7)*('CASE MASTER'!$W$2:$W$495&gt;=7)*('CASE MASTER'!$V$2:$V$495&lt;=8)*('CASE MASTER'!$X$2:$X$495&gt;=8))*ROW('CASE MASTER'!$T$2:$T$495))-(ROW('CASE MASTER'!#REF!)-1))),IF(SUMPRODUCT((('CASE MASTER'!$T$2:$T$495=5)*('CASE MASTER'!$AA$2:$AA$495&lt;=7)*('CASE MASTER'!$AC$2:$AC$495&gt;=7)*('CASE MASTER'!$AB$2:$AB$495&lt;=8)*('CASE MASTER'!$AD$2:$AD$495&gt;=8))*ROW('CASE MASTER'!$T$2:$T$495))&gt;0,INDEX('CASE MASTER'!$Y$2:$Y$495,(SUMPRODUCT((('CASE MASTER'!$T$2:$T$495=5)*('CASE MASTER'!$AA$2:$AA$495&lt;=7)*('CASE MASTER'!$AC$2:$AC$495&gt;=7)*('CASE MASTER'!$AB$2:$AB$495&lt;=8)*('CASE MASTER'!$AD$2:$AD$495&gt;=8))*ROW('CASE MASTER'!$T$2:$T$495))-(ROW('CASE MASTER'!#REF!)-1)))&amp;TRIM(MID(SUBSTITUTE(SUBSTITUTE(INDEX('CASE MASTER'!$N$2:$N$495,(SUMPRODUCT((('CASE MASTER'!$T$2:$T$495=5)*('CASE MASTER'!$AA$2:$AA$495&lt;=7)*('CASE MASTER'!$AC$2:$AC$495&gt;=7)*('CASE MASTER'!$AB$2:$AB$495&lt;=8)*('CASE MASTER'!$AD$2:$AD$495&gt;=8))*ROW('CASE MASTER'!$T$2:$T$495))-(ROW('CASE MASTER'!#REF!)-1))),":",","),",",REPT(" ",50)),(((INDEX('CASE MASTER'!$Z$2:$Z$495,(SUMPRODUCT((('CASE MASTER'!$T$2:$T$495=5)*('CASE MASTER'!$AA$2:$AA$495&lt;=7)*('CASE MASTER'!$AC$2:$AC$495&gt;=7)*('CASE MASTER'!$AB$2:$AB$495&lt;=8)*('CASE MASTER'!$AD$2:$AD$495&gt;=8))*ROW('CASE MASTER'!$T$2:$T$495))-(ROW('CASE MASTER'!#REF!)-1)))+((7-INDEX('CASE MASTER'!$AA$2:$AA$495,(SUMPRODUCT((('CASE MASTER'!$T$2:$T$495=5)*('CASE MASTER'!$AA$2:$AA$495&lt;=7)*('CASE MASTER'!$AC$2:$AC$495&gt;=7)*('CASE MASTER'!$AB$2:$AB$495&lt;=8)*('CASE MASTER'!$AD$2:$AD$495&gt;=8))*ROW('CASE MASTER'!$T$2:$T$495))-(ROW('CASE MASTER'!#REF!)-1))))*(INDEX('CASE MASTER'!$AD$2:$AD$495,(SUMPRODUCT((('CASE MASTER'!$T$2:$T$495=5)*('CASE MASTER'!$AA$2:$AA$495&lt;=7)*('CASE MASTER'!$AC$2:$AC$495&gt;=7)*('CASE MASTER'!$AB$2:$AB$495&lt;=8)*('CASE MASTER'!$AD$2:$AD$495&gt;=8))*ROW('CASE MASTER'!$T$2:$T$495))-(ROW('CASE MASTER'!#REF!)-1)))-INDEX('CASE MASTER'!$AB$2:$AB$495,(SUMPRODUCT((('CASE MASTER'!$T$2:$T$495=5)*('CASE MASTER'!$AA$2:$AA$495&lt;=7)*('CASE MASTER'!$AC$2:$AC$495&gt;=7)*('CASE MASTER'!$AB$2:$AB$495&lt;=8)*('CASE MASTER'!$AD$2:$AD$495&gt;=8))*ROW('CASE MASTER'!$T$2:$T$495))-(ROW('CASE MASTER'!#REF!)-1)))+1)+(8-INDEX('CASE MASTER'!$AB$2:$AB$495,(SUMPRODUCT((('CASE MASTER'!$T$2:$T$495=5)*('CASE MASTER'!$AA$2:$AA$495&lt;=7)*('CASE MASTER'!$AC$2:$AC$495&gt;=7)*('CASE MASTER'!$AB$2:$AB$495&lt;=8)*('CASE MASTER'!$AD$2:$AD$495&gt;=8))*ROW('CASE MASTER'!$T$2:$T$495))-(ROW('CASE MASTER'!#REF!)-1))))+1)))-1)*50+1,50))&amp;"_"&amp;INDEX('CASE MASTER'!$Q$2:$Q$495,(SUMPRODUCT((('CASE MASTER'!$T$2:$T$495=5)*('CASE MASTER'!$AA$2:$AA$495&lt;=7)*('CASE MASTER'!$AC$2:$AC$495&gt;=7)*('CASE MASTER'!$AB$2:$AB$495&lt;=8)*('CASE MASTER'!$AD$2:$AD$495&gt;=8))*ROW('CASE MASTER'!$T$2:$T$495))-(ROW('CASE MASTER'!#REF!)-1))),"")),"")</f>
        <v/>
      </c>
      <c r="J65" s="10" t="str">
        <f>IFERROR(IF(SUMPRODUCT((('CASE MASTER'!$T$2:$T$495=5)*('CASE MASTER'!$U$2:$U$495&lt;=7)*('CASE MASTER'!$W$2:$W$495&gt;=7)*('CASE MASTER'!$V$2:$V$495&lt;=9)*('CASE MASTER'!$X$2:$X$495&gt;=9))*ROW('CASE MASTER'!$T$2:$T$495))&gt;0,INDEX('CASE MASTER'!$Y$2:$Y$495,(SUMPRODUCT((('CASE MASTER'!$T$2:$T$495=5)*('CASE MASTER'!$U$2:$U$495&lt;=7)*('CASE MASTER'!$W$2:$W$495&gt;=7)*('CASE MASTER'!$V$2:$V$495&lt;=9)*('CASE MASTER'!$X$2:$X$495&gt;=9))*ROW('CASE MASTER'!$T$2:$T$495))-(ROW('CASE MASTER'!#REF!)-1)))&amp;TRIM(MID(SUBSTITUTE(SUBSTITUTE(INDEX('CASE MASTER'!$N$2:$N$495,(SUMPRODUCT((('CASE MASTER'!$T$2:$T$495=5)*('CASE MASTER'!$U$2:$U$495&lt;=7)*('CASE MASTER'!$W$2:$W$495&gt;=7)*('CASE MASTER'!$V$2:$V$495&lt;=9)*('CASE MASTER'!$X$2:$X$495&gt;=9))*ROW('CASE MASTER'!$T$2:$T$495))-(ROW('CASE MASTER'!#REF!)-1))),":",","),",",REPT(" ",50)),((((7-INDEX('CASE MASTER'!$U$2:$U$495,(SUMPRODUCT((('CASE MASTER'!$T$2:$T$495=5)*('CASE MASTER'!$U$2:$U$495&lt;=7)*('CASE MASTER'!$W$2:$W$495&gt;=7)*('CASE MASTER'!$V$2:$V$495&lt;=9)*('CASE MASTER'!$X$2:$X$495&gt;=9))*ROW('CASE MASTER'!$T$2:$T$495))-(ROW('CASE MASTER'!#REF!)-1))))*(INDEX('CASE MASTER'!$X$2:$X$495,(SUMPRODUCT((('CASE MASTER'!$T$2:$T$495=5)*('CASE MASTER'!$U$2:$U$495&lt;=7)*('CASE MASTER'!$W$2:$W$495&gt;=7)*('CASE MASTER'!$V$2:$V$495&lt;=9)*('CASE MASTER'!$X$2:$X$495&gt;=9))*ROW('CASE MASTER'!$T$2:$T$495))-(ROW('CASE MASTER'!#REF!)-1)))-INDEX('CASE MASTER'!$V$2:$V$495,(SUMPRODUCT((('CASE MASTER'!$T$2:$T$495=5)*('CASE MASTER'!$U$2:$U$495&lt;=7)*('CASE MASTER'!$W$2:$W$495&gt;=7)*('CASE MASTER'!$V$2:$V$495&lt;=9)*('CASE MASTER'!$X$2:$X$495&gt;=9))*ROW('CASE MASTER'!$T$2:$T$495))-(ROW('CASE MASTER'!#REF!)-1)))+1)+(9-INDEX('CASE MASTER'!$V$2:$V$495,(SUMPRODUCT((('CASE MASTER'!$T$2:$T$495=5)*('CASE MASTER'!$U$2:$U$495&lt;=7)*('CASE MASTER'!$W$2:$W$495&gt;=7)*('CASE MASTER'!$V$2:$V$495&lt;=9)*('CASE MASTER'!$X$2:$X$495&gt;=9))*ROW('CASE MASTER'!$T$2:$T$495))-(ROW('CASE MASTER'!#REF!)-1))))+1))-1)*50+1,50))&amp;"_"&amp;INDEX('CASE MASTER'!$Q$2:$Q$495,(SUMPRODUCT((('CASE MASTER'!$T$2:$T$495=5)*('CASE MASTER'!$U$2:$U$495&lt;=7)*('CASE MASTER'!$W$2:$W$495&gt;=7)*('CASE MASTER'!$V$2:$V$495&lt;=9)*('CASE MASTER'!$X$2:$X$495&gt;=9))*ROW('CASE MASTER'!$T$2:$T$495))-(ROW('CASE MASTER'!#REF!)-1))),IF(SUMPRODUCT((('CASE MASTER'!$T$2:$T$495=5)*('CASE MASTER'!$AA$2:$AA$495&lt;=7)*('CASE MASTER'!$AC$2:$AC$495&gt;=7)*('CASE MASTER'!$AB$2:$AB$495&lt;=9)*('CASE MASTER'!$AD$2:$AD$495&gt;=9))*ROW('CASE MASTER'!$T$2:$T$495))&gt;0,INDEX('CASE MASTER'!$Y$2:$Y$495,(SUMPRODUCT((('CASE MASTER'!$T$2:$T$495=5)*('CASE MASTER'!$AA$2:$AA$495&lt;=7)*('CASE MASTER'!$AC$2:$AC$495&gt;=7)*('CASE MASTER'!$AB$2:$AB$495&lt;=9)*('CASE MASTER'!$AD$2:$AD$495&gt;=9))*ROW('CASE MASTER'!$T$2:$T$495))-(ROW('CASE MASTER'!#REF!)-1)))&amp;TRIM(MID(SUBSTITUTE(SUBSTITUTE(INDEX('CASE MASTER'!$N$2:$N$495,(SUMPRODUCT((('CASE MASTER'!$T$2:$T$495=5)*('CASE MASTER'!$AA$2:$AA$495&lt;=7)*('CASE MASTER'!$AC$2:$AC$495&gt;=7)*('CASE MASTER'!$AB$2:$AB$495&lt;=9)*('CASE MASTER'!$AD$2:$AD$495&gt;=9))*ROW('CASE MASTER'!$T$2:$T$495))-(ROW('CASE MASTER'!#REF!)-1))),":",","),",",REPT(" ",50)),(((INDEX('CASE MASTER'!$Z$2:$Z$495,(SUMPRODUCT((('CASE MASTER'!$T$2:$T$495=5)*('CASE MASTER'!$AA$2:$AA$495&lt;=7)*('CASE MASTER'!$AC$2:$AC$495&gt;=7)*('CASE MASTER'!$AB$2:$AB$495&lt;=9)*('CASE MASTER'!$AD$2:$AD$495&gt;=9))*ROW('CASE MASTER'!$T$2:$T$495))-(ROW('CASE MASTER'!#REF!)-1)))+((7-INDEX('CASE MASTER'!$AA$2:$AA$495,(SUMPRODUCT((('CASE MASTER'!$T$2:$T$495=5)*('CASE MASTER'!$AA$2:$AA$495&lt;=7)*('CASE MASTER'!$AC$2:$AC$495&gt;=7)*('CASE MASTER'!$AB$2:$AB$495&lt;=9)*('CASE MASTER'!$AD$2:$AD$495&gt;=9))*ROW('CASE MASTER'!$T$2:$T$495))-(ROW('CASE MASTER'!#REF!)-1))))*(INDEX('CASE MASTER'!$AD$2:$AD$495,(SUMPRODUCT((('CASE MASTER'!$T$2:$T$495=5)*('CASE MASTER'!$AA$2:$AA$495&lt;=7)*('CASE MASTER'!$AC$2:$AC$495&gt;=7)*('CASE MASTER'!$AB$2:$AB$495&lt;=9)*('CASE MASTER'!$AD$2:$AD$495&gt;=9))*ROW('CASE MASTER'!$T$2:$T$495))-(ROW('CASE MASTER'!#REF!)-1)))-INDEX('CASE MASTER'!$AB$2:$AB$495,(SUMPRODUCT((('CASE MASTER'!$T$2:$T$495=5)*('CASE MASTER'!$AA$2:$AA$495&lt;=7)*('CASE MASTER'!$AC$2:$AC$495&gt;=7)*('CASE MASTER'!$AB$2:$AB$495&lt;=9)*('CASE MASTER'!$AD$2:$AD$495&gt;=9))*ROW('CASE MASTER'!$T$2:$T$495))-(ROW('CASE MASTER'!#REF!)-1)))+1)+(9-INDEX('CASE MASTER'!$AB$2:$AB$495,(SUMPRODUCT((('CASE MASTER'!$T$2:$T$495=5)*('CASE MASTER'!$AA$2:$AA$495&lt;=7)*('CASE MASTER'!$AC$2:$AC$495&gt;=7)*('CASE MASTER'!$AB$2:$AB$495&lt;=9)*('CASE MASTER'!$AD$2:$AD$495&gt;=9))*ROW('CASE MASTER'!$T$2:$T$495))-(ROW('CASE MASTER'!#REF!)-1))))+1)))-1)*50+1,50))&amp;"_"&amp;INDEX('CASE MASTER'!$Q$2:$Q$495,(SUMPRODUCT((('CASE MASTER'!$T$2:$T$495=5)*('CASE MASTER'!$AA$2:$AA$495&lt;=7)*('CASE MASTER'!$AC$2:$AC$495&gt;=7)*('CASE MASTER'!$AB$2:$AB$495&lt;=9)*('CASE MASTER'!$AD$2:$AD$495&gt;=9))*ROW('CASE MASTER'!$T$2:$T$495))-(ROW('CASE MASTER'!#REF!)-1))),"")),"")</f>
        <v/>
      </c>
      <c r="K65" s="10" t="str">
        <f>IFERROR(IF(SUMPRODUCT((('CASE MASTER'!$T$2:$T$495=5)*('CASE MASTER'!$U$2:$U$495&lt;=7)*('CASE MASTER'!$W$2:$W$495&gt;=7)*('CASE MASTER'!$V$2:$V$495&lt;=10)*('CASE MASTER'!$X$2:$X$495&gt;=10))*ROW('CASE MASTER'!$T$2:$T$495))&gt;0,INDEX('CASE MASTER'!$Y$2:$Y$495,(SUMPRODUCT((('CASE MASTER'!$T$2:$T$495=5)*('CASE MASTER'!$U$2:$U$495&lt;=7)*('CASE MASTER'!$W$2:$W$495&gt;=7)*('CASE MASTER'!$V$2:$V$495&lt;=10)*('CASE MASTER'!$X$2:$X$495&gt;=10))*ROW('CASE MASTER'!$T$2:$T$495))-(ROW('CASE MASTER'!#REF!)-1)))&amp;TRIM(MID(SUBSTITUTE(SUBSTITUTE(INDEX('CASE MASTER'!$N$2:$N$495,(SUMPRODUCT((('CASE MASTER'!$T$2:$T$495=5)*('CASE MASTER'!$U$2:$U$495&lt;=7)*('CASE MASTER'!$W$2:$W$495&gt;=7)*('CASE MASTER'!$V$2:$V$495&lt;=10)*('CASE MASTER'!$X$2:$X$495&gt;=10))*ROW('CASE MASTER'!$T$2:$T$495))-(ROW('CASE MASTER'!#REF!)-1))),":",","),",",REPT(" ",50)),((((7-INDEX('CASE MASTER'!$U$2:$U$495,(SUMPRODUCT((('CASE MASTER'!$T$2:$T$495=5)*('CASE MASTER'!$U$2:$U$495&lt;=7)*('CASE MASTER'!$W$2:$W$495&gt;=7)*('CASE MASTER'!$V$2:$V$495&lt;=10)*('CASE MASTER'!$X$2:$X$495&gt;=10))*ROW('CASE MASTER'!$T$2:$T$495))-(ROW('CASE MASTER'!#REF!)-1))))*(INDEX('CASE MASTER'!$X$2:$X$495,(SUMPRODUCT((('CASE MASTER'!$T$2:$T$495=5)*('CASE MASTER'!$U$2:$U$495&lt;=7)*('CASE MASTER'!$W$2:$W$495&gt;=7)*('CASE MASTER'!$V$2:$V$495&lt;=10)*('CASE MASTER'!$X$2:$X$495&gt;=10))*ROW('CASE MASTER'!$T$2:$T$495))-(ROW('CASE MASTER'!#REF!)-1)))-INDEX('CASE MASTER'!$V$2:$V$495,(SUMPRODUCT((('CASE MASTER'!$T$2:$T$495=5)*('CASE MASTER'!$U$2:$U$495&lt;=7)*('CASE MASTER'!$W$2:$W$495&gt;=7)*('CASE MASTER'!$V$2:$V$495&lt;=10)*('CASE MASTER'!$X$2:$X$495&gt;=10))*ROW('CASE MASTER'!$T$2:$T$495))-(ROW('CASE MASTER'!#REF!)-1)))+1)+(10-INDEX('CASE MASTER'!$V$2:$V$495,(SUMPRODUCT((('CASE MASTER'!$T$2:$T$495=5)*('CASE MASTER'!$U$2:$U$495&lt;=7)*('CASE MASTER'!$W$2:$W$495&gt;=7)*('CASE MASTER'!$V$2:$V$495&lt;=10)*('CASE MASTER'!$X$2:$X$495&gt;=10))*ROW('CASE MASTER'!$T$2:$T$495))-(ROW('CASE MASTER'!#REF!)-1))))+1))-1)*50+1,50))&amp;"_"&amp;INDEX('CASE MASTER'!$Q$2:$Q$495,(SUMPRODUCT((('CASE MASTER'!$T$2:$T$495=5)*('CASE MASTER'!$U$2:$U$495&lt;=7)*('CASE MASTER'!$W$2:$W$495&gt;=7)*('CASE MASTER'!$V$2:$V$495&lt;=10)*('CASE MASTER'!$X$2:$X$495&gt;=10))*ROW('CASE MASTER'!$T$2:$T$495))-(ROW('CASE MASTER'!#REF!)-1))),IF(SUMPRODUCT((('CASE MASTER'!$T$2:$T$495=5)*('CASE MASTER'!$AA$2:$AA$495&lt;=7)*('CASE MASTER'!$AC$2:$AC$495&gt;=7)*('CASE MASTER'!$AB$2:$AB$495&lt;=10)*('CASE MASTER'!$AD$2:$AD$495&gt;=10))*ROW('CASE MASTER'!$T$2:$T$495))&gt;0,INDEX('CASE MASTER'!$Y$2:$Y$495,(SUMPRODUCT((('CASE MASTER'!$T$2:$T$495=5)*('CASE MASTER'!$AA$2:$AA$495&lt;=7)*('CASE MASTER'!$AC$2:$AC$495&gt;=7)*('CASE MASTER'!$AB$2:$AB$495&lt;=10)*('CASE MASTER'!$AD$2:$AD$495&gt;=10))*ROW('CASE MASTER'!$T$2:$T$495))-(ROW('CASE MASTER'!#REF!)-1)))&amp;TRIM(MID(SUBSTITUTE(SUBSTITUTE(INDEX('CASE MASTER'!$N$2:$N$495,(SUMPRODUCT((('CASE MASTER'!$T$2:$T$495=5)*('CASE MASTER'!$AA$2:$AA$495&lt;=7)*('CASE MASTER'!$AC$2:$AC$495&gt;=7)*('CASE MASTER'!$AB$2:$AB$495&lt;=10)*('CASE MASTER'!$AD$2:$AD$495&gt;=10))*ROW('CASE MASTER'!$T$2:$T$495))-(ROW('CASE MASTER'!#REF!)-1))),":",","),",",REPT(" ",50)),(((INDEX('CASE MASTER'!$Z$2:$Z$495,(SUMPRODUCT((('CASE MASTER'!$T$2:$T$495=5)*('CASE MASTER'!$AA$2:$AA$495&lt;=7)*('CASE MASTER'!$AC$2:$AC$495&gt;=7)*('CASE MASTER'!$AB$2:$AB$495&lt;=10)*('CASE MASTER'!$AD$2:$AD$495&gt;=10))*ROW('CASE MASTER'!$T$2:$T$495))-(ROW('CASE MASTER'!#REF!)-1)))+((7-INDEX('CASE MASTER'!$AA$2:$AA$495,(SUMPRODUCT((('CASE MASTER'!$T$2:$T$495=5)*('CASE MASTER'!$AA$2:$AA$495&lt;=7)*('CASE MASTER'!$AC$2:$AC$495&gt;=7)*('CASE MASTER'!$AB$2:$AB$495&lt;=10)*('CASE MASTER'!$AD$2:$AD$495&gt;=10))*ROW('CASE MASTER'!$T$2:$T$495))-(ROW('CASE MASTER'!#REF!)-1))))*(INDEX('CASE MASTER'!$AD$2:$AD$495,(SUMPRODUCT((('CASE MASTER'!$T$2:$T$495=5)*('CASE MASTER'!$AA$2:$AA$495&lt;=7)*('CASE MASTER'!$AC$2:$AC$495&gt;=7)*('CASE MASTER'!$AB$2:$AB$495&lt;=10)*('CASE MASTER'!$AD$2:$AD$495&gt;=10))*ROW('CASE MASTER'!$T$2:$T$495))-(ROW('CASE MASTER'!#REF!)-1)))-INDEX('CASE MASTER'!$AB$2:$AB$495,(SUMPRODUCT((('CASE MASTER'!$T$2:$T$495=5)*('CASE MASTER'!$AA$2:$AA$495&lt;=7)*('CASE MASTER'!$AC$2:$AC$495&gt;=7)*('CASE MASTER'!$AB$2:$AB$495&lt;=10)*('CASE MASTER'!$AD$2:$AD$495&gt;=10))*ROW('CASE MASTER'!$T$2:$T$495))-(ROW('CASE MASTER'!#REF!)-1)))+1)+(10-INDEX('CASE MASTER'!$AB$2:$AB$495,(SUMPRODUCT((('CASE MASTER'!$T$2:$T$495=5)*('CASE MASTER'!$AA$2:$AA$495&lt;=7)*('CASE MASTER'!$AC$2:$AC$495&gt;=7)*('CASE MASTER'!$AB$2:$AB$495&lt;=10)*('CASE MASTER'!$AD$2:$AD$495&gt;=10))*ROW('CASE MASTER'!$T$2:$T$495))-(ROW('CASE MASTER'!#REF!)-1))))+1)))-1)*50+1,50))&amp;"_"&amp;INDEX('CASE MASTER'!$Q$2:$Q$495,(SUMPRODUCT((('CASE MASTER'!$T$2:$T$495=5)*('CASE MASTER'!$AA$2:$AA$495&lt;=7)*('CASE MASTER'!$AC$2:$AC$495&gt;=7)*('CASE MASTER'!$AB$2:$AB$495&lt;=10)*('CASE MASTER'!$AD$2:$AD$495&gt;=10))*ROW('CASE MASTER'!$T$2:$T$495))-(ROW('CASE MASTER'!#REF!)-1))),"")),"")</f>
        <v/>
      </c>
    </row>
    <row r="66" spans="1:11" ht="15" customHeight="1" x14ac:dyDescent="0.35">
      <c r="A66" s="8" t="s">
        <v>35</v>
      </c>
      <c r="B66" s="10" t="str">
        <f>IFERROR(IF(SUMPRODUCT((('CASE MASTER'!$T$2:$T$495=5)*('CASE MASTER'!$U$2:$U$495&lt;=8)*('CASE MASTER'!$W$2:$W$495&gt;=8)*('CASE MASTER'!$V$2:$V$495&lt;=1)*('CASE MASTER'!$X$2:$X$495&gt;=1))*ROW('CASE MASTER'!$T$2:$T$495))&gt;0,INDEX('CASE MASTER'!$Y$2:$Y$495,(SUMPRODUCT((('CASE MASTER'!$T$2:$T$495=5)*('CASE MASTER'!$U$2:$U$495&lt;=8)*('CASE MASTER'!$W$2:$W$495&gt;=8)*('CASE MASTER'!$V$2:$V$495&lt;=1)*('CASE MASTER'!$X$2:$X$495&gt;=1))*ROW('CASE MASTER'!$T$2:$T$495))-(ROW('CASE MASTER'!#REF!)-1)))&amp;TRIM(MID(SUBSTITUTE(SUBSTITUTE(INDEX('CASE MASTER'!$N$2:$N$495,(SUMPRODUCT((('CASE MASTER'!$T$2:$T$495=5)*('CASE MASTER'!$U$2:$U$495&lt;=8)*('CASE MASTER'!$W$2:$W$495&gt;=8)*('CASE MASTER'!$V$2:$V$495&lt;=1)*('CASE MASTER'!$X$2:$X$495&gt;=1))*ROW('CASE MASTER'!$T$2:$T$495))-(ROW('CASE MASTER'!#REF!)-1))),":",","),",",REPT(" ",50)),((((8-INDEX('CASE MASTER'!$U$2:$U$495,(SUMPRODUCT((('CASE MASTER'!$T$2:$T$495=5)*('CASE MASTER'!$U$2:$U$495&lt;=8)*('CASE MASTER'!$W$2:$W$495&gt;=8)*('CASE MASTER'!$V$2:$V$495&lt;=1)*('CASE MASTER'!$X$2:$X$495&gt;=1))*ROW('CASE MASTER'!$T$2:$T$495))-(ROW('CASE MASTER'!#REF!)-1))))*(INDEX('CASE MASTER'!$X$2:$X$495,(SUMPRODUCT((('CASE MASTER'!$T$2:$T$495=5)*('CASE MASTER'!$U$2:$U$495&lt;=8)*('CASE MASTER'!$W$2:$W$495&gt;=8)*('CASE MASTER'!$V$2:$V$495&lt;=1)*('CASE MASTER'!$X$2:$X$495&gt;=1))*ROW('CASE MASTER'!$T$2:$T$495))-(ROW('CASE MASTER'!#REF!)-1)))-INDEX('CASE MASTER'!$V$2:$V$495,(SUMPRODUCT((('CASE MASTER'!$T$2:$T$495=5)*('CASE MASTER'!$U$2:$U$495&lt;=8)*('CASE MASTER'!$W$2:$W$495&gt;=8)*('CASE MASTER'!$V$2:$V$495&lt;=1)*('CASE MASTER'!$X$2:$X$495&gt;=1))*ROW('CASE MASTER'!$T$2:$T$495))-(ROW('CASE MASTER'!#REF!)-1)))+1)+(1-INDEX('CASE MASTER'!$V$2:$V$495,(SUMPRODUCT((('CASE MASTER'!$T$2:$T$495=5)*('CASE MASTER'!$U$2:$U$495&lt;=8)*('CASE MASTER'!$W$2:$W$495&gt;=8)*('CASE MASTER'!$V$2:$V$495&lt;=1)*('CASE MASTER'!$X$2:$X$495&gt;=1))*ROW('CASE MASTER'!$T$2:$T$495))-(ROW('CASE MASTER'!#REF!)-1))))+1))-1)*50+1,50))&amp;"_"&amp;INDEX('CASE MASTER'!$Q$2:$Q$495,(SUMPRODUCT((('CASE MASTER'!$T$2:$T$495=5)*('CASE MASTER'!$U$2:$U$495&lt;=8)*('CASE MASTER'!$W$2:$W$495&gt;=8)*('CASE MASTER'!$V$2:$V$495&lt;=1)*('CASE MASTER'!$X$2:$X$495&gt;=1))*ROW('CASE MASTER'!$T$2:$T$495))-(ROW('CASE MASTER'!#REF!)-1))),IF(SUMPRODUCT((('CASE MASTER'!$T$2:$T$495=5)*('CASE MASTER'!$AA$2:$AA$495&lt;=8)*('CASE MASTER'!$AC$2:$AC$495&gt;=8)*('CASE MASTER'!$AB$2:$AB$495&lt;=1)*('CASE MASTER'!$AD$2:$AD$495&gt;=1))*ROW('CASE MASTER'!$T$2:$T$495))&gt;0,INDEX('CASE MASTER'!$Y$2:$Y$495,(SUMPRODUCT((('CASE MASTER'!$T$2:$T$495=5)*('CASE MASTER'!$AA$2:$AA$495&lt;=8)*('CASE MASTER'!$AC$2:$AC$495&gt;=8)*('CASE MASTER'!$AB$2:$AB$495&lt;=1)*('CASE MASTER'!$AD$2:$AD$495&gt;=1))*ROW('CASE MASTER'!$T$2:$T$495))-(ROW('CASE MASTER'!#REF!)-1)))&amp;TRIM(MID(SUBSTITUTE(SUBSTITUTE(INDEX('CASE MASTER'!$N$2:$N$495,(SUMPRODUCT((('CASE MASTER'!$T$2:$T$495=5)*('CASE MASTER'!$AA$2:$AA$495&lt;=8)*('CASE MASTER'!$AC$2:$AC$495&gt;=8)*('CASE MASTER'!$AB$2:$AB$495&lt;=1)*('CASE MASTER'!$AD$2:$AD$495&gt;=1))*ROW('CASE MASTER'!$T$2:$T$495))-(ROW('CASE MASTER'!#REF!)-1))),":",","),",",REPT(" ",50)),(((INDEX('CASE MASTER'!$Z$2:$Z$495,(SUMPRODUCT((('CASE MASTER'!$T$2:$T$495=5)*('CASE MASTER'!$AA$2:$AA$495&lt;=8)*('CASE MASTER'!$AC$2:$AC$495&gt;=8)*('CASE MASTER'!$AB$2:$AB$495&lt;=1)*('CASE MASTER'!$AD$2:$AD$495&gt;=1))*ROW('CASE MASTER'!$T$2:$T$495))-(ROW('CASE MASTER'!#REF!)-1)))+((8-INDEX('CASE MASTER'!$AA$2:$AA$495,(SUMPRODUCT((('CASE MASTER'!$T$2:$T$495=5)*('CASE MASTER'!$AA$2:$AA$495&lt;=8)*('CASE MASTER'!$AC$2:$AC$495&gt;=8)*('CASE MASTER'!$AB$2:$AB$495&lt;=1)*('CASE MASTER'!$AD$2:$AD$495&gt;=1))*ROW('CASE MASTER'!$T$2:$T$495))-(ROW('CASE MASTER'!#REF!)-1))))*(INDEX('CASE MASTER'!$AD$2:$AD$495,(SUMPRODUCT((('CASE MASTER'!$T$2:$T$495=5)*('CASE MASTER'!$AA$2:$AA$495&lt;=8)*('CASE MASTER'!$AC$2:$AC$495&gt;=8)*('CASE MASTER'!$AB$2:$AB$495&lt;=1)*('CASE MASTER'!$AD$2:$AD$495&gt;=1))*ROW('CASE MASTER'!$T$2:$T$495))-(ROW('CASE MASTER'!#REF!)-1)))-INDEX('CASE MASTER'!$AB$2:$AB$495,(SUMPRODUCT((('CASE MASTER'!$T$2:$T$495=5)*('CASE MASTER'!$AA$2:$AA$495&lt;=8)*('CASE MASTER'!$AC$2:$AC$495&gt;=8)*('CASE MASTER'!$AB$2:$AB$495&lt;=1)*('CASE MASTER'!$AD$2:$AD$495&gt;=1))*ROW('CASE MASTER'!$T$2:$T$495))-(ROW('CASE MASTER'!#REF!)-1)))+1)+(1-INDEX('CASE MASTER'!$AB$2:$AB$495,(SUMPRODUCT((('CASE MASTER'!$T$2:$T$495=5)*('CASE MASTER'!$AA$2:$AA$495&lt;=8)*('CASE MASTER'!$AC$2:$AC$495&gt;=8)*('CASE MASTER'!$AB$2:$AB$495&lt;=1)*('CASE MASTER'!$AD$2:$AD$495&gt;=1))*ROW('CASE MASTER'!$T$2:$T$495))-(ROW('CASE MASTER'!#REF!)-1))))+1)))-1)*50+1,50))&amp;"_"&amp;INDEX('CASE MASTER'!$Q$2:$Q$495,(SUMPRODUCT((('CASE MASTER'!$T$2:$T$495=5)*('CASE MASTER'!$AA$2:$AA$495&lt;=8)*('CASE MASTER'!$AC$2:$AC$495&gt;=8)*('CASE MASTER'!$AB$2:$AB$495&lt;=1)*('CASE MASTER'!$AD$2:$AD$495&gt;=1))*ROW('CASE MASTER'!$T$2:$T$495))-(ROW('CASE MASTER'!#REF!)-1))),"")),"")</f>
        <v/>
      </c>
      <c r="C66" s="10" t="str">
        <f>IFERROR(IF(SUMPRODUCT((('CASE MASTER'!$T$2:$T$495=5)*('CASE MASTER'!$U$2:$U$495&lt;=8)*('CASE MASTER'!$W$2:$W$495&gt;=8)*('CASE MASTER'!$V$2:$V$495&lt;=2)*('CASE MASTER'!$X$2:$X$495&gt;=2))*ROW('CASE MASTER'!$T$2:$T$495))&gt;0,INDEX('CASE MASTER'!$Y$2:$Y$495,(SUMPRODUCT((('CASE MASTER'!$T$2:$T$495=5)*('CASE MASTER'!$U$2:$U$495&lt;=8)*('CASE MASTER'!$W$2:$W$495&gt;=8)*('CASE MASTER'!$V$2:$V$495&lt;=2)*('CASE MASTER'!$X$2:$X$495&gt;=2))*ROW('CASE MASTER'!$T$2:$T$495))-(ROW('CASE MASTER'!#REF!)-1)))&amp;TRIM(MID(SUBSTITUTE(SUBSTITUTE(INDEX('CASE MASTER'!$N$2:$N$495,(SUMPRODUCT((('CASE MASTER'!$T$2:$T$495=5)*('CASE MASTER'!$U$2:$U$495&lt;=8)*('CASE MASTER'!$W$2:$W$495&gt;=8)*('CASE MASTER'!$V$2:$V$495&lt;=2)*('CASE MASTER'!$X$2:$X$495&gt;=2))*ROW('CASE MASTER'!$T$2:$T$495))-(ROW('CASE MASTER'!#REF!)-1))),":",","),",",REPT(" ",50)),((((8-INDEX('CASE MASTER'!$U$2:$U$495,(SUMPRODUCT((('CASE MASTER'!$T$2:$T$495=5)*('CASE MASTER'!$U$2:$U$495&lt;=8)*('CASE MASTER'!$W$2:$W$495&gt;=8)*('CASE MASTER'!$V$2:$V$495&lt;=2)*('CASE MASTER'!$X$2:$X$495&gt;=2))*ROW('CASE MASTER'!$T$2:$T$495))-(ROW('CASE MASTER'!#REF!)-1))))*(INDEX('CASE MASTER'!$X$2:$X$495,(SUMPRODUCT((('CASE MASTER'!$T$2:$T$495=5)*('CASE MASTER'!$U$2:$U$495&lt;=8)*('CASE MASTER'!$W$2:$W$495&gt;=8)*('CASE MASTER'!$V$2:$V$495&lt;=2)*('CASE MASTER'!$X$2:$X$495&gt;=2))*ROW('CASE MASTER'!$T$2:$T$495))-(ROW('CASE MASTER'!#REF!)-1)))-INDEX('CASE MASTER'!$V$2:$V$495,(SUMPRODUCT((('CASE MASTER'!$T$2:$T$495=5)*('CASE MASTER'!$U$2:$U$495&lt;=8)*('CASE MASTER'!$W$2:$W$495&gt;=8)*('CASE MASTER'!$V$2:$V$495&lt;=2)*('CASE MASTER'!$X$2:$X$495&gt;=2))*ROW('CASE MASTER'!$T$2:$T$495))-(ROW('CASE MASTER'!#REF!)-1)))+1)+(2-INDEX('CASE MASTER'!$V$2:$V$495,(SUMPRODUCT((('CASE MASTER'!$T$2:$T$495=5)*('CASE MASTER'!$U$2:$U$495&lt;=8)*('CASE MASTER'!$W$2:$W$495&gt;=8)*('CASE MASTER'!$V$2:$V$495&lt;=2)*('CASE MASTER'!$X$2:$X$495&gt;=2))*ROW('CASE MASTER'!$T$2:$T$495))-(ROW('CASE MASTER'!#REF!)-1))))+1))-1)*50+1,50))&amp;"_"&amp;INDEX('CASE MASTER'!$Q$2:$Q$495,(SUMPRODUCT((('CASE MASTER'!$T$2:$T$495=5)*('CASE MASTER'!$U$2:$U$495&lt;=8)*('CASE MASTER'!$W$2:$W$495&gt;=8)*('CASE MASTER'!$V$2:$V$495&lt;=2)*('CASE MASTER'!$X$2:$X$495&gt;=2))*ROW('CASE MASTER'!$T$2:$T$495))-(ROW('CASE MASTER'!#REF!)-1))),IF(SUMPRODUCT((('CASE MASTER'!$T$2:$T$495=5)*('CASE MASTER'!$AA$2:$AA$495&lt;=8)*('CASE MASTER'!$AC$2:$AC$495&gt;=8)*('CASE MASTER'!$AB$2:$AB$495&lt;=2)*('CASE MASTER'!$AD$2:$AD$495&gt;=2))*ROW('CASE MASTER'!$T$2:$T$495))&gt;0,INDEX('CASE MASTER'!$Y$2:$Y$495,(SUMPRODUCT((('CASE MASTER'!$T$2:$T$495=5)*('CASE MASTER'!$AA$2:$AA$495&lt;=8)*('CASE MASTER'!$AC$2:$AC$495&gt;=8)*('CASE MASTER'!$AB$2:$AB$495&lt;=2)*('CASE MASTER'!$AD$2:$AD$495&gt;=2))*ROW('CASE MASTER'!$T$2:$T$495))-(ROW('CASE MASTER'!#REF!)-1)))&amp;TRIM(MID(SUBSTITUTE(SUBSTITUTE(INDEX('CASE MASTER'!$N$2:$N$495,(SUMPRODUCT((('CASE MASTER'!$T$2:$T$495=5)*('CASE MASTER'!$AA$2:$AA$495&lt;=8)*('CASE MASTER'!$AC$2:$AC$495&gt;=8)*('CASE MASTER'!$AB$2:$AB$495&lt;=2)*('CASE MASTER'!$AD$2:$AD$495&gt;=2))*ROW('CASE MASTER'!$T$2:$T$495))-(ROW('CASE MASTER'!#REF!)-1))),":",","),",",REPT(" ",50)),(((INDEX('CASE MASTER'!$Z$2:$Z$495,(SUMPRODUCT((('CASE MASTER'!$T$2:$T$495=5)*('CASE MASTER'!$AA$2:$AA$495&lt;=8)*('CASE MASTER'!$AC$2:$AC$495&gt;=8)*('CASE MASTER'!$AB$2:$AB$495&lt;=2)*('CASE MASTER'!$AD$2:$AD$495&gt;=2))*ROW('CASE MASTER'!$T$2:$T$495))-(ROW('CASE MASTER'!#REF!)-1)))+((8-INDEX('CASE MASTER'!$AA$2:$AA$495,(SUMPRODUCT((('CASE MASTER'!$T$2:$T$495=5)*('CASE MASTER'!$AA$2:$AA$495&lt;=8)*('CASE MASTER'!$AC$2:$AC$495&gt;=8)*('CASE MASTER'!$AB$2:$AB$495&lt;=2)*('CASE MASTER'!$AD$2:$AD$495&gt;=2))*ROW('CASE MASTER'!$T$2:$T$495))-(ROW('CASE MASTER'!#REF!)-1))))*(INDEX('CASE MASTER'!$AD$2:$AD$495,(SUMPRODUCT((('CASE MASTER'!$T$2:$T$495=5)*('CASE MASTER'!$AA$2:$AA$495&lt;=8)*('CASE MASTER'!$AC$2:$AC$495&gt;=8)*('CASE MASTER'!$AB$2:$AB$495&lt;=2)*('CASE MASTER'!$AD$2:$AD$495&gt;=2))*ROW('CASE MASTER'!$T$2:$T$495))-(ROW('CASE MASTER'!#REF!)-1)))-INDEX('CASE MASTER'!$AB$2:$AB$495,(SUMPRODUCT((('CASE MASTER'!$T$2:$T$495=5)*('CASE MASTER'!$AA$2:$AA$495&lt;=8)*('CASE MASTER'!$AC$2:$AC$495&gt;=8)*('CASE MASTER'!$AB$2:$AB$495&lt;=2)*('CASE MASTER'!$AD$2:$AD$495&gt;=2))*ROW('CASE MASTER'!$T$2:$T$495))-(ROW('CASE MASTER'!#REF!)-1)))+1)+(2-INDEX('CASE MASTER'!$AB$2:$AB$495,(SUMPRODUCT((('CASE MASTER'!$T$2:$T$495=5)*('CASE MASTER'!$AA$2:$AA$495&lt;=8)*('CASE MASTER'!$AC$2:$AC$495&gt;=8)*('CASE MASTER'!$AB$2:$AB$495&lt;=2)*('CASE MASTER'!$AD$2:$AD$495&gt;=2))*ROW('CASE MASTER'!$T$2:$T$495))-(ROW('CASE MASTER'!#REF!)-1))))+1)))-1)*50+1,50))&amp;"_"&amp;INDEX('CASE MASTER'!$Q$2:$Q$495,(SUMPRODUCT((('CASE MASTER'!$T$2:$T$495=5)*('CASE MASTER'!$AA$2:$AA$495&lt;=8)*('CASE MASTER'!$AC$2:$AC$495&gt;=8)*('CASE MASTER'!$AB$2:$AB$495&lt;=2)*('CASE MASTER'!$AD$2:$AD$495&gt;=2))*ROW('CASE MASTER'!$T$2:$T$495))-(ROW('CASE MASTER'!#REF!)-1))),"")),"")</f>
        <v/>
      </c>
      <c r="D66" s="10" t="str">
        <f>IFERROR(IF(SUMPRODUCT((('CASE MASTER'!$T$2:$T$495=5)*('CASE MASTER'!$U$2:$U$495&lt;=8)*('CASE MASTER'!$W$2:$W$495&gt;=8)*('CASE MASTER'!$V$2:$V$495&lt;=3)*('CASE MASTER'!$X$2:$X$495&gt;=3))*ROW('CASE MASTER'!$T$2:$T$495))&gt;0,INDEX('CASE MASTER'!$Y$2:$Y$495,(SUMPRODUCT((('CASE MASTER'!$T$2:$T$495=5)*('CASE MASTER'!$U$2:$U$495&lt;=8)*('CASE MASTER'!$W$2:$W$495&gt;=8)*('CASE MASTER'!$V$2:$V$495&lt;=3)*('CASE MASTER'!$X$2:$X$495&gt;=3))*ROW('CASE MASTER'!$T$2:$T$495))-(ROW('CASE MASTER'!#REF!)-1)))&amp;TRIM(MID(SUBSTITUTE(SUBSTITUTE(INDEX('CASE MASTER'!$N$2:$N$495,(SUMPRODUCT((('CASE MASTER'!$T$2:$T$495=5)*('CASE MASTER'!$U$2:$U$495&lt;=8)*('CASE MASTER'!$W$2:$W$495&gt;=8)*('CASE MASTER'!$V$2:$V$495&lt;=3)*('CASE MASTER'!$X$2:$X$495&gt;=3))*ROW('CASE MASTER'!$T$2:$T$495))-(ROW('CASE MASTER'!#REF!)-1))),":",","),",",REPT(" ",50)),((((8-INDEX('CASE MASTER'!$U$2:$U$495,(SUMPRODUCT((('CASE MASTER'!$T$2:$T$495=5)*('CASE MASTER'!$U$2:$U$495&lt;=8)*('CASE MASTER'!$W$2:$W$495&gt;=8)*('CASE MASTER'!$V$2:$V$495&lt;=3)*('CASE MASTER'!$X$2:$X$495&gt;=3))*ROW('CASE MASTER'!$T$2:$T$495))-(ROW('CASE MASTER'!#REF!)-1))))*(INDEX('CASE MASTER'!$X$2:$X$495,(SUMPRODUCT((('CASE MASTER'!$T$2:$T$495=5)*('CASE MASTER'!$U$2:$U$495&lt;=8)*('CASE MASTER'!$W$2:$W$495&gt;=8)*('CASE MASTER'!$V$2:$V$495&lt;=3)*('CASE MASTER'!$X$2:$X$495&gt;=3))*ROW('CASE MASTER'!$T$2:$T$495))-(ROW('CASE MASTER'!#REF!)-1)))-INDEX('CASE MASTER'!$V$2:$V$495,(SUMPRODUCT((('CASE MASTER'!$T$2:$T$495=5)*('CASE MASTER'!$U$2:$U$495&lt;=8)*('CASE MASTER'!$W$2:$W$495&gt;=8)*('CASE MASTER'!$V$2:$V$495&lt;=3)*('CASE MASTER'!$X$2:$X$495&gt;=3))*ROW('CASE MASTER'!$T$2:$T$495))-(ROW('CASE MASTER'!#REF!)-1)))+1)+(3-INDEX('CASE MASTER'!$V$2:$V$495,(SUMPRODUCT((('CASE MASTER'!$T$2:$T$495=5)*('CASE MASTER'!$U$2:$U$495&lt;=8)*('CASE MASTER'!$W$2:$W$495&gt;=8)*('CASE MASTER'!$V$2:$V$495&lt;=3)*('CASE MASTER'!$X$2:$X$495&gt;=3))*ROW('CASE MASTER'!$T$2:$T$495))-(ROW('CASE MASTER'!#REF!)-1))))+1))-1)*50+1,50))&amp;"_"&amp;INDEX('CASE MASTER'!$Q$2:$Q$495,(SUMPRODUCT((('CASE MASTER'!$T$2:$T$495=5)*('CASE MASTER'!$U$2:$U$495&lt;=8)*('CASE MASTER'!$W$2:$W$495&gt;=8)*('CASE MASTER'!$V$2:$V$495&lt;=3)*('CASE MASTER'!$X$2:$X$495&gt;=3))*ROW('CASE MASTER'!$T$2:$T$495))-(ROW('CASE MASTER'!#REF!)-1))),IF(SUMPRODUCT((('CASE MASTER'!$T$2:$T$495=5)*('CASE MASTER'!$AA$2:$AA$495&lt;=8)*('CASE MASTER'!$AC$2:$AC$495&gt;=8)*('CASE MASTER'!$AB$2:$AB$495&lt;=3)*('CASE MASTER'!$AD$2:$AD$495&gt;=3))*ROW('CASE MASTER'!$T$2:$T$495))&gt;0,INDEX('CASE MASTER'!$Y$2:$Y$495,(SUMPRODUCT((('CASE MASTER'!$T$2:$T$495=5)*('CASE MASTER'!$AA$2:$AA$495&lt;=8)*('CASE MASTER'!$AC$2:$AC$495&gt;=8)*('CASE MASTER'!$AB$2:$AB$495&lt;=3)*('CASE MASTER'!$AD$2:$AD$495&gt;=3))*ROW('CASE MASTER'!$T$2:$T$495))-(ROW('CASE MASTER'!#REF!)-1)))&amp;TRIM(MID(SUBSTITUTE(SUBSTITUTE(INDEX('CASE MASTER'!$N$2:$N$495,(SUMPRODUCT((('CASE MASTER'!$T$2:$T$495=5)*('CASE MASTER'!$AA$2:$AA$495&lt;=8)*('CASE MASTER'!$AC$2:$AC$495&gt;=8)*('CASE MASTER'!$AB$2:$AB$495&lt;=3)*('CASE MASTER'!$AD$2:$AD$495&gt;=3))*ROW('CASE MASTER'!$T$2:$T$495))-(ROW('CASE MASTER'!#REF!)-1))),":",","),",",REPT(" ",50)),(((INDEX('CASE MASTER'!$Z$2:$Z$495,(SUMPRODUCT((('CASE MASTER'!$T$2:$T$495=5)*('CASE MASTER'!$AA$2:$AA$495&lt;=8)*('CASE MASTER'!$AC$2:$AC$495&gt;=8)*('CASE MASTER'!$AB$2:$AB$495&lt;=3)*('CASE MASTER'!$AD$2:$AD$495&gt;=3))*ROW('CASE MASTER'!$T$2:$T$495))-(ROW('CASE MASTER'!#REF!)-1)))+((8-INDEX('CASE MASTER'!$AA$2:$AA$495,(SUMPRODUCT((('CASE MASTER'!$T$2:$T$495=5)*('CASE MASTER'!$AA$2:$AA$495&lt;=8)*('CASE MASTER'!$AC$2:$AC$495&gt;=8)*('CASE MASTER'!$AB$2:$AB$495&lt;=3)*('CASE MASTER'!$AD$2:$AD$495&gt;=3))*ROW('CASE MASTER'!$T$2:$T$495))-(ROW('CASE MASTER'!#REF!)-1))))*(INDEX('CASE MASTER'!$AD$2:$AD$495,(SUMPRODUCT((('CASE MASTER'!$T$2:$T$495=5)*('CASE MASTER'!$AA$2:$AA$495&lt;=8)*('CASE MASTER'!$AC$2:$AC$495&gt;=8)*('CASE MASTER'!$AB$2:$AB$495&lt;=3)*('CASE MASTER'!$AD$2:$AD$495&gt;=3))*ROW('CASE MASTER'!$T$2:$T$495))-(ROW('CASE MASTER'!#REF!)-1)))-INDEX('CASE MASTER'!$AB$2:$AB$495,(SUMPRODUCT((('CASE MASTER'!$T$2:$T$495=5)*('CASE MASTER'!$AA$2:$AA$495&lt;=8)*('CASE MASTER'!$AC$2:$AC$495&gt;=8)*('CASE MASTER'!$AB$2:$AB$495&lt;=3)*('CASE MASTER'!$AD$2:$AD$495&gt;=3))*ROW('CASE MASTER'!$T$2:$T$495))-(ROW('CASE MASTER'!#REF!)-1)))+1)+(3-INDEX('CASE MASTER'!$AB$2:$AB$495,(SUMPRODUCT((('CASE MASTER'!$T$2:$T$495=5)*('CASE MASTER'!$AA$2:$AA$495&lt;=8)*('CASE MASTER'!$AC$2:$AC$495&gt;=8)*('CASE MASTER'!$AB$2:$AB$495&lt;=3)*('CASE MASTER'!$AD$2:$AD$495&gt;=3))*ROW('CASE MASTER'!$T$2:$T$495))-(ROW('CASE MASTER'!#REF!)-1))))+1)))-1)*50+1,50))&amp;"_"&amp;INDEX('CASE MASTER'!$Q$2:$Q$495,(SUMPRODUCT((('CASE MASTER'!$T$2:$T$495=5)*('CASE MASTER'!$AA$2:$AA$495&lt;=8)*('CASE MASTER'!$AC$2:$AC$495&gt;=8)*('CASE MASTER'!$AB$2:$AB$495&lt;=3)*('CASE MASTER'!$AD$2:$AD$495&gt;=3))*ROW('CASE MASTER'!$T$2:$T$495))-(ROW('CASE MASTER'!#REF!)-1))),"")),"")</f>
        <v/>
      </c>
      <c r="E66" s="10" t="str">
        <f>IFERROR(IF(SUMPRODUCT((('CASE MASTER'!$T$2:$T$495=5)*('CASE MASTER'!$U$2:$U$495&lt;=8)*('CASE MASTER'!$W$2:$W$495&gt;=8)*('CASE MASTER'!$V$2:$V$495&lt;=4)*('CASE MASTER'!$X$2:$X$495&gt;=4))*ROW('CASE MASTER'!$T$2:$T$495))&gt;0,INDEX('CASE MASTER'!$Y$2:$Y$495,(SUMPRODUCT((('CASE MASTER'!$T$2:$T$495=5)*('CASE MASTER'!$U$2:$U$495&lt;=8)*('CASE MASTER'!$W$2:$W$495&gt;=8)*('CASE MASTER'!$V$2:$V$495&lt;=4)*('CASE MASTER'!$X$2:$X$495&gt;=4))*ROW('CASE MASTER'!$T$2:$T$495))-(ROW('CASE MASTER'!#REF!)-1)))&amp;TRIM(MID(SUBSTITUTE(SUBSTITUTE(INDEX('CASE MASTER'!$N$2:$N$495,(SUMPRODUCT((('CASE MASTER'!$T$2:$T$495=5)*('CASE MASTER'!$U$2:$U$495&lt;=8)*('CASE MASTER'!$W$2:$W$495&gt;=8)*('CASE MASTER'!$V$2:$V$495&lt;=4)*('CASE MASTER'!$X$2:$X$495&gt;=4))*ROW('CASE MASTER'!$T$2:$T$495))-(ROW('CASE MASTER'!#REF!)-1))),":",","),",",REPT(" ",50)),((((8-INDEX('CASE MASTER'!$U$2:$U$495,(SUMPRODUCT((('CASE MASTER'!$T$2:$T$495=5)*('CASE MASTER'!$U$2:$U$495&lt;=8)*('CASE MASTER'!$W$2:$W$495&gt;=8)*('CASE MASTER'!$V$2:$V$495&lt;=4)*('CASE MASTER'!$X$2:$X$495&gt;=4))*ROW('CASE MASTER'!$T$2:$T$495))-(ROW('CASE MASTER'!#REF!)-1))))*(INDEX('CASE MASTER'!$X$2:$X$495,(SUMPRODUCT((('CASE MASTER'!$T$2:$T$495=5)*('CASE MASTER'!$U$2:$U$495&lt;=8)*('CASE MASTER'!$W$2:$W$495&gt;=8)*('CASE MASTER'!$V$2:$V$495&lt;=4)*('CASE MASTER'!$X$2:$X$495&gt;=4))*ROW('CASE MASTER'!$T$2:$T$495))-(ROW('CASE MASTER'!#REF!)-1)))-INDEX('CASE MASTER'!$V$2:$V$495,(SUMPRODUCT((('CASE MASTER'!$T$2:$T$495=5)*('CASE MASTER'!$U$2:$U$495&lt;=8)*('CASE MASTER'!$W$2:$W$495&gt;=8)*('CASE MASTER'!$V$2:$V$495&lt;=4)*('CASE MASTER'!$X$2:$X$495&gt;=4))*ROW('CASE MASTER'!$T$2:$T$495))-(ROW('CASE MASTER'!#REF!)-1)))+1)+(4-INDEX('CASE MASTER'!$V$2:$V$495,(SUMPRODUCT((('CASE MASTER'!$T$2:$T$495=5)*('CASE MASTER'!$U$2:$U$495&lt;=8)*('CASE MASTER'!$W$2:$W$495&gt;=8)*('CASE MASTER'!$V$2:$V$495&lt;=4)*('CASE MASTER'!$X$2:$X$495&gt;=4))*ROW('CASE MASTER'!$T$2:$T$495))-(ROW('CASE MASTER'!#REF!)-1))))+1))-1)*50+1,50))&amp;"_"&amp;INDEX('CASE MASTER'!$Q$2:$Q$495,(SUMPRODUCT((('CASE MASTER'!$T$2:$T$495=5)*('CASE MASTER'!$U$2:$U$495&lt;=8)*('CASE MASTER'!$W$2:$W$495&gt;=8)*('CASE MASTER'!$V$2:$V$495&lt;=4)*('CASE MASTER'!$X$2:$X$495&gt;=4))*ROW('CASE MASTER'!$T$2:$T$495))-(ROW('CASE MASTER'!#REF!)-1))),IF(SUMPRODUCT((('CASE MASTER'!$T$2:$T$495=5)*('CASE MASTER'!$AA$2:$AA$495&lt;=8)*('CASE MASTER'!$AC$2:$AC$495&gt;=8)*('CASE MASTER'!$AB$2:$AB$495&lt;=4)*('CASE MASTER'!$AD$2:$AD$495&gt;=4))*ROW('CASE MASTER'!$T$2:$T$495))&gt;0,INDEX('CASE MASTER'!$Y$2:$Y$495,(SUMPRODUCT((('CASE MASTER'!$T$2:$T$495=5)*('CASE MASTER'!$AA$2:$AA$495&lt;=8)*('CASE MASTER'!$AC$2:$AC$495&gt;=8)*('CASE MASTER'!$AB$2:$AB$495&lt;=4)*('CASE MASTER'!$AD$2:$AD$495&gt;=4))*ROW('CASE MASTER'!$T$2:$T$495))-(ROW('CASE MASTER'!#REF!)-1)))&amp;TRIM(MID(SUBSTITUTE(SUBSTITUTE(INDEX('CASE MASTER'!$N$2:$N$495,(SUMPRODUCT((('CASE MASTER'!$T$2:$T$495=5)*('CASE MASTER'!$AA$2:$AA$495&lt;=8)*('CASE MASTER'!$AC$2:$AC$495&gt;=8)*('CASE MASTER'!$AB$2:$AB$495&lt;=4)*('CASE MASTER'!$AD$2:$AD$495&gt;=4))*ROW('CASE MASTER'!$T$2:$T$495))-(ROW('CASE MASTER'!#REF!)-1))),":",","),",",REPT(" ",50)),(((INDEX('CASE MASTER'!$Z$2:$Z$495,(SUMPRODUCT((('CASE MASTER'!$T$2:$T$495=5)*('CASE MASTER'!$AA$2:$AA$495&lt;=8)*('CASE MASTER'!$AC$2:$AC$495&gt;=8)*('CASE MASTER'!$AB$2:$AB$495&lt;=4)*('CASE MASTER'!$AD$2:$AD$495&gt;=4))*ROW('CASE MASTER'!$T$2:$T$495))-(ROW('CASE MASTER'!#REF!)-1)))+((8-INDEX('CASE MASTER'!$AA$2:$AA$495,(SUMPRODUCT((('CASE MASTER'!$T$2:$T$495=5)*('CASE MASTER'!$AA$2:$AA$495&lt;=8)*('CASE MASTER'!$AC$2:$AC$495&gt;=8)*('CASE MASTER'!$AB$2:$AB$495&lt;=4)*('CASE MASTER'!$AD$2:$AD$495&gt;=4))*ROW('CASE MASTER'!$T$2:$T$495))-(ROW('CASE MASTER'!#REF!)-1))))*(INDEX('CASE MASTER'!$AD$2:$AD$495,(SUMPRODUCT((('CASE MASTER'!$T$2:$T$495=5)*('CASE MASTER'!$AA$2:$AA$495&lt;=8)*('CASE MASTER'!$AC$2:$AC$495&gt;=8)*('CASE MASTER'!$AB$2:$AB$495&lt;=4)*('CASE MASTER'!$AD$2:$AD$495&gt;=4))*ROW('CASE MASTER'!$T$2:$T$495))-(ROW('CASE MASTER'!#REF!)-1)))-INDEX('CASE MASTER'!$AB$2:$AB$495,(SUMPRODUCT((('CASE MASTER'!$T$2:$T$495=5)*('CASE MASTER'!$AA$2:$AA$495&lt;=8)*('CASE MASTER'!$AC$2:$AC$495&gt;=8)*('CASE MASTER'!$AB$2:$AB$495&lt;=4)*('CASE MASTER'!$AD$2:$AD$495&gt;=4))*ROW('CASE MASTER'!$T$2:$T$495))-(ROW('CASE MASTER'!#REF!)-1)))+1)+(4-INDEX('CASE MASTER'!$AB$2:$AB$495,(SUMPRODUCT((('CASE MASTER'!$T$2:$T$495=5)*('CASE MASTER'!$AA$2:$AA$495&lt;=8)*('CASE MASTER'!$AC$2:$AC$495&gt;=8)*('CASE MASTER'!$AB$2:$AB$495&lt;=4)*('CASE MASTER'!$AD$2:$AD$495&gt;=4))*ROW('CASE MASTER'!$T$2:$T$495))-(ROW('CASE MASTER'!#REF!)-1))))+1)))-1)*50+1,50))&amp;"_"&amp;INDEX('CASE MASTER'!$Q$2:$Q$495,(SUMPRODUCT((('CASE MASTER'!$T$2:$T$495=5)*('CASE MASTER'!$AA$2:$AA$495&lt;=8)*('CASE MASTER'!$AC$2:$AC$495&gt;=8)*('CASE MASTER'!$AB$2:$AB$495&lt;=4)*('CASE MASTER'!$AD$2:$AD$495&gt;=4))*ROW('CASE MASTER'!$T$2:$T$495))-(ROW('CASE MASTER'!#REF!)-1))),"")),"")</f>
        <v/>
      </c>
      <c r="F66" s="10" t="str">
        <f>IFERROR(IF(SUMPRODUCT((('CASE MASTER'!$T$2:$T$495=5)*('CASE MASTER'!$U$2:$U$495&lt;=8)*('CASE MASTER'!$W$2:$W$495&gt;=8)*('CASE MASTER'!$V$2:$V$495&lt;=5)*('CASE MASTER'!$X$2:$X$495&gt;=5))*ROW('CASE MASTER'!$T$2:$T$495))&gt;0,INDEX('CASE MASTER'!$Y$2:$Y$495,(SUMPRODUCT((('CASE MASTER'!$T$2:$T$495=5)*('CASE MASTER'!$U$2:$U$495&lt;=8)*('CASE MASTER'!$W$2:$W$495&gt;=8)*('CASE MASTER'!$V$2:$V$495&lt;=5)*('CASE MASTER'!$X$2:$X$495&gt;=5))*ROW('CASE MASTER'!$T$2:$T$495))-(ROW('CASE MASTER'!#REF!)-1)))&amp;TRIM(MID(SUBSTITUTE(SUBSTITUTE(INDEX('CASE MASTER'!$N$2:$N$495,(SUMPRODUCT((('CASE MASTER'!$T$2:$T$495=5)*('CASE MASTER'!$U$2:$U$495&lt;=8)*('CASE MASTER'!$W$2:$W$495&gt;=8)*('CASE MASTER'!$V$2:$V$495&lt;=5)*('CASE MASTER'!$X$2:$X$495&gt;=5))*ROW('CASE MASTER'!$T$2:$T$495))-(ROW('CASE MASTER'!#REF!)-1))),":",","),",",REPT(" ",50)),((((8-INDEX('CASE MASTER'!$U$2:$U$495,(SUMPRODUCT((('CASE MASTER'!$T$2:$T$495=5)*('CASE MASTER'!$U$2:$U$495&lt;=8)*('CASE MASTER'!$W$2:$W$495&gt;=8)*('CASE MASTER'!$V$2:$V$495&lt;=5)*('CASE MASTER'!$X$2:$X$495&gt;=5))*ROW('CASE MASTER'!$T$2:$T$495))-(ROW('CASE MASTER'!#REF!)-1))))*(INDEX('CASE MASTER'!$X$2:$X$495,(SUMPRODUCT((('CASE MASTER'!$T$2:$T$495=5)*('CASE MASTER'!$U$2:$U$495&lt;=8)*('CASE MASTER'!$W$2:$W$495&gt;=8)*('CASE MASTER'!$V$2:$V$495&lt;=5)*('CASE MASTER'!$X$2:$X$495&gt;=5))*ROW('CASE MASTER'!$T$2:$T$495))-(ROW('CASE MASTER'!#REF!)-1)))-INDEX('CASE MASTER'!$V$2:$V$495,(SUMPRODUCT((('CASE MASTER'!$T$2:$T$495=5)*('CASE MASTER'!$U$2:$U$495&lt;=8)*('CASE MASTER'!$W$2:$W$495&gt;=8)*('CASE MASTER'!$V$2:$V$495&lt;=5)*('CASE MASTER'!$X$2:$X$495&gt;=5))*ROW('CASE MASTER'!$T$2:$T$495))-(ROW('CASE MASTER'!#REF!)-1)))+1)+(5-INDEX('CASE MASTER'!$V$2:$V$495,(SUMPRODUCT((('CASE MASTER'!$T$2:$T$495=5)*('CASE MASTER'!$U$2:$U$495&lt;=8)*('CASE MASTER'!$W$2:$W$495&gt;=8)*('CASE MASTER'!$V$2:$V$495&lt;=5)*('CASE MASTER'!$X$2:$X$495&gt;=5))*ROW('CASE MASTER'!$T$2:$T$495))-(ROW('CASE MASTER'!#REF!)-1))))+1))-1)*50+1,50))&amp;"_"&amp;INDEX('CASE MASTER'!$Q$2:$Q$495,(SUMPRODUCT((('CASE MASTER'!$T$2:$T$495=5)*('CASE MASTER'!$U$2:$U$495&lt;=8)*('CASE MASTER'!$W$2:$W$495&gt;=8)*('CASE MASTER'!$V$2:$V$495&lt;=5)*('CASE MASTER'!$X$2:$X$495&gt;=5))*ROW('CASE MASTER'!$T$2:$T$495))-(ROW('CASE MASTER'!#REF!)-1))),IF(SUMPRODUCT((('CASE MASTER'!$T$2:$T$495=5)*('CASE MASTER'!$AA$2:$AA$495&lt;=8)*('CASE MASTER'!$AC$2:$AC$495&gt;=8)*('CASE MASTER'!$AB$2:$AB$495&lt;=5)*('CASE MASTER'!$AD$2:$AD$495&gt;=5))*ROW('CASE MASTER'!$T$2:$T$495))&gt;0,INDEX('CASE MASTER'!$Y$2:$Y$495,(SUMPRODUCT((('CASE MASTER'!$T$2:$T$495=5)*('CASE MASTER'!$AA$2:$AA$495&lt;=8)*('CASE MASTER'!$AC$2:$AC$495&gt;=8)*('CASE MASTER'!$AB$2:$AB$495&lt;=5)*('CASE MASTER'!$AD$2:$AD$495&gt;=5))*ROW('CASE MASTER'!$T$2:$T$495))-(ROW('CASE MASTER'!#REF!)-1)))&amp;TRIM(MID(SUBSTITUTE(SUBSTITUTE(INDEX('CASE MASTER'!$N$2:$N$495,(SUMPRODUCT((('CASE MASTER'!$T$2:$T$495=5)*('CASE MASTER'!$AA$2:$AA$495&lt;=8)*('CASE MASTER'!$AC$2:$AC$495&gt;=8)*('CASE MASTER'!$AB$2:$AB$495&lt;=5)*('CASE MASTER'!$AD$2:$AD$495&gt;=5))*ROW('CASE MASTER'!$T$2:$T$495))-(ROW('CASE MASTER'!#REF!)-1))),":",","),",",REPT(" ",50)),(((INDEX('CASE MASTER'!$Z$2:$Z$495,(SUMPRODUCT((('CASE MASTER'!$T$2:$T$495=5)*('CASE MASTER'!$AA$2:$AA$495&lt;=8)*('CASE MASTER'!$AC$2:$AC$495&gt;=8)*('CASE MASTER'!$AB$2:$AB$495&lt;=5)*('CASE MASTER'!$AD$2:$AD$495&gt;=5))*ROW('CASE MASTER'!$T$2:$T$495))-(ROW('CASE MASTER'!#REF!)-1)))+((8-INDEX('CASE MASTER'!$AA$2:$AA$495,(SUMPRODUCT((('CASE MASTER'!$T$2:$T$495=5)*('CASE MASTER'!$AA$2:$AA$495&lt;=8)*('CASE MASTER'!$AC$2:$AC$495&gt;=8)*('CASE MASTER'!$AB$2:$AB$495&lt;=5)*('CASE MASTER'!$AD$2:$AD$495&gt;=5))*ROW('CASE MASTER'!$T$2:$T$495))-(ROW('CASE MASTER'!#REF!)-1))))*(INDEX('CASE MASTER'!$AD$2:$AD$495,(SUMPRODUCT((('CASE MASTER'!$T$2:$T$495=5)*('CASE MASTER'!$AA$2:$AA$495&lt;=8)*('CASE MASTER'!$AC$2:$AC$495&gt;=8)*('CASE MASTER'!$AB$2:$AB$495&lt;=5)*('CASE MASTER'!$AD$2:$AD$495&gt;=5))*ROW('CASE MASTER'!$T$2:$T$495))-(ROW('CASE MASTER'!#REF!)-1)))-INDEX('CASE MASTER'!$AB$2:$AB$495,(SUMPRODUCT((('CASE MASTER'!$T$2:$T$495=5)*('CASE MASTER'!$AA$2:$AA$495&lt;=8)*('CASE MASTER'!$AC$2:$AC$495&gt;=8)*('CASE MASTER'!$AB$2:$AB$495&lt;=5)*('CASE MASTER'!$AD$2:$AD$495&gt;=5))*ROW('CASE MASTER'!$T$2:$T$495))-(ROW('CASE MASTER'!#REF!)-1)))+1)+(5-INDEX('CASE MASTER'!$AB$2:$AB$495,(SUMPRODUCT((('CASE MASTER'!$T$2:$T$495=5)*('CASE MASTER'!$AA$2:$AA$495&lt;=8)*('CASE MASTER'!$AC$2:$AC$495&gt;=8)*('CASE MASTER'!$AB$2:$AB$495&lt;=5)*('CASE MASTER'!$AD$2:$AD$495&gt;=5))*ROW('CASE MASTER'!$T$2:$T$495))-(ROW('CASE MASTER'!#REF!)-1))))+1)))-1)*50+1,50))&amp;"_"&amp;INDEX('CASE MASTER'!$Q$2:$Q$495,(SUMPRODUCT((('CASE MASTER'!$T$2:$T$495=5)*('CASE MASTER'!$AA$2:$AA$495&lt;=8)*('CASE MASTER'!$AC$2:$AC$495&gt;=8)*('CASE MASTER'!$AB$2:$AB$495&lt;=5)*('CASE MASTER'!$AD$2:$AD$495&gt;=5))*ROW('CASE MASTER'!$T$2:$T$495))-(ROW('CASE MASTER'!#REF!)-1))),"")),"")</f>
        <v/>
      </c>
      <c r="G66" s="10" t="str">
        <f>IFERROR(IF(SUMPRODUCT((('CASE MASTER'!$T$2:$T$495=5)*('CASE MASTER'!$U$2:$U$495&lt;=8)*('CASE MASTER'!$W$2:$W$495&gt;=8)*('CASE MASTER'!$V$2:$V$495&lt;=6)*('CASE MASTER'!$X$2:$X$495&gt;=6))*ROW('CASE MASTER'!$T$2:$T$495))&gt;0,INDEX('CASE MASTER'!$Y$2:$Y$495,(SUMPRODUCT((('CASE MASTER'!$T$2:$T$495=5)*('CASE MASTER'!$U$2:$U$495&lt;=8)*('CASE MASTER'!$W$2:$W$495&gt;=8)*('CASE MASTER'!$V$2:$V$495&lt;=6)*('CASE MASTER'!$X$2:$X$495&gt;=6))*ROW('CASE MASTER'!$T$2:$T$495))-(ROW('CASE MASTER'!#REF!)-1)))&amp;TRIM(MID(SUBSTITUTE(SUBSTITUTE(INDEX('CASE MASTER'!$N$2:$N$495,(SUMPRODUCT((('CASE MASTER'!$T$2:$T$495=5)*('CASE MASTER'!$U$2:$U$495&lt;=8)*('CASE MASTER'!$W$2:$W$495&gt;=8)*('CASE MASTER'!$V$2:$V$495&lt;=6)*('CASE MASTER'!$X$2:$X$495&gt;=6))*ROW('CASE MASTER'!$T$2:$T$495))-(ROW('CASE MASTER'!#REF!)-1))),":",","),",",REPT(" ",50)),((((8-INDEX('CASE MASTER'!$U$2:$U$495,(SUMPRODUCT((('CASE MASTER'!$T$2:$T$495=5)*('CASE MASTER'!$U$2:$U$495&lt;=8)*('CASE MASTER'!$W$2:$W$495&gt;=8)*('CASE MASTER'!$V$2:$V$495&lt;=6)*('CASE MASTER'!$X$2:$X$495&gt;=6))*ROW('CASE MASTER'!$T$2:$T$495))-(ROW('CASE MASTER'!#REF!)-1))))*(INDEX('CASE MASTER'!$X$2:$X$495,(SUMPRODUCT((('CASE MASTER'!$T$2:$T$495=5)*('CASE MASTER'!$U$2:$U$495&lt;=8)*('CASE MASTER'!$W$2:$W$495&gt;=8)*('CASE MASTER'!$V$2:$V$495&lt;=6)*('CASE MASTER'!$X$2:$X$495&gt;=6))*ROW('CASE MASTER'!$T$2:$T$495))-(ROW('CASE MASTER'!#REF!)-1)))-INDEX('CASE MASTER'!$V$2:$V$495,(SUMPRODUCT((('CASE MASTER'!$T$2:$T$495=5)*('CASE MASTER'!$U$2:$U$495&lt;=8)*('CASE MASTER'!$W$2:$W$495&gt;=8)*('CASE MASTER'!$V$2:$V$495&lt;=6)*('CASE MASTER'!$X$2:$X$495&gt;=6))*ROW('CASE MASTER'!$T$2:$T$495))-(ROW('CASE MASTER'!#REF!)-1)))+1)+(6-INDEX('CASE MASTER'!$V$2:$V$495,(SUMPRODUCT((('CASE MASTER'!$T$2:$T$495=5)*('CASE MASTER'!$U$2:$U$495&lt;=8)*('CASE MASTER'!$W$2:$W$495&gt;=8)*('CASE MASTER'!$V$2:$V$495&lt;=6)*('CASE MASTER'!$X$2:$X$495&gt;=6))*ROW('CASE MASTER'!$T$2:$T$495))-(ROW('CASE MASTER'!#REF!)-1))))+1))-1)*50+1,50))&amp;"_"&amp;INDEX('CASE MASTER'!$Q$2:$Q$495,(SUMPRODUCT((('CASE MASTER'!$T$2:$T$495=5)*('CASE MASTER'!$U$2:$U$495&lt;=8)*('CASE MASTER'!$W$2:$W$495&gt;=8)*('CASE MASTER'!$V$2:$V$495&lt;=6)*('CASE MASTER'!$X$2:$X$495&gt;=6))*ROW('CASE MASTER'!$T$2:$T$495))-(ROW('CASE MASTER'!#REF!)-1))),IF(SUMPRODUCT((('CASE MASTER'!$T$2:$T$495=5)*('CASE MASTER'!$AA$2:$AA$495&lt;=8)*('CASE MASTER'!$AC$2:$AC$495&gt;=8)*('CASE MASTER'!$AB$2:$AB$495&lt;=6)*('CASE MASTER'!$AD$2:$AD$495&gt;=6))*ROW('CASE MASTER'!$T$2:$T$495))&gt;0,INDEX('CASE MASTER'!$Y$2:$Y$495,(SUMPRODUCT((('CASE MASTER'!$T$2:$T$495=5)*('CASE MASTER'!$AA$2:$AA$495&lt;=8)*('CASE MASTER'!$AC$2:$AC$495&gt;=8)*('CASE MASTER'!$AB$2:$AB$495&lt;=6)*('CASE MASTER'!$AD$2:$AD$495&gt;=6))*ROW('CASE MASTER'!$T$2:$T$495))-(ROW('CASE MASTER'!#REF!)-1)))&amp;TRIM(MID(SUBSTITUTE(SUBSTITUTE(INDEX('CASE MASTER'!$N$2:$N$495,(SUMPRODUCT((('CASE MASTER'!$T$2:$T$495=5)*('CASE MASTER'!$AA$2:$AA$495&lt;=8)*('CASE MASTER'!$AC$2:$AC$495&gt;=8)*('CASE MASTER'!$AB$2:$AB$495&lt;=6)*('CASE MASTER'!$AD$2:$AD$495&gt;=6))*ROW('CASE MASTER'!$T$2:$T$495))-(ROW('CASE MASTER'!#REF!)-1))),":",","),",",REPT(" ",50)),(((INDEX('CASE MASTER'!$Z$2:$Z$495,(SUMPRODUCT((('CASE MASTER'!$T$2:$T$495=5)*('CASE MASTER'!$AA$2:$AA$495&lt;=8)*('CASE MASTER'!$AC$2:$AC$495&gt;=8)*('CASE MASTER'!$AB$2:$AB$495&lt;=6)*('CASE MASTER'!$AD$2:$AD$495&gt;=6))*ROW('CASE MASTER'!$T$2:$T$495))-(ROW('CASE MASTER'!#REF!)-1)))+((8-INDEX('CASE MASTER'!$AA$2:$AA$495,(SUMPRODUCT((('CASE MASTER'!$T$2:$T$495=5)*('CASE MASTER'!$AA$2:$AA$495&lt;=8)*('CASE MASTER'!$AC$2:$AC$495&gt;=8)*('CASE MASTER'!$AB$2:$AB$495&lt;=6)*('CASE MASTER'!$AD$2:$AD$495&gt;=6))*ROW('CASE MASTER'!$T$2:$T$495))-(ROW('CASE MASTER'!#REF!)-1))))*(INDEX('CASE MASTER'!$AD$2:$AD$495,(SUMPRODUCT((('CASE MASTER'!$T$2:$T$495=5)*('CASE MASTER'!$AA$2:$AA$495&lt;=8)*('CASE MASTER'!$AC$2:$AC$495&gt;=8)*('CASE MASTER'!$AB$2:$AB$495&lt;=6)*('CASE MASTER'!$AD$2:$AD$495&gt;=6))*ROW('CASE MASTER'!$T$2:$T$495))-(ROW('CASE MASTER'!#REF!)-1)))-INDEX('CASE MASTER'!$AB$2:$AB$495,(SUMPRODUCT((('CASE MASTER'!$T$2:$T$495=5)*('CASE MASTER'!$AA$2:$AA$495&lt;=8)*('CASE MASTER'!$AC$2:$AC$495&gt;=8)*('CASE MASTER'!$AB$2:$AB$495&lt;=6)*('CASE MASTER'!$AD$2:$AD$495&gt;=6))*ROW('CASE MASTER'!$T$2:$T$495))-(ROW('CASE MASTER'!#REF!)-1)))+1)+(6-INDEX('CASE MASTER'!$AB$2:$AB$495,(SUMPRODUCT((('CASE MASTER'!$T$2:$T$495=5)*('CASE MASTER'!$AA$2:$AA$495&lt;=8)*('CASE MASTER'!$AC$2:$AC$495&gt;=8)*('CASE MASTER'!$AB$2:$AB$495&lt;=6)*('CASE MASTER'!$AD$2:$AD$495&gt;=6))*ROW('CASE MASTER'!$T$2:$T$495))-(ROW('CASE MASTER'!#REF!)-1))))+1)))-1)*50+1,50))&amp;"_"&amp;INDEX('CASE MASTER'!$Q$2:$Q$495,(SUMPRODUCT((('CASE MASTER'!$T$2:$T$495=5)*('CASE MASTER'!$AA$2:$AA$495&lt;=8)*('CASE MASTER'!$AC$2:$AC$495&gt;=8)*('CASE MASTER'!$AB$2:$AB$495&lt;=6)*('CASE MASTER'!$AD$2:$AD$495&gt;=6))*ROW('CASE MASTER'!$T$2:$T$495))-(ROW('CASE MASTER'!#REF!)-1))),"")),"")</f>
        <v/>
      </c>
      <c r="H66" s="10" t="str">
        <f>IFERROR(IF(SUMPRODUCT((('CASE MASTER'!$T$2:$T$495=5)*('CASE MASTER'!$U$2:$U$495&lt;=8)*('CASE MASTER'!$W$2:$W$495&gt;=8)*('CASE MASTER'!$V$2:$V$495&lt;=7)*('CASE MASTER'!$X$2:$X$495&gt;=7))*ROW('CASE MASTER'!$T$2:$T$495))&gt;0,INDEX('CASE MASTER'!$Y$2:$Y$495,(SUMPRODUCT((('CASE MASTER'!$T$2:$T$495=5)*('CASE MASTER'!$U$2:$U$495&lt;=8)*('CASE MASTER'!$W$2:$W$495&gt;=8)*('CASE MASTER'!$V$2:$V$495&lt;=7)*('CASE MASTER'!$X$2:$X$495&gt;=7))*ROW('CASE MASTER'!$T$2:$T$495))-(ROW('CASE MASTER'!#REF!)-1)))&amp;TRIM(MID(SUBSTITUTE(SUBSTITUTE(INDEX('CASE MASTER'!$N$2:$N$495,(SUMPRODUCT((('CASE MASTER'!$T$2:$T$495=5)*('CASE MASTER'!$U$2:$U$495&lt;=8)*('CASE MASTER'!$W$2:$W$495&gt;=8)*('CASE MASTER'!$V$2:$V$495&lt;=7)*('CASE MASTER'!$X$2:$X$495&gt;=7))*ROW('CASE MASTER'!$T$2:$T$495))-(ROW('CASE MASTER'!#REF!)-1))),":",","),",",REPT(" ",50)),((((8-INDEX('CASE MASTER'!$U$2:$U$495,(SUMPRODUCT((('CASE MASTER'!$T$2:$T$495=5)*('CASE MASTER'!$U$2:$U$495&lt;=8)*('CASE MASTER'!$W$2:$W$495&gt;=8)*('CASE MASTER'!$V$2:$V$495&lt;=7)*('CASE MASTER'!$X$2:$X$495&gt;=7))*ROW('CASE MASTER'!$T$2:$T$495))-(ROW('CASE MASTER'!#REF!)-1))))*(INDEX('CASE MASTER'!$X$2:$X$495,(SUMPRODUCT((('CASE MASTER'!$T$2:$T$495=5)*('CASE MASTER'!$U$2:$U$495&lt;=8)*('CASE MASTER'!$W$2:$W$495&gt;=8)*('CASE MASTER'!$V$2:$V$495&lt;=7)*('CASE MASTER'!$X$2:$X$495&gt;=7))*ROW('CASE MASTER'!$T$2:$T$495))-(ROW('CASE MASTER'!#REF!)-1)))-INDEX('CASE MASTER'!$V$2:$V$495,(SUMPRODUCT((('CASE MASTER'!$T$2:$T$495=5)*('CASE MASTER'!$U$2:$U$495&lt;=8)*('CASE MASTER'!$W$2:$W$495&gt;=8)*('CASE MASTER'!$V$2:$V$495&lt;=7)*('CASE MASTER'!$X$2:$X$495&gt;=7))*ROW('CASE MASTER'!$T$2:$T$495))-(ROW('CASE MASTER'!#REF!)-1)))+1)+(7-INDEX('CASE MASTER'!$V$2:$V$495,(SUMPRODUCT((('CASE MASTER'!$T$2:$T$495=5)*('CASE MASTER'!$U$2:$U$495&lt;=8)*('CASE MASTER'!$W$2:$W$495&gt;=8)*('CASE MASTER'!$V$2:$V$495&lt;=7)*('CASE MASTER'!$X$2:$X$495&gt;=7))*ROW('CASE MASTER'!$T$2:$T$495))-(ROW('CASE MASTER'!#REF!)-1))))+1))-1)*50+1,50))&amp;"_"&amp;INDEX('CASE MASTER'!$Q$2:$Q$495,(SUMPRODUCT((('CASE MASTER'!$T$2:$T$495=5)*('CASE MASTER'!$U$2:$U$495&lt;=8)*('CASE MASTER'!$W$2:$W$495&gt;=8)*('CASE MASTER'!$V$2:$V$495&lt;=7)*('CASE MASTER'!$X$2:$X$495&gt;=7))*ROW('CASE MASTER'!$T$2:$T$495))-(ROW('CASE MASTER'!#REF!)-1))),IF(SUMPRODUCT((('CASE MASTER'!$T$2:$T$495=5)*('CASE MASTER'!$AA$2:$AA$495&lt;=8)*('CASE MASTER'!$AC$2:$AC$495&gt;=8)*('CASE MASTER'!$AB$2:$AB$495&lt;=7)*('CASE MASTER'!$AD$2:$AD$495&gt;=7))*ROW('CASE MASTER'!$T$2:$T$495))&gt;0,INDEX('CASE MASTER'!$Y$2:$Y$495,(SUMPRODUCT((('CASE MASTER'!$T$2:$T$495=5)*('CASE MASTER'!$AA$2:$AA$495&lt;=8)*('CASE MASTER'!$AC$2:$AC$495&gt;=8)*('CASE MASTER'!$AB$2:$AB$495&lt;=7)*('CASE MASTER'!$AD$2:$AD$495&gt;=7))*ROW('CASE MASTER'!$T$2:$T$495))-(ROW('CASE MASTER'!#REF!)-1)))&amp;TRIM(MID(SUBSTITUTE(SUBSTITUTE(INDEX('CASE MASTER'!$N$2:$N$495,(SUMPRODUCT((('CASE MASTER'!$T$2:$T$495=5)*('CASE MASTER'!$AA$2:$AA$495&lt;=8)*('CASE MASTER'!$AC$2:$AC$495&gt;=8)*('CASE MASTER'!$AB$2:$AB$495&lt;=7)*('CASE MASTER'!$AD$2:$AD$495&gt;=7))*ROW('CASE MASTER'!$T$2:$T$495))-(ROW('CASE MASTER'!#REF!)-1))),":",","),",",REPT(" ",50)),(((INDEX('CASE MASTER'!$Z$2:$Z$495,(SUMPRODUCT((('CASE MASTER'!$T$2:$T$495=5)*('CASE MASTER'!$AA$2:$AA$495&lt;=8)*('CASE MASTER'!$AC$2:$AC$495&gt;=8)*('CASE MASTER'!$AB$2:$AB$495&lt;=7)*('CASE MASTER'!$AD$2:$AD$495&gt;=7))*ROW('CASE MASTER'!$T$2:$T$495))-(ROW('CASE MASTER'!#REF!)-1)))+((8-INDEX('CASE MASTER'!$AA$2:$AA$495,(SUMPRODUCT((('CASE MASTER'!$T$2:$T$495=5)*('CASE MASTER'!$AA$2:$AA$495&lt;=8)*('CASE MASTER'!$AC$2:$AC$495&gt;=8)*('CASE MASTER'!$AB$2:$AB$495&lt;=7)*('CASE MASTER'!$AD$2:$AD$495&gt;=7))*ROW('CASE MASTER'!$T$2:$T$495))-(ROW('CASE MASTER'!#REF!)-1))))*(INDEX('CASE MASTER'!$AD$2:$AD$495,(SUMPRODUCT((('CASE MASTER'!$T$2:$T$495=5)*('CASE MASTER'!$AA$2:$AA$495&lt;=8)*('CASE MASTER'!$AC$2:$AC$495&gt;=8)*('CASE MASTER'!$AB$2:$AB$495&lt;=7)*('CASE MASTER'!$AD$2:$AD$495&gt;=7))*ROW('CASE MASTER'!$T$2:$T$495))-(ROW('CASE MASTER'!#REF!)-1)))-INDEX('CASE MASTER'!$AB$2:$AB$495,(SUMPRODUCT((('CASE MASTER'!$T$2:$T$495=5)*('CASE MASTER'!$AA$2:$AA$495&lt;=8)*('CASE MASTER'!$AC$2:$AC$495&gt;=8)*('CASE MASTER'!$AB$2:$AB$495&lt;=7)*('CASE MASTER'!$AD$2:$AD$495&gt;=7))*ROW('CASE MASTER'!$T$2:$T$495))-(ROW('CASE MASTER'!#REF!)-1)))+1)+(7-INDEX('CASE MASTER'!$AB$2:$AB$495,(SUMPRODUCT((('CASE MASTER'!$T$2:$T$495=5)*('CASE MASTER'!$AA$2:$AA$495&lt;=8)*('CASE MASTER'!$AC$2:$AC$495&gt;=8)*('CASE MASTER'!$AB$2:$AB$495&lt;=7)*('CASE MASTER'!$AD$2:$AD$495&gt;=7))*ROW('CASE MASTER'!$T$2:$T$495))-(ROW('CASE MASTER'!#REF!)-1))))+1)))-1)*50+1,50))&amp;"_"&amp;INDEX('CASE MASTER'!$Q$2:$Q$495,(SUMPRODUCT((('CASE MASTER'!$T$2:$T$495=5)*('CASE MASTER'!$AA$2:$AA$495&lt;=8)*('CASE MASTER'!$AC$2:$AC$495&gt;=8)*('CASE MASTER'!$AB$2:$AB$495&lt;=7)*('CASE MASTER'!$AD$2:$AD$495&gt;=7))*ROW('CASE MASTER'!$T$2:$T$495))-(ROW('CASE MASTER'!#REF!)-1))),"")),"")</f>
        <v/>
      </c>
      <c r="I66" s="10" t="str">
        <f>IFERROR(IF(SUMPRODUCT((('CASE MASTER'!$T$2:$T$495=5)*('CASE MASTER'!$U$2:$U$495&lt;=8)*('CASE MASTER'!$W$2:$W$495&gt;=8)*('CASE MASTER'!$V$2:$V$495&lt;=8)*('CASE MASTER'!$X$2:$X$495&gt;=8))*ROW('CASE MASTER'!$T$2:$T$495))&gt;0,INDEX('CASE MASTER'!$Y$2:$Y$495,(SUMPRODUCT((('CASE MASTER'!$T$2:$T$495=5)*('CASE MASTER'!$U$2:$U$495&lt;=8)*('CASE MASTER'!$W$2:$W$495&gt;=8)*('CASE MASTER'!$V$2:$V$495&lt;=8)*('CASE MASTER'!$X$2:$X$495&gt;=8))*ROW('CASE MASTER'!$T$2:$T$495))-(ROW('CASE MASTER'!#REF!)-1)))&amp;TRIM(MID(SUBSTITUTE(SUBSTITUTE(INDEX('CASE MASTER'!$N$2:$N$495,(SUMPRODUCT((('CASE MASTER'!$T$2:$T$495=5)*('CASE MASTER'!$U$2:$U$495&lt;=8)*('CASE MASTER'!$W$2:$W$495&gt;=8)*('CASE MASTER'!$V$2:$V$495&lt;=8)*('CASE MASTER'!$X$2:$X$495&gt;=8))*ROW('CASE MASTER'!$T$2:$T$495))-(ROW('CASE MASTER'!#REF!)-1))),":",","),",",REPT(" ",50)),((((8-INDEX('CASE MASTER'!$U$2:$U$495,(SUMPRODUCT((('CASE MASTER'!$T$2:$T$495=5)*('CASE MASTER'!$U$2:$U$495&lt;=8)*('CASE MASTER'!$W$2:$W$495&gt;=8)*('CASE MASTER'!$V$2:$V$495&lt;=8)*('CASE MASTER'!$X$2:$X$495&gt;=8))*ROW('CASE MASTER'!$T$2:$T$495))-(ROW('CASE MASTER'!#REF!)-1))))*(INDEX('CASE MASTER'!$X$2:$X$495,(SUMPRODUCT((('CASE MASTER'!$T$2:$T$495=5)*('CASE MASTER'!$U$2:$U$495&lt;=8)*('CASE MASTER'!$W$2:$W$495&gt;=8)*('CASE MASTER'!$V$2:$V$495&lt;=8)*('CASE MASTER'!$X$2:$X$495&gt;=8))*ROW('CASE MASTER'!$T$2:$T$495))-(ROW('CASE MASTER'!#REF!)-1)))-INDEX('CASE MASTER'!$V$2:$V$495,(SUMPRODUCT((('CASE MASTER'!$T$2:$T$495=5)*('CASE MASTER'!$U$2:$U$495&lt;=8)*('CASE MASTER'!$W$2:$W$495&gt;=8)*('CASE MASTER'!$V$2:$V$495&lt;=8)*('CASE MASTER'!$X$2:$X$495&gt;=8))*ROW('CASE MASTER'!$T$2:$T$495))-(ROW('CASE MASTER'!#REF!)-1)))+1)+(8-INDEX('CASE MASTER'!$V$2:$V$495,(SUMPRODUCT((('CASE MASTER'!$T$2:$T$495=5)*('CASE MASTER'!$U$2:$U$495&lt;=8)*('CASE MASTER'!$W$2:$W$495&gt;=8)*('CASE MASTER'!$V$2:$V$495&lt;=8)*('CASE MASTER'!$X$2:$X$495&gt;=8))*ROW('CASE MASTER'!$T$2:$T$495))-(ROW('CASE MASTER'!#REF!)-1))))+1))-1)*50+1,50))&amp;"_"&amp;INDEX('CASE MASTER'!$Q$2:$Q$495,(SUMPRODUCT((('CASE MASTER'!$T$2:$T$495=5)*('CASE MASTER'!$U$2:$U$495&lt;=8)*('CASE MASTER'!$W$2:$W$495&gt;=8)*('CASE MASTER'!$V$2:$V$495&lt;=8)*('CASE MASTER'!$X$2:$X$495&gt;=8))*ROW('CASE MASTER'!$T$2:$T$495))-(ROW('CASE MASTER'!#REF!)-1))),IF(SUMPRODUCT((('CASE MASTER'!$T$2:$T$495=5)*('CASE MASTER'!$AA$2:$AA$495&lt;=8)*('CASE MASTER'!$AC$2:$AC$495&gt;=8)*('CASE MASTER'!$AB$2:$AB$495&lt;=8)*('CASE MASTER'!$AD$2:$AD$495&gt;=8))*ROW('CASE MASTER'!$T$2:$T$495))&gt;0,INDEX('CASE MASTER'!$Y$2:$Y$495,(SUMPRODUCT((('CASE MASTER'!$T$2:$T$495=5)*('CASE MASTER'!$AA$2:$AA$495&lt;=8)*('CASE MASTER'!$AC$2:$AC$495&gt;=8)*('CASE MASTER'!$AB$2:$AB$495&lt;=8)*('CASE MASTER'!$AD$2:$AD$495&gt;=8))*ROW('CASE MASTER'!$T$2:$T$495))-(ROW('CASE MASTER'!#REF!)-1)))&amp;TRIM(MID(SUBSTITUTE(SUBSTITUTE(INDEX('CASE MASTER'!$N$2:$N$495,(SUMPRODUCT((('CASE MASTER'!$T$2:$T$495=5)*('CASE MASTER'!$AA$2:$AA$495&lt;=8)*('CASE MASTER'!$AC$2:$AC$495&gt;=8)*('CASE MASTER'!$AB$2:$AB$495&lt;=8)*('CASE MASTER'!$AD$2:$AD$495&gt;=8))*ROW('CASE MASTER'!$T$2:$T$495))-(ROW('CASE MASTER'!#REF!)-1))),":",","),",",REPT(" ",50)),(((INDEX('CASE MASTER'!$Z$2:$Z$495,(SUMPRODUCT((('CASE MASTER'!$T$2:$T$495=5)*('CASE MASTER'!$AA$2:$AA$495&lt;=8)*('CASE MASTER'!$AC$2:$AC$495&gt;=8)*('CASE MASTER'!$AB$2:$AB$495&lt;=8)*('CASE MASTER'!$AD$2:$AD$495&gt;=8))*ROW('CASE MASTER'!$T$2:$T$495))-(ROW('CASE MASTER'!#REF!)-1)))+((8-INDEX('CASE MASTER'!$AA$2:$AA$495,(SUMPRODUCT((('CASE MASTER'!$T$2:$T$495=5)*('CASE MASTER'!$AA$2:$AA$495&lt;=8)*('CASE MASTER'!$AC$2:$AC$495&gt;=8)*('CASE MASTER'!$AB$2:$AB$495&lt;=8)*('CASE MASTER'!$AD$2:$AD$495&gt;=8))*ROW('CASE MASTER'!$T$2:$T$495))-(ROW('CASE MASTER'!#REF!)-1))))*(INDEX('CASE MASTER'!$AD$2:$AD$495,(SUMPRODUCT((('CASE MASTER'!$T$2:$T$495=5)*('CASE MASTER'!$AA$2:$AA$495&lt;=8)*('CASE MASTER'!$AC$2:$AC$495&gt;=8)*('CASE MASTER'!$AB$2:$AB$495&lt;=8)*('CASE MASTER'!$AD$2:$AD$495&gt;=8))*ROW('CASE MASTER'!$T$2:$T$495))-(ROW('CASE MASTER'!#REF!)-1)))-INDEX('CASE MASTER'!$AB$2:$AB$495,(SUMPRODUCT((('CASE MASTER'!$T$2:$T$495=5)*('CASE MASTER'!$AA$2:$AA$495&lt;=8)*('CASE MASTER'!$AC$2:$AC$495&gt;=8)*('CASE MASTER'!$AB$2:$AB$495&lt;=8)*('CASE MASTER'!$AD$2:$AD$495&gt;=8))*ROW('CASE MASTER'!$T$2:$T$495))-(ROW('CASE MASTER'!#REF!)-1)))+1)+(8-INDEX('CASE MASTER'!$AB$2:$AB$495,(SUMPRODUCT((('CASE MASTER'!$T$2:$T$495=5)*('CASE MASTER'!$AA$2:$AA$495&lt;=8)*('CASE MASTER'!$AC$2:$AC$495&gt;=8)*('CASE MASTER'!$AB$2:$AB$495&lt;=8)*('CASE MASTER'!$AD$2:$AD$495&gt;=8))*ROW('CASE MASTER'!$T$2:$T$495))-(ROW('CASE MASTER'!#REF!)-1))))+1)))-1)*50+1,50))&amp;"_"&amp;INDEX('CASE MASTER'!$Q$2:$Q$495,(SUMPRODUCT((('CASE MASTER'!$T$2:$T$495=5)*('CASE MASTER'!$AA$2:$AA$495&lt;=8)*('CASE MASTER'!$AC$2:$AC$495&gt;=8)*('CASE MASTER'!$AB$2:$AB$495&lt;=8)*('CASE MASTER'!$AD$2:$AD$495&gt;=8))*ROW('CASE MASTER'!$T$2:$T$495))-(ROW('CASE MASTER'!#REF!)-1))),"")),"")</f>
        <v/>
      </c>
      <c r="J66" s="10" t="str">
        <f>IFERROR(IF(SUMPRODUCT((('CASE MASTER'!$T$2:$T$495=5)*('CASE MASTER'!$U$2:$U$495&lt;=8)*('CASE MASTER'!$W$2:$W$495&gt;=8)*('CASE MASTER'!$V$2:$V$495&lt;=9)*('CASE MASTER'!$X$2:$X$495&gt;=9))*ROW('CASE MASTER'!$T$2:$T$495))&gt;0,INDEX('CASE MASTER'!$Y$2:$Y$495,(SUMPRODUCT((('CASE MASTER'!$T$2:$T$495=5)*('CASE MASTER'!$U$2:$U$495&lt;=8)*('CASE MASTER'!$W$2:$W$495&gt;=8)*('CASE MASTER'!$V$2:$V$495&lt;=9)*('CASE MASTER'!$X$2:$X$495&gt;=9))*ROW('CASE MASTER'!$T$2:$T$495))-(ROW('CASE MASTER'!#REF!)-1)))&amp;TRIM(MID(SUBSTITUTE(SUBSTITUTE(INDEX('CASE MASTER'!$N$2:$N$495,(SUMPRODUCT((('CASE MASTER'!$T$2:$T$495=5)*('CASE MASTER'!$U$2:$U$495&lt;=8)*('CASE MASTER'!$W$2:$W$495&gt;=8)*('CASE MASTER'!$V$2:$V$495&lt;=9)*('CASE MASTER'!$X$2:$X$495&gt;=9))*ROW('CASE MASTER'!$T$2:$T$495))-(ROW('CASE MASTER'!#REF!)-1))),":",","),",",REPT(" ",50)),((((8-INDEX('CASE MASTER'!$U$2:$U$495,(SUMPRODUCT((('CASE MASTER'!$T$2:$T$495=5)*('CASE MASTER'!$U$2:$U$495&lt;=8)*('CASE MASTER'!$W$2:$W$495&gt;=8)*('CASE MASTER'!$V$2:$V$495&lt;=9)*('CASE MASTER'!$X$2:$X$495&gt;=9))*ROW('CASE MASTER'!$T$2:$T$495))-(ROW('CASE MASTER'!#REF!)-1))))*(INDEX('CASE MASTER'!$X$2:$X$495,(SUMPRODUCT((('CASE MASTER'!$T$2:$T$495=5)*('CASE MASTER'!$U$2:$U$495&lt;=8)*('CASE MASTER'!$W$2:$W$495&gt;=8)*('CASE MASTER'!$V$2:$V$495&lt;=9)*('CASE MASTER'!$X$2:$X$495&gt;=9))*ROW('CASE MASTER'!$T$2:$T$495))-(ROW('CASE MASTER'!#REF!)-1)))-INDEX('CASE MASTER'!$V$2:$V$495,(SUMPRODUCT((('CASE MASTER'!$T$2:$T$495=5)*('CASE MASTER'!$U$2:$U$495&lt;=8)*('CASE MASTER'!$W$2:$W$495&gt;=8)*('CASE MASTER'!$V$2:$V$495&lt;=9)*('CASE MASTER'!$X$2:$X$495&gt;=9))*ROW('CASE MASTER'!$T$2:$T$495))-(ROW('CASE MASTER'!#REF!)-1)))+1)+(9-INDEX('CASE MASTER'!$V$2:$V$495,(SUMPRODUCT((('CASE MASTER'!$T$2:$T$495=5)*('CASE MASTER'!$U$2:$U$495&lt;=8)*('CASE MASTER'!$W$2:$W$495&gt;=8)*('CASE MASTER'!$V$2:$V$495&lt;=9)*('CASE MASTER'!$X$2:$X$495&gt;=9))*ROW('CASE MASTER'!$T$2:$T$495))-(ROW('CASE MASTER'!#REF!)-1))))+1))-1)*50+1,50))&amp;"_"&amp;INDEX('CASE MASTER'!$Q$2:$Q$495,(SUMPRODUCT((('CASE MASTER'!$T$2:$T$495=5)*('CASE MASTER'!$U$2:$U$495&lt;=8)*('CASE MASTER'!$W$2:$W$495&gt;=8)*('CASE MASTER'!$V$2:$V$495&lt;=9)*('CASE MASTER'!$X$2:$X$495&gt;=9))*ROW('CASE MASTER'!$T$2:$T$495))-(ROW('CASE MASTER'!#REF!)-1))),IF(SUMPRODUCT((('CASE MASTER'!$T$2:$T$495=5)*('CASE MASTER'!$AA$2:$AA$495&lt;=8)*('CASE MASTER'!$AC$2:$AC$495&gt;=8)*('CASE MASTER'!$AB$2:$AB$495&lt;=9)*('CASE MASTER'!$AD$2:$AD$495&gt;=9))*ROW('CASE MASTER'!$T$2:$T$495))&gt;0,INDEX('CASE MASTER'!$Y$2:$Y$495,(SUMPRODUCT((('CASE MASTER'!$T$2:$T$495=5)*('CASE MASTER'!$AA$2:$AA$495&lt;=8)*('CASE MASTER'!$AC$2:$AC$495&gt;=8)*('CASE MASTER'!$AB$2:$AB$495&lt;=9)*('CASE MASTER'!$AD$2:$AD$495&gt;=9))*ROW('CASE MASTER'!$T$2:$T$495))-(ROW('CASE MASTER'!#REF!)-1)))&amp;TRIM(MID(SUBSTITUTE(SUBSTITUTE(INDEX('CASE MASTER'!$N$2:$N$495,(SUMPRODUCT((('CASE MASTER'!$T$2:$T$495=5)*('CASE MASTER'!$AA$2:$AA$495&lt;=8)*('CASE MASTER'!$AC$2:$AC$495&gt;=8)*('CASE MASTER'!$AB$2:$AB$495&lt;=9)*('CASE MASTER'!$AD$2:$AD$495&gt;=9))*ROW('CASE MASTER'!$T$2:$T$495))-(ROW('CASE MASTER'!#REF!)-1))),":",","),",",REPT(" ",50)),(((INDEX('CASE MASTER'!$Z$2:$Z$495,(SUMPRODUCT((('CASE MASTER'!$T$2:$T$495=5)*('CASE MASTER'!$AA$2:$AA$495&lt;=8)*('CASE MASTER'!$AC$2:$AC$495&gt;=8)*('CASE MASTER'!$AB$2:$AB$495&lt;=9)*('CASE MASTER'!$AD$2:$AD$495&gt;=9))*ROW('CASE MASTER'!$T$2:$T$495))-(ROW('CASE MASTER'!#REF!)-1)))+((8-INDEX('CASE MASTER'!$AA$2:$AA$495,(SUMPRODUCT((('CASE MASTER'!$T$2:$T$495=5)*('CASE MASTER'!$AA$2:$AA$495&lt;=8)*('CASE MASTER'!$AC$2:$AC$495&gt;=8)*('CASE MASTER'!$AB$2:$AB$495&lt;=9)*('CASE MASTER'!$AD$2:$AD$495&gt;=9))*ROW('CASE MASTER'!$T$2:$T$495))-(ROW('CASE MASTER'!#REF!)-1))))*(INDEX('CASE MASTER'!$AD$2:$AD$495,(SUMPRODUCT((('CASE MASTER'!$T$2:$T$495=5)*('CASE MASTER'!$AA$2:$AA$495&lt;=8)*('CASE MASTER'!$AC$2:$AC$495&gt;=8)*('CASE MASTER'!$AB$2:$AB$495&lt;=9)*('CASE MASTER'!$AD$2:$AD$495&gt;=9))*ROW('CASE MASTER'!$T$2:$T$495))-(ROW('CASE MASTER'!#REF!)-1)))-INDEX('CASE MASTER'!$AB$2:$AB$495,(SUMPRODUCT((('CASE MASTER'!$T$2:$T$495=5)*('CASE MASTER'!$AA$2:$AA$495&lt;=8)*('CASE MASTER'!$AC$2:$AC$495&gt;=8)*('CASE MASTER'!$AB$2:$AB$495&lt;=9)*('CASE MASTER'!$AD$2:$AD$495&gt;=9))*ROW('CASE MASTER'!$T$2:$T$495))-(ROW('CASE MASTER'!#REF!)-1)))+1)+(9-INDEX('CASE MASTER'!$AB$2:$AB$495,(SUMPRODUCT((('CASE MASTER'!$T$2:$T$495=5)*('CASE MASTER'!$AA$2:$AA$495&lt;=8)*('CASE MASTER'!$AC$2:$AC$495&gt;=8)*('CASE MASTER'!$AB$2:$AB$495&lt;=9)*('CASE MASTER'!$AD$2:$AD$495&gt;=9))*ROW('CASE MASTER'!$T$2:$T$495))-(ROW('CASE MASTER'!#REF!)-1))))+1)))-1)*50+1,50))&amp;"_"&amp;INDEX('CASE MASTER'!$Q$2:$Q$495,(SUMPRODUCT((('CASE MASTER'!$T$2:$T$495=5)*('CASE MASTER'!$AA$2:$AA$495&lt;=8)*('CASE MASTER'!$AC$2:$AC$495&gt;=8)*('CASE MASTER'!$AB$2:$AB$495&lt;=9)*('CASE MASTER'!$AD$2:$AD$495&gt;=9))*ROW('CASE MASTER'!$T$2:$T$495))-(ROW('CASE MASTER'!#REF!)-1))),"")),"")</f>
        <v/>
      </c>
      <c r="K66" s="10" t="str">
        <f>IFERROR(IF(SUMPRODUCT((('CASE MASTER'!$T$2:$T$495=5)*('CASE MASTER'!$U$2:$U$495&lt;=8)*('CASE MASTER'!$W$2:$W$495&gt;=8)*('CASE MASTER'!$V$2:$V$495&lt;=10)*('CASE MASTER'!$X$2:$X$495&gt;=10))*ROW('CASE MASTER'!$T$2:$T$495))&gt;0,INDEX('CASE MASTER'!$Y$2:$Y$495,(SUMPRODUCT((('CASE MASTER'!$T$2:$T$495=5)*('CASE MASTER'!$U$2:$U$495&lt;=8)*('CASE MASTER'!$W$2:$W$495&gt;=8)*('CASE MASTER'!$V$2:$V$495&lt;=10)*('CASE MASTER'!$X$2:$X$495&gt;=10))*ROW('CASE MASTER'!$T$2:$T$495))-(ROW('CASE MASTER'!#REF!)-1)))&amp;TRIM(MID(SUBSTITUTE(SUBSTITUTE(INDEX('CASE MASTER'!$N$2:$N$495,(SUMPRODUCT((('CASE MASTER'!$T$2:$T$495=5)*('CASE MASTER'!$U$2:$U$495&lt;=8)*('CASE MASTER'!$W$2:$W$495&gt;=8)*('CASE MASTER'!$V$2:$V$495&lt;=10)*('CASE MASTER'!$X$2:$X$495&gt;=10))*ROW('CASE MASTER'!$T$2:$T$495))-(ROW('CASE MASTER'!#REF!)-1))),":",","),",",REPT(" ",50)),((((8-INDEX('CASE MASTER'!$U$2:$U$495,(SUMPRODUCT((('CASE MASTER'!$T$2:$T$495=5)*('CASE MASTER'!$U$2:$U$495&lt;=8)*('CASE MASTER'!$W$2:$W$495&gt;=8)*('CASE MASTER'!$V$2:$V$495&lt;=10)*('CASE MASTER'!$X$2:$X$495&gt;=10))*ROW('CASE MASTER'!$T$2:$T$495))-(ROW('CASE MASTER'!#REF!)-1))))*(INDEX('CASE MASTER'!$X$2:$X$495,(SUMPRODUCT((('CASE MASTER'!$T$2:$T$495=5)*('CASE MASTER'!$U$2:$U$495&lt;=8)*('CASE MASTER'!$W$2:$W$495&gt;=8)*('CASE MASTER'!$V$2:$V$495&lt;=10)*('CASE MASTER'!$X$2:$X$495&gt;=10))*ROW('CASE MASTER'!$T$2:$T$495))-(ROW('CASE MASTER'!#REF!)-1)))-INDEX('CASE MASTER'!$V$2:$V$495,(SUMPRODUCT((('CASE MASTER'!$T$2:$T$495=5)*('CASE MASTER'!$U$2:$U$495&lt;=8)*('CASE MASTER'!$W$2:$W$495&gt;=8)*('CASE MASTER'!$V$2:$V$495&lt;=10)*('CASE MASTER'!$X$2:$X$495&gt;=10))*ROW('CASE MASTER'!$T$2:$T$495))-(ROW('CASE MASTER'!#REF!)-1)))+1)+(10-INDEX('CASE MASTER'!$V$2:$V$495,(SUMPRODUCT((('CASE MASTER'!$T$2:$T$495=5)*('CASE MASTER'!$U$2:$U$495&lt;=8)*('CASE MASTER'!$W$2:$W$495&gt;=8)*('CASE MASTER'!$V$2:$V$495&lt;=10)*('CASE MASTER'!$X$2:$X$495&gt;=10))*ROW('CASE MASTER'!$T$2:$T$495))-(ROW('CASE MASTER'!#REF!)-1))))+1))-1)*50+1,50))&amp;"_"&amp;INDEX('CASE MASTER'!$Q$2:$Q$495,(SUMPRODUCT((('CASE MASTER'!$T$2:$T$495=5)*('CASE MASTER'!$U$2:$U$495&lt;=8)*('CASE MASTER'!$W$2:$W$495&gt;=8)*('CASE MASTER'!$V$2:$V$495&lt;=10)*('CASE MASTER'!$X$2:$X$495&gt;=10))*ROW('CASE MASTER'!$T$2:$T$495))-(ROW('CASE MASTER'!#REF!)-1))),IF(SUMPRODUCT((('CASE MASTER'!$T$2:$T$495=5)*('CASE MASTER'!$AA$2:$AA$495&lt;=8)*('CASE MASTER'!$AC$2:$AC$495&gt;=8)*('CASE MASTER'!$AB$2:$AB$495&lt;=10)*('CASE MASTER'!$AD$2:$AD$495&gt;=10))*ROW('CASE MASTER'!$T$2:$T$495))&gt;0,INDEX('CASE MASTER'!$Y$2:$Y$495,(SUMPRODUCT((('CASE MASTER'!$T$2:$T$495=5)*('CASE MASTER'!$AA$2:$AA$495&lt;=8)*('CASE MASTER'!$AC$2:$AC$495&gt;=8)*('CASE MASTER'!$AB$2:$AB$495&lt;=10)*('CASE MASTER'!$AD$2:$AD$495&gt;=10))*ROW('CASE MASTER'!$T$2:$T$495))-(ROW('CASE MASTER'!#REF!)-1)))&amp;TRIM(MID(SUBSTITUTE(SUBSTITUTE(INDEX('CASE MASTER'!$N$2:$N$495,(SUMPRODUCT((('CASE MASTER'!$T$2:$T$495=5)*('CASE MASTER'!$AA$2:$AA$495&lt;=8)*('CASE MASTER'!$AC$2:$AC$495&gt;=8)*('CASE MASTER'!$AB$2:$AB$495&lt;=10)*('CASE MASTER'!$AD$2:$AD$495&gt;=10))*ROW('CASE MASTER'!$T$2:$T$495))-(ROW('CASE MASTER'!#REF!)-1))),":",","),",",REPT(" ",50)),(((INDEX('CASE MASTER'!$Z$2:$Z$495,(SUMPRODUCT((('CASE MASTER'!$T$2:$T$495=5)*('CASE MASTER'!$AA$2:$AA$495&lt;=8)*('CASE MASTER'!$AC$2:$AC$495&gt;=8)*('CASE MASTER'!$AB$2:$AB$495&lt;=10)*('CASE MASTER'!$AD$2:$AD$495&gt;=10))*ROW('CASE MASTER'!$T$2:$T$495))-(ROW('CASE MASTER'!#REF!)-1)))+((8-INDEX('CASE MASTER'!$AA$2:$AA$495,(SUMPRODUCT((('CASE MASTER'!$T$2:$T$495=5)*('CASE MASTER'!$AA$2:$AA$495&lt;=8)*('CASE MASTER'!$AC$2:$AC$495&gt;=8)*('CASE MASTER'!$AB$2:$AB$495&lt;=10)*('CASE MASTER'!$AD$2:$AD$495&gt;=10))*ROW('CASE MASTER'!$T$2:$T$495))-(ROW('CASE MASTER'!#REF!)-1))))*(INDEX('CASE MASTER'!$AD$2:$AD$495,(SUMPRODUCT((('CASE MASTER'!$T$2:$T$495=5)*('CASE MASTER'!$AA$2:$AA$495&lt;=8)*('CASE MASTER'!$AC$2:$AC$495&gt;=8)*('CASE MASTER'!$AB$2:$AB$495&lt;=10)*('CASE MASTER'!$AD$2:$AD$495&gt;=10))*ROW('CASE MASTER'!$T$2:$T$495))-(ROW('CASE MASTER'!#REF!)-1)))-INDEX('CASE MASTER'!$AB$2:$AB$495,(SUMPRODUCT((('CASE MASTER'!$T$2:$T$495=5)*('CASE MASTER'!$AA$2:$AA$495&lt;=8)*('CASE MASTER'!$AC$2:$AC$495&gt;=8)*('CASE MASTER'!$AB$2:$AB$495&lt;=10)*('CASE MASTER'!$AD$2:$AD$495&gt;=10))*ROW('CASE MASTER'!$T$2:$T$495))-(ROW('CASE MASTER'!#REF!)-1)))+1)+(10-INDEX('CASE MASTER'!$AB$2:$AB$495,(SUMPRODUCT((('CASE MASTER'!$T$2:$T$495=5)*('CASE MASTER'!$AA$2:$AA$495&lt;=8)*('CASE MASTER'!$AC$2:$AC$495&gt;=8)*('CASE MASTER'!$AB$2:$AB$495&lt;=10)*('CASE MASTER'!$AD$2:$AD$495&gt;=10))*ROW('CASE MASTER'!$T$2:$T$495))-(ROW('CASE MASTER'!#REF!)-1))))+1)))-1)*50+1,50))&amp;"_"&amp;INDEX('CASE MASTER'!$Q$2:$Q$495,(SUMPRODUCT((('CASE MASTER'!$T$2:$T$495=5)*('CASE MASTER'!$AA$2:$AA$495&lt;=8)*('CASE MASTER'!$AC$2:$AC$495&gt;=8)*('CASE MASTER'!$AB$2:$AB$495&lt;=10)*('CASE MASTER'!$AD$2:$AD$495&gt;=10))*ROW('CASE MASTER'!$T$2:$T$495))-(ROW('CASE MASTER'!#REF!)-1))),"")),"")</f>
        <v/>
      </c>
    </row>
    <row r="67" spans="1:11" ht="15" customHeight="1" x14ac:dyDescent="0.35">
      <c r="A67" s="8" t="s">
        <v>81</v>
      </c>
      <c r="B67" s="10" t="str">
        <f>IFERROR(IF(SUMPRODUCT((('CASE MASTER'!$T$2:$T$495=5)*('CASE MASTER'!$U$2:$U$495&lt;=9)*('CASE MASTER'!$W$2:$W$495&gt;=9)*('CASE MASTER'!$V$2:$V$495&lt;=1)*('CASE MASTER'!$X$2:$X$495&gt;=1))*ROW('CASE MASTER'!$T$2:$T$495))&gt;0,INDEX('CASE MASTER'!$Y$2:$Y$495,(SUMPRODUCT((('CASE MASTER'!$T$2:$T$495=5)*('CASE MASTER'!$U$2:$U$495&lt;=9)*('CASE MASTER'!$W$2:$W$495&gt;=9)*('CASE MASTER'!$V$2:$V$495&lt;=1)*('CASE MASTER'!$X$2:$X$495&gt;=1))*ROW('CASE MASTER'!$T$2:$T$495))-(ROW('CASE MASTER'!#REF!)-1)))&amp;TRIM(MID(SUBSTITUTE(SUBSTITUTE(INDEX('CASE MASTER'!$N$2:$N$495,(SUMPRODUCT((('CASE MASTER'!$T$2:$T$495=5)*('CASE MASTER'!$U$2:$U$495&lt;=9)*('CASE MASTER'!$W$2:$W$495&gt;=9)*('CASE MASTER'!$V$2:$V$495&lt;=1)*('CASE MASTER'!$X$2:$X$495&gt;=1))*ROW('CASE MASTER'!$T$2:$T$495))-(ROW('CASE MASTER'!#REF!)-1))),":",","),",",REPT(" ",50)),((((9-INDEX('CASE MASTER'!$U$2:$U$495,(SUMPRODUCT((('CASE MASTER'!$T$2:$T$495=5)*('CASE MASTER'!$U$2:$U$495&lt;=9)*('CASE MASTER'!$W$2:$W$495&gt;=9)*('CASE MASTER'!$V$2:$V$495&lt;=1)*('CASE MASTER'!$X$2:$X$495&gt;=1))*ROW('CASE MASTER'!$T$2:$T$495))-(ROW('CASE MASTER'!#REF!)-1))))*(INDEX('CASE MASTER'!$X$2:$X$495,(SUMPRODUCT((('CASE MASTER'!$T$2:$T$495=5)*('CASE MASTER'!$U$2:$U$495&lt;=9)*('CASE MASTER'!$W$2:$W$495&gt;=9)*('CASE MASTER'!$V$2:$V$495&lt;=1)*('CASE MASTER'!$X$2:$X$495&gt;=1))*ROW('CASE MASTER'!$T$2:$T$495))-(ROW('CASE MASTER'!#REF!)-1)))-INDEX('CASE MASTER'!$V$2:$V$495,(SUMPRODUCT((('CASE MASTER'!$T$2:$T$495=5)*('CASE MASTER'!$U$2:$U$495&lt;=9)*('CASE MASTER'!$W$2:$W$495&gt;=9)*('CASE MASTER'!$V$2:$V$495&lt;=1)*('CASE MASTER'!$X$2:$X$495&gt;=1))*ROW('CASE MASTER'!$T$2:$T$495))-(ROW('CASE MASTER'!#REF!)-1)))+1)+(1-INDEX('CASE MASTER'!$V$2:$V$495,(SUMPRODUCT((('CASE MASTER'!$T$2:$T$495=5)*('CASE MASTER'!$U$2:$U$495&lt;=9)*('CASE MASTER'!$W$2:$W$495&gt;=9)*('CASE MASTER'!$V$2:$V$495&lt;=1)*('CASE MASTER'!$X$2:$X$495&gt;=1))*ROW('CASE MASTER'!$T$2:$T$495))-(ROW('CASE MASTER'!#REF!)-1))))+1))-1)*50+1,50))&amp;"_"&amp;INDEX('CASE MASTER'!$Q$2:$Q$495,(SUMPRODUCT((('CASE MASTER'!$T$2:$T$495=5)*('CASE MASTER'!$U$2:$U$495&lt;=9)*('CASE MASTER'!$W$2:$W$495&gt;=9)*('CASE MASTER'!$V$2:$V$495&lt;=1)*('CASE MASTER'!$X$2:$X$495&gt;=1))*ROW('CASE MASTER'!$T$2:$T$495))-(ROW('CASE MASTER'!#REF!)-1))),IF(SUMPRODUCT((('CASE MASTER'!$T$2:$T$495=5)*('CASE MASTER'!$AA$2:$AA$495&lt;=9)*('CASE MASTER'!$AC$2:$AC$495&gt;=9)*('CASE MASTER'!$AB$2:$AB$495&lt;=1)*('CASE MASTER'!$AD$2:$AD$495&gt;=1))*ROW('CASE MASTER'!$T$2:$T$495))&gt;0,INDEX('CASE MASTER'!$Y$2:$Y$495,(SUMPRODUCT((('CASE MASTER'!$T$2:$T$495=5)*('CASE MASTER'!$AA$2:$AA$495&lt;=9)*('CASE MASTER'!$AC$2:$AC$495&gt;=9)*('CASE MASTER'!$AB$2:$AB$495&lt;=1)*('CASE MASTER'!$AD$2:$AD$495&gt;=1))*ROW('CASE MASTER'!$T$2:$T$495))-(ROW('CASE MASTER'!#REF!)-1)))&amp;TRIM(MID(SUBSTITUTE(SUBSTITUTE(INDEX('CASE MASTER'!$N$2:$N$495,(SUMPRODUCT((('CASE MASTER'!$T$2:$T$495=5)*('CASE MASTER'!$AA$2:$AA$495&lt;=9)*('CASE MASTER'!$AC$2:$AC$495&gt;=9)*('CASE MASTER'!$AB$2:$AB$495&lt;=1)*('CASE MASTER'!$AD$2:$AD$495&gt;=1))*ROW('CASE MASTER'!$T$2:$T$495))-(ROW('CASE MASTER'!#REF!)-1))),":",","),",",REPT(" ",50)),(((INDEX('CASE MASTER'!$Z$2:$Z$495,(SUMPRODUCT((('CASE MASTER'!$T$2:$T$495=5)*('CASE MASTER'!$AA$2:$AA$495&lt;=9)*('CASE MASTER'!$AC$2:$AC$495&gt;=9)*('CASE MASTER'!$AB$2:$AB$495&lt;=1)*('CASE MASTER'!$AD$2:$AD$495&gt;=1))*ROW('CASE MASTER'!$T$2:$T$495))-(ROW('CASE MASTER'!#REF!)-1)))+((9-INDEX('CASE MASTER'!$AA$2:$AA$495,(SUMPRODUCT((('CASE MASTER'!$T$2:$T$495=5)*('CASE MASTER'!$AA$2:$AA$495&lt;=9)*('CASE MASTER'!$AC$2:$AC$495&gt;=9)*('CASE MASTER'!$AB$2:$AB$495&lt;=1)*('CASE MASTER'!$AD$2:$AD$495&gt;=1))*ROW('CASE MASTER'!$T$2:$T$495))-(ROW('CASE MASTER'!#REF!)-1))))*(INDEX('CASE MASTER'!$AD$2:$AD$495,(SUMPRODUCT((('CASE MASTER'!$T$2:$T$495=5)*('CASE MASTER'!$AA$2:$AA$495&lt;=9)*('CASE MASTER'!$AC$2:$AC$495&gt;=9)*('CASE MASTER'!$AB$2:$AB$495&lt;=1)*('CASE MASTER'!$AD$2:$AD$495&gt;=1))*ROW('CASE MASTER'!$T$2:$T$495))-(ROW('CASE MASTER'!#REF!)-1)))-INDEX('CASE MASTER'!$AB$2:$AB$495,(SUMPRODUCT((('CASE MASTER'!$T$2:$T$495=5)*('CASE MASTER'!$AA$2:$AA$495&lt;=9)*('CASE MASTER'!$AC$2:$AC$495&gt;=9)*('CASE MASTER'!$AB$2:$AB$495&lt;=1)*('CASE MASTER'!$AD$2:$AD$495&gt;=1))*ROW('CASE MASTER'!$T$2:$T$495))-(ROW('CASE MASTER'!#REF!)-1)))+1)+(1-INDEX('CASE MASTER'!$AB$2:$AB$495,(SUMPRODUCT((('CASE MASTER'!$T$2:$T$495=5)*('CASE MASTER'!$AA$2:$AA$495&lt;=9)*('CASE MASTER'!$AC$2:$AC$495&gt;=9)*('CASE MASTER'!$AB$2:$AB$495&lt;=1)*('CASE MASTER'!$AD$2:$AD$495&gt;=1))*ROW('CASE MASTER'!$T$2:$T$495))-(ROW('CASE MASTER'!#REF!)-1))))+1)))-1)*50+1,50))&amp;"_"&amp;INDEX('CASE MASTER'!$Q$2:$Q$495,(SUMPRODUCT((('CASE MASTER'!$T$2:$T$495=5)*('CASE MASTER'!$AA$2:$AA$495&lt;=9)*('CASE MASTER'!$AC$2:$AC$495&gt;=9)*('CASE MASTER'!$AB$2:$AB$495&lt;=1)*('CASE MASTER'!$AD$2:$AD$495&gt;=1))*ROW('CASE MASTER'!$T$2:$T$495))-(ROW('CASE MASTER'!#REF!)-1))),"")),"")</f>
        <v/>
      </c>
      <c r="C67" s="10" t="str">
        <f>IFERROR(IF(SUMPRODUCT((('CASE MASTER'!$T$2:$T$495=5)*('CASE MASTER'!$U$2:$U$495&lt;=9)*('CASE MASTER'!$W$2:$W$495&gt;=9)*('CASE MASTER'!$V$2:$V$495&lt;=2)*('CASE MASTER'!$X$2:$X$495&gt;=2))*ROW('CASE MASTER'!$T$2:$T$495))&gt;0,INDEX('CASE MASTER'!$Y$2:$Y$495,(SUMPRODUCT((('CASE MASTER'!$T$2:$T$495=5)*('CASE MASTER'!$U$2:$U$495&lt;=9)*('CASE MASTER'!$W$2:$W$495&gt;=9)*('CASE MASTER'!$V$2:$V$495&lt;=2)*('CASE MASTER'!$X$2:$X$495&gt;=2))*ROW('CASE MASTER'!$T$2:$T$495))-(ROW('CASE MASTER'!#REF!)-1)))&amp;TRIM(MID(SUBSTITUTE(SUBSTITUTE(INDEX('CASE MASTER'!$N$2:$N$495,(SUMPRODUCT((('CASE MASTER'!$T$2:$T$495=5)*('CASE MASTER'!$U$2:$U$495&lt;=9)*('CASE MASTER'!$W$2:$W$495&gt;=9)*('CASE MASTER'!$V$2:$V$495&lt;=2)*('CASE MASTER'!$X$2:$X$495&gt;=2))*ROW('CASE MASTER'!$T$2:$T$495))-(ROW('CASE MASTER'!#REF!)-1))),":",","),",",REPT(" ",50)),((((9-INDEX('CASE MASTER'!$U$2:$U$495,(SUMPRODUCT((('CASE MASTER'!$T$2:$T$495=5)*('CASE MASTER'!$U$2:$U$495&lt;=9)*('CASE MASTER'!$W$2:$W$495&gt;=9)*('CASE MASTER'!$V$2:$V$495&lt;=2)*('CASE MASTER'!$X$2:$X$495&gt;=2))*ROW('CASE MASTER'!$T$2:$T$495))-(ROW('CASE MASTER'!#REF!)-1))))*(INDEX('CASE MASTER'!$X$2:$X$495,(SUMPRODUCT((('CASE MASTER'!$T$2:$T$495=5)*('CASE MASTER'!$U$2:$U$495&lt;=9)*('CASE MASTER'!$W$2:$W$495&gt;=9)*('CASE MASTER'!$V$2:$V$495&lt;=2)*('CASE MASTER'!$X$2:$X$495&gt;=2))*ROW('CASE MASTER'!$T$2:$T$495))-(ROW('CASE MASTER'!#REF!)-1)))-INDEX('CASE MASTER'!$V$2:$V$495,(SUMPRODUCT((('CASE MASTER'!$T$2:$T$495=5)*('CASE MASTER'!$U$2:$U$495&lt;=9)*('CASE MASTER'!$W$2:$W$495&gt;=9)*('CASE MASTER'!$V$2:$V$495&lt;=2)*('CASE MASTER'!$X$2:$X$495&gt;=2))*ROW('CASE MASTER'!$T$2:$T$495))-(ROW('CASE MASTER'!#REF!)-1)))+1)+(2-INDEX('CASE MASTER'!$V$2:$V$495,(SUMPRODUCT((('CASE MASTER'!$T$2:$T$495=5)*('CASE MASTER'!$U$2:$U$495&lt;=9)*('CASE MASTER'!$W$2:$W$495&gt;=9)*('CASE MASTER'!$V$2:$V$495&lt;=2)*('CASE MASTER'!$X$2:$X$495&gt;=2))*ROW('CASE MASTER'!$T$2:$T$495))-(ROW('CASE MASTER'!#REF!)-1))))+1))-1)*50+1,50))&amp;"_"&amp;INDEX('CASE MASTER'!$Q$2:$Q$495,(SUMPRODUCT((('CASE MASTER'!$T$2:$T$495=5)*('CASE MASTER'!$U$2:$U$495&lt;=9)*('CASE MASTER'!$W$2:$W$495&gt;=9)*('CASE MASTER'!$V$2:$V$495&lt;=2)*('CASE MASTER'!$X$2:$X$495&gt;=2))*ROW('CASE MASTER'!$T$2:$T$495))-(ROW('CASE MASTER'!#REF!)-1))),IF(SUMPRODUCT((('CASE MASTER'!$T$2:$T$495=5)*('CASE MASTER'!$AA$2:$AA$495&lt;=9)*('CASE MASTER'!$AC$2:$AC$495&gt;=9)*('CASE MASTER'!$AB$2:$AB$495&lt;=2)*('CASE MASTER'!$AD$2:$AD$495&gt;=2))*ROW('CASE MASTER'!$T$2:$T$495))&gt;0,INDEX('CASE MASTER'!$Y$2:$Y$495,(SUMPRODUCT((('CASE MASTER'!$T$2:$T$495=5)*('CASE MASTER'!$AA$2:$AA$495&lt;=9)*('CASE MASTER'!$AC$2:$AC$495&gt;=9)*('CASE MASTER'!$AB$2:$AB$495&lt;=2)*('CASE MASTER'!$AD$2:$AD$495&gt;=2))*ROW('CASE MASTER'!$T$2:$T$495))-(ROW('CASE MASTER'!#REF!)-1)))&amp;TRIM(MID(SUBSTITUTE(SUBSTITUTE(INDEX('CASE MASTER'!$N$2:$N$495,(SUMPRODUCT((('CASE MASTER'!$T$2:$T$495=5)*('CASE MASTER'!$AA$2:$AA$495&lt;=9)*('CASE MASTER'!$AC$2:$AC$495&gt;=9)*('CASE MASTER'!$AB$2:$AB$495&lt;=2)*('CASE MASTER'!$AD$2:$AD$495&gt;=2))*ROW('CASE MASTER'!$T$2:$T$495))-(ROW('CASE MASTER'!#REF!)-1))),":",","),",",REPT(" ",50)),(((INDEX('CASE MASTER'!$Z$2:$Z$495,(SUMPRODUCT((('CASE MASTER'!$T$2:$T$495=5)*('CASE MASTER'!$AA$2:$AA$495&lt;=9)*('CASE MASTER'!$AC$2:$AC$495&gt;=9)*('CASE MASTER'!$AB$2:$AB$495&lt;=2)*('CASE MASTER'!$AD$2:$AD$495&gt;=2))*ROW('CASE MASTER'!$T$2:$T$495))-(ROW('CASE MASTER'!#REF!)-1)))+((9-INDEX('CASE MASTER'!$AA$2:$AA$495,(SUMPRODUCT((('CASE MASTER'!$T$2:$T$495=5)*('CASE MASTER'!$AA$2:$AA$495&lt;=9)*('CASE MASTER'!$AC$2:$AC$495&gt;=9)*('CASE MASTER'!$AB$2:$AB$495&lt;=2)*('CASE MASTER'!$AD$2:$AD$495&gt;=2))*ROW('CASE MASTER'!$T$2:$T$495))-(ROW('CASE MASTER'!#REF!)-1))))*(INDEX('CASE MASTER'!$AD$2:$AD$495,(SUMPRODUCT((('CASE MASTER'!$T$2:$T$495=5)*('CASE MASTER'!$AA$2:$AA$495&lt;=9)*('CASE MASTER'!$AC$2:$AC$495&gt;=9)*('CASE MASTER'!$AB$2:$AB$495&lt;=2)*('CASE MASTER'!$AD$2:$AD$495&gt;=2))*ROW('CASE MASTER'!$T$2:$T$495))-(ROW('CASE MASTER'!#REF!)-1)))-INDEX('CASE MASTER'!$AB$2:$AB$495,(SUMPRODUCT((('CASE MASTER'!$T$2:$T$495=5)*('CASE MASTER'!$AA$2:$AA$495&lt;=9)*('CASE MASTER'!$AC$2:$AC$495&gt;=9)*('CASE MASTER'!$AB$2:$AB$495&lt;=2)*('CASE MASTER'!$AD$2:$AD$495&gt;=2))*ROW('CASE MASTER'!$T$2:$T$495))-(ROW('CASE MASTER'!#REF!)-1)))+1)+(2-INDEX('CASE MASTER'!$AB$2:$AB$495,(SUMPRODUCT((('CASE MASTER'!$T$2:$T$495=5)*('CASE MASTER'!$AA$2:$AA$495&lt;=9)*('CASE MASTER'!$AC$2:$AC$495&gt;=9)*('CASE MASTER'!$AB$2:$AB$495&lt;=2)*('CASE MASTER'!$AD$2:$AD$495&gt;=2))*ROW('CASE MASTER'!$T$2:$T$495))-(ROW('CASE MASTER'!#REF!)-1))))+1)))-1)*50+1,50))&amp;"_"&amp;INDEX('CASE MASTER'!$Q$2:$Q$495,(SUMPRODUCT((('CASE MASTER'!$T$2:$T$495=5)*('CASE MASTER'!$AA$2:$AA$495&lt;=9)*('CASE MASTER'!$AC$2:$AC$495&gt;=9)*('CASE MASTER'!$AB$2:$AB$495&lt;=2)*('CASE MASTER'!$AD$2:$AD$495&gt;=2))*ROW('CASE MASTER'!$T$2:$T$495))-(ROW('CASE MASTER'!#REF!)-1))),"")),"")</f>
        <v/>
      </c>
      <c r="D67" s="10" t="str">
        <f>IFERROR(IF(SUMPRODUCT((('CASE MASTER'!$T$2:$T$495=5)*('CASE MASTER'!$U$2:$U$495&lt;=9)*('CASE MASTER'!$W$2:$W$495&gt;=9)*('CASE MASTER'!$V$2:$V$495&lt;=3)*('CASE MASTER'!$X$2:$X$495&gt;=3))*ROW('CASE MASTER'!$T$2:$T$495))&gt;0,INDEX('CASE MASTER'!$Y$2:$Y$495,(SUMPRODUCT((('CASE MASTER'!$T$2:$T$495=5)*('CASE MASTER'!$U$2:$U$495&lt;=9)*('CASE MASTER'!$W$2:$W$495&gt;=9)*('CASE MASTER'!$V$2:$V$495&lt;=3)*('CASE MASTER'!$X$2:$X$495&gt;=3))*ROW('CASE MASTER'!$T$2:$T$495))-(ROW('CASE MASTER'!#REF!)-1)))&amp;TRIM(MID(SUBSTITUTE(SUBSTITUTE(INDEX('CASE MASTER'!$N$2:$N$495,(SUMPRODUCT((('CASE MASTER'!$T$2:$T$495=5)*('CASE MASTER'!$U$2:$U$495&lt;=9)*('CASE MASTER'!$W$2:$W$495&gt;=9)*('CASE MASTER'!$V$2:$V$495&lt;=3)*('CASE MASTER'!$X$2:$X$495&gt;=3))*ROW('CASE MASTER'!$T$2:$T$495))-(ROW('CASE MASTER'!#REF!)-1))),":",","),",",REPT(" ",50)),((((9-INDEX('CASE MASTER'!$U$2:$U$495,(SUMPRODUCT((('CASE MASTER'!$T$2:$T$495=5)*('CASE MASTER'!$U$2:$U$495&lt;=9)*('CASE MASTER'!$W$2:$W$495&gt;=9)*('CASE MASTER'!$V$2:$V$495&lt;=3)*('CASE MASTER'!$X$2:$X$495&gt;=3))*ROW('CASE MASTER'!$T$2:$T$495))-(ROW('CASE MASTER'!#REF!)-1))))*(INDEX('CASE MASTER'!$X$2:$X$495,(SUMPRODUCT((('CASE MASTER'!$T$2:$T$495=5)*('CASE MASTER'!$U$2:$U$495&lt;=9)*('CASE MASTER'!$W$2:$W$495&gt;=9)*('CASE MASTER'!$V$2:$V$495&lt;=3)*('CASE MASTER'!$X$2:$X$495&gt;=3))*ROW('CASE MASTER'!$T$2:$T$495))-(ROW('CASE MASTER'!#REF!)-1)))-INDEX('CASE MASTER'!$V$2:$V$495,(SUMPRODUCT((('CASE MASTER'!$T$2:$T$495=5)*('CASE MASTER'!$U$2:$U$495&lt;=9)*('CASE MASTER'!$W$2:$W$495&gt;=9)*('CASE MASTER'!$V$2:$V$495&lt;=3)*('CASE MASTER'!$X$2:$X$495&gt;=3))*ROW('CASE MASTER'!$T$2:$T$495))-(ROW('CASE MASTER'!#REF!)-1)))+1)+(3-INDEX('CASE MASTER'!$V$2:$V$495,(SUMPRODUCT((('CASE MASTER'!$T$2:$T$495=5)*('CASE MASTER'!$U$2:$U$495&lt;=9)*('CASE MASTER'!$W$2:$W$495&gt;=9)*('CASE MASTER'!$V$2:$V$495&lt;=3)*('CASE MASTER'!$X$2:$X$495&gt;=3))*ROW('CASE MASTER'!$T$2:$T$495))-(ROW('CASE MASTER'!#REF!)-1))))+1))-1)*50+1,50))&amp;"_"&amp;INDEX('CASE MASTER'!$Q$2:$Q$495,(SUMPRODUCT((('CASE MASTER'!$T$2:$T$495=5)*('CASE MASTER'!$U$2:$U$495&lt;=9)*('CASE MASTER'!$W$2:$W$495&gt;=9)*('CASE MASTER'!$V$2:$V$495&lt;=3)*('CASE MASTER'!$X$2:$X$495&gt;=3))*ROW('CASE MASTER'!$T$2:$T$495))-(ROW('CASE MASTER'!#REF!)-1))),IF(SUMPRODUCT((('CASE MASTER'!$T$2:$T$495=5)*('CASE MASTER'!$AA$2:$AA$495&lt;=9)*('CASE MASTER'!$AC$2:$AC$495&gt;=9)*('CASE MASTER'!$AB$2:$AB$495&lt;=3)*('CASE MASTER'!$AD$2:$AD$495&gt;=3))*ROW('CASE MASTER'!$T$2:$T$495))&gt;0,INDEX('CASE MASTER'!$Y$2:$Y$495,(SUMPRODUCT((('CASE MASTER'!$T$2:$T$495=5)*('CASE MASTER'!$AA$2:$AA$495&lt;=9)*('CASE MASTER'!$AC$2:$AC$495&gt;=9)*('CASE MASTER'!$AB$2:$AB$495&lt;=3)*('CASE MASTER'!$AD$2:$AD$495&gt;=3))*ROW('CASE MASTER'!$T$2:$T$495))-(ROW('CASE MASTER'!#REF!)-1)))&amp;TRIM(MID(SUBSTITUTE(SUBSTITUTE(INDEX('CASE MASTER'!$N$2:$N$495,(SUMPRODUCT((('CASE MASTER'!$T$2:$T$495=5)*('CASE MASTER'!$AA$2:$AA$495&lt;=9)*('CASE MASTER'!$AC$2:$AC$495&gt;=9)*('CASE MASTER'!$AB$2:$AB$495&lt;=3)*('CASE MASTER'!$AD$2:$AD$495&gt;=3))*ROW('CASE MASTER'!$T$2:$T$495))-(ROW('CASE MASTER'!#REF!)-1))),":",","),",",REPT(" ",50)),(((INDEX('CASE MASTER'!$Z$2:$Z$495,(SUMPRODUCT((('CASE MASTER'!$T$2:$T$495=5)*('CASE MASTER'!$AA$2:$AA$495&lt;=9)*('CASE MASTER'!$AC$2:$AC$495&gt;=9)*('CASE MASTER'!$AB$2:$AB$495&lt;=3)*('CASE MASTER'!$AD$2:$AD$495&gt;=3))*ROW('CASE MASTER'!$T$2:$T$495))-(ROW('CASE MASTER'!#REF!)-1)))+((9-INDEX('CASE MASTER'!$AA$2:$AA$495,(SUMPRODUCT((('CASE MASTER'!$T$2:$T$495=5)*('CASE MASTER'!$AA$2:$AA$495&lt;=9)*('CASE MASTER'!$AC$2:$AC$495&gt;=9)*('CASE MASTER'!$AB$2:$AB$495&lt;=3)*('CASE MASTER'!$AD$2:$AD$495&gt;=3))*ROW('CASE MASTER'!$T$2:$T$495))-(ROW('CASE MASTER'!#REF!)-1))))*(INDEX('CASE MASTER'!$AD$2:$AD$495,(SUMPRODUCT((('CASE MASTER'!$T$2:$T$495=5)*('CASE MASTER'!$AA$2:$AA$495&lt;=9)*('CASE MASTER'!$AC$2:$AC$495&gt;=9)*('CASE MASTER'!$AB$2:$AB$495&lt;=3)*('CASE MASTER'!$AD$2:$AD$495&gt;=3))*ROW('CASE MASTER'!$T$2:$T$495))-(ROW('CASE MASTER'!#REF!)-1)))-INDEX('CASE MASTER'!$AB$2:$AB$495,(SUMPRODUCT((('CASE MASTER'!$T$2:$T$495=5)*('CASE MASTER'!$AA$2:$AA$495&lt;=9)*('CASE MASTER'!$AC$2:$AC$495&gt;=9)*('CASE MASTER'!$AB$2:$AB$495&lt;=3)*('CASE MASTER'!$AD$2:$AD$495&gt;=3))*ROW('CASE MASTER'!$T$2:$T$495))-(ROW('CASE MASTER'!#REF!)-1)))+1)+(3-INDEX('CASE MASTER'!$AB$2:$AB$495,(SUMPRODUCT((('CASE MASTER'!$T$2:$T$495=5)*('CASE MASTER'!$AA$2:$AA$495&lt;=9)*('CASE MASTER'!$AC$2:$AC$495&gt;=9)*('CASE MASTER'!$AB$2:$AB$495&lt;=3)*('CASE MASTER'!$AD$2:$AD$495&gt;=3))*ROW('CASE MASTER'!$T$2:$T$495))-(ROW('CASE MASTER'!#REF!)-1))))+1)))-1)*50+1,50))&amp;"_"&amp;INDEX('CASE MASTER'!$Q$2:$Q$495,(SUMPRODUCT((('CASE MASTER'!$T$2:$T$495=5)*('CASE MASTER'!$AA$2:$AA$495&lt;=9)*('CASE MASTER'!$AC$2:$AC$495&gt;=9)*('CASE MASTER'!$AB$2:$AB$495&lt;=3)*('CASE MASTER'!$AD$2:$AD$495&gt;=3))*ROW('CASE MASTER'!$T$2:$T$495))-(ROW('CASE MASTER'!#REF!)-1))),"")),"")</f>
        <v/>
      </c>
      <c r="E67" s="10" t="str">
        <f>IFERROR(IF(SUMPRODUCT((('CASE MASTER'!$T$2:$T$495=5)*('CASE MASTER'!$U$2:$U$495&lt;=9)*('CASE MASTER'!$W$2:$W$495&gt;=9)*('CASE MASTER'!$V$2:$V$495&lt;=4)*('CASE MASTER'!$X$2:$X$495&gt;=4))*ROW('CASE MASTER'!$T$2:$T$495))&gt;0,INDEX('CASE MASTER'!$Y$2:$Y$495,(SUMPRODUCT((('CASE MASTER'!$T$2:$T$495=5)*('CASE MASTER'!$U$2:$U$495&lt;=9)*('CASE MASTER'!$W$2:$W$495&gt;=9)*('CASE MASTER'!$V$2:$V$495&lt;=4)*('CASE MASTER'!$X$2:$X$495&gt;=4))*ROW('CASE MASTER'!$T$2:$T$495))-(ROW('CASE MASTER'!#REF!)-1)))&amp;TRIM(MID(SUBSTITUTE(SUBSTITUTE(INDEX('CASE MASTER'!$N$2:$N$495,(SUMPRODUCT((('CASE MASTER'!$T$2:$T$495=5)*('CASE MASTER'!$U$2:$U$495&lt;=9)*('CASE MASTER'!$W$2:$W$495&gt;=9)*('CASE MASTER'!$V$2:$V$495&lt;=4)*('CASE MASTER'!$X$2:$X$495&gt;=4))*ROW('CASE MASTER'!$T$2:$T$495))-(ROW('CASE MASTER'!#REF!)-1))),":",","),",",REPT(" ",50)),((((9-INDEX('CASE MASTER'!$U$2:$U$495,(SUMPRODUCT((('CASE MASTER'!$T$2:$T$495=5)*('CASE MASTER'!$U$2:$U$495&lt;=9)*('CASE MASTER'!$W$2:$W$495&gt;=9)*('CASE MASTER'!$V$2:$V$495&lt;=4)*('CASE MASTER'!$X$2:$X$495&gt;=4))*ROW('CASE MASTER'!$T$2:$T$495))-(ROW('CASE MASTER'!#REF!)-1))))*(INDEX('CASE MASTER'!$X$2:$X$495,(SUMPRODUCT((('CASE MASTER'!$T$2:$T$495=5)*('CASE MASTER'!$U$2:$U$495&lt;=9)*('CASE MASTER'!$W$2:$W$495&gt;=9)*('CASE MASTER'!$V$2:$V$495&lt;=4)*('CASE MASTER'!$X$2:$X$495&gt;=4))*ROW('CASE MASTER'!$T$2:$T$495))-(ROW('CASE MASTER'!#REF!)-1)))-INDEX('CASE MASTER'!$V$2:$V$495,(SUMPRODUCT((('CASE MASTER'!$T$2:$T$495=5)*('CASE MASTER'!$U$2:$U$495&lt;=9)*('CASE MASTER'!$W$2:$W$495&gt;=9)*('CASE MASTER'!$V$2:$V$495&lt;=4)*('CASE MASTER'!$X$2:$X$495&gt;=4))*ROW('CASE MASTER'!$T$2:$T$495))-(ROW('CASE MASTER'!#REF!)-1)))+1)+(4-INDEX('CASE MASTER'!$V$2:$V$495,(SUMPRODUCT((('CASE MASTER'!$T$2:$T$495=5)*('CASE MASTER'!$U$2:$U$495&lt;=9)*('CASE MASTER'!$W$2:$W$495&gt;=9)*('CASE MASTER'!$V$2:$V$495&lt;=4)*('CASE MASTER'!$X$2:$X$495&gt;=4))*ROW('CASE MASTER'!$T$2:$T$495))-(ROW('CASE MASTER'!#REF!)-1))))+1))-1)*50+1,50))&amp;"_"&amp;INDEX('CASE MASTER'!$Q$2:$Q$495,(SUMPRODUCT((('CASE MASTER'!$T$2:$T$495=5)*('CASE MASTER'!$U$2:$U$495&lt;=9)*('CASE MASTER'!$W$2:$W$495&gt;=9)*('CASE MASTER'!$V$2:$V$495&lt;=4)*('CASE MASTER'!$X$2:$X$495&gt;=4))*ROW('CASE MASTER'!$T$2:$T$495))-(ROW('CASE MASTER'!#REF!)-1))),IF(SUMPRODUCT((('CASE MASTER'!$T$2:$T$495=5)*('CASE MASTER'!$AA$2:$AA$495&lt;=9)*('CASE MASTER'!$AC$2:$AC$495&gt;=9)*('CASE MASTER'!$AB$2:$AB$495&lt;=4)*('CASE MASTER'!$AD$2:$AD$495&gt;=4))*ROW('CASE MASTER'!$T$2:$T$495))&gt;0,INDEX('CASE MASTER'!$Y$2:$Y$495,(SUMPRODUCT((('CASE MASTER'!$T$2:$T$495=5)*('CASE MASTER'!$AA$2:$AA$495&lt;=9)*('CASE MASTER'!$AC$2:$AC$495&gt;=9)*('CASE MASTER'!$AB$2:$AB$495&lt;=4)*('CASE MASTER'!$AD$2:$AD$495&gt;=4))*ROW('CASE MASTER'!$T$2:$T$495))-(ROW('CASE MASTER'!#REF!)-1)))&amp;TRIM(MID(SUBSTITUTE(SUBSTITUTE(INDEX('CASE MASTER'!$N$2:$N$495,(SUMPRODUCT((('CASE MASTER'!$T$2:$T$495=5)*('CASE MASTER'!$AA$2:$AA$495&lt;=9)*('CASE MASTER'!$AC$2:$AC$495&gt;=9)*('CASE MASTER'!$AB$2:$AB$495&lt;=4)*('CASE MASTER'!$AD$2:$AD$495&gt;=4))*ROW('CASE MASTER'!$T$2:$T$495))-(ROW('CASE MASTER'!#REF!)-1))),":",","),",",REPT(" ",50)),(((INDEX('CASE MASTER'!$Z$2:$Z$495,(SUMPRODUCT((('CASE MASTER'!$T$2:$T$495=5)*('CASE MASTER'!$AA$2:$AA$495&lt;=9)*('CASE MASTER'!$AC$2:$AC$495&gt;=9)*('CASE MASTER'!$AB$2:$AB$495&lt;=4)*('CASE MASTER'!$AD$2:$AD$495&gt;=4))*ROW('CASE MASTER'!$T$2:$T$495))-(ROW('CASE MASTER'!#REF!)-1)))+((9-INDEX('CASE MASTER'!$AA$2:$AA$495,(SUMPRODUCT((('CASE MASTER'!$T$2:$T$495=5)*('CASE MASTER'!$AA$2:$AA$495&lt;=9)*('CASE MASTER'!$AC$2:$AC$495&gt;=9)*('CASE MASTER'!$AB$2:$AB$495&lt;=4)*('CASE MASTER'!$AD$2:$AD$495&gt;=4))*ROW('CASE MASTER'!$T$2:$T$495))-(ROW('CASE MASTER'!#REF!)-1))))*(INDEX('CASE MASTER'!$AD$2:$AD$495,(SUMPRODUCT((('CASE MASTER'!$T$2:$T$495=5)*('CASE MASTER'!$AA$2:$AA$495&lt;=9)*('CASE MASTER'!$AC$2:$AC$495&gt;=9)*('CASE MASTER'!$AB$2:$AB$495&lt;=4)*('CASE MASTER'!$AD$2:$AD$495&gt;=4))*ROW('CASE MASTER'!$T$2:$T$495))-(ROW('CASE MASTER'!#REF!)-1)))-INDEX('CASE MASTER'!$AB$2:$AB$495,(SUMPRODUCT((('CASE MASTER'!$T$2:$T$495=5)*('CASE MASTER'!$AA$2:$AA$495&lt;=9)*('CASE MASTER'!$AC$2:$AC$495&gt;=9)*('CASE MASTER'!$AB$2:$AB$495&lt;=4)*('CASE MASTER'!$AD$2:$AD$495&gt;=4))*ROW('CASE MASTER'!$T$2:$T$495))-(ROW('CASE MASTER'!#REF!)-1)))+1)+(4-INDEX('CASE MASTER'!$AB$2:$AB$495,(SUMPRODUCT((('CASE MASTER'!$T$2:$T$495=5)*('CASE MASTER'!$AA$2:$AA$495&lt;=9)*('CASE MASTER'!$AC$2:$AC$495&gt;=9)*('CASE MASTER'!$AB$2:$AB$495&lt;=4)*('CASE MASTER'!$AD$2:$AD$495&gt;=4))*ROW('CASE MASTER'!$T$2:$T$495))-(ROW('CASE MASTER'!#REF!)-1))))+1)))-1)*50+1,50))&amp;"_"&amp;INDEX('CASE MASTER'!$Q$2:$Q$495,(SUMPRODUCT((('CASE MASTER'!$T$2:$T$495=5)*('CASE MASTER'!$AA$2:$AA$495&lt;=9)*('CASE MASTER'!$AC$2:$AC$495&gt;=9)*('CASE MASTER'!$AB$2:$AB$495&lt;=4)*('CASE MASTER'!$AD$2:$AD$495&gt;=4))*ROW('CASE MASTER'!$T$2:$T$495))-(ROW('CASE MASTER'!#REF!)-1))),"")),"")</f>
        <v/>
      </c>
      <c r="F67" s="10" t="str">
        <f>IFERROR(IF(SUMPRODUCT((('CASE MASTER'!$T$2:$T$495=5)*('CASE MASTER'!$U$2:$U$495&lt;=9)*('CASE MASTER'!$W$2:$W$495&gt;=9)*('CASE MASTER'!$V$2:$V$495&lt;=5)*('CASE MASTER'!$X$2:$X$495&gt;=5))*ROW('CASE MASTER'!$T$2:$T$495))&gt;0,INDEX('CASE MASTER'!$Y$2:$Y$495,(SUMPRODUCT((('CASE MASTER'!$T$2:$T$495=5)*('CASE MASTER'!$U$2:$U$495&lt;=9)*('CASE MASTER'!$W$2:$W$495&gt;=9)*('CASE MASTER'!$V$2:$V$495&lt;=5)*('CASE MASTER'!$X$2:$X$495&gt;=5))*ROW('CASE MASTER'!$T$2:$T$495))-(ROW('CASE MASTER'!#REF!)-1)))&amp;TRIM(MID(SUBSTITUTE(SUBSTITUTE(INDEX('CASE MASTER'!$N$2:$N$495,(SUMPRODUCT((('CASE MASTER'!$T$2:$T$495=5)*('CASE MASTER'!$U$2:$U$495&lt;=9)*('CASE MASTER'!$W$2:$W$495&gt;=9)*('CASE MASTER'!$V$2:$V$495&lt;=5)*('CASE MASTER'!$X$2:$X$495&gt;=5))*ROW('CASE MASTER'!$T$2:$T$495))-(ROW('CASE MASTER'!#REF!)-1))),":",","),",",REPT(" ",50)),((((9-INDEX('CASE MASTER'!$U$2:$U$495,(SUMPRODUCT((('CASE MASTER'!$T$2:$T$495=5)*('CASE MASTER'!$U$2:$U$495&lt;=9)*('CASE MASTER'!$W$2:$W$495&gt;=9)*('CASE MASTER'!$V$2:$V$495&lt;=5)*('CASE MASTER'!$X$2:$X$495&gt;=5))*ROW('CASE MASTER'!$T$2:$T$495))-(ROW('CASE MASTER'!#REF!)-1))))*(INDEX('CASE MASTER'!$X$2:$X$495,(SUMPRODUCT((('CASE MASTER'!$T$2:$T$495=5)*('CASE MASTER'!$U$2:$U$495&lt;=9)*('CASE MASTER'!$W$2:$W$495&gt;=9)*('CASE MASTER'!$V$2:$V$495&lt;=5)*('CASE MASTER'!$X$2:$X$495&gt;=5))*ROW('CASE MASTER'!$T$2:$T$495))-(ROW('CASE MASTER'!#REF!)-1)))-INDEX('CASE MASTER'!$V$2:$V$495,(SUMPRODUCT((('CASE MASTER'!$T$2:$T$495=5)*('CASE MASTER'!$U$2:$U$495&lt;=9)*('CASE MASTER'!$W$2:$W$495&gt;=9)*('CASE MASTER'!$V$2:$V$495&lt;=5)*('CASE MASTER'!$X$2:$X$495&gt;=5))*ROW('CASE MASTER'!$T$2:$T$495))-(ROW('CASE MASTER'!#REF!)-1)))+1)+(5-INDEX('CASE MASTER'!$V$2:$V$495,(SUMPRODUCT((('CASE MASTER'!$T$2:$T$495=5)*('CASE MASTER'!$U$2:$U$495&lt;=9)*('CASE MASTER'!$W$2:$W$495&gt;=9)*('CASE MASTER'!$V$2:$V$495&lt;=5)*('CASE MASTER'!$X$2:$X$495&gt;=5))*ROW('CASE MASTER'!$T$2:$T$495))-(ROW('CASE MASTER'!#REF!)-1))))+1))-1)*50+1,50))&amp;"_"&amp;INDEX('CASE MASTER'!$Q$2:$Q$495,(SUMPRODUCT((('CASE MASTER'!$T$2:$T$495=5)*('CASE MASTER'!$U$2:$U$495&lt;=9)*('CASE MASTER'!$W$2:$W$495&gt;=9)*('CASE MASTER'!$V$2:$V$495&lt;=5)*('CASE MASTER'!$X$2:$X$495&gt;=5))*ROW('CASE MASTER'!$T$2:$T$495))-(ROW('CASE MASTER'!#REF!)-1))),IF(SUMPRODUCT((('CASE MASTER'!$T$2:$T$495=5)*('CASE MASTER'!$AA$2:$AA$495&lt;=9)*('CASE MASTER'!$AC$2:$AC$495&gt;=9)*('CASE MASTER'!$AB$2:$AB$495&lt;=5)*('CASE MASTER'!$AD$2:$AD$495&gt;=5))*ROW('CASE MASTER'!$T$2:$T$495))&gt;0,INDEX('CASE MASTER'!$Y$2:$Y$495,(SUMPRODUCT((('CASE MASTER'!$T$2:$T$495=5)*('CASE MASTER'!$AA$2:$AA$495&lt;=9)*('CASE MASTER'!$AC$2:$AC$495&gt;=9)*('CASE MASTER'!$AB$2:$AB$495&lt;=5)*('CASE MASTER'!$AD$2:$AD$495&gt;=5))*ROW('CASE MASTER'!$T$2:$T$495))-(ROW('CASE MASTER'!#REF!)-1)))&amp;TRIM(MID(SUBSTITUTE(SUBSTITUTE(INDEX('CASE MASTER'!$N$2:$N$495,(SUMPRODUCT((('CASE MASTER'!$T$2:$T$495=5)*('CASE MASTER'!$AA$2:$AA$495&lt;=9)*('CASE MASTER'!$AC$2:$AC$495&gt;=9)*('CASE MASTER'!$AB$2:$AB$495&lt;=5)*('CASE MASTER'!$AD$2:$AD$495&gt;=5))*ROW('CASE MASTER'!$T$2:$T$495))-(ROW('CASE MASTER'!#REF!)-1))),":",","),",",REPT(" ",50)),(((INDEX('CASE MASTER'!$Z$2:$Z$495,(SUMPRODUCT((('CASE MASTER'!$T$2:$T$495=5)*('CASE MASTER'!$AA$2:$AA$495&lt;=9)*('CASE MASTER'!$AC$2:$AC$495&gt;=9)*('CASE MASTER'!$AB$2:$AB$495&lt;=5)*('CASE MASTER'!$AD$2:$AD$495&gt;=5))*ROW('CASE MASTER'!$T$2:$T$495))-(ROW('CASE MASTER'!#REF!)-1)))+((9-INDEX('CASE MASTER'!$AA$2:$AA$495,(SUMPRODUCT((('CASE MASTER'!$T$2:$T$495=5)*('CASE MASTER'!$AA$2:$AA$495&lt;=9)*('CASE MASTER'!$AC$2:$AC$495&gt;=9)*('CASE MASTER'!$AB$2:$AB$495&lt;=5)*('CASE MASTER'!$AD$2:$AD$495&gt;=5))*ROW('CASE MASTER'!$T$2:$T$495))-(ROW('CASE MASTER'!#REF!)-1))))*(INDEX('CASE MASTER'!$AD$2:$AD$495,(SUMPRODUCT((('CASE MASTER'!$T$2:$T$495=5)*('CASE MASTER'!$AA$2:$AA$495&lt;=9)*('CASE MASTER'!$AC$2:$AC$495&gt;=9)*('CASE MASTER'!$AB$2:$AB$495&lt;=5)*('CASE MASTER'!$AD$2:$AD$495&gt;=5))*ROW('CASE MASTER'!$T$2:$T$495))-(ROW('CASE MASTER'!#REF!)-1)))-INDEX('CASE MASTER'!$AB$2:$AB$495,(SUMPRODUCT((('CASE MASTER'!$T$2:$T$495=5)*('CASE MASTER'!$AA$2:$AA$495&lt;=9)*('CASE MASTER'!$AC$2:$AC$495&gt;=9)*('CASE MASTER'!$AB$2:$AB$495&lt;=5)*('CASE MASTER'!$AD$2:$AD$495&gt;=5))*ROW('CASE MASTER'!$T$2:$T$495))-(ROW('CASE MASTER'!#REF!)-1)))+1)+(5-INDEX('CASE MASTER'!$AB$2:$AB$495,(SUMPRODUCT((('CASE MASTER'!$T$2:$T$495=5)*('CASE MASTER'!$AA$2:$AA$495&lt;=9)*('CASE MASTER'!$AC$2:$AC$495&gt;=9)*('CASE MASTER'!$AB$2:$AB$495&lt;=5)*('CASE MASTER'!$AD$2:$AD$495&gt;=5))*ROW('CASE MASTER'!$T$2:$T$495))-(ROW('CASE MASTER'!#REF!)-1))))+1)))-1)*50+1,50))&amp;"_"&amp;INDEX('CASE MASTER'!$Q$2:$Q$495,(SUMPRODUCT((('CASE MASTER'!$T$2:$T$495=5)*('CASE MASTER'!$AA$2:$AA$495&lt;=9)*('CASE MASTER'!$AC$2:$AC$495&gt;=9)*('CASE MASTER'!$AB$2:$AB$495&lt;=5)*('CASE MASTER'!$AD$2:$AD$495&gt;=5))*ROW('CASE MASTER'!$T$2:$T$495))-(ROW('CASE MASTER'!#REF!)-1))),"")),"")</f>
        <v/>
      </c>
      <c r="G67" s="10" t="str">
        <f>IFERROR(IF(SUMPRODUCT((('CASE MASTER'!$T$2:$T$495=5)*('CASE MASTER'!$U$2:$U$495&lt;=9)*('CASE MASTER'!$W$2:$W$495&gt;=9)*('CASE MASTER'!$V$2:$V$495&lt;=6)*('CASE MASTER'!$X$2:$X$495&gt;=6))*ROW('CASE MASTER'!$T$2:$T$495))&gt;0,INDEX('CASE MASTER'!$Y$2:$Y$495,(SUMPRODUCT((('CASE MASTER'!$T$2:$T$495=5)*('CASE MASTER'!$U$2:$U$495&lt;=9)*('CASE MASTER'!$W$2:$W$495&gt;=9)*('CASE MASTER'!$V$2:$V$495&lt;=6)*('CASE MASTER'!$X$2:$X$495&gt;=6))*ROW('CASE MASTER'!$T$2:$T$495))-(ROW('CASE MASTER'!#REF!)-1)))&amp;TRIM(MID(SUBSTITUTE(SUBSTITUTE(INDEX('CASE MASTER'!$N$2:$N$495,(SUMPRODUCT((('CASE MASTER'!$T$2:$T$495=5)*('CASE MASTER'!$U$2:$U$495&lt;=9)*('CASE MASTER'!$W$2:$W$495&gt;=9)*('CASE MASTER'!$V$2:$V$495&lt;=6)*('CASE MASTER'!$X$2:$X$495&gt;=6))*ROW('CASE MASTER'!$T$2:$T$495))-(ROW('CASE MASTER'!#REF!)-1))),":",","),",",REPT(" ",50)),((((9-INDEX('CASE MASTER'!$U$2:$U$495,(SUMPRODUCT((('CASE MASTER'!$T$2:$T$495=5)*('CASE MASTER'!$U$2:$U$495&lt;=9)*('CASE MASTER'!$W$2:$W$495&gt;=9)*('CASE MASTER'!$V$2:$V$495&lt;=6)*('CASE MASTER'!$X$2:$X$495&gt;=6))*ROW('CASE MASTER'!$T$2:$T$495))-(ROW('CASE MASTER'!#REF!)-1))))*(INDEX('CASE MASTER'!$X$2:$X$495,(SUMPRODUCT((('CASE MASTER'!$T$2:$T$495=5)*('CASE MASTER'!$U$2:$U$495&lt;=9)*('CASE MASTER'!$W$2:$W$495&gt;=9)*('CASE MASTER'!$V$2:$V$495&lt;=6)*('CASE MASTER'!$X$2:$X$495&gt;=6))*ROW('CASE MASTER'!$T$2:$T$495))-(ROW('CASE MASTER'!#REF!)-1)))-INDEX('CASE MASTER'!$V$2:$V$495,(SUMPRODUCT((('CASE MASTER'!$T$2:$T$495=5)*('CASE MASTER'!$U$2:$U$495&lt;=9)*('CASE MASTER'!$W$2:$W$495&gt;=9)*('CASE MASTER'!$V$2:$V$495&lt;=6)*('CASE MASTER'!$X$2:$X$495&gt;=6))*ROW('CASE MASTER'!$T$2:$T$495))-(ROW('CASE MASTER'!#REF!)-1)))+1)+(6-INDEX('CASE MASTER'!$V$2:$V$495,(SUMPRODUCT((('CASE MASTER'!$T$2:$T$495=5)*('CASE MASTER'!$U$2:$U$495&lt;=9)*('CASE MASTER'!$W$2:$W$495&gt;=9)*('CASE MASTER'!$V$2:$V$495&lt;=6)*('CASE MASTER'!$X$2:$X$495&gt;=6))*ROW('CASE MASTER'!$T$2:$T$495))-(ROW('CASE MASTER'!#REF!)-1))))+1))-1)*50+1,50))&amp;"_"&amp;INDEX('CASE MASTER'!$Q$2:$Q$495,(SUMPRODUCT((('CASE MASTER'!$T$2:$T$495=5)*('CASE MASTER'!$U$2:$U$495&lt;=9)*('CASE MASTER'!$W$2:$W$495&gt;=9)*('CASE MASTER'!$V$2:$V$495&lt;=6)*('CASE MASTER'!$X$2:$X$495&gt;=6))*ROW('CASE MASTER'!$T$2:$T$495))-(ROW('CASE MASTER'!#REF!)-1))),IF(SUMPRODUCT((('CASE MASTER'!$T$2:$T$495=5)*('CASE MASTER'!$AA$2:$AA$495&lt;=9)*('CASE MASTER'!$AC$2:$AC$495&gt;=9)*('CASE MASTER'!$AB$2:$AB$495&lt;=6)*('CASE MASTER'!$AD$2:$AD$495&gt;=6))*ROW('CASE MASTER'!$T$2:$T$495))&gt;0,INDEX('CASE MASTER'!$Y$2:$Y$495,(SUMPRODUCT((('CASE MASTER'!$T$2:$T$495=5)*('CASE MASTER'!$AA$2:$AA$495&lt;=9)*('CASE MASTER'!$AC$2:$AC$495&gt;=9)*('CASE MASTER'!$AB$2:$AB$495&lt;=6)*('CASE MASTER'!$AD$2:$AD$495&gt;=6))*ROW('CASE MASTER'!$T$2:$T$495))-(ROW('CASE MASTER'!#REF!)-1)))&amp;TRIM(MID(SUBSTITUTE(SUBSTITUTE(INDEX('CASE MASTER'!$N$2:$N$495,(SUMPRODUCT((('CASE MASTER'!$T$2:$T$495=5)*('CASE MASTER'!$AA$2:$AA$495&lt;=9)*('CASE MASTER'!$AC$2:$AC$495&gt;=9)*('CASE MASTER'!$AB$2:$AB$495&lt;=6)*('CASE MASTER'!$AD$2:$AD$495&gt;=6))*ROW('CASE MASTER'!$T$2:$T$495))-(ROW('CASE MASTER'!#REF!)-1))),":",","),",",REPT(" ",50)),(((INDEX('CASE MASTER'!$Z$2:$Z$495,(SUMPRODUCT((('CASE MASTER'!$T$2:$T$495=5)*('CASE MASTER'!$AA$2:$AA$495&lt;=9)*('CASE MASTER'!$AC$2:$AC$495&gt;=9)*('CASE MASTER'!$AB$2:$AB$495&lt;=6)*('CASE MASTER'!$AD$2:$AD$495&gt;=6))*ROW('CASE MASTER'!$T$2:$T$495))-(ROW('CASE MASTER'!#REF!)-1)))+((9-INDEX('CASE MASTER'!$AA$2:$AA$495,(SUMPRODUCT((('CASE MASTER'!$T$2:$T$495=5)*('CASE MASTER'!$AA$2:$AA$495&lt;=9)*('CASE MASTER'!$AC$2:$AC$495&gt;=9)*('CASE MASTER'!$AB$2:$AB$495&lt;=6)*('CASE MASTER'!$AD$2:$AD$495&gt;=6))*ROW('CASE MASTER'!$T$2:$T$495))-(ROW('CASE MASTER'!#REF!)-1))))*(INDEX('CASE MASTER'!$AD$2:$AD$495,(SUMPRODUCT((('CASE MASTER'!$T$2:$T$495=5)*('CASE MASTER'!$AA$2:$AA$495&lt;=9)*('CASE MASTER'!$AC$2:$AC$495&gt;=9)*('CASE MASTER'!$AB$2:$AB$495&lt;=6)*('CASE MASTER'!$AD$2:$AD$495&gt;=6))*ROW('CASE MASTER'!$T$2:$T$495))-(ROW('CASE MASTER'!#REF!)-1)))-INDEX('CASE MASTER'!$AB$2:$AB$495,(SUMPRODUCT((('CASE MASTER'!$T$2:$T$495=5)*('CASE MASTER'!$AA$2:$AA$495&lt;=9)*('CASE MASTER'!$AC$2:$AC$495&gt;=9)*('CASE MASTER'!$AB$2:$AB$495&lt;=6)*('CASE MASTER'!$AD$2:$AD$495&gt;=6))*ROW('CASE MASTER'!$T$2:$T$495))-(ROW('CASE MASTER'!#REF!)-1)))+1)+(6-INDEX('CASE MASTER'!$AB$2:$AB$495,(SUMPRODUCT((('CASE MASTER'!$T$2:$T$495=5)*('CASE MASTER'!$AA$2:$AA$495&lt;=9)*('CASE MASTER'!$AC$2:$AC$495&gt;=9)*('CASE MASTER'!$AB$2:$AB$495&lt;=6)*('CASE MASTER'!$AD$2:$AD$495&gt;=6))*ROW('CASE MASTER'!$T$2:$T$495))-(ROW('CASE MASTER'!#REF!)-1))))+1)))-1)*50+1,50))&amp;"_"&amp;INDEX('CASE MASTER'!$Q$2:$Q$495,(SUMPRODUCT((('CASE MASTER'!$T$2:$T$495=5)*('CASE MASTER'!$AA$2:$AA$495&lt;=9)*('CASE MASTER'!$AC$2:$AC$495&gt;=9)*('CASE MASTER'!$AB$2:$AB$495&lt;=6)*('CASE MASTER'!$AD$2:$AD$495&gt;=6))*ROW('CASE MASTER'!$T$2:$T$495))-(ROW('CASE MASTER'!#REF!)-1))),"")),"")</f>
        <v/>
      </c>
      <c r="H67" s="10" t="str">
        <f>IFERROR(IF(SUMPRODUCT((('CASE MASTER'!$T$2:$T$495=5)*('CASE MASTER'!$U$2:$U$495&lt;=9)*('CASE MASTER'!$W$2:$W$495&gt;=9)*('CASE MASTER'!$V$2:$V$495&lt;=7)*('CASE MASTER'!$X$2:$X$495&gt;=7))*ROW('CASE MASTER'!$T$2:$T$495))&gt;0,INDEX('CASE MASTER'!$Y$2:$Y$495,(SUMPRODUCT((('CASE MASTER'!$T$2:$T$495=5)*('CASE MASTER'!$U$2:$U$495&lt;=9)*('CASE MASTER'!$W$2:$W$495&gt;=9)*('CASE MASTER'!$V$2:$V$495&lt;=7)*('CASE MASTER'!$X$2:$X$495&gt;=7))*ROW('CASE MASTER'!$T$2:$T$495))-(ROW('CASE MASTER'!#REF!)-1)))&amp;TRIM(MID(SUBSTITUTE(SUBSTITUTE(INDEX('CASE MASTER'!$N$2:$N$495,(SUMPRODUCT((('CASE MASTER'!$T$2:$T$495=5)*('CASE MASTER'!$U$2:$U$495&lt;=9)*('CASE MASTER'!$W$2:$W$495&gt;=9)*('CASE MASTER'!$V$2:$V$495&lt;=7)*('CASE MASTER'!$X$2:$X$495&gt;=7))*ROW('CASE MASTER'!$T$2:$T$495))-(ROW('CASE MASTER'!#REF!)-1))),":",","),",",REPT(" ",50)),((((9-INDEX('CASE MASTER'!$U$2:$U$495,(SUMPRODUCT((('CASE MASTER'!$T$2:$T$495=5)*('CASE MASTER'!$U$2:$U$495&lt;=9)*('CASE MASTER'!$W$2:$W$495&gt;=9)*('CASE MASTER'!$V$2:$V$495&lt;=7)*('CASE MASTER'!$X$2:$X$495&gt;=7))*ROW('CASE MASTER'!$T$2:$T$495))-(ROW('CASE MASTER'!#REF!)-1))))*(INDEX('CASE MASTER'!$X$2:$X$495,(SUMPRODUCT((('CASE MASTER'!$T$2:$T$495=5)*('CASE MASTER'!$U$2:$U$495&lt;=9)*('CASE MASTER'!$W$2:$W$495&gt;=9)*('CASE MASTER'!$V$2:$V$495&lt;=7)*('CASE MASTER'!$X$2:$X$495&gt;=7))*ROW('CASE MASTER'!$T$2:$T$495))-(ROW('CASE MASTER'!#REF!)-1)))-INDEX('CASE MASTER'!$V$2:$V$495,(SUMPRODUCT((('CASE MASTER'!$T$2:$T$495=5)*('CASE MASTER'!$U$2:$U$495&lt;=9)*('CASE MASTER'!$W$2:$W$495&gt;=9)*('CASE MASTER'!$V$2:$V$495&lt;=7)*('CASE MASTER'!$X$2:$X$495&gt;=7))*ROW('CASE MASTER'!$T$2:$T$495))-(ROW('CASE MASTER'!#REF!)-1)))+1)+(7-INDEX('CASE MASTER'!$V$2:$V$495,(SUMPRODUCT((('CASE MASTER'!$T$2:$T$495=5)*('CASE MASTER'!$U$2:$U$495&lt;=9)*('CASE MASTER'!$W$2:$W$495&gt;=9)*('CASE MASTER'!$V$2:$V$495&lt;=7)*('CASE MASTER'!$X$2:$X$495&gt;=7))*ROW('CASE MASTER'!$T$2:$T$495))-(ROW('CASE MASTER'!#REF!)-1))))+1))-1)*50+1,50))&amp;"_"&amp;INDEX('CASE MASTER'!$Q$2:$Q$495,(SUMPRODUCT((('CASE MASTER'!$T$2:$T$495=5)*('CASE MASTER'!$U$2:$U$495&lt;=9)*('CASE MASTER'!$W$2:$W$495&gt;=9)*('CASE MASTER'!$V$2:$V$495&lt;=7)*('CASE MASTER'!$X$2:$X$495&gt;=7))*ROW('CASE MASTER'!$T$2:$T$495))-(ROW('CASE MASTER'!#REF!)-1))),IF(SUMPRODUCT((('CASE MASTER'!$T$2:$T$495=5)*('CASE MASTER'!$AA$2:$AA$495&lt;=9)*('CASE MASTER'!$AC$2:$AC$495&gt;=9)*('CASE MASTER'!$AB$2:$AB$495&lt;=7)*('CASE MASTER'!$AD$2:$AD$495&gt;=7))*ROW('CASE MASTER'!$T$2:$T$495))&gt;0,INDEX('CASE MASTER'!$Y$2:$Y$495,(SUMPRODUCT((('CASE MASTER'!$T$2:$T$495=5)*('CASE MASTER'!$AA$2:$AA$495&lt;=9)*('CASE MASTER'!$AC$2:$AC$495&gt;=9)*('CASE MASTER'!$AB$2:$AB$495&lt;=7)*('CASE MASTER'!$AD$2:$AD$495&gt;=7))*ROW('CASE MASTER'!$T$2:$T$495))-(ROW('CASE MASTER'!#REF!)-1)))&amp;TRIM(MID(SUBSTITUTE(SUBSTITUTE(INDEX('CASE MASTER'!$N$2:$N$495,(SUMPRODUCT((('CASE MASTER'!$T$2:$T$495=5)*('CASE MASTER'!$AA$2:$AA$495&lt;=9)*('CASE MASTER'!$AC$2:$AC$495&gt;=9)*('CASE MASTER'!$AB$2:$AB$495&lt;=7)*('CASE MASTER'!$AD$2:$AD$495&gt;=7))*ROW('CASE MASTER'!$T$2:$T$495))-(ROW('CASE MASTER'!#REF!)-1))),":",","),",",REPT(" ",50)),(((INDEX('CASE MASTER'!$Z$2:$Z$495,(SUMPRODUCT((('CASE MASTER'!$T$2:$T$495=5)*('CASE MASTER'!$AA$2:$AA$495&lt;=9)*('CASE MASTER'!$AC$2:$AC$495&gt;=9)*('CASE MASTER'!$AB$2:$AB$495&lt;=7)*('CASE MASTER'!$AD$2:$AD$495&gt;=7))*ROW('CASE MASTER'!$T$2:$T$495))-(ROW('CASE MASTER'!#REF!)-1)))+((9-INDEX('CASE MASTER'!$AA$2:$AA$495,(SUMPRODUCT((('CASE MASTER'!$T$2:$T$495=5)*('CASE MASTER'!$AA$2:$AA$495&lt;=9)*('CASE MASTER'!$AC$2:$AC$495&gt;=9)*('CASE MASTER'!$AB$2:$AB$495&lt;=7)*('CASE MASTER'!$AD$2:$AD$495&gt;=7))*ROW('CASE MASTER'!$T$2:$T$495))-(ROW('CASE MASTER'!#REF!)-1))))*(INDEX('CASE MASTER'!$AD$2:$AD$495,(SUMPRODUCT((('CASE MASTER'!$T$2:$T$495=5)*('CASE MASTER'!$AA$2:$AA$495&lt;=9)*('CASE MASTER'!$AC$2:$AC$495&gt;=9)*('CASE MASTER'!$AB$2:$AB$495&lt;=7)*('CASE MASTER'!$AD$2:$AD$495&gt;=7))*ROW('CASE MASTER'!$T$2:$T$495))-(ROW('CASE MASTER'!#REF!)-1)))-INDEX('CASE MASTER'!$AB$2:$AB$495,(SUMPRODUCT((('CASE MASTER'!$T$2:$T$495=5)*('CASE MASTER'!$AA$2:$AA$495&lt;=9)*('CASE MASTER'!$AC$2:$AC$495&gt;=9)*('CASE MASTER'!$AB$2:$AB$495&lt;=7)*('CASE MASTER'!$AD$2:$AD$495&gt;=7))*ROW('CASE MASTER'!$T$2:$T$495))-(ROW('CASE MASTER'!#REF!)-1)))+1)+(7-INDEX('CASE MASTER'!$AB$2:$AB$495,(SUMPRODUCT((('CASE MASTER'!$T$2:$T$495=5)*('CASE MASTER'!$AA$2:$AA$495&lt;=9)*('CASE MASTER'!$AC$2:$AC$495&gt;=9)*('CASE MASTER'!$AB$2:$AB$495&lt;=7)*('CASE MASTER'!$AD$2:$AD$495&gt;=7))*ROW('CASE MASTER'!$T$2:$T$495))-(ROW('CASE MASTER'!#REF!)-1))))+1)))-1)*50+1,50))&amp;"_"&amp;INDEX('CASE MASTER'!$Q$2:$Q$495,(SUMPRODUCT((('CASE MASTER'!$T$2:$T$495=5)*('CASE MASTER'!$AA$2:$AA$495&lt;=9)*('CASE MASTER'!$AC$2:$AC$495&gt;=9)*('CASE MASTER'!$AB$2:$AB$495&lt;=7)*('CASE MASTER'!$AD$2:$AD$495&gt;=7))*ROW('CASE MASTER'!$T$2:$T$495))-(ROW('CASE MASTER'!#REF!)-1))),"")),"")</f>
        <v/>
      </c>
      <c r="I67" s="10" t="str">
        <f>IFERROR(IF(SUMPRODUCT((('CASE MASTER'!$T$2:$T$495=5)*('CASE MASTER'!$U$2:$U$495&lt;=9)*('CASE MASTER'!$W$2:$W$495&gt;=9)*('CASE MASTER'!$V$2:$V$495&lt;=8)*('CASE MASTER'!$X$2:$X$495&gt;=8))*ROW('CASE MASTER'!$T$2:$T$495))&gt;0,INDEX('CASE MASTER'!$Y$2:$Y$495,(SUMPRODUCT((('CASE MASTER'!$T$2:$T$495=5)*('CASE MASTER'!$U$2:$U$495&lt;=9)*('CASE MASTER'!$W$2:$W$495&gt;=9)*('CASE MASTER'!$V$2:$V$495&lt;=8)*('CASE MASTER'!$X$2:$X$495&gt;=8))*ROW('CASE MASTER'!$T$2:$T$495))-(ROW('CASE MASTER'!#REF!)-1)))&amp;TRIM(MID(SUBSTITUTE(SUBSTITUTE(INDEX('CASE MASTER'!$N$2:$N$495,(SUMPRODUCT((('CASE MASTER'!$T$2:$T$495=5)*('CASE MASTER'!$U$2:$U$495&lt;=9)*('CASE MASTER'!$W$2:$W$495&gt;=9)*('CASE MASTER'!$V$2:$V$495&lt;=8)*('CASE MASTER'!$X$2:$X$495&gt;=8))*ROW('CASE MASTER'!$T$2:$T$495))-(ROW('CASE MASTER'!#REF!)-1))),":",","),",",REPT(" ",50)),((((9-INDEX('CASE MASTER'!$U$2:$U$495,(SUMPRODUCT((('CASE MASTER'!$T$2:$T$495=5)*('CASE MASTER'!$U$2:$U$495&lt;=9)*('CASE MASTER'!$W$2:$W$495&gt;=9)*('CASE MASTER'!$V$2:$V$495&lt;=8)*('CASE MASTER'!$X$2:$X$495&gt;=8))*ROW('CASE MASTER'!$T$2:$T$495))-(ROW('CASE MASTER'!#REF!)-1))))*(INDEX('CASE MASTER'!$X$2:$X$495,(SUMPRODUCT((('CASE MASTER'!$T$2:$T$495=5)*('CASE MASTER'!$U$2:$U$495&lt;=9)*('CASE MASTER'!$W$2:$W$495&gt;=9)*('CASE MASTER'!$V$2:$V$495&lt;=8)*('CASE MASTER'!$X$2:$X$495&gt;=8))*ROW('CASE MASTER'!$T$2:$T$495))-(ROW('CASE MASTER'!#REF!)-1)))-INDEX('CASE MASTER'!$V$2:$V$495,(SUMPRODUCT((('CASE MASTER'!$T$2:$T$495=5)*('CASE MASTER'!$U$2:$U$495&lt;=9)*('CASE MASTER'!$W$2:$W$495&gt;=9)*('CASE MASTER'!$V$2:$V$495&lt;=8)*('CASE MASTER'!$X$2:$X$495&gt;=8))*ROW('CASE MASTER'!$T$2:$T$495))-(ROW('CASE MASTER'!#REF!)-1)))+1)+(8-INDEX('CASE MASTER'!$V$2:$V$495,(SUMPRODUCT((('CASE MASTER'!$T$2:$T$495=5)*('CASE MASTER'!$U$2:$U$495&lt;=9)*('CASE MASTER'!$W$2:$W$495&gt;=9)*('CASE MASTER'!$V$2:$V$495&lt;=8)*('CASE MASTER'!$X$2:$X$495&gt;=8))*ROW('CASE MASTER'!$T$2:$T$495))-(ROW('CASE MASTER'!#REF!)-1))))+1))-1)*50+1,50))&amp;"_"&amp;INDEX('CASE MASTER'!$Q$2:$Q$495,(SUMPRODUCT((('CASE MASTER'!$T$2:$T$495=5)*('CASE MASTER'!$U$2:$U$495&lt;=9)*('CASE MASTER'!$W$2:$W$495&gt;=9)*('CASE MASTER'!$V$2:$V$495&lt;=8)*('CASE MASTER'!$X$2:$X$495&gt;=8))*ROW('CASE MASTER'!$T$2:$T$495))-(ROW('CASE MASTER'!#REF!)-1))),IF(SUMPRODUCT((('CASE MASTER'!$T$2:$T$495=5)*('CASE MASTER'!$AA$2:$AA$495&lt;=9)*('CASE MASTER'!$AC$2:$AC$495&gt;=9)*('CASE MASTER'!$AB$2:$AB$495&lt;=8)*('CASE MASTER'!$AD$2:$AD$495&gt;=8))*ROW('CASE MASTER'!$T$2:$T$495))&gt;0,INDEX('CASE MASTER'!$Y$2:$Y$495,(SUMPRODUCT((('CASE MASTER'!$T$2:$T$495=5)*('CASE MASTER'!$AA$2:$AA$495&lt;=9)*('CASE MASTER'!$AC$2:$AC$495&gt;=9)*('CASE MASTER'!$AB$2:$AB$495&lt;=8)*('CASE MASTER'!$AD$2:$AD$495&gt;=8))*ROW('CASE MASTER'!$T$2:$T$495))-(ROW('CASE MASTER'!#REF!)-1)))&amp;TRIM(MID(SUBSTITUTE(SUBSTITUTE(INDEX('CASE MASTER'!$N$2:$N$495,(SUMPRODUCT((('CASE MASTER'!$T$2:$T$495=5)*('CASE MASTER'!$AA$2:$AA$495&lt;=9)*('CASE MASTER'!$AC$2:$AC$495&gt;=9)*('CASE MASTER'!$AB$2:$AB$495&lt;=8)*('CASE MASTER'!$AD$2:$AD$495&gt;=8))*ROW('CASE MASTER'!$T$2:$T$495))-(ROW('CASE MASTER'!#REF!)-1))),":",","),",",REPT(" ",50)),(((INDEX('CASE MASTER'!$Z$2:$Z$495,(SUMPRODUCT((('CASE MASTER'!$T$2:$T$495=5)*('CASE MASTER'!$AA$2:$AA$495&lt;=9)*('CASE MASTER'!$AC$2:$AC$495&gt;=9)*('CASE MASTER'!$AB$2:$AB$495&lt;=8)*('CASE MASTER'!$AD$2:$AD$495&gt;=8))*ROW('CASE MASTER'!$T$2:$T$495))-(ROW('CASE MASTER'!#REF!)-1)))+((9-INDEX('CASE MASTER'!$AA$2:$AA$495,(SUMPRODUCT((('CASE MASTER'!$T$2:$T$495=5)*('CASE MASTER'!$AA$2:$AA$495&lt;=9)*('CASE MASTER'!$AC$2:$AC$495&gt;=9)*('CASE MASTER'!$AB$2:$AB$495&lt;=8)*('CASE MASTER'!$AD$2:$AD$495&gt;=8))*ROW('CASE MASTER'!$T$2:$T$495))-(ROW('CASE MASTER'!#REF!)-1))))*(INDEX('CASE MASTER'!$AD$2:$AD$495,(SUMPRODUCT((('CASE MASTER'!$T$2:$T$495=5)*('CASE MASTER'!$AA$2:$AA$495&lt;=9)*('CASE MASTER'!$AC$2:$AC$495&gt;=9)*('CASE MASTER'!$AB$2:$AB$495&lt;=8)*('CASE MASTER'!$AD$2:$AD$495&gt;=8))*ROW('CASE MASTER'!$T$2:$T$495))-(ROW('CASE MASTER'!#REF!)-1)))-INDEX('CASE MASTER'!$AB$2:$AB$495,(SUMPRODUCT((('CASE MASTER'!$T$2:$T$495=5)*('CASE MASTER'!$AA$2:$AA$495&lt;=9)*('CASE MASTER'!$AC$2:$AC$495&gt;=9)*('CASE MASTER'!$AB$2:$AB$495&lt;=8)*('CASE MASTER'!$AD$2:$AD$495&gt;=8))*ROW('CASE MASTER'!$T$2:$T$495))-(ROW('CASE MASTER'!#REF!)-1)))+1)+(8-INDEX('CASE MASTER'!$AB$2:$AB$495,(SUMPRODUCT((('CASE MASTER'!$T$2:$T$495=5)*('CASE MASTER'!$AA$2:$AA$495&lt;=9)*('CASE MASTER'!$AC$2:$AC$495&gt;=9)*('CASE MASTER'!$AB$2:$AB$495&lt;=8)*('CASE MASTER'!$AD$2:$AD$495&gt;=8))*ROW('CASE MASTER'!$T$2:$T$495))-(ROW('CASE MASTER'!#REF!)-1))))+1)))-1)*50+1,50))&amp;"_"&amp;INDEX('CASE MASTER'!$Q$2:$Q$495,(SUMPRODUCT((('CASE MASTER'!$T$2:$T$495=5)*('CASE MASTER'!$AA$2:$AA$495&lt;=9)*('CASE MASTER'!$AC$2:$AC$495&gt;=9)*('CASE MASTER'!$AB$2:$AB$495&lt;=8)*('CASE MASTER'!$AD$2:$AD$495&gt;=8))*ROW('CASE MASTER'!$T$2:$T$495))-(ROW('CASE MASTER'!#REF!)-1))),"")),"")</f>
        <v/>
      </c>
      <c r="J67" s="10" t="str">
        <f>IFERROR(IF(SUMPRODUCT((('CASE MASTER'!$T$2:$T$495=5)*('CASE MASTER'!$U$2:$U$495&lt;=9)*('CASE MASTER'!$W$2:$W$495&gt;=9)*('CASE MASTER'!$V$2:$V$495&lt;=9)*('CASE MASTER'!$X$2:$X$495&gt;=9))*ROW('CASE MASTER'!$T$2:$T$495))&gt;0,INDEX('CASE MASTER'!$Y$2:$Y$495,(SUMPRODUCT((('CASE MASTER'!$T$2:$T$495=5)*('CASE MASTER'!$U$2:$U$495&lt;=9)*('CASE MASTER'!$W$2:$W$495&gt;=9)*('CASE MASTER'!$V$2:$V$495&lt;=9)*('CASE MASTER'!$X$2:$X$495&gt;=9))*ROW('CASE MASTER'!$T$2:$T$495))-(ROW('CASE MASTER'!#REF!)-1)))&amp;TRIM(MID(SUBSTITUTE(SUBSTITUTE(INDEX('CASE MASTER'!$N$2:$N$495,(SUMPRODUCT((('CASE MASTER'!$T$2:$T$495=5)*('CASE MASTER'!$U$2:$U$495&lt;=9)*('CASE MASTER'!$W$2:$W$495&gt;=9)*('CASE MASTER'!$V$2:$V$495&lt;=9)*('CASE MASTER'!$X$2:$X$495&gt;=9))*ROW('CASE MASTER'!$T$2:$T$495))-(ROW('CASE MASTER'!#REF!)-1))),":",","),",",REPT(" ",50)),((((9-INDEX('CASE MASTER'!$U$2:$U$495,(SUMPRODUCT((('CASE MASTER'!$T$2:$T$495=5)*('CASE MASTER'!$U$2:$U$495&lt;=9)*('CASE MASTER'!$W$2:$W$495&gt;=9)*('CASE MASTER'!$V$2:$V$495&lt;=9)*('CASE MASTER'!$X$2:$X$495&gt;=9))*ROW('CASE MASTER'!$T$2:$T$495))-(ROW('CASE MASTER'!#REF!)-1))))*(INDEX('CASE MASTER'!$X$2:$X$495,(SUMPRODUCT((('CASE MASTER'!$T$2:$T$495=5)*('CASE MASTER'!$U$2:$U$495&lt;=9)*('CASE MASTER'!$W$2:$W$495&gt;=9)*('CASE MASTER'!$V$2:$V$495&lt;=9)*('CASE MASTER'!$X$2:$X$495&gt;=9))*ROW('CASE MASTER'!$T$2:$T$495))-(ROW('CASE MASTER'!#REF!)-1)))-INDEX('CASE MASTER'!$V$2:$V$495,(SUMPRODUCT((('CASE MASTER'!$T$2:$T$495=5)*('CASE MASTER'!$U$2:$U$495&lt;=9)*('CASE MASTER'!$W$2:$W$495&gt;=9)*('CASE MASTER'!$V$2:$V$495&lt;=9)*('CASE MASTER'!$X$2:$X$495&gt;=9))*ROW('CASE MASTER'!$T$2:$T$495))-(ROW('CASE MASTER'!#REF!)-1)))+1)+(9-INDEX('CASE MASTER'!$V$2:$V$495,(SUMPRODUCT((('CASE MASTER'!$T$2:$T$495=5)*('CASE MASTER'!$U$2:$U$495&lt;=9)*('CASE MASTER'!$W$2:$W$495&gt;=9)*('CASE MASTER'!$V$2:$V$495&lt;=9)*('CASE MASTER'!$X$2:$X$495&gt;=9))*ROW('CASE MASTER'!$T$2:$T$495))-(ROW('CASE MASTER'!#REF!)-1))))+1))-1)*50+1,50))&amp;"_"&amp;INDEX('CASE MASTER'!$Q$2:$Q$495,(SUMPRODUCT((('CASE MASTER'!$T$2:$T$495=5)*('CASE MASTER'!$U$2:$U$495&lt;=9)*('CASE MASTER'!$W$2:$W$495&gt;=9)*('CASE MASTER'!$V$2:$V$495&lt;=9)*('CASE MASTER'!$X$2:$X$495&gt;=9))*ROW('CASE MASTER'!$T$2:$T$495))-(ROW('CASE MASTER'!#REF!)-1))),IF(SUMPRODUCT((('CASE MASTER'!$T$2:$T$495=5)*('CASE MASTER'!$AA$2:$AA$495&lt;=9)*('CASE MASTER'!$AC$2:$AC$495&gt;=9)*('CASE MASTER'!$AB$2:$AB$495&lt;=9)*('CASE MASTER'!$AD$2:$AD$495&gt;=9))*ROW('CASE MASTER'!$T$2:$T$495))&gt;0,INDEX('CASE MASTER'!$Y$2:$Y$495,(SUMPRODUCT((('CASE MASTER'!$T$2:$T$495=5)*('CASE MASTER'!$AA$2:$AA$495&lt;=9)*('CASE MASTER'!$AC$2:$AC$495&gt;=9)*('CASE MASTER'!$AB$2:$AB$495&lt;=9)*('CASE MASTER'!$AD$2:$AD$495&gt;=9))*ROW('CASE MASTER'!$T$2:$T$495))-(ROW('CASE MASTER'!#REF!)-1)))&amp;TRIM(MID(SUBSTITUTE(SUBSTITUTE(INDEX('CASE MASTER'!$N$2:$N$495,(SUMPRODUCT((('CASE MASTER'!$T$2:$T$495=5)*('CASE MASTER'!$AA$2:$AA$495&lt;=9)*('CASE MASTER'!$AC$2:$AC$495&gt;=9)*('CASE MASTER'!$AB$2:$AB$495&lt;=9)*('CASE MASTER'!$AD$2:$AD$495&gt;=9))*ROW('CASE MASTER'!$T$2:$T$495))-(ROW('CASE MASTER'!#REF!)-1))),":",","),",",REPT(" ",50)),(((INDEX('CASE MASTER'!$Z$2:$Z$495,(SUMPRODUCT((('CASE MASTER'!$T$2:$T$495=5)*('CASE MASTER'!$AA$2:$AA$495&lt;=9)*('CASE MASTER'!$AC$2:$AC$495&gt;=9)*('CASE MASTER'!$AB$2:$AB$495&lt;=9)*('CASE MASTER'!$AD$2:$AD$495&gt;=9))*ROW('CASE MASTER'!$T$2:$T$495))-(ROW('CASE MASTER'!#REF!)-1)))+((9-INDEX('CASE MASTER'!$AA$2:$AA$495,(SUMPRODUCT((('CASE MASTER'!$T$2:$T$495=5)*('CASE MASTER'!$AA$2:$AA$495&lt;=9)*('CASE MASTER'!$AC$2:$AC$495&gt;=9)*('CASE MASTER'!$AB$2:$AB$495&lt;=9)*('CASE MASTER'!$AD$2:$AD$495&gt;=9))*ROW('CASE MASTER'!$T$2:$T$495))-(ROW('CASE MASTER'!#REF!)-1))))*(INDEX('CASE MASTER'!$AD$2:$AD$495,(SUMPRODUCT((('CASE MASTER'!$T$2:$T$495=5)*('CASE MASTER'!$AA$2:$AA$495&lt;=9)*('CASE MASTER'!$AC$2:$AC$495&gt;=9)*('CASE MASTER'!$AB$2:$AB$495&lt;=9)*('CASE MASTER'!$AD$2:$AD$495&gt;=9))*ROW('CASE MASTER'!$T$2:$T$495))-(ROW('CASE MASTER'!#REF!)-1)))-INDEX('CASE MASTER'!$AB$2:$AB$495,(SUMPRODUCT((('CASE MASTER'!$T$2:$T$495=5)*('CASE MASTER'!$AA$2:$AA$495&lt;=9)*('CASE MASTER'!$AC$2:$AC$495&gt;=9)*('CASE MASTER'!$AB$2:$AB$495&lt;=9)*('CASE MASTER'!$AD$2:$AD$495&gt;=9))*ROW('CASE MASTER'!$T$2:$T$495))-(ROW('CASE MASTER'!#REF!)-1)))+1)+(9-INDEX('CASE MASTER'!$AB$2:$AB$495,(SUMPRODUCT((('CASE MASTER'!$T$2:$T$495=5)*('CASE MASTER'!$AA$2:$AA$495&lt;=9)*('CASE MASTER'!$AC$2:$AC$495&gt;=9)*('CASE MASTER'!$AB$2:$AB$495&lt;=9)*('CASE MASTER'!$AD$2:$AD$495&gt;=9))*ROW('CASE MASTER'!$T$2:$T$495))-(ROW('CASE MASTER'!#REF!)-1))))+1)))-1)*50+1,50))&amp;"_"&amp;INDEX('CASE MASTER'!$Q$2:$Q$495,(SUMPRODUCT((('CASE MASTER'!$T$2:$T$495=5)*('CASE MASTER'!$AA$2:$AA$495&lt;=9)*('CASE MASTER'!$AC$2:$AC$495&gt;=9)*('CASE MASTER'!$AB$2:$AB$495&lt;=9)*('CASE MASTER'!$AD$2:$AD$495&gt;=9))*ROW('CASE MASTER'!$T$2:$T$495))-(ROW('CASE MASTER'!#REF!)-1))),"")),"")</f>
        <v/>
      </c>
      <c r="K67" s="10" t="str">
        <f>IFERROR(IF(SUMPRODUCT((('CASE MASTER'!$T$2:$T$495=5)*('CASE MASTER'!$U$2:$U$495&lt;=9)*('CASE MASTER'!$W$2:$W$495&gt;=9)*('CASE MASTER'!$V$2:$V$495&lt;=10)*('CASE MASTER'!$X$2:$X$495&gt;=10))*ROW('CASE MASTER'!$T$2:$T$495))&gt;0,INDEX('CASE MASTER'!$Y$2:$Y$495,(SUMPRODUCT((('CASE MASTER'!$T$2:$T$495=5)*('CASE MASTER'!$U$2:$U$495&lt;=9)*('CASE MASTER'!$W$2:$W$495&gt;=9)*('CASE MASTER'!$V$2:$V$495&lt;=10)*('CASE MASTER'!$X$2:$X$495&gt;=10))*ROW('CASE MASTER'!$T$2:$T$495))-(ROW('CASE MASTER'!#REF!)-1)))&amp;TRIM(MID(SUBSTITUTE(SUBSTITUTE(INDEX('CASE MASTER'!$N$2:$N$495,(SUMPRODUCT((('CASE MASTER'!$T$2:$T$495=5)*('CASE MASTER'!$U$2:$U$495&lt;=9)*('CASE MASTER'!$W$2:$W$495&gt;=9)*('CASE MASTER'!$V$2:$V$495&lt;=10)*('CASE MASTER'!$X$2:$X$495&gt;=10))*ROW('CASE MASTER'!$T$2:$T$495))-(ROW('CASE MASTER'!#REF!)-1))),":",","),",",REPT(" ",50)),((((9-INDEX('CASE MASTER'!$U$2:$U$495,(SUMPRODUCT((('CASE MASTER'!$T$2:$T$495=5)*('CASE MASTER'!$U$2:$U$495&lt;=9)*('CASE MASTER'!$W$2:$W$495&gt;=9)*('CASE MASTER'!$V$2:$V$495&lt;=10)*('CASE MASTER'!$X$2:$X$495&gt;=10))*ROW('CASE MASTER'!$T$2:$T$495))-(ROW('CASE MASTER'!#REF!)-1))))*(INDEX('CASE MASTER'!$X$2:$X$495,(SUMPRODUCT((('CASE MASTER'!$T$2:$T$495=5)*('CASE MASTER'!$U$2:$U$495&lt;=9)*('CASE MASTER'!$W$2:$W$495&gt;=9)*('CASE MASTER'!$V$2:$V$495&lt;=10)*('CASE MASTER'!$X$2:$X$495&gt;=10))*ROW('CASE MASTER'!$T$2:$T$495))-(ROW('CASE MASTER'!#REF!)-1)))-INDEX('CASE MASTER'!$V$2:$V$495,(SUMPRODUCT((('CASE MASTER'!$T$2:$T$495=5)*('CASE MASTER'!$U$2:$U$495&lt;=9)*('CASE MASTER'!$W$2:$W$495&gt;=9)*('CASE MASTER'!$V$2:$V$495&lt;=10)*('CASE MASTER'!$X$2:$X$495&gt;=10))*ROW('CASE MASTER'!$T$2:$T$495))-(ROW('CASE MASTER'!#REF!)-1)))+1)+(10-INDEX('CASE MASTER'!$V$2:$V$495,(SUMPRODUCT((('CASE MASTER'!$T$2:$T$495=5)*('CASE MASTER'!$U$2:$U$495&lt;=9)*('CASE MASTER'!$W$2:$W$495&gt;=9)*('CASE MASTER'!$V$2:$V$495&lt;=10)*('CASE MASTER'!$X$2:$X$495&gt;=10))*ROW('CASE MASTER'!$T$2:$T$495))-(ROW('CASE MASTER'!#REF!)-1))))+1))-1)*50+1,50))&amp;"_"&amp;INDEX('CASE MASTER'!$Q$2:$Q$495,(SUMPRODUCT((('CASE MASTER'!$T$2:$T$495=5)*('CASE MASTER'!$U$2:$U$495&lt;=9)*('CASE MASTER'!$W$2:$W$495&gt;=9)*('CASE MASTER'!$V$2:$V$495&lt;=10)*('CASE MASTER'!$X$2:$X$495&gt;=10))*ROW('CASE MASTER'!$T$2:$T$495))-(ROW('CASE MASTER'!#REF!)-1))),IF(SUMPRODUCT((('CASE MASTER'!$T$2:$T$495=5)*('CASE MASTER'!$AA$2:$AA$495&lt;=9)*('CASE MASTER'!$AC$2:$AC$495&gt;=9)*('CASE MASTER'!$AB$2:$AB$495&lt;=10)*('CASE MASTER'!$AD$2:$AD$495&gt;=10))*ROW('CASE MASTER'!$T$2:$T$495))&gt;0,INDEX('CASE MASTER'!$Y$2:$Y$495,(SUMPRODUCT((('CASE MASTER'!$T$2:$T$495=5)*('CASE MASTER'!$AA$2:$AA$495&lt;=9)*('CASE MASTER'!$AC$2:$AC$495&gt;=9)*('CASE MASTER'!$AB$2:$AB$495&lt;=10)*('CASE MASTER'!$AD$2:$AD$495&gt;=10))*ROW('CASE MASTER'!$T$2:$T$495))-(ROW('CASE MASTER'!#REF!)-1)))&amp;TRIM(MID(SUBSTITUTE(SUBSTITUTE(INDEX('CASE MASTER'!$N$2:$N$495,(SUMPRODUCT((('CASE MASTER'!$T$2:$T$495=5)*('CASE MASTER'!$AA$2:$AA$495&lt;=9)*('CASE MASTER'!$AC$2:$AC$495&gt;=9)*('CASE MASTER'!$AB$2:$AB$495&lt;=10)*('CASE MASTER'!$AD$2:$AD$495&gt;=10))*ROW('CASE MASTER'!$T$2:$T$495))-(ROW('CASE MASTER'!#REF!)-1))),":",","),",",REPT(" ",50)),(((INDEX('CASE MASTER'!$Z$2:$Z$495,(SUMPRODUCT((('CASE MASTER'!$T$2:$T$495=5)*('CASE MASTER'!$AA$2:$AA$495&lt;=9)*('CASE MASTER'!$AC$2:$AC$495&gt;=9)*('CASE MASTER'!$AB$2:$AB$495&lt;=10)*('CASE MASTER'!$AD$2:$AD$495&gt;=10))*ROW('CASE MASTER'!$T$2:$T$495))-(ROW('CASE MASTER'!#REF!)-1)))+((9-INDEX('CASE MASTER'!$AA$2:$AA$495,(SUMPRODUCT((('CASE MASTER'!$T$2:$T$495=5)*('CASE MASTER'!$AA$2:$AA$495&lt;=9)*('CASE MASTER'!$AC$2:$AC$495&gt;=9)*('CASE MASTER'!$AB$2:$AB$495&lt;=10)*('CASE MASTER'!$AD$2:$AD$495&gt;=10))*ROW('CASE MASTER'!$T$2:$T$495))-(ROW('CASE MASTER'!#REF!)-1))))*(INDEX('CASE MASTER'!$AD$2:$AD$495,(SUMPRODUCT((('CASE MASTER'!$T$2:$T$495=5)*('CASE MASTER'!$AA$2:$AA$495&lt;=9)*('CASE MASTER'!$AC$2:$AC$495&gt;=9)*('CASE MASTER'!$AB$2:$AB$495&lt;=10)*('CASE MASTER'!$AD$2:$AD$495&gt;=10))*ROW('CASE MASTER'!$T$2:$T$495))-(ROW('CASE MASTER'!#REF!)-1)))-INDEX('CASE MASTER'!$AB$2:$AB$495,(SUMPRODUCT((('CASE MASTER'!$T$2:$T$495=5)*('CASE MASTER'!$AA$2:$AA$495&lt;=9)*('CASE MASTER'!$AC$2:$AC$495&gt;=9)*('CASE MASTER'!$AB$2:$AB$495&lt;=10)*('CASE MASTER'!$AD$2:$AD$495&gt;=10))*ROW('CASE MASTER'!$T$2:$T$495))-(ROW('CASE MASTER'!#REF!)-1)))+1)+(10-INDEX('CASE MASTER'!$AB$2:$AB$495,(SUMPRODUCT((('CASE MASTER'!$T$2:$T$495=5)*('CASE MASTER'!$AA$2:$AA$495&lt;=9)*('CASE MASTER'!$AC$2:$AC$495&gt;=9)*('CASE MASTER'!$AB$2:$AB$495&lt;=10)*('CASE MASTER'!$AD$2:$AD$495&gt;=10))*ROW('CASE MASTER'!$T$2:$T$495))-(ROW('CASE MASTER'!#REF!)-1))))+1)))-1)*50+1,50))&amp;"_"&amp;INDEX('CASE MASTER'!$Q$2:$Q$495,(SUMPRODUCT((('CASE MASTER'!$T$2:$T$495=5)*('CASE MASTER'!$AA$2:$AA$495&lt;=9)*('CASE MASTER'!$AC$2:$AC$495&gt;=9)*('CASE MASTER'!$AB$2:$AB$495&lt;=10)*('CASE MASTER'!$AD$2:$AD$495&gt;=10))*ROW('CASE MASTER'!$T$2:$T$495))-(ROW('CASE MASTER'!#REF!)-1))),"")),"")</f>
        <v/>
      </c>
    </row>
    <row r="68" spans="1:11" ht="15" customHeight="1" x14ac:dyDescent="0.35">
      <c r="A68" s="8" t="s">
        <v>82</v>
      </c>
      <c r="B68" s="10" t="str">
        <f>IFERROR(IF(SUMPRODUCT((('CASE MASTER'!$T$2:$T$495=5)*('CASE MASTER'!$U$2:$U$495&lt;=10)*('CASE MASTER'!$W$2:$W$495&gt;=10)*('CASE MASTER'!$V$2:$V$495&lt;=1)*('CASE MASTER'!$X$2:$X$495&gt;=1))*ROW('CASE MASTER'!$T$2:$T$495))&gt;0,INDEX('CASE MASTER'!$Y$2:$Y$495,(SUMPRODUCT((('CASE MASTER'!$T$2:$T$495=5)*('CASE MASTER'!$U$2:$U$495&lt;=10)*('CASE MASTER'!$W$2:$W$495&gt;=10)*('CASE MASTER'!$V$2:$V$495&lt;=1)*('CASE MASTER'!$X$2:$X$495&gt;=1))*ROW('CASE MASTER'!$T$2:$T$495))-(ROW('CASE MASTER'!#REF!)-1)))&amp;TRIM(MID(SUBSTITUTE(SUBSTITUTE(INDEX('CASE MASTER'!$N$2:$N$495,(SUMPRODUCT((('CASE MASTER'!$T$2:$T$495=5)*('CASE MASTER'!$U$2:$U$495&lt;=10)*('CASE MASTER'!$W$2:$W$495&gt;=10)*('CASE MASTER'!$V$2:$V$495&lt;=1)*('CASE MASTER'!$X$2:$X$495&gt;=1))*ROW('CASE MASTER'!$T$2:$T$495))-(ROW('CASE MASTER'!#REF!)-1))),":",","),",",REPT(" ",50)),((((10-INDEX('CASE MASTER'!$U$2:$U$495,(SUMPRODUCT((('CASE MASTER'!$T$2:$T$495=5)*('CASE MASTER'!$U$2:$U$495&lt;=10)*('CASE MASTER'!$W$2:$W$495&gt;=10)*('CASE MASTER'!$V$2:$V$495&lt;=1)*('CASE MASTER'!$X$2:$X$495&gt;=1))*ROW('CASE MASTER'!$T$2:$T$495))-(ROW('CASE MASTER'!#REF!)-1))))*(INDEX('CASE MASTER'!$X$2:$X$495,(SUMPRODUCT((('CASE MASTER'!$T$2:$T$495=5)*('CASE MASTER'!$U$2:$U$495&lt;=10)*('CASE MASTER'!$W$2:$W$495&gt;=10)*('CASE MASTER'!$V$2:$V$495&lt;=1)*('CASE MASTER'!$X$2:$X$495&gt;=1))*ROW('CASE MASTER'!$T$2:$T$495))-(ROW('CASE MASTER'!#REF!)-1)))-INDEX('CASE MASTER'!$V$2:$V$495,(SUMPRODUCT((('CASE MASTER'!$T$2:$T$495=5)*('CASE MASTER'!$U$2:$U$495&lt;=10)*('CASE MASTER'!$W$2:$W$495&gt;=10)*('CASE MASTER'!$V$2:$V$495&lt;=1)*('CASE MASTER'!$X$2:$X$495&gt;=1))*ROW('CASE MASTER'!$T$2:$T$495))-(ROW('CASE MASTER'!#REF!)-1)))+1)+(1-INDEX('CASE MASTER'!$V$2:$V$495,(SUMPRODUCT((('CASE MASTER'!$T$2:$T$495=5)*('CASE MASTER'!$U$2:$U$495&lt;=10)*('CASE MASTER'!$W$2:$W$495&gt;=10)*('CASE MASTER'!$V$2:$V$495&lt;=1)*('CASE MASTER'!$X$2:$X$495&gt;=1))*ROW('CASE MASTER'!$T$2:$T$495))-(ROW('CASE MASTER'!#REF!)-1))))+1))-1)*50+1,50))&amp;"_"&amp;INDEX('CASE MASTER'!$Q$2:$Q$495,(SUMPRODUCT((('CASE MASTER'!$T$2:$T$495=5)*('CASE MASTER'!$U$2:$U$495&lt;=10)*('CASE MASTER'!$W$2:$W$495&gt;=10)*('CASE MASTER'!$V$2:$V$495&lt;=1)*('CASE MASTER'!$X$2:$X$495&gt;=1))*ROW('CASE MASTER'!$T$2:$T$495))-(ROW('CASE MASTER'!#REF!)-1))),IF(SUMPRODUCT((('CASE MASTER'!$T$2:$T$495=5)*('CASE MASTER'!$AA$2:$AA$495&lt;=10)*('CASE MASTER'!$AC$2:$AC$495&gt;=10)*('CASE MASTER'!$AB$2:$AB$495&lt;=1)*('CASE MASTER'!$AD$2:$AD$495&gt;=1))*ROW('CASE MASTER'!$T$2:$T$495))&gt;0,INDEX('CASE MASTER'!$Y$2:$Y$495,(SUMPRODUCT((('CASE MASTER'!$T$2:$T$495=5)*('CASE MASTER'!$AA$2:$AA$495&lt;=10)*('CASE MASTER'!$AC$2:$AC$495&gt;=10)*('CASE MASTER'!$AB$2:$AB$495&lt;=1)*('CASE MASTER'!$AD$2:$AD$495&gt;=1))*ROW('CASE MASTER'!$T$2:$T$495))-(ROW('CASE MASTER'!#REF!)-1)))&amp;TRIM(MID(SUBSTITUTE(SUBSTITUTE(INDEX('CASE MASTER'!$N$2:$N$495,(SUMPRODUCT((('CASE MASTER'!$T$2:$T$495=5)*('CASE MASTER'!$AA$2:$AA$495&lt;=10)*('CASE MASTER'!$AC$2:$AC$495&gt;=10)*('CASE MASTER'!$AB$2:$AB$495&lt;=1)*('CASE MASTER'!$AD$2:$AD$495&gt;=1))*ROW('CASE MASTER'!$T$2:$T$495))-(ROW('CASE MASTER'!#REF!)-1))),":",","),",",REPT(" ",50)),(((INDEX('CASE MASTER'!$Z$2:$Z$495,(SUMPRODUCT((('CASE MASTER'!$T$2:$T$495=5)*('CASE MASTER'!$AA$2:$AA$495&lt;=10)*('CASE MASTER'!$AC$2:$AC$495&gt;=10)*('CASE MASTER'!$AB$2:$AB$495&lt;=1)*('CASE MASTER'!$AD$2:$AD$495&gt;=1))*ROW('CASE MASTER'!$T$2:$T$495))-(ROW('CASE MASTER'!#REF!)-1)))+((10-INDEX('CASE MASTER'!$AA$2:$AA$495,(SUMPRODUCT((('CASE MASTER'!$T$2:$T$495=5)*('CASE MASTER'!$AA$2:$AA$495&lt;=10)*('CASE MASTER'!$AC$2:$AC$495&gt;=10)*('CASE MASTER'!$AB$2:$AB$495&lt;=1)*('CASE MASTER'!$AD$2:$AD$495&gt;=1))*ROW('CASE MASTER'!$T$2:$T$495))-(ROW('CASE MASTER'!#REF!)-1))))*(INDEX('CASE MASTER'!$AD$2:$AD$495,(SUMPRODUCT((('CASE MASTER'!$T$2:$T$495=5)*('CASE MASTER'!$AA$2:$AA$495&lt;=10)*('CASE MASTER'!$AC$2:$AC$495&gt;=10)*('CASE MASTER'!$AB$2:$AB$495&lt;=1)*('CASE MASTER'!$AD$2:$AD$495&gt;=1))*ROW('CASE MASTER'!$T$2:$T$495))-(ROW('CASE MASTER'!#REF!)-1)))-INDEX('CASE MASTER'!$AB$2:$AB$495,(SUMPRODUCT((('CASE MASTER'!$T$2:$T$495=5)*('CASE MASTER'!$AA$2:$AA$495&lt;=10)*('CASE MASTER'!$AC$2:$AC$495&gt;=10)*('CASE MASTER'!$AB$2:$AB$495&lt;=1)*('CASE MASTER'!$AD$2:$AD$495&gt;=1))*ROW('CASE MASTER'!$T$2:$T$495))-(ROW('CASE MASTER'!#REF!)-1)))+1)+(1-INDEX('CASE MASTER'!$AB$2:$AB$495,(SUMPRODUCT((('CASE MASTER'!$T$2:$T$495=5)*('CASE MASTER'!$AA$2:$AA$495&lt;=10)*('CASE MASTER'!$AC$2:$AC$495&gt;=10)*('CASE MASTER'!$AB$2:$AB$495&lt;=1)*('CASE MASTER'!$AD$2:$AD$495&gt;=1))*ROW('CASE MASTER'!$T$2:$T$495))-(ROW('CASE MASTER'!#REF!)-1))))+1)))-1)*50+1,50))&amp;"_"&amp;INDEX('CASE MASTER'!$Q$2:$Q$495,(SUMPRODUCT((('CASE MASTER'!$T$2:$T$495=5)*('CASE MASTER'!$AA$2:$AA$495&lt;=10)*('CASE MASTER'!$AC$2:$AC$495&gt;=10)*('CASE MASTER'!$AB$2:$AB$495&lt;=1)*('CASE MASTER'!$AD$2:$AD$495&gt;=1))*ROW('CASE MASTER'!$T$2:$T$495))-(ROW('CASE MASTER'!#REF!)-1))),"")),"")</f>
        <v/>
      </c>
      <c r="C68" s="10" t="str">
        <f>IFERROR(IF(SUMPRODUCT((('CASE MASTER'!$T$2:$T$495=5)*('CASE MASTER'!$U$2:$U$495&lt;=10)*('CASE MASTER'!$W$2:$W$495&gt;=10)*('CASE MASTER'!$V$2:$V$495&lt;=2)*('CASE MASTER'!$X$2:$X$495&gt;=2))*ROW('CASE MASTER'!$T$2:$T$495))&gt;0,INDEX('CASE MASTER'!$Y$2:$Y$495,(SUMPRODUCT((('CASE MASTER'!$T$2:$T$495=5)*('CASE MASTER'!$U$2:$U$495&lt;=10)*('CASE MASTER'!$W$2:$W$495&gt;=10)*('CASE MASTER'!$V$2:$V$495&lt;=2)*('CASE MASTER'!$X$2:$X$495&gt;=2))*ROW('CASE MASTER'!$T$2:$T$495))-(ROW('CASE MASTER'!#REF!)-1)))&amp;TRIM(MID(SUBSTITUTE(SUBSTITUTE(INDEX('CASE MASTER'!$N$2:$N$495,(SUMPRODUCT((('CASE MASTER'!$T$2:$T$495=5)*('CASE MASTER'!$U$2:$U$495&lt;=10)*('CASE MASTER'!$W$2:$W$495&gt;=10)*('CASE MASTER'!$V$2:$V$495&lt;=2)*('CASE MASTER'!$X$2:$X$495&gt;=2))*ROW('CASE MASTER'!$T$2:$T$495))-(ROW('CASE MASTER'!#REF!)-1))),":",","),",",REPT(" ",50)),((((10-INDEX('CASE MASTER'!$U$2:$U$495,(SUMPRODUCT((('CASE MASTER'!$T$2:$T$495=5)*('CASE MASTER'!$U$2:$U$495&lt;=10)*('CASE MASTER'!$W$2:$W$495&gt;=10)*('CASE MASTER'!$V$2:$V$495&lt;=2)*('CASE MASTER'!$X$2:$X$495&gt;=2))*ROW('CASE MASTER'!$T$2:$T$495))-(ROW('CASE MASTER'!#REF!)-1))))*(INDEX('CASE MASTER'!$X$2:$X$495,(SUMPRODUCT((('CASE MASTER'!$T$2:$T$495=5)*('CASE MASTER'!$U$2:$U$495&lt;=10)*('CASE MASTER'!$W$2:$W$495&gt;=10)*('CASE MASTER'!$V$2:$V$495&lt;=2)*('CASE MASTER'!$X$2:$X$495&gt;=2))*ROW('CASE MASTER'!$T$2:$T$495))-(ROW('CASE MASTER'!#REF!)-1)))-INDEX('CASE MASTER'!$V$2:$V$495,(SUMPRODUCT((('CASE MASTER'!$T$2:$T$495=5)*('CASE MASTER'!$U$2:$U$495&lt;=10)*('CASE MASTER'!$W$2:$W$495&gt;=10)*('CASE MASTER'!$V$2:$V$495&lt;=2)*('CASE MASTER'!$X$2:$X$495&gt;=2))*ROW('CASE MASTER'!$T$2:$T$495))-(ROW('CASE MASTER'!#REF!)-1)))+1)+(2-INDEX('CASE MASTER'!$V$2:$V$495,(SUMPRODUCT((('CASE MASTER'!$T$2:$T$495=5)*('CASE MASTER'!$U$2:$U$495&lt;=10)*('CASE MASTER'!$W$2:$W$495&gt;=10)*('CASE MASTER'!$V$2:$V$495&lt;=2)*('CASE MASTER'!$X$2:$X$495&gt;=2))*ROW('CASE MASTER'!$T$2:$T$495))-(ROW('CASE MASTER'!#REF!)-1))))+1))-1)*50+1,50))&amp;"_"&amp;INDEX('CASE MASTER'!$Q$2:$Q$495,(SUMPRODUCT((('CASE MASTER'!$T$2:$T$495=5)*('CASE MASTER'!$U$2:$U$495&lt;=10)*('CASE MASTER'!$W$2:$W$495&gt;=10)*('CASE MASTER'!$V$2:$V$495&lt;=2)*('CASE MASTER'!$X$2:$X$495&gt;=2))*ROW('CASE MASTER'!$T$2:$T$495))-(ROW('CASE MASTER'!#REF!)-1))),IF(SUMPRODUCT((('CASE MASTER'!$T$2:$T$495=5)*('CASE MASTER'!$AA$2:$AA$495&lt;=10)*('CASE MASTER'!$AC$2:$AC$495&gt;=10)*('CASE MASTER'!$AB$2:$AB$495&lt;=2)*('CASE MASTER'!$AD$2:$AD$495&gt;=2))*ROW('CASE MASTER'!$T$2:$T$495))&gt;0,INDEX('CASE MASTER'!$Y$2:$Y$495,(SUMPRODUCT((('CASE MASTER'!$T$2:$T$495=5)*('CASE MASTER'!$AA$2:$AA$495&lt;=10)*('CASE MASTER'!$AC$2:$AC$495&gt;=10)*('CASE MASTER'!$AB$2:$AB$495&lt;=2)*('CASE MASTER'!$AD$2:$AD$495&gt;=2))*ROW('CASE MASTER'!$T$2:$T$495))-(ROW('CASE MASTER'!#REF!)-1)))&amp;TRIM(MID(SUBSTITUTE(SUBSTITUTE(INDEX('CASE MASTER'!$N$2:$N$495,(SUMPRODUCT((('CASE MASTER'!$T$2:$T$495=5)*('CASE MASTER'!$AA$2:$AA$495&lt;=10)*('CASE MASTER'!$AC$2:$AC$495&gt;=10)*('CASE MASTER'!$AB$2:$AB$495&lt;=2)*('CASE MASTER'!$AD$2:$AD$495&gt;=2))*ROW('CASE MASTER'!$T$2:$T$495))-(ROW('CASE MASTER'!#REF!)-1))),":",","),",",REPT(" ",50)),(((INDEX('CASE MASTER'!$Z$2:$Z$495,(SUMPRODUCT((('CASE MASTER'!$T$2:$T$495=5)*('CASE MASTER'!$AA$2:$AA$495&lt;=10)*('CASE MASTER'!$AC$2:$AC$495&gt;=10)*('CASE MASTER'!$AB$2:$AB$495&lt;=2)*('CASE MASTER'!$AD$2:$AD$495&gt;=2))*ROW('CASE MASTER'!$T$2:$T$495))-(ROW('CASE MASTER'!#REF!)-1)))+((10-INDEX('CASE MASTER'!$AA$2:$AA$495,(SUMPRODUCT((('CASE MASTER'!$T$2:$T$495=5)*('CASE MASTER'!$AA$2:$AA$495&lt;=10)*('CASE MASTER'!$AC$2:$AC$495&gt;=10)*('CASE MASTER'!$AB$2:$AB$495&lt;=2)*('CASE MASTER'!$AD$2:$AD$495&gt;=2))*ROW('CASE MASTER'!$T$2:$T$495))-(ROW('CASE MASTER'!#REF!)-1))))*(INDEX('CASE MASTER'!$AD$2:$AD$495,(SUMPRODUCT((('CASE MASTER'!$T$2:$T$495=5)*('CASE MASTER'!$AA$2:$AA$495&lt;=10)*('CASE MASTER'!$AC$2:$AC$495&gt;=10)*('CASE MASTER'!$AB$2:$AB$495&lt;=2)*('CASE MASTER'!$AD$2:$AD$495&gt;=2))*ROW('CASE MASTER'!$T$2:$T$495))-(ROW('CASE MASTER'!#REF!)-1)))-INDEX('CASE MASTER'!$AB$2:$AB$495,(SUMPRODUCT((('CASE MASTER'!$T$2:$T$495=5)*('CASE MASTER'!$AA$2:$AA$495&lt;=10)*('CASE MASTER'!$AC$2:$AC$495&gt;=10)*('CASE MASTER'!$AB$2:$AB$495&lt;=2)*('CASE MASTER'!$AD$2:$AD$495&gt;=2))*ROW('CASE MASTER'!$T$2:$T$495))-(ROW('CASE MASTER'!#REF!)-1)))+1)+(2-INDEX('CASE MASTER'!$AB$2:$AB$495,(SUMPRODUCT((('CASE MASTER'!$T$2:$T$495=5)*('CASE MASTER'!$AA$2:$AA$495&lt;=10)*('CASE MASTER'!$AC$2:$AC$495&gt;=10)*('CASE MASTER'!$AB$2:$AB$495&lt;=2)*('CASE MASTER'!$AD$2:$AD$495&gt;=2))*ROW('CASE MASTER'!$T$2:$T$495))-(ROW('CASE MASTER'!#REF!)-1))))+1)))-1)*50+1,50))&amp;"_"&amp;INDEX('CASE MASTER'!$Q$2:$Q$495,(SUMPRODUCT((('CASE MASTER'!$T$2:$T$495=5)*('CASE MASTER'!$AA$2:$AA$495&lt;=10)*('CASE MASTER'!$AC$2:$AC$495&gt;=10)*('CASE MASTER'!$AB$2:$AB$495&lt;=2)*('CASE MASTER'!$AD$2:$AD$495&gt;=2))*ROW('CASE MASTER'!$T$2:$T$495))-(ROW('CASE MASTER'!#REF!)-1))),"")),"")</f>
        <v/>
      </c>
      <c r="D68" s="10" t="str">
        <f>IFERROR(IF(SUMPRODUCT((('CASE MASTER'!$T$2:$T$495=5)*('CASE MASTER'!$U$2:$U$495&lt;=10)*('CASE MASTER'!$W$2:$W$495&gt;=10)*('CASE MASTER'!$V$2:$V$495&lt;=3)*('CASE MASTER'!$X$2:$X$495&gt;=3))*ROW('CASE MASTER'!$T$2:$T$495))&gt;0,INDEX('CASE MASTER'!$Y$2:$Y$495,(SUMPRODUCT((('CASE MASTER'!$T$2:$T$495=5)*('CASE MASTER'!$U$2:$U$495&lt;=10)*('CASE MASTER'!$W$2:$W$495&gt;=10)*('CASE MASTER'!$V$2:$V$495&lt;=3)*('CASE MASTER'!$X$2:$X$495&gt;=3))*ROW('CASE MASTER'!$T$2:$T$495))-(ROW('CASE MASTER'!#REF!)-1)))&amp;TRIM(MID(SUBSTITUTE(SUBSTITUTE(INDEX('CASE MASTER'!$N$2:$N$495,(SUMPRODUCT((('CASE MASTER'!$T$2:$T$495=5)*('CASE MASTER'!$U$2:$U$495&lt;=10)*('CASE MASTER'!$W$2:$W$495&gt;=10)*('CASE MASTER'!$V$2:$V$495&lt;=3)*('CASE MASTER'!$X$2:$X$495&gt;=3))*ROW('CASE MASTER'!$T$2:$T$495))-(ROW('CASE MASTER'!#REF!)-1))),":",","),",",REPT(" ",50)),((((10-INDEX('CASE MASTER'!$U$2:$U$495,(SUMPRODUCT((('CASE MASTER'!$T$2:$T$495=5)*('CASE MASTER'!$U$2:$U$495&lt;=10)*('CASE MASTER'!$W$2:$W$495&gt;=10)*('CASE MASTER'!$V$2:$V$495&lt;=3)*('CASE MASTER'!$X$2:$X$495&gt;=3))*ROW('CASE MASTER'!$T$2:$T$495))-(ROW('CASE MASTER'!#REF!)-1))))*(INDEX('CASE MASTER'!$X$2:$X$495,(SUMPRODUCT((('CASE MASTER'!$T$2:$T$495=5)*('CASE MASTER'!$U$2:$U$495&lt;=10)*('CASE MASTER'!$W$2:$W$495&gt;=10)*('CASE MASTER'!$V$2:$V$495&lt;=3)*('CASE MASTER'!$X$2:$X$495&gt;=3))*ROW('CASE MASTER'!$T$2:$T$495))-(ROW('CASE MASTER'!#REF!)-1)))-INDEX('CASE MASTER'!$V$2:$V$495,(SUMPRODUCT((('CASE MASTER'!$T$2:$T$495=5)*('CASE MASTER'!$U$2:$U$495&lt;=10)*('CASE MASTER'!$W$2:$W$495&gt;=10)*('CASE MASTER'!$V$2:$V$495&lt;=3)*('CASE MASTER'!$X$2:$X$495&gt;=3))*ROW('CASE MASTER'!$T$2:$T$495))-(ROW('CASE MASTER'!#REF!)-1)))+1)+(3-INDEX('CASE MASTER'!$V$2:$V$495,(SUMPRODUCT((('CASE MASTER'!$T$2:$T$495=5)*('CASE MASTER'!$U$2:$U$495&lt;=10)*('CASE MASTER'!$W$2:$W$495&gt;=10)*('CASE MASTER'!$V$2:$V$495&lt;=3)*('CASE MASTER'!$X$2:$X$495&gt;=3))*ROW('CASE MASTER'!$T$2:$T$495))-(ROW('CASE MASTER'!#REF!)-1))))+1))-1)*50+1,50))&amp;"_"&amp;INDEX('CASE MASTER'!$Q$2:$Q$495,(SUMPRODUCT((('CASE MASTER'!$T$2:$T$495=5)*('CASE MASTER'!$U$2:$U$495&lt;=10)*('CASE MASTER'!$W$2:$W$495&gt;=10)*('CASE MASTER'!$V$2:$V$495&lt;=3)*('CASE MASTER'!$X$2:$X$495&gt;=3))*ROW('CASE MASTER'!$T$2:$T$495))-(ROW('CASE MASTER'!#REF!)-1))),IF(SUMPRODUCT((('CASE MASTER'!$T$2:$T$495=5)*('CASE MASTER'!$AA$2:$AA$495&lt;=10)*('CASE MASTER'!$AC$2:$AC$495&gt;=10)*('CASE MASTER'!$AB$2:$AB$495&lt;=3)*('CASE MASTER'!$AD$2:$AD$495&gt;=3))*ROW('CASE MASTER'!$T$2:$T$495))&gt;0,INDEX('CASE MASTER'!$Y$2:$Y$495,(SUMPRODUCT((('CASE MASTER'!$T$2:$T$495=5)*('CASE MASTER'!$AA$2:$AA$495&lt;=10)*('CASE MASTER'!$AC$2:$AC$495&gt;=10)*('CASE MASTER'!$AB$2:$AB$495&lt;=3)*('CASE MASTER'!$AD$2:$AD$495&gt;=3))*ROW('CASE MASTER'!$T$2:$T$495))-(ROW('CASE MASTER'!#REF!)-1)))&amp;TRIM(MID(SUBSTITUTE(SUBSTITUTE(INDEX('CASE MASTER'!$N$2:$N$495,(SUMPRODUCT((('CASE MASTER'!$T$2:$T$495=5)*('CASE MASTER'!$AA$2:$AA$495&lt;=10)*('CASE MASTER'!$AC$2:$AC$495&gt;=10)*('CASE MASTER'!$AB$2:$AB$495&lt;=3)*('CASE MASTER'!$AD$2:$AD$495&gt;=3))*ROW('CASE MASTER'!$T$2:$T$495))-(ROW('CASE MASTER'!#REF!)-1))),":",","),",",REPT(" ",50)),(((INDEX('CASE MASTER'!$Z$2:$Z$495,(SUMPRODUCT((('CASE MASTER'!$T$2:$T$495=5)*('CASE MASTER'!$AA$2:$AA$495&lt;=10)*('CASE MASTER'!$AC$2:$AC$495&gt;=10)*('CASE MASTER'!$AB$2:$AB$495&lt;=3)*('CASE MASTER'!$AD$2:$AD$495&gt;=3))*ROW('CASE MASTER'!$T$2:$T$495))-(ROW('CASE MASTER'!#REF!)-1)))+((10-INDEX('CASE MASTER'!$AA$2:$AA$495,(SUMPRODUCT((('CASE MASTER'!$T$2:$T$495=5)*('CASE MASTER'!$AA$2:$AA$495&lt;=10)*('CASE MASTER'!$AC$2:$AC$495&gt;=10)*('CASE MASTER'!$AB$2:$AB$495&lt;=3)*('CASE MASTER'!$AD$2:$AD$495&gt;=3))*ROW('CASE MASTER'!$T$2:$T$495))-(ROW('CASE MASTER'!#REF!)-1))))*(INDEX('CASE MASTER'!$AD$2:$AD$495,(SUMPRODUCT((('CASE MASTER'!$T$2:$T$495=5)*('CASE MASTER'!$AA$2:$AA$495&lt;=10)*('CASE MASTER'!$AC$2:$AC$495&gt;=10)*('CASE MASTER'!$AB$2:$AB$495&lt;=3)*('CASE MASTER'!$AD$2:$AD$495&gt;=3))*ROW('CASE MASTER'!$T$2:$T$495))-(ROW('CASE MASTER'!#REF!)-1)))-INDEX('CASE MASTER'!$AB$2:$AB$495,(SUMPRODUCT((('CASE MASTER'!$T$2:$T$495=5)*('CASE MASTER'!$AA$2:$AA$495&lt;=10)*('CASE MASTER'!$AC$2:$AC$495&gt;=10)*('CASE MASTER'!$AB$2:$AB$495&lt;=3)*('CASE MASTER'!$AD$2:$AD$495&gt;=3))*ROW('CASE MASTER'!$T$2:$T$495))-(ROW('CASE MASTER'!#REF!)-1)))+1)+(3-INDEX('CASE MASTER'!$AB$2:$AB$495,(SUMPRODUCT((('CASE MASTER'!$T$2:$T$495=5)*('CASE MASTER'!$AA$2:$AA$495&lt;=10)*('CASE MASTER'!$AC$2:$AC$495&gt;=10)*('CASE MASTER'!$AB$2:$AB$495&lt;=3)*('CASE MASTER'!$AD$2:$AD$495&gt;=3))*ROW('CASE MASTER'!$T$2:$T$495))-(ROW('CASE MASTER'!#REF!)-1))))+1)))-1)*50+1,50))&amp;"_"&amp;INDEX('CASE MASTER'!$Q$2:$Q$495,(SUMPRODUCT((('CASE MASTER'!$T$2:$T$495=5)*('CASE MASTER'!$AA$2:$AA$495&lt;=10)*('CASE MASTER'!$AC$2:$AC$495&gt;=10)*('CASE MASTER'!$AB$2:$AB$495&lt;=3)*('CASE MASTER'!$AD$2:$AD$495&gt;=3))*ROW('CASE MASTER'!$T$2:$T$495))-(ROW('CASE MASTER'!#REF!)-1))),"")),"")</f>
        <v/>
      </c>
      <c r="E68" s="10" t="str">
        <f>IFERROR(IF(SUMPRODUCT((('CASE MASTER'!$T$2:$T$495=5)*('CASE MASTER'!$U$2:$U$495&lt;=10)*('CASE MASTER'!$W$2:$W$495&gt;=10)*('CASE MASTER'!$V$2:$V$495&lt;=4)*('CASE MASTER'!$X$2:$X$495&gt;=4))*ROW('CASE MASTER'!$T$2:$T$495))&gt;0,INDEX('CASE MASTER'!$Y$2:$Y$495,(SUMPRODUCT((('CASE MASTER'!$T$2:$T$495=5)*('CASE MASTER'!$U$2:$U$495&lt;=10)*('CASE MASTER'!$W$2:$W$495&gt;=10)*('CASE MASTER'!$V$2:$V$495&lt;=4)*('CASE MASTER'!$X$2:$X$495&gt;=4))*ROW('CASE MASTER'!$T$2:$T$495))-(ROW('CASE MASTER'!#REF!)-1)))&amp;TRIM(MID(SUBSTITUTE(SUBSTITUTE(INDEX('CASE MASTER'!$N$2:$N$495,(SUMPRODUCT((('CASE MASTER'!$T$2:$T$495=5)*('CASE MASTER'!$U$2:$U$495&lt;=10)*('CASE MASTER'!$W$2:$W$495&gt;=10)*('CASE MASTER'!$V$2:$V$495&lt;=4)*('CASE MASTER'!$X$2:$X$495&gt;=4))*ROW('CASE MASTER'!$T$2:$T$495))-(ROW('CASE MASTER'!#REF!)-1))),":",","),",",REPT(" ",50)),((((10-INDEX('CASE MASTER'!$U$2:$U$495,(SUMPRODUCT((('CASE MASTER'!$T$2:$T$495=5)*('CASE MASTER'!$U$2:$U$495&lt;=10)*('CASE MASTER'!$W$2:$W$495&gt;=10)*('CASE MASTER'!$V$2:$V$495&lt;=4)*('CASE MASTER'!$X$2:$X$495&gt;=4))*ROW('CASE MASTER'!$T$2:$T$495))-(ROW('CASE MASTER'!#REF!)-1))))*(INDEX('CASE MASTER'!$X$2:$X$495,(SUMPRODUCT((('CASE MASTER'!$T$2:$T$495=5)*('CASE MASTER'!$U$2:$U$495&lt;=10)*('CASE MASTER'!$W$2:$W$495&gt;=10)*('CASE MASTER'!$V$2:$V$495&lt;=4)*('CASE MASTER'!$X$2:$X$495&gt;=4))*ROW('CASE MASTER'!$T$2:$T$495))-(ROW('CASE MASTER'!#REF!)-1)))-INDEX('CASE MASTER'!$V$2:$V$495,(SUMPRODUCT((('CASE MASTER'!$T$2:$T$495=5)*('CASE MASTER'!$U$2:$U$495&lt;=10)*('CASE MASTER'!$W$2:$W$495&gt;=10)*('CASE MASTER'!$V$2:$V$495&lt;=4)*('CASE MASTER'!$X$2:$X$495&gt;=4))*ROW('CASE MASTER'!$T$2:$T$495))-(ROW('CASE MASTER'!#REF!)-1)))+1)+(4-INDEX('CASE MASTER'!$V$2:$V$495,(SUMPRODUCT((('CASE MASTER'!$T$2:$T$495=5)*('CASE MASTER'!$U$2:$U$495&lt;=10)*('CASE MASTER'!$W$2:$W$495&gt;=10)*('CASE MASTER'!$V$2:$V$495&lt;=4)*('CASE MASTER'!$X$2:$X$495&gt;=4))*ROW('CASE MASTER'!$T$2:$T$495))-(ROW('CASE MASTER'!#REF!)-1))))+1))-1)*50+1,50))&amp;"_"&amp;INDEX('CASE MASTER'!$Q$2:$Q$495,(SUMPRODUCT((('CASE MASTER'!$T$2:$T$495=5)*('CASE MASTER'!$U$2:$U$495&lt;=10)*('CASE MASTER'!$W$2:$W$495&gt;=10)*('CASE MASTER'!$V$2:$V$495&lt;=4)*('CASE MASTER'!$X$2:$X$495&gt;=4))*ROW('CASE MASTER'!$T$2:$T$495))-(ROW('CASE MASTER'!#REF!)-1))),IF(SUMPRODUCT((('CASE MASTER'!$T$2:$T$495=5)*('CASE MASTER'!$AA$2:$AA$495&lt;=10)*('CASE MASTER'!$AC$2:$AC$495&gt;=10)*('CASE MASTER'!$AB$2:$AB$495&lt;=4)*('CASE MASTER'!$AD$2:$AD$495&gt;=4))*ROW('CASE MASTER'!$T$2:$T$495))&gt;0,INDEX('CASE MASTER'!$Y$2:$Y$495,(SUMPRODUCT((('CASE MASTER'!$T$2:$T$495=5)*('CASE MASTER'!$AA$2:$AA$495&lt;=10)*('CASE MASTER'!$AC$2:$AC$495&gt;=10)*('CASE MASTER'!$AB$2:$AB$495&lt;=4)*('CASE MASTER'!$AD$2:$AD$495&gt;=4))*ROW('CASE MASTER'!$T$2:$T$495))-(ROW('CASE MASTER'!#REF!)-1)))&amp;TRIM(MID(SUBSTITUTE(SUBSTITUTE(INDEX('CASE MASTER'!$N$2:$N$495,(SUMPRODUCT((('CASE MASTER'!$T$2:$T$495=5)*('CASE MASTER'!$AA$2:$AA$495&lt;=10)*('CASE MASTER'!$AC$2:$AC$495&gt;=10)*('CASE MASTER'!$AB$2:$AB$495&lt;=4)*('CASE MASTER'!$AD$2:$AD$495&gt;=4))*ROW('CASE MASTER'!$T$2:$T$495))-(ROW('CASE MASTER'!#REF!)-1))),":",","),",",REPT(" ",50)),(((INDEX('CASE MASTER'!$Z$2:$Z$495,(SUMPRODUCT((('CASE MASTER'!$T$2:$T$495=5)*('CASE MASTER'!$AA$2:$AA$495&lt;=10)*('CASE MASTER'!$AC$2:$AC$495&gt;=10)*('CASE MASTER'!$AB$2:$AB$495&lt;=4)*('CASE MASTER'!$AD$2:$AD$495&gt;=4))*ROW('CASE MASTER'!$T$2:$T$495))-(ROW('CASE MASTER'!#REF!)-1)))+((10-INDEX('CASE MASTER'!$AA$2:$AA$495,(SUMPRODUCT((('CASE MASTER'!$T$2:$T$495=5)*('CASE MASTER'!$AA$2:$AA$495&lt;=10)*('CASE MASTER'!$AC$2:$AC$495&gt;=10)*('CASE MASTER'!$AB$2:$AB$495&lt;=4)*('CASE MASTER'!$AD$2:$AD$495&gt;=4))*ROW('CASE MASTER'!$T$2:$T$495))-(ROW('CASE MASTER'!#REF!)-1))))*(INDEX('CASE MASTER'!$AD$2:$AD$495,(SUMPRODUCT((('CASE MASTER'!$T$2:$T$495=5)*('CASE MASTER'!$AA$2:$AA$495&lt;=10)*('CASE MASTER'!$AC$2:$AC$495&gt;=10)*('CASE MASTER'!$AB$2:$AB$495&lt;=4)*('CASE MASTER'!$AD$2:$AD$495&gt;=4))*ROW('CASE MASTER'!$T$2:$T$495))-(ROW('CASE MASTER'!#REF!)-1)))-INDEX('CASE MASTER'!$AB$2:$AB$495,(SUMPRODUCT((('CASE MASTER'!$T$2:$T$495=5)*('CASE MASTER'!$AA$2:$AA$495&lt;=10)*('CASE MASTER'!$AC$2:$AC$495&gt;=10)*('CASE MASTER'!$AB$2:$AB$495&lt;=4)*('CASE MASTER'!$AD$2:$AD$495&gt;=4))*ROW('CASE MASTER'!$T$2:$T$495))-(ROW('CASE MASTER'!#REF!)-1)))+1)+(4-INDEX('CASE MASTER'!$AB$2:$AB$495,(SUMPRODUCT((('CASE MASTER'!$T$2:$T$495=5)*('CASE MASTER'!$AA$2:$AA$495&lt;=10)*('CASE MASTER'!$AC$2:$AC$495&gt;=10)*('CASE MASTER'!$AB$2:$AB$495&lt;=4)*('CASE MASTER'!$AD$2:$AD$495&gt;=4))*ROW('CASE MASTER'!$T$2:$T$495))-(ROW('CASE MASTER'!#REF!)-1))))+1)))-1)*50+1,50))&amp;"_"&amp;INDEX('CASE MASTER'!$Q$2:$Q$495,(SUMPRODUCT((('CASE MASTER'!$T$2:$T$495=5)*('CASE MASTER'!$AA$2:$AA$495&lt;=10)*('CASE MASTER'!$AC$2:$AC$495&gt;=10)*('CASE MASTER'!$AB$2:$AB$495&lt;=4)*('CASE MASTER'!$AD$2:$AD$495&gt;=4))*ROW('CASE MASTER'!$T$2:$T$495))-(ROW('CASE MASTER'!#REF!)-1))),"")),"")</f>
        <v/>
      </c>
      <c r="F68" s="10" t="str">
        <f>IFERROR(IF(SUMPRODUCT((('CASE MASTER'!$T$2:$T$495=5)*('CASE MASTER'!$U$2:$U$495&lt;=10)*('CASE MASTER'!$W$2:$W$495&gt;=10)*('CASE MASTER'!$V$2:$V$495&lt;=5)*('CASE MASTER'!$X$2:$X$495&gt;=5))*ROW('CASE MASTER'!$T$2:$T$495))&gt;0,INDEX('CASE MASTER'!$Y$2:$Y$495,(SUMPRODUCT((('CASE MASTER'!$T$2:$T$495=5)*('CASE MASTER'!$U$2:$U$495&lt;=10)*('CASE MASTER'!$W$2:$W$495&gt;=10)*('CASE MASTER'!$V$2:$V$495&lt;=5)*('CASE MASTER'!$X$2:$X$495&gt;=5))*ROW('CASE MASTER'!$T$2:$T$495))-(ROW('CASE MASTER'!#REF!)-1)))&amp;TRIM(MID(SUBSTITUTE(SUBSTITUTE(INDEX('CASE MASTER'!$N$2:$N$495,(SUMPRODUCT((('CASE MASTER'!$T$2:$T$495=5)*('CASE MASTER'!$U$2:$U$495&lt;=10)*('CASE MASTER'!$W$2:$W$495&gt;=10)*('CASE MASTER'!$V$2:$V$495&lt;=5)*('CASE MASTER'!$X$2:$X$495&gt;=5))*ROW('CASE MASTER'!$T$2:$T$495))-(ROW('CASE MASTER'!#REF!)-1))),":",","),",",REPT(" ",50)),((((10-INDEX('CASE MASTER'!$U$2:$U$495,(SUMPRODUCT((('CASE MASTER'!$T$2:$T$495=5)*('CASE MASTER'!$U$2:$U$495&lt;=10)*('CASE MASTER'!$W$2:$W$495&gt;=10)*('CASE MASTER'!$V$2:$V$495&lt;=5)*('CASE MASTER'!$X$2:$X$495&gt;=5))*ROW('CASE MASTER'!$T$2:$T$495))-(ROW('CASE MASTER'!#REF!)-1))))*(INDEX('CASE MASTER'!$X$2:$X$495,(SUMPRODUCT((('CASE MASTER'!$T$2:$T$495=5)*('CASE MASTER'!$U$2:$U$495&lt;=10)*('CASE MASTER'!$W$2:$W$495&gt;=10)*('CASE MASTER'!$V$2:$V$495&lt;=5)*('CASE MASTER'!$X$2:$X$495&gt;=5))*ROW('CASE MASTER'!$T$2:$T$495))-(ROW('CASE MASTER'!#REF!)-1)))-INDEX('CASE MASTER'!$V$2:$V$495,(SUMPRODUCT((('CASE MASTER'!$T$2:$T$495=5)*('CASE MASTER'!$U$2:$U$495&lt;=10)*('CASE MASTER'!$W$2:$W$495&gt;=10)*('CASE MASTER'!$V$2:$V$495&lt;=5)*('CASE MASTER'!$X$2:$X$495&gt;=5))*ROW('CASE MASTER'!$T$2:$T$495))-(ROW('CASE MASTER'!#REF!)-1)))+1)+(5-INDEX('CASE MASTER'!$V$2:$V$495,(SUMPRODUCT((('CASE MASTER'!$T$2:$T$495=5)*('CASE MASTER'!$U$2:$U$495&lt;=10)*('CASE MASTER'!$W$2:$W$495&gt;=10)*('CASE MASTER'!$V$2:$V$495&lt;=5)*('CASE MASTER'!$X$2:$X$495&gt;=5))*ROW('CASE MASTER'!$T$2:$T$495))-(ROW('CASE MASTER'!#REF!)-1))))+1))-1)*50+1,50))&amp;"_"&amp;INDEX('CASE MASTER'!$Q$2:$Q$495,(SUMPRODUCT((('CASE MASTER'!$T$2:$T$495=5)*('CASE MASTER'!$U$2:$U$495&lt;=10)*('CASE MASTER'!$W$2:$W$495&gt;=10)*('CASE MASTER'!$V$2:$V$495&lt;=5)*('CASE MASTER'!$X$2:$X$495&gt;=5))*ROW('CASE MASTER'!$T$2:$T$495))-(ROW('CASE MASTER'!#REF!)-1))),IF(SUMPRODUCT((('CASE MASTER'!$T$2:$T$495=5)*('CASE MASTER'!$AA$2:$AA$495&lt;=10)*('CASE MASTER'!$AC$2:$AC$495&gt;=10)*('CASE MASTER'!$AB$2:$AB$495&lt;=5)*('CASE MASTER'!$AD$2:$AD$495&gt;=5))*ROW('CASE MASTER'!$T$2:$T$495))&gt;0,INDEX('CASE MASTER'!$Y$2:$Y$495,(SUMPRODUCT((('CASE MASTER'!$T$2:$T$495=5)*('CASE MASTER'!$AA$2:$AA$495&lt;=10)*('CASE MASTER'!$AC$2:$AC$495&gt;=10)*('CASE MASTER'!$AB$2:$AB$495&lt;=5)*('CASE MASTER'!$AD$2:$AD$495&gt;=5))*ROW('CASE MASTER'!$T$2:$T$495))-(ROW('CASE MASTER'!#REF!)-1)))&amp;TRIM(MID(SUBSTITUTE(SUBSTITUTE(INDEX('CASE MASTER'!$N$2:$N$495,(SUMPRODUCT((('CASE MASTER'!$T$2:$T$495=5)*('CASE MASTER'!$AA$2:$AA$495&lt;=10)*('CASE MASTER'!$AC$2:$AC$495&gt;=10)*('CASE MASTER'!$AB$2:$AB$495&lt;=5)*('CASE MASTER'!$AD$2:$AD$495&gt;=5))*ROW('CASE MASTER'!$T$2:$T$495))-(ROW('CASE MASTER'!#REF!)-1))),":",","),",",REPT(" ",50)),(((INDEX('CASE MASTER'!$Z$2:$Z$495,(SUMPRODUCT((('CASE MASTER'!$T$2:$T$495=5)*('CASE MASTER'!$AA$2:$AA$495&lt;=10)*('CASE MASTER'!$AC$2:$AC$495&gt;=10)*('CASE MASTER'!$AB$2:$AB$495&lt;=5)*('CASE MASTER'!$AD$2:$AD$495&gt;=5))*ROW('CASE MASTER'!$T$2:$T$495))-(ROW('CASE MASTER'!#REF!)-1)))+((10-INDEX('CASE MASTER'!$AA$2:$AA$495,(SUMPRODUCT((('CASE MASTER'!$T$2:$T$495=5)*('CASE MASTER'!$AA$2:$AA$495&lt;=10)*('CASE MASTER'!$AC$2:$AC$495&gt;=10)*('CASE MASTER'!$AB$2:$AB$495&lt;=5)*('CASE MASTER'!$AD$2:$AD$495&gt;=5))*ROW('CASE MASTER'!$T$2:$T$495))-(ROW('CASE MASTER'!#REF!)-1))))*(INDEX('CASE MASTER'!$AD$2:$AD$495,(SUMPRODUCT((('CASE MASTER'!$T$2:$T$495=5)*('CASE MASTER'!$AA$2:$AA$495&lt;=10)*('CASE MASTER'!$AC$2:$AC$495&gt;=10)*('CASE MASTER'!$AB$2:$AB$495&lt;=5)*('CASE MASTER'!$AD$2:$AD$495&gt;=5))*ROW('CASE MASTER'!$T$2:$T$495))-(ROW('CASE MASTER'!#REF!)-1)))-INDEX('CASE MASTER'!$AB$2:$AB$495,(SUMPRODUCT((('CASE MASTER'!$T$2:$T$495=5)*('CASE MASTER'!$AA$2:$AA$495&lt;=10)*('CASE MASTER'!$AC$2:$AC$495&gt;=10)*('CASE MASTER'!$AB$2:$AB$495&lt;=5)*('CASE MASTER'!$AD$2:$AD$495&gt;=5))*ROW('CASE MASTER'!$T$2:$T$495))-(ROW('CASE MASTER'!#REF!)-1)))+1)+(5-INDEX('CASE MASTER'!$AB$2:$AB$495,(SUMPRODUCT((('CASE MASTER'!$T$2:$T$495=5)*('CASE MASTER'!$AA$2:$AA$495&lt;=10)*('CASE MASTER'!$AC$2:$AC$495&gt;=10)*('CASE MASTER'!$AB$2:$AB$495&lt;=5)*('CASE MASTER'!$AD$2:$AD$495&gt;=5))*ROW('CASE MASTER'!$T$2:$T$495))-(ROW('CASE MASTER'!#REF!)-1))))+1)))-1)*50+1,50))&amp;"_"&amp;INDEX('CASE MASTER'!$Q$2:$Q$495,(SUMPRODUCT((('CASE MASTER'!$T$2:$T$495=5)*('CASE MASTER'!$AA$2:$AA$495&lt;=10)*('CASE MASTER'!$AC$2:$AC$495&gt;=10)*('CASE MASTER'!$AB$2:$AB$495&lt;=5)*('CASE MASTER'!$AD$2:$AD$495&gt;=5))*ROW('CASE MASTER'!$T$2:$T$495))-(ROW('CASE MASTER'!#REF!)-1))),"")),"")</f>
        <v/>
      </c>
      <c r="G68" s="10" t="str">
        <f>IFERROR(IF(SUMPRODUCT((('CASE MASTER'!$T$2:$T$495=5)*('CASE MASTER'!$U$2:$U$495&lt;=10)*('CASE MASTER'!$W$2:$W$495&gt;=10)*('CASE MASTER'!$V$2:$V$495&lt;=6)*('CASE MASTER'!$X$2:$X$495&gt;=6))*ROW('CASE MASTER'!$T$2:$T$495))&gt;0,INDEX('CASE MASTER'!$Y$2:$Y$495,(SUMPRODUCT((('CASE MASTER'!$T$2:$T$495=5)*('CASE MASTER'!$U$2:$U$495&lt;=10)*('CASE MASTER'!$W$2:$W$495&gt;=10)*('CASE MASTER'!$V$2:$V$495&lt;=6)*('CASE MASTER'!$X$2:$X$495&gt;=6))*ROW('CASE MASTER'!$T$2:$T$495))-(ROW('CASE MASTER'!#REF!)-1)))&amp;TRIM(MID(SUBSTITUTE(SUBSTITUTE(INDEX('CASE MASTER'!$N$2:$N$495,(SUMPRODUCT((('CASE MASTER'!$T$2:$T$495=5)*('CASE MASTER'!$U$2:$U$495&lt;=10)*('CASE MASTER'!$W$2:$W$495&gt;=10)*('CASE MASTER'!$V$2:$V$495&lt;=6)*('CASE MASTER'!$X$2:$X$495&gt;=6))*ROW('CASE MASTER'!$T$2:$T$495))-(ROW('CASE MASTER'!#REF!)-1))),":",","),",",REPT(" ",50)),((((10-INDEX('CASE MASTER'!$U$2:$U$495,(SUMPRODUCT((('CASE MASTER'!$T$2:$T$495=5)*('CASE MASTER'!$U$2:$U$495&lt;=10)*('CASE MASTER'!$W$2:$W$495&gt;=10)*('CASE MASTER'!$V$2:$V$495&lt;=6)*('CASE MASTER'!$X$2:$X$495&gt;=6))*ROW('CASE MASTER'!$T$2:$T$495))-(ROW('CASE MASTER'!#REF!)-1))))*(INDEX('CASE MASTER'!$X$2:$X$495,(SUMPRODUCT((('CASE MASTER'!$T$2:$T$495=5)*('CASE MASTER'!$U$2:$U$495&lt;=10)*('CASE MASTER'!$W$2:$W$495&gt;=10)*('CASE MASTER'!$V$2:$V$495&lt;=6)*('CASE MASTER'!$X$2:$X$495&gt;=6))*ROW('CASE MASTER'!$T$2:$T$495))-(ROW('CASE MASTER'!#REF!)-1)))-INDEX('CASE MASTER'!$V$2:$V$495,(SUMPRODUCT((('CASE MASTER'!$T$2:$T$495=5)*('CASE MASTER'!$U$2:$U$495&lt;=10)*('CASE MASTER'!$W$2:$W$495&gt;=10)*('CASE MASTER'!$V$2:$V$495&lt;=6)*('CASE MASTER'!$X$2:$X$495&gt;=6))*ROW('CASE MASTER'!$T$2:$T$495))-(ROW('CASE MASTER'!#REF!)-1)))+1)+(6-INDEX('CASE MASTER'!$V$2:$V$495,(SUMPRODUCT((('CASE MASTER'!$T$2:$T$495=5)*('CASE MASTER'!$U$2:$U$495&lt;=10)*('CASE MASTER'!$W$2:$W$495&gt;=10)*('CASE MASTER'!$V$2:$V$495&lt;=6)*('CASE MASTER'!$X$2:$X$495&gt;=6))*ROW('CASE MASTER'!$T$2:$T$495))-(ROW('CASE MASTER'!#REF!)-1))))+1))-1)*50+1,50))&amp;"_"&amp;INDEX('CASE MASTER'!$Q$2:$Q$495,(SUMPRODUCT((('CASE MASTER'!$T$2:$T$495=5)*('CASE MASTER'!$U$2:$U$495&lt;=10)*('CASE MASTER'!$W$2:$W$495&gt;=10)*('CASE MASTER'!$V$2:$V$495&lt;=6)*('CASE MASTER'!$X$2:$X$495&gt;=6))*ROW('CASE MASTER'!$T$2:$T$495))-(ROW('CASE MASTER'!#REF!)-1))),IF(SUMPRODUCT((('CASE MASTER'!$T$2:$T$495=5)*('CASE MASTER'!$AA$2:$AA$495&lt;=10)*('CASE MASTER'!$AC$2:$AC$495&gt;=10)*('CASE MASTER'!$AB$2:$AB$495&lt;=6)*('CASE MASTER'!$AD$2:$AD$495&gt;=6))*ROW('CASE MASTER'!$T$2:$T$495))&gt;0,INDEX('CASE MASTER'!$Y$2:$Y$495,(SUMPRODUCT((('CASE MASTER'!$T$2:$T$495=5)*('CASE MASTER'!$AA$2:$AA$495&lt;=10)*('CASE MASTER'!$AC$2:$AC$495&gt;=10)*('CASE MASTER'!$AB$2:$AB$495&lt;=6)*('CASE MASTER'!$AD$2:$AD$495&gt;=6))*ROW('CASE MASTER'!$T$2:$T$495))-(ROW('CASE MASTER'!#REF!)-1)))&amp;TRIM(MID(SUBSTITUTE(SUBSTITUTE(INDEX('CASE MASTER'!$N$2:$N$495,(SUMPRODUCT((('CASE MASTER'!$T$2:$T$495=5)*('CASE MASTER'!$AA$2:$AA$495&lt;=10)*('CASE MASTER'!$AC$2:$AC$495&gt;=10)*('CASE MASTER'!$AB$2:$AB$495&lt;=6)*('CASE MASTER'!$AD$2:$AD$495&gt;=6))*ROW('CASE MASTER'!$T$2:$T$495))-(ROW('CASE MASTER'!#REF!)-1))),":",","),",",REPT(" ",50)),(((INDEX('CASE MASTER'!$Z$2:$Z$495,(SUMPRODUCT((('CASE MASTER'!$T$2:$T$495=5)*('CASE MASTER'!$AA$2:$AA$495&lt;=10)*('CASE MASTER'!$AC$2:$AC$495&gt;=10)*('CASE MASTER'!$AB$2:$AB$495&lt;=6)*('CASE MASTER'!$AD$2:$AD$495&gt;=6))*ROW('CASE MASTER'!$T$2:$T$495))-(ROW('CASE MASTER'!#REF!)-1)))+((10-INDEX('CASE MASTER'!$AA$2:$AA$495,(SUMPRODUCT((('CASE MASTER'!$T$2:$T$495=5)*('CASE MASTER'!$AA$2:$AA$495&lt;=10)*('CASE MASTER'!$AC$2:$AC$495&gt;=10)*('CASE MASTER'!$AB$2:$AB$495&lt;=6)*('CASE MASTER'!$AD$2:$AD$495&gt;=6))*ROW('CASE MASTER'!$T$2:$T$495))-(ROW('CASE MASTER'!#REF!)-1))))*(INDEX('CASE MASTER'!$AD$2:$AD$495,(SUMPRODUCT((('CASE MASTER'!$T$2:$T$495=5)*('CASE MASTER'!$AA$2:$AA$495&lt;=10)*('CASE MASTER'!$AC$2:$AC$495&gt;=10)*('CASE MASTER'!$AB$2:$AB$495&lt;=6)*('CASE MASTER'!$AD$2:$AD$495&gt;=6))*ROW('CASE MASTER'!$T$2:$T$495))-(ROW('CASE MASTER'!#REF!)-1)))-INDEX('CASE MASTER'!$AB$2:$AB$495,(SUMPRODUCT((('CASE MASTER'!$T$2:$T$495=5)*('CASE MASTER'!$AA$2:$AA$495&lt;=10)*('CASE MASTER'!$AC$2:$AC$495&gt;=10)*('CASE MASTER'!$AB$2:$AB$495&lt;=6)*('CASE MASTER'!$AD$2:$AD$495&gt;=6))*ROW('CASE MASTER'!$T$2:$T$495))-(ROW('CASE MASTER'!#REF!)-1)))+1)+(6-INDEX('CASE MASTER'!$AB$2:$AB$495,(SUMPRODUCT((('CASE MASTER'!$T$2:$T$495=5)*('CASE MASTER'!$AA$2:$AA$495&lt;=10)*('CASE MASTER'!$AC$2:$AC$495&gt;=10)*('CASE MASTER'!$AB$2:$AB$495&lt;=6)*('CASE MASTER'!$AD$2:$AD$495&gt;=6))*ROW('CASE MASTER'!$T$2:$T$495))-(ROW('CASE MASTER'!#REF!)-1))))+1)))-1)*50+1,50))&amp;"_"&amp;INDEX('CASE MASTER'!$Q$2:$Q$495,(SUMPRODUCT((('CASE MASTER'!$T$2:$T$495=5)*('CASE MASTER'!$AA$2:$AA$495&lt;=10)*('CASE MASTER'!$AC$2:$AC$495&gt;=10)*('CASE MASTER'!$AB$2:$AB$495&lt;=6)*('CASE MASTER'!$AD$2:$AD$495&gt;=6))*ROW('CASE MASTER'!$T$2:$T$495))-(ROW('CASE MASTER'!#REF!)-1))),"")),"")</f>
        <v/>
      </c>
      <c r="H68" s="10" t="str">
        <f>IFERROR(IF(SUMPRODUCT((('CASE MASTER'!$T$2:$T$495=5)*('CASE MASTER'!$U$2:$U$495&lt;=10)*('CASE MASTER'!$W$2:$W$495&gt;=10)*('CASE MASTER'!$V$2:$V$495&lt;=7)*('CASE MASTER'!$X$2:$X$495&gt;=7))*ROW('CASE MASTER'!$T$2:$T$495))&gt;0,INDEX('CASE MASTER'!$Y$2:$Y$495,(SUMPRODUCT((('CASE MASTER'!$T$2:$T$495=5)*('CASE MASTER'!$U$2:$U$495&lt;=10)*('CASE MASTER'!$W$2:$W$495&gt;=10)*('CASE MASTER'!$V$2:$V$495&lt;=7)*('CASE MASTER'!$X$2:$X$495&gt;=7))*ROW('CASE MASTER'!$T$2:$T$495))-(ROW('CASE MASTER'!#REF!)-1)))&amp;TRIM(MID(SUBSTITUTE(SUBSTITUTE(INDEX('CASE MASTER'!$N$2:$N$495,(SUMPRODUCT((('CASE MASTER'!$T$2:$T$495=5)*('CASE MASTER'!$U$2:$U$495&lt;=10)*('CASE MASTER'!$W$2:$W$495&gt;=10)*('CASE MASTER'!$V$2:$V$495&lt;=7)*('CASE MASTER'!$X$2:$X$495&gt;=7))*ROW('CASE MASTER'!$T$2:$T$495))-(ROW('CASE MASTER'!#REF!)-1))),":",","),",",REPT(" ",50)),((((10-INDEX('CASE MASTER'!$U$2:$U$495,(SUMPRODUCT((('CASE MASTER'!$T$2:$T$495=5)*('CASE MASTER'!$U$2:$U$495&lt;=10)*('CASE MASTER'!$W$2:$W$495&gt;=10)*('CASE MASTER'!$V$2:$V$495&lt;=7)*('CASE MASTER'!$X$2:$X$495&gt;=7))*ROW('CASE MASTER'!$T$2:$T$495))-(ROW('CASE MASTER'!#REF!)-1))))*(INDEX('CASE MASTER'!$X$2:$X$495,(SUMPRODUCT((('CASE MASTER'!$T$2:$T$495=5)*('CASE MASTER'!$U$2:$U$495&lt;=10)*('CASE MASTER'!$W$2:$W$495&gt;=10)*('CASE MASTER'!$V$2:$V$495&lt;=7)*('CASE MASTER'!$X$2:$X$495&gt;=7))*ROW('CASE MASTER'!$T$2:$T$495))-(ROW('CASE MASTER'!#REF!)-1)))-INDEX('CASE MASTER'!$V$2:$V$495,(SUMPRODUCT((('CASE MASTER'!$T$2:$T$495=5)*('CASE MASTER'!$U$2:$U$495&lt;=10)*('CASE MASTER'!$W$2:$W$495&gt;=10)*('CASE MASTER'!$V$2:$V$495&lt;=7)*('CASE MASTER'!$X$2:$X$495&gt;=7))*ROW('CASE MASTER'!$T$2:$T$495))-(ROW('CASE MASTER'!#REF!)-1)))+1)+(7-INDEX('CASE MASTER'!$V$2:$V$495,(SUMPRODUCT((('CASE MASTER'!$T$2:$T$495=5)*('CASE MASTER'!$U$2:$U$495&lt;=10)*('CASE MASTER'!$W$2:$W$495&gt;=10)*('CASE MASTER'!$V$2:$V$495&lt;=7)*('CASE MASTER'!$X$2:$X$495&gt;=7))*ROW('CASE MASTER'!$T$2:$T$495))-(ROW('CASE MASTER'!#REF!)-1))))+1))-1)*50+1,50))&amp;"_"&amp;INDEX('CASE MASTER'!$Q$2:$Q$495,(SUMPRODUCT((('CASE MASTER'!$T$2:$T$495=5)*('CASE MASTER'!$U$2:$U$495&lt;=10)*('CASE MASTER'!$W$2:$W$495&gt;=10)*('CASE MASTER'!$V$2:$V$495&lt;=7)*('CASE MASTER'!$X$2:$X$495&gt;=7))*ROW('CASE MASTER'!$T$2:$T$495))-(ROW('CASE MASTER'!#REF!)-1))),IF(SUMPRODUCT((('CASE MASTER'!$T$2:$T$495=5)*('CASE MASTER'!$AA$2:$AA$495&lt;=10)*('CASE MASTER'!$AC$2:$AC$495&gt;=10)*('CASE MASTER'!$AB$2:$AB$495&lt;=7)*('CASE MASTER'!$AD$2:$AD$495&gt;=7))*ROW('CASE MASTER'!$T$2:$T$495))&gt;0,INDEX('CASE MASTER'!$Y$2:$Y$495,(SUMPRODUCT((('CASE MASTER'!$T$2:$T$495=5)*('CASE MASTER'!$AA$2:$AA$495&lt;=10)*('CASE MASTER'!$AC$2:$AC$495&gt;=10)*('CASE MASTER'!$AB$2:$AB$495&lt;=7)*('CASE MASTER'!$AD$2:$AD$495&gt;=7))*ROW('CASE MASTER'!$T$2:$T$495))-(ROW('CASE MASTER'!#REF!)-1)))&amp;TRIM(MID(SUBSTITUTE(SUBSTITUTE(INDEX('CASE MASTER'!$N$2:$N$495,(SUMPRODUCT((('CASE MASTER'!$T$2:$T$495=5)*('CASE MASTER'!$AA$2:$AA$495&lt;=10)*('CASE MASTER'!$AC$2:$AC$495&gt;=10)*('CASE MASTER'!$AB$2:$AB$495&lt;=7)*('CASE MASTER'!$AD$2:$AD$495&gt;=7))*ROW('CASE MASTER'!$T$2:$T$495))-(ROW('CASE MASTER'!#REF!)-1))),":",","),",",REPT(" ",50)),(((INDEX('CASE MASTER'!$Z$2:$Z$495,(SUMPRODUCT((('CASE MASTER'!$T$2:$T$495=5)*('CASE MASTER'!$AA$2:$AA$495&lt;=10)*('CASE MASTER'!$AC$2:$AC$495&gt;=10)*('CASE MASTER'!$AB$2:$AB$495&lt;=7)*('CASE MASTER'!$AD$2:$AD$495&gt;=7))*ROW('CASE MASTER'!$T$2:$T$495))-(ROW('CASE MASTER'!#REF!)-1)))+((10-INDEX('CASE MASTER'!$AA$2:$AA$495,(SUMPRODUCT((('CASE MASTER'!$T$2:$T$495=5)*('CASE MASTER'!$AA$2:$AA$495&lt;=10)*('CASE MASTER'!$AC$2:$AC$495&gt;=10)*('CASE MASTER'!$AB$2:$AB$495&lt;=7)*('CASE MASTER'!$AD$2:$AD$495&gt;=7))*ROW('CASE MASTER'!$T$2:$T$495))-(ROW('CASE MASTER'!#REF!)-1))))*(INDEX('CASE MASTER'!$AD$2:$AD$495,(SUMPRODUCT((('CASE MASTER'!$T$2:$T$495=5)*('CASE MASTER'!$AA$2:$AA$495&lt;=10)*('CASE MASTER'!$AC$2:$AC$495&gt;=10)*('CASE MASTER'!$AB$2:$AB$495&lt;=7)*('CASE MASTER'!$AD$2:$AD$495&gt;=7))*ROW('CASE MASTER'!$T$2:$T$495))-(ROW('CASE MASTER'!#REF!)-1)))-INDEX('CASE MASTER'!$AB$2:$AB$495,(SUMPRODUCT((('CASE MASTER'!$T$2:$T$495=5)*('CASE MASTER'!$AA$2:$AA$495&lt;=10)*('CASE MASTER'!$AC$2:$AC$495&gt;=10)*('CASE MASTER'!$AB$2:$AB$495&lt;=7)*('CASE MASTER'!$AD$2:$AD$495&gt;=7))*ROW('CASE MASTER'!$T$2:$T$495))-(ROW('CASE MASTER'!#REF!)-1)))+1)+(7-INDEX('CASE MASTER'!$AB$2:$AB$495,(SUMPRODUCT((('CASE MASTER'!$T$2:$T$495=5)*('CASE MASTER'!$AA$2:$AA$495&lt;=10)*('CASE MASTER'!$AC$2:$AC$495&gt;=10)*('CASE MASTER'!$AB$2:$AB$495&lt;=7)*('CASE MASTER'!$AD$2:$AD$495&gt;=7))*ROW('CASE MASTER'!$T$2:$T$495))-(ROW('CASE MASTER'!#REF!)-1))))+1)))-1)*50+1,50))&amp;"_"&amp;INDEX('CASE MASTER'!$Q$2:$Q$495,(SUMPRODUCT((('CASE MASTER'!$T$2:$T$495=5)*('CASE MASTER'!$AA$2:$AA$495&lt;=10)*('CASE MASTER'!$AC$2:$AC$495&gt;=10)*('CASE MASTER'!$AB$2:$AB$495&lt;=7)*('CASE MASTER'!$AD$2:$AD$495&gt;=7))*ROW('CASE MASTER'!$T$2:$T$495))-(ROW('CASE MASTER'!#REF!)-1))),"")),"")</f>
        <v/>
      </c>
      <c r="I68" s="10" t="str">
        <f>IFERROR(IF(SUMPRODUCT((('CASE MASTER'!$T$2:$T$495=5)*('CASE MASTER'!$U$2:$U$495&lt;=10)*('CASE MASTER'!$W$2:$W$495&gt;=10)*('CASE MASTER'!$V$2:$V$495&lt;=8)*('CASE MASTER'!$X$2:$X$495&gt;=8))*ROW('CASE MASTER'!$T$2:$T$495))&gt;0,INDEX('CASE MASTER'!$Y$2:$Y$495,(SUMPRODUCT((('CASE MASTER'!$T$2:$T$495=5)*('CASE MASTER'!$U$2:$U$495&lt;=10)*('CASE MASTER'!$W$2:$W$495&gt;=10)*('CASE MASTER'!$V$2:$V$495&lt;=8)*('CASE MASTER'!$X$2:$X$495&gt;=8))*ROW('CASE MASTER'!$T$2:$T$495))-(ROW('CASE MASTER'!#REF!)-1)))&amp;TRIM(MID(SUBSTITUTE(SUBSTITUTE(INDEX('CASE MASTER'!$N$2:$N$495,(SUMPRODUCT((('CASE MASTER'!$T$2:$T$495=5)*('CASE MASTER'!$U$2:$U$495&lt;=10)*('CASE MASTER'!$W$2:$W$495&gt;=10)*('CASE MASTER'!$V$2:$V$495&lt;=8)*('CASE MASTER'!$X$2:$X$495&gt;=8))*ROW('CASE MASTER'!$T$2:$T$495))-(ROW('CASE MASTER'!#REF!)-1))),":",","),",",REPT(" ",50)),((((10-INDEX('CASE MASTER'!$U$2:$U$495,(SUMPRODUCT((('CASE MASTER'!$T$2:$T$495=5)*('CASE MASTER'!$U$2:$U$495&lt;=10)*('CASE MASTER'!$W$2:$W$495&gt;=10)*('CASE MASTER'!$V$2:$V$495&lt;=8)*('CASE MASTER'!$X$2:$X$495&gt;=8))*ROW('CASE MASTER'!$T$2:$T$495))-(ROW('CASE MASTER'!#REF!)-1))))*(INDEX('CASE MASTER'!$X$2:$X$495,(SUMPRODUCT((('CASE MASTER'!$T$2:$T$495=5)*('CASE MASTER'!$U$2:$U$495&lt;=10)*('CASE MASTER'!$W$2:$W$495&gt;=10)*('CASE MASTER'!$V$2:$V$495&lt;=8)*('CASE MASTER'!$X$2:$X$495&gt;=8))*ROW('CASE MASTER'!$T$2:$T$495))-(ROW('CASE MASTER'!#REF!)-1)))-INDEX('CASE MASTER'!$V$2:$V$495,(SUMPRODUCT((('CASE MASTER'!$T$2:$T$495=5)*('CASE MASTER'!$U$2:$U$495&lt;=10)*('CASE MASTER'!$W$2:$W$495&gt;=10)*('CASE MASTER'!$V$2:$V$495&lt;=8)*('CASE MASTER'!$X$2:$X$495&gt;=8))*ROW('CASE MASTER'!$T$2:$T$495))-(ROW('CASE MASTER'!#REF!)-1)))+1)+(8-INDEX('CASE MASTER'!$V$2:$V$495,(SUMPRODUCT((('CASE MASTER'!$T$2:$T$495=5)*('CASE MASTER'!$U$2:$U$495&lt;=10)*('CASE MASTER'!$W$2:$W$495&gt;=10)*('CASE MASTER'!$V$2:$V$495&lt;=8)*('CASE MASTER'!$X$2:$X$495&gt;=8))*ROW('CASE MASTER'!$T$2:$T$495))-(ROW('CASE MASTER'!#REF!)-1))))+1))-1)*50+1,50))&amp;"_"&amp;INDEX('CASE MASTER'!$Q$2:$Q$495,(SUMPRODUCT((('CASE MASTER'!$T$2:$T$495=5)*('CASE MASTER'!$U$2:$U$495&lt;=10)*('CASE MASTER'!$W$2:$W$495&gt;=10)*('CASE MASTER'!$V$2:$V$495&lt;=8)*('CASE MASTER'!$X$2:$X$495&gt;=8))*ROW('CASE MASTER'!$T$2:$T$495))-(ROW('CASE MASTER'!#REF!)-1))),IF(SUMPRODUCT((('CASE MASTER'!$T$2:$T$495=5)*('CASE MASTER'!$AA$2:$AA$495&lt;=10)*('CASE MASTER'!$AC$2:$AC$495&gt;=10)*('CASE MASTER'!$AB$2:$AB$495&lt;=8)*('CASE MASTER'!$AD$2:$AD$495&gt;=8))*ROW('CASE MASTER'!$T$2:$T$495))&gt;0,INDEX('CASE MASTER'!$Y$2:$Y$495,(SUMPRODUCT((('CASE MASTER'!$T$2:$T$495=5)*('CASE MASTER'!$AA$2:$AA$495&lt;=10)*('CASE MASTER'!$AC$2:$AC$495&gt;=10)*('CASE MASTER'!$AB$2:$AB$495&lt;=8)*('CASE MASTER'!$AD$2:$AD$495&gt;=8))*ROW('CASE MASTER'!$T$2:$T$495))-(ROW('CASE MASTER'!#REF!)-1)))&amp;TRIM(MID(SUBSTITUTE(SUBSTITUTE(INDEX('CASE MASTER'!$N$2:$N$495,(SUMPRODUCT((('CASE MASTER'!$T$2:$T$495=5)*('CASE MASTER'!$AA$2:$AA$495&lt;=10)*('CASE MASTER'!$AC$2:$AC$495&gt;=10)*('CASE MASTER'!$AB$2:$AB$495&lt;=8)*('CASE MASTER'!$AD$2:$AD$495&gt;=8))*ROW('CASE MASTER'!$T$2:$T$495))-(ROW('CASE MASTER'!#REF!)-1))),":",","),",",REPT(" ",50)),(((INDEX('CASE MASTER'!$Z$2:$Z$495,(SUMPRODUCT((('CASE MASTER'!$T$2:$T$495=5)*('CASE MASTER'!$AA$2:$AA$495&lt;=10)*('CASE MASTER'!$AC$2:$AC$495&gt;=10)*('CASE MASTER'!$AB$2:$AB$495&lt;=8)*('CASE MASTER'!$AD$2:$AD$495&gt;=8))*ROW('CASE MASTER'!$T$2:$T$495))-(ROW('CASE MASTER'!#REF!)-1)))+((10-INDEX('CASE MASTER'!$AA$2:$AA$495,(SUMPRODUCT((('CASE MASTER'!$T$2:$T$495=5)*('CASE MASTER'!$AA$2:$AA$495&lt;=10)*('CASE MASTER'!$AC$2:$AC$495&gt;=10)*('CASE MASTER'!$AB$2:$AB$495&lt;=8)*('CASE MASTER'!$AD$2:$AD$495&gt;=8))*ROW('CASE MASTER'!$T$2:$T$495))-(ROW('CASE MASTER'!#REF!)-1))))*(INDEX('CASE MASTER'!$AD$2:$AD$495,(SUMPRODUCT((('CASE MASTER'!$T$2:$T$495=5)*('CASE MASTER'!$AA$2:$AA$495&lt;=10)*('CASE MASTER'!$AC$2:$AC$495&gt;=10)*('CASE MASTER'!$AB$2:$AB$495&lt;=8)*('CASE MASTER'!$AD$2:$AD$495&gt;=8))*ROW('CASE MASTER'!$T$2:$T$495))-(ROW('CASE MASTER'!#REF!)-1)))-INDEX('CASE MASTER'!$AB$2:$AB$495,(SUMPRODUCT((('CASE MASTER'!$T$2:$T$495=5)*('CASE MASTER'!$AA$2:$AA$495&lt;=10)*('CASE MASTER'!$AC$2:$AC$495&gt;=10)*('CASE MASTER'!$AB$2:$AB$495&lt;=8)*('CASE MASTER'!$AD$2:$AD$495&gt;=8))*ROW('CASE MASTER'!$T$2:$T$495))-(ROW('CASE MASTER'!#REF!)-1)))+1)+(8-INDEX('CASE MASTER'!$AB$2:$AB$495,(SUMPRODUCT((('CASE MASTER'!$T$2:$T$495=5)*('CASE MASTER'!$AA$2:$AA$495&lt;=10)*('CASE MASTER'!$AC$2:$AC$495&gt;=10)*('CASE MASTER'!$AB$2:$AB$495&lt;=8)*('CASE MASTER'!$AD$2:$AD$495&gt;=8))*ROW('CASE MASTER'!$T$2:$T$495))-(ROW('CASE MASTER'!#REF!)-1))))+1)))-1)*50+1,50))&amp;"_"&amp;INDEX('CASE MASTER'!$Q$2:$Q$495,(SUMPRODUCT((('CASE MASTER'!$T$2:$T$495=5)*('CASE MASTER'!$AA$2:$AA$495&lt;=10)*('CASE MASTER'!$AC$2:$AC$495&gt;=10)*('CASE MASTER'!$AB$2:$AB$495&lt;=8)*('CASE MASTER'!$AD$2:$AD$495&gt;=8))*ROW('CASE MASTER'!$T$2:$T$495))-(ROW('CASE MASTER'!#REF!)-1))),"")),"")</f>
        <v/>
      </c>
      <c r="J68" s="10" t="str">
        <f>IFERROR(IF(SUMPRODUCT((('CASE MASTER'!$T$2:$T$495=5)*('CASE MASTER'!$U$2:$U$495&lt;=10)*('CASE MASTER'!$W$2:$W$495&gt;=10)*('CASE MASTER'!$V$2:$V$495&lt;=9)*('CASE MASTER'!$X$2:$X$495&gt;=9))*ROW('CASE MASTER'!$T$2:$T$495))&gt;0,INDEX('CASE MASTER'!$Y$2:$Y$495,(SUMPRODUCT((('CASE MASTER'!$T$2:$T$495=5)*('CASE MASTER'!$U$2:$U$495&lt;=10)*('CASE MASTER'!$W$2:$W$495&gt;=10)*('CASE MASTER'!$V$2:$V$495&lt;=9)*('CASE MASTER'!$X$2:$X$495&gt;=9))*ROW('CASE MASTER'!$T$2:$T$495))-(ROW('CASE MASTER'!#REF!)-1)))&amp;TRIM(MID(SUBSTITUTE(SUBSTITUTE(INDEX('CASE MASTER'!$N$2:$N$495,(SUMPRODUCT((('CASE MASTER'!$T$2:$T$495=5)*('CASE MASTER'!$U$2:$U$495&lt;=10)*('CASE MASTER'!$W$2:$W$495&gt;=10)*('CASE MASTER'!$V$2:$V$495&lt;=9)*('CASE MASTER'!$X$2:$X$495&gt;=9))*ROW('CASE MASTER'!$T$2:$T$495))-(ROW('CASE MASTER'!#REF!)-1))),":",","),",",REPT(" ",50)),((((10-INDEX('CASE MASTER'!$U$2:$U$495,(SUMPRODUCT((('CASE MASTER'!$T$2:$T$495=5)*('CASE MASTER'!$U$2:$U$495&lt;=10)*('CASE MASTER'!$W$2:$W$495&gt;=10)*('CASE MASTER'!$V$2:$V$495&lt;=9)*('CASE MASTER'!$X$2:$X$495&gt;=9))*ROW('CASE MASTER'!$T$2:$T$495))-(ROW('CASE MASTER'!#REF!)-1))))*(INDEX('CASE MASTER'!$X$2:$X$495,(SUMPRODUCT((('CASE MASTER'!$T$2:$T$495=5)*('CASE MASTER'!$U$2:$U$495&lt;=10)*('CASE MASTER'!$W$2:$W$495&gt;=10)*('CASE MASTER'!$V$2:$V$495&lt;=9)*('CASE MASTER'!$X$2:$X$495&gt;=9))*ROW('CASE MASTER'!$T$2:$T$495))-(ROW('CASE MASTER'!#REF!)-1)))-INDEX('CASE MASTER'!$V$2:$V$495,(SUMPRODUCT((('CASE MASTER'!$T$2:$T$495=5)*('CASE MASTER'!$U$2:$U$495&lt;=10)*('CASE MASTER'!$W$2:$W$495&gt;=10)*('CASE MASTER'!$V$2:$V$495&lt;=9)*('CASE MASTER'!$X$2:$X$495&gt;=9))*ROW('CASE MASTER'!$T$2:$T$495))-(ROW('CASE MASTER'!#REF!)-1)))+1)+(9-INDEX('CASE MASTER'!$V$2:$V$495,(SUMPRODUCT((('CASE MASTER'!$T$2:$T$495=5)*('CASE MASTER'!$U$2:$U$495&lt;=10)*('CASE MASTER'!$W$2:$W$495&gt;=10)*('CASE MASTER'!$V$2:$V$495&lt;=9)*('CASE MASTER'!$X$2:$X$495&gt;=9))*ROW('CASE MASTER'!$T$2:$T$495))-(ROW('CASE MASTER'!#REF!)-1))))+1))-1)*50+1,50))&amp;"_"&amp;INDEX('CASE MASTER'!$Q$2:$Q$495,(SUMPRODUCT((('CASE MASTER'!$T$2:$T$495=5)*('CASE MASTER'!$U$2:$U$495&lt;=10)*('CASE MASTER'!$W$2:$W$495&gt;=10)*('CASE MASTER'!$V$2:$V$495&lt;=9)*('CASE MASTER'!$X$2:$X$495&gt;=9))*ROW('CASE MASTER'!$T$2:$T$495))-(ROW('CASE MASTER'!#REF!)-1))),IF(SUMPRODUCT((('CASE MASTER'!$T$2:$T$495=5)*('CASE MASTER'!$AA$2:$AA$495&lt;=10)*('CASE MASTER'!$AC$2:$AC$495&gt;=10)*('CASE MASTER'!$AB$2:$AB$495&lt;=9)*('CASE MASTER'!$AD$2:$AD$495&gt;=9))*ROW('CASE MASTER'!$T$2:$T$495))&gt;0,INDEX('CASE MASTER'!$Y$2:$Y$495,(SUMPRODUCT((('CASE MASTER'!$T$2:$T$495=5)*('CASE MASTER'!$AA$2:$AA$495&lt;=10)*('CASE MASTER'!$AC$2:$AC$495&gt;=10)*('CASE MASTER'!$AB$2:$AB$495&lt;=9)*('CASE MASTER'!$AD$2:$AD$495&gt;=9))*ROW('CASE MASTER'!$T$2:$T$495))-(ROW('CASE MASTER'!#REF!)-1)))&amp;TRIM(MID(SUBSTITUTE(SUBSTITUTE(INDEX('CASE MASTER'!$N$2:$N$495,(SUMPRODUCT((('CASE MASTER'!$T$2:$T$495=5)*('CASE MASTER'!$AA$2:$AA$495&lt;=10)*('CASE MASTER'!$AC$2:$AC$495&gt;=10)*('CASE MASTER'!$AB$2:$AB$495&lt;=9)*('CASE MASTER'!$AD$2:$AD$495&gt;=9))*ROW('CASE MASTER'!$T$2:$T$495))-(ROW('CASE MASTER'!#REF!)-1))),":",","),",",REPT(" ",50)),(((INDEX('CASE MASTER'!$Z$2:$Z$495,(SUMPRODUCT((('CASE MASTER'!$T$2:$T$495=5)*('CASE MASTER'!$AA$2:$AA$495&lt;=10)*('CASE MASTER'!$AC$2:$AC$495&gt;=10)*('CASE MASTER'!$AB$2:$AB$495&lt;=9)*('CASE MASTER'!$AD$2:$AD$495&gt;=9))*ROW('CASE MASTER'!$T$2:$T$495))-(ROW('CASE MASTER'!#REF!)-1)))+((10-INDEX('CASE MASTER'!$AA$2:$AA$495,(SUMPRODUCT((('CASE MASTER'!$T$2:$T$495=5)*('CASE MASTER'!$AA$2:$AA$495&lt;=10)*('CASE MASTER'!$AC$2:$AC$495&gt;=10)*('CASE MASTER'!$AB$2:$AB$495&lt;=9)*('CASE MASTER'!$AD$2:$AD$495&gt;=9))*ROW('CASE MASTER'!$T$2:$T$495))-(ROW('CASE MASTER'!#REF!)-1))))*(INDEX('CASE MASTER'!$AD$2:$AD$495,(SUMPRODUCT((('CASE MASTER'!$T$2:$T$495=5)*('CASE MASTER'!$AA$2:$AA$495&lt;=10)*('CASE MASTER'!$AC$2:$AC$495&gt;=10)*('CASE MASTER'!$AB$2:$AB$495&lt;=9)*('CASE MASTER'!$AD$2:$AD$495&gt;=9))*ROW('CASE MASTER'!$T$2:$T$495))-(ROW('CASE MASTER'!#REF!)-1)))-INDEX('CASE MASTER'!$AB$2:$AB$495,(SUMPRODUCT((('CASE MASTER'!$T$2:$T$495=5)*('CASE MASTER'!$AA$2:$AA$495&lt;=10)*('CASE MASTER'!$AC$2:$AC$495&gt;=10)*('CASE MASTER'!$AB$2:$AB$495&lt;=9)*('CASE MASTER'!$AD$2:$AD$495&gt;=9))*ROW('CASE MASTER'!$T$2:$T$495))-(ROW('CASE MASTER'!#REF!)-1)))+1)+(9-INDEX('CASE MASTER'!$AB$2:$AB$495,(SUMPRODUCT((('CASE MASTER'!$T$2:$T$495=5)*('CASE MASTER'!$AA$2:$AA$495&lt;=10)*('CASE MASTER'!$AC$2:$AC$495&gt;=10)*('CASE MASTER'!$AB$2:$AB$495&lt;=9)*('CASE MASTER'!$AD$2:$AD$495&gt;=9))*ROW('CASE MASTER'!$T$2:$T$495))-(ROW('CASE MASTER'!#REF!)-1))))+1)))-1)*50+1,50))&amp;"_"&amp;INDEX('CASE MASTER'!$Q$2:$Q$495,(SUMPRODUCT((('CASE MASTER'!$T$2:$T$495=5)*('CASE MASTER'!$AA$2:$AA$495&lt;=10)*('CASE MASTER'!$AC$2:$AC$495&gt;=10)*('CASE MASTER'!$AB$2:$AB$495&lt;=9)*('CASE MASTER'!$AD$2:$AD$495&gt;=9))*ROW('CASE MASTER'!$T$2:$T$495))-(ROW('CASE MASTER'!#REF!)-1))),"")),"")</f>
        <v/>
      </c>
      <c r="K68" s="10" t="str">
        <f>IFERROR(IF(SUMPRODUCT((('CASE MASTER'!$T$2:$T$495=5)*('CASE MASTER'!$U$2:$U$495&lt;=10)*('CASE MASTER'!$W$2:$W$495&gt;=10)*('CASE MASTER'!$V$2:$V$495&lt;=10)*('CASE MASTER'!$X$2:$X$495&gt;=10))*ROW('CASE MASTER'!$T$2:$T$495))&gt;0,INDEX('CASE MASTER'!$Y$2:$Y$495,(SUMPRODUCT((('CASE MASTER'!$T$2:$T$495=5)*('CASE MASTER'!$U$2:$U$495&lt;=10)*('CASE MASTER'!$W$2:$W$495&gt;=10)*('CASE MASTER'!$V$2:$V$495&lt;=10)*('CASE MASTER'!$X$2:$X$495&gt;=10))*ROW('CASE MASTER'!$T$2:$T$495))-(ROW('CASE MASTER'!#REF!)-1)))&amp;TRIM(MID(SUBSTITUTE(SUBSTITUTE(INDEX('CASE MASTER'!$N$2:$N$495,(SUMPRODUCT((('CASE MASTER'!$T$2:$T$495=5)*('CASE MASTER'!$U$2:$U$495&lt;=10)*('CASE MASTER'!$W$2:$W$495&gt;=10)*('CASE MASTER'!$V$2:$V$495&lt;=10)*('CASE MASTER'!$X$2:$X$495&gt;=10))*ROW('CASE MASTER'!$T$2:$T$495))-(ROW('CASE MASTER'!#REF!)-1))),":",","),",",REPT(" ",50)),((((10-INDEX('CASE MASTER'!$U$2:$U$495,(SUMPRODUCT((('CASE MASTER'!$T$2:$T$495=5)*('CASE MASTER'!$U$2:$U$495&lt;=10)*('CASE MASTER'!$W$2:$W$495&gt;=10)*('CASE MASTER'!$V$2:$V$495&lt;=10)*('CASE MASTER'!$X$2:$X$495&gt;=10))*ROW('CASE MASTER'!$T$2:$T$495))-(ROW('CASE MASTER'!#REF!)-1))))*(INDEX('CASE MASTER'!$X$2:$X$495,(SUMPRODUCT((('CASE MASTER'!$T$2:$T$495=5)*('CASE MASTER'!$U$2:$U$495&lt;=10)*('CASE MASTER'!$W$2:$W$495&gt;=10)*('CASE MASTER'!$V$2:$V$495&lt;=10)*('CASE MASTER'!$X$2:$X$495&gt;=10))*ROW('CASE MASTER'!$T$2:$T$495))-(ROW('CASE MASTER'!#REF!)-1)))-INDEX('CASE MASTER'!$V$2:$V$495,(SUMPRODUCT((('CASE MASTER'!$T$2:$T$495=5)*('CASE MASTER'!$U$2:$U$495&lt;=10)*('CASE MASTER'!$W$2:$W$495&gt;=10)*('CASE MASTER'!$V$2:$V$495&lt;=10)*('CASE MASTER'!$X$2:$X$495&gt;=10))*ROW('CASE MASTER'!$T$2:$T$495))-(ROW('CASE MASTER'!#REF!)-1)))+1)+(10-INDEX('CASE MASTER'!$V$2:$V$495,(SUMPRODUCT((('CASE MASTER'!$T$2:$T$495=5)*('CASE MASTER'!$U$2:$U$495&lt;=10)*('CASE MASTER'!$W$2:$W$495&gt;=10)*('CASE MASTER'!$V$2:$V$495&lt;=10)*('CASE MASTER'!$X$2:$X$495&gt;=10))*ROW('CASE MASTER'!$T$2:$T$495))-(ROW('CASE MASTER'!#REF!)-1))))+1))-1)*50+1,50))&amp;"_"&amp;INDEX('CASE MASTER'!$Q$2:$Q$495,(SUMPRODUCT((('CASE MASTER'!$T$2:$T$495=5)*('CASE MASTER'!$U$2:$U$495&lt;=10)*('CASE MASTER'!$W$2:$W$495&gt;=10)*('CASE MASTER'!$V$2:$V$495&lt;=10)*('CASE MASTER'!$X$2:$X$495&gt;=10))*ROW('CASE MASTER'!$T$2:$T$495))-(ROW('CASE MASTER'!#REF!)-1))),IF(SUMPRODUCT((('CASE MASTER'!$T$2:$T$495=5)*('CASE MASTER'!$AA$2:$AA$495&lt;=10)*('CASE MASTER'!$AC$2:$AC$495&gt;=10)*('CASE MASTER'!$AB$2:$AB$495&lt;=10)*('CASE MASTER'!$AD$2:$AD$495&gt;=10))*ROW('CASE MASTER'!$T$2:$T$495))&gt;0,INDEX('CASE MASTER'!$Y$2:$Y$495,(SUMPRODUCT((('CASE MASTER'!$T$2:$T$495=5)*('CASE MASTER'!$AA$2:$AA$495&lt;=10)*('CASE MASTER'!$AC$2:$AC$495&gt;=10)*('CASE MASTER'!$AB$2:$AB$495&lt;=10)*('CASE MASTER'!$AD$2:$AD$495&gt;=10))*ROW('CASE MASTER'!$T$2:$T$495))-(ROW('CASE MASTER'!#REF!)-1)))&amp;TRIM(MID(SUBSTITUTE(SUBSTITUTE(INDEX('CASE MASTER'!$N$2:$N$495,(SUMPRODUCT((('CASE MASTER'!$T$2:$T$495=5)*('CASE MASTER'!$AA$2:$AA$495&lt;=10)*('CASE MASTER'!$AC$2:$AC$495&gt;=10)*('CASE MASTER'!$AB$2:$AB$495&lt;=10)*('CASE MASTER'!$AD$2:$AD$495&gt;=10))*ROW('CASE MASTER'!$T$2:$T$495))-(ROW('CASE MASTER'!#REF!)-1))),":",","),",",REPT(" ",50)),(((INDEX('CASE MASTER'!$Z$2:$Z$495,(SUMPRODUCT((('CASE MASTER'!$T$2:$T$495=5)*('CASE MASTER'!$AA$2:$AA$495&lt;=10)*('CASE MASTER'!$AC$2:$AC$495&gt;=10)*('CASE MASTER'!$AB$2:$AB$495&lt;=10)*('CASE MASTER'!$AD$2:$AD$495&gt;=10))*ROW('CASE MASTER'!$T$2:$T$495))-(ROW('CASE MASTER'!#REF!)-1)))+((10-INDEX('CASE MASTER'!$AA$2:$AA$495,(SUMPRODUCT((('CASE MASTER'!$T$2:$T$495=5)*('CASE MASTER'!$AA$2:$AA$495&lt;=10)*('CASE MASTER'!$AC$2:$AC$495&gt;=10)*('CASE MASTER'!$AB$2:$AB$495&lt;=10)*('CASE MASTER'!$AD$2:$AD$495&gt;=10))*ROW('CASE MASTER'!$T$2:$T$495))-(ROW('CASE MASTER'!#REF!)-1))))*(INDEX('CASE MASTER'!$AD$2:$AD$495,(SUMPRODUCT((('CASE MASTER'!$T$2:$T$495=5)*('CASE MASTER'!$AA$2:$AA$495&lt;=10)*('CASE MASTER'!$AC$2:$AC$495&gt;=10)*('CASE MASTER'!$AB$2:$AB$495&lt;=10)*('CASE MASTER'!$AD$2:$AD$495&gt;=10))*ROW('CASE MASTER'!$T$2:$T$495))-(ROW('CASE MASTER'!#REF!)-1)))-INDEX('CASE MASTER'!$AB$2:$AB$495,(SUMPRODUCT((('CASE MASTER'!$T$2:$T$495=5)*('CASE MASTER'!$AA$2:$AA$495&lt;=10)*('CASE MASTER'!$AC$2:$AC$495&gt;=10)*('CASE MASTER'!$AB$2:$AB$495&lt;=10)*('CASE MASTER'!$AD$2:$AD$495&gt;=10))*ROW('CASE MASTER'!$T$2:$T$495))-(ROW('CASE MASTER'!#REF!)-1)))+1)+(10-INDEX('CASE MASTER'!$AB$2:$AB$495,(SUMPRODUCT((('CASE MASTER'!$T$2:$T$495=5)*('CASE MASTER'!$AA$2:$AA$495&lt;=10)*('CASE MASTER'!$AC$2:$AC$495&gt;=10)*('CASE MASTER'!$AB$2:$AB$495&lt;=10)*('CASE MASTER'!$AD$2:$AD$495&gt;=10))*ROW('CASE MASTER'!$T$2:$T$495))-(ROW('CASE MASTER'!#REF!)-1))))+1)))-1)*50+1,50))&amp;"_"&amp;INDEX('CASE MASTER'!$Q$2:$Q$495,(SUMPRODUCT((('CASE MASTER'!$T$2:$T$495=5)*('CASE MASTER'!$AA$2:$AA$495&lt;=10)*('CASE MASTER'!$AC$2:$AC$495&gt;=10)*('CASE MASTER'!$AB$2:$AB$495&lt;=10)*('CASE MASTER'!$AD$2:$AD$495&gt;=10))*ROW('CASE MASTER'!$T$2:$T$495))-(ROW('CASE MASTER'!#REF!)-1))),"")),"")</f>
        <v/>
      </c>
    </row>
    <row r="71" spans="1:11" ht="15" customHeight="1" x14ac:dyDescent="0.35">
      <c r="A71" s="12" t="s">
        <v>87</v>
      </c>
      <c r="B71" s="13"/>
      <c r="C71" s="13"/>
      <c r="D71" s="13"/>
      <c r="E71" s="13"/>
      <c r="F71" s="13"/>
      <c r="G71" s="13"/>
      <c r="H71" s="13"/>
      <c r="I71" s="13"/>
      <c r="J71" s="13"/>
      <c r="K71" s="13"/>
    </row>
    <row r="72" spans="1:11" ht="15" customHeight="1" x14ac:dyDescent="0.35">
      <c r="B72" s="8">
        <v>1</v>
      </c>
      <c r="C72" s="8">
        <v>2</v>
      </c>
      <c r="D72" s="8">
        <v>3</v>
      </c>
      <c r="E72" s="8">
        <v>4</v>
      </c>
      <c r="F72" s="8">
        <v>5</v>
      </c>
      <c r="G72" s="8">
        <v>6</v>
      </c>
      <c r="H72" s="8">
        <v>7</v>
      </c>
      <c r="I72" s="8">
        <v>8</v>
      </c>
      <c r="J72" s="8">
        <v>9</v>
      </c>
      <c r="K72" s="8">
        <v>10</v>
      </c>
    </row>
    <row r="73" spans="1:11" ht="15" customHeight="1" x14ac:dyDescent="0.35">
      <c r="A73" s="8" t="s">
        <v>28</v>
      </c>
      <c r="B73" s="10" t="str">
        <f>IFERROR(IF(SUMPRODUCT((('CASE MASTER'!$T$2:$T$495=6)*('CASE MASTER'!$U$2:$U$495&lt;=1)*('CASE MASTER'!$W$2:$W$495&gt;=1)*('CASE MASTER'!$V$2:$V$495&lt;=1)*('CASE MASTER'!$X$2:$X$495&gt;=1))*ROW('CASE MASTER'!$T$2:$T$495))&gt;0,INDEX('CASE MASTER'!$Y$2:$Y$495,(SUMPRODUCT((('CASE MASTER'!$T$2:$T$495=6)*('CASE MASTER'!$U$2:$U$495&lt;=1)*('CASE MASTER'!$W$2:$W$495&gt;=1)*('CASE MASTER'!$V$2:$V$495&lt;=1)*('CASE MASTER'!$X$2:$X$495&gt;=1))*ROW('CASE MASTER'!$T$2:$T$495))-(ROW('CASE MASTER'!#REF!)-1)))&amp;TRIM(MID(SUBSTITUTE(SUBSTITUTE(INDEX('CASE MASTER'!$N$2:$N$495,(SUMPRODUCT((('CASE MASTER'!$T$2:$T$495=6)*('CASE MASTER'!$U$2:$U$495&lt;=1)*('CASE MASTER'!$W$2:$W$495&gt;=1)*('CASE MASTER'!$V$2:$V$495&lt;=1)*('CASE MASTER'!$X$2:$X$495&gt;=1))*ROW('CASE MASTER'!$T$2:$T$495))-(ROW('CASE MASTER'!#REF!)-1))),":",","),",",REPT(" ",50)),((((1-INDEX('CASE MASTER'!$U$2:$U$495,(SUMPRODUCT((('CASE MASTER'!$T$2:$T$495=6)*('CASE MASTER'!$U$2:$U$495&lt;=1)*('CASE MASTER'!$W$2:$W$495&gt;=1)*('CASE MASTER'!$V$2:$V$495&lt;=1)*('CASE MASTER'!$X$2:$X$495&gt;=1))*ROW('CASE MASTER'!$T$2:$T$495))-(ROW('CASE MASTER'!#REF!)-1))))*(INDEX('CASE MASTER'!$X$2:$X$495,(SUMPRODUCT((('CASE MASTER'!$T$2:$T$495=6)*('CASE MASTER'!$U$2:$U$495&lt;=1)*('CASE MASTER'!$W$2:$W$495&gt;=1)*('CASE MASTER'!$V$2:$V$495&lt;=1)*('CASE MASTER'!$X$2:$X$495&gt;=1))*ROW('CASE MASTER'!$T$2:$T$495))-(ROW('CASE MASTER'!#REF!)-1)))-INDEX('CASE MASTER'!$V$2:$V$495,(SUMPRODUCT((('CASE MASTER'!$T$2:$T$495=6)*('CASE MASTER'!$U$2:$U$495&lt;=1)*('CASE MASTER'!$W$2:$W$495&gt;=1)*('CASE MASTER'!$V$2:$V$495&lt;=1)*('CASE MASTER'!$X$2:$X$495&gt;=1))*ROW('CASE MASTER'!$T$2:$T$495))-(ROW('CASE MASTER'!#REF!)-1)))+1)+(1-INDEX('CASE MASTER'!$V$2:$V$495,(SUMPRODUCT((('CASE MASTER'!$T$2:$T$495=6)*('CASE MASTER'!$U$2:$U$495&lt;=1)*('CASE MASTER'!$W$2:$W$495&gt;=1)*('CASE MASTER'!$V$2:$V$495&lt;=1)*('CASE MASTER'!$X$2:$X$495&gt;=1))*ROW('CASE MASTER'!$T$2:$T$495))-(ROW('CASE MASTER'!#REF!)-1))))+1))-1)*50+1,50))&amp;"_"&amp;INDEX('CASE MASTER'!$Q$2:$Q$495,(SUMPRODUCT((('CASE MASTER'!$T$2:$T$495=6)*('CASE MASTER'!$U$2:$U$495&lt;=1)*('CASE MASTER'!$W$2:$W$495&gt;=1)*('CASE MASTER'!$V$2:$V$495&lt;=1)*('CASE MASTER'!$X$2:$X$495&gt;=1))*ROW('CASE MASTER'!$T$2:$T$495))-(ROW('CASE MASTER'!#REF!)-1))),IF(SUMPRODUCT((('CASE MASTER'!$T$2:$T$495=6)*('CASE MASTER'!$AA$2:$AA$495&lt;=1)*('CASE MASTER'!$AC$2:$AC$495&gt;=1)*('CASE MASTER'!$AB$2:$AB$495&lt;=1)*('CASE MASTER'!$AD$2:$AD$495&gt;=1))*ROW('CASE MASTER'!$T$2:$T$495))&gt;0,INDEX('CASE MASTER'!$Y$2:$Y$495,(SUMPRODUCT((('CASE MASTER'!$T$2:$T$495=6)*('CASE MASTER'!$AA$2:$AA$495&lt;=1)*('CASE MASTER'!$AC$2:$AC$495&gt;=1)*('CASE MASTER'!$AB$2:$AB$495&lt;=1)*('CASE MASTER'!$AD$2:$AD$495&gt;=1))*ROW('CASE MASTER'!$T$2:$T$495))-(ROW('CASE MASTER'!#REF!)-1)))&amp;TRIM(MID(SUBSTITUTE(SUBSTITUTE(INDEX('CASE MASTER'!$N$2:$N$495,(SUMPRODUCT((('CASE MASTER'!$T$2:$T$495=6)*('CASE MASTER'!$AA$2:$AA$495&lt;=1)*('CASE MASTER'!$AC$2:$AC$495&gt;=1)*('CASE MASTER'!$AB$2:$AB$495&lt;=1)*('CASE MASTER'!$AD$2:$AD$495&gt;=1))*ROW('CASE MASTER'!$T$2:$T$495))-(ROW('CASE MASTER'!#REF!)-1))),":",","),",",REPT(" ",50)),(((INDEX('CASE MASTER'!$Z$2:$Z$495,(SUMPRODUCT((('CASE MASTER'!$T$2:$T$495=6)*('CASE MASTER'!$AA$2:$AA$495&lt;=1)*('CASE MASTER'!$AC$2:$AC$495&gt;=1)*('CASE MASTER'!$AB$2:$AB$495&lt;=1)*('CASE MASTER'!$AD$2:$AD$495&gt;=1))*ROW('CASE MASTER'!$T$2:$T$495))-(ROW('CASE MASTER'!#REF!)-1)))+((1-INDEX('CASE MASTER'!$AA$2:$AA$495,(SUMPRODUCT((('CASE MASTER'!$T$2:$T$495=6)*('CASE MASTER'!$AA$2:$AA$495&lt;=1)*('CASE MASTER'!$AC$2:$AC$495&gt;=1)*('CASE MASTER'!$AB$2:$AB$495&lt;=1)*('CASE MASTER'!$AD$2:$AD$495&gt;=1))*ROW('CASE MASTER'!$T$2:$T$495))-(ROW('CASE MASTER'!#REF!)-1))))*(INDEX('CASE MASTER'!$AD$2:$AD$495,(SUMPRODUCT((('CASE MASTER'!$T$2:$T$495=6)*('CASE MASTER'!$AA$2:$AA$495&lt;=1)*('CASE MASTER'!$AC$2:$AC$495&gt;=1)*('CASE MASTER'!$AB$2:$AB$495&lt;=1)*('CASE MASTER'!$AD$2:$AD$495&gt;=1))*ROW('CASE MASTER'!$T$2:$T$495))-(ROW('CASE MASTER'!#REF!)-1)))-INDEX('CASE MASTER'!$AB$2:$AB$495,(SUMPRODUCT((('CASE MASTER'!$T$2:$T$495=6)*('CASE MASTER'!$AA$2:$AA$495&lt;=1)*('CASE MASTER'!$AC$2:$AC$495&gt;=1)*('CASE MASTER'!$AB$2:$AB$495&lt;=1)*('CASE MASTER'!$AD$2:$AD$495&gt;=1))*ROW('CASE MASTER'!$T$2:$T$495))-(ROW('CASE MASTER'!#REF!)-1)))+1)+(1-INDEX('CASE MASTER'!$AB$2:$AB$495,(SUMPRODUCT((('CASE MASTER'!$T$2:$T$495=6)*('CASE MASTER'!$AA$2:$AA$495&lt;=1)*('CASE MASTER'!$AC$2:$AC$495&gt;=1)*('CASE MASTER'!$AB$2:$AB$495&lt;=1)*('CASE MASTER'!$AD$2:$AD$495&gt;=1))*ROW('CASE MASTER'!$T$2:$T$495))-(ROW('CASE MASTER'!#REF!)-1))))+1)))-1)*50+1,50))&amp;"_"&amp;INDEX('CASE MASTER'!$Q$2:$Q$495,(SUMPRODUCT((('CASE MASTER'!$T$2:$T$495=6)*('CASE MASTER'!$AA$2:$AA$495&lt;=1)*('CASE MASTER'!$AC$2:$AC$495&gt;=1)*('CASE MASTER'!$AB$2:$AB$495&lt;=1)*('CASE MASTER'!$AD$2:$AD$495&gt;=1))*ROW('CASE MASTER'!$T$2:$T$495))-(ROW('CASE MASTER'!#REF!)-1))),"")),"")</f>
        <v/>
      </c>
      <c r="C73" s="10" t="str">
        <f>IFERROR(IF(SUMPRODUCT((('CASE MASTER'!$T$2:$T$495=6)*('CASE MASTER'!$U$2:$U$495&lt;=1)*('CASE MASTER'!$W$2:$W$495&gt;=1)*('CASE MASTER'!$V$2:$V$495&lt;=2)*('CASE MASTER'!$X$2:$X$495&gt;=2))*ROW('CASE MASTER'!$T$2:$T$495))&gt;0,INDEX('CASE MASTER'!$Y$2:$Y$495,(SUMPRODUCT((('CASE MASTER'!$T$2:$T$495=6)*('CASE MASTER'!$U$2:$U$495&lt;=1)*('CASE MASTER'!$W$2:$W$495&gt;=1)*('CASE MASTER'!$V$2:$V$495&lt;=2)*('CASE MASTER'!$X$2:$X$495&gt;=2))*ROW('CASE MASTER'!$T$2:$T$495))-(ROW('CASE MASTER'!#REF!)-1)))&amp;TRIM(MID(SUBSTITUTE(SUBSTITUTE(INDEX('CASE MASTER'!$N$2:$N$495,(SUMPRODUCT((('CASE MASTER'!$T$2:$T$495=6)*('CASE MASTER'!$U$2:$U$495&lt;=1)*('CASE MASTER'!$W$2:$W$495&gt;=1)*('CASE MASTER'!$V$2:$V$495&lt;=2)*('CASE MASTER'!$X$2:$X$495&gt;=2))*ROW('CASE MASTER'!$T$2:$T$495))-(ROW('CASE MASTER'!#REF!)-1))),":",","),",",REPT(" ",50)),((((1-INDEX('CASE MASTER'!$U$2:$U$495,(SUMPRODUCT((('CASE MASTER'!$T$2:$T$495=6)*('CASE MASTER'!$U$2:$U$495&lt;=1)*('CASE MASTER'!$W$2:$W$495&gt;=1)*('CASE MASTER'!$V$2:$V$495&lt;=2)*('CASE MASTER'!$X$2:$X$495&gt;=2))*ROW('CASE MASTER'!$T$2:$T$495))-(ROW('CASE MASTER'!#REF!)-1))))*(INDEX('CASE MASTER'!$X$2:$X$495,(SUMPRODUCT((('CASE MASTER'!$T$2:$T$495=6)*('CASE MASTER'!$U$2:$U$495&lt;=1)*('CASE MASTER'!$W$2:$W$495&gt;=1)*('CASE MASTER'!$V$2:$V$495&lt;=2)*('CASE MASTER'!$X$2:$X$495&gt;=2))*ROW('CASE MASTER'!$T$2:$T$495))-(ROW('CASE MASTER'!#REF!)-1)))-INDEX('CASE MASTER'!$V$2:$V$495,(SUMPRODUCT((('CASE MASTER'!$T$2:$T$495=6)*('CASE MASTER'!$U$2:$U$495&lt;=1)*('CASE MASTER'!$W$2:$W$495&gt;=1)*('CASE MASTER'!$V$2:$V$495&lt;=2)*('CASE MASTER'!$X$2:$X$495&gt;=2))*ROW('CASE MASTER'!$T$2:$T$495))-(ROW('CASE MASTER'!#REF!)-1)))+1)+(2-INDEX('CASE MASTER'!$V$2:$V$495,(SUMPRODUCT((('CASE MASTER'!$T$2:$T$495=6)*('CASE MASTER'!$U$2:$U$495&lt;=1)*('CASE MASTER'!$W$2:$W$495&gt;=1)*('CASE MASTER'!$V$2:$V$495&lt;=2)*('CASE MASTER'!$X$2:$X$495&gt;=2))*ROW('CASE MASTER'!$T$2:$T$495))-(ROW('CASE MASTER'!#REF!)-1))))+1))-1)*50+1,50))&amp;"_"&amp;INDEX('CASE MASTER'!$Q$2:$Q$495,(SUMPRODUCT((('CASE MASTER'!$T$2:$T$495=6)*('CASE MASTER'!$U$2:$U$495&lt;=1)*('CASE MASTER'!$W$2:$W$495&gt;=1)*('CASE MASTER'!$V$2:$V$495&lt;=2)*('CASE MASTER'!$X$2:$X$495&gt;=2))*ROW('CASE MASTER'!$T$2:$T$495))-(ROW('CASE MASTER'!#REF!)-1))),IF(SUMPRODUCT((('CASE MASTER'!$T$2:$T$495=6)*('CASE MASTER'!$AA$2:$AA$495&lt;=1)*('CASE MASTER'!$AC$2:$AC$495&gt;=1)*('CASE MASTER'!$AB$2:$AB$495&lt;=2)*('CASE MASTER'!$AD$2:$AD$495&gt;=2))*ROW('CASE MASTER'!$T$2:$T$495))&gt;0,INDEX('CASE MASTER'!$Y$2:$Y$495,(SUMPRODUCT((('CASE MASTER'!$T$2:$T$495=6)*('CASE MASTER'!$AA$2:$AA$495&lt;=1)*('CASE MASTER'!$AC$2:$AC$495&gt;=1)*('CASE MASTER'!$AB$2:$AB$495&lt;=2)*('CASE MASTER'!$AD$2:$AD$495&gt;=2))*ROW('CASE MASTER'!$T$2:$T$495))-(ROW('CASE MASTER'!#REF!)-1)))&amp;TRIM(MID(SUBSTITUTE(SUBSTITUTE(INDEX('CASE MASTER'!$N$2:$N$495,(SUMPRODUCT((('CASE MASTER'!$T$2:$T$495=6)*('CASE MASTER'!$AA$2:$AA$495&lt;=1)*('CASE MASTER'!$AC$2:$AC$495&gt;=1)*('CASE MASTER'!$AB$2:$AB$495&lt;=2)*('CASE MASTER'!$AD$2:$AD$495&gt;=2))*ROW('CASE MASTER'!$T$2:$T$495))-(ROW('CASE MASTER'!#REF!)-1))),":",","),",",REPT(" ",50)),(((INDEX('CASE MASTER'!$Z$2:$Z$495,(SUMPRODUCT((('CASE MASTER'!$T$2:$T$495=6)*('CASE MASTER'!$AA$2:$AA$495&lt;=1)*('CASE MASTER'!$AC$2:$AC$495&gt;=1)*('CASE MASTER'!$AB$2:$AB$495&lt;=2)*('CASE MASTER'!$AD$2:$AD$495&gt;=2))*ROW('CASE MASTER'!$T$2:$T$495))-(ROW('CASE MASTER'!#REF!)-1)))+((1-INDEX('CASE MASTER'!$AA$2:$AA$495,(SUMPRODUCT((('CASE MASTER'!$T$2:$T$495=6)*('CASE MASTER'!$AA$2:$AA$495&lt;=1)*('CASE MASTER'!$AC$2:$AC$495&gt;=1)*('CASE MASTER'!$AB$2:$AB$495&lt;=2)*('CASE MASTER'!$AD$2:$AD$495&gt;=2))*ROW('CASE MASTER'!$T$2:$T$495))-(ROW('CASE MASTER'!#REF!)-1))))*(INDEX('CASE MASTER'!$AD$2:$AD$495,(SUMPRODUCT((('CASE MASTER'!$T$2:$T$495=6)*('CASE MASTER'!$AA$2:$AA$495&lt;=1)*('CASE MASTER'!$AC$2:$AC$495&gt;=1)*('CASE MASTER'!$AB$2:$AB$495&lt;=2)*('CASE MASTER'!$AD$2:$AD$495&gt;=2))*ROW('CASE MASTER'!$T$2:$T$495))-(ROW('CASE MASTER'!#REF!)-1)))-INDEX('CASE MASTER'!$AB$2:$AB$495,(SUMPRODUCT((('CASE MASTER'!$T$2:$T$495=6)*('CASE MASTER'!$AA$2:$AA$495&lt;=1)*('CASE MASTER'!$AC$2:$AC$495&gt;=1)*('CASE MASTER'!$AB$2:$AB$495&lt;=2)*('CASE MASTER'!$AD$2:$AD$495&gt;=2))*ROW('CASE MASTER'!$T$2:$T$495))-(ROW('CASE MASTER'!#REF!)-1)))+1)+(2-INDEX('CASE MASTER'!$AB$2:$AB$495,(SUMPRODUCT((('CASE MASTER'!$T$2:$T$495=6)*('CASE MASTER'!$AA$2:$AA$495&lt;=1)*('CASE MASTER'!$AC$2:$AC$495&gt;=1)*('CASE MASTER'!$AB$2:$AB$495&lt;=2)*('CASE MASTER'!$AD$2:$AD$495&gt;=2))*ROW('CASE MASTER'!$T$2:$T$495))-(ROW('CASE MASTER'!#REF!)-1))))+1)))-1)*50+1,50))&amp;"_"&amp;INDEX('CASE MASTER'!$Q$2:$Q$495,(SUMPRODUCT((('CASE MASTER'!$T$2:$T$495=6)*('CASE MASTER'!$AA$2:$AA$495&lt;=1)*('CASE MASTER'!$AC$2:$AC$495&gt;=1)*('CASE MASTER'!$AB$2:$AB$495&lt;=2)*('CASE MASTER'!$AD$2:$AD$495&gt;=2))*ROW('CASE MASTER'!$T$2:$T$495))-(ROW('CASE MASTER'!#REF!)-1))),"")),"")</f>
        <v/>
      </c>
      <c r="D73" s="10" t="str">
        <f>IFERROR(IF(SUMPRODUCT((('CASE MASTER'!$T$2:$T$495=6)*('CASE MASTER'!$U$2:$U$495&lt;=1)*('CASE MASTER'!$W$2:$W$495&gt;=1)*('CASE MASTER'!$V$2:$V$495&lt;=3)*('CASE MASTER'!$X$2:$X$495&gt;=3))*ROW('CASE MASTER'!$T$2:$T$495))&gt;0,INDEX('CASE MASTER'!$Y$2:$Y$495,(SUMPRODUCT((('CASE MASTER'!$T$2:$T$495=6)*('CASE MASTER'!$U$2:$U$495&lt;=1)*('CASE MASTER'!$W$2:$W$495&gt;=1)*('CASE MASTER'!$V$2:$V$495&lt;=3)*('CASE MASTER'!$X$2:$X$495&gt;=3))*ROW('CASE MASTER'!$T$2:$T$495))-(ROW('CASE MASTER'!#REF!)-1)))&amp;TRIM(MID(SUBSTITUTE(SUBSTITUTE(INDEX('CASE MASTER'!$N$2:$N$495,(SUMPRODUCT((('CASE MASTER'!$T$2:$T$495=6)*('CASE MASTER'!$U$2:$U$495&lt;=1)*('CASE MASTER'!$W$2:$W$495&gt;=1)*('CASE MASTER'!$V$2:$V$495&lt;=3)*('CASE MASTER'!$X$2:$X$495&gt;=3))*ROW('CASE MASTER'!$T$2:$T$495))-(ROW('CASE MASTER'!#REF!)-1))),":",","),",",REPT(" ",50)),((((1-INDEX('CASE MASTER'!$U$2:$U$495,(SUMPRODUCT((('CASE MASTER'!$T$2:$T$495=6)*('CASE MASTER'!$U$2:$U$495&lt;=1)*('CASE MASTER'!$W$2:$W$495&gt;=1)*('CASE MASTER'!$V$2:$V$495&lt;=3)*('CASE MASTER'!$X$2:$X$495&gt;=3))*ROW('CASE MASTER'!$T$2:$T$495))-(ROW('CASE MASTER'!#REF!)-1))))*(INDEX('CASE MASTER'!$X$2:$X$495,(SUMPRODUCT((('CASE MASTER'!$T$2:$T$495=6)*('CASE MASTER'!$U$2:$U$495&lt;=1)*('CASE MASTER'!$W$2:$W$495&gt;=1)*('CASE MASTER'!$V$2:$V$495&lt;=3)*('CASE MASTER'!$X$2:$X$495&gt;=3))*ROW('CASE MASTER'!$T$2:$T$495))-(ROW('CASE MASTER'!#REF!)-1)))-INDEX('CASE MASTER'!$V$2:$V$495,(SUMPRODUCT((('CASE MASTER'!$T$2:$T$495=6)*('CASE MASTER'!$U$2:$U$495&lt;=1)*('CASE MASTER'!$W$2:$W$495&gt;=1)*('CASE MASTER'!$V$2:$V$495&lt;=3)*('CASE MASTER'!$X$2:$X$495&gt;=3))*ROW('CASE MASTER'!$T$2:$T$495))-(ROW('CASE MASTER'!#REF!)-1)))+1)+(3-INDEX('CASE MASTER'!$V$2:$V$495,(SUMPRODUCT((('CASE MASTER'!$T$2:$T$495=6)*('CASE MASTER'!$U$2:$U$495&lt;=1)*('CASE MASTER'!$W$2:$W$495&gt;=1)*('CASE MASTER'!$V$2:$V$495&lt;=3)*('CASE MASTER'!$X$2:$X$495&gt;=3))*ROW('CASE MASTER'!$T$2:$T$495))-(ROW('CASE MASTER'!#REF!)-1))))+1))-1)*50+1,50))&amp;"_"&amp;INDEX('CASE MASTER'!$Q$2:$Q$495,(SUMPRODUCT((('CASE MASTER'!$T$2:$T$495=6)*('CASE MASTER'!$U$2:$U$495&lt;=1)*('CASE MASTER'!$W$2:$W$495&gt;=1)*('CASE MASTER'!$V$2:$V$495&lt;=3)*('CASE MASTER'!$X$2:$X$495&gt;=3))*ROW('CASE MASTER'!$T$2:$T$495))-(ROW('CASE MASTER'!#REF!)-1))),IF(SUMPRODUCT((('CASE MASTER'!$T$2:$T$495=6)*('CASE MASTER'!$AA$2:$AA$495&lt;=1)*('CASE MASTER'!$AC$2:$AC$495&gt;=1)*('CASE MASTER'!$AB$2:$AB$495&lt;=3)*('CASE MASTER'!$AD$2:$AD$495&gt;=3))*ROW('CASE MASTER'!$T$2:$T$495))&gt;0,INDEX('CASE MASTER'!$Y$2:$Y$495,(SUMPRODUCT((('CASE MASTER'!$T$2:$T$495=6)*('CASE MASTER'!$AA$2:$AA$495&lt;=1)*('CASE MASTER'!$AC$2:$AC$495&gt;=1)*('CASE MASTER'!$AB$2:$AB$495&lt;=3)*('CASE MASTER'!$AD$2:$AD$495&gt;=3))*ROW('CASE MASTER'!$T$2:$T$495))-(ROW('CASE MASTER'!#REF!)-1)))&amp;TRIM(MID(SUBSTITUTE(SUBSTITUTE(INDEX('CASE MASTER'!$N$2:$N$495,(SUMPRODUCT((('CASE MASTER'!$T$2:$T$495=6)*('CASE MASTER'!$AA$2:$AA$495&lt;=1)*('CASE MASTER'!$AC$2:$AC$495&gt;=1)*('CASE MASTER'!$AB$2:$AB$495&lt;=3)*('CASE MASTER'!$AD$2:$AD$495&gt;=3))*ROW('CASE MASTER'!$T$2:$T$495))-(ROW('CASE MASTER'!#REF!)-1))),":",","),",",REPT(" ",50)),(((INDEX('CASE MASTER'!$Z$2:$Z$495,(SUMPRODUCT((('CASE MASTER'!$T$2:$T$495=6)*('CASE MASTER'!$AA$2:$AA$495&lt;=1)*('CASE MASTER'!$AC$2:$AC$495&gt;=1)*('CASE MASTER'!$AB$2:$AB$495&lt;=3)*('CASE MASTER'!$AD$2:$AD$495&gt;=3))*ROW('CASE MASTER'!$T$2:$T$495))-(ROW('CASE MASTER'!#REF!)-1)))+((1-INDEX('CASE MASTER'!$AA$2:$AA$495,(SUMPRODUCT((('CASE MASTER'!$T$2:$T$495=6)*('CASE MASTER'!$AA$2:$AA$495&lt;=1)*('CASE MASTER'!$AC$2:$AC$495&gt;=1)*('CASE MASTER'!$AB$2:$AB$495&lt;=3)*('CASE MASTER'!$AD$2:$AD$495&gt;=3))*ROW('CASE MASTER'!$T$2:$T$495))-(ROW('CASE MASTER'!#REF!)-1))))*(INDEX('CASE MASTER'!$AD$2:$AD$495,(SUMPRODUCT((('CASE MASTER'!$T$2:$T$495=6)*('CASE MASTER'!$AA$2:$AA$495&lt;=1)*('CASE MASTER'!$AC$2:$AC$495&gt;=1)*('CASE MASTER'!$AB$2:$AB$495&lt;=3)*('CASE MASTER'!$AD$2:$AD$495&gt;=3))*ROW('CASE MASTER'!$T$2:$T$495))-(ROW('CASE MASTER'!#REF!)-1)))-INDEX('CASE MASTER'!$AB$2:$AB$495,(SUMPRODUCT((('CASE MASTER'!$T$2:$T$495=6)*('CASE MASTER'!$AA$2:$AA$495&lt;=1)*('CASE MASTER'!$AC$2:$AC$495&gt;=1)*('CASE MASTER'!$AB$2:$AB$495&lt;=3)*('CASE MASTER'!$AD$2:$AD$495&gt;=3))*ROW('CASE MASTER'!$T$2:$T$495))-(ROW('CASE MASTER'!#REF!)-1)))+1)+(3-INDEX('CASE MASTER'!$AB$2:$AB$495,(SUMPRODUCT((('CASE MASTER'!$T$2:$T$495=6)*('CASE MASTER'!$AA$2:$AA$495&lt;=1)*('CASE MASTER'!$AC$2:$AC$495&gt;=1)*('CASE MASTER'!$AB$2:$AB$495&lt;=3)*('CASE MASTER'!$AD$2:$AD$495&gt;=3))*ROW('CASE MASTER'!$T$2:$T$495))-(ROW('CASE MASTER'!#REF!)-1))))+1)))-1)*50+1,50))&amp;"_"&amp;INDEX('CASE MASTER'!$Q$2:$Q$495,(SUMPRODUCT((('CASE MASTER'!$T$2:$T$495=6)*('CASE MASTER'!$AA$2:$AA$495&lt;=1)*('CASE MASTER'!$AC$2:$AC$495&gt;=1)*('CASE MASTER'!$AB$2:$AB$495&lt;=3)*('CASE MASTER'!$AD$2:$AD$495&gt;=3))*ROW('CASE MASTER'!$T$2:$T$495))-(ROW('CASE MASTER'!#REF!)-1))),"")),"")</f>
        <v/>
      </c>
      <c r="E73" s="10" t="str">
        <f>IFERROR(IF(SUMPRODUCT((('CASE MASTER'!$T$2:$T$495=6)*('CASE MASTER'!$U$2:$U$495&lt;=1)*('CASE MASTER'!$W$2:$W$495&gt;=1)*('CASE MASTER'!$V$2:$V$495&lt;=4)*('CASE MASTER'!$X$2:$X$495&gt;=4))*ROW('CASE MASTER'!$T$2:$T$495))&gt;0,INDEX('CASE MASTER'!$Y$2:$Y$495,(SUMPRODUCT((('CASE MASTER'!$T$2:$T$495=6)*('CASE MASTER'!$U$2:$U$495&lt;=1)*('CASE MASTER'!$W$2:$W$495&gt;=1)*('CASE MASTER'!$V$2:$V$495&lt;=4)*('CASE MASTER'!$X$2:$X$495&gt;=4))*ROW('CASE MASTER'!$T$2:$T$495))-(ROW('CASE MASTER'!#REF!)-1)))&amp;TRIM(MID(SUBSTITUTE(SUBSTITUTE(INDEX('CASE MASTER'!$N$2:$N$495,(SUMPRODUCT((('CASE MASTER'!$T$2:$T$495=6)*('CASE MASTER'!$U$2:$U$495&lt;=1)*('CASE MASTER'!$W$2:$W$495&gt;=1)*('CASE MASTER'!$V$2:$V$495&lt;=4)*('CASE MASTER'!$X$2:$X$495&gt;=4))*ROW('CASE MASTER'!$T$2:$T$495))-(ROW('CASE MASTER'!#REF!)-1))),":",","),",",REPT(" ",50)),((((1-INDEX('CASE MASTER'!$U$2:$U$495,(SUMPRODUCT((('CASE MASTER'!$T$2:$T$495=6)*('CASE MASTER'!$U$2:$U$495&lt;=1)*('CASE MASTER'!$W$2:$W$495&gt;=1)*('CASE MASTER'!$V$2:$V$495&lt;=4)*('CASE MASTER'!$X$2:$X$495&gt;=4))*ROW('CASE MASTER'!$T$2:$T$495))-(ROW('CASE MASTER'!#REF!)-1))))*(INDEX('CASE MASTER'!$X$2:$X$495,(SUMPRODUCT((('CASE MASTER'!$T$2:$T$495=6)*('CASE MASTER'!$U$2:$U$495&lt;=1)*('CASE MASTER'!$W$2:$W$495&gt;=1)*('CASE MASTER'!$V$2:$V$495&lt;=4)*('CASE MASTER'!$X$2:$X$495&gt;=4))*ROW('CASE MASTER'!$T$2:$T$495))-(ROW('CASE MASTER'!#REF!)-1)))-INDEX('CASE MASTER'!$V$2:$V$495,(SUMPRODUCT((('CASE MASTER'!$T$2:$T$495=6)*('CASE MASTER'!$U$2:$U$495&lt;=1)*('CASE MASTER'!$W$2:$W$495&gt;=1)*('CASE MASTER'!$V$2:$V$495&lt;=4)*('CASE MASTER'!$X$2:$X$495&gt;=4))*ROW('CASE MASTER'!$T$2:$T$495))-(ROW('CASE MASTER'!#REF!)-1)))+1)+(4-INDEX('CASE MASTER'!$V$2:$V$495,(SUMPRODUCT((('CASE MASTER'!$T$2:$T$495=6)*('CASE MASTER'!$U$2:$U$495&lt;=1)*('CASE MASTER'!$W$2:$W$495&gt;=1)*('CASE MASTER'!$V$2:$V$495&lt;=4)*('CASE MASTER'!$X$2:$X$495&gt;=4))*ROW('CASE MASTER'!$T$2:$T$495))-(ROW('CASE MASTER'!#REF!)-1))))+1))-1)*50+1,50))&amp;"_"&amp;INDEX('CASE MASTER'!$Q$2:$Q$495,(SUMPRODUCT((('CASE MASTER'!$T$2:$T$495=6)*('CASE MASTER'!$U$2:$U$495&lt;=1)*('CASE MASTER'!$W$2:$W$495&gt;=1)*('CASE MASTER'!$V$2:$V$495&lt;=4)*('CASE MASTER'!$X$2:$X$495&gt;=4))*ROW('CASE MASTER'!$T$2:$T$495))-(ROW('CASE MASTER'!#REF!)-1))),IF(SUMPRODUCT((('CASE MASTER'!$T$2:$T$495=6)*('CASE MASTER'!$AA$2:$AA$495&lt;=1)*('CASE MASTER'!$AC$2:$AC$495&gt;=1)*('CASE MASTER'!$AB$2:$AB$495&lt;=4)*('CASE MASTER'!$AD$2:$AD$495&gt;=4))*ROW('CASE MASTER'!$T$2:$T$495))&gt;0,INDEX('CASE MASTER'!$Y$2:$Y$495,(SUMPRODUCT((('CASE MASTER'!$T$2:$T$495=6)*('CASE MASTER'!$AA$2:$AA$495&lt;=1)*('CASE MASTER'!$AC$2:$AC$495&gt;=1)*('CASE MASTER'!$AB$2:$AB$495&lt;=4)*('CASE MASTER'!$AD$2:$AD$495&gt;=4))*ROW('CASE MASTER'!$T$2:$T$495))-(ROW('CASE MASTER'!#REF!)-1)))&amp;TRIM(MID(SUBSTITUTE(SUBSTITUTE(INDEX('CASE MASTER'!$N$2:$N$495,(SUMPRODUCT((('CASE MASTER'!$T$2:$T$495=6)*('CASE MASTER'!$AA$2:$AA$495&lt;=1)*('CASE MASTER'!$AC$2:$AC$495&gt;=1)*('CASE MASTER'!$AB$2:$AB$495&lt;=4)*('CASE MASTER'!$AD$2:$AD$495&gt;=4))*ROW('CASE MASTER'!$T$2:$T$495))-(ROW('CASE MASTER'!#REF!)-1))),":",","),",",REPT(" ",50)),(((INDEX('CASE MASTER'!$Z$2:$Z$495,(SUMPRODUCT((('CASE MASTER'!$T$2:$T$495=6)*('CASE MASTER'!$AA$2:$AA$495&lt;=1)*('CASE MASTER'!$AC$2:$AC$495&gt;=1)*('CASE MASTER'!$AB$2:$AB$495&lt;=4)*('CASE MASTER'!$AD$2:$AD$495&gt;=4))*ROW('CASE MASTER'!$T$2:$T$495))-(ROW('CASE MASTER'!#REF!)-1)))+((1-INDEX('CASE MASTER'!$AA$2:$AA$495,(SUMPRODUCT((('CASE MASTER'!$T$2:$T$495=6)*('CASE MASTER'!$AA$2:$AA$495&lt;=1)*('CASE MASTER'!$AC$2:$AC$495&gt;=1)*('CASE MASTER'!$AB$2:$AB$495&lt;=4)*('CASE MASTER'!$AD$2:$AD$495&gt;=4))*ROW('CASE MASTER'!$T$2:$T$495))-(ROW('CASE MASTER'!#REF!)-1))))*(INDEX('CASE MASTER'!$AD$2:$AD$495,(SUMPRODUCT((('CASE MASTER'!$T$2:$T$495=6)*('CASE MASTER'!$AA$2:$AA$495&lt;=1)*('CASE MASTER'!$AC$2:$AC$495&gt;=1)*('CASE MASTER'!$AB$2:$AB$495&lt;=4)*('CASE MASTER'!$AD$2:$AD$495&gt;=4))*ROW('CASE MASTER'!$T$2:$T$495))-(ROW('CASE MASTER'!#REF!)-1)))-INDEX('CASE MASTER'!$AB$2:$AB$495,(SUMPRODUCT((('CASE MASTER'!$T$2:$T$495=6)*('CASE MASTER'!$AA$2:$AA$495&lt;=1)*('CASE MASTER'!$AC$2:$AC$495&gt;=1)*('CASE MASTER'!$AB$2:$AB$495&lt;=4)*('CASE MASTER'!$AD$2:$AD$495&gt;=4))*ROW('CASE MASTER'!$T$2:$T$495))-(ROW('CASE MASTER'!#REF!)-1)))+1)+(4-INDEX('CASE MASTER'!$AB$2:$AB$495,(SUMPRODUCT((('CASE MASTER'!$T$2:$T$495=6)*('CASE MASTER'!$AA$2:$AA$495&lt;=1)*('CASE MASTER'!$AC$2:$AC$495&gt;=1)*('CASE MASTER'!$AB$2:$AB$495&lt;=4)*('CASE MASTER'!$AD$2:$AD$495&gt;=4))*ROW('CASE MASTER'!$T$2:$T$495))-(ROW('CASE MASTER'!#REF!)-1))))+1)))-1)*50+1,50))&amp;"_"&amp;INDEX('CASE MASTER'!$Q$2:$Q$495,(SUMPRODUCT((('CASE MASTER'!$T$2:$T$495=6)*('CASE MASTER'!$AA$2:$AA$495&lt;=1)*('CASE MASTER'!$AC$2:$AC$495&gt;=1)*('CASE MASTER'!$AB$2:$AB$495&lt;=4)*('CASE MASTER'!$AD$2:$AD$495&gt;=4))*ROW('CASE MASTER'!$T$2:$T$495))-(ROW('CASE MASTER'!#REF!)-1))),"")),"")</f>
        <v/>
      </c>
      <c r="F73" s="10" t="str">
        <f>IFERROR(IF(SUMPRODUCT((('CASE MASTER'!$T$2:$T$495=6)*('CASE MASTER'!$U$2:$U$495&lt;=1)*('CASE MASTER'!$W$2:$W$495&gt;=1)*('CASE MASTER'!$V$2:$V$495&lt;=5)*('CASE MASTER'!$X$2:$X$495&gt;=5))*ROW('CASE MASTER'!$T$2:$T$495))&gt;0,INDEX('CASE MASTER'!$Y$2:$Y$495,(SUMPRODUCT((('CASE MASTER'!$T$2:$T$495=6)*('CASE MASTER'!$U$2:$U$495&lt;=1)*('CASE MASTER'!$W$2:$W$495&gt;=1)*('CASE MASTER'!$V$2:$V$495&lt;=5)*('CASE MASTER'!$X$2:$X$495&gt;=5))*ROW('CASE MASTER'!$T$2:$T$495))-(ROW('CASE MASTER'!#REF!)-1)))&amp;TRIM(MID(SUBSTITUTE(SUBSTITUTE(INDEX('CASE MASTER'!$N$2:$N$495,(SUMPRODUCT((('CASE MASTER'!$T$2:$T$495=6)*('CASE MASTER'!$U$2:$U$495&lt;=1)*('CASE MASTER'!$W$2:$W$495&gt;=1)*('CASE MASTER'!$V$2:$V$495&lt;=5)*('CASE MASTER'!$X$2:$X$495&gt;=5))*ROW('CASE MASTER'!$T$2:$T$495))-(ROW('CASE MASTER'!#REF!)-1))),":",","),",",REPT(" ",50)),((((1-INDEX('CASE MASTER'!$U$2:$U$495,(SUMPRODUCT((('CASE MASTER'!$T$2:$T$495=6)*('CASE MASTER'!$U$2:$U$495&lt;=1)*('CASE MASTER'!$W$2:$W$495&gt;=1)*('CASE MASTER'!$V$2:$V$495&lt;=5)*('CASE MASTER'!$X$2:$X$495&gt;=5))*ROW('CASE MASTER'!$T$2:$T$495))-(ROW('CASE MASTER'!#REF!)-1))))*(INDEX('CASE MASTER'!$X$2:$X$495,(SUMPRODUCT((('CASE MASTER'!$T$2:$T$495=6)*('CASE MASTER'!$U$2:$U$495&lt;=1)*('CASE MASTER'!$W$2:$W$495&gt;=1)*('CASE MASTER'!$V$2:$V$495&lt;=5)*('CASE MASTER'!$X$2:$X$495&gt;=5))*ROW('CASE MASTER'!$T$2:$T$495))-(ROW('CASE MASTER'!#REF!)-1)))-INDEX('CASE MASTER'!$V$2:$V$495,(SUMPRODUCT((('CASE MASTER'!$T$2:$T$495=6)*('CASE MASTER'!$U$2:$U$495&lt;=1)*('CASE MASTER'!$W$2:$W$495&gt;=1)*('CASE MASTER'!$V$2:$V$495&lt;=5)*('CASE MASTER'!$X$2:$X$495&gt;=5))*ROW('CASE MASTER'!$T$2:$T$495))-(ROW('CASE MASTER'!#REF!)-1)))+1)+(5-INDEX('CASE MASTER'!$V$2:$V$495,(SUMPRODUCT((('CASE MASTER'!$T$2:$T$495=6)*('CASE MASTER'!$U$2:$U$495&lt;=1)*('CASE MASTER'!$W$2:$W$495&gt;=1)*('CASE MASTER'!$V$2:$V$495&lt;=5)*('CASE MASTER'!$X$2:$X$495&gt;=5))*ROW('CASE MASTER'!$T$2:$T$495))-(ROW('CASE MASTER'!#REF!)-1))))+1))-1)*50+1,50))&amp;"_"&amp;INDEX('CASE MASTER'!$Q$2:$Q$495,(SUMPRODUCT((('CASE MASTER'!$T$2:$T$495=6)*('CASE MASTER'!$U$2:$U$495&lt;=1)*('CASE MASTER'!$W$2:$W$495&gt;=1)*('CASE MASTER'!$V$2:$V$495&lt;=5)*('CASE MASTER'!$X$2:$X$495&gt;=5))*ROW('CASE MASTER'!$T$2:$T$495))-(ROW('CASE MASTER'!#REF!)-1))),IF(SUMPRODUCT((('CASE MASTER'!$T$2:$T$495=6)*('CASE MASTER'!$AA$2:$AA$495&lt;=1)*('CASE MASTER'!$AC$2:$AC$495&gt;=1)*('CASE MASTER'!$AB$2:$AB$495&lt;=5)*('CASE MASTER'!$AD$2:$AD$495&gt;=5))*ROW('CASE MASTER'!$T$2:$T$495))&gt;0,INDEX('CASE MASTER'!$Y$2:$Y$495,(SUMPRODUCT((('CASE MASTER'!$T$2:$T$495=6)*('CASE MASTER'!$AA$2:$AA$495&lt;=1)*('CASE MASTER'!$AC$2:$AC$495&gt;=1)*('CASE MASTER'!$AB$2:$AB$495&lt;=5)*('CASE MASTER'!$AD$2:$AD$495&gt;=5))*ROW('CASE MASTER'!$T$2:$T$495))-(ROW('CASE MASTER'!#REF!)-1)))&amp;TRIM(MID(SUBSTITUTE(SUBSTITUTE(INDEX('CASE MASTER'!$N$2:$N$495,(SUMPRODUCT((('CASE MASTER'!$T$2:$T$495=6)*('CASE MASTER'!$AA$2:$AA$495&lt;=1)*('CASE MASTER'!$AC$2:$AC$495&gt;=1)*('CASE MASTER'!$AB$2:$AB$495&lt;=5)*('CASE MASTER'!$AD$2:$AD$495&gt;=5))*ROW('CASE MASTER'!$T$2:$T$495))-(ROW('CASE MASTER'!#REF!)-1))),":",","),",",REPT(" ",50)),(((INDEX('CASE MASTER'!$Z$2:$Z$495,(SUMPRODUCT((('CASE MASTER'!$T$2:$T$495=6)*('CASE MASTER'!$AA$2:$AA$495&lt;=1)*('CASE MASTER'!$AC$2:$AC$495&gt;=1)*('CASE MASTER'!$AB$2:$AB$495&lt;=5)*('CASE MASTER'!$AD$2:$AD$495&gt;=5))*ROW('CASE MASTER'!$T$2:$T$495))-(ROW('CASE MASTER'!#REF!)-1)))+((1-INDEX('CASE MASTER'!$AA$2:$AA$495,(SUMPRODUCT((('CASE MASTER'!$T$2:$T$495=6)*('CASE MASTER'!$AA$2:$AA$495&lt;=1)*('CASE MASTER'!$AC$2:$AC$495&gt;=1)*('CASE MASTER'!$AB$2:$AB$495&lt;=5)*('CASE MASTER'!$AD$2:$AD$495&gt;=5))*ROW('CASE MASTER'!$T$2:$T$495))-(ROW('CASE MASTER'!#REF!)-1))))*(INDEX('CASE MASTER'!$AD$2:$AD$495,(SUMPRODUCT((('CASE MASTER'!$T$2:$T$495=6)*('CASE MASTER'!$AA$2:$AA$495&lt;=1)*('CASE MASTER'!$AC$2:$AC$495&gt;=1)*('CASE MASTER'!$AB$2:$AB$495&lt;=5)*('CASE MASTER'!$AD$2:$AD$495&gt;=5))*ROW('CASE MASTER'!$T$2:$T$495))-(ROW('CASE MASTER'!#REF!)-1)))-INDEX('CASE MASTER'!$AB$2:$AB$495,(SUMPRODUCT((('CASE MASTER'!$T$2:$T$495=6)*('CASE MASTER'!$AA$2:$AA$495&lt;=1)*('CASE MASTER'!$AC$2:$AC$495&gt;=1)*('CASE MASTER'!$AB$2:$AB$495&lt;=5)*('CASE MASTER'!$AD$2:$AD$495&gt;=5))*ROW('CASE MASTER'!$T$2:$T$495))-(ROW('CASE MASTER'!#REF!)-1)))+1)+(5-INDEX('CASE MASTER'!$AB$2:$AB$495,(SUMPRODUCT((('CASE MASTER'!$T$2:$T$495=6)*('CASE MASTER'!$AA$2:$AA$495&lt;=1)*('CASE MASTER'!$AC$2:$AC$495&gt;=1)*('CASE MASTER'!$AB$2:$AB$495&lt;=5)*('CASE MASTER'!$AD$2:$AD$495&gt;=5))*ROW('CASE MASTER'!$T$2:$T$495))-(ROW('CASE MASTER'!#REF!)-1))))+1)))-1)*50+1,50))&amp;"_"&amp;INDEX('CASE MASTER'!$Q$2:$Q$495,(SUMPRODUCT((('CASE MASTER'!$T$2:$T$495=6)*('CASE MASTER'!$AA$2:$AA$495&lt;=1)*('CASE MASTER'!$AC$2:$AC$495&gt;=1)*('CASE MASTER'!$AB$2:$AB$495&lt;=5)*('CASE MASTER'!$AD$2:$AD$495&gt;=5))*ROW('CASE MASTER'!$T$2:$T$495))-(ROW('CASE MASTER'!#REF!)-1))),"")),"")</f>
        <v/>
      </c>
      <c r="G73" s="10" t="str">
        <f>IFERROR(IF(SUMPRODUCT((('CASE MASTER'!$T$2:$T$495=6)*('CASE MASTER'!$U$2:$U$495&lt;=1)*('CASE MASTER'!$W$2:$W$495&gt;=1)*('CASE MASTER'!$V$2:$V$495&lt;=6)*('CASE MASTER'!$X$2:$X$495&gt;=6))*ROW('CASE MASTER'!$T$2:$T$495))&gt;0,INDEX('CASE MASTER'!$Y$2:$Y$495,(SUMPRODUCT((('CASE MASTER'!$T$2:$T$495=6)*('CASE MASTER'!$U$2:$U$495&lt;=1)*('CASE MASTER'!$W$2:$W$495&gt;=1)*('CASE MASTER'!$V$2:$V$495&lt;=6)*('CASE MASTER'!$X$2:$X$495&gt;=6))*ROW('CASE MASTER'!$T$2:$T$495))-(ROW('CASE MASTER'!#REF!)-1)))&amp;TRIM(MID(SUBSTITUTE(SUBSTITUTE(INDEX('CASE MASTER'!$N$2:$N$495,(SUMPRODUCT((('CASE MASTER'!$T$2:$T$495=6)*('CASE MASTER'!$U$2:$U$495&lt;=1)*('CASE MASTER'!$W$2:$W$495&gt;=1)*('CASE MASTER'!$V$2:$V$495&lt;=6)*('CASE MASTER'!$X$2:$X$495&gt;=6))*ROW('CASE MASTER'!$T$2:$T$495))-(ROW('CASE MASTER'!#REF!)-1))),":",","),",",REPT(" ",50)),((((1-INDEX('CASE MASTER'!$U$2:$U$495,(SUMPRODUCT((('CASE MASTER'!$T$2:$T$495=6)*('CASE MASTER'!$U$2:$U$495&lt;=1)*('CASE MASTER'!$W$2:$W$495&gt;=1)*('CASE MASTER'!$V$2:$V$495&lt;=6)*('CASE MASTER'!$X$2:$X$495&gt;=6))*ROW('CASE MASTER'!$T$2:$T$495))-(ROW('CASE MASTER'!#REF!)-1))))*(INDEX('CASE MASTER'!$X$2:$X$495,(SUMPRODUCT((('CASE MASTER'!$T$2:$T$495=6)*('CASE MASTER'!$U$2:$U$495&lt;=1)*('CASE MASTER'!$W$2:$W$495&gt;=1)*('CASE MASTER'!$V$2:$V$495&lt;=6)*('CASE MASTER'!$X$2:$X$495&gt;=6))*ROW('CASE MASTER'!$T$2:$T$495))-(ROW('CASE MASTER'!#REF!)-1)))-INDEX('CASE MASTER'!$V$2:$V$495,(SUMPRODUCT((('CASE MASTER'!$T$2:$T$495=6)*('CASE MASTER'!$U$2:$U$495&lt;=1)*('CASE MASTER'!$W$2:$W$495&gt;=1)*('CASE MASTER'!$V$2:$V$495&lt;=6)*('CASE MASTER'!$X$2:$X$495&gt;=6))*ROW('CASE MASTER'!$T$2:$T$495))-(ROW('CASE MASTER'!#REF!)-1)))+1)+(6-INDEX('CASE MASTER'!$V$2:$V$495,(SUMPRODUCT((('CASE MASTER'!$T$2:$T$495=6)*('CASE MASTER'!$U$2:$U$495&lt;=1)*('CASE MASTER'!$W$2:$W$495&gt;=1)*('CASE MASTER'!$V$2:$V$495&lt;=6)*('CASE MASTER'!$X$2:$X$495&gt;=6))*ROW('CASE MASTER'!$T$2:$T$495))-(ROW('CASE MASTER'!#REF!)-1))))+1))-1)*50+1,50))&amp;"_"&amp;INDEX('CASE MASTER'!$Q$2:$Q$495,(SUMPRODUCT((('CASE MASTER'!$T$2:$T$495=6)*('CASE MASTER'!$U$2:$U$495&lt;=1)*('CASE MASTER'!$W$2:$W$495&gt;=1)*('CASE MASTER'!$V$2:$V$495&lt;=6)*('CASE MASTER'!$X$2:$X$495&gt;=6))*ROW('CASE MASTER'!$T$2:$T$495))-(ROW('CASE MASTER'!#REF!)-1))),IF(SUMPRODUCT((('CASE MASTER'!$T$2:$T$495=6)*('CASE MASTER'!$AA$2:$AA$495&lt;=1)*('CASE MASTER'!$AC$2:$AC$495&gt;=1)*('CASE MASTER'!$AB$2:$AB$495&lt;=6)*('CASE MASTER'!$AD$2:$AD$495&gt;=6))*ROW('CASE MASTER'!$T$2:$T$495))&gt;0,INDEX('CASE MASTER'!$Y$2:$Y$495,(SUMPRODUCT((('CASE MASTER'!$T$2:$T$495=6)*('CASE MASTER'!$AA$2:$AA$495&lt;=1)*('CASE MASTER'!$AC$2:$AC$495&gt;=1)*('CASE MASTER'!$AB$2:$AB$495&lt;=6)*('CASE MASTER'!$AD$2:$AD$495&gt;=6))*ROW('CASE MASTER'!$T$2:$T$495))-(ROW('CASE MASTER'!#REF!)-1)))&amp;TRIM(MID(SUBSTITUTE(SUBSTITUTE(INDEX('CASE MASTER'!$N$2:$N$495,(SUMPRODUCT((('CASE MASTER'!$T$2:$T$495=6)*('CASE MASTER'!$AA$2:$AA$495&lt;=1)*('CASE MASTER'!$AC$2:$AC$495&gt;=1)*('CASE MASTER'!$AB$2:$AB$495&lt;=6)*('CASE MASTER'!$AD$2:$AD$495&gt;=6))*ROW('CASE MASTER'!$T$2:$T$495))-(ROW('CASE MASTER'!#REF!)-1))),":",","),",",REPT(" ",50)),(((INDEX('CASE MASTER'!$Z$2:$Z$495,(SUMPRODUCT((('CASE MASTER'!$T$2:$T$495=6)*('CASE MASTER'!$AA$2:$AA$495&lt;=1)*('CASE MASTER'!$AC$2:$AC$495&gt;=1)*('CASE MASTER'!$AB$2:$AB$495&lt;=6)*('CASE MASTER'!$AD$2:$AD$495&gt;=6))*ROW('CASE MASTER'!$T$2:$T$495))-(ROW('CASE MASTER'!#REF!)-1)))+((1-INDEX('CASE MASTER'!$AA$2:$AA$495,(SUMPRODUCT((('CASE MASTER'!$T$2:$T$495=6)*('CASE MASTER'!$AA$2:$AA$495&lt;=1)*('CASE MASTER'!$AC$2:$AC$495&gt;=1)*('CASE MASTER'!$AB$2:$AB$495&lt;=6)*('CASE MASTER'!$AD$2:$AD$495&gt;=6))*ROW('CASE MASTER'!$T$2:$T$495))-(ROW('CASE MASTER'!#REF!)-1))))*(INDEX('CASE MASTER'!$AD$2:$AD$495,(SUMPRODUCT((('CASE MASTER'!$T$2:$T$495=6)*('CASE MASTER'!$AA$2:$AA$495&lt;=1)*('CASE MASTER'!$AC$2:$AC$495&gt;=1)*('CASE MASTER'!$AB$2:$AB$495&lt;=6)*('CASE MASTER'!$AD$2:$AD$495&gt;=6))*ROW('CASE MASTER'!$T$2:$T$495))-(ROW('CASE MASTER'!#REF!)-1)))-INDEX('CASE MASTER'!$AB$2:$AB$495,(SUMPRODUCT((('CASE MASTER'!$T$2:$T$495=6)*('CASE MASTER'!$AA$2:$AA$495&lt;=1)*('CASE MASTER'!$AC$2:$AC$495&gt;=1)*('CASE MASTER'!$AB$2:$AB$495&lt;=6)*('CASE MASTER'!$AD$2:$AD$495&gt;=6))*ROW('CASE MASTER'!$T$2:$T$495))-(ROW('CASE MASTER'!#REF!)-1)))+1)+(6-INDEX('CASE MASTER'!$AB$2:$AB$495,(SUMPRODUCT((('CASE MASTER'!$T$2:$T$495=6)*('CASE MASTER'!$AA$2:$AA$495&lt;=1)*('CASE MASTER'!$AC$2:$AC$495&gt;=1)*('CASE MASTER'!$AB$2:$AB$495&lt;=6)*('CASE MASTER'!$AD$2:$AD$495&gt;=6))*ROW('CASE MASTER'!$T$2:$T$495))-(ROW('CASE MASTER'!#REF!)-1))))+1)))-1)*50+1,50))&amp;"_"&amp;INDEX('CASE MASTER'!$Q$2:$Q$495,(SUMPRODUCT((('CASE MASTER'!$T$2:$T$495=6)*('CASE MASTER'!$AA$2:$AA$495&lt;=1)*('CASE MASTER'!$AC$2:$AC$495&gt;=1)*('CASE MASTER'!$AB$2:$AB$495&lt;=6)*('CASE MASTER'!$AD$2:$AD$495&gt;=6))*ROW('CASE MASTER'!$T$2:$T$495))-(ROW('CASE MASTER'!#REF!)-1))),"")),"")</f>
        <v/>
      </c>
      <c r="H73" s="10" t="str">
        <f>IFERROR(IF(SUMPRODUCT((('CASE MASTER'!$T$2:$T$495=6)*('CASE MASTER'!$U$2:$U$495&lt;=1)*('CASE MASTER'!$W$2:$W$495&gt;=1)*('CASE MASTER'!$V$2:$V$495&lt;=7)*('CASE MASTER'!$X$2:$X$495&gt;=7))*ROW('CASE MASTER'!$T$2:$T$495))&gt;0,INDEX('CASE MASTER'!$Y$2:$Y$495,(SUMPRODUCT((('CASE MASTER'!$T$2:$T$495=6)*('CASE MASTER'!$U$2:$U$495&lt;=1)*('CASE MASTER'!$W$2:$W$495&gt;=1)*('CASE MASTER'!$V$2:$V$495&lt;=7)*('CASE MASTER'!$X$2:$X$495&gt;=7))*ROW('CASE MASTER'!$T$2:$T$495))-(ROW('CASE MASTER'!#REF!)-1)))&amp;TRIM(MID(SUBSTITUTE(SUBSTITUTE(INDEX('CASE MASTER'!$N$2:$N$495,(SUMPRODUCT((('CASE MASTER'!$T$2:$T$495=6)*('CASE MASTER'!$U$2:$U$495&lt;=1)*('CASE MASTER'!$W$2:$W$495&gt;=1)*('CASE MASTER'!$V$2:$V$495&lt;=7)*('CASE MASTER'!$X$2:$X$495&gt;=7))*ROW('CASE MASTER'!$T$2:$T$495))-(ROW('CASE MASTER'!#REF!)-1))),":",","),",",REPT(" ",50)),((((1-INDEX('CASE MASTER'!$U$2:$U$495,(SUMPRODUCT((('CASE MASTER'!$T$2:$T$495=6)*('CASE MASTER'!$U$2:$U$495&lt;=1)*('CASE MASTER'!$W$2:$W$495&gt;=1)*('CASE MASTER'!$V$2:$V$495&lt;=7)*('CASE MASTER'!$X$2:$X$495&gt;=7))*ROW('CASE MASTER'!$T$2:$T$495))-(ROW('CASE MASTER'!#REF!)-1))))*(INDEX('CASE MASTER'!$X$2:$X$495,(SUMPRODUCT((('CASE MASTER'!$T$2:$T$495=6)*('CASE MASTER'!$U$2:$U$495&lt;=1)*('CASE MASTER'!$W$2:$W$495&gt;=1)*('CASE MASTER'!$V$2:$V$495&lt;=7)*('CASE MASTER'!$X$2:$X$495&gt;=7))*ROW('CASE MASTER'!$T$2:$T$495))-(ROW('CASE MASTER'!#REF!)-1)))-INDEX('CASE MASTER'!$V$2:$V$495,(SUMPRODUCT((('CASE MASTER'!$T$2:$T$495=6)*('CASE MASTER'!$U$2:$U$495&lt;=1)*('CASE MASTER'!$W$2:$W$495&gt;=1)*('CASE MASTER'!$V$2:$V$495&lt;=7)*('CASE MASTER'!$X$2:$X$495&gt;=7))*ROW('CASE MASTER'!$T$2:$T$495))-(ROW('CASE MASTER'!#REF!)-1)))+1)+(7-INDEX('CASE MASTER'!$V$2:$V$495,(SUMPRODUCT((('CASE MASTER'!$T$2:$T$495=6)*('CASE MASTER'!$U$2:$U$495&lt;=1)*('CASE MASTER'!$W$2:$W$495&gt;=1)*('CASE MASTER'!$V$2:$V$495&lt;=7)*('CASE MASTER'!$X$2:$X$495&gt;=7))*ROW('CASE MASTER'!$T$2:$T$495))-(ROW('CASE MASTER'!#REF!)-1))))+1))-1)*50+1,50))&amp;"_"&amp;INDEX('CASE MASTER'!$Q$2:$Q$495,(SUMPRODUCT((('CASE MASTER'!$T$2:$T$495=6)*('CASE MASTER'!$U$2:$U$495&lt;=1)*('CASE MASTER'!$W$2:$W$495&gt;=1)*('CASE MASTER'!$V$2:$V$495&lt;=7)*('CASE MASTER'!$X$2:$X$495&gt;=7))*ROW('CASE MASTER'!$T$2:$T$495))-(ROW('CASE MASTER'!#REF!)-1))),IF(SUMPRODUCT((('CASE MASTER'!$T$2:$T$495=6)*('CASE MASTER'!$AA$2:$AA$495&lt;=1)*('CASE MASTER'!$AC$2:$AC$495&gt;=1)*('CASE MASTER'!$AB$2:$AB$495&lt;=7)*('CASE MASTER'!$AD$2:$AD$495&gt;=7))*ROW('CASE MASTER'!$T$2:$T$495))&gt;0,INDEX('CASE MASTER'!$Y$2:$Y$495,(SUMPRODUCT((('CASE MASTER'!$T$2:$T$495=6)*('CASE MASTER'!$AA$2:$AA$495&lt;=1)*('CASE MASTER'!$AC$2:$AC$495&gt;=1)*('CASE MASTER'!$AB$2:$AB$495&lt;=7)*('CASE MASTER'!$AD$2:$AD$495&gt;=7))*ROW('CASE MASTER'!$T$2:$T$495))-(ROW('CASE MASTER'!#REF!)-1)))&amp;TRIM(MID(SUBSTITUTE(SUBSTITUTE(INDEX('CASE MASTER'!$N$2:$N$495,(SUMPRODUCT((('CASE MASTER'!$T$2:$T$495=6)*('CASE MASTER'!$AA$2:$AA$495&lt;=1)*('CASE MASTER'!$AC$2:$AC$495&gt;=1)*('CASE MASTER'!$AB$2:$AB$495&lt;=7)*('CASE MASTER'!$AD$2:$AD$495&gt;=7))*ROW('CASE MASTER'!$T$2:$T$495))-(ROW('CASE MASTER'!#REF!)-1))),":",","),",",REPT(" ",50)),(((INDEX('CASE MASTER'!$Z$2:$Z$495,(SUMPRODUCT((('CASE MASTER'!$T$2:$T$495=6)*('CASE MASTER'!$AA$2:$AA$495&lt;=1)*('CASE MASTER'!$AC$2:$AC$495&gt;=1)*('CASE MASTER'!$AB$2:$AB$495&lt;=7)*('CASE MASTER'!$AD$2:$AD$495&gt;=7))*ROW('CASE MASTER'!$T$2:$T$495))-(ROW('CASE MASTER'!#REF!)-1)))+((1-INDEX('CASE MASTER'!$AA$2:$AA$495,(SUMPRODUCT((('CASE MASTER'!$T$2:$T$495=6)*('CASE MASTER'!$AA$2:$AA$495&lt;=1)*('CASE MASTER'!$AC$2:$AC$495&gt;=1)*('CASE MASTER'!$AB$2:$AB$495&lt;=7)*('CASE MASTER'!$AD$2:$AD$495&gt;=7))*ROW('CASE MASTER'!$T$2:$T$495))-(ROW('CASE MASTER'!#REF!)-1))))*(INDEX('CASE MASTER'!$AD$2:$AD$495,(SUMPRODUCT((('CASE MASTER'!$T$2:$T$495=6)*('CASE MASTER'!$AA$2:$AA$495&lt;=1)*('CASE MASTER'!$AC$2:$AC$495&gt;=1)*('CASE MASTER'!$AB$2:$AB$495&lt;=7)*('CASE MASTER'!$AD$2:$AD$495&gt;=7))*ROW('CASE MASTER'!$T$2:$T$495))-(ROW('CASE MASTER'!#REF!)-1)))-INDEX('CASE MASTER'!$AB$2:$AB$495,(SUMPRODUCT((('CASE MASTER'!$T$2:$T$495=6)*('CASE MASTER'!$AA$2:$AA$495&lt;=1)*('CASE MASTER'!$AC$2:$AC$495&gt;=1)*('CASE MASTER'!$AB$2:$AB$495&lt;=7)*('CASE MASTER'!$AD$2:$AD$495&gt;=7))*ROW('CASE MASTER'!$T$2:$T$495))-(ROW('CASE MASTER'!#REF!)-1)))+1)+(7-INDEX('CASE MASTER'!$AB$2:$AB$495,(SUMPRODUCT((('CASE MASTER'!$T$2:$T$495=6)*('CASE MASTER'!$AA$2:$AA$495&lt;=1)*('CASE MASTER'!$AC$2:$AC$495&gt;=1)*('CASE MASTER'!$AB$2:$AB$495&lt;=7)*('CASE MASTER'!$AD$2:$AD$495&gt;=7))*ROW('CASE MASTER'!$T$2:$T$495))-(ROW('CASE MASTER'!#REF!)-1))))+1)))-1)*50+1,50))&amp;"_"&amp;INDEX('CASE MASTER'!$Q$2:$Q$495,(SUMPRODUCT((('CASE MASTER'!$T$2:$T$495=6)*('CASE MASTER'!$AA$2:$AA$495&lt;=1)*('CASE MASTER'!$AC$2:$AC$495&gt;=1)*('CASE MASTER'!$AB$2:$AB$495&lt;=7)*('CASE MASTER'!$AD$2:$AD$495&gt;=7))*ROW('CASE MASTER'!$T$2:$T$495))-(ROW('CASE MASTER'!#REF!)-1))),"")),"")</f>
        <v/>
      </c>
      <c r="I73" s="10" t="str">
        <f>IFERROR(IF(SUMPRODUCT((('CASE MASTER'!$T$2:$T$495=6)*('CASE MASTER'!$U$2:$U$495&lt;=1)*('CASE MASTER'!$W$2:$W$495&gt;=1)*('CASE MASTER'!$V$2:$V$495&lt;=8)*('CASE MASTER'!$X$2:$X$495&gt;=8))*ROW('CASE MASTER'!$T$2:$T$495))&gt;0,INDEX('CASE MASTER'!$Y$2:$Y$495,(SUMPRODUCT((('CASE MASTER'!$T$2:$T$495=6)*('CASE MASTER'!$U$2:$U$495&lt;=1)*('CASE MASTER'!$W$2:$W$495&gt;=1)*('CASE MASTER'!$V$2:$V$495&lt;=8)*('CASE MASTER'!$X$2:$X$495&gt;=8))*ROW('CASE MASTER'!$T$2:$T$495))-(ROW('CASE MASTER'!#REF!)-1)))&amp;TRIM(MID(SUBSTITUTE(SUBSTITUTE(INDEX('CASE MASTER'!$N$2:$N$495,(SUMPRODUCT((('CASE MASTER'!$T$2:$T$495=6)*('CASE MASTER'!$U$2:$U$495&lt;=1)*('CASE MASTER'!$W$2:$W$495&gt;=1)*('CASE MASTER'!$V$2:$V$495&lt;=8)*('CASE MASTER'!$X$2:$X$495&gt;=8))*ROW('CASE MASTER'!$T$2:$T$495))-(ROW('CASE MASTER'!#REF!)-1))),":",","),",",REPT(" ",50)),((((1-INDEX('CASE MASTER'!$U$2:$U$495,(SUMPRODUCT((('CASE MASTER'!$T$2:$T$495=6)*('CASE MASTER'!$U$2:$U$495&lt;=1)*('CASE MASTER'!$W$2:$W$495&gt;=1)*('CASE MASTER'!$V$2:$V$495&lt;=8)*('CASE MASTER'!$X$2:$X$495&gt;=8))*ROW('CASE MASTER'!$T$2:$T$495))-(ROW('CASE MASTER'!#REF!)-1))))*(INDEX('CASE MASTER'!$X$2:$X$495,(SUMPRODUCT((('CASE MASTER'!$T$2:$T$495=6)*('CASE MASTER'!$U$2:$U$495&lt;=1)*('CASE MASTER'!$W$2:$W$495&gt;=1)*('CASE MASTER'!$V$2:$V$495&lt;=8)*('CASE MASTER'!$X$2:$X$495&gt;=8))*ROW('CASE MASTER'!$T$2:$T$495))-(ROW('CASE MASTER'!#REF!)-1)))-INDEX('CASE MASTER'!$V$2:$V$495,(SUMPRODUCT((('CASE MASTER'!$T$2:$T$495=6)*('CASE MASTER'!$U$2:$U$495&lt;=1)*('CASE MASTER'!$W$2:$W$495&gt;=1)*('CASE MASTER'!$V$2:$V$495&lt;=8)*('CASE MASTER'!$X$2:$X$495&gt;=8))*ROW('CASE MASTER'!$T$2:$T$495))-(ROW('CASE MASTER'!#REF!)-1)))+1)+(8-INDEX('CASE MASTER'!$V$2:$V$495,(SUMPRODUCT((('CASE MASTER'!$T$2:$T$495=6)*('CASE MASTER'!$U$2:$U$495&lt;=1)*('CASE MASTER'!$W$2:$W$495&gt;=1)*('CASE MASTER'!$V$2:$V$495&lt;=8)*('CASE MASTER'!$X$2:$X$495&gt;=8))*ROW('CASE MASTER'!$T$2:$T$495))-(ROW('CASE MASTER'!#REF!)-1))))+1))-1)*50+1,50))&amp;"_"&amp;INDEX('CASE MASTER'!$Q$2:$Q$495,(SUMPRODUCT((('CASE MASTER'!$T$2:$T$495=6)*('CASE MASTER'!$U$2:$U$495&lt;=1)*('CASE MASTER'!$W$2:$W$495&gt;=1)*('CASE MASTER'!$V$2:$V$495&lt;=8)*('CASE MASTER'!$X$2:$X$495&gt;=8))*ROW('CASE MASTER'!$T$2:$T$495))-(ROW('CASE MASTER'!#REF!)-1))),IF(SUMPRODUCT((('CASE MASTER'!$T$2:$T$495=6)*('CASE MASTER'!$AA$2:$AA$495&lt;=1)*('CASE MASTER'!$AC$2:$AC$495&gt;=1)*('CASE MASTER'!$AB$2:$AB$495&lt;=8)*('CASE MASTER'!$AD$2:$AD$495&gt;=8))*ROW('CASE MASTER'!$T$2:$T$495))&gt;0,INDEX('CASE MASTER'!$Y$2:$Y$495,(SUMPRODUCT((('CASE MASTER'!$T$2:$T$495=6)*('CASE MASTER'!$AA$2:$AA$495&lt;=1)*('CASE MASTER'!$AC$2:$AC$495&gt;=1)*('CASE MASTER'!$AB$2:$AB$495&lt;=8)*('CASE MASTER'!$AD$2:$AD$495&gt;=8))*ROW('CASE MASTER'!$T$2:$T$495))-(ROW('CASE MASTER'!#REF!)-1)))&amp;TRIM(MID(SUBSTITUTE(SUBSTITUTE(INDEX('CASE MASTER'!$N$2:$N$495,(SUMPRODUCT((('CASE MASTER'!$T$2:$T$495=6)*('CASE MASTER'!$AA$2:$AA$495&lt;=1)*('CASE MASTER'!$AC$2:$AC$495&gt;=1)*('CASE MASTER'!$AB$2:$AB$495&lt;=8)*('CASE MASTER'!$AD$2:$AD$495&gt;=8))*ROW('CASE MASTER'!$T$2:$T$495))-(ROW('CASE MASTER'!#REF!)-1))),":",","),",",REPT(" ",50)),(((INDEX('CASE MASTER'!$Z$2:$Z$495,(SUMPRODUCT((('CASE MASTER'!$T$2:$T$495=6)*('CASE MASTER'!$AA$2:$AA$495&lt;=1)*('CASE MASTER'!$AC$2:$AC$495&gt;=1)*('CASE MASTER'!$AB$2:$AB$495&lt;=8)*('CASE MASTER'!$AD$2:$AD$495&gt;=8))*ROW('CASE MASTER'!$T$2:$T$495))-(ROW('CASE MASTER'!#REF!)-1)))+((1-INDEX('CASE MASTER'!$AA$2:$AA$495,(SUMPRODUCT((('CASE MASTER'!$T$2:$T$495=6)*('CASE MASTER'!$AA$2:$AA$495&lt;=1)*('CASE MASTER'!$AC$2:$AC$495&gt;=1)*('CASE MASTER'!$AB$2:$AB$495&lt;=8)*('CASE MASTER'!$AD$2:$AD$495&gt;=8))*ROW('CASE MASTER'!$T$2:$T$495))-(ROW('CASE MASTER'!#REF!)-1))))*(INDEX('CASE MASTER'!$AD$2:$AD$495,(SUMPRODUCT((('CASE MASTER'!$T$2:$T$495=6)*('CASE MASTER'!$AA$2:$AA$495&lt;=1)*('CASE MASTER'!$AC$2:$AC$495&gt;=1)*('CASE MASTER'!$AB$2:$AB$495&lt;=8)*('CASE MASTER'!$AD$2:$AD$495&gt;=8))*ROW('CASE MASTER'!$T$2:$T$495))-(ROW('CASE MASTER'!#REF!)-1)))-INDEX('CASE MASTER'!$AB$2:$AB$495,(SUMPRODUCT((('CASE MASTER'!$T$2:$T$495=6)*('CASE MASTER'!$AA$2:$AA$495&lt;=1)*('CASE MASTER'!$AC$2:$AC$495&gt;=1)*('CASE MASTER'!$AB$2:$AB$495&lt;=8)*('CASE MASTER'!$AD$2:$AD$495&gt;=8))*ROW('CASE MASTER'!$T$2:$T$495))-(ROW('CASE MASTER'!#REF!)-1)))+1)+(8-INDEX('CASE MASTER'!$AB$2:$AB$495,(SUMPRODUCT((('CASE MASTER'!$T$2:$T$495=6)*('CASE MASTER'!$AA$2:$AA$495&lt;=1)*('CASE MASTER'!$AC$2:$AC$495&gt;=1)*('CASE MASTER'!$AB$2:$AB$495&lt;=8)*('CASE MASTER'!$AD$2:$AD$495&gt;=8))*ROW('CASE MASTER'!$T$2:$T$495))-(ROW('CASE MASTER'!#REF!)-1))))+1)))-1)*50+1,50))&amp;"_"&amp;INDEX('CASE MASTER'!$Q$2:$Q$495,(SUMPRODUCT((('CASE MASTER'!$T$2:$T$495=6)*('CASE MASTER'!$AA$2:$AA$495&lt;=1)*('CASE MASTER'!$AC$2:$AC$495&gt;=1)*('CASE MASTER'!$AB$2:$AB$495&lt;=8)*('CASE MASTER'!$AD$2:$AD$495&gt;=8))*ROW('CASE MASTER'!$T$2:$T$495))-(ROW('CASE MASTER'!#REF!)-1))),"")),"")</f>
        <v/>
      </c>
      <c r="J73" s="10" t="str">
        <f>IFERROR(IF(SUMPRODUCT((('CASE MASTER'!$T$2:$T$495=6)*('CASE MASTER'!$U$2:$U$495&lt;=1)*('CASE MASTER'!$W$2:$W$495&gt;=1)*('CASE MASTER'!$V$2:$V$495&lt;=9)*('CASE MASTER'!$X$2:$X$495&gt;=9))*ROW('CASE MASTER'!$T$2:$T$495))&gt;0,INDEX('CASE MASTER'!$Y$2:$Y$495,(SUMPRODUCT((('CASE MASTER'!$T$2:$T$495=6)*('CASE MASTER'!$U$2:$U$495&lt;=1)*('CASE MASTER'!$W$2:$W$495&gt;=1)*('CASE MASTER'!$V$2:$V$495&lt;=9)*('CASE MASTER'!$X$2:$X$495&gt;=9))*ROW('CASE MASTER'!$T$2:$T$495))-(ROW('CASE MASTER'!#REF!)-1)))&amp;TRIM(MID(SUBSTITUTE(SUBSTITUTE(INDEX('CASE MASTER'!$N$2:$N$495,(SUMPRODUCT((('CASE MASTER'!$T$2:$T$495=6)*('CASE MASTER'!$U$2:$U$495&lt;=1)*('CASE MASTER'!$W$2:$W$495&gt;=1)*('CASE MASTER'!$V$2:$V$495&lt;=9)*('CASE MASTER'!$X$2:$X$495&gt;=9))*ROW('CASE MASTER'!$T$2:$T$495))-(ROW('CASE MASTER'!#REF!)-1))),":",","),",",REPT(" ",50)),((((1-INDEX('CASE MASTER'!$U$2:$U$495,(SUMPRODUCT((('CASE MASTER'!$T$2:$T$495=6)*('CASE MASTER'!$U$2:$U$495&lt;=1)*('CASE MASTER'!$W$2:$W$495&gt;=1)*('CASE MASTER'!$V$2:$V$495&lt;=9)*('CASE MASTER'!$X$2:$X$495&gt;=9))*ROW('CASE MASTER'!$T$2:$T$495))-(ROW('CASE MASTER'!#REF!)-1))))*(INDEX('CASE MASTER'!$X$2:$X$495,(SUMPRODUCT((('CASE MASTER'!$T$2:$T$495=6)*('CASE MASTER'!$U$2:$U$495&lt;=1)*('CASE MASTER'!$W$2:$W$495&gt;=1)*('CASE MASTER'!$V$2:$V$495&lt;=9)*('CASE MASTER'!$X$2:$X$495&gt;=9))*ROW('CASE MASTER'!$T$2:$T$495))-(ROW('CASE MASTER'!#REF!)-1)))-INDEX('CASE MASTER'!$V$2:$V$495,(SUMPRODUCT((('CASE MASTER'!$T$2:$T$495=6)*('CASE MASTER'!$U$2:$U$495&lt;=1)*('CASE MASTER'!$W$2:$W$495&gt;=1)*('CASE MASTER'!$V$2:$V$495&lt;=9)*('CASE MASTER'!$X$2:$X$495&gt;=9))*ROW('CASE MASTER'!$T$2:$T$495))-(ROW('CASE MASTER'!#REF!)-1)))+1)+(9-INDEX('CASE MASTER'!$V$2:$V$495,(SUMPRODUCT((('CASE MASTER'!$T$2:$T$495=6)*('CASE MASTER'!$U$2:$U$495&lt;=1)*('CASE MASTER'!$W$2:$W$495&gt;=1)*('CASE MASTER'!$V$2:$V$495&lt;=9)*('CASE MASTER'!$X$2:$X$495&gt;=9))*ROW('CASE MASTER'!$T$2:$T$495))-(ROW('CASE MASTER'!#REF!)-1))))+1))-1)*50+1,50))&amp;"_"&amp;INDEX('CASE MASTER'!$Q$2:$Q$495,(SUMPRODUCT((('CASE MASTER'!$T$2:$T$495=6)*('CASE MASTER'!$U$2:$U$495&lt;=1)*('CASE MASTER'!$W$2:$W$495&gt;=1)*('CASE MASTER'!$V$2:$V$495&lt;=9)*('CASE MASTER'!$X$2:$X$495&gt;=9))*ROW('CASE MASTER'!$T$2:$T$495))-(ROW('CASE MASTER'!#REF!)-1))),IF(SUMPRODUCT((('CASE MASTER'!$T$2:$T$495=6)*('CASE MASTER'!$AA$2:$AA$495&lt;=1)*('CASE MASTER'!$AC$2:$AC$495&gt;=1)*('CASE MASTER'!$AB$2:$AB$495&lt;=9)*('CASE MASTER'!$AD$2:$AD$495&gt;=9))*ROW('CASE MASTER'!$T$2:$T$495))&gt;0,INDEX('CASE MASTER'!$Y$2:$Y$495,(SUMPRODUCT((('CASE MASTER'!$T$2:$T$495=6)*('CASE MASTER'!$AA$2:$AA$495&lt;=1)*('CASE MASTER'!$AC$2:$AC$495&gt;=1)*('CASE MASTER'!$AB$2:$AB$495&lt;=9)*('CASE MASTER'!$AD$2:$AD$495&gt;=9))*ROW('CASE MASTER'!$T$2:$T$495))-(ROW('CASE MASTER'!#REF!)-1)))&amp;TRIM(MID(SUBSTITUTE(SUBSTITUTE(INDEX('CASE MASTER'!$N$2:$N$495,(SUMPRODUCT((('CASE MASTER'!$T$2:$T$495=6)*('CASE MASTER'!$AA$2:$AA$495&lt;=1)*('CASE MASTER'!$AC$2:$AC$495&gt;=1)*('CASE MASTER'!$AB$2:$AB$495&lt;=9)*('CASE MASTER'!$AD$2:$AD$495&gt;=9))*ROW('CASE MASTER'!$T$2:$T$495))-(ROW('CASE MASTER'!#REF!)-1))),":",","),",",REPT(" ",50)),(((INDEX('CASE MASTER'!$Z$2:$Z$495,(SUMPRODUCT((('CASE MASTER'!$T$2:$T$495=6)*('CASE MASTER'!$AA$2:$AA$495&lt;=1)*('CASE MASTER'!$AC$2:$AC$495&gt;=1)*('CASE MASTER'!$AB$2:$AB$495&lt;=9)*('CASE MASTER'!$AD$2:$AD$495&gt;=9))*ROW('CASE MASTER'!$T$2:$T$495))-(ROW('CASE MASTER'!#REF!)-1)))+((1-INDEX('CASE MASTER'!$AA$2:$AA$495,(SUMPRODUCT((('CASE MASTER'!$T$2:$T$495=6)*('CASE MASTER'!$AA$2:$AA$495&lt;=1)*('CASE MASTER'!$AC$2:$AC$495&gt;=1)*('CASE MASTER'!$AB$2:$AB$495&lt;=9)*('CASE MASTER'!$AD$2:$AD$495&gt;=9))*ROW('CASE MASTER'!$T$2:$T$495))-(ROW('CASE MASTER'!#REF!)-1))))*(INDEX('CASE MASTER'!$AD$2:$AD$495,(SUMPRODUCT((('CASE MASTER'!$T$2:$T$495=6)*('CASE MASTER'!$AA$2:$AA$495&lt;=1)*('CASE MASTER'!$AC$2:$AC$495&gt;=1)*('CASE MASTER'!$AB$2:$AB$495&lt;=9)*('CASE MASTER'!$AD$2:$AD$495&gt;=9))*ROW('CASE MASTER'!$T$2:$T$495))-(ROW('CASE MASTER'!#REF!)-1)))-INDEX('CASE MASTER'!$AB$2:$AB$495,(SUMPRODUCT((('CASE MASTER'!$T$2:$T$495=6)*('CASE MASTER'!$AA$2:$AA$495&lt;=1)*('CASE MASTER'!$AC$2:$AC$495&gt;=1)*('CASE MASTER'!$AB$2:$AB$495&lt;=9)*('CASE MASTER'!$AD$2:$AD$495&gt;=9))*ROW('CASE MASTER'!$T$2:$T$495))-(ROW('CASE MASTER'!#REF!)-1)))+1)+(9-INDEX('CASE MASTER'!$AB$2:$AB$495,(SUMPRODUCT((('CASE MASTER'!$T$2:$T$495=6)*('CASE MASTER'!$AA$2:$AA$495&lt;=1)*('CASE MASTER'!$AC$2:$AC$495&gt;=1)*('CASE MASTER'!$AB$2:$AB$495&lt;=9)*('CASE MASTER'!$AD$2:$AD$495&gt;=9))*ROW('CASE MASTER'!$T$2:$T$495))-(ROW('CASE MASTER'!#REF!)-1))))+1)))-1)*50+1,50))&amp;"_"&amp;INDEX('CASE MASTER'!$Q$2:$Q$495,(SUMPRODUCT((('CASE MASTER'!$T$2:$T$495=6)*('CASE MASTER'!$AA$2:$AA$495&lt;=1)*('CASE MASTER'!$AC$2:$AC$495&gt;=1)*('CASE MASTER'!$AB$2:$AB$495&lt;=9)*('CASE MASTER'!$AD$2:$AD$495&gt;=9))*ROW('CASE MASTER'!$T$2:$T$495))-(ROW('CASE MASTER'!#REF!)-1))),"")),"")</f>
        <v/>
      </c>
      <c r="K73" s="10" t="str">
        <f>IFERROR(IF(SUMPRODUCT((('CASE MASTER'!$T$2:$T$495=6)*('CASE MASTER'!$U$2:$U$495&lt;=1)*('CASE MASTER'!$W$2:$W$495&gt;=1)*('CASE MASTER'!$V$2:$V$495&lt;=10)*('CASE MASTER'!$X$2:$X$495&gt;=10))*ROW('CASE MASTER'!$T$2:$T$495))&gt;0,INDEX('CASE MASTER'!$Y$2:$Y$495,(SUMPRODUCT((('CASE MASTER'!$T$2:$T$495=6)*('CASE MASTER'!$U$2:$U$495&lt;=1)*('CASE MASTER'!$W$2:$W$495&gt;=1)*('CASE MASTER'!$V$2:$V$495&lt;=10)*('CASE MASTER'!$X$2:$X$495&gt;=10))*ROW('CASE MASTER'!$T$2:$T$495))-(ROW('CASE MASTER'!#REF!)-1)))&amp;TRIM(MID(SUBSTITUTE(SUBSTITUTE(INDEX('CASE MASTER'!$N$2:$N$495,(SUMPRODUCT((('CASE MASTER'!$T$2:$T$495=6)*('CASE MASTER'!$U$2:$U$495&lt;=1)*('CASE MASTER'!$W$2:$W$495&gt;=1)*('CASE MASTER'!$V$2:$V$495&lt;=10)*('CASE MASTER'!$X$2:$X$495&gt;=10))*ROW('CASE MASTER'!$T$2:$T$495))-(ROW('CASE MASTER'!#REF!)-1))),":",","),",",REPT(" ",50)),((((1-INDEX('CASE MASTER'!$U$2:$U$495,(SUMPRODUCT((('CASE MASTER'!$T$2:$T$495=6)*('CASE MASTER'!$U$2:$U$495&lt;=1)*('CASE MASTER'!$W$2:$W$495&gt;=1)*('CASE MASTER'!$V$2:$V$495&lt;=10)*('CASE MASTER'!$X$2:$X$495&gt;=10))*ROW('CASE MASTER'!$T$2:$T$495))-(ROW('CASE MASTER'!#REF!)-1))))*(INDEX('CASE MASTER'!$X$2:$X$495,(SUMPRODUCT((('CASE MASTER'!$T$2:$T$495=6)*('CASE MASTER'!$U$2:$U$495&lt;=1)*('CASE MASTER'!$W$2:$W$495&gt;=1)*('CASE MASTER'!$V$2:$V$495&lt;=10)*('CASE MASTER'!$X$2:$X$495&gt;=10))*ROW('CASE MASTER'!$T$2:$T$495))-(ROW('CASE MASTER'!#REF!)-1)))-INDEX('CASE MASTER'!$V$2:$V$495,(SUMPRODUCT((('CASE MASTER'!$T$2:$T$495=6)*('CASE MASTER'!$U$2:$U$495&lt;=1)*('CASE MASTER'!$W$2:$W$495&gt;=1)*('CASE MASTER'!$V$2:$V$495&lt;=10)*('CASE MASTER'!$X$2:$X$495&gt;=10))*ROW('CASE MASTER'!$T$2:$T$495))-(ROW('CASE MASTER'!#REF!)-1)))+1)+(10-INDEX('CASE MASTER'!$V$2:$V$495,(SUMPRODUCT((('CASE MASTER'!$T$2:$T$495=6)*('CASE MASTER'!$U$2:$U$495&lt;=1)*('CASE MASTER'!$W$2:$W$495&gt;=1)*('CASE MASTER'!$V$2:$V$495&lt;=10)*('CASE MASTER'!$X$2:$X$495&gt;=10))*ROW('CASE MASTER'!$T$2:$T$495))-(ROW('CASE MASTER'!#REF!)-1))))+1))-1)*50+1,50))&amp;"_"&amp;INDEX('CASE MASTER'!$Q$2:$Q$495,(SUMPRODUCT((('CASE MASTER'!$T$2:$T$495=6)*('CASE MASTER'!$U$2:$U$495&lt;=1)*('CASE MASTER'!$W$2:$W$495&gt;=1)*('CASE MASTER'!$V$2:$V$495&lt;=10)*('CASE MASTER'!$X$2:$X$495&gt;=10))*ROW('CASE MASTER'!$T$2:$T$495))-(ROW('CASE MASTER'!#REF!)-1))),IF(SUMPRODUCT((('CASE MASTER'!$T$2:$T$495=6)*('CASE MASTER'!$AA$2:$AA$495&lt;=1)*('CASE MASTER'!$AC$2:$AC$495&gt;=1)*('CASE MASTER'!$AB$2:$AB$495&lt;=10)*('CASE MASTER'!$AD$2:$AD$495&gt;=10))*ROW('CASE MASTER'!$T$2:$T$495))&gt;0,INDEX('CASE MASTER'!$Y$2:$Y$495,(SUMPRODUCT((('CASE MASTER'!$T$2:$T$495=6)*('CASE MASTER'!$AA$2:$AA$495&lt;=1)*('CASE MASTER'!$AC$2:$AC$495&gt;=1)*('CASE MASTER'!$AB$2:$AB$495&lt;=10)*('CASE MASTER'!$AD$2:$AD$495&gt;=10))*ROW('CASE MASTER'!$T$2:$T$495))-(ROW('CASE MASTER'!#REF!)-1)))&amp;TRIM(MID(SUBSTITUTE(SUBSTITUTE(INDEX('CASE MASTER'!$N$2:$N$495,(SUMPRODUCT((('CASE MASTER'!$T$2:$T$495=6)*('CASE MASTER'!$AA$2:$AA$495&lt;=1)*('CASE MASTER'!$AC$2:$AC$495&gt;=1)*('CASE MASTER'!$AB$2:$AB$495&lt;=10)*('CASE MASTER'!$AD$2:$AD$495&gt;=10))*ROW('CASE MASTER'!$T$2:$T$495))-(ROW('CASE MASTER'!#REF!)-1))),":",","),",",REPT(" ",50)),(((INDEX('CASE MASTER'!$Z$2:$Z$495,(SUMPRODUCT((('CASE MASTER'!$T$2:$T$495=6)*('CASE MASTER'!$AA$2:$AA$495&lt;=1)*('CASE MASTER'!$AC$2:$AC$495&gt;=1)*('CASE MASTER'!$AB$2:$AB$495&lt;=10)*('CASE MASTER'!$AD$2:$AD$495&gt;=10))*ROW('CASE MASTER'!$T$2:$T$495))-(ROW('CASE MASTER'!#REF!)-1)))+((1-INDEX('CASE MASTER'!$AA$2:$AA$495,(SUMPRODUCT((('CASE MASTER'!$T$2:$T$495=6)*('CASE MASTER'!$AA$2:$AA$495&lt;=1)*('CASE MASTER'!$AC$2:$AC$495&gt;=1)*('CASE MASTER'!$AB$2:$AB$495&lt;=10)*('CASE MASTER'!$AD$2:$AD$495&gt;=10))*ROW('CASE MASTER'!$T$2:$T$495))-(ROW('CASE MASTER'!#REF!)-1))))*(INDEX('CASE MASTER'!$AD$2:$AD$495,(SUMPRODUCT((('CASE MASTER'!$T$2:$T$495=6)*('CASE MASTER'!$AA$2:$AA$495&lt;=1)*('CASE MASTER'!$AC$2:$AC$495&gt;=1)*('CASE MASTER'!$AB$2:$AB$495&lt;=10)*('CASE MASTER'!$AD$2:$AD$495&gt;=10))*ROW('CASE MASTER'!$T$2:$T$495))-(ROW('CASE MASTER'!#REF!)-1)))-INDEX('CASE MASTER'!$AB$2:$AB$495,(SUMPRODUCT((('CASE MASTER'!$T$2:$T$495=6)*('CASE MASTER'!$AA$2:$AA$495&lt;=1)*('CASE MASTER'!$AC$2:$AC$495&gt;=1)*('CASE MASTER'!$AB$2:$AB$495&lt;=10)*('CASE MASTER'!$AD$2:$AD$495&gt;=10))*ROW('CASE MASTER'!$T$2:$T$495))-(ROW('CASE MASTER'!#REF!)-1)))+1)+(10-INDEX('CASE MASTER'!$AB$2:$AB$495,(SUMPRODUCT((('CASE MASTER'!$T$2:$T$495=6)*('CASE MASTER'!$AA$2:$AA$495&lt;=1)*('CASE MASTER'!$AC$2:$AC$495&gt;=1)*('CASE MASTER'!$AB$2:$AB$495&lt;=10)*('CASE MASTER'!$AD$2:$AD$495&gt;=10))*ROW('CASE MASTER'!$T$2:$T$495))-(ROW('CASE MASTER'!#REF!)-1))))+1)))-1)*50+1,50))&amp;"_"&amp;INDEX('CASE MASTER'!$Q$2:$Q$495,(SUMPRODUCT((('CASE MASTER'!$T$2:$T$495=6)*('CASE MASTER'!$AA$2:$AA$495&lt;=1)*('CASE MASTER'!$AC$2:$AC$495&gt;=1)*('CASE MASTER'!$AB$2:$AB$495&lt;=10)*('CASE MASTER'!$AD$2:$AD$495&gt;=10))*ROW('CASE MASTER'!$T$2:$T$495))-(ROW('CASE MASTER'!#REF!)-1))),"")),"")</f>
        <v/>
      </c>
    </row>
    <row r="74" spans="1:11" ht="15" customHeight="1" x14ac:dyDescent="0.35">
      <c r="A74" s="8" t="s">
        <v>29</v>
      </c>
      <c r="B74" s="10" t="str">
        <f>IFERROR(IF(SUMPRODUCT((('CASE MASTER'!$T$2:$T$495=6)*('CASE MASTER'!$U$2:$U$495&lt;=2)*('CASE MASTER'!$W$2:$W$495&gt;=2)*('CASE MASTER'!$V$2:$V$495&lt;=1)*('CASE MASTER'!$X$2:$X$495&gt;=1))*ROW('CASE MASTER'!$T$2:$T$495))&gt;0,INDEX('CASE MASTER'!$Y$2:$Y$495,(SUMPRODUCT((('CASE MASTER'!$T$2:$T$495=6)*('CASE MASTER'!$U$2:$U$495&lt;=2)*('CASE MASTER'!$W$2:$W$495&gt;=2)*('CASE MASTER'!$V$2:$V$495&lt;=1)*('CASE MASTER'!$X$2:$X$495&gt;=1))*ROW('CASE MASTER'!$T$2:$T$495))-(ROW('CASE MASTER'!#REF!)-1)))&amp;TRIM(MID(SUBSTITUTE(SUBSTITUTE(INDEX('CASE MASTER'!$N$2:$N$495,(SUMPRODUCT((('CASE MASTER'!$T$2:$T$495=6)*('CASE MASTER'!$U$2:$U$495&lt;=2)*('CASE MASTER'!$W$2:$W$495&gt;=2)*('CASE MASTER'!$V$2:$V$495&lt;=1)*('CASE MASTER'!$X$2:$X$495&gt;=1))*ROW('CASE MASTER'!$T$2:$T$495))-(ROW('CASE MASTER'!#REF!)-1))),":",","),",",REPT(" ",50)),((((2-INDEX('CASE MASTER'!$U$2:$U$495,(SUMPRODUCT((('CASE MASTER'!$T$2:$T$495=6)*('CASE MASTER'!$U$2:$U$495&lt;=2)*('CASE MASTER'!$W$2:$W$495&gt;=2)*('CASE MASTER'!$V$2:$V$495&lt;=1)*('CASE MASTER'!$X$2:$X$495&gt;=1))*ROW('CASE MASTER'!$T$2:$T$495))-(ROW('CASE MASTER'!#REF!)-1))))*(INDEX('CASE MASTER'!$X$2:$X$495,(SUMPRODUCT((('CASE MASTER'!$T$2:$T$495=6)*('CASE MASTER'!$U$2:$U$495&lt;=2)*('CASE MASTER'!$W$2:$W$495&gt;=2)*('CASE MASTER'!$V$2:$V$495&lt;=1)*('CASE MASTER'!$X$2:$X$495&gt;=1))*ROW('CASE MASTER'!$T$2:$T$495))-(ROW('CASE MASTER'!#REF!)-1)))-INDEX('CASE MASTER'!$V$2:$V$495,(SUMPRODUCT((('CASE MASTER'!$T$2:$T$495=6)*('CASE MASTER'!$U$2:$U$495&lt;=2)*('CASE MASTER'!$W$2:$W$495&gt;=2)*('CASE MASTER'!$V$2:$V$495&lt;=1)*('CASE MASTER'!$X$2:$X$495&gt;=1))*ROW('CASE MASTER'!$T$2:$T$495))-(ROW('CASE MASTER'!#REF!)-1)))+1)+(1-INDEX('CASE MASTER'!$V$2:$V$495,(SUMPRODUCT((('CASE MASTER'!$T$2:$T$495=6)*('CASE MASTER'!$U$2:$U$495&lt;=2)*('CASE MASTER'!$W$2:$W$495&gt;=2)*('CASE MASTER'!$V$2:$V$495&lt;=1)*('CASE MASTER'!$X$2:$X$495&gt;=1))*ROW('CASE MASTER'!$T$2:$T$495))-(ROW('CASE MASTER'!#REF!)-1))))+1))-1)*50+1,50))&amp;"_"&amp;INDEX('CASE MASTER'!$Q$2:$Q$495,(SUMPRODUCT((('CASE MASTER'!$T$2:$T$495=6)*('CASE MASTER'!$U$2:$U$495&lt;=2)*('CASE MASTER'!$W$2:$W$495&gt;=2)*('CASE MASTER'!$V$2:$V$495&lt;=1)*('CASE MASTER'!$X$2:$X$495&gt;=1))*ROW('CASE MASTER'!$T$2:$T$495))-(ROW('CASE MASTER'!#REF!)-1))),IF(SUMPRODUCT((('CASE MASTER'!$T$2:$T$495=6)*('CASE MASTER'!$AA$2:$AA$495&lt;=2)*('CASE MASTER'!$AC$2:$AC$495&gt;=2)*('CASE MASTER'!$AB$2:$AB$495&lt;=1)*('CASE MASTER'!$AD$2:$AD$495&gt;=1))*ROW('CASE MASTER'!$T$2:$T$495))&gt;0,INDEX('CASE MASTER'!$Y$2:$Y$495,(SUMPRODUCT((('CASE MASTER'!$T$2:$T$495=6)*('CASE MASTER'!$AA$2:$AA$495&lt;=2)*('CASE MASTER'!$AC$2:$AC$495&gt;=2)*('CASE MASTER'!$AB$2:$AB$495&lt;=1)*('CASE MASTER'!$AD$2:$AD$495&gt;=1))*ROW('CASE MASTER'!$T$2:$T$495))-(ROW('CASE MASTER'!#REF!)-1)))&amp;TRIM(MID(SUBSTITUTE(SUBSTITUTE(INDEX('CASE MASTER'!$N$2:$N$495,(SUMPRODUCT((('CASE MASTER'!$T$2:$T$495=6)*('CASE MASTER'!$AA$2:$AA$495&lt;=2)*('CASE MASTER'!$AC$2:$AC$495&gt;=2)*('CASE MASTER'!$AB$2:$AB$495&lt;=1)*('CASE MASTER'!$AD$2:$AD$495&gt;=1))*ROW('CASE MASTER'!$T$2:$T$495))-(ROW('CASE MASTER'!#REF!)-1))),":",","),",",REPT(" ",50)),(((INDEX('CASE MASTER'!$Z$2:$Z$495,(SUMPRODUCT((('CASE MASTER'!$T$2:$T$495=6)*('CASE MASTER'!$AA$2:$AA$495&lt;=2)*('CASE MASTER'!$AC$2:$AC$495&gt;=2)*('CASE MASTER'!$AB$2:$AB$495&lt;=1)*('CASE MASTER'!$AD$2:$AD$495&gt;=1))*ROW('CASE MASTER'!$T$2:$T$495))-(ROW('CASE MASTER'!#REF!)-1)))+((2-INDEX('CASE MASTER'!$AA$2:$AA$495,(SUMPRODUCT((('CASE MASTER'!$T$2:$T$495=6)*('CASE MASTER'!$AA$2:$AA$495&lt;=2)*('CASE MASTER'!$AC$2:$AC$495&gt;=2)*('CASE MASTER'!$AB$2:$AB$495&lt;=1)*('CASE MASTER'!$AD$2:$AD$495&gt;=1))*ROW('CASE MASTER'!$T$2:$T$495))-(ROW('CASE MASTER'!#REF!)-1))))*(INDEX('CASE MASTER'!$AD$2:$AD$495,(SUMPRODUCT((('CASE MASTER'!$T$2:$T$495=6)*('CASE MASTER'!$AA$2:$AA$495&lt;=2)*('CASE MASTER'!$AC$2:$AC$495&gt;=2)*('CASE MASTER'!$AB$2:$AB$495&lt;=1)*('CASE MASTER'!$AD$2:$AD$495&gt;=1))*ROW('CASE MASTER'!$T$2:$T$495))-(ROW('CASE MASTER'!#REF!)-1)))-INDEX('CASE MASTER'!$AB$2:$AB$495,(SUMPRODUCT((('CASE MASTER'!$T$2:$T$495=6)*('CASE MASTER'!$AA$2:$AA$495&lt;=2)*('CASE MASTER'!$AC$2:$AC$495&gt;=2)*('CASE MASTER'!$AB$2:$AB$495&lt;=1)*('CASE MASTER'!$AD$2:$AD$495&gt;=1))*ROW('CASE MASTER'!$T$2:$T$495))-(ROW('CASE MASTER'!#REF!)-1)))+1)+(1-INDEX('CASE MASTER'!$AB$2:$AB$495,(SUMPRODUCT((('CASE MASTER'!$T$2:$T$495=6)*('CASE MASTER'!$AA$2:$AA$495&lt;=2)*('CASE MASTER'!$AC$2:$AC$495&gt;=2)*('CASE MASTER'!$AB$2:$AB$495&lt;=1)*('CASE MASTER'!$AD$2:$AD$495&gt;=1))*ROW('CASE MASTER'!$T$2:$T$495))-(ROW('CASE MASTER'!#REF!)-1))))+1)))-1)*50+1,50))&amp;"_"&amp;INDEX('CASE MASTER'!$Q$2:$Q$495,(SUMPRODUCT((('CASE MASTER'!$T$2:$T$495=6)*('CASE MASTER'!$AA$2:$AA$495&lt;=2)*('CASE MASTER'!$AC$2:$AC$495&gt;=2)*('CASE MASTER'!$AB$2:$AB$495&lt;=1)*('CASE MASTER'!$AD$2:$AD$495&gt;=1))*ROW('CASE MASTER'!$T$2:$T$495))-(ROW('CASE MASTER'!#REF!)-1))),"")),"")</f>
        <v/>
      </c>
      <c r="C74" s="10" t="str">
        <f>IFERROR(IF(SUMPRODUCT((('CASE MASTER'!$T$2:$T$495=6)*('CASE MASTER'!$U$2:$U$495&lt;=2)*('CASE MASTER'!$W$2:$W$495&gt;=2)*('CASE MASTER'!$V$2:$V$495&lt;=2)*('CASE MASTER'!$X$2:$X$495&gt;=2))*ROW('CASE MASTER'!$T$2:$T$495))&gt;0,INDEX('CASE MASTER'!$Y$2:$Y$495,(SUMPRODUCT((('CASE MASTER'!$T$2:$T$495=6)*('CASE MASTER'!$U$2:$U$495&lt;=2)*('CASE MASTER'!$W$2:$W$495&gt;=2)*('CASE MASTER'!$V$2:$V$495&lt;=2)*('CASE MASTER'!$X$2:$X$495&gt;=2))*ROW('CASE MASTER'!$T$2:$T$495))-(ROW('CASE MASTER'!#REF!)-1)))&amp;TRIM(MID(SUBSTITUTE(SUBSTITUTE(INDEX('CASE MASTER'!$N$2:$N$495,(SUMPRODUCT((('CASE MASTER'!$T$2:$T$495=6)*('CASE MASTER'!$U$2:$U$495&lt;=2)*('CASE MASTER'!$W$2:$W$495&gt;=2)*('CASE MASTER'!$V$2:$V$495&lt;=2)*('CASE MASTER'!$X$2:$X$495&gt;=2))*ROW('CASE MASTER'!$T$2:$T$495))-(ROW('CASE MASTER'!#REF!)-1))),":",","),",",REPT(" ",50)),((((2-INDEX('CASE MASTER'!$U$2:$U$495,(SUMPRODUCT((('CASE MASTER'!$T$2:$T$495=6)*('CASE MASTER'!$U$2:$U$495&lt;=2)*('CASE MASTER'!$W$2:$W$495&gt;=2)*('CASE MASTER'!$V$2:$V$495&lt;=2)*('CASE MASTER'!$X$2:$X$495&gt;=2))*ROW('CASE MASTER'!$T$2:$T$495))-(ROW('CASE MASTER'!#REF!)-1))))*(INDEX('CASE MASTER'!$X$2:$X$495,(SUMPRODUCT((('CASE MASTER'!$T$2:$T$495=6)*('CASE MASTER'!$U$2:$U$495&lt;=2)*('CASE MASTER'!$W$2:$W$495&gt;=2)*('CASE MASTER'!$V$2:$V$495&lt;=2)*('CASE MASTER'!$X$2:$X$495&gt;=2))*ROW('CASE MASTER'!$T$2:$T$495))-(ROW('CASE MASTER'!#REF!)-1)))-INDEX('CASE MASTER'!$V$2:$V$495,(SUMPRODUCT((('CASE MASTER'!$T$2:$T$495=6)*('CASE MASTER'!$U$2:$U$495&lt;=2)*('CASE MASTER'!$W$2:$W$495&gt;=2)*('CASE MASTER'!$V$2:$V$495&lt;=2)*('CASE MASTER'!$X$2:$X$495&gt;=2))*ROW('CASE MASTER'!$T$2:$T$495))-(ROW('CASE MASTER'!#REF!)-1)))+1)+(2-INDEX('CASE MASTER'!$V$2:$V$495,(SUMPRODUCT((('CASE MASTER'!$T$2:$T$495=6)*('CASE MASTER'!$U$2:$U$495&lt;=2)*('CASE MASTER'!$W$2:$W$495&gt;=2)*('CASE MASTER'!$V$2:$V$495&lt;=2)*('CASE MASTER'!$X$2:$X$495&gt;=2))*ROW('CASE MASTER'!$T$2:$T$495))-(ROW('CASE MASTER'!#REF!)-1))))+1))-1)*50+1,50))&amp;"_"&amp;INDEX('CASE MASTER'!$Q$2:$Q$495,(SUMPRODUCT((('CASE MASTER'!$T$2:$T$495=6)*('CASE MASTER'!$U$2:$U$495&lt;=2)*('CASE MASTER'!$W$2:$W$495&gt;=2)*('CASE MASTER'!$V$2:$V$495&lt;=2)*('CASE MASTER'!$X$2:$X$495&gt;=2))*ROW('CASE MASTER'!$T$2:$T$495))-(ROW('CASE MASTER'!#REF!)-1))),IF(SUMPRODUCT((('CASE MASTER'!$T$2:$T$495=6)*('CASE MASTER'!$AA$2:$AA$495&lt;=2)*('CASE MASTER'!$AC$2:$AC$495&gt;=2)*('CASE MASTER'!$AB$2:$AB$495&lt;=2)*('CASE MASTER'!$AD$2:$AD$495&gt;=2))*ROW('CASE MASTER'!$T$2:$T$495))&gt;0,INDEX('CASE MASTER'!$Y$2:$Y$495,(SUMPRODUCT((('CASE MASTER'!$T$2:$T$495=6)*('CASE MASTER'!$AA$2:$AA$495&lt;=2)*('CASE MASTER'!$AC$2:$AC$495&gt;=2)*('CASE MASTER'!$AB$2:$AB$495&lt;=2)*('CASE MASTER'!$AD$2:$AD$495&gt;=2))*ROW('CASE MASTER'!$T$2:$T$495))-(ROW('CASE MASTER'!#REF!)-1)))&amp;TRIM(MID(SUBSTITUTE(SUBSTITUTE(INDEX('CASE MASTER'!$N$2:$N$495,(SUMPRODUCT((('CASE MASTER'!$T$2:$T$495=6)*('CASE MASTER'!$AA$2:$AA$495&lt;=2)*('CASE MASTER'!$AC$2:$AC$495&gt;=2)*('CASE MASTER'!$AB$2:$AB$495&lt;=2)*('CASE MASTER'!$AD$2:$AD$495&gt;=2))*ROW('CASE MASTER'!$T$2:$T$495))-(ROW('CASE MASTER'!#REF!)-1))),":",","),",",REPT(" ",50)),(((INDEX('CASE MASTER'!$Z$2:$Z$495,(SUMPRODUCT((('CASE MASTER'!$T$2:$T$495=6)*('CASE MASTER'!$AA$2:$AA$495&lt;=2)*('CASE MASTER'!$AC$2:$AC$495&gt;=2)*('CASE MASTER'!$AB$2:$AB$495&lt;=2)*('CASE MASTER'!$AD$2:$AD$495&gt;=2))*ROW('CASE MASTER'!$T$2:$T$495))-(ROW('CASE MASTER'!#REF!)-1)))+((2-INDEX('CASE MASTER'!$AA$2:$AA$495,(SUMPRODUCT((('CASE MASTER'!$T$2:$T$495=6)*('CASE MASTER'!$AA$2:$AA$495&lt;=2)*('CASE MASTER'!$AC$2:$AC$495&gt;=2)*('CASE MASTER'!$AB$2:$AB$495&lt;=2)*('CASE MASTER'!$AD$2:$AD$495&gt;=2))*ROW('CASE MASTER'!$T$2:$T$495))-(ROW('CASE MASTER'!#REF!)-1))))*(INDEX('CASE MASTER'!$AD$2:$AD$495,(SUMPRODUCT((('CASE MASTER'!$T$2:$T$495=6)*('CASE MASTER'!$AA$2:$AA$495&lt;=2)*('CASE MASTER'!$AC$2:$AC$495&gt;=2)*('CASE MASTER'!$AB$2:$AB$495&lt;=2)*('CASE MASTER'!$AD$2:$AD$495&gt;=2))*ROW('CASE MASTER'!$T$2:$T$495))-(ROW('CASE MASTER'!#REF!)-1)))-INDEX('CASE MASTER'!$AB$2:$AB$495,(SUMPRODUCT((('CASE MASTER'!$T$2:$T$495=6)*('CASE MASTER'!$AA$2:$AA$495&lt;=2)*('CASE MASTER'!$AC$2:$AC$495&gt;=2)*('CASE MASTER'!$AB$2:$AB$495&lt;=2)*('CASE MASTER'!$AD$2:$AD$495&gt;=2))*ROW('CASE MASTER'!$T$2:$T$495))-(ROW('CASE MASTER'!#REF!)-1)))+1)+(2-INDEX('CASE MASTER'!$AB$2:$AB$495,(SUMPRODUCT((('CASE MASTER'!$T$2:$T$495=6)*('CASE MASTER'!$AA$2:$AA$495&lt;=2)*('CASE MASTER'!$AC$2:$AC$495&gt;=2)*('CASE MASTER'!$AB$2:$AB$495&lt;=2)*('CASE MASTER'!$AD$2:$AD$495&gt;=2))*ROW('CASE MASTER'!$T$2:$T$495))-(ROW('CASE MASTER'!#REF!)-1))))+1)))-1)*50+1,50))&amp;"_"&amp;INDEX('CASE MASTER'!$Q$2:$Q$495,(SUMPRODUCT((('CASE MASTER'!$T$2:$T$495=6)*('CASE MASTER'!$AA$2:$AA$495&lt;=2)*('CASE MASTER'!$AC$2:$AC$495&gt;=2)*('CASE MASTER'!$AB$2:$AB$495&lt;=2)*('CASE MASTER'!$AD$2:$AD$495&gt;=2))*ROW('CASE MASTER'!$T$2:$T$495))-(ROW('CASE MASTER'!#REF!)-1))),"")),"")</f>
        <v/>
      </c>
      <c r="D74" s="10" t="str">
        <f>IFERROR(IF(SUMPRODUCT((('CASE MASTER'!$T$2:$T$495=6)*('CASE MASTER'!$U$2:$U$495&lt;=2)*('CASE MASTER'!$W$2:$W$495&gt;=2)*('CASE MASTER'!$V$2:$V$495&lt;=3)*('CASE MASTER'!$X$2:$X$495&gt;=3))*ROW('CASE MASTER'!$T$2:$T$495))&gt;0,INDEX('CASE MASTER'!$Y$2:$Y$495,(SUMPRODUCT((('CASE MASTER'!$T$2:$T$495=6)*('CASE MASTER'!$U$2:$U$495&lt;=2)*('CASE MASTER'!$W$2:$W$495&gt;=2)*('CASE MASTER'!$V$2:$V$495&lt;=3)*('CASE MASTER'!$X$2:$X$495&gt;=3))*ROW('CASE MASTER'!$T$2:$T$495))-(ROW('CASE MASTER'!#REF!)-1)))&amp;TRIM(MID(SUBSTITUTE(SUBSTITUTE(INDEX('CASE MASTER'!$N$2:$N$495,(SUMPRODUCT((('CASE MASTER'!$T$2:$T$495=6)*('CASE MASTER'!$U$2:$U$495&lt;=2)*('CASE MASTER'!$W$2:$W$495&gt;=2)*('CASE MASTER'!$V$2:$V$495&lt;=3)*('CASE MASTER'!$X$2:$X$495&gt;=3))*ROW('CASE MASTER'!$T$2:$T$495))-(ROW('CASE MASTER'!#REF!)-1))),":",","),",",REPT(" ",50)),((((2-INDEX('CASE MASTER'!$U$2:$U$495,(SUMPRODUCT((('CASE MASTER'!$T$2:$T$495=6)*('CASE MASTER'!$U$2:$U$495&lt;=2)*('CASE MASTER'!$W$2:$W$495&gt;=2)*('CASE MASTER'!$V$2:$V$495&lt;=3)*('CASE MASTER'!$X$2:$X$495&gt;=3))*ROW('CASE MASTER'!$T$2:$T$495))-(ROW('CASE MASTER'!#REF!)-1))))*(INDEX('CASE MASTER'!$X$2:$X$495,(SUMPRODUCT((('CASE MASTER'!$T$2:$T$495=6)*('CASE MASTER'!$U$2:$U$495&lt;=2)*('CASE MASTER'!$W$2:$W$495&gt;=2)*('CASE MASTER'!$V$2:$V$495&lt;=3)*('CASE MASTER'!$X$2:$X$495&gt;=3))*ROW('CASE MASTER'!$T$2:$T$495))-(ROW('CASE MASTER'!#REF!)-1)))-INDEX('CASE MASTER'!$V$2:$V$495,(SUMPRODUCT((('CASE MASTER'!$T$2:$T$495=6)*('CASE MASTER'!$U$2:$U$495&lt;=2)*('CASE MASTER'!$W$2:$W$495&gt;=2)*('CASE MASTER'!$V$2:$V$495&lt;=3)*('CASE MASTER'!$X$2:$X$495&gt;=3))*ROW('CASE MASTER'!$T$2:$T$495))-(ROW('CASE MASTER'!#REF!)-1)))+1)+(3-INDEX('CASE MASTER'!$V$2:$V$495,(SUMPRODUCT((('CASE MASTER'!$T$2:$T$495=6)*('CASE MASTER'!$U$2:$U$495&lt;=2)*('CASE MASTER'!$W$2:$W$495&gt;=2)*('CASE MASTER'!$V$2:$V$495&lt;=3)*('CASE MASTER'!$X$2:$X$495&gt;=3))*ROW('CASE MASTER'!$T$2:$T$495))-(ROW('CASE MASTER'!#REF!)-1))))+1))-1)*50+1,50))&amp;"_"&amp;INDEX('CASE MASTER'!$Q$2:$Q$495,(SUMPRODUCT((('CASE MASTER'!$T$2:$T$495=6)*('CASE MASTER'!$U$2:$U$495&lt;=2)*('CASE MASTER'!$W$2:$W$495&gt;=2)*('CASE MASTER'!$V$2:$V$495&lt;=3)*('CASE MASTER'!$X$2:$X$495&gt;=3))*ROW('CASE MASTER'!$T$2:$T$495))-(ROW('CASE MASTER'!#REF!)-1))),IF(SUMPRODUCT((('CASE MASTER'!$T$2:$T$495=6)*('CASE MASTER'!$AA$2:$AA$495&lt;=2)*('CASE MASTER'!$AC$2:$AC$495&gt;=2)*('CASE MASTER'!$AB$2:$AB$495&lt;=3)*('CASE MASTER'!$AD$2:$AD$495&gt;=3))*ROW('CASE MASTER'!$T$2:$T$495))&gt;0,INDEX('CASE MASTER'!$Y$2:$Y$495,(SUMPRODUCT((('CASE MASTER'!$T$2:$T$495=6)*('CASE MASTER'!$AA$2:$AA$495&lt;=2)*('CASE MASTER'!$AC$2:$AC$495&gt;=2)*('CASE MASTER'!$AB$2:$AB$495&lt;=3)*('CASE MASTER'!$AD$2:$AD$495&gt;=3))*ROW('CASE MASTER'!$T$2:$T$495))-(ROW('CASE MASTER'!#REF!)-1)))&amp;TRIM(MID(SUBSTITUTE(SUBSTITUTE(INDEX('CASE MASTER'!$N$2:$N$495,(SUMPRODUCT((('CASE MASTER'!$T$2:$T$495=6)*('CASE MASTER'!$AA$2:$AA$495&lt;=2)*('CASE MASTER'!$AC$2:$AC$495&gt;=2)*('CASE MASTER'!$AB$2:$AB$495&lt;=3)*('CASE MASTER'!$AD$2:$AD$495&gt;=3))*ROW('CASE MASTER'!$T$2:$T$495))-(ROW('CASE MASTER'!#REF!)-1))),":",","),",",REPT(" ",50)),(((INDEX('CASE MASTER'!$Z$2:$Z$495,(SUMPRODUCT((('CASE MASTER'!$T$2:$T$495=6)*('CASE MASTER'!$AA$2:$AA$495&lt;=2)*('CASE MASTER'!$AC$2:$AC$495&gt;=2)*('CASE MASTER'!$AB$2:$AB$495&lt;=3)*('CASE MASTER'!$AD$2:$AD$495&gt;=3))*ROW('CASE MASTER'!$T$2:$T$495))-(ROW('CASE MASTER'!#REF!)-1)))+((2-INDEX('CASE MASTER'!$AA$2:$AA$495,(SUMPRODUCT((('CASE MASTER'!$T$2:$T$495=6)*('CASE MASTER'!$AA$2:$AA$495&lt;=2)*('CASE MASTER'!$AC$2:$AC$495&gt;=2)*('CASE MASTER'!$AB$2:$AB$495&lt;=3)*('CASE MASTER'!$AD$2:$AD$495&gt;=3))*ROW('CASE MASTER'!$T$2:$T$495))-(ROW('CASE MASTER'!#REF!)-1))))*(INDEX('CASE MASTER'!$AD$2:$AD$495,(SUMPRODUCT((('CASE MASTER'!$T$2:$T$495=6)*('CASE MASTER'!$AA$2:$AA$495&lt;=2)*('CASE MASTER'!$AC$2:$AC$495&gt;=2)*('CASE MASTER'!$AB$2:$AB$495&lt;=3)*('CASE MASTER'!$AD$2:$AD$495&gt;=3))*ROW('CASE MASTER'!$T$2:$T$495))-(ROW('CASE MASTER'!#REF!)-1)))-INDEX('CASE MASTER'!$AB$2:$AB$495,(SUMPRODUCT((('CASE MASTER'!$T$2:$T$495=6)*('CASE MASTER'!$AA$2:$AA$495&lt;=2)*('CASE MASTER'!$AC$2:$AC$495&gt;=2)*('CASE MASTER'!$AB$2:$AB$495&lt;=3)*('CASE MASTER'!$AD$2:$AD$495&gt;=3))*ROW('CASE MASTER'!$T$2:$T$495))-(ROW('CASE MASTER'!#REF!)-1)))+1)+(3-INDEX('CASE MASTER'!$AB$2:$AB$495,(SUMPRODUCT((('CASE MASTER'!$T$2:$T$495=6)*('CASE MASTER'!$AA$2:$AA$495&lt;=2)*('CASE MASTER'!$AC$2:$AC$495&gt;=2)*('CASE MASTER'!$AB$2:$AB$495&lt;=3)*('CASE MASTER'!$AD$2:$AD$495&gt;=3))*ROW('CASE MASTER'!$T$2:$T$495))-(ROW('CASE MASTER'!#REF!)-1))))+1)))-1)*50+1,50))&amp;"_"&amp;INDEX('CASE MASTER'!$Q$2:$Q$495,(SUMPRODUCT((('CASE MASTER'!$T$2:$T$495=6)*('CASE MASTER'!$AA$2:$AA$495&lt;=2)*('CASE MASTER'!$AC$2:$AC$495&gt;=2)*('CASE MASTER'!$AB$2:$AB$495&lt;=3)*('CASE MASTER'!$AD$2:$AD$495&gt;=3))*ROW('CASE MASTER'!$T$2:$T$495))-(ROW('CASE MASTER'!#REF!)-1))),"")),"")</f>
        <v/>
      </c>
      <c r="E74" s="10" t="str">
        <f>IFERROR(IF(SUMPRODUCT((('CASE MASTER'!$T$2:$T$495=6)*('CASE MASTER'!$U$2:$U$495&lt;=2)*('CASE MASTER'!$W$2:$W$495&gt;=2)*('CASE MASTER'!$V$2:$V$495&lt;=4)*('CASE MASTER'!$X$2:$X$495&gt;=4))*ROW('CASE MASTER'!$T$2:$T$495))&gt;0,INDEX('CASE MASTER'!$Y$2:$Y$495,(SUMPRODUCT((('CASE MASTER'!$T$2:$T$495=6)*('CASE MASTER'!$U$2:$U$495&lt;=2)*('CASE MASTER'!$W$2:$W$495&gt;=2)*('CASE MASTER'!$V$2:$V$495&lt;=4)*('CASE MASTER'!$X$2:$X$495&gt;=4))*ROW('CASE MASTER'!$T$2:$T$495))-(ROW('CASE MASTER'!#REF!)-1)))&amp;TRIM(MID(SUBSTITUTE(SUBSTITUTE(INDEX('CASE MASTER'!$N$2:$N$495,(SUMPRODUCT((('CASE MASTER'!$T$2:$T$495=6)*('CASE MASTER'!$U$2:$U$495&lt;=2)*('CASE MASTER'!$W$2:$W$495&gt;=2)*('CASE MASTER'!$V$2:$V$495&lt;=4)*('CASE MASTER'!$X$2:$X$495&gt;=4))*ROW('CASE MASTER'!$T$2:$T$495))-(ROW('CASE MASTER'!#REF!)-1))),":",","),",",REPT(" ",50)),((((2-INDEX('CASE MASTER'!$U$2:$U$495,(SUMPRODUCT((('CASE MASTER'!$T$2:$T$495=6)*('CASE MASTER'!$U$2:$U$495&lt;=2)*('CASE MASTER'!$W$2:$W$495&gt;=2)*('CASE MASTER'!$V$2:$V$495&lt;=4)*('CASE MASTER'!$X$2:$X$495&gt;=4))*ROW('CASE MASTER'!$T$2:$T$495))-(ROW('CASE MASTER'!#REF!)-1))))*(INDEX('CASE MASTER'!$X$2:$X$495,(SUMPRODUCT((('CASE MASTER'!$T$2:$T$495=6)*('CASE MASTER'!$U$2:$U$495&lt;=2)*('CASE MASTER'!$W$2:$W$495&gt;=2)*('CASE MASTER'!$V$2:$V$495&lt;=4)*('CASE MASTER'!$X$2:$X$495&gt;=4))*ROW('CASE MASTER'!$T$2:$T$495))-(ROW('CASE MASTER'!#REF!)-1)))-INDEX('CASE MASTER'!$V$2:$V$495,(SUMPRODUCT((('CASE MASTER'!$T$2:$T$495=6)*('CASE MASTER'!$U$2:$U$495&lt;=2)*('CASE MASTER'!$W$2:$W$495&gt;=2)*('CASE MASTER'!$V$2:$V$495&lt;=4)*('CASE MASTER'!$X$2:$X$495&gt;=4))*ROW('CASE MASTER'!$T$2:$T$495))-(ROW('CASE MASTER'!#REF!)-1)))+1)+(4-INDEX('CASE MASTER'!$V$2:$V$495,(SUMPRODUCT((('CASE MASTER'!$T$2:$T$495=6)*('CASE MASTER'!$U$2:$U$495&lt;=2)*('CASE MASTER'!$W$2:$W$495&gt;=2)*('CASE MASTER'!$V$2:$V$495&lt;=4)*('CASE MASTER'!$X$2:$X$495&gt;=4))*ROW('CASE MASTER'!$T$2:$T$495))-(ROW('CASE MASTER'!#REF!)-1))))+1))-1)*50+1,50))&amp;"_"&amp;INDEX('CASE MASTER'!$Q$2:$Q$495,(SUMPRODUCT((('CASE MASTER'!$T$2:$T$495=6)*('CASE MASTER'!$U$2:$U$495&lt;=2)*('CASE MASTER'!$W$2:$W$495&gt;=2)*('CASE MASTER'!$V$2:$V$495&lt;=4)*('CASE MASTER'!$X$2:$X$495&gt;=4))*ROW('CASE MASTER'!$T$2:$T$495))-(ROW('CASE MASTER'!#REF!)-1))),IF(SUMPRODUCT((('CASE MASTER'!$T$2:$T$495=6)*('CASE MASTER'!$AA$2:$AA$495&lt;=2)*('CASE MASTER'!$AC$2:$AC$495&gt;=2)*('CASE MASTER'!$AB$2:$AB$495&lt;=4)*('CASE MASTER'!$AD$2:$AD$495&gt;=4))*ROW('CASE MASTER'!$T$2:$T$495))&gt;0,INDEX('CASE MASTER'!$Y$2:$Y$495,(SUMPRODUCT((('CASE MASTER'!$T$2:$T$495=6)*('CASE MASTER'!$AA$2:$AA$495&lt;=2)*('CASE MASTER'!$AC$2:$AC$495&gt;=2)*('CASE MASTER'!$AB$2:$AB$495&lt;=4)*('CASE MASTER'!$AD$2:$AD$495&gt;=4))*ROW('CASE MASTER'!$T$2:$T$495))-(ROW('CASE MASTER'!#REF!)-1)))&amp;TRIM(MID(SUBSTITUTE(SUBSTITUTE(INDEX('CASE MASTER'!$N$2:$N$495,(SUMPRODUCT((('CASE MASTER'!$T$2:$T$495=6)*('CASE MASTER'!$AA$2:$AA$495&lt;=2)*('CASE MASTER'!$AC$2:$AC$495&gt;=2)*('CASE MASTER'!$AB$2:$AB$495&lt;=4)*('CASE MASTER'!$AD$2:$AD$495&gt;=4))*ROW('CASE MASTER'!$T$2:$T$495))-(ROW('CASE MASTER'!#REF!)-1))),":",","),",",REPT(" ",50)),(((INDEX('CASE MASTER'!$Z$2:$Z$495,(SUMPRODUCT((('CASE MASTER'!$T$2:$T$495=6)*('CASE MASTER'!$AA$2:$AA$495&lt;=2)*('CASE MASTER'!$AC$2:$AC$495&gt;=2)*('CASE MASTER'!$AB$2:$AB$495&lt;=4)*('CASE MASTER'!$AD$2:$AD$495&gt;=4))*ROW('CASE MASTER'!$T$2:$T$495))-(ROW('CASE MASTER'!#REF!)-1)))+((2-INDEX('CASE MASTER'!$AA$2:$AA$495,(SUMPRODUCT((('CASE MASTER'!$T$2:$T$495=6)*('CASE MASTER'!$AA$2:$AA$495&lt;=2)*('CASE MASTER'!$AC$2:$AC$495&gt;=2)*('CASE MASTER'!$AB$2:$AB$495&lt;=4)*('CASE MASTER'!$AD$2:$AD$495&gt;=4))*ROW('CASE MASTER'!$T$2:$T$495))-(ROW('CASE MASTER'!#REF!)-1))))*(INDEX('CASE MASTER'!$AD$2:$AD$495,(SUMPRODUCT((('CASE MASTER'!$T$2:$T$495=6)*('CASE MASTER'!$AA$2:$AA$495&lt;=2)*('CASE MASTER'!$AC$2:$AC$495&gt;=2)*('CASE MASTER'!$AB$2:$AB$495&lt;=4)*('CASE MASTER'!$AD$2:$AD$495&gt;=4))*ROW('CASE MASTER'!$T$2:$T$495))-(ROW('CASE MASTER'!#REF!)-1)))-INDEX('CASE MASTER'!$AB$2:$AB$495,(SUMPRODUCT((('CASE MASTER'!$T$2:$T$495=6)*('CASE MASTER'!$AA$2:$AA$495&lt;=2)*('CASE MASTER'!$AC$2:$AC$495&gt;=2)*('CASE MASTER'!$AB$2:$AB$495&lt;=4)*('CASE MASTER'!$AD$2:$AD$495&gt;=4))*ROW('CASE MASTER'!$T$2:$T$495))-(ROW('CASE MASTER'!#REF!)-1)))+1)+(4-INDEX('CASE MASTER'!$AB$2:$AB$495,(SUMPRODUCT((('CASE MASTER'!$T$2:$T$495=6)*('CASE MASTER'!$AA$2:$AA$495&lt;=2)*('CASE MASTER'!$AC$2:$AC$495&gt;=2)*('CASE MASTER'!$AB$2:$AB$495&lt;=4)*('CASE MASTER'!$AD$2:$AD$495&gt;=4))*ROW('CASE MASTER'!$T$2:$T$495))-(ROW('CASE MASTER'!#REF!)-1))))+1)))-1)*50+1,50))&amp;"_"&amp;INDEX('CASE MASTER'!$Q$2:$Q$495,(SUMPRODUCT((('CASE MASTER'!$T$2:$T$495=6)*('CASE MASTER'!$AA$2:$AA$495&lt;=2)*('CASE MASTER'!$AC$2:$AC$495&gt;=2)*('CASE MASTER'!$AB$2:$AB$495&lt;=4)*('CASE MASTER'!$AD$2:$AD$495&gt;=4))*ROW('CASE MASTER'!$T$2:$T$495))-(ROW('CASE MASTER'!#REF!)-1))),"")),"")</f>
        <v/>
      </c>
      <c r="F74" s="10" t="str">
        <f>IFERROR(IF(SUMPRODUCT((('CASE MASTER'!$T$2:$T$495=6)*('CASE MASTER'!$U$2:$U$495&lt;=2)*('CASE MASTER'!$W$2:$W$495&gt;=2)*('CASE MASTER'!$V$2:$V$495&lt;=5)*('CASE MASTER'!$X$2:$X$495&gt;=5))*ROW('CASE MASTER'!$T$2:$T$495))&gt;0,INDEX('CASE MASTER'!$Y$2:$Y$495,(SUMPRODUCT((('CASE MASTER'!$T$2:$T$495=6)*('CASE MASTER'!$U$2:$U$495&lt;=2)*('CASE MASTER'!$W$2:$W$495&gt;=2)*('CASE MASTER'!$V$2:$V$495&lt;=5)*('CASE MASTER'!$X$2:$X$495&gt;=5))*ROW('CASE MASTER'!$T$2:$T$495))-(ROW('CASE MASTER'!#REF!)-1)))&amp;TRIM(MID(SUBSTITUTE(SUBSTITUTE(INDEX('CASE MASTER'!$N$2:$N$495,(SUMPRODUCT((('CASE MASTER'!$T$2:$T$495=6)*('CASE MASTER'!$U$2:$U$495&lt;=2)*('CASE MASTER'!$W$2:$W$495&gt;=2)*('CASE MASTER'!$V$2:$V$495&lt;=5)*('CASE MASTER'!$X$2:$X$495&gt;=5))*ROW('CASE MASTER'!$T$2:$T$495))-(ROW('CASE MASTER'!#REF!)-1))),":",","),",",REPT(" ",50)),((((2-INDEX('CASE MASTER'!$U$2:$U$495,(SUMPRODUCT((('CASE MASTER'!$T$2:$T$495=6)*('CASE MASTER'!$U$2:$U$495&lt;=2)*('CASE MASTER'!$W$2:$W$495&gt;=2)*('CASE MASTER'!$V$2:$V$495&lt;=5)*('CASE MASTER'!$X$2:$X$495&gt;=5))*ROW('CASE MASTER'!$T$2:$T$495))-(ROW('CASE MASTER'!#REF!)-1))))*(INDEX('CASE MASTER'!$X$2:$X$495,(SUMPRODUCT((('CASE MASTER'!$T$2:$T$495=6)*('CASE MASTER'!$U$2:$U$495&lt;=2)*('CASE MASTER'!$W$2:$W$495&gt;=2)*('CASE MASTER'!$V$2:$V$495&lt;=5)*('CASE MASTER'!$X$2:$X$495&gt;=5))*ROW('CASE MASTER'!$T$2:$T$495))-(ROW('CASE MASTER'!#REF!)-1)))-INDEX('CASE MASTER'!$V$2:$V$495,(SUMPRODUCT((('CASE MASTER'!$T$2:$T$495=6)*('CASE MASTER'!$U$2:$U$495&lt;=2)*('CASE MASTER'!$W$2:$W$495&gt;=2)*('CASE MASTER'!$V$2:$V$495&lt;=5)*('CASE MASTER'!$X$2:$X$495&gt;=5))*ROW('CASE MASTER'!$T$2:$T$495))-(ROW('CASE MASTER'!#REF!)-1)))+1)+(5-INDEX('CASE MASTER'!$V$2:$V$495,(SUMPRODUCT((('CASE MASTER'!$T$2:$T$495=6)*('CASE MASTER'!$U$2:$U$495&lt;=2)*('CASE MASTER'!$W$2:$W$495&gt;=2)*('CASE MASTER'!$V$2:$V$495&lt;=5)*('CASE MASTER'!$X$2:$X$495&gt;=5))*ROW('CASE MASTER'!$T$2:$T$495))-(ROW('CASE MASTER'!#REF!)-1))))+1))-1)*50+1,50))&amp;"_"&amp;INDEX('CASE MASTER'!$Q$2:$Q$495,(SUMPRODUCT((('CASE MASTER'!$T$2:$T$495=6)*('CASE MASTER'!$U$2:$U$495&lt;=2)*('CASE MASTER'!$W$2:$W$495&gt;=2)*('CASE MASTER'!$V$2:$V$495&lt;=5)*('CASE MASTER'!$X$2:$X$495&gt;=5))*ROW('CASE MASTER'!$T$2:$T$495))-(ROW('CASE MASTER'!#REF!)-1))),IF(SUMPRODUCT((('CASE MASTER'!$T$2:$T$495=6)*('CASE MASTER'!$AA$2:$AA$495&lt;=2)*('CASE MASTER'!$AC$2:$AC$495&gt;=2)*('CASE MASTER'!$AB$2:$AB$495&lt;=5)*('CASE MASTER'!$AD$2:$AD$495&gt;=5))*ROW('CASE MASTER'!$T$2:$T$495))&gt;0,INDEX('CASE MASTER'!$Y$2:$Y$495,(SUMPRODUCT((('CASE MASTER'!$T$2:$T$495=6)*('CASE MASTER'!$AA$2:$AA$495&lt;=2)*('CASE MASTER'!$AC$2:$AC$495&gt;=2)*('CASE MASTER'!$AB$2:$AB$495&lt;=5)*('CASE MASTER'!$AD$2:$AD$495&gt;=5))*ROW('CASE MASTER'!$T$2:$T$495))-(ROW('CASE MASTER'!#REF!)-1)))&amp;TRIM(MID(SUBSTITUTE(SUBSTITUTE(INDEX('CASE MASTER'!$N$2:$N$495,(SUMPRODUCT((('CASE MASTER'!$T$2:$T$495=6)*('CASE MASTER'!$AA$2:$AA$495&lt;=2)*('CASE MASTER'!$AC$2:$AC$495&gt;=2)*('CASE MASTER'!$AB$2:$AB$495&lt;=5)*('CASE MASTER'!$AD$2:$AD$495&gt;=5))*ROW('CASE MASTER'!$T$2:$T$495))-(ROW('CASE MASTER'!#REF!)-1))),":",","),",",REPT(" ",50)),(((INDEX('CASE MASTER'!$Z$2:$Z$495,(SUMPRODUCT((('CASE MASTER'!$T$2:$T$495=6)*('CASE MASTER'!$AA$2:$AA$495&lt;=2)*('CASE MASTER'!$AC$2:$AC$495&gt;=2)*('CASE MASTER'!$AB$2:$AB$495&lt;=5)*('CASE MASTER'!$AD$2:$AD$495&gt;=5))*ROW('CASE MASTER'!$T$2:$T$495))-(ROW('CASE MASTER'!#REF!)-1)))+((2-INDEX('CASE MASTER'!$AA$2:$AA$495,(SUMPRODUCT((('CASE MASTER'!$T$2:$T$495=6)*('CASE MASTER'!$AA$2:$AA$495&lt;=2)*('CASE MASTER'!$AC$2:$AC$495&gt;=2)*('CASE MASTER'!$AB$2:$AB$495&lt;=5)*('CASE MASTER'!$AD$2:$AD$495&gt;=5))*ROW('CASE MASTER'!$T$2:$T$495))-(ROW('CASE MASTER'!#REF!)-1))))*(INDEX('CASE MASTER'!$AD$2:$AD$495,(SUMPRODUCT((('CASE MASTER'!$T$2:$T$495=6)*('CASE MASTER'!$AA$2:$AA$495&lt;=2)*('CASE MASTER'!$AC$2:$AC$495&gt;=2)*('CASE MASTER'!$AB$2:$AB$495&lt;=5)*('CASE MASTER'!$AD$2:$AD$495&gt;=5))*ROW('CASE MASTER'!$T$2:$T$495))-(ROW('CASE MASTER'!#REF!)-1)))-INDEX('CASE MASTER'!$AB$2:$AB$495,(SUMPRODUCT((('CASE MASTER'!$T$2:$T$495=6)*('CASE MASTER'!$AA$2:$AA$495&lt;=2)*('CASE MASTER'!$AC$2:$AC$495&gt;=2)*('CASE MASTER'!$AB$2:$AB$495&lt;=5)*('CASE MASTER'!$AD$2:$AD$495&gt;=5))*ROW('CASE MASTER'!$T$2:$T$495))-(ROW('CASE MASTER'!#REF!)-1)))+1)+(5-INDEX('CASE MASTER'!$AB$2:$AB$495,(SUMPRODUCT((('CASE MASTER'!$T$2:$T$495=6)*('CASE MASTER'!$AA$2:$AA$495&lt;=2)*('CASE MASTER'!$AC$2:$AC$495&gt;=2)*('CASE MASTER'!$AB$2:$AB$495&lt;=5)*('CASE MASTER'!$AD$2:$AD$495&gt;=5))*ROW('CASE MASTER'!$T$2:$T$495))-(ROW('CASE MASTER'!#REF!)-1))))+1)))-1)*50+1,50))&amp;"_"&amp;INDEX('CASE MASTER'!$Q$2:$Q$495,(SUMPRODUCT((('CASE MASTER'!$T$2:$T$495=6)*('CASE MASTER'!$AA$2:$AA$495&lt;=2)*('CASE MASTER'!$AC$2:$AC$495&gt;=2)*('CASE MASTER'!$AB$2:$AB$495&lt;=5)*('CASE MASTER'!$AD$2:$AD$495&gt;=5))*ROW('CASE MASTER'!$T$2:$T$495))-(ROW('CASE MASTER'!#REF!)-1))),"")),"")</f>
        <v/>
      </c>
      <c r="G74" s="10" t="str">
        <f>IFERROR(IF(SUMPRODUCT((('CASE MASTER'!$T$2:$T$495=6)*('CASE MASTER'!$U$2:$U$495&lt;=2)*('CASE MASTER'!$W$2:$W$495&gt;=2)*('CASE MASTER'!$V$2:$V$495&lt;=6)*('CASE MASTER'!$X$2:$X$495&gt;=6))*ROW('CASE MASTER'!$T$2:$T$495))&gt;0,INDEX('CASE MASTER'!$Y$2:$Y$495,(SUMPRODUCT((('CASE MASTER'!$T$2:$T$495=6)*('CASE MASTER'!$U$2:$U$495&lt;=2)*('CASE MASTER'!$W$2:$W$495&gt;=2)*('CASE MASTER'!$V$2:$V$495&lt;=6)*('CASE MASTER'!$X$2:$X$495&gt;=6))*ROW('CASE MASTER'!$T$2:$T$495))-(ROW('CASE MASTER'!#REF!)-1)))&amp;TRIM(MID(SUBSTITUTE(SUBSTITUTE(INDEX('CASE MASTER'!$N$2:$N$495,(SUMPRODUCT((('CASE MASTER'!$T$2:$T$495=6)*('CASE MASTER'!$U$2:$U$495&lt;=2)*('CASE MASTER'!$W$2:$W$495&gt;=2)*('CASE MASTER'!$V$2:$V$495&lt;=6)*('CASE MASTER'!$X$2:$X$495&gt;=6))*ROW('CASE MASTER'!$T$2:$T$495))-(ROW('CASE MASTER'!#REF!)-1))),":",","),",",REPT(" ",50)),((((2-INDEX('CASE MASTER'!$U$2:$U$495,(SUMPRODUCT((('CASE MASTER'!$T$2:$T$495=6)*('CASE MASTER'!$U$2:$U$495&lt;=2)*('CASE MASTER'!$W$2:$W$495&gt;=2)*('CASE MASTER'!$V$2:$V$495&lt;=6)*('CASE MASTER'!$X$2:$X$495&gt;=6))*ROW('CASE MASTER'!$T$2:$T$495))-(ROW('CASE MASTER'!#REF!)-1))))*(INDEX('CASE MASTER'!$X$2:$X$495,(SUMPRODUCT((('CASE MASTER'!$T$2:$T$495=6)*('CASE MASTER'!$U$2:$U$495&lt;=2)*('CASE MASTER'!$W$2:$W$495&gt;=2)*('CASE MASTER'!$V$2:$V$495&lt;=6)*('CASE MASTER'!$X$2:$X$495&gt;=6))*ROW('CASE MASTER'!$T$2:$T$495))-(ROW('CASE MASTER'!#REF!)-1)))-INDEX('CASE MASTER'!$V$2:$V$495,(SUMPRODUCT((('CASE MASTER'!$T$2:$T$495=6)*('CASE MASTER'!$U$2:$U$495&lt;=2)*('CASE MASTER'!$W$2:$W$495&gt;=2)*('CASE MASTER'!$V$2:$V$495&lt;=6)*('CASE MASTER'!$X$2:$X$495&gt;=6))*ROW('CASE MASTER'!$T$2:$T$495))-(ROW('CASE MASTER'!#REF!)-1)))+1)+(6-INDEX('CASE MASTER'!$V$2:$V$495,(SUMPRODUCT((('CASE MASTER'!$T$2:$T$495=6)*('CASE MASTER'!$U$2:$U$495&lt;=2)*('CASE MASTER'!$W$2:$W$495&gt;=2)*('CASE MASTER'!$V$2:$V$495&lt;=6)*('CASE MASTER'!$X$2:$X$495&gt;=6))*ROW('CASE MASTER'!$T$2:$T$495))-(ROW('CASE MASTER'!#REF!)-1))))+1))-1)*50+1,50))&amp;"_"&amp;INDEX('CASE MASTER'!$Q$2:$Q$495,(SUMPRODUCT((('CASE MASTER'!$T$2:$T$495=6)*('CASE MASTER'!$U$2:$U$495&lt;=2)*('CASE MASTER'!$W$2:$W$495&gt;=2)*('CASE MASTER'!$V$2:$V$495&lt;=6)*('CASE MASTER'!$X$2:$X$495&gt;=6))*ROW('CASE MASTER'!$T$2:$T$495))-(ROW('CASE MASTER'!#REF!)-1))),IF(SUMPRODUCT((('CASE MASTER'!$T$2:$T$495=6)*('CASE MASTER'!$AA$2:$AA$495&lt;=2)*('CASE MASTER'!$AC$2:$AC$495&gt;=2)*('CASE MASTER'!$AB$2:$AB$495&lt;=6)*('CASE MASTER'!$AD$2:$AD$495&gt;=6))*ROW('CASE MASTER'!$T$2:$T$495))&gt;0,INDEX('CASE MASTER'!$Y$2:$Y$495,(SUMPRODUCT((('CASE MASTER'!$T$2:$T$495=6)*('CASE MASTER'!$AA$2:$AA$495&lt;=2)*('CASE MASTER'!$AC$2:$AC$495&gt;=2)*('CASE MASTER'!$AB$2:$AB$495&lt;=6)*('CASE MASTER'!$AD$2:$AD$495&gt;=6))*ROW('CASE MASTER'!$T$2:$T$495))-(ROW('CASE MASTER'!#REF!)-1)))&amp;TRIM(MID(SUBSTITUTE(SUBSTITUTE(INDEX('CASE MASTER'!$N$2:$N$495,(SUMPRODUCT((('CASE MASTER'!$T$2:$T$495=6)*('CASE MASTER'!$AA$2:$AA$495&lt;=2)*('CASE MASTER'!$AC$2:$AC$495&gt;=2)*('CASE MASTER'!$AB$2:$AB$495&lt;=6)*('CASE MASTER'!$AD$2:$AD$495&gt;=6))*ROW('CASE MASTER'!$T$2:$T$495))-(ROW('CASE MASTER'!#REF!)-1))),":",","),",",REPT(" ",50)),(((INDEX('CASE MASTER'!$Z$2:$Z$495,(SUMPRODUCT((('CASE MASTER'!$T$2:$T$495=6)*('CASE MASTER'!$AA$2:$AA$495&lt;=2)*('CASE MASTER'!$AC$2:$AC$495&gt;=2)*('CASE MASTER'!$AB$2:$AB$495&lt;=6)*('CASE MASTER'!$AD$2:$AD$495&gt;=6))*ROW('CASE MASTER'!$T$2:$T$495))-(ROW('CASE MASTER'!#REF!)-1)))+((2-INDEX('CASE MASTER'!$AA$2:$AA$495,(SUMPRODUCT((('CASE MASTER'!$T$2:$T$495=6)*('CASE MASTER'!$AA$2:$AA$495&lt;=2)*('CASE MASTER'!$AC$2:$AC$495&gt;=2)*('CASE MASTER'!$AB$2:$AB$495&lt;=6)*('CASE MASTER'!$AD$2:$AD$495&gt;=6))*ROW('CASE MASTER'!$T$2:$T$495))-(ROW('CASE MASTER'!#REF!)-1))))*(INDEX('CASE MASTER'!$AD$2:$AD$495,(SUMPRODUCT((('CASE MASTER'!$T$2:$T$495=6)*('CASE MASTER'!$AA$2:$AA$495&lt;=2)*('CASE MASTER'!$AC$2:$AC$495&gt;=2)*('CASE MASTER'!$AB$2:$AB$495&lt;=6)*('CASE MASTER'!$AD$2:$AD$495&gt;=6))*ROW('CASE MASTER'!$T$2:$T$495))-(ROW('CASE MASTER'!#REF!)-1)))-INDEX('CASE MASTER'!$AB$2:$AB$495,(SUMPRODUCT((('CASE MASTER'!$T$2:$T$495=6)*('CASE MASTER'!$AA$2:$AA$495&lt;=2)*('CASE MASTER'!$AC$2:$AC$495&gt;=2)*('CASE MASTER'!$AB$2:$AB$495&lt;=6)*('CASE MASTER'!$AD$2:$AD$495&gt;=6))*ROW('CASE MASTER'!$T$2:$T$495))-(ROW('CASE MASTER'!#REF!)-1)))+1)+(6-INDEX('CASE MASTER'!$AB$2:$AB$495,(SUMPRODUCT((('CASE MASTER'!$T$2:$T$495=6)*('CASE MASTER'!$AA$2:$AA$495&lt;=2)*('CASE MASTER'!$AC$2:$AC$495&gt;=2)*('CASE MASTER'!$AB$2:$AB$495&lt;=6)*('CASE MASTER'!$AD$2:$AD$495&gt;=6))*ROW('CASE MASTER'!$T$2:$T$495))-(ROW('CASE MASTER'!#REF!)-1))))+1)))-1)*50+1,50))&amp;"_"&amp;INDEX('CASE MASTER'!$Q$2:$Q$495,(SUMPRODUCT((('CASE MASTER'!$T$2:$T$495=6)*('CASE MASTER'!$AA$2:$AA$495&lt;=2)*('CASE MASTER'!$AC$2:$AC$495&gt;=2)*('CASE MASTER'!$AB$2:$AB$495&lt;=6)*('CASE MASTER'!$AD$2:$AD$495&gt;=6))*ROW('CASE MASTER'!$T$2:$T$495))-(ROW('CASE MASTER'!#REF!)-1))),"")),"")</f>
        <v/>
      </c>
      <c r="H74" s="10" t="str">
        <f>IFERROR(IF(SUMPRODUCT((('CASE MASTER'!$T$2:$T$495=6)*('CASE MASTER'!$U$2:$U$495&lt;=2)*('CASE MASTER'!$W$2:$W$495&gt;=2)*('CASE MASTER'!$V$2:$V$495&lt;=7)*('CASE MASTER'!$X$2:$X$495&gt;=7))*ROW('CASE MASTER'!$T$2:$T$495))&gt;0,INDEX('CASE MASTER'!$Y$2:$Y$495,(SUMPRODUCT((('CASE MASTER'!$T$2:$T$495=6)*('CASE MASTER'!$U$2:$U$495&lt;=2)*('CASE MASTER'!$W$2:$W$495&gt;=2)*('CASE MASTER'!$V$2:$V$495&lt;=7)*('CASE MASTER'!$X$2:$X$495&gt;=7))*ROW('CASE MASTER'!$T$2:$T$495))-(ROW('CASE MASTER'!#REF!)-1)))&amp;TRIM(MID(SUBSTITUTE(SUBSTITUTE(INDEX('CASE MASTER'!$N$2:$N$495,(SUMPRODUCT((('CASE MASTER'!$T$2:$T$495=6)*('CASE MASTER'!$U$2:$U$495&lt;=2)*('CASE MASTER'!$W$2:$W$495&gt;=2)*('CASE MASTER'!$V$2:$V$495&lt;=7)*('CASE MASTER'!$X$2:$X$495&gt;=7))*ROW('CASE MASTER'!$T$2:$T$495))-(ROW('CASE MASTER'!#REF!)-1))),":",","),",",REPT(" ",50)),((((2-INDEX('CASE MASTER'!$U$2:$U$495,(SUMPRODUCT((('CASE MASTER'!$T$2:$T$495=6)*('CASE MASTER'!$U$2:$U$495&lt;=2)*('CASE MASTER'!$W$2:$W$495&gt;=2)*('CASE MASTER'!$V$2:$V$495&lt;=7)*('CASE MASTER'!$X$2:$X$495&gt;=7))*ROW('CASE MASTER'!$T$2:$T$495))-(ROW('CASE MASTER'!#REF!)-1))))*(INDEX('CASE MASTER'!$X$2:$X$495,(SUMPRODUCT((('CASE MASTER'!$T$2:$T$495=6)*('CASE MASTER'!$U$2:$U$495&lt;=2)*('CASE MASTER'!$W$2:$W$495&gt;=2)*('CASE MASTER'!$V$2:$V$495&lt;=7)*('CASE MASTER'!$X$2:$X$495&gt;=7))*ROW('CASE MASTER'!$T$2:$T$495))-(ROW('CASE MASTER'!#REF!)-1)))-INDEX('CASE MASTER'!$V$2:$V$495,(SUMPRODUCT((('CASE MASTER'!$T$2:$T$495=6)*('CASE MASTER'!$U$2:$U$495&lt;=2)*('CASE MASTER'!$W$2:$W$495&gt;=2)*('CASE MASTER'!$V$2:$V$495&lt;=7)*('CASE MASTER'!$X$2:$X$495&gt;=7))*ROW('CASE MASTER'!$T$2:$T$495))-(ROW('CASE MASTER'!#REF!)-1)))+1)+(7-INDEX('CASE MASTER'!$V$2:$V$495,(SUMPRODUCT((('CASE MASTER'!$T$2:$T$495=6)*('CASE MASTER'!$U$2:$U$495&lt;=2)*('CASE MASTER'!$W$2:$W$495&gt;=2)*('CASE MASTER'!$V$2:$V$495&lt;=7)*('CASE MASTER'!$X$2:$X$495&gt;=7))*ROW('CASE MASTER'!$T$2:$T$495))-(ROW('CASE MASTER'!#REF!)-1))))+1))-1)*50+1,50))&amp;"_"&amp;INDEX('CASE MASTER'!$Q$2:$Q$495,(SUMPRODUCT((('CASE MASTER'!$T$2:$T$495=6)*('CASE MASTER'!$U$2:$U$495&lt;=2)*('CASE MASTER'!$W$2:$W$495&gt;=2)*('CASE MASTER'!$V$2:$V$495&lt;=7)*('CASE MASTER'!$X$2:$X$495&gt;=7))*ROW('CASE MASTER'!$T$2:$T$495))-(ROW('CASE MASTER'!#REF!)-1))),IF(SUMPRODUCT((('CASE MASTER'!$T$2:$T$495=6)*('CASE MASTER'!$AA$2:$AA$495&lt;=2)*('CASE MASTER'!$AC$2:$AC$495&gt;=2)*('CASE MASTER'!$AB$2:$AB$495&lt;=7)*('CASE MASTER'!$AD$2:$AD$495&gt;=7))*ROW('CASE MASTER'!$T$2:$T$495))&gt;0,INDEX('CASE MASTER'!$Y$2:$Y$495,(SUMPRODUCT((('CASE MASTER'!$T$2:$T$495=6)*('CASE MASTER'!$AA$2:$AA$495&lt;=2)*('CASE MASTER'!$AC$2:$AC$495&gt;=2)*('CASE MASTER'!$AB$2:$AB$495&lt;=7)*('CASE MASTER'!$AD$2:$AD$495&gt;=7))*ROW('CASE MASTER'!$T$2:$T$495))-(ROW('CASE MASTER'!#REF!)-1)))&amp;TRIM(MID(SUBSTITUTE(SUBSTITUTE(INDEX('CASE MASTER'!$N$2:$N$495,(SUMPRODUCT((('CASE MASTER'!$T$2:$T$495=6)*('CASE MASTER'!$AA$2:$AA$495&lt;=2)*('CASE MASTER'!$AC$2:$AC$495&gt;=2)*('CASE MASTER'!$AB$2:$AB$495&lt;=7)*('CASE MASTER'!$AD$2:$AD$495&gt;=7))*ROW('CASE MASTER'!$T$2:$T$495))-(ROW('CASE MASTER'!#REF!)-1))),":",","),",",REPT(" ",50)),(((INDEX('CASE MASTER'!$Z$2:$Z$495,(SUMPRODUCT((('CASE MASTER'!$T$2:$T$495=6)*('CASE MASTER'!$AA$2:$AA$495&lt;=2)*('CASE MASTER'!$AC$2:$AC$495&gt;=2)*('CASE MASTER'!$AB$2:$AB$495&lt;=7)*('CASE MASTER'!$AD$2:$AD$495&gt;=7))*ROW('CASE MASTER'!$T$2:$T$495))-(ROW('CASE MASTER'!#REF!)-1)))+((2-INDEX('CASE MASTER'!$AA$2:$AA$495,(SUMPRODUCT((('CASE MASTER'!$T$2:$T$495=6)*('CASE MASTER'!$AA$2:$AA$495&lt;=2)*('CASE MASTER'!$AC$2:$AC$495&gt;=2)*('CASE MASTER'!$AB$2:$AB$495&lt;=7)*('CASE MASTER'!$AD$2:$AD$495&gt;=7))*ROW('CASE MASTER'!$T$2:$T$495))-(ROW('CASE MASTER'!#REF!)-1))))*(INDEX('CASE MASTER'!$AD$2:$AD$495,(SUMPRODUCT((('CASE MASTER'!$T$2:$T$495=6)*('CASE MASTER'!$AA$2:$AA$495&lt;=2)*('CASE MASTER'!$AC$2:$AC$495&gt;=2)*('CASE MASTER'!$AB$2:$AB$495&lt;=7)*('CASE MASTER'!$AD$2:$AD$495&gt;=7))*ROW('CASE MASTER'!$T$2:$T$495))-(ROW('CASE MASTER'!#REF!)-1)))-INDEX('CASE MASTER'!$AB$2:$AB$495,(SUMPRODUCT((('CASE MASTER'!$T$2:$T$495=6)*('CASE MASTER'!$AA$2:$AA$495&lt;=2)*('CASE MASTER'!$AC$2:$AC$495&gt;=2)*('CASE MASTER'!$AB$2:$AB$495&lt;=7)*('CASE MASTER'!$AD$2:$AD$495&gt;=7))*ROW('CASE MASTER'!$T$2:$T$495))-(ROW('CASE MASTER'!#REF!)-1)))+1)+(7-INDEX('CASE MASTER'!$AB$2:$AB$495,(SUMPRODUCT((('CASE MASTER'!$T$2:$T$495=6)*('CASE MASTER'!$AA$2:$AA$495&lt;=2)*('CASE MASTER'!$AC$2:$AC$495&gt;=2)*('CASE MASTER'!$AB$2:$AB$495&lt;=7)*('CASE MASTER'!$AD$2:$AD$495&gt;=7))*ROW('CASE MASTER'!$T$2:$T$495))-(ROW('CASE MASTER'!#REF!)-1))))+1)))-1)*50+1,50))&amp;"_"&amp;INDEX('CASE MASTER'!$Q$2:$Q$495,(SUMPRODUCT((('CASE MASTER'!$T$2:$T$495=6)*('CASE MASTER'!$AA$2:$AA$495&lt;=2)*('CASE MASTER'!$AC$2:$AC$495&gt;=2)*('CASE MASTER'!$AB$2:$AB$495&lt;=7)*('CASE MASTER'!$AD$2:$AD$495&gt;=7))*ROW('CASE MASTER'!$T$2:$T$495))-(ROW('CASE MASTER'!#REF!)-1))),"")),"")</f>
        <v/>
      </c>
      <c r="I74" s="10" t="str">
        <f>IFERROR(IF(SUMPRODUCT((('CASE MASTER'!$T$2:$T$495=6)*('CASE MASTER'!$U$2:$U$495&lt;=2)*('CASE MASTER'!$W$2:$W$495&gt;=2)*('CASE MASTER'!$V$2:$V$495&lt;=8)*('CASE MASTER'!$X$2:$X$495&gt;=8))*ROW('CASE MASTER'!$T$2:$T$495))&gt;0,INDEX('CASE MASTER'!$Y$2:$Y$495,(SUMPRODUCT((('CASE MASTER'!$T$2:$T$495=6)*('CASE MASTER'!$U$2:$U$495&lt;=2)*('CASE MASTER'!$W$2:$W$495&gt;=2)*('CASE MASTER'!$V$2:$V$495&lt;=8)*('CASE MASTER'!$X$2:$X$495&gt;=8))*ROW('CASE MASTER'!$T$2:$T$495))-(ROW('CASE MASTER'!#REF!)-1)))&amp;TRIM(MID(SUBSTITUTE(SUBSTITUTE(INDEX('CASE MASTER'!$N$2:$N$495,(SUMPRODUCT((('CASE MASTER'!$T$2:$T$495=6)*('CASE MASTER'!$U$2:$U$495&lt;=2)*('CASE MASTER'!$W$2:$W$495&gt;=2)*('CASE MASTER'!$V$2:$V$495&lt;=8)*('CASE MASTER'!$X$2:$X$495&gt;=8))*ROW('CASE MASTER'!$T$2:$T$495))-(ROW('CASE MASTER'!#REF!)-1))),":",","),",",REPT(" ",50)),((((2-INDEX('CASE MASTER'!$U$2:$U$495,(SUMPRODUCT((('CASE MASTER'!$T$2:$T$495=6)*('CASE MASTER'!$U$2:$U$495&lt;=2)*('CASE MASTER'!$W$2:$W$495&gt;=2)*('CASE MASTER'!$V$2:$V$495&lt;=8)*('CASE MASTER'!$X$2:$X$495&gt;=8))*ROW('CASE MASTER'!$T$2:$T$495))-(ROW('CASE MASTER'!#REF!)-1))))*(INDEX('CASE MASTER'!$X$2:$X$495,(SUMPRODUCT((('CASE MASTER'!$T$2:$T$495=6)*('CASE MASTER'!$U$2:$U$495&lt;=2)*('CASE MASTER'!$W$2:$W$495&gt;=2)*('CASE MASTER'!$V$2:$V$495&lt;=8)*('CASE MASTER'!$X$2:$X$495&gt;=8))*ROW('CASE MASTER'!$T$2:$T$495))-(ROW('CASE MASTER'!#REF!)-1)))-INDEX('CASE MASTER'!$V$2:$V$495,(SUMPRODUCT((('CASE MASTER'!$T$2:$T$495=6)*('CASE MASTER'!$U$2:$U$495&lt;=2)*('CASE MASTER'!$W$2:$W$495&gt;=2)*('CASE MASTER'!$V$2:$V$495&lt;=8)*('CASE MASTER'!$X$2:$X$495&gt;=8))*ROW('CASE MASTER'!$T$2:$T$495))-(ROW('CASE MASTER'!#REF!)-1)))+1)+(8-INDEX('CASE MASTER'!$V$2:$V$495,(SUMPRODUCT((('CASE MASTER'!$T$2:$T$495=6)*('CASE MASTER'!$U$2:$U$495&lt;=2)*('CASE MASTER'!$W$2:$W$495&gt;=2)*('CASE MASTER'!$V$2:$V$495&lt;=8)*('CASE MASTER'!$X$2:$X$495&gt;=8))*ROW('CASE MASTER'!$T$2:$T$495))-(ROW('CASE MASTER'!#REF!)-1))))+1))-1)*50+1,50))&amp;"_"&amp;INDEX('CASE MASTER'!$Q$2:$Q$495,(SUMPRODUCT((('CASE MASTER'!$T$2:$T$495=6)*('CASE MASTER'!$U$2:$U$495&lt;=2)*('CASE MASTER'!$W$2:$W$495&gt;=2)*('CASE MASTER'!$V$2:$V$495&lt;=8)*('CASE MASTER'!$X$2:$X$495&gt;=8))*ROW('CASE MASTER'!$T$2:$T$495))-(ROW('CASE MASTER'!#REF!)-1))),IF(SUMPRODUCT((('CASE MASTER'!$T$2:$T$495=6)*('CASE MASTER'!$AA$2:$AA$495&lt;=2)*('CASE MASTER'!$AC$2:$AC$495&gt;=2)*('CASE MASTER'!$AB$2:$AB$495&lt;=8)*('CASE MASTER'!$AD$2:$AD$495&gt;=8))*ROW('CASE MASTER'!$T$2:$T$495))&gt;0,INDEX('CASE MASTER'!$Y$2:$Y$495,(SUMPRODUCT((('CASE MASTER'!$T$2:$T$495=6)*('CASE MASTER'!$AA$2:$AA$495&lt;=2)*('CASE MASTER'!$AC$2:$AC$495&gt;=2)*('CASE MASTER'!$AB$2:$AB$495&lt;=8)*('CASE MASTER'!$AD$2:$AD$495&gt;=8))*ROW('CASE MASTER'!$T$2:$T$495))-(ROW('CASE MASTER'!#REF!)-1)))&amp;TRIM(MID(SUBSTITUTE(SUBSTITUTE(INDEX('CASE MASTER'!$N$2:$N$495,(SUMPRODUCT((('CASE MASTER'!$T$2:$T$495=6)*('CASE MASTER'!$AA$2:$AA$495&lt;=2)*('CASE MASTER'!$AC$2:$AC$495&gt;=2)*('CASE MASTER'!$AB$2:$AB$495&lt;=8)*('CASE MASTER'!$AD$2:$AD$495&gt;=8))*ROW('CASE MASTER'!$T$2:$T$495))-(ROW('CASE MASTER'!#REF!)-1))),":",","),",",REPT(" ",50)),(((INDEX('CASE MASTER'!$Z$2:$Z$495,(SUMPRODUCT((('CASE MASTER'!$T$2:$T$495=6)*('CASE MASTER'!$AA$2:$AA$495&lt;=2)*('CASE MASTER'!$AC$2:$AC$495&gt;=2)*('CASE MASTER'!$AB$2:$AB$495&lt;=8)*('CASE MASTER'!$AD$2:$AD$495&gt;=8))*ROW('CASE MASTER'!$T$2:$T$495))-(ROW('CASE MASTER'!#REF!)-1)))+((2-INDEX('CASE MASTER'!$AA$2:$AA$495,(SUMPRODUCT((('CASE MASTER'!$T$2:$T$495=6)*('CASE MASTER'!$AA$2:$AA$495&lt;=2)*('CASE MASTER'!$AC$2:$AC$495&gt;=2)*('CASE MASTER'!$AB$2:$AB$495&lt;=8)*('CASE MASTER'!$AD$2:$AD$495&gt;=8))*ROW('CASE MASTER'!$T$2:$T$495))-(ROW('CASE MASTER'!#REF!)-1))))*(INDEX('CASE MASTER'!$AD$2:$AD$495,(SUMPRODUCT((('CASE MASTER'!$T$2:$T$495=6)*('CASE MASTER'!$AA$2:$AA$495&lt;=2)*('CASE MASTER'!$AC$2:$AC$495&gt;=2)*('CASE MASTER'!$AB$2:$AB$495&lt;=8)*('CASE MASTER'!$AD$2:$AD$495&gt;=8))*ROW('CASE MASTER'!$T$2:$T$495))-(ROW('CASE MASTER'!#REF!)-1)))-INDEX('CASE MASTER'!$AB$2:$AB$495,(SUMPRODUCT((('CASE MASTER'!$T$2:$T$495=6)*('CASE MASTER'!$AA$2:$AA$495&lt;=2)*('CASE MASTER'!$AC$2:$AC$495&gt;=2)*('CASE MASTER'!$AB$2:$AB$495&lt;=8)*('CASE MASTER'!$AD$2:$AD$495&gt;=8))*ROW('CASE MASTER'!$T$2:$T$495))-(ROW('CASE MASTER'!#REF!)-1)))+1)+(8-INDEX('CASE MASTER'!$AB$2:$AB$495,(SUMPRODUCT((('CASE MASTER'!$T$2:$T$495=6)*('CASE MASTER'!$AA$2:$AA$495&lt;=2)*('CASE MASTER'!$AC$2:$AC$495&gt;=2)*('CASE MASTER'!$AB$2:$AB$495&lt;=8)*('CASE MASTER'!$AD$2:$AD$495&gt;=8))*ROW('CASE MASTER'!$T$2:$T$495))-(ROW('CASE MASTER'!#REF!)-1))))+1)))-1)*50+1,50))&amp;"_"&amp;INDEX('CASE MASTER'!$Q$2:$Q$495,(SUMPRODUCT((('CASE MASTER'!$T$2:$T$495=6)*('CASE MASTER'!$AA$2:$AA$495&lt;=2)*('CASE MASTER'!$AC$2:$AC$495&gt;=2)*('CASE MASTER'!$AB$2:$AB$495&lt;=8)*('CASE MASTER'!$AD$2:$AD$495&gt;=8))*ROW('CASE MASTER'!$T$2:$T$495))-(ROW('CASE MASTER'!#REF!)-1))),"")),"")</f>
        <v/>
      </c>
      <c r="J74" s="10" t="str">
        <f>IFERROR(IF(SUMPRODUCT((('CASE MASTER'!$T$2:$T$495=6)*('CASE MASTER'!$U$2:$U$495&lt;=2)*('CASE MASTER'!$W$2:$W$495&gt;=2)*('CASE MASTER'!$V$2:$V$495&lt;=9)*('CASE MASTER'!$X$2:$X$495&gt;=9))*ROW('CASE MASTER'!$T$2:$T$495))&gt;0,INDEX('CASE MASTER'!$Y$2:$Y$495,(SUMPRODUCT((('CASE MASTER'!$T$2:$T$495=6)*('CASE MASTER'!$U$2:$U$495&lt;=2)*('CASE MASTER'!$W$2:$W$495&gt;=2)*('CASE MASTER'!$V$2:$V$495&lt;=9)*('CASE MASTER'!$X$2:$X$495&gt;=9))*ROW('CASE MASTER'!$T$2:$T$495))-(ROW('CASE MASTER'!#REF!)-1)))&amp;TRIM(MID(SUBSTITUTE(SUBSTITUTE(INDEX('CASE MASTER'!$N$2:$N$495,(SUMPRODUCT((('CASE MASTER'!$T$2:$T$495=6)*('CASE MASTER'!$U$2:$U$495&lt;=2)*('CASE MASTER'!$W$2:$W$495&gt;=2)*('CASE MASTER'!$V$2:$V$495&lt;=9)*('CASE MASTER'!$X$2:$X$495&gt;=9))*ROW('CASE MASTER'!$T$2:$T$495))-(ROW('CASE MASTER'!#REF!)-1))),":",","),",",REPT(" ",50)),((((2-INDEX('CASE MASTER'!$U$2:$U$495,(SUMPRODUCT((('CASE MASTER'!$T$2:$T$495=6)*('CASE MASTER'!$U$2:$U$495&lt;=2)*('CASE MASTER'!$W$2:$W$495&gt;=2)*('CASE MASTER'!$V$2:$V$495&lt;=9)*('CASE MASTER'!$X$2:$X$495&gt;=9))*ROW('CASE MASTER'!$T$2:$T$495))-(ROW('CASE MASTER'!#REF!)-1))))*(INDEX('CASE MASTER'!$X$2:$X$495,(SUMPRODUCT((('CASE MASTER'!$T$2:$T$495=6)*('CASE MASTER'!$U$2:$U$495&lt;=2)*('CASE MASTER'!$W$2:$W$495&gt;=2)*('CASE MASTER'!$V$2:$V$495&lt;=9)*('CASE MASTER'!$X$2:$X$495&gt;=9))*ROW('CASE MASTER'!$T$2:$T$495))-(ROW('CASE MASTER'!#REF!)-1)))-INDEX('CASE MASTER'!$V$2:$V$495,(SUMPRODUCT((('CASE MASTER'!$T$2:$T$495=6)*('CASE MASTER'!$U$2:$U$495&lt;=2)*('CASE MASTER'!$W$2:$W$495&gt;=2)*('CASE MASTER'!$V$2:$V$495&lt;=9)*('CASE MASTER'!$X$2:$X$495&gt;=9))*ROW('CASE MASTER'!$T$2:$T$495))-(ROW('CASE MASTER'!#REF!)-1)))+1)+(9-INDEX('CASE MASTER'!$V$2:$V$495,(SUMPRODUCT((('CASE MASTER'!$T$2:$T$495=6)*('CASE MASTER'!$U$2:$U$495&lt;=2)*('CASE MASTER'!$W$2:$W$495&gt;=2)*('CASE MASTER'!$V$2:$V$495&lt;=9)*('CASE MASTER'!$X$2:$X$495&gt;=9))*ROW('CASE MASTER'!$T$2:$T$495))-(ROW('CASE MASTER'!#REF!)-1))))+1))-1)*50+1,50))&amp;"_"&amp;INDEX('CASE MASTER'!$Q$2:$Q$495,(SUMPRODUCT((('CASE MASTER'!$T$2:$T$495=6)*('CASE MASTER'!$U$2:$U$495&lt;=2)*('CASE MASTER'!$W$2:$W$495&gt;=2)*('CASE MASTER'!$V$2:$V$495&lt;=9)*('CASE MASTER'!$X$2:$X$495&gt;=9))*ROW('CASE MASTER'!$T$2:$T$495))-(ROW('CASE MASTER'!#REF!)-1))),IF(SUMPRODUCT((('CASE MASTER'!$T$2:$T$495=6)*('CASE MASTER'!$AA$2:$AA$495&lt;=2)*('CASE MASTER'!$AC$2:$AC$495&gt;=2)*('CASE MASTER'!$AB$2:$AB$495&lt;=9)*('CASE MASTER'!$AD$2:$AD$495&gt;=9))*ROW('CASE MASTER'!$T$2:$T$495))&gt;0,INDEX('CASE MASTER'!$Y$2:$Y$495,(SUMPRODUCT((('CASE MASTER'!$T$2:$T$495=6)*('CASE MASTER'!$AA$2:$AA$495&lt;=2)*('CASE MASTER'!$AC$2:$AC$495&gt;=2)*('CASE MASTER'!$AB$2:$AB$495&lt;=9)*('CASE MASTER'!$AD$2:$AD$495&gt;=9))*ROW('CASE MASTER'!$T$2:$T$495))-(ROW('CASE MASTER'!#REF!)-1)))&amp;TRIM(MID(SUBSTITUTE(SUBSTITUTE(INDEX('CASE MASTER'!$N$2:$N$495,(SUMPRODUCT((('CASE MASTER'!$T$2:$T$495=6)*('CASE MASTER'!$AA$2:$AA$495&lt;=2)*('CASE MASTER'!$AC$2:$AC$495&gt;=2)*('CASE MASTER'!$AB$2:$AB$495&lt;=9)*('CASE MASTER'!$AD$2:$AD$495&gt;=9))*ROW('CASE MASTER'!$T$2:$T$495))-(ROW('CASE MASTER'!#REF!)-1))),":",","),",",REPT(" ",50)),(((INDEX('CASE MASTER'!$Z$2:$Z$495,(SUMPRODUCT((('CASE MASTER'!$T$2:$T$495=6)*('CASE MASTER'!$AA$2:$AA$495&lt;=2)*('CASE MASTER'!$AC$2:$AC$495&gt;=2)*('CASE MASTER'!$AB$2:$AB$495&lt;=9)*('CASE MASTER'!$AD$2:$AD$495&gt;=9))*ROW('CASE MASTER'!$T$2:$T$495))-(ROW('CASE MASTER'!#REF!)-1)))+((2-INDEX('CASE MASTER'!$AA$2:$AA$495,(SUMPRODUCT((('CASE MASTER'!$T$2:$T$495=6)*('CASE MASTER'!$AA$2:$AA$495&lt;=2)*('CASE MASTER'!$AC$2:$AC$495&gt;=2)*('CASE MASTER'!$AB$2:$AB$495&lt;=9)*('CASE MASTER'!$AD$2:$AD$495&gt;=9))*ROW('CASE MASTER'!$T$2:$T$495))-(ROW('CASE MASTER'!#REF!)-1))))*(INDEX('CASE MASTER'!$AD$2:$AD$495,(SUMPRODUCT((('CASE MASTER'!$T$2:$T$495=6)*('CASE MASTER'!$AA$2:$AA$495&lt;=2)*('CASE MASTER'!$AC$2:$AC$495&gt;=2)*('CASE MASTER'!$AB$2:$AB$495&lt;=9)*('CASE MASTER'!$AD$2:$AD$495&gt;=9))*ROW('CASE MASTER'!$T$2:$T$495))-(ROW('CASE MASTER'!#REF!)-1)))-INDEX('CASE MASTER'!$AB$2:$AB$495,(SUMPRODUCT((('CASE MASTER'!$T$2:$T$495=6)*('CASE MASTER'!$AA$2:$AA$495&lt;=2)*('CASE MASTER'!$AC$2:$AC$495&gt;=2)*('CASE MASTER'!$AB$2:$AB$495&lt;=9)*('CASE MASTER'!$AD$2:$AD$495&gt;=9))*ROW('CASE MASTER'!$T$2:$T$495))-(ROW('CASE MASTER'!#REF!)-1)))+1)+(9-INDEX('CASE MASTER'!$AB$2:$AB$495,(SUMPRODUCT((('CASE MASTER'!$T$2:$T$495=6)*('CASE MASTER'!$AA$2:$AA$495&lt;=2)*('CASE MASTER'!$AC$2:$AC$495&gt;=2)*('CASE MASTER'!$AB$2:$AB$495&lt;=9)*('CASE MASTER'!$AD$2:$AD$495&gt;=9))*ROW('CASE MASTER'!$T$2:$T$495))-(ROW('CASE MASTER'!#REF!)-1))))+1)))-1)*50+1,50))&amp;"_"&amp;INDEX('CASE MASTER'!$Q$2:$Q$495,(SUMPRODUCT((('CASE MASTER'!$T$2:$T$495=6)*('CASE MASTER'!$AA$2:$AA$495&lt;=2)*('CASE MASTER'!$AC$2:$AC$495&gt;=2)*('CASE MASTER'!$AB$2:$AB$495&lt;=9)*('CASE MASTER'!$AD$2:$AD$495&gt;=9))*ROW('CASE MASTER'!$T$2:$T$495))-(ROW('CASE MASTER'!#REF!)-1))),"")),"")</f>
        <v/>
      </c>
      <c r="K74" s="10" t="str">
        <f>IFERROR(IF(SUMPRODUCT((('CASE MASTER'!$T$2:$T$495=6)*('CASE MASTER'!$U$2:$U$495&lt;=2)*('CASE MASTER'!$W$2:$W$495&gt;=2)*('CASE MASTER'!$V$2:$V$495&lt;=10)*('CASE MASTER'!$X$2:$X$495&gt;=10))*ROW('CASE MASTER'!$T$2:$T$495))&gt;0,INDEX('CASE MASTER'!$Y$2:$Y$495,(SUMPRODUCT((('CASE MASTER'!$T$2:$T$495=6)*('CASE MASTER'!$U$2:$U$495&lt;=2)*('CASE MASTER'!$W$2:$W$495&gt;=2)*('CASE MASTER'!$V$2:$V$495&lt;=10)*('CASE MASTER'!$X$2:$X$495&gt;=10))*ROW('CASE MASTER'!$T$2:$T$495))-(ROW('CASE MASTER'!#REF!)-1)))&amp;TRIM(MID(SUBSTITUTE(SUBSTITUTE(INDEX('CASE MASTER'!$N$2:$N$495,(SUMPRODUCT((('CASE MASTER'!$T$2:$T$495=6)*('CASE MASTER'!$U$2:$U$495&lt;=2)*('CASE MASTER'!$W$2:$W$495&gt;=2)*('CASE MASTER'!$V$2:$V$495&lt;=10)*('CASE MASTER'!$X$2:$X$495&gt;=10))*ROW('CASE MASTER'!$T$2:$T$495))-(ROW('CASE MASTER'!#REF!)-1))),":",","),",",REPT(" ",50)),((((2-INDEX('CASE MASTER'!$U$2:$U$495,(SUMPRODUCT((('CASE MASTER'!$T$2:$T$495=6)*('CASE MASTER'!$U$2:$U$495&lt;=2)*('CASE MASTER'!$W$2:$W$495&gt;=2)*('CASE MASTER'!$V$2:$V$495&lt;=10)*('CASE MASTER'!$X$2:$X$495&gt;=10))*ROW('CASE MASTER'!$T$2:$T$495))-(ROW('CASE MASTER'!#REF!)-1))))*(INDEX('CASE MASTER'!$X$2:$X$495,(SUMPRODUCT((('CASE MASTER'!$T$2:$T$495=6)*('CASE MASTER'!$U$2:$U$495&lt;=2)*('CASE MASTER'!$W$2:$W$495&gt;=2)*('CASE MASTER'!$V$2:$V$495&lt;=10)*('CASE MASTER'!$X$2:$X$495&gt;=10))*ROW('CASE MASTER'!$T$2:$T$495))-(ROW('CASE MASTER'!#REF!)-1)))-INDEX('CASE MASTER'!$V$2:$V$495,(SUMPRODUCT((('CASE MASTER'!$T$2:$T$495=6)*('CASE MASTER'!$U$2:$U$495&lt;=2)*('CASE MASTER'!$W$2:$W$495&gt;=2)*('CASE MASTER'!$V$2:$V$495&lt;=10)*('CASE MASTER'!$X$2:$X$495&gt;=10))*ROW('CASE MASTER'!$T$2:$T$495))-(ROW('CASE MASTER'!#REF!)-1)))+1)+(10-INDEX('CASE MASTER'!$V$2:$V$495,(SUMPRODUCT((('CASE MASTER'!$T$2:$T$495=6)*('CASE MASTER'!$U$2:$U$495&lt;=2)*('CASE MASTER'!$W$2:$W$495&gt;=2)*('CASE MASTER'!$V$2:$V$495&lt;=10)*('CASE MASTER'!$X$2:$X$495&gt;=10))*ROW('CASE MASTER'!$T$2:$T$495))-(ROW('CASE MASTER'!#REF!)-1))))+1))-1)*50+1,50))&amp;"_"&amp;INDEX('CASE MASTER'!$Q$2:$Q$495,(SUMPRODUCT((('CASE MASTER'!$T$2:$T$495=6)*('CASE MASTER'!$U$2:$U$495&lt;=2)*('CASE MASTER'!$W$2:$W$495&gt;=2)*('CASE MASTER'!$V$2:$V$495&lt;=10)*('CASE MASTER'!$X$2:$X$495&gt;=10))*ROW('CASE MASTER'!$T$2:$T$495))-(ROW('CASE MASTER'!#REF!)-1))),IF(SUMPRODUCT((('CASE MASTER'!$T$2:$T$495=6)*('CASE MASTER'!$AA$2:$AA$495&lt;=2)*('CASE MASTER'!$AC$2:$AC$495&gt;=2)*('CASE MASTER'!$AB$2:$AB$495&lt;=10)*('CASE MASTER'!$AD$2:$AD$495&gt;=10))*ROW('CASE MASTER'!$T$2:$T$495))&gt;0,INDEX('CASE MASTER'!$Y$2:$Y$495,(SUMPRODUCT((('CASE MASTER'!$T$2:$T$495=6)*('CASE MASTER'!$AA$2:$AA$495&lt;=2)*('CASE MASTER'!$AC$2:$AC$495&gt;=2)*('CASE MASTER'!$AB$2:$AB$495&lt;=10)*('CASE MASTER'!$AD$2:$AD$495&gt;=10))*ROW('CASE MASTER'!$T$2:$T$495))-(ROW('CASE MASTER'!#REF!)-1)))&amp;TRIM(MID(SUBSTITUTE(SUBSTITUTE(INDEX('CASE MASTER'!$N$2:$N$495,(SUMPRODUCT((('CASE MASTER'!$T$2:$T$495=6)*('CASE MASTER'!$AA$2:$AA$495&lt;=2)*('CASE MASTER'!$AC$2:$AC$495&gt;=2)*('CASE MASTER'!$AB$2:$AB$495&lt;=10)*('CASE MASTER'!$AD$2:$AD$495&gt;=10))*ROW('CASE MASTER'!$T$2:$T$495))-(ROW('CASE MASTER'!#REF!)-1))),":",","),",",REPT(" ",50)),(((INDEX('CASE MASTER'!$Z$2:$Z$495,(SUMPRODUCT((('CASE MASTER'!$T$2:$T$495=6)*('CASE MASTER'!$AA$2:$AA$495&lt;=2)*('CASE MASTER'!$AC$2:$AC$495&gt;=2)*('CASE MASTER'!$AB$2:$AB$495&lt;=10)*('CASE MASTER'!$AD$2:$AD$495&gt;=10))*ROW('CASE MASTER'!$T$2:$T$495))-(ROW('CASE MASTER'!#REF!)-1)))+((2-INDEX('CASE MASTER'!$AA$2:$AA$495,(SUMPRODUCT((('CASE MASTER'!$T$2:$T$495=6)*('CASE MASTER'!$AA$2:$AA$495&lt;=2)*('CASE MASTER'!$AC$2:$AC$495&gt;=2)*('CASE MASTER'!$AB$2:$AB$495&lt;=10)*('CASE MASTER'!$AD$2:$AD$495&gt;=10))*ROW('CASE MASTER'!$T$2:$T$495))-(ROW('CASE MASTER'!#REF!)-1))))*(INDEX('CASE MASTER'!$AD$2:$AD$495,(SUMPRODUCT((('CASE MASTER'!$T$2:$T$495=6)*('CASE MASTER'!$AA$2:$AA$495&lt;=2)*('CASE MASTER'!$AC$2:$AC$495&gt;=2)*('CASE MASTER'!$AB$2:$AB$495&lt;=10)*('CASE MASTER'!$AD$2:$AD$495&gt;=10))*ROW('CASE MASTER'!$T$2:$T$495))-(ROW('CASE MASTER'!#REF!)-1)))-INDEX('CASE MASTER'!$AB$2:$AB$495,(SUMPRODUCT((('CASE MASTER'!$T$2:$T$495=6)*('CASE MASTER'!$AA$2:$AA$495&lt;=2)*('CASE MASTER'!$AC$2:$AC$495&gt;=2)*('CASE MASTER'!$AB$2:$AB$495&lt;=10)*('CASE MASTER'!$AD$2:$AD$495&gt;=10))*ROW('CASE MASTER'!$T$2:$T$495))-(ROW('CASE MASTER'!#REF!)-1)))+1)+(10-INDEX('CASE MASTER'!$AB$2:$AB$495,(SUMPRODUCT((('CASE MASTER'!$T$2:$T$495=6)*('CASE MASTER'!$AA$2:$AA$495&lt;=2)*('CASE MASTER'!$AC$2:$AC$495&gt;=2)*('CASE MASTER'!$AB$2:$AB$495&lt;=10)*('CASE MASTER'!$AD$2:$AD$495&gt;=10))*ROW('CASE MASTER'!$T$2:$T$495))-(ROW('CASE MASTER'!#REF!)-1))))+1)))-1)*50+1,50))&amp;"_"&amp;INDEX('CASE MASTER'!$Q$2:$Q$495,(SUMPRODUCT((('CASE MASTER'!$T$2:$T$495=6)*('CASE MASTER'!$AA$2:$AA$495&lt;=2)*('CASE MASTER'!$AC$2:$AC$495&gt;=2)*('CASE MASTER'!$AB$2:$AB$495&lt;=10)*('CASE MASTER'!$AD$2:$AD$495&gt;=10))*ROW('CASE MASTER'!$T$2:$T$495))-(ROW('CASE MASTER'!#REF!)-1))),"")),"")</f>
        <v/>
      </c>
    </row>
    <row r="75" spans="1:11" ht="15" customHeight="1" x14ac:dyDescent="0.35">
      <c r="A75" s="8" t="s">
        <v>30</v>
      </c>
      <c r="B75" s="10" t="str">
        <f>IFERROR(IF(SUMPRODUCT((('CASE MASTER'!$T$2:$T$495=6)*('CASE MASTER'!$U$2:$U$495&lt;=3)*('CASE MASTER'!$W$2:$W$495&gt;=3)*('CASE MASTER'!$V$2:$V$495&lt;=1)*('CASE MASTER'!$X$2:$X$495&gt;=1))*ROW('CASE MASTER'!$T$2:$T$495))&gt;0,INDEX('CASE MASTER'!$Y$2:$Y$495,(SUMPRODUCT((('CASE MASTER'!$T$2:$T$495=6)*('CASE MASTER'!$U$2:$U$495&lt;=3)*('CASE MASTER'!$W$2:$W$495&gt;=3)*('CASE MASTER'!$V$2:$V$495&lt;=1)*('CASE MASTER'!$X$2:$X$495&gt;=1))*ROW('CASE MASTER'!$T$2:$T$495))-(ROW('CASE MASTER'!#REF!)-1)))&amp;TRIM(MID(SUBSTITUTE(SUBSTITUTE(INDEX('CASE MASTER'!$N$2:$N$495,(SUMPRODUCT((('CASE MASTER'!$T$2:$T$495=6)*('CASE MASTER'!$U$2:$U$495&lt;=3)*('CASE MASTER'!$W$2:$W$495&gt;=3)*('CASE MASTER'!$V$2:$V$495&lt;=1)*('CASE MASTER'!$X$2:$X$495&gt;=1))*ROW('CASE MASTER'!$T$2:$T$495))-(ROW('CASE MASTER'!#REF!)-1))),":",","),",",REPT(" ",50)),((((3-INDEX('CASE MASTER'!$U$2:$U$495,(SUMPRODUCT((('CASE MASTER'!$T$2:$T$495=6)*('CASE MASTER'!$U$2:$U$495&lt;=3)*('CASE MASTER'!$W$2:$W$495&gt;=3)*('CASE MASTER'!$V$2:$V$495&lt;=1)*('CASE MASTER'!$X$2:$X$495&gt;=1))*ROW('CASE MASTER'!$T$2:$T$495))-(ROW('CASE MASTER'!#REF!)-1))))*(INDEX('CASE MASTER'!$X$2:$X$495,(SUMPRODUCT((('CASE MASTER'!$T$2:$T$495=6)*('CASE MASTER'!$U$2:$U$495&lt;=3)*('CASE MASTER'!$W$2:$W$495&gt;=3)*('CASE MASTER'!$V$2:$V$495&lt;=1)*('CASE MASTER'!$X$2:$X$495&gt;=1))*ROW('CASE MASTER'!$T$2:$T$495))-(ROW('CASE MASTER'!#REF!)-1)))-INDEX('CASE MASTER'!$V$2:$V$495,(SUMPRODUCT((('CASE MASTER'!$T$2:$T$495=6)*('CASE MASTER'!$U$2:$U$495&lt;=3)*('CASE MASTER'!$W$2:$W$495&gt;=3)*('CASE MASTER'!$V$2:$V$495&lt;=1)*('CASE MASTER'!$X$2:$X$495&gt;=1))*ROW('CASE MASTER'!$T$2:$T$495))-(ROW('CASE MASTER'!#REF!)-1)))+1)+(1-INDEX('CASE MASTER'!$V$2:$V$495,(SUMPRODUCT((('CASE MASTER'!$T$2:$T$495=6)*('CASE MASTER'!$U$2:$U$495&lt;=3)*('CASE MASTER'!$W$2:$W$495&gt;=3)*('CASE MASTER'!$V$2:$V$495&lt;=1)*('CASE MASTER'!$X$2:$X$495&gt;=1))*ROW('CASE MASTER'!$T$2:$T$495))-(ROW('CASE MASTER'!#REF!)-1))))+1))-1)*50+1,50))&amp;"_"&amp;INDEX('CASE MASTER'!$Q$2:$Q$495,(SUMPRODUCT((('CASE MASTER'!$T$2:$T$495=6)*('CASE MASTER'!$U$2:$U$495&lt;=3)*('CASE MASTER'!$W$2:$W$495&gt;=3)*('CASE MASTER'!$V$2:$V$495&lt;=1)*('CASE MASTER'!$X$2:$X$495&gt;=1))*ROW('CASE MASTER'!$T$2:$T$495))-(ROW('CASE MASTER'!#REF!)-1))),IF(SUMPRODUCT((('CASE MASTER'!$T$2:$T$495=6)*('CASE MASTER'!$AA$2:$AA$495&lt;=3)*('CASE MASTER'!$AC$2:$AC$495&gt;=3)*('CASE MASTER'!$AB$2:$AB$495&lt;=1)*('CASE MASTER'!$AD$2:$AD$495&gt;=1))*ROW('CASE MASTER'!$T$2:$T$495))&gt;0,INDEX('CASE MASTER'!$Y$2:$Y$495,(SUMPRODUCT((('CASE MASTER'!$T$2:$T$495=6)*('CASE MASTER'!$AA$2:$AA$495&lt;=3)*('CASE MASTER'!$AC$2:$AC$495&gt;=3)*('CASE MASTER'!$AB$2:$AB$495&lt;=1)*('CASE MASTER'!$AD$2:$AD$495&gt;=1))*ROW('CASE MASTER'!$T$2:$T$495))-(ROW('CASE MASTER'!#REF!)-1)))&amp;TRIM(MID(SUBSTITUTE(SUBSTITUTE(INDEX('CASE MASTER'!$N$2:$N$495,(SUMPRODUCT((('CASE MASTER'!$T$2:$T$495=6)*('CASE MASTER'!$AA$2:$AA$495&lt;=3)*('CASE MASTER'!$AC$2:$AC$495&gt;=3)*('CASE MASTER'!$AB$2:$AB$495&lt;=1)*('CASE MASTER'!$AD$2:$AD$495&gt;=1))*ROW('CASE MASTER'!$T$2:$T$495))-(ROW('CASE MASTER'!#REF!)-1))),":",","),",",REPT(" ",50)),(((INDEX('CASE MASTER'!$Z$2:$Z$495,(SUMPRODUCT((('CASE MASTER'!$T$2:$T$495=6)*('CASE MASTER'!$AA$2:$AA$495&lt;=3)*('CASE MASTER'!$AC$2:$AC$495&gt;=3)*('CASE MASTER'!$AB$2:$AB$495&lt;=1)*('CASE MASTER'!$AD$2:$AD$495&gt;=1))*ROW('CASE MASTER'!$T$2:$T$495))-(ROW('CASE MASTER'!#REF!)-1)))+((3-INDEX('CASE MASTER'!$AA$2:$AA$495,(SUMPRODUCT((('CASE MASTER'!$T$2:$T$495=6)*('CASE MASTER'!$AA$2:$AA$495&lt;=3)*('CASE MASTER'!$AC$2:$AC$495&gt;=3)*('CASE MASTER'!$AB$2:$AB$495&lt;=1)*('CASE MASTER'!$AD$2:$AD$495&gt;=1))*ROW('CASE MASTER'!$T$2:$T$495))-(ROW('CASE MASTER'!#REF!)-1))))*(INDEX('CASE MASTER'!$AD$2:$AD$495,(SUMPRODUCT((('CASE MASTER'!$T$2:$T$495=6)*('CASE MASTER'!$AA$2:$AA$495&lt;=3)*('CASE MASTER'!$AC$2:$AC$495&gt;=3)*('CASE MASTER'!$AB$2:$AB$495&lt;=1)*('CASE MASTER'!$AD$2:$AD$495&gt;=1))*ROW('CASE MASTER'!$T$2:$T$495))-(ROW('CASE MASTER'!#REF!)-1)))-INDEX('CASE MASTER'!$AB$2:$AB$495,(SUMPRODUCT((('CASE MASTER'!$T$2:$T$495=6)*('CASE MASTER'!$AA$2:$AA$495&lt;=3)*('CASE MASTER'!$AC$2:$AC$495&gt;=3)*('CASE MASTER'!$AB$2:$AB$495&lt;=1)*('CASE MASTER'!$AD$2:$AD$495&gt;=1))*ROW('CASE MASTER'!$T$2:$T$495))-(ROW('CASE MASTER'!#REF!)-1)))+1)+(1-INDEX('CASE MASTER'!$AB$2:$AB$495,(SUMPRODUCT((('CASE MASTER'!$T$2:$T$495=6)*('CASE MASTER'!$AA$2:$AA$495&lt;=3)*('CASE MASTER'!$AC$2:$AC$495&gt;=3)*('CASE MASTER'!$AB$2:$AB$495&lt;=1)*('CASE MASTER'!$AD$2:$AD$495&gt;=1))*ROW('CASE MASTER'!$T$2:$T$495))-(ROW('CASE MASTER'!#REF!)-1))))+1)))-1)*50+1,50))&amp;"_"&amp;INDEX('CASE MASTER'!$Q$2:$Q$495,(SUMPRODUCT((('CASE MASTER'!$T$2:$T$495=6)*('CASE MASTER'!$AA$2:$AA$495&lt;=3)*('CASE MASTER'!$AC$2:$AC$495&gt;=3)*('CASE MASTER'!$AB$2:$AB$495&lt;=1)*('CASE MASTER'!$AD$2:$AD$495&gt;=1))*ROW('CASE MASTER'!$T$2:$T$495))-(ROW('CASE MASTER'!#REF!)-1))),"")),"")</f>
        <v/>
      </c>
      <c r="C75" s="10" t="str">
        <f>IFERROR(IF(SUMPRODUCT((('CASE MASTER'!$T$2:$T$495=6)*('CASE MASTER'!$U$2:$U$495&lt;=3)*('CASE MASTER'!$W$2:$W$495&gt;=3)*('CASE MASTER'!$V$2:$V$495&lt;=2)*('CASE MASTER'!$X$2:$X$495&gt;=2))*ROW('CASE MASTER'!$T$2:$T$495))&gt;0,INDEX('CASE MASTER'!$Y$2:$Y$495,(SUMPRODUCT((('CASE MASTER'!$T$2:$T$495=6)*('CASE MASTER'!$U$2:$U$495&lt;=3)*('CASE MASTER'!$W$2:$W$495&gt;=3)*('CASE MASTER'!$V$2:$V$495&lt;=2)*('CASE MASTER'!$X$2:$X$495&gt;=2))*ROW('CASE MASTER'!$T$2:$T$495))-(ROW('CASE MASTER'!#REF!)-1)))&amp;TRIM(MID(SUBSTITUTE(SUBSTITUTE(INDEX('CASE MASTER'!$N$2:$N$495,(SUMPRODUCT((('CASE MASTER'!$T$2:$T$495=6)*('CASE MASTER'!$U$2:$U$495&lt;=3)*('CASE MASTER'!$W$2:$W$495&gt;=3)*('CASE MASTER'!$V$2:$V$495&lt;=2)*('CASE MASTER'!$X$2:$X$495&gt;=2))*ROW('CASE MASTER'!$T$2:$T$495))-(ROW('CASE MASTER'!#REF!)-1))),":",","),",",REPT(" ",50)),((((3-INDEX('CASE MASTER'!$U$2:$U$495,(SUMPRODUCT((('CASE MASTER'!$T$2:$T$495=6)*('CASE MASTER'!$U$2:$U$495&lt;=3)*('CASE MASTER'!$W$2:$W$495&gt;=3)*('CASE MASTER'!$V$2:$V$495&lt;=2)*('CASE MASTER'!$X$2:$X$495&gt;=2))*ROW('CASE MASTER'!$T$2:$T$495))-(ROW('CASE MASTER'!#REF!)-1))))*(INDEX('CASE MASTER'!$X$2:$X$495,(SUMPRODUCT((('CASE MASTER'!$T$2:$T$495=6)*('CASE MASTER'!$U$2:$U$495&lt;=3)*('CASE MASTER'!$W$2:$W$495&gt;=3)*('CASE MASTER'!$V$2:$V$495&lt;=2)*('CASE MASTER'!$X$2:$X$495&gt;=2))*ROW('CASE MASTER'!$T$2:$T$495))-(ROW('CASE MASTER'!#REF!)-1)))-INDEX('CASE MASTER'!$V$2:$V$495,(SUMPRODUCT((('CASE MASTER'!$T$2:$T$495=6)*('CASE MASTER'!$U$2:$U$495&lt;=3)*('CASE MASTER'!$W$2:$W$495&gt;=3)*('CASE MASTER'!$V$2:$V$495&lt;=2)*('CASE MASTER'!$X$2:$X$495&gt;=2))*ROW('CASE MASTER'!$T$2:$T$495))-(ROW('CASE MASTER'!#REF!)-1)))+1)+(2-INDEX('CASE MASTER'!$V$2:$V$495,(SUMPRODUCT((('CASE MASTER'!$T$2:$T$495=6)*('CASE MASTER'!$U$2:$U$495&lt;=3)*('CASE MASTER'!$W$2:$W$495&gt;=3)*('CASE MASTER'!$V$2:$V$495&lt;=2)*('CASE MASTER'!$X$2:$X$495&gt;=2))*ROW('CASE MASTER'!$T$2:$T$495))-(ROW('CASE MASTER'!#REF!)-1))))+1))-1)*50+1,50))&amp;"_"&amp;INDEX('CASE MASTER'!$Q$2:$Q$495,(SUMPRODUCT((('CASE MASTER'!$T$2:$T$495=6)*('CASE MASTER'!$U$2:$U$495&lt;=3)*('CASE MASTER'!$W$2:$W$495&gt;=3)*('CASE MASTER'!$V$2:$V$495&lt;=2)*('CASE MASTER'!$X$2:$X$495&gt;=2))*ROW('CASE MASTER'!$T$2:$T$495))-(ROW('CASE MASTER'!#REF!)-1))),IF(SUMPRODUCT((('CASE MASTER'!$T$2:$T$495=6)*('CASE MASTER'!$AA$2:$AA$495&lt;=3)*('CASE MASTER'!$AC$2:$AC$495&gt;=3)*('CASE MASTER'!$AB$2:$AB$495&lt;=2)*('CASE MASTER'!$AD$2:$AD$495&gt;=2))*ROW('CASE MASTER'!$T$2:$T$495))&gt;0,INDEX('CASE MASTER'!$Y$2:$Y$495,(SUMPRODUCT((('CASE MASTER'!$T$2:$T$495=6)*('CASE MASTER'!$AA$2:$AA$495&lt;=3)*('CASE MASTER'!$AC$2:$AC$495&gt;=3)*('CASE MASTER'!$AB$2:$AB$495&lt;=2)*('CASE MASTER'!$AD$2:$AD$495&gt;=2))*ROW('CASE MASTER'!$T$2:$T$495))-(ROW('CASE MASTER'!#REF!)-1)))&amp;TRIM(MID(SUBSTITUTE(SUBSTITUTE(INDEX('CASE MASTER'!$N$2:$N$495,(SUMPRODUCT((('CASE MASTER'!$T$2:$T$495=6)*('CASE MASTER'!$AA$2:$AA$495&lt;=3)*('CASE MASTER'!$AC$2:$AC$495&gt;=3)*('CASE MASTER'!$AB$2:$AB$495&lt;=2)*('CASE MASTER'!$AD$2:$AD$495&gt;=2))*ROW('CASE MASTER'!$T$2:$T$495))-(ROW('CASE MASTER'!#REF!)-1))),":",","),",",REPT(" ",50)),(((INDEX('CASE MASTER'!$Z$2:$Z$495,(SUMPRODUCT((('CASE MASTER'!$T$2:$T$495=6)*('CASE MASTER'!$AA$2:$AA$495&lt;=3)*('CASE MASTER'!$AC$2:$AC$495&gt;=3)*('CASE MASTER'!$AB$2:$AB$495&lt;=2)*('CASE MASTER'!$AD$2:$AD$495&gt;=2))*ROW('CASE MASTER'!$T$2:$T$495))-(ROW('CASE MASTER'!#REF!)-1)))+((3-INDEX('CASE MASTER'!$AA$2:$AA$495,(SUMPRODUCT((('CASE MASTER'!$T$2:$T$495=6)*('CASE MASTER'!$AA$2:$AA$495&lt;=3)*('CASE MASTER'!$AC$2:$AC$495&gt;=3)*('CASE MASTER'!$AB$2:$AB$495&lt;=2)*('CASE MASTER'!$AD$2:$AD$495&gt;=2))*ROW('CASE MASTER'!$T$2:$T$495))-(ROW('CASE MASTER'!#REF!)-1))))*(INDEX('CASE MASTER'!$AD$2:$AD$495,(SUMPRODUCT((('CASE MASTER'!$T$2:$T$495=6)*('CASE MASTER'!$AA$2:$AA$495&lt;=3)*('CASE MASTER'!$AC$2:$AC$495&gt;=3)*('CASE MASTER'!$AB$2:$AB$495&lt;=2)*('CASE MASTER'!$AD$2:$AD$495&gt;=2))*ROW('CASE MASTER'!$T$2:$T$495))-(ROW('CASE MASTER'!#REF!)-1)))-INDEX('CASE MASTER'!$AB$2:$AB$495,(SUMPRODUCT((('CASE MASTER'!$T$2:$T$495=6)*('CASE MASTER'!$AA$2:$AA$495&lt;=3)*('CASE MASTER'!$AC$2:$AC$495&gt;=3)*('CASE MASTER'!$AB$2:$AB$495&lt;=2)*('CASE MASTER'!$AD$2:$AD$495&gt;=2))*ROW('CASE MASTER'!$T$2:$T$495))-(ROW('CASE MASTER'!#REF!)-1)))+1)+(2-INDEX('CASE MASTER'!$AB$2:$AB$495,(SUMPRODUCT((('CASE MASTER'!$T$2:$T$495=6)*('CASE MASTER'!$AA$2:$AA$495&lt;=3)*('CASE MASTER'!$AC$2:$AC$495&gt;=3)*('CASE MASTER'!$AB$2:$AB$495&lt;=2)*('CASE MASTER'!$AD$2:$AD$495&gt;=2))*ROW('CASE MASTER'!$T$2:$T$495))-(ROW('CASE MASTER'!#REF!)-1))))+1)))-1)*50+1,50))&amp;"_"&amp;INDEX('CASE MASTER'!$Q$2:$Q$495,(SUMPRODUCT((('CASE MASTER'!$T$2:$T$495=6)*('CASE MASTER'!$AA$2:$AA$495&lt;=3)*('CASE MASTER'!$AC$2:$AC$495&gt;=3)*('CASE MASTER'!$AB$2:$AB$495&lt;=2)*('CASE MASTER'!$AD$2:$AD$495&gt;=2))*ROW('CASE MASTER'!$T$2:$T$495))-(ROW('CASE MASTER'!#REF!)-1))),"")),"")</f>
        <v/>
      </c>
      <c r="D75" s="10" t="str">
        <f>IFERROR(IF(SUMPRODUCT((('CASE MASTER'!$T$2:$T$495=6)*('CASE MASTER'!$U$2:$U$495&lt;=3)*('CASE MASTER'!$W$2:$W$495&gt;=3)*('CASE MASTER'!$V$2:$V$495&lt;=3)*('CASE MASTER'!$X$2:$X$495&gt;=3))*ROW('CASE MASTER'!$T$2:$T$495))&gt;0,INDEX('CASE MASTER'!$Y$2:$Y$495,(SUMPRODUCT((('CASE MASTER'!$T$2:$T$495=6)*('CASE MASTER'!$U$2:$U$495&lt;=3)*('CASE MASTER'!$W$2:$W$495&gt;=3)*('CASE MASTER'!$V$2:$V$495&lt;=3)*('CASE MASTER'!$X$2:$X$495&gt;=3))*ROW('CASE MASTER'!$T$2:$T$495))-(ROW('CASE MASTER'!#REF!)-1)))&amp;TRIM(MID(SUBSTITUTE(SUBSTITUTE(INDEX('CASE MASTER'!$N$2:$N$495,(SUMPRODUCT((('CASE MASTER'!$T$2:$T$495=6)*('CASE MASTER'!$U$2:$U$495&lt;=3)*('CASE MASTER'!$W$2:$W$495&gt;=3)*('CASE MASTER'!$V$2:$V$495&lt;=3)*('CASE MASTER'!$X$2:$X$495&gt;=3))*ROW('CASE MASTER'!$T$2:$T$495))-(ROW('CASE MASTER'!#REF!)-1))),":",","),",",REPT(" ",50)),((((3-INDEX('CASE MASTER'!$U$2:$U$495,(SUMPRODUCT((('CASE MASTER'!$T$2:$T$495=6)*('CASE MASTER'!$U$2:$U$495&lt;=3)*('CASE MASTER'!$W$2:$W$495&gt;=3)*('CASE MASTER'!$V$2:$V$495&lt;=3)*('CASE MASTER'!$X$2:$X$495&gt;=3))*ROW('CASE MASTER'!$T$2:$T$495))-(ROW('CASE MASTER'!#REF!)-1))))*(INDEX('CASE MASTER'!$X$2:$X$495,(SUMPRODUCT((('CASE MASTER'!$T$2:$T$495=6)*('CASE MASTER'!$U$2:$U$495&lt;=3)*('CASE MASTER'!$W$2:$W$495&gt;=3)*('CASE MASTER'!$V$2:$V$495&lt;=3)*('CASE MASTER'!$X$2:$X$495&gt;=3))*ROW('CASE MASTER'!$T$2:$T$495))-(ROW('CASE MASTER'!#REF!)-1)))-INDEX('CASE MASTER'!$V$2:$V$495,(SUMPRODUCT((('CASE MASTER'!$T$2:$T$495=6)*('CASE MASTER'!$U$2:$U$495&lt;=3)*('CASE MASTER'!$W$2:$W$495&gt;=3)*('CASE MASTER'!$V$2:$V$495&lt;=3)*('CASE MASTER'!$X$2:$X$495&gt;=3))*ROW('CASE MASTER'!$T$2:$T$495))-(ROW('CASE MASTER'!#REF!)-1)))+1)+(3-INDEX('CASE MASTER'!$V$2:$V$495,(SUMPRODUCT((('CASE MASTER'!$T$2:$T$495=6)*('CASE MASTER'!$U$2:$U$495&lt;=3)*('CASE MASTER'!$W$2:$W$495&gt;=3)*('CASE MASTER'!$V$2:$V$495&lt;=3)*('CASE MASTER'!$X$2:$X$495&gt;=3))*ROW('CASE MASTER'!$T$2:$T$495))-(ROW('CASE MASTER'!#REF!)-1))))+1))-1)*50+1,50))&amp;"_"&amp;INDEX('CASE MASTER'!$Q$2:$Q$495,(SUMPRODUCT((('CASE MASTER'!$T$2:$T$495=6)*('CASE MASTER'!$U$2:$U$495&lt;=3)*('CASE MASTER'!$W$2:$W$495&gt;=3)*('CASE MASTER'!$V$2:$V$495&lt;=3)*('CASE MASTER'!$X$2:$X$495&gt;=3))*ROW('CASE MASTER'!$T$2:$T$495))-(ROW('CASE MASTER'!#REF!)-1))),IF(SUMPRODUCT((('CASE MASTER'!$T$2:$T$495=6)*('CASE MASTER'!$AA$2:$AA$495&lt;=3)*('CASE MASTER'!$AC$2:$AC$495&gt;=3)*('CASE MASTER'!$AB$2:$AB$495&lt;=3)*('CASE MASTER'!$AD$2:$AD$495&gt;=3))*ROW('CASE MASTER'!$T$2:$T$495))&gt;0,INDEX('CASE MASTER'!$Y$2:$Y$495,(SUMPRODUCT((('CASE MASTER'!$T$2:$T$495=6)*('CASE MASTER'!$AA$2:$AA$495&lt;=3)*('CASE MASTER'!$AC$2:$AC$495&gt;=3)*('CASE MASTER'!$AB$2:$AB$495&lt;=3)*('CASE MASTER'!$AD$2:$AD$495&gt;=3))*ROW('CASE MASTER'!$T$2:$T$495))-(ROW('CASE MASTER'!#REF!)-1)))&amp;TRIM(MID(SUBSTITUTE(SUBSTITUTE(INDEX('CASE MASTER'!$N$2:$N$495,(SUMPRODUCT((('CASE MASTER'!$T$2:$T$495=6)*('CASE MASTER'!$AA$2:$AA$495&lt;=3)*('CASE MASTER'!$AC$2:$AC$495&gt;=3)*('CASE MASTER'!$AB$2:$AB$495&lt;=3)*('CASE MASTER'!$AD$2:$AD$495&gt;=3))*ROW('CASE MASTER'!$T$2:$T$495))-(ROW('CASE MASTER'!#REF!)-1))),":",","),",",REPT(" ",50)),(((INDEX('CASE MASTER'!$Z$2:$Z$495,(SUMPRODUCT((('CASE MASTER'!$T$2:$T$495=6)*('CASE MASTER'!$AA$2:$AA$495&lt;=3)*('CASE MASTER'!$AC$2:$AC$495&gt;=3)*('CASE MASTER'!$AB$2:$AB$495&lt;=3)*('CASE MASTER'!$AD$2:$AD$495&gt;=3))*ROW('CASE MASTER'!$T$2:$T$495))-(ROW('CASE MASTER'!#REF!)-1)))+((3-INDEX('CASE MASTER'!$AA$2:$AA$495,(SUMPRODUCT((('CASE MASTER'!$T$2:$T$495=6)*('CASE MASTER'!$AA$2:$AA$495&lt;=3)*('CASE MASTER'!$AC$2:$AC$495&gt;=3)*('CASE MASTER'!$AB$2:$AB$495&lt;=3)*('CASE MASTER'!$AD$2:$AD$495&gt;=3))*ROW('CASE MASTER'!$T$2:$T$495))-(ROW('CASE MASTER'!#REF!)-1))))*(INDEX('CASE MASTER'!$AD$2:$AD$495,(SUMPRODUCT((('CASE MASTER'!$T$2:$T$495=6)*('CASE MASTER'!$AA$2:$AA$495&lt;=3)*('CASE MASTER'!$AC$2:$AC$495&gt;=3)*('CASE MASTER'!$AB$2:$AB$495&lt;=3)*('CASE MASTER'!$AD$2:$AD$495&gt;=3))*ROW('CASE MASTER'!$T$2:$T$495))-(ROW('CASE MASTER'!#REF!)-1)))-INDEX('CASE MASTER'!$AB$2:$AB$495,(SUMPRODUCT((('CASE MASTER'!$T$2:$T$495=6)*('CASE MASTER'!$AA$2:$AA$495&lt;=3)*('CASE MASTER'!$AC$2:$AC$495&gt;=3)*('CASE MASTER'!$AB$2:$AB$495&lt;=3)*('CASE MASTER'!$AD$2:$AD$495&gt;=3))*ROW('CASE MASTER'!$T$2:$T$495))-(ROW('CASE MASTER'!#REF!)-1)))+1)+(3-INDEX('CASE MASTER'!$AB$2:$AB$495,(SUMPRODUCT((('CASE MASTER'!$T$2:$T$495=6)*('CASE MASTER'!$AA$2:$AA$495&lt;=3)*('CASE MASTER'!$AC$2:$AC$495&gt;=3)*('CASE MASTER'!$AB$2:$AB$495&lt;=3)*('CASE MASTER'!$AD$2:$AD$495&gt;=3))*ROW('CASE MASTER'!$T$2:$T$495))-(ROW('CASE MASTER'!#REF!)-1))))+1)))-1)*50+1,50))&amp;"_"&amp;INDEX('CASE MASTER'!$Q$2:$Q$495,(SUMPRODUCT((('CASE MASTER'!$T$2:$T$495=6)*('CASE MASTER'!$AA$2:$AA$495&lt;=3)*('CASE MASTER'!$AC$2:$AC$495&gt;=3)*('CASE MASTER'!$AB$2:$AB$495&lt;=3)*('CASE MASTER'!$AD$2:$AD$495&gt;=3))*ROW('CASE MASTER'!$T$2:$T$495))-(ROW('CASE MASTER'!#REF!)-1))),"")),"")</f>
        <v/>
      </c>
      <c r="E75" s="10" t="str">
        <f>IFERROR(IF(SUMPRODUCT((('CASE MASTER'!$T$2:$T$495=6)*('CASE MASTER'!$U$2:$U$495&lt;=3)*('CASE MASTER'!$W$2:$W$495&gt;=3)*('CASE MASTER'!$V$2:$V$495&lt;=4)*('CASE MASTER'!$X$2:$X$495&gt;=4))*ROW('CASE MASTER'!$T$2:$T$495))&gt;0,INDEX('CASE MASTER'!$Y$2:$Y$495,(SUMPRODUCT((('CASE MASTER'!$T$2:$T$495=6)*('CASE MASTER'!$U$2:$U$495&lt;=3)*('CASE MASTER'!$W$2:$W$495&gt;=3)*('CASE MASTER'!$V$2:$V$495&lt;=4)*('CASE MASTER'!$X$2:$X$495&gt;=4))*ROW('CASE MASTER'!$T$2:$T$495))-(ROW('CASE MASTER'!#REF!)-1)))&amp;TRIM(MID(SUBSTITUTE(SUBSTITUTE(INDEX('CASE MASTER'!$N$2:$N$495,(SUMPRODUCT((('CASE MASTER'!$T$2:$T$495=6)*('CASE MASTER'!$U$2:$U$495&lt;=3)*('CASE MASTER'!$W$2:$W$495&gt;=3)*('CASE MASTER'!$V$2:$V$495&lt;=4)*('CASE MASTER'!$X$2:$X$495&gt;=4))*ROW('CASE MASTER'!$T$2:$T$495))-(ROW('CASE MASTER'!#REF!)-1))),":",","),",",REPT(" ",50)),((((3-INDEX('CASE MASTER'!$U$2:$U$495,(SUMPRODUCT((('CASE MASTER'!$T$2:$T$495=6)*('CASE MASTER'!$U$2:$U$495&lt;=3)*('CASE MASTER'!$W$2:$W$495&gt;=3)*('CASE MASTER'!$V$2:$V$495&lt;=4)*('CASE MASTER'!$X$2:$X$495&gt;=4))*ROW('CASE MASTER'!$T$2:$T$495))-(ROW('CASE MASTER'!#REF!)-1))))*(INDEX('CASE MASTER'!$X$2:$X$495,(SUMPRODUCT((('CASE MASTER'!$T$2:$T$495=6)*('CASE MASTER'!$U$2:$U$495&lt;=3)*('CASE MASTER'!$W$2:$W$495&gt;=3)*('CASE MASTER'!$V$2:$V$495&lt;=4)*('CASE MASTER'!$X$2:$X$495&gt;=4))*ROW('CASE MASTER'!$T$2:$T$495))-(ROW('CASE MASTER'!#REF!)-1)))-INDEX('CASE MASTER'!$V$2:$V$495,(SUMPRODUCT((('CASE MASTER'!$T$2:$T$495=6)*('CASE MASTER'!$U$2:$U$495&lt;=3)*('CASE MASTER'!$W$2:$W$495&gt;=3)*('CASE MASTER'!$V$2:$V$495&lt;=4)*('CASE MASTER'!$X$2:$X$495&gt;=4))*ROW('CASE MASTER'!$T$2:$T$495))-(ROW('CASE MASTER'!#REF!)-1)))+1)+(4-INDEX('CASE MASTER'!$V$2:$V$495,(SUMPRODUCT((('CASE MASTER'!$T$2:$T$495=6)*('CASE MASTER'!$U$2:$U$495&lt;=3)*('CASE MASTER'!$W$2:$W$495&gt;=3)*('CASE MASTER'!$V$2:$V$495&lt;=4)*('CASE MASTER'!$X$2:$X$495&gt;=4))*ROW('CASE MASTER'!$T$2:$T$495))-(ROW('CASE MASTER'!#REF!)-1))))+1))-1)*50+1,50))&amp;"_"&amp;INDEX('CASE MASTER'!$Q$2:$Q$495,(SUMPRODUCT((('CASE MASTER'!$T$2:$T$495=6)*('CASE MASTER'!$U$2:$U$495&lt;=3)*('CASE MASTER'!$W$2:$W$495&gt;=3)*('CASE MASTER'!$V$2:$V$495&lt;=4)*('CASE MASTER'!$X$2:$X$495&gt;=4))*ROW('CASE MASTER'!$T$2:$T$495))-(ROW('CASE MASTER'!#REF!)-1))),IF(SUMPRODUCT((('CASE MASTER'!$T$2:$T$495=6)*('CASE MASTER'!$AA$2:$AA$495&lt;=3)*('CASE MASTER'!$AC$2:$AC$495&gt;=3)*('CASE MASTER'!$AB$2:$AB$495&lt;=4)*('CASE MASTER'!$AD$2:$AD$495&gt;=4))*ROW('CASE MASTER'!$T$2:$T$495))&gt;0,INDEX('CASE MASTER'!$Y$2:$Y$495,(SUMPRODUCT((('CASE MASTER'!$T$2:$T$495=6)*('CASE MASTER'!$AA$2:$AA$495&lt;=3)*('CASE MASTER'!$AC$2:$AC$495&gt;=3)*('CASE MASTER'!$AB$2:$AB$495&lt;=4)*('CASE MASTER'!$AD$2:$AD$495&gt;=4))*ROW('CASE MASTER'!$T$2:$T$495))-(ROW('CASE MASTER'!#REF!)-1)))&amp;TRIM(MID(SUBSTITUTE(SUBSTITUTE(INDEX('CASE MASTER'!$N$2:$N$495,(SUMPRODUCT((('CASE MASTER'!$T$2:$T$495=6)*('CASE MASTER'!$AA$2:$AA$495&lt;=3)*('CASE MASTER'!$AC$2:$AC$495&gt;=3)*('CASE MASTER'!$AB$2:$AB$495&lt;=4)*('CASE MASTER'!$AD$2:$AD$495&gt;=4))*ROW('CASE MASTER'!$T$2:$T$495))-(ROW('CASE MASTER'!#REF!)-1))),":",","),",",REPT(" ",50)),(((INDEX('CASE MASTER'!$Z$2:$Z$495,(SUMPRODUCT((('CASE MASTER'!$T$2:$T$495=6)*('CASE MASTER'!$AA$2:$AA$495&lt;=3)*('CASE MASTER'!$AC$2:$AC$495&gt;=3)*('CASE MASTER'!$AB$2:$AB$495&lt;=4)*('CASE MASTER'!$AD$2:$AD$495&gt;=4))*ROW('CASE MASTER'!$T$2:$T$495))-(ROW('CASE MASTER'!#REF!)-1)))+((3-INDEX('CASE MASTER'!$AA$2:$AA$495,(SUMPRODUCT((('CASE MASTER'!$T$2:$T$495=6)*('CASE MASTER'!$AA$2:$AA$495&lt;=3)*('CASE MASTER'!$AC$2:$AC$495&gt;=3)*('CASE MASTER'!$AB$2:$AB$495&lt;=4)*('CASE MASTER'!$AD$2:$AD$495&gt;=4))*ROW('CASE MASTER'!$T$2:$T$495))-(ROW('CASE MASTER'!#REF!)-1))))*(INDEX('CASE MASTER'!$AD$2:$AD$495,(SUMPRODUCT((('CASE MASTER'!$T$2:$T$495=6)*('CASE MASTER'!$AA$2:$AA$495&lt;=3)*('CASE MASTER'!$AC$2:$AC$495&gt;=3)*('CASE MASTER'!$AB$2:$AB$495&lt;=4)*('CASE MASTER'!$AD$2:$AD$495&gt;=4))*ROW('CASE MASTER'!$T$2:$T$495))-(ROW('CASE MASTER'!#REF!)-1)))-INDEX('CASE MASTER'!$AB$2:$AB$495,(SUMPRODUCT((('CASE MASTER'!$T$2:$T$495=6)*('CASE MASTER'!$AA$2:$AA$495&lt;=3)*('CASE MASTER'!$AC$2:$AC$495&gt;=3)*('CASE MASTER'!$AB$2:$AB$495&lt;=4)*('CASE MASTER'!$AD$2:$AD$495&gt;=4))*ROW('CASE MASTER'!$T$2:$T$495))-(ROW('CASE MASTER'!#REF!)-1)))+1)+(4-INDEX('CASE MASTER'!$AB$2:$AB$495,(SUMPRODUCT((('CASE MASTER'!$T$2:$T$495=6)*('CASE MASTER'!$AA$2:$AA$495&lt;=3)*('CASE MASTER'!$AC$2:$AC$495&gt;=3)*('CASE MASTER'!$AB$2:$AB$495&lt;=4)*('CASE MASTER'!$AD$2:$AD$495&gt;=4))*ROW('CASE MASTER'!$T$2:$T$495))-(ROW('CASE MASTER'!#REF!)-1))))+1)))-1)*50+1,50))&amp;"_"&amp;INDEX('CASE MASTER'!$Q$2:$Q$495,(SUMPRODUCT((('CASE MASTER'!$T$2:$T$495=6)*('CASE MASTER'!$AA$2:$AA$495&lt;=3)*('CASE MASTER'!$AC$2:$AC$495&gt;=3)*('CASE MASTER'!$AB$2:$AB$495&lt;=4)*('CASE MASTER'!$AD$2:$AD$495&gt;=4))*ROW('CASE MASTER'!$T$2:$T$495))-(ROW('CASE MASTER'!#REF!)-1))),"")),"")</f>
        <v/>
      </c>
      <c r="F75" s="10" t="str">
        <f>IFERROR(IF(SUMPRODUCT((('CASE MASTER'!$T$2:$T$495=6)*('CASE MASTER'!$U$2:$U$495&lt;=3)*('CASE MASTER'!$W$2:$W$495&gt;=3)*('CASE MASTER'!$V$2:$V$495&lt;=5)*('CASE MASTER'!$X$2:$X$495&gt;=5))*ROW('CASE MASTER'!$T$2:$T$495))&gt;0,INDEX('CASE MASTER'!$Y$2:$Y$495,(SUMPRODUCT((('CASE MASTER'!$T$2:$T$495=6)*('CASE MASTER'!$U$2:$U$495&lt;=3)*('CASE MASTER'!$W$2:$W$495&gt;=3)*('CASE MASTER'!$V$2:$V$495&lt;=5)*('CASE MASTER'!$X$2:$X$495&gt;=5))*ROW('CASE MASTER'!$T$2:$T$495))-(ROW('CASE MASTER'!#REF!)-1)))&amp;TRIM(MID(SUBSTITUTE(SUBSTITUTE(INDEX('CASE MASTER'!$N$2:$N$495,(SUMPRODUCT((('CASE MASTER'!$T$2:$T$495=6)*('CASE MASTER'!$U$2:$U$495&lt;=3)*('CASE MASTER'!$W$2:$W$495&gt;=3)*('CASE MASTER'!$V$2:$V$495&lt;=5)*('CASE MASTER'!$X$2:$X$495&gt;=5))*ROW('CASE MASTER'!$T$2:$T$495))-(ROW('CASE MASTER'!#REF!)-1))),":",","),",",REPT(" ",50)),((((3-INDEX('CASE MASTER'!$U$2:$U$495,(SUMPRODUCT((('CASE MASTER'!$T$2:$T$495=6)*('CASE MASTER'!$U$2:$U$495&lt;=3)*('CASE MASTER'!$W$2:$W$495&gt;=3)*('CASE MASTER'!$V$2:$V$495&lt;=5)*('CASE MASTER'!$X$2:$X$495&gt;=5))*ROW('CASE MASTER'!$T$2:$T$495))-(ROW('CASE MASTER'!#REF!)-1))))*(INDEX('CASE MASTER'!$X$2:$X$495,(SUMPRODUCT((('CASE MASTER'!$T$2:$T$495=6)*('CASE MASTER'!$U$2:$U$495&lt;=3)*('CASE MASTER'!$W$2:$W$495&gt;=3)*('CASE MASTER'!$V$2:$V$495&lt;=5)*('CASE MASTER'!$X$2:$X$495&gt;=5))*ROW('CASE MASTER'!$T$2:$T$495))-(ROW('CASE MASTER'!#REF!)-1)))-INDEX('CASE MASTER'!$V$2:$V$495,(SUMPRODUCT((('CASE MASTER'!$T$2:$T$495=6)*('CASE MASTER'!$U$2:$U$495&lt;=3)*('CASE MASTER'!$W$2:$W$495&gt;=3)*('CASE MASTER'!$V$2:$V$495&lt;=5)*('CASE MASTER'!$X$2:$X$495&gt;=5))*ROW('CASE MASTER'!$T$2:$T$495))-(ROW('CASE MASTER'!#REF!)-1)))+1)+(5-INDEX('CASE MASTER'!$V$2:$V$495,(SUMPRODUCT((('CASE MASTER'!$T$2:$T$495=6)*('CASE MASTER'!$U$2:$U$495&lt;=3)*('CASE MASTER'!$W$2:$W$495&gt;=3)*('CASE MASTER'!$V$2:$V$495&lt;=5)*('CASE MASTER'!$X$2:$X$495&gt;=5))*ROW('CASE MASTER'!$T$2:$T$495))-(ROW('CASE MASTER'!#REF!)-1))))+1))-1)*50+1,50))&amp;"_"&amp;INDEX('CASE MASTER'!$Q$2:$Q$495,(SUMPRODUCT((('CASE MASTER'!$T$2:$T$495=6)*('CASE MASTER'!$U$2:$U$495&lt;=3)*('CASE MASTER'!$W$2:$W$495&gt;=3)*('CASE MASTER'!$V$2:$V$495&lt;=5)*('CASE MASTER'!$X$2:$X$495&gt;=5))*ROW('CASE MASTER'!$T$2:$T$495))-(ROW('CASE MASTER'!#REF!)-1))),IF(SUMPRODUCT((('CASE MASTER'!$T$2:$T$495=6)*('CASE MASTER'!$AA$2:$AA$495&lt;=3)*('CASE MASTER'!$AC$2:$AC$495&gt;=3)*('CASE MASTER'!$AB$2:$AB$495&lt;=5)*('CASE MASTER'!$AD$2:$AD$495&gt;=5))*ROW('CASE MASTER'!$T$2:$T$495))&gt;0,INDEX('CASE MASTER'!$Y$2:$Y$495,(SUMPRODUCT((('CASE MASTER'!$T$2:$T$495=6)*('CASE MASTER'!$AA$2:$AA$495&lt;=3)*('CASE MASTER'!$AC$2:$AC$495&gt;=3)*('CASE MASTER'!$AB$2:$AB$495&lt;=5)*('CASE MASTER'!$AD$2:$AD$495&gt;=5))*ROW('CASE MASTER'!$T$2:$T$495))-(ROW('CASE MASTER'!#REF!)-1)))&amp;TRIM(MID(SUBSTITUTE(SUBSTITUTE(INDEX('CASE MASTER'!$N$2:$N$495,(SUMPRODUCT((('CASE MASTER'!$T$2:$T$495=6)*('CASE MASTER'!$AA$2:$AA$495&lt;=3)*('CASE MASTER'!$AC$2:$AC$495&gt;=3)*('CASE MASTER'!$AB$2:$AB$495&lt;=5)*('CASE MASTER'!$AD$2:$AD$495&gt;=5))*ROW('CASE MASTER'!$T$2:$T$495))-(ROW('CASE MASTER'!#REF!)-1))),":",","),",",REPT(" ",50)),(((INDEX('CASE MASTER'!$Z$2:$Z$495,(SUMPRODUCT((('CASE MASTER'!$T$2:$T$495=6)*('CASE MASTER'!$AA$2:$AA$495&lt;=3)*('CASE MASTER'!$AC$2:$AC$495&gt;=3)*('CASE MASTER'!$AB$2:$AB$495&lt;=5)*('CASE MASTER'!$AD$2:$AD$495&gt;=5))*ROW('CASE MASTER'!$T$2:$T$495))-(ROW('CASE MASTER'!#REF!)-1)))+((3-INDEX('CASE MASTER'!$AA$2:$AA$495,(SUMPRODUCT((('CASE MASTER'!$T$2:$T$495=6)*('CASE MASTER'!$AA$2:$AA$495&lt;=3)*('CASE MASTER'!$AC$2:$AC$495&gt;=3)*('CASE MASTER'!$AB$2:$AB$495&lt;=5)*('CASE MASTER'!$AD$2:$AD$495&gt;=5))*ROW('CASE MASTER'!$T$2:$T$495))-(ROW('CASE MASTER'!#REF!)-1))))*(INDEX('CASE MASTER'!$AD$2:$AD$495,(SUMPRODUCT((('CASE MASTER'!$T$2:$T$495=6)*('CASE MASTER'!$AA$2:$AA$495&lt;=3)*('CASE MASTER'!$AC$2:$AC$495&gt;=3)*('CASE MASTER'!$AB$2:$AB$495&lt;=5)*('CASE MASTER'!$AD$2:$AD$495&gt;=5))*ROW('CASE MASTER'!$T$2:$T$495))-(ROW('CASE MASTER'!#REF!)-1)))-INDEX('CASE MASTER'!$AB$2:$AB$495,(SUMPRODUCT((('CASE MASTER'!$T$2:$T$495=6)*('CASE MASTER'!$AA$2:$AA$495&lt;=3)*('CASE MASTER'!$AC$2:$AC$495&gt;=3)*('CASE MASTER'!$AB$2:$AB$495&lt;=5)*('CASE MASTER'!$AD$2:$AD$495&gt;=5))*ROW('CASE MASTER'!$T$2:$T$495))-(ROW('CASE MASTER'!#REF!)-1)))+1)+(5-INDEX('CASE MASTER'!$AB$2:$AB$495,(SUMPRODUCT((('CASE MASTER'!$T$2:$T$495=6)*('CASE MASTER'!$AA$2:$AA$495&lt;=3)*('CASE MASTER'!$AC$2:$AC$495&gt;=3)*('CASE MASTER'!$AB$2:$AB$495&lt;=5)*('CASE MASTER'!$AD$2:$AD$495&gt;=5))*ROW('CASE MASTER'!$T$2:$T$495))-(ROW('CASE MASTER'!#REF!)-1))))+1)))-1)*50+1,50))&amp;"_"&amp;INDEX('CASE MASTER'!$Q$2:$Q$495,(SUMPRODUCT((('CASE MASTER'!$T$2:$T$495=6)*('CASE MASTER'!$AA$2:$AA$495&lt;=3)*('CASE MASTER'!$AC$2:$AC$495&gt;=3)*('CASE MASTER'!$AB$2:$AB$495&lt;=5)*('CASE MASTER'!$AD$2:$AD$495&gt;=5))*ROW('CASE MASTER'!$T$2:$T$495))-(ROW('CASE MASTER'!#REF!)-1))),"")),"")</f>
        <v/>
      </c>
      <c r="G75" s="10" t="str">
        <f>IFERROR(IF(SUMPRODUCT((('CASE MASTER'!$T$2:$T$495=6)*('CASE MASTER'!$U$2:$U$495&lt;=3)*('CASE MASTER'!$W$2:$W$495&gt;=3)*('CASE MASTER'!$V$2:$V$495&lt;=6)*('CASE MASTER'!$X$2:$X$495&gt;=6))*ROW('CASE MASTER'!$T$2:$T$495))&gt;0,INDEX('CASE MASTER'!$Y$2:$Y$495,(SUMPRODUCT((('CASE MASTER'!$T$2:$T$495=6)*('CASE MASTER'!$U$2:$U$495&lt;=3)*('CASE MASTER'!$W$2:$W$495&gt;=3)*('CASE MASTER'!$V$2:$V$495&lt;=6)*('CASE MASTER'!$X$2:$X$495&gt;=6))*ROW('CASE MASTER'!$T$2:$T$495))-(ROW('CASE MASTER'!#REF!)-1)))&amp;TRIM(MID(SUBSTITUTE(SUBSTITUTE(INDEX('CASE MASTER'!$N$2:$N$495,(SUMPRODUCT((('CASE MASTER'!$T$2:$T$495=6)*('CASE MASTER'!$U$2:$U$495&lt;=3)*('CASE MASTER'!$W$2:$W$495&gt;=3)*('CASE MASTER'!$V$2:$V$495&lt;=6)*('CASE MASTER'!$X$2:$X$495&gt;=6))*ROW('CASE MASTER'!$T$2:$T$495))-(ROW('CASE MASTER'!#REF!)-1))),":",","),",",REPT(" ",50)),((((3-INDEX('CASE MASTER'!$U$2:$U$495,(SUMPRODUCT((('CASE MASTER'!$T$2:$T$495=6)*('CASE MASTER'!$U$2:$U$495&lt;=3)*('CASE MASTER'!$W$2:$W$495&gt;=3)*('CASE MASTER'!$V$2:$V$495&lt;=6)*('CASE MASTER'!$X$2:$X$495&gt;=6))*ROW('CASE MASTER'!$T$2:$T$495))-(ROW('CASE MASTER'!#REF!)-1))))*(INDEX('CASE MASTER'!$X$2:$X$495,(SUMPRODUCT((('CASE MASTER'!$T$2:$T$495=6)*('CASE MASTER'!$U$2:$U$495&lt;=3)*('CASE MASTER'!$W$2:$W$495&gt;=3)*('CASE MASTER'!$V$2:$V$495&lt;=6)*('CASE MASTER'!$X$2:$X$495&gt;=6))*ROW('CASE MASTER'!$T$2:$T$495))-(ROW('CASE MASTER'!#REF!)-1)))-INDEX('CASE MASTER'!$V$2:$V$495,(SUMPRODUCT((('CASE MASTER'!$T$2:$T$495=6)*('CASE MASTER'!$U$2:$U$495&lt;=3)*('CASE MASTER'!$W$2:$W$495&gt;=3)*('CASE MASTER'!$V$2:$V$495&lt;=6)*('CASE MASTER'!$X$2:$X$495&gt;=6))*ROW('CASE MASTER'!$T$2:$T$495))-(ROW('CASE MASTER'!#REF!)-1)))+1)+(6-INDEX('CASE MASTER'!$V$2:$V$495,(SUMPRODUCT((('CASE MASTER'!$T$2:$T$495=6)*('CASE MASTER'!$U$2:$U$495&lt;=3)*('CASE MASTER'!$W$2:$W$495&gt;=3)*('CASE MASTER'!$V$2:$V$495&lt;=6)*('CASE MASTER'!$X$2:$X$495&gt;=6))*ROW('CASE MASTER'!$T$2:$T$495))-(ROW('CASE MASTER'!#REF!)-1))))+1))-1)*50+1,50))&amp;"_"&amp;INDEX('CASE MASTER'!$Q$2:$Q$495,(SUMPRODUCT((('CASE MASTER'!$T$2:$T$495=6)*('CASE MASTER'!$U$2:$U$495&lt;=3)*('CASE MASTER'!$W$2:$W$495&gt;=3)*('CASE MASTER'!$V$2:$V$495&lt;=6)*('CASE MASTER'!$X$2:$X$495&gt;=6))*ROW('CASE MASTER'!$T$2:$T$495))-(ROW('CASE MASTER'!#REF!)-1))),IF(SUMPRODUCT((('CASE MASTER'!$T$2:$T$495=6)*('CASE MASTER'!$AA$2:$AA$495&lt;=3)*('CASE MASTER'!$AC$2:$AC$495&gt;=3)*('CASE MASTER'!$AB$2:$AB$495&lt;=6)*('CASE MASTER'!$AD$2:$AD$495&gt;=6))*ROW('CASE MASTER'!$T$2:$T$495))&gt;0,INDEX('CASE MASTER'!$Y$2:$Y$495,(SUMPRODUCT((('CASE MASTER'!$T$2:$T$495=6)*('CASE MASTER'!$AA$2:$AA$495&lt;=3)*('CASE MASTER'!$AC$2:$AC$495&gt;=3)*('CASE MASTER'!$AB$2:$AB$495&lt;=6)*('CASE MASTER'!$AD$2:$AD$495&gt;=6))*ROW('CASE MASTER'!$T$2:$T$495))-(ROW('CASE MASTER'!#REF!)-1)))&amp;TRIM(MID(SUBSTITUTE(SUBSTITUTE(INDEX('CASE MASTER'!$N$2:$N$495,(SUMPRODUCT((('CASE MASTER'!$T$2:$T$495=6)*('CASE MASTER'!$AA$2:$AA$495&lt;=3)*('CASE MASTER'!$AC$2:$AC$495&gt;=3)*('CASE MASTER'!$AB$2:$AB$495&lt;=6)*('CASE MASTER'!$AD$2:$AD$495&gt;=6))*ROW('CASE MASTER'!$T$2:$T$495))-(ROW('CASE MASTER'!#REF!)-1))),":",","),",",REPT(" ",50)),(((INDEX('CASE MASTER'!$Z$2:$Z$495,(SUMPRODUCT((('CASE MASTER'!$T$2:$T$495=6)*('CASE MASTER'!$AA$2:$AA$495&lt;=3)*('CASE MASTER'!$AC$2:$AC$495&gt;=3)*('CASE MASTER'!$AB$2:$AB$495&lt;=6)*('CASE MASTER'!$AD$2:$AD$495&gt;=6))*ROW('CASE MASTER'!$T$2:$T$495))-(ROW('CASE MASTER'!#REF!)-1)))+((3-INDEX('CASE MASTER'!$AA$2:$AA$495,(SUMPRODUCT((('CASE MASTER'!$T$2:$T$495=6)*('CASE MASTER'!$AA$2:$AA$495&lt;=3)*('CASE MASTER'!$AC$2:$AC$495&gt;=3)*('CASE MASTER'!$AB$2:$AB$495&lt;=6)*('CASE MASTER'!$AD$2:$AD$495&gt;=6))*ROW('CASE MASTER'!$T$2:$T$495))-(ROW('CASE MASTER'!#REF!)-1))))*(INDEX('CASE MASTER'!$AD$2:$AD$495,(SUMPRODUCT((('CASE MASTER'!$T$2:$T$495=6)*('CASE MASTER'!$AA$2:$AA$495&lt;=3)*('CASE MASTER'!$AC$2:$AC$495&gt;=3)*('CASE MASTER'!$AB$2:$AB$495&lt;=6)*('CASE MASTER'!$AD$2:$AD$495&gt;=6))*ROW('CASE MASTER'!$T$2:$T$495))-(ROW('CASE MASTER'!#REF!)-1)))-INDEX('CASE MASTER'!$AB$2:$AB$495,(SUMPRODUCT((('CASE MASTER'!$T$2:$T$495=6)*('CASE MASTER'!$AA$2:$AA$495&lt;=3)*('CASE MASTER'!$AC$2:$AC$495&gt;=3)*('CASE MASTER'!$AB$2:$AB$495&lt;=6)*('CASE MASTER'!$AD$2:$AD$495&gt;=6))*ROW('CASE MASTER'!$T$2:$T$495))-(ROW('CASE MASTER'!#REF!)-1)))+1)+(6-INDEX('CASE MASTER'!$AB$2:$AB$495,(SUMPRODUCT((('CASE MASTER'!$T$2:$T$495=6)*('CASE MASTER'!$AA$2:$AA$495&lt;=3)*('CASE MASTER'!$AC$2:$AC$495&gt;=3)*('CASE MASTER'!$AB$2:$AB$495&lt;=6)*('CASE MASTER'!$AD$2:$AD$495&gt;=6))*ROW('CASE MASTER'!$T$2:$T$495))-(ROW('CASE MASTER'!#REF!)-1))))+1)))-1)*50+1,50))&amp;"_"&amp;INDEX('CASE MASTER'!$Q$2:$Q$495,(SUMPRODUCT((('CASE MASTER'!$T$2:$T$495=6)*('CASE MASTER'!$AA$2:$AA$495&lt;=3)*('CASE MASTER'!$AC$2:$AC$495&gt;=3)*('CASE MASTER'!$AB$2:$AB$495&lt;=6)*('CASE MASTER'!$AD$2:$AD$495&gt;=6))*ROW('CASE MASTER'!$T$2:$T$495))-(ROW('CASE MASTER'!#REF!)-1))),"")),"")</f>
        <v/>
      </c>
      <c r="H75" s="10" t="str">
        <f>IFERROR(IF(SUMPRODUCT((('CASE MASTER'!$T$2:$T$495=6)*('CASE MASTER'!$U$2:$U$495&lt;=3)*('CASE MASTER'!$W$2:$W$495&gt;=3)*('CASE MASTER'!$V$2:$V$495&lt;=7)*('CASE MASTER'!$X$2:$X$495&gt;=7))*ROW('CASE MASTER'!$T$2:$T$495))&gt;0,INDEX('CASE MASTER'!$Y$2:$Y$495,(SUMPRODUCT((('CASE MASTER'!$T$2:$T$495=6)*('CASE MASTER'!$U$2:$U$495&lt;=3)*('CASE MASTER'!$W$2:$W$495&gt;=3)*('CASE MASTER'!$V$2:$V$495&lt;=7)*('CASE MASTER'!$X$2:$X$495&gt;=7))*ROW('CASE MASTER'!$T$2:$T$495))-(ROW('CASE MASTER'!#REF!)-1)))&amp;TRIM(MID(SUBSTITUTE(SUBSTITUTE(INDEX('CASE MASTER'!$N$2:$N$495,(SUMPRODUCT((('CASE MASTER'!$T$2:$T$495=6)*('CASE MASTER'!$U$2:$U$495&lt;=3)*('CASE MASTER'!$W$2:$W$495&gt;=3)*('CASE MASTER'!$V$2:$V$495&lt;=7)*('CASE MASTER'!$X$2:$X$495&gt;=7))*ROW('CASE MASTER'!$T$2:$T$495))-(ROW('CASE MASTER'!#REF!)-1))),":",","),",",REPT(" ",50)),((((3-INDEX('CASE MASTER'!$U$2:$U$495,(SUMPRODUCT((('CASE MASTER'!$T$2:$T$495=6)*('CASE MASTER'!$U$2:$U$495&lt;=3)*('CASE MASTER'!$W$2:$W$495&gt;=3)*('CASE MASTER'!$V$2:$V$495&lt;=7)*('CASE MASTER'!$X$2:$X$495&gt;=7))*ROW('CASE MASTER'!$T$2:$T$495))-(ROW('CASE MASTER'!#REF!)-1))))*(INDEX('CASE MASTER'!$X$2:$X$495,(SUMPRODUCT((('CASE MASTER'!$T$2:$T$495=6)*('CASE MASTER'!$U$2:$U$495&lt;=3)*('CASE MASTER'!$W$2:$W$495&gt;=3)*('CASE MASTER'!$V$2:$V$495&lt;=7)*('CASE MASTER'!$X$2:$X$495&gt;=7))*ROW('CASE MASTER'!$T$2:$T$495))-(ROW('CASE MASTER'!#REF!)-1)))-INDEX('CASE MASTER'!$V$2:$V$495,(SUMPRODUCT((('CASE MASTER'!$T$2:$T$495=6)*('CASE MASTER'!$U$2:$U$495&lt;=3)*('CASE MASTER'!$W$2:$W$495&gt;=3)*('CASE MASTER'!$V$2:$V$495&lt;=7)*('CASE MASTER'!$X$2:$X$495&gt;=7))*ROW('CASE MASTER'!$T$2:$T$495))-(ROW('CASE MASTER'!#REF!)-1)))+1)+(7-INDEX('CASE MASTER'!$V$2:$V$495,(SUMPRODUCT((('CASE MASTER'!$T$2:$T$495=6)*('CASE MASTER'!$U$2:$U$495&lt;=3)*('CASE MASTER'!$W$2:$W$495&gt;=3)*('CASE MASTER'!$V$2:$V$495&lt;=7)*('CASE MASTER'!$X$2:$X$495&gt;=7))*ROW('CASE MASTER'!$T$2:$T$495))-(ROW('CASE MASTER'!#REF!)-1))))+1))-1)*50+1,50))&amp;"_"&amp;INDEX('CASE MASTER'!$Q$2:$Q$495,(SUMPRODUCT((('CASE MASTER'!$T$2:$T$495=6)*('CASE MASTER'!$U$2:$U$495&lt;=3)*('CASE MASTER'!$W$2:$W$495&gt;=3)*('CASE MASTER'!$V$2:$V$495&lt;=7)*('CASE MASTER'!$X$2:$X$495&gt;=7))*ROW('CASE MASTER'!$T$2:$T$495))-(ROW('CASE MASTER'!#REF!)-1))),IF(SUMPRODUCT((('CASE MASTER'!$T$2:$T$495=6)*('CASE MASTER'!$AA$2:$AA$495&lt;=3)*('CASE MASTER'!$AC$2:$AC$495&gt;=3)*('CASE MASTER'!$AB$2:$AB$495&lt;=7)*('CASE MASTER'!$AD$2:$AD$495&gt;=7))*ROW('CASE MASTER'!$T$2:$T$495))&gt;0,INDEX('CASE MASTER'!$Y$2:$Y$495,(SUMPRODUCT((('CASE MASTER'!$T$2:$T$495=6)*('CASE MASTER'!$AA$2:$AA$495&lt;=3)*('CASE MASTER'!$AC$2:$AC$495&gt;=3)*('CASE MASTER'!$AB$2:$AB$495&lt;=7)*('CASE MASTER'!$AD$2:$AD$495&gt;=7))*ROW('CASE MASTER'!$T$2:$T$495))-(ROW('CASE MASTER'!#REF!)-1)))&amp;TRIM(MID(SUBSTITUTE(SUBSTITUTE(INDEX('CASE MASTER'!$N$2:$N$495,(SUMPRODUCT((('CASE MASTER'!$T$2:$T$495=6)*('CASE MASTER'!$AA$2:$AA$495&lt;=3)*('CASE MASTER'!$AC$2:$AC$495&gt;=3)*('CASE MASTER'!$AB$2:$AB$495&lt;=7)*('CASE MASTER'!$AD$2:$AD$495&gt;=7))*ROW('CASE MASTER'!$T$2:$T$495))-(ROW('CASE MASTER'!#REF!)-1))),":",","),",",REPT(" ",50)),(((INDEX('CASE MASTER'!$Z$2:$Z$495,(SUMPRODUCT((('CASE MASTER'!$T$2:$T$495=6)*('CASE MASTER'!$AA$2:$AA$495&lt;=3)*('CASE MASTER'!$AC$2:$AC$495&gt;=3)*('CASE MASTER'!$AB$2:$AB$495&lt;=7)*('CASE MASTER'!$AD$2:$AD$495&gt;=7))*ROW('CASE MASTER'!$T$2:$T$495))-(ROW('CASE MASTER'!#REF!)-1)))+((3-INDEX('CASE MASTER'!$AA$2:$AA$495,(SUMPRODUCT((('CASE MASTER'!$T$2:$T$495=6)*('CASE MASTER'!$AA$2:$AA$495&lt;=3)*('CASE MASTER'!$AC$2:$AC$495&gt;=3)*('CASE MASTER'!$AB$2:$AB$495&lt;=7)*('CASE MASTER'!$AD$2:$AD$495&gt;=7))*ROW('CASE MASTER'!$T$2:$T$495))-(ROW('CASE MASTER'!#REF!)-1))))*(INDEX('CASE MASTER'!$AD$2:$AD$495,(SUMPRODUCT((('CASE MASTER'!$T$2:$T$495=6)*('CASE MASTER'!$AA$2:$AA$495&lt;=3)*('CASE MASTER'!$AC$2:$AC$495&gt;=3)*('CASE MASTER'!$AB$2:$AB$495&lt;=7)*('CASE MASTER'!$AD$2:$AD$495&gt;=7))*ROW('CASE MASTER'!$T$2:$T$495))-(ROW('CASE MASTER'!#REF!)-1)))-INDEX('CASE MASTER'!$AB$2:$AB$495,(SUMPRODUCT((('CASE MASTER'!$T$2:$T$495=6)*('CASE MASTER'!$AA$2:$AA$495&lt;=3)*('CASE MASTER'!$AC$2:$AC$495&gt;=3)*('CASE MASTER'!$AB$2:$AB$495&lt;=7)*('CASE MASTER'!$AD$2:$AD$495&gt;=7))*ROW('CASE MASTER'!$T$2:$T$495))-(ROW('CASE MASTER'!#REF!)-1)))+1)+(7-INDEX('CASE MASTER'!$AB$2:$AB$495,(SUMPRODUCT((('CASE MASTER'!$T$2:$T$495=6)*('CASE MASTER'!$AA$2:$AA$495&lt;=3)*('CASE MASTER'!$AC$2:$AC$495&gt;=3)*('CASE MASTER'!$AB$2:$AB$495&lt;=7)*('CASE MASTER'!$AD$2:$AD$495&gt;=7))*ROW('CASE MASTER'!$T$2:$T$495))-(ROW('CASE MASTER'!#REF!)-1))))+1)))-1)*50+1,50))&amp;"_"&amp;INDEX('CASE MASTER'!$Q$2:$Q$495,(SUMPRODUCT((('CASE MASTER'!$T$2:$T$495=6)*('CASE MASTER'!$AA$2:$AA$495&lt;=3)*('CASE MASTER'!$AC$2:$AC$495&gt;=3)*('CASE MASTER'!$AB$2:$AB$495&lt;=7)*('CASE MASTER'!$AD$2:$AD$495&gt;=7))*ROW('CASE MASTER'!$T$2:$T$495))-(ROW('CASE MASTER'!#REF!)-1))),"")),"")</f>
        <v/>
      </c>
      <c r="I75" s="10" t="str">
        <f>IFERROR(IF(SUMPRODUCT((('CASE MASTER'!$T$2:$T$495=6)*('CASE MASTER'!$U$2:$U$495&lt;=3)*('CASE MASTER'!$W$2:$W$495&gt;=3)*('CASE MASTER'!$V$2:$V$495&lt;=8)*('CASE MASTER'!$X$2:$X$495&gt;=8))*ROW('CASE MASTER'!$T$2:$T$495))&gt;0,INDEX('CASE MASTER'!$Y$2:$Y$495,(SUMPRODUCT((('CASE MASTER'!$T$2:$T$495=6)*('CASE MASTER'!$U$2:$U$495&lt;=3)*('CASE MASTER'!$W$2:$W$495&gt;=3)*('CASE MASTER'!$V$2:$V$495&lt;=8)*('CASE MASTER'!$X$2:$X$495&gt;=8))*ROW('CASE MASTER'!$T$2:$T$495))-(ROW('CASE MASTER'!#REF!)-1)))&amp;TRIM(MID(SUBSTITUTE(SUBSTITUTE(INDEX('CASE MASTER'!$N$2:$N$495,(SUMPRODUCT((('CASE MASTER'!$T$2:$T$495=6)*('CASE MASTER'!$U$2:$U$495&lt;=3)*('CASE MASTER'!$W$2:$W$495&gt;=3)*('CASE MASTER'!$V$2:$V$495&lt;=8)*('CASE MASTER'!$X$2:$X$495&gt;=8))*ROW('CASE MASTER'!$T$2:$T$495))-(ROW('CASE MASTER'!#REF!)-1))),":",","),",",REPT(" ",50)),((((3-INDEX('CASE MASTER'!$U$2:$U$495,(SUMPRODUCT((('CASE MASTER'!$T$2:$T$495=6)*('CASE MASTER'!$U$2:$U$495&lt;=3)*('CASE MASTER'!$W$2:$W$495&gt;=3)*('CASE MASTER'!$V$2:$V$495&lt;=8)*('CASE MASTER'!$X$2:$X$495&gt;=8))*ROW('CASE MASTER'!$T$2:$T$495))-(ROW('CASE MASTER'!#REF!)-1))))*(INDEX('CASE MASTER'!$X$2:$X$495,(SUMPRODUCT((('CASE MASTER'!$T$2:$T$495=6)*('CASE MASTER'!$U$2:$U$495&lt;=3)*('CASE MASTER'!$W$2:$W$495&gt;=3)*('CASE MASTER'!$V$2:$V$495&lt;=8)*('CASE MASTER'!$X$2:$X$495&gt;=8))*ROW('CASE MASTER'!$T$2:$T$495))-(ROW('CASE MASTER'!#REF!)-1)))-INDEX('CASE MASTER'!$V$2:$V$495,(SUMPRODUCT((('CASE MASTER'!$T$2:$T$495=6)*('CASE MASTER'!$U$2:$U$495&lt;=3)*('CASE MASTER'!$W$2:$W$495&gt;=3)*('CASE MASTER'!$V$2:$V$495&lt;=8)*('CASE MASTER'!$X$2:$X$495&gt;=8))*ROW('CASE MASTER'!$T$2:$T$495))-(ROW('CASE MASTER'!#REF!)-1)))+1)+(8-INDEX('CASE MASTER'!$V$2:$V$495,(SUMPRODUCT((('CASE MASTER'!$T$2:$T$495=6)*('CASE MASTER'!$U$2:$U$495&lt;=3)*('CASE MASTER'!$W$2:$W$495&gt;=3)*('CASE MASTER'!$V$2:$V$495&lt;=8)*('CASE MASTER'!$X$2:$X$495&gt;=8))*ROW('CASE MASTER'!$T$2:$T$495))-(ROW('CASE MASTER'!#REF!)-1))))+1))-1)*50+1,50))&amp;"_"&amp;INDEX('CASE MASTER'!$Q$2:$Q$495,(SUMPRODUCT((('CASE MASTER'!$T$2:$T$495=6)*('CASE MASTER'!$U$2:$U$495&lt;=3)*('CASE MASTER'!$W$2:$W$495&gt;=3)*('CASE MASTER'!$V$2:$V$495&lt;=8)*('CASE MASTER'!$X$2:$X$495&gt;=8))*ROW('CASE MASTER'!$T$2:$T$495))-(ROW('CASE MASTER'!#REF!)-1))),IF(SUMPRODUCT((('CASE MASTER'!$T$2:$T$495=6)*('CASE MASTER'!$AA$2:$AA$495&lt;=3)*('CASE MASTER'!$AC$2:$AC$495&gt;=3)*('CASE MASTER'!$AB$2:$AB$495&lt;=8)*('CASE MASTER'!$AD$2:$AD$495&gt;=8))*ROW('CASE MASTER'!$T$2:$T$495))&gt;0,INDEX('CASE MASTER'!$Y$2:$Y$495,(SUMPRODUCT((('CASE MASTER'!$T$2:$T$495=6)*('CASE MASTER'!$AA$2:$AA$495&lt;=3)*('CASE MASTER'!$AC$2:$AC$495&gt;=3)*('CASE MASTER'!$AB$2:$AB$495&lt;=8)*('CASE MASTER'!$AD$2:$AD$495&gt;=8))*ROW('CASE MASTER'!$T$2:$T$495))-(ROW('CASE MASTER'!#REF!)-1)))&amp;TRIM(MID(SUBSTITUTE(SUBSTITUTE(INDEX('CASE MASTER'!$N$2:$N$495,(SUMPRODUCT((('CASE MASTER'!$T$2:$T$495=6)*('CASE MASTER'!$AA$2:$AA$495&lt;=3)*('CASE MASTER'!$AC$2:$AC$495&gt;=3)*('CASE MASTER'!$AB$2:$AB$495&lt;=8)*('CASE MASTER'!$AD$2:$AD$495&gt;=8))*ROW('CASE MASTER'!$T$2:$T$495))-(ROW('CASE MASTER'!#REF!)-1))),":",","),",",REPT(" ",50)),(((INDEX('CASE MASTER'!$Z$2:$Z$495,(SUMPRODUCT((('CASE MASTER'!$T$2:$T$495=6)*('CASE MASTER'!$AA$2:$AA$495&lt;=3)*('CASE MASTER'!$AC$2:$AC$495&gt;=3)*('CASE MASTER'!$AB$2:$AB$495&lt;=8)*('CASE MASTER'!$AD$2:$AD$495&gt;=8))*ROW('CASE MASTER'!$T$2:$T$495))-(ROW('CASE MASTER'!#REF!)-1)))+((3-INDEX('CASE MASTER'!$AA$2:$AA$495,(SUMPRODUCT((('CASE MASTER'!$T$2:$T$495=6)*('CASE MASTER'!$AA$2:$AA$495&lt;=3)*('CASE MASTER'!$AC$2:$AC$495&gt;=3)*('CASE MASTER'!$AB$2:$AB$495&lt;=8)*('CASE MASTER'!$AD$2:$AD$495&gt;=8))*ROW('CASE MASTER'!$T$2:$T$495))-(ROW('CASE MASTER'!#REF!)-1))))*(INDEX('CASE MASTER'!$AD$2:$AD$495,(SUMPRODUCT((('CASE MASTER'!$T$2:$T$495=6)*('CASE MASTER'!$AA$2:$AA$495&lt;=3)*('CASE MASTER'!$AC$2:$AC$495&gt;=3)*('CASE MASTER'!$AB$2:$AB$495&lt;=8)*('CASE MASTER'!$AD$2:$AD$495&gt;=8))*ROW('CASE MASTER'!$T$2:$T$495))-(ROW('CASE MASTER'!#REF!)-1)))-INDEX('CASE MASTER'!$AB$2:$AB$495,(SUMPRODUCT((('CASE MASTER'!$T$2:$T$495=6)*('CASE MASTER'!$AA$2:$AA$495&lt;=3)*('CASE MASTER'!$AC$2:$AC$495&gt;=3)*('CASE MASTER'!$AB$2:$AB$495&lt;=8)*('CASE MASTER'!$AD$2:$AD$495&gt;=8))*ROW('CASE MASTER'!$T$2:$T$495))-(ROW('CASE MASTER'!#REF!)-1)))+1)+(8-INDEX('CASE MASTER'!$AB$2:$AB$495,(SUMPRODUCT((('CASE MASTER'!$T$2:$T$495=6)*('CASE MASTER'!$AA$2:$AA$495&lt;=3)*('CASE MASTER'!$AC$2:$AC$495&gt;=3)*('CASE MASTER'!$AB$2:$AB$495&lt;=8)*('CASE MASTER'!$AD$2:$AD$495&gt;=8))*ROW('CASE MASTER'!$T$2:$T$495))-(ROW('CASE MASTER'!#REF!)-1))))+1)))-1)*50+1,50))&amp;"_"&amp;INDEX('CASE MASTER'!$Q$2:$Q$495,(SUMPRODUCT((('CASE MASTER'!$T$2:$T$495=6)*('CASE MASTER'!$AA$2:$AA$495&lt;=3)*('CASE MASTER'!$AC$2:$AC$495&gt;=3)*('CASE MASTER'!$AB$2:$AB$495&lt;=8)*('CASE MASTER'!$AD$2:$AD$495&gt;=8))*ROW('CASE MASTER'!$T$2:$T$495))-(ROW('CASE MASTER'!#REF!)-1))),"")),"")</f>
        <v/>
      </c>
      <c r="J75" s="10" t="str">
        <f>IFERROR(IF(SUMPRODUCT((('CASE MASTER'!$T$2:$T$495=6)*('CASE MASTER'!$U$2:$U$495&lt;=3)*('CASE MASTER'!$W$2:$W$495&gt;=3)*('CASE MASTER'!$V$2:$V$495&lt;=9)*('CASE MASTER'!$X$2:$X$495&gt;=9))*ROW('CASE MASTER'!$T$2:$T$495))&gt;0,INDEX('CASE MASTER'!$Y$2:$Y$495,(SUMPRODUCT((('CASE MASTER'!$T$2:$T$495=6)*('CASE MASTER'!$U$2:$U$495&lt;=3)*('CASE MASTER'!$W$2:$W$495&gt;=3)*('CASE MASTER'!$V$2:$V$495&lt;=9)*('CASE MASTER'!$X$2:$X$495&gt;=9))*ROW('CASE MASTER'!$T$2:$T$495))-(ROW('CASE MASTER'!#REF!)-1)))&amp;TRIM(MID(SUBSTITUTE(SUBSTITUTE(INDEX('CASE MASTER'!$N$2:$N$495,(SUMPRODUCT((('CASE MASTER'!$T$2:$T$495=6)*('CASE MASTER'!$U$2:$U$495&lt;=3)*('CASE MASTER'!$W$2:$W$495&gt;=3)*('CASE MASTER'!$V$2:$V$495&lt;=9)*('CASE MASTER'!$X$2:$X$495&gt;=9))*ROW('CASE MASTER'!$T$2:$T$495))-(ROW('CASE MASTER'!#REF!)-1))),":",","),",",REPT(" ",50)),((((3-INDEX('CASE MASTER'!$U$2:$U$495,(SUMPRODUCT((('CASE MASTER'!$T$2:$T$495=6)*('CASE MASTER'!$U$2:$U$495&lt;=3)*('CASE MASTER'!$W$2:$W$495&gt;=3)*('CASE MASTER'!$V$2:$V$495&lt;=9)*('CASE MASTER'!$X$2:$X$495&gt;=9))*ROW('CASE MASTER'!$T$2:$T$495))-(ROW('CASE MASTER'!#REF!)-1))))*(INDEX('CASE MASTER'!$X$2:$X$495,(SUMPRODUCT((('CASE MASTER'!$T$2:$T$495=6)*('CASE MASTER'!$U$2:$U$495&lt;=3)*('CASE MASTER'!$W$2:$W$495&gt;=3)*('CASE MASTER'!$V$2:$V$495&lt;=9)*('CASE MASTER'!$X$2:$X$495&gt;=9))*ROW('CASE MASTER'!$T$2:$T$495))-(ROW('CASE MASTER'!#REF!)-1)))-INDEX('CASE MASTER'!$V$2:$V$495,(SUMPRODUCT((('CASE MASTER'!$T$2:$T$495=6)*('CASE MASTER'!$U$2:$U$495&lt;=3)*('CASE MASTER'!$W$2:$W$495&gt;=3)*('CASE MASTER'!$V$2:$V$495&lt;=9)*('CASE MASTER'!$X$2:$X$495&gt;=9))*ROW('CASE MASTER'!$T$2:$T$495))-(ROW('CASE MASTER'!#REF!)-1)))+1)+(9-INDEX('CASE MASTER'!$V$2:$V$495,(SUMPRODUCT((('CASE MASTER'!$T$2:$T$495=6)*('CASE MASTER'!$U$2:$U$495&lt;=3)*('CASE MASTER'!$W$2:$W$495&gt;=3)*('CASE MASTER'!$V$2:$V$495&lt;=9)*('CASE MASTER'!$X$2:$X$495&gt;=9))*ROW('CASE MASTER'!$T$2:$T$495))-(ROW('CASE MASTER'!#REF!)-1))))+1))-1)*50+1,50))&amp;"_"&amp;INDEX('CASE MASTER'!$Q$2:$Q$495,(SUMPRODUCT((('CASE MASTER'!$T$2:$T$495=6)*('CASE MASTER'!$U$2:$U$495&lt;=3)*('CASE MASTER'!$W$2:$W$495&gt;=3)*('CASE MASTER'!$V$2:$V$495&lt;=9)*('CASE MASTER'!$X$2:$X$495&gt;=9))*ROW('CASE MASTER'!$T$2:$T$495))-(ROW('CASE MASTER'!#REF!)-1))),IF(SUMPRODUCT((('CASE MASTER'!$T$2:$T$495=6)*('CASE MASTER'!$AA$2:$AA$495&lt;=3)*('CASE MASTER'!$AC$2:$AC$495&gt;=3)*('CASE MASTER'!$AB$2:$AB$495&lt;=9)*('CASE MASTER'!$AD$2:$AD$495&gt;=9))*ROW('CASE MASTER'!$T$2:$T$495))&gt;0,INDEX('CASE MASTER'!$Y$2:$Y$495,(SUMPRODUCT((('CASE MASTER'!$T$2:$T$495=6)*('CASE MASTER'!$AA$2:$AA$495&lt;=3)*('CASE MASTER'!$AC$2:$AC$495&gt;=3)*('CASE MASTER'!$AB$2:$AB$495&lt;=9)*('CASE MASTER'!$AD$2:$AD$495&gt;=9))*ROW('CASE MASTER'!$T$2:$T$495))-(ROW('CASE MASTER'!#REF!)-1)))&amp;TRIM(MID(SUBSTITUTE(SUBSTITUTE(INDEX('CASE MASTER'!$N$2:$N$495,(SUMPRODUCT((('CASE MASTER'!$T$2:$T$495=6)*('CASE MASTER'!$AA$2:$AA$495&lt;=3)*('CASE MASTER'!$AC$2:$AC$495&gt;=3)*('CASE MASTER'!$AB$2:$AB$495&lt;=9)*('CASE MASTER'!$AD$2:$AD$495&gt;=9))*ROW('CASE MASTER'!$T$2:$T$495))-(ROW('CASE MASTER'!#REF!)-1))),":",","),",",REPT(" ",50)),(((INDEX('CASE MASTER'!$Z$2:$Z$495,(SUMPRODUCT((('CASE MASTER'!$T$2:$T$495=6)*('CASE MASTER'!$AA$2:$AA$495&lt;=3)*('CASE MASTER'!$AC$2:$AC$495&gt;=3)*('CASE MASTER'!$AB$2:$AB$495&lt;=9)*('CASE MASTER'!$AD$2:$AD$495&gt;=9))*ROW('CASE MASTER'!$T$2:$T$495))-(ROW('CASE MASTER'!#REF!)-1)))+((3-INDEX('CASE MASTER'!$AA$2:$AA$495,(SUMPRODUCT((('CASE MASTER'!$T$2:$T$495=6)*('CASE MASTER'!$AA$2:$AA$495&lt;=3)*('CASE MASTER'!$AC$2:$AC$495&gt;=3)*('CASE MASTER'!$AB$2:$AB$495&lt;=9)*('CASE MASTER'!$AD$2:$AD$495&gt;=9))*ROW('CASE MASTER'!$T$2:$T$495))-(ROW('CASE MASTER'!#REF!)-1))))*(INDEX('CASE MASTER'!$AD$2:$AD$495,(SUMPRODUCT((('CASE MASTER'!$T$2:$T$495=6)*('CASE MASTER'!$AA$2:$AA$495&lt;=3)*('CASE MASTER'!$AC$2:$AC$495&gt;=3)*('CASE MASTER'!$AB$2:$AB$495&lt;=9)*('CASE MASTER'!$AD$2:$AD$495&gt;=9))*ROW('CASE MASTER'!$T$2:$T$495))-(ROW('CASE MASTER'!#REF!)-1)))-INDEX('CASE MASTER'!$AB$2:$AB$495,(SUMPRODUCT((('CASE MASTER'!$T$2:$T$495=6)*('CASE MASTER'!$AA$2:$AA$495&lt;=3)*('CASE MASTER'!$AC$2:$AC$495&gt;=3)*('CASE MASTER'!$AB$2:$AB$495&lt;=9)*('CASE MASTER'!$AD$2:$AD$495&gt;=9))*ROW('CASE MASTER'!$T$2:$T$495))-(ROW('CASE MASTER'!#REF!)-1)))+1)+(9-INDEX('CASE MASTER'!$AB$2:$AB$495,(SUMPRODUCT((('CASE MASTER'!$T$2:$T$495=6)*('CASE MASTER'!$AA$2:$AA$495&lt;=3)*('CASE MASTER'!$AC$2:$AC$495&gt;=3)*('CASE MASTER'!$AB$2:$AB$495&lt;=9)*('CASE MASTER'!$AD$2:$AD$495&gt;=9))*ROW('CASE MASTER'!$T$2:$T$495))-(ROW('CASE MASTER'!#REF!)-1))))+1)))-1)*50+1,50))&amp;"_"&amp;INDEX('CASE MASTER'!$Q$2:$Q$495,(SUMPRODUCT((('CASE MASTER'!$T$2:$T$495=6)*('CASE MASTER'!$AA$2:$AA$495&lt;=3)*('CASE MASTER'!$AC$2:$AC$495&gt;=3)*('CASE MASTER'!$AB$2:$AB$495&lt;=9)*('CASE MASTER'!$AD$2:$AD$495&gt;=9))*ROW('CASE MASTER'!$T$2:$T$495))-(ROW('CASE MASTER'!#REF!)-1))),"")),"")</f>
        <v/>
      </c>
      <c r="K75" s="10" t="str">
        <f>IFERROR(IF(SUMPRODUCT((('CASE MASTER'!$T$2:$T$495=6)*('CASE MASTER'!$U$2:$U$495&lt;=3)*('CASE MASTER'!$W$2:$W$495&gt;=3)*('CASE MASTER'!$V$2:$V$495&lt;=10)*('CASE MASTER'!$X$2:$X$495&gt;=10))*ROW('CASE MASTER'!$T$2:$T$495))&gt;0,INDEX('CASE MASTER'!$Y$2:$Y$495,(SUMPRODUCT((('CASE MASTER'!$T$2:$T$495=6)*('CASE MASTER'!$U$2:$U$495&lt;=3)*('CASE MASTER'!$W$2:$W$495&gt;=3)*('CASE MASTER'!$V$2:$V$495&lt;=10)*('CASE MASTER'!$X$2:$X$495&gt;=10))*ROW('CASE MASTER'!$T$2:$T$495))-(ROW('CASE MASTER'!#REF!)-1)))&amp;TRIM(MID(SUBSTITUTE(SUBSTITUTE(INDEX('CASE MASTER'!$N$2:$N$495,(SUMPRODUCT((('CASE MASTER'!$T$2:$T$495=6)*('CASE MASTER'!$U$2:$U$495&lt;=3)*('CASE MASTER'!$W$2:$W$495&gt;=3)*('CASE MASTER'!$V$2:$V$495&lt;=10)*('CASE MASTER'!$X$2:$X$495&gt;=10))*ROW('CASE MASTER'!$T$2:$T$495))-(ROW('CASE MASTER'!#REF!)-1))),":",","),",",REPT(" ",50)),((((3-INDEX('CASE MASTER'!$U$2:$U$495,(SUMPRODUCT((('CASE MASTER'!$T$2:$T$495=6)*('CASE MASTER'!$U$2:$U$495&lt;=3)*('CASE MASTER'!$W$2:$W$495&gt;=3)*('CASE MASTER'!$V$2:$V$495&lt;=10)*('CASE MASTER'!$X$2:$X$495&gt;=10))*ROW('CASE MASTER'!$T$2:$T$495))-(ROW('CASE MASTER'!#REF!)-1))))*(INDEX('CASE MASTER'!$X$2:$X$495,(SUMPRODUCT((('CASE MASTER'!$T$2:$T$495=6)*('CASE MASTER'!$U$2:$U$495&lt;=3)*('CASE MASTER'!$W$2:$W$495&gt;=3)*('CASE MASTER'!$V$2:$V$495&lt;=10)*('CASE MASTER'!$X$2:$X$495&gt;=10))*ROW('CASE MASTER'!$T$2:$T$495))-(ROW('CASE MASTER'!#REF!)-1)))-INDEX('CASE MASTER'!$V$2:$V$495,(SUMPRODUCT((('CASE MASTER'!$T$2:$T$495=6)*('CASE MASTER'!$U$2:$U$495&lt;=3)*('CASE MASTER'!$W$2:$W$495&gt;=3)*('CASE MASTER'!$V$2:$V$495&lt;=10)*('CASE MASTER'!$X$2:$X$495&gt;=10))*ROW('CASE MASTER'!$T$2:$T$495))-(ROW('CASE MASTER'!#REF!)-1)))+1)+(10-INDEX('CASE MASTER'!$V$2:$V$495,(SUMPRODUCT((('CASE MASTER'!$T$2:$T$495=6)*('CASE MASTER'!$U$2:$U$495&lt;=3)*('CASE MASTER'!$W$2:$W$495&gt;=3)*('CASE MASTER'!$V$2:$V$495&lt;=10)*('CASE MASTER'!$X$2:$X$495&gt;=10))*ROW('CASE MASTER'!$T$2:$T$495))-(ROW('CASE MASTER'!#REF!)-1))))+1))-1)*50+1,50))&amp;"_"&amp;INDEX('CASE MASTER'!$Q$2:$Q$495,(SUMPRODUCT((('CASE MASTER'!$T$2:$T$495=6)*('CASE MASTER'!$U$2:$U$495&lt;=3)*('CASE MASTER'!$W$2:$W$495&gt;=3)*('CASE MASTER'!$V$2:$V$495&lt;=10)*('CASE MASTER'!$X$2:$X$495&gt;=10))*ROW('CASE MASTER'!$T$2:$T$495))-(ROW('CASE MASTER'!#REF!)-1))),IF(SUMPRODUCT((('CASE MASTER'!$T$2:$T$495=6)*('CASE MASTER'!$AA$2:$AA$495&lt;=3)*('CASE MASTER'!$AC$2:$AC$495&gt;=3)*('CASE MASTER'!$AB$2:$AB$495&lt;=10)*('CASE MASTER'!$AD$2:$AD$495&gt;=10))*ROW('CASE MASTER'!$T$2:$T$495))&gt;0,INDEX('CASE MASTER'!$Y$2:$Y$495,(SUMPRODUCT((('CASE MASTER'!$T$2:$T$495=6)*('CASE MASTER'!$AA$2:$AA$495&lt;=3)*('CASE MASTER'!$AC$2:$AC$495&gt;=3)*('CASE MASTER'!$AB$2:$AB$495&lt;=10)*('CASE MASTER'!$AD$2:$AD$495&gt;=10))*ROW('CASE MASTER'!$T$2:$T$495))-(ROW('CASE MASTER'!#REF!)-1)))&amp;TRIM(MID(SUBSTITUTE(SUBSTITUTE(INDEX('CASE MASTER'!$N$2:$N$495,(SUMPRODUCT((('CASE MASTER'!$T$2:$T$495=6)*('CASE MASTER'!$AA$2:$AA$495&lt;=3)*('CASE MASTER'!$AC$2:$AC$495&gt;=3)*('CASE MASTER'!$AB$2:$AB$495&lt;=10)*('CASE MASTER'!$AD$2:$AD$495&gt;=10))*ROW('CASE MASTER'!$T$2:$T$495))-(ROW('CASE MASTER'!#REF!)-1))),":",","),",",REPT(" ",50)),(((INDEX('CASE MASTER'!$Z$2:$Z$495,(SUMPRODUCT((('CASE MASTER'!$T$2:$T$495=6)*('CASE MASTER'!$AA$2:$AA$495&lt;=3)*('CASE MASTER'!$AC$2:$AC$495&gt;=3)*('CASE MASTER'!$AB$2:$AB$495&lt;=10)*('CASE MASTER'!$AD$2:$AD$495&gt;=10))*ROW('CASE MASTER'!$T$2:$T$495))-(ROW('CASE MASTER'!#REF!)-1)))+((3-INDEX('CASE MASTER'!$AA$2:$AA$495,(SUMPRODUCT((('CASE MASTER'!$T$2:$T$495=6)*('CASE MASTER'!$AA$2:$AA$495&lt;=3)*('CASE MASTER'!$AC$2:$AC$495&gt;=3)*('CASE MASTER'!$AB$2:$AB$495&lt;=10)*('CASE MASTER'!$AD$2:$AD$495&gt;=10))*ROW('CASE MASTER'!$T$2:$T$495))-(ROW('CASE MASTER'!#REF!)-1))))*(INDEX('CASE MASTER'!$AD$2:$AD$495,(SUMPRODUCT((('CASE MASTER'!$T$2:$T$495=6)*('CASE MASTER'!$AA$2:$AA$495&lt;=3)*('CASE MASTER'!$AC$2:$AC$495&gt;=3)*('CASE MASTER'!$AB$2:$AB$495&lt;=10)*('CASE MASTER'!$AD$2:$AD$495&gt;=10))*ROW('CASE MASTER'!$T$2:$T$495))-(ROW('CASE MASTER'!#REF!)-1)))-INDEX('CASE MASTER'!$AB$2:$AB$495,(SUMPRODUCT((('CASE MASTER'!$T$2:$T$495=6)*('CASE MASTER'!$AA$2:$AA$495&lt;=3)*('CASE MASTER'!$AC$2:$AC$495&gt;=3)*('CASE MASTER'!$AB$2:$AB$495&lt;=10)*('CASE MASTER'!$AD$2:$AD$495&gt;=10))*ROW('CASE MASTER'!$T$2:$T$495))-(ROW('CASE MASTER'!#REF!)-1)))+1)+(10-INDEX('CASE MASTER'!$AB$2:$AB$495,(SUMPRODUCT((('CASE MASTER'!$T$2:$T$495=6)*('CASE MASTER'!$AA$2:$AA$495&lt;=3)*('CASE MASTER'!$AC$2:$AC$495&gt;=3)*('CASE MASTER'!$AB$2:$AB$495&lt;=10)*('CASE MASTER'!$AD$2:$AD$495&gt;=10))*ROW('CASE MASTER'!$T$2:$T$495))-(ROW('CASE MASTER'!#REF!)-1))))+1)))-1)*50+1,50))&amp;"_"&amp;INDEX('CASE MASTER'!$Q$2:$Q$495,(SUMPRODUCT((('CASE MASTER'!$T$2:$T$495=6)*('CASE MASTER'!$AA$2:$AA$495&lt;=3)*('CASE MASTER'!$AC$2:$AC$495&gt;=3)*('CASE MASTER'!$AB$2:$AB$495&lt;=10)*('CASE MASTER'!$AD$2:$AD$495&gt;=10))*ROW('CASE MASTER'!$T$2:$T$495))-(ROW('CASE MASTER'!#REF!)-1))),"")),"")</f>
        <v/>
      </c>
    </row>
    <row r="76" spans="1:11" ht="15" customHeight="1" x14ac:dyDescent="0.35">
      <c r="A76" s="8" t="s">
        <v>31</v>
      </c>
      <c r="B76" s="10" t="str">
        <f>IFERROR(IF(SUMPRODUCT((('CASE MASTER'!$T$2:$T$495=6)*('CASE MASTER'!$U$2:$U$495&lt;=4)*('CASE MASTER'!$W$2:$W$495&gt;=4)*('CASE MASTER'!$V$2:$V$495&lt;=1)*('CASE MASTER'!$X$2:$X$495&gt;=1))*ROW('CASE MASTER'!$T$2:$T$495))&gt;0,INDEX('CASE MASTER'!$Y$2:$Y$495,(SUMPRODUCT((('CASE MASTER'!$T$2:$T$495=6)*('CASE MASTER'!$U$2:$U$495&lt;=4)*('CASE MASTER'!$W$2:$W$495&gt;=4)*('CASE MASTER'!$V$2:$V$495&lt;=1)*('CASE MASTER'!$X$2:$X$495&gt;=1))*ROW('CASE MASTER'!$T$2:$T$495))-(ROW('CASE MASTER'!#REF!)-1)))&amp;TRIM(MID(SUBSTITUTE(SUBSTITUTE(INDEX('CASE MASTER'!$N$2:$N$495,(SUMPRODUCT((('CASE MASTER'!$T$2:$T$495=6)*('CASE MASTER'!$U$2:$U$495&lt;=4)*('CASE MASTER'!$W$2:$W$495&gt;=4)*('CASE MASTER'!$V$2:$V$495&lt;=1)*('CASE MASTER'!$X$2:$X$495&gt;=1))*ROW('CASE MASTER'!$T$2:$T$495))-(ROW('CASE MASTER'!#REF!)-1))),":",","),",",REPT(" ",50)),((((4-INDEX('CASE MASTER'!$U$2:$U$495,(SUMPRODUCT((('CASE MASTER'!$T$2:$T$495=6)*('CASE MASTER'!$U$2:$U$495&lt;=4)*('CASE MASTER'!$W$2:$W$495&gt;=4)*('CASE MASTER'!$V$2:$V$495&lt;=1)*('CASE MASTER'!$X$2:$X$495&gt;=1))*ROW('CASE MASTER'!$T$2:$T$495))-(ROW('CASE MASTER'!#REF!)-1))))*(INDEX('CASE MASTER'!$X$2:$X$495,(SUMPRODUCT((('CASE MASTER'!$T$2:$T$495=6)*('CASE MASTER'!$U$2:$U$495&lt;=4)*('CASE MASTER'!$W$2:$W$495&gt;=4)*('CASE MASTER'!$V$2:$V$495&lt;=1)*('CASE MASTER'!$X$2:$X$495&gt;=1))*ROW('CASE MASTER'!$T$2:$T$495))-(ROW('CASE MASTER'!#REF!)-1)))-INDEX('CASE MASTER'!$V$2:$V$495,(SUMPRODUCT((('CASE MASTER'!$T$2:$T$495=6)*('CASE MASTER'!$U$2:$U$495&lt;=4)*('CASE MASTER'!$W$2:$W$495&gt;=4)*('CASE MASTER'!$V$2:$V$495&lt;=1)*('CASE MASTER'!$X$2:$X$495&gt;=1))*ROW('CASE MASTER'!$T$2:$T$495))-(ROW('CASE MASTER'!#REF!)-1)))+1)+(1-INDEX('CASE MASTER'!$V$2:$V$495,(SUMPRODUCT((('CASE MASTER'!$T$2:$T$495=6)*('CASE MASTER'!$U$2:$U$495&lt;=4)*('CASE MASTER'!$W$2:$W$495&gt;=4)*('CASE MASTER'!$V$2:$V$495&lt;=1)*('CASE MASTER'!$X$2:$X$495&gt;=1))*ROW('CASE MASTER'!$T$2:$T$495))-(ROW('CASE MASTER'!#REF!)-1))))+1))-1)*50+1,50))&amp;"_"&amp;INDEX('CASE MASTER'!$Q$2:$Q$495,(SUMPRODUCT((('CASE MASTER'!$T$2:$T$495=6)*('CASE MASTER'!$U$2:$U$495&lt;=4)*('CASE MASTER'!$W$2:$W$495&gt;=4)*('CASE MASTER'!$V$2:$V$495&lt;=1)*('CASE MASTER'!$X$2:$X$495&gt;=1))*ROW('CASE MASTER'!$T$2:$T$495))-(ROW('CASE MASTER'!#REF!)-1))),IF(SUMPRODUCT((('CASE MASTER'!$T$2:$T$495=6)*('CASE MASTER'!$AA$2:$AA$495&lt;=4)*('CASE MASTER'!$AC$2:$AC$495&gt;=4)*('CASE MASTER'!$AB$2:$AB$495&lt;=1)*('CASE MASTER'!$AD$2:$AD$495&gt;=1))*ROW('CASE MASTER'!$T$2:$T$495))&gt;0,INDEX('CASE MASTER'!$Y$2:$Y$495,(SUMPRODUCT((('CASE MASTER'!$T$2:$T$495=6)*('CASE MASTER'!$AA$2:$AA$495&lt;=4)*('CASE MASTER'!$AC$2:$AC$495&gt;=4)*('CASE MASTER'!$AB$2:$AB$495&lt;=1)*('CASE MASTER'!$AD$2:$AD$495&gt;=1))*ROW('CASE MASTER'!$T$2:$T$495))-(ROW('CASE MASTER'!#REF!)-1)))&amp;TRIM(MID(SUBSTITUTE(SUBSTITUTE(INDEX('CASE MASTER'!$N$2:$N$495,(SUMPRODUCT((('CASE MASTER'!$T$2:$T$495=6)*('CASE MASTER'!$AA$2:$AA$495&lt;=4)*('CASE MASTER'!$AC$2:$AC$495&gt;=4)*('CASE MASTER'!$AB$2:$AB$495&lt;=1)*('CASE MASTER'!$AD$2:$AD$495&gt;=1))*ROW('CASE MASTER'!$T$2:$T$495))-(ROW('CASE MASTER'!#REF!)-1))),":",","),",",REPT(" ",50)),(((INDEX('CASE MASTER'!$Z$2:$Z$495,(SUMPRODUCT((('CASE MASTER'!$T$2:$T$495=6)*('CASE MASTER'!$AA$2:$AA$495&lt;=4)*('CASE MASTER'!$AC$2:$AC$495&gt;=4)*('CASE MASTER'!$AB$2:$AB$495&lt;=1)*('CASE MASTER'!$AD$2:$AD$495&gt;=1))*ROW('CASE MASTER'!$T$2:$T$495))-(ROW('CASE MASTER'!#REF!)-1)))+((4-INDEX('CASE MASTER'!$AA$2:$AA$495,(SUMPRODUCT((('CASE MASTER'!$T$2:$T$495=6)*('CASE MASTER'!$AA$2:$AA$495&lt;=4)*('CASE MASTER'!$AC$2:$AC$495&gt;=4)*('CASE MASTER'!$AB$2:$AB$495&lt;=1)*('CASE MASTER'!$AD$2:$AD$495&gt;=1))*ROW('CASE MASTER'!$T$2:$T$495))-(ROW('CASE MASTER'!#REF!)-1))))*(INDEX('CASE MASTER'!$AD$2:$AD$495,(SUMPRODUCT((('CASE MASTER'!$T$2:$T$495=6)*('CASE MASTER'!$AA$2:$AA$495&lt;=4)*('CASE MASTER'!$AC$2:$AC$495&gt;=4)*('CASE MASTER'!$AB$2:$AB$495&lt;=1)*('CASE MASTER'!$AD$2:$AD$495&gt;=1))*ROW('CASE MASTER'!$T$2:$T$495))-(ROW('CASE MASTER'!#REF!)-1)))-INDEX('CASE MASTER'!$AB$2:$AB$495,(SUMPRODUCT((('CASE MASTER'!$T$2:$T$495=6)*('CASE MASTER'!$AA$2:$AA$495&lt;=4)*('CASE MASTER'!$AC$2:$AC$495&gt;=4)*('CASE MASTER'!$AB$2:$AB$495&lt;=1)*('CASE MASTER'!$AD$2:$AD$495&gt;=1))*ROW('CASE MASTER'!$T$2:$T$495))-(ROW('CASE MASTER'!#REF!)-1)))+1)+(1-INDEX('CASE MASTER'!$AB$2:$AB$495,(SUMPRODUCT((('CASE MASTER'!$T$2:$T$495=6)*('CASE MASTER'!$AA$2:$AA$495&lt;=4)*('CASE MASTER'!$AC$2:$AC$495&gt;=4)*('CASE MASTER'!$AB$2:$AB$495&lt;=1)*('CASE MASTER'!$AD$2:$AD$495&gt;=1))*ROW('CASE MASTER'!$T$2:$T$495))-(ROW('CASE MASTER'!#REF!)-1))))+1)))-1)*50+1,50))&amp;"_"&amp;INDEX('CASE MASTER'!$Q$2:$Q$495,(SUMPRODUCT((('CASE MASTER'!$T$2:$T$495=6)*('CASE MASTER'!$AA$2:$AA$495&lt;=4)*('CASE MASTER'!$AC$2:$AC$495&gt;=4)*('CASE MASTER'!$AB$2:$AB$495&lt;=1)*('CASE MASTER'!$AD$2:$AD$495&gt;=1))*ROW('CASE MASTER'!$T$2:$T$495))-(ROW('CASE MASTER'!#REF!)-1))),"")),"")</f>
        <v/>
      </c>
      <c r="C76" s="10" t="str">
        <f>IFERROR(IF(SUMPRODUCT((('CASE MASTER'!$T$2:$T$495=6)*('CASE MASTER'!$U$2:$U$495&lt;=4)*('CASE MASTER'!$W$2:$W$495&gt;=4)*('CASE MASTER'!$V$2:$V$495&lt;=2)*('CASE MASTER'!$X$2:$X$495&gt;=2))*ROW('CASE MASTER'!$T$2:$T$495))&gt;0,INDEX('CASE MASTER'!$Y$2:$Y$495,(SUMPRODUCT((('CASE MASTER'!$T$2:$T$495=6)*('CASE MASTER'!$U$2:$U$495&lt;=4)*('CASE MASTER'!$W$2:$W$495&gt;=4)*('CASE MASTER'!$V$2:$V$495&lt;=2)*('CASE MASTER'!$X$2:$X$495&gt;=2))*ROW('CASE MASTER'!$T$2:$T$495))-(ROW('CASE MASTER'!#REF!)-1)))&amp;TRIM(MID(SUBSTITUTE(SUBSTITUTE(INDEX('CASE MASTER'!$N$2:$N$495,(SUMPRODUCT((('CASE MASTER'!$T$2:$T$495=6)*('CASE MASTER'!$U$2:$U$495&lt;=4)*('CASE MASTER'!$W$2:$W$495&gt;=4)*('CASE MASTER'!$V$2:$V$495&lt;=2)*('CASE MASTER'!$X$2:$X$495&gt;=2))*ROW('CASE MASTER'!$T$2:$T$495))-(ROW('CASE MASTER'!#REF!)-1))),":",","),",",REPT(" ",50)),((((4-INDEX('CASE MASTER'!$U$2:$U$495,(SUMPRODUCT((('CASE MASTER'!$T$2:$T$495=6)*('CASE MASTER'!$U$2:$U$495&lt;=4)*('CASE MASTER'!$W$2:$W$495&gt;=4)*('CASE MASTER'!$V$2:$V$495&lt;=2)*('CASE MASTER'!$X$2:$X$495&gt;=2))*ROW('CASE MASTER'!$T$2:$T$495))-(ROW('CASE MASTER'!#REF!)-1))))*(INDEX('CASE MASTER'!$X$2:$X$495,(SUMPRODUCT((('CASE MASTER'!$T$2:$T$495=6)*('CASE MASTER'!$U$2:$U$495&lt;=4)*('CASE MASTER'!$W$2:$W$495&gt;=4)*('CASE MASTER'!$V$2:$V$495&lt;=2)*('CASE MASTER'!$X$2:$X$495&gt;=2))*ROW('CASE MASTER'!$T$2:$T$495))-(ROW('CASE MASTER'!#REF!)-1)))-INDEX('CASE MASTER'!$V$2:$V$495,(SUMPRODUCT((('CASE MASTER'!$T$2:$T$495=6)*('CASE MASTER'!$U$2:$U$495&lt;=4)*('CASE MASTER'!$W$2:$W$495&gt;=4)*('CASE MASTER'!$V$2:$V$495&lt;=2)*('CASE MASTER'!$X$2:$X$495&gt;=2))*ROW('CASE MASTER'!$T$2:$T$495))-(ROW('CASE MASTER'!#REF!)-1)))+1)+(2-INDEX('CASE MASTER'!$V$2:$V$495,(SUMPRODUCT((('CASE MASTER'!$T$2:$T$495=6)*('CASE MASTER'!$U$2:$U$495&lt;=4)*('CASE MASTER'!$W$2:$W$495&gt;=4)*('CASE MASTER'!$V$2:$V$495&lt;=2)*('CASE MASTER'!$X$2:$X$495&gt;=2))*ROW('CASE MASTER'!$T$2:$T$495))-(ROW('CASE MASTER'!#REF!)-1))))+1))-1)*50+1,50))&amp;"_"&amp;INDEX('CASE MASTER'!$Q$2:$Q$495,(SUMPRODUCT((('CASE MASTER'!$T$2:$T$495=6)*('CASE MASTER'!$U$2:$U$495&lt;=4)*('CASE MASTER'!$W$2:$W$495&gt;=4)*('CASE MASTER'!$V$2:$V$495&lt;=2)*('CASE MASTER'!$X$2:$X$495&gt;=2))*ROW('CASE MASTER'!$T$2:$T$495))-(ROW('CASE MASTER'!#REF!)-1))),IF(SUMPRODUCT((('CASE MASTER'!$T$2:$T$495=6)*('CASE MASTER'!$AA$2:$AA$495&lt;=4)*('CASE MASTER'!$AC$2:$AC$495&gt;=4)*('CASE MASTER'!$AB$2:$AB$495&lt;=2)*('CASE MASTER'!$AD$2:$AD$495&gt;=2))*ROW('CASE MASTER'!$T$2:$T$495))&gt;0,INDEX('CASE MASTER'!$Y$2:$Y$495,(SUMPRODUCT((('CASE MASTER'!$T$2:$T$495=6)*('CASE MASTER'!$AA$2:$AA$495&lt;=4)*('CASE MASTER'!$AC$2:$AC$495&gt;=4)*('CASE MASTER'!$AB$2:$AB$495&lt;=2)*('CASE MASTER'!$AD$2:$AD$495&gt;=2))*ROW('CASE MASTER'!$T$2:$T$495))-(ROW('CASE MASTER'!#REF!)-1)))&amp;TRIM(MID(SUBSTITUTE(SUBSTITUTE(INDEX('CASE MASTER'!$N$2:$N$495,(SUMPRODUCT((('CASE MASTER'!$T$2:$T$495=6)*('CASE MASTER'!$AA$2:$AA$495&lt;=4)*('CASE MASTER'!$AC$2:$AC$495&gt;=4)*('CASE MASTER'!$AB$2:$AB$495&lt;=2)*('CASE MASTER'!$AD$2:$AD$495&gt;=2))*ROW('CASE MASTER'!$T$2:$T$495))-(ROW('CASE MASTER'!#REF!)-1))),":",","),",",REPT(" ",50)),(((INDEX('CASE MASTER'!$Z$2:$Z$495,(SUMPRODUCT((('CASE MASTER'!$T$2:$T$495=6)*('CASE MASTER'!$AA$2:$AA$495&lt;=4)*('CASE MASTER'!$AC$2:$AC$495&gt;=4)*('CASE MASTER'!$AB$2:$AB$495&lt;=2)*('CASE MASTER'!$AD$2:$AD$495&gt;=2))*ROW('CASE MASTER'!$T$2:$T$495))-(ROW('CASE MASTER'!#REF!)-1)))+((4-INDEX('CASE MASTER'!$AA$2:$AA$495,(SUMPRODUCT((('CASE MASTER'!$T$2:$T$495=6)*('CASE MASTER'!$AA$2:$AA$495&lt;=4)*('CASE MASTER'!$AC$2:$AC$495&gt;=4)*('CASE MASTER'!$AB$2:$AB$495&lt;=2)*('CASE MASTER'!$AD$2:$AD$495&gt;=2))*ROW('CASE MASTER'!$T$2:$T$495))-(ROW('CASE MASTER'!#REF!)-1))))*(INDEX('CASE MASTER'!$AD$2:$AD$495,(SUMPRODUCT((('CASE MASTER'!$T$2:$T$495=6)*('CASE MASTER'!$AA$2:$AA$495&lt;=4)*('CASE MASTER'!$AC$2:$AC$495&gt;=4)*('CASE MASTER'!$AB$2:$AB$495&lt;=2)*('CASE MASTER'!$AD$2:$AD$495&gt;=2))*ROW('CASE MASTER'!$T$2:$T$495))-(ROW('CASE MASTER'!#REF!)-1)))-INDEX('CASE MASTER'!$AB$2:$AB$495,(SUMPRODUCT((('CASE MASTER'!$T$2:$T$495=6)*('CASE MASTER'!$AA$2:$AA$495&lt;=4)*('CASE MASTER'!$AC$2:$AC$495&gt;=4)*('CASE MASTER'!$AB$2:$AB$495&lt;=2)*('CASE MASTER'!$AD$2:$AD$495&gt;=2))*ROW('CASE MASTER'!$T$2:$T$495))-(ROW('CASE MASTER'!#REF!)-1)))+1)+(2-INDEX('CASE MASTER'!$AB$2:$AB$495,(SUMPRODUCT((('CASE MASTER'!$T$2:$T$495=6)*('CASE MASTER'!$AA$2:$AA$495&lt;=4)*('CASE MASTER'!$AC$2:$AC$495&gt;=4)*('CASE MASTER'!$AB$2:$AB$495&lt;=2)*('CASE MASTER'!$AD$2:$AD$495&gt;=2))*ROW('CASE MASTER'!$T$2:$T$495))-(ROW('CASE MASTER'!#REF!)-1))))+1)))-1)*50+1,50))&amp;"_"&amp;INDEX('CASE MASTER'!$Q$2:$Q$495,(SUMPRODUCT((('CASE MASTER'!$T$2:$T$495=6)*('CASE MASTER'!$AA$2:$AA$495&lt;=4)*('CASE MASTER'!$AC$2:$AC$495&gt;=4)*('CASE MASTER'!$AB$2:$AB$495&lt;=2)*('CASE MASTER'!$AD$2:$AD$495&gt;=2))*ROW('CASE MASTER'!$T$2:$T$495))-(ROW('CASE MASTER'!#REF!)-1))),"")),"")</f>
        <v/>
      </c>
      <c r="D76" s="10" t="str">
        <f>IFERROR(IF(SUMPRODUCT((('CASE MASTER'!$T$2:$T$495=6)*('CASE MASTER'!$U$2:$U$495&lt;=4)*('CASE MASTER'!$W$2:$W$495&gt;=4)*('CASE MASTER'!$V$2:$V$495&lt;=3)*('CASE MASTER'!$X$2:$X$495&gt;=3))*ROW('CASE MASTER'!$T$2:$T$495))&gt;0,INDEX('CASE MASTER'!$Y$2:$Y$495,(SUMPRODUCT((('CASE MASTER'!$T$2:$T$495=6)*('CASE MASTER'!$U$2:$U$495&lt;=4)*('CASE MASTER'!$W$2:$W$495&gt;=4)*('CASE MASTER'!$V$2:$V$495&lt;=3)*('CASE MASTER'!$X$2:$X$495&gt;=3))*ROW('CASE MASTER'!$T$2:$T$495))-(ROW('CASE MASTER'!#REF!)-1)))&amp;TRIM(MID(SUBSTITUTE(SUBSTITUTE(INDEX('CASE MASTER'!$N$2:$N$495,(SUMPRODUCT((('CASE MASTER'!$T$2:$T$495=6)*('CASE MASTER'!$U$2:$U$495&lt;=4)*('CASE MASTER'!$W$2:$W$495&gt;=4)*('CASE MASTER'!$V$2:$V$495&lt;=3)*('CASE MASTER'!$X$2:$X$495&gt;=3))*ROW('CASE MASTER'!$T$2:$T$495))-(ROW('CASE MASTER'!#REF!)-1))),":",","),",",REPT(" ",50)),((((4-INDEX('CASE MASTER'!$U$2:$U$495,(SUMPRODUCT((('CASE MASTER'!$T$2:$T$495=6)*('CASE MASTER'!$U$2:$U$495&lt;=4)*('CASE MASTER'!$W$2:$W$495&gt;=4)*('CASE MASTER'!$V$2:$V$495&lt;=3)*('CASE MASTER'!$X$2:$X$495&gt;=3))*ROW('CASE MASTER'!$T$2:$T$495))-(ROW('CASE MASTER'!#REF!)-1))))*(INDEX('CASE MASTER'!$X$2:$X$495,(SUMPRODUCT((('CASE MASTER'!$T$2:$T$495=6)*('CASE MASTER'!$U$2:$U$495&lt;=4)*('CASE MASTER'!$W$2:$W$495&gt;=4)*('CASE MASTER'!$V$2:$V$495&lt;=3)*('CASE MASTER'!$X$2:$X$495&gt;=3))*ROW('CASE MASTER'!$T$2:$T$495))-(ROW('CASE MASTER'!#REF!)-1)))-INDEX('CASE MASTER'!$V$2:$V$495,(SUMPRODUCT((('CASE MASTER'!$T$2:$T$495=6)*('CASE MASTER'!$U$2:$U$495&lt;=4)*('CASE MASTER'!$W$2:$W$495&gt;=4)*('CASE MASTER'!$V$2:$V$495&lt;=3)*('CASE MASTER'!$X$2:$X$495&gt;=3))*ROW('CASE MASTER'!$T$2:$T$495))-(ROW('CASE MASTER'!#REF!)-1)))+1)+(3-INDEX('CASE MASTER'!$V$2:$V$495,(SUMPRODUCT((('CASE MASTER'!$T$2:$T$495=6)*('CASE MASTER'!$U$2:$U$495&lt;=4)*('CASE MASTER'!$W$2:$W$495&gt;=4)*('CASE MASTER'!$V$2:$V$495&lt;=3)*('CASE MASTER'!$X$2:$X$495&gt;=3))*ROW('CASE MASTER'!$T$2:$T$495))-(ROW('CASE MASTER'!#REF!)-1))))+1))-1)*50+1,50))&amp;"_"&amp;INDEX('CASE MASTER'!$Q$2:$Q$495,(SUMPRODUCT((('CASE MASTER'!$T$2:$T$495=6)*('CASE MASTER'!$U$2:$U$495&lt;=4)*('CASE MASTER'!$W$2:$W$495&gt;=4)*('CASE MASTER'!$V$2:$V$495&lt;=3)*('CASE MASTER'!$X$2:$X$495&gt;=3))*ROW('CASE MASTER'!$T$2:$T$495))-(ROW('CASE MASTER'!#REF!)-1))),IF(SUMPRODUCT((('CASE MASTER'!$T$2:$T$495=6)*('CASE MASTER'!$AA$2:$AA$495&lt;=4)*('CASE MASTER'!$AC$2:$AC$495&gt;=4)*('CASE MASTER'!$AB$2:$AB$495&lt;=3)*('CASE MASTER'!$AD$2:$AD$495&gt;=3))*ROW('CASE MASTER'!$T$2:$T$495))&gt;0,INDEX('CASE MASTER'!$Y$2:$Y$495,(SUMPRODUCT((('CASE MASTER'!$T$2:$T$495=6)*('CASE MASTER'!$AA$2:$AA$495&lt;=4)*('CASE MASTER'!$AC$2:$AC$495&gt;=4)*('CASE MASTER'!$AB$2:$AB$495&lt;=3)*('CASE MASTER'!$AD$2:$AD$495&gt;=3))*ROW('CASE MASTER'!$T$2:$T$495))-(ROW('CASE MASTER'!#REF!)-1)))&amp;TRIM(MID(SUBSTITUTE(SUBSTITUTE(INDEX('CASE MASTER'!$N$2:$N$495,(SUMPRODUCT((('CASE MASTER'!$T$2:$T$495=6)*('CASE MASTER'!$AA$2:$AA$495&lt;=4)*('CASE MASTER'!$AC$2:$AC$495&gt;=4)*('CASE MASTER'!$AB$2:$AB$495&lt;=3)*('CASE MASTER'!$AD$2:$AD$495&gt;=3))*ROW('CASE MASTER'!$T$2:$T$495))-(ROW('CASE MASTER'!#REF!)-1))),":",","),",",REPT(" ",50)),(((INDEX('CASE MASTER'!$Z$2:$Z$495,(SUMPRODUCT((('CASE MASTER'!$T$2:$T$495=6)*('CASE MASTER'!$AA$2:$AA$495&lt;=4)*('CASE MASTER'!$AC$2:$AC$495&gt;=4)*('CASE MASTER'!$AB$2:$AB$495&lt;=3)*('CASE MASTER'!$AD$2:$AD$495&gt;=3))*ROW('CASE MASTER'!$T$2:$T$495))-(ROW('CASE MASTER'!#REF!)-1)))+((4-INDEX('CASE MASTER'!$AA$2:$AA$495,(SUMPRODUCT((('CASE MASTER'!$T$2:$T$495=6)*('CASE MASTER'!$AA$2:$AA$495&lt;=4)*('CASE MASTER'!$AC$2:$AC$495&gt;=4)*('CASE MASTER'!$AB$2:$AB$495&lt;=3)*('CASE MASTER'!$AD$2:$AD$495&gt;=3))*ROW('CASE MASTER'!$T$2:$T$495))-(ROW('CASE MASTER'!#REF!)-1))))*(INDEX('CASE MASTER'!$AD$2:$AD$495,(SUMPRODUCT((('CASE MASTER'!$T$2:$T$495=6)*('CASE MASTER'!$AA$2:$AA$495&lt;=4)*('CASE MASTER'!$AC$2:$AC$495&gt;=4)*('CASE MASTER'!$AB$2:$AB$495&lt;=3)*('CASE MASTER'!$AD$2:$AD$495&gt;=3))*ROW('CASE MASTER'!$T$2:$T$495))-(ROW('CASE MASTER'!#REF!)-1)))-INDEX('CASE MASTER'!$AB$2:$AB$495,(SUMPRODUCT((('CASE MASTER'!$T$2:$T$495=6)*('CASE MASTER'!$AA$2:$AA$495&lt;=4)*('CASE MASTER'!$AC$2:$AC$495&gt;=4)*('CASE MASTER'!$AB$2:$AB$495&lt;=3)*('CASE MASTER'!$AD$2:$AD$495&gt;=3))*ROW('CASE MASTER'!$T$2:$T$495))-(ROW('CASE MASTER'!#REF!)-1)))+1)+(3-INDEX('CASE MASTER'!$AB$2:$AB$495,(SUMPRODUCT((('CASE MASTER'!$T$2:$T$495=6)*('CASE MASTER'!$AA$2:$AA$495&lt;=4)*('CASE MASTER'!$AC$2:$AC$495&gt;=4)*('CASE MASTER'!$AB$2:$AB$495&lt;=3)*('CASE MASTER'!$AD$2:$AD$495&gt;=3))*ROW('CASE MASTER'!$T$2:$T$495))-(ROW('CASE MASTER'!#REF!)-1))))+1)))-1)*50+1,50))&amp;"_"&amp;INDEX('CASE MASTER'!$Q$2:$Q$495,(SUMPRODUCT((('CASE MASTER'!$T$2:$T$495=6)*('CASE MASTER'!$AA$2:$AA$495&lt;=4)*('CASE MASTER'!$AC$2:$AC$495&gt;=4)*('CASE MASTER'!$AB$2:$AB$495&lt;=3)*('CASE MASTER'!$AD$2:$AD$495&gt;=3))*ROW('CASE MASTER'!$T$2:$T$495))-(ROW('CASE MASTER'!#REF!)-1))),"")),"")</f>
        <v/>
      </c>
      <c r="E76" s="10" t="str">
        <f>IFERROR(IF(SUMPRODUCT((('CASE MASTER'!$T$2:$T$495=6)*('CASE MASTER'!$U$2:$U$495&lt;=4)*('CASE MASTER'!$W$2:$W$495&gt;=4)*('CASE MASTER'!$V$2:$V$495&lt;=4)*('CASE MASTER'!$X$2:$X$495&gt;=4))*ROW('CASE MASTER'!$T$2:$T$495))&gt;0,INDEX('CASE MASTER'!$Y$2:$Y$495,(SUMPRODUCT((('CASE MASTER'!$T$2:$T$495=6)*('CASE MASTER'!$U$2:$U$495&lt;=4)*('CASE MASTER'!$W$2:$W$495&gt;=4)*('CASE MASTER'!$V$2:$V$495&lt;=4)*('CASE MASTER'!$X$2:$X$495&gt;=4))*ROW('CASE MASTER'!$T$2:$T$495))-(ROW('CASE MASTER'!#REF!)-1)))&amp;TRIM(MID(SUBSTITUTE(SUBSTITUTE(INDEX('CASE MASTER'!$N$2:$N$495,(SUMPRODUCT((('CASE MASTER'!$T$2:$T$495=6)*('CASE MASTER'!$U$2:$U$495&lt;=4)*('CASE MASTER'!$W$2:$W$495&gt;=4)*('CASE MASTER'!$V$2:$V$495&lt;=4)*('CASE MASTER'!$X$2:$X$495&gt;=4))*ROW('CASE MASTER'!$T$2:$T$495))-(ROW('CASE MASTER'!#REF!)-1))),":",","),",",REPT(" ",50)),((((4-INDEX('CASE MASTER'!$U$2:$U$495,(SUMPRODUCT((('CASE MASTER'!$T$2:$T$495=6)*('CASE MASTER'!$U$2:$U$495&lt;=4)*('CASE MASTER'!$W$2:$W$495&gt;=4)*('CASE MASTER'!$V$2:$V$495&lt;=4)*('CASE MASTER'!$X$2:$X$495&gt;=4))*ROW('CASE MASTER'!$T$2:$T$495))-(ROW('CASE MASTER'!#REF!)-1))))*(INDEX('CASE MASTER'!$X$2:$X$495,(SUMPRODUCT((('CASE MASTER'!$T$2:$T$495=6)*('CASE MASTER'!$U$2:$U$495&lt;=4)*('CASE MASTER'!$W$2:$W$495&gt;=4)*('CASE MASTER'!$V$2:$V$495&lt;=4)*('CASE MASTER'!$X$2:$X$495&gt;=4))*ROW('CASE MASTER'!$T$2:$T$495))-(ROW('CASE MASTER'!#REF!)-1)))-INDEX('CASE MASTER'!$V$2:$V$495,(SUMPRODUCT((('CASE MASTER'!$T$2:$T$495=6)*('CASE MASTER'!$U$2:$U$495&lt;=4)*('CASE MASTER'!$W$2:$W$495&gt;=4)*('CASE MASTER'!$V$2:$V$495&lt;=4)*('CASE MASTER'!$X$2:$X$495&gt;=4))*ROW('CASE MASTER'!$T$2:$T$495))-(ROW('CASE MASTER'!#REF!)-1)))+1)+(4-INDEX('CASE MASTER'!$V$2:$V$495,(SUMPRODUCT((('CASE MASTER'!$T$2:$T$495=6)*('CASE MASTER'!$U$2:$U$495&lt;=4)*('CASE MASTER'!$W$2:$W$495&gt;=4)*('CASE MASTER'!$V$2:$V$495&lt;=4)*('CASE MASTER'!$X$2:$X$495&gt;=4))*ROW('CASE MASTER'!$T$2:$T$495))-(ROW('CASE MASTER'!#REF!)-1))))+1))-1)*50+1,50))&amp;"_"&amp;INDEX('CASE MASTER'!$Q$2:$Q$495,(SUMPRODUCT((('CASE MASTER'!$T$2:$T$495=6)*('CASE MASTER'!$U$2:$U$495&lt;=4)*('CASE MASTER'!$W$2:$W$495&gt;=4)*('CASE MASTER'!$V$2:$V$495&lt;=4)*('CASE MASTER'!$X$2:$X$495&gt;=4))*ROW('CASE MASTER'!$T$2:$T$495))-(ROW('CASE MASTER'!#REF!)-1))),IF(SUMPRODUCT((('CASE MASTER'!$T$2:$T$495=6)*('CASE MASTER'!$AA$2:$AA$495&lt;=4)*('CASE MASTER'!$AC$2:$AC$495&gt;=4)*('CASE MASTER'!$AB$2:$AB$495&lt;=4)*('CASE MASTER'!$AD$2:$AD$495&gt;=4))*ROW('CASE MASTER'!$T$2:$T$495))&gt;0,INDEX('CASE MASTER'!$Y$2:$Y$495,(SUMPRODUCT((('CASE MASTER'!$T$2:$T$495=6)*('CASE MASTER'!$AA$2:$AA$495&lt;=4)*('CASE MASTER'!$AC$2:$AC$495&gt;=4)*('CASE MASTER'!$AB$2:$AB$495&lt;=4)*('CASE MASTER'!$AD$2:$AD$495&gt;=4))*ROW('CASE MASTER'!$T$2:$T$495))-(ROW('CASE MASTER'!#REF!)-1)))&amp;TRIM(MID(SUBSTITUTE(SUBSTITUTE(INDEX('CASE MASTER'!$N$2:$N$495,(SUMPRODUCT((('CASE MASTER'!$T$2:$T$495=6)*('CASE MASTER'!$AA$2:$AA$495&lt;=4)*('CASE MASTER'!$AC$2:$AC$495&gt;=4)*('CASE MASTER'!$AB$2:$AB$495&lt;=4)*('CASE MASTER'!$AD$2:$AD$495&gt;=4))*ROW('CASE MASTER'!$T$2:$T$495))-(ROW('CASE MASTER'!#REF!)-1))),":",","),",",REPT(" ",50)),(((INDEX('CASE MASTER'!$Z$2:$Z$495,(SUMPRODUCT((('CASE MASTER'!$T$2:$T$495=6)*('CASE MASTER'!$AA$2:$AA$495&lt;=4)*('CASE MASTER'!$AC$2:$AC$495&gt;=4)*('CASE MASTER'!$AB$2:$AB$495&lt;=4)*('CASE MASTER'!$AD$2:$AD$495&gt;=4))*ROW('CASE MASTER'!$T$2:$T$495))-(ROW('CASE MASTER'!#REF!)-1)))+((4-INDEX('CASE MASTER'!$AA$2:$AA$495,(SUMPRODUCT((('CASE MASTER'!$T$2:$T$495=6)*('CASE MASTER'!$AA$2:$AA$495&lt;=4)*('CASE MASTER'!$AC$2:$AC$495&gt;=4)*('CASE MASTER'!$AB$2:$AB$495&lt;=4)*('CASE MASTER'!$AD$2:$AD$495&gt;=4))*ROW('CASE MASTER'!$T$2:$T$495))-(ROW('CASE MASTER'!#REF!)-1))))*(INDEX('CASE MASTER'!$AD$2:$AD$495,(SUMPRODUCT((('CASE MASTER'!$T$2:$T$495=6)*('CASE MASTER'!$AA$2:$AA$495&lt;=4)*('CASE MASTER'!$AC$2:$AC$495&gt;=4)*('CASE MASTER'!$AB$2:$AB$495&lt;=4)*('CASE MASTER'!$AD$2:$AD$495&gt;=4))*ROW('CASE MASTER'!$T$2:$T$495))-(ROW('CASE MASTER'!#REF!)-1)))-INDEX('CASE MASTER'!$AB$2:$AB$495,(SUMPRODUCT((('CASE MASTER'!$T$2:$T$495=6)*('CASE MASTER'!$AA$2:$AA$495&lt;=4)*('CASE MASTER'!$AC$2:$AC$495&gt;=4)*('CASE MASTER'!$AB$2:$AB$495&lt;=4)*('CASE MASTER'!$AD$2:$AD$495&gt;=4))*ROW('CASE MASTER'!$T$2:$T$495))-(ROW('CASE MASTER'!#REF!)-1)))+1)+(4-INDEX('CASE MASTER'!$AB$2:$AB$495,(SUMPRODUCT((('CASE MASTER'!$T$2:$T$495=6)*('CASE MASTER'!$AA$2:$AA$495&lt;=4)*('CASE MASTER'!$AC$2:$AC$495&gt;=4)*('CASE MASTER'!$AB$2:$AB$495&lt;=4)*('CASE MASTER'!$AD$2:$AD$495&gt;=4))*ROW('CASE MASTER'!$T$2:$T$495))-(ROW('CASE MASTER'!#REF!)-1))))+1)))-1)*50+1,50))&amp;"_"&amp;INDEX('CASE MASTER'!$Q$2:$Q$495,(SUMPRODUCT((('CASE MASTER'!$T$2:$T$495=6)*('CASE MASTER'!$AA$2:$AA$495&lt;=4)*('CASE MASTER'!$AC$2:$AC$495&gt;=4)*('CASE MASTER'!$AB$2:$AB$495&lt;=4)*('CASE MASTER'!$AD$2:$AD$495&gt;=4))*ROW('CASE MASTER'!$T$2:$T$495))-(ROW('CASE MASTER'!#REF!)-1))),"")),"")</f>
        <v/>
      </c>
      <c r="F76" s="10" t="str">
        <f>IFERROR(IF(SUMPRODUCT((('CASE MASTER'!$T$2:$T$495=6)*('CASE MASTER'!$U$2:$U$495&lt;=4)*('CASE MASTER'!$W$2:$W$495&gt;=4)*('CASE MASTER'!$V$2:$V$495&lt;=5)*('CASE MASTER'!$X$2:$X$495&gt;=5))*ROW('CASE MASTER'!$T$2:$T$495))&gt;0,INDEX('CASE MASTER'!$Y$2:$Y$495,(SUMPRODUCT((('CASE MASTER'!$T$2:$T$495=6)*('CASE MASTER'!$U$2:$U$495&lt;=4)*('CASE MASTER'!$W$2:$W$495&gt;=4)*('CASE MASTER'!$V$2:$V$495&lt;=5)*('CASE MASTER'!$X$2:$X$495&gt;=5))*ROW('CASE MASTER'!$T$2:$T$495))-(ROW('CASE MASTER'!#REF!)-1)))&amp;TRIM(MID(SUBSTITUTE(SUBSTITUTE(INDEX('CASE MASTER'!$N$2:$N$495,(SUMPRODUCT((('CASE MASTER'!$T$2:$T$495=6)*('CASE MASTER'!$U$2:$U$495&lt;=4)*('CASE MASTER'!$W$2:$W$495&gt;=4)*('CASE MASTER'!$V$2:$V$495&lt;=5)*('CASE MASTER'!$X$2:$X$495&gt;=5))*ROW('CASE MASTER'!$T$2:$T$495))-(ROW('CASE MASTER'!#REF!)-1))),":",","),",",REPT(" ",50)),((((4-INDEX('CASE MASTER'!$U$2:$U$495,(SUMPRODUCT((('CASE MASTER'!$T$2:$T$495=6)*('CASE MASTER'!$U$2:$U$495&lt;=4)*('CASE MASTER'!$W$2:$W$495&gt;=4)*('CASE MASTER'!$V$2:$V$495&lt;=5)*('CASE MASTER'!$X$2:$X$495&gt;=5))*ROW('CASE MASTER'!$T$2:$T$495))-(ROW('CASE MASTER'!#REF!)-1))))*(INDEX('CASE MASTER'!$X$2:$X$495,(SUMPRODUCT((('CASE MASTER'!$T$2:$T$495=6)*('CASE MASTER'!$U$2:$U$495&lt;=4)*('CASE MASTER'!$W$2:$W$495&gt;=4)*('CASE MASTER'!$V$2:$V$495&lt;=5)*('CASE MASTER'!$X$2:$X$495&gt;=5))*ROW('CASE MASTER'!$T$2:$T$495))-(ROW('CASE MASTER'!#REF!)-1)))-INDEX('CASE MASTER'!$V$2:$V$495,(SUMPRODUCT((('CASE MASTER'!$T$2:$T$495=6)*('CASE MASTER'!$U$2:$U$495&lt;=4)*('CASE MASTER'!$W$2:$W$495&gt;=4)*('CASE MASTER'!$V$2:$V$495&lt;=5)*('CASE MASTER'!$X$2:$X$495&gt;=5))*ROW('CASE MASTER'!$T$2:$T$495))-(ROW('CASE MASTER'!#REF!)-1)))+1)+(5-INDEX('CASE MASTER'!$V$2:$V$495,(SUMPRODUCT((('CASE MASTER'!$T$2:$T$495=6)*('CASE MASTER'!$U$2:$U$495&lt;=4)*('CASE MASTER'!$W$2:$W$495&gt;=4)*('CASE MASTER'!$V$2:$V$495&lt;=5)*('CASE MASTER'!$X$2:$X$495&gt;=5))*ROW('CASE MASTER'!$T$2:$T$495))-(ROW('CASE MASTER'!#REF!)-1))))+1))-1)*50+1,50))&amp;"_"&amp;INDEX('CASE MASTER'!$Q$2:$Q$495,(SUMPRODUCT((('CASE MASTER'!$T$2:$T$495=6)*('CASE MASTER'!$U$2:$U$495&lt;=4)*('CASE MASTER'!$W$2:$W$495&gt;=4)*('CASE MASTER'!$V$2:$V$495&lt;=5)*('CASE MASTER'!$X$2:$X$495&gt;=5))*ROW('CASE MASTER'!$T$2:$T$495))-(ROW('CASE MASTER'!#REF!)-1))),IF(SUMPRODUCT((('CASE MASTER'!$T$2:$T$495=6)*('CASE MASTER'!$AA$2:$AA$495&lt;=4)*('CASE MASTER'!$AC$2:$AC$495&gt;=4)*('CASE MASTER'!$AB$2:$AB$495&lt;=5)*('CASE MASTER'!$AD$2:$AD$495&gt;=5))*ROW('CASE MASTER'!$T$2:$T$495))&gt;0,INDEX('CASE MASTER'!$Y$2:$Y$495,(SUMPRODUCT((('CASE MASTER'!$T$2:$T$495=6)*('CASE MASTER'!$AA$2:$AA$495&lt;=4)*('CASE MASTER'!$AC$2:$AC$495&gt;=4)*('CASE MASTER'!$AB$2:$AB$495&lt;=5)*('CASE MASTER'!$AD$2:$AD$495&gt;=5))*ROW('CASE MASTER'!$T$2:$T$495))-(ROW('CASE MASTER'!#REF!)-1)))&amp;TRIM(MID(SUBSTITUTE(SUBSTITUTE(INDEX('CASE MASTER'!$N$2:$N$495,(SUMPRODUCT((('CASE MASTER'!$T$2:$T$495=6)*('CASE MASTER'!$AA$2:$AA$495&lt;=4)*('CASE MASTER'!$AC$2:$AC$495&gt;=4)*('CASE MASTER'!$AB$2:$AB$495&lt;=5)*('CASE MASTER'!$AD$2:$AD$495&gt;=5))*ROW('CASE MASTER'!$T$2:$T$495))-(ROW('CASE MASTER'!#REF!)-1))),":",","),",",REPT(" ",50)),(((INDEX('CASE MASTER'!$Z$2:$Z$495,(SUMPRODUCT((('CASE MASTER'!$T$2:$T$495=6)*('CASE MASTER'!$AA$2:$AA$495&lt;=4)*('CASE MASTER'!$AC$2:$AC$495&gt;=4)*('CASE MASTER'!$AB$2:$AB$495&lt;=5)*('CASE MASTER'!$AD$2:$AD$495&gt;=5))*ROW('CASE MASTER'!$T$2:$T$495))-(ROW('CASE MASTER'!#REF!)-1)))+((4-INDEX('CASE MASTER'!$AA$2:$AA$495,(SUMPRODUCT((('CASE MASTER'!$T$2:$T$495=6)*('CASE MASTER'!$AA$2:$AA$495&lt;=4)*('CASE MASTER'!$AC$2:$AC$495&gt;=4)*('CASE MASTER'!$AB$2:$AB$495&lt;=5)*('CASE MASTER'!$AD$2:$AD$495&gt;=5))*ROW('CASE MASTER'!$T$2:$T$495))-(ROW('CASE MASTER'!#REF!)-1))))*(INDEX('CASE MASTER'!$AD$2:$AD$495,(SUMPRODUCT((('CASE MASTER'!$T$2:$T$495=6)*('CASE MASTER'!$AA$2:$AA$495&lt;=4)*('CASE MASTER'!$AC$2:$AC$495&gt;=4)*('CASE MASTER'!$AB$2:$AB$495&lt;=5)*('CASE MASTER'!$AD$2:$AD$495&gt;=5))*ROW('CASE MASTER'!$T$2:$T$495))-(ROW('CASE MASTER'!#REF!)-1)))-INDEX('CASE MASTER'!$AB$2:$AB$495,(SUMPRODUCT((('CASE MASTER'!$T$2:$T$495=6)*('CASE MASTER'!$AA$2:$AA$495&lt;=4)*('CASE MASTER'!$AC$2:$AC$495&gt;=4)*('CASE MASTER'!$AB$2:$AB$495&lt;=5)*('CASE MASTER'!$AD$2:$AD$495&gt;=5))*ROW('CASE MASTER'!$T$2:$T$495))-(ROW('CASE MASTER'!#REF!)-1)))+1)+(5-INDEX('CASE MASTER'!$AB$2:$AB$495,(SUMPRODUCT((('CASE MASTER'!$T$2:$T$495=6)*('CASE MASTER'!$AA$2:$AA$495&lt;=4)*('CASE MASTER'!$AC$2:$AC$495&gt;=4)*('CASE MASTER'!$AB$2:$AB$495&lt;=5)*('CASE MASTER'!$AD$2:$AD$495&gt;=5))*ROW('CASE MASTER'!$T$2:$T$495))-(ROW('CASE MASTER'!#REF!)-1))))+1)))-1)*50+1,50))&amp;"_"&amp;INDEX('CASE MASTER'!$Q$2:$Q$495,(SUMPRODUCT((('CASE MASTER'!$T$2:$T$495=6)*('CASE MASTER'!$AA$2:$AA$495&lt;=4)*('CASE MASTER'!$AC$2:$AC$495&gt;=4)*('CASE MASTER'!$AB$2:$AB$495&lt;=5)*('CASE MASTER'!$AD$2:$AD$495&gt;=5))*ROW('CASE MASTER'!$T$2:$T$495))-(ROW('CASE MASTER'!#REF!)-1))),"")),"")</f>
        <v/>
      </c>
      <c r="G76" s="10" t="str">
        <f>IFERROR(IF(SUMPRODUCT((('CASE MASTER'!$T$2:$T$495=6)*('CASE MASTER'!$U$2:$U$495&lt;=4)*('CASE MASTER'!$W$2:$W$495&gt;=4)*('CASE MASTER'!$V$2:$V$495&lt;=6)*('CASE MASTER'!$X$2:$X$495&gt;=6))*ROW('CASE MASTER'!$T$2:$T$495))&gt;0,INDEX('CASE MASTER'!$Y$2:$Y$495,(SUMPRODUCT((('CASE MASTER'!$T$2:$T$495=6)*('CASE MASTER'!$U$2:$U$495&lt;=4)*('CASE MASTER'!$W$2:$W$495&gt;=4)*('CASE MASTER'!$V$2:$V$495&lt;=6)*('CASE MASTER'!$X$2:$X$495&gt;=6))*ROW('CASE MASTER'!$T$2:$T$495))-(ROW('CASE MASTER'!#REF!)-1)))&amp;TRIM(MID(SUBSTITUTE(SUBSTITUTE(INDEX('CASE MASTER'!$N$2:$N$495,(SUMPRODUCT((('CASE MASTER'!$T$2:$T$495=6)*('CASE MASTER'!$U$2:$U$495&lt;=4)*('CASE MASTER'!$W$2:$W$495&gt;=4)*('CASE MASTER'!$V$2:$V$495&lt;=6)*('CASE MASTER'!$X$2:$X$495&gt;=6))*ROW('CASE MASTER'!$T$2:$T$495))-(ROW('CASE MASTER'!#REF!)-1))),":",","),",",REPT(" ",50)),((((4-INDEX('CASE MASTER'!$U$2:$U$495,(SUMPRODUCT((('CASE MASTER'!$T$2:$T$495=6)*('CASE MASTER'!$U$2:$U$495&lt;=4)*('CASE MASTER'!$W$2:$W$495&gt;=4)*('CASE MASTER'!$V$2:$V$495&lt;=6)*('CASE MASTER'!$X$2:$X$495&gt;=6))*ROW('CASE MASTER'!$T$2:$T$495))-(ROW('CASE MASTER'!#REF!)-1))))*(INDEX('CASE MASTER'!$X$2:$X$495,(SUMPRODUCT((('CASE MASTER'!$T$2:$T$495=6)*('CASE MASTER'!$U$2:$U$495&lt;=4)*('CASE MASTER'!$W$2:$W$495&gt;=4)*('CASE MASTER'!$V$2:$V$495&lt;=6)*('CASE MASTER'!$X$2:$X$495&gt;=6))*ROW('CASE MASTER'!$T$2:$T$495))-(ROW('CASE MASTER'!#REF!)-1)))-INDEX('CASE MASTER'!$V$2:$V$495,(SUMPRODUCT((('CASE MASTER'!$T$2:$T$495=6)*('CASE MASTER'!$U$2:$U$495&lt;=4)*('CASE MASTER'!$W$2:$W$495&gt;=4)*('CASE MASTER'!$V$2:$V$495&lt;=6)*('CASE MASTER'!$X$2:$X$495&gt;=6))*ROW('CASE MASTER'!$T$2:$T$495))-(ROW('CASE MASTER'!#REF!)-1)))+1)+(6-INDEX('CASE MASTER'!$V$2:$V$495,(SUMPRODUCT((('CASE MASTER'!$T$2:$T$495=6)*('CASE MASTER'!$U$2:$U$495&lt;=4)*('CASE MASTER'!$W$2:$W$495&gt;=4)*('CASE MASTER'!$V$2:$V$495&lt;=6)*('CASE MASTER'!$X$2:$X$495&gt;=6))*ROW('CASE MASTER'!$T$2:$T$495))-(ROW('CASE MASTER'!#REF!)-1))))+1))-1)*50+1,50))&amp;"_"&amp;INDEX('CASE MASTER'!$Q$2:$Q$495,(SUMPRODUCT((('CASE MASTER'!$T$2:$T$495=6)*('CASE MASTER'!$U$2:$U$495&lt;=4)*('CASE MASTER'!$W$2:$W$495&gt;=4)*('CASE MASTER'!$V$2:$V$495&lt;=6)*('CASE MASTER'!$X$2:$X$495&gt;=6))*ROW('CASE MASTER'!$T$2:$T$495))-(ROW('CASE MASTER'!#REF!)-1))),IF(SUMPRODUCT((('CASE MASTER'!$T$2:$T$495=6)*('CASE MASTER'!$AA$2:$AA$495&lt;=4)*('CASE MASTER'!$AC$2:$AC$495&gt;=4)*('CASE MASTER'!$AB$2:$AB$495&lt;=6)*('CASE MASTER'!$AD$2:$AD$495&gt;=6))*ROW('CASE MASTER'!$T$2:$T$495))&gt;0,INDEX('CASE MASTER'!$Y$2:$Y$495,(SUMPRODUCT((('CASE MASTER'!$T$2:$T$495=6)*('CASE MASTER'!$AA$2:$AA$495&lt;=4)*('CASE MASTER'!$AC$2:$AC$495&gt;=4)*('CASE MASTER'!$AB$2:$AB$495&lt;=6)*('CASE MASTER'!$AD$2:$AD$495&gt;=6))*ROW('CASE MASTER'!$T$2:$T$495))-(ROW('CASE MASTER'!#REF!)-1)))&amp;TRIM(MID(SUBSTITUTE(SUBSTITUTE(INDEX('CASE MASTER'!$N$2:$N$495,(SUMPRODUCT((('CASE MASTER'!$T$2:$T$495=6)*('CASE MASTER'!$AA$2:$AA$495&lt;=4)*('CASE MASTER'!$AC$2:$AC$495&gt;=4)*('CASE MASTER'!$AB$2:$AB$495&lt;=6)*('CASE MASTER'!$AD$2:$AD$495&gt;=6))*ROW('CASE MASTER'!$T$2:$T$495))-(ROW('CASE MASTER'!#REF!)-1))),":",","),",",REPT(" ",50)),(((INDEX('CASE MASTER'!$Z$2:$Z$495,(SUMPRODUCT((('CASE MASTER'!$T$2:$T$495=6)*('CASE MASTER'!$AA$2:$AA$495&lt;=4)*('CASE MASTER'!$AC$2:$AC$495&gt;=4)*('CASE MASTER'!$AB$2:$AB$495&lt;=6)*('CASE MASTER'!$AD$2:$AD$495&gt;=6))*ROW('CASE MASTER'!$T$2:$T$495))-(ROW('CASE MASTER'!#REF!)-1)))+((4-INDEX('CASE MASTER'!$AA$2:$AA$495,(SUMPRODUCT((('CASE MASTER'!$T$2:$T$495=6)*('CASE MASTER'!$AA$2:$AA$495&lt;=4)*('CASE MASTER'!$AC$2:$AC$495&gt;=4)*('CASE MASTER'!$AB$2:$AB$495&lt;=6)*('CASE MASTER'!$AD$2:$AD$495&gt;=6))*ROW('CASE MASTER'!$T$2:$T$495))-(ROW('CASE MASTER'!#REF!)-1))))*(INDEX('CASE MASTER'!$AD$2:$AD$495,(SUMPRODUCT((('CASE MASTER'!$T$2:$T$495=6)*('CASE MASTER'!$AA$2:$AA$495&lt;=4)*('CASE MASTER'!$AC$2:$AC$495&gt;=4)*('CASE MASTER'!$AB$2:$AB$495&lt;=6)*('CASE MASTER'!$AD$2:$AD$495&gt;=6))*ROW('CASE MASTER'!$T$2:$T$495))-(ROW('CASE MASTER'!#REF!)-1)))-INDEX('CASE MASTER'!$AB$2:$AB$495,(SUMPRODUCT((('CASE MASTER'!$T$2:$T$495=6)*('CASE MASTER'!$AA$2:$AA$495&lt;=4)*('CASE MASTER'!$AC$2:$AC$495&gt;=4)*('CASE MASTER'!$AB$2:$AB$495&lt;=6)*('CASE MASTER'!$AD$2:$AD$495&gt;=6))*ROW('CASE MASTER'!$T$2:$T$495))-(ROW('CASE MASTER'!#REF!)-1)))+1)+(6-INDEX('CASE MASTER'!$AB$2:$AB$495,(SUMPRODUCT((('CASE MASTER'!$T$2:$T$495=6)*('CASE MASTER'!$AA$2:$AA$495&lt;=4)*('CASE MASTER'!$AC$2:$AC$495&gt;=4)*('CASE MASTER'!$AB$2:$AB$495&lt;=6)*('CASE MASTER'!$AD$2:$AD$495&gt;=6))*ROW('CASE MASTER'!$T$2:$T$495))-(ROW('CASE MASTER'!#REF!)-1))))+1)))-1)*50+1,50))&amp;"_"&amp;INDEX('CASE MASTER'!$Q$2:$Q$495,(SUMPRODUCT((('CASE MASTER'!$T$2:$T$495=6)*('CASE MASTER'!$AA$2:$AA$495&lt;=4)*('CASE MASTER'!$AC$2:$AC$495&gt;=4)*('CASE MASTER'!$AB$2:$AB$495&lt;=6)*('CASE MASTER'!$AD$2:$AD$495&gt;=6))*ROW('CASE MASTER'!$T$2:$T$495))-(ROW('CASE MASTER'!#REF!)-1))),"")),"")</f>
        <v/>
      </c>
      <c r="H76" s="10" t="str">
        <f>IFERROR(IF(SUMPRODUCT((('CASE MASTER'!$T$2:$T$495=6)*('CASE MASTER'!$U$2:$U$495&lt;=4)*('CASE MASTER'!$W$2:$W$495&gt;=4)*('CASE MASTER'!$V$2:$V$495&lt;=7)*('CASE MASTER'!$X$2:$X$495&gt;=7))*ROW('CASE MASTER'!$T$2:$T$495))&gt;0,INDEX('CASE MASTER'!$Y$2:$Y$495,(SUMPRODUCT((('CASE MASTER'!$T$2:$T$495=6)*('CASE MASTER'!$U$2:$U$495&lt;=4)*('CASE MASTER'!$W$2:$W$495&gt;=4)*('CASE MASTER'!$V$2:$V$495&lt;=7)*('CASE MASTER'!$X$2:$X$495&gt;=7))*ROW('CASE MASTER'!$T$2:$T$495))-(ROW('CASE MASTER'!#REF!)-1)))&amp;TRIM(MID(SUBSTITUTE(SUBSTITUTE(INDEX('CASE MASTER'!$N$2:$N$495,(SUMPRODUCT((('CASE MASTER'!$T$2:$T$495=6)*('CASE MASTER'!$U$2:$U$495&lt;=4)*('CASE MASTER'!$W$2:$W$495&gt;=4)*('CASE MASTER'!$V$2:$V$495&lt;=7)*('CASE MASTER'!$X$2:$X$495&gt;=7))*ROW('CASE MASTER'!$T$2:$T$495))-(ROW('CASE MASTER'!#REF!)-1))),":",","),",",REPT(" ",50)),((((4-INDEX('CASE MASTER'!$U$2:$U$495,(SUMPRODUCT((('CASE MASTER'!$T$2:$T$495=6)*('CASE MASTER'!$U$2:$U$495&lt;=4)*('CASE MASTER'!$W$2:$W$495&gt;=4)*('CASE MASTER'!$V$2:$V$495&lt;=7)*('CASE MASTER'!$X$2:$X$495&gt;=7))*ROW('CASE MASTER'!$T$2:$T$495))-(ROW('CASE MASTER'!#REF!)-1))))*(INDEX('CASE MASTER'!$X$2:$X$495,(SUMPRODUCT((('CASE MASTER'!$T$2:$T$495=6)*('CASE MASTER'!$U$2:$U$495&lt;=4)*('CASE MASTER'!$W$2:$W$495&gt;=4)*('CASE MASTER'!$V$2:$V$495&lt;=7)*('CASE MASTER'!$X$2:$X$495&gt;=7))*ROW('CASE MASTER'!$T$2:$T$495))-(ROW('CASE MASTER'!#REF!)-1)))-INDEX('CASE MASTER'!$V$2:$V$495,(SUMPRODUCT((('CASE MASTER'!$T$2:$T$495=6)*('CASE MASTER'!$U$2:$U$495&lt;=4)*('CASE MASTER'!$W$2:$W$495&gt;=4)*('CASE MASTER'!$V$2:$V$495&lt;=7)*('CASE MASTER'!$X$2:$X$495&gt;=7))*ROW('CASE MASTER'!$T$2:$T$495))-(ROW('CASE MASTER'!#REF!)-1)))+1)+(7-INDEX('CASE MASTER'!$V$2:$V$495,(SUMPRODUCT((('CASE MASTER'!$T$2:$T$495=6)*('CASE MASTER'!$U$2:$U$495&lt;=4)*('CASE MASTER'!$W$2:$W$495&gt;=4)*('CASE MASTER'!$V$2:$V$495&lt;=7)*('CASE MASTER'!$X$2:$X$495&gt;=7))*ROW('CASE MASTER'!$T$2:$T$495))-(ROW('CASE MASTER'!#REF!)-1))))+1))-1)*50+1,50))&amp;"_"&amp;INDEX('CASE MASTER'!$Q$2:$Q$495,(SUMPRODUCT((('CASE MASTER'!$T$2:$T$495=6)*('CASE MASTER'!$U$2:$U$495&lt;=4)*('CASE MASTER'!$W$2:$W$495&gt;=4)*('CASE MASTER'!$V$2:$V$495&lt;=7)*('CASE MASTER'!$X$2:$X$495&gt;=7))*ROW('CASE MASTER'!$T$2:$T$495))-(ROW('CASE MASTER'!#REF!)-1))),IF(SUMPRODUCT((('CASE MASTER'!$T$2:$T$495=6)*('CASE MASTER'!$AA$2:$AA$495&lt;=4)*('CASE MASTER'!$AC$2:$AC$495&gt;=4)*('CASE MASTER'!$AB$2:$AB$495&lt;=7)*('CASE MASTER'!$AD$2:$AD$495&gt;=7))*ROW('CASE MASTER'!$T$2:$T$495))&gt;0,INDEX('CASE MASTER'!$Y$2:$Y$495,(SUMPRODUCT((('CASE MASTER'!$T$2:$T$495=6)*('CASE MASTER'!$AA$2:$AA$495&lt;=4)*('CASE MASTER'!$AC$2:$AC$495&gt;=4)*('CASE MASTER'!$AB$2:$AB$495&lt;=7)*('CASE MASTER'!$AD$2:$AD$495&gt;=7))*ROW('CASE MASTER'!$T$2:$T$495))-(ROW('CASE MASTER'!#REF!)-1)))&amp;TRIM(MID(SUBSTITUTE(SUBSTITUTE(INDEX('CASE MASTER'!$N$2:$N$495,(SUMPRODUCT((('CASE MASTER'!$T$2:$T$495=6)*('CASE MASTER'!$AA$2:$AA$495&lt;=4)*('CASE MASTER'!$AC$2:$AC$495&gt;=4)*('CASE MASTER'!$AB$2:$AB$495&lt;=7)*('CASE MASTER'!$AD$2:$AD$495&gt;=7))*ROW('CASE MASTER'!$T$2:$T$495))-(ROW('CASE MASTER'!#REF!)-1))),":",","),",",REPT(" ",50)),(((INDEX('CASE MASTER'!$Z$2:$Z$495,(SUMPRODUCT((('CASE MASTER'!$T$2:$T$495=6)*('CASE MASTER'!$AA$2:$AA$495&lt;=4)*('CASE MASTER'!$AC$2:$AC$495&gt;=4)*('CASE MASTER'!$AB$2:$AB$495&lt;=7)*('CASE MASTER'!$AD$2:$AD$495&gt;=7))*ROW('CASE MASTER'!$T$2:$T$495))-(ROW('CASE MASTER'!#REF!)-1)))+((4-INDEX('CASE MASTER'!$AA$2:$AA$495,(SUMPRODUCT((('CASE MASTER'!$T$2:$T$495=6)*('CASE MASTER'!$AA$2:$AA$495&lt;=4)*('CASE MASTER'!$AC$2:$AC$495&gt;=4)*('CASE MASTER'!$AB$2:$AB$495&lt;=7)*('CASE MASTER'!$AD$2:$AD$495&gt;=7))*ROW('CASE MASTER'!$T$2:$T$495))-(ROW('CASE MASTER'!#REF!)-1))))*(INDEX('CASE MASTER'!$AD$2:$AD$495,(SUMPRODUCT((('CASE MASTER'!$T$2:$T$495=6)*('CASE MASTER'!$AA$2:$AA$495&lt;=4)*('CASE MASTER'!$AC$2:$AC$495&gt;=4)*('CASE MASTER'!$AB$2:$AB$495&lt;=7)*('CASE MASTER'!$AD$2:$AD$495&gt;=7))*ROW('CASE MASTER'!$T$2:$T$495))-(ROW('CASE MASTER'!#REF!)-1)))-INDEX('CASE MASTER'!$AB$2:$AB$495,(SUMPRODUCT((('CASE MASTER'!$T$2:$T$495=6)*('CASE MASTER'!$AA$2:$AA$495&lt;=4)*('CASE MASTER'!$AC$2:$AC$495&gt;=4)*('CASE MASTER'!$AB$2:$AB$495&lt;=7)*('CASE MASTER'!$AD$2:$AD$495&gt;=7))*ROW('CASE MASTER'!$T$2:$T$495))-(ROW('CASE MASTER'!#REF!)-1)))+1)+(7-INDEX('CASE MASTER'!$AB$2:$AB$495,(SUMPRODUCT((('CASE MASTER'!$T$2:$T$495=6)*('CASE MASTER'!$AA$2:$AA$495&lt;=4)*('CASE MASTER'!$AC$2:$AC$495&gt;=4)*('CASE MASTER'!$AB$2:$AB$495&lt;=7)*('CASE MASTER'!$AD$2:$AD$495&gt;=7))*ROW('CASE MASTER'!$T$2:$T$495))-(ROW('CASE MASTER'!#REF!)-1))))+1)))-1)*50+1,50))&amp;"_"&amp;INDEX('CASE MASTER'!$Q$2:$Q$495,(SUMPRODUCT((('CASE MASTER'!$T$2:$T$495=6)*('CASE MASTER'!$AA$2:$AA$495&lt;=4)*('CASE MASTER'!$AC$2:$AC$495&gt;=4)*('CASE MASTER'!$AB$2:$AB$495&lt;=7)*('CASE MASTER'!$AD$2:$AD$495&gt;=7))*ROW('CASE MASTER'!$T$2:$T$495))-(ROW('CASE MASTER'!#REF!)-1))),"")),"")</f>
        <v/>
      </c>
      <c r="I76" s="10" t="str">
        <f>IFERROR(IF(SUMPRODUCT((('CASE MASTER'!$T$2:$T$495=6)*('CASE MASTER'!$U$2:$U$495&lt;=4)*('CASE MASTER'!$W$2:$W$495&gt;=4)*('CASE MASTER'!$V$2:$V$495&lt;=8)*('CASE MASTER'!$X$2:$X$495&gt;=8))*ROW('CASE MASTER'!$T$2:$T$495))&gt;0,INDEX('CASE MASTER'!$Y$2:$Y$495,(SUMPRODUCT((('CASE MASTER'!$T$2:$T$495=6)*('CASE MASTER'!$U$2:$U$495&lt;=4)*('CASE MASTER'!$W$2:$W$495&gt;=4)*('CASE MASTER'!$V$2:$V$495&lt;=8)*('CASE MASTER'!$X$2:$X$495&gt;=8))*ROW('CASE MASTER'!$T$2:$T$495))-(ROW('CASE MASTER'!#REF!)-1)))&amp;TRIM(MID(SUBSTITUTE(SUBSTITUTE(INDEX('CASE MASTER'!$N$2:$N$495,(SUMPRODUCT((('CASE MASTER'!$T$2:$T$495=6)*('CASE MASTER'!$U$2:$U$495&lt;=4)*('CASE MASTER'!$W$2:$W$495&gt;=4)*('CASE MASTER'!$V$2:$V$495&lt;=8)*('CASE MASTER'!$X$2:$X$495&gt;=8))*ROW('CASE MASTER'!$T$2:$T$495))-(ROW('CASE MASTER'!#REF!)-1))),":",","),",",REPT(" ",50)),((((4-INDEX('CASE MASTER'!$U$2:$U$495,(SUMPRODUCT((('CASE MASTER'!$T$2:$T$495=6)*('CASE MASTER'!$U$2:$U$495&lt;=4)*('CASE MASTER'!$W$2:$W$495&gt;=4)*('CASE MASTER'!$V$2:$V$495&lt;=8)*('CASE MASTER'!$X$2:$X$495&gt;=8))*ROW('CASE MASTER'!$T$2:$T$495))-(ROW('CASE MASTER'!#REF!)-1))))*(INDEX('CASE MASTER'!$X$2:$X$495,(SUMPRODUCT((('CASE MASTER'!$T$2:$T$495=6)*('CASE MASTER'!$U$2:$U$495&lt;=4)*('CASE MASTER'!$W$2:$W$495&gt;=4)*('CASE MASTER'!$V$2:$V$495&lt;=8)*('CASE MASTER'!$X$2:$X$495&gt;=8))*ROW('CASE MASTER'!$T$2:$T$495))-(ROW('CASE MASTER'!#REF!)-1)))-INDEX('CASE MASTER'!$V$2:$V$495,(SUMPRODUCT((('CASE MASTER'!$T$2:$T$495=6)*('CASE MASTER'!$U$2:$U$495&lt;=4)*('CASE MASTER'!$W$2:$W$495&gt;=4)*('CASE MASTER'!$V$2:$V$495&lt;=8)*('CASE MASTER'!$X$2:$X$495&gt;=8))*ROW('CASE MASTER'!$T$2:$T$495))-(ROW('CASE MASTER'!#REF!)-1)))+1)+(8-INDEX('CASE MASTER'!$V$2:$V$495,(SUMPRODUCT((('CASE MASTER'!$T$2:$T$495=6)*('CASE MASTER'!$U$2:$U$495&lt;=4)*('CASE MASTER'!$W$2:$W$495&gt;=4)*('CASE MASTER'!$V$2:$V$495&lt;=8)*('CASE MASTER'!$X$2:$X$495&gt;=8))*ROW('CASE MASTER'!$T$2:$T$495))-(ROW('CASE MASTER'!#REF!)-1))))+1))-1)*50+1,50))&amp;"_"&amp;INDEX('CASE MASTER'!$Q$2:$Q$495,(SUMPRODUCT((('CASE MASTER'!$T$2:$T$495=6)*('CASE MASTER'!$U$2:$U$495&lt;=4)*('CASE MASTER'!$W$2:$W$495&gt;=4)*('CASE MASTER'!$V$2:$V$495&lt;=8)*('CASE MASTER'!$X$2:$X$495&gt;=8))*ROW('CASE MASTER'!$T$2:$T$495))-(ROW('CASE MASTER'!#REF!)-1))),IF(SUMPRODUCT((('CASE MASTER'!$T$2:$T$495=6)*('CASE MASTER'!$AA$2:$AA$495&lt;=4)*('CASE MASTER'!$AC$2:$AC$495&gt;=4)*('CASE MASTER'!$AB$2:$AB$495&lt;=8)*('CASE MASTER'!$AD$2:$AD$495&gt;=8))*ROW('CASE MASTER'!$T$2:$T$495))&gt;0,INDEX('CASE MASTER'!$Y$2:$Y$495,(SUMPRODUCT((('CASE MASTER'!$T$2:$T$495=6)*('CASE MASTER'!$AA$2:$AA$495&lt;=4)*('CASE MASTER'!$AC$2:$AC$495&gt;=4)*('CASE MASTER'!$AB$2:$AB$495&lt;=8)*('CASE MASTER'!$AD$2:$AD$495&gt;=8))*ROW('CASE MASTER'!$T$2:$T$495))-(ROW('CASE MASTER'!#REF!)-1)))&amp;TRIM(MID(SUBSTITUTE(SUBSTITUTE(INDEX('CASE MASTER'!$N$2:$N$495,(SUMPRODUCT((('CASE MASTER'!$T$2:$T$495=6)*('CASE MASTER'!$AA$2:$AA$495&lt;=4)*('CASE MASTER'!$AC$2:$AC$495&gt;=4)*('CASE MASTER'!$AB$2:$AB$495&lt;=8)*('CASE MASTER'!$AD$2:$AD$495&gt;=8))*ROW('CASE MASTER'!$T$2:$T$495))-(ROW('CASE MASTER'!#REF!)-1))),":",","),",",REPT(" ",50)),(((INDEX('CASE MASTER'!$Z$2:$Z$495,(SUMPRODUCT((('CASE MASTER'!$T$2:$T$495=6)*('CASE MASTER'!$AA$2:$AA$495&lt;=4)*('CASE MASTER'!$AC$2:$AC$495&gt;=4)*('CASE MASTER'!$AB$2:$AB$495&lt;=8)*('CASE MASTER'!$AD$2:$AD$495&gt;=8))*ROW('CASE MASTER'!$T$2:$T$495))-(ROW('CASE MASTER'!#REF!)-1)))+((4-INDEX('CASE MASTER'!$AA$2:$AA$495,(SUMPRODUCT((('CASE MASTER'!$T$2:$T$495=6)*('CASE MASTER'!$AA$2:$AA$495&lt;=4)*('CASE MASTER'!$AC$2:$AC$495&gt;=4)*('CASE MASTER'!$AB$2:$AB$495&lt;=8)*('CASE MASTER'!$AD$2:$AD$495&gt;=8))*ROW('CASE MASTER'!$T$2:$T$495))-(ROW('CASE MASTER'!#REF!)-1))))*(INDEX('CASE MASTER'!$AD$2:$AD$495,(SUMPRODUCT((('CASE MASTER'!$T$2:$T$495=6)*('CASE MASTER'!$AA$2:$AA$495&lt;=4)*('CASE MASTER'!$AC$2:$AC$495&gt;=4)*('CASE MASTER'!$AB$2:$AB$495&lt;=8)*('CASE MASTER'!$AD$2:$AD$495&gt;=8))*ROW('CASE MASTER'!$T$2:$T$495))-(ROW('CASE MASTER'!#REF!)-1)))-INDEX('CASE MASTER'!$AB$2:$AB$495,(SUMPRODUCT((('CASE MASTER'!$T$2:$T$495=6)*('CASE MASTER'!$AA$2:$AA$495&lt;=4)*('CASE MASTER'!$AC$2:$AC$495&gt;=4)*('CASE MASTER'!$AB$2:$AB$495&lt;=8)*('CASE MASTER'!$AD$2:$AD$495&gt;=8))*ROW('CASE MASTER'!$T$2:$T$495))-(ROW('CASE MASTER'!#REF!)-1)))+1)+(8-INDEX('CASE MASTER'!$AB$2:$AB$495,(SUMPRODUCT((('CASE MASTER'!$T$2:$T$495=6)*('CASE MASTER'!$AA$2:$AA$495&lt;=4)*('CASE MASTER'!$AC$2:$AC$495&gt;=4)*('CASE MASTER'!$AB$2:$AB$495&lt;=8)*('CASE MASTER'!$AD$2:$AD$495&gt;=8))*ROW('CASE MASTER'!$T$2:$T$495))-(ROW('CASE MASTER'!#REF!)-1))))+1)))-1)*50+1,50))&amp;"_"&amp;INDEX('CASE MASTER'!$Q$2:$Q$495,(SUMPRODUCT((('CASE MASTER'!$T$2:$T$495=6)*('CASE MASTER'!$AA$2:$AA$495&lt;=4)*('CASE MASTER'!$AC$2:$AC$495&gt;=4)*('CASE MASTER'!$AB$2:$AB$495&lt;=8)*('CASE MASTER'!$AD$2:$AD$495&gt;=8))*ROW('CASE MASTER'!$T$2:$T$495))-(ROW('CASE MASTER'!#REF!)-1))),"")),"")</f>
        <v/>
      </c>
      <c r="J76" s="10" t="str">
        <f>IFERROR(IF(SUMPRODUCT((('CASE MASTER'!$T$2:$T$495=6)*('CASE MASTER'!$U$2:$U$495&lt;=4)*('CASE MASTER'!$W$2:$W$495&gt;=4)*('CASE MASTER'!$V$2:$V$495&lt;=9)*('CASE MASTER'!$X$2:$X$495&gt;=9))*ROW('CASE MASTER'!$T$2:$T$495))&gt;0,INDEX('CASE MASTER'!$Y$2:$Y$495,(SUMPRODUCT((('CASE MASTER'!$T$2:$T$495=6)*('CASE MASTER'!$U$2:$U$495&lt;=4)*('CASE MASTER'!$W$2:$W$495&gt;=4)*('CASE MASTER'!$V$2:$V$495&lt;=9)*('CASE MASTER'!$X$2:$X$495&gt;=9))*ROW('CASE MASTER'!$T$2:$T$495))-(ROW('CASE MASTER'!#REF!)-1)))&amp;TRIM(MID(SUBSTITUTE(SUBSTITUTE(INDEX('CASE MASTER'!$N$2:$N$495,(SUMPRODUCT((('CASE MASTER'!$T$2:$T$495=6)*('CASE MASTER'!$U$2:$U$495&lt;=4)*('CASE MASTER'!$W$2:$W$495&gt;=4)*('CASE MASTER'!$V$2:$V$495&lt;=9)*('CASE MASTER'!$X$2:$X$495&gt;=9))*ROW('CASE MASTER'!$T$2:$T$495))-(ROW('CASE MASTER'!#REF!)-1))),":",","),",",REPT(" ",50)),((((4-INDEX('CASE MASTER'!$U$2:$U$495,(SUMPRODUCT((('CASE MASTER'!$T$2:$T$495=6)*('CASE MASTER'!$U$2:$U$495&lt;=4)*('CASE MASTER'!$W$2:$W$495&gt;=4)*('CASE MASTER'!$V$2:$V$495&lt;=9)*('CASE MASTER'!$X$2:$X$495&gt;=9))*ROW('CASE MASTER'!$T$2:$T$495))-(ROW('CASE MASTER'!#REF!)-1))))*(INDEX('CASE MASTER'!$X$2:$X$495,(SUMPRODUCT((('CASE MASTER'!$T$2:$T$495=6)*('CASE MASTER'!$U$2:$U$495&lt;=4)*('CASE MASTER'!$W$2:$W$495&gt;=4)*('CASE MASTER'!$V$2:$V$495&lt;=9)*('CASE MASTER'!$X$2:$X$495&gt;=9))*ROW('CASE MASTER'!$T$2:$T$495))-(ROW('CASE MASTER'!#REF!)-1)))-INDEX('CASE MASTER'!$V$2:$V$495,(SUMPRODUCT((('CASE MASTER'!$T$2:$T$495=6)*('CASE MASTER'!$U$2:$U$495&lt;=4)*('CASE MASTER'!$W$2:$W$495&gt;=4)*('CASE MASTER'!$V$2:$V$495&lt;=9)*('CASE MASTER'!$X$2:$X$495&gt;=9))*ROW('CASE MASTER'!$T$2:$T$495))-(ROW('CASE MASTER'!#REF!)-1)))+1)+(9-INDEX('CASE MASTER'!$V$2:$V$495,(SUMPRODUCT((('CASE MASTER'!$T$2:$T$495=6)*('CASE MASTER'!$U$2:$U$495&lt;=4)*('CASE MASTER'!$W$2:$W$495&gt;=4)*('CASE MASTER'!$V$2:$V$495&lt;=9)*('CASE MASTER'!$X$2:$X$495&gt;=9))*ROW('CASE MASTER'!$T$2:$T$495))-(ROW('CASE MASTER'!#REF!)-1))))+1))-1)*50+1,50))&amp;"_"&amp;INDEX('CASE MASTER'!$Q$2:$Q$495,(SUMPRODUCT((('CASE MASTER'!$T$2:$T$495=6)*('CASE MASTER'!$U$2:$U$495&lt;=4)*('CASE MASTER'!$W$2:$W$495&gt;=4)*('CASE MASTER'!$V$2:$V$495&lt;=9)*('CASE MASTER'!$X$2:$X$495&gt;=9))*ROW('CASE MASTER'!$T$2:$T$495))-(ROW('CASE MASTER'!#REF!)-1))),IF(SUMPRODUCT((('CASE MASTER'!$T$2:$T$495=6)*('CASE MASTER'!$AA$2:$AA$495&lt;=4)*('CASE MASTER'!$AC$2:$AC$495&gt;=4)*('CASE MASTER'!$AB$2:$AB$495&lt;=9)*('CASE MASTER'!$AD$2:$AD$495&gt;=9))*ROW('CASE MASTER'!$T$2:$T$495))&gt;0,INDEX('CASE MASTER'!$Y$2:$Y$495,(SUMPRODUCT((('CASE MASTER'!$T$2:$T$495=6)*('CASE MASTER'!$AA$2:$AA$495&lt;=4)*('CASE MASTER'!$AC$2:$AC$495&gt;=4)*('CASE MASTER'!$AB$2:$AB$495&lt;=9)*('CASE MASTER'!$AD$2:$AD$495&gt;=9))*ROW('CASE MASTER'!$T$2:$T$495))-(ROW('CASE MASTER'!#REF!)-1)))&amp;TRIM(MID(SUBSTITUTE(SUBSTITUTE(INDEX('CASE MASTER'!$N$2:$N$495,(SUMPRODUCT((('CASE MASTER'!$T$2:$T$495=6)*('CASE MASTER'!$AA$2:$AA$495&lt;=4)*('CASE MASTER'!$AC$2:$AC$495&gt;=4)*('CASE MASTER'!$AB$2:$AB$495&lt;=9)*('CASE MASTER'!$AD$2:$AD$495&gt;=9))*ROW('CASE MASTER'!$T$2:$T$495))-(ROW('CASE MASTER'!#REF!)-1))),":",","),",",REPT(" ",50)),(((INDEX('CASE MASTER'!$Z$2:$Z$495,(SUMPRODUCT((('CASE MASTER'!$T$2:$T$495=6)*('CASE MASTER'!$AA$2:$AA$495&lt;=4)*('CASE MASTER'!$AC$2:$AC$495&gt;=4)*('CASE MASTER'!$AB$2:$AB$495&lt;=9)*('CASE MASTER'!$AD$2:$AD$495&gt;=9))*ROW('CASE MASTER'!$T$2:$T$495))-(ROW('CASE MASTER'!#REF!)-1)))+((4-INDEX('CASE MASTER'!$AA$2:$AA$495,(SUMPRODUCT((('CASE MASTER'!$T$2:$T$495=6)*('CASE MASTER'!$AA$2:$AA$495&lt;=4)*('CASE MASTER'!$AC$2:$AC$495&gt;=4)*('CASE MASTER'!$AB$2:$AB$495&lt;=9)*('CASE MASTER'!$AD$2:$AD$495&gt;=9))*ROW('CASE MASTER'!$T$2:$T$495))-(ROW('CASE MASTER'!#REF!)-1))))*(INDEX('CASE MASTER'!$AD$2:$AD$495,(SUMPRODUCT((('CASE MASTER'!$T$2:$T$495=6)*('CASE MASTER'!$AA$2:$AA$495&lt;=4)*('CASE MASTER'!$AC$2:$AC$495&gt;=4)*('CASE MASTER'!$AB$2:$AB$495&lt;=9)*('CASE MASTER'!$AD$2:$AD$495&gt;=9))*ROW('CASE MASTER'!$T$2:$T$495))-(ROW('CASE MASTER'!#REF!)-1)))-INDEX('CASE MASTER'!$AB$2:$AB$495,(SUMPRODUCT((('CASE MASTER'!$T$2:$T$495=6)*('CASE MASTER'!$AA$2:$AA$495&lt;=4)*('CASE MASTER'!$AC$2:$AC$495&gt;=4)*('CASE MASTER'!$AB$2:$AB$495&lt;=9)*('CASE MASTER'!$AD$2:$AD$495&gt;=9))*ROW('CASE MASTER'!$T$2:$T$495))-(ROW('CASE MASTER'!#REF!)-1)))+1)+(9-INDEX('CASE MASTER'!$AB$2:$AB$495,(SUMPRODUCT((('CASE MASTER'!$T$2:$T$495=6)*('CASE MASTER'!$AA$2:$AA$495&lt;=4)*('CASE MASTER'!$AC$2:$AC$495&gt;=4)*('CASE MASTER'!$AB$2:$AB$495&lt;=9)*('CASE MASTER'!$AD$2:$AD$495&gt;=9))*ROW('CASE MASTER'!$T$2:$T$495))-(ROW('CASE MASTER'!#REF!)-1))))+1)))-1)*50+1,50))&amp;"_"&amp;INDEX('CASE MASTER'!$Q$2:$Q$495,(SUMPRODUCT((('CASE MASTER'!$T$2:$T$495=6)*('CASE MASTER'!$AA$2:$AA$495&lt;=4)*('CASE MASTER'!$AC$2:$AC$495&gt;=4)*('CASE MASTER'!$AB$2:$AB$495&lt;=9)*('CASE MASTER'!$AD$2:$AD$495&gt;=9))*ROW('CASE MASTER'!$T$2:$T$495))-(ROW('CASE MASTER'!#REF!)-1))),"")),"")</f>
        <v/>
      </c>
      <c r="K76" s="10" t="str">
        <f>IFERROR(IF(SUMPRODUCT((('CASE MASTER'!$T$2:$T$495=6)*('CASE MASTER'!$U$2:$U$495&lt;=4)*('CASE MASTER'!$W$2:$W$495&gt;=4)*('CASE MASTER'!$V$2:$V$495&lt;=10)*('CASE MASTER'!$X$2:$X$495&gt;=10))*ROW('CASE MASTER'!$T$2:$T$495))&gt;0,INDEX('CASE MASTER'!$Y$2:$Y$495,(SUMPRODUCT((('CASE MASTER'!$T$2:$T$495=6)*('CASE MASTER'!$U$2:$U$495&lt;=4)*('CASE MASTER'!$W$2:$W$495&gt;=4)*('CASE MASTER'!$V$2:$V$495&lt;=10)*('CASE MASTER'!$X$2:$X$495&gt;=10))*ROW('CASE MASTER'!$T$2:$T$495))-(ROW('CASE MASTER'!#REF!)-1)))&amp;TRIM(MID(SUBSTITUTE(SUBSTITUTE(INDEX('CASE MASTER'!$N$2:$N$495,(SUMPRODUCT((('CASE MASTER'!$T$2:$T$495=6)*('CASE MASTER'!$U$2:$U$495&lt;=4)*('CASE MASTER'!$W$2:$W$495&gt;=4)*('CASE MASTER'!$V$2:$V$495&lt;=10)*('CASE MASTER'!$X$2:$X$495&gt;=10))*ROW('CASE MASTER'!$T$2:$T$495))-(ROW('CASE MASTER'!#REF!)-1))),":",","),",",REPT(" ",50)),((((4-INDEX('CASE MASTER'!$U$2:$U$495,(SUMPRODUCT((('CASE MASTER'!$T$2:$T$495=6)*('CASE MASTER'!$U$2:$U$495&lt;=4)*('CASE MASTER'!$W$2:$W$495&gt;=4)*('CASE MASTER'!$V$2:$V$495&lt;=10)*('CASE MASTER'!$X$2:$X$495&gt;=10))*ROW('CASE MASTER'!$T$2:$T$495))-(ROW('CASE MASTER'!#REF!)-1))))*(INDEX('CASE MASTER'!$X$2:$X$495,(SUMPRODUCT((('CASE MASTER'!$T$2:$T$495=6)*('CASE MASTER'!$U$2:$U$495&lt;=4)*('CASE MASTER'!$W$2:$W$495&gt;=4)*('CASE MASTER'!$V$2:$V$495&lt;=10)*('CASE MASTER'!$X$2:$X$495&gt;=10))*ROW('CASE MASTER'!$T$2:$T$495))-(ROW('CASE MASTER'!#REF!)-1)))-INDEX('CASE MASTER'!$V$2:$V$495,(SUMPRODUCT((('CASE MASTER'!$T$2:$T$495=6)*('CASE MASTER'!$U$2:$U$495&lt;=4)*('CASE MASTER'!$W$2:$W$495&gt;=4)*('CASE MASTER'!$V$2:$V$495&lt;=10)*('CASE MASTER'!$X$2:$X$495&gt;=10))*ROW('CASE MASTER'!$T$2:$T$495))-(ROW('CASE MASTER'!#REF!)-1)))+1)+(10-INDEX('CASE MASTER'!$V$2:$V$495,(SUMPRODUCT((('CASE MASTER'!$T$2:$T$495=6)*('CASE MASTER'!$U$2:$U$495&lt;=4)*('CASE MASTER'!$W$2:$W$495&gt;=4)*('CASE MASTER'!$V$2:$V$495&lt;=10)*('CASE MASTER'!$X$2:$X$495&gt;=10))*ROW('CASE MASTER'!$T$2:$T$495))-(ROW('CASE MASTER'!#REF!)-1))))+1))-1)*50+1,50))&amp;"_"&amp;INDEX('CASE MASTER'!$Q$2:$Q$495,(SUMPRODUCT((('CASE MASTER'!$T$2:$T$495=6)*('CASE MASTER'!$U$2:$U$495&lt;=4)*('CASE MASTER'!$W$2:$W$495&gt;=4)*('CASE MASTER'!$V$2:$V$495&lt;=10)*('CASE MASTER'!$X$2:$X$495&gt;=10))*ROW('CASE MASTER'!$T$2:$T$495))-(ROW('CASE MASTER'!#REF!)-1))),IF(SUMPRODUCT((('CASE MASTER'!$T$2:$T$495=6)*('CASE MASTER'!$AA$2:$AA$495&lt;=4)*('CASE MASTER'!$AC$2:$AC$495&gt;=4)*('CASE MASTER'!$AB$2:$AB$495&lt;=10)*('CASE MASTER'!$AD$2:$AD$495&gt;=10))*ROW('CASE MASTER'!$T$2:$T$495))&gt;0,INDEX('CASE MASTER'!$Y$2:$Y$495,(SUMPRODUCT((('CASE MASTER'!$T$2:$T$495=6)*('CASE MASTER'!$AA$2:$AA$495&lt;=4)*('CASE MASTER'!$AC$2:$AC$495&gt;=4)*('CASE MASTER'!$AB$2:$AB$495&lt;=10)*('CASE MASTER'!$AD$2:$AD$495&gt;=10))*ROW('CASE MASTER'!$T$2:$T$495))-(ROW('CASE MASTER'!#REF!)-1)))&amp;TRIM(MID(SUBSTITUTE(SUBSTITUTE(INDEX('CASE MASTER'!$N$2:$N$495,(SUMPRODUCT((('CASE MASTER'!$T$2:$T$495=6)*('CASE MASTER'!$AA$2:$AA$495&lt;=4)*('CASE MASTER'!$AC$2:$AC$495&gt;=4)*('CASE MASTER'!$AB$2:$AB$495&lt;=10)*('CASE MASTER'!$AD$2:$AD$495&gt;=10))*ROW('CASE MASTER'!$T$2:$T$495))-(ROW('CASE MASTER'!#REF!)-1))),":",","),",",REPT(" ",50)),(((INDEX('CASE MASTER'!$Z$2:$Z$495,(SUMPRODUCT((('CASE MASTER'!$T$2:$T$495=6)*('CASE MASTER'!$AA$2:$AA$495&lt;=4)*('CASE MASTER'!$AC$2:$AC$495&gt;=4)*('CASE MASTER'!$AB$2:$AB$495&lt;=10)*('CASE MASTER'!$AD$2:$AD$495&gt;=10))*ROW('CASE MASTER'!$T$2:$T$495))-(ROW('CASE MASTER'!#REF!)-1)))+((4-INDEX('CASE MASTER'!$AA$2:$AA$495,(SUMPRODUCT((('CASE MASTER'!$T$2:$T$495=6)*('CASE MASTER'!$AA$2:$AA$495&lt;=4)*('CASE MASTER'!$AC$2:$AC$495&gt;=4)*('CASE MASTER'!$AB$2:$AB$495&lt;=10)*('CASE MASTER'!$AD$2:$AD$495&gt;=10))*ROW('CASE MASTER'!$T$2:$T$495))-(ROW('CASE MASTER'!#REF!)-1))))*(INDEX('CASE MASTER'!$AD$2:$AD$495,(SUMPRODUCT((('CASE MASTER'!$T$2:$T$495=6)*('CASE MASTER'!$AA$2:$AA$495&lt;=4)*('CASE MASTER'!$AC$2:$AC$495&gt;=4)*('CASE MASTER'!$AB$2:$AB$495&lt;=10)*('CASE MASTER'!$AD$2:$AD$495&gt;=10))*ROW('CASE MASTER'!$T$2:$T$495))-(ROW('CASE MASTER'!#REF!)-1)))-INDEX('CASE MASTER'!$AB$2:$AB$495,(SUMPRODUCT((('CASE MASTER'!$T$2:$T$495=6)*('CASE MASTER'!$AA$2:$AA$495&lt;=4)*('CASE MASTER'!$AC$2:$AC$495&gt;=4)*('CASE MASTER'!$AB$2:$AB$495&lt;=10)*('CASE MASTER'!$AD$2:$AD$495&gt;=10))*ROW('CASE MASTER'!$T$2:$T$495))-(ROW('CASE MASTER'!#REF!)-1)))+1)+(10-INDEX('CASE MASTER'!$AB$2:$AB$495,(SUMPRODUCT((('CASE MASTER'!$T$2:$T$495=6)*('CASE MASTER'!$AA$2:$AA$495&lt;=4)*('CASE MASTER'!$AC$2:$AC$495&gt;=4)*('CASE MASTER'!$AB$2:$AB$495&lt;=10)*('CASE MASTER'!$AD$2:$AD$495&gt;=10))*ROW('CASE MASTER'!$T$2:$T$495))-(ROW('CASE MASTER'!#REF!)-1))))+1)))-1)*50+1,50))&amp;"_"&amp;INDEX('CASE MASTER'!$Q$2:$Q$495,(SUMPRODUCT((('CASE MASTER'!$T$2:$T$495=6)*('CASE MASTER'!$AA$2:$AA$495&lt;=4)*('CASE MASTER'!$AC$2:$AC$495&gt;=4)*('CASE MASTER'!$AB$2:$AB$495&lt;=10)*('CASE MASTER'!$AD$2:$AD$495&gt;=10))*ROW('CASE MASTER'!$T$2:$T$495))-(ROW('CASE MASTER'!#REF!)-1))),"")),"")</f>
        <v/>
      </c>
    </row>
    <row r="77" spans="1:11" ht="15" customHeight="1" x14ac:dyDescent="0.35">
      <c r="A77" s="8" t="s">
        <v>32</v>
      </c>
      <c r="B77" s="10" t="str">
        <f>IFERROR(IF(SUMPRODUCT((('CASE MASTER'!$T$2:$T$495=6)*('CASE MASTER'!$U$2:$U$495&lt;=5)*('CASE MASTER'!$W$2:$W$495&gt;=5)*('CASE MASTER'!$V$2:$V$495&lt;=1)*('CASE MASTER'!$X$2:$X$495&gt;=1))*ROW('CASE MASTER'!$T$2:$T$495))&gt;0,INDEX('CASE MASTER'!$Y$2:$Y$495,(SUMPRODUCT((('CASE MASTER'!$T$2:$T$495=6)*('CASE MASTER'!$U$2:$U$495&lt;=5)*('CASE MASTER'!$W$2:$W$495&gt;=5)*('CASE MASTER'!$V$2:$V$495&lt;=1)*('CASE MASTER'!$X$2:$X$495&gt;=1))*ROW('CASE MASTER'!$T$2:$T$495))-(ROW('CASE MASTER'!#REF!)-1)))&amp;TRIM(MID(SUBSTITUTE(SUBSTITUTE(INDEX('CASE MASTER'!$N$2:$N$495,(SUMPRODUCT((('CASE MASTER'!$T$2:$T$495=6)*('CASE MASTER'!$U$2:$U$495&lt;=5)*('CASE MASTER'!$W$2:$W$495&gt;=5)*('CASE MASTER'!$V$2:$V$495&lt;=1)*('CASE MASTER'!$X$2:$X$495&gt;=1))*ROW('CASE MASTER'!$T$2:$T$495))-(ROW('CASE MASTER'!#REF!)-1))),":",","),",",REPT(" ",50)),((((5-INDEX('CASE MASTER'!$U$2:$U$495,(SUMPRODUCT((('CASE MASTER'!$T$2:$T$495=6)*('CASE MASTER'!$U$2:$U$495&lt;=5)*('CASE MASTER'!$W$2:$W$495&gt;=5)*('CASE MASTER'!$V$2:$V$495&lt;=1)*('CASE MASTER'!$X$2:$X$495&gt;=1))*ROW('CASE MASTER'!$T$2:$T$495))-(ROW('CASE MASTER'!#REF!)-1))))*(INDEX('CASE MASTER'!$X$2:$X$495,(SUMPRODUCT((('CASE MASTER'!$T$2:$T$495=6)*('CASE MASTER'!$U$2:$U$495&lt;=5)*('CASE MASTER'!$W$2:$W$495&gt;=5)*('CASE MASTER'!$V$2:$V$495&lt;=1)*('CASE MASTER'!$X$2:$X$495&gt;=1))*ROW('CASE MASTER'!$T$2:$T$495))-(ROW('CASE MASTER'!#REF!)-1)))-INDEX('CASE MASTER'!$V$2:$V$495,(SUMPRODUCT((('CASE MASTER'!$T$2:$T$495=6)*('CASE MASTER'!$U$2:$U$495&lt;=5)*('CASE MASTER'!$W$2:$W$495&gt;=5)*('CASE MASTER'!$V$2:$V$495&lt;=1)*('CASE MASTER'!$X$2:$X$495&gt;=1))*ROW('CASE MASTER'!$T$2:$T$495))-(ROW('CASE MASTER'!#REF!)-1)))+1)+(1-INDEX('CASE MASTER'!$V$2:$V$495,(SUMPRODUCT((('CASE MASTER'!$T$2:$T$495=6)*('CASE MASTER'!$U$2:$U$495&lt;=5)*('CASE MASTER'!$W$2:$W$495&gt;=5)*('CASE MASTER'!$V$2:$V$495&lt;=1)*('CASE MASTER'!$X$2:$X$495&gt;=1))*ROW('CASE MASTER'!$T$2:$T$495))-(ROW('CASE MASTER'!#REF!)-1))))+1))-1)*50+1,50))&amp;"_"&amp;INDEX('CASE MASTER'!$Q$2:$Q$495,(SUMPRODUCT((('CASE MASTER'!$T$2:$T$495=6)*('CASE MASTER'!$U$2:$U$495&lt;=5)*('CASE MASTER'!$W$2:$W$495&gt;=5)*('CASE MASTER'!$V$2:$V$495&lt;=1)*('CASE MASTER'!$X$2:$X$495&gt;=1))*ROW('CASE MASTER'!$T$2:$T$495))-(ROW('CASE MASTER'!#REF!)-1))),IF(SUMPRODUCT((('CASE MASTER'!$T$2:$T$495=6)*('CASE MASTER'!$AA$2:$AA$495&lt;=5)*('CASE MASTER'!$AC$2:$AC$495&gt;=5)*('CASE MASTER'!$AB$2:$AB$495&lt;=1)*('CASE MASTER'!$AD$2:$AD$495&gt;=1))*ROW('CASE MASTER'!$T$2:$T$495))&gt;0,INDEX('CASE MASTER'!$Y$2:$Y$495,(SUMPRODUCT((('CASE MASTER'!$T$2:$T$495=6)*('CASE MASTER'!$AA$2:$AA$495&lt;=5)*('CASE MASTER'!$AC$2:$AC$495&gt;=5)*('CASE MASTER'!$AB$2:$AB$495&lt;=1)*('CASE MASTER'!$AD$2:$AD$495&gt;=1))*ROW('CASE MASTER'!$T$2:$T$495))-(ROW('CASE MASTER'!#REF!)-1)))&amp;TRIM(MID(SUBSTITUTE(SUBSTITUTE(INDEX('CASE MASTER'!$N$2:$N$495,(SUMPRODUCT((('CASE MASTER'!$T$2:$T$495=6)*('CASE MASTER'!$AA$2:$AA$495&lt;=5)*('CASE MASTER'!$AC$2:$AC$495&gt;=5)*('CASE MASTER'!$AB$2:$AB$495&lt;=1)*('CASE MASTER'!$AD$2:$AD$495&gt;=1))*ROW('CASE MASTER'!$T$2:$T$495))-(ROW('CASE MASTER'!#REF!)-1))),":",","),",",REPT(" ",50)),(((INDEX('CASE MASTER'!$Z$2:$Z$495,(SUMPRODUCT((('CASE MASTER'!$T$2:$T$495=6)*('CASE MASTER'!$AA$2:$AA$495&lt;=5)*('CASE MASTER'!$AC$2:$AC$495&gt;=5)*('CASE MASTER'!$AB$2:$AB$495&lt;=1)*('CASE MASTER'!$AD$2:$AD$495&gt;=1))*ROW('CASE MASTER'!$T$2:$T$495))-(ROW('CASE MASTER'!#REF!)-1)))+((5-INDEX('CASE MASTER'!$AA$2:$AA$495,(SUMPRODUCT((('CASE MASTER'!$T$2:$T$495=6)*('CASE MASTER'!$AA$2:$AA$495&lt;=5)*('CASE MASTER'!$AC$2:$AC$495&gt;=5)*('CASE MASTER'!$AB$2:$AB$495&lt;=1)*('CASE MASTER'!$AD$2:$AD$495&gt;=1))*ROW('CASE MASTER'!$T$2:$T$495))-(ROW('CASE MASTER'!#REF!)-1))))*(INDEX('CASE MASTER'!$AD$2:$AD$495,(SUMPRODUCT((('CASE MASTER'!$T$2:$T$495=6)*('CASE MASTER'!$AA$2:$AA$495&lt;=5)*('CASE MASTER'!$AC$2:$AC$495&gt;=5)*('CASE MASTER'!$AB$2:$AB$495&lt;=1)*('CASE MASTER'!$AD$2:$AD$495&gt;=1))*ROW('CASE MASTER'!$T$2:$T$495))-(ROW('CASE MASTER'!#REF!)-1)))-INDEX('CASE MASTER'!$AB$2:$AB$495,(SUMPRODUCT((('CASE MASTER'!$T$2:$T$495=6)*('CASE MASTER'!$AA$2:$AA$495&lt;=5)*('CASE MASTER'!$AC$2:$AC$495&gt;=5)*('CASE MASTER'!$AB$2:$AB$495&lt;=1)*('CASE MASTER'!$AD$2:$AD$495&gt;=1))*ROW('CASE MASTER'!$T$2:$T$495))-(ROW('CASE MASTER'!#REF!)-1)))+1)+(1-INDEX('CASE MASTER'!$AB$2:$AB$495,(SUMPRODUCT((('CASE MASTER'!$T$2:$T$495=6)*('CASE MASTER'!$AA$2:$AA$495&lt;=5)*('CASE MASTER'!$AC$2:$AC$495&gt;=5)*('CASE MASTER'!$AB$2:$AB$495&lt;=1)*('CASE MASTER'!$AD$2:$AD$495&gt;=1))*ROW('CASE MASTER'!$T$2:$T$495))-(ROW('CASE MASTER'!#REF!)-1))))+1)))-1)*50+1,50))&amp;"_"&amp;INDEX('CASE MASTER'!$Q$2:$Q$495,(SUMPRODUCT((('CASE MASTER'!$T$2:$T$495=6)*('CASE MASTER'!$AA$2:$AA$495&lt;=5)*('CASE MASTER'!$AC$2:$AC$495&gt;=5)*('CASE MASTER'!$AB$2:$AB$495&lt;=1)*('CASE MASTER'!$AD$2:$AD$495&gt;=1))*ROW('CASE MASTER'!$T$2:$T$495))-(ROW('CASE MASTER'!#REF!)-1))),"")),"")</f>
        <v/>
      </c>
      <c r="C77" s="10" t="str">
        <f>IFERROR(IF(SUMPRODUCT((('CASE MASTER'!$T$2:$T$495=6)*('CASE MASTER'!$U$2:$U$495&lt;=5)*('CASE MASTER'!$W$2:$W$495&gt;=5)*('CASE MASTER'!$V$2:$V$495&lt;=2)*('CASE MASTER'!$X$2:$X$495&gt;=2))*ROW('CASE MASTER'!$T$2:$T$495))&gt;0,INDEX('CASE MASTER'!$Y$2:$Y$495,(SUMPRODUCT((('CASE MASTER'!$T$2:$T$495=6)*('CASE MASTER'!$U$2:$U$495&lt;=5)*('CASE MASTER'!$W$2:$W$495&gt;=5)*('CASE MASTER'!$V$2:$V$495&lt;=2)*('CASE MASTER'!$X$2:$X$495&gt;=2))*ROW('CASE MASTER'!$T$2:$T$495))-(ROW('CASE MASTER'!#REF!)-1)))&amp;TRIM(MID(SUBSTITUTE(SUBSTITUTE(INDEX('CASE MASTER'!$N$2:$N$495,(SUMPRODUCT((('CASE MASTER'!$T$2:$T$495=6)*('CASE MASTER'!$U$2:$U$495&lt;=5)*('CASE MASTER'!$W$2:$W$495&gt;=5)*('CASE MASTER'!$V$2:$V$495&lt;=2)*('CASE MASTER'!$X$2:$X$495&gt;=2))*ROW('CASE MASTER'!$T$2:$T$495))-(ROW('CASE MASTER'!#REF!)-1))),":",","),",",REPT(" ",50)),((((5-INDEX('CASE MASTER'!$U$2:$U$495,(SUMPRODUCT((('CASE MASTER'!$T$2:$T$495=6)*('CASE MASTER'!$U$2:$U$495&lt;=5)*('CASE MASTER'!$W$2:$W$495&gt;=5)*('CASE MASTER'!$V$2:$V$495&lt;=2)*('CASE MASTER'!$X$2:$X$495&gt;=2))*ROW('CASE MASTER'!$T$2:$T$495))-(ROW('CASE MASTER'!#REF!)-1))))*(INDEX('CASE MASTER'!$X$2:$X$495,(SUMPRODUCT((('CASE MASTER'!$T$2:$T$495=6)*('CASE MASTER'!$U$2:$U$495&lt;=5)*('CASE MASTER'!$W$2:$W$495&gt;=5)*('CASE MASTER'!$V$2:$V$495&lt;=2)*('CASE MASTER'!$X$2:$X$495&gt;=2))*ROW('CASE MASTER'!$T$2:$T$495))-(ROW('CASE MASTER'!#REF!)-1)))-INDEX('CASE MASTER'!$V$2:$V$495,(SUMPRODUCT((('CASE MASTER'!$T$2:$T$495=6)*('CASE MASTER'!$U$2:$U$495&lt;=5)*('CASE MASTER'!$W$2:$W$495&gt;=5)*('CASE MASTER'!$V$2:$V$495&lt;=2)*('CASE MASTER'!$X$2:$X$495&gt;=2))*ROW('CASE MASTER'!$T$2:$T$495))-(ROW('CASE MASTER'!#REF!)-1)))+1)+(2-INDEX('CASE MASTER'!$V$2:$V$495,(SUMPRODUCT((('CASE MASTER'!$T$2:$T$495=6)*('CASE MASTER'!$U$2:$U$495&lt;=5)*('CASE MASTER'!$W$2:$W$495&gt;=5)*('CASE MASTER'!$V$2:$V$495&lt;=2)*('CASE MASTER'!$X$2:$X$495&gt;=2))*ROW('CASE MASTER'!$T$2:$T$495))-(ROW('CASE MASTER'!#REF!)-1))))+1))-1)*50+1,50))&amp;"_"&amp;INDEX('CASE MASTER'!$Q$2:$Q$495,(SUMPRODUCT((('CASE MASTER'!$T$2:$T$495=6)*('CASE MASTER'!$U$2:$U$495&lt;=5)*('CASE MASTER'!$W$2:$W$495&gt;=5)*('CASE MASTER'!$V$2:$V$495&lt;=2)*('CASE MASTER'!$X$2:$X$495&gt;=2))*ROW('CASE MASTER'!$T$2:$T$495))-(ROW('CASE MASTER'!#REF!)-1))),IF(SUMPRODUCT((('CASE MASTER'!$T$2:$T$495=6)*('CASE MASTER'!$AA$2:$AA$495&lt;=5)*('CASE MASTER'!$AC$2:$AC$495&gt;=5)*('CASE MASTER'!$AB$2:$AB$495&lt;=2)*('CASE MASTER'!$AD$2:$AD$495&gt;=2))*ROW('CASE MASTER'!$T$2:$T$495))&gt;0,INDEX('CASE MASTER'!$Y$2:$Y$495,(SUMPRODUCT((('CASE MASTER'!$T$2:$T$495=6)*('CASE MASTER'!$AA$2:$AA$495&lt;=5)*('CASE MASTER'!$AC$2:$AC$495&gt;=5)*('CASE MASTER'!$AB$2:$AB$495&lt;=2)*('CASE MASTER'!$AD$2:$AD$495&gt;=2))*ROW('CASE MASTER'!$T$2:$T$495))-(ROW('CASE MASTER'!#REF!)-1)))&amp;TRIM(MID(SUBSTITUTE(SUBSTITUTE(INDEX('CASE MASTER'!$N$2:$N$495,(SUMPRODUCT((('CASE MASTER'!$T$2:$T$495=6)*('CASE MASTER'!$AA$2:$AA$495&lt;=5)*('CASE MASTER'!$AC$2:$AC$495&gt;=5)*('CASE MASTER'!$AB$2:$AB$495&lt;=2)*('CASE MASTER'!$AD$2:$AD$495&gt;=2))*ROW('CASE MASTER'!$T$2:$T$495))-(ROW('CASE MASTER'!#REF!)-1))),":",","),",",REPT(" ",50)),(((INDEX('CASE MASTER'!$Z$2:$Z$495,(SUMPRODUCT((('CASE MASTER'!$T$2:$T$495=6)*('CASE MASTER'!$AA$2:$AA$495&lt;=5)*('CASE MASTER'!$AC$2:$AC$495&gt;=5)*('CASE MASTER'!$AB$2:$AB$495&lt;=2)*('CASE MASTER'!$AD$2:$AD$495&gt;=2))*ROW('CASE MASTER'!$T$2:$T$495))-(ROW('CASE MASTER'!#REF!)-1)))+((5-INDEX('CASE MASTER'!$AA$2:$AA$495,(SUMPRODUCT((('CASE MASTER'!$T$2:$T$495=6)*('CASE MASTER'!$AA$2:$AA$495&lt;=5)*('CASE MASTER'!$AC$2:$AC$495&gt;=5)*('CASE MASTER'!$AB$2:$AB$495&lt;=2)*('CASE MASTER'!$AD$2:$AD$495&gt;=2))*ROW('CASE MASTER'!$T$2:$T$495))-(ROW('CASE MASTER'!#REF!)-1))))*(INDEX('CASE MASTER'!$AD$2:$AD$495,(SUMPRODUCT((('CASE MASTER'!$T$2:$T$495=6)*('CASE MASTER'!$AA$2:$AA$495&lt;=5)*('CASE MASTER'!$AC$2:$AC$495&gt;=5)*('CASE MASTER'!$AB$2:$AB$495&lt;=2)*('CASE MASTER'!$AD$2:$AD$495&gt;=2))*ROW('CASE MASTER'!$T$2:$T$495))-(ROW('CASE MASTER'!#REF!)-1)))-INDEX('CASE MASTER'!$AB$2:$AB$495,(SUMPRODUCT((('CASE MASTER'!$T$2:$T$495=6)*('CASE MASTER'!$AA$2:$AA$495&lt;=5)*('CASE MASTER'!$AC$2:$AC$495&gt;=5)*('CASE MASTER'!$AB$2:$AB$495&lt;=2)*('CASE MASTER'!$AD$2:$AD$495&gt;=2))*ROW('CASE MASTER'!$T$2:$T$495))-(ROW('CASE MASTER'!#REF!)-1)))+1)+(2-INDEX('CASE MASTER'!$AB$2:$AB$495,(SUMPRODUCT((('CASE MASTER'!$T$2:$T$495=6)*('CASE MASTER'!$AA$2:$AA$495&lt;=5)*('CASE MASTER'!$AC$2:$AC$495&gt;=5)*('CASE MASTER'!$AB$2:$AB$495&lt;=2)*('CASE MASTER'!$AD$2:$AD$495&gt;=2))*ROW('CASE MASTER'!$T$2:$T$495))-(ROW('CASE MASTER'!#REF!)-1))))+1)))-1)*50+1,50))&amp;"_"&amp;INDEX('CASE MASTER'!$Q$2:$Q$495,(SUMPRODUCT((('CASE MASTER'!$T$2:$T$495=6)*('CASE MASTER'!$AA$2:$AA$495&lt;=5)*('CASE MASTER'!$AC$2:$AC$495&gt;=5)*('CASE MASTER'!$AB$2:$AB$495&lt;=2)*('CASE MASTER'!$AD$2:$AD$495&gt;=2))*ROW('CASE MASTER'!$T$2:$T$495))-(ROW('CASE MASTER'!#REF!)-1))),"")),"")</f>
        <v/>
      </c>
      <c r="D77" s="10" t="str">
        <f>IFERROR(IF(SUMPRODUCT((('CASE MASTER'!$T$2:$T$495=6)*('CASE MASTER'!$U$2:$U$495&lt;=5)*('CASE MASTER'!$W$2:$W$495&gt;=5)*('CASE MASTER'!$V$2:$V$495&lt;=3)*('CASE MASTER'!$X$2:$X$495&gt;=3))*ROW('CASE MASTER'!$T$2:$T$495))&gt;0,INDEX('CASE MASTER'!$Y$2:$Y$495,(SUMPRODUCT((('CASE MASTER'!$T$2:$T$495=6)*('CASE MASTER'!$U$2:$U$495&lt;=5)*('CASE MASTER'!$W$2:$W$495&gt;=5)*('CASE MASTER'!$V$2:$V$495&lt;=3)*('CASE MASTER'!$X$2:$X$495&gt;=3))*ROW('CASE MASTER'!$T$2:$T$495))-(ROW('CASE MASTER'!#REF!)-1)))&amp;TRIM(MID(SUBSTITUTE(SUBSTITUTE(INDEX('CASE MASTER'!$N$2:$N$495,(SUMPRODUCT((('CASE MASTER'!$T$2:$T$495=6)*('CASE MASTER'!$U$2:$U$495&lt;=5)*('CASE MASTER'!$W$2:$W$495&gt;=5)*('CASE MASTER'!$V$2:$V$495&lt;=3)*('CASE MASTER'!$X$2:$X$495&gt;=3))*ROW('CASE MASTER'!$T$2:$T$495))-(ROW('CASE MASTER'!#REF!)-1))),":",","),",",REPT(" ",50)),((((5-INDEX('CASE MASTER'!$U$2:$U$495,(SUMPRODUCT((('CASE MASTER'!$T$2:$T$495=6)*('CASE MASTER'!$U$2:$U$495&lt;=5)*('CASE MASTER'!$W$2:$W$495&gt;=5)*('CASE MASTER'!$V$2:$V$495&lt;=3)*('CASE MASTER'!$X$2:$X$495&gt;=3))*ROW('CASE MASTER'!$T$2:$T$495))-(ROW('CASE MASTER'!#REF!)-1))))*(INDEX('CASE MASTER'!$X$2:$X$495,(SUMPRODUCT((('CASE MASTER'!$T$2:$T$495=6)*('CASE MASTER'!$U$2:$U$495&lt;=5)*('CASE MASTER'!$W$2:$W$495&gt;=5)*('CASE MASTER'!$V$2:$V$495&lt;=3)*('CASE MASTER'!$X$2:$X$495&gt;=3))*ROW('CASE MASTER'!$T$2:$T$495))-(ROW('CASE MASTER'!#REF!)-1)))-INDEX('CASE MASTER'!$V$2:$V$495,(SUMPRODUCT((('CASE MASTER'!$T$2:$T$495=6)*('CASE MASTER'!$U$2:$U$495&lt;=5)*('CASE MASTER'!$W$2:$W$495&gt;=5)*('CASE MASTER'!$V$2:$V$495&lt;=3)*('CASE MASTER'!$X$2:$X$495&gt;=3))*ROW('CASE MASTER'!$T$2:$T$495))-(ROW('CASE MASTER'!#REF!)-1)))+1)+(3-INDEX('CASE MASTER'!$V$2:$V$495,(SUMPRODUCT((('CASE MASTER'!$T$2:$T$495=6)*('CASE MASTER'!$U$2:$U$495&lt;=5)*('CASE MASTER'!$W$2:$W$495&gt;=5)*('CASE MASTER'!$V$2:$V$495&lt;=3)*('CASE MASTER'!$X$2:$X$495&gt;=3))*ROW('CASE MASTER'!$T$2:$T$495))-(ROW('CASE MASTER'!#REF!)-1))))+1))-1)*50+1,50))&amp;"_"&amp;INDEX('CASE MASTER'!$Q$2:$Q$495,(SUMPRODUCT((('CASE MASTER'!$T$2:$T$495=6)*('CASE MASTER'!$U$2:$U$495&lt;=5)*('CASE MASTER'!$W$2:$W$495&gt;=5)*('CASE MASTER'!$V$2:$V$495&lt;=3)*('CASE MASTER'!$X$2:$X$495&gt;=3))*ROW('CASE MASTER'!$T$2:$T$495))-(ROW('CASE MASTER'!#REF!)-1))),IF(SUMPRODUCT((('CASE MASTER'!$T$2:$T$495=6)*('CASE MASTER'!$AA$2:$AA$495&lt;=5)*('CASE MASTER'!$AC$2:$AC$495&gt;=5)*('CASE MASTER'!$AB$2:$AB$495&lt;=3)*('CASE MASTER'!$AD$2:$AD$495&gt;=3))*ROW('CASE MASTER'!$T$2:$T$495))&gt;0,INDEX('CASE MASTER'!$Y$2:$Y$495,(SUMPRODUCT((('CASE MASTER'!$T$2:$T$495=6)*('CASE MASTER'!$AA$2:$AA$495&lt;=5)*('CASE MASTER'!$AC$2:$AC$495&gt;=5)*('CASE MASTER'!$AB$2:$AB$495&lt;=3)*('CASE MASTER'!$AD$2:$AD$495&gt;=3))*ROW('CASE MASTER'!$T$2:$T$495))-(ROW('CASE MASTER'!#REF!)-1)))&amp;TRIM(MID(SUBSTITUTE(SUBSTITUTE(INDEX('CASE MASTER'!$N$2:$N$495,(SUMPRODUCT((('CASE MASTER'!$T$2:$T$495=6)*('CASE MASTER'!$AA$2:$AA$495&lt;=5)*('CASE MASTER'!$AC$2:$AC$495&gt;=5)*('CASE MASTER'!$AB$2:$AB$495&lt;=3)*('CASE MASTER'!$AD$2:$AD$495&gt;=3))*ROW('CASE MASTER'!$T$2:$T$495))-(ROW('CASE MASTER'!#REF!)-1))),":",","),",",REPT(" ",50)),(((INDEX('CASE MASTER'!$Z$2:$Z$495,(SUMPRODUCT((('CASE MASTER'!$T$2:$T$495=6)*('CASE MASTER'!$AA$2:$AA$495&lt;=5)*('CASE MASTER'!$AC$2:$AC$495&gt;=5)*('CASE MASTER'!$AB$2:$AB$495&lt;=3)*('CASE MASTER'!$AD$2:$AD$495&gt;=3))*ROW('CASE MASTER'!$T$2:$T$495))-(ROW('CASE MASTER'!#REF!)-1)))+((5-INDEX('CASE MASTER'!$AA$2:$AA$495,(SUMPRODUCT((('CASE MASTER'!$T$2:$T$495=6)*('CASE MASTER'!$AA$2:$AA$495&lt;=5)*('CASE MASTER'!$AC$2:$AC$495&gt;=5)*('CASE MASTER'!$AB$2:$AB$495&lt;=3)*('CASE MASTER'!$AD$2:$AD$495&gt;=3))*ROW('CASE MASTER'!$T$2:$T$495))-(ROW('CASE MASTER'!#REF!)-1))))*(INDEX('CASE MASTER'!$AD$2:$AD$495,(SUMPRODUCT((('CASE MASTER'!$T$2:$T$495=6)*('CASE MASTER'!$AA$2:$AA$495&lt;=5)*('CASE MASTER'!$AC$2:$AC$495&gt;=5)*('CASE MASTER'!$AB$2:$AB$495&lt;=3)*('CASE MASTER'!$AD$2:$AD$495&gt;=3))*ROW('CASE MASTER'!$T$2:$T$495))-(ROW('CASE MASTER'!#REF!)-1)))-INDEX('CASE MASTER'!$AB$2:$AB$495,(SUMPRODUCT((('CASE MASTER'!$T$2:$T$495=6)*('CASE MASTER'!$AA$2:$AA$495&lt;=5)*('CASE MASTER'!$AC$2:$AC$495&gt;=5)*('CASE MASTER'!$AB$2:$AB$495&lt;=3)*('CASE MASTER'!$AD$2:$AD$495&gt;=3))*ROW('CASE MASTER'!$T$2:$T$495))-(ROW('CASE MASTER'!#REF!)-1)))+1)+(3-INDEX('CASE MASTER'!$AB$2:$AB$495,(SUMPRODUCT((('CASE MASTER'!$T$2:$T$495=6)*('CASE MASTER'!$AA$2:$AA$495&lt;=5)*('CASE MASTER'!$AC$2:$AC$495&gt;=5)*('CASE MASTER'!$AB$2:$AB$495&lt;=3)*('CASE MASTER'!$AD$2:$AD$495&gt;=3))*ROW('CASE MASTER'!$T$2:$T$495))-(ROW('CASE MASTER'!#REF!)-1))))+1)))-1)*50+1,50))&amp;"_"&amp;INDEX('CASE MASTER'!$Q$2:$Q$495,(SUMPRODUCT((('CASE MASTER'!$T$2:$T$495=6)*('CASE MASTER'!$AA$2:$AA$495&lt;=5)*('CASE MASTER'!$AC$2:$AC$495&gt;=5)*('CASE MASTER'!$AB$2:$AB$495&lt;=3)*('CASE MASTER'!$AD$2:$AD$495&gt;=3))*ROW('CASE MASTER'!$T$2:$T$495))-(ROW('CASE MASTER'!#REF!)-1))),"")),"")</f>
        <v/>
      </c>
      <c r="E77" s="10" t="str">
        <f>IFERROR(IF(SUMPRODUCT((('CASE MASTER'!$T$2:$T$495=6)*('CASE MASTER'!$U$2:$U$495&lt;=5)*('CASE MASTER'!$W$2:$W$495&gt;=5)*('CASE MASTER'!$V$2:$V$495&lt;=4)*('CASE MASTER'!$X$2:$X$495&gt;=4))*ROW('CASE MASTER'!$T$2:$T$495))&gt;0,INDEX('CASE MASTER'!$Y$2:$Y$495,(SUMPRODUCT((('CASE MASTER'!$T$2:$T$495=6)*('CASE MASTER'!$U$2:$U$495&lt;=5)*('CASE MASTER'!$W$2:$W$495&gt;=5)*('CASE MASTER'!$V$2:$V$495&lt;=4)*('CASE MASTER'!$X$2:$X$495&gt;=4))*ROW('CASE MASTER'!$T$2:$T$495))-(ROW('CASE MASTER'!#REF!)-1)))&amp;TRIM(MID(SUBSTITUTE(SUBSTITUTE(INDEX('CASE MASTER'!$N$2:$N$495,(SUMPRODUCT((('CASE MASTER'!$T$2:$T$495=6)*('CASE MASTER'!$U$2:$U$495&lt;=5)*('CASE MASTER'!$W$2:$W$495&gt;=5)*('CASE MASTER'!$V$2:$V$495&lt;=4)*('CASE MASTER'!$X$2:$X$495&gt;=4))*ROW('CASE MASTER'!$T$2:$T$495))-(ROW('CASE MASTER'!#REF!)-1))),":",","),",",REPT(" ",50)),((((5-INDEX('CASE MASTER'!$U$2:$U$495,(SUMPRODUCT((('CASE MASTER'!$T$2:$T$495=6)*('CASE MASTER'!$U$2:$U$495&lt;=5)*('CASE MASTER'!$W$2:$W$495&gt;=5)*('CASE MASTER'!$V$2:$V$495&lt;=4)*('CASE MASTER'!$X$2:$X$495&gt;=4))*ROW('CASE MASTER'!$T$2:$T$495))-(ROW('CASE MASTER'!#REF!)-1))))*(INDEX('CASE MASTER'!$X$2:$X$495,(SUMPRODUCT((('CASE MASTER'!$T$2:$T$495=6)*('CASE MASTER'!$U$2:$U$495&lt;=5)*('CASE MASTER'!$W$2:$W$495&gt;=5)*('CASE MASTER'!$V$2:$V$495&lt;=4)*('CASE MASTER'!$X$2:$X$495&gt;=4))*ROW('CASE MASTER'!$T$2:$T$495))-(ROW('CASE MASTER'!#REF!)-1)))-INDEX('CASE MASTER'!$V$2:$V$495,(SUMPRODUCT((('CASE MASTER'!$T$2:$T$495=6)*('CASE MASTER'!$U$2:$U$495&lt;=5)*('CASE MASTER'!$W$2:$W$495&gt;=5)*('CASE MASTER'!$V$2:$V$495&lt;=4)*('CASE MASTER'!$X$2:$X$495&gt;=4))*ROW('CASE MASTER'!$T$2:$T$495))-(ROW('CASE MASTER'!#REF!)-1)))+1)+(4-INDEX('CASE MASTER'!$V$2:$V$495,(SUMPRODUCT((('CASE MASTER'!$T$2:$T$495=6)*('CASE MASTER'!$U$2:$U$495&lt;=5)*('CASE MASTER'!$W$2:$W$495&gt;=5)*('CASE MASTER'!$V$2:$V$495&lt;=4)*('CASE MASTER'!$X$2:$X$495&gt;=4))*ROW('CASE MASTER'!$T$2:$T$495))-(ROW('CASE MASTER'!#REF!)-1))))+1))-1)*50+1,50))&amp;"_"&amp;INDEX('CASE MASTER'!$Q$2:$Q$495,(SUMPRODUCT((('CASE MASTER'!$T$2:$T$495=6)*('CASE MASTER'!$U$2:$U$495&lt;=5)*('CASE MASTER'!$W$2:$W$495&gt;=5)*('CASE MASTER'!$V$2:$V$495&lt;=4)*('CASE MASTER'!$X$2:$X$495&gt;=4))*ROW('CASE MASTER'!$T$2:$T$495))-(ROW('CASE MASTER'!#REF!)-1))),IF(SUMPRODUCT((('CASE MASTER'!$T$2:$T$495=6)*('CASE MASTER'!$AA$2:$AA$495&lt;=5)*('CASE MASTER'!$AC$2:$AC$495&gt;=5)*('CASE MASTER'!$AB$2:$AB$495&lt;=4)*('CASE MASTER'!$AD$2:$AD$495&gt;=4))*ROW('CASE MASTER'!$T$2:$T$495))&gt;0,INDEX('CASE MASTER'!$Y$2:$Y$495,(SUMPRODUCT((('CASE MASTER'!$T$2:$T$495=6)*('CASE MASTER'!$AA$2:$AA$495&lt;=5)*('CASE MASTER'!$AC$2:$AC$495&gt;=5)*('CASE MASTER'!$AB$2:$AB$495&lt;=4)*('CASE MASTER'!$AD$2:$AD$495&gt;=4))*ROW('CASE MASTER'!$T$2:$T$495))-(ROW('CASE MASTER'!#REF!)-1)))&amp;TRIM(MID(SUBSTITUTE(SUBSTITUTE(INDEX('CASE MASTER'!$N$2:$N$495,(SUMPRODUCT((('CASE MASTER'!$T$2:$T$495=6)*('CASE MASTER'!$AA$2:$AA$495&lt;=5)*('CASE MASTER'!$AC$2:$AC$495&gt;=5)*('CASE MASTER'!$AB$2:$AB$495&lt;=4)*('CASE MASTER'!$AD$2:$AD$495&gt;=4))*ROW('CASE MASTER'!$T$2:$T$495))-(ROW('CASE MASTER'!#REF!)-1))),":",","),",",REPT(" ",50)),(((INDEX('CASE MASTER'!$Z$2:$Z$495,(SUMPRODUCT((('CASE MASTER'!$T$2:$T$495=6)*('CASE MASTER'!$AA$2:$AA$495&lt;=5)*('CASE MASTER'!$AC$2:$AC$495&gt;=5)*('CASE MASTER'!$AB$2:$AB$495&lt;=4)*('CASE MASTER'!$AD$2:$AD$495&gt;=4))*ROW('CASE MASTER'!$T$2:$T$495))-(ROW('CASE MASTER'!#REF!)-1)))+((5-INDEX('CASE MASTER'!$AA$2:$AA$495,(SUMPRODUCT((('CASE MASTER'!$T$2:$T$495=6)*('CASE MASTER'!$AA$2:$AA$495&lt;=5)*('CASE MASTER'!$AC$2:$AC$495&gt;=5)*('CASE MASTER'!$AB$2:$AB$495&lt;=4)*('CASE MASTER'!$AD$2:$AD$495&gt;=4))*ROW('CASE MASTER'!$T$2:$T$495))-(ROW('CASE MASTER'!#REF!)-1))))*(INDEX('CASE MASTER'!$AD$2:$AD$495,(SUMPRODUCT((('CASE MASTER'!$T$2:$T$495=6)*('CASE MASTER'!$AA$2:$AA$495&lt;=5)*('CASE MASTER'!$AC$2:$AC$495&gt;=5)*('CASE MASTER'!$AB$2:$AB$495&lt;=4)*('CASE MASTER'!$AD$2:$AD$495&gt;=4))*ROW('CASE MASTER'!$T$2:$T$495))-(ROW('CASE MASTER'!#REF!)-1)))-INDEX('CASE MASTER'!$AB$2:$AB$495,(SUMPRODUCT((('CASE MASTER'!$T$2:$T$495=6)*('CASE MASTER'!$AA$2:$AA$495&lt;=5)*('CASE MASTER'!$AC$2:$AC$495&gt;=5)*('CASE MASTER'!$AB$2:$AB$495&lt;=4)*('CASE MASTER'!$AD$2:$AD$495&gt;=4))*ROW('CASE MASTER'!$T$2:$T$495))-(ROW('CASE MASTER'!#REF!)-1)))+1)+(4-INDEX('CASE MASTER'!$AB$2:$AB$495,(SUMPRODUCT((('CASE MASTER'!$T$2:$T$495=6)*('CASE MASTER'!$AA$2:$AA$495&lt;=5)*('CASE MASTER'!$AC$2:$AC$495&gt;=5)*('CASE MASTER'!$AB$2:$AB$495&lt;=4)*('CASE MASTER'!$AD$2:$AD$495&gt;=4))*ROW('CASE MASTER'!$T$2:$T$495))-(ROW('CASE MASTER'!#REF!)-1))))+1)))-1)*50+1,50))&amp;"_"&amp;INDEX('CASE MASTER'!$Q$2:$Q$495,(SUMPRODUCT((('CASE MASTER'!$T$2:$T$495=6)*('CASE MASTER'!$AA$2:$AA$495&lt;=5)*('CASE MASTER'!$AC$2:$AC$495&gt;=5)*('CASE MASTER'!$AB$2:$AB$495&lt;=4)*('CASE MASTER'!$AD$2:$AD$495&gt;=4))*ROW('CASE MASTER'!$T$2:$T$495))-(ROW('CASE MASTER'!#REF!)-1))),"")),"")</f>
        <v/>
      </c>
      <c r="F77" s="10" t="str">
        <f>IFERROR(IF(SUMPRODUCT((('CASE MASTER'!$T$2:$T$495=6)*('CASE MASTER'!$U$2:$U$495&lt;=5)*('CASE MASTER'!$W$2:$W$495&gt;=5)*('CASE MASTER'!$V$2:$V$495&lt;=5)*('CASE MASTER'!$X$2:$X$495&gt;=5))*ROW('CASE MASTER'!$T$2:$T$495))&gt;0,INDEX('CASE MASTER'!$Y$2:$Y$495,(SUMPRODUCT((('CASE MASTER'!$T$2:$T$495=6)*('CASE MASTER'!$U$2:$U$495&lt;=5)*('CASE MASTER'!$W$2:$W$495&gt;=5)*('CASE MASTER'!$V$2:$V$495&lt;=5)*('CASE MASTER'!$X$2:$X$495&gt;=5))*ROW('CASE MASTER'!$T$2:$T$495))-(ROW('CASE MASTER'!#REF!)-1)))&amp;TRIM(MID(SUBSTITUTE(SUBSTITUTE(INDEX('CASE MASTER'!$N$2:$N$495,(SUMPRODUCT((('CASE MASTER'!$T$2:$T$495=6)*('CASE MASTER'!$U$2:$U$495&lt;=5)*('CASE MASTER'!$W$2:$W$495&gt;=5)*('CASE MASTER'!$V$2:$V$495&lt;=5)*('CASE MASTER'!$X$2:$X$495&gt;=5))*ROW('CASE MASTER'!$T$2:$T$495))-(ROW('CASE MASTER'!#REF!)-1))),":",","),",",REPT(" ",50)),((((5-INDEX('CASE MASTER'!$U$2:$U$495,(SUMPRODUCT((('CASE MASTER'!$T$2:$T$495=6)*('CASE MASTER'!$U$2:$U$495&lt;=5)*('CASE MASTER'!$W$2:$W$495&gt;=5)*('CASE MASTER'!$V$2:$V$495&lt;=5)*('CASE MASTER'!$X$2:$X$495&gt;=5))*ROW('CASE MASTER'!$T$2:$T$495))-(ROW('CASE MASTER'!#REF!)-1))))*(INDEX('CASE MASTER'!$X$2:$X$495,(SUMPRODUCT((('CASE MASTER'!$T$2:$T$495=6)*('CASE MASTER'!$U$2:$U$495&lt;=5)*('CASE MASTER'!$W$2:$W$495&gt;=5)*('CASE MASTER'!$V$2:$V$495&lt;=5)*('CASE MASTER'!$X$2:$X$495&gt;=5))*ROW('CASE MASTER'!$T$2:$T$495))-(ROW('CASE MASTER'!#REF!)-1)))-INDEX('CASE MASTER'!$V$2:$V$495,(SUMPRODUCT((('CASE MASTER'!$T$2:$T$495=6)*('CASE MASTER'!$U$2:$U$495&lt;=5)*('CASE MASTER'!$W$2:$W$495&gt;=5)*('CASE MASTER'!$V$2:$V$495&lt;=5)*('CASE MASTER'!$X$2:$X$495&gt;=5))*ROW('CASE MASTER'!$T$2:$T$495))-(ROW('CASE MASTER'!#REF!)-1)))+1)+(5-INDEX('CASE MASTER'!$V$2:$V$495,(SUMPRODUCT((('CASE MASTER'!$T$2:$T$495=6)*('CASE MASTER'!$U$2:$U$495&lt;=5)*('CASE MASTER'!$W$2:$W$495&gt;=5)*('CASE MASTER'!$V$2:$V$495&lt;=5)*('CASE MASTER'!$X$2:$X$495&gt;=5))*ROW('CASE MASTER'!$T$2:$T$495))-(ROW('CASE MASTER'!#REF!)-1))))+1))-1)*50+1,50))&amp;"_"&amp;INDEX('CASE MASTER'!$Q$2:$Q$495,(SUMPRODUCT((('CASE MASTER'!$T$2:$T$495=6)*('CASE MASTER'!$U$2:$U$495&lt;=5)*('CASE MASTER'!$W$2:$W$495&gt;=5)*('CASE MASTER'!$V$2:$V$495&lt;=5)*('CASE MASTER'!$X$2:$X$495&gt;=5))*ROW('CASE MASTER'!$T$2:$T$495))-(ROW('CASE MASTER'!#REF!)-1))),IF(SUMPRODUCT((('CASE MASTER'!$T$2:$T$495=6)*('CASE MASTER'!$AA$2:$AA$495&lt;=5)*('CASE MASTER'!$AC$2:$AC$495&gt;=5)*('CASE MASTER'!$AB$2:$AB$495&lt;=5)*('CASE MASTER'!$AD$2:$AD$495&gt;=5))*ROW('CASE MASTER'!$T$2:$T$495))&gt;0,INDEX('CASE MASTER'!$Y$2:$Y$495,(SUMPRODUCT((('CASE MASTER'!$T$2:$T$495=6)*('CASE MASTER'!$AA$2:$AA$495&lt;=5)*('CASE MASTER'!$AC$2:$AC$495&gt;=5)*('CASE MASTER'!$AB$2:$AB$495&lt;=5)*('CASE MASTER'!$AD$2:$AD$495&gt;=5))*ROW('CASE MASTER'!$T$2:$T$495))-(ROW('CASE MASTER'!#REF!)-1)))&amp;TRIM(MID(SUBSTITUTE(SUBSTITUTE(INDEX('CASE MASTER'!$N$2:$N$495,(SUMPRODUCT((('CASE MASTER'!$T$2:$T$495=6)*('CASE MASTER'!$AA$2:$AA$495&lt;=5)*('CASE MASTER'!$AC$2:$AC$495&gt;=5)*('CASE MASTER'!$AB$2:$AB$495&lt;=5)*('CASE MASTER'!$AD$2:$AD$495&gt;=5))*ROW('CASE MASTER'!$T$2:$T$495))-(ROW('CASE MASTER'!#REF!)-1))),":",","),",",REPT(" ",50)),(((INDEX('CASE MASTER'!$Z$2:$Z$495,(SUMPRODUCT((('CASE MASTER'!$T$2:$T$495=6)*('CASE MASTER'!$AA$2:$AA$495&lt;=5)*('CASE MASTER'!$AC$2:$AC$495&gt;=5)*('CASE MASTER'!$AB$2:$AB$495&lt;=5)*('CASE MASTER'!$AD$2:$AD$495&gt;=5))*ROW('CASE MASTER'!$T$2:$T$495))-(ROW('CASE MASTER'!#REF!)-1)))+((5-INDEX('CASE MASTER'!$AA$2:$AA$495,(SUMPRODUCT((('CASE MASTER'!$T$2:$T$495=6)*('CASE MASTER'!$AA$2:$AA$495&lt;=5)*('CASE MASTER'!$AC$2:$AC$495&gt;=5)*('CASE MASTER'!$AB$2:$AB$495&lt;=5)*('CASE MASTER'!$AD$2:$AD$495&gt;=5))*ROW('CASE MASTER'!$T$2:$T$495))-(ROW('CASE MASTER'!#REF!)-1))))*(INDEX('CASE MASTER'!$AD$2:$AD$495,(SUMPRODUCT((('CASE MASTER'!$T$2:$T$495=6)*('CASE MASTER'!$AA$2:$AA$495&lt;=5)*('CASE MASTER'!$AC$2:$AC$495&gt;=5)*('CASE MASTER'!$AB$2:$AB$495&lt;=5)*('CASE MASTER'!$AD$2:$AD$495&gt;=5))*ROW('CASE MASTER'!$T$2:$T$495))-(ROW('CASE MASTER'!#REF!)-1)))-INDEX('CASE MASTER'!$AB$2:$AB$495,(SUMPRODUCT((('CASE MASTER'!$T$2:$T$495=6)*('CASE MASTER'!$AA$2:$AA$495&lt;=5)*('CASE MASTER'!$AC$2:$AC$495&gt;=5)*('CASE MASTER'!$AB$2:$AB$495&lt;=5)*('CASE MASTER'!$AD$2:$AD$495&gt;=5))*ROW('CASE MASTER'!$T$2:$T$495))-(ROW('CASE MASTER'!#REF!)-1)))+1)+(5-INDEX('CASE MASTER'!$AB$2:$AB$495,(SUMPRODUCT((('CASE MASTER'!$T$2:$T$495=6)*('CASE MASTER'!$AA$2:$AA$495&lt;=5)*('CASE MASTER'!$AC$2:$AC$495&gt;=5)*('CASE MASTER'!$AB$2:$AB$495&lt;=5)*('CASE MASTER'!$AD$2:$AD$495&gt;=5))*ROW('CASE MASTER'!$T$2:$T$495))-(ROW('CASE MASTER'!#REF!)-1))))+1)))-1)*50+1,50))&amp;"_"&amp;INDEX('CASE MASTER'!$Q$2:$Q$495,(SUMPRODUCT((('CASE MASTER'!$T$2:$T$495=6)*('CASE MASTER'!$AA$2:$AA$495&lt;=5)*('CASE MASTER'!$AC$2:$AC$495&gt;=5)*('CASE MASTER'!$AB$2:$AB$495&lt;=5)*('CASE MASTER'!$AD$2:$AD$495&gt;=5))*ROW('CASE MASTER'!$T$2:$T$495))-(ROW('CASE MASTER'!#REF!)-1))),"")),"")</f>
        <v/>
      </c>
      <c r="G77" s="10" t="str">
        <f>IFERROR(IF(SUMPRODUCT((('CASE MASTER'!$T$2:$T$495=6)*('CASE MASTER'!$U$2:$U$495&lt;=5)*('CASE MASTER'!$W$2:$W$495&gt;=5)*('CASE MASTER'!$V$2:$V$495&lt;=6)*('CASE MASTER'!$X$2:$X$495&gt;=6))*ROW('CASE MASTER'!$T$2:$T$495))&gt;0,INDEX('CASE MASTER'!$Y$2:$Y$495,(SUMPRODUCT((('CASE MASTER'!$T$2:$T$495=6)*('CASE MASTER'!$U$2:$U$495&lt;=5)*('CASE MASTER'!$W$2:$W$495&gt;=5)*('CASE MASTER'!$V$2:$V$495&lt;=6)*('CASE MASTER'!$X$2:$X$495&gt;=6))*ROW('CASE MASTER'!$T$2:$T$495))-(ROW('CASE MASTER'!#REF!)-1)))&amp;TRIM(MID(SUBSTITUTE(SUBSTITUTE(INDEX('CASE MASTER'!$N$2:$N$495,(SUMPRODUCT((('CASE MASTER'!$T$2:$T$495=6)*('CASE MASTER'!$U$2:$U$495&lt;=5)*('CASE MASTER'!$W$2:$W$495&gt;=5)*('CASE MASTER'!$V$2:$V$495&lt;=6)*('CASE MASTER'!$X$2:$X$495&gt;=6))*ROW('CASE MASTER'!$T$2:$T$495))-(ROW('CASE MASTER'!#REF!)-1))),":",","),",",REPT(" ",50)),((((5-INDEX('CASE MASTER'!$U$2:$U$495,(SUMPRODUCT((('CASE MASTER'!$T$2:$T$495=6)*('CASE MASTER'!$U$2:$U$495&lt;=5)*('CASE MASTER'!$W$2:$W$495&gt;=5)*('CASE MASTER'!$V$2:$V$495&lt;=6)*('CASE MASTER'!$X$2:$X$495&gt;=6))*ROW('CASE MASTER'!$T$2:$T$495))-(ROW('CASE MASTER'!#REF!)-1))))*(INDEX('CASE MASTER'!$X$2:$X$495,(SUMPRODUCT((('CASE MASTER'!$T$2:$T$495=6)*('CASE MASTER'!$U$2:$U$495&lt;=5)*('CASE MASTER'!$W$2:$W$495&gt;=5)*('CASE MASTER'!$V$2:$V$495&lt;=6)*('CASE MASTER'!$X$2:$X$495&gt;=6))*ROW('CASE MASTER'!$T$2:$T$495))-(ROW('CASE MASTER'!#REF!)-1)))-INDEX('CASE MASTER'!$V$2:$V$495,(SUMPRODUCT((('CASE MASTER'!$T$2:$T$495=6)*('CASE MASTER'!$U$2:$U$495&lt;=5)*('CASE MASTER'!$W$2:$W$495&gt;=5)*('CASE MASTER'!$V$2:$V$495&lt;=6)*('CASE MASTER'!$X$2:$X$495&gt;=6))*ROW('CASE MASTER'!$T$2:$T$495))-(ROW('CASE MASTER'!#REF!)-1)))+1)+(6-INDEX('CASE MASTER'!$V$2:$V$495,(SUMPRODUCT((('CASE MASTER'!$T$2:$T$495=6)*('CASE MASTER'!$U$2:$U$495&lt;=5)*('CASE MASTER'!$W$2:$W$495&gt;=5)*('CASE MASTER'!$V$2:$V$495&lt;=6)*('CASE MASTER'!$X$2:$X$495&gt;=6))*ROW('CASE MASTER'!$T$2:$T$495))-(ROW('CASE MASTER'!#REF!)-1))))+1))-1)*50+1,50))&amp;"_"&amp;INDEX('CASE MASTER'!$Q$2:$Q$495,(SUMPRODUCT((('CASE MASTER'!$T$2:$T$495=6)*('CASE MASTER'!$U$2:$U$495&lt;=5)*('CASE MASTER'!$W$2:$W$495&gt;=5)*('CASE MASTER'!$V$2:$V$495&lt;=6)*('CASE MASTER'!$X$2:$X$495&gt;=6))*ROW('CASE MASTER'!$T$2:$T$495))-(ROW('CASE MASTER'!#REF!)-1))),IF(SUMPRODUCT((('CASE MASTER'!$T$2:$T$495=6)*('CASE MASTER'!$AA$2:$AA$495&lt;=5)*('CASE MASTER'!$AC$2:$AC$495&gt;=5)*('CASE MASTER'!$AB$2:$AB$495&lt;=6)*('CASE MASTER'!$AD$2:$AD$495&gt;=6))*ROW('CASE MASTER'!$T$2:$T$495))&gt;0,INDEX('CASE MASTER'!$Y$2:$Y$495,(SUMPRODUCT((('CASE MASTER'!$T$2:$T$495=6)*('CASE MASTER'!$AA$2:$AA$495&lt;=5)*('CASE MASTER'!$AC$2:$AC$495&gt;=5)*('CASE MASTER'!$AB$2:$AB$495&lt;=6)*('CASE MASTER'!$AD$2:$AD$495&gt;=6))*ROW('CASE MASTER'!$T$2:$T$495))-(ROW('CASE MASTER'!#REF!)-1)))&amp;TRIM(MID(SUBSTITUTE(SUBSTITUTE(INDEX('CASE MASTER'!$N$2:$N$495,(SUMPRODUCT((('CASE MASTER'!$T$2:$T$495=6)*('CASE MASTER'!$AA$2:$AA$495&lt;=5)*('CASE MASTER'!$AC$2:$AC$495&gt;=5)*('CASE MASTER'!$AB$2:$AB$495&lt;=6)*('CASE MASTER'!$AD$2:$AD$495&gt;=6))*ROW('CASE MASTER'!$T$2:$T$495))-(ROW('CASE MASTER'!#REF!)-1))),":",","),",",REPT(" ",50)),(((INDEX('CASE MASTER'!$Z$2:$Z$495,(SUMPRODUCT((('CASE MASTER'!$T$2:$T$495=6)*('CASE MASTER'!$AA$2:$AA$495&lt;=5)*('CASE MASTER'!$AC$2:$AC$495&gt;=5)*('CASE MASTER'!$AB$2:$AB$495&lt;=6)*('CASE MASTER'!$AD$2:$AD$495&gt;=6))*ROW('CASE MASTER'!$T$2:$T$495))-(ROW('CASE MASTER'!#REF!)-1)))+((5-INDEX('CASE MASTER'!$AA$2:$AA$495,(SUMPRODUCT((('CASE MASTER'!$T$2:$T$495=6)*('CASE MASTER'!$AA$2:$AA$495&lt;=5)*('CASE MASTER'!$AC$2:$AC$495&gt;=5)*('CASE MASTER'!$AB$2:$AB$495&lt;=6)*('CASE MASTER'!$AD$2:$AD$495&gt;=6))*ROW('CASE MASTER'!$T$2:$T$495))-(ROW('CASE MASTER'!#REF!)-1))))*(INDEX('CASE MASTER'!$AD$2:$AD$495,(SUMPRODUCT((('CASE MASTER'!$T$2:$T$495=6)*('CASE MASTER'!$AA$2:$AA$495&lt;=5)*('CASE MASTER'!$AC$2:$AC$495&gt;=5)*('CASE MASTER'!$AB$2:$AB$495&lt;=6)*('CASE MASTER'!$AD$2:$AD$495&gt;=6))*ROW('CASE MASTER'!$T$2:$T$495))-(ROW('CASE MASTER'!#REF!)-1)))-INDEX('CASE MASTER'!$AB$2:$AB$495,(SUMPRODUCT((('CASE MASTER'!$T$2:$T$495=6)*('CASE MASTER'!$AA$2:$AA$495&lt;=5)*('CASE MASTER'!$AC$2:$AC$495&gt;=5)*('CASE MASTER'!$AB$2:$AB$495&lt;=6)*('CASE MASTER'!$AD$2:$AD$495&gt;=6))*ROW('CASE MASTER'!$T$2:$T$495))-(ROW('CASE MASTER'!#REF!)-1)))+1)+(6-INDEX('CASE MASTER'!$AB$2:$AB$495,(SUMPRODUCT((('CASE MASTER'!$T$2:$T$495=6)*('CASE MASTER'!$AA$2:$AA$495&lt;=5)*('CASE MASTER'!$AC$2:$AC$495&gt;=5)*('CASE MASTER'!$AB$2:$AB$495&lt;=6)*('CASE MASTER'!$AD$2:$AD$495&gt;=6))*ROW('CASE MASTER'!$T$2:$T$495))-(ROW('CASE MASTER'!#REF!)-1))))+1)))-1)*50+1,50))&amp;"_"&amp;INDEX('CASE MASTER'!$Q$2:$Q$495,(SUMPRODUCT((('CASE MASTER'!$T$2:$T$495=6)*('CASE MASTER'!$AA$2:$AA$495&lt;=5)*('CASE MASTER'!$AC$2:$AC$495&gt;=5)*('CASE MASTER'!$AB$2:$AB$495&lt;=6)*('CASE MASTER'!$AD$2:$AD$495&gt;=6))*ROW('CASE MASTER'!$T$2:$T$495))-(ROW('CASE MASTER'!#REF!)-1))),"")),"")</f>
        <v/>
      </c>
      <c r="H77" s="10" t="str">
        <f>IFERROR(IF(SUMPRODUCT((('CASE MASTER'!$T$2:$T$495=6)*('CASE MASTER'!$U$2:$U$495&lt;=5)*('CASE MASTER'!$W$2:$W$495&gt;=5)*('CASE MASTER'!$V$2:$V$495&lt;=7)*('CASE MASTER'!$X$2:$X$495&gt;=7))*ROW('CASE MASTER'!$T$2:$T$495))&gt;0,INDEX('CASE MASTER'!$Y$2:$Y$495,(SUMPRODUCT((('CASE MASTER'!$T$2:$T$495=6)*('CASE MASTER'!$U$2:$U$495&lt;=5)*('CASE MASTER'!$W$2:$W$495&gt;=5)*('CASE MASTER'!$V$2:$V$495&lt;=7)*('CASE MASTER'!$X$2:$X$495&gt;=7))*ROW('CASE MASTER'!$T$2:$T$495))-(ROW('CASE MASTER'!#REF!)-1)))&amp;TRIM(MID(SUBSTITUTE(SUBSTITUTE(INDEX('CASE MASTER'!$N$2:$N$495,(SUMPRODUCT((('CASE MASTER'!$T$2:$T$495=6)*('CASE MASTER'!$U$2:$U$495&lt;=5)*('CASE MASTER'!$W$2:$W$495&gt;=5)*('CASE MASTER'!$V$2:$V$495&lt;=7)*('CASE MASTER'!$X$2:$X$495&gt;=7))*ROW('CASE MASTER'!$T$2:$T$495))-(ROW('CASE MASTER'!#REF!)-1))),":",","),",",REPT(" ",50)),((((5-INDEX('CASE MASTER'!$U$2:$U$495,(SUMPRODUCT((('CASE MASTER'!$T$2:$T$495=6)*('CASE MASTER'!$U$2:$U$495&lt;=5)*('CASE MASTER'!$W$2:$W$495&gt;=5)*('CASE MASTER'!$V$2:$V$495&lt;=7)*('CASE MASTER'!$X$2:$X$495&gt;=7))*ROW('CASE MASTER'!$T$2:$T$495))-(ROW('CASE MASTER'!#REF!)-1))))*(INDEX('CASE MASTER'!$X$2:$X$495,(SUMPRODUCT((('CASE MASTER'!$T$2:$T$495=6)*('CASE MASTER'!$U$2:$U$495&lt;=5)*('CASE MASTER'!$W$2:$W$495&gt;=5)*('CASE MASTER'!$V$2:$V$495&lt;=7)*('CASE MASTER'!$X$2:$X$495&gt;=7))*ROW('CASE MASTER'!$T$2:$T$495))-(ROW('CASE MASTER'!#REF!)-1)))-INDEX('CASE MASTER'!$V$2:$V$495,(SUMPRODUCT((('CASE MASTER'!$T$2:$T$495=6)*('CASE MASTER'!$U$2:$U$495&lt;=5)*('CASE MASTER'!$W$2:$W$495&gt;=5)*('CASE MASTER'!$V$2:$V$495&lt;=7)*('CASE MASTER'!$X$2:$X$495&gt;=7))*ROW('CASE MASTER'!$T$2:$T$495))-(ROW('CASE MASTER'!#REF!)-1)))+1)+(7-INDEX('CASE MASTER'!$V$2:$V$495,(SUMPRODUCT((('CASE MASTER'!$T$2:$T$495=6)*('CASE MASTER'!$U$2:$U$495&lt;=5)*('CASE MASTER'!$W$2:$W$495&gt;=5)*('CASE MASTER'!$V$2:$V$495&lt;=7)*('CASE MASTER'!$X$2:$X$495&gt;=7))*ROW('CASE MASTER'!$T$2:$T$495))-(ROW('CASE MASTER'!#REF!)-1))))+1))-1)*50+1,50))&amp;"_"&amp;INDEX('CASE MASTER'!$Q$2:$Q$495,(SUMPRODUCT((('CASE MASTER'!$T$2:$T$495=6)*('CASE MASTER'!$U$2:$U$495&lt;=5)*('CASE MASTER'!$W$2:$W$495&gt;=5)*('CASE MASTER'!$V$2:$V$495&lt;=7)*('CASE MASTER'!$X$2:$X$495&gt;=7))*ROW('CASE MASTER'!$T$2:$T$495))-(ROW('CASE MASTER'!#REF!)-1))),IF(SUMPRODUCT((('CASE MASTER'!$T$2:$T$495=6)*('CASE MASTER'!$AA$2:$AA$495&lt;=5)*('CASE MASTER'!$AC$2:$AC$495&gt;=5)*('CASE MASTER'!$AB$2:$AB$495&lt;=7)*('CASE MASTER'!$AD$2:$AD$495&gt;=7))*ROW('CASE MASTER'!$T$2:$T$495))&gt;0,INDEX('CASE MASTER'!$Y$2:$Y$495,(SUMPRODUCT((('CASE MASTER'!$T$2:$T$495=6)*('CASE MASTER'!$AA$2:$AA$495&lt;=5)*('CASE MASTER'!$AC$2:$AC$495&gt;=5)*('CASE MASTER'!$AB$2:$AB$495&lt;=7)*('CASE MASTER'!$AD$2:$AD$495&gt;=7))*ROW('CASE MASTER'!$T$2:$T$495))-(ROW('CASE MASTER'!#REF!)-1)))&amp;TRIM(MID(SUBSTITUTE(SUBSTITUTE(INDEX('CASE MASTER'!$N$2:$N$495,(SUMPRODUCT((('CASE MASTER'!$T$2:$T$495=6)*('CASE MASTER'!$AA$2:$AA$495&lt;=5)*('CASE MASTER'!$AC$2:$AC$495&gt;=5)*('CASE MASTER'!$AB$2:$AB$495&lt;=7)*('CASE MASTER'!$AD$2:$AD$495&gt;=7))*ROW('CASE MASTER'!$T$2:$T$495))-(ROW('CASE MASTER'!#REF!)-1))),":",","),",",REPT(" ",50)),(((INDEX('CASE MASTER'!$Z$2:$Z$495,(SUMPRODUCT((('CASE MASTER'!$T$2:$T$495=6)*('CASE MASTER'!$AA$2:$AA$495&lt;=5)*('CASE MASTER'!$AC$2:$AC$495&gt;=5)*('CASE MASTER'!$AB$2:$AB$495&lt;=7)*('CASE MASTER'!$AD$2:$AD$495&gt;=7))*ROW('CASE MASTER'!$T$2:$T$495))-(ROW('CASE MASTER'!#REF!)-1)))+((5-INDEX('CASE MASTER'!$AA$2:$AA$495,(SUMPRODUCT((('CASE MASTER'!$T$2:$T$495=6)*('CASE MASTER'!$AA$2:$AA$495&lt;=5)*('CASE MASTER'!$AC$2:$AC$495&gt;=5)*('CASE MASTER'!$AB$2:$AB$495&lt;=7)*('CASE MASTER'!$AD$2:$AD$495&gt;=7))*ROW('CASE MASTER'!$T$2:$T$495))-(ROW('CASE MASTER'!#REF!)-1))))*(INDEX('CASE MASTER'!$AD$2:$AD$495,(SUMPRODUCT((('CASE MASTER'!$T$2:$T$495=6)*('CASE MASTER'!$AA$2:$AA$495&lt;=5)*('CASE MASTER'!$AC$2:$AC$495&gt;=5)*('CASE MASTER'!$AB$2:$AB$495&lt;=7)*('CASE MASTER'!$AD$2:$AD$495&gt;=7))*ROW('CASE MASTER'!$T$2:$T$495))-(ROW('CASE MASTER'!#REF!)-1)))-INDEX('CASE MASTER'!$AB$2:$AB$495,(SUMPRODUCT((('CASE MASTER'!$T$2:$T$495=6)*('CASE MASTER'!$AA$2:$AA$495&lt;=5)*('CASE MASTER'!$AC$2:$AC$495&gt;=5)*('CASE MASTER'!$AB$2:$AB$495&lt;=7)*('CASE MASTER'!$AD$2:$AD$495&gt;=7))*ROW('CASE MASTER'!$T$2:$T$495))-(ROW('CASE MASTER'!#REF!)-1)))+1)+(7-INDEX('CASE MASTER'!$AB$2:$AB$495,(SUMPRODUCT((('CASE MASTER'!$T$2:$T$495=6)*('CASE MASTER'!$AA$2:$AA$495&lt;=5)*('CASE MASTER'!$AC$2:$AC$495&gt;=5)*('CASE MASTER'!$AB$2:$AB$495&lt;=7)*('CASE MASTER'!$AD$2:$AD$495&gt;=7))*ROW('CASE MASTER'!$T$2:$T$495))-(ROW('CASE MASTER'!#REF!)-1))))+1)))-1)*50+1,50))&amp;"_"&amp;INDEX('CASE MASTER'!$Q$2:$Q$495,(SUMPRODUCT((('CASE MASTER'!$T$2:$T$495=6)*('CASE MASTER'!$AA$2:$AA$495&lt;=5)*('CASE MASTER'!$AC$2:$AC$495&gt;=5)*('CASE MASTER'!$AB$2:$AB$495&lt;=7)*('CASE MASTER'!$AD$2:$AD$495&gt;=7))*ROW('CASE MASTER'!$T$2:$T$495))-(ROW('CASE MASTER'!#REF!)-1))),"")),"")</f>
        <v/>
      </c>
      <c r="I77" s="10" t="str">
        <f>IFERROR(IF(SUMPRODUCT((('CASE MASTER'!$T$2:$T$495=6)*('CASE MASTER'!$U$2:$U$495&lt;=5)*('CASE MASTER'!$W$2:$W$495&gt;=5)*('CASE MASTER'!$V$2:$V$495&lt;=8)*('CASE MASTER'!$X$2:$X$495&gt;=8))*ROW('CASE MASTER'!$T$2:$T$495))&gt;0,INDEX('CASE MASTER'!$Y$2:$Y$495,(SUMPRODUCT((('CASE MASTER'!$T$2:$T$495=6)*('CASE MASTER'!$U$2:$U$495&lt;=5)*('CASE MASTER'!$W$2:$W$495&gt;=5)*('CASE MASTER'!$V$2:$V$495&lt;=8)*('CASE MASTER'!$X$2:$X$495&gt;=8))*ROW('CASE MASTER'!$T$2:$T$495))-(ROW('CASE MASTER'!#REF!)-1)))&amp;TRIM(MID(SUBSTITUTE(SUBSTITUTE(INDEX('CASE MASTER'!$N$2:$N$495,(SUMPRODUCT((('CASE MASTER'!$T$2:$T$495=6)*('CASE MASTER'!$U$2:$U$495&lt;=5)*('CASE MASTER'!$W$2:$W$495&gt;=5)*('CASE MASTER'!$V$2:$V$495&lt;=8)*('CASE MASTER'!$X$2:$X$495&gt;=8))*ROW('CASE MASTER'!$T$2:$T$495))-(ROW('CASE MASTER'!#REF!)-1))),":",","),",",REPT(" ",50)),((((5-INDEX('CASE MASTER'!$U$2:$U$495,(SUMPRODUCT((('CASE MASTER'!$T$2:$T$495=6)*('CASE MASTER'!$U$2:$U$495&lt;=5)*('CASE MASTER'!$W$2:$W$495&gt;=5)*('CASE MASTER'!$V$2:$V$495&lt;=8)*('CASE MASTER'!$X$2:$X$495&gt;=8))*ROW('CASE MASTER'!$T$2:$T$495))-(ROW('CASE MASTER'!#REF!)-1))))*(INDEX('CASE MASTER'!$X$2:$X$495,(SUMPRODUCT((('CASE MASTER'!$T$2:$T$495=6)*('CASE MASTER'!$U$2:$U$495&lt;=5)*('CASE MASTER'!$W$2:$W$495&gt;=5)*('CASE MASTER'!$V$2:$V$495&lt;=8)*('CASE MASTER'!$X$2:$X$495&gt;=8))*ROW('CASE MASTER'!$T$2:$T$495))-(ROW('CASE MASTER'!#REF!)-1)))-INDEX('CASE MASTER'!$V$2:$V$495,(SUMPRODUCT((('CASE MASTER'!$T$2:$T$495=6)*('CASE MASTER'!$U$2:$U$495&lt;=5)*('CASE MASTER'!$W$2:$W$495&gt;=5)*('CASE MASTER'!$V$2:$V$495&lt;=8)*('CASE MASTER'!$X$2:$X$495&gt;=8))*ROW('CASE MASTER'!$T$2:$T$495))-(ROW('CASE MASTER'!#REF!)-1)))+1)+(8-INDEX('CASE MASTER'!$V$2:$V$495,(SUMPRODUCT((('CASE MASTER'!$T$2:$T$495=6)*('CASE MASTER'!$U$2:$U$495&lt;=5)*('CASE MASTER'!$W$2:$W$495&gt;=5)*('CASE MASTER'!$V$2:$V$495&lt;=8)*('CASE MASTER'!$X$2:$X$495&gt;=8))*ROW('CASE MASTER'!$T$2:$T$495))-(ROW('CASE MASTER'!#REF!)-1))))+1))-1)*50+1,50))&amp;"_"&amp;INDEX('CASE MASTER'!$Q$2:$Q$495,(SUMPRODUCT((('CASE MASTER'!$T$2:$T$495=6)*('CASE MASTER'!$U$2:$U$495&lt;=5)*('CASE MASTER'!$W$2:$W$495&gt;=5)*('CASE MASTER'!$V$2:$V$495&lt;=8)*('CASE MASTER'!$X$2:$X$495&gt;=8))*ROW('CASE MASTER'!$T$2:$T$495))-(ROW('CASE MASTER'!#REF!)-1))),IF(SUMPRODUCT((('CASE MASTER'!$T$2:$T$495=6)*('CASE MASTER'!$AA$2:$AA$495&lt;=5)*('CASE MASTER'!$AC$2:$AC$495&gt;=5)*('CASE MASTER'!$AB$2:$AB$495&lt;=8)*('CASE MASTER'!$AD$2:$AD$495&gt;=8))*ROW('CASE MASTER'!$T$2:$T$495))&gt;0,INDEX('CASE MASTER'!$Y$2:$Y$495,(SUMPRODUCT((('CASE MASTER'!$T$2:$T$495=6)*('CASE MASTER'!$AA$2:$AA$495&lt;=5)*('CASE MASTER'!$AC$2:$AC$495&gt;=5)*('CASE MASTER'!$AB$2:$AB$495&lt;=8)*('CASE MASTER'!$AD$2:$AD$495&gt;=8))*ROW('CASE MASTER'!$T$2:$T$495))-(ROW('CASE MASTER'!#REF!)-1)))&amp;TRIM(MID(SUBSTITUTE(SUBSTITUTE(INDEX('CASE MASTER'!$N$2:$N$495,(SUMPRODUCT((('CASE MASTER'!$T$2:$T$495=6)*('CASE MASTER'!$AA$2:$AA$495&lt;=5)*('CASE MASTER'!$AC$2:$AC$495&gt;=5)*('CASE MASTER'!$AB$2:$AB$495&lt;=8)*('CASE MASTER'!$AD$2:$AD$495&gt;=8))*ROW('CASE MASTER'!$T$2:$T$495))-(ROW('CASE MASTER'!#REF!)-1))),":",","),",",REPT(" ",50)),(((INDEX('CASE MASTER'!$Z$2:$Z$495,(SUMPRODUCT((('CASE MASTER'!$T$2:$T$495=6)*('CASE MASTER'!$AA$2:$AA$495&lt;=5)*('CASE MASTER'!$AC$2:$AC$495&gt;=5)*('CASE MASTER'!$AB$2:$AB$495&lt;=8)*('CASE MASTER'!$AD$2:$AD$495&gt;=8))*ROW('CASE MASTER'!$T$2:$T$495))-(ROW('CASE MASTER'!#REF!)-1)))+((5-INDEX('CASE MASTER'!$AA$2:$AA$495,(SUMPRODUCT((('CASE MASTER'!$T$2:$T$495=6)*('CASE MASTER'!$AA$2:$AA$495&lt;=5)*('CASE MASTER'!$AC$2:$AC$495&gt;=5)*('CASE MASTER'!$AB$2:$AB$495&lt;=8)*('CASE MASTER'!$AD$2:$AD$495&gt;=8))*ROW('CASE MASTER'!$T$2:$T$495))-(ROW('CASE MASTER'!#REF!)-1))))*(INDEX('CASE MASTER'!$AD$2:$AD$495,(SUMPRODUCT((('CASE MASTER'!$T$2:$T$495=6)*('CASE MASTER'!$AA$2:$AA$495&lt;=5)*('CASE MASTER'!$AC$2:$AC$495&gt;=5)*('CASE MASTER'!$AB$2:$AB$495&lt;=8)*('CASE MASTER'!$AD$2:$AD$495&gt;=8))*ROW('CASE MASTER'!$T$2:$T$495))-(ROW('CASE MASTER'!#REF!)-1)))-INDEX('CASE MASTER'!$AB$2:$AB$495,(SUMPRODUCT((('CASE MASTER'!$T$2:$T$495=6)*('CASE MASTER'!$AA$2:$AA$495&lt;=5)*('CASE MASTER'!$AC$2:$AC$495&gt;=5)*('CASE MASTER'!$AB$2:$AB$495&lt;=8)*('CASE MASTER'!$AD$2:$AD$495&gt;=8))*ROW('CASE MASTER'!$T$2:$T$495))-(ROW('CASE MASTER'!#REF!)-1)))+1)+(8-INDEX('CASE MASTER'!$AB$2:$AB$495,(SUMPRODUCT((('CASE MASTER'!$T$2:$T$495=6)*('CASE MASTER'!$AA$2:$AA$495&lt;=5)*('CASE MASTER'!$AC$2:$AC$495&gt;=5)*('CASE MASTER'!$AB$2:$AB$495&lt;=8)*('CASE MASTER'!$AD$2:$AD$495&gt;=8))*ROW('CASE MASTER'!$T$2:$T$495))-(ROW('CASE MASTER'!#REF!)-1))))+1)))-1)*50+1,50))&amp;"_"&amp;INDEX('CASE MASTER'!$Q$2:$Q$495,(SUMPRODUCT((('CASE MASTER'!$T$2:$T$495=6)*('CASE MASTER'!$AA$2:$AA$495&lt;=5)*('CASE MASTER'!$AC$2:$AC$495&gt;=5)*('CASE MASTER'!$AB$2:$AB$495&lt;=8)*('CASE MASTER'!$AD$2:$AD$495&gt;=8))*ROW('CASE MASTER'!$T$2:$T$495))-(ROW('CASE MASTER'!#REF!)-1))),"")),"")</f>
        <v/>
      </c>
      <c r="J77" s="10" t="str">
        <f>IFERROR(IF(SUMPRODUCT((('CASE MASTER'!$T$2:$T$495=6)*('CASE MASTER'!$U$2:$U$495&lt;=5)*('CASE MASTER'!$W$2:$W$495&gt;=5)*('CASE MASTER'!$V$2:$V$495&lt;=9)*('CASE MASTER'!$X$2:$X$495&gt;=9))*ROW('CASE MASTER'!$T$2:$T$495))&gt;0,INDEX('CASE MASTER'!$Y$2:$Y$495,(SUMPRODUCT((('CASE MASTER'!$T$2:$T$495=6)*('CASE MASTER'!$U$2:$U$495&lt;=5)*('CASE MASTER'!$W$2:$W$495&gt;=5)*('CASE MASTER'!$V$2:$V$495&lt;=9)*('CASE MASTER'!$X$2:$X$495&gt;=9))*ROW('CASE MASTER'!$T$2:$T$495))-(ROW('CASE MASTER'!#REF!)-1)))&amp;TRIM(MID(SUBSTITUTE(SUBSTITUTE(INDEX('CASE MASTER'!$N$2:$N$495,(SUMPRODUCT((('CASE MASTER'!$T$2:$T$495=6)*('CASE MASTER'!$U$2:$U$495&lt;=5)*('CASE MASTER'!$W$2:$W$495&gt;=5)*('CASE MASTER'!$V$2:$V$495&lt;=9)*('CASE MASTER'!$X$2:$X$495&gt;=9))*ROW('CASE MASTER'!$T$2:$T$495))-(ROW('CASE MASTER'!#REF!)-1))),":",","),",",REPT(" ",50)),((((5-INDEX('CASE MASTER'!$U$2:$U$495,(SUMPRODUCT((('CASE MASTER'!$T$2:$T$495=6)*('CASE MASTER'!$U$2:$U$495&lt;=5)*('CASE MASTER'!$W$2:$W$495&gt;=5)*('CASE MASTER'!$V$2:$V$495&lt;=9)*('CASE MASTER'!$X$2:$X$495&gt;=9))*ROW('CASE MASTER'!$T$2:$T$495))-(ROW('CASE MASTER'!#REF!)-1))))*(INDEX('CASE MASTER'!$X$2:$X$495,(SUMPRODUCT((('CASE MASTER'!$T$2:$T$495=6)*('CASE MASTER'!$U$2:$U$495&lt;=5)*('CASE MASTER'!$W$2:$W$495&gt;=5)*('CASE MASTER'!$V$2:$V$495&lt;=9)*('CASE MASTER'!$X$2:$X$495&gt;=9))*ROW('CASE MASTER'!$T$2:$T$495))-(ROW('CASE MASTER'!#REF!)-1)))-INDEX('CASE MASTER'!$V$2:$V$495,(SUMPRODUCT((('CASE MASTER'!$T$2:$T$495=6)*('CASE MASTER'!$U$2:$U$495&lt;=5)*('CASE MASTER'!$W$2:$W$495&gt;=5)*('CASE MASTER'!$V$2:$V$495&lt;=9)*('CASE MASTER'!$X$2:$X$495&gt;=9))*ROW('CASE MASTER'!$T$2:$T$495))-(ROW('CASE MASTER'!#REF!)-1)))+1)+(9-INDEX('CASE MASTER'!$V$2:$V$495,(SUMPRODUCT((('CASE MASTER'!$T$2:$T$495=6)*('CASE MASTER'!$U$2:$U$495&lt;=5)*('CASE MASTER'!$W$2:$W$495&gt;=5)*('CASE MASTER'!$V$2:$V$495&lt;=9)*('CASE MASTER'!$X$2:$X$495&gt;=9))*ROW('CASE MASTER'!$T$2:$T$495))-(ROW('CASE MASTER'!#REF!)-1))))+1))-1)*50+1,50))&amp;"_"&amp;INDEX('CASE MASTER'!$Q$2:$Q$495,(SUMPRODUCT((('CASE MASTER'!$T$2:$T$495=6)*('CASE MASTER'!$U$2:$U$495&lt;=5)*('CASE MASTER'!$W$2:$W$495&gt;=5)*('CASE MASTER'!$V$2:$V$495&lt;=9)*('CASE MASTER'!$X$2:$X$495&gt;=9))*ROW('CASE MASTER'!$T$2:$T$495))-(ROW('CASE MASTER'!#REF!)-1))),IF(SUMPRODUCT((('CASE MASTER'!$T$2:$T$495=6)*('CASE MASTER'!$AA$2:$AA$495&lt;=5)*('CASE MASTER'!$AC$2:$AC$495&gt;=5)*('CASE MASTER'!$AB$2:$AB$495&lt;=9)*('CASE MASTER'!$AD$2:$AD$495&gt;=9))*ROW('CASE MASTER'!$T$2:$T$495))&gt;0,INDEX('CASE MASTER'!$Y$2:$Y$495,(SUMPRODUCT((('CASE MASTER'!$T$2:$T$495=6)*('CASE MASTER'!$AA$2:$AA$495&lt;=5)*('CASE MASTER'!$AC$2:$AC$495&gt;=5)*('CASE MASTER'!$AB$2:$AB$495&lt;=9)*('CASE MASTER'!$AD$2:$AD$495&gt;=9))*ROW('CASE MASTER'!$T$2:$T$495))-(ROW('CASE MASTER'!#REF!)-1)))&amp;TRIM(MID(SUBSTITUTE(SUBSTITUTE(INDEX('CASE MASTER'!$N$2:$N$495,(SUMPRODUCT((('CASE MASTER'!$T$2:$T$495=6)*('CASE MASTER'!$AA$2:$AA$495&lt;=5)*('CASE MASTER'!$AC$2:$AC$495&gt;=5)*('CASE MASTER'!$AB$2:$AB$495&lt;=9)*('CASE MASTER'!$AD$2:$AD$495&gt;=9))*ROW('CASE MASTER'!$T$2:$T$495))-(ROW('CASE MASTER'!#REF!)-1))),":",","),",",REPT(" ",50)),(((INDEX('CASE MASTER'!$Z$2:$Z$495,(SUMPRODUCT((('CASE MASTER'!$T$2:$T$495=6)*('CASE MASTER'!$AA$2:$AA$495&lt;=5)*('CASE MASTER'!$AC$2:$AC$495&gt;=5)*('CASE MASTER'!$AB$2:$AB$495&lt;=9)*('CASE MASTER'!$AD$2:$AD$495&gt;=9))*ROW('CASE MASTER'!$T$2:$T$495))-(ROW('CASE MASTER'!#REF!)-1)))+((5-INDEX('CASE MASTER'!$AA$2:$AA$495,(SUMPRODUCT((('CASE MASTER'!$T$2:$T$495=6)*('CASE MASTER'!$AA$2:$AA$495&lt;=5)*('CASE MASTER'!$AC$2:$AC$495&gt;=5)*('CASE MASTER'!$AB$2:$AB$495&lt;=9)*('CASE MASTER'!$AD$2:$AD$495&gt;=9))*ROW('CASE MASTER'!$T$2:$T$495))-(ROW('CASE MASTER'!#REF!)-1))))*(INDEX('CASE MASTER'!$AD$2:$AD$495,(SUMPRODUCT((('CASE MASTER'!$T$2:$T$495=6)*('CASE MASTER'!$AA$2:$AA$495&lt;=5)*('CASE MASTER'!$AC$2:$AC$495&gt;=5)*('CASE MASTER'!$AB$2:$AB$495&lt;=9)*('CASE MASTER'!$AD$2:$AD$495&gt;=9))*ROW('CASE MASTER'!$T$2:$T$495))-(ROW('CASE MASTER'!#REF!)-1)))-INDEX('CASE MASTER'!$AB$2:$AB$495,(SUMPRODUCT((('CASE MASTER'!$T$2:$T$495=6)*('CASE MASTER'!$AA$2:$AA$495&lt;=5)*('CASE MASTER'!$AC$2:$AC$495&gt;=5)*('CASE MASTER'!$AB$2:$AB$495&lt;=9)*('CASE MASTER'!$AD$2:$AD$495&gt;=9))*ROW('CASE MASTER'!$T$2:$T$495))-(ROW('CASE MASTER'!#REF!)-1)))+1)+(9-INDEX('CASE MASTER'!$AB$2:$AB$495,(SUMPRODUCT((('CASE MASTER'!$T$2:$T$495=6)*('CASE MASTER'!$AA$2:$AA$495&lt;=5)*('CASE MASTER'!$AC$2:$AC$495&gt;=5)*('CASE MASTER'!$AB$2:$AB$495&lt;=9)*('CASE MASTER'!$AD$2:$AD$495&gt;=9))*ROW('CASE MASTER'!$T$2:$T$495))-(ROW('CASE MASTER'!#REF!)-1))))+1)))-1)*50+1,50))&amp;"_"&amp;INDEX('CASE MASTER'!$Q$2:$Q$495,(SUMPRODUCT((('CASE MASTER'!$T$2:$T$495=6)*('CASE MASTER'!$AA$2:$AA$495&lt;=5)*('CASE MASTER'!$AC$2:$AC$495&gt;=5)*('CASE MASTER'!$AB$2:$AB$495&lt;=9)*('CASE MASTER'!$AD$2:$AD$495&gt;=9))*ROW('CASE MASTER'!$T$2:$T$495))-(ROW('CASE MASTER'!#REF!)-1))),"")),"")</f>
        <v/>
      </c>
      <c r="K77" s="10" t="str">
        <f>IFERROR(IF(SUMPRODUCT((('CASE MASTER'!$T$2:$T$495=6)*('CASE MASTER'!$U$2:$U$495&lt;=5)*('CASE MASTER'!$W$2:$W$495&gt;=5)*('CASE MASTER'!$V$2:$V$495&lt;=10)*('CASE MASTER'!$X$2:$X$495&gt;=10))*ROW('CASE MASTER'!$T$2:$T$495))&gt;0,INDEX('CASE MASTER'!$Y$2:$Y$495,(SUMPRODUCT((('CASE MASTER'!$T$2:$T$495=6)*('CASE MASTER'!$U$2:$U$495&lt;=5)*('CASE MASTER'!$W$2:$W$495&gt;=5)*('CASE MASTER'!$V$2:$V$495&lt;=10)*('CASE MASTER'!$X$2:$X$495&gt;=10))*ROW('CASE MASTER'!$T$2:$T$495))-(ROW('CASE MASTER'!#REF!)-1)))&amp;TRIM(MID(SUBSTITUTE(SUBSTITUTE(INDEX('CASE MASTER'!$N$2:$N$495,(SUMPRODUCT((('CASE MASTER'!$T$2:$T$495=6)*('CASE MASTER'!$U$2:$U$495&lt;=5)*('CASE MASTER'!$W$2:$W$495&gt;=5)*('CASE MASTER'!$V$2:$V$495&lt;=10)*('CASE MASTER'!$X$2:$X$495&gt;=10))*ROW('CASE MASTER'!$T$2:$T$495))-(ROW('CASE MASTER'!#REF!)-1))),":",","),",",REPT(" ",50)),((((5-INDEX('CASE MASTER'!$U$2:$U$495,(SUMPRODUCT((('CASE MASTER'!$T$2:$T$495=6)*('CASE MASTER'!$U$2:$U$495&lt;=5)*('CASE MASTER'!$W$2:$W$495&gt;=5)*('CASE MASTER'!$V$2:$V$495&lt;=10)*('CASE MASTER'!$X$2:$X$495&gt;=10))*ROW('CASE MASTER'!$T$2:$T$495))-(ROW('CASE MASTER'!#REF!)-1))))*(INDEX('CASE MASTER'!$X$2:$X$495,(SUMPRODUCT((('CASE MASTER'!$T$2:$T$495=6)*('CASE MASTER'!$U$2:$U$495&lt;=5)*('CASE MASTER'!$W$2:$W$495&gt;=5)*('CASE MASTER'!$V$2:$V$495&lt;=10)*('CASE MASTER'!$X$2:$X$495&gt;=10))*ROW('CASE MASTER'!$T$2:$T$495))-(ROW('CASE MASTER'!#REF!)-1)))-INDEX('CASE MASTER'!$V$2:$V$495,(SUMPRODUCT((('CASE MASTER'!$T$2:$T$495=6)*('CASE MASTER'!$U$2:$U$495&lt;=5)*('CASE MASTER'!$W$2:$W$495&gt;=5)*('CASE MASTER'!$V$2:$V$495&lt;=10)*('CASE MASTER'!$X$2:$X$495&gt;=10))*ROW('CASE MASTER'!$T$2:$T$495))-(ROW('CASE MASTER'!#REF!)-1)))+1)+(10-INDEX('CASE MASTER'!$V$2:$V$495,(SUMPRODUCT((('CASE MASTER'!$T$2:$T$495=6)*('CASE MASTER'!$U$2:$U$495&lt;=5)*('CASE MASTER'!$W$2:$W$495&gt;=5)*('CASE MASTER'!$V$2:$V$495&lt;=10)*('CASE MASTER'!$X$2:$X$495&gt;=10))*ROW('CASE MASTER'!$T$2:$T$495))-(ROW('CASE MASTER'!#REF!)-1))))+1))-1)*50+1,50))&amp;"_"&amp;INDEX('CASE MASTER'!$Q$2:$Q$495,(SUMPRODUCT((('CASE MASTER'!$T$2:$T$495=6)*('CASE MASTER'!$U$2:$U$495&lt;=5)*('CASE MASTER'!$W$2:$W$495&gt;=5)*('CASE MASTER'!$V$2:$V$495&lt;=10)*('CASE MASTER'!$X$2:$X$495&gt;=10))*ROW('CASE MASTER'!$T$2:$T$495))-(ROW('CASE MASTER'!#REF!)-1))),IF(SUMPRODUCT((('CASE MASTER'!$T$2:$T$495=6)*('CASE MASTER'!$AA$2:$AA$495&lt;=5)*('CASE MASTER'!$AC$2:$AC$495&gt;=5)*('CASE MASTER'!$AB$2:$AB$495&lt;=10)*('CASE MASTER'!$AD$2:$AD$495&gt;=10))*ROW('CASE MASTER'!$T$2:$T$495))&gt;0,INDEX('CASE MASTER'!$Y$2:$Y$495,(SUMPRODUCT((('CASE MASTER'!$T$2:$T$495=6)*('CASE MASTER'!$AA$2:$AA$495&lt;=5)*('CASE MASTER'!$AC$2:$AC$495&gt;=5)*('CASE MASTER'!$AB$2:$AB$495&lt;=10)*('CASE MASTER'!$AD$2:$AD$495&gt;=10))*ROW('CASE MASTER'!$T$2:$T$495))-(ROW('CASE MASTER'!#REF!)-1)))&amp;TRIM(MID(SUBSTITUTE(SUBSTITUTE(INDEX('CASE MASTER'!$N$2:$N$495,(SUMPRODUCT((('CASE MASTER'!$T$2:$T$495=6)*('CASE MASTER'!$AA$2:$AA$495&lt;=5)*('CASE MASTER'!$AC$2:$AC$495&gt;=5)*('CASE MASTER'!$AB$2:$AB$495&lt;=10)*('CASE MASTER'!$AD$2:$AD$495&gt;=10))*ROW('CASE MASTER'!$T$2:$T$495))-(ROW('CASE MASTER'!#REF!)-1))),":",","),",",REPT(" ",50)),(((INDEX('CASE MASTER'!$Z$2:$Z$495,(SUMPRODUCT((('CASE MASTER'!$T$2:$T$495=6)*('CASE MASTER'!$AA$2:$AA$495&lt;=5)*('CASE MASTER'!$AC$2:$AC$495&gt;=5)*('CASE MASTER'!$AB$2:$AB$495&lt;=10)*('CASE MASTER'!$AD$2:$AD$495&gt;=10))*ROW('CASE MASTER'!$T$2:$T$495))-(ROW('CASE MASTER'!#REF!)-1)))+((5-INDEX('CASE MASTER'!$AA$2:$AA$495,(SUMPRODUCT((('CASE MASTER'!$T$2:$T$495=6)*('CASE MASTER'!$AA$2:$AA$495&lt;=5)*('CASE MASTER'!$AC$2:$AC$495&gt;=5)*('CASE MASTER'!$AB$2:$AB$495&lt;=10)*('CASE MASTER'!$AD$2:$AD$495&gt;=10))*ROW('CASE MASTER'!$T$2:$T$495))-(ROW('CASE MASTER'!#REF!)-1))))*(INDEX('CASE MASTER'!$AD$2:$AD$495,(SUMPRODUCT((('CASE MASTER'!$T$2:$T$495=6)*('CASE MASTER'!$AA$2:$AA$495&lt;=5)*('CASE MASTER'!$AC$2:$AC$495&gt;=5)*('CASE MASTER'!$AB$2:$AB$495&lt;=10)*('CASE MASTER'!$AD$2:$AD$495&gt;=10))*ROW('CASE MASTER'!$T$2:$T$495))-(ROW('CASE MASTER'!#REF!)-1)))-INDEX('CASE MASTER'!$AB$2:$AB$495,(SUMPRODUCT((('CASE MASTER'!$T$2:$T$495=6)*('CASE MASTER'!$AA$2:$AA$495&lt;=5)*('CASE MASTER'!$AC$2:$AC$495&gt;=5)*('CASE MASTER'!$AB$2:$AB$495&lt;=10)*('CASE MASTER'!$AD$2:$AD$495&gt;=10))*ROW('CASE MASTER'!$T$2:$T$495))-(ROW('CASE MASTER'!#REF!)-1)))+1)+(10-INDEX('CASE MASTER'!$AB$2:$AB$495,(SUMPRODUCT((('CASE MASTER'!$T$2:$T$495=6)*('CASE MASTER'!$AA$2:$AA$495&lt;=5)*('CASE MASTER'!$AC$2:$AC$495&gt;=5)*('CASE MASTER'!$AB$2:$AB$495&lt;=10)*('CASE MASTER'!$AD$2:$AD$495&gt;=10))*ROW('CASE MASTER'!$T$2:$T$495))-(ROW('CASE MASTER'!#REF!)-1))))+1)))-1)*50+1,50))&amp;"_"&amp;INDEX('CASE MASTER'!$Q$2:$Q$495,(SUMPRODUCT((('CASE MASTER'!$T$2:$T$495=6)*('CASE MASTER'!$AA$2:$AA$495&lt;=5)*('CASE MASTER'!$AC$2:$AC$495&gt;=5)*('CASE MASTER'!$AB$2:$AB$495&lt;=10)*('CASE MASTER'!$AD$2:$AD$495&gt;=10))*ROW('CASE MASTER'!$T$2:$T$495))-(ROW('CASE MASTER'!#REF!)-1))),"")),"")</f>
        <v/>
      </c>
    </row>
    <row r="78" spans="1:11" ht="15" customHeight="1" x14ac:dyDescent="0.35">
      <c r="A78" s="8" t="s">
        <v>33</v>
      </c>
      <c r="B78" s="10" t="str">
        <f>IFERROR(IF(SUMPRODUCT((('CASE MASTER'!$T$2:$T$495=6)*('CASE MASTER'!$U$2:$U$495&lt;=6)*('CASE MASTER'!$W$2:$W$495&gt;=6)*('CASE MASTER'!$V$2:$V$495&lt;=1)*('CASE MASTER'!$X$2:$X$495&gt;=1))*ROW('CASE MASTER'!$T$2:$T$495))&gt;0,INDEX('CASE MASTER'!$Y$2:$Y$495,(SUMPRODUCT((('CASE MASTER'!$T$2:$T$495=6)*('CASE MASTER'!$U$2:$U$495&lt;=6)*('CASE MASTER'!$W$2:$W$495&gt;=6)*('CASE MASTER'!$V$2:$V$495&lt;=1)*('CASE MASTER'!$X$2:$X$495&gt;=1))*ROW('CASE MASTER'!$T$2:$T$495))-(ROW('CASE MASTER'!#REF!)-1)))&amp;TRIM(MID(SUBSTITUTE(SUBSTITUTE(INDEX('CASE MASTER'!$N$2:$N$495,(SUMPRODUCT((('CASE MASTER'!$T$2:$T$495=6)*('CASE MASTER'!$U$2:$U$495&lt;=6)*('CASE MASTER'!$W$2:$W$495&gt;=6)*('CASE MASTER'!$V$2:$V$495&lt;=1)*('CASE MASTER'!$X$2:$X$495&gt;=1))*ROW('CASE MASTER'!$T$2:$T$495))-(ROW('CASE MASTER'!#REF!)-1))),":",","),",",REPT(" ",50)),((((6-INDEX('CASE MASTER'!$U$2:$U$495,(SUMPRODUCT((('CASE MASTER'!$T$2:$T$495=6)*('CASE MASTER'!$U$2:$U$495&lt;=6)*('CASE MASTER'!$W$2:$W$495&gt;=6)*('CASE MASTER'!$V$2:$V$495&lt;=1)*('CASE MASTER'!$X$2:$X$495&gt;=1))*ROW('CASE MASTER'!$T$2:$T$495))-(ROW('CASE MASTER'!#REF!)-1))))*(INDEX('CASE MASTER'!$X$2:$X$495,(SUMPRODUCT((('CASE MASTER'!$T$2:$T$495=6)*('CASE MASTER'!$U$2:$U$495&lt;=6)*('CASE MASTER'!$W$2:$W$495&gt;=6)*('CASE MASTER'!$V$2:$V$495&lt;=1)*('CASE MASTER'!$X$2:$X$495&gt;=1))*ROW('CASE MASTER'!$T$2:$T$495))-(ROW('CASE MASTER'!#REF!)-1)))-INDEX('CASE MASTER'!$V$2:$V$495,(SUMPRODUCT((('CASE MASTER'!$T$2:$T$495=6)*('CASE MASTER'!$U$2:$U$495&lt;=6)*('CASE MASTER'!$W$2:$W$495&gt;=6)*('CASE MASTER'!$V$2:$V$495&lt;=1)*('CASE MASTER'!$X$2:$X$495&gt;=1))*ROW('CASE MASTER'!$T$2:$T$495))-(ROW('CASE MASTER'!#REF!)-1)))+1)+(1-INDEX('CASE MASTER'!$V$2:$V$495,(SUMPRODUCT((('CASE MASTER'!$T$2:$T$495=6)*('CASE MASTER'!$U$2:$U$495&lt;=6)*('CASE MASTER'!$W$2:$W$495&gt;=6)*('CASE MASTER'!$V$2:$V$495&lt;=1)*('CASE MASTER'!$X$2:$X$495&gt;=1))*ROW('CASE MASTER'!$T$2:$T$495))-(ROW('CASE MASTER'!#REF!)-1))))+1))-1)*50+1,50))&amp;"_"&amp;INDEX('CASE MASTER'!$Q$2:$Q$495,(SUMPRODUCT((('CASE MASTER'!$T$2:$T$495=6)*('CASE MASTER'!$U$2:$U$495&lt;=6)*('CASE MASTER'!$W$2:$W$495&gt;=6)*('CASE MASTER'!$V$2:$V$495&lt;=1)*('CASE MASTER'!$X$2:$X$495&gt;=1))*ROW('CASE MASTER'!$T$2:$T$495))-(ROW('CASE MASTER'!#REF!)-1))),IF(SUMPRODUCT((('CASE MASTER'!$T$2:$T$495=6)*('CASE MASTER'!$AA$2:$AA$495&lt;=6)*('CASE MASTER'!$AC$2:$AC$495&gt;=6)*('CASE MASTER'!$AB$2:$AB$495&lt;=1)*('CASE MASTER'!$AD$2:$AD$495&gt;=1))*ROW('CASE MASTER'!$T$2:$T$495))&gt;0,INDEX('CASE MASTER'!$Y$2:$Y$495,(SUMPRODUCT((('CASE MASTER'!$T$2:$T$495=6)*('CASE MASTER'!$AA$2:$AA$495&lt;=6)*('CASE MASTER'!$AC$2:$AC$495&gt;=6)*('CASE MASTER'!$AB$2:$AB$495&lt;=1)*('CASE MASTER'!$AD$2:$AD$495&gt;=1))*ROW('CASE MASTER'!$T$2:$T$495))-(ROW('CASE MASTER'!#REF!)-1)))&amp;TRIM(MID(SUBSTITUTE(SUBSTITUTE(INDEX('CASE MASTER'!$N$2:$N$495,(SUMPRODUCT((('CASE MASTER'!$T$2:$T$495=6)*('CASE MASTER'!$AA$2:$AA$495&lt;=6)*('CASE MASTER'!$AC$2:$AC$495&gt;=6)*('CASE MASTER'!$AB$2:$AB$495&lt;=1)*('CASE MASTER'!$AD$2:$AD$495&gt;=1))*ROW('CASE MASTER'!$T$2:$T$495))-(ROW('CASE MASTER'!#REF!)-1))),":",","),",",REPT(" ",50)),(((INDEX('CASE MASTER'!$Z$2:$Z$495,(SUMPRODUCT((('CASE MASTER'!$T$2:$T$495=6)*('CASE MASTER'!$AA$2:$AA$495&lt;=6)*('CASE MASTER'!$AC$2:$AC$495&gt;=6)*('CASE MASTER'!$AB$2:$AB$495&lt;=1)*('CASE MASTER'!$AD$2:$AD$495&gt;=1))*ROW('CASE MASTER'!$T$2:$T$495))-(ROW('CASE MASTER'!#REF!)-1)))+((6-INDEX('CASE MASTER'!$AA$2:$AA$495,(SUMPRODUCT((('CASE MASTER'!$T$2:$T$495=6)*('CASE MASTER'!$AA$2:$AA$495&lt;=6)*('CASE MASTER'!$AC$2:$AC$495&gt;=6)*('CASE MASTER'!$AB$2:$AB$495&lt;=1)*('CASE MASTER'!$AD$2:$AD$495&gt;=1))*ROW('CASE MASTER'!$T$2:$T$495))-(ROW('CASE MASTER'!#REF!)-1))))*(INDEX('CASE MASTER'!$AD$2:$AD$495,(SUMPRODUCT((('CASE MASTER'!$T$2:$T$495=6)*('CASE MASTER'!$AA$2:$AA$495&lt;=6)*('CASE MASTER'!$AC$2:$AC$495&gt;=6)*('CASE MASTER'!$AB$2:$AB$495&lt;=1)*('CASE MASTER'!$AD$2:$AD$495&gt;=1))*ROW('CASE MASTER'!$T$2:$T$495))-(ROW('CASE MASTER'!#REF!)-1)))-INDEX('CASE MASTER'!$AB$2:$AB$495,(SUMPRODUCT((('CASE MASTER'!$T$2:$T$495=6)*('CASE MASTER'!$AA$2:$AA$495&lt;=6)*('CASE MASTER'!$AC$2:$AC$495&gt;=6)*('CASE MASTER'!$AB$2:$AB$495&lt;=1)*('CASE MASTER'!$AD$2:$AD$495&gt;=1))*ROW('CASE MASTER'!$T$2:$T$495))-(ROW('CASE MASTER'!#REF!)-1)))+1)+(1-INDEX('CASE MASTER'!$AB$2:$AB$495,(SUMPRODUCT((('CASE MASTER'!$T$2:$T$495=6)*('CASE MASTER'!$AA$2:$AA$495&lt;=6)*('CASE MASTER'!$AC$2:$AC$495&gt;=6)*('CASE MASTER'!$AB$2:$AB$495&lt;=1)*('CASE MASTER'!$AD$2:$AD$495&gt;=1))*ROW('CASE MASTER'!$T$2:$T$495))-(ROW('CASE MASTER'!#REF!)-1))))+1)))-1)*50+1,50))&amp;"_"&amp;INDEX('CASE MASTER'!$Q$2:$Q$495,(SUMPRODUCT((('CASE MASTER'!$T$2:$T$495=6)*('CASE MASTER'!$AA$2:$AA$495&lt;=6)*('CASE MASTER'!$AC$2:$AC$495&gt;=6)*('CASE MASTER'!$AB$2:$AB$495&lt;=1)*('CASE MASTER'!$AD$2:$AD$495&gt;=1))*ROW('CASE MASTER'!$T$2:$T$495))-(ROW('CASE MASTER'!#REF!)-1))),"")),"")</f>
        <v/>
      </c>
      <c r="C78" s="10" t="str">
        <f>IFERROR(IF(SUMPRODUCT((('CASE MASTER'!$T$2:$T$495=6)*('CASE MASTER'!$U$2:$U$495&lt;=6)*('CASE MASTER'!$W$2:$W$495&gt;=6)*('CASE MASTER'!$V$2:$V$495&lt;=2)*('CASE MASTER'!$X$2:$X$495&gt;=2))*ROW('CASE MASTER'!$T$2:$T$495))&gt;0,INDEX('CASE MASTER'!$Y$2:$Y$495,(SUMPRODUCT((('CASE MASTER'!$T$2:$T$495=6)*('CASE MASTER'!$U$2:$U$495&lt;=6)*('CASE MASTER'!$W$2:$W$495&gt;=6)*('CASE MASTER'!$V$2:$V$495&lt;=2)*('CASE MASTER'!$X$2:$X$495&gt;=2))*ROW('CASE MASTER'!$T$2:$T$495))-(ROW('CASE MASTER'!#REF!)-1)))&amp;TRIM(MID(SUBSTITUTE(SUBSTITUTE(INDEX('CASE MASTER'!$N$2:$N$495,(SUMPRODUCT((('CASE MASTER'!$T$2:$T$495=6)*('CASE MASTER'!$U$2:$U$495&lt;=6)*('CASE MASTER'!$W$2:$W$495&gt;=6)*('CASE MASTER'!$V$2:$V$495&lt;=2)*('CASE MASTER'!$X$2:$X$495&gt;=2))*ROW('CASE MASTER'!$T$2:$T$495))-(ROW('CASE MASTER'!#REF!)-1))),":",","),",",REPT(" ",50)),((((6-INDEX('CASE MASTER'!$U$2:$U$495,(SUMPRODUCT((('CASE MASTER'!$T$2:$T$495=6)*('CASE MASTER'!$U$2:$U$495&lt;=6)*('CASE MASTER'!$W$2:$W$495&gt;=6)*('CASE MASTER'!$V$2:$V$495&lt;=2)*('CASE MASTER'!$X$2:$X$495&gt;=2))*ROW('CASE MASTER'!$T$2:$T$495))-(ROW('CASE MASTER'!#REF!)-1))))*(INDEX('CASE MASTER'!$X$2:$X$495,(SUMPRODUCT((('CASE MASTER'!$T$2:$T$495=6)*('CASE MASTER'!$U$2:$U$495&lt;=6)*('CASE MASTER'!$W$2:$W$495&gt;=6)*('CASE MASTER'!$V$2:$V$495&lt;=2)*('CASE MASTER'!$X$2:$X$495&gt;=2))*ROW('CASE MASTER'!$T$2:$T$495))-(ROW('CASE MASTER'!#REF!)-1)))-INDEX('CASE MASTER'!$V$2:$V$495,(SUMPRODUCT((('CASE MASTER'!$T$2:$T$495=6)*('CASE MASTER'!$U$2:$U$495&lt;=6)*('CASE MASTER'!$W$2:$W$495&gt;=6)*('CASE MASTER'!$V$2:$V$495&lt;=2)*('CASE MASTER'!$X$2:$X$495&gt;=2))*ROW('CASE MASTER'!$T$2:$T$495))-(ROW('CASE MASTER'!#REF!)-1)))+1)+(2-INDEX('CASE MASTER'!$V$2:$V$495,(SUMPRODUCT((('CASE MASTER'!$T$2:$T$495=6)*('CASE MASTER'!$U$2:$U$495&lt;=6)*('CASE MASTER'!$W$2:$W$495&gt;=6)*('CASE MASTER'!$V$2:$V$495&lt;=2)*('CASE MASTER'!$X$2:$X$495&gt;=2))*ROW('CASE MASTER'!$T$2:$T$495))-(ROW('CASE MASTER'!#REF!)-1))))+1))-1)*50+1,50))&amp;"_"&amp;INDEX('CASE MASTER'!$Q$2:$Q$495,(SUMPRODUCT((('CASE MASTER'!$T$2:$T$495=6)*('CASE MASTER'!$U$2:$U$495&lt;=6)*('CASE MASTER'!$W$2:$W$495&gt;=6)*('CASE MASTER'!$V$2:$V$495&lt;=2)*('CASE MASTER'!$X$2:$X$495&gt;=2))*ROW('CASE MASTER'!$T$2:$T$495))-(ROW('CASE MASTER'!#REF!)-1))),IF(SUMPRODUCT((('CASE MASTER'!$T$2:$T$495=6)*('CASE MASTER'!$AA$2:$AA$495&lt;=6)*('CASE MASTER'!$AC$2:$AC$495&gt;=6)*('CASE MASTER'!$AB$2:$AB$495&lt;=2)*('CASE MASTER'!$AD$2:$AD$495&gt;=2))*ROW('CASE MASTER'!$T$2:$T$495))&gt;0,INDEX('CASE MASTER'!$Y$2:$Y$495,(SUMPRODUCT((('CASE MASTER'!$T$2:$T$495=6)*('CASE MASTER'!$AA$2:$AA$495&lt;=6)*('CASE MASTER'!$AC$2:$AC$495&gt;=6)*('CASE MASTER'!$AB$2:$AB$495&lt;=2)*('CASE MASTER'!$AD$2:$AD$495&gt;=2))*ROW('CASE MASTER'!$T$2:$T$495))-(ROW('CASE MASTER'!#REF!)-1)))&amp;TRIM(MID(SUBSTITUTE(SUBSTITUTE(INDEX('CASE MASTER'!$N$2:$N$495,(SUMPRODUCT((('CASE MASTER'!$T$2:$T$495=6)*('CASE MASTER'!$AA$2:$AA$495&lt;=6)*('CASE MASTER'!$AC$2:$AC$495&gt;=6)*('CASE MASTER'!$AB$2:$AB$495&lt;=2)*('CASE MASTER'!$AD$2:$AD$495&gt;=2))*ROW('CASE MASTER'!$T$2:$T$495))-(ROW('CASE MASTER'!#REF!)-1))),":",","),",",REPT(" ",50)),(((INDEX('CASE MASTER'!$Z$2:$Z$495,(SUMPRODUCT((('CASE MASTER'!$T$2:$T$495=6)*('CASE MASTER'!$AA$2:$AA$495&lt;=6)*('CASE MASTER'!$AC$2:$AC$495&gt;=6)*('CASE MASTER'!$AB$2:$AB$495&lt;=2)*('CASE MASTER'!$AD$2:$AD$495&gt;=2))*ROW('CASE MASTER'!$T$2:$T$495))-(ROW('CASE MASTER'!#REF!)-1)))+((6-INDEX('CASE MASTER'!$AA$2:$AA$495,(SUMPRODUCT((('CASE MASTER'!$T$2:$T$495=6)*('CASE MASTER'!$AA$2:$AA$495&lt;=6)*('CASE MASTER'!$AC$2:$AC$495&gt;=6)*('CASE MASTER'!$AB$2:$AB$495&lt;=2)*('CASE MASTER'!$AD$2:$AD$495&gt;=2))*ROW('CASE MASTER'!$T$2:$T$495))-(ROW('CASE MASTER'!#REF!)-1))))*(INDEX('CASE MASTER'!$AD$2:$AD$495,(SUMPRODUCT((('CASE MASTER'!$T$2:$T$495=6)*('CASE MASTER'!$AA$2:$AA$495&lt;=6)*('CASE MASTER'!$AC$2:$AC$495&gt;=6)*('CASE MASTER'!$AB$2:$AB$495&lt;=2)*('CASE MASTER'!$AD$2:$AD$495&gt;=2))*ROW('CASE MASTER'!$T$2:$T$495))-(ROW('CASE MASTER'!#REF!)-1)))-INDEX('CASE MASTER'!$AB$2:$AB$495,(SUMPRODUCT((('CASE MASTER'!$T$2:$T$495=6)*('CASE MASTER'!$AA$2:$AA$495&lt;=6)*('CASE MASTER'!$AC$2:$AC$495&gt;=6)*('CASE MASTER'!$AB$2:$AB$495&lt;=2)*('CASE MASTER'!$AD$2:$AD$495&gt;=2))*ROW('CASE MASTER'!$T$2:$T$495))-(ROW('CASE MASTER'!#REF!)-1)))+1)+(2-INDEX('CASE MASTER'!$AB$2:$AB$495,(SUMPRODUCT((('CASE MASTER'!$T$2:$T$495=6)*('CASE MASTER'!$AA$2:$AA$495&lt;=6)*('CASE MASTER'!$AC$2:$AC$495&gt;=6)*('CASE MASTER'!$AB$2:$AB$495&lt;=2)*('CASE MASTER'!$AD$2:$AD$495&gt;=2))*ROW('CASE MASTER'!$T$2:$T$495))-(ROW('CASE MASTER'!#REF!)-1))))+1)))-1)*50+1,50))&amp;"_"&amp;INDEX('CASE MASTER'!$Q$2:$Q$495,(SUMPRODUCT((('CASE MASTER'!$T$2:$T$495=6)*('CASE MASTER'!$AA$2:$AA$495&lt;=6)*('CASE MASTER'!$AC$2:$AC$495&gt;=6)*('CASE MASTER'!$AB$2:$AB$495&lt;=2)*('CASE MASTER'!$AD$2:$AD$495&gt;=2))*ROW('CASE MASTER'!$T$2:$T$495))-(ROW('CASE MASTER'!#REF!)-1))),"")),"")</f>
        <v/>
      </c>
      <c r="D78" s="10" t="str">
        <f>IFERROR(IF(SUMPRODUCT((('CASE MASTER'!$T$2:$T$495=6)*('CASE MASTER'!$U$2:$U$495&lt;=6)*('CASE MASTER'!$W$2:$W$495&gt;=6)*('CASE MASTER'!$V$2:$V$495&lt;=3)*('CASE MASTER'!$X$2:$X$495&gt;=3))*ROW('CASE MASTER'!$T$2:$T$495))&gt;0,INDEX('CASE MASTER'!$Y$2:$Y$495,(SUMPRODUCT((('CASE MASTER'!$T$2:$T$495=6)*('CASE MASTER'!$U$2:$U$495&lt;=6)*('CASE MASTER'!$W$2:$W$495&gt;=6)*('CASE MASTER'!$V$2:$V$495&lt;=3)*('CASE MASTER'!$X$2:$X$495&gt;=3))*ROW('CASE MASTER'!$T$2:$T$495))-(ROW('CASE MASTER'!#REF!)-1)))&amp;TRIM(MID(SUBSTITUTE(SUBSTITUTE(INDEX('CASE MASTER'!$N$2:$N$495,(SUMPRODUCT((('CASE MASTER'!$T$2:$T$495=6)*('CASE MASTER'!$U$2:$U$495&lt;=6)*('CASE MASTER'!$W$2:$W$495&gt;=6)*('CASE MASTER'!$V$2:$V$495&lt;=3)*('CASE MASTER'!$X$2:$X$495&gt;=3))*ROW('CASE MASTER'!$T$2:$T$495))-(ROW('CASE MASTER'!#REF!)-1))),":",","),",",REPT(" ",50)),((((6-INDEX('CASE MASTER'!$U$2:$U$495,(SUMPRODUCT((('CASE MASTER'!$T$2:$T$495=6)*('CASE MASTER'!$U$2:$U$495&lt;=6)*('CASE MASTER'!$W$2:$W$495&gt;=6)*('CASE MASTER'!$V$2:$V$495&lt;=3)*('CASE MASTER'!$X$2:$X$495&gt;=3))*ROW('CASE MASTER'!$T$2:$T$495))-(ROW('CASE MASTER'!#REF!)-1))))*(INDEX('CASE MASTER'!$X$2:$X$495,(SUMPRODUCT((('CASE MASTER'!$T$2:$T$495=6)*('CASE MASTER'!$U$2:$U$495&lt;=6)*('CASE MASTER'!$W$2:$W$495&gt;=6)*('CASE MASTER'!$V$2:$V$495&lt;=3)*('CASE MASTER'!$X$2:$X$495&gt;=3))*ROW('CASE MASTER'!$T$2:$T$495))-(ROW('CASE MASTER'!#REF!)-1)))-INDEX('CASE MASTER'!$V$2:$V$495,(SUMPRODUCT((('CASE MASTER'!$T$2:$T$495=6)*('CASE MASTER'!$U$2:$U$495&lt;=6)*('CASE MASTER'!$W$2:$W$495&gt;=6)*('CASE MASTER'!$V$2:$V$495&lt;=3)*('CASE MASTER'!$X$2:$X$495&gt;=3))*ROW('CASE MASTER'!$T$2:$T$495))-(ROW('CASE MASTER'!#REF!)-1)))+1)+(3-INDEX('CASE MASTER'!$V$2:$V$495,(SUMPRODUCT((('CASE MASTER'!$T$2:$T$495=6)*('CASE MASTER'!$U$2:$U$495&lt;=6)*('CASE MASTER'!$W$2:$W$495&gt;=6)*('CASE MASTER'!$V$2:$V$495&lt;=3)*('CASE MASTER'!$X$2:$X$495&gt;=3))*ROW('CASE MASTER'!$T$2:$T$495))-(ROW('CASE MASTER'!#REF!)-1))))+1))-1)*50+1,50))&amp;"_"&amp;INDEX('CASE MASTER'!$Q$2:$Q$495,(SUMPRODUCT((('CASE MASTER'!$T$2:$T$495=6)*('CASE MASTER'!$U$2:$U$495&lt;=6)*('CASE MASTER'!$W$2:$W$495&gt;=6)*('CASE MASTER'!$V$2:$V$495&lt;=3)*('CASE MASTER'!$X$2:$X$495&gt;=3))*ROW('CASE MASTER'!$T$2:$T$495))-(ROW('CASE MASTER'!#REF!)-1))),IF(SUMPRODUCT((('CASE MASTER'!$T$2:$T$495=6)*('CASE MASTER'!$AA$2:$AA$495&lt;=6)*('CASE MASTER'!$AC$2:$AC$495&gt;=6)*('CASE MASTER'!$AB$2:$AB$495&lt;=3)*('CASE MASTER'!$AD$2:$AD$495&gt;=3))*ROW('CASE MASTER'!$T$2:$T$495))&gt;0,INDEX('CASE MASTER'!$Y$2:$Y$495,(SUMPRODUCT((('CASE MASTER'!$T$2:$T$495=6)*('CASE MASTER'!$AA$2:$AA$495&lt;=6)*('CASE MASTER'!$AC$2:$AC$495&gt;=6)*('CASE MASTER'!$AB$2:$AB$495&lt;=3)*('CASE MASTER'!$AD$2:$AD$495&gt;=3))*ROW('CASE MASTER'!$T$2:$T$495))-(ROW('CASE MASTER'!#REF!)-1)))&amp;TRIM(MID(SUBSTITUTE(SUBSTITUTE(INDEX('CASE MASTER'!$N$2:$N$495,(SUMPRODUCT((('CASE MASTER'!$T$2:$T$495=6)*('CASE MASTER'!$AA$2:$AA$495&lt;=6)*('CASE MASTER'!$AC$2:$AC$495&gt;=6)*('CASE MASTER'!$AB$2:$AB$495&lt;=3)*('CASE MASTER'!$AD$2:$AD$495&gt;=3))*ROW('CASE MASTER'!$T$2:$T$495))-(ROW('CASE MASTER'!#REF!)-1))),":",","),",",REPT(" ",50)),(((INDEX('CASE MASTER'!$Z$2:$Z$495,(SUMPRODUCT((('CASE MASTER'!$T$2:$T$495=6)*('CASE MASTER'!$AA$2:$AA$495&lt;=6)*('CASE MASTER'!$AC$2:$AC$495&gt;=6)*('CASE MASTER'!$AB$2:$AB$495&lt;=3)*('CASE MASTER'!$AD$2:$AD$495&gt;=3))*ROW('CASE MASTER'!$T$2:$T$495))-(ROW('CASE MASTER'!#REF!)-1)))+((6-INDEX('CASE MASTER'!$AA$2:$AA$495,(SUMPRODUCT((('CASE MASTER'!$T$2:$T$495=6)*('CASE MASTER'!$AA$2:$AA$495&lt;=6)*('CASE MASTER'!$AC$2:$AC$495&gt;=6)*('CASE MASTER'!$AB$2:$AB$495&lt;=3)*('CASE MASTER'!$AD$2:$AD$495&gt;=3))*ROW('CASE MASTER'!$T$2:$T$495))-(ROW('CASE MASTER'!#REF!)-1))))*(INDEX('CASE MASTER'!$AD$2:$AD$495,(SUMPRODUCT((('CASE MASTER'!$T$2:$T$495=6)*('CASE MASTER'!$AA$2:$AA$495&lt;=6)*('CASE MASTER'!$AC$2:$AC$495&gt;=6)*('CASE MASTER'!$AB$2:$AB$495&lt;=3)*('CASE MASTER'!$AD$2:$AD$495&gt;=3))*ROW('CASE MASTER'!$T$2:$T$495))-(ROW('CASE MASTER'!#REF!)-1)))-INDEX('CASE MASTER'!$AB$2:$AB$495,(SUMPRODUCT((('CASE MASTER'!$T$2:$T$495=6)*('CASE MASTER'!$AA$2:$AA$495&lt;=6)*('CASE MASTER'!$AC$2:$AC$495&gt;=6)*('CASE MASTER'!$AB$2:$AB$495&lt;=3)*('CASE MASTER'!$AD$2:$AD$495&gt;=3))*ROW('CASE MASTER'!$T$2:$T$495))-(ROW('CASE MASTER'!#REF!)-1)))+1)+(3-INDEX('CASE MASTER'!$AB$2:$AB$495,(SUMPRODUCT((('CASE MASTER'!$T$2:$T$495=6)*('CASE MASTER'!$AA$2:$AA$495&lt;=6)*('CASE MASTER'!$AC$2:$AC$495&gt;=6)*('CASE MASTER'!$AB$2:$AB$495&lt;=3)*('CASE MASTER'!$AD$2:$AD$495&gt;=3))*ROW('CASE MASTER'!$T$2:$T$495))-(ROW('CASE MASTER'!#REF!)-1))))+1)))-1)*50+1,50))&amp;"_"&amp;INDEX('CASE MASTER'!$Q$2:$Q$495,(SUMPRODUCT((('CASE MASTER'!$T$2:$T$495=6)*('CASE MASTER'!$AA$2:$AA$495&lt;=6)*('CASE MASTER'!$AC$2:$AC$495&gt;=6)*('CASE MASTER'!$AB$2:$AB$495&lt;=3)*('CASE MASTER'!$AD$2:$AD$495&gt;=3))*ROW('CASE MASTER'!$T$2:$T$495))-(ROW('CASE MASTER'!#REF!)-1))),"")),"")</f>
        <v/>
      </c>
      <c r="E78" s="10" t="str">
        <f>IFERROR(IF(SUMPRODUCT((('CASE MASTER'!$T$2:$T$495=6)*('CASE MASTER'!$U$2:$U$495&lt;=6)*('CASE MASTER'!$W$2:$W$495&gt;=6)*('CASE MASTER'!$V$2:$V$495&lt;=4)*('CASE MASTER'!$X$2:$X$495&gt;=4))*ROW('CASE MASTER'!$T$2:$T$495))&gt;0,INDEX('CASE MASTER'!$Y$2:$Y$495,(SUMPRODUCT((('CASE MASTER'!$T$2:$T$495=6)*('CASE MASTER'!$U$2:$U$495&lt;=6)*('CASE MASTER'!$W$2:$W$495&gt;=6)*('CASE MASTER'!$V$2:$V$495&lt;=4)*('CASE MASTER'!$X$2:$X$495&gt;=4))*ROW('CASE MASTER'!$T$2:$T$495))-(ROW('CASE MASTER'!#REF!)-1)))&amp;TRIM(MID(SUBSTITUTE(SUBSTITUTE(INDEX('CASE MASTER'!$N$2:$N$495,(SUMPRODUCT((('CASE MASTER'!$T$2:$T$495=6)*('CASE MASTER'!$U$2:$U$495&lt;=6)*('CASE MASTER'!$W$2:$W$495&gt;=6)*('CASE MASTER'!$V$2:$V$495&lt;=4)*('CASE MASTER'!$X$2:$X$495&gt;=4))*ROW('CASE MASTER'!$T$2:$T$495))-(ROW('CASE MASTER'!#REF!)-1))),":",","),",",REPT(" ",50)),((((6-INDEX('CASE MASTER'!$U$2:$U$495,(SUMPRODUCT((('CASE MASTER'!$T$2:$T$495=6)*('CASE MASTER'!$U$2:$U$495&lt;=6)*('CASE MASTER'!$W$2:$W$495&gt;=6)*('CASE MASTER'!$V$2:$V$495&lt;=4)*('CASE MASTER'!$X$2:$X$495&gt;=4))*ROW('CASE MASTER'!$T$2:$T$495))-(ROW('CASE MASTER'!#REF!)-1))))*(INDEX('CASE MASTER'!$X$2:$X$495,(SUMPRODUCT((('CASE MASTER'!$T$2:$T$495=6)*('CASE MASTER'!$U$2:$U$495&lt;=6)*('CASE MASTER'!$W$2:$W$495&gt;=6)*('CASE MASTER'!$V$2:$V$495&lt;=4)*('CASE MASTER'!$X$2:$X$495&gt;=4))*ROW('CASE MASTER'!$T$2:$T$495))-(ROW('CASE MASTER'!#REF!)-1)))-INDEX('CASE MASTER'!$V$2:$V$495,(SUMPRODUCT((('CASE MASTER'!$T$2:$T$495=6)*('CASE MASTER'!$U$2:$U$495&lt;=6)*('CASE MASTER'!$W$2:$W$495&gt;=6)*('CASE MASTER'!$V$2:$V$495&lt;=4)*('CASE MASTER'!$X$2:$X$495&gt;=4))*ROW('CASE MASTER'!$T$2:$T$495))-(ROW('CASE MASTER'!#REF!)-1)))+1)+(4-INDEX('CASE MASTER'!$V$2:$V$495,(SUMPRODUCT((('CASE MASTER'!$T$2:$T$495=6)*('CASE MASTER'!$U$2:$U$495&lt;=6)*('CASE MASTER'!$W$2:$W$495&gt;=6)*('CASE MASTER'!$V$2:$V$495&lt;=4)*('CASE MASTER'!$X$2:$X$495&gt;=4))*ROW('CASE MASTER'!$T$2:$T$495))-(ROW('CASE MASTER'!#REF!)-1))))+1))-1)*50+1,50))&amp;"_"&amp;INDEX('CASE MASTER'!$Q$2:$Q$495,(SUMPRODUCT((('CASE MASTER'!$T$2:$T$495=6)*('CASE MASTER'!$U$2:$U$495&lt;=6)*('CASE MASTER'!$W$2:$W$495&gt;=6)*('CASE MASTER'!$V$2:$V$495&lt;=4)*('CASE MASTER'!$X$2:$X$495&gt;=4))*ROW('CASE MASTER'!$T$2:$T$495))-(ROW('CASE MASTER'!#REF!)-1))),IF(SUMPRODUCT((('CASE MASTER'!$T$2:$T$495=6)*('CASE MASTER'!$AA$2:$AA$495&lt;=6)*('CASE MASTER'!$AC$2:$AC$495&gt;=6)*('CASE MASTER'!$AB$2:$AB$495&lt;=4)*('CASE MASTER'!$AD$2:$AD$495&gt;=4))*ROW('CASE MASTER'!$T$2:$T$495))&gt;0,INDEX('CASE MASTER'!$Y$2:$Y$495,(SUMPRODUCT((('CASE MASTER'!$T$2:$T$495=6)*('CASE MASTER'!$AA$2:$AA$495&lt;=6)*('CASE MASTER'!$AC$2:$AC$495&gt;=6)*('CASE MASTER'!$AB$2:$AB$495&lt;=4)*('CASE MASTER'!$AD$2:$AD$495&gt;=4))*ROW('CASE MASTER'!$T$2:$T$495))-(ROW('CASE MASTER'!#REF!)-1)))&amp;TRIM(MID(SUBSTITUTE(SUBSTITUTE(INDEX('CASE MASTER'!$N$2:$N$495,(SUMPRODUCT((('CASE MASTER'!$T$2:$T$495=6)*('CASE MASTER'!$AA$2:$AA$495&lt;=6)*('CASE MASTER'!$AC$2:$AC$495&gt;=6)*('CASE MASTER'!$AB$2:$AB$495&lt;=4)*('CASE MASTER'!$AD$2:$AD$495&gt;=4))*ROW('CASE MASTER'!$T$2:$T$495))-(ROW('CASE MASTER'!#REF!)-1))),":",","),",",REPT(" ",50)),(((INDEX('CASE MASTER'!$Z$2:$Z$495,(SUMPRODUCT((('CASE MASTER'!$T$2:$T$495=6)*('CASE MASTER'!$AA$2:$AA$495&lt;=6)*('CASE MASTER'!$AC$2:$AC$495&gt;=6)*('CASE MASTER'!$AB$2:$AB$495&lt;=4)*('CASE MASTER'!$AD$2:$AD$495&gt;=4))*ROW('CASE MASTER'!$T$2:$T$495))-(ROW('CASE MASTER'!#REF!)-1)))+((6-INDEX('CASE MASTER'!$AA$2:$AA$495,(SUMPRODUCT((('CASE MASTER'!$T$2:$T$495=6)*('CASE MASTER'!$AA$2:$AA$495&lt;=6)*('CASE MASTER'!$AC$2:$AC$495&gt;=6)*('CASE MASTER'!$AB$2:$AB$495&lt;=4)*('CASE MASTER'!$AD$2:$AD$495&gt;=4))*ROW('CASE MASTER'!$T$2:$T$495))-(ROW('CASE MASTER'!#REF!)-1))))*(INDEX('CASE MASTER'!$AD$2:$AD$495,(SUMPRODUCT((('CASE MASTER'!$T$2:$T$495=6)*('CASE MASTER'!$AA$2:$AA$495&lt;=6)*('CASE MASTER'!$AC$2:$AC$495&gt;=6)*('CASE MASTER'!$AB$2:$AB$495&lt;=4)*('CASE MASTER'!$AD$2:$AD$495&gt;=4))*ROW('CASE MASTER'!$T$2:$T$495))-(ROW('CASE MASTER'!#REF!)-1)))-INDEX('CASE MASTER'!$AB$2:$AB$495,(SUMPRODUCT((('CASE MASTER'!$T$2:$T$495=6)*('CASE MASTER'!$AA$2:$AA$495&lt;=6)*('CASE MASTER'!$AC$2:$AC$495&gt;=6)*('CASE MASTER'!$AB$2:$AB$495&lt;=4)*('CASE MASTER'!$AD$2:$AD$495&gt;=4))*ROW('CASE MASTER'!$T$2:$T$495))-(ROW('CASE MASTER'!#REF!)-1)))+1)+(4-INDEX('CASE MASTER'!$AB$2:$AB$495,(SUMPRODUCT((('CASE MASTER'!$T$2:$T$495=6)*('CASE MASTER'!$AA$2:$AA$495&lt;=6)*('CASE MASTER'!$AC$2:$AC$495&gt;=6)*('CASE MASTER'!$AB$2:$AB$495&lt;=4)*('CASE MASTER'!$AD$2:$AD$495&gt;=4))*ROW('CASE MASTER'!$T$2:$T$495))-(ROW('CASE MASTER'!#REF!)-1))))+1)))-1)*50+1,50))&amp;"_"&amp;INDEX('CASE MASTER'!$Q$2:$Q$495,(SUMPRODUCT((('CASE MASTER'!$T$2:$T$495=6)*('CASE MASTER'!$AA$2:$AA$495&lt;=6)*('CASE MASTER'!$AC$2:$AC$495&gt;=6)*('CASE MASTER'!$AB$2:$AB$495&lt;=4)*('CASE MASTER'!$AD$2:$AD$495&gt;=4))*ROW('CASE MASTER'!$T$2:$T$495))-(ROW('CASE MASTER'!#REF!)-1))),"")),"")</f>
        <v/>
      </c>
      <c r="F78" s="10" t="str">
        <f>IFERROR(IF(SUMPRODUCT((('CASE MASTER'!$T$2:$T$495=6)*('CASE MASTER'!$U$2:$U$495&lt;=6)*('CASE MASTER'!$W$2:$W$495&gt;=6)*('CASE MASTER'!$V$2:$V$495&lt;=5)*('CASE MASTER'!$X$2:$X$495&gt;=5))*ROW('CASE MASTER'!$T$2:$T$495))&gt;0,INDEX('CASE MASTER'!$Y$2:$Y$495,(SUMPRODUCT((('CASE MASTER'!$T$2:$T$495=6)*('CASE MASTER'!$U$2:$U$495&lt;=6)*('CASE MASTER'!$W$2:$W$495&gt;=6)*('CASE MASTER'!$V$2:$V$495&lt;=5)*('CASE MASTER'!$X$2:$X$495&gt;=5))*ROW('CASE MASTER'!$T$2:$T$495))-(ROW('CASE MASTER'!#REF!)-1)))&amp;TRIM(MID(SUBSTITUTE(SUBSTITUTE(INDEX('CASE MASTER'!$N$2:$N$495,(SUMPRODUCT((('CASE MASTER'!$T$2:$T$495=6)*('CASE MASTER'!$U$2:$U$495&lt;=6)*('CASE MASTER'!$W$2:$W$495&gt;=6)*('CASE MASTER'!$V$2:$V$495&lt;=5)*('CASE MASTER'!$X$2:$X$495&gt;=5))*ROW('CASE MASTER'!$T$2:$T$495))-(ROW('CASE MASTER'!#REF!)-1))),":",","),",",REPT(" ",50)),((((6-INDEX('CASE MASTER'!$U$2:$U$495,(SUMPRODUCT((('CASE MASTER'!$T$2:$T$495=6)*('CASE MASTER'!$U$2:$U$495&lt;=6)*('CASE MASTER'!$W$2:$W$495&gt;=6)*('CASE MASTER'!$V$2:$V$495&lt;=5)*('CASE MASTER'!$X$2:$X$495&gt;=5))*ROW('CASE MASTER'!$T$2:$T$495))-(ROW('CASE MASTER'!#REF!)-1))))*(INDEX('CASE MASTER'!$X$2:$X$495,(SUMPRODUCT((('CASE MASTER'!$T$2:$T$495=6)*('CASE MASTER'!$U$2:$U$495&lt;=6)*('CASE MASTER'!$W$2:$W$495&gt;=6)*('CASE MASTER'!$V$2:$V$495&lt;=5)*('CASE MASTER'!$X$2:$X$495&gt;=5))*ROW('CASE MASTER'!$T$2:$T$495))-(ROW('CASE MASTER'!#REF!)-1)))-INDEX('CASE MASTER'!$V$2:$V$495,(SUMPRODUCT((('CASE MASTER'!$T$2:$T$495=6)*('CASE MASTER'!$U$2:$U$495&lt;=6)*('CASE MASTER'!$W$2:$W$495&gt;=6)*('CASE MASTER'!$V$2:$V$495&lt;=5)*('CASE MASTER'!$X$2:$X$495&gt;=5))*ROW('CASE MASTER'!$T$2:$T$495))-(ROW('CASE MASTER'!#REF!)-1)))+1)+(5-INDEX('CASE MASTER'!$V$2:$V$495,(SUMPRODUCT((('CASE MASTER'!$T$2:$T$495=6)*('CASE MASTER'!$U$2:$U$495&lt;=6)*('CASE MASTER'!$W$2:$W$495&gt;=6)*('CASE MASTER'!$V$2:$V$495&lt;=5)*('CASE MASTER'!$X$2:$X$495&gt;=5))*ROW('CASE MASTER'!$T$2:$T$495))-(ROW('CASE MASTER'!#REF!)-1))))+1))-1)*50+1,50))&amp;"_"&amp;INDEX('CASE MASTER'!$Q$2:$Q$495,(SUMPRODUCT((('CASE MASTER'!$T$2:$T$495=6)*('CASE MASTER'!$U$2:$U$495&lt;=6)*('CASE MASTER'!$W$2:$W$495&gt;=6)*('CASE MASTER'!$V$2:$V$495&lt;=5)*('CASE MASTER'!$X$2:$X$495&gt;=5))*ROW('CASE MASTER'!$T$2:$T$495))-(ROW('CASE MASTER'!#REF!)-1))),IF(SUMPRODUCT((('CASE MASTER'!$T$2:$T$495=6)*('CASE MASTER'!$AA$2:$AA$495&lt;=6)*('CASE MASTER'!$AC$2:$AC$495&gt;=6)*('CASE MASTER'!$AB$2:$AB$495&lt;=5)*('CASE MASTER'!$AD$2:$AD$495&gt;=5))*ROW('CASE MASTER'!$T$2:$T$495))&gt;0,INDEX('CASE MASTER'!$Y$2:$Y$495,(SUMPRODUCT((('CASE MASTER'!$T$2:$T$495=6)*('CASE MASTER'!$AA$2:$AA$495&lt;=6)*('CASE MASTER'!$AC$2:$AC$495&gt;=6)*('CASE MASTER'!$AB$2:$AB$495&lt;=5)*('CASE MASTER'!$AD$2:$AD$495&gt;=5))*ROW('CASE MASTER'!$T$2:$T$495))-(ROW('CASE MASTER'!#REF!)-1)))&amp;TRIM(MID(SUBSTITUTE(SUBSTITUTE(INDEX('CASE MASTER'!$N$2:$N$495,(SUMPRODUCT((('CASE MASTER'!$T$2:$T$495=6)*('CASE MASTER'!$AA$2:$AA$495&lt;=6)*('CASE MASTER'!$AC$2:$AC$495&gt;=6)*('CASE MASTER'!$AB$2:$AB$495&lt;=5)*('CASE MASTER'!$AD$2:$AD$495&gt;=5))*ROW('CASE MASTER'!$T$2:$T$495))-(ROW('CASE MASTER'!#REF!)-1))),":",","),",",REPT(" ",50)),(((INDEX('CASE MASTER'!$Z$2:$Z$495,(SUMPRODUCT((('CASE MASTER'!$T$2:$T$495=6)*('CASE MASTER'!$AA$2:$AA$495&lt;=6)*('CASE MASTER'!$AC$2:$AC$495&gt;=6)*('CASE MASTER'!$AB$2:$AB$495&lt;=5)*('CASE MASTER'!$AD$2:$AD$495&gt;=5))*ROW('CASE MASTER'!$T$2:$T$495))-(ROW('CASE MASTER'!#REF!)-1)))+((6-INDEX('CASE MASTER'!$AA$2:$AA$495,(SUMPRODUCT((('CASE MASTER'!$T$2:$T$495=6)*('CASE MASTER'!$AA$2:$AA$495&lt;=6)*('CASE MASTER'!$AC$2:$AC$495&gt;=6)*('CASE MASTER'!$AB$2:$AB$495&lt;=5)*('CASE MASTER'!$AD$2:$AD$495&gt;=5))*ROW('CASE MASTER'!$T$2:$T$495))-(ROW('CASE MASTER'!#REF!)-1))))*(INDEX('CASE MASTER'!$AD$2:$AD$495,(SUMPRODUCT((('CASE MASTER'!$T$2:$T$495=6)*('CASE MASTER'!$AA$2:$AA$495&lt;=6)*('CASE MASTER'!$AC$2:$AC$495&gt;=6)*('CASE MASTER'!$AB$2:$AB$495&lt;=5)*('CASE MASTER'!$AD$2:$AD$495&gt;=5))*ROW('CASE MASTER'!$T$2:$T$495))-(ROW('CASE MASTER'!#REF!)-1)))-INDEX('CASE MASTER'!$AB$2:$AB$495,(SUMPRODUCT((('CASE MASTER'!$T$2:$T$495=6)*('CASE MASTER'!$AA$2:$AA$495&lt;=6)*('CASE MASTER'!$AC$2:$AC$495&gt;=6)*('CASE MASTER'!$AB$2:$AB$495&lt;=5)*('CASE MASTER'!$AD$2:$AD$495&gt;=5))*ROW('CASE MASTER'!$T$2:$T$495))-(ROW('CASE MASTER'!#REF!)-1)))+1)+(5-INDEX('CASE MASTER'!$AB$2:$AB$495,(SUMPRODUCT((('CASE MASTER'!$T$2:$T$495=6)*('CASE MASTER'!$AA$2:$AA$495&lt;=6)*('CASE MASTER'!$AC$2:$AC$495&gt;=6)*('CASE MASTER'!$AB$2:$AB$495&lt;=5)*('CASE MASTER'!$AD$2:$AD$495&gt;=5))*ROW('CASE MASTER'!$T$2:$T$495))-(ROW('CASE MASTER'!#REF!)-1))))+1)))-1)*50+1,50))&amp;"_"&amp;INDEX('CASE MASTER'!$Q$2:$Q$495,(SUMPRODUCT((('CASE MASTER'!$T$2:$T$495=6)*('CASE MASTER'!$AA$2:$AA$495&lt;=6)*('CASE MASTER'!$AC$2:$AC$495&gt;=6)*('CASE MASTER'!$AB$2:$AB$495&lt;=5)*('CASE MASTER'!$AD$2:$AD$495&gt;=5))*ROW('CASE MASTER'!$T$2:$T$495))-(ROW('CASE MASTER'!#REF!)-1))),"")),"")</f>
        <v/>
      </c>
      <c r="G78" s="10" t="str">
        <f>IFERROR(IF(SUMPRODUCT((('CASE MASTER'!$T$2:$T$495=6)*('CASE MASTER'!$U$2:$U$495&lt;=6)*('CASE MASTER'!$W$2:$W$495&gt;=6)*('CASE MASTER'!$V$2:$V$495&lt;=6)*('CASE MASTER'!$X$2:$X$495&gt;=6))*ROW('CASE MASTER'!$T$2:$T$495))&gt;0,INDEX('CASE MASTER'!$Y$2:$Y$495,(SUMPRODUCT((('CASE MASTER'!$T$2:$T$495=6)*('CASE MASTER'!$U$2:$U$495&lt;=6)*('CASE MASTER'!$W$2:$W$495&gt;=6)*('CASE MASTER'!$V$2:$V$495&lt;=6)*('CASE MASTER'!$X$2:$X$495&gt;=6))*ROW('CASE MASTER'!$T$2:$T$495))-(ROW('CASE MASTER'!#REF!)-1)))&amp;TRIM(MID(SUBSTITUTE(SUBSTITUTE(INDEX('CASE MASTER'!$N$2:$N$495,(SUMPRODUCT((('CASE MASTER'!$T$2:$T$495=6)*('CASE MASTER'!$U$2:$U$495&lt;=6)*('CASE MASTER'!$W$2:$W$495&gt;=6)*('CASE MASTER'!$V$2:$V$495&lt;=6)*('CASE MASTER'!$X$2:$X$495&gt;=6))*ROW('CASE MASTER'!$T$2:$T$495))-(ROW('CASE MASTER'!#REF!)-1))),":",","),",",REPT(" ",50)),((((6-INDEX('CASE MASTER'!$U$2:$U$495,(SUMPRODUCT((('CASE MASTER'!$T$2:$T$495=6)*('CASE MASTER'!$U$2:$U$495&lt;=6)*('CASE MASTER'!$W$2:$W$495&gt;=6)*('CASE MASTER'!$V$2:$V$495&lt;=6)*('CASE MASTER'!$X$2:$X$495&gt;=6))*ROW('CASE MASTER'!$T$2:$T$495))-(ROW('CASE MASTER'!#REF!)-1))))*(INDEX('CASE MASTER'!$X$2:$X$495,(SUMPRODUCT((('CASE MASTER'!$T$2:$T$495=6)*('CASE MASTER'!$U$2:$U$495&lt;=6)*('CASE MASTER'!$W$2:$W$495&gt;=6)*('CASE MASTER'!$V$2:$V$495&lt;=6)*('CASE MASTER'!$X$2:$X$495&gt;=6))*ROW('CASE MASTER'!$T$2:$T$495))-(ROW('CASE MASTER'!#REF!)-1)))-INDEX('CASE MASTER'!$V$2:$V$495,(SUMPRODUCT((('CASE MASTER'!$T$2:$T$495=6)*('CASE MASTER'!$U$2:$U$495&lt;=6)*('CASE MASTER'!$W$2:$W$495&gt;=6)*('CASE MASTER'!$V$2:$V$495&lt;=6)*('CASE MASTER'!$X$2:$X$495&gt;=6))*ROW('CASE MASTER'!$T$2:$T$495))-(ROW('CASE MASTER'!#REF!)-1)))+1)+(6-INDEX('CASE MASTER'!$V$2:$V$495,(SUMPRODUCT((('CASE MASTER'!$T$2:$T$495=6)*('CASE MASTER'!$U$2:$U$495&lt;=6)*('CASE MASTER'!$W$2:$W$495&gt;=6)*('CASE MASTER'!$V$2:$V$495&lt;=6)*('CASE MASTER'!$X$2:$X$495&gt;=6))*ROW('CASE MASTER'!$T$2:$T$495))-(ROW('CASE MASTER'!#REF!)-1))))+1))-1)*50+1,50))&amp;"_"&amp;INDEX('CASE MASTER'!$Q$2:$Q$495,(SUMPRODUCT((('CASE MASTER'!$T$2:$T$495=6)*('CASE MASTER'!$U$2:$U$495&lt;=6)*('CASE MASTER'!$W$2:$W$495&gt;=6)*('CASE MASTER'!$V$2:$V$495&lt;=6)*('CASE MASTER'!$X$2:$X$495&gt;=6))*ROW('CASE MASTER'!$T$2:$T$495))-(ROW('CASE MASTER'!#REF!)-1))),IF(SUMPRODUCT((('CASE MASTER'!$T$2:$T$495=6)*('CASE MASTER'!$AA$2:$AA$495&lt;=6)*('CASE MASTER'!$AC$2:$AC$495&gt;=6)*('CASE MASTER'!$AB$2:$AB$495&lt;=6)*('CASE MASTER'!$AD$2:$AD$495&gt;=6))*ROW('CASE MASTER'!$T$2:$T$495))&gt;0,INDEX('CASE MASTER'!$Y$2:$Y$495,(SUMPRODUCT((('CASE MASTER'!$T$2:$T$495=6)*('CASE MASTER'!$AA$2:$AA$495&lt;=6)*('CASE MASTER'!$AC$2:$AC$495&gt;=6)*('CASE MASTER'!$AB$2:$AB$495&lt;=6)*('CASE MASTER'!$AD$2:$AD$495&gt;=6))*ROW('CASE MASTER'!$T$2:$T$495))-(ROW('CASE MASTER'!#REF!)-1)))&amp;TRIM(MID(SUBSTITUTE(SUBSTITUTE(INDEX('CASE MASTER'!$N$2:$N$495,(SUMPRODUCT((('CASE MASTER'!$T$2:$T$495=6)*('CASE MASTER'!$AA$2:$AA$495&lt;=6)*('CASE MASTER'!$AC$2:$AC$495&gt;=6)*('CASE MASTER'!$AB$2:$AB$495&lt;=6)*('CASE MASTER'!$AD$2:$AD$495&gt;=6))*ROW('CASE MASTER'!$T$2:$T$495))-(ROW('CASE MASTER'!#REF!)-1))),":",","),",",REPT(" ",50)),(((INDEX('CASE MASTER'!$Z$2:$Z$495,(SUMPRODUCT((('CASE MASTER'!$T$2:$T$495=6)*('CASE MASTER'!$AA$2:$AA$495&lt;=6)*('CASE MASTER'!$AC$2:$AC$495&gt;=6)*('CASE MASTER'!$AB$2:$AB$495&lt;=6)*('CASE MASTER'!$AD$2:$AD$495&gt;=6))*ROW('CASE MASTER'!$T$2:$T$495))-(ROW('CASE MASTER'!#REF!)-1)))+((6-INDEX('CASE MASTER'!$AA$2:$AA$495,(SUMPRODUCT((('CASE MASTER'!$T$2:$T$495=6)*('CASE MASTER'!$AA$2:$AA$495&lt;=6)*('CASE MASTER'!$AC$2:$AC$495&gt;=6)*('CASE MASTER'!$AB$2:$AB$495&lt;=6)*('CASE MASTER'!$AD$2:$AD$495&gt;=6))*ROW('CASE MASTER'!$T$2:$T$495))-(ROW('CASE MASTER'!#REF!)-1))))*(INDEX('CASE MASTER'!$AD$2:$AD$495,(SUMPRODUCT((('CASE MASTER'!$T$2:$T$495=6)*('CASE MASTER'!$AA$2:$AA$495&lt;=6)*('CASE MASTER'!$AC$2:$AC$495&gt;=6)*('CASE MASTER'!$AB$2:$AB$495&lt;=6)*('CASE MASTER'!$AD$2:$AD$495&gt;=6))*ROW('CASE MASTER'!$T$2:$T$495))-(ROW('CASE MASTER'!#REF!)-1)))-INDEX('CASE MASTER'!$AB$2:$AB$495,(SUMPRODUCT((('CASE MASTER'!$T$2:$T$495=6)*('CASE MASTER'!$AA$2:$AA$495&lt;=6)*('CASE MASTER'!$AC$2:$AC$495&gt;=6)*('CASE MASTER'!$AB$2:$AB$495&lt;=6)*('CASE MASTER'!$AD$2:$AD$495&gt;=6))*ROW('CASE MASTER'!$T$2:$T$495))-(ROW('CASE MASTER'!#REF!)-1)))+1)+(6-INDEX('CASE MASTER'!$AB$2:$AB$495,(SUMPRODUCT((('CASE MASTER'!$T$2:$T$495=6)*('CASE MASTER'!$AA$2:$AA$495&lt;=6)*('CASE MASTER'!$AC$2:$AC$495&gt;=6)*('CASE MASTER'!$AB$2:$AB$495&lt;=6)*('CASE MASTER'!$AD$2:$AD$495&gt;=6))*ROW('CASE MASTER'!$T$2:$T$495))-(ROW('CASE MASTER'!#REF!)-1))))+1)))-1)*50+1,50))&amp;"_"&amp;INDEX('CASE MASTER'!$Q$2:$Q$495,(SUMPRODUCT((('CASE MASTER'!$T$2:$T$495=6)*('CASE MASTER'!$AA$2:$AA$495&lt;=6)*('CASE MASTER'!$AC$2:$AC$495&gt;=6)*('CASE MASTER'!$AB$2:$AB$495&lt;=6)*('CASE MASTER'!$AD$2:$AD$495&gt;=6))*ROW('CASE MASTER'!$T$2:$T$495))-(ROW('CASE MASTER'!#REF!)-1))),"")),"")</f>
        <v/>
      </c>
      <c r="H78" s="10" t="str">
        <f>IFERROR(IF(SUMPRODUCT((('CASE MASTER'!$T$2:$T$495=6)*('CASE MASTER'!$U$2:$U$495&lt;=6)*('CASE MASTER'!$W$2:$W$495&gt;=6)*('CASE MASTER'!$V$2:$V$495&lt;=7)*('CASE MASTER'!$X$2:$X$495&gt;=7))*ROW('CASE MASTER'!$T$2:$T$495))&gt;0,INDEX('CASE MASTER'!$Y$2:$Y$495,(SUMPRODUCT((('CASE MASTER'!$T$2:$T$495=6)*('CASE MASTER'!$U$2:$U$495&lt;=6)*('CASE MASTER'!$W$2:$W$495&gt;=6)*('CASE MASTER'!$V$2:$V$495&lt;=7)*('CASE MASTER'!$X$2:$X$495&gt;=7))*ROW('CASE MASTER'!$T$2:$T$495))-(ROW('CASE MASTER'!#REF!)-1)))&amp;TRIM(MID(SUBSTITUTE(SUBSTITUTE(INDEX('CASE MASTER'!$N$2:$N$495,(SUMPRODUCT((('CASE MASTER'!$T$2:$T$495=6)*('CASE MASTER'!$U$2:$U$495&lt;=6)*('CASE MASTER'!$W$2:$W$495&gt;=6)*('CASE MASTER'!$V$2:$V$495&lt;=7)*('CASE MASTER'!$X$2:$X$495&gt;=7))*ROW('CASE MASTER'!$T$2:$T$495))-(ROW('CASE MASTER'!#REF!)-1))),":",","),",",REPT(" ",50)),((((6-INDEX('CASE MASTER'!$U$2:$U$495,(SUMPRODUCT((('CASE MASTER'!$T$2:$T$495=6)*('CASE MASTER'!$U$2:$U$495&lt;=6)*('CASE MASTER'!$W$2:$W$495&gt;=6)*('CASE MASTER'!$V$2:$V$495&lt;=7)*('CASE MASTER'!$X$2:$X$495&gt;=7))*ROW('CASE MASTER'!$T$2:$T$495))-(ROW('CASE MASTER'!#REF!)-1))))*(INDEX('CASE MASTER'!$X$2:$X$495,(SUMPRODUCT((('CASE MASTER'!$T$2:$T$495=6)*('CASE MASTER'!$U$2:$U$495&lt;=6)*('CASE MASTER'!$W$2:$W$495&gt;=6)*('CASE MASTER'!$V$2:$V$495&lt;=7)*('CASE MASTER'!$X$2:$X$495&gt;=7))*ROW('CASE MASTER'!$T$2:$T$495))-(ROW('CASE MASTER'!#REF!)-1)))-INDEX('CASE MASTER'!$V$2:$V$495,(SUMPRODUCT((('CASE MASTER'!$T$2:$T$495=6)*('CASE MASTER'!$U$2:$U$495&lt;=6)*('CASE MASTER'!$W$2:$W$495&gt;=6)*('CASE MASTER'!$V$2:$V$495&lt;=7)*('CASE MASTER'!$X$2:$X$495&gt;=7))*ROW('CASE MASTER'!$T$2:$T$495))-(ROW('CASE MASTER'!#REF!)-1)))+1)+(7-INDEX('CASE MASTER'!$V$2:$V$495,(SUMPRODUCT((('CASE MASTER'!$T$2:$T$495=6)*('CASE MASTER'!$U$2:$U$495&lt;=6)*('CASE MASTER'!$W$2:$W$495&gt;=6)*('CASE MASTER'!$V$2:$V$495&lt;=7)*('CASE MASTER'!$X$2:$X$495&gt;=7))*ROW('CASE MASTER'!$T$2:$T$495))-(ROW('CASE MASTER'!#REF!)-1))))+1))-1)*50+1,50))&amp;"_"&amp;INDEX('CASE MASTER'!$Q$2:$Q$495,(SUMPRODUCT((('CASE MASTER'!$T$2:$T$495=6)*('CASE MASTER'!$U$2:$U$495&lt;=6)*('CASE MASTER'!$W$2:$W$495&gt;=6)*('CASE MASTER'!$V$2:$V$495&lt;=7)*('CASE MASTER'!$X$2:$X$495&gt;=7))*ROW('CASE MASTER'!$T$2:$T$495))-(ROW('CASE MASTER'!#REF!)-1))),IF(SUMPRODUCT((('CASE MASTER'!$T$2:$T$495=6)*('CASE MASTER'!$AA$2:$AA$495&lt;=6)*('CASE MASTER'!$AC$2:$AC$495&gt;=6)*('CASE MASTER'!$AB$2:$AB$495&lt;=7)*('CASE MASTER'!$AD$2:$AD$495&gt;=7))*ROW('CASE MASTER'!$T$2:$T$495))&gt;0,INDEX('CASE MASTER'!$Y$2:$Y$495,(SUMPRODUCT((('CASE MASTER'!$T$2:$T$495=6)*('CASE MASTER'!$AA$2:$AA$495&lt;=6)*('CASE MASTER'!$AC$2:$AC$495&gt;=6)*('CASE MASTER'!$AB$2:$AB$495&lt;=7)*('CASE MASTER'!$AD$2:$AD$495&gt;=7))*ROW('CASE MASTER'!$T$2:$T$495))-(ROW('CASE MASTER'!#REF!)-1)))&amp;TRIM(MID(SUBSTITUTE(SUBSTITUTE(INDEX('CASE MASTER'!$N$2:$N$495,(SUMPRODUCT((('CASE MASTER'!$T$2:$T$495=6)*('CASE MASTER'!$AA$2:$AA$495&lt;=6)*('CASE MASTER'!$AC$2:$AC$495&gt;=6)*('CASE MASTER'!$AB$2:$AB$495&lt;=7)*('CASE MASTER'!$AD$2:$AD$495&gt;=7))*ROW('CASE MASTER'!$T$2:$T$495))-(ROW('CASE MASTER'!#REF!)-1))),":",","),",",REPT(" ",50)),(((INDEX('CASE MASTER'!$Z$2:$Z$495,(SUMPRODUCT((('CASE MASTER'!$T$2:$T$495=6)*('CASE MASTER'!$AA$2:$AA$495&lt;=6)*('CASE MASTER'!$AC$2:$AC$495&gt;=6)*('CASE MASTER'!$AB$2:$AB$495&lt;=7)*('CASE MASTER'!$AD$2:$AD$495&gt;=7))*ROW('CASE MASTER'!$T$2:$T$495))-(ROW('CASE MASTER'!#REF!)-1)))+((6-INDEX('CASE MASTER'!$AA$2:$AA$495,(SUMPRODUCT((('CASE MASTER'!$T$2:$T$495=6)*('CASE MASTER'!$AA$2:$AA$495&lt;=6)*('CASE MASTER'!$AC$2:$AC$495&gt;=6)*('CASE MASTER'!$AB$2:$AB$495&lt;=7)*('CASE MASTER'!$AD$2:$AD$495&gt;=7))*ROW('CASE MASTER'!$T$2:$T$495))-(ROW('CASE MASTER'!#REF!)-1))))*(INDEX('CASE MASTER'!$AD$2:$AD$495,(SUMPRODUCT((('CASE MASTER'!$T$2:$T$495=6)*('CASE MASTER'!$AA$2:$AA$495&lt;=6)*('CASE MASTER'!$AC$2:$AC$495&gt;=6)*('CASE MASTER'!$AB$2:$AB$495&lt;=7)*('CASE MASTER'!$AD$2:$AD$495&gt;=7))*ROW('CASE MASTER'!$T$2:$T$495))-(ROW('CASE MASTER'!#REF!)-1)))-INDEX('CASE MASTER'!$AB$2:$AB$495,(SUMPRODUCT((('CASE MASTER'!$T$2:$T$495=6)*('CASE MASTER'!$AA$2:$AA$495&lt;=6)*('CASE MASTER'!$AC$2:$AC$495&gt;=6)*('CASE MASTER'!$AB$2:$AB$495&lt;=7)*('CASE MASTER'!$AD$2:$AD$495&gt;=7))*ROW('CASE MASTER'!$T$2:$T$495))-(ROW('CASE MASTER'!#REF!)-1)))+1)+(7-INDEX('CASE MASTER'!$AB$2:$AB$495,(SUMPRODUCT((('CASE MASTER'!$T$2:$T$495=6)*('CASE MASTER'!$AA$2:$AA$495&lt;=6)*('CASE MASTER'!$AC$2:$AC$495&gt;=6)*('CASE MASTER'!$AB$2:$AB$495&lt;=7)*('CASE MASTER'!$AD$2:$AD$495&gt;=7))*ROW('CASE MASTER'!$T$2:$T$495))-(ROW('CASE MASTER'!#REF!)-1))))+1)))-1)*50+1,50))&amp;"_"&amp;INDEX('CASE MASTER'!$Q$2:$Q$495,(SUMPRODUCT((('CASE MASTER'!$T$2:$T$495=6)*('CASE MASTER'!$AA$2:$AA$495&lt;=6)*('CASE MASTER'!$AC$2:$AC$495&gt;=6)*('CASE MASTER'!$AB$2:$AB$495&lt;=7)*('CASE MASTER'!$AD$2:$AD$495&gt;=7))*ROW('CASE MASTER'!$T$2:$T$495))-(ROW('CASE MASTER'!#REF!)-1))),"")),"")</f>
        <v/>
      </c>
      <c r="I78" s="10" t="str">
        <f>IFERROR(IF(SUMPRODUCT((('CASE MASTER'!$T$2:$T$495=6)*('CASE MASTER'!$U$2:$U$495&lt;=6)*('CASE MASTER'!$W$2:$W$495&gt;=6)*('CASE MASTER'!$V$2:$V$495&lt;=8)*('CASE MASTER'!$X$2:$X$495&gt;=8))*ROW('CASE MASTER'!$T$2:$T$495))&gt;0,INDEX('CASE MASTER'!$Y$2:$Y$495,(SUMPRODUCT((('CASE MASTER'!$T$2:$T$495=6)*('CASE MASTER'!$U$2:$U$495&lt;=6)*('CASE MASTER'!$W$2:$W$495&gt;=6)*('CASE MASTER'!$V$2:$V$495&lt;=8)*('CASE MASTER'!$X$2:$X$495&gt;=8))*ROW('CASE MASTER'!$T$2:$T$495))-(ROW('CASE MASTER'!#REF!)-1)))&amp;TRIM(MID(SUBSTITUTE(SUBSTITUTE(INDEX('CASE MASTER'!$N$2:$N$495,(SUMPRODUCT((('CASE MASTER'!$T$2:$T$495=6)*('CASE MASTER'!$U$2:$U$495&lt;=6)*('CASE MASTER'!$W$2:$W$495&gt;=6)*('CASE MASTER'!$V$2:$V$495&lt;=8)*('CASE MASTER'!$X$2:$X$495&gt;=8))*ROW('CASE MASTER'!$T$2:$T$495))-(ROW('CASE MASTER'!#REF!)-1))),":",","),",",REPT(" ",50)),((((6-INDEX('CASE MASTER'!$U$2:$U$495,(SUMPRODUCT((('CASE MASTER'!$T$2:$T$495=6)*('CASE MASTER'!$U$2:$U$495&lt;=6)*('CASE MASTER'!$W$2:$W$495&gt;=6)*('CASE MASTER'!$V$2:$V$495&lt;=8)*('CASE MASTER'!$X$2:$X$495&gt;=8))*ROW('CASE MASTER'!$T$2:$T$495))-(ROW('CASE MASTER'!#REF!)-1))))*(INDEX('CASE MASTER'!$X$2:$X$495,(SUMPRODUCT((('CASE MASTER'!$T$2:$T$495=6)*('CASE MASTER'!$U$2:$U$495&lt;=6)*('CASE MASTER'!$W$2:$W$495&gt;=6)*('CASE MASTER'!$V$2:$V$495&lt;=8)*('CASE MASTER'!$X$2:$X$495&gt;=8))*ROW('CASE MASTER'!$T$2:$T$495))-(ROW('CASE MASTER'!#REF!)-1)))-INDEX('CASE MASTER'!$V$2:$V$495,(SUMPRODUCT((('CASE MASTER'!$T$2:$T$495=6)*('CASE MASTER'!$U$2:$U$495&lt;=6)*('CASE MASTER'!$W$2:$W$495&gt;=6)*('CASE MASTER'!$V$2:$V$495&lt;=8)*('CASE MASTER'!$X$2:$X$495&gt;=8))*ROW('CASE MASTER'!$T$2:$T$495))-(ROW('CASE MASTER'!#REF!)-1)))+1)+(8-INDEX('CASE MASTER'!$V$2:$V$495,(SUMPRODUCT((('CASE MASTER'!$T$2:$T$495=6)*('CASE MASTER'!$U$2:$U$495&lt;=6)*('CASE MASTER'!$W$2:$W$495&gt;=6)*('CASE MASTER'!$V$2:$V$495&lt;=8)*('CASE MASTER'!$X$2:$X$495&gt;=8))*ROW('CASE MASTER'!$T$2:$T$495))-(ROW('CASE MASTER'!#REF!)-1))))+1))-1)*50+1,50))&amp;"_"&amp;INDEX('CASE MASTER'!$Q$2:$Q$495,(SUMPRODUCT((('CASE MASTER'!$T$2:$T$495=6)*('CASE MASTER'!$U$2:$U$495&lt;=6)*('CASE MASTER'!$W$2:$W$495&gt;=6)*('CASE MASTER'!$V$2:$V$495&lt;=8)*('CASE MASTER'!$X$2:$X$495&gt;=8))*ROW('CASE MASTER'!$T$2:$T$495))-(ROW('CASE MASTER'!#REF!)-1))),IF(SUMPRODUCT((('CASE MASTER'!$T$2:$T$495=6)*('CASE MASTER'!$AA$2:$AA$495&lt;=6)*('CASE MASTER'!$AC$2:$AC$495&gt;=6)*('CASE MASTER'!$AB$2:$AB$495&lt;=8)*('CASE MASTER'!$AD$2:$AD$495&gt;=8))*ROW('CASE MASTER'!$T$2:$T$495))&gt;0,INDEX('CASE MASTER'!$Y$2:$Y$495,(SUMPRODUCT((('CASE MASTER'!$T$2:$T$495=6)*('CASE MASTER'!$AA$2:$AA$495&lt;=6)*('CASE MASTER'!$AC$2:$AC$495&gt;=6)*('CASE MASTER'!$AB$2:$AB$495&lt;=8)*('CASE MASTER'!$AD$2:$AD$495&gt;=8))*ROW('CASE MASTER'!$T$2:$T$495))-(ROW('CASE MASTER'!#REF!)-1)))&amp;TRIM(MID(SUBSTITUTE(SUBSTITUTE(INDEX('CASE MASTER'!$N$2:$N$495,(SUMPRODUCT((('CASE MASTER'!$T$2:$T$495=6)*('CASE MASTER'!$AA$2:$AA$495&lt;=6)*('CASE MASTER'!$AC$2:$AC$495&gt;=6)*('CASE MASTER'!$AB$2:$AB$495&lt;=8)*('CASE MASTER'!$AD$2:$AD$495&gt;=8))*ROW('CASE MASTER'!$T$2:$T$495))-(ROW('CASE MASTER'!#REF!)-1))),":",","),",",REPT(" ",50)),(((INDEX('CASE MASTER'!$Z$2:$Z$495,(SUMPRODUCT((('CASE MASTER'!$T$2:$T$495=6)*('CASE MASTER'!$AA$2:$AA$495&lt;=6)*('CASE MASTER'!$AC$2:$AC$495&gt;=6)*('CASE MASTER'!$AB$2:$AB$495&lt;=8)*('CASE MASTER'!$AD$2:$AD$495&gt;=8))*ROW('CASE MASTER'!$T$2:$T$495))-(ROW('CASE MASTER'!#REF!)-1)))+((6-INDEX('CASE MASTER'!$AA$2:$AA$495,(SUMPRODUCT((('CASE MASTER'!$T$2:$T$495=6)*('CASE MASTER'!$AA$2:$AA$495&lt;=6)*('CASE MASTER'!$AC$2:$AC$495&gt;=6)*('CASE MASTER'!$AB$2:$AB$495&lt;=8)*('CASE MASTER'!$AD$2:$AD$495&gt;=8))*ROW('CASE MASTER'!$T$2:$T$495))-(ROW('CASE MASTER'!#REF!)-1))))*(INDEX('CASE MASTER'!$AD$2:$AD$495,(SUMPRODUCT((('CASE MASTER'!$T$2:$T$495=6)*('CASE MASTER'!$AA$2:$AA$495&lt;=6)*('CASE MASTER'!$AC$2:$AC$495&gt;=6)*('CASE MASTER'!$AB$2:$AB$495&lt;=8)*('CASE MASTER'!$AD$2:$AD$495&gt;=8))*ROW('CASE MASTER'!$T$2:$T$495))-(ROW('CASE MASTER'!#REF!)-1)))-INDEX('CASE MASTER'!$AB$2:$AB$495,(SUMPRODUCT((('CASE MASTER'!$T$2:$T$495=6)*('CASE MASTER'!$AA$2:$AA$495&lt;=6)*('CASE MASTER'!$AC$2:$AC$495&gt;=6)*('CASE MASTER'!$AB$2:$AB$495&lt;=8)*('CASE MASTER'!$AD$2:$AD$495&gt;=8))*ROW('CASE MASTER'!$T$2:$T$495))-(ROW('CASE MASTER'!#REF!)-1)))+1)+(8-INDEX('CASE MASTER'!$AB$2:$AB$495,(SUMPRODUCT((('CASE MASTER'!$T$2:$T$495=6)*('CASE MASTER'!$AA$2:$AA$495&lt;=6)*('CASE MASTER'!$AC$2:$AC$495&gt;=6)*('CASE MASTER'!$AB$2:$AB$495&lt;=8)*('CASE MASTER'!$AD$2:$AD$495&gt;=8))*ROW('CASE MASTER'!$T$2:$T$495))-(ROW('CASE MASTER'!#REF!)-1))))+1)))-1)*50+1,50))&amp;"_"&amp;INDEX('CASE MASTER'!$Q$2:$Q$495,(SUMPRODUCT((('CASE MASTER'!$T$2:$T$495=6)*('CASE MASTER'!$AA$2:$AA$495&lt;=6)*('CASE MASTER'!$AC$2:$AC$495&gt;=6)*('CASE MASTER'!$AB$2:$AB$495&lt;=8)*('CASE MASTER'!$AD$2:$AD$495&gt;=8))*ROW('CASE MASTER'!$T$2:$T$495))-(ROW('CASE MASTER'!#REF!)-1))),"")),"")</f>
        <v/>
      </c>
      <c r="J78" s="10" t="str">
        <f>IFERROR(IF(SUMPRODUCT((('CASE MASTER'!$T$2:$T$495=6)*('CASE MASTER'!$U$2:$U$495&lt;=6)*('CASE MASTER'!$W$2:$W$495&gt;=6)*('CASE MASTER'!$V$2:$V$495&lt;=9)*('CASE MASTER'!$X$2:$X$495&gt;=9))*ROW('CASE MASTER'!$T$2:$T$495))&gt;0,INDEX('CASE MASTER'!$Y$2:$Y$495,(SUMPRODUCT((('CASE MASTER'!$T$2:$T$495=6)*('CASE MASTER'!$U$2:$U$495&lt;=6)*('CASE MASTER'!$W$2:$W$495&gt;=6)*('CASE MASTER'!$V$2:$V$495&lt;=9)*('CASE MASTER'!$X$2:$X$495&gt;=9))*ROW('CASE MASTER'!$T$2:$T$495))-(ROW('CASE MASTER'!#REF!)-1)))&amp;TRIM(MID(SUBSTITUTE(SUBSTITUTE(INDEX('CASE MASTER'!$N$2:$N$495,(SUMPRODUCT((('CASE MASTER'!$T$2:$T$495=6)*('CASE MASTER'!$U$2:$U$495&lt;=6)*('CASE MASTER'!$W$2:$W$495&gt;=6)*('CASE MASTER'!$V$2:$V$495&lt;=9)*('CASE MASTER'!$X$2:$X$495&gt;=9))*ROW('CASE MASTER'!$T$2:$T$495))-(ROW('CASE MASTER'!#REF!)-1))),":",","),",",REPT(" ",50)),((((6-INDEX('CASE MASTER'!$U$2:$U$495,(SUMPRODUCT((('CASE MASTER'!$T$2:$T$495=6)*('CASE MASTER'!$U$2:$U$495&lt;=6)*('CASE MASTER'!$W$2:$W$495&gt;=6)*('CASE MASTER'!$V$2:$V$495&lt;=9)*('CASE MASTER'!$X$2:$X$495&gt;=9))*ROW('CASE MASTER'!$T$2:$T$495))-(ROW('CASE MASTER'!#REF!)-1))))*(INDEX('CASE MASTER'!$X$2:$X$495,(SUMPRODUCT((('CASE MASTER'!$T$2:$T$495=6)*('CASE MASTER'!$U$2:$U$495&lt;=6)*('CASE MASTER'!$W$2:$W$495&gt;=6)*('CASE MASTER'!$V$2:$V$495&lt;=9)*('CASE MASTER'!$X$2:$X$495&gt;=9))*ROW('CASE MASTER'!$T$2:$T$495))-(ROW('CASE MASTER'!#REF!)-1)))-INDEX('CASE MASTER'!$V$2:$V$495,(SUMPRODUCT((('CASE MASTER'!$T$2:$T$495=6)*('CASE MASTER'!$U$2:$U$495&lt;=6)*('CASE MASTER'!$W$2:$W$495&gt;=6)*('CASE MASTER'!$V$2:$V$495&lt;=9)*('CASE MASTER'!$X$2:$X$495&gt;=9))*ROW('CASE MASTER'!$T$2:$T$495))-(ROW('CASE MASTER'!#REF!)-1)))+1)+(9-INDEX('CASE MASTER'!$V$2:$V$495,(SUMPRODUCT((('CASE MASTER'!$T$2:$T$495=6)*('CASE MASTER'!$U$2:$U$495&lt;=6)*('CASE MASTER'!$W$2:$W$495&gt;=6)*('CASE MASTER'!$V$2:$V$495&lt;=9)*('CASE MASTER'!$X$2:$X$495&gt;=9))*ROW('CASE MASTER'!$T$2:$T$495))-(ROW('CASE MASTER'!#REF!)-1))))+1))-1)*50+1,50))&amp;"_"&amp;INDEX('CASE MASTER'!$Q$2:$Q$495,(SUMPRODUCT((('CASE MASTER'!$T$2:$T$495=6)*('CASE MASTER'!$U$2:$U$495&lt;=6)*('CASE MASTER'!$W$2:$W$495&gt;=6)*('CASE MASTER'!$V$2:$V$495&lt;=9)*('CASE MASTER'!$X$2:$X$495&gt;=9))*ROW('CASE MASTER'!$T$2:$T$495))-(ROW('CASE MASTER'!#REF!)-1))),IF(SUMPRODUCT((('CASE MASTER'!$T$2:$T$495=6)*('CASE MASTER'!$AA$2:$AA$495&lt;=6)*('CASE MASTER'!$AC$2:$AC$495&gt;=6)*('CASE MASTER'!$AB$2:$AB$495&lt;=9)*('CASE MASTER'!$AD$2:$AD$495&gt;=9))*ROW('CASE MASTER'!$T$2:$T$495))&gt;0,INDEX('CASE MASTER'!$Y$2:$Y$495,(SUMPRODUCT((('CASE MASTER'!$T$2:$T$495=6)*('CASE MASTER'!$AA$2:$AA$495&lt;=6)*('CASE MASTER'!$AC$2:$AC$495&gt;=6)*('CASE MASTER'!$AB$2:$AB$495&lt;=9)*('CASE MASTER'!$AD$2:$AD$495&gt;=9))*ROW('CASE MASTER'!$T$2:$T$495))-(ROW('CASE MASTER'!#REF!)-1)))&amp;TRIM(MID(SUBSTITUTE(SUBSTITUTE(INDEX('CASE MASTER'!$N$2:$N$495,(SUMPRODUCT((('CASE MASTER'!$T$2:$T$495=6)*('CASE MASTER'!$AA$2:$AA$495&lt;=6)*('CASE MASTER'!$AC$2:$AC$495&gt;=6)*('CASE MASTER'!$AB$2:$AB$495&lt;=9)*('CASE MASTER'!$AD$2:$AD$495&gt;=9))*ROW('CASE MASTER'!$T$2:$T$495))-(ROW('CASE MASTER'!#REF!)-1))),":",","),",",REPT(" ",50)),(((INDEX('CASE MASTER'!$Z$2:$Z$495,(SUMPRODUCT((('CASE MASTER'!$T$2:$T$495=6)*('CASE MASTER'!$AA$2:$AA$495&lt;=6)*('CASE MASTER'!$AC$2:$AC$495&gt;=6)*('CASE MASTER'!$AB$2:$AB$495&lt;=9)*('CASE MASTER'!$AD$2:$AD$495&gt;=9))*ROW('CASE MASTER'!$T$2:$T$495))-(ROW('CASE MASTER'!#REF!)-1)))+((6-INDEX('CASE MASTER'!$AA$2:$AA$495,(SUMPRODUCT((('CASE MASTER'!$T$2:$T$495=6)*('CASE MASTER'!$AA$2:$AA$495&lt;=6)*('CASE MASTER'!$AC$2:$AC$495&gt;=6)*('CASE MASTER'!$AB$2:$AB$495&lt;=9)*('CASE MASTER'!$AD$2:$AD$495&gt;=9))*ROW('CASE MASTER'!$T$2:$T$495))-(ROW('CASE MASTER'!#REF!)-1))))*(INDEX('CASE MASTER'!$AD$2:$AD$495,(SUMPRODUCT((('CASE MASTER'!$T$2:$T$495=6)*('CASE MASTER'!$AA$2:$AA$495&lt;=6)*('CASE MASTER'!$AC$2:$AC$495&gt;=6)*('CASE MASTER'!$AB$2:$AB$495&lt;=9)*('CASE MASTER'!$AD$2:$AD$495&gt;=9))*ROW('CASE MASTER'!$T$2:$T$495))-(ROW('CASE MASTER'!#REF!)-1)))-INDEX('CASE MASTER'!$AB$2:$AB$495,(SUMPRODUCT((('CASE MASTER'!$T$2:$T$495=6)*('CASE MASTER'!$AA$2:$AA$495&lt;=6)*('CASE MASTER'!$AC$2:$AC$495&gt;=6)*('CASE MASTER'!$AB$2:$AB$495&lt;=9)*('CASE MASTER'!$AD$2:$AD$495&gt;=9))*ROW('CASE MASTER'!$T$2:$T$495))-(ROW('CASE MASTER'!#REF!)-1)))+1)+(9-INDEX('CASE MASTER'!$AB$2:$AB$495,(SUMPRODUCT((('CASE MASTER'!$T$2:$T$495=6)*('CASE MASTER'!$AA$2:$AA$495&lt;=6)*('CASE MASTER'!$AC$2:$AC$495&gt;=6)*('CASE MASTER'!$AB$2:$AB$495&lt;=9)*('CASE MASTER'!$AD$2:$AD$495&gt;=9))*ROW('CASE MASTER'!$T$2:$T$495))-(ROW('CASE MASTER'!#REF!)-1))))+1)))-1)*50+1,50))&amp;"_"&amp;INDEX('CASE MASTER'!$Q$2:$Q$495,(SUMPRODUCT((('CASE MASTER'!$T$2:$T$495=6)*('CASE MASTER'!$AA$2:$AA$495&lt;=6)*('CASE MASTER'!$AC$2:$AC$495&gt;=6)*('CASE MASTER'!$AB$2:$AB$495&lt;=9)*('CASE MASTER'!$AD$2:$AD$495&gt;=9))*ROW('CASE MASTER'!$T$2:$T$495))-(ROW('CASE MASTER'!#REF!)-1))),"")),"")</f>
        <v/>
      </c>
      <c r="K78" s="10" t="str">
        <f>IFERROR(IF(SUMPRODUCT((('CASE MASTER'!$T$2:$T$495=6)*('CASE MASTER'!$U$2:$U$495&lt;=6)*('CASE MASTER'!$W$2:$W$495&gt;=6)*('CASE MASTER'!$V$2:$V$495&lt;=10)*('CASE MASTER'!$X$2:$X$495&gt;=10))*ROW('CASE MASTER'!$T$2:$T$495))&gt;0,INDEX('CASE MASTER'!$Y$2:$Y$495,(SUMPRODUCT((('CASE MASTER'!$T$2:$T$495=6)*('CASE MASTER'!$U$2:$U$495&lt;=6)*('CASE MASTER'!$W$2:$W$495&gt;=6)*('CASE MASTER'!$V$2:$V$495&lt;=10)*('CASE MASTER'!$X$2:$X$495&gt;=10))*ROW('CASE MASTER'!$T$2:$T$495))-(ROW('CASE MASTER'!#REF!)-1)))&amp;TRIM(MID(SUBSTITUTE(SUBSTITUTE(INDEX('CASE MASTER'!$N$2:$N$495,(SUMPRODUCT((('CASE MASTER'!$T$2:$T$495=6)*('CASE MASTER'!$U$2:$U$495&lt;=6)*('CASE MASTER'!$W$2:$W$495&gt;=6)*('CASE MASTER'!$V$2:$V$495&lt;=10)*('CASE MASTER'!$X$2:$X$495&gt;=10))*ROW('CASE MASTER'!$T$2:$T$495))-(ROW('CASE MASTER'!#REF!)-1))),":",","),",",REPT(" ",50)),((((6-INDEX('CASE MASTER'!$U$2:$U$495,(SUMPRODUCT((('CASE MASTER'!$T$2:$T$495=6)*('CASE MASTER'!$U$2:$U$495&lt;=6)*('CASE MASTER'!$W$2:$W$495&gt;=6)*('CASE MASTER'!$V$2:$V$495&lt;=10)*('CASE MASTER'!$X$2:$X$495&gt;=10))*ROW('CASE MASTER'!$T$2:$T$495))-(ROW('CASE MASTER'!#REF!)-1))))*(INDEX('CASE MASTER'!$X$2:$X$495,(SUMPRODUCT((('CASE MASTER'!$T$2:$T$495=6)*('CASE MASTER'!$U$2:$U$495&lt;=6)*('CASE MASTER'!$W$2:$W$495&gt;=6)*('CASE MASTER'!$V$2:$V$495&lt;=10)*('CASE MASTER'!$X$2:$X$495&gt;=10))*ROW('CASE MASTER'!$T$2:$T$495))-(ROW('CASE MASTER'!#REF!)-1)))-INDEX('CASE MASTER'!$V$2:$V$495,(SUMPRODUCT((('CASE MASTER'!$T$2:$T$495=6)*('CASE MASTER'!$U$2:$U$495&lt;=6)*('CASE MASTER'!$W$2:$W$495&gt;=6)*('CASE MASTER'!$V$2:$V$495&lt;=10)*('CASE MASTER'!$X$2:$X$495&gt;=10))*ROW('CASE MASTER'!$T$2:$T$495))-(ROW('CASE MASTER'!#REF!)-1)))+1)+(10-INDEX('CASE MASTER'!$V$2:$V$495,(SUMPRODUCT((('CASE MASTER'!$T$2:$T$495=6)*('CASE MASTER'!$U$2:$U$495&lt;=6)*('CASE MASTER'!$W$2:$W$495&gt;=6)*('CASE MASTER'!$V$2:$V$495&lt;=10)*('CASE MASTER'!$X$2:$X$495&gt;=10))*ROW('CASE MASTER'!$T$2:$T$495))-(ROW('CASE MASTER'!#REF!)-1))))+1))-1)*50+1,50))&amp;"_"&amp;INDEX('CASE MASTER'!$Q$2:$Q$495,(SUMPRODUCT((('CASE MASTER'!$T$2:$T$495=6)*('CASE MASTER'!$U$2:$U$495&lt;=6)*('CASE MASTER'!$W$2:$W$495&gt;=6)*('CASE MASTER'!$V$2:$V$495&lt;=10)*('CASE MASTER'!$X$2:$X$495&gt;=10))*ROW('CASE MASTER'!$T$2:$T$495))-(ROW('CASE MASTER'!#REF!)-1))),IF(SUMPRODUCT((('CASE MASTER'!$T$2:$T$495=6)*('CASE MASTER'!$AA$2:$AA$495&lt;=6)*('CASE MASTER'!$AC$2:$AC$495&gt;=6)*('CASE MASTER'!$AB$2:$AB$495&lt;=10)*('CASE MASTER'!$AD$2:$AD$495&gt;=10))*ROW('CASE MASTER'!$T$2:$T$495))&gt;0,INDEX('CASE MASTER'!$Y$2:$Y$495,(SUMPRODUCT((('CASE MASTER'!$T$2:$T$495=6)*('CASE MASTER'!$AA$2:$AA$495&lt;=6)*('CASE MASTER'!$AC$2:$AC$495&gt;=6)*('CASE MASTER'!$AB$2:$AB$495&lt;=10)*('CASE MASTER'!$AD$2:$AD$495&gt;=10))*ROW('CASE MASTER'!$T$2:$T$495))-(ROW('CASE MASTER'!#REF!)-1)))&amp;TRIM(MID(SUBSTITUTE(SUBSTITUTE(INDEX('CASE MASTER'!$N$2:$N$495,(SUMPRODUCT((('CASE MASTER'!$T$2:$T$495=6)*('CASE MASTER'!$AA$2:$AA$495&lt;=6)*('CASE MASTER'!$AC$2:$AC$495&gt;=6)*('CASE MASTER'!$AB$2:$AB$495&lt;=10)*('CASE MASTER'!$AD$2:$AD$495&gt;=10))*ROW('CASE MASTER'!$T$2:$T$495))-(ROW('CASE MASTER'!#REF!)-1))),":",","),",",REPT(" ",50)),(((INDEX('CASE MASTER'!$Z$2:$Z$495,(SUMPRODUCT((('CASE MASTER'!$T$2:$T$495=6)*('CASE MASTER'!$AA$2:$AA$495&lt;=6)*('CASE MASTER'!$AC$2:$AC$495&gt;=6)*('CASE MASTER'!$AB$2:$AB$495&lt;=10)*('CASE MASTER'!$AD$2:$AD$495&gt;=10))*ROW('CASE MASTER'!$T$2:$T$495))-(ROW('CASE MASTER'!#REF!)-1)))+((6-INDEX('CASE MASTER'!$AA$2:$AA$495,(SUMPRODUCT((('CASE MASTER'!$T$2:$T$495=6)*('CASE MASTER'!$AA$2:$AA$495&lt;=6)*('CASE MASTER'!$AC$2:$AC$495&gt;=6)*('CASE MASTER'!$AB$2:$AB$495&lt;=10)*('CASE MASTER'!$AD$2:$AD$495&gt;=10))*ROW('CASE MASTER'!$T$2:$T$495))-(ROW('CASE MASTER'!#REF!)-1))))*(INDEX('CASE MASTER'!$AD$2:$AD$495,(SUMPRODUCT((('CASE MASTER'!$T$2:$T$495=6)*('CASE MASTER'!$AA$2:$AA$495&lt;=6)*('CASE MASTER'!$AC$2:$AC$495&gt;=6)*('CASE MASTER'!$AB$2:$AB$495&lt;=10)*('CASE MASTER'!$AD$2:$AD$495&gt;=10))*ROW('CASE MASTER'!$T$2:$T$495))-(ROW('CASE MASTER'!#REF!)-1)))-INDEX('CASE MASTER'!$AB$2:$AB$495,(SUMPRODUCT((('CASE MASTER'!$T$2:$T$495=6)*('CASE MASTER'!$AA$2:$AA$495&lt;=6)*('CASE MASTER'!$AC$2:$AC$495&gt;=6)*('CASE MASTER'!$AB$2:$AB$495&lt;=10)*('CASE MASTER'!$AD$2:$AD$495&gt;=10))*ROW('CASE MASTER'!$T$2:$T$495))-(ROW('CASE MASTER'!#REF!)-1)))+1)+(10-INDEX('CASE MASTER'!$AB$2:$AB$495,(SUMPRODUCT((('CASE MASTER'!$T$2:$T$495=6)*('CASE MASTER'!$AA$2:$AA$495&lt;=6)*('CASE MASTER'!$AC$2:$AC$495&gt;=6)*('CASE MASTER'!$AB$2:$AB$495&lt;=10)*('CASE MASTER'!$AD$2:$AD$495&gt;=10))*ROW('CASE MASTER'!$T$2:$T$495))-(ROW('CASE MASTER'!#REF!)-1))))+1)))-1)*50+1,50))&amp;"_"&amp;INDEX('CASE MASTER'!$Q$2:$Q$495,(SUMPRODUCT((('CASE MASTER'!$T$2:$T$495=6)*('CASE MASTER'!$AA$2:$AA$495&lt;=6)*('CASE MASTER'!$AC$2:$AC$495&gt;=6)*('CASE MASTER'!$AB$2:$AB$495&lt;=10)*('CASE MASTER'!$AD$2:$AD$495&gt;=10))*ROW('CASE MASTER'!$T$2:$T$495))-(ROW('CASE MASTER'!#REF!)-1))),"")),"")</f>
        <v/>
      </c>
    </row>
    <row r="79" spans="1:11" ht="15" customHeight="1" x14ac:dyDescent="0.35">
      <c r="A79" s="8" t="s">
        <v>34</v>
      </c>
      <c r="B79" s="10" t="str">
        <f>IFERROR(IF(SUMPRODUCT((('CASE MASTER'!$T$2:$T$495=6)*('CASE MASTER'!$U$2:$U$495&lt;=7)*('CASE MASTER'!$W$2:$W$495&gt;=7)*('CASE MASTER'!$V$2:$V$495&lt;=1)*('CASE MASTER'!$X$2:$X$495&gt;=1))*ROW('CASE MASTER'!$T$2:$T$495))&gt;0,INDEX('CASE MASTER'!$Y$2:$Y$495,(SUMPRODUCT((('CASE MASTER'!$T$2:$T$495=6)*('CASE MASTER'!$U$2:$U$495&lt;=7)*('CASE MASTER'!$W$2:$W$495&gt;=7)*('CASE MASTER'!$V$2:$V$495&lt;=1)*('CASE MASTER'!$X$2:$X$495&gt;=1))*ROW('CASE MASTER'!$T$2:$T$495))-(ROW('CASE MASTER'!#REF!)-1)))&amp;TRIM(MID(SUBSTITUTE(SUBSTITUTE(INDEX('CASE MASTER'!$N$2:$N$495,(SUMPRODUCT((('CASE MASTER'!$T$2:$T$495=6)*('CASE MASTER'!$U$2:$U$495&lt;=7)*('CASE MASTER'!$W$2:$W$495&gt;=7)*('CASE MASTER'!$V$2:$V$495&lt;=1)*('CASE MASTER'!$X$2:$X$495&gt;=1))*ROW('CASE MASTER'!$T$2:$T$495))-(ROW('CASE MASTER'!#REF!)-1))),":",","),",",REPT(" ",50)),((((7-INDEX('CASE MASTER'!$U$2:$U$495,(SUMPRODUCT((('CASE MASTER'!$T$2:$T$495=6)*('CASE MASTER'!$U$2:$U$495&lt;=7)*('CASE MASTER'!$W$2:$W$495&gt;=7)*('CASE MASTER'!$V$2:$V$495&lt;=1)*('CASE MASTER'!$X$2:$X$495&gt;=1))*ROW('CASE MASTER'!$T$2:$T$495))-(ROW('CASE MASTER'!#REF!)-1))))*(INDEX('CASE MASTER'!$X$2:$X$495,(SUMPRODUCT((('CASE MASTER'!$T$2:$T$495=6)*('CASE MASTER'!$U$2:$U$495&lt;=7)*('CASE MASTER'!$W$2:$W$495&gt;=7)*('CASE MASTER'!$V$2:$V$495&lt;=1)*('CASE MASTER'!$X$2:$X$495&gt;=1))*ROW('CASE MASTER'!$T$2:$T$495))-(ROW('CASE MASTER'!#REF!)-1)))-INDEX('CASE MASTER'!$V$2:$V$495,(SUMPRODUCT((('CASE MASTER'!$T$2:$T$495=6)*('CASE MASTER'!$U$2:$U$495&lt;=7)*('CASE MASTER'!$W$2:$W$495&gt;=7)*('CASE MASTER'!$V$2:$V$495&lt;=1)*('CASE MASTER'!$X$2:$X$495&gt;=1))*ROW('CASE MASTER'!$T$2:$T$495))-(ROW('CASE MASTER'!#REF!)-1)))+1)+(1-INDEX('CASE MASTER'!$V$2:$V$495,(SUMPRODUCT((('CASE MASTER'!$T$2:$T$495=6)*('CASE MASTER'!$U$2:$U$495&lt;=7)*('CASE MASTER'!$W$2:$W$495&gt;=7)*('CASE MASTER'!$V$2:$V$495&lt;=1)*('CASE MASTER'!$X$2:$X$495&gt;=1))*ROW('CASE MASTER'!$T$2:$T$495))-(ROW('CASE MASTER'!#REF!)-1))))+1))-1)*50+1,50))&amp;"_"&amp;INDEX('CASE MASTER'!$Q$2:$Q$495,(SUMPRODUCT((('CASE MASTER'!$T$2:$T$495=6)*('CASE MASTER'!$U$2:$U$495&lt;=7)*('CASE MASTER'!$W$2:$W$495&gt;=7)*('CASE MASTER'!$V$2:$V$495&lt;=1)*('CASE MASTER'!$X$2:$X$495&gt;=1))*ROW('CASE MASTER'!$T$2:$T$495))-(ROW('CASE MASTER'!#REF!)-1))),IF(SUMPRODUCT((('CASE MASTER'!$T$2:$T$495=6)*('CASE MASTER'!$AA$2:$AA$495&lt;=7)*('CASE MASTER'!$AC$2:$AC$495&gt;=7)*('CASE MASTER'!$AB$2:$AB$495&lt;=1)*('CASE MASTER'!$AD$2:$AD$495&gt;=1))*ROW('CASE MASTER'!$T$2:$T$495))&gt;0,INDEX('CASE MASTER'!$Y$2:$Y$495,(SUMPRODUCT((('CASE MASTER'!$T$2:$T$495=6)*('CASE MASTER'!$AA$2:$AA$495&lt;=7)*('CASE MASTER'!$AC$2:$AC$495&gt;=7)*('CASE MASTER'!$AB$2:$AB$495&lt;=1)*('CASE MASTER'!$AD$2:$AD$495&gt;=1))*ROW('CASE MASTER'!$T$2:$T$495))-(ROW('CASE MASTER'!#REF!)-1)))&amp;TRIM(MID(SUBSTITUTE(SUBSTITUTE(INDEX('CASE MASTER'!$N$2:$N$495,(SUMPRODUCT((('CASE MASTER'!$T$2:$T$495=6)*('CASE MASTER'!$AA$2:$AA$495&lt;=7)*('CASE MASTER'!$AC$2:$AC$495&gt;=7)*('CASE MASTER'!$AB$2:$AB$495&lt;=1)*('CASE MASTER'!$AD$2:$AD$495&gt;=1))*ROW('CASE MASTER'!$T$2:$T$495))-(ROW('CASE MASTER'!#REF!)-1))),":",","),",",REPT(" ",50)),(((INDEX('CASE MASTER'!$Z$2:$Z$495,(SUMPRODUCT((('CASE MASTER'!$T$2:$T$495=6)*('CASE MASTER'!$AA$2:$AA$495&lt;=7)*('CASE MASTER'!$AC$2:$AC$495&gt;=7)*('CASE MASTER'!$AB$2:$AB$495&lt;=1)*('CASE MASTER'!$AD$2:$AD$495&gt;=1))*ROW('CASE MASTER'!$T$2:$T$495))-(ROW('CASE MASTER'!#REF!)-1)))+((7-INDEX('CASE MASTER'!$AA$2:$AA$495,(SUMPRODUCT((('CASE MASTER'!$T$2:$T$495=6)*('CASE MASTER'!$AA$2:$AA$495&lt;=7)*('CASE MASTER'!$AC$2:$AC$495&gt;=7)*('CASE MASTER'!$AB$2:$AB$495&lt;=1)*('CASE MASTER'!$AD$2:$AD$495&gt;=1))*ROW('CASE MASTER'!$T$2:$T$495))-(ROW('CASE MASTER'!#REF!)-1))))*(INDEX('CASE MASTER'!$AD$2:$AD$495,(SUMPRODUCT((('CASE MASTER'!$T$2:$T$495=6)*('CASE MASTER'!$AA$2:$AA$495&lt;=7)*('CASE MASTER'!$AC$2:$AC$495&gt;=7)*('CASE MASTER'!$AB$2:$AB$495&lt;=1)*('CASE MASTER'!$AD$2:$AD$495&gt;=1))*ROW('CASE MASTER'!$T$2:$T$495))-(ROW('CASE MASTER'!#REF!)-1)))-INDEX('CASE MASTER'!$AB$2:$AB$495,(SUMPRODUCT((('CASE MASTER'!$T$2:$T$495=6)*('CASE MASTER'!$AA$2:$AA$495&lt;=7)*('CASE MASTER'!$AC$2:$AC$495&gt;=7)*('CASE MASTER'!$AB$2:$AB$495&lt;=1)*('CASE MASTER'!$AD$2:$AD$495&gt;=1))*ROW('CASE MASTER'!$T$2:$T$495))-(ROW('CASE MASTER'!#REF!)-1)))+1)+(1-INDEX('CASE MASTER'!$AB$2:$AB$495,(SUMPRODUCT((('CASE MASTER'!$T$2:$T$495=6)*('CASE MASTER'!$AA$2:$AA$495&lt;=7)*('CASE MASTER'!$AC$2:$AC$495&gt;=7)*('CASE MASTER'!$AB$2:$AB$495&lt;=1)*('CASE MASTER'!$AD$2:$AD$495&gt;=1))*ROW('CASE MASTER'!$T$2:$T$495))-(ROW('CASE MASTER'!#REF!)-1))))+1)))-1)*50+1,50))&amp;"_"&amp;INDEX('CASE MASTER'!$Q$2:$Q$495,(SUMPRODUCT((('CASE MASTER'!$T$2:$T$495=6)*('CASE MASTER'!$AA$2:$AA$495&lt;=7)*('CASE MASTER'!$AC$2:$AC$495&gt;=7)*('CASE MASTER'!$AB$2:$AB$495&lt;=1)*('CASE MASTER'!$AD$2:$AD$495&gt;=1))*ROW('CASE MASTER'!$T$2:$T$495))-(ROW('CASE MASTER'!#REF!)-1))),"")),"")</f>
        <v/>
      </c>
      <c r="C79" s="10" t="str">
        <f>IFERROR(IF(SUMPRODUCT((('CASE MASTER'!$T$2:$T$495=6)*('CASE MASTER'!$U$2:$U$495&lt;=7)*('CASE MASTER'!$W$2:$W$495&gt;=7)*('CASE MASTER'!$V$2:$V$495&lt;=2)*('CASE MASTER'!$X$2:$X$495&gt;=2))*ROW('CASE MASTER'!$T$2:$T$495))&gt;0,INDEX('CASE MASTER'!$Y$2:$Y$495,(SUMPRODUCT((('CASE MASTER'!$T$2:$T$495=6)*('CASE MASTER'!$U$2:$U$495&lt;=7)*('CASE MASTER'!$W$2:$W$495&gt;=7)*('CASE MASTER'!$V$2:$V$495&lt;=2)*('CASE MASTER'!$X$2:$X$495&gt;=2))*ROW('CASE MASTER'!$T$2:$T$495))-(ROW('CASE MASTER'!#REF!)-1)))&amp;TRIM(MID(SUBSTITUTE(SUBSTITUTE(INDEX('CASE MASTER'!$N$2:$N$495,(SUMPRODUCT((('CASE MASTER'!$T$2:$T$495=6)*('CASE MASTER'!$U$2:$U$495&lt;=7)*('CASE MASTER'!$W$2:$W$495&gt;=7)*('CASE MASTER'!$V$2:$V$495&lt;=2)*('CASE MASTER'!$X$2:$X$495&gt;=2))*ROW('CASE MASTER'!$T$2:$T$495))-(ROW('CASE MASTER'!#REF!)-1))),":",","),",",REPT(" ",50)),((((7-INDEX('CASE MASTER'!$U$2:$U$495,(SUMPRODUCT((('CASE MASTER'!$T$2:$T$495=6)*('CASE MASTER'!$U$2:$U$495&lt;=7)*('CASE MASTER'!$W$2:$W$495&gt;=7)*('CASE MASTER'!$V$2:$V$495&lt;=2)*('CASE MASTER'!$X$2:$X$495&gt;=2))*ROW('CASE MASTER'!$T$2:$T$495))-(ROW('CASE MASTER'!#REF!)-1))))*(INDEX('CASE MASTER'!$X$2:$X$495,(SUMPRODUCT((('CASE MASTER'!$T$2:$T$495=6)*('CASE MASTER'!$U$2:$U$495&lt;=7)*('CASE MASTER'!$W$2:$W$495&gt;=7)*('CASE MASTER'!$V$2:$V$495&lt;=2)*('CASE MASTER'!$X$2:$X$495&gt;=2))*ROW('CASE MASTER'!$T$2:$T$495))-(ROW('CASE MASTER'!#REF!)-1)))-INDEX('CASE MASTER'!$V$2:$V$495,(SUMPRODUCT((('CASE MASTER'!$T$2:$T$495=6)*('CASE MASTER'!$U$2:$U$495&lt;=7)*('CASE MASTER'!$W$2:$W$495&gt;=7)*('CASE MASTER'!$V$2:$V$495&lt;=2)*('CASE MASTER'!$X$2:$X$495&gt;=2))*ROW('CASE MASTER'!$T$2:$T$495))-(ROW('CASE MASTER'!#REF!)-1)))+1)+(2-INDEX('CASE MASTER'!$V$2:$V$495,(SUMPRODUCT((('CASE MASTER'!$T$2:$T$495=6)*('CASE MASTER'!$U$2:$U$495&lt;=7)*('CASE MASTER'!$W$2:$W$495&gt;=7)*('CASE MASTER'!$V$2:$V$495&lt;=2)*('CASE MASTER'!$X$2:$X$495&gt;=2))*ROW('CASE MASTER'!$T$2:$T$495))-(ROW('CASE MASTER'!#REF!)-1))))+1))-1)*50+1,50))&amp;"_"&amp;INDEX('CASE MASTER'!$Q$2:$Q$495,(SUMPRODUCT((('CASE MASTER'!$T$2:$T$495=6)*('CASE MASTER'!$U$2:$U$495&lt;=7)*('CASE MASTER'!$W$2:$W$495&gt;=7)*('CASE MASTER'!$V$2:$V$495&lt;=2)*('CASE MASTER'!$X$2:$X$495&gt;=2))*ROW('CASE MASTER'!$T$2:$T$495))-(ROW('CASE MASTER'!#REF!)-1))),IF(SUMPRODUCT((('CASE MASTER'!$T$2:$T$495=6)*('CASE MASTER'!$AA$2:$AA$495&lt;=7)*('CASE MASTER'!$AC$2:$AC$495&gt;=7)*('CASE MASTER'!$AB$2:$AB$495&lt;=2)*('CASE MASTER'!$AD$2:$AD$495&gt;=2))*ROW('CASE MASTER'!$T$2:$T$495))&gt;0,INDEX('CASE MASTER'!$Y$2:$Y$495,(SUMPRODUCT((('CASE MASTER'!$T$2:$T$495=6)*('CASE MASTER'!$AA$2:$AA$495&lt;=7)*('CASE MASTER'!$AC$2:$AC$495&gt;=7)*('CASE MASTER'!$AB$2:$AB$495&lt;=2)*('CASE MASTER'!$AD$2:$AD$495&gt;=2))*ROW('CASE MASTER'!$T$2:$T$495))-(ROW('CASE MASTER'!#REF!)-1)))&amp;TRIM(MID(SUBSTITUTE(SUBSTITUTE(INDEX('CASE MASTER'!$N$2:$N$495,(SUMPRODUCT((('CASE MASTER'!$T$2:$T$495=6)*('CASE MASTER'!$AA$2:$AA$495&lt;=7)*('CASE MASTER'!$AC$2:$AC$495&gt;=7)*('CASE MASTER'!$AB$2:$AB$495&lt;=2)*('CASE MASTER'!$AD$2:$AD$495&gt;=2))*ROW('CASE MASTER'!$T$2:$T$495))-(ROW('CASE MASTER'!#REF!)-1))),":",","),",",REPT(" ",50)),(((INDEX('CASE MASTER'!$Z$2:$Z$495,(SUMPRODUCT((('CASE MASTER'!$T$2:$T$495=6)*('CASE MASTER'!$AA$2:$AA$495&lt;=7)*('CASE MASTER'!$AC$2:$AC$495&gt;=7)*('CASE MASTER'!$AB$2:$AB$495&lt;=2)*('CASE MASTER'!$AD$2:$AD$495&gt;=2))*ROW('CASE MASTER'!$T$2:$T$495))-(ROW('CASE MASTER'!#REF!)-1)))+((7-INDEX('CASE MASTER'!$AA$2:$AA$495,(SUMPRODUCT((('CASE MASTER'!$T$2:$T$495=6)*('CASE MASTER'!$AA$2:$AA$495&lt;=7)*('CASE MASTER'!$AC$2:$AC$495&gt;=7)*('CASE MASTER'!$AB$2:$AB$495&lt;=2)*('CASE MASTER'!$AD$2:$AD$495&gt;=2))*ROW('CASE MASTER'!$T$2:$T$495))-(ROW('CASE MASTER'!#REF!)-1))))*(INDEX('CASE MASTER'!$AD$2:$AD$495,(SUMPRODUCT((('CASE MASTER'!$T$2:$T$495=6)*('CASE MASTER'!$AA$2:$AA$495&lt;=7)*('CASE MASTER'!$AC$2:$AC$495&gt;=7)*('CASE MASTER'!$AB$2:$AB$495&lt;=2)*('CASE MASTER'!$AD$2:$AD$495&gt;=2))*ROW('CASE MASTER'!$T$2:$T$495))-(ROW('CASE MASTER'!#REF!)-1)))-INDEX('CASE MASTER'!$AB$2:$AB$495,(SUMPRODUCT((('CASE MASTER'!$T$2:$T$495=6)*('CASE MASTER'!$AA$2:$AA$495&lt;=7)*('CASE MASTER'!$AC$2:$AC$495&gt;=7)*('CASE MASTER'!$AB$2:$AB$495&lt;=2)*('CASE MASTER'!$AD$2:$AD$495&gt;=2))*ROW('CASE MASTER'!$T$2:$T$495))-(ROW('CASE MASTER'!#REF!)-1)))+1)+(2-INDEX('CASE MASTER'!$AB$2:$AB$495,(SUMPRODUCT((('CASE MASTER'!$T$2:$T$495=6)*('CASE MASTER'!$AA$2:$AA$495&lt;=7)*('CASE MASTER'!$AC$2:$AC$495&gt;=7)*('CASE MASTER'!$AB$2:$AB$495&lt;=2)*('CASE MASTER'!$AD$2:$AD$495&gt;=2))*ROW('CASE MASTER'!$T$2:$T$495))-(ROW('CASE MASTER'!#REF!)-1))))+1)))-1)*50+1,50))&amp;"_"&amp;INDEX('CASE MASTER'!$Q$2:$Q$495,(SUMPRODUCT((('CASE MASTER'!$T$2:$T$495=6)*('CASE MASTER'!$AA$2:$AA$495&lt;=7)*('CASE MASTER'!$AC$2:$AC$495&gt;=7)*('CASE MASTER'!$AB$2:$AB$495&lt;=2)*('CASE MASTER'!$AD$2:$AD$495&gt;=2))*ROW('CASE MASTER'!$T$2:$T$495))-(ROW('CASE MASTER'!#REF!)-1))),"")),"")</f>
        <v/>
      </c>
      <c r="D79" s="10" t="str">
        <f>IFERROR(IF(SUMPRODUCT((('CASE MASTER'!$T$2:$T$495=6)*('CASE MASTER'!$U$2:$U$495&lt;=7)*('CASE MASTER'!$W$2:$W$495&gt;=7)*('CASE MASTER'!$V$2:$V$495&lt;=3)*('CASE MASTER'!$X$2:$X$495&gt;=3))*ROW('CASE MASTER'!$T$2:$T$495))&gt;0,INDEX('CASE MASTER'!$Y$2:$Y$495,(SUMPRODUCT((('CASE MASTER'!$T$2:$T$495=6)*('CASE MASTER'!$U$2:$U$495&lt;=7)*('CASE MASTER'!$W$2:$W$495&gt;=7)*('CASE MASTER'!$V$2:$V$495&lt;=3)*('CASE MASTER'!$X$2:$X$495&gt;=3))*ROW('CASE MASTER'!$T$2:$T$495))-(ROW('CASE MASTER'!#REF!)-1)))&amp;TRIM(MID(SUBSTITUTE(SUBSTITUTE(INDEX('CASE MASTER'!$N$2:$N$495,(SUMPRODUCT((('CASE MASTER'!$T$2:$T$495=6)*('CASE MASTER'!$U$2:$U$495&lt;=7)*('CASE MASTER'!$W$2:$W$495&gt;=7)*('CASE MASTER'!$V$2:$V$495&lt;=3)*('CASE MASTER'!$X$2:$X$495&gt;=3))*ROW('CASE MASTER'!$T$2:$T$495))-(ROW('CASE MASTER'!#REF!)-1))),":",","),",",REPT(" ",50)),((((7-INDEX('CASE MASTER'!$U$2:$U$495,(SUMPRODUCT((('CASE MASTER'!$T$2:$T$495=6)*('CASE MASTER'!$U$2:$U$495&lt;=7)*('CASE MASTER'!$W$2:$W$495&gt;=7)*('CASE MASTER'!$V$2:$V$495&lt;=3)*('CASE MASTER'!$X$2:$X$495&gt;=3))*ROW('CASE MASTER'!$T$2:$T$495))-(ROW('CASE MASTER'!#REF!)-1))))*(INDEX('CASE MASTER'!$X$2:$X$495,(SUMPRODUCT((('CASE MASTER'!$T$2:$T$495=6)*('CASE MASTER'!$U$2:$U$495&lt;=7)*('CASE MASTER'!$W$2:$W$495&gt;=7)*('CASE MASTER'!$V$2:$V$495&lt;=3)*('CASE MASTER'!$X$2:$X$495&gt;=3))*ROW('CASE MASTER'!$T$2:$T$495))-(ROW('CASE MASTER'!#REF!)-1)))-INDEX('CASE MASTER'!$V$2:$V$495,(SUMPRODUCT((('CASE MASTER'!$T$2:$T$495=6)*('CASE MASTER'!$U$2:$U$495&lt;=7)*('CASE MASTER'!$W$2:$W$495&gt;=7)*('CASE MASTER'!$V$2:$V$495&lt;=3)*('CASE MASTER'!$X$2:$X$495&gt;=3))*ROW('CASE MASTER'!$T$2:$T$495))-(ROW('CASE MASTER'!#REF!)-1)))+1)+(3-INDEX('CASE MASTER'!$V$2:$V$495,(SUMPRODUCT((('CASE MASTER'!$T$2:$T$495=6)*('CASE MASTER'!$U$2:$U$495&lt;=7)*('CASE MASTER'!$W$2:$W$495&gt;=7)*('CASE MASTER'!$V$2:$V$495&lt;=3)*('CASE MASTER'!$X$2:$X$495&gt;=3))*ROW('CASE MASTER'!$T$2:$T$495))-(ROW('CASE MASTER'!#REF!)-1))))+1))-1)*50+1,50))&amp;"_"&amp;INDEX('CASE MASTER'!$Q$2:$Q$495,(SUMPRODUCT((('CASE MASTER'!$T$2:$T$495=6)*('CASE MASTER'!$U$2:$U$495&lt;=7)*('CASE MASTER'!$W$2:$W$495&gt;=7)*('CASE MASTER'!$V$2:$V$495&lt;=3)*('CASE MASTER'!$X$2:$X$495&gt;=3))*ROW('CASE MASTER'!$T$2:$T$495))-(ROW('CASE MASTER'!#REF!)-1))),IF(SUMPRODUCT((('CASE MASTER'!$T$2:$T$495=6)*('CASE MASTER'!$AA$2:$AA$495&lt;=7)*('CASE MASTER'!$AC$2:$AC$495&gt;=7)*('CASE MASTER'!$AB$2:$AB$495&lt;=3)*('CASE MASTER'!$AD$2:$AD$495&gt;=3))*ROW('CASE MASTER'!$T$2:$T$495))&gt;0,INDEX('CASE MASTER'!$Y$2:$Y$495,(SUMPRODUCT((('CASE MASTER'!$T$2:$T$495=6)*('CASE MASTER'!$AA$2:$AA$495&lt;=7)*('CASE MASTER'!$AC$2:$AC$495&gt;=7)*('CASE MASTER'!$AB$2:$AB$495&lt;=3)*('CASE MASTER'!$AD$2:$AD$495&gt;=3))*ROW('CASE MASTER'!$T$2:$T$495))-(ROW('CASE MASTER'!#REF!)-1)))&amp;TRIM(MID(SUBSTITUTE(SUBSTITUTE(INDEX('CASE MASTER'!$N$2:$N$495,(SUMPRODUCT((('CASE MASTER'!$T$2:$T$495=6)*('CASE MASTER'!$AA$2:$AA$495&lt;=7)*('CASE MASTER'!$AC$2:$AC$495&gt;=7)*('CASE MASTER'!$AB$2:$AB$495&lt;=3)*('CASE MASTER'!$AD$2:$AD$495&gt;=3))*ROW('CASE MASTER'!$T$2:$T$495))-(ROW('CASE MASTER'!#REF!)-1))),":",","),",",REPT(" ",50)),(((INDEX('CASE MASTER'!$Z$2:$Z$495,(SUMPRODUCT((('CASE MASTER'!$T$2:$T$495=6)*('CASE MASTER'!$AA$2:$AA$495&lt;=7)*('CASE MASTER'!$AC$2:$AC$495&gt;=7)*('CASE MASTER'!$AB$2:$AB$495&lt;=3)*('CASE MASTER'!$AD$2:$AD$495&gt;=3))*ROW('CASE MASTER'!$T$2:$T$495))-(ROW('CASE MASTER'!#REF!)-1)))+((7-INDEX('CASE MASTER'!$AA$2:$AA$495,(SUMPRODUCT((('CASE MASTER'!$T$2:$T$495=6)*('CASE MASTER'!$AA$2:$AA$495&lt;=7)*('CASE MASTER'!$AC$2:$AC$495&gt;=7)*('CASE MASTER'!$AB$2:$AB$495&lt;=3)*('CASE MASTER'!$AD$2:$AD$495&gt;=3))*ROW('CASE MASTER'!$T$2:$T$495))-(ROW('CASE MASTER'!#REF!)-1))))*(INDEX('CASE MASTER'!$AD$2:$AD$495,(SUMPRODUCT((('CASE MASTER'!$T$2:$T$495=6)*('CASE MASTER'!$AA$2:$AA$495&lt;=7)*('CASE MASTER'!$AC$2:$AC$495&gt;=7)*('CASE MASTER'!$AB$2:$AB$495&lt;=3)*('CASE MASTER'!$AD$2:$AD$495&gt;=3))*ROW('CASE MASTER'!$T$2:$T$495))-(ROW('CASE MASTER'!#REF!)-1)))-INDEX('CASE MASTER'!$AB$2:$AB$495,(SUMPRODUCT((('CASE MASTER'!$T$2:$T$495=6)*('CASE MASTER'!$AA$2:$AA$495&lt;=7)*('CASE MASTER'!$AC$2:$AC$495&gt;=7)*('CASE MASTER'!$AB$2:$AB$495&lt;=3)*('CASE MASTER'!$AD$2:$AD$495&gt;=3))*ROW('CASE MASTER'!$T$2:$T$495))-(ROW('CASE MASTER'!#REF!)-1)))+1)+(3-INDEX('CASE MASTER'!$AB$2:$AB$495,(SUMPRODUCT((('CASE MASTER'!$T$2:$T$495=6)*('CASE MASTER'!$AA$2:$AA$495&lt;=7)*('CASE MASTER'!$AC$2:$AC$495&gt;=7)*('CASE MASTER'!$AB$2:$AB$495&lt;=3)*('CASE MASTER'!$AD$2:$AD$495&gt;=3))*ROW('CASE MASTER'!$T$2:$T$495))-(ROW('CASE MASTER'!#REF!)-1))))+1)))-1)*50+1,50))&amp;"_"&amp;INDEX('CASE MASTER'!$Q$2:$Q$495,(SUMPRODUCT((('CASE MASTER'!$T$2:$T$495=6)*('CASE MASTER'!$AA$2:$AA$495&lt;=7)*('CASE MASTER'!$AC$2:$AC$495&gt;=7)*('CASE MASTER'!$AB$2:$AB$495&lt;=3)*('CASE MASTER'!$AD$2:$AD$495&gt;=3))*ROW('CASE MASTER'!$T$2:$T$495))-(ROW('CASE MASTER'!#REF!)-1))),"")),"")</f>
        <v/>
      </c>
      <c r="E79" s="10" t="str">
        <f>IFERROR(IF(SUMPRODUCT((('CASE MASTER'!$T$2:$T$495=6)*('CASE MASTER'!$U$2:$U$495&lt;=7)*('CASE MASTER'!$W$2:$W$495&gt;=7)*('CASE MASTER'!$V$2:$V$495&lt;=4)*('CASE MASTER'!$X$2:$X$495&gt;=4))*ROW('CASE MASTER'!$T$2:$T$495))&gt;0,INDEX('CASE MASTER'!$Y$2:$Y$495,(SUMPRODUCT((('CASE MASTER'!$T$2:$T$495=6)*('CASE MASTER'!$U$2:$U$495&lt;=7)*('CASE MASTER'!$W$2:$W$495&gt;=7)*('CASE MASTER'!$V$2:$V$495&lt;=4)*('CASE MASTER'!$X$2:$X$495&gt;=4))*ROW('CASE MASTER'!$T$2:$T$495))-(ROW('CASE MASTER'!#REF!)-1)))&amp;TRIM(MID(SUBSTITUTE(SUBSTITUTE(INDEX('CASE MASTER'!$N$2:$N$495,(SUMPRODUCT((('CASE MASTER'!$T$2:$T$495=6)*('CASE MASTER'!$U$2:$U$495&lt;=7)*('CASE MASTER'!$W$2:$W$495&gt;=7)*('CASE MASTER'!$V$2:$V$495&lt;=4)*('CASE MASTER'!$X$2:$X$495&gt;=4))*ROW('CASE MASTER'!$T$2:$T$495))-(ROW('CASE MASTER'!#REF!)-1))),":",","),",",REPT(" ",50)),((((7-INDEX('CASE MASTER'!$U$2:$U$495,(SUMPRODUCT((('CASE MASTER'!$T$2:$T$495=6)*('CASE MASTER'!$U$2:$U$495&lt;=7)*('CASE MASTER'!$W$2:$W$495&gt;=7)*('CASE MASTER'!$V$2:$V$495&lt;=4)*('CASE MASTER'!$X$2:$X$495&gt;=4))*ROW('CASE MASTER'!$T$2:$T$495))-(ROW('CASE MASTER'!#REF!)-1))))*(INDEX('CASE MASTER'!$X$2:$X$495,(SUMPRODUCT((('CASE MASTER'!$T$2:$T$495=6)*('CASE MASTER'!$U$2:$U$495&lt;=7)*('CASE MASTER'!$W$2:$W$495&gt;=7)*('CASE MASTER'!$V$2:$V$495&lt;=4)*('CASE MASTER'!$X$2:$X$495&gt;=4))*ROW('CASE MASTER'!$T$2:$T$495))-(ROW('CASE MASTER'!#REF!)-1)))-INDEX('CASE MASTER'!$V$2:$V$495,(SUMPRODUCT((('CASE MASTER'!$T$2:$T$495=6)*('CASE MASTER'!$U$2:$U$495&lt;=7)*('CASE MASTER'!$W$2:$W$495&gt;=7)*('CASE MASTER'!$V$2:$V$495&lt;=4)*('CASE MASTER'!$X$2:$X$495&gt;=4))*ROW('CASE MASTER'!$T$2:$T$495))-(ROW('CASE MASTER'!#REF!)-1)))+1)+(4-INDEX('CASE MASTER'!$V$2:$V$495,(SUMPRODUCT((('CASE MASTER'!$T$2:$T$495=6)*('CASE MASTER'!$U$2:$U$495&lt;=7)*('CASE MASTER'!$W$2:$W$495&gt;=7)*('CASE MASTER'!$V$2:$V$495&lt;=4)*('CASE MASTER'!$X$2:$X$495&gt;=4))*ROW('CASE MASTER'!$T$2:$T$495))-(ROW('CASE MASTER'!#REF!)-1))))+1))-1)*50+1,50))&amp;"_"&amp;INDEX('CASE MASTER'!$Q$2:$Q$495,(SUMPRODUCT((('CASE MASTER'!$T$2:$T$495=6)*('CASE MASTER'!$U$2:$U$495&lt;=7)*('CASE MASTER'!$W$2:$W$495&gt;=7)*('CASE MASTER'!$V$2:$V$495&lt;=4)*('CASE MASTER'!$X$2:$X$495&gt;=4))*ROW('CASE MASTER'!$T$2:$T$495))-(ROW('CASE MASTER'!#REF!)-1))),IF(SUMPRODUCT((('CASE MASTER'!$T$2:$T$495=6)*('CASE MASTER'!$AA$2:$AA$495&lt;=7)*('CASE MASTER'!$AC$2:$AC$495&gt;=7)*('CASE MASTER'!$AB$2:$AB$495&lt;=4)*('CASE MASTER'!$AD$2:$AD$495&gt;=4))*ROW('CASE MASTER'!$T$2:$T$495))&gt;0,INDEX('CASE MASTER'!$Y$2:$Y$495,(SUMPRODUCT((('CASE MASTER'!$T$2:$T$495=6)*('CASE MASTER'!$AA$2:$AA$495&lt;=7)*('CASE MASTER'!$AC$2:$AC$495&gt;=7)*('CASE MASTER'!$AB$2:$AB$495&lt;=4)*('CASE MASTER'!$AD$2:$AD$495&gt;=4))*ROW('CASE MASTER'!$T$2:$T$495))-(ROW('CASE MASTER'!#REF!)-1)))&amp;TRIM(MID(SUBSTITUTE(SUBSTITUTE(INDEX('CASE MASTER'!$N$2:$N$495,(SUMPRODUCT((('CASE MASTER'!$T$2:$T$495=6)*('CASE MASTER'!$AA$2:$AA$495&lt;=7)*('CASE MASTER'!$AC$2:$AC$495&gt;=7)*('CASE MASTER'!$AB$2:$AB$495&lt;=4)*('CASE MASTER'!$AD$2:$AD$495&gt;=4))*ROW('CASE MASTER'!$T$2:$T$495))-(ROW('CASE MASTER'!#REF!)-1))),":",","),",",REPT(" ",50)),(((INDEX('CASE MASTER'!$Z$2:$Z$495,(SUMPRODUCT((('CASE MASTER'!$T$2:$T$495=6)*('CASE MASTER'!$AA$2:$AA$495&lt;=7)*('CASE MASTER'!$AC$2:$AC$495&gt;=7)*('CASE MASTER'!$AB$2:$AB$495&lt;=4)*('CASE MASTER'!$AD$2:$AD$495&gt;=4))*ROW('CASE MASTER'!$T$2:$T$495))-(ROW('CASE MASTER'!#REF!)-1)))+((7-INDEX('CASE MASTER'!$AA$2:$AA$495,(SUMPRODUCT((('CASE MASTER'!$T$2:$T$495=6)*('CASE MASTER'!$AA$2:$AA$495&lt;=7)*('CASE MASTER'!$AC$2:$AC$495&gt;=7)*('CASE MASTER'!$AB$2:$AB$495&lt;=4)*('CASE MASTER'!$AD$2:$AD$495&gt;=4))*ROW('CASE MASTER'!$T$2:$T$495))-(ROW('CASE MASTER'!#REF!)-1))))*(INDEX('CASE MASTER'!$AD$2:$AD$495,(SUMPRODUCT((('CASE MASTER'!$T$2:$T$495=6)*('CASE MASTER'!$AA$2:$AA$495&lt;=7)*('CASE MASTER'!$AC$2:$AC$495&gt;=7)*('CASE MASTER'!$AB$2:$AB$495&lt;=4)*('CASE MASTER'!$AD$2:$AD$495&gt;=4))*ROW('CASE MASTER'!$T$2:$T$495))-(ROW('CASE MASTER'!#REF!)-1)))-INDEX('CASE MASTER'!$AB$2:$AB$495,(SUMPRODUCT((('CASE MASTER'!$T$2:$T$495=6)*('CASE MASTER'!$AA$2:$AA$495&lt;=7)*('CASE MASTER'!$AC$2:$AC$495&gt;=7)*('CASE MASTER'!$AB$2:$AB$495&lt;=4)*('CASE MASTER'!$AD$2:$AD$495&gt;=4))*ROW('CASE MASTER'!$T$2:$T$495))-(ROW('CASE MASTER'!#REF!)-1)))+1)+(4-INDEX('CASE MASTER'!$AB$2:$AB$495,(SUMPRODUCT((('CASE MASTER'!$T$2:$T$495=6)*('CASE MASTER'!$AA$2:$AA$495&lt;=7)*('CASE MASTER'!$AC$2:$AC$495&gt;=7)*('CASE MASTER'!$AB$2:$AB$495&lt;=4)*('CASE MASTER'!$AD$2:$AD$495&gt;=4))*ROW('CASE MASTER'!$T$2:$T$495))-(ROW('CASE MASTER'!#REF!)-1))))+1)))-1)*50+1,50))&amp;"_"&amp;INDEX('CASE MASTER'!$Q$2:$Q$495,(SUMPRODUCT((('CASE MASTER'!$T$2:$T$495=6)*('CASE MASTER'!$AA$2:$AA$495&lt;=7)*('CASE MASTER'!$AC$2:$AC$495&gt;=7)*('CASE MASTER'!$AB$2:$AB$495&lt;=4)*('CASE MASTER'!$AD$2:$AD$495&gt;=4))*ROW('CASE MASTER'!$T$2:$T$495))-(ROW('CASE MASTER'!#REF!)-1))),"")),"")</f>
        <v/>
      </c>
      <c r="F79" s="10" t="str">
        <f>IFERROR(IF(SUMPRODUCT((('CASE MASTER'!$T$2:$T$495=6)*('CASE MASTER'!$U$2:$U$495&lt;=7)*('CASE MASTER'!$W$2:$W$495&gt;=7)*('CASE MASTER'!$V$2:$V$495&lt;=5)*('CASE MASTER'!$X$2:$X$495&gt;=5))*ROW('CASE MASTER'!$T$2:$T$495))&gt;0,INDEX('CASE MASTER'!$Y$2:$Y$495,(SUMPRODUCT((('CASE MASTER'!$T$2:$T$495=6)*('CASE MASTER'!$U$2:$U$495&lt;=7)*('CASE MASTER'!$W$2:$W$495&gt;=7)*('CASE MASTER'!$V$2:$V$495&lt;=5)*('CASE MASTER'!$X$2:$X$495&gt;=5))*ROW('CASE MASTER'!$T$2:$T$495))-(ROW('CASE MASTER'!#REF!)-1)))&amp;TRIM(MID(SUBSTITUTE(SUBSTITUTE(INDEX('CASE MASTER'!$N$2:$N$495,(SUMPRODUCT((('CASE MASTER'!$T$2:$T$495=6)*('CASE MASTER'!$U$2:$U$495&lt;=7)*('CASE MASTER'!$W$2:$W$495&gt;=7)*('CASE MASTER'!$V$2:$V$495&lt;=5)*('CASE MASTER'!$X$2:$X$495&gt;=5))*ROW('CASE MASTER'!$T$2:$T$495))-(ROW('CASE MASTER'!#REF!)-1))),":",","),",",REPT(" ",50)),((((7-INDEX('CASE MASTER'!$U$2:$U$495,(SUMPRODUCT((('CASE MASTER'!$T$2:$T$495=6)*('CASE MASTER'!$U$2:$U$495&lt;=7)*('CASE MASTER'!$W$2:$W$495&gt;=7)*('CASE MASTER'!$V$2:$V$495&lt;=5)*('CASE MASTER'!$X$2:$X$495&gt;=5))*ROW('CASE MASTER'!$T$2:$T$495))-(ROW('CASE MASTER'!#REF!)-1))))*(INDEX('CASE MASTER'!$X$2:$X$495,(SUMPRODUCT((('CASE MASTER'!$T$2:$T$495=6)*('CASE MASTER'!$U$2:$U$495&lt;=7)*('CASE MASTER'!$W$2:$W$495&gt;=7)*('CASE MASTER'!$V$2:$V$495&lt;=5)*('CASE MASTER'!$X$2:$X$495&gt;=5))*ROW('CASE MASTER'!$T$2:$T$495))-(ROW('CASE MASTER'!#REF!)-1)))-INDEX('CASE MASTER'!$V$2:$V$495,(SUMPRODUCT((('CASE MASTER'!$T$2:$T$495=6)*('CASE MASTER'!$U$2:$U$495&lt;=7)*('CASE MASTER'!$W$2:$W$495&gt;=7)*('CASE MASTER'!$V$2:$V$495&lt;=5)*('CASE MASTER'!$X$2:$X$495&gt;=5))*ROW('CASE MASTER'!$T$2:$T$495))-(ROW('CASE MASTER'!#REF!)-1)))+1)+(5-INDEX('CASE MASTER'!$V$2:$V$495,(SUMPRODUCT((('CASE MASTER'!$T$2:$T$495=6)*('CASE MASTER'!$U$2:$U$495&lt;=7)*('CASE MASTER'!$W$2:$W$495&gt;=7)*('CASE MASTER'!$V$2:$V$495&lt;=5)*('CASE MASTER'!$X$2:$X$495&gt;=5))*ROW('CASE MASTER'!$T$2:$T$495))-(ROW('CASE MASTER'!#REF!)-1))))+1))-1)*50+1,50))&amp;"_"&amp;INDEX('CASE MASTER'!$Q$2:$Q$495,(SUMPRODUCT((('CASE MASTER'!$T$2:$T$495=6)*('CASE MASTER'!$U$2:$U$495&lt;=7)*('CASE MASTER'!$W$2:$W$495&gt;=7)*('CASE MASTER'!$V$2:$V$495&lt;=5)*('CASE MASTER'!$X$2:$X$495&gt;=5))*ROW('CASE MASTER'!$T$2:$T$495))-(ROW('CASE MASTER'!#REF!)-1))),IF(SUMPRODUCT((('CASE MASTER'!$T$2:$T$495=6)*('CASE MASTER'!$AA$2:$AA$495&lt;=7)*('CASE MASTER'!$AC$2:$AC$495&gt;=7)*('CASE MASTER'!$AB$2:$AB$495&lt;=5)*('CASE MASTER'!$AD$2:$AD$495&gt;=5))*ROW('CASE MASTER'!$T$2:$T$495))&gt;0,INDEX('CASE MASTER'!$Y$2:$Y$495,(SUMPRODUCT((('CASE MASTER'!$T$2:$T$495=6)*('CASE MASTER'!$AA$2:$AA$495&lt;=7)*('CASE MASTER'!$AC$2:$AC$495&gt;=7)*('CASE MASTER'!$AB$2:$AB$495&lt;=5)*('CASE MASTER'!$AD$2:$AD$495&gt;=5))*ROW('CASE MASTER'!$T$2:$T$495))-(ROW('CASE MASTER'!#REF!)-1)))&amp;TRIM(MID(SUBSTITUTE(SUBSTITUTE(INDEX('CASE MASTER'!$N$2:$N$495,(SUMPRODUCT((('CASE MASTER'!$T$2:$T$495=6)*('CASE MASTER'!$AA$2:$AA$495&lt;=7)*('CASE MASTER'!$AC$2:$AC$495&gt;=7)*('CASE MASTER'!$AB$2:$AB$495&lt;=5)*('CASE MASTER'!$AD$2:$AD$495&gt;=5))*ROW('CASE MASTER'!$T$2:$T$495))-(ROW('CASE MASTER'!#REF!)-1))),":",","),",",REPT(" ",50)),(((INDEX('CASE MASTER'!$Z$2:$Z$495,(SUMPRODUCT((('CASE MASTER'!$T$2:$T$495=6)*('CASE MASTER'!$AA$2:$AA$495&lt;=7)*('CASE MASTER'!$AC$2:$AC$495&gt;=7)*('CASE MASTER'!$AB$2:$AB$495&lt;=5)*('CASE MASTER'!$AD$2:$AD$495&gt;=5))*ROW('CASE MASTER'!$T$2:$T$495))-(ROW('CASE MASTER'!#REF!)-1)))+((7-INDEX('CASE MASTER'!$AA$2:$AA$495,(SUMPRODUCT((('CASE MASTER'!$T$2:$T$495=6)*('CASE MASTER'!$AA$2:$AA$495&lt;=7)*('CASE MASTER'!$AC$2:$AC$495&gt;=7)*('CASE MASTER'!$AB$2:$AB$495&lt;=5)*('CASE MASTER'!$AD$2:$AD$495&gt;=5))*ROW('CASE MASTER'!$T$2:$T$495))-(ROW('CASE MASTER'!#REF!)-1))))*(INDEX('CASE MASTER'!$AD$2:$AD$495,(SUMPRODUCT((('CASE MASTER'!$T$2:$T$495=6)*('CASE MASTER'!$AA$2:$AA$495&lt;=7)*('CASE MASTER'!$AC$2:$AC$495&gt;=7)*('CASE MASTER'!$AB$2:$AB$495&lt;=5)*('CASE MASTER'!$AD$2:$AD$495&gt;=5))*ROW('CASE MASTER'!$T$2:$T$495))-(ROW('CASE MASTER'!#REF!)-1)))-INDEX('CASE MASTER'!$AB$2:$AB$495,(SUMPRODUCT((('CASE MASTER'!$T$2:$T$495=6)*('CASE MASTER'!$AA$2:$AA$495&lt;=7)*('CASE MASTER'!$AC$2:$AC$495&gt;=7)*('CASE MASTER'!$AB$2:$AB$495&lt;=5)*('CASE MASTER'!$AD$2:$AD$495&gt;=5))*ROW('CASE MASTER'!$T$2:$T$495))-(ROW('CASE MASTER'!#REF!)-1)))+1)+(5-INDEX('CASE MASTER'!$AB$2:$AB$495,(SUMPRODUCT((('CASE MASTER'!$T$2:$T$495=6)*('CASE MASTER'!$AA$2:$AA$495&lt;=7)*('CASE MASTER'!$AC$2:$AC$495&gt;=7)*('CASE MASTER'!$AB$2:$AB$495&lt;=5)*('CASE MASTER'!$AD$2:$AD$495&gt;=5))*ROW('CASE MASTER'!$T$2:$T$495))-(ROW('CASE MASTER'!#REF!)-1))))+1)))-1)*50+1,50))&amp;"_"&amp;INDEX('CASE MASTER'!$Q$2:$Q$495,(SUMPRODUCT((('CASE MASTER'!$T$2:$T$495=6)*('CASE MASTER'!$AA$2:$AA$495&lt;=7)*('CASE MASTER'!$AC$2:$AC$495&gt;=7)*('CASE MASTER'!$AB$2:$AB$495&lt;=5)*('CASE MASTER'!$AD$2:$AD$495&gt;=5))*ROW('CASE MASTER'!$T$2:$T$495))-(ROW('CASE MASTER'!#REF!)-1))),"")),"")</f>
        <v/>
      </c>
      <c r="G79" s="10" t="str">
        <f>IFERROR(IF(SUMPRODUCT((('CASE MASTER'!$T$2:$T$495=6)*('CASE MASTER'!$U$2:$U$495&lt;=7)*('CASE MASTER'!$W$2:$W$495&gt;=7)*('CASE MASTER'!$V$2:$V$495&lt;=6)*('CASE MASTER'!$X$2:$X$495&gt;=6))*ROW('CASE MASTER'!$T$2:$T$495))&gt;0,INDEX('CASE MASTER'!$Y$2:$Y$495,(SUMPRODUCT((('CASE MASTER'!$T$2:$T$495=6)*('CASE MASTER'!$U$2:$U$495&lt;=7)*('CASE MASTER'!$W$2:$W$495&gt;=7)*('CASE MASTER'!$V$2:$V$495&lt;=6)*('CASE MASTER'!$X$2:$X$495&gt;=6))*ROW('CASE MASTER'!$T$2:$T$495))-(ROW('CASE MASTER'!#REF!)-1)))&amp;TRIM(MID(SUBSTITUTE(SUBSTITUTE(INDEX('CASE MASTER'!$N$2:$N$495,(SUMPRODUCT((('CASE MASTER'!$T$2:$T$495=6)*('CASE MASTER'!$U$2:$U$495&lt;=7)*('CASE MASTER'!$W$2:$W$495&gt;=7)*('CASE MASTER'!$V$2:$V$495&lt;=6)*('CASE MASTER'!$X$2:$X$495&gt;=6))*ROW('CASE MASTER'!$T$2:$T$495))-(ROW('CASE MASTER'!#REF!)-1))),":",","),",",REPT(" ",50)),((((7-INDEX('CASE MASTER'!$U$2:$U$495,(SUMPRODUCT((('CASE MASTER'!$T$2:$T$495=6)*('CASE MASTER'!$U$2:$U$495&lt;=7)*('CASE MASTER'!$W$2:$W$495&gt;=7)*('CASE MASTER'!$V$2:$V$495&lt;=6)*('CASE MASTER'!$X$2:$X$495&gt;=6))*ROW('CASE MASTER'!$T$2:$T$495))-(ROW('CASE MASTER'!#REF!)-1))))*(INDEX('CASE MASTER'!$X$2:$X$495,(SUMPRODUCT((('CASE MASTER'!$T$2:$T$495=6)*('CASE MASTER'!$U$2:$U$495&lt;=7)*('CASE MASTER'!$W$2:$W$495&gt;=7)*('CASE MASTER'!$V$2:$V$495&lt;=6)*('CASE MASTER'!$X$2:$X$495&gt;=6))*ROW('CASE MASTER'!$T$2:$T$495))-(ROW('CASE MASTER'!#REF!)-1)))-INDEX('CASE MASTER'!$V$2:$V$495,(SUMPRODUCT((('CASE MASTER'!$T$2:$T$495=6)*('CASE MASTER'!$U$2:$U$495&lt;=7)*('CASE MASTER'!$W$2:$W$495&gt;=7)*('CASE MASTER'!$V$2:$V$495&lt;=6)*('CASE MASTER'!$X$2:$X$495&gt;=6))*ROW('CASE MASTER'!$T$2:$T$495))-(ROW('CASE MASTER'!#REF!)-1)))+1)+(6-INDEX('CASE MASTER'!$V$2:$V$495,(SUMPRODUCT((('CASE MASTER'!$T$2:$T$495=6)*('CASE MASTER'!$U$2:$U$495&lt;=7)*('CASE MASTER'!$W$2:$W$495&gt;=7)*('CASE MASTER'!$V$2:$V$495&lt;=6)*('CASE MASTER'!$X$2:$X$495&gt;=6))*ROW('CASE MASTER'!$T$2:$T$495))-(ROW('CASE MASTER'!#REF!)-1))))+1))-1)*50+1,50))&amp;"_"&amp;INDEX('CASE MASTER'!$Q$2:$Q$495,(SUMPRODUCT((('CASE MASTER'!$T$2:$T$495=6)*('CASE MASTER'!$U$2:$U$495&lt;=7)*('CASE MASTER'!$W$2:$W$495&gt;=7)*('CASE MASTER'!$V$2:$V$495&lt;=6)*('CASE MASTER'!$X$2:$X$495&gt;=6))*ROW('CASE MASTER'!$T$2:$T$495))-(ROW('CASE MASTER'!#REF!)-1))),IF(SUMPRODUCT((('CASE MASTER'!$T$2:$T$495=6)*('CASE MASTER'!$AA$2:$AA$495&lt;=7)*('CASE MASTER'!$AC$2:$AC$495&gt;=7)*('CASE MASTER'!$AB$2:$AB$495&lt;=6)*('CASE MASTER'!$AD$2:$AD$495&gt;=6))*ROW('CASE MASTER'!$T$2:$T$495))&gt;0,INDEX('CASE MASTER'!$Y$2:$Y$495,(SUMPRODUCT((('CASE MASTER'!$T$2:$T$495=6)*('CASE MASTER'!$AA$2:$AA$495&lt;=7)*('CASE MASTER'!$AC$2:$AC$495&gt;=7)*('CASE MASTER'!$AB$2:$AB$495&lt;=6)*('CASE MASTER'!$AD$2:$AD$495&gt;=6))*ROW('CASE MASTER'!$T$2:$T$495))-(ROW('CASE MASTER'!#REF!)-1)))&amp;TRIM(MID(SUBSTITUTE(SUBSTITUTE(INDEX('CASE MASTER'!$N$2:$N$495,(SUMPRODUCT((('CASE MASTER'!$T$2:$T$495=6)*('CASE MASTER'!$AA$2:$AA$495&lt;=7)*('CASE MASTER'!$AC$2:$AC$495&gt;=7)*('CASE MASTER'!$AB$2:$AB$495&lt;=6)*('CASE MASTER'!$AD$2:$AD$495&gt;=6))*ROW('CASE MASTER'!$T$2:$T$495))-(ROW('CASE MASTER'!#REF!)-1))),":",","),",",REPT(" ",50)),(((INDEX('CASE MASTER'!$Z$2:$Z$495,(SUMPRODUCT((('CASE MASTER'!$T$2:$T$495=6)*('CASE MASTER'!$AA$2:$AA$495&lt;=7)*('CASE MASTER'!$AC$2:$AC$495&gt;=7)*('CASE MASTER'!$AB$2:$AB$495&lt;=6)*('CASE MASTER'!$AD$2:$AD$495&gt;=6))*ROW('CASE MASTER'!$T$2:$T$495))-(ROW('CASE MASTER'!#REF!)-1)))+((7-INDEX('CASE MASTER'!$AA$2:$AA$495,(SUMPRODUCT((('CASE MASTER'!$T$2:$T$495=6)*('CASE MASTER'!$AA$2:$AA$495&lt;=7)*('CASE MASTER'!$AC$2:$AC$495&gt;=7)*('CASE MASTER'!$AB$2:$AB$495&lt;=6)*('CASE MASTER'!$AD$2:$AD$495&gt;=6))*ROW('CASE MASTER'!$T$2:$T$495))-(ROW('CASE MASTER'!#REF!)-1))))*(INDEX('CASE MASTER'!$AD$2:$AD$495,(SUMPRODUCT((('CASE MASTER'!$T$2:$T$495=6)*('CASE MASTER'!$AA$2:$AA$495&lt;=7)*('CASE MASTER'!$AC$2:$AC$495&gt;=7)*('CASE MASTER'!$AB$2:$AB$495&lt;=6)*('CASE MASTER'!$AD$2:$AD$495&gt;=6))*ROW('CASE MASTER'!$T$2:$T$495))-(ROW('CASE MASTER'!#REF!)-1)))-INDEX('CASE MASTER'!$AB$2:$AB$495,(SUMPRODUCT((('CASE MASTER'!$T$2:$T$495=6)*('CASE MASTER'!$AA$2:$AA$495&lt;=7)*('CASE MASTER'!$AC$2:$AC$495&gt;=7)*('CASE MASTER'!$AB$2:$AB$495&lt;=6)*('CASE MASTER'!$AD$2:$AD$495&gt;=6))*ROW('CASE MASTER'!$T$2:$T$495))-(ROW('CASE MASTER'!#REF!)-1)))+1)+(6-INDEX('CASE MASTER'!$AB$2:$AB$495,(SUMPRODUCT((('CASE MASTER'!$T$2:$T$495=6)*('CASE MASTER'!$AA$2:$AA$495&lt;=7)*('CASE MASTER'!$AC$2:$AC$495&gt;=7)*('CASE MASTER'!$AB$2:$AB$495&lt;=6)*('CASE MASTER'!$AD$2:$AD$495&gt;=6))*ROW('CASE MASTER'!$T$2:$T$495))-(ROW('CASE MASTER'!#REF!)-1))))+1)))-1)*50+1,50))&amp;"_"&amp;INDEX('CASE MASTER'!$Q$2:$Q$495,(SUMPRODUCT((('CASE MASTER'!$T$2:$T$495=6)*('CASE MASTER'!$AA$2:$AA$495&lt;=7)*('CASE MASTER'!$AC$2:$AC$495&gt;=7)*('CASE MASTER'!$AB$2:$AB$495&lt;=6)*('CASE MASTER'!$AD$2:$AD$495&gt;=6))*ROW('CASE MASTER'!$T$2:$T$495))-(ROW('CASE MASTER'!#REF!)-1))),"")),"")</f>
        <v/>
      </c>
      <c r="H79" s="10" t="str">
        <f>IFERROR(IF(SUMPRODUCT((('CASE MASTER'!$T$2:$T$495=6)*('CASE MASTER'!$U$2:$U$495&lt;=7)*('CASE MASTER'!$W$2:$W$495&gt;=7)*('CASE MASTER'!$V$2:$V$495&lt;=7)*('CASE MASTER'!$X$2:$X$495&gt;=7))*ROW('CASE MASTER'!$T$2:$T$495))&gt;0,INDEX('CASE MASTER'!$Y$2:$Y$495,(SUMPRODUCT((('CASE MASTER'!$T$2:$T$495=6)*('CASE MASTER'!$U$2:$U$495&lt;=7)*('CASE MASTER'!$W$2:$W$495&gt;=7)*('CASE MASTER'!$V$2:$V$495&lt;=7)*('CASE MASTER'!$X$2:$X$495&gt;=7))*ROW('CASE MASTER'!$T$2:$T$495))-(ROW('CASE MASTER'!#REF!)-1)))&amp;TRIM(MID(SUBSTITUTE(SUBSTITUTE(INDEX('CASE MASTER'!$N$2:$N$495,(SUMPRODUCT((('CASE MASTER'!$T$2:$T$495=6)*('CASE MASTER'!$U$2:$U$495&lt;=7)*('CASE MASTER'!$W$2:$W$495&gt;=7)*('CASE MASTER'!$V$2:$V$495&lt;=7)*('CASE MASTER'!$X$2:$X$495&gt;=7))*ROW('CASE MASTER'!$T$2:$T$495))-(ROW('CASE MASTER'!#REF!)-1))),":",","),",",REPT(" ",50)),((((7-INDEX('CASE MASTER'!$U$2:$U$495,(SUMPRODUCT((('CASE MASTER'!$T$2:$T$495=6)*('CASE MASTER'!$U$2:$U$495&lt;=7)*('CASE MASTER'!$W$2:$W$495&gt;=7)*('CASE MASTER'!$V$2:$V$495&lt;=7)*('CASE MASTER'!$X$2:$X$495&gt;=7))*ROW('CASE MASTER'!$T$2:$T$495))-(ROW('CASE MASTER'!#REF!)-1))))*(INDEX('CASE MASTER'!$X$2:$X$495,(SUMPRODUCT((('CASE MASTER'!$T$2:$T$495=6)*('CASE MASTER'!$U$2:$U$495&lt;=7)*('CASE MASTER'!$W$2:$W$495&gt;=7)*('CASE MASTER'!$V$2:$V$495&lt;=7)*('CASE MASTER'!$X$2:$X$495&gt;=7))*ROW('CASE MASTER'!$T$2:$T$495))-(ROW('CASE MASTER'!#REF!)-1)))-INDEX('CASE MASTER'!$V$2:$V$495,(SUMPRODUCT((('CASE MASTER'!$T$2:$T$495=6)*('CASE MASTER'!$U$2:$U$495&lt;=7)*('CASE MASTER'!$W$2:$W$495&gt;=7)*('CASE MASTER'!$V$2:$V$495&lt;=7)*('CASE MASTER'!$X$2:$X$495&gt;=7))*ROW('CASE MASTER'!$T$2:$T$495))-(ROW('CASE MASTER'!#REF!)-1)))+1)+(7-INDEX('CASE MASTER'!$V$2:$V$495,(SUMPRODUCT((('CASE MASTER'!$T$2:$T$495=6)*('CASE MASTER'!$U$2:$U$495&lt;=7)*('CASE MASTER'!$W$2:$W$495&gt;=7)*('CASE MASTER'!$V$2:$V$495&lt;=7)*('CASE MASTER'!$X$2:$X$495&gt;=7))*ROW('CASE MASTER'!$T$2:$T$495))-(ROW('CASE MASTER'!#REF!)-1))))+1))-1)*50+1,50))&amp;"_"&amp;INDEX('CASE MASTER'!$Q$2:$Q$495,(SUMPRODUCT((('CASE MASTER'!$T$2:$T$495=6)*('CASE MASTER'!$U$2:$U$495&lt;=7)*('CASE MASTER'!$W$2:$W$495&gt;=7)*('CASE MASTER'!$V$2:$V$495&lt;=7)*('CASE MASTER'!$X$2:$X$495&gt;=7))*ROW('CASE MASTER'!$T$2:$T$495))-(ROW('CASE MASTER'!#REF!)-1))),IF(SUMPRODUCT((('CASE MASTER'!$T$2:$T$495=6)*('CASE MASTER'!$AA$2:$AA$495&lt;=7)*('CASE MASTER'!$AC$2:$AC$495&gt;=7)*('CASE MASTER'!$AB$2:$AB$495&lt;=7)*('CASE MASTER'!$AD$2:$AD$495&gt;=7))*ROW('CASE MASTER'!$T$2:$T$495))&gt;0,INDEX('CASE MASTER'!$Y$2:$Y$495,(SUMPRODUCT((('CASE MASTER'!$T$2:$T$495=6)*('CASE MASTER'!$AA$2:$AA$495&lt;=7)*('CASE MASTER'!$AC$2:$AC$495&gt;=7)*('CASE MASTER'!$AB$2:$AB$495&lt;=7)*('CASE MASTER'!$AD$2:$AD$495&gt;=7))*ROW('CASE MASTER'!$T$2:$T$495))-(ROW('CASE MASTER'!#REF!)-1)))&amp;TRIM(MID(SUBSTITUTE(SUBSTITUTE(INDEX('CASE MASTER'!$N$2:$N$495,(SUMPRODUCT((('CASE MASTER'!$T$2:$T$495=6)*('CASE MASTER'!$AA$2:$AA$495&lt;=7)*('CASE MASTER'!$AC$2:$AC$495&gt;=7)*('CASE MASTER'!$AB$2:$AB$495&lt;=7)*('CASE MASTER'!$AD$2:$AD$495&gt;=7))*ROW('CASE MASTER'!$T$2:$T$495))-(ROW('CASE MASTER'!#REF!)-1))),":",","),",",REPT(" ",50)),(((INDEX('CASE MASTER'!$Z$2:$Z$495,(SUMPRODUCT((('CASE MASTER'!$T$2:$T$495=6)*('CASE MASTER'!$AA$2:$AA$495&lt;=7)*('CASE MASTER'!$AC$2:$AC$495&gt;=7)*('CASE MASTER'!$AB$2:$AB$495&lt;=7)*('CASE MASTER'!$AD$2:$AD$495&gt;=7))*ROW('CASE MASTER'!$T$2:$T$495))-(ROW('CASE MASTER'!#REF!)-1)))+((7-INDEX('CASE MASTER'!$AA$2:$AA$495,(SUMPRODUCT((('CASE MASTER'!$T$2:$T$495=6)*('CASE MASTER'!$AA$2:$AA$495&lt;=7)*('CASE MASTER'!$AC$2:$AC$495&gt;=7)*('CASE MASTER'!$AB$2:$AB$495&lt;=7)*('CASE MASTER'!$AD$2:$AD$495&gt;=7))*ROW('CASE MASTER'!$T$2:$T$495))-(ROW('CASE MASTER'!#REF!)-1))))*(INDEX('CASE MASTER'!$AD$2:$AD$495,(SUMPRODUCT((('CASE MASTER'!$T$2:$T$495=6)*('CASE MASTER'!$AA$2:$AA$495&lt;=7)*('CASE MASTER'!$AC$2:$AC$495&gt;=7)*('CASE MASTER'!$AB$2:$AB$495&lt;=7)*('CASE MASTER'!$AD$2:$AD$495&gt;=7))*ROW('CASE MASTER'!$T$2:$T$495))-(ROW('CASE MASTER'!#REF!)-1)))-INDEX('CASE MASTER'!$AB$2:$AB$495,(SUMPRODUCT((('CASE MASTER'!$T$2:$T$495=6)*('CASE MASTER'!$AA$2:$AA$495&lt;=7)*('CASE MASTER'!$AC$2:$AC$495&gt;=7)*('CASE MASTER'!$AB$2:$AB$495&lt;=7)*('CASE MASTER'!$AD$2:$AD$495&gt;=7))*ROW('CASE MASTER'!$T$2:$T$495))-(ROW('CASE MASTER'!#REF!)-1)))+1)+(7-INDEX('CASE MASTER'!$AB$2:$AB$495,(SUMPRODUCT((('CASE MASTER'!$T$2:$T$495=6)*('CASE MASTER'!$AA$2:$AA$495&lt;=7)*('CASE MASTER'!$AC$2:$AC$495&gt;=7)*('CASE MASTER'!$AB$2:$AB$495&lt;=7)*('CASE MASTER'!$AD$2:$AD$495&gt;=7))*ROW('CASE MASTER'!$T$2:$T$495))-(ROW('CASE MASTER'!#REF!)-1))))+1)))-1)*50+1,50))&amp;"_"&amp;INDEX('CASE MASTER'!$Q$2:$Q$495,(SUMPRODUCT((('CASE MASTER'!$T$2:$T$495=6)*('CASE MASTER'!$AA$2:$AA$495&lt;=7)*('CASE MASTER'!$AC$2:$AC$495&gt;=7)*('CASE MASTER'!$AB$2:$AB$495&lt;=7)*('CASE MASTER'!$AD$2:$AD$495&gt;=7))*ROW('CASE MASTER'!$T$2:$T$495))-(ROW('CASE MASTER'!#REF!)-1))),"")),"")</f>
        <v/>
      </c>
      <c r="I79" s="10" t="str">
        <f>IFERROR(IF(SUMPRODUCT((('CASE MASTER'!$T$2:$T$495=6)*('CASE MASTER'!$U$2:$U$495&lt;=7)*('CASE MASTER'!$W$2:$W$495&gt;=7)*('CASE MASTER'!$V$2:$V$495&lt;=8)*('CASE MASTER'!$X$2:$X$495&gt;=8))*ROW('CASE MASTER'!$T$2:$T$495))&gt;0,INDEX('CASE MASTER'!$Y$2:$Y$495,(SUMPRODUCT((('CASE MASTER'!$T$2:$T$495=6)*('CASE MASTER'!$U$2:$U$495&lt;=7)*('CASE MASTER'!$W$2:$W$495&gt;=7)*('CASE MASTER'!$V$2:$V$495&lt;=8)*('CASE MASTER'!$X$2:$X$495&gt;=8))*ROW('CASE MASTER'!$T$2:$T$495))-(ROW('CASE MASTER'!#REF!)-1)))&amp;TRIM(MID(SUBSTITUTE(SUBSTITUTE(INDEX('CASE MASTER'!$N$2:$N$495,(SUMPRODUCT((('CASE MASTER'!$T$2:$T$495=6)*('CASE MASTER'!$U$2:$U$495&lt;=7)*('CASE MASTER'!$W$2:$W$495&gt;=7)*('CASE MASTER'!$V$2:$V$495&lt;=8)*('CASE MASTER'!$X$2:$X$495&gt;=8))*ROW('CASE MASTER'!$T$2:$T$495))-(ROW('CASE MASTER'!#REF!)-1))),":",","),",",REPT(" ",50)),((((7-INDEX('CASE MASTER'!$U$2:$U$495,(SUMPRODUCT((('CASE MASTER'!$T$2:$T$495=6)*('CASE MASTER'!$U$2:$U$495&lt;=7)*('CASE MASTER'!$W$2:$W$495&gt;=7)*('CASE MASTER'!$V$2:$V$495&lt;=8)*('CASE MASTER'!$X$2:$X$495&gt;=8))*ROW('CASE MASTER'!$T$2:$T$495))-(ROW('CASE MASTER'!#REF!)-1))))*(INDEX('CASE MASTER'!$X$2:$X$495,(SUMPRODUCT((('CASE MASTER'!$T$2:$T$495=6)*('CASE MASTER'!$U$2:$U$495&lt;=7)*('CASE MASTER'!$W$2:$W$495&gt;=7)*('CASE MASTER'!$V$2:$V$495&lt;=8)*('CASE MASTER'!$X$2:$X$495&gt;=8))*ROW('CASE MASTER'!$T$2:$T$495))-(ROW('CASE MASTER'!#REF!)-1)))-INDEX('CASE MASTER'!$V$2:$V$495,(SUMPRODUCT((('CASE MASTER'!$T$2:$T$495=6)*('CASE MASTER'!$U$2:$U$495&lt;=7)*('CASE MASTER'!$W$2:$W$495&gt;=7)*('CASE MASTER'!$V$2:$V$495&lt;=8)*('CASE MASTER'!$X$2:$X$495&gt;=8))*ROW('CASE MASTER'!$T$2:$T$495))-(ROW('CASE MASTER'!#REF!)-1)))+1)+(8-INDEX('CASE MASTER'!$V$2:$V$495,(SUMPRODUCT((('CASE MASTER'!$T$2:$T$495=6)*('CASE MASTER'!$U$2:$U$495&lt;=7)*('CASE MASTER'!$W$2:$W$495&gt;=7)*('CASE MASTER'!$V$2:$V$495&lt;=8)*('CASE MASTER'!$X$2:$X$495&gt;=8))*ROW('CASE MASTER'!$T$2:$T$495))-(ROW('CASE MASTER'!#REF!)-1))))+1))-1)*50+1,50))&amp;"_"&amp;INDEX('CASE MASTER'!$Q$2:$Q$495,(SUMPRODUCT((('CASE MASTER'!$T$2:$T$495=6)*('CASE MASTER'!$U$2:$U$495&lt;=7)*('CASE MASTER'!$W$2:$W$495&gt;=7)*('CASE MASTER'!$V$2:$V$495&lt;=8)*('CASE MASTER'!$X$2:$X$495&gt;=8))*ROW('CASE MASTER'!$T$2:$T$495))-(ROW('CASE MASTER'!#REF!)-1))),IF(SUMPRODUCT((('CASE MASTER'!$T$2:$T$495=6)*('CASE MASTER'!$AA$2:$AA$495&lt;=7)*('CASE MASTER'!$AC$2:$AC$495&gt;=7)*('CASE MASTER'!$AB$2:$AB$495&lt;=8)*('CASE MASTER'!$AD$2:$AD$495&gt;=8))*ROW('CASE MASTER'!$T$2:$T$495))&gt;0,INDEX('CASE MASTER'!$Y$2:$Y$495,(SUMPRODUCT((('CASE MASTER'!$T$2:$T$495=6)*('CASE MASTER'!$AA$2:$AA$495&lt;=7)*('CASE MASTER'!$AC$2:$AC$495&gt;=7)*('CASE MASTER'!$AB$2:$AB$495&lt;=8)*('CASE MASTER'!$AD$2:$AD$495&gt;=8))*ROW('CASE MASTER'!$T$2:$T$495))-(ROW('CASE MASTER'!#REF!)-1)))&amp;TRIM(MID(SUBSTITUTE(SUBSTITUTE(INDEX('CASE MASTER'!$N$2:$N$495,(SUMPRODUCT((('CASE MASTER'!$T$2:$T$495=6)*('CASE MASTER'!$AA$2:$AA$495&lt;=7)*('CASE MASTER'!$AC$2:$AC$495&gt;=7)*('CASE MASTER'!$AB$2:$AB$495&lt;=8)*('CASE MASTER'!$AD$2:$AD$495&gt;=8))*ROW('CASE MASTER'!$T$2:$T$495))-(ROW('CASE MASTER'!#REF!)-1))),":",","),",",REPT(" ",50)),(((INDEX('CASE MASTER'!$Z$2:$Z$495,(SUMPRODUCT((('CASE MASTER'!$T$2:$T$495=6)*('CASE MASTER'!$AA$2:$AA$495&lt;=7)*('CASE MASTER'!$AC$2:$AC$495&gt;=7)*('CASE MASTER'!$AB$2:$AB$495&lt;=8)*('CASE MASTER'!$AD$2:$AD$495&gt;=8))*ROW('CASE MASTER'!$T$2:$T$495))-(ROW('CASE MASTER'!#REF!)-1)))+((7-INDEX('CASE MASTER'!$AA$2:$AA$495,(SUMPRODUCT((('CASE MASTER'!$T$2:$T$495=6)*('CASE MASTER'!$AA$2:$AA$495&lt;=7)*('CASE MASTER'!$AC$2:$AC$495&gt;=7)*('CASE MASTER'!$AB$2:$AB$495&lt;=8)*('CASE MASTER'!$AD$2:$AD$495&gt;=8))*ROW('CASE MASTER'!$T$2:$T$495))-(ROW('CASE MASTER'!#REF!)-1))))*(INDEX('CASE MASTER'!$AD$2:$AD$495,(SUMPRODUCT((('CASE MASTER'!$T$2:$T$495=6)*('CASE MASTER'!$AA$2:$AA$495&lt;=7)*('CASE MASTER'!$AC$2:$AC$495&gt;=7)*('CASE MASTER'!$AB$2:$AB$495&lt;=8)*('CASE MASTER'!$AD$2:$AD$495&gt;=8))*ROW('CASE MASTER'!$T$2:$T$495))-(ROW('CASE MASTER'!#REF!)-1)))-INDEX('CASE MASTER'!$AB$2:$AB$495,(SUMPRODUCT((('CASE MASTER'!$T$2:$T$495=6)*('CASE MASTER'!$AA$2:$AA$495&lt;=7)*('CASE MASTER'!$AC$2:$AC$495&gt;=7)*('CASE MASTER'!$AB$2:$AB$495&lt;=8)*('CASE MASTER'!$AD$2:$AD$495&gt;=8))*ROW('CASE MASTER'!$T$2:$T$495))-(ROW('CASE MASTER'!#REF!)-1)))+1)+(8-INDEX('CASE MASTER'!$AB$2:$AB$495,(SUMPRODUCT((('CASE MASTER'!$T$2:$T$495=6)*('CASE MASTER'!$AA$2:$AA$495&lt;=7)*('CASE MASTER'!$AC$2:$AC$495&gt;=7)*('CASE MASTER'!$AB$2:$AB$495&lt;=8)*('CASE MASTER'!$AD$2:$AD$495&gt;=8))*ROW('CASE MASTER'!$T$2:$T$495))-(ROW('CASE MASTER'!#REF!)-1))))+1)))-1)*50+1,50))&amp;"_"&amp;INDEX('CASE MASTER'!$Q$2:$Q$495,(SUMPRODUCT((('CASE MASTER'!$T$2:$T$495=6)*('CASE MASTER'!$AA$2:$AA$495&lt;=7)*('CASE MASTER'!$AC$2:$AC$495&gt;=7)*('CASE MASTER'!$AB$2:$AB$495&lt;=8)*('CASE MASTER'!$AD$2:$AD$495&gt;=8))*ROW('CASE MASTER'!$T$2:$T$495))-(ROW('CASE MASTER'!#REF!)-1))),"")),"")</f>
        <v/>
      </c>
      <c r="J79" s="10" t="str">
        <f>IFERROR(IF(SUMPRODUCT((('CASE MASTER'!$T$2:$T$495=6)*('CASE MASTER'!$U$2:$U$495&lt;=7)*('CASE MASTER'!$W$2:$W$495&gt;=7)*('CASE MASTER'!$V$2:$V$495&lt;=9)*('CASE MASTER'!$X$2:$X$495&gt;=9))*ROW('CASE MASTER'!$T$2:$T$495))&gt;0,INDEX('CASE MASTER'!$Y$2:$Y$495,(SUMPRODUCT((('CASE MASTER'!$T$2:$T$495=6)*('CASE MASTER'!$U$2:$U$495&lt;=7)*('CASE MASTER'!$W$2:$W$495&gt;=7)*('CASE MASTER'!$V$2:$V$495&lt;=9)*('CASE MASTER'!$X$2:$X$495&gt;=9))*ROW('CASE MASTER'!$T$2:$T$495))-(ROW('CASE MASTER'!#REF!)-1)))&amp;TRIM(MID(SUBSTITUTE(SUBSTITUTE(INDEX('CASE MASTER'!$N$2:$N$495,(SUMPRODUCT((('CASE MASTER'!$T$2:$T$495=6)*('CASE MASTER'!$U$2:$U$495&lt;=7)*('CASE MASTER'!$W$2:$W$495&gt;=7)*('CASE MASTER'!$V$2:$V$495&lt;=9)*('CASE MASTER'!$X$2:$X$495&gt;=9))*ROW('CASE MASTER'!$T$2:$T$495))-(ROW('CASE MASTER'!#REF!)-1))),":",","),",",REPT(" ",50)),((((7-INDEX('CASE MASTER'!$U$2:$U$495,(SUMPRODUCT((('CASE MASTER'!$T$2:$T$495=6)*('CASE MASTER'!$U$2:$U$495&lt;=7)*('CASE MASTER'!$W$2:$W$495&gt;=7)*('CASE MASTER'!$V$2:$V$495&lt;=9)*('CASE MASTER'!$X$2:$X$495&gt;=9))*ROW('CASE MASTER'!$T$2:$T$495))-(ROW('CASE MASTER'!#REF!)-1))))*(INDEX('CASE MASTER'!$X$2:$X$495,(SUMPRODUCT((('CASE MASTER'!$T$2:$T$495=6)*('CASE MASTER'!$U$2:$U$495&lt;=7)*('CASE MASTER'!$W$2:$W$495&gt;=7)*('CASE MASTER'!$V$2:$V$495&lt;=9)*('CASE MASTER'!$X$2:$X$495&gt;=9))*ROW('CASE MASTER'!$T$2:$T$495))-(ROW('CASE MASTER'!#REF!)-1)))-INDEX('CASE MASTER'!$V$2:$V$495,(SUMPRODUCT((('CASE MASTER'!$T$2:$T$495=6)*('CASE MASTER'!$U$2:$U$495&lt;=7)*('CASE MASTER'!$W$2:$W$495&gt;=7)*('CASE MASTER'!$V$2:$V$495&lt;=9)*('CASE MASTER'!$X$2:$X$495&gt;=9))*ROW('CASE MASTER'!$T$2:$T$495))-(ROW('CASE MASTER'!#REF!)-1)))+1)+(9-INDEX('CASE MASTER'!$V$2:$V$495,(SUMPRODUCT((('CASE MASTER'!$T$2:$T$495=6)*('CASE MASTER'!$U$2:$U$495&lt;=7)*('CASE MASTER'!$W$2:$W$495&gt;=7)*('CASE MASTER'!$V$2:$V$495&lt;=9)*('CASE MASTER'!$X$2:$X$495&gt;=9))*ROW('CASE MASTER'!$T$2:$T$495))-(ROW('CASE MASTER'!#REF!)-1))))+1))-1)*50+1,50))&amp;"_"&amp;INDEX('CASE MASTER'!$Q$2:$Q$495,(SUMPRODUCT((('CASE MASTER'!$T$2:$T$495=6)*('CASE MASTER'!$U$2:$U$495&lt;=7)*('CASE MASTER'!$W$2:$W$495&gt;=7)*('CASE MASTER'!$V$2:$V$495&lt;=9)*('CASE MASTER'!$X$2:$X$495&gt;=9))*ROW('CASE MASTER'!$T$2:$T$495))-(ROW('CASE MASTER'!#REF!)-1))),IF(SUMPRODUCT((('CASE MASTER'!$T$2:$T$495=6)*('CASE MASTER'!$AA$2:$AA$495&lt;=7)*('CASE MASTER'!$AC$2:$AC$495&gt;=7)*('CASE MASTER'!$AB$2:$AB$495&lt;=9)*('CASE MASTER'!$AD$2:$AD$495&gt;=9))*ROW('CASE MASTER'!$T$2:$T$495))&gt;0,INDEX('CASE MASTER'!$Y$2:$Y$495,(SUMPRODUCT((('CASE MASTER'!$T$2:$T$495=6)*('CASE MASTER'!$AA$2:$AA$495&lt;=7)*('CASE MASTER'!$AC$2:$AC$495&gt;=7)*('CASE MASTER'!$AB$2:$AB$495&lt;=9)*('CASE MASTER'!$AD$2:$AD$495&gt;=9))*ROW('CASE MASTER'!$T$2:$T$495))-(ROW('CASE MASTER'!#REF!)-1)))&amp;TRIM(MID(SUBSTITUTE(SUBSTITUTE(INDEX('CASE MASTER'!$N$2:$N$495,(SUMPRODUCT((('CASE MASTER'!$T$2:$T$495=6)*('CASE MASTER'!$AA$2:$AA$495&lt;=7)*('CASE MASTER'!$AC$2:$AC$495&gt;=7)*('CASE MASTER'!$AB$2:$AB$495&lt;=9)*('CASE MASTER'!$AD$2:$AD$495&gt;=9))*ROW('CASE MASTER'!$T$2:$T$495))-(ROW('CASE MASTER'!#REF!)-1))),":",","),",",REPT(" ",50)),(((INDEX('CASE MASTER'!$Z$2:$Z$495,(SUMPRODUCT((('CASE MASTER'!$T$2:$T$495=6)*('CASE MASTER'!$AA$2:$AA$495&lt;=7)*('CASE MASTER'!$AC$2:$AC$495&gt;=7)*('CASE MASTER'!$AB$2:$AB$495&lt;=9)*('CASE MASTER'!$AD$2:$AD$495&gt;=9))*ROW('CASE MASTER'!$T$2:$T$495))-(ROW('CASE MASTER'!#REF!)-1)))+((7-INDEX('CASE MASTER'!$AA$2:$AA$495,(SUMPRODUCT((('CASE MASTER'!$T$2:$T$495=6)*('CASE MASTER'!$AA$2:$AA$495&lt;=7)*('CASE MASTER'!$AC$2:$AC$495&gt;=7)*('CASE MASTER'!$AB$2:$AB$495&lt;=9)*('CASE MASTER'!$AD$2:$AD$495&gt;=9))*ROW('CASE MASTER'!$T$2:$T$495))-(ROW('CASE MASTER'!#REF!)-1))))*(INDEX('CASE MASTER'!$AD$2:$AD$495,(SUMPRODUCT((('CASE MASTER'!$T$2:$T$495=6)*('CASE MASTER'!$AA$2:$AA$495&lt;=7)*('CASE MASTER'!$AC$2:$AC$495&gt;=7)*('CASE MASTER'!$AB$2:$AB$495&lt;=9)*('CASE MASTER'!$AD$2:$AD$495&gt;=9))*ROW('CASE MASTER'!$T$2:$T$495))-(ROW('CASE MASTER'!#REF!)-1)))-INDEX('CASE MASTER'!$AB$2:$AB$495,(SUMPRODUCT((('CASE MASTER'!$T$2:$T$495=6)*('CASE MASTER'!$AA$2:$AA$495&lt;=7)*('CASE MASTER'!$AC$2:$AC$495&gt;=7)*('CASE MASTER'!$AB$2:$AB$495&lt;=9)*('CASE MASTER'!$AD$2:$AD$495&gt;=9))*ROW('CASE MASTER'!$T$2:$T$495))-(ROW('CASE MASTER'!#REF!)-1)))+1)+(9-INDEX('CASE MASTER'!$AB$2:$AB$495,(SUMPRODUCT((('CASE MASTER'!$T$2:$T$495=6)*('CASE MASTER'!$AA$2:$AA$495&lt;=7)*('CASE MASTER'!$AC$2:$AC$495&gt;=7)*('CASE MASTER'!$AB$2:$AB$495&lt;=9)*('CASE MASTER'!$AD$2:$AD$495&gt;=9))*ROW('CASE MASTER'!$T$2:$T$495))-(ROW('CASE MASTER'!#REF!)-1))))+1)))-1)*50+1,50))&amp;"_"&amp;INDEX('CASE MASTER'!$Q$2:$Q$495,(SUMPRODUCT((('CASE MASTER'!$T$2:$T$495=6)*('CASE MASTER'!$AA$2:$AA$495&lt;=7)*('CASE MASTER'!$AC$2:$AC$495&gt;=7)*('CASE MASTER'!$AB$2:$AB$495&lt;=9)*('CASE MASTER'!$AD$2:$AD$495&gt;=9))*ROW('CASE MASTER'!$T$2:$T$495))-(ROW('CASE MASTER'!#REF!)-1))),"")),"")</f>
        <v/>
      </c>
      <c r="K79" s="10" t="str">
        <f>IFERROR(IF(SUMPRODUCT((('CASE MASTER'!$T$2:$T$495=6)*('CASE MASTER'!$U$2:$U$495&lt;=7)*('CASE MASTER'!$W$2:$W$495&gt;=7)*('CASE MASTER'!$V$2:$V$495&lt;=10)*('CASE MASTER'!$X$2:$X$495&gt;=10))*ROW('CASE MASTER'!$T$2:$T$495))&gt;0,INDEX('CASE MASTER'!$Y$2:$Y$495,(SUMPRODUCT((('CASE MASTER'!$T$2:$T$495=6)*('CASE MASTER'!$U$2:$U$495&lt;=7)*('CASE MASTER'!$W$2:$W$495&gt;=7)*('CASE MASTER'!$V$2:$V$495&lt;=10)*('CASE MASTER'!$X$2:$X$495&gt;=10))*ROW('CASE MASTER'!$T$2:$T$495))-(ROW('CASE MASTER'!#REF!)-1)))&amp;TRIM(MID(SUBSTITUTE(SUBSTITUTE(INDEX('CASE MASTER'!$N$2:$N$495,(SUMPRODUCT((('CASE MASTER'!$T$2:$T$495=6)*('CASE MASTER'!$U$2:$U$495&lt;=7)*('CASE MASTER'!$W$2:$W$495&gt;=7)*('CASE MASTER'!$V$2:$V$495&lt;=10)*('CASE MASTER'!$X$2:$X$495&gt;=10))*ROW('CASE MASTER'!$T$2:$T$495))-(ROW('CASE MASTER'!#REF!)-1))),":",","),",",REPT(" ",50)),((((7-INDEX('CASE MASTER'!$U$2:$U$495,(SUMPRODUCT((('CASE MASTER'!$T$2:$T$495=6)*('CASE MASTER'!$U$2:$U$495&lt;=7)*('CASE MASTER'!$W$2:$W$495&gt;=7)*('CASE MASTER'!$V$2:$V$495&lt;=10)*('CASE MASTER'!$X$2:$X$495&gt;=10))*ROW('CASE MASTER'!$T$2:$T$495))-(ROW('CASE MASTER'!#REF!)-1))))*(INDEX('CASE MASTER'!$X$2:$X$495,(SUMPRODUCT((('CASE MASTER'!$T$2:$T$495=6)*('CASE MASTER'!$U$2:$U$495&lt;=7)*('CASE MASTER'!$W$2:$W$495&gt;=7)*('CASE MASTER'!$V$2:$V$495&lt;=10)*('CASE MASTER'!$X$2:$X$495&gt;=10))*ROW('CASE MASTER'!$T$2:$T$495))-(ROW('CASE MASTER'!#REF!)-1)))-INDEX('CASE MASTER'!$V$2:$V$495,(SUMPRODUCT((('CASE MASTER'!$T$2:$T$495=6)*('CASE MASTER'!$U$2:$U$495&lt;=7)*('CASE MASTER'!$W$2:$W$495&gt;=7)*('CASE MASTER'!$V$2:$V$495&lt;=10)*('CASE MASTER'!$X$2:$X$495&gt;=10))*ROW('CASE MASTER'!$T$2:$T$495))-(ROW('CASE MASTER'!#REF!)-1)))+1)+(10-INDEX('CASE MASTER'!$V$2:$V$495,(SUMPRODUCT((('CASE MASTER'!$T$2:$T$495=6)*('CASE MASTER'!$U$2:$U$495&lt;=7)*('CASE MASTER'!$W$2:$W$495&gt;=7)*('CASE MASTER'!$V$2:$V$495&lt;=10)*('CASE MASTER'!$X$2:$X$495&gt;=10))*ROW('CASE MASTER'!$T$2:$T$495))-(ROW('CASE MASTER'!#REF!)-1))))+1))-1)*50+1,50))&amp;"_"&amp;INDEX('CASE MASTER'!$Q$2:$Q$495,(SUMPRODUCT((('CASE MASTER'!$T$2:$T$495=6)*('CASE MASTER'!$U$2:$U$495&lt;=7)*('CASE MASTER'!$W$2:$W$495&gt;=7)*('CASE MASTER'!$V$2:$V$495&lt;=10)*('CASE MASTER'!$X$2:$X$495&gt;=10))*ROW('CASE MASTER'!$T$2:$T$495))-(ROW('CASE MASTER'!#REF!)-1))),IF(SUMPRODUCT((('CASE MASTER'!$T$2:$T$495=6)*('CASE MASTER'!$AA$2:$AA$495&lt;=7)*('CASE MASTER'!$AC$2:$AC$495&gt;=7)*('CASE MASTER'!$AB$2:$AB$495&lt;=10)*('CASE MASTER'!$AD$2:$AD$495&gt;=10))*ROW('CASE MASTER'!$T$2:$T$495))&gt;0,INDEX('CASE MASTER'!$Y$2:$Y$495,(SUMPRODUCT((('CASE MASTER'!$T$2:$T$495=6)*('CASE MASTER'!$AA$2:$AA$495&lt;=7)*('CASE MASTER'!$AC$2:$AC$495&gt;=7)*('CASE MASTER'!$AB$2:$AB$495&lt;=10)*('CASE MASTER'!$AD$2:$AD$495&gt;=10))*ROW('CASE MASTER'!$T$2:$T$495))-(ROW('CASE MASTER'!#REF!)-1)))&amp;TRIM(MID(SUBSTITUTE(SUBSTITUTE(INDEX('CASE MASTER'!$N$2:$N$495,(SUMPRODUCT((('CASE MASTER'!$T$2:$T$495=6)*('CASE MASTER'!$AA$2:$AA$495&lt;=7)*('CASE MASTER'!$AC$2:$AC$495&gt;=7)*('CASE MASTER'!$AB$2:$AB$495&lt;=10)*('CASE MASTER'!$AD$2:$AD$495&gt;=10))*ROW('CASE MASTER'!$T$2:$T$495))-(ROW('CASE MASTER'!#REF!)-1))),":",","),",",REPT(" ",50)),(((INDEX('CASE MASTER'!$Z$2:$Z$495,(SUMPRODUCT((('CASE MASTER'!$T$2:$T$495=6)*('CASE MASTER'!$AA$2:$AA$495&lt;=7)*('CASE MASTER'!$AC$2:$AC$495&gt;=7)*('CASE MASTER'!$AB$2:$AB$495&lt;=10)*('CASE MASTER'!$AD$2:$AD$495&gt;=10))*ROW('CASE MASTER'!$T$2:$T$495))-(ROW('CASE MASTER'!#REF!)-1)))+((7-INDEX('CASE MASTER'!$AA$2:$AA$495,(SUMPRODUCT((('CASE MASTER'!$T$2:$T$495=6)*('CASE MASTER'!$AA$2:$AA$495&lt;=7)*('CASE MASTER'!$AC$2:$AC$495&gt;=7)*('CASE MASTER'!$AB$2:$AB$495&lt;=10)*('CASE MASTER'!$AD$2:$AD$495&gt;=10))*ROW('CASE MASTER'!$T$2:$T$495))-(ROW('CASE MASTER'!#REF!)-1))))*(INDEX('CASE MASTER'!$AD$2:$AD$495,(SUMPRODUCT((('CASE MASTER'!$T$2:$T$495=6)*('CASE MASTER'!$AA$2:$AA$495&lt;=7)*('CASE MASTER'!$AC$2:$AC$495&gt;=7)*('CASE MASTER'!$AB$2:$AB$495&lt;=10)*('CASE MASTER'!$AD$2:$AD$495&gt;=10))*ROW('CASE MASTER'!$T$2:$T$495))-(ROW('CASE MASTER'!#REF!)-1)))-INDEX('CASE MASTER'!$AB$2:$AB$495,(SUMPRODUCT((('CASE MASTER'!$T$2:$T$495=6)*('CASE MASTER'!$AA$2:$AA$495&lt;=7)*('CASE MASTER'!$AC$2:$AC$495&gt;=7)*('CASE MASTER'!$AB$2:$AB$495&lt;=10)*('CASE MASTER'!$AD$2:$AD$495&gt;=10))*ROW('CASE MASTER'!$T$2:$T$495))-(ROW('CASE MASTER'!#REF!)-1)))+1)+(10-INDEX('CASE MASTER'!$AB$2:$AB$495,(SUMPRODUCT((('CASE MASTER'!$T$2:$T$495=6)*('CASE MASTER'!$AA$2:$AA$495&lt;=7)*('CASE MASTER'!$AC$2:$AC$495&gt;=7)*('CASE MASTER'!$AB$2:$AB$495&lt;=10)*('CASE MASTER'!$AD$2:$AD$495&gt;=10))*ROW('CASE MASTER'!$T$2:$T$495))-(ROW('CASE MASTER'!#REF!)-1))))+1)))-1)*50+1,50))&amp;"_"&amp;INDEX('CASE MASTER'!$Q$2:$Q$495,(SUMPRODUCT((('CASE MASTER'!$T$2:$T$495=6)*('CASE MASTER'!$AA$2:$AA$495&lt;=7)*('CASE MASTER'!$AC$2:$AC$495&gt;=7)*('CASE MASTER'!$AB$2:$AB$495&lt;=10)*('CASE MASTER'!$AD$2:$AD$495&gt;=10))*ROW('CASE MASTER'!$T$2:$T$495))-(ROW('CASE MASTER'!#REF!)-1))),"")),"")</f>
        <v/>
      </c>
    </row>
    <row r="80" spans="1:11" ht="15" customHeight="1" x14ac:dyDescent="0.35">
      <c r="A80" s="8" t="s">
        <v>35</v>
      </c>
      <c r="B80" s="10" t="str">
        <f>IFERROR(IF(SUMPRODUCT((('CASE MASTER'!$T$2:$T$495=6)*('CASE MASTER'!$U$2:$U$495&lt;=8)*('CASE MASTER'!$W$2:$W$495&gt;=8)*('CASE MASTER'!$V$2:$V$495&lt;=1)*('CASE MASTER'!$X$2:$X$495&gt;=1))*ROW('CASE MASTER'!$T$2:$T$495))&gt;0,INDEX('CASE MASTER'!$Y$2:$Y$495,(SUMPRODUCT((('CASE MASTER'!$T$2:$T$495=6)*('CASE MASTER'!$U$2:$U$495&lt;=8)*('CASE MASTER'!$W$2:$W$495&gt;=8)*('CASE MASTER'!$V$2:$V$495&lt;=1)*('CASE MASTER'!$X$2:$X$495&gt;=1))*ROW('CASE MASTER'!$T$2:$T$495))-(ROW('CASE MASTER'!#REF!)-1)))&amp;TRIM(MID(SUBSTITUTE(SUBSTITUTE(INDEX('CASE MASTER'!$N$2:$N$495,(SUMPRODUCT((('CASE MASTER'!$T$2:$T$495=6)*('CASE MASTER'!$U$2:$U$495&lt;=8)*('CASE MASTER'!$W$2:$W$495&gt;=8)*('CASE MASTER'!$V$2:$V$495&lt;=1)*('CASE MASTER'!$X$2:$X$495&gt;=1))*ROW('CASE MASTER'!$T$2:$T$495))-(ROW('CASE MASTER'!#REF!)-1))),":",","),",",REPT(" ",50)),((((8-INDEX('CASE MASTER'!$U$2:$U$495,(SUMPRODUCT((('CASE MASTER'!$T$2:$T$495=6)*('CASE MASTER'!$U$2:$U$495&lt;=8)*('CASE MASTER'!$W$2:$W$495&gt;=8)*('CASE MASTER'!$V$2:$V$495&lt;=1)*('CASE MASTER'!$X$2:$X$495&gt;=1))*ROW('CASE MASTER'!$T$2:$T$495))-(ROW('CASE MASTER'!#REF!)-1))))*(INDEX('CASE MASTER'!$X$2:$X$495,(SUMPRODUCT((('CASE MASTER'!$T$2:$T$495=6)*('CASE MASTER'!$U$2:$U$495&lt;=8)*('CASE MASTER'!$W$2:$W$495&gt;=8)*('CASE MASTER'!$V$2:$V$495&lt;=1)*('CASE MASTER'!$X$2:$X$495&gt;=1))*ROW('CASE MASTER'!$T$2:$T$495))-(ROW('CASE MASTER'!#REF!)-1)))-INDEX('CASE MASTER'!$V$2:$V$495,(SUMPRODUCT((('CASE MASTER'!$T$2:$T$495=6)*('CASE MASTER'!$U$2:$U$495&lt;=8)*('CASE MASTER'!$W$2:$W$495&gt;=8)*('CASE MASTER'!$V$2:$V$495&lt;=1)*('CASE MASTER'!$X$2:$X$495&gt;=1))*ROW('CASE MASTER'!$T$2:$T$495))-(ROW('CASE MASTER'!#REF!)-1)))+1)+(1-INDEX('CASE MASTER'!$V$2:$V$495,(SUMPRODUCT((('CASE MASTER'!$T$2:$T$495=6)*('CASE MASTER'!$U$2:$U$495&lt;=8)*('CASE MASTER'!$W$2:$W$495&gt;=8)*('CASE MASTER'!$V$2:$V$495&lt;=1)*('CASE MASTER'!$X$2:$X$495&gt;=1))*ROW('CASE MASTER'!$T$2:$T$495))-(ROW('CASE MASTER'!#REF!)-1))))+1))-1)*50+1,50))&amp;"_"&amp;INDEX('CASE MASTER'!$Q$2:$Q$495,(SUMPRODUCT((('CASE MASTER'!$T$2:$T$495=6)*('CASE MASTER'!$U$2:$U$495&lt;=8)*('CASE MASTER'!$W$2:$W$495&gt;=8)*('CASE MASTER'!$V$2:$V$495&lt;=1)*('CASE MASTER'!$X$2:$X$495&gt;=1))*ROW('CASE MASTER'!$T$2:$T$495))-(ROW('CASE MASTER'!#REF!)-1))),IF(SUMPRODUCT((('CASE MASTER'!$T$2:$T$495=6)*('CASE MASTER'!$AA$2:$AA$495&lt;=8)*('CASE MASTER'!$AC$2:$AC$495&gt;=8)*('CASE MASTER'!$AB$2:$AB$495&lt;=1)*('CASE MASTER'!$AD$2:$AD$495&gt;=1))*ROW('CASE MASTER'!$T$2:$T$495))&gt;0,INDEX('CASE MASTER'!$Y$2:$Y$495,(SUMPRODUCT((('CASE MASTER'!$T$2:$T$495=6)*('CASE MASTER'!$AA$2:$AA$495&lt;=8)*('CASE MASTER'!$AC$2:$AC$495&gt;=8)*('CASE MASTER'!$AB$2:$AB$495&lt;=1)*('CASE MASTER'!$AD$2:$AD$495&gt;=1))*ROW('CASE MASTER'!$T$2:$T$495))-(ROW('CASE MASTER'!#REF!)-1)))&amp;TRIM(MID(SUBSTITUTE(SUBSTITUTE(INDEX('CASE MASTER'!$N$2:$N$495,(SUMPRODUCT((('CASE MASTER'!$T$2:$T$495=6)*('CASE MASTER'!$AA$2:$AA$495&lt;=8)*('CASE MASTER'!$AC$2:$AC$495&gt;=8)*('CASE MASTER'!$AB$2:$AB$495&lt;=1)*('CASE MASTER'!$AD$2:$AD$495&gt;=1))*ROW('CASE MASTER'!$T$2:$T$495))-(ROW('CASE MASTER'!#REF!)-1))),":",","),",",REPT(" ",50)),(((INDEX('CASE MASTER'!$Z$2:$Z$495,(SUMPRODUCT((('CASE MASTER'!$T$2:$T$495=6)*('CASE MASTER'!$AA$2:$AA$495&lt;=8)*('CASE MASTER'!$AC$2:$AC$495&gt;=8)*('CASE MASTER'!$AB$2:$AB$495&lt;=1)*('CASE MASTER'!$AD$2:$AD$495&gt;=1))*ROW('CASE MASTER'!$T$2:$T$495))-(ROW('CASE MASTER'!#REF!)-1)))+((8-INDEX('CASE MASTER'!$AA$2:$AA$495,(SUMPRODUCT((('CASE MASTER'!$T$2:$T$495=6)*('CASE MASTER'!$AA$2:$AA$495&lt;=8)*('CASE MASTER'!$AC$2:$AC$495&gt;=8)*('CASE MASTER'!$AB$2:$AB$495&lt;=1)*('CASE MASTER'!$AD$2:$AD$495&gt;=1))*ROW('CASE MASTER'!$T$2:$T$495))-(ROW('CASE MASTER'!#REF!)-1))))*(INDEX('CASE MASTER'!$AD$2:$AD$495,(SUMPRODUCT((('CASE MASTER'!$T$2:$T$495=6)*('CASE MASTER'!$AA$2:$AA$495&lt;=8)*('CASE MASTER'!$AC$2:$AC$495&gt;=8)*('CASE MASTER'!$AB$2:$AB$495&lt;=1)*('CASE MASTER'!$AD$2:$AD$495&gt;=1))*ROW('CASE MASTER'!$T$2:$T$495))-(ROW('CASE MASTER'!#REF!)-1)))-INDEX('CASE MASTER'!$AB$2:$AB$495,(SUMPRODUCT((('CASE MASTER'!$T$2:$T$495=6)*('CASE MASTER'!$AA$2:$AA$495&lt;=8)*('CASE MASTER'!$AC$2:$AC$495&gt;=8)*('CASE MASTER'!$AB$2:$AB$495&lt;=1)*('CASE MASTER'!$AD$2:$AD$495&gt;=1))*ROW('CASE MASTER'!$T$2:$T$495))-(ROW('CASE MASTER'!#REF!)-1)))+1)+(1-INDEX('CASE MASTER'!$AB$2:$AB$495,(SUMPRODUCT((('CASE MASTER'!$T$2:$T$495=6)*('CASE MASTER'!$AA$2:$AA$495&lt;=8)*('CASE MASTER'!$AC$2:$AC$495&gt;=8)*('CASE MASTER'!$AB$2:$AB$495&lt;=1)*('CASE MASTER'!$AD$2:$AD$495&gt;=1))*ROW('CASE MASTER'!$T$2:$T$495))-(ROW('CASE MASTER'!#REF!)-1))))+1)))-1)*50+1,50))&amp;"_"&amp;INDEX('CASE MASTER'!$Q$2:$Q$495,(SUMPRODUCT((('CASE MASTER'!$T$2:$T$495=6)*('CASE MASTER'!$AA$2:$AA$495&lt;=8)*('CASE MASTER'!$AC$2:$AC$495&gt;=8)*('CASE MASTER'!$AB$2:$AB$495&lt;=1)*('CASE MASTER'!$AD$2:$AD$495&gt;=1))*ROW('CASE MASTER'!$T$2:$T$495))-(ROW('CASE MASTER'!#REF!)-1))),"")),"")</f>
        <v/>
      </c>
      <c r="C80" s="10" t="str">
        <f>IFERROR(IF(SUMPRODUCT((('CASE MASTER'!$T$2:$T$495=6)*('CASE MASTER'!$U$2:$U$495&lt;=8)*('CASE MASTER'!$W$2:$W$495&gt;=8)*('CASE MASTER'!$V$2:$V$495&lt;=2)*('CASE MASTER'!$X$2:$X$495&gt;=2))*ROW('CASE MASTER'!$T$2:$T$495))&gt;0,INDEX('CASE MASTER'!$Y$2:$Y$495,(SUMPRODUCT((('CASE MASTER'!$T$2:$T$495=6)*('CASE MASTER'!$U$2:$U$495&lt;=8)*('CASE MASTER'!$W$2:$W$495&gt;=8)*('CASE MASTER'!$V$2:$V$495&lt;=2)*('CASE MASTER'!$X$2:$X$495&gt;=2))*ROW('CASE MASTER'!$T$2:$T$495))-(ROW('CASE MASTER'!#REF!)-1)))&amp;TRIM(MID(SUBSTITUTE(SUBSTITUTE(INDEX('CASE MASTER'!$N$2:$N$495,(SUMPRODUCT((('CASE MASTER'!$T$2:$T$495=6)*('CASE MASTER'!$U$2:$U$495&lt;=8)*('CASE MASTER'!$W$2:$W$495&gt;=8)*('CASE MASTER'!$V$2:$V$495&lt;=2)*('CASE MASTER'!$X$2:$X$495&gt;=2))*ROW('CASE MASTER'!$T$2:$T$495))-(ROW('CASE MASTER'!#REF!)-1))),":",","),",",REPT(" ",50)),((((8-INDEX('CASE MASTER'!$U$2:$U$495,(SUMPRODUCT((('CASE MASTER'!$T$2:$T$495=6)*('CASE MASTER'!$U$2:$U$495&lt;=8)*('CASE MASTER'!$W$2:$W$495&gt;=8)*('CASE MASTER'!$V$2:$V$495&lt;=2)*('CASE MASTER'!$X$2:$X$495&gt;=2))*ROW('CASE MASTER'!$T$2:$T$495))-(ROW('CASE MASTER'!#REF!)-1))))*(INDEX('CASE MASTER'!$X$2:$X$495,(SUMPRODUCT((('CASE MASTER'!$T$2:$T$495=6)*('CASE MASTER'!$U$2:$U$495&lt;=8)*('CASE MASTER'!$W$2:$W$495&gt;=8)*('CASE MASTER'!$V$2:$V$495&lt;=2)*('CASE MASTER'!$X$2:$X$495&gt;=2))*ROW('CASE MASTER'!$T$2:$T$495))-(ROW('CASE MASTER'!#REF!)-1)))-INDEX('CASE MASTER'!$V$2:$V$495,(SUMPRODUCT((('CASE MASTER'!$T$2:$T$495=6)*('CASE MASTER'!$U$2:$U$495&lt;=8)*('CASE MASTER'!$W$2:$W$495&gt;=8)*('CASE MASTER'!$V$2:$V$495&lt;=2)*('CASE MASTER'!$X$2:$X$495&gt;=2))*ROW('CASE MASTER'!$T$2:$T$495))-(ROW('CASE MASTER'!#REF!)-1)))+1)+(2-INDEX('CASE MASTER'!$V$2:$V$495,(SUMPRODUCT((('CASE MASTER'!$T$2:$T$495=6)*('CASE MASTER'!$U$2:$U$495&lt;=8)*('CASE MASTER'!$W$2:$W$495&gt;=8)*('CASE MASTER'!$V$2:$V$495&lt;=2)*('CASE MASTER'!$X$2:$X$495&gt;=2))*ROW('CASE MASTER'!$T$2:$T$495))-(ROW('CASE MASTER'!#REF!)-1))))+1))-1)*50+1,50))&amp;"_"&amp;INDEX('CASE MASTER'!$Q$2:$Q$495,(SUMPRODUCT((('CASE MASTER'!$T$2:$T$495=6)*('CASE MASTER'!$U$2:$U$495&lt;=8)*('CASE MASTER'!$W$2:$W$495&gt;=8)*('CASE MASTER'!$V$2:$V$495&lt;=2)*('CASE MASTER'!$X$2:$X$495&gt;=2))*ROW('CASE MASTER'!$T$2:$T$495))-(ROW('CASE MASTER'!#REF!)-1))),IF(SUMPRODUCT((('CASE MASTER'!$T$2:$T$495=6)*('CASE MASTER'!$AA$2:$AA$495&lt;=8)*('CASE MASTER'!$AC$2:$AC$495&gt;=8)*('CASE MASTER'!$AB$2:$AB$495&lt;=2)*('CASE MASTER'!$AD$2:$AD$495&gt;=2))*ROW('CASE MASTER'!$T$2:$T$495))&gt;0,INDEX('CASE MASTER'!$Y$2:$Y$495,(SUMPRODUCT((('CASE MASTER'!$T$2:$T$495=6)*('CASE MASTER'!$AA$2:$AA$495&lt;=8)*('CASE MASTER'!$AC$2:$AC$495&gt;=8)*('CASE MASTER'!$AB$2:$AB$495&lt;=2)*('CASE MASTER'!$AD$2:$AD$495&gt;=2))*ROW('CASE MASTER'!$T$2:$T$495))-(ROW('CASE MASTER'!#REF!)-1)))&amp;TRIM(MID(SUBSTITUTE(SUBSTITUTE(INDEX('CASE MASTER'!$N$2:$N$495,(SUMPRODUCT((('CASE MASTER'!$T$2:$T$495=6)*('CASE MASTER'!$AA$2:$AA$495&lt;=8)*('CASE MASTER'!$AC$2:$AC$495&gt;=8)*('CASE MASTER'!$AB$2:$AB$495&lt;=2)*('CASE MASTER'!$AD$2:$AD$495&gt;=2))*ROW('CASE MASTER'!$T$2:$T$495))-(ROW('CASE MASTER'!#REF!)-1))),":",","),",",REPT(" ",50)),(((INDEX('CASE MASTER'!$Z$2:$Z$495,(SUMPRODUCT((('CASE MASTER'!$T$2:$T$495=6)*('CASE MASTER'!$AA$2:$AA$495&lt;=8)*('CASE MASTER'!$AC$2:$AC$495&gt;=8)*('CASE MASTER'!$AB$2:$AB$495&lt;=2)*('CASE MASTER'!$AD$2:$AD$495&gt;=2))*ROW('CASE MASTER'!$T$2:$T$495))-(ROW('CASE MASTER'!#REF!)-1)))+((8-INDEX('CASE MASTER'!$AA$2:$AA$495,(SUMPRODUCT((('CASE MASTER'!$T$2:$T$495=6)*('CASE MASTER'!$AA$2:$AA$495&lt;=8)*('CASE MASTER'!$AC$2:$AC$495&gt;=8)*('CASE MASTER'!$AB$2:$AB$495&lt;=2)*('CASE MASTER'!$AD$2:$AD$495&gt;=2))*ROW('CASE MASTER'!$T$2:$T$495))-(ROW('CASE MASTER'!#REF!)-1))))*(INDEX('CASE MASTER'!$AD$2:$AD$495,(SUMPRODUCT((('CASE MASTER'!$T$2:$T$495=6)*('CASE MASTER'!$AA$2:$AA$495&lt;=8)*('CASE MASTER'!$AC$2:$AC$495&gt;=8)*('CASE MASTER'!$AB$2:$AB$495&lt;=2)*('CASE MASTER'!$AD$2:$AD$495&gt;=2))*ROW('CASE MASTER'!$T$2:$T$495))-(ROW('CASE MASTER'!#REF!)-1)))-INDEX('CASE MASTER'!$AB$2:$AB$495,(SUMPRODUCT((('CASE MASTER'!$T$2:$T$495=6)*('CASE MASTER'!$AA$2:$AA$495&lt;=8)*('CASE MASTER'!$AC$2:$AC$495&gt;=8)*('CASE MASTER'!$AB$2:$AB$495&lt;=2)*('CASE MASTER'!$AD$2:$AD$495&gt;=2))*ROW('CASE MASTER'!$T$2:$T$495))-(ROW('CASE MASTER'!#REF!)-1)))+1)+(2-INDEX('CASE MASTER'!$AB$2:$AB$495,(SUMPRODUCT((('CASE MASTER'!$T$2:$T$495=6)*('CASE MASTER'!$AA$2:$AA$495&lt;=8)*('CASE MASTER'!$AC$2:$AC$495&gt;=8)*('CASE MASTER'!$AB$2:$AB$495&lt;=2)*('CASE MASTER'!$AD$2:$AD$495&gt;=2))*ROW('CASE MASTER'!$T$2:$T$495))-(ROW('CASE MASTER'!#REF!)-1))))+1)))-1)*50+1,50))&amp;"_"&amp;INDEX('CASE MASTER'!$Q$2:$Q$495,(SUMPRODUCT((('CASE MASTER'!$T$2:$T$495=6)*('CASE MASTER'!$AA$2:$AA$495&lt;=8)*('CASE MASTER'!$AC$2:$AC$495&gt;=8)*('CASE MASTER'!$AB$2:$AB$495&lt;=2)*('CASE MASTER'!$AD$2:$AD$495&gt;=2))*ROW('CASE MASTER'!$T$2:$T$495))-(ROW('CASE MASTER'!#REF!)-1))),"")),"")</f>
        <v/>
      </c>
      <c r="D80" s="10" t="str">
        <f>IFERROR(IF(SUMPRODUCT((('CASE MASTER'!$T$2:$T$495=6)*('CASE MASTER'!$U$2:$U$495&lt;=8)*('CASE MASTER'!$W$2:$W$495&gt;=8)*('CASE MASTER'!$V$2:$V$495&lt;=3)*('CASE MASTER'!$X$2:$X$495&gt;=3))*ROW('CASE MASTER'!$T$2:$T$495))&gt;0,INDEX('CASE MASTER'!$Y$2:$Y$495,(SUMPRODUCT((('CASE MASTER'!$T$2:$T$495=6)*('CASE MASTER'!$U$2:$U$495&lt;=8)*('CASE MASTER'!$W$2:$W$495&gt;=8)*('CASE MASTER'!$V$2:$V$495&lt;=3)*('CASE MASTER'!$X$2:$X$495&gt;=3))*ROW('CASE MASTER'!$T$2:$T$495))-(ROW('CASE MASTER'!#REF!)-1)))&amp;TRIM(MID(SUBSTITUTE(SUBSTITUTE(INDEX('CASE MASTER'!$N$2:$N$495,(SUMPRODUCT((('CASE MASTER'!$T$2:$T$495=6)*('CASE MASTER'!$U$2:$U$495&lt;=8)*('CASE MASTER'!$W$2:$W$495&gt;=8)*('CASE MASTER'!$V$2:$V$495&lt;=3)*('CASE MASTER'!$X$2:$X$495&gt;=3))*ROW('CASE MASTER'!$T$2:$T$495))-(ROW('CASE MASTER'!#REF!)-1))),":",","),",",REPT(" ",50)),((((8-INDEX('CASE MASTER'!$U$2:$U$495,(SUMPRODUCT((('CASE MASTER'!$T$2:$T$495=6)*('CASE MASTER'!$U$2:$U$495&lt;=8)*('CASE MASTER'!$W$2:$W$495&gt;=8)*('CASE MASTER'!$V$2:$V$495&lt;=3)*('CASE MASTER'!$X$2:$X$495&gt;=3))*ROW('CASE MASTER'!$T$2:$T$495))-(ROW('CASE MASTER'!#REF!)-1))))*(INDEX('CASE MASTER'!$X$2:$X$495,(SUMPRODUCT((('CASE MASTER'!$T$2:$T$495=6)*('CASE MASTER'!$U$2:$U$495&lt;=8)*('CASE MASTER'!$W$2:$W$495&gt;=8)*('CASE MASTER'!$V$2:$V$495&lt;=3)*('CASE MASTER'!$X$2:$X$495&gt;=3))*ROW('CASE MASTER'!$T$2:$T$495))-(ROW('CASE MASTER'!#REF!)-1)))-INDEX('CASE MASTER'!$V$2:$V$495,(SUMPRODUCT((('CASE MASTER'!$T$2:$T$495=6)*('CASE MASTER'!$U$2:$U$495&lt;=8)*('CASE MASTER'!$W$2:$W$495&gt;=8)*('CASE MASTER'!$V$2:$V$495&lt;=3)*('CASE MASTER'!$X$2:$X$495&gt;=3))*ROW('CASE MASTER'!$T$2:$T$495))-(ROW('CASE MASTER'!#REF!)-1)))+1)+(3-INDEX('CASE MASTER'!$V$2:$V$495,(SUMPRODUCT((('CASE MASTER'!$T$2:$T$495=6)*('CASE MASTER'!$U$2:$U$495&lt;=8)*('CASE MASTER'!$W$2:$W$495&gt;=8)*('CASE MASTER'!$V$2:$V$495&lt;=3)*('CASE MASTER'!$X$2:$X$495&gt;=3))*ROW('CASE MASTER'!$T$2:$T$495))-(ROW('CASE MASTER'!#REF!)-1))))+1))-1)*50+1,50))&amp;"_"&amp;INDEX('CASE MASTER'!$Q$2:$Q$495,(SUMPRODUCT((('CASE MASTER'!$T$2:$T$495=6)*('CASE MASTER'!$U$2:$U$495&lt;=8)*('CASE MASTER'!$W$2:$W$495&gt;=8)*('CASE MASTER'!$V$2:$V$495&lt;=3)*('CASE MASTER'!$X$2:$X$495&gt;=3))*ROW('CASE MASTER'!$T$2:$T$495))-(ROW('CASE MASTER'!#REF!)-1))),IF(SUMPRODUCT((('CASE MASTER'!$T$2:$T$495=6)*('CASE MASTER'!$AA$2:$AA$495&lt;=8)*('CASE MASTER'!$AC$2:$AC$495&gt;=8)*('CASE MASTER'!$AB$2:$AB$495&lt;=3)*('CASE MASTER'!$AD$2:$AD$495&gt;=3))*ROW('CASE MASTER'!$T$2:$T$495))&gt;0,INDEX('CASE MASTER'!$Y$2:$Y$495,(SUMPRODUCT((('CASE MASTER'!$T$2:$T$495=6)*('CASE MASTER'!$AA$2:$AA$495&lt;=8)*('CASE MASTER'!$AC$2:$AC$495&gt;=8)*('CASE MASTER'!$AB$2:$AB$495&lt;=3)*('CASE MASTER'!$AD$2:$AD$495&gt;=3))*ROW('CASE MASTER'!$T$2:$T$495))-(ROW('CASE MASTER'!#REF!)-1)))&amp;TRIM(MID(SUBSTITUTE(SUBSTITUTE(INDEX('CASE MASTER'!$N$2:$N$495,(SUMPRODUCT((('CASE MASTER'!$T$2:$T$495=6)*('CASE MASTER'!$AA$2:$AA$495&lt;=8)*('CASE MASTER'!$AC$2:$AC$495&gt;=8)*('CASE MASTER'!$AB$2:$AB$495&lt;=3)*('CASE MASTER'!$AD$2:$AD$495&gt;=3))*ROW('CASE MASTER'!$T$2:$T$495))-(ROW('CASE MASTER'!#REF!)-1))),":",","),",",REPT(" ",50)),(((INDEX('CASE MASTER'!$Z$2:$Z$495,(SUMPRODUCT((('CASE MASTER'!$T$2:$T$495=6)*('CASE MASTER'!$AA$2:$AA$495&lt;=8)*('CASE MASTER'!$AC$2:$AC$495&gt;=8)*('CASE MASTER'!$AB$2:$AB$495&lt;=3)*('CASE MASTER'!$AD$2:$AD$495&gt;=3))*ROW('CASE MASTER'!$T$2:$T$495))-(ROW('CASE MASTER'!#REF!)-1)))+((8-INDEX('CASE MASTER'!$AA$2:$AA$495,(SUMPRODUCT((('CASE MASTER'!$T$2:$T$495=6)*('CASE MASTER'!$AA$2:$AA$495&lt;=8)*('CASE MASTER'!$AC$2:$AC$495&gt;=8)*('CASE MASTER'!$AB$2:$AB$495&lt;=3)*('CASE MASTER'!$AD$2:$AD$495&gt;=3))*ROW('CASE MASTER'!$T$2:$T$495))-(ROW('CASE MASTER'!#REF!)-1))))*(INDEX('CASE MASTER'!$AD$2:$AD$495,(SUMPRODUCT((('CASE MASTER'!$T$2:$T$495=6)*('CASE MASTER'!$AA$2:$AA$495&lt;=8)*('CASE MASTER'!$AC$2:$AC$495&gt;=8)*('CASE MASTER'!$AB$2:$AB$495&lt;=3)*('CASE MASTER'!$AD$2:$AD$495&gt;=3))*ROW('CASE MASTER'!$T$2:$T$495))-(ROW('CASE MASTER'!#REF!)-1)))-INDEX('CASE MASTER'!$AB$2:$AB$495,(SUMPRODUCT((('CASE MASTER'!$T$2:$T$495=6)*('CASE MASTER'!$AA$2:$AA$495&lt;=8)*('CASE MASTER'!$AC$2:$AC$495&gt;=8)*('CASE MASTER'!$AB$2:$AB$495&lt;=3)*('CASE MASTER'!$AD$2:$AD$495&gt;=3))*ROW('CASE MASTER'!$T$2:$T$495))-(ROW('CASE MASTER'!#REF!)-1)))+1)+(3-INDEX('CASE MASTER'!$AB$2:$AB$495,(SUMPRODUCT((('CASE MASTER'!$T$2:$T$495=6)*('CASE MASTER'!$AA$2:$AA$495&lt;=8)*('CASE MASTER'!$AC$2:$AC$495&gt;=8)*('CASE MASTER'!$AB$2:$AB$495&lt;=3)*('CASE MASTER'!$AD$2:$AD$495&gt;=3))*ROW('CASE MASTER'!$T$2:$T$495))-(ROW('CASE MASTER'!#REF!)-1))))+1)))-1)*50+1,50))&amp;"_"&amp;INDEX('CASE MASTER'!$Q$2:$Q$495,(SUMPRODUCT((('CASE MASTER'!$T$2:$T$495=6)*('CASE MASTER'!$AA$2:$AA$495&lt;=8)*('CASE MASTER'!$AC$2:$AC$495&gt;=8)*('CASE MASTER'!$AB$2:$AB$495&lt;=3)*('CASE MASTER'!$AD$2:$AD$495&gt;=3))*ROW('CASE MASTER'!$T$2:$T$495))-(ROW('CASE MASTER'!#REF!)-1))),"")),"")</f>
        <v/>
      </c>
      <c r="E80" s="10" t="str">
        <f>IFERROR(IF(SUMPRODUCT((('CASE MASTER'!$T$2:$T$495=6)*('CASE MASTER'!$U$2:$U$495&lt;=8)*('CASE MASTER'!$W$2:$W$495&gt;=8)*('CASE MASTER'!$V$2:$V$495&lt;=4)*('CASE MASTER'!$X$2:$X$495&gt;=4))*ROW('CASE MASTER'!$T$2:$T$495))&gt;0,INDEX('CASE MASTER'!$Y$2:$Y$495,(SUMPRODUCT((('CASE MASTER'!$T$2:$T$495=6)*('CASE MASTER'!$U$2:$U$495&lt;=8)*('CASE MASTER'!$W$2:$W$495&gt;=8)*('CASE MASTER'!$V$2:$V$495&lt;=4)*('CASE MASTER'!$X$2:$X$495&gt;=4))*ROW('CASE MASTER'!$T$2:$T$495))-(ROW('CASE MASTER'!#REF!)-1)))&amp;TRIM(MID(SUBSTITUTE(SUBSTITUTE(INDEX('CASE MASTER'!$N$2:$N$495,(SUMPRODUCT((('CASE MASTER'!$T$2:$T$495=6)*('CASE MASTER'!$U$2:$U$495&lt;=8)*('CASE MASTER'!$W$2:$W$495&gt;=8)*('CASE MASTER'!$V$2:$V$495&lt;=4)*('CASE MASTER'!$X$2:$X$495&gt;=4))*ROW('CASE MASTER'!$T$2:$T$495))-(ROW('CASE MASTER'!#REF!)-1))),":",","),",",REPT(" ",50)),((((8-INDEX('CASE MASTER'!$U$2:$U$495,(SUMPRODUCT((('CASE MASTER'!$T$2:$T$495=6)*('CASE MASTER'!$U$2:$U$495&lt;=8)*('CASE MASTER'!$W$2:$W$495&gt;=8)*('CASE MASTER'!$V$2:$V$495&lt;=4)*('CASE MASTER'!$X$2:$X$495&gt;=4))*ROW('CASE MASTER'!$T$2:$T$495))-(ROW('CASE MASTER'!#REF!)-1))))*(INDEX('CASE MASTER'!$X$2:$X$495,(SUMPRODUCT((('CASE MASTER'!$T$2:$T$495=6)*('CASE MASTER'!$U$2:$U$495&lt;=8)*('CASE MASTER'!$W$2:$W$495&gt;=8)*('CASE MASTER'!$V$2:$V$495&lt;=4)*('CASE MASTER'!$X$2:$X$495&gt;=4))*ROW('CASE MASTER'!$T$2:$T$495))-(ROW('CASE MASTER'!#REF!)-1)))-INDEX('CASE MASTER'!$V$2:$V$495,(SUMPRODUCT((('CASE MASTER'!$T$2:$T$495=6)*('CASE MASTER'!$U$2:$U$495&lt;=8)*('CASE MASTER'!$W$2:$W$495&gt;=8)*('CASE MASTER'!$V$2:$V$495&lt;=4)*('CASE MASTER'!$X$2:$X$495&gt;=4))*ROW('CASE MASTER'!$T$2:$T$495))-(ROW('CASE MASTER'!#REF!)-1)))+1)+(4-INDEX('CASE MASTER'!$V$2:$V$495,(SUMPRODUCT((('CASE MASTER'!$T$2:$T$495=6)*('CASE MASTER'!$U$2:$U$495&lt;=8)*('CASE MASTER'!$W$2:$W$495&gt;=8)*('CASE MASTER'!$V$2:$V$495&lt;=4)*('CASE MASTER'!$X$2:$X$495&gt;=4))*ROW('CASE MASTER'!$T$2:$T$495))-(ROW('CASE MASTER'!#REF!)-1))))+1))-1)*50+1,50))&amp;"_"&amp;INDEX('CASE MASTER'!$Q$2:$Q$495,(SUMPRODUCT((('CASE MASTER'!$T$2:$T$495=6)*('CASE MASTER'!$U$2:$U$495&lt;=8)*('CASE MASTER'!$W$2:$W$495&gt;=8)*('CASE MASTER'!$V$2:$V$495&lt;=4)*('CASE MASTER'!$X$2:$X$495&gt;=4))*ROW('CASE MASTER'!$T$2:$T$495))-(ROW('CASE MASTER'!#REF!)-1))),IF(SUMPRODUCT((('CASE MASTER'!$T$2:$T$495=6)*('CASE MASTER'!$AA$2:$AA$495&lt;=8)*('CASE MASTER'!$AC$2:$AC$495&gt;=8)*('CASE MASTER'!$AB$2:$AB$495&lt;=4)*('CASE MASTER'!$AD$2:$AD$495&gt;=4))*ROW('CASE MASTER'!$T$2:$T$495))&gt;0,INDEX('CASE MASTER'!$Y$2:$Y$495,(SUMPRODUCT((('CASE MASTER'!$T$2:$T$495=6)*('CASE MASTER'!$AA$2:$AA$495&lt;=8)*('CASE MASTER'!$AC$2:$AC$495&gt;=8)*('CASE MASTER'!$AB$2:$AB$495&lt;=4)*('CASE MASTER'!$AD$2:$AD$495&gt;=4))*ROW('CASE MASTER'!$T$2:$T$495))-(ROW('CASE MASTER'!#REF!)-1)))&amp;TRIM(MID(SUBSTITUTE(SUBSTITUTE(INDEX('CASE MASTER'!$N$2:$N$495,(SUMPRODUCT((('CASE MASTER'!$T$2:$T$495=6)*('CASE MASTER'!$AA$2:$AA$495&lt;=8)*('CASE MASTER'!$AC$2:$AC$495&gt;=8)*('CASE MASTER'!$AB$2:$AB$495&lt;=4)*('CASE MASTER'!$AD$2:$AD$495&gt;=4))*ROW('CASE MASTER'!$T$2:$T$495))-(ROW('CASE MASTER'!#REF!)-1))),":",","),",",REPT(" ",50)),(((INDEX('CASE MASTER'!$Z$2:$Z$495,(SUMPRODUCT((('CASE MASTER'!$T$2:$T$495=6)*('CASE MASTER'!$AA$2:$AA$495&lt;=8)*('CASE MASTER'!$AC$2:$AC$495&gt;=8)*('CASE MASTER'!$AB$2:$AB$495&lt;=4)*('CASE MASTER'!$AD$2:$AD$495&gt;=4))*ROW('CASE MASTER'!$T$2:$T$495))-(ROW('CASE MASTER'!#REF!)-1)))+((8-INDEX('CASE MASTER'!$AA$2:$AA$495,(SUMPRODUCT((('CASE MASTER'!$T$2:$T$495=6)*('CASE MASTER'!$AA$2:$AA$495&lt;=8)*('CASE MASTER'!$AC$2:$AC$495&gt;=8)*('CASE MASTER'!$AB$2:$AB$495&lt;=4)*('CASE MASTER'!$AD$2:$AD$495&gt;=4))*ROW('CASE MASTER'!$T$2:$T$495))-(ROW('CASE MASTER'!#REF!)-1))))*(INDEX('CASE MASTER'!$AD$2:$AD$495,(SUMPRODUCT((('CASE MASTER'!$T$2:$T$495=6)*('CASE MASTER'!$AA$2:$AA$495&lt;=8)*('CASE MASTER'!$AC$2:$AC$495&gt;=8)*('CASE MASTER'!$AB$2:$AB$495&lt;=4)*('CASE MASTER'!$AD$2:$AD$495&gt;=4))*ROW('CASE MASTER'!$T$2:$T$495))-(ROW('CASE MASTER'!#REF!)-1)))-INDEX('CASE MASTER'!$AB$2:$AB$495,(SUMPRODUCT((('CASE MASTER'!$T$2:$T$495=6)*('CASE MASTER'!$AA$2:$AA$495&lt;=8)*('CASE MASTER'!$AC$2:$AC$495&gt;=8)*('CASE MASTER'!$AB$2:$AB$495&lt;=4)*('CASE MASTER'!$AD$2:$AD$495&gt;=4))*ROW('CASE MASTER'!$T$2:$T$495))-(ROW('CASE MASTER'!#REF!)-1)))+1)+(4-INDEX('CASE MASTER'!$AB$2:$AB$495,(SUMPRODUCT((('CASE MASTER'!$T$2:$T$495=6)*('CASE MASTER'!$AA$2:$AA$495&lt;=8)*('CASE MASTER'!$AC$2:$AC$495&gt;=8)*('CASE MASTER'!$AB$2:$AB$495&lt;=4)*('CASE MASTER'!$AD$2:$AD$495&gt;=4))*ROW('CASE MASTER'!$T$2:$T$495))-(ROW('CASE MASTER'!#REF!)-1))))+1)))-1)*50+1,50))&amp;"_"&amp;INDEX('CASE MASTER'!$Q$2:$Q$495,(SUMPRODUCT((('CASE MASTER'!$T$2:$T$495=6)*('CASE MASTER'!$AA$2:$AA$495&lt;=8)*('CASE MASTER'!$AC$2:$AC$495&gt;=8)*('CASE MASTER'!$AB$2:$AB$495&lt;=4)*('CASE MASTER'!$AD$2:$AD$495&gt;=4))*ROW('CASE MASTER'!$T$2:$T$495))-(ROW('CASE MASTER'!#REF!)-1))),"")),"")</f>
        <v/>
      </c>
      <c r="F80" s="10" t="str">
        <f>IFERROR(IF(SUMPRODUCT((('CASE MASTER'!$T$2:$T$495=6)*('CASE MASTER'!$U$2:$U$495&lt;=8)*('CASE MASTER'!$W$2:$W$495&gt;=8)*('CASE MASTER'!$V$2:$V$495&lt;=5)*('CASE MASTER'!$X$2:$X$495&gt;=5))*ROW('CASE MASTER'!$T$2:$T$495))&gt;0,INDEX('CASE MASTER'!$Y$2:$Y$495,(SUMPRODUCT((('CASE MASTER'!$T$2:$T$495=6)*('CASE MASTER'!$U$2:$U$495&lt;=8)*('CASE MASTER'!$W$2:$W$495&gt;=8)*('CASE MASTER'!$V$2:$V$495&lt;=5)*('CASE MASTER'!$X$2:$X$495&gt;=5))*ROW('CASE MASTER'!$T$2:$T$495))-(ROW('CASE MASTER'!#REF!)-1)))&amp;TRIM(MID(SUBSTITUTE(SUBSTITUTE(INDEX('CASE MASTER'!$N$2:$N$495,(SUMPRODUCT((('CASE MASTER'!$T$2:$T$495=6)*('CASE MASTER'!$U$2:$U$495&lt;=8)*('CASE MASTER'!$W$2:$W$495&gt;=8)*('CASE MASTER'!$V$2:$V$495&lt;=5)*('CASE MASTER'!$X$2:$X$495&gt;=5))*ROW('CASE MASTER'!$T$2:$T$495))-(ROW('CASE MASTER'!#REF!)-1))),":",","),",",REPT(" ",50)),((((8-INDEX('CASE MASTER'!$U$2:$U$495,(SUMPRODUCT((('CASE MASTER'!$T$2:$T$495=6)*('CASE MASTER'!$U$2:$U$495&lt;=8)*('CASE MASTER'!$W$2:$W$495&gt;=8)*('CASE MASTER'!$V$2:$V$495&lt;=5)*('CASE MASTER'!$X$2:$X$495&gt;=5))*ROW('CASE MASTER'!$T$2:$T$495))-(ROW('CASE MASTER'!#REF!)-1))))*(INDEX('CASE MASTER'!$X$2:$X$495,(SUMPRODUCT((('CASE MASTER'!$T$2:$T$495=6)*('CASE MASTER'!$U$2:$U$495&lt;=8)*('CASE MASTER'!$W$2:$W$495&gt;=8)*('CASE MASTER'!$V$2:$V$495&lt;=5)*('CASE MASTER'!$X$2:$X$495&gt;=5))*ROW('CASE MASTER'!$T$2:$T$495))-(ROW('CASE MASTER'!#REF!)-1)))-INDEX('CASE MASTER'!$V$2:$V$495,(SUMPRODUCT((('CASE MASTER'!$T$2:$T$495=6)*('CASE MASTER'!$U$2:$U$495&lt;=8)*('CASE MASTER'!$W$2:$W$495&gt;=8)*('CASE MASTER'!$V$2:$V$495&lt;=5)*('CASE MASTER'!$X$2:$X$495&gt;=5))*ROW('CASE MASTER'!$T$2:$T$495))-(ROW('CASE MASTER'!#REF!)-1)))+1)+(5-INDEX('CASE MASTER'!$V$2:$V$495,(SUMPRODUCT((('CASE MASTER'!$T$2:$T$495=6)*('CASE MASTER'!$U$2:$U$495&lt;=8)*('CASE MASTER'!$W$2:$W$495&gt;=8)*('CASE MASTER'!$V$2:$V$495&lt;=5)*('CASE MASTER'!$X$2:$X$495&gt;=5))*ROW('CASE MASTER'!$T$2:$T$495))-(ROW('CASE MASTER'!#REF!)-1))))+1))-1)*50+1,50))&amp;"_"&amp;INDEX('CASE MASTER'!$Q$2:$Q$495,(SUMPRODUCT((('CASE MASTER'!$T$2:$T$495=6)*('CASE MASTER'!$U$2:$U$495&lt;=8)*('CASE MASTER'!$W$2:$W$495&gt;=8)*('CASE MASTER'!$V$2:$V$495&lt;=5)*('CASE MASTER'!$X$2:$X$495&gt;=5))*ROW('CASE MASTER'!$T$2:$T$495))-(ROW('CASE MASTER'!#REF!)-1))),IF(SUMPRODUCT((('CASE MASTER'!$T$2:$T$495=6)*('CASE MASTER'!$AA$2:$AA$495&lt;=8)*('CASE MASTER'!$AC$2:$AC$495&gt;=8)*('CASE MASTER'!$AB$2:$AB$495&lt;=5)*('CASE MASTER'!$AD$2:$AD$495&gt;=5))*ROW('CASE MASTER'!$T$2:$T$495))&gt;0,INDEX('CASE MASTER'!$Y$2:$Y$495,(SUMPRODUCT((('CASE MASTER'!$T$2:$T$495=6)*('CASE MASTER'!$AA$2:$AA$495&lt;=8)*('CASE MASTER'!$AC$2:$AC$495&gt;=8)*('CASE MASTER'!$AB$2:$AB$495&lt;=5)*('CASE MASTER'!$AD$2:$AD$495&gt;=5))*ROW('CASE MASTER'!$T$2:$T$495))-(ROW('CASE MASTER'!#REF!)-1)))&amp;TRIM(MID(SUBSTITUTE(SUBSTITUTE(INDEX('CASE MASTER'!$N$2:$N$495,(SUMPRODUCT((('CASE MASTER'!$T$2:$T$495=6)*('CASE MASTER'!$AA$2:$AA$495&lt;=8)*('CASE MASTER'!$AC$2:$AC$495&gt;=8)*('CASE MASTER'!$AB$2:$AB$495&lt;=5)*('CASE MASTER'!$AD$2:$AD$495&gt;=5))*ROW('CASE MASTER'!$T$2:$T$495))-(ROW('CASE MASTER'!#REF!)-1))),":",","),",",REPT(" ",50)),(((INDEX('CASE MASTER'!$Z$2:$Z$495,(SUMPRODUCT((('CASE MASTER'!$T$2:$T$495=6)*('CASE MASTER'!$AA$2:$AA$495&lt;=8)*('CASE MASTER'!$AC$2:$AC$495&gt;=8)*('CASE MASTER'!$AB$2:$AB$495&lt;=5)*('CASE MASTER'!$AD$2:$AD$495&gt;=5))*ROW('CASE MASTER'!$T$2:$T$495))-(ROW('CASE MASTER'!#REF!)-1)))+((8-INDEX('CASE MASTER'!$AA$2:$AA$495,(SUMPRODUCT((('CASE MASTER'!$T$2:$T$495=6)*('CASE MASTER'!$AA$2:$AA$495&lt;=8)*('CASE MASTER'!$AC$2:$AC$495&gt;=8)*('CASE MASTER'!$AB$2:$AB$495&lt;=5)*('CASE MASTER'!$AD$2:$AD$495&gt;=5))*ROW('CASE MASTER'!$T$2:$T$495))-(ROW('CASE MASTER'!#REF!)-1))))*(INDEX('CASE MASTER'!$AD$2:$AD$495,(SUMPRODUCT((('CASE MASTER'!$T$2:$T$495=6)*('CASE MASTER'!$AA$2:$AA$495&lt;=8)*('CASE MASTER'!$AC$2:$AC$495&gt;=8)*('CASE MASTER'!$AB$2:$AB$495&lt;=5)*('CASE MASTER'!$AD$2:$AD$495&gt;=5))*ROW('CASE MASTER'!$T$2:$T$495))-(ROW('CASE MASTER'!#REF!)-1)))-INDEX('CASE MASTER'!$AB$2:$AB$495,(SUMPRODUCT((('CASE MASTER'!$T$2:$T$495=6)*('CASE MASTER'!$AA$2:$AA$495&lt;=8)*('CASE MASTER'!$AC$2:$AC$495&gt;=8)*('CASE MASTER'!$AB$2:$AB$495&lt;=5)*('CASE MASTER'!$AD$2:$AD$495&gt;=5))*ROW('CASE MASTER'!$T$2:$T$495))-(ROW('CASE MASTER'!#REF!)-1)))+1)+(5-INDEX('CASE MASTER'!$AB$2:$AB$495,(SUMPRODUCT((('CASE MASTER'!$T$2:$T$495=6)*('CASE MASTER'!$AA$2:$AA$495&lt;=8)*('CASE MASTER'!$AC$2:$AC$495&gt;=8)*('CASE MASTER'!$AB$2:$AB$495&lt;=5)*('CASE MASTER'!$AD$2:$AD$495&gt;=5))*ROW('CASE MASTER'!$T$2:$T$495))-(ROW('CASE MASTER'!#REF!)-1))))+1)))-1)*50+1,50))&amp;"_"&amp;INDEX('CASE MASTER'!$Q$2:$Q$495,(SUMPRODUCT((('CASE MASTER'!$T$2:$T$495=6)*('CASE MASTER'!$AA$2:$AA$495&lt;=8)*('CASE MASTER'!$AC$2:$AC$495&gt;=8)*('CASE MASTER'!$AB$2:$AB$495&lt;=5)*('CASE MASTER'!$AD$2:$AD$495&gt;=5))*ROW('CASE MASTER'!$T$2:$T$495))-(ROW('CASE MASTER'!#REF!)-1))),"")),"")</f>
        <v/>
      </c>
      <c r="G80" s="10" t="str">
        <f>IFERROR(IF(SUMPRODUCT((('CASE MASTER'!$T$2:$T$495=6)*('CASE MASTER'!$U$2:$U$495&lt;=8)*('CASE MASTER'!$W$2:$W$495&gt;=8)*('CASE MASTER'!$V$2:$V$495&lt;=6)*('CASE MASTER'!$X$2:$X$495&gt;=6))*ROW('CASE MASTER'!$T$2:$T$495))&gt;0,INDEX('CASE MASTER'!$Y$2:$Y$495,(SUMPRODUCT((('CASE MASTER'!$T$2:$T$495=6)*('CASE MASTER'!$U$2:$U$495&lt;=8)*('CASE MASTER'!$W$2:$W$495&gt;=8)*('CASE MASTER'!$V$2:$V$495&lt;=6)*('CASE MASTER'!$X$2:$X$495&gt;=6))*ROW('CASE MASTER'!$T$2:$T$495))-(ROW('CASE MASTER'!#REF!)-1)))&amp;TRIM(MID(SUBSTITUTE(SUBSTITUTE(INDEX('CASE MASTER'!$N$2:$N$495,(SUMPRODUCT((('CASE MASTER'!$T$2:$T$495=6)*('CASE MASTER'!$U$2:$U$495&lt;=8)*('CASE MASTER'!$W$2:$W$495&gt;=8)*('CASE MASTER'!$V$2:$V$495&lt;=6)*('CASE MASTER'!$X$2:$X$495&gt;=6))*ROW('CASE MASTER'!$T$2:$T$495))-(ROW('CASE MASTER'!#REF!)-1))),":",","),",",REPT(" ",50)),((((8-INDEX('CASE MASTER'!$U$2:$U$495,(SUMPRODUCT((('CASE MASTER'!$T$2:$T$495=6)*('CASE MASTER'!$U$2:$U$495&lt;=8)*('CASE MASTER'!$W$2:$W$495&gt;=8)*('CASE MASTER'!$V$2:$V$495&lt;=6)*('CASE MASTER'!$X$2:$X$495&gt;=6))*ROW('CASE MASTER'!$T$2:$T$495))-(ROW('CASE MASTER'!#REF!)-1))))*(INDEX('CASE MASTER'!$X$2:$X$495,(SUMPRODUCT((('CASE MASTER'!$T$2:$T$495=6)*('CASE MASTER'!$U$2:$U$495&lt;=8)*('CASE MASTER'!$W$2:$W$495&gt;=8)*('CASE MASTER'!$V$2:$V$495&lt;=6)*('CASE MASTER'!$X$2:$X$495&gt;=6))*ROW('CASE MASTER'!$T$2:$T$495))-(ROW('CASE MASTER'!#REF!)-1)))-INDEX('CASE MASTER'!$V$2:$V$495,(SUMPRODUCT((('CASE MASTER'!$T$2:$T$495=6)*('CASE MASTER'!$U$2:$U$495&lt;=8)*('CASE MASTER'!$W$2:$W$495&gt;=8)*('CASE MASTER'!$V$2:$V$495&lt;=6)*('CASE MASTER'!$X$2:$X$495&gt;=6))*ROW('CASE MASTER'!$T$2:$T$495))-(ROW('CASE MASTER'!#REF!)-1)))+1)+(6-INDEX('CASE MASTER'!$V$2:$V$495,(SUMPRODUCT((('CASE MASTER'!$T$2:$T$495=6)*('CASE MASTER'!$U$2:$U$495&lt;=8)*('CASE MASTER'!$W$2:$W$495&gt;=8)*('CASE MASTER'!$V$2:$V$495&lt;=6)*('CASE MASTER'!$X$2:$X$495&gt;=6))*ROW('CASE MASTER'!$T$2:$T$495))-(ROW('CASE MASTER'!#REF!)-1))))+1))-1)*50+1,50))&amp;"_"&amp;INDEX('CASE MASTER'!$Q$2:$Q$495,(SUMPRODUCT((('CASE MASTER'!$T$2:$T$495=6)*('CASE MASTER'!$U$2:$U$495&lt;=8)*('CASE MASTER'!$W$2:$W$495&gt;=8)*('CASE MASTER'!$V$2:$V$495&lt;=6)*('CASE MASTER'!$X$2:$X$495&gt;=6))*ROW('CASE MASTER'!$T$2:$T$495))-(ROW('CASE MASTER'!#REF!)-1))),IF(SUMPRODUCT((('CASE MASTER'!$T$2:$T$495=6)*('CASE MASTER'!$AA$2:$AA$495&lt;=8)*('CASE MASTER'!$AC$2:$AC$495&gt;=8)*('CASE MASTER'!$AB$2:$AB$495&lt;=6)*('CASE MASTER'!$AD$2:$AD$495&gt;=6))*ROW('CASE MASTER'!$T$2:$T$495))&gt;0,INDEX('CASE MASTER'!$Y$2:$Y$495,(SUMPRODUCT((('CASE MASTER'!$T$2:$T$495=6)*('CASE MASTER'!$AA$2:$AA$495&lt;=8)*('CASE MASTER'!$AC$2:$AC$495&gt;=8)*('CASE MASTER'!$AB$2:$AB$495&lt;=6)*('CASE MASTER'!$AD$2:$AD$495&gt;=6))*ROW('CASE MASTER'!$T$2:$T$495))-(ROW('CASE MASTER'!#REF!)-1)))&amp;TRIM(MID(SUBSTITUTE(SUBSTITUTE(INDEX('CASE MASTER'!$N$2:$N$495,(SUMPRODUCT((('CASE MASTER'!$T$2:$T$495=6)*('CASE MASTER'!$AA$2:$AA$495&lt;=8)*('CASE MASTER'!$AC$2:$AC$495&gt;=8)*('CASE MASTER'!$AB$2:$AB$495&lt;=6)*('CASE MASTER'!$AD$2:$AD$495&gt;=6))*ROW('CASE MASTER'!$T$2:$T$495))-(ROW('CASE MASTER'!#REF!)-1))),":",","),",",REPT(" ",50)),(((INDEX('CASE MASTER'!$Z$2:$Z$495,(SUMPRODUCT((('CASE MASTER'!$T$2:$T$495=6)*('CASE MASTER'!$AA$2:$AA$495&lt;=8)*('CASE MASTER'!$AC$2:$AC$495&gt;=8)*('CASE MASTER'!$AB$2:$AB$495&lt;=6)*('CASE MASTER'!$AD$2:$AD$495&gt;=6))*ROW('CASE MASTER'!$T$2:$T$495))-(ROW('CASE MASTER'!#REF!)-1)))+((8-INDEX('CASE MASTER'!$AA$2:$AA$495,(SUMPRODUCT((('CASE MASTER'!$T$2:$T$495=6)*('CASE MASTER'!$AA$2:$AA$495&lt;=8)*('CASE MASTER'!$AC$2:$AC$495&gt;=8)*('CASE MASTER'!$AB$2:$AB$495&lt;=6)*('CASE MASTER'!$AD$2:$AD$495&gt;=6))*ROW('CASE MASTER'!$T$2:$T$495))-(ROW('CASE MASTER'!#REF!)-1))))*(INDEX('CASE MASTER'!$AD$2:$AD$495,(SUMPRODUCT((('CASE MASTER'!$T$2:$T$495=6)*('CASE MASTER'!$AA$2:$AA$495&lt;=8)*('CASE MASTER'!$AC$2:$AC$495&gt;=8)*('CASE MASTER'!$AB$2:$AB$495&lt;=6)*('CASE MASTER'!$AD$2:$AD$495&gt;=6))*ROW('CASE MASTER'!$T$2:$T$495))-(ROW('CASE MASTER'!#REF!)-1)))-INDEX('CASE MASTER'!$AB$2:$AB$495,(SUMPRODUCT((('CASE MASTER'!$T$2:$T$495=6)*('CASE MASTER'!$AA$2:$AA$495&lt;=8)*('CASE MASTER'!$AC$2:$AC$495&gt;=8)*('CASE MASTER'!$AB$2:$AB$495&lt;=6)*('CASE MASTER'!$AD$2:$AD$495&gt;=6))*ROW('CASE MASTER'!$T$2:$T$495))-(ROW('CASE MASTER'!#REF!)-1)))+1)+(6-INDEX('CASE MASTER'!$AB$2:$AB$495,(SUMPRODUCT((('CASE MASTER'!$T$2:$T$495=6)*('CASE MASTER'!$AA$2:$AA$495&lt;=8)*('CASE MASTER'!$AC$2:$AC$495&gt;=8)*('CASE MASTER'!$AB$2:$AB$495&lt;=6)*('CASE MASTER'!$AD$2:$AD$495&gt;=6))*ROW('CASE MASTER'!$T$2:$T$495))-(ROW('CASE MASTER'!#REF!)-1))))+1)))-1)*50+1,50))&amp;"_"&amp;INDEX('CASE MASTER'!$Q$2:$Q$495,(SUMPRODUCT((('CASE MASTER'!$T$2:$T$495=6)*('CASE MASTER'!$AA$2:$AA$495&lt;=8)*('CASE MASTER'!$AC$2:$AC$495&gt;=8)*('CASE MASTER'!$AB$2:$AB$495&lt;=6)*('CASE MASTER'!$AD$2:$AD$495&gt;=6))*ROW('CASE MASTER'!$T$2:$T$495))-(ROW('CASE MASTER'!#REF!)-1))),"")),"")</f>
        <v/>
      </c>
      <c r="H80" s="10" t="str">
        <f>IFERROR(IF(SUMPRODUCT((('CASE MASTER'!$T$2:$T$495=6)*('CASE MASTER'!$U$2:$U$495&lt;=8)*('CASE MASTER'!$W$2:$W$495&gt;=8)*('CASE MASTER'!$V$2:$V$495&lt;=7)*('CASE MASTER'!$X$2:$X$495&gt;=7))*ROW('CASE MASTER'!$T$2:$T$495))&gt;0,INDEX('CASE MASTER'!$Y$2:$Y$495,(SUMPRODUCT((('CASE MASTER'!$T$2:$T$495=6)*('CASE MASTER'!$U$2:$U$495&lt;=8)*('CASE MASTER'!$W$2:$W$495&gt;=8)*('CASE MASTER'!$V$2:$V$495&lt;=7)*('CASE MASTER'!$X$2:$X$495&gt;=7))*ROW('CASE MASTER'!$T$2:$T$495))-(ROW('CASE MASTER'!#REF!)-1)))&amp;TRIM(MID(SUBSTITUTE(SUBSTITUTE(INDEX('CASE MASTER'!$N$2:$N$495,(SUMPRODUCT((('CASE MASTER'!$T$2:$T$495=6)*('CASE MASTER'!$U$2:$U$495&lt;=8)*('CASE MASTER'!$W$2:$W$495&gt;=8)*('CASE MASTER'!$V$2:$V$495&lt;=7)*('CASE MASTER'!$X$2:$X$495&gt;=7))*ROW('CASE MASTER'!$T$2:$T$495))-(ROW('CASE MASTER'!#REF!)-1))),":",","),",",REPT(" ",50)),((((8-INDEX('CASE MASTER'!$U$2:$U$495,(SUMPRODUCT((('CASE MASTER'!$T$2:$T$495=6)*('CASE MASTER'!$U$2:$U$495&lt;=8)*('CASE MASTER'!$W$2:$W$495&gt;=8)*('CASE MASTER'!$V$2:$V$495&lt;=7)*('CASE MASTER'!$X$2:$X$495&gt;=7))*ROW('CASE MASTER'!$T$2:$T$495))-(ROW('CASE MASTER'!#REF!)-1))))*(INDEX('CASE MASTER'!$X$2:$X$495,(SUMPRODUCT((('CASE MASTER'!$T$2:$T$495=6)*('CASE MASTER'!$U$2:$U$495&lt;=8)*('CASE MASTER'!$W$2:$W$495&gt;=8)*('CASE MASTER'!$V$2:$V$495&lt;=7)*('CASE MASTER'!$X$2:$X$495&gt;=7))*ROW('CASE MASTER'!$T$2:$T$495))-(ROW('CASE MASTER'!#REF!)-1)))-INDEX('CASE MASTER'!$V$2:$V$495,(SUMPRODUCT((('CASE MASTER'!$T$2:$T$495=6)*('CASE MASTER'!$U$2:$U$495&lt;=8)*('CASE MASTER'!$W$2:$W$495&gt;=8)*('CASE MASTER'!$V$2:$V$495&lt;=7)*('CASE MASTER'!$X$2:$X$495&gt;=7))*ROW('CASE MASTER'!$T$2:$T$495))-(ROW('CASE MASTER'!#REF!)-1)))+1)+(7-INDEX('CASE MASTER'!$V$2:$V$495,(SUMPRODUCT((('CASE MASTER'!$T$2:$T$495=6)*('CASE MASTER'!$U$2:$U$495&lt;=8)*('CASE MASTER'!$W$2:$W$495&gt;=8)*('CASE MASTER'!$V$2:$V$495&lt;=7)*('CASE MASTER'!$X$2:$X$495&gt;=7))*ROW('CASE MASTER'!$T$2:$T$495))-(ROW('CASE MASTER'!#REF!)-1))))+1))-1)*50+1,50))&amp;"_"&amp;INDEX('CASE MASTER'!$Q$2:$Q$495,(SUMPRODUCT((('CASE MASTER'!$T$2:$T$495=6)*('CASE MASTER'!$U$2:$U$495&lt;=8)*('CASE MASTER'!$W$2:$W$495&gt;=8)*('CASE MASTER'!$V$2:$V$495&lt;=7)*('CASE MASTER'!$X$2:$X$495&gt;=7))*ROW('CASE MASTER'!$T$2:$T$495))-(ROW('CASE MASTER'!#REF!)-1))),IF(SUMPRODUCT((('CASE MASTER'!$T$2:$T$495=6)*('CASE MASTER'!$AA$2:$AA$495&lt;=8)*('CASE MASTER'!$AC$2:$AC$495&gt;=8)*('CASE MASTER'!$AB$2:$AB$495&lt;=7)*('CASE MASTER'!$AD$2:$AD$495&gt;=7))*ROW('CASE MASTER'!$T$2:$T$495))&gt;0,INDEX('CASE MASTER'!$Y$2:$Y$495,(SUMPRODUCT((('CASE MASTER'!$T$2:$T$495=6)*('CASE MASTER'!$AA$2:$AA$495&lt;=8)*('CASE MASTER'!$AC$2:$AC$495&gt;=8)*('CASE MASTER'!$AB$2:$AB$495&lt;=7)*('CASE MASTER'!$AD$2:$AD$495&gt;=7))*ROW('CASE MASTER'!$T$2:$T$495))-(ROW('CASE MASTER'!#REF!)-1)))&amp;TRIM(MID(SUBSTITUTE(SUBSTITUTE(INDEX('CASE MASTER'!$N$2:$N$495,(SUMPRODUCT((('CASE MASTER'!$T$2:$T$495=6)*('CASE MASTER'!$AA$2:$AA$495&lt;=8)*('CASE MASTER'!$AC$2:$AC$495&gt;=8)*('CASE MASTER'!$AB$2:$AB$495&lt;=7)*('CASE MASTER'!$AD$2:$AD$495&gt;=7))*ROW('CASE MASTER'!$T$2:$T$495))-(ROW('CASE MASTER'!#REF!)-1))),":",","),",",REPT(" ",50)),(((INDEX('CASE MASTER'!$Z$2:$Z$495,(SUMPRODUCT((('CASE MASTER'!$T$2:$T$495=6)*('CASE MASTER'!$AA$2:$AA$495&lt;=8)*('CASE MASTER'!$AC$2:$AC$495&gt;=8)*('CASE MASTER'!$AB$2:$AB$495&lt;=7)*('CASE MASTER'!$AD$2:$AD$495&gt;=7))*ROW('CASE MASTER'!$T$2:$T$495))-(ROW('CASE MASTER'!#REF!)-1)))+((8-INDEX('CASE MASTER'!$AA$2:$AA$495,(SUMPRODUCT((('CASE MASTER'!$T$2:$T$495=6)*('CASE MASTER'!$AA$2:$AA$495&lt;=8)*('CASE MASTER'!$AC$2:$AC$495&gt;=8)*('CASE MASTER'!$AB$2:$AB$495&lt;=7)*('CASE MASTER'!$AD$2:$AD$495&gt;=7))*ROW('CASE MASTER'!$T$2:$T$495))-(ROW('CASE MASTER'!#REF!)-1))))*(INDEX('CASE MASTER'!$AD$2:$AD$495,(SUMPRODUCT((('CASE MASTER'!$T$2:$T$495=6)*('CASE MASTER'!$AA$2:$AA$495&lt;=8)*('CASE MASTER'!$AC$2:$AC$495&gt;=8)*('CASE MASTER'!$AB$2:$AB$495&lt;=7)*('CASE MASTER'!$AD$2:$AD$495&gt;=7))*ROW('CASE MASTER'!$T$2:$T$495))-(ROW('CASE MASTER'!#REF!)-1)))-INDEX('CASE MASTER'!$AB$2:$AB$495,(SUMPRODUCT((('CASE MASTER'!$T$2:$T$495=6)*('CASE MASTER'!$AA$2:$AA$495&lt;=8)*('CASE MASTER'!$AC$2:$AC$495&gt;=8)*('CASE MASTER'!$AB$2:$AB$495&lt;=7)*('CASE MASTER'!$AD$2:$AD$495&gt;=7))*ROW('CASE MASTER'!$T$2:$T$495))-(ROW('CASE MASTER'!#REF!)-1)))+1)+(7-INDEX('CASE MASTER'!$AB$2:$AB$495,(SUMPRODUCT((('CASE MASTER'!$T$2:$T$495=6)*('CASE MASTER'!$AA$2:$AA$495&lt;=8)*('CASE MASTER'!$AC$2:$AC$495&gt;=8)*('CASE MASTER'!$AB$2:$AB$495&lt;=7)*('CASE MASTER'!$AD$2:$AD$495&gt;=7))*ROW('CASE MASTER'!$T$2:$T$495))-(ROW('CASE MASTER'!#REF!)-1))))+1)))-1)*50+1,50))&amp;"_"&amp;INDEX('CASE MASTER'!$Q$2:$Q$495,(SUMPRODUCT((('CASE MASTER'!$T$2:$T$495=6)*('CASE MASTER'!$AA$2:$AA$495&lt;=8)*('CASE MASTER'!$AC$2:$AC$495&gt;=8)*('CASE MASTER'!$AB$2:$AB$495&lt;=7)*('CASE MASTER'!$AD$2:$AD$495&gt;=7))*ROW('CASE MASTER'!$T$2:$T$495))-(ROW('CASE MASTER'!#REF!)-1))),"")),"")</f>
        <v/>
      </c>
      <c r="I80" s="10" t="str">
        <f>IFERROR(IF(SUMPRODUCT((('CASE MASTER'!$T$2:$T$495=6)*('CASE MASTER'!$U$2:$U$495&lt;=8)*('CASE MASTER'!$W$2:$W$495&gt;=8)*('CASE MASTER'!$V$2:$V$495&lt;=8)*('CASE MASTER'!$X$2:$X$495&gt;=8))*ROW('CASE MASTER'!$T$2:$T$495))&gt;0,INDEX('CASE MASTER'!$Y$2:$Y$495,(SUMPRODUCT((('CASE MASTER'!$T$2:$T$495=6)*('CASE MASTER'!$U$2:$U$495&lt;=8)*('CASE MASTER'!$W$2:$W$495&gt;=8)*('CASE MASTER'!$V$2:$V$495&lt;=8)*('CASE MASTER'!$X$2:$X$495&gt;=8))*ROW('CASE MASTER'!$T$2:$T$495))-(ROW('CASE MASTER'!#REF!)-1)))&amp;TRIM(MID(SUBSTITUTE(SUBSTITUTE(INDEX('CASE MASTER'!$N$2:$N$495,(SUMPRODUCT((('CASE MASTER'!$T$2:$T$495=6)*('CASE MASTER'!$U$2:$U$495&lt;=8)*('CASE MASTER'!$W$2:$W$495&gt;=8)*('CASE MASTER'!$V$2:$V$495&lt;=8)*('CASE MASTER'!$X$2:$X$495&gt;=8))*ROW('CASE MASTER'!$T$2:$T$495))-(ROW('CASE MASTER'!#REF!)-1))),":",","),",",REPT(" ",50)),((((8-INDEX('CASE MASTER'!$U$2:$U$495,(SUMPRODUCT((('CASE MASTER'!$T$2:$T$495=6)*('CASE MASTER'!$U$2:$U$495&lt;=8)*('CASE MASTER'!$W$2:$W$495&gt;=8)*('CASE MASTER'!$V$2:$V$495&lt;=8)*('CASE MASTER'!$X$2:$X$495&gt;=8))*ROW('CASE MASTER'!$T$2:$T$495))-(ROW('CASE MASTER'!#REF!)-1))))*(INDEX('CASE MASTER'!$X$2:$X$495,(SUMPRODUCT((('CASE MASTER'!$T$2:$T$495=6)*('CASE MASTER'!$U$2:$U$495&lt;=8)*('CASE MASTER'!$W$2:$W$495&gt;=8)*('CASE MASTER'!$V$2:$V$495&lt;=8)*('CASE MASTER'!$X$2:$X$495&gt;=8))*ROW('CASE MASTER'!$T$2:$T$495))-(ROW('CASE MASTER'!#REF!)-1)))-INDEX('CASE MASTER'!$V$2:$V$495,(SUMPRODUCT((('CASE MASTER'!$T$2:$T$495=6)*('CASE MASTER'!$U$2:$U$495&lt;=8)*('CASE MASTER'!$W$2:$W$495&gt;=8)*('CASE MASTER'!$V$2:$V$495&lt;=8)*('CASE MASTER'!$X$2:$X$495&gt;=8))*ROW('CASE MASTER'!$T$2:$T$495))-(ROW('CASE MASTER'!#REF!)-1)))+1)+(8-INDEX('CASE MASTER'!$V$2:$V$495,(SUMPRODUCT((('CASE MASTER'!$T$2:$T$495=6)*('CASE MASTER'!$U$2:$U$495&lt;=8)*('CASE MASTER'!$W$2:$W$495&gt;=8)*('CASE MASTER'!$V$2:$V$495&lt;=8)*('CASE MASTER'!$X$2:$X$495&gt;=8))*ROW('CASE MASTER'!$T$2:$T$495))-(ROW('CASE MASTER'!#REF!)-1))))+1))-1)*50+1,50))&amp;"_"&amp;INDEX('CASE MASTER'!$Q$2:$Q$495,(SUMPRODUCT((('CASE MASTER'!$T$2:$T$495=6)*('CASE MASTER'!$U$2:$U$495&lt;=8)*('CASE MASTER'!$W$2:$W$495&gt;=8)*('CASE MASTER'!$V$2:$V$495&lt;=8)*('CASE MASTER'!$X$2:$X$495&gt;=8))*ROW('CASE MASTER'!$T$2:$T$495))-(ROW('CASE MASTER'!#REF!)-1))),IF(SUMPRODUCT((('CASE MASTER'!$T$2:$T$495=6)*('CASE MASTER'!$AA$2:$AA$495&lt;=8)*('CASE MASTER'!$AC$2:$AC$495&gt;=8)*('CASE MASTER'!$AB$2:$AB$495&lt;=8)*('CASE MASTER'!$AD$2:$AD$495&gt;=8))*ROW('CASE MASTER'!$T$2:$T$495))&gt;0,INDEX('CASE MASTER'!$Y$2:$Y$495,(SUMPRODUCT((('CASE MASTER'!$T$2:$T$495=6)*('CASE MASTER'!$AA$2:$AA$495&lt;=8)*('CASE MASTER'!$AC$2:$AC$495&gt;=8)*('CASE MASTER'!$AB$2:$AB$495&lt;=8)*('CASE MASTER'!$AD$2:$AD$495&gt;=8))*ROW('CASE MASTER'!$T$2:$T$495))-(ROW('CASE MASTER'!#REF!)-1)))&amp;TRIM(MID(SUBSTITUTE(SUBSTITUTE(INDEX('CASE MASTER'!$N$2:$N$495,(SUMPRODUCT((('CASE MASTER'!$T$2:$T$495=6)*('CASE MASTER'!$AA$2:$AA$495&lt;=8)*('CASE MASTER'!$AC$2:$AC$495&gt;=8)*('CASE MASTER'!$AB$2:$AB$495&lt;=8)*('CASE MASTER'!$AD$2:$AD$495&gt;=8))*ROW('CASE MASTER'!$T$2:$T$495))-(ROW('CASE MASTER'!#REF!)-1))),":",","),",",REPT(" ",50)),(((INDEX('CASE MASTER'!$Z$2:$Z$495,(SUMPRODUCT((('CASE MASTER'!$T$2:$T$495=6)*('CASE MASTER'!$AA$2:$AA$495&lt;=8)*('CASE MASTER'!$AC$2:$AC$495&gt;=8)*('CASE MASTER'!$AB$2:$AB$495&lt;=8)*('CASE MASTER'!$AD$2:$AD$495&gt;=8))*ROW('CASE MASTER'!$T$2:$T$495))-(ROW('CASE MASTER'!#REF!)-1)))+((8-INDEX('CASE MASTER'!$AA$2:$AA$495,(SUMPRODUCT((('CASE MASTER'!$T$2:$T$495=6)*('CASE MASTER'!$AA$2:$AA$495&lt;=8)*('CASE MASTER'!$AC$2:$AC$495&gt;=8)*('CASE MASTER'!$AB$2:$AB$495&lt;=8)*('CASE MASTER'!$AD$2:$AD$495&gt;=8))*ROW('CASE MASTER'!$T$2:$T$495))-(ROW('CASE MASTER'!#REF!)-1))))*(INDEX('CASE MASTER'!$AD$2:$AD$495,(SUMPRODUCT((('CASE MASTER'!$T$2:$T$495=6)*('CASE MASTER'!$AA$2:$AA$495&lt;=8)*('CASE MASTER'!$AC$2:$AC$495&gt;=8)*('CASE MASTER'!$AB$2:$AB$495&lt;=8)*('CASE MASTER'!$AD$2:$AD$495&gt;=8))*ROW('CASE MASTER'!$T$2:$T$495))-(ROW('CASE MASTER'!#REF!)-1)))-INDEX('CASE MASTER'!$AB$2:$AB$495,(SUMPRODUCT((('CASE MASTER'!$T$2:$T$495=6)*('CASE MASTER'!$AA$2:$AA$495&lt;=8)*('CASE MASTER'!$AC$2:$AC$495&gt;=8)*('CASE MASTER'!$AB$2:$AB$495&lt;=8)*('CASE MASTER'!$AD$2:$AD$495&gt;=8))*ROW('CASE MASTER'!$T$2:$T$495))-(ROW('CASE MASTER'!#REF!)-1)))+1)+(8-INDEX('CASE MASTER'!$AB$2:$AB$495,(SUMPRODUCT((('CASE MASTER'!$T$2:$T$495=6)*('CASE MASTER'!$AA$2:$AA$495&lt;=8)*('CASE MASTER'!$AC$2:$AC$495&gt;=8)*('CASE MASTER'!$AB$2:$AB$495&lt;=8)*('CASE MASTER'!$AD$2:$AD$495&gt;=8))*ROW('CASE MASTER'!$T$2:$T$495))-(ROW('CASE MASTER'!#REF!)-1))))+1)))-1)*50+1,50))&amp;"_"&amp;INDEX('CASE MASTER'!$Q$2:$Q$495,(SUMPRODUCT((('CASE MASTER'!$T$2:$T$495=6)*('CASE MASTER'!$AA$2:$AA$495&lt;=8)*('CASE MASTER'!$AC$2:$AC$495&gt;=8)*('CASE MASTER'!$AB$2:$AB$495&lt;=8)*('CASE MASTER'!$AD$2:$AD$495&gt;=8))*ROW('CASE MASTER'!$T$2:$T$495))-(ROW('CASE MASTER'!#REF!)-1))),"")),"")</f>
        <v/>
      </c>
      <c r="J80" s="10" t="str">
        <f>IFERROR(IF(SUMPRODUCT((('CASE MASTER'!$T$2:$T$495=6)*('CASE MASTER'!$U$2:$U$495&lt;=8)*('CASE MASTER'!$W$2:$W$495&gt;=8)*('CASE MASTER'!$V$2:$V$495&lt;=9)*('CASE MASTER'!$X$2:$X$495&gt;=9))*ROW('CASE MASTER'!$T$2:$T$495))&gt;0,INDEX('CASE MASTER'!$Y$2:$Y$495,(SUMPRODUCT((('CASE MASTER'!$T$2:$T$495=6)*('CASE MASTER'!$U$2:$U$495&lt;=8)*('CASE MASTER'!$W$2:$W$495&gt;=8)*('CASE MASTER'!$V$2:$V$495&lt;=9)*('CASE MASTER'!$X$2:$X$495&gt;=9))*ROW('CASE MASTER'!$T$2:$T$495))-(ROW('CASE MASTER'!#REF!)-1)))&amp;TRIM(MID(SUBSTITUTE(SUBSTITUTE(INDEX('CASE MASTER'!$N$2:$N$495,(SUMPRODUCT((('CASE MASTER'!$T$2:$T$495=6)*('CASE MASTER'!$U$2:$U$495&lt;=8)*('CASE MASTER'!$W$2:$W$495&gt;=8)*('CASE MASTER'!$V$2:$V$495&lt;=9)*('CASE MASTER'!$X$2:$X$495&gt;=9))*ROW('CASE MASTER'!$T$2:$T$495))-(ROW('CASE MASTER'!#REF!)-1))),":",","),",",REPT(" ",50)),((((8-INDEX('CASE MASTER'!$U$2:$U$495,(SUMPRODUCT((('CASE MASTER'!$T$2:$T$495=6)*('CASE MASTER'!$U$2:$U$495&lt;=8)*('CASE MASTER'!$W$2:$W$495&gt;=8)*('CASE MASTER'!$V$2:$V$495&lt;=9)*('CASE MASTER'!$X$2:$X$495&gt;=9))*ROW('CASE MASTER'!$T$2:$T$495))-(ROW('CASE MASTER'!#REF!)-1))))*(INDEX('CASE MASTER'!$X$2:$X$495,(SUMPRODUCT((('CASE MASTER'!$T$2:$T$495=6)*('CASE MASTER'!$U$2:$U$495&lt;=8)*('CASE MASTER'!$W$2:$W$495&gt;=8)*('CASE MASTER'!$V$2:$V$495&lt;=9)*('CASE MASTER'!$X$2:$X$495&gt;=9))*ROW('CASE MASTER'!$T$2:$T$495))-(ROW('CASE MASTER'!#REF!)-1)))-INDEX('CASE MASTER'!$V$2:$V$495,(SUMPRODUCT((('CASE MASTER'!$T$2:$T$495=6)*('CASE MASTER'!$U$2:$U$495&lt;=8)*('CASE MASTER'!$W$2:$W$495&gt;=8)*('CASE MASTER'!$V$2:$V$495&lt;=9)*('CASE MASTER'!$X$2:$X$495&gt;=9))*ROW('CASE MASTER'!$T$2:$T$495))-(ROW('CASE MASTER'!#REF!)-1)))+1)+(9-INDEX('CASE MASTER'!$V$2:$V$495,(SUMPRODUCT((('CASE MASTER'!$T$2:$T$495=6)*('CASE MASTER'!$U$2:$U$495&lt;=8)*('CASE MASTER'!$W$2:$W$495&gt;=8)*('CASE MASTER'!$V$2:$V$495&lt;=9)*('CASE MASTER'!$X$2:$X$495&gt;=9))*ROW('CASE MASTER'!$T$2:$T$495))-(ROW('CASE MASTER'!#REF!)-1))))+1))-1)*50+1,50))&amp;"_"&amp;INDEX('CASE MASTER'!$Q$2:$Q$495,(SUMPRODUCT((('CASE MASTER'!$T$2:$T$495=6)*('CASE MASTER'!$U$2:$U$495&lt;=8)*('CASE MASTER'!$W$2:$W$495&gt;=8)*('CASE MASTER'!$V$2:$V$495&lt;=9)*('CASE MASTER'!$X$2:$X$495&gt;=9))*ROW('CASE MASTER'!$T$2:$T$495))-(ROW('CASE MASTER'!#REF!)-1))),IF(SUMPRODUCT((('CASE MASTER'!$T$2:$T$495=6)*('CASE MASTER'!$AA$2:$AA$495&lt;=8)*('CASE MASTER'!$AC$2:$AC$495&gt;=8)*('CASE MASTER'!$AB$2:$AB$495&lt;=9)*('CASE MASTER'!$AD$2:$AD$495&gt;=9))*ROW('CASE MASTER'!$T$2:$T$495))&gt;0,INDEX('CASE MASTER'!$Y$2:$Y$495,(SUMPRODUCT((('CASE MASTER'!$T$2:$T$495=6)*('CASE MASTER'!$AA$2:$AA$495&lt;=8)*('CASE MASTER'!$AC$2:$AC$495&gt;=8)*('CASE MASTER'!$AB$2:$AB$495&lt;=9)*('CASE MASTER'!$AD$2:$AD$495&gt;=9))*ROW('CASE MASTER'!$T$2:$T$495))-(ROW('CASE MASTER'!#REF!)-1)))&amp;TRIM(MID(SUBSTITUTE(SUBSTITUTE(INDEX('CASE MASTER'!$N$2:$N$495,(SUMPRODUCT((('CASE MASTER'!$T$2:$T$495=6)*('CASE MASTER'!$AA$2:$AA$495&lt;=8)*('CASE MASTER'!$AC$2:$AC$495&gt;=8)*('CASE MASTER'!$AB$2:$AB$495&lt;=9)*('CASE MASTER'!$AD$2:$AD$495&gt;=9))*ROW('CASE MASTER'!$T$2:$T$495))-(ROW('CASE MASTER'!#REF!)-1))),":",","),",",REPT(" ",50)),(((INDEX('CASE MASTER'!$Z$2:$Z$495,(SUMPRODUCT((('CASE MASTER'!$T$2:$T$495=6)*('CASE MASTER'!$AA$2:$AA$495&lt;=8)*('CASE MASTER'!$AC$2:$AC$495&gt;=8)*('CASE MASTER'!$AB$2:$AB$495&lt;=9)*('CASE MASTER'!$AD$2:$AD$495&gt;=9))*ROW('CASE MASTER'!$T$2:$T$495))-(ROW('CASE MASTER'!#REF!)-1)))+((8-INDEX('CASE MASTER'!$AA$2:$AA$495,(SUMPRODUCT((('CASE MASTER'!$T$2:$T$495=6)*('CASE MASTER'!$AA$2:$AA$495&lt;=8)*('CASE MASTER'!$AC$2:$AC$495&gt;=8)*('CASE MASTER'!$AB$2:$AB$495&lt;=9)*('CASE MASTER'!$AD$2:$AD$495&gt;=9))*ROW('CASE MASTER'!$T$2:$T$495))-(ROW('CASE MASTER'!#REF!)-1))))*(INDEX('CASE MASTER'!$AD$2:$AD$495,(SUMPRODUCT((('CASE MASTER'!$T$2:$T$495=6)*('CASE MASTER'!$AA$2:$AA$495&lt;=8)*('CASE MASTER'!$AC$2:$AC$495&gt;=8)*('CASE MASTER'!$AB$2:$AB$495&lt;=9)*('CASE MASTER'!$AD$2:$AD$495&gt;=9))*ROW('CASE MASTER'!$T$2:$T$495))-(ROW('CASE MASTER'!#REF!)-1)))-INDEX('CASE MASTER'!$AB$2:$AB$495,(SUMPRODUCT((('CASE MASTER'!$T$2:$T$495=6)*('CASE MASTER'!$AA$2:$AA$495&lt;=8)*('CASE MASTER'!$AC$2:$AC$495&gt;=8)*('CASE MASTER'!$AB$2:$AB$495&lt;=9)*('CASE MASTER'!$AD$2:$AD$495&gt;=9))*ROW('CASE MASTER'!$T$2:$T$495))-(ROW('CASE MASTER'!#REF!)-1)))+1)+(9-INDEX('CASE MASTER'!$AB$2:$AB$495,(SUMPRODUCT((('CASE MASTER'!$T$2:$T$495=6)*('CASE MASTER'!$AA$2:$AA$495&lt;=8)*('CASE MASTER'!$AC$2:$AC$495&gt;=8)*('CASE MASTER'!$AB$2:$AB$495&lt;=9)*('CASE MASTER'!$AD$2:$AD$495&gt;=9))*ROW('CASE MASTER'!$T$2:$T$495))-(ROW('CASE MASTER'!#REF!)-1))))+1)))-1)*50+1,50))&amp;"_"&amp;INDEX('CASE MASTER'!$Q$2:$Q$495,(SUMPRODUCT((('CASE MASTER'!$T$2:$T$495=6)*('CASE MASTER'!$AA$2:$AA$495&lt;=8)*('CASE MASTER'!$AC$2:$AC$495&gt;=8)*('CASE MASTER'!$AB$2:$AB$495&lt;=9)*('CASE MASTER'!$AD$2:$AD$495&gt;=9))*ROW('CASE MASTER'!$T$2:$T$495))-(ROW('CASE MASTER'!#REF!)-1))),"")),"")</f>
        <v/>
      </c>
      <c r="K80" s="10" t="str">
        <f>IFERROR(IF(SUMPRODUCT((('CASE MASTER'!$T$2:$T$495=6)*('CASE MASTER'!$U$2:$U$495&lt;=8)*('CASE MASTER'!$W$2:$W$495&gt;=8)*('CASE MASTER'!$V$2:$V$495&lt;=10)*('CASE MASTER'!$X$2:$X$495&gt;=10))*ROW('CASE MASTER'!$T$2:$T$495))&gt;0,INDEX('CASE MASTER'!$Y$2:$Y$495,(SUMPRODUCT((('CASE MASTER'!$T$2:$T$495=6)*('CASE MASTER'!$U$2:$U$495&lt;=8)*('CASE MASTER'!$W$2:$W$495&gt;=8)*('CASE MASTER'!$V$2:$V$495&lt;=10)*('CASE MASTER'!$X$2:$X$495&gt;=10))*ROW('CASE MASTER'!$T$2:$T$495))-(ROW('CASE MASTER'!#REF!)-1)))&amp;TRIM(MID(SUBSTITUTE(SUBSTITUTE(INDEX('CASE MASTER'!$N$2:$N$495,(SUMPRODUCT((('CASE MASTER'!$T$2:$T$495=6)*('CASE MASTER'!$U$2:$U$495&lt;=8)*('CASE MASTER'!$W$2:$W$495&gt;=8)*('CASE MASTER'!$V$2:$V$495&lt;=10)*('CASE MASTER'!$X$2:$X$495&gt;=10))*ROW('CASE MASTER'!$T$2:$T$495))-(ROW('CASE MASTER'!#REF!)-1))),":",","),",",REPT(" ",50)),((((8-INDEX('CASE MASTER'!$U$2:$U$495,(SUMPRODUCT((('CASE MASTER'!$T$2:$T$495=6)*('CASE MASTER'!$U$2:$U$495&lt;=8)*('CASE MASTER'!$W$2:$W$495&gt;=8)*('CASE MASTER'!$V$2:$V$495&lt;=10)*('CASE MASTER'!$X$2:$X$495&gt;=10))*ROW('CASE MASTER'!$T$2:$T$495))-(ROW('CASE MASTER'!#REF!)-1))))*(INDEX('CASE MASTER'!$X$2:$X$495,(SUMPRODUCT((('CASE MASTER'!$T$2:$T$495=6)*('CASE MASTER'!$U$2:$U$495&lt;=8)*('CASE MASTER'!$W$2:$W$495&gt;=8)*('CASE MASTER'!$V$2:$V$495&lt;=10)*('CASE MASTER'!$X$2:$X$495&gt;=10))*ROW('CASE MASTER'!$T$2:$T$495))-(ROW('CASE MASTER'!#REF!)-1)))-INDEX('CASE MASTER'!$V$2:$V$495,(SUMPRODUCT((('CASE MASTER'!$T$2:$T$495=6)*('CASE MASTER'!$U$2:$U$495&lt;=8)*('CASE MASTER'!$W$2:$W$495&gt;=8)*('CASE MASTER'!$V$2:$V$495&lt;=10)*('CASE MASTER'!$X$2:$X$495&gt;=10))*ROW('CASE MASTER'!$T$2:$T$495))-(ROW('CASE MASTER'!#REF!)-1)))+1)+(10-INDEX('CASE MASTER'!$V$2:$V$495,(SUMPRODUCT((('CASE MASTER'!$T$2:$T$495=6)*('CASE MASTER'!$U$2:$U$495&lt;=8)*('CASE MASTER'!$W$2:$W$495&gt;=8)*('CASE MASTER'!$V$2:$V$495&lt;=10)*('CASE MASTER'!$X$2:$X$495&gt;=10))*ROW('CASE MASTER'!$T$2:$T$495))-(ROW('CASE MASTER'!#REF!)-1))))+1))-1)*50+1,50))&amp;"_"&amp;INDEX('CASE MASTER'!$Q$2:$Q$495,(SUMPRODUCT((('CASE MASTER'!$T$2:$T$495=6)*('CASE MASTER'!$U$2:$U$495&lt;=8)*('CASE MASTER'!$W$2:$W$495&gt;=8)*('CASE MASTER'!$V$2:$V$495&lt;=10)*('CASE MASTER'!$X$2:$X$495&gt;=10))*ROW('CASE MASTER'!$T$2:$T$495))-(ROW('CASE MASTER'!#REF!)-1))),IF(SUMPRODUCT((('CASE MASTER'!$T$2:$T$495=6)*('CASE MASTER'!$AA$2:$AA$495&lt;=8)*('CASE MASTER'!$AC$2:$AC$495&gt;=8)*('CASE MASTER'!$AB$2:$AB$495&lt;=10)*('CASE MASTER'!$AD$2:$AD$495&gt;=10))*ROW('CASE MASTER'!$T$2:$T$495))&gt;0,INDEX('CASE MASTER'!$Y$2:$Y$495,(SUMPRODUCT((('CASE MASTER'!$T$2:$T$495=6)*('CASE MASTER'!$AA$2:$AA$495&lt;=8)*('CASE MASTER'!$AC$2:$AC$495&gt;=8)*('CASE MASTER'!$AB$2:$AB$495&lt;=10)*('CASE MASTER'!$AD$2:$AD$495&gt;=10))*ROW('CASE MASTER'!$T$2:$T$495))-(ROW('CASE MASTER'!#REF!)-1)))&amp;TRIM(MID(SUBSTITUTE(SUBSTITUTE(INDEX('CASE MASTER'!$N$2:$N$495,(SUMPRODUCT((('CASE MASTER'!$T$2:$T$495=6)*('CASE MASTER'!$AA$2:$AA$495&lt;=8)*('CASE MASTER'!$AC$2:$AC$495&gt;=8)*('CASE MASTER'!$AB$2:$AB$495&lt;=10)*('CASE MASTER'!$AD$2:$AD$495&gt;=10))*ROW('CASE MASTER'!$T$2:$T$495))-(ROW('CASE MASTER'!#REF!)-1))),":",","),",",REPT(" ",50)),(((INDEX('CASE MASTER'!$Z$2:$Z$495,(SUMPRODUCT((('CASE MASTER'!$T$2:$T$495=6)*('CASE MASTER'!$AA$2:$AA$495&lt;=8)*('CASE MASTER'!$AC$2:$AC$495&gt;=8)*('CASE MASTER'!$AB$2:$AB$495&lt;=10)*('CASE MASTER'!$AD$2:$AD$495&gt;=10))*ROW('CASE MASTER'!$T$2:$T$495))-(ROW('CASE MASTER'!#REF!)-1)))+((8-INDEX('CASE MASTER'!$AA$2:$AA$495,(SUMPRODUCT((('CASE MASTER'!$T$2:$T$495=6)*('CASE MASTER'!$AA$2:$AA$495&lt;=8)*('CASE MASTER'!$AC$2:$AC$495&gt;=8)*('CASE MASTER'!$AB$2:$AB$495&lt;=10)*('CASE MASTER'!$AD$2:$AD$495&gt;=10))*ROW('CASE MASTER'!$T$2:$T$495))-(ROW('CASE MASTER'!#REF!)-1))))*(INDEX('CASE MASTER'!$AD$2:$AD$495,(SUMPRODUCT((('CASE MASTER'!$T$2:$T$495=6)*('CASE MASTER'!$AA$2:$AA$495&lt;=8)*('CASE MASTER'!$AC$2:$AC$495&gt;=8)*('CASE MASTER'!$AB$2:$AB$495&lt;=10)*('CASE MASTER'!$AD$2:$AD$495&gt;=10))*ROW('CASE MASTER'!$T$2:$T$495))-(ROW('CASE MASTER'!#REF!)-1)))-INDEX('CASE MASTER'!$AB$2:$AB$495,(SUMPRODUCT((('CASE MASTER'!$T$2:$T$495=6)*('CASE MASTER'!$AA$2:$AA$495&lt;=8)*('CASE MASTER'!$AC$2:$AC$495&gt;=8)*('CASE MASTER'!$AB$2:$AB$495&lt;=10)*('CASE MASTER'!$AD$2:$AD$495&gt;=10))*ROW('CASE MASTER'!$T$2:$T$495))-(ROW('CASE MASTER'!#REF!)-1)))+1)+(10-INDEX('CASE MASTER'!$AB$2:$AB$495,(SUMPRODUCT((('CASE MASTER'!$T$2:$T$495=6)*('CASE MASTER'!$AA$2:$AA$495&lt;=8)*('CASE MASTER'!$AC$2:$AC$495&gt;=8)*('CASE MASTER'!$AB$2:$AB$495&lt;=10)*('CASE MASTER'!$AD$2:$AD$495&gt;=10))*ROW('CASE MASTER'!$T$2:$T$495))-(ROW('CASE MASTER'!#REF!)-1))))+1)))-1)*50+1,50))&amp;"_"&amp;INDEX('CASE MASTER'!$Q$2:$Q$495,(SUMPRODUCT((('CASE MASTER'!$T$2:$T$495=6)*('CASE MASTER'!$AA$2:$AA$495&lt;=8)*('CASE MASTER'!$AC$2:$AC$495&gt;=8)*('CASE MASTER'!$AB$2:$AB$495&lt;=10)*('CASE MASTER'!$AD$2:$AD$495&gt;=10))*ROW('CASE MASTER'!$T$2:$T$495))-(ROW('CASE MASTER'!#REF!)-1))),"")),"")</f>
        <v/>
      </c>
    </row>
    <row r="81" spans="1:11" ht="15" customHeight="1" x14ac:dyDescent="0.35">
      <c r="A81" s="8" t="s">
        <v>81</v>
      </c>
      <c r="B81" s="10" t="str">
        <f>IFERROR(IF(SUMPRODUCT((('CASE MASTER'!$T$2:$T$495=6)*('CASE MASTER'!$U$2:$U$495&lt;=9)*('CASE MASTER'!$W$2:$W$495&gt;=9)*('CASE MASTER'!$V$2:$V$495&lt;=1)*('CASE MASTER'!$X$2:$X$495&gt;=1))*ROW('CASE MASTER'!$T$2:$T$495))&gt;0,INDEX('CASE MASTER'!$Y$2:$Y$495,(SUMPRODUCT((('CASE MASTER'!$T$2:$T$495=6)*('CASE MASTER'!$U$2:$U$495&lt;=9)*('CASE MASTER'!$W$2:$W$495&gt;=9)*('CASE MASTER'!$V$2:$V$495&lt;=1)*('CASE MASTER'!$X$2:$X$495&gt;=1))*ROW('CASE MASTER'!$T$2:$T$495))-(ROW('CASE MASTER'!#REF!)-1)))&amp;TRIM(MID(SUBSTITUTE(SUBSTITUTE(INDEX('CASE MASTER'!$N$2:$N$495,(SUMPRODUCT((('CASE MASTER'!$T$2:$T$495=6)*('CASE MASTER'!$U$2:$U$495&lt;=9)*('CASE MASTER'!$W$2:$W$495&gt;=9)*('CASE MASTER'!$V$2:$V$495&lt;=1)*('CASE MASTER'!$X$2:$X$495&gt;=1))*ROW('CASE MASTER'!$T$2:$T$495))-(ROW('CASE MASTER'!#REF!)-1))),":",","),",",REPT(" ",50)),((((9-INDEX('CASE MASTER'!$U$2:$U$495,(SUMPRODUCT((('CASE MASTER'!$T$2:$T$495=6)*('CASE MASTER'!$U$2:$U$495&lt;=9)*('CASE MASTER'!$W$2:$W$495&gt;=9)*('CASE MASTER'!$V$2:$V$495&lt;=1)*('CASE MASTER'!$X$2:$X$495&gt;=1))*ROW('CASE MASTER'!$T$2:$T$495))-(ROW('CASE MASTER'!#REF!)-1))))*(INDEX('CASE MASTER'!$X$2:$X$495,(SUMPRODUCT((('CASE MASTER'!$T$2:$T$495=6)*('CASE MASTER'!$U$2:$U$495&lt;=9)*('CASE MASTER'!$W$2:$W$495&gt;=9)*('CASE MASTER'!$V$2:$V$495&lt;=1)*('CASE MASTER'!$X$2:$X$495&gt;=1))*ROW('CASE MASTER'!$T$2:$T$495))-(ROW('CASE MASTER'!#REF!)-1)))-INDEX('CASE MASTER'!$V$2:$V$495,(SUMPRODUCT((('CASE MASTER'!$T$2:$T$495=6)*('CASE MASTER'!$U$2:$U$495&lt;=9)*('CASE MASTER'!$W$2:$W$495&gt;=9)*('CASE MASTER'!$V$2:$V$495&lt;=1)*('CASE MASTER'!$X$2:$X$495&gt;=1))*ROW('CASE MASTER'!$T$2:$T$495))-(ROW('CASE MASTER'!#REF!)-1)))+1)+(1-INDEX('CASE MASTER'!$V$2:$V$495,(SUMPRODUCT((('CASE MASTER'!$T$2:$T$495=6)*('CASE MASTER'!$U$2:$U$495&lt;=9)*('CASE MASTER'!$W$2:$W$495&gt;=9)*('CASE MASTER'!$V$2:$V$495&lt;=1)*('CASE MASTER'!$X$2:$X$495&gt;=1))*ROW('CASE MASTER'!$T$2:$T$495))-(ROW('CASE MASTER'!#REF!)-1))))+1))-1)*50+1,50))&amp;"_"&amp;INDEX('CASE MASTER'!$Q$2:$Q$495,(SUMPRODUCT((('CASE MASTER'!$T$2:$T$495=6)*('CASE MASTER'!$U$2:$U$495&lt;=9)*('CASE MASTER'!$W$2:$W$495&gt;=9)*('CASE MASTER'!$V$2:$V$495&lt;=1)*('CASE MASTER'!$X$2:$X$495&gt;=1))*ROW('CASE MASTER'!$T$2:$T$495))-(ROW('CASE MASTER'!#REF!)-1))),IF(SUMPRODUCT((('CASE MASTER'!$T$2:$T$495=6)*('CASE MASTER'!$AA$2:$AA$495&lt;=9)*('CASE MASTER'!$AC$2:$AC$495&gt;=9)*('CASE MASTER'!$AB$2:$AB$495&lt;=1)*('CASE MASTER'!$AD$2:$AD$495&gt;=1))*ROW('CASE MASTER'!$T$2:$T$495))&gt;0,INDEX('CASE MASTER'!$Y$2:$Y$495,(SUMPRODUCT((('CASE MASTER'!$T$2:$T$495=6)*('CASE MASTER'!$AA$2:$AA$495&lt;=9)*('CASE MASTER'!$AC$2:$AC$495&gt;=9)*('CASE MASTER'!$AB$2:$AB$495&lt;=1)*('CASE MASTER'!$AD$2:$AD$495&gt;=1))*ROW('CASE MASTER'!$T$2:$T$495))-(ROW('CASE MASTER'!#REF!)-1)))&amp;TRIM(MID(SUBSTITUTE(SUBSTITUTE(INDEX('CASE MASTER'!$N$2:$N$495,(SUMPRODUCT((('CASE MASTER'!$T$2:$T$495=6)*('CASE MASTER'!$AA$2:$AA$495&lt;=9)*('CASE MASTER'!$AC$2:$AC$495&gt;=9)*('CASE MASTER'!$AB$2:$AB$495&lt;=1)*('CASE MASTER'!$AD$2:$AD$495&gt;=1))*ROW('CASE MASTER'!$T$2:$T$495))-(ROW('CASE MASTER'!#REF!)-1))),":",","),",",REPT(" ",50)),(((INDEX('CASE MASTER'!$Z$2:$Z$495,(SUMPRODUCT((('CASE MASTER'!$T$2:$T$495=6)*('CASE MASTER'!$AA$2:$AA$495&lt;=9)*('CASE MASTER'!$AC$2:$AC$495&gt;=9)*('CASE MASTER'!$AB$2:$AB$495&lt;=1)*('CASE MASTER'!$AD$2:$AD$495&gt;=1))*ROW('CASE MASTER'!$T$2:$T$495))-(ROW('CASE MASTER'!#REF!)-1)))+((9-INDEX('CASE MASTER'!$AA$2:$AA$495,(SUMPRODUCT((('CASE MASTER'!$T$2:$T$495=6)*('CASE MASTER'!$AA$2:$AA$495&lt;=9)*('CASE MASTER'!$AC$2:$AC$495&gt;=9)*('CASE MASTER'!$AB$2:$AB$495&lt;=1)*('CASE MASTER'!$AD$2:$AD$495&gt;=1))*ROW('CASE MASTER'!$T$2:$T$495))-(ROW('CASE MASTER'!#REF!)-1))))*(INDEX('CASE MASTER'!$AD$2:$AD$495,(SUMPRODUCT((('CASE MASTER'!$T$2:$T$495=6)*('CASE MASTER'!$AA$2:$AA$495&lt;=9)*('CASE MASTER'!$AC$2:$AC$495&gt;=9)*('CASE MASTER'!$AB$2:$AB$495&lt;=1)*('CASE MASTER'!$AD$2:$AD$495&gt;=1))*ROW('CASE MASTER'!$T$2:$T$495))-(ROW('CASE MASTER'!#REF!)-1)))-INDEX('CASE MASTER'!$AB$2:$AB$495,(SUMPRODUCT((('CASE MASTER'!$T$2:$T$495=6)*('CASE MASTER'!$AA$2:$AA$495&lt;=9)*('CASE MASTER'!$AC$2:$AC$495&gt;=9)*('CASE MASTER'!$AB$2:$AB$495&lt;=1)*('CASE MASTER'!$AD$2:$AD$495&gt;=1))*ROW('CASE MASTER'!$T$2:$T$495))-(ROW('CASE MASTER'!#REF!)-1)))+1)+(1-INDEX('CASE MASTER'!$AB$2:$AB$495,(SUMPRODUCT((('CASE MASTER'!$T$2:$T$495=6)*('CASE MASTER'!$AA$2:$AA$495&lt;=9)*('CASE MASTER'!$AC$2:$AC$495&gt;=9)*('CASE MASTER'!$AB$2:$AB$495&lt;=1)*('CASE MASTER'!$AD$2:$AD$495&gt;=1))*ROW('CASE MASTER'!$T$2:$T$495))-(ROW('CASE MASTER'!#REF!)-1))))+1)))-1)*50+1,50))&amp;"_"&amp;INDEX('CASE MASTER'!$Q$2:$Q$495,(SUMPRODUCT((('CASE MASTER'!$T$2:$T$495=6)*('CASE MASTER'!$AA$2:$AA$495&lt;=9)*('CASE MASTER'!$AC$2:$AC$495&gt;=9)*('CASE MASTER'!$AB$2:$AB$495&lt;=1)*('CASE MASTER'!$AD$2:$AD$495&gt;=1))*ROW('CASE MASTER'!$T$2:$T$495))-(ROW('CASE MASTER'!#REF!)-1))),"")),"")</f>
        <v/>
      </c>
      <c r="C81" s="10" t="str">
        <f>IFERROR(IF(SUMPRODUCT((('CASE MASTER'!$T$2:$T$495=6)*('CASE MASTER'!$U$2:$U$495&lt;=9)*('CASE MASTER'!$W$2:$W$495&gt;=9)*('CASE MASTER'!$V$2:$V$495&lt;=2)*('CASE MASTER'!$X$2:$X$495&gt;=2))*ROW('CASE MASTER'!$T$2:$T$495))&gt;0,INDEX('CASE MASTER'!$Y$2:$Y$495,(SUMPRODUCT((('CASE MASTER'!$T$2:$T$495=6)*('CASE MASTER'!$U$2:$U$495&lt;=9)*('CASE MASTER'!$W$2:$W$495&gt;=9)*('CASE MASTER'!$V$2:$V$495&lt;=2)*('CASE MASTER'!$X$2:$X$495&gt;=2))*ROW('CASE MASTER'!$T$2:$T$495))-(ROW('CASE MASTER'!#REF!)-1)))&amp;TRIM(MID(SUBSTITUTE(SUBSTITUTE(INDEX('CASE MASTER'!$N$2:$N$495,(SUMPRODUCT((('CASE MASTER'!$T$2:$T$495=6)*('CASE MASTER'!$U$2:$U$495&lt;=9)*('CASE MASTER'!$W$2:$W$495&gt;=9)*('CASE MASTER'!$V$2:$V$495&lt;=2)*('CASE MASTER'!$X$2:$X$495&gt;=2))*ROW('CASE MASTER'!$T$2:$T$495))-(ROW('CASE MASTER'!#REF!)-1))),":",","),",",REPT(" ",50)),((((9-INDEX('CASE MASTER'!$U$2:$U$495,(SUMPRODUCT((('CASE MASTER'!$T$2:$T$495=6)*('CASE MASTER'!$U$2:$U$495&lt;=9)*('CASE MASTER'!$W$2:$W$495&gt;=9)*('CASE MASTER'!$V$2:$V$495&lt;=2)*('CASE MASTER'!$X$2:$X$495&gt;=2))*ROW('CASE MASTER'!$T$2:$T$495))-(ROW('CASE MASTER'!#REF!)-1))))*(INDEX('CASE MASTER'!$X$2:$X$495,(SUMPRODUCT((('CASE MASTER'!$T$2:$T$495=6)*('CASE MASTER'!$U$2:$U$495&lt;=9)*('CASE MASTER'!$W$2:$W$495&gt;=9)*('CASE MASTER'!$V$2:$V$495&lt;=2)*('CASE MASTER'!$X$2:$X$495&gt;=2))*ROW('CASE MASTER'!$T$2:$T$495))-(ROW('CASE MASTER'!#REF!)-1)))-INDEX('CASE MASTER'!$V$2:$V$495,(SUMPRODUCT((('CASE MASTER'!$T$2:$T$495=6)*('CASE MASTER'!$U$2:$U$495&lt;=9)*('CASE MASTER'!$W$2:$W$495&gt;=9)*('CASE MASTER'!$V$2:$V$495&lt;=2)*('CASE MASTER'!$X$2:$X$495&gt;=2))*ROW('CASE MASTER'!$T$2:$T$495))-(ROW('CASE MASTER'!#REF!)-1)))+1)+(2-INDEX('CASE MASTER'!$V$2:$V$495,(SUMPRODUCT((('CASE MASTER'!$T$2:$T$495=6)*('CASE MASTER'!$U$2:$U$495&lt;=9)*('CASE MASTER'!$W$2:$W$495&gt;=9)*('CASE MASTER'!$V$2:$V$495&lt;=2)*('CASE MASTER'!$X$2:$X$495&gt;=2))*ROW('CASE MASTER'!$T$2:$T$495))-(ROW('CASE MASTER'!#REF!)-1))))+1))-1)*50+1,50))&amp;"_"&amp;INDEX('CASE MASTER'!$Q$2:$Q$495,(SUMPRODUCT((('CASE MASTER'!$T$2:$T$495=6)*('CASE MASTER'!$U$2:$U$495&lt;=9)*('CASE MASTER'!$W$2:$W$495&gt;=9)*('CASE MASTER'!$V$2:$V$495&lt;=2)*('CASE MASTER'!$X$2:$X$495&gt;=2))*ROW('CASE MASTER'!$T$2:$T$495))-(ROW('CASE MASTER'!#REF!)-1))),IF(SUMPRODUCT((('CASE MASTER'!$T$2:$T$495=6)*('CASE MASTER'!$AA$2:$AA$495&lt;=9)*('CASE MASTER'!$AC$2:$AC$495&gt;=9)*('CASE MASTER'!$AB$2:$AB$495&lt;=2)*('CASE MASTER'!$AD$2:$AD$495&gt;=2))*ROW('CASE MASTER'!$T$2:$T$495))&gt;0,INDEX('CASE MASTER'!$Y$2:$Y$495,(SUMPRODUCT((('CASE MASTER'!$T$2:$T$495=6)*('CASE MASTER'!$AA$2:$AA$495&lt;=9)*('CASE MASTER'!$AC$2:$AC$495&gt;=9)*('CASE MASTER'!$AB$2:$AB$495&lt;=2)*('CASE MASTER'!$AD$2:$AD$495&gt;=2))*ROW('CASE MASTER'!$T$2:$T$495))-(ROW('CASE MASTER'!#REF!)-1)))&amp;TRIM(MID(SUBSTITUTE(SUBSTITUTE(INDEX('CASE MASTER'!$N$2:$N$495,(SUMPRODUCT((('CASE MASTER'!$T$2:$T$495=6)*('CASE MASTER'!$AA$2:$AA$495&lt;=9)*('CASE MASTER'!$AC$2:$AC$495&gt;=9)*('CASE MASTER'!$AB$2:$AB$495&lt;=2)*('CASE MASTER'!$AD$2:$AD$495&gt;=2))*ROW('CASE MASTER'!$T$2:$T$495))-(ROW('CASE MASTER'!#REF!)-1))),":",","),",",REPT(" ",50)),(((INDEX('CASE MASTER'!$Z$2:$Z$495,(SUMPRODUCT((('CASE MASTER'!$T$2:$T$495=6)*('CASE MASTER'!$AA$2:$AA$495&lt;=9)*('CASE MASTER'!$AC$2:$AC$495&gt;=9)*('CASE MASTER'!$AB$2:$AB$495&lt;=2)*('CASE MASTER'!$AD$2:$AD$495&gt;=2))*ROW('CASE MASTER'!$T$2:$T$495))-(ROW('CASE MASTER'!#REF!)-1)))+((9-INDEX('CASE MASTER'!$AA$2:$AA$495,(SUMPRODUCT((('CASE MASTER'!$T$2:$T$495=6)*('CASE MASTER'!$AA$2:$AA$495&lt;=9)*('CASE MASTER'!$AC$2:$AC$495&gt;=9)*('CASE MASTER'!$AB$2:$AB$495&lt;=2)*('CASE MASTER'!$AD$2:$AD$495&gt;=2))*ROW('CASE MASTER'!$T$2:$T$495))-(ROW('CASE MASTER'!#REF!)-1))))*(INDEX('CASE MASTER'!$AD$2:$AD$495,(SUMPRODUCT((('CASE MASTER'!$T$2:$T$495=6)*('CASE MASTER'!$AA$2:$AA$495&lt;=9)*('CASE MASTER'!$AC$2:$AC$495&gt;=9)*('CASE MASTER'!$AB$2:$AB$495&lt;=2)*('CASE MASTER'!$AD$2:$AD$495&gt;=2))*ROW('CASE MASTER'!$T$2:$T$495))-(ROW('CASE MASTER'!#REF!)-1)))-INDEX('CASE MASTER'!$AB$2:$AB$495,(SUMPRODUCT((('CASE MASTER'!$T$2:$T$495=6)*('CASE MASTER'!$AA$2:$AA$495&lt;=9)*('CASE MASTER'!$AC$2:$AC$495&gt;=9)*('CASE MASTER'!$AB$2:$AB$495&lt;=2)*('CASE MASTER'!$AD$2:$AD$495&gt;=2))*ROW('CASE MASTER'!$T$2:$T$495))-(ROW('CASE MASTER'!#REF!)-1)))+1)+(2-INDEX('CASE MASTER'!$AB$2:$AB$495,(SUMPRODUCT((('CASE MASTER'!$T$2:$T$495=6)*('CASE MASTER'!$AA$2:$AA$495&lt;=9)*('CASE MASTER'!$AC$2:$AC$495&gt;=9)*('CASE MASTER'!$AB$2:$AB$495&lt;=2)*('CASE MASTER'!$AD$2:$AD$495&gt;=2))*ROW('CASE MASTER'!$T$2:$T$495))-(ROW('CASE MASTER'!#REF!)-1))))+1)))-1)*50+1,50))&amp;"_"&amp;INDEX('CASE MASTER'!$Q$2:$Q$495,(SUMPRODUCT((('CASE MASTER'!$T$2:$T$495=6)*('CASE MASTER'!$AA$2:$AA$495&lt;=9)*('CASE MASTER'!$AC$2:$AC$495&gt;=9)*('CASE MASTER'!$AB$2:$AB$495&lt;=2)*('CASE MASTER'!$AD$2:$AD$495&gt;=2))*ROW('CASE MASTER'!$T$2:$T$495))-(ROW('CASE MASTER'!#REF!)-1))),"")),"")</f>
        <v/>
      </c>
      <c r="D81" s="10" t="str">
        <f>IFERROR(IF(SUMPRODUCT((('CASE MASTER'!$T$2:$T$495=6)*('CASE MASTER'!$U$2:$U$495&lt;=9)*('CASE MASTER'!$W$2:$W$495&gt;=9)*('CASE MASTER'!$V$2:$V$495&lt;=3)*('CASE MASTER'!$X$2:$X$495&gt;=3))*ROW('CASE MASTER'!$T$2:$T$495))&gt;0,INDEX('CASE MASTER'!$Y$2:$Y$495,(SUMPRODUCT((('CASE MASTER'!$T$2:$T$495=6)*('CASE MASTER'!$U$2:$U$495&lt;=9)*('CASE MASTER'!$W$2:$W$495&gt;=9)*('CASE MASTER'!$V$2:$V$495&lt;=3)*('CASE MASTER'!$X$2:$X$495&gt;=3))*ROW('CASE MASTER'!$T$2:$T$495))-(ROW('CASE MASTER'!#REF!)-1)))&amp;TRIM(MID(SUBSTITUTE(SUBSTITUTE(INDEX('CASE MASTER'!$N$2:$N$495,(SUMPRODUCT((('CASE MASTER'!$T$2:$T$495=6)*('CASE MASTER'!$U$2:$U$495&lt;=9)*('CASE MASTER'!$W$2:$W$495&gt;=9)*('CASE MASTER'!$V$2:$V$495&lt;=3)*('CASE MASTER'!$X$2:$X$495&gt;=3))*ROW('CASE MASTER'!$T$2:$T$495))-(ROW('CASE MASTER'!#REF!)-1))),":",","),",",REPT(" ",50)),((((9-INDEX('CASE MASTER'!$U$2:$U$495,(SUMPRODUCT((('CASE MASTER'!$T$2:$T$495=6)*('CASE MASTER'!$U$2:$U$495&lt;=9)*('CASE MASTER'!$W$2:$W$495&gt;=9)*('CASE MASTER'!$V$2:$V$495&lt;=3)*('CASE MASTER'!$X$2:$X$495&gt;=3))*ROW('CASE MASTER'!$T$2:$T$495))-(ROW('CASE MASTER'!#REF!)-1))))*(INDEX('CASE MASTER'!$X$2:$X$495,(SUMPRODUCT((('CASE MASTER'!$T$2:$T$495=6)*('CASE MASTER'!$U$2:$U$495&lt;=9)*('CASE MASTER'!$W$2:$W$495&gt;=9)*('CASE MASTER'!$V$2:$V$495&lt;=3)*('CASE MASTER'!$X$2:$X$495&gt;=3))*ROW('CASE MASTER'!$T$2:$T$495))-(ROW('CASE MASTER'!#REF!)-1)))-INDEX('CASE MASTER'!$V$2:$V$495,(SUMPRODUCT((('CASE MASTER'!$T$2:$T$495=6)*('CASE MASTER'!$U$2:$U$495&lt;=9)*('CASE MASTER'!$W$2:$W$495&gt;=9)*('CASE MASTER'!$V$2:$V$495&lt;=3)*('CASE MASTER'!$X$2:$X$495&gt;=3))*ROW('CASE MASTER'!$T$2:$T$495))-(ROW('CASE MASTER'!#REF!)-1)))+1)+(3-INDEX('CASE MASTER'!$V$2:$V$495,(SUMPRODUCT((('CASE MASTER'!$T$2:$T$495=6)*('CASE MASTER'!$U$2:$U$495&lt;=9)*('CASE MASTER'!$W$2:$W$495&gt;=9)*('CASE MASTER'!$V$2:$V$495&lt;=3)*('CASE MASTER'!$X$2:$X$495&gt;=3))*ROW('CASE MASTER'!$T$2:$T$495))-(ROW('CASE MASTER'!#REF!)-1))))+1))-1)*50+1,50))&amp;"_"&amp;INDEX('CASE MASTER'!$Q$2:$Q$495,(SUMPRODUCT((('CASE MASTER'!$T$2:$T$495=6)*('CASE MASTER'!$U$2:$U$495&lt;=9)*('CASE MASTER'!$W$2:$W$495&gt;=9)*('CASE MASTER'!$V$2:$V$495&lt;=3)*('CASE MASTER'!$X$2:$X$495&gt;=3))*ROW('CASE MASTER'!$T$2:$T$495))-(ROW('CASE MASTER'!#REF!)-1))),IF(SUMPRODUCT((('CASE MASTER'!$T$2:$T$495=6)*('CASE MASTER'!$AA$2:$AA$495&lt;=9)*('CASE MASTER'!$AC$2:$AC$495&gt;=9)*('CASE MASTER'!$AB$2:$AB$495&lt;=3)*('CASE MASTER'!$AD$2:$AD$495&gt;=3))*ROW('CASE MASTER'!$T$2:$T$495))&gt;0,INDEX('CASE MASTER'!$Y$2:$Y$495,(SUMPRODUCT((('CASE MASTER'!$T$2:$T$495=6)*('CASE MASTER'!$AA$2:$AA$495&lt;=9)*('CASE MASTER'!$AC$2:$AC$495&gt;=9)*('CASE MASTER'!$AB$2:$AB$495&lt;=3)*('CASE MASTER'!$AD$2:$AD$495&gt;=3))*ROW('CASE MASTER'!$T$2:$T$495))-(ROW('CASE MASTER'!#REF!)-1)))&amp;TRIM(MID(SUBSTITUTE(SUBSTITUTE(INDEX('CASE MASTER'!$N$2:$N$495,(SUMPRODUCT((('CASE MASTER'!$T$2:$T$495=6)*('CASE MASTER'!$AA$2:$AA$495&lt;=9)*('CASE MASTER'!$AC$2:$AC$495&gt;=9)*('CASE MASTER'!$AB$2:$AB$495&lt;=3)*('CASE MASTER'!$AD$2:$AD$495&gt;=3))*ROW('CASE MASTER'!$T$2:$T$495))-(ROW('CASE MASTER'!#REF!)-1))),":",","),",",REPT(" ",50)),(((INDEX('CASE MASTER'!$Z$2:$Z$495,(SUMPRODUCT((('CASE MASTER'!$T$2:$T$495=6)*('CASE MASTER'!$AA$2:$AA$495&lt;=9)*('CASE MASTER'!$AC$2:$AC$495&gt;=9)*('CASE MASTER'!$AB$2:$AB$495&lt;=3)*('CASE MASTER'!$AD$2:$AD$495&gt;=3))*ROW('CASE MASTER'!$T$2:$T$495))-(ROW('CASE MASTER'!#REF!)-1)))+((9-INDEX('CASE MASTER'!$AA$2:$AA$495,(SUMPRODUCT((('CASE MASTER'!$T$2:$T$495=6)*('CASE MASTER'!$AA$2:$AA$495&lt;=9)*('CASE MASTER'!$AC$2:$AC$495&gt;=9)*('CASE MASTER'!$AB$2:$AB$495&lt;=3)*('CASE MASTER'!$AD$2:$AD$495&gt;=3))*ROW('CASE MASTER'!$T$2:$T$495))-(ROW('CASE MASTER'!#REF!)-1))))*(INDEX('CASE MASTER'!$AD$2:$AD$495,(SUMPRODUCT((('CASE MASTER'!$T$2:$T$495=6)*('CASE MASTER'!$AA$2:$AA$495&lt;=9)*('CASE MASTER'!$AC$2:$AC$495&gt;=9)*('CASE MASTER'!$AB$2:$AB$495&lt;=3)*('CASE MASTER'!$AD$2:$AD$495&gt;=3))*ROW('CASE MASTER'!$T$2:$T$495))-(ROW('CASE MASTER'!#REF!)-1)))-INDEX('CASE MASTER'!$AB$2:$AB$495,(SUMPRODUCT((('CASE MASTER'!$T$2:$T$495=6)*('CASE MASTER'!$AA$2:$AA$495&lt;=9)*('CASE MASTER'!$AC$2:$AC$495&gt;=9)*('CASE MASTER'!$AB$2:$AB$495&lt;=3)*('CASE MASTER'!$AD$2:$AD$495&gt;=3))*ROW('CASE MASTER'!$T$2:$T$495))-(ROW('CASE MASTER'!#REF!)-1)))+1)+(3-INDEX('CASE MASTER'!$AB$2:$AB$495,(SUMPRODUCT((('CASE MASTER'!$T$2:$T$495=6)*('CASE MASTER'!$AA$2:$AA$495&lt;=9)*('CASE MASTER'!$AC$2:$AC$495&gt;=9)*('CASE MASTER'!$AB$2:$AB$495&lt;=3)*('CASE MASTER'!$AD$2:$AD$495&gt;=3))*ROW('CASE MASTER'!$T$2:$T$495))-(ROW('CASE MASTER'!#REF!)-1))))+1)))-1)*50+1,50))&amp;"_"&amp;INDEX('CASE MASTER'!$Q$2:$Q$495,(SUMPRODUCT((('CASE MASTER'!$T$2:$T$495=6)*('CASE MASTER'!$AA$2:$AA$495&lt;=9)*('CASE MASTER'!$AC$2:$AC$495&gt;=9)*('CASE MASTER'!$AB$2:$AB$495&lt;=3)*('CASE MASTER'!$AD$2:$AD$495&gt;=3))*ROW('CASE MASTER'!$T$2:$T$495))-(ROW('CASE MASTER'!#REF!)-1))),"")),"")</f>
        <v/>
      </c>
      <c r="E81" s="10" t="str">
        <f>IFERROR(IF(SUMPRODUCT((('CASE MASTER'!$T$2:$T$495=6)*('CASE MASTER'!$U$2:$U$495&lt;=9)*('CASE MASTER'!$W$2:$W$495&gt;=9)*('CASE MASTER'!$V$2:$V$495&lt;=4)*('CASE MASTER'!$X$2:$X$495&gt;=4))*ROW('CASE MASTER'!$T$2:$T$495))&gt;0,INDEX('CASE MASTER'!$Y$2:$Y$495,(SUMPRODUCT((('CASE MASTER'!$T$2:$T$495=6)*('CASE MASTER'!$U$2:$U$495&lt;=9)*('CASE MASTER'!$W$2:$W$495&gt;=9)*('CASE MASTER'!$V$2:$V$495&lt;=4)*('CASE MASTER'!$X$2:$X$495&gt;=4))*ROW('CASE MASTER'!$T$2:$T$495))-(ROW('CASE MASTER'!#REF!)-1)))&amp;TRIM(MID(SUBSTITUTE(SUBSTITUTE(INDEX('CASE MASTER'!$N$2:$N$495,(SUMPRODUCT((('CASE MASTER'!$T$2:$T$495=6)*('CASE MASTER'!$U$2:$U$495&lt;=9)*('CASE MASTER'!$W$2:$W$495&gt;=9)*('CASE MASTER'!$V$2:$V$495&lt;=4)*('CASE MASTER'!$X$2:$X$495&gt;=4))*ROW('CASE MASTER'!$T$2:$T$495))-(ROW('CASE MASTER'!#REF!)-1))),":",","),",",REPT(" ",50)),((((9-INDEX('CASE MASTER'!$U$2:$U$495,(SUMPRODUCT((('CASE MASTER'!$T$2:$T$495=6)*('CASE MASTER'!$U$2:$U$495&lt;=9)*('CASE MASTER'!$W$2:$W$495&gt;=9)*('CASE MASTER'!$V$2:$V$495&lt;=4)*('CASE MASTER'!$X$2:$X$495&gt;=4))*ROW('CASE MASTER'!$T$2:$T$495))-(ROW('CASE MASTER'!#REF!)-1))))*(INDEX('CASE MASTER'!$X$2:$X$495,(SUMPRODUCT((('CASE MASTER'!$T$2:$T$495=6)*('CASE MASTER'!$U$2:$U$495&lt;=9)*('CASE MASTER'!$W$2:$W$495&gt;=9)*('CASE MASTER'!$V$2:$V$495&lt;=4)*('CASE MASTER'!$X$2:$X$495&gt;=4))*ROW('CASE MASTER'!$T$2:$T$495))-(ROW('CASE MASTER'!#REF!)-1)))-INDEX('CASE MASTER'!$V$2:$V$495,(SUMPRODUCT((('CASE MASTER'!$T$2:$T$495=6)*('CASE MASTER'!$U$2:$U$495&lt;=9)*('CASE MASTER'!$W$2:$W$495&gt;=9)*('CASE MASTER'!$V$2:$V$495&lt;=4)*('CASE MASTER'!$X$2:$X$495&gt;=4))*ROW('CASE MASTER'!$T$2:$T$495))-(ROW('CASE MASTER'!#REF!)-1)))+1)+(4-INDEX('CASE MASTER'!$V$2:$V$495,(SUMPRODUCT((('CASE MASTER'!$T$2:$T$495=6)*('CASE MASTER'!$U$2:$U$495&lt;=9)*('CASE MASTER'!$W$2:$W$495&gt;=9)*('CASE MASTER'!$V$2:$V$495&lt;=4)*('CASE MASTER'!$X$2:$X$495&gt;=4))*ROW('CASE MASTER'!$T$2:$T$495))-(ROW('CASE MASTER'!#REF!)-1))))+1))-1)*50+1,50))&amp;"_"&amp;INDEX('CASE MASTER'!$Q$2:$Q$495,(SUMPRODUCT((('CASE MASTER'!$T$2:$T$495=6)*('CASE MASTER'!$U$2:$U$495&lt;=9)*('CASE MASTER'!$W$2:$W$495&gt;=9)*('CASE MASTER'!$V$2:$V$495&lt;=4)*('CASE MASTER'!$X$2:$X$495&gt;=4))*ROW('CASE MASTER'!$T$2:$T$495))-(ROW('CASE MASTER'!#REF!)-1))),IF(SUMPRODUCT((('CASE MASTER'!$T$2:$T$495=6)*('CASE MASTER'!$AA$2:$AA$495&lt;=9)*('CASE MASTER'!$AC$2:$AC$495&gt;=9)*('CASE MASTER'!$AB$2:$AB$495&lt;=4)*('CASE MASTER'!$AD$2:$AD$495&gt;=4))*ROW('CASE MASTER'!$T$2:$T$495))&gt;0,INDEX('CASE MASTER'!$Y$2:$Y$495,(SUMPRODUCT((('CASE MASTER'!$T$2:$T$495=6)*('CASE MASTER'!$AA$2:$AA$495&lt;=9)*('CASE MASTER'!$AC$2:$AC$495&gt;=9)*('CASE MASTER'!$AB$2:$AB$495&lt;=4)*('CASE MASTER'!$AD$2:$AD$495&gt;=4))*ROW('CASE MASTER'!$T$2:$T$495))-(ROW('CASE MASTER'!#REF!)-1)))&amp;TRIM(MID(SUBSTITUTE(SUBSTITUTE(INDEX('CASE MASTER'!$N$2:$N$495,(SUMPRODUCT((('CASE MASTER'!$T$2:$T$495=6)*('CASE MASTER'!$AA$2:$AA$495&lt;=9)*('CASE MASTER'!$AC$2:$AC$495&gt;=9)*('CASE MASTER'!$AB$2:$AB$495&lt;=4)*('CASE MASTER'!$AD$2:$AD$495&gt;=4))*ROW('CASE MASTER'!$T$2:$T$495))-(ROW('CASE MASTER'!#REF!)-1))),":",","),",",REPT(" ",50)),(((INDEX('CASE MASTER'!$Z$2:$Z$495,(SUMPRODUCT((('CASE MASTER'!$T$2:$T$495=6)*('CASE MASTER'!$AA$2:$AA$495&lt;=9)*('CASE MASTER'!$AC$2:$AC$495&gt;=9)*('CASE MASTER'!$AB$2:$AB$495&lt;=4)*('CASE MASTER'!$AD$2:$AD$495&gt;=4))*ROW('CASE MASTER'!$T$2:$T$495))-(ROW('CASE MASTER'!#REF!)-1)))+((9-INDEX('CASE MASTER'!$AA$2:$AA$495,(SUMPRODUCT((('CASE MASTER'!$T$2:$T$495=6)*('CASE MASTER'!$AA$2:$AA$495&lt;=9)*('CASE MASTER'!$AC$2:$AC$495&gt;=9)*('CASE MASTER'!$AB$2:$AB$495&lt;=4)*('CASE MASTER'!$AD$2:$AD$495&gt;=4))*ROW('CASE MASTER'!$T$2:$T$495))-(ROW('CASE MASTER'!#REF!)-1))))*(INDEX('CASE MASTER'!$AD$2:$AD$495,(SUMPRODUCT((('CASE MASTER'!$T$2:$T$495=6)*('CASE MASTER'!$AA$2:$AA$495&lt;=9)*('CASE MASTER'!$AC$2:$AC$495&gt;=9)*('CASE MASTER'!$AB$2:$AB$495&lt;=4)*('CASE MASTER'!$AD$2:$AD$495&gt;=4))*ROW('CASE MASTER'!$T$2:$T$495))-(ROW('CASE MASTER'!#REF!)-1)))-INDEX('CASE MASTER'!$AB$2:$AB$495,(SUMPRODUCT((('CASE MASTER'!$T$2:$T$495=6)*('CASE MASTER'!$AA$2:$AA$495&lt;=9)*('CASE MASTER'!$AC$2:$AC$495&gt;=9)*('CASE MASTER'!$AB$2:$AB$495&lt;=4)*('CASE MASTER'!$AD$2:$AD$495&gt;=4))*ROW('CASE MASTER'!$T$2:$T$495))-(ROW('CASE MASTER'!#REF!)-1)))+1)+(4-INDEX('CASE MASTER'!$AB$2:$AB$495,(SUMPRODUCT((('CASE MASTER'!$T$2:$T$495=6)*('CASE MASTER'!$AA$2:$AA$495&lt;=9)*('CASE MASTER'!$AC$2:$AC$495&gt;=9)*('CASE MASTER'!$AB$2:$AB$495&lt;=4)*('CASE MASTER'!$AD$2:$AD$495&gt;=4))*ROW('CASE MASTER'!$T$2:$T$495))-(ROW('CASE MASTER'!#REF!)-1))))+1)))-1)*50+1,50))&amp;"_"&amp;INDEX('CASE MASTER'!$Q$2:$Q$495,(SUMPRODUCT((('CASE MASTER'!$T$2:$T$495=6)*('CASE MASTER'!$AA$2:$AA$495&lt;=9)*('CASE MASTER'!$AC$2:$AC$495&gt;=9)*('CASE MASTER'!$AB$2:$AB$495&lt;=4)*('CASE MASTER'!$AD$2:$AD$495&gt;=4))*ROW('CASE MASTER'!$T$2:$T$495))-(ROW('CASE MASTER'!#REF!)-1))),"")),"")</f>
        <v/>
      </c>
      <c r="F81" s="10" t="str">
        <f>IFERROR(IF(SUMPRODUCT((('CASE MASTER'!$T$2:$T$495=6)*('CASE MASTER'!$U$2:$U$495&lt;=9)*('CASE MASTER'!$W$2:$W$495&gt;=9)*('CASE MASTER'!$V$2:$V$495&lt;=5)*('CASE MASTER'!$X$2:$X$495&gt;=5))*ROW('CASE MASTER'!$T$2:$T$495))&gt;0,INDEX('CASE MASTER'!$Y$2:$Y$495,(SUMPRODUCT((('CASE MASTER'!$T$2:$T$495=6)*('CASE MASTER'!$U$2:$U$495&lt;=9)*('CASE MASTER'!$W$2:$W$495&gt;=9)*('CASE MASTER'!$V$2:$V$495&lt;=5)*('CASE MASTER'!$X$2:$X$495&gt;=5))*ROW('CASE MASTER'!$T$2:$T$495))-(ROW('CASE MASTER'!#REF!)-1)))&amp;TRIM(MID(SUBSTITUTE(SUBSTITUTE(INDEX('CASE MASTER'!$N$2:$N$495,(SUMPRODUCT((('CASE MASTER'!$T$2:$T$495=6)*('CASE MASTER'!$U$2:$U$495&lt;=9)*('CASE MASTER'!$W$2:$W$495&gt;=9)*('CASE MASTER'!$V$2:$V$495&lt;=5)*('CASE MASTER'!$X$2:$X$495&gt;=5))*ROW('CASE MASTER'!$T$2:$T$495))-(ROW('CASE MASTER'!#REF!)-1))),":",","),",",REPT(" ",50)),((((9-INDEX('CASE MASTER'!$U$2:$U$495,(SUMPRODUCT((('CASE MASTER'!$T$2:$T$495=6)*('CASE MASTER'!$U$2:$U$495&lt;=9)*('CASE MASTER'!$W$2:$W$495&gt;=9)*('CASE MASTER'!$V$2:$V$495&lt;=5)*('CASE MASTER'!$X$2:$X$495&gt;=5))*ROW('CASE MASTER'!$T$2:$T$495))-(ROW('CASE MASTER'!#REF!)-1))))*(INDEX('CASE MASTER'!$X$2:$X$495,(SUMPRODUCT((('CASE MASTER'!$T$2:$T$495=6)*('CASE MASTER'!$U$2:$U$495&lt;=9)*('CASE MASTER'!$W$2:$W$495&gt;=9)*('CASE MASTER'!$V$2:$V$495&lt;=5)*('CASE MASTER'!$X$2:$X$495&gt;=5))*ROW('CASE MASTER'!$T$2:$T$495))-(ROW('CASE MASTER'!#REF!)-1)))-INDEX('CASE MASTER'!$V$2:$V$495,(SUMPRODUCT((('CASE MASTER'!$T$2:$T$495=6)*('CASE MASTER'!$U$2:$U$495&lt;=9)*('CASE MASTER'!$W$2:$W$495&gt;=9)*('CASE MASTER'!$V$2:$V$495&lt;=5)*('CASE MASTER'!$X$2:$X$495&gt;=5))*ROW('CASE MASTER'!$T$2:$T$495))-(ROW('CASE MASTER'!#REF!)-1)))+1)+(5-INDEX('CASE MASTER'!$V$2:$V$495,(SUMPRODUCT((('CASE MASTER'!$T$2:$T$495=6)*('CASE MASTER'!$U$2:$U$495&lt;=9)*('CASE MASTER'!$W$2:$W$495&gt;=9)*('CASE MASTER'!$V$2:$V$495&lt;=5)*('CASE MASTER'!$X$2:$X$495&gt;=5))*ROW('CASE MASTER'!$T$2:$T$495))-(ROW('CASE MASTER'!#REF!)-1))))+1))-1)*50+1,50))&amp;"_"&amp;INDEX('CASE MASTER'!$Q$2:$Q$495,(SUMPRODUCT((('CASE MASTER'!$T$2:$T$495=6)*('CASE MASTER'!$U$2:$U$495&lt;=9)*('CASE MASTER'!$W$2:$W$495&gt;=9)*('CASE MASTER'!$V$2:$V$495&lt;=5)*('CASE MASTER'!$X$2:$X$495&gt;=5))*ROW('CASE MASTER'!$T$2:$T$495))-(ROW('CASE MASTER'!#REF!)-1))),IF(SUMPRODUCT((('CASE MASTER'!$T$2:$T$495=6)*('CASE MASTER'!$AA$2:$AA$495&lt;=9)*('CASE MASTER'!$AC$2:$AC$495&gt;=9)*('CASE MASTER'!$AB$2:$AB$495&lt;=5)*('CASE MASTER'!$AD$2:$AD$495&gt;=5))*ROW('CASE MASTER'!$T$2:$T$495))&gt;0,INDEX('CASE MASTER'!$Y$2:$Y$495,(SUMPRODUCT((('CASE MASTER'!$T$2:$T$495=6)*('CASE MASTER'!$AA$2:$AA$495&lt;=9)*('CASE MASTER'!$AC$2:$AC$495&gt;=9)*('CASE MASTER'!$AB$2:$AB$495&lt;=5)*('CASE MASTER'!$AD$2:$AD$495&gt;=5))*ROW('CASE MASTER'!$T$2:$T$495))-(ROW('CASE MASTER'!#REF!)-1)))&amp;TRIM(MID(SUBSTITUTE(SUBSTITUTE(INDEX('CASE MASTER'!$N$2:$N$495,(SUMPRODUCT((('CASE MASTER'!$T$2:$T$495=6)*('CASE MASTER'!$AA$2:$AA$495&lt;=9)*('CASE MASTER'!$AC$2:$AC$495&gt;=9)*('CASE MASTER'!$AB$2:$AB$495&lt;=5)*('CASE MASTER'!$AD$2:$AD$495&gt;=5))*ROW('CASE MASTER'!$T$2:$T$495))-(ROW('CASE MASTER'!#REF!)-1))),":",","),",",REPT(" ",50)),(((INDEX('CASE MASTER'!$Z$2:$Z$495,(SUMPRODUCT((('CASE MASTER'!$T$2:$T$495=6)*('CASE MASTER'!$AA$2:$AA$495&lt;=9)*('CASE MASTER'!$AC$2:$AC$495&gt;=9)*('CASE MASTER'!$AB$2:$AB$495&lt;=5)*('CASE MASTER'!$AD$2:$AD$495&gt;=5))*ROW('CASE MASTER'!$T$2:$T$495))-(ROW('CASE MASTER'!#REF!)-1)))+((9-INDEX('CASE MASTER'!$AA$2:$AA$495,(SUMPRODUCT((('CASE MASTER'!$T$2:$T$495=6)*('CASE MASTER'!$AA$2:$AA$495&lt;=9)*('CASE MASTER'!$AC$2:$AC$495&gt;=9)*('CASE MASTER'!$AB$2:$AB$495&lt;=5)*('CASE MASTER'!$AD$2:$AD$495&gt;=5))*ROW('CASE MASTER'!$T$2:$T$495))-(ROW('CASE MASTER'!#REF!)-1))))*(INDEX('CASE MASTER'!$AD$2:$AD$495,(SUMPRODUCT((('CASE MASTER'!$T$2:$T$495=6)*('CASE MASTER'!$AA$2:$AA$495&lt;=9)*('CASE MASTER'!$AC$2:$AC$495&gt;=9)*('CASE MASTER'!$AB$2:$AB$495&lt;=5)*('CASE MASTER'!$AD$2:$AD$495&gt;=5))*ROW('CASE MASTER'!$T$2:$T$495))-(ROW('CASE MASTER'!#REF!)-1)))-INDEX('CASE MASTER'!$AB$2:$AB$495,(SUMPRODUCT((('CASE MASTER'!$T$2:$T$495=6)*('CASE MASTER'!$AA$2:$AA$495&lt;=9)*('CASE MASTER'!$AC$2:$AC$495&gt;=9)*('CASE MASTER'!$AB$2:$AB$495&lt;=5)*('CASE MASTER'!$AD$2:$AD$495&gt;=5))*ROW('CASE MASTER'!$T$2:$T$495))-(ROW('CASE MASTER'!#REF!)-1)))+1)+(5-INDEX('CASE MASTER'!$AB$2:$AB$495,(SUMPRODUCT((('CASE MASTER'!$T$2:$T$495=6)*('CASE MASTER'!$AA$2:$AA$495&lt;=9)*('CASE MASTER'!$AC$2:$AC$495&gt;=9)*('CASE MASTER'!$AB$2:$AB$495&lt;=5)*('CASE MASTER'!$AD$2:$AD$495&gt;=5))*ROW('CASE MASTER'!$T$2:$T$495))-(ROW('CASE MASTER'!#REF!)-1))))+1)))-1)*50+1,50))&amp;"_"&amp;INDEX('CASE MASTER'!$Q$2:$Q$495,(SUMPRODUCT((('CASE MASTER'!$T$2:$T$495=6)*('CASE MASTER'!$AA$2:$AA$495&lt;=9)*('CASE MASTER'!$AC$2:$AC$495&gt;=9)*('CASE MASTER'!$AB$2:$AB$495&lt;=5)*('CASE MASTER'!$AD$2:$AD$495&gt;=5))*ROW('CASE MASTER'!$T$2:$T$495))-(ROW('CASE MASTER'!#REF!)-1))),"")),"")</f>
        <v/>
      </c>
      <c r="G81" s="10" t="str">
        <f>IFERROR(IF(SUMPRODUCT((('CASE MASTER'!$T$2:$T$495=6)*('CASE MASTER'!$U$2:$U$495&lt;=9)*('CASE MASTER'!$W$2:$W$495&gt;=9)*('CASE MASTER'!$V$2:$V$495&lt;=6)*('CASE MASTER'!$X$2:$X$495&gt;=6))*ROW('CASE MASTER'!$T$2:$T$495))&gt;0,INDEX('CASE MASTER'!$Y$2:$Y$495,(SUMPRODUCT((('CASE MASTER'!$T$2:$T$495=6)*('CASE MASTER'!$U$2:$U$495&lt;=9)*('CASE MASTER'!$W$2:$W$495&gt;=9)*('CASE MASTER'!$V$2:$V$495&lt;=6)*('CASE MASTER'!$X$2:$X$495&gt;=6))*ROW('CASE MASTER'!$T$2:$T$495))-(ROW('CASE MASTER'!#REF!)-1)))&amp;TRIM(MID(SUBSTITUTE(SUBSTITUTE(INDEX('CASE MASTER'!$N$2:$N$495,(SUMPRODUCT((('CASE MASTER'!$T$2:$T$495=6)*('CASE MASTER'!$U$2:$U$495&lt;=9)*('CASE MASTER'!$W$2:$W$495&gt;=9)*('CASE MASTER'!$V$2:$V$495&lt;=6)*('CASE MASTER'!$X$2:$X$495&gt;=6))*ROW('CASE MASTER'!$T$2:$T$495))-(ROW('CASE MASTER'!#REF!)-1))),":",","),",",REPT(" ",50)),((((9-INDEX('CASE MASTER'!$U$2:$U$495,(SUMPRODUCT((('CASE MASTER'!$T$2:$T$495=6)*('CASE MASTER'!$U$2:$U$495&lt;=9)*('CASE MASTER'!$W$2:$W$495&gt;=9)*('CASE MASTER'!$V$2:$V$495&lt;=6)*('CASE MASTER'!$X$2:$X$495&gt;=6))*ROW('CASE MASTER'!$T$2:$T$495))-(ROW('CASE MASTER'!#REF!)-1))))*(INDEX('CASE MASTER'!$X$2:$X$495,(SUMPRODUCT((('CASE MASTER'!$T$2:$T$495=6)*('CASE MASTER'!$U$2:$U$495&lt;=9)*('CASE MASTER'!$W$2:$W$495&gt;=9)*('CASE MASTER'!$V$2:$V$495&lt;=6)*('CASE MASTER'!$X$2:$X$495&gt;=6))*ROW('CASE MASTER'!$T$2:$T$495))-(ROW('CASE MASTER'!#REF!)-1)))-INDEX('CASE MASTER'!$V$2:$V$495,(SUMPRODUCT((('CASE MASTER'!$T$2:$T$495=6)*('CASE MASTER'!$U$2:$U$495&lt;=9)*('CASE MASTER'!$W$2:$W$495&gt;=9)*('CASE MASTER'!$V$2:$V$495&lt;=6)*('CASE MASTER'!$X$2:$X$495&gt;=6))*ROW('CASE MASTER'!$T$2:$T$495))-(ROW('CASE MASTER'!#REF!)-1)))+1)+(6-INDEX('CASE MASTER'!$V$2:$V$495,(SUMPRODUCT((('CASE MASTER'!$T$2:$T$495=6)*('CASE MASTER'!$U$2:$U$495&lt;=9)*('CASE MASTER'!$W$2:$W$495&gt;=9)*('CASE MASTER'!$V$2:$V$495&lt;=6)*('CASE MASTER'!$X$2:$X$495&gt;=6))*ROW('CASE MASTER'!$T$2:$T$495))-(ROW('CASE MASTER'!#REF!)-1))))+1))-1)*50+1,50))&amp;"_"&amp;INDEX('CASE MASTER'!$Q$2:$Q$495,(SUMPRODUCT((('CASE MASTER'!$T$2:$T$495=6)*('CASE MASTER'!$U$2:$U$495&lt;=9)*('CASE MASTER'!$W$2:$W$495&gt;=9)*('CASE MASTER'!$V$2:$V$495&lt;=6)*('CASE MASTER'!$X$2:$X$495&gt;=6))*ROW('CASE MASTER'!$T$2:$T$495))-(ROW('CASE MASTER'!#REF!)-1))),IF(SUMPRODUCT((('CASE MASTER'!$T$2:$T$495=6)*('CASE MASTER'!$AA$2:$AA$495&lt;=9)*('CASE MASTER'!$AC$2:$AC$495&gt;=9)*('CASE MASTER'!$AB$2:$AB$495&lt;=6)*('CASE MASTER'!$AD$2:$AD$495&gt;=6))*ROW('CASE MASTER'!$T$2:$T$495))&gt;0,INDEX('CASE MASTER'!$Y$2:$Y$495,(SUMPRODUCT((('CASE MASTER'!$T$2:$T$495=6)*('CASE MASTER'!$AA$2:$AA$495&lt;=9)*('CASE MASTER'!$AC$2:$AC$495&gt;=9)*('CASE MASTER'!$AB$2:$AB$495&lt;=6)*('CASE MASTER'!$AD$2:$AD$495&gt;=6))*ROW('CASE MASTER'!$T$2:$T$495))-(ROW('CASE MASTER'!#REF!)-1)))&amp;TRIM(MID(SUBSTITUTE(SUBSTITUTE(INDEX('CASE MASTER'!$N$2:$N$495,(SUMPRODUCT((('CASE MASTER'!$T$2:$T$495=6)*('CASE MASTER'!$AA$2:$AA$495&lt;=9)*('CASE MASTER'!$AC$2:$AC$495&gt;=9)*('CASE MASTER'!$AB$2:$AB$495&lt;=6)*('CASE MASTER'!$AD$2:$AD$495&gt;=6))*ROW('CASE MASTER'!$T$2:$T$495))-(ROW('CASE MASTER'!#REF!)-1))),":",","),",",REPT(" ",50)),(((INDEX('CASE MASTER'!$Z$2:$Z$495,(SUMPRODUCT((('CASE MASTER'!$T$2:$T$495=6)*('CASE MASTER'!$AA$2:$AA$495&lt;=9)*('CASE MASTER'!$AC$2:$AC$495&gt;=9)*('CASE MASTER'!$AB$2:$AB$495&lt;=6)*('CASE MASTER'!$AD$2:$AD$495&gt;=6))*ROW('CASE MASTER'!$T$2:$T$495))-(ROW('CASE MASTER'!#REF!)-1)))+((9-INDEX('CASE MASTER'!$AA$2:$AA$495,(SUMPRODUCT((('CASE MASTER'!$T$2:$T$495=6)*('CASE MASTER'!$AA$2:$AA$495&lt;=9)*('CASE MASTER'!$AC$2:$AC$495&gt;=9)*('CASE MASTER'!$AB$2:$AB$495&lt;=6)*('CASE MASTER'!$AD$2:$AD$495&gt;=6))*ROW('CASE MASTER'!$T$2:$T$495))-(ROW('CASE MASTER'!#REF!)-1))))*(INDEX('CASE MASTER'!$AD$2:$AD$495,(SUMPRODUCT((('CASE MASTER'!$T$2:$T$495=6)*('CASE MASTER'!$AA$2:$AA$495&lt;=9)*('CASE MASTER'!$AC$2:$AC$495&gt;=9)*('CASE MASTER'!$AB$2:$AB$495&lt;=6)*('CASE MASTER'!$AD$2:$AD$495&gt;=6))*ROW('CASE MASTER'!$T$2:$T$495))-(ROW('CASE MASTER'!#REF!)-1)))-INDEX('CASE MASTER'!$AB$2:$AB$495,(SUMPRODUCT((('CASE MASTER'!$T$2:$T$495=6)*('CASE MASTER'!$AA$2:$AA$495&lt;=9)*('CASE MASTER'!$AC$2:$AC$495&gt;=9)*('CASE MASTER'!$AB$2:$AB$495&lt;=6)*('CASE MASTER'!$AD$2:$AD$495&gt;=6))*ROW('CASE MASTER'!$T$2:$T$495))-(ROW('CASE MASTER'!#REF!)-1)))+1)+(6-INDEX('CASE MASTER'!$AB$2:$AB$495,(SUMPRODUCT((('CASE MASTER'!$T$2:$T$495=6)*('CASE MASTER'!$AA$2:$AA$495&lt;=9)*('CASE MASTER'!$AC$2:$AC$495&gt;=9)*('CASE MASTER'!$AB$2:$AB$495&lt;=6)*('CASE MASTER'!$AD$2:$AD$495&gt;=6))*ROW('CASE MASTER'!$T$2:$T$495))-(ROW('CASE MASTER'!#REF!)-1))))+1)))-1)*50+1,50))&amp;"_"&amp;INDEX('CASE MASTER'!$Q$2:$Q$495,(SUMPRODUCT((('CASE MASTER'!$T$2:$T$495=6)*('CASE MASTER'!$AA$2:$AA$495&lt;=9)*('CASE MASTER'!$AC$2:$AC$495&gt;=9)*('CASE MASTER'!$AB$2:$AB$495&lt;=6)*('CASE MASTER'!$AD$2:$AD$495&gt;=6))*ROW('CASE MASTER'!$T$2:$T$495))-(ROW('CASE MASTER'!#REF!)-1))),"")),"")</f>
        <v/>
      </c>
      <c r="H81" s="10" t="str">
        <f>IFERROR(IF(SUMPRODUCT((('CASE MASTER'!$T$2:$T$495=6)*('CASE MASTER'!$U$2:$U$495&lt;=9)*('CASE MASTER'!$W$2:$W$495&gt;=9)*('CASE MASTER'!$V$2:$V$495&lt;=7)*('CASE MASTER'!$X$2:$X$495&gt;=7))*ROW('CASE MASTER'!$T$2:$T$495))&gt;0,INDEX('CASE MASTER'!$Y$2:$Y$495,(SUMPRODUCT((('CASE MASTER'!$T$2:$T$495=6)*('CASE MASTER'!$U$2:$U$495&lt;=9)*('CASE MASTER'!$W$2:$W$495&gt;=9)*('CASE MASTER'!$V$2:$V$495&lt;=7)*('CASE MASTER'!$X$2:$X$495&gt;=7))*ROW('CASE MASTER'!$T$2:$T$495))-(ROW('CASE MASTER'!#REF!)-1)))&amp;TRIM(MID(SUBSTITUTE(SUBSTITUTE(INDEX('CASE MASTER'!$N$2:$N$495,(SUMPRODUCT((('CASE MASTER'!$T$2:$T$495=6)*('CASE MASTER'!$U$2:$U$495&lt;=9)*('CASE MASTER'!$W$2:$W$495&gt;=9)*('CASE MASTER'!$V$2:$V$495&lt;=7)*('CASE MASTER'!$X$2:$X$495&gt;=7))*ROW('CASE MASTER'!$T$2:$T$495))-(ROW('CASE MASTER'!#REF!)-1))),":",","),",",REPT(" ",50)),((((9-INDEX('CASE MASTER'!$U$2:$U$495,(SUMPRODUCT((('CASE MASTER'!$T$2:$T$495=6)*('CASE MASTER'!$U$2:$U$495&lt;=9)*('CASE MASTER'!$W$2:$W$495&gt;=9)*('CASE MASTER'!$V$2:$V$495&lt;=7)*('CASE MASTER'!$X$2:$X$495&gt;=7))*ROW('CASE MASTER'!$T$2:$T$495))-(ROW('CASE MASTER'!#REF!)-1))))*(INDEX('CASE MASTER'!$X$2:$X$495,(SUMPRODUCT((('CASE MASTER'!$T$2:$T$495=6)*('CASE MASTER'!$U$2:$U$495&lt;=9)*('CASE MASTER'!$W$2:$W$495&gt;=9)*('CASE MASTER'!$V$2:$V$495&lt;=7)*('CASE MASTER'!$X$2:$X$495&gt;=7))*ROW('CASE MASTER'!$T$2:$T$495))-(ROW('CASE MASTER'!#REF!)-1)))-INDEX('CASE MASTER'!$V$2:$V$495,(SUMPRODUCT((('CASE MASTER'!$T$2:$T$495=6)*('CASE MASTER'!$U$2:$U$495&lt;=9)*('CASE MASTER'!$W$2:$W$495&gt;=9)*('CASE MASTER'!$V$2:$V$495&lt;=7)*('CASE MASTER'!$X$2:$X$495&gt;=7))*ROW('CASE MASTER'!$T$2:$T$495))-(ROW('CASE MASTER'!#REF!)-1)))+1)+(7-INDEX('CASE MASTER'!$V$2:$V$495,(SUMPRODUCT((('CASE MASTER'!$T$2:$T$495=6)*('CASE MASTER'!$U$2:$U$495&lt;=9)*('CASE MASTER'!$W$2:$W$495&gt;=9)*('CASE MASTER'!$V$2:$V$495&lt;=7)*('CASE MASTER'!$X$2:$X$495&gt;=7))*ROW('CASE MASTER'!$T$2:$T$495))-(ROW('CASE MASTER'!#REF!)-1))))+1))-1)*50+1,50))&amp;"_"&amp;INDEX('CASE MASTER'!$Q$2:$Q$495,(SUMPRODUCT((('CASE MASTER'!$T$2:$T$495=6)*('CASE MASTER'!$U$2:$U$495&lt;=9)*('CASE MASTER'!$W$2:$W$495&gt;=9)*('CASE MASTER'!$V$2:$V$495&lt;=7)*('CASE MASTER'!$X$2:$X$495&gt;=7))*ROW('CASE MASTER'!$T$2:$T$495))-(ROW('CASE MASTER'!#REF!)-1))),IF(SUMPRODUCT((('CASE MASTER'!$T$2:$T$495=6)*('CASE MASTER'!$AA$2:$AA$495&lt;=9)*('CASE MASTER'!$AC$2:$AC$495&gt;=9)*('CASE MASTER'!$AB$2:$AB$495&lt;=7)*('CASE MASTER'!$AD$2:$AD$495&gt;=7))*ROW('CASE MASTER'!$T$2:$T$495))&gt;0,INDEX('CASE MASTER'!$Y$2:$Y$495,(SUMPRODUCT((('CASE MASTER'!$T$2:$T$495=6)*('CASE MASTER'!$AA$2:$AA$495&lt;=9)*('CASE MASTER'!$AC$2:$AC$495&gt;=9)*('CASE MASTER'!$AB$2:$AB$495&lt;=7)*('CASE MASTER'!$AD$2:$AD$495&gt;=7))*ROW('CASE MASTER'!$T$2:$T$495))-(ROW('CASE MASTER'!#REF!)-1)))&amp;TRIM(MID(SUBSTITUTE(SUBSTITUTE(INDEX('CASE MASTER'!$N$2:$N$495,(SUMPRODUCT((('CASE MASTER'!$T$2:$T$495=6)*('CASE MASTER'!$AA$2:$AA$495&lt;=9)*('CASE MASTER'!$AC$2:$AC$495&gt;=9)*('CASE MASTER'!$AB$2:$AB$495&lt;=7)*('CASE MASTER'!$AD$2:$AD$495&gt;=7))*ROW('CASE MASTER'!$T$2:$T$495))-(ROW('CASE MASTER'!#REF!)-1))),":",","),",",REPT(" ",50)),(((INDEX('CASE MASTER'!$Z$2:$Z$495,(SUMPRODUCT((('CASE MASTER'!$T$2:$T$495=6)*('CASE MASTER'!$AA$2:$AA$495&lt;=9)*('CASE MASTER'!$AC$2:$AC$495&gt;=9)*('CASE MASTER'!$AB$2:$AB$495&lt;=7)*('CASE MASTER'!$AD$2:$AD$495&gt;=7))*ROW('CASE MASTER'!$T$2:$T$495))-(ROW('CASE MASTER'!#REF!)-1)))+((9-INDEX('CASE MASTER'!$AA$2:$AA$495,(SUMPRODUCT((('CASE MASTER'!$T$2:$T$495=6)*('CASE MASTER'!$AA$2:$AA$495&lt;=9)*('CASE MASTER'!$AC$2:$AC$495&gt;=9)*('CASE MASTER'!$AB$2:$AB$495&lt;=7)*('CASE MASTER'!$AD$2:$AD$495&gt;=7))*ROW('CASE MASTER'!$T$2:$T$495))-(ROW('CASE MASTER'!#REF!)-1))))*(INDEX('CASE MASTER'!$AD$2:$AD$495,(SUMPRODUCT((('CASE MASTER'!$T$2:$T$495=6)*('CASE MASTER'!$AA$2:$AA$495&lt;=9)*('CASE MASTER'!$AC$2:$AC$495&gt;=9)*('CASE MASTER'!$AB$2:$AB$495&lt;=7)*('CASE MASTER'!$AD$2:$AD$495&gt;=7))*ROW('CASE MASTER'!$T$2:$T$495))-(ROW('CASE MASTER'!#REF!)-1)))-INDEX('CASE MASTER'!$AB$2:$AB$495,(SUMPRODUCT((('CASE MASTER'!$T$2:$T$495=6)*('CASE MASTER'!$AA$2:$AA$495&lt;=9)*('CASE MASTER'!$AC$2:$AC$495&gt;=9)*('CASE MASTER'!$AB$2:$AB$495&lt;=7)*('CASE MASTER'!$AD$2:$AD$495&gt;=7))*ROW('CASE MASTER'!$T$2:$T$495))-(ROW('CASE MASTER'!#REF!)-1)))+1)+(7-INDEX('CASE MASTER'!$AB$2:$AB$495,(SUMPRODUCT((('CASE MASTER'!$T$2:$T$495=6)*('CASE MASTER'!$AA$2:$AA$495&lt;=9)*('CASE MASTER'!$AC$2:$AC$495&gt;=9)*('CASE MASTER'!$AB$2:$AB$495&lt;=7)*('CASE MASTER'!$AD$2:$AD$495&gt;=7))*ROW('CASE MASTER'!$T$2:$T$495))-(ROW('CASE MASTER'!#REF!)-1))))+1)))-1)*50+1,50))&amp;"_"&amp;INDEX('CASE MASTER'!$Q$2:$Q$495,(SUMPRODUCT((('CASE MASTER'!$T$2:$T$495=6)*('CASE MASTER'!$AA$2:$AA$495&lt;=9)*('CASE MASTER'!$AC$2:$AC$495&gt;=9)*('CASE MASTER'!$AB$2:$AB$495&lt;=7)*('CASE MASTER'!$AD$2:$AD$495&gt;=7))*ROW('CASE MASTER'!$T$2:$T$495))-(ROW('CASE MASTER'!#REF!)-1))),"")),"")</f>
        <v/>
      </c>
      <c r="I81" s="10" t="str">
        <f>IFERROR(IF(SUMPRODUCT((('CASE MASTER'!$T$2:$T$495=6)*('CASE MASTER'!$U$2:$U$495&lt;=9)*('CASE MASTER'!$W$2:$W$495&gt;=9)*('CASE MASTER'!$V$2:$V$495&lt;=8)*('CASE MASTER'!$X$2:$X$495&gt;=8))*ROW('CASE MASTER'!$T$2:$T$495))&gt;0,INDEX('CASE MASTER'!$Y$2:$Y$495,(SUMPRODUCT((('CASE MASTER'!$T$2:$T$495=6)*('CASE MASTER'!$U$2:$U$495&lt;=9)*('CASE MASTER'!$W$2:$W$495&gt;=9)*('CASE MASTER'!$V$2:$V$495&lt;=8)*('CASE MASTER'!$X$2:$X$495&gt;=8))*ROW('CASE MASTER'!$T$2:$T$495))-(ROW('CASE MASTER'!#REF!)-1)))&amp;TRIM(MID(SUBSTITUTE(SUBSTITUTE(INDEX('CASE MASTER'!$N$2:$N$495,(SUMPRODUCT((('CASE MASTER'!$T$2:$T$495=6)*('CASE MASTER'!$U$2:$U$495&lt;=9)*('CASE MASTER'!$W$2:$W$495&gt;=9)*('CASE MASTER'!$V$2:$V$495&lt;=8)*('CASE MASTER'!$X$2:$X$495&gt;=8))*ROW('CASE MASTER'!$T$2:$T$495))-(ROW('CASE MASTER'!#REF!)-1))),":",","),",",REPT(" ",50)),((((9-INDEX('CASE MASTER'!$U$2:$U$495,(SUMPRODUCT((('CASE MASTER'!$T$2:$T$495=6)*('CASE MASTER'!$U$2:$U$495&lt;=9)*('CASE MASTER'!$W$2:$W$495&gt;=9)*('CASE MASTER'!$V$2:$V$495&lt;=8)*('CASE MASTER'!$X$2:$X$495&gt;=8))*ROW('CASE MASTER'!$T$2:$T$495))-(ROW('CASE MASTER'!#REF!)-1))))*(INDEX('CASE MASTER'!$X$2:$X$495,(SUMPRODUCT((('CASE MASTER'!$T$2:$T$495=6)*('CASE MASTER'!$U$2:$U$495&lt;=9)*('CASE MASTER'!$W$2:$W$495&gt;=9)*('CASE MASTER'!$V$2:$V$495&lt;=8)*('CASE MASTER'!$X$2:$X$495&gt;=8))*ROW('CASE MASTER'!$T$2:$T$495))-(ROW('CASE MASTER'!#REF!)-1)))-INDEX('CASE MASTER'!$V$2:$V$495,(SUMPRODUCT((('CASE MASTER'!$T$2:$T$495=6)*('CASE MASTER'!$U$2:$U$495&lt;=9)*('CASE MASTER'!$W$2:$W$495&gt;=9)*('CASE MASTER'!$V$2:$V$495&lt;=8)*('CASE MASTER'!$X$2:$X$495&gt;=8))*ROW('CASE MASTER'!$T$2:$T$495))-(ROW('CASE MASTER'!#REF!)-1)))+1)+(8-INDEX('CASE MASTER'!$V$2:$V$495,(SUMPRODUCT((('CASE MASTER'!$T$2:$T$495=6)*('CASE MASTER'!$U$2:$U$495&lt;=9)*('CASE MASTER'!$W$2:$W$495&gt;=9)*('CASE MASTER'!$V$2:$V$495&lt;=8)*('CASE MASTER'!$X$2:$X$495&gt;=8))*ROW('CASE MASTER'!$T$2:$T$495))-(ROW('CASE MASTER'!#REF!)-1))))+1))-1)*50+1,50))&amp;"_"&amp;INDEX('CASE MASTER'!$Q$2:$Q$495,(SUMPRODUCT((('CASE MASTER'!$T$2:$T$495=6)*('CASE MASTER'!$U$2:$U$495&lt;=9)*('CASE MASTER'!$W$2:$W$495&gt;=9)*('CASE MASTER'!$V$2:$V$495&lt;=8)*('CASE MASTER'!$X$2:$X$495&gt;=8))*ROW('CASE MASTER'!$T$2:$T$495))-(ROW('CASE MASTER'!#REF!)-1))),IF(SUMPRODUCT((('CASE MASTER'!$T$2:$T$495=6)*('CASE MASTER'!$AA$2:$AA$495&lt;=9)*('CASE MASTER'!$AC$2:$AC$495&gt;=9)*('CASE MASTER'!$AB$2:$AB$495&lt;=8)*('CASE MASTER'!$AD$2:$AD$495&gt;=8))*ROW('CASE MASTER'!$T$2:$T$495))&gt;0,INDEX('CASE MASTER'!$Y$2:$Y$495,(SUMPRODUCT((('CASE MASTER'!$T$2:$T$495=6)*('CASE MASTER'!$AA$2:$AA$495&lt;=9)*('CASE MASTER'!$AC$2:$AC$495&gt;=9)*('CASE MASTER'!$AB$2:$AB$495&lt;=8)*('CASE MASTER'!$AD$2:$AD$495&gt;=8))*ROW('CASE MASTER'!$T$2:$T$495))-(ROW('CASE MASTER'!#REF!)-1)))&amp;TRIM(MID(SUBSTITUTE(SUBSTITUTE(INDEX('CASE MASTER'!$N$2:$N$495,(SUMPRODUCT((('CASE MASTER'!$T$2:$T$495=6)*('CASE MASTER'!$AA$2:$AA$495&lt;=9)*('CASE MASTER'!$AC$2:$AC$495&gt;=9)*('CASE MASTER'!$AB$2:$AB$495&lt;=8)*('CASE MASTER'!$AD$2:$AD$495&gt;=8))*ROW('CASE MASTER'!$T$2:$T$495))-(ROW('CASE MASTER'!#REF!)-1))),":",","),",",REPT(" ",50)),(((INDEX('CASE MASTER'!$Z$2:$Z$495,(SUMPRODUCT((('CASE MASTER'!$T$2:$T$495=6)*('CASE MASTER'!$AA$2:$AA$495&lt;=9)*('CASE MASTER'!$AC$2:$AC$495&gt;=9)*('CASE MASTER'!$AB$2:$AB$495&lt;=8)*('CASE MASTER'!$AD$2:$AD$495&gt;=8))*ROW('CASE MASTER'!$T$2:$T$495))-(ROW('CASE MASTER'!#REF!)-1)))+((9-INDEX('CASE MASTER'!$AA$2:$AA$495,(SUMPRODUCT((('CASE MASTER'!$T$2:$T$495=6)*('CASE MASTER'!$AA$2:$AA$495&lt;=9)*('CASE MASTER'!$AC$2:$AC$495&gt;=9)*('CASE MASTER'!$AB$2:$AB$495&lt;=8)*('CASE MASTER'!$AD$2:$AD$495&gt;=8))*ROW('CASE MASTER'!$T$2:$T$495))-(ROW('CASE MASTER'!#REF!)-1))))*(INDEX('CASE MASTER'!$AD$2:$AD$495,(SUMPRODUCT((('CASE MASTER'!$T$2:$T$495=6)*('CASE MASTER'!$AA$2:$AA$495&lt;=9)*('CASE MASTER'!$AC$2:$AC$495&gt;=9)*('CASE MASTER'!$AB$2:$AB$495&lt;=8)*('CASE MASTER'!$AD$2:$AD$495&gt;=8))*ROW('CASE MASTER'!$T$2:$T$495))-(ROW('CASE MASTER'!#REF!)-1)))-INDEX('CASE MASTER'!$AB$2:$AB$495,(SUMPRODUCT((('CASE MASTER'!$T$2:$T$495=6)*('CASE MASTER'!$AA$2:$AA$495&lt;=9)*('CASE MASTER'!$AC$2:$AC$495&gt;=9)*('CASE MASTER'!$AB$2:$AB$495&lt;=8)*('CASE MASTER'!$AD$2:$AD$495&gt;=8))*ROW('CASE MASTER'!$T$2:$T$495))-(ROW('CASE MASTER'!#REF!)-1)))+1)+(8-INDEX('CASE MASTER'!$AB$2:$AB$495,(SUMPRODUCT((('CASE MASTER'!$T$2:$T$495=6)*('CASE MASTER'!$AA$2:$AA$495&lt;=9)*('CASE MASTER'!$AC$2:$AC$495&gt;=9)*('CASE MASTER'!$AB$2:$AB$495&lt;=8)*('CASE MASTER'!$AD$2:$AD$495&gt;=8))*ROW('CASE MASTER'!$T$2:$T$495))-(ROW('CASE MASTER'!#REF!)-1))))+1)))-1)*50+1,50))&amp;"_"&amp;INDEX('CASE MASTER'!$Q$2:$Q$495,(SUMPRODUCT((('CASE MASTER'!$T$2:$T$495=6)*('CASE MASTER'!$AA$2:$AA$495&lt;=9)*('CASE MASTER'!$AC$2:$AC$495&gt;=9)*('CASE MASTER'!$AB$2:$AB$495&lt;=8)*('CASE MASTER'!$AD$2:$AD$495&gt;=8))*ROW('CASE MASTER'!$T$2:$T$495))-(ROW('CASE MASTER'!#REF!)-1))),"")),"")</f>
        <v/>
      </c>
      <c r="J81" s="10" t="str">
        <f>IFERROR(IF(SUMPRODUCT((('CASE MASTER'!$T$2:$T$495=6)*('CASE MASTER'!$U$2:$U$495&lt;=9)*('CASE MASTER'!$W$2:$W$495&gt;=9)*('CASE MASTER'!$V$2:$V$495&lt;=9)*('CASE MASTER'!$X$2:$X$495&gt;=9))*ROW('CASE MASTER'!$T$2:$T$495))&gt;0,INDEX('CASE MASTER'!$Y$2:$Y$495,(SUMPRODUCT((('CASE MASTER'!$T$2:$T$495=6)*('CASE MASTER'!$U$2:$U$495&lt;=9)*('CASE MASTER'!$W$2:$W$495&gt;=9)*('CASE MASTER'!$V$2:$V$495&lt;=9)*('CASE MASTER'!$X$2:$X$495&gt;=9))*ROW('CASE MASTER'!$T$2:$T$495))-(ROW('CASE MASTER'!#REF!)-1)))&amp;TRIM(MID(SUBSTITUTE(SUBSTITUTE(INDEX('CASE MASTER'!$N$2:$N$495,(SUMPRODUCT((('CASE MASTER'!$T$2:$T$495=6)*('CASE MASTER'!$U$2:$U$495&lt;=9)*('CASE MASTER'!$W$2:$W$495&gt;=9)*('CASE MASTER'!$V$2:$V$495&lt;=9)*('CASE MASTER'!$X$2:$X$495&gt;=9))*ROW('CASE MASTER'!$T$2:$T$495))-(ROW('CASE MASTER'!#REF!)-1))),":",","),",",REPT(" ",50)),((((9-INDEX('CASE MASTER'!$U$2:$U$495,(SUMPRODUCT((('CASE MASTER'!$T$2:$T$495=6)*('CASE MASTER'!$U$2:$U$495&lt;=9)*('CASE MASTER'!$W$2:$W$495&gt;=9)*('CASE MASTER'!$V$2:$V$495&lt;=9)*('CASE MASTER'!$X$2:$X$495&gt;=9))*ROW('CASE MASTER'!$T$2:$T$495))-(ROW('CASE MASTER'!#REF!)-1))))*(INDEX('CASE MASTER'!$X$2:$X$495,(SUMPRODUCT((('CASE MASTER'!$T$2:$T$495=6)*('CASE MASTER'!$U$2:$U$495&lt;=9)*('CASE MASTER'!$W$2:$W$495&gt;=9)*('CASE MASTER'!$V$2:$V$495&lt;=9)*('CASE MASTER'!$X$2:$X$495&gt;=9))*ROW('CASE MASTER'!$T$2:$T$495))-(ROW('CASE MASTER'!#REF!)-1)))-INDEX('CASE MASTER'!$V$2:$V$495,(SUMPRODUCT((('CASE MASTER'!$T$2:$T$495=6)*('CASE MASTER'!$U$2:$U$495&lt;=9)*('CASE MASTER'!$W$2:$W$495&gt;=9)*('CASE MASTER'!$V$2:$V$495&lt;=9)*('CASE MASTER'!$X$2:$X$495&gt;=9))*ROW('CASE MASTER'!$T$2:$T$495))-(ROW('CASE MASTER'!#REF!)-1)))+1)+(9-INDEX('CASE MASTER'!$V$2:$V$495,(SUMPRODUCT((('CASE MASTER'!$T$2:$T$495=6)*('CASE MASTER'!$U$2:$U$495&lt;=9)*('CASE MASTER'!$W$2:$W$495&gt;=9)*('CASE MASTER'!$V$2:$V$495&lt;=9)*('CASE MASTER'!$X$2:$X$495&gt;=9))*ROW('CASE MASTER'!$T$2:$T$495))-(ROW('CASE MASTER'!#REF!)-1))))+1))-1)*50+1,50))&amp;"_"&amp;INDEX('CASE MASTER'!$Q$2:$Q$495,(SUMPRODUCT((('CASE MASTER'!$T$2:$T$495=6)*('CASE MASTER'!$U$2:$U$495&lt;=9)*('CASE MASTER'!$W$2:$W$495&gt;=9)*('CASE MASTER'!$V$2:$V$495&lt;=9)*('CASE MASTER'!$X$2:$X$495&gt;=9))*ROW('CASE MASTER'!$T$2:$T$495))-(ROW('CASE MASTER'!#REF!)-1))),IF(SUMPRODUCT((('CASE MASTER'!$T$2:$T$495=6)*('CASE MASTER'!$AA$2:$AA$495&lt;=9)*('CASE MASTER'!$AC$2:$AC$495&gt;=9)*('CASE MASTER'!$AB$2:$AB$495&lt;=9)*('CASE MASTER'!$AD$2:$AD$495&gt;=9))*ROW('CASE MASTER'!$T$2:$T$495))&gt;0,INDEX('CASE MASTER'!$Y$2:$Y$495,(SUMPRODUCT((('CASE MASTER'!$T$2:$T$495=6)*('CASE MASTER'!$AA$2:$AA$495&lt;=9)*('CASE MASTER'!$AC$2:$AC$495&gt;=9)*('CASE MASTER'!$AB$2:$AB$495&lt;=9)*('CASE MASTER'!$AD$2:$AD$495&gt;=9))*ROW('CASE MASTER'!$T$2:$T$495))-(ROW('CASE MASTER'!#REF!)-1)))&amp;TRIM(MID(SUBSTITUTE(SUBSTITUTE(INDEX('CASE MASTER'!$N$2:$N$495,(SUMPRODUCT((('CASE MASTER'!$T$2:$T$495=6)*('CASE MASTER'!$AA$2:$AA$495&lt;=9)*('CASE MASTER'!$AC$2:$AC$495&gt;=9)*('CASE MASTER'!$AB$2:$AB$495&lt;=9)*('CASE MASTER'!$AD$2:$AD$495&gt;=9))*ROW('CASE MASTER'!$T$2:$T$495))-(ROW('CASE MASTER'!#REF!)-1))),":",","),",",REPT(" ",50)),(((INDEX('CASE MASTER'!$Z$2:$Z$495,(SUMPRODUCT((('CASE MASTER'!$T$2:$T$495=6)*('CASE MASTER'!$AA$2:$AA$495&lt;=9)*('CASE MASTER'!$AC$2:$AC$495&gt;=9)*('CASE MASTER'!$AB$2:$AB$495&lt;=9)*('CASE MASTER'!$AD$2:$AD$495&gt;=9))*ROW('CASE MASTER'!$T$2:$T$495))-(ROW('CASE MASTER'!#REF!)-1)))+((9-INDEX('CASE MASTER'!$AA$2:$AA$495,(SUMPRODUCT((('CASE MASTER'!$T$2:$T$495=6)*('CASE MASTER'!$AA$2:$AA$495&lt;=9)*('CASE MASTER'!$AC$2:$AC$495&gt;=9)*('CASE MASTER'!$AB$2:$AB$495&lt;=9)*('CASE MASTER'!$AD$2:$AD$495&gt;=9))*ROW('CASE MASTER'!$T$2:$T$495))-(ROW('CASE MASTER'!#REF!)-1))))*(INDEX('CASE MASTER'!$AD$2:$AD$495,(SUMPRODUCT((('CASE MASTER'!$T$2:$T$495=6)*('CASE MASTER'!$AA$2:$AA$495&lt;=9)*('CASE MASTER'!$AC$2:$AC$495&gt;=9)*('CASE MASTER'!$AB$2:$AB$495&lt;=9)*('CASE MASTER'!$AD$2:$AD$495&gt;=9))*ROW('CASE MASTER'!$T$2:$T$495))-(ROW('CASE MASTER'!#REF!)-1)))-INDEX('CASE MASTER'!$AB$2:$AB$495,(SUMPRODUCT((('CASE MASTER'!$T$2:$T$495=6)*('CASE MASTER'!$AA$2:$AA$495&lt;=9)*('CASE MASTER'!$AC$2:$AC$495&gt;=9)*('CASE MASTER'!$AB$2:$AB$495&lt;=9)*('CASE MASTER'!$AD$2:$AD$495&gt;=9))*ROW('CASE MASTER'!$T$2:$T$495))-(ROW('CASE MASTER'!#REF!)-1)))+1)+(9-INDEX('CASE MASTER'!$AB$2:$AB$495,(SUMPRODUCT((('CASE MASTER'!$T$2:$T$495=6)*('CASE MASTER'!$AA$2:$AA$495&lt;=9)*('CASE MASTER'!$AC$2:$AC$495&gt;=9)*('CASE MASTER'!$AB$2:$AB$495&lt;=9)*('CASE MASTER'!$AD$2:$AD$495&gt;=9))*ROW('CASE MASTER'!$T$2:$T$495))-(ROW('CASE MASTER'!#REF!)-1))))+1)))-1)*50+1,50))&amp;"_"&amp;INDEX('CASE MASTER'!$Q$2:$Q$495,(SUMPRODUCT((('CASE MASTER'!$T$2:$T$495=6)*('CASE MASTER'!$AA$2:$AA$495&lt;=9)*('CASE MASTER'!$AC$2:$AC$495&gt;=9)*('CASE MASTER'!$AB$2:$AB$495&lt;=9)*('CASE MASTER'!$AD$2:$AD$495&gt;=9))*ROW('CASE MASTER'!$T$2:$T$495))-(ROW('CASE MASTER'!#REF!)-1))),"")),"")</f>
        <v/>
      </c>
      <c r="K81" s="10" t="str">
        <f>IFERROR(IF(SUMPRODUCT((('CASE MASTER'!$T$2:$T$495=6)*('CASE MASTER'!$U$2:$U$495&lt;=9)*('CASE MASTER'!$W$2:$W$495&gt;=9)*('CASE MASTER'!$V$2:$V$495&lt;=10)*('CASE MASTER'!$X$2:$X$495&gt;=10))*ROW('CASE MASTER'!$T$2:$T$495))&gt;0,INDEX('CASE MASTER'!$Y$2:$Y$495,(SUMPRODUCT((('CASE MASTER'!$T$2:$T$495=6)*('CASE MASTER'!$U$2:$U$495&lt;=9)*('CASE MASTER'!$W$2:$W$495&gt;=9)*('CASE MASTER'!$V$2:$V$495&lt;=10)*('CASE MASTER'!$X$2:$X$495&gt;=10))*ROW('CASE MASTER'!$T$2:$T$495))-(ROW('CASE MASTER'!#REF!)-1)))&amp;TRIM(MID(SUBSTITUTE(SUBSTITUTE(INDEX('CASE MASTER'!$N$2:$N$495,(SUMPRODUCT((('CASE MASTER'!$T$2:$T$495=6)*('CASE MASTER'!$U$2:$U$495&lt;=9)*('CASE MASTER'!$W$2:$W$495&gt;=9)*('CASE MASTER'!$V$2:$V$495&lt;=10)*('CASE MASTER'!$X$2:$X$495&gt;=10))*ROW('CASE MASTER'!$T$2:$T$495))-(ROW('CASE MASTER'!#REF!)-1))),":",","),",",REPT(" ",50)),((((9-INDEX('CASE MASTER'!$U$2:$U$495,(SUMPRODUCT((('CASE MASTER'!$T$2:$T$495=6)*('CASE MASTER'!$U$2:$U$495&lt;=9)*('CASE MASTER'!$W$2:$W$495&gt;=9)*('CASE MASTER'!$V$2:$V$495&lt;=10)*('CASE MASTER'!$X$2:$X$495&gt;=10))*ROW('CASE MASTER'!$T$2:$T$495))-(ROW('CASE MASTER'!#REF!)-1))))*(INDEX('CASE MASTER'!$X$2:$X$495,(SUMPRODUCT((('CASE MASTER'!$T$2:$T$495=6)*('CASE MASTER'!$U$2:$U$495&lt;=9)*('CASE MASTER'!$W$2:$W$495&gt;=9)*('CASE MASTER'!$V$2:$V$495&lt;=10)*('CASE MASTER'!$X$2:$X$495&gt;=10))*ROW('CASE MASTER'!$T$2:$T$495))-(ROW('CASE MASTER'!#REF!)-1)))-INDEX('CASE MASTER'!$V$2:$V$495,(SUMPRODUCT((('CASE MASTER'!$T$2:$T$495=6)*('CASE MASTER'!$U$2:$U$495&lt;=9)*('CASE MASTER'!$W$2:$W$495&gt;=9)*('CASE MASTER'!$V$2:$V$495&lt;=10)*('CASE MASTER'!$X$2:$X$495&gt;=10))*ROW('CASE MASTER'!$T$2:$T$495))-(ROW('CASE MASTER'!#REF!)-1)))+1)+(10-INDEX('CASE MASTER'!$V$2:$V$495,(SUMPRODUCT((('CASE MASTER'!$T$2:$T$495=6)*('CASE MASTER'!$U$2:$U$495&lt;=9)*('CASE MASTER'!$W$2:$W$495&gt;=9)*('CASE MASTER'!$V$2:$V$495&lt;=10)*('CASE MASTER'!$X$2:$X$495&gt;=10))*ROW('CASE MASTER'!$T$2:$T$495))-(ROW('CASE MASTER'!#REF!)-1))))+1))-1)*50+1,50))&amp;"_"&amp;INDEX('CASE MASTER'!$Q$2:$Q$495,(SUMPRODUCT((('CASE MASTER'!$T$2:$T$495=6)*('CASE MASTER'!$U$2:$U$495&lt;=9)*('CASE MASTER'!$W$2:$W$495&gt;=9)*('CASE MASTER'!$V$2:$V$495&lt;=10)*('CASE MASTER'!$X$2:$X$495&gt;=10))*ROW('CASE MASTER'!$T$2:$T$495))-(ROW('CASE MASTER'!#REF!)-1))),IF(SUMPRODUCT((('CASE MASTER'!$T$2:$T$495=6)*('CASE MASTER'!$AA$2:$AA$495&lt;=9)*('CASE MASTER'!$AC$2:$AC$495&gt;=9)*('CASE MASTER'!$AB$2:$AB$495&lt;=10)*('CASE MASTER'!$AD$2:$AD$495&gt;=10))*ROW('CASE MASTER'!$T$2:$T$495))&gt;0,INDEX('CASE MASTER'!$Y$2:$Y$495,(SUMPRODUCT((('CASE MASTER'!$T$2:$T$495=6)*('CASE MASTER'!$AA$2:$AA$495&lt;=9)*('CASE MASTER'!$AC$2:$AC$495&gt;=9)*('CASE MASTER'!$AB$2:$AB$495&lt;=10)*('CASE MASTER'!$AD$2:$AD$495&gt;=10))*ROW('CASE MASTER'!$T$2:$T$495))-(ROW('CASE MASTER'!#REF!)-1)))&amp;TRIM(MID(SUBSTITUTE(SUBSTITUTE(INDEX('CASE MASTER'!$N$2:$N$495,(SUMPRODUCT((('CASE MASTER'!$T$2:$T$495=6)*('CASE MASTER'!$AA$2:$AA$495&lt;=9)*('CASE MASTER'!$AC$2:$AC$495&gt;=9)*('CASE MASTER'!$AB$2:$AB$495&lt;=10)*('CASE MASTER'!$AD$2:$AD$495&gt;=10))*ROW('CASE MASTER'!$T$2:$T$495))-(ROW('CASE MASTER'!#REF!)-1))),":",","),",",REPT(" ",50)),(((INDEX('CASE MASTER'!$Z$2:$Z$495,(SUMPRODUCT((('CASE MASTER'!$T$2:$T$495=6)*('CASE MASTER'!$AA$2:$AA$495&lt;=9)*('CASE MASTER'!$AC$2:$AC$495&gt;=9)*('CASE MASTER'!$AB$2:$AB$495&lt;=10)*('CASE MASTER'!$AD$2:$AD$495&gt;=10))*ROW('CASE MASTER'!$T$2:$T$495))-(ROW('CASE MASTER'!#REF!)-1)))+((9-INDEX('CASE MASTER'!$AA$2:$AA$495,(SUMPRODUCT((('CASE MASTER'!$T$2:$T$495=6)*('CASE MASTER'!$AA$2:$AA$495&lt;=9)*('CASE MASTER'!$AC$2:$AC$495&gt;=9)*('CASE MASTER'!$AB$2:$AB$495&lt;=10)*('CASE MASTER'!$AD$2:$AD$495&gt;=10))*ROW('CASE MASTER'!$T$2:$T$495))-(ROW('CASE MASTER'!#REF!)-1))))*(INDEX('CASE MASTER'!$AD$2:$AD$495,(SUMPRODUCT((('CASE MASTER'!$T$2:$T$495=6)*('CASE MASTER'!$AA$2:$AA$495&lt;=9)*('CASE MASTER'!$AC$2:$AC$495&gt;=9)*('CASE MASTER'!$AB$2:$AB$495&lt;=10)*('CASE MASTER'!$AD$2:$AD$495&gt;=10))*ROW('CASE MASTER'!$T$2:$T$495))-(ROW('CASE MASTER'!#REF!)-1)))-INDEX('CASE MASTER'!$AB$2:$AB$495,(SUMPRODUCT((('CASE MASTER'!$T$2:$T$495=6)*('CASE MASTER'!$AA$2:$AA$495&lt;=9)*('CASE MASTER'!$AC$2:$AC$495&gt;=9)*('CASE MASTER'!$AB$2:$AB$495&lt;=10)*('CASE MASTER'!$AD$2:$AD$495&gt;=10))*ROW('CASE MASTER'!$T$2:$T$495))-(ROW('CASE MASTER'!#REF!)-1)))+1)+(10-INDEX('CASE MASTER'!$AB$2:$AB$495,(SUMPRODUCT((('CASE MASTER'!$T$2:$T$495=6)*('CASE MASTER'!$AA$2:$AA$495&lt;=9)*('CASE MASTER'!$AC$2:$AC$495&gt;=9)*('CASE MASTER'!$AB$2:$AB$495&lt;=10)*('CASE MASTER'!$AD$2:$AD$495&gt;=10))*ROW('CASE MASTER'!$T$2:$T$495))-(ROW('CASE MASTER'!#REF!)-1))))+1)))-1)*50+1,50))&amp;"_"&amp;INDEX('CASE MASTER'!$Q$2:$Q$495,(SUMPRODUCT((('CASE MASTER'!$T$2:$T$495=6)*('CASE MASTER'!$AA$2:$AA$495&lt;=9)*('CASE MASTER'!$AC$2:$AC$495&gt;=9)*('CASE MASTER'!$AB$2:$AB$495&lt;=10)*('CASE MASTER'!$AD$2:$AD$495&gt;=10))*ROW('CASE MASTER'!$T$2:$T$495))-(ROW('CASE MASTER'!#REF!)-1))),"")),"")</f>
        <v/>
      </c>
    </row>
    <row r="82" spans="1:11" ht="15" customHeight="1" x14ac:dyDescent="0.35">
      <c r="A82" s="8" t="s">
        <v>82</v>
      </c>
      <c r="B82" s="10" t="str">
        <f>IFERROR(IF(SUMPRODUCT((('CASE MASTER'!$T$2:$T$495=6)*('CASE MASTER'!$U$2:$U$495&lt;=10)*('CASE MASTER'!$W$2:$W$495&gt;=10)*('CASE MASTER'!$V$2:$V$495&lt;=1)*('CASE MASTER'!$X$2:$X$495&gt;=1))*ROW('CASE MASTER'!$T$2:$T$495))&gt;0,INDEX('CASE MASTER'!$Y$2:$Y$495,(SUMPRODUCT((('CASE MASTER'!$T$2:$T$495=6)*('CASE MASTER'!$U$2:$U$495&lt;=10)*('CASE MASTER'!$W$2:$W$495&gt;=10)*('CASE MASTER'!$V$2:$V$495&lt;=1)*('CASE MASTER'!$X$2:$X$495&gt;=1))*ROW('CASE MASTER'!$T$2:$T$495))-(ROW('CASE MASTER'!#REF!)-1)))&amp;TRIM(MID(SUBSTITUTE(SUBSTITUTE(INDEX('CASE MASTER'!$N$2:$N$495,(SUMPRODUCT((('CASE MASTER'!$T$2:$T$495=6)*('CASE MASTER'!$U$2:$U$495&lt;=10)*('CASE MASTER'!$W$2:$W$495&gt;=10)*('CASE MASTER'!$V$2:$V$495&lt;=1)*('CASE MASTER'!$X$2:$X$495&gt;=1))*ROW('CASE MASTER'!$T$2:$T$495))-(ROW('CASE MASTER'!#REF!)-1))),":",","),",",REPT(" ",50)),((((10-INDEX('CASE MASTER'!$U$2:$U$495,(SUMPRODUCT((('CASE MASTER'!$T$2:$T$495=6)*('CASE MASTER'!$U$2:$U$495&lt;=10)*('CASE MASTER'!$W$2:$W$495&gt;=10)*('CASE MASTER'!$V$2:$V$495&lt;=1)*('CASE MASTER'!$X$2:$X$495&gt;=1))*ROW('CASE MASTER'!$T$2:$T$495))-(ROW('CASE MASTER'!#REF!)-1))))*(INDEX('CASE MASTER'!$X$2:$X$495,(SUMPRODUCT((('CASE MASTER'!$T$2:$T$495=6)*('CASE MASTER'!$U$2:$U$495&lt;=10)*('CASE MASTER'!$W$2:$W$495&gt;=10)*('CASE MASTER'!$V$2:$V$495&lt;=1)*('CASE MASTER'!$X$2:$X$495&gt;=1))*ROW('CASE MASTER'!$T$2:$T$495))-(ROW('CASE MASTER'!#REF!)-1)))-INDEX('CASE MASTER'!$V$2:$V$495,(SUMPRODUCT((('CASE MASTER'!$T$2:$T$495=6)*('CASE MASTER'!$U$2:$U$495&lt;=10)*('CASE MASTER'!$W$2:$W$495&gt;=10)*('CASE MASTER'!$V$2:$V$495&lt;=1)*('CASE MASTER'!$X$2:$X$495&gt;=1))*ROW('CASE MASTER'!$T$2:$T$495))-(ROW('CASE MASTER'!#REF!)-1)))+1)+(1-INDEX('CASE MASTER'!$V$2:$V$495,(SUMPRODUCT((('CASE MASTER'!$T$2:$T$495=6)*('CASE MASTER'!$U$2:$U$495&lt;=10)*('CASE MASTER'!$W$2:$W$495&gt;=10)*('CASE MASTER'!$V$2:$V$495&lt;=1)*('CASE MASTER'!$X$2:$X$495&gt;=1))*ROW('CASE MASTER'!$T$2:$T$495))-(ROW('CASE MASTER'!#REF!)-1))))+1))-1)*50+1,50))&amp;"_"&amp;INDEX('CASE MASTER'!$Q$2:$Q$495,(SUMPRODUCT((('CASE MASTER'!$T$2:$T$495=6)*('CASE MASTER'!$U$2:$U$495&lt;=10)*('CASE MASTER'!$W$2:$W$495&gt;=10)*('CASE MASTER'!$V$2:$V$495&lt;=1)*('CASE MASTER'!$X$2:$X$495&gt;=1))*ROW('CASE MASTER'!$T$2:$T$495))-(ROW('CASE MASTER'!#REF!)-1))),IF(SUMPRODUCT((('CASE MASTER'!$T$2:$T$495=6)*('CASE MASTER'!$AA$2:$AA$495&lt;=10)*('CASE MASTER'!$AC$2:$AC$495&gt;=10)*('CASE MASTER'!$AB$2:$AB$495&lt;=1)*('CASE MASTER'!$AD$2:$AD$495&gt;=1))*ROW('CASE MASTER'!$T$2:$T$495))&gt;0,INDEX('CASE MASTER'!$Y$2:$Y$495,(SUMPRODUCT((('CASE MASTER'!$T$2:$T$495=6)*('CASE MASTER'!$AA$2:$AA$495&lt;=10)*('CASE MASTER'!$AC$2:$AC$495&gt;=10)*('CASE MASTER'!$AB$2:$AB$495&lt;=1)*('CASE MASTER'!$AD$2:$AD$495&gt;=1))*ROW('CASE MASTER'!$T$2:$T$495))-(ROW('CASE MASTER'!#REF!)-1)))&amp;TRIM(MID(SUBSTITUTE(SUBSTITUTE(INDEX('CASE MASTER'!$N$2:$N$495,(SUMPRODUCT((('CASE MASTER'!$T$2:$T$495=6)*('CASE MASTER'!$AA$2:$AA$495&lt;=10)*('CASE MASTER'!$AC$2:$AC$495&gt;=10)*('CASE MASTER'!$AB$2:$AB$495&lt;=1)*('CASE MASTER'!$AD$2:$AD$495&gt;=1))*ROW('CASE MASTER'!$T$2:$T$495))-(ROW('CASE MASTER'!#REF!)-1))),":",","),",",REPT(" ",50)),(((INDEX('CASE MASTER'!$Z$2:$Z$495,(SUMPRODUCT((('CASE MASTER'!$T$2:$T$495=6)*('CASE MASTER'!$AA$2:$AA$495&lt;=10)*('CASE MASTER'!$AC$2:$AC$495&gt;=10)*('CASE MASTER'!$AB$2:$AB$495&lt;=1)*('CASE MASTER'!$AD$2:$AD$495&gt;=1))*ROW('CASE MASTER'!$T$2:$T$495))-(ROW('CASE MASTER'!#REF!)-1)))+((10-INDEX('CASE MASTER'!$AA$2:$AA$495,(SUMPRODUCT((('CASE MASTER'!$T$2:$T$495=6)*('CASE MASTER'!$AA$2:$AA$495&lt;=10)*('CASE MASTER'!$AC$2:$AC$495&gt;=10)*('CASE MASTER'!$AB$2:$AB$495&lt;=1)*('CASE MASTER'!$AD$2:$AD$495&gt;=1))*ROW('CASE MASTER'!$T$2:$T$495))-(ROW('CASE MASTER'!#REF!)-1))))*(INDEX('CASE MASTER'!$AD$2:$AD$495,(SUMPRODUCT((('CASE MASTER'!$T$2:$T$495=6)*('CASE MASTER'!$AA$2:$AA$495&lt;=10)*('CASE MASTER'!$AC$2:$AC$495&gt;=10)*('CASE MASTER'!$AB$2:$AB$495&lt;=1)*('CASE MASTER'!$AD$2:$AD$495&gt;=1))*ROW('CASE MASTER'!$T$2:$T$495))-(ROW('CASE MASTER'!#REF!)-1)))-INDEX('CASE MASTER'!$AB$2:$AB$495,(SUMPRODUCT((('CASE MASTER'!$T$2:$T$495=6)*('CASE MASTER'!$AA$2:$AA$495&lt;=10)*('CASE MASTER'!$AC$2:$AC$495&gt;=10)*('CASE MASTER'!$AB$2:$AB$495&lt;=1)*('CASE MASTER'!$AD$2:$AD$495&gt;=1))*ROW('CASE MASTER'!$T$2:$T$495))-(ROW('CASE MASTER'!#REF!)-1)))+1)+(1-INDEX('CASE MASTER'!$AB$2:$AB$495,(SUMPRODUCT((('CASE MASTER'!$T$2:$T$495=6)*('CASE MASTER'!$AA$2:$AA$495&lt;=10)*('CASE MASTER'!$AC$2:$AC$495&gt;=10)*('CASE MASTER'!$AB$2:$AB$495&lt;=1)*('CASE MASTER'!$AD$2:$AD$495&gt;=1))*ROW('CASE MASTER'!$T$2:$T$495))-(ROW('CASE MASTER'!#REF!)-1))))+1)))-1)*50+1,50))&amp;"_"&amp;INDEX('CASE MASTER'!$Q$2:$Q$495,(SUMPRODUCT((('CASE MASTER'!$T$2:$T$495=6)*('CASE MASTER'!$AA$2:$AA$495&lt;=10)*('CASE MASTER'!$AC$2:$AC$495&gt;=10)*('CASE MASTER'!$AB$2:$AB$495&lt;=1)*('CASE MASTER'!$AD$2:$AD$495&gt;=1))*ROW('CASE MASTER'!$T$2:$T$495))-(ROW('CASE MASTER'!#REF!)-1))),"")),"")</f>
        <v/>
      </c>
      <c r="C82" s="10" t="str">
        <f>IFERROR(IF(SUMPRODUCT((('CASE MASTER'!$T$2:$T$495=6)*('CASE MASTER'!$U$2:$U$495&lt;=10)*('CASE MASTER'!$W$2:$W$495&gt;=10)*('CASE MASTER'!$V$2:$V$495&lt;=2)*('CASE MASTER'!$X$2:$X$495&gt;=2))*ROW('CASE MASTER'!$T$2:$T$495))&gt;0,INDEX('CASE MASTER'!$Y$2:$Y$495,(SUMPRODUCT((('CASE MASTER'!$T$2:$T$495=6)*('CASE MASTER'!$U$2:$U$495&lt;=10)*('CASE MASTER'!$W$2:$W$495&gt;=10)*('CASE MASTER'!$V$2:$V$495&lt;=2)*('CASE MASTER'!$X$2:$X$495&gt;=2))*ROW('CASE MASTER'!$T$2:$T$495))-(ROW('CASE MASTER'!#REF!)-1)))&amp;TRIM(MID(SUBSTITUTE(SUBSTITUTE(INDEX('CASE MASTER'!$N$2:$N$495,(SUMPRODUCT((('CASE MASTER'!$T$2:$T$495=6)*('CASE MASTER'!$U$2:$U$495&lt;=10)*('CASE MASTER'!$W$2:$W$495&gt;=10)*('CASE MASTER'!$V$2:$V$495&lt;=2)*('CASE MASTER'!$X$2:$X$495&gt;=2))*ROW('CASE MASTER'!$T$2:$T$495))-(ROW('CASE MASTER'!#REF!)-1))),":",","),",",REPT(" ",50)),((((10-INDEX('CASE MASTER'!$U$2:$U$495,(SUMPRODUCT((('CASE MASTER'!$T$2:$T$495=6)*('CASE MASTER'!$U$2:$U$495&lt;=10)*('CASE MASTER'!$W$2:$W$495&gt;=10)*('CASE MASTER'!$V$2:$V$495&lt;=2)*('CASE MASTER'!$X$2:$X$495&gt;=2))*ROW('CASE MASTER'!$T$2:$T$495))-(ROW('CASE MASTER'!#REF!)-1))))*(INDEX('CASE MASTER'!$X$2:$X$495,(SUMPRODUCT((('CASE MASTER'!$T$2:$T$495=6)*('CASE MASTER'!$U$2:$U$495&lt;=10)*('CASE MASTER'!$W$2:$W$495&gt;=10)*('CASE MASTER'!$V$2:$V$495&lt;=2)*('CASE MASTER'!$X$2:$X$495&gt;=2))*ROW('CASE MASTER'!$T$2:$T$495))-(ROW('CASE MASTER'!#REF!)-1)))-INDEX('CASE MASTER'!$V$2:$V$495,(SUMPRODUCT((('CASE MASTER'!$T$2:$T$495=6)*('CASE MASTER'!$U$2:$U$495&lt;=10)*('CASE MASTER'!$W$2:$W$495&gt;=10)*('CASE MASTER'!$V$2:$V$495&lt;=2)*('CASE MASTER'!$X$2:$X$495&gt;=2))*ROW('CASE MASTER'!$T$2:$T$495))-(ROW('CASE MASTER'!#REF!)-1)))+1)+(2-INDEX('CASE MASTER'!$V$2:$V$495,(SUMPRODUCT((('CASE MASTER'!$T$2:$T$495=6)*('CASE MASTER'!$U$2:$U$495&lt;=10)*('CASE MASTER'!$W$2:$W$495&gt;=10)*('CASE MASTER'!$V$2:$V$495&lt;=2)*('CASE MASTER'!$X$2:$X$495&gt;=2))*ROW('CASE MASTER'!$T$2:$T$495))-(ROW('CASE MASTER'!#REF!)-1))))+1))-1)*50+1,50))&amp;"_"&amp;INDEX('CASE MASTER'!$Q$2:$Q$495,(SUMPRODUCT((('CASE MASTER'!$T$2:$T$495=6)*('CASE MASTER'!$U$2:$U$495&lt;=10)*('CASE MASTER'!$W$2:$W$495&gt;=10)*('CASE MASTER'!$V$2:$V$495&lt;=2)*('CASE MASTER'!$X$2:$X$495&gt;=2))*ROW('CASE MASTER'!$T$2:$T$495))-(ROW('CASE MASTER'!#REF!)-1))),IF(SUMPRODUCT((('CASE MASTER'!$T$2:$T$495=6)*('CASE MASTER'!$AA$2:$AA$495&lt;=10)*('CASE MASTER'!$AC$2:$AC$495&gt;=10)*('CASE MASTER'!$AB$2:$AB$495&lt;=2)*('CASE MASTER'!$AD$2:$AD$495&gt;=2))*ROW('CASE MASTER'!$T$2:$T$495))&gt;0,INDEX('CASE MASTER'!$Y$2:$Y$495,(SUMPRODUCT((('CASE MASTER'!$T$2:$T$495=6)*('CASE MASTER'!$AA$2:$AA$495&lt;=10)*('CASE MASTER'!$AC$2:$AC$495&gt;=10)*('CASE MASTER'!$AB$2:$AB$495&lt;=2)*('CASE MASTER'!$AD$2:$AD$495&gt;=2))*ROW('CASE MASTER'!$T$2:$T$495))-(ROW('CASE MASTER'!#REF!)-1)))&amp;TRIM(MID(SUBSTITUTE(SUBSTITUTE(INDEX('CASE MASTER'!$N$2:$N$495,(SUMPRODUCT((('CASE MASTER'!$T$2:$T$495=6)*('CASE MASTER'!$AA$2:$AA$495&lt;=10)*('CASE MASTER'!$AC$2:$AC$495&gt;=10)*('CASE MASTER'!$AB$2:$AB$495&lt;=2)*('CASE MASTER'!$AD$2:$AD$495&gt;=2))*ROW('CASE MASTER'!$T$2:$T$495))-(ROW('CASE MASTER'!#REF!)-1))),":",","),",",REPT(" ",50)),(((INDEX('CASE MASTER'!$Z$2:$Z$495,(SUMPRODUCT((('CASE MASTER'!$T$2:$T$495=6)*('CASE MASTER'!$AA$2:$AA$495&lt;=10)*('CASE MASTER'!$AC$2:$AC$495&gt;=10)*('CASE MASTER'!$AB$2:$AB$495&lt;=2)*('CASE MASTER'!$AD$2:$AD$495&gt;=2))*ROW('CASE MASTER'!$T$2:$T$495))-(ROW('CASE MASTER'!#REF!)-1)))+((10-INDEX('CASE MASTER'!$AA$2:$AA$495,(SUMPRODUCT((('CASE MASTER'!$T$2:$T$495=6)*('CASE MASTER'!$AA$2:$AA$495&lt;=10)*('CASE MASTER'!$AC$2:$AC$495&gt;=10)*('CASE MASTER'!$AB$2:$AB$495&lt;=2)*('CASE MASTER'!$AD$2:$AD$495&gt;=2))*ROW('CASE MASTER'!$T$2:$T$495))-(ROW('CASE MASTER'!#REF!)-1))))*(INDEX('CASE MASTER'!$AD$2:$AD$495,(SUMPRODUCT((('CASE MASTER'!$T$2:$T$495=6)*('CASE MASTER'!$AA$2:$AA$495&lt;=10)*('CASE MASTER'!$AC$2:$AC$495&gt;=10)*('CASE MASTER'!$AB$2:$AB$495&lt;=2)*('CASE MASTER'!$AD$2:$AD$495&gt;=2))*ROW('CASE MASTER'!$T$2:$T$495))-(ROW('CASE MASTER'!#REF!)-1)))-INDEX('CASE MASTER'!$AB$2:$AB$495,(SUMPRODUCT((('CASE MASTER'!$T$2:$T$495=6)*('CASE MASTER'!$AA$2:$AA$495&lt;=10)*('CASE MASTER'!$AC$2:$AC$495&gt;=10)*('CASE MASTER'!$AB$2:$AB$495&lt;=2)*('CASE MASTER'!$AD$2:$AD$495&gt;=2))*ROW('CASE MASTER'!$T$2:$T$495))-(ROW('CASE MASTER'!#REF!)-1)))+1)+(2-INDEX('CASE MASTER'!$AB$2:$AB$495,(SUMPRODUCT((('CASE MASTER'!$T$2:$T$495=6)*('CASE MASTER'!$AA$2:$AA$495&lt;=10)*('CASE MASTER'!$AC$2:$AC$495&gt;=10)*('CASE MASTER'!$AB$2:$AB$495&lt;=2)*('CASE MASTER'!$AD$2:$AD$495&gt;=2))*ROW('CASE MASTER'!$T$2:$T$495))-(ROW('CASE MASTER'!#REF!)-1))))+1)))-1)*50+1,50))&amp;"_"&amp;INDEX('CASE MASTER'!$Q$2:$Q$495,(SUMPRODUCT((('CASE MASTER'!$T$2:$T$495=6)*('CASE MASTER'!$AA$2:$AA$495&lt;=10)*('CASE MASTER'!$AC$2:$AC$495&gt;=10)*('CASE MASTER'!$AB$2:$AB$495&lt;=2)*('CASE MASTER'!$AD$2:$AD$495&gt;=2))*ROW('CASE MASTER'!$T$2:$T$495))-(ROW('CASE MASTER'!#REF!)-1))),"")),"")</f>
        <v/>
      </c>
      <c r="D82" s="10" t="str">
        <f>IFERROR(IF(SUMPRODUCT((('CASE MASTER'!$T$2:$T$495=6)*('CASE MASTER'!$U$2:$U$495&lt;=10)*('CASE MASTER'!$W$2:$W$495&gt;=10)*('CASE MASTER'!$V$2:$V$495&lt;=3)*('CASE MASTER'!$X$2:$X$495&gt;=3))*ROW('CASE MASTER'!$T$2:$T$495))&gt;0,INDEX('CASE MASTER'!$Y$2:$Y$495,(SUMPRODUCT((('CASE MASTER'!$T$2:$T$495=6)*('CASE MASTER'!$U$2:$U$495&lt;=10)*('CASE MASTER'!$W$2:$W$495&gt;=10)*('CASE MASTER'!$V$2:$V$495&lt;=3)*('CASE MASTER'!$X$2:$X$495&gt;=3))*ROW('CASE MASTER'!$T$2:$T$495))-(ROW('CASE MASTER'!#REF!)-1)))&amp;TRIM(MID(SUBSTITUTE(SUBSTITUTE(INDEX('CASE MASTER'!$N$2:$N$495,(SUMPRODUCT((('CASE MASTER'!$T$2:$T$495=6)*('CASE MASTER'!$U$2:$U$495&lt;=10)*('CASE MASTER'!$W$2:$W$495&gt;=10)*('CASE MASTER'!$V$2:$V$495&lt;=3)*('CASE MASTER'!$X$2:$X$495&gt;=3))*ROW('CASE MASTER'!$T$2:$T$495))-(ROW('CASE MASTER'!#REF!)-1))),":",","),",",REPT(" ",50)),((((10-INDEX('CASE MASTER'!$U$2:$U$495,(SUMPRODUCT((('CASE MASTER'!$T$2:$T$495=6)*('CASE MASTER'!$U$2:$U$495&lt;=10)*('CASE MASTER'!$W$2:$W$495&gt;=10)*('CASE MASTER'!$V$2:$V$495&lt;=3)*('CASE MASTER'!$X$2:$X$495&gt;=3))*ROW('CASE MASTER'!$T$2:$T$495))-(ROW('CASE MASTER'!#REF!)-1))))*(INDEX('CASE MASTER'!$X$2:$X$495,(SUMPRODUCT((('CASE MASTER'!$T$2:$T$495=6)*('CASE MASTER'!$U$2:$U$495&lt;=10)*('CASE MASTER'!$W$2:$W$495&gt;=10)*('CASE MASTER'!$V$2:$V$495&lt;=3)*('CASE MASTER'!$X$2:$X$495&gt;=3))*ROW('CASE MASTER'!$T$2:$T$495))-(ROW('CASE MASTER'!#REF!)-1)))-INDEX('CASE MASTER'!$V$2:$V$495,(SUMPRODUCT((('CASE MASTER'!$T$2:$T$495=6)*('CASE MASTER'!$U$2:$U$495&lt;=10)*('CASE MASTER'!$W$2:$W$495&gt;=10)*('CASE MASTER'!$V$2:$V$495&lt;=3)*('CASE MASTER'!$X$2:$X$495&gt;=3))*ROW('CASE MASTER'!$T$2:$T$495))-(ROW('CASE MASTER'!#REF!)-1)))+1)+(3-INDEX('CASE MASTER'!$V$2:$V$495,(SUMPRODUCT((('CASE MASTER'!$T$2:$T$495=6)*('CASE MASTER'!$U$2:$U$495&lt;=10)*('CASE MASTER'!$W$2:$W$495&gt;=10)*('CASE MASTER'!$V$2:$V$495&lt;=3)*('CASE MASTER'!$X$2:$X$495&gt;=3))*ROW('CASE MASTER'!$T$2:$T$495))-(ROW('CASE MASTER'!#REF!)-1))))+1))-1)*50+1,50))&amp;"_"&amp;INDEX('CASE MASTER'!$Q$2:$Q$495,(SUMPRODUCT((('CASE MASTER'!$T$2:$T$495=6)*('CASE MASTER'!$U$2:$U$495&lt;=10)*('CASE MASTER'!$W$2:$W$495&gt;=10)*('CASE MASTER'!$V$2:$V$495&lt;=3)*('CASE MASTER'!$X$2:$X$495&gt;=3))*ROW('CASE MASTER'!$T$2:$T$495))-(ROW('CASE MASTER'!#REF!)-1))),IF(SUMPRODUCT((('CASE MASTER'!$T$2:$T$495=6)*('CASE MASTER'!$AA$2:$AA$495&lt;=10)*('CASE MASTER'!$AC$2:$AC$495&gt;=10)*('CASE MASTER'!$AB$2:$AB$495&lt;=3)*('CASE MASTER'!$AD$2:$AD$495&gt;=3))*ROW('CASE MASTER'!$T$2:$T$495))&gt;0,INDEX('CASE MASTER'!$Y$2:$Y$495,(SUMPRODUCT((('CASE MASTER'!$T$2:$T$495=6)*('CASE MASTER'!$AA$2:$AA$495&lt;=10)*('CASE MASTER'!$AC$2:$AC$495&gt;=10)*('CASE MASTER'!$AB$2:$AB$495&lt;=3)*('CASE MASTER'!$AD$2:$AD$495&gt;=3))*ROW('CASE MASTER'!$T$2:$T$495))-(ROW('CASE MASTER'!#REF!)-1)))&amp;TRIM(MID(SUBSTITUTE(SUBSTITUTE(INDEX('CASE MASTER'!$N$2:$N$495,(SUMPRODUCT((('CASE MASTER'!$T$2:$T$495=6)*('CASE MASTER'!$AA$2:$AA$495&lt;=10)*('CASE MASTER'!$AC$2:$AC$495&gt;=10)*('CASE MASTER'!$AB$2:$AB$495&lt;=3)*('CASE MASTER'!$AD$2:$AD$495&gt;=3))*ROW('CASE MASTER'!$T$2:$T$495))-(ROW('CASE MASTER'!#REF!)-1))),":",","),",",REPT(" ",50)),(((INDEX('CASE MASTER'!$Z$2:$Z$495,(SUMPRODUCT((('CASE MASTER'!$T$2:$T$495=6)*('CASE MASTER'!$AA$2:$AA$495&lt;=10)*('CASE MASTER'!$AC$2:$AC$495&gt;=10)*('CASE MASTER'!$AB$2:$AB$495&lt;=3)*('CASE MASTER'!$AD$2:$AD$495&gt;=3))*ROW('CASE MASTER'!$T$2:$T$495))-(ROW('CASE MASTER'!#REF!)-1)))+((10-INDEX('CASE MASTER'!$AA$2:$AA$495,(SUMPRODUCT((('CASE MASTER'!$T$2:$T$495=6)*('CASE MASTER'!$AA$2:$AA$495&lt;=10)*('CASE MASTER'!$AC$2:$AC$495&gt;=10)*('CASE MASTER'!$AB$2:$AB$495&lt;=3)*('CASE MASTER'!$AD$2:$AD$495&gt;=3))*ROW('CASE MASTER'!$T$2:$T$495))-(ROW('CASE MASTER'!#REF!)-1))))*(INDEX('CASE MASTER'!$AD$2:$AD$495,(SUMPRODUCT((('CASE MASTER'!$T$2:$T$495=6)*('CASE MASTER'!$AA$2:$AA$495&lt;=10)*('CASE MASTER'!$AC$2:$AC$495&gt;=10)*('CASE MASTER'!$AB$2:$AB$495&lt;=3)*('CASE MASTER'!$AD$2:$AD$495&gt;=3))*ROW('CASE MASTER'!$T$2:$T$495))-(ROW('CASE MASTER'!#REF!)-1)))-INDEX('CASE MASTER'!$AB$2:$AB$495,(SUMPRODUCT((('CASE MASTER'!$T$2:$T$495=6)*('CASE MASTER'!$AA$2:$AA$495&lt;=10)*('CASE MASTER'!$AC$2:$AC$495&gt;=10)*('CASE MASTER'!$AB$2:$AB$495&lt;=3)*('CASE MASTER'!$AD$2:$AD$495&gt;=3))*ROW('CASE MASTER'!$T$2:$T$495))-(ROW('CASE MASTER'!#REF!)-1)))+1)+(3-INDEX('CASE MASTER'!$AB$2:$AB$495,(SUMPRODUCT((('CASE MASTER'!$T$2:$T$495=6)*('CASE MASTER'!$AA$2:$AA$495&lt;=10)*('CASE MASTER'!$AC$2:$AC$495&gt;=10)*('CASE MASTER'!$AB$2:$AB$495&lt;=3)*('CASE MASTER'!$AD$2:$AD$495&gt;=3))*ROW('CASE MASTER'!$T$2:$T$495))-(ROW('CASE MASTER'!#REF!)-1))))+1)))-1)*50+1,50))&amp;"_"&amp;INDEX('CASE MASTER'!$Q$2:$Q$495,(SUMPRODUCT((('CASE MASTER'!$T$2:$T$495=6)*('CASE MASTER'!$AA$2:$AA$495&lt;=10)*('CASE MASTER'!$AC$2:$AC$495&gt;=10)*('CASE MASTER'!$AB$2:$AB$495&lt;=3)*('CASE MASTER'!$AD$2:$AD$495&gt;=3))*ROW('CASE MASTER'!$T$2:$T$495))-(ROW('CASE MASTER'!#REF!)-1))),"")),"")</f>
        <v/>
      </c>
      <c r="E82" s="10" t="str">
        <f>IFERROR(IF(SUMPRODUCT((('CASE MASTER'!$T$2:$T$495=6)*('CASE MASTER'!$U$2:$U$495&lt;=10)*('CASE MASTER'!$W$2:$W$495&gt;=10)*('CASE MASTER'!$V$2:$V$495&lt;=4)*('CASE MASTER'!$X$2:$X$495&gt;=4))*ROW('CASE MASTER'!$T$2:$T$495))&gt;0,INDEX('CASE MASTER'!$Y$2:$Y$495,(SUMPRODUCT((('CASE MASTER'!$T$2:$T$495=6)*('CASE MASTER'!$U$2:$U$495&lt;=10)*('CASE MASTER'!$W$2:$W$495&gt;=10)*('CASE MASTER'!$V$2:$V$495&lt;=4)*('CASE MASTER'!$X$2:$X$495&gt;=4))*ROW('CASE MASTER'!$T$2:$T$495))-(ROW('CASE MASTER'!#REF!)-1)))&amp;TRIM(MID(SUBSTITUTE(SUBSTITUTE(INDEX('CASE MASTER'!$N$2:$N$495,(SUMPRODUCT((('CASE MASTER'!$T$2:$T$495=6)*('CASE MASTER'!$U$2:$U$495&lt;=10)*('CASE MASTER'!$W$2:$W$495&gt;=10)*('CASE MASTER'!$V$2:$V$495&lt;=4)*('CASE MASTER'!$X$2:$X$495&gt;=4))*ROW('CASE MASTER'!$T$2:$T$495))-(ROW('CASE MASTER'!#REF!)-1))),":",","),",",REPT(" ",50)),((((10-INDEX('CASE MASTER'!$U$2:$U$495,(SUMPRODUCT((('CASE MASTER'!$T$2:$T$495=6)*('CASE MASTER'!$U$2:$U$495&lt;=10)*('CASE MASTER'!$W$2:$W$495&gt;=10)*('CASE MASTER'!$V$2:$V$495&lt;=4)*('CASE MASTER'!$X$2:$X$495&gt;=4))*ROW('CASE MASTER'!$T$2:$T$495))-(ROW('CASE MASTER'!#REF!)-1))))*(INDEX('CASE MASTER'!$X$2:$X$495,(SUMPRODUCT((('CASE MASTER'!$T$2:$T$495=6)*('CASE MASTER'!$U$2:$U$495&lt;=10)*('CASE MASTER'!$W$2:$W$495&gt;=10)*('CASE MASTER'!$V$2:$V$495&lt;=4)*('CASE MASTER'!$X$2:$X$495&gt;=4))*ROW('CASE MASTER'!$T$2:$T$495))-(ROW('CASE MASTER'!#REF!)-1)))-INDEX('CASE MASTER'!$V$2:$V$495,(SUMPRODUCT((('CASE MASTER'!$T$2:$T$495=6)*('CASE MASTER'!$U$2:$U$495&lt;=10)*('CASE MASTER'!$W$2:$W$495&gt;=10)*('CASE MASTER'!$V$2:$V$495&lt;=4)*('CASE MASTER'!$X$2:$X$495&gt;=4))*ROW('CASE MASTER'!$T$2:$T$495))-(ROW('CASE MASTER'!#REF!)-1)))+1)+(4-INDEX('CASE MASTER'!$V$2:$V$495,(SUMPRODUCT((('CASE MASTER'!$T$2:$T$495=6)*('CASE MASTER'!$U$2:$U$495&lt;=10)*('CASE MASTER'!$W$2:$W$495&gt;=10)*('CASE MASTER'!$V$2:$V$495&lt;=4)*('CASE MASTER'!$X$2:$X$495&gt;=4))*ROW('CASE MASTER'!$T$2:$T$495))-(ROW('CASE MASTER'!#REF!)-1))))+1))-1)*50+1,50))&amp;"_"&amp;INDEX('CASE MASTER'!$Q$2:$Q$495,(SUMPRODUCT((('CASE MASTER'!$T$2:$T$495=6)*('CASE MASTER'!$U$2:$U$495&lt;=10)*('CASE MASTER'!$W$2:$W$495&gt;=10)*('CASE MASTER'!$V$2:$V$495&lt;=4)*('CASE MASTER'!$X$2:$X$495&gt;=4))*ROW('CASE MASTER'!$T$2:$T$495))-(ROW('CASE MASTER'!#REF!)-1))),IF(SUMPRODUCT((('CASE MASTER'!$T$2:$T$495=6)*('CASE MASTER'!$AA$2:$AA$495&lt;=10)*('CASE MASTER'!$AC$2:$AC$495&gt;=10)*('CASE MASTER'!$AB$2:$AB$495&lt;=4)*('CASE MASTER'!$AD$2:$AD$495&gt;=4))*ROW('CASE MASTER'!$T$2:$T$495))&gt;0,INDEX('CASE MASTER'!$Y$2:$Y$495,(SUMPRODUCT((('CASE MASTER'!$T$2:$T$495=6)*('CASE MASTER'!$AA$2:$AA$495&lt;=10)*('CASE MASTER'!$AC$2:$AC$495&gt;=10)*('CASE MASTER'!$AB$2:$AB$495&lt;=4)*('CASE MASTER'!$AD$2:$AD$495&gt;=4))*ROW('CASE MASTER'!$T$2:$T$495))-(ROW('CASE MASTER'!#REF!)-1)))&amp;TRIM(MID(SUBSTITUTE(SUBSTITUTE(INDEX('CASE MASTER'!$N$2:$N$495,(SUMPRODUCT((('CASE MASTER'!$T$2:$T$495=6)*('CASE MASTER'!$AA$2:$AA$495&lt;=10)*('CASE MASTER'!$AC$2:$AC$495&gt;=10)*('CASE MASTER'!$AB$2:$AB$495&lt;=4)*('CASE MASTER'!$AD$2:$AD$495&gt;=4))*ROW('CASE MASTER'!$T$2:$T$495))-(ROW('CASE MASTER'!#REF!)-1))),":",","),",",REPT(" ",50)),(((INDEX('CASE MASTER'!$Z$2:$Z$495,(SUMPRODUCT((('CASE MASTER'!$T$2:$T$495=6)*('CASE MASTER'!$AA$2:$AA$495&lt;=10)*('CASE MASTER'!$AC$2:$AC$495&gt;=10)*('CASE MASTER'!$AB$2:$AB$495&lt;=4)*('CASE MASTER'!$AD$2:$AD$495&gt;=4))*ROW('CASE MASTER'!$T$2:$T$495))-(ROW('CASE MASTER'!#REF!)-1)))+((10-INDEX('CASE MASTER'!$AA$2:$AA$495,(SUMPRODUCT((('CASE MASTER'!$T$2:$T$495=6)*('CASE MASTER'!$AA$2:$AA$495&lt;=10)*('CASE MASTER'!$AC$2:$AC$495&gt;=10)*('CASE MASTER'!$AB$2:$AB$495&lt;=4)*('CASE MASTER'!$AD$2:$AD$495&gt;=4))*ROW('CASE MASTER'!$T$2:$T$495))-(ROW('CASE MASTER'!#REF!)-1))))*(INDEX('CASE MASTER'!$AD$2:$AD$495,(SUMPRODUCT((('CASE MASTER'!$T$2:$T$495=6)*('CASE MASTER'!$AA$2:$AA$495&lt;=10)*('CASE MASTER'!$AC$2:$AC$495&gt;=10)*('CASE MASTER'!$AB$2:$AB$495&lt;=4)*('CASE MASTER'!$AD$2:$AD$495&gt;=4))*ROW('CASE MASTER'!$T$2:$T$495))-(ROW('CASE MASTER'!#REF!)-1)))-INDEX('CASE MASTER'!$AB$2:$AB$495,(SUMPRODUCT((('CASE MASTER'!$T$2:$T$495=6)*('CASE MASTER'!$AA$2:$AA$495&lt;=10)*('CASE MASTER'!$AC$2:$AC$495&gt;=10)*('CASE MASTER'!$AB$2:$AB$495&lt;=4)*('CASE MASTER'!$AD$2:$AD$495&gt;=4))*ROW('CASE MASTER'!$T$2:$T$495))-(ROW('CASE MASTER'!#REF!)-1)))+1)+(4-INDEX('CASE MASTER'!$AB$2:$AB$495,(SUMPRODUCT((('CASE MASTER'!$T$2:$T$495=6)*('CASE MASTER'!$AA$2:$AA$495&lt;=10)*('CASE MASTER'!$AC$2:$AC$495&gt;=10)*('CASE MASTER'!$AB$2:$AB$495&lt;=4)*('CASE MASTER'!$AD$2:$AD$495&gt;=4))*ROW('CASE MASTER'!$T$2:$T$495))-(ROW('CASE MASTER'!#REF!)-1))))+1)))-1)*50+1,50))&amp;"_"&amp;INDEX('CASE MASTER'!$Q$2:$Q$495,(SUMPRODUCT((('CASE MASTER'!$T$2:$T$495=6)*('CASE MASTER'!$AA$2:$AA$495&lt;=10)*('CASE MASTER'!$AC$2:$AC$495&gt;=10)*('CASE MASTER'!$AB$2:$AB$495&lt;=4)*('CASE MASTER'!$AD$2:$AD$495&gt;=4))*ROW('CASE MASTER'!$T$2:$T$495))-(ROW('CASE MASTER'!#REF!)-1))),"")),"")</f>
        <v/>
      </c>
      <c r="F82" s="10" t="str">
        <f>IFERROR(IF(SUMPRODUCT((('CASE MASTER'!$T$2:$T$495=6)*('CASE MASTER'!$U$2:$U$495&lt;=10)*('CASE MASTER'!$W$2:$W$495&gt;=10)*('CASE MASTER'!$V$2:$V$495&lt;=5)*('CASE MASTER'!$X$2:$X$495&gt;=5))*ROW('CASE MASTER'!$T$2:$T$495))&gt;0,INDEX('CASE MASTER'!$Y$2:$Y$495,(SUMPRODUCT((('CASE MASTER'!$T$2:$T$495=6)*('CASE MASTER'!$U$2:$U$495&lt;=10)*('CASE MASTER'!$W$2:$W$495&gt;=10)*('CASE MASTER'!$V$2:$V$495&lt;=5)*('CASE MASTER'!$X$2:$X$495&gt;=5))*ROW('CASE MASTER'!$T$2:$T$495))-(ROW('CASE MASTER'!#REF!)-1)))&amp;TRIM(MID(SUBSTITUTE(SUBSTITUTE(INDEX('CASE MASTER'!$N$2:$N$495,(SUMPRODUCT((('CASE MASTER'!$T$2:$T$495=6)*('CASE MASTER'!$U$2:$U$495&lt;=10)*('CASE MASTER'!$W$2:$W$495&gt;=10)*('CASE MASTER'!$V$2:$V$495&lt;=5)*('CASE MASTER'!$X$2:$X$495&gt;=5))*ROW('CASE MASTER'!$T$2:$T$495))-(ROW('CASE MASTER'!#REF!)-1))),":",","),",",REPT(" ",50)),((((10-INDEX('CASE MASTER'!$U$2:$U$495,(SUMPRODUCT((('CASE MASTER'!$T$2:$T$495=6)*('CASE MASTER'!$U$2:$U$495&lt;=10)*('CASE MASTER'!$W$2:$W$495&gt;=10)*('CASE MASTER'!$V$2:$V$495&lt;=5)*('CASE MASTER'!$X$2:$X$495&gt;=5))*ROW('CASE MASTER'!$T$2:$T$495))-(ROW('CASE MASTER'!#REF!)-1))))*(INDEX('CASE MASTER'!$X$2:$X$495,(SUMPRODUCT((('CASE MASTER'!$T$2:$T$495=6)*('CASE MASTER'!$U$2:$U$495&lt;=10)*('CASE MASTER'!$W$2:$W$495&gt;=10)*('CASE MASTER'!$V$2:$V$495&lt;=5)*('CASE MASTER'!$X$2:$X$495&gt;=5))*ROW('CASE MASTER'!$T$2:$T$495))-(ROW('CASE MASTER'!#REF!)-1)))-INDEX('CASE MASTER'!$V$2:$V$495,(SUMPRODUCT((('CASE MASTER'!$T$2:$T$495=6)*('CASE MASTER'!$U$2:$U$495&lt;=10)*('CASE MASTER'!$W$2:$W$495&gt;=10)*('CASE MASTER'!$V$2:$V$495&lt;=5)*('CASE MASTER'!$X$2:$X$495&gt;=5))*ROW('CASE MASTER'!$T$2:$T$495))-(ROW('CASE MASTER'!#REF!)-1)))+1)+(5-INDEX('CASE MASTER'!$V$2:$V$495,(SUMPRODUCT((('CASE MASTER'!$T$2:$T$495=6)*('CASE MASTER'!$U$2:$U$495&lt;=10)*('CASE MASTER'!$W$2:$W$495&gt;=10)*('CASE MASTER'!$V$2:$V$495&lt;=5)*('CASE MASTER'!$X$2:$X$495&gt;=5))*ROW('CASE MASTER'!$T$2:$T$495))-(ROW('CASE MASTER'!#REF!)-1))))+1))-1)*50+1,50))&amp;"_"&amp;INDEX('CASE MASTER'!$Q$2:$Q$495,(SUMPRODUCT((('CASE MASTER'!$T$2:$T$495=6)*('CASE MASTER'!$U$2:$U$495&lt;=10)*('CASE MASTER'!$W$2:$W$495&gt;=10)*('CASE MASTER'!$V$2:$V$495&lt;=5)*('CASE MASTER'!$X$2:$X$495&gt;=5))*ROW('CASE MASTER'!$T$2:$T$495))-(ROW('CASE MASTER'!#REF!)-1))),IF(SUMPRODUCT((('CASE MASTER'!$T$2:$T$495=6)*('CASE MASTER'!$AA$2:$AA$495&lt;=10)*('CASE MASTER'!$AC$2:$AC$495&gt;=10)*('CASE MASTER'!$AB$2:$AB$495&lt;=5)*('CASE MASTER'!$AD$2:$AD$495&gt;=5))*ROW('CASE MASTER'!$T$2:$T$495))&gt;0,INDEX('CASE MASTER'!$Y$2:$Y$495,(SUMPRODUCT((('CASE MASTER'!$T$2:$T$495=6)*('CASE MASTER'!$AA$2:$AA$495&lt;=10)*('CASE MASTER'!$AC$2:$AC$495&gt;=10)*('CASE MASTER'!$AB$2:$AB$495&lt;=5)*('CASE MASTER'!$AD$2:$AD$495&gt;=5))*ROW('CASE MASTER'!$T$2:$T$495))-(ROW('CASE MASTER'!#REF!)-1)))&amp;TRIM(MID(SUBSTITUTE(SUBSTITUTE(INDEX('CASE MASTER'!$N$2:$N$495,(SUMPRODUCT((('CASE MASTER'!$T$2:$T$495=6)*('CASE MASTER'!$AA$2:$AA$495&lt;=10)*('CASE MASTER'!$AC$2:$AC$495&gt;=10)*('CASE MASTER'!$AB$2:$AB$495&lt;=5)*('CASE MASTER'!$AD$2:$AD$495&gt;=5))*ROW('CASE MASTER'!$T$2:$T$495))-(ROW('CASE MASTER'!#REF!)-1))),":",","),",",REPT(" ",50)),(((INDEX('CASE MASTER'!$Z$2:$Z$495,(SUMPRODUCT((('CASE MASTER'!$T$2:$T$495=6)*('CASE MASTER'!$AA$2:$AA$495&lt;=10)*('CASE MASTER'!$AC$2:$AC$495&gt;=10)*('CASE MASTER'!$AB$2:$AB$495&lt;=5)*('CASE MASTER'!$AD$2:$AD$495&gt;=5))*ROW('CASE MASTER'!$T$2:$T$495))-(ROW('CASE MASTER'!#REF!)-1)))+((10-INDEX('CASE MASTER'!$AA$2:$AA$495,(SUMPRODUCT((('CASE MASTER'!$T$2:$T$495=6)*('CASE MASTER'!$AA$2:$AA$495&lt;=10)*('CASE MASTER'!$AC$2:$AC$495&gt;=10)*('CASE MASTER'!$AB$2:$AB$495&lt;=5)*('CASE MASTER'!$AD$2:$AD$495&gt;=5))*ROW('CASE MASTER'!$T$2:$T$495))-(ROW('CASE MASTER'!#REF!)-1))))*(INDEX('CASE MASTER'!$AD$2:$AD$495,(SUMPRODUCT((('CASE MASTER'!$T$2:$T$495=6)*('CASE MASTER'!$AA$2:$AA$495&lt;=10)*('CASE MASTER'!$AC$2:$AC$495&gt;=10)*('CASE MASTER'!$AB$2:$AB$495&lt;=5)*('CASE MASTER'!$AD$2:$AD$495&gt;=5))*ROW('CASE MASTER'!$T$2:$T$495))-(ROW('CASE MASTER'!#REF!)-1)))-INDEX('CASE MASTER'!$AB$2:$AB$495,(SUMPRODUCT((('CASE MASTER'!$T$2:$T$495=6)*('CASE MASTER'!$AA$2:$AA$495&lt;=10)*('CASE MASTER'!$AC$2:$AC$495&gt;=10)*('CASE MASTER'!$AB$2:$AB$495&lt;=5)*('CASE MASTER'!$AD$2:$AD$495&gt;=5))*ROW('CASE MASTER'!$T$2:$T$495))-(ROW('CASE MASTER'!#REF!)-1)))+1)+(5-INDEX('CASE MASTER'!$AB$2:$AB$495,(SUMPRODUCT((('CASE MASTER'!$T$2:$T$495=6)*('CASE MASTER'!$AA$2:$AA$495&lt;=10)*('CASE MASTER'!$AC$2:$AC$495&gt;=10)*('CASE MASTER'!$AB$2:$AB$495&lt;=5)*('CASE MASTER'!$AD$2:$AD$495&gt;=5))*ROW('CASE MASTER'!$T$2:$T$495))-(ROW('CASE MASTER'!#REF!)-1))))+1)))-1)*50+1,50))&amp;"_"&amp;INDEX('CASE MASTER'!$Q$2:$Q$495,(SUMPRODUCT((('CASE MASTER'!$T$2:$T$495=6)*('CASE MASTER'!$AA$2:$AA$495&lt;=10)*('CASE MASTER'!$AC$2:$AC$495&gt;=10)*('CASE MASTER'!$AB$2:$AB$495&lt;=5)*('CASE MASTER'!$AD$2:$AD$495&gt;=5))*ROW('CASE MASTER'!$T$2:$T$495))-(ROW('CASE MASTER'!#REF!)-1))),"")),"")</f>
        <v/>
      </c>
      <c r="G82" s="10" t="str">
        <f>IFERROR(IF(SUMPRODUCT((('CASE MASTER'!$T$2:$T$495=6)*('CASE MASTER'!$U$2:$U$495&lt;=10)*('CASE MASTER'!$W$2:$W$495&gt;=10)*('CASE MASTER'!$V$2:$V$495&lt;=6)*('CASE MASTER'!$X$2:$X$495&gt;=6))*ROW('CASE MASTER'!$T$2:$T$495))&gt;0,INDEX('CASE MASTER'!$Y$2:$Y$495,(SUMPRODUCT((('CASE MASTER'!$T$2:$T$495=6)*('CASE MASTER'!$U$2:$U$495&lt;=10)*('CASE MASTER'!$W$2:$W$495&gt;=10)*('CASE MASTER'!$V$2:$V$495&lt;=6)*('CASE MASTER'!$X$2:$X$495&gt;=6))*ROW('CASE MASTER'!$T$2:$T$495))-(ROW('CASE MASTER'!#REF!)-1)))&amp;TRIM(MID(SUBSTITUTE(SUBSTITUTE(INDEX('CASE MASTER'!$N$2:$N$495,(SUMPRODUCT((('CASE MASTER'!$T$2:$T$495=6)*('CASE MASTER'!$U$2:$U$495&lt;=10)*('CASE MASTER'!$W$2:$W$495&gt;=10)*('CASE MASTER'!$V$2:$V$495&lt;=6)*('CASE MASTER'!$X$2:$X$495&gt;=6))*ROW('CASE MASTER'!$T$2:$T$495))-(ROW('CASE MASTER'!#REF!)-1))),":",","),",",REPT(" ",50)),((((10-INDEX('CASE MASTER'!$U$2:$U$495,(SUMPRODUCT((('CASE MASTER'!$T$2:$T$495=6)*('CASE MASTER'!$U$2:$U$495&lt;=10)*('CASE MASTER'!$W$2:$W$495&gt;=10)*('CASE MASTER'!$V$2:$V$495&lt;=6)*('CASE MASTER'!$X$2:$X$495&gt;=6))*ROW('CASE MASTER'!$T$2:$T$495))-(ROW('CASE MASTER'!#REF!)-1))))*(INDEX('CASE MASTER'!$X$2:$X$495,(SUMPRODUCT((('CASE MASTER'!$T$2:$T$495=6)*('CASE MASTER'!$U$2:$U$495&lt;=10)*('CASE MASTER'!$W$2:$W$495&gt;=10)*('CASE MASTER'!$V$2:$V$495&lt;=6)*('CASE MASTER'!$X$2:$X$495&gt;=6))*ROW('CASE MASTER'!$T$2:$T$495))-(ROW('CASE MASTER'!#REF!)-1)))-INDEX('CASE MASTER'!$V$2:$V$495,(SUMPRODUCT((('CASE MASTER'!$T$2:$T$495=6)*('CASE MASTER'!$U$2:$U$495&lt;=10)*('CASE MASTER'!$W$2:$W$495&gt;=10)*('CASE MASTER'!$V$2:$V$495&lt;=6)*('CASE MASTER'!$X$2:$X$495&gt;=6))*ROW('CASE MASTER'!$T$2:$T$495))-(ROW('CASE MASTER'!#REF!)-1)))+1)+(6-INDEX('CASE MASTER'!$V$2:$V$495,(SUMPRODUCT((('CASE MASTER'!$T$2:$T$495=6)*('CASE MASTER'!$U$2:$U$495&lt;=10)*('CASE MASTER'!$W$2:$W$495&gt;=10)*('CASE MASTER'!$V$2:$V$495&lt;=6)*('CASE MASTER'!$X$2:$X$495&gt;=6))*ROW('CASE MASTER'!$T$2:$T$495))-(ROW('CASE MASTER'!#REF!)-1))))+1))-1)*50+1,50))&amp;"_"&amp;INDEX('CASE MASTER'!$Q$2:$Q$495,(SUMPRODUCT((('CASE MASTER'!$T$2:$T$495=6)*('CASE MASTER'!$U$2:$U$495&lt;=10)*('CASE MASTER'!$W$2:$W$495&gt;=10)*('CASE MASTER'!$V$2:$V$495&lt;=6)*('CASE MASTER'!$X$2:$X$495&gt;=6))*ROW('CASE MASTER'!$T$2:$T$495))-(ROW('CASE MASTER'!#REF!)-1))),IF(SUMPRODUCT((('CASE MASTER'!$T$2:$T$495=6)*('CASE MASTER'!$AA$2:$AA$495&lt;=10)*('CASE MASTER'!$AC$2:$AC$495&gt;=10)*('CASE MASTER'!$AB$2:$AB$495&lt;=6)*('CASE MASTER'!$AD$2:$AD$495&gt;=6))*ROW('CASE MASTER'!$T$2:$T$495))&gt;0,INDEX('CASE MASTER'!$Y$2:$Y$495,(SUMPRODUCT((('CASE MASTER'!$T$2:$T$495=6)*('CASE MASTER'!$AA$2:$AA$495&lt;=10)*('CASE MASTER'!$AC$2:$AC$495&gt;=10)*('CASE MASTER'!$AB$2:$AB$495&lt;=6)*('CASE MASTER'!$AD$2:$AD$495&gt;=6))*ROW('CASE MASTER'!$T$2:$T$495))-(ROW('CASE MASTER'!#REF!)-1)))&amp;TRIM(MID(SUBSTITUTE(SUBSTITUTE(INDEX('CASE MASTER'!$N$2:$N$495,(SUMPRODUCT((('CASE MASTER'!$T$2:$T$495=6)*('CASE MASTER'!$AA$2:$AA$495&lt;=10)*('CASE MASTER'!$AC$2:$AC$495&gt;=10)*('CASE MASTER'!$AB$2:$AB$495&lt;=6)*('CASE MASTER'!$AD$2:$AD$495&gt;=6))*ROW('CASE MASTER'!$T$2:$T$495))-(ROW('CASE MASTER'!#REF!)-1))),":",","),",",REPT(" ",50)),(((INDEX('CASE MASTER'!$Z$2:$Z$495,(SUMPRODUCT((('CASE MASTER'!$T$2:$T$495=6)*('CASE MASTER'!$AA$2:$AA$495&lt;=10)*('CASE MASTER'!$AC$2:$AC$495&gt;=10)*('CASE MASTER'!$AB$2:$AB$495&lt;=6)*('CASE MASTER'!$AD$2:$AD$495&gt;=6))*ROW('CASE MASTER'!$T$2:$T$495))-(ROW('CASE MASTER'!#REF!)-1)))+((10-INDEX('CASE MASTER'!$AA$2:$AA$495,(SUMPRODUCT((('CASE MASTER'!$T$2:$T$495=6)*('CASE MASTER'!$AA$2:$AA$495&lt;=10)*('CASE MASTER'!$AC$2:$AC$495&gt;=10)*('CASE MASTER'!$AB$2:$AB$495&lt;=6)*('CASE MASTER'!$AD$2:$AD$495&gt;=6))*ROW('CASE MASTER'!$T$2:$T$495))-(ROW('CASE MASTER'!#REF!)-1))))*(INDEX('CASE MASTER'!$AD$2:$AD$495,(SUMPRODUCT((('CASE MASTER'!$T$2:$T$495=6)*('CASE MASTER'!$AA$2:$AA$495&lt;=10)*('CASE MASTER'!$AC$2:$AC$495&gt;=10)*('CASE MASTER'!$AB$2:$AB$495&lt;=6)*('CASE MASTER'!$AD$2:$AD$495&gt;=6))*ROW('CASE MASTER'!$T$2:$T$495))-(ROW('CASE MASTER'!#REF!)-1)))-INDEX('CASE MASTER'!$AB$2:$AB$495,(SUMPRODUCT((('CASE MASTER'!$T$2:$T$495=6)*('CASE MASTER'!$AA$2:$AA$495&lt;=10)*('CASE MASTER'!$AC$2:$AC$495&gt;=10)*('CASE MASTER'!$AB$2:$AB$495&lt;=6)*('CASE MASTER'!$AD$2:$AD$495&gt;=6))*ROW('CASE MASTER'!$T$2:$T$495))-(ROW('CASE MASTER'!#REF!)-1)))+1)+(6-INDEX('CASE MASTER'!$AB$2:$AB$495,(SUMPRODUCT((('CASE MASTER'!$T$2:$T$495=6)*('CASE MASTER'!$AA$2:$AA$495&lt;=10)*('CASE MASTER'!$AC$2:$AC$495&gt;=10)*('CASE MASTER'!$AB$2:$AB$495&lt;=6)*('CASE MASTER'!$AD$2:$AD$495&gt;=6))*ROW('CASE MASTER'!$T$2:$T$495))-(ROW('CASE MASTER'!#REF!)-1))))+1)))-1)*50+1,50))&amp;"_"&amp;INDEX('CASE MASTER'!$Q$2:$Q$495,(SUMPRODUCT((('CASE MASTER'!$T$2:$T$495=6)*('CASE MASTER'!$AA$2:$AA$495&lt;=10)*('CASE MASTER'!$AC$2:$AC$495&gt;=10)*('CASE MASTER'!$AB$2:$AB$495&lt;=6)*('CASE MASTER'!$AD$2:$AD$495&gt;=6))*ROW('CASE MASTER'!$T$2:$T$495))-(ROW('CASE MASTER'!#REF!)-1))),"")),"")</f>
        <v/>
      </c>
      <c r="H82" s="10" t="str">
        <f>IFERROR(IF(SUMPRODUCT((('CASE MASTER'!$T$2:$T$495=6)*('CASE MASTER'!$U$2:$U$495&lt;=10)*('CASE MASTER'!$W$2:$W$495&gt;=10)*('CASE MASTER'!$V$2:$V$495&lt;=7)*('CASE MASTER'!$X$2:$X$495&gt;=7))*ROW('CASE MASTER'!$T$2:$T$495))&gt;0,INDEX('CASE MASTER'!$Y$2:$Y$495,(SUMPRODUCT((('CASE MASTER'!$T$2:$T$495=6)*('CASE MASTER'!$U$2:$U$495&lt;=10)*('CASE MASTER'!$W$2:$W$495&gt;=10)*('CASE MASTER'!$V$2:$V$495&lt;=7)*('CASE MASTER'!$X$2:$X$495&gt;=7))*ROW('CASE MASTER'!$T$2:$T$495))-(ROW('CASE MASTER'!#REF!)-1)))&amp;TRIM(MID(SUBSTITUTE(SUBSTITUTE(INDEX('CASE MASTER'!$N$2:$N$495,(SUMPRODUCT((('CASE MASTER'!$T$2:$T$495=6)*('CASE MASTER'!$U$2:$U$495&lt;=10)*('CASE MASTER'!$W$2:$W$495&gt;=10)*('CASE MASTER'!$V$2:$V$495&lt;=7)*('CASE MASTER'!$X$2:$X$495&gt;=7))*ROW('CASE MASTER'!$T$2:$T$495))-(ROW('CASE MASTER'!#REF!)-1))),":",","),",",REPT(" ",50)),((((10-INDEX('CASE MASTER'!$U$2:$U$495,(SUMPRODUCT((('CASE MASTER'!$T$2:$T$495=6)*('CASE MASTER'!$U$2:$U$495&lt;=10)*('CASE MASTER'!$W$2:$W$495&gt;=10)*('CASE MASTER'!$V$2:$V$495&lt;=7)*('CASE MASTER'!$X$2:$X$495&gt;=7))*ROW('CASE MASTER'!$T$2:$T$495))-(ROW('CASE MASTER'!#REF!)-1))))*(INDEX('CASE MASTER'!$X$2:$X$495,(SUMPRODUCT((('CASE MASTER'!$T$2:$T$495=6)*('CASE MASTER'!$U$2:$U$495&lt;=10)*('CASE MASTER'!$W$2:$W$495&gt;=10)*('CASE MASTER'!$V$2:$V$495&lt;=7)*('CASE MASTER'!$X$2:$X$495&gt;=7))*ROW('CASE MASTER'!$T$2:$T$495))-(ROW('CASE MASTER'!#REF!)-1)))-INDEX('CASE MASTER'!$V$2:$V$495,(SUMPRODUCT((('CASE MASTER'!$T$2:$T$495=6)*('CASE MASTER'!$U$2:$U$495&lt;=10)*('CASE MASTER'!$W$2:$W$495&gt;=10)*('CASE MASTER'!$V$2:$V$495&lt;=7)*('CASE MASTER'!$X$2:$X$495&gt;=7))*ROW('CASE MASTER'!$T$2:$T$495))-(ROW('CASE MASTER'!#REF!)-1)))+1)+(7-INDEX('CASE MASTER'!$V$2:$V$495,(SUMPRODUCT((('CASE MASTER'!$T$2:$T$495=6)*('CASE MASTER'!$U$2:$U$495&lt;=10)*('CASE MASTER'!$W$2:$W$495&gt;=10)*('CASE MASTER'!$V$2:$V$495&lt;=7)*('CASE MASTER'!$X$2:$X$495&gt;=7))*ROW('CASE MASTER'!$T$2:$T$495))-(ROW('CASE MASTER'!#REF!)-1))))+1))-1)*50+1,50))&amp;"_"&amp;INDEX('CASE MASTER'!$Q$2:$Q$495,(SUMPRODUCT((('CASE MASTER'!$T$2:$T$495=6)*('CASE MASTER'!$U$2:$U$495&lt;=10)*('CASE MASTER'!$W$2:$W$495&gt;=10)*('CASE MASTER'!$V$2:$V$495&lt;=7)*('CASE MASTER'!$X$2:$X$495&gt;=7))*ROW('CASE MASTER'!$T$2:$T$495))-(ROW('CASE MASTER'!#REF!)-1))),IF(SUMPRODUCT((('CASE MASTER'!$T$2:$T$495=6)*('CASE MASTER'!$AA$2:$AA$495&lt;=10)*('CASE MASTER'!$AC$2:$AC$495&gt;=10)*('CASE MASTER'!$AB$2:$AB$495&lt;=7)*('CASE MASTER'!$AD$2:$AD$495&gt;=7))*ROW('CASE MASTER'!$T$2:$T$495))&gt;0,INDEX('CASE MASTER'!$Y$2:$Y$495,(SUMPRODUCT((('CASE MASTER'!$T$2:$T$495=6)*('CASE MASTER'!$AA$2:$AA$495&lt;=10)*('CASE MASTER'!$AC$2:$AC$495&gt;=10)*('CASE MASTER'!$AB$2:$AB$495&lt;=7)*('CASE MASTER'!$AD$2:$AD$495&gt;=7))*ROW('CASE MASTER'!$T$2:$T$495))-(ROW('CASE MASTER'!#REF!)-1)))&amp;TRIM(MID(SUBSTITUTE(SUBSTITUTE(INDEX('CASE MASTER'!$N$2:$N$495,(SUMPRODUCT((('CASE MASTER'!$T$2:$T$495=6)*('CASE MASTER'!$AA$2:$AA$495&lt;=10)*('CASE MASTER'!$AC$2:$AC$495&gt;=10)*('CASE MASTER'!$AB$2:$AB$495&lt;=7)*('CASE MASTER'!$AD$2:$AD$495&gt;=7))*ROW('CASE MASTER'!$T$2:$T$495))-(ROW('CASE MASTER'!#REF!)-1))),":",","),",",REPT(" ",50)),(((INDEX('CASE MASTER'!$Z$2:$Z$495,(SUMPRODUCT((('CASE MASTER'!$T$2:$T$495=6)*('CASE MASTER'!$AA$2:$AA$495&lt;=10)*('CASE MASTER'!$AC$2:$AC$495&gt;=10)*('CASE MASTER'!$AB$2:$AB$495&lt;=7)*('CASE MASTER'!$AD$2:$AD$495&gt;=7))*ROW('CASE MASTER'!$T$2:$T$495))-(ROW('CASE MASTER'!#REF!)-1)))+((10-INDEX('CASE MASTER'!$AA$2:$AA$495,(SUMPRODUCT((('CASE MASTER'!$T$2:$T$495=6)*('CASE MASTER'!$AA$2:$AA$495&lt;=10)*('CASE MASTER'!$AC$2:$AC$495&gt;=10)*('CASE MASTER'!$AB$2:$AB$495&lt;=7)*('CASE MASTER'!$AD$2:$AD$495&gt;=7))*ROW('CASE MASTER'!$T$2:$T$495))-(ROW('CASE MASTER'!#REF!)-1))))*(INDEX('CASE MASTER'!$AD$2:$AD$495,(SUMPRODUCT((('CASE MASTER'!$T$2:$T$495=6)*('CASE MASTER'!$AA$2:$AA$495&lt;=10)*('CASE MASTER'!$AC$2:$AC$495&gt;=10)*('CASE MASTER'!$AB$2:$AB$495&lt;=7)*('CASE MASTER'!$AD$2:$AD$495&gt;=7))*ROW('CASE MASTER'!$T$2:$T$495))-(ROW('CASE MASTER'!#REF!)-1)))-INDEX('CASE MASTER'!$AB$2:$AB$495,(SUMPRODUCT((('CASE MASTER'!$T$2:$T$495=6)*('CASE MASTER'!$AA$2:$AA$495&lt;=10)*('CASE MASTER'!$AC$2:$AC$495&gt;=10)*('CASE MASTER'!$AB$2:$AB$495&lt;=7)*('CASE MASTER'!$AD$2:$AD$495&gt;=7))*ROW('CASE MASTER'!$T$2:$T$495))-(ROW('CASE MASTER'!#REF!)-1)))+1)+(7-INDEX('CASE MASTER'!$AB$2:$AB$495,(SUMPRODUCT((('CASE MASTER'!$T$2:$T$495=6)*('CASE MASTER'!$AA$2:$AA$495&lt;=10)*('CASE MASTER'!$AC$2:$AC$495&gt;=10)*('CASE MASTER'!$AB$2:$AB$495&lt;=7)*('CASE MASTER'!$AD$2:$AD$495&gt;=7))*ROW('CASE MASTER'!$T$2:$T$495))-(ROW('CASE MASTER'!#REF!)-1))))+1)))-1)*50+1,50))&amp;"_"&amp;INDEX('CASE MASTER'!$Q$2:$Q$495,(SUMPRODUCT((('CASE MASTER'!$T$2:$T$495=6)*('CASE MASTER'!$AA$2:$AA$495&lt;=10)*('CASE MASTER'!$AC$2:$AC$495&gt;=10)*('CASE MASTER'!$AB$2:$AB$495&lt;=7)*('CASE MASTER'!$AD$2:$AD$495&gt;=7))*ROW('CASE MASTER'!$T$2:$T$495))-(ROW('CASE MASTER'!#REF!)-1))),"")),"")</f>
        <v/>
      </c>
      <c r="I82" s="10" t="str">
        <f>IFERROR(IF(SUMPRODUCT((('CASE MASTER'!$T$2:$T$495=6)*('CASE MASTER'!$U$2:$U$495&lt;=10)*('CASE MASTER'!$W$2:$W$495&gt;=10)*('CASE MASTER'!$V$2:$V$495&lt;=8)*('CASE MASTER'!$X$2:$X$495&gt;=8))*ROW('CASE MASTER'!$T$2:$T$495))&gt;0,INDEX('CASE MASTER'!$Y$2:$Y$495,(SUMPRODUCT((('CASE MASTER'!$T$2:$T$495=6)*('CASE MASTER'!$U$2:$U$495&lt;=10)*('CASE MASTER'!$W$2:$W$495&gt;=10)*('CASE MASTER'!$V$2:$V$495&lt;=8)*('CASE MASTER'!$X$2:$X$495&gt;=8))*ROW('CASE MASTER'!$T$2:$T$495))-(ROW('CASE MASTER'!#REF!)-1)))&amp;TRIM(MID(SUBSTITUTE(SUBSTITUTE(INDEX('CASE MASTER'!$N$2:$N$495,(SUMPRODUCT((('CASE MASTER'!$T$2:$T$495=6)*('CASE MASTER'!$U$2:$U$495&lt;=10)*('CASE MASTER'!$W$2:$W$495&gt;=10)*('CASE MASTER'!$V$2:$V$495&lt;=8)*('CASE MASTER'!$X$2:$X$495&gt;=8))*ROW('CASE MASTER'!$T$2:$T$495))-(ROW('CASE MASTER'!#REF!)-1))),":",","),",",REPT(" ",50)),((((10-INDEX('CASE MASTER'!$U$2:$U$495,(SUMPRODUCT((('CASE MASTER'!$T$2:$T$495=6)*('CASE MASTER'!$U$2:$U$495&lt;=10)*('CASE MASTER'!$W$2:$W$495&gt;=10)*('CASE MASTER'!$V$2:$V$495&lt;=8)*('CASE MASTER'!$X$2:$X$495&gt;=8))*ROW('CASE MASTER'!$T$2:$T$495))-(ROW('CASE MASTER'!#REF!)-1))))*(INDEX('CASE MASTER'!$X$2:$X$495,(SUMPRODUCT((('CASE MASTER'!$T$2:$T$495=6)*('CASE MASTER'!$U$2:$U$495&lt;=10)*('CASE MASTER'!$W$2:$W$495&gt;=10)*('CASE MASTER'!$V$2:$V$495&lt;=8)*('CASE MASTER'!$X$2:$X$495&gt;=8))*ROW('CASE MASTER'!$T$2:$T$495))-(ROW('CASE MASTER'!#REF!)-1)))-INDEX('CASE MASTER'!$V$2:$V$495,(SUMPRODUCT((('CASE MASTER'!$T$2:$T$495=6)*('CASE MASTER'!$U$2:$U$495&lt;=10)*('CASE MASTER'!$W$2:$W$495&gt;=10)*('CASE MASTER'!$V$2:$V$495&lt;=8)*('CASE MASTER'!$X$2:$X$495&gt;=8))*ROW('CASE MASTER'!$T$2:$T$495))-(ROW('CASE MASTER'!#REF!)-1)))+1)+(8-INDEX('CASE MASTER'!$V$2:$V$495,(SUMPRODUCT((('CASE MASTER'!$T$2:$T$495=6)*('CASE MASTER'!$U$2:$U$495&lt;=10)*('CASE MASTER'!$W$2:$W$495&gt;=10)*('CASE MASTER'!$V$2:$V$495&lt;=8)*('CASE MASTER'!$X$2:$X$495&gt;=8))*ROW('CASE MASTER'!$T$2:$T$495))-(ROW('CASE MASTER'!#REF!)-1))))+1))-1)*50+1,50))&amp;"_"&amp;INDEX('CASE MASTER'!$Q$2:$Q$495,(SUMPRODUCT((('CASE MASTER'!$T$2:$T$495=6)*('CASE MASTER'!$U$2:$U$495&lt;=10)*('CASE MASTER'!$W$2:$W$495&gt;=10)*('CASE MASTER'!$V$2:$V$495&lt;=8)*('CASE MASTER'!$X$2:$X$495&gt;=8))*ROW('CASE MASTER'!$T$2:$T$495))-(ROW('CASE MASTER'!#REF!)-1))),IF(SUMPRODUCT((('CASE MASTER'!$T$2:$T$495=6)*('CASE MASTER'!$AA$2:$AA$495&lt;=10)*('CASE MASTER'!$AC$2:$AC$495&gt;=10)*('CASE MASTER'!$AB$2:$AB$495&lt;=8)*('CASE MASTER'!$AD$2:$AD$495&gt;=8))*ROW('CASE MASTER'!$T$2:$T$495))&gt;0,INDEX('CASE MASTER'!$Y$2:$Y$495,(SUMPRODUCT((('CASE MASTER'!$T$2:$T$495=6)*('CASE MASTER'!$AA$2:$AA$495&lt;=10)*('CASE MASTER'!$AC$2:$AC$495&gt;=10)*('CASE MASTER'!$AB$2:$AB$495&lt;=8)*('CASE MASTER'!$AD$2:$AD$495&gt;=8))*ROW('CASE MASTER'!$T$2:$T$495))-(ROW('CASE MASTER'!#REF!)-1)))&amp;TRIM(MID(SUBSTITUTE(SUBSTITUTE(INDEX('CASE MASTER'!$N$2:$N$495,(SUMPRODUCT((('CASE MASTER'!$T$2:$T$495=6)*('CASE MASTER'!$AA$2:$AA$495&lt;=10)*('CASE MASTER'!$AC$2:$AC$495&gt;=10)*('CASE MASTER'!$AB$2:$AB$495&lt;=8)*('CASE MASTER'!$AD$2:$AD$495&gt;=8))*ROW('CASE MASTER'!$T$2:$T$495))-(ROW('CASE MASTER'!#REF!)-1))),":",","),",",REPT(" ",50)),(((INDEX('CASE MASTER'!$Z$2:$Z$495,(SUMPRODUCT((('CASE MASTER'!$T$2:$T$495=6)*('CASE MASTER'!$AA$2:$AA$495&lt;=10)*('CASE MASTER'!$AC$2:$AC$495&gt;=10)*('CASE MASTER'!$AB$2:$AB$495&lt;=8)*('CASE MASTER'!$AD$2:$AD$495&gt;=8))*ROW('CASE MASTER'!$T$2:$T$495))-(ROW('CASE MASTER'!#REF!)-1)))+((10-INDEX('CASE MASTER'!$AA$2:$AA$495,(SUMPRODUCT((('CASE MASTER'!$T$2:$T$495=6)*('CASE MASTER'!$AA$2:$AA$495&lt;=10)*('CASE MASTER'!$AC$2:$AC$495&gt;=10)*('CASE MASTER'!$AB$2:$AB$495&lt;=8)*('CASE MASTER'!$AD$2:$AD$495&gt;=8))*ROW('CASE MASTER'!$T$2:$T$495))-(ROW('CASE MASTER'!#REF!)-1))))*(INDEX('CASE MASTER'!$AD$2:$AD$495,(SUMPRODUCT((('CASE MASTER'!$T$2:$T$495=6)*('CASE MASTER'!$AA$2:$AA$495&lt;=10)*('CASE MASTER'!$AC$2:$AC$495&gt;=10)*('CASE MASTER'!$AB$2:$AB$495&lt;=8)*('CASE MASTER'!$AD$2:$AD$495&gt;=8))*ROW('CASE MASTER'!$T$2:$T$495))-(ROW('CASE MASTER'!#REF!)-1)))-INDEX('CASE MASTER'!$AB$2:$AB$495,(SUMPRODUCT((('CASE MASTER'!$T$2:$T$495=6)*('CASE MASTER'!$AA$2:$AA$495&lt;=10)*('CASE MASTER'!$AC$2:$AC$495&gt;=10)*('CASE MASTER'!$AB$2:$AB$495&lt;=8)*('CASE MASTER'!$AD$2:$AD$495&gt;=8))*ROW('CASE MASTER'!$T$2:$T$495))-(ROW('CASE MASTER'!#REF!)-1)))+1)+(8-INDEX('CASE MASTER'!$AB$2:$AB$495,(SUMPRODUCT((('CASE MASTER'!$T$2:$T$495=6)*('CASE MASTER'!$AA$2:$AA$495&lt;=10)*('CASE MASTER'!$AC$2:$AC$495&gt;=10)*('CASE MASTER'!$AB$2:$AB$495&lt;=8)*('CASE MASTER'!$AD$2:$AD$495&gt;=8))*ROW('CASE MASTER'!$T$2:$T$495))-(ROW('CASE MASTER'!#REF!)-1))))+1)))-1)*50+1,50))&amp;"_"&amp;INDEX('CASE MASTER'!$Q$2:$Q$495,(SUMPRODUCT((('CASE MASTER'!$T$2:$T$495=6)*('CASE MASTER'!$AA$2:$AA$495&lt;=10)*('CASE MASTER'!$AC$2:$AC$495&gt;=10)*('CASE MASTER'!$AB$2:$AB$495&lt;=8)*('CASE MASTER'!$AD$2:$AD$495&gt;=8))*ROW('CASE MASTER'!$T$2:$T$495))-(ROW('CASE MASTER'!#REF!)-1))),"")),"")</f>
        <v/>
      </c>
      <c r="J82" s="10" t="str">
        <f>IFERROR(IF(SUMPRODUCT((('CASE MASTER'!$T$2:$T$495=6)*('CASE MASTER'!$U$2:$U$495&lt;=10)*('CASE MASTER'!$W$2:$W$495&gt;=10)*('CASE MASTER'!$V$2:$V$495&lt;=9)*('CASE MASTER'!$X$2:$X$495&gt;=9))*ROW('CASE MASTER'!$T$2:$T$495))&gt;0,INDEX('CASE MASTER'!$Y$2:$Y$495,(SUMPRODUCT((('CASE MASTER'!$T$2:$T$495=6)*('CASE MASTER'!$U$2:$U$495&lt;=10)*('CASE MASTER'!$W$2:$W$495&gt;=10)*('CASE MASTER'!$V$2:$V$495&lt;=9)*('CASE MASTER'!$X$2:$X$495&gt;=9))*ROW('CASE MASTER'!$T$2:$T$495))-(ROW('CASE MASTER'!#REF!)-1)))&amp;TRIM(MID(SUBSTITUTE(SUBSTITUTE(INDEX('CASE MASTER'!$N$2:$N$495,(SUMPRODUCT((('CASE MASTER'!$T$2:$T$495=6)*('CASE MASTER'!$U$2:$U$495&lt;=10)*('CASE MASTER'!$W$2:$W$495&gt;=10)*('CASE MASTER'!$V$2:$V$495&lt;=9)*('CASE MASTER'!$X$2:$X$495&gt;=9))*ROW('CASE MASTER'!$T$2:$T$495))-(ROW('CASE MASTER'!#REF!)-1))),":",","),",",REPT(" ",50)),((((10-INDEX('CASE MASTER'!$U$2:$U$495,(SUMPRODUCT((('CASE MASTER'!$T$2:$T$495=6)*('CASE MASTER'!$U$2:$U$495&lt;=10)*('CASE MASTER'!$W$2:$W$495&gt;=10)*('CASE MASTER'!$V$2:$V$495&lt;=9)*('CASE MASTER'!$X$2:$X$495&gt;=9))*ROW('CASE MASTER'!$T$2:$T$495))-(ROW('CASE MASTER'!#REF!)-1))))*(INDEX('CASE MASTER'!$X$2:$X$495,(SUMPRODUCT((('CASE MASTER'!$T$2:$T$495=6)*('CASE MASTER'!$U$2:$U$495&lt;=10)*('CASE MASTER'!$W$2:$W$495&gt;=10)*('CASE MASTER'!$V$2:$V$495&lt;=9)*('CASE MASTER'!$X$2:$X$495&gt;=9))*ROW('CASE MASTER'!$T$2:$T$495))-(ROW('CASE MASTER'!#REF!)-1)))-INDEX('CASE MASTER'!$V$2:$V$495,(SUMPRODUCT((('CASE MASTER'!$T$2:$T$495=6)*('CASE MASTER'!$U$2:$U$495&lt;=10)*('CASE MASTER'!$W$2:$W$495&gt;=10)*('CASE MASTER'!$V$2:$V$495&lt;=9)*('CASE MASTER'!$X$2:$X$495&gt;=9))*ROW('CASE MASTER'!$T$2:$T$495))-(ROW('CASE MASTER'!#REF!)-1)))+1)+(9-INDEX('CASE MASTER'!$V$2:$V$495,(SUMPRODUCT((('CASE MASTER'!$T$2:$T$495=6)*('CASE MASTER'!$U$2:$U$495&lt;=10)*('CASE MASTER'!$W$2:$W$495&gt;=10)*('CASE MASTER'!$V$2:$V$495&lt;=9)*('CASE MASTER'!$X$2:$X$495&gt;=9))*ROW('CASE MASTER'!$T$2:$T$495))-(ROW('CASE MASTER'!#REF!)-1))))+1))-1)*50+1,50))&amp;"_"&amp;INDEX('CASE MASTER'!$Q$2:$Q$495,(SUMPRODUCT((('CASE MASTER'!$T$2:$T$495=6)*('CASE MASTER'!$U$2:$U$495&lt;=10)*('CASE MASTER'!$W$2:$W$495&gt;=10)*('CASE MASTER'!$V$2:$V$495&lt;=9)*('CASE MASTER'!$X$2:$X$495&gt;=9))*ROW('CASE MASTER'!$T$2:$T$495))-(ROW('CASE MASTER'!#REF!)-1))),IF(SUMPRODUCT((('CASE MASTER'!$T$2:$T$495=6)*('CASE MASTER'!$AA$2:$AA$495&lt;=10)*('CASE MASTER'!$AC$2:$AC$495&gt;=10)*('CASE MASTER'!$AB$2:$AB$495&lt;=9)*('CASE MASTER'!$AD$2:$AD$495&gt;=9))*ROW('CASE MASTER'!$T$2:$T$495))&gt;0,INDEX('CASE MASTER'!$Y$2:$Y$495,(SUMPRODUCT((('CASE MASTER'!$T$2:$T$495=6)*('CASE MASTER'!$AA$2:$AA$495&lt;=10)*('CASE MASTER'!$AC$2:$AC$495&gt;=10)*('CASE MASTER'!$AB$2:$AB$495&lt;=9)*('CASE MASTER'!$AD$2:$AD$495&gt;=9))*ROW('CASE MASTER'!$T$2:$T$495))-(ROW('CASE MASTER'!#REF!)-1)))&amp;TRIM(MID(SUBSTITUTE(SUBSTITUTE(INDEX('CASE MASTER'!$N$2:$N$495,(SUMPRODUCT((('CASE MASTER'!$T$2:$T$495=6)*('CASE MASTER'!$AA$2:$AA$495&lt;=10)*('CASE MASTER'!$AC$2:$AC$495&gt;=10)*('CASE MASTER'!$AB$2:$AB$495&lt;=9)*('CASE MASTER'!$AD$2:$AD$495&gt;=9))*ROW('CASE MASTER'!$T$2:$T$495))-(ROW('CASE MASTER'!#REF!)-1))),":",","),",",REPT(" ",50)),(((INDEX('CASE MASTER'!$Z$2:$Z$495,(SUMPRODUCT((('CASE MASTER'!$T$2:$T$495=6)*('CASE MASTER'!$AA$2:$AA$495&lt;=10)*('CASE MASTER'!$AC$2:$AC$495&gt;=10)*('CASE MASTER'!$AB$2:$AB$495&lt;=9)*('CASE MASTER'!$AD$2:$AD$495&gt;=9))*ROW('CASE MASTER'!$T$2:$T$495))-(ROW('CASE MASTER'!#REF!)-1)))+((10-INDEX('CASE MASTER'!$AA$2:$AA$495,(SUMPRODUCT((('CASE MASTER'!$T$2:$T$495=6)*('CASE MASTER'!$AA$2:$AA$495&lt;=10)*('CASE MASTER'!$AC$2:$AC$495&gt;=10)*('CASE MASTER'!$AB$2:$AB$495&lt;=9)*('CASE MASTER'!$AD$2:$AD$495&gt;=9))*ROW('CASE MASTER'!$T$2:$T$495))-(ROW('CASE MASTER'!#REF!)-1))))*(INDEX('CASE MASTER'!$AD$2:$AD$495,(SUMPRODUCT((('CASE MASTER'!$T$2:$T$495=6)*('CASE MASTER'!$AA$2:$AA$495&lt;=10)*('CASE MASTER'!$AC$2:$AC$495&gt;=10)*('CASE MASTER'!$AB$2:$AB$495&lt;=9)*('CASE MASTER'!$AD$2:$AD$495&gt;=9))*ROW('CASE MASTER'!$T$2:$T$495))-(ROW('CASE MASTER'!#REF!)-1)))-INDEX('CASE MASTER'!$AB$2:$AB$495,(SUMPRODUCT((('CASE MASTER'!$T$2:$T$495=6)*('CASE MASTER'!$AA$2:$AA$495&lt;=10)*('CASE MASTER'!$AC$2:$AC$495&gt;=10)*('CASE MASTER'!$AB$2:$AB$495&lt;=9)*('CASE MASTER'!$AD$2:$AD$495&gt;=9))*ROW('CASE MASTER'!$T$2:$T$495))-(ROW('CASE MASTER'!#REF!)-1)))+1)+(9-INDEX('CASE MASTER'!$AB$2:$AB$495,(SUMPRODUCT((('CASE MASTER'!$T$2:$T$495=6)*('CASE MASTER'!$AA$2:$AA$495&lt;=10)*('CASE MASTER'!$AC$2:$AC$495&gt;=10)*('CASE MASTER'!$AB$2:$AB$495&lt;=9)*('CASE MASTER'!$AD$2:$AD$495&gt;=9))*ROW('CASE MASTER'!$T$2:$T$495))-(ROW('CASE MASTER'!#REF!)-1))))+1)))-1)*50+1,50))&amp;"_"&amp;INDEX('CASE MASTER'!$Q$2:$Q$495,(SUMPRODUCT((('CASE MASTER'!$T$2:$T$495=6)*('CASE MASTER'!$AA$2:$AA$495&lt;=10)*('CASE MASTER'!$AC$2:$AC$495&gt;=10)*('CASE MASTER'!$AB$2:$AB$495&lt;=9)*('CASE MASTER'!$AD$2:$AD$495&gt;=9))*ROW('CASE MASTER'!$T$2:$T$495))-(ROW('CASE MASTER'!#REF!)-1))),"")),"")</f>
        <v/>
      </c>
      <c r="K82" s="10" t="str">
        <f>IFERROR(IF(SUMPRODUCT((('CASE MASTER'!$T$2:$T$495=6)*('CASE MASTER'!$U$2:$U$495&lt;=10)*('CASE MASTER'!$W$2:$W$495&gt;=10)*('CASE MASTER'!$V$2:$V$495&lt;=10)*('CASE MASTER'!$X$2:$X$495&gt;=10))*ROW('CASE MASTER'!$T$2:$T$495))&gt;0,INDEX('CASE MASTER'!$Y$2:$Y$495,(SUMPRODUCT((('CASE MASTER'!$T$2:$T$495=6)*('CASE MASTER'!$U$2:$U$495&lt;=10)*('CASE MASTER'!$W$2:$W$495&gt;=10)*('CASE MASTER'!$V$2:$V$495&lt;=10)*('CASE MASTER'!$X$2:$X$495&gt;=10))*ROW('CASE MASTER'!$T$2:$T$495))-(ROW('CASE MASTER'!#REF!)-1)))&amp;TRIM(MID(SUBSTITUTE(SUBSTITUTE(INDEX('CASE MASTER'!$N$2:$N$495,(SUMPRODUCT((('CASE MASTER'!$T$2:$T$495=6)*('CASE MASTER'!$U$2:$U$495&lt;=10)*('CASE MASTER'!$W$2:$W$495&gt;=10)*('CASE MASTER'!$V$2:$V$495&lt;=10)*('CASE MASTER'!$X$2:$X$495&gt;=10))*ROW('CASE MASTER'!$T$2:$T$495))-(ROW('CASE MASTER'!#REF!)-1))),":",","),",",REPT(" ",50)),((((10-INDEX('CASE MASTER'!$U$2:$U$495,(SUMPRODUCT((('CASE MASTER'!$T$2:$T$495=6)*('CASE MASTER'!$U$2:$U$495&lt;=10)*('CASE MASTER'!$W$2:$W$495&gt;=10)*('CASE MASTER'!$V$2:$V$495&lt;=10)*('CASE MASTER'!$X$2:$X$495&gt;=10))*ROW('CASE MASTER'!$T$2:$T$495))-(ROW('CASE MASTER'!#REF!)-1))))*(INDEX('CASE MASTER'!$X$2:$X$495,(SUMPRODUCT((('CASE MASTER'!$T$2:$T$495=6)*('CASE MASTER'!$U$2:$U$495&lt;=10)*('CASE MASTER'!$W$2:$W$495&gt;=10)*('CASE MASTER'!$V$2:$V$495&lt;=10)*('CASE MASTER'!$X$2:$X$495&gt;=10))*ROW('CASE MASTER'!$T$2:$T$495))-(ROW('CASE MASTER'!#REF!)-1)))-INDEX('CASE MASTER'!$V$2:$V$495,(SUMPRODUCT((('CASE MASTER'!$T$2:$T$495=6)*('CASE MASTER'!$U$2:$U$495&lt;=10)*('CASE MASTER'!$W$2:$W$495&gt;=10)*('CASE MASTER'!$V$2:$V$495&lt;=10)*('CASE MASTER'!$X$2:$X$495&gt;=10))*ROW('CASE MASTER'!$T$2:$T$495))-(ROW('CASE MASTER'!#REF!)-1)))+1)+(10-INDEX('CASE MASTER'!$V$2:$V$495,(SUMPRODUCT((('CASE MASTER'!$T$2:$T$495=6)*('CASE MASTER'!$U$2:$U$495&lt;=10)*('CASE MASTER'!$W$2:$W$495&gt;=10)*('CASE MASTER'!$V$2:$V$495&lt;=10)*('CASE MASTER'!$X$2:$X$495&gt;=10))*ROW('CASE MASTER'!$T$2:$T$495))-(ROW('CASE MASTER'!#REF!)-1))))+1))-1)*50+1,50))&amp;"_"&amp;INDEX('CASE MASTER'!$Q$2:$Q$495,(SUMPRODUCT((('CASE MASTER'!$T$2:$T$495=6)*('CASE MASTER'!$U$2:$U$495&lt;=10)*('CASE MASTER'!$W$2:$W$495&gt;=10)*('CASE MASTER'!$V$2:$V$495&lt;=10)*('CASE MASTER'!$X$2:$X$495&gt;=10))*ROW('CASE MASTER'!$T$2:$T$495))-(ROW('CASE MASTER'!#REF!)-1))),IF(SUMPRODUCT((('CASE MASTER'!$T$2:$T$495=6)*('CASE MASTER'!$AA$2:$AA$495&lt;=10)*('CASE MASTER'!$AC$2:$AC$495&gt;=10)*('CASE MASTER'!$AB$2:$AB$495&lt;=10)*('CASE MASTER'!$AD$2:$AD$495&gt;=10))*ROW('CASE MASTER'!$T$2:$T$495))&gt;0,INDEX('CASE MASTER'!$Y$2:$Y$495,(SUMPRODUCT((('CASE MASTER'!$T$2:$T$495=6)*('CASE MASTER'!$AA$2:$AA$495&lt;=10)*('CASE MASTER'!$AC$2:$AC$495&gt;=10)*('CASE MASTER'!$AB$2:$AB$495&lt;=10)*('CASE MASTER'!$AD$2:$AD$495&gt;=10))*ROW('CASE MASTER'!$T$2:$T$495))-(ROW('CASE MASTER'!#REF!)-1)))&amp;TRIM(MID(SUBSTITUTE(SUBSTITUTE(INDEX('CASE MASTER'!$N$2:$N$495,(SUMPRODUCT((('CASE MASTER'!$T$2:$T$495=6)*('CASE MASTER'!$AA$2:$AA$495&lt;=10)*('CASE MASTER'!$AC$2:$AC$495&gt;=10)*('CASE MASTER'!$AB$2:$AB$495&lt;=10)*('CASE MASTER'!$AD$2:$AD$495&gt;=10))*ROW('CASE MASTER'!$T$2:$T$495))-(ROW('CASE MASTER'!#REF!)-1))),":",","),",",REPT(" ",50)),(((INDEX('CASE MASTER'!$Z$2:$Z$495,(SUMPRODUCT((('CASE MASTER'!$T$2:$T$495=6)*('CASE MASTER'!$AA$2:$AA$495&lt;=10)*('CASE MASTER'!$AC$2:$AC$495&gt;=10)*('CASE MASTER'!$AB$2:$AB$495&lt;=10)*('CASE MASTER'!$AD$2:$AD$495&gt;=10))*ROW('CASE MASTER'!$T$2:$T$495))-(ROW('CASE MASTER'!#REF!)-1)))+((10-INDEX('CASE MASTER'!$AA$2:$AA$495,(SUMPRODUCT((('CASE MASTER'!$T$2:$T$495=6)*('CASE MASTER'!$AA$2:$AA$495&lt;=10)*('CASE MASTER'!$AC$2:$AC$495&gt;=10)*('CASE MASTER'!$AB$2:$AB$495&lt;=10)*('CASE MASTER'!$AD$2:$AD$495&gt;=10))*ROW('CASE MASTER'!$T$2:$T$495))-(ROW('CASE MASTER'!#REF!)-1))))*(INDEX('CASE MASTER'!$AD$2:$AD$495,(SUMPRODUCT((('CASE MASTER'!$T$2:$T$495=6)*('CASE MASTER'!$AA$2:$AA$495&lt;=10)*('CASE MASTER'!$AC$2:$AC$495&gt;=10)*('CASE MASTER'!$AB$2:$AB$495&lt;=10)*('CASE MASTER'!$AD$2:$AD$495&gt;=10))*ROW('CASE MASTER'!$T$2:$T$495))-(ROW('CASE MASTER'!#REF!)-1)))-INDEX('CASE MASTER'!$AB$2:$AB$495,(SUMPRODUCT((('CASE MASTER'!$T$2:$T$495=6)*('CASE MASTER'!$AA$2:$AA$495&lt;=10)*('CASE MASTER'!$AC$2:$AC$495&gt;=10)*('CASE MASTER'!$AB$2:$AB$495&lt;=10)*('CASE MASTER'!$AD$2:$AD$495&gt;=10))*ROW('CASE MASTER'!$T$2:$T$495))-(ROW('CASE MASTER'!#REF!)-1)))+1)+(10-INDEX('CASE MASTER'!$AB$2:$AB$495,(SUMPRODUCT((('CASE MASTER'!$T$2:$T$495=6)*('CASE MASTER'!$AA$2:$AA$495&lt;=10)*('CASE MASTER'!$AC$2:$AC$495&gt;=10)*('CASE MASTER'!$AB$2:$AB$495&lt;=10)*('CASE MASTER'!$AD$2:$AD$495&gt;=10))*ROW('CASE MASTER'!$T$2:$T$495))-(ROW('CASE MASTER'!#REF!)-1))))+1)))-1)*50+1,50))&amp;"_"&amp;INDEX('CASE MASTER'!$Q$2:$Q$495,(SUMPRODUCT((('CASE MASTER'!$T$2:$T$495=6)*('CASE MASTER'!$AA$2:$AA$495&lt;=10)*('CASE MASTER'!$AC$2:$AC$495&gt;=10)*('CASE MASTER'!$AB$2:$AB$495&lt;=10)*('CASE MASTER'!$AD$2:$AD$495&gt;=10))*ROW('CASE MASTER'!$T$2:$T$495))-(ROW('CASE MASTER'!#REF!)-1))),"")),"")</f>
        <v/>
      </c>
    </row>
    <row r="85" spans="1:11" ht="15" customHeight="1" x14ac:dyDescent="0.35">
      <c r="A85" s="12" t="s">
        <v>88</v>
      </c>
      <c r="B85" s="13"/>
      <c r="C85" s="13"/>
      <c r="D85" s="13"/>
      <c r="E85" s="13"/>
      <c r="F85" s="13"/>
      <c r="G85" s="13"/>
      <c r="H85" s="13"/>
      <c r="I85" s="13"/>
      <c r="J85" s="13"/>
      <c r="K85" s="13"/>
    </row>
    <row r="86" spans="1:11" ht="15" customHeight="1" x14ac:dyDescent="0.35">
      <c r="B86" s="8">
        <v>1</v>
      </c>
      <c r="C86" s="8">
        <v>2</v>
      </c>
      <c r="D86" s="8">
        <v>3</v>
      </c>
      <c r="E86" s="8">
        <v>4</v>
      </c>
      <c r="F86" s="8">
        <v>5</v>
      </c>
      <c r="G86" s="8">
        <v>6</v>
      </c>
      <c r="H86" s="8">
        <v>7</v>
      </c>
      <c r="I86" s="8">
        <v>8</v>
      </c>
      <c r="J86" s="8">
        <v>9</v>
      </c>
      <c r="K86" s="8">
        <v>10</v>
      </c>
    </row>
    <row r="87" spans="1:11" ht="15" customHeight="1" x14ac:dyDescent="0.35">
      <c r="A87" s="8" t="s">
        <v>28</v>
      </c>
      <c r="B87" s="10" t="str">
        <f>IFERROR(IF(SUMPRODUCT((('CASE MASTER'!$T$2:$T$495=7)*('CASE MASTER'!$U$2:$U$495&lt;=1)*('CASE MASTER'!$W$2:$W$495&gt;=1)*('CASE MASTER'!$V$2:$V$495&lt;=1)*('CASE MASTER'!$X$2:$X$495&gt;=1))*ROW('CASE MASTER'!$T$2:$T$495))&gt;0,INDEX('CASE MASTER'!$Y$2:$Y$495,(SUMPRODUCT((('CASE MASTER'!$T$2:$T$495=7)*('CASE MASTER'!$U$2:$U$495&lt;=1)*('CASE MASTER'!$W$2:$W$495&gt;=1)*('CASE MASTER'!$V$2:$V$495&lt;=1)*('CASE MASTER'!$X$2:$X$495&gt;=1))*ROW('CASE MASTER'!$T$2:$T$495))-(ROW('CASE MASTER'!#REF!)-1)))&amp;TRIM(MID(SUBSTITUTE(SUBSTITUTE(INDEX('CASE MASTER'!$N$2:$N$495,(SUMPRODUCT((('CASE MASTER'!$T$2:$T$495=7)*('CASE MASTER'!$U$2:$U$495&lt;=1)*('CASE MASTER'!$W$2:$W$495&gt;=1)*('CASE MASTER'!$V$2:$V$495&lt;=1)*('CASE MASTER'!$X$2:$X$495&gt;=1))*ROW('CASE MASTER'!$T$2:$T$495))-(ROW('CASE MASTER'!#REF!)-1))),":",","),",",REPT(" ",50)),((((1-INDEX('CASE MASTER'!$U$2:$U$495,(SUMPRODUCT((('CASE MASTER'!$T$2:$T$495=7)*('CASE MASTER'!$U$2:$U$495&lt;=1)*('CASE MASTER'!$W$2:$W$495&gt;=1)*('CASE MASTER'!$V$2:$V$495&lt;=1)*('CASE MASTER'!$X$2:$X$495&gt;=1))*ROW('CASE MASTER'!$T$2:$T$495))-(ROW('CASE MASTER'!#REF!)-1))))*(INDEX('CASE MASTER'!$X$2:$X$495,(SUMPRODUCT((('CASE MASTER'!$T$2:$T$495=7)*('CASE MASTER'!$U$2:$U$495&lt;=1)*('CASE MASTER'!$W$2:$W$495&gt;=1)*('CASE MASTER'!$V$2:$V$495&lt;=1)*('CASE MASTER'!$X$2:$X$495&gt;=1))*ROW('CASE MASTER'!$T$2:$T$495))-(ROW('CASE MASTER'!#REF!)-1)))-INDEX('CASE MASTER'!$V$2:$V$495,(SUMPRODUCT((('CASE MASTER'!$T$2:$T$495=7)*('CASE MASTER'!$U$2:$U$495&lt;=1)*('CASE MASTER'!$W$2:$W$495&gt;=1)*('CASE MASTER'!$V$2:$V$495&lt;=1)*('CASE MASTER'!$X$2:$X$495&gt;=1))*ROW('CASE MASTER'!$T$2:$T$495))-(ROW('CASE MASTER'!#REF!)-1)))+1)+(1-INDEX('CASE MASTER'!$V$2:$V$495,(SUMPRODUCT((('CASE MASTER'!$T$2:$T$495=7)*('CASE MASTER'!$U$2:$U$495&lt;=1)*('CASE MASTER'!$W$2:$W$495&gt;=1)*('CASE MASTER'!$V$2:$V$495&lt;=1)*('CASE MASTER'!$X$2:$X$495&gt;=1))*ROW('CASE MASTER'!$T$2:$T$495))-(ROW('CASE MASTER'!#REF!)-1))))+1))-1)*50+1,50))&amp;"_"&amp;INDEX('CASE MASTER'!$Q$2:$Q$495,(SUMPRODUCT((('CASE MASTER'!$T$2:$T$495=7)*('CASE MASTER'!$U$2:$U$495&lt;=1)*('CASE MASTER'!$W$2:$W$495&gt;=1)*('CASE MASTER'!$V$2:$V$495&lt;=1)*('CASE MASTER'!$X$2:$X$495&gt;=1))*ROW('CASE MASTER'!$T$2:$T$495))-(ROW('CASE MASTER'!#REF!)-1))),IF(SUMPRODUCT((('CASE MASTER'!$T$2:$T$495=7)*('CASE MASTER'!$AA$2:$AA$495&lt;=1)*('CASE MASTER'!$AC$2:$AC$495&gt;=1)*('CASE MASTER'!$AB$2:$AB$495&lt;=1)*('CASE MASTER'!$AD$2:$AD$495&gt;=1))*ROW('CASE MASTER'!$T$2:$T$495))&gt;0,INDEX('CASE MASTER'!$Y$2:$Y$495,(SUMPRODUCT((('CASE MASTER'!$T$2:$T$495=7)*('CASE MASTER'!$AA$2:$AA$495&lt;=1)*('CASE MASTER'!$AC$2:$AC$495&gt;=1)*('CASE MASTER'!$AB$2:$AB$495&lt;=1)*('CASE MASTER'!$AD$2:$AD$495&gt;=1))*ROW('CASE MASTER'!$T$2:$T$495))-(ROW('CASE MASTER'!#REF!)-1)))&amp;TRIM(MID(SUBSTITUTE(SUBSTITUTE(INDEX('CASE MASTER'!$N$2:$N$495,(SUMPRODUCT((('CASE MASTER'!$T$2:$T$495=7)*('CASE MASTER'!$AA$2:$AA$495&lt;=1)*('CASE MASTER'!$AC$2:$AC$495&gt;=1)*('CASE MASTER'!$AB$2:$AB$495&lt;=1)*('CASE MASTER'!$AD$2:$AD$495&gt;=1))*ROW('CASE MASTER'!$T$2:$T$495))-(ROW('CASE MASTER'!#REF!)-1))),":",","),",",REPT(" ",50)),(((INDEX('CASE MASTER'!$Z$2:$Z$495,(SUMPRODUCT((('CASE MASTER'!$T$2:$T$495=7)*('CASE MASTER'!$AA$2:$AA$495&lt;=1)*('CASE MASTER'!$AC$2:$AC$495&gt;=1)*('CASE MASTER'!$AB$2:$AB$495&lt;=1)*('CASE MASTER'!$AD$2:$AD$495&gt;=1))*ROW('CASE MASTER'!$T$2:$T$495))-(ROW('CASE MASTER'!#REF!)-1)))+((1-INDEX('CASE MASTER'!$AA$2:$AA$495,(SUMPRODUCT((('CASE MASTER'!$T$2:$T$495=7)*('CASE MASTER'!$AA$2:$AA$495&lt;=1)*('CASE MASTER'!$AC$2:$AC$495&gt;=1)*('CASE MASTER'!$AB$2:$AB$495&lt;=1)*('CASE MASTER'!$AD$2:$AD$495&gt;=1))*ROW('CASE MASTER'!$T$2:$T$495))-(ROW('CASE MASTER'!#REF!)-1))))*(INDEX('CASE MASTER'!$AD$2:$AD$495,(SUMPRODUCT((('CASE MASTER'!$T$2:$T$495=7)*('CASE MASTER'!$AA$2:$AA$495&lt;=1)*('CASE MASTER'!$AC$2:$AC$495&gt;=1)*('CASE MASTER'!$AB$2:$AB$495&lt;=1)*('CASE MASTER'!$AD$2:$AD$495&gt;=1))*ROW('CASE MASTER'!$T$2:$T$495))-(ROW('CASE MASTER'!#REF!)-1)))-INDEX('CASE MASTER'!$AB$2:$AB$495,(SUMPRODUCT((('CASE MASTER'!$T$2:$T$495=7)*('CASE MASTER'!$AA$2:$AA$495&lt;=1)*('CASE MASTER'!$AC$2:$AC$495&gt;=1)*('CASE MASTER'!$AB$2:$AB$495&lt;=1)*('CASE MASTER'!$AD$2:$AD$495&gt;=1))*ROW('CASE MASTER'!$T$2:$T$495))-(ROW('CASE MASTER'!#REF!)-1)))+1)+(1-INDEX('CASE MASTER'!$AB$2:$AB$495,(SUMPRODUCT((('CASE MASTER'!$T$2:$T$495=7)*('CASE MASTER'!$AA$2:$AA$495&lt;=1)*('CASE MASTER'!$AC$2:$AC$495&gt;=1)*('CASE MASTER'!$AB$2:$AB$495&lt;=1)*('CASE MASTER'!$AD$2:$AD$495&gt;=1))*ROW('CASE MASTER'!$T$2:$T$495))-(ROW('CASE MASTER'!#REF!)-1))))+1)))-1)*50+1,50))&amp;"_"&amp;INDEX('CASE MASTER'!$Q$2:$Q$495,(SUMPRODUCT((('CASE MASTER'!$T$2:$T$495=7)*('CASE MASTER'!$AA$2:$AA$495&lt;=1)*('CASE MASTER'!$AC$2:$AC$495&gt;=1)*('CASE MASTER'!$AB$2:$AB$495&lt;=1)*('CASE MASTER'!$AD$2:$AD$495&gt;=1))*ROW('CASE MASTER'!$T$2:$T$495))-(ROW('CASE MASTER'!#REF!)-1))),"")),"")</f>
        <v/>
      </c>
      <c r="C87" s="10" t="str">
        <f>IFERROR(IF(SUMPRODUCT((('CASE MASTER'!$T$2:$T$495=7)*('CASE MASTER'!$U$2:$U$495&lt;=1)*('CASE MASTER'!$W$2:$W$495&gt;=1)*('CASE MASTER'!$V$2:$V$495&lt;=2)*('CASE MASTER'!$X$2:$X$495&gt;=2))*ROW('CASE MASTER'!$T$2:$T$495))&gt;0,INDEX('CASE MASTER'!$Y$2:$Y$495,(SUMPRODUCT((('CASE MASTER'!$T$2:$T$495=7)*('CASE MASTER'!$U$2:$U$495&lt;=1)*('CASE MASTER'!$W$2:$W$495&gt;=1)*('CASE MASTER'!$V$2:$V$495&lt;=2)*('CASE MASTER'!$X$2:$X$495&gt;=2))*ROW('CASE MASTER'!$T$2:$T$495))-(ROW('CASE MASTER'!#REF!)-1)))&amp;TRIM(MID(SUBSTITUTE(SUBSTITUTE(INDEX('CASE MASTER'!$N$2:$N$495,(SUMPRODUCT((('CASE MASTER'!$T$2:$T$495=7)*('CASE MASTER'!$U$2:$U$495&lt;=1)*('CASE MASTER'!$W$2:$W$495&gt;=1)*('CASE MASTER'!$V$2:$V$495&lt;=2)*('CASE MASTER'!$X$2:$X$495&gt;=2))*ROW('CASE MASTER'!$T$2:$T$495))-(ROW('CASE MASTER'!#REF!)-1))),":",","),",",REPT(" ",50)),((((1-INDEX('CASE MASTER'!$U$2:$U$495,(SUMPRODUCT((('CASE MASTER'!$T$2:$T$495=7)*('CASE MASTER'!$U$2:$U$495&lt;=1)*('CASE MASTER'!$W$2:$W$495&gt;=1)*('CASE MASTER'!$V$2:$V$495&lt;=2)*('CASE MASTER'!$X$2:$X$495&gt;=2))*ROW('CASE MASTER'!$T$2:$T$495))-(ROW('CASE MASTER'!#REF!)-1))))*(INDEX('CASE MASTER'!$X$2:$X$495,(SUMPRODUCT((('CASE MASTER'!$T$2:$T$495=7)*('CASE MASTER'!$U$2:$U$495&lt;=1)*('CASE MASTER'!$W$2:$W$495&gt;=1)*('CASE MASTER'!$V$2:$V$495&lt;=2)*('CASE MASTER'!$X$2:$X$495&gt;=2))*ROW('CASE MASTER'!$T$2:$T$495))-(ROW('CASE MASTER'!#REF!)-1)))-INDEX('CASE MASTER'!$V$2:$V$495,(SUMPRODUCT((('CASE MASTER'!$T$2:$T$495=7)*('CASE MASTER'!$U$2:$U$495&lt;=1)*('CASE MASTER'!$W$2:$W$495&gt;=1)*('CASE MASTER'!$V$2:$V$495&lt;=2)*('CASE MASTER'!$X$2:$X$495&gt;=2))*ROW('CASE MASTER'!$T$2:$T$495))-(ROW('CASE MASTER'!#REF!)-1)))+1)+(2-INDEX('CASE MASTER'!$V$2:$V$495,(SUMPRODUCT((('CASE MASTER'!$T$2:$T$495=7)*('CASE MASTER'!$U$2:$U$495&lt;=1)*('CASE MASTER'!$W$2:$W$495&gt;=1)*('CASE MASTER'!$V$2:$V$495&lt;=2)*('CASE MASTER'!$X$2:$X$495&gt;=2))*ROW('CASE MASTER'!$T$2:$T$495))-(ROW('CASE MASTER'!#REF!)-1))))+1))-1)*50+1,50))&amp;"_"&amp;INDEX('CASE MASTER'!$Q$2:$Q$495,(SUMPRODUCT((('CASE MASTER'!$T$2:$T$495=7)*('CASE MASTER'!$U$2:$U$495&lt;=1)*('CASE MASTER'!$W$2:$W$495&gt;=1)*('CASE MASTER'!$V$2:$V$495&lt;=2)*('CASE MASTER'!$X$2:$X$495&gt;=2))*ROW('CASE MASTER'!$T$2:$T$495))-(ROW('CASE MASTER'!#REF!)-1))),IF(SUMPRODUCT((('CASE MASTER'!$T$2:$T$495=7)*('CASE MASTER'!$AA$2:$AA$495&lt;=1)*('CASE MASTER'!$AC$2:$AC$495&gt;=1)*('CASE MASTER'!$AB$2:$AB$495&lt;=2)*('CASE MASTER'!$AD$2:$AD$495&gt;=2))*ROW('CASE MASTER'!$T$2:$T$495))&gt;0,INDEX('CASE MASTER'!$Y$2:$Y$495,(SUMPRODUCT((('CASE MASTER'!$T$2:$T$495=7)*('CASE MASTER'!$AA$2:$AA$495&lt;=1)*('CASE MASTER'!$AC$2:$AC$495&gt;=1)*('CASE MASTER'!$AB$2:$AB$495&lt;=2)*('CASE MASTER'!$AD$2:$AD$495&gt;=2))*ROW('CASE MASTER'!$T$2:$T$495))-(ROW('CASE MASTER'!#REF!)-1)))&amp;TRIM(MID(SUBSTITUTE(SUBSTITUTE(INDEX('CASE MASTER'!$N$2:$N$495,(SUMPRODUCT((('CASE MASTER'!$T$2:$T$495=7)*('CASE MASTER'!$AA$2:$AA$495&lt;=1)*('CASE MASTER'!$AC$2:$AC$495&gt;=1)*('CASE MASTER'!$AB$2:$AB$495&lt;=2)*('CASE MASTER'!$AD$2:$AD$495&gt;=2))*ROW('CASE MASTER'!$T$2:$T$495))-(ROW('CASE MASTER'!#REF!)-1))),":",","),",",REPT(" ",50)),(((INDEX('CASE MASTER'!$Z$2:$Z$495,(SUMPRODUCT((('CASE MASTER'!$T$2:$T$495=7)*('CASE MASTER'!$AA$2:$AA$495&lt;=1)*('CASE MASTER'!$AC$2:$AC$495&gt;=1)*('CASE MASTER'!$AB$2:$AB$495&lt;=2)*('CASE MASTER'!$AD$2:$AD$495&gt;=2))*ROW('CASE MASTER'!$T$2:$T$495))-(ROW('CASE MASTER'!#REF!)-1)))+((1-INDEX('CASE MASTER'!$AA$2:$AA$495,(SUMPRODUCT((('CASE MASTER'!$T$2:$T$495=7)*('CASE MASTER'!$AA$2:$AA$495&lt;=1)*('CASE MASTER'!$AC$2:$AC$495&gt;=1)*('CASE MASTER'!$AB$2:$AB$495&lt;=2)*('CASE MASTER'!$AD$2:$AD$495&gt;=2))*ROW('CASE MASTER'!$T$2:$T$495))-(ROW('CASE MASTER'!#REF!)-1))))*(INDEX('CASE MASTER'!$AD$2:$AD$495,(SUMPRODUCT((('CASE MASTER'!$T$2:$T$495=7)*('CASE MASTER'!$AA$2:$AA$495&lt;=1)*('CASE MASTER'!$AC$2:$AC$495&gt;=1)*('CASE MASTER'!$AB$2:$AB$495&lt;=2)*('CASE MASTER'!$AD$2:$AD$495&gt;=2))*ROW('CASE MASTER'!$T$2:$T$495))-(ROW('CASE MASTER'!#REF!)-1)))-INDEX('CASE MASTER'!$AB$2:$AB$495,(SUMPRODUCT((('CASE MASTER'!$T$2:$T$495=7)*('CASE MASTER'!$AA$2:$AA$495&lt;=1)*('CASE MASTER'!$AC$2:$AC$495&gt;=1)*('CASE MASTER'!$AB$2:$AB$495&lt;=2)*('CASE MASTER'!$AD$2:$AD$495&gt;=2))*ROW('CASE MASTER'!$T$2:$T$495))-(ROW('CASE MASTER'!#REF!)-1)))+1)+(2-INDEX('CASE MASTER'!$AB$2:$AB$495,(SUMPRODUCT((('CASE MASTER'!$T$2:$T$495=7)*('CASE MASTER'!$AA$2:$AA$495&lt;=1)*('CASE MASTER'!$AC$2:$AC$495&gt;=1)*('CASE MASTER'!$AB$2:$AB$495&lt;=2)*('CASE MASTER'!$AD$2:$AD$495&gt;=2))*ROW('CASE MASTER'!$T$2:$T$495))-(ROW('CASE MASTER'!#REF!)-1))))+1)))-1)*50+1,50))&amp;"_"&amp;INDEX('CASE MASTER'!$Q$2:$Q$495,(SUMPRODUCT((('CASE MASTER'!$T$2:$T$495=7)*('CASE MASTER'!$AA$2:$AA$495&lt;=1)*('CASE MASTER'!$AC$2:$AC$495&gt;=1)*('CASE MASTER'!$AB$2:$AB$495&lt;=2)*('CASE MASTER'!$AD$2:$AD$495&gt;=2))*ROW('CASE MASTER'!$T$2:$T$495))-(ROW('CASE MASTER'!#REF!)-1))),"")),"")</f>
        <v/>
      </c>
      <c r="D87" s="10" t="str">
        <f>IFERROR(IF(SUMPRODUCT((('CASE MASTER'!$T$2:$T$495=7)*('CASE MASTER'!$U$2:$U$495&lt;=1)*('CASE MASTER'!$W$2:$W$495&gt;=1)*('CASE MASTER'!$V$2:$V$495&lt;=3)*('CASE MASTER'!$X$2:$X$495&gt;=3))*ROW('CASE MASTER'!$T$2:$T$495))&gt;0,INDEX('CASE MASTER'!$Y$2:$Y$495,(SUMPRODUCT((('CASE MASTER'!$T$2:$T$495=7)*('CASE MASTER'!$U$2:$U$495&lt;=1)*('CASE MASTER'!$W$2:$W$495&gt;=1)*('CASE MASTER'!$V$2:$V$495&lt;=3)*('CASE MASTER'!$X$2:$X$495&gt;=3))*ROW('CASE MASTER'!$T$2:$T$495))-(ROW('CASE MASTER'!#REF!)-1)))&amp;TRIM(MID(SUBSTITUTE(SUBSTITUTE(INDEX('CASE MASTER'!$N$2:$N$495,(SUMPRODUCT((('CASE MASTER'!$T$2:$T$495=7)*('CASE MASTER'!$U$2:$U$495&lt;=1)*('CASE MASTER'!$W$2:$W$495&gt;=1)*('CASE MASTER'!$V$2:$V$495&lt;=3)*('CASE MASTER'!$X$2:$X$495&gt;=3))*ROW('CASE MASTER'!$T$2:$T$495))-(ROW('CASE MASTER'!#REF!)-1))),":",","),",",REPT(" ",50)),((((1-INDEX('CASE MASTER'!$U$2:$U$495,(SUMPRODUCT((('CASE MASTER'!$T$2:$T$495=7)*('CASE MASTER'!$U$2:$U$495&lt;=1)*('CASE MASTER'!$W$2:$W$495&gt;=1)*('CASE MASTER'!$V$2:$V$495&lt;=3)*('CASE MASTER'!$X$2:$X$495&gt;=3))*ROW('CASE MASTER'!$T$2:$T$495))-(ROW('CASE MASTER'!#REF!)-1))))*(INDEX('CASE MASTER'!$X$2:$X$495,(SUMPRODUCT((('CASE MASTER'!$T$2:$T$495=7)*('CASE MASTER'!$U$2:$U$495&lt;=1)*('CASE MASTER'!$W$2:$W$495&gt;=1)*('CASE MASTER'!$V$2:$V$495&lt;=3)*('CASE MASTER'!$X$2:$X$495&gt;=3))*ROW('CASE MASTER'!$T$2:$T$495))-(ROW('CASE MASTER'!#REF!)-1)))-INDEX('CASE MASTER'!$V$2:$V$495,(SUMPRODUCT((('CASE MASTER'!$T$2:$T$495=7)*('CASE MASTER'!$U$2:$U$495&lt;=1)*('CASE MASTER'!$W$2:$W$495&gt;=1)*('CASE MASTER'!$V$2:$V$495&lt;=3)*('CASE MASTER'!$X$2:$X$495&gt;=3))*ROW('CASE MASTER'!$T$2:$T$495))-(ROW('CASE MASTER'!#REF!)-1)))+1)+(3-INDEX('CASE MASTER'!$V$2:$V$495,(SUMPRODUCT((('CASE MASTER'!$T$2:$T$495=7)*('CASE MASTER'!$U$2:$U$495&lt;=1)*('CASE MASTER'!$W$2:$W$495&gt;=1)*('CASE MASTER'!$V$2:$V$495&lt;=3)*('CASE MASTER'!$X$2:$X$495&gt;=3))*ROW('CASE MASTER'!$T$2:$T$495))-(ROW('CASE MASTER'!#REF!)-1))))+1))-1)*50+1,50))&amp;"_"&amp;INDEX('CASE MASTER'!$Q$2:$Q$495,(SUMPRODUCT((('CASE MASTER'!$T$2:$T$495=7)*('CASE MASTER'!$U$2:$U$495&lt;=1)*('CASE MASTER'!$W$2:$W$495&gt;=1)*('CASE MASTER'!$V$2:$V$495&lt;=3)*('CASE MASTER'!$X$2:$X$495&gt;=3))*ROW('CASE MASTER'!$T$2:$T$495))-(ROW('CASE MASTER'!#REF!)-1))),IF(SUMPRODUCT((('CASE MASTER'!$T$2:$T$495=7)*('CASE MASTER'!$AA$2:$AA$495&lt;=1)*('CASE MASTER'!$AC$2:$AC$495&gt;=1)*('CASE MASTER'!$AB$2:$AB$495&lt;=3)*('CASE MASTER'!$AD$2:$AD$495&gt;=3))*ROW('CASE MASTER'!$T$2:$T$495))&gt;0,INDEX('CASE MASTER'!$Y$2:$Y$495,(SUMPRODUCT((('CASE MASTER'!$T$2:$T$495=7)*('CASE MASTER'!$AA$2:$AA$495&lt;=1)*('CASE MASTER'!$AC$2:$AC$495&gt;=1)*('CASE MASTER'!$AB$2:$AB$495&lt;=3)*('CASE MASTER'!$AD$2:$AD$495&gt;=3))*ROW('CASE MASTER'!$T$2:$T$495))-(ROW('CASE MASTER'!#REF!)-1)))&amp;TRIM(MID(SUBSTITUTE(SUBSTITUTE(INDEX('CASE MASTER'!$N$2:$N$495,(SUMPRODUCT((('CASE MASTER'!$T$2:$T$495=7)*('CASE MASTER'!$AA$2:$AA$495&lt;=1)*('CASE MASTER'!$AC$2:$AC$495&gt;=1)*('CASE MASTER'!$AB$2:$AB$495&lt;=3)*('CASE MASTER'!$AD$2:$AD$495&gt;=3))*ROW('CASE MASTER'!$T$2:$T$495))-(ROW('CASE MASTER'!#REF!)-1))),":",","),",",REPT(" ",50)),(((INDEX('CASE MASTER'!$Z$2:$Z$495,(SUMPRODUCT((('CASE MASTER'!$T$2:$T$495=7)*('CASE MASTER'!$AA$2:$AA$495&lt;=1)*('CASE MASTER'!$AC$2:$AC$495&gt;=1)*('CASE MASTER'!$AB$2:$AB$495&lt;=3)*('CASE MASTER'!$AD$2:$AD$495&gt;=3))*ROW('CASE MASTER'!$T$2:$T$495))-(ROW('CASE MASTER'!#REF!)-1)))+((1-INDEX('CASE MASTER'!$AA$2:$AA$495,(SUMPRODUCT((('CASE MASTER'!$T$2:$T$495=7)*('CASE MASTER'!$AA$2:$AA$495&lt;=1)*('CASE MASTER'!$AC$2:$AC$495&gt;=1)*('CASE MASTER'!$AB$2:$AB$495&lt;=3)*('CASE MASTER'!$AD$2:$AD$495&gt;=3))*ROW('CASE MASTER'!$T$2:$T$495))-(ROW('CASE MASTER'!#REF!)-1))))*(INDEX('CASE MASTER'!$AD$2:$AD$495,(SUMPRODUCT((('CASE MASTER'!$T$2:$T$495=7)*('CASE MASTER'!$AA$2:$AA$495&lt;=1)*('CASE MASTER'!$AC$2:$AC$495&gt;=1)*('CASE MASTER'!$AB$2:$AB$495&lt;=3)*('CASE MASTER'!$AD$2:$AD$495&gt;=3))*ROW('CASE MASTER'!$T$2:$T$495))-(ROW('CASE MASTER'!#REF!)-1)))-INDEX('CASE MASTER'!$AB$2:$AB$495,(SUMPRODUCT((('CASE MASTER'!$T$2:$T$495=7)*('CASE MASTER'!$AA$2:$AA$495&lt;=1)*('CASE MASTER'!$AC$2:$AC$495&gt;=1)*('CASE MASTER'!$AB$2:$AB$495&lt;=3)*('CASE MASTER'!$AD$2:$AD$495&gt;=3))*ROW('CASE MASTER'!$T$2:$T$495))-(ROW('CASE MASTER'!#REF!)-1)))+1)+(3-INDEX('CASE MASTER'!$AB$2:$AB$495,(SUMPRODUCT((('CASE MASTER'!$T$2:$T$495=7)*('CASE MASTER'!$AA$2:$AA$495&lt;=1)*('CASE MASTER'!$AC$2:$AC$495&gt;=1)*('CASE MASTER'!$AB$2:$AB$495&lt;=3)*('CASE MASTER'!$AD$2:$AD$495&gt;=3))*ROW('CASE MASTER'!$T$2:$T$495))-(ROW('CASE MASTER'!#REF!)-1))))+1)))-1)*50+1,50))&amp;"_"&amp;INDEX('CASE MASTER'!$Q$2:$Q$495,(SUMPRODUCT((('CASE MASTER'!$T$2:$T$495=7)*('CASE MASTER'!$AA$2:$AA$495&lt;=1)*('CASE MASTER'!$AC$2:$AC$495&gt;=1)*('CASE MASTER'!$AB$2:$AB$495&lt;=3)*('CASE MASTER'!$AD$2:$AD$495&gt;=3))*ROW('CASE MASTER'!$T$2:$T$495))-(ROW('CASE MASTER'!#REF!)-1))),"")),"")</f>
        <v/>
      </c>
      <c r="E87" s="10" t="str">
        <f>IFERROR(IF(SUMPRODUCT((('CASE MASTER'!$T$2:$T$495=7)*('CASE MASTER'!$U$2:$U$495&lt;=1)*('CASE MASTER'!$W$2:$W$495&gt;=1)*('CASE MASTER'!$V$2:$V$495&lt;=4)*('CASE MASTER'!$X$2:$X$495&gt;=4))*ROW('CASE MASTER'!$T$2:$T$495))&gt;0,INDEX('CASE MASTER'!$Y$2:$Y$495,(SUMPRODUCT((('CASE MASTER'!$T$2:$T$495=7)*('CASE MASTER'!$U$2:$U$495&lt;=1)*('CASE MASTER'!$W$2:$W$495&gt;=1)*('CASE MASTER'!$V$2:$V$495&lt;=4)*('CASE MASTER'!$X$2:$X$495&gt;=4))*ROW('CASE MASTER'!$T$2:$T$495))-(ROW('CASE MASTER'!#REF!)-1)))&amp;TRIM(MID(SUBSTITUTE(SUBSTITUTE(INDEX('CASE MASTER'!$N$2:$N$495,(SUMPRODUCT((('CASE MASTER'!$T$2:$T$495=7)*('CASE MASTER'!$U$2:$U$495&lt;=1)*('CASE MASTER'!$W$2:$W$495&gt;=1)*('CASE MASTER'!$V$2:$V$495&lt;=4)*('CASE MASTER'!$X$2:$X$495&gt;=4))*ROW('CASE MASTER'!$T$2:$T$495))-(ROW('CASE MASTER'!#REF!)-1))),":",","),",",REPT(" ",50)),((((1-INDEX('CASE MASTER'!$U$2:$U$495,(SUMPRODUCT((('CASE MASTER'!$T$2:$T$495=7)*('CASE MASTER'!$U$2:$U$495&lt;=1)*('CASE MASTER'!$W$2:$W$495&gt;=1)*('CASE MASTER'!$V$2:$V$495&lt;=4)*('CASE MASTER'!$X$2:$X$495&gt;=4))*ROW('CASE MASTER'!$T$2:$T$495))-(ROW('CASE MASTER'!#REF!)-1))))*(INDEX('CASE MASTER'!$X$2:$X$495,(SUMPRODUCT((('CASE MASTER'!$T$2:$T$495=7)*('CASE MASTER'!$U$2:$U$495&lt;=1)*('CASE MASTER'!$W$2:$W$495&gt;=1)*('CASE MASTER'!$V$2:$V$495&lt;=4)*('CASE MASTER'!$X$2:$X$495&gt;=4))*ROW('CASE MASTER'!$T$2:$T$495))-(ROW('CASE MASTER'!#REF!)-1)))-INDEX('CASE MASTER'!$V$2:$V$495,(SUMPRODUCT((('CASE MASTER'!$T$2:$T$495=7)*('CASE MASTER'!$U$2:$U$495&lt;=1)*('CASE MASTER'!$W$2:$W$495&gt;=1)*('CASE MASTER'!$V$2:$V$495&lt;=4)*('CASE MASTER'!$X$2:$X$495&gt;=4))*ROW('CASE MASTER'!$T$2:$T$495))-(ROW('CASE MASTER'!#REF!)-1)))+1)+(4-INDEX('CASE MASTER'!$V$2:$V$495,(SUMPRODUCT((('CASE MASTER'!$T$2:$T$495=7)*('CASE MASTER'!$U$2:$U$495&lt;=1)*('CASE MASTER'!$W$2:$W$495&gt;=1)*('CASE MASTER'!$V$2:$V$495&lt;=4)*('CASE MASTER'!$X$2:$X$495&gt;=4))*ROW('CASE MASTER'!$T$2:$T$495))-(ROW('CASE MASTER'!#REF!)-1))))+1))-1)*50+1,50))&amp;"_"&amp;INDEX('CASE MASTER'!$Q$2:$Q$495,(SUMPRODUCT((('CASE MASTER'!$T$2:$T$495=7)*('CASE MASTER'!$U$2:$U$495&lt;=1)*('CASE MASTER'!$W$2:$W$495&gt;=1)*('CASE MASTER'!$V$2:$V$495&lt;=4)*('CASE MASTER'!$X$2:$X$495&gt;=4))*ROW('CASE MASTER'!$T$2:$T$495))-(ROW('CASE MASTER'!#REF!)-1))),IF(SUMPRODUCT((('CASE MASTER'!$T$2:$T$495=7)*('CASE MASTER'!$AA$2:$AA$495&lt;=1)*('CASE MASTER'!$AC$2:$AC$495&gt;=1)*('CASE MASTER'!$AB$2:$AB$495&lt;=4)*('CASE MASTER'!$AD$2:$AD$495&gt;=4))*ROW('CASE MASTER'!$T$2:$T$495))&gt;0,INDEX('CASE MASTER'!$Y$2:$Y$495,(SUMPRODUCT((('CASE MASTER'!$T$2:$T$495=7)*('CASE MASTER'!$AA$2:$AA$495&lt;=1)*('CASE MASTER'!$AC$2:$AC$495&gt;=1)*('CASE MASTER'!$AB$2:$AB$495&lt;=4)*('CASE MASTER'!$AD$2:$AD$495&gt;=4))*ROW('CASE MASTER'!$T$2:$T$495))-(ROW('CASE MASTER'!#REF!)-1)))&amp;TRIM(MID(SUBSTITUTE(SUBSTITUTE(INDEX('CASE MASTER'!$N$2:$N$495,(SUMPRODUCT((('CASE MASTER'!$T$2:$T$495=7)*('CASE MASTER'!$AA$2:$AA$495&lt;=1)*('CASE MASTER'!$AC$2:$AC$495&gt;=1)*('CASE MASTER'!$AB$2:$AB$495&lt;=4)*('CASE MASTER'!$AD$2:$AD$495&gt;=4))*ROW('CASE MASTER'!$T$2:$T$495))-(ROW('CASE MASTER'!#REF!)-1))),":",","),",",REPT(" ",50)),(((INDEX('CASE MASTER'!$Z$2:$Z$495,(SUMPRODUCT((('CASE MASTER'!$T$2:$T$495=7)*('CASE MASTER'!$AA$2:$AA$495&lt;=1)*('CASE MASTER'!$AC$2:$AC$495&gt;=1)*('CASE MASTER'!$AB$2:$AB$495&lt;=4)*('CASE MASTER'!$AD$2:$AD$495&gt;=4))*ROW('CASE MASTER'!$T$2:$T$495))-(ROW('CASE MASTER'!#REF!)-1)))+((1-INDEX('CASE MASTER'!$AA$2:$AA$495,(SUMPRODUCT((('CASE MASTER'!$T$2:$T$495=7)*('CASE MASTER'!$AA$2:$AA$495&lt;=1)*('CASE MASTER'!$AC$2:$AC$495&gt;=1)*('CASE MASTER'!$AB$2:$AB$495&lt;=4)*('CASE MASTER'!$AD$2:$AD$495&gt;=4))*ROW('CASE MASTER'!$T$2:$T$495))-(ROW('CASE MASTER'!#REF!)-1))))*(INDEX('CASE MASTER'!$AD$2:$AD$495,(SUMPRODUCT((('CASE MASTER'!$T$2:$T$495=7)*('CASE MASTER'!$AA$2:$AA$495&lt;=1)*('CASE MASTER'!$AC$2:$AC$495&gt;=1)*('CASE MASTER'!$AB$2:$AB$495&lt;=4)*('CASE MASTER'!$AD$2:$AD$495&gt;=4))*ROW('CASE MASTER'!$T$2:$T$495))-(ROW('CASE MASTER'!#REF!)-1)))-INDEX('CASE MASTER'!$AB$2:$AB$495,(SUMPRODUCT((('CASE MASTER'!$T$2:$T$495=7)*('CASE MASTER'!$AA$2:$AA$495&lt;=1)*('CASE MASTER'!$AC$2:$AC$495&gt;=1)*('CASE MASTER'!$AB$2:$AB$495&lt;=4)*('CASE MASTER'!$AD$2:$AD$495&gt;=4))*ROW('CASE MASTER'!$T$2:$T$495))-(ROW('CASE MASTER'!#REF!)-1)))+1)+(4-INDEX('CASE MASTER'!$AB$2:$AB$495,(SUMPRODUCT((('CASE MASTER'!$T$2:$T$495=7)*('CASE MASTER'!$AA$2:$AA$495&lt;=1)*('CASE MASTER'!$AC$2:$AC$495&gt;=1)*('CASE MASTER'!$AB$2:$AB$495&lt;=4)*('CASE MASTER'!$AD$2:$AD$495&gt;=4))*ROW('CASE MASTER'!$T$2:$T$495))-(ROW('CASE MASTER'!#REF!)-1))))+1)))-1)*50+1,50))&amp;"_"&amp;INDEX('CASE MASTER'!$Q$2:$Q$495,(SUMPRODUCT((('CASE MASTER'!$T$2:$T$495=7)*('CASE MASTER'!$AA$2:$AA$495&lt;=1)*('CASE MASTER'!$AC$2:$AC$495&gt;=1)*('CASE MASTER'!$AB$2:$AB$495&lt;=4)*('CASE MASTER'!$AD$2:$AD$495&gt;=4))*ROW('CASE MASTER'!$T$2:$T$495))-(ROW('CASE MASTER'!#REF!)-1))),"")),"")</f>
        <v/>
      </c>
      <c r="F87" s="10" t="str">
        <f>IFERROR(IF(SUMPRODUCT((('CASE MASTER'!$T$2:$T$495=7)*('CASE MASTER'!$U$2:$U$495&lt;=1)*('CASE MASTER'!$W$2:$W$495&gt;=1)*('CASE MASTER'!$V$2:$V$495&lt;=5)*('CASE MASTER'!$X$2:$X$495&gt;=5))*ROW('CASE MASTER'!$T$2:$T$495))&gt;0,INDEX('CASE MASTER'!$Y$2:$Y$495,(SUMPRODUCT((('CASE MASTER'!$T$2:$T$495=7)*('CASE MASTER'!$U$2:$U$495&lt;=1)*('CASE MASTER'!$W$2:$W$495&gt;=1)*('CASE MASTER'!$V$2:$V$495&lt;=5)*('CASE MASTER'!$X$2:$X$495&gt;=5))*ROW('CASE MASTER'!$T$2:$T$495))-(ROW('CASE MASTER'!#REF!)-1)))&amp;TRIM(MID(SUBSTITUTE(SUBSTITUTE(INDEX('CASE MASTER'!$N$2:$N$495,(SUMPRODUCT((('CASE MASTER'!$T$2:$T$495=7)*('CASE MASTER'!$U$2:$U$495&lt;=1)*('CASE MASTER'!$W$2:$W$495&gt;=1)*('CASE MASTER'!$V$2:$V$495&lt;=5)*('CASE MASTER'!$X$2:$X$495&gt;=5))*ROW('CASE MASTER'!$T$2:$T$495))-(ROW('CASE MASTER'!#REF!)-1))),":",","),",",REPT(" ",50)),((((1-INDEX('CASE MASTER'!$U$2:$U$495,(SUMPRODUCT((('CASE MASTER'!$T$2:$T$495=7)*('CASE MASTER'!$U$2:$U$495&lt;=1)*('CASE MASTER'!$W$2:$W$495&gt;=1)*('CASE MASTER'!$V$2:$V$495&lt;=5)*('CASE MASTER'!$X$2:$X$495&gt;=5))*ROW('CASE MASTER'!$T$2:$T$495))-(ROW('CASE MASTER'!#REF!)-1))))*(INDEX('CASE MASTER'!$X$2:$X$495,(SUMPRODUCT((('CASE MASTER'!$T$2:$T$495=7)*('CASE MASTER'!$U$2:$U$495&lt;=1)*('CASE MASTER'!$W$2:$W$495&gt;=1)*('CASE MASTER'!$V$2:$V$495&lt;=5)*('CASE MASTER'!$X$2:$X$495&gt;=5))*ROW('CASE MASTER'!$T$2:$T$495))-(ROW('CASE MASTER'!#REF!)-1)))-INDEX('CASE MASTER'!$V$2:$V$495,(SUMPRODUCT((('CASE MASTER'!$T$2:$T$495=7)*('CASE MASTER'!$U$2:$U$495&lt;=1)*('CASE MASTER'!$W$2:$W$495&gt;=1)*('CASE MASTER'!$V$2:$V$495&lt;=5)*('CASE MASTER'!$X$2:$X$495&gt;=5))*ROW('CASE MASTER'!$T$2:$T$495))-(ROW('CASE MASTER'!#REF!)-1)))+1)+(5-INDEX('CASE MASTER'!$V$2:$V$495,(SUMPRODUCT((('CASE MASTER'!$T$2:$T$495=7)*('CASE MASTER'!$U$2:$U$495&lt;=1)*('CASE MASTER'!$W$2:$W$495&gt;=1)*('CASE MASTER'!$V$2:$V$495&lt;=5)*('CASE MASTER'!$X$2:$X$495&gt;=5))*ROW('CASE MASTER'!$T$2:$T$495))-(ROW('CASE MASTER'!#REF!)-1))))+1))-1)*50+1,50))&amp;"_"&amp;INDEX('CASE MASTER'!$Q$2:$Q$495,(SUMPRODUCT((('CASE MASTER'!$T$2:$T$495=7)*('CASE MASTER'!$U$2:$U$495&lt;=1)*('CASE MASTER'!$W$2:$W$495&gt;=1)*('CASE MASTER'!$V$2:$V$495&lt;=5)*('CASE MASTER'!$X$2:$X$495&gt;=5))*ROW('CASE MASTER'!$T$2:$T$495))-(ROW('CASE MASTER'!#REF!)-1))),IF(SUMPRODUCT((('CASE MASTER'!$T$2:$T$495=7)*('CASE MASTER'!$AA$2:$AA$495&lt;=1)*('CASE MASTER'!$AC$2:$AC$495&gt;=1)*('CASE MASTER'!$AB$2:$AB$495&lt;=5)*('CASE MASTER'!$AD$2:$AD$495&gt;=5))*ROW('CASE MASTER'!$T$2:$T$495))&gt;0,INDEX('CASE MASTER'!$Y$2:$Y$495,(SUMPRODUCT((('CASE MASTER'!$T$2:$T$495=7)*('CASE MASTER'!$AA$2:$AA$495&lt;=1)*('CASE MASTER'!$AC$2:$AC$495&gt;=1)*('CASE MASTER'!$AB$2:$AB$495&lt;=5)*('CASE MASTER'!$AD$2:$AD$495&gt;=5))*ROW('CASE MASTER'!$T$2:$T$495))-(ROW('CASE MASTER'!#REF!)-1)))&amp;TRIM(MID(SUBSTITUTE(SUBSTITUTE(INDEX('CASE MASTER'!$N$2:$N$495,(SUMPRODUCT((('CASE MASTER'!$T$2:$T$495=7)*('CASE MASTER'!$AA$2:$AA$495&lt;=1)*('CASE MASTER'!$AC$2:$AC$495&gt;=1)*('CASE MASTER'!$AB$2:$AB$495&lt;=5)*('CASE MASTER'!$AD$2:$AD$495&gt;=5))*ROW('CASE MASTER'!$T$2:$T$495))-(ROW('CASE MASTER'!#REF!)-1))),":",","),",",REPT(" ",50)),(((INDEX('CASE MASTER'!$Z$2:$Z$495,(SUMPRODUCT((('CASE MASTER'!$T$2:$T$495=7)*('CASE MASTER'!$AA$2:$AA$495&lt;=1)*('CASE MASTER'!$AC$2:$AC$495&gt;=1)*('CASE MASTER'!$AB$2:$AB$495&lt;=5)*('CASE MASTER'!$AD$2:$AD$495&gt;=5))*ROW('CASE MASTER'!$T$2:$T$495))-(ROW('CASE MASTER'!#REF!)-1)))+((1-INDEX('CASE MASTER'!$AA$2:$AA$495,(SUMPRODUCT((('CASE MASTER'!$T$2:$T$495=7)*('CASE MASTER'!$AA$2:$AA$495&lt;=1)*('CASE MASTER'!$AC$2:$AC$495&gt;=1)*('CASE MASTER'!$AB$2:$AB$495&lt;=5)*('CASE MASTER'!$AD$2:$AD$495&gt;=5))*ROW('CASE MASTER'!$T$2:$T$495))-(ROW('CASE MASTER'!#REF!)-1))))*(INDEX('CASE MASTER'!$AD$2:$AD$495,(SUMPRODUCT((('CASE MASTER'!$T$2:$T$495=7)*('CASE MASTER'!$AA$2:$AA$495&lt;=1)*('CASE MASTER'!$AC$2:$AC$495&gt;=1)*('CASE MASTER'!$AB$2:$AB$495&lt;=5)*('CASE MASTER'!$AD$2:$AD$495&gt;=5))*ROW('CASE MASTER'!$T$2:$T$495))-(ROW('CASE MASTER'!#REF!)-1)))-INDEX('CASE MASTER'!$AB$2:$AB$495,(SUMPRODUCT((('CASE MASTER'!$T$2:$T$495=7)*('CASE MASTER'!$AA$2:$AA$495&lt;=1)*('CASE MASTER'!$AC$2:$AC$495&gt;=1)*('CASE MASTER'!$AB$2:$AB$495&lt;=5)*('CASE MASTER'!$AD$2:$AD$495&gt;=5))*ROW('CASE MASTER'!$T$2:$T$495))-(ROW('CASE MASTER'!#REF!)-1)))+1)+(5-INDEX('CASE MASTER'!$AB$2:$AB$495,(SUMPRODUCT((('CASE MASTER'!$T$2:$T$495=7)*('CASE MASTER'!$AA$2:$AA$495&lt;=1)*('CASE MASTER'!$AC$2:$AC$495&gt;=1)*('CASE MASTER'!$AB$2:$AB$495&lt;=5)*('CASE MASTER'!$AD$2:$AD$495&gt;=5))*ROW('CASE MASTER'!$T$2:$T$495))-(ROW('CASE MASTER'!#REF!)-1))))+1)))-1)*50+1,50))&amp;"_"&amp;INDEX('CASE MASTER'!$Q$2:$Q$495,(SUMPRODUCT((('CASE MASTER'!$T$2:$T$495=7)*('CASE MASTER'!$AA$2:$AA$495&lt;=1)*('CASE MASTER'!$AC$2:$AC$495&gt;=1)*('CASE MASTER'!$AB$2:$AB$495&lt;=5)*('CASE MASTER'!$AD$2:$AD$495&gt;=5))*ROW('CASE MASTER'!$T$2:$T$495))-(ROW('CASE MASTER'!#REF!)-1))),"")),"")</f>
        <v/>
      </c>
      <c r="G87" s="10" t="str">
        <f>IFERROR(IF(SUMPRODUCT((('CASE MASTER'!$T$2:$T$495=7)*('CASE MASTER'!$U$2:$U$495&lt;=1)*('CASE MASTER'!$W$2:$W$495&gt;=1)*('CASE MASTER'!$V$2:$V$495&lt;=6)*('CASE MASTER'!$X$2:$X$495&gt;=6))*ROW('CASE MASTER'!$T$2:$T$495))&gt;0,INDEX('CASE MASTER'!$Y$2:$Y$495,(SUMPRODUCT((('CASE MASTER'!$T$2:$T$495=7)*('CASE MASTER'!$U$2:$U$495&lt;=1)*('CASE MASTER'!$W$2:$W$495&gt;=1)*('CASE MASTER'!$V$2:$V$495&lt;=6)*('CASE MASTER'!$X$2:$X$495&gt;=6))*ROW('CASE MASTER'!$T$2:$T$495))-(ROW('CASE MASTER'!#REF!)-1)))&amp;TRIM(MID(SUBSTITUTE(SUBSTITUTE(INDEX('CASE MASTER'!$N$2:$N$495,(SUMPRODUCT((('CASE MASTER'!$T$2:$T$495=7)*('CASE MASTER'!$U$2:$U$495&lt;=1)*('CASE MASTER'!$W$2:$W$495&gt;=1)*('CASE MASTER'!$V$2:$V$495&lt;=6)*('CASE MASTER'!$X$2:$X$495&gt;=6))*ROW('CASE MASTER'!$T$2:$T$495))-(ROW('CASE MASTER'!#REF!)-1))),":",","),",",REPT(" ",50)),((((1-INDEX('CASE MASTER'!$U$2:$U$495,(SUMPRODUCT((('CASE MASTER'!$T$2:$T$495=7)*('CASE MASTER'!$U$2:$U$495&lt;=1)*('CASE MASTER'!$W$2:$W$495&gt;=1)*('CASE MASTER'!$V$2:$V$495&lt;=6)*('CASE MASTER'!$X$2:$X$495&gt;=6))*ROW('CASE MASTER'!$T$2:$T$495))-(ROW('CASE MASTER'!#REF!)-1))))*(INDEX('CASE MASTER'!$X$2:$X$495,(SUMPRODUCT((('CASE MASTER'!$T$2:$T$495=7)*('CASE MASTER'!$U$2:$U$495&lt;=1)*('CASE MASTER'!$W$2:$W$495&gt;=1)*('CASE MASTER'!$V$2:$V$495&lt;=6)*('CASE MASTER'!$X$2:$X$495&gt;=6))*ROW('CASE MASTER'!$T$2:$T$495))-(ROW('CASE MASTER'!#REF!)-1)))-INDEX('CASE MASTER'!$V$2:$V$495,(SUMPRODUCT((('CASE MASTER'!$T$2:$T$495=7)*('CASE MASTER'!$U$2:$U$495&lt;=1)*('CASE MASTER'!$W$2:$W$495&gt;=1)*('CASE MASTER'!$V$2:$V$495&lt;=6)*('CASE MASTER'!$X$2:$X$495&gt;=6))*ROW('CASE MASTER'!$T$2:$T$495))-(ROW('CASE MASTER'!#REF!)-1)))+1)+(6-INDEX('CASE MASTER'!$V$2:$V$495,(SUMPRODUCT((('CASE MASTER'!$T$2:$T$495=7)*('CASE MASTER'!$U$2:$U$495&lt;=1)*('CASE MASTER'!$W$2:$W$495&gt;=1)*('CASE MASTER'!$V$2:$V$495&lt;=6)*('CASE MASTER'!$X$2:$X$495&gt;=6))*ROW('CASE MASTER'!$T$2:$T$495))-(ROW('CASE MASTER'!#REF!)-1))))+1))-1)*50+1,50))&amp;"_"&amp;INDEX('CASE MASTER'!$Q$2:$Q$495,(SUMPRODUCT((('CASE MASTER'!$T$2:$T$495=7)*('CASE MASTER'!$U$2:$U$495&lt;=1)*('CASE MASTER'!$W$2:$W$495&gt;=1)*('CASE MASTER'!$V$2:$V$495&lt;=6)*('CASE MASTER'!$X$2:$X$495&gt;=6))*ROW('CASE MASTER'!$T$2:$T$495))-(ROW('CASE MASTER'!#REF!)-1))),IF(SUMPRODUCT((('CASE MASTER'!$T$2:$T$495=7)*('CASE MASTER'!$AA$2:$AA$495&lt;=1)*('CASE MASTER'!$AC$2:$AC$495&gt;=1)*('CASE MASTER'!$AB$2:$AB$495&lt;=6)*('CASE MASTER'!$AD$2:$AD$495&gt;=6))*ROW('CASE MASTER'!$T$2:$T$495))&gt;0,INDEX('CASE MASTER'!$Y$2:$Y$495,(SUMPRODUCT((('CASE MASTER'!$T$2:$T$495=7)*('CASE MASTER'!$AA$2:$AA$495&lt;=1)*('CASE MASTER'!$AC$2:$AC$495&gt;=1)*('CASE MASTER'!$AB$2:$AB$495&lt;=6)*('CASE MASTER'!$AD$2:$AD$495&gt;=6))*ROW('CASE MASTER'!$T$2:$T$495))-(ROW('CASE MASTER'!#REF!)-1)))&amp;TRIM(MID(SUBSTITUTE(SUBSTITUTE(INDEX('CASE MASTER'!$N$2:$N$495,(SUMPRODUCT((('CASE MASTER'!$T$2:$T$495=7)*('CASE MASTER'!$AA$2:$AA$495&lt;=1)*('CASE MASTER'!$AC$2:$AC$495&gt;=1)*('CASE MASTER'!$AB$2:$AB$495&lt;=6)*('CASE MASTER'!$AD$2:$AD$495&gt;=6))*ROW('CASE MASTER'!$T$2:$T$495))-(ROW('CASE MASTER'!#REF!)-1))),":",","),",",REPT(" ",50)),(((INDEX('CASE MASTER'!$Z$2:$Z$495,(SUMPRODUCT((('CASE MASTER'!$T$2:$T$495=7)*('CASE MASTER'!$AA$2:$AA$495&lt;=1)*('CASE MASTER'!$AC$2:$AC$495&gt;=1)*('CASE MASTER'!$AB$2:$AB$495&lt;=6)*('CASE MASTER'!$AD$2:$AD$495&gt;=6))*ROW('CASE MASTER'!$T$2:$T$495))-(ROW('CASE MASTER'!#REF!)-1)))+((1-INDEX('CASE MASTER'!$AA$2:$AA$495,(SUMPRODUCT((('CASE MASTER'!$T$2:$T$495=7)*('CASE MASTER'!$AA$2:$AA$495&lt;=1)*('CASE MASTER'!$AC$2:$AC$495&gt;=1)*('CASE MASTER'!$AB$2:$AB$495&lt;=6)*('CASE MASTER'!$AD$2:$AD$495&gt;=6))*ROW('CASE MASTER'!$T$2:$T$495))-(ROW('CASE MASTER'!#REF!)-1))))*(INDEX('CASE MASTER'!$AD$2:$AD$495,(SUMPRODUCT((('CASE MASTER'!$T$2:$T$495=7)*('CASE MASTER'!$AA$2:$AA$495&lt;=1)*('CASE MASTER'!$AC$2:$AC$495&gt;=1)*('CASE MASTER'!$AB$2:$AB$495&lt;=6)*('CASE MASTER'!$AD$2:$AD$495&gt;=6))*ROW('CASE MASTER'!$T$2:$T$495))-(ROW('CASE MASTER'!#REF!)-1)))-INDEX('CASE MASTER'!$AB$2:$AB$495,(SUMPRODUCT((('CASE MASTER'!$T$2:$T$495=7)*('CASE MASTER'!$AA$2:$AA$495&lt;=1)*('CASE MASTER'!$AC$2:$AC$495&gt;=1)*('CASE MASTER'!$AB$2:$AB$495&lt;=6)*('CASE MASTER'!$AD$2:$AD$495&gt;=6))*ROW('CASE MASTER'!$T$2:$T$495))-(ROW('CASE MASTER'!#REF!)-1)))+1)+(6-INDEX('CASE MASTER'!$AB$2:$AB$495,(SUMPRODUCT((('CASE MASTER'!$T$2:$T$495=7)*('CASE MASTER'!$AA$2:$AA$495&lt;=1)*('CASE MASTER'!$AC$2:$AC$495&gt;=1)*('CASE MASTER'!$AB$2:$AB$495&lt;=6)*('CASE MASTER'!$AD$2:$AD$495&gt;=6))*ROW('CASE MASTER'!$T$2:$T$495))-(ROW('CASE MASTER'!#REF!)-1))))+1)))-1)*50+1,50))&amp;"_"&amp;INDEX('CASE MASTER'!$Q$2:$Q$495,(SUMPRODUCT((('CASE MASTER'!$T$2:$T$495=7)*('CASE MASTER'!$AA$2:$AA$495&lt;=1)*('CASE MASTER'!$AC$2:$AC$495&gt;=1)*('CASE MASTER'!$AB$2:$AB$495&lt;=6)*('CASE MASTER'!$AD$2:$AD$495&gt;=6))*ROW('CASE MASTER'!$T$2:$T$495))-(ROW('CASE MASTER'!#REF!)-1))),"")),"")</f>
        <v/>
      </c>
      <c r="H87" s="10" t="str">
        <f>IFERROR(IF(SUMPRODUCT((('CASE MASTER'!$T$2:$T$495=7)*('CASE MASTER'!$U$2:$U$495&lt;=1)*('CASE MASTER'!$W$2:$W$495&gt;=1)*('CASE MASTER'!$V$2:$V$495&lt;=7)*('CASE MASTER'!$X$2:$X$495&gt;=7))*ROW('CASE MASTER'!$T$2:$T$495))&gt;0,INDEX('CASE MASTER'!$Y$2:$Y$495,(SUMPRODUCT((('CASE MASTER'!$T$2:$T$495=7)*('CASE MASTER'!$U$2:$U$495&lt;=1)*('CASE MASTER'!$W$2:$W$495&gt;=1)*('CASE MASTER'!$V$2:$V$495&lt;=7)*('CASE MASTER'!$X$2:$X$495&gt;=7))*ROW('CASE MASTER'!$T$2:$T$495))-(ROW('CASE MASTER'!#REF!)-1)))&amp;TRIM(MID(SUBSTITUTE(SUBSTITUTE(INDEX('CASE MASTER'!$N$2:$N$495,(SUMPRODUCT((('CASE MASTER'!$T$2:$T$495=7)*('CASE MASTER'!$U$2:$U$495&lt;=1)*('CASE MASTER'!$W$2:$W$495&gt;=1)*('CASE MASTER'!$V$2:$V$495&lt;=7)*('CASE MASTER'!$X$2:$X$495&gt;=7))*ROW('CASE MASTER'!$T$2:$T$495))-(ROW('CASE MASTER'!#REF!)-1))),":",","),",",REPT(" ",50)),((((1-INDEX('CASE MASTER'!$U$2:$U$495,(SUMPRODUCT((('CASE MASTER'!$T$2:$T$495=7)*('CASE MASTER'!$U$2:$U$495&lt;=1)*('CASE MASTER'!$W$2:$W$495&gt;=1)*('CASE MASTER'!$V$2:$V$495&lt;=7)*('CASE MASTER'!$X$2:$X$495&gt;=7))*ROW('CASE MASTER'!$T$2:$T$495))-(ROW('CASE MASTER'!#REF!)-1))))*(INDEX('CASE MASTER'!$X$2:$X$495,(SUMPRODUCT((('CASE MASTER'!$T$2:$T$495=7)*('CASE MASTER'!$U$2:$U$495&lt;=1)*('CASE MASTER'!$W$2:$W$495&gt;=1)*('CASE MASTER'!$V$2:$V$495&lt;=7)*('CASE MASTER'!$X$2:$X$495&gt;=7))*ROW('CASE MASTER'!$T$2:$T$495))-(ROW('CASE MASTER'!#REF!)-1)))-INDEX('CASE MASTER'!$V$2:$V$495,(SUMPRODUCT((('CASE MASTER'!$T$2:$T$495=7)*('CASE MASTER'!$U$2:$U$495&lt;=1)*('CASE MASTER'!$W$2:$W$495&gt;=1)*('CASE MASTER'!$V$2:$V$495&lt;=7)*('CASE MASTER'!$X$2:$X$495&gt;=7))*ROW('CASE MASTER'!$T$2:$T$495))-(ROW('CASE MASTER'!#REF!)-1)))+1)+(7-INDEX('CASE MASTER'!$V$2:$V$495,(SUMPRODUCT((('CASE MASTER'!$T$2:$T$495=7)*('CASE MASTER'!$U$2:$U$495&lt;=1)*('CASE MASTER'!$W$2:$W$495&gt;=1)*('CASE MASTER'!$V$2:$V$495&lt;=7)*('CASE MASTER'!$X$2:$X$495&gt;=7))*ROW('CASE MASTER'!$T$2:$T$495))-(ROW('CASE MASTER'!#REF!)-1))))+1))-1)*50+1,50))&amp;"_"&amp;INDEX('CASE MASTER'!$Q$2:$Q$495,(SUMPRODUCT((('CASE MASTER'!$T$2:$T$495=7)*('CASE MASTER'!$U$2:$U$495&lt;=1)*('CASE MASTER'!$W$2:$W$495&gt;=1)*('CASE MASTER'!$V$2:$V$495&lt;=7)*('CASE MASTER'!$X$2:$X$495&gt;=7))*ROW('CASE MASTER'!$T$2:$T$495))-(ROW('CASE MASTER'!#REF!)-1))),IF(SUMPRODUCT((('CASE MASTER'!$T$2:$T$495=7)*('CASE MASTER'!$AA$2:$AA$495&lt;=1)*('CASE MASTER'!$AC$2:$AC$495&gt;=1)*('CASE MASTER'!$AB$2:$AB$495&lt;=7)*('CASE MASTER'!$AD$2:$AD$495&gt;=7))*ROW('CASE MASTER'!$T$2:$T$495))&gt;0,INDEX('CASE MASTER'!$Y$2:$Y$495,(SUMPRODUCT((('CASE MASTER'!$T$2:$T$495=7)*('CASE MASTER'!$AA$2:$AA$495&lt;=1)*('CASE MASTER'!$AC$2:$AC$495&gt;=1)*('CASE MASTER'!$AB$2:$AB$495&lt;=7)*('CASE MASTER'!$AD$2:$AD$495&gt;=7))*ROW('CASE MASTER'!$T$2:$T$495))-(ROW('CASE MASTER'!#REF!)-1)))&amp;TRIM(MID(SUBSTITUTE(SUBSTITUTE(INDEX('CASE MASTER'!$N$2:$N$495,(SUMPRODUCT((('CASE MASTER'!$T$2:$T$495=7)*('CASE MASTER'!$AA$2:$AA$495&lt;=1)*('CASE MASTER'!$AC$2:$AC$495&gt;=1)*('CASE MASTER'!$AB$2:$AB$495&lt;=7)*('CASE MASTER'!$AD$2:$AD$495&gt;=7))*ROW('CASE MASTER'!$T$2:$T$495))-(ROW('CASE MASTER'!#REF!)-1))),":",","),",",REPT(" ",50)),(((INDEX('CASE MASTER'!$Z$2:$Z$495,(SUMPRODUCT((('CASE MASTER'!$T$2:$T$495=7)*('CASE MASTER'!$AA$2:$AA$495&lt;=1)*('CASE MASTER'!$AC$2:$AC$495&gt;=1)*('CASE MASTER'!$AB$2:$AB$495&lt;=7)*('CASE MASTER'!$AD$2:$AD$495&gt;=7))*ROW('CASE MASTER'!$T$2:$T$495))-(ROW('CASE MASTER'!#REF!)-1)))+((1-INDEX('CASE MASTER'!$AA$2:$AA$495,(SUMPRODUCT((('CASE MASTER'!$T$2:$T$495=7)*('CASE MASTER'!$AA$2:$AA$495&lt;=1)*('CASE MASTER'!$AC$2:$AC$495&gt;=1)*('CASE MASTER'!$AB$2:$AB$495&lt;=7)*('CASE MASTER'!$AD$2:$AD$495&gt;=7))*ROW('CASE MASTER'!$T$2:$T$495))-(ROW('CASE MASTER'!#REF!)-1))))*(INDEX('CASE MASTER'!$AD$2:$AD$495,(SUMPRODUCT((('CASE MASTER'!$T$2:$T$495=7)*('CASE MASTER'!$AA$2:$AA$495&lt;=1)*('CASE MASTER'!$AC$2:$AC$495&gt;=1)*('CASE MASTER'!$AB$2:$AB$495&lt;=7)*('CASE MASTER'!$AD$2:$AD$495&gt;=7))*ROW('CASE MASTER'!$T$2:$T$495))-(ROW('CASE MASTER'!#REF!)-1)))-INDEX('CASE MASTER'!$AB$2:$AB$495,(SUMPRODUCT((('CASE MASTER'!$T$2:$T$495=7)*('CASE MASTER'!$AA$2:$AA$495&lt;=1)*('CASE MASTER'!$AC$2:$AC$495&gt;=1)*('CASE MASTER'!$AB$2:$AB$495&lt;=7)*('CASE MASTER'!$AD$2:$AD$495&gt;=7))*ROW('CASE MASTER'!$T$2:$T$495))-(ROW('CASE MASTER'!#REF!)-1)))+1)+(7-INDEX('CASE MASTER'!$AB$2:$AB$495,(SUMPRODUCT((('CASE MASTER'!$T$2:$T$495=7)*('CASE MASTER'!$AA$2:$AA$495&lt;=1)*('CASE MASTER'!$AC$2:$AC$495&gt;=1)*('CASE MASTER'!$AB$2:$AB$495&lt;=7)*('CASE MASTER'!$AD$2:$AD$495&gt;=7))*ROW('CASE MASTER'!$T$2:$T$495))-(ROW('CASE MASTER'!#REF!)-1))))+1)))-1)*50+1,50))&amp;"_"&amp;INDEX('CASE MASTER'!$Q$2:$Q$495,(SUMPRODUCT((('CASE MASTER'!$T$2:$T$495=7)*('CASE MASTER'!$AA$2:$AA$495&lt;=1)*('CASE MASTER'!$AC$2:$AC$495&gt;=1)*('CASE MASTER'!$AB$2:$AB$495&lt;=7)*('CASE MASTER'!$AD$2:$AD$495&gt;=7))*ROW('CASE MASTER'!$T$2:$T$495))-(ROW('CASE MASTER'!#REF!)-1))),"")),"")</f>
        <v/>
      </c>
      <c r="I87" s="10" t="str">
        <f>IFERROR(IF(SUMPRODUCT((('CASE MASTER'!$T$2:$T$495=7)*('CASE MASTER'!$U$2:$U$495&lt;=1)*('CASE MASTER'!$W$2:$W$495&gt;=1)*('CASE MASTER'!$V$2:$V$495&lt;=8)*('CASE MASTER'!$X$2:$X$495&gt;=8))*ROW('CASE MASTER'!$T$2:$T$495))&gt;0,INDEX('CASE MASTER'!$Y$2:$Y$495,(SUMPRODUCT((('CASE MASTER'!$T$2:$T$495=7)*('CASE MASTER'!$U$2:$U$495&lt;=1)*('CASE MASTER'!$W$2:$W$495&gt;=1)*('CASE MASTER'!$V$2:$V$495&lt;=8)*('CASE MASTER'!$X$2:$X$495&gt;=8))*ROW('CASE MASTER'!$T$2:$T$495))-(ROW('CASE MASTER'!#REF!)-1)))&amp;TRIM(MID(SUBSTITUTE(SUBSTITUTE(INDEX('CASE MASTER'!$N$2:$N$495,(SUMPRODUCT((('CASE MASTER'!$T$2:$T$495=7)*('CASE MASTER'!$U$2:$U$495&lt;=1)*('CASE MASTER'!$W$2:$W$495&gt;=1)*('CASE MASTER'!$V$2:$V$495&lt;=8)*('CASE MASTER'!$X$2:$X$495&gt;=8))*ROW('CASE MASTER'!$T$2:$T$495))-(ROW('CASE MASTER'!#REF!)-1))),":",","),",",REPT(" ",50)),((((1-INDEX('CASE MASTER'!$U$2:$U$495,(SUMPRODUCT((('CASE MASTER'!$T$2:$T$495=7)*('CASE MASTER'!$U$2:$U$495&lt;=1)*('CASE MASTER'!$W$2:$W$495&gt;=1)*('CASE MASTER'!$V$2:$V$495&lt;=8)*('CASE MASTER'!$X$2:$X$495&gt;=8))*ROW('CASE MASTER'!$T$2:$T$495))-(ROW('CASE MASTER'!#REF!)-1))))*(INDEX('CASE MASTER'!$X$2:$X$495,(SUMPRODUCT((('CASE MASTER'!$T$2:$T$495=7)*('CASE MASTER'!$U$2:$U$495&lt;=1)*('CASE MASTER'!$W$2:$W$495&gt;=1)*('CASE MASTER'!$V$2:$V$495&lt;=8)*('CASE MASTER'!$X$2:$X$495&gt;=8))*ROW('CASE MASTER'!$T$2:$T$495))-(ROW('CASE MASTER'!#REF!)-1)))-INDEX('CASE MASTER'!$V$2:$V$495,(SUMPRODUCT((('CASE MASTER'!$T$2:$T$495=7)*('CASE MASTER'!$U$2:$U$495&lt;=1)*('CASE MASTER'!$W$2:$W$495&gt;=1)*('CASE MASTER'!$V$2:$V$495&lt;=8)*('CASE MASTER'!$X$2:$X$495&gt;=8))*ROW('CASE MASTER'!$T$2:$T$495))-(ROW('CASE MASTER'!#REF!)-1)))+1)+(8-INDEX('CASE MASTER'!$V$2:$V$495,(SUMPRODUCT((('CASE MASTER'!$T$2:$T$495=7)*('CASE MASTER'!$U$2:$U$495&lt;=1)*('CASE MASTER'!$W$2:$W$495&gt;=1)*('CASE MASTER'!$V$2:$V$495&lt;=8)*('CASE MASTER'!$X$2:$X$495&gt;=8))*ROW('CASE MASTER'!$T$2:$T$495))-(ROW('CASE MASTER'!#REF!)-1))))+1))-1)*50+1,50))&amp;"_"&amp;INDEX('CASE MASTER'!$Q$2:$Q$495,(SUMPRODUCT((('CASE MASTER'!$T$2:$T$495=7)*('CASE MASTER'!$U$2:$U$495&lt;=1)*('CASE MASTER'!$W$2:$W$495&gt;=1)*('CASE MASTER'!$V$2:$V$495&lt;=8)*('CASE MASTER'!$X$2:$X$495&gt;=8))*ROW('CASE MASTER'!$T$2:$T$495))-(ROW('CASE MASTER'!#REF!)-1))),IF(SUMPRODUCT((('CASE MASTER'!$T$2:$T$495=7)*('CASE MASTER'!$AA$2:$AA$495&lt;=1)*('CASE MASTER'!$AC$2:$AC$495&gt;=1)*('CASE MASTER'!$AB$2:$AB$495&lt;=8)*('CASE MASTER'!$AD$2:$AD$495&gt;=8))*ROW('CASE MASTER'!$T$2:$T$495))&gt;0,INDEX('CASE MASTER'!$Y$2:$Y$495,(SUMPRODUCT((('CASE MASTER'!$T$2:$T$495=7)*('CASE MASTER'!$AA$2:$AA$495&lt;=1)*('CASE MASTER'!$AC$2:$AC$495&gt;=1)*('CASE MASTER'!$AB$2:$AB$495&lt;=8)*('CASE MASTER'!$AD$2:$AD$495&gt;=8))*ROW('CASE MASTER'!$T$2:$T$495))-(ROW('CASE MASTER'!#REF!)-1)))&amp;TRIM(MID(SUBSTITUTE(SUBSTITUTE(INDEX('CASE MASTER'!$N$2:$N$495,(SUMPRODUCT((('CASE MASTER'!$T$2:$T$495=7)*('CASE MASTER'!$AA$2:$AA$495&lt;=1)*('CASE MASTER'!$AC$2:$AC$495&gt;=1)*('CASE MASTER'!$AB$2:$AB$495&lt;=8)*('CASE MASTER'!$AD$2:$AD$495&gt;=8))*ROW('CASE MASTER'!$T$2:$T$495))-(ROW('CASE MASTER'!#REF!)-1))),":",","),",",REPT(" ",50)),(((INDEX('CASE MASTER'!$Z$2:$Z$495,(SUMPRODUCT((('CASE MASTER'!$T$2:$T$495=7)*('CASE MASTER'!$AA$2:$AA$495&lt;=1)*('CASE MASTER'!$AC$2:$AC$495&gt;=1)*('CASE MASTER'!$AB$2:$AB$495&lt;=8)*('CASE MASTER'!$AD$2:$AD$495&gt;=8))*ROW('CASE MASTER'!$T$2:$T$495))-(ROW('CASE MASTER'!#REF!)-1)))+((1-INDEX('CASE MASTER'!$AA$2:$AA$495,(SUMPRODUCT((('CASE MASTER'!$T$2:$T$495=7)*('CASE MASTER'!$AA$2:$AA$495&lt;=1)*('CASE MASTER'!$AC$2:$AC$495&gt;=1)*('CASE MASTER'!$AB$2:$AB$495&lt;=8)*('CASE MASTER'!$AD$2:$AD$495&gt;=8))*ROW('CASE MASTER'!$T$2:$T$495))-(ROW('CASE MASTER'!#REF!)-1))))*(INDEX('CASE MASTER'!$AD$2:$AD$495,(SUMPRODUCT((('CASE MASTER'!$T$2:$T$495=7)*('CASE MASTER'!$AA$2:$AA$495&lt;=1)*('CASE MASTER'!$AC$2:$AC$495&gt;=1)*('CASE MASTER'!$AB$2:$AB$495&lt;=8)*('CASE MASTER'!$AD$2:$AD$495&gt;=8))*ROW('CASE MASTER'!$T$2:$T$495))-(ROW('CASE MASTER'!#REF!)-1)))-INDEX('CASE MASTER'!$AB$2:$AB$495,(SUMPRODUCT((('CASE MASTER'!$T$2:$T$495=7)*('CASE MASTER'!$AA$2:$AA$495&lt;=1)*('CASE MASTER'!$AC$2:$AC$495&gt;=1)*('CASE MASTER'!$AB$2:$AB$495&lt;=8)*('CASE MASTER'!$AD$2:$AD$495&gt;=8))*ROW('CASE MASTER'!$T$2:$T$495))-(ROW('CASE MASTER'!#REF!)-1)))+1)+(8-INDEX('CASE MASTER'!$AB$2:$AB$495,(SUMPRODUCT((('CASE MASTER'!$T$2:$T$495=7)*('CASE MASTER'!$AA$2:$AA$495&lt;=1)*('CASE MASTER'!$AC$2:$AC$495&gt;=1)*('CASE MASTER'!$AB$2:$AB$495&lt;=8)*('CASE MASTER'!$AD$2:$AD$495&gt;=8))*ROW('CASE MASTER'!$T$2:$T$495))-(ROW('CASE MASTER'!#REF!)-1))))+1)))-1)*50+1,50))&amp;"_"&amp;INDEX('CASE MASTER'!$Q$2:$Q$495,(SUMPRODUCT((('CASE MASTER'!$T$2:$T$495=7)*('CASE MASTER'!$AA$2:$AA$495&lt;=1)*('CASE MASTER'!$AC$2:$AC$495&gt;=1)*('CASE MASTER'!$AB$2:$AB$495&lt;=8)*('CASE MASTER'!$AD$2:$AD$495&gt;=8))*ROW('CASE MASTER'!$T$2:$T$495))-(ROW('CASE MASTER'!#REF!)-1))),"")),"")</f>
        <v/>
      </c>
      <c r="J87" s="10" t="str">
        <f>IFERROR(IF(SUMPRODUCT((('CASE MASTER'!$T$2:$T$495=7)*('CASE MASTER'!$U$2:$U$495&lt;=1)*('CASE MASTER'!$W$2:$W$495&gt;=1)*('CASE MASTER'!$V$2:$V$495&lt;=9)*('CASE MASTER'!$X$2:$X$495&gt;=9))*ROW('CASE MASTER'!$T$2:$T$495))&gt;0,INDEX('CASE MASTER'!$Y$2:$Y$495,(SUMPRODUCT((('CASE MASTER'!$T$2:$T$495=7)*('CASE MASTER'!$U$2:$U$495&lt;=1)*('CASE MASTER'!$W$2:$W$495&gt;=1)*('CASE MASTER'!$V$2:$V$495&lt;=9)*('CASE MASTER'!$X$2:$X$495&gt;=9))*ROW('CASE MASTER'!$T$2:$T$495))-(ROW('CASE MASTER'!#REF!)-1)))&amp;TRIM(MID(SUBSTITUTE(SUBSTITUTE(INDEX('CASE MASTER'!$N$2:$N$495,(SUMPRODUCT((('CASE MASTER'!$T$2:$T$495=7)*('CASE MASTER'!$U$2:$U$495&lt;=1)*('CASE MASTER'!$W$2:$W$495&gt;=1)*('CASE MASTER'!$V$2:$V$495&lt;=9)*('CASE MASTER'!$X$2:$X$495&gt;=9))*ROW('CASE MASTER'!$T$2:$T$495))-(ROW('CASE MASTER'!#REF!)-1))),":",","),",",REPT(" ",50)),((((1-INDEX('CASE MASTER'!$U$2:$U$495,(SUMPRODUCT((('CASE MASTER'!$T$2:$T$495=7)*('CASE MASTER'!$U$2:$U$495&lt;=1)*('CASE MASTER'!$W$2:$W$495&gt;=1)*('CASE MASTER'!$V$2:$V$495&lt;=9)*('CASE MASTER'!$X$2:$X$495&gt;=9))*ROW('CASE MASTER'!$T$2:$T$495))-(ROW('CASE MASTER'!#REF!)-1))))*(INDEX('CASE MASTER'!$X$2:$X$495,(SUMPRODUCT((('CASE MASTER'!$T$2:$T$495=7)*('CASE MASTER'!$U$2:$U$495&lt;=1)*('CASE MASTER'!$W$2:$W$495&gt;=1)*('CASE MASTER'!$V$2:$V$495&lt;=9)*('CASE MASTER'!$X$2:$X$495&gt;=9))*ROW('CASE MASTER'!$T$2:$T$495))-(ROW('CASE MASTER'!#REF!)-1)))-INDEX('CASE MASTER'!$V$2:$V$495,(SUMPRODUCT((('CASE MASTER'!$T$2:$T$495=7)*('CASE MASTER'!$U$2:$U$495&lt;=1)*('CASE MASTER'!$W$2:$W$495&gt;=1)*('CASE MASTER'!$V$2:$V$495&lt;=9)*('CASE MASTER'!$X$2:$X$495&gt;=9))*ROW('CASE MASTER'!$T$2:$T$495))-(ROW('CASE MASTER'!#REF!)-1)))+1)+(9-INDEX('CASE MASTER'!$V$2:$V$495,(SUMPRODUCT((('CASE MASTER'!$T$2:$T$495=7)*('CASE MASTER'!$U$2:$U$495&lt;=1)*('CASE MASTER'!$W$2:$W$495&gt;=1)*('CASE MASTER'!$V$2:$V$495&lt;=9)*('CASE MASTER'!$X$2:$X$495&gt;=9))*ROW('CASE MASTER'!$T$2:$T$495))-(ROW('CASE MASTER'!#REF!)-1))))+1))-1)*50+1,50))&amp;"_"&amp;INDEX('CASE MASTER'!$Q$2:$Q$495,(SUMPRODUCT((('CASE MASTER'!$T$2:$T$495=7)*('CASE MASTER'!$U$2:$U$495&lt;=1)*('CASE MASTER'!$W$2:$W$495&gt;=1)*('CASE MASTER'!$V$2:$V$495&lt;=9)*('CASE MASTER'!$X$2:$X$495&gt;=9))*ROW('CASE MASTER'!$T$2:$T$495))-(ROW('CASE MASTER'!#REF!)-1))),IF(SUMPRODUCT((('CASE MASTER'!$T$2:$T$495=7)*('CASE MASTER'!$AA$2:$AA$495&lt;=1)*('CASE MASTER'!$AC$2:$AC$495&gt;=1)*('CASE MASTER'!$AB$2:$AB$495&lt;=9)*('CASE MASTER'!$AD$2:$AD$495&gt;=9))*ROW('CASE MASTER'!$T$2:$T$495))&gt;0,INDEX('CASE MASTER'!$Y$2:$Y$495,(SUMPRODUCT((('CASE MASTER'!$T$2:$T$495=7)*('CASE MASTER'!$AA$2:$AA$495&lt;=1)*('CASE MASTER'!$AC$2:$AC$495&gt;=1)*('CASE MASTER'!$AB$2:$AB$495&lt;=9)*('CASE MASTER'!$AD$2:$AD$495&gt;=9))*ROW('CASE MASTER'!$T$2:$T$495))-(ROW('CASE MASTER'!#REF!)-1)))&amp;TRIM(MID(SUBSTITUTE(SUBSTITUTE(INDEX('CASE MASTER'!$N$2:$N$495,(SUMPRODUCT((('CASE MASTER'!$T$2:$T$495=7)*('CASE MASTER'!$AA$2:$AA$495&lt;=1)*('CASE MASTER'!$AC$2:$AC$495&gt;=1)*('CASE MASTER'!$AB$2:$AB$495&lt;=9)*('CASE MASTER'!$AD$2:$AD$495&gt;=9))*ROW('CASE MASTER'!$T$2:$T$495))-(ROW('CASE MASTER'!#REF!)-1))),":",","),",",REPT(" ",50)),(((INDEX('CASE MASTER'!$Z$2:$Z$495,(SUMPRODUCT((('CASE MASTER'!$T$2:$T$495=7)*('CASE MASTER'!$AA$2:$AA$495&lt;=1)*('CASE MASTER'!$AC$2:$AC$495&gt;=1)*('CASE MASTER'!$AB$2:$AB$495&lt;=9)*('CASE MASTER'!$AD$2:$AD$495&gt;=9))*ROW('CASE MASTER'!$T$2:$T$495))-(ROW('CASE MASTER'!#REF!)-1)))+((1-INDEX('CASE MASTER'!$AA$2:$AA$495,(SUMPRODUCT((('CASE MASTER'!$T$2:$T$495=7)*('CASE MASTER'!$AA$2:$AA$495&lt;=1)*('CASE MASTER'!$AC$2:$AC$495&gt;=1)*('CASE MASTER'!$AB$2:$AB$495&lt;=9)*('CASE MASTER'!$AD$2:$AD$495&gt;=9))*ROW('CASE MASTER'!$T$2:$T$495))-(ROW('CASE MASTER'!#REF!)-1))))*(INDEX('CASE MASTER'!$AD$2:$AD$495,(SUMPRODUCT((('CASE MASTER'!$T$2:$T$495=7)*('CASE MASTER'!$AA$2:$AA$495&lt;=1)*('CASE MASTER'!$AC$2:$AC$495&gt;=1)*('CASE MASTER'!$AB$2:$AB$495&lt;=9)*('CASE MASTER'!$AD$2:$AD$495&gt;=9))*ROW('CASE MASTER'!$T$2:$T$495))-(ROW('CASE MASTER'!#REF!)-1)))-INDEX('CASE MASTER'!$AB$2:$AB$495,(SUMPRODUCT((('CASE MASTER'!$T$2:$T$495=7)*('CASE MASTER'!$AA$2:$AA$495&lt;=1)*('CASE MASTER'!$AC$2:$AC$495&gt;=1)*('CASE MASTER'!$AB$2:$AB$495&lt;=9)*('CASE MASTER'!$AD$2:$AD$495&gt;=9))*ROW('CASE MASTER'!$T$2:$T$495))-(ROW('CASE MASTER'!#REF!)-1)))+1)+(9-INDEX('CASE MASTER'!$AB$2:$AB$495,(SUMPRODUCT((('CASE MASTER'!$T$2:$T$495=7)*('CASE MASTER'!$AA$2:$AA$495&lt;=1)*('CASE MASTER'!$AC$2:$AC$495&gt;=1)*('CASE MASTER'!$AB$2:$AB$495&lt;=9)*('CASE MASTER'!$AD$2:$AD$495&gt;=9))*ROW('CASE MASTER'!$T$2:$T$495))-(ROW('CASE MASTER'!#REF!)-1))))+1)))-1)*50+1,50))&amp;"_"&amp;INDEX('CASE MASTER'!$Q$2:$Q$495,(SUMPRODUCT((('CASE MASTER'!$T$2:$T$495=7)*('CASE MASTER'!$AA$2:$AA$495&lt;=1)*('CASE MASTER'!$AC$2:$AC$495&gt;=1)*('CASE MASTER'!$AB$2:$AB$495&lt;=9)*('CASE MASTER'!$AD$2:$AD$495&gt;=9))*ROW('CASE MASTER'!$T$2:$T$495))-(ROW('CASE MASTER'!#REF!)-1))),"")),"")</f>
        <v/>
      </c>
      <c r="K87" s="10" t="str">
        <f>IFERROR(IF(SUMPRODUCT((('CASE MASTER'!$T$2:$T$495=7)*('CASE MASTER'!$U$2:$U$495&lt;=1)*('CASE MASTER'!$W$2:$W$495&gt;=1)*('CASE MASTER'!$V$2:$V$495&lt;=10)*('CASE MASTER'!$X$2:$X$495&gt;=10))*ROW('CASE MASTER'!$T$2:$T$495))&gt;0,INDEX('CASE MASTER'!$Y$2:$Y$495,(SUMPRODUCT((('CASE MASTER'!$T$2:$T$495=7)*('CASE MASTER'!$U$2:$U$495&lt;=1)*('CASE MASTER'!$W$2:$W$495&gt;=1)*('CASE MASTER'!$V$2:$V$495&lt;=10)*('CASE MASTER'!$X$2:$X$495&gt;=10))*ROW('CASE MASTER'!$T$2:$T$495))-(ROW('CASE MASTER'!#REF!)-1)))&amp;TRIM(MID(SUBSTITUTE(SUBSTITUTE(INDEX('CASE MASTER'!$N$2:$N$495,(SUMPRODUCT((('CASE MASTER'!$T$2:$T$495=7)*('CASE MASTER'!$U$2:$U$495&lt;=1)*('CASE MASTER'!$W$2:$W$495&gt;=1)*('CASE MASTER'!$V$2:$V$495&lt;=10)*('CASE MASTER'!$X$2:$X$495&gt;=10))*ROW('CASE MASTER'!$T$2:$T$495))-(ROW('CASE MASTER'!#REF!)-1))),":",","),",",REPT(" ",50)),((((1-INDEX('CASE MASTER'!$U$2:$U$495,(SUMPRODUCT((('CASE MASTER'!$T$2:$T$495=7)*('CASE MASTER'!$U$2:$U$495&lt;=1)*('CASE MASTER'!$W$2:$W$495&gt;=1)*('CASE MASTER'!$V$2:$V$495&lt;=10)*('CASE MASTER'!$X$2:$X$495&gt;=10))*ROW('CASE MASTER'!$T$2:$T$495))-(ROW('CASE MASTER'!#REF!)-1))))*(INDEX('CASE MASTER'!$X$2:$X$495,(SUMPRODUCT((('CASE MASTER'!$T$2:$T$495=7)*('CASE MASTER'!$U$2:$U$495&lt;=1)*('CASE MASTER'!$W$2:$W$495&gt;=1)*('CASE MASTER'!$V$2:$V$495&lt;=10)*('CASE MASTER'!$X$2:$X$495&gt;=10))*ROW('CASE MASTER'!$T$2:$T$495))-(ROW('CASE MASTER'!#REF!)-1)))-INDEX('CASE MASTER'!$V$2:$V$495,(SUMPRODUCT((('CASE MASTER'!$T$2:$T$495=7)*('CASE MASTER'!$U$2:$U$495&lt;=1)*('CASE MASTER'!$W$2:$W$495&gt;=1)*('CASE MASTER'!$V$2:$V$495&lt;=10)*('CASE MASTER'!$X$2:$X$495&gt;=10))*ROW('CASE MASTER'!$T$2:$T$495))-(ROW('CASE MASTER'!#REF!)-1)))+1)+(10-INDEX('CASE MASTER'!$V$2:$V$495,(SUMPRODUCT((('CASE MASTER'!$T$2:$T$495=7)*('CASE MASTER'!$U$2:$U$495&lt;=1)*('CASE MASTER'!$W$2:$W$495&gt;=1)*('CASE MASTER'!$V$2:$V$495&lt;=10)*('CASE MASTER'!$X$2:$X$495&gt;=10))*ROW('CASE MASTER'!$T$2:$T$495))-(ROW('CASE MASTER'!#REF!)-1))))+1))-1)*50+1,50))&amp;"_"&amp;INDEX('CASE MASTER'!$Q$2:$Q$495,(SUMPRODUCT((('CASE MASTER'!$T$2:$T$495=7)*('CASE MASTER'!$U$2:$U$495&lt;=1)*('CASE MASTER'!$W$2:$W$495&gt;=1)*('CASE MASTER'!$V$2:$V$495&lt;=10)*('CASE MASTER'!$X$2:$X$495&gt;=10))*ROW('CASE MASTER'!$T$2:$T$495))-(ROW('CASE MASTER'!#REF!)-1))),IF(SUMPRODUCT((('CASE MASTER'!$T$2:$T$495=7)*('CASE MASTER'!$AA$2:$AA$495&lt;=1)*('CASE MASTER'!$AC$2:$AC$495&gt;=1)*('CASE MASTER'!$AB$2:$AB$495&lt;=10)*('CASE MASTER'!$AD$2:$AD$495&gt;=10))*ROW('CASE MASTER'!$T$2:$T$495))&gt;0,INDEX('CASE MASTER'!$Y$2:$Y$495,(SUMPRODUCT((('CASE MASTER'!$T$2:$T$495=7)*('CASE MASTER'!$AA$2:$AA$495&lt;=1)*('CASE MASTER'!$AC$2:$AC$495&gt;=1)*('CASE MASTER'!$AB$2:$AB$495&lt;=10)*('CASE MASTER'!$AD$2:$AD$495&gt;=10))*ROW('CASE MASTER'!$T$2:$T$495))-(ROW('CASE MASTER'!#REF!)-1)))&amp;TRIM(MID(SUBSTITUTE(SUBSTITUTE(INDEX('CASE MASTER'!$N$2:$N$495,(SUMPRODUCT((('CASE MASTER'!$T$2:$T$495=7)*('CASE MASTER'!$AA$2:$AA$495&lt;=1)*('CASE MASTER'!$AC$2:$AC$495&gt;=1)*('CASE MASTER'!$AB$2:$AB$495&lt;=10)*('CASE MASTER'!$AD$2:$AD$495&gt;=10))*ROW('CASE MASTER'!$T$2:$T$495))-(ROW('CASE MASTER'!#REF!)-1))),":",","),",",REPT(" ",50)),(((INDEX('CASE MASTER'!$Z$2:$Z$495,(SUMPRODUCT((('CASE MASTER'!$T$2:$T$495=7)*('CASE MASTER'!$AA$2:$AA$495&lt;=1)*('CASE MASTER'!$AC$2:$AC$495&gt;=1)*('CASE MASTER'!$AB$2:$AB$495&lt;=10)*('CASE MASTER'!$AD$2:$AD$495&gt;=10))*ROW('CASE MASTER'!$T$2:$T$495))-(ROW('CASE MASTER'!#REF!)-1)))+((1-INDEX('CASE MASTER'!$AA$2:$AA$495,(SUMPRODUCT((('CASE MASTER'!$T$2:$T$495=7)*('CASE MASTER'!$AA$2:$AA$495&lt;=1)*('CASE MASTER'!$AC$2:$AC$495&gt;=1)*('CASE MASTER'!$AB$2:$AB$495&lt;=10)*('CASE MASTER'!$AD$2:$AD$495&gt;=10))*ROW('CASE MASTER'!$T$2:$T$495))-(ROW('CASE MASTER'!#REF!)-1))))*(INDEX('CASE MASTER'!$AD$2:$AD$495,(SUMPRODUCT((('CASE MASTER'!$T$2:$T$495=7)*('CASE MASTER'!$AA$2:$AA$495&lt;=1)*('CASE MASTER'!$AC$2:$AC$495&gt;=1)*('CASE MASTER'!$AB$2:$AB$495&lt;=10)*('CASE MASTER'!$AD$2:$AD$495&gt;=10))*ROW('CASE MASTER'!$T$2:$T$495))-(ROW('CASE MASTER'!#REF!)-1)))-INDEX('CASE MASTER'!$AB$2:$AB$495,(SUMPRODUCT((('CASE MASTER'!$T$2:$T$495=7)*('CASE MASTER'!$AA$2:$AA$495&lt;=1)*('CASE MASTER'!$AC$2:$AC$495&gt;=1)*('CASE MASTER'!$AB$2:$AB$495&lt;=10)*('CASE MASTER'!$AD$2:$AD$495&gt;=10))*ROW('CASE MASTER'!$T$2:$T$495))-(ROW('CASE MASTER'!#REF!)-1)))+1)+(10-INDEX('CASE MASTER'!$AB$2:$AB$495,(SUMPRODUCT((('CASE MASTER'!$T$2:$T$495=7)*('CASE MASTER'!$AA$2:$AA$495&lt;=1)*('CASE MASTER'!$AC$2:$AC$495&gt;=1)*('CASE MASTER'!$AB$2:$AB$495&lt;=10)*('CASE MASTER'!$AD$2:$AD$495&gt;=10))*ROW('CASE MASTER'!$T$2:$T$495))-(ROW('CASE MASTER'!#REF!)-1))))+1)))-1)*50+1,50))&amp;"_"&amp;INDEX('CASE MASTER'!$Q$2:$Q$495,(SUMPRODUCT((('CASE MASTER'!$T$2:$T$495=7)*('CASE MASTER'!$AA$2:$AA$495&lt;=1)*('CASE MASTER'!$AC$2:$AC$495&gt;=1)*('CASE MASTER'!$AB$2:$AB$495&lt;=10)*('CASE MASTER'!$AD$2:$AD$495&gt;=10))*ROW('CASE MASTER'!$T$2:$T$495))-(ROW('CASE MASTER'!#REF!)-1))),"")),"")</f>
        <v/>
      </c>
    </row>
    <row r="88" spans="1:11" ht="15" customHeight="1" x14ac:dyDescent="0.35">
      <c r="A88" s="8" t="s">
        <v>29</v>
      </c>
      <c r="B88" s="10" t="str">
        <f>IFERROR(IF(SUMPRODUCT((('CASE MASTER'!$T$2:$T$495=7)*('CASE MASTER'!$U$2:$U$495&lt;=2)*('CASE MASTER'!$W$2:$W$495&gt;=2)*('CASE MASTER'!$V$2:$V$495&lt;=1)*('CASE MASTER'!$X$2:$X$495&gt;=1))*ROW('CASE MASTER'!$T$2:$T$495))&gt;0,INDEX('CASE MASTER'!$Y$2:$Y$495,(SUMPRODUCT((('CASE MASTER'!$T$2:$T$495=7)*('CASE MASTER'!$U$2:$U$495&lt;=2)*('CASE MASTER'!$W$2:$W$495&gt;=2)*('CASE MASTER'!$V$2:$V$495&lt;=1)*('CASE MASTER'!$X$2:$X$495&gt;=1))*ROW('CASE MASTER'!$T$2:$T$495))-(ROW('CASE MASTER'!#REF!)-1)))&amp;TRIM(MID(SUBSTITUTE(SUBSTITUTE(INDEX('CASE MASTER'!$N$2:$N$495,(SUMPRODUCT((('CASE MASTER'!$T$2:$T$495=7)*('CASE MASTER'!$U$2:$U$495&lt;=2)*('CASE MASTER'!$W$2:$W$495&gt;=2)*('CASE MASTER'!$V$2:$V$495&lt;=1)*('CASE MASTER'!$X$2:$X$495&gt;=1))*ROW('CASE MASTER'!$T$2:$T$495))-(ROW('CASE MASTER'!#REF!)-1))),":",","),",",REPT(" ",50)),((((2-INDEX('CASE MASTER'!$U$2:$U$495,(SUMPRODUCT((('CASE MASTER'!$T$2:$T$495=7)*('CASE MASTER'!$U$2:$U$495&lt;=2)*('CASE MASTER'!$W$2:$W$495&gt;=2)*('CASE MASTER'!$V$2:$V$495&lt;=1)*('CASE MASTER'!$X$2:$X$495&gt;=1))*ROW('CASE MASTER'!$T$2:$T$495))-(ROW('CASE MASTER'!#REF!)-1))))*(INDEX('CASE MASTER'!$X$2:$X$495,(SUMPRODUCT((('CASE MASTER'!$T$2:$T$495=7)*('CASE MASTER'!$U$2:$U$495&lt;=2)*('CASE MASTER'!$W$2:$W$495&gt;=2)*('CASE MASTER'!$V$2:$V$495&lt;=1)*('CASE MASTER'!$X$2:$X$495&gt;=1))*ROW('CASE MASTER'!$T$2:$T$495))-(ROW('CASE MASTER'!#REF!)-1)))-INDEX('CASE MASTER'!$V$2:$V$495,(SUMPRODUCT((('CASE MASTER'!$T$2:$T$495=7)*('CASE MASTER'!$U$2:$U$495&lt;=2)*('CASE MASTER'!$W$2:$W$495&gt;=2)*('CASE MASTER'!$V$2:$V$495&lt;=1)*('CASE MASTER'!$X$2:$X$495&gt;=1))*ROW('CASE MASTER'!$T$2:$T$495))-(ROW('CASE MASTER'!#REF!)-1)))+1)+(1-INDEX('CASE MASTER'!$V$2:$V$495,(SUMPRODUCT((('CASE MASTER'!$T$2:$T$495=7)*('CASE MASTER'!$U$2:$U$495&lt;=2)*('CASE MASTER'!$W$2:$W$495&gt;=2)*('CASE MASTER'!$V$2:$V$495&lt;=1)*('CASE MASTER'!$X$2:$X$495&gt;=1))*ROW('CASE MASTER'!$T$2:$T$495))-(ROW('CASE MASTER'!#REF!)-1))))+1))-1)*50+1,50))&amp;"_"&amp;INDEX('CASE MASTER'!$Q$2:$Q$495,(SUMPRODUCT((('CASE MASTER'!$T$2:$T$495=7)*('CASE MASTER'!$U$2:$U$495&lt;=2)*('CASE MASTER'!$W$2:$W$495&gt;=2)*('CASE MASTER'!$V$2:$V$495&lt;=1)*('CASE MASTER'!$X$2:$X$495&gt;=1))*ROW('CASE MASTER'!$T$2:$T$495))-(ROW('CASE MASTER'!#REF!)-1))),IF(SUMPRODUCT((('CASE MASTER'!$T$2:$T$495=7)*('CASE MASTER'!$AA$2:$AA$495&lt;=2)*('CASE MASTER'!$AC$2:$AC$495&gt;=2)*('CASE MASTER'!$AB$2:$AB$495&lt;=1)*('CASE MASTER'!$AD$2:$AD$495&gt;=1))*ROW('CASE MASTER'!$T$2:$T$495))&gt;0,INDEX('CASE MASTER'!$Y$2:$Y$495,(SUMPRODUCT((('CASE MASTER'!$T$2:$T$495=7)*('CASE MASTER'!$AA$2:$AA$495&lt;=2)*('CASE MASTER'!$AC$2:$AC$495&gt;=2)*('CASE MASTER'!$AB$2:$AB$495&lt;=1)*('CASE MASTER'!$AD$2:$AD$495&gt;=1))*ROW('CASE MASTER'!$T$2:$T$495))-(ROW('CASE MASTER'!#REF!)-1)))&amp;TRIM(MID(SUBSTITUTE(SUBSTITUTE(INDEX('CASE MASTER'!$N$2:$N$495,(SUMPRODUCT((('CASE MASTER'!$T$2:$T$495=7)*('CASE MASTER'!$AA$2:$AA$495&lt;=2)*('CASE MASTER'!$AC$2:$AC$495&gt;=2)*('CASE MASTER'!$AB$2:$AB$495&lt;=1)*('CASE MASTER'!$AD$2:$AD$495&gt;=1))*ROW('CASE MASTER'!$T$2:$T$495))-(ROW('CASE MASTER'!#REF!)-1))),":",","),",",REPT(" ",50)),(((INDEX('CASE MASTER'!$Z$2:$Z$495,(SUMPRODUCT((('CASE MASTER'!$T$2:$T$495=7)*('CASE MASTER'!$AA$2:$AA$495&lt;=2)*('CASE MASTER'!$AC$2:$AC$495&gt;=2)*('CASE MASTER'!$AB$2:$AB$495&lt;=1)*('CASE MASTER'!$AD$2:$AD$495&gt;=1))*ROW('CASE MASTER'!$T$2:$T$495))-(ROW('CASE MASTER'!#REF!)-1)))+((2-INDEX('CASE MASTER'!$AA$2:$AA$495,(SUMPRODUCT((('CASE MASTER'!$T$2:$T$495=7)*('CASE MASTER'!$AA$2:$AA$495&lt;=2)*('CASE MASTER'!$AC$2:$AC$495&gt;=2)*('CASE MASTER'!$AB$2:$AB$495&lt;=1)*('CASE MASTER'!$AD$2:$AD$495&gt;=1))*ROW('CASE MASTER'!$T$2:$T$495))-(ROW('CASE MASTER'!#REF!)-1))))*(INDEX('CASE MASTER'!$AD$2:$AD$495,(SUMPRODUCT((('CASE MASTER'!$T$2:$T$495=7)*('CASE MASTER'!$AA$2:$AA$495&lt;=2)*('CASE MASTER'!$AC$2:$AC$495&gt;=2)*('CASE MASTER'!$AB$2:$AB$495&lt;=1)*('CASE MASTER'!$AD$2:$AD$495&gt;=1))*ROW('CASE MASTER'!$T$2:$T$495))-(ROW('CASE MASTER'!#REF!)-1)))-INDEX('CASE MASTER'!$AB$2:$AB$495,(SUMPRODUCT((('CASE MASTER'!$T$2:$T$495=7)*('CASE MASTER'!$AA$2:$AA$495&lt;=2)*('CASE MASTER'!$AC$2:$AC$495&gt;=2)*('CASE MASTER'!$AB$2:$AB$495&lt;=1)*('CASE MASTER'!$AD$2:$AD$495&gt;=1))*ROW('CASE MASTER'!$T$2:$T$495))-(ROW('CASE MASTER'!#REF!)-1)))+1)+(1-INDEX('CASE MASTER'!$AB$2:$AB$495,(SUMPRODUCT((('CASE MASTER'!$T$2:$T$495=7)*('CASE MASTER'!$AA$2:$AA$495&lt;=2)*('CASE MASTER'!$AC$2:$AC$495&gt;=2)*('CASE MASTER'!$AB$2:$AB$495&lt;=1)*('CASE MASTER'!$AD$2:$AD$495&gt;=1))*ROW('CASE MASTER'!$T$2:$T$495))-(ROW('CASE MASTER'!#REF!)-1))))+1)))-1)*50+1,50))&amp;"_"&amp;INDEX('CASE MASTER'!$Q$2:$Q$495,(SUMPRODUCT((('CASE MASTER'!$T$2:$T$495=7)*('CASE MASTER'!$AA$2:$AA$495&lt;=2)*('CASE MASTER'!$AC$2:$AC$495&gt;=2)*('CASE MASTER'!$AB$2:$AB$495&lt;=1)*('CASE MASTER'!$AD$2:$AD$495&gt;=1))*ROW('CASE MASTER'!$T$2:$T$495))-(ROW('CASE MASTER'!#REF!)-1))),"")),"")</f>
        <v/>
      </c>
      <c r="C88" s="10" t="str">
        <f>IFERROR(IF(SUMPRODUCT((('CASE MASTER'!$T$2:$T$495=7)*('CASE MASTER'!$U$2:$U$495&lt;=2)*('CASE MASTER'!$W$2:$W$495&gt;=2)*('CASE MASTER'!$V$2:$V$495&lt;=2)*('CASE MASTER'!$X$2:$X$495&gt;=2))*ROW('CASE MASTER'!$T$2:$T$495))&gt;0,INDEX('CASE MASTER'!$Y$2:$Y$495,(SUMPRODUCT((('CASE MASTER'!$T$2:$T$495=7)*('CASE MASTER'!$U$2:$U$495&lt;=2)*('CASE MASTER'!$W$2:$W$495&gt;=2)*('CASE MASTER'!$V$2:$V$495&lt;=2)*('CASE MASTER'!$X$2:$X$495&gt;=2))*ROW('CASE MASTER'!$T$2:$T$495))-(ROW('CASE MASTER'!#REF!)-1)))&amp;TRIM(MID(SUBSTITUTE(SUBSTITUTE(INDEX('CASE MASTER'!$N$2:$N$495,(SUMPRODUCT((('CASE MASTER'!$T$2:$T$495=7)*('CASE MASTER'!$U$2:$U$495&lt;=2)*('CASE MASTER'!$W$2:$W$495&gt;=2)*('CASE MASTER'!$V$2:$V$495&lt;=2)*('CASE MASTER'!$X$2:$X$495&gt;=2))*ROW('CASE MASTER'!$T$2:$T$495))-(ROW('CASE MASTER'!#REF!)-1))),":",","),",",REPT(" ",50)),((((2-INDEX('CASE MASTER'!$U$2:$U$495,(SUMPRODUCT((('CASE MASTER'!$T$2:$T$495=7)*('CASE MASTER'!$U$2:$U$495&lt;=2)*('CASE MASTER'!$W$2:$W$495&gt;=2)*('CASE MASTER'!$V$2:$V$495&lt;=2)*('CASE MASTER'!$X$2:$X$495&gt;=2))*ROW('CASE MASTER'!$T$2:$T$495))-(ROW('CASE MASTER'!#REF!)-1))))*(INDEX('CASE MASTER'!$X$2:$X$495,(SUMPRODUCT((('CASE MASTER'!$T$2:$T$495=7)*('CASE MASTER'!$U$2:$U$495&lt;=2)*('CASE MASTER'!$W$2:$W$495&gt;=2)*('CASE MASTER'!$V$2:$V$495&lt;=2)*('CASE MASTER'!$X$2:$X$495&gt;=2))*ROW('CASE MASTER'!$T$2:$T$495))-(ROW('CASE MASTER'!#REF!)-1)))-INDEX('CASE MASTER'!$V$2:$V$495,(SUMPRODUCT((('CASE MASTER'!$T$2:$T$495=7)*('CASE MASTER'!$U$2:$U$495&lt;=2)*('CASE MASTER'!$W$2:$W$495&gt;=2)*('CASE MASTER'!$V$2:$V$495&lt;=2)*('CASE MASTER'!$X$2:$X$495&gt;=2))*ROW('CASE MASTER'!$T$2:$T$495))-(ROW('CASE MASTER'!#REF!)-1)))+1)+(2-INDEX('CASE MASTER'!$V$2:$V$495,(SUMPRODUCT((('CASE MASTER'!$T$2:$T$495=7)*('CASE MASTER'!$U$2:$U$495&lt;=2)*('CASE MASTER'!$W$2:$W$495&gt;=2)*('CASE MASTER'!$V$2:$V$495&lt;=2)*('CASE MASTER'!$X$2:$X$495&gt;=2))*ROW('CASE MASTER'!$T$2:$T$495))-(ROW('CASE MASTER'!#REF!)-1))))+1))-1)*50+1,50))&amp;"_"&amp;INDEX('CASE MASTER'!$Q$2:$Q$495,(SUMPRODUCT((('CASE MASTER'!$T$2:$T$495=7)*('CASE MASTER'!$U$2:$U$495&lt;=2)*('CASE MASTER'!$W$2:$W$495&gt;=2)*('CASE MASTER'!$V$2:$V$495&lt;=2)*('CASE MASTER'!$X$2:$X$495&gt;=2))*ROW('CASE MASTER'!$T$2:$T$495))-(ROW('CASE MASTER'!#REF!)-1))),IF(SUMPRODUCT((('CASE MASTER'!$T$2:$T$495=7)*('CASE MASTER'!$AA$2:$AA$495&lt;=2)*('CASE MASTER'!$AC$2:$AC$495&gt;=2)*('CASE MASTER'!$AB$2:$AB$495&lt;=2)*('CASE MASTER'!$AD$2:$AD$495&gt;=2))*ROW('CASE MASTER'!$T$2:$T$495))&gt;0,INDEX('CASE MASTER'!$Y$2:$Y$495,(SUMPRODUCT((('CASE MASTER'!$T$2:$T$495=7)*('CASE MASTER'!$AA$2:$AA$495&lt;=2)*('CASE MASTER'!$AC$2:$AC$495&gt;=2)*('CASE MASTER'!$AB$2:$AB$495&lt;=2)*('CASE MASTER'!$AD$2:$AD$495&gt;=2))*ROW('CASE MASTER'!$T$2:$T$495))-(ROW('CASE MASTER'!#REF!)-1)))&amp;TRIM(MID(SUBSTITUTE(SUBSTITUTE(INDEX('CASE MASTER'!$N$2:$N$495,(SUMPRODUCT((('CASE MASTER'!$T$2:$T$495=7)*('CASE MASTER'!$AA$2:$AA$495&lt;=2)*('CASE MASTER'!$AC$2:$AC$495&gt;=2)*('CASE MASTER'!$AB$2:$AB$495&lt;=2)*('CASE MASTER'!$AD$2:$AD$495&gt;=2))*ROW('CASE MASTER'!$T$2:$T$495))-(ROW('CASE MASTER'!#REF!)-1))),":",","),",",REPT(" ",50)),(((INDEX('CASE MASTER'!$Z$2:$Z$495,(SUMPRODUCT((('CASE MASTER'!$T$2:$T$495=7)*('CASE MASTER'!$AA$2:$AA$495&lt;=2)*('CASE MASTER'!$AC$2:$AC$495&gt;=2)*('CASE MASTER'!$AB$2:$AB$495&lt;=2)*('CASE MASTER'!$AD$2:$AD$495&gt;=2))*ROW('CASE MASTER'!$T$2:$T$495))-(ROW('CASE MASTER'!#REF!)-1)))+((2-INDEX('CASE MASTER'!$AA$2:$AA$495,(SUMPRODUCT((('CASE MASTER'!$T$2:$T$495=7)*('CASE MASTER'!$AA$2:$AA$495&lt;=2)*('CASE MASTER'!$AC$2:$AC$495&gt;=2)*('CASE MASTER'!$AB$2:$AB$495&lt;=2)*('CASE MASTER'!$AD$2:$AD$495&gt;=2))*ROW('CASE MASTER'!$T$2:$T$495))-(ROW('CASE MASTER'!#REF!)-1))))*(INDEX('CASE MASTER'!$AD$2:$AD$495,(SUMPRODUCT((('CASE MASTER'!$T$2:$T$495=7)*('CASE MASTER'!$AA$2:$AA$495&lt;=2)*('CASE MASTER'!$AC$2:$AC$495&gt;=2)*('CASE MASTER'!$AB$2:$AB$495&lt;=2)*('CASE MASTER'!$AD$2:$AD$495&gt;=2))*ROW('CASE MASTER'!$T$2:$T$495))-(ROW('CASE MASTER'!#REF!)-1)))-INDEX('CASE MASTER'!$AB$2:$AB$495,(SUMPRODUCT((('CASE MASTER'!$T$2:$T$495=7)*('CASE MASTER'!$AA$2:$AA$495&lt;=2)*('CASE MASTER'!$AC$2:$AC$495&gt;=2)*('CASE MASTER'!$AB$2:$AB$495&lt;=2)*('CASE MASTER'!$AD$2:$AD$495&gt;=2))*ROW('CASE MASTER'!$T$2:$T$495))-(ROW('CASE MASTER'!#REF!)-1)))+1)+(2-INDEX('CASE MASTER'!$AB$2:$AB$495,(SUMPRODUCT((('CASE MASTER'!$T$2:$T$495=7)*('CASE MASTER'!$AA$2:$AA$495&lt;=2)*('CASE MASTER'!$AC$2:$AC$495&gt;=2)*('CASE MASTER'!$AB$2:$AB$495&lt;=2)*('CASE MASTER'!$AD$2:$AD$495&gt;=2))*ROW('CASE MASTER'!$T$2:$T$495))-(ROW('CASE MASTER'!#REF!)-1))))+1)))-1)*50+1,50))&amp;"_"&amp;INDEX('CASE MASTER'!$Q$2:$Q$495,(SUMPRODUCT((('CASE MASTER'!$T$2:$T$495=7)*('CASE MASTER'!$AA$2:$AA$495&lt;=2)*('CASE MASTER'!$AC$2:$AC$495&gt;=2)*('CASE MASTER'!$AB$2:$AB$495&lt;=2)*('CASE MASTER'!$AD$2:$AD$495&gt;=2))*ROW('CASE MASTER'!$T$2:$T$495))-(ROW('CASE MASTER'!#REF!)-1))),"")),"")</f>
        <v/>
      </c>
      <c r="D88" s="10" t="str">
        <f>IFERROR(IF(SUMPRODUCT((('CASE MASTER'!$T$2:$T$495=7)*('CASE MASTER'!$U$2:$U$495&lt;=2)*('CASE MASTER'!$W$2:$W$495&gt;=2)*('CASE MASTER'!$V$2:$V$495&lt;=3)*('CASE MASTER'!$X$2:$X$495&gt;=3))*ROW('CASE MASTER'!$T$2:$T$495))&gt;0,INDEX('CASE MASTER'!$Y$2:$Y$495,(SUMPRODUCT((('CASE MASTER'!$T$2:$T$495=7)*('CASE MASTER'!$U$2:$U$495&lt;=2)*('CASE MASTER'!$W$2:$W$495&gt;=2)*('CASE MASTER'!$V$2:$V$495&lt;=3)*('CASE MASTER'!$X$2:$X$495&gt;=3))*ROW('CASE MASTER'!$T$2:$T$495))-(ROW('CASE MASTER'!#REF!)-1)))&amp;TRIM(MID(SUBSTITUTE(SUBSTITUTE(INDEX('CASE MASTER'!$N$2:$N$495,(SUMPRODUCT((('CASE MASTER'!$T$2:$T$495=7)*('CASE MASTER'!$U$2:$U$495&lt;=2)*('CASE MASTER'!$W$2:$W$495&gt;=2)*('CASE MASTER'!$V$2:$V$495&lt;=3)*('CASE MASTER'!$X$2:$X$495&gt;=3))*ROW('CASE MASTER'!$T$2:$T$495))-(ROW('CASE MASTER'!#REF!)-1))),":",","),",",REPT(" ",50)),((((2-INDEX('CASE MASTER'!$U$2:$U$495,(SUMPRODUCT((('CASE MASTER'!$T$2:$T$495=7)*('CASE MASTER'!$U$2:$U$495&lt;=2)*('CASE MASTER'!$W$2:$W$495&gt;=2)*('CASE MASTER'!$V$2:$V$495&lt;=3)*('CASE MASTER'!$X$2:$X$495&gt;=3))*ROW('CASE MASTER'!$T$2:$T$495))-(ROW('CASE MASTER'!#REF!)-1))))*(INDEX('CASE MASTER'!$X$2:$X$495,(SUMPRODUCT((('CASE MASTER'!$T$2:$T$495=7)*('CASE MASTER'!$U$2:$U$495&lt;=2)*('CASE MASTER'!$W$2:$W$495&gt;=2)*('CASE MASTER'!$V$2:$V$495&lt;=3)*('CASE MASTER'!$X$2:$X$495&gt;=3))*ROW('CASE MASTER'!$T$2:$T$495))-(ROW('CASE MASTER'!#REF!)-1)))-INDEX('CASE MASTER'!$V$2:$V$495,(SUMPRODUCT((('CASE MASTER'!$T$2:$T$495=7)*('CASE MASTER'!$U$2:$U$495&lt;=2)*('CASE MASTER'!$W$2:$W$495&gt;=2)*('CASE MASTER'!$V$2:$V$495&lt;=3)*('CASE MASTER'!$X$2:$X$495&gt;=3))*ROW('CASE MASTER'!$T$2:$T$495))-(ROW('CASE MASTER'!#REF!)-1)))+1)+(3-INDEX('CASE MASTER'!$V$2:$V$495,(SUMPRODUCT((('CASE MASTER'!$T$2:$T$495=7)*('CASE MASTER'!$U$2:$U$495&lt;=2)*('CASE MASTER'!$W$2:$W$495&gt;=2)*('CASE MASTER'!$V$2:$V$495&lt;=3)*('CASE MASTER'!$X$2:$X$495&gt;=3))*ROW('CASE MASTER'!$T$2:$T$495))-(ROW('CASE MASTER'!#REF!)-1))))+1))-1)*50+1,50))&amp;"_"&amp;INDEX('CASE MASTER'!$Q$2:$Q$495,(SUMPRODUCT((('CASE MASTER'!$T$2:$T$495=7)*('CASE MASTER'!$U$2:$U$495&lt;=2)*('CASE MASTER'!$W$2:$W$495&gt;=2)*('CASE MASTER'!$V$2:$V$495&lt;=3)*('CASE MASTER'!$X$2:$X$495&gt;=3))*ROW('CASE MASTER'!$T$2:$T$495))-(ROW('CASE MASTER'!#REF!)-1))),IF(SUMPRODUCT((('CASE MASTER'!$T$2:$T$495=7)*('CASE MASTER'!$AA$2:$AA$495&lt;=2)*('CASE MASTER'!$AC$2:$AC$495&gt;=2)*('CASE MASTER'!$AB$2:$AB$495&lt;=3)*('CASE MASTER'!$AD$2:$AD$495&gt;=3))*ROW('CASE MASTER'!$T$2:$T$495))&gt;0,INDEX('CASE MASTER'!$Y$2:$Y$495,(SUMPRODUCT((('CASE MASTER'!$T$2:$T$495=7)*('CASE MASTER'!$AA$2:$AA$495&lt;=2)*('CASE MASTER'!$AC$2:$AC$495&gt;=2)*('CASE MASTER'!$AB$2:$AB$495&lt;=3)*('CASE MASTER'!$AD$2:$AD$495&gt;=3))*ROW('CASE MASTER'!$T$2:$T$495))-(ROW('CASE MASTER'!#REF!)-1)))&amp;TRIM(MID(SUBSTITUTE(SUBSTITUTE(INDEX('CASE MASTER'!$N$2:$N$495,(SUMPRODUCT((('CASE MASTER'!$T$2:$T$495=7)*('CASE MASTER'!$AA$2:$AA$495&lt;=2)*('CASE MASTER'!$AC$2:$AC$495&gt;=2)*('CASE MASTER'!$AB$2:$AB$495&lt;=3)*('CASE MASTER'!$AD$2:$AD$495&gt;=3))*ROW('CASE MASTER'!$T$2:$T$495))-(ROW('CASE MASTER'!#REF!)-1))),":",","),",",REPT(" ",50)),(((INDEX('CASE MASTER'!$Z$2:$Z$495,(SUMPRODUCT((('CASE MASTER'!$T$2:$T$495=7)*('CASE MASTER'!$AA$2:$AA$495&lt;=2)*('CASE MASTER'!$AC$2:$AC$495&gt;=2)*('CASE MASTER'!$AB$2:$AB$495&lt;=3)*('CASE MASTER'!$AD$2:$AD$495&gt;=3))*ROW('CASE MASTER'!$T$2:$T$495))-(ROW('CASE MASTER'!#REF!)-1)))+((2-INDEX('CASE MASTER'!$AA$2:$AA$495,(SUMPRODUCT((('CASE MASTER'!$T$2:$T$495=7)*('CASE MASTER'!$AA$2:$AA$495&lt;=2)*('CASE MASTER'!$AC$2:$AC$495&gt;=2)*('CASE MASTER'!$AB$2:$AB$495&lt;=3)*('CASE MASTER'!$AD$2:$AD$495&gt;=3))*ROW('CASE MASTER'!$T$2:$T$495))-(ROW('CASE MASTER'!#REF!)-1))))*(INDEX('CASE MASTER'!$AD$2:$AD$495,(SUMPRODUCT((('CASE MASTER'!$T$2:$T$495=7)*('CASE MASTER'!$AA$2:$AA$495&lt;=2)*('CASE MASTER'!$AC$2:$AC$495&gt;=2)*('CASE MASTER'!$AB$2:$AB$495&lt;=3)*('CASE MASTER'!$AD$2:$AD$495&gt;=3))*ROW('CASE MASTER'!$T$2:$T$495))-(ROW('CASE MASTER'!#REF!)-1)))-INDEX('CASE MASTER'!$AB$2:$AB$495,(SUMPRODUCT((('CASE MASTER'!$T$2:$T$495=7)*('CASE MASTER'!$AA$2:$AA$495&lt;=2)*('CASE MASTER'!$AC$2:$AC$495&gt;=2)*('CASE MASTER'!$AB$2:$AB$495&lt;=3)*('CASE MASTER'!$AD$2:$AD$495&gt;=3))*ROW('CASE MASTER'!$T$2:$T$495))-(ROW('CASE MASTER'!#REF!)-1)))+1)+(3-INDEX('CASE MASTER'!$AB$2:$AB$495,(SUMPRODUCT((('CASE MASTER'!$T$2:$T$495=7)*('CASE MASTER'!$AA$2:$AA$495&lt;=2)*('CASE MASTER'!$AC$2:$AC$495&gt;=2)*('CASE MASTER'!$AB$2:$AB$495&lt;=3)*('CASE MASTER'!$AD$2:$AD$495&gt;=3))*ROW('CASE MASTER'!$T$2:$T$495))-(ROW('CASE MASTER'!#REF!)-1))))+1)))-1)*50+1,50))&amp;"_"&amp;INDEX('CASE MASTER'!$Q$2:$Q$495,(SUMPRODUCT((('CASE MASTER'!$T$2:$T$495=7)*('CASE MASTER'!$AA$2:$AA$495&lt;=2)*('CASE MASTER'!$AC$2:$AC$495&gt;=2)*('CASE MASTER'!$AB$2:$AB$495&lt;=3)*('CASE MASTER'!$AD$2:$AD$495&gt;=3))*ROW('CASE MASTER'!$T$2:$T$495))-(ROW('CASE MASTER'!#REF!)-1))),"")),"")</f>
        <v/>
      </c>
      <c r="E88" s="10" t="str">
        <f>IFERROR(IF(SUMPRODUCT((('CASE MASTER'!$T$2:$T$495=7)*('CASE MASTER'!$U$2:$U$495&lt;=2)*('CASE MASTER'!$W$2:$W$495&gt;=2)*('CASE MASTER'!$V$2:$V$495&lt;=4)*('CASE MASTER'!$X$2:$X$495&gt;=4))*ROW('CASE MASTER'!$T$2:$T$495))&gt;0,INDEX('CASE MASTER'!$Y$2:$Y$495,(SUMPRODUCT((('CASE MASTER'!$T$2:$T$495=7)*('CASE MASTER'!$U$2:$U$495&lt;=2)*('CASE MASTER'!$W$2:$W$495&gt;=2)*('CASE MASTER'!$V$2:$V$495&lt;=4)*('CASE MASTER'!$X$2:$X$495&gt;=4))*ROW('CASE MASTER'!$T$2:$T$495))-(ROW('CASE MASTER'!#REF!)-1)))&amp;TRIM(MID(SUBSTITUTE(SUBSTITUTE(INDEX('CASE MASTER'!$N$2:$N$495,(SUMPRODUCT((('CASE MASTER'!$T$2:$T$495=7)*('CASE MASTER'!$U$2:$U$495&lt;=2)*('CASE MASTER'!$W$2:$W$495&gt;=2)*('CASE MASTER'!$V$2:$V$495&lt;=4)*('CASE MASTER'!$X$2:$X$495&gt;=4))*ROW('CASE MASTER'!$T$2:$T$495))-(ROW('CASE MASTER'!#REF!)-1))),":",","),",",REPT(" ",50)),((((2-INDEX('CASE MASTER'!$U$2:$U$495,(SUMPRODUCT((('CASE MASTER'!$T$2:$T$495=7)*('CASE MASTER'!$U$2:$U$495&lt;=2)*('CASE MASTER'!$W$2:$W$495&gt;=2)*('CASE MASTER'!$V$2:$V$495&lt;=4)*('CASE MASTER'!$X$2:$X$495&gt;=4))*ROW('CASE MASTER'!$T$2:$T$495))-(ROW('CASE MASTER'!#REF!)-1))))*(INDEX('CASE MASTER'!$X$2:$X$495,(SUMPRODUCT((('CASE MASTER'!$T$2:$T$495=7)*('CASE MASTER'!$U$2:$U$495&lt;=2)*('CASE MASTER'!$W$2:$W$495&gt;=2)*('CASE MASTER'!$V$2:$V$495&lt;=4)*('CASE MASTER'!$X$2:$X$495&gt;=4))*ROW('CASE MASTER'!$T$2:$T$495))-(ROW('CASE MASTER'!#REF!)-1)))-INDEX('CASE MASTER'!$V$2:$V$495,(SUMPRODUCT((('CASE MASTER'!$T$2:$T$495=7)*('CASE MASTER'!$U$2:$U$495&lt;=2)*('CASE MASTER'!$W$2:$W$495&gt;=2)*('CASE MASTER'!$V$2:$V$495&lt;=4)*('CASE MASTER'!$X$2:$X$495&gt;=4))*ROW('CASE MASTER'!$T$2:$T$495))-(ROW('CASE MASTER'!#REF!)-1)))+1)+(4-INDEX('CASE MASTER'!$V$2:$V$495,(SUMPRODUCT((('CASE MASTER'!$T$2:$T$495=7)*('CASE MASTER'!$U$2:$U$495&lt;=2)*('CASE MASTER'!$W$2:$W$495&gt;=2)*('CASE MASTER'!$V$2:$V$495&lt;=4)*('CASE MASTER'!$X$2:$X$495&gt;=4))*ROW('CASE MASTER'!$T$2:$T$495))-(ROW('CASE MASTER'!#REF!)-1))))+1))-1)*50+1,50))&amp;"_"&amp;INDEX('CASE MASTER'!$Q$2:$Q$495,(SUMPRODUCT((('CASE MASTER'!$T$2:$T$495=7)*('CASE MASTER'!$U$2:$U$495&lt;=2)*('CASE MASTER'!$W$2:$W$495&gt;=2)*('CASE MASTER'!$V$2:$V$495&lt;=4)*('CASE MASTER'!$X$2:$X$495&gt;=4))*ROW('CASE MASTER'!$T$2:$T$495))-(ROW('CASE MASTER'!#REF!)-1))),IF(SUMPRODUCT((('CASE MASTER'!$T$2:$T$495=7)*('CASE MASTER'!$AA$2:$AA$495&lt;=2)*('CASE MASTER'!$AC$2:$AC$495&gt;=2)*('CASE MASTER'!$AB$2:$AB$495&lt;=4)*('CASE MASTER'!$AD$2:$AD$495&gt;=4))*ROW('CASE MASTER'!$T$2:$T$495))&gt;0,INDEX('CASE MASTER'!$Y$2:$Y$495,(SUMPRODUCT((('CASE MASTER'!$T$2:$T$495=7)*('CASE MASTER'!$AA$2:$AA$495&lt;=2)*('CASE MASTER'!$AC$2:$AC$495&gt;=2)*('CASE MASTER'!$AB$2:$AB$495&lt;=4)*('CASE MASTER'!$AD$2:$AD$495&gt;=4))*ROW('CASE MASTER'!$T$2:$T$495))-(ROW('CASE MASTER'!#REF!)-1)))&amp;TRIM(MID(SUBSTITUTE(SUBSTITUTE(INDEX('CASE MASTER'!$N$2:$N$495,(SUMPRODUCT((('CASE MASTER'!$T$2:$T$495=7)*('CASE MASTER'!$AA$2:$AA$495&lt;=2)*('CASE MASTER'!$AC$2:$AC$495&gt;=2)*('CASE MASTER'!$AB$2:$AB$495&lt;=4)*('CASE MASTER'!$AD$2:$AD$495&gt;=4))*ROW('CASE MASTER'!$T$2:$T$495))-(ROW('CASE MASTER'!#REF!)-1))),":",","),",",REPT(" ",50)),(((INDEX('CASE MASTER'!$Z$2:$Z$495,(SUMPRODUCT((('CASE MASTER'!$T$2:$T$495=7)*('CASE MASTER'!$AA$2:$AA$495&lt;=2)*('CASE MASTER'!$AC$2:$AC$495&gt;=2)*('CASE MASTER'!$AB$2:$AB$495&lt;=4)*('CASE MASTER'!$AD$2:$AD$495&gt;=4))*ROW('CASE MASTER'!$T$2:$T$495))-(ROW('CASE MASTER'!#REF!)-1)))+((2-INDEX('CASE MASTER'!$AA$2:$AA$495,(SUMPRODUCT((('CASE MASTER'!$T$2:$T$495=7)*('CASE MASTER'!$AA$2:$AA$495&lt;=2)*('CASE MASTER'!$AC$2:$AC$495&gt;=2)*('CASE MASTER'!$AB$2:$AB$495&lt;=4)*('CASE MASTER'!$AD$2:$AD$495&gt;=4))*ROW('CASE MASTER'!$T$2:$T$495))-(ROW('CASE MASTER'!#REF!)-1))))*(INDEX('CASE MASTER'!$AD$2:$AD$495,(SUMPRODUCT((('CASE MASTER'!$T$2:$T$495=7)*('CASE MASTER'!$AA$2:$AA$495&lt;=2)*('CASE MASTER'!$AC$2:$AC$495&gt;=2)*('CASE MASTER'!$AB$2:$AB$495&lt;=4)*('CASE MASTER'!$AD$2:$AD$495&gt;=4))*ROW('CASE MASTER'!$T$2:$T$495))-(ROW('CASE MASTER'!#REF!)-1)))-INDEX('CASE MASTER'!$AB$2:$AB$495,(SUMPRODUCT((('CASE MASTER'!$T$2:$T$495=7)*('CASE MASTER'!$AA$2:$AA$495&lt;=2)*('CASE MASTER'!$AC$2:$AC$495&gt;=2)*('CASE MASTER'!$AB$2:$AB$495&lt;=4)*('CASE MASTER'!$AD$2:$AD$495&gt;=4))*ROW('CASE MASTER'!$T$2:$T$495))-(ROW('CASE MASTER'!#REF!)-1)))+1)+(4-INDEX('CASE MASTER'!$AB$2:$AB$495,(SUMPRODUCT((('CASE MASTER'!$T$2:$T$495=7)*('CASE MASTER'!$AA$2:$AA$495&lt;=2)*('CASE MASTER'!$AC$2:$AC$495&gt;=2)*('CASE MASTER'!$AB$2:$AB$495&lt;=4)*('CASE MASTER'!$AD$2:$AD$495&gt;=4))*ROW('CASE MASTER'!$T$2:$T$495))-(ROW('CASE MASTER'!#REF!)-1))))+1)))-1)*50+1,50))&amp;"_"&amp;INDEX('CASE MASTER'!$Q$2:$Q$495,(SUMPRODUCT((('CASE MASTER'!$T$2:$T$495=7)*('CASE MASTER'!$AA$2:$AA$495&lt;=2)*('CASE MASTER'!$AC$2:$AC$495&gt;=2)*('CASE MASTER'!$AB$2:$AB$495&lt;=4)*('CASE MASTER'!$AD$2:$AD$495&gt;=4))*ROW('CASE MASTER'!$T$2:$T$495))-(ROW('CASE MASTER'!#REF!)-1))),"")),"")</f>
        <v/>
      </c>
      <c r="F88" s="10" t="str">
        <f>IFERROR(IF(SUMPRODUCT((('CASE MASTER'!$T$2:$T$495=7)*('CASE MASTER'!$U$2:$U$495&lt;=2)*('CASE MASTER'!$W$2:$W$495&gt;=2)*('CASE MASTER'!$V$2:$V$495&lt;=5)*('CASE MASTER'!$X$2:$X$495&gt;=5))*ROW('CASE MASTER'!$T$2:$T$495))&gt;0,INDEX('CASE MASTER'!$Y$2:$Y$495,(SUMPRODUCT((('CASE MASTER'!$T$2:$T$495=7)*('CASE MASTER'!$U$2:$U$495&lt;=2)*('CASE MASTER'!$W$2:$W$495&gt;=2)*('CASE MASTER'!$V$2:$V$495&lt;=5)*('CASE MASTER'!$X$2:$X$495&gt;=5))*ROW('CASE MASTER'!$T$2:$T$495))-(ROW('CASE MASTER'!#REF!)-1)))&amp;TRIM(MID(SUBSTITUTE(SUBSTITUTE(INDEX('CASE MASTER'!$N$2:$N$495,(SUMPRODUCT((('CASE MASTER'!$T$2:$T$495=7)*('CASE MASTER'!$U$2:$U$495&lt;=2)*('CASE MASTER'!$W$2:$W$495&gt;=2)*('CASE MASTER'!$V$2:$V$495&lt;=5)*('CASE MASTER'!$X$2:$X$495&gt;=5))*ROW('CASE MASTER'!$T$2:$T$495))-(ROW('CASE MASTER'!#REF!)-1))),":",","),",",REPT(" ",50)),((((2-INDEX('CASE MASTER'!$U$2:$U$495,(SUMPRODUCT((('CASE MASTER'!$T$2:$T$495=7)*('CASE MASTER'!$U$2:$U$495&lt;=2)*('CASE MASTER'!$W$2:$W$495&gt;=2)*('CASE MASTER'!$V$2:$V$495&lt;=5)*('CASE MASTER'!$X$2:$X$495&gt;=5))*ROW('CASE MASTER'!$T$2:$T$495))-(ROW('CASE MASTER'!#REF!)-1))))*(INDEX('CASE MASTER'!$X$2:$X$495,(SUMPRODUCT((('CASE MASTER'!$T$2:$T$495=7)*('CASE MASTER'!$U$2:$U$495&lt;=2)*('CASE MASTER'!$W$2:$W$495&gt;=2)*('CASE MASTER'!$V$2:$V$495&lt;=5)*('CASE MASTER'!$X$2:$X$495&gt;=5))*ROW('CASE MASTER'!$T$2:$T$495))-(ROW('CASE MASTER'!#REF!)-1)))-INDEX('CASE MASTER'!$V$2:$V$495,(SUMPRODUCT((('CASE MASTER'!$T$2:$T$495=7)*('CASE MASTER'!$U$2:$U$495&lt;=2)*('CASE MASTER'!$W$2:$W$495&gt;=2)*('CASE MASTER'!$V$2:$V$495&lt;=5)*('CASE MASTER'!$X$2:$X$495&gt;=5))*ROW('CASE MASTER'!$T$2:$T$495))-(ROW('CASE MASTER'!#REF!)-1)))+1)+(5-INDEX('CASE MASTER'!$V$2:$V$495,(SUMPRODUCT((('CASE MASTER'!$T$2:$T$495=7)*('CASE MASTER'!$U$2:$U$495&lt;=2)*('CASE MASTER'!$W$2:$W$495&gt;=2)*('CASE MASTER'!$V$2:$V$495&lt;=5)*('CASE MASTER'!$X$2:$X$495&gt;=5))*ROW('CASE MASTER'!$T$2:$T$495))-(ROW('CASE MASTER'!#REF!)-1))))+1))-1)*50+1,50))&amp;"_"&amp;INDEX('CASE MASTER'!$Q$2:$Q$495,(SUMPRODUCT((('CASE MASTER'!$T$2:$T$495=7)*('CASE MASTER'!$U$2:$U$495&lt;=2)*('CASE MASTER'!$W$2:$W$495&gt;=2)*('CASE MASTER'!$V$2:$V$495&lt;=5)*('CASE MASTER'!$X$2:$X$495&gt;=5))*ROW('CASE MASTER'!$T$2:$T$495))-(ROW('CASE MASTER'!#REF!)-1))),IF(SUMPRODUCT((('CASE MASTER'!$T$2:$T$495=7)*('CASE MASTER'!$AA$2:$AA$495&lt;=2)*('CASE MASTER'!$AC$2:$AC$495&gt;=2)*('CASE MASTER'!$AB$2:$AB$495&lt;=5)*('CASE MASTER'!$AD$2:$AD$495&gt;=5))*ROW('CASE MASTER'!$T$2:$T$495))&gt;0,INDEX('CASE MASTER'!$Y$2:$Y$495,(SUMPRODUCT((('CASE MASTER'!$T$2:$T$495=7)*('CASE MASTER'!$AA$2:$AA$495&lt;=2)*('CASE MASTER'!$AC$2:$AC$495&gt;=2)*('CASE MASTER'!$AB$2:$AB$495&lt;=5)*('CASE MASTER'!$AD$2:$AD$495&gt;=5))*ROW('CASE MASTER'!$T$2:$T$495))-(ROW('CASE MASTER'!#REF!)-1)))&amp;TRIM(MID(SUBSTITUTE(SUBSTITUTE(INDEX('CASE MASTER'!$N$2:$N$495,(SUMPRODUCT((('CASE MASTER'!$T$2:$T$495=7)*('CASE MASTER'!$AA$2:$AA$495&lt;=2)*('CASE MASTER'!$AC$2:$AC$495&gt;=2)*('CASE MASTER'!$AB$2:$AB$495&lt;=5)*('CASE MASTER'!$AD$2:$AD$495&gt;=5))*ROW('CASE MASTER'!$T$2:$T$495))-(ROW('CASE MASTER'!#REF!)-1))),":",","),",",REPT(" ",50)),(((INDEX('CASE MASTER'!$Z$2:$Z$495,(SUMPRODUCT((('CASE MASTER'!$T$2:$T$495=7)*('CASE MASTER'!$AA$2:$AA$495&lt;=2)*('CASE MASTER'!$AC$2:$AC$495&gt;=2)*('CASE MASTER'!$AB$2:$AB$495&lt;=5)*('CASE MASTER'!$AD$2:$AD$495&gt;=5))*ROW('CASE MASTER'!$T$2:$T$495))-(ROW('CASE MASTER'!#REF!)-1)))+((2-INDEX('CASE MASTER'!$AA$2:$AA$495,(SUMPRODUCT((('CASE MASTER'!$T$2:$T$495=7)*('CASE MASTER'!$AA$2:$AA$495&lt;=2)*('CASE MASTER'!$AC$2:$AC$495&gt;=2)*('CASE MASTER'!$AB$2:$AB$495&lt;=5)*('CASE MASTER'!$AD$2:$AD$495&gt;=5))*ROW('CASE MASTER'!$T$2:$T$495))-(ROW('CASE MASTER'!#REF!)-1))))*(INDEX('CASE MASTER'!$AD$2:$AD$495,(SUMPRODUCT((('CASE MASTER'!$T$2:$T$495=7)*('CASE MASTER'!$AA$2:$AA$495&lt;=2)*('CASE MASTER'!$AC$2:$AC$495&gt;=2)*('CASE MASTER'!$AB$2:$AB$495&lt;=5)*('CASE MASTER'!$AD$2:$AD$495&gt;=5))*ROW('CASE MASTER'!$T$2:$T$495))-(ROW('CASE MASTER'!#REF!)-1)))-INDEX('CASE MASTER'!$AB$2:$AB$495,(SUMPRODUCT((('CASE MASTER'!$T$2:$T$495=7)*('CASE MASTER'!$AA$2:$AA$495&lt;=2)*('CASE MASTER'!$AC$2:$AC$495&gt;=2)*('CASE MASTER'!$AB$2:$AB$495&lt;=5)*('CASE MASTER'!$AD$2:$AD$495&gt;=5))*ROW('CASE MASTER'!$T$2:$T$495))-(ROW('CASE MASTER'!#REF!)-1)))+1)+(5-INDEX('CASE MASTER'!$AB$2:$AB$495,(SUMPRODUCT((('CASE MASTER'!$T$2:$T$495=7)*('CASE MASTER'!$AA$2:$AA$495&lt;=2)*('CASE MASTER'!$AC$2:$AC$495&gt;=2)*('CASE MASTER'!$AB$2:$AB$495&lt;=5)*('CASE MASTER'!$AD$2:$AD$495&gt;=5))*ROW('CASE MASTER'!$T$2:$T$495))-(ROW('CASE MASTER'!#REF!)-1))))+1)))-1)*50+1,50))&amp;"_"&amp;INDEX('CASE MASTER'!$Q$2:$Q$495,(SUMPRODUCT((('CASE MASTER'!$T$2:$T$495=7)*('CASE MASTER'!$AA$2:$AA$495&lt;=2)*('CASE MASTER'!$AC$2:$AC$495&gt;=2)*('CASE MASTER'!$AB$2:$AB$495&lt;=5)*('CASE MASTER'!$AD$2:$AD$495&gt;=5))*ROW('CASE MASTER'!$T$2:$T$495))-(ROW('CASE MASTER'!#REF!)-1))),"")),"")</f>
        <v/>
      </c>
      <c r="G88" s="10" t="str">
        <f>IFERROR(IF(SUMPRODUCT((('CASE MASTER'!$T$2:$T$495=7)*('CASE MASTER'!$U$2:$U$495&lt;=2)*('CASE MASTER'!$W$2:$W$495&gt;=2)*('CASE MASTER'!$V$2:$V$495&lt;=6)*('CASE MASTER'!$X$2:$X$495&gt;=6))*ROW('CASE MASTER'!$T$2:$T$495))&gt;0,INDEX('CASE MASTER'!$Y$2:$Y$495,(SUMPRODUCT((('CASE MASTER'!$T$2:$T$495=7)*('CASE MASTER'!$U$2:$U$495&lt;=2)*('CASE MASTER'!$W$2:$W$495&gt;=2)*('CASE MASTER'!$V$2:$V$495&lt;=6)*('CASE MASTER'!$X$2:$X$495&gt;=6))*ROW('CASE MASTER'!$T$2:$T$495))-(ROW('CASE MASTER'!#REF!)-1)))&amp;TRIM(MID(SUBSTITUTE(SUBSTITUTE(INDEX('CASE MASTER'!$N$2:$N$495,(SUMPRODUCT((('CASE MASTER'!$T$2:$T$495=7)*('CASE MASTER'!$U$2:$U$495&lt;=2)*('CASE MASTER'!$W$2:$W$495&gt;=2)*('CASE MASTER'!$V$2:$V$495&lt;=6)*('CASE MASTER'!$X$2:$X$495&gt;=6))*ROW('CASE MASTER'!$T$2:$T$495))-(ROW('CASE MASTER'!#REF!)-1))),":",","),",",REPT(" ",50)),((((2-INDEX('CASE MASTER'!$U$2:$U$495,(SUMPRODUCT((('CASE MASTER'!$T$2:$T$495=7)*('CASE MASTER'!$U$2:$U$495&lt;=2)*('CASE MASTER'!$W$2:$W$495&gt;=2)*('CASE MASTER'!$V$2:$V$495&lt;=6)*('CASE MASTER'!$X$2:$X$495&gt;=6))*ROW('CASE MASTER'!$T$2:$T$495))-(ROW('CASE MASTER'!#REF!)-1))))*(INDEX('CASE MASTER'!$X$2:$X$495,(SUMPRODUCT((('CASE MASTER'!$T$2:$T$495=7)*('CASE MASTER'!$U$2:$U$495&lt;=2)*('CASE MASTER'!$W$2:$W$495&gt;=2)*('CASE MASTER'!$V$2:$V$495&lt;=6)*('CASE MASTER'!$X$2:$X$495&gt;=6))*ROW('CASE MASTER'!$T$2:$T$495))-(ROW('CASE MASTER'!#REF!)-1)))-INDEX('CASE MASTER'!$V$2:$V$495,(SUMPRODUCT((('CASE MASTER'!$T$2:$T$495=7)*('CASE MASTER'!$U$2:$U$495&lt;=2)*('CASE MASTER'!$W$2:$W$495&gt;=2)*('CASE MASTER'!$V$2:$V$495&lt;=6)*('CASE MASTER'!$X$2:$X$495&gt;=6))*ROW('CASE MASTER'!$T$2:$T$495))-(ROW('CASE MASTER'!#REF!)-1)))+1)+(6-INDEX('CASE MASTER'!$V$2:$V$495,(SUMPRODUCT((('CASE MASTER'!$T$2:$T$495=7)*('CASE MASTER'!$U$2:$U$495&lt;=2)*('CASE MASTER'!$W$2:$W$495&gt;=2)*('CASE MASTER'!$V$2:$V$495&lt;=6)*('CASE MASTER'!$X$2:$X$495&gt;=6))*ROW('CASE MASTER'!$T$2:$T$495))-(ROW('CASE MASTER'!#REF!)-1))))+1))-1)*50+1,50))&amp;"_"&amp;INDEX('CASE MASTER'!$Q$2:$Q$495,(SUMPRODUCT((('CASE MASTER'!$T$2:$T$495=7)*('CASE MASTER'!$U$2:$U$495&lt;=2)*('CASE MASTER'!$W$2:$W$495&gt;=2)*('CASE MASTER'!$V$2:$V$495&lt;=6)*('CASE MASTER'!$X$2:$X$495&gt;=6))*ROW('CASE MASTER'!$T$2:$T$495))-(ROW('CASE MASTER'!#REF!)-1))),IF(SUMPRODUCT((('CASE MASTER'!$T$2:$T$495=7)*('CASE MASTER'!$AA$2:$AA$495&lt;=2)*('CASE MASTER'!$AC$2:$AC$495&gt;=2)*('CASE MASTER'!$AB$2:$AB$495&lt;=6)*('CASE MASTER'!$AD$2:$AD$495&gt;=6))*ROW('CASE MASTER'!$T$2:$T$495))&gt;0,INDEX('CASE MASTER'!$Y$2:$Y$495,(SUMPRODUCT((('CASE MASTER'!$T$2:$T$495=7)*('CASE MASTER'!$AA$2:$AA$495&lt;=2)*('CASE MASTER'!$AC$2:$AC$495&gt;=2)*('CASE MASTER'!$AB$2:$AB$495&lt;=6)*('CASE MASTER'!$AD$2:$AD$495&gt;=6))*ROW('CASE MASTER'!$T$2:$T$495))-(ROW('CASE MASTER'!#REF!)-1)))&amp;TRIM(MID(SUBSTITUTE(SUBSTITUTE(INDEX('CASE MASTER'!$N$2:$N$495,(SUMPRODUCT((('CASE MASTER'!$T$2:$T$495=7)*('CASE MASTER'!$AA$2:$AA$495&lt;=2)*('CASE MASTER'!$AC$2:$AC$495&gt;=2)*('CASE MASTER'!$AB$2:$AB$495&lt;=6)*('CASE MASTER'!$AD$2:$AD$495&gt;=6))*ROW('CASE MASTER'!$T$2:$T$495))-(ROW('CASE MASTER'!#REF!)-1))),":",","),",",REPT(" ",50)),(((INDEX('CASE MASTER'!$Z$2:$Z$495,(SUMPRODUCT((('CASE MASTER'!$T$2:$T$495=7)*('CASE MASTER'!$AA$2:$AA$495&lt;=2)*('CASE MASTER'!$AC$2:$AC$495&gt;=2)*('CASE MASTER'!$AB$2:$AB$495&lt;=6)*('CASE MASTER'!$AD$2:$AD$495&gt;=6))*ROW('CASE MASTER'!$T$2:$T$495))-(ROW('CASE MASTER'!#REF!)-1)))+((2-INDEX('CASE MASTER'!$AA$2:$AA$495,(SUMPRODUCT((('CASE MASTER'!$T$2:$T$495=7)*('CASE MASTER'!$AA$2:$AA$495&lt;=2)*('CASE MASTER'!$AC$2:$AC$495&gt;=2)*('CASE MASTER'!$AB$2:$AB$495&lt;=6)*('CASE MASTER'!$AD$2:$AD$495&gt;=6))*ROW('CASE MASTER'!$T$2:$T$495))-(ROW('CASE MASTER'!#REF!)-1))))*(INDEX('CASE MASTER'!$AD$2:$AD$495,(SUMPRODUCT((('CASE MASTER'!$T$2:$T$495=7)*('CASE MASTER'!$AA$2:$AA$495&lt;=2)*('CASE MASTER'!$AC$2:$AC$495&gt;=2)*('CASE MASTER'!$AB$2:$AB$495&lt;=6)*('CASE MASTER'!$AD$2:$AD$495&gt;=6))*ROW('CASE MASTER'!$T$2:$T$495))-(ROW('CASE MASTER'!#REF!)-1)))-INDEX('CASE MASTER'!$AB$2:$AB$495,(SUMPRODUCT((('CASE MASTER'!$T$2:$T$495=7)*('CASE MASTER'!$AA$2:$AA$495&lt;=2)*('CASE MASTER'!$AC$2:$AC$495&gt;=2)*('CASE MASTER'!$AB$2:$AB$495&lt;=6)*('CASE MASTER'!$AD$2:$AD$495&gt;=6))*ROW('CASE MASTER'!$T$2:$T$495))-(ROW('CASE MASTER'!#REF!)-1)))+1)+(6-INDEX('CASE MASTER'!$AB$2:$AB$495,(SUMPRODUCT((('CASE MASTER'!$T$2:$T$495=7)*('CASE MASTER'!$AA$2:$AA$495&lt;=2)*('CASE MASTER'!$AC$2:$AC$495&gt;=2)*('CASE MASTER'!$AB$2:$AB$495&lt;=6)*('CASE MASTER'!$AD$2:$AD$495&gt;=6))*ROW('CASE MASTER'!$T$2:$T$495))-(ROW('CASE MASTER'!#REF!)-1))))+1)))-1)*50+1,50))&amp;"_"&amp;INDEX('CASE MASTER'!$Q$2:$Q$495,(SUMPRODUCT((('CASE MASTER'!$T$2:$T$495=7)*('CASE MASTER'!$AA$2:$AA$495&lt;=2)*('CASE MASTER'!$AC$2:$AC$495&gt;=2)*('CASE MASTER'!$AB$2:$AB$495&lt;=6)*('CASE MASTER'!$AD$2:$AD$495&gt;=6))*ROW('CASE MASTER'!$T$2:$T$495))-(ROW('CASE MASTER'!#REF!)-1))),"")),"")</f>
        <v/>
      </c>
      <c r="H88" s="10" t="str">
        <f>IFERROR(IF(SUMPRODUCT((('CASE MASTER'!$T$2:$T$495=7)*('CASE MASTER'!$U$2:$U$495&lt;=2)*('CASE MASTER'!$W$2:$W$495&gt;=2)*('CASE MASTER'!$V$2:$V$495&lt;=7)*('CASE MASTER'!$X$2:$X$495&gt;=7))*ROW('CASE MASTER'!$T$2:$T$495))&gt;0,INDEX('CASE MASTER'!$Y$2:$Y$495,(SUMPRODUCT((('CASE MASTER'!$T$2:$T$495=7)*('CASE MASTER'!$U$2:$U$495&lt;=2)*('CASE MASTER'!$W$2:$W$495&gt;=2)*('CASE MASTER'!$V$2:$V$495&lt;=7)*('CASE MASTER'!$X$2:$X$495&gt;=7))*ROW('CASE MASTER'!$T$2:$T$495))-(ROW('CASE MASTER'!#REF!)-1)))&amp;TRIM(MID(SUBSTITUTE(SUBSTITUTE(INDEX('CASE MASTER'!$N$2:$N$495,(SUMPRODUCT((('CASE MASTER'!$T$2:$T$495=7)*('CASE MASTER'!$U$2:$U$495&lt;=2)*('CASE MASTER'!$W$2:$W$495&gt;=2)*('CASE MASTER'!$V$2:$V$495&lt;=7)*('CASE MASTER'!$X$2:$X$495&gt;=7))*ROW('CASE MASTER'!$T$2:$T$495))-(ROW('CASE MASTER'!#REF!)-1))),":",","),",",REPT(" ",50)),((((2-INDEX('CASE MASTER'!$U$2:$U$495,(SUMPRODUCT((('CASE MASTER'!$T$2:$T$495=7)*('CASE MASTER'!$U$2:$U$495&lt;=2)*('CASE MASTER'!$W$2:$W$495&gt;=2)*('CASE MASTER'!$V$2:$V$495&lt;=7)*('CASE MASTER'!$X$2:$X$495&gt;=7))*ROW('CASE MASTER'!$T$2:$T$495))-(ROW('CASE MASTER'!#REF!)-1))))*(INDEX('CASE MASTER'!$X$2:$X$495,(SUMPRODUCT((('CASE MASTER'!$T$2:$T$495=7)*('CASE MASTER'!$U$2:$U$495&lt;=2)*('CASE MASTER'!$W$2:$W$495&gt;=2)*('CASE MASTER'!$V$2:$V$495&lt;=7)*('CASE MASTER'!$X$2:$X$495&gt;=7))*ROW('CASE MASTER'!$T$2:$T$495))-(ROW('CASE MASTER'!#REF!)-1)))-INDEX('CASE MASTER'!$V$2:$V$495,(SUMPRODUCT((('CASE MASTER'!$T$2:$T$495=7)*('CASE MASTER'!$U$2:$U$495&lt;=2)*('CASE MASTER'!$W$2:$W$495&gt;=2)*('CASE MASTER'!$V$2:$V$495&lt;=7)*('CASE MASTER'!$X$2:$X$495&gt;=7))*ROW('CASE MASTER'!$T$2:$T$495))-(ROW('CASE MASTER'!#REF!)-1)))+1)+(7-INDEX('CASE MASTER'!$V$2:$V$495,(SUMPRODUCT((('CASE MASTER'!$T$2:$T$495=7)*('CASE MASTER'!$U$2:$U$495&lt;=2)*('CASE MASTER'!$W$2:$W$495&gt;=2)*('CASE MASTER'!$V$2:$V$495&lt;=7)*('CASE MASTER'!$X$2:$X$495&gt;=7))*ROW('CASE MASTER'!$T$2:$T$495))-(ROW('CASE MASTER'!#REF!)-1))))+1))-1)*50+1,50))&amp;"_"&amp;INDEX('CASE MASTER'!$Q$2:$Q$495,(SUMPRODUCT((('CASE MASTER'!$T$2:$T$495=7)*('CASE MASTER'!$U$2:$U$495&lt;=2)*('CASE MASTER'!$W$2:$W$495&gt;=2)*('CASE MASTER'!$V$2:$V$495&lt;=7)*('CASE MASTER'!$X$2:$X$495&gt;=7))*ROW('CASE MASTER'!$T$2:$T$495))-(ROW('CASE MASTER'!#REF!)-1))),IF(SUMPRODUCT((('CASE MASTER'!$T$2:$T$495=7)*('CASE MASTER'!$AA$2:$AA$495&lt;=2)*('CASE MASTER'!$AC$2:$AC$495&gt;=2)*('CASE MASTER'!$AB$2:$AB$495&lt;=7)*('CASE MASTER'!$AD$2:$AD$495&gt;=7))*ROW('CASE MASTER'!$T$2:$T$495))&gt;0,INDEX('CASE MASTER'!$Y$2:$Y$495,(SUMPRODUCT((('CASE MASTER'!$T$2:$T$495=7)*('CASE MASTER'!$AA$2:$AA$495&lt;=2)*('CASE MASTER'!$AC$2:$AC$495&gt;=2)*('CASE MASTER'!$AB$2:$AB$495&lt;=7)*('CASE MASTER'!$AD$2:$AD$495&gt;=7))*ROW('CASE MASTER'!$T$2:$T$495))-(ROW('CASE MASTER'!#REF!)-1)))&amp;TRIM(MID(SUBSTITUTE(SUBSTITUTE(INDEX('CASE MASTER'!$N$2:$N$495,(SUMPRODUCT((('CASE MASTER'!$T$2:$T$495=7)*('CASE MASTER'!$AA$2:$AA$495&lt;=2)*('CASE MASTER'!$AC$2:$AC$495&gt;=2)*('CASE MASTER'!$AB$2:$AB$495&lt;=7)*('CASE MASTER'!$AD$2:$AD$495&gt;=7))*ROW('CASE MASTER'!$T$2:$T$495))-(ROW('CASE MASTER'!#REF!)-1))),":",","),",",REPT(" ",50)),(((INDEX('CASE MASTER'!$Z$2:$Z$495,(SUMPRODUCT((('CASE MASTER'!$T$2:$T$495=7)*('CASE MASTER'!$AA$2:$AA$495&lt;=2)*('CASE MASTER'!$AC$2:$AC$495&gt;=2)*('CASE MASTER'!$AB$2:$AB$495&lt;=7)*('CASE MASTER'!$AD$2:$AD$495&gt;=7))*ROW('CASE MASTER'!$T$2:$T$495))-(ROW('CASE MASTER'!#REF!)-1)))+((2-INDEX('CASE MASTER'!$AA$2:$AA$495,(SUMPRODUCT((('CASE MASTER'!$T$2:$T$495=7)*('CASE MASTER'!$AA$2:$AA$495&lt;=2)*('CASE MASTER'!$AC$2:$AC$495&gt;=2)*('CASE MASTER'!$AB$2:$AB$495&lt;=7)*('CASE MASTER'!$AD$2:$AD$495&gt;=7))*ROW('CASE MASTER'!$T$2:$T$495))-(ROW('CASE MASTER'!#REF!)-1))))*(INDEX('CASE MASTER'!$AD$2:$AD$495,(SUMPRODUCT((('CASE MASTER'!$T$2:$T$495=7)*('CASE MASTER'!$AA$2:$AA$495&lt;=2)*('CASE MASTER'!$AC$2:$AC$495&gt;=2)*('CASE MASTER'!$AB$2:$AB$495&lt;=7)*('CASE MASTER'!$AD$2:$AD$495&gt;=7))*ROW('CASE MASTER'!$T$2:$T$495))-(ROW('CASE MASTER'!#REF!)-1)))-INDEX('CASE MASTER'!$AB$2:$AB$495,(SUMPRODUCT((('CASE MASTER'!$T$2:$T$495=7)*('CASE MASTER'!$AA$2:$AA$495&lt;=2)*('CASE MASTER'!$AC$2:$AC$495&gt;=2)*('CASE MASTER'!$AB$2:$AB$495&lt;=7)*('CASE MASTER'!$AD$2:$AD$495&gt;=7))*ROW('CASE MASTER'!$T$2:$T$495))-(ROW('CASE MASTER'!#REF!)-1)))+1)+(7-INDEX('CASE MASTER'!$AB$2:$AB$495,(SUMPRODUCT((('CASE MASTER'!$T$2:$T$495=7)*('CASE MASTER'!$AA$2:$AA$495&lt;=2)*('CASE MASTER'!$AC$2:$AC$495&gt;=2)*('CASE MASTER'!$AB$2:$AB$495&lt;=7)*('CASE MASTER'!$AD$2:$AD$495&gt;=7))*ROW('CASE MASTER'!$T$2:$T$495))-(ROW('CASE MASTER'!#REF!)-1))))+1)))-1)*50+1,50))&amp;"_"&amp;INDEX('CASE MASTER'!$Q$2:$Q$495,(SUMPRODUCT((('CASE MASTER'!$T$2:$T$495=7)*('CASE MASTER'!$AA$2:$AA$495&lt;=2)*('CASE MASTER'!$AC$2:$AC$495&gt;=2)*('CASE MASTER'!$AB$2:$AB$495&lt;=7)*('CASE MASTER'!$AD$2:$AD$495&gt;=7))*ROW('CASE MASTER'!$T$2:$T$495))-(ROW('CASE MASTER'!#REF!)-1))),"")),"")</f>
        <v/>
      </c>
      <c r="I88" s="10" t="str">
        <f>IFERROR(IF(SUMPRODUCT((('CASE MASTER'!$T$2:$T$495=7)*('CASE MASTER'!$U$2:$U$495&lt;=2)*('CASE MASTER'!$W$2:$W$495&gt;=2)*('CASE MASTER'!$V$2:$V$495&lt;=8)*('CASE MASTER'!$X$2:$X$495&gt;=8))*ROW('CASE MASTER'!$T$2:$T$495))&gt;0,INDEX('CASE MASTER'!$Y$2:$Y$495,(SUMPRODUCT((('CASE MASTER'!$T$2:$T$495=7)*('CASE MASTER'!$U$2:$U$495&lt;=2)*('CASE MASTER'!$W$2:$W$495&gt;=2)*('CASE MASTER'!$V$2:$V$495&lt;=8)*('CASE MASTER'!$X$2:$X$495&gt;=8))*ROW('CASE MASTER'!$T$2:$T$495))-(ROW('CASE MASTER'!#REF!)-1)))&amp;TRIM(MID(SUBSTITUTE(SUBSTITUTE(INDEX('CASE MASTER'!$N$2:$N$495,(SUMPRODUCT((('CASE MASTER'!$T$2:$T$495=7)*('CASE MASTER'!$U$2:$U$495&lt;=2)*('CASE MASTER'!$W$2:$W$495&gt;=2)*('CASE MASTER'!$V$2:$V$495&lt;=8)*('CASE MASTER'!$X$2:$X$495&gt;=8))*ROW('CASE MASTER'!$T$2:$T$495))-(ROW('CASE MASTER'!#REF!)-1))),":",","),",",REPT(" ",50)),((((2-INDEX('CASE MASTER'!$U$2:$U$495,(SUMPRODUCT((('CASE MASTER'!$T$2:$T$495=7)*('CASE MASTER'!$U$2:$U$495&lt;=2)*('CASE MASTER'!$W$2:$W$495&gt;=2)*('CASE MASTER'!$V$2:$V$495&lt;=8)*('CASE MASTER'!$X$2:$X$495&gt;=8))*ROW('CASE MASTER'!$T$2:$T$495))-(ROW('CASE MASTER'!#REF!)-1))))*(INDEX('CASE MASTER'!$X$2:$X$495,(SUMPRODUCT((('CASE MASTER'!$T$2:$T$495=7)*('CASE MASTER'!$U$2:$U$495&lt;=2)*('CASE MASTER'!$W$2:$W$495&gt;=2)*('CASE MASTER'!$V$2:$V$495&lt;=8)*('CASE MASTER'!$X$2:$X$495&gt;=8))*ROW('CASE MASTER'!$T$2:$T$495))-(ROW('CASE MASTER'!#REF!)-1)))-INDEX('CASE MASTER'!$V$2:$V$495,(SUMPRODUCT((('CASE MASTER'!$T$2:$T$495=7)*('CASE MASTER'!$U$2:$U$495&lt;=2)*('CASE MASTER'!$W$2:$W$495&gt;=2)*('CASE MASTER'!$V$2:$V$495&lt;=8)*('CASE MASTER'!$X$2:$X$495&gt;=8))*ROW('CASE MASTER'!$T$2:$T$495))-(ROW('CASE MASTER'!#REF!)-1)))+1)+(8-INDEX('CASE MASTER'!$V$2:$V$495,(SUMPRODUCT((('CASE MASTER'!$T$2:$T$495=7)*('CASE MASTER'!$U$2:$U$495&lt;=2)*('CASE MASTER'!$W$2:$W$495&gt;=2)*('CASE MASTER'!$V$2:$V$495&lt;=8)*('CASE MASTER'!$X$2:$X$495&gt;=8))*ROW('CASE MASTER'!$T$2:$T$495))-(ROW('CASE MASTER'!#REF!)-1))))+1))-1)*50+1,50))&amp;"_"&amp;INDEX('CASE MASTER'!$Q$2:$Q$495,(SUMPRODUCT((('CASE MASTER'!$T$2:$T$495=7)*('CASE MASTER'!$U$2:$U$495&lt;=2)*('CASE MASTER'!$W$2:$W$495&gt;=2)*('CASE MASTER'!$V$2:$V$495&lt;=8)*('CASE MASTER'!$X$2:$X$495&gt;=8))*ROW('CASE MASTER'!$T$2:$T$495))-(ROW('CASE MASTER'!#REF!)-1))),IF(SUMPRODUCT((('CASE MASTER'!$T$2:$T$495=7)*('CASE MASTER'!$AA$2:$AA$495&lt;=2)*('CASE MASTER'!$AC$2:$AC$495&gt;=2)*('CASE MASTER'!$AB$2:$AB$495&lt;=8)*('CASE MASTER'!$AD$2:$AD$495&gt;=8))*ROW('CASE MASTER'!$T$2:$T$495))&gt;0,INDEX('CASE MASTER'!$Y$2:$Y$495,(SUMPRODUCT((('CASE MASTER'!$T$2:$T$495=7)*('CASE MASTER'!$AA$2:$AA$495&lt;=2)*('CASE MASTER'!$AC$2:$AC$495&gt;=2)*('CASE MASTER'!$AB$2:$AB$495&lt;=8)*('CASE MASTER'!$AD$2:$AD$495&gt;=8))*ROW('CASE MASTER'!$T$2:$T$495))-(ROW('CASE MASTER'!#REF!)-1)))&amp;TRIM(MID(SUBSTITUTE(SUBSTITUTE(INDEX('CASE MASTER'!$N$2:$N$495,(SUMPRODUCT((('CASE MASTER'!$T$2:$T$495=7)*('CASE MASTER'!$AA$2:$AA$495&lt;=2)*('CASE MASTER'!$AC$2:$AC$495&gt;=2)*('CASE MASTER'!$AB$2:$AB$495&lt;=8)*('CASE MASTER'!$AD$2:$AD$495&gt;=8))*ROW('CASE MASTER'!$T$2:$T$495))-(ROW('CASE MASTER'!#REF!)-1))),":",","),",",REPT(" ",50)),(((INDEX('CASE MASTER'!$Z$2:$Z$495,(SUMPRODUCT((('CASE MASTER'!$T$2:$T$495=7)*('CASE MASTER'!$AA$2:$AA$495&lt;=2)*('CASE MASTER'!$AC$2:$AC$495&gt;=2)*('CASE MASTER'!$AB$2:$AB$495&lt;=8)*('CASE MASTER'!$AD$2:$AD$495&gt;=8))*ROW('CASE MASTER'!$T$2:$T$495))-(ROW('CASE MASTER'!#REF!)-1)))+((2-INDEX('CASE MASTER'!$AA$2:$AA$495,(SUMPRODUCT((('CASE MASTER'!$T$2:$T$495=7)*('CASE MASTER'!$AA$2:$AA$495&lt;=2)*('CASE MASTER'!$AC$2:$AC$495&gt;=2)*('CASE MASTER'!$AB$2:$AB$495&lt;=8)*('CASE MASTER'!$AD$2:$AD$495&gt;=8))*ROW('CASE MASTER'!$T$2:$T$495))-(ROW('CASE MASTER'!#REF!)-1))))*(INDEX('CASE MASTER'!$AD$2:$AD$495,(SUMPRODUCT((('CASE MASTER'!$T$2:$T$495=7)*('CASE MASTER'!$AA$2:$AA$495&lt;=2)*('CASE MASTER'!$AC$2:$AC$495&gt;=2)*('CASE MASTER'!$AB$2:$AB$495&lt;=8)*('CASE MASTER'!$AD$2:$AD$495&gt;=8))*ROW('CASE MASTER'!$T$2:$T$495))-(ROW('CASE MASTER'!#REF!)-1)))-INDEX('CASE MASTER'!$AB$2:$AB$495,(SUMPRODUCT((('CASE MASTER'!$T$2:$T$495=7)*('CASE MASTER'!$AA$2:$AA$495&lt;=2)*('CASE MASTER'!$AC$2:$AC$495&gt;=2)*('CASE MASTER'!$AB$2:$AB$495&lt;=8)*('CASE MASTER'!$AD$2:$AD$495&gt;=8))*ROW('CASE MASTER'!$T$2:$T$495))-(ROW('CASE MASTER'!#REF!)-1)))+1)+(8-INDEX('CASE MASTER'!$AB$2:$AB$495,(SUMPRODUCT((('CASE MASTER'!$T$2:$T$495=7)*('CASE MASTER'!$AA$2:$AA$495&lt;=2)*('CASE MASTER'!$AC$2:$AC$495&gt;=2)*('CASE MASTER'!$AB$2:$AB$495&lt;=8)*('CASE MASTER'!$AD$2:$AD$495&gt;=8))*ROW('CASE MASTER'!$T$2:$T$495))-(ROW('CASE MASTER'!#REF!)-1))))+1)))-1)*50+1,50))&amp;"_"&amp;INDEX('CASE MASTER'!$Q$2:$Q$495,(SUMPRODUCT((('CASE MASTER'!$T$2:$T$495=7)*('CASE MASTER'!$AA$2:$AA$495&lt;=2)*('CASE MASTER'!$AC$2:$AC$495&gt;=2)*('CASE MASTER'!$AB$2:$AB$495&lt;=8)*('CASE MASTER'!$AD$2:$AD$495&gt;=8))*ROW('CASE MASTER'!$T$2:$T$495))-(ROW('CASE MASTER'!#REF!)-1))),"")),"")</f>
        <v/>
      </c>
      <c r="J88" s="10" t="str">
        <f>IFERROR(IF(SUMPRODUCT((('CASE MASTER'!$T$2:$T$495=7)*('CASE MASTER'!$U$2:$U$495&lt;=2)*('CASE MASTER'!$W$2:$W$495&gt;=2)*('CASE MASTER'!$V$2:$V$495&lt;=9)*('CASE MASTER'!$X$2:$X$495&gt;=9))*ROW('CASE MASTER'!$T$2:$T$495))&gt;0,INDEX('CASE MASTER'!$Y$2:$Y$495,(SUMPRODUCT((('CASE MASTER'!$T$2:$T$495=7)*('CASE MASTER'!$U$2:$U$495&lt;=2)*('CASE MASTER'!$W$2:$W$495&gt;=2)*('CASE MASTER'!$V$2:$V$495&lt;=9)*('CASE MASTER'!$X$2:$X$495&gt;=9))*ROW('CASE MASTER'!$T$2:$T$495))-(ROW('CASE MASTER'!#REF!)-1)))&amp;TRIM(MID(SUBSTITUTE(SUBSTITUTE(INDEX('CASE MASTER'!$N$2:$N$495,(SUMPRODUCT((('CASE MASTER'!$T$2:$T$495=7)*('CASE MASTER'!$U$2:$U$495&lt;=2)*('CASE MASTER'!$W$2:$W$495&gt;=2)*('CASE MASTER'!$V$2:$V$495&lt;=9)*('CASE MASTER'!$X$2:$X$495&gt;=9))*ROW('CASE MASTER'!$T$2:$T$495))-(ROW('CASE MASTER'!#REF!)-1))),":",","),",",REPT(" ",50)),((((2-INDEX('CASE MASTER'!$U$2:$U$495,(SUMPRODUCT((('CASE MASTER'!$T$2:$T$495=7)*('CASE MASTER'!$U$2:$U$495&lt;=2)*('CASE MASTER'!$W$2:$W$495&gt;=2)*('CASE MASTER'!$V$2:$V$495&lt;=9)*('CASE MASTER'!$X$2:$X$495&gt;=9))*ROW('CASE MASTER'!$T$2:$T$495))-(ROW('CASE MASTER'!#REF!)-1))))*(INDEX('CASE MASTER'!$X$2:$X$495,(SUMPRODUCT((('CASE MASTER'!$T$2:$T$495=7)*('CASE MASTER'!$U$2:$U$495&lt;=2)*('CASE MASTER'!$W$2:$W$495&gt;=2)*('CASE MASTER'!$V$2:$V$495&lt;=9)*('CASE MASTER'!$X$2:$X$495&gt;=9))*ROW('CASE MASTER'!$T$2:$T$495))-(ROW('CASE MASTER'!#REF!)-1)))-INDEX('CASE MASTER'!$V$2:$V$495,(SUMPRODUCT((('CASE MASTER'!$T$2:$T$495=7)*('CASE MASTER'!$U$2:$U$495&lt;=2)*('CASE MASTER'!$W$2:$W$495&gt;=2)*('CASE MASTER'!$V$2:$V$495&lt;=9)*('CASE MASTER'!$X$2:$X$495&gt;=9))*ROW('CASE MASTER'!$T$2:$T$495))-(ROW('CASE MASTER'!#REF!)-1)))+1)+(9-INDEX('CASE MASTER'!$V$2:$V$495,(SUMPRODUCT((('CASE MASTER'!$T$2:$T$495=7)*('CASE MASTER'!$U$2:$U$495&lt;=2)*('CASE MASTER'!$W$2:$W$495&gt;=2)*('CASE MASTER'!$V$2:$V$495&lt;=9)*('CASE MASTER'!$X$2:$X$495&gt;=9))*ROW('CASE MASTER'!$T$2:$T$495))-(ROW('CASE MASTER'!#REF!)-1))))+1))-1)*50+1,50))&amp;"_"&amp;INDEX('CASE MASTER'!$Q$2:$Q$495,(SUMPRODUCT((('CASE MASTER'!$T$2:$T$495=7)*('CASE MASTER'!$U$2:$U$495&lt;=2)*('CASE MASTER'!$W$2:$W$495&gt;=2)*('CASE MASTER'!$V$2:$V$495&lt;=9)*('CASE MASTER'!$X$2:$X$495&gt;=9))*ROW('CASE MASTER'!$T$2:$T$495))-(ROW('CASE MASTER'!#REF!)-1))),IF(SUMPRODUCT((('CASE MASTER'!$T$2:$T$495=7)*('CASE MASTER'!$AA$2:$AA$495&lt;=2)*('CASE MASTER'!$AC$2:$AC$495&gt;=2)*('CASE MASTER'!$AB$2:$AB$495&lt;=9)*('CASE MASTER'!$AD$2:$AD$495&gt;=9))*ROW('CASE MASTER'!$T$2:$T$495))&gt;0,INDEX('CASE MASTER'!$Y$2:$Y$495,(SUMPRODUCT((('CASE MASTER'!$T$2:$T$495=7)*('CASE MASTER'!$AA$2:$AA$495&lt;=2)*('CASE MASTER'!$AC$2:$AC$495&gt;=2)*('CASE MASTER'!$AB$2:$AB$495&lt;=9)*('CASE MASTER'!$AD$2:$AD$495&gt;=9))*ROW('CASE MASTER'!$T$2:$T$495))-(ROW('CASE MASTER'!#REF!)-1)))&amp;TRIM(MID(SUBSTITUTE(SUBSTITUTE(INDEX('CASE MASTER'!$N$2:$N$495,(SUMPRODUCT((('CASE MASTER'!$T$2:$T$495=7)*('CASE MASTER'!$AA$2:$AA$495&lt;=2)*('CASE MASTER'!$AC$2:$AC$495&gt;=2)*('CASE MASTER'!$AB$2:$AB$495&lt;=9)*('CASE MASTER'!$AD$2:$AD$495&gt;=9))*ROW('CASE MASTER'!$T$2:$T$495))-(ROW('CASE MASTER'!#REF!)-1))),":",","),",",REPT(" ",50)),(((INDEX('CASE MASTER'!$Z$2:$Z$495,(SUMPRODUCT((('CASE MASTER'!$T$2:$T$495=7)*('CASE MASTER'!$AA$2:$AA$495&lt;=2)*('CASE MASTER'!$AC$2:$AC$495&gt;=2)*('CASE MASTER'!$AB$2:$AB$495&lt;=9)*('CASE MASTER'!$AD$2:$AD$495&gt;=9))*ROW('CASE MASTER'!$T$2:$T$495))-(ROW('CASE MASTER'!#REF!)-1)))+((2-INDEX('CASE MASTER'!$AA$2:$AA$495,(SUMPRODUCT((('CASE MASTER'!$T$2:$T$495=7)*('CASE MASTER'!$AA$2:$AA$495&lt;=2)*('CASE MASTER'!$AC$2:$AC$495&gt;=2)*('CASE MASTER'!$AB$2:$AB$495&lt;=9)*('CASE MASTER'!$AD$2:$AD$495&gt;=9))*ROW('CASE MASTER'!$T$2:$T$495))-(ROW('CASE MASTER'!#REF!)-1))))*(INDEX('CASE MASTER'!$AD$2:$AD$495,(SUMPRODUCT((('CASE MASTER'!$T$2:$T$495=7)*('CASE MASTER'!$AA$2:$AA$495&lt;=2)*('CASE MASTER'!$AC$2:$AC$495&gt;=2)*('CASE MASTER'!$AB$2:$AB$495&lt;=9)*('CASE MASTER'!$AD$2:$AD$495&gt;=9))*ROW('CASE MASTER'!$T$2:$T$495))-(ROW('CASE MASTER'!#REF!)-1)))-INDEX('CASE MASTER'!$AB$2:$AB$495,(SUMPRODUCT((('CASE MASTER'!$T$2:$T$495=7)*('CASE MASTER'!$AA$2:$AA$495&lt;=2)*('CASE MASTER'!$AC$2:$AC$495&gt;=2)*('CASE MASTER'!$AB$2:$AB$495&lt;=9)*('CASE MASTER'!$AD$2:$AD$495&gt;=9))*ROW('CASE MASTER'!$T$2:$T$495))-(ROW('CASE MASTER'!#REF!)-1)))+1)+(9-INDEX('CASE MASTER'!$AB$2:$AB$495,(SUMPRODUCT((('CASE MASTER'!$T$2:$T$495=7)*('CASE MASTER'!$AA$2:$AA$495&lt;=2)*('CASE MASTER'!$AC$2:$AC$495&gt;=2)*('CASE MASTER'!$AB$2:$AB$495&lt;=9)*('CASE MASTER'!$AD$2:$AD$495&gt;=9))*ROW('CASE MASTER'!$T$2:$T$495))-(ROW('CASE MASTER'!#REF!)-1))))+1)))-1)*50+1,50))&amp;"_"&amp;INDEX('CASE MASTER'!$Q$2:$Q$495,(SUMPRODUCT((('CASE MASTER'!$T$2:$T$495=7)*('CASE MASTER'!$AA$2:$AA$495&lt;=2)*('CASE MASTER'!$AC$2:$AC$495&gt;=2)*('CASE MASTER'!$AB$2:$AB$495&lt;=9)*('CASE MASTER'!$AD$2:$AD$495&gt;=9))*ROW('CASE MASTER'!$T$2:$T$495))-(ROW('CASE MASTER'!#REF!)-1))),"")),"")</f>
        <v/>
      </c>
      <c r="K88" s="10" t="str">
        <f>IFERROR(IF(SUMPRODUCT((('CASE MASTER'!$T$2:$T$495=7)*('CASE MASTER'!$U$2:$U$495&lt;=2)*('CASE MASTER'!$W$2:$W$495&gt;=2)*('CASE MASTER'!$V$2:$V$495&lt;=10)*('CASE MASTER'!$X$2:$X$495&gt;=10))*ROW('CASE MASTER'!$T$2:$T$495))&gt;0,INDEX('CASE MASTER'!$Y$2:$Y$495,(SUMPRODUCT((('CASE MASTER'!$T$2:$T$495=7)*('CASE MASTER'!$U$2:$U$495&lt;=2)*('CASE MASTER'!$W$2:$W$495&gt;=2)*('CASE MASTER'!$V$2:$V$495&lt;=10)*('CASE MASTER'!$X$2:$X$495&gt;=10))*ROW('CASE MASTER'!$T$2:$T$495))-(ROW('CASE MASTER'!#REF!)-1)))&amp;TRIM(MID(SUBSTITUTE(SUBSTITUTE(INDEX('CASE MASTER'!$N$2:$N$495,(SUMPRODUCT((('CASE MASTER'!$T$2:$T$495=7)*('CASE MASTER'!$U$2:$U$495&lt;=2)*('CASE MASTER'!$W$2:$W$495&gt;=2)*('CASE MASTER'!$V$2:$V$495&lt;=10)*('CASE MASTER'!$X$2:$X$495&gt;=10))*ROW('CASE MASTER'!$T$2:$T$495))-(ROW('CASE MASTER'!#REF!)-1))),":",","),",",REPT(" ",50)),((((2-INDEX('CASE MASTER'!$U$2:$U$495,(SUMPRODUCT((('CASE MASTER'!$T$2:$T$495=7)*('CASE MASTER'!$U$2:$U$495&lt;=2)*('CASE MASTER'!$W$2:$W$495&gt;=2)*('CASE MASTER'!$V$2:$V$495&lt;=10)*('CASE MASTER'!$X$2:$X$495&gt;=10))*ROW('CASE MASTER'!$T$2:$T$495))-(ROW('CASE MASTER'!#REF!)-1))))*(INDEX('CASE MASTER'!$X$2:$X$495,(SUMPRODUCT((('CASE MASTER'!$T$2:$T$495=7)*('CASE MASTER'!$U$2:$U$495&lt;=2)*('CASE MASTER'!$W$2:$W$495&gt;=2)*('CASE MASTER'!$V$2:$V$495&lt;=10)*('CASE MASTER'!$X$2:$X$495&gt;=10))*ROW('CASE MASTER'!$T$2:$T$495))-(ROW('CASE MASTER'!#REF!)-1)))-INDEX('CASE MASTER'!$V$2:$V$495,(SUMPRODUCT((('CASE MASTER'!$T$2:$T$495=7)*('CASE MASTER'!$U$2:$U$495&lt;=2)*('CASE MASTER'!$W$2:$W$495&gt;=2)*('CASE MASTER'!$V$2:$V$495&lt;=10)*('CASE MASTER'!$X$2:$X$495&gt;=10))*ROW('CASE MASTER'!$T$2:$T$495))-(ROW('CASE MASTER'!#REF!)-1)))+1)+(10-INDEX('CASE MASTER'!$V$2:$V$495,(SUMPRODUCT((('CASE MASTER'!$T$2:$T$495=7)*('CASE MASTER'!$U$2:$U$495&lt;=2)*('CASE MASTER'!$W$2:$W$495&gt;=2)*('CASE MASTER'!$V$2:$V$495&lt;=10)*('CASE MASTER'!$X$2:$X$495&gt;=10))*ROW('CASE MASTER'!$T$2:$T$495))-(ROW('CASE MASTER'!#REF!)-1))))+1))-1)*50+1,50))&amp;"_"&amp;INDEX('CASE MASTER'!$Q$2:$Q$495,(SUMPRODUCT((('CASE MASTER'!$T$2:$T$495=7)*('CASE MASTER'!$U$2:$U$495&lt;=2)*('CASE MASTER'!$W$2:$W$495&gt;=2)*('CASE MASTER'!$V$2:$V$495&lt;=10)*('CASE MASTER'!$X$2:$X$495&gt;=10))*ROW('CASE MASTER'!$T$2:$T$495))-(ROW('CASE MASTER'!#REF!)-1))),IF(SUMPRODUCT((('CASE MASTER'!$T$2:$T$495=7)*('CASE MASTER'!$AA$2:$AA$495&lt;=2)*('CASE MASTER'!$AC$2:$AC$495&gt;=2)*('CASE MASTER'!$AB$2:$AB$495&lt;=10)*('CASE MASTER'!$AD$2:$AD$495&gt;=10))*ROW('CASE MASTER'!$T$2:$T$495))&gt;0,INDEX('CASE MASTER'!$Y$2:$Y$495,(SUMPRODUCT((('CASE MASTER'!$T$2:$T$495=7)*('CASE MASTER'!$AA$2:$AA$495&lt;=2)*('CASE MASTER'!$AC$2:$AC$495&gt;=2)*('CASE MASTER'!$AB$2:$AB$495&lt;=10)*('CASE MASTER'!$AD$2:$AD$495&gt;=10))*ROW('CASE MASTER'!$T$2:$T$495))-(ROW('CASE MASTER'!#REF!)-1)))&amp;TRIM(MID(SUBSTITUTE(SUBSTITUTE(INDEX('CASE MASTER'!$N$2:$N$495,(SUMPRODUCT((('CASE MASTER'!$T$2:$T$495=7)*('CASE MASTER'!$AA$2:$AA$495&lt;=2)*('CASE MASTER'!$AC$2:$AC$495&gt;=2)*('CASE MASTER'!$AB$2:$AB$495&lt;=10)*('CASE MASTER'!$AD$2:$AD$495&gt;=10))*ROW('CASE MASTER'!$T$2:$T$495))-(ROW('CASE MASTER'!#REF!)-1))),":",","),",",REPT(" ",50)),(((INDEX('CASE MASTER'!$Z$2:$Z$495,(SUMPRODUCT((('CASE MASTER'!$T$2:$T$495=7)*('CASE MASTER'!$AA$2:$AA$495&lt;=2)*('CASE MASTER'!$AC$2:$AC$495&gt;=2)*('CASE MASTER'!$AB$2:$AB$495&lt;=10)*('CASE MASTER'!$AD$2:$AD$495&gt;=10))*ROW('CASE MASTER'!$T$2:$T$495))-(ROW('CASE MASTER'!#REF!)-1)))+((2-INDEX('CASE MASTER'!$AA$2:$AA$495,(SUMPRODUCT((('CASE MASTER'!$T$2:$T$495=7)*('CASE MASTER'!$AA$2:$AA$495&lt;=2)*('CASE MASTER'!$AC$2:$AC$495&gt;=2)*('CASE MASTER'!$AB$2:$AB$495&lt;=10)*('CASE MASTER'!$AD$2:$AD$495&gt;=10))*ROW('CASE MASTER'!$T$2:$T$495))-(ROW('CASE MASTER'!#REF!)-1))))*(INDEX('CASE MASTER'!$AD$2:$AD$495,(SUMPRODUCT((('CASE MASTER'!$T$2:$T$495=7)*('CASE MASTER'!$AA$2:$AA$495&lt;=2)*('CASE MASTER'!$AC$2:$AC$495&gt;=2)*('CASE MASTER'!$AB$2:$AB$495&lt;=10)*('CASE MASTER'!$AD$2:$AD$495&gt;=10))*ROW('CASE MASTER'!$T$2:$T$495))-(ROW('CASE MASTER'!#REF!)-1)))-INDEX('CASE MASTER'!$AB$2:$AB$495,(SUMPRODUCT((('CASE MASTER'!$T$2:$T$495=7)*('CASE MASTER'!$AA$2:$AA$495&lt;=2)*('CASE MASTER'!$AC$2:$AC$495&gt;=2)*('CASE MASTER'!$AB$2:$AB$495&lt;=10)*('CASE MASTER'!$AD$2:$AD$495&gt;=10))*ROW('CASE MASTER'!$T$2:$T$495))-(ROW('CASE MASTER'!#REF!)-1)))+1)+(10-INDEX('CASE MASTER'!$AB$2:$AB$495,(SUMPRODUCT((('CASE MASTER'!$T$2:$T$495=7)*('CASE MASTER'!$AA$2:$AA$495&lt;=2)*('CASE MASTER'!$AC$2:$AC$495&gt;=2)*('CASE MASTER'!$AB$2:$AB$495&lt;=10)*('CASE MASTER'!$AD$2:$AD$495&gt;=10))*ROW('CASE MASTER'!$T$2:$T$495))-(ROW('CASE MASTER'!#REF!)-1))))+1)))-1)*50+1,50))&amp;"_"&amp;INDEX('CASE MASTER'!$Q$2:$Q$495,(SUMPRODUCT((('CASE MASTER'!$T$2:$T$495=7)*('CASE MASTER'!$AA$2:$AA$495&lt;=2)*('CASE MASTER'!$AC$2:$AC$495&gt;=2)*('CASE MASTER'!$AB$2:$AB$495&lt;=10)*('CASE MASTER'!$AD$2:$AD$495&gt;=10))*ROW('CASE MASTER'!$T$2:$T$495))-(ROW('CASE MASTER'!#REF!)-1))),"")),"")</f>
        <v/>
      </c>
    </row>
    <row r="89" spans="1:11" ht="15" customHeight="1" x14ac:dyDescent="0.35">
      <c r="A89" s="8" t="s">
        <v>30</v>
      </c>
      <c r="B89" s="10" t="str">
        <f>IFERROR(IF(SUMPRODUCT((('CASE MASTER'!$T$2:$T$495=7)*('CASE MASTER'!$U$2:$U$495&lt;=3)*('CASE MASTER'!$W$2:$W$495&gt;=3)*('CASE MASTER'!$V$2:$V$495&lt;=1)*('CASE MASTER'!$X$2:$X$495&gt;=1))*ROW('CASE MASTER'!$T$2:$T$495))&gt;0,INDEX('CASE MASTER'!$Y$2:$Y$495,(SUMPRODUCT((('CASE MASTER'!$T$2:$T$495=7)*('CASE MASTER'!$U$2:$U$495&lt;=3)*('CASE MASTER'!$W$2:$W$495&gt;=3)*('CASE MASTER'!$V$2:$V$495&lt;=1)*('CASE MASTER'!$X$2:$X$495&gt;=1))*ROW('CASE MASTER'!$T$2:$T$495))-(ROW('CASE MASTER'!#REF!)-1)))&amp;TRIM(MID(SUBSTITUTE(SUBSTITUTE(INDEX('CASE MASTER'!$N$2:$N$495,(SUMPRODUCT((('CASE MASTER'!$T$2:$T$495=7)*('CASE MASTER'!$U$2:$U$495&lt;=3)*('CASE MASTER'!$W$2:$W$495&gt;=3)*('CASE MASTER'!$V$2:$V$495&lt;=1)*('CASE MASTER'!$X$2:$X$495&gt;=1))*ROW('CASE MASTER'!$T$2:$T$495))-(ROW('CASE MASTER'!#REF!)-1))),":",","),",",REPT(" ",50)),((((3-INDEX('CASE MASTER'!$U$2:$U$495,(SUMPRODUCT((('CASE MASTER'!$T$2:$T$495=7)*('CASE MASTER'!$U$2:$U$495&lt;=3)*('CASE MASTER'!$W$2:$W$495&gt;=3)*('CASE MASTER'!$V$2:$V$495&lt;=1)*('CASE MASTER'!$X$2:$X$495&gt;=1))*ROW('CASE MASTER'!$T$2:$T$495))-(ROW('CASE MASTER'!#REF!)-1))))*(INDEX('CASE MASTER'!$X$2:$X$495,(SUMPRODUCT((('CASE MASTER'!$T$2:$T$495=7)*('CASE MASTER'!$U$2:$U$495&lt;=3)*('CASE MASTER'!$W$2:$W$495&gt;=3)*('CASE MASTER'!$V$2:$V$495&lt;=1)*('CASE MASTER'!$X$2:$X$495&gt;=1))*ROW('CASE MASTER'!$T$2:$T$495))-(ROW('CASE MASTER'!#REF!)-1)))-INDEX('CASE MASTER'!$V$2:$V$495,(SUMPRODUCT((('CASE MASTER'!$T$2:$T$495=7)*('CASE MASTER'!$U$2:$U$495&lt;=3)*('CASE MASTER'!$W$2:$W$495&gt;=3)*('CASE MASTER'!$V$2:$V$495&lt;=1)*('CASE MASTER'!$X$2:$X$495&gt;=1))*ROW('CASE MASTER'!$T$2:$T$495))-(ROW('CASE MASTER'!#REF!)-1)))+1)+(1-INDEX('CASE MASTER'!$V$2:$V$495,(SUMPRODUCT((('CASE MASTER'!$T$2:$T$495=7)*('CASE MASTER'!$U$2:$U$495&lt;=3)*('CASE MASTER'!$W$2:$W$495&gt;=3)*('CASE MASTER'!$V$2:$V$495&lt;=1)*('CASE MASTER'!$X$2:$X$495&gt;=1))*ROW('CASE MASTER'!$T$2:$T$495))-(ROW('CASE MASTER'!#REF!)-1))))+1))-1)*50+1,50))&amp;"_"&amp;INDEX('CASE MASTER'!$Q$2:$Q$495,(SUMPRODUCT((('CASE MASTER'!$T$2:$T$495=7)*('CASE MASTER'!$U$2:$U$495&lt;=3)*('CASE MASTER'!$W$2:$W$495&gt;=3)*('CASE MASTER'!$V$2:$V$495&lt;=1)*('CASE MASTER'!$X$2:$X$495&gt;=1))*ROW('CASE MASTER'!$T$2:$T$495))-(ROW('CASE MASTER'!#REF!)-1))),IF(SUMPRODUCT((('CASE MASTER'!$T$2:$T$495=7)*('CASE MASTER'!$AA$2:$AA$495&lt;=3)*('CASE MASTER'!$AC$2:$AC$495&gt;=3)*('CASE MASTER'!$AB$2:$AB$495&lt;=1)*('CASE MASTER'!$AD$2:$AD$495&gt;=1))*ROW('CASE MASTER'!$T$2:$T$495))&gt;0,INDEX('CASE MASTER'!$Y$2:$Y$495,(SUMPRODUCT((('CASE MASTER'!$T$2:$T$495=7)*('CASE MASTER'!$AA$2:$AA$495&lt;=3)*('CASE MASTER'!$AC$2:$AC$495&gt;=3)*('CASE MASTER'!$AB$2:$AB$495&lt;=1)*('CASE MASTER'!$AD$2:$AD$495&gt;=1))*ROW('CASE MASTER'!$T$2:$T$495))-(ROW('CASE MASTER'!#REF!)-1)))&amp;TRIM(MID(SUBSTITUTE(SUBSTITUTE(INDEX('CASE MASTER'!$N$2:$N$495,(SUMPRODUCT((('CASE MASTER'!$T$2:$T$495=7)*('CASE MASTER'!$AA$2:$AA$495&lt;=3)*('CASE MASTER'!$AC$2:$AC$495&gt;=3)*('CASE MASTER'!$AB$2:$AB$495&lt;=1)*('CASE MASTER'!$AD$2:$AD$495&gt;=1))*ROW('CASE MASTER'!$T$2:$T$495))-(ROW('CASE MASTER'!#REF!)-1))),":",","),",",REPT(" ",50)),(((INDEX('CASE MASTER'!$Z$2:$Z$495,(SUMPRODUCT((('CASE MASTER'!$T$2:$T$495=7)*('CASE MASTER'!$AA$2:$AA$495&lt;=3)*('CASE MASTER'!$AC$2:$AC$495&gt;=3)*('CASE MASTER'!$AB$2:$AB$495&lt;=1)*('CASE MASTER'!$AD$2:$AD$495&gt;=1))*ROW('CASE MASTER'!$T$2:$T$495))-(ROW('CASE MASTER'!#REF!)-1)))+((3-INDEX('CASE MASTER'!$AA$2:$AA$495,(SUMPRODUCT((('CASE MASTER'!$T$2:$T$495=7)*('CASE MASTER'!$AA$2:$AA$495&lt;=3)*('CASE MASTER'!$AC$2:$AC$495&gt;=3)*('CASE MASTER'!$AB$2:$AB$495&lt;=1)*('CASE MASTER'!$AD$2:$AD$495&gt;=1))*ROW('CASE MASTER'!$T$2:$T$495))-(ROW('CASE MASTER'!#REF!)-1))))*(INDEX('CASE MASTER'!$AD$2:$AD$495,(SUMPRODUCT((('CASE MASTER'!$T$2:$T$495=7)*('CASE MASTER'!$AA$2:$AA$495&lt;=3)*('CASE MASTER'!$AC$2:$AC$495&gt;=3)*('CASE MASTER'!$AB$2:$AB$495&lt;=1)*('CASE MASTER'!$AD$2:$AD$495&gt;=1))*ROW('CASE MASTER'!$T$2:$T$495))-(ROW('CASE MASTER'!#REF!)-1)))-INDEX('CASE MASTER'!$AB$2:$AB$495,(SUMPRODUCT((('CASE MASTER'!$T$2:$T$495=7)*('CASE MASTER'!$AA$2:$AA$495&lt;=3)*('CASE MASTER'!$AC$2:$AC$495&gt;=3)*('CASE MASTER'!$AB$2:$AB$495&lt;=1)*('CASE MASTER'!$AD$2:$AD$495&gt;=1))*ROW('CASE MASTER'!$T$2:$T$495))-(ROW('CASE MASTER'!#REF!)-1)))+1)+(1-INDEX('CASE MASTER'!$AB$2:$AB$495,(SUMPRODUCT((('CASE MASTER'!$T$2:$T$495=7)*('CASE MASTER'!$AA$2:$AA$495&lt;=3)*('CASE MASTER'!$AC$2:$AC$495&gt;=3)*('CASE MASTER'!$AB$2:$AB$495&lt;=1)*('CASE MASTER'!$AD$2:$AD$495&gt;=1))*ROW('CASE MASTER'!$T$2:$T$495))-(ROW('CASE MASTER'!#REF!)-1))))+1)))-1)*50+1,50))&amp;"_"&amp;INDEX('CASE MASTER'!$Q$2:$Q$495,(SUMPRODUCT((('CASE MASTER'!$T$2:$T$495=7)*('CASE MASTER'!$AA$2:$AA$495&lt;=3)*('CASE MASTER'!$AC$2:$AC$495&gt;=3)*('CASE MASTER'!$AB$2:$AB$495&lt;=1)*('CASE MASTER'!$AD$2:$AD$495&gt;=1))*ROW('CASE MASTER'!$T$2:$T$495))-(ROW('CASE MASTER'!#REF!)-1))),"")),"")</f>
        <v/>
      </c>
      <c r="C89" s="10" t="str">
        <f>IFERROR(IF(SUMPRODUCT((('CASE MASTER'!$T$2:$T$495=7)*('CASE MASTER'!$U$2:$U$495&lt;=3)*('CASE MASTER'!$W$2:$W$495&gt;=3)*('CASE MASTER'!$V$2:$V$495&lt;=2)*('CASE MASTER'!$X$2:$X$495&gt;=2))*ROW('CASE MASTER'!$T$2:$T$495))&gt;0,INDEX('CASE MASTER'!$Y$2:$Y$495,(SUMPRODUCT((('CASE MASTER'!$T$2:$T$495=7)*('CASE MASTER'!$U$2:$U$495&lt;=3)*('CASE MASTER'!$W$2:$W$495&gt;=3)*('CASE MASTER'!$V$2:$V$495&lt;=2)*('CASE MASTER'!$X$2:$X$495&gt;=2))*ROW('CASE MASTER'!$T$2:$T$495))-(ROW('CASE MASTER'!#REF!)-1)))&amp;TRIM(MID(SUBSTITUTE(SUBSTITUTE(INDEX('CASE MASTER'!$N$2:$N$495,(SUMPRODUCT((('CASE MASTER'!$T$2:$T$495=7)*('CASE MASTER'!$U$2:$U$495&lt;=3)*('CASE MASTER'!$W$2:$W$495&gt;=3)*('CASE MASTER'!$V$2:$V$495&lt;=2)*('CASE MASTER'!$X$2:$X$495&gt;=2))*ROW('CASE MASTER'!$T$2:$T$495))-(ROW('CASE MASTER'!#REF!)-1))),":",","),",",REPT(" ",50)),((((3-INDEX('CASE MASTER'!$U$2:$U$495,(SUMPRODUCT((('CASE MASTER'!$T$2:$T$495=7)*('CASE MASTER'!$U$2:$U$495&lt;=3)*('CASE MASTER'!$W$2:$W$495&gt;=3)*('CASE MASTER'!$V$2:$V$495&lt;=2)*('CASE MASTER'!$X$2:$X$495&gt;=2))*ROW('CASE MASTER'!$T$2:$T$495))-(ROW('CASE MASTER'!#REF!)-1))))*(INDEX('CASE MASTER'!$X$2:$X$495,(SUMPRODUCT((('CASE MASTER'!$T$2:$T$495=7)*('CASE MASTER'!$U$2:$U$495&lt;=3)*('CASE MASTER'!$W$2:$W$495&gt;=3)*('CASE MASTER'!$V$2:$V$495&lt;=2)*('CASE MASTER'!$X$2:$X$495&gt;=2))*ROW('CASE MASTER'!$T$2:$T$495))-(ROW('CASE MASTER'!#REF!)-1)))-INDEX('CASE MASTER'!$V$2:$V$495,(SUMPRODUCT((('CASE MASTER'!$T$2:$T$495=7)*('CASE MASTER'!$U$2:$U$495&lt;=3)*('CASE MASTER'!$W$2:$W$495&gt;=3)*('CASE MASTER'!$V$2:$V$495&lt;=2)*('CASE MASTER'!$X$2:$X$495&gt;=2))*ROW('CASE MASTER'!$T$2:$T$495))-(ROW('CASE MASTER'!#REF!)-1)))+1)+(2-INDEX('CASE MASTER'!$V$2:$V$495,(SUMPRODUCT((('CASE MASTER'!$T$2:$T$495=7)*('CASE MASTER'!$U$2:$U$495&lt;=3)*('CASE MASTER'!$W$2:$W$495&gt;=3)*('CASE MASTER'!$V$2:$V$495&lt;=2)*('CASE MASTER'!$X$2:$X$495&gt;=2))*ROW('CASE MASTER'!$T$2:$T$495))-(ROW('CASE MASTER'!#REF!)-1))))+1))-1)*50+1,50))&amp;"_"&amp;INDEX('CASE MASTER'!$Q$2:$Q$495,(SUMPRODUCT((('CASE MASTER'!$T$2:$T$495=7)*('CASE MASTER'!$U$2:$U$495&lt;=3)*('CASE MASTER'!$W$2:$W$495&gt;=3)*('CASE MASTER'!$V$2:$V$495&lt;=2)*('CASE MASTER'!$X$2:$X$495&gt;=2))*ROW('CASE MASTER'!$T$2:$T$495))-(ROW('CASE MASTER'!#REF!)-1))),IF(SUMPRODUCT((('CASE MASTER'!$T$2:$T$495=7)*('CASE MASTER'!$AA$2:$AA$495&lt;=3)*('CASE MASTER'!$AC$2:$AC$495&gt;=3)*('CASE MASTER'!$AB$2:$AB$495&lt;=2)*('CASE MASTER'!$AD$2:$AD$495&gt;=2))*ROW('CASE MASTER'!$T$2:$T$495))&gt;0,INDEX('CASE MASTER'!$Y$2:$Y$495,(SUMPRODUCT((('CASE MASTER'!$T$2:$T$495=7)*('CASE MASTER'!$AA$2:$AA$495&lt;=3)*('CASE MASTER'!$AC$2:$AC$495&gt;=3)*('CASE MASTER'!$AB$2:$AB$495&lt;=2)*('CASE MASTER'!$AD$2:$AD$495&gt;=2))*ROW('CASE MASTER'!$T$2:$T$495))-(ROW('CASE MASTER'!#REF!)-1)))&amp;TRIM(MID(SUBSTITUTE(SUBSTITUTE(INDEX('CASE MASTER'!$N$2:$N$495,(SUMPRODUCT((('CASE MASTER'!$T$2:$T$495=7)*('CASE MASTER'!$AA$2:$AA$495&lt;=3)*('CASE MASTER'!$AC$2:$AC$495&gt;=3)*('CASE MASTER'!$AB$2:$AB$495&lt;=2)*('CASE MASTER'!$AD$2:$AD$495&gt;=2))*ROW('CASE MASTER'!$T$2:$T$495))-(ROW('CASE MASTER'!#REF!)-1))),":",","),",",REPT(" ",50)),(((INDEX('CASE MASTER'!$Z$2:$Z$495,(SUMPRODUCT((('CASE MASTER'!$T$2:$T$495=7)*('CASE MASTER'!$AA$2:$AA$495&lt;=3)*('CASE MASTER'!$AC$2:$AC$495&gt;=3)*('CASE MASTER'!$AB$2:$AB$495&lt;=2)*('CASE MASTER'!$AD$2:$AD$495&gt;=2))*ROW('CASE MASTER'!$T$2:$T$495))-(ROW('CASE MASTER'!#REF!)-1)))+((3-INDEX('CASE MASTER'!$AA$2:$AA$495,(SUMPRODUCT((('CASE MASTER'!$T$2:$T$495=7)*('CASE MASTER'!$AA$2:$AA$495&lt;=3)*('CASE MASTER'!$AC$2:$AC$495&gt;=3)*('CASE MASTER'!$AB$2:$AB$495&lt;=2)*('CASE MASTER'!$AD$2:$AD$495&gt;=2))*ROW('CASE MASTER'!$T$2:$T$495))-(ROW('CASE MASTER'!#REF!)-1))))*(INDEX('CASE MASTER'!$AD$2:$AD$495,(SUMPRODUCT((('CASE MASTER'!$T$2:$T$495=7)*('CASE MASTER'!$AA$2:$AA$495&lt;=3)*('CASE MASTER'!$AC$2:$AC$495&gt;=3)*('CASE MASTER'!$AB$2:$AB$495&lt;=2)*('CASE MASTER'!$AD$2:$AD$495&gt;=2))*ROW('CASE MASTER'!$T$2:$T$495))-(ROW('CASE MASTER'!#REF!)-1)))-INDEX('CASE MASTER'!$AB$2:$AB$495,(SUMPRODUCT((('CASE MASTER'!$T$2:$T$495=7)*('CASE MASTER'!$AA$2:$AA$495&lt;=3)*('CASE MASTER'!$AC$2:$AC$495&gt;=3)*('CASE MASTER'!$AB$2:$AB$495&lt;=2)*('CASE MASTER'!$AD$2:$AD$495&gt;=2))*ROW('CASE MASTER'!$T$2:$T$495))-(ROW('CASE MASTER'!#REF!)-1)))+1)+(2-INDEX('CASE MASTER'!$AB$2:$AB$495,(SUMPRODUCT((('CASE MASTER'!$T$2:$T$495=7)*('CASE MASTER'!$AA$2:$AA$495&lt;=3)*('CASE MASTER'!$AC$2:$AC$495&gt;=3)*('CASE MASTER'!$AB$2:$AB$495&lt;=2)*('CASE MASTER'!$AD$2:$AD$495&gt;=2))*ROW('CASE MASTER'!$T$2:$T$495))-(ROW('CASE MASTER'!#REF!)-1))))+1)))-1)*50+1,50))&amp;"_"&amp;INDEX('CASE MASTER'!$Q$2:$Q$495,(SUMPRODUCT((('CASE MASTER'!$T$2:$T$495=7)*('CASE MASTER'!$AA$2:$AA$495&lt;=3)*('CASE MASTER'!$AC$2:$AC$495&gt;=3)*('CASE MASTER'!$AB$2:$AB$495&lt;=2)*('CASE MASTER'!$AD$2:$AD$495&gt;=2))*ROW('CASE MASTER'!$T$2:$T$495))-(ROW('CASE MASTER'!#REF!)-1))),"")),"")</f>
        <v/>
      </c>
      <c r="D89" s="10" t="str">
        <f>IFERROR(IF(SUMPRODUCT((('CASE MASTER'!$T$2:$T$495=7)*('CASE MASTER'!$U$2:$U$495&lt;=3)*('CASE MASTER'!$W$2:$W$495&gt;=3)*('CASE MASTER'!$V$2:$V$495&lt;=3)*('CASE MASTER'!$X$2:$X$495&gt;=3))*ROW('CASE MASTER'!$T$2:$T$495))&gt;0,INDEX('CASE MASTER'!$Y$2:$Y$495,(SUMPRODUCT((('CASE MASTER'!$T$2:$T$495=7)*('CASE MASTER'!$U$2:$U$495&lt;=3)*('CASE MASTER'!$W$2:$W$495&gt;=3)*('CASE MASTER'!$V$2:$V$495&lt;=3)*('CASE MASTER'!$X$2:$X$495&gt;=3))*ROW('CASE MASTER'!$T$2:$T$495))-(ROW('CASE MASTER'!#REF!)-1)))&amp;TRIM(MID(SUBSTITUTE(SUBSTITUTE(INDEX('CASE MASTER'!$N$2:$N$495,(SUMPRODUCT((('CASE MASTER'!$T$2:$T$495=7)*('CASE MASTER'!$U$2:$U$495&lt;=3)*('CASE MASTER'!$W$2:$W$495&gt;=3)*('CASE MASTER'!$V$2:$V$495&lt;=3)*('CASE MASTER'!$X$2:$X$495&gt;=3))*ROW('CASE MASTER'!$T$2:$T$495))-(ROW('CASE MASTER'!#REF!)-1))),":",","),",",REPT(" ",50)),((((3-INDEX('CASE MASTER'!$U$2:$U$495,(SUMPRODUCT((('CASE MASTER'!$T$2:$T$495=7)*('CASE MASTER'!$U$2:$U$495&lt;=3)*('CASE MASTER'!$W$2:$W$495&gt;=3)*('CASE MASTER'!$V$2:$V$495&lt;=3)*('CASE MASTER'!$X$2:$X$495&gt;=3))*ROW('CASE MASTER'!$T$2:$T$495))-(ROW('CASE MASTER'!#REF!)-1))))*(INDEX('CASE MASTER'!$X$2:$X$495,(SUMPRODUCT((('CASE MASTER'!$T$2:$T$495=7)*('CASE MASTER'!$U$2:$U$495&lt;=3)*('CASE MASTER'!$W$2:$W$495&gt;=3)*('CASE MASTER'!$V$2:$V$495&lt;=3)*('CASE MASTER'!$X$2:$X$495&gt;=3))*ROW('CASE MASTER'!$T$2:$T$495))-(ROW('CASE MASTER'!#REF!)-1)))-INDEX('CASE MASTER'!$V$2:$V$495,(SUMPRODUCT((('CASE MASTER'!$T$2:$T$495=7)*('CASE MASTER'!$U$2:$U$495&lt;=3)*('CASE MASTER'!$W$2:$W$495&gt;=3)*('CASE MASTER'!$V$2:$V$495&lt;=3)*('CASE MASTER'!$X$2:$X$495&gt;=3))*ROW('CASE MASTER'!$T$2:$T$495))-(ROW('CASE MASTER'!#REF!)-1)))+1)+(3-INDEX('CASE MASTER'!$V$2:$V$495,(SUMPRODUCT((('CASE MASTER'!$T$2:$T$495=7)*('CASE MASTER'!$U$2:$U$495&lt;=3)*('CASE MASTER'!$W$2:$W$495&gt;=3)*('CASE MASTER'!$V$2:$V$495&lt;=3)*('CASE MASTER'!$X$2:$X$495&gt;=3))*ROW('CASE MASTER'!$T$2:$T$495))-(ROW('CASE MASTER'!#REF!)-1))))+1))-1)*50+1,50))&amp;"_"&amp;INDEX('CASE MASTER'!$Q$2:$Q$495,(SUMPRODUCT((('CASE MASTER'!$T$2:$T$495=7)*('CASE MASTER'!$U$2:$U$495&lt;=3)*('CASE MASTER'!$W$2:$W$495&gt;=3)*('CASE MASTER'!$V$2:$V$495&lt;=3)*('CASE MASTER'!$X$2:$X$495&gt;=3))*ROW('CASE MASTER'!$T$2:$T$495))-(ROW('CASE MASTER'!#REF!)-1))),IF(SUMPRODUCT((('CASE MASTER'!$T$2:$T$495=7)*('CASE MASTER'!$AA$2:$AA$495&lt;=3)*('CASE MASTER'!$AC$2:$AC$495&gt;=3)*('CASE MASTER'!$AB$2:$AB$495&lt;=3)*('CASE MASTER'!$AD$2:$AD$495&gt;=3))*ROW('CASE MASTER'!$T$2:$T$495))&gt;0,INDEX('CASE MASTER'!$Y$2:$Y$495,(SUMPRODUCT((('CASE MASTER'!$T$2:$T$495=7)*('CASE MASTER'!$AA$2:$AA$495&lt;=3)*('CASE MASTER'!$AC$2:$AC$495&gt;=3)*('CASE MASTER'!$AB$2:$AB$495&lt;=3)*('CASE MASTER'!$AD$2:$AD$495&gt;=3))*ROW('CASE MASTER'!$T$2:$T$495))-(ROW('CASE MASTER'!#REF!)-1)))&amp;TRIM(MID(SUBSTITUTE(SUBSTITUTE(INDEX('CASE MASTER'!$N$2:$N$495,(SUMPRODUCT((('CASE MASTER'!$T$2:$T$495=7)*('CASE MASTER'!$AA$2:$AA$495&lt;=3)*('CASE MASTER'!$AC$2:$AC$495&gt;=3)*('CASE MASTER'!$AB$2:$AB$495&lt;=3)*('CASE MASTER'!$AD$2:$AD$495&gt;=3))*ROW('CASE MASTER'!$T$2:$T$495))-(ROW('CASE MASTER'!#REF!)-1))),":",","),",",REPT(" ",50)),(((INDEX('CASE MASTER'!$Z$2:$Z$495,(SUMPRODUCT((('CASE MASTER'!$T$2:$T$495=7)*('CASE MASTER'!$AA$2:$AA$495&lt;=3)*('CASE MASTER'!$AC$2:$AC$495&gt;=3)*('CASE MASTER'!$AB$2:$AB$495&lt;=3)*('CASE MASTER'!$AD$2:$AD$495&gt;=3))*ROW('CASE MASTER'!$T$2:$T$495))-(ROW('CASE MASTER'!#REF!)-1)))+((3-INDEX('CASE MASTER'!$AA$2:$AA$495,(SUMPRODUCT((('CASE MASTER'!$T$2:$T$495=7)*('CASE MASTER'!$AA$2:$AA$495&lt;=3)*('CASE MASTER'!$AC$2:$AC$495&gt;=3)*('CASE MASTER'!$AB$2:$AB$495&lt;=3)*('CASE MASTER'!$AD$2:$AD$495&gt;=3))*ROW('CASE MASTER'!$T$2:$T$495))-(ROW('CASE MASTER'!#REF!)-1))))*(INDEX('CASE MASTER'!$AD$2:$AD$495,(SUMPRODUCT((('CASE MASTER'!$T$2:$T$495=7)*('CASE MASTER'!$AA$2:$AA$495&lt;=3)*('CASE MASTER'!$AC$2:$AC$495&gt;=3)*('CASE MASTER'!$AB$2:$AB$495&lt;=3)*('CASE MASTER'!$AD$2:$AD$495&gt;=3))*ROW('CASE MASTER'!$T$2:$T$495))-(ROW('CASE MASTER'!#REF!)-1)))-INDEX('CASE MASTER'!$AB$2:$AB$495,(SUMPRODUCT((('CASE MASTER'!$T$2:$T$495=7)*('CASE MASTER'!$AA$2:$AA$495&lt;=3)*('CASE MASTER'!$AC$2:$AC$495&gt;=3)*('CASE MASTER'!$AB$2:$AB$495&lt;=3)*('CASE MASTER'!$AD$2:$AD$495&gt;=3))*ROW('CASE MASTER'!$T$2:$T$495))-(ROW('CASE MASTER'!#REF!)-1)))+1)+(3-INDEX('CASE MASTER'!$AB$2:$AB$495,(SUMPRODUCT((('CASE MASTER'!$T$2:$T$495=7)*('CASE MASTER'!$AA$2:$AA$495&lt;=3)*('CASE MASTER'!$AC$2:$AC$495&gt;=3)*('CASE MASTER'!$AB$2:$AB$495&lt;=3)*('CASE MASTER'!$AD$2:$AD$495&gt;=3))*ROW('CASE MASTER'!$T$2:$T$495))-(ROW('CASE MASTER'!#REF!)-1))))+1)))-1)*50+1,50))&amp;"_"&amp;INDEX('CASE MASTER'!$Q$2:$Q$495,(SUMPRODUCT((('CASE MASTER'!$T$2:$T$495=7)*('CASE MASTER'!$AA$2:$AA$495&lt;=3)*('CASE MASTER'!$AC$2:$AC$495&gt;=3)*('CASE MASTER'!$AB$2:$AB$495&lt;=3)*('CASE MASTER'!$AD$2:$AD$495&gt;=3))*ROW('CASE MASTER'!$T$2:$T$495))-(ROW('CASE MASTER'!#REF!)-1))),"")),"")</f>
        <v/>
      </c>
      <c r="E89" s="10" t="str">
        <f>IFERROR(IF(SUMPRODUCT((('CASE MASTER'!$T$2:$T$495=7)*('CASE MASTER'!$U$2:$U$495&lt;=3)*('CASE MASTER'!$W$2:$W$495&gt;=3)*('CASE MASTER'!$V$2:$V$495&lt;=4)*('CASE MASTER'!$X$2:$X$495&gt;=4))*ROW('CASE MASTER'!$T$2:$T$495))&gt;0,INDEX('CASE MASTER'!$Y$2:$Y$495,(SUMPRODUCT((('CASE MASTER'!$T$2:$T$495=7)*('CASE MASTER'!$U$2:$U$495&lt;=3)*('CASE MASTER'!$W$2:$W$495&gt;=3)*('CASE MASTER'!$V$2:$V$495&lt;=4)*('CASE MASTER'!$X$2:$X$495&gt;=4))*ROW('CASE MASTER'!$T$2:$T$495))-(ROW('CASE MASTER'!#REF!)-1)))&amp;TRIM(MID(SUBSTITUTE(SUBSTITUTE(INDEX('CASE MASTER'!$N$2:$N$495,(SUMPRODUCT((('CASE MASTER'!$T$2:$T$495=7)*('CASE MASTER'!$U$2:$U$495&lt;=3)*('CASE MASTER'!$W$2:$W$495&gt;=3)*('CASE MASTER'!$V$2:$V$495&lt;=4)*('CASE MASTER'!$X$2:$X$495&gt;=4))*ROW('CASE MASTER'!$T$2:$T$495))-(ROW('CASE MASTER'!#REF!)-1))),":",","),",",REPT(" ",50)),((((3-INDEX('CASE MASTER'!$U$2:$U$495,(SUMPRODUCT((('CASE MASTER'!$T$2:$T$495=7)*('CASE MASTER'!$U$2:$U$495&lt;=3)*('CASE MASTER'!$W$2:$W$495&gt;=3)*('CASE MASTER'!$V$2:$V$495&lt;=4)*('CASE MASTER'!$X$2:$X$495&gt;=4))*ROW('CASE MASTER'!$T$2:$T$495))-(ROW('CASE MASTER'!#REF!)-1))))*(INDEX('CASE MASTER'!$X$2:$X$495,(SUMPRODUCT((('CASE MASTER'!$T$2:$T$495=7)*('CASE MASTER'!$U$2:$U$495&lt;=3)*('CASE MASTER'!$W$2:$W$495&gt;=3)*('CASE MASTER'!$V$2:$V$495&lt;=4)*('CASE MASTER'!$X$2:$X$495&gt;=4))*ROW('CASE MASTER'!$T$2:$T$495))-(ROW('CASE MASTER'!#REF!)-1)))-INDEX('CASE MASTER'!$V$2:$V$495,(SUMPRODUCT((('CASE MASTER'!$T$2:$T$495=7)*('CASE MASTER'!$U$2:$U$495&lt;=3)*('CASE MASTER'!$W$2:$W$495&gt;=3)*('CASE MASTER'!$V$2:$V$495&lt;=4)*('CASE MASTER'!$X$2:$X$495&gt;=4))*ROW('CASE MASTER'!$T$2:$T$495))-(ROW('CASE MASTER'!#REF!)-1)))+1)+(4-INDEX('CASE MASTER'!$V$2:$V$495,(SUMPRODUCT((('CASE MASTER'!$T$2:$T$495=7)*('CASE MASTER'!$U$2:$U$495&lt;=3)*('CASE MASTER'!$W$2:$W$495&gt;=3)*('CASE MASTER'!$V$2:$V$495&lt;=4)*('CASE MASTER'!$X$2:$X$495&gt;=4))*ROW('CASE MASTER'!$T$2:$T$495))-(ROW('CASE MASTER'!#REF!)-1))))+1))-1)*50+1,50))&amp;"_"&amp;INDEX('CASE MASTER'!$Q$2:$Q$495,(SUMPRODUCT((('CASE MASTER'!$T$2:$T$495=7)*('CASE MASTER'!$U$2:$U$495&lt;=3)*('CASE MASTER'!$W$2:$W$495&gt;=3)*('CASE MASTER'!$V$2:$V$495&lt;=4)*('CASE MASTER'!$X$2:$X$495&gt;=4))*ROW('CASE MASTER'!$T$2:$T$495))-(ROW('CASE MASTER'!#REF!)-1))),IF(SUMPRODUCT((('CASE MASTER'!$T$2:$T$495=7)*('CASE MASTER'!$AA$2:$AA$495&lt;=3)*('CASE MASTER'!$AC$2:$AC$495&gt;=3)*('CASE MASTER'!$AB$2:$AB$495&lt;=4)*('CASE MASTER'!$AD$2:$AD$495&gt;=4))*ROW('CASE MASTER'!$T$2:$T$495))&gt;0,INDEX('CASE MASTER'!$Y$2:$Y$495,(SUMPRODUCT((('CASE MASTER'!$T$2:$T$495=7)*('CASE MASTER'!$AA$2:$AA$495&lt;=3)*('CASE MASTER'!$AC$2:$AC$495&gt;=3)*('CASE MASTER'!$AB$2:$AB$495&lt;=4)*('CASE MASTER'!$AD$2:$AD$495&gt;=4))*ROW('CASE MASTER'!$T$2:$T$495))-(ROW('CASE MASTER'!#REF!)-1)))&amp;TRIM(MID(SUBSTITUTE(SUBSTITUTE(INDEX('CASE MASTER'!$N$2:$N$495,(SUMPRODUCT((('CASE MASTER'!$T$2:$T$495=7)*('CASE MASTER'!$AA$2:$AA$495&lt;=3)*('CASE MASTER'!$AC$2:$AC$495&gt;=3)*('CASE MASTER'!$AB$2:$AB$495&lt;=4)*('CASE MASTER'!$AD$2:$AD$495&gt;=4))*ROW('CASE MASTER'!$T$2:$T$495))-(ROW('CASE MASTER'!#REF!)-1))),":",","),",",REPT(" ",50)),(((INDEX('CASE MASTER'!$Z$2:$Z$495,(SUMPRODUCT((('CASE MASTER'!$T$2:$T$495=7)*('CASE MASTER'!$AA$2:$AA$495&lt;=3)*('CASE MASTER'!$AC$2:$AC$495&gt;=3)*('CASE MASTER'!$AB$2:$AB$495&lt;=4)*('CASE MASTER'!$AD$2:$AD$495&gt;=4))*ROW('CASE MASTER'!$T$2:$T$495))-(ROW('CASE MASTER'!#REF!)-1)))+((3-INDEX('CASE MASTER'!$AA$2:$AA$495,(SUMPRODUCT((('CASE MASTER'!$T$2:$T$495=7)*('CASE MASTER'!$AA$2:$AA$495&lt;=3)*('CASE MASTER'!$AC$2:$AC$495&gt;=3)*('CASE MASTER'!$AB$2:$AB$495&lt;=4)*('CASE MASTER'!$AD$2:$AD$495&gt;=4))*ROW('CASE MASTER'!$T$2:$T$495))-(ROW('CASE MASTER'!#REF!)-1))))*(INDEX('CASE MASTER'!$AD$2:$AD$495,(SUMPRODUCT((('CASE MASTER'!$T$2:$T$495=7)*('CASE MASTER'!$AA$2:$AA$495&lt;=3)*('CASE MASTER'!$AC$2:$AC$495&gt;=3)*('CASE MASTER'!$AB$2:$AB$495&lt;=4)*('CASE MASTER'!$AD$2:$AD$495&gt;=4))*ROW('CASE MASTER'!$T$2:$T$495))-(ROW('CASE MASTER'!#REF!)-1)))-INDEX('CASE MASTER'!$AB$2:$AB$495,(SUMPRODUCT((('CASE MASTER'!$T$2:$T$495=7)*('CASE MASTER'!$AA$2:$AA$495&lt;=3)*('CASE MASTER'!$AC$2:$AC$495&gt;=3)*('CASE MASTER'!$AB$2:$AB$495&lt;=4)*('CASE MASTER'!$AD$2:$AD$495&gt;=4))*ROW('CASE MASTER'!$T$2:$T$495))-(ROW('CASE MASTER'!#REF!)-1)))+1)+(4-INDEX('CASE MASTER'!$AB$2:$AB$495,(SUMPRODUCT((('CASE MASTER'!$T$2:$T$495=7)*('CASE MASTER'!$AA$2:$AA$495&lt;=3)*('CASE MASTER'!$AC$2:$AC$495&gt;=3)*('CASE MASTER'!$AB$2:$AB$495&lt;=4)*('CASE MASTER'!$AD$2:$AD$495&gt;=4))*ROW('CASE MASTER'!$T$2:$T$495))-(ROW('CASE MASTER'!#REF!)-1))))+1)))-1)*50+1,50))&amp;"_"&amp;INDEX('CASE MASTER'!$Q$2:$Q$495,(SUMPRODUCT((('CASE MASTER'!$T$2:$T$495=7)*('CASE MASTER'!$AA$2:$AA$495&lt;=3)*('CASE MASTER'!$AC$2:$AC$495&gt;=3)*('CASE MASTER'!$AB$2:$AB$495&lt;=4)*('CASE MASTER'!$AD$2:$AD$495&gt;=4))*ROW('CASE MASTER'!$T$2:$T$495))-(ROW('CASE MASTER'!#REF!)-1))),"")),"")</f>
        <v/>
      </c>
      <c r="F89" s="10" t="str">
        <f>IFERROR(IF(SUMPRODUCT((('CASE MASTER'!$T$2:$T$495=7)*('CASE MASTER'!$U$2:$U$495&lt;=3)*('CASE MASTER'!$W$2:$W$495&gt;=3)*('CASE MASTER'!$V$2:$V$495&lt;=5)*('CASE MASTER'!$X$2:$X$495&gt;=5))*ROW('CASE MASTER'!$T$2:$T$495))&gt;0,INDEX('CASE MASTER'!$Y$2:$Y$495,(SUMPRODUCT((('CASE MASTER'!$T$2:$T$495=7)*('CASE MASTER'!$U$2:$U$495&lt;=3)*('CASE MASTER'!$W$2:$W$495&gt;=3)*('CASE MASTER'!$V$2:$V$495&lt;=5)*('CASE MASTER'!$X$2:$X$495&gt;=5))*ROW('CASE MASTER'!$T$2:$T$495))-(ROW('CASE MASTER'!#REF!)-1)))&amp;TRIM(MID(SUBSTITUTE(SUBSTITUTE(INDEX('CASE MASTER'!$N$2:$N$495,(SUMPRODUCT((('CASE MASTER'!$T$2:$T$495=7)*('CASE MASTER'!$U$2:$U$495&lt;=3)*('CASE MASTER'!$W$2:$W$495&gt;=3)*('CASE MASTER'!$V$2:$V$495&lt;=5)*('CASE MASTER'!$X$2:$X$495&gt;=5))*ROW('CASE MASTER'!$T$2:$T$495))-(ROW('CASE MASTER'!#REF!)-1))),":",","),",",REPT(" ",50)),((((3-INDEX('CASE MASTER'!$U$2:$U$495,(SUMPRODUCT((('CASE MASTER'!$T$2:$T$495=7)*('CASE MASTER'!$U$2:$U$495&lt;=3)*('CASE MASTER'!$W$2:$W$495&gt;=3)*('CASE MASTER'!$V$2:$V$495&lt;=5)*('CASE MASTER'!$X$2:$X$495&gt;=5))*ROW('CASE MASTER'!$T$2:$T$495))-(ROW('CASE MASTER'!#REF!)-1))))*(INDEX('CASE MASTER'!$X$2:$X$495,(SUMPRODUCT((('CASE MASTER'!$T$2:$T$495=7)*('CASE MASTER'!$U$2:$U$495&lt;=3)*('CASE MASTER'!$W$2:$W$495&gt;=3)*('CASE MASTER'!$V$2:$V$495&lt;=5)*('CASE MASTER'!$X$2:$X$495&gt;=5))*ROW('CASE MASTER'!$T$2:$T$495))-(ROW('CASE MASTER'!#REF!)-1)))-INDEX('CASE MASTER'!$V$2:$V$495,(SUMPRODUCT((('CASE MASTER'!$T$2:$T$495=7)*('CASE MASTER'!$U$2:$U$495&lt;=3)*('CASE MASTER'!$W$2:$W$495&gt;=3)*('CASE MASTER'!$V$2:$V$495&lt;=5)*('CASE MASTER'!$X$2:$X$495&gt;=5))*ROW('CASE MASTER'!$T$2:$T$495))-(ROW('CASE MASTER'!#REF!)-1)))+1)+(5-INDEX('CASE MASTER'!$V$2:$V$495,(SUMPRODUCT((('CASE MASTER'!$T$2:$T$495=7)*('CASE MASTER'!$U$2:$U$495&lt;=3)*('CASE MASTER'!$W$2:$W$495&gt;=3)*('CASE MASTER'!$V$2:$V$495&lt;=5)*('CASE MASTER'!$X$2:$X$495&gt;=5))*ROW('CASE MASTER'!$T$2:$T$495))-(ROW('CASE MASTER'!#REF!)-1))))+1))-1)*50+1,50))&amp;"_"&amp;INDEX('CASE MASTER'!$Q$2:$Q$495,(SUMPRODUCT((('CASE MASTER'!$T$2:$T$495=7)*('CASE MASTER'!$U$2:$U$495&lt;=3)*('CASE MASTER'!$W$2:$W$495&gt;=3)*('CASE MASTER'!$V$2:$V$495&lt;=5)*('CASE MASTER'!$X$2:$X$495&gt;=5))*ROW('CASE MASTER'!$T$2:$T$495))-(ROW('CASE MASTER'!#REF!)-1))),IF(SUMPRODUCT((('CASE MASTER'!$T$2:$T$495=7)*('CASE MASTER'!$AA$2:$AA$495&lt;=3)*('CASE MASTER'!$AC$2:$AC$495&gt;=3)*('CASE MASTER'!$AB$2:$AB$495&lt;=5)*('CASE MASTER'!$AD$2:$AD$495&gt;=5))*ROW('CASE MASTER'!$T$2:$T$495))&gt;0,INDEX('CASE MASTER'!$Y$2:$Y$495,(SUMPRODUCT((('CASE MASTER'!$T$2:$T$495=7)*('CASE MASTER'!$AA$2:$AA$495&lt;=3)*('CASE MASTER'!$AC$2:$AC$495&gt;=3)*('CASE MASTER'!$AB$2:$AB$495&lt;=5)*('CASE MASTER'!$AD$2:$AD$495&gt;=5))*ROW('CASE MASTER'!$T$2:$T$495))-(ROW('CASE MASTER'!#REF!)-1)))&amp;TRIM(MID(SUBSTITUTE(SUBSTITUTE(INDEX('CASE MASTER'!$N$2:$N$495,(SUMPRODUCT((('CASE MASTER'!$T$2:$T$495=7)*('CASE MASTER'!$AA$2:$AA$495&lt;=3)*('CASE MASTER'!$AC$2:$AC$495&gt;=3)*('CASE MASTER'!$AB$2:$AB$495&lt;=5)*('CASE MASTER'!$AD$2:$AD$495&gt;=5))*ROW('CASE MASTER'!$T$2:$T$495))-(ROW('CASE MASTER'!#REF!)-1))),":",","),",",REPT(" ",50)),(((INDEX('CASE MASTER'!$Z$2:$Z$495,(SUMPRODUCT((('CASE MASTER'!$T$2:$T$495=7)*('CASE MASTER'!$AA$2:$AA$495&lt;=3)*('CASE MASTER'!$AC$2:$AC$495&gt;=3)*('CASE MASTER'!$AB$2:$AB$495&lt;=5)*('CASE MASTER'!$AD$2:$AD$495&gt;=5))*ROW('CASE MASTER'!$T$2:$T$495))-(ROW('CASE MASTER'!#REF!)-1)))+((3-INDEX('CASE MASTER'!$AA$2:$AA$495,(SUMPRODUCT((('CASE MASTER'!$T$2:$T$495=7)*('CASE MASTER'!$AA$2:$AA$495&lt;=3)*('CASE MASTER'!$AC$2:$AC$495&gt;=3)*('CASE MASTER'!$AB$2:$AB$495&lt;=5)*('CASE MASTER'!$AD$2:$AD$495&gt;=5))*ROW('CASE MASTER'!$T$2:$T$495))-(ROW('CASE MASTER'!#REF!)-1))))*(INDEX('CASE MASTER'!$AD$2:$AD$495,(SUMPRODUCT((('CASE MASTER'!$T$2:$T$495=7)*('CASE MASTER'!$AA$2:$AA$495&lt;=3)*('CASE MASTER'!$AC$2:$AC$495&gt;=3)*('CASE MASTER'!$AB$2:$AB$495&lt;=5)*('CASE MASTER'!$AD$2:$AD$495&gt;=5))*ROW('CASE MASTER'!$T$2:$T$495))-(ROW('CASE MASTER'!#REF!)-1)))-INDEX('CASE MASTER'!$AB$2:$AB$495,(SUMPRODUCT((('CASE MASTER'!$T$2:$T$495=7)*('CASE MASTER'!$AA$2:$AA$495&lt;=3)*('CASE MASTER'!$AC$2:$AC$495&gt;=3)*('CASE MASTER'!$AB$2:$AB$495&lt;=5)*('CASE MASTER'!$AD$2:$AD$495&gt;=5))*ROW('CASE MASTER'!$T$2:$T$495))-(ROW('CASE MASTER'!#REF!)-1)))+1)+(5-INDEX('CASE MASTER'!$AB$2:$AB$495,(SUMPRODUCT((('CASE MASTER'!$T$2:$T$495=7)*('CASE MASTER'!$AA$2:$AA$495&lt;=3)*('CASE MASTER'!$AC$2:$AC$495&gt;=3)*('CASE MASTER'!$AB$2:$AB$495&lt;=5)*('CASE MASTER'!$AD$2:$AD$495&gt;=5))*ROW('CASE MASTER'!$T$2:$T$495))-(ROW('CASE MASTER'!#REF!)-1))))+1)))-1)*50+1,50))&amp;"_"&amp;INDEX('CASE MASTER'!$Q$2:$Q$495,(SUMPRODUCT((('CASE MASTER'!$T$2:$T$495=7)*('CASE MASTER'!$AA$2:$AA$495&lt;=3)*('CASE MASTER'!$AC$2:$AC$495&gt;=3)*('CASE MASTER'!$AB$2:$AB$495&lt;=5)*('CASE MASTER'!$AD$2:$AD$495&gt;=5))*ROW('CASE MASTER'!$T$2:$T$495))-(ROW('CASE MASTER'!#REF!)-1))),"")),"")</f>
        <v/>
      </c>
      <c r="G89" s="10" t="str">
        <f>IFERROR(IF(SUMPRODUCT((('CASE MASTER'!$T$2:$T$495=7)*('CASE MASTER'!$U$2:$U$495&lt;=3)*('CASE MASTER'!$W$2:$W$495&gt;=3)*('CASE MASTER'!$V$2:$V$495&lt;=6)*('CASE MASTER'!$X$2:$X$495&gt;=6))*ROW('CASE MASTER'!$T$2:$T$495))&gt;0,INDEX('CASE MASTER'!$Y$2:$Y$495,(SUMPRODUCT((('CASE MASTER'!$T$2:$T$495=7)*('CASE MASTER'!$U$2:$U$495&lt;=3)*('CASE MASTER'!$W$2:$W$495&gt;=3)*('CASE MASTER'!$V$2:$V$495&lt;=6)*('CASE MASTER'!$X$2:$X$495&gt;=6))*ROW('CASE MASTER'!$T$2:$T$495))-(ROW('CASE MASTER'!#REF!)-1)))&amp;TRIM(MID(SUBSTITUTE(SUBSTITUTE(INDEX('CASE MASTER'!$N$2:$N$495,(SUMPRODUCT((('CASE MASTER'!$T$2:$T$495=7)*('CASE MASTER'!$U$2:$U$495&lt;=3)*('CASE MASTER'!$W$2:$W$495&gt;=3)*('CASE MASTER'!$V$2:$V$495&lt;=6)*('CASE MASTER'!$X$2:$X$495&gt;=6))*ROW('CASE MASTER'!$T$2:$T$495))-(ROW('CASE MASTER'!#REF!)-1))),":",","),",",REPT(" ",50)),((((3-INDEX('CASE MASTER'!$U$2:$U$495,(SUMPRODUCT((('CASE MASTER'!$T$2:$T$495=7)*('CASE MASTER'!$U$2:$U$495&lt;=3)*('CASE MASTER'!$W$2:$W$495&gt;=3)*('CASE MASTER'!$V$2:$V$495&lt;=6)*('CASE MASTER'!$X$2:$X$495&gt;=6))*ROW('CASE MASTER'!$T$2:$T$495))-(ROW('CASE MASTER'!#REF!)-1))))*(INDEX('CASE MASTER'!$X$2:$X$495,(SUMPRODUCT((('CASE MASTER'!$T$2:$T$495=7)*('CASE MASTER'!$U$2:$U$495&lt;=3)*('CASE MASTER'!$W$2:$W$495&gt;=3)*('CASE MASTER'!$V$2:$V$495&lt;=6)*('CASE MASTER'!$X$2:$X$495&gt;=6))*ROW('CASE MASTER'!$T$2:$T$495))-(ROW('CASE MASTER'!#REF!)-1)))-INDEX('CASE MASTER'!$V$2:$V$495,(SUMPRODUCT((('CASE MASTER'!$T$2:$T$495=7)*('CASE MASTER'!$U$2:$U$495&lt;=3)*('CASE MASTER'!$W$2:$W$495&gt;=3)*('CASE MASTER'!$V$2:$V$495&lt;=6)*('CASE MASTER'!$X$2:$X$495&gt;=6))*ROW('CASE MASTER'!$T$2:$T$495))-(ROW('CASE MASTER'!#REF!)-1)))+1)+(6-INDEX('CASE MASTER'!$V$2:$V$495,(SUMPRODUCT((('CASE MASTER'!$T$2:$T$495=7)*('CASE MASTER'!$U$2:$U$495&lt;=3)*('CASE MASTER'!$W$2:$W$495&gt;=3)*('CASE MASTER'!$V$2:$V$495&lt;=6)*('CASE MASTER'!$X$2:$X$495&gt;=6))*ROW('CASE MASTER'!$T$2:$T$495))-(ROW('CASE MASTER'!#REF!)-1))))+1))-1)*50+1,50))&amp;"_"&amp;INDEX('CASE MASTER'!$Q$2:$Q$495,(SUMPRODUCT((('CASE MASTER'!$T$2:$T$495=7)*('CASE MASTER'!$U$2:$U$495&lt;=3)*('CASE MASTER'!$W$2:$W$495&gt;=3)*('CASE MASTER'!$V$2:$V$495&lt;=6)*('CASE MASTER'!$X$2:$X$495&gt;=6))*ROW('CASE MASTER'!$T$2:$T$495))-(ROW('CASE MASTER'!#REF!)-1))),IF(SUMPRODUCT((('CASE MASTER'!$T$2:$T$495=7)*('CASE MASTER'!$AA$2:$AA$495&lt;=3)*('CASE MASTER'!$AC$2:$AC$495&gt;=3)*('CASE MASTER'!$AB$2:$AB$495&lt;=6)*('CASE MASTER'!$AD$2:$AD$495&gt;=6))*ROW('CASE MASTER'!$T$2:$T$495))&gt;0,INDEX('CASE MASTER'!$Y$2:$Y$495,(SUMPRODUCT((('CASE MASTER'!$T$2:$T$495=7)*('CASE MASTER'!$AA$2:$AA$495&lt;=3)*('CASE MASTER'!$AC$2:$AC$495&gt;=3)*('CASE MASTER'!$AB$2:$AB$495&lt;=6)*('CASE MASTER'!$AD$2:$AD$495&gt;=6))*ROW('CASE MASTER'!$T$2:$T$495))-(ROW('CASE MASTER'!#REF!)-1)))&amp;TRIM(MID(SUBSTITUTE(SUBSTITUTE(INDEX('CASE MASTER'!$N$2:$N$495,(SUMPRODUCT((('CASE MASTER'!$T$2:$T$495=7)*('CASE MASTER'!$AA$2:$AA$495&lt;=3)*('CASE MASTER'!$AC$2:$AC$495&gt;=3)*('CASE MASTER'!$AB$2:$AB$495&lt;=6)*('CASE MASTER'!$AD$2:$AD$495&gt;=6))*ROW('CASE MASTER'!$T$2:$T$495))-(ROW('CASE MASTER'!#REF!)-1))),":",","),",",REPT(" ",50)),(((INDEX('CASE MASTER'!$Z$2:$Z$495,(SUMPRODUCT((('CASE MASTER'!$T$2:$T$495=7)*('CASE MASTER'!$AA$2:$AA$495&lt;=3)*('CASE MASTER'!$AC$2:$AC$495&gt;=3)*('CASE MASTER'!$AB$2:$AB$495&lt;=6)*('CASE MASTER'!$AD$2:$AD$495&gt;=6))*ROW('CASE MASTER'!$T$2:$T$495))-(ROW('CASE MASTER'!#REF!)-1)))+((3-INDEX('CASE MASTER'!$AA$2:$AA$495,(SUMPRODUCT((('CASE MASTER'!$T$2:$T$495=7)*('CASE MASTER'!$AA$2:$AA$495&lt;=3)*('CASE MASTER'!$AC$2:$AC$495&gt;=3)*('CASE MASTER'!$AB$2:$AB$495&lt;=6)*('CASE MASTER'!$AD$2:$AD$495&gt;=6))*ROW('CASE MASTER'!$T$2:$T$495))-(ROW('CASE MASTER'!#REF!)-1))))*(INDEX('CASE MASTER'!$AD$2:$AD$495,(SUMPRODUCT((('CASE MASTER'!$T$2:$T$495=7)*('CASE MASTER'!$AA$2:$AA$495&lt;=3)*('CASE MASTER'!$AC$2:$AC$495&gt;=3)*('CASE MASTER'!$AB$2:$AB$495&lt;=6)*('CASE MASTER'!$AD$2:$AD$495&gt;=6))*ROW('CASE MASTER'!$T$2:$T$495))-(ROW('CASE MASTER'!#REF!)-1)))-INDEX('CASE MASTER'!$AB$2:$AB$495,(SUMPRODUCT((('CASE MASTER'!$T$2:$T$495=7)*('CASE MASTER'!$AA$2:$AA$495&lt;=3)*('CASE MASTER'!$AC$2:$AC$495&gt;=3)*('CASE MASTER'!$AB$2:$AB$495&lt;=6)*('CASE MASTER'!$AD$2:$AD$495&gt;=6))*ROW('CASE MASTER'!$T$2:$T$495))-(ROW('CASE MASTER'!#REF!)-1)))+1)+(6-INDEX('CASE MASTER'!$AB$2:$AB$495,(SUMPRODUCT((('CASE MASTER'!$T$2:$T$495=7)*('CASE MASTER'!$AA$2:$AA$495&lt;=3)*('CASE MASTER'!$AC$2:$AC$495&gt;=3)*('CASE MASTER'!$AB$2:$AB$495&lt;=6)*('CASE MASTER'!$AD$2:$AD$495&gt;=6))*ROW('CASE MASTER'!$T$2:$T$495))-(ROW('CASE MASTER'!#REF!)-1))))+1)))-1)*50+1,50))&amp;"_"&amp;INDEX('CASE MASTER'!$Q$2:$Q$495,(SUMPRODUCT((('CASE MASTER'!$T$2:$T$495=7)*('CASE MASTER'!$AA$2:$AA$495&lt;=3)*('CASE MASTER'!$AC$2:$AC$495&gt;=3)*('CASE MASTER'!$AB$2:$AB$495&lt;=6)*('CASE MASTER'!$AD$2:$AD$495&gt;=6))*ROW('CASE MASTER'!$T$2:$T$495))-(ROW('CASE MASTER'!#REF!)-1))),"")),"")</f>
        <v/>
      </c>
      <c r="H89" s="10" t="str">
        <f>IFERROR(IF(SUMPRODUCT((('CASE MASTER'!$T$2:$T$495=7)*('CASE MASTER'!$U$2:$U$495&lt;=3)*('CASE MASTER'!$W$2:$W$495&gt;=3)*('CASE MASTER'!$V$2:$V$495&lt;=7)*('CASE MASTER'!$X$2:$X$495&gt;=7))*ROW('CASE MASTER'!$T$2:$T$495))&gt;0,INDEX('CASE MASTER'!$Y$2:$Y$495,(SUMPRODUCT((('CASE MASTER'!$T$2:$T$495=7)*('CASE MASTER'!$U$2:$U$495&lt;=3)*('CASE MASTER'!$W$2:$W$495&gt;=3)*('CASE MASTER'!$V$2:$V$495&lt;=7)*('CASE MASTER'!$X$2:$X$495&gt;=7))*ROW('CASE MASTER'!$T$2:$T$495))-(ROW('CASE MASTER'!#REF!)-1)))&amp;TRIM(MID(SUBSTITUTE(SUBSTITUTE(INDEX('CASE MASTER'!$N$2:$N$495,(SUMPRODUCT((('CASE MASTER'!$T$2:$T$495=7)*('CASE MASTER'!$U$2:$U$495&lt;=3)*('CASE MASTER'!$W$2:$W$495&gt;=3)*('CASE MASTER'!$V$2:$V$495&lt;=7)*('CASE MASTER'!$X$2:$X$495&gt;=7))*ROW('CASE MASTER'!$T$2:$T$495))-(ROW('CASE MASTER'!#REF!)-1))),":",","),",",REPT(" ",50)),((((3-INDEX('CASE MASTER'!$U$2:$U$495,(SUMPRODUCT((('CASE MASTER'!$T$2:$T$495=7)*('CASE MASTER'!$U$2:$U$495&lt;=3)*('CASE MASTER'!$W$2:$W$495&gt;=3)*('CASE MASTER'!$V$2:$V$495&lt;=7)*('CASE MASTER'!$X$2:$X$495&gt;=7))*ROW('CASE MASTER'!$T$2:$T$495))-(ROW('CASE MASTER'!#REF!)-1))))*(INDEX('CASE MASTER'!$X$2:$X$495,(SUMPRODUCT((('CASE MASTER'!$T$2:$T$495=7)*('CASE MASTER'!$U$2:$U$495&lt;=3)*('CASE MASTER'!$W$2:$W$495&gt;=3)*('CASE MASTER'!$V$2:$V$495&lt;=7)*('CASE MASTER'!$X$2:$X$495&gt;=7))*ROW('CASE MASTER'!$T$2:$T$495))-(ROW('CASE MASTER'!#REF!)-1)))-INDEX('CASE MASTER'!$V$2:$V$495,(SUMPRODUCT((('CASE MASTER'!$T$2:$T$495=7)*('CASE MASTER'!$U$2:$U$495&lt;=3)*('CASE MASTER'!$W$2:$W$495&gt;=3)*('CASE MASTER'!$V$2:$V$495&lt;=7)*('CASE MASTER'!$X$2:$X$495&gt;=7))*ROW('CASE MASTER'!$T$2:$T$495))-(ROW('CASE MASTER'!#REF!)-1)))+1)+(7-INDEX('CASE MASTER'!$V$2:$V$495,(SUMPRODUCT((('CASE MASTER'!$T$2:$T$495=7)*('CASE MASTER'!$U$2:$U$495&lt;=3)*('CASE MASTER'!$W$2:$W$495&gt;=3)*('CASE MASTER'!$V$2:$V$495&lt;=7)*('CASE MASTER'!$X$2:$X$495&gt;=7))*ROW('CASE MASTER'!$T$2:$T$495))-(ROW('CASE MASTER'!#REF!)-1))))+1))-1)*50+1,50))&amp;"_"&amp;INDEX('CASE MASTER'!$Q$2:$Q$495,(SUMPRODUCT((('CASE MASTER'!$T$2:$T$495=7)*('CASE MASTER'!$U$2:$U$495&lt;=3)*('CASE MASTER'!$W$2:$W$495&gt;=3)*('CASE MASTER'!$V$2:$V$495&lt;=7)*('CASE MASTER'!$X$2:$X$495&gt;=7))*ROW('CASE MASTER'!$T$2:$T$495))-(ROW('CASE MASTER'!#REF!)-1))),IF(SUMPRODUCT((('CASE MASTER'!$T$2:$T$495=7)*('CASE MASTER'!$AA$2:$AA$495&lt;=3)*('CASE MASTER'!$AC$2:$AC$495&gt;=3)*('CASE MASTER'!$AB$2:$AB$495&lt;=7)*('CASE MASTER'!$AD$2:$AD$495&gt;=7))*ROW('CASE MASTER'!$T$2:$T$495))&gt;0,INDEX('CASE MASTER'!$Y$2:$Y$495,(SUMPRODUCT((('CASE MASTER'!$T$2:$T$495=7)*('CASE MASTER'!$AA$2:$AA$495&lt;=3)*('CASE MASTER'!$AC$2:$AC$495&gt;=3)*('CASE MASTER'!$AB$2:$AB$495&lt;=7)*('CASE MASTER'!$AD$2:$AD$495&gt;=7))*ROW('CASE MASTER'!$T$2:$T$495))-(ROW('CASE MASTER'!#REF!)-1)))&amp;TRIM(MID(SUBSTITUTE(SUBSTITUTE(INDEX('CASE MASTER'!$N$2:$N$495,(SUMPRODUCT((('CASE MASTER'!$T$2:$T$495=7)*('CASE MASTER'!$AA$2:$AA$495&lt;=3)*('CASE MASTER'!$AC$2:$AC$495&gt;=3)*('CASE MASTER'!$AB$2:$AB$495&lt;=7)*('CASE MASTER'!$AD$2:$AD$495&gt;=7))*ROW('CASE MASTER'!$T$2:$T$495))-(ROW('CASE MASTER'!#REF!)-1))),":",","),",",REPT(" ",50)),(((INDEX('CASE MASTER'!$Z$2:$Z$495,(SUMPRODUCT((('CASE MASTER'!$T$2:$T$495=7)*('CASE MASTER'!$AA$2:$AA$495&lt;=3)*('CASE MASTER'!$AC$2:$AC$495&gt;=3)*('CASE MASTER'!$AB$2:$AB$495&lt;=7)*('CASE MASTER'!$AD$2:$AD$495&gt;=7))*ROW('CASE MASTER'!$T$2:$T$495))-(ROW('CASE MASTER'!#REF!)-1)))+((3-INDEX('CASE MASTER'!$AA$2:$AA$495,(SUMPRODUCT((('CASE MASTER'!$T$2:$T$495=7)*('CASE MASTER'!$AA$2:$AA$495&lt;=3)*('CASE MASTER'!$AC$2:$AC$495&gt;=3)*('CASE MASTER'!$AB$2:$AB$495&lt;=7)*('CASE MASTER'!$AD$2:$AD$495&gt;=7))*ROW('CASE MASTER'!$T$2:$T$495))-(ROW('CASE MASTER'!#REF!)-1))))*(INDEX('CASE MASTER'!$AD$2:$AD$495,(SUMPRODUCT((('CASE MASTER'!$T$2:$T$495=7)*('CASE MASTER'!$AA$2:$AA$495&lt;=3)*('CASE MASTER'!$AC$2:$AC$495&gt;=3)*('CASE MASTER'!$AB$2:$AB$495&lt;=7)*('CASE MASTER'!$AD$2:$AD$495&gt;=7))*ROW('CASE MASTER'!$T$2:$T$495))-(ROW('CASE MASTER'!#REF!)-1)))-INDEX('CASE MASTER'!$AB$2:$AB$495,(SUMPRODUCT((('CASE MASTER'!$T$2:$T$495=7)*('CASE MASTER'!$AA$2:$AA$495&lt;=3)*('CASE MASTER'!$AC$2:$AC$495&gt;=3)*('CASE MASTER'!$AB$2:$AB$495&lt;=7)*('CASE MASTER'!$AD$2:$AD$495&gt;=7))*ROW('CASE MASTER'!$T$2:$T$495))-(ROW('CASE MASTER'!#REF!)-1)))+1)+(7-INDEX('CASE MASTER'!$AB$2:$AB$495,(SUMPRODUCT((('CASE MASTER'!$T$2:$T$495=7)*('CASE MASTER'!$AA$2:$AA$495&lt;=3)*('CASE MASTER'!$AC$2:$AC$495&gt;=3)*('CASE MASTER'!$AB$2:$AB$495&lt;=7)*('CASE MASTER'!$AD$2:$AD$495&gt;=7))*ROW('CASE MASTER'!$T$2:$T$495))-(ROW('CASE MASTER'!#REF!)-1))))+1)))-1)*50+1,50))&amp;"_"&amp;INDEX('CASE MASTER'!$Q$2:$Q$495,(SUMPRODUCT((('CASE MASTER'!$T$2:$T$495=7)*('CASE MASTER'!$AA$2:$AA$495&lt;=3)*('CASE MASTER'!$AC$2:$AC$495&gt;=3)*('CASE MASTER'!$AB$2:$AB$495&lt;=7)*('CASE MASTER'!$AD$2:$AD$495&gt;=7))*ROW('CASE MASTER'!$T$2:$T$495))-(ROW('CASE MASTER'!#REF!)-1))),"")),"")</f>
        <v/>
      </c>
      <c r="I89" s="10" t="str">
        <f>IFERROR(IF(SUMPRODUCT((('CASE MASTER'!$T$2:$T$495=7)*('CASE MASTER'!$U$2:$U$495&lt;=3)*('CASE MASTER'!$W$2:$W$495&gt;=3)*('CASE MASTER'!$V$2:$V$495&lt;=8)*('CASE MASTER'!$X$2:$X$495&gt;=8))*ROW('CASE MASTER'!$T$2:$T$495))&gt;0,INDEX('CASE MASTER'!$Y$2:$Y$495,(SUMPRODUCT((('CASE MASTER'!$T$2:$T$495=7)*('CASE MASTER'!$U$2:$U$495&lt;=3)*('CASE MASTER'!$W$2:$W$495&gt;=3)*('CASE MASTER'!$V$2:$V$495&lt;=8)*('CASE MASTER'!$X$2:$X$495&gt;=8))*ROW('CASE MASTER'!$T$2:$T$495))-(ROW('CASE MASTER'!#REF!)-1)))&amp;TRIM(MID(SUBSTITUTE(SUBSTITUTE(INDEX('CASE MASTER'!$N$2:$N$495,(SUMPRODUCT((('CASE MASTER'!$T$2:$T$495=7)*('CASE MASTER'!$U$2:$U$495&lt;=3)*('CASE MASTER'!$W$2:$W$495&gt;=3)*('CASE MASTER'!$V$2:$V$495&lt;=8)*('CASE MASTER'!$X$2:$X$495&gt;=8))*ROW('CASE MASTER'!$T$2:$T$495))-(ROW('CASE MASTER'!#REF!)-1))),":",","),",",REPT(" ",50)),((((3-INDEX('CASE MASTER'!$U$2:$U$495,(SUMPRODUCT((('CASE MASTER'!$T$2:$T$495=7)*('CASE MASTER'!$U$2:$U$495&lt;=3)*('CASE MASTER'!$W$2:$W$495&gt;=3)*('CASE MASTER'!$V$2:$V$495&lt;=8)*('CASE MASTER'!$X$2:$X$495&gt;=8))*ROW('CASE MASTER'!$T$2:$T$495))-(ROW('CASE MASTER'!#REF!)-1))))*(INDEX('CASE MASTER'!$X$2:$X$495,(SUMPRODUCT((('CASE MASTER'!$T$2:$T$495=7)*('CASE MASTER'!$U$2:$U$495&lt;=3)*('CASE MASTER'!$W$2:$W$495&gt;=3)*('CASE MASTER'!$V$2:$V$495&lt;=8)*('CASE MASTER'!$X$2:$X$495&gt;=8))*ROW('CASE MASTER'!$T$2:$T$495))-(ROW('CASE MASTER'!#REF!)-1)))-INDEX('CASE MASTER'!$V$2:$V$495,(SUMPRODUCT((('CASE MASTER'!$T$2:$T$495=7)*('CASE MASTER'!$U$2:$U$495&lt;=3)*('CASE MASTER'!$W$2:$W$495&gt;=3)*('CASE MASTER'!$V$2:$V$495&lt;=8)*('CASE MASTER'!$X$2:$X$495&gt;=8))*ROW('CASE MASTER'!$T$2:$T$495))-(ROW('CASE MASTER'!#REF!)-1)))+1)+(8-INDEX('CASE MASTER'!$V$2:$V$495,(SUMPRODUCT((('CASE MASTER'!$T$2:$T$495=7)*('CASE MASTER'!$U$2:$U$495&lt;=3)*('CASE MASTER'!$W$2:$W$495&gt;=3)*('CASE MASTER'!$V$2:$V$495&lt;=8)*('CASE MASTER'!$X$2:$X$495&gt;=8))*ROW('CASE MASTER'!$T$2:$T$495))-(ROW('CASE MASTER'!#REF!)-1))))+1))-1)*50+1,50))&amp;"_"&amp;INDEX('CASE MASTER'!$Q$2:$Q$495,(SUMPRODUCT((('CASE MASTER'!$T$2:$T$495=7)*('CASE MASTER'!$U$2:$U$495&lt;=3)*('CASE MASTER'!$W$2:$W$495&gt;=3)*('CASE MASTER'!$V$2:$V$495&lt;=8)*('CASE MASTER'!$X$2:$X$495&gt;=8))*ROW('CASE MASTER'!$T$2:$T$495))-(ROW('CASE MASTER'!#REF!)-1))),IF(SUMPRODUCT((('CASE MASTER'!$T$2:$T$495=7)*('CASE MASTER'!$AA$2:$AA$495&lt;=3)*('CASE MASTER'!$AC$2:$AC$495&gt;=3)*('CASE MASTER'!$AB$2:$AB$495&lt;=8)*('CASE MASTER'!$AD$2:$AD$495&gt;=8))*ROW('CASE MASTER'!$T$2:$T$495))&gt;0,INDEX('CASE MASTER'!$Y$2:$Y$495,(SUMPRODUCT((('CASE MASTER'!$T$2:$T$495=7)*('CASE MASTER'!$AA$2:$AA$495&lt;=3)*('CASE MASTER'!$AC$2:$AC$495&gt;=3)*('CASE MASTER'!$AB$2:$AB$495&lt;=8)*('CASE MASTER'!$AD$2:$AD$495&gt;=8))*ROW('CASE MASTER'!$T$2:$T$495))-(ROW('CASE MASTER'!#REF!)-1)))&amp;TRIM(MID(SUBSTITUTE(SUBSTITUTE(INDEX('CASE MASTER'!$N$2:$N$495,(SUMPRODUCT((('CASE MASTER'!$T$2:$T$495=7)*('CASE MASTER'!$AA$2:$AA$495&lt;=3)*('CASE MASTER'!$AC$2:$AC$495&gt;=3)*('CASE MASTER'!$AB$2:$AB$495&lt;=8)*('CASE MASTER'!$AD$2:$AD$495&gt;=8))*ROW('CASE MASTER'!$T$2:$T$495))-(ROW('CASE MASTER'!#REF!)-1))),":",","),",",REPT(" ",50)),(((INDEX('CASE MASTER'!$Z$2:$Z$495,(SUMPRODUCT((('CASE MASTER'!$T$2:$T$495=7)*('CASE MASTER'!$AA$2:$AA$495&lt;=3)*('CASE MASTER'!$AC$2:$AC$495&gt;=3)*('CASE MASTER'!$AB$2:$AB$495&lt;=8)*('CASE MASTER'!$AD$2:$AD$495&gt;=8))*ROW('CASE MASTER'!$T$2:$T$495))-(ROW('CASE MASTER'!#REF!)-1)))+((3-INDEX('CASE MASTER'!$AA$2:$AA$495,(SUMPRODUCT((('CASE MASTER'!$T$2:$T$495=7)*('CASE MASTER'!$AA$2:$AA$495&lt;=3)*('CASE MASTER'!$AC$2:$AC$495&gt;=3)*('CASE MASTER'!$AB$2:$AB$495&lt;=8)*('CASE MASTER'!$AD$2:$AD$495&gt;=8))*ROW('CASE MASTER'!$T$2:$T$495))-(ROW('CASE MASTER'!#REF!)-1))))*(INDEX('CASE MASTER'!$AD$2:$AD$495,(SUMPRODUCT((('CASE MASTER'!$T$2:$T$495=7)*('CASE MASTER'!$AA$2:$AA$495&lt;=3)*('CASE MASTER'!$AC$2:$AC$495&gt;=3)*('CASE MASTER'!$AB$2:$AB$495&lt;=8)*('CASE MASTER'!$AD$2:$AD$495&gt;=8))*ROW('CASE MASTER'!$T$2:$T$495))-(ROW('CASE MASTER'!#REF!)-1)))-INDEX('CASE MASTER'!$AB$2:$AB$495,(SUMPRODUCT((('CASE MASTER'!$T$2:$T$495=7)*('CASE MASTER'!$AA$2:$AA$495&lt;=3)*('CASE MASTER'!$AC$2:$AC$495&gt;=3)*('CASE MASTER'!$AB$2:$AB$495&lt;=8)*('CASE MASTER'!$AD$2:$AD$495&gt;=8))*ROW('CASE MASTER'!$T$2:$T$495))-(ROW('CASE MASTER'!#REF!)-1)))+1)+(8-INDEX('CASE MASTER'!$AB$2:$AB$495,(SUMPRODUCT((('CASE MASTER'!$T$2:$T$495=7)*('CASE MASTER'!$AA$2:$AA$495&lt;=3)*('CASE MASTER'!$AC$2:$AC$495&gt;=3)*('CASE MASTER'!$AB$2:$AB$495&lt;=8)*('CASE MASTER'!$AD$2:$AD$495&gt;=8))*ROW('CASE MASTER'!$T$2:$T$495))-(ROW('CASE MASTER'!#REF!)-1))))+1)))-1)*50+1,50))&amp;"_"&amp;INDEX('CASE MASTER'!$Q$2:$Q$495,(SUMPRODUCT((('CASE MASTER'!$T$2:$T$495=7)*('CASE MASTER'!$AA$2:$AA$495&lt;=3)*('CASE MASTER'!$AC$2:$AC$495&gt;=3)*('CASE MASTER'!$AB$2:$AB$495&lt;=8)*('CASE MASTER'!$AD$2:$AD$495&gt;=8))*ROW('CASE MASTER'!$T$2:$T$495))-(ROW('CASE MASTER'!#REF!)-1))),"")),"")</f>
        <v/>
      </c>
      <c r="J89" s="10" t="str">
        <f>IFERROR(IF(SUMPRODUCT((('CASE MASTER'!$T$2:$T$495=7)*('CASE MASTER'!$U$2:$U$495&lt;=3)*('CASE MASTER'!$W$2:$W$495&gt;=3)*('CASE MASTER'!$V$2:$V$495&lt;=9)*('CASE MASTER'!$X$2:$X$495&gt;=9))*ROW('CASE MASTER'!$T$2:$T$495))&gt;0,INDEX('CASE MASTER'!$Y$2:$Y$495,(SUMPRODUCT((('CASE MASTER'!$T$2:$T$495=7)*('CASE MASTER'!$U$2:$U$495&lt;=3)*('CASE MASTER'!$W$2:$W$495&gt;=3)*('CASE MASTER'!$V$2:$V$495&lt;=9)*('CASE MASTER'!$X$2:$X$495&gt;=9))*ROW('CASE MASTER'!$T$2:$T$495))-(ROW('CASE MASTER'!#REF!)-1)))&amp;TRIM(MID(SUBSTITUTE(SUBSTITUTE(INDEX('CASE MASTER'!$N$2:$N$495,(SUMPRODUCT((('CASE MASTER'!$T$2:$T$495=7)*('CASE MASTER'!$U$2:$U$495&lt;=3)*('CASE MASTER'!$W$2:$W$495&gt;=3)*('CASE MASTER'!$V$2:$V$495&lt;=9)*('CASE MASTER'!$X$2:$X$495&gt;=9))*ROW('CASE MASTER'!$T$2:$T$495))-(ROW('CASE MASTER'!#REF!)-1))),":",","),",",REPT(" ",50)),((((3-INDEX('CASE MASTER'!$U$2:$U$495,(SUMPRODUCT((('CASE MASTER'!$T$2:$T$495=7)*('CASE MASTER'!$U$2:$U$495&lt;=3)*('CASE MASTER'!$W$2:$W$495&gt;=3)*('CASE MASTER'!$V$2:$V$495&lt;=9)*('CASE MASTER'!$X$2:$X$495&gt;=9))*ROW('CASE MASTER'!$T$2:$T$495))-(ROW('CASE MASTER'!#REF!)-1))))*(INDEX('CASE MASTER'!$X$2:$X$495,(SUMPRODUCT((('CASE MASTER'!$T$2:$T$495=7)*('CASE MASTER'!$U$2:$U$495&lt;=3)*('CASE MASTER'!$W$2:$W$495&gt;=3)*('CASE MASTER'!$V$2:$V$495&lt;=9)*('CASE MASTER'!$X$2:$X$495&gt;=9))*ROW('CASE MASTER'!$T$2:$T$495))-(ROW('CASE MASTER'!#REF!)-1)))-INDEX('CASE MASTER'!$V$2:$V$495,(SUMPRODUCT((('CASE MASTER'!$T$2:$T$495=7)*('CASE MASTER'!$U$2:$U$495&lt;=3)*('CASE MASTER'!$W$2:$W$495&gt;=3)*('CASE MASTER'!$V$2:$V$495&lt;=9)*('CASE MASTER'!$X$2:$X$495&gt;=9))*ROW('CASE MASTER'!$T$2:$T$495))-(ROW('CASE MASTER'!#REF!)-1)))+1)+(9-INDEX('CASE MASTER'!$V$2:$V$495,(SUMPRODUCT((('CASE MASTER'!$T$2:$T$495=7)*('CASE MASTER'!$U$2:$U$495&lt;=3)*('CASE MASTER'!$W$2:$W$495&gt;=3)*('CASE MASTER'!$V$2:$V$495&lt;=9)*('CASE MASTER'!$X$2:$X$495&gt;=9))*ROW('CASE MASTER'!$T$2:$T$495))-(ROW('CASE MASTER'!#REF!)-1))))+1))-1)*50+1,50))&amp;"_"&amp;INDEX('CASE MASTER'!$Q$2:$Q$495,(SUMPRODUCT((('CASE MASTER'!$T$2:$T$495=7)*('CASE MASTER'!$U$2:$U$495&lt;=3)*('CASE MASTER'!$W$2:$W$495&gt;=3)*('CASE MASTER'!$V$2:$V$495&lt;=9)*('CASE MASTER'!$X$2:$X$495&gt;=9))*ROW('CASE MASTER'!$T$2:$T$495))-(ROW('CASE MASTER'!#REF!)-1))),IF(SUMPRODUCT((('CASE MASTER'!$T$2:$T$495=7)*('CASE MASTER'!$AA$2:$AA$495&lt;=3)*('CASE MASTER'!$AC$2:$AC$495&gt;=3)*('CASE MASTER'!$AB$2:$AB$495&lt;=9)*('CASE MASTER'!$AD$2:$AD$495&gt;=9))*ROW('CASE MASTER'!$T$2:$T$495))&gt;0,INDEX('CASE MASTER'!$Y$2:$Y$495,(SUMPRODUCT((('CASE MASTER'!$T$2:$T$495=7)*('CASE MASTER'!$AA$2:$AA$495&lt;=3)*('CASE MASTER'!$AC$2:$AC$495&gt;=3)*('CASE MASTER'!$AB$2:$AB$495&lt;=9)*('CASE MASTER'!$AD$2:$AD$495&gt;=9))*ROW('CASE MASTER'!$T$2:$T$495))-(ROW('CASE MASTER'!#REF!)-1)))&amp;TRIM(MID(SUBSTITUTE(SUBSTITUTE(INDEX('CASE MASTER'!$N$2:$N$495,(SUMPRODUCT((('CASE MASTER'!$T$2:$T$495=7)*('CASE MASTER'!$AA$2:$AA$495&lt;=3)*('CASE MASTER'!$AC$2:$AC$495&gt;=3)*('CASE MASTER'!$AB$2:$AB$495&lt;=9)*('CASE MASTER'!$AD$2:$AD$495&gt;=9))*ROW('CASE MASTER'!$T$2:$T$495))-(ROW('CASE MASTER'!#REF!)-1))),":",","),",",REPT(" ",50)),(((INDEX('CASE MASTER'!$Z$2:$Z$495,(SUMPRODUCT((('CASE MASTER'!$T$2:$T$495=7)*('CASE MASTER'!$AA$2:$AA$495&lt;=3)*('CASE MASTER'!$AC$2:$AC$495&gt;=3)*('CASE MASTER'!$AB$2:$AB$495&lt;=9)*('CASE MASTER'!$AD$2:$AD$495&gt;=9))*ROW('CASE MASTER'!$T$2:$T$495))-(ROW('CASE MASTER'!#REF!)-1)))+((3-INDEX('CASE MASTER'!$AA$2:$AA$495,(SUMPRODUCT((('CASE MASTER'!$T$2:$T$495=7)*('CASE MASTER'!$AA$2:$AA$495&lt;=3)*('CASE MASTER'!$AC$2:$AC$495&gt;=3)*('CASE MASTER'!$AB$2:$AB$495&lt;=9)*('CASE MASTER'!$AD$2:$AD$495&gt;=9))*ROW('CASE MASTER'!$T$2:$T$495))-(ROW('CASE MASTER'!#REF!)-1))))*(INDEX('CASE MASTER'!$AD$2:$AD$495,(SUMPRODUCT((('CASE MASTER'!$T$2:$T$495=7)*('CASE MASTER'!$AA$2:$AA$495&lt;=3)*('CASE MASTER'!$AC$2:$AC$495&gt;=3)*('CASE MASTER'!$AB$2:$AB$495&lt;=9)*('CASE MASTER'!$AD$2:$AD$495&gt;=9))*ROW('CASE MASTER'!$T$2:$T$495))-(ROW('CASE MASTER'!#REF!)-1)))-INDEX('CASE MASTER'!$AB$2:$AB$495,(SUMPRODUCT((('CASE MASTER'!$T$2:$T$495=7)*('CASE MASTER'!$AA$2:$AA$495&lt;=3)*('CASE MASTER'!$AC$2:$AC$495&gt;=3)*('CASE MASTER'!$AB$2:$AB$495&lt;=9)*('CASE MASTER'!$AD$2:$AD$495&gt;=9))*ROW('CASE MASTER'!$T$2:$T$495))-(ROW('CASE MASTER'!#REF!)-1)))+1)+(9-INDEX('CASE MASTER'!$AB$2:$AB$495,(SUMPRODUCT((('CASE MASTER'!$T$2:$T$495=7)*('CASE MASTER'!$AA$2:$AA$495&lt;=3)*('CASE MASTER'!$AC$2:$AC$495&gt;=3)*('CASE MASTER'!$AB$2:$AB$495&lt;=9)*('CASE MASTER'!$AD$2:$AD$495&gt;=9))*ROW('CASE MASTER'!$T$2:$T$495))-(ROW('CASE MASTER'!#REF!)-1))))+1)))-1)*50+1,50))&amp;"_"&amp;INDEX('CASE MASTER'!$Q$2:$Q$495,(SUMPRODUCT((('CASE MASTER'!$T$2:$T$495=7)*('CASE MASTER'!$AA$2:$AA$495&lt;=3)*('CASE MASTER'!$AC$2:$AC$495&gt;=3)*('CASE MASTER'!$AB$2:$AB$495&lt;=9)*('CASE MASTER'!$AD$2:$AD$495&gt;=9))*ROW('CASE MASTER'!$T$2:$T$495))-(ROW('CASE MASTER'!#REF!)-1))),"")),"")</f>
        <v/>
      </c>
      <c r="K89" s="10" t="str">
        <f>IFERROR(IF(SUMPRODUCT((('CASE MASTER'!$T$2:$T$495=7)*('CASE MASTER'!$U$2:$U$495&lt;=3)*('CASE MASTER'!$W$2:$W$495&gt;=3)*('CASE MASTER'!$V$2:$V$495&lt;=10)*('CASE MASTER'!$X$2:$X$495&gt;=10))*ROW('CASE MASTER'!$T$2:$T$495))&gt;0,INDEX('CASE MASTER'!$Y$2:$Y$495,(SUMPRODUCT((('CASE MASTER'!$T$2:$T$495=7)*('CASE MASTER'!$U$2:$U$495&lt;=3)*('CASE MASTER'!$W$2:$W$495&gt;=3)*('CASE MASTER'!$V$2:$V$495&lt;=10)*('CASE MASTER'!$X$2:$X$495&gt;=10))*ROW('CASE MASTER'!$T$2:$T$495))-(ROW('CASE MASTER'!#REF!)-1)))&amp;TRIM(MID(SUBSTITUTE(SUBSTITUTE(INDEX('CASE MASTER'!$N$2:$N$495,(SUMPRODUCT((('CASE MASTER'!$T$2:$T$495=7)*('CASE MASTER'!$U$2:$U$495&lt;=3)*('CASE MASTER'!$W$2:$W$495&gt;=3)*('CASE MASTER'!$V$2:$V$495&lt;=10)*('CASE MASTER'!$X$2:$X$495&gt;=10))*ROW('CASE MASTER'!$T$2:$T$495))-(ROW('CASE MASTER'!#REF!)-1))),":",","),",",REPT(" ",50)),((((3-INDEX('CASE MASTER'!$U$2:$U$495,(SUMPRODUCT((('CASE MASTER'!$T$2:$T$495=7)*('CASE MASTER'!$U$2:$U$495&lt;=3)*('CASE MASTER'!$W$2:$W$495&gt;=3)*('CASE MASTER'!$V$2:$V$495&lt;=10)*('CASE MASTER'!$X$2:$X$495&gt;=10))*ROW('CASE MASTER'!$T$2:$T$495))-(ROW('CASE MASTER'!#REF!)-1))))*(INDEX('CASE MASTER'!$X$2:$X$495,(SUMPRODUCT((('CASE MASTER'!$T$2:$T$495=7)*('CASE MASTER'!$U$2:$U$495&lt;=3)*('CASE MASTER'!$W$2:$W$495&gt;=3)*('CASE MASTER'!$V$2:$V$495&lt;=10)*('CASE MASTER'!$X$2:$X$495&gt;=10))*ROW('CASE MASTER'!$T$2:$T$495))-(ROW('CASE MASTER'!#REF!)-1)))-INDEX('CASE MASTER'!$V$2:$V$495,(SUMPRODUCT((('CASE MASTER'!$T$2:$T$495=7)*('CASE MASTER'!$U$2:$U$495&lt;=3)*('CASE MASTER'!$W$2:$W$495&gt;=3)*('CASE MASTER'!$V$2:$V$495&lt;=10)*('CASE MASTER'!$X$2:$X$495&gt;=10))*ROW('CASE MASTER'!$T$2:$T$495))-(ROW('CASE MASTER'!#REF!)-1)))+1)+(10-INDEX('CASE MASTER'!$V$2:$V$495,(SUMPRODUCT((('CASE MASTER'!$T$2:$T$495=7)*('CASE MASTER'!$U$2:$U$495&lt;=3)*('CASE MASTER'!$W$2:$W$495&gt;=3)*('CASE MASTER'!$V$2:$V$495&lt;=10)*('CASE MASTER'!$X$2:$X$495&gt;=10))*ROW('CASE MASTER'!$T$2:$T$495))-(ROW('CASE MASTER'!#REF!)-1))))+1))-1)*50+1,50))&amp;"_"&amp;INDEX('CASE MASTER'!$Q$2:$Q$495,(SUMPRODUCT((('CASE MASTER'!$T$2:$T$495=7)*('CASE MASTER'!$U$2:$U$495&lt;=3)*('CASE MASTER'!$W$2:$W$495&gt;=3)*('CASE MASTER'!$V$2:$V$495&lt;=10)*('CASE MASTER'!$X$2:$X$495&gt;=10))*ROW('CASE MASTER'!$T$2:$T$495))-(ROW('CASE MASTER'!#REF!)-1))),IF(SUMPRODUCT((('CASE MASTER'!$T$2:$T$495=7)*('CASE MASTER'!$AA$2:$AA$495&lt;=3)*('CASE MASTER'!$AC$2:$AC$495&gt;=3)*('CASE MASTER'!$AB$2:$AB$495&lt;=10)*('CASE MASTER'!$AD$2:$AD$495&gt;=10))*ROW('CASE MASTER'!$T$2:$T$495))&gt;0,INDEX('CASE MASTER'!$Y$2:$Y$495,(SUMPRODUCT((('CASE MASTER'!$T$2:$T$495=7)*('CASE MASTER'!$AA$2:$AA$495&lt;=3)*('CASE MASTER'!$AC$2:$AC$495&gt;=3)*('CASE MASTER'!$AB$2:$AB$495&lt;=10)*('CASE MASTER'!$AD$2:$AD$495&gt;=10))*ROW('CASE MASTER'!$T$2:$T$495))-(ROW('CASE MASTER'!#REF!)-1)))&amp;TRIM(MID(SUBSTITUTE(SUBSTITUTE(INDEX('CASE MASTER'!$N$2:$N$495,(SUMPRODUCT((('CASE MASTER'!$T$2:$T$495=7)*('CASE MASTER'!$AA$2:$AA$495&lt;=3)*('CASE MASTER'!$AC$2:$AC$495&gt;=3)*('CASE MASTER'!$AB$2:$AB$495&lt;=10)*('CASE MASTER'!$AD$2:$AD$495&gt;=10))*ROW('CASE MASTER'!$T$2:$T$495))-(ROW('CASE MASTER'!#REF!)-1))),":",","),",",REPT(" ",50)),(((INDEX('CASE MASTER'!$Z$2:$Z$495,(SUMPRODUCT((('CASE MASTER'!$T$2:$T$495=7)*('CASE MASTER'!$AA$2:$AA$495&lt;=3)*('CASE MASTER'!$AC$2:$AC$495&gt;=3)*('CASE MASTER'!$AB$2:$AB$495&lt;=10)*('CASE MASTER'!$AD$2:$AD$495&gt;=10))*ROW('CASE MASTER'!$T$2:$T$495))-(ROW('CASE MASTER'!#REF!)-1)))+((3-INDEX('CASE MASTER'!$AA$2:$AA$495,(SUMPRODUCT((('CASE MASTER'!$T$2:$T$495=7)*('CASE MASTER'!$AA$2:$AA$495&lt;=3)*('CASE MASTER'!$AC$2:$AC$495&gt;=3)*('CASE MASTER'!$AB$2:$AB$495&lt;=10)*('CASE MASTER'!$AD$2:$AD$495&gt;=10))*ROW('CASE MASTER'!$T$2:$T$495))-(ROW('CASE MASTER'!#REF!)-1))))*(INDEX('CASE MASTER'!$AD$2:$AD$495,(SUMPRODUCT((('CASE MASTER'!$T$2:$T$495=7)*('CASE MASTER'!$AA$2:$AA$495&lt;=3)*('CASE MASTER'!$AC$2:$AC$495&gt;=3)*('CASE MASTER'!$AB$2:$AB$495&lt;=10)*('CASE MASTER'!$AD$2:$AD$495&gt;=10))*ROW('CASE MASTER'!$T$2:$T$495))-(ROW('CASE MASTER'!#REF!)-1)))-INDEX('CASE MASTER'!$AB$2:$AB$495,(SUMPRODUCT((('CASE MASTER'!$T$2:$T$495=7)*('CASE MASTER'!$AA$2:$AA$495&lt;=3)*('CASE MASTER'!$AC$2:$AC$495&gt;=3)*('CASE MASTER'!$AB$2:$AB$495&lt;=10)*('CASE MASTER'!$AD$2:$AD$495&gt;=10))*ROW('CASE MASTER'!$T$2:$T$495))-(ROW('CASE MASTER'!#REF!)-1)))+1)+(10-INDEX('CASE MASTER'!$AB$2:$AB$495,(SUMPRODUCT((('CASE MASTER'!$T$2:$T$495=7)*('CASE MASTER'!$AA$2:$AA$495&lt;=3)*('CASE MASTER'!$AC$2:$AC$495&gt;=3)*('CASE MASTER'!$AB$2:$AB$495&lt;=10)*('CASE MASTER'!$AD$2:$AD$495&gt;=10))*ROW('CASE MASTER'!$T$2:$T$495))-(ROW('CASE MASTER'!#REF!)-1))))+1)))-1)*50+1,50))&amp;"_"&amp;INDEX('CASE MASTER'!$Q$2:$Q$495,(SUMPRODUCT((('CASE MASTER'!$T$2:$T$495=7)*('CASE MASTER'!$AA$2:$AA$495&lt;=3)*('CASE MASTER'!$AC$2:$AC$495&gt;=3)*('CASE MASTER'!$AB$2:$AB$495&lt;=10)*('CASE MASTER'!$AD$2:$AD$495&gt;=10))*ROW('CASE MASTER'!$T$2:$T$495))-(ROW('CASE MASTER'!#REF!)-1))),"")),"")</f>
        <v/>
      </c>
    </row>
    <row r="90" spans="1:11" ht="15" customHeight="1" x14ac:dyDescent="0.35">
      <c r="A90" s="8" t="s">
        <v>31</v>
      </c>
      <c r="B90" s="10" t="str">
        <f>IFERROR(IF(SUMPRODUCT((('CASE MASTER'!$T$2:$T$495=7)*('CASE MASTER'!$U$2:$U$495&lt;=4)*('CASE MASTER'!$W$2:$W$495&gt;=4)*('CASE MASTER'!$V$2:$V$495&lt;=1)*('CASE MASTER'!$X$2:$X$495&gt;=1))*ROW('CASE MASTER'!$T$2:$T$495))&gt;0,INDEX('CASE MASTER'!$Y$2:$Y$495,(SUMPRODUCT((('CASE MASTER'!$T$2:$T$495=7)*('CASE MASTER'!$U$2:$U$495&lt;=4)*('CASE MASTER'!$W$2:$W$495&gt;=4)*('CASE MASTER'!$V$2:$V$495&lt;=1)*('CASE MASTER'!$X$2:$X$495&gt;=1))*ROW('CASE MASTER'!$T$2:$T$495))-(ROW('CASE MASTER'!#REF!)-1)))&amp;TRIM(MID(SUBSTITUTE(SUBSTITUTE(INDEX('CASE MASTER'!$N$2:$N$495,(SUMPRODUCT((('CASE MASTER'!$T$2:$T$495=7)*('CASE MASTER'!$U$2:$U$495&lt;=4)*('CASE MASTER'!$W$2:$W$495&gt;=4)*('CASE MASTER'!$V$2:$V$495&lt;=1)*('CASE MASTER'!$X$2:$X$495&gt;=1))*ROW('CASE MASTER'!$T$2:$T$495))-(ROW('CASE MASTER'!#REF!)-1))),":",","),",",REPT(" ",50)),((((4-INDEX('CASE MASTER'!$U$2:$U$495,(SUMPRODUCT((('CASE MASTER'!$T$2:$T$495=7)*('CASE MASTER'!$U$2:$U$495&lt;=4)*('CASE MASTER'!$W$2:$W$495&gt;=4)*('CASE MASTER'!$V$2:$V$495&lt;=1)*('CASE MASTER'!$X$2:$X$495&gt;=1))*ROW('CASE MASTER'!$T$2:$T$495))-(ROW('CASE MASTER'!#REF!)-1))))*(INDEX('CASE MASTER'!$X$2:$X$495,(SUMPRODUCT((('CASE MASTER'!$T$2:$T$495=7)*('CASE MASTER'!$U$2:$U$495&lt;=4)*('CASE MASTER'!$W$2:$W$495&gt;=4)*('CASE MASTER'!$V$2:$V$495&lt;=1)*('CASE MASTER'!$X$2:$X$495&gt;=1))*ROW('CASE MASTER'!$T$2:$T$495))-(ROW('CASE MASTER'!#REF!)-1)))-INDEX('CASE MASTER'!$V$2:$V$495,(SUMPRODUCT((('CASE MASTER'!$T$2:$T$495=7)*('CASE MASTER'!$U$2:$U$495&lt;=4)*('CASE MASTER'!$W$2:$W$495&gt;=4)*('CASE MASTER'!$V$2:$V$495&lt;=1)*('CASE MASTER'!$X$2:$X$495&gt;=1))*ROW('CASE MASTER'!$T$2:$T$495))-(ROW('CASE MASTER'!#REF!)-1)))+1)+(1-INDEX('CASE MASTER'!$V$2:$V$495,(SUMPRODUCT((('CASE MASTER'!$T$2:$T$495=7)*('CASE MASTER'!$U$2:$U$495&lt;=4)*('CASE MASTER'!$W$2:$W$495&gt;=4)*('CASE MASTER'!$V$2:$V$495&lt;=1)*('CASE MASTER'!$X$2:$X$495&gt;=1))*ROW('CASE MASTER'!$T$2:$T$495))-(ROW('CASE MASTER'!#REF!)-1))))+1))-1)*50+1,50))&amp;"_"&amp;INDEX('CASE MASTER'!$Q$2:$Q$495,(SUMPRODUCT((('CASE MASTER'!$T$2:$T$495=7)*('CASE MASTER'!$U$2:$U$495&lt;=4)*('CASE MASTER'!$W$2:$W$495&gt;=4)*('CASE MASTER'!$V$2:$V$495&lt;=1)*('CASE MASTER'!$X$2:$X$495&gt;=1))*ROW('CASE MASTER'!$T$2:$T$495))-(ROW('CASE MASTER'!#REF!)-1))),IF(SUMPRODUCT((('CASE MASTER'!$T$2:$T$495=7)*('CASE MASTER'!$AA$2:$AA$495&lt;=4)*('CASE MASTER'!$AC$2:$AC$495&gt;=4)*('CASE MASTER'!$AB$2:$AB$495&lt;=1)*('CASE MASTER'!$AD$2:$AD$495&gt;=1))*ROW('CASE MASTER'!$T$2:$T$495))&gt;0,INDEX('CASE MASTER'!$Y$2:$Y$495,(SUMPRODUCT((('CASE MASTER'!$T$2:$T$495=7)*('CASE MASTER'!$AA$2:$AA$495&lt;=4)*('CASE MASTER'!$AC$2:$AC$495&gt;=4)*('CASE MASTER'!$AB$2:$AB$495&lt;=1)*('CASE MASTER'!$AD$2:$AD$495&gt;=1))*ROW('CASE MASTER'!$T$2:$T$495))-(ROW('CASE MASTER'!#REF!)-1)))&amp;TRIM(MID(SUBSTITUTE(SUBSTITUTE(INDEX('CASE MASTER'!$N$2:$N$495,(SUMPRODUCT((('CASE MASTER'!$T$2:$T$495=7)*('CASE MASTER'!$AA$2:$AA$495&lt;=4)*('CASE MASTER'!$AC$2:$AC$495&gt;=4)*('CASE MASTER'!$AB$2:$AB$495&lt;=1)*('CASE MASTER'!$AD$2:$AD$495&gt;=1))*ROW('CASE MASTER'!$T$2:$T$495))-(ROW('CASE MASTER'!#REF!)-1))),":",","),",",REPT(" ",50)),(((INDEX('CASE MASTER'!$Z$2:$Z$495,(SUMPRODUCT((('CASE MASTER'!$T$2:$T$495=7)*('CASE MASTER'!$AA$2:$AA$495&lt;=4)*('CASE MASTER'!$AC$2:$AC$495&gt;=4)*('CASE MASTER'!$AB$2:$AB$495&lt;=1)*('CASE MASTER'!$AD$2:$AD$495&gt;=1))*ROW('CASE MASTER'!$T$2:$T$495))-(ROW('CASE MASTER'!#REF!)-1)))+((4-INDEX('CASE MASTER'!$AA$2:$AA$495,(SUMPRODUCT((('CASE MASTER'!$T$2:$T$495=7)*('CASE MASTER'!$AA$2:$AA$495&lt;=4)*('CASE MASTER'!$AC$2:$AC$495&gt;=4)*('CASE MASTER'!$AB$2:$AB$495&lt;=1)*('CASE MASTER'!$AD$2:$AD$495&gt;=1))*ROW('CASE MASTER'!$T$2:$T$495))-(ROW('CASE MASTER'!#REF!)-1))))*(INDEX('CASE MASTER'!$AD$2:$AD$495,(SUMPRODUCT((('CASE MASTER'!$T$2:$T$495=7)*('CASE MASTER'!$AA$2:$AA$495&lt;=4)*('CASE MASTER'!$AC$2:$AC$495&gt;=4)*('CASE MASTER'!$AB$2:$AB$495&lt;=1)*('CASE MASTER'!$AD$2:$AD$495&gt;=1))*ROW('CASE MASTER'!$T$2:$T$495))-(ROW('CASE MASTER'!#REF!)-1)))-INDEX('CASE MASTER'!$AB$2:$AB$495,(SUMPRODUCT((('CASE MASTER'!$T$2:$T$495=7)*('CASE MASTER'!$AA$2:$AA$495&lt;=4)*('CASE MASTER'!$AC$2:$AC$495&gt;=4)*('CASE MASTER'!$AB$2:$AB$495&lt;=1)*('CASE MASTER'!$AD$2:$AD$495&gt;=1))*ROW('CASE MASTER'!$T$2:$T$495))-(ROW('CASE MASTER'!#REF!)-1)))+1)+(1-INDEX('CASE MASTER'!$AB$2:$AB$495,(SUMPRODUCT((('CASE MASTER'!$T$2:$T$495=7)*('CASE MASTER'!$AA$2:$AA$495&lt;=4)*('CASE MASTER'!$AC$2:$AC$495&gt;=4)*('CASE MASTER'!$AB$2:$AB$495&lt;=1)*('CASE MASTER'!$AD$2:$AD$495&gt;=1))*ROW('CASE MASTER'!$T$2:$T$495))-(ROW('CASE MASTER'!#REF!)-1))))+1)))-1)*50+1,50))&amp;"_"&amp;INDEX('CASE MASTER'!$Q$2:$Q$495,(SUMPRODUCT((('CASE MASTER'!$T$2:$T$495=7)*('CASE MASTER'!$AA$2:$AA$495&lt;=4)*('CASE MASTER'!$AC$2:$AC$495&gt;=4)*('CASE MASTER'!$AB$2:$AB$495&lt;=1)*('CASE MASTER'!$AD$2:$AD$495&gt;=1))*ROW('CASE MASTER'!$T$2:$T$495))-(ROW('CASE MASTER'!#REF!)-1))),"")),"")</f>
        <v/>
      </c>
      <c r="C90" s="10" t="str">
        <f>IFERROR(IF(SUMPRODUCT((('CASE MASTER'!$T$2:$T$495=7)*('CASE MASTER'!$U$2:$U$495&lt;=4)*('CASE MASTER'!$W$2:$W$495&gt;=4)*('CASE MASTER'!$V$2:$V$495&lt;=2)*('CASE MASTER'!$X$2:$X$495&gt;=2))*ROW('CASE MASTER'!$T$2:$T$495))&gt;0,INDEX('CASE MASTER'!$Y$2:$Y$495,(SUMPRODUCT((('CASE MASTER'!$T$2:$T$495=7)*('CASE MASTER'!$U$2:$U$495&lt;=4)*('CASE MASTER'!$W$2:$W$495&gt;=4)*('CASE MASTER'!$V$2:$V$495&lt;=2)*('CASE MASTER'!$X$2:$X$495&gt;=2))*ROW('CASE MASTER'!$T$2:$T$495))-(ROW('CASE MASTER'!#REF!)-1)))&amp;TRIM(MID(SUBSTITUTE(SUBSTITUTE(INDEX('CASE MASTER'!$N$2:$N$495,(SUMPRODUCT((('CASE MASTER'!$T$2:$T$495=7)*('CASE MASTER'!$U$2:$U$495&lt;=4)*('CASE MASTER'!$W$2:$W$495&gt;=4)*('CASE MASTER'!$V$2:$V$495&lt;=2)*('CASE MASTER'!$X$2:$X$495&gt;=2))*ROW('CASE MASTER'!$T$2:$T$495))-(ROW('CASE MASTER'!#REF!)-1))),":",","),",",REPT(" ",50)),((((4-INDEX('CASE MASTER'!$U$2:$U$495,(SUMPRODUCT((('CASE MASTER'!$T$2:$T$495=7)*('CASE MASTER'!$U$2:$U$495&lt;=4)*('CASE MASTER'!$W$2:$W$495&gt;=4)*('CASE MASTER'!$V$2:$V$495&lt;=2)*('CASE MASTER'!$X$2:$X$495&gt;=2))*ROW('CASE MASTER'!$T$2:$T$495))-(ROW('CASE MASTER'!#REF!)-1))))*(INDEX('CASE MASTER'!$X$2:$X$495,(SUMPRODUCT((('CASE MASTER'!$T$2:$T$495=7)*('CASE MASTER'!$U$2:$U$495&lt;=4)*('CASE MASTER'!$W$2:$W$495&gt;=4)*('CASE MASTER'!$V$2:$V$495&lt;=2)*('CASE MASTER'!$X$2:$X$495&gt;=2))*ROW('CASE MASTER'!$T$2:$T$495))-(ROW('CASE MASTER'!#REF!)-1)))-INDEX('CASE MASTER'!$V$2:$V$495,(SUMPRODUCT((('CASE MASTER'!$T$2:$T$495=7)*('CASE MASTER'!$U$2:$U$495&lt;=4)*('CASE MASTER'!$W$2:$W$495&gt;=4)*('CASE MASTER'!$V$2:$V$495&lt;=2)*('CASE MASTER'!$X$2:$X$495&gt;=2))*ROW('CASE MASTER'!$T$2:$T$495))-(ROW('CASE MASTER'!#REF!)-1)))+1)+(2-INDEX('CASE MASTER'!$V$2:$V$495,(SUMPRODUCT((('CASE MASTER'!$T$2:$T$495=7)*('CASE MASTER'!$U$2:$U$495&lt;=4)*('CASE MASTER'!$W$2:$W$495&gt;=4)*('CASE MASTER'!$V$2:$V$495&lt;=2)*('CASE MASTER'!$X$2:$X$495&gt;=2))*ROW('CASE MASTER'!$T$2:$T$495))-(ROW('CASE MASTER'!#REF!)-1))))+1))-1)*50+1,50))&amp;"_"&amp;INDEX('CASE MASTER'!$Q$2:$Q$495,(SUMPRODUCT((('CASE MASTER'!$T$2:$T$495=7)*('CASE MASTER'!$U$2:$U$495&lt;=4)*('CASE MASTER'!$W$2:$W$495&gt;=4)*('CASE MASTER'!$V$2:$V$495&lt;=2)*('CASE MASTER'!$X$2:$X$495&gt;=2))*ROW('CASE MASTER'!$T$2:$T$495))-(ROW('CASE MASTER'!#REF!)-1))),IF(SUMPRODUCT((('CASE MASTER'!$T$2:$T$495=7)*('CASE MASTER'!$AA$2:$AA$495&lt;=4)*('CASE MASTER'!$AC$2:$AC$495&gt;=4)*('CASE MASTER'!$AB$2:$AB$495&lt;=2)*('CASE MASTER'!$AD$2:$AD$495&gt;=2))*ROW('CASE MASTER'!$T$2:$T$495))&gt;0,INDEX('CASE MASTER'!$Y$2:$Y$495,(SUMPRODUCT((('CASE MASTER'!$T$2:$T$495=7)*('CASE MASTER'!$AA$2:$AA$495&lt;=4)*('CASE MASTER'!$AC$2:$AC$495&gt;=4)*('CASE MASTER'!$AB$2:$AB$495&lt;=2)*('CASE MASTER'!$AD$2:$AD$495&gt;=2))*ROW('CASE MASTER'!$T$2:$T$495))-(ROW('CASE MASTER'!#REF!)-1)))&amp;TRIM(MID(SUBSTITUTE(SUBSTITUTE(INDEX('CASE MASTER'!$N$2:$N$495,(SUMPRODUCT((('CASE MASTER'!$T$2:$T$495=7)*('CASE MASTER'!$AA$2:$AA$495&lt;=4)*('CASE MASTER'!$AC$2:$AC$495&gt;=4)*('CASE MASTER'!$AB$2:$AB$495&lt;=2)*('CASE MASTER'!$AD$2:$AD$495&gt;=2))*ROW('CASE MASTER'!$T$2:$T$495))-(ROW('CASE MASTER'!#REF!)-1))),":",","),",",REPT(" ",50)),(((INDEX('CASE MASTER'!$Z$2:$Z$495,(SUMPRODUCT((('CASE MASTER'!$T$2:$T$495=7)*('CASE MASTER'!$AA$2:$AA$495&lt;=4)*('CASE MASTER'!$AC$2:$AC$495&gt;=4)*('CASE MASTER'!$AB$2:$AB$495&lt;=2)*('CASE MASTER'!$AD$2:$AD$495&gt;=2))*ROW('CASE MASTER'!$T$2:$T$495))-(ROW('CASE MASTER'!#REF!)-1)))+((4-INDEX('CASE MASTER'!$AA$2:$AA$495,(SUMPRODUCT((('CASE MASTER'!$T$2:$T$495=7)*('CASE MASTER'!$AA$2:$AA$495&lt;=4)*('CASE MASTER'!$AC$2:$AC$495&gt;=4)*('CASE MASTER'!$AB$2:$AB$495&lt;=2)*('CASE MASTER'!$AD$2:$AD$495&gt;=2))*ROW('CASE MASTER'!$T$2:$T$495))-(ROW('CASE MASTER'!#REF!)-1))))*(INDEX('CASE MASTER'!$AD$2:$AD$495,(SUMPRODUCT((('CASE MASTER'!$T$2:$T$495=7)*('CASE MASTER'!$AA$2:$AA$495&lt;=4)*('CASE MASTER'!$AC$2:$AC$495&gt;=4)*('CASE MASTER'!$AB$2:$AB$495&lt;=2)*('CASE MASTER'!$AD$2:$AD$495&gt;=2))*ROW('CASE MASTER'!$T$2:$T$495))-(ROW('CASE MASTER'!#REF!)-1)))-INDEX('CASE MASTER'!$AB$2:$AB$495,(SUMPRODUCT((('CASE MASTER'!$T$2:$T$495=7)*('CASE MASTER'!$AA$2:$AA$495&lt;=4)*('CASE MASTER'!$AC$2:$AC$495&gt;=4)*('CASE MASTER'!$AB$2:$AB$495&lt;=2)*('CASE MASTER'!$AD$2:$AD$495&gt;=2))*ROW('CASE MASTER'!$T$2:$T$495))-(ROW('CASE MASTER'!#REF!)-1)))+1)+(2-INDEX('CASE MASTER'!$AB$2:$AB$495,(SUMPRODUCT((('CASE MASTER'!$T$2:$T$495=7)*('CASE MASTER'!$AA$2:$AA$495&lt;=4)*('CASE MASTER'!$AC$2:$AC$495&gt;=4)*('CASE MASTER'!$AB$2:$AB$495&lt;=2)*('CASE MASTER'!$AD$2:$AD$495&gt;=2))*ROW('CASE MASTER'!$T$2:$T$495))-(ROW('CASE MASTER'!#REF!)-1))))+1)))-1)*50+1,50))&amp;"_"&amp;INDEX('CASE MASTER'!$Q$2:$Q$495,(SUMPRODUCT((('CASE MASTER'!$T$2:$T$495=7)*('CASE MASTER'!$AA$2:$AA$495&lt;=4)*('CASE MASTER'!$AC$2:$AC$495&gt;=4)*('CASE MASTER'!$AB$2:$AB$495&lt;=2)*('CASE MASTER'!$AD$2:$AD$495&gt;=2))*ROW('CASE MASTER'!$T$2:$T$495))-(ROW('CASE MASTER'!#REF!)-1))),"")),"")</f>
        <v/>
      </c>
      <c r="D90" s="10" t="str">
        <f>IFERROR(IF(SUMPRODUCT((('CASE MASTER'!$T$2:$T$495=7)*('CASE MASTER'!$U$2:$U$495&lt;=4)*('CASE MASTER'!$W$2:$W$495&gt;=4)*('CASE MASTER'!$V$2:$V$495&lt;=3)*('CASE MASTER'!$X$2:$X$495&gt;=3))*ROW('CASE MASTER'!$T$2:$T$495))&gt;0,INDEX('CASE MASTER'!$Y$2:$Y$495,(SUMPRODUCT((('CASE MASTER'!$T$2:$T$495=7)*('CASE MASTER'!$U$2:$U$495&lt;=4)*('CASE MASTER'!$W$2:$W$495&gt;=4)*('CASE MASTER'!$V$2:$V$495&lt;=3)*('CASE MASTER'!$X$2:$X$495&gt;=3))*ROW('CASE MASTER'!$T$2:$T$495))-(ROW('CASE MASTER'!#REF!)-1)))&amp;TRIM(MID(SUBSTITUTE(SUBSTITUTE(INDEX('CASE MASTER'!$N$2:$N$495,(SUMPRODUCT((('CASE MASTER'!$T$2:$T$495=7)*('CASE MASTER'!$U$2:$U$495&lt;=4)*('CASE MASTER'!$W$2:$W$495&gt;=4)*('CASE MASTER'!$V$2:$V$495&lt;=3)*('CASE MASTER'!$X$2:$X$495&gt;=3))*ROW('CASE MASTER'!$T$2:$T$495))-(ROW('CASE MASTER'!#REF!)-1))),":",","),",",REPT(" ",50)),((((4-INDEX('CASE MASTER'!$U$2:$U$495,(SUMPRODUCT((('CASE MASTER'!$T$2:$T$495=7)*('CASE MASTER'!$U$2:$U$495&lt;=4)*('CASE MASTER'!$W$2:$W$495&gt;=4)*('CASE MASTER'!$V$2:$V$495&lt;=3)*('CASE MASTER'!$X$2:$X$495&gt;=3))*ROW('CASE MASTER'!$T$2:$T$495))-(ROW('CASE MASTER'!#REF!)-1))))*(INDEX('CASE MASTER'!$X$2:$X$495,(SUMPRODUCT((('CASE MASTER'!$T$2:$T$495=7)*('CASE MASTER'!$U$2:$U$495&lt;=4)*('CASE MASTER'!$W$2:$W$495&gt;=4)*('CASE MASTER'!$V$2:$V$495&lt;=3)*('CASE MASTER'!$X$2:$X$495&gt;=3))*ROW('CASE MASTER'!$T$2:$T$495))-(ROW('CASE MASTER'!#REF!)-1)))-INDEX('CASE MASTER'!$V$2:$V$495,(SUMPRODUCT((('CASE MASTER'!$T$2:$T$495=7)*('CASE MASTER'!$U$2:$U$495&lt;=4)*('CASE MASTER'!$W$2:$W$495&gt;=4)*('CASE MASTER'!$V$2:$V$495&lt;=3)*('CASE MASTER'!$X$2:$X$495&gt;=3))*ROW('CASE MASTER'!$T$2:$T$495))-(ROW('CASE MASTER'!#REF!)-1)))+1)+(3-INDEX('CASE MASTER'!$V$2:$V$495,(SUMPRODUCT((('CASE MASTER'!$T$2:$T$495=7)*('CASE MASTER'!$U$2:$U$495&lt;=4)*('CASE MASTER'!$W$2:$W$495&gt;=4)*('CASE MASTER'!$V$2:$V$495&lt;=3)*('CASE MASTER'!$X$2:$X$495&gt;=3))*ROW('CASE MASTER'!$T$2:$T$495))-(ROW('CASE MASTER'!#REF!)-1))))+1))-1)*50+1,50))&amp;"_"&amp;INDEX('CASE MASTER'!$Q$2:$Q$495,(SUMPRODUCT((('CASE MASTER'!$T$2:$T$495=7)*('CASE MASTER'!$U$2:$U$495&lt;=4)*('CASE MASTER'!$W$2:$W$495&gt;=4)*('CASE MASTER'!$V$2:$V$495&lt;=3)*('CASE MASTER'!$X$2:$X$495&gt;=3))*ROW('CASE MASTER'!$T$2:$T$495))-(ROW('CASE MASTER'!#REF!)-1))),IF(SUMPRODUCT((('CASE MASTER'!$T$2:$T$495=7)*('CASE MASTER'!$AA$2:$AA$495&lt;=4)*('CASE MASTER'!$AC$2:$AC$495&gt;=4)*('CASE MASTER'!$AB$2:$AB$495&lt;=3)*('CASE MASTER'!$AD$2:$AD$495&gt;=3))*ROW('CASE MASTER'!$T$2:$T$495))&gt;0,INDEX('CASE MASTER'!$Y$2:$Y$495,(SUMPRODUCT((('CASE MASTER'!$T$2:$T$495=7)*('CASE MASTER'!$AA$2:$AA$495&lt;=4)*('CASE MASTER'!$AC$2:$AC$495&gt;=4)*('CASE MASTER'!$AB$2:$AB$495&lt;=3)*('CASE MASTER'!$AD$2:$AD$495&gt;=3))*ROW('CASE MASTER'!$T$2:$T$495))-(ROW('CASE MASTER'!#REF!)-1)))&amp;TRIM(MID(SUBSTITUTE(SUBSTITUTE(INDEX('CASE MASTER'!$N$2:$N$495,(SUMPRODUCT((('CASE MASTER'!$T$2:$T$495=7)*('CASE MASTER'!$AA$2:$AA$495&lt;=4)*('CASE MASTER'!$AC$2:$AC$495&gt;=4)*('CASE MASTER'!$AB$2:$AB$495&lt;=3)*('CASE MASTER'!$AD$2:$AD$495&gt;=3))*ROW('CASE MASTER'!$T$2:$T$495))-(ROW('CASE MASTER'!#REF!)-1))),":",","),",",REPT(" ",50)),(((INDEX('CASE MASTER'!$Z$2:$Z$495,(SUMPRODUCT((('CASE MASTER'!$T$2:$T$495=7)*('CASE MASTER'!$AA$2:$AA$495&lt;=4)*('CASE MASTER'!$AC$2:$AC$495&gt;=4)*('CASE MASTER'!$AB$2:$AB$495&lt;=3)*('CASE MASTER'!$AD$2:$AD$495&gt;=3))*ROW('CASE MASTER'!$T$2:$T$495))-(ROW('CASE MASTER'!#REF!)-1)))+((4-INDEX('CASE MASTER'!$AA$2:$AA$495,(SUMPRODUCT((('CASE MASTER'!$T$2:$T$495=7)*('CASE MASTER'!$AA$2:$AA$495&lt;=4)*('CASE MASTER'!$AC$2:$AC$495&gt;=4)*('CASE MASTER'!$AB$2:$AB$495&lt;=3)*('CASE MASTER'!$AD$2:$AD$495&gt;=3))*ROW('CASE MASTER'!$T$2:$T$495))-(ROW('CASE MASTER'!#REF!)-1))))*(INDEX('CASE MASTER'!$AD$2:$AD$495,(SUMPRODUCT((('CASE MASTER'!$T$2:$T$495=7)*('CASE MASTER'!$AA$2:$AA$495&lt;=4)*('CASE MASTER'!$AC$2:$AC$495&gt;=4)*('CASE MASTER'!$AB$2:$AB$495&lt;=3)*('CASE MASTER'!$AD$2:$AD$495&gt;=3))*ROW('CASE MASTER'!$T$2:$T$495))-(ROW('CASE MASTER'!#REF!)-1)))-INDEX('CASE MASTER'!$AB$2:$AB$495,(SUMPRODUCT((('CASE MASTER'!$T$2:$T$495=7)*('CASE MASTER'!$AA$2:$AA$495&lt;=4)*('CASE MASTER'!$AC$2:$AC$495&gt;=4)*('CASE MASTER'!$AB$2:$AB$495&lt;=3)*('CASE MASTER'!$AD$2:$AD$495&gt;=3))*ROW('CASE MASTER'!$T$2:$T$495))-(ROW('CASE MASTER'!#REF!)-1)))+1)+(3-INDEX('CASE MASTER'!$AB$2:$AB$495,(SUMPRODUCT((('CASE MASTER'!$T$2:$T$495=7)*('CASE MASTER'!$AA$2:$AA$495&lt;=4)*('CASE MASTER'!$AC$2:$AC$495&gt;=4)*('CASE MASTER'!$AB$2:$AB$495&lt;=3)*('CASE MASTER'!$AD$2:$AD$495&gt;=3))*ROW('CASE MASTER'!$T$2:$T$495))-(ROW('CASE MASTER'!#REF!)-1))))+1)))-1)*50+1,50))&amp;"_"&amp;INDEX('CASE MASTER'!$Q$2:$Q$495,(SUMPRODUCT((('CASE MASTER'!$T$2:$T$495=7)*('CASE MASTER'!$AA$2:$AA$495&lt;=4)*('CASE MASTER'!$AC$2:$AC$495&gt;=4)*('CASE MASTER'!$AB$2:$AB$495&lt;=3)*('CASE MASTER'!$AD$2:$AD$495&gt;=3))*ROW('CASE MASTER'!$T$2:$T$495))-(ROW('CASE MASTER'!#REF!)-1))),"")),"")</f>
        <v/>
      </c>
      <c r="E90" s="10" t="str">
        <f>IFERROR(IF(SUMPRODUCT((('CASE MASTER'!$T$2:$T$495=7)*('CASE MASTER'!$U$2:$U$495&lt;=4)*('CASE MASTER'!$W$2:$W$495&gt;=4)*('CASE MASTER'!$V$2:$V$495&lt;=4)*('CASE MASTER'!$X$2:$X$495&gt;=4))*ROW('CASE MASTER'!$T$2:$T$495))&gt;0,INDEX('CASE MASTER'!$Y$2:$Y$495,(SUMPRODUCT((('CASE MASTER'!$T$2:$T$495=7)*('CASE MASTER'!$U$2:$U$495&lt;=4)*('CASE MASTER'!$W$2:$W$495&gt;=4)*('CASE MASTER'!$V$2:$V$495&lt;=4)*('CASE MASTER'!$X$2:$X$495&gt;=4))*ROW('CASE MASTER'!$T$2:$T$495))-(ROW('CASE MASTER'!#REF!)-1)))&amp;TRIM(MID(SUBSTITUTE(SUBSTITUTE(INDEX('CASE MASTER'!$N$2:$N$495,(SUMPRODUCT((('CASE MASTER'!$T$2:$T$495=7)*('CASE MASTER'!$U$2:$U$495&lt;=4)*('CASE MASTER'!$W$2:$W$495&gt;=4)*('CASE MASTER'!$V$2:$V$495&lt;=4)*('CASE MASTER'!$X$2:$X$495&gt;=4))*ROW('CASE MASTER'!$T$2:$T$495))-(ROW('CASE MASTER'!#REF!)-1))),":",","),",",REPT(" ",50)),((((4-INDEX('CASE MASTER'!$U$2:$U$495,(SUMPRODUCT((('CASE MASTER'!$T$2:$T$495=7)*('CASE MASTER'!$U$2:$U$495&lt;=4)*('CASE MASTER'!$W$2:$W$495&gt;=4)*('CASE MASTER'!$V$2:$V$495&lt;=4)*('CASE MASTER'!$X$2:$X$495&gt;=4))*ROW('CASE MASTER'!$T$2:$T$495))-(ROW('CASE MASTER'!#REF!)-1))))*(INDEX('CASE MASTER'!$X$2:$X$495,(SUMPRODUCT((('CASE MASTER'!$T$2:$T$495=7)*('CASE MASTER'!$U$2:$U$495&lt;=4)*('CASE MASTER'!$W$2:$W$495&gt;=4)*('CASE MASTER'!$V$2:$V$495&lt;=4)*('CASE MASTER'!$X$2:$X$495&gt;=4))*ROW('CASE MASTER'!$T$2:$T$495))-(ROW('CASE MASTER'!#REF!)-1)))-INDEX('CASE MASTER'!$V$2:$V$495,(SUMPRODUCT((('CASE MASTER'!$T$2:$T$495=7)*('CASE MASTER'!$U$2:$U$495&lt;=4)*('CASE MASTER'!$W$2:$W$495&gt;=4)*('CASE MASTER'!$V$2:$V$495&lt;=4)*('CASE MASTER'!$X$2:$X$495&gt;=4))*ROW('CASE MASTER'!$T$2:$T$495))-(ROW('CASE MASTER'!#REF!)-1)))+1)+(4-INDEX('CASE MASTER'!$V$2:$V$495,(SUMPRODUCT((('CASE MASTER'!$T$2:$T$495=7)*('CASE MASTER'!$U$2:$U$495&lt;=4)*('CASE MASTER'!$W$2:$W$495&gt;=4)*('CASE MASTER'!$V$2:$V$495&lt;=4)*('CASE MASTER'!$X$2:$X$495&gt;=4))*ROW('CASE MASTER'!$T$2:$T$495))-(ROW('CASE MASTER'!#REF!)-1))))+1))-1)*50+1,50))&amp;"_"&amp;INDEX('CASE MASTER'!$Q$2:$Q$495,(SUMPRODUCT((('CASE MASTER'!$T$2:$T$495=7)*('CASE MASTER'!$U$2:$U$495&lt;=4)*('CASE MASTER'!$W$2:$W$495&gt;=4)*('CASE MASTER'!$V$2:$V$495&lt;=4)*('CASE MASTER'!$X$2:$X$495&gt;=4))*ROW('CASE MASTER'!$T$2:$T$495))-(ROW('CASE MASTER'!#REF!)-1))),IF(SUMPRODUCT((('CASE MASTER'!$T$2:$T$495=7)*('CASE MASTER'!$AA$2:$AA$495&lt;=4)*('CASE MASTER'!$AC$2:$AC$495&gt;=4)*('CASE MASTER'!$AB$2:$AB$495&lt;=4)*('CASE MASTER'!$AD$2:$AD$495&gt;=4))*ROW('CASE MASTER'!$T$2:$T$495))&gt;0,INDEX('CASE MASTER'!$Y$2:$Y$495,(SUMPRODUCT((('CASE MASTER'!$T$2:$T$495=7)*('CASE MASTER'!$AA$2:$AA$495&lt;=4)*('CASE MASTER'!$AC$2:$AC$495&gt;=4)*('CASE MASTER'!$AB$2:$AB$495&lt;=4)*('CASE MASTER'!$AD$2:$AD$495&gt;=4))*ROW('CASE MASTER'!$T$2:$T$495))-(ROW('CASE MASTER'!#REF!)-1)))&amp;TRIM(MID(SUBSTITUTE(SUBSTITUTE(INDEX('CASE MASTER'!$N$2:$N$495,(SUMPRODUCT((('CASE MASTER'!$T$2:$T$495=7)*('CASE MASTER'!$AA$2:$AA$495&lt;=4)*('CASE MASTER'!$AC$2:$AC$495&gt;=4)*('CASE MASTER'!$AB$2:$AB$495&lt;=4)*('CASE MASTER'!$AD$2:$AD$495&gt;=4))*ROW('CASE MASTER'!$T$2:$T$495))-(ROW('CASE MASTER'!#REF!)-1))),":",","),",",REPT(" ",50)),(((INDEX('CASE MASTER'!$Z$2:$Z$495,(SUMPRODUCT((('CASE MASTER'!$T$2:$T$495=7)*('CASE MASTER'!$AA$2:$AA$495&lt;=4)*('CASE MASTER'!$AC$2:$AC$495&gt;=4)*('CASE MASTER'!$AB$2:$AB$495&lt;=4)*('CASE MASTER'!$AD$2:$AD$495&gt;=4))*ROW('CASE MASTER'!$T$2:$T$495))-(ROW('CASE MASTER'!#REF!)-1)))+((4-INDEX('CASE MASTER'!$AA$2:$AA$495,(SUMPRODUCT((('CASE MASTER'!$T$2:$T$495=7)*('CASE MASTER'!$AA$2:$AA$495&lt;=4)*('CASE MASTER'!$AC$2:$AC$495&gt;=4)*('CASE MASTER'!$AB$2:$AB$495&lt;=4)*('CASE MASTER'!$AD$2:$AD$495&gt;=4))*ROW('CASE MASTER'!$T$2:$T$495))-(ROW('CASE MASTER'!#REF!)-1))))*(INDEX('CASE MASTER'!$AD$2:$AD$495,(SUMPRODUCT((('CASE MASTER'!$T$2:$T$495=7)*('CASE MASTER'!$AA$2:$AA$495&lt;=4)*('CASE MASTER'!$AC$2:$AC$495&gt;=4)*('CASE MASTER'!$AB$2:$AB$495&lt;=4)*('CASE MASTER'!$AD$2:$AD$495&gt;=4))*ROW('CASE MASTER'!$T$2:$T$495))-(ROW('CASE MASTER'!#REF!)-1)))-INDEX('CASE MASTER'!$AB$2:$AB$495,(SUMPRODUCT((('CASE MASTER'!$T$2:$T$495=7)*('CASE MASTER'!$AA$2:$AA$495&lt;=4)*('CASE MASTER'!$AC$2:$AC$495&gt;=4)*('CASE MASTER'!$AB$2:$AB$495&lt;=4)*('CASE MASTER'!$AD$2:$AD$495&gt;=4))*ROW('CASE MASTER'!$T$2:$T$495))-(ROW('CASE MASTER'!#REF!)-1)))+1)+(4-INDEX('CASE MASTER'!$AB$2:$AB$495,(SUMPRODUCT((('CASE MASTER'!$T$2:$T$495=7)*('CASE MASTER'!$AA$2:$AA$495&lt;=4)*('CASE MASTER'!$AC$2:$AC$495&gt;=4)*('CASE MASTER'!$AB$2:$AB$495&lt;=4)*('CASE MASTER'!$AD$2:$AD$495&gt;=4))*ROW('CASE MASTER'!$T$2:$T$495))-(ROW('CASE MASTER'!#REF!)-1))))+1)))-1)*50+1,50))&amp;"_"&amp;INDEX('CASE MASTER'!$Q$2:$Q$495,(SUMPRODUCT((('CASE MASTER'!$T$2:$T$495=7)*('CASE MASTER'!$AA$2:$AA$495&lt;=4)*('CASE MASTER'!$AC$2:$AC$495&gt;=4)*('CASE MASTER'!$AB$2:$AB$495&lt;=4)*('CASE MASTER'!$AD$2:$AD$495&gt;=4))*ROW('CASE MASTER'!$T$2:$T$495))-(ROW('CASE MASTER'!#REF!)-1))),"")),"")</f>
        <v/>
      </c>
      <c r="F90" s="10" t="str">
        <f>IFERROR(IF(SUMPRODUCT((('CASE MASTER'!$T$2:$T$495=7)*('CASE MASTER'!$U$2:$U$495&lt;=4)*('CASE MASTER'!$W$2:$W$495&gt;=4)*('CASE MASTER'!$V$2:$V$495&lt;=5)*('CASE MASTER'!$X$2:$X$495&gt;=5))*ROW('CASE MASTER'!$T$2:$T$495))&gt;0,INDEX('CASE MASTER'!$Y$2:$Y$495,(SUMPRODUCT((('CASE MASTER'!$T$2:$T$495=7)*('CASE MASTER'!$U$2:$U$495&lt;=4)*('CASE MASTER'!$W$2:$W$495&gt;=4)*('CASE MASTER'!$V$2:$V$495&lt;=5)*('CASE MASTER'!$X$2:$X$495&gt;=5))*ROW('CASE MASTER'!$T$2:$T$495))-(ROW('CASE MASTER'!#REF!)-1)))&amp;TRIM(MID(SUBSTITUTE(SUBSTITUTE(INDEX('CASE MASTER'!$N$2:$N$495,(SUMPRODUCT((('CASE MASTER'!$T$2:$T$495=7)*('CASE MASTER'!$U$2:$U$495&lt;=4)*('CASE MASTER'!$W$2:$W$495&gt;=4)*('CASE MASTER'!$V$2:$V$495&lt;=5)*('CASE MASTER'!$X$2:$X$495&gt;=5))*ROW('CASE MASTER'!$T$2:$T$495))-(ROW('CASE MASTER'!#REF!)-1))),":",","),",",REPT(" ",50)),((((4-INDEX('CASE MASTER'!$U$2:$U$495,(SUMPRODUCT((('CASE MASTER'!$T$2:$T$495=7)*('CASE MASTER'!$U$2:$U$495&lt;=4)*('CASE MASTER'!$W$2:$W$495&gt;=4)*('CASE MASTER'!$V$2:$V$495&lt;=5)*('CASE MASTER'!$X$2:$X$495&gt;=5))*ROW('CASE MASTER'!$T$2:$T$495))-(ROW('CASE MASTER'!#REF!)-1))))*(INDEX('CASE MASTER'!$X$2:$X$495,(SUMPRODUCT((('CASE MASTER'!$T$2:$T$495=7)*('CASE MASTER'!$U$2:$U$495&lt;=4)*('CASE MASTER'!$W$2:$W$495&gt;=4)*('CASE MASTER'!$V$2:$V$495&lt;=5)*('CASE MASTER'!$X$2:$X$495&gt;=5))*ROW('CASE MASTER'!$T$2:$T$495))-(ROW('CASE MASTER'!#REF!)-1)))-INDEX('CASE MASTER'!$V$2:$V$495,(SUMPRODUCT((('CASE MASTER'!$T$2:$T$495=7)*('CASE MASTER'!$U$2:$U$495&lt;=4)*('CASE MASTER'!$W$2:$W$495&gt;=4)*('CASE MASTER'!$V$2:$V$495&lt;=5)*('CASE MASTER'!$X$2:$X$495&gt;=5))*ROW('CASE MASTER'!$T$2:$T$495))-(ROW('CASE MASTER'!#REF!)-1)))+1)+(5-INDEX('CASE MASTER'!$V$2:$V$495,(SUMPRODUCT((('CASE MASTER'!$T$2:$T$495=7)*('CASE MASTER'!$U$2:$U$495&lt;=4)*('CASE MASTER'!$W$2:$W$495&gt;=4)*('CASE MASTER'!$V$2:$V$495&lt;=5)*('CASE MASTER'!$X$2:$X$495&gt;=5))*ROW('CASE MASTER'!$T$2:$T$495))-(ROW('CASE MASTER'!#REF!)-1))))+1))-1)*50+1,50))&amp;"_"&amp;INDEX('CASE MASTER'!$Q$2:$Q$495,(SUMPRODUCT((('CASE MASTER'!$T$2:$T$495=7)*('CASE MASTER'!$U$2:$U$495&lt;=4)*('CASE MASTER'!$W$2:$W$495&gt;=4)*('CASE MASTER'!$V$2:$V$495&lt;=5)*('CASE MASTER'!$X$2:$X$495&gt;=5))*ROW('CASE MASTER'!$T$2:$T$495))-(ROW('CASE MASTER'!#REF!)-1))),IF(SUMPRODUCT((('CASE MASTER'!$T$2:$T$495=7)*('CASE MASTER'!$AA$2:$AA$495&lt;=4)*('CASE MASTER'!$AC$2:$AC$495&gt;=4)*('CASE MASTER'!$AB$2:$AB$495&lt;=5)*('CASE MASTER'!$AD$2:$AD$495&gt;=5))*ROW('CASE MASTER'!$T$2:$T$495))&gt;0,INDEX('CASE MASTER'!$Y$2:$Y$495,(SUMPRODUCT((('CASE MASTER'!$T$2:$T$495=7)*('CASE MASTER'!$AA$2:$AA$495&lt;=4)*('CASE MASTER'!$AC$2:$AC$495&gt;=4)*('CASE MASTER'!$AB$2:$AB$495&lt;=5)*('CASE MASTER'!$AD$2:$AD$495&gt;=5))*ROW('CASE MASTER'!$T$2:$T$495))-(ROW('CASE MASTER'!#REF!)-1)))&amp;TRIM(MID(SUBSTITUTE(SUBSTITUTE(INDEX('CASE MASTER'!$N$2:$N$495,(SUMPRODUCT((('CASE MASTER'!$T$2:$T$495=7)*('CASE MASTER'!$AA$2:$AA$495&lt;=4)*('CASE MASTER'!$AC$2:$AC$495&gt;=4)*('CASE MASTER'!$AB$2:$AB$495&lt;=5)*('CASE MASTER'!$AD$2:$AD$495&gt;=5))*ROW('CASE MASTER'!$T$2:$T$495))-(ROW('CASE MASTER'!#REF!)-1))),":",","),",",REPT(" ",50)),(((INDEX('CASE MASTER'!$Z$2:$Z$495,(SUMPRODUCT((('CASE MASTER'!$T$2:$T$495=7)*('CASE MASTER'!$AA$2:$AA$495&lt;=4)*('CASE MASTER'!$AC$2:$AC$495&gt;=4)*('CASE MASTER'!$AB$2:$AB$495&lt;=5)*('CASE MASTER'!$AD$2:$AD$495&gt;=5))*ROW('CASE MASTER'!$T$2:$T$495))-(ROW('CASE MASTER'!#REF!)-1)))+((4-INDEX('CASE MASTER'!$AA$2:$AA$495,(SUMPRODUCT((('CASE MASTER'!$T$2:$T$495=7)*('CASE MASTER'!$AA$2:$AA$495&lt;=4)*('CASE MASTER'!$AC$2:$AC$495&gt;=4)*('CASE MASTER'!$AB$2:$AB$495&lt;=5)*('CASE MASTER'!$AD$2:$AD$495&gt;=5))*ROW('CASE MASTER'!$T$2:$T$495))-(ROW('CASE MASTER'!#REF!)-1))))*(INDEX('CASE MASTER'!$AD$2:$AD$495,(SUMPRODUCT((('CASE MASTER'!$T$2:$T$495=7)*('CASE MASTER'!$AA$2:$AA$495&lt;=4)*('CASE MASTER'!$AC$2:$AC$495&gt;=4)*('CASE MASTER'!$AB$2:$AB$495&lt;=5)*('CASE MASTER'!$AD$2:$AD$495&gt;=5))*ROW('CASE MASTER'!$T$2:$T$495))-(ROW('CASE MASTER'!#REF!)-1)))-INDEX('CASE MASTER'!$AB$2:$AB$495,(SUMPRODUCT((('CASE MASTER'!$T$2:$T$495=7)*('CASE MASTER'!$AA$2:$AA$495&lt;=4)*('CASE MASTER'!$AC$2:$AC$495&gt;=4)*('CASE MASTER'!$AB$2:$AB$495&lt;=5)*('CASE MASTER'!$AD$2:$AD$495&gt;=5))*ROW('CASE MASTER'!$T$2:$T$495))-(ROW('CASE MASTER'!#REF!)-1)))+1)+(5-INDEX('CASE MASTER'!$AB$2:$AB$495,(SUMPRODUCT((('CASE MASTER'!$T$2:$T$495=7)*('CASE MASTER'!$AA$2:$AA$495&lt;=4)*('CASE MASTER'!$AC$2:$AC$495&gt;=4)*('CASE MASTER'!$AB$2:$AB$495&lt;=5)*('CASE MASTER'!$AD$2:$AD$495&gt;=5))*ROW('CASE MASTER'!$T$2:$T$495))-(ROW('CASE MASTER'!#REF!)-1))))+1)))-1)*50+1,50))&amp;"_"&amp;INDEX('CASE MASTER'!$Q$2:$Q$495,(SUMPRODUCT((('CASE MASTER'!$T$2:$T$495=7)*('CASE MASTER'!$AA$2:$AA$495&lt;=4)*('CASE MASTER'!$AC$2:$AC$495&gt;=4)*('CASE MASTER'!$AB$2:$AB$495&lt;=5)*('CASE MASTER'!$AD$2:$AD$495&gt;=5))*ROW('CASE MASTER'!$T$2:$T$495))-(ROW('CASE MASTER'!#REF!)-1))),"")),"")</f>
        <v/>
      </c>
      <c r="G90" s="10" t="str">
        <f>IFERROR(IF(SUMPRODUCT((('CASE MASTER'!$T$2:$T$495=7)*('CASE MASTER'!$U$2:$U$495&lt;=4)*('CASE MASTER'!$W$2:$W$495&gt;=4)*('CASE MASTER'!$V$2:$V$495&lt;=6)*('CASE MASTER'!$X$2:$X$495&gt;=6))*ROW('CASE MASTER'!$T$2:$T$495))&gt;0,INDEX('CASE MASTER'!$Y$2:$Y$495,(SUMPRODUCT((('CASE MASTER'!$T$2:$T$495=7)*('CASE MASTER'!$U$2:$U$495&lt;=4)*('CASE MASTER'!$W$2:$W$495&gt;=4)*('CASE MASTER'!$V$2:$V$495&lt;=6)*('CASE MASTER'!$X$2:$X$495&gt;=6))*ROW('CASE MASTER'!$T$2:$T$495))-(ROW('CASE MASTER'!#REF!)-1)))&amp;TRIM(MID(SUBSTITUTE(SUBSTITUTE(INDEX('CASE MASTER'!$N$2:$N$495,(SUMPRODUCT((('CASE MASTER'!$T$2:$T$495=7)*('CASE MASTER'!$U$2:$U$495&lt;=4)*('CASE MASTER'!$W$2:$W$495&gt;=4)*('CASE MASTER'!$V$2:$V$495&lt;=6)*('CASE MASTER'!$X$2:$X$495&gt;=6))*ROW('CASE MASTER'!$T$2:$T$495))-(ROW('CASE MASTER'!#REF!)-1))),":",","),",",REPT(" ",50)),((((4-INDEX('CASE MASTER'!$U$2:$U$495,(SUMPRODUCT((('CASE MASTER'!$T$2:$T$495=7)*('CASE MASTER'!$U$2:$U$495&lt;=4)*('CASE MASTER'!$W$2:$W$495&gt;=4)*('CASE MASTER'!$V$2:$V$495&lt;=6)*('CASE MASTER'!$X$2:$X$495&gt;=6))*ROW('CASE MASTER'!$T$2:$T$495))-(ROW('CASE MASTER'!#REF!)-1))))*(INDEX('CASE MASTER'!$X$2:$X$495,(SUMPRODUCT((('CASE MASTER'!$T$2:$T$495=7)*('CASE MASTER'!$U$2:$U$495&lt;=4)*('CASE MASTER'!$W$2:$W$495&gt;=4)*('CASE MASTER'!$V$2:$V$495&lt;=6)*('CASE MASTER'!$X$2:$X$495&gt;=6))*ROW('CASE MASTER'!$T$2:$T$495))-(ROW('CASE MASTER'!#REF!)-1)))-INDEX('CASE MASTER'!$V$2:$V$495,(SUMPRODUCT((('CASE MASTER'!$T$2:$T$495=7)*('CASE MASTER'!$U$2:$U$495&lt;=4)*('CASE MASTER'!$W$2:$W$495&gt;=4)*('CASE MASTER'!$V$2:$V$495&lt;=6)*('CASE MASTER'!$X$2:$X$495&gt;=6))*ROW('CASE MASTER'!$T$2:$T$495))-(ROW('CASE MASTER'!#REF!)-1)))+1)+(6-INDEX('CASE MASTER'!$V$2:$V$495,(SUMPRODUCT((('CASE MASTER'!$T$2:$T$495=7)*('CASE MASTER'!$U$2:$U$495&lt;=4)*('CASE MASTER'!$W$2:$W$495&gt;=4)*('CASE MASTER'!$V$2:$V$495&lt;=6)*('CASE MASTER'!$X$2:$X$495&gt;=6))*ROW('CASE MASTER'!$T$2:$T$495))-(ROW('CASE MASTER'!#REF!)-1))))+1))-1)*50+1,50))&amp;"_"&amp;INDEX('CASE MASTER'!$Q$2:$Q$495,(SUMPRODUCT((('CASE MASTER'!$T$2:$T$495=7)*('CASE MASTER'!$U$2:$U$495&lt;=4)*('CASE MASTER'!$W$2:$W$495&gt;=4)*('CASE MASTER'!$V$2:$V$495&lt;=6)*('CASE MASTER'!$X$2:$X$495&gt;=6))*ROW('CASE MASTER'!$T$2:$T$495))-(ROW('CASE MASTER'!#REF!)-1))),IF(SUMPRODUCT((('CASE MASTER'!$T$2:$T$495=7)*('CASE MASTER'!$AA$2:$AA$495&lt;=4)*('CASE MASTER'!$AC$2:$AC$495&gt;=4)*('CASE MASTER'!$AB$2:$AB$495&lt;=6)*('CASE MASTER'!$AD$2:$AD$495&gt;=6))*ROW('CASE MASTER'!$T$2:$T$495))&gt;0,INDEX('CASE MASTER'!$Y$2:$Y$495,(SUMPRODUCT((('CASE MASTER'!$T$2:$T$495=7)*('CASE MASTER'!$AA$2:$AA$495&lt;=4)*('CASE MASTER'!$AC$2:$AC$495&gt;=4)*('CASE MASTER'!$AB$2:$AB$495&lt;=6)*('CASE MASTER'!$AD$2:$AD$495&gt;=6))*ROW('CASE MASTER'!$T$2:$T$495))-(ROW('CASE MASTER'!#REF!)-1)))&amp;TRIM(MID(SUBSTITUTE(SUBSTITUTE(INDEX('CASE MASTER'!$N$2:$N$495,(SUMPRODUCT((('CASE MASTER'!$T$2:$T$495=7)*('CASE MASTER'!$AA$2:$AA$495&lt;=4)*('CASE MASTER'!$AC$2:$AC$495&gt;=4)*('CASE MASTER'!$AB$2:$AB$495&lt;=6)*('CASE MASTER'!$AD$2:$AD$495&gt;=6))*ROW('CASE MASTER'!$T$2:$T$495))-(ROW('CASE MASTER'!#REF!)-1))),":",","),",",REPT(" ",50)),(((INDEX('CASE MASTER'!$Z$2:$Z$495,(SUMPRODUCT((('CASE MASTER'!$T$2:$T$495=7)*('CASE MASTER'!$AA$2:$AA$495&lt;=4)*('CASE MASTER'!$AC$2:$AC$495&gt;=4)*('CASE MASTER'!$AB$2:$AB$495&lt;=6)*('CASE MASTER'!$AD$2:$AD$495&gt;=6))*ROW('CASE MASTER'!$T$2:$T$495))-(ROW('CASE MASTER'!#REF!)-1)))+((4-INDEX('CASE MASTER'!$AA$2:$AA$495,(SUMPRODUCT((('CASE MASTER'!$T$2:$T$495=7)*('CASE MASTER'!$AA$2:$AA$495&lt;=4)*('CASE MASTER'!$AC$2:$AC$495&gt;=4)*('CASE MASTER'!$AB$2:$AB$495&lt;=6)*('CASE MASTER'!$AD$2:$AD$495&gt;=6))*ROW('CASE MASTER'!$T$2:$T$495))-(ROW('CASE MASTER'!#REF!)-1))))*(INDEX('CASE MASTER'!$AD$2:$AD$495,(SUMPRODUCT((('CASE MASTER'!$T$2:$T$495=7)*('CASE MASTER'!$AA$2:$AA$495&lt;=4)*('CASE MASTER'!$AC$2:$AC$495&gt;=4)*('CASE MASTER'!$AB$2:$AB$495&lt;=6)*('CASE MASTER'!$AD$2:$AD$495&gt;=6))*ROW('CASE MASTER'!$T$2:$T$495))-(ROW('CASE MASTER'!#REF!)-1)))-INDEX('CASE MASTER'!$AB$2:$AB$495,(SUMPRODUCT((('CASE MASTER'!$T$2:$T$495=7)*('CASE MASTER'!$AA$2:$AA$495&lt;=4)*('CASE MASTER'!$AC$2:$AC$495&gt;=4)*('CASE MASTER'!$AB$2:$AB$495&lt;=6)*('CASE MASTER'!$AD$2:$AD$495&gt;=6))*ROW('CASE MASTER'!$T$2:$T$495))-(ROW('CASE MASTER'!#REF!)-1)))+1)+(6-INDEX('CASE MASTER'!$AB$2:$AB$495,(SUMPRODUCT((('CASE MASTER'!$T$2:$T$495=7)*('CASE MASTER'!$AA$2:$AA$495&lt;=4)*('CASE MASTER'!$AC$2:$AC$495&gt;=4)*('CASE MASTER'!$AB$2:$AB$495&lt;=6)*('CASE MASTER'!$AD$2:$AD$495&gt;=6))*ROW('CASE MASTER'!$T$2:$T$495))-(ROW('CASE MASTER'!#REF!)-1))))+1)))-1)*50+1,50))&amp;"_"&amp;INDEX('CASE MASTER'!$Q$2:$Q$495,(SUMPRODUCT((('CASE MASTER'!$T$2:$T$495=7)*('CASE MASTER'!$AA$2:$AA$495&lt;=4)*('CASE MASTER'!$AC$2:$AC$495&gt;=4)*('CASE MASTER'!$AB$2:$AB$495&lt;=6)*('CASE MASTER'!$AD$2:$AD$495&gt;=6))*ROW('CASE MASTER'!$T$2:$T$495))-(ROW('CASE MASTER'!#REF!)-1))),"")),"")</f>
        <v/>
      </c>
      <c r="H90" s="10" t="str">
        <f>IFERROR(IF(SUMPRODUCT((('CASE MASTER'!$T$2:$T$495=7)*('CASE MASTER'!$U$2:$U$495&lt;=4)*('CASE MASTER'!$W$2:$W$495&gt;=4)*('CASE MASTER'!$V$2:$V$495&lt;=7)*('CASE MASTER'!$X$2:$X$495&gt;=7))*ROW('CASE MASTER'!$T$2:$T$495))&gt;0,INDEX('CASE MASTER'!$Y$2:$Y$495,(SUMPRODUCT((('CASE MASTER'!$T$2:$T$495=7)*('CASE MASTER'!$U$2:$U$495&lt;=4)*('CASE MASTER'!$W$2:$W$495&gt;=4)*('CASE MASTER'!$V$2:$V$495&lt;=7)*('CASE MASTER'!$X$2:$X$495&gt;=7))*ROW('CASE MASTER'!$T$2:$T$495))-(ROW('CASE MASTER'!#REF!)-1)))&amp;TRIM(MID(SUBSTITUTE(SUBSTITUTE(INDEX('CASE MASTER'!$N$2:$N$495,(SUMPRODUCT((('CASE MASTER'!$T$2:$T$495=7)*('CASE MASTER'!$U$2:$U$495&lt;=4)*('CASE MASTER'!$W$2:$W$495&gt;=4)*('CASE MASTER'!$V$2:$V$495&lt;=7)*('CASE MASTER'!$X$2:$X$495&gt;=7))*ROW('CASE MASTER'!$T$2:$T$495))-(ROW('CASE MASTER'!#REF!)-1))),":",","),",",REPT(" ",50)),((((4-INDEX('CASE MASTER'!$U$2:$U$495,(SUMPRODUCT((('CASE MASTER'!$T$2:$T$495=7)*('CASE MASTER'!$U$2:$U$495&lt;=4)*('CASE MASTER'!$W$2:$W$495&gt;=4)*('CASE MASTER'!$V$2:$V$495&lt;=7)*('CASE MASTER'!$X$2:$X$495&gt;=7))*ROW('CASE MASTER'!$T$2:$T$495))-(ROW('CASE MASTER'!#REF!)-1))))*(INDEX('CASE MASTER'!$X$2:$X$495,(SUMPRODUCT((('CASE MASTER'!$T$2:$T$495=7)*('CASE MASTER'!$U$2:$U$495&lt;=4)*('CASE MASTER'!$W$2:$W$495&gt;=4)*('CASE MASTER'!$V$2:$V$495&lt;=7)*('CASE MASTER'!$X$2:$X$495&gt;=7))*ROW('CASE MASTER'!$T$2:$T$495))-(ROW('CASE MASTER'!#REF!)-1)))-INDEX('CASE MASTER'!$V$2:$V$495,(SUMPRODUCT((('CASE MASTER'!$T$2:$T$495=7)*('CASE MASTER'!$U$2:$U$495&lt;=4)*('CASE MASTER'!$W$2:$W$495&gt;=4)*('CASE MASTER'!$V$2:$V$495&lt;=7)*('CASE MASTER'!$X$2:$X$495&gt;=7))*ROW('CASE MASTER'!$T$2:$T$495))-(ROW('CASE MASTER'!#REF!)-1)))+1)+(7-INDEX('CASE MASTER'!$V$2:$V$495,(SUMPRODUCT((('CASE MASTER'!$T$2:$T$495=7)*('CASE MASTER'!$U$2:$U$495&lt;=4)*('CASE MASTER'!$W$2:$W$495&gt;=4)*('CASE MASTER'!$V$2:$V$495&lt;=7)*('CASE MASTER'!$X$2:$X$495&gt;=7))*ROW('CASE MASTER'!$T$2:$T$495))-(ROW('CASE MASTER'!#REF!)-1))))+1))-1)*50+1,50))&amp;"_"&amp;INDEX('CASE MASTER'!$Q$2:$Q$495,(SUMPRODUCT((('CASE MASTER'!$T$2:$T$495=7)*('CASE MASTER'!$U$2:$U$495&lt;=4)*('CASE MASTER'!$W$2:$W$495&gt;=4)*('CASE MASTER'!$V$2:$V$495&lt;=7)*('CASE MASTER'!$X$2:$X$495&gt;=7))*ROW('CASE MASTER'!$T$2:$T$495))-(ROW('CASE MASTER'!#REF!)-1))),IF(SUMPRODUCT((('CASE MASTER'!$T$2:$T$495=7)*('CASE MASTER'!$AA$2:$AA$495&lt;=4)*('CASE MASTER'!$AC$2:$AC$495&gt;=4)*('CASE MASTER'!$AB$2:$AB$495&lt;=7)*('CASE MASTER'!$AD$2:$AD$495&gt;=7))*ROW('CASE MASTER'!$T$2:$T$495))&gt;0,INDEX('CASE MASTER'!$Y$2:$Y$495,(SUMPRODUCT((('CASE MASTER'!$T$2:$T$495=7)*('CASE MASTER'!$AA$2:$AA$495&lt;=4)*('CASE MASTER'!$AC$2:$AC$495&gt;=4)*('CASE MASTER'!$AB$2:$AB$495&lt;=7)*('CASE MASTER'!$AD$2:$AD$495&gt;=7))*ROW('CASE MASTER'!$T$2:$T$495))-(ROW('CASE MASTER'!#REF!)-1)))&amp;TRIM(MID(SUBSTITUTE(SUBSTITUTE(INDEX('CASE MASTER'!$N$2:$N$495,(SUMPRODUCT((('CASE MASTER'!$T$2:$T$495=7)*('CASE MASTER'!$AA$2:$AA$495&lt;=4)*('CASE MASTER'!$AC$2:$AC$495&gt;=4)*('CASE MASTER'!$AB$2:$AB$495&lt;=7)*('CASE MASTER'!$AD$2:$AD$495&gt;=7))*ROW('CASE MASTER'!$T$2:$T$495))-(ROW('CASE MASTER'!#REF!)-1))),":",","),",",REPT(" ",50)),(((INDEX('CASE MASTER'!$Z$2:$Z$495,(SUMPRODUCT((('CASE MASTER'!$T$2:$T$495=7)*('CASE MASTER'!$AA$2:$AA$495&lt;=4)*('CASE MASTER'!$AC$2:$AC$495&gt;=4)*('CASE MASTER'!$AB$2:$AB$495&lt;=7)*('CASE MASTER'!$AD$2:$AD$495&gt;=7))*ROW('CASE MASTER'!$T$2:$T$495))-(ROW('CASE MASTER'!#REF!)-1)))+((4-INDEX('CASE MASTER'!$AA$2:$AA$495,(SUMPRODUCT((('CASE MASTER'!$T$2:$T$495=7)*('CASE MASTER'!$AA$2:$AA$495&lt;=4)*('CASE MASTER'!$AC$2:$AC$495&gt;=4)*('CASE MASTER'!$AB$2:$AB$495&lt;=7)*('CASE MASTER'!$AD$2:$AD$495&gt;=7))*ROW('CASE MASTER'!$T$2:$T$495))-(ROW('CASE MASTER'!#REF!)-1))))*(INDEX('CASE MASTER'!$AD$2:$AD$495,(SUMPRODUCT((('CASE MASTER'!$T$2:$T$495=7)*('CASE MASTER'!$AA$2:$AA$495&lt;=4)*('CASE MASTER'!$AC$2:$AC$495&gt;=4)*('CASE MASTER'!$AB$2:$AB$495&lt;=7)*('CASE MASTER'!$AD$2:$AD$495&gt;=7))*ROW('CASE MASTER'!$T$2:$T$495))-(ROW('CASE MASTER'!#REF!)-1)))-INDEX('CASE MASTER'!$AB$2:$AB$495,(SUMPRODUCT((('CASE MASTER'!$T$2:$T$495=7)*('CASE MASTER'!$AA$2:$AA$495&lt;=4)*('CASE MASTER'!$AC$2:$AC$495&gt;=4)*('CASE MASTER'!$AB$2:$AB$495&lt;=7)*('CASE MASTER'!$AD$2:$AD$495&gt;=7))*ROW('CASE MASTER'!$T$2:$T$495))-(ROW('CASE MASTER'!#REF!)-1)))+1)+(7-INDEX('CASE MASTER'!$AB$2:$AB$495,(SUMPRODUCT((('CASE MASTER'!$T$2:$T$495=7)*('CASE MASTER'!$AA$2:$AA$495&lt;=4)*('CASE MASTER'!$AC$2:$AC$495&gt;=4)*('CASE MASTER'!$AB$2:$AB$495&lt;=7)*('CASE MASTER'!$AD$2:$AD$495&gt;=7))*ROW('CASE MASTER'!$T$2:$T$495))-(ROW('CASE MASTER'!#REF!)-1))))+1)))-1)*50+1,50))&amp;"_"&amp;INDEX('CASE MASTER'!$Q$2:$Q$495,(SUMPRODUCT((('CASE MASTER'!$T$2:$T$495=7)*('CASE MASTER'!$AA$2:$AA$495&lt;=4)*('CASE MASTER'!$AC$2:$AC$495&gt;=4)*('CASE MASTER'!$AB$2:$AB$495&lt;=7)*('CASE MASTER'!$AD$2:$AD$495&gt;=7))*ROW('CASE MASTER'!$T$2:$T$495))-(ROW('CASE MASTER'!#REF!)-1))),"")),"")</f>
        <v/>
      </c>
      <c r="I90" s="10" t="str">
        <f>IFERROR(IF(SUMPRODUCT((('CASE MASTER'!$T$2:$T$495=7)*('CASE MASTER'!$U$2:$U$495&lt;=4)*('CASE MASTER'!$W$2:$W$495&gt;=4)*('CASE MASTER'!$V$2:$V$495&lt;=8)*('CASE MASTER'!$X$2:$X$495&gt;=8))*ROW('CASE MASTER'!$T$2:$T$495))&gt;0,INDEX('CASE MASTER'!$Y$2:$Y$495,(SUMPRODUCT((('CASE MASTER'!$T$2:$T$495=7)*('CASE MASTER'!$U$2:$U$495&lt;=4)*('CASE MASTER'!$W$2:$W$495&gt;=4)*('CASE MASTER'!$V$2:$V$495&lt;=8)*('CASE MASTER'!$X$2:$X$495&gt;=8))*ROW('CASE MASTER'!$T$2:$T$495))-(ROW('CASE MASTER'!#REF!)-1)))&amp;TRIM(MID(SUBSTITUTE(SUBSTITUTE(INDEX('CASE MASTER'!$N$2:$N$495,(SUMPRODUCT((('CASE MASTER'!$T$2:$T$495=7)*('CASE MASTER'!$U$2:$U$495&lt;=4)*('CASE MASTER'!$W$2:$W$495&gt;=4)*('CASE MASTER'!$V$2:$V$495&lt;=8)*('CASE MASTER'!$X$2:$X$495&gt;=8))*ROW('CASE MASTER'!$T$2:$T$495))-(ROW('CASE MASTER'!#REF!)-1))),":",","),",",REPT(" ",50)),((((4-INDEX('CASE MASTER'!$U$2:$U$495,(SUMPRODUCT((('CASE MASTER'!$T$2:$T$495=7)*('CASE MASTER'!$U$2:$U$495&lt;=4)*('CASE MASTER'!$W$2:$W$495&gt;=4)*('CASE MASTER'!$V$2:$V$495&lt;=8)*('CASE MASTER'!$X$2:$X$495&gt;=8))*ROW('CASE MASTER'!$T$2:$T$495))-(ROW('CASE MASTER'!#REF!)-1))))*(INDEX('CASE MASTER'!$X$2:$X$495,(SUMPRODUCT((('CASE MASTER'!$T$2:$T$495=7)*('CASE MASTER'!$U$2:$U$495&lt;=4)*('CASE MASTER'!$W$2:$W$495&gt;=4)*('CASE MASTER'!$V$2:$V$495&lt;=8)*('CASE MASTER'!$X$2:$X$495&gt;=8))*ROW('CASE MASTER'!$T$2:$T$495))-(ROW('CASE MASTER'!#REF!)-1)))-INDEX('CASE MASTER'!$V$2:$V$495,(SUMPRODUCT((('CASE MASTER'!$T$2:$T$495=7)*('CASE MASTER'!$U$2:$U$495&lt;=4)*('CASE MASTER'!$W$2:$W$495&gt;=4)*('CASE MASTER'!$V$2:$V$495&lt;=8)*('CASE MASTER'!$X$2:$X$495&gt;=8))*ROW('CASE MASTER'!$T$2:$T$495))-(ROW('CASE MASTER'!#REF!)-1)))+1)+(8-INDEX('CASE MASTER'!$V$2:$V$495,(SUMPRODUCT((('CASE MASTER'!$T$2:$T$495=7)*('CASE MASTER'!$U$2:$U$495&lt;=4)*('CASE MASTER'!$W$2:$W$495&gt;=4)*('CASE MASTER'!$V$2:$V$495&lt;=8)*('CASE MASTER'!$X$2:$X$495&gt;=8))*ROW('CASE MASTER'!$T$2:$T$495))-(ROW('CASE MASTER'!#REF!)-1))))+1))-1)*50+1,50))&amp;"_"&amp;INDEX('CASE MASTER'!$Q$2:$Q$495,(SUMPRODUCT((('CASE MASTER'!$T$2:$T$495=7)*('CASE MASTER'!$U$2:$U$495&lt;=4)*('CASE MASTER'!$W$2:$W$495&gt;=4)*('CASE MASTER'!$V$2:$V$495&lt;=8)*('CASE MASTER'!$X$2:$X$495&gt;=8))*ROW('CASE MASTER'!$T$2:$T$495))-(ROW('CASE MASTER'!#REF!)-1))),IF(SUMPRODUCT((('CASE MASTER'!$T$2:$T$495=7)*('CASE MASTER'!$AA$2:$AA$495&lt;=4)*('CASE MASTER'!$AC$2:$AC$495&gt;=4)*('CASE MASTER'!$AB$2:$AB$495&lt;=8)*('CASE MASTER'!$AD$2:$AD$495&gt;=8))*ROW('CASE MASTER'!$T$2:$T$495))&gt;0,INDEX('CASE MASTER'!$Y$2:$Y$495,(SUMPRODUCT((('CASE MASTER'!$T$2:$T$495=7)*('CASE MASTER'!$AA$2:$AA$495&lt;=4)*('CASE MASTER'!$AC$2:$AC$495&gt;=4)*('CASE MASTER'!$AB$2:$AB$495&lt;=8)*('CASE MASTER'!$AD$2:$AD$495&gt;=8))*ROW('CASE MASTER'!$T$2:$T$495))-(ROW('CASE MASTER'!#REF!)-1)))&amp;TRIM(MID(SUBSTITUTE(SUBSTITUTE(INDEX('CASE MASTER'!$N$2:$N$495,(SUMPRODUCT((('CASE MASTER'!$T$2:$T$495=7)*('CASE MASTER'!$AA$2:$AA$495&lt;=4)*('CASE MASTER'!$AC$2:$AC$495&gt;=4)*('CASE MASTER'!$AB$2:$AB$495&lt;=8)*('CASE MASTER'!$AD$2:$AD$495&gt;=8))*ROW('CASE MASTER'!$T$2:$T$495))-(ROW('CASE MASTER'!#REF!)-1))),":",","),",",REPT(" ",50)),(((INDEX('CASE MASTER'!$Z$2:$Z$495,(SUMPRODUCT((('CASE MASTER'!$T$2:$T$495=7)*('CASE MASTER'!$AA$2:$AA$495&lt;=4)*('CASE MASTER'!$AC$2:$AC$495&gt;=4)*('CASE MASTER'!$AB$2:$AB$495&lt;=8)*('CASE MASTER'!$AD$2:$AD$495&gt;=8))*ROW('CASE MASTER'!$T$2:$T$495))-(ROW('CASE MASTER'!#REF!)-1)))+((4-INDEX('CASE MASTER'!$AA$2:$AA$495,(SUMPRODUCT((('CASE MASTER'!$T$2:$T$495=7)*('CASE MASTER'!$AA$2:$AA$495&lt;=4)*('CASE MASTER'!$AC$2:$AC$495&gt;=4)*('CASE MASTER'!$AB$2:$AB$495&lt;=8)*('CASE MASTER'!$AD$2:$AD$495&gt;=8))*ROW('CASE MASTER'!$T$2:$T$495))-(ROW('CASE MASTER'!#REF!)-1))))*(INDEX('CASE MASTER'!$AD$2:$AD$495,(SUMPRODUCT((('CASE MASTER'!$T$2:$T$495=7)*('CASE MASTER'!$AA$2:$AA$495&lt;=4)*('CASE MASTER'!$AC$2:$AC$495&gt;=4)*('CASE MASTER'!$AB$2:$AB$495&lt;=8)*('CASE MASTER'!$AD$2:$AD$495&gt;=8))*ROW('CASE MASTER'!$T$2:$T$495))-(ROW('CASE MASTER'!#REF!)-1)))-INDEX('CASE MASTER'!$AB$2:$AB$495,(SUMPRODUCT((('CASE MASTER'!$T$2:$T$495=7)*('CASE MASTER'!$AA$2:$AA$495&lt;=4)*('CASE MASTER'!$AC$2:$AC$495&gt;=4)*('CASE MASTER'!$AB$2:$AB$495&lt;=8)*('CASE MASTER'!$AD$2:$AD$495&gt;=8))*ROW('CASE MASTER'!$T$2:$T$495))-(ROW('CASE MASTER'!#REF!)-1)))+1)+(8-INDEX('CASE MASTER'!$AB$2:$AB$495,(SUMPRODUCT((('CASE MASTER'!$T$2:$T$495=7)*('CASE MASTER'!$AA$2:$AA$495&lt;=4)*('CASE MASTER'!$AC$2:$AC$495&gt;=4)*('CASE MASTER'!$AB$2:$AB$495&lt;=8)*('CASE MASTER'!$AD$2:$AD$495&gt;=8))*ROW('CASE MASTER'!$T$2:$T$495))-(ROW('CASE MASTER'!#REF!)-1))))+1)))-1)*50+1,50))&amp;"_"&amp;INDEX('CASE MASTER'!$Q$2:$Q$495,(SUMPRODUCT((('CASE MASTER'!$T$2:$T$495=7)*('CASE MASTER'!$AA$2:$AA$495&lt;=4)*('CASE MASTER'!$AC$2:$AC$495&gt;=4)*('CASE MASTER'!$AB$2:$AB$495&lt;=8)*('CASE MASTER'!$AD$2:$AD$495&gt;=8))*ROW('CASE MASTER'!$T$2:$T$495))-(ROW('CASE MASTER'!#REF!)-1))),"")),"")</f>
        <v/>
      </c>
      <c r="J90" s="10" t="str">
        <f>IFERROR(IF(SUMPRODUCT((('CASE MASTER'!$T$2:$T$495=7)*('CASE MASTER'!$U$2:$U$495&lt;=4)*('CASE MASTER'!$W$2:$W$495&gt;=4)*('CASE MASTER'!$V$2:$V$495&lt;=9)*('CASE MASTER'!$X$2:$X$495&gt;=9))*ROW('CASE MASTER'!$T$2:$T$495))&gt;0,INDEX('CASE MASTER'!$Y$2:$Y$495,(SUMPRODUCT((('CASE MASTER'!$T$2:$T$495=7)*('CASE MASTER'!$U$2:$U$495&lt;=4)*('CASE MASTER'!$W$2:$W$495&gt;=4)*('CASE MASTER'!$V$2:$V$495&lt;=9)*('CASE MASTER'!$X$2:$X$495&gt;=9))*ROW('CASE MASTER'!$T$2:$T$495))-(ROW('CASE MASTER'!#REF!)-1)))&amp;TRIM(MID(SUBSTITUTE(SUBSTITUTE(INDEX('CASE MASTER'!$N$2:$N$495,(SUMPRODUCT((('CASE MASTER'!$T$2:$T$495=7)*('CASE MASTER'!$U$2:$U$495&lt;=4)*('CASE MASTER'!$W$2:$W$495&gt;=4)*('CASE MASTER'!$V$2:$V$495&lt;=9)*('CASE MASTER'!$X$2:$X$495&gt;=9))*ROW('CASE MASTER'!$T$2:$T$495))-(ROW('CASE MASTER'!#REF!)-1))),":",","),",",REPT(" ",50)),((((4-INDEX('CASE MASTER'!$U$2:$U$495,(SUMPRODUCT((('CASE MASTER'!$T$2:$T$495=7)*('CASE MASTER'!$U$2:$U$495&lt;=4)*('CASE MASTER'!$W$2:$W$495&gt;=4)*('CASE MASTER'!$V$2:$V$495&lt;=9)*('CASE MASTER'!$X$2:$X$495&gt;=9))*ROW('CASE MASTER'!$T$2:$T$495))-(ROW('CASE MASTER'!#REF!)-1))))*(INDEX('CASE MASTER'!$X$2:$X$495,(SUMPRODUCT((('CASE MASTER'!$T$2:$T$495=7)*('CASE MASTER'!$U$2:$U$495&lt;=4)*('CASE MASTER'!$W$2:$W$495&gt;=4)*('CASE MASTER'!$V$2:$V$495&lt;=9)*('CASE MASTER'!$X$2:$X$495&gt;=9))*ROW('CASE MASTER'!$T$2:$T$495))-(ROW('CASE MASTER'!#REF!)-1)))-INDEX('CASE MASTER'!$V$2:$V$495,(SUMPRODUCT((('CASE MASTER'!$T$2:$T$495=7)*('CASE MASTER'!$U$2:$U$495&lt;=4)*('CASE MASTER'!$W$2:$W$495&gt;=4)*('CASE MASTER'!$V$2:$V$495&lt;=9)*('CASE MASTER'!$X$2:$X$495&gt;=9))*ROW('CASE MASTER'!$T$2:$T$495))-(ROW('CASE MASTER'!#REF!)-1)))+1)+(9-INDEX('CASE MASTER'!$V$2:$V$495,(SUMPRODUCT((('CASE MASTER'!$T$2:$T$495=7)*('CASE MASTER'!$U$2:$U$495&lt;=4)*('CASE MASTER'!$W$2:$W$495&gt;=4)*('CASE MASTER'!$V$2:$V$495&lt;=9)*('CASE MASTER'!$X$2:$X$495&gt;=9))*ROW('CASE MASTER'!$T$2:$T$495))-(ROW('CASE MASTER'!#REF!)-1))))+1))-1)*50+1,50))&amp;"_"&amp;INDEX('CASE MASTER'!$Q$2:$Q$495,(SUMPRODUCT((('CASE MASTER'!$T$2:$T$495=7)*('CASE MASTER'!$U$2:$U$495&lt;=4)*('CASE MASTER'!$W$2:$W$495&gt;=4)*('CASE MASTER'!$V$2:$V$495&lt;=9)*('CASE MASTER'!$X$2:$X$495&gt;=9))*ROW('CASE MASTER'!$T$2:$T$495))-(ROW('CASE MASTER'!#REF!)-1))),IF(SUMPRODUCT((('CASE MASTER'!$T$2:$T$495=7)*('CASE MASTER'!$AA$2:$AA$495&lt;=4)*('CASE MASTER'!$AC$2:$AC$495&gt;=4)*('CASE MASTER'!$AB$2:$AB$495&lt;=9)*('CASE MASTER'!$AD$2:$AD$495&gt;=9))*ROW('CASE MASTER'!$T$2:$T$495))&gt;0,INDEX('CASE MASTER'!$Y$2:$Y$495,(SUMPRODUCT((('CASE MASTER'!$T$2:$T$495=7)*('CASE MASTER'!$AA$2:$AA$495&lt;=4)*('CASE MASTER'!$AC$2:$AC$495&gt;=4)*('CASE MASTER'!$AB$2:$AB$495&lt;=9)*('CASE MASTER'!$AD$2:$AD$495&gt;=9))*ROW('CASE MASTER'!$T$2:$T$495))-(ROW('CASE MASTER'!#REF!)-1)))&amp;TRIM(MID(SUBSTITUTE(SUBSTITUTE(INDEX('CASE MASTER'!$N$2:$N$495,(SUMPRODUCT((('CASE MASTER'!$T$2:$T$495=7)*('CASE MASTER'!$AA$2:$AA$495&lt;=4)*('CASE MASTER'!$AC$2:$AC$495&gt;=4)*('CASE MASTER'!$AB$2:$AB$495&lt;=9)*('CASE MASTER'!$AD$2:$AD$495&gt;=9))*ROW('CASE MASTER'!$T$2:$T$495))-(ROW('CASE MASTER'!#REF!)-1))),":",","),",",REPT(" ",50)),(((INDEX('CASE MASTER'!$Z$2:$Z$495,(SUMPRODUCT((('CASE MASTER'!$T$2:$T$495=7)*('CASE MASTER'!$AA$2:$AA$495&lt;=4)*('CASE MASTER'!$AC$2:$AC$495&gt;=4)*('CASE MASTER'!$AB$2:$AB$495&lt;=9)*('CASE MASTER'!$AD$2:$AD$495&gt;=9))*ROW('CASE MASTER'!$T$2:$T$495))-(ROW('CASE MASTER'!#REF!)-1)))+((4-INDEX('CASE MASTER'!$AA$2:$AA$495,(SUMPRODUCT((('CASE MASTER'!$T$2:$T$495=7)*('CASE MASTER'!$AA$2:$AA$495&lt;=4)*('CASE MASTER'!$AC$2:$AC$495&gt;=4)*('CASE MASTER'!$AB$2:$AB$495&lt;=9)*('CASE MASTER'!$AD$2:$AD$495&gt;=9))*ROW('CASE MASTER'!$T$2:$T$495))-(ROW('CASE MASTER'!#REF!)-1))))*(INDEX('CASE MASTER'!$AD$2:$AD$495,(SUMPRODUCT((('CASE MASTER'!$T$2:$T$495=7)*('CASE MASTER'!$AA$2:$AA$495&lt;=4)*('CASE MASTER'!$AC$2:$AC$495&gt;=4)*('CASE MASTER'!$AB$2:$AB$495&lt;=9)*('CASE MASTER'!$AD$2:$AD$495&gt;=9))*ROW('CASE MASTER'!$T$2:$T$495))-(ROW('CASE MASTER'!#REF!)-1)))-INDEX('CASE MASTER'!$AB$2:$AB$495,(SUMPRODUCT((('CASE MASTER'!$T$2:$T$495=7)*('CASE MASTER'!$AA$2:$AA$495&lt;=4)*('CASE MASTER'!$AC$2:$AC$495&gt;=4)*('CASE MASTER'!$AB$2:$AB$495&lt;=9)*('CASE MASTER'!$AD$2:$AD$495&gt;=9))*ROW('CASE MASTER'!$T$2:$T$495))-(ROW('CASE MASTER'!#REF!)-1)))+1)+(9-INDEX('CASE MASTER'!$AB$2:$AB$495,(SUMPRODUCT((('CASE MASTER'!$T$2:$T$495=7)*('CASE MASTER'!$AA$2:$AA$495&lt;=4)*('CASE MASTER'!$AC$2:$AC$495&gt;=4)*('CASE MASTER'!$AB$2:$AB$495&lt;=9)*('CASE MASTER'!$AD$2:$AD$495&gt;=9))*ROW('CASE MASTER'!$T$2:$T$495))-(ROW('CASE MASTER'!#REF!)-1))))+1)))-1)*50+1,50))&amp;"_"&amp;INDEX('CASE MASTER'!$Q$2:$Q$495,(SUMPRODUCT((('CASE MASTER'!$T$2:$T$495=7)*('CASE MASTER'!$AA$2:$AA$495&lt;=4)*('CASE MASTER'!$AC$2:$AC$495&gt;=4)*('CASE MASTER'!$AB$2:$AB$495&lt;=9)*('CASE MASTER'!$AD$2:$AD$495&gt;=9))*ROW('CASE MASTER'!$T$2:$T$495))-(ROW('CASE MASTER'!#REF!)-1))),"")),"")</f>
        <v/>
      </c>
      <c r="K90" s="10" t="str">
        <f>IFERROR(IF(SUMPRODUCT((('CASE MASTER'!$T$2:$T$495=7)*('CASE MASTER'!$U$2:$U$495&lt;=4)*('CASE MASTER'!$W$2:$W$495&gt;=4)*('CASE MASTER'!$V$2:$V$495&lt;=10)*('CASE MASTER'!$X$2:$X$495&gt;=10))*ROW('CASE MASTER'!$T$2:$T$495))&gt;0,INDEX('CASE MASTER'!$Y$2:$Y$495,(SUMPRODUCT((('CASE MASTER'!$T$2:$T$495=7)*('CASE MASTER'!$U$2:$U$495&lt;=4)*('CASE MASTER'!$W$2:$W$495&gt;=4)*('CASE MASTER'!$V$2:$V$495&lt;=10)*('CASE MASTER'!$X$2:$X$495&gt;=10))*ROW('CASE MASTER'!$T$2:$T$495))-(ROW('CASE MASTER'!#REF!)-1)))&amp;TRIM(MID(SUBSTITUTE(SUBSTITUTE(INDEX('CASE MASTER'!$N$2:$N$495,(SUMPRODUCT((('CASE MASTER'!$T$2:$T$495=7)*('CASE MASTER'!$U$2:$U$495&lt;=4)*('CASE MASTER'!$W$2:$W$495&gt;=4)*('CASE MASTER'!$V$2:$V$495&lt;=10)*('CASE MASTER'!$X$2:$X$495&gt;=10))*ROW('CASE MASTER'!$T$2:$T$495))-(ROW('CASE MASTER'!#REF!)-1))),":",","),",",REPT(" ",50)),((((4-INDEX('CASE MASTER'!$U$2:$U$495,(SUMPRODUCT((('CASE MASTER'!$T$2:$T$495=7)*('CASE MASTER'!$U$2:$U$495&lt;=4)*('CASE MASTER'!$W$2:$W$495&gt;=4)*('CASE MASTER'!$V$2:$V$495&lt;=10)*('CASE MASTER'!$X$2:$X$495&gt;=10))*ROW('CASE MASTER'!$T$2:$T$495))-(ROW('CASE MASTER'!#REF!)-1))))*(INDEX('CASE MASTER'!$X$2:$X$495,(SUMPRODUCT((('CASE MASTER'!$T$2:$T$495=7)*('CASE MASTER'!$U$2:$U$495&lt;=4)*('CASE MASTER'!$W$2:$W$495&gt;=4)*('CASE MASTER'!$V$2:$V$495&lt;=10)*('CASE MASTER'!$X$2:$X$495&gt;=10))*ROW('CASE MASTER'!$T$2:$T$495))-(ROW('CASE MASTER'!#REF!)-1)))-INDEX('CASE MASTER'!$V$2:$V$495,(SUMPRODUCT((('CASE MASTER'!$T$2:$T$495=7)*('CASE MASTER'!$U$2:$U$495&lt;=4)*('CASE MASTER'!$W$2:$W$495&gt;=4)*('CASE MASTER'!$V$2:$V$495&lt;=10)*('CASE MASTER'!$X$2:$X$495&gt;=10))*ROW('CASE MASTER'!$T$2:$T$495))-(ROW('CASE MASTER'!#REF!)-1)))+1)+(10-INDEX('CASE MASTER'!$V$2:$V$495,(SUMPRODUCT((('CASE MASTER'!$T$2:$T$495=7)*('CASE MASTER'!$U$2:$U$495&lt;=4)*('CASE MASTER'!$W$2:$W$495&gt;=4)*('CASE MASTER'!$V$2:$V$495&lt;=10)*('CASE MASTER'!$X$2:$X$495&gt;=10))*ROW('CASE MASTER'!$T$2:$T$495))-(ROW('CASE MASTER'!#REF!)-1))))+1))-1)*50+1,50))&amp;"_"&amp;INDEX('CASE MASTER'!$Q$2:$Q$495,(SUMPRODUCT((('CASE MASTER'!$T$2:$T$495=7)*('CASE MASTER'!$U$2:$U$495&lt;=4)*('CASE MASTER'!$W$2:$W$495&gt;=4)*('CASE MASTER'!$V$2:$V$495&lt;=10)*('CASE MASTER'!$X$2:$X$495&gt;=10))*ROW('CASE MASTER'!$T$2:$T$495))-(ROW('CASE MASTER'!#REF!)-1))),IF(SUMPRODUCT((('CASE MASTER'!$T$2:$T$495=7)*('CASE MASTER'!$AA$2:$AA$495&lt;=4)*('CASE MASTER'!$AC$2:$AC$495&gt;=4)*('CASE MASTER'!$AB$2:$AB$495&lt;=10)*('CASE MASTER'!$AD$2:$AD$495&gt;=10))*ROW('CASE MASTER'!$T$2:$T$495))&gt;0,INDEX('CASE MASTER'!$Y$2:$Y$495,(SUMPRODUCT((('CASE MASTER'!$T$2:$T$495=7)*('CASE MASTER'!$AA$2:$AA$495&lt;=4)*('CASE MASTER'!$AC$2:$AC$495&gt;=4)*('CASE MASTER'!$AB$2:$AB$495&lt;=10)*('CASE MASTER'!$AD$2:$AD$495&gt;=10))*ROW('CASE MASTER'!$T$2:$T$495))-(ROW('CASE MASTER'!#REF!)-1)))&amp;TRIM(MID(SUBSTITUTE(SUBSTITUTE(INDEX('CASE MASTER'!$N$2:$N$495,(SUMPRODUCT((('CASE MASTER'!$T$2:$T$495=7)*('CASE MASTER'!$AA$2:$AA$495&lt;=4)*('CASE MASTER'!$AC$2:$AC$495&gt;=4)*('CASE MASTER'!$AB$2:$AB$495&lt;=10)*('CASE MASTER'!$AD$2:$AD$495&gt;=10))*ROW('CASE MASTER'!$T$2:$T$495))-(ROW('CASE MASTER'!#REF!)-1))),":",","),",",REPT(" ",50)),(((INDEX('CASE MASTER'!$Z$2:$Z$495,(SUMPRODUCT((('CASE MASTER'!$T$2:$T$495=7)*('CASE MASTER'!$AA$2:$AA$495&lt;=4)*('CASE MASTER'!$AC$2:$AC$495&gt;=4)*('CASE MASTER'!$AB$2:$AB$495&lt;=10)*('CASE MASTER'!$AD$2:$AD$495&gt;=10))*ROW('CASE MASTER'!$T$2:$T$495))-(ROW('CASE MASTER'!#REF!)-1)))+((4-INDEX('CASE MASTER'!$AA$2:$AA$495,(SUMPRODUCT((('CASE MASTER'!$T$2:$T$495=7)*('CASE MASTER'!$AA$2:$AA$495&lt;=4)*('CASE MASTER'!$AC$2:$AC$495&gt;=4)*('CASE MASTER'!$AB$2:$AB$495&lt;=10)*('CASE MASTER'!$AD$2:$AD$495&gt;=10))*ROW('CASE MASTER'!$T$2:$T$495))-(ROW('CASE MASTER'!#REF!)-1))))*(INDEX('CASE MASTER'!$AD$2:$AD$495,(SUMPRODUCT((('CASE MASTER'!$T$2:$T$495=7)*('CASE MASTER'!$AA$2:$AA$495&lt;=4)*('CASE MASTER'!$AC$2:$AC$495&gt;=4)*('CASE MASTER'!$AB$2:$AB$495&lt;=10)*('CASE MASTER'!$AD$2:$AD$495&gt;=10))*ROW('CASE MASTER'!$T$2:$T$495))-(ROW('CASE MASTER'!#REF!)-1)))-INDEX('CASE MASTER'!$AB$2:$AB$495,(SUMPRODUCT((('CASE MASTER'!$T$2:$T$495=7)*('CASE MASTER'!$AA$2:$AA$495&lt;=4)*('CASE MASTER'!$AC$2:$AC$495&gt;=4)*('CASE MASTER'!$AB$2:$AB$495&lt;=10)*('CASE MASTER'!$AD$2:$AD$495&gt;=10))*ROW('CASE MASTER'!$T$2:$T$495))-(ROW('CASE MASTER'!#REF!)-1)))+1)+(10-INDEX('CASE MASTER'!$AB$2:$AB$495,(SUMPRODUCT((('CASE MASTER'!$T$2:$T$495=7)*('CASE MASTER'!$AA$2:$AA$495&lt;=4)*('CASE MASTER'!$AC$2:$AC$495&gt;=4)*('CASE MASTER'!$AB$2:$AB$495&lt;=10)*('CASE MASTER'!$AD$2:$AD$495&gt;=10))*ROW('CASE MASTER'!$T$2:$T$495))-(ROW('CASE MASTER'!#REF!)-1))))+1)))-1)*50+1,50))&amp;"_"&amp;INDEX('CASE MASTER'!$Q$2:$Q$495,(SUMPRODUCT((('CASE MASTER'!$T$2:$T$495=7)*('CASE MASTER'!$AA$2:$AA$495&lt;=4)*('CASE MASTER'!$AC$2:$AC$495&gt;=4)*('CASE MASTER'!$AB$2:$AB$495&lt;=10)*('CASE MASTER'!$AD$2:$AD$495&gt;=10))*ROW('CASE MASTER'!$T$2:$T$495))-(ROW('CASE MASTER'!#REF!)-1))),"")),"")</f>
        <v/>
      </c>
    </row>
    <row r="91" spans="1:11" ht="15" customHeight="1" x14ac:dyDescent="0.35">
      <c r="A91" s="8" t="s">
        <v>32</v>
      </c>
      <c r="B91" s="10" t="str">
        <f>IFERROR(IF(SUMPRODUCT((('CASE MASTER'!$T$2:$T$495=7)*('CASE MASTER'!$U$2:$U$495&lt;=5)*('CASE MASTER'!$W$2:$W$495&gt;=5)*('CASE MASTER'!$V$2:$V$495&lt;=1)*('CASE MASTER'!$X$2:$X$495&gt;=1))*ROW('CASE MASTER'!$T$2:$T$495))&gt;0,INDEX('CASE MASTER'!$Y$2:$Y$495,(SUMPRODUCT((('CASE MASTER'!$T$2:$T$495=7)*('CASE MASTER'!$U$2:$U$495&lt;=5)*('CASE MASTER'!$W$2:$W$495&gt;=5)*('CASE MASTER'!$V$2:$V$495&lt;=1)*('CASE MASTER'!$X$2:$X$495&gt;=1))*ROW('CASE MASTER'!$T$2:$T$495))-(ROW('CASE MASTER'!#REF!)-1)))&amp;TRIM(MID(SUBSTITUTE(SUBSTITUTE(INDEX('CASE MASTER'!$N$2:$N$495,(SUMPRODUCT((('CASE MASTER'!$T$2:$T$495=7)*('CASE MASTER'!$U$2:$U$495&lt;=5)*('CASE MASTER'!$W$2:$W$495&gt;=5)*('CASE MASTER'!$V$2:$V$495&lt;=1)*('CASE MASTER'!$X$2:$X$495&gt;=1))*ROW('CASE MASTER'!$T$2:$T$495))-(ROW('CASE MASTER'!#REF!)-1))),":",","),",",REPT(" ",50)),((((5-INDEX('CASE MASTER'!$U$2:$U$495,(SUMPRODUCT((('CASE MASTER'!$T$2:$T$495=7)*('CASE MASTER'!$U$2:$U$495&lt;=5)*('CASE MASTER'!$W$2:$W$495&gt;=5)*('CASE MASTER'!$V$2:$V$495&lt;=1)*('CASE MASTER'!$X$2:$X$495&gt;=1))*ROW('CASE MASTER'!$T$2:$T$495))-(ROW('CASE MASTER'!#REF!)-1))))*(INDEX('CASE MASTER'!$X$2:$X$495,(SUMPRODUCT((('CASE MASTER'!$T$2:$T$495=7)*('CASE MASTER'!$U$2:$U$495&lt;=5)*('CASE MASTER'!$W$2:$W$495&gt;=5)*('CASE MASTER'!$V$2:$V$495&lt;=1)*('CASE MASTER'!$X$2:$X$495&gt;=1))*ROW('CASE MASTER'!$T$2:$T$495))-(ROW('CASE MASTER'!#REF!)-1)))-INDEX('CASE MASTER'!$V$2:$V$495,(SUMPRODUCT((('CASE MASTER'!$T$2:$T$495=7)*('CASE MASTER'!$U$2:$U$495&lt;=5)*('CASE MASTER'!$W$2:$W$495&gt;=5)*('CASE MASTER'!$V$2:$V$495&lt;=1)*('CASE MASTER'!$X$2:$X$495&gt;=1))*ROW('CASE MASTER'!$T$2:$T$495))-(ROW('CASE MASTER'!#REF!)-1)))+1)+(1-INDEX('CASE MASTER'!$V$2:$V$495,(SUMPRODUCT((('CASE MASTER'!$T$2:$T$495=7)*('CASE MASTER'!$U$2:$U$495&lt;=5)*('CASE MASTER'!$W$2:$W$495&gt;=5)*('CASE MASTER'!$V$2:$V$495&lt;=1)*('CASE MASTER'!$X$2:$X$495&gt;=1))*ROW('CASE MASTER'!$T$2:$T$495))-(ROW('CASE MASTER'!#REF!)-1))))+1))-1)*50+1,50))&amp;"_"&amp;INDEX('CASE MASTER'!$Q$2:$Q$495,(SUMPRODUCT((('CASE MASTER'!$T$2:$T$495=7)*('CASE MASTER'!$U$2:$U$495&lt;=5)*('CASE MASTER'!$W$2:$W$495&gt;=5)*('CASE MASTER'!$V$2:$V$495&lt;=1)*('CASE MASTER'!$X$2:$X$495&gt;=1))*ROW('CASE MASTER'!$T$2:$T$495))-(ROW('CASE MASTER'!#REF!)-1))),IF(SUMPRODUCT((('CASE MASTER'!$T$2:$T$495=7)*('CASE MASTER'!$AA$2:$AA$495&lt;=5)*('CASE MASTER'!$AC$2:$AC$495&gt;=5)*('CASE MASTER'!$AB$2:$AB$495&lt;=1)*('CASE MASTER'!$AD$2:$AD$495&gt;=1))*ROW('CASE MASTER'!$T$2:$T$495))&gt;0,INDEX('CASE MASTER'!$Y$2:$Y$495,(SUMPRODUCT((('CASE MASTER'!$T$2:$T$495=7)*('CASE MASTER'!$AA$2:$AA$495&lt;=5)*('CASE MASTER'!$AC$2:$AC$495&gt;=5)*('CASE MASTER'!$AB$2:$AB$495&lt;=1)*('CASE MASTER'!$AD$2:$AD$495&gt;=1))*ROW('CASE MASTER'!$T$2:$T$495))-(ROW('CASE MASTER'!#REF!)-1)))&amp;TRIM(MID(SUBSTITUTE(SUBSTITUTE(INDEX('CASE MASTER'!$N$2:$N$495,(SUMPRODUCT((('CASE MASTER'!$T$2:$T$495=7)*('CASE MASTER'!$AA$2:$AA$495&lt;=5)*('CASE MASTER'!$AC$2:$AC$495&gt;=5)*('CASE MASTER'!$AB$2:$AB$495&lt;=1)*('CASE MASTER'!$AD$2:$AD$495&gt;=1))*ROW('CASE MASTER'!$T$2:$T$495))-(ROW('CASE MASTER'!#REF!)-1))),":",","),",",REPT(" ",50)),(((INDEX('CASE MASTER'!$Z$2:$Z$495,(SUMPRODUCT((('CASE MASTER'!$T$2:$T$495=7)*('CASE MASTER'!$AA$2:$AA$495&lt;=5)*('CASE MASTER'!$AC$2:$AC$495&gt;=5)*('CASE MASTER'!$AB$2:$AB$495&lt;=1)*('CASE MASTER'!$AD$2:$AD$495&gt;=1))*ROW('CASE MASTER'!$T$2:$T$495))-(ROW('CASE MASTER'!#REF!)-1)))+((5-INDEX('CASE MASTER'!$AA$2:$AA$495,(SUMPRODUCT((('CASE MASTER'!$T$2:$T$495=7)*('CASE MASTER'!$AA$2:$AA$495&lt;=5)*('CASE MASTER'!$AC$2:$AC$495&gt;=5)*('CASE MASTER'!$AB$2:$AB$495&lt;=1)*('CASE MASTER'!$AD$2:$AD$495&gt;=1))*ROW('CASE MASTER'!$T$2:$T$495))-(ROW('CASE MASTER'!#REF!)-1))))*(INDEX('CASE MASTER'!$AD$2:$AD$495,(SUMPRODUCT((('CASE MASTER'!$T$2:$T$495=7)*('CASE MASTER'!$AA$2:$AA$495&lt;=5)*('CASE MASTER'!$AC$2:$AC$495&gt;=5)*('CASE MASTER'!$AB$2:$AB$495&lt;=1)*('CASE MASTER'!$AD$2:$AD$495&gt;=1))*ROW('CASE MASTER'!$T$2:$T$495))-(ROW('CASE MASTER'!#REF!)-1)))-INDEX('CASE MASTER'!$AB$2:$AB$495,(SUMPRODUCT((('CASE MASTER'!$T$2:$T$495=7)*('CASE MASTER'!$AA$2:$AA$495&lt;=5)*('CASE MASTER'!$AC$2:$AC$495&gt;=5)*('CASE MASTER'!$AB$2:$AB$495&lt;=1)*('CASE MASTER'!$AD$2:$AD$495&gt;=1))*ROW('CASE MASTER'!$T$2:$T$495))-(ROW('CASE MASTER'!#REF!)-1)))+1)+(1-INDEX('CASE MASTER'!$AB$2:$AB$495,(SUMPRODUCT((('CASE MASTER'!$T$2:$T$495=7)*('CASE MASTER'!$AA$2:$AA$495&lt;=5)*('CASE MASTER'!$AC$2:$AC$495&gt;=5)*('CASE MASTER'!$AB$2:$AB$495&lt;=1)*('CASE MASTER'!$AD$2:$AD$495&gt;=1))*ROW('CASE MASTER'!$T$2:$T$495))-(ROW('CASE MASTER'!#REF!)-1))))+1)))-1)*50+1,50))&amp;"_"&amp;INDEX('CASE MASTER'!$Q$2:$Q$495,(SUMPRODUCT((('CASE MASTER'!$T$2:$T$495=7)*('CASE MASTER'!$AA$2:$AA$495&lt;=5)*('CASE MASTER'!$AC$2:$AC$495&gt;=5)*('CASE MASTER'!$AB$2:$AB$495&lt;=1)*('CASE MASTER'!$AD$2:$AD$495&gt;=1))*ROW('CASE MASTER'!$T$2:$T$495))-(ROW('CASE MASTER'!#REF!)-1))),"")),"")</f>
        <v/>
      </c>
      <c r="C91" s="10" t="str">
        <f>IFERROR(IF(SUMPRODUCT((('CASE MASTER'!$T$2:$T$495=7)*('CASE MASTER'!$U$2:$U$495&lt;=5)*('CASE MASTER'!$W$2:$W$495&gt;=5)*('CASE MASTER'!$V$2:$V$495&lt;=2)*('CASE MASTER'!$X$2:$X$495&gt;=2))*ROW('CASE MASTER'!$T$2:$T$495))&gt;0,INDEX('CASE MASTER'!$Y$2:$Y$495,(SUMPRODUCT((('CASE MASTER'!$T$2:$T$495=7)*('CASE MASTER'!$U$2:$U$495&lt;=5)*('CASE MASTER'!$W$2:$W$495&gt;=5)*('CASE MASTER'!$V$2:$V$495&lt;=2)*('CASE MASTER'!$X$2:$X$495&gt;=2))*ROW('CASE MASTER'!$T$2:$T$495))-(ROW('CASE MASTER'!#REF!)-1)))&amp;TRIM(MID(SUBSTITUTE(SUBSTITUTE(INDEX('CASE MASTER'!$N$2:$N$495,(SUMPRODUCT((('CASE MASTER'!$T$2:$T$495=7)*('CASE MASTER'!$U$2:$U$495&lt;=5)*('CASE MASTER'!$W$2:$W$495&gt;=5)*('CASE MASTER'!$V$2:$V$495&lt;=2)*('CASE MASTER'!$X$2:$X$495&gt;=2))*ROW('CASE MASTER'!$T$2:$T$495))-(ROW('CASE MASTER'!#REF!)-1))),":",","),",",REPT(" ",50)),((((5-INDEX('CASE MASTER'!$U$2:$U$495,(SUMPRODUCT((('CASE MASTER'!$T$2:$T$495=7)*('CASE MASTER'!$U$2:$U$495&lt;=5)*('CASE MASTER'!$W$2:$W$495&gt;=5)*('CASE MASTER'!$V$2:$V$495&lt;=2)*('CASE MASTER'!$X$2:$X$495&gt;=2))*ROW('CASE MASTER'!$T$2:$T$495))-(ROW('CASE MASTER'!#REF!)-1))))*(INDEX('CASE MASTER'!$X$2:$X$495,(SUMPRODUCT((('CASE MASTER'!$T$2:$T$495=7)*('CASE MASTER'!$U$2:$U$495&lt;=5)*('CASE MASTER'!$W$2:$W$495&gt;=5)*('CASE MASTER'!$V$2:$V$495&lt;=2)*('CASE MASTER'!$X$2:$X$495&gt;=2))*ROW('CASE MASTER'!$T$2:$T$495))-(ROW('CASE MASTER'!#REF!)-1)))-INDEX('CASE MASTER'!$V$2:$V$495,(SUMPRODUCT((('CASE MASTER'!$T$2:$T$495=7)*('CASE MASTER'!$U$2:$U$495&lt;=5)*('CASE MASTER'!$W$2:$W$495&gt;=5)*('CASE MASTER'!$V$2:$V$495&lt;=2)*('CASE MASTER'!$X$2:$X$495&gt;=2))*ROW('CASE MASTER'!$T$2:$T$495))-(ROW('CASE MASTER'!#REF!)-1)))+1)+(2-INDEX('CASE MASTER'!$V$2:$V$495,(SUMPRODUCT((('CASE MASTER'!$T$2:$T$495=7)*('CASE MASTER'!$U$2:$U$495&lt;=5)*('CASE MASTER'!$W$2:$W$495&gt;=5)*('CASE MASTER'!$V$2:$V$495&lt;=2)*('CASE MASTER'!$X$2:$X$495&gt;=2))*ROW('CASE MASTER'!$T$2:$T$495))-(ROW('CASE MASTER'!#REF!)-1))))+1))-1)*50+1,50))&amp;"_"&amp;INDEX('CASE MASTER'!$Q$2:$Q$495,(SUMPRODUCT((('CASE MASTER'!$T$2:$T$495=7)*('CASE MASTER'!$U$2:$U$495&lt;=5)*('CASE MASTER'!$W$2:$W$495&gt;=5)*('CASE MASTER'!$V$2:$V$495&lt;=2)*('CASE MASTER'!$X$2:$X$495&gt;=2))*ROW('CASE MASTER'!$T$2:$T$495))-(ROW('CASE MASTER'!#REF!)-1))),IF(SUMPRODUCT((('CASE MASTER'!$T$2:$T$495=7)*('CASE MASTER'!$AA$2:$AA$495&lt;=5)*('CASE MASTER'!$AC$2:$AC$495&gt;=5)*('CASE MASTER'!$AB$2:$AB$495&lt;=2)*('CASE MASTER'!$AD$2:$AD$495&gt;=2))*ROW('CASE MASTER'!$T$2:$T$495))&gt;0,INDEX('CASE MASTER'!$Y$2:$Y$495,(SUMPRODUCT((('CASE MASTER'!$T$2:$T$495=7)*('CASE MASTER'!$AA$2:$AA$495&lt;=5)*('CASE MASTER'!$AC$2:$AC$495&gt;=5)*('CASE MASTER'!$AB$2:$AB$495&lt;=2)*('CASE MASTER'!$AD$2:$AD$495&gt;=2))*ROW('CASE MASTER'!$T$2:$T$495))-(ROW('CASE MASTER'!#REF!)-1)))&amp;TRIM(MID(SUBSTITUTE(SUBSTITUTE(INDEX('CASE MASTER'!$N$2:$N$495,(SUMPRODUCT((('CASE MASTER'!$T$2:$T$495=7)*('CASE MASTER'!$AA$2:$AA$495&lt;=5)*('CASE MASTER'!$AC$2:$AC$495&gt;=5)*('CASE MASTER'!$AB$2:$AB$495&lt;=2)*('CASE MASTER'!$AD$2:$AD$495&gt;=2))*ROW('CASE MASTER'!$T$2:$T$495))-(ROW('CASE MASTER'!#REF!)-1))),":",","),",",REPT(" ",50)),(((INDEX('CASE MASTER'!$Z$2:$Z$495,(SUMPRODUCT((('CASE MASTER'!$T$2:$T$495=7)*('CASE MASTER'!$AA$2:$AA$495&lt;=5)*('CASE MASTER'!$AC$2:$AC$495&gt;=5)*('CASE MASTER'!$AB$2:$AB$495&lt;=2)*('CASE MASTER'!$AD$2:$AD$495&gt;=2))*ROW('CASE MASTER'!$T$2:$T$495))-(ROW('CASE MASTER'!#REF!)-1)))+((5-INDEX('CASE MASTER'!$AA$2:$AA$495,(SUMPRODUCT((('CASE MASTER'!$T$2:$T$495=7)*('CASE MASTER'!$AA$2:$AA$495&lt;=5)*('CASE MASTER'!$AC$2:$AC$495&gt;=5)*('CASE MASTER'!$AB$2:$AB$495&lt;=2)*('CASE MASTER'!$AD$2:$AD$495&gt;=2))*ROW('CASE MASTER'!$T$2:$T$495))-(ROW('CASE MASTER'!#REF!)-1))))*(INDEX('CASE MASTER'!$AD$2:$AD$495,(SUMPRODUCT((('CASE MASTER'!$T$2:$T$495=7)*('CASE MASTER'!$AA$2:$AA$495&lt;=5)*('CASE MASTER'!$AC$2:$AC$495&gt;=5)*('CASE MASTER'!$AB$2:$AB$495&lt;=2)*('CASE MASTER'!$AD$2:$AD$495&gt;=2))*ROW('CASE MASTER'!$T$2:$T$495))-(ROW('CASE MASTER'!#REF!)-1)))-INDEX('CASE MASTER'!$AB$2:$AB$495,(SUMPRODUCT((('CASE MASTER'!$T$2:$T$495=7)*('CASE MASTER'!$AA$2:$AA$495&lt;=5)*('CASE MASTER'!$AC$2:$AC$495&gt;=5)*('CASE MASTER'!$AB$2:$AB$495&lt;=2)*('CASE MASTER'!$AD$2:$AD$495&gt;=2))*ROW('CASE MASTER'!$T$2:$T$495))-(ROW('CASE MASTER'!#REF!)-1)))+1)+(2-INDEX('CASE MASTER'!$AB$2:$AB$495,(SUMPRODUCT((('CASE MASTER'!$T$2:$T$495=7)*('CASE MASTER'!$AA$2:$AA$495&lt;=5)*('CASE MASTER'!$AC$2:$AC$495&gt;=5)*('CASE MASTER'!$AB$2:$AB$495&lt;=2)*('CASE MASTER'!$AD$2:$AD$495&gt;=2))*ROW('CASE MASTER'!$T$2:$T$495))-(ROW('CASE MASTER'!#REF!)-1))))+1)))-1)*50+1,50))&amp;"_"&amp;INDEX('CASE MASTER'!$Q$2:$Q$495,(SUMPRODUCT((('CASE MASTER'!$T$2:$T$495=7)*('CASE MASTER'!$AA$2:$AA$495&lt;=5)*('CASE MASTER'!$AC$2:$AC$495&gt;=5)*('CASE MASTER'!$AB$2:$AB$495&lt;=2)*('CASE MASTER'!$AD$2:$AD$495&gt;=2))*ROW('CASE MASTER'!$T$2:$T$495))-(ROW('CASE MASTER'!#REF!)-1))),"")),"")</f>
        <v/>
      </c>
      <c r="D91" s="10" t="str">
        <f>IFERROR(IF(SUMPRODUCT((('CASE MASTER'!$T$2:$T$495=7)*('CASE MASTER'!$U$2:$U$495&lt;=5)*('CASE MASTER'!$W$2:$W$495&gt;=5)*('CASE MASTER'!$V$2:$V$495&lt;=3)*('CASE MASTER'!$X$2:$X$495&gt;=3))*ROW('CASE MASTER'!$T$2:$T$495))&gt;0,INDEX('CASE MASTER'!$Y$2:$Y$495,(SUMPRODUCT((('CASE MASTER'!$T$2:$T$495=7)*('CASE MASTER'!$U$2:$U$495&lt;=5)*('CASE MASTER'!$W$2:$W$495&gt;=5)*('CASE MASTER'!$V$2:$V$495&lt;=3)*('CASE MASTER'!$X$2:$X$495&gt;=3))*ROW('CASE MASTER'!$T$2:$T$495))-(ROW('CASE MASTER'!#REF!)-1)))&amp;TRIM(MID(SUBSTITUTE(SUBSTITUTE(INDEX('CASE MASTER'!$N$2:$N$495,(SUMPRODUCT((('CASE MASTER'!$T$2:$T$495=7)*('CASE MASTER'!$U$2:$U$495&lt;=5)*('CASE MASTER'!$W$2:$W$495&gt;=5)*('CASE MASTER'!$V$2:$V$495&lt;=3)*('CASE MASTER'!$X$2:$X$495&gt;=3))*ROW('CASE MASTER'!$T$2:$T$495))-(ROW('CASE MASTER'!#REF!)-1))),":",","),",",REPT(" ",50)),((((5-INDEX('CASE MASTER'!$U$2:$U$495,(SUMPRODUCT((('CASE MASTER'!$T$2:$T$495=7)*('CASE MASTER'!$U$2:$U$495&lt;=5)*('CASE MASTER'!$W$2:$W$495&gt;=5)*('CASE MASTER'!$V$2:$V$495&lt;=3)*('CASE MASTER'!$X$2:$X$495&gt;=3))*ROW('CASE MASTER'!$T$2:$T$495))-(ROW('CASE MASTER'!#REF!)-1))))*(INDEX('CASE MASTER'!$X$2:$X$495,(SUMPRODUCT((('CASE MASTER'!$T$2:$T$495=7)*('CASE MASTER'!$U$2:$U$495&lt;=5)*('CASE MASTER'!$W$2:$W$495&gt;=5)*('CASE MASTER'!$V$2:$V$495&lt;=3)*('CASE MASTER'!$X$2:$X$495&gt;=3))*ROW('CASE MASTER'!$T$2:$T$495))-(ROW('CASE MASTER'!#REF!)-1)))-INDEX('CASE MASTER'!$V$2:$V$495,(SUMPRODUCT((('CASE MASTER'!$T$2:$T$495=7)*('CASE MASTER'!$U$2:$U$495&lt;=5)*('CASE MASTER'!$W$2:$W$495&gt;=5)*('CASE MASTER'!$V$2:$V$495&lt;=3)*('CASE MASTER'!$X$2:$X$495&gt;=3))*ROW('CASE MASTER'!$T$2:$T$495))-(ROW('CASE MASTER'!#REF!)-1)))+1)+(3-INDEX('CASE MASTER'!$V$2:$V$495,(SUMPRODUCT((('CASE MASTER'!$T$2:$T$495=7)*('CASE MASTER'!$U$2:$U$495&lt;=5)*('CASE MASTER'!$W$2:$W$495&gt;=5)*('CASE MASTER'!$V$2:$V$495&lt;=3)*('CASE MASTER'!$X$2:$X$495&gt;=3))*ROW('CASE MASTER'!$T$2:$T$495))-(ROW('CASE MASTER'!#REF!)-1))))+1))-1)*50+1,50))&amp;"_"&amp;INDEX('CASE MASTER'!$Q$2:$Q$495,(SUMPRODUCT((('CASE MASTER'!$T$2:$T$495=7)*('CASE MASTER'!$U$2:$U$495&lt;=5)*('CASE MASTER'!$W$2:$W$495&gt;=5)*('CASE MASTER'!$V$2:$V$495&lt;=3)*('CASE MASTER'!$X$2:$X$495&gt;=3))*ROW('CASE MASTER'!$T$2:$T$495))-(ROW('CASE MASTER'!#REF!)-1))),IF(SUMPRODUCT((('CASE MASTER'!$T$2:$T$495=7)*('CASE MASTER'!$AA$2:$AA$495&lt;=5)*('CASE MASTER'!$AC$2:$AC$495&gt;=5)*('CASE MASTER'!$AB$2:$AB$495&lt;=3)*('CASE MASTER'!$AD$2:$AD$495&gt;=3))*ROW('CASE MASTER'!$T$2:$T$495))&gt;0,INDEX('CASE MASTER'!$Y$2:$Y$495,(SUMPRODUCT((('CASE MASTER'!$T$2:$T$495=7)*('CASE MASTER'!$AA$2:$AA$495&lt;=5)*('CASE MASTER'!$AC$2:$AC$495&gt;=5)*('CASE MASTER'!$AB$2:$AB$495&lt;=3)*('CASE MASTER'!$AD$2:$AD$495&gt;=3))*ROW('CASE MASTER'!$T$2:$T$495))-(ROW('CASE MASTER'!#REF!)-1)))&amp;TRIM(MID(SUBSTITUTE(SUBSTITUTE(INDEX('CASE MASTER'!$N$2:$N$495,(SUMPRODUCT((('CASE MASTER'!$T$2:$T$495=7)*('CASE MASTER'!$AA$2:$AA$495&lt;=5)*('CASE MASTER'!$AC$2:$AC$495&gt;=5)*('CASE MASTER'!$AB$2:$AB$495&lt;=3)*('CASE MASTER'!$AD$2:$AD$495&gt;=3))*ROW('CASE MASTER'!$T$2:$T$495))-(ROW('CASE MASTER'!#REF!)-1))),":",","),",",REPT(" ",50)),(((INDEX('CASE MASTER'!$Z$2:$Z$495,(SUMPRODUCT((('CASE MASTER'!$T$2:$T$495=7)*('CASE MASTER'!$AA$2:$AA$495&lt;=5)*('CASE MASTER'!$AC$2:$AC$495&gt;=5)*('CASE MASTER'!$AB$2:$AB$495&lt;=3)*('CASE MASTER'!$AD$2:$AD$495&gt;=3))*ROW('CASE MASTER'!$T$2:$T$495))-(ROW('CASE MASTER'!#REF!)-1)))+((5-INDEX('CASE MASTER'!$AA$2:$AA$495,(SUMPRODUCT((('CASE MASTER'!$T$2:$T$495=7)*('CASE MASTER'!$AA$2:$AA$495&lt;=5)*('CASE MASTER'!$AC$2:$AC$495&gt;=5)*('CASE MASTER'!$AB$2:$AB$495&lt;=3)*('CASE MASTER'!$AD$2:$AD$495&gt;=3))*ROW('CASE MASTER'!$T$2:$T$495))-(ROW('CASE MASTER'!#REF!)-1))))*(INDEX('CASE MASTER'!$AD$2:$AD$495,(SUMPRODUCT((('CASE MASTER'!$T$2:$T$495=7)*('CASE MASTER'!$AA$2:$AA$495&lt;=5)*('CASE MASTER'!$AC$2:$AC$495&gt;=5)*('CASE MASTER'!$AB$2:$AB$495&lt;=3)*('CASE MASTER'!$AD$2:$AD$495&gt;=3))*ROW('CASE MASTER'!$T$2:$T$495))-(ROW('CASE MASTER'!#REF!)-1)))-INDEX('CASE MASTER'!$AB$2:$AB$495,(SUMPRODUCT((('CASE MASTER'!$T$2:$T$495=7)*('CASE MASTER'!$AA$2:$AA$495&lt;=5)*('CASE MASTER'!$AC$2:$AC$495&gt;=5)*('CASE MASTER'!$AB$2:$AB$495&lt;=3)*('CASE MASTER'!$AD$2:$AD$495&gt;=3))*ROW('CASE MASTER'!$T$2:$T$495))-(ROW('CASE MASTER'!#REF!)-1)))+1)+(3-INDEX('CASE MASTER'!$AB$2:$AB$495,(SUMPRODUCT((('CASE MASTER'!$T$2:$T$495=7)*('CASE MASTER'!$AA$2:$AA$495&lt;=5)*('CASE MASTER'!$AC$2:$AC$495&gt;=5)*('CASE MASTER'!$AB$2:$AB$495&lt;=3)*('CASE MASTER'!$AD$2:$AD$495&gt;=3))*ROW('CASE MASTER'!$T$2:$T$495))-(ROW('CASE MASTER'!#REF!)-1))))+1)))-1)*50+1,50))&amp;"_"&amp;INDEX('CASE MASTER'!$Q$2:$Q$495,(SUMPRODUCT((('CASE MASTER'!$T$2:$T$495=7)*('CASE MASTER'!$AA$2:$AA$495&lt;=5)*('CASE MASTER'!$AC$2:$AC$495&gt;=5)*('CASE MASTER'!$AB$2:$AB$495&lt;=3)*('CASE MASTER'!$AD$2:$AD$495&gt;=3))*ROW('CASE MASTER'!$T$2:$T$495))-(ROW('CASE MASTER'!#REF!)-1))),"")),"")</f>
        <v/>
      </c>
      <c r="E91" s="10" t="str">
        <f>IFERROR(IF(SUMPRODUCT((('CASE MASTER'!$T$2:$T$495=7)*('CASE MASTER'!$U$2:$U$495&lt;=5)*('CASE MASTER'!$W$2:$W$495&gt;=5)*('CASE MASTER'!$V$2:$V$495&lt;=4)*('CASE MASTER'!$X$2:$X$495&gt;=4))*ROW('CASE MASTER'!$T$2:$T$495))&gt;0,INDEX('CASE MASTER'!$Y$2:$Y$495,(SUMPRODUCT((('CASE MASTER'!$T$2:$T$495=7)*('CASE MASTER'!$U$2:$U$495&lt;=5)*('CASE MASTER'!$W$2:$W$495&gt;=5)*('CASE MASTER'!$V$2:$V$495&lt;=4)*('CASE MASTER'!$X$2:$X$495&gt;=4))*ROW('CASE MASTER'!$T$2:$T$495))-(ROW('CASE MASTER'!#REF!)-1)))&amp;TRIM(MID(SUBSTITUTE(SUBSTITUTE(INDEX('CASE MASTER'!$N$2:$N$495,(SUMPRODUCT((('CASE MASTER'!$T$2:$T$495=7)*('CASE MASTER'!$U$2:$U$495&lt;=5)*('CASE MASTER'!$W$2:$W$495&gt;=5)*('CASE MASTER'!$V$2:$V$495&lt;=4)*('CASE MASTER'!$X$2:$X$495&gt;=4))*ROW('CASE MASTER'!$T$2:$T$495))-(ROW('CASE MASTER'!#REF!)-1))),":",","),",",REPT(" ",50)),((((5-INDEX('CASE MASTER'!$U$2:$U$495,(SUMPRODUCT((('CASE MASTER'!$T$2:$T$495=7)*('CASE MASTER'!$U$2:$U$495&lt;=5)*('CASE MASTER'!$W$2:$W$495&gt;=5)*('CASE MASTER'!$V$2:$V$495&lt;=4)*('CASE MASTER'!$X$2:$X$495&gt;=4))*ROW('CASE MASTER'!$T$2:$T$495))-(ROW('CASE MASTER'!#REF!)-1))))*(INDEX('CASE MASTER'!$X$2:$X$495,(SUMPRODUCT((('CASE MASTER'!$T$2:$T$495=7)*('CASE MASTER'!$U$2:$U$495&lt;=5)*('CASE MASTER'!$W$2:$W$495&gt;=5)*('CASE MASTER'!$V$2:$V$495&lt;=4)*('CASE MASTER'!$X$2:$X$495&gt;=4))*ROW('CASE MASTER'!$T$2:$T$495))-(ROW('CASE MASTER'!#REF!)-1)))-INDEX('CASE MASTER'!$V$2:$V$495,(SUMPRODUCT((('CASE MASTER'!$T$2:$T$495=7)*('CASE MASTER'!$U$2:$U$495&lt;=5)*('CASE MASTER'!$W$2:$W$495&gt;=5)*('CASE MASTER'!$V$2:$V$495&lt;=4)*('CASE MASTER'!$X$2:$X$495&gt;=4))*ROW('CASE MASTER'!$T$2:$T$495))-(ROW('CASE MASTER'!#REF!)-1)))+1)+(4-INDEX('CASE MASTER'!$V$2:$V$495,(SUMPRODUCT((('CASE MASTER'!$T$2:$T$495=7)*('CASE MASTER'!$U$2:$U$495&lt;=5)*('CASE MASTER'!$W$2:$W$495&gt;=5)*('CASE MASTER'!$V$2:$V$495&lt;=4)*('CASE MASTER'!$X$2:$X$495&gt;=4))*ROW('CASE MASTER'!$T$2:$T$495))-(ROW('CASE MASTER'!#REF!)-1))))+1))-1)*50+1,50))&amp;"_"&amp;INDEX('CASE MASTER'!$Q$2:$Q$495,(SUMPRODUCT((('CASE MASTER'!$T$2:$T$495=7)*('CASE MASTER'!$U$2:$U$495&lt;=5)*('CASE MASTER'!$W$2:$W$495&gt;=5)*('CASE MASTER'!$V$2:$V$495&lt;=4)*('CASE MASTER'!$X$2:$X$495&gt;=4))*ROW('CASE MASTER'!$T$2:$T$495))-(ROW('CASE MASTER'!#REF!)-1))),IF(SUMPRODUCT((('CASE MASTER'!$T$2:$T$495=7)*('CASE MASTER'!$AA$2:$AA$495&lt;=5)*('CASE MASTER'!$AC$2:$AC$495&gt;=5)*('CASE MASTER'!$AB$2:$AB$495&lt;=4)*('CASE MASTER'!$AD$2:$AD$495&gt;=4))*ROW('CASE MASTER'!$T$2:$T$495))&gt;0,INDEX('CASE MASTER'!$Y$2:$Y$495,(SUMPRODUCT((('CASE MASTER'!$T$2:$T$495=7)*('CASE MASTER'!$AA$2:$AA$495&lt;=5)*('CASE MASTER'!$AC$2:$AC$495&gt;=5)*('CASE MASTER'!$AB$2:$AB$495&lt;=4)*('CASE MASTER'!$AD$2:$AD$495&gt;=4))*ROW('CASE MASTER'!$T$2:$T$495))-(ROW('CASE MASTER'!#REF!)-1)))&amp;TRIM(MID(SUBSTITUTE(SUBSTITUTE(INDEX('CASE MASTER'!$N$2:$N$495,(SUMPRODUCT((('CASE MASTER'!$T$2:$T$495=7)*('CASE MASTER'!$AA$2:$AA$495&lt;=5)*('CASE MASTER'!$AC$2:$AC$495&gt;=5)*('CASE MASTER'!$AB$2:$AB$495&lt;=4)*('CASE MASTER'!$AD$2:$AD$495&gt;=4))*ROW('CASE MASTER'!$T$2:$T$495))-(ROW('CASE MASTER'!#REF!)-1))),":",","),",",REPT(" ",50)),(((INDEX('CASE MASTER'!$Z$2:$Z$495,(SUMPRODUCT((('CASE MASTER'!$T$2:$T$495=7)*('CASE MASTER'!$AA$2:$AA$495&lt;=5)*('CASE MASTER'!$AC$2:$AC$495&gt;=5)*('CASE MASTER'!$AB$2:$AB$495&lt;=4)*('CASE MASTER'!$AD$2:$AD$495&gt;=4))*ROW('CASE MASTER'!$T$2:$T$495))-(ROW('CASE MASTER'!#REF!)-1)))+((5-INDEX('CASE MASTER'!$AA$2:$AA$495,(SUMPRODUCT((('CASE MASTER'!$T$2:$T$495=7)*('CASE MASTER'!$AA$2:$AA$495&lt;=5)*('CASE MASTER'!$AC$2:$AC$495&gt;=5)*('CASE MASTER'!$AB$2:$AB$495&lt;=4)*('CASE MASTER'!$AD$2:$AD$495&gt;=4))*ROW('CASE MASTER'!$T$2:$T$495))-(ROW('CASE MASTER'!#REF!)-1))))*(INDEX('CASE MASTER'!$AD$2:$AD$495,(SUMPRODUCT((('CASE MASTER'!$T$2:$T$495=7)*('CASE MASTER'!$AA$2:$AA$495&lt;=5)*('CASE MASTER'!$AC$2:$AC$495&gt;=5)*('CASE MASTER'!$AB$2:$AB$495&lt;=4)*('CASE MASTER'!$AD$2:$AD$495&gt;=4))*ROW('CASE MASTER'!$T$2:$T$495))-(ROW('CASE MASTER'!#REF!)-1)))-INDEX('CASE MASTER'!$AB$2:$AB$495,(SUMPRODUCT((('CASE MASTER'!$T$2:$T$495=7)*('CASE MASTER'!$AA$2:$AA$495&lt;=5)*('CASE MASTER'!$AC$2:$AC$495&gt;=5)*('CASE MASTER'!$AB$2:$AB$495&lt;=4)*('CASE MASTER'!$AD$2:$AD$495&gt;=4))*ROW('CASE MASTER'!$T$2:$T$495))-(ROW('CASE MASTER'!#REF!)-1)))+1)+(4-INDEX('CASE MASTER'!$AB$2:$AB$495,(SUMPRODUCT((('CASE MASTER'!$T$2:$T$495=7)*('CASE MASTER'!$AA$2:$AA$495&lt;=5)*('CASE MASTER'!$AC$2:$AC$495&gt;=5)*('CASE MASTER'!$AB$2:$AB$495&lt;=4)*('CASE MASTER'!$AD$2:$AD$495&gt;=4))*ROW('CASE MASTER'!$T$2:$T$495))-(ROW('CASE MASTER'!#REF!)-1))))+1)))-1)*50+1,50))&amp;"_"&amp;INDEX('CASE MASTER'!$Q$2:$Q$495,(SUMPRODUCT((('CASE MASTER'!$T$2:$T$495=7)*('CASE MASTER'!$AA$2:$AA$495&lt;=5)*('CASE MASTER'!$AC$2:$AC$495&gt;=5)*('CASE MASTER'!$AB$2:$AB$495&lt;=4)*('CASE MASTER'!$AD$2:$AD$495&gt;=4))*ROW('CASE MASTER'!$T$2:$T$495))-(ROW('CASE MASTER'!#REF!)-1))),"")),"")</f>
        <v/>
      </c>
      <c r="F91" s="10" t="str">
        <f>IFERROR(IF(SUMPRODUCT((('CASE MASTER'!$T$2:$T$495=7)*('CASE MASTER'!$U$2:$U$495&lt;=5)*('CASE MASTER'!$W$2:$W$495&gt;=5)*('CASE MASTER'!$V$2:$V$495&lt;=5)*('CASE MASTER'!$X$2:$X$495&gt;=5))*ROW('CASE MASTER'!$T$2:$T$495))&gt;0,INDEX('CASE MASTER'!$Y$2:$Y$495,(SUMPRODUCT((('CASE MASTER'!$T$2:$T$495=7)*('CASE MASTER'!$U$2:$U$495&lt;=5)*('CASE MASTER'!$W$2:$W$495&gt;=5)*('CASE MASTER'!$V$2:$V$495&lt;=5)*('CASE MASTER'!$X$2:$X$495&gt;=5))*ROW('CASE MASTER'!$T$2:$T$495))-(ROW('CASE MASTER'!#REF!)-1)))&amp;TRIM(MID(SUBSTITUTE(SUBSTITUTE(INDEX('CASE MASTER'!$N$2:$N$495,(SUMPRODUCT((('CASE MASTER'!$T$2:$T$495=7)*('CASE MASTER'!$U$2:$U$495&lt;=5)*('CASE MASTER'!$W$2:$W$495&gt;=5)*('CASE MASTER'!$V$2:$V$495&lt;=5)*('CASE MASTER'!$X$2:$X$495&gt;=5))*ROW('CASE MASTER'!$T$2:$T$495))-(ROW('CASE MASTER'!#REF!)-1))),":",","),",",REPT(" ",50)),((((5-INDEX('CASE MASTER'!$U$2:$U$495,(SUMPRODUCT((('CASE MASTER'!$T$2:$T$495=7)*('CASE MASTER'!$U$2:$U$495&lt;=5)*('CASE MASTER'!$W$2:$W$495&gt;=5)*('CASE MASTER'!$V$2:$V$495&lt;=5)*('CASE MASTER'!$X$2:$X$495&gt;=5))*ROW('CASE MASTER'!$T$2:$T$495))-(ROW('CASE MASTER'!#REF!)-1))))*(INDEX('CASE MASTER'!$X$2:$X$495,(SUMPRODUCT((('CASE MASTER'!$T$2:$T$495=7)*('CASE MASTER'!$U$2:$U$495&lt;=5)*('CASE MASTER'!$W$2:$W$495&gt;=5)*('CASE MASTER'!$V$2:$V$495&lt;=5)*('CASE MASTER'!$X$2:$X$495&gt;=5))*ROW('CASE MASTER'!$T$2:$T$495))-(ROW('CASE MASTER'!#REF!)-1)))-INDEX('CASE MASTER'!$V$2:$V$495,(SUMPRODUCT((('CASE MASTER'!$T$2:$T$495=7)*('CASE MASTER'!$U$2:$U$495&lt;=5)*('CASE MASTER'!$W$2:$W$495&gt;=5)*('CASE MASTER'!$V$2:$V$495&lt;=5)*('CASE MASTER'!$X$2:$X$495&gt;=5))*ROW('CASE MASTER'!$T$2:$T$495))-(ROW('CASE MASTER'!#REF!)-1)))+1)+(5-INDEX('CASE MASTER'!$V$2:$V$495,(SUMPRODUCT((('CASE MASTER'!$T$2:$T$495=7)*('CASE MASTER'!$U$2:$U$495&lt;=5)*('CASE MASTER'!$W$2:$W$495&gt;=5)*('CASE MASTER'!$V$2:$V$495&lt;=5)*('CASE MASTER'!$X$2:$X$495&gt;=5))*ROW('CASE MASTER'!$T$2:$T$495))-(ROW('CASE MASTER'!#REF!)-1))))+1))-1)*50+1,50))&amp;"_"&amp;INDEX('CASE MASTER'!$Q$2:$Q$495,(SUMPRODUCT((('CASE MASTER'!$T$2:$T$495=7)*('CASE MASTER'!$U$2:$U$495&lt;=5)*('CASE MASTER'!$W$2:$W$495&gt;=5)*('CASE MASTER'!$V$2:$V$495&lt;=5)*('CASE MASTER'!$X$2:$X$495&gt;=5))*ROW('CASE MASTER'!$T$2:$T$495))-(ROW('CASE MASTER'!#REF!)-1))),IF(SUMPRODUCT((('CASE MASTER'!$T$2:$T$495=7)*('CASE MASTER'!$AA$2:$AA$495&lt;=5)*('CASE MASTER'!$AC$2:$AC$495&gt;=5)*('CASE MASTER'!$AB$2:$AB$495&lt;=5)*('CASE MASTER'!$AD$2:$AD$495&gt;=5))*ROW('CASE MASTER'!$T$2:$T$495))&gt;0,INDEX('CASE MASTER'!$Y$2:$Y$495,(SUMPRODUCT((('CASE MASTER'!$T$2:$T$495=7)*('CASE MASTER'!$AA$2:$AA$495&lt;=5)*('CASE MASTER'!$AC$2:$AC$495&gt;=5)*('CASE MASTER'!$AB$2:$AB$495&lt;=5)*('CASE MASTER'!$AD$2:$AD$495&gt;=5))*ROW('CASE MASTER'!$T$2:$T$495))-(ROW('CASE MASTER'!#REF!)-1)))&amp;TRIM(MID(SUBSTITUTE(SUBSTITUTE(INDEX('CASE MASTER'!$N$2:$N$495,(SUMPRODUCT((('CASE MASTER'!$T$2:$T$495=7)*('CASE MASTER'!$AA$2:$AA$495&lt;=5)*('CASE MASTER'!$AC$2:$AC$495&gt;=5)*('CASE MASTER'!$AB$2:$AB$495&lt;=5)*('CASE MASTER'!$AD$2:$AD$495&gt;=5))*ROW('CASE MASTER'!$T$2:$T$495))-(ROW('CASE MASTER'!#REF!)-1))),":",","),",",REPT(" ",50)),(((INDEX('CASE MASTER'!$Z$2:$Z$495,(SUMPRODUCT((('CASE MASTER'!$T$2:$T$495=7)*('CASE MASTER'!$AA$2:$AA$495&lt;=5)*('CASE MASTER'!$AC$2:$AC$495&gt;=5)*('CASE MASTER'!$AB$2:$AB$495&lt;=5)*('CASE MASTER'!$AD$2:$AD$495&gt;=5))*ROW('CASE MASTER'!$T$2:$T$495))-(ROW('CASE MASTER'!#REF!)-1)))+((5-INDEX('CASE MASTER'!$AA$2:$AA$495,(SUMPRODUCT((('CASE MASTER'!$T$2:$T$495=7)*('CASE MASTER'!$AA$2:$AA$495&lt;=5)*('CASE MASTER'!$AC$2:$AC$495&gt;=5)*('CASE MASTER'!$AB$2:$AB$495&lt;=5)*('CASE MASTER'!$AD$2:$AD$495&gt;=5))*ROW('CASE MASTER'!$T$2:$T$495))-(ROW('CASE MASTER'!#REF!)-1))))*(INDEX('CASE MASTER'!$AD$2:$AD$495,(SUMPRODUCT((('CASE MASTER'!$T$2:$T$495=7)*('CASE MASTER'!$AA$2:$AA$495&lt;=5)*('CASE MASTER'!$AC$2:$AC$495&gt;=5)*('CASE MASTER'!$AB$2:$AB$495&lt;=5)*('CASE MASTER'!$AD$2:$AD$495&gt;=5))*ROW('CASE MASTER'!$T$2:$T$495))-(ROW('CASE MASTER'!#REF!)-1)))-INDEX('CASE MASTER'!$AB$2:$AB$495,(SUMPRODUCT((('CASE MASTER'!$T$2:$T$495=7)*('CASE MASTER'!$AA$2:$AA$495&lt;=5)*('CASE MASTER'!$AC$2:$AC$495&gt;=5)*('CASE MASTER'!$AB$2:$AB$495&lt;=5)*('CASE MASTER'!$AD$2:$AD$495&gt;=5))*ROW('CASE MASTER'!$T$2:$T$495))-(ROW('CASE MASTER'!#REF!)-1)))+1)+(5-INDEX('CASE MASTER'!$AB$2:$AB$495,(SUMPRODUCT((('CASE MASTER'!$T$2:$T$495=7)*('CASE MASTER'!$AA$2:$AA$495&lt;=5)*('CASE MASTER'!$AC$2:$AC$495&gt;=5)*('CASE MASTER'!$AB$2:$AB$495&lt;=5)*('CASE MASTER'!$AD$2:$AD$495&gt;=5))*ROW('CASE MASTER'!$T$2:$T$495))-(ROW('CASE MASTER'!#REF!)-1))))+1)))-1)*50+1,50))&amp;"_"&amp;INDEX('CASE MASTER'!$Q$2:$Q$495,(SUMPRODUCT((('CASE MASTER'!$T$2:$T$495=7)*('CASE MASTER'!$AA$2:$AA$495&lt;=5)*('CASE MASTER'!$AC$2:$AC$495&gt;=5)*('CASE MASTER'!$AB$2:$AB$495&lt;=5)*('CASE MASTER'!$AD$2:$AD$495&gt;=5))*ROW('CASE MASTER'!$T$2:$T$495))-(ROW('CASE MASTER'!#REF!)-1))),"")),"")</f>
        <v/>
      </c>
      <c r="G91" s="10" t="str">
        <f>IFERROR(IF(SUMPRODUCT((('CASE MASTER'!$T$2:$T$495=7)*('CASE MASTER'!$U$2:$U$495&lt;=5)*('CASE MASTER'!$W$2:$W$495&gt;=5)*('CASE MASTER'!$V$2:$V$495&lt;=6)*('CASE MASTER'!$X$2:$X$495&gt;=6))*ROW('CASE MASTER'!$T$2:$T$495))&gt;0,INDEX('CASE MASTER'!$Y$2:$Y$495,(SUMPRODUCT((('CASE MASTER'!$T$2:$T$495=7)*('CASE MASTER'!$U$2:$U$495&lt;=5)*('CASE MASTER'!$W$2:$W$495&gt;=5)*('CASE MASTER'!$V$2:$V$495&lt;=6)*('CASE MASTER'!$X$2:$X$495&gt;=6))*ROW('CASE MASTER'!$T$2:$T$495))-(ROW('CASE MASTER'!#REF!)-1)))&amp;TRIM(MID(SUBSTITUTE(SUBSTITUTE(INDEX('CASE MASTER'!$N$2:$N$495,(SUMPRODUCT((('CASE MASTER'!$T$2:$T$495=7)*('CASE MASTER'!$U$2:$U$495&lt;=5)*('CASE MASTER'!$W$2:$W$495&gt;=5)*('CASE MASTER'!$V$2:$V$495&lt;=6)*('CASE MASTER'!$X$2:$X$495&gt;=6))*ROW('CASE MASTER'!$T$2:$T$495))-(ROW('CASE MASTER'!#REF!)-1))),":",","),",",REPT(" ",50)),((((5-INDEX('CASE MASTER'!$U$2:$U$495,(SUMPRODUCT((('CASE MASTER'!$T$2:$T$495=7)*('CASE MASTER'!$U$2:$U$495&lt;=5)*('CASE MASTER'!$W$2:$W$495&gt;=5)*('CASE MASTER'!$V$2:$V$495&lt;=6)*('CASE MASTER'!$X$2:$X$495&gt;=6))*ROW('CASE MASTER'!$T$2:$T$495))-(ROW('CASE MASTER'!#REF!)-1))))*(INDEX('CASE MASTER'!$X$2:$X$495,(SUMPRODUCT((('CASE MASTER'!$T$2:$T$495=7)*('CASE MASTER'!$U$2:$U$495&lt;=5)*('CASE MASTER'!$W$2:$W$495&gt;=5)*('CASE MASTER'!$V$2:$V$495&lt;=6)*('CASE MASTER'!$X$2:$X$495&gt;=6))*ROW('CASE MASTER'!$T$2:$T$495))-(ROW('CASE MASTER'!#REF!)-1)))-INDEX('CASE MASTER'!$V$2:$V$495,(SUMPRODUCT((('CASE MASTER'!$T$2:$T$495=7)*('CASE MASTER'!$U$2:$U$495&lt;=5)*('CASE MASTER'!$W$2:$W$495&gt;=5)*('CASE MASTER'!$V$2:$V$495&lt;=6)*('CASE MASTER'!$X$2:$X$495&gt;=6))*ROW('CASE MASTER'!$T$2:$T$495))-(ROW('CASE MASTER'!#REF!)-1)))+1)+(6-INDEX('CASE MASTER'!$V$2:$V$495,(SUMPRODUCT((('CASE MASTER'!$T$2:$T$495=7)*('CASE MASTER'!$U$2:$U$495&lt;=5)*('CASE MASTER'!$W$2:$W$495&gt;=5)*('CASE MASTER'!$V$2:$V$495&lt;=6)*('CASE MASTER'!$X$2:$X$495&gt;=6))*ROW('CASE MASTER'!$T$2:$T$495))-(ROW('CASE MASTER'!#REF!)-1))))+1))-1)*50+1,50))&amp;"_"&amp;INDEX('CASE MASTER'!$Q$2:$Q$495,(SUMPRODUCT((('CASE MASTER'!$T$2:$T$495=7)*('CASE MASTER'!$U$2:$U$495&lt;=5)*('CASE MASTER'!$W$2:$W$495&gt;=5)*('CASE MASTER'!$V$2:$V$495&lt;=6)*('CASE MASTER'!$X$2:$X$495&gt;=6))*ROW('CASE MASTER'!$T$2:$T$495))-(ROW('CASE MASTER'!#REF!)-1))),IF(SUMPRODUCT((('CASE MASTER'!$T$2:$T$495=7)*('CASE MASTER'!$AA$2:$AA$495&lt;=5)*('CASE MASTER'!$AC$2:$AC$495&gt;=5)*('CASE MASTER'!$AB$2:$AB$495&lt;=6)*('CASE MASTER'!$AD$2:$AD$495&gt;=6))*ROW('CASE MASTER'!$T$2:$T$495))&gt;0,INDEX('CASE MASTER'!$Y$2:$Y$495,(SUMPRODUCT((('CASE MASTER'!$T$2:$T$495=7)*('CASE MASTER'!$AA$2:$AA$495&lt;=5)*('CASE MASTER'!$AC$2:$AC$495&gt;=5)*('CASE MASTER'!$AB$2:$AB$495&lt;=6)*('CASE MASTER'!$AD$2:$AD$495&gt;=6))*ROW('CASE MASTER'!$T$2:$T$495))-(ROW('CASE MASTER'!#REF!)-1)))&amp;TRIM(MID(SUBSTITUTE(SUBSTITUTE(INDEX('CASE MASTER'!$N$2:$N$495,(SUMPRODUCT((('CASE MASTER'!$T$2:$T$495=7)*('CASE MASTER'!$AA$2:$AA$495&lt;=5)*('CASE MASTER'!$AC$2:$AC$495&gt;=5)*('CASE MASTER'!$AB$2:$AB$495&lt;=6)*('CASE MASTER'!$AD$2:$AD$495&gt;=6))*ROW('CASE MASTER'!$T$2:$T$495))-(ROW('CASE MASTER'!#REF!)-1))),":",","),",",REPT(" ",50)),(((INDEX('CASE MASTER'!$Z$2:$Z$495,(SUMPRODUCT((('CASE MASTER'!$T$2:$T$495=7)*('CASE MASTER'!$AA$2:$AA$495&lt;=5)*('CASE MASTER'!$AC$2:$AC$495&gt;=5)*('CASE MASTER'!$AB$2:$AB$495&lt;=6)*('CASE MASTER'!$AD$2:$AD$495&gt;=6))*ROW('CASE MASTER'!$T$2:$T$495))-(ROW('CASE MASTER'!#REF!)-1)))+((5-INDEX('CASE MASTER'!$AA$2:$AA$495,(SUMPRODUCT((('CASE MASTER'!$T$2:$T$495=7)*('CASE MASTER'!$AA$2:$AA$495&lt;=5)*('CASE MASTER'!$AC$2:$AC$495&gt;=5)*('CASE MASTER'!$AB$2:$AB$495&lt;=6)*('CASE MASTER'!$AD$2:$AD$495&gt;=6))*ROW('CASE MASTER'!$T$2:$T$495))-(ROW('CASE MASTER'!#REF!)-1))))*(INDEX('CASE MASTER'!$AD$2:$AD$495,(SUMPRODUCT((('CASE MASTER'!$T$2:$T$495=7)*('CASE MASTER'!$AA$2:$AA$495&lt;=5)*('CASE MASTER'!$AC$2:$AC$495&gt;=5)*('CASE MASTER'!$AB$2:$AB$495&lt;=6)*('CASE MASTER'!$AD$2:$AD$495&gt;=6))*ROW('CASE MASTER'!$T$2:$T$495))-(ROW('CASE MASTER'!#REF!)-1)))-INDEX('CASE MASTER'!$AB$2:$AB$495,(SUMPRODUCT((('CASE MASTER'!$T$2:$T$495=7)*('CASE MASTER'!$AA$2:$AA$495&lt;=5)*('CASE MASTER'!$AC$2:$AC$495&gt;=5)*('CASE MASTER'!$AB$2:$AB$495&lt;=6)*('CASE MASTER'!$AD$2:$AD$495&gt;=6))*ROW('CASE MASTER'!$T$2:$T$495))-(ROW('CASE MASTER'!#REF!)-1)))+1)+(6-INDEX('CASE MASTER'!$AB$2:$AB$495,(SUMPRODUCT((('CASE MASTER'!$T$2:$T$495=7)*('CASE MASTER'!$AA$2:$AA$495&lt;=5)*('CASE MASTER'!$AC$2:$AC$495&gt;=5)*('CASE MASTER'!$AB$2:$AB$495&lt;=6)*('CASE MASTER'!$AD$2:$AD$495&gt;=6))*ROW('CASE MASTER'!$T$2:$T$495))-(ROW('CASE MASTER'!#REF!)-1))))+1)))-1)*50+1,50))&amp;"_"&amp;INDEX('CASE MASTER'!$Q$2:$Q$495,(SUMPRODUCT((('CASE MASTER'!$T$2:$T$495=7)*('CASE MASTER'!$AA$2:$AA$495&lt;=5)*('CASE MASTER'!$AC$2:$AC$495&gt;=5)*('CASE MASTER'!$AB$2:$AB$495&lt;=6)*('CASE MASTER'!$AD$2:$AD$495&gt;=6))*ROW('CASE MASTER'!$T$2:$T$495))-(ROW('CASE MASTER'!#REF!)-1))),"")),"")</f>
        <v/>
      </c>
      <c r="H91" s="10" t="str">
        <f>IFERROR(IF(SUMPRODUCT((('CASE MASTER'!$T$2:$T$495=7)*('CASE MASTER'!$U$2:$U$495&lt;=5)*('CASE MASTER'!$W$2:$W$495&gt;=5)*('CASE MASTER'!$V$2:$V$495&lt;=7)*('CASE MASTER'!$X$2:$X$495&gt;=7))*ROW('CASE MASTER'!$T$2:$T$495))&gt;0,INDEX('CASE MASTER'!$Y$2:$Y$495,(SUMPRODUCT((('CASE MASTER'!$T$2:$T$495=7)*('CASE MASTER'!$U$2:$U$495&lt;=5)*('CASE MASTER'!$W$2:$W$495&gt;=5)*('CASE MASTER'!$V$2:$V$495&lt;=7)*('CASE MASTER'!$X$2:$X$495&gt;=7))*ROW('CASE MASTER'!$T$2:$T$495))-(ROW('CASE MASTER'!#REF!)-1)))&amp;TRIM(MID(SUBSTITUTE(SUBSTITUTE(INDEX('CASE MASTER'!$N$2:$N$495,(SUMPRODUCT((('CASE MASTER'!$T$2:$T$495=7)*('CASE MASTER'!$U$2:$U$495&lt;=5)*('CASE MASTER'!$W$2:$W$495&gt;=5)*('CASE MASTER'!$V$2:$V$495&lt;=7)*('CASE MASTER'!$X$2:$X$495&gt;=7))*ROW('CASE MASTER'!$T$2:$T$495))-(ROW('CASE MASTER'!#REF!)-1))),":",","),",",REPT(" ",50)),((((5-INDEX('CASE MASTER'!$U$2:$U$495,(SUMPRODUCT((('CASE MASTER'!$T$2:$T$495=7)*('CASE MASTER'!$U$2:$U$495&lt;=5)*('CASE MASTER'!$W$2:$W$495&gt;=5)*('CASE MASTER'!$V$2:$V$495&lt;=7)*('CASE MASTER'!$X$2:$X$495&gt;=7))*ROW('CASE MASTER'!$T$2:$T$495))-(ROW('CASE MASTER'!#REF!)-1))))*(INDEX('CASE MASTER'!$X$2:$X$495,(SUMPRODUCT((('CASE MASTER'!$T$2:$T$495=7)*('CASE MASTER'!$U$2:$U$495&lt;=5)*('CASE MASTER'!$W$2:$W$495&gt;=5)*('CASE MASTER'!$V$2:$V$495&lt;=7)*('CASE MASTER'!$X$2:$X$495&gt;=7))*ROW('CASE MASTER'!$T$2:$T$495))-(ROW('CASE MASTER'!#REF!)-1)))-INDEX('CASE MASTER'!$V$2:$V$495,(SUMPRODUCT((('CASE MASTER'!$T$2:$T$495=7)*('CASE MASTER'!$U$2:$U$495&lt;=5)*('CASE MASTER'!$W$2:$W$495&gt;=5)*('CASE MASTER'!$V$2:$V$495&lt;=7)*('CASE MASTER'!$X$2:$X$495&gt;=7))*ROW('CASE MASTER'!$T$2:$T$495))-(ROW('CASE MASTER'!#REF!)-1)))+1)+(7-INDEX('CASE MASTER'!$V$2:$V$495,(SUMPRODUCT((('CASE MASTER'!$T$2:$T$495=7)*('CASE MASTER'!$U$2:$U$495&lt;=5)*('CASE MASTER'!$W$2:$W$495&gt;=5)*('CASE MASTER'!$V$2:$V$495&lt;=7)*('CASE MASTER'!$X$2:$X$495&gt;=7))*ROW('CASE MASTER'!$T$2:$T$495))-(ROW('CASE MASTER'!#REF!)-1))))+1))-1)*50+1,50))&amp;"_"&amp;INDEX('CASE MASTER'!$Q$2:$Q$495,(SUMPRODUCT((('CASE MASTER'!$T$2:$T$495=7)*('CASE MASTER'!$U$2:$U$495&lt;=5)*('CASE MASTER'!$W$2:$W$495&gt;=5)*('CASE MASTER'!$V$2:$V$495&lt;=7)*('CASE MASTER'!$X$2:$X$495&gt;=7))*ROW('CASE MASTER'!$T$2:$T$495))-(ROW('CASE MASTER'!#REF!)-1))),IF(SUMPRODUCT((('CASE MASTER'!$T$2:$T$495=7)*('CASE MASTER'!$AA$2:$AA$495&lt;=5)*('CASE MASTER'!$AC$2:$AC$495&gt;=5)*('CASE MASTER'!$AB$2:$AB$495&lt;=7)*('CASE MASTER'!$AD$2:$AD$495&gt;=7))*ROW('CASE MASTER'!$T$2:$T$495))&gt;0,INDEX('CASE MASTER'!$Y$2:$Y$495,(SUMPRODUCT((('CASE MASTER'!$T$2:$T$495=7)*('CASE MASTER'!$AA$2:$AA$495&lt;=5)*('CASE MASTER'!$AC$2:$AC$495&gt;=5)*('CASE MASTER'!$AB$2:$AB$495&lt;=7)*('CASE MASTER'!$AD$2:$AD$495&gt;=7))*ROW('CASE MASTER'!$T$2:$T$495))-(ROW('CASE MASTER'!#REF!)-1)))&amp;TRIM(MID(SUBSTITUTE(SUBSTITUTE(INDEX('CASE MASTER'!$N$2:$N$495,(SUMPRODUCT((('CASE MASTER'!$T$2:$T$495=7)*('CASE MASTER'!$AA$2:$AA$495&lt;=5)*('CASE MASTER'!$AC$2:$AC$495&gt;=5)*('CASE MASTER'!$AB$2:$AB$495&lt;=7)*('CASE MASTER'!$AD$2:$AD$495&gt;=7))*ROW('CASE MASTER'!$T$2:$T$495))-(ROW('CASE MASTER'!#REF!)-1))),":",","),",",REPT(" ",50)),(((INDEX('CASE MASTER'!$Z$2:$Z$495,(SUMPRODUCT((('CASE MASTER'!$T$2:$T$495=7)*('CASE MASTER'!$AA$2:$AA$495&lt;=5)*('CASE MASTER'!$AC$2:$AC$495&gt;=5)*('CASE MASTER'!$AB$2:$AB$495&lt;=7)*('CASE MASTER'!$AD$2:$AD$495&gt;=7))*ROW('CASE MASTER'!$T$2:$T$495))-(ROW('CASE MASTER'!#REF!)-1)))+((5-INDEX('CASE MASTER'!$AA$2:$AA$495,(SUMPRODUCT((('CASE MASTER'!$T$2:$T$495=7)*('CASE MASTER'!$AA$2:$AA$495&lt;=5)*('CASE MASTER'!$AC$2:$AC$495&gt;=5)*('CASE MASTER'!$AB$2:$AB$495&lt;=7)*('CASE MASTER'!$AD$2:$AD$495&gt;=7))*ROW('CASE MASTER'!$T$2:$T$495))-(ROW('CASE MASTER'!#REF!)-1))))*(INDEX('CASE MASTER'!$AD$2:$AD$495,(SUMPRODUCT((('CASE MASTER'!$T$2:$T$495=7)*('CASE MASTER'!$AA$2:$AA$495&lt;=5)*('CASE MASTER'!$AC$2:$AC$495&gt;=5)*('CASE MASTER'!$AB$2:$AB$495&lt;=7)*('CASE MASTER'!$AD$2:$AD$495&gt;=7))*ROW('CASE MASTER'!$T$2:$T$495))-(ROW('CASE MASTER'!#REF!)-1)))-INDEX('CASE MASTER'!$AB$2:$AB$495,(SUMPRODUCT((('CASE MASTER'!$T$2:$T$495=7)*('CASE MASTER'!$AA$2:$AA$495&lt;=5)*('CASE MASTER'!$AC$2:$AC$495&gt;=5)*('CASE MASTER'!$AB$2:$AB$495&lt;=7)*('CASE MASTER'!$AD$2:$AD$495&gt;=7))*ROW('CASE MASTER'!$T$2:$T$495))-(ROW('CASE MASTER'!#REF!)-1)))+1)+(7-INDEX('CASE MASTER'!$AB$2:$AB$495,(SUMPRODUCT((('CASE MASTER'!$T$2:$T$495=7)*('CASE MASTER'!$AA$2:$AA$495&lt;=5)*('CASE MASTER'!$AC$2:$AC$495&gt;=5)*('CASE MASTER'!$AB$2:$AB$495&lt;=7)*('CASE MASTER'!$AD$2:$AD$495&gt;=7))*ROW('CASE MASTER'!$T$2:$T$495))-(ROW('CASE MASTER'!#REF!)-1))))+1)))-1)*50+1,50))&amp;"_"&amp;INDEX('CASE MASTER'!$Q$2:$Q$495,(SUMPRODUCT((('CASE MASTER'!$T$2:$T$495=7)*('CASE MASTER'!$AA$2:$AA$495&lt;=5)*('CASE MASTER'!$AC$2:$AC$495&gt;=5)*('CASE MASTER'!$AB$2:$AB$495&lt;=7)*('CASE MASTER'!$AD$2:$AD$495&gt;=7))*ROW('CASE MASTER'!$T$2:$T$495))-(ROW('CASE MASTER'!#REF!)-1))),"")),"")</f>
        <v/>
      </c>
      <c r="I91" s="10" t="str">
        <f>IFERROR(IF(SUMPRODUCT((('CASE MASTER'!$T$2:$T$495=7)*('CASE MASTER'!$U$2:$U$495&lt;=5)*('CASE MASTER'!$W$2:$W$495&gt;=5)*('CASE MASTER'!$V$2:$V$495&lt;=8)*('CASE MASTER'!$X$2:$X$495&gt;=8))*ROW('CASE MASTER'!$T$2:$T$495))&gt;0,INDEX('CASE MASTER'!$Y$2:$Y$495,(SUMPRODUCT((('CASE MASTER'!$T$2:$T$495=7)*('CASE MASTER'!$U$2:$U$495&lt;=5)*('CASE MASTER'!$W$2:$W$495&gt;=5)*('CASE MASTER'!$V$2:$V$495&lt;=8)*('CASE MASTER'!$X$2:$X$495&gt;=8))*ROW('CASE MASTER'!$T$2:$T$495))-(ROW('CASE MASTER'!#REF!)-1)))&amp;TRIM(MID(SUBSTITUTE(SUBSTITUTE(INDEX('CASE MASTER'!$N$2:$N$495,(SUMPRODUCT((('CASE MASTER'!$T$2:$T$495=7)*('CASE MASTER'!$U$2:$U$495&lt;=5)*('CASE MASTER'!$W$2:$W$495&gt;=5)*('CASE MASTER'!$V$2:$V$495&lt;=8)*('CASE MASTER'!$X$2:$X$495&gt;=8))*ROW('CASE MASTER'!$T$2:$T$495))-(ROW('CASE MASTER'!#REF!)-1))),":",","),",",REPT(" ",50)),((((5-INDEX('CASE MASTER'!$U$2:$U$495,(SUMPRODUCT((('CASE MASTER'!$T$2:$T$495=7)*('CASE MASTER'!$U$2:$U$495&lt;=5)*('CASE MASTER'!$W$2:$W$495&gt;=5)*('CASE MASTER'!$V$2:$V$495&lt;=8)*('CASE MASTER'!$X$2:$X$495&gt;=8))*ROW('CASE MASTER'!$T$2:$T$495))-(ROW('CASE MASTER'!#REF!)-1))))*(INDEX('CASE MASTER'!$X$2:$X$495,(SUMPRODUCT((('CASE MASTER'!$T$2:$T$495=7)*('CASE MASTER'!$U$2:$U$495&lt;=5)*('CASE MASTER'!$W$2:$W$495&gt;=5)*('CASE MASTER'!$V$2:$V$495&lt;=8)*('CASE MASTER'!$X$2:$X$495&gt;=8))*ROW('CASE MASTER'!$T$2:$T$495))-(ROW('CASE MASTER'!#REF!)-1)))-INDEX('CASE MASTER'!$V$2:$V$495,(SUMPRODUCT((('CASE MASTER'!$T$2:$T$495=7)*('CASE MASTER'!$U$2:$U$495&lt;=5)*('CASE MASTER'!$W$2:$W$495&gt;=5)*('CASE MASTER'!$V$2:$V$495&lt;=8)*('CASE MASTER'!$X$2:$X$495&gt;=8))*ROW('CASE MASTER'!$T$2:$T$495))-(ROW('CASE MASTER'!#REF!)-1)))+1)+(8-INDEX('CASE MASTER'!$V$2:$V$495,(SUMPRODUCT((('CASE MASTER'!$T$2:$T$495=7)*('CASE MASTER'!$U$2:$U$495&lt;=5)*('CASE MASTER'!$W$2:$W$495&gt;=5)*('CASE MASTER'!$V$2:$V$495&lt;=8)*('CASE MASTER'!$X$2:$X$495&gt;=8))*ROW('CASE MASTER'!$T$2:$T$495))-(ROW('CASE MASTER'!#REF!)-1))))+1))-1)*50+1,50))&amp;"_"&amp;INDEX('CASE MASTER'!$Q$2:$Q$495,(SUMPRODUCT((('CASE MASTER'!$T$2:$T$495=7)*('CASE MASTER'!$U$2:$U$495&lt;=5)*('CASE MASTER'!$W$2:$W$495&gt;=5)*('CASE MASTER'!$V$2:$V$495&lt;=8)*('CASE MASTER'!$X$2:$X$495&gt;=8))*ROW('CASE MASTER'!$T$2:$T$495))-(ROW('CASE MASTER'!#REF!)-1))),IF(SUMPRODUCT((('CASE MASTER'!$T$2:$T$495=7)*('CASE MASTER'!$AA$2:$AA$495&lt;=5)*('CASE MASTER'!$AC$2:$AC$495&gt;=5)*('CASE MASTER'!$AB$2:$AB$495&lt;=8)*('CASE MASTER'!$AD$2:$AD$495&gt;=8))*ROW('CASE MASTER'!$T$2:$T$495))&gt;0,INDEX('CASE MASTER'!$Y$2:$Y$495,(SUMPRODUCT((('CASE MASTER'!$T$2:$T$495=7)*('CASE MASTER'!$AA$2:$AA$495&lt;=5)*('CASE MASTER'!$AC$2:$AC$495&gt;=5)*('CASE MASTER'!$AB$2:$AB$495&lt;=8)*('CASE MASTER'!$AD$2:$AD$495&gt;=8))*ROW('CASE MASTER'!$T$2:$T$495))-(ROW('CASE MASTER'!#REF!)-1)))&amp;TRIM(MID(SUBSTITUTE(SUBSTITUTE(INDEX('CASE MASTER'!$N$2:$N$495,(SUMPRODUCT((('CASE MASTER'!$T$2:$T$495=7)*('CASE MASTER'!$AA$2:$AA$495&lt;=5)*('CASE MASTER'!$AC$2:$AC$495&gt;=5)*('CASE MASTER'!$AB$2:$AB$495&lt;=8)*('CASE MASTER'!$AD$2:$AD$495&gt;=8))*ROW('CASE MASTER'!$T$2:$T$495))-(ROW('CASE MASTER'!#REF!)-1))),":",","),",",REPT(" ",50)),(((INDEX('CASE MASTER'!$Z$2:$Z$495,(SUMPRODUCT((('CASE MASTER'!$T$2:$T$495=7)*('CASE MASTER'!$AA$2:$AA$495&lt;=5)*('CASE MASTER'!$AC$2:$AC$495&gt;=5)*('CASE MASTER'!$AB$2:$AB$495&lt;=8)*('CASE MASTER'!$AD$2:$AD$495&gt;=8))*ROW('CASE MASTER'!$T$2:$T$495))-(ROW('CASE MASTER'!#REF!)-1)))+((5-INDEX('CASE MASTER'!$AA$2:$AA$495,(SUMPRODUCT((('CASE MASTER'!$T$2:$T$495=7)*('CASE MASTER'!$AA$2:$AA$495&lt;=5)*('CASE MASTER'!$AC$2:$AC$495&gt;=5)*('CASE MASTER'!$AB$2:$AB$495&lt;=8)*('CASE MASTER'!$AD$2:$AD$495&gt;=8))*ROW('CASE MASTER'!$T$2:$T$495))-(ROW('CASE MASTER'!#REF!)-1))))*(INDEX('CASE MASTER'!$AD$2:$AD$495,(SUMPRODUCT((('CASE MASTER'!$T$2:$T$495=7)*('CASE MASTER'!$AA$2:$AA$495&lt;=5)*('CASE MASTER'!$AC$2:$AC$495&gt;=5)*('CASE MASTER'!$AB$2:$AB$495&lt;=8)*('CASE MASTER'!$AD$2:$AD$495&gt;=8))*ROW('CASE MASTER'!$T$2:$T$495))-(ROW('CASE MASTER'!#REF!)-1)))-INDEX('CASE MASTER'!$AB$2:$AB$495,(SUMPRODUCT((('CASE MASTER'!$T$2:$T$495=7)*('CASE MASTER'!$AA$2:$AA$495&lt;=5)*('CASE MASTER'!$AC$2:$AC$495&gt;=5)*('CASE MASTER'!$AB$2:$AB$495&lt;=8)*('CASE MASTER'!$AD$2:$AD$495&gt;=8))*ROW('CASE MASTER'!$T$2:$T$495))-(ROW('CASE MASTER'!#REF!)-1)))+1)+(8-INDEX('CASE MASTER'!$AB$2:$AB$495,(SUMPRODUCT((('CASE MASTER'!$T$2:$T$495=7)*('CASE MASTER'!$AA$2:$AA$495&lt;=5)*('CASE MASTER'!$AC$2:$AC$495&gt;=5)*('CASE MASTER'!$AB$2:$AB$495&lt;=8)*('CASE MASTER'!$AD$2:$AD$495&gt;=8))*ROW('CASE MASTER'!$T$2:$T$495))-(ROW('CASE MASTER'!#REF!)-1))))+1)))-1)*50+1,50))&amp;"_"&amp;INDEX('CASE MASTER'!$Q$2:$Q$495,(SUMPRODUCT((('CASE MASTER'!$T$2:$T$495=7)*('CASE MASTER'!$AA$2:$AA$495&lt;=5)*('CASE MASTER'!$AC$2:$AC$495&gt;=5)*('CASE MASTER'!$AB$2:$AB$495&lt;=8)*('CASE MASTER'!$AD$2:$AD$495&gt;=8))*ROW('CASE MASTER'!$T$2:$T$495))-(ROW('CASE MASTER'!#REF!)-1))),"")),"")</f>
        <v/>
      </c>
      <c r="J91" s="10" t="str">
        <f>IFERROR(IF(SUMPRODUCT((('CASE MASTER'!$T$2:$T$495=7)*('CASE MASTER'!$U$2:$U$495&lt;=5)*('CASE MASTER'!$W$2:$W$495&gt;=5)*('CASE MASTER'!$V$2:$V$495&lt;=9)*('CASE MASTER'!$X$2:$X$495&gt;=9))*ROW('CASE MASTER'!$T$2:$T$495))&gt;0,INDEX('CASE MASTER'!$Y$2:$Y$495,(SUMPRODUCT((('CASE MASTER'!$T$2:$T$495=7)*('CASE MASTER'!$U$2:$U$495&lt;=5)*('CASE MASTER'!$W$2:$W$495&gt;=5)*('CASE MASTER'!$V$2:$V$495&lt;=9)*('CASE MASTER'!$X$2:$X$495&gt;=9))*ROW('CASE MASTER'!$T$2:$T$495))-(ROW('CASE MASTER'!#REF!)-1)))&amp;TRIM(MID(SUBSTITUTE(SUBSTITUTE(INDEX('CASE MASTER'!$N$2:$N$495,(SUMPRODUCT((('CASE MASTER'!$T$2:$T$495=7)*('CASE MASTER'!$U$2:$U$495&lt;=5)*('CASE MASTER'!$W$2:$W$495&gt;=5)*('CASE MASTER'!$V$2:$V$495&lt;=9)*('CASE MASTER'!$X$2:$X$495&gt;=9))*ROW('CASE MASTER'!$T$2:$T$495))-(ROW('CASE MASTER'!#REF!)-1))),":",","),",",REPT(" ",50)),((((5-INDEX('CASE MASTER'!$U$2:$U$495,(SUMPRODUCT((('CASE MASTER'!$T$2:$T$495=7)*('CASE MASTER'!$U$2:$U$495&lt;=5)*('CASE MASTER'!$W$2:$W$495&gt;=5)*('CASE MASTER'!$V$2:$V$495&lt;=9)*('CASE MASTER'!$X$2:$X$495&gt;=9))*ROW('CASE MASTER'!$T$2:$T$495))-(ROW('CASE MASTER'!#REF!)-1))))*(INDEX('CASE MASTER'!$X$2:$X$495,(SUMPRODUCT((('CASE MASTER'!$T$2:$T$495=7)*('CASE MASTER'!$U$2:$U$495&lt;=5)*('CASE MASTER'!$W$2:$W$495&gt;=5)*('CASE MASTER'!$V$2:$V$495&lt;=9)*('CASE MASTER'!$X$2:$X$495&gt;=9))*ROW('CASE MASTER'!$T$2:$T$495))-(ROW('CASE MASTER'!#REF!)-1)))-INDEX('CASE MASTER'!$V$2:$V$495,(SUMPRODUCT((('CASE MASTER'!$T$2:$T$495=7)*('CASE MASTER'!$U$2:$U$495&lt;=5)*('CASE MASTER'!$W$2:$W$495&gt;=5)*('CASE MASTER'!$V$2:$V$495&lt;=9)*('CASE MASTER'!$X$2:$X$495&gt;=9))*ROW('CASE MASTER'!$T$2:$T$495))-(ROW('CASE MASTER'!#REF!)-1)))+1)+(9-INDEX('CASE MASTER'!$V$2:$V$495,(SUMPRODUCT((('CASE MASTER'!$T$2:$T$495=7)*('CASE MASTER'!$U$2:$U$495&lt;=5)*('CASE MASTER'!$W$2:$W$495&gt;=5)*('CASE MASTER'!$V$2:$V$495&lt;=9)*('CASE MASTER'!$X$2:$X$495&gt;=9))*ROW('CASE MASTER'!$T$2:$T$495))-(ROW('CASE MASTER'!#REF!)-1))))+1))-1)*50+1,50))&amp;"_"&amp;INDEX('CASE MASTER'!$Q$2:$Q$495,(SUMPRODUCT((('CASE MASTER'!$T$2:$T$495=7)*('CASE MASTER'!$U$2:$U$495&lt;=5)*('CASE MASTER'!$W$2:$W$495&gt;=5)*('CASE MASTER'!$V$2:$V$495&lt;=9)*('CASE MASTER'!$X$2:$X$495&gt;=9))*ROW('CASE MASTER'!$T$2:$T$495))-(ROW('CASE MASTER'!#REF!)-1))),IF(SUMPRODUCT((('CASE MASTER'!$T$2:$T$495=7)*('CASE MASTER'!$AA$2:$AA$495&lt;=5)*('CASE MASTER'!$AC$2:$AC$495&gt;=5)*('CASE MASTER'!$AB$2:$AB$495&lt;=9)*('CASE MASTER'!$AD$2:$AD$495&gt;=9))*ROW('CASE MASTER'!$T$2:$T$495))&gt;0,INDEX('CASE MASTER'!$Y$2:$Y$495,(SUMPRODUCT((('CASE MASTER'!$T$2:$T$495=7)*('CASE MASTER'!$AA$2:$AA$495&lt;=5)*('CASE MASTER'!$AC$2:$AC$495&gt;=5)*('CASE MASTER'!$AB$2:$AB$495&lt;=9)*('CASE MASTER'!$AD$2:$AD$495&gt;=9))*ROW('CASE MASTER'!$T$2:$T$495))-(ROW('CASE MASTER'!#REF!)-1)))&amp;TRIM(MID(SUBSTITUTE(SUBSTITUTE(INDEX('CASE MASTER'!$N$2:$N$495,(SUMPRODUCT((('CASE MASTER'!$T$2:$T$495=7)*('CASE MASTER'!$AA$2:$AA$495&lt;=5)*('CASE MASTER'!$AC$2:$AC$495&gt;=5)*('CASE MASTER'!$AB$2:$AB$495&lt;=9)*('CASE MASTER'!$AD$2:$AD$495&gt;=9))*ROW('CASE MASTER'!$T$2:$T$495))-(ROW('CASE MASTER'!#REF!)-1))),":",","),",",REPT(" ",50)),(((INDEX('CASE MASTER'!$Z$2:$Z$495,(SUMPRODUCT((('CASE MASTER'!$T$2:$T$495=7)*('CASE MASTER'!$AA$2:$AA$495&lt;=5)*('CASE MASTER'!$AC$2:$AC$495&gt;=5)*('CASE MASTER'!$AB$2:$AB$495&lt;=9)*('CASE MASTER'!$AD$2:$AD$495&gt;=9))*ROW('CASE MASTER'!$T$2:$T$495))-(ROW('CASE MASTER'!#REF!)-1)))+((5-INDEX('CASE MASTER'!$AA$2:$AA$495,(SUMPRODUCT((('CASE MASTER'!$T$2:$T$495=7)*('CASE MASTER'!$AA$2:$AA$495&lt;=5)*('CASE MASTER'!$AC$2:$AC$495&gt;=5)*('CASE MASTER'!$AB$2:$AB$495&lt;=9)*('CASE MASTER'!$AD$2:$AD$495&gt;=9))*ROW('CASE MASTER'!$T$2:$T$495))-(ROW('CASE MASTER'!#REF!)-1))))*(INDEX('CASE MASTER'!$AD$2:$AD$495,(SUMPRODUCT((('CASE MASTER'!$T$2:$T$495=7)*('CASE MASTER'!$AA$2:$AA$495&lt;=5)*('CASE MASTER'!$AC$2:$AC$495&gt;=5)*('CASE MASTER'!$AB$2:$AB$495&lt;=9)*('CASE MASTER'!$AD$2:$AD$495&gt;=9))*ROW('CASE MASTER'!$T$2:$T$495))-(ROW('CASE MASTER'!#REF!)-1)))-INDEX('CASE MASTER'!$AB$2:$AB$495,(SUMPRODUCT((('CASE MASTER'!$T$2:$T$495=7)*('CASE MASTER'!$AA$2:$AA$495&lt;=5)*('CASE MASTER'!$AC$2:$AC$495&gt;=5)*('CASE MASTER'!$AB$2:$AB$495&lt;=9)*('CASE MASTER'!$AD$2:$AD$495&gt;=9))*ROW('CASE MASTER'!$T$2:$T$495))-(ROW('CASE MASTER'!#REF!)-1)))+1)+(9-INDEX('CASE MASTER'!$AB$2:$AB$495,(SUMPRODUCT((('CASE MASTER'!$T$2:$T$495=7)*('CASE MASTER'!$AA$2:$AA$495&lt;=5)*('CASE MASTER'!$AC$2:$AC$495&gt;=5)*('CASE MASTER'!$AB$2:$AB$495&lt;=9)*('CASE MASTER'!$AD$2:$AD$495&gt;=9))*ROW('CASE MASTER'!$T$2:$T$495))-(ROW('CASE MASTER'!#REF!)-1))))+1)))-1)*50+1,50))&amp;"_"&amp;INDEX('CASE MASTER'!$Q$2:$Q$495,(SUMPRODUCT((('CASE MASTER'!$T$2:$T$495=7)*('CASE MASTER'!$AA$2:$AA$495&lt;=5)*('CASE MASTER'!$AC$2:$AC$495&gt;=5)*('CASE MASTER'!$AB$2:$AB$495&lt;=9)*('CASE MASTER'!$AD$2:$AD$495&gt;=9))*ROW('CASE MASTER'!$T$2:$T$495))-(ROW('CASE MASTER'!#REF!)-1))),"")),"")</f>
        <v/>
      </c>
      <c r="K91" s="10" t="str">
        <f>IFERROR(IF(SUMPRODUCT((('CASE MASTER'!$T$2:$T$495=7)*('CASE MASTER'!$U$2:$U$495&lt;=5)*('CASE MASTER'!$W$2:$W$495&gt;=5)*('CASE MASTER'!$V$2:$V$495&lt;=10)*('CASE MASTER'!$X$2:$X$495&gt;=10))*ROW('CASE MASTER'!$T$2:$T$495))&gt;0,INDEX('CASE MASTER'!$Y$2:$Y$495,(SUMPRODUCT((('CASE MASTER'!$T$2:$T$495=7)*('CASE MASTER'!$U$2:$U$495&lt;=5)*('CASE MASTER'!$W$2:$W$495&gt;=5)*('CASE MASTER'!$V$2:$V$495&lt;=10)*('CASE MASTER'!$X$2:$X$495&gt;=10))*ROW('CASE MASTER'!$T$2:$T$495))-(ROW('CASE MASTER'!#REF!)-1)))&amp;TRIM(MID(SUBSTITUTE(SUBSTITUTE(INDEX('CASE MASTER'!$N$2:$N$495,(SUMPRODUCT((('CASE MASTER'!$T$2:$T$495=7)*('CASE MASTER'!$U$2:$U$495&lt;=5)*('CASE MASTER'!$W$2:$W$495&gt;=5)*('CASE MASTER'!$V$2:$V$495&lt;=10)*('CASE MASTER'!$X$2:$X$495&gt;=10))*ROW('CASE MASTER'!$T$2:$T$495))-(ROW('CASE MASTER'!#REF!)-1))),":",","),",",REPT(" ",50)),((((5-INDEX('CASE MASTER'!$U$2:$U$495,(SUMPRODUCT((('CASE MASTER'!$T$2:$T$495=7)*('CASE MASTER'!$U$2:$U$495&lt;=5)*('CASE MASTER'!$W$2:$W$495&gt;=5)*('CASE MASTER'!$V$2:$V$495&lt;=10)*('CASE MASTER'!$X$2:$X$495&gt;=10))*ROW('CASE MASTER'!$T$2:$T$495))-(ROW('CASE MASTER'!#REF!)-1))))*(INDEX('CASE MASTER'!$X$2:$X$495,(SUMPRODUCT((('CASE MASTER'!$T$2:$T$495=7)*('CASE MASTER'!$U$2:$U$495&lt;=5)*('CASE MASTER'!$W$2:$W$495&gt;=5)*('CASE MASTER'!$V$2:$V$495&lt;=10)*('CASE MASTER'!$X$2:$X$495&gt;=10))*ROW('CASE MASTER'!$T$2:$T$495))-(ROW('CASE MASTER'!#REF!)-1)))-INDEX('CASE MASTER'!$V$2:$V$495,(SUMPRODUCT((('CASE MASTER'!$T$2:$T$495=7)*('CASE MASTER'!$U$2:$U$495&lt;=5)*('CASE MASTER'!$W$2:$W$495&gt;=5)*('CASE MASTER'!$V$2:$V$495&lt;=10)*('CASE MASTER'!$X$2:$X$495&gt;=10))*ROW('CASE MASTER'!$T$2:$T$495))-(ROW('CASE MASTER'!#REF!)-1)))+1)+(10-INDEX('CASE MASTER'!$V$2:$V$495,(SUMPRODUCT((('CASE MASTER'!$T$2:$T$495=7)*('CASE MASTER'!$U$2:$U$495&lt;=5)*('CASE MASTER'!$W$2:$W$495&gt;=5)*('CASE MASTER'!$V$2:$V$495&lt;=10)*('CASE MASTER'!$X$2:$X$495&gt;=10))*ROW('CASE MASTER'!$T$2:$T$495))-(ROW('CASE MASTER'!#REF!)-1))))+1))-1)*50+1,50))&amp;"_"&amp;INDEX('CASE MASTER'!$Q$2:$Q$495,(SUMPRODUCT((('CASE MASTER'!$T$2:$T$495=7)*('CASE MASTER'!$U$2:$U$495&lt;=5)*('CASE MASTER'!$W$2:$W$495&gt;=5)*('CASE MASTER'!$V$2:$V$495&lt;=10)*('CASE MASTER'!$X$2:$X$495&gt;=10))*ROW('CASE MASTER'!$T$2:$T$495))-(ROW('CASE MASTER'!#REF!)-1))),IF(SUMPRODUCT((('CASE MASTER'!$T$2:$T$495=7)*('CASE MASTER'!$AA$2:$AA$495&lt;=5)*('CASE MASTER'!$AC$2:$AC$495&gt;=5)*('CASE MASTER'!$AB$2:$AB$495&lt;=10)*('CASE MASTER'!$AD$2:$AD$495&gt;=10))*ROW('CASE MASTER'!$T$2:$T$495))&gt;0,INDEX('CASE MASTER'!$Y$2:$Y$495,(SUMPRODUCT((('CASE MASTER'!$T$2:$T$495=7)*('CASE MASTER'!$AA$2:$AA$495&lt;=5)*('CASE MASTER'!$AC$2:$AC$495&gt;=5)*('CASE MASTER'!$AB$2:$AB$495&lt;=10)*('CASE MASTER'!$AD$2:$AD$495&gt;=10))*ROW('CASE MASTER'!$T$2:$T$495))-(ROW('CASE MASTER'!#REF!)-1)))&amp;TRIM(MID(SUBSTITUTE(SUBSTITUTE(INDEX('CASE MASTER'!$N$2:$N$495,(SUMPRODUCT((('CASE MASTER'!$T$2:$T$495=7)*('CASE MASTER'!$AA$2:$AA$495&lt;=5)*('CASE MASTER'!$AC$2:$AC$495&gt;=5)*('CASE MASTER'!$AB$2:$AB$495&lt;=10)*('CASE MASTER'!$AD$2:$AD$495&gt;=10))*ROW('CASE MASTER'!$T$2:$T$495))-(ROW('CASE MASTER'!#REF!)-1))),":",","),",",REPT(" ",50)),(((INDEX('CASE MASTER'!$Z$2:$Z$495,(SUMPRODUCT((('CASE MASTER'!$T$2:$T$495=7)*('CASE MASTER'!$AA$2:$AA$495&lt;=5)*('CASE MASTER'!$AC$2:$AC$495&gt;=5)*('CASE MASTER'!$AB$2:$AB$495&lt;=10)*('CASE MASTER'!$AD$2:$AD$495&gt;=10))*ROW('CASE MASTER'!$T$2:$T$495))-(ROW('CASE MASTER'!#REF!)-1)))+((5-INDEX('CASE MASTER'!$AA$2:$AA$495,(SUMPRODUCT((('CASE MASTER'!$T$2:$T$495=7)*('CASE MASTER'!$AA$2:$AA$495&lt;=5)*('CASE MASTER'!$AC$2:$AC$495&gt;=5)*('CASE MASTER'!$AB$2:$AB$495&lt;=10)*('CASE MASTER'!$AD$2:$AD$495&gt;=10))*ROW('CASE MASTER'!$T$2:$T$495))-(ROW('CASE MASTER'!#REF!)-1))))*(INDEX('CASE MASTER'!$AD$2:$AD$495,(SUMPRODUCT((('CASE MASTER'!$T$2:$T$495=7)*('CASE MASTER'!$AA$2:$AA$495&lt;=5)*('CASE MASTER'!$AC$2:$AC$495&gt;=5)*('CASE MASTER'!$AB$2:$AB$495&lt;=10)*('CASE MASTER'!$AD$2:$AD$495&gt;=10))*ROW('CASE MASTER'!$T$2:$T$495))-(ROW('CASE MASTER'!#REF!)-1)))-INDEX('CASE MASTER'!$AB$2:$AB$495,(SUMPRODUCT((('CASE MASTER'!$T$2:$T$495=7)*('CASE MASTER'!$AA$2:$AA$495&lt;=5)*('CASE MASTER'!$AC$2:$AC$495&gt;=5)*('CASE MASTER'!$AB$2:$AB$495&lt;=10)*('CASE MASTER'!$AD$2:$AD$495&gt;=10))*ROW('CASE MASTER'!$T$2:$T$495))-(ROW('CASE MASTER'!#REF!)-1)))+1)+(10-INDEX('CASE MASTER'!$AB$2:$AB$495,(SUMPRODUCT((('CASE MASTER'!$T$2:$T$495=7)*('CASE MASTER'!$AA$2:$AA$495&lt;=5)*('CASE MASTER'!$AC$2:$AC$495&gt;=5)*('CASE MASTER'!$AB$2:$AB$495&lt;=10)*('CASE MASTER'!$AD$2:$AD$495&gt;=10))*ROW('CASE MASTER'!$T$2:$T$495))-(ROW('CASE MASTER'!#REF!)-1))))+1)))-1)*50+1,50))&amp;"_"&amp;INDEX('CASE MASTER'!$Q$2:$Q$495,(SUMPRODUCT((('CASE MASTER'!$T$2:$T$495=7)*('CASE MASTER'!$AA$2:$AA$495&lt;=5)*('CASE MASTER'!$AC$2:$AC$495&gt;=5)*('CASE MASTER'!$AB$2:$AB$495&lt;=10)*('CASE MASTER'!$AD$2:$AD$495&gt;=10))*ROW('CASE MASTER'!$T$2:$T$495))-(ROW('CASE MASTER'!#REF!)-1))),"")),"")</f>
        <v/>
      </c>
    </row>
    <row r="92" spans="1:11" ht="15" customHeight="1" x14ac:dyDescent="0.35">
      <c r="A92" s="8" t="s">
        <v>33</v>
      </c>
      <c r="B92" s="10" t="str">
        <f>IFERROR(IF(SUMPRODUCT((('CASE MASTER'!$T$2:$T$495=7)*('CASE MASTER'!$U$2:$U$495&lt;=6)*('CASE MASTER'!$W$2:$W$495&gt;=6)*('CASE MASTER'!$V$2:$V$495&lt;=1)*('CASE MASTER'!$X$2:$X$495&gt;=1))*ROW('CASE MASTER'!$T$2:$T$495))&gt;0,INDEX('CASE MASTER'!$Y$2:$Y$495,(SUMPRODUCT((('CASE MASTER'!$T$2:$T$495=7)*('CASE MASTER'!$U$2:$U$495&lt;=6)*('CASE MASTER'!$W$2:$W$495&gt;=6)*('CASE MASTER'!$V$2:$V$495&lt;=1)*('CASE MASTER'!$X$2:$X$495&gt;=1))*ROW('CASE MASTER'!$T$2:$T$495))-(ROW('CASE MASTER'!#REF!)-1)))&amp;TRIM(MID(SUBSTITUTE(SUBSTITUTE(INDEX('CASE MASTER'!$N$2:$N$495,(SUMPRODUCT((('CASE MASTER'!$T$2:$T$495=7)*('CASE MASTER'!$U$2:$U$495&lt;=6)*('CASE MASTER'!$W$2:$W$495&gt;=6)*('CASE MASTER'!$V$2:$V$495&lt;=1)*('CASE MASTER'!$X$2:$X$495&gt;=1))*ROW('CASE MASTER'!$T$2:$T$495))-(ROW('CASE MASTER'!#REF!)-1))),":",","),",",REPT(" ",50)),((((6-INDEX('CASE MASTER'!$U$2:$U$495,(SUMPRODUCT((('CASE MASTER'!$T$2:$T$495=7)*('CASE MASTER'!$U$2:$U$495&lt;=6)*('CASE MASTER'!$W$2:$W$495&gt;=6)*('CASE MASTER'!$V$2:$V$495&lt;=1)*('CASE MASTER'!$X$2:$X$495&gt;=1))*ROW('CASE MASTER'!$T$2:$T$495))-(ROW('CASE MASTER'!#REF!)-1))))*(INDEX('CASE MASTER'!$X$2:$X$495,(SUMPRODUCT((('CASE MASTER'!$T$2:$T$495=7)*('CASE MASTER'!$U$2:$U$495&lt;=6)*('CASE MASTER'!$W$2:$W$495&gt;=6)*('CASE MASTER'!$V$2:$V$495&lt;=1)*('CASE MASTER'!$X$2:$X$495&gt;=1))*ROW('CASE MASTER'!$T$2:$T$495))-(ROW('CASE MASTER'!#REF!)-1)))-INDEX('CASE MASTER'!$V$2:$V$495,(SUMPRODUCT((('CASE MASTER'!$T$2:$T$495=7)*('CASE MASTER'!$U$2:$U$495&lt;=6)*('CASE MASTER'!$W$2:$W$495&gt;=6)*('CASE MASTER'!$V$2:$V$495&lt;=1)*('CASE MASTER'!$X$2:$X$495&gt;=1))*ROW('CASE MASTER'!$T$2:$T$495))-(ROW('CASE MASTER'!#REF!)-1)))+1)+(1-INDEX('CASE MASTER'!$V$2:$V$495,(SUMPRODUCT((('CASE MASTER'!$T$2:$T$495=7)*('CASE MASTER'!$U$2:$U$495&lt;=6)*('CASE MASTER'!$W$2:$W$495&gt;=6)*('CASE MASTER'!$V$2:$V$495&lt;=1)*('CASE MASTER'!$X$2:$X$495&gt;=1))*ROW('CASE MASTER'!$T$2:$T$495))-(ROW('CASE MASTER'!#REF!)-1))))+1))-1)*50+1,50))&amp;"_"&amp;INDEX('CASE MASTER'!$Q$2:$Q$495,(SUMPRODUCT((('CASE MASTER'!$T$2:$T$495=7)*('CASE MASTER'!$U$2:$U$495&lt;=6)*('CASE MASTER'!$W$2:$W$495&gt;=6)*('CASE MASTER'!$V$2:$V$495&lt;=1)*('CASE MASTER'!$X$2:$X$495&gt;=1))*ROW('CASE MASTER'!$T$2:$T$495))-(ROW('CASE MASTER'!#REF!)-1))),IF(SUMPRODUCT((('CASE MASTER'!$T$2:$T$495=7)*('CASE MASTER'!$AA$2:$AA$495&lt;=6)*('CASE MASTER'!$AC$2:$AC$495&gt;=6)*('CASE MASTER'!$AB$2:$AB$495&lt;=1)*('CASE MASTER'!$AD$2:$AD$495&gt;=1))*ROW('CASE MASTER'!$T$2:$T$495))&gt;0,INDEX('CASE MASTER'!$Y$2:$Y$495,(SUMPRODUCT((('CASE MASTER'!$T$2:$T$495=7)*('CASE MASTER'!$AA$2:$AA$495&lt;=6)*('CASE MASTER'!$AC$2:$AC$495&gt;=6)*('CASE MASTER'!$AB$2:$AB$495&lt;=1)*('CASE MASTER'!$AD$2:$AD$495&gt;=1))*ROW('CASE MASTER'!$T$2:$T$495))-(ROW('CASE MASTER'!#REF!)-1)))&amp;TRIM(MID(SUBSTITUTE(SUBSTITUTE(INDEX('CASE MASTER'!$N$2:$N$495,(SUMPRODUCT((('CASE MASTER'!$T$2:$T$495=7)*('CASE MASTER'!$AA$2:$AA$495&lt;=6)*('CASE MASTER'!$AC$2:$AC$495&gt;=6)*('CASE MASTER'!$AB$2:$AB$495&lt;=1)*('CASE MASTER'!$AD$2:$AD$495&gt;=1))*ROW('CASE MASTER'!$T$2:$T$495))-(ROW('CASE MASTER'!#REF!)-1))),":",","),",",REPT(" ",50)),(((INDEX('CASE MASTER'!$Z$2:$Z$495,(SUMPRODUCT((('CASE MASTER'!$T$2:$T$495=7)*('CASE MASTER'!$AA$2:$AA$495&lt;=6)*('CASE MASTER'!$AC$2:$AC$495&gt;=6)*('CASE MASTER'!$AB$2:$AB$495&lt;=1)*('CASE MASTER'!$AD$2:$AD$495&gt;=1))*ROW('CASE MASTER'!$T$2:$T$495))-(ROW('CASE MASTER'!#REF!)-1)))+((6-INDEX('CASE MASTER'!$AA$2:$AA$495,(SUMPRODUCT((('CASE MASTER'!$T$2:$T$495=7)*('CASE MASTER'!$AA$2:$AA$495&lt;=6)*('CASE MASTER'!$AC$2:$AC$495&gt;=6)*('CASE MASTER'!$AB$2:$AB$495&lt;=1)*('CASE MASTER'!$AD$2:$AD$495&gt;=1))*ROW('CASE MASTER'!$T$2:$T$495))-(ROW('CASE MASTER'!#REF!)-1))))*(INDEX('CASE MASTER'!$AD$2:$AD$495,(SUMPRODUCT((('CASE MASTER'!$T$2:$T$495=7)*('CASE MASTER'!$AA$2:$AA$495&lt;=6)*('CASE MASTER'!$AC$2:$AC$495&gt;=6)*('CASE MASTER'!$AB$2:$AB$495&lt;=1)*('CASE MASTER'!$AD$2:$AD$495&gt;=1))*ROW('CASE MASTER'!$T$2:$T$495))-(ROW('CASE MASTER'!#REF!)-1)))-INDEX('CASE MASTER'!$AB$2:$AB$495,(SUMPRODUCT((('CASE MASTER'!$T$2:$T$495=7)*('CASE MASTER'!$AA$2:$AA$495&lt;=6)*('CASE MASTER'!$AC$2:$AC$495&gt;=6)*('CASE MASTER'!$AB$2:$AB$495&lt;=1)*('CASE MASTER'!$AD$2:$AD$495&gt;=1))*ROW('CASE MASTER'!$T$2:$T$495))-(ROW('CASE MASTER'!#REF!)-1)))+1)+(1-INDEX('CASE MASTER'!$AB$2:$AB$495,(SUMPRODUCT((('CASE MASTER'!$T$2:$T$495=7)*('CASE MASTER'!$AA$2:$AA$495&lt;=6)*('CASE MASTER'!$AC$2:$AC$495&gt;=6)*('CASE MASTER'!$AB$2:$AB$495&lt;=1)*('CASE MASTER'!$AD$2:$AD$495&gt;=1))*ROW('CASE MASTER'!$T$2:$T$495))-(ROW('CASE MASTER'!#REF!)-1))))+1)))-1)*50+1,50))&amp;"_"&amp;INDEX('CASE MASTER'!$Q$2:$Q$495,(SUMPRODUCT((('CASE MASTER'!$T$2:$T$495=7)*('CASE MASTER'!$AA$2:$AA$495&lt;=6)*('CASE MASTER'!$AC$2:$AC$495&gt;=6)*('CASE MASTER'!$AB$2:$AB$495&lt;=1)*('CASE MASTER'!$AD$2:$AD$495&gt;=1))*ROW('CASE MASTER'!$T$2:$T$495))-(ROW('CASE MASTER'!#REF!)-1))),"")),"")</f>
        <v/>
      </c>
      <c r="C92" s="10" t="str">
        <f>IFERROR(IF(SUMPRODUCT((('CASE MASTER'!$T$2:$T$495=7)*('CASE MASTER'!$U$2:$U$495&lt;=6)*('CASE MASTER'!$W$2:$W$495&gt;=6)*('CASE MASTER'!$V$2:$V$495&lt;=2)*('CASE MASTER'!$X$2:$X$495&gt;=2))*ROW('CASE MASTER'!$T$2:$T$495))&gt;0,INDEX('CASE MASTER'!$Y$2:$Y$495,(SUMPRODUCT((('CASE MASTER'!$T$2:$T$495=7)*('CASE MASTER'!$U$2:$U$495&lt;=6)*('CASE MASTER'!$W$2:$W$495&gt;=6)*('CASE MASTER'!$V$2:$V$495&lt;=2)*('CASE MASTER'!$X$2:$X$495&gt;=2))*ROW('CASE MASTER'!$T$2:$T$495))-(ROW('CASE MASTER'!#REF!)-1)))&amp;TRIM(MID(SUBSTITUTE(SUBSTITUTE(INDEX('CASE MASTER'!$N$2:$N$495,(SUMPRODUCT((('CASE MASTER'!$T$2:$T$495=7)*('CASE MASTER'!$U$2:$U$495&lt;=6)*('CASE MASTER'!$W$2:$W$495&gt;=6)*('CASE MASTER'!$V$2:$V$495&lt;=2)*('CASE MASTER'!$X$2:$X$495&gt;=2))*ROW('CASE MASTER'!$T$2:$T$495))-(ROW('CASE MASTER'!#REF!)-1))),":",","),",",REPT(" ",50)),((((6-INDEX('CASE MASTER'!$U$2:$U$495,(SUMPRODUCT((('CASE MASTER'!$T$2:$T$495=7)*('CASE MASTER'!$U$2:$U$495&lt;=6)*('CASE MASTER'!$W$2:$W$495&gt;=6)*('CASE MASTER'!$V$2:$V$495&lt;=2)*('CASE MASTER'!$X$2:$X$495&gt;=2))*ROW('CASE MASTER'!$T$2:$T$495))-(ROW('CASE MASTER'!#REF!)-1))))*(INDEX('CASE MASTER'!$X$2:$X$495,(SUMPRODUCT((('CASE MASTER'!$T$2:$T$495=7)*('CASE MASTER'!$U$2:$U$495&lt;=6)*('CASE MASTER'!$W$2:$W$495&gt;=6)*('CASE MASTER'!$V$2:$V$495&lt;=2)*('CASE MASTER'!$X$2:$X$495&gt;=2))*ROW('CASE MASTER'!$T$2:$T$495))-(ROW('CASE MASTER'!#REF!)-1)))-INDEX('CASE MASTER'!$V$2:$V$495,(SUMPRODUCT((('CASE MASTER'!$T$2:$T$495=7)*('CASE MASTER'!$U$2:$U$495&lt;=6)*('CASE MASTER'!$W$2:$W$495&gt;=6)*('CASE MASTER'!$V$2:$V$495&lt;=2)*('CASE MASTER'!$X$2:$X$495&gt;=2))*ROW('CASE MASTER'!$T$2:$T$495))-(ROW('CASE MASTER'!#REF!)-1)))+1)+(2-INDEX('CASE MASTER'!$V$2:$V$495,(SUMPRODUCT((('CASE MASTER'!$T$2:$T$495=7)*('CASE MASTER'!$U$2:$U$495&lt;=6)*('CASE MASTER'!$W$2:$W$495&gt;=6)*('CASE MASTER'!$V$2:$V$495&lt;=2)*('CASE MASTER'!$X$2:$X$495&gt;=2))*ROW('CASE MASTER'!$T$2:$T$495))-(ROW('CASE MASTER'!#REF!)-1))))+1))-1)*50+1,50))&amp;"_"&amp;INDEX('CASE MASTER'!$Q$2:$Q$495,(SUMPRODUCT((('CASE MASTER'!$T$2:$T$495=7)*('CASE MASTER'!$U$2:$U$495&lt;=6)*('CASE MASTER'!$W$2:$W$495&gt;=6)*('CASE MASTER'!$V$2:$V$495&lt;=2)*('CASE MASTER'!$X$2:$X$495&gt;=2))*ROW('CASE MASTER'!$T$2:$T$495))-(ROW('CASE MASTER'!#REF!)-1))),IF(SUMPRODUCT((('CASE MASTER'!$T$2:$T$495=7)*('CASE MASTER'!$AA$2:$AA$495&lt;=6)*('CASE MASTER'!$AC$2:$AC$495&gt;=6)*('CASE MASTER'!$AB$2:$AB$495&lt;=2)*('CASE MASTER'!$AD$2:$AD$495&gt;=2))*ROW('CASE MASTER'!$T$2:$T$495))&gt;0,INDEX('CASE MASTER'!$Y$2:$Y$495,(SUMPRODUCT((('CASE MASTER'!$T$2:$T$495=7)*('CASE MASTER'!$AA$2:$AA$495&lt;=6)*('CASE MASTER'!$AC$2:$AC$495&gt;=6)*('CASE MASTER'!$AB$2:$AB$495&lt;=2)*('CASE MASTER'!$AD$2:$AD$495&gt;=2))*ROW('CASE MASTER'!$T$2:$T$495))-(ROW('CASE MASTER'!#REF!)-1)))&amp;TRIM(MID(SUBSTITUTE(SUBSTITUTE(INDEX('CASE MASTER'!$N$2:$N$495,(SUMPRODUCT((('CASE MASTER'!$T$2:$T$495=7)*('CASE MASTER'!$AA$2:$AA$495&lt;=6)*('CASE MASTER'!$AC$2:$AC$495&gt;=6)*('CASE MASTER'!$AB$2:$AB$495&lt;=2)*('CASE MASTER'!$AD$2:$AD$495&gt;=2))*ROW('CASE MASTER'!$T$2:$T$495))-(ROW('CASE MASTER'!#REF!)-1))),":",","),",",REPT(" ",50)),(((INDEX('CASE MASTER'!$Z$2:$Z$495,(SUMPRODUCT((('CASE MASTER'!$T$2:$T$495=7)*('CASE MASTER'!$AA$2:$AA$495&lt;=6)*('CASE MASTER'!$AC$2:$AC$495&gt;=6)*('CASE MASTER'!$AB$2:$AB$495&lt;=2)*('CASE MASTER'!$AD$2:$AD$495&gt;=2))*ROW('CASE MASTER'!$T$2:$T$495))-(ROW('CASE MASTER'!#REF!)-1)))+((6-INDEX('CASE MASTER'!$AA$2:$AA$495,(SUMPRODUCT((('CASE MASTER'!$T$2:$T$495=7)*('CASE MASTER'!$AA$2:$AA$495&lt;=6)*('CASE MASTER'!$AC$2:$AC$495&gt;=6)*('CASE MASTER'!$AB$2:$AB$495&lt;=2)*('CASE MASTER'!$AD$2:$AD$495&gt;=2))*ROW('CASE MASTER'!$T$2:$T$495))-(ROW('CASE MASTER'!#REF!)-1))))*(INDEX('CASE MASTER'!$AD$2:$AD$495,(SUMPRODUCT((('CASE MASTER'!$T$2:$T$495=7)*('CASE MASTER'!$AA$2:$AA$495&lt;=6)*('CASE MASTER'!$AC$2:$AC$495&gt;=6)*('CASE MASTER'!$AB$2:$AB$495&lt;=2)*('CASE MASTER'!$AD$2:$AD$495&gt;=2))*ROW('CASE MASTER'!$T$2:$T$495))-(ROW('CASE MASTER'!#REF!)-1)))-INDEX('CASE MASTER'!$AB$2:$AB$495,(SUMPRODUCT((('CASE MASTER'!$T$2:$T$495=7)*('CASE MASTER'!$AA$2:$AA$495&lt;=6)*('CASE MASTER'!$AC$2:$AC$495&gt;=6)*('CASE MASTER'!$AB$2:$AB$495&lt;=2)*('CASE MASTER'!$AD$2:$AD$495&gt;=2))*ROW('CASE MASTER'!$T$2:$T$495))-(ROW('CASE MASTER'!#REF!)-1)))+1)+(2-INDEX('CASE MASTER'!$AB$2:$AB$495,(SUMPRODUCT((('CASE MASTER'!$T$2:$T$495=7)*('CASE MASTER'!$AA$2:$AA$495&lt;=6)*('CASE MASTER'!$AC$2:$AC$495&gt;=6)*('CASE MASTER'!$AB$2:$AB$495&lt;=2)*('CASE MASTER'!$AD$2:$AD$495&gt;=2))*ROW('CASE MASTER'!$T$2:$T$495))-(ROW('CASE MASTER'!#REF!)-1))))+1)))-1)*50+1,50))&amp;"_"&amp;INDEX('CASE MASTER'!$Q$2:$Q$495,(SUMPRODUCT((('CASE MASTER'!$T$2:$T$495=7)*('CASE MASTER'!$AA$2:$AA$495&lt;=6)*('CASE MASTER'!$AC$2:$AC$495&gt;=6)*('CASE MASTER'!$AB$2:$AB$495&lt;=2)*('CASE MASTER'!$AD$2:$AD$495&gt;=2))*ROW('CASE MASTER'!$T$2:$T$495))-(ROW('CASE MASTER'!#REF!)-1))),"")),"")</f>
        <v/>
      </c>
      <c r="D92" s="10" t="str">
        <f>IFERROR(IF(SUMPRODUCT((('CASE MASTER'!$T$2:$T$495=7)*('CASE MASTER'!$U$2:$U$495&lt;=6)*('CASE MASTER'!$W$2:$W$495&gt;=6)*('CASE MASTER'!$V$2:$V$495&lt;=3)*('CASE MASTER'!$X$2:$X$495&gt;=3))*ROW('CASE MASTER'!$T$2:$T$495))&gt;0,INDEX('CASE MASTER'!$Y$2:$Y$495,(SUMPRODUCT((('CASE MASTER'!$T$2:$T$495=7)*('CASE MASTER'!$U$2:$U$495&lt;=6)*('CASE MASTER'!$W$2:$W$495&gt;=6)*('CASE MASTER'!$V$2:$V$495&lt;=3)*('CASE MASTER'!$X$2:$X$495&gt;=3))*ROW('CASE MASTER'!$T$2:$T$495))-(ROW('CASE MASTER'!#REF!)-1)))&amp;TRIM(MID(SUBSTITUTE(SUBSTITUTE(INDEX('CASE MASTER'!$N$2:$N$495,(SUMPRODUCT((('CASE MASTER'!$T$2:$T$495=7)*('CASE MASTER'!$U$2:$U$495&lt;=6)*('CASE MASTER'!$W$2:$W$495&gt;=6)*('CASE MASTER'!$V$2:$V$495&lt;=3)*('CASE MASTER'!$X$2:$X$495&gt;=3))*ROW('CASE MASTER'!$T$2:$T$495))-(ROW('CASE MASTER'!#REF!)-1))),":",","),",",REPT(" ",50)),((((6-INDEX('CASE MASTER'!$U$2:$U$495,(SUMPRODUCT((('CASE MASTER'!$T$2:$T$495=7)*('CASE MASTER'!$U$2:$U$495&lt;=6)*('CASE MASTER'!$W$2:$W$495&gt;=6)*('CASE MASTER'!$V$2:$V$495&lt;=3)*('CASE MASTER'!$X$2:$X$495&gt;=3))*ROW('CASE MASTER'!$T$2:$T$495))-(ROW('CASE MASTER'!#REF!)-1))))*(INDEX('CASE MASTER'!$X$2:$X$495,(SUMPRODUCT((('CASE MASTER'!$T$2:$T$495=7)*('CASE MASTER'!$U$2:$U$495&lt;=6)*('CASE MASTER'!$W$2:$W$495&gt;=6)*('CASE MASTER'!$V$2:$V$495&lt;=3)*('CASE MASTER'!$X$2:$X$495&gt;=3))*ROW('CASE MASTER'!$T$2:$T$495))-(ROW('CASE MASTER'!#REF!)-1)))-INDEX('CASE MASTER'!$V$2:$V$495,(SUMPRODUCT((('CASE MASTER'!$T$2:$T$495=7)*('CASE MASTER'!$U$2:$U$495&lt;=6)*('CASE MASTER'!$W$2:$W$495&gt;=6)*('CASE MASTER'!$V$2:$V$495&lt;=3)*('CASE MASTER'!$X$2:$X$495&gt;=3))*ROW('CASE MASTER'!$T$2:$T$495))-(ROW('CASE MASTER'!#REF!)-1)))+1)+(3-INDEX('CASE MASTER'!$V$2:$V$495,(SUMPRODUCT((('CASE MASTER'!$T$2:$T$495=7)*('CASE MASTER'!$U$2:$U$495&lt;=6)*('CASE MASTER'!$W$2:$W$495&gt;=6)*('CASE MASTER'!$V$2:$V$495&lt;=3)*('CASE MASTER'!$X$2:$X$495&gt;=3))*ROW('CASE MASTER'!$T$2:$T$495))-(ROW('CASE MASTER'!#REF!)-1))))+1))-1)*50+1,50))&amp;"_"&amp;INDEX('CASE MASTER'!$Q$2:$Q$495,(SUMPRODUCT((('CASE MASTER'!$T$2:$T$495=7)*('CASE MASTER'!$U$2:$U$495&lt;=6)*('CASE MASTER'!$W$2:$W$495&gt;=6)*('CASE MASTER'!$V$2:$V$495&lt;=3)*('CASE MASTER'!$X$2:$X$495&gt;=3))*ROW('CASE MASTER'!$T$2:$T$495))-(ROW('CASE MASTER'!#REF!)-1))),IF(SUMPRODUCT((('CASE MASTER'!$T$2:$T$495=7)*('CASE MASTER'!$AA$2:$AA$495&lt;=6)*('CASE MASTER'!$AC$2:$AC$495&gt;=6)*('CASE MASTER'!$AB$2:$AB$495&lt;=3)*('CASE MASTER'!$AD$2:$AD$495&gt;=3))*ROW('CASE MASTER'!$T$2:$T$495))&gt;0,INDEX('CASE MASTER'!$Y$2:$Y$495,(SUMPRODUCT((('CASE MASTER'!$T$2:$T$495=7)*('CASE MASTER'!$AA$2:$AA$495&lt;=6)*('CASE MASTER'!$AC$2:$AC$495&gt;=6)*('CASE MASTER'!$AB$2:$AB$495&lt;=3)*('CASE MASTER'!$AD$2:$AD$495&gt;=3))*ROW('CASE MASTER'!$T$2:$T$495))-(ROW('CASE MASTER'!#REF!)-1)))&amp;TRIM(MID(SUBSTITUTE(SUBSTITUTE(INDEX('CASE MASTER'!$N$2:$N$495,(SUMPRODUCT((('CASE MASTER'!$T$2:$T$495=7)*('CASE MASTER'!$AA$2:$AA$495&lt;=6)*('CASE MASTER'!$AC$2:$AC$495&gt;=6)*('CASE MASTER'!$AB$2:$AB$495&lt;=3)*('CASE MASTER'!$AD$2:$AD$495&gt;=3))*ROW('CASE MASTER'!$T$2:$T$495))-(ROW('CASE MASTER'!#REF!)-1))),":",","),",",REPT(" ",50)),(((INDEX('CASE MASTER'!$Z$2:$Z$495,(SUMPRODUCT((('CASE MASTER'!$T$2:$T$495=7)*('CASE MASTER'!$AA$2:$AA$495&lt;=6)*('CASE MASTER'!$AC$2:$AC$495&gt;=6)*('CASE MASTER'!$AB$2:$AB$495&lt;=3)*('CASE MASTER'!$AD$2:$AD$495&gt;=3))*ROW('CASE MASTER'!$T$2:$T$495))-(ROW('CASE MASTER'!#REF!)-1)))+((6-INDEX('CASE MASTER'!$AA$2:$AA$495,(SUMPRODUCT((('CASE MASTER'!$T$2:$T$495=7)*('CASE MASTER'!$AA$2:$AA$495&lt;=6)*('CASE MASTER'!$AC$2:$AC$495&gt;=6)*('CASE MASTER'!$AB$2:$AB$495&lt;=3)*('CASE MASTER'!$AD$2:$AD$495&gt;=3))*ROW('CASE MASTER'!$T$2:$T$495))-(ROW('CASE MASTER'!#REF!)-1))))*(INDEX('CASE MASTER'!$AD$2:$AD$495,(SUMPRODUCT((('CASE MASTER'!$T$2:$T$495=7)*('CASE MASTER'!$AA$2:$AA$495&lt;=6)*('CASE MASTER'!$AC$2:$AC$495&gt;=6)*('CASE MASTER'!$AB$2:$AB$495&lt;=3)*('CASE MASTER'!$AD$2:$AD$495&gt;=3))*ROW('CASE MASTER'!$T$2:$T$495))-(ROW('CASE MASTER'!#REF!)-1)))-INDEX('CASE MASTER'!$AB$2:$AB$495,(SUMPRODUCT((('CASE MASTER'!$T$2:$T$495=7)*('CASE MASTER'!$AA$2:$AA$495&lt;=6)*('CASE MASTER'!$AC$2:$AC$495&gt;=6)*('CASE MASTER'!$AB$2:$AB$495&lt;=3)*('CASE MASTER'!$AD$2:$AD$495&gt;=3))*ROW('CASE MASTER'!$T$2:$T$495))-(ROW('CASE MASTER'!#REF!)-1)))+1)+(3-INDEX('CASE MASTER'!$AB$2:$AB$495,(SUMPRODUCT((('CASE MASTER'!$T$2:$T$495=7)*('CASE MASTER'!$AA$2:$AA$495&lt;=6)*('CASE MASTER'!$AC$2:$AC$495&gt;=6)*('CASE MASTER'!$AB$2:$AB$495&lt;=3)*('CASE MASTER'!$AD$2:$AD$495&gt;=3))*ROW('CASE MASTER'!$T$2:$T$495))-(ROW('CASE MASTER'!#REF!)-1))))+1)))-1)*50+1,50))&amp;"_"&amp;INDEX('CASE MASTER'!$Q$2:$Q$495,(SUMPRODUCT((('CASE MASTER'!$T$2:$T$495=7)*('CASE MASTER'!$AA$2:$AA$495&lt;=6)*('CASE MASTER'!$AC$2:$AC$495&gt;=6)*('CASE MASTER'!$AB$2:$AB$495&lt;=3)*('CASE MASTER'!$AD$2:$AD$495&gt;=3))*ROW('CASE MASTER'!$T$2:$T$495))-(ROW('CASE MASTER'!#REF!)-1))),"")),"")</f>
        <v/>
      </c>
      <c r="E92" s="10" t="str">
        <f>IFERROR(IF(SUMPRODUCT((('CASE MASTER'!$T$2:$T$495=7)*('CASE MASTER'!$U$2:$U$495&lt;=6)*('CASE MASTER'!$W$2:$W$495&gt;=6)*('CASE MASTER'!$V$2:$V$495&lt;=4)*('CASE MASTER'!$X$2:$X$495&gt;=4))*ROW('CASE MASTER'!$T$2:$T$495))&gt;0,INDEX('CASE MASTER'!$Y$2:$Y$495,(SUMPRODUCT((('CASE MASTER'!$T$2:$T$495=7)*('CASE MASTER'!$U$2:$U$495&lt;=6)*('CASE MASTER'!$W$2:$W$495&gt;=6)*('CASE MASTER'!$V$2:$V$495&lt;=4)*('CASE MASTER'!$X$2:$X$495&gt;=4))*ROW('CASE MASTER'!$T$2:$T$495))-(ROW('CASE MASTER'!#REF!)-1)))&amp;TRIM(MID(SUBSTITUTE(SUBSTITUTE(INDEX('CASE MASTER'!$N$2:$N$495,(SUMPRODUCT((('CASE MASTER'!$T$2:$T$495=7)*('CASE MASTER'!$U$2:$U$495&lt;=6)*('CASE MASTER'!$W$2:$W$495&gt;=6)*('CASE MASTER'!$V$2:$V$495&lt;=4)*('CASE MASTER'!$X$2:$X$495&gt;=4))*ROW('CASE MASTER'!$T$2:$T$495))-(ROW('CASE MASTER'!#REF!)-1))),":",","),",",REPT(" ",50)),((((6-INDEX('CASE MASTER'!$U$2:$U$495,(SUMPRODUCT((('CASE MASTER'!$T$2:$T$495=7)*('CASE MASTER'!$U$2:$U$495&lt;=6)*('CASE MASTER'!$W$2:$W$495&gt;=6)*('CASE MASTER'!$V$2:$V$495&lt;=4)*('CASE MASTER'!$X$2:$X$495&gt;=4))*ROW('CASE MASTER'!$T$2:$T$495))-(ROW('CASE MASTER'!#REF!)-1))))*(INDEX('CASE MASTER'!$X$2:$X$495,(SUMPRODUCT((('CASE MASTER'!$T$2:$T$495=7)*('CASE MASTER'!$U$2:$U$495&lt;=6)*('CASE MASTER'!$W$2:$W$495&gt;=6)*('CASE MASTER'!$V$2:$V$495&lt;=4)*('CASE MASTER'!$X$2:$X$495&gt;=4))*ROW('CASE MASTER'!$T$2:$T$495))-(ROW('CASE MASTER'!#REF!)-1)))-INDEX('CASE MASTER'!$V$2:$V$495,(SUMPRODUCT((('CASE MASTER'!$T$2:$T$495=7)*('CASE MASTER'!$U$2:$U$495&lt;=6)*('CASE MASTER'!$W$2:$W$495&gt;=6)*('CASE MASTER'!$V$2:$V$495&lt;=4)*('CASE MASTER'!$X$2:$X$495&gt;=4))*ROW('CASE MASTER'!$T$2:$T$495))-(ROW('CASE MASTER'!#REF!)-1)))+1)+(4-INDEX('CASE MASTER'!$V$2:$V$495,(SUMPRODUCT((('CASE MASTER'!$T$2:$T$495=7)*('CASE MASTER'!$U$2:$U$495&lt;=6)*('CASE MASTER'!$W$2:$W$495&gt;=6)*('CASE MASTER'!$V$2:$V$495&lt;=4)*('CASE MASTER'!$X$2:$X$495&gt;=4))*ROW('CASE MASTER'!$T$2:$T$495))-(ROW('CASE MASTER'!#REF!)-1))))+1))-1)*50+1,50))&amp;"_"&amp;INDEX('CASE MASTER'!$Q$2:$Q$495,(SUMPRODUCT((('CASE MASTER'!$T$2:$T$495=7)*('CASE MASTER'!$U$2:$U$495&lt;=6)*('CASE MASTER'!$W$2:$W$495&gt;=6)*('CASE MASTER'!$V$2:$V$495&lt;=4)*('CASE MASTER'!$X$2:$X$495&gt;=4))*ROW('CASE MASTER'!$T$2:$T$495))-(ROW('CASE MASTER'!#REF!)-1))),IF(SUMPRODUCT((('CASE MASTER'!$T$2:$T$495=7)*('CASE MASTER'!$AA$2:$AA$495&lt;=6)*('CASE MASTER'!$AC$2:$AC$495&gt;=6)*('CASE MASTER'!$AB$2:$AB$495&lt;=4)*('CASE MASTER'!$AD$2:$AD$495&gt;=4))*ROW('CASE MASTER'!$T$2:$T$495))&gt;0,INDEX('CASE MASTER'!$Y$2:$Y$495,(SUMPRODUCT((('CASE MASTER'!$T$2:$T$495=7)*('CASE MASTER'!$AA$2:$AA$495&lt;=6)*('CASE MASTER'!$AC$2:$AC$495&gt;=6)*('CASE MASTER'!$AB$2:$AB$495&lt;=4)*('CASE MASTER'!$AD$2:$AD$495&gt;=4))*ROW('CASE MASTER'!$T$2:$T$495))-(ROW('CASE MASTER'!#REF!)-1)))&amp;TRIM(MID(SUBSTITUTE(SUBSTITUTE(INDEX('CASE MASTER'!$N$2:$N$495,(SUMPRODUCT((('CASE MASTER'!$T$2:$T$495=7)*('CASE MASTER'!$AA$2:$AA$495&lt;=6)*('CASE MASTER'!$AC$2:$AC$495&gt;=6)*('CASE MASTER'!$AB$2:$AB$495&lt;=4)*('CASE MASTER'!$AD$2:$AD$495&gt;=4))*ROW('CASE MASTER'!$T$2:$T$495))-(ROW('CASE MASTER'!#REF!)-1))),":",","),",",REPT(" ",50)),(((INDEX('CASE MASTER'!$Z$2:$Z$495,(SUMPRODUCT((('CASE MASTER'!$T$2:$T$495=7)*('CASE MASTER'!$AA$2:$AA$495&lt;=6)*('CASE MASTER'!$AC$2:$AC$495&gt;=6)*('CASE MASTER'!$AB$2:$AB$495&lt;=4)*('CASE MASTER'!$AD$2:$AD$495&gt;=4))*ROW('CASE MASTER'!$T$2:$T$495))-(ROW('CASE MASTER'!#REF!)-1)))+((6-INDEX('CASE MASTER'!$AA$2:$AA$495,(SUMPRODUCT((('CASE MASTER'!$T$2:$T$495=7)*('CASE MASTER'!$AA$2:$AA$495&lt;=6)*('CASE MASTER'!$AC$2:$AC$495&gt;=6)*('CASE MASTER'!$AB$2:$AB$495&lt;=4)*('CASE MASTER'!$AD$2:$AD$495&gt;=4))*ROW('CASE MASTER'!$T$2:$T$495))-(ROW('CASE MASTER'!#REF!)-1))))*(INDEX('CASE MASTER'!$AD$2:$AD$495,(SUMPRODUCT((('CASE MASTER'!$T$2:$T$495=7)*('CASE MASTER'!$AA$2:$AA$495&lt;=6)*('CASE MASTER'!$AC$2:$AC$495&gt;=6)*('CASE MASTER'!$AB$2:$AB$495&lt;=4)*('CASE MASTER'!$AD$2:$AD$495&gt;=4))*ROW('CASE MASTER'!$T$2:$T$495))-(ROW('CASE MASTER'!#REF!)-1)))-INDEX('CASE MASTER'!$AB$2:$AB$495,(SUMPRODUCT((('CASE MASTER'!$T$2:$T$495=7)*('CASE MASTER'!$AA$2:$AA$495&lt;=6)*('CASE MASTER'!$AC$2:$AC$495&gt;=6)*('CASE MASTER'!$AB$2:$AB$495&lt;=4)*('CASE MASTER'!$AD$2:$AD$495&gt;=4))*ROW('CASE MASTER'!$T$2:$T$495))-(ROW('CASE MASTER'!#REF!)-1)))+1)+(4-INDEX('CASE MASTER'!$AB$2:$AB$495,(SUMPRODUCT((('CASE MASTER'!$T$2:$T$495=7)*('CASE MASTER'!$AA$2:$AA$495&lt;=6)*('CASE MASTER'!$AC$2:$AC$495&gt;=6)*('CASE MASTER'!$AB$2:$AB$495&lt;=4)*('CASE MASTER'!$AD$2:$AD$495&gt;=4))*ROW('CASE MASTER'!$T$2:$T$495))-(ROW('CASE MASTER'!#REF!)-1))))+1)))-1)*50+1,50))&amp;"_"&amp;INDEX('CASE MASTER'!$Q$2:$Q$495,(SUMPRODUCT((('CASE MASTER'!$T$2:$T$495=7)*('CASE MASTER'!$AA$2:$AA$495&lt;=6)*('CASE MASTER'!$AC$2:$AC$495&gt;=6)*('CASE MASTER'!$AB$2:$AB$495&lt;=4)*('CASE MASTER'!$AD$2:$AD$495&gt;=4))*ROW('CASE MASTER'!$T$2:$T$495))-(ROW('CASE MASTER'!#REF!)-1))),"")),"")</f>
        <v/>
      </c>
      <c r="F92" s="10" t="str">
        <f>IFERROR(IF(SUMPRODUCT((('CASE MASTER'!$T$2:$T$495=7)*('CASE MASTER'!$U$2:$U$495&lt;=6)*('CASE MASTER'!$W$2:$W$495&gt;=6)*('CASE MASTER'!$V$2:$V$495&lt;=5)*('CASE MASTER'!$X$2:$X$495&gt;=5))*ROW('CASE MASTER'!$T$2:$T$495))&gt;0,INDEX('CASE MASTER'!$Y$2:$Y$495,(SUMPRODUCT((('CASE MASTER'!$T$2:$T$495=7)*('CASE MASTER'!$U$2:$U$495&lt;=6)*('CASE MASTER'!$W$2:$W$495&gt;=6)*('CASE MASTER'!$V$2:$V$495&lt;=5)*('CASE MASTER'!$X$2:$X$495&gt;=5))*ROW('CASE MASTER'!$T$2:$T$495))-(ROW('CASE MASTER'!#REF!)-1)))&amp;TRIM(MID(SUBSTITUTE(SUBSTITUTE(INDEX('CASE MASTER'!$N$2:$N$495,(SUMPRODUCT((('CASE MASTER'!$T$2:$T$495=7)*('CASE MASTER'!$U$2:$U$495&lt;=6)*('CASE MASTER'!$W$2:$W$495&gt;=6)*('CASE MASTER'!$V$2:$V$495&lt;=5)*('CASE MASTER'!$X$2:$X$495&gt;=5))*ROW('CASE MASTER'!$T$2:$T$495))-(ROW('CASE MASTER'!#REF!)-1))),":",","),",",REPT(" ",50)),((((6-INDEX('CASE MASTER'!$U$2:$U$495,(SUMPRODUCT((('CASE MASTER'!$T$2:$T$495=7)*('CASE MASTER'!$U$2:$U$495&lt;=6)*('CASE MASTER'!$W$2:$W$495&gt;=6)*('CASE MASTER'!$V$2:$V$495&lt;=5)*('CASE MASTER'!$X$2:$X$495&gt;=5))*ROW('CASE MASTER'!$T$2:$T$495))-(ROW('CASE MASTER'!#REF!)-1))))*(INDEX('CASE MASTER'!$X$2:$X$495,(SUMPRODUCT((('CASE MASTER'!$T$2:$T$495=7)*('CASE MASTER'!$U$2:$U$495&lt;=6)*('CASE MASTER'!$W$2:$W$495&gt;=6)*('CASE MASTER'!$V$2:$V$495&lt;=5)*('CASE MASTER'!$X$2:$X$495&gt;=5))*ROW('CASE MASTER'!$T$2:$T$495))-(ROW('CASE MASTER'!#REF!)-1)))-INDEX('CASE MASTER'!$V$2:$V$495,(SUMPRODUCT((('CASE MASTER'!$T$2:$T$495=7)*('CASE MASTER'!$U$2:$U$495&lt;=6)*('CASE MASTER'!$W$2:$W$495&gt;=6)*('CASE MASTER'!$V$2:$V$495&lt;=5)*('CASE MASTER'!$X$2:$X$495&gt;=5))*ROW('CASE MASTER'!$T$2:$T$495))-(ROW('CASE MASTER'!#REF!)-1)))+1)+(5-INDEX('CASE MASTER'!$V$2:$V$495,(SUMPRODUCT((('CASE MASTER'!$T$2:$T$495=7)*('CASE MASTER'!$U$2:$U$495&lt;=6)*('CASE MASTER'!$W$2:$W$495&gt;=6)*('CASE MASTER'!$V$2:$V$495&lt;=5)*('CASE MASTER'!$X$2:$X$495&gt;=5))*ROW('CASE MASTER'!$T$2:$T$495))-(ROW('CASE MASTER'!#REF!)-1))))+1))-1)*50+1,50))&amp;"_"&amp;INDEX('CASE MASTER'!$Q$2:$Q$495,(SUMPRODUCT((('CASE MASTER'!$T$2:$T$495=7)*('CASE MASTER'!$U$2:$U$495&lt;=6)*('CASE MASTER'!$W$2:$W$495&gt;=6)*('CASE MASTER'!$V$2:$V$495&lt;=5)*('CASE MASTER'!$X$2:$X$495&gt;=5))*ROW('CASE MASTER'!$T$2:$T$495))-(ROW('CASE MASTER'!#REF!)-1))),IF(SUMPRODUCT((('CASE MASTER'!$T$2:$T$495=7)*('CASE MASTER'!$AA$2:$AA$495&lt;=6)*('CASE MASTER'!$AC$2:$AC$495&gt;=6)*('CASE MASTER'!$AB$2:$AB$495&lt;=5)*('CASE MASTER'!$AD$2:$AD$495&gt;=5))*ROW('CASE MASTER'!$T$2:$T$495))&gt;0,INDEX('CASE MASTER'!$Y$2:$Y$495,(SUMPRODUCT((('CASE MASTER'!$T$2:$T$495=7)*('CASE MASTER'!$AA$2:$AA$495&lt;=6)*('CASE MASTER'!$AC$2:$AC$495&gt;=6)*('CASE MASTER'!$AB$2:$AB$495&lt;=5)*('CASE MASTER'!$AD$2:$AD$495&gt;=5))*ROW('CASE MASTER'!$T$2:$T$495))-(ROW('CASE MASTER'!#REF!)-1)))&amp;TRIM(MID(SUBSTITUTE(SUBSTITUTE(INDEX('CASE MASTER'!$N$2:$N$495,(SUMPRODUCT((('CASE MASTER'!$T$2:$T$495=7)*('CASE MASTER'!$AA$2:$AA$495&lt;=6)*('CASE MASTER'!$AC$2:$AC$495&gt;=6)*('CASE MASTER'!$AB$2:$AB$495&lt;=5)*('CASE MASTER'!$AD$2:$AD$495&gt;=5))*ROW('CASE MASTER'!$T$2:$T$495))-(ROW('CASE MASTER'!#REF!)-1))),":",","),",",REPT(" ",50)),(((INDEX('CASE MASTER'!$Z$2:$Z$495,(SUMPRODUCT((('CASE MASTER'!$T$2:$T$495=7)*('CASE MASTER'!$AA$2:$AA$495&lt;=6)*('CASE MASTER'!$AC$2:$AC$495&gt;=6)*('CASE MASTER'!$AB$2:$AB$495&lt;=5)*('CASE MASTER'!$AD$2:$AD$495&gt;=5))*ROW('CASE MASTER'!$T$2:$T$495))-(ROW('CASE MASTER'!#REF!)-1)))+((6-INDEX('CASE MASTER'!$AA$2:$AA$495,(SUMPRODUCT((('CASE MASTER'!$T$2:$T$495=7)*('CASE MASTER'!$AA$2:$AA$495&lt;=6)*('CASE MASTER'!$AC$2:$AC$495&gt;=6)*('CASE MASTER'!$AB$2:$AB$495&lt;=5)*('CASE MASTER'!$AD$2:$AD$495&gt;=5))*ROW('CASE MASTER'!$T$2:$T$495))-(ROW('CASE MASTER'!#REF!)-1))))*(INDEX('CASE MASTER'!$AD$2:$AD$495,(SUMPRODUCT((('CASE MASTER'!$T$2:$T$495=7)*('CASE MASTER'!$AA$2:$AA$495&lt;=6)*('CASE MASTER'!$AC$2:$AC$495&gt;=6)*('CASE MASTER'!$AB$2:$AB$495&lt;=5)*('CASE MASTER'!$AD$2:$AD$495&gt;=5))*ROW('CASE MASTER'!$T$2:$T$495))-(ROW('CASE MASTER'!#REF!)-1)))-INDEX('CASE MASTER'!$AB$2:$AB$495,(SUMPRODUCT((('CASE MASTER'!$T$2:$T$495=7)*('CASE MASTER'!$AA$2:$AA$495&lt;=6)*('CASE MASTER'!$AC$2:$AC$495&gt;=6)*('CASE MASTER'!$AB$2:$AB$495&lt;=5)*('CASE MASTER'!$AD$2:$AD$495&gt;=5))*ROW('CASE MASTER'!$T$2:$T$495))-(ROW('CASE MASTER'!#REF!)-1)))+1)+(5-INDEX('CASE MASTER'!$AB$2:$AB$495,(SUMPRODUCT((('CASE MASTER'!$T$2:$T$495=7)*('CASE MASTER'!$AA$2:$AA$495&lt;=6)*('CASE MASTER'!$AC$2:$AC$495&gt;=6)*('CASE MASTER'!$AB$2:$AB$495&lt;=5)*('CASE MASTER'!$AD$2:$AD$495&gt;=5))*ROW('CASE MASTER'!$T$2:$T$495))-(ROW('CASE MASTER'!#REF!)-1))))+1)))-1)*50+1,50))&amp;"_"&amp;INDEX('CASE MASTER'!$Q$2:$Q$495,(SUMPRODUCT((('CASE MASTER'!$T$2:$T$495=7)*('CASE MASTER'!$AA$2:$AA$495&lt;=6)*('CASE MASTER'!$AC$2:$AC$495&gt;=6)*('CASE MASTER'!$AB$2:$AB$495&lt;=5)*('CASE MASTER'!$AD$2:$AD$495&gt;=5))*ROW('CASE MASTER'!$T$2:$T$495))-(ROW('CASE MASTER'!#REF!)-1))),"")),"")</f>
        <v/>
      </c>
      <c r="G92" s="10" t="str">
        <f>IFERROR(IF(SUMPRODUCT((('CASE MASTER'!$T$2:$T$495=7)*('CASE MASTER'!$U$2:$U$495&lt;=6)*('CASE MASTER'!$W$2:$W$495&gt;=6)*('CASE MASTER'!$V$2:$V$495&lt;=6)*('CASE MASTER'!$X$2:$X$495&gt;=6))*ROW('CASE MASTER'!$T$2:$T$495))&gt;0,INDEX('CASE MASTER'!$Y$2:$Y$495,(SUMPRODUCT((('CASE MASTER'!$T$2:$T$495=7)*('CASE MASTER'!$U$2:$U$495&lt;=6)*('CASE MASTER'!$W$2:$W$495&gt;=6)*('CASE MASTER'!$V$2:$V$495&lt;=6)*('CASE MASTER'!$X$2:$X$495&gt;=6))*ROW('CASE MASTER'!$T$2:$T$495))-(ROW('CASE MASTER'!#REF!)-1)))&amp;TRIM(MID(SUBSTITUTE(SUBSTITUTE(INDEX('CASE MASTER'!$N$2:$N$495,(SUMPRODUCT((('CASE MASTER'!$T$2:$T$495=7)*('CASE MASTER'!$U$2:$U$495&lt;=6)*('CASE MASTER'!$W$2:$W$495&gt;=6)*('CASE MASTER'!$V$2:$V$495&lt;=6)*('CASE MASTER'!$X$2:$X$495&gt;=6))*ROW('CASE MASTER'!$T$2:$T$495))-(ROW('CASE MASTER'!#REF!)-1))),":",","),",",REPT(" ",50)),((((6-INDEX('CASE MASTER'!$U$2:$U$495,(SUMPRODUCT((('CASE MASTER'!$T$2:$T$495=7)*('CASE MASTER'!$U$2:$U$495&lt;=6)*('CASE MASTER'!$W$2:$W$495&gt;=6)*('CASE MASTER'!$V$2:$V$495&lt;=6)*('CASE MASTER'!$X$2:$X$495&gt;=6))*ROW('CASE MASTER'!$T$2:$T$495))-(ROW('CASE MASTER'!#REF!)-1))))*(INDEX('CASE MASTER'!$X$2:$X$495,(SUMPRODUCT((('CASE MASTER'!$T$2:$T$495=7)*('CASE MASTER'!$U$2:$U$495&lt;=6)*('CASE MASTER'!$W$2:$W$495&gt;=6)*('CASE MASTER'!$V$2:$V$495&lt;=6)*('CASE MASTER'!$X$2:$X$495&gt;=6))*ROW('CASE MASTER'!$T$2:$T$495))-(ROW('CASE MASTER'!#REF!)-1)))-INDEX('CASE MASTER'!$V$2:$V$495,(SUMPRODUCT((('CASE MASTER'!$T$2:$T$495=7)*('CASE MASTER'!$U$2:$U$495&lt;=6)*('CASE MASTER'!$W$2:$W$495&gt;=6)*('CASE MASTER'!$V$2:$V$495&lt;=6)*('CASE MASTER'!$X$2:$X$495&gt;=6))*ROW('CASE MASTER'!$T$2:$T$495))-(ROW('CASE MASTER'!#REF!)-1)))+1)+(6-INDEX('CASE MASTER'!$V$2:$V$495,(SUMPRODUCT((('CASE MASTER'!$T$2:$T$495=7)*('CASE MASTER'!$U$2:$U$495&lt;=6)*('CASE MASTER'!$W$2:$W$495&gt;=6)*('CASE MASTER'!$V$2:$V$495&lt;=6)*('CASE MASTER'!$X$2:$X$495&gt;=6))*ROW('CASE MASTER'!$T$2:$T$495))-(ROW('CASE MASTER'!#REF!)-1))))+1))-1)*50+1,50))&amp;"_"&amp;INDEX('CASE MASTER'!$Q$2:$Q$495,(SUMPRODUCT((('CASE MASTER'!$T$2:$T$495=7)*('CASE MASTER'!$U$2:$U$495&lt;=6)*('CASE MASTER'!$W$2:$W$495&gt;=6)*('CASE MASTER'!$V$2:$V$495&lt;=6)*('CASE MASTER'!$X$2:$X$495&gt;=6))*ROW('CASE MASTER'!$T$2:$T$495))-(ROW('CASE MASTER'!#REF!)-1))),IF(SUMPRODUCT((('CASE MASTER'!$T$2:$T$495=7)*('CASE MASTER'!$AA$2:$AA$495&lt;=6)*('CASE MASTER'!$AC$2:$AC$495&gt;=6)*('CASE MASTER'!$AB$2:$AB$495&lt;=6)*('CASE MASTER'!$AD$2:$AD$495&gt;=6))*ROW('CASE MASTER'!$T$2:$T$495))&gt;0,INDEX('CASE MASTER'!$Y$2:$Y$495,(SUMPRODUCT((('CASE MASTER'!$T$2:$T$495=7)*('CASE MASTER'!$AA$2:$AA$495&lt;=6)*('CASE MASTER'!$AC$2:$AC$495&gt;=6)*('CASE MASTER'!$AB$2:$AB$495&lt;=6)*('CASE MASTER'!$AD$2:$AD$495&gt;=6))*ROW('CASE MASTER'!$T$2:$T$495))-(ROW('CASE MASTER'!#REF!)-1)))&amp;TRIM(MID(SUBSTITUTE(SUBSTITUTE(INDEX('CASE MASTER'!$N$2:$N$495,(SUMPRODUCT((('CASE MASTER'!$T$2:$T$495=7)*('CASE MASTER'!$AA$2:$AA$495&lt;=6)*('CASE MASTER'!$AC$2:$AC$495&gt;=6)*('CASE MASTER'!$AB$2:$AB$495&lt;=6)*('CASE MASTER'!$AD$2:$AD$495&gt;=6))*ROW('CASE MASTER'!$T$2:$T$495))-(ROW('CASE MASTER'!#REF!)-1))),":",","),",",REPT(" ",50)),(((INDEX('CASE MASTER'!$Z$2:$Z$495,(SUMPRODUCT((('CASE MASTER'!$T$2:$T$495=7)*('CASE MASTER'!$AA$2:$AA$495&lt;=6)*('CASE MASTER'!$AC$2:$AC$495&gt;=6)*('CASE MASTER'!$AB$2:$AB$495&lt;=6)*('CASE MASTER'!$AD$2:$AD$495&gt;=6))*ROW('CASE MASTER'!$T$2:$T$495))-(ROW('CASE MASTER'!#REF!)-1)))+((6-INDEX('CASE MASTER'!$AA$2:$AA$495,(SUMPRODUCT((('CASE MASTER'!$T$2:$T$495=7)*('CASE MASTER'!$AA$2:$AA$495&lt;=6)*('CASE MASTER'!$AC$2:$AC$495&gt;=6)*('CASE MASTER'!$AB$2:$AB$495&lt;=6)*('CASE MASTER'!$AD$2:$AD$495&gt;=6))*ROW('CASE MASTER'!$T$2:$T$495))-(ROW('CASE MASTER'!#REF!)-1))))*(INDEX('CASE MASTER'!$AD$2:$AD$495,(SUMPRODUCT((('CASE MASTER'!$T$2:$T$495=7)*('CASE MASTER'!$AA$2:$AA$495&lt;=6)*('CASE MASTER'!$AC$2:$AC$495&gt;=6)*('CASE MASTER'!$AB$2:$AB$495&lt;=6)*('CASE MASTER'!$AD$2:$AD$495&gt;=6))*ROW('CASE MASTER'!$T$2:$T$495))-(ROW('CASE MASTER'!#REF!)-1)))-INDEX('CASE MASTER'!$AB$2:$AB$495,(SUMPRODUCT((('CASE MASTER'!$T$2:$T$495=7)*('CASE MASTER'!$AA$2:$AA$495&lt;=6)*('CASE MASTER'!$AC$2:$AC$495&gt;=6)*('CASE MASTER'!$AB$2:$AB$495&lt;=6)*('CASE MASTER'!$AD$2:$AD$495&gt;=6))*ROW('CASE MASTER'!$T$2:$T$495))-(ROW('CASE MASTER'!#REF!)-1)))+1)+(6-INDEX('CASE MASTER'!$AB$2:$AB$495,(SUMPRODUCT((('CASE MASTER'!$T$2:$T$495=7)*('CASE MASTER'!$AA$2:$AA$495&lt;=6)*('CASE MASTER'!$AC$2:$AC$495&gt;=6)*('CASE MASTER'!$AB$2:$AB$495&lt;=6)*('CASE MASTER'!$AD$2:$AD$495&gt;=6))*ROW('CASE MASTER'!$T$2:$T$495))-(ROW('CASE MASTER'!#REF!)-1))))+1)))-1)*50+1,50))&amp;"_"&amp;INDEX('CASE MASTER'!$Q$2:$Q$495,(SUMPRODUCT((('CASE MASTER'!$T$2:$T$495=7)*('CASE MASTER'!$AA$2:$AA$495&lt;=6)*('CASE MASTER'!$AC$2:$AC$495&gt;=6)*('CASE MASTER'!$AB$2:$AB$495&lt;=6)*('CASE MASTER'!$AD$2:$AD$495&gt;=6))*ROW('CASE MASTER'!$T$2:$T$495))-(ROW('CASE MASTER'!#REF!)-1))),"")),"")</f>
        <v/>
      </c>
      <c r="H92" s="10" t="str">
        <f>IFERROR(IF(SUMPRODUCT((('CASE MASTER'!$T$2:$T$495=7)*('CASE MASTER'!$U$2:$U$495&lt;=6)*('CASE MASTER'!$W$2:$W$495&gt;=6)*('CASE MASTER'!$V$2:$V$495&lt;=7)*('CASE MASTER'!$X$2:$X$495&gt;=7))*ROW('CASE MASTER'!$T$2:$T$495))&gt;0,INDEX('CASE MASTER'!$Y$2:$Y$495,(SUMPRODUCT((('CASE MASTER'!$T$2:$T$495=7)*('CASE MASTER'!$U$2:$U$495&lt;=6)*('CASE MASTER'!$W$2:$W$495&gt;=6)*('CASE MASTER'!$V$2:$V$495&lt;=7)*('CASE MASTER'!$X$2:$X$495&gt;=7))*ROW('CASE MASTER'!$T$2:$T$495))-(ROW('CASE MASTER'!#REF!)-1)))&amp;TRIM(MID(SUBSTITUTE(SUBSTITUTE(INDEX('CASE MASTER'!$N$2:$N$495,(SUMPRODUCT((('CASE MASTER'!$T$2:$T$495=7)*('CASE MASTER'!$U$2:$U$495&lt;=6)*('CASE MASTER'!$W$2:$W$495&gt;=6)*('CASE MASTER'!$V$2:$V$495&lt;=7)*('CASE MASTER'!$X$2:$X$495&gt;=7))*ROW('CASE MASTER'!$T$2:$T$495))-(ROW('CASE MASTER'!#REF!)-1))),":",","),",",REPT(" ",50)),((((6-INDEX('CASE MASTER'!$U$2:$U$495,(SUMPRODUCT((('CASE MASTER'!$T$2:$T$495=7)*('CASE MASTER'!$U$2:$U$495&lt;=6)*('CASE MASTER'!$W$2:$W$495&gt;=6)*('CASE MASTER'!$V$2:$V$495&lt;=7)*('CASE MASTER'!$X$2:$X$495&gt;=7))*ROW('CASE MASTER'!$T$2:$T$495))-(ROW('CASE MASTER'!#REF!)-1))))*(INDEX('CASE MASTER'!$X$2:$X$495,(SUMPRODUCT((('CASE MASTER'!$T$2:$T$495=7)*('CASE MASTER'!$U$2:$U$495&lt;=6)*('CASE MASTER'!$W$2:$W$495&gt;=6)*('CASE MASTER'!$V$2:$V$495&lt;=7)*('CASE MASTER'!$X$2:$X$495&gt;=7))*ROW('CASE MASTER'!$T$2:$T$495))-(ROW('CASE MASTER'!#REF!)-1)))-INDEX('CASE MASTER'!$V$2:$V$495,(SUMPRODUCT((('CASE MASTER'!$T$2:$T$495=7)*('CASE MASTER'!$U$2:$U$495&lt;=6)*('CASE MASTER'!$W$2:$W$495&gt;=6)*('CASE MASTER'!$V$2:$V$495&lt;=7)*('CASE MASTER'!$X$2:$X$495&gt;=7))*ROW('CASE MASTER'!$T$2:$T$495))-(ROW('CASE MASTER'!#REF!)-1)))+1)+(7-INDEX('CASE MASTER'!$V$2:$V$495,(SUMPRODUCT((('CASE MASTER'!$T$2:$T$495=7)*('CASE MASTER'!$U$2:$U$495&lt;=6)*('CASE MASTER'!$W$2:$W$495&gt;=6)*('CASE MASTER'!$V$2:$V$495&lt;=7)*('CASE MASTER'!$X$2:$X$495&gt;=7))*ROW('CASE MASTER'!$T$2:$T$495))-(ROW('CASE MASTER'!#REF!)-1))))+1))-1)*50+1,50))&amp;"_"&amp;INDEX('CASE MASTER'!$Q$2:$Q$495,(SUMPRODUCT((('CASE MASTER'!$T$2:$T$495=7)*('CASE MASTER'!$U$2:$U$495&lt;=6)*('CASE MASTER'!$W$2:$W$495&gt;=6)*('CASE MASTER'!$V$2:$V$495&lt;=7)*('CASE MASTER'!$X$2:$X$495&gt;=7))*ROW('CASE MASTER'!$T$2:$T$495))-(ROW('CASE MASTER'!#REF!)-1))),IF(SUMPRODUCT((('CASE MASTER'!$T$2:$T$495=7)*('CASE MASTER'!$AA$2:$AA$495&lt;=6)*('CASE MASTER'!$AC$2:$AC$495&gt;=6)*('CASE MASTER'!$AB$2:$AB$495&lt;=7)*('CASE MASTER'!$AD$2:$AD$495&gt;=7))*ROW('CASE MASTER'!$T$2:$T$495))&gt;0,INDEX('CASE MASTER'!$Y$2:$Y$495,(SUMPRODUCT((('CASE MASTER'!$T$2:$T$495=7)*('CASE MASTER'!$AA$2:$AA$495&lt;=6)*('CASE MASTER'!$AC$2:$AC$495&gt;=6)*('CASE MASTER'!$AB$2:$AB$495&lt;=7)*('CASE MASTER'!$AD$2:$AD$495&gt;=7))*ROW('CASE MASTER'!$T$2:$T$495))-(ROW('CASE MASTER'!#REF!)-1)))&amp;TRIM(MID(SUBSTITUTE(SUBSTITUTE(INDEX('CASE MASTER'!$N$2:$N$495,(SUMPRODUCT((('CASE MASTER'!$T$2:$T$495=7)*('CASE MASTER'!$AA$2:$AA$495&lt;=6)*('CASE MASTER'!$AC$2:$AC$495&gt;=6)*('CASE MASTER'!$AB$2:$AB$495&lt;=7)*('CASE MASTER'!$AD$2:$AD$495&gt;=7))*ROW('CASE MASTER'!$T$2:$T$495))-(ROW('CASE MASTER'!#REF!)-1))),":",","),",",REPT(" ",50)),(((INDEX('CASE MASTER'!$Z$2:$Z$495,(SUMPRODUCT((('CASE MASTER'!$T$2:$T$495=7)*('CASE MASTER'!$AA$2:$AA$495&lt;=6)*('CASE MASTER'!$AC$2:$AC$495&gt;=6)*('CASE MASTER'!$AB$2:$AB$495&lt;=7)*('CASE MASTER'!$AD$2:$AD$495&gt;=7))*ROW('CASE MASTER'!$T$2:$T$495))-(ROW('CASE MASTER'!#REF!)-1)))+((6-INDEX('CASE MASTER'!$AA$2:$AA$495,(SUMPRODUCT((('CASE MASTER'!$T$2:$T$495=7)*('CASE MASTER'!$AA$2:$AA$495&lt;=6)*('CASE MASTER'!$AC$2:$AC$495&gt;=6)*('CASE MASTER'!$AB$2:$AB$495&lt;=7)*('CASE MASTER'!$AD$2:$AD$495&gt;=7))*ROW('CASE MASTER'!$T$2:$T$495))-(ROW('CASE MASTER'!#REF!)-1))))*(INDEX('CASE MASTER'!$AD$2:$AD$495,(SUMPRODUCT((('CASE MASTER'!$T$2:$T$495=7)*('CASE MASTER'!$AA$2:$AA$495&lt;=6)*('CASE MASTER'!$AC$2:$AC$495&gt;=6)*('CASE MASTER'!$AB$2:$AB$495&lt;=7)*('CASE MASTER'!$AD$2:$AD$495&gt;=7))*ROW('CASE MASTER'!$T$2:$T$495))-(ROW('CASE MASTER'!#REF!)-1)))-INDEX('CASE MASTER'!$AB$2:$AB$495,(SUMPRODUCT((('CASE MASTER'!$T$2:$T$495=7)*('CASE MASTER'!$AA$2:$AA$495&lt;=6)*('CASE MASTER'!$AC$2:$AC$495&gt;=6)*('CASE MASTER'!$AB$2:$AB$495&lt;=7)*('CASE MASTER'!$AD$2:$AD$495&gt;=7))*ROW('CASE MASTER'!$T$2:$T$495))-(ROW('CASE MASTER'!#REF!)-1)))+1)+(7-INDEX('CASE MASTER'!$AB$2:$AB$495,(SUMPRODUCT((('CASE MASTER'!$T$2:$T$495=7)*('CASE MASTER'!$AA$2:$AA$495&lt;=6)*('CASE MASTER'!$AC$2:$AC$495&gt;=6)*('CASE MASTER'!$AB$2:$AB$495&lt;=7)*('CASE MASTER'!$AD$2:$AD$495&gt;=7))*ROW('CASE MASTER'!$T$2:$T$495))-(ROW('CASE MASTER'!#REF!)-1))))+1)))-1)*50+1,50))&amp;"_"&amp;INDEX('CASE MASTER'!$Q$2:$Q$495,(SUMPRODUCT((('CASE MASTER'!$T$2:$T$495=7)*('CASE MASTER'!$AA$2:$AA$495&lt;=6)*('CASE MASTER'!$AC$2:$AC$495&gt;=6)*('CASE MASTER'!$AB$2:$AB$495&lt;=7)*('CASE MASTER'!$AD$2:$AD$495&gt;=7))*ROW('CASE MASTER'!$T$2:$T$495))-(ROW('CASE MASTER'!#REF!)-1))),"")),"")</f>
        <v/>
      </c>
      <c r="I92" s="10" t="str">
        <f>IFERROR(IF(SUMPRODUCT((('CASE MASTER'!$T$2:$T$495=7)*('CASE MASTER'!$U$2:$U$495&lt;=6)*('CASE MASTER'!$W$2:$W$495&gt;=6)*('CASE MASTER'!$V$2:$V$495&lt;=8)*('CASE MASTER'!$X$2:$X$495&gt;=8))*ROW('CASE MASTER'!$T$2:$T$495))&gt;0,INDEX('CASE MASTER'!$Y$2:$Y$495,(SUMPRODUCT((('CASE MASTER'!$T$2:$T$495=7)*('CASE MASTER'!$U$2:$U$495&lt;=6)*('CASE MASTER'!$W$2:$W$495&gt;=6)*('CASE MASTER'!$V$2:$V$495&lt;=8)*('CASE MASTER'!$X$2:$X$495&gt;=8))*ROW('CASE MASTER'!$T$2:$T$495))-(ROW('CASE MASTER'!#REF!)-1)))&amp;TRIM(MID(SUBSTITUTE(SUBSTITUTE(INDEX('CASE MASTER'!$N$2:$N$495,(SUMPRODUCT((('CASE MASTER'!$T$2:$T$495=7)*('CASE MASTER'!$U$2:$U$495&lt;=6)*('CASE MASTER'!$W$2:$W$495&gt;=6)*('CASE MASTER'!$V$2:$V$495&lt;=8)*('CASE MASTER'!$X$2:$X$495&gt;=8))*ROW('CASE MASTER'!$T$2:$T$495))-(ROW('CASE MASTER'!#REF!)-1))),":",","),",",REPT(" ",50)),((((6-INDEX('CASE MASTER'!$U$2:$U$495,(SUMPRODUCT((('CASE MASTER'!$T$2:$T$495=7)*('CASE MASTER'!$U$2:$U$495&lt;=6)*('CASE MASTER'!$W$2:$W$495&gt;=6)*('CASE MASTER'!$V$2:$V$495&lt;=8)*('CASE MASTER'!$X$2:$X$495&gt;=8))*ROW('CASE MASTER'!$T$2:$T$495))-(ROW('CASE MASTER'!#REF!)-1))))*(INDEX('CASE MASTER'!$X$2:$X$495,(SUMPRODUCT((('CASE MASTER'!$T$2:$T$495=7)*('CASE MASTER'!$U$2:$U$495&lt;=6)*('CASE MASTER'!$W$2:$W$495&gt;=6)*('CASE MASTER'!$V$2:$V$495&lt;=8)*('CASE MASTER'!$X$2:$X$495&gt;=8))*ROW('CASE MASTER'!$T$2:$T$495))-(ROW('CASE MASTER'!#REF!)-1)))-INDEX('CASE MASTER'!$V$2:$V$495,(SUMPRODUCT((('CASE MASTER'!$T$2:$T$495=7)*('CASE MASTER'!$U$2:$U$495&lt;=6)*('CASE MASTER'!$W$2:$W$495&gt;=6)*('CASE MASTER'!$V$2:$V$495&lt;=8)*('CASE MASTER'!$X$2:$X$495&gt;=8))*ROW('CASE MASTER'!$T$2:$T$495))-(ROW('CASE MASTER'!#REF!)-1)))+1)+(8-INDEX('CASE MASTER'!$V$2:$V$495,(SUMPRODUCT((('CASE MASTER'!$T$2:$T$495=7)*('CASE MASTER'!$U$2:$U$495&lt;=6)*('CASE MASTER'!$W$2:$W$495&gt;=6)*('CASE MASTER'!$V$2:$V$495&lt;=8)*('CASE MASTER'!$X$2:$X$495&gt;=8))*ROW('CASE MASTER'!$T$2:$T$495))-(ROW('CASE MASTER'!#REF!)-1))))+1))-1)*50+1,50))&amp;"_"&amp;INDEX('CASE MASTER'!$Q$2:$Q$495,(SUMPRODUCT((('CASE MASTER'!$T$2:$T$495=7)*('CASE MASTER'!$U$2:$U$495&lt;=6)*('CASE MASTER'!$W$2:$W$495&gt;=6)*('CASE MASTER'!$V$2:$V$495&lt;=8)*('CASE MASTER'!$X$2:$X$495&gt;=8))*ROW('CASE MASTER'!$T$2:$T$495))-(ROW('CASE MASTER'!#REF!)-1))),IF(SUMPRODUCT((('CASE MASTER'!$T$2:$T$495=7)*('CASE MASTER'!$AA$2:$AA$495&lt;=6)*('CASE MASTER'!$AC$2:$AC$495&gt;=6)*('CASE MASTER'!$AB$2:$AB$495&lt;=8)*('CASE MASTER'!$AD$2:$AD$495&gt;=8))*ROW('CASE MASTER'!$T$2:$T$495))&gt;0,INDEX('CASE MASTER'!$Y$2:$Y$495,(SUMPRODUCT((('CASE MASTER'!$T$2:$T$495=7)*('CASE MASTER'!$AA$2:$AA$495&lt;=6)*('CASE MASTER'!$AC$2:$AC$495&gt;=6)*('CASE MASTER'!$AB$2:$AB$495&lt;=8)*('CASE MASTER'!$AD$2:$AD$495&gt;=8))*ROW('CASE MASTER'!$T$2:$T$495))-(ROW('CASE MASTER'!#REF!)-1)))&amp;TRIM(MID(SUBSTITUTE(SUBSTITUTE(INDEX('CASE MASTER'!$N$2:$N$495,(SUMPRODUCT((('CASE MASTER'!$T$2:$T$495=7)*('CASE MASTER'!$AA$2:$AA$495&lt;=6)*('CASE MASTER'!$AC$2:$AC$495&gt;=6)*('CASE MASTER'!$AB$2:$AB$495&lt;=8)*('CASE MASTER'!$AD$2:$AD$495&gt;=8))*ROW('CASE MASTER'!$T$2:$T$495))-(ROW('CASE MASTER'!#REF!)-1))),":",","),",",REPT(" ",50)),(((INDEX('CASE MASTER'!$Z$2:$Z$495,(SUMPRODUCT((('CASE MASTER'!$T$2:$T$495=7)*('CASE MASTER'!$AA$2:$AA$495&lt;=6)*('CASE MASTER'!$AC$2:$AC$495&gt;=6)*('CASE MASTER'!$AB$2:$AB$495&lt;=8)*('CASE MASTER'!$AD$2:$AD$495&gt;=8))*ROW('CASE MASTER'!$T$2:$T$495))-(ROW('CASE MASTER'!#REF!)-1)))+((6-INDEX('CASE MASTER'!$AA$2:$AA$495,(SUMPRODUCT((('CASE MASTER'!$T$2:$T$495=7)*('CASE MASTER'!$AA$2:$AA$495&lt;=6)*('CASE MASTER'!$AC$2:$AC$495&gt;=6)*('CASE MASTER'!$AB$2:$AB$495&lt;=8)*('CASE MASTER'!$AD$2:$AD$495&gt;=8))*ROW('CASE MASTER'!$T$2:$T$495))-(ROW('CASE MASTER'!#REF!)-1))))*(INDEX('CASE MASTER'!$AD$2:$AD$495,(SUMPRODUCT((('CASE MASTER'!$T$2:$T$495=7)*('CASE MASTER'!$AA$2:$AA$495&lt;=6)*('CASE MASTER'!$AC$2:$AC$495&gt;=6)*('CASE MASTER'!$AB$2:$AB$495&lt;=8)*('CASE MASTER'!$AD$2:$AD$495&gt;=8))*ROW('CASE MASTER'!$T$2:$T$495))-(ROW('CASE MASTER'!#REF!)-1)))-INDEX('CASE MASTER'!$AB$2:$AB$495,(SUMPRODUCT((('CASE MASTER'!$T$2:$T$495=7)*('CASE MASTER'!$AA$2:$AA$495&lt;=6)*('CASE MASTER'!$AC$2:$AC$495&gt;=6)*('CASE MASTER'!$AB$2:$AB$495&lt;=8)*('CASE MASTER'!$AD$2:$AD$495&gt;=8))*ROW('CASE MASTER'!$T$2:$T$495))-(ROW('CASE MASTER'!#REF!)-1)))+1)+(8-INDEX('CASE MASTER'!$AB$2:$AB$495,(SUMPRODUCT((('CASE MASTER'!$T$2:$T$495=7)*('CASE MASTER'!$AA$2:$AA$495&lt;=6)*('CASE MASTER'!$AC$2:$AC$495&gt;=6)*('CASE MASTER'!$AB$2:$AB$495&lt;=8)*('CASE MASTER'!$AD$2:$AD$495&gt;=8))*ROW('CASE MASTER'!$T$2:$T$495))-(ROW('CASE MASTER'!#REF!)-1))))+1)))-1)*50+1,50))&amp;"_"&amp;INDEX('CASE MASTER'!$Q$2:$Q$495,(SUMPRODUCT((('CASE MASTER'!$T$2:$T$495=7)*('CASE MASTER'!$AA$2:$AA$495&lt;=6)*('CASE MASTER'!$AC$2:$AC$495&gt;=6)*('CASE MASTER'!$AB$2:$AB$495&lt;=8)*('CASE MASTER'!$AD$2:$AD$495&gt;=8))*ROW('CASE MASTER'!$T$2:$T$495))-(ROW('CASE MASTER'!#REF!)-1))),"")),"")</f>
        <v/>
      </c>
      <c r="J92" s="10" t="str">
        <f>IFERROR(IF(SUMPRODUCT((('CASE MASTER'!$T$2:$T$495=7)*('CASE MASTER'!$U$2:$U$495&lt;=6)*('CASE MASTER'!$W$2:$W$495&gt;=6)*('CASE MASTER'!$V$2:$V$495&lt;=9)*('CASE MASTER'!$X$2:$X$495&gt;=9))*ROW('CASE MASTER'!$T$2:$T$495))&gt;0,INDEX('CASE MASTER'!$Y$2:$Y$495,(SUMPRODUCT((('CASE MASTER'!$T$2:$T$495=7)*('CASE MASTER'!$U$2:$U$495&lt;=6)*('CASE MASTER'!$W$2:$W$495&gt;=6)*('CASE MASTER'!$V$2:$V$495&lt;=9)*('CASE MASTER'!$X$2:$X$495&gt;=9))*ROW('CASE MASTER'!$T$2:$T$495))-(ROW('CASE MASTER'!#REF!)-1)))&amp;TRIM(MID(SUBSTITUTE(SUBSTITUTE(INDEX('CASE MASTER'!$N$2:$N$495,(SUMPRODUCT((('CASE MASTER'!$T$2:$T$495=7)*('CASE MASTER'!$U$2:$U$495&lt;=6)*('CASE MASTER'!$W$2:$W$495&gt;=6)*('CASE MASTER'!$V$2:$V$495&lt;=9)*('CASE MASTER'!$X$2:$X$495&gt;=9))*ROW('CASE MASTER'!$T$2:$T$495))-(ROW('CASE MASTER'!#REF!)-1))),":",","),",",REPT(" ",50)),((((6-INDEX('CASE MASTER'!$U$2:$U$495,(SUMPRODUCT((('CASE MASTER'!$T$2:$T$495=7)*('CASE MASTER'!$U$2:$U$495&lt;=6)*('CASE MASTER'!$W$2:$W$495&gt;=6)*('CASE MASTER'!$V$2:$V$495&lt;=9)*('CASE MASTER'!$X$2:$X$495&gt;=9))*ROW('CASE MASTER'!$T$2:$T$495))-(ROW('CASE MASTER'!#REF!)-1))))*(INDEX('CASE MASTER'!$X$2:$X$495,(SUMPRODUCT((('CASE MASTER'!$T$2:$T$495=7)*('CASE MASTER'!$U$2:$U$495&lt;=6)*('CASE MASTER'!$W$2:$W$495&gt;=6)*('CASE MASTER'!$V$2:$V$495&lt;=9)*('CASE MASTER'!$X$2:$X$495&gt;=9))*ROW('CASE MASTER'!$T$2:$T$495))-(ROW('CASE MASTER'!#REF!)-1)))-INDEX('CASE MASTER'!$V$2:$V$495,(SUMPRODUCT((('CASE MASTER'!$T$2:$T$495=7)*('CASE MASTER'!$U$2:$U$495&lt;=6)*('CASE MASTER'!$W$2:$W$495&gt;=6)*('CASE MASTER'!$V$2:$V$495&lt;=9)*('CASE MASTER'!$X$2:$X$495&gt;=9))*ROW('CASE MASTER'!$T$2:$T$495))-(ROW('CASE MASTER'!#REF!)-1)))+1)+(9-INDEX('CASE MASTER'!$V$2:$V$495,(SUMPRODUCT((('CASE MASTER'!$T$2:$T$495=7)*('CASE MASTER'!$U$2:$U$495&lt;=6)*('CASE MASTER'!$W$2:$W$495&gt;=6)*('CASE MASTER'!$V$2:$V$495&lt;=9)*('CASE MASTER'!$X$2:$X$495&gt;=9))*ROW('CASE MASTER'!$T$2:$T$495))-(ROW('CASE MASTER'!#REF!)-1))))+1))-1)*50+1,50))&amp;"_"&amp;INDEX('CASE MASTER'!$Q$2:$Q$495,(SUMPRODUCT((('CASE MASTER'!$T$2:$T$495=7)*('CASE MASTER'!$U$2:$U$495&lt;=6)*('CASE MASTER'!$W$2:$W$495&gt;=6)*('CASE MASTER'!$V$2:$V$495&lt;=9)*('CASE MASTER'!$X$2:$X$495&gt;=9))*ROW('CASE MASTER'!$T$2:$T$495))-(ROW('CASE MASTER'!#REF!)-1))),IF(SUMPRODUCT((('CASE MASTER'!$T$2:$T$495=7)*('CASE MASTER'!$AA$2:$AA$495&lt;=6)*('CASE MASTER'!$AC$2:$AC$495&gt;=6)*('CASE MASTER'!$AB$2:$AB$495&lt;=9)*('CASE MASTER'!$AD$2:$AD$495&gt;=9))*ROW('CASE MASTER'!$T$2:$T$495))&gt;0,INDEX('CASE MASTER'!$Y$2:$Y$495,(SUMPRODUCT((('CASE MASTER'!$T$2:$T$495=7)*('CASE MASTER'!$AA$2:$AA$495&lt;=6)*('CASE MASTER'!$AC$2:$AC$495&gt;=6)*('CASE MASTER'!$AB$2:$AB$495&lt;=9)*('CASE MASTER'!$AD$2:$AD$495&gt;=9))*ROW('CASE MASTER'!$T$2:$T$495))-(ROW('CASE MASTER'!#REF!)-1)))&amp;TRIM(MID(SUBSTITUTE(SUBSTITUTE(INDEX('CASE MASTER'!$N$2:$N$495,(SUMPRODUCT((('CASE MASTER'!$T$2:$T$495=7)*('CASE MASTER'!$AA$2:$AA$495&lt;=6)*('CASE MASTER'!$AC$2:$AC$495&gt;=6)*('CASE MASTER'!$AB$2:$AB$495&lt;=9)*('CASE MASTER'!$AD$2:$AD$495&gt;=9))*ROW('CASE MASTER'!$T$2:$T$495))-(ROW('CASE MASTER'!#REF!)-1))),":",","),",",REPT(" ",50)),(((INDEX('CASE MASTER'!$Z$2:$Z$495,(SUMPRODUCT((('CASE MASTER'!$T$2:$T$495=7)*('CASE MASTER'!$AA$2:$AA$495&lt;=6)*('CASE MASTER'!$AC$2:$AC$495&gt;=6)*('CASE MASTER'!$AB$2:$AB$495&lt;=9)*('CASE MASTER'!$AD$2:$AD$495&gt;=9))*ROW('CASE MASTER'!$T$2:$T$495))-(ROW('CASE MASTER'!#REF!)-1)))+((6-INDEX('CASE MASTER'!$AA$2:$AA$495,(SUMPRODUCT((('CASE MASTER'!$T$2:$T$495=7)*('CASE MASTER'!$AA$2:$AA$495&lt;=6)*('CASE MASTER'!$AC$2:$AC$495&gt;=6)*('CASE MASTER'!$AB$2:$AB$495&lt;=9)*('CASE MASTER'!$AD$2:$AD$495&gt;=9))*ROW('CASE MASTER'!$T$2:$T$495))-(ROW('CASE MASTER'!#REF!)-1))))*(INDEX('CASE MASTER'!$AD$2:$AD$495,(SUMPRODUCT((('CASE MASTER'!$T$2:$T$495=7)*('CASE MASTER'!$AA$2:$AA$495&lt;=6)*('CASE MASTER'!$AC$2:$AC$495&gt;=6)*('CASE MASTER'!$AB$2:$AB$495&lt;=9)*('CASE MASTER'!$AD$2:$AD$495&gt;=9))*ROW('CASE MASTER'!$T$2:$T$495))-(ROW('CASE MASTER'!#REF!)-1)))-INDEX('CASE MASTER'!$AB$2:$AB$495,(SUMPRODUCT((('CASE MASTER'!$T$2:$T$495=7)*('CASE MASTER'!$AA$2:$AA$495&lt;=6)*('CASE MASTER'!$AC$2:$AC$495&gt;=6)*('CASE MASTER'!$AB$2:$AB$495&lt;=9)*('CASE MASTER'!$AD$2:$AD$495&gt;=9))*ROW('CASE MASTER'!$T$2:$T$495))-(ROW('CASE MASTER'!#REF!)-1)))+1)+(9-INDEX('CASE MASTER'!$AB$2:$AB$495,(SUMPRODUCT((('CASE MASTER'!$T$2:$T$495=7)*('CASE MASTER'!$AA$2:$AA$495&lt;=6)*('CASE MASTER'!$AC$2:$AC$495&gt;=6)*('CASE MASTER'!$AB$2:$AB$495&lt;=9)*('CASE MASTER'!$AD$2:$AD$495&gt;=9))*ROW('CASE MASTER'!$T$2:$T$495))-(ROW('CASE MASTER'!#REF!)-1))))+1)))-1)*50+1,50))&amp;"_"&amp;INDEX('CASE MASTER'!$Q$2:$Q$495,(SUMPRODUCT((('CASE MASTER'!$T$2:$T$495=7)*('CASE MASTER'!$AA$2:$AA$495&lt;=6)*('CASE MASTER'!$AC$2:$AC$495&gt;=6)*('CASE MASTER'!$AB$2:$AB$495&lt;=9)*('CASE MASTER'!$AD$2:$AD$495&gt;=9))*ROW('CASE MASTER'!$T$2:$T$495))-(ROW('CASE MASTER'!#REF!)-1))),"")),"")</f>
        <v/>
      </c>
      <c r="K92" s="10" t="str">
        <f>IFERROR(IF(SUMPRODUCT((('CASE MASTER'!$T$2:$T$495=7)*('CASE MASTER'!$U$2:$U$495&lt;=6)*('CASE MASTER'!$W$2:$W$495&gt;=6)*('CASE MASTER'!$V$2:$V$495&lt;=10)*('CASE MASTER'!$X$2:$X$495&gt;=10))*ROW('CASE MASTER'!$T$2:$T$495))&gt;0,INDEX('CASE MASTER'!$Y$2:$Y$495,(SUMPRODUCT((('CASE MASTER'!$T$2:$T$495=7)*('CASE MASTER'!$U$2:$U$495&lt;=6)*('CASE MASTER'!$W$2:$W$495&gt;=6)*('CASE MASTER'!$V$2:$V$495&lt;=10)*('CASE MASTER'!$X$2:$X$495&gt;=10))*ROW('CASE MASTER'!$T$2:$T$495))-(ROW('CASE MASTER'!#REF!)-1)))&amp;TRIM(MID(SUBSTITUTE(SUBSTITUTE(INDEX('CASE MASTER'!$N$2:$N$495,(SUMPRODUCT((('CASE MASTER'!$T$2:$T$495=7)*('CASE MASTER'!$U$2:$U$495&lt;=6)*('CASE MASTER'!$W$2:$W$495&gt;=6)*('CASE MASTER'!$V$2:$V$495&lt;=10)*('CASE MASTER'!$X$2:$X$495&gt;=10))*ROW('CASE MASTER'!$T$2:$T$495))-(ROW('CASE MASTER'!#REF!)-1))),":",","),",",REPT(" ",50)),((((6-INDEX('CASE MASTER'!$U$2:$U$495,(SUMPRODUCT((('CASE MASTER'!$T$2:$T$495=7)*('CASE MASTER'!$U$2:$U$495&lt;=6)*('CASE MASTER'!$W$2:$W$495&gt;=6)*('CASE MASTER'!$V$2:$V$495&lt;=10)*('CASE MASTER'!$X$2:$X$495&gt;=10))*ROW('CASE MASTER'!$T$2:$T$495))-(ROW('CASE MASTER'!#REF!)-1))))*(INDEX('CASE MASTER'!$X$2:$X$495,(SUMPRODUCT((('CASE MASTER'!$T$2:$T$495=7)*('CASE MASTER'!$U$2:$U$495&lt;=6)*('CASE MASTER'!$W$2:$W$495&gt;=6)*('CASE MASTER'!$V$2:$V$495&lt;=10)*('CASE MASTER'!$X$2:$X$495&gt;=10))*ROW('CASE MASTER'!$T$2:$T$495))-(ROW('CASE MASTER'!#REF!)-1)))-INDEX('CASE MASTER'!$V$2:$V$495,(SUMPRODUCT((('CASE MASTER'!$T$2:$T$495=7)*('CASE MASTER'!$U$2:$U$495&lt;=6)*('CASE MASTER'!$W$2:$W$495&gt;=6)*('CASE MASTER'!$V$2:$V$495&lt;=10)*('CASE MASTER'!$X$2:$X$495&gt;=10))*ROW('CASE MASTER'!$T$2:$T$495))-(ROW('CASE MASTER'!#REF!)-1)))+1)+(10-INDEX('CASE MASTER'!$V$2:$V$495,(SUMPRODUCT((('CASE MASTER'!$T$2:$T$495=7)*('CASE MASTER'!$U$2:$U$495&lt;=6)*('CASE MASTER'!$W$2:$W$495&gt;=6)*('CASE MASTER'!$V$2:$V$495&lt;=10)*('CASE MASTER'!$X$2:$X$495&gt;=10))*ROW('CASE MASTER'!$T$2:$T$495))-(ROW('CASE MASTER'!#REF!)-1))))+1))-1)*50+1,50))&amp;"_"&amp;INDEX('CASE MASTER'!$Q$2:$Q$495,(SUMPRODUCT((('CASE MASTER'!$T$2:$T$495=7)*('CASE MASTER'!$U$2:$U$495&lt;=6)*('CASE MASTER'!$W$2:$W$495&gt;=6)*('CASE MASTER'!$V$2:$V$495&lt;=10)*('CASE MASTER'!$X$2:$X$495&gt;=10))*ROW('CASE MASTER'!$T$2:$T$495))-(ROW('CASE MASTER'!#REF!)-1))),IF(SUMPRODUCT((('CASE MASTER'!$T$2:$T$495=7)*('CASE MASTER'!$AA$2:$AA$495&lt;=6)*('CASE MASTER'!$AC$2:$AC$495&gt;=6)*('CASE MASTER'!$AB$2:$AB$495&lt;=10)*('CASE MASTER'!$AD$2:$AD$495&gt;=10))*ROW('CASE MASTER'!$T$2:$T$495))&gt;0,INDEX('CASE MASTER'!$Y$2:$Y$495,(SUMPRODUCT((('CASE MASTER'!$T$2:$T$495=7)*('CASE MASTER'!$AA$2:$AA$495&lt;=6)*('CASE MASTER'!$AC$2:$AC$495&gt;=6)*('CASE MASTER'!$AB$2:$AB$495&lt;=10)*('CASE MASTER'!$AD$2:$AD$495&gt;=10))*ROW('CASE MASTER'!$T$2:$T$495))-(ROW('CASE MASTER'!#REF!)-1)))&amp;TRIM(MID(SUBSTITUTE(SUBSTITUTE(INDEX('CASE MASTER'!$N$2:$N$495,(SUMPRODUCT((('CASE MASTER'!$T$2:$T$495=7)*('CASE MASTER'!$AA$2:$AA$495&lt;=6)*('CASE MASTER'!$AC$2:$AC$495&gt;=6)*('CASE MASTER'!$AB$2:$AB$495&lt;=10)*('CASE MASTER'!$AD$2:$AD$495&gt;=10))*ROW('CASE MASTER'!$T$2:$T$495))-(ROW('CASE MASTER'!#REF!)-1))),":",","),",",REPT(" ",50)),(((INDEX('CASE MASTER'!$Z$2:$Z$495,(SUMPRODUCT((('CASE MASTER'!$T$2:$T$495=7)*('CASE MASTER'!$AA$2:$AA$495&lt;=6)*('CASE MASTER'!$AC$2:$AC$495&gt;=6)*('CASE MASTER'!$AB$2:$AB$495&lt;=10)*('CASE MASTER'!$AD$2:$AD$495&gt;=10))*ROW('CASE MASTER'!$T$2:$T$495))-(ROW('CASE MASTER'!#REF!)-1)))+((6-INDEX('CASE MASTER'!$AA$2:$AA$495,(SUMPRODUCT((('CASE MASTER'!$T$2:$T$495=7)*('CASE MASTER'!$AA$2:$AA$495&lt;=6)*('CASE MASTER'!$AC$2:$AC$495&gt;=6)*('CASE MASTER'!$AB$2:$AB$495&lt;=10)*('CASE MASTER'!$AD$2:$AD$495&gt;=10))*ROW('CASE MASTER'!$T$2:$T$495))-(ROW('CASE MASTER'!#REF!)-1))))*(INDEX('CASE MASTER'!$AD$2:$AD$495,(SUMPRODUCT((('CASE MASTER'!$T$2:$T$495=7)*('CASE MASTER'!$AA$2:$AA$495&lt;=6)*('CASE MASTER'!$AC$2:$AC$495&gt;=6)*('CASE MASTER'!$AB$2:$AB$495&lt;=10)*('CASE MASTER'!$AD$2:$AD$495&gt;=10))*ROW('CASE MASTER'!$T$2:$T$495))-(ROW('CASE MASTER'!#REF!)-1)))-INDEX('CASE MASTER'!$AB$2:$AB$495,(SUMPRODUCT((('CASE MASTER'!$T$2:$T$495=7)*('CASE MASTER'!$AA$2:$AA$495&lt;=6)*('CASE MASTER'!$AC$2:$AC$495&gt;=6)*('CASE MASTER'!$AB$2:$AB$495&lt;=10)*('CASE MASTER'!$AD$2:$AD$495&gt;=10))*ROW('CASE MASTER'!$T$2:$T$495))-(ROW('CASE MASTER'!#REF!)-1)))+1)+(10-INDEX('CASE MASTER'!$AB$2:$AB$495,(SUMPRODUCT((('CASE MASTER'!$T$2:$T$495=7)*('CASE MASTER'!$AA$2:$AA$495&lt;=6)*('CASE MASTER'!$AC$2:$AC$495&gt;=6)*('CASE MASTER'!$AB$2:$AB$495&lt;=10)*('CASE MASTER'!$AD$2:$AD$495&gt;=10))*ROW('CASE MASTER'!$T$2:$T$495))-(ROW('CASE MASTER'!#REF!)-1))))+1)))-1)*50+1,50))&amp;"_"&amp;INDEX('CASE MASTER'!$Q$2:$Q$495,(SUMPRODUCT((('CASE MASTER'!$T$2:$T$495=7)*('CASE MASTER'!$AA$2:$AA$495&lt;=6)*('CASE MASTER'!$AC$2:$AC$495&gt;=6)*('CASE MASTER'!$AB$2:$AB$495&lt;=10)*('CASE MASTER'!$AD$2:$AD$495&gt;=10))*ROW('CASE MASTER'!$T$2:$T$495))-(ROW('CASE MASTER'!#REF!)-1))),"")),"")</f>
        <v/>
      </c>
    </row>
    <row r="93" spans="1:11" ht="15" customHeight="1" x14ac:dyDescent="0.35">
      <c r="A93" s="8" t="s">
        <v>34</v>
      </c>
      <c r="B93" s="10" t="str">
        <f>IFERROR(IF(SUMPRODUCT((('CASE MASTER'!$T$2:$T$495=7)*('CASE MASTER'!$U$2:$U$495&lt;=7)*('CASE MASTER'!$W$2:$W$495&gt;=7)*('CASE MASTER'!$V$2:$V$495&lt;=1)*('CASE MASTER'!$X$2:$X$495&gt;=1))*ROW('CASE MASTER'!$T$2:$T$495))&gt;0,INDEX('CASE MASTER'!$Y$2:$Y$495,(SUMPRODUCT((('CASE MASTER'!$T$2:$T$495=7)*('CASE MASTER'!$U$2:$U$495&lt;=7)*('CASE MASTER'!$W$2:$W$495&gt;=7)*('CASE MASTER'!$V$2:$V$495&lt;=1)*('CASE MASTER'!$X$2:$X$495&gt;=1))*ROW('CASE MASTER'!$T$2:$T$495))-(ROW('CASE MASTER'!#REF!)-1)))&amp;TRIM(MID(SUBSTITUTE(SUBSTITUTE(INDEX('CASE MASTER'!$N$2:$N$495,(SUMPRODUCT((('CASE MASTER'!$T$2:$T$495=7)*('CASE MASTER'!$U$2:$U$495&lt;=7)*('CASE MASTER'!$W$2:$W$495&gt;=7)*('CASE MASTER'!$V$2:$V$495&lt;=1)*('CASE MASTER'!$X$2:$X$495&gt;=1))*ROW('CASE MASTER'!$T$2:$T$495))-(ROW('CASE MASTER'!#REF!)-1))),":",","),",",REPT(" ",50)),((((7-INDEX('CASE MASTER'!$U$2:$U$495,(SUMPRODUCT((('CASE MASTER'!$T$2:$T$495=7)*('CASE MASTER'!$U$2:$U$495&lt;=7)*('CASE MASTER'!$W$2:$W$495&gt;=7)*('CASE MASTER'!$V$2:$V$495&lt;=1)*('CASE MASTER'!$X$2:$X$495&gt;=1))*ROW('CASE MASTER'!$T$2:$T$495))-(ROW('CASE MASTER'!#REF!)-1))))*(INDEX('CASE MASTER'!$X$2:$X$495,(SUMPRODUCT((('CASE MASTER'!$T$2:$T$495=7)*('CASE MASTER'!$U$2:$U$495&lt;=7)*('CASE MASTER'!$W$2:$W$495&gt;=7)*('CASE MASTER'!$V$2:$V$495&lt;=1)*('CASE MASTER'!$X$2:$X$495&gt;=1))*ROW('CASE MASTER'!$T$2:$T$495))-(ROW('CASE MASTER'!#REF!)-1)))-INDEX('CASE MASTER'!$V$2:$V$495,(SUMPRODUCT((('CASE MASTER'!$T$2:$T$495=7)*('CASE MASTER'!$U$2:$U$495&lt;=7)*('CASE MASTER'!$W$2:$W$495&gt;=7)*('CASE MASTER'!$V$2:$V$495&lt;=1)*('CASE MASTER'!$X$2:$X$495&gt;=1))*ROW('CASE MASTER'!$T$2:$T$495))-(ROW('CASE MASTER'!#REF!)-1)))+1)+(1-INDEX('CASE MASTER'!$V$2:$V$495,(SUMPRODUCT((('CASE MASTER'!$T$2:$T$495=7)*('CASE MASTER'!$U$2:$U$495&lt;=7)*('CASE MASTER'!$W$2:$W$495&gt;=7)*('CASE MASTER'!$V$2:$V$495&lt;=1)*('CASE MASTER'!$X$2:$X$495&gt;=1))*ROW('CASE MASTER'!$T$2:$T$495))-(ROW('CASE MASTER'!#REF!)-1))))+1))-1)*50+1,50))&amp;"_"&amp;INDEX('CASE MASTER'!$Q$2:$Q$495,(SUMPRODUCT((('CASE MASTER'!$T$2:$T$495=7)*('CASE MASTER'!$U$2:$U$495&lt;=7)*('CASE MASTER'!$W$2:$W$495&gt;=7)*('CASE MASTER'!$V$2:$V$495&lt;=1)*('CASE MASTER'!$X$2:$X$495&gt;=1))*ROW('CASE MASTER'!$T$2:$T$495))-(ROW('CASE MASTER'!#REF!)-1))),IF(SUMPRODUCT((('CASE MASTER'!$T$2:$T$495=7)*('CASE MASTER'!$AA$2:$AA$495&lt;=7)*('CASE MASTER'!$AC$2:$AC$495&gt;=7)*('CASE MASTER'!$AB$2:$AB$495&lt;=1)*('CASE MASTER'!$AD$2:$AD$495&gt;=1))*ROW('CASE MASTER'!$T$2:$T$495))&gt;0,INDEX('CASE MASTER'!$Y$2:$Y$495,(SUMPRODUCT((('CASE MASTER'!$T$2:$T$495=7)*('CASE MASTER'!$AA$2:$AA$495&lt;=7)*('CASE MASTER'!$AC$2:$AC$495&gt;=7)*('CASE MASTER'!$AB$2:$AB$495&lt;=1)*('CASE MASTER'!$AD$2:$AD$495&gt;=1))*ROW('CASE MASTER'!$T$2:$T$495))-(ROW('CASE MASTER'!#REF!)-1)))&amp;TRIM(MID(SUBSTITUTE(SUBSTITUTE(INDEX('CASE MASTER'!$N$2:$N$495,(SUMPRODUCT((('CASE MASTER'!$T$2:$T$495=7)*('CASE MASTER'!$AA$2:$AA$495&lt;=7)*('CASE MASTER'!$AC$2:$AC$495&gt;=7)*('CASE MASTER'!$AB$2:$AB$495&lt;=1)*('CASE MASTER'!$AD$2:$AD$495&gt;=1))*ROW('CASE MASTER'!$T$2:$T$495))-(ROW('CASE MASTER'!#REF!)-1))),":",","),",",REPT(" ",50)),(((INDEX('CASE MASTER'!$Z$2:$Z$495,(SUMPRODUCT((('CASE MASTER'!$T$2:$T$495=7)*('CASE MASTER'!$AA$2:$AA$495&lt;=7)*('CASE MASTER'!$AC$2:$AC$495&gt;=7)*('CASE MASTER'!$AB$2:$AB$495&lt;=1)*('CASE MASTER'!$AD$2:$AD$495&gt;=1))*ROW('CASE MASTER'!$T$2:$T$495))-(ROW('CASE MASTER'!#REF!)-1)))+((7-INDEX('CASE MASTER'!$AA$2:$AA$495,(SUMPRODUCT((('CASE MASTER'!$T$2:$T$495=7)*('CASE MASTER'!$AA$2:$AA$495&lt;=7)*('CASE MASTER'!$AC$2:$AC$495&gt;=7)*('CASE MASTER'!$AB$2:$AB$495&lt;=1)*('CASE MASTER'!$AD$2:$AD$495&gt;=1))*ROW('CASE MASTER'!$T$2:$T$495))-(ROW('CASE MASTER'!#REF!)-1))))*(INDEX('CASE MASTER'!$AD$2:$AD$495,(SUMPRODUCT((('CASE MASTER'!$T$2:$T$495=7)*('CASE MASTER'!$AA$2:$AA$495&lt;=7)*('CASE MASTER'!$AC$2:$AC$495&gt;=7)*('CASE MASTER'!$AB$2:$AB$495&lt;=1)*('CASE MASTER'!$AD$2:$AD$495&gt;=1))*ROW('CASE MASTER'!$T$2:$T$495))-(ROW('CASE MASTER'!#REF!)-1)))-INDEX('CASE MASTER'!$AB$2:$AB$495,(SUMPRODUCT((('CASE MASTER'!$T$2:$T$495=7)*('CASE MASTER'!$AA$2:$AA$495&lt;=7)*('CASE MASTER'!$AC$2:$AC$495&gt;=7)*('CASE MASTER'!$AB$2:$AB$495&lt;=1)*('CASE MASTER'!$AD$2:$AD$495&gt;=1))*ROW('CASE MASTER'!$T$2:$T$495))-(ROW('CASE MASTER'!#REF!)-1)))+1)+(1-INDEX('CASE MASTER'!$AB$2:$AB$495,(SUMPRODUCT((('CASE MASTER'!$T$2:$T$495=7)*('CASE MASTER'!$AA$2:$AA$495&lt;=7)*('CASE MASTER'!$AC$2:$AC$495&gt;=7)*('CASE MASTER'!$AB$2:$AB$495&lt;=1)*('CASE MASTER'!$AD$2:$AD$495&gt;=1))*ROW('CASE MASTER'!$T$2:$T$495))-(ROW('CASE MASTER'!#REF!)-1))))+1)))-1)*50+1,50))&amp;"_"&amp;INDEX('CASE MASTER'!$Q$2:$Q$495,(SUMPRODUCT((('CASE MASTER'!$T$2:$T$495=7)*('CASE MASTER'!$AA$2:$AA$495&lt;=7)*('CASE MASTER'!$AC$2:$AC$495&gt;=7)*('CASE MASTER'!$AB$2:$AB$495&lt;=1)*('CASE MASTER'!$AD$2:$AD$495&gt;=1))*ROW('CASE MASTER'!$T$2:$T$495))-(ROW('CASE MASTER'!#REF!)-1))),"")),"")</f>
        <v/>
      </c>
      <c r="C93" s="10" t="str">
        <f>IFERROR(IF(SUMPRODUCT((('CASE MASTER'!$T$2:$T$495=7)*('CASE MASTER'!$U$2:$U$495&lt;=7)*('CASE MASTER'!$W$2:$W$495&gt;=7)*('CASE MASTER'!$V$2:$V$495&lt;=2)*('CASE MASTER'!$X$2:$X$495&gt;=2))*ROW('CASE MASTER'!$T$2:$T$495))&gt;0,INDEX('CASE MASTER'!$Y$2:$Y$495,(SUMPRODUCT((('CASE MASTER'!$T$2:$T$495=7)*('CASE MASTER'!$U$2:$U$495&lt;=7)*('CASE MASTER'!$W$2:$W$495&gt;=7)*('CASE MASTER'!$V$2:$V$495&lt;=2)*('CASE MASTER'!$X$2:$X$495&gt;=2))*ROW('CASE MASTER'!$T$2:$T$495))-(ROW('CASE MASTER'!#REF!)-1)))&amp;TRIM(MID(SUBSTITUTE(SUBSTITUTE(INDEX('CASE MASTER'!$N$2:$N$495,(SUMPRODUCT((('CASE MASTER'!$T$2:$T$495=7)*('CASE MASTER'!$U$2:$U$495&lt;=7)*('CASE MASTER'!$W$2:$W$495&gt;=7)*('CASE MASTER'!$V$2:$V$495&lt;=2)*('CASE MASTER'!$X$2:$X$495&gt;=2))*ROW('CASE MASTER'!$T$2:$T$495))-(ROW('CASE MASTER'!#REF!)-1))),":",","),",",REPT(" ",50)),((((7-INDEX('CASE MASTER'!$U$2:$U$495,(SUMPRODUCT((('CASE MASTER'!$T$2:$T$495=7)*('CASE MASTER'!$U$2:$U$495&lt;=7)*('CASE MASTER'!$W$2:$W$495&gt;=7)*('CASE MASTER'!$V$2:$V$495&lt;=2)*('CASE MASTER'!$X$2:$X$495&gt;=2))*ROW('CASE MASTER'!$T$2:$T$495))-(ROW('CASE MASTER'!#REF!)-1))))*(INDEX('CASE MASTER'!$X$2:$X$495,(SUMPRODUCT((('CASE MASTER'!$T$2:$T$495=7)*('CASE MASTER'!$U$2:$U$495&lt;=7)*('CASE MASTER'!$W$2:$W$495&gt;=7)*('CASE MASTER'!$V$2:$V$495&lt;=2)*('CASE MASTER'!$X$2:$X$495&gt;=2))*ROW('CASE MASTER'!$T$2:$T$495))-(ROW('CASE MASTER'!#REF!)-1)))-INDEX('CASE MASTER'!$V$2:$V$495,(SUMPRODUCT((('CASE MASTER'!$T$2:$T$495=7)*('CASE MASTER'!$U$2:$U$495&lt;=7)*('CASE MASTER'!$W$2:$W$495&gt;=7)*('CASE MASTER'!$V$2:$V$495&lt;=2)*('CASE MASTER'!$X$2:$X$495&gt;=2))*ROW('CASE MASTER'!$T$2:$T$495))-(ROW('CASE MASTER'!#REF!)-1)))+1)+(2-INDEX('CASE MASTER'!$V$2:$V$495,(SUMPRODUCT((('CASE MASTER'!$T$2:$T$495=7)*('CASE MASTER'!$U$2:$U$495&lt;=7)*('CASE MASTER'!$W$2:$W$495&gt;=7)*('CASE MASTER'!$V$2:$V$495&lt;=2)*('CASE MASTER'!$X$2:$X$495&gt;=2))*ROW('CASE MASTER'!$T$2:$T$495))-(ROW('CASE MASTER'!#REF!)-1))))+1))-1)*50+1,50))&amp;"_"&amp;INDEX('CASE MASTER'!$Q$2:$Q$495,(SUMPRODUCT((('CASE MASTER'!$T$2:$T$495=7)*('CASE MASTER'!$U$2:$U$495&lt;=7)*('CASE MASTER'!$W$2:$W$495&gt;=7)*('CASE MASTER'!$V$2:$V$495&lt;=2)*('CASE MASTER'!$X$2:$X$495&gt;=2))*ROW('CASE MASTER'!$T$2:$T$495))-(ROW('CASE MASTER'!#REF!)-1))),IF(SUMPRODUCT((('CASE MASTER'!$T$2:$T$495=7)*('CASE MASTER'!$AA$2:$AA$495&lt;=7)*('CASE MASTER'!$AC$2:$AC$495&gt;=7)*('CASE MASTER'!$AB$2:$AB$495&lt;=2)*('CASE MASTER'!$AD$2:$AD$495&gt;=2))*ROW('CASE MASTER'!$T$2:$T$495))&gt;0,INDEX('CASE MASTER'!$Y$2:$Y$495,(SUMPRODUCT((('CASE MASTER'!$T$2:$T$495=7)*('CASE MASTER'!$AA$2:$AA$495&lt;=7)*('CASE MASTER'!$AC$2:$AC$495&gt;=7)*('CASE MASTER'!$AB$2:$AB$495&lt;=2)*('CASE MASTER'!$AD$2:$AD$495&gt;=2))*ROW('CASE MASTER'!$T$2:$T$495))-(ROW('CASE MASTER'!#REF!)-1)))&amp;TRIM(MID(SUBSTITUTE(SUBSTITUTE(INDEX('CASE MASTER'!$N$2:$N$495,(SUMPRODUCT((('CASE MASTER'!$T$2:$T$495=7)*('CASE MASTER'!$AA$2:$AA$495&lt;=7)*('CASE MASTER'!$AC$2:$AC$495&gt;=7)*('CASE MASTER'!$AB$2:$AB$495&lt;=2)*('CASE MASTER'!$AD$2:$AD$495&gt;=2))*ROW('CASE MASTER'!$T$2:$T$495))-(ROW('CASE MASTER'!#REF!)-1))),":",","),",",REPT(" ",50)),(((INDEX('CASE MASTER'!$Z$2:$Z$495,(SUMPRODUCT((('CASE MASTER'!$T$2:$T$495=7)*('CASE MASTER'!$AA$2:$AA$495&lt;=7)*('CASE MASTER'!$AC$2:$AC$495&gt;=7)*('CASE MASTER'!$AB$2:$AB$495&lt;=2)*('CASE MASTER'!$AD$2:$AD$495&gt;=2))*ROW('CASE MASTER'!$T$2:$T$495))-(ROW('CASE MASTER'!#REF!)-1)))+((7-INDEX('CASE MASTER'!$AA$2:$AA$495,(SUMPRODUCT((('CASE MASTER'!$T$2:$T$495=7)*('CASE MASTER'!$AA$2:$AA$495&lt;=7)*('CASE MASTER'!$AC$2:$AC$495&gt;=7)*('CASE MASTER'!$AB$2:$AB$495&lt;=2)*('CASE MASTER'!$AD$2:$AD$495&gt;=2))*ROW('CASE MASTER'!$T$2:$T$495))-(ROW('CASE MASTER'!#REF!)-1))))*(INDEX('CASE MASTER'!$AD$2:$AD$495,(SUMPRODUCT((('CASE MASTER'!$T$2:$T$495=7)*('CASE MASTER'!$AA$2:$AA$495&lt;=7)*('CASE MASTER'!$AC$2:$AC$495&gt;=7)*('CASE MASTER'!$AB$2:$AB$495&lt;=2)*('CASE MASTER'!$AD$2:$AD$495&gt;=2))*ROW('CASE MASTER'!$T$2:$T$495))-(ROW('CASE MASTER'!#REF!)-1)))-INDEX('CASE MASTER'!$AB$2:$AB$495,(SUMPRODUCT((('CASE MASTER'!$T$2:$T$495=7)*('CASE MASTER'!$AA$2:$AA$495&lt;=7)*('CASE MASTER'!$AC$2:$AC$495&gt;=7)*('CASE MASTER'!$AB$2:$AB$495&lt;=2)*('CASE MASTER'!$AD$2:$AD$495&gt;=2))*ROW('CASE MASTER'!$T$2:$T$495))-(ROW('CASE MASTER'!#REF!)-1)))+1)+(2-INDEX('CASE MASTER'!$AB$2:$AB$495,(SUMPRODUCT((('CASE MASTER'!$T$2:$T$495=7)*('CASE MASTER'!$AA$2:$AA$495&lt;=7)*('CASE MASTER'!$AC$2:$AC$495&gt;=7)*('CASE MASTER'!$AB$2:$AB$495&lt;=2)*('CASE MASTER'!$AD$2:$AD$495&gt;=2))*ROW('CASE MASTER'!$T$2:$T$495))-(ROW('CASE MASTER'!#REF!)-1))))+1)))-1)*50+1,50))&amp;"_"&amp;INDEX('CASE MASTER'!$Q$2:$Q$495,(SUMPRODUCT((('CASE MASTER'!$T$2:$T$495=7)*('CASE MASTER'!$AA$2:$AA$495&lt;=7)*('CASE MASTER'!$AC$2:$AC$495&gt;=7)*('CASE MASTER'!$AB$2:$AB$495&lt;=2)*('CASE MASTER'!$AD$2:$AD$495&gt;=2))*ROW('CASE MASTER'!$T$2:$T$495))-(ROW('CASE MASTER'!#REF!)-1))),"")),"")</f>
        <v/>
      </c>
      <c r="D93" s="10" t="str">
        <f>IFERROR(IF(SUMPRODUCT((('CASE MASTER'!$T$2:$T$495=7)*('CASE MASTER'!$U$2:$U$495&lt;=7)*('CASE MASTER'!$W$2:$W$495&gt;=7)*('CASE MASTER'!$V$2:$V$495&lt;=3)*('CASE MASTER'!$X$2:$X$495&gt;=3))*ROW('CASE MASTER'!$T$2:$T$495))&gt;0,INDEX('CASE MASTER'!$Y$2:$Y$495,(SUMPRODUCT((('CASE MASTER'!$T$2:$T$495=7)*('CASE MASTER'!$U$2:$U$495&lt;=7)*('CASE MASTER'!$W$2:$W$495&gt;=7)*('CASE MASTER'!$V$2:$V$495&lt;=3)*('CASE MASTER'!$X$2:$X$495&gt;=3))*ROW('CASE MASTER'!$T$2:$T$495))-(ROW('CASE MASTER'!#REF!)-1)))&amp;TRIM(MID(SUBSTITUTE(SUBSTITUTE(INDEX('CASE MASTER'!$N$2:$N$495,(SUMPRODUCT((('CASE MASTER'!$T$2:$T$495=7)*('CASE MASTER'!$U$2:$U$495&lt;=7)*('CASE MASTER'!$W$2:$W$495&gt;=7)*('CASE MASTER'!$V$2:$V$495&lt;=3)*('CASE MASTER'!$X$2:$X$495&gt;=3))*ROW('CASE MASTER'!$T$2:$T$495))-(ROW('CASE MASTER'!#REF!)-1))),":",","),",",REPT(" ",50)),((((7-INDEX('CASE MASTER'!$U$2:$U$495,(SUMPRODUCT((('CASE MASTER'!$T$2:$T$495=7)*('CASE MASTER'!$U$2:$U$495&lt;=7)*('CASE MASTER'!$W$2:$W$495&gt;=7)*('CASE MASTER'!$V$2:$V$495&lt;=3)*('CASE MASTER'!$X$2:$X$495&gt;=3))*ROW('CASE MASTER'!$T$2:$T$495))-(ROW('CASE MASTER'!#REF!)-1))))*(INDEX('CASE MASTER'!$X$2:$X$495,(SUMPRODUCT((('CASE MASTER'!$T$2:$T$495=7)*('CASE MASTER'!$U$2:$U$495&lt;=7)*('CASE MASTER'!$W$2:$W$495&gt;=7)*('CASE MASTER'!$V$2:$V$495&lt;=3)*('CASE MASTER'!$X$2:$X$495&gt;=3))*ROW('CASE MASTER'!$T$2:$T$495))-(ROW('CASE MASTER'!#REF!)-1)))-INDEX('CASE MASTER'!$V$2:$V$495,(SUMPRODUCT((('CASE MASTER'!$T$2:$T$495=7)*('CASE MASTER'!$U$2:$U$495&lt;=7)*('CASE MASTER'!$W$2:$W$495&gt;=7)*('CASE MASTER'!$V$2:$V$495&lt;=3)*('CASE MASTER'!$X$2:$X$495&gt;=3))*ROW('CASE MASTER'!$T$2:$T$495))-(ROW('CASE MASTER'!#REF!)-1)))+1)+(3-INDEX('CASE MASTER'!$V$2:$V$495,(SUMPRODUCT((('CASE MASTER'!$T$2:$T$495=7)*('CASE MASTER'!$U$2:$U$495&lt;=7)*('CASE MASTER'!$W$2:$W$495&gt;=7)*('CASE MASTER'!$V$2:$V$495&lt;=3)*('CASE MASTER'!$X$2:$X$495&gt;=3))*ROW('CASE MASTER'!$T$2:$T$495))-(ROW('CASE MASTER'!#REF!)-1))))+1))-1)*50+1,50))&amp;"_"&amp;INDEX('CASE MASTER'!$Q$2:$Q$495,(SUMPRODUCT((('CASE MASTER'!$T$2:$T$495=7)*('CASE MASTER'!$U$2:$U$495&lt;=7)*('CASE MASTER'!$W$2:$W$495&gt;=7)*('CASE MASTER'!$V$2:$V$495&lt;=3)*('CASE MASTER'!$X$2:$X$495&gt;=3))*ROW('CASE MASTER'!$T$2:$T$495))-(ROW('CASE MASTER'!#REF!)-1))),IF(SUMPRODUCT((('CASE MASTER'!$T$2:$T$495=7)*('CASE MASTER'!$AA$2:$AA$495&lt;=7)*('CASE MASTER'!$AC$2:$AC$495&gt;=7)*('CASE MASTER'!$AB$2:$AB$495&lt;=3)*('CASE MASTER'!$AD$2:$AD$495&gt;=3))*ROW('CASE MASTER'!$T$2:$T$495))&gt;0,INDEX('CASE MASTER'!$Y$2:$Y$495,(SUMPRODUCT((('CASE MASTER'!$T$2:$T$495=7)*('CASE MASTER'!$AA$2:$AA$495&lt;=7)*('CASE MASTER'!$AC$2:$AC$495&gt;=7)*('CASE MASTER'!$AB$2:$AB$495&lt;=3)*('CASE MASTER'!$AD$2:$AD$495&gt;=3))*ROW('CASE MASTER'!$T$2:$T$495))-(ROW('CASE MASTER'!#REF!)-1)))&amp;TRIM(MID(SUBSTITUTE(SUBSTITUTE(INDEX('CASE MASTER'!$N$2:$N$495,(SUMPRODUCT((('CASE MASTER'!$T$2:$T$495=7)*('CASE MASTER'!$AA$2:$AA$495&lt;=7)*('CASE MASTER'!$AC$2:$AC$495&gt;=7)*('CASE MASTER'!$AB$2:$AB$495&lt;=3)*('CASE MASTER'!$AD$2:$AD$495&gt;=3))*ROW('CASE MASTER'!$T$2:$T$495))-(ROW('CASE MASTER'!#REF!)-1))),":",","),",",REPT(" ",50)),(((INDEX('CASE MASTER'!$Z$2:$Z$495,(SUMPRODUCT((('CASE MASTER'!$T$2:$T$495=7)*('CASE MASTER'!$AA$2:$AA$495&lt;=7)*('CASE MASTER'!$AC$2:$AC$495&gt;=7)*('CASE MASTER'!$AB$2:$AB$495&lt;=3)*('CASE MASTER'!$AD$2:$AD$495&gt;=3))*ROW('CASE MASTER'!$T$2:$T$495))-(ROW('CASE MASTER'!#REF!)-1)))+((7-INDEX('CASE MASTER'!$AA$2:$AA$495,(SUMPRODUCT((('CASE MASTER'!$T$2:$T$495=7)*('CASE MASTER'!$AA$2:$AA$495&lt;=7)*('CASE MASTER'!$AC$2:$AC$495&gt;=7)*('CASE MASTER'!$AB$2:$AB$495&lt;=3)*('CASE MASTER'!$AD$2:$AD$495&gt;=3))*ROW('CASE MASTER'!$T$2:$T$495))-(ROW('CASE MASTER'!#REF!)-1))))*(INDEX('CASE MASTER'!$AD$2:$AD$495,(SUMPRODUCT((('CASE MASTER'!$T$2:$T$495=7)*('CASE MASTER'!$AA$2:$AA$495&lt;=7)*('CASE MASTER'!$AC$2:$AC$495&gt;=7)*('CASE MASTER'!$AB$2:$AB$495&lt;=3)*('CASE MASTER'!$AD$2:$AD$495&gt;=3))*ROW('CASE MASTER'!$T$2:$T$495))-(ROW('CASE MASTER'!#REF!)-1)))-INDEX('CASE MASTER'!$AB$2:$AB$495,(SUMPRODUCT((('CASE MASTER'!$T$2:$T$495=7)*('CASE MASTER'!$AA$2:$AA$495&lt;=7)*('CASE MASTER'!$AC$2:$AC$495&gt;=7)*('CASE MASTER'!$AB$2:$AB$495&lt;=3)*('CASE MASTER'!$AD$2:$AD$495&gt;=3))*ROW('CASE MASTER'!$T$2:$T$495))-(ROW('CASE MASTER'!#REF!)-1)))+1)+(3-INDEX('CASE MASTER'!$AB$2:$AB$495,(SUMPRODUCT((('CASE MASTER'!$T$2:$T$495=7)*('CASE MASTER'!$AA$2:$AA$495&lt;=7)*('CASE MASTER'!$AC$2:$AC$495&gt;=7)*('CASE MASTER'!$AB$2:$AB$495&lt;=3)*('CASE MASTER'!$AD$2:$AD$495&gt;=3))*ROW('CASE MASTER'!$T$2:$T$495))-(ROW('CASE MASTER'!#REF!)-1))))+1)))-1)*50+1,50))&amp;"_"&amp;INDEX('CASE MASTER'!$Q$2:$Q$495,(SUMPRODUCT((('CASE MASTER'!$T$2:$T$495=7)*('CASE MASTER'!$AA$2:$AA$495&lt;=7)*('CASE MASTER'!$AC$2:$AC$495&gt;=7)*('CASE MASTER'!$AB$2:$AB$495&lt;=3)*('CASE MASTER'!$AD$2:$AD$495&gt;=3))*ROW('CASE MASTER'!$T$2:$T$495))-(ROW('CASE MASTER'!#REF!)-1))),"")),"")</f>
        <v/>
      </c>
      <c r="E93" s="10" t="str">
        <f>IFERROR(IF(SUMPRODUCT((('CASE MASTER'!$T$2:$T$495=7)*('CASE MASTER'!$U$2:$U$495&lt;=7)*('CASE MASTER'!$W$2:$W$495&gt;=7)*('CASE MASTER'!$V$2:$V$495&lt;=4)*('CASE MASTER'!$X$2:$X$495&gt;=4))*ROW('CASE MASTER'!$T$2:$T$495))&gt;0,INDEX('CASE MASTER'!$Y$2:$Y$495,(SUMPRODUCT((('CASE MASTER'!$T$2:$T$495=7)*('CASE MASTER'!$U$2:$U$495&lt;=7)*('CASE MASTER'!$W$2:$W$495&gt;=7)*('CASE MASTER'!$V$2:$V$495&lt;=4)*('CASE MASTER'!$X$2:$X$495&gt;=4))*ROW('CASE MASTER'!$T$2:$T$495))-(ROW('CASE MASTER'!#REF!)-1)))&amp;TRIM(MID(SUBSTITUTE(SUBSTITUTE(INDEX('CASE MASTER'!$N$2:$N$495,(SUMPRODUCT((('CASE MASTER'!$T$2:$T$495=7)*('CASE MASTER'!$U$2:$U$495&lt;=7)*('CASE MASTER'!$W$2:$W$495&gt;=7)*('CASE MASTER'!$V$2:$V$495&lt;=4)*('CASE MASTER'!$X$2:$X$495&gt;=4))*ROW('CASE MASTER'!$T$2:$T$495))-(ROW('CASE MASTER'!#REF!)-1))),":",","),",",REPT(" ",50)),((((7-INDEX('CASE MASTER'!$U$2:$U$495,(SUMPRODUCT((('CASE MASTER'!$T$2:$T$495=7)*('CASE MASTER'!$U$2:$U$495&lt;=7)*('CASE MASTER'!$W$2:$W$495&gt;=7)*('CASE MASTER'!$V$2:$V$495&lt;=4)*('CASE MASTER'!$X$2:$X$495&gt;=4))*ROW('CASE MASTER'!$T$2:$T$495))-(ROW('CASE MASTER'!#REF!)-1))))*(INDEX('CASE MASTER'!$X$2:$X$495,(SUMPRODUCT((('CASE MASTER'!$T$2:$T$495=7)*('CASE MASTER'!$U$2:$U$495&lt;=7)*('CASE MASTER'!$W$2:$W$495&gt;=7)*('CASE MASTER'!$V$2:$V$495&lt;=4)*('CASE MASTER'!$X$2:$X$495&gt;=4))*ROW('CASE MASTER'!$T$2:$T$495))-(ROW('CASE MASTER'!#REF!)-1)))-INDEX('CASE MASTER'!$V$2:$V$495,(SUMPRODUCT((('CASE MASTER'!$T$2:$T$495=7)*('CASE MASTER'!$U$2:$U$495&lt;=7)*('CASE MASTER'!$W$2:$W$495&gt;=7)*('CASE MASTER'!$V$2:$V$495&lt;=4)*('CASE MASTER'!$X$2:$X$495&gt;=4))*ROW('CASE MASTER'!$T$2:$T$495))-(ROW('CASE MASTER'!#REF!)-1)))+1)+(4-INDEX('CASE MASTER'!$V$2:$V$495,(SUMPRODUCT((('CASE MASTER'!$T$2:$T$495=7)*('CASE MASTER'!$U$2:$U$495&lt;=7)*('CASE MASTER'!$W$2:$W$495&gt;=7)*('CASE MASTER'!$V$2:$V$495&lt;=4)*('CASE MASTER'!$X$2:$X$495&gt;=4))*ROW('CASE MASTER'!$T$2:$T$495))-(ROW('CASE MASTER'!#REF!)-1))))+1))-1)*50+1,50))&amp;"_"&amp;INDEX('CASE MASTER'!$Q$2:$Q$495,(SUMPRODUCT((('CASE MASTER'!$T$2:$T$495=7)*('CASE MASTER'!$U$2:$U$495&lt;=7)*('CASE MASTER'!$W$2:$W$495&gt;=7)*('CASE MASTER'!$V$2:$V$495&lt;=4)*('CASE MASTER'!$X$2:$X$495&gt;=4))*ROW('CASE MASTER'!$T$2:$T$495))-(ROW('CASE MASTER'!#REF!)-1))),IF(SUMPRODUCT((('CASE MASTER'!$T$2:$T$495=7)*('CASE MASTER'!$AA$2:$AA$495&lt;=7)*('CASE MASTER'!$AC$2:$AC$495&gt;=7)*('CASE MASTER'!$AB$2:$AB$495&lt;=4)*('CASE MASTER'!$AD$2:$AD$495&gt;=4))*ROW('CASE MASTER'!$T$2:$T$495))&gt;0,INDEX('CASE MASTER'!$Y$2:$Y$495,(SUMPRODUCT((('CASE MASTER'!$T$2:$T$495=7)*('CASE MASTER'!$AA$2:$AA$495&lt;=7)*('CASE MASTER'!$AC$2:$AC$495&gt;=7)*('CASE MASTER'!$AB$2:$AB$495&lt;=4)*('CASE MASTER'!$AD$2:$AD$495&gt;=4))*ROW('CASE MASTER'!$T$2:$T$495))-(ROW('CASE MASTER'!#REF!)-1)))&amp;TRIM(MID(SUBSTITUTE(SUBSTITUTE(INDEX('CASE MASTER'!$N$2:$N$495,(SUMPRODUCT((('CASE MASTER'!$T$2:$T$495=7)*('CASE MASTER'!$AA$2:$AA$495&lt;=7)*('CASE MASTER'!$AC$2:$AC$495&gt;=7)*('CASE MASTER'!$AB$2:$AB$495&lt;=4)*('CASE MASTER'!$AD$2:$AD$495&gt;=4))*ROW('CASE MASTER'!$T$2:$T$495))-(ROW('CASE MASTER'!#REF!)-1))),":",","),",",REPT(" ",50)),(((INDEX('CASE MASTER'!$Z$2:$Z$495,(SUMPRODUCT((('CASE MASTER'!$T$2:$T$495=7)*('CASE MASTER'!$AA$2:$AA$495&lt;=7)*('CASE MASTER'!$AC$2:$AC$495&gt;=7)*('CASE MASTER'!$AB$2:$AB$495&lt;=4)*('CASE MASTER'!$AD$2:$AD$495&gt;=4))*ROW('CASE MASTER'!$T$2:$T$495))-(ROW('CASE MASTER'!#REF!)-1)))+((7-INDEX('CASE MASTER'!$AA$2:$AA$495,(SUMPRODUCT((('CASE MASTER'!$T$2:$T$495=7)*('CASE MASTER'!$AA$2:$AA$495&lt;=7)*('CASE MASTER'!$AC$2:$AC$495&gt;=7)*('CASE MASTER'!$AB$2:$AB$495&lt;=4)*('CASE MASTER'!$AD$2:$AD$495&gt;=4))*ROW('CASE MASTER'!$T$2:$T$495))-(ROW('CASE MASTER'!#REF!)-1))))*(INDEX('CASE MASTER'!$AD$2:$AD$495,(SUMPRODUCT((('CASE MASTER'!$T$2:$T$495=7)*('CASE MASTER'!$AA$2:$AA$495&lt;=7)*('CASE MASTER'!$AC$2:$AC$495&gt;=7)*('CASE MASTER'!$AB$2:$AB$495&lt;=4)*('CASE MASTER'!$AD$2:$AD$495&gt;=4))*ROW('CASE MASTER'!$T$2:$T$495))-(ROW('CASE MASTER'!#REF!)-1)))-INDEX('CASE MASTER'!$AB$2:$AB$495,(SUMPRODUCT((('CASE MASTER'!$T$2:$T$495=7)*('CASE MASTER'!$AA$2:$AA$495&lt;=7)*('CASE MASTER'!$AC$2:$AC$495&gt;=7)*('CASE MASTER'!$AB$2:$AB$495&lt;=4)*('CASE MASTER'!$AD$2:$AD$495&gt;=4))*ROW('CASE MASTER'!$T$2:$T$495))-(ROW('CASE MASTER'!#REF!)-1)))+1)+(4-INDEX('CASE MASTER'!$AB$2:$AB$495,(SUMPRODUCT((('CASE MASTER'!$T$2:$T$495=7)*('CASE MASTER'!$AA$2:$AA$495&lt;=7)*('CASE MASTER'!$AC$2:$AC$495&gt;=7)*('CASE MASTER'!$AB$2:$AB$495&lt;=4)*('CASE MASTER'!$AD$2:$AD$495&gt;=4))*ROW('CASE MASTER'!$T$2:$T$495))-(ROW('CASE MASTER'!#REF!)-1))))+1)))-1)*50+1,50))&amp;"_"&amp;INDEX('CASE MASTER'!$Q$2:$Q$495,(SUMPRODUCT((('CASE MASTER'!$T$2:$T$495=7)*('CASE MASTER'!$AA$2:$AA$495&lt;=7)*('CASE MASTER'!$AC$2:$AC$495&gt;=7)*('CASE MASTER'!$AB$2:$AB$495&lt;=4)*('CASE MASTER'!$AD$2:$AD$495&gt;=4))*ROW('CASE MASTER'!$T$2:$T$495))-(ROW('CASE MASTER'!#REF!)-1))),"")),"")</f>
        <v/>
      </c>
      <c r="F93" s="10" t="str">
        <f>IFERROR(IF(SUMPRODUCT((('CASE MASTER'!$T$2:$T$495=7)*('CASE MASTER'!$U$2:$U$495&lt;=7)*('CASE MASTER'!$W$2:$W$495&gt;=7)*('CASE MASTER'!$V$2:$V$495&lt;=5)*('CASE MASTER'!$X$2:$X$495&gt;=5))*ROW('CASE MASTER'!$T$2:$T$495))&gt;0,INDEX('CASE MASTER'!$Y$2:$Y$495,(SUMPRODUCT((('CASE MASTER'!$T$2:$T$495=7)*('CASE MASTER'!$U$2:$U$495&lt;=7)*('CASE MASTER'!$W$2:$W$495&gt;=7)*('CASE MASTER'!$V$2:$V$495&lt;=5)*('CASE MASTER'!$X$2:$X$495&gt;=5))*ROW('CASE MASTER'!$T$2:$T$495))-(ROW('CASE MASTER'!#REF!)-1)))&amp;TRIM(MID(SUBSTITUTE(SUBSTITUTE(INDEX('CASE MASTER'!$N$2:$N$495,(SUMPRODUCT((('CASE MASTER'!$T$2:$T$495=7)*('CASE MASTER'!$U$2:$U$495&lt;=7)*('CASE MASTER'!$W$2:$W$495&gt;=7)*('CASE MASTER'!$V$2:$V$495&lt;=5)*('CASE MASTER'!$X$2:$X$495&gt;=5))*ROW('CASE MASTER'!$T$2:$T$495))-(ROW('CASE MASTER'!#REF!)-1))),":",","),",",REPT(" ",50)),((((7-INDEX('CASE MASTER'!$U$2:$U$495,(SUMPRODUCT((('CASE MASTER'!$T$2:$T$495=7)*('CASE MASTER'!$U$2:$U$495&lt;=7)*('CASE MASTER'!$W$2:$W$495&gt;=7)*('CASE MASTER'!$V$2:$V$495&lt;=5)*('CASE MASTER'!$X$2:$X$495&gt;=5))*ROW('CASE MASTER'!$T$2:$T$495))-(ROW('CASE MASTER'!#REF!)-1))))*(INDEX('CASE MASTER'!$X$2:$X$495,(SUMPRODUCT((('CASE MASTER'!$T$2:$T$495=7)*('CASE MASTER'!$U$2:$U$495&lt;=7)*('CASE MASTER'!$W$2:$W$495&gt;=7)*('CASE MASTER'!$V$2:$V$495&lt;=5)*('CASE MASTER'!$X$2:$X$495&gt;=5))*ROW('CASE MASTER'!$T$2:$T$495))-(ROW('CASE MASTER'!#REF!)-1)))-INDEX('CASE MASTER'!$V$2:$V$495,(SUMPRODUCT((('CASE MASTER'!$T$2:$T$495=7)*('CASE MASTER'!$U$2:$U$495&lt;=7)*('CASE MASTER'!$W$2:$W$495&gt;=7)*('CASE MASTER'!$V$2:$V$495&lt;=5)*('CASE MASTER'!$X$2:$X$495&gt;=5))*ROW('CASE MASTER'!$T$2:$T$495))-(ROW('CASE MASTER'!#REF!)-1)))+1)+(5-INDEX('CASE MASTER'!$V$2:$V$495,(SUMPRODUCT((('CASE MASTER'!$T$2:$T$495=7)*('CASE MASTER'!$U$2:$U$495&lt;=7)*('CASE MASTER'!$W$2:$W$495&gt;=7)*('CASE MASTER'!$V$2:$V$495&lt;=5)*('CASE MASTER'!$X$2:$X$495&gt;=5))*ROW('CASE MASTER'!$T$2:$T$495))-(ROW('CASE MASTER'!#REF!)-1))))+1))-1)*50+1,50))&amp;"_"&amp;INDEX('CASE MASTER'!$Q$2:$Q$495,(SUMPRODUCT((('CASE MASTER'!$T$2:$T$495=7)*('CASE MASTER'!$U$2:$U$495&lt;=7)*('CASE MASTER'!$W$2:$W$495&gt;=7)*('CASE MASTER'!$V$2:$V$495&lt;=5)*('CASE MASTER'!$X$2:$X$495&gt;=5))*ROW('CASE MASTER'!$T$2:$T$495))-(ROW('CASE MASTER'!#REF!)-1))),IF(SUMPRODUCT((('CASE MASTER'!$T$2:$T$495=7)*('CASE MASTER'!$AA$2:$AA$495&lt;=7)*('CASE MASTER'!$AC$2:$AC$495&gt;=7)*('CASE MASTER'!$AB$2:$AB$495&lt;=5)*('CASE MASTER'!$AD$2:$AD$495&gt;=5))*ROW('CASE MASTER'!$T$2:$T$495))&gt;0,INDEX('CASE MASTER'!$Y$2:$Y$495,(SUMPRODUCT((('CASE MASTER'!$T$2:$T$495=7)*('CASE MASTER'!$AA$2:$AA$495&lt;=7)*('CASE MASTER'!$AC$2:$AC$495&gt;=7)*('CASE MASTER'!$AB$2:$AB$495&lt;=5)*('CASE MASTER'!$AD$2:$AD$495&gt;=5))*ROW('CASE MASTER'!$T$2:$T$495))-(ROW('CASE MASTER'!#REF!)-1)))&amp;TRIM(MID(SUBSTITUTE(SUBSTITUTE(INDEX('CASE MASTER'!$N$2:$N$495,(SUMPRODUCT((('CASE MASTER'!$T$2:$T$495=7)*('CASE MASTER'!$AA$2:$AA$495&lt;=7)*('CASE MASTER'!$AC$2:$AC$495&gt;=7)*('CASE MASTER'!$AB$2:$AB$495&lt;=5)*('CASE MASTER'!$AD$2:$AD$495&gt;=5))*ROW('CASE MASTER'!$T$2:$T$495))-(ROW('CASE MASTER'!#REF!)-1))),":",","),",",REPT(" ",50)),(((INDEX('CASE MASTER'!$Z$2:$Z$495,(SUMPRODUCT((('CASE MASTER'!$T$2:$T$495=7)*('CASE MASTER'!$AA$2:$AA$495&lt;=7)*('CASE MASTER'!$AC$2:$AC$495&gt;=7)*('CASE MASTER'!$AB$2:$AB$495&lt;=5)*('CASE MASTER'!$AD$2:$AD$495&gt;=5))*ROW('CASE MASTER'!$T$2:$T$495))-(ROW('CASE MASTER'!#REF!)-1)))+((7-INDEX('CASE MASTER'!$AA$2:$AA$495,(SUMPRODUCT((('CASE MASTER'!$T$2:$T$495=7)*('CASE MASTER'!$AA$2:$AA$495&lt;=7)*('CASE MASTER'!$AC$2:$AC$495&gt;=7)*('CASE MASTER'!$AB$2:$AB$495&lt;=5)*('CASE MASTER'!$AD$2:$AD$495&gt;=5))*ROW('CASE MASTER'!$T$2:$T$495))-(ROW('CASE MASTER'!#REF!)-1))))*(INDEX('CASE MASTER'!$AD$2:$AD$495,(SUMPRODUCT((('CASE MASTER'!$T$2:$T$495=7)*('CASE MASTER'!$AA$2:$AA$495&lt;=7)*('CASE MASTER'!$AC$2:$AC$495&gt;=7)*('CASE MASTER'!$AB$2:$AB$495&lt;=5)*('CASE MASTER'!$AD$2:$AD$495&gt;=5))*ROW('CASE MASTER'!$T$2:$T$495))-(ROW('CASE MASTER'!#REF!)-1)))-INDEX('CASE MASTER'!$AB$2:$AB$495,(SUMPRODUCT((('CASE MASTER'!$T$2:$T$495=7)*('CASE MASTER'!$AA$2:$AA$495&lt;=7)*('CASE MASTER'!$AC$2:$AC$495&gt;=7)*('CASE MASTER'!$AB$2:$AB$495&lt;=5)*('CASE MASTER'!$AD$2:$AD$495&gt;=5))*ROW('CASE MASTER'!$T$2:$T$495))-(ROW('CASE MASTER'!#REF!)-1)))+1)+(5-INDEX('CASE MASTER'!$AB$2:$AB$495,(SUMPRODUCT((('CASE MASTER'!$T$2:$T$495=7)*('CASE MASTER'!$AA$2:$AA$495&lt;=7)*('CASE MASTER'!$AC$2:$AC$495&gt;=7)*('CASE MASTER'!$AB$2:$AB$495&lt;=5)*('CASE MASTER'!$AD$2:$AD$495&gt;=5))*ROW('CASE MASTER'!$T$2:$T$495))-(ROW('CASE MASTER'!#REF!)-1))))+1)))-1)*50+1,50))&amp;"_"&amp;INDEX('CASE MASTER'!$Q$2:$Q$495,(SUMPRODUCT((('CASE MASTER'!$T$2:$T$495=7)*('CASE MASTER'!$AA$2:$AA$495&lt;=7)*('CASE MASTER'!$AC$2:$AC$495&gt;=7)*('CASE MASTER'!$AB$2:$AB$495&lt;=5)*('CASE MASTER'!$AD$2:$AD$495&gt;=5))*ROW('CASE MASTER'!$T$2:$T$495))-(ROW('CASE MASTER'!#REF!)-1))),"")),"")</f>
        <v/>
      </c>
      <c r="G93" s="10" t="str">
        <f>IFERROR(IF(SUMPRODUCT((('CASE MASTER'!$T$2:$T$495=7)*('CASE MASTER'!$U$2:$U$495&lt;=7)*('CASE MASTER'!$W$2:$W$495&gt;=7)*('CASE MASTER'!$V$2:$V$495&lt;=6)*('CASE MASTER'!$X$2:$X$495&gt;=6))*ROW('CASE MASTER'!$T$2:$T$495))&gt;0,INDEX('CASE MASTER'!$Y$2:$Y$495,(SUMPRODUCT((('CASE MASTER'!$T$2:$T$495=7)*('CASE MASTER'!$U$2:$U$495&lt;=7)*('CASE MASTER'!$W$2:$W$495&gt;=7)*('CASE MASTER'!$V$2:$V$495&lt;=6)*('CASE MASTER'!$X$2:$X$495&gt;=6))*ROW('CASE MASTER'!$T$2:$T$495))-(ROW('CASE MASTER'!#REF!)-1)))&amp;TRIM(MID(SUBSTITUTE(SUBSTITUTE(INDEX('CASE MASTER'!$N$2:$N$495,(SUMPRODUCT((('CASE MASTER'!$T$2:$T$495=7)*('CASE MASTER'!$U$2:$U$495&lt;=7)*('CASE MASTER'!$W$2:$W$495&gt;=7)*('CASE MASTER'!$V$2:$V$495&lt;=6)*('CASE MASTER'!$X$2:$X$495&gt;=6))*ROW('CASE MASTER'!$T$2:$T$495))-(ROW('CASE MASTER'!#REF!)-1))),":",","),",",REPT(" ",50)),((((7-INDEX('CASE MASTER'!$U$2:$U$495,(SUMPRODUCT((('CASE MASTER'!$T$2:$T$495=7)*('CASE MASTER'!$U$2:$U$495&lt;=7)*('CASE MASTER'!$W$2:$W$495&gt;=7)*('CASE MASTER'!$V$2:$V$495&lt;=6)*('CASE MASTER'!$X$2:$X$495&gt;=6))*ROW('CASE MASTER'!$T$2:$T$495))-(ROW('CASE MASTER'!#REF!)-1))))*(INDEX('CASE MASTER'!$X$2:$X$495,(SUMPRODUCT((('CASE MASTER'!$T$2:$T$495=7)*('CASE MASTER'!$U$2:$U$495&lt;=7)*('CASE MASTER'!$W$2:$W$495&gt;=7)*('CASE MASTER'!$V$2:$V$495&lt;=6)*('CASE MASTER'!$X$2:$X$495&gt;=6))*ROW('CASE MASTER'!$T$2:$T$495))-(ROW('CASE MASTER'!#REF!)-1)))-INDEX('CASE MASTER'!$V$2:$V$495,(SUMPRODUCT((('CASE MASTER'!$T$2:$T$495=7)*('CASE MASTER'!$U$2:$U$495&lt;=7)*('CASE MASTER'!$W$2:$W$495&gt;=7)*('CASE MASTER'!$V$2:$V$495&lt;=6)*('CASE MASTER'!$X$2:$X$495&gt;=6))*ROW('CASE MASTER'!$T$2:$T$495))-(ROW('CASE MASTER'!#REF!)-1)))+1)+(6-INDEX('CASE MASTER'!$V$2:$V$495,(SUMPRODUCT((('CASE MASTER'!$T$2:$T$495=7)*('CASE MASTER'!$U$2:$U$495&lt;=7)*('CASE MASTER'!$W$2:$W$495&gt;=7)*('CASE MASTER'!$V$2:$V$495&lt;=6)*('CASE MASTER'!$X$2:$X$495&gt;=6))*ROW('CASE MASTER'!$T$2:$T$495))-(ROW('CASE MASTER'!#REF!)-1))))+1))-1)*50+1,50))&amp;"_"&amp;INDEX('CASE MASTER'!$Q$2:$Q$495,(SUMPRODUCT((('CASE MASTER'!$T$2:$T$495=7)*('CASE MASTER'!$U$2:$U$495&lt;=7)*('CASE MASTER'!$W$2:$W$495&gt;=7)*('CASE MASTER'!$V$2:$V$495&lt;=6)*('CASE MASTER'!$X$2:$X$495&gt;=6))*ROW('CASE MASTER'!$T$2:$T$495))-(ROW('CASE MASTER'!#REF!)-1))),IF(SUMPRODUCT((('CASE MASTER'!$T$2:$T$495=7)*('CASE MASTER'!$AA$2:$AA$495&lt;=7)*('CASE MASTER'!$AC$2:$AC$495&gt;=7)*('CASE MASTER'!$AB$2:$AB$495&lt;=6)*('CASE MASTER'!$AD$2:$AD$495&gt;=6))*ROW('CASE MASTER'!$T$2:$T$495))&gt;0,INDEX('CASE MASTER'!$Y$2:$Y$495,(SUMPRODUCT((('CASE MASTER'!$T$2:$T$495=7)*('CASE MASTER'!$AA$2:$AA$495&lt;=7)*('CASE MASTER'!$AC$2:$AC$495&gt;=7)*('CASE MASTER'!$AB$2:$AB$495&lt;=6)*('CASE MASTER'!$AD$2:$AD$495&gt;=6))*ROW('CASE MASTER'!$T$2:$T$495))-(ROW('CASE MASTER'!#REF!)-1)))&amp;TRIM(MID(SUBSTITUTE(SUBSTITUTE(INDEX('CASE MASTER'!$N$2:$N$495,(SUMPRODUCT((('CASE MASTER'!$T$2:$T$495=7)*('CASE MASTER'!$AA$2:$AA$495&lt;=7)*('CASE MASTER'!$AC$2:$AC$495&gt;=7)*('CASE MASTER'!$AB$2:$AB$495&lt;=6)*('CASE MASTER'!$AD$2:$AD$495&gt;=6))*ROW('CASE MASTER'!$T$2:$T$495))-(ROW('CASE MASTER'!#REF!)-1))),":",","),",",REPT(" ",50)),(((INDEX('CASE MASTER'!$Z$2:$Z$495,(SUMPRODUCT((('CASE MASTER'!$T$2:$T$495=7)*('CASE MASTER'!$AA$2:$AA$495&lt;=7)*('CASE MASTER'!$AC$2:$AC$495&gt;=7)*('CASE MASTER'!$AB$2:$AB$495&lt;=6)*('CASE MASTER'!$AD$2:$AD$495&gt;=6))*ROW('CASE MASTER'!$T$2:$T$495))-(ROW('CASE MASTER'!#REF!)-1)))+((7-INDEX('CASE MASTER'!$AA$2:$AA$495,(SUMPRODUCT((('CASE MASTER'!$T$2:$T$495=7)*('CASE MASTER'!$AA$2:$AA$495&lt;=7)*('CASE MASTER'!$AC$2:$AC$495&gt;=7)*('CASE MASTER'!$AB$2:$AB$495&lt;=6)*('CASE MASTER'!$AD$2:$AD$495&gt;=6))*ROW('CASE MASTER'!$T$2:$T$495))-(ROW('CASE MASTER'!#REF!)-1))))*(INDEX('CASE MASTER'!$AD$2:$AD$495,(SUMPRODUCT((('CASE MASTER'!$T$2:$T$495=7)*('CASE MASTER'!$AA$2:$AA$495&lt;=7)*('CASE MASTER'!$AC$2:$AC$495&gt;=7)*('CASE MASTER'!$AB$2:$AB$495&lt;=6)*('CASE MASTER'!$AD$2:$AD$495&gt;=6))*ROW('CASE MASTER'!$T$2:$T$495))-(ROW('CASE MASTER'!#REF!)-1)))-INDEX('CASE MASTER'!$AB$2:$AB$495,(SUMPRODUCT((('CASE MASTER'!$T$2:$T$495=7)*('CASE MASTER'!$AA$2:$AA$495&lt;=7)*('CASE MASTER'!$AC$2:$AC$495&gt;=7)*('CASE MASTER'!$AB$2:$AB$495&lt;=6)*('CASE MASTER'!$AD$2:$AD$495&gt;=6))*ROW('CASE MASTER'!$T$2:$T$495))-(ROW('CASE MASTER'!#REF!)-1)))+1)+(6-INDEX('CASE MASTER'!$AB$2:$AB$495,(SUMPRODUCT((('CASE MASTER'!$T$2:$T$495=7)*('CASE MASTER'!$AA$2:$AA$495&lt;=7)*('CASE MASTER'!$AC$2:$AC$495&gt;=7)*('CASE MASTER'!$AB$2:$AB$495&lt;=6)*('CASE MASTER'!$AD$2:$AD$495&gt;=6))*ROW('CASE MASTER'!$T$2:$T$495))-(ROW('CASE MASTER'!#REF!)-1))))+1)))-1)*50+1,50))&amp;"_"&amp;INDEX('CASE MASTER'!$Q$2:$Q$495,(SUMPRODUCT((('CASE MASTER'!$T$2:$T$495=7)*('CASE MASTER'!$AA$2:$AA$495&lt;=7)*('CASE MASTER'!$AC$2:$AC$495&gt;=7)*('CASE MASTER'!$AB$2:$AB$495&lt;=6)*('CASE MASTER'!$AD$2:$AD$495&gt;=6))*ROW('CASE MASTER'!$T$2:$T$495))-(ROW('CASE MASTER'!#REF!)-1))),"")),"")</f>
        <v/>
      </c>
      <c r="H93" s="10" t="str">
        <f>IFERROR(IF(SUMPRODUCT((('CASE MASTER'!$T$2:$T$495=7)*('CASE MASTER'!$U$2:$U$495&lt;=7)*('CASE MASTER'!$W$2:$W$495&gt;=7)*('CASE MASTER'!$V$2:$V$495&lt;=7)*('CASE MASTER'!$X$2:$X$495&gt;=7))*ROW('CASE MASTER'!$T$2:$T$495))&gt;0,INDEX('CASE MASTER'!$Y$2:$Y$495,(SUMPRODUCT((('CASE MASTER'!$T$2:$T$495=7)*('CASE MASTER'!$U$2:$U$495&lt;=7)*('CASE MASTER'!$W$2:$W$495&gt;=7)*('CASE MASTER'!$V$2:$V$495&lt;=7)*('CASE MASTER'!$X$2:$X$495&gt;=7))*ROW('CASE MASTER'!$T$2:$T$495))-(ROW('CASE MASTER'!#REF!)-1)))&amp;TRIM(MID(SUBSTITUTE(SUBSTITUTE(INDEX('CASE MASTER'!$N$2:$N$495,(SUMPRODUCT((('CASE MASTER'!$T$2:$T$495=7)*('CASE MASTER'!$U$2:$U$495&lt;=7)*('CASE MASTER'!$W$2:$W$495&gt;=7)*('CASE MASTER'!$V$2:$V$495&lt;=7)*('CASE MASTER'!$X$2:$X$495&gt;=7))*ROW('CASE MASTER'!$T$2:$T$495))-(ROW('CASE MASTER'!#REF!)-1))),":",","),",",REPT(" ",50)),((((7-INDEX('CASE MASTER'!$U$2:$U$495,(SUMPRODUCT((('CASE MASTER'!$T$2:$T$495=7)*('CASE MASTER'!$U$2:$U$495&lt;=7)*('CASE MASTER'!$W$2:$W$495&gt;=7)*('CASE MASTER'!$V$2:$V$495&lt;=7)*('CASE MASTER'!$X$2:$X$495&gt;=7))*ROW('CASE MASTER'!$T$2:$T$495))-(ROW('CASE MASTER'!#REF!)-1))))*(INDEX('CASE MASTER'!$X$2:$X$495,(SUMPRODUCT((('CASE MASTER'!$T$2:$T$495=7)*('CASE MASTER'!$U$2:$U$495&lt;=7)*('CASE MASTER'!$W$2:$W$495&gt;=7)*('CASE MASTER'!$V$2:$V$495&lt;=7)*('CASE MASTER'!$X$2:$X$495&gt;=7))*ROW('CASE MASTER'!$T$2:$T$495))-(ROW('CASE MASTER'!#REF!)-1)))-INDEX('CASE MASTER'!$V$2:$V$495,(SUMPRODUCT((('CASE MASTER'!$T$2:$T$495=7)*('CASE MASTER'!$U$2:$U$495&lt;=7)*('CASE MASTER'!$W$2:$W$495&gt;=7)*('CASE MASTER'!$V$2:$V$495&lt;=7)*('CASE MASTER'!$X$2:$X$495&gt;=7))*ROW('CASE MASTER'!$T$2:$T$495))-(ROW('CASE MASTER'!#REF!)-1)))+1)+(7-INDEX('CASE MASTER'!$V$2:$V$495,(SUMPRODUCT((('CASE MASTER'!$T$2:$T$495=7)*('CASE MASTER'!$U$2:$U$495&lt;=7)*('CASE MASTER'!$W$2:$W$495&gt;=7)*('CASE MASTER'!$V$2:$V$495&lt;=7)*('CASE MASTER'!$X$2:$X$495&gt;=7))*ROW('CASE MASTER'!$T$2:$T$495))-(ROW('CASE MASTER'!#REF!)-1))))+1))-1)*50+1,50))&amp;"_"&amp;INDEX('CASE MASTER'!$Q$2:$Q$495,(SUMPRODUCT((('CASE MASTER'!$T$2:$T$495=7)*('CASE MASTER'!$U$2:$U$495&lt;=7)*('CASE MASTER'!$W$2:$W$495&gt;=7)*('CASE MASTER'!$V$2:$V$495&lt;=7)*('CASE MASTER'!$X$2:$X$495&gt;=7))*ROW('CASE MASTER'!$T$2:$T$495))-(ROW('CASE MASTER'!#REF!)-1))),IF(SUMPRODUCT((('CASE MASTER'!$T$2:$T$495=7)*('CASE MASTER'!$AA$2:$AA$495&lt;=7)*('CASE MASTER'!$AC$2:$AC$495&gt;=7)*('CASE MASTER'!$AB$2:$AB$495&lt;=7)*('CASE MASTER'!$AD$2:$AD$495&gt;=7))*ROW('CASE MASTER'!$T$2:$T$495))&gt;0,INDEX('CASE MASTER'!$Y$2:$Y$495,(SUMPRODUCT((('CASE MASTER'!$T$2:$T$495=7)*('CASE MASTER'!$AA$2:$AA$495&lt;=7)*('CASE MASTER'!$AC$2:$AC$495&gt;=7)*('CASE MASTER'!$AB$2:$AB$495&lt;=7)*('CASE MASTER'!$AD$2:$AD$495&gt;=7))*ROW('CASE MASTER'!$T$2:$T$495))-(ROW('CASE MASTER'!#REF!)-1)))&amp;TRIM(MID(SUBSTITUTE(SUBSTITUTE(INDEX('CASE MASTER'!$N$2:$N$495,(SUMPRODUCT((('CASE MASTER'!$T$2:$T$495=7)*('CASE MASTER'!$AA$2:$AA$495&lt;=7)*('CASE MASTER'!$AC$2:$AC$495&gt;=7)*('CASE MASTER'!$AB$2:$AB$495&lt;=7)*('CASE MASTER'!$AD$2:$AD$495&gt;=7))*ROW('CASE MASTER'!$T$2:$T$495))-(ROW('CASE MASTER'!#REF!)-1))),":",","),",",REPT(" ",50)),(((INDEX('CASE MASTER'!$Z$2:$Z$495,(SUMPRODUCT((('CASE MASTER'!$T$2:$T$495=7)*('CASE MASTER'!$AA$2:$AA$495&lt;=7)*('CASE MASTER'!$AC$2:$AC$495&gt;=7)*('CASE MASTER'!$AB$2:$AB$495&lt;=7)*('CASE MASTER'!$AD$2:$AD$495&gt;=7))*ROW('CASE MASTER'!$T$2:$T$495))-(ROW('CASE MASTER'!#REF!)-1)))+((7-INDEX('CASE MASTER'!$AA$2:$AA$495,(SUMPRODUCT((('CASE MASTER'!$T$2:$T$495=7)*('CASE MASTER'!$AA$2:$AA$495&lt;=7)*('CASE MASTER'!$AC$2:$AC$495&gt;=7)*('CASE MASTER'!$AB$2:$AB$495&lt;=7)*('CASE MASTER'!$AD$2:$AD$495&gt;=7))*ROW('CASE MASTER'!$T$2:$T$495))-(ROW('CASE MASTER'!#REF!)-1))))*(INDEX('CASE MASTER'!$AD$2:$AD$495,(SUMPRODUCT((('CASE MASTER'!$T$2:$T$495=7)*('CASE MASTER'!$AA$2:$AA$495&lt;=7)*('CASE MASTER'!$AC$2:$AC$495&gt;=7)*('CASE MASTER'!$AB$2:$AB$495&lt;=7)*('CASE MASTER'!$AD$2:$AD$495&gt;=7))*ROW('CASE MASTER'!$T$2:$T$495))-(ROW('CASE MASTER'!#REF!)-1)))-INDEX('CASE MASTER'!$AB$2:$AB$495,(SUMPRODUCT((('CASE MASTER'!$T$2:$T$495=7)*('CASE MASTER'!$AA$2:$AA$495&lt;=7)*('CASE MASTER'!$AC$2:$AC$495&gt;=7)*('CASE MASTER'!$AB$2:$AB$495&lt;=7)*('CASE MASTER'!$AD$2:$AD$495&gt;=7))*ROW('CASE MASTER'!$T$2:$T$495))-(ROW('CASE MASTER'!#REF!)-1)))+1)+(7-INDEX('CASE MASTER'!$AB$2:$AB$495,(SUMPRODUCT((('CASE MASTER'!$T$2:$T$495=7)*('CASE MASTER'!$AA$2:$AA$495&lt;=7)*('CASE MASTER'!$AC$2:$AC$495&gt;=7)*('CASE MASTER'!$AB$2:$AB$495&lt;=7)*('CASE MASTER'!$AD$2:$AD$495&gt;=7))*ROW('CASE MASTER'!$T$2:$T$495))-(ROW('CASE MASTER'!#REF!)-1))))+1)))-1)*50+1,50))&amp;"_"&amp;INDEX('CASE MASTER'!$Q$2:$Q$495,(SUMPRODUCT((('CASE MASTER'!$T$2:$T$495=7)*('CASE MASTER'!$AA$2:$AA$495&lt;=7)*('CASE MASTER'!$AC$2:$AC$495&gt;=7)*('CASE MASTER'!$AB$2:$AB$495&lt;=7)*('CASE MASTER'!$AD$2:$AD$495&gt;=7))*ROW('CASE MASTER'!$T$2:$T$495))-(ROW('CASE MASTER'!#REF!)-1))),"")),"")</f>
        <v/>
      </c>
      <c r="I93" s="10" t="str">
        <f>IFERROR(IF(SUMPRODUCT((('CASE MASTER'!$T$2:$T$495=7)*('CASE MASTER'!$U$2:$U$495&lt;=7)*('CASE MASTER'!$W$2:$W$495&gt;=7)*('CASE MASTER'!$V$2:$V$495&lt;=8)*('CASE MASTER'!$X$2:$X$495&gt;=8))*ROW('CASE MASTER'!$T$2:$T$495))&gt;0,INDEX('CASE MASTER'!$Y$2:$Y$495,(SUMPRODUCT((('CASE MASTER'!$T$2:$T$495=7)*('CASE MASTER'!$U$2:$U$495&lt;=7)*('CASE MASTER'!$W$2:$W$495&gt;=7)*('CASE MASTER'!$V$2:$V$495&lt;=8)*('CASE MASTER'!$X$2:$X$495&gt;=8))*ROW('CASE MASTER'!$T$2:$T$495))-(ROW('CASE MASTER'!#REF!)-1)))&amp;TRIM(MID(SUBSTITUTE(SUBSTITUTE(INDEX('CASE MASTER'!$N$2:$N$495,(SUMPRODUCT((('CASE MASTER'!$T$2:$T$495=7)*('CASE MASTER'!$U$2:$U$495&lt;=7)*('CASE MASTER'!$W$2:$W$495&gt;=7)*('CASE MASTER'!$V$2:$V$495&lt;=8)*('CASE MASTER'!$X$2:$X$495&gt;=8))*ROW('CASE MASTER'!$T$2:$T$495))-(ROW('CASE MASTER'!#REF!)-1))),":",","),",",REPT(" ",50)),((((7-INDEX('CASE MASTER'!$U$2:$U$495,(SUMPRODUCT((('CASE MASTER'!$T$2:$T$495=7)*('CASE MASTER'!$U$2:$U$495&lt;=7)*('CASE MASTER'!$W$2:$W$495&gt;=7)*('CASE MASTER'!$V$2:$V$495&lt;=8)*('CASE MASTER'!$X$2:$X$495&gt;=8))*ROW('CASE MASTER'!$T$2:$T$495))-(ROW('CASE MASTER'!#REF!)-1))))*(INDEX('CASE MASTER'!$X$2:$X$495,(SUMPRODUCT((('CASE MASTER'!$T$2:$T$495=7)*('CASE MASTER'!$U$2:$U$495&lt;=7)*('CASE MASTER'!$W$2:$W$495&gt;=7)*('CASE MASTER'!$V$2:$V$495&lt;=8)*('CASE MASTER'!$X$2:$X$495&gt;=8))*ROW('CASE MASTER'!$T$2:$T$495))-(ROW('CASE MASTER'!#REF!)-1)))-INDEX('CASE MASTER'!$V$2:$V$495,(SUMPRODUCT((('CASE MASTER'!$T$2:$T$495=7)*('CASE MASTER'!$U$2:$U$495&lt;=7)*('CASE MASTER'!$W$2:$W$495&gt;=7)*('CASE MASTER'!$V$2:$V$495&lt;=8)*('CASE MASTER'!$X$2:$X$495&gt;=8))*ROW('CASE MASTER'!$T$2:$T$495))-(ROW('CASE MASTER'!#REF!)-1)))+1)+(8-INDEX('CASE MASTER'!$V$2:$V$495,(SUMPRODUCT((('CASE MASTER'!$T$2:$T$495=7)*('CASE MASTER'!$U$2:$U$495&lt;=7)*('CASE MASTER'!$W$2:$W$495&gt;=7)*('CASE MASTER'!$V$2:$V$495&lt;=8)*('CASE MASTER'!$X$2:$X$495&gt;=8))*ROW('CASE MASTER'!$T$2:$T$495))-(ROW('CASE MASTER'!#REF!)-1))))+1))-1)*50+1,50))&amp;"_"&amp;INDEX('CASE MASTER'!$Q$2:$Q$495,(SUMPRODUCT((('CASE MASTER'!$T$2:$T$495=7)*('CASE MASTER'!$U$2:$U$495&lt;=7)*('CASE MASTER'!$W$2:$W$495&gt;=7)*('CASE MASTER'!$V$2:$V$495&lt;=8)*('CASE MASTER'!$X$2:$X$495&gt;=8))*ROW('CASE MASTER'!$T$2:$T$495))-(ROW('CASE MASTER'!#REF!)-1))),IF(SUMPRODUCT((('CASE MASTER'!$T$2:$T$495=7)*('CASE MASTER'!$AA$2:$AA$495&lt;=7)*('CASE MASTER'!$AC$2:$AC$495&gt;=7)*('CASE MASTER'!$AB$2:$AB$495&lt;=8)*('CASE MASTER'!$AD$2:$AD$495&gt;=8))*ROW('CASE MASTER'!$T$2:$T$495))&gt;0,INDEX('CASE MASTER'!$Y$2:$Y$495,(SUMPRODUCT((('CASE MASTER'!$T$2:$T$495=7)*('CASE MASTER'!$AA$2:$AA$495&lt;=7)*('CASE MASTER'!$AC$2:$AC$495&gt;=7)*('CASE MASTER'!$AB$2:$AB$495&lt;=8)*('CASE MASTER'!$AD$2:$AD$495&gt;=8))*ROW('CASE MASTER'!$T$2:$T$495))-(ROW('CASE MASTER'!#REF!)-1)))&amp;TRIM(MID(SUBSTITUTE(SUBSTITUTE(INDEX('CASE MASTER'!$N$2:$N$495,(SUMPRODUCT((('CASE MASTER'!$T$2:$T$495=7)*('CASE MASTER'!$AA$2:$AA$495&lt;=7)*('CASE MASTER'!$AC$2:$AC$495&gt;=7)*('CASE MASTER'!$AB$2:$AB$495&lt;=8)*('CASE MASTER'!$AD$2:$AD$495&gt;=8))*ROW('CASE MASTER'!$T$2:$T$495))-(ROW('CASE MASTER'!#REF!)-1))),":",","),",",REPT(" ",50)),(((INDEX('CASE MASTER'!$Z$2:$Z$495,(SUMPRODUCT((('CASE MASTER'!$T$2:$T$495=7)*('CASE MASTER'!$AA$2:$AA$495&lt;=7)*('CASE MASTER'!$AC$2:$AC$495&gt;=7)*('CASE MASTER'!$AB$2:$AB$495&lt;=8)*('CASE MASTER'!$AD$2:$AD$495&gt;=8))*ROW('CASE MASTER'!$T$2:$T$495))-(ROW('CASE MASTER'!#REF!)-1)))+((7-INDEX('CASE MASTER'!$AA$2:$AA$495,(SUMPRODUCT((('CASE MASTER'!$T$2:$T$495=7)*('CASE MASTER'!$AA$2:$AA$495&lt;=7)*('CASE MASTER'!$AC$2:$AC$495&gt;=7)*('CASE MASTER'!$AB$2:$AB$495&lt;=8)*('CASE MASTER'!$AD$2:$AD$495&gt;=8))*ROW('CASE MASTER'!$T$2:$T$495))-(ROW('CASE MASTER'!#REF!)-1))))*(INDEX('CASE MASTER'!$AD$2:$AD$495,(SUMPRODUCT((('CASE MASTER'!$T$2:$T$495=7)*('CASE MASTER'!$AA$2:$AA$495&lt;=7)*('CASE MASTER'!$AC$2:$AC$495&gt;=7)*('CASE MASTER'!$AB$2:$AB$495&lt;=8)*('CASE MASTER'!$AD$2:$AD$495&gt;=8))*ROW('CASE MASTER'!$T$2:$T$495))-(ROW('CASE MASTER'!#REF!)-1)))-INDEX('CASE MASTER'!$AB$2:$AB$495,(SUMPRODUCT((('CASE MASTER'!$T$2:$T$495=7)*('CASE MASTER'!$AA$2:$AA$495&lt;=7)*('CASE MASTER'!$AC$2:$AC$495&gt;=7)*('CASE MASTER'!$AB$2:$AB$495&lt;=8)*('CASE MASTER'!$AD$2:$AD$495&gt;=8))*ROW('CASE MASTER'!$T$2:$T$495))-(ROW('CASE MASTER'!#REF!)-1)))+1)+(8-INDEX('CASE MASTER'!$AB$2:$AB$495,(SUMPRODUCT((('CASE MASTER'!$T$2:$T$495=7)*('CASE MASTER'!$AA$2:$AA$495&lt;=7)*('CASE MASTER'!$AC$2:$AC$495&gt;=7)*('CASE MASTER'!$AB$2:$AB$495&lt;=8)*('CASE MASTER'!$AD$2:$AD$495&gt;=8))*ROW('CASE MASTER'!$T$2:$T$495))-(ROW('CASE MASTER'!#REF!)-1))))+1)))-1)*50+1,50))&amp;"_"&amp;INDEX('CASE MASTER'!$Q$2:$Q$495,(SUMPRODUCT((('CASE MASTER'!$T$2:$T$495=7)*('CASE MASTER'!$AA$2:$AA$495&lt;=7)*('CASE MASTER'!$AC$2:$AC$495&gt;=7)*('CASE MASTER'!$AB$2:$AB$495&lt;=8)*('CASE MASTER'!$AD$2:$AD$495&gt;=8))*ROW('CASE MASTER'!$T$2:$T$495))-(ROW('CASE MASTER'!#REF!)-1))),"")),"")</f>
        <v/>
      </c>
      <c r="J93" s="10" t="str">
        <f>IFERROR(IF(SUMPRODUCT((('CASE MASTER'!$T$2:$T$495=7)*('CASE MASTER'!$U$2:$U$495&lt;=7)*('CASE MASTER'!$W$2:$W$495&gt;=7)*('CASE MASTER'!$V$2:$V$495&lt;=9)*('CASE MASTER'!$X$2:$X$495&gt;=9))*ROW('CASE MASTER'!$T$2:$T$495))&gt;0,INDEX('CASE MASTER'!$Y$2:$Y$495,(SUMPRODUCT((('CASE MASTER'!$T$2:$T$495=7)*('CASE MASTER'!$U$2:$U$495&lt;=7)*('CASE MASTER'!$W$2:$W$495&gt;=7)*('CASE MASTER'!$V$2:$V$495&lt;=9)*('CASE MASTER'!$X$2:$X$495&gt;=9))*ROW('CASE MASTER'!$T$2:$T$495))-(ROW('CASE MASTER'!#REF!)-1)))&amp;TRIM(MID(SUBSTITUTE(SUBSTITUTE(INDEX('CASE MASTER'!$N$2:$N$495,(SUMPRODUCT((('CASE MASTER'!$T$2:$T$495=7)*('CASE MASTER'!$U$2:$U$495&lt;=7)*('CASE MASTER'!$W$2:$W$495&gt;=7)*('CASE MASTER'!$V$2:$V$495&lt;=9)*('CASE MASTER'!$X$2:$X$495&gt;=9))*ROW('CASE MASTER'!$T$2:$T$495))-(ROW('CASE MASTER'!#REF!)-1))),":",","),",",REPT(" ",50)),((((7-INDEX('CASE MASTER'!$U$2:$U$495,(SUMPRODUCT((('CASE MASTER'!$T$2:$T$495=7)*('CASE MASTER'!$U$2:$U$495&lt;=7)*('CASE MASTER'!$W$2:$W$495&gt;=7)*('CASE MASTER'!$V$2:$V$495&lt;=9)*('CASE MASTER'!$X$2:$X$495&gt;=9))*ROW('CASE MASTER'!$T$2:$T$495))-(ROW('CASE MASTER'!#REF!)-1))))*(INDEX('CASE MASTER'!$X$2:$X$495,(SUMPRODUCT((('CASE MASTER'!$T$2:$T$495=7)*('CASE MASTER'!$U$2:$U$495&lt;=7)*('CASE MASTER'!$W$2:$W$495&gt;=7)*('CASE MASTER'!$V$2:$V$495&lt;=9)*('CASE MASTER'!$X$2:$X$495&gt;=9))*ROW('CASE MASTER'!$T$2:$T$495))-(ROW('CASE MASTER'!#REF!)-1)))-INDEX('CASE MASTER'!$V$2:$V$495,(SUMPRODUCT((('CASE MASTER'!$T$2:$T$495=7)*('CASE MASTER'!$U$2:$U$495&lt;=7)*('CASE MASTER'!$W$2:$W$495&gt;=7)*('CASE MASTER'!$V$2:$V$495&lt;=9)*('CASE MASTER'!$X$2:$X$495&gt;=9))*ROW('CASE MASTER'!$T$2:$T$495))-(ROW('CASE MASTER'!#REF!)-1)))+1)+(9-INDEX('CASE MASTER'!$V$2:$V$495,(SUMPRODUCT((('CASE MASTER'!$T$2:$T$495=7)*('CASE MASTER'!$U$2:$U$495&lt;=7)*('CASE MASTER'!$W$2:$W$495&gt;=7)*('CASE MASTER'!$V$2:$V$495&lt;=9)*('CASE MASTER'!$X$2:$X$495&gt;=9))*ROW('CASE MASTER'!$T$2:$T$495))-(ROW('CASE MASTER'!#REF!)-1))))+1))-1)*50+1,50))&amp;"_"&amp;INDEX('CASE MASTER'!$Q$2:$Q$495,(SUMPRODUCT((('CASE MASTER'!$T$2:$T$495=7)*('CASE MASTER'!$U$2:$U$495&lt;=7)*('CASE MASTER'!$W$2:$W$495&gt;=7)*('CASE MASTER'!$V$2:$V$495&lt;=9)*('CASE MASTER'!$X$2:$X$495&gt;=9))*ROW('CASE MASTER'!$T$2:$T$495))-(ROW('CASE MASTER'!#REF!)-1))),IF(SUMPRODUCT((('CASE MASTER'!$T$2:$T$495=7)*('CASE MASTER'!$AA$2:$AA$495&lt;=7)*('CASE MASTER'!$AC$2:$AC$495&gt;=7)*('CASE MASTER'!$AB$2:$AB$495&lt;=9)*('CASE MASTER'!$AD$2:$AD$495&gt;=9))*ROW('CASE MASTER'!$T$2:$T$495))&gt;0,INDEX('CASE MASTER'!$Y$2:$Y$495,(SUMPRODUCT((('CASE MASTER'!$T$2:$T$495=7)*('CASE MASTER'!$AA$2:$AA$495&lt;=7)*('CASE MASTER'!$AC$2:$AC$495&gt;=7)*('CASE MASTER'!$AB$2:$AB$495&lt;=9)*('CASE MASTER'!$AD$2:$AD$495&gt;=9))*ROW('CASE MASTER'!$T$2:$T$495))-(ROW('CASE MASTER'!#REF!)-1)))&amp;TRIM(MID(SUBSTITUTE(SUBSTITUTE(INDEX('CASE MASTER'!$N$2:$N$495,(SUMPRODUCT((('CASE MASTER'!$T$2:$T$495=7)*('CASE MASTER'!$AA$2:$AA$495&lt;=7)*('CASE MASTER'!$AC$2:$AC$495&gt;=7)*('CASE MASTER'!$AB$2:$AB$495&lt;=9)*('CASE MASTER'!$AD$2:$AD$495&gt;=9))*ROW('CASE MASTER'!$T$2:$T$495))-(ROW('CASE MASTER'!#REF!)-1))),":",","),",",REPT(" ",50)),(((INDEX('CASE MASTER'!$Z$2:$Z$495,(SUMPRODUCT((('CASE MASTER'!$T$2:$T$495=7)*('CASE MASTER'!$AA$2:$AA$495&lt;=7)*('CASE MASTER'!$AC$2:$AC$495&gt;=7)*('CASE MASTER'!$AB$2:$AB$495&lt;=9)*('CASE MASTER'!$AD$2:$AD$495&gt;=9))*ROW('CASE MASTER'!$T$2:$T$495))-(ROW('CASE MASTER'!#REF!)-1)))+((7-INDEX('CASE MASTER'!$AA$2:$AA$495,(SUMPRODUCT((('CASE MASTER'!$T$2:$T$495=7)*('CASE MASTER'!$AA$2:$AA$495&lt;=7)*('CASE MASTER'!$AC$2:$AC$495&gt;=7)*('CASE MASTER'!$AB$2:$AB$495&lt;=9)*('CASE MASTER'!$AD$2:$AD$495&gt;=9))*ROW('CASE MASTER'!$T$2:$T$495))-(ROW('CASE MASTER'!#REF!)-1))))*(INDEX('CASE MASTER'!$AD$2:$AD$495,(SUMPRODUCT((('CASE MASTER'!$T$2:$T$495=7)*('CASE MASTER'!$AA$2:$AA$495&lt;=7)*('CASE MASTER'!$AC$2:$AC$495&gt;=7)*('CASE MASTER'!$AB$2:$AB$495&lt;=9)*('CASE MASTER'!$AD$2:$AD$495&gt;=9))*ROW('CASE MASTER'!$T$2:$T$495))-(ROW('CASE MASTER'!#REF!)-1)))-INDEX('CASE MASTER'!$AB$2:$AB$495,(SUMPRODUCT((('CASE MASTER'!$T$2:$T$495=7)*('CASE MASTER'!$AA$2:$AA$495&lt;=7)*('CASE MASTER'!$AC$2:$AC$495&gt;=7)*('CASE MASTER'!$AB$2:$AB$495&lt;=9)*('CASE MASTER'!$AD$2:$AD$495&gt;=9))*ROW('CASE MASTER'!$T$2:$T$495))-(ROW('CASE MASTER'!#REF!)-1)))+1)+(9-INDEX('CASE MASTER'!$AB$2:$AB$495,(SUMPRODUCT((('CASE MASTER'!$T$2:$T$495=7)*('CASE MASTER'!$AA$2:$AA$495&lt;=7)*('CASE MASTER'!$AC$2:$AC$495&gt;=7)*('CASE MASTER'!$AB$2:$AB$495&lt;=9)*('CASE MASTER'!$AD$2:$AD$495&gt;=9))*ROW('CASE MASTER'!$T$2:$T$495))-(ROW('CASE MASTER'!#REF!)-1))))+1)))-1)*50+1,50))&amp;"_"&amp;INDEX('CASE MASTER'!$Q$2:$Q$495,(SUMPRODUCT((('CASE MASTER'!$T$2:$T$495=7)*('CASE MASTER'!$AA$2:$AA$495&lt;=7)*('CASE MASTER'!$AC$2:$AC$495&gt;=7)*('CASE MASTER'!$AB$2:$AB$495&lt;=9)*('CASE MASTER'!$AD$2:$AD$495&gt;=9))*ROW('CASE MASTER'!$T$2:$T$495))-(ROW('CASE MASTER'!#REF!)-1))),"")),"")</f>
        <v/>
      </c>
      <c r="K93" s="10" t="str">
        <f>IFERROR(IF(SUMPRODUCT((('CASE MASTER'!$T$2:$T$495=7)*('CASE MASTER'!$U$2:$U$495&lt;=7)*('CASE MASTER'!$W$2:$W$495&gt;=7)*('CASE MASTER'!$V$2:$V$495&lt;=10)*('CASE MASTER'!$X$2:$X$495&gt;=10))*ROW('CASE MASTER'!$T$2:$T$495))&gt;0,INDEX('CASE MASTER'!$Y$2:$Y$495,(SUMPRODUCT((('CASE MASTER'!$T$2:$T$495=7)*('CASE MASTER'!$U$2:$U$495&lt;=7)*('CASE MASTER'!$W$2:$W$495&gt;=7)*('CASE MASTER'!$V$2:$V$495&lt;=10)*('CASE MASTER'!$X$2:$X$495&gt;=10))*ROW('CASE MASTER'!$T$2:$T$495))-(ROW('CASE MASTER'!#REF!)-1)))&amp;TRIM(MID(SUBSTITUTE(SUBSTITUTE(INDEX('CASE MASTER'!$N$2:$N$495,(SUMPRODUCT((('CASE MASTER'!$T$2:$T$495=7)*('CASE MASTER'!$U$2:$U$495&lt;=7)*('CASE MASTER'!$W$2:$W$495&gt;=7)*('CASE MASTER'!$V$2:$V$495&lt;=10)*('CASE MASTER'!$X$2:$X$495&gt;=10))*ROW('CASE MASTER'!$T$2:$T$495))-(ROW('CASE MASTER'!#REF!)-1))),":",","),",",REPT(" ",50)),((((7-INDEX('CASE MASTER'!$U$2:$U$495,(SUMPRODUCT((('CASE MASTER'!$T$2:$T$495=7)*('CASE MASTER'!$U$2:$U$495&lt;=7)*('CASE MASTER'!$W$2:$W$495&gt;=7)*('CASE MASTER'!$V$2:$V$495&lt;=10)*('CASE MASTER'!$X$2:$X$495&gt;=10))*ROW('CASE MASTER'!$T$2:$T$495))-(ROW('CASE MASTER'!#REF!)-1))))*(INDEX('CASE MASTER'!$X$2:$X$495,(SUMPRODUCT((('CASE MASTER'!$T$2:$T$495=7)*('CASE MASTER'!$U$2:$U$495&lt;=7)*('CASE MASTER'!$W$2:$W$495&gt;=7)*('CASE MASTER'!$V$2:$V$495&lt;=10)*('CASE MASTER'!$X$2:$X$495&gt;=10))*ROW('CASE MASTER'!$T$2:$T$495))-(ROW('CASE MASTER'!#REF!)-1)))-INDEX('CASE MASTER'!$V$2:$V$495,(SUMPRODUCT((('CASE MASTER'!$T$2:$T$495=7)*('CASE MASTER'!$U$2:$U$495&lt;=7)*('CASE MASTER'!$W$2:$W$495&gt;=7)*('CASE MASTER'!$V$2:$V$495&lt;=10)*('CASE MASTER'!$X$2:$X$495&gt;=10))*ROW('CASE MASTER'!$T$2:$T$495))-(ROW('CASE MASTER'!#REF!)-1)))+1)+(10-INDEX('CASE MASTER'!$V$2:$V$495,(SUMPRODUCT((('CASE MASTER'!$T$2:$T$495=7)*('CASE MASTER'!$U$2:$U$495&lt;=7)*('CASE MASTER'!$W$2:$W$495&gt;=7)*('CASE MASTER'!$V$2:$V$495&lt;=10)*('CASE MASTER'!$X$2:$X$495&gt;=10))*ROW('CASE MASTER'!$T$2:$T$495))-(ROW('CASE MASTER'!#REF!)-1))))+1))-1)*50+1,50))&amp;"_"&amp;INDEX('CASE MASTER'!$Q$2:$Q$495,(SUMPRODUCT((('CASE MASTER'!$T$2:$T$495=7)*('CASE MASTER'!$U$2:$U$495&lt;=7)*('CASE MASTER'!$W$2:$W$495&gt;=7)*('CASE MASTER'!$V$2:$V$495&lt;=10)*('CASE MASTER'!$X$2:$X$495&gt;=10))*ROW('CASE MASTER'!$T$2:$T$495))-(ROW('CASE MASTER'!#REF!)-1))),IF(SUMPRODUCT((('CASE MASTER'!$T$2:$T$495=7)*('CASE MASTER'!$AA$2:$AA$495&lt;=7)*('CASE MASTER'!$AC$2:$AC$495&gt;=7)*('CASE MASTER'!$AB$2:$AB$495&lt;=10)*('CASE MASTER'!$AD$2:$AD$495&gt;=10))*ROW('CASE MASTER'!$T$2:$T$495))&gt;0,INDEX('CASE MASTER'!$Y$2:$Y$495,(SUMPRODUCT((('CASE MASTER'!$T$2:$T$495=7)*('CASE MASTER'!$AA$2:$AA$495&lt;=7)*('CASE MASTER'!$AC$2:$AC$495&gt;=7)*('CASE MASTER'!$AB$2:$AB$495&lt;=10)*('CASE MASTER'!$AD$2:$AD$495&gt;=10))*ROW('CASE MASTER'!$T$2:$T$495))-(ROW('CASE MASTER'!#REF!)-1)))&amp;TRIM(MID(SUBSTITUTE(SUBSTITUTE(INDEX('CASE MASTER'!$N$2:$N$495,(SUMPRODUCT((('CASE MASTER'!$T$2:$T$495=7)*('CASE MASTER'!$AA$2:$AA$495&lt;=7)*('CASE MASTER'!$AC$2:$AC$495&gt;=7)*('CASE MASTER'!$AB$2:$AB$495&lt;=10)*('CASE MASTER'!$AD$2:$AD$495&gt;=10))*ROW('CASE MASTER'!$T$2:$T$495))-(ROW('CASE MASTER'!#REF!)-1))),":",","),",",REPT(" ",50)),(((INDEX('CASE MASTER'!$Z$2:$Z$495,(SUMPRODUCT((('CASE MASTER'!$T$2:$T$495=7)*('CASE MASTER'!$AA$2:$AA$495&lt;=7)*('CASE MASTER'!$AC$2:$AC$495&gt;=7)*('CASE MASTER'!$AB$2:$AB$495&lt;=10)*('CASE MASTER'!$AD$2:$AD$495&gt;=10))*ROW('CASE MASTER'!$T$2:$T$495))-(ROW('CASE MASTER'!#REF!)-1)))+((7-INDEX('CASE MASTER'!$AA$2:$AA$495,(SUMPRODUCT((('CASE MASTER'!$T$2:$T$495=7)*('CASE MASTER'!$AA$2:$AA$495&lt;=7)*('CASE MASTER'!$AC$2:$AC$495&gt;=7)*('CASE MASTER'!$AB$2:$AB$495&lt;=10)*('CASE MASTER'!$AD$2:$AD$495&gt;=10))*ROW('CASE MASTER'!$T$2:$T$495))-(ROW('CASE MASTER'!#REF!)-1))))*(INDEX('CASE MASTER'!$AD$2:$AD$495,(SUMPRODUCT((('CASE MASTER'!$T$2:$T$495=7)*('CASE MASTER'!$AA$2:$AA$495&lt;=7)*('CASE MASTER'!$AC$2:$AC$495&gt;=7)*('CASE MASTER'!$AB$2:$AB$495&lt;=10)*('CASE MASTER'!$AD$2:$AD$495&gt;=10))*ROW('CASE MASTER'!$T$2:$T$495))-(ROW('CASE MASTER'!#REF!)-1)))-INDEX('CASE MASTER'!$AB$2:$AB$495,(SUMPRODUCT((('CASE MASTER'!$T$2:$T$495=7)*('CASE MASTER'!$AA$2:$AA$495&lt;=7)*('CASE MASTER'!$AC$2:$AC$495&gt;=7)*('CASE MASTER'!$AB$2:$AB$495&lt;=10)*('CASE MASTER'!$AD$2:$AD$495&gt;=10))*ROW('CASE MASTER'!$T$2:$T$495))-(ROW('CASE MASTER'!#REF!)-1)))+1)+(10-INDEX('CASE MASTER'!$AB$2:$AB$495,(SUMPRODUCT((('CASE MASTER'!$T$2:$T$495=7)*('CASE MASTER'!$AA$2:$AA$495&lt;=7)*('CASE MASTER'!$AC$2:$AC$495&gt;=7)*('CASE MASTER'!$AB$2:$AB$495&lt;=10)*('CASE MASTER'!$AD$2:$AD$495&gt;=10))*ROW('CASE MASTER'!$T$2:$T$495))-(ROW('CASE MASTER'!#REF!)-1))))+1)))-1)*50+1,50))&amp;"_"&amp;INDEX('CASE MASTER'!$Q$2:$Q$495,(SUMPRODUCT((('CASE MASTER'!$T$2:$T$495=7)*('CASE MASTER'!$AA$2:$AA$495&lt;=7)*('CASE MASTER'!$AC$2:$AC$495&gt;=7)*('CASE MASTER'!$AB$2:$AB$495&lt;=10)*('CASE MASTER'!$AD$2:$AD$495&gt;=10))*ROW('CASE MASTER'!$T$2:$T$495))-(ROW('CASE MASTER'!#REF!)-1))),"")),"")</f>
        <v/>
      </c>
    </row>
    <row r="94" spans="1:11" ht="15" customHeight="1" x14ac:dyDescent="0.35">
      <c r="A94" s="8" t="s">
        <v>35</v>
      </c>
      <c r="B94" s="10" t="str">
        <f>IFERROR(IF(SUMPRODUCT((('CASE MASTER'!$T$2:$T$495=7)*('CASE MASTER'!$U$2:$U$495&lt;=8)*('CASE MASTER'!$W$2:$W$495&gt;=8)*('CASE MASTER'!$V$2:$V$495&lt;=1)*('CASE MASTER'!$X$2:$X$495&gt;=1))*ROW('CASE MASTER'!$T$2:$T$495))&gt;0,INDEX('CASE MASTER'!$Y$2:$Y$495,(SUMPRODUCT((('CASE MASTER'!$T$2:$T$495=7)*('CASE MASTER'!$U$2:$U$495&lt;=8)*('CASE MASTER'!$W$2:$W$495&gt;=8)*('CASE MASTER'!$V$2:$V$495&lt;=1)*('CASE MASTER'!$X$2:$X$495&gt;=1))*ROW('CASE MASTER'!$T$2:$T$495))-(ROW('CASE MASTER'!#REF!)-1)))&amp;TRIM(MID(SUBSTITUTE(SUBSTITUTE(INDEX('CASE MASTER'!$N$2:$N$495,(SUMPRODUCT((('CASE MASTER'!$T$2:$T$495=7)*('CASE MASTER'!$U$2:$U$495&lt;=8)*('CASE MASTER'!$W$2:$W$495&gt;=8)*('CASE MASTER'!$V$2:$V$495&lt;=1)*('CASE MASTER'!$X$2:$X$495&gt;=1))*ROW('CASE MASTER'!$T$2:$T$495))-(ROW('CASE MASTER'!#REF!)-1))),":",","),",",REPT(" ",50)),((((8-INDEX('CASE MASTER'!$U$2:$U$495,(SUMPRODUCT((('CASE MASTER'!$T$2:$T$495=7)*('CASE MASTER'!$U$2:$U$495&lt;=8)*('CASE MASTER'!$W$2:$W$495&gt;=8)*('CASE MASTER'!$V$2:$V$495&lt;=1)*('CASE MASTER'!$X$2:$X$495&gt;=1))*ROW('CASE MASTER'!$T$2:$T$495))-(ROW('CASE MASTER'!#REF!)-1))))*(INDEX('CASE MASTER'!$X$2:$X$495,(SUMPRODUCT((('CASE MASTER'!$T$2:$T$495=7)*('CASE MASTER'!$U$2:$U$495&lt;=8)*('CASE MASTER'!$W$2:$W$495&gt;=8)*('CASE MASTER'!$V$2:$V$495&lt;=1)*('CASE MASTER'!$X$2:$X$495&gt;=1))*ROW('CASE MASTER'!$T$2:$T$495))-(ROW('CASE MASTER'!#REF!)-1)))-INDEX('CASE MASTER'!$V$2:$V$495,(SUMPRODUCT((('CASE MASTER'!$T$2:$T$495=7)*('CASE MASTER'!$U$2:$U$495&lt;=8)*('CASE MASTER'!$W$2:$W$495&gt;=8)*('CASE MASTER'!$V$2:$V$495&lt;=1)*('CASE MASTER'!$X$2:$X$495&gt;=1))*ROW('CASE MASTER'!$T$2:$T$495))-(ROW('CASE MASTER'!#REF!)-1)))+1)+(1-INDEX('CASE MASTER'!$V$2:$V$495,(SUMPRODUCT((('CASE MASTER'!$T$2:$T$495=7)*('CASE MASTER'!$U$2:$U$495&lt;=8)*('CASE MASTER'!$W$2:$W$495&gt;=8)*('CASE MASTER'!$V$2:$V$495&lt;=1)*('CASE MASTER'!$X$2:$X$495&gt;=1))*ROW('CASE MASTER'!$T$2:$T$495))-(ROW('CASE MASTER'!#REF!)-1))))+1))-1)*50+1,50))&amp;"_"&amp;INDEX('CASE MASTER'!$Q$2:$Q$495,(SUMPRODUCT((('CASE MASTER'!$T$2:$T$495=7)*('CASE MASTER'!$U$2:$U$495&lt;=8)*('CASE MASTER'!$W$2:$W$495&gt;=8)*('CASE MASTER'!$V$2:$V$495&lt;=1)*('CASE MASTER'!$X$2:$X$495&gt;=1))*ROW('CASE MASTER'!$T$2:$T$495))-(ROW('CASE MASTER'!#REF!)-1))),IF(SUMPRODUCT((('CASE MASTER'!$T$2:$T$495=7)*('CASE MASTER'!$AA$2:$AA$495&lt;=8)*('CASE MASTER'!$AC$2:$AC$495&gt;=8)*('CASE MASTER'!$AB$2:$AB$495&lt;=1)*('CASE MASTER'!$AD$2:$AD$495&gt;=1))*ROW('CASE MASTER'!$T$2:$T$495))&gt;0,INDEX('CASE MASTER'!$Y$2:$Y$495,(SUMPRODUCT((('CASE MASTER'!$T$2:$T$495=7)*('CASE MASTER'!$AA$2:$AA$495&lt;=8)*('CASE MASTER'!$AC$2:$AC$495&gt;=8)*('CASE MASTER'!$AB$2:$AB$495&lt;=1)*('CASE MASTER'!$AD$2:$AD$495&gt;=1))*ROW('CASE MASTER'!$T$2:$T$495))-(ROW('CASE MASTER'!#REF!)-1)))&amp;TRIM(MID(SUBSTITUTE(SUBSTITUTE(INDEX('CASE MASTER'!$N$2:$N$495,(SUMPRODUCT((('CASE MASTER'!$T$2:$T$495=7)*('CASE MASTER'!$AA$2:$AA$495&lt;=8)*('CASE MASTER'!$AC$2:$AC$495&gt;=8)*('CASE MASTER'!$AB$2:$AB$495&lt;=1)*('CASE MASTER'!$AD$2:$AD$495&gt;=1))*ROW('CASE MASTER'!$T$2:$T$495))-(ROW('CASE MASTER'!#REF!)-1))),":",","),",",REPT(" ",50)),(((INDEX('CASE MASTER'!$Z$2:$Z$495,(SUMPRODUCT((('CASE MASTER'!$T$2:$T$495=7)*('CASE MASTER'!$AA$2:$AA$495&lt;=8)*('CASE MASTER'!$AC$2:$AC$495&gt;=8)*('CASE MASTER'!$AB$2:$AB$495&lt;=1)*('CASE MASTER'!$AD$2:$AD$495&gt;=1))*ROW('CASE MASTER'!$T$2:$T$495))-(ROW('CASE MASTER'!#REF!)-1)))+((8-INDEX('CASE MASTER'!$AA$2:$AA$495,(SUMPRODUCT((('CASE MASTER'!$T$2:$T$495=7)*('CASE MASTER'!$AA$2:$AA$495&lt;=8)*('CASE MASTER'!$AC$2:$AC$495&gt;=8)*('CASE MASTER'!$AB$2:$AB$495&lt;=1)*('CASE MASTER'!$AD$2:$AD$495&gt;=1))*ROW('CASE MASTER'!$T$2:$T$495))-(ROW('CASE MASTER'!#REF!)-1))))*(INDEX('CASE MASTER'!$AD$2:$AD$495,(SUMPRODUCT((('CASE MASTER'!$T$2:$T$495=7)*('CASE MASTER'!$AA$2:$AA$495&lt;=8)*('CASE MASTER'!$AC$2:$AC$495&gt;=8)*('CASE MASTER'!$AB$2:$AB$495&lt;=1)*('CASE MASTER'!$AD$2:$AD$495&gt;=1))*ROW('CASE MASTER'!$T$2:$T$495))-(ROW('CASE MASTER'!#REF!)-1)))-INDEX('CASE MASTER'!$AB$2:$AB$495,(SUMPRODUCT((('CASE MASTER'!$T$2:$T$495=7)*('CASE MASTER'!$AA$2:$AA$495&lt;=8)*('CASE MASTER'!$AC$2:$AC$495&gt;=8)*('CASE MASTER'!$AB$2:$AB$495&lt;=1)*('CASE MASTER'!$AD$2:$AD$495&gt;=1))*ROW('CASE MASTER'!$T$2:$T$495))-(ROW('CASE MASTER'!#REF!)-1)))+1)+(1-INDEX('CASE MASTER'!$AB$2:$AB$495,(SUMPRODUCT((('CASE MASTER'!$T$2:$T$495=7)*('CASE MASTER'!$AA$2:$AA$495&lt;=8)*('CASE MASTER'!$AC$2:$AC$495&gt;=8)*('CASE MASTER'!$AB$2:$AB$495&lt;=1)*('CASE MASTER'!$AD$2:$AD$495&gt;=1))*ROW('CASE MASTER'!$T$2:$T$495))-(ROW('CASE MASTER'!#REF!)-1))))+1)))-1)*50+1,50))&amp;"_"&amp;INDEX('CASE MASTER'!$Q$2:$Q$495,(SUMPRODUCT((('CASE MASTER'!$T$2:$T$495=7)*('CASE MASTER'!$AA$2:$AA$495&lt;=8)*('CASE MASTER'!$AC$2:$AC$495&gt;=8)*('CASE MASTER'!$AB$2:$AB$495&lt;=1)*('CASE MASTER'!$AD$2:$AD$495&gt;=1))*ROW('CASE MASTER'!$T$2:$T$495))-(ROW('CASE MASTER'!#REF!)-1))),"")),"")</f>
        <v/>
      </c>
      <c r="C94" s="10" t="str">
        <f>IFERROR(IF(SUMPRODUCT((('CASE MASTER'!$T$2:$T$495=7)*('CASE MASTER'!$U$2:$U$495&lt;=8)*('CASE MASTER'!$W$2:$W$495&gt;=8)*('CASE MASTER'!$V$2:$V$495&lt;=2)*('CASE MASTER'!$X$2:$X$495&gt;=2))*ROW('CASE MASTER'!$T$2:$T$495))&gt;0,INDEX('CASE MASTER'!$Y$2:$Y$495,(SUMPRODUCT((('CASE MASTER'!$T$2:$T$495=7)*('CASE MASTER'!$U$2:$U$495&lt;=8)*('CASE MASTER'!$W$2:$W$495&gt;=8)*('CASE MASTER'!$V$2:$V$495&lt;=2)*('CASE MASTER'!$X$2:$X$495&gt;=2))*ROW('CASE MASTER'!$T$2:$T$495))-(ROW('CASE MASTER'!#REF!)-1)))&amp;TRIM(MID(SUBSTITUTE(SUBSTITUTE(INDEX('CASE MASTER'!$N$2:$N$495,(SUMPRODUCT((('CASE MASTER'!$T$2:$T$495=7)*('CASE MASTER'!$U$2:$U$495&lt;=8)*('CASE MASTER'!$W$2:$W$495&gt;=8)*('CASE MASTER'!$V$2:$V$495&lt;=2)*('CASE MASTER'!$X$2:$X$495&gt;=2))*ROW('CASE MASTER'!$T$2:$T$495))-(ROW('CASE MASTER'!#REF!)-1))),":",","),",",REPT(" ",50)),((((8-INDEX('CASE MASTER'!$U$2:$U$495,(SUMPRODUCT((('CASE MASTER'!$T$2:$T$495=7)*('CASE MASTER'!$U$2:$U$495&lt;=8)*('CASE MASTER'!$W$2:$W$495&gt;=8)*('CASE MASTER'!$V$2:$V$495&lt;=2)*('CASE MASTER'!$X$2:$X$495&gt;=2))*ROW('CASE MASTER'!$T$2:$T$495))-(ROW('CASE MASTER'!#REF!)-1))))*(INDEX('CASE MASTER'!$X$2:$X$495,(SUMPRODUCT((('CASE MASTER'!$T$2:$T$495=7)*('CASE MASTER'!$U$2:$U$495&lt;=8)*('CASE MASTER'!$W$2:$W$495&gt;=8)*('CASE MASTER'!$V$2:$V$495&lt;=2)*('CASE MASTER'!$X$2:$X$495&gt;=2))*ROW('CASE MASTER'!$T$2:$T$495))-(ROW('CASE MASTER'!#REF!)-1)))-INDEX('CASE MASTER'!$V$2:$V$495,(SUMPRODUCT((('CASE MASTER'!$T$2:$T$495=7)*('CASE MASTER'!$U$2:$U$495&lt;=8)*('CASE MASTER'!$W$2:$W$495&gt;=8)*('CASE MASTER'!$V$2:$V$495&lt;=2)*('CASE MASTER'!$X$2:$X$495&gt;=2))*ROW('CASE MASTER'!$T$2:$T$495))-(ROW('CASE MASTER'!#REF!)-1)))+1)+(2-INDEX('CASE MASTER'!$V$2:$V$495,(SUMPRODUCT((('CASE MASTER'!$T$2:$T$495=7)*('CASE MASTER'!$U$2:$U$495&lt;=8)*('CASE MASTER'!$W$2:$W$495&gt;=8)*('CASE MASTER'!$V$2:$V$495&lt;=2)*('CASE MASTER'!$X$2:$X$495&gt;=2))*ROW('CASE MASTER'!$T$2:$T$495))-(ROW('CASE MASTER'!#REF!)-1))))+1))-1)*50+1,50))&amp;"_"&amp;INDEX('CASE MASTER'!$Q$2:$Q$495,(SUMPRODUCT((('CASE MASTER'!$T$2:$T$495=7)*('CASE MASTER'!$U$2:$U$495&lt;=8)*('CASE MASTER'!$W$2:$W$495&gt;=8)*('CASE MASTER'!$V$2:$V$495&lt;=2)*('CASE MASTER'!$X$2:$X$495&gt;=2))*ROW('CASE MASTER'!$T$2:$T$495))-(ROW('CASE MASTER'!#REF!)-1))),IF(SUMPRODUCT((('CASE MASTER'!$T$2:$T$495=7)*('CASE MASTER'!$AA$2:$AA$495&lt;=8)*('CASE MASTER'!$AC$2:$AC$495&gt;=8)*('CASE MASTER'!$AB$2:$AB$495&lt;=2)*('CASE MASTER'!$AD$2:$AD$495&gt;=2))*ROW('CASE MASTER'!$T$2:$T$495))&gt;0,INDEX('CASE MASTER'!$Y$2:$Y$495,(SUMPRODUCT((('CASE MASTER'!$T$2:$T$495=7)*('CASE MASTER'!$AA$2:$AA$495&lt;=8)*('CASE MASTER'!$AC$2:$AC$495&gt;=8)*('CASE MASTER'!$AB$2:$AB$495&lt;=2)*('CASE MASTER'!$AD$2:$AD$495&gt;=2))*ROW('CASE MASTER'!$T$2:$T$495))-(ROW('CASE MASTER'!#REF!)-1)))&amp;TRIM(MID(SUBSTITUTE(SUBSTITUTE(INDEX('CASE MASTER'!$N$2:$N$495,(SUMPRODUCT((('CASE MASTER'!$T$2:$T$495=7)*('CASE MASTER'!$AA$2:$AA$495&lt;=8)*('CASE MASTER'!$AC$2:$AC$495&gt;=8)*('CASE MASTER'!$AB$2:$AB$495&lt;=2)*('CASE MASTER'!$AD$2:$AD$495&gt;=2))*ROW('CASE MASTER'!$T$2:$T$495))-(ROW('CASE MASTER'!#REF!)-1))),":",","),",",REPT(" ",50)),(((INDEX('CASE MASTER'!$Z$2:$Z$495,(SUMPRODUCT((('CASE MASTER'!$T$2:$T$495=7)*('CASE MASTER'!$AA$2:$AA$495&lt;=8)*('CASE MASTER'!$AC$2:$AC$495&gt;=8)*('CASE MASTER'!$AB$2:$AB$495&lt;=2)*('CASE MASTER'!$AD$2:$AD$495&gt;=2))*ROW('CASE MASTER'!$T$2:$T$495))-(ROW('CASE MASTER'!#REF!)-1)))+((8-INDEX('CASE MASTER'!$AA$2:$AA$495,(SUMPRODUCT((('CASE MASTER'!$T$2:$T$495=7)*('CASE MASTER'!$AA$2:$AA$495&lt;=8)*('CASE MASTER'!$AC$2:$AC$495&gt;=8)*('CASE MASTER'!$AB$2:$AB$495&lt;=2)*('CASE MASTER'!$AD$2:$AD$495&gt;=2))*ROW('CASE MASTER'!$T$2:$T$495))-(ROW('CASE MASTER'!#REF!)-1))))*(INDEX('CASE MASTER'!$AD$2:$AD$495,(SUMPRODUCT((('CASE MASTER'!$T$2:$T$495=7)*('CASE MASTER'!$AA$2:$AA$495&lt;=8)*('CASE MASTER'!$AC$2:$AC$495&gt;=8)*('CASE MASTER'!$AB$2:$AB$495&lt;=2)*('CASE MASTER'!$AD$2:$AD$495&gt;=2))*ROW('CASE MASTER'!$T$2:$T$495))-(ROW('CASE MASTER'!#REF!)-1)))-INDEX('CASE MASTER'!$AB$2:$AB$495,(SUMPRODUCT((('CASE MASTER'!$T$2:$T$495=7)*('CASE MASTER'!$AA$2:$AA$495&lt;=8)*('CASE MASTER'!$AC$2:$AC$495&gt;=8)*('CASE MASTER'!$AB$2:$AB$495&lt;=2)*('CASE MASTER'!$AD$2:$AD$495&gt;=2))*ROW('CASE MASTER'!$T$2:$T$495))-(ROW('CASE MASTER'!#REF!)-1)))+1)+(2-INDEX('CASE MASTER'!$AB$2:$AB$495,(SUMPRODUCT((('CASE MASTER'!$T$2:$T$495=7)*('CASE MASTER'!$AA$2:$AA$495&lt;=8)*('CASE MASTER'!$AC$2:$AC$495&gt;=8)*('CASE MASTER'!$AB$2:$AB$495&lt;=2)*('CASE MASTER'!$AD$2:$AD$495&gt;=2))*ROW('CASE MASTER'!$T$2:$T$495))-(ROW('CASE MASTER'!#REF!)-1))))+1)))-1)*50+1,50))&amp;"_"&amp;INDEX('CASE MASTER'!$Q$2:$Q$495,(SUMPRODUCT((('CASE MASTER'!$T$2:$T$495=7)*('CASE MASTER'!$AA$2:$AA$495&lt;=8)*('CASE MASTER'!$AC$2:$AC$495&gt;=8)*('CASE MASTER'!$AB$2:$AB$495&lt;=2)*('CASE MASTER'!$AD$2:$AD$495&gt;=2))*ROW('CASE MASTER'!$T$2:$T$495))-(ROW('CASE MASTER'!#REF!)-1))),"")),"")</f>
        <v/>
      </c>
      <c r="D94" s="10" t="str">
        <f>IFERROR(IF(SUMPRODUCT((('CASE MASTER'!$T$2:$T$495=7)*('CASE MASTER'!$U$2:$U$495&lt;=8)*('CASE MASTER'!$W$2:$W$495&gt;=8)*('CASE MASTER'!$V$2:$V$495&lt;=3)*('CASE MASTER'!$X$2:$X$495&gt;=3))*ROW('CASE MASTER'!$T$2:$T$495))&gt;0,INDEX('CASE MASTER'!$Y$2:$Y$495,(SUMPRODUCT((('CASE MASTER'!$T$2:$T$495=7)*('CASE MASTER'!$U$2:$U$495&lt;=8)*('CASE MASTER'!$W$2:$W$495&gt;=8)*('CASE MASTER'!$V$2:$V$495&lt;=3)*('CASE MASTER'!$X$2:$X$495&gt;=3))*ROW('CASE MASTER'!$T$2:$T$495))-(ROW('CASE MASTER'!#REF!)-1)))&amp;TRIM(MID(SUBSTITUTE(SUBSTITUTE(INDEX('CASE MASTER'!$N$2:$N$495,(SUMPRODUCT((('CASE MASTER'!$T$2:$T$495=7)*('CASE MASTER'!$U$2:$U$495&lt;=8)*('CASE MASTER'!$W$2:$W$495&gt;=8)*('CASE MASTER'!$V$2:$V$495&lt;=3)*('CASE MASTER'!$X$2:$X$495&gt;=3))*ROW('CASE MASTER'!$T$2:$T$495))-(ROW('CASE MASTER'!#REF!)-1))),":",","),",",REPT(" ",50)),((((8-INDEX('CASE MASTER'!$U$2:$U$495,(SUMPRODUCT((('CASE MASTER'!$T$2:$T$495=7)*('CASE MASTER'!$U$2:$U$495&lt;=8)*('CASE MASTER'!$W$2:$W$495&gt;=8)*('CASE MASTER'!$V$2:$V$495&lt;=3)*('CASE MASTER'!$X$2:$X$495&gt;=3))*ROW('CASE MASTER'!$T$2:$T$495))-(ROW('CASE MASTER'!#REF!)-1))))*(INDEX('CASE MASTER'!$X$2:$X$495,(SUMPRODUCT((('CASE MASTER'!$T$2:$T$495=7)*('CASE MASTER'!$U$2:$U$495&lt;=8)*('CASE MASTER'!$W$2:$W$495&gt;=8)*('CASE MASTER'!$V$2:$V$495&lt;=3)*('CASE MASTER'!$X$2:$X$495&gt;=3))*ROW('CASE MASTER'!$T$2:$T$495))-(ROW('CASE MASTER'!#REF!)-1)))-INDEX('CASE MASTER'!$V$2:$V$495,(SUMPRODUCT((('CASE MASTER'!$T$2:$T$495=7)*('CASE MASTER'!$U$2:$U$495&lt;=8)*('CASE MASTER'!$W$2:$W$495&gt;=8)*('CASE MASTER'!$V$2:$V$495&lt;=3)*('CASE MASTER'!$X$2:$X$495&gt;=3))*ROW('CASE MASTER'!$T$2:$T$495))-(ROW('CASE MASTER'!#REF!)-1)))+1)+(3-INDEX('CASE MASTER'!$V$2:$V$495,(SUMPRODUCT((('CASE MASTER'!$T$2:$T$495=7)*('CASE MASTER'!$U$2:$U$495&lt;=8)*('CASE MASTER'!$W$2:$W$495&gt;=8)*('CASE MASTER'!$V$2:$V$495&lt;=3)*('CASE MASTER'!$X$2:$X$495&gt;=3))*ROW('CASE MASTER'!$T$2:$T$495))-(ROW('CASE MASTER'!#REF!)-1))))+1))-1)*50+1,50))&amp;"_"&amp;INDEX('CASE MASTER'!$Q$2:$Q$495,(SUMPRODUCT((('CASE MASTER'!$T$2:$T$495=7)*('CASE MASTER'!$U$2:$U$495&lt;=8)*('CASE MASTER'!$W$2:$W$495&gt;=8)*('CASE MASTER'!$V$2:$V$495&lt;=3)*('CASE MASTER'!$X$2:$X$495&gt;=3))*ROW('CASE MASTER'!$T$2:$T$495))-(ROW('CASE MASTER'!#REF!)-1))),IF(SUMPRODUCT((('CASE MASTER'!$T$2:$T$495=7)*('CASE MASTER'!$AA$2:$AA$495&lt;=8)*('CASE MASTER'!$AC$2:$AC$495&gt;=8)*('CASE MASTER'!$AB$2:$AB$495&lt;=3)*('CASE MASTER'!$AD$2:$AD$495&gt;=3))*ROW('CASE MASTER'!$T$2:$T$495))&gt;0,INDEX('CASE MASTER'!$Y$2:$Y$495,(SUMPRODUCT((('CASE MASTER'!$T$2:$T$495=7)*('CASE MASTER'!$AA$2:$AA$495&lt;=8)*('CASE MASTER'!$AC$2:$AC$495&gt;=8)*('CASE MASTER'!$AB$2:$AB$495&lt;=3)*('CASE MASTER'!$AD$2:$AD$495&gt;=3))*ROW('CASE MASTER'!$T$2:$T$495))-(ROW('CASE MASTER'!#REF!)-1)))&amp;TRIM(MID(SUBSTITUTE(SUBSTITUTE(INDEX('CASE MASTER'!$N$2:$N$495,(SUMPRODUCT((('CASE MASTER'!$T$2:$T$495=7)*('CASE MASTER'!$AA$2:$AA$495&lt;=8)*('CASE MASTER'!$AC$2:$AC$495&gt;=8)*('CASE MASTER'!$AB$2:$AB$495&lt;=3)*('CASE MASTER'!$AD$2:$AD$495&gt;=3))*ROW('CASE MASTER'!$T$2:$T$495))-(ROW('CASE MASTER'!#REF!)-1))),":",","),",",REPT(" ",50)),(((INDEX('CASE MASTER'!$Z$2:$Z$495,(SUMPRODUCT((('CASE MASTER'!$T$2:$T$495=7)*('CASE MASTER'!$AA$2:$AA$495&lt;=8)*('CASE MASTER'!$AC$2:$AC$495&gt;=8)*('CASE MASTER'!$AB$2:$AB$495&lt;=3)*('CASE MASTER'!$AD$2:$AD$495&gt;=3))*ROW('CASE MASTER'!$T$2:$T$495))-(ROW('CASE MASTER'!#REF!)-1)))+((8-INDEX('CASE MASTER'!$AA$2:$AA$495,(SUMPRODUCT((('CASE MASTER'!$T$2:$T$495=7)*('CASE MASTER'!$AA$2:$AA$495&lt;=8)*('CASE MASTER'!$AC$2:$AC$495&gt;=8)*('CASE MASTER'!$AB$2:$AB$495&lt;=3)*('CASE MASTER'!$AD$2:$AD$495&gt;=3))*ROW('CASE MASTER'!$T$2:$T$495))-(ROW('CASE MASTER'!#REF!)-1))))*(INDEX('CASE MASTER'!$AD$2:$AD$495,(SUMPRODUCT((('CASE MASTER'!$T$2:$T$495=7)*('CASE MASTER'!$AA$2:$AA$495&lt;=8)*('CASE MASTER'!$AC$2:$AC$495&gt;=8)*('CASE MASTER'!$AB$2:$AB$495&lt;=3)*('CASE MASTER'!$AD$2:$AD$495&gt;=3))*ROW('CASE MASTER'!$T$2:$T$495))-(ROW('CASE MASTER'!#REF!)-1)))-INDEX('CASE MASTER'!$AB$2:$AB$495,(SUMPRODUCT((('CASE MASTER'!$T$2:$T$495=7)*('CASE MASTER'!$AA$2:$AA$495&lt;=8)*('CASE MASTER'!$AC$2:$AC$495&gt;=8)*('CASE MASTER'!$AB$2:$AB$495&lt;=3)*('CASE MASTER'!$AD$2:$AD$495&gt;=3))*ROW('CASE MASTER'!$T$2:$T$495))-(ROW('CASE MASTER'!#REF!)-1)))+1)+(3-INDEX('CASE MASTER'!$AB$2:$AB$495,(SUMPRODUCT((('CASE MASTER'!$T$2:$T$495=7)*('CASE MASTER'!$AA$2:$AA$495&lt;=8)*('CASE MASTER'!$AC$2:$AC$495&gt;=8)*('CASE MASTER'!$AB$2:$AB$495&lt;=3)*('CASE MASTER'!$AD$2:$AD$495&gt;=3))*ROW('CASE MASTER'!$T$2:$T$495))-(ROW('CASE MASTER'!#REF!)-1))))+1)))-1)*50+1,50))&amp;"_"&amp;INDEX('CASE MASTER'!$Q$2:$Q$495,(SUMPRODUCT((('CASE MASTER'!$T$2:$T$495=7)*('CASE MASTER'!$AA$2:$AA$495&lt;=8)*('CASE MASTER'!$AC$2:$AC$495&gt;=8)*('CASE MASTER'!$AB$2:$AB$495&lt;=3)*('CASE MASTER'!$AD$2:$AD$495&gt;=3))*ROW('CASE MASTER'!$T$2:$T$495))-(ROW('CASE MASTER'!#REF!)-1))),"")),"")</f>
        <v/>
      </c>
      <c r="E94" s="10" t="str">
        <f>IFERROR(IF(SUMPRODUCT((('CASE MASTER'!$T$2:$T$495=7)*('CASE MASTER'!$U$2:$U$495&lt;=8)*('CASE MASTER'!$W$2:$W$495&gt;=8)*('CASE MASTER'!$V$2:$V$495&lt;=4)*('CASE MASTER'!$X$2:$X$495&gt;=4))*ROW('CASE MASTER'!$T$2:$T$495))&gt;0,INDEX('CASE MASTER'!$Y$2:$Y$495,(SUMPRODUCT((('CASE MASTER'!$T$2:$T$495=7)*('CASE MASTER'!$U$2:$U$495&lt;=8)*('CASE MASTER'!$W$2:$W$495&gt;=8)*('CASE MASTER'!$V$2:$V$495&lt;=4)*('CASE MASTER'!$X$2:$X$495&gt;=4))*ROW('CASE MASTER'!$T$2:$T$495))-(ROW('CASE MASTER'!#REF!)-1)))&amp;TRIM(MID(SUBSTITUTE(SUBSTITUTE(INDEX('CASE MASTER'!$N$2:$N$495,(SUMPRODUCT((('CASE MASTER'!$T$2:$T$495=7)*('CASE MASTER'!$U$2:$U$495&lt;=8)*('CASE MASTER'!$W$2:$W$495&gt;=8)*('CASE MASTER'!$V$2:$V$495&lt;=4)*('CASE MASTER'!$X$2:$X$495&gt;=4))*ROW('CASE MASTER'!$T$2:$T$495))-(ROW('CASE MASTER'!#REF!)-1))),":",","),",",REPT(" ",50)),((((8-INDEX('CASE MASTER'!$U$2:$U$495,(SUMPRODUCT((('CASE MASTER'!$T$2:$T$495=7)*('CASE MASTER'!$U$2:$U$495&lt;=8)*('CASE MASTER'!$W$2:$W$495&gt;=8)*('CASE MASTER'!$V$2:$V$495&lt;=4)*('CASE MASTER'!$X$2:$X$495&gt;=4))*ROW('CASE MASTER'!$T$2:$T$495))-(ROW('CASE MASTER'!#REF!)-1))))*(INDEX('CASE MASTER'!$X$2:$X$495,(SUMPRODUCT((('CASE MASTER'!$T$2:$T$495=7)*('CASE MASTER'!$U$2:$U$495&lt;=8)*('CASE MASTER'!$W$2:$W$495&gt;=8)*('CASE MASTER'!$V$2:$V$495&lt;=4)*('CASE MASTER'!$X$2:$X$495&gt;=4))*ROW('CASE MASTER'!$T$2:$T$495))-(ROW('CASE MASTER'!#REF!)-1)))-INDEX('CASE MASTER'!$V$2:$V$495,(SUMPRODUCT((('CASE MASTER'!$T$2:$T$495=7)*('CASE MASTER'!$U$2:$U$495&lt;=8)*('CASE MASTER'!$W$2:$W$495&gt;=8)*('CASE MASTER'!$V$2:$V$495&lt;=4)*('CASE MASTER'!$X$2:$X$495&gt;=4))*ROW('CASE MASTER'!$T$2:$T$495))-(ROW('CASE MASTER'!#REF!)-1)))+1)+(4-INDEX('CASE MASTER'!$V$2:$V$495,(SUMPRODUCT((('CASE MASTER'!$T$2:$T$495=7)*('CASE MASTER'!$U$2:$U$495&lt;=8)*('CASE MASTER'!$W$2:$W$495&gt;=8)*('CASE MASTER'!$V$2:$V$495&lt;=4)*('CASE MASTER'!$X$2:$X$495&gt;=4))*ROW('CASE MASTER'!$T$2:$T$495))-(ROW('CASE MASTER'!#REF!)-1))))+1))-1)*50+1,50))&amp;"_"&amp;INDEX('CASE MASTER'!$Q$2:$Q$495,(SUMPRODUCT((('CASE MASTER'!$T$2:$T$495=7)*('CASE MASTER'!$U$2:$U$495&lt;=8)*('CASE MASTER'!$W$2:$W$495&gt;=8)*('CASE MASTER'!$V$2:$V$495&lt;=4)*('CASE MASTER'!$X$2:$X$495&gt;=4))*ROW('CASE MASTER'!$T$2:$T$495))-(ROW('CASE MASTER'!#REF!)-1))),IF(SUMPRODUCT((('CASE MASTER'!$T$2:$T$495=7)*('CASE MASTER'!$AA$2:$AA$495&lt;=8)*('CASE MASTER'!$AC$2:$AC$495&gt;=8)*('CASE MASTER'!$AB$2:$AB$495&lt;=4)*('CASE MASTER'!$AD$2:$AD$495&gt;=4))*ROW('CASE MASTER'!$T$2:$T$495))&gt;0,INDEX('CASE MASTER'!$Y$2:$Y$495,(SUMPRODUCT((('CASE MASTER'!$T$2:$T$495=7)*('CASE MASTER'!$AA$2:$AA$495&lt;=8)*('CASE MASTER'!$AC$2:$AC$495&gt;=8)*('CASE MASTER'!$AB$2:$AB$495&lt;=4)*('CASE MASTER'!$AD$2:$AD$495&gt;=4))*ROW('CASE MASTER'!$T$2:$T$495))-(ROW('CASE MASTER'!#REF!)-1)))&amp;TRIM(MID(SUBSTITUTE(SUBSTITUTE(INDEX('CASE MASTER'!$N$2:$N$495,(SUMPRODUCT((('CASE MASTER'!$T$2:$T$495=7)*('CASE MASTER'!$AA$2:$AA$495&lt;=8)*('CASE MASTER'!$AC$2:$AC$495&gt;=8)*('CASE MASTER'!$AB$2:$AB$495&lt;=4)*('CASE MASTER'!$AD$2:$AD$495&gt;=4))*ROW('CASE MASTER'!$T$2:$T$495))-(ROW('CASE MASTER'!#REF!)-1))),":",","),",",REPT(" ",50)),(((INDEX('CASE MASTER'!$Z$2:$Z$495,(SUMPRODUCT((('CASE MASTER'!$T$2:$T$495=7)*('CASE MASTER'!$AA$2:$AA$495&lt;=8)*('CASE MASTER'!$AC$2:$AC$495&gt;=8)*('CASE MASTER'!$AB$2:$AB$495&lt;=4)*('CASE MASTER'!$AD$2:$AD$495&gt;=4))*ROW('CASE MASTER'!$T$2:$T$495))-(ROW('CASE MASTER'!#REF!)-1)))+((8-INDEX('CASE MASTER'!$AA$2:$AA$495,(SUMPRODUCT((('CASE MASTER'!$T$2:$T$495=7)*('CASE MASTER'!$AA$2:$AA$495&lt;=8)*('CASE MASTER'!$AC$2:$AC$495&gt;=8)*('CASE MASTER'!$AB$2:$AB$495&lt;=4)*('CASE MASTER'!$AD$2:$AD$495&gt;=4))*ROW('CASE MASTER'!$T$2:$T$495))-(ROW('CASE MASTER'!#REF!)-1))))*(INDEX('CASE MASTER'!$AD$2:$AD$495,(SUMPRODUCT((('CASE MASTER'!$T$2:$T$495=7)*('CASE MASTER'!$AA$2:$AA$495&lt;=8)*('CASE MASTER'!$AC$2:$AC$495&gt;=8)*('CASE MASTER'!$AB$2:$AB$495&lt;=4)*('CASE MASTER'!$AD$2:$AD$495&gt;=4))*ROW('CASE MASTER'!$T$2:$T$495))-(ROW('CASE MASTER'!#REF!)-1)))-INDEX('CASE MASTER'!$AB$2:$AB$495,(SUMPRODUCT((('CASE MASTER'!$T$2:$T$495=7)*('CASE MASTER'!$AA$2:$AA$495&lt;=8)*('CASE MASTER'!$AC$2:$AC$495&gt;=8)*('CASE MASTER'!$AB$2:$AB$495&lt;=4)*('CASE MASTER'!$AD$2:$AD$495&gt;=4))*ROW('CASE MASTER'!$T$2:$T$495))-(ROW('CASE MASTER'!#REF!)-1)))+1)+(4-INDEX('CASE MASTER'!$AB$2:$AB$495,(SUMPRODUCT((('CASE MASTER'!$T$2:$T$495=7)*('CASE MASTER'!$AA$2:$AA$495&lt;=8)*('CASE MASTER'!$AC$2:$AC$495&gt;=8)*('CASE MASTER'!$AB$2:$AB$495&lt;=4)*('CASE MASTER'!$AD$2:$AD$495&gt;=4))*ROW('CASE MASTER'!$T$2:$T$495))-(ROW('CASE MASTER'!#REF!)-1))))+1)))-1)*50+1,50))&amp;"_"&amp;INDEX('CASE MASTER'!$Q$2:$Q$495,(SUMPRODUCT((('CASE MASTER'!$T$2:$T$495=7)*('CASE MASTER'!$AA$2:$AA$495&lt;=8)*('CASE MASTER'!$AC$2:$AC$495&gt;=8)*('CASE MASTER'!$AB$2:$AB$495&lt;=4)*('CASE MASTER'!$AD$2:$AD$495&gt;=4))*ROW('CASE MASTER'!$T$2:$T$495))-(ROW('CASE MASTER'!#REF!)-1))),"")),"")</f>
        <v/>
      </c>
      <c r="F94" s="10" t="str">
        <f>IFERROR(IF(SUMPRODUCT((('CASE MASTER'!$T$2:$T$495=7)*('CASE MASTER'!$U$2:$U$495&lt;=8)*('CASE MASTER'!$W$2:$W$495&gt;=8)*('CASE MASTER'!$V$2:$V$495&lt;=5)*('CASE MASTER'!$X$2:$X$495&gt;=5))*ROW('CASE MASTER'!$T$2:$T$495))&gt;0,INDEX('CASE MASTER'!$Y$2:$Y$495,(SUMPRODUCT((('CASE MASTER'!$T$2:$T$495=7)*('CASE MASTER'!$U$2:$U$495&lt;=8)*('CASE MASTER'!$W$2:$W$495&gt;=8)*('CASE MASTER'!$V$2:$V$495&lt;=5)*('CASE MASTER'!$X$2:$X$495&gt;=5))*ROW('CASE MASTER'!$T$2:$T$495))-(ROW('CASE MASTER'!#REF!)-1)))&amp;TRIM(MID(SUBSTITUTE(SUBSTITUTE(INDEX('CASE MASTER'!$N$2:$N$495,(SUMPRODUCT((('CASE MASTER'!$T$2:$T$495=7)*('CASE MASTER'!$U$2:$U$495&lt;=8)*('CASE MASTER'!$W$2:$W$495&gt;=8)*('CASE MASTER'!$V$2:$V$495&lt;=5)*('CASE MASTER'!$X$2:$X$495&gt;=5))*ROW('CASE MASTER'!$T$2:$T$495))-(ROW('CASE MASTER'!#REF!)-1))),":",","),",",REPT(" ",50)),((((8-INDEX('CASE MASTER'!$U$2:$U$495,(SUMPRODUCT((('CASE MASTER'!$T$2:$T$495=7)*('CASE MASTER'!$U$2:$U$495&lt;=8)*('CASE MASTER'!$W$2:$W$495&gt;=8)*('CASE MASTER'!$V$2:$V$495&lt;=5)*('CASE MASTER'!$X$2:$X$495&gt;=5))*ROW('CASE MASTER'!$T$2:$T$495))-(ROW('CASE MASTER'!#REF!)-1))))*(INDEX('CASE MASTER'!$X$2:$X$495,(SUMPRODUCT((('CASE MASTER'!$T$2:$T$495=7)*('CASE MASTER'!$U$2:$U$495&lt;=8)*('CASE MASTER'!$W$2:$W$495&gt;=8)*('CASE MASTER'!$V$2:$V$495&lt;=5)*('CASE MASTER'!$X$2:$X$495&gt;=5))*ROW('CASE MASTER'!$T$2:$T$495))-(ROW('CASE MASTER'!#REF!)-1)))-INDEX('CASE MASTER'!$V$2:$V$495,(SUMPRODUCT((('CASE MASTER'!$T$2:$T$495=7)*('CASE MASTER'!$U$2:$U$495&lt;=8)*('CASE MASTER'!$W$2:$W$495&gt;=8)*('CASE MASTER'!$V$2:$V$495&lt;=5)*('CASE MASTER'!$X$2:$X$495&gt;=5))*ROW('CASE MASTER'!$T$2:$T$495))-(ROW('CASE MASTER'!#REF!)-1)))+1)+(5-INDEX('CASE MASTER'!$V$2:$V$495,(SUMPRODUCT((('CASE MASTER'!$T$2:$T$495=7)*('CASE MASTER'!$U$2:$U$495&lt;=8)*('CASE MASTER'!$W$2:$W$495&gt;=8)*('CASE MASTER'!$V$2:$V$495&lt;=5)*('CASE MASTER'!$X$2:$X$495&gt;=5))*ROW('CASE MASTER'!$T$2:$T$495))-(ROW('CASE MASTER'!#REF!)-1))))+1))-1)*50+1,50))&amp;"_"&amp;INDEX('CASE MASTER'!$Q$2:$Q$495,(SUMPRODUCT((('CASE MASTER'!$T$2:$T$495=7)*('CASE MASTER'!$U$2:$U$495&lt;=8)*('CASE MASTER'!$W$2:$W$495&gt;=8)*('CASE MASTER'!$V$2:$V$495&lt;=5)*('CASE MASTER'!$X$2:$X$495&gt;=5))*ROW('CASE MASTER'!$T$2:$T$495))-(ROW('CASE MASTER'!#REF!)-1))),IF(SUMPRODUCT((('CASE MASTER'!$T$2:$T$495=7)*('CASE MASTER'!$AA$2:$AA$495&lt;=8)*('CASE MASTER'!$AC$2:$AC$495&gt;=8)*('CASE MASTER'!$AB$2:$AB$495&lt;=5)*('CASE MASTER'!$AD$2:$AD$495&gt;=5))*ROW('CASE MASTER'!$T$2:$T$495))&gt;0,INDEX('CASE MASTER'!$Y$2:$Y$495,(SUMPRODUCT((('CASE MASTER'!$T$2:$T$495=7)*('CASE MASTER'!$AA$2:$AA$495&lt;=8)*('CASE MASTER'!$AC$2:$AC$495&gt;=8)*('CASE MASTER'!$AB$2:$AB$495&lt;=5)*('CASE MASTER'!$AD$2:$AD$495&gt;=5))*ROW('CASE MASTER'!$T$2:$T$495))-(ROW('CASE MASTER'!#REF!)-1)))&amp;TRIM(MID(SUBSTITUTE(SUBSTITUTE(INDEX('CASE MASTER'!$N$2:$N$495,(SUMPRODUCT((('CASE MASTER'!$T$2:$T$495=7)*('CASE MASTER'!$AA$2:$AA$495&lt;=8)*('CASE MASTER'!$AC$2:$AC$495&gt;=8)*('CASE MASTER'!$AB$2:$AB$495&lt;=5)*('CASE MASTER'!$AD$2:$AD$495&gt;=5))*ROW('CASE MASTER'!$T$2:$T$495))-(ROW('CASE MASTER'!#REF!)-1))),":",","),",",REPT(" ",50)),(((INDEX('CASE MASTER'!$Z$2:$Z$495,(SUMPRODUCT((('CASE MASTER'!$T$2:$T$495=7)*('CASE MASTER'!$AA$2:$AA$495&lt;=8)*('CASE MASTER'!$AC$2:$AC$495&gt;=8)*('CASE MASTER'!$AB$2:$AB$495&lt;=5)*('CASE MASTER'!$AD$2:$AD$495&gt;=5))*ROW('CASE MASTER'!$T$2:$T$495))-(ROW('CASE MASTER'!#REF!)-1)))+((8-INDEX('CASE MASTER'!$AA$2:$AA$495,(SUMPRODUCT((('CASE MASTER'!$T$2:$T$495=7)*('CASE MASTER'!$AA$2:$AA$495&lt;=8)*('CASE MASTER'!$AC$2:$AC$495&gt;=8)*('CASE MASTER'!$AB$2:$AB$495&lt;=5)*('CASE MASTER'!$AD$2:$AD$495&gt;=5))*ROW('CASE MASTER'!$T$2:$T$495))-(ROW('CASE MASTER'!#REF!)-1))))*(INDEX('CASE MASTER'!$AD$2:$AD$495,(SUMPRODUCT((('CASE MASTER'!$T$2:$T$495=7)*('CASE MASTER'!$AA$2:$AA$495&lt;=8)*('CASE MASTER'!$AC$2:$AC$495&gt;=8)*('CASE MASTER'!$AB$2:$AB$495&lt;=5)*('CASE MASTER'!$AD$2:$AD$495&gt;=5))*ROW('CASE MASTER'!$T$2:$T$495))-(ROW('CASE MASTER'!#REF!)-1)))-INDEX('CASE MASTER'!$AB$2:$AB$495,(SUMPRODUCT((('CASE MASTER'!$T$2:$T$495=7)*('CASE MASTER'!$AA$2:$AA$495&lt;=8)*('CASE MASTER'!$AC$2:$AC$495&gt;=8)*('CASE MASTER'!$AB$2:$AB$495&lt;=5)*('CASE MASTER'!$AD$2:$AD$495&gt;=5))*ROW('CASE MASTER'!$T$2:$T$495))-(ROW('CASE MASTER'!#REF!)-1)))+1)+(5-INDEX('CASE MASTER'!$AB$2:$AB$495,(SUMPRODUCT((('CASE MASTER'!$T$2:$T$495=7)*('CASE MASTER'!$AA$2:$AA$495&lt;=8)*('CASE MASTER'!$AC$2:$AC$495&gt;=8)*('CASE MASTER'!$AB$2:$AB$495&lt;=5)*('CASE MASTER'!$AD$2:$AD$495&gt;=5))*ROW('CASE MASTER'!$T$2:$T$495))-(ROW('CASE MASTER'!#REF!)-1))))+1)))-1)*50+1,50))&amp;"_"&amp;INDEX('CASE MASTER'!$Q$2:$Q$495,(SUMPRODUCT((('CASE MASTER'!$T$2:$T$495=7)*('CASE MASTER'!$AA$2:$AA$495&lt;=8)*('CASE MASTER'!$AC$2:$AC$495&gt;=8)*('CASE MASTER'!$AB$2:$AB$495&lt;=5)*('CASE MASTER'!$AD$2:$AD$495&gt;=5))*ROW('CASE MASTER'!$T$2:$T$495))-(ROW('CASE MASTER'!#REF!)-1))),"")),"")</f>
        <v/>
      </c>
      <c r="G94" s="10" t="str">
        <f>IFERROR(IF(SUMPRODUCT((('CASE MASTER'!$T$2:$T$495=7)*('CASE MASTER'!$U$2:$U$495&lt;=8)*('CASE MASTER'!$W$2:$W$495&gt;=8)*('CASE MASTER'!$V$2:$V$495&lt;=6)*('CASE MASTER'!$X$2:$X$495&gt;=6))*ROW('CASE MASTER'!$T$2:$T$495))&gt;0,INDEX('CASE MASTER'!$Y$2:$Y$495,(SUMPRODUCT((('CASE MASTER'!$T$2:$T$495=7)*('CASE MASTER'!$U$2:$U$495&lt;=8)*('CASE MASTER'!$W$2:$W$495&gt;=8)*('CASE MASTER'!$V$2:$V$495&lt;=6)*('CASE MASTER'!$X$2:$X$495&gt;=6))*ROW('CASE MASTER'!$T$2:$T$495))-(ROW('CASE MASTER'!#REF!)-1)))&amp;TRIM(MID(SUBSTITUTE(SUBSTITUTE(INDEX('CASE MASTER'!$N$2:$N$495,(SUMPRODUCT((('CASE MASTER'!$T$2:$T$495=7)*('CASE MASTER'!$U$2:$U$495&lt;=8)*('CASE MASTER'!$W$2:$W$495&gt;=8)*('CASE MASTER'!$V$2:$V$495&lt;=6)*('CASE MASTER'!$X$2:$X$495&gt;=6))*ROW('CASE MASTER'!$T$2:$T$495))-(ROW('CASE MASTER'!#REF!)-1))),":",","),",",REPT(" ",50)),((((8-INDEX('CASE MASTER'!$U$2:$U$495,(SUMPRODUCT((('CASE MASTER'!$T$2:$T$495=7)*('CASE MASTER'!$U$2:$U$495&lt;=8)*('CASE MASTER'!$W$2:$W$495&gt;=8)*('CASE MASTER'!$V$2:$V$495&lt;=6)*('CASE MASTER'!$X$2:$X$495&gt;=6))*ROW('CASE MASTER'!$T$2:$T$495))-(ROW('CASE MASTER'!#REF!)-1))))*(INDEX('CASE MASTER'!$X$2:$X$495,(SUMPRODUCT((('CASE MASTER'!$T$2:$T$495=7)*('CASE MASTER'!$U$2:$U$495&lt;=8)*('CASE MASTER'!$W$2:$W$495&gt;=8)*('CASE MASTER'!$V$2:$V$495&lt;=6)*('CASE MASTER'!$X$2:$X$495&gt;=6))*ROW('CASE MASTER'!$T$2:$T$495))-(ROW('CASE MASTER'!#REF!)-1)))-INDEX('CASE MASTER'!$V$2:$V$495,(SUMPRODUCT((('CASE MASTER'!$T$2:$T$495=7)*('CASE MASTER'!$U$2:$U$495&lt;=8)*('CASE MASTER'!$W$2:$W$495&gt;=8)*('CASE MASTER'!$V$2:$V$495&lt;=6)*('CASE MASTER'!$X$2:$X$495&gt;=6))*ROW('CASE MASTER'!$T$2:$T$495))-(ROW('CASE MASTER'!#REF!)-1)))+1)+(6-INDEX('CASE MASTER'!$V$2:$V$495,(SUMPRODUCT((('CASE MASTER'!$T$2:$T$495=7)*('CASE MASTER'!$U$2:$U$495&lt;=8)*('CASE MASTER'!$W$2:$W$495&gt;=8)*('CASE MASTER'!$V$2:$V$495&lt;=6)*('CASE MASTER'!$X$2:$X$495&gt;=6))*ROW('CASE MASTER'!$T$2:$T$495))-(ROW('CASE MASTER'!#REF!)-1))))+1))-1)*50+1,50))&amp;"_"&amp;INDEX('CASE MASTER'!$Q$2:$Q$495,(SUMPRODUCT((('CASE MASTER'!$T$2:$T$495=7)*('CASE MASTER'!$U$2:$U$495&lt;=8)*('CASE MASTER'!$W$2:$W$495&gt;=8)*('CASE MASTER'!$V$2:$V$495&lt;=6)*('CASE MASTER'!$X$2:$X$495&gt;=6))*ROW('CASE MASTER'!$T$2:$T$495))-(ROW('CASE MASTER'!#REF!)-1))),IF(SUMPRODUCT((('CASE MASTER'!$T$2:$T$495=7)*('CASE MASTER'!$AA$2:$AA$495&lt;=8)*('CASE MASTER'!$AC$2:$AC$495&gt;=8)*('CASE MASTER'!$AB$2:$AB$495&lt;=6)*('CASE MASTER'!$AD$2:$AD$495&gt;=6))*ROW('CASE MASTER'!$T$2:$T$495))&gt;0,INDEX('CASE MASTER'!$Y$2:$Y$495,(SUMPRODUCT((('CASE MASTER'!$T$2:$T$495=7)*('CASE MASTER'!$AA$2:$AA$495&lt;=8)*('CASE MASTER'!$AC$2:$AC$495&gt;=8)*('CASE MASTER'!$AB$2:$AB$495&lt;=6)*('CASE MASTER'!$AD$2:$AD$495&gt;=6))*ROW('CASE MASTER'!$T$2:$T$495))-(ROW('CASE MASTER'!#REF!)-1)))&amp;TRIM(MID(SUBSTITUTE(SUBSTITUTE(INDEX('CASE MASTER'!$N$2:$N$495,(SUMPRODUCT((('CASE MASTER'!$T$2:$T$495=7)*('CASE MASTER'!$AA$2:$AA$495&lt;=8)*('CASE MASTER'!$AC$2:$AC$495&gt;=8)*('CASE MASTER'!$AB$2:$AB$495&lt;=6)*('CASE MASTER'!$AD$2:$AD$495&gt;=6))*ROW('CASE MASTER'!$T$2:$T$495))-(ROW('CASE MASTER'!#REF!)-1))),":",","),",",REPT(" ",50)),(((INDEX('CASE MASTER'!$Z$2:$Z$495,(SUMPRODUCT((('CASE MASTER'!$T$2:$T$495=7)*('CASE MASTER'!$AA$2:$AA$495&lt;=8)*('CASE MASTER'!$AC$2:$AC$495&gt;=8)*('CASE MASTER'!$AB$2:$AB$495&lt;=6)*('CASE MASTER'!$AD$2:$AD$495&gt;=6))*ROW('CASE MASTER'!$T$2:$T$495))-(ROW('CASE MASTER'!#REF!)-1)))+((8-INDEX('CASE MASTER'!$AA$2:$AA$495,(SUMPRODUCT((('CASE MASTER'!$T$2:$T$495=7)*('CASE MASTER'!$AA$2:$AA$495&lt;=8)*('CASE MASTER'!$AC$2:$AC$495&gt;=8)*('CASE MASTER'!$AB$2:$AB$495&lt;=6)*('CASE MASTER'!$AD$2:$AD$495&gt;=6))*ROW('CASE MASTER'!$T$2:$T$495))-(ROW('CASE MASTER'!#REF!)-1))))*(INDEX('CASE MASTER'!$AD$2:$AD$495,(SUMPRODUCT((('CASE MASTER'!$T$2:$T$495=7)*('CASE MASTER'!$AA$2:$AA$495&lt;=8)*('CASE MASTER'!$AC$2:$AC$495&gt;=8)*('CASE MASTER'!$AB$2:$AB$495&lt;=6)*('CASE MASTER'!$AD$2:$AD$495&gt;=6))*ROW('CASE MASTER'!$T$2:$T$495))-(ROW('CASE MASTER'!#REF!)-1)))-INDEX('CASE MASTER'!$AB$2:$AB$495,(SUMPRODUCT((('CASE MASTER'!$T$2:$T$495=7)*('CASE MASTER'!$AA$2:$AA$495&lt;=8)*('CASE MASTER'!$AC$2:$AC$495&gt;=8)*('CASE MASTER'!$AB$2:$AB$495&lt;=6)*('CASE MASTER'!$AD$2:$AD$495&gt;=6))*ROW('CASE MASTER'!$T$2:$T$495))-(ROW('CASE MASTER'!#REF!)-1)))+1)+(6-INDEX('CASE MASTER'!$AB$2:$AB$495,(SUMPRODUCT((('CASE MASTER'!$T$2:$T$495=7)*('CASE MASTER'!$AA$2:$AA$495&lt;=8)*('CASE MASTER'!$AC$2:$AC$495&gt;=8)*('CASE MASTER'!$AB$2:$AB$495&lt;=6)*('CASE MASTER'!$AD$2:$AD$495&gt;=6))*ROW('CASE MASTER'!$T$2:$T$495))-(ROW('CASE MASTER'!#REF!)-1))))+1)))-1)*50+1,50))&amp;"_"&amp;INDEX('CASE MASTER'!$Q$2:$Q$495,(SUMPRODUCT((('CASE MASTER'!$T$2:$T$495=7)*('CASE MASTER'!$AA$2:$AA$495&lt;=8)*('CASE MASTER'!$AC$2:$AC$495&gt;=8)*('CASE MASTER'!$AB$2:$AB$495&lt;=6)*('CASE MASTER'!$AD$2:$AD$495&gt;=6))*ROW('CASE MASTER'!$T$2:$T$495))-(ROW('CASE MASTER'!#REF!)-1))),"")),"")</f>
        <v/>
      </c>
      <c r="H94" s="10" t="str">
        <f>IFERROR(IF(SUMPRODUCT((('CASE MASTER'!$T$2:$T$495=7)*('CASE MASTER'!$U$2:$U$495&lt;=8)*('CASE MASTER'!$W$2:$W$495&gt;=8)*('CASE MASTER'!$V$2:$V$495&lt;=7)*('CASE MASTER'!$X$2:$X$495&gt;=7))*ROW('CASE MASTER'!$T$2:$T$495))&gt;0,INDEX('CASE MASTER'!$Y$2:$Y$495,(SUMPRODUCT((('CASE MASTER'!$T$2:$T$495=7)*('CASE MASTER'!$U$2:$U$495&lt;=8)*('CASE MASTER'!$W$2:$W$495&gt;=8)*('CASE MASTER'!$V$2:$V$495&lt;=7)*('CASE MASTER'!$X$2:$X$495&gt;=7))*ROW('CASE MASTER'!$T$2:$T$495))-(ROW('CASE MASTER'!#REF!)-1)))&amp;TRIM(MID(SUBSTITUTE(SUBSTITUTE(INDEX('CASE MASTER'!$N$2:$N$495,(SUMPRODUCT((('CASE MASTER'!$T$2:$T$495=7)*('CASE MASTER'!$U$2:$U$495&lt;=8)*('CASE MASTER'!$W$2:$W$495&gt;=8)*('CASE MASTER'!$V$2:$V$495&lt;=7)*('CASE MASTER'!$X$2:$X$495&gt;=7))*ROW('CASE MASTER'!$T$2:$T$495))-(ROW('CASE MASTER'!#REF!)-1))),":",","),",",REPT(" ",50)),((((8-INDEX('CASE MASTER'!$U$2:$U$495,(SUMPRODUCT((('CASE MASTER'!$T$2:$T$495=7)*('CASE MASTER'!$U$2:$U$495&lt;=8)*('CASE MASTER'!$W$2:$W$495&gt;=8)*('CASE MASTER'!$V$2:$V$495&lt;=7)*('CASE MASTER'!$X$2:$X$495&gt;=7))*ROW('CASE MASTER'!$T$2:$T$495))-(ROW('CASE MASTER'!#REF!)-1))))*(INDEX('CASE MASTER'!$X$2:$X$495,(SUMPRODUCT((('CASE MASTER'!$T$2:$T$495=7)*('CASE MASTER'!$U$2:$U$495&lt;=8)*('CASE MASTER'!$W$2:$W$495&gt;=8)*('CASE MASTER'!$V$2:$V$495&lt;=7)*('CASE MASTER'!$X$2:$X$495&gt;=7))*ROW('CASE MASTER'!$T$2:$T$495))-(ROW('CASE MASTER'!#REF!)-1)))-INDEX('CASE MASTER'!$V$2:$V$495,(SUMPRODUCT((('CASE MASTER'!$T$2:$T$495=7)*('CASE MASTER'!$U$2:$U$495&lt;=8)*('CASE MASTER'!$W$2:$W$495&gt;=8)*('CASE MASTER'!$V$2:$V$495&lt;=7)*('CASE MASTER'!$X$2:$X$495&gt;=7))*ROW('CASE MASTER'!$T$2:$T$495))-(ROW('CASE MASTER'!#REF!)-1)))+1)+(7-INDEX('CASE MASTER'!$V$2:$V$495,(SUMPRODUCT((('CASE MASTER'!$T$2:$T$495=7)*('CASE MASTER'!$U$2:$U$495&lt;=8)*('CASE MASTER'!$W$2:$W$495&gt;=8)*('CASE MASTER'!$V$2:$V$495&lt;=7)*('CASE MASTER'!$X$2:$X$495&gt;=7))*ROW('CASE MASTER'!$T$2:$T$495))-(ROW('CASE MASTER'!#REF!)-1))))+1))-1)*50+1,50))&amp;"_"&amp;INDEX('CASE MASTER'!$Q$2:$Q$495,(SUMPRODUCT((('CASE MASTER'!$T$2:$T$495=7)*('CASE MASTER'!$U$2:$U$495&lt;=8)*('CASE MASTER'!$W$2:$W$495&gt;=8)*('CASE MASTER'!$V$2:$V$495&lt;=7)*('CASE MASTER'!$X$2:$X$495&gt;=7))*ROW('CASE MASTER'!$T$2:$T$495))-(ROW('CASE MASTER'!#REF!)-1))),IF(SUMPRODUCT((('CASE MASTER'!$T$2:$T$495=7)*('CASE MASTER'!$AA$2:$AA$495&lt;=8)*('CASE MASTER'!$AC$2:$AC$495&gt;=8)*('CASE MASTER'!$AB$2:$AB$495&lt;=7)*('CASE MASTER'!$AD$2:$AD$495&gt;=7))*ROW('CASE MASTER'!$T$2:$T$495))&gt;0,INDEX('CASE MASTER'!$Y$2:$Y$495,(SUMPRODUCT((('CASE MASTER'!$T$2:$T$495=7)*('CASE MASTER'!$AA$2:$AA$495&lt;=8)*('CASE MASTER'!$AC$2:$AC$495&gt;=8)*('CASE MASTER'!$AB$2:$AB$495&lt;=7)*('CASE MASTER'!$AD$2:$AD$495&gt;=7))*ROW('CASE MASTER'!$T$2:$T$495))-(ROW('CASE MASTER'!#REF!)-1)))&amp;TRIM(MID(SUBSTITUTE(SUBSTITUTE(INDEX('CASE MASTER'!$N$2:$N$495,(SUMPRODUCT((('CASE MASTER'!$T$2:$T$495=7)*('CASE MASTER'!$AA$2:$AA$495&lt;=8)*('CASE MASTER'!$AC$2:$AC$495&gt;=8)*('CASE MASTER'!$AB$2:$AB$495&lt;=7)*('CASE MASTER'!$AD$2:$AD$495&gt;=7))*ROW('CASE MASTER'!$T$2:$T$495))-(ROW('CASE MASTER'!#REF!)-1))),":",","),",",REPT(" ",50)),(((INDEX('CASE MASTER'!$Z$2:$Z$495,(SUMPRODUCT((('CASE MASTER'!$T$2:$T$495=7)*('CASE MASTER'!$AA$2:$AA$495&lt;=8)*('CASE MASTER'!$AC$2:$AC$495&gt;=8)*('CASE MASTER'!$AB$2:$AB$495&lt;=7)*('CASE MASTER'!$AD$2:$AD$495&gt;=7))*ROW('CASE MASTER'!$T$2:$T$495))-(ROW('CASE MASTER'!#REF!)-1)))+((8-INDEX('CASE MASTER'!$AA$2:$AA$495,(SUMPRODUCT((('CASE MASTER'!$T$2:$T$495=7)*('CASE MASTER'!$AA$2:$AA$495&lt;=8)*('CASE MASTER'!$AC$2:$AC$495&gt;=8)*('CASE MASTER'!$AB$2:$AB$495&lt;=7)*('CASE MASTER'!$AD$2:$AD$495&gt;=7))*ROW('CASE MASTER'!$T$2:$T$495))-(ROW('CASE MASTER'!#REF!)-1))))*(INDEX('CASE MASTER'!$AD$2:$AD$495,(SUMPRODUCT((('CASE MASTER'!$T$2:$T$495=7)*('CASE MASTER'!$AA$2:$AA$495&lt;=8)*('CASE MASTER'!$AC$2:$AC$495&gt;=8)*('CASE MASTER'!$AB$2:$AB$495&lt;=7)*('CASE MASTER'!$AD$2:$AD$495&gt;=7))*ROW('CASE MASTER'!$T$2:$T$495))-(ROW('CASE MASTER'!#REF!)-1)))-INDEX('CASE MASTER'!$AB$2:$AB$495,(SUMPRODUCT((('CASE MASTER'!$T$2:$T$495=7)*('CASE MASTER'!$AA$2:$AA$495&lt;=8)*('CASE MASTER'!$AC$2:$AC$495&gt;=8)*('CASE MASTER'!$AB$2:$AB$495&lt;=7)*('CASE MASTER'!$AD$2:$AD$495&gt;=7))*ROW('CASE MASTER'!$T$2:$T$495))-(ROW('CASE MASTER'!#REF!)-1)))+1)+(7-INDEX('CASE MASTER'!$AB$2:$AB$495,(SUMPRODUCT((('CASE MASTER'!$T$2:$T$495=7)*('CASE MASTER'!$AA$2:$AA$495&lt;=8)*('CASE MASTER'!$AC$2:$AC$495&gt;=8)*('CASE MASTER'!$AB$2:$AB$495&lt;=7)*('CASE MASTER'!$AD$2:$AD$495&gt;=7))*ROW('CASE MASTER'!$T$2:$T$495))-(ROW('CASE MASTER'!#REF!)-1))))+1)))-1)*50+1,50))&amp;"_"&amp;INDEX('CASE MASTER'!$Q$2:$Q$495,(SUMPRODUCT((('CASE MASTER'!$T$2:$T$495=7)*('CASE MASTER'!$AA$2:$AA$495&lt;=8)*('CASE MASTER'!$AC$2:$AC$495&gt;=8)*('CASE MASTER'!$AB$2:$AB$495&lt;=7)*('CASE MASTER'!$AD$2:$AD$495&gt;=7))*ROW('CASE MASTER'!$T$2:$T$495))-(ROW('CASE MASTER'!#REF!)-1))),"")),"")</f>
        <v/>
      </c>
      <c r="I94" s="10" t="str">
        <f>IFERROR(IF(SUMPRODUCT((('CASE MASTER'!$T$2:$T$495=7)*('CASE MASTER'!$U$2:$U$495&lt;=8)*('CASE MASTER'!$W$2:$W$495&gt;=8)*('CASE MASTER'!$V$2:$V$495&lt;=8)*('CASE MASTER'!$X$2:$X$495&gt;=8))*ROW('CASE MASTER'!$T$2:$T$495))&gt;0,INDEX('CASE MASTER'!$Y$2:$Y$495,(SUMPRODUCT((('CASE MASTER'!$T$2:$T$495=7)*('CASE MASTER'!$U$2:$U$495&lt;=8)*('CASE MASTER'!$W$2:$W$495&gt;=8)*('CASE MASTER'!$V$2:$V$495&lt;=8)*('CASE MASTER'!$X$2:$X$495&gt;=8))*ROW('CASE MASTER'!$T$2:$T$495))-(ROW('CASE MASTER'!#REF!)-1)))&amp;TRIM(MID(SUBSTITUTE(SUBSTITUTE(INDEX('CASE MASTER'!$N$2:$N$495,(SUMPRODUCT((('CASE MASTER'!$T$2:$T$495=7)*('CASE MASTER'!$U$2:$U$495&lt;=8)*('CASE MASTER'!$W$2:$W$495&gt;=8)*('CASE MASTER'!$V$2:$V$495&lt;=8)*('CASE MASTER'!$X$2:$X$495&gt;=8))*ROW('CASE MASTER'!$T$2:$T$495))-(ROW('CASE MASTER'!#REF!)-1))),":",","),",",REPT(" ",50)),((((8-INDEX('CASE MASTER'!$U$2:$U$495,(SUMPRODUCT((('CASE MASTER'!$T$2:$T$495=7)*('CASE MASTER'!$U$2:$U$495&lt;=8)*('CASE MASTER'!$W$2:$W$495&gt;=8)*('CASE MASTER'!$V$2:$V$495&lt;=8)*('CASE MASTER'!$X$2:$X$495&gt;=8))*ROW('CASE MASTER'!$T$2:$T$495))-(ROW('CASE MASTER'!#REF!)-1))))*(INDEX('CASE MASTER'!$X$2:$X$495,(SUMPRODUCT((('CASE MASTER'!$T$2:$T$495=7)*('CASE MASTER'!$U$2:$U$495&lt;=8)*('CASE MASTER'!$W$2:$W$495&gt;=8)*('CASE MASTER'!$V$2:$V$495&lt;=8)*('CASE MASTER'!$X$2:$X$495&gt;=8))*ROW('CASE MASTER'!$T$2:$T$495))-(ROW('CASE MASTER'!#REF!)-1)))-INDEX('CASE MASTER'!$V$2:$V$495,(SUMPRODUCT((('CASE MASTER'!$T$2:$T$495=7)*('CASE MASTER'!$U$2:$U$495&lt;=8)*('CASE MASTER'!$W$2:$W$495&gt;=8)*('CASE MASTER'!$V$2:$V$495&lt;=8)*('CASE MASTER'!$X$2:$X$495&gt;=8))*ROW('CASE MASTER'!$T$2:$T$495))-(ROW('CASE MASTER'!#REF!)-1)))+1)+(8-INDEX('CASE MASTER'!$V$2:$V$495,(SUMPRODUCT((('CASE MASTER'!$T$2:$T$495=7)*('CASE MASTER'!$U$2:$U$495&lt;=8)*('CASE MASTER'!$W$2:$W$495&gt;=8)*('CASE MASTER'!$V$2:$V$495&lt;=8)*('CASE MASTER'!$X$2:$X$495&gt;=8))*ROW('CASE MASTER'!$T$2:$T$495))-(ROW('CASE MASTER'!#REF!)-1))))+1))-1)*50+1,50))&amp;"_"&amp;INDEX('CASE MASTER'!$Q$2:$Q$495,(SUMPRODUCT((('CASE MASTER'!$T$2:$T$495=7)*('CASE MASTER'!$U$2:$U$495&lt;=8)*('CASE MASTER'!$W$2:$W$495&gt;=8)*('CASE MASTER'!$V$2:$V$495&lt;=8)*('CASE MASTER'!$X$2:$X$495&gt;=8))*ROW('CASE MASTER'!$T$2:$T$495))-(ROW('CASE MASTER'!#REF!)-1))),IF(SUMPRODUCT((('CASE MASTER'!$T$2:$T$495=7)*('CASE MASTER'!$AA$2:$AA$495&lt;=8)*('CASE MASTER'!$AC$2:$AC$495&gt;=8)*('CASE MASTER'!$AB$2:$AB$495&lt;=8)*('CASE MASTER'!$AD$2:$AD$495&gt;=8))*ROW('CASE MASTER'!$T$2:$T$495))&gt;0,INDEX('CASE MASTER'!$Y$2:$Y$495,(SUMPRODUCT((('CASE MASTER'!$T$2:$T$495=7)*('CASE MASTER'!$AA$2:$AA$495&lt;=8)*('CASE MASTER'!$AC$2:$AC$495&gt;=8)*('CASE MASTER'!$AB$2:$AB$495&lt;=8)*('CASE MASTER'!$AD$2:$AD$495&gt;=8))*ROW('CASE MASTER'!$T$2:$T$495))-(ROW('CASE MASTER'!#REF!)-1)))&amp;TRIM(MID(SUBSTITUTE(SUBSTITUTE(INDEX('CASE MASTER'!$N$2:$N$495,(SUMPRODUCT((('CASE MASTER'!$T$2:$T$495=7)*('CASE MASTER'!$AA$2:$AA$495&lt;=8)*('CASE MASTER'!$AC$2:$AC$495&gt;=8)*('CASE MASTER'!$AB$2:$AB$495&lt;=8)*('CASE MASTER'!$AD$2:$AD$495&gt;=8))*ROW('CASE MASTER'!$T$2:$T$495))-(ROW('CASE MASTER'!#REF!)-1))),":",","),",",REPT(" ",50)),(((INDEX('CASE MASTER'!$Z$2:$Z$495,(SUMPRODUCT((('CASE MASTER'!$T$2:$T$495=7)*('CASE MASTER'!$AA$2:$AA$495&lt;=8)*('CASE MASTER'!$AC$2:$AC$495&gt;=8)*('CASE MASTER'!$AB$2:$AB$495&lt;=8)*('CASE MASTER'!$AD$2:$AD$495&gt;=8))*ROW('CASE MASTER'!$T$2:$T$495))-(ROW('CASE MASTER'!#REF!)-1)))+((8-INDEX('CASE MASTER'!$AA$2:$AA$495,(SUMPRODUCT((('CASE MASTER'!$T$2:$T$495=7)*('CASE MASTER'!$AA$2:$AA$495&lt;=8)*('CASE MASTER'!$AC$2:$AC$495&gt;=8)*('CASE MASTER'!$AB$2:$AB$495&lt;=8)*('CASE MASTER'!$AD$2:$AD$495&gt;=8))*ROW('CASE MASTER'!$T$2:$T$495))-(ROW('CASE MASTER'!#REF!)-1))))*(INDEX('CASE MASTER'!$AD$2:$AD$495,(SUMPRODUCT((('CASE MASTER'!$T$2:$T$495=7)*('CASE MASTER'!$AA$2:$AA$495&lt;=8)*('CASE MASTER'!$AC$2:$AC$495&gt;=8)*('CASE MASTER'!$AB$2:$AB$495&lt;=8)*('CASE MASTER'!$AD$2:$AD$495&gt;=8))*ROW('CASE MASTER'!$T$2:$T$495))-(ROW('CASE MASTER'!#REF!)-1)))-INDEX('CASE MASTER'!$AB$2:$AB$495,(SUMPRODUCT((('CASE MASTER'!$T$2:$T$495=7)*('CASE MASTER'!$AA$2:$AA$495&lt;=8)*('CASE MASTER'!$AC$2:$AC$495&gt;=8)*('CASE MASTER'!$AB$2:$AB$495&lt;=8)*('CASE MASTER'!$AD$2:$AD$495&gt;=8))*ROW('CASE MASTER'!$T$2:$T$495))-(ROW('CASE MASTER'!#REF!)-1)))+1)+(8-INDEX('CASE MASTER'!$AB$2:$AB$495,(SUMPRODUCT((('CASE MASTER'!$T$2:$T$495=7)*('CASE MASTER'!$AA$2:$AA$495&lt;=8)*('CASE MASTER'!$AC$2:$AC$495&gt;=8)*('CASE MASTER'!$AB$2:$AB$495&lt;=8)*('CASE MASTER'!$AD$2:$AD$495&gt;=8))*ROW('CASE MASTER'!$T$2:$T$495))-(ROW('CASE MASTER'!#REF!)-1))))+1)))-1)*50+1,50))&amp;"_"&amp;INDEX('CASE MASTER'!$Q$2:$Q$495,(SUMPRODUCT((('CASE MASTER'!$T$2:$T$495=7)*('CASE MASTER'!$AA$2:$AA$495&lt;=8)*('CASE MASTER'!$AC$2:$AC$495&gt;=8)*('CASE MASTER'!$AB$2:$AB$495&lt;=8)*('CASE MASTER'!$AD$2:$AD$495&gt;=8))*ROW('CASE MASTER'!$T$2:$T$495))-(ROW('CASE MASTER'!#REF!)-1))),"")),"")</f>
        <v/>
      </c>
      <c r="J94" s="10" t="str">
        <f>IFERROR(IF(SUMPRODUCT((('CASE MASTER'!$T$2:$T$495=7)*('CASE MASTER'!$U$2:$U$495&lt;=8)*('CASE MASTER'!$W$2:$W$495&gt;=8)*('CASE MASTER'!$V$2:$V$495&lt;=9)*('CASE MASTER'!$X$2:$X$495&gt;=9))*ROW('CASE MASTER'!$T$2:$T$495))&gt;0,INDEX('CASE MASTER'!$Y$2:$Y$495,(SUMPRODUCT((('CASE MASTER'!$T$2:$T$495=7)*('CASE MASTER'!$U$2:$U$495&lt;=8)*('CASE MASTER'!$W$2:$W$495&gt;=8)*('CASE MASTER'!$V$2:$V$495&lt;=9)*('CASE MASTER'!$X$2:$X$495&gt;=9))*ROW('CASE MASTER'!$T$2:$T$495))-(ROW('CASE MASTER'!#REF!)-1)))&amp;TRIM(MID(SUBSTITUTE(SUBSTITUTE(INDEX('CASE MASTER'!$N$2:$N$495,(SUMPRODUCT((('CASE MASTER'!$T$2:$T$495=7)*('CASE MASTER'!$U$2:$U$495&lt;=8)*('CASE MASTER'!$W$2:$W$495&gt;=8)*('CASE MASTER'!$V$2:$V$495&lt;=9)*('CASE MASTER'!$X$2:$X$495&gt;=9))*ROW('CASE MASTER'!$T$2:$T$495))-(ROW('CASE MASTER'!#REF!)-1))),":",","),",",REPT(" ",50)),((((8-INDEX('CASE MASTER'!$U$2:$U$495,(SUMPRODUCT((('CASE MASTER'!$T$2:$T$495=7)*('CASE MASTER'!$U$2:$U$495&lt;=8)*('CASE MASTER'!$W$2:$W$495&gt;=8)*('CASE MASTER'!$V$2:$V$495&lt;=9)*('CASE MASTER'!$X$2:$X$495&gt;=9))*ROW('CASE MASTER'!$T$2:$T$495))-(ROW('CASE MASTER'!#REF!)-1))))*(INDEX('CASE MASTER'!$X$2:$X$495,(SUMPRODUCT((('CASE MASTER'!$T$2:$T$495=7)*('CASE MASTER'!$U$2:$U$495&lt;=8)*('CASE MASTER'!$W$2:$W$495&gt;=8)*('CASE MASTER'!$V$2:$V$495&lt;=9)*('CASE MASTER'!$X$2:$X$495&gt;=9))*ROW('CASE MASTER'!$T$2:$T$495))-(ROW('CASE MASTER'!#REF!)-1)))-INDEX('CASE MASTER'!$V$2:$V$495,(SUMPRODUCT((('CASE MASTER'!$T$2:$T$495=7)*('CASE MASTER'!$U$2:$U$495&lt;=8)*('CASE MASTER'!$W$2:$W$495&gt;=8)*('CASE MASTER'!$V$2:$V$495&lt;=9)*('CASE MASTER'!$X$2:$X$495&gt;=9))*ROW('CASE MASTER'!$T$2:$T$495))-(ROW('CASE MASTER'!#REF!)-1)))+1)+(9-INDEX('CASE MASTER'!$V$2:$V$495,(SUMPRODUCT((('CASE MASTER'!$T$2:$T$495=7)*('CASE MASTER'!$U$2:$U$495&lt;=8)*('CASE MASTER'!$W$2:$W$495&gt;=8)*('CASE MASTER'!$V$2:$V$495&lt;=9)*('CASE MASTER'!$X$2:$X$495&gt;=9))*ROW('CASE MASTER'!$T$2:$T$495))-(ROW('CASE MASTER'!#REF!)-1))))+1))-1)*50+1,50))&amp;"_"&amp;INDEX('CASE MASTER'!$Q$2:$Q$495,(SUMPRODUCT((('CASE MASTER'!$T$2:$T$495=7)*('CASE MASTER'!$U$2:$U$495&lt;=8)*('CASE MASTER'!$W$2:$W$495&gt;=8)*('CASE MASTER'!$V$2:$V$495&lt;=9)*('CASE MASTER'!$X$2:$X$495&gt;=9))*ROW('CASE MASTER'!$T$2:$T$495))-(ROW('CASE MASTER'!#REF!)-1))),IF(SUMPRODUCT((('CASE MASTER'!$T$2:$T$495=7)*('CASE MASTER'!$AA$2:$AA$495&lt;=8)*('CASE MASTER'!$AC$2:$AC$495&gt;=8)*('CASE MASTER'!$AB$2:$AB$495&lt;=9)*('CASE MASTER'!$AD$2:$AD$495&gt;=9))*ROW('CASE MASTER'!$T$2:$T$495))&gt;0,INDEX('CASE MASTER'!$Y$2:$Y$495,(SUMPRODUCT((('CASE MASTER'!$T$2:$T$495=7)*('CASE MASTER'!$AA$2:$AA$495&lt;=8)*('CASE MASTER'!$AC$2:$AC$495&gt;=8)*('CASE MASTER'!$AB$2:$AB$495&lt;=9)*('CASE MASTER'!$AD$2:$AD$495&gt;=9))*ROW('CASE MASTER'!$T$2:$T$495))-(ROW('CASE MASTER'!#REF!)-1)))&amp;TRIM(MID(SUBSTITUTE(SUBSTITUTE(INDEX('CASE MASTER'!$N$2:$N$495,(SUMPRODUCT((('CASE MASTER'!$T$2:$T$495=7)*('CASE MASTER'!$AA$2:$AA$495&lt;=8)*('CASE MASTER'!$AC$2:$AC$495&gt;=8)*('CASE MASTER'!$AB$2:$AB$495&lt;=9)*('CASE MASTER'!$AD$2:$AD$495&gt;=9))*ROW('CASE MASTER'!$T$2:$T$495))-(ROW('CASE MASTER'!#REF!)-1))),":",","),",",REPT(" ",50)),(((INDEX('CASE MASTER'!$Z$2:$Z$495,(SUMPRODUCT((('CASE MASTER'!$T$2:$T$495=7)*('CASE MASTER'!$AA$2:$AA$495&lt;=8)*('CASE MASTER'!$AC$2:$AC$495&gt;=8)*('CASE MASTER'!$AB$2:$AB$495&lt;=9)*('CASE MASTER'!$AD$2:$AD$495&gt;=9))*ROW('CASE MASTER'!$T$2:$T$495))-(ROW('CASE MASTER'!#REF!)-1)))+((8-INDEX('CASE MASTER'!$AA$2:$AA$495,(SUMPRODUCT((('CASE MASTER'!$T$2:$T$495=7)*('CASE MASTER'!$AA$2:$AA$495&lt;=8)*('CASE MASTER'!$AC$2:$AC$495&gt;=8)*('CASE MASTER'!$AB$2:$AB$495&lt;=9)*('CASE MASTER'!$AD$2:$AD$495&gt;=9))*ROW('CASE MASTER'!$T$2:$T$495))-(ROW('CASE MASTER'!#REF!)-1))))*(INDEX('CASE MASTER'!$AD$2:$AD$495,(SUMPRODUCT((('CASE MASTER'!$T$2:$T$495=7)*('CASE MASTER'!$AA$2:$AA$495&lt;=8)*('CASE MASTER'!$AC$2:$AC$495&gt;=8)*('CASE MASTER'!$AB$2:$AB$495&lt;=9)*('CASE MASTER'!$AD$2:$AD$495&gt;=9))*ROW('CASE MASTER'!$T$2:$T$495))-(ROW('CASE MASTER'!#REF!)-1)))-INDEX('CASE MASTER'!$AB$2:$AB$495,(SUMPRODUCT((('CASE MASTER'!$T$2:$T$495=7)*('CASE MASTER'!$AA$2:$AA$495&lt;=8)*('CASE MASTER'!$AC$2:$AC$495&gt;=8)*('CASE MASTER'!$AB$2:$AB$495&lt;=9)*('CASE MASTER'!$AD$2:$AD$495&gt;=9))*ROW('CASE MASTER'!$T$2:$T$495))-(ROW('CASE MASTER'!#REF!)-1)))+1)+(9-INDEX('CASE MASTER'!$AB$2:$AB$495,(SUMPRODUCT((('CASE MASTER'!$T$2:$T$495=7)*('CASE MASTER'!$AA$2:$AA$495&lt;=8)*('CASE MASTER'!$AC$2:$AC$495&gt;=8)*('CASE MASTER'!$AB$2:$AB$495&lt;=9)*('CASE MASTER'!$AD$2:$AD$495&gt;=9))*ROW('CASE MASTER'!$T$2:$T$495))-(ROW('CASE MASTER'!#REF!)-1))))+1)))-1)*50+1,50))&amp;"_"&amp;INDEX('CASE MASTER'!$Q$2:$Q$495,(SUMPRODUCT((('CASE MASTER'!$T$2:$T$495=7)*('CASE MASTER'!$AA$2:$AA$495&lt;=8)*('CASE MASTER'!$AC$2:$AC$495&gt;=8)*('CASE MASTER'!$AB$2:$AB$495&lt;=9)*('CASE MASTER'!$AD$2:$AD$495&gt;=9))*ROW('CASE MASTER'!$T$2:$T$495))-(ROW('CASE MASTER'!#REF!)-1))),"")),"")</f>
        <v/>
      </c>
      <c r="K94" s="10" t="str">
        <f>IFERROR(IF(SUMPRODUCT((('CASE MASTER'!$T$2:$T$495=7)*('CASE MASTER'!$U$2:$U$495&lt;=8)*('CASE MASTER'!$W$2:$W$495&gt;=8)*('CASE MASTER'!$V$2:$V$495&lt;=10)*('CASE MASTER'!$X$2:$X$495&gt;=10))*ROW('CASE MASTER'!$T$2:$T$495))&gt;0,INDEX('CASE MASTER'!$Y$2:$Y$495,(SUMPRODUCT((('CASE MASTER'!$T$2:$T$495=7)*('CASE MASTER'!$U$2:$U$495&lt;=8)*('CASE MASTER'!$W$2:$W$495&gt;=8)*('CASE MASTER'!$V$2:$V$495&lt;=10)*('CASE MASTER'!$X$2:$X$495&gt;=10))*ROW('CASE MASTER'!$T$2:$T$495))-(ROW('CASE MASTER'!#REF!)-1)))&amp;TRIM(MID(SUBSTITUTE(SUBSTITUTE(INDEX('CASE MASTER'!$N$2:$N$495,(SUMPRODUCT((('CASE MASTER'!$T$2:$T$495=7)*('CASE MASTER'!$U$2:$U$495&lt;=8)*('CASE MASTER'!$W$2:$W$495&gt;=8)*('CASE MASTER'!$V$2:$V$495&lt;=10)*('CASE MASTER'!$X$2:$X$495&gt;=10))*ROW('CASE MASTER'!$T$2:$T$495))-(ROW('CASE MASTER'!#REF!)-1))),":",","),",",REPT(" ",50)),((((8-INDEX('CASE MASTER'!$U$2:$U$495,(SUMPRODUCT((('CASE MASTER'!$T$2:$T$495=7)*('CASE MASTER'!$U$2:$U$495&lt;=8)*('CASE MASTER'!$W$2:$W$495&gt;=8)*('CASE MASTER'!$V$2:$V$495&lt;=10)*('CASE MASTER'!$X$2:$X$495&gt;=10))*ROW('CASE MASTER'!$T$2:$T$495))-(ROW('CASE MASTER'!#REF!)-1))))*(INDEX('CASE MASTER'!$X$2:$X$495,(SUMPRODUCT((('CASE MASTER'!$T$2:$T$495=7)*('CASE MASTER'!$U$2:$U$495&lt;=8)*('CASE MASTER'!$W$2:$W$495&gt;=8)*('CASE MASTER'!$V$2:$V$495&lt;=10)*('CASE MASTER'!$X$2:$X$495&gt;=10))*ROW('CASE MASTER'!$T$2:$T$495))-(ROW('CASE MASTER'!#REF!)-1)))-INDEX('CASE MASTER'!$V$2:$V$495,(SUMPRODUCT((('CASE MASTER'!$T$2:$T$495=7)*('CASE MASTER'!$U$2:$U$495&lt;=8)*('CASE MASTER'!$W$2:$W$495&gt;=8)*('CASE MASTER'!$V$2:$V$495&lt;=10)*('CASE MASTER'!$X$2:$X$495&gt;=10))*ROW('CASE MASTER'!$T$2:$T$495))-(ROW('CASE MASTER'!#REF!)-1)))+1)+(10-INDEX('CASE MASTER'!$V$2:$V$495,(SUMPRODUCT((('CASE MASTER'!$T$2:$T$495=7)*('CASE MASTER'!$U$2:$U$495&lt;=8)*('CASE MASTER'!$W$2:$W$495&gt;=8)*('CASE MASTER'!$V$2:$V$495&lt;=10)*('CASE MASTER'!$X$2:$X$495&gt;=10))*ROW('CASE MASTER'!$T$2:$T$495))-(ROW('CASE MASTER'!#REF!)-1))))+1))-1)*50+1,50))&amp;"_"&amp;INDEX('CASE MASTER'!$Q$2:$Q$495,(SUMPRODUCT((('CASE MASTER'!$T$2:$T$495=7)*('CASE MASTER'!$U$2:$U$495&lt;=8)*('CASE MASTER'!$W$2:$W$495&gt;=8)*('CASE MASTER'!$V$2:$V$495&lt;=10)*('CASE MASTER'!$X$2:$X$495&gt;=10))*ROW('CASE MASTER'!$T$2:$T$495))-(ROW('CASE MASTER'!#REF!)-1))),IF(SUMPRODUCT((('CASE MASTER'!$T$2:$T$495=7)*('CASE MASTER'!$AA$2:$AA$495&lt;=8)*('CASE MASTER'!$AC$2:$AC$495&gt;=8)*('CASE MASTER'!$AB$2:$AB$495&lt;=10)*('CASE MASTER'!$AD$2:$AD$495&gt;=10))*ROW('CASE MASTER'!$T$2:$T$495))&gt;0,INDEX('CASE MASTER'!$Y$2:$Y$495,(SUMPRODUCT((('CASE MASTER'!$T$2:$T$495=7)*('CASE MASTER'!$AA$2:$AA$495&lt;=8)*('CASE MASTER'!$AC$2:$AC$495&gt;=8)*('CASE MASTER'!$AB$2:$AB$495&lt;=10)*('CASE MASTER'!$AD$2:$AD$495&gt;=10))*ROW('CASE MASTER'!$T$2:$T$495))-(ROW('CASE MASTER'!#REF!)-1)))&amp;TRIM(MID(SUBSTITUTE(SUBSTITUTE(INDEX('CASE MASTER'!$N$2:$N$495,(SUMPRODUCT((('CASE MASTER'!$T$2:$T$495=7)*('CASE MASTER'!$AA$2:$AA$495&lt;=8)*('CASE MASTER'!$AC$2:$AC$495&gt;=8)*('CASE MASTER'!$AB$2:$AB$495&lt;=10)*('CASE MASTER'!$AD$2:$AD$495&gt;=10))*ROW('CASE MASTER'!$T$2:$T$495))-(ROW('CASE MASTER'!#REF!)-1))),":",","),",",REPT(" ",50)),(((INDEX('CASE MASTER'!$Z$2:$Z$495,(SUMPRODUCT((('CASE MASTER'!$T$2:$T$495=7)*('CASE MASTER'!$AA$2:$AA$495&lt;=8)*('CASE MASTER'!$AC$2:$AC$495&gt;=8)*('CASE MASTER'!$AB$2:$AB$495&lt;=10)*('CASE MASTER'!$AD$2:$AD$495&gt;=10))*ROW('CASE MASTER'!$T$2:$T$495))-(ROW('CASE MASTER'!#REF!)-1)))+((8-INDEX('CASE MASTER'!$AA$2:$AA$495,(SUMPRODUCT((('CASE MASTER'!$T$2:$T$495=7)*('CASE MASTER'!$AA$2:$AA$495&lt;=8)*('CASE MASTER'!$AC$2:$AC$495&gt;=8)*('CASE MASTER'!$AB$2:$AB$495&lt;=10)*('CASE MASTER'!$AD$2:$AD$495&gt;=10))*ROW('CASE MASTER'!$T$2:$T$495))-(ROW('CASE MASTER'!#REF!)-1))))*(INDEX('CASE MASTER'!$AD$2:$AD$495,(SUMPRODUCT((('CASE MASTER'!$T$2:$T$495=7)*('CASE MASTER'!$AA$2:$AA$495&lt;=8)*('CASE MASTER'!$AC$2:$AC$495&gt;=8)*('CASE MASTER'!$AB$2:$AB$495&lt;=10)*('CASE MASTER'!$AD$2:$AD$495&gt;=10))*ROW('CASE MASTER'!$T$2:$T$495))-(ROW('CASE MASTER'!#REF!)-1)))-INDEX('CASE MASTER'!$AB$2:$AB$495,(SUMPRODUCT((('CASE MASTER'!$T$2:$T$495=7)*('CASE MASTER'!$AA$2:$AA$495&lt;=8)*('CASE MASTER'!$AC$2:$AC$495&gt;=8)*('CASE MASTER'!$AB$2:$AB$495&lt;=10)*('CASE MASTER'!$AD$2:$AD$495&gt;=10))*ROW('CASE MASTER'!$T$2:$T$495))-(ROW('CASE MASTER'!#REF!)-1)))+1)+(10-INDEX('CASE MASTER'!$AB$2:$AB$495,(SUMPRODUCT((('CASE MASTER'!$T$2:$T$495=7)*('CASE MASTER'!$AA$2:$AA$495&lt;=8)*('CASE MASTER'!$AC$2:$AC$495&gt;=8)*('CASE MASTER'!$AB$2:$AB$495&lt;=10)*('CASE MASTER'!$AD$2:$AD$495&gt;=10))*ROW('CASE MASTER'!$T$2:$T$495))-(ROW('CASE MASTER'!#REF!)-1))))+1)))-1)*50+1,50))&amp;"_"&amp;INDEX('CASE MASTER'!$Q$2:$Q$495,(SUMPRODUCT((('CASE MASTER'!$T$2:$T$495=7)*('CASE MASTER'!$AA$2:$AA$495&lt;=8)*('CASE MASTER'!$AC$2:$AC$495&gt;=8)*('CASE MASTER'!$AB$2:$AB$495&lt;=10)*('CASE MASTER'!$AD$2:$AD$495&gt;=10))*ROW('CASE MASTER'!$T$2:$T$495))-(ROW('CASE MASTER'!#REF!)-1))),"")),"")</f>
        <v/>
      </c>
    </row>
    <row r="95" spans="1:11" ht="15" customHeight="1" x14ac:dyDescent="0.35">
      <c r="A95" s="8" t="s">
        <v>81</v>
      </c>
      <c r="B95" s="10" t="str">
        <f>IFERROR(IF(SUMPRODUCT((('CASE MASTER'!$T$2:$T$495=7)*('CASE MASTER'!$U$2:$U$495&lt;=9)*('CASE MASTER'!$W$2:$W$495&gt;=9)*('CASE MASTER'!$V$2:$V$495&lt;=1)*('CASE MASTER'!$X$2:$X$495&gt;=1))*ROW('CASE MASTER'!$T$2:$T$495))&gt;0,INDEX('CASE MASTER'!$Y$2:$Y$495,(SUMPRODUCT((('CASE MASTER'!$T$2:$T$495=7)*('CASE MASTER'!$U$2:$U$495&lt;=9)*('CASE MASTER'!$W$2:$W$495&gt;=9)*('CASE MASTER'!$V$2:$V$495&lt;=1)*('CASE MASTER'!$X$2:$X$495&gt;=1))*ROW('CASE MASTER'!$T$2:$T$495))-(ROW('CASE MASTER'!#REF!)-1)))&amp;TRIM(MID(SUBSTITUTE(SUBSTITUTE(INDEX('CASE MASTER'!$N$2:$N$495,(SUMPRODUCT((('CASE MASTER'!$T$2:$T$495=7)*('CASE MASTER'!$U$2:$U$495&lt;=9)*('CASE MASTER'!$W$2:$W$495&gt;=9)*('CASE MASTER'!$V$2:$V$495&lt;=1)*('CASE MASTER'!$X$2:$X$495&gt;=1))*ROW('CASE MASTER'!$T$2:$T$495))-(ROW('CASE MASTER'!#REF!)-1))),":",","),",",REPT(" ",50)),((((9-INDEX('CASE MASTER'!$U$2:$U$495,(SUMPRODUCT((('CASE MASTER'!$T$2:$T$495=7)*('CASE MASTER'!$U$2:$U$495&lt;=9)*('CASE MASTER'!$W$2:$W$495&gt;=9)*('CASE MASTER'!$V$2:$V$495&lt;=1)*('CASE MASTER'!$X$2:$X$495&gt;=1))*ROW('CASE MASTER'!$T$2:$T$495))-(ROW('CASE MASTER'!#REF!)-1))))*(INDEX('CASE MASTER'!$X$2:$X$495,(SUMPRODUCT((('CASE MASTER'!$T$2:$T$495=7)*('CASE MASTER'!$U$2:$U$495&lt;=9)*('CASE MASTER'!$W$2:$W$495&gt;=9)*('CASE MASTER'!$V$2:$V$495&lt;=1)*('CASE MASTER'!$X$2:$X$495&gt;=1))*ROW('CASE MASTER'!$T$2:$T$495))-(ROW('CASE MASTER'!#REF!)-1)))-INDEX('CASE MASTER'!$V$2:$V$495,(SUMPRODUCT((('CASE MASTER'!$T$2:$T$495=7)*('CASE MASTER'!$U$2:$U$495&lt;=9)*('CASE MASTER'!$W$2:$W$495&gt;=9)*('CASE MASTER'!$V$2:$V$495&lt;=1)*('CASE MASTER'!$X$2:$X$495&gt;=1))*ROW('CASE MASTER'!$T$2:$T$495))-(ROW('CASE MASTER'!#REF!)-1)))+1)+(1-INDEX('CASE MASTER'!$V$2:$V$495,(SUMPRODUCT((('CASE MASTER'!$T$2:$T$495=7)*('CASE MASTER'!$U$2:$U$495&lt;=9)*('CASE MASTER'!$W$2:$W$495&gt;=9)*('CASE MASTER'!$V$2:$V$495&lt;=1)*('CASE MASTER'!$X$2:$X$495&gt;=1))*ROW('CASE MASTER'!$T$2:$T$495))-(ROW('CASE MASTER'!#REF!)-1))))+1))-1)*50+1,50))&amp;"_"&amp;INDEX('CASE MASTER'!$Q$2:$Q$495,(SUMPRODUCT((('CASE MASTER'!$T$2:$T$495=7)*('CASE MASTER'!$U$2:$U$495&lt;=9)*('CASE MASTER'!$W$2:$W$495&gt;=9)*('CASE MASTER'!$V$2:$V$495&lt;=1)*('CASE MASTER'!$X$2:$X$495&gt;=1))*ROW('CASE MASTER'!$T$2:$T$495))-(ROW('CASE MASTER'!#REF!)-1))),IF(SUMPRODUCT((('CASE MASTER'!$T$2:$T$495=7)*('CASE MASTER'!$AA$2:$AA$495&lt;=9)*('CASE MASTER'!$AC$2:$AC$495&gt;=9)*('CASE MASTER'!$AB$2:$AB$495&lt;=1)*('CASE MASTER'!$AD$2:$AD$495&gt;=1))*ROW('CASE MASTER'!$T$2:$T$495))&gt;0,INDEX('CASE MASTER'!$Y$2:$Y$495,(SUMPRODUCT((('CASE MASTER'!$T$2:$T$495=7)*('CASE MASTER'!$AA$2:$AA$495&lt;=9)*('CASE MASTER'!$AC$2:$AC$495&gt;=9)*('CASE MASTER'!$AB$2:$AB$495&lt;=1)*('CASE MASTER'!$AD$2:$AD$495&gt;=1))*ROW('CASE MASTER'!$T$2:$T$495))-(ROW('CASE MASTER'!#REF!)-1)))&amp;TRIM(MID(SUBSTITUTE(SUBSTITUTE(INDEX('CASE MASTER'!$N$2:$N$495,(SUMPRODUCT((('CASE MASTER'!$T$2:$T$495=7)*('CASE MASTER'!$AA$2:$AA$495&lt;=9)*('CASE MASTER'!$AC$2:$AC$495&gt;=9)*('CASE MASTER'!$AB$2:$AB$495&lt;=1)*('CASE MASTER'!$AD$2:$AD$495&gt;=1))*ROW('CASE MASTER'!$T$2:$T$495))-(ROW('CASE MASTER'!#REF!)-1))),":",","),",",REPT(" ",50)),(((INDEX('CASE MASTER'!$Z$2:$Z$495,(SUMPRODUCT((('CASE MASTER'!$T$2:$T$495=7)*('CASE MASTER'!$AA$2:$AA$495&lt;=9)*('CASE MASTER'!$AC$2:$AC$495&gt;=9)*('CASE MASTER'!$AB$2:$AB$495&lt;=1)*('CASE MASTER'!$AD$2:$AD$495&gt;=1))*ROW('CASE MASTER'!$T$2:$T$495))-(ROW('CASE MASTER'!#REF!)-1)))+((9-INDEX('CASE MASTER'!$AA$2:$AA$495,(SUMPRODUCT((('CASE MASTER'!$T$2:$T$495=7)*('CASE MASTER'!$AA$2:$AA$495&lt;=9)*('CASE MASTER'!$AC$2:$AC$495&gt;=9)*('CASE MASTER'!$AB$2:$AB$495&lt;=1)*('CASE MASTER'!$AD$2:$AD$495&gt;=1))*ROW('CASE MASTER'!$T$2:$T$495))-(ROW('CASE MASTER'!#REF!)-1))))*(INDEX('CASE MASTER'!$AD$2:$AD$495,(SUMPRODUCT((('CASE MASTER'!$T$2:$T$495=7)*('CASE MASTER'!$AA$2:$AA$495&lt;=9)*('CASE MASTER'!$AC$2:$AC$495&gt;=9)*('CASE MASTER'!$AB$2:$AB$495&lt;=1)*('CASE MASTER'!$AD$2:$AD$495&gt;=1))*ROW('CASE MASTER'!$T$2:$T$495))-(ROW('CASE MASTER'!#REF!)-1)))-INDEX('CASE MASTER'!$AB$2:$AB$495,(SUMPRODUCT((('CASE MASTER'!$T$2:$T$495=7)*('CASE MASTER'!$AA$2:$AA$495&lt;=9)*('CASE MASTER'!$AC$2:$AC$495&gt;=9)*('CASE MASTER'!$AB$2:$AB$495&lt;=1)*('CASE MASTER'!$AD$2:$AD$495&gt;=1))*ROW('CASE MASTER'!$T$2:$T$495))-(ROW('CASE MASTER'!#REF!)-1)))+1)+(1-INDEX('CASE MASTER'!$AB$2:$AB$495,(SUMPRODUCT((('CASE MASTER'!$T$2:$T$495=7)*('CASE MASTER'!$AA$2:$AA$495&lt;=9)*('CASE MASTER'!$AC$2:$AC$495&gt;=9)*('CASE MASTER'!$AB$2:$AB$495&lt;=1)*('CASE MASTER'!$AD$2:$AD$495&gt;=1))*ROW('CASE MASTER'!$T$2:$T$495))-(ROW('CASE MASTER'!#REF!)-1))))+1)))-1)*50+1,50))&amp;"_"&amp;INDEX('CASE MASTER'!$Q$2:$Q$495,(SUMPRODUCT((('CASE MASTER'!$T$2:$T$495=7)*('CASE MASTER'!$AA$2:$AA$495&lt;=9)*('CASE MASTER'!$AC$2:$AC$495&gt;=9)*('CASE MASTER'!$AB$2:$AB$495&lt;=1)*('CASE MASTER'!$AD$2:$AD$495&gt;=1))*ROW('CASE MASTER'!$T$2:$T$495))-(ROW('CASE MASTER'!#REF!)-1))),"")),"")</f>
        <v/>
      </c>
      <c r="C95" s="10" t="str">
        <f>IFERROR(IF(SUMPRODUCT((('CASE MASTER'!$T$2:$T$495=7)*('CASE MASTER'!$U$2:$U$495&lt;=9)*('CASE MASTER'!$W$2:$W$495&gt;=9)*('CASE MASTER'!$V$2:$V$495&lt;=2)*('CASE MASTER'!$X$2:$X$495&gt;=2))*ROW('CASE MASTER'!$T$2:$T$495))&gt;0,INDEX('CASE MASTER'!$Y$2:$Y$495,(SUMPRODUCT((('CASE MASTER'!$T$2:$T$495=7)*('CASE MASTER'!$U$2:$U$495&lt;=9)*('CASE MASTER'!$W$2:$W$495&gt;=9)*('CASE MASTER'!$V$2:$V$495&lt;=2)*('CASE MASTER'!$X$2:$X$495&gt;=2))*ROW('CASE MASTER'!$T$2:$T$495))-(ROW('CASE MASTER'!#REF!)-1)))&amp;TRIM(MID(SUBSTITUTE(SUBSTITUTE(INDEX('CASE MASTER'!$N$2:$N$495,(SUMPRODUCT((('CASE MASTER'!$T$2:$T$495=7)*('CASE MASTER'!$U$2:$U$495&lt;=9)*('CASE MASTER'!$W$2:$W$495&gt;=9)*('CASE MASTER'!$V$2:$V$495&lt;=2)*('CASE MASTER'!$X$2:$X$495&gt;=2))*ROW('CASE MASTER'!$T$2:$T$495))-(ROW('CASE MASTER'!#REF!)-1))),":",","),",",REPT(" ",50)),((((9-INDEX('CASE MASTER'!$U$2:$U$495,(SUMPRODUCT((('CASE MASTER'!$T$2:$T$495=7)*('CASE MASTER'!$U$2:$U$495&lt;=9)*('CASE MASTER'!$W$2:$W$495&gt;=9)*('CASE MASTER'!$V$2:$V$495&lt;=2)*('CASE MASTER'!$X$2:$X$495&gt;=2))*ROW('CASE MASTER'!$T$2:$T$495))-(ROW('CASE MASTER'!#REF!)-1))))*(INDEX('CASE MASTER'!$X$2:$X$495,(SUMPRODUCT((('CASE MASTER'!$T$2:$T$495=7)*('CASE MASTER'!$U$2:$U$495&lt;=9)*('CASE MASTER'!$W$2:$W$495&gt;=9)*('CASE MASTER'!$V$2:$V$495&lt;=2)*('CASE MASTER'!$X$2:$X$495&gt;=2))*ROW('CASE MASTER'!$T$2:$T$495))-(ROW('CASE MASTER'!#REF!)-1)))-INDEX('CASE MASTER'!$V$2:$V$495,(SUMPRODUCT((('CASE MASTER'!$T$2:$T$495=7)*('CASE MASTER'!$U$2:$U$495&lt;=9)*('CASE MASTER'!$W$2:$W$495&gt;=9)*('CASE MASTER'!$V$2:$V$495&lt;=2)*('CASE MASTER'!$X$2:$X$495&gt;=2))*ROW('CASE MASTER'!$T$2:$T$495))-(ROW('CASE MASTER'!#REF!)-1)))+1)+(2-INDEX('CASE MASTER'!$V$2:$V$495,(SUMPRODUCT((('CASE MASTER'!$T$2:$T$495=7)*('CASE MASTER'!$U$2:$U$495&lt;=9)*('CASE MASTER'!$W$2:$W$495&gt;=9)*('CASE MASTER'!$V$2:$V$495&lt;=2)*('CASE MASTER'!$X$2:$X$495&gt;=2))*ROW('CASE MASTER'!$T$2:$T$495))-(ROW('CASE MASTER'!#REF!)-1))))+1))-1)*50+1,50))&amp;"_"&amp;INDEX('CASE MASTER'!$Q$2:$Q$495,(SUMPRODUCT((('CASE MASTER'!$T$2:$T$495=7)*('CASE MASTER'!$U$2:$U$495&lt;=9)*('CASE MASTER'!$W$2:$W$495&gt;=9)*('CASE MASTER'!$V$2:$V$495&lt;=2)*('CASE MASTER'!$X$2:$X$495&gt;=2))*ROW('CASE MASTER'!$T$2:$T$495))-(ROW('CASE MASTER'!#REF!)-1))),IF(SUMPRODUCT((('CASE MASTER'!$T$2:$T$495=7)*('CASE MASTER'!$AA$2:$AA$495&lt;=9)*('CASE MASTER'!$AC$2:$AC$495&gt;=9)*('CASE MASTER'!$AB$2:$AB$495&lt;=2)*('CASE MASTER'!$AD$2:$AD$495&gt;=2))*ROW('CASE MASTER'!$T$2:$T$495))&gt;0,INDEX('CASE MASTER'!$Y$2:$Y$495,(SUMPRODUCT((('CASE MASTER'!$T$2:$T$495=7)*('CASE MASTER'!$AA$2:$AA$495&lt;=9)*('CASE MASTER'!$AC$2:$AC$495&gt;=9)*('CASE MASTER'!$AB$2:$AB$495&lt;=2)*('CASE MASTER'!$AD$2:$AD$495&gt;=2))*ROW('CASE MASTER'!$T$2:$T$495))-(ROW('CASE MASTER'!#REF!)-1)))&amp;TRIM(MID(SUBSTITUTE(SUBSTITUTE(INDEX('CASE MASTER'!$N$2:$N$495,(SUMPRODUCT((('CASE MASTER'!$T$2:$T$495=7)*('CASE MASTER'!$AA$2:$AA$495&lt;=9)*('CASE MASTER'!$AC$2:$AC$495&gt;=9)*('CASE MASTER'!$AB$2:$AB$495&lt;=2)*('CASE MASTER'!$AD$2:$AD$495&gt;=2))*ROW('CASE MASTER'!$T$2:$T$495))-(ROW('CASE MASTER'!#REF!)-1))),":",","),",",REPT(" ",50)),(((INDEX('CASE MASTER'!$Z$2:$Z$495,(SUMPRODUCT((('CASE MASTER'!$T$2:$T$495=7)*('CASE MASTER'!$AA$2:$AA$495&lt;=9)*('CASE MASTER'!$AC$2:$AC$495&gt;=9)*('CASE MASTER'!$AB$2:$AB$495&lt;=2)*('CASE MASTER'!$AD$2:$AD$495&gt;=2))*ROW('CASE MASTER'!$T$2:$T$495))-(ROW('CASE MASTER'!#REF!)-1)))+((9-INDEX('CASE MASTER'!$AA$2:$AA$495,(SUMPRODUCT((('CASE MASTER'!$T$2:$T$495=7)*('CASE MASTER'!$AA$2:$AA$495&lt;=9)*('CASE MASTER'!$AC$2:$AC$495&gt;=9)*('CASE MASTER'!$AB$2:$AB$495&lt;=2)*('CASE MASTER'!$AD$2:$AD$495&gt;=2))*ROW('CASE MASTER'!$T$2:$T$495))-(ROW('CASE MASTER'!#REF!)-1))))*(INDEX('CASE MASTER'!$AD$2:$AD$495,(SUMPRODUCT((('CASE MASTER'!$T$2:$T$495=7)*('CASE MASTER'!$AA$2:$AA$495&lt;=9)*('CASE MASTER'!$AC$2:$AC$495&gt;=9)*('CASE MASTER'!$AB$2:$AB$495&lt;=2)*('CASE MASTER'!$AD$2:$AD$495&gt;=2))*ROW('CASE MASTER'!$T$2:$T$495))-(ROW('CASE MASTER'!#REF!)-1)))-INDEX('CASE MASTER'!$AB$2:$AB$495,(SUMPRODUCT((('CASE MASTER'!$T$2:$T$495=7)*('CASE MASTER'!$AA$2:$AA$495&lt;=9)*('CASE MASTER'!$AC$2:$AC$495&gt;=9)*('CASE MASTER'!$AB$2:$AB$495&lt;=2)*('CASE MASTER'!$AD$2:$AD$495&gt;=2))*ROW('CASE MASTER'!$T$2:$T$495))-(ROW('CASE MASTER'!#REF!)-1)))+1)+(2-INDEX('CASE MASTER'!$AB$2:$AB$495,(SUMPRODUCT((('CASE MASTER'!$T$2:$T$495=7)*('CASE MASTER'!$AA$2:$AA$495&lt;=9)*('CASE MASTER'!$AC$2:$AC$495&gt;=9)*('CASE MASTER'!$AB$2:$AB$495&lt;=2)*('CASE MASTER'!$AD$2:$AD$495&gt;=2))*ROW('CASE MASTER'!$T$2:$T$495))-(ROW('CASE MASTER'!#REF!)-1))))+1)))-1)*50+1,50))&amp;"_"&amp;INDEX('CASE MASTER'!$Q$2:$Q$495,(SUMPRODUCT((('CASE MASTER'!$T$2:$T$495=7)*('CASE MASTER'!$AA$2:$AA$495&lt;=9)*('CASE MASTER'!$AC$2:$AC$495&gt;=9)*('CASE MASTER'!$AB$2:$AB$495&lt;=2)*('CASE MASTER'!$AD$2:$AD$495&gt;=2))*ROW('CASE MASTER'!$T$2:$T$495))-(ROW('CASE MASTER'!#REF!)-1))),"")),"")</f>
        <v/>
      </c>
      <c r="D95" s="10" t="str">
        <f>IFERROR(IF(SUMPRODUCT((('CASE MASTER'!$T$2:$T$495=7)*('CASE MASTER'!$U$2:$U$495&lt;=9)*('CASE MASTER'!$W$2:$W$495&gt;=9)*('CASE MASTER'!$V$2:$V$495&lt;=3)*('CASE MASTER'!$X$2:$X$495&gt;=3))*ROW('CASE MASTER'!$T$2:$T$495))&gt;0,INDEX('CASE MASTER'!$Y$2:$Y$495,(SUMPRODUCT((('CASE MASTER'!$T$2:$T$495=7)*('CASE MASTER'!$U$2:$U$495&lt;=9)*('CASE MASTER'!$W$2:$W$495&gt;=9)*('CASE MASTER'!$V$2:$V$495&lt;=3)*('CASE MASTER'!$X$2:$X$495&gt;=3))*ROW('CASE MASTER'!$T$2:$T$495))-(ROW('CASE MASTER'!#REF!)-1)))&amp;TRIM(MID(SUBSTITUTE(SUBSTITUTE(INDEX('CASE MASTER'!$N$2:$N$495,(SUMPRODUCT((('CASE MASTER'!$T$2:$T$495=7)*('CASE MASTER'!$U$2:$U$495&lt;=9)*('CASE MASTER'!$W$2:$W$495&gt;=9)*('CASE MASTER'!$V$2:$V$495&lt;=3)*('CASE MASTER'!$X$2:$X$495&gt;=3))*ROW('CASE MASTER'!$T$2:$T$495))-(ROW('CASE MASTER'!#REF!)-1))),":",","),",",REPT(" ",50)),((((9-INDEX('CASE MASTER'!$U$2:$U$495,(SUMPRODUCT((('CASE MASTER'!$T$2:$T$495=7)*('CASE MASTER'!$U$2:$U$495&lt;=9)*('CASE MASTER'!$W$2:$W$495&gt;=9)*('CASE MASTER'!$V$2:$V$495&lt;=3)*('CASE MASTER'!$X$2:$X$495&gt;=3))*ROW('CASE MASTER'!$T$2:$T$495))-(ROW('CASE MASTER'!#REF!)-1))))*(INDEX('CASE MASTER'!$X$2:$X$495,(SUMPRODUCT((('CASE MASTER'!$T$2:$T$495=7)*('CASE MASTER'!$U$2:$U$495&lt;=9)*('CASE MASTER'!$W$2:$W$495&gt;=9)*('CASE MASTER'!$V$2:$V$495&lt;=3)*('CASE MASTER'!$X$2:$X$495&gt;=3))*ROW('CASE MASTER'!$T$2:$T$495))-(ROW('CASE MASTER'!#REF!)-1)))-INDEX('CASE MASTER'!$V$2:$V$495,(SUMPRODUCT((('CASE MASTER'!$T$2:$T$495=7)*('CASE MASTER'!$U$2:$U$495&lt;=9)*('CASE MASTER'!$W$2:$W$495&gt;=9)*('CASE MASTER'!$V$2:$V$495&lt;=3)*('CASE MASTER'!$X$2:$X$495&gt;=3))*ROW('CASE MASTER'!$T$2:$T$495))-(ROW('CASE MASTER'!#REF!)-1)))+1)+(3-INDEX('CASE MASTER'!$V$2:$V$495,(SUMPRODUCT((('CASE MASTER'!$T$2:$T$495=7)*('CASE MASTER'!$U$2:$U$495&lt;=9)*('CASE MASTER'!$W$2:$W$495&gt;=9)*('CASE MASTER'!$V$2:$V$495&lt;=3)*('CASE MASTER'!$X$2:$X$495&gt;=3))*ROW('CASE MASTER'!$T$2:$T$495))-(ROW('CASE MASTER'!#REF!)-1))))+1))-1)*50+1,50))&amp;"_"&amp;INDEX('CASE MASTER'!$Q$2:$Q$495,(SUMPRODUCT((('CASE MASTER'!$T$2:$T$495=7)*('CASE MASTER'!$U$2:$U$495&lt;=9)*('CASE MASTER'!$W$2:$W$495&gt;=9)*('CASE MASTER'!$V$2:$V$495&lt;=3)*('CASE MASTER'!$X$2:$X$495&gt;=3))*ROW('CASE MASTER'!$T$2:$T$495))-(ROW('CASE MASTER'!#REF!)-1))),IF(SUMPRODUCT((('CASE MASTER'!$T$2:$T$495=7)*('CASE MASTER'!$AA$2:$AA$495&lt;=9)*('CASE MASTER'!$AC$2:$AC$495&gt;=9)*('CASE MASTER'!$AB$2:$AB$495&lt;=3)*('CASE MASTER'!$AD$2:$AD$495&gt;=3))*ROW('CASE MASTER'!$T$2:$T$495))&gt;0,INDEX('CASE MASTER'!$Y$2:$Y$495,(SUMPRODUCT((('CASE MASTER'!$T$2:$T$495=7)*('CASE MASTER'!$AA$2:$AA$495&lt;=9)*('CASE MASTER'!$AC$2:$AC$495&gt;=9)*('CASE MASTER'!$AB$2:$AB$495&lt;=3)*('CASE MASTER'!$AD$2:$AD$495&gt;=3))*ROW('CASE MASTER'!$T$2:$T$495))-(ROW('CASE MASTER'!#REF!)-1)))&amp;TRIM(MID(SUBSTITUTE(SUBSTITUTE(INDEX('CASE MASTER'!$N$2:$N$495,(SUMPRODUCT((('CASE MASTER'!$T$2:$T$495=7)*('CASE MASTER'!$AA$2:$AA$495&lt;=9)*('CASE MASTER'!$AC$2:$AC$495&gt;=9)*('CASE MASTER'!$AB$2:$AB$495&lt;=3)*('CASE MASTER'!$AD$2:$AD$495&gt;=3))*ROW('CASE MASTER'!$T$2:$T$495))-(ROW('CASE MASTER'!#REF!)-1))),":",","),",",REPT(" ",50)),(((INDEX('CASE MASTER'!$Z$2:$Z$495,(SUMPRODUCT((('CASE MASTER'!$T$2:$T$495=7)*('CASE MASTER'!$AA$2:$AA$495&lt;=9)*('CASE MASTER'!$AC$2:$AC$495&gt;=9)*('CASE MASTER'!$AB$2:$AB$495&lt;=3)*('CASE MASTER'!$AD$2:$AD$495&gt;=3))*ROW('CASE MASTER'!$T$2:$T$495))-(ROW('CASE MASTER'!#REF!)-1)))+((9-INDEX('CASE MASTER'!$AA$2:$AA$495,(SUMPRODUCT((('CASE MASTER'!$T$2:$T$495=7)*('CASE MASTER'!$AA$2:$AA$495&lt;=9)*('CASE MASTER'!$AC$2:$AC$495&gt;=9)*('CASE MASTER'!$AB$2:$AB$495&lt;=3)*('CASE MASTER'!$AD$2:$AD$495&gt;=3))*ROW('CASE MASTER'!$T$2:$T$495))-(ROW('CASE MASTER'!#REF!)-1))))*(INDEX('CASE MASTER'!$AD$2:$AD$495,(SUMPRODUCT((('CASE MASTER'!$T$2:$T$495=7)*('CASE MASTER'!$AA$2:$AA$495&lt;=9)*('CASE MASTER'!$AC$2:$AC$495&gt;=9)*('CASE MASTER'!$AB$2:$AB$495&lt;=3)*('CASE MASTER'!$AD$2:$AD$495&gt;=3))*ROW('CASE MASTER'!$T$2:$T$495))-(ROW('CASE MASTER'!#REF!)-1)))-INDEX('CASE MASTER'!$AB$2:$AB$495,(SUMPRODUCT((('CASE MASTER'!$T$2:$T$495=7)*('CASE MASTER'!$AA$2:$AA$495&lt;=9)*('CASE MASTER'!$AC$2:$AC$495&gt;=9)*('CASE MASTER'!$AB$2:$AB$495&lt;=3)*('CASE MASTER'!$AD$2:$AD$495&gt;=3))*ROW('CASE MASTER'!$T$2:$T$495))-(ROW('CASE MASTER'!#REF!)-1)))+1)+(3-INDEX('CASE MASTER'!$AB$2:$AB$495,(SUMPRODUCT((('CASE MASTER'!$T$2:$T$495=7)*('CASE MASTER'!$AA$2:$AA$495&lt;=9)*('CASE MASTER'!$AC$2:$AC$495&gt;=9)*('CASE MASTER'!$AB$2:$AB$495&lt;=3)*('CASE MASTER'!$AD$2:$AD$495&gt;=3))*ROW('CASE MASTER'!$T$2:$T$495))-(ROW('CASE MASTER'!#REF!)-1))))+1)))-1)*50+1,50))&amp;"_"&amp;INDEX('CASE MASTER'!$Q$2:$Q$495,(SUMPRODUCT((('CASE MASTER'!$T$2:$T$495=7)*('CASE MASTER'!$AA$2:$AA$495&lt;=9)*('CASE MASTER'!$AC$2:$AC$495&gt;=9)*('CASE MASTER'!$AB$2:$AB$495&lt;=3)*('CASE MASTER'!$AD$2:$AD$495&gt;=3))*ROW('CASE MASTER'!$T$2:$T$495))-(ROW('CASE MASTER'!#REF!)-1))),"")),"")</f>
        <v/>
      </c>
      <c r="E95" s="10" t="str">
        <f>IFERROR(IF(SUMPRODUCT((('CASE MASTER'!$T$2:$T$495=7)*('CASE MASTER'!$U$2:$U$495&lt;=9)*('CASE MASTER'!$W$2:$W$495&gt;=9)*('CASE MASTER'!$V$2:$V$495&lt;=4)*('CASE MASTER'!$X$2:$X$495&gt;=4))*ROW('CASE MASTER'!$T$2:$T$495))&gt;0,INDEX('CASE MASTER'!$Y$2:$Y$495,(SUMPRODUCT((('CASE MASTER'!$T$2:$T$495=7)*('CASE MASTER'!$U$2:$U$495&lt;=9)*('CASE MASTER'!$W$2:$W$495&gt;=9)*('CASE MASTER'!$V$2:$V$495&lt;=4)*('CASE MASTER'!$X$2:$X$495&gt;=4))*ROW('CASE MASTER'!$T$2:$T$495))-(ROW('CASE MASTER'!#REF!)-1)))&amp;TRIM(MID(SUBSTITUTE(SUBSTITUTE(INDEX('CASE MASTER'!$N$2:$N$495,(SUMPRODUCT((('CASE MASTER'!$T$2:$T$495=7)*('CASE MASTER'!$U$2:$U$495&lt;=9)*('CASE MASTER'!$W$2:$W$495&gt;=9)*('CASE MASTER'!$V$2:$V$495&lt;=4)*('CASE MASTER'!$X$2:$X$495&gt;=4))*ROW('CASE MASTER'!$T$2:$T$495))-(ROW('CASE MASTER'!#REF!)-1))),":",","),",",REPT(" ",50)),((((9-INDEX('CASE MASTER'!$U$2:$U$495,(SUMPRODUCT((('CASE MASTER'!$T$2:$T$495=7)*('CASE MASTER'!$U$2:$U$495&lt;=9)*('CASE MASTER'!$W$2:$W$495&gt;=9)*('CASE MASTER'!$V$2:$V$495&lt;=4)*('CASE MASTER'!$X$2:$X$495&gt;=4))*ROW('CASE MASTER'!$T$2:$T$495))-(ROW('CASE MASTER'!#REF!)-1))))*(INDEX('CASE MASTER'!$X$2:$X$495,(SUMPRODUCT((('CASE MASTER'!$T$2:$T$495=7)*('CASE MASTER'!$U$2:$U$495&lt;=9)*('CASE MASTER'!$W$2:$W$495&gt;=9)*('CASE MASTER'!$V$2:$V$495&lt;=4)*('CASE MASTER'!$X$2:$X$495&gt;=4))*ROW('CASE MASTER'!$T$2:$T$495))-(ROW('CASE MASTER'!#REF!)-1)))-INDEX('CASE MASTER'!$V$2:$V$495,(SUMPRODUCT((('CASE MASTER'!$T$2:$T$495=7)*('CASE MASTER'!$U$2:$U$495&lt;=9)*('CASE MASTER'!$W$2:$W$495&gt;=9)*('CASE MASTER'!$V$2:$V$495&lt;=4)*('CASE MASTER'!$X$2:$X$495&gt;=4))*ROW('CASE MASTER'!$T$2:$T$495))-(ROW('CASE MASTER'!#REF!)-1)))+1)+(4-INDEX('CASE MASTER'!$V$2:$V$495,(SUMPRODUCT((('CASE MASTER'!$T$2:$T$495=7)*('CASE MASTER'!$U$2:$U$495&lt;=9)*('CASE MASTER'!$W$2:$W$495&gt;=9)*('CASE MASTER'!$V$2:$V$495&lt;=4)*('CASE MASTER'!$X$2:$X$495&gt;=4))*ROW('CASE MASTER'!$T$2:$T$495))-(ROW('CASE MASTER'!#REF!)-1))))+1))-1)*50+1,50))&amp;"_"&amp;INDEX('CASE MASTER'!$Q$2:$Q$495,(SUMPRODUCT((('CASE MASTER'!$T$2:$T$495=7)*('CASE MASTER'!$U$2:$U$495&lt;=9)*('CASE MASTER'!$W$2:$W$495&gt;=9)*('CASE MASTER'!$V$2:$V$495&lt;=4)*('CASE MASTER'!$X$2:$X$495&gt;=4))*ROW('CASE MASTER'!$T$2:$T$495))-(ROW('CASE MASTER'!#REF!)-1))),IF(SUMPRODUCT((('CASE MASTER'!$T$2:$T$495=7)*('CASE MASTER'!$AA$2:$AA$495&lt;=9)*('CASE MASTER'!$AC$2:$AC$495&gt;=9)*('CASE MASTER'!$AB$2:$AB$495&lt;=4)*('CASE MASTER'!$AD$2:$AD$495&gt;=4))*ROW('CASE MASTER'!$T$2:$T$495))&gt;0,INDEX('CASE MASTER'!$Y$2:$Y$495,(SUMPRODUCT((('CASE MASTER'!$T$2:$T$495=7)*('CASE MASTER'!$AA$2:$AA$495&lt;=9)*('CASE MASTER'!$AC$2:$AC$495&gt;=9)*('CASE MASTER'!$AB$2:$AB$495&lt;=4)*('CASE MASTER'!$AD$2:$AD$495&gt;=4))*ROW('CASE MASTER'!$T$2:$T$495))-(ROW('CASE MASTER'!#REF!)-1)))&amp;TRIM(MID(SUBSTITUTE(SUBSTITUTE(INDEX('CASE MASTER'!$N$2:$N$495,(SUMPRODUCT((('CASE MASTER'!$T$2:$T$495=7)*('CASE MASTER'!$AA$2:$AA$495&lt;=9)*('CASE MASTER'!$AC$2:$AC$495&gt;=9)*('CASE MASTER'!$AB$2:$AB$495&lt;=4)*('CASE MASTER'!$AD$2:$AD$495&gt;=4))*ROW('CASE MASTER'!$T$2:$T$495))-(ROW('CASE MASTER'!#REF!)-1))),":",","),",",REPT(" ",50)),(((INDEX('CASE MASTER'!$Z$2:$Z$495,(SUMPRODUCT((('CASE MASTER'!$T$2:$T$495=7)*('CASE MASTER'!$AA$2:$AA$495&lt;=9)*('CASE MASTER'!$AC$2:$AC$495&gt;=9)*('CASE MASTER'!$AB$2:$AB$495&lt;=4)*('CASE MASTER'!$AD$2:$AD$495&gt;=4))*ROW('CASE MASTER'!$T$2:$T$495))-(ROW('CASE MASTER'!#REF!)-1)))+((9-INDEX('CASE MASTER'!$AA$2:$AA$495,(SUMPRODUCT((('CASE MASTER'!$T$2:$T$495=7)*('CASE MASTER'!$AA$2:$AA$495&lt;=9)*('CASE MASTER'!$AC$2:$AC$495&gt;=9)*('CASE MASTER'!$AB$2:$AB$495&lt;=4)*('CASE MASTER'!$AD$2:$AD$495&gt;=4))*ROW('CASE MASTER'!$T$2:$T$495))-(ROW('CASE MASTER'!#REF!)-1))))*(INDEX('CASE MASTER'!$AD$2:$AD$495,(SUMPRODUCT((('CASE MASTER'!$T$2:$T$495=7)*('CASE MASTER'!$AA$2:$AA$495&lt;=9)*('CASE MASTER'!$AC$2:$AC$495&gt;=9)*('CASE MASTER'!$AB$2:$AB$495&lt;=4)*('CASE MASTER'!$AD$2:$AD$495&gt;=4))*ROW('CASE MASTER'!$T$2:$T$495))-(ROW('CASE MASTER'!#REF!)-1)))-INDEX('CASE MASTER'!$AB$2:$AB$495,(SUMPRODUCT((('CASE MASTER'!$T$2:$T$495=7)*('CASE MASTER'!$AA$2:$AA$495&lt;=9)*('CASE MASTER'!$AC$2:$AC$495&gt;=9)*('CASE MASTER'!$AB$2:$AB$495&lt;=4)*('CASE MASTER'!$AD$2:$AD$495&gt;=4))*ROW('CASE MASTER'!$T$2:$T$495))-(ROW('CASE MASTER'!#REF!)-1)))+1)+(4-INDEX('CASE MASTER'!$AB$2:$AB$495,(SUMPRODUCT((('CASE MASTER'!$T$2:$T$495=7)*('CASE MASTER'!$AA$2:$AA$495&lt;=9)*('CASE MASTER'!$AC$2:$AC$495&gt;=9)*('CASE MASTER'!$AB$2:$AB$495&lt;=4)*('CASE MASTER'!$AD$2:$AD$495&gt;=4))*ROW('CASE MASTER'!$T$2:$T$495))-(ROW('CASE MASTER'!#REF!)-1))))+1)))-1)*50+1,50))&amp;"_"&amp;INDEX('CASE MASTER'!$Q$2:$Q$495,(SUMPRODUCT((('CASE MASTER'!$T$2:$T$495=7)*('CASE MASTER'!$AA$2:$AA$495&lt;=9)*('CASE MASTER'!$AC$2:$AC$495&gt;=9)*('CASE MASTER'!$AB$2:$AB$495&lt;=4)*('CASE MASTER'!$AD$2:$AD$495&gt;=4))*ROW('CASE MASTER'!$T$2:$T$495))-(ROW('CASE MASTER'!#REF!)-1))),"")),"")</f>
        <v/>
      </c>
      <c r="F95" s="10" t="str">
        <f>IFERROR(IF(SUMPRODUCT((('CASE MASTER'!$T$2:$T$495=7)*('CASE MASTER'!$U$2:$U$495&lt;=9)*('CASE MASTER'!$W$2:$W$495&gt;=9)*('CASE MASTER'!$V$2:$V$495&lt;=5)*('CASE MASTER'!$X$2:$X$495&gt;=5))*ROW('CASE MASTER'!$T$2:$T$495))&gt;0,INDEX('CASE MASTER'!$Y$2:$Y$495,(SUMPRODUCT((('CASE MASTER'!$T$2:$T$495=7)*('CASE MASTER'!$U$2:$U$495&lt;=9)*('CASE MASTER'!$W$2:$W$495&gt;=9)*('CASE MASTER'!$V$2:$V$495&lt;=5)*('CASE MASTER'!$X$2:$X$495&gt;=5))*ROW('CASE MASTER'!$T$2:$T$495))-(ROW('CASE MASTER'!#REF!)-1)))&amp;TRIM(MID(SUBSTITUTE(SUBSTITUTE(INDEX('CASE MASTER'!$N$2:$N$495,(SUMPRODUCT((('CASE MASTER'!$T$2:$T$495=7)*('CASE MASTER'!$U$2:$U$495&lt;=9)*('CASE MASTER'!$W$2:$W$495&gt;=9)*('CASE MASTER'!$V$2:$V$495&lt;=5)*('CASE MASTER'!$X$2:$X$495&gt;=5))*ROW('CASE MASTER'!$T$2:$T$495))-(ROW('CASE MASTER'!#REF!)-1))),":",","),",",REPT(" ",50)),((((9-INDEX('CASE MASTER'!$U$2:$U$495,(SUMPRODUCT((('CASE MASTER'!$T$2:$T$495=7)*('CASE MASTER'!$U$2:$U$495&lt;=9)*('CASE MASTER'!$W$2:$W$495&gt;=9)*('CASE MASTER'!$V$2:$V$495&lt;=5)*('CASE MASTER'!$X$2:$X$495&gt;=5))*ROW('CASE MASTER'!$T$2:$T$495))-(ROW('CASE MASTER'!#REF!)-1))))*(INDEX('CASE MASTER'!$X$2:$X$495,(SUMPRODUCT((('CASE MASTER'!$T$2:$T$495=7)*('CASE MASTER'!$U$2:$U$495&lt;=9)*('CASE MASTER'!$W$2:$W$495&gt;=9)*('CASE MASTER'!$V$2:$V$495&lt;=5)*('CASE MASTER'!$X$2:$X$495&gt;=5))*ROW('CASE MASTER'!$T$2:$T$495))-(ROW('CASE MASTER'!#REF!)-1)))-INDEX('CASE MASTER'!$V$2:$V$495,(SUMPRODUCT((('CASE MASTER'!$T$2:$T$495=7)*('CASE MASTER'!$U$2:$U$495&lt;=9)*('CASE MASTER'!$W$2:$W$495&gt;=9)*('CASE MASTER'!$V$2:$V$495&lt;=5)*('CASE MASTER'!$X$2:$X$495&gt;=5))*ROW('CASE MASTER'!$T$2:$T$495))-(ROW('CASE MASTER'!#REF!)-1)))+1)+(5-INDEX('CASE MASTER'!$V$2:$V$495,(SUMPRODUCT((('CASE MASTER'!$T$2:$T$495=7)*('CASE MASTER'!$U$2:$U$495&lt;=9)*('CASE MASTER'!$W$2:$W$495&gt;=9)*('CASE MASTER'!$V$2:$V$495&lt;=5)*('CASE MASTER'!$X$2:$X$495&gt;=5))*ROW('CASE MASTER'!$T$2:$T$495))-(ROW('CASE MASTER'!#REF!)-1))))+1))-1)*50+1,50))&amp;"_"&amp;INDEX('CASE MASTER'!$Q$2:$Q$495,(SUMPRODUCT((('CASE MASTER'!$T$2:$T$495=7)*('CASE MASTER'!$U$2:$U$495&lt;=9)*('CASE MASTER'!$W$2:$W$495&gt;=9)*('CASE MASTER'!$V$2:$V$495&lt;=5)*('CASE MASTER'!$X$2:$X$495&gt;=5))*ROW('CASE MASTER'!$T$2:$T$495))-(ROW('CASE MASTER'!#REF!)-1))),IF(SUMPRODUCT((('CASE MASTER'!$T$2:$T$495=7)*('CASE MASTER'!$AA$2:$AA$495&lt;=9)*('CASE MASTER'!$AC$2:$AC$495&gt;=9)*('CASE MASTER'!$AB$2:$AB$495&lt;=5)*('CASE MASTER'!$AD$2:$AD$495&gt;=5))*ROW('CASE MASTER'!$T$2:$T$495))&gt;0,INDEX('CASE MASTER'!$Y$2:$Y$495,(SUMPRODUCT((('CASE MASTER'!$T$2:$T$495=7)*('CASE MASTER'!$AA$2:$AA$495&lt;=9)*('CASE MASTER'!$AC$2:$AC$495&gt;=9)*('CASE MASTER'!$AB$2:$AB$495&lt;=5)*('CASE MASTER'!$AD$2:$AD$495&gt;=5))*ROW('CASE MASTER'!$T$2:$T$495))-(ROW('CASE MASTER'!#REF!)-1)))&amp;TRIM(MID(SUBSTITUTE(SUBSTITUTE(INDEX('CASE MASTER'!$N$2:$N$495,(SUMPRODUCT((('CASE MASTER'!$T$2:$T$495=7)*('CASE MASTER'!$AA$2:$AA$495&lt;=9)*('CASE MASTER'!$AC$2:$AC$495&gt;=9)*('CASE MASTER'!$AB$2:$AB$495&lt;=5)*('CASE MASTER'!$AD$2:$AD$495&gt;=5))*ROW('CASE MASTER'!$T$2:$T$495))-(ROW('CASE MASTER'!#REF!)-1))),":",","),",",REPT(" ",50)),(((INDEX('CASE MASTER'!$Z$2:$Z$495,(SUMPRODUCT((('CASE MASTER'!$T$2:$T$495=7)*('CASE MASTER'!$AA$2:$AA$495&lt;=9)*('CASE MASTER'!$AC$2:$AC$495&gt;=9)*('CASE MASTER'!$AB$2:$AB$495&lt;=5)*('CASE MASTER'!$AD$2:$AD$495&gt;=5))*ROW('CASE MASTER'!$T$2:$T$495))-(ROW('CASE MASTER'!#REF!)-1)))+((9-INDEX('CASE MASTER'!$AA$2:$AA$495,(SUMPRODUCT((('CASE MASTER'!$T$2:$T$495=7)*('CASE MASTER'!$AA$2:$AA$495&lt;=9)*('CASE MASTER'!$AC$2:$AC$495&gt;=9)*('CASE MASTER'!$AB$2:$AB$495&lt;=5)*('CASE MASTER'!$AD$2:$AD$495&gt;=5))*ROW('CASE MASTER'!$T$2:$T$495))-(ROW('CASE MASTER'!#REF!)-1))))*(INDEX('CASE MASTER'!$AD$2:$AD$495,(SUMPRODUCT((('CASE MASTER'!$T$2:$T$495=7)*('CASE MASTER'!$AA$2:$AA$495&lt;=9)*('CASE MASTER'!$AC$2:$AC$495&gt;=9)*('CASE MASTER'!$AB$2:$AB$495&lt;=5)*('CASE MASTER'!$AD$2:$AD$495&gt;=5))*ROW('CASE MASTER'!$T$2:$T$495))-(ROW('CASE MASTER'!#REF!)-1)))-INDEX('CASE MASTER'!$AB$2:$AB$495,(SUMPRODUCT((('CASE MASTER'!$T$2:$T$495=7)*('CASE MASTER'!$AA$2:$AA$495&lt;=9)*('CASE MASTER'!$AC$2:$AC$495&gt;=9)*('CASE MASTER'!$AB$2:$AB$495&lt;=5)*('CASE MASTER'!$AD$2:$AD$495&gt;=5))*ROW('CASE MASTER'!$T$2:$T$495))-(ROW('CASE MASTER'!#REF!)-1)))+1)+(5-INDEX('CASE MASTER'!$AB$2:$AB$495,(SUMPRODUCT((('CASE MASTER'!$T$2:$T$495=7)*('CASE MASTER'!$AA$2:$AA$495&lt;=9)*('CASE MASTER'!$AC$2:$AC$495&gt;=9)*('CASE MASTER'!$AB$2:$AB$495&lt;=5)*('CASE MASTER'!$AD$2:$AD$495&gt;=5))*ROW('CASE MASTER'!$T$2:$T$495))-(ROW('CASE MASTER'!#REF!)-1))))+1)))-1)*50+1,50))&amp;"_"&amp;INDEX('CASE MASTER'!$Q$2:$Q$495,(SUMPRODUCT((('CASE MASTER'!$T$2:$T$495=7)*('CASE MASTER'!$AA$2:$AA$495&lt;=9)*('CASE MASTER'!$AC$2:$AC$495&gt;=9)*('CASE MASTER'!$AB$2:$AB$495&lt;=5)*('CASE MASTER'!$AD$2:$AD$495&gt;=5))*ROW('CASE MASTER'!$T$2:$T$495))-(ROW('CASE MASTER'!#REF!)-1))),"")),"")</f>
        <v/>
      </c>
      <c r="G95" s="10" t="str">
        <f>IFERROR(IF(SUMPRODUCT((('CASE MASTER'!$T$2:$T$495=7)*('CASE MASTER'!$U$2:$U$495&lt;=9)*('CASE MASTER'!$W$2:$W$495&gt;=9)*('CASE MASTER'!$V$2:$V$495&lt;=6)*('CASE MASTER'!$X$2:$X$495&gt;=6))*ROW('CASE MASTER'!$T$2:$T$495))&gt;0,INDEX('CASE MASTER'!$Y$2:$Y$495,(SUMPRODUCT((('CASE MASTER'!$T$2:$T$495=7)*('CASE MASTER'!$U$2:$U$495&lt;=9)*('CASE MASTER'!$W$2:$W$495&gt;=9)*('CASE MASTER'!$V$2:$V$495&lt;=6)*('CASE MASTER'!$X$2:$X$495&gt;=6))*ROW('CASE MASTER'!$T$2:$T$495))-(ROW('CASE MASTER'!#REF!)-1)))&amp;TRIM(MID(SUBSTITUTE(SUBSTITUTE(INDEX('CASE MASTER'!$N$2:$N$495,(SUMPRODUCT((('CASE MASTER'!$T$2:$T$495=7)*('CASE MASTER'!$U$2:$U$495&lt;=9)*('CASE MASTER'!$W$2:$W$495&gt;=9)*('CASE MASTER'!$V$2:$V$495&lt;=6)*('CASE MASTER'!$X$2:$X$495&gt;=6))*ROW('CASE MASTER'!$T$2:$T$495))-(ROW('CASE MASTER'!#REF!)-1))),":",","),",",REPT(" ",50)),((((9-INDEX('CASE MASTER'!$U$2:$U$495,(SUMPRODUCT((('CASE MASTER'!$T$2:$T$495=7)*('CASE MASTER'!$U$2:$U$495&lt;=9)*('CASE MASTER'!$W$2:$W$495&gt;=9)*('CASE MASTER'!$V$2:$V$495&lt;=6)*('CASE MASTER'!$X$2:$X$495&gt;=6))*ROW('CASE MASTER'!$T$2:$T$495))-(ROW('CASE MASTER'!#REF!)-1))))*(INDEX('CASE MASTER'!$X$2:$X$495,(SUMPRODUCT((('CASE MASTER'!$T$2:$T$495=7)*('CASE MASTER'!$U$2:$U$495&lt;=9)*('CASE MASTER'!$W$2:$W$495&gt;=9)*('CASE MASTER'!$V$2:$V$495&lt;=6)*('CASE MASTER'!$X$2:$X$495&gt;=6))*ROW('CASE MASTER'!$T$2:$T$495))-(ROW('CASE MASTER'!#REF!)-1)))-INDEX('CASE MASTER'!$V$2:$V$495,(SUMPRODUCT((('CASE MASTER'!$T$2:$T$495=7)*('CASE MASTER'!$U$2:$U$495&lt;=9)*('CASE MASTER'!$W$2:$W$495&gt;=9)*('CASE MASTER'!$V$2:$V$495&lt;=6)*('CASE MASTER'!$X$2:$X$495&gt;=6))*ROW('CASE MASTER'!$T$2:$T$495))-(ROW('CASE MASTER'!#REF!)-1)))+1)+(6-INDEX('CASE MASTER'!$V$2:$V$495,(SUMPRODUCT((('CASE MASTER'!$T$2:$T$495=7)*('CASE MASTER'!$U$2:$U$495&lt;=9)*('CASE MASTER'!$W$2:$W$495&gt;=9)*('CASE MASTER'!$V$2:$V$495&lt;=6)*('CASE MASTER'!$X$2:$X$495&gt;=6))*ROW('CASE MASTER'!$T$2:$T$495))-(ROW('CASE MASTER'!#REF!)-1))))+1))-1)*50+1,50))&amp;"_"&amp;INDEX('CASE MASTER'!$Q$2:$Q$495,(SUMPRODUCT((('CASE MASTER'!$T$2:$T$495=7)*('CASE MASTER'!$U$2:$U$495&lt;=9)*('CASE MASTER'!$W$2:$W$495&gt;=9)*('CASE MASTER'!$V$2:$V$495&lt;=6)*('CASE MASTER'!$X$2:$X$495&gt;=6))*ROW('CASE MASTER'!$T$2:$T$495))-(ROW('CASE MASTER'!#REF!)-1))),IF(SUMPRODUCT((('CASE MASTER'!$T$2:$T$495=7)*('CASE MASTER'!$AA$2:$AA$495&lt;=9)*('CASE MASTER'!$AC$2:$AC$495&gt;=9)*('CASE MASTER'!$AB$2:$AB$495&lt;=6)*('CASE MASTER'!$AD$2:$AD$495&gt;=6))*ROW('CASE MASTER'!$T$2:$T$495))&gt;0,INDEX('CASE MASTER'!$Y$2:$Y$495,(SUMPRODUCT((('CASE MASTER'!$T$2:$T$495=7)*('CASE MASTER'!$AA$2:$AA$495&lt;=9)*('CASE MASTER'!$AC$2:$AC$495&gt;=9)*('CASE MASTER'!$AB$2:$AB$495&lt;=6)*('CASE MASTER'!$AD$2:$AD$495&gt;=6))*ROW('CASE MASTER'!$T$2:$T$495))-(ROW('CASE MASTER'!#REF!)-1)))&amp;TRIM(MID(SUBSTITUTE(SUBSTITUTE(INDEX('CASE MASTER'!$N$2:$N$495,(SUMPRODUCT((('CASE MASTER'!$T$2:$T$495=7)*('CASE MASTER'!$AA$2:$AA$495&lt;=9)*('CASE MASTER'!$AC$2:$AC$495&gt;=9)*('CASE MASTER'!$AB$2:$AB$495&lt;=6)*('CASE MASTER'!$AD$2:$AD$495&gt;=6))*ROW('CASE MASTER'!$T$2:$T$495))-(ROW('CASE MASTER'!#REF!)-1))),":",","),",",REPT(" ",50)),(((INDEX('CASE MASTER'!$Z$2:$Z$495,(SUMPRODUCT((('CASE MASTER'!$T$2:$T$495=7)*('CASE MASTER'!$AA$2:$AA$495&lt;=9)*('CASE MASTER'!$AC$2:$AC$495&gt;=9)*('CASE MASTER'!$AB$2:$AB$495&lt;=6)*('CASE MASTER'!$AD$2:$AD$495&gt;=6))*ROW('CASE MASTER'!$T$2:$T$495))-(ROW('CASE MASTER'!#REF!)-1)))+((9-INDEX('CASE MASTER'!$AA$2:$AA$495,(SUMPRODUCT((('CASE MASTER'!$T$2:$T$495=7)*('CASE MASTER'!$AA$2:$AA$495&lt;=9)*('CASE MASTER'!$AC$2:$AC$495&gt;=9)*('CASE MASTER'!$AB$2:$AB$495&lt;=6)*('CASE MASTER'!$AD$2:$AD$495&gt;=6))*ROW('CASE MASTER'!$T$2:$T$495))-(ROW('CASE MASTER'!#REF!)-1))))*(INDEX('CASE MASTER'!$AD$2:$AD$495,(SUMPRODUCT((('CASE MASTER'!$T$2:$T$495=7)*('CASE MASTER'!$AA$2:$AA$495&lt;=9)*('CASE MASTER'!$AC$2:$AC$495&gt;=9)*('CASE MASTER'!$AB$2:$AB$495&lt;=6)*('CASE MASTER'!$AD$2:$AD$495&gt;=6))*ROW('CASE MASTER'!$T$2:$T$495))-(ROW('CASE MASTER'!#REF!)-1)))-INDEX('CASE MASTER'!$AB$2:$AB$495,(SUMPRODUCT((('CASE MASTER'!$T$2:$T$495=7)*('CASE MASTER'!$AA$2:$AA$495&lt;=9)*('CASE MASTER'!$AC$2:$AC$495&gt;=9)*('CASE MASTER'!$AB$2:$AB$495&lt;=6)*('CASE MASTER'!$AD$2:$AD$495&gt;=6))*ROW('CASE MASTER'!$T$2:$T$495))-(ROW('CASE MASTER'!#REF!)-1)))+1)+(6-INDEX('CASE MASTER'!$AB$2:$AB$495,(SUMPRODUCT((('CASE MASTER'!$T$2:$T$495=7)*('CASE MASTER'!$AA$2:$AA$495&lt;=9)*('CASE MASTER'!$AC$2:$AC$495&gt;=9)*('CASE MASTER'!$AB$2:$AB$495&lt;=6)*('CASE MASTER'!$AD$2:$AD$495&gt;=6))*ROW('CASE MASTER'!$T$2:$T$495))-(ROW('CASE MASTER'!#REF!)-1))))+1)))-1)*50+1,50))&amp;"_"&amp;INDEX('CASE MASTER'!$Q$2:$Q$495,(SUMPRODUCT((('CASE MASTER'!$T$2:$T$495=7)*('CASE MASTER'!$AA$2:$AA$495&lt;=9)*('CASE MASTER'!$AC$2:$AC$495&gt;=9)*('CASE MASTER'!$AB$2:$AB$495&lt;=6)*('CASE MASTER'!$AD$2:$AD$495&gt;=6))*ROW('CASE MASTER'!$T$2:$T$495))-(ROW('CASE MASTER'!#REF!)-1))),"")),"")</f>
        <v/>
      </c>
      <c r="H95" s="10" t="str">
        <f>IFERROR(IF(SUMPRODUCT((('CASE MASTER'!$T$2:$T$495=7)*('CASE MASTER'!$U$2:$U$495&lt;=9)*('CASE MASTER'!$W$2:$W$495&gt;=9)*('CASE MASTER'!$V$2:$V$495&lt;=7)*('CASE MASTER'!$X$2:$X$495&gt;=7))*ROW('CASE MASTER'!$T$2:$T$495))&gt;0,INDEX('CASE MASTER'!$Y$2:$Y$495,(SUMPRODUCT((('CASE MASTER'!$T$2:$T$495=7)*('CASE MASTER'!$U$2:$U$495&lt;=9)*('CASE MASTER'!$W$2:$W$495&gt;=9)*('CASE MASTER'!$V$2:$V$495&lt;=7)*('CASE MASTER'!$X$2:$X$495&gt;=7))*ROW('CASE MASTER'!$T$2:$T$495))-(ROW('CASE MASTER'!#REF!)-1)))&amp;TRIM(MID(SUBSTITUTE(SUBSTITUTE(INDEX('CASE MASTER'!$N$2:$N$495,(SUMPRODUCT((('CASE MASTER'!$T$2:$T$495=7)*('CASE MASTER'!$U$2:$U$495&lt;=9)*('CASE MASTER'!$W$2:$W$495&gt;=9)*('CASE MASTER'!$V$2:$V$495&lt;=7)*('CASE MASTER'!$X$2:$X$495&gt;=7))*ROW('CASE MASTER'!$T$2:$T$495))-(ROW('CASE MASTER'!#REF!)-1))),":",","),",",REPT(" ",50)),((((9-INDEX('CASE MASTER'!$U$2:$U$495,(SUMPRODUCT((('CASE MASTER'!$T$2:$T$495=7)*('CASE MASTER'!$U$2:$U$495&lt;=9)*('CASE MASTER'!$W$2:$W$495&gt;=9)*('CASE MASTER'!$V$2:$V$495&lt;=7)*('CASE MASTER'!$X$2:$X$495&gt;=7))*ROW('CASE MASTER'!$T$2:$T$495))-(ROW('CASE MASTER'!#REF!)-1))))*(INDEX('CASE MASTER'!$X$2:$X$495,(SUMPRODUCT((('CASE MASTER'!$T$2:$T$495=7)*('CASE MASTER'!$U$2:$U$495&lt;=9)*('CASE MASTER'!$W$2:$W$495&gt;=9)*('CASE MASTER'!$V$2:$V$495&lt;=7)*('CASE MASTER'!$X$2:$X$495&gt;=7))*ROW('CASE MASTER'!$T$2:$T$495))-(ROW('CASE MASTER'!#REF!)-1)))-INDEX('CASE MASTER'!$V$2:$V$495,(SUMPRODUCT((('CASE MASTER'!$T$2:$T$495=7)*('CASE MASTER'!$U$2:$U$495&lt;=9)*('CASE MASTER'!$W$2:$W$495&gt;=9)*('CASE MASTER'!$V$2:$V$495&lt;=7)*('CASE MASTER'!$X$2:$X$495&gt;=7))*ROW('CASE MASTER'!$T$2:$T$495))-(ROW('CASE MASTER'!#REF!)-1)))+1)+(7-INDEX('CASE MASTER'!$V$2:$V$495,(SUMPRODUCT((('CASE MASTER'!$T$2:$T$495=7)*('CASE MASTER'!$U$2:$U$495&lt;=9)*('CASE MASTER'!$W$2:$W$495&gt;=9)*('CASE MASTER'!$V$2:$V$495&lt;=7)*('CASE MASTER'!$X$2:$X$495&gt;=7))*ROW('CASE MASTER'!$T$2:$T$495))-(ROW('CASE MASTER'!#REF!)-1))))+1))-1)*50+1,50))&amp;"_"&amp;INDEX('CASE MASTER'!$Q$2:$Q$495,(SUMPRODUCT((('CASE MASTER'!$T$2:$T$495=7)*('CASE MASTER'!$U$2:$U$495&lt;=9)*('CASE MASTER'!$W$2:$W$495&gt;=9)*('CASE MASTER'!$V$2:$V$495&lt;=7)*('CASE MASTER'!$X$2:$X$495&gt;=7))*ROW('CASE MASTER'!$T$2:$T$495))-(ROW('CASE MASTER'!#REF!)-1))),IF(SUMPRODUCT((('CASE MASTER'!$T$2:$T$495=7)*('CASE MASTER'!$AA$2:$AA$495&lt;=9)*('CASE MASTER'!$AC$2:$AC$495&gt;=9)*('CASE MASTER'!$AB$2:$AB$495&lt;=7)*('CASE MASTER'!$AD$2:$AD$495&gt;=7))*ROW('CASE MASTER'!$T$2:$T$495))&gt;0,INDEX('CASE MASTER'!$Y$2:$Y$495,(SUMPRODUCT((('CASE MASTER'!$T$2:$T$495=7)*('CASE MASTER'!$AA$2:$AA$495&lt;=9)*('CASE MASTER'!$AC$2:$AC$495&gt;=9)*('CASE MASTER'!$AB$2:$AB$495&lt;=7)*('CASE MASTER'!$AD$2:$AD$495&gt;=7))*ROW('CASE MASTER'!$T$2:$T$495))-(ROW('CASE MASTER'!#REF!)-1)))&amp;TRIM(MID(SUBSTITUTE(SUBSTITUTE(INDEX('CASE MASTER'!$N$2:$N$495,(SUMPRODUCT((('CASE MASTER'!$T$2:$T$495=7)*('CASE MASTER'!$AA$2:$AA$495&lt;=9)*('CASE MASTER'!$AC$2:$AC$495&gt;=9)*('CASE MASTER'!$AB$2:$AB$495&lt;=7)*('CASE MASTER'!$AD$2:$AD$495&gt;=7))*ROW('CASE MASTER'!$T$2:$T$495))-(ROW('CASE MASTER'!#REF!)-1))),":",","),",",REPT(" ",50)),(((INDEX('CASE MASTER'!$Z$2:$Z$495,(SUMPRODUCT((('CASE MASTER'!$T$2:$T$495=7)*('CASE MASTER'!$AA$2:$AA$495&lt;=9)*('CASE MASTER'!$AC$2:$AC$495&gt;=9)*('CASE MASTER'!$AB$2:$AB$495&lt;=7)*('CASE MASTER'!$AD$2:$AD$495&gt;=7))*ROW('CASE MASTER'!$T$2:$T$495))-(ROW('CASE MASTER'!#REF!)-1)))+((9-INDEX('CASE MASTER'!$AA$2:$AA$495,(SUMPRODUCT((('CASE MASTER'!$T$2:$T$495=7)*('CASE MASTER'!$AA$2:$AA$495&lt;=9)*('CASE MASTER'!$AC$2:$AC$495&gt;=9)*('CASE MASTER'!$AB$2:$AB$495&lt;=7)*('CASE MASTER'!$AD$2:$AD$495&gt;=7))*ROW('CASE MASTER'!$T$2:$T$495))-(ROW('CASE MASTER'!#REF!)-1))))*(INDEX('CASE MASTER'!$AD$2:$AD$495,(SUMPRODUCT((('CASE MASTER'!$T$2:$T$495=7)*('CASE MASTER'!$AA$2:$AA$495&lt;=9)*('CASE MASTER'!$AC$2:$AC$495&gt;=9)*('CASE MASTER'!$AB$2:$AB$495&lt;=7)*('CASE MASTER'!$AD$2:$AD$495&gt;=7))*ROW('CASE MASTER'!$T$2:$T$495))-(ROW('CASE MASTER'!#REF!)-1)))-INDEX('CASE MASTER'!$AB$2:$AB$495,(SUMPRODUCT((('CASE MASTER'!$T$2:$T$495=7)*('CASE MASTER'!$AA$2:$AA$495&lt;=9)*('CASE MASTER'!$AC$2:$AC$495&gt;=9)*('CASE MASTER'!$AB$2:$AB$495&lt;=7)*('CASE MASTER'!$AD$2:$AD$495&gt;=7))*ROW('CASE MASTER'!$T$2:$T$495))-(ROW('CASE MASTER'!#REF!)-1)))+1)+(7-INDEX('CASE MASTER'!$AB$2:$AB$495,(SUMPRODUCT((('CASE MASTER'!$T$2:$T$495=7)*('CASE MASTER'!$AA$2:$AA$495&lt;=9)*('CASE MASTER'!$AC$2:$AC$495&gt;=9)*('CASE MASTER'!$AB$2:$AB$495&lt;=7)*('CASE MASTER'!$AD$2:$AD$495&gt;=7))*ROW('CASE MASTER'!$T$2:$T$495))-(ROW('CASE MASTER'!#REF!)-1))))+1)))-1)*50+1,50))&amp;"_"&amp;INDEX('CASE MASTER'!$Q$2:$Q$495,(SUMPRODUCT((('CASE MASTER'!$T$2:$T$495=7)*('CASE MASTER'!$AA$2:$AA$495&lt;=9)*('CASE MASTER'!$AC$2:$AC$495&gt;=9)*('CASE MASTER'!$AB$2:$AB$495&lt;=7)*('CASE MASTER'!$AD$2:$AD$495&gt;=7))*ROW('CASE MASTER'!$T$2:$T$495))-(ROW('CASE MASTER'!#REF!)-1))),"")),"")</f>
        <v/>
      </c>
      <c r="I95" s="10" t="str">
        <f>IFERROR(IF(SUMPRODUCT((('CASE MASTER'!$T$2:$T$495=7)*('CASE MASTER'!$U$2:$U$495&lt;=9)*('CASE MASTER'!$W$2:$W$495&gt;=9)*('CASE MASTER'!$V$2:$V$495&lt;=8)*('CASE MASTER'!$X$2:$X$495&gt;=8))*ROW('CASE MASTER'!$T$2:$T$495))&gt;0,INDEX('CASE MASTER'!$Y$2:$Y$495,(SUMPRODUCT((('CASE MASTER'!$T$2:$T$495=7)*('CASE MASTER'!$U$2:$U$495&lt;=9)*('CASE MASTER'!$W$2:$W$495&gt;=9)*('CASE MASTER'!$V$2:$V$495&lt;=8)*('CASE MASTER'!$X$2:$X$495&gt;=8))*ROW('CASE MASTER'!$T$2:$T$495))-(ROW('CASE MASTER'!#REF!)-1)))&amp;TRIM(MID(SUBSTITUTE(SUBSTITUTE(INDEX('CASE MASTER'!$N$2:$N$495,(SUMPRODUCT((('CASE MASTER'!$T$2:$T$495=7)*('CASE MASTER'!$U$2:$U$495&lt;=9)*('CASE MASTER'!$W$2:$W$495&gt;=9)*('CASE MASTER'!$V$2:$V$495&lt;=8)*('CASE MASTER'!$X$2:$X$495&gt;=8))*ROW('CASE MASTER'!$T$2:$T$495))-(ROW('CASE MASTER'!#REF!)-1))),":",","),",",REPT(" ",50)),((((9-INDEX('CASE MASTER'!$U$2:$U$495,(SUMPRODUCT((('CASE MASTER'!$T$2:$T$495=7)*('CASE MASTER'!$U$2:$U$495&lt;=9)*('CASE MASTER'!$W$2:$W$495&gt;=9)*('CASE MASTER'!$V$2:$V$495&lt;=8)*('CASE MASTER'!$X$2:$X$495&gt;=8))*ROW('CASE MASTER'!$T$2:$T$495))-(ROW('CASE MASTER'!#REF!)-1))))*(INDEX('CASE MASTER'!$X$2:$X$495,(SUMPRODUCT((('CASE MASTER'!$T$2:$T$495=7)*('CASE MASTER'!$U$2:$U$495&lt;=9)*('CASE MASTER'!$W$2:$W$495&gt;=9)*('CASE MASTER'!$V$2:$V$495&lt;=8)*('CASE MASTER'!$X$2:$X$495&gt;=8))*ROW('CASE MASTER'!$T$2:$T$495))-(ROW('CASE MASTER'!#REF!)-1)))-INDEX('CASE MASTER'!$V$2:$V$495,(SUMPRODUCT((('CASE MASTER'!$T$2:$T$495=7)*('CASE MASTER'!$U$2:$U$495&lt;=9)*('CASE MASTER'!$W$2:$W$495&gt;=9)*('CASE MASTER'!$V$2:$V$495&lt;=8)*('CASE MASTER'!$X$2:$X$495&gt;=8))*ROW('CASE MASTER'!$T$2:$T$495))-(ROW('CASE MASTER'!#REF!)-1)))+1)+(8-INDEX('CASE MASTER'!$V$2:$V$495,(SUMPRODUCT((('CASE MASTER'!$T$2:$T$495=7)*('CASE MASTER'!$U$2:$U$495&lt;=9)*('CASE MASTER'!$W$2:$W$495&gt;=9)*('CASE MASTER'!$V$2:$V$495&lt;=8)*('CASE MASTER'!$X$2:$X$495&gt;=8))*ROW('CASE MASTER'!$T$2:$T$495))-(ROW('CASE MASTER'!#REF!)-1))))+1))-1)*50+1,50))&amp;"_"&amp;INDEX('CASE MASTER'!$Q$2:$Q$495,(SUMPRODUCT((('CASE MASTER'!$T$2:$T$495=7)*('CASE MASTER'!$U$2:$U$495&lt;=9)*('CASE MASTER'!$W$2:$W$495&gt;=9)*('CASE MASTER'!$V$2:$V$495&lt;=8)*('CASE MASTER'!$X$2:$X$495&gt;=8))*ROW('CASE MASTER'!$T$2:$T$495))-(ROW('CASE MASTER'!#REF!)-1))),IF(SUMPRODUCT((('CASE MASTER'!$T$2:$T$495=7)*('CASE MASTER'!$AA$2:$AA$495&lt;=9)*('CASE MASTER'!$AC$2:$AC$495&gt;=9)*('CASE MASTER'!$AB$2:$AB$495&lt;=8)*('CASE MASTER'!$AD$2:$AD$495&gt;=8))*ROW('CASE MASTER'!$T$2:$T$495))&gt;0,INDEX('CASE MASTER'!$Y$2:$Y$495,(SUMPRODUCT((('CASE MASTER'!$T$2:$T$495=7)*('CASE MASTER'!$AA$2:$AA$495&lt;=9)*('CASE MASTER'!$AC$2:$AC$495&gt;=9)*('CASE MASTER'!$AB$2:$AB$495&lt;=8)*('CASE MASTER'!$AD$2:$AD$495&gt;=8))*ROW('CASE MASTER'!$T$2:$T$495))-(ROW('CASE MASTER'!#REF!)-1)))&amp;TRIM(MID(SUBSTITUTE(SUBSTITUTE(INDEX('CASE MASTER'!$N$2:$N$495,(SUMPRODUCT((('CASE MASTER'!$T$2:$T$495=7)*('CASE MASTER'!$AA$2:$AA$495&lt;=9)*('CASE MASTER'!$AC$2:$AC$495&gt;=9)*('CASE MASTER'!$AB$2:$AB$495&lt;=8)*('CASE MASTER'!$AD$2:$AD$495&gt;=8))*ROW('CASE MASTER'!$T$2:$T$495))-(ROW('CASE MASTER'!#REF!)-1))),":",","),",",REPT(" ",50)),(((INDEX('CASE MASTER'!$Z$2:$Z$495,(SUMPRODUCT((('CASE MASTER'!$T$2:$T$495=7)*('CASE MASTER'!$AA$2:$AA$495&lt;=9)*('CASE MASTER'!$AC$2:$AC$495&gt;=9)*('CASE MASTER'!$AB$2:$AB$495&lt;=8)*('CASE MASTER'!$AD$2:$AD$495&gt;=8))*ROW('CASE MASTER'!$T$2:$T$495))-(ROW('CASE MASTER'!#REF!)-1)))+((9-INDEX('CASE MASTER'!$AA$2:$AA$495,(SUMPRODUCT((('CASE MASTER'!$T$2:$T$495=7)*('CASE MASTER'!$AA$2:$AA$495&lt;=9)*('CASE MASTER'!$AC$2:$AC$495&gt;=9)*('CASE MASTER'!$AB$2:$AB$495&lt;=8)*('CASE MASTER'!$AD$2:$AD$495&gt;=8))*ROW('CASE MASTER'!$T$2:$T$495))-(ROW('CASE MASTER'!#REF!)-1))))*(INDEX('CASE MASTER'!$AD$2:$AD$495,(SUMPRODUCT((('CASE MASTER'!$T$2:$T$495=7)*('CASE MASTER'!$AA$2:$AA$495&lt;=9)*('CASE MASTER'!$AC$2:$AC$495&gt;=9)*('CASE MASTER'!$AB$2:$AB$495&lt;=8)*('CASE MASTER'!$AD$2:$AD$495&gt;=8))*ROW('CASE MASTER'!$T$2:$T$495))-(ROW('CASE MASTER'!#REF!)-1)))-INDEX('CASE MASTER'!$AB$2:$AB$495,(SUMPRODUCT((('CASE MASTER'!$T$2:$T$495=7)*('CASE MASTER'!$AA$2:$AA$495&lt;=9)*('CASE MASTER'!$AC$2:$AC$495&gt;=9)*('CASE MASTER'!$AB$2:$AB$495&lt;=8)*('CASE MASTER'!$AD$2:$AD$495&gt;=8))*ROW('CASE MASTER'!$T$2:$T$495))-(ROW('CASE MASTER'!#REF!)-1)))+1)+(8-INDEX('CASE MASTER'!$AB$2:$AB$495,(SUMPRODUCT((('CASE MASTER'!$T$2:$T$495=7)*('CASE MASTER'!$AA$2:$AA$495&lt;=9)*('CASE MASTER'!$AC$2:$AC$495&gt;=9)*('CASE MASTER'!$AB$2:$AB$495&lt;=8)*('CASE MASTER'!$AD$2:$AD$495&gt;=8))*ROW('CASE MASTER'!$T$2:$T$495))-(ROW('CASE MASTER'!#REF!)-1))))+1)))-1)*50+1,50))&amp;"_"&amp;INDEX('CASE MASTER'!$Q$2:$Q$495,(SUMPRODUCT((('CASE MASTER'!$T$2:$T$495=7)*('CASE MASTER'!$AA$2:$AA$495&lt;=9)*('CASE MASTER'!$AC$2:$AC$495&gt;=9)*('CASE MASTER'!$AB$2:$AB$495&lt;=8)*('CASE MASTER'!$AD$2:$AD$495&gt;=8))*ROW('CASE MASTER'!$T$2:$T$495))-(ROW('CASE MASTER'!#REF!)-1))),"")),"")</f>
        <v/>
      </c>
      <c r="J95" s="10" t="str">
        <f>IFERROR(IF(SUMPRODUCT((('CASE MASTER'!$T$2:$T$495=7)*('CASE MASTER'!$U$2:$U$495&lt;=9)*('CASE MASTER'!$W$2:$W$495&gt;=9)*('CASE MASTER'!$V$2:$V$495&lt;=9)*('CASE MASTER'!$X$2:$X$495&gt;=9))*ROW('CASE MASTER'!$T$2:$T$495))&gt;0,INDEX('CASE MASTER'!$Y$2:$Y$495,(SUMPRODUCT((('CASE MASTER'!$T$2:$T$495=7)*('CASE MASTER'!$U$2:$U$495&lt;=9)*('CASE MASTER'!$W$2:$W$495&gt;=9)*('CASE MASTER'!$V$2:$V$495&lt;=9)*('CASE MASTER'!$X$2:$X$495&gt;=9))*ROW('CASE MASTER'!$T$2:$T$495))-(ROW('CASE MASTER'!#REF!)-1)))&amp;TRIM(MID(SUBSTITUTE(SUBSTITUTE(INDEX('CASE MASTER'!$N$2:$N$495,(SUMPRODUCT((('CASE MASTER'!$T$2:$T$495=7)*('CASE MASTER'!$U$2:$U$495&lt;=9)*('CASE MASTER'!$W$2:$W$495&gt;=9)*('CASE MASTER'!$V$2:$V$495&lt;=9)*('CASE MASTER'!$X$2:$X$495&gt;=9))*ROW('CASE MASTER'!$T$2:$T$495))-(ROW('CASE MASTER'!#REF!)-1))),":",","),",",REPT(" ",50)),((((9-INDEX('CASE MASTER'!$U$2:$U$495,(SUMPRODUCT((('CASE MASTER'!$T$2:$T$495=7)*('CASE MASTER'!$U$2:$U$495&lt;=9)*('CASE MASTER'!$W$2:$W$495&gt;=9)*('CASE MASTER'!$V$2:$V$495&lt;=9)*('CASE MASTER'!$X$2:$X$495&gt;=9))*ROW('CASE MASTER'!$T$2:$T$495))-(ROW('CASE MASTER'!#REF!)-1))))*(INDEX('CASE MASTER'!$X$2:$X$495,(SUMPRODUCT((('CASE MASTER'!$T$2:$T$495=7)*('CASE MASTER'!$U$2:$U$495&lt;=9)*('CASE MASTER'!$W$2:$W$495&gt;=9)*('CASE MASTER'!$V$2:$V$495&lt;=9)*('CASE MASTER'!$X$2:$X$495&gt;=9))*ROW('CASE MASTER'!$T$2:$T$495))-(ROW('CASE MASTER'!#REF!)-1)))-INDEX('CASE MASTER'!$V$2:$V$495,(SUMPRODUCT((('CASE MASTER'!$T$2:$T$495=7)*('CASE MASTER'!$U$2:$U$495&lt;=9)*('CASE MASTER'!$W$2:$W$495&gt;=9)*('CASE MASTER'!$V$2:$V$495&lt;=9)*('CASE MASTER'!$X$2:$X$495&gt;=9))*ROW('CASE MASTER'!$T$2:$T$495))-(ROW('CASE MASTER'!#REF!)-1)))+1)+(9-INDEX('CASE MASTER'!$V$2:$V$495,(SUMPRODUCT((('CASE MASTER'!$T$2:$T$495=7)*('CASE MASTER'!$U$2:$U$495&lt;=9)*('CASE MASTER'!$W$2:$W$495&gt;=9)*('CASE MASTER'!$V$2:$V$495&lt;=9)*('CASE MASTER'!$X$2:$X$495&gt;=9))*ROW('CASE MASTER'!$T$2:$T$495))-(ROW('CASE MASTER'!#REF!)-1))))+1))-1)*50+1,50))&amp;"_"&amp;INDEX('CASE MASTER'!$Q$2:$Q$495,(SUMPRODUCT((('CASE MASTER'!$T$2:$T$495=7)*('CASE MASTER'!$U$2:$U$495&lt;=9)*('CASE MASTER'!$W$2:$W$495&gt;=9)*('CASE MASTER'!$V$2:$V$495&lt;=9)*('CASE MASTER'!$X$2:$X$495&gt;=9))*ROW('CASE MASTER'!$T$2:$T$495))-(ROW('CASE MASTER'!#REF!)-1))),IF(SUMPRODUCT((('CASE MASTER'!$T$2:$T$495=7)*('CASE MASTER'!$AA$2:$AA$495&lt;=9)*('CASE MASTER'!$AC$2:$AC$495&gt;=9)*('CASE MASTER'!$AB$2:$AB$495&lt;=9)*('CASE MASTER'!$AD$2:$AD$495&gt;=9))*ROW('CASE MASTER'!$T$2:$T$495))&gt;0,INDEX('CASE MASTER'!$Y$2:$Y$495,(SUMPRODUCT((('CASE MASTER'!$T$2:$T$495=7)*('CASE MASTER'!$AA$2:$AA$495&lt;=9)*('CASE MASTER'!$AC$2:$AC$495&gt;=9)*('CASE MASTER'!$AB$2:$AB$495&lt;=9)*('CASE MASTER'!$AD$2:$AD$495&gt;=9))*ROW('CASE MASTER'!$T$2:$T$495))-(ROW('CASE MASTER'!#REF!)-1)))&amp;TRIM(MID(SUBSTITUTE(SUBSTITUTE(INDEX('CASE MASTER'!$N$2:$N$495,(SUMPRODUCT((('CASE MASTER'!$T$2:$T$495=7)*('CASE MASTER'!$AA$2:$AA$495&lt;=9)*('CASE MASTER'!$AC$2:$AC$495&gt;=9)*('CASE MASTER'!$AB$2:$AB$495&lt;=9)*('CASE MASTER'!$AD$2:$AD$495&gt;=9))*ROW('CASE MASTER'!$T$2:$T$495))-(ROW('CASE MASTER'!#REF!)-1))),":",","),",",REPT(" ",50)),(((INDEX('CASE MASTER'!$Z$2:$Z$495,(SUMPRODUCT((('CASE MASTER'!$T$2:$T$495=7)*('CASE MASTER'!$AA$2:$AA$495&lt;=9)*('CASE MASTER'!$AC$2:$AC$495&gt;=9)*('CASE MASTER'!$AB$2:$AB$495&lt;=9)*('CASE MASTER'!$AD$2:$AD$495&gt;=9))*ROW('CASE MASTER'!$T$2:$T$495))-(ROW('CASE MASTER'!#REF!)-1)))+((9-INDEX('CASE MASTER'!$AA$2:$AA$495,(SUMPRODUCT((('CASE MASTER'!$T$2:$T$495=7)*('CASE MASTER'!$AA$2:$AA$495&lt;=9)*('CASE MASTER'!$AC$2:$AC$495&gt;=9)*('CASE MASTER'!$AB$2:$AB$495&lt;=9)*('CASE MASTER'!$AD$2:$AD$495&gt;=9))*ROW('CASE MASTER'!$T$2:$T$495))-(ROW('CASE MASTER'!#REF!)-1))))*(INDEX('CASE MASTER'!$AD$2:$AD$495,(SUMPRODUCT((('CASE MASTER'!$T$2:$T$495=7)*('CASE MASTER'!$AA$2:$AA$495&lt;=9)*('CASE MASTER'!$AC$2:$AC$495&gt;=9)*('CASE MASTER'!$AB$2:$AB$495&lt;=9)*('CASE MASTER'!$AD$2:$AD$495&gt;=9))*ROW('CASE MASTER'!$T$2:$T$495))-(ROW('CASE MASTER'!#REF!)-1)))-INDEX('CASE MASTER'!$AB$2:$AB$495,(SUMPRODUCT((('CASE MASTER'!$T$2:$T$495=7)*('CASE MASTER'!$AA$2:$AA$495&lt;=9)*('CASE MASTER'!$AC$2:$AC$495&gt;=9)*('CASE MASTER'!$AB$2:$AB$495&lt;=9)*('CASE MASTER'!$AD$2:$AD$495&gt;=9))*ROW('CASE MASTER'!$T$2:$T$495))-(ROW('CASE MASTER'!#REF!)-1)))+1)+(9-INDEX('CASE MASTER'!$AB$2:$AB$495,(SUMPRODUCT((('CASE MASTER'!$T$2:$T$495=7)*('CASE MASTER'!$AA$2:$AA$495&lt;=9)*('CASE MASTER'!$AC$2:$AC$495&gt;=9)*('CASE MASTER'!$AB$2:$AB$495&lt;=9)*('CASE MASTER'!$AD$2:$AD$495&gt;=9))*ROW('CASE MASTER'!$T$2:$T$495))-(ROW('CASE MASTER'!#REF!)-1))))+1)))-1)*50+1,50))&amp;"_"&amp;INDEX('CASE MASTER'!$Q$2:$Q$495,(SUMPRODUCT((('CASE MASTER'!$T$2:$T$495=7)*('CASE MASTER'!$AA$2:$AA$495&lt;=9)*('CASE MASTER'!$AC$2:$AC$495&gt;=9)*('CASE MASTER'!$AB$2:$AB$495&lt;=9)*('CASE MASTER'!$AD$2:$AD$495&gt;=9))*ROW('CASE MASTER'!$T$2:$T$495))-(ROW('CASE MASTER'!#REF!)-1))),"")),"")</f>
        <v/>
      </c>
      <c r="K95" s="10" t="str">
        <f>IFERROR(IF(SUMPRODUCT((('CASE MASTER'!$T$2:$T$495=7)*('CASE MASTER'!$U$2:$U$495&lt;=9)*('CASE MASTER'!$W$2:$W$495&gt;=9)*('CASE MASTER'!$V$2:$V$495&lt;=10)*('CASE MASTER'!$X$2:$X$495&gt;=10))*ROW('CASE MASTER'!$T$2:$T$495))&gt;0,INDEX('CASE MASTER'!$Y$2:$Y$495,(SUMPRODUCT((('CASE MASTER'!$T$2:$T$495=7)*('CASE MASTER'!$U$2:$U$495&lt;=9)*('CASE MASTER'!$W$2:$W$495&gt;=9)*('CASE MASTER'!$V$2:$V$495&lt;=10)*('CASE MASTER'!$X$2:$X$495&gt;=10))*ROW('CASE MASTER'!$T$2:$T$495))-(ROW('CASE MASTER'!#REF!)-1)))&amp;TRIM(MID(SUBSTITUTE(SUBSTITUTE(INDEX('CASE MASTER'!$N$2:$N$495,(SUMPRODUCT((('CASE MASTER'!$T$2:$T$495=7)*('CASE MASTER'!$U$2:$U$495&lt;=9)*('CASE MASTER'!$W$2:$W$495&gt;=9)*('CASE MASTER'!$V$2:$V$495&lt;=10)*('CASE MASTER'!$X$2:$X$495&gt;=10))*ROW('CASE MASTER'!$T$2:$T$495))-(ROW('CASE MASTER'!#REF!)-1))),":",","),",",REPT(" ",50)),((((9-INDEX('CASE MASTER'!$U$2:$U$495,(SUMPRODUCT((('CASE MASTER'!$T$2:$T$495=7)*('CASE MASTER'!$U$2:$U$495&lt;=9)*('CASE MASTER'!$W$2:$W$495&gt;=9)*('CASE MASTER'!$V$2:$V$495&lt;=10)*('CASE MASTER'!$X$2:$X$495&gt;=10))*ROW('CASE MASTER'!$T$2:$T$495))-(ROW('CASE MASTER'!#REF!)-1))))*(INDEX('CASE MASTER'!$X$2:$X$495,(SUMPRODUCT((('CASE MASTER'!$T$2:$T$495=7)*('CASE MASTER'!$U$2:$U$495&lt;=9)*('CASE MASTER'!$W$2:$W$495&gt;=9)*('CASE MASTER'!$V$2:$V$495&lt;=10)*('CASE MASTER'!$X$2:$X$495&gt;=10))*ROW('CASE MASTER'!$T$2:$T$495))-(ROW('CASE MASTER'!#REF!)-1)))-INDEX('CASE MASTER'!$V$2:$V$495,(SUMPRODUCT((('CASE MASTER'!$T$2:$T$495=7)*('CASE MASTER'!$U$2:$U$495&lt;=9)*('CASE MASTER'!$W$2:$W$495&gt;=9)*('CASE MASTER'!$V$2:$V$495&lt;=10)*('CASE MASTER'!$X$2:$X$495&gt;=10))*ROW('CASE MASTER'!$T$2:$T$495))-(ROW('CASE MASTER'!#REF!)-1)))+1)+(10-INDEX('CASE MASTER'!$V$2:$V$495,(SUMPRODUCT((('CASE MASTER'!$T$2:$T$495=7)*('CASE MASTER'!$U$2:$U$495&lt;=9)*('CASE MASTER'!$W$2:$W$495&gt;=9)*('CASE MASTER'!$V$2:$V$495&lt;=10)*('CASE MASTER'!$X$2:$X$495&gt;=10))*ROW('CASE MASTER'!$T$2:$T$495))-(ROW('CASE MASTER'!#REF!)-1))))+1))-1)*50+1,50))&amp;"_"&amp;INDEX('CASE MASTER'!$Q$2:$Q$495,(SUMPRODUCT((('CASE MASTER'!$T$2:$T$495=7)*('CASE MASTER'!$U$2:$U$495&lt;=9)*('CASE MASTER'!$W$2:$W$495&gt;=9)*('CASE MASTER'!$V$2:$V$495&lt;=10)*('CASE MASTER'!$X$2:$X$495&gt;=10))*ROW('CASE MASTER'!$T$2:$T$495))-(ROW('CASE MASTER'!#REF!)-1))),IF(SUMPRODUCT((('CASE MASTER'!$T$2:$T$495=7)*('CASE MASTER'!$AA$2:$AA$495&lt;=9)*('CASE MASTER'!$AC$2:$AC$495&gt;=9)*('CASE MASTER'!$AB$2:$AB$495&lt;=10)*('CASE MASTER'!$AD$2:$AD$495&gt;=10))*ROW('CASE MASTER'!$T$2:$T$495))&gt;0,INDEX('CASE MASTER'!$Y$2:$Y$495,(SUMPRODUCT((('CASE MASTER'!$T$2:$T$495=7)*('CASE MASTER'!$AA$2:$AA$495&lt;=9)*('CASE MASTER'!$AC$2:$AC$495&gt;=9)*('CASE MASTER'!$AB$2:$AB$495&lt;=10)*('CASE MASTER'!$AD$2:$AD$495&gt;=10))*ROW('CASE MASTER'!$T$2:$T$495))-(ROW('CASE MASTER'!#REF!)-1)))&amp;TRIM(MID(SUBSTITUTE(SUBSTITUTE(INDEX('CASE MASTER'!$N$2:$N$495,(SUMPRODUCT((('CASE MASTER'!$T$2:$T$495=7)*('CASE MASTER'!$AA$2:$AA$495&lt;=9)*('CASE MASTER'!$AC$2:$AC$495&gt;=9)*('CASE MASTER'!$AB$2:$AB$495&lt;=10)*('CASE MASTER'!$AD$2:$AD$495&gt;=10))*ROW('CASE MASTER'!$T$2:$T$495))-(ROW('CASE MASTER'!#REF!)-1))),":",","),",",REPT(" ",50)),(((INDEX('CASE MASTER'!$Z$2:$Z$495,(SUMPRODUCT((('CASE MASTER'!$T$2:$T$495=7)*('CASE MASTER'!$AA$2:$AA$495&lt;=9)*('CASE MASTER'!$AC$2:$AC$495&gt;=9)*('CASE MASTER'!$AB$2:$AB$495&lt;=10)*('CASE MASTER'!$AD$2:$AD$495&gt;=10))*ROW('CASE MASTER'!$T$2:$T$495))-(ROW('CASE MASTER'!#REF!)-1)))+((9-INDEX('CASE MASTER'!$AA$2:$AA$495,(SUMPRODUCT((('CASE MASTER'!$T$2:$T$495=7)*('CASE MASTER'!$AA$2:$AA$495&lt;=9)*('CASE MASTER'!$AC$2:$AC$495&gt;=9)*('CASE MASTER'!$AB$2:$AB$495&lt;=10)*('CASE MASTER'!$AD$2:$AD$495&gt;=10))*ROW('CASE MASTER'!$T$2:$T$495))-(ROW('CASE MASTER'!#REF!)-1))))*(INDEX('CASE MASTER'!$AD$2:$AD$495,(SUMPRODUCT((('CASE MASTER'!$T$2:$T$495=7)*('CASE MASTER'!$AA$2:$AA$495&lt;=9)*('CASE MASTER'!$AC$2:$AC$495&gt;=9)*('CASE MASTER'!$AB$2:$AB$495&lt;=10)*('CASE MASTER'!$AD$2:$AD$495&gt;=10))*ROW('CASE MASTER'!$T$2:$T$495))-(ROW('CASE MASTER'!#REF!)-1)))-INDEX('CASE MASTER'!$AB$2:$AB$495,(SUMPRODUCT((('CASE MASTER'!$T$2:$T$495=7)*('CASE MASTER'!$AA$2:$AA$495&lt;=9)*('CASE MASTER'!$AC$2:$AC$495&gt;=9)*('CASE MASTER'!$AB$2:$AB$495&lt;=10)*('CASE MASTER'!$AD$2:$AD$495&gt;=10))*ROW('CASE MASTER'!$T$2:$T$495))-(ROW('CASE MASTER'!#REF!)-1)))+1)+(10-INDEX('CASE MASTER'!$AB$2:$AB$495,(SUMPRODUCT((('CASE MASTER'!$T$2:$T$495=7)*('CASE MASTER'!$AA$2:$AA$495&lt;=9)*('CASE MASTER'!$AC$2:$AC$495&gt;=9)*('CASE MASTER'!$AB$2:$AB$495&lt;=10)*('CASE MASTER'!$AD$2:$AD$495&gt;=10))*ROW('CASE MASTER'!$T$2:$T$495))-(ROW('CASE MASTER'!#REF!)-1))))+1)))-1)*50+1,50))&amp;"_"&amp;INDEX('CASE MASTER'!$Q$2:$Q$495,(SUMPRODUCT((('CASE MASTER'!$T$2:$T$495=7)*('CASE MASTER'!$AA$2:$AA$495&lt;=9)*('CASE MASTER'!$AC$2:$AC$495&gt;=9)*('CASE MASTER'!$AB$2:$AB$495&lt;=10)*('CASE MASTER'!$AD$2:$AD$495&gt;=10))*ROW('CASE MASTER'!$T$2:$T$495))-(ROW('CASE MASTER'!#REF!)-1))),"")),"")</f>
        <v/>
      </c>
    </row>
    <row r="96" spans="1:11" ht="15" customHeight="1" x14ac:dyDescent="0.35">
      <c r="A96" s="8" t="s">
        <v>82</v>
      </c>
      <c r="B96" s="10" t="str">
        <f>IFERROR(IF(SUMPRODUCT((('CASE MASTER'!$T$2:$T$495=7)*('CASE MASTER'!$U$2:$U$495&lt;=10)*('CASE MASTER'!$W$2:$W$495&gt;=10)*('CASE MASTER'!$V$2:$V$495&lt;=1)*('CASE MASTER'!$X$2:$X$495&gt;=1))*ROW('CASE MASTER'!$T$2:$T$495))&gt;0,INDEX('CASE MASTER'!$Y$2:$Y$495,(SUMPRODUCT((('CASE MASTER'!$T$2:$T$495=7)*('CASE MASTER'!$U$2:$U$495&lt;=10)*('CASE MASTER'!$W$2:$W$495&gt;=10)*('CASE MASTER'!$V$2:$V$495&lt;=1)*('CASE MASTER'!$X$2:$X$495&gt;=1))*ROW('CASE MASTER'!$T$2:$T$495))-(ROW('CASE MASTER'!#REF!)-1)))&amp;TRIM(MID(SUBSTITUTE(SUBSTITUTE(INDEX('CASE MASTER'!$N$2:$N$495,(SUMPRODUCT((('CASE MASTER'!$T$2:$T$495=7)*('CASE MASTER'!$U$2:$U$495&lt;=10)*('CASE MASTER'!$W$2:$W$495&gt;=10)*('CASE MASTER'!$V$2:$V$495&lt;=1)*('CASE MASTER'!$X$2:$X$495&gt;=1))*ROW('CASE MASTER'!$T$2:$T$495))-(ROW('CASE MASTER'!#REF!)-1))),":",","),",",REPT(" ",50)),((((10-INDEX('CASE MASTER'!$U$2:$U$495,(SUMPRODUCT((('CASE MASTER'!$T$2:$T$495=7)*('CASE MASTER'!$U$2:$U$495&lt;=10)*('CASE MASTER'!$W$2:$W$495&gt;=10)*('CASE MASTER'!$V$2:$V$495&lt;=1)*('CASE MASTER'!$X$2:$X$495&gt;=1))*ROW('CASE MASTER'!$T$2:$T$495))-(ROW('CASE MASTER'!#REF!)-1))))*(INDEX('CASE MASTER'!$X$2:$X$495,(SUMPRODUCT((('CASE MASTER'!$T$2:$T$495=7)*('CASE MASTER'!$U$2:$U$495&lt;=10)*('CASE MASTER'!$W$2:$W$495&gt;=10)*('CASE MASTER'!$V$2:$V$495&lt;=1)*('CASE MASTER'!$X$2:$X$495&gt;=1))*ROW('CASE MASTER'!$T$2:$T$495))-(ROW('CASE MASTER'!#REF!)-1)))-INDEX('CASE MASTER'!$V$2:$V$495,(SUMPRODUCT((('CASE MASTER'!$T$2:$T$495=7)*('CASE MASTER'!$U$2:$U$495&lt;=10)*('CASE MASTER'!$W$2:$W$495&gt;=10)*('CASE MASTER'!$V$2:$V$495&lt;=1)*('CASE MASTER'!$X$2:$X$495&gt;=1))*ROW('CASE MASTER'!$T$2:$T$495))-(ROW('CASE MASTER'!#REF!)-1)))+1)+(1-INDEX('CASE MASTER'!$V$2:$V$495,(SUMPRODUCT((('CASE MASTER'!$T$2:$T$495=7)*('CASE MASTER'!$U$2:$U$495&lt;=10)*('CASE MASTER'!$W$2:$W$495&gt;=10)*('CASE MASTER'!$V$2:$V$495&lt;=1)*('CASE MASTER'!$X$2:$X$495&gt;=1))*ROW('CASE MASTER'!$T$2:$T$495))-(ROW('CASE MASTER'!#REF!)-1))))+1))-1)*50+1,50))&amp;"_"&amp;INDEX('CASE MASTER'!$Q$2:$Q$495,(SUMPRODUCT((('CASE MASTER'!$T$2:$T$495=7)*('CASE MASTER'!$U$2:$U$495&lt;=10)*('CASE MASTER'!$W$2:$W$495&gt;=10)*('CASE MASTER'!$V$2:$V$495&lt;=1)*('CASE MASTER'!$X$2:$X$495&gt;=1))*ROW('CASE MASTER'!$T$2:$T$495))-(ROW('CASE MASTER'!#REF!)-1))),IF(SUMPRODUCT((('CASE MASTER'!$T$2:$T$495=7)*('CASE MASTER'!$AA$2:$AA$495&lt;=10)*('CASE MASTER'!$AC$2:$AC$495&gt;=10)*('CASE MASTER'!$AB$2:$AB$495&lt;=1)*('CASE MASTER'!$AD$2:$AD$495&gt;=1))*ROW('CASE MASTER'!$T$2:$T$495))&gt;0,INDEX('CASE MASTER'!$Y$2:$Y$495,(SUMPRODUCT((('CASE MASTER'!$T$2:$T$495=7)*('CASE MASTER'!$AA$2:$AA$495&lt;=10)*('CASE MASTER'!$AC$2:$AC$495&gt;=10)*('CASE MASTER'!$AB$2:$AB$495&lt;=1)*('CASE MASTER'!$AD$2:$AD$495&gt;=1))*ROW('CASE MASTER'!$T$2:$T$495))-(ROW('CASE MASTER'!#REF!)-1)))&amp;TRIM(MID(SUBSTITUTE(SUBSTITUTE(INDEX('CASE MASTER'!$N$2:$N$495,(SUMPRODUCT((('CASE MASTER'!$T$2:$T$495=7)*('CASE MASTER'!$AA$2:$AA$495&lt;=10)*('CASE MASTER'!$AC$2:$AC$495&gt;=10)*('CASE MASTER'!$AB$2:$AB$495&lt;=1)*('CASE MASTER'!$AD$2:$AD$495&gt;=1))*ROW('CASE MASTER'!$T$2:$T$495))-(ROW('CASE MASTER'!#REF!)-1))),":",","),",",REPT(" ",50)),(((INDEX('CASE MASTER'!$Z$2:$Z$495,(SUMPRODUCT((('CASE MASTER'!$T$2:$T$495=7)*('CASE MASTER'!$AA$2:$AA$495&lt;=10)*('CASE MASTER'!$AC$2:$AC$495&gt;=10)*('CASE MASTER'!$AB$2:$AB$495&lt;=1)*('CASE MASTER'!$AD$2:$AD$495&gt;=1))*ROW('CASE MASTER'!$T$2:$T$495))-(ROW('CASE MASTER'!#REF!)-1)))+((10-INDEX('CASE MASTER'!$AA$2:$AA$495,(SUMPRODUCT((('CASE MASTER'!$T$2:$T$495=7)*('CASE MASTER'!$AA$2:$AA$495&lt;=10)*('CASE MASTER'!$AC$2:$AC$495&gt;=10)*('CASE MASTER'!$AB$2:$AB$495&lt;=1)*('CASE MASTER'!$AD$2:$AD$495&gt;=1))*ROW('CASE MASTER'!$T$2:$T$495))-(ROW('CASE MASTER'!#REF!)-1))))*(INDEX('CASE MASTER'!$AD$2:$AD$495,(SUMPRODUCT((('CASE MASTER'!$T$2:$T$495=7)*('CASE MASTER'!$AA$2:$AA$495&lt;=10)*('CASE MASTER'!$AC$2:$AC$495&gt;=10)*('CASE MASTER'!$AB$2:$AB$495&lt;=1)*('CASE MASTER'!$AD$2:$AD$495&gt;=1))*ROW('CASE MASTER'!$T$2:$T$495))-(ROW('CASE MASTER'!#REF!)-1)))-INDEX('CASE MASTER'!$AB$2:$AB$495,(SUMPRODUCT((('CASE MASTER'!$T$2:$T$495=7)*('CASE MASTER'!$AA$2:$AA$495&lt;=10)*('CASE MASTER'!$AC$2:$AC$495&gt;=10)*('CASE MASTER'!$AB$2:$AB$495&lt;=1)*('CASE MASTER'!$AD$2:$AD$495&gt;=1))*ROW('CASE MASTER'!$T$2:$T$495))-(ROW('CASE MASTER'!#REF!)-1)))+1)+(1-INDEX('CASE MASTER'!$AB$2:$AB$495,(SUMPRODUCT((('CASE MASTER'!$T$2:$T$495=7)*('CASE MASTER'!$AA$2:$AA$495&lt;=10)*('CASE MASTER'!$AC$2:$AC$495&gt;=10)*('CASE MASTER'!$AB$2:$AB$495&lt;=1)*('CASE MASTER'!$AD$2:$AD$495&gt;=1))*ROW('CASE MASTER'!$T$2:$T$495))-(ROW('CASE MASTER'!#REF!)-1))))+1)))-1)*50+1,50))&amp;"_"&amp;INDEX('CASE MASTER'!$Q$2:$Q$495,(SUMPRODUCT((('CASE MASTER'!$T$2:$T$495=7)*('CASE MASTER'!$AA$2:$AA$495&lt;=10)*('CASE MASTER'!$AC$2:$AC$495&gt;=10)*('CASE MASTER'!$AB$2:$AB$495&lt;=1)*('CASE MASTER'!$AD$2:$AD$495&gt;=1))*ROW('CASE MASTER'!$T$2:$T$495))-(ROW('CASE MASTER'!#REF!)-1))),"")),"")</f>
        <v/>
      </c>
      <c r="C96" s="10" t="str">
        <f>IFERROR(IF(SUMPRODUCT((('CASE MASTER'!$T$2:$T$495=7)*('CASE MASTER'!$U$2:$U$495&lt;=10)*('CASE MASTER'!$W$2:$W$495&gt;=10)*('CASE MASTER'!$V$2:$V$495&lt;=2)*('CASE MASTER'!$X$2:$X$495&gt;=2))*ROW('CASE MASTER'!$T$2:$T$495))&gt;0,INDEX('CASE MASTER'!$Y$2:$Y$495,(SUMPRODUCT((('CASE MASTER'!$T$2:$T$495=7)*('CASE MASTER'!$U$2:$U$495&lt;=10)*('CASE MASTER'!$W$2:$W$495&gt;=10)*('CASE MASTER'!$V$2:$V$495&lt;=2)*('CASE MASTER'!$X$2:$X$495&gt;=2))*ROW('CASE MASTER'!$T$2:$T$495))-(ROW('CASE MASTER'!#REF!)-1)))&amp;TRIM(MID(SUBSTITUTE(SUBSTITUTE(INDEX('CASE MASTER'!$N$2:$N$495,(SUMPRODUCT((('CASE MASTER'!$T$2:$T$495=7)*('CASE MASTER'!$U$2:$U$495&lt;=10)*('CASE MASTER'!$W$2:$W$495&gt;=10)*('CASE MASTER'!$V$2:$V$495&lt;=2)*('CASE MASTER'!$X$2:$X$495&gt;=2))*ROW('CASE MASTER'!$T$2:$T$495))-(ROW('CASE MASTER'!#REF!)-1))),":",","),",",REPT(" ",50)),((((10-INDEX('CASE MASTER'!$U$2:$U$495,(SUMPRODUCT((('CASE MASTER'!$T$2:$T$495=7)*('CASE MASTER'!$U$2:$U$495&lt;=10)*('CASE MASTER'!$W$2:$W$495&gt;=10)*('CASE MASTER'!$V$2:$V$495&lt;=2)*('CASE MASTER'!$X$2:$X$495&gt;=2))*ROW('CASE MASTER'!$T$2:$T$495))-(ROW('CASE MASTER'!#REF!)-1))))*(INDEX('CASE MASTER'!$X$2:$X$495,(SUMPRODUCT((('CASE MASTER'!$T$2:$T$495=7)*('CASE MASTER'!$U$2:$U$495&lt;=10)*('CASE MASTER'!$W$2:$W$495&gt;=10)*('CASE MASTER'!$V$2:$V$495&lt;=2)*('CASE MASTER'!$X$2:$X$495&gt;=2))*ROW('CASE MASTER'!$T$2:$T$495))-(ROW('CASE MASTER'!#REF!)-1)))-INDEX('CASE MASTER'!$V$2:$V$495,(SUMPRODUCT((('CASE MASTER'!$T$2:$T$495=7)*('CASE MASTER'!$U$2:$U$495&lt;=10)*('CASE MASTER'!$W$2:$W$495&gt;=10)*('CASE MASTER'!$V$2:$V$495&lt;=2)*('CASE MASTER'!$X$2:$X$495&gt;=2))*ROW('CASE MASTER'!$T$2:$T$495))-(ROW('CASE MASTER'!#REF!)-1)))+1)+(2-INDEX('CASE MASTER'!$V$2:$V$495,(SUMPRODUCT((('CASE MASTER'!$T$2:$T$495=7)*('CASE MASTER'!$U$2:$U$495&lt;=10)*('CASE MASTER'!$W$2:$W$495&gt;=10)*('CASE MASTER'!$V$2:$V$495&lt;=2)*('CASE MASTER'!$X$2:$X$495&gt;=2))*ROW('CASE MASTER'!$T$2:$T$495))-(ROW('CASE MASTER'!#REF!)-1))))+1))-1)*50+1,50))&amp;"_"&amp;INDEX('CASE MASTER'!$Q$2:$Q$495,(SUMPRODUCT((('CASE MASTER'!$T$2:$T$495=7)*('CASE MASTER'!$U$2:$U$495&lt;=10)*('CASE MASTER'!$W$2:$W$495&gt;=10)*('CASE MASTER'!$V$2:$V$495&lt;=2)*('CASE MASTER'!$X$2:$X$495&gt;=2))*ROW('CASE MASTER'!$T$2:$T$495))-(ROW('CASE MASTER'!#REF!)-1))),IF(SUMPRODUCT((('CASE MASTER'!$T$2:$T$495=7)*('CASE MASTER'!$AA$2:$AA$495&lt;=10)*('CASE MASTER'!$AC$2:$AC$495&gt;=10)*('CASE MASTER'!$AB$2:$AB$495&lt;=2)*('CASE MASTER'!$AD$2:$AD$495&gt;=2))*ROW('CASE MASTER'!$T$2:$T$495))&gt;0,INDEX('CASE MASTER'!$Y$2:$Y$495,(SUMPRODUCT((('CASE MASTER'!$T$2:$T$495=7)*('CASE MASTER'!$AA$2:$AA$495&lt;=10)*('CASE MASTER'!$AC$2:$AC$495&gt;=10)*('CASE MASTER'!$AB$2:$AB$495&lt;=2)*('CASE MASTER'!$AD$2:$AD$495&gt;=2))*ROW('CASE MASTER'!$T$2:$T$495))-(ROW('CASE MASTER'!#REF!)-1)))&amp;TRIM(MID(SUBSTITUTE(SUBSTITUTE(INDEX('CASE MASTER'!$N$2:$N$495,(SUMPRODUCT((('CASE MASTER'!$T$2:$T$495=7)*('CASE MASTER'!$AA$2:$AA$495&lt;=10)*('CASE MASTER'!$AC$2:$AC$495&gt;=10)*('CASE MASTER'!$AB$2:$AB$495&lt;=2)*('CASE MASTER'!$AD$2:$AD$495&gt;=2))*ROW('CASE MASTER'!$T$2:$T$495))-(ROW('CASE MASTER'!#REF!)-1))),":",","),",",REPT(" ",50)),(((INDEX('CASE MASTER'!$Z$2:$Z$495,(SUMPRODUCT((('CASE MASTER'!$T$2:$T$495=7)*('CASE MASTER'!$AA$2:$AA$495&lt;=10)*('CASE MASTER'!$AC$2:$AC$495&gt;=10)*('CASE MASTER'!$AB$2:$AB$495&lt;=2)*('CASE MASTER'!$AD$2:$AD$495&gt;=2))*ROW('CASE MASTER'!$T$2:$T$495))-(ROW('CASE MASTER'!#REF!)-1)))+((10-INDEX('CASE MASTER'!$AA$2:$AA$495,(SUMPRODUCT((('CASE MASTER'!$T$2:$T$495=7)*('CASE MASTER'!$AA$2:$AA$495&lt;=10)*('CASE MASTER'!$AC$2:$AC$495&gt;=10)*('CASE MASTER'!$AB$2:$AB$495&lt;=2)*('CASE MASTER'!$AD$2:$AD$495&gt;=2))*ROW('CASE MASTER'!$T$2:$T$495))-(ROW('CASE MASTER'!#REF!)-1))))*(INDEX('CASE MASTER'!$AD$2:$AD$495,(SUMPRODUCT((('CASE MASTER'!$T$2:$T$495=7)*('CASE MASTER'!$AA$2:$AA$495&lt;=10)*('CASE MASTER'!$AC$2:$AC$495&gt;=10)*('CASE MASTER'!$AB$2:$AB$495&lt;=2)*('CASE MASTER'!$AD$2:$AD$495&gt;=2))*ROW('CASE MASTER'!$T$2:$T$495))-(ROW('CASE MASTER'!#REF!)-1)))-INDEX('CASE MASTER'!$AB$2:$AB$495,(SUMPRODUCT((('CASE MASTER'!$T$2:$T$495=7)*('CASE MASTER'!$AA$2:$AA$495&lt;=10)*('CASE MASTER'!$AC$2:$AC$495&gt;=10)*('CASE MASTER'!$AB$2:$AB$495&lt;=2)*('CASE MASTER'!$AD$2:$AD$495&gt;=2))*ROW('CASE MASTER'!$T$2:$T$495))-(ROW('CASE MASTER'!#REF!)-1)))+1)+(2-INDEX('CASE MASTER'!$AB$2:$AB$495,(SUMPRODUCT((('CASE MASTER'!$T$2:$T$495=7)*('CASE MASTER'!$AA$2:$AA$495&lt;=10)*('CASE MASTER'!$AC$2:$AC$495&gt;=10)*('CASE MASTER'!$AB$2:$AB$495&lt;=2)*('CASE MASTER'!$AD$2:$AD$495&gt;=2))*ROW('CASE MASTER'!$T$2:$T$495))-(ROW('CASE MASTER'!#REF!)-1))))+1)))-1)*50+1,50))&amp;"_"&amp;INDEX('CASE MASTER'!$Q$2:$Q$495,(SUMPRODUCT((('CASE MASTER'!$T$2:$T$495=7)*('CASE MASTER'!$AA$2:$AA$495&lt;=10)*('CASE MASTER'!$AC$2:$AC$495&gt;=10)*('CASE MASTER'!$AB$2:$AB$495&lt;=2)*('CASE MASTER'!$AD$2:$AD$495&gt;=2))*ROW('CASE MASTER'!$T$2:$T$495))-(ROW('CASE MASTER'!#REF!)-1))),"")),"")</f>
        <v/>
      </c>
      <c r="D96" s="10" t="str">
        <f>IFERROR(IF(SUMPRODUCT((('CASE MASTER'!$T$2:$T$495=7)*('CASE MASTER'!$U$2:$U$495&lt;=10)*('CASE MASTER'!$W$2:$W$495&gt;=10)*('CASE MASTER'!$V$2:$V$495&lt;=3)*('CASE MASTER'!$X$2:$X$495&gt;=3))*ROW('CASE MASTER'!$T$2:$T$495))&gt;0,INDEX('CASE MASTER'!$Y$2:$Y$495,(SUMPRODUCT((('CASE MASTER'!$T$2:$T$495=7)*('CASE MASTER'!$U$2:$U$495&lt;=10)*('CASE MASTER'!$W$2:$W$495&gt;=10)*('CASE MASTER'!$V$2:$V$495&lt;=3)*('CASE MASTER'!$X$2:$X$495&gt;=3))*ROW('CASE MASTER'!$T$2:$T$495))-(ROW('CASE MASTER'!#REF!)-1)))&amp;TRIM(MID(SUBSTITUTE(SUBSTITUTE(INDEX('CASE MASTER'!$N$2:$N$495,(SUMPRODUCT((('CASE MASTER'!$T$2:$T$495=7)*('CASE MASTER'!$U$2:$U$495&lt;=10)*('CASE MASTER'!$W$2:$W$495&gt;=10)*('CASE MASTER'!$V$2:$V$495&lt;=3)*('CASE MASTER'!$X$2:$X$495&gt;=3))*ROW('CASE MASTER'!$T$2:$T$495))-(ROW('CASE MASTER'!#REF!)-1))),":",","),",",REPT(" ",50)),((((10-INDEX('CASE MASTER'!$U$2:$U$495,(SUMPRODUCT((('CASE MASTER'!$T$2:$T$495=7)*('CASE MASTER'!$U$2:$U$495&lt;=10)*('CASE MASTER'!$W$2:$W$495&gt;=10)*('CASE MASTER'!$V$2:$V$495&lt;=3)*('CASE MASTER'!$X$2:$X$495&gt;=3))*ROW('CASE MASTER'!$T$2:$T$495))-(ROW('CASE MASTER'!#REF!)-1))))*(INDEX('CASE MASTER'!$X$2:$X$495,(SUMPRODUCT((('CASE MASTER'!$T$2:$T$495=7)*('CASE MASTER'!$U$2:$U$495&lt;=10)*('CASE MASTER'!$W$2:$W$495&gt;=10)*('CASE MASTER'!$V$2:$V$495&lt;=3)*('CASE MASTER'!$X$2:$X$495&gt;=3))*ROW('CASE MASTER'!$T$2:$T$495))-(ROW('CASE MASTER'!#REF!)-1)))-INDEX('CASE MASTER'!$V$2:$V$495,(SUMPRODUCT((('CASE MASTER'!$T$2:$T$495=7)*('CASE MASTER'!$U$2:$U$495&lt;=10)*('CASE MASTER'!$W$2:$W$495&gt;=10)*('CASE MASTER'!$V$2:$V$495&lt;=3)*('CASE MASTER'!$X$2:$X$495&gt;=3))*ROW('CASE MASTER'!$T$2:$T$495))-(ROW('CASE MASTER'!#REF!)-1)))+1)+(3-INDEX('CASE MASTER'!$V$2:$V$495,(SUMPRODUCT((('CASE MASTER'!$T$2:$T$495=7)*('CASE MASTER'!$U$2:$U$495&lt;=10)*('CASE MASTER'!$W$2:$W$495&gt;=10)*('CASE MASTER'!$V$2:$V$495&lt;=3)*('CASE MASTER'!$X$2:$X$495&gt;=3))*ROW('CASE MASTER'!$T$2:$T$495))-(ROW('CASE MASTER'!#REF!)-1))))+1))-1)*50+1,50))&amp;"_"&amp;INDEX('CASE MASTER'!$Q$2:$Q$495,(SUMPRODUCT((('CASE MASTER'!$T$2:$T$495=7)*('CASE MASTER'!$U$2:$U$495&lt;=10)*('CASE MASTER'!$W$2:$W$495&gt;=10)*('CASE MASTER'!$V$2:$V$495&lt;=3)*('CASE MASTER'!$X$2:$X$495&gt;=3))*ROW('CASE MASTER'!$T$2:$T$495))-(ROW('CASE MASTER'!#REF!)-1))),IF(SUMPRODUCT((('CASE MASTER'!$T$2:$T$495=7)*('CASE MASTER'!$AA$2:$AA$495&lt;=10)*('CASE MASTER'!$AC$2:$AC$495&gt;=10)*('CASE MASTER'!$AB$2:$AB$495&lt;=3)*('CASE MASTER'!$AD$2:$AD$495&gt;=3))*ROW('CASE MASTER'!$T$2:$T$495))&gt;0,INDEX('CASE MASTER'!$Y$2:$Y$495,(SUMPRODUCT((('CASE MASTER'!$T$2:$T$495=7)*('CASE MASTER'!$AA$2:$AA$495&lt;=10)*('CASE MASTER'!$AC$2:$AC$495&gt;=10)*('CASE MASTER'!$AB$2:$AB$495&lt;=3)*('CASE MASTER'!$AD$2:$AD$495&gt;=3))*ROW('CASE MASTER'!$T$2:$T$495))-(ROW('CASE MASTER'!#REF!)-1)))&amp;TRIM(MID(SUBSTITUTE(SUBSTITUTE(INDEX('CASE MASTER'!$N$2:$N$495,(SUMPRODUCT((('CASE MASTER'!$T$2:$T$495=7)*('CASE MASTER'!$AA$2:$AA$495&lt;=10)*('CASE MASTER'!$AC$2:$AC$495&gt;=10)*('CASE MASTER'!$AB$2:$AB$495&lt;=3)*('CASE MASTER'!$AD$2:$AD$495&gt;=3))*ROW('CASE MASTER'!$T$2:$T$495))-(ROW('CASE MASTER'!#REF!)-1))),":",","),",",REPT(" ",50)),(((INDEX('CASE MASTER'!$Z$2:$Z$495,(SUMPRODUCT((('CASE MASTER'!$T$2:$T$495=7)*('CASE MASTER'!$AA$2:$AA$495&lt;=10)*('CASE MASTER'!$AC$2:$AC$495&gt;=10)*('CASE MASTER'!$AB$2:$AB$495&lt;=3)*('CASE MASTER'!$AD$2:$AD$495&gt;=3))*ROW('CASE MASTER'!$T$2:$T$495))-(ROW('CASE MASTER'!#REF!)-1)))+((10-INDEX('CASE MASTER'!$AA$2:$AA$495,(SUMPRODUCT((('CASE MASTER'!$T$2:$T$495=7)*('CASE MASTER'!$AA$2:$AA$495&lt;=10)*('CASE MASTER'!$AC$2:$AC$495&gt;=10)*('CASE MASTER'!$AB$2:$AB$495&lt;=3)*('CASE MASTER'!$AD$2:$AD$495&gt;=3))*ROW('CASE MASTER'!$T$2:$T$495))-(ROW('CASE MASTER'!#REF!)-1))))*(INDEX('CASE MASTER'!$AD$2:$AD$495,(SUMPRODUCT((('CASE MASTER'!$T$2:$T$495=7)*('CASE MASTER'!$AA$2:$AA$495&lt;=10)*('CASE MASTER'!$AC$2:$AC$495&gt;=10)*('CASE MASTER'!$AB$2:$AB$495&lt;=3)*('CASE MASTER'!$AD$2:$AD$495&gt;=3))*ROW('CASE MASTER'!$T$2:$T$495))-(ROW('CASE MASTER'!#REF!)-1)))-INDEX('CASE MASTER'!$AB$2:$AB$495,(SUMPRODUCT((('CASE MASTER'!$T$2:$T$495=7)*('CASE MASTER'!$AA$2:$AA$495&lt;=10)*('CASE MASTER'!$AC$2:$AC$495&gt;=10)*('CASE MASTER'!$AB$2:$AB$495&lt;=3)*('CASE MASTER'!$AD$2:$AD$495&gt;=3))*ROW('CASE MASTER'!$T$2:$T$495))-(ROW('CASE MASTER'!#REF!)-1)))+1)+(3-INDEX('CASE MASTER'!$AB$2:$AB$495,(SUMPRODUCT((('CASE MASTER'!$T$2:$T$495=7)*('CASE MASTER'!$AA$2:$AA$495&lt;=10)*('CASE MASTER'!$AC$2:$AC$495&gt;=10)*('CASE MASTER'!$AB$2:$AB$495&lt;=3)*('CASE MASTER'!$AD$2:$AD$495&gt;=3))*ROW('CASE MASTER'!$T$2:$T$495))-(ROW('CASE MASTER'!#REF!)-1))))+1)))-1)*50+1,50))&amp;"_"&amp;INDEX('CASE MASTER'!$Q$2:$Q$495,(SUMPRODUCT((('CASE MASTER'!$T$2:$T$495=7)*('CASE MASTER'!$AA$2:$AA$495&lt;=10)*('CASE MASTER'!$AC$2:$AC$495&gt;=10)*('CASE MASTER'!$AB$2:$AB$495&lt;=3)*('CASE MASTER'!$AD$2:$AD$495&gt;=3))*ROW('CASE MASTER'!$T$2:$T$495))-(ROW('CASE MASTER'!#REF!)-1))),"")),"")</f>
        <v/>
      </c>
      <c r="E96" s="10" t="str">
        <f>IFERROR(IF(SUMPRODUCT((('CASE MASTER'!$T$2:$T$495=7)*('CASE MASTER'!$U$2:$U$495&lt;=10)*('CASE MASTER'!$W$2:$W$495&gt;=10)*('CASE MASTER'!$V$2:$V$495&lt;=4)*('CASE MASTER'!$X$2:$X$495&gt;=4))*ROW('CASE MASTER'!$T$2:$T$495))&gt;0,INDEX('CASE MASTER'!$Y$2:$Y$495,(SUMPRODUCT((('CASE MASTER'!$T$2:$T$495=7)*('CASE MASTER'!$U$2:$U$495&lt;=10)*('CASE MASTER'!$W$2:$W$495&gt;=10)*('CASE MASTER'!$V$2:$V$495&lt;=4)*('CASE MASTER'!$X$2:$X$495&gt;=4))*ROW('CASE MASTER'!$T$2:$T$495))-(ROW('CASE MASTER'!#REF!)-1)))&amp;TRIM(MID(SUBSTITUTE(SUBSTITUTE(INDEX('CASE MASTER'!$N$2:$N$495,(SUMPRODUCT((('CASE MASTER'!$T$2:$T$495=7)*('CASE MASTER'!$U$2:$U$495&lt;=10)*('CASE MASTER'!$W$2:$W$495&gt;=10)*('CASE MASTER'!$V$2:$V$495&lt;=4)*('CASE MASTER'!$X$2:$X$495&gt;=4))*ROW('CASE MASTER'!$T$2:$T$495))-(ROW('CASE MASTER'!#REF!)-1))),":",","),",",REPT(" ",50)),((((10-INDEX('CASE MASTER'!$U$2:$U$495,(SUMPRODUCT((('CASE MASTER'!$T$2:$T$495=7)*('CASE MASTER'!$U$2:$U$495&lt;=10)*('CASE MASTER'!$W$2:$W$495&gt;=10)*('CASE MASTER'!$V$2:$V$495&lt;=4)*('CASE MASTER'!$X$2:$X$495&gt;=4))*ROW('CASE MASTER'!$T$2:$T$495))-(ROW('CASE MASTER'!#REF!)-1))))*(INDEX('CASE MASTER'!$X$2:$X$495,(SUMPRODUCT((('CASE MASTER'!$T$2:$T$495=7)*('CASE MASTER'!$U$2:$U$495&lt;=10)*('CASE MASTER'!$W$2:$W$495&gt;=10)*('CASE MASTER'!$V$2:$V$495&lt;=4)*('CASE MASTER'!$X$2:$X$495&gt;=4))*ROW('CASE MASTER'!$T$2:$T$495))-(ROW('CASE MASTER'!#REF!)-1)))-INDEX('CASE MASTER'!$V$2:$V$495,(SUMPRODUCT((('CASE MASTER'!$T$2:$T$495=7)*('CASE MASTER'!$U$2:$U$495&lt;=10)*('CASE MASTER'!$W$2:$W$495&gt;=10)*('CASE MASTER'!$V$2:$V$495&lt;=4)*('CASE MASTER'!$X$2:$X$495&gt;=4))*ROW('CASE MASTER'!$T$2:$T$495))-(ROW('CASE MASTER'!#REF!)-1)))+1)+(4-INDEX('CASE MASTER'!$V$2:$V$495,(SUMPRODUCT((('CASE MASTER'!$T$2:$T$495=7)*('CASE MASTER'!$U$2:$U$495&lt;=10)*('CASE MASTER'!$W$2:$W$495&gt;=10)*('CASE MASTER'!$V$2:$V$495&lt;=4)*('CASE MASTER'!$X$2:$X$495&gt;=4))*ROW('CASE MASTER'!$T$2:$T$495))-(ROW('CASE MASTER'!#REF!)-1))))+1))-1)*50+1,50))&amp;"_"&amp;INDEX('CASE MASTER'!$Q$2:$Q$495,(SUMPRODUCT((('CASE MASTER'!$T$2:$T$495=7)*('CASE MASTER'!$U$2:$U$495&lt;=10)*('CASE MASTER'!$W$2:$W$495&gt;=10)*('CASE MASTER'!$V$2:$V$495&lt;=4)*('CASE MASTER'!$X$2:$X$495&gt;=4))*ROW('CASE MASTER'!$T$2:$T$495))-(ROW('CASE MASTER'!#REF!)-1))),IF(SUMPRODUCT((('CASE MASTER'!$T$2:$T$495=7)*('CASE MASTER'!$AA$2:$AA$495&lt;=10)*('CASE MASTER'!$AC$2:$AC$495&gt;=10)*('CASE MASTER'!$AB$2:$AB$495&lt;=4)*('CASE MASTER'!$AD$2:$AD$495&gt;=4))*ROW('CASE MASTER'!$T$2:$T$495))&gt;0,INDEX('CASE MASTER'!$Y$2:$Y$495,(SUMPRODUCT((('CASE MASTER'!$T$2:$T$495=7)*('CASE MASTER'!$AA$2:$AA$495&lt;=10)*('CASE MASTER'!$AC$2:$AC$495&gt;=10)*('CASE MASTER'!$AB$2:$AB$495&lt;=4)*('CASE MASTER'!$AD$2:$AD$495&gt;=4))*ROW('CASE MASTER'!$T$2:$T$495))-(ROW('CASE MASTER'!#REF!)-1)))&amp;TRIM(MID(SUBSTITUTE(SUBSTITUTE(INDEX('CASE MASTER'!$N$2:$N$495,(SUMPRODUCT((('CASE MASTER'!$T$2:$T$495=7)*('CASE MASTER'!$AA$2:$AA$495&lt;=10)*('CASE MASTER'!$AC$2:$AC$495&gt;=10)*('CASE MASTER'!$AB$2:$AB$495&lt;=4)*('CASE MASTER'!$AD$2:$AD$495&gt;=4))*ROW('CASE MASTER'!$T$2:$T$495))-(ROW('CASE MASTER'!#REF!)-1))),":",","),",",REPT(" ",50)),(((INDEX('CASE MASTER'!$Z$2:$Z$495,(SUMPRODUCT((('CASE MASTER'!$T$2:$T$495=7)*('CASE MASTER'!$AA$2:$AA$495&lt;=10)*('CASE MASTER'!$AC$2:$AC$495&gt;=10)*('CASE MASTER'!$AB$2:$AB$495&lt;=4)*('CASE MASTER'!$AD$2:$AD$495&gt;=4))*ROW('CASE MASTER'!$T$2:$T$495))-(ROW('CASE MASTER'!#REF!)-1)))+((10-INDEX('CASE MASTER'!$AA$2:$AA$495,(SUMPRODUCT((('CASE MASTER'!$T$2:$T$495=7)*('CASE MASTER'!$AA$2:$AA$495&lt;=10)*('CASE MASTER'!$AC$2:$AC$495&gt;=10)*('CASE MASTER'!$AB$2:$AB$495&lt;=4)*('CASE MASTER'!$AD$2:$AD$495&gt;=4))*ROW('CASE MASTER'!$T$2:$T$495))-(ROW('CASE MASTER'!#REF!)-1))))*(INDEX('CASE MASTER'!$AD$2:$AD$495,(SUMPRODUCT((('CASE MASTER'!$T$2:$T$495=7)*('CASE MASTER'!$AA$2:$AA$495&lt;=10)*('CASE MASTER'!$AC$2:$AC$495&gt;=10)*('CASE MASTER'!$AB$2:$AB$495&lt;=4)*('CASE MASTER'!$AD$2:$AD$495&gt;=4))*ROW('CASE MASTER'!$T$2:$T$495))-(ROW('CASE MASTER'!#REF!)-1)))-INDEX('CASE MASTER'!$AB$2:$AB$495,(SUMPRODUCT((('CASE MASTER'!$T$2:$T$495=7)*('CASE MASTER'!$AA$2:$AA$495&lt;=10)*('CASE MASTER'!$AC$2:$AC$495&gt;=10)*('CASE MASTER'!$AB$2:$AB$495&lt;=4)*('CASE MASTER'!$AD$2:$AD$495&gt;=4))*ROW('CASE MASTER'!$T$2:$T$495))-(ROW('CASE MASTER'!#REF!)-1)))+1)+(4-INDEX('CASE MASTER'!$AB$2:$AB$495,(SUMPRODUCT((('CASE MASTER'!$T$2:$T$495=7)*('CASE MASTER'!$AA$2:$AA$495&lt;=10)*('CASE MASTER'!$AC$2:$AC$495&gt;=10)*('CASE MASTER'!$AB$2:$AB$495&lt;=4)*('CASE MASTER'!$AD$2:$AD$495&gt;=4))*ROW('CASE MASTER'!$T$2:$T$495))-(ROW('CASE MASTER'!#REF!)-1))))+1)))-1)*50+1,50))&amp;"_"&amp;INDEX('CASE MASTER'!$Q$2:$Q$495,(SUMPRODUCT((('CASE MASTER'!$T$2:$T$495=7)*('CASE MASTER'!$AA$2:$AA$495&lt;=10)*('CASE MASTER'!$AC$2:$AC$495&gt;=10)*('CASE MASTER'!$AB$2:$AB$495&lt;=4)*('CASE MASTER'!$AD$2:$AD$495&gt;=4))*ROW('CASE MASTER'!$T$2:$T$495))-(ROW('CASE MASTER'!#REF!)-1))),"")),"")</f>
        <v/>
      </c>
      <c r="F96" s="10" t="str">
        <f>IFERROR(IF(SUMPRODUCT((('CASE MASTER'!$T$2:$T$495=7)*('CASE MASTER'!$U$2:$U$495&lt;=10)*('CASE MASTER'!$W$2:$W$495&gt;=10)*('CASE MASTER'!$V$2:$V$495&lt;=5)*('CASE MASTER'!$X$2:$X$495&gt;=5))*ROW('CASE MASTER'!$T$2:$T$495))&gt;0,INDEX('CASE MASTER'!$Y$2:$Y$495,(SUMPRODUCT((('CASE MASTER'!$T$2:$T$495=7)*('CASE MASTER'!$U$2:$U$495&lt;=10)*('CASE MASTER'!$W$2:$W$495&gt;=10)*('CASE MASTER'!$V$2:$V$495&lt;=5)*('CASE MASTER'!$X$2:$X$495&gt;=5))*ROW('CASE MASTER'!$T$2:$T$495))-(ROW('CASE MASTER'!#REF!)-1)))&amp;TRIM(MID(SUBSTITUTE(SUBSTITUTE(INDEX('CASE MASTER'!$N$2:$N$495,(SUMPRODUCT((('CASE MASTER'!$T$2:$T$495=7)*('CASE MASTER'!$U$2:$U$495&lt;=10)*('CASE MASTER'!$W$2:$W$495&gt;=10)*('CASE MASTER'!$V$2:$V$495&lt;=5)*('CASE MASTER'!$X$2:$X$495&gt;=5))*ROW('CASE MASTER'!$T$2:$T$495))-(ROW('CASE MASTER'!#REF!)-1))),":",","),",",REPT(" ",50)),((((10-INDEX('CASE MASTER'!$U$2:$U$495,(SUMPRODUCT((('CASE MASTER'!$T$2:$T$495=7)*('CASE MASTER'!$U$2:$U$495&lt;=10)*('CASE MASTER'!$W$2:$W$495&gt;=10)*('CASE MASTER'!$V$2:$V$495&lt;=5)*('CASE MASTER'!$X$2:$X$495&gt;=5))*ROW('CASE MASTER'!$T$2:$T$495))-(ROW('CASE MASTER'!#REF!)-1))))*(INDEX('CASE MASTER'!$X$2:$X$495,(SUMPRODUCT((('CASE MASTER'!$T$2:$T$495=7)*('CASE MASTER'!$U$2:$U$495&lt;=10)*('CASE MASTER'!$W$2:$W$495&gt;=10)*('CASE MASTER'!$V$2:$V$495&lt;=5)*('CASE MASTER'!$X$2:$X$495&gt;=5))*ROW('CASE MASTER'!$T$2:$T$495))-(ROW('CASE MASTER'!#REF!)-1)))-INDEX('CASE MASTER'!$V$2:$V$495,(SUMPRODUCT((('CASE MASTER'!$T$2:$T$495=7)*('CASE MASTER'!$U$2:$U$495&lt;=10)*('CASE MASTER'!$W$2:$W$495&gt;=10)*('CASE MASTER'!$V$2:$V$495&lt;=5)*('CASE MASTER'!$X$2:$X$495&gt;=5))*ROW('CASE MASTER'!$T$2:$T$495))-(ROW('CASE MASTER'!#REF!)-1)))+1)+(5-INDEX('CASE MASTER'!$V$2:$V$495,(SUMPRODUCT((('CASE MASTER'!$T$2:$T$495=7)*('CASE MASTER'!$U$2:$U$495&lt;=10)*('CASE MASTER'!$W$2:$W$495&gt;=10)*('CASE MASTER'!$V$2:$V$495&lt;=5)*('CASE MASTER'!$X$2:$X$495&gt;=5))*ROW('CASE MASTER'!$T$2:$T$495))-(ROW('CASE MASTER'!#REF!)-1))))+1))-1)*50+1,50))&amp;"_"&amp;INDEX('CASE MASTER'!$Q$2:$Q$495,(SUMPRODUCT((('CASE MASTER'!$T$2:$T$495=7)*('CASE MASTER'!$U$2:$U$495&lt;=10)*('CASE MASTER'!$W$2:$W$495&gt;=10)*('CASE MASTER'!$V$2:$V$495&lt;=5)*('CASE MASTER'!$X$2:$X$495&gt;=5))*ROW('CASE MASTER'!$T$2:$T$495))-(ROW('CASE MASTER'!#REF!)-1))),IF(SUMPRODUCT((('CASE MASTER'!$T$2:$T$495=7)*('CASE MASTER'!$AA$2:$AA$495&lt;=10)*('CASE MASTER'!$AC$2:$AC$495&gt;=10)*('CASE MASTER'!$AB$2:$AB$495&lt;=5)*('CASE MASTER'!$AD$2:$AD$495&gt;=5))*ROW('CASE MASTER'!$T$2:$T$495))&gt;0,INDEX('CASE MASTER'!$Y$2:$Y$495,(SUMPRODUCT((('CASE MASTER'!$T$2:$T$495=7)*('CASE MASTER'!$AA$2:$AA$495&lt;=10)*('CASE MASTER'!$AC$2:$AC$495&gt;=10)*('CASE MASTER'!$AB$2:$AB$495&lt;=5)*('CASE MASTER'!$AD$2:$AD$495&gt;=5))*ROW('CASE MASTER'!$T$2:$T$495))-(ROW('CASE MASTER'!#REF!)-1)))&amp;TRIM(MID(SUBSTITUTE(SUBSTITUTE(INDEX('CASE MASTER'!$N$2:$N$495,(SUMPRODUCT((('CASE MASTER'!$T$2:$T$495=7)*('CASE MASTER'!$AA$2:$AA$495&lt;=10)*('CASE MASTER'!$AC$2:$AC$495&gt;=10)*('CASE MASTER'!$AB$2:$AB$495&lt;=5)*('CASE MASTER'!$AD$2:$AD$495&gt;=5))*ROW('CASE MASTER'!$T$2:$T$495))-(ROW('CASE MASTER'!#REF!)-1))),":",","),",",REPT(" ",50)),(((INDEX('CASE MASTER'!$Z$2:$Z$495,(SUMPRODUCT((('CASE MASTER'!$T$2:$T$495=7)*('CASE MASTER'!$AA$2:$AA$495&lt;=10)*('CASE MASTER'!$AC$2:$AC$495&gt;=10)*('CASE MASTER'!$AB$2:$AB$495&lt;=5)*('CASE MASTER'!$AD$2:$AD$495&gt;=5))*ROW('CASE MASTER'!$T$2:$T$495))-(ROW('CASE MASTER'!#REF!)-1)))+((10-INDEX('CASE MASTER'!$AA$2:$AA$495,(SUMPRODUCT((('CASE MASTER'!$T$2:$T$495=7)*('CASE MASTER'!$AA$2:$AA$495&lt;=10)*('CASE MASTER'!$AC$2:$AC$495&gt;=10)*('CASE MASTER'!$AB$2:$AB$495&lt;=5)*('CASE MASTER'!$AD$2:$AD$495&gt;=5))*ROW('CASE MASTER'!$T$2:$T$495))-(ROW('CASE MASTER'!#REF!)-1))))*(INDEX('CASE MASTER'!$AD$2:$AD$495,(SUMPRODUCT((('CASE MASTER'!$T$2:$T$495=7)*('CASE MASTER'!$AA$2:$AA$495&lt;=10)*('CASE MASTER'!$AC$2:$AC$495&gt;=10)*('CASE MASTER'!$AB$2:$AB$495&lt;=5)*('CASE MASTER'!$AD$2:$AD$495&gt;=5))*ROW('CASE MASTER'!$T$2:$T$495))-(ROW('CASE MASTER'!#REF!)-1)))-INDEX('CASE MASTER'!$AB$2:$AB$495,(SUMPRODUCT((('CASE MASTER'!$T$2:$T$495=7)*('CASE MASTER'!$AA$2:$AA$495&lt;=10)*('CASE MASTER'!$AC$2:$AC$495&gt;=10)*('CASE MASTER'!$AB$2:$AB$495&lt;=5)*('CASE MASTER'!$AD$2:$AD$495&gt;=5))*ROW('CASE MASTER'!$T$2:$T$495))-(ROW('CASE MASTER'!#REF!)-1)))+1)+(5-INDEX('CASE MASTER'!$AB$2:$AB$495,(SUMPRODUCT((('CASE MASTER'!$T$2:$T$495=7)*('CASE MASTER'!$AA$2:$AA$495&lt;=10)*('CASE MASTER'!$AC$2:$AC$495&gt;=10)*('CASE MASTER'!$AB$2:$AB$495&lt;=5)*('CASE MASTER'!$AD$2:$AD$495&gt;=5))*ROW('CASE MASTER'!$T$2:$T$495))-(ROW('CASE MASTER'!#REF!)-1))))+1)))-1)*50+1,50))&amp;"_"&amp;INDEX('CASE MASTER'!$Q$2:$Q$495,(SUMPRODUCT((('CASE MASTER'!$T$2:$T$495=7)*('CASE MASTER'!$AA$2:$AA$495&lt;=10)*('CASE MASTER'!$AC$2:$AC$495&gt;=10)*('CASE MASTER'!$AB$2:$AB$495&lt;=5)*('CASE MASTER'!$AD$2:$AD$495&gt;=5))*ROW('CASE MASTER'!$T$2:$T$495))-(ROW('CASE MASTER'!#REF!)-1))),"")),"")</f>
        <v/>
      </c>
      <c r="G96" s="10" t="str">
        <f>IFERROR(IF(SUMPRODUCT((('CASE MASTER'!$T$2:$T$495=7)*('CASE MASTER'!$U$2:$U$495&lt;=10)*('CASE MASTER'!$W$2:$W$495&gt;=10)*('CASE MASTER'!$V$2:$V$495&lt;=6)*('CASE MASTER'!$X$2:$X$495&gt;=6))*ROW('CASE MASTER'!$T$2:$T$495))&gt;0,INDEX('CASE MASTER'!$Y$2:$Y$495,(SUMPRODUCT((('CASE MASTER'!$T$2:$T$495=7)*('CASE MASTER'!$U$2:$U$495&lt;=10)*('CASE MASTER'!$W$2:$W$495&gt;=10)*('CASE MASTER'!$V$2:$V$495&lt;=6)*('CASE MASTER'!$X$2:$X$495&gt;=6))*ROW('CASE MASTER'!$T$2:$T$495))-(ROW('CASE MASTER'!#REF!)-1)))&amp;TRIM(MID(SUBSTITUTE(SUBSTITUTE(INDEX('CASE MASTER'!$N$2:$N$495,(SUMPRODUCT((('CASE MASTER'!$T$2:$T$495=7)*('CASE MASTER'!$U$2:$U$495&lt;=10)*('CASE MASTER'!$W$2:$W$495&gt;=10)*('CASE MASTER'!$V$2:$V$495&lt;=6)*('CASE MASTER'!$X$2:$X$495&gt;=6))*ROW('CASE MASTER'!$T$2:$T$495))-(ROW('CASE MASTER'!#REF!)-1))),":",","),",",REPT(" ",50)),((((10-INDEX('CASE MASTER'!$U$2:$U$495,(SUMPRODUCT((('CASE MASTER'!$T$2:$T$495=7)*('CASE MASTER'!$U$2:$U$495&lt;=10)*('CASE MASTER'!$W$2:$W$495&gt;=10)*('CASE MASTER'!$V$2:$V$495&lt;=6)*('CASE MASTER'!$X$2:$X$495&gt;=6))*ROW('CASE MASTER'!$T$2:$T$495))-(ROW('CASE MASTER'!#REF!)-1))))*(INDEX('CASE MASTER'!$X$2:$X$495,(SUMPRODUCT((('CASE MASTER'!$T$2:$T$495=7)*('CASE MASTER'!$U$2:$U$495&lt;=10)*('CASE MASTER'!$W$2:$W$495&gt;=10)*('CASE MASTER'!$V$2:$V$495&lt;=6)*('CASE MASTER'!$X$2:$X$495&gt;=6))*ROW('CASE MASTER'!$T$2:$T$495))-(ROW('CASE MASTER'!#REF!)-1)))-INDEX('CASE MASTER'!$V$2:$V$495,(SUMPRODUCT((('CASE MASTER'!$T$2:$T$495=7)*('CASE MASTER'!$U$2:$U$495&lt;=10)*('CASE MASTER'!$W$2:$W$495&gt;=10)*('CASE MASTER'!$V$2:$V$495&lt;=6)*('CASE MASTER'!$X$2:$X$495&gt;=6))*ROW('CASE MASTER'!$T$2:$T$495))-(ROW('CASE MASTER'!#REF!)-1)))+1)+(6-INDEX('CASE MASTER'!$V$2:$V$495,(SUMPRODUCT((('CASE MASTER'!$T$2:$T$495=7)*('CASE MASTER'!$U$2:$U$495&lt;=10)*('CASE MASTER'!$W$2:$W$495&gt;=10)*('CASE MASTER'!$V$2:$V$495&lt;=6)*('CASE MASTER'!$X$2:$X$495&gt;=6))*ROW('CASE MASTER'!$T$2:$T$495))-(ROW('CASE MASTER'!#REF!)-1))))+1))-1)*50+1,50))&amp;"_"&amp;INDEX('CASE MASTER'!$Q$2:$Q$495,(SUMPRODUCT((('CASE MASTER'!$T$2:$T$495=7)*('CASE MASTER'!$U$2:$U$495&lt;=10)*('CASE MASTER'!$W$2:$W$495&gt;=10)*('CASE MASTER'!$V$2:$V$495&lt;=6)*('CASE MASTER'!$X$2:$X$495&gt;=6))*ROW('CASE MASTER'!$T$2:$T$495))-(ROW('CASE MASTER'!#REF!)-1))),IF(SUMPRODUCT((('CASE MASTER'!$T$2:$T$495=7)*('CASE MASTER'!$AA$2:$AA$495&lt;=10)*('CASE MASTER'!$AC$2:$AC$495&gt;=10)*('CASE MASTER'!$AB$2:$AB$495&lt;=6)*('CASE MASTER'!$AD$2:$AD$495&gt;=6))*ROW('CASE MASTER'!$T$2:$T$495))&gt;0,INDEX('CASE MASTER'!$Y$2:$Y$495,(SUMPRODUCT((('CASE MASTER'!$T$2:$T$495=7)*('CASE MASTER'!$AA$2:$AA$495&lt;=10)*('CASE MASTER'!$AC$2:$AC$495&gt;=10)*('CASE MASTER'!$AB$2:$AB$495&lt;=6)*('CASE MASTER'!$AD$2:$AD$495&gt;=6))*ROW('CASE MASTER'!$T$2:$T$495))-(ROW('CASE MASTER'!#REF!)-1)))&amp;TRIM(MID(SUBSTITUTE(SUBSTITUTE(INDEX('CASE MASTER'!$N$2:$N$495,(SUMPRODUCT((('CASE MASTER'!$T$2:$T$495=7)*('CASE MASTER'!$AA$2:$AA$495&lt;=10)*('CASE MASTER'!$AC$2:$AC$495&gt;=10)*('CASE MASTER'!$AB$2:$AB$495&lt;=6)*('CASE MASTER'!$AD$2:$AD$495&gt;=6))*ROW('CASE MASTER'!$T$2:$T$495))-(ROW('CASE MASTER'!#REF!)-1))),":",","),",",REPT(" ",50)),(((INDEX('CASE MASTER'!$Z$2:$Z$495,(SUMPRODUCT((('CASE MASTER'!$T$2:$T$495=7)*('CASE MASTER'!$AA$2:$AA$495&lt;=10)*('CASE MASTER'!$AC$2:$AC$495&gt;=10)*('CASE MASTER'!$AB$2:$AB$495&lt;=6)*('CASE MASTER'!$AD$2:$AD$495&gt;=6))*ROW('CASE MASTER'!$T$2:$T$495))-(ROW('CASE MASTER'!#REF!)-1)))+((10-INDEX('CASE MASTER'!$AA$2:$AA$495,(SUMPRODUCT((('CASE MASTER'!$T$2:$T$495=7)*('CASE MASTER'!$AA$2:$AA$495&lt;=10)*('CASE MASTER'!$AC$2:$AC$495&gt;=10)*('CASE MASTER'!$AB$2:$AB$495&lt;=6)*('CASE MASTER'!$AD$2:$AD$495&gt;=6))*ROW('CASE MASTER'!$T$2:$T$495))-(ROW('CASE MASTER'!#REF!)-1))))*(INDEX('CASE MASTER'!$AD$2:$AD$495,(SUMPRODUCT((('CASE MASTER'!$T$2:$T$495=7)*('CASE MASTER'!$AA$2:$AA$495&lt;=10)*('CASE MASTER'!$AC$2:$AC$495&gt;=10)*('CASE MASTER'!$AB$2:$AB$495&lt;=6)*('CASE MASTER'!$AD$2:$AD$495&gt;=6))*ROW('CASE MASTER'!$T$2:$T$495))-(ROW('CASE MASTER'!#REF!)-1)))-INDEX('CASE MASTER'!$AB$2:$AB$495,(SUMPRODUCT((('CASE MASTER'!$T$2:$T$495=7)*('CASE MASTER'!$AA$2:$AA$495&lt;=10)*('CASE MASTER'!$AC$2:$AC$495&gt;=10)*('CASE MASTER'!$AB$2:$AB$495&lt;=6)*('CASE MASTER'!$AD$2:$AD$495&gt;=6))*ROW('CASE MASTER'!$T$2:$T$495))-(ROW('CASE MASTER'!#REF!)-1)))+1)+(6-INDEX('CASE MASTER'!$AB$2:$AB$495,(SUMPRODUCT((('CASE MASTER'!$T$2:$T$495=7)*('CASE MASTER'!$AA$2:$AA$495&lt;=10)*('CASE MASTER'!$AC$2:$AC$495&gt;=10)*('CASE MASTER'!$AB$2:$AB$495&lt;=6)*('CASE MASTER'!$AD$2:$AD$495&gt;=6))*ROW('CASE MASTER'!$T$2:$T$495))-(ROW('CASE MASTER'!#REF!)-1))))+1)))-1)*50+1,50))&amp;"_"&amp;INDEX('CASE MASTER'!$Q$2:$Q$495,(SUMPRODUCT((('CASE MASTER'!$T$2:$T$495=7)*('CASE MASTER'!$AA$2:$AA$495&lt;=10)*('CASE MASTER'!$AC$2:$AC$495&gt;=10)*('CASE MASTER'!$AB$2:$AB$495&lt;=6)*('CASE MASTER'!$AD$2:$AD$495&gt;=6))*ROW('CASE MASTER'!$T$2:$T$495))-(ROW('CASE MASTER'!#REF!)-1))),"")),"")</f>
        <v/>
      </c>
      <c r="H96" s="10" t="str">
        <f>IFERROR(IF(SUMPRODUCT((('CASE MASTER'!$T$2:$T$495=7)*('CASE MASTER'!$U$2:$U$495&lt;=10)*('CASE MASTER'!$W$2:$W$495&gt;=10)*('CASE MASTER'!$V$2:$V$495&lt;=7)*('CASE MASTER'!$X$2:$X$495&gt;=7))*ROW('CASE MASTER'!$T$2:$T$495))&gt;0,INDEX('CASE MASTER'!$Y$2:$Y$495,(SUMPRODUCT((('CASE MASTER'!$T$2:$T$495=7)*('CASE MASTER'!$U$2:$U$495&lt;=10)*('CASE MASTER'!$W$2:$W$495&gt;=10)*('CASE MASTER'!$V$2:$V$495&lt;=7)*('CASE MASTER'!$X$2:$X$495&gt;=7))*ROW('CASE MASTER'!$T$2:$T$495))-(ROW('CASE MASTER'!#REF!)-1)))&amp;TRIM(MID(SUBSTITUTE(SUBSTITUTE(INDEX('CASE MASTER'!$N$2:$N$495,(SUMPRODUCT((('CASE MASTER'!$T$2:$T$495=7)*('CASE MASTER'!$U$2:$U$495&lt;=10)*('CASE MASTER'!$W$2:$W$495&gt;=10)*('CASE MASTER'!$V$2:$V$495&lt;=7)*('CASE MASTER'!$X$2:$X$495&gt;=7))*ROW('CASE MASTER'!$T$2:$T$495))-(ROW('CASE MASTER'!#REF!)-1))),":",","),",",REPT(" ",50)),((((10-INDEX('CASE MASTER'!$U$2:$U$495,(SUMPRODUCT((('CASE MASTER'!$T$2:$T$495=7)*('CASE MASTER'!$U$2:$U$495&lt;=10)*('CASE MASTER'!$W$2:$W$495&gt;=10)*('CASE MASTER'!$V$2:$V$495&lt;=7)*('CASE MASTER'!$X$2:$X$495&gt;=7))*ROW('CASE MASTER'!$T$2:$T$495))-(ROW('CASE MASTER'!#REF!)-1))))*(INDEX('CASE MASTER'!$X$2:$X$495,(SUMPRODUCT((('CASE MASTER'!$T$2:$T$495=7)*('CASE MASTER'!$U$2:$U$495&lt;=10)*('CASE MASTER'!$W$2:$W$495&gt;=10)*('CASE MASTER'!$V$2:$V$495&lt;=7)*('CASE MASTER'!$X$2:$X$495&gt;=7))*ROW('CASE MASTER'!$T$2:$T$495))-(ROW('CASE MASTER'!#REF!)-1)))-INDEX('CASE MASTER'!$V$2:$V$495,(SUMPRODUCT((('CASE MASTER'!$T$2:$T$495=7)*('CASE MASTER'!$U$2:$U$495&lt;=10)*('CASE MASTER'!$W$2:$W$495&gt;=10)*('CASE MASTER'!$V$2:$V$495&lt;=7)*('CASE MASTER'!$X$2:$X$495&gt;=7))*ROW('CASE MASTER'!$T$2:$T$495))-(ROW('CASE MASTER'!#REF!)-1)))+1)+(7-INDEX('CASE MASTER'!$V$2:$V$495,(SUMPRODUCT((('CASE MASTER'!$T$2:$T$495=7)*('CASE MASTER'!$U$2:$U$495&lt;=10)*('CASE MASTER'!$W$2:$W$495&gt;=10)*('CASE MASTER'!$V$2:$V$495&lt;=7)*('CASE MASTER'!$X$2:$X$495&gt;=7))*ROW('CASE MASTER'!$T$2:$T$495))-(ROW('CASE MASTER'!#REF!)-1))))+1))-1)*50+1,50))&amp;"_"&amp;INDEX('CASE MASTER'!$Q$2:$Q$495,(SUMPRODUCT((('CASE MASTER'!$T$2:$T$495=7)*('CASE MASTER'!$U$2:$U$495&lt;=10)*('CASE MASTER'!$W$2:$W$495&gt;=10)*('CASE MASTER'!$V$2:$V$495&lt;=7)*('CASE MASTER'!$X$2:$X$495&gt;=7))*ROW('CASE MASTER'!$T$2:$T$495))-(ROW('CASE MASTER'!#REF!)-1))),IF(SUMPRODUCT((('CASE MASTER'!$T$2:$T$495=7)*('CASE MASTER'!$AA$2:$AA$495&lt;=10)*('CASE MASTER'!$AC$2:$AC$495&gt;=10)*('CASE MASTER'!$AB$2:$AB$495&lt;=7)*('CASE MASTER'!$AD$2:$AD$495&gt;=7))*ROW('CASE MASTER'!$T$2:$T$495))&gt;0,INDEX('CASE MASTER'!$Y$2:$Y$495,(SUMPRODUCT((('CASE MASTER'!$T$2:$T$495=7)*('CASE MASTER'!$AA$2:$AA$495&lt;=10)*('CASE MASTER'!$AC$2:$AC$495&gt;=10)*('CASE MASTER'!$AB$2:$AB$495&lt;=7)*('CASE MASTER'!$AD$2:$AD$495&gt;=7))*ROW('CASE MASTER'!$T$2:$T$495))-(ROW('CASE MASTER'!#REF!)-1)))&amp;TRIM(MID(SUBSTITUTE(SUBSTITUTE(INDEX('CASE MASTER'!$N$2:$N$495,(SUMPRODUCT((('CASE MASTER'!$T$2:$T$495=7)*('CASE MASTER'!$AA$2:$AA$495&lt;=10)*('CASE MASTER'!$AC$2:$AC$495&gt;=10)*('CASE MASTER'!$AB$2:$AB$495&lt;=7)*('CASE MASTER'!$AD$2:$AD$495&gt;=7))*ROW('CASE MASTER'!$T$2:$T$495))-(ROW('CASE MASTER'!#REF!)-1))),":",","),",",REPT(" ",50)),(((INDEX('CASE MASTER'!$Z$2:$Z$495,(SUMPRODUCT((('CASE MASTER'!$T$2:$T$495=7)*('CASE MASTER'!$AA$2:$AA$495&lt;=10)*('CASE MASTER'!$AC$2:$AC$495&gt;=10)*('CASE MASTER'!$AB$2:$AB$495&lt;=7)*('CASE MASTER'!$AD$2:$AD$495&gt;=7))*ROW('CASE MASTER'!$T$2:$T$495))-(ROW('CASE MASTER'!#REF!)-1)))+((10-INDEX('CASE MASTER'!$AA$2:$AA$495,(SUMPRODUCT((('CASE MASTER'!$T$2:$T$495=7)*('CASE MASTER'!$AA$2:$AA$495&lt;=10)*('CASE MASTER'!$AC$2:$AC$495&gt;=10)*('CASE MASTER'!$AB$2:$AB$495&lt;=7)*('CASE MASTER'!$AD$2:$AD$495&gt;=7))*ROW('CASE MASTER'!$T$2:$T$495))-(ROW('CASE MASTER'!#REF!)-1))))*(INDEX('CASE MASTER'!$AD$2:$AD$495,(SUMPRODUCT((('CASE MASTER'!$T$2:$T$495=7)*('CASE MASTER'!$AA$2:$AA$495&lt;=10)*('CASE MASTER'!$AC$2:$AC$495&gt;=10)*('CASE MASTER'!$AB$2:$AB$495&lt;=7)*('CASE MASTER'!$AD$2:$AD$495&gt;=7))*ROW('CASE MASTER'!$T$2:$T$495))-(ROW('CASE MASTER'!#REF!)-1)))-INDEX('CASE MASTER'!$AB$2:$AB$495,(SUMPRODUCT((('CASE MASTER'!$T$2:$T$495=7)*('CASE MASTER'!$AA$2:$AA$495&lt;=10)*('CASE MASTER'!$AC$2:$AC$495&gt;=10)*('CASE MASTER'!$AB$2:$AB$495&lt;=7)*('CASE MASTER'!$AD$2:$AD$495&gt;=7))*ROW('CASE MASTER'!$T$2:$T$495))-(ROW('CASE MASTER'!#REF!)-1)))+1)+(7-INDEX('CASE MASTER'!$AB$2:$AB$495,(SUMPRODUCT((('CASE MASTER'!$T$2:$T$495=7)*('CASE MASTER'!$AA$2:$AA$495&lt;=10)*('CASE MASTER'!$AC$2:$AC$495&gt;=10)*('CASE MASTER'!$AB$2:$AB$495&lt;=7)*('CASE MASTER'!$AD$2:$AD$495&gt;=7))*ROW('CASE MASTER'!$T$2:$T$495))-(ROW('CASE MASTER'!#REF!)-1))))+1)))-1)*50+1,50))&amp;"_"&amp;INDEX('CASE MASTER'!$Q$2:$Q$495,(SUMPRODUCT((('CASE MASTER'!$T$2:$T$495=7)*('CASE MASTER'!$AA$2:$AA$495&lt;=10)*('CASE MASTER'!$AC$2:$AC$495&gt;=10)*('CASE MASTER'!$AB$2:$AB$495&lt;=7)*('CASE MASTER'!$AD$2:$AD$495&gt;=7))*ROW('CASE MASTER'!$T$2:$T$495))-(ROW('CASE MASTER'!#REF!)-1))),"")),"")</f>
        <v/>
      </c>
      <c r="I96" s="10" t="str">
        <f>IFERROR(IF(SUMPRODUCT((('CASE MASTER'!$T$2:$T$495=7)*('CASE MASTER'!$U$2:$U$495&lt;=10)*('CASE MASTER'!$W$2:$W$495&gt;=10)*('CASE MASTER'!$V$2:$V$495&lt;=8)*('CASE MASTER'!$X$2:$X$495&gt;=8))*ROW('CASE MASTER'!$T$2:$T$495))&gt;0,INDEX('CASE MASTER'!$Y$2:$Y$495,(SUMPRODUCT((('CASE MASTER'!$T$2:$T$495=7)*('CASE MASTER'!$U$2:$U$495&lt;=10)*('CASE MASTER'!$W$2:$W$495&gt;=10)*('CASE MASTER'!$V$2:$V$495&lt;=8)*('CASE MASTER'!$X$2:$X$495&gt;=8))*ROW('CASE MASTER'!$T$2:$T$495))-(ROW('CASE MASTER'!#REF!)-1)))&amp;TRIM(MID(SUBSTITUTE(SUBSTITUTE(INDEX('CASE MASTER'!$N$2:$N$495,(SUMPRODUCT((('CASE MASTER'!$T$2:$T$495=7)*('CASE MASTER'!$U$2:$U$495&lt;=10)*('CASE MASTER'!$W$2:$W$495&gt;=10)*('CASE MASTER'!$V$2:$V$495&lt;=8)*('CASE MASTER'!$X$2:$X$495&gt;=8))*ROW('CASE MASTER'!$T$2:$T$495))-(ROW('CASE MASTER'!#REF!)-1))),":",","),",",REPT(" ",50)),((((10-INDEX('CASE MASTER'!$U$2:$U$495,(SUMPRODUCT((('CASE MASTER'!$T$2:$T$495=7)*('CASE MASTER'!$U$2:$U$495&lt;=10)*('CASE MASTER'!$W$2:$W$495&gt;=10)*('CASE MASTER'!$V$2:$V$495&lt;=8)*('CASE MASTER'!$X$2:$X$495&gt;=8))*ROW('CASE MASTER'!$T$2:$T$495))-(ROW('CASE MASTER'!#REF!)-1))))*(INDEX('CASE MASTER'!$X$2:$X$495,(SUMPRODUCT((('CASE MASTER'!$T$2:$T$495=7)*('CASE MASTER'!$U$2:$U$495&lt;=10)*('CASE MASTER'!$W$2:$W$495&gt;=10)*('CASE MASTER'!$V$2:$V$495&lt;=8)*('CASE MASTER'!$X$2:$X$495&gt;=8))*ROW('CASE MASTER'!$T$2:$T$495))-(ROW('CASE MASTER'!#REF!)-1)))-INDEX('CASE MASTER'!$V$2:$V$495,(SUMPRODUCT((('CASE MASTER'!$T$2:$T$495=7)*('CASE MASTER'!$U$2:$U$495&lt;=10)*('CASE MASTER'!$W$2:$W$495&gt;=10)*('CASE MASTER'!$V$2:$V$495&lt;=8)*('CASE MASTER'!$X$2:$X$495&gt;=8))*ROW('CASE MASTER'!$T$2:$T$495))-(ROW('CASE MASTER'!#REF!)-1)))+1)+(8-INDEX('CASE MASTER'!$V$2:$V$495,(SUMPRODUCT((('CASE MASTER'!$T$2:$T$495=7)*('CASE MASTER'!$U$2:$U$495&lt;=10)*('CASE MASTER'!$W$2:$W$495&gt;=10)*('CASE MASTER'!$V$2:$V$495&lt;=8)*('CASE MASTER'!$X$2:$X$495&gt;=8))*ROW('CASE MASTER'!$T$2:$T$495))-(ROW('CASE MASTER'!#REF!)-1))))+1))-1)*50+1,50))&amp;"_"&amp;INDEX('CASE MASTER'!$Q$2:$Q$495,(SUMPRODUCT((('CASE MASTER'!$T$2:$T$495=7)*('CASE MASTER'!$U$2:$U$495&lt;=10)*('CASE MASTER'!$W$2:$W$495&gt;=10)*('CASE MASTER'!$V$2:$V$495&lt;=8)*('CASE MASTER'!$X$2:$X$495&gt;=8))*ROW('CASE MASTER'!$T$2:$T$495))-(ROW('CASE MASTER'!#REF!)-1))),IF(SUMPRODUCT((('CASE MASTER'!$T$2:$T$495=7)*('CASE MASTER'!$AA$2:$AA$495&lt;=10)*('CASE MASTER'!$AC$2:$AC$495&gt;=10)*('CASE MASTER'!$AB$2:$AB$495&lt;=8)*('CASE MASTER'!$AD$2:$AD$495&gt;=8))*ROW('CASE MASTER'!$T$2:$T$495))&gt;0,INDEX('CASE MASTER'!$Y$2:$Y$495,(SUMPRODUCT((('CASE MASTER'!$T$2:$T$495=7)*('CASE MASTER'!$AA$2:$AA$495&lt;=10)*('CASE MASTER'!$AC$2:$AC$495&gt;=10)*('CASE MASTER'!$AB$2:$AB$495&lt;=8)*('CASE MASTER'!$AD$2:$AD$495&gt;=8))*ROW('CASE MASTER'!$T$2:$T$495))-(ROW('CASE MASTER'!#REF!)-1)))&amp;TRIM(MID(SUBSTITUTE(SUBSTITUTE(INDEX('CASE MASTER'!$N$2:$N$495,(SUMPRODUCT((('CASE MASTER'!$T$2:$T$495=7)*('CASE MASTER'!$AA$2:$AA$495&lt;=10)*('CASE MASTER'!$AC$2:$AC$495&gt;=10)*('CASE MASTER'!$AB$2:$AB$495&lt;=8)*('CASE MASTER'!$AD$2:$AD$495&gt;=8))*ROW('CASE MASTER'!$T$2:$T$495))-(ROW('CASE MASTER'!#REF!)-1))),":",","),",",REPT(" ",50)),(((INDEX('CASE MASTER'!$Z$2:$Z$495,(SUMPRODUCT((('CASE MASTER'!$T$2:$T$495=7)*('CASE MASTER'!$AA$2:$AA$495&lt;=10)*('CASE MASTER'!$AC$2:$AC$495&gt;=10)*('CASE MASTER'!$AB$2:$AB$495&lt;=8)*('CASE MASTER'!$AD$2:$AD$495&gt;=8))*ROW('CASE MASTER'!$T$2:$T$495))-(ROW('CASE MASTER'!#REF!)-1)))+((10-INDEX('CASE MASTER'!$AA$2:$AA$495,(SUMPRODUCT((('CASE MASTER'!$T$2:$T$495=7)*('CASE MASTER'!$AA$2:$AA$495&lt;=10)*('CASE MASTER'!$AC$2:$AC$495&gt;=10)*('CASE MASTER'!$AB$2:$AB$495&lt;=8)*('CASE MASTER'!$AD$2:$AD$495&gt;=8))*ROW('CASE MASTER'!$T$2:$T$495))-(ROW('CASE MASTER'!#REF!)-1))))*(INDEX('CASE MASTER'!$AD$2:$AD$495,(SUMPRODUCT((('CASE MASTER'!$T$2:$T$495=7)*('CASE MASTER'!$AA$2:$AA$495&lt;=10)*('CASE MASTER'!$AC$2:$AC$495&gt;=10)*('CASE MASTER'!$AB$2:$AB$495&lt;=8)*('CASE MASTER'!$AD$2:$AD$495&gt;=8))*ROW('CASE MASTER'!$T$2:$T$495))-(ROW('CASE MASTER'!#REF!)-1)))-INDEX('CASE MASTER'!$AB$2:$AB$495,(SUMPRODUCT((('CASE MASTER'!$T$2:$T$495=7)*('CASE MASTER'!$AA$2:$AA$495&lt;=10)*('CASE MASTER'!$AC$2:$AC$495&gt;=10)*('CASE MASTER'!$AB$2:$AB$495&lt;=8)*('CASE MASTER'!$AD$2:$AD$495&gt;=8))*ROW('CASE MASTER'!$T$2:$T$495))-(ROW('CASE MASTER'!#REF!)-1)))+1)+(8-INDEX('CASE MASTER'!$AB$2:$AB$495,(SUMPRODUCT((('CASE MASTER'!$T$2:$T$495=7)*('CASE MASTER'!$AA$2:$AA$495&lt;=10)*('CASE MASTER'!$AC$2:$AC$495&gt;=10)*('CASE MASTER'!$AB$2:$AB$495&lt;=8)*('CASE MASTER'!$AD$2:$AD$495&gt;=8))*ROW('CASE MASTER'!$T$2:$T$495))-(ROW('CASE MASTER'!#REF!)-1))))+1)))-1)*50+1,50))&amp;"_"&amp;INDEX('CASE MASTER'!$Q$2:$Q$495,(SUMPRODUCT((('CASE MASTER'!$T$2:$T$495=7)*('CASE MASTER'!$AA$2:$AA$495&lt;=10)*('CASE MASTER'!$AC$2:$AC$495&gt;=10)*('CASE MASTER'!$AB$2:$AB$495&lt;=8)*('CASE MASTER'!$AD$2:$AD$495&gt;=8))*ROW('CASE MASTER'!$T$2:$T$495))-(ROW('CASE MASTER'!#REF!)-1))),"")),"")</f>
        <v/>
      </c>
      <c r="J96" s="10" t="str">
        <f>IFERROR(IF(SUMPRODUCT((('CASE MASTER'!$T$2:$T$495=7)*('CASE MASTER'!$U$2:$U$495&lt;=10)*('CASE MASTER'!$W$2:$W$495&gt;=10)*('CASE MASTER'!$V$2:$V$495&lt;=9)*('CASE MASTER'!$X$2:$X$495&gt;=9))*ROW('CASE MASTER'!$T$2:$T$495))&gt;0,INDEX('CASE MASTER'!$Y$2:$Y$495,(SUMPRODUCT((('CASE MASTER'!$T$2:$T$495=7)*('CASE MASTER'!$U$2:$U$495&lt;=10)*('CASE MASTER'!$W$2:$W$495&gt;=10)*('CASE MASTER'!$V$2:$V$495&lt;=9)*('CASE MASTER'!$X$2:$X$495&gt;=9))*ROW('CASE MASTER'!$T$2:$T$495))-(ROW('CASE MASTER'!#REF!)-1)))&amp;TRIM(MID(SUBSTITUTE(SUBSTITUTE(INDEX('CASE MASTER'!$N$2:$N$495,(SUMPRODUCT((('CASE MASTER'!$T$2:$T$495=7)*('CASE MASTER'!$U$2:$U$495&lt;=10)*('CASE MASTER'!$W$2:$W$495&gt;=10)*('CASE MASTER'!$V$2:$V$495&lt;=9)*('CASE MASTER'!$X$2:$X$495&gt;=9))*ROW('CASE MASTER'!$T$2:$T$495))-(ROW('CASE MASTER'!#REF!)-1))),":",","),",",REPT(" ",50)),((((10-INDEX('CASE MASTER'!$U$2:$U$495,(SUMPRODUCT((('CASE MASTER'!$T$2:$T$495=7)*('CASE MASTER'!$U$2:$U$495&lt;=10)*('CASE MASTER'!$W$2:$W$495&gt;=10)*('CASE MASTER'!$V$2:$V$495&lt;=9)*('CASE MASTER'!$X$2:$X$495&gt;=9))*ROW('CASE MASTER'!$T$2:$T$495))-(ROW('CASE MASTER'!#REF!)-1))))*(INDEX('CASE MASTER'!$X$2:$X$495,(SUMPRODUCT((('CASE MASTER'!$T$2:$T$495=7)*('CASE MASTER'!$U$2:$U$495&lt;=10)*('CASE MASTER'!$W$2:$W$495&gt;=10)*('CASE MASTER'!$V$2:$V$495&lt;=9)*('CASE MASTER'!$X$2:$X$495&gt;=9))*ROW('CASE MASTER'!$T$2:$T$495))-(ROW('CASE MASTER'!#REF!)-1)))-INDEX('CASE MASTER'!$V$2:$V$495,(SUMPRODUCT((('CASE MASTER'!$T$2:$T$495=7)*('CASE MASTER'!$U$2:$U$495&lt;=10)*('CASE MASTER'!$W$2:$W$495&gt;=10)*('CASE MASTER'!$V$2:$V$495&lt;=9)*('CASE MASTER'!$X$2:$X$495&gt;=9))*ROW('CASE MASTER'!$T$2:$T$495))-(ROW('CASE MASTER'!#REF!)-1)))+1)+(9-INDEX('CASE MASTER'!$V$2:$V$495,(SUMPRODUCT((('CASE MASTER'!$T$2:$T$495=7)*('CASE MASTER'!$U$2:$U$495&lt;=10)*('CASE MASTER'!$W$2:$W$495&gt;=10)*('CASE MASTER'!$V$2:$V$495&lt;=9)*('CASE MASTER'!$X$2:$X$495&gt;=9))*ROW('CASE MASTER'!$T$2:$T$495))-(ROW('CASE MASTER'!#REF!)-1))))+1))-1)*50+1,50))&amp;"_"&amp;INDEX('CASE MASTER'!$Q$2:$Q$495,(SUMPRODUCT((('CASE MASTER'!$T$2:$T$495=7)*('CASE MASTER'!$U$2:$U$495&lt;=10)*('CASE MASTER'!$W$2:$W$495&gt;=10)*('CASE MASTER'!$V$2:$V$495&lt;=9)*('CASE MASTER'!$X$2:$X$495&gt;=9))*ROW('CASE MASTER'!$T$2:$T$495))-(ROW('CASE MASTER'!#REF!)-1))),IF(SUMPRODUCT((('CASE MASTER'!$T$2:$T$495=7)*('CASE MASTER'!$AA$2:$AA$495&lt;=10)*('CASE MASTER'!$AC$2:$AC$495&gt;=10)*('CASE MASTER'!$AB$2:$AB$495&lt;=9)*('CASE MASTER'!$AD$2:$AD$495&gt;=9))*ROW('CASE MASTER'!$T$2:$T$495))&gt;0,INDEX('CASE MASTER'!$Y$2:$Y$495,(SUMPRODUCT((('CASE MASTER'!$T$2:$T$495=7)*('CASE MASTER'!$AA$2:$AA$495&lt;=10)*('CASE MASTER'!$AC$2:$AC$495&gt;=10)*('CASE MASTER'!$AB$2:$AB$495&lt;=9)*('CASE MASTER'!$AD$2:$AD$495&gt;=9))*ROW('CASE MASTER'!$T$2:$T$495))-(ROW('CASE MASTER'!#REF!)-1)))&amp;TRIM(MID(SUBSTITUTE(SUBSTITUTE(INDEX('CASE MASTER'!$N$2:$N$495,(SUMPRODUCT((('CASE MASTER'!$T$2:$T$495=7)*('CASE MASTER'!$AA$2:$AA$495&lt;=10)*('CASE MASTER'!$AC$2:$AC$495&gt;=10)*('CASE MASTER'!$AB$2:$AB$495&lt;=9)*('CASE MASTER'!$AD$2:$AD$495&gt;=9))*ROW('CASE MASTER'!$T$2:$T$495))-(ROW('CASE MASTER'!#REF!)-1))),":",","),",",REPT(" ",50)),(((INDEX('CASE MASTER'!$Z$2:$Z$495,(SUMPRODUCT((('CASE MASTER'!$T$2:$T$495=7)*('CASE MASTER'!$AA$2:$AA$495&lt;=10)*('CASE MASTER'!$AC$2:$AC$495&gt;=10)*('CASE MASTER'!$AB$2:$AB$495&lt;=9)*('CASE MASTER'!$AD$2:$AD$495&gt;=9))*ROW('CASE MASTER'!$T$2:$T$495))-(ROW('CASE MASTER'!#REF!)-1)))+((10-INDEX('CASE MASTER'!$AA$2:$AA$495,(SUMPRODUCT((('CASE MASTER'!$T$2:$T$495=7)*('CASE MASTER'!$AA$2:$AA$495&lt;=10)*('CASE MASTER'!$AC$2:$AC$495&gt;=10)*('CASE MASTER'!$AB$2:$AB$495&lt;=9)*('CASE MASTER'!$AD$2:$AD$495&gt;=9))*ROW('CASE MASTER'!$T$2:$T$495))-(ROW('CASE MASTER'!#REF!)-1))))*(INDEX('CASE MASTER'!$AD$2:$AD$495,(SUMPRODUCT((('CASE MASTER'!$T$2:$T$495=7)*('CASE MASTER'!$AA$2:$AA$495&lt;=10)*('CASE MASTER'!$AC$2:$AC$495&gt;=10)*('CASE MASTER'!$AB$2:$AB$495&lt;=9)*('CASE MASTER'!$AD$2:$AD$495&gt;=9))*ROW('CASE MASTER'!$T$2:$T$495))-(ROW('CASE MASTER'!#REF!)-1)))-INDEX('CASE MASTER'!$AB$2:$AB$495,(SUMPRODUCT((('CASE MASTER'!$T$2:$T$495=7)*('CASE MASTER'!$AA$2:$AA$495&lt;=10)*('CASE MASTER'!$AC$2:$AC$495&gt;=10)*('CASE MASTER'!$AB$2:$AB$495&lt;=9)*('CASE MASTER'!$AD$2:$AD$495&gt;=9))*ROW('CASE MASTER'!$T$2:$T$495))-(ROW('CASE MASTER'!#REF!)-1)))+1)+(9-INDEX('CASE MASTER'!$AB$2:$AB$495,(SUMPRODUCT((('CASE MASTER'!$T$2:$T$495=7)*('CASE MASTER'!$AA$2:$AA$495&lt;=10)*('CASE MASTER'!$AC$2:$AC$495&gt;=10)*('CASE MASTER'!$AB$2:$AB$495&lt;=9)*('CASE MASTER'!$AD$2:$AD$495&gt;=9))*ROW('CASE MASTER'!$T$2:$T$495))-(ROW('CASE MASTER'!#REF!)-1))))+1)))-1)*50+1,50))&amp;"_"&amp;INDEX('CASE MASTER'!$Q$2:$Q$495,(SUMPRODUCT((('CASE MASTER'!$T$2:$T$495=7)*('CASE MASTER'!$AA$2:$AA$495&lt;=10)*('CASE MASTER'!$AC$2:$AC$495&gt;=10)*('CASE MASTER'!$AB$2:$AB$495&lt;=9)*('CASE MASTER'!$AD$2:$AD$495&gt;=9))*ROW('CASE MASTER'!$T$2:$T$495))-(ROW('CASE MASTER'!#REF!)-1))),"")),"")</f>
        <v/>
      </c>
      <c r="K96" s="10" t="str">
        <f>IFERROR(IF(SUMPRODUCT((('CASE MASTER'!$T$2:$T$495=7)*('CASE MASTER'!$U$2:$U$495&lt;=10)*('CASE MASTER'!$W$2:$W$495&gt;=10)*('CASE MASTER'!$V$2:$V$495&lt;=10)*('CASE MASTER'!$X$2:$X$495&gt;=10))*ROW('CASE MASTER'!$T$2:$T$495))&gt;0,INDEX('CASE MASTER'!$Y$2:$Y$495,(SUMPRODUCT((('CASE MASTER'!$T$2:$T$495=7)*('CASE MASTER'!$U$2:$U$495&lt;=10)*('CASE MASTER'!$W$2:$W$495&gt;=10)*('CASE MASTER'!$V$2:$V$495&lt;=10)*('CASE MASTER'!$X$2:$X$495&gt;=10))*ROW('CASE MASTER'!$T$2:$T$495))-(ROW('CASE MASTER'!#REF!)-1)))&amp;TRIM(MID(SUBSTITUTE(SUBSTITUTE(INDEX('CASE MASTER'!$N$2:$N$495,(SUMPRODUCT((('CASE MASTER'!$T$2:$T$495=7)*('CASE MASTER'!$U$2:$U$495&lt;=10)*('CASE MASTER'!$W$2:$W$495&gt;=10)*('CASE MASTER'!$V$2:$V$495&lt;=10)*('CASE MASTER'!$X$2:$X$495&gt;=10))*ROW('CASE MASTER'!$T$2:$T$495))-(ROW('CASE MASTER'!#REF!)-1))),":",","),",",REPT(" ",50)),((((10-INDEX('CASE MASTER'!$U$2:$U$495,(SUMPRODUCT((('CASE MASTER'!$T$2:$T$495=7)*('CASE MASTER'!$U$2:$U$495&lt;=10)*('CASE MASTER'!$W$2:$W$495&gt;=10)*('CASE MASTER'!$V$2:$V$495&lt;=10)*('CASE MASTER'!$X$2:$X$495&gt;=10))*ROW('CASE MASTER'!$T$2:$T$495))-(ROW('CASE MASTER'!#REF!)-1))))*(INDEX('CASE MASTER'!$X$2:$X$495,(SUMPRODUCT((('CASE MASTER'!$T$2:$T$495=7)*('CASE MASTER'!$U$2:$U$495&lt;=10)*('CASE MASTER'!$W$2:$W$495&gt;=10)*('CASE MASTER'!$V$2:$V$495&lt;=10)*('CASE MASTER'!$X$2:$X$495&gt;=10))*ROW('CASE MASTER'!$T$2:$T$495))-(ROW('CASE MASTER'!#REF!)-1)))-INDEX('CASE MASTER'!$V$2:$V$495,(SUMPRODUCT((('CASE MASTER'!$T$2:$T$495=7)*('CASE MASTER'!$U$2:$U$495&lt;=10)*('CASE MASTER'!$W$2:$W$495&gt;=10)*('CASE MASTER'!$V$2:$V$495&lt;=10)*('CASE MASTER'!$X$2:$X$495&gt;=10))*ROW('CASE MASTER'!$T$2:$T$495))-(ROW('CASE MASTER'!#REF!)-1)))+1)+(10-INDEX('CASE MASTER'!$V$2:$V$495,(SUMPRODUCT((('CASE MASTER'!$T$2:$T$495=7)*('CASE MASTER'!$U$2:$U$495&lt;=10)*('CASE MASTER'!$W$2:$W$495&gt;=10)*('CASE MASTER'!$V$2:$V$495&lt;=10)*('CASE MASTER'!$X$2:$X$495&gt;=10))*ROW('CASE MASTER'!$T$2:$T$495))-(ROW('CASE MASTER'!#REF!)-1))))+1))-1)*50+1,50))&amp;"_"&amp;INDEX('CASE MASTER'!$Q$2:$Q$495,(SUMPRODUCT((('CASE MASTER'!$T$2:$T$495=7)*('CASE MASTER'!$U$2:$U$495&lt;=10)*('CASE MASTER'!$W$2:$W$495&gt;=10)*('CASE MASTER'!$V$2:$V$495&lt;=10)*('CASE MASTER'!$X$2:$X$495&gt;=10))*ROW('CASE MASTER'!$T$2:$T$495))-(ROW('CASE MASTER'!#REF!)-1))),IF(SUMPRODUCT((('CASE MASTER'!$T$2:$T$495=7)*('CASE MASTER'!$AA$2:$AA$495&lt;=10)*('CASE MASTER'!$AC$2:$AC$495&gt;=10)*('CASE MASTER'!$AB$2:$AB$495&lt;=10)*('CASE MASTER'!$AD$2:$AD$495&gt;=10))*ROW('CASE MASTER'!$T$2:$T$495))&gt;0,INDEX('CASE MASTER'!$Y$2:$Y$495,(SUMPRODUCT((('CASE MASTER'!$T$2:$T$495=7)*('CASE MASTER'!$AA$2:$AA$495&lt;=10)*('CASE MASTER'!$AC$2:$AC$495&gt;=10)*('CASE MASTER'!$AB$2:$AB$495&lt;=10)*('CASE MASTER'!$AD$2:$AD$495&gt;=10))*ROW('CASE MASTER'!$T$2:$T$495))-(ROW('CASE MASTER'!#REF!)-1)))&amp;TRIM(MID(SUBSTITUTE(SUBSTITUTE(INDEX('CASE MASTER'!$N$2:$N$495,(SUMPRODUCT((('CASE MASTER'!$T$2:$T$495=7)*('CASE MASTER'!$AA$2:$AA$495&lt;=10)*('CASE MASTER'!$AC$2:$AC$495&gt;=10)*('CASE MASTER'!$AB$2:$AB$495&lt;=10)*('CASE MASTER'!$AD$2:$AD$495&gt;=10))*ROW('CASE MASTER'!$T$2:$T$495))-(ROW('CASE MASTER'!#REF!)-1))),":",","),",",REPT(" ",50)),(((INDEX('CASE MASTER'!$Z$2:$Z$495,(SUMPRODUCT((('CASE MASTER'!$T$2:$T$495=7)*('CASE MASTER'!$AA$2:$AA$495&lt;=10)*('CASE MASTER'!$AC$2:$AC$495&gt;=10)*('CASE MASTER'!$AB$2:$AB$495&lt;=10)*('CASE MASTER'!$AD$2:$AD$495&gt;=10))*ROW('CASE MASTER'!$T$2:$T$495))-(ROW('CASE MASTER'!#REF!)-1)))+((10-INDEX('CASE MASTER'!$AA$2:$AA$495,(SUMPRODUCT((('CASE MASTER'!$T$2:$T$495=7)*('CASE MASTER'!$AA$2:$AA$495&lt;=10)*('CASE MASTER'!$AC$2:$AC$495&gt;=10)*('CASE MASTER'!$AB$2:$AB$495&lt;=10)*('CASE MASTER'!$AD$2:$AD$495&gt;=10))*ROW('CASE MASTER'!$T$2:$T$495))-(ROW('CASE MASTER'!#REF!)-1))))*(INDEX('CASE MASTER'!$AD$2:$AD$495,(SUMPRODUCT((('CASE MASTER'!$T$2:$T$495=7)*('CASE MASTER'!$AA$2:$AA$495&lt;=10)*('CASE MASTER'!$AC$2:$AC$495&gt;=10)*('CASE MASTER'!$AB$2:$AB$495&lt;=10)*('CASE MASTER'!$AD$2:$AD$495&gt;=10))*ROW('CASE MASTER'!$T$2:$T$495))-(ROW('CASE MASTER'!#REF!)-1)))-INDEX('CASE MASTER'!$AB$2:$AB$495,(SUMPRODUCT((('CASE MASTER'!$T$2:$T$495=7)*('CASE MASTER'!$AA$2:$AA$495&lt;=10)*('CASE MASTER'!$AC$2:$AC$495&gt;=10)*('CASE MASTER'!$AB$2:$AB$495&lt;=10)*('CASE MASTER'!$AD$2:$AD$495&gt;=10))*ROW('CASE MASTER'!$T$2:$T$495))-(ROW('CASE MASTER'!#REF!)-1)))+1)+(10-INDEX('CASE MASTER'!$AB$2:$AB$495,(SUMPRODUCT((('CASE MASTER'!$T$2:$T$495=7)*('CASE MASTER'!$AA$2:$AA$495&lt;=10)*('CASE MASTER'!$AC$2:$AC$495&gt;=10)*('CASE MASTER'!$AB$2:$AB$495&lt;=10)*('CASE MASTER'!$AD$2:$AD$495&gt;=10))*ROW('CASE MASTER'!$T$2:$T$495))-(ROW('CASE MASTER'!#REF!)-1))))+1)))-1)*50+1,50))&amp;"_"&amp;INDEX('CASE MASTER'!$Q$2:$Q$495,(SUMPRODUCT((('CASE MASTER'!$T$2:$T$495=7)*('CASE MASTER'!$AA$2:$AA$495&lt;=10)*('CASE MASTER'!$AC$2:$AC$495&gt;=10)*('CASE MASTER'!$AB$2:$AB$495&lt;=10)*('CASE MASTER'!$AD$2:$AD$495&gt;=10))*ROW('CASE MASTER'!$T$2:$T$495))-(ROW('CASE MASTER'!#REF!)-1))),"")),"")</f>
        <v/>
      </c>
    </row>
    <row r="99" spans="1:11" ht="15" customHeight="1" x14ac:dyDescent="0.35">
      <c r="A99" s="12" t="s">
        <v>89</v>
      </c>
      <c r="B99" s="13"/>
      <c r="C99" s="13"/>
      <c r="D99" s="13"/>
      <c r="E99" s="13"/>
      <c r="F99" s="13"/>
      <c r="G99" s="13"/>
      <c r="H99" s="13"/>
      <c r="I99" s="13"/>
      <c r="J99" s="13"/>
      <c r="K99" s="13"/>
    </row>
    <row r="100" spans="1:11" ht="15" customHeight="1" x14ac:dyDescent="0.35">
      <c r="B100" s="8">
        <v>1</v>
      </c>
      <c r="C100" s="8">
        <v>2</v>
      </c>
      <c r="D100" s="8">
        <v>3</v>
      </c>
      <c r="E100" s="8">
        <v>4</v>
      </c>
      <c r="F100" s="8">
        <v>5</v>
      </c>
      <c r="G100" s="8">
        <v>6</v>
      </c>
      <c r="H100" s="8">
        <v>7</v>
      </c>
      <c r="I100" s="8">
        <v>8</v>
      </c>
      <c r="J100" s="8">
        <v>9</v>
      </c>
      <c r="K100" s="8">
        <v>10</v>
      </c>
    </row>
    <row r="101" spans="1:11" ht="15" customHeight="1" x14ac:dyDescent="0.35">
      <c r="A101" s="8" t="s">
        <v>28</v>
      </c>
      <c r="B101" s="10" t="str">
        <f>IFERROR(IF(SUMPRODUCT((('CASE MASTER'!$T$2:$T$495=8)*('CASE MASTER'!$U$2:$U$495&lt;=1)*('CASE MASTER'!$W$2:$W$495&gt;=1)*('CASE MASTER'!$V$2:$V$495&lt;=1)*('CASE MASTER'!$X$2:$X$495&gt;=1))*ROW('CASE MASTER'!$T$2:$T$495))&gt;0,INDEX('CASE MASTER'!$Y$2:$Y$495,(SUMPRODUCT((('CASE MASTER'!$T$2:$T$495=8)*('CASE MASTER'!$U$2:$U$495&lt;=1)*('CASE MASTER'!$W$2:$W$495&gt;=1)*('CASE MASTER'!$V$2:$V$495&lt;=1)*('CASE MASTER'!$X$2:$X$495&gt;=1))*ROW('CASE MASTER'!$T$2:$T$495))-(ROW('CASE MASTER'!#REF!)-1)))&amp;TRIM(MID(SUBSTITUTE(SUBSTITUTE(INDEX('CASE MASTER'!$N$2:$N$495,(SUMPRODUCT((('CASE MASTER'!$T$2:$T$495=8)*('CASE MASTER'!$U$2:$U$495&lt;=1)*('CASE MASTER'!$W$2:$W$495&gt;=1)*('CASE MASTER'!$V$2:$V$495&lt;=1)*('CASE MASTER'!$X$2:$X$495&gt;=1))*ROW('CASE MASTER'!$T$2:$T$495))-(ROW('CASE MASTER'!#REF!)-1))),":",","),",",REPT(" ",50)),((((1-INDEX('CASE MASTER'!$U$2:$U$495,(SUMPRODUCT((('CASE MASTER'!$T$2:$T$495=8)*('CASE MASTER'!$U$2:$U$495&lt;=1)*('CASE MASTER'!$W$2:$W$495&gt;=1)*('CASE MASTER'!$V$2:$V$495&lt;=1)*('CASE MASTER'!$X$2:$X$495&gt;=1))*ROW('CASE MASTER'!$T$2:$T$495))-(ROW('CASE MASTER'!#REF!)-1))))*(INDEX('CASE MASTER'!$X$2:$X$495,(SUMPRODUCT((('CASE MASTER'!$T$2:$T$495=8)*('CASE MASTER'!$U$2:$U$495&lt;=1)*('CASE MASTER'!$W$2:$W$495&gt;=1)*('CASE MASTER'!$V$2:$V$495&lt;=1)*('CASE MASTER'!$X$2:$X$495&gt;=1))*ROW('CASE MASTER'!$T$2:$T$495))-(ROW('CASE MASTER'!#REF!)-1)))-INDEX('CASE MASTER'!$V$2:$V$495,(SUMPRODUCT((('CASE MASTER'!$T$2:$T$495=8)*('CASE MASTER'!$U$2:$U$495&lt;=1)*('CASE MASTER'!$W$2:$W$495&gt;=1)*('CASE MASTER'!$V$2:$V$495&lt;=1)*('CASE MASTER'!$X$2:$X$495&gt;=1))*ROW('CASE MASTER'!$T$2:$T$495))-(ROW('CASE MASTER'!#REF!)-1)))+1)+(1-INDEX('CASE MASTER'!$V$2:$V$495,(SUMPRODUCT((('CASE MASTER'!$T$2:$T$495=8)*('CASE MASTER'!$U$2:$U$495&lt;=1)*('CASE MASTER'!$W$2:$W$495&gt;=1)*('CASE MASTER'!$V$2:$V$495&lt;=1)*('CASE MASTER'!$X$2:$X$495&gt;=1))*ROW('CASE MASTER'!$T$2:$T$495))-(ROW('CASE MASTER'!#REF!)-1))))+1))-1)*50+1,50))&amp;"_"&amp;INDEX('CASE MASTER'!$Q$2:$Q$495,(SUMPRODUCT((('CASE MASTER'!$T$2:$T$495=8)*('CASE MASTER'!$U$2:$U$495&lt;=1)*('CASE MASTER'!$W$2:$W$495&gt;=1)*('CASE MASTER'!$V$2:$V$495&lt;=1)*('CASE MASTER'!$X$2:$X$495&gt;=1))*ROW('CASE MASTER'!$T$2:$T$495))-(ROW('CASE MASTER'!#REF!)-1))),IF(SUMPRODUCT((('CASE MASTER'!$T$2:$T$495=8)*('CASE MASTER'!$AA$2:$AA$495&lt;=1)*('CASE MASTER'!$AC$2:$AC$495&gt;=1)*('CASE MASTER'!$AB$2:$AB$495&lt;=1)*('CASE MASTER'!$AD$2:$AD$495&gt;=1))*ROW('CASE MASTER'!$T$2:$T$495))&gt;0,INDEX('CASE MASTER'!$Y$2:$Y$495,(SUMPRODUCT((('CASE MASTER'!$T$2:$T$495=8)*('CASE MASTER'!$AA$2:$AA$495&lt;=1)*('CASE MASTER'!$AC$2:$AC$495&gt;=1)*('CASE MASTER'!$AB$2:$AB$495&lt;=1)*('CASE MASTER'!$AD$2:$AD$495&gt;=1))*ROW('CASE MASTER'!$T$2:$T$495))-(ROW('CASE MASTER'!#REF!)-1)))&amp;TRIM(MID(SUBSTITUTE(SUBSTITUTE(INDEX('CASE MASTER'!$N$2:$N$495,(SUMPRODUCT((('CASE MASTER'!$T$2:$T$495=8)*('CASE MASTER'!$AA$2:$AA$495&lt;=1)*('CASE MASTER'!$AC$2:$AC$495&gt;=1)*('CASE MASTER'!$AB$2:$AB$495&lt;=1)*('CASE MASTER'!$AD$2:$AD$495&gt;=1))*ROW('CASE MASTER'!$T$2:$T$495))-(ROW('CASE MASTER'!#REF!)-1))),":",","),",",REPT(" ",50)),(((INDEX('CASE MASTER'!$Z$2:$Z$495,(SUMPRODUCT((('CASE MASTER'!$T$2:$T$495=8)*('CASE MASTER'!$AA$2:$AA$495&lt;=1)*('CASE MASTER'!$AC$2:$AC$495&gt;=1)*('CASE MASTER'!$AB$2:$AB$495&lt;=1)*('CASE MASTER'!$AD$2:$AD$495&gt;=1))*ROW('CASE MASTER'!$T$2:$T$495))-(ROW('CASE MASTER'!#REF!)-1)))+((1-INDEX('CASE MASTER'!$AA$2:$AA$495,(SUMPRODUCT((('CASE MASTER'!$T$2:$T$495=8)*('CASE MASTER'!$AA$2:$AA$495&lt;=1)*('CASE MASTER'!$AC$2:$AC$495&gt;=1)*('CASE MASTER'!$AB$2:$AB$495&lt;=1)*('CASE MASTER'!$AD$2:$AD$495&gt;=1))*ROW('CASE MASTER'!$T$2:$T$495))-(ROW('CASE MASTER'!#REF!)-1))))*(INDEX('CASE MASTER'!$AD$2:$AD$495,(SUMPRODUCT((('CASE MASTER'!$T$2:$T$495=8)*('CASE MASTER'!$AA$2:$AA$495&lt;=1)*('CASE MASTER'!$AC$2:$AC$495&gt;=1)*('CASE MASTER'!$AB$2:$AB$495&lt;=1)*('CASE MASTER'!$AD$2:$AD$495&gt;=1))*ROW('CASE MASTER'!$T$2:$T$495))-(ROW('CASE MASTER'!#REF!)-1)))-INDEX('CASE MASTER'!$AB$2:$AB$495,(SUMPRODUCT((('CASE MASTER'!$T$2:$T$495=8)*('CASE MASTER'!$AA$2:$AA$495&lt;=1)*('CASE MASTER'!$AC$2:$AC$495&gt;=1)*('CASE MASTER'!$AB$2:$AB$495&lt;=1)*('CASE MASTER'!$AD$2:$AD$495&gt;=1))*ROW('CASE MASTER'!$T$2:$T$495))-(ROW('CASE MASTER'!#REF!)-1)))+1)+(1-INDEX('CASE MASTER'!$AB$2:$AB$495,(SUMPRODUCT((('CASE MASTER'!$T$2:$T$495=8)*('CASE MASTER'!$AA$2:$AA$495&lt;=1)*('CASE MASTER'!$AC$2:$AC$495&gt;=1)*('CASE MASTER'!$AB$2:$AB$495&lt;=1)*('CASE MASTER'!$AD$2:$AD$495&gt;=1))*ROW('CASE MASTER'!$T$2:$T$495))-(ROW('CASE MASTER'!#REF!)-1))))+1)))-1)*50+1,50))&amp;"_"&amp;INDEX('CASE MASTER'!$Q$2:$Q$495,(SUMPRODUCT((('CASE MASTER'!$T$2:$T$495=8)*('CASE MASTER'!$AA$2:$AA$495&lt;=1)*('CASE MASTER'!$AC$2:$AC$495&gt;=1)*('CASE MASTER'!$AB$2:$AB$495&lt;=1)*('CASE MASTER'!$AD$2:$AD$495&gt;=1))*ROW('CASE MASTER'!$T$2:$T$495))-(ROW('CASE MASTER'!#REF!)-1))),"")),"")</f>
        <v/>
      </c>
      <c r="C101" s="10" t="str">
        <f>IFERROR(IF(SUMPRODUCT((('CASE MASTER'!$T$2:$T$495=8)*('CASE MASTER'!$U$2:$U$495&lt;=1)*('CASE MASTER'!$W$2:$W$495&gt;=1)*('CASE MASTER'!$V$2:$V$495&lt;=2)*('CASE MASTER'!$X$2:$X$495&gt;=2))*ROW('CASE MASTER'!$T$2:$T$495))&gt;0,INDEX('CASE MASTER'!$Y$2:$Y$495,(SUMPRODUCT((('CASE MASTER'!$T$2:$T$495=8)*('CASE MASTER'!$U$2:$U$495&lt;=1)*('CASE MASTER'!$W$2:$W$495&gt;=1)*('CASE MASTER'!$V$2:$V$495&lt;=2)*('CASE MASTER'!$X$2:$X$495&gt;=2))*ROW('CASE MASTER'!$T$2:$T$495))-(ROW('CASE MASTER'!#REF!)-1)))&amp;TRIM(MID(SUBSTITUTE(SUBSTITUTE(INDEX('CASE MASTER'!$N$2:$N$495,(SUMPRODUCT((('CASE MASTER'!$T$2:$T$495=8)*('CASE MASTER'!$U$2:$U$495&lt;=1)*('CASE MASTER'!$W$2:$W$495&gt;=1)*('CASE MASTER'!$V$2:$V$495&lt;=2)*('CASE MASTER'!$X$2:$X$495&gt;=2))*ROW('CASE MASTER'!$T$2:$T$495))-(ROW('CASE MASTER'!#REF!)-1))),":",","),",",REPT(" ",50)),((((1-INDEX('CASE MASTER'!$U$2:$U$495,(SUMPRODUCT((('CASE MASTER'!$T$2:$T$495=8)*('CASE MASTER'!$U$2:$U$495&lt;=1)*('CASE MASTER'!$W$2:$W$495&gt;=1)*('CASE MASTER'!$V$2:$V$495&lt;=2)*('CASE MASTER'!$X$2:$X$495&gt;=2))*ROW('CASE MASTER'!$T$2:$T$495))-(ROW('CASE MASTER'!#REF!)-1))))*(INDEX('CASE MASTER'!$X$2:$X$495,(SUMPRODUCT((('CASE MASTER'!$T$2:$T$495=8)*('CASE MASTER'!$U$2:$U$495&lt;=1)*('CASE MASTER'!$W$2:$W$495&gt;=1)*('CASE MASTER'!$V$2:$V$495&lt;=2)*('CASE MASTER'!$X$2:$X$495&gt;=2))*ROW('CASE MASTER'!$T$2:$T$495))-(ROW('CASE MASTER'!#REF!)-1)))-INDEX('CASE MASTER'!$V$2:$V$495,(SUMPRODUCT((('CASE MASTER'!$T$2:$T$495=8)*('CASE MASTER'!$U$2:$U$495&lt;=1)*('CASE MASTER'!$W$2:$W$495&gt;=1)*('CASE MASTER'!$V$2:$V$495&lt;=2)*('CASE MASTER'!$X$2:$X$495&gt;=2))*ROW('CASE MASTER'!$T$2:$T$495))-(ROW('CASE MASTER'!#REF!)-1)))+1)+(2-INDEX('CASE MASTER'!$V$2:$V$495,(SUMPRODUCT((('CASE MASTER'!$T$2:$T$495=8)*('CASE MASTER'!$U$2:$U$495&lt;=1)*('CASE MASTER'!$W$2:$W$495&gt;=1)*('CASE MASTER'!$V$2:$V$495&lt;=2)*('CASE MASTER'!$X$2:$X$495&gt;=2))*ROW('CASE MASTER'!$T$2:$T$495))-(ROW('CASE MASTER'!#REF!)-1))))+1))-1)*50+1,50))&amp;"_"&amp;INDEX('CASE MASTER'!$Q$2:$Q$495,(SUMPRODUCT((('CASE MASTER'!$T$2:$T$495=8)*('CASE MASTER'!$U$2:$U$495&lt;=1)*('CASE MASTER'!$W$2:$W$495&gt;=1)*('CASE MASTER'!$V$2:$V$495&lt;=2)*('CASE MASTER'!$X$2:$X$495&gt;=2))*ROW('CASE MASTER'!$T$2:$T$495))-(ROW('CASE MASTER'!#REF!)-1))),IF(SUMPRODUCT((('CASE MASTER'!$T$2:$T$495=8)*('CASE MASTER'!$AA$2:$AA$495&lt;=1)*('CASE MASTER'!$AC$2:$AC$495&gt;=1)*('CASE MASTER'!$AB$2:$AB$495&lt;=2)*('CASE MASTER'!$AD$2:$AD$495&gt;=2))*ROW('CASE MASTER'!$T$2:$T$495))&gt;0,INDEX('CASE MASTER'!$Y$2:$Y$495,(SUMPRODUCT((('CASE MASTER'!$T$2:$T$495=8)*('CASE MASTER'!$AA$2:$AA$495&lt;=1)*('CASE MASTER'!$AC$2:$AC$495&gt;=1)*('CASE MASTER'!$AB$2:$AB$495&lt;=2)*('CASE MASTER'!$AD$2:$AD$495&gt;=2))*ROW('CASE MASTER'!$T$2:$T$495))-(ROW('CASE MASTER'!#REF!)-1)))&amp;TRIM(MID(SUBSTITUTE(SUBSTITUTE(INDEX('CASE MASTER'!$N$2:$N$495,(SUMPRODUCT((('CASE MASTER'!$T$2:$T$495=8)*('CASE MASTER'!$AA$2:$AA$495&lt;=1)*('CASE MASTER'!$AC$2:$AC$495&gt;=1)*('CASE MASTER'!$AB$2:$AB$495&lt;=2)*('CASE MASTER'!$AD$2:$AD$495&gt;=2))*ROW('CASE MASTER'!$T$2:$T$495))-(ROW('CASE MASTER'!#REF!)-1))),":",","),",",REPT(" ",50)),(((INDEX('CASE MASTER'!$Z$2:$Z$495,(SUMPRODUCT((('CASE MASTER'!$T$2:$T$495=8)*('CASE MASTER'!$AA$2:$AA$495&lt;=1)*('CASE MASTER'!$AC$2:$AC$495&gt;=1)*('CASE MASTER'!$AB$2:$AB$495&lt;=2)*('CASE MASTER'!$AD$2:$AD$495&gt;=2))*ROW('CASE MASTER'!$T$2:$T$495))-(ROW('CASE MASTER'!#REF!)-1)))+((1-INDEX('CASE MASTER'!$AA$2:$AA$495,(SUMPRODUCT((('CASE MASTER'!$T$2:$T$495=8)*('CASE MASTER'!$AA$2:$AA$495&lt;=1)*('CASE MASTER'!$AC$2:$AC$495&gt;=1)*('CASE MASTER'!$AB$2:$AB$495&lt;=2)*('CASE MASTER'!$AD$2:$AD$495&gt;=2))*ROW('CASE MASTER'!$T$2:$T$495))-(ROW('CASE MASTER'!#REF!)-1))))*(INDEX('CASE MASTER'!$AD$2:$AD$495,(SUMPRODUCT((('CASE MASTER'!$T$2:$T$495=8)*('CASE MASTER'!$AA$2:$AA$495&lt;=1)*('CASE MASTER'!$AC$2:$AC$495&gt;=1)*('CASE MASTER'!$AB$2:$AB$495&lt;=2)*('CASE MASTER'!$AD$2:$AD$495&gt;=2))*ROW('CASE MASTER'!$T$2:$T$495))-(ROW('CASE MASTER'!#REF!)-1)))-INDEX('CASE MASTER'!$AB$2:$AB$495,(SUMPRODUCT((('CASE MASTER'!$T$2:$T$495=8)*('CASE MASTER'!$AA$2:$AA$495&lt;=1)*('CASE MASTER'!$AC$2:$AC$495&gt;=1)*('CASE MASTER'!$AB$2:$AB$495&lt;=2)*('CASE MASTER'!$AD$2:$AD$495&gt;=2))*ROW('CASE MASTER'!$T$2:$T$495))-(ROW('CASE MASTER'!#REF!)-1)))+1)+(2-INDEX('CASE MASTER'!$AB$2:$AB$495,(SUMPRODUCT((('CASE MASTER'!$T$2:$T$495=8)*('CASE MASTER'!$AA$2:$AA$495&lt;=1)*('CASE MASTER'!$AC$2:$AC$495&gt;=1)*('CASE MASTER'!$AB$2:$AB$495&lt;=2)*('CASE MASTER'!$AD$2:$AD$495&gt;=2))*ROW('CASE MASTER'!$T$2:$T$495))-(ROW('CASE MASTER'!#REF!)-1))))+1)))-1)*50+1,50))&amp;"_"&amp;INDEX('CASE MASTER'!$Q$2:$Q$495,(SUMPRODUCT((('CASE MASTER'!$T$2:$T$495=8)*('CASE MASTER'!$AA$2:$AA$495&lt;=1)*('CASE MASTER'!$AC$2:$AC$495&gt;=1)*('CASE MASTER'!$AB$2:$AB$495&lt;=2)*('CASE MASTER'!$AD$2:$AD$495&gt;=2))*ROW('CASE MASTER'!$T$2:$T$495))-(ROW('CASE MASTER'!#REF!)-1))),"")),"")</f>
        <v/>
      </c>
      <c r="D101" s="10" t="str">
        <f>IFERROR(IF(SUMPRODUCT((('CASE MASTER'!$T$2:$T$495=8)*('CASE MASTER'!$U$2:$U$495&lt;=1)*('CASE MASTER'!$W$2:$W$495&gt;=1)*('CASE MASTER'!$V$2:$V$495&lt;=3)*('CASE MASTER'!$X$2:$X$495&gt;=3))*ROW('CASE MASTER'!$T$2:$T$495))&gt;0,INDEX('CASE MASTER'!$Y$2:$Y$495,(SUMPRODUCT((('CASE MASTER'!$T$2:$T$495=8)*('CASE MASTER'!$U$2:$U$495&lt;=1)*('CASE MASTER'!$W$2:$W$495&gt;=1)*('CASE MASTER'!$V$2:$V$495&lt;=3)*('CASE MASTER'!$X$2:$X$495&gt;=3))*ROW('CASE MASTER'!$T$2:$T$495))-(ROW('CASE MASTER'!#REF!)-1)))&amp;TRIM(MID(SUBSTITUTE(SUBSTITUTE(INDEX('CASE MASTER'!$N$2:$N$495,(SUMPRODUCT((('CASE MASTER'!$T$2:$T$495=8)*('CASE MASTER'!$U$2:$U$495&lt;=1)*('CASE MASTER'!$W$2:$W$495&gt;=1)*('CASE MASTER'!$V$2:$V$495&lt;=3)*('CASE MASTER'!$X$2:$X$495&gt;=3))*ROW('CASE MASTER'!$T$2:$T$495))-(ROW('CASE MASTER'!#REF!)-1))),":",","),",",REPT(" ",50)),((((1-INDEX('CASE MASTER'!$U$2:$U$495,(SUMPRODUCT((('CASE MASTER'!$T$2:$T$495=8)*('CASE MASTER'!$U$2:$U$495&lt;=1)*('CASE MASTER'!$W$2:$W$495&gt;=1)*('CASE MASTER'!$V$2:$V$495&lt;=3)*('CASE MASTER'!$X$2:$X$495&gt;=3))*ROW('CASE MASTER'!$T$2:$T$495))-(ROW('CASE MASTER'!#REF!)-1))))*(INDEX('CASE MASTER'!$X$2:$X$495,(SUMPRODUCT((('CASE MASTER'!$T$2:$T$495=8)*('CASE MASTER'!$U$2:$U$495&lt;=1)*('CASE MASTER'!$W$2:$W$495&gt;=1)*('CASE MASTER'!$V$2:$V$495&lt;=3)*('CASE MASTER'!$X$2:$X$495&gt;=3))*ROW('CASE MASTER'!$T$2:$T$495))-(ROW('CASE MASTER'!#REF!)-1)))-INDEX('CASE MASTER'!$V$2:$V$495,(SUMPRODUCT((('CASE MASTER'!$T$2:$T$495=8)*('CASE MASTER'!$U$2:$U$495&lt;=1)*('CASE MASTER'!$W$2:$W$495&gt;=1)*('CASE MASTER'!$V$2:$V$495&lt;=3)*('CASE MASTER'!$X$2:$X$495&gt;=3))*ROW('CASE MASTER'!$T$2:$T$495))-(ROW('CASE MASTER'!#REF!)-1)))+1)+(3-INDEX('CASE MASTER'!$V$2:$V$495,(SUMPRODUCT((('CASE MASTER'!$T$2:$T$495=8)*('CASE MASTER'!$U$2:$U$495&lt;=1)*('CASE MASTER'!$W$2:$W$495&gt;=1)*('CASE MASTER'!$V$2:$V$495&lt;=3)*('CASE MASTER'!$X$2:$X$495&gt;=3))*ROW('CASE MASTER'!$T$2:$T$495))-(ROW('CASE MASTER'!#REF!)-1))))+1))-1)*50+1,50))&amp;"_"&amp;INDEX('CASE MASTER'!$Q$2:$Q$495,(SUMPRODUCT((('CASE MASTER'!$T$2:$T$495=8)*('CASE MASTER'!$U$2:$U$495&lt;=1)*('CASE MASTER'!$W$2:$W$495&gt;=1)*('CASE MASTER'!$V$2:$V$495&lt;=3)*('CASE MASTER'!$X$2:$X$495&gt;=3))*ROW('CASE MASTER'!$T$2:$T$495))-(ROW('CASE MASTER'!#REF!)-1))),IF(SUMPRODUCT((('CASE MASTER'!$T$2:$T$495=8)*('CASE MASTER'!$AA$2:$AA$495&lt;=1)*('CASE MASTER'!$AC$2:$AC$495&gt;=1)*('CASE MASTER'!$AB$2:$AB$495&lt;=3)*('CASE MASTER'!$AD$2:$AD$495&gt;=3))*ROW('CASE MASTER'!$T$2:$T$495))&gt;0,INDEX('CASE MASTER'!$Y$2:$Y$495,(SUMPRODUCT((('CASE MASTER'!$T$2:$T$495=8)*('CASE MASTER'!$AA$2:$AA$495&lt;=1)*('CASE MASTER'!$AC$2:$AC$495&gt;=1)*('CASE MASTER'!$AB$2:$AB$495&lt;=3)*('CASE MASTER'!$AD$2:$AD$495&gt;=3))*ROW('CASE MASTER'!$T$2:$T$495))-(ROW('CASE MASTER'!#REF!)-1)))&amp;TRIM(MID(SUBSTITUTE(SUBSTITUTE(INDEX('CASE MASTER'!$N$2:$N$495,(SUMPRODUCT((('CASE MASTER'!$T$2:$T$495=8)*('CASE MASTER'!$AA$2:$AA$495&lt;=1)*('CASE MASTER'!$AC$2:$AC$495&gt;=1)*('CASE MASTER'!$AB$2:$AB$495&lt;=3)*('CASE MASTER'!$AD$2:$AD$495&gt;=3))*ROW('CASE MASTER'!$T$2:$T$495))-(ROW('CASE MASTER'!#REF!)-1))),":",","),",",REPT(" ",50)),(((INDEX('CASE MASTER'!$Z$2:$Z$495,(SUMPRODUCT((('CASE MASTER'!$T$2:$T$495=8)*('CASE MASTER'!$AA$2:$AA$495&lt;=1)*('CASE MASTER'!$AC$2:$AC$495&gt;=1)*('CASE MASTER'!$AB$2:$AB$495&lt;=3)*('CASE MASTER'!$AD$2:$AD$495&gt;=3))*ROW('CASE MASTER'!$T$2:$T$495))-(ROW('CASE MASTER'!#REF!)-1)))+((1-INDEX('CASE MASTER'!$AA$2:$AA$495,(SUMPRODUCT((('CASE MASTER'!$T$2:$T$495=8)*('CASE MASTER'!$AA$2:$AA$495&lt;=1)*('CASE MASTER'!$AC$2:$AC$495&gt;=1)*('CASE MASTER'!$AB$2:$AB$495&lt;=3)*('CASE MASTER'!$AD$2:$AD$495&gt;=3))*ROW('CASE MASTER'!$T$2:$T$495))-(ROW('CASE MASTER'!#REF!)-1))))*(INDEX('CASE MASTER'!$AD$2:$AD$495,(SUMPRODUCT((('CASE MASTER'!$T$2:$T$495=8)*('CASE MASTER'!$AA$2:$AA$495&lt;=1)*('CASE MASTER'!$AC$2:$AC$495&gt;=1)*('CASE MASTER'!$AB$2:$AB$495&lt;=3)*('CASE MASTER'!$AD$2:$AD$495&gt;=3))*ROW('CASE MASTER'!$T$2:$T$495))-(ROW('CASE MASTER'!#REF!)-1)))-INDEX('CASE MASTER'!$AB$2:$AB$495,(SUMPRODUCT((('CASE MASTER'!$T$2:$T$495=8)*('CASE MASTER'!$AA$2:$AA$495&lt;=1)*('CASE MASTER'!$AC$2:$AC$495&gt;=1)*('CASE MASTER'!$AB$2:$AB$495&lt;=3)*('CASE MASTER'!$AD$2:$AD$495&gt;=3))*ROW('CASE MASTER'!$T$2:$T$495))-(ROW('CASE MASTER'!#REF!)-1)))+1)+(3-INDEX('CASE MASTER'!$AB$2:$AB$495,(SUMPRODUCT((('CASE MASTER'!$T$2:$T$495=8)*('CASE MASTER'!$AA$2:$AA$495&lt;=1)*('CASE MASTER'!$AC$2:$AC$495&gt;=1)*('CASE MASTER'!$AB$2:$AB$495&lt;=3)*('CASE MASTER'!$AD$2:$AD$495&gt;=3))*ROW('CASE MASTER'!$T$2:$T$495))-(ROW('CASE MASTER'!#REF!)-1))))+1)))-1)*50+1,50))&amp;"_"&amp;INDEX('CASE MASTER'!$Q$2:$Q$495,(SUMPRODUCT((('CASE MASTER'!$T$2:$T$495=8)*('CASE MASTER'!$AA$2:$AA$495&lt;=1)*('CASE MASTER'!$AC$2:$AC$495&gt;=1)*('CASE MASTER'!$AB$2:$AB$495&lt;=3)*('CASE MASTER'!$AD$2:$AD$495&gt;=3))*ROW('CASE MASTER'!$T$2:$T$495))-(ROW('CASE MASTER'!#REF!)-1))),"")),"")</f>
        <v/>
      </c>
      <c r="E101" s="10" t="str">
        <f>IFERROR(IF(SUMPRODUCT((('CASE MASTER'!$T$2:$T$495=8)*('CASE MASTER'!$U$2:$U$495&lt;=1)*('CASE MASTER'!$W$2:$W$495&gt;=1)*('CASE MASTER'!$V$2:$V$495&lt;=4)*('CASE MASTER'!$X$2:$X$495&gt;=4))*ROW('CASE MASTER'!$T$2:$T$495))&gt;0,INDEX('CASE MASTER'!$Y$2:$Y$495,(SUMPRODUCT((('CASE MASTER'!$T$2:$T$495=8)*('CASE MASTER'!$U$2:$U$495&lt;=1)*('CASE MASTER'!$W$2:$W$495&gt;=1)*('CASE MASTER'!$V$2:$V$495&lt;=4)*('CASE MASTER'!$X$2:$X$495&gt;=4))*ROW('CASE MASTER'!$T$2:$T$495))-(ROW('CASE MASTER'!#REF!)-1)))&amp;TRIM(MID(SUBSTITUTE(SUBSTITUTE(INDEX('CASE MASTER'!$N$2:$N$495,(SUMPRODUCT((('CASE MASTER'!$T$2:$T$495=8)*('CASE MASTER'!$U$2:$U$495&lt;=1)*('CASE MASTER'!$W$2:$W$495&gt;=1)*('CASE MASTER'!$V$2:$V$495&lt;=4)*('CASE MASTER'!$X$2:$X$495&gt;=4))*ROW('CASE MASTER'!$T$2:$T$495))-(ROW('CASE MASTER'!#REF!)-1))),":",","),",",REPT(" ",50)),((((1-INDEX('CASE MASTER'!$U$2:$U$495,(SUMPRODUCT((('CASE MASTER'!$T$2:$T$495=8)*('CASE MASTER'!$U$2:$U$495&lt;=1)*('CASE MASTER'!$W$2:$W$495&gt;=1)*('CASE MASTER'!$V$2:$V$495&lt;=4)*('CASE MASTER'!$X$2:$X$495&gt;=4))*ROW('CASE MASTER'!$T$2:$T$495))-(ROW('CASE MASTER'!#REF!)-1))))*(INDEX('CASE MASTER'!$X$2:$X$495,(SUMPRODUCT((('CASE MASTER'!$T$2:$T$495=8)*('CASE MASTER'!$U$2:$U$495&lt;=1)*('CASE MASTER'!$W$2:$W$495&gt;=1)*('CASE MASTER'!$V$2:$V$495&lt;=4)*('CASE MASTER'!$X$2:$X$495&gt;=4))*ROW('CASE MASTER'!$T$2:$T$495))-(ROW('CASE MASTER'!#REF!)-1)))-INDEX('CASE MASTER'!$V$2:$V$495,(SUMPRODUCT((('CASE MASTER'!$T$2:$T$495=8)*('CASE MASTER'!$U$2:$U$495&lt;=1)*('CASE MASTER'!$W$2:$W$495&gt;=1)*('CASE MASTER'!$V$2:$V$495&lt;=4)*('CASE MASTER'!$X$2:$X$495&gt;=4))*ROW('CASE MASTER'!$T$2:$T$495))-(ROW('CASE MASTER'!#REF!)-1)))+1)+(4-INDEX('CASE MASTER'!$V$2:$V$495,(SUMPRODUCT((('CASE MASTER'!$T$2:$T$495=8)*('CASE MASTER'!$U$2:$U$495&lt;=1)*('CASE MASTER'!$W$2:$W$495&gt;=1)*('CASE MASTER'!$V$2:$V$495&lt;=4)*('CASE MASTER'!$X$2:$X$495&gt;=4))*ROW('CASE MASTER'!$T$2:$T$495))-(ROW('CASE MASTER'!#REF!)-1))))+1))-1)*50+1,50))&amp;"_"&amp;INDEX('CASE MASTER'!$Q$2:$Q$495,(SUMPRODUCT((('CASE MASTER'!$T$2:$T$495=8)*('CASE MASTER'!$U$2:$U$495&lt;=1)*('CASE MASTER'!$W$2:$W$495&gt;=1)*('CASE MASTER'!$V$2:$V$495&lt;=4)*('CASE MASTER'!$X$2:$X$495&gt;=4))*ROW('CASE MASTER'!$T$2:$T$495))-(ROW('CASE MASTER'!#REF!)-1))),IF(SUMPRODUCT((('CASE MASTER'!$T$2:$T$495=8)*('CASE MASTER'!$AA$2:$AA$495&lt;=1)*('CASE MASTER'!$AC$2:$AC$495&gt;=1)*('CASE MASTER'!$AB$2:$AB$495&lt;=4)*('CASE MASTER'!$AD$2:$AD$495&gt;=4))*ROW('CASE MASTER'!$T$2:$T$495))&gt;0,INDEX('CASE MASTER'!$Y$2:$Y$495,(SUMPRODUCT((('CASE MASTER'!$T$2:$T$495=8)*('CASE MASTER'!$AA$2:$AA$495&lt;=1)*('CASE MASTER'!$AC$2:$AC$495&gt;=1)*('CASE MASTER'!$AB$2:$AB$495&lt;=4)*('CASE MASTER'!$AD$2:$AD$495&gt;=4))*ROW('CASE MASTER'!$T$2:$T$495))-(ROW('CASE MASTER'!#REF!)-1)))&amp;TRIM(MID(SUBSTITUTE(SUBSTITUTE(INDEX('CASE MASTER'!$N$2:$N$495,(SUMPRODUCT((('CASE MASTER'!$T$2:$T$495=8)*('CASE MASTER'!$AA$2:$AA$495&lt;=1)*('CASE MASTER'!$AC$2:$AC$495&gt;=1)*('CASE MASTER'!$AB$2:$AB$495&lt;=4)*('CASE MASTER'!$AD$2:$AD$495&gt;=4))*ROW('CASE MASTER'!$T$2:$T$495))-(ROW('CASE MASTER'!#REF!)-1))),":",","),",",REPT(" ",50)),(((INDEX('CASE MASTER'!$Z$2:$Z$495,(SUMPRODUCT((('CASE MASTER'!$T$2:$T$495=8)*('CASE MASTER'!$AA$2:$AA$495&lt;=1)*('CASE MASTER'!$AC$2:$AC$495&gt;=1)*('CASE MASTER'!$AB$2:$AB$495&lt;=4)*('CASE MASTER'!$AD$2:$AD$495&gt;=4))*ROW('CASE MASTER'!$T$2:$T$495))-(ROW('CASE MASTER'!#REF!)-1)))+((1-INDEX('CASE MASTER'!$AA$2:$AA$495,(SUMPRODUCT((('CASE MASTER'!$T$2:$T$495=8)*('CASE MASTER'!$AA$2:$AA$495&lt;=1)*('CASE MASTER'!$AC$2:$AC$495&gt;=1)*('CASE MASTER'!$AB$2:$AB$495&lt;=4)*('CASE MASTER'!$AD$2:$AD$495&gt;=4))*ROW('CASE MASTER'!$T$2:$T$495))-(ROW('CASE MASTER'!#REF!)-1))))*(INDEX('CASE MASTER'!$AD$2:$AD$495,(SUMPRODUCT((('CASE MASTER'!$T$2:$T$495=8)*('CASE MASTER'!$AA$2:$AA$495&lt;=1)*('CASE MASTER'!$AC$2:$AC$495&gt;=1)*('CASE MASTER'!$AB$2:$AB$495&lt;=4)*('CASE MASTER'!$AD$2:$AD$495&gt;=4))*ROW('CASE MASTER'!$T$2:$T$495))-(ROW('CASE MASTER'!#REF!)-1)))-INDEX('CASE MASTER'!$AB$2:$AB$495,(SUMPRODUCT((('CASE MASTER'!$T$2:$T$495=8)*('CASE MASTER'!$AA$2:$AA$495&lt;=1)*('CASE MASTER'!$AC$2:$AC$495&gt;=1)*('CASE MASTER'!$AB$2:$AB$495&lt;=4)*('CASE MASTER'!$AD$2:$AD$495&gt;=4))*ROW('CASE MASTER'!$T$2:$T$495))-(ROW('CASE MASTER'!#REF!)-1)))+1)+(4-INDEX('CASE MASTER'!$AB$2:$AB$495,(SUMPRODUCT((('CASE MASTER'!$T$2:$T$495=8)*('CASE MASTER'!$AA$2:$AA$495&lt;=1)*('CASE MASTER'!$AC$2:$AC$495&gt;=1)*('CASE MASTER'!$AB$2:$AB$495&lt;=4)*('CASE MASTER'!$AD$2:$AD$495&gt;=4))*ROW('CASE MASTER'!$T$2:$T$495))-(ROW('CASE MASTER'!#REF!)-1))))+1)))-1)*50+1,50))&amp;"_"&amp;INDEX('CASE MASTER'!$Q$2:$Q$495,(SUMPRODUCT((('CASE MASTER'!$T$2:$T$495=8)*('CASE MASTER'!$AA$2:$AA$495&lt;=1)*('CASE MASTER'!$AC$2:$AC$495&gt;=1)*('CASE MASTER'!$AB$2:$AB$495&lt;=4)*('CASE MASTER'!$AD$2:$AD$495&gt;=4))*ROW('CASE MASTER'!$T$2:$T$495))-(ROW('CASE MASTER'!#REF!)-1))),"")),"")</f>
        <v/>
      </c>
      <c r="F101" s="10" t="str">
        <f>IFERROR(IF(SUMPRODUCT((('CASE MASTER'!$T$2:$T$495=8)*('CASE MASTER'!$U$2:$U$495&lt;=1)*('CASE MASTER'!$W$2:$W$495&gt;=1)*('CASE MASTER'!$V$2:$V$495&lt;=5)*('CASE MASTER'!$X$2:$X$495&gt;=5))*ROW('CASE MASTER'!$T$2:$T$495))&gt;0,INDEX('CASE MASTER'!$Y$2:$Y$495,(SUMPRODUCT((('CASE MASTER'!$T$2:$T$495=8)*('CASE MASTER'!$U$2:$U$495&lt;=1)*('CASE MASTER'!$W$2:$W$495&gt;=1)*('CASE MASTER'!$V$2:$V$495&lt;=5)*('CASE MASTER'!$X$2:$X$495&gt;=5))*ROW('CASE MASTER'!$T$2:$T$495))-(ROW('CASE MASTER'!#REF!)-1)))&amp;TRIM(MID(SUBSTITUTE(SUBSTITUTE(INDEX('CASE MASTER'!$N$2:$N$495,(SUMPRODUCT((('CASE MASTER'!$T$2:$T$495=8)*('CASE MASTER'!$U$2:$U$495&lt;=1)*('CASE MASTER'!$W$2:$W$495&gt;=1)*('CASE MASTER'!$V$2:$V$495&lt;=5)*('CASE MASTER'!$X$2:$X$495&gt;=5))*ROW('CASE MASTER'!$T$2:$T$495))-(ROW('CASE MASTER'!#REF!)-1))),":",","),",",REPT(" ",50)),((((1-INDEX('CASE MASTER'!$U$2:$U$495,(SUMPRODUCT((('CASE MASTER'!$T$2:$T$495=8)*('CASE MASTER'!$U$2:$U$495&lt;=1)*('CASE MASTER'!$W$2:$W$495&gt;=1)*('CASE MASTER'!$V$2:$V$495&lt;=5)*('CASE MASTER'!$X$2:$X$495&gt;=5))*ROW('CASE MASTER'!$T$2:$T$495))-(ROW('CASE MASTER'!#REF!)-1))))*(INDEX('CASE MASTER'!$X$2:$X$495,(SUMPRODUCT((('CASE MASTER'!$T$2:$T$495=8)*('CASE MASTER'!$U$2:$U$495&lt;=1)*('CASE MASTER'!$W$2:$W$495&gt;=1)*('CASE MASTER'!$V$2:$V$495&lt;=5)*('CASE MASTER'!$X$2:$X$495&gt;=5))*ROW('CASE MASTER'!$T$2:$T$495))-(ROW('CASE MASTER'!#REF!)-1)))-INDEX('CASE MASTER'!$V$2:$V$495,(SUMPRODUCT((('CASE MASTER'!$T$2:$T$495=8)*('CASE MASTER'!$U$2:$U$495&lt;=1)*('CASE MASTER'!$W$2:$W$495&gt;=1)*('CASE MASTER'!$V$2:$V$495&lt;=5)*('CASE MASTER'!$X$2:$X$495&gt;=5))*ROW('CASE MASTER'!$T$2:$T$495))-(ROW('CASE MASTER'!#REF!)-1)))+1)+(5-INDEX('CASE MASTER'!$V$2:$V$495,(SUMPRODUCT((('CASE MASTER'!$T$2:$T$495=8)*('CASE MASTER'!$U$2:$U$495&lt;=1)*('CASE MASTER'!$W$2:$W$495&gt;=1)*('CASE MASTER'!$V$2:$V$495&lt;=5)*('CASE MASTER'!$X$2:$X$495&gt;=5))*ROW('CASE MASTER'!$T$2:$T$495))-(ROW('CASE MASTER'!#REF!)-1))))+1))-1)*50+1,50))&amp;"_"&amp;INDEX('CASE MASTER'!$Q$2:$Q$495,(SUMPRODUCT((('CASE MASTER'!$T$2:$T$495=8)*('CASE MASTER'!$U$2:$U$495&lt;=1)*('CASE MASTER'!$W$2:$W$495&gt;=1)*('CASE MASTER'!$V$2:$V$495&lt;=5)*('CASE MASTER'!$X$2:$X$495&gt;=5))*ROW('CASE MASTER'!$T$2:$T$495))-(ROW('CASE MASTER'!#REF!)-1))),IF(SUMPRODUCT((('CASE MASTER'!$T$2:$T$495=8)*('CASE MASTER'!$AA$2:$AA$495&lt;=1)*('CASE MASTER'!$AC$2:$AC$495&gt;=1)*('CASE MASTER'!$AB$2:$AB$495&lt;=5)*('CASE MASTER'!$AD$2:$AD$495&gt;=5))*ROW('CASE MASTER'!$T$2:$T$495))&gt;0,INDEX('CASE MASTER'!$Y$2:$Y$495,(SUMPRODUCT((('CASE MASTER'!$T$2:$T$495=8)*('CASE MASTER'!$AA$2:$AA$495&lt;=1)*('CASE MASTER'!$AC$2:$AC$495&gt;=1)*('CASE MASTER'!$AB$2:$AB$495&lt;=5)*('CASE MASTER'!$AD$2:$AD$495&gt;=5))*ROW('CASE MASTER'!$T$2:$T$495))-(ROW('CASE MASTER'!#REF!)-1)))&amp;TRIM(MID(SUBSTITUTE(SUBSTITUTE(INDEX('CASE MASTER'!$N$2:$N$495,(SUMPRODUCT((('CASE MASTER'!$T$2:$T$495=8)*('CASE MASTER'!$AA$2:$AA$495&lt;=1)*('CASE MASTER'!$AC$2:$AC$495&gt;=1)*('CASE MASTER'!$AB$2:$AB$495&lt;=5)*('CASE MASTER'!$AD$2:$AD$495&gt;=5))*ROW('CASE MASTER'!$T$2:$T$495))-(ROW('CASE MASTER'!#REF!)-1))),":",","),",",REPT(" ",50)),(((INDEX('CASE MASTER'!$Z$2:$Z$495,(SUMPRODUCT((('CASE MASTER'!$T$2:$T$495=8)*('CASE MASTER'!$AA$2:$AA$495&lt;=1)*('CASE MASTER'!$AC$2:$AC$495&gt;=1)*('CASE MASTER'!$AB$2:$AB$495&lt;=5)*('CASE MASTER'!$AD$2:$AD$495&gt;=5))*ROW('CASE MASTER'!$T$2:$T$495))-(ROW('CASE MASTER'!#REF!)-1)))+((1-INDEX('CASE MASTER'!$AA$2:$AA$495,(SUMPRODUCT((('CASE MASTER'!$T$2:$T$495=8)*('CASE MASTER'!$AA$2:$AA$495&lt;=1)*('CASE MASTER'!$AC$2:$AC$495&gt;=1)*('CASE MASTER'!$AB$2:$AB$495&lt;=5)*('CASE MASTER'!$AD$2:$AD$495&gt;=5))*ROW('CASE MASTER'!$T$2:$T$495))-(ROW('CASE MASTER'!#REF!)-1))))*(INDEX('CASE MASTER'!$AD$2:$AD$495,(SUMPRODUCT((('CASE MASTER'!$T$2:$T$495=8)*('CASE MASTER'!$AA$2:$AA$495&lt;=1)*('CASE MASTER'!$AC$2:$AC$495&gt;=1)*('CASE MASTER'!$AB$2:$AB$495&lt;=5)*('CASE MASTER'!$AD$2:$AD$495&gt;=5))*ROW('CASE MASTER'!$T$2:$T$495))-(ROW('CASE MASTER'!#REF!)-1)))-INDEX('CASE MASTER'!$AB$2:$AB$495,(SUMPRODUCT((('CASE MASTER'!$T$2:$T$495=8)*('CASE MASTER'!$AA$2:$AA$495&lt;=1)*('CASE MASTER'!$AC$2:$AC$495&gt;=1)*('CASE MASTER'!$AB$2:$AB$495&lt;=5)*('CASE MASTER'!$AD$2:$AD$495&gt;=5))*ROW('CASE MASTER'!$T$2:$T$495))-(ROW('CASE MASTER'!#REF!)-1)))+1)+(5-INDEX('CASE MASTER'!$AB$2:$AB$495,(SUMPRODUCT((('CASE MASTER'!$T$2:$T$495=8)*('CASE MASTER'!$AA$2:$AA$495&lt;=1)*('CASE MASTER'!$AC$2:$AC$495&gt;=1)*('CASE MASTER'!$AB$2:$AB$495&lt;=5)*('CASE MASTER'!$AD$2:$AD$495&gt;=5))*ROW('CASE MASTER'!$T$2:$T$495))-(ROW('CASE MASTER'!#REF!)-1))))+1)))-1)*50+1,50))&amp;"_"&amp;INDEX('CASE MASTER'!$Q$2:$Q$495,(SUMPRODUCT((('CASE MASTER'!$T$2:$T$495=8)*('CASE MASTER'!$AA$2:$AA$495&lt;=1)*('CASE MASTER'!$AC$2:$AC$495&gt;=1)*('CASE MASTER'!$AB$2:$AB$495&lt;=5)*('CASE MASTER'!$AD$2:$AD$495&gt;=5))*ROW('CASE MASTER'!$T$2:$T$495))-(ROW('CASE MASTER'!#REF!)-1))),"")),"")</f>
        <v/>
      </c>
      <c r="G101" s="10" t="str">
        <f>IFERROR(IF(SUMPRODUCT((('CASE MASTER'!$T$2:$T$495=8)*('CASE MASTER'!$U$2:$U$495&lt;=1)*('CASE MASTER'!$W$2:$W$495&gt;=1)*('CASE MASTER'!$V$2:$V$495&lt;=6)*('CASE MASTER'!$X$2:$X$495&gt;=6))*ROW('CASE MASTER'!$T$2:$T$495))&gt;0,INDEX('CASE MASTER'!$Y$2:$Y$495,(SUMPRODUCT((('CASE MASTER'!$T$2:$T$495=8)*('CASE MASTER'!$U$2:$U$495&lt;=1)*('CASE MASTER'!$W$2:$W$495&gt;=1)*('CASE MASTER'!$V$2:$V$495&lt;=6)*('CASE MASTER'!$X$2:$X$495&gt;=6))*ROW('CASE MASTER'!$T$2:$T$495))-(ROW('CASE MASTER'!#REF!)-1)))&amp;TRIM(MID(SUBSTITUTE(SUBSTITUTE(INDEX('CASE MASTER'!$N$2:$N$495,(SUMPRODUCT((('CASE MASTER'!$T$2:$T$495=8)*('CASE MASTER'!$U$2:$U$495&lt;=1)*('CASE MASTER'!$W$2:$W$495&gt;=1)*('CASE MASTER'!$V$2:$V$495&lt;=6)*('CASE MASTER'!$X$2:$X$495&gt;=6))*ROW('CASE MASTER'!$T$2:$T$495))-(ROW('CASE MASTER'!#REF!)-1))),":",","),",",REPT(" ",50)),((((1-INDEX('CASE MASTER'!$U$2:$U$495,(SUMPRODUCT((('CASE MASTER'!$T$2:$T$495=8)*('CASE MASTER'!$U$2:$U$495&lt;=1)*('CASE MASTER'!$W$2:$W$495&gt;=1)*('CASE MASTER'!$V$2:$V$495&lt;=6)*('CASE MASTER'!$X$2:$X$495&gt;=6))*ROW('CASE MASTER'!$T$2:$T$495))-(ROW('CASE MASTER'!#REF!)-1))))*(INDEX('CASE MASTER'!$X$2:$X$495,(SUMPRODUCT((('CASE MASTER'!$T$2:$T$495=8)*('CASE MASTER'!$U$2:$U$495&lt;=1)*('CASE MASTER'!$W$2:$W$495&gt;=1)*('CASE MASTER'!$V$2:$V$495&lt;=6)*('CASE MASTER'!$X$2:$X$495&gt;=6))*ROW('CASE MASTER'!$T$2:$T$495))-(ROW('CASE MASTER'!#REF!)-1)))-INDEX('CASE MASTER'!$V$2:$V$495,(SUMPRODUCT((('CASE MASTER'!$T$2:$T$495=8)*('CASE MASTER'!$U$2:$U$495&lt;=1)*('CASE MASTER'!$W$2:$W$495&gt;=1)*('CASE MASTER'!$V$2:$V$495&lt;=6)*('CASE MASTER'!$X$2:$X$495&gt;=6))*ROW('CASE MASTER'!$T$2:$T$495))-(ROW('CASE MASTER'!#REF!)-1)))+1)+(6-INDEX('CASE MASTER'!$V$2:$V$495,(SUMPRODUCT((('CASE MASTER'!$T$2:$T$495=8)*('CASE MASTER'!$U$2:$U$495&lt;=1)*('CASE MASTER'!$W$2:$W$495&gt;=1)*('CASE MASTER'!$V$2:$V$495&lt;=6)*('CASE MASTER'!$X$2:$X$495&gt;=6))*ROW('CASE MASTER'!$T$2:$T$495))-(ROW('CASE MASTER'!#REF!)-1))))+1))-1)*50+1,50))&amp;"_"&amp;INDEX('CASE MASTER'!$Q$2:$Q$495,(SUMPRODUCT((('CASE MASTER'!$T$2:$T$495=8)*('CASE MASTER'!$U$2:$U$495&lt;=1)*('CASE MASTER'!$W$2:$W$495&gt;=1)*('CASE MASTER'!$V$2:$V$495&lt;=6)*('CASE MASTER'!$X$2:$X$495&gt;=6))*ROW('CASE MASTER'!$T$2:$T$495))-(ROW('CASE MASTER'!#REF!)-1))),IF(SUMPRODUCT((('CASE MASTER'!$T$2:$T$495=8)*('CASE MASTER'!$AA$2:$AA$495&lt;=1)*('CASE MASTER'!$AC$2:$AC$495&gt;=1)*('CASE MASTER'!$AB$2:$AB$495&lt;=6)*('CASE MASTER'!$AD$2:$AD$495&gt;=6))*ROW('CASE MASTER'!$T$2:$T$495))&gt;0,INDEX('CASE MASTER'!$Y$2:$Y$495,(SUMPRODUCT((('CASE MASTER'!$T$2:$T$495=8)*('CASE MASTER'!$AA$2:$AA$495&lt;=1)*('CASE MASTER'!$AC$2:$AC$495&gt;=1)*('CASE MASTER'!$AB$2:$AB$495&lt;=6)*('CASE MASTER'!$AD$2:$AD$495&gt;=6))*ROW('CASE MASTER'!$T$2:$T$495))-(ROW('CASE MASTER'!#REF!)-1)))&amp;TRIM(MID(SUBSTITUTE(SUBSTITUTE(INDEX('CASE MASTER'!$N$2:$N$495,(SUMPRODUCT((('CASE MASTER'!$T$2:$T$495=8)*('CASE MASTER'!$AA$2:$AA$495&lt;=1)*('CASE MASTER'!$AC$2:$AC$495&gt;=1)*('CASE MASTER'!$AB$2:$AB$495&lt;=6)*('CASE MASTER'!$AD$2:$AD$495&gt;=6))*ROW('CASE MASTER'!$T$2:$T$495))-(ROW('CASE MASTER'!#REF!)-1))),":",","),",",REPT(" ",50)),(((INDEX('CASE MASTER'!$Z$2:$Z$495,(SUMPRODUCT((('CASE MASTER'!$T$2:$T$495=8)*('CASE MASTER'!$AA$2:$AA$495&lt;=1)*('CASE MASTER'!$AC$2:$AC$495&gt;=1)*('CASE MASTER'!$AB$2:$AB$495&lt;=6)*('CASE MASTER'!$AD$2:$AD$495&gt;=6))*ROW('CASE MASTER'!$T$2:$T$495))-(ROW('CASE MASTER'!#REF!)-1)))+((1-INDEX('CASE MASTER'!$AA$2:$AA$495,(SUMPRODUCT((('CASE MASTER'!$T$2:$T$495=8)*('CASE MASTER'!$AA$2:$AA$495&lt;=1)*('CASE MASTER'!$AC$2:$AC$495&gt;=1)*('CASE MASTER'!$AB$2:$AB$495&lt;=6)*('CASE MASTER'!$AD$2:$AD$495&gt;=6))*ROW('CASE MASTER'!$T$2:$T$495))-(ROW('CASE MASTER'!#REF!)-1))))*(INDEX('CASE MASTER'!$AD$2:$AD$495,(SUMPRODUCT((('CASE MASTER'!$T$2:$T$495=8)*('CASE MASTER'!$AA$2:$AA$495&lt;=1)*('CASE MASTER'!$AC$2:$AC$495&gt;=1)*('CASE MASTER'!$AB$2:$AB$495&lt;=6)*('CASE MASTER'!$AD$2:$AD$495&gt;=6))*ROW('CASE MASTER'!$T$2:$T$495))-(ROW('CASE MASTER'!#REF!)-1)))-INDEX('CASE MASTER'!$AB$2:$AB$495,(SUMPRODUCT((('CASE MASTER'!$T$2:$T$495=8)*('CASE MASTER'!$AA$2:$AA$495&lt;=1)*('CASE MASTER'!$AC$2:$AC$495&gt;=1)*('CASE MASTER'!$AB$2:$AB$495&lt;=6)*('CASE MASTER'!$AD$2:$AD$495&gt;=6))*ROW('CASE MASTER'!$T$2:$T$495))-(ROW('CASE MASTER'!#REF!)-1)))+1)+(6-INDEX('CASE MASTER'!$AB$2:$AB$495,(SUMPRODUCT((('CASE MASTER'!$T$2:$T$495=8)*('CASE MASTER'!$AA$2:$AA$495&lt;=1)*('CASE MASTER'!$AC$2:$AC$495&gt;=1)*('CASE MASTER'!$AB$2:$AB$495&lt;=6)*('CASE MASTER'!$AD$2:$AD$495&gt;=6))*ROW('CASE MASTER'!$T$2:$T$495))-(ROW('CASE MASTER'!#REF!)-1))))+1)))-1)*50+1,50))&amp;"_"&amp;INDEX('CASE MASTER'!$Q$2:$Q$495,(SUMPRODUCT((('CASE MASTER'!$T$2:$T$495=8)*('CASE MASTER'!$AA$2:$AA$495&lt;=1)*('CASE MASTER'!$AC$2:$AC$495&gt;=1)*('CASE MASTER'!$AB$2:$AB$495&lt;=6)*('CASE MASTER'!$AD$2:$AD$495&gt;=6))*ROW('CASE MASTER'!$T$2:$T$495))-(ROW('CASE MASTER'!#REF!)-1))),"")),"")</f>
        <v/>
      </c>
      <c r="H101" s="10" t="str">
        <f>IFERROR(IF(SUMPRODUCT((('CASE MASTER'!$T$2:$T$495=8)*('CASE MASTER'!$U$2:$U$495&lt;=1)*('CASE MASTER'!$W$2:$W$495&gt;=1)*('CASE MASTER'!$V$2:$V$495&lt;=7)*('CASE MASTER'!$X$2:$X$495&gt;=7))*ROW('CASE MASTER'!$T$2:$T$495))&gt;0,INDEX('CASE MASTER'!$Y$2:$Y$495,(SUMPRODUCT((('CASE MASTER'!$T$2:$T$495=8)*('CASE MASTER'!$U$2:$U$495&lt;=1)*('CASE MASTER'!$W$2:$W$495&gt;=1)*('CASE MASTER'!$V$2:$V$495&lt;=7)*('CASE MASTER'!$X$2:$X$495&gt;=7))*ROW('CASE MASTER'!$T$2:$T$495))-(ROW('CASE MASTER'!#REF!)-1)))&amp;TRIM(MID(SUBSTITUTE(SUBSTITUTE(INDEX('CASE MASTER'!$N$2:$N$495,(SUMPRODUCT((('CASE MASTER'!$T$2:$T$495=8)*('CASE MASTER'!$U$2:$U$495&lt;=1)*('CASE MASTER'!$W$2:$W$495&gt;=1)*('CASE MASTER'!$V$2:$V$495&lt;=7)*('CASE MASTER'!$X$2:$X$495&gt;=7))*ROW('CASE MASTER'!$T$2:$T$495))-(ROW('CASE MASTER'!#REF!)-1))),":",","),",",REPT(" ",50)),((((1-INDEX('CASE MASTER'!$U$2:$U$495,(SUMPRODUCT((('CASE MASTER'!$T$2:$T$495=8)*('CASE MASTER'!$U$2:$U$495&lt;=1)*('CASE MASTER'!$W$2:$W$495&gt;=1)*('CASE MASTER'!$V$2:$V$495&lt;=7)*('CASE MASTER'!$X$2:$X$495&gt;=7))*ROW('CASE MASTER'!$T$2:$T$495))-(ROW('CASE MASTER'!#REF!)-1))))*(INDEX('CASE MASTER'!$X$2:$X$495,(SUMPRODUCT((('CASE MASTER'!$T$2:$T$495=8)*('CASE MASTER'!$U$2:$U$495&lt;=1)*('CASE MASTER'!$W$2:$W$495&gt;=1)*('CASE MASTER'!$V$2:$V$495&lt;=7)*('CASE MASTER'!$X$2:$X$495&gt;=7))*ROW('CASE MASTER'!$T$2:$T$495))-(ROW('CASE MASTER'!#REF!)-1)))-INDEX('CASE MASTER'!$V$2:$V$495,(SUMPRODUCT((('CASE MASTER'!$T$2:$T$495=8)*('CASE MASTER'!$U$2:$U$495&lt;=1)*('CASE MASTER'!$W$2:$W$495&gt;=1)*('CASE MASTER'!$V$2:$V$495&lt;=7)*('CASE MASTER'!$X$2:$X$495&gt;=7))*ROW('CASE MASTER'!$T$2:$T$495))-(ROW('CASE MASTER'!#REF!)-1)))+1)+(7-INDEX('CASE MASTER'!$V$2:$V$495,(SUMPRODUCT((('CASE MASTER'!$T$2:$T$495=8)*('CASE MASTER'!$U$2:$U$495&lt;=1)*('CASE MASTER'!$W$2:$W$495&gt;=1)*('CASE MASTER'!$V$2:$V$495&lt;=7)*('CASE MASTER'!$X$2:$X$495&gt;=7))*ROW('CASE MASTER'!$T$2:$T$495))-(ROW('CASE MASTER'!#REF!)-1))))+1))-1)*50+1,50))&amp;"_"&amp;INDEX('CASE MASTER'!$Q$2:$Q$495,(SUMPRODUCT((('CASE MASTER'!$T$2:$T$495=8)*('CASE MASTER'!$U$2:$U$495&lt;=1)*('CASE MASTER'!$W$2:$W$495&gt;=1)*('CASE MASTER'!$V$2:$V$495&lt;=7)*('CASE MASTER'!$X$2:$X$495&gt;=7))*ROW('CASE MASTER'!$T$2:$T$495))-(ROW('CASE MASTER'!#REF!)-1))),IF(SUMPRODUCT((('CASE MASTER'!$T$2:$T$495=8)*('CASE MASTER'!$AA$2:$AA$495&lt;=1)*('CASE MASTER'!$AC$2:$AC$495&gt;=1)*('CASE MASTER'!$AB$2:$AB$495&lt;=7)*('CASE MASTER'!$AD$2:$AD$495&gt;=7))*ROW('CASE MASTER'!$T$2:$T$495))&gt;0,INDEX('CASE MASTER'!$Y$2:$Y$495,(SUMPRODUCT((('CASE MASTER'!$T$2:$T$495=8)*('CASE MASTER'!$AA$2:$AA$495&lt;=1)*('CASE MASTER'!$AC$2:$AC$495&gt;=1)*('CASE MASTER'!$AB$2:$AB$495&lt;=7)*('CASE MASTER'!$AD$2:$AD$495&gt;=7))*ROW('CASE MASTER'!$T$2:$T$495))-(ROW('CASE MASTER'!#REF!)-1)))&amp;TRIM(MID(SUBSTITUTE(SUBSTITUTE(INDEX('CASE MASTER'!$N$2:$N$495,(SUMPRODUCT((('CASE MASTER'!$T$2:$T$495=8)*('CASE MASTER'!$AA$2:$AA$495&lt;=1)*('CASE MASTER'!$AC$2:$AC$495&gt;=1)*('CASE MASTER'!$AB$2:$AB$495&lt;=7)*('CASE MASTER'!$AD$2:$AD$495&gt;=7))*ROW('CASE MASTER'!$T$2:$T$495))-(ROW('CASE MASTER'!#REF!)-1))),":",","),",",REPT(" ",50)),(((INDEX('CASE MASTER'!$Z$2:$Z$495,(SUMPRODUCT((('CASE MASTER'!$T$2:$T$495=8)*('CASE MASTER'!$AA$2:$AA$495&lt;=1)*('CASE MASTER'!$AC$2:$AC$495&gt;=1)*('CASE MASTER'!$AB$2:$AB$495&lt;=7)*('CASE MASTER'!$AD$2:$AD$495&gt;=7))*ROW('CASE MASTER'!$T$2:$T$495))-(ROW('CASE MASTER'!#REF!)-1)))+((1-INDEX('CASE MASTER'!$AA$2:$AA$495,(SUMPRODUCT((('CASE MASTER'!$T$2:$T$495=8)*('CASE MASTER'!$AA$2:$AA$495&lt;=1)*('CASE MASTER'!$AC$2:$AC$495&gt;=1)*('CASE MASTER'!$AB$2:$AB$495&lt;=7)*('CASE MASTER'!$AD$2:$AD$495&gt;=7))*ROW('CASE MASTER'!$T$2:$T$495))-(ROW('CASE MASTER'!#REF!)-1))))*(INDEX('CASE MASTER'!$AD$2:$AD$495,(SUMPRODUCT((('CASE MASTER'!$T$2:$T$495=8)*('CASE MASTER'!$AA$2:$AA$495&lt;=1)*('CASE MASTER'!$AC$2:$AC$495&gt;=1)*('CASE MASTER'!$AB$2:$AB$495&lt;=7)*('CASE MASTER'!$AD$2:$AD$495&gt;=7))*ROW('CASE MASTER'!$T$2:$T$495))-(ROW('CASE MASTER'!#REF!)-1)))-INDEX('CASE MASTER'!$AB$2:$AB$495,(SUMPRODUCT((('CASE MASTER'!$T$2:$T$495=8)*('CASE MASTER'!$AA$2:$AA$495&lt;=1)*('CASE MASTER'!$AC$2:$AC$495&gt;=1)*('CASE MASTER'!$AB$2:$AB$495&lt;=7)*('CASE MASTER'!$AD$2:$AD$495&gt;=7))*ROW('CASE MASTER'!$T$2:$T$495))-(ROW('CASE MASTER'!#REF!)-1)))+1)+(7-INDEX('CASE MASTER'!$AB$2:$AB$495,(SUMPRODUCT((('CASE MASTER'!$T$2:$T$495=8)*('CASE MASTER'!$AA$2:$AA$495&lt;=1)*('CASE MASTER'!$AC$2:$AC$495&gt;=1)*('CASE MASTER'!$AB$2:$AB$495&lt;=7)*('CASE MASTER'!$AD$2:$AD$495&gt;=7))*ROW('CASE MASTER'!$T$2:$T$495))-(ROW('CASE MASTER'!#REF!)-1))))+1)))-1)*50+1,50))&amp;"_"&amp;INDEX('CASE MASTER'!$Q$2:$Q$495,(SUMPRODUCT((('CASE MASTER'!$T$2:$T$495=8)*('CASE MASTER'!$AA$2:$AA$495&lt;=1)*('CASE MASTER'!$AC$2:$AC$495&gt;=1)*('CASE MASTER'!$AB$2:$AB$495&lt;=7)*('CASE MASTER'!$AD$2:$AD$495&gt;=7))*ROW('CASE MASTER'!$T$2:$T$495))-(ROW('CASE MASTER'!#REF!)-1))),"")),"")</f>
        <v/>
      </c>
      <c r="I101" s="10" t="str">
        <f>IFERROR(IF(SUMPRODUCT((('CASE MASTER'!$T$2:$T$495=8)*('CASE MASTER'!$U$2:$U$495&lt;=1)*('CASE MASTER'!$W$2:$W$495&gt;=1)*('CASE MASTER'!$V$2:$V$495&lt;=8)*('CASE MASTER'!$X$2:$X$495&gt;=8))*ROW('CASE MASTER'!$T$2:$T$495))&gt;0,INDEX('CASE MASTER'!$Y$2:$Y$495,(SUMPRODUCT((('CASE MASTER'!$T$2:$T$495=8)*('CASE MASTER'!$U$2:$U$495&lt;=1)*('CASE MASTER'!$W$2:$W$495&gt;=1)*('CASE MASTER'!$V$2:$V$495&lt;=8)*('CASE MASTER'!$X$2:$X$495&gt;=8))*ROW('CASE MASTER'!$T$2:$T$495))-(ROW('CASE MASTER'!#REF!)-1)))&amp;TRIM(MID(SUBSTITUTE(SUBSTITUTE(INDEX('CASE MASTER'!$N$2:$N$495,(SUMPRODUCT((('CASE MASTER'!$T$2:$T$495=8)*('CASE MASTER'!$U$2:$U$495&lt;=1)*('CASE MASTER'!$W$2:$W$495&gt;=1)*('CASE MASTER'!$V$2:$V$495&lt;=8)*('CASE MASTER'!$X$2:$X$495&gt;=8))*ROW('CASE MASTER'!$T$2:$T$495))-(ROW('CASE MASTER'!#REF!)-1))),":",","),",",REPT(" ",50)),((((1-INDEX('CASE MASTER'!$U$2:$U$495,(SUMPRODUCT((('CASE MASTER'!$T$2:$T$495=8)*('CASE MASTER'!$U$2:$U$495&lt;=1)*('CASE MASTER'!$W$2:$W$495&gt;=1)*('CASE MASTER'!$V$2:$V$495&lt;=8)*('CASE MASTER'!$X$2:$X$495&gt;=8))*ROW('CASE MASTER'!$T$2:$T$495))-(ROW('CASE MASTER'!#REF!)-1))))*(INDEX('CASE MASTER'!$X$2:$X$495,(SUMPRODUCT((('CASE MASTER'!$T$2:$T$495=8)*('CASE MASTER'!$U$2:$U$495&lt;=1)*('CASE MASTER'!$W$2:$W$495&gt;=1)*('CASE MASTER'!$V$2:$V$495&lt;=8)*('CASE MASTER'!$X$2:$X$495&gt;=8))*ROW('CASE MASTER'!$T$2:$T$495))-(ROW('CASE MASTER'!#REF!)-1)))-INDEX('CASE MASTER'!$V$2:$V$495,(SUMPRODUCT((('CASE MASTER'!$T$2:$T$495=8)*('CASE MASTER'!$U$2:$U$495&lt;=1)*('CASE MASTER'!$W$2:$W$495&gt;=1)*('CASE MASTER'!$V$2:$V$495&lt;=8)*('CASE MASTER'!$X$2:$X$495&gt;=8))*ROW('CASE MASTER'!$T$2:$T$495))-(ROW('CASE MASTER'!#REF!)-1)))+1)+(8-INDEX('CASE MASTER'!$V$2:$V$495,(SUMPRODUCT((('CASE MASTER'!$T$2:$T$495=8)*('CASE MASTER'!$U$2:$U$495&lt;=1)*('CASE MASTER'!$W$2:$W$495&gt;=1)*('CASE MASTER'!$V$2:$V$495&lt;=8)*('CASE MASTER'!$X$2:$X$495&gt;=8))*ROW('CASE MASTER'!$T$2:$T$495))-(ROW('CASE MASTER'!#REF!)-1))))+1))-1)*50+1,50))&amp;"_"&amp;INDEX('CASE MASTER'!$Q$2:$Q$495,(SUMPRODUCT((('CASE MASTER'!$T$2:$T$495=8)*('CASE MASTER'!$U$2:$U$495&lt;=1)*('CASE MASTER'!$W$2:$W$495&gt;=1)*('CASE MASTER'!$V$2:$V$495&lt;=8)*('CASE MASTER'!$X$2:$X$495&gt;=8))*ROW('CASE MASTER'!$T$2:$T$495))-(ROW('CASE MASTER'!#REF!)-1))),IF(SUMPRODUCT((('CASE MASTER'!$T$2:$T$495=8)*('CASE MASTER'!$AA$2:$AA$495&lt;=1)*('CASE MASTER'!$AC$2:$AC$495&gt;=1)*('CASE MASTER'!$AB$2:$AB$495&lt;=8)*('CASE MASTER'!$AD$2:$AD$495&gt;=8))*ROW('CASE MASTER'!$T$2:$T$495))&gt;0,INDEX('CASE MASTER'!$Y$2:$Y$495,(SUMPRODUCT((('CASE MASTER'!$T$2:$T$495=8)*('CASE MASTER'!$AA$2:$AA$495&lt;=1)*('CASE MASTER'!$AC$2:$AC$495&gt;=1)*('CASE MASTER'!$AB$2:$AB$495&lt;=8)*('CASE MASTER'!$AD$2:$AD$495&gt;=8))*ROW('CASE MASTER'!$T$2:$T$495))-(ROW('CASE MASTER'!#REF!)-1)))&amp;TRIM(MID(SUBSTITUTE(SUBSTITUTE(INDEX('CASE MASTER'!$N$2:$N$495,(SUMPRODUCT((('CASE MASTER'!$T$2:$T$495=8)*('CASE MASTER'!$AA$2:$AA$495&lt;=1)*('CASE MASTER'!$AC$2:$AC$495&gt;=1)*('CASE MASTER'!$AB$2:$AB$495&lt;=8)*('CASE MASTER'!$AD$2:$AD$495&gt;=8))*ROW('CASE MASTER'!$T$2:$T$495))-(ROW('CASE MASTER'!#REF!)-1))),":",","),",",REPT(" ",50)),(((INDEX('CASE MASTER'!$Z$2:$Z$495,(SUMPRODUCT((('CASE MASTER'!$T$2:$T$495=8)*('CASE MASTER'!$AA$2:$AA$495&lt;=1)*('CASE MASTER'!$AC$2:$AC$495&gt;=1)*('CASE MASTER'!$AB$2:$AB$495&lt;=8)*('CASE MASTER'!$AD$2:$AD$495&gt;=8))*ROW('CASE MASTER'!$T$2:$T$495))-(ROW('CASE MASTER'!#REF!)-1)))+((1-INDEX('CASE MASTER'!$AA$2:$AA$495,(SUMPRODUCT((('CASE MASTER'!$T$2:$T$495=8)*('CASE MASTER'!$AA$2:$AA$495&lt;=1)*('CASE MASTER'!$AC$2:$AC$495&gt;=1)*('CASE MASTER'!$AB$2:$AB$495&lt;=8)*('CASE MASTER'!$AD$2:$AD$495&gt;=8))*ROW('CASE MASTER'!$T$2:$T$495))-(ROW('CASE MASTER'!#REF!)-1))))*(INDEX('CASE MASTER'!$AD$2:$AD$495,(SUMPRODUCT((('CASE MASTER'!$T$2:$T$495=8)*('CASE MASTER'!$AA$2:$AA$495&lt;=1)*('CASE MASTER'!$AC$2:$AC$495&gt;=1)*('CASE MASTER'!$AB$2:$AB$495&lt;=8)*('CASE MASTER'!$AD$2:$AD$495&gt;=8))*ROW('CASE MASTER'!$T$2:$T$495))-(ROW('CASE MASTER'!#REF!)-1)))-INDEX('CASE MASTER'!$AB$2:$AB$495,(SUMPRODUCT((('CASE MASTER'!$T$2:$T$495=8)*('CASE MASTER'!$AA$2:$AA$495&lt;=1)*('CASE MASTER'!$AC$2:$AC$495&gt;=1)*('CASE MASTER'!$AB$2:$AB$495&lt;=8)*('CASE MASTER'!$AD$2:$AD$495&gt;=8))*ROW('CASE MASTER'!$T$2:$T$495))-(ROW('CASE MASTER'!#REF!)-1)))+1)+(8-INDEX('CASE MASTER'!$AB$2:$AB$495,(SUMPRODUCT((('CASE MASTER'!$T$2:$T$495=8)*('CASE MASTER'!$AA$2:$AA$495&lt;=1)*('CASE MASTER'!$AC$2:$AC$495&gt;=1)*('CASE MASTER'!$AB$2:$AB$495&lt;=8)*('CASE MASTER'!$AD$2:$AD$495&gt;=8))*ROW('CASE MASTER'!$T$2:$T$495))-(ROW('CASE MASTER'!#REF!)-1))))+1)))-1)*50+1,50))&amp;"_"&amp;INDEX('CASE MASTER'!$Q$2:$Q$495,(SUMPRODUCT((('CASE MASTER'!$T$2:$T$495=8)*('CASE MASTER'!$AA$2:$AA$495&lt;=1)*('CASE MASTER'!$AC$2:$AC$495&gt;=1)*('CASE MASTER'!$AB$2:$AB$495&lt;=8)*('CASE MASTER'!$AD$2:$AD$495&gt;=8))*ROW('CASE MASTER'!$T$2:$T$495))-(ROW('CASE MASTER'!#REF!)-1))),"")),"")</f>
        <v/>
      </c>
      <c r="J101" s="10" t="str">
        <f>IFERROR(IF(SUMPRODUCT((('CASE MASTER'!$T$2:$T$495=8)*('CASE MASTER'!$U$2:$U$495&lt;=1)*('CASE MASTER'!$W$2:$W$495&gt;=1)*('CASE MASTER'!$V$2:$V$495&lt;=9)*('CASE MASTER'!$X$2:$X$495&gt;=9))*ROW('CASE MASTER'!$T$2:$T$495))&gt;0,INDEX('CASE MASTER'!$Y$2:$Y$495,(SUMPRODUCT((('CASE MASTER'!$T$2:$T$495=8)*('CASE MASTER'!$U$2:$U$495&lt;=1)*('CASE MASTER'!$W$2:$W$495&gt;=1)*('CASE MASTER'!$V$2:$V$495&lt;=9)*('CASE MASTER'!$X$2:$X$495&gt;=9))*ROW('CASE MASTER'!$T$2:$T$495))-(ROW('CASE MASTER'!#REF!)-1)))&amp;TRIM(MID(SUBSTITUTE(SUBSTITUTE(INDEX('CASE MASTER'!$N$2:$N$495,(SUMPRODUCT((('CASE MASTER'!$T$2:$T$495=8)*('CASE MASTER'!$U$2:$U$495&lt;=1)*('CASE MASTER'!$W$2:$W$495&gt;=1)*('CASE MASTER'!$V$2:$V$495&lt;=9)*('CASE MASTER'!$X$2:$X$495&gt;=9))*ROW('CASE MASTER'!$T$2:$T$495))-(ROW('CASE MASTER'!#REF!)-1))),":",","),",",REPT(" ",50)),((((1-INDEX('CASE MASTER'!$U$2:$U$495,(SUMPRODUCT((('CASE MASTER'!$T$2:$T$495=8)*('CASE MASTER'!$U$2:$U$495&lt;=1)*('CASE MASTER'!$W$2:$W$495&gt;=1)*('CASE MASTER'!$V$2:$V$495&lt;=9)*('CASE MASTER'!$X$2:$X$495&gt;=9))*ROW('CASE MASTER'!$T$2:$T$495))-(ROW('CASE MASTER'!#REF!)-1))))*(INDEX('CASE MASTER'!$X$2:$X$495,(SUMPRODUCT((('CASE MASTER'!$T$2:$T$495=8)*('CASE MASTER'!$U$2:$U$495&lt;=1)*('CASE MASTER'!$W$2:$W$495&gt;=1)*('CASE MASTER'!$V$2:$V$495&lt;=9)*('CASE MASTER'!$X$2:$X$495&gt;=9))*ROW('CASE MASTER'!$T$2:$T$495))-(ROW('CASE MASTER'!#REF!)-1)))-INDEX('CASE MASTER'!$V$2:$V$495,(SUMPRODUCT((('CASE MASTER'!$T$2:$T$495=8)*('CASE MASTER'!$U$2:$U$495&lt;=1)*('CASE MASTER'!$W$2:$W$495&gt;=1)*('CASE MASTER'!$V$2:$V$495&lt;=9)*('CASE MASTER'!$X$2:$X$495&gt;=9))*ROW('CASE MASTER'!$T$2:$T$495))-(ROW('CASE MASTER'!#REF!)-1)))+1)+(9-INDEX('CASE MASTER'!$V$2:$V$495,(SUMPRODUCT((('CASE MASTER'!$T$2:$T$495=8)*('CASE MASTER'!$U$2:$U$495&lt;=1)*('CASE MASTER'!$W$2:$W$495&gt;=1)*('CASE MASTER'!$V$2:$V$495&lt;=9)*('CASE MASTER'!$X$2:$X$495&gt;=9))*ROW('CASE MASTER'!$T$2:$T$495))-(ROW('CASE MASTER'!#REF!)-1))))+1))-1)*50+1,50))&amp;"_"&amp;INDEX('CASE MASTER'!$Q$2:$Q$495,(SUMPRODUCT((('CASE MASTER'!$T$2:$T$495=8)*('CASE MASTER'!$U$2:$U$495&lt;=1)*('CASE MASTER'!$W$2:$W$495&gt;=1)*('CASE MASTER'!$V$2:$V$495&lt;=9)*('CASE MASTER'!$X$2:$X$495&gt;=9))*ROW('CASE MASTER'!$T$2:$T$495))-(ROW('CASE MASTER'!#REF!)-1))),IF(SUMPRODUCT((('CASE MASTER'!$T$2:$T$495=8)*('CASE MASTER'!$AA$2:$AA$495&lt;=1)*('CASE MASTER'!$AC$2:$AC$495&gt;=1)*('CASE MASTER'!$AB$2:$AB$495&lt;=9)*('CASE MASTER'!$AD$2:$AD$495&gt;=9))*ROW('CASE MASTER'!$T$2:$T$495))&gt;0,INDEX('CASE MASTER'!$Y$2:$Y$495,(SUMPRODUCT((('CASE MASTER'!$T$2:$T$495=8)*('CASE MASTER'!$AA$2:$AA$495&lt;=1)*('CASE MASTER'!$AC$2:$AC$495&gt;=1)*('CASE MASTER'!$AB$2:$AB$495&lt;=9)*('CASE MASTER'!$AD$2:$AD$495&gt;=9))*ROW('CASE MASTER'!$T$2:$T$495))-(ROW('CASE MASTER'!#REF!)-1)))&amp;TRIM(MID(SUBSTITUTE(SUBSTITUTE(INDEX('CASE MASTER'!$N$2:$N$495,(SUMPRODUCT((('CASE MASTER'!$T$2:$T$495=8)*('CASE MASTER'!$AA$2:$AA$495&lt;=1)*('CASE MASTER'!$AC$2:$AC$495&gt;=1)*('CASE MASTER'!$AB$2:$AB$495&lt;=9)*('CASE MASTER'!$AD$2:$AD$495&gt;=9))*ROW('CASE MASTER'!$T$2:$T$495))-(ROW('CASE MASTER'!#REF!)-1))),":",","),",",REPT(" ",50)),(((INDEX('CASE MASTER'!$Z$2:$Z$495,(SUMPRODUCT((('CASE MASTER'!$T$2:$T$495=8)*('CASE MASTER'!$AA$2:$AA$495&lt;=1)*('CASE MASTER'!$AC$2:$AC$495&gt;=1)*('CASE MASTER'!$AB$2:$AB$495&lt;=9)*('CASE MASTER'!$AD$2:$AD$495&gt;=9))*ROW('CASE MASTER'!$T$2:$T$495))-(ROW('CASE MASTER'!#REF!)-1)))+((1-INDEX('CASE MASTER'!$AA$2:$AA$495,(SUMPRODUCT((('CASE MASTER'!$T$2:$T$495=8)*('CASE MASTER'!$AA$2:$AA$495&lt;=1)*('CASE MASTER'!$AC$2:$AC$495&gt;=1)*('CASE MASTER'!$AB$2:$AB$495&lt;=9)*('CASE MASTER'!$AD$2:$AD$495&gt;=9))*ROW('CASE MASTER'!$T$2:$T$495))-(ROW('CASE MASTER'!#REF!)-1))))*(INDEX('CASE MASTER'!$AD$2:$AD$495,(SUMPRODUCT((('CASE MASTER'!$T$2:$T$495=8)*('CASE MASTER'!$AA$2:$AA$495&lt;=1)*('CASE MASTER'!$AC$2:$AC$495&gt;=1)*('CASE MASTER'!$AB$2:$AB$495&lt;=9)*('CASE MASTER'!$AD$2:$AD$495&gt;=9))*ROW('CASE MASTER'!$T$2:$T$495))-(ROW('CASE MASTER'!#REF!)-1)))-INDEX('CASE MASTER'!$AB$2:$AB$495,(SUMPRODUCT((('CASE MASTER'!$T$2:$T$495=8)*('CASE MASTER'!$AA$2:$AA$495&lt;=1)*('CASE MASTER'!$AC$2:$AC$495&gt;=1)*('CASE MASTER'!$AB$2:$AB$495&lt;=9)*('CASE MASTER'!$AD$2:$AD$495&gt;=9))*ROW('CASE MASTER'!$T$2:$T$495))-(ROW('CASE MASTER'!#REF!)-1)))+1)+(9-INDEX('CASE MASTER'!$AB$2:$AB$495,(SUMPRODUCT((('CASE MASTER'!$T$2:$T$495=8)*('CASE MASTER'!$AA$2:$AA$495&lt;=1)*('CASE MASTER'!$AC$2:$AC$495&gt;=1)*('CASE MASTER'!$AB$2:$AB$495&lt;=9)*('CASE MASTER'!$AD$2:$AD$495&gt;=9))*ROW('CASE MASTER'!$T$2:$T$495))-(ROW('CASE MASTER'!#REF!)-1))))+1)))-1)*50+1,50))&amp;"_"&amp;INDEX('CASE MASTER'!$Q$2:$Q$495,(SUMPRODUCT((('CASE MASTER'!$T$2:$T$495=8)*('CASE MASTER'!$AA$2:$AA$495&lt;=1)*('CASE MASTER'!$AC$2:$AC$495&gt;=1)*('CASE MASTER'!$AB$2:$AB$495&lt;=9)*('CASE MASTER'!$AD$2:$AD$495&gt;=9))*ROW('CASE MASTER'!$T$2:$T$495))-(ROW('CASE MASTER'!#REF!)-1))),"")),"")</f>
        <v/>
      </c>
      <c r="K101" s="10" t="str">
        <f>IFERROR(IF(SUMPRODUCT((('CASE MASTER'!$T$2:$T$495=8)*('CASE MASTER'!$U$2:$U$495&lt;=1)*('CASE MASTER'!$W$2:$W$495&gt;=1)*('CASE MASTER'!$V$2:$V$495&lt;=10)*('CASE MASTER'!$X$2:$X$495&gt;=10))*ROW('CASE MASTER'!$T$2:$T$495))&gt;0,INDEX('CASE MASTER'!$Y$2:$Y$495,(SUMPRODUCT((('CASE MASTER'!$T$2:$T$495=8)*('CASE MASTER'!$U$2:$U$495&lt;=1)*('CASE MASTER'!$W$2:$W$495&gt;=1)*('CASE MASTER'!$V$2:$V$495&lt;=10)*('CASE MASTER'!$X$2:$X$495&gt;=10))*ROW('CASE MASTER'!$T$2:$T$495))-(ROW('CASE MASTER'!#REF!)-1)))&amp;TRIM(MID(SUBSTITUTE(SUBSTITUTE(INDEX('CASE MASTER'!$N$2:$N$495,(SUMPRODUCT((('CASE MASTER'!$T$2:$T$495=8)*('CASE MASTER'!$U$2:$U$495&lt;=1)*('CASE MASTER'!$W$2:$W$495&gt;=1)*('CASE MASTER'!$V$2:$V$495&lt;=10)*('CASE MASTER'!$X$2:$X$495&gt;=10))*ROW('CASE MASTER'!$T$2:$T$495))-(ROW('CASE MASTER'!#REF!)-1))),":",","),",",REPT(" ",50)),((((1-INDEX('CASE MASTER'!$U$2:$U$495,(SUMPRODUCT((('CASE MASTER'!$T$2:$T$495=8)*('CASE MASTER'!$U$2:$U$495&lt;=1)*('CASE MASTER'!$W$2:$W$495&gt;=1)*('CASE MASTER'!$V$2:$V$495&lt;=10)*('CASE MASTER'!$X$2:$X$495&gt;=10))*ROW('CASE MASTER'!$T$2:$T$495))-(ROW('CASE MASTER'!#REF!)-1))))*(INDEX('CASE MASTER'!$X$2:$X$495,(SUMPRODUCT((('CASE MASTER'!$T$2:$T$495=8)*('CASE MASTER'!$U$2:$U$495&lt;=1)*('CASE MASTER'!$W$2:$W$495&gt;=1)*('CASE MASTER'!$V$2:$V$495&lt;=10)*('CASE MASTER'!$X$2:$X$495&gt;=10))*ROW('CASE MASTER'!$T$2:$T$495))-(ROW('CASE MASTER'!#REF!)-1)))-INDEX('CASE MASTER'!$V$2:$V$495,(SUMPRODUCT((('CASE MASTER'!$T$2:$T$495=8)*('CASE MASTER'!$U$2:$U$495&lt;=1)*('CASE MASTER'!$W$2:$W$495&gt;=1)*('CASE MASTER'!$V$2:$V$495&lt;=10)*('CASE MASTER'!$X$2:$X$495&gt;=10))*ROW('CASE MASTER'!$T$2:$T$495))-(ROW('CASE MASTER'!#REF!)-1)))+1)+(10-INDEX('CASE MASTER'!$V$2:$V$495,(SUMPRODUCT((('CASE MASTER'!$T$2:$T$495=8)*('CASE MASTER'!$U$2:$U$495&lt;=1)*('CASE MASTER'!$W$2:$W$495&gt;=1)*('CASE MASTER'!$V$2:$V$495&lt;=10)*('CASE MASTER'!$X$2:$X$495&gt;=10))*ROW('CASE MASTER'!$T$2:$T$495))-(ROW('CASE MASTER'!#REF!)-1))))+1))-1)*50+1,50))&amp;"_"&amp;INDEX('CASE MASTER'!$Q$2:$Q$495,(SUMPRODUCT((('CASE MASTER'!$T$2:$T$495=8)*('CASE MASTER'!$U$2:$U$495&lt;=1)*('CASE MASTER'!$W$2:$W$495&gt;=1)*('CASE MASTER'!$V$2:$V$495&lt;=10)*('CASE MASTER'!$X$2:$X$495&gt;=10))*ROW('CASE MASTER'!$T$2:$T$495))-(ROW('CASE MASTER'!#REF!)-1))),IF(SUMPRODUCT((('CASE MASTER'!$T$2:$T$495=8)*('CASE MASTER'!$AA$2:$AA$495&lt;=1)*('CASE MASTER'!$AC$2:$AC$495&gt;=1)*('CASE MASTER'!$AB$2:$AB$495&lt;=10)*('CASE MASTER'!$AD$2:$AD$495&gt;=10))*ROW('CASE MASTER'!$T$2:$T$495))&gt;0,INDEX('CASE MASTER'!$Y$2:$Y$495,(SUMPRODUCT((('CASE MASTER'!$T$2:$T$495=8)*('CASE MASTER'!$AA$2:$AA$495&lt;=1)*('CASE MASTER'!$AC$2:$AC$495&gt;=1)*('CASE MASTER'!$AB$2:$AB$495&lt;=10)*('CASE MASTER'!$AD$2:$AD$495&gt;=10))*ROW('CASE MASTER'!$T$2:$T$495))-(ROW('CASE MASTER'!#REF!)-1)))&amp;TRIM(MID(SUBSTITUTE(SUBSTITUTE(INDEX('CASE MASTER'!$N$2:$N$495,(SUMPRODUCT((('CASE MASTER'!$T$2:$T$495=8)*('CASE MASTER'!$AA$2:$AA$495&lt;=1)*('CASE MASTER'!$AC$2:$AC$495&gt;=1)*('CASE MASTER'!$AB$2:$AB$495&lt;=10)*('CASE MASTER'!$AD$2:$AD$495&gt;=10))*ROW('CASE MASTER'!$T$2:$T$495))-(ROW('CASE MASTER'!#REF!)-1))),":",","),",",REPT(" ",50)),(((INDEX('CASE MASTER'!$Z$2:$Z$495,(SUMPRODUCT((('CASE MASTER'!$T$2:$T$495=8)*('CASE MASTER'!$AA$2:$AA$495&lt;=1)*('CASE MASTER'!$AC$2:$AC$495&gt;=1)*('CASE MASTER'!$AB$2:$AB$495&lt;=10)*('CASE MASTER'!$AD$2:$AD$495&gt;=10))*ROW('CASE MASTER'!$T$2:$T$495))-(ROW('CASE MASTER'!#REF!)-1)))+((1-INDEX('CASE MASTER'!$AA$2:$AA$495,(SUMPRODUCT((('CASE MASTER'!$T$2:$T$495=8)*('CASE MASTER'!$AA$2:$AA$495&lt;=1)*('CASE MASTER'!$AC$2:$AC$495&gt;=1)*('CASE MASTER'!$AB$2:$AB$495&lt;=10)*('CASE MASTER'!$AD$2:$AD$495&gt;=10))*ROW('CASE MASTER'!$T$2:$T$495))-(ROW('CASE MASTER'!#REF!)-1))))*(INDEX('CASE MASTER'!$AD$2:$AD$495,(SUMPRODUCT((('CASE MASTER'!$T$2:$T$495=8)*('CASE MASTER'!$AA$2:$AA$495&lt;=1)*('CASE MASTER'!$AC$2:$AC$495&gt;=1)*('CASE MASTER'!$AB$2:$AB$495&lt;=10)*('CASE MASTER'!$AD$2:$AD$495&gt;=10))*ROW('CASE MASTER'!$T$2:$T$495))-(ROW('CASE MASTER'!#REF!)-1)))-INDEX('CASE MASTER'!$AB$2:$AB$495,(SUMPRODUCT((('CASE MASTER'!$T$2:$T$495=8)*('CASE MASTER'!$AA$2:$AA$495&lt;=1)*('CASE MASTER'!$AC$2:$AC$495&gt;=1)*('CASE MASTER'!$AB$2:$AB$495&lt;=10)*('CASE MASTER'!$AD$2:$AD$495&gt;=10))*ROW('CASE MASTER'!$T$2:$T$495))-(ROW('CASE MASTER'!#REF!)-1)))+1)+(10-INDEX('CASE MASTER'!$AB$2:$AB$495,(SUMPRODUCT((('CASE MASTER'!$T$2:$T$495=8)*('CASE MASTER'!$AA$2:$AA$495&lt;=1)*('CASE MASTER'!$AC$2:$AC$495&gt;=1)*('CASE MASTER'!$AB$2:$AB$495&lt;=10)*('CASE MASTER'!$AD$2:$AD$495&gt;=10))*ROW('CASE MASTER'!$T$2:$T$495))-(ROW('CASE MASTER'!#REF!)-1))))+1)))-1)*50+1,50))&amp;"_"&amp;INDEX('CASE MASTER'!$Q$2:$Q$495,(SUMPRODUCT((('CASE MASTER'!$T$2:$T$495=8)*('CASE MASTER'!$AA$2:$AA$495&lt;=1)*('CASE MASTER'!$AC$2:$AC$495&gt;=1)*('CASE MASTER'!$AB$2:$AB$495&lt;=10)*('CASE MASTER'!$AD$2:$AD$495&gt;=10))*ROW('CASE MASTER'!$T$2:$T$495))-(ROW('CASE MASTER'!#REF!)-1))),"")),"")</f>
        <v/>
      </c>
    </row>
    <row r="102" spans="1:11" ht="15" customHeight="1" x14ac:dyDescent="0.35">
      <c r="A102" s="8" t="s">
        <v>29</v>
      </c>
      <c r="B102" s="10" t="str">
        <f>IFERROR(IF(SUMPRODUCT((('CASE MASTER'!$T$2:$T$495=8)*('CASE MASTER'!$U$2:$U$495&lt;=2)*('CASE MASTER'!$W$2:$W$495&gt;=2)*('CASE MASTER'!$V$2:$V$495&lt;=1)*('CASE MASTER'!$X$2:$X$495&gt;=1))*ROW('CASE MASTER'!$T$2:$T$495))&gt;0,INDEX('CASE MASTER'!$Y$2:$Y$495,(SUMPRODUCT((('CASE MASTER'!$T$2:$T$495=8)*('CASE MASTER'!$U$2:$U$495&lt;=2)*('CASE MASTER'!$W$2:$W$495&gt;=2)*('CASE MASTER'!$V$2:$V$495&lt;=1)*('CASE MASTER'!$X$2:$X$495&gt;=1))*ROW('CASE MASTER'!$T$2:$T$495))-(ROW('CASE MASTER'!#REF!)-1)))&amp;TRIM(MID(SUBSTITUTE(SUBSTITUTE(INDEX('CASE MASTER'!$N$2:$N$495,(SUMPRODUCT((('CASE MASTER'!$T$2:$T$495=8)*('CASE MASTER'!$U$2:$U$495&lt;=2)*('CASE MASTER'!$W$2:$W$495&gt;=2)*('CASE MASTER'!$V$2:$V$495&lt;=1)*('CASE MASTER'!$X$2:$X$495&gt;=1))*ROW('CASE MASTER'!$T$2:$T$495))-(ROW('CASE MASTER'!#REF!)-1))),":",","),",",REPT(" ",50)),((((2-INDEX('CASE MASTER'!$U$2:$U$495,(SUMPRODUCT((('CASE MASTER'!$T$2:$T$495=8)*('CASE MASTER'!$U$2:$U$495&lt;=2)*('CASE MASTER'!$W$2:$W$495&gt;=2)*('CASE MASTER'!$V$2:$V$495&lt;=1)*('CASE MASTER'!$X$2:$X$495&gt;=1))*ROW('CASE MASTER'!$T$2:$T$495))-(ROW('CASE MASTER'!#REF!)-1))))*(INDEX('CASE MASTER'!$X$2:$X$495,(SUMPRODUCT((('CASE MASTER'!$T$2:$T$495=8)*('CASE MASTER'!$U$2:$U$495&lt;=2)*('CASE MASTER'!$W$2:$W$495&gt;=2)*('CASE MASTER'!$V$2:$V$495&lt;=1)*('CASE MASTER'!$X$2:$X$495&gt;=1))*ROW('CASE MASTER'!$T$2:$T$495))-(ROW('CASE MASTER'!#REF!)-1)))-INDEX('CASE MASTER'!$V$2:$V$495,(SUMPRODUCT((('CASE MASTER'!$T$2:$T$495=8)*('CASE MASTER'!$U$2:$U$495&lt;=2)*('CASE MASTER'!$W$2:$W$495&gt;=2)*('CASE MASTER'!$V$2:$V$495&lt;=1)*('CASE MASTER'!$X$2:$X$495&gt;=1))*ROW('CASE MASTER'!$T$2:$T$495))-(ROW('CASE MASTER'!#REF!)-1)))+1)+(1-INDEX('CASE MASTER'!$V$2:$V$495,(SUMPRODUCT((('CASE MASTER'!$T$2:$T$495=8)*('CASE MASTER'!$U$2:$U$495&lt;=2)*('CASE MASTER'!$W$2:$W$495&gt;=2)*('CASE MASTER'!$V$2:$V$495&lt;=1)*('CASE MASTER'!$X$2:$X$495&gt;=1))*ROW('CASE MASTER'!$T$2:$T$495))-(ROW('CASE MASTER'!#REF!)-1))))+1))-1)*50+1,50))&amp;"_"&amp;INDEX('CASE MASTER'!$Q$2:$Q$495,(SUMPRODUCT((('CASE MASTER'!$T$2:$T$495=8)*('CASE MASTER'!$U$2:$U$495&lt;=2)*('CASE MASTER'!$W$2:$W$495&gt;=2)*('CASE MASTER'!$V$2:$V$495&lt;=1)*('CASE MASTER'!$X$2:$X$495&gt;=1))*ROW('CASE MASTER'!$T$2:$T$495))-(ROW('CASE MASTER'!#REF!)-1))),IF(SUMPRODUCT((('CASE MASTER'!$T$2:$T$495=8)*('CASE MASTER'!$AA$2:$AA$495&lt;=2)*('CASE MASTER'!$AC$2:$AC$495&gt;=2)*('CASE MASTER'!$AB$2:$AB$495&lt;=1)*('CASE MASTER'!$AD$2:$AD$495&gt;=1))*ROW('CASE MASTER'!$T$2:$T$495))&gt;0,INDEX('CASE MASTER'!$Y$2:$Y$495,(SUMPRODUCT((('CASE MASTER'!$T$2:$T$495=8)*('CASE MASTER'!$AA$2:$AA$495&lt;=2)*('CASE MASTER'!$AC$2:$AC$495&gt;=2)*('CASE MASTER'!$AB$2:$AB$495&lt;=1)*('CASE MASTER'!$AD$2:$AD$495&gt;=1))*ROW('CASE MASTER'!$T$2:$T$495))-(ROW('CASE MASTER'!#REF!)-1)))&amp;TRIM(MID(SUBSTITUTE(SUBSTITUTE(INDEX('CASE MASTER'!$N$2:$N$495,(SUMPRODUCT((('CASE MASTER'!$T$2:$T$495=8)*('CASE MASTER'!$AA$2:$AA$495&lt;=2)*('CASE MASTER'!$AC$2:$AC$495&gt;=2)*('CASE MASTER'!$AB$2:$AB$495&lt;=1)*('CASE MASTER'!$AD$2:$AD$495&gt;=1))*ROW('CASE MASTER'!$T$2:$T$495))-(ROW('CASE MASTER'!#REF!)-1))),":",","),",",REPT(" ",50)),(((INDEX('CASE MASTER'!$Z$2:$Z$495,(SUMPRODUCT((('CASE MASTER'!$T$2:$T$495=8)*('CASE MASTER'!$AA$2:$AA$495&lt;=2)*('CASE MASTER'!$AC$2:$AC$495&gt;=2)*('CASE MASTER'!$AB$2:$AB$495&lt;=1)*('CASE MASTER'!$AD$2:$AD$495&gt;=1))*ROW('CASE MASTER'!$T$2:$T$495))-(ROW('CASE MASTER'!#REF!)-1)))+((2-INDEX('CASE MASTER'!$AA$2:$AA$495,(SUMPRODUCT((('CASE MASTER'!$T$2:$T$495=8)*('CASE MASTER'!$AA$2:$AA$495&lt;=2)*('CASE MASTER'!$AC$2:$AC$495&gt;=2)*('CASE MASTER'!$AB$2:$AB$495&lt;=1)*('CASE MASTER'!$AD$2:$AD$495&gt;=1))*ROW('CASE MASTER'!$T$2:$T$495))-(ROW('CASE MASTER'!#REF!)-1))))*(INDEX('CASE MASTER'!$AD$2:$AD$495,(SUMPRODUCT((('CASE MASTER'!$T$2:$T$495=8)*('CASE MASTER'!$AA$2:$AA$495&lt;=2)*('CASE MASTER'!$AC$2:$AC$495&gt;=2)*('CASE MASTER'!$AB$2:$AB$495&lt;=1)*('CASE MASTER'!$AD$2:$AD$495&gt;=1))*ROW('CASE MASTER'!$T$2:$T$495))-(ROW('CASE MASTER'!#REF!)-1)))-INDEX('CASE MASTER'!$AB$2:$AB$495,(SUMPRODUCT((('CASE MASTER'!$T$2:$T$495=8)*('CASE MASTER'!$AA$2:$AA$495&lt;=2)*('CASE MASTER'!$AC$2:$AC$495&gt;=2)*('CASE MASTER'!$AB$2:$AB$495&lt;=1)*('CASE MASTER'!$AD$2:$AD$495&gt;=1))*ROW('CASE MASTER'!$T$2:$T$495))-(ROW('CASE MASTER'!#REF!)-1)))+1)+(1-INDEX('CASE MASTER'!$AB$2:$AB$495,(SUMPRODUCT((('CASE MASTER'!$T$2:$T$495=8)*('CASE MASTER'!$AA$2:$AA$495&lt;=2)*('CASE MASTER'!$AC$2:$AC$495&gt;=2)*('CASE MASTER'!$AB$2:$AB$495&lt;=1)*('CASE MASTER'!$AD$2:$AD$495&gt;=1))*ROW('CASE MASTER'!$T$2:$T$495))-(ROW('CASE MASTER'!#REF!)-1))))+1)))-1)*50+1,50))&amp;"_"&amp;INDEX('CASE MASTER'!$Q$2:$Q$495,(SUMPRODUCT((('CASE MASTER'!$T$2:$T$495=8)*('CASE MASTER'!$AA$2:$AA$495&lt;=2)*('CASE MASTER'!$AC$2:$AC$495&gt;=2)*('CASE MASTER'!$AB$2:$AB$495&lt;=1)*('CASE MASTER'!$AD$2:$AD$495&gt;=1))*ROW('CASE MASTER'!$T$2:$T$495))-(ROW('CASE MASTER'!#REF!)-1))),"")),"")</f>
        <v/>
      </c>
      <c r="C102" s="10" t="str">
        <f>IFERROR(IF(SUMPRODUCT((('CASE MASTER'!$T$2:$T$495=8)*('CASE MASTER'!$U$2:$U$495&lt;=2)*('CASE MASTER'!$W$2:$W$495&gt;=2)*('CASE MASTER'!$V$2:$V$495&lt;=2)*('CASE MASTER'!$X$2:$X$495&gt;=2))*ROW('CASE MASTER'!$T$2:$T$495))&gt;0,INDEX('CASE MASTER'!$Y$2:$Y$495,(SUMPRODUCT((('CASE MASTER'!$T$2:$T$495=8)*('CASE MASTER'!$U$2:$U$495&lt;=2)*('CASE MASTER'!$W$2:$W$495&gt;=2)*('CASE MASTER'!$V$2:$V$495&lt;=2)*('CASE MASTER'!$X$2:$X$495&gt;=2))*ROW('CASE MASTER'!$T$2:$T$495))-(ROW('CASE MASTER'!#REF!)-1)))&amp;TRIM(MID(SUBSTITUTE(SUBSTITUTE(INDEX('CASE MASTER'!$N$2:$N$495,(SUMPRODUCT((('CASE MASTER'!$T$2:$T$495=8)*('CASE MASTER'!$U$2:$U$495&lt;=2)*('CASE MASTER'!$W$2:$W$495&gt;=2)*('CASE MASTER'!$V$2:$V$495&lt;=2)*('CASE MASTER'!$X$2:$X$495&gt;=2))*ROW('CASE MASTER'!$T$2:$T$495))-(ROW('CASE MASTER'!#REF!)-1))),":",","),",",REPT(" ",50)),((((2-INDEX('CASE MASTER'!$U$2:$U$495,(SUMPRODUCT((('CASE MASTER'!$T$2:$T$495=8)*('CASE MASTER'!$U$2:$U$495&lt;=2)*('CASE MASTER'!$W$2:$W$495&gt;=2)*('CASE MASTER'!$V$2:$V$495&lt;=2)*('CASE MASTER'!$X$2:$X$495&gt;=2))*ROW('CASE MASTER'!$T$2:$T$495))-(ROW('CASE MASTER'!#REF!)-1))))*(INDEX('CASE MASTER'!$X$2:$X$495,(SUMPRODUCT((('CASE MASTER'!$T$2:$T$495=8)*('CASE MASTER'!$U$2:$U$495&lt;=2)*('CASE MASTER'!$W$2:$W$495&gt;=2)*('CASE MASTER'!$V$2:$V$495&lt;=2)*('CASE MASTER'!$X$2:$X$495&gt;=2))*ROW('CASE MASTER'!$T$2:$T$495))-(ROW('CASE MASTER'!#REF!)-1)))-INDEX('CASE MASTER'!$V$2:$V$495,(SUMPRODUCT((('CASE MASTER'!$T$2:$T$495=8)*('CASE MASTER'!$U$2:$U$495&lt;=2)*('CASE MASTER'!$W$2:$W$495&gt;=2)*('CASE MASTER'!$V$2:$V$495&lt;=2)*('CASE MASTER'!$X$2:$X$495&gt;=2))*ROW('CASE MASTER'!$T$2:$T$495))-(ROW('CASE MASTER'!#REF!)-1)))+1)+(2-INDEX('CASE MASTER'!$V$2:$V$495,(SUMPRODUCT((('CASE MASTER'!$T$2:$T$495=8)*('CASE MASTER'!$U$2:$U$495&lt;=2)*('CASE MASTER'!$W$2:$W$495&gt;=2)*('CASE MASTER'!$V$2:$V$495&lt;=2)*('CASE MASTER'!$X$2:$X$495&gt;=2))*ROW('CASE MASTER'!$T$2:$T$495))-(ROW('CASE MASTER'!#REF!)-1))))+1))-1)*50+1,50))&amp;"_"&amp;INDEX('CASE MASTER'!$Q$2:$Q$495,(SUMPRODUCT((('CASE MASTER'!$T$2:$T$495=8)*('CASE MASTER'!$U$2:$U$495&lt;=2)*('CASE MASTER'!$W$2:$W$495&gt;=2)*('CASE MASTER'!$V$2:$V$495&lt;=2)*('CASE MASTER'!$X$2:$X$495&gt;=2))*ROW('CASE MASTER'!$T$2:$T$495))-(ROW('CASE MASTER'!#REF!)-1))),IF(SUMPRODUCT((('CASE MASTER'!$T$2:$T$495=8)*('CASE MASTER'!$AA$2:$AA$495&lt;=2)*('CASE MASTER'!$AC$2:$AC$495&gt;=2)*('CASE MASTER'!$AB$2:$AB$495&lt;=2)*('CASE MASTER'!$AD$2:$AD$495&gt;=2))*ROW('CASE MASTER'!$T$2:$T$495))&gt;0,INDEX('CASE MASTER'!$Y$2:$Y$495,(SUMPRODUCT((('CASE MASTER'!$T$2:$T$495=8)*('CASE MASTER'!$AA$2:$AA$495&lt;=2)*('CASE MASTER'!$AC$2:$AC$495&gt;=2)*('CASE MASTER'!$AB$2:$AB$495&lt;=2)*('CASE MASTER'!$AD$2:$AD$495&gt;=2))*ROW('CASE MASTER'!$T$2:$T$495))-(ROW('CASE MASTER'!#REF!)-1)))&amp;TRIM(MID(SUBSTITUTE(SUBSTITUTE(INDEX('CASE MASTER'!$N$2:$N$495,(SUMPRODUCT((('CASE MASTER'!$T$2:$T$495=8)*('CASE MASTER'!$AA$2:$AA$495&lt;=2)*('CASE MASTER'!$AC$2:$AC$495&gt;=2)*('CASE MASTER'!$AB$2:$AB$495&lt;=2)*('CASE MASTER'!$AD$2:$AD$495&gt;=2))*ROW('CASE MASTER'!$T$2:$T$495))-(ROW('CASE MASTER'!#REF!)-1))),":",","),",",REPT(" ",50)),(((INDEX('CASE MASTER'!$Z$2:$Z$495,(SUMPRODUCT((('CASE MASTER'!$T$2:$T$495=8)*('CASE MASTER'!$AA$2:$AA$495&lt;=2)*('CASE MASTER'!$AC$2:$AC$495&gt;=2)*('CASE MASTER'!$AB$2:$AB$495&lt;=2)*('CASE MASTER'!$AD$2:$AD$495&gt;=2))*ROW('CASE MASTER'!$T$2:$T$495))-(ROW('CASE MASTER'!#REF!)-1)))+((2-INDEX('CASE MASTER'!$AA$2:$AA$495,(SUMPRODUCT((('CASE MASTER'!$T$2:$T$495=8)*('CASE MASTER'!$AA$2:$AA$495&lt;=2)*('CASE MASTER'!$AC$2:$AC$495&gt;=2)*('CASE MASTER'!$AB$2:$AB$495&lt;=2)*('CASE MASTER'!$AD$2:$AD$495&gt;=2))*ROW('CASE MASTER'!$T$2:$T$495))-(ROW('CASE MASTER'!#REF!)-1))))*(INDEX('CASE MASTER'!$AD$2:$AD$495,(SUMPRODUCT((('CASE MASTER'!$T$2:$T$495=8)*('CASE MASTER'!$AA$2:$AA$495&lt;=2)*('CASE MASTER'!$AC$2:$AC$495&gt;=2)*('CASE MASTER'!$AB$2:$AB$495&lt;=2)*('CASE MASTER'!$AD$2:$AD$495&gt;=2))*ROW('CASE MASTER'!$T$2:$T$495))-(ROW('CASE MASTER'!#REF!)-1)))-INDEX('CASE MASTER'!$AB$2:$AB$495,(SUMPRODUCT((('CASE MASTER'!$T$2:$T$495=8)*('CASE MASTER'!$AA$2:$AA$495&lt;=2)*('CASE MASTER'!$AC$2:$AC$495&gt;=2)*('CASE MASTER'!$AB$2:$AB$495&lt;=2)*('CASE MASTER'!$AD$2:$AD$495&gt;=2))*ROW('CASE MASTER'!$T$2:$T$495))-(ROW('CASE MASTER'!#REF!)-1)))+1)+(2-INDEX('CASE MASTER'!$AB$2:$AB$495,(SUMPRODUCT((('CASE MASTER'!$T$2:$T$495=8)*('CASE MASTER'!$AA$2:$AA$495&lt;=2)*('CASE MASTER'!$AC$2:$AC$495&gt;=2)*('CASE MASTER'!$AB$2:$AB$495&lt;=2)*('CASE MASTER'!$AD$2:$AD$495&gt;=2))*ROW('CASE MASTER'!$T$2:$T$495))-(ROW('CASE MASTER'!#REF!)-1))))+1)))-1)*50+1,50))&amp;"_"&amp;INDEX('CASE MASTER'!$Q$2:$Q$495,(SUMPRODUCT((('CASE MASTER'!$T$2:$T$495=8)*('CASE MASTER'!$AA$2:$AA$495&lt;=2)*('CASE MASTER'!$AC$2:$AC$495&gt;=2)*('CASE MASTER'!$AB$2:$AB$495&lt;=2)*('CASE MASTER'!$AD$2:$AD$495&gt;=2))*ROW('CASE MASTER'!$T$2:$T$495))-(ROW('CASE MASTER'!#REF!)-1))),"")),"")</f>
        <v/>
      </c>
      <c r="D102" s="10" t="str">
        <f>IFERROR(IF(SUMPRODUCT((('CASE MASTER'!$T$2:$T$495=8)*('CASE MASTER'!$U$2:$U$495&lt;=2)*('CASE MASTER'!$W$2:$W$495&gt;=2)*('CASE MASTER'!$V$2:$V$495&lt;=3)*('CASE MASTER'!$X$2:$X$495&gt;=3))*ROW('CASE MASTER'!$T$2:$T$495))&gt;0,INDEX('CASE MASTER'!$Y$2:$Y$495,(SUMPRODUCT((('CASE MASTER'!$T$2:$T$495=8)*('CASE MASTER'!$U$2:$U$495&lt;=2)*('CASE MASTER'!$W$2:$W$495&gt;=2)*('CASE MASTER'!$V$2:$V$495&lt;=3)*('CASE MASTER'!$X$2:$X$495&gt;=3))*ROW('CASE MASTER'!$T$2:$T$495))-(ROW('CASE MASTER'!#REF!)-1)))&amp;TRIM(MID(SUBSTITUTE(SUBSTITUTE(INDEX('CASE MASTER'!$N$2:$N$495,(SUMPRODUCT((('CASE MASTER'!$T$2:$T$495=8)*('CASE MASTER'!$U$2:$U$495&lt;=2)*('CASE MASTER'!$W$2:$W$495&gt;=2)*('CASE MASTER'!$V$2:$V$495&lt;=3)*('CASE MASTER'!$X$2:$X$495&gt;=3))*ROW('CASE MASTER'!$T$2:$T$495))-(ROW('CASE MASTER'!#REF!)-1))),":",","),",",REPT(" ",50)),((((2-INDEX('CASE MASTER'!$U$2:$U$495,(SUMPRODUCT((('CASE MASTER'!$T$2:$T$495=8)*('CASE MASTER'!$U$2:$U$495&lt;=2)*('CASE MASTER'!$W$2:$W$495&gt;=2)*('CASE MASTER'!$V$2:$V$495&lt;=3)*('CASE MASTER'!$X$2:$X$495&gt;=3))*ROW('CASE MASTER'!$T$2:$T$495))-(ROW('CASE MASTER'!#REF!)-1))))*(INDEX('CASE MASTER'!$X$2:$X$495,(SUMPRODUCT((('CASE MASTER'!$T$2:$T$495=8)*('CASE MASTER'!$U$2:$U$495&lt;=2)*('CASE MASTER'!$W$2:$W$495&gt;=2)*('CASE MASTER'!$V$2:$V$495&lt;=3)*('CASE MASTER'!$X$2:$X$495&gt;=3))*ROW('CASE MASTER'!$T$2:$T$495))-(ROW('CASE MASTER'!#REF!)-1)))-INDEX('CASE MASTER'!$V$2:$V$495,(SUMPRODUCT((('CASE MASTER'!$T$2:$T$495=8)*('CASE MASTER'!$U$2:$U$495&lt;=2)*('CASE MASTER'!$W$2:$W$495&gt;=2)*('CASE MASTER'!$V$2:$V$495&lt;=3)*('CASE MASTER'!$X$2:$X$495&gt;=3))*ROW('CASE MASTER'!$T$2:$T$495))-(ROW('CASE MASTER'!#REF!)-1)))+1)+(3-INDEX('CASE MASTER'!$V$2:$V$495,(SUMPRODUCT((('CASE MASTER'!$T$2:$T$495=8)*('CASE MASTER'!$U$2:$U$495&lt;=2)*('CASE MASTER'!$W$2:$W$495&gt;=2)*('CASE MASTER'!$V$2:$V$495&lt;=3)*('CASE MASTER'!$X$2:$X$495&gt;=3))*ROW('CASE MASTER'!$T$2:$T$495))-(ROW('CASE MASTER'!#REF!)-1))))+1))-1)*50+1,50))&amp;"_"&amp;INDEX('CASE MASTER'!$Q$2:$Q$495,(SUMPRODUCT((('CASE MASTER'!$T$2:$T$495=8)*('CASE MASTER'!$U$2:$U$495&lt;=2)*('CASE MASTER'!$W$2:$W$495&gt;=2)*('CASE MASTER'!$V$2:$V$495&lt;=3)*('CASE MASTER'!$X$2:$X$495&gt;=3))*ROW('CASE MASTER'!$T$2:$T$495))-(ROW('CASE MASTER'!#REF!)-1))),IF(SUMPRODUCT((('CASE MASTER'!$T$2:$T$495=8)*('CASE MASTER'!$AA$2:$AA$495&lt;=2)*('CASE MASTER'!$AC$2:$AC$495&gt;=2)*('CASE MASTER'!$AB$2:$AB$495&lt;=3)*('CASE MASTER'!$AD$2:$AD$495&gt;=3))*ROW('CASE MASTER'!$T$2:$T$495))&gt;0,INDEX('CASE MASTER'!$Y$2:$Y$495,(SUMPRODUCT((('CASE MASTER'!$T$2:$T$495=8)*('CASE MASTER'!$AA$2:$AA$495&lt;=2)*('CASE MASTER'!$AC$2:$AC$495&gt;=2)*('CASE MASTER'!$AB$2:$AB$495&lt;=3)*('CASE MASTER'!$AD$2:$AD$495&gt;=3))*ROW('CASE MASTER'!$T$2:$T$495))-(ROW('CASE MASTER'!#REF!)-1)))&amp;TRIM(MID(SUBSTITUTE(SUBSTITUTE(INDEX('CASE MASTER'!$N$2:$N$495,(SUMPRODUCT((('CASE MASTER'!$T$2:$T$495=8)*('CASE MASTER'!$AA$2:$AA$495&lt;=2)*('CASE MASTER'!$AC$2:$AC$495&gt;=2)*('CASE MASTER'!$AB$2:$AB$495&lt;=3)*('CASE MASTER'!$AD$2:$AD$495&gt;=3))*ROW('CASE MASTER'!$T$2:$T$495))-(ROW('CASE MASTER'!#REF!)-1))),":",","),",",REPT(" ",50)),(((INDEX('CASE MASTER'!$Z$2:$Z$495,(SUMPRODUCT((('CASE MASTER'!$T$2:$T$495=8)*('CASE MASTER'!$AA$2:$AA$495&lt;=2)*('CASE MASTER'!$AC$2:$AC$495&gt;=2)*('CASE MASTER'!$AB$2:$AB$495&lt;=3)*('CASE MASTER'!$AD$2:$AD$495&gt;=3))*ROW('CASE MASTER'!$T$2:$T$495))-(ROW('CASE MASTER'!#REF!)-1)))+((2-INDEX('CASE MASTER'!$AA$2:$AA$495,(SUMPRODUCT((('CASE MASTER'!$T$2:$T$495=8)*('CASE MASTER'!$AA$2:$AA$495&lt;=2)*('CASE MASTER'!$AC$2:$AC$495&gt;=2)*('CASE MASTER'!$AB$2:$AB$495&lt;=3)*('CASE MASTER'!$AD$2:$AD$495&gt;=3))*ROW('CASE MASTER'!$T$2:$T$495))-(ROW('CASE MASTER'!#REF!)-1))))*(INDEX('CASE MASTER'!$AD$2:$AD$495,(SUMPRODUCT((('CASE MASTER'!$T$2:$T$495=8)*('CASE MASTER'!$AA$2:$AA$495&lt;=2)*('CASE MASTER'!$AC$2:$AC$495&gt;=2)*('CASE MASTER'!$AB$2:$AB$495&lt;=3)*('CASE MASTER'!$AD$2:$AD$495&gt;=3))*ROW('CASE MASTER'!$T$2:$T$495))-(ROW('CASE MASTER'!#REF!)-1)))-INDEX('CASE MASTER'!$AB$2:$AB$495,(SUMPRODUCT((('CASE MASTER'!$T$2:$T$495=8)*('CASE MASTER'!$AA$2:$AA$495&lt;=2)*('CASE MASTER'!$AC$2:$AC$495&gt;=2)*('CASE MASTER'!$AB$2:$AB$495&lt;=3)*('CASE MASTER'!$AD$2:$AD$495&gt;=3))*ROW('CASE MASTER'!$T$2:$T$495))-(ROW('CASE MASTER'!#REF!)-1)))+1)+(3-INDEX('CASE MASTER'!$AB$2:$AB$495,(SUMPRODUCT((('CASE MASTER'!$T$2:$T$495=8)*('CASE MASTER'!$AA$2:$AA$495&lt;=2)*('CASE MASTER'!$AC$2:$AC$495&gt;=2)*('CASE MASTER'!$AB$2:$AB$495&lt;=3)*('CASE MASTER'!$AD$2:$AD$495&gt;=3))*ROW('CASE MASTER'!$T$2:$T$495))-(ROW('CASE MASTER'!#REF!)-1))))+1)))-1)*50+1,50))&amp;"_"&amp;INDEX('CASE MASTER'!$Q$2:$Q$495,(SUMPRODUCT((('CASE MASTER'!$T$2:$T$495=8)*('CASE MASTER'!$AA$2:$AA$495&lt;=2)*('CASE MASTER'!$AC$2:$AC$495&gt;=2)*('CASE MASTER'!$AB$2:$AB$495&lt;=3)*('CASE MASTER'!$AD$2:$AD$495&gt;=3))*ROW('CASE MASTER'!$T$2:$T$495))-(ROW('CASE MASTER'!#REF!)-1))),"")),"")</f>
        <v/>
      </c>
      <c r="E102" s="10" t="str">
        <f>IFERROR(IF(SUMPRODUCT((('CASE MASTER'!$T$2:$T$495=8)*('CASE MASTER'!$U$2:$U$495&lt;=2)*('CASE MASTER'!$W$2:$W$495&gt;=2)*('CASE MASTER'!$V$2:$V$495&lt;=4)*('CASE MASTER'!$X$2:$X$495&gt;=4))*ROW('CASE MASTER'!$T$2:$T$495))&gt;0,INDEX('CASE MASTER'!$Y$2:$Y$495,(SUMPRODUCT((('CASE MASTER'!$T$2:$T$495=8)*('CASE MASTER'!$U$2:$U$495&lt;=2)*('CASE MASTER'!$W$2:$W$495&gt;=2)*('CASE MASTER'!$V$2:$V$495&lt;=4)*('CASE MASTER'!$X$2:$X$495&gt;=4))*ROW('CASE MASTER'!$T$2:$T$495))-(ROW('CASE MASTER'!#REF!)-1)))&amp;TRIM(MID(SUBSTITUTE(SUBSTITUTE(INDEX('CASE MASTER'!$N$2:$N$495,(SUMPRODUCT((('CASE MASTER'!$T$2:$T$495=8)*('CASE MASTER'!$U$2:$U$495&lt;=2)*('CASE MASTER'!$W$2:$W$495&gt;=2)*('CASE MASTER'!$V$2:$V$495&lt;=4)*('CASE MASTER'!$X$2:$X$495&gt;=4))*ROW('CASE MASTER'!$T$2:$T$495))-(ROW('CASE MASTER'!#REF!)-1))),":",","),",",REPT(" ",50)),((((2-INDEX('CASE MASTER'!$U$2:$U$495,(SUMPRODUCT((('CASE MASTER'!$T$2:$T$495=8)*('CASE MASTER'!$U$2:$U$495&lt;=2)*('CASE MASTER'!$W$2:$W$495&gt;=2)*('CASE MASTER'!$V$2:$V$495&lt;=4)*('CASE MASTER'!$X$2:$X$495&gt;=4))*ROW('CASE MASTER'!$T$2:$T$495))-(ROW('CASE MASTER'!#REF!)-1))))*(INDEX('CASE MASTER'!$X$2:$X$495,(SUMPRODUCT((('CASE MASTER'!$T$2:$T$495=8)*('CASE MASTER'!$U$2:$U$495&lt;=2)*('CASE MASTER'!$W$2:$W$495&gt;=2)*('CASE MASTER'!$V$2:$V$495&lt;=4)*('CASE MASTER'!$X$2:$X$495&gt;=4))*ROW('CASE MASTER'!$T$2:$T$495))-(ROW('CASE MASTER'!#REF!)-1)))-INDEX('CASE MASTER'!$V$2:$V$495,(SUMPRODUCT((('CASE MASTER'!$T$2:$T$495=8)*('CASE MASTER'!$U$2:$U$495&lt;=2)*('CASE MASTER'!$W$2:$W$495&gt;=2)*('CASE MASTER'!$V$2:$V$495&lt;=4)*('CASE MASTER'!$X$2:$X$495&gt;=4))*ROW('CASE MASTER'!$T$2:$T$495))-(ROW('CASE MASTER'!#REF!)-1)))+1)+(4-INDEX('CASE MASTER'!$V$2:$V$495,(SUMPRODUCT((('CASE MASTER'!$T$2:$T$495=8)*('CASE MASTER'!$U$2:$U$495&lt;=2)*('CASE MASTER'!$W$2:$W$495&gt;=2)*('CASE MASTER'!$V$2:$V$495&lt;=4)*('CASE MASTER'!$X$2:$X$495&gt;=4))*ROW('CASE MASTER'!$T$2:$T$495))-(ROW('CASE MASTER'!#REF!)-1))))+1))-1)*50+1,50))&amp;"_"&amp;INDEX('CASE MASTER'!$Q$2:$Q$495,(SUMPRODUCT((('CASE MASTER'!$T$2:$T$495=8)*('CASE MASTER'!$U$2:$U$495&lt;=2)*('CASE MASTER'!$W$2:$W$495&gt;=2)*('CASE MASTER'!$V$2:$V$495&lt;=4)*('CASE MASTER'!$X$2:$X$495&gt;=4))*ROW('CASE MASTER'!$T$2:$T$495))-(ROW('CASE MASTER'!#REF!)-1))),IF(SUMPRODUCT((('CASE MASTER'!$T$2:$T$495=8)*('CASE MASTER'!$AA$2:$AA$495&lt;=2)*('CASE MASTER'!$AC$2:$AC$495&gt;=2)*('CASE MASTER'!$AB$2:$AB$495&lt;=4)*('CASE MASTER'!$AD$2:$AD$495&gt;=4))*ROW('CASE MASTER'!$T$2:$T$495))&gt;0,INDEX('CASE MASTER'!$Y$2:$Y$495,(SUMPRODUCT((('CASE MASTER'!$T$2:$T$495=8)*('CASE MASTER'!$AA$2:$AA$495&lt;=2)*('CASE MASTER'!$AC$2:$AC$495&gt;=2)*('CASE MASTER'!$AB$2:$AB$495&lt;=4)*('CASE MASTER'!$AD$2:$AD$495&gt;=4))*ROW('CASE MASTER'!$T$2:$T$495))-(ROW('CASE MASTER'!#REF!)-1)))&amp;TRIM(MID(SUBSTITUTE(SUBSTITUTE(INDEX('CASE MASTER'!$N$2:$N$495,(SUMPRODUCT((('CASE MASTER'!$T$2:$T$495=8)*('CASE MASTER'!$AA$2:$AA$495&lt;=2)*('CASE MASTER'!$AC$2:$AC$495&gt;=2)*('CASE MASTER'!$AB$2:$AB$495&lt;=4)*('CASE MASTER'!$AD$2:$AD$495&gt;=4))*ROW('CASE MASTER'!$T$2:$T$495))-(ROW('CASE MASTER'!#REF!)-1))),":",","),",",REPT(" ",50)),(((INDEX('CASE MASTER'!$Z$2:$Z$495,(SUMPRODUCT((('CASE MASTER'!$T$2:$T$495=8)*('CASE MASTER'!$AA$2:$AA$495&lt;=2)*('CASE MASTER'!$AC$2:$AC$495&gt;=2)*('CASE MASTER'!$AB$2:$AB$495&lt;=4)*('CASE MASTER'!$AD$2:$AD$495&gt;=4))*ROW('CASE MASTER'!$T$2:$T$495))-(ROW('CASE MASTER'!#REF!)-1)))+((2-INDEX('CASE MASTER'!$AA$2:$AA$495,(SUMPRODUCT((('CASE MASTER'!$T$2:$T$495=8)*('CASE MASTER'!$AA$2:$AA$495&lt;=2)*('CASE MASTER'!$AC$2:$AC$495&gt;=2)*('CASE MASTER'!$AB$2:$AB$495&lt;=4)*('CASE MASTER'!$AD$2:$AD$495&gt;=4))*ROW('CASE MASTER'!$T$2:$T$495))-(ROW('CASE MASTER'!#REF!)-1))))*(INDEX('CASE MASTER'!$AD$2:$AD$495,(SUMPRODUCT((('CASE MASTER'!$T$2:$T$495=8)*('CASE MASTER'!$AA$2:$AA$495&lt;=2)*('CASE MASTER'!$AC$2:$AC$495&gt;=2)*('CASE MASTER'!$AB$2:$AB$495&lt;=4)*('CASE MASTER'!$AD$2:$AD$495&gt;=4))*ROW('CASE MASTER'!$T$2:$T$495))-(ROW('CASE MASTER'!#REF!)-1)))-INDEX('CASE MASTER'!$AB$2:$AB$495,(SUMPRODUCT((('CASE MASTER'!$T$2:$T$495=8)*('CASE MASTER'!$AA$2:$AA$495&lt;=2)*('CASE MASTER'!$AC$2:$AC$495&gt;=2)*('CASE MASTER'!$AB$2:$AB$495&lt;=4)*('CASE MASTER'!$AD$2:$AD$495&gt;=4))*ROW('CASE MASTER'!$T$2:$T$495))-(ROW('CASE MASTER'!#REF!)-1)))+1)+(4-INDEX('CASE MASTER'!$AB$2:$AB$495,(SUMPRODUCT((('CASE MASTER'!$T$2:$T$495=8)*('CASE MASTER'!$AA$2:$AA$495&lt;=2)*('CASE MASTER'!$AC$2:$AC$495&gt;=2)*('CASE MASTER'!$AB$2:$AB$495&lt;=4)*('CASE MASTER'!$AD$2:$AD$495&gt;=4))*ROW('CASE MASTER'!$T$2:$T$495))-(ROW('CASE MASTER'!#REF!)-1))))+1)))-1)*50+1,50))&amp;"_"&amp;INDEX('CASE MASTER'!$Q$2:$Q$495,(SUMPRODUCT((('CASE MASTER'!$T$2:$T$495=8)*('CASE MASTER'!$AA$2:$AA$495&lt;=2)*('CASE MASTER'!$AC$2:$AC$495&gt;=2)*('CASE MASTER'!$AB$2:$AB$495&lt;=4)*('CASE MASTER'!$AD$2:$AD$495&gt;=4))*ROW('CASE MASTER'!$T$2:$T$495))-(ROW('CASE MASTER'!#REF!)-1))),"")),"")</f>
        <v/>
      </c>
      <c r="F102" s="10" t="str">
        <f>IFERROR(IF(SUMPRODUCT((('CASE MASTER'!$T$2:$T$495=8)*('CASE MASTER'!$U$2:$U$495&lt;=2)*('CASE MASTER'!$W$2:$W$495&gt;=2)*('CASE MASTER'!$V$2:$V$495&lt;=5)*('CASE MASTER'!$X$2:$X$495&gt;=5))*ROW('CASE MASTER'!$T$2:$T$495))&gt;0,INDEX('CASE MASTER'!$Y$2:$Y$495,(SUMPRODUCT((('CASE MASTER'!$T$2:$T$495=8)*('CASE MASTER'!$U$2:$U$495&lt;=2)*('CASE MASTER'!$W$2:$W$495&gt;=2)*('CASE MASTER'!$V$2:$V$495&lt;=5)*('CASE MASTER'!$X$2:$X$495&gt;=5))*ROW('CASE MASTER'!$T$2:$T$495))-(ROW('CASE MASTER'!#REF!)-1)))&amp;TRIM(MID(SUBSTITUTE(SUBSTITUTE(INDEX('CASE MASTER'!$N$2:$N$495,(SUMPRODUCT((('CASE MASTER'!$T$2:$T$495=8)*('CASE MASTER'!$U$2:$U$495&lt;=2)*('CASE MASTER'!$W$2:$W$495&gt;=2)*('CASE MASTER'!$V$2:$V$495&lt;=5)*('CASE MASTER'!$X$2:$X$495&gt;=5))*ROW('CASE MASTER'!$T$2:$T$495))-(ROW('CASE MASTER'!#REF!)-1))),":",","),",",REPT(" ",50)),((((2-INDEX('CASE MASTER'!$U$2:$U$495,(SUMPRODUCT((('CASE MASTER'!$T$2:$T$495=8)*('CASE MASTER'!$U$2:$U$495&lt;=2)*('CASE MASTER'!$W$2:$W$495&gt;=2)*('CASE MASTER'!$V$2:$V$495&lt;=5)*('CASE MASTER'!$X$2:$X$495&gt;=5))*ROW('CASE MASTER'!$T$2:$T$495))-(ROW('CASE MASTER'!#REF!)-1))))*(INDEX('CASE MASTER'!$X$2:$X$495,(SUMPRODUCT((('CASE MASTER'!$T$2:$T$495=8)*('CASE MASTER'!$U$2:$U$495&lt;=2)*('CASE MASTER'!$W$2:$W$495&gt;=2)*('CASE MASTER'!$V$2:$V$495&lt;=5)*('CASE MASTER'!$X$2:$X$495&gt;=5))*ROW('CASE MASTER'!$T$2:$T$495))-(ROW('CASE MASTER'!#REF!)-1)))-INDEX('CASE MASTER'!$V$2:$V$495,(SUMPRODUCT((('CASE MASTER'!$T$2:$T$495=8)*('CASE MASTER'!$U$2:$U$495&lt;=2)*('CASE MASTER'!$W$2:$W$495&gt;=2)*('CASE MASTER'!$V$2:$V$495&lt;=5)*('CASE MASTER'!$X$2:$X$495&gt;=5))*ROW('CASE MASTER'!$T$2:$T$495))-(ROW('CASE MASTER'!#REF!)-1)))+1)+(5-INDEX('CASE MASTER'!$V$2:$V$495,(SUMPRODUCT((('CASE MASTER'!$T$2:$T$495=8)*('CASE MASTER'!$U$2:$U$495&lt;=2)*('CASE MASTER'!$W$2:$W$495&gt;=2)*('CASE MASTER'!$V$2:$V$495&lt;=5)*('CASE MASTER'!$X$2:$X$495&gt;=5))*ROW('CASE MASTER'!$T$2:$T$495))-(ROW('CASE MASTER'!#REF!)-1))))+1))-1)*50+1,50))&amp;"_"&amp;INDEX('CASE MASTER'!$Q$2:$Q$495,(SUMPRODUCT((('CASE MASTER'!$T$2:$T$495=8)*('CASE MASTER'!$U$2:$U$495&lt;=2)*('CASE MASTER'!$W$2:$W$495&gt;=2)*('CASE MASTER'!$V$2:$V$495&lt;=5)*('CASE MASTER'!$X$2:$X$495&gt;=5))*ROW('CASE MASTER'!$T$2:$T$495))-(ROW('CASE MASTER'!#REF!)-1))),IF(SUMPRODUCT((('CASE MASTER'!$T$2:$T$495=8)*('CASE MASTER'!$AA$2:$AA$495&lt;=2)*('CASE MASTER'!$AC$2:$AC$495&gt;=2)*('CASE MASTER'!$AB$2:$AB$495&lt;=5)*('CASE MASTER'!$AD$2:$AD$495&gt;=5))*ROW('CASE MASTER'!$T$2:$T$495))&gt;0,INDEX('CASE MASTER'!$Y$2:$Y$495,(SUMPRODUCT((('CASE MASTER'!$T$2:$T$495=8)*('CASE MASTER'!$AA$2:$AA$495&lt;=2)*('CASE MASTER'!$AC$2:$AC$495&gt;=2)*('CASE MASTER'!$AB$2:$AB$495&lt;=5)*('CASE MASTER'!$AD$2:$AD$495&gt;=5))*ROW('CASE MASTER'!$T$2:$T$495))-(ROW('CASE MASTER'!#REF!)-1)))&amp;TRIM(MID(SUBSTITUTE(SUBSTITUTE(INDEX('CASE MASTER'!$N$2:$N$495,(SUMPRODUCT((('CASE MASTER'!$T$2:$T$495=8)*('CASE MASTER'!$AA$2:$AA$495&lt;=2)*('CASE MASTER'!$AC$2:$AC$495&gt;=2)*('CASE MASTER'!$AB$2:$AB$495&lt;=5)*('CASE MASTER'!$AD$2:$AD$495&gt;=5))*ROW('CASE MASTER'!$T$2:$T$495))-(ROW('CASE MASTER'!#REF!)-1))),":",","),",",REPT(" ",50)),(((INDEX('CASE MASTER'!$Z$2:$Z$495,(SUMPRODUCT((('CASE MASTER'!$T$2:$T$495=8)*('CASE MASTER'!$AA$2:$AA$495&lt;=2)*('CASE MASTER'!$AC$2:$AC$495&gt;=2)*('CASE MASTER'!$AB$2:$AB$495&lt;=5)*('CASE MASTER'!$AD$2:$AD$495&gt;=5))*ROW('CASE MASTER'!$T$2:$T$495))-(ROW('CASE MASTER'!#REF!)-1)))+((2-INDEX('CASE MASTER'!$AA$2:$AA$495,(SUMPRODUCT((('CASE MASTER'!$T$2:$T$495=8)*('CASE MASTER'!$AA$2:$AA$495&lt;=2)*('CASE MASTER'!$AC$2:$AC$495&gt;=2)*('CASE MASTER'!$AB$2:$AB$495&lt;=5)*('CASE MASTER'!$AD$2:$AD$495&gt;=5))*ROW('CASE MASTER'!$T$2:$T$495))-(ROW('CASE MASTER'!#REF!)-1))))*(INDEX('CASE MASTER'!$AD$2:$AD$495,(SUMPRODUCT((('CASE MASTER'!$T$2:$T$495=8)*('CASE MASTER'!$AA$2:$AA$495&lt;=2)*('CASE MASTER'!$AC$2:$AC$495&gt;=2)*('CASE MASTER'!$AB$2:$AB$495&lt;=5)*('CASE MASTER'!$AD$2:$AD$495&gt;=5))*ROW('CASE MASTER'!$T$2:$T$495))-(ROW('CASE MASTER'!#REF!)-1)))-INDEX('CASE MASTER'!$AB$2:$AB$495,(SUMPRODUCT((('CASE MASTER'!$T$2:$T$495=8)*('CASE MASTER'!$AA$2:$AA$495&lt;=2)*('CASE MASTER'!$AC$2:$AC$495&gt;=2)*('CASE MASTER'!$AB$2:$AB$495&lt;=5)*('CASE MASTER'!$AD$2:$AD$495&gt;=5))*ROW('CASE MASTER'!$T$2:$T$495))-(ROW('CASE MASTER'!#REF!)-1)))+1)+(5-INDEX('CASE MASTER'!$AB$2:$AB$495,(SUMPRODUCT((('CASE MASTER'!$T$2:$T$495=8)*('CASE MASTER'!$AA$2:$AA$495&lt;=2)*('CASE MASTER'!$AC$2:$AC$495&gt;=2)*('CASE MASTER'!$AB$2:$AB$495&lt;=5)*('CASE MASTER'!$AD$2:$AD$495&gt;=5))*ROW('CASE MASTER'!$T$2:$T$495))-(ROW('CASE MASTER'!#REF!)-1))))+1)))-1)*50+1,50))&amp;"_"&amp;INDEX('CASE MASTER'!$Q$2:$Q$495,(SUMPRODUCT((('CASE MASTER'!$T$2:$T$495=8)*('CASE MASTER'!$AA$2:$AA$495&lt;=2)*('CASE MASTER'!$AC$2:$AC$495&gt;=2)*('CASE MASTER'!$AB$2:$AB$495&lt;=5)*('CASE MASTER'!$AD$2:$AD$495&gt;=5))*ROW('CASE MASTER'!$T$2:$T$495))-(ROW('CASE MASTER'!#REF!)-1))),"")),"")</f>
        <v/>
      </c>
      <c r="G102" s="10" t="str">
        <f>IFERROR(IF(SUMPRODUCT((('CASE MASTER'!$T$2:$T$495=8)*('CASE MASTER'!$U$2:$U$495&lt;=2)*('CASE MASTER'!$W$2:$W$495&gt;=2)*('CASE MASTER'!$V$2:$V$495&lt;=6)*('CASE MASTER'!$X$2:$X$495&gt;=6))*ROW('CASE MASTER'!$T$2:$T$495))&gt;0,INDEX('CASE MASTER'!$Y$2:$Y$495,(SUMPRODUCT((('CASE MASTER'!$T$2:$T$495=8)*('CASE MASTER'!$U$2:$U$495&lt;=2)*('CASE MASTER'!$W$2:$W$495&gt;=2)*('CASE MASTER'!$V$2:$V$495&lt;=6)*('CASE MASTER'!$X$2:$X$495&gt;=6))*ROW('CASE MASTER'!$T$2:$T$495))-(ROW('CASE MASTER'!#REF!)-1)))&amp;TRIM(MID(SUBSTITUTE(SUBSTITUTE(INDEX('CASE MASTER'!$N$2:$N$495,(SUMPRODUCT((('CASE MASTER'!$T$2:$T$495=8)*('CASE MASTER'!$U$2:$U$495&lt;=2)*('CASE MASTER'!$W$2:$W$495&gt;=2)*('CASE MASTER'!$V$2:$V$495&lt;=6)*('CASE MASTER'!$X$2:$X$495&gt;=6))*ROW('CASE MASTER'!$T$2:$T$495))-(ROW('CASE MASTER'!#REF!)-1))),":",","),",",REPT(" ",50)),((((2-INDEX('CASE MASTER'!$U$2:$U$495,(SUMPRODUCT((('CASE MASTER'!$T$2:$T$495=8)*('CASE MASTER'!$U$2:$U$495&lt;=2)*('CASE MASTER'!$W$2:$W$495&gt;=2)*('CASE MASTER'!$V$2:$V$495&lt;=6)*('CASE MASTER'!$X$2:$X$495&gt;=6))*ROW('CASE MASTER'!$T$2:$T$495))-(ROW('CASE MASTER'!#REF!)-1))))*(INDEX('CASE MASTER'!$X$2:$X$495,(SUMPRODUCT((('CASE MASTER'!$T$2:$T$495=8)*('CASE MASTER'!$U$2:$U$495&lt;=2)*('CASE MASTER'!$W$2:$W$495&gt;=2)*('CASE MASTER'!$V$2:$V$495&lt;=6)*('CASE MASTER'!$X$2:$X$495&gt;=6))*ROW('CASE MASTER'!$T$2:$T$495))-(ROW('CASE MASTER'!#REF!)-1)))-INDEX('CASE MASTER'!$V$2:$V$495,(SUMPRODUCT((('CASE MASTER'!$T$2:$T$495=8)*('CASE MASTER'!$U$2:$U$495&lt;=2)*('CASE MASTER'!$W$2:$W$495&gt;=2)*('CASE MASTER'!$V$2:$V$495&lt;=6)*('CASE MASTER'!$X$2:$X$495&gt;=6))*ROW('CASE MASTER'!$T$2:$T$495))-(ROW('CASE MASTER'!#REF!)-1)))+1)+(6-INDEX('CASE MASTER'!$V$2:$V$495,(SUMPRODUCT((('CASE MASTER'!$T$2:$T$495=8)*('CASE MASTER'!$U$2:$U$495&lt;=2)*('CASE MASTER'!$W$2:$W$495&gt;=2)*('CASE MASTER'!$V$2:$V$495&lt;=6)*('CASE MASTER'!$X$2:$X$495&gt;=6))*ROW('CASE MASTER'!$T$2:$T$495))-(ROW('CASE MASTER'!#REF!)-1))))+1))-1)*50+1,50))&amp;"_"&amp;INDEX('CASE MASTER'!$Q$2:$Q$495,(SUMPRODUCT((('CASE MASTER'!$T$2:$T$495=8)*('CASE MASTER'!$U$2:$U$495&lt;=2)*('CASE MASTER'!$W$2:$W$495&gt;=2)*('CASE MASTER'!$V$2:$V$495&lt;=6)*('CASE MASTER'!$X$2:$X$495&gt;=6))*ROW('CASE MASTER'!$T$2:$T$495))-(ROW('CASE MASTER'!#REF!)-1))),IF(SUMPRODUCT((('CASE MASTER'!$T$2:$T$495=8)*('CASE MASTER'!$AA$2:$AA$495&lt;=2)*('CASE MASTER'!$AC$2:$AC$495&gt;=2)*('CASE MASTER'!$AB$2:$AB$495&lt;=6)*('CASE MASTER'!$AD$2:$AD$495&gt;=6))*ROW('CASE MASTER'!$T$2:$T$495))&gt;0,INDEX('CASE MASTER'!$Y$2:$Y$495,(SUMPRODUCT((('CASE MASTER'!$T$2:$T$495=8)*('CASE MASTER'!$AA$2:$AA$495&lt;=2)*('CASE MASTER'!$AC$2:$AC$495&gt;=2)*('CASE MASTER'!$AB$2:$AB$495&lt;=6)*('CASE MASTER'!$AD$2:$AD$495&gt;=6))*ROW('CASE MASTER'!$T$2:$T$495))-(ROW('CASE MASTER'!#REF!)-1)))&amp;TRIM(MID(SUBSTITUTE(SUBSTITUTE(INDEX('CASE MASTER'!$N$2:$N$495,(SUMPRODUCT((('CASE MASTER'!$T$2:$T$495=8)*('CASE MASTER'!$AA$2:$AA$495&lt;=2)*('CASE MASTER'!$AC$2:$AC$495&gt;=2)*('CASE MASTER'!$AB$2:$AB$495&lt;=6)*('CASE MASTER'!$AD$2:$AD$495&gt;=6))*ROW('CASE MASTER'!$T$2:$T$495))-(ROW('CASE MASTER'!#REF!)-1))),":",","),",",REPT(" ",50)),(((INDEX('CASE MASTER'!$Z$2:$Z$495,(SUMPRODUCT((('CASE MASTER'!$T$2:$T$495=8)*('CASE MASTER'!$AA$2:$AA$495&lt;=2)*('CASE MASTER'!$AC$2:$AC$495&gt;=2)*('CASE MASTER'!$AB$2:$AB$495&lt;=6)*('CASE MASTER'!$AD$2:$AD$495&gt;=6))*ROW('CASE MASTER'!$T$2:$T$495))-(ROW('CASE MASTER'!#REF!)-1)))+((2-INDEX('CASE MASTER'!$AA$2:$AA$495,(SUMPRODUCT((('CASE MASTER'!$T$2:$T$495=8)*('CASE MASTER'!$AA$2:$AA$495&lt;=2)*('CASE MASTER'!$AC$2:$AC$495&gt;=2)*('CASE MASTER'!$AB$2:$AB$495&lt;=6)*('CASE MASTER'!$AD$2:$AD$495&gt;=6))*ROW('CASE MASTER'!$T$2:$T$495))-(ROW('CASE MASTER'!#REF!)-1))))*(INDEX('CASE MASTER'!$AD$2:$AD$495,(SUMPRODUCT((('CASE MASTER'!$T$2:$T$495=8)*('CASE MASTER'!$AA$2:$AA$495&lt;=2)*('CASE MASTER'!$AC$2:$AC$495&gt;=2)*('CASE MASTER'!$AB$2:$AB$495&lt;=6)*('CASE MASTER'!$AD$2:$AD$495&gt;=6))*ROW('CASE MASTER'!$T$2:$T$495))-(ROW('CASE MASTER'!#REF!)-1)))-INDEX('CASE MASTER'!$AB$2:$AB$495,(SUMPRODUCT((('CASE MASTER'!$T$2:$T$495=8)*('CASE MASTER'!$AA$2:$AA$495&lt;=2)*('CASE MASTER'!$AC$2:$AC$495&gt;=2)*('CASE MASTER'!$AB$2:$AB$495&lt;=6)*('CASE MASTER'!$AD$2:$AD$495&gt;=6))*ROW('CASE MASTER'!$T$2:$T$495))-(ROW('CASE MASTER'!#REF!)-1)))+1)+(6-INDEX('CASE MASTER'!$AB$2:$AB$495,(SUMPRODUCT((('CASE MASTER'!$T$2:$T$495=8)*('CASE MASTER'!$AA$2:$AA$495&lt;=2)*('CASE MASTER'!$AC$2:$AC$495&gt;=2)*('CASE MASTER'!$AB$2:$AB$495&lt;=6)*('CASE MASTER'!$AD$2:$AD$495&gt;=6))*ROW('CASE MASTER'!$T$2:$T$495))-(ROW('CASE MASTER'!#REF!)-1))))+1)))-1)*50+1,50))&amp;"_"&amp;INDEX('CASE MASTER'!$Q$2:$Q$495,(SUMPRODUCT((('CASE MASTER'!$T$2:$T$495=8)*('CASE MASTER'!$AA$2:$AA$495&lt;=2)*('CASE MASTER'!$AC$2:$AC$495&gt;=2)*('CASE MASTER'!$AB$2:$AB$495&lt;=6)*('CASE MASTER'!$AD$2:$AD$495&gt;=6))*ROW('CASE MASTER'!$T$2:$T$495))-(ROW('CASE MASTER'!#REF!)-1))),"")),"")</f>
        <v/>
      </c>
      <c r="H102" s="10" t="str">
        <f>IFERROR(IF(SUMPRODUCT((('CASE MASTER'!$T$2:$T$495=8)*('CASE MASTER'!$U$2:$U$495&lt;=2)*('CASE MASTER'!$W$2:$W$495&gt;=2)*('CASE MASTER'!$V$2:$V$495&lt;=7)*('CASE MASTER'!$X$2:$X$495&gt;=7))*ROW('CASE MASTER'!$T$2:$T$495))&gt;0,INDEX('CASE MASTER'!$Y$2:$Y$495,(SUMPRODUCT((('CASE MASTER'!$T$2:$T$495=8)*('CASE MASTER'!$U$2:$U$495&lt;=2)*('CASE MASTER'!$W$2:$W$495&gt;=2)*('CASE MASTER'!$V$2:$V$495&lt;=7)*('CASE MASTER'!$X$2:$X$495&gt;=7))*ROW('CASE MASTER'!$T$2:$T$495))-(ROW('CASE MASTER'!#REF!)-1)))&amp;TRIM(MID(SUBSTITUTE(SUBSTITUTE(INDEX('CASE MASTER'!$N$2:$N$495,(SUMPRODUCT((('CASE MASTER'!$T$2:$T$495=8)*('CASE MASTER'!$U$2:$U$495&lt;=2)*('CASE MASTER'!$W$2:$W$495&gt;=2)*('CASE MASTER'!$V$2:$V$495&lt;=7)*('CASE MASTER'!$X$2:$X$495&gt;=7))*ROW('CASE MASTER'!$T$2:$T$495))-(ROW('CASE MASTER'!#REF!)-1))),":",","),",",REPT(" ",50)),((((2-INDEX('CASE MASTER'!$U$2:$U$495,(SUMPRODUCT((('CASE MASTER'!$T$2:$T$495=8)*('CASE MASTER'!$U$2:$U$495&lt;=2)*('CASE MASTER'!$W$2:$W$495&gt;=2)*('CASE MASTER'!$V$2:$V$495&lt;=7)*('CASE MASTER'!$X$2:$X$495&gt;=7))*ROW('CASE MASTER'!$T$2:$T$495))-(ROW('CASE MASTER'!#REF!)-1))))*(INDEX('CASE MASTER'!$X$2:$X$495,(SUMPRODUCT((('CASE MASTER'!$T$2:$T$495=8)*('CASE MASTER'!$U$2:$U$495&lt;=2)*('CASE MASTER'!$W$2:$W$495&gt;=2)*('CASE MASTER'!$V$2:$V$495&lt;=7)*('CASE MASTER'!$X$2:$X$495&gt;=7))*ROW('CASE MASTER'!$T$2:$T$495))-(ROW('CASE MASTER'!#REF!)-1)))-INDEX('CASE MASTER'!$V$2:$V$495,(SUMPRODUCT((('CASE MASTER'!$T$2:$T$495=8)*('CASE MASTER'!$U$2:$U$495&lt;=2)*('CASE MASTER'!$W$2:$W$495&gt;=2)*('CASE MASTER'!$V$2:$V$495&lt;=7)*('CASE MASTER'!$X$2:$X$495&gt;=7))*ROW('CASE MASTER'!$T$2:$T$495))-(ROW('CASE MASTER'!#REF!)-1)))+1)+(7-INDEX('CASE MASTER'!$V$2:$V$495,(SUMPRODUCT((('CASE MASTER'!$T$2:$T$495=8)*('CASE MASTER'!$U$2:$U$495&lt;=2)*('CASE MASTER'!$W$2:$W$495&gt;=2)*('CASE MASTER'!$V$2:$V$495&lt;=7)*('CASE MASTER'!$X$2:$X$495&gt;=7))*ROW('CASE MASTER'!$T$2:$T$495))-(ROW('CASE MASTER'!#REF!)-1))))+1))-1)*50+1,50))&amp;"_"&amp;INDEX('CASE MASTER'!$Q$2:$Q$495,(SUMPRODUCT((('CASE MASTER'!$T$2:$T$495=8)*('CASE MASTER'!$U$2:$U$495&lt;=2)*('CASE MASTER'!$W$2:$W$495&gt;=2)*('CASE MASTER'!$V$2:$V$495&lt;=7)*('CASE MASTER'!$X$2:$X$495&gt;=7))*ROW('CASE MASTER'!$T$2:$T$495))-(ROW('CASE MASTER'!#REF!)-1))),IF(SUMPRODUCT((('CASE MASTER'!$T$2:$T$495=8)*('CASE MASTER'!$AA$2:$AA$495&lt;=2)*('CASE MASTER'!$AC$2:$AC$495&gt;=2)*('CASE MASTER'!$AB$2:$AB$495&lt;=7)*('CASE MASTER'!$AD$2:$AD$495&gt;=7))*ROW('CASE MASTER'!$T$2:$T$495))&gt;0,INDEX('CASE MASTER'!$Y$2:$Y$495,(SUMPRODUCT((('CASE MASTER'!$T$2:$T$495=8)*('CASE MASTER'!$AA$2:$AA$495&lt;=2)*('CASE MASTER'!$AC$2:$AC$495&gt;=2)*('CASE MASTER'!$AB$2:$AB$495&lt;=7)*('CASE MASTER'!$AD$2:$AD$495&gt;=7))*ROW('CASE MASTER'!$T$2:$T$495))-(ROW('CASE MASTER'!#REF!)-1)))&amp;TRIM(MID(SUBSTITUTE(SUBSTITUTE(INDEX('CASE MASTER'!$N$2:$N$495,(SUMPRODUCT((('CASE MASTER'!$T$2:$T$495=8)*('CASE MASTER'!$AA$2:$AA$495&lt;=2)*('CASE MASTER'!$AC$2:$AC$495&gt;=2)*('CASE MASTER'!$AB$2:$AB$495&lt;=7)*('CASE MASTER'!$AD$2:$AD$495&gt;=7))*ROW('CASE MASTER'!$T$2:$T$495))-(ROW('CASE MASTER'!#REF!)-1))),":",","),",",REPT(" ",50)),(((INDEX('CASE MASTER'!$Z$2:$Z$495,(SUMPRODUCT((('CASE MASTER'!$T$2:$T$495=8)*('CASE MASTER'!$AA$2:$AA$495&lt;=2)*('CASE MASTER'!$AC$2:$AC$495&gt;=2)*('CASE MASTER'!$AB$2:$AB$495&lt;=7)*('CASE MASTER'!$AD$2:$AD$495&gt;=7))*ROW('CASE MASTER'!$T$2:$T$495))-(ROW('CASE MASTER'!#REF!)-1)))+((2-INDEX('CASE MASTER'!$AA$2:$AA$495,(SUMPRODUCT((('CASE MASTER'!$T$2:$T$495=8)*('CASE MASTER'!$AA$2:$AA$495&lt;=2)*('CASE MASTER'!$AC$2:$AC$495&gt;=2)*('CASE MASTER'!$AB$2:$AB$495&lt;=7)*('CASE MASTER'!$AD$2:$AD$495&gt;=7))*ROW('CASE MASTER'!$T$2:$T$495))-(ROW('CASE MASTER'!#REF!)-1))))*(INDEX('CASE MASTER'!$AD$2:$AD$495,(SUMPRODUCT((('CASE MASTER'!$T$2:$T$495=8)*('CASE MASTER'!$AA$2:$AA$495&lt;=2)*('CASE MASTER'!$AC$2:$AC$495&gt;=2)*('CASE MASTER'!$AB$2:$AB$495&lt;=7)*('CASE MASTER'!$AD$2:$AD$495&gt;=7))*ROW('CASE MASTER'!$T$2:$T$495))-(ROW('CASE MASTER'!#REF!)-1)))-INDEX('CASE MASTER'!$AB$2:$AB$495,(SUMPRODUCT((('CASE MASTER'!$T$2:$T$495=8)*('CASE MASTER'!$AA$2:$AA$495&lt;=2)*('CASE MASTER'!$AC$2:$AC$495&gt;=2)*('CASE MASTER'!$AB$2:$AB$495&lt;=7)*('CASE MASTER'!$AD$2:$AD$495&gt;=7))*ROW('CASE MASTER'!$T$2:$T$495))-(ROW('CASE MASTER'!#REF!)-1)))+1)+(7-INDEX('CASE MASTER'!$AB$2:$AB$495,(SUMPRODUCT((('CASE MASTER'!$T$2:$T$495=8)*('CASE MASTER'!$AA$2:$AA$495&lt;=2)*('CASE MASTER'!$AC$2:$AC$495&gt;=2)*('CASE MASTER'!$AB$2:$AB$495&lt;=7)*('CASE MASTER'!$AD$2:$AD$495&gt;=7))*ROW('CASE MASTER'!$T$2:$T$495))-(ROW('CASE MASTER'!#REF!)-1))))+1)))-1)*50+1,50))&amp;"_"&amp;INDEX('CASE MASTER'!$Q$2:$Q$495,(SUMPRODUCT((('CASE MASTER'!$T$2:$T$495=8)*('CASE MASTER'!$AA$2:$AA$495&lt;=2)*('CASE MASTER'!$AC$2:$AC$495&gt;=2)*('CASE MASTER'!$AB$2:$AB$495&lt;=7)*('CASE MASTER'!$AD$2:$AD$495&gt;=7))*ROW('CASE MASTER'!$T$2:$T$495))-(ROW('CASE MASTER'!#REF!)-1))),"")),"")</f>
        <v/>
      </c>
      <c r="I102" s="10" t="str">
        <f>IFERROR(IF(SUMPRODUCT((('CASE MASTER'!$T$2:$T$495=8)*('CASE MASTER'!$U$2:$U$495&lt;=2)*('CASE MASTER'!$W$2:$W$495&gt;=2)*('CASE MASTER'!$V$2:$V$495&lt;=8)*('CASE MASTER'!$X$2:$X$495&gt;=8))*ROW('CASE MASTER'!$T$2:$T$495))&gt;0,INDEX('CASE MASTER'!$Y$2:$Y$495,(SUMPRODUCT((('CASE MASTER'!$T$2:$T$495=8)*('CASE MASTER'!$U$2:$U$495&lt;=2)*('CASE MASTER'!$W$2:$W$495&gt;=2)*('CASE MASTER'!$V$2:$V$495&lt;=8)*('CASE MASTER'!$X$2:$X$495&gt;=8))*ROW('CASE MASTER'!$T$2:$T$495))-(ROW('CASE MASTER'!#REF!)-1)))&amp;TRIM(MID(SUBSTITUTE(SUBSTITUTE(INDEX('CASE MASTER'!$N$2:$N$495,(SUMPRODUCT((('CASE MASTER'!$T$2:$T$495=8)*('CASE MASTER'!$U$2:$U$495&lt;=2)*('CASE MASTER'!$W$2:$W$495&gt;=2)*('CASE MASTER'!$V$2:$V$495&lt;=8)*('CASE MASTER'!$X$2:$X$495&gt;=8))*ROW('CASE MASTER'!$T$2:$T$495))-(ROW('CASE MASTER'!#REF!)-1))),":",","),",",REPT(" ",50)),((((2-INDEX('CASE MASTER'!$U$2:$U$495,(SUMPRODUCT((('CASE MASTER'!$T$2:$T$495=8)*('CASE MASTER'!$U$2:$U$495&lt;=2)*('CASE MASTER'!$W$2:$W$495&gt;=2)*('CASE MASTER'!$V$2:$V$495&lt;=8)*('CASE MASTER'!$X$2:$X$495&gt;=8))*ROW('CASE MASTER'!$T$2:$T$495))-(ROW('CASE MASTER'!#REF!)-1))))*(INDEX('CASE MASTER'!$X$2:$X$495,(SUMPRODUCT((('CASE MASTER'!$T$2:$T$495=8)*('CASE MASTER'!$U$2:$U$495&lt;=2)*('CASE MASTER'!$W$2:$W$495&gt;=2)*('CASE MASTER'!$V$2:$V$495&lt;=8)*('CASE MASTER'!$X$2:$X$495&gt;=8))*ROW('CASE MASTER'!$T$2:$T$495))-(ROW('CASE MASTER'!#REF!)-1)))-INDEX('CASE MASTER'!$V$2:$V$495,(SUMPRODUCT((('CASE MASTER'!$T$2:$T$495=8)*('CASE MASTER'!$U$2:$U$495&lt;=2)*('CASE MASTER'!$W$2:$W$495&gt;=2)*('CASE MASTER'!$V$2:$V$495&lt;=8)*('CASE MASTER'!$X$2:$X$495&gt;=8))*ROW('CASE MASTER'!$T$2:$T$495))-(ROW('CASE MASTER'!#REF!)-1)))+1)+(8-INDEX('CASE MASTER'!$V$2:$V$495,(SUMPRODUCT((('CASE MASTER'!$T$2:$T$495=8)*('CASE MASTER'!$U$2:$U$495&lt;=2)*('CASE MASTER'!$W$2:$W$495&gt;=2)*('CASE MASTER'!$V$2:$V$495&lt;=8)*('CASE MASTER'!$X$2:$X$495&gt;=8))*ROW('CASE MASTER'!$T$2:$T$495))-(ROW('CASE MASTER'!#REF!)-1))))+1))-1)*50+1,50))&amp;"_"&amp;INDEX('CASE MASTER'!$Q$2:$Q$495,(SUMPRODUCT((('CASE MASTER'!$T$2:$T$495=8)*('CASE MASTER'!$U$2:$U$495&lt;=2)*('CASE MASTER'!$W$2:$W$495&gt;=2)*('CASE MASTER'!$V$2:$V$495&lt;=8)*('CASE MASTER'!$X$2:$X$495&gt;=8))*ROW('CASE MASTER'!$T$2:$T$495))-(ROW('CASE MASTER'!#REF!)-1))),IF(SUMPRODUCT((('CASE MASTER'!$T$2:$T$495=8)*('CASE MASTER'!$AA$2:$AA$495&lt;=2)*('CASE MASTER'!$AC$2:$AC$495&gt;=2)*('CASE MASTER'!$AB$2:$AB$495&lt;=8)*('CASE MASTER'!$AD$2:$AD$495&gt;=8))*ROW('CASE MASTER'!$T$2:$T$495))&gt;0,INDEX('CASE MASTER'!$Y$2:$Y$495,(SUMPRODUCT((('CASE MASTER'!$T$2:$T$495=8)*('CASE MASTER'!$AA$2:$AA$495&lt;=2)*('CASE MASTER'!$AC$2:$AC$495&gt;=2)*('CASE MASTER'!$AB$2:$AB$495&lt;=8)*('CASE MASTER'!$AD$2:$AD$495&gt;=8))*ROW('CASE MASTER'!$T$2:$T$495))-(ROW('CASE MASTER'!#REF!)-1)))&amp;TRIM(MID(SUBSTITUTE(SUBSTITUTE(INDEX('CASE MASTER'!$N$2:$N$495,(SUMPRODUCT((('CASE MASTER'!$T$2:$T$495=8)*('CASE MASTER'!$AA$2:$AA$495&lt;=2)*('CASE MASTER'!$AC$2:$AC$495&gt;=2)*('CASE MASTER'!$AB$2:$AB$495&lt;=8)*('CASE MASTER'!$AD$2:$AD$495&gt;=8))*ROW('CASE MASTER'!$T$2:$T$495))-(ROW('CASE MASTER'!#REF!)-1))),":",","),",",REPT(" ",50)),(((INDEX('CASE MASTER'!$Z$2:$Z$495,(SUMPRODUCT((('CASE MASTER'!$T$2:$T$495=8)*('CASE MASTER'!$AA$2:$AA$495&lt;=2)*('CASE MASTER'!$AC$2:$AC$495&gt;=2)*('CASE MASTER'!$AB$2:$AB$495&lt;=8)*('CASE MASTER'!$AD$2:$AD$495&gt;=8))*ROW('CASE MASTER'!$T$2:$T$495))-(ROW('CASE MASTER'!#REF!)-1)))+((2-INDEX('CASE MASTER'!$AA$2:$AA$495,(SUMPRODUCT((('CASE MASTER'!$T$2:$T$495=8)*('CASE MASTER'!$AA$2:$AA$495&lt;=2)*('CASE MASTER'!$AC$2:$AC$495&gt;=2)*('CASE MASTER'!$AB$2:$AB$495&lt;=8)*('CASE MASTER'!$AD$2:$AD$495&gt;=8))*ROW('CASE MASTER'!$T$2:$T$495))-(ROW('CASE MASTER'!#REF!)-1))))*(INDEX('CASE MASTER'!$AD$2:$AD$495,(SUMPRODUCT((('CASE MASTER'!$T$2:$T$495=8)*('CASE MASTER'!$AA$2:$AA$495&lt;=2)*('CASE MASTER'!$AC$2:$AC$495&gt;=2)*('CASE MASTER'!$AB$2:$AB$495&lt;=8)*('CASE MASTER'!$AD$2:$AD$495&gt;=8))*ROW('CASE MASTER'!$T$2:$T$495))-(ROW('CASE MASTER'!#REF!)-1)))-INDEX('CASE MASTER'!$AB$2:$AB$495,(SUMPRODUCT((('CASE MASTER'!$T$2:$T$495=8)*('CASE MASTER'!$AA$2:$AA$495&lt;=2)*('CASE MASTER'!$AC$2:$AC$495&gt;=2)*('CASE MASTER'!$AB$2:$AB$495&lt;=8)*('CASE MASTER'!$AD$2:$AD$495&gt;=8))*ROW('CASE MASTER'!$T$2:$T$495))-(ROW('CASE MASTER'!#REF!)-1)))+1)+(8-INDEX('CASE MASTER'!$AB$2:$AB$495,(SUMPRODUCT((('CASE MASTER'!$T$2:$T$495=8)*('CASE MASTER'!$AA$2:$AA$495&lt;=2)*('CASE MASTER'!$AC$2:$AC$495&gt;=2)*('CASE MASTER'!$AB$2:$AB$495&lt;=8)*('CASE MASTER'!$AD$2:$AD$495&gt;=8))*ROW('CASE MASTER'!$T$2:$T$495))-(ROW('CASE MASTER'!#REF!)-1))))+1)))-1)*50+1,50))&amp;"_"&amp;INDEX('CASE MASTER'!$Q$2:$Q$495,(SUMPRODUCT((('CASE MASTER'!$T$2:$T$495=8)*('CASE MASTER'!$AA$2:$AA$495&lt;=2)*('CASE MASTER'!$AC$2:$AC$495&gt;=2)*('CASE MASTER'!$AB$2:$AB$495&lt;=8)*('CASE MASTER'!$AD$2:$AD$495&gt;=8))*ROW('CASE MASTER'!$T$2:$T$495))-(ROW('CASE MASTER'!#REF!)-1))),"")),"")</f>
        <v/>
      </c>
      <c r="J102" s="10" t="str">
        <f>IFERROR(IF(SUMPRODUCT((('CASE MASTER'!$T$2:$T$495=8)*('CASE MASTER'!$U$2:$U$495&lt;=2)*('CASE MASTER'!$W$2:$W$495&gt;=2)*('CASE MASTER'!$V$2:$V$495&lt;=9)*('CASE MASTER'!$X$2:$X$495&gt;=9))*ROW('CASE MASTER'!$T$2:$T$495))&gt;0,INDEX('CASE MASTER'!$Y$2:$Y$495,(SUMPRODUCT((('CASE MASTER'!$T$2:$T$495=8)*('CASE MASTER'!$U$2:$U$495&lt;=2)*('CASE MASTER'!$W$2:$W$495&gt;=2)*('CASE MASTER'!$V$2:$V$495&lt;=9)*('CASE MASTER'!$X$2:$X$495&gt;=9))*ROW('CASE MASTER'!$T$2:$T$495))-(ROW('CASE MASTER'!#REF!)-1)))&amp;TRIM(MID(SUBSTITUTE(SUBSTITUTE(INDEX('CASE MASTER'!$N$2:$N$495,(SUMPRODUCT((('CASE MASTER'!$T$2:$T$495=8)*('CASE MASTER'!$U$2:$U$495&lt;=2)*('CASE MASTER'!$W$2:$W$495&gt;=2)*('CASE MASTER'!$V$2:$V$495&lt;=9)*('CASE MASTER'!$X$2:$X$495&gt;=9))*ROW('CASE MASTER'!$T$2:$T$495))-(ROW('CASE MASTER'!#REF!)-1))),":",","),",",REPT(" ",50)),((((2-INDEX('CASE MASTER'!$U$2:$U$495,(SUMPRODUCT((('CASE MASTER'!$T$2:$T$495=8)*('CASE MASTER'!$U$2:$U$495&lt;=2)*('CASE MASTER'!$W$2:$W$495&gt;=2)*('CASE MASTER'!$V$2:$V$495&lt;=9)*('CASE MASTER'!$X$2:$X$495&gt;=9))*ROW('CASE MASTER'!$T$2:$T$495))-(ROW('CASE MASTER'!#REF!)-1))))*(INDEX('CASE MASTER'!$X$2:$X$495,(SUMPRODUCT((('CASE MASTER'!$T$2:$T$495=8)*('CASE MASTER'!$U$2:$U$495&lt;=2)*('CASE MASTER'!$W$2:$W$495&gt;=2)*('CASE MASTER'!$V$2:$V$495&lt;=9)*('CASE MASTER'!$X$2:$X$495&gt;=9))*ROW('CASE MASTER'!$T$2:$T$495))-(ROW('CASE MASTER'!#REF!)-1)))-INDEX('CASE MASTER'!$V$2:$V$495,(SUMPRODUCT((('CASE MASTER'!$T$2:$T$495=8)*('CASE MASTER'!$U$2:$U$495&lt;=2)*('CASE MASTER'!$W$2:$W$495&gt;=2)*('CASE MASTER'!$V$2:$V$495&lt;=9)*('CASE MASTER'!$X$2:$X$495&gt;=9))*ROW('CASE MASTER'!$T$2:$T$495))-(ROW('CASE MASTER'!#REF!)-1)))+1)+(9-INDEX('CASE MASTER'!$V$2:$V$495,(SUMPRODUCT((('CASE MASTER'!$T$2:$T$495=8)*('CASE MASTER'!$U$2:$U$495&lt;=2)*('CASE MASTER'!$W$2:$W$495&gt;=2)*('CASE MASTER'!$V$2:$V$495&lt;=9)*('CASE MASTER'!$X$2:$X$495&gt;=9))*ROW('CASE MASTER'!$T$2:$T$495))-(ROW('CASE MASTER'!#REF!)-1))))+1))-1)*50+1,50))&amp;"_"&amp;INDEX('CASE MASTER'!$Q$2:$Q$495,(SUMPRODUCT((('CASE MASTER'!$T$2:$T$495=8)*('CASE MASTER'!$U$2:$U$495&lt;=2)*('CASE MASTER'!$W$2:$W$495&gt;=2)*('CASE MASTER'!$V$2:$V$495&lt;=9)*('CASE MASTER'!$X$2:$X$495&gt;=9))*ROW('CASE MASTER'!$T$2:$T$495))-(ROW('CASE MASTER'!#REF!)-1))),IF(SUMPRODUCT((('CASE MASTER'!$T$2:$T$495=8)*('CASE MASTER'!$AA$2:$AA$495&lt;=2)*('CASE MASTER'!$AC$2:$AC$495&gt;=2)*('CASE MASTER'!$AB$2:$AB$495&lt;=9)*('CASE MASTER'!$AD$2:$AD$495&gt;=9))*ROW('CASE MASTER'!$T$2:$T$495))&gt;0,INDEX('CASE MASTER'!$Y$2:$Y$495,(SUMPRODUCT((('CASE MASTER'!$T$2:$T$495=8)*('CASE MASTER'!$AA$2:$AA$495&lt;=2)*('CASE MASTER'!$AC$2:$AC$495&gt;=2)*('CASE MASTER'!$AB$2:$AB$495&lt;=9)*('CASE MASTER'!$AD$2:$AD$495&gt;=9))*ROW('CASE MASTER'!$T$2:$T$495))-(ROW('CASE MASTER'!#REF!)-1)))&amp;TRIM(MID(SUBSTITUTE(SUBSTITUTE(INDEX('CASE MASTER'!$N$2:$N$495,(SUMPRODUCT((('CASE MASTER'!$T$2:$T$495=8)*('CASE MASTER'!$AA$2:$AA$495&lt;=2)*('CASE MASTER'!$AC$2:$AC$495&gt;=2)*('CASE MASTER'!$AB$2:$AB$495&lt;=9)*('CASE MASTER'!$AD$2:$AD$495&gt;=9))*ROW('CASE MASTER'!$T$2:$T$495))-(ROW('CASE MASTER'!#REF!)-1))),":",","),",",REPT(" ",50)),(((INDEX('CASE MASTER'!$Z$2:$Z$495,(SUMPRODUCT((('CASE MASTER'!$T$2:$T$495=8)*('CASE MASTER'!$AA$2:$AA$495&lt;=2)*('CASE MASTER'!$AC$2:$AC$495&gt;=2)*('CASE MASTER'!$AB$2:$AB$495&lt;=9)*('CASE MASTER'!$AD$2:$AD$495&gt;=9))*ROW('CASE MASTER'!$T$2:$T$495))-(ROW('CASE MASTER'!#REF!)-1)))+((2-INDEX('CASE MASTER'!$AA$2:$AA$495,(SUMPRODUCT((('CASE MASTER'!$T$2:$T$495=8)*('CASE MASTER'!$AA$2:$AA$495&lt;=2)*('CASE MASTER'!$AC$2:$AC$495&gt;=2)*('CASE MASTER'!$AB$2:$AB$495&lt;=9)*('CASE MASTER'!$AD$2:$AD$495&gt;=9))*ROW('CASE MASTER'!$T$2:$T$495))-(ROW('CASE MASTER'!#REF!)-1))))*(INDEX('CASE MASTER'!$AD$2:$AD$495,(SUMPRODUCT((('CASE MASTER'!$T$2:$T$495=8)*('CASE MASTER'!$AA$2:$AA$495&lt;=2)*('CASE MASTER'!$AC$2:$AC$495&gt;=2)*('CASE MASTER'!$AB$2:$AB$495&lt;=9)*('CASE MASTER'!$AD$2:$AD$495&gt;=9))*ROW('CASE MASTER'!$T$2:$T$495))-(ROW('CASE MASTER'!#REF!)-1)))-INDEX('CASE MASTER'!$AB$2:$AB$495,(SUMPRODUCT((('CASE MASTER'!$T$2:$T$495=8)*('CASE MASTER'!$AA$2:$AA$495&lt;=2)*('CASE MASTER'!$AC$2:$AC$495&gt;=2)*('CASE MASTER'!$AB$2:$AB$495&lt;=9)*('CASE MASTER'!$AD$2:$AD$495&gt;=9))*ROW('CASE MASTER'!$T$2:$T$495))-(ROW('CASE MASTER'!#REF!)-1)))+1)+(9-INDEX('CASE MASTER'!$AB$2:$AB$495,(SUMPRODUCT((('CASE MASTER'!$T$2:$T$495=8)*('CASE MASTER'!$AA$2:$AA$495&lt;=2)*('CASE MASTER'!$AC$2:$AC$495&gt;=2)*('CASE MASTER'!$AB$2:$AB$495&lt;=9)*('CASE MASTER'!$AD$2:$AD$495&gt;=9))*ROW('CASE MASTER'!$T$2:$T$495))-(ROW('CASE MASTER'!#REF!)-1))))+1)))-1)*50+1,50))&amp;"_"&amp;INDEX('CASE MASTER'!$Q$2:$Q$495,(SUMPRODUCT((('CASE MASTER'!$T$2:$T$495=8)*('CASE MASTER'!$AA$2:$AA$495&lt;=2)*('CASE MASTER'!$AC$2:$AC$495&gt;=2)*('CASE MASTER'!$AB$2:$AB$495&lt;=9)*('CASE MASTER'!$AD$2:$AD$495&gt;=9))*ROW('CASE MASTER'!$T$2:$T$495))-(ROW('CASE MASTER'!#REF!)-1))),"")),"")</f>
        <v/>
      </c>
      <c r="K102" s="10" t="str">
        <f>IFERROR(IF(SUMPRODUCT((('CASE MASTER'!$T$2:$T$495=8)*('CASE MASTER'!$U$2:$U$495&lt;=2)*('CASE MASTER'!$W$2:$W$495&gt;=2)*('CASE MASTER'!$V$2:$V$495&lt;=10)*('CASE MASTER'!$X$2:$X$495&gt;=10))*ROW('CASE MASTER'!$T$2:$T$495))&gt;0,INDEX('CASE MASTER'!$Y$2:$Y$495,(SUMPRODUCT((('CASE MASTER'!$T$2:$T$495=8)*('CASE MASTER'!$U$2:$U$495&lt;=2)*('CASE MASTER'!$W$2:$W$495&gt;=2)*('CASE MASTER'!$V$2:$V$495&lt;=10)*('CASE MASTER'!$X$2:$X$495&gt;=10))*ROW('CASE MASTER'!$T$2:$T$495))-(ROW('CASE MASTER'!#REF!)-1)))&amp;TRIM(MID(SUBSTITUTE(SUBSTITUTE(INDEX('CASE MASTER'!$N$2:$N$495,(SUMPRODUCT((('CASE MASTER'!$T$2:$T$495=8)*('CASE MASTER'!$U$2:$U$495&lt;=2)*('CASE MASTER'!$W$2:$W$495&gt;=2)*('CASE MASTER'!$V$2:$V$495&lt;=10)*('CASE MASTER'!$X$2:$X$495&gt;=10))*ROW('CASE MASTER'!$T$2:$T$495))-(ROW('CASE MASTER'!#REF!)-1))),":",","),",",REPT(" ",50)),((((2-INDEX('CASE MASTER'!$U$2:$U$495,(SUMPRODUCT((('CASE MASTER'!$T$2:$T$495=8)*('CASE MASTER'!$U$2:$U$495&lt;=2)*('CASE MASTER'!$W$2:$W$495&gt;=2)*('CASE MASTER'!$V$2:$V$495&lt;=10)*('CASE MASTER'!$X$2:$X$495&gt;=10))*ROW('CASE MASTER'!$T$2:$T$495))-(ROW('CASE MASTER'!#REF!)-1))))*(INDEX('CASE MASTER'!$X$2:$X$495,(SUMPRODUCT((('CASE MASTER'!$T$2:$T$495=8)*('CASE MASTER'!$U$2:$U$495&lt;=2)*('CASE MASTER'!$W$2:$W$495&gt;=2)*('CASE MASTER'!$V$2:$V$495&lt;=10)*('CASE MASTER'!$X$2:$X$495&gt;=10))*ROW('CASE MASTER'!$T$2:$T$495))-(ROW('CASE MASTER'!#REF!)-1)))-INDEX('CASE MASTER'!$V$2:$V$495,(SUMPRODUCT((('CASE MASTER'!$T$2:$T$495=8)*('CASE MASTER'!$U$2:$U$495&lt;=2)*('CASE MASTER'!$W$2:$W$495&gt;=2)*('CASE MASTER'!$V$2:$V$495&lt;=10)*('CASE MASTER'!$X$2:$X$495&gt;=10))*ROW('CASE MASTER'!$T$2:$T$495))-(ROW('CASE MASTER'!#REF!)-1)))+1)+(10-INDEX('CASE MASTER'!$V$2:$V$495,(SUMPRODUCT((('CASE MASTER'!$T$2:$T$495=8)*('CASE MASTER'!$U$2:$U$495&lt;=2)*('CASE MASTER'!$W$2:$W$495&gt;=2)*('CASE MASTER'!$V$2:$V$495&lt;=10)*('CASE MASTER'!$X$2:$X$495&gt;=10))*ROW('CASE MASTER'!$T$2:$T$495))-(ROW('CASE MASTER'!#REF!)-1))))+1))-1)*50+1,50))&amp;"_"&amp;INDEX('CASE MASTER'!$Q$2:$Q$495,(SUMPRODUCT((('CASE MASTER'!$T$2:$T$495=8)*('CASE MASTER'!$U$2:$U$495&lt;=2)*('CASE MASTER'!$W$2:$W$495&gt;=2)*('CASE MASTER'!$V$2:$V$495&lt;=10)*('CASE MASTER'!$X$2:$X$495&gt;=10))*ROW('CASE MASTER'!$T$2:$T$495))-(ROW('CASE MASTER'!#REF!)-1))),IF(SUMPRODUCT((('CASE MASTER'!$T$2:$T$495=8)*('CASE MASTER'!$AA$2:$AA$495&lt;=2)*('CASE MASTER'!$AC$2:$AC$495&gt;=2)*('CASE MASTER'!$AB$2:$AB$495&lt;=10)*('CASE MASTER'!$AD$2:$AD$495&gt;=10))*ROW('CASE MASTER'!$T$2:$T$495))&gt;0,INDEX('CASE MASTER'!$Y$2:$Y$495,(SUMPRODUCT((('CASE MASTER'!$T$2:$T$495=8)*('CASE MASTER'!$AA$2:$AA$495&lt;=2)*('CASE MASTER'!$AC$2:$AC$495&gt;=2)*('CASE MASTER'!$AB$2:$AB$495&lt;=10)*('CASE MASTER'!$AD$2:$AD$495&gt;=10))*ROW('CASE MASTER'!$T$2:$T$495))-(ROW('CASE MASTER'!#REF!)-1)))&amp;TRIM(MID(SUBSTITUTE(SUBSTITUTE(INDEX('CASE MASTER'!$N$2:$N$495,(SUMPRODUCT((('CASE MASTER'!$T$2:$T$495=8)*('CASE MASTER'!$AA$2:$AA$495&lt;=2)*('CASE MASTER'!$AC$2:$AC$495&gt;=2)*('CASE MASTER'!$AB$2:$AB$495&lt;=10)*('CASE MASTER'!$AD$2:$AD$495&gt;=10))*ROW('CASE MASTER'!$T$2:$T$495))-(ROW('CASE MASTER'!#REF!)-1))),":",","),",",REPT(" ",50)),(((INDEX('CASE MASTER'!$Z$2:$Z$495,(SUMPRODUCT((('CASE MASTER'!$T$2:$T$495=8)*('CASE MASTER'!$AA$2:$AA$495&lt;=2)*('CASE MASTER'!$AC$2:$AC$495&gt;=2)*('CASE MASTER'!$AB$2:$AB$495&lt;=10)*('CASE MASTER'!$AD$2:$AD$495&gt;=10))*ROW('CASE MASTER'!$T$2:$T$495))-(ROW('CASE MASTER'!#REF!)-1)))+((2-INDEX('CASE MASTER'!$AA$2:$AA$495,(SUMPRODUCT((('CASE MASTER'!$T$2:$T$495=8)*('CASE MASTER'!$AA$2:$AA$495&lt;=2)*('CASE MASTER'!$AC$2:$AC$495&gt;=2)*('CASE MASTER'!$AB$2:$AB$495&lt;=10)*('CASE MASTER'!$AD$2:$AD$495&gt;=10))*ROW('CASE MASTER'!$T$2:$T$495))-(ROW('CASE MASTER'!#REF!)-1))))*(INDEX('CASE MASTER'!$AD$2:$AD$495,(SUMPRODUCT((('CASE MASTER'!$T$2:$T$495=8)*('CASE MASTER'!$AA$2:$AA$495&lt;=2)*('CASE MASTER'!$AC$2:$AC$495&gt;=2)*('CASE MASTER'!$AB$2:$AB$495&lt;=10)*('CASE MASTER'!$AD$2:$AD$495&gt;=10))*ROW('CASE MASTER'!$T$2:$T$495))-(ROW('CASE MASTER'!#REF!)-1)))-INDEX('CASE MASTER'!$AB$2:$AB$495,(SUMPRODUCT((('CASE MASTER'!$T$2:$T$495=8)*('CASE MASTER'!$AA$2:$AA$495&lt;=2)*('CASE MASTER'!$AC$2:$AC$495&gt;=2)*('CASE MASTER'!$AB$2:$AB$495&lt;=10)*('CASE MASTER'!$AD$2:$AD$495&gt;=10))*ROW('CASE MASTER'!$T$2:$T$495))-(ROW('CASE MASTER'!#REF!)-1)))+1)+(10-INDEX('CASE MASTER'!$AB$2:$AB$495,(SUMPRODUCT((('CASE MASTER'!$T$2:$T$495=8)*('CASE MASTER'!$AA$2:$AA$495&lt;=2)*('CASE MASTER'!$AC$2:$AC$495&gt;=2)*('CASE MASTER'!$AB$2:$AB$495&lt;=10)*('CASE MASTER'!$AD$2:$AD$495&gt;=10))*ROW('CASE MASTER'!$T$2:$T$495))-(ROW('CASE MASTER'!#REF!)-1))))+1)))-1)*50+1,50))&amp;"_"&amp;INDEX('CASE MASTER'!$Q$2:$Q$495,(SUMPRODUCT((('CASE MASTER'!$T$2:$T$495=8)*('CASE MASTER'!$AA$2:$AA$495&lt;=2)*('CASE MASTER'!$AC$2:$AC$495&gt;=2)*('CASE MASTER'!$AB$2:$AB$495&lt;=10)*('CASE MASTER'!$AD$2:$AD$495&gt;=10))*ROW('CASE MASTER'!$T$2:$T$495))-(ROW('CASE MASTER'!#REF!)-1))),"")),"")</f>
        <v/>
      </c>
    </row>
    <row r="103" spans="1:11" ht="15" customHeight="1" x14ac:dyDescent="0.35">
      <c r="A103" s="8" t="s">
        <v>30</v>
      </c>
      <c r="B103" s="10" t="str">
        <f>IFERROR(IF(SUMPRODUCT((('CASE MASTER'!$T$2:$T$495=8)*('CASE MASTER'!$U$2:$U$495&lt;=3)*('CASE MASTER'!$W$2:$W$495&gt;=3)*('CASE MASTER'!$V$2:$V$495&lt;=1)*('CASE MASTER'!$X$2:$X$495&gt;=1))*ROW('CASE MASTER'!$T$2:$T$495))&gt;0,INDEX('CASE MASTER'!$Y$2:$Y$495,(SUMPRODUCT((('CASE MASTER'!$T$2:$T$495=8)*('CASE MASTER'!$U$2:$U$495&lt;=3)*('CASE MASTER'!$W$2:$W$495&gt;=3)*('CASE MASTER'!$V$2:$V$495&lt;=1)*('CASE MASTER'!$X$2:$X$495&gt;=1))*ROW('CASE MASTER'!$T$2:$T$495))-(ROW('CASE MASTER'!#REF!)-1)))&amp;TRIM(MID(SUBSTITUTE(SUBSTITUTE(INDEX('CASE MASTER'!$N$2:$N$495,(SUMPRODUCT((('CASE MASTER'!$T$2:$T$495=8)*('CASE MASTER'!$U$2:$U$495&lt;=3)*('CASE MASTER'!$W$2:$W$495&gt;=3)*('CASE MASTER'!$V$2:$V$495&lt;=1)*('CASE MASTER'!$X$2:$X$495&gt;=1))*ROW('CASE MASTER'!$T$2:$T$495))-(ROW('CASE MASTER'!#REF!)-1))),":",","),",",REPT(" ",50)),((((3-INDEX('CASE MASTER'!$U$2:$U$495,(SUMPRODUCT((('CASE MASTER'!$T$2:$T$495=8)*('CASE MASTER'!$U$2:$U$495&lt;=3)*('CASE MASTER'!$W$2:$W$495&gt;=3)*('CASE MASTER'!$V$2:$V$495&lt;=1)*('CASE MASTER'!$X$2:$X$495&gt;=1))*ROW('CASE MASTER'!$T$2:$T$495))-(ROW('CASE MASTER'!#REF!)-1))))*(INDEX('CASE MASTER'!$X$2:$X$495,(SUMPRODUCT((('CASE MASTER'!$T$2:$T$495=8)*('CASE MASTER'!$U$2:$U$495&lt;=3)*('CASE MASTER'!$W$2:$W$495&gt;=3)*('CASE MASTER'!$V$2:$V$495&lt;=1)*('CASE MASTER'!$X$2:$X$495&gt;=1))*ROW('CASE MASTER'!$T$2:$T$495))-(ROW('CASE MASTER'!#REF!)-1)))-INDEX('CASE MASTER'!$V$2:$V$495,(SUMPRODUCT((('CASE MASTER'!$T$2:$T$495=8)*('CASE MASTER'!$U$2:$U$495&lt;=3)*('CASE MASTER'!$W$2:$W$495&gt;=3)*('CASE MASTER'!$V$2:$V$495&lt;=1)*('CASE MASTER'!$X$2:$X$495&gt;=1))*ROW('CASE MASTER'!$T$2:$T$495))-(ROW('CASE MASTER'!#REF!)-1)))+1)+(1-INDEX('CASE MASTER'!$V$2:$V$495,(SUMPRODUCT((('CASE MASTER'!$T$2:$T$495=8)*('CASE MASTER'!$U$2:$U$495&lt;=3)*('CASE MASTER'!$W$2:$W$495&gt;=3)*('CASE MASTER'!$V$2:$V$495&lt;=1)*('CASE MASTER'!$X$2:$X$495&gt;=1))*ROW('CASE MASTER'!$T$2:$T$495))-(ROW('CASE MASTER'!#REF!)-1))))+1))-1)*50+1,50))&amp;"_"&amp;INDEX('CASE MASTER'!$Q$2:$Q$495,(SUMPRODUCT((('CASE MASTER'!$T$2:$T$495=8)*('CASE MASTER'!$U$2:$U$495&lt;=3)*('CASE MASTER'!$W$2:$W$495&gt;=3)*('CASE MASTER'!$V$2:$V$495&lt;=1)*('CASE MASTER'!$X$2:$X$495&gt;=1))*ROW('CASE MASTER'!$T$2:$T$495))-(ROW('CASE MASTER'!#REF!)-1))),IF(SUMPRODUCT((('CASE MASTER'!$T$2:$T$495=8)*('CASE MASTER'!$AA$2:$AA$495&lt;=3)*('CASE MASTER'!$AC$2:$AC$495&gt;=3)*('CASE MASTER'!$AB$2:$AB$495&lt;=1)*('CASE MASTER'!$AD$2:$AD$495&gt;=1))*ROW('CASE MASTER'!$T$2:$T$495))&gt;0,INDEX('CASE MASTER'!$Y$2:$Y$495,(SUMPRODUCT((('CASE MASTER'!$T$2:$T$495=8)*('CASE MASTER'!$AA$2:$AA$495&lt;=3)*('CASE MASTER'!$AC$2:$AC$495&gt;=3)*('CASE MASTER'!$AB$2:$AB$495&lt;=1)*('CASE MASTER'!$AD$2:$AD$495&gt;=1))*ROW('CASE MASTER'!$T$2:$T$495))-(ROW('CASE MASTER'!#REF!)-1)))&amp;TRIM(MID(SUBSTITUTE(SUBSTITUTE(INDEX('CASE MASTER'!$N$2:$N$495,(SUMPRODUCT((('CASE MASTER'!$T$2:$T$495=8)*('CASE MASTER'!$AA$2:$AA$495&lt;=3)*('CASE MASTER'!$AC$2:$AC$495&gt;=3)*('CASE MASTER'!$AB$2:$AB$495&lt;=1)*('CASE MASTER'!$AD$2:$AD$495&gt;=1))*ROW('CASE MASTER'!$T$2:$T$495))-(ROW('CASE MASTER'!#REF!)-1))),":",","),",",REPT(" ",50)),(((INDEX('CASE MASTER'!$Z$2:$Z$495,(SUMPRODUCT((('CASE MASTER'!$T$2:$T$495=8)*('CASE MASTER'!$AA$2:$AA$495&lt;=3)*('CASE MASTER'!$AC$2:$AC$495&gt;=3)*('CASE MASTER'!$AB$2:$AB$495&lt;=1)*('CASE MASTER'!$AD$2:$AD$495&gt;=1))*ROW('CASE MASTER'!$T$2:$T$495))-(ROW('CASE MASTER'!#REF!)-1)))+((3-INDEX('CASE MASTER'!$AA$2:$AA$495,(SUMPRODUCT((('CASE MASTER'!$T$2:$T$495=8)*('CASE MASTER'!$AA$2:$AA$495&lt;=3)*('CASE MASTER'!$AC$2:$AC$495&gt;=3)*('CASE MASTER'!$AB$2:$AB$495&lt;=1)*('CASE MASTER'!$AD$2:$AD$495&gt;=1))*ROW('CASE MASTER'!$T$2:$T$495))-(ROW('CASE MASTER'!#REF!)-1))))*(INDEX('CASE MASTER'!$AD$2:$AD$495,(SUMPRODUCT((('CASE MASTER'!$T$2:$T$495=8)*('CASE MASTER'!$AA$2:$AA$495&lt;=3)*('CASE MASTER'!$AC$2:$AC$495&gt;=3)*('CASE MASTER'!$AB$2:$AB$495&lt;=1)*('CASE MASTER'!$AD$2:$AD$495&gt;=1))*ROW('CASE MASTER'!$T$2:$T$495))-(ROW('CASE MASTER'!#REF!)-1)))-INDEX('CASE MASTER'!$AB$2:$AB$495,(SUMPRODUCT((('CASE MASTER'!$T$2:$T$495=8)*('CASE MASTER'!$AA$2:$AA$495&lt;=3)*('CASE MASTER'!$AC$2:$AC$495&gt;=3)*('CASE MASTER'!$AB$2:$AB$495&lt;=1)*('CASE MASTER'!$AD$2:$AD$495&gt;=1))*ROW('CASE MASTER'!$T$2:$T$495))-(ROW('CASE MASTER'!#REF!)-1)))+1)+(1-INDEX('CASE MASTER'!$AB$2:$AB$495,(SUMPRODUCT((('CASE MASTER'!$T$2:$T$495=8)*('CASE MASTER'!$AA$2:$AA$495&lt;=3)*('CASE MASTER'!$AC$2:$AC$495&gt;=3)*('CASE MASTER'!$AB$2:$AB$495&lt;=1)*('CASE MASTER'!$AD$2:$AD$495&gt;=1))*ROW('CASE MASTER'!$T$2:$T$495))-(ROW('CASE MASTER'!#REF!)-1))))+1)))-1)*50+1,50))&amp;"_"&amp;INDEX('CASE MASTER'!$Q$2:$Q$495,(SUMPRODUCT((('CASE MASTER'!$T$2:$T$495=8)*('CASE MASTER'!$AA$2:$AA$495&lt;=3)*('CASE MASTER'!$AC$2:$AC$495&gt;=3)*('CASE MASTER'!$AB$2:$AB$495&lt;=1)*('CASE MASTER'!$AD$2:$AD$495&gt;=1))*ROW('CASE MASTER'!$T$2:$T$495))-(ROW('CASE MASTER'!#REF!)-1))),"")),"")</f>
        <v/>
      </c>
      <c r="C103" s="10" t="str">
        <f>IFERROR(IF(SUMPRODUCT((('CASE MASTER'!$T$2:$T$495=8)*('CASE MASTER'!$U$2:$U$495&lt;=3)*('CASE MASTER'!$W$2:$W$495&gt;=3)*('CASE MASTER'!$V$2:$V$495&lt;=2)*('CASE MASTER'!$X$2:$X$495&gt;=2))*ROW('CASE MASTER'!$T$2:$T$495))&gt;0,INDEX('CASE MASTER'!$Y$2:$Y$495,(SUMPRODUCT((('CASE MASTER'!$T$2:$T$495=8)*('CASE MASTER'!$U$2:$U$495&lt;=3)*('CASE MASTER'!$W$2:$W$495&gt;=3)*('CASE MASTER'!$V$2:$V$495&lt;=2)*('CASE MASTER'!$X$2:$X$495&gt;=2))*ROW('CASE MASTER'!$T$2:$T$495))-(ROW('CASE MASTER'!#REF!)-1)))&amp;TRIM(MID(SUBSTITUTE(SUBSTITUTE(INDEX('CASE MASTER'!$N$2:$N$495,(SUMPRODUCT((('CASE MASTER'!$T$2:$T$495=8)*('CASE MASTER'!$U$2:$U$495&lt;=3)*('CASE MASTER'!$W$2:$W$495&gt;=3)*('CASE MASTER'!$V$2:$V$495&lt;=2)*('CASE MASTER'!$X$2:$X$495&gt;=2))*ROW('CASE MASTER'!$T$2:$T$495))-(ROW('CASE MASTER'!#REF!)-1))),":",","),",",REPT(" ",50)),((((3-INDEX('CASE MASTER'!$U$2:$U$495,(SUMPRODUCT((('CASE MASTER'!$T$2:$T$495=8)*('CASE MASTER'!$U$2:$U$495&lt;=3)*('CASE MASTER'!$W$2:$W$495&gt;=3)*('CASE MASTER'!$V$2:$V$495&lt;=2)*('CASE MASTER'!$X$2:$X$495&gt;=2))*ROW('CASE MASTER'!$T$2:$T$495))-(ROW('CASE MASTER'!#REF!)-1))))*(INDEX('CASE MASTER'!$X$2:$X$495,(SUMPRODUCT((('CASE MASTER'!$T$2:$T$495=8)*('CASE MASTER'!$U$2:$U$495&lt;=3)*('CASE MASTER'!$W$2:$W$495&gt;=3)*('CASE MASTER'!$V$2:$V$495&lt;=2)*('CASE MASTER'!$X$2:$X$495&gt;=2))*ROW('CASE MASTER'!$T$2:$T$495))-(ROW('CASE MASTER'!#REF!)-1)))-INDEX('CASE MASTER'!$V$2:$V$495,(SUMPRODUCT((('CASE MASTER'!$T$2:$T$495=8)*('CASE MASTER'!$U$2:$U$495&lt;=3)*('CASE MASTER'!$W$2:$W$495&gt;=3)*('CASE MASTER'!$V$2:$V$495&lt;=2)*('CASE MASTER'!$X$2:$X$495&gt;=2))*ROW('CASE MASTER'!$T$2:$T$495))-(ROW('CASE MASTER'!#REF!)-1)))+1)+(2-INDEX('CASE MASTER'!$V$2:$V$495,(SUMPRODUCT((('CASE MASTER'!$T$2:$T$495=8)*('CASE MASTER'!$U$2:$U$495&lt;=3)*('CASE MASTER'!$W$2:$W$495&gt;=3)*('CASE MASTER'!$V$2:$V$495&lt;=2)*('CASE MASTER'!$X$2:$X$495&gt;=2))*ROW('CASE MASTER'!$T$2:$T$495))-(ROW('CASE MASTER'!#REF!)-1))))+1))-1)*50+1,50))&amp;"_"&amp;INDEX('CASE MASTER'!$Q$2:$Q$495,(SUMPRODUCT((('CASE MASTER'!$T$2:$T$495=8)*('CASE MASTER'!$U$2:$U$495&lt;=3)*('CASE MASTER'!$W$2:$W$495&gt;=3)*('CASE MASTER'!$V$2:$V$495&lt;=2)*('CASE MASTER'!$X$2:$X$495&gt;=2))*ROW('CASE MASTER'!$T$2:$T$495))-(ROW('CASE MASTER'!#REF!)-1))),IF(SUMPRODUCT((('CASE MASTER'!$T$2:$T$495=8)*('CASE MASTER'!$AA$2:$AA$495&lt;=3)*('CASE MASTER'!$AC$2:$AC$495&gt;=3)*('CASE MASTER'!$AB$2:$AB$495&lt;=2)*('CASE MASTER'!$AD$2:$AD$495&gt;=2))*ROW('CASE MASTER'!$T$2:$T$495))&gt;0,INDEX('CASE MASTER'!$Y$2:$Y$495,(SUMPRODUCT((('CASE MASTER'!$T$2:$T$495=8)*('CASE MASTER'!$AA$2:$AA$495&lt;=3)*('CASE MASTER'!$AC$2:$AC$495&gt;=3)*('CASE MASTER'!$AB$2:$AB$495&lt;=2)*('CASE MASTER'!$AD$2:$AD$495&gt;=2))*ROW('CASE MASTER'!$T$2:$T$495))-(ROW('CASE MASTER'!#REF!)-1)))&amp;TRIM(MID(SUBSTITUTE(SUBSTITUTE(INDEX('CASE MASTER'!$N$2:$N$495,(SUMPRODUCT((('CASE MASTER'!$T$2:$T$495=8)*('CASE MASTER'!$AA$2:$AA$495&lt;=3)*('CASE MASTER'!$AC$2:$AC$495&gt;=3)*('CASE MASTER'!$AB$2:$AB$495&lt;=2)*('CASE MASTER'!$AD$2:$AD$495&gt;=2))*ROW('CASE MASTER'!$T$2:$T$495))-(ROW('CASE MASTER'!#REF!)-1))),":",","),",",REPT(" ",50)),(((INDEX('CASE MASTER'!$Z$2:$Z$495,(SUMPRODUCT((('CASE MASTER'!$T$2:$T$495=8)*('CASE MASTER'!$AA$2:$AA$495&lt;=3)*('CASE MASTER'!$AC$2:$AC$495&gt;=3)*('CASE MASTER'!$AB$2:$AB$495&lt;=2)*('CASE MASTER'!$AD$2:$AD$495&gt;=2))*ROW('CASE MASTER'!$T$2:$T$495))-(ROW('CASE MASTER'!#REF!)-1)))+((3-INDEX('CASE MASTER'!$AA$2:$AA$495,(SUMPRODUCT((('CASE MASTER'!$T$2:$T$495=8)*('CASE MASTER'!$AA$2:$AA$495&lt;=3)*('CASE MASTER'!$AC$2:$AC$495&gt;=3)*('CASE MASTER'!$AB$2:$AB$495&lt;=2)*('CASE MASTER'!$AD$2:$AD$495&gt;=2))*ROW('CASE MASTER'!$T$2:$T$495))-(ROW('CASE MASTER'!#REF!)-1))))*(INDEX('CASE MASTER'!$AD$2:$AD$495,(SUMPRODUCT((('CASE MASTER'!$T$2:$T$495=8)*('CASE MASTER'!$AA$2:$AA$495&lt;=3)*('CASE MASTER'!$AC$2:$AC$495&gt;=3)*('CASE MASTER'!$AB$2:$AB$495&lt;=2)*('CASE MASTER'!$AD$2:$AD$495&gt;=2))*ROW('CASE MASTER'!$T$2:$T$495))-(ROW('CASE MASTER'!#REF!)-1)))-INDEX('CASE MASTER'!$AB$2:$AB$495,(SUMPRODUCT((('CASE MASTER'!$T$2:$T$495=8)*('CASE MASTER'!$AA$2:$AA$495&lt;=3)*('CASE MASTER'!$AC$2:$AC$495&gt;=3)*('CASE MASTER'!$AB$2:$AB$495&lt;=2)*('CASE MASTER'!$AD$2:$AD$495&gt;=2))*ROW('CASE MASTER'!$T$2:$T$495))-(ROW('CASE MASTER'!#REF!)-1)))+1)+(2-INDEX('CASE MASTER'!$AB$2:$AB$495,(SUMPRODUCT((('CASE MASTER'!$T$2:$T$495=8)*('CASE MASTER'!$AA$2:$AA$495&lt;=3)*('CASE MASTER'!$AC$2:$AC$495&gt;=3)*('CASE MASTER'!$AB$2:$AB$495&lt;=2)*('CASE MASTER'!$AD$2:$AD$495&gt;=2))*ROW('CASE MASTER'!$T$2:$T$495))-(ROW('CASE MASTER'!#REF!)-1))))+1)))-1)*50+1,50))&amp;"_"&amp;INDEX('CASE MASTER'!$Q$2:$Q$495,(SUMPRODUCT((('CASE MASTER'!$T$2:$T$495=8)*('CASE MASTER'!$AA$2:$AA$495&lt;=3)*('CASE MASTER'!$AC$2:$AC$495&gt;=3)*('CASE MASTER'!$AB$2:$AB$495&lt;=2)*('CASE MASTER'!$AD$2:$AD$495&gt;=2))*ROW('CASE MASTER'!$T$2:$T$495))-(ROW('CASE MASTER'!#REF!)-1))),"")),"")</f>
        <v/>
      </c>
      <c r="D103" s="10" t="str">
        <f>IFERROR(IF(SUMPRODUCT((('CASE MASTER'!$T$2:$T$495=8)*('CASE MASTER'!$U$2:$U$495&lt;=3)*('CASE MASTER'!$W$2:$W$495&gt;=3)*('CASE MASTER'!$V$2:$V$495&lt;=3)*('CASE MASTER'!$X$2:$X$495&gt;=3))*ROW('CASE MASTER'!$T$2:$T$495))&gt;0,INDEX('CASE MASTER'!$Y$2:$Y$495,(SUMPRODUCT((('CASE MASTER'!$T$2:$T$495=8)*('CASE MASTER'!$U$2:$U$495&lt;=3)*('CASE MASTER'!$W$2:$W$495&gt;=3)*('CASE MASTER'!$V$2:$V$495&lt;=3)*('CASE MASTER'!$X$2:$X$495&gt;=3))*ROW('CASE MASTER'!$T$2:$T$495))-(ROW('CASE MASTER'!#REF!)-1)))&amp;TRIM(MID(SUBSTITUTE(SUBSTITUTE(INDEX('CASE MASTER'!$N$2:$N$495,(SUMPRODUCT((('CASE MASTER'!$T$2:$T$495=8)*('CASE MASTER'!$U$2:$U$495&lt;=3)*('CASE MASTER'!$W$2:$W$495&gt;=3)*('CASE MASTER'!$V$2:$V$495&lt;=3)*('CASE MASTER'!$X$2:$X$495&gt;=3))*ROW('CASE MASTER'!$T$2:$T$495))-(ROW('CASE MASTER'!#REF!)-1))),":",","),",",REPT(" ",50)),((((3-INDEX('CASE MASTER'!$U$2:$U$495,(SUMPRODUCT((('CASE MASTER'!$T$2:$T$495=8)*('CASE MASTER'!$U$2:$U$495&lt;=3)*('CASE MASTER'!$W$2:$W$495&gt;=3)*('CASE MASTER'!$V$2:$V$495&lt;=3)*('CASE MASTER'!$X$2:$X$495&gt;=3))*ROW('CASE MASTER'!$T$2:$T$495))-(ROW('CASE MASTER'!#REF!)-1))))*(INDEX('CASE MASTER'!$X$2:$X$495,(SUMPRODUCT((('CASE MASTER'!$T$2:$T$495=8)*('CASE MASTER'!$U$2:$U$495&lt;=3)*('CASE MASTER'!$W$2:$W$495&gt;=3)*('CASE MASTER'!$V$2:$V$495&lt;=3)*('CASE MASTER'!$X$2:$X$495&gt;=3))*ROW('CASE MASTER'!$T$2:$T$495))-(ROW('CASE MASTER'!#REF!)-1)))-INDEX('CASE MASTER'!$V$2:$V$495,(SUMPRODUCT((('CASE MASTER'!$T$2:$T$495=8)*('CASE MASTER'!$U$2:$U$495&lt;=3)*('CASE MASTER'!$W$2:$W$495&gt;=3)*('CASE MASTER'!$V$2:$V$495&lt;=3)*('CASE MASTER'!$X$2:$X$495&gt;=3))*ROW('CASE MASTER'!$T$2:$T$495))-(ROW('CASE MASTER'!#REF!)-1)))+1)+(3-INDEX('CASE MASTER'!$V$2:$V$495,(SUMPRODUCT((('CASE MASTER'!$T$2:$T$495=8)*('CASE MASTER'!$U$2:$U$495&lt;=3)*('CASE MASTER'!$W$2:$W$495&gt;=3)*('CASE MASTER'!$V$2:$V$495&lt;=3)*('CASE MASTER'!$X$2:$X$495&gt;=3))*ROW('CASE MASTER'!$T$2:$T$495))-(ROW('CASE MASTER'!#REF!)-1))))+1))-1)*50+1,50))&amp;"_"&amp;INDEX('CASE MASTER'!$Q$2:$Q$495,(SUMPRODUCT((('CASE MASTER'!$T$2:$T$495=8)*('CASE MASTER'!$U$2:$U$495&lt;=3)*('CASE MASTER'!$W$2:$W$495&gt;=3)*('CASE MASTER'!$V$2:$V$495&lt;=3)*('CASE MASTER'!$X$2:$X$495&gt;=3))*ROW('CASE MASTER'!$T$2:$T$495))-(ROW('CASE MASTER'!#REF!)-1))),IF(SUMPRODUCT((('CASE MASTER'!$T$2:$T$495=8)*('CASE MASTER'!$AA$2:$AA$495&lt;=3)*('CASE MASTER'!$AC$2:$AC$495&gt;=3)*('CASE MASTER'!$AB$2:$AB$495&lt;=3)*('CASE MASTER'!$AD$2:$AD$495&gt;=3))*ROW('CASE MASTER'!$T$2:$T$495))&gt;0,INDEX('CASE MASTER'!$Y$2:$Y$495,(SUMPRODUCT((('CASE MASTER'!$T$2:$T$495=8)*('CASE MASTER'!$AA$2:$AA$495&lt;=3)*('CASE MASTER'!$AC$2:$AC$495&gt;=3)*('CASE MASTER'!$AB$2:$AB$495&lt;=3)*('CASE MASTER'!$AD$2:$AD$495&gt;=3))*ROW('CASE MASTER'!$T$2:$T$495))-(ROW('CASE MASTER'!#REF!)-1)))&amp;TRIM(MID(SUBSTITUTE(SUBSTITUTE(INDEX('CASE MASTER'!$N$2:$N$495,(SUMPRODUCT((('CASE MASTER'!$T$2:$T$495=8)*('CASE MASTER'!$AA$2:$AA$495&lt;=3)*('CASE MASTER'!$AC$2:$AC$495&gt;=3)*('CASE MASTER'!$AB$2:$AB$495&lt;=3)*('CASE MASTER'!$AD$2:$AD$495&gt;=3))*ROW('CASE MASTER'!$T$2:$T$495))-(ROW('CASE MASTER'!#REF!)-1))),":",","),",",REPT(" ",50)),(((INDEX('CASE MASTER'!$Z$2:$Z$495,(SUMPRODUCT((('CASE MASTER'!$T$2:$T$495=8)*('CASE MASTER'!$AA$2:$AA$495&lt;=3)*('CASE MASTER'!$AC$2:$AC$495&gt;=3)*('CASE MASTER'!$AB$2:$AB$495&lt;=3)*('CASE MASTER'!$AD$2:$AD$495&gt;=3))*ROW('CASE MASTER'!$T$2:$T$495))-(ROW('CASE MASTER'!#REF!)-1)))+((3-INDEX('CASE MASTER'!$AA$2:$AA$495,(SUMPRODUCT((('CASE MASTER'!$T$2:$T$495=8)*('CASE MASTER'!$AA$2:$AA$495&lt;=3)*('CASE MASTER'!$AC$2:$AC$495&gt;=3)*('CASE MASTER'!$AB$2:$AB$495&lt;=3)*('CASE MASTER'!$AD$2:$AD$495&gt;=3))*ROW('CASE MASTER'!$T$2:$T$495))-(ROW('CASE MASTER'!#REF!)-1))))*(INDEX('CASE MASTER'!$AD$2:$AD$495,(SUMPRODUCT((('CASE MASTER'!$T$2:$T$495=8)*('CASE MASTER'!$AA$2:$AA$495&lt;=3)*('CASE MASTER'!$AC$2:$AC$495&gt;=3)*('CASE MASTER'!$AB$2:$AB$495&lt;=3)*('CASE MASTER'!$AD$2:$AD$495&gt;=3))*ROW('CASE MASTER'!$T$2:$T$495))-(ROW('CASE MASTER'!#REF!)-1)))-INDEX('CASE MASTER'!$AB$2:$AB$495,(SUMPRODUCT((('CASE MASTER'!$T$2:$T$495=8)*('CASE MASTER'!$AA$2:$AA$495&lt;=3)*('CASE MASTER'!$AC$2:$AC$495&gt;=3)*('CASE MASTER'!$AB$2:$AB$495&lt;=3)*('CASE MASTER'!$AD$2:$AD$495&gt;=3))*ROW('CASE MASTER'!$T$2:$T$495))-(ROW('CASE MASTER'!#REF!)-1)))+1)+(3-INDEX('CASE MASTER'!$AB$2:$AB$495,(SUMPRODUCT((('CASE MASTER'!$T$2:$T$495=8)*('CASE MASTER'!$AA$2:$AA$495&lt;=3)*('CASE MASTER'!$AC$2:$AC$495&gt;=3)*('CASE MASTER'!$AB$2:$AB$495&lt;=3)*('CASE MASTER'!$AD$2:$AD$495&gt;=3))*ROW('CASE MASTER'!$T$2:$T$495))-(ROW('CASE MASTER'!#REF!)-1))))+1)))-1)*50+1,50))&amp;"_"&amp;INDEX('CASE MASTER'!$Q$2:$Q$495,(SUMPRODUCT((('CASE MASTER'!$T$2:$T$495=8)*('CASE MASTER'!$AA$2:$AA$495&lt;=3)*('CASE MASTER'!$AC$2:$AC$495&gt;=3)*('CASE MASTER'!$AB$2:$AB$495&lt;=3)*('CASE MASTER'!$AD$2:$AD$495&gt;=3))*ROW('CASE MASTER'!$T$2:$T$495))-(ROW('CASE MASTER'!#REF!)-1))),"")),"")</f>
        <v/>
      </c>
      <c r="E103" s="10" t="str">
        <f>IFERROR(IF(SUMPRODUCT((('CASE MASTER'!$T$2:$T$495=8)*('CASE MASTER'!$U$2:$U$495&lt;=3)*('CASE MASTER'!$W$2:$W$495&gt;=3)*('CASE MASTER'!$V$2:$V$495&lt;=4)*('CASE MASTER'!$X$2:$X$495&gt;=4))*ROW('CASE MASTER'!$T$2:$T$495))&gt;0,INDEX('CASE MASTER'!$Y$2:$Y$495,(SUMPRODUCT((('CASE MASTER'!$T$2:$T$495=8)*('CASE MASTER'!$U$2:$U$495&lt;=3)*('CASE MASTER'!$W$2:$W$495&gt;=3)*('CASE MASTER'!$V$2:$V$495&lt;=4)*('CASE MASTER'!$X$2:$X$495&gt;=4))*ROW('CASE MASTER'!$T$2:$T$495))-(ROW('CASE MASTER'!#REF!)-1)))&amp;TRIM(MID(SUBSTITUTE(SUBSTITUTE(INDEX('CASE MASTER'!$N$2:$N$495,(SUMPRODUCT((('CASE MASTER'!$T$2:$T$495=8)*('CASE MASTER'!$U$2:$U$495&lt;=3)*('CASE MASTER'!$W$2:$W$495&gt;=3)*('CASE MASTER'!$V$2:$V$495&lt;=4)*('CASE MASTER'!$X$2:$X$495&gt;=4))*ROW('CASE MASTER'!$T$2:$T$495))-(ROW('CASE MASTER'!#REF!)-1))),":",","),",",REPT(" ",50)),((((3-INDEX('CASE MASTER'!$U$2:$U$495,(SUMPRODUCT((('CASE MASTER'!$T$2:$T$495=8)*('CASE MASTER'!$U$2:$U$495&lt;=3)*('CASE MASTER'!$W$2:$W$495&gt;=3)*('CASE MASTER'!$V$2:$V$495&lt;=4)*('CASE MASTER'!$X$2:$X$495&gt;=4))*ROW('CASE MASTER'!$T$2:$T$495))-(ROW('CASE MASTER'!#REF!)-1))))*(INDEX('CASE MASTER'!$X$2:$X$495,(SUMPRODUCT((('CASE MASTER'!$T$2:$T$495=8)*('CASE MASTER'!$U$2:$U$495&lt;=3)*('CASE MASTER'!$W$2:$W$495&gt;=3)*('CASE MASTER'!$V$2:$V$495&lt;=4)*('CASE MASTER'!$X$2:$X$495&gt;=4))*ROW('CASE MASTER'!$T$2:$T$495))-(ROW('CASE MASTER'!#REF!)-1)))-INDEX('CASE MASTER'!$V$2:$V$495,(SUMPRODUCT((('CASE MASTER'!$T$2:$T$495=8)*('CASE MASTER'!$U$2:$U$495&lt;=3)*('CASE MASTER'!$W$2:$W$495&gt;=3)*('CASE MASTER'!$V$2:$V$495&lt;=4)*('CASE MASTER'!$X$2:$X$495&gt;=4))*ROW('CASE MASTER'!$T$2:$T$495))-(ROW('CASE MASTER'!#REF!)-1)))+1)+(4-INDEX('CASE MASTER'!$V$2:$V$495,(SUMPRODUCT((('CASE MASTER'!$T$2:$T$495=8)*('CASE MASTER'!$U$2:$U$495&lt;=3)*('CASE MASTER'!$W$2:$W$495&gt;=3)*('CASE MASTER'!$V$2:$V$495&lt;=4)*('CASE MASTER'!$X$2:$X$495&gt;=4))*ROW('CASE MASTER'!$T$2:$T$495))-(ROW('CASE MASTER'!#REF!)-1))))+1))-1)*50+1,50))&amp;"_"&amp;INDEX('CASE MASTER'!$Q$2:$Q$495,(SUMPRODUCT((('CASE MASTER'!$T$2:$T$495=8)*('CASE MASTER'!$U$2:$U$495&lt;=3)*('CASE MASTER'!$W$2:$W$495&gt;=3)*('CASE MASTER'!$V$2:$V$495&lt;=4)*('CASE MASTER'!$X$2:$X$495&gt;=4))*ROW('CASE MASTER'!$T$2:$T$495))-(ROW('CASE MASTER'!#REF!)-1))),IF(SUMPRODUCT((('CASE MASTER'!$T$2:$T$495=8)*('CASE MASTER'!$AA$2:$AA$495&lt;=3)*('CASE MASTER'!$AC$2:$AC$495&gt;=3)*('CASE MASTER'!$AB$2:$AB$495&lt;=4)*('CASE MASTER'!$AD$2:$AD$495&gt;=4))*ROW('CASE MASTER'!$T$2:$T$495))&gt;0,INDEX('CASE MASTER'!$Y$2:$Y$495,(SUMPRODUCT((('CASE MASTER'!$T$2:$T$495=8)*('CASE MASTER'!$AA$2:$AA$495&lt;=3)*('CASE MASTER'!$AC$2:$AC$495&gt;=3)*('CASE MASTER'!$AB$2:$AB$495&lt;=4)*('CASE MASTER'!$AD$2:$AD$495&gt;=4))*ROW('CASE MASTER'!$T$2:$T$495))-(ROW('CASE MASTER'!#REF!)-1)))&amp;TRIM(MID(SUBSTITUTE(SUBSTITUTE(INDEX('CASE MASTER'!$N$2:$N$495,(SUMPRODUCT((('CASE MASTER'!$T$2:$T$495=8)*('CASE MASTER'!$AA$2:$AA$495&lt;=3)*('CASE MASTER'!$AC$2:$AC$495&gt;=3)*('CASE MASTER'!$AB$2:$AB$495&lt;=4)*('CASE MASTER'!$AD$2:$AD$495&gt;=4))*ROW('CASE MASTER'!$T$2:$T$495))-(ROW('CASE MASTER'!#REF!)-1))),":",","),",",REPT(" ",50)),(((INDEX('CASE MASTER'!$Z$2:$Z$495,(SUMPRODUCT((('CASE MASTER'!$T$2:$T$495=8)*('CASE MASTER'!$AA$2:$AA$495&lt;=3)*('CASE MASTER'!$AC$2:$AC$495&gt;=3)*('CASE MASTER'!$AB$2:$AB$495&lt;=4)*('CASE MASTER'!$AD$2:$AD$495&gt;=4))*ROW('CASE MASTER'!$T$2:$T$495))-(ROW('CASE MASTER'!#REF!)-1)))+((3-INDEX('CASE MASTER'!$AA$2:$AA$495,(SUMPRODUCT((('CASE MASTER'!$T$2:$T$495=8)*('CASE MASTER'!$AA$2:$AA$495&lt;=3)*('CASE MASTER'!$AC$2:$AC$495&gt;=3)*('CASE MASTER'!$AB$2:$AB$495&lt;=4)*('CASE MASTER'!$AD$2:$AD$495&gt;=4))*ROW('CASE MASTER'!$T$2:$T$495))-(ROW('CASE MASTER'!#REF!)-1))))*(INDEX('CASE MASTER'!$AD$2:$AD$495,(SUMPRODUCT((('CASE MASTER'!$T$2:$T$495=8)*('CASE MASTER'!$AA$2:$AA$495&lt;=3)*('CASE MASTER'!$AC$2:$AC$495&gt;=3)*('CASE MASTER'!$AB$2:$AB$495&lt;=4)*('CASE MASTER'!$AD$2:$AD$495&gt;=4))*ROW('CASE MASTER'!$T$2:$T$495))-(ROW('CASE MASTER'!#REF!)-1)))-INDEX('CASE MASTER'!$AB$2:$AB$495,(SUMPRODUCT((('CASE MASTER'!$T$2:$T$495=8)*('CASE MASTER'!$AA$2:$AA$495&lt;=3)*('CASE MASTER'!$AC$2:$AC$495&gt;=3)*('CASE MASTER'!$AB$2:$AB$495&lt;=4)*('CASE MASTER'!$AD$2:$AD$495&gt;=4))*ROW('CASE MASTER'!$T$2:$T$495))-(ROW('CASE MASTER'!#REF!)-1)))+1)+(4-INDEX('CASE MASTER'!$AB$2:$AB$495,(SUMPRODUCT((('CASE MASTER'!$T$2:$T$495=8)*('CASE MASTER'!$AA$2:$AA$495&lt;=3)*('CASE MASTER'!$AC$2:$AC$495&gt;=3)*('CASE MASTER'!$AB$2:$AB$495&lt;=4)*('CASE MASTER'!$AD$2:$AD$495&gt;=4))*ROW('CASE MASTER'!$T$2:$T$495))-(ROW('CASE MASTER'!#REF!)-1))))+1)))-1)*50+1,50))&amp;"_"&amp;INDEX('CASE MASTER'!$Q$2:$Q$495,(SUMPRODUCT((('CASE MASTER'!$T$2:$T$495=8)*('CASE MASTER'!$AA$2:$AA$495&lt;=3)*('CASE MASTER'!$AC$2:$AC$495&gt;=3)*('CASE MASTER'!$AB$2:$AB$495&lt;=4)*('CASE MASTER'!$AD$2:$AD$495&gt;=4))*ROW('CASE MASTER'!$T$2:$T$495))-(ROW('CASE MASTER'!#REF!)-1))),"")),"")</f>
        <v/>
      </c>
      <c r="F103" s="10" t="str">
        <f>IFERROR(IF(SUMPRODUCT((('CASE MASTER'!$T$2:$T$495=8)*('CASE MASTER'!$U$2:$U$495&lt;=3)*('CASE MASTER'!$W$2:$W$495&gt;=3)*('CASE MASTER'!$V$2:$V$495&lt;=5)*('CASE MASTER'!$X$2:$X$495&gt;=5))*ROW('CASE MASTER'!$T$2:$T$495))&gt;0,INDEX('CASE MASTER'!$Y$2:$Y$495,(SUMPRODUCT((('CASE MASTER'!$T$2:$T$495=8)*('CASE MASTER'!$U$2:$U$495&lt;=3)*('CASE MASTER'!$W$2:$W$495&gt;=3)*('CASE MASTER'!$V$2:$V$495&lt;=5)*('CASE MASTER'!$X$2:$X$495&gt;=5))*ROW('CASE MASTER'!$T$2:$T$495))-(ROW('CASE MASTER'!#REF!)-1)))&amp;TRIM(MID(SUBSTITUTE(SUBSTITUTE(INDEX('CASE MASTER'!$N$2:$N$495,(SUMPRODUCT((('CASE MASTER'!$T$2:$T$495=8)*('CASE MASTER'!$U$2:$U$495&lt;=3)*('CASE MASTER'!$W$2:$W$495&gt;=3)*('CASE MASTER'!$V$2:$V$495&lt;=5)*('CASE MASTER'!$X$2:$X$495&gt;=5))*ROW('CASE MASTER'!$T$2:$T$495))-(ROW('CASE MASTER'!#REF!)-1))),":",","),",",REPT(" ",50)),((((3-INDEX('CASE MASTER'!$U$2:$U$495,(SUMPRODUCT((('CASE MASTER'!$T$2:$T$495=8)*('CASE MASTER'!$U$2:$U$495&lt;=3)*('CASE MASTER'!$W$2:$W$495&gt;=3)*('CASE MASTER'!$V$2:$V$495&lt;=5)*('CASE MASTER'!$X$2:$X$495&gt;=5))*ROW('CASE MASTER'!$T$2:$T$495))-(ROW('CASE MASTER'!#REF!)-1))))*(INDEX('CASE MASTER'!$X$2:$X$495,(SUMPRODUCT((('CASE MASTER'!$T$2:$T$495=8)*('CASE MASTER'!$U$2:$U$495&lt;=3)*('CASE MASTER'!$W$2:$W$495&gt;=3)*('CASE MASTER'!$V$2:$V$495&lt;=5)*('CASE MASTER'!$X$2:$X$495&gt;=5))*ROW('CASE MASTER'!$T$2:$T$495))-(ROW('CASE MASTER'!#REF!)-1)))-INDEX('CASE MASTER'!$V$2:$V$495,(SUMPRODUCT((('CASE MASTER'!$T$2:$T$495=8)*('CASE MASTER'!$U$2:$U$495&lt;=3)*('CASE MASTER'!$W$2:$W$495&gt;=3)*('CASE MASTER'!$V$2:$V$495&lt;=5)*('CASE MASTER'!$X$2:$X$495&gt;=5))*ROW('CASE MASTER'!$T$2:$T$495))-(ROW('CASE MASTER'!#REF!)-1)))+1)+(5-INDEX('CASE MASTER'!$V$2:$V$495,(SUMPRODUCT((('CASE MASTER'!$T$2:$T$495=8)*('CASE MASTER'!$U$2:$U$495&lt;=3)*('CASE MASTER'!$W$2:$W$495&gt;=3)*('CASE MASTER'!$V$2:$V$495&lt;=5)*('CASE MASTER'!$X$2:$X$495&gt;=5))*ROW('CASE MASTER'!$T$2:$T$495))-(ROW('CASE MASTER'!#REF!)-1))))+1))-1)*50+1,50))&amp;"_"&amp;INDEX('CASE MASTER'!$Q$2:$Q$495,(SUMPRODUCT((('CASE MASTER'!$T$2:$T$495=8)*('CASE MASTER'!$U$2:$U$495&lt;=3)*('CASE MASTER'!$W$2:$W$495&gt;=3)*('CASE MASTER'!$V$2:$V$495&lt;=5)*('CASE MASTER'!$X$2:$X$495&gt;=5))*ROW('CASE MASTER'!$T$2:$T$495))-(ROW('CASE MASTER'!#REF!)-1))),IF(SUMPRODUCT((('CASE MASTER'!$T$2:$T$495=8)*('CASE MASTER'!$AA$2:$AA$495&lt;=3)*('CASE MASTER'!$AC$2:$AC$495&gt;=3)*('CASE MASTER'!$AB$2:$AB$495&lt;=5)*('CASE MASTER'!$AD$2:$AD$495&gt;=5))*ROW('CASE MASTER'!$T$2:$T$495))&gt;0,INDEX('CASE MASTER'!$Y$2:$Y$495,(SUMPRODUCT((('CASE MASTER'!$T$2:$T$495=8)*('CASE MASTER'!$AA$2:$AA$495&lt;=3)*('CASE MASTER'!$AC$2:$AC$495&gt;=3)*('CASE MASTER'!$AB$2:$AB$495&lt;=5)*('CASE MASTER'!$AD$2:$AD$495&gt;=5))*ROW('CASE MASTER'!$T$2:$T$495))-(ROW('CASE MASTER'!#REF!)-1)))&amp;TRIM(MID(SUBSTITUTE(SUBSTITUTE(INDEX('CASE MASTER'!$N$2:$N$495,(SUMPRODUCT((('CASE MASTER'!$T$2:$T$495=8)*('CASE MASTER'!$AA$2:$AA$495&lt;=3)*('CASE MASTER'!$AC$2:$AC$495&gt;=3)*('CASE MASTER'!$AB$2:$AB$495&lt;=5)*('CASE MASTER'!$AD$2:$AD$495&gt;=5))*ROW('CASE MASTER'!$T$2:$T$495))-(ROW('CASE MASTER'!#REF!)-1))),":",","),",",REPT(" ",50)),(((INDEX('CASE MASTER'!$Z$2:$Z$495,(SUMPRODUCT((('CASE MASTER'!$T$2:$T$495=8)*('CASE MASTER'!$AA$2:$AA$495&lt;=3)*('CASE MASTER'!$AC$2:$AC$495&gt;=3)*('CASE MASTER'!$AB$2:$AB$495&lt;=5)*('CASE MASTER'!$AD$2:$AD$495&gt;=5))*ROW('CASE MASTER'!$T$2:$T$495))-(ROW('CASE MASTER'!#REF!)-1)))+((3-INDEX('CASE MASTER'!$AA$2:$AA$495,(SUMPRODUCT((('CASE MASTER'!$T$2:$T$495=8)*('CASE MASTER'!$AA$2:$AA$495&lt;=3)*('CASE MASTER'!$AC$2:$AC$495&gt;=3)*('CASE MASTER'!$AB$2:$AB$495&lt;=5)*('CASE MASTER'!$AD$2:$AD$495&gt;=5))*ROW('CASE MASTER'!$T$2:$T$495))-(ROW('CASE MASTER'!#REF!)-1))))*(INDEX('CASE MASTER'!$AD$2:$AD$495,(SUMPRODUCT((('CASE MASTER'!$T$2:$T$495=8)*('CASE MASTER'!$AA$2:$AA$495&lt;=3)*('CASE MASTER'!$AC$2:$AC$495&gt;=3)*('CASE MASTER'!$AB$2:$AB$495&lt;=5)*('CASE MASTER'!$AD$2:$AD$495&gt;=5))*ROW('CASE MASTER'!$T$2:$T$495))-(ROW('CASE MASTER'!#REF!)-1)))-INDEX('CASE MASTER'!$AB$2:$AB$495,(SUMPRODUCT((('CASE MASTER'!$T$2:$T$495=8)*('CASE MASTER'!$AA$2:$AA$495&lt;=3)*('CASE MASTER'!$AC$2:$AC$495&gt;=3)*('CASE MASTER'!$AB$2:$AB$495&lt;=5)*('CASE MASTER'!$AD$2:$AD$495&gt;=5))*ROW('CASE MASTER'!$T$2:$T$495))-(ROW('CASE MASTER'!#REF!)-1)))+1)+(5-INDEX('CASE MASTER'!$AB$2:$AB$495,(SUMPRODUCT((('CASE MASTER'!$T$2:$T$495=8)*('CASE MASTER'!$AA$2:$AA$495&lt;=3)*('CASE MASTER'!$AC$2:$AC$495&gt;=3)*('CASE MASTER'!$AB$2:$AB$495&lt;=5)*('CASE MASTER'!$AD$2:$AD$495&gt;=5))*ROW('CASE MASTER'!$T$2:$T$495))-(ROW('CASE MASTER'!#REF!)-1))))+1)))-1)*50+1,50))&amp;"_"&amp;INDEX('CASE MASTER'!$Q$2:$Q$495,(SUMPRODUCT((('CASE MASTER'!$T$2:$T$495=8)*('CASE MASTER'!$AA$2:$AA$495&lt;=3)*('CASE MASTER'!$AC$2:$AC$495&gt;=3)*('CASE MASTER'!$AB$2:$AB$495&lt;=5)*('CASE MASTER'!$AD$2:$AD$495&gt;=5))*ROW('CASE MASTER'!$T$2:$T$495))-(ROW('CASE MASTER'!#REF!)-1))),"")),"")</f>
        <v/>
      </c>
      <c r="G103" s="10" t="str">
        <f>IFERROR(IF(SUMPRODUCT((('CASE MASTER'!$T$2:$T$495=8)*('CASE MASTER'!$U$2:$U$495&lt;=3)*('CASE MASTER'!$W$2:$W$495&gt;=3)*('CASE MASTER'!$V$2:$V$495&lt;=6)*('CASE MASTER'!$X$2:$X$495&gt;=6))*ROW('CASE MASTER'!$T$2:$T$495))&gt;0,INDEX('CASE MASTER'!$Y$2:$Y$495,(SUMPRODUCT((('CASE MASTER'!$T$2:$T$495=8)*('CASE MASTER'!$U$2:$U$495&lt;=3)*('CASE MASTER'!$W$2:$W$495&gt;=3)*('CASE MASTER'!$V$2:$V$495&lt;=6)*('CASE MASTER'!$X$2:$X$495&gt;=6))*ROW('CASE MASTER'!$T$2:$T$495))-(ROW('CASE MASTER'!#REF!)-1)))&amp;TRIM(MID(SUBSTITUTE(SUBSTITUTE(INDEX('CASE MASTER'!$N$2:$N$495,(SUMPRODUCT((('CASE MASTER'!$T$2:$T$495=8)*('CASE MASTER'!$U$2:$U$495&lt;=3)*('CASE MASTER'!$W$2:$W$495&gt;=3)*('CASE MASTER'!$V$2:$V$495&lt;=6)*('CASE MASTER'!$X$2:$X$495&gt;=6))*ROW('CASE MASTER'!$T$2:$T$495))-(ROW('CASE MASTER'!#REF!)-1))),":",","),",",REPT(" ",50)),((((3-INDEX('CASE MASTER'!$U$2:$U$495,(SUMPRODUCT((('CASE MASTER'!$T$2:$T$495=8)*('CASE MASTER'!$U$2:$U$495&lt;=3)*('CASE MASTER'!$W$2:$W$495&gt;=3)*('CASE MASTER'!$V$2:$V$495&lt;=6)*('CASE MASTER'!$X$2:$X$495&gt;=6))*ROW('CASE MASTER'!$T$2:$T$495))-(ROW('CASE MASTER'!#REF!)-1))))*(INDEX('CASE MASTER'!$X$2:$X$495,(SUMPRODUCT((('CASE MASTER'!$T$2:$T$495=8)*('CASE MASTER'!$U$2:$U$495&lt;=3)*('CASE MASTER'!$W$2:$W$495&gt;=3)*('CASE MASTER'!$V$2:$V$495&lt;=6)*('CASE MASTER'!$X$2:$X$495&gt;=6))*ROW('CASE MASTER'!$T$2:$T$495))-(ROW('CASE MASTER'!#REF!)-1)))-INDEX('CASE MASTER'!$V$2:$V$495,(SUMPRODUCT((('CASE MASTER'!$T$2:$T$495=8)*('CASE MASTER'!$U$2:$U$495&lt;=3)*('CASE MASTER'!$W$2:$W$495&gt;=3)*('CASE MASTER'!$V$2:$V$495&lt;=6)*('CASE MASTER'!$X$2:$X$495&gt;=6))*ROW('CASE MASTER'!$T$2:$T$495))-(ROW('CASE MASTER'!#REF!)-1)))+1)+(6-INDEX('CASE MASTER'!$V$2:$V$495,(SUMPRODUCT((('CASE MASTER'!$T$2:$T$495=8)*('CASE MASTER'!$U$2:$U$495&lt;=3)*('CASE MASTER'!$W$2:$W$495&gt;=3)*('CASE MASTER'!$V$2:$V$495&lt;=6)*('CASE MASTER'!$X$2:$X$495&gt;=6))*ROW('CASE MASTER'!$T$2:$T$495))-(ROW('CASE MASTER'!#REF!)-1))))+1))-1)*50+1,50))&amp;"_"&amp;INDEX('CASE MASTER'!$Q$2:$Q$495,(SUMPRODUCT((('CASE MASTER'!$T$2:$T$495=8)*('CASE MASTER'!$U$2:$U$495&lt;=3)*('CASE MASTER'!$W$2:$W$495&gt;=3)*('CASE MASTER'!$V$2:$V$495&lt;=6)*('CASE MASTER'!$X$2:$X$495&gt;=6))*ROW('CASE MASTER'!$T$2:$T$495))-(ROW('CASE MASTER'!#REF!)-1))),IF(SUMPRODUCT((('CASE MASTER'!$T$2:$T$495=8)*('CASE MASTER'!$AA$2:$AA$495&lt;=3)*('CASE MASTER'!$AC$2:$AC$495&gt;=3)*('CASE MASTER'!$AB$2:$AB$495&lt;=6)*('CASE MASTER'!$AD$2:$AD$495&gt;=6))*ROW('CASE MASTER'!$T$2:$T$495))&gt;0,INDEX('CASE MASTER'!$Y$2:$Y$495,(SUMPRODUCT((('CASE MASTER'!$T$2:$T$495=8)*('CASE MASTER'!$AA$2:$AA$495&lt;=3)*('CASE MASTER'!$AC$2:$AC$495&gt;=3)*('CASE MASTER'!$AB$2:$AB$495&lt;=6)*('CASE MASTER'!$AD$2:$AD$495&gt;=6))*ROW('CASE MASTER'!$T$2:$T$495))-(ROW('CASE MASTER'!#REF!)-1)))&amp;TRIM(MID(SUBSTITUTE(SUBSTITUTE(INDEX('CASE MASTER'!$N$2:$N$495,(SUMPRODUCT((('CASE MASTER'!$T$2:$T$495=8)*('CASE MASTER'!$AA$2:$AA$495&lt;=3)*('CASE MASTER'!$AC$2:$AC$495&gt;=3)*('CASE MASTER'!$AB$2:$AB$495&lt;=6)*('CASE MASTER'!$AD$2:$AD$495&gt;=6))*ROW('CASE MASTER'!$T$2:$T$495))-(ROW('CASE MASTER'!#REF!)-1))),":",","),",",REPT(" ",50)),(((INDEX('CASE MASTER'!$Z$2:$Z$495,(SUMPRODUCT((('CASE MASTER'!$T$2:$T$495=8)*('CASE MASTER'!$AA$2:$AA$495&lt;=3)*('CASE MASTER'!$AC$2:$AC$495&gt;=3)*('CASE MASTER'!$AB$2:$AB$495&lt;=6)*('CASE MASTER'!$AD$2:$AD$495&gt;=6))*ROW('CASE MASTER'!$T$2:$T$495))-(ROW('CASE MASTER'!#REF!)-1)))+((3-INDEX('CASE MASTER'!$AA$2:$AA$495,(SUMPRODUCT((('CASE MASTER'!$T$2:$T$495=8)*('CASE MASTER'!$AA$2:$AA$495&lt;=3)*('CASE MASTER'!$AC$2:$AC$495&gt;=3)*('CASE MASTER'!$AB$2:$AB$495&lt;=6)*('CASE MASTER'!$AD$2:$AD$495&gt;=6))*ROW('CASE MASTER'!$T$2:$T$495))-(ROW('CASE MASTER'!#REF!)-1))))*(INDEX('CASE MASTER'!$AD$2:$AD$495,(SUMPRODUCT((('CASE MASTER'!$T$2:$T$495=8)*('CASE MASTER'!$AA$2:$AA$495&lt;=3)*('CASE MASTER'!$AC$2:$AC$495&gt;=3)*('CASE MASTER'!$AB$2:$AB$495&lt;=6)*('CASE MASTER'!$AD$2:$AD$495&gt;=6))*ROW('CASE MASTER'!$T$2:$T$495))-(ROW('CASE MASTER'!#REF!)-1)))-INDEX('CASE MASTER'!$AB$2:$AB$495,(SUMPRODUCT((('CASE MASTER'!$T$2:$T$495=8)*('CASE MASTER'!$AA$2:$AA$495&lt;=3)*('CASE MASTER'!$AC$2:$AC$495&gt;=3)*('CASE MASTER'!$AB$2:$AB$495&lt;=6)*('CASE MASTER'!$AD$2:$AD$495&gt;=6))*ROW('CASE MASTER'!$T$2:$T$495))-(ROW('CASE MASTER'!#REF!)-1)))+1)+(6-INDEX('CASE MASTER'!$AB$2:$AB$495,(SUMPRODUCT((('CASE MASTER'!$T$2:$T$495=8)*('CASE MASTER'!$AA$2:$AA$495&lt;=3)*('CASE MASTER'!$AC$2:$AC$495&gt;=3)*('CASE MASTER'!$AB$2:$AB$495&lt;=6)*('CASE MASTER'!$AD$2:$AD$495&gt;=6))*ROW('CASE MASTER'!$T$2:$T$495))-(ROW('CASE MASTER'!#REF!)-1))))+1)))-1)*50+1,50))&amp;"_"&amp;INDEX('CASE MASTER'!$Q$2:$Q$495,(SUMPRODUCT((('CASE MASTER'!$T$2:$T$495=8)*('CASE MASTER'!$AA$2:$AA$495&lt;=3)*('CASE MASTER'!$AC$2:$AC$495&gt;=3)*('CASE MASTER'!$AB$2:$AB$495&lt;=6)*('CASE MASTER'!$AD$2:$AD$495&gt;=6))*ROW('CASE MASTER'!$T$2:$T$495))-(ROW('CASE MASTER'!#REF!)-1))),"")),"")</f>
        <v/>
      </c>
      <c r="H103" s="10" t="str">
        <f>IFERROR(IF(SUMPRODUCT((('CASE MASTER'!$T$2:$T$495=8)*('CASE MASTER'!$U$2:$U$495&lt;=3)*('CASE MASTER'!$W$2:$W$495&gt;=3)*('CASE MASTER'!$V$2:$V$495&lt;=7)*('CASE MASTER'!$X$2:$X$495&gt;=7))*ROW('CASE MASTER'!$T$2:$T$495))&gt;0,INDEX('CASE MASTER'!$Y$2:$Y$495,(SUMPRODUCT((('CASE MASTER'!$T$2:$T$495=8)*('CASE MASTER'!$U$2:$U$495&lt;=3)*('CASE MASTER'!$W$2:$W$495&gt;=3)*('CASE MASTER'!$V$2:$V$495&lt;=7)*('CASE MASTER'!$X$2:$X$495&gt;=7))*ROW('CASE MASTER'!$T$2:$T$495))-(ROW('CASE MASTER'!#REF!)-1)))&amp;TRIM(MID(SUBSTITUTE(SUBSTITUTE(INDEX('CASE MASTER'!$N$2:$N$495,(SUMPRODUCT((('CASE MASTER'!$T$2:$T$495=8)*('CASE MASTER'!$U$2:$U$495&lt;=3)*('CASE MASTER'!$W$2:$W$495&gt;=3)*('CASE MASTER'!$V$2:$V$495&lt;=7)*('CASE MASTER'!$X$2:$X$495&gt;=7))*ROW('CASE MASTER'!$T$2:$T$495))-(ROW('CASE MASTER'!#REF!)-1))),":",","),",",REPT(" ",50)),((((3-INDEX('CASE MASTER'!$U$2:$U$495,(SUMPRODUCT((('CASE MASTER'!$T$2:$T$495=8)*('CASE MASTER'!$U$2:$U$495&lt;=3)*('CASE MASTER'!$W$2:$W$495&gt;=3)*('CASE MASTER'!$V$2:$V$495&lt;=7)*('CASE MASTER'!$X$2:$X$495&gt;=7))*ROW('CASE MASTER'!$T$2:$T$495))-(ROW('CASE MASTER'!#REF!)-1))))*(INDEX('CASE MASTER'!$X$2:$X$495,(SUMPRODUCT((('CASE MASTER'!$T$2:$T$495=8)*('CASE MASTER'!$U$2:$U$495&lt;=3)*('CASE MASTER'!$W$2:$W$495&gt;=3)*('CASE MASTER'!$V$2:$V$495&lt;=7)*('CASE MASTER'!$X$2:$X$495&gt;=7))*ROW('CASE MASTER'!$T$2:$T$495))-(ROW('CASE MASTER'!#REF!)-1)))-INDEX('CASE MASTER'!$V$2:$V$495,(SUMPRODUCT((('CASE MASTER'!$T$2:$T$495=8)*('CASE MASTER'!$U$2:$U$495&lt;=3)*('CASE MASTER'!$W$2:$W$495&gt;=3)*('CASE MASTER'!$V$2:$V$495&lt;=7)*('CASE MASTER'!$X$2:$X$495&gt;=7))*ROW('CASE MASTER'!$T$2:$T$495))-(ROW('CASE MASTER'!#REF!)-1)))+1)+(7-INDEX('CASE MASTER'!$V$2:$V$495,(SUMPRODUCT((('CASE MASTER'!$T$2:$T$495=8)*('CASE MASTER'!$U$2:$U$495&lt;=3)*('CASE MASTER'!$W$2:$W$495&gt;=3)*('CASE MASTER'!$V$2:$V$495&lt;=7)*('CASE MASTER'!$X$2:$X$495&gt;=7))*ROW('CASE MASTER'!$T$2:$T$495))-(ROW('CASE MASTER'!#REF!)-1))))+1))-1)*50+1,50))&amp;"_"&amp;INDEX('CASE MASTER'!$Q$2:$Q$495,(SUMPRODUCT((('CASE MASTER'!$T$2:$T$495=8)*('CASE MASTER'!$U$2:$U$495&lt;=3)*('CASE MASTER'!$W$2:$W$495&gt;=3)*('CASE MASTER'!$V$2:$V$495&lt;=7)*('CASE MASTER'!$X$2:$X$495&gt;=7))*ROW('CASE MASTER'!$T$2:$T$495))-(ROW('CASE MASTER'!#REF!)-1))),IF(SUMPRODUCT((('CASE MASTER'!$T$2:$T$495=8)*('CASE MASTER'!$AA$2:$AA$495&lt;=3)*('CASE MASTER'!$AC$2:$AC$495&gt;=3)*('CASE MASTER'!$AB$2:$AB$495&lt;=7)*('CASE MASTER'!$AD$2:$AD$495&gt;=7))*ROW('CASE MASTER'!$T$2:$T$495))&gt;0,INDEX('CASE MASTER'!$Y$2:$Y$495,(SUMPRODUCT((('CASE MASTER'!$T$2:$T$495=8)*('CASE MASTER'!$AA$2:$AA$495&lt;=3)*('CASE MASTER'!$AC$2:$AC$495&gt;=3)*('CASE MASTER'!$AB$2:$AB$495&lt;=7)*('CASE MASTER'!$AD$2:$AD$495&gt;=7))*ROW('CASE MASTER'!$T$2:$T$495))-(ROW('CASE MASTER'!#REF!)-1)))&amp;TRIM(MID(SUBSTITUTE(SUBSTITUTE(INDEX('CASE MASTER'!$N$2:$N$495,(SUMPRODUCT((('CASE MASTER'!$T$2:$T$495=8)*('CASE MASTER'!$AA$2:$AA$495&lt;=3)*('CASE MASTER'!$AC$2:$AC$495&gt;=3)*('CASE MASTER'!$AB$2:$AB$495&lt;=7)*('CASE MASTER'!$AD$2:$AD$495&gt;=7))*ROW('CASE MASTER'!$T$2:$T$495))-(ROW('CASE MASTER'!#REF!)-1))),":",","),",",REPT(" ",50)),(((INDEX('CASE MASTER'!$Z$2:$Z$495,(SUMPRODUCT((('CASE MASTER'!$T$2:$T$495=8)*('CASE MASTER'!$AA$2:$AA$495&lt;=3)*('CASE MASTER'!$AC$2:$AC$495&gt;=3)*('CASE MASTER'!$AB$2:$AB$495&lt;=7)*('CASE MASTER'!$AD$2:$AD$495&gt;=7))*ROW('CASE MASTER'!$T$2:$T$495))-(ROW('CASE MASTER'!#REF!)-1)))+((3-INDEX('CASE MASTER'!$AA$2:$AA$495,(SUMPRODUCT((('CASE MASTER'!$T$2:$T$495=8)*('CASE MASTER'!$AA$2:$AA$495&lt;=3)*('CASE MASTER'!$AC$2:$AC$495&gt;=3)*('CASE MASTER'!$AB$2:$AB$495&lt;=7)*('CASE MASTER'!$AD$2:$AD$495&gt;=7))*ROW('CASE MASTER'!$T$2:$T$495))-(ROW('CASE MASTER'!#REF!)-1))))*(INDEX('CASE MASTER'!$AD$2:$AD$495,(SUMPRODUCT((('CASE MASTER'!$T$2:$T$495=8)*('CASE MASTER'!$AA$2:$AA$495&lt;=3)*('CASE MASTER'!$AC$2:$AC$495&gt;=3)*('CASE MASTER'!$AB$2:$AB$495&lt;=7)*('CASE MASTER'!$AD$2:$AD$495&gt;=7))*ROW('CASE MASTER'!$T$2:$T$495))-(ROW('CASE MASTER'!#REF!)-1)))-INDEX('CASE MASTER'!$AB$2:$AB$495,(SUMPRODUCT((('CASE MASTER'!$T$2:$T$495=8)*('CASE MASTER'!$AA$2:$AA$495&lt;=3)*('CASE MASTER'!$AC$2:$AC$495&gt;=3)*('CASE MASTER'!$AB$2:$AB$495&lt;=7)*('CASE MASTER'!$AD$2:$AD$495&gt;=7))*ROW('CASE MASTER'!$T$2:$T$495))-(ROW('CASE MASTER'!#REF!)-1)))+1)+(7-INDEX('CASE MASTER'!$AB$2:$AB$495,(SUMPRODUCT((('CASE MASTER'!$T$2:$T$495=8)*('CASE MASTER'!$AA$2:$AA$495&lt;=3)*('CASE MASTER'!$AC$2:$AC$495&gt;=3)*('CASE MASTER'!$AB$2:$AB$495&lt;=7)*('CASE MASTER'!$AD$2:$AD$495&gt;=7))*ROW('CASE MASTER'!$T$2:$T$495))-(ROW('CASE MASTER'!#REF!)-1))))+1)))-1)*50+1,50))&amp;"_"&amp;INDEX('CASE MASTER'!$Q$2:$Q$495,(SUMPRODUCT((('CASE MASTER'!$T$2:$T$495=8)*('CASE MASTER'!$AA$2:$AA$495&lt;=3)*('CASE MASTER'!$AC$2:$AC$495&gt;=3)*('CASE MASTER'!$AB$2:$AB$495&lt;=7)*('CASE MASTER'!$AD$2:$AD$495&gt;=7))*ROW('CASE MASTER'!$T$2:$T$495))-(ROW('CASE MASTER'!#REF!)-1))),"")),"")</f>
        <v/>
      </c>
      <c r="I103" s="10" t="str">
        <f>IFERROR(IF(SUMPRODUCT((('CASE MASTER'!$T$2:$T$495=8)*('CASE MASTER'!$U$2:$U$495&lt;=3)*('CASE MASTER'!$W$2:$W$495&gt;=3)*('CASE MASTER'!$V$2:$V$495&lt;=8)*('CASE MASTER'!$X$2:$X$495&gt;=8))*ROW('CASE MASTER'!$T$2:$T$495))&gt;0,INDEX('CASE MASTER'!$Y$2:$Y$495,(SUMPRODUCT((('CASE MASTER'!$T$2:$T$495=8)*('CASE MASTER'!$U$2:$U$495&lt;=3)*('CASE MASTER'!$W$2:$W$495&gt;=3)*('CASE MASTER'!$V$2:$V$495&lt;=8)*('CASE MASTER'!$X$2:$X$495&gt;=8))*ROW('CASE MASTER'!$T$2:$T$495))-(ROW('CASE MASTER'!#REF!)-1)))&amp;TRIM(MID(SUBSTITUTE(SUBSTITUTE(INDEX('CASE MASTER'!$N$2:$N$495,(SUMPRODUCT((('CASE MASTER'!$T$2:$T$495=8)*('CASE MASTER'!$U$2:$U$495&lt;=3)*('CASE MASTER'!$W$2:$W$495&gt;=3)*('CASE MASTER'!$V$2:$V$495&lt;=8)*('CASE MASTER'!$X$2:$X$495&gt;=8))*ROW('CASE MASTER'!$T$2:$T$495))-(ROW('CASE MASTER'!#REF!)-1))),":",","),",",REPT(" ",50)),((((3-INDEX('CASE MASTER'!$U$2:$U$495,(SUMPRODUCT((('CASE MASTER'!$T$2:$T$495=8)*('CASE MASTER'!$U$2:$U$495&lt;=3)*('CASE MASTER'!$W$2:$W$495&gt;=3)*('CASE MASTER'!$V$2:$V$495&lt;=8)*('CASE MASTER'!$X$2:$X$495&gt;=8))*ROW('CASE MASTER'!$T$2:$T$495))-(ROW('CASE MASTER'!#REF!)-1))))*(INDEX('CASE MASTER'!$X$2:$X$495,(SUMPRODUCT((('CASE MASTER'!$T$2:$T$495=8)*('CASE MASTER'!$U$2:$U$495&lt;=3)*('CASE MASTER'!$W$2:$W$495&gt;=3)*('CASE MASTER'!$V$2:$V$495&lt;=8)*('CASE MASTER'!$X$2:$X$495&gt;=8))*ROW('CASE MASTER'!$T$2:$T$495))-(ROW('CASE MASTER'!#REF!)-1)))-INDEX('CASE MASTER'!$V$2:$V$495,(SUMPRODUCT((('CASE MASTER'!$T$2:$T$495=8)*('CASE MASTER'!$U$2:$U$495&lt;=3)*('CASE MASTER'!$W$2:$W$495&gt;=3)*('CASE MASTER'!$V$2:$V$495&lt;=8)*('CASE MASTER'!$X$2:$X$495&gt;=8))*ROW('CASE MASTER'!$T$2:$T$495))-(ROW('CASE MASTER'!#REF!)-1)))+1)+(8-INDEX('CASE MASTER'!$V$2:$V$495,(SUMPRODUCT((('CASE MASTER'!$T$2:$T$495=8)*('CASE MASTER'!$U$2:$U$495&lt;=3)*('CASE MASTER'!$W$2:$W$495&gt;=3)*('CASE MASTER'!$V$2:$V$495&lt;=8)*('CASE MASTER'!$X$2:$X$495&gt;=8))*ROW('CASE MASTER'!$T$2:$T$495))-(ROW('CASE MASTER'!#REF!)-1))))+1))-1)*50+1,50))&amp;"_"&amp;INDEX('CASE MASTER'!$Q$2:$Q$495,(SUMPRODUCT((('CASE MASTER'!$T$2:$T$495=8)*('CASE MASTER'!$U$2:$U$495&lt;=3)*('CASE MASTER'!$W$2:$W$495&gt;=3)*('CASE MASTER'!$V$2:$V$495&lt;=8)*('CASE MASTER'!$X$2:$X$495&gt;=8))*ROW('CASE MASTER'!$T$2:$T$495))-(ROW('CASE MASTER'!#REF!)-1))),IF(SUMPRODUCT((('CASE MASTER'!$T$2:$T$495=8)*('CASE MASTER'!$AA$2:$AA$495&lt;=3)*('CASE MASTER'!$AC$2:$AC$495&gt;=3)*('CASE MASTER'!$AB$2:$AB$495&lt;=8)*('CASE MASTER'!$AD$2:$AD$495&gt;=8))*ROW('CASE MASTER'!$T$2:$T$495))&gt;0,INDEX('CASE MASTER'!$Y$2:$Y$495,(SUMPRODUCT((('CASE MASTER'!$T$2:$T$495=8)*('CASE MASTER'!$AA$2:$AA$495&lt;=3)*('CASE MASTER'!$AC$2:$AC$495&gt;=3)*('CASE MASTER'!$AB$2:$AB$495&lt;=8)*('CASE MASTER'!$AD$2:$AD$495&gt;=8))*ROW('CASE MASTER'!$T$2:$T$495))-(ROW('CASE MASTER'!#REF!)-1)))&amp;TRIM(MID(SUBSTITUTE(SUBSTITUTE(INDEX('CASE MASTER'!$N$2:$N$495,(SUMPRODUCT((('CASE MASTER'!$T$2:$T$495=8)*('CASE MASTER'!$AA$2:$AA$495&lt;=3)*('CASE MASTER'!$AC$2:$AC$495&gt;=3)*('CASE MASTER'!$AB$2:$AB$495&lt;=8)*('CASE MASTER'!$AD$2:$AD$495&gt;=8))*ROW('CASE MASTER'!$T$2:$T$495))-(ROW('CASE MASTER'!#REF!)-1))),":",","),",",REPT(" ",50)),(((INDEX('CASE MASTER'!$Z$2:$Z$495,(SUMPRODUCT((('CASE MASTER'!$T$2:$T$495=8)*('CASE MASTER'!$AA$2:$AA$495&lt;=3)*('CASE MASTER'!$AC$2:$AC$495&gt;=3)*('CASE MASTER'!$AB$2:$AB$495&lt;=8)*('CASE MASTER'!$AD$2:$AD$495&gt;=8))*ROW('CASE MASTER'!$T$2:$T$495))-(ROW('CASE MASTER'!#REF!)-1)))+((3-INDEX('CASE MASTER'!$AA$2:$AA$495,(SUMPRODUCT((('CASE MASTER'!$T$2:$T$495=8)*('CASE MASTER'!$AA$2:$AA$495&lt;=3)*('CASE MASTER'!$AC$2:$AC$495&gt;=3)*('CASE MASTER'!$AB$2:$AB$495&lt;=8)*('CASE MASTER'!$AD$2:$AD$495&gt;=8))*ROW('CASE MASTER'!$T$2:$T$495))-(ROW('CASE MASTER'!#REF!)-1))))*(INDEX('CASE MASTER'!$AD$2:$AD$495,(SUMPRODUCT((('CASE MASTER'!$T$2:$T$495=8)*('CASE MASTER'!$AA$2:$AA$495&lt;=3)*('CASE MASTER'!$AC$2:$AC$495&gt;=3)*('CASE MASTER'!$AB$2:$AB$495&lt;=8)*('CASE MASTER'!$AD$2:$AD$495&gt;=8))*ROW('CASE MASTER'!$T$2:$T$495))-(ROW('CASE MASTER'!#REF!)-1)))-INDEX('CASE MASTER'!$AB$2:$AB$495,(SUMPRODUCT((('CASE MASTER'!$T$2:$T$495=8)*('CASE MASTER'!$AA$2:$AA$495&lt;=3)*('CASE MASTER'!$AC$2:$AC$495&gt;=3)*('CASE MASTER'!$AB$2:$AB$495&lt;=8)*('CASE MASTER'!$AD$2:$AD$495&gt;=8))*ROW('CASE MASTER'!$T$2:$T$495))-(ROW('CASE MASTER'!#REF!)-1)))+1)+(8-INDEX('CASE MASTER'!$AB$2:$AB$495,(SUMPRODUCT((('CASE MASTER'!$T$2:$T$495=8)*('CASE MASTER'!$AA$2:$AA$495&lt;=3)*('CASE MASTER'!$AC$2:$AC$495&gt;=3)*('CASE MASTER'!$AB$2:$AB$495&lt;=8)*('CASE MASTER'!$AD$2:$AD$495&gt;=8))*ROW('CASE MASTER'!$T$2:$T$495))-(ROW('CASE MASTER'!#REF!)-1))))+1)))-1)*50+1,50))&amp;"_"&amp;INDEX('CASE MASTER'!$Q$2:$Q$495,(SUMPRODUCT((('CASE MASTER'!$T$2:$T$495=8)*('CASE MASTER'!$AA$2:$AA$495&lt;=3)*('CASE MASTER'!$AC$2:$AC$495&gt;=3)*('CASE MASTER'!$AB$2:$AB$495&lt;=8)*('CASE MASTER'!$AD$2:$AD$495&gt;=8))*ROW('CASE MASTER'!$T$2:$T$495))-(ROW('CASE MASTER'!#REF!)-1))),"")),"")</f>
        <v/>
      </c>
      <c r="J103" s="10" t="str">
        <f>IFERROR(IF(SUMPRODUCT((('CASE MASTER'!$T$2:$T$495=8)*('CASE MASTER'!$U$2:$U$495&lt;=3)*('CASE MASTER'!$W$2:$W$495&gt;=3)*('CASE MASTER'!$V$2:$V$495&lt;=9)*('CASE MASTER'!$X$2:$X$495&gt;=9))*ROW('CASE MASTER'!$T$2:$T$495))&gt;0,INDEX('CASE MASTER'!$Y$2:$Y$495,(SUMPRODUCT((('CASE MASTER'!$T$2:$T$495=8)*('CASE MASTER'!$U$2:$U$495&lt;=3)*('CASE MASTER'!$W$2:$W$495&gt;=3)*('CASE MASTER'!$V$2:$V$495&lt;=9)*('CASE MASTER'!$X$2:$X$495&gt;=9))*ROW('CASE MASTER'!$T$2:$T$495))-(ROW('CASE MASTER'!#REF!)-1)))&amp;TRIM(MID(SUBSTITUTE(SUBSTITUTE(INDEX('CASE MASTER'!$N$2:$N$495,(SUMPRODUCT((('CASE MASTER'!$T$2:$T$495=8)*('CASE MASTER'!$U$2:$U$495&lt;=3)*('CASE MASTER'!$W$2:$W$495&gt;=3)*('CASE MASTER'!$V$2:$V$495&lt;=9)*('CASE MASTER'!$X$2:$X$495&gt;=9))*ROW('CASE MASTER'!$T$2:$T$495))-(ROW('CASE MASTER'!#REF!)-1))),":",","),",",REPT(" ",50)),((((3-INDEX('CASE MASTER'!$U$2:$U$495,(SUMPRODUCT((('CASE MASTER'!$T$2:$T$495=8)*('CASE MASTER'!$U$2:$U$495&lt;=3)*('CASE MASTER'!$W$2:$W$495&gt;=3)*('CASE MASTER'!$V$2:$V$495&lt;=9)*('CASE MASTER'!$X$2:$X$495&gt;=9))*ROW('CASE MASTER'!$T$2:$T$495))-(ROW('CASE MASTER'!#REF!)-1))))*(INDEX('CASE MASTER'!$X$2:$X$495,(SUMPRODUCT((('CASE MASTER'!$T$2:$T$495=8)*('CASE MASTER'!$U$2:$U$495&lt;=3)*('CASE MASTER'!$W$2:$W$495&gt;=3)*('CASE MASTER'!$V$2:$V$495&lt;=9)*('CASE MASTER'!$X$2:$X$495&gt;=9))*ROW('CASE MASTER'!$T$2:$T$495))-(ROW('CASE MASTER'!#REF!)-1)))-INDEX('CASE MASTER'!$V$2:$V$495,(SUMPRODUCT((('CASE MASTER'!$T$2:$T$495=8)*('CASE MASTER'!$U$2:$U$495&lt;=3)*('CASE MASTER'!$W$2:$W$495&gt;=3)*('CASE MASTER'!$V$2:$V$495&lt;=9)*('CASE MASTER'!$X$2:$X$495&gt;=9))*ROW('CASE MASTER'!$T$2:$T$495))-(ROW('CASE MASTER'!#REF!)-1)))+1)+(9-INDEX('CASE MASTER'!$V$2:$V$495,(SUMPRODUCT((('CASE MASTER'!$T$2:$T$495=8)*('CASE MASTER'!$U$2:$U$495&lt;=3)*('CASE MASTER'!$W$2:$W$495&gt;=3)*('CASE MASTER'!$V$2:$V$495&lt;=9)*('CASE MASTER'!$X$2:$X$495&gt;=9))*ROW('CASE MASTER'!$T$2:$T$495))-(ROW('CASE MASTER'!#REF!)-1))))+1))-1)*50+1,50))&amp;"_"&amp;INDEX('CASE MASTER'!$Q$2:$Q$495,(SUMPRODUCT((('CASE MASTER'!$T$2:$T$495=8)*('CASE MASTER'!$U$2:$U$495&lt;=3)*('CASE MASTER'!$W$2:$W$495&gt;=3)*('CASE MASTER'!$V$2:$V$495&lt;=9)*('CASE MASTER'!$X$2:$X$495&gt;=9))*ROW('CASE MASTER'!$T$2:$T$495))-(ROW('CASE MASTER'!#REF!)-1))),IF(SUMPRODUCT((('CASE MASTER'!$T$2:$T$495=8)*('CASE MASTER'!$AA$2:$AA$495&lt;=3)*('CASE MASTER'!$AC$2:$AC$495&gt;=3)*('CASE MASTER'!$AB$2:$AB$495&lt;=9)*('CASE MASTER'!$AD$2:$AD$495&gt;=9))*ROW('CASE MASTER'!$T$2:$T$495))&gt;0,INDEX('CASE MASTER'!$Y$2:$Y$495,(SUMPRODUCT((('CASE MASTER'!$T$2:$T$495=8)*('CASE MASTER'!$AA$2:$AA$495&lt;=3)*('CASE MASTER'!$AC$2:$AC$495&gt;=3)*('CASE MASTER'!$AB$2:$AB$495&lt;=9)*('CASE MASTER'!$AD$2:$AD$495&gt;=9))*ROW('CASE MASTER'!$T$2:$T$495))-(ROW('CASE MASTER'!#REF!)-1)))&amp;TRIM(MID(SUBSTITUTE(SUBSTITUTE(INDEX('CASE MASTER'!$N$2:$N$495,(SUMPRODUCT((('CASE MASTER'!$T$2:$T$495=8)*('CASE MASTER'!$AA$2:$AA$495&lt;=3)*('CASE MASTER'!$AC$2:$AC$495&gt;=3)*('CASE MASTER'!$AB$2:$AB$495&lt;=9)*('CASE MASTER'!$AD$2:$AD$495&gt;=9))*ROW('CASE MASTER'!$T$2:$T$495))-(ROW('CASE MASTER'!#REF!)-1))),":",","),",",REPT(" ",50)),(((INDEX('CASE MASTER'!$Z$2:$Z$495,(SUMPRODUCT((('CASE MASTER'!$T$2:$T$495=8)*('CASE MASTER'!$AA$2:$AA$495&lt;=3)*('CASE MASTER'!$AC$2:$AC$495&gt;=3)*('CASE MASTER'!$AB$2:$AB$495&lt;=9)*('CASE MASTER'!$AD$2:$AD$495&gt;=9))*ROW('CASE MASTER'!$T$2:$T$495))-(ROW('CASE MASTER'!#REF!)-1)))+((3-INDEX('CASE MASTER'!$AA$2:$AA$495,(SUMPRODUCT((('CASE MASTER'!$T$2:$T$495=8)*('CASE MASTER'!$AA$2:$AA$495&lt;=3)*('CASE MASTER'!$AC$2:$AC$495&gt;=3)*('CASE MASTER'!$AB$2:$AB$495&lt;=9)*('CASE MASTER'!$AD$2:$AD$495&gt;=9))*ROW('CASE MASTER'!$T$2:$T$495))-(ROW('CASE MASTER'!#REF!)-1))))*(INDEX('CASE MASTER'!$AD$2:$AD$495,(SUMPRODUCT((('CASE MASTER'!$T$2:$T$495=8)*('CASE MASTER'!$AA$2:$AA$495&lt;=3)*('CASE MASTER'!$AC$2:$AC$495&gt;=3)*('CASE MASTER'!$AB$2:$AB$495&lt;=9)*('CASE MASTER'!$AD$2:$AD$495&gt;=9))*ROW('CASE MASTER'!$T$2:$T$495))-(ROW('CASE MASTER'!#REF!)-1)))-INDEX('CASE MASTER'!$AB$2:$AB$495,(SUMPRODUCT((('CASE MASTER'!$T$2:$T$495=8)*('CASE MASTER'!$AA$2:$AA$495&lt;=3)*('CASE MASTER'!$AC$2:$AC$495&gt;=3)*('CASE MASTER'!$AB$2:$AB$495&lt;=9)*('CASE MASTER'!$AD$2:$AD$495&gt;=9))*ROW('CASE MASTER'!$T$2:$T$495))-(ROW('CASE MASTER'!#REF!)-1)))+1)+(9-INDEX('CASE MASTER'!$AB$2:$AB$495,(SUMPRODUCT((('CASE MASTER'!$T$2:$T$495=8)*('CASE MASTER'!$AA$2:$AA$495&lt;=3)*('CASE MASTER'!$AC$2:$AC$495&gt;=3)*('CASE MASTER'!$AB$2:$AB$495&lt;=9)*('CASE MASTER'!$AD$2:$AD$495&gt;=9))*ROW('CASE MASTER'!$T$2:$T$495))-(ROW('CASE MASTER'!#REF!)-1))))+1)))-1)*50+1,50))&amp;"_"&amp;INDEX('CASE MASTER'!$Q$2:$Q$495,(SUMPRODUCT((('CASE MASTER'!$T$2:$T$495=8)*('CASE MASTER'!$AA$2:$AA$495&lt;=3)*('CASE MASTER'!$AC$2:$AC$495&gt;=3)*('CASE MASTER'!$AB$2:$AB$495&lt;=9)*('CASE MASTER'!$AD$2:$AD$495&gt;=9))*ROW('CASE MASTER'!$T$2:$T$495))-(ROW('CASE MASTER'!#REF!)-1))),"")),"")</f>
        <v/>
      </c>
      <c r="K103" s="10" t="str">
        <f>IFERROR(IF(SUMPRODUCT((('CASE MASTER'!$T$2:$T$495=8)*('CASE MASTER'!$U$2:$U$495&lt;=3)*('CASE MASTER'!$W$2:$W$495&gt;=3)*('CASE MASTER'!$V$2:$V$495&lt;=10)*('CASE MASTER'!$X$2:$X$495&gt;=10))*ROW('CASE MASTER'!$T$2:$T$495))&gt;0,INDEX('CASE MASTER'!$Y$2:$Y$495,(SUMPRODUCT((('CASE MASTER'!$T$2:$T$495=8)*('CASE MASTER'!$U$2:$U$495&lt;=3)*('CASE MASTER'!$W$2:$W$495&gt;=3)*('CASE MASTER'!$V$2:$V$495&lt;=10)*('CASE MASTER'!$X$2:$X$495&gt;=10))*ROW('CASE MASTER'!$T$2:$T$495))-(ROW('CASE MASTER'!#REF!)-1)))&amp;TRIM(MID(SUBSTITUTE(SUBSTITUTE(INDEX('CASE MASTER'!$N$2:$N$495,(SUMPRODUCT((('CASE MASTER'!$T$2:$T$495=8)*('CASE MASTER'!$U$2:$U$495&lt;=3)*('CASE MASTER'!$W$2:$W$495&gt;=3)*('CASE MASTER'!$V$2:$V$495&lt;=10)*('CASE MASTER'!$X$2:$X$495&gt;=10))*ROW('CASE MASTER'!$T$2:$T$495))-(ROW('CASE MASTER'!#REF!)-1))),":",","),",",REPT(" ",50)),((((3-INDEX('CASE MASTER'!$U$2:$U$495,(SUMPRODUCT((('CASE MASTER'!$T$2:$T$495=8)*('CASE MASTER'!$U$2:$U$495&lt;=3)*('CASE MASTER'!$W$2:$W$495&gt;=3)*('CASE MASTER'!$V$2:$V$495&lt;=10)*('CASE MASTER'!$X$2:$X$495&gt;=10))*ROW('CASE MASTER'!$T$2:$T$495))-(ROW('CASE MASTER'!#REF!)-1))))*(INDEX('CASE MASTER'!$X$2:$X$495,(SUMPRODUCT((('CASE MASTER'!$T$2:$T$495=8)*('CASE MASTER'!$U$2:$U$495&lt;=3)*('CASE MASTER'!$W$2:$W$495&gt;=3)*('CASE MASTER'!$V$2:$V$495&lt;=10)*('CASE MASTER'!$X$2:$X$495&gt;=10))*ROW('CASE MASTER'!$T$2:$T$495))-(ROW('CASE MASTER'!#REF!)-1)))-INDEX('CASE MASTER'!$V$2:$V$495,(SUMPRODUCT((('CASE MASTER'!$T$2:$T$495=8)*('CASE MASTER'!$U$2:$U$495&lt;=3)*('CASE MASTER'!$W$2:$W$495&gt;=3)*('CASE MASTER'!$V$2:$V$495&lt;=10)*('CASE MASTER'!$X$2:$X$495&gt;=10))*ROW('CASE MASTER'!$T$2:$T$495))-(ROW('CASE MASTER'!#REF!)-1)))+1)+(10-INDEX('CASE MASTER'!$V$2:$V$495,(SUMPRODUCT((('CASE MASTER'!$T$2:$T$495=8)*('CASE MASTER'!$U$2:$U$495&lt;=3)*('CASE MASTER'!$W$2:$W$495&gt;=3)*('CASE MASTER'!$V$2:$V$495&lt;=10)*('CASE MASTER'!$X$2:$X$495&gt;=10))*ROW('CASE MASTER'!$T$2:$T$495))-(ROW('CASE MASTER'!#REF!)-1))))+1))-1)*50+1,50))&amp;"_"&amp;INDEX('CASE MASTER'!$Q$2:$Q$495,(SUMPRODUCT((('CASE MASTER'!$T$2:$T$495=8)*('CASE MASTER'!$U$2:$U$495&lt;=3)*('CASE MASTER'!$W$2:$W$495&gt;=3)*('CASE MASTER'!$V$2:$V$495&lt;=10)*('CASE MASTER'!$X$2:$X$495&gt;=10))*ROW('CASE MASTER'!$T$2:$T$495))-(ROW('CASE MASTER'!#REF!)-1))),IF(SUMPRODUCT((('CASE MASTER'!$T$2:$T$495=8)*('CASE MASTER'!$AA$2:$AA$495&lt;=3)*('CASE MASTER'!$AC$2:$AC$495&gt;=3)*('CASE MASTER'!$AB$2:$AB$495&lt;=10)*('CASE MASTER'!$AD$2:$AD$495&gt;=10))*ROW('CASE MASTER'!$T$2:$T$495))&gt;0,INDEX('CASE MASTER'!$Y$2:$Y$495,(SUMPRODUCT((('CASE MASTER'!$T$2:$T$495=8)*('CASE MASTER'!$AA$2:$AA$495&lt;=3)*('CASE MASTER'!$AC$2:$AC$495&gt;=3)*('CASE MASTER'!$AB$2:$AB$495&lt;=10)*('CASE MASTER'!$AD$2:$AD$495&gt;=10))*ROW('CASE MASTER'!$T$2:$T$495))-(ROW('CASE MASTER'!#REF!)-1)))&amp;TRIM(MID(SUBSTITUTE(SUBSTITUTE(INDEX('CASE MASTER'!$N$2:$N$495,(SUMPRODUCT((('CASE MASTER'!$T$2:$T$495=8)*('CASE MASTER'!$AA$2:$AA$495&lt;=3)*('CASE MASTER'!$AC$2:$AC$495&gt;=3)*('CASE MASTER'!$AB$2:$AB$495&lt;=10)*('CASE MASTER'!$AD$2:$AD$495&gt;=10))*ROW('CASE MASTER'!$T$2:$T$495))-(ROW('CASE MASTER'!#REF!)-1))),":",","),",",REPT(" ",50)),(((INDEX('CASE MASTER'!$Z$2:$Z$495,(SUMPRODUCT((('CASE MASTER'!$T$2:$T$495=8)*('CASE MASTER'!$AA$2:$AA$495&lt;=3)*('CASE MASTER'!$AC$2:$AC$495&gt;=3)*('CASE MASTER'!$AB$2:$AB$495&lt;=10)*('CASE MASTER'!$AD$2:$AD$495&gt;=10))*ROW('CASE MASTER'!$T$2:$T$495))-(ROW('CASE MASTER'!#REF!)-1)))+((3-INDEX('CASE MASTER'!$AA$2:$AA$495,(SUMPRODUCT((('CASE MASTER'!$T$2:$T$495=8)*('CASE MASTER'!$AA$2:$AA$495&lt;=3)*('CASE MASTER'!$AC$2:$AC$495&gt;=3)*('CASE MASTER'!$AB$2:$AB$495&lt;=10)*('CASE MASTER'!$AD$2:$AD$495&gt;=10))*ROW('CASE MASTER'!$T$2:$T$495))-(ROW('CASE MASTER'!#REF!)-1))))*(INDEX('CASE MASTER'!$AD$2:$AD$495,(SUMPRODUCT((('CASE MASTER'!$T$2:$T$495=8)*('CASE MASTER'!$AA$2:$AA$495&lt;=3)*('CASE MASTER'!$AC$2:$AC$495&gt;=3)*('CASE MASTER'!$AB$2:$AB$495&lt;=10)*('CASE MASTER'!$AD$2:$AD$495&gt;=10))*ROW('CASE MASTER'!$T$2:$T$495))-(ROW('CASE MASTER'!#REF!)-1)))-INDEX('CASE MASTER'!$AB$2:$AB$495,(SUMPRODUCT((('CASE MASTER'!$T$2:$T$495=8)*('CASE MASTER'!$AA$2:$AA$495&lt;=3)*('CASE MASTER'!$AC$2:$AC$495&gt;=3)*('CASE MASTER'!$AB$2:$AB$495&lt;=10)*('CASE MASTER'!$AD$2:$AD$495&gt;=10))*ROW('CASE MASTER'!$T$2:$T$495))-(ROW('CASE MASTER'!#REF!)-1)))+1)+(10-INDEX('CASE MASTER'!$AB$2:$AB$495,(SUMPRODUCT((('CASE MASTER'!$T$2:$T$495=8)*('CASE MASTER'!$AA$2:$AA$495&lt;=3)*('CASE MASTER'!$AC$2:$AC$495&gt;=3)*('CASE MASTER'!$AB$2:$AB$495&lt;=10)*('CASE MASTER'!$AD$2:$AD$495&gt;=10))*ROW('CASE MASTER'!$T$2:$T$495))-(ROW('CASE MASTER'!#REF!)-1))))+1)))-1)*50+1,50))&amp;"_"&amp;INDEX('CASE MASTER'!$Q$2:$Q$495,(SUMPRODUCT((('CASE MASTER'!$T$2:$T$495=8)*('CASE MASTER'!$AA$2:$AA$495&lt;=3)*('CASE MASTER'!$AC$2:$AC$495&gt;=3)*('CASE MASTER'!$AB$2:$AB$495&lt;=10)*('CASE MASTER'!$AD$2:$AD$495&gt;=10))*ROW('CASE MASTER'!$T$2:$T$495))-(ROW('CASE MASTER'!#REF!)-1))),"")),"")</f>
        <v/>
      </c>
    </row>
    <row r="104" spans="1:11" ht="15" customHeight="1" x14ac:dyDescent="0.35">
      <c r="A104" s="8" t="s">
        <v>31</v>
      </c>
      <c r="B104" s="10" t="str">
        <f>IFERROR(IF(SUMPRODUCT((('CASE MASTER'!$T$2:$T$495=8)*('CASE MASTER'!$U$2:$U$495&lt;=4)*('CASE MASTER'!$W$2:$W$495&gt;=4)*('CASE MASTER'!$V$2:$V$495&lt;=1)*('CASE MASTER'!$X$2:$X$495&gt;=1))*ROW('CASE MASTER'!$T$2:$T$495))&gt;0,INDEX('CASE MASTER'!$Y$2:$Y$495,(SUMPRODUCT((('CASE MASTER'!$T$2:$T$495=8)*('CASE MASTER'!$U$2:$U$495&lt;=4)*('CASE MASTER'!$W$2:$W$495&gt;=4)*('CASE MASTER'!$V$2:$V$495&lt;=1)*('CASE MASTER'!$X$2:$X$495&gt;=1))*ROW('CASE MASTER'!$T$2:$T$495))-(ROW('CASE MASTER'!#REF!)-1)))&amp;TRIM(MID(SUBSTITUTE(SUBSTITUTE(INDEX('CASE MASTER'!$N$2:$N$495,(SUMPRODUCT((('CASE MASTER'!$T$2:$T$495=8)*('CASE MASTER'!$U$2:$U$495&lt;=4)*('CASE MASTER'!$W$2:$W$495&gt;=4)*('CASE MASTER'!$V$2:$V$495&lt;=1)*('CASE MASTER'!$X$2:$X$495&gt;=1))*ROW('CASE MASTER'!$T$2:$T$495))-(ROW('CASE MASTER'!#REF!)-1))),":",","),",",REPT(" ",50)),((((4-INDEX('CASE MASTER'!$U$2:$U$495,(SUMPRODUCT((('CASE MASTER'!$T$2:$T$495=8)*('CASE MASTER'!$U$2:$U$495&lt;=4)*('CASE MASTER'!$W$2:$W$495&gt;=4)*('CASE MASTER'!$V$2:$V$495&lt;=1)*('CASE MASTER'!$X$2:$X$495&gt;=1))*ROW('CASE MASTER'!$T$2:$T$495))-(ROW('CASE MASTER'!#REF!)-1))))*(INDEX('CASE MASTER'!$X$2:$X$495,(SUMPRODUCT((('CASE MASTER'!$T$2:$T$495=8)*('CASE MASTER'!$U$2:$U$495&lt;=4)*('CASE MASTER'!$W$2:$W$495&gt;=4)*('CASE MASTER'!$V$2:$V$495&lt;=1)*('CASE MASTER'!$X$2:$X$495&gt;=1))*ROW('CASE MASTER'!$T$2:$T$495))-(ROW('CASE MASTER'!#REF!)-1)))-INDEX('CASE MASTER'!$V$2:$V$495,(SUMPRODUCT((('CASE MASTER'!$T$2:$T$495=8)*('CASE MASTER'!$U$2:$U$495&lt;=4)*('CASE MASTER'!$W$2:$W$495&gt;=4)*('CASE MASTER'!$V$2:$V$495&lt;=1)*('CASE MASTER'!$X$2:$X$495&gt;=1))*ROW('CASE MASTER'!$T$2:$T$495))-(ROW('CASE MASTER'!#REF!)-1)))+1)+(1-INDEX('CASE MASTER'!$V$2:$V$495,(SUMPRODUCT((('CASE MASTER'!$T$2:$T$495=8)*('CASE MASTER'!$U$2:$U$495&lt;=4)*('CASE MASTER'!$W$2:$W$495&gt;=4)*('CASE MASTER'!$V$2:$V$495&lt;=1)*('CASE MASTER'!$X$2:$X$495&gt;=1))*ROW('CASE MASTER'!$T$2:$T$495))-(ROW('CASE MASTER'!#REF!)-1))))+1))-1)*50+1,50))&amp;"_"&amp;INDEX('CASE MASTER'!$Q$2:$Q$495,(SUMPRODUCT((('CASE MASTER'!$T$2:$T$495=8)*('CASE MASTER'!$U$2:$U$495&lt;=4)*('CASE MASTER'!$W$2:$W$495&gt;=4)*('CASE MASTER'!$V$2:$V$495&lt;=1)*('CASE MASTER'!$X$2:$X$495&gt;=1))*ROW('CASE MASTER'!$T$2:$T$495))-(ROW('CASE MASTER'!#REF!)-1))),IF(SUMPRODUCT((('CASE MASTER'!$T$2:$T$495=8)*('CASE MASTER'!$AA$2:$AA$495&lt;=4)*('CASE MASTER'!$AC$2:$AC$495&gt;=4)*('CASE MASTER'!$AB$2:$AB$495&lt;=1)*('CASE MASTER'!$AD$2:$AD$495&gt;=1))*ROW('CASE MASTER'!$T$2:$T$495))&gt;0,INDEX('CASE MASTER'!$Y$2:$Y$495,(SUMPRODUCT((('CASE MASTER'!$T$2:$T$495=8)*('CASE MASTER'!$AA$2:$AA$495&lt;=4)*('CASE MASTER'!$AC$2:$AC$495&gt;=4)*('CASE MASTER'!$AB$2:$AB$495&lt;=1)*('CASE MASTER'!$AD$2:$AD$495&gt;=1))*ROW('CASE MASTER'!$T$2:$T$495))-(ROW('CASE MASTER'!#REF!)-1)))&amp;TRIM(MID(SUBSTITUTE(SUBSTITUTE(INDEX('CASE MASTER'!$N$2:$N$495,(SUMPRODUCT((('CASE MASTER'!$T$2:$T$495=8)*('CASE MASTER'!$AA$2:$AA$495&lt;=4)*('CASE MASTER'!$AC$2:$AC$495&gt;=4)*('CASE MASTER'!$AB$2:$AB$495&lt;=1)*('CASE MASTER'!$AD$2:$AD$495&gt;=1))*ROW('CASE MASTER'!$T$2:$T$495))-(ROW('CASE MASTER'!#REF!)-1))),":",","),",",REPT(" ",50)),(((INDEX('CASE MASTER'!$Z$2:$Z$495,(SUMPRODUCT((('CASE MASTER'!$T$2:$T$495=8)*('CASE MASTER'!$AA$2:$AA$495&lt;=4)*('CASE MASTER'!$AC$2:$AC$495&gt;=4)*('CASE MASTER'!$AB$2:$AB$495&lt;=1)*('CASE MASTER'!$AD$2:$AD$495&gt;=1))*ROW('CASE MASTER'!$T$2:$T$495))-(ROW('CASE MASTER'!#REF!)-1)))+((4-INDEX('CASE MASTER'!$AA$2:$AA$495,(SUMPRODUCT((('CASE MASTER'!$T$2:$T$495=8)*('CASE MASTER'!$AA$2:$AA$495&lt;=4)*('CASE MASTER'!$AC$2:$AC$495&gt;=4)*('CASE MASTER'!$AB$2:$AB$495&lt;=1)*('CASE MASTER'!$AD$2:$AD$495&gt;=1))*ROW('CASE MASTER'!$T$2:$T$495))-(ROW('CASE MASTER'!#REF!)-1))))*(INDEX('CASE MASTER'!$AD$2:$AD$495,(SUMPRODUCT((('CASE MASTER'!$T$2:$T$495=8)*('CASE MASTER'!$AA$2:$AA$495&lt;=4)*('CASE MASTER'!$AC$2:$AC$495&gt;=4)*('CASE MASTER'!$AB$2:$AB$495&lt;=1)*('CASE MASTER'!$AD$2:$AD$495&gt;=1))*ROW('CASE MASTER'!$T$2:$T$495))-(ROW('CASE MASTER'!#REF!)-1)))-INDEX('CASE MASTER'!$AB$2:$AB$495,(SUMPRODUCT((('CASE MASTER'!$T$2:$T$495=8)*('CASE MASTER'!$AA$2:$AA$495&lt;=4)*('CASE MASTER'!$AC$2:$AC$495&gt;=4)*('CASE MASTER'!$AB$2:$AB$495&lt;=1)*('CASE MASTER'!$AD$2:$AD$495&gt;=1))*ROW('CASE MASTER'!$T$2:$T$495))-(ROW('CASE MASTER'!#REF!)-1)))+1)+(1-INDEX('CASE MASTER'!$AB$2:$AB$495,(SUMPRODUCT((('CASE MASTER'!$T$2:$T$495=8)*('CASE MASTER'!$AA$2:$AA$495&lt;=4)*('CASE MASTER'!$AC$2:$AC$495&gt;=4)*('CASE MASTER'!$AB$2:$AB$495&lt;=1)*('CASE MASTER'!$AD$2:$AD$495&gt;=1))*ROW('CASE MASTER'!$T$2:$T$495))-(ROW('CASE MASTER'!#REF!)-1))))+1)))-1)*50+1,50))&amp;"_"&amp;INDEX('CASE MASTER'!$Q$2:$Q$495,(SUMPRODUCT((('CASE MASTER'!$T$2:$T$495=8)*('CASE MASTER'!$AA$2:$AA$495&lt;=4)*('CASE MASTER'!$AC$2:$AC$495&gt;=4)*('CASE MASTER'!$AB$2:$AB$495&lt;=1)*('CASE MASTER'!$AD$2:$AD$495&gt;=1))*ROW('CASE MASTER'!$T$2:$T$495))-(ROW('CASE MASTER'!#REF!)-1))),"")),"")</f>
        <v/>
      </c>
      <c r="C104" s="10" t="str">
        <f>IFERROR(IF(SUMPRODUCT((('CASE MASTER'!$T$2:$T$495=8)*('CASE MASTER'!$U$2:$U$495&lt;=4)*('CASE MASTER'!$W$2:$W$495&gt;=4)*('CASE MASTER'!$V$2:$V$495&lt;=2)*('CASE MASTER'!$X$2:$X$495&gt;=2))*ROW('CASE MASTER'!$T$2:$T$495))&gt;0,INDEX('CASE MASTER'!$Y$2:$Y$495,(SUMPRODUCT((('CASE MASTER'!$T$2:$T$495=8)*('CASE MASTER'!$U$2:$U$495&lt;=4)*('CASE MASTER'!$W$2:$W$495&gt;=4)*('CASE MASTER'!$V$2:$V$495&lt;=2)*('CASE MASTER'!$X$2:$X$495&gt;=2))*ROW('CASE MASTER'!$T$2:$T$495))-(ROW('CASE MASTER'!#REF!)-1)))&amp;TRIM(MID(SUBSTITUTE(SUBSTITUTE(INDEX('CASE MASTER'!$N$2:$N$495,(SUMPRODUCT((('CASE MASTER'!$T$2:$T$495=8)*('CASE MASTER'!$U$2:$U$495&lt;=4)*('CASE MASTER'!$W$2:$W$495&gt;=4)*('CASE MASTER'!$V$2:$V$495&lt;=2)*('CASE MASTER'!$X$2:$X$495&gt;=2))*ROW('CASE MASTER'!$T$2:$T$495))-(ROW('CASE MASTER'!#REF!)-1))),":",","),",",REPT(" ",50)),((((4-INDEX('CASE MASTER'!$U$2:$U$495,(SUMPRODUCT((('CASE MASTER'!$T$2:$T$495=8)*('CASE MASTER'!$U$2:$U$495&lt;=4)*('CASE MASTER'!$W$2:$W$495&gt;=4)*('CASE MASTER'!$V$2:$V$495&lt;=2)*('CASE MASTER'!$X$2:$X$495&gt;=2))*ROW('CASE MASTER'!$T$2:$T$495))-(ROW('CASE MASTER'!#REF!)-1))))*(INDEX('CASE MASTER'!$X$2:$X$495,(SUMPRODUCT((('CASE MASTER'!$T$2:$T$495=8)*('CASE MASTER'!$U$2:$U$495&lt;=4)*('CASE MASTER'!$W$2:$W$495&gt;=4)*('CASE MASTER'!$V$2:$V$495&lt;=2)*('CASE MASTER'!$X$2:$X$495&gt;=2))*ROW('CASE MASTER'!$T$2:$T$495))-(ROW('CASE MASTER'!#REF!)-1)))-INDEX('CASE MASTER'!$V$2:$V$495,(SUMPRODUCT((('CASE MASTER'!$T$2:$T$495=8)*('CASE MASTER'!$U$2:$U$495&lt;=4)*('CASE MASTER'!$W$2:$W$495&gt;=4)*('CASE MASTER'!$V$2:$V$495&lt;=2)*('CASE MASTER'!$X$2:$X$495&gt;=2))*ROW('CASE MASTER'!$T$2:$T$495))-(ROW('CASE MASTER'!#REF!)-1)))+1)+(2-INDEX('CASE MASTER'!$V$2:$V$495,(SUMPRODUCT((('CASE MASTER'!$T$2:$T$495=8)*('CASE MASTER'!$U$2:$U$495&lt;=4)*('CASE MASTER'!$W$2:$W$495&gt;=4)*('CASE MASTER'!$V$2:$V$495&lt;=2)*('CASE MASTER'!$X$2:$X$495&gt;=2))*ROW('CASE MASTER'!$T$2:$T$495))-(ROW('CASE MASTER'!#REF!)-1))))+1))-1)*50+1,50))&amp;"_"&amp;INDEX('CASE MASTER'!$Q$2:$Q$495,(SUMPRODUCT((('CASE MASTER'!$T$2:$T$495=8)*('CASE MASTER'!$U$2:$U$495&lt;=4)*('CASE MASTER'!$W$2:$W$495&gt;=4)*('CASE MASTER'!$V$2:$V$495&lt;=2)*('CASE MASTER'!$X$2:$X$495&gt;=2))*ROW('CASE MASTER'!$T$2:$T$495))-(ROW('CASE MASTER'!#REF!)-1))),IF(SUMPRODUCT((('CASE MASTER'!$T$2:$T$495=8)*('CASE MASTER'!$AA$2:$AA$495&lt;=4)*('CASE MASTER'!$AC$2:$AC$495&gt;=4)*('CASE MASTER'!$AB$2:$AB$495&lt;=2)*('CASE MASTER'!$AD$2:$AD$495&gt;=2))*ROW('CASE MASTER'!$T$2:$T$495))&gt;0,INDEX('CASE MASTER'!$Y$2:$Y$495,(SUMPRODUCT((('CASE MASTER'!$T$2:$T$495=8)*('CASE MASTER'!$AA$2:$AA$495&lt;=4)*('CASE MASTER'!$AC$2:$AC$495&gt;=4)*('CASE MASTER'!$AB$2:$AB$495&lt;=2)*('CASE MASTER'!$AD$2:$AD$495&gt;=2))*ROW('CASE MASTER'!$T$2:$T$495))-(ROW('CASE MASTER'!#REF!)-1)))&amp;TRIM(MID(SUBSTITUTE(SUBSTITUTE(INDEX('CASE MASTER'!$N$2:$N$495,(SUMPRODUCT((('CASE MASTER'!$T$2:$T$495=8)*('CASE MASTER'!$AA$2:$AA$495&lt;=4)*('CASE MASTER'!$AC$2:$AC$495&gt;=4)*('CASE MASTER'!$AB$2:$AB$495&lt;=2)*('CASE MASTER'!$AD$2:$AD$495&gt;=2))*ROW('CASE MASTER'!$T$2:$T$495))-(ROW('CASE MASTER'!#REF!)-1))),":",","),",",REPT(" ",50)),(((INDEX('CASE MASTER'!$Z$2:$Z$495,(SUMPRODUCT((('CASE MASTER'!$T$2:$T$495=8)*('CASE MASTER'!$AA$2:$AA$495&lt;=4)*('CASE MASTER'!$AC$2:$AC$495&gt;=4)*('CASE MASTER'!$AB$2:$AB$495&lt;=2)*('CASE MASTER'!$AD$2:$AD$495&gt;=2))*ROW('CASE MASTER'!$T$2:$T$495))-(ROW('CASE MASTER'!#REF!)-1)))+((4-INDEX('CASE MASTER'!$AA$2:$AA$495,(SUMPRODUCT((('CASE MASTER'!$T$2:$T$495=8)*('CASE MASTER'!$AA$2:$AA$495&lt;=4)*('CASE MASTER'!$AC$2:$AC$495&gt;=4)*('CASE MASTER'!$AB$2:$AB$495&lt;=2)*('CASE MASTER'!$AD$2:$AD$495&gt;=2))*ROW('CASE MASTER'!$T$2:$T$495))-(ROW('CASE MASTER'!#REF!)-1))))*(INDEX('CASE MASTER'!$AD$2:$AD$495,(SUMPRODUCT((('CASE MASTER'!$T$2:$T$495=8)*('CASE MASTER'!$AA$2:$AA$495&lt;=4)*('CASE MASTER'!$AC$2:$AC$495&gt;=4)*('CASE MASTER'!$AB$2:$AB$495&lt;=2)*('CASE MASTER'!$AD$2:$AD$495&gt;=2))*ROW('CASE MASTER'!$T$2:$T$495))-(ROW('CASE MASTER'!#REF!)-1)))-INDEX('CASE MASTER'!$AB$2:$AB$495,(SUMPRODUCT((('CASE MASTER'!$T$2:$T$495=8)*('CASE MASTER'!$AA$2:$AA$495&lt;=4)*('CASE MASTER'!$AC$2:$AC$495&gt;=4)*('CASE MASTER'!$AB$2:$AB$495&lt;=2)*('CASE MASTER'!$AD$2:$AD$495&gt;=2))*ROW('CASE MASTER'!$T$2:$T$495))-(ROW('CASE MASTER'!#REF!)-1)))+1)+(2-INDEX('CASE MASTER'!$AB$2:$AB$495,(SUMPRODUCT((('CASE MASTER'!$T$2:$T$495=8)*('CASE MASTER'!$AA$2:$AA$495&lt;=4)*('CASE MASTER'!$AC$2:$AC$495&gt;=4)*('CASE MASTER'!$AB$2:$AB$495&lt;=2)*('CASE MASTER'!$AD$2:$AD$495&gt;=2))*ROW('CASE MASTER'!$T$2:$T$495))-(ROW('CASE MASTER'!#REF!)-1))))+1)))-1)*50+1,50))&amp;"_"&amp;INDEX('CASE MASTER'!$Q$2:$Q$495,(SUMPRODUCT((('CASE MASTER'!$T$2:$T$495=8)*('CASE MASTER'!$AA$2:$AA$495&lt;=4)*('CASE MASTER'!$AC$2:$AC$495&gt;=4)*('CASE MASTER'!$AB$2:$AB$495&lt;=2)*('CASE MASTER'!$AD$2:$AD$495&gt;=2))*ROW('CASE MASTER'!$T$2:$T$495))-(ROW('CASE MASTER'!#REF!)-1))),"")),"")</f>
        <v/>
      </c>
      <c r="D104" s="10" t="str">
        <f>IFERROR(IF(SUMPRODUCT((('CASE MASTER'!$T$2:$T$495=8)*('CASE MASTER'!$U$2:$U$495&lt;=4)*('CASE MASTER'!$W$2:$W$495&gt;=4)*('CASE MASTER'!$V$2:$V$495&lt;=3)*('CASE MASTER'!$X$2:$X$495&gt;=3))*ROW('CASE MASTER'!$T$2:$T$495))&gt;0,INDEX('CASE MASTER'!$Y$2:$Y$495,(SUMPRODUCT((('CASE MASTER'!$T$2:$T$495=8)*('CASE MASTER'!$U$2:$U$495&lt;=4)*('CASE MASTER'!$W$2:$W$495&gt;=4)*('CASE MASTER'!$V$2:$V$495&lt;=3)*('CASE MASTER'!$X$2:$X$495&gt;=3))*ROW('CASE MASTER'!$T$2:$T$495))-(ROW('CASE MASTER'!#REF!)-1)))&amp;TRIM(MID(SUBSTITUTE(SUBSTITUTE(INDEX('CASE MASTER'!$N$2:$N$495,(SUMPRODUCT((('CASE MASTER'!$T$2:$T$495=8)*('CASE MASTER'!$U$2:$U$495&lt;=4)*('CASE MASTER'!$W$2:$W$495&gt;=4)*('CASE MASTER'!$V$2:$V$495&lt;=3)*('CASE MASTER'!$X$2:$X$495&gt;=3))*ROW('CASE MASTER'!$T$2:$T$495))-(ROW('CASE MASTER'!#REF!)-1))),":",","),",",REPT(" ",50)),((((4-INDEX('CASE MASTER'!$U$2:$U$495,(SUMPRODUCT((('CASE MASTER'!$T$2:$T$495=8)*('CASE MASTER'!$U$2:$U$495&lt;=4)*('CASE MASTER'!$W$2:$W$495&gt;=4)*('CASE MASTER'!$V$2:$V$495&lt;=3)*('CASE MASTER'!$X$2:$X$495&gt;=3))*ROW('CASE MASTER'!$T$2:$T$495))-(ROW('CASE MASTER'!#REF!)-1))))*(INDEX('CASE MASTER'!$X$2:$X$495,(SUMPRODUCT((('CASE MASTER'!$T$2:$T$495=8)*('CASE MASTER'!$U$2:$U$495&lt;=4)*('CASE MASTER'!$W$2:$W$495&gt;=4)*('CASE MASTER'!$V$2:$V$495&lt;=3)*('CASE MASTER'!$X$2:$X$495&gt;=3))*ROW('CASE MASTER'!$T$2:$T$495))-(ROW('CASE MASTER'!#REF!)-1)))-INDEX('CASE MASTER'!$V$2:$V$495,(SUMPRODUCT((('CASE MASTER'!$T$2:$T$495=8)*('CASE MASTER'!$U$2:$U$495&lt;=4)*('CASE MASTER'!$W$2:$W$495&gt;=4)*('CASE MASTER'!$V$2:$V$495&lt;=3)*('CASE MASTER'!$X$2:$X$495&gt;=3))*ROW('CASE MASTER'!$T$2:$T$495))-(ROW('CASE MASTER'!#REF!)-1)))+1)+(3-INDEX('CASE MASTER'!$V$2:$V$495,(SUMPRODUCT((('CASE MASTER'!$T$2:$T$495=8)*('CASE MASTER'!$U$2:$U$495&lt;=4)*('CASE MASTER'!$W$2:$W$495&gt;=4)*('CASE MASTER'!$V$2:$V$495&lt;=3)*('CASE MASTER'!$X$2:$X$495&gt;=3))*ROW('CASE MASTER'!$T$2:$T$495))-(ROW('CASE MASTER'!#REF!)-1))))+1))-1)*50+1,50))&amp;"_"&amp;INDEX('CASE MASTER'!$Q$2:$Q$495,(SUMPRODUCT((('CASE MASTER'!$T$2:$T$495=8)*('CASE MASTER'!$U$2:$U$495&lt;=4)*('CASE MASTER'!$W$2:$W$495&gt;=4)*('CASE MASTER'!$V$2:$V$495&lt;=3)*('CASE MASTER'!$X$2:$X$495&gt;=3))*ROW('CASE MASTER'!$T$2:$T$495))-(ROW('CASE MASTER'!#REF!)-1))),IF(SUMPRODUCT((('CASE MASTER'!$T$2:$T$495=8)*('CASE MASTER'!$AA$2:$AA$495&lt;=4)*('CASE MASTER'!$AC$2:$AC$495&gt;=4)*('CASE MASTER'!$AB$2:$AB$495&lt;=3)*('CASE MASTER'!$AD$2:$AD$495&gt;=3))*ROW('CASE MASTER'!$T$2:$T$495))&gt;0,INDEX('CASE MASTER'!$Y$2:$Y$495,(SUMPRODUCT((('CASE MASTER'!$T$2:$T$495=8)*('CASE MASTER'!$AA$2:$AA$495&lt;=4)*('CASE MASTER'!$AC$2:$AC$495&gt;=4)*('CASE MASTER'!$AB$2:$AB$495&lt;=3)*('CASE MASTER'!$AD$2:$AD$495&gt;=3))*ROW('CASE MASTER'!$T$2:$T$495))-(ROW('CASE MASTER'!#REF!)-1)))&amp;TRIM(MID(SUBSTITUTE(SUBSTITUTE(INDEX('CASE MASTER'!$N$2:$N$495,(SUMPRODUCT((('CASE MASTER'!$T$2:$T$495=8)*('CASE MASTER'!$AA$2:$AA$495&lt;=4)*('CASE MASTER'!$AC$2:$AC$495&gt;=4)*('CASE MASTER'!$AB$2:$AB$495&lt;=3)*('CASE MASTER'!$AD$2:$AD$495&gt;=3))*ROW('CASE MASTER'!$T$2:$T$495))-(ROW('CASE MASTER'!#REF!)-1))),":",","),",",REPT(" ",50)),(((INDEX('CASE MASTER'!$Z$2:$Z$495,(SUMPRODUCT((('CASE MASTER'!$T$2:$T$495=8)*('CASE MASTER'!$AA$2:$AA$495&lt;=4)*('CASE MASTER'!$AC$2:$AC$495&gt;=4)*('CASE MASTER'!$AB$2:$AB$495&lt;=3)*('CASE MASTER'!$AD$2:$AD$495&gt;=3))*ROW('CASE MASTER'!$T$2:$T$495))-(ROW('CASE MASTER'!#REF!)-1)))+((4-INDEX('CASE MASTER'!$AA$2:$AA$495,(SUMPRODUCT((('CASE MASTER'!$T$2:$T$495=8)*('CASE MASTER'!$AA$2:$AA$495&lt;=4)*('CASE MASTER'!$AC$2:$AC$495&gt;=4)*('CASE MASTER'!$AB$2:$AB$495&lt;=3)*('CASE MASTER'!$AD$2:$AD$495&gt;=3))*ROW('CASE MASTER'!$T$2:$T$495))-(ROW('CASE MASTER'!#REF!)-1))))*(INDEX('CASE MASTER'!$AD$2:$AD$495,(SUMPRODUCT((('CASE MASTER'!$T$2:$T$495=8)*('CASE MASTER'!$AA$2:$AA$495&lt;=4)*('CASE MASTER'!$AC$2:$AC$495&gt;=4)*('CASE MASTER'!$AB$2:$AB$495&lt;=3)*('CASE MASTER'!$AD$2:$AD$495&gt;=3))*ROW('CASE MASTER'!$T$2:$T$495))-(ROW('CASE MASTER'!#REF!)-1)))-INDEX('CASE MASTER'!$AB$2:$AB$495,(SUMPRODUCT((('CASE MASTER'!$T$2:$T$495=8)*('CASE MASTER'!$AA$2:$AA$495&lt;=4)*('CASE MASTER'!$AC$2:$AC$495&gt;=4)*('CASE MASTER'!$AB$2:$AB$495&lt;=3)*('CASE MASTER'!$AD$2:$AD$495&gt;=3))*ROW('CASE MASTER'!$T$2:$T$495))-(ROW('CASE MASTER'!#REF!)-1)))+1)+(3-INDEX('CASE MASTER'!$AB$2:$AB$495,(SUMPRODUCT((('CASE MASTER'!$T$2:$T$495=8)*('CASE MASTER'!$AA$2:$AA$495&lt;=4)*('CASE MASTER'!$AC$2:$AC$495&gt;=4)*('CASE MASTER'!$AB$2:$AB$495&lt;=3)*('CASE MASTER'!$AD$2:$AD$495&gt;=3))*ROW('CASE MASTER'!$T$2:$T$495))-(ROW('CASE MASTER'!#REF!)-1))))+1)))-1)*50+1,50))&amp;"_"&amp;INDEX('CASE MASTER'!$Q$2:$Q$495,(SUMPRODUCT((('CASE MASTER'!$T$2:$T$495=8)*('CASE MASTER'!$AA$2:$AA$495&lt;=4)*('CASE MASTER'!$AC$2:$AC$495&gt;=4)*('CASE MASTER'!$AB$2:$AB$495&lt;=3)*('CASE MASTER'!$AD$2:$AD$495&gt;=3))*ROW('CASE MASTER'!$T$2:$T$495))-(ROW('CASE MASTER'!#REF!)-1))),"")),"")</f>
        <v/>
      </c>
      <c r="E104" s="10" t="str">
        <f>IFERROR(IF(SUMPRODUCT((('CASE MASTER'!$T$2:$T$495=8)*('CASE MASTER'!$U$2:$U$495&lt;=4)*('CASE MASTER'!$W$2:$W$495&gt;=4)*('CASE MASTER'!$V$2:$V$495&lt;=4)*('CASE MASTER'!$X$2:$X$495&gt;=4))*ROW('CASE MASTER'!$T$2:$T$495))&gt;0,INDEX('CASE MASTER'!$Y$2:$Y$495,(SUMPRODUCT((('CASE MASTER'!$T$2:$T$495=8)*('CASE MASTER'!$U$2:$U$495&lt;=4)*('CASE MASTER'!$W$2:$W$495&gt;=4)*('CASE MASTER'!$V$2:$V$495&lt;=4)*('CASE MASTER'!$X$2:$X$495&gt;=4))*ROW('CASE MASTER'!$T$2:$T$495))-(ROW('CASE MASTER'!#REF!)-1)))&amp;TRIM(MID(SUBSTITUTE(SUBSTITUTE(INDEX('CASE MASTER'!$N$2:$N$495,(SUMPRODUCT((('CASE MASTER'!$T$2:$T$495=8)*('CASE MASTER'!$U$2:$U$495&lt;=4)*('CASE MASTER'!$W$2:$W$495&gt;=4)*('CASE MASTER'!$V$2:$V$495&lt;=4)*('CASE MASTER'!$X$2:$X$495&gt;=4))*ROW('CASE MASTER'!$T$2:$T$495))-(ROW('CASE MASTER'!#REF!)-1))),":",","),",",REPT(" ",50)),((((4-INDEX('CASE MASTER'!$U$2:$U$495,(SUMPRODUCT((('CASE MASTER'!$T$2:$T$495=8)*('CASE MASTER'!$U$2:$U$495&lt;=4)*('CASE MASTER'!$W$2:$W$495&gt;=4)*('CASE MASTER'!$V$2:$V$495&lt;=4)*('CASE MASTER'!$X$2:$X$495&gt;=4))*ROW('CASE MASTER'!$T$2:$T$495))-(ROW('CASE MASTER'!#REF!)-1))))*(INDEX('CASE MASTER'!$X$2:$X$495,(SUMPRODUCT((('CASE MASTER'!$T$2:$T$495=8)*('CASE MASTER'!$U$2:$U$495&lt;=4)*('CASE MASTER'!$W$2:$W$495&gt;=4)*('CASE MASTER'!$V$2:$V$495&lt;=4)*('CASE MASTER'!$X$2:$X$495&gt;=4))*ROW('CASE MASTER'!$T$2:$T$495))-(ROW('CASE MASTER'!#REF!)-1)))-INDEX('CASE MASTER'!$V$2:$V$495,(SUMPRODUCT((('CASE MASTER'!$T$2:$T$495=8)*('CASE MASTER'!$U$2:$U$495&lt;=4)*('CASE MASTER'!$W$2:$W$495&gt;=4)*('CASE MASTER'!$V$2:$V$495&lt;=4)*('CASE MASTER'!$X$2:$X$495&gt;=4))*ROW('CASE MASTER'!$T$2:$T$495))-(ROW('CASE MASTER'!#REF!)-1)))+1)+(4-INDEX('CASE MASTER'!$V$2:$V$495,(SUMPRODUCT((('CASE MASTER'!$T$2:$T$495=8)*('CASE MASTER'!$U$2:$U$495&lt;=4)*('CASE MASTER'!$W$2:$W$495&gt;=4)*('CASE MASTER'!$V$2:$V$495&lt;=4)*('CASE MASTER'!$X$2:$X$495&gt;=4))*ROW('CASE MASTER'!$T$2:$T$495))-(ROW('CASE MASTER'!#REF!)-1))))+1))-1)*50+1,50))&amp;"_"&amp;INDEX('CASE MASTER'!$Q$2:$Q$495,(SUMPRODUCT((('CASE MASTER'!$T$2:$T$495=8)*('CASE MASTER'!$U$2:$U$495&lt;=4)*('CASE MASTER'!$W$2:$W$495&gt;=4)*('CASE MASTER'!$V$2:$V$495&lt;=4)*('CASE MASTER'!$X$2:$X$495&gt;=4))*ROW('CASE MASTER'!$T$2:$T$495))-(ROW('CASE MASTER'!#REF!)-1))),IF(SUMPRODUCT((('CASE MASTER'!$T$2:$T$495=8)*('CASE MASTER'!$AA$2:$AA$495&lt;=4)*('CASE MASTER'!$AC$2:$AC$495&gt;=4)*('CASE MASTER'!$AB$2:$AB$495&lt;=4)*('CASE MASTER'!$AD$2:$AD$495&gt;=4))*ROW('CASE MASTER'!$T$2:$T$495))&gt;0,INDEX('CASE MASTER'!$Y$2:$Y$495,(SUMPRODUCT((('CASE MASTER'!$T$2:$T$495=8)*('CASE MASTER'!$AA$2:$AA$495&lt;=4)*('CASE MASTER'!$AC$2:$AC$495&gt;=4)*('CASE MASTER'!$AB$2:$AB$495&lt;=4)*('CASE MASTER'!$AD$2:$AD$495&gt;=4))*ROW('CASE MASTER'!$T$2:$T$495))-(ROW('CASE MASTER'!#REF!)-1)))&amp;TRIM(MID(SUBSTITUTE(SUBSTITUTE(INDEX('CASE MASTER'!$N$2:$N$495,(SUMPRODUCT((('CASE MASTER'!$T$2:$T$495=8)*('CASE MASTER'!$AA$2:$AA$495&lt;=4)*('CASE MASTER'!$AC$2:$AC$495&gt;=4)*('CASE MASTER'!$AB$2:$AB$495&lt;=4)*('CASE MASTER'!$AD$2:$AD$495&gt;=4))*ROW('CASE MASTER'!$T$2:$T$495))-(ROW('CASE MASTER'!#REF!)-1))),":",","),",",REPT(" ",50)),(((INDEX('CASE MASTER'!$Z$2:$Z$495,(SUMPRODUCT((('CASE MASTER'!$T$2:$T$495=8)*('CASE MASTER'!$AA$2:$AA$495&lt;=4)*('CASE MASTER'!$AC$2:$AC$495&gt;=4)*('CASE MASTER'!$AB$2:$AB$495&lt;=4)*('CASE MASTER'!$AD$2:$AD$495&gt;=4))*ROW('CASE MASTER'!$T$2:$T$495))-(ROW('CASE MASTER'!#REF!)-1)))+((4-INDEX('CASE MASTER'!$AA$2:$AA$495,(SUMPRODUCT((('CASE MASTER'!$T$2:$T$495=8)*('CASE MASTER'!$AA$2:$AA$495&lt;=4)*('CASE MASTER'!$AC$2:$AC$495&gt;=4)*('CASE MASTER'!$AB$2:$AB$495&lt;=4)*('CASE MASTER'!$AD$2:$AD$495&gt;=4))*ROW('CASE MASTER'!$T$2:$T$495))-(ROW('CASE MASTER'!#REF!)-1))))*(INDEX('CASE MASTER'!$AD$2:$AD$495,(SUMPRODUCT((('CASE MASTER'!$T$2:$T$495=8)*('CASE MASTER'!$AA$2:$AA$495&lt;=4)*('CASE MASTER'!$AC$2:$AC$495&gt;=4)*('CASE MASTER'!$AB$2:$AB$495&lt;=4)*('CASE MASTER'!$AD$2:$AD$495&gt;=4))*ROW('CASE MASTER'!$T$2:$T$495))-(ROW('CASE MASTER'!#REF!)-1)))-INDEX('CASE MASTER'!$AB$2:$AB$495,(SUMPRODUCT((('CASE MASTER'!$T$2:$T$495=8)*('CASE MASTER'!$AA$2:$AA$495&lt;=4)*('CASE MASTER'!$AC$2:$AC$495&gt;=4)*('CASE MASTER'!$AB$2:$AB$495&lt;=4)*('CASE MASTER'!$AD$2:$AD$495&gt;=4))*ROW('CASE MASTER'!$T$2:$T$495))-(ROW('CASE MASTER'!#REF!)-1)))+1)+(4-INDEX('CASE MASTER'!$AB$2:$AB$495,(SUMPRODUCT((('CASE MASTER'!$T$2:$T$495=8)*('CASE MASTER'!$AA$2:$AA$495&lt;=4)*('CASE MASTER'!$AC$2:$AC$495&gt;=4)*('CASE MASTER'!$AB$2:$AB$495&lt;=4)*('CASE MASTER'!$AD$2:$AD$495&gt;=4))*ROW('CASE MASTER'!$T$2:$T$495))-(ROW('CASE MASTER'!#REF!)-1))))+1)))-1)*50+1,50))&amp;"_"&amp;INDEX('CASE MASTER'!$Q$2:$Q$495,(SUMPRODUCT((('CASE MASTER'!$T$2:$T$495=8)*('CASE MASTER'!$AA$2:$AA$495&lt;=4)*('CASE MASTER'!$AC$2:$AC$495&gt;=4)*('CASE MASTER'!$AB$2:$AB$495&lt;=4)*('CASE MASTER'!$AD$2:$AD$495&gt;=4))*ROW('CASE MASTER'!$T$2:$T$495))-(ROW('CASE MASTER'!#REF!)-1))),"")),"")</f>
        <v/>
      </c>
      <c r="F104" s="10" t="str">
        <f>IFERROR(IF(SUMPRODUCT((('CASE MASTER'!$T$2:$T$495=8)*('CASE MASTER'!$U$2:$U$495&lt;=4)*('CASE MASTER'!$W$2:$W$495&gt;=4)*('CASE MASTER'!$V$2:$V$495&lt;=5)*('CASE MASTER'!$X$2:$X$495&gt;=5))*ROW('CASE MASTER'!$T$2:$T$495))&gt;0,INDEX('CASE MASTER'!$Y$2:$Y$495,(SUMPRODUCT((('CASE MASTER'!$T$2:$T$495=8)*('CASE MASTER'!$U$2:$U$495&lt;=4)*('CASE MASTER'!$W$2:$W$495&gt;=4)*('CASE MASTER'!$V$2:$V$495&lt;=5)*('CASE MASTER'!$X$2:$X$495&gt;=5))*ROW('CASE MASTER'!$T$2:$T$495))-(ROW('CASE MASTER'!#REF!)-1)))&amp;TRIM(MID(SUBSTITUTE(SUBSTITUTE(INDEX('CASE MASTER'!$N$2:$N$495,(SUMPRODUCT((('CASE MASTER'!$T$2:$T$495=8)*('CASE MASTER'!$U$2:$U$495&lt;=4)*('CASE MASTER'!$W$2:$W$495&gt;=4)*('CASE MASTER'!$V$2:$V$495&lt;=5)*('CASE MASTER'!$X$2:$X$495&gt;=5))*ROW('CASE MASTER'!$T$2:$T$495))-(ROW('CASE MASTER'!#REF!)-1))),":",","),",",REPT(" ",50)),((((4-INDEX('CASE MASTER'!$U$2:$U$495,(SUMPRODUCT((('CASE MASTER'!$T$2:$T$495=8)*('CASE MASTER'!$U$2:$U$495&lt;=4)*('CASE MASTER'!$W$2:$W$495&gt;=4)*('CASE MASTER'!$V$2:$V$495&lt;=5)*('CASE MASTER'!$X$2:$X$495&gt;=5))*ROW('CASE MASTER'!$T$2:$T$495))-(ROW('CASE MASTER'!#REF!)-1))))*(INDEX('CASE MASTER'!$X$2:$X$495,(SUMPRODUCT((('CASE MASTER'!$T$2:$T$495=8)*('CASE MASTER'!$U$2:$U$495&lt;=4)*('CASE MASTER'!$W$2:$W$495&gt;=4)*('CASE MASTER'!$V$2:$V$495&lt;=5)*('CASE MASTER'!$X$2:$X$495&gt;=5))*ROW('CASE MASTER'!$T$2:$T$495))-(ROW('CASE MASTER'!#REF!)-1)))-INDEX('CASE MASTER'!$V$2:$V$495,(SUMPRODUCT((('CASE MASTER'!$T$2:$T$495=8)*('CASE MASTER'!$U$2:$U$495&lt;=4)*('CASE MASTER'!$W$2:$W$495&gt;=4)*('CASE MASTER'!$V$2:$V$495&lt;=5)*('CASE MASTER'!$X$2:$X$495&gt;=5))*ROW('CASE MASTER'!$T$2:$T$495))-(ROW('CASE MASTER'!#REF!)-1)))+1)+(5-INDEX('CASE MASTER'!$V$2:$V$495,(SUMPRODUCT((('CASE MASTER'!$T$2:$T$495=8)*('CASE MASTER'!$U$2:$U$495&lt;=4)*('CASE MASTER'!$W$2:$W$495&gt;=4)*('CASE MASTER'!$V$2:$V$495&lt;=5)*('CASE MASTER'!$X$2:$X$495&gt;=5))*ROW('CASE MASTER'!$T$2:$T$495))-(ROW('CASE MASTER'!#REF!)-1))))+1))-1)*50+1,50))&amp;"_"&amp;INDEX('CASE MASTER'!$Q$2:$Q$495,(SUMPRODUCT((('CASE MASTER'!$T$2:$T$495=8)*('CASE MASTER'!$U$2:$U$495&lt;=4)*('CASE MASTER'!$W$2:$W$495&gt;=4)*('CASE MASTER'!$V$2:$V$495&lt;=5)*('CASE MASTER'!$X$2:$X$495&gt;=5))*ROW('CASE MASTER'!$T$2:$T$495))-(ROW('CASE MASTER'!#REF!)-1))),IF(SUMPRODUCT((('CASE MASTER'!$T$2:$T$495=8)*('CASE MASTER'!$AA$2:$AA$495&lt;=4)*('CASE MASTER'!$AC$2:$AC$495&gt;=4)*('CASE MASTER'!$AB$2:$AB$495&lt;=5)*('CASE MASTER'!$AD$2:$AD$495&gt;=5))*ROW('CASE MASTER'!$T$2:$T$495))&gt;0,INDEX('CASE MASTER'!$Y$2:$Y$495,(SUMPRODUCT((('CASE MASTER'!$T$2:$T$495=8)*('CASE MASTER'!$AA$2:$AA$495&lt;=4)*('CASE MASTER'!$AC$2:$AC$495&gt;=4)*('CASE MASTER'!$AB$2:$AB$495&lt;=5)*('CASE MASTER'!$AD$2:$AD$495&gt;=5))*ROW('CASE MASTER'!$T$2:$T$495))-(ROW('CASE MASTER'!#REF!)-1)))&amp;TRIM(MID(SUBSTITUTE(SUBSTITUTE(INDEX('CASE MASTER'!$N$2:$N$495,(SUMPRODUCT((('CASE MASTER'!$T$2:$T$495=8)*('CASE MASTER'!$AA$2:$AA$495&lt;=4)*('CASE MASTER'!$AC$2:$AC$495&gt;=4)*('CASE MASTER'!$AB$2:$AB$495&lt;=5)*('CASE MASTER'!$AD$2:$AD$495&gt;=5))*ROW('CASE MASTER'!$T$2:$T$495))-(ROW('CASE MASTER'!#REF!)-1))),":",","),",",REPT(" ",50)),(((INDEX('CASE MASTER'!$Z$2:$Z$495,(SUMPRODUCT((('CASE MASTER'!$T$2:$T$495=8)*('CASE MASTER'!$AA$2:$AA$495&lt;=4)*('CASE MASTER'!$AC$2:$AC$495&gt;=4)*('CASE MASTER'!$AB$2:$AB$495&lt;=5)*('CASE MASTER'!$AD$2:$AD$495&gt;=5))*ROW('CASE MASTER'!$T$2:$T$495))-(ROW('CASE MASTER'!#REF!)-1)))+((4-INDEX('CASE MASTER'!$AA$2:$AA$495,(SUMPRODUCT((('CASE MASTER'!$T$2:$T$495=8)*('CASE MASTER'!$AA$2:$AA$495&lt;=4)*('CASE MASTER'!$AC$2:$AC$495&gt;=4)*('CASE MASTER'!$AB$2:$AB$495&lt;=5)*('CASE MASTER'!$AD$2:$AD$495&gt;=5))*ROW('CASE MASTER'!$T$2:$T$495))-(ROW('CASE MASTER'!#REF!)-1))))*(INDEX('CASE MASTER'!$AD$2:$AD$495,(SUMPRODUCT((('CASE MASTER'!$T$2:$T$495=8)*('CASE MASTER'!$AA$2:$AA$495&lt;=4)*('CASE MASTER'!$AC$2:$AC$495&gt;=4)*('CASE MASTER'!$AB$2:$AB$495&lt;=5)*('CASE MASTER'!$AD$2:$AD$495&gt;=5))*ROW('CASE MASTER'!$T$2:$T$495))-(ROW('CASE MASTER'!#REF!)-1)))-INDEX('CASE MASTER'!$AB$2:$AB$495,(SUMPRODUCT((('CASE MASTER'!$T$2:$T$495=8)*('CASE MASTER'!$AA$2:$AA$495&lt;=4)*('CASE MASTER'!$AC$2:$AC$495&gt;=4)*('CASE MASTER'!$AB$2:$AB$495&lt;=5)*('CASE MASTER'!$AD$2:$AD$495&gt;=5))*ROW('CASE MASTER'!$T$2:$T$495))-(ROW('CASE MASTER'!#REF!)-1)))+1)+(5-INDEX('CASE MASTER'!$AB$2:$AB$495,(SUMPRODUCT((('CASE MASTER'!$T$2:$T$495=8)*('CASE MASTER'!$AA$2:$AA$495&lt;=4)*('CASE MASTER'!$AC$2:$AC$495&gt;=4)*('CASE MASTER'!$AB$2:$AB$495&lt;=5)*('CASE MASTER'!$AD$2:$AD$495&gt;=5))*ROW('CASE MASTER'!$T$2:$T$495))-(ROW('CASE MASTER'!#REF!)-1))))+1)))-1)*50+1,50))&amp;"_"&amp;INDEX('CASE MASTER'!$Q$2:$Q$495,(SUMPRODUCT((('CASE MASTER'!$T$2:$T$495=8)*('CASE MASTER'!$AA$2:$AA$495&lt;=4)*('CASE MASTER'!$AC$2:$AC$495&gt;=4)*('CASE MASTER'!$AB$2:$AB$495&lt;=5)*('CASE MASTER'!$AD$2:$AD$495&gt;=5))*ROW('CASE MASTER'!$T$2:$T$495))-(ROW('CASE MASTER'!#REF!)-1))),"")),"")</f>
        <v/>
      </c>
      <c r="G104" s="10" t="str">
        <f>IFERROR(IF(SUMPRODUCT((('CASE MASTER'!$T$2:$T$495=8)*('CASE MASTER'!$U$2:$U$495&lt;=4)*('CASE MASTER'!$W$2:$W$495&gt;=4)*('CASE MASTER'!$V$2:$V$495&lt;=6)*('CASE MASTER'!$X$2:$X$495&gt;=6))*ROW('CASE MASTER'!$T$2:$T$495))&gt;0,INDEX('CASE MASTER'!$Y$2:$Y$495,(SUMPRODUCT((('CASE MASTER'!$T$2:$T$495=8)*('CASE MASTER'!$U$2:$U$495&lt;=4)*('CASE MASTER'!$W$2:$W$495&gt;=4)*('CASE MASTER'!$V$2:$V$495&lt;=6)*('CASE MASTER'!$X$2:$X$495&gt;=6))*ROW('CASE MASTER'!$T$2:$T$495))-(ROW('CASE MASTER'!#REF!)-1)))&amp;TRIM(MID(SUBSTITUTE(SUBSTITUTE(INDEX('CASE MASTER'!$N$2:$N$495,(SUMPRODUCT((('CASE MASTER'!$T$2:$T$495=8)*('CASE MASTER'!$U$2:$U$495&lt;=4)*('CASE MASTER'!$W$2:$W$495&gt;=4)*('CASE MASTER'!$V$2:$V$495&lt;=6)*('CASE MASTER'!$X$2:$X$495&gt;=6))*ROW('CASE MASTER'!$T$2:$T$495))-(ROW('CASE MASTER'!#REF!)-1))),":",","),",",REPT(" ",50)),((((4-INDEX('CASE MASTER'!$U$2:$U$495,(SUMPRODUCT((('CASE MASTER'!$T$2:$T$495=8)*('CASE MASTER'!$U$2:$U$495&lt;=4)*('CASE MASTER'!$W$2:$W$495&gt;=4)*('CASE MASTER'!$V$2:$V$495&lt;=6)*('CASE MASTER'!$X$2:$X$495&gt;=6))*ROW('CASE MASTER'!$T$2:$T$495))-(ROW('CASE MASTER'!#REF!)-1))))*(INDEX('CASE MASTER'!$X$2:$X$495,(SUMPRODUCT((('CASE MASTER'!$T$2:$T$495=8)*('CASE MASTER'!$U$2:$U$495&lt;=4)*('CASE MASTER'!$W$2:$W$495&gt;=4)*('CASE MASTER'!$V$2:$V$495&lt;=6)*('CASE MASTER'!$X$2:$X$495&gt;=6))*ROW('CASE MASTER'!$T$2:$T$495))-(ROW('CASE MASTER'!#REF!)-1)))-INDEX('CASE MASTER'!$V$2:$V$495,(SUMPRODUCT((('CASE MASTER'!$T$2:$T$495=8)*('CASE MASTER'!$U$2:$U$495&lt;=4)*('CASE MASTER'!$W$2:$W$495&gt;=4)*('CASE MASTER'!$V$2:$V$495&lt;=6)*('CASE MASTER'!$X$2:$X$495&gt;=6))*ROW('CASE MASTER'!$T$2:$T$495))-(ROW('CASE MASTER'!#REF!)-1)))+1)+(6-INDEX('CASE MASTER'!$V$2:$V$495,(SUMPRODUCT((('CASE MASTER'!$T$2:$T$495=8)*('CASE MASTER'!$U$2:$U$495&lt;=4)*('CASE MASTER'!$W$2:$W$495&gt;=4)*('CASE MASTER'!$V$2:$V$495&lt;=6)*('CASE MASTER'!$X$2:$X$495&gt;=6))*ROW('CASE MASTER'!$T$2:$T$495))-(ROW('CASE MASTER'!#REF!)-1))))+1))-1)*50+1,50))&amp;"_"&amp;INDEX('CASE MASTER'!$Q$2:$Q$495,(SUMPRODUCT((('CASE MASTER'!$T$2:$T$495=8)*('CASE MASTER'!$U$2:$U$495&lt;=4)*('CASE MASTER'!$W$2:$W$495&gt;=4)*('CASE MASTER'!$V$2:$V$495&lt;=6)*('CASE MASTER'!$X$2:$X$495&gt;=6))*ROW('CASE MASTER'!$T$2:$T$495))-(ROW('CASE MASTER'!#REF!)-1))),IF(SUMPRODUCT((('CASE MASTER'!$T$2:$T$495=8)*('CASE MASTER'!$AA$2:$AA$495&lt;=4)*('CASE MASTER'!$AC$2:$AC$495&gt;=4)*('CASE MASTER'!$AB$2:$AB$495&lt;=6)*('CASE MASTER'!$AD$2:$AD$495&gt;=6))*ROW('CASE MASTER'!$T$2:$T$495))&gt;0,INDEX('CASE MASTER'!$Y$2:$Y$495,(SUMPRODUCT((('CASE MASTER'!$T$2:$T$495=8)*('CASE MASTER'!$AA$2:$AA$495&lt;=4)*('CASE MASTER'!$AC$2:$AC$495&gt;=4)*('CASE MASTER'!$AB$2:$AB$495&lt;=6)*('CASE MASTER'!$AD$2:$AD$495&gt;=6))*ROW('CASE MASTER'!$T$2:$T$495))-(ROW('CASE MASTER'!#REF!)-1)))&amp;TRIM(MID(SUBSTITUTE(SUBSTITUTE(INDEX('CASE MASTER'!$N$2:$N$495,(SUMPRODUCT((('CASE MASTER'!$T$2:$T$495=8)*('CASE MASTER'!$AA$2:$AA$495&lt;=4)*('CASE MASTER'!$AC$2:$AC$495&gt;=4)*('CASE MASTER'!$AB$2:$AB$495&lt;=6)*('CASE MASTER'!$AD$2:$AD$495&gt;=6))*ROW('CASE MASTER'!$T$2:$T$495))-(ROW('CASE MASTER'!#REF!)-1))),":",","),",",REPT(" ",50)),(((INDEX('CASE MASTER'!$Z$2:$Z$495,(SUMPRODUCT((('CASE MASTER'!$T$2:$T$495=8)*('CASE MASTER'!$AA$2:$AA$495&lt;=4)*('CASE MASTER'!$AC$2:$AC$495&gt;=4)*('CASE MASTER'!$AB$2:$AB$495&lt;=6)*('CASE MASTER'!$AD$2:$AD$495&gt;=6))*ROW('CASE MASTER'!$T$2:$T$495))-(ROW('CASE MASTER'!#REF!)-1)))+((4-INDEX('CASE MASTER'!$AA$2:$AA$495,(SUMPRODUCT((('CASE MASTER'!$T$2:$T$495=8)*('CASE MASTER'!$AA$2:$AA$495&lt;=4)*('CASE MASTER'!$AC$2:$AC$495&gt;=4)*('CASE MASTER'!$AB$2:$AB$495&lt;=6)*('CASE MASTER'!$AD$2:$AD$495&gt;=6))*ROW('CASE MASTER'!$T$2:$T$495))-(ROW('CASE MASTER'!#REF!)-1))))*(INDEX('CASE MASTER'!$AD$2:$AD$495,(SUMPRODUCT((('CASE MASTER'!$T$2:$T$495=8)*('CASE MASTER'!$AA$2:$AA$495&lt;=4)*('CASE MASTER'!$AC$2:$AC$495&gt;=4)*('CASE MASTER'!$AB$2:$AB$495&lt;=6)*('CASE MASTER'!$AD$2:$AD$495&gt;=6))*ROW('CASE MASTER'!$T$2:$T$495))-(ROW('CASE MASTER'!#REF!)-1)))-INDEX('CASE MASTER'!$AB$2:$AB$495,(SUMPRODUCT((('CASE MASTER'!$T$2:$T$495=8)*('CASE MASTER'!$AA$2:$AA$495&lt;=4)*('CASE MASTER'!$AC$2:$AC$495&gt;=4)*('CASE MASTER'!$AB$2:$AB$495&lt;=6)*('CASE MASTER'!$AD$2:$AD$495&gt;=6))*ROW('CASE MASTER'!$T$2:$T$495))-(ROW('CASE MASTER'!#REF!)-1)))+1)+(6-INDEX('CASE MASTER'!$AB$2:$AB$495,(SUMPRODUCT((('CASE MASTER'!$T$2:$T$495=8)*('CASE MASTER'!$AA$2:$AA$495&lt;=4)*('CASE MASTER'!$AC$2:$AC$495&gt;=4)*('CASE MASTER'!$AB$2:$AB$495&lt;=6)*('CASE MASTER'!$AD$2:$AD$495&gt;=6))*ROW('CASE MASTER'!$T$2:$T$495))-(ROW('CASE MASTER'!#REF!)-1))))+1)))-1)*50+1,50))&amp;"_"&amp;INDEX('CASE MASTER'!$Q$2:$Q$495,(SUMPRODUCT((('CASE MASTER'!$T$2:$T$495=8)*('CASE MASTER'!$AA$2:$AA$495&lt;=4)*('CASE MASTER'!$AC$2:$AC$495&gt;=4)*('CASE MASTER'!$AB$2:$AB$495&lt;=6)*('CASE MASTER'!$AD$2:$AD$495&gt;=6))*ROW('CASE MASTER'!$T$2:$T$495))-(ROW('CASE MASTER'!#REF!)-1))),"")),"")</f>
        <v/>
      </c>
      <c r="H104" s="10" t="str">
        <f>IFERROR(IF(SUMPRODUCT((('CASE MASTER'!$T$2:$T$495=8)*('CASE MASTER'!$U$2:$U$495&lt;=4)*('CASE MASTER'!$W$2:$W$495&gt;=4)*('CASE MASTER'!$V$2:$V$495&lt;=7)*('CASE MASTER'!$X$2:$X$495&gt;=7))*ROW('CASE MASTER'!$T$2:$T$495))&gt;0,INDEX('CASE MASTER'!$Y$2:$Y$495,(SUMPRODUCT((('CASE MASTER'!$T$2:$T$495=8)*('CASE MASTER'!$U$2:$U$495&lt;=4)*('CASE MASTER'!$W$2:$W$495&gt;=4)*('CASE MASTER'!$V$2:$V$495&lt;=7)*('CASE MASTER'!$X$2:$X$495&gt;=7))*ROW('CASE MASTER'!$T$2:$T$495))-(ROW('CASE MASTER'!#REF!)-1)))&amp;TRIM(MID(SUBSTITUTE(SUBSTITUTE(INDEX('CASE MASTER'!$N$2:$N$495,(SUMPRODUCT((('CASE MASTER'!$T$2:$T$495=8)*('CASE MASTER'!$U$2:$U$495&lt;=4)*('CASE MASTER'!$W$2:$W$495&gt;=4)*('CASE MASTER'!$V$2:$V$495&lt;=7)*('CASE MASTER'!$X$2:$X$495&gt;=7))*ROW('CASE MASTER'!$T$2:$T$495))-(ROW('CASE MASTER'!#REF!)-1))),":",","),",",REPT(" ",50)),((((4-INDEX('CASE MASTER'!$U$2:$U$495,(SUMPRODUCT((('CASE MASTER'!$T$2:$T$495=8)*('CASE MASTER'!$U$2:$U$495&lt;=4)*('CASE MASTER'!$W$2:$W$495&gt;=4)*('CASE MASTER'!$V$2:$V$495&lt;=7)*('CASE MASTER'!$X$2:$X$495&gt;=7))*ROW('CASE MASTER'!$T$2:$T$495))-(ROW('CASE MASTER'!#REF!)-1))))*(INDEX('CASE MASTER'!$X$2:$X$495,(SUMPRODUCT((('CASE MASTER'!$T$2:$T$495=8)*('CASE MASTER'!$U$2:$U$495&lt;=4)*('CASE MASTER'!$W$2:$W$495&gt;=4)*('CASE MASTER'!$V$2:$V$495&lt;=7)*('CASE MASTER'!$X$2:$X$495&gt;=7))*ROW('CASE MASTER'!$T$2:$T$495))-(ROW('CASE MASTER'!#REF!)-1)))-INDEX('CASE MASTER'!$V$2:$V$495,(SUMPRODUCT((('CASE MASTER'!$T$2:$T$495=8)*('CASE MASTER'!$U$2:$U$495&lt;=4)*('CASE MASTER'!$W$2:$W$495&gt;=4)*('CASE MASTER'!$V$2:$V$495&lt;=7)*('CASE MASTER'!$X$2:$X$495&gt;=7))*ROW('CASE MASTER'!$T$2:$T$495))-(ROW('CASE MASTER'!#REF!)-1)))+1)+(7-INDEX('CASE MASTER'!$V$2:$V$495,(SUMPRODUCT((('CASE MASTER'!$T$2:$T$495=8)*('CASE MASTER'!$U$2:$U$495&lt;=4)*('CASE MASTER'!$W$2:$W$495&gt;=4)*('CASE MASTER'!$V$2:$V$495&lt;=7)*('CASE MASTER'!$X$2:$X$495&gt;=7))*ROW('CASE MASTER'!$T$2:$T$495))-(ROW('CASE MASTER'!#REF!)-1))))+1))-1)*50+1,50))&amp;"_"&amp;INDEX('CASE MASTER'!$Q$2:$Q$495,(SUMPRODUCT((('CASE MASTER'!$T$2:$T$495=8)*('CASE MASTER'!$U$2:$U$495&lt;=4)*('CASE MASTER'!$W$2:$W$495&gt;=4)*('CASE MASTER'!$V$2:$V$495&lt;=7)*('CASE MASTER'!$X$2:$X$495&gt;=7))*ROW('CASE MASTER'!$T$2:$T$495))-(ROW('CASE MASTER'!#REF!)-1))),IF(SUMPRODUCT((('CASE MASTER'!$T$2:$T$495=8)*('CASE MASTER'!$AA$2:$AA$495&lt;=4)*('CASE MASTER'!$AC$2:$AC$495&gt;=4)*('CASE MASTER'!$AB$2:$AB$495&lt;=7)*('CASE MASTER'!$AD$2:$AD$495&gt;=7))*ROW('CASE MASTER'!$T$2:$T$495))&gt;0,INDEX('CASE MASTER'!$Y$2:$Y$495,(SUMPRODUCT((('CASE MASTER'!$T$2:$T$495=8)*('CASE MASTER'!$AA$2:$AA$495&lt;=4)*('CASE MASTER'!$AC$2:$AC$495&gt;=4)*('CASE MASTER'!$AB$2:$AB$495&lt;=7)*('CASE MASTER'!$AD$2:$AD$495&gt;=7))*ROW('CASE MASTER'!$T$2:$T$495))-(ROW('CASE MASTER'!#REF!)-1)))&amp;TRIM(MID(SUBSTITUTE(SUBSTITUTE(INDEX('CASE MASTER'!$N$2:$N$495,(SUMPRODUCT((('CASE MASTER'!$T$2:$T$495=8)*('CASE MASTER'!$AA$2:$AA$495&lt;=4)*('CASE MASTER'!$AC$2:$AC$495&gt;=4)*('CASE MASTER'!$AB$2:$AB$495&lt;=7)*('CASE MASTER'!$AD$2:$AD$495&gt;=7))*ROW('CASE MASTER'!$T$2:$T$495))-(ROW('CASE MASTER'!#REF!)-1))),":",","),",",REPT(" ",50)),(((INDEX('CASE MASTER'!$Z$2:$Z$495,(SUMPRODUCT((('CASE MASTER'!$T$2:$T$495=8)*('CASE MASTER'!$AA$2:$AA$495&lt;=4)*('CASE MASTER'!$AC$2:$AC$495&gt;=4)*('CASE MASTER'!$AB$2:$AB$495&lt;=7)*('CASE MASTER'!$AD$2:$AD$495&gt;=7))*ROW('CASE MASTER'!$T$2:$T$495))-(ROW('CASE MASTER'!#REF!)-1)))+((4-INDEX('CASE MASTER'!$AA$2:$AA$495,(SUMPRODUCT((('CASE MASTER'!$T$2:$T$495=8)*('CASE MASTER'!$AA$2:$AA$495&lt;=4)*('CASE MASTER'!$AC$2:$AC$495&gt;=4)*('CASE MASTER'!$AB$2:$AB$495&lt;=7)*('CASE MASTER'!$AD$2:$AD$495&gt;=7))*ROW('CASE MASTER'!$T$2:$T$495))-(ROW('CASE MASTER'!#REF!)-1))))*(INDEX('CASE MASTER'!$AD$2:$AD$495,(SUMPRODUCT((('CASE MASTER'!$T$2:$T$495=8)*('CASE MASTER'!$AA$2:$AA$495&lt;=4)*('CASE MASTER'!$AC$2:$AC$495&gt;=4)*('CASE MASTER'!$AB$2:$AB$495&lt;=7)*('CASE MASTER'!$AD$2:$AD$495&gt;=7))*ROW('CASE MASTER'!$T$2:$T$495))-(ROW('CASE MASTER'!#REF!)-1)))-INDEX('CASE MASTER'!$AB$2:$AB$495,(SUMPRODUCT((('CASE MASTER'!$T$2:$T$495=8)*('CASE MASTER'!$AA$2:$AA$495&lt;=4)*('CASE MASTER'!$AC$2:$AC$495&gt;=4)*('CASE MASTER'!$AB$2:$AB$495&lt;=7)*('CASE MASTER'!$AD$2:$AD$495&gt;=7))*ROW('CASE MASTER'!$T$2:$T$495))-(ROW('CASE MASTER'!#REF!)-1)))+1)+(7-INDEX('CASE MASTER'!$AB$2:$AB$495,(SUMPRODUCT((('CASE MASTER'!$T$2:$T$495=8)*('CASE MASTER'!$AA$2:$AA$495&lt;=4)*('CASE MASTER'!$AC$2:$AC$495&gt;=4)*('CASE MASTER'!$AB$2:$AB$495&lt;=7)*('CASE MASTER'!$AD$2:$AD$495&gt;=7))*ROW('CASE MASTER'!$T$2:$T$495))-(ROW('CASE MASTER'!#REF!)-1))))+1)))-1)*50+1,50))&amp;"_"&amp;INDEX('CASE MASTER'!$Q$2:$Q$495,(SUMPRODUCT((('CASE MASTER'!$T$2:$T$495=8)*('CASE MASTER'!$AA$2:$AA$495&lt;=4)*('CASE MASTER'!$AC$2:$AC$495&gt;=4)*('CASE MASTER'!$AB$2:$AB$495&lt;=7)*('CASE MASTER'!$AD$2:$AD$495&gt;=7))*ROW('CASE MASTER'!$T$2:$T$495))-(ROW('CASE MASTER'!#REF!)-1))),"")),"")</f>
        <v/>
      </c>
      <c r="I104" s="10" t="str">
        <f>IFERROR(IF(SUMPRODUCT((('CASE MASTER'!$T$2:$T$495=8)*('CASE MASTER'!$U$2:$U$495&lt;=4)*('CASE MASTER'!$W$2:$W$495&gt;=4)*('CASE MASTER'!$V$2:$V$495&lt;=8)*('CASE MASTER'!$X$2:$X$495&gt;=8))*ROW('CASE MASTER'!$T$2:$T$495))&gt;0,INDEX('CASE MASTER'!$Y$2:$Y$495,(SUMPRODUCT((('CASE MASTER'!$T$2:$T$495=8)*('CASE MASTER'!$U$2:$U$495&lt;=4)*('CASE MASTER'!$W$2:$W$495&gt;=4)*('CASE MASTER'!$V$2:$V$495&lt;=8)*('CASE MASTER'!$X$2:$X$495&gt;=8))*ROW('CASE MASTER'!$T$2:$T$495))-(ROW('CASE MASTER'!#REF!)-1)))&amp;TRIM(MID(SUBSTITUTE(SUBSTITUTE(INDEX('CASE MASTER'!$N$2:$N$495,(SUMPRODUCT((('CASE MASTER'!$T$2:$T$495=8)*('CASE MASTER'!$U$2:$U$495&lt;=4)*('CASE MASTER'!$W$2:$W$495&gt;=4)*('CASE MASTER'!$V$2:$V$495&lt;=8)*('CASE MASTER'!$X$2:$X$495&gt;=8))*ROW('CASE MASTER'!$T$2:$T$495))-(ROW('CASE MASTER'!#REF!)-1))),":",","),",",REPT(" ",50)),((((4-INDEX('CASE MASTER'!$U$2:$U$495,(SUMPRODUCT((('CASE MASTER'!$T$2:$T$495=8)*('CASE MASTER'!$U$2:$U$495&lt;=4)*('CASE MASTER'!$W$2:$W$495&gt;=4)*('CASE MASTER'!$V$2:$V$495&lt;=8)*('CASE MASTER'!$X$2:$X$495&gt;=8))*ROW('CASE MASTER'!$T$2:$T$495))-(ROW('CASE MASTER'!#REF!)-1))))*(INDEX('CASE MASTER'!$X$2:$X$495,(SUMPRODUCT((('CASE MASTER'!$T$2:$T$495=8)*('CASE MASTER'!$U$2:$U$495&lt;=4)*('CASE MASTER'!$W$2:$W$495&gt;=4)*('CASE MASTER'!$V$2:$V$495&lt;=8)*('CASE MASTER'!$X$2:$X$495&gt;=8))*ROW('CASE MASTER'!$T$2:$T$495))-(ROW('CASE MASTER'!#REF!)-1)))-INDEX('CASE MASTER'!$V$2:$V$495,(SUMPRODUCT((('CASE MASTER'!$T$2:$T$495=8)*('CASE MASTER'!$U$2:$U$495&lt;=4)*('CASE MASTER'!$W$2:$W$495&gt;=4)*('CASE MASTER'!$V$2:$V$495&lt;=8)*('CASE MASTER'!$X$2:$X$495&gt;=8))*ROW('CASE MASTER'!$T$2:$T$495))-(ROW('CASE MASTER'!#REF!)-1)))+1)+(8-INDEX('CASE MASTER'!$V$2:$V$495,(SUMPRODUCT((('CASE MASTER'!$T$2:$T$495=8)*('CASE MASTER'!$U$2:$U$495&lt;=4)*('CASE MASTER'!$W$2:$W$495&gt;=4)*('CASE MASTER'!$V$2:$V$495&lt;=8)*('CASE MASTER'!$X$2:$X$495&gt;=8))*ROW('CASE MASTER'!$T$2:$T$495))-(ROW('CASE MASTER'!#REF!)-1))))+1))-1)*50+1,50))&amp;"_"&amp;INDEX('CASE MASTER'!$Q$2:$Q$495,(SUMPRODUCT((('CASE MASTER'!$T$2:$T$495=8)*('CASE MASTER'!$U$2:$U$495&lt;=4)*('CASE MASTER'!$W$2:$W$495&gt;=4)*('CASE MASTER'!$V$2:$V$495&lt;=8)*('CASE MASTER'!$X$2:$X$495&gt;=8))*ROW('CASE MASTER'!$T$2:$T$495))-(ROW('CASE MASTER'!#REF!)-1))),IF(SUMPRODUCT((('CASE MASTER'!$T$2:$T$495=8)*('CASE MASTER'!$AA$2:$AA$495&lt;=4)*('CASE MASTER'!$AC$2:$AC$495&gt;=4)*('CASE MASTER'!$AB$2:$AB$495&lt;=8)*('CASE MASTER'!$AD$2:$AD$495&gt;=8))*ROW('CASE MASTER'!$T$2:$T$495))&gt;0,INDEX('CASE MASTER'!$Y$2:$Y$495,(SUMPRODUCT((('CASE MASTER'!$T$2:$T$495=8)*('CASE MASTER'!$AA$2:$AA$495&lt;=4)*('CASE MASTER'!$AC$2:$AC$495&gt;=4)*('CASE MASTER'!$AB$2:$AB$495&lt;=8)*('CASE MASTER'!$AD$2:$AD$495&gt;=8))*ROW('CASE MASTER'!$T$2:$T$495))-(ROW('CASE MASTER'!#REF!)-1)))&amp;TRIM(MID(SUBSTITUTE(SUBSTITUTE(INDEX('CASE MASTER'!$N$2:$N$495,(SUMPRODUCT((('CASE MASTER'!$T$2:$T$495=8)*('CASE MASTER'!$AA$2:$AA$495&lt;=4)*('CASE MASTER'!$AC$2:$AC$495&gt;=4)*('CASE MASTER'!$AB$2:$AB$495&lt;=8)*('CASE MASTER'!$AD$2:$AD$495&gt;=8))*ROW('CASE MASTER'!$T$2:$T$495))-(ROW('CASE MASTER'!#REF!)-1))),":",","),",",REPT(" ",50)),(((INDEX('CASE MASTER'!$Z$2:$Z$495,(SUMPRODUCT((('CASE MASTER'!$T$2:$T$495=8)*('CASE MASTER'!$AA$2:$AA$495&lt;=4)*('CASE MASTER'!$AC$2:$AC$495&gt;=4)*('CASE MASTER'!$AB$2:$AB$495&lt;=8)*('CASE MASTER'!$AD$2:$AD$495&gt;=8))*ROW('CASE MASTER'!$T$2:$T$495))-(ROW('CASE MASTER'!#REF!)-1)))+((4-INDEX('CASE MASTER'!$AA$2:$AA$495,(SUMPRODUCT((('CASE MASTER'!$T$2:$T$495=8)*('CASE MASTER'!$AA$2:$AA$495&lt;=4)*('CASE MASTER'!$AC$2:$AC$495&gt;=4)*('CASE MASTER'!$AB$2:$AB$495&lt;=8)*('CASE MASTER'!$AD$2:$AD$495&gt;=8))*ROW('CASE MASTER'!$T$2:$T$495))-(ROW('CASE MASTER'!#REF!)-1))))*(INDEX('CASE MASTER'!$AD$2:$AD$495,(SUMPRODUCT((('CASE MASTER'!$T$2:$T$495=8)*('CASE MASTER'!$AA$2:$AA$495&lt;=4)*('CASE MASTER'!$AC$2:$AC$495&gt;=4)*('CASE MASTER'!$AB$2:$AB$495&lt;=8)*('CASE MASTER'!$AD$2:$AD$495&gt;=8))*ROW('CASE MASTER'!$T$2:$T$495))-(ROW('CASE MASTER'!#REF!)-1)))-INDEX('CASE MASTER'!$AB$2:$AB$495,(SUMPRODUCT((('CASE MASTER'!$T$2:$T$495=8)*('CASE MASTER'!$AA$2:$AA$495&lt;=4)*('CASE MASTER'!$AC$2:$AC$495&gt;=4)*('CASE MASTER'!$AB$2:$AB$495&lt;=8)*('CASE MASTER'!$AD$2:$AD$495&gt;=8))*ROW('CASE MASTER'!$T$2:$T$495))-(ROW('CASE MASTER'!#REF!)-1)))+1)+(8-INDEX('CASE MASTER'!$AB$2:$AB$495,(SUMPRODUCT((('CASE MASTER'!$T$2:$T$495=8)*('CASE MASTER'!$AA$2:$AA$495&lt;=4)*('CASE MASTER'!$AC$2:$AC$495&gt;=4)*('CASE MASTER'!$AB$2:$AB$495&lt;=8)*('CASE MASTER'!$AD$2:$AD$495&gt;=8))*ROW('CASE MASTER'!$T$2:$T$495))-(ROW('CASE MASTER'!#REF!)-1))))+1)))-1)*50+1,50))&amp;"_"&amp;INDEX('CASE MASTER'!$Q$2:$Q$495,(SUMPRODUCT((('CASE MASTER'!$T$2:$T$495=8)*('CASE MASTER'!$AA$2:$AA$495&lt;=4)*('CASE MASTER'!$AC$2:$AC$495&gt;=4)*('CASE MASTER'!$AB$2:$AB$495&lt;=8)*('CASE MASTER'!$AD$2:$AD$495&gt;=8))*ROW('CASE MASTER'!$T$2:$T$495))-(ROW('CASE MASTER'!#REF!)-1))),"")),"")</f>
        <v/>
      </c>
      <c r="J104" s="10" t="str">
        <f>IFERROR(IF(SUMPRODUCT((('CASE MASTER'!$T$2:$T$495=8)*('CASE MASTER'!$U$2:$U$495&lt;=4)*('CASE MASTER'!$W$2:$W$495&gt;=4)*('CASE MASTER'!$V$2:$V$495&lt;=9)*('CASE MASTER'!$X$2:$X$495&gt;=9))*ROW('CASE MASTER'!$T$2:$T$495))&gt;0,INDEX('CASE MASTER'!$Y$2:$Y$495,(SUMPRODUCT((('CASE MASTER'!$T$2:$T$495=8)*('CASE MASTER'!$U$2:$U$495&lt;=4)*('CASE MASTER'!$W$2:$W$495&gt;=4)*('CASE MASTER'!$V$2:$V$495&lt;=9)*('CASE MASTER'!$X$2:$X$495&gt;=9))*ROW('CASE MASTER'!$T$2:$T$495))-(ROW('CASE MASTER'!#REF!)-1)))&amp;TRIM(MID(SUBSTITUTE(SUBSTITUTE(INDEX('CASE MASTER'!$N$2:$N$495,(SUMPRODUCT((('CASE MASTER'!$T$2:$T$495=8)*('CASE MASTER'!$U$2:$U$495&lt;=4)*('CASE MASTER'!$W$2:$W$495&gt;=4)*('CASE MASTER'!$V$2:$V$495&lt;=9)*('CASE MASTER'!$X$2:$X$495&gt;=9))*ROW('CASE MASTER'!$T$2:$T$495))-(ROW('CASE MASTER'!#REF!)-1))),":",","),",",REPT(" ",50)),((((4-INDEX('CASE MASTER'!$U$2:$U$495,(SUMPRODUCT((('CASE MASTER'!$T$2:$T$495=8)*('CASE MASTER'!$U$2:$U$495&lt;=4)*('CASE MASTER'!$W$2:$W$495&gt;=4)*('CASE MASTER'!$V$2:$V$495&lt;=9)*('CASE MASTER'!$X$2:$X$495&gt;=9))*ROW('CASE MASTER'!$T$2:$T$495))-(ROW('CASE MASTER'!#REF!)-1))))*(INDEX('CASE MASTER'!$X$2:$X$495,(SUMPRODUCT((('CASE MASTER'!$T$2:$T$495=8)*('CASE MASTER'!$U$2:$U$495&lt;=4)*('CASE MASTER'!$W$2:$W$495&gt;=4)*('CASE MASTER'!$V$2:$V$495&lt;=9)*('CASE MASTER'!$X$2:$X$495&gt;=9))*ROW('CASE MASTER'!$T$2:$T$495))-(ROW('CASE MASTER'!#REF!)-1)))-INDEX('CASE MASTER'!$V$2:$V$495,(SUMPRODUCT((('CASE MASTER'!$T$2:$T$495=8)*('CASE MASTER'!$U$2:$U$495&lt;=4)*('CASE MASTER'!$W$2:$W$495&gt;=4)*('CASE MASTER'!$V$2:$V$495&lt;=9)*('CASE MASTER'!$X$2:$X$495&gt;=9))*ROW('CASE MASTER'!$T$2:$T$495))-(ROW('CASE MASTER'!#REF!)-1)))+1)+(9-INDEX('CASE MASTER'!$V$2:$V$495,(SUMPRODUCT((('CASE MASTER'!$T$2:$T$495=8)*('CASE MASTER'!$U$2:$U$495&lt;=4)*('CASE MASTER'!$W$2:$W$495&gt;=4)*('CASE MASTER'!$V$2:$V$495&lt;=9)*('CASE MASTER'!$X$2:$X$495&gt;=9))*ROW('CASE MASTER'!$T$2:$T$495))-(ROW('CASE MASTER'!#REF!)-1))))+1))-1)*50+1,50))&amp;"_"&amp;INDEX('CASE MASTER'!$Q$2:$Q$495,(SUMPRODUCT((('CASE MASTER'!$T$2:$T$495=8)*('CASE MASTER'!$U$2:$U$495&lt;=4)*('CASE MASTER'!$W$2:$W$495&gt;=4)*('CASE MASTER'!$V$2:$V$495&lt;=9)*('CASE MASTER'!$X$2:$X$495&gt;=9))*ROW('CASE MASTER'!$T$2:$T$495))-(ROW('CASE MASTER'!#REF!)-1))),IF(SUMPRODUCT((('CASE MASTER'!$T$2:$T$495=8)*('CASE MASTER'!$AA$2:$AA$495&lt;=4)*('CASE MASTER'!$AC$2:$AC$495&gt;=4)*('CASE MASTER'!$AB$2:$AB$495&lt;=9)*('CASE MASTER'!$AD$2:$AD$495&gt;=9))*ROW('CASE MASTER'!$T$2:$T$495))&gt;0,INDEX('CASE MASTER'!$Y$2:$Y$495,(SUMPRODUCT((('CASE MASTER'!$T$2:$T$495=8)*('CASE MASTER'!$AA$2:$AA$495&lt;=4)*('CASE MASTER'!$AC$2:$AC$495&gt;=4)*('CASE MASTER'!$AB$2:$AB$495&lt;=9)*('CASE MASTER'!$AD$2:$AD$495&gt;=9))*ROW('CASE MASTER'!$T$2:$T$495))-(ROW('CASE MASTER'!#REF!)-1)))&amp;TRIM(MID(SUBSTITUTE(SUBSTITUTE(INDEX('CASE MASTER'!$N$2:$N$495,(SUMPRODUCT((('CASE MASTER'!$T$2:$T$495=8)*('CASE MASTER'!$AA$2:$AA$495&lt;=4)*('CASE MASTER'!$AC$2:$AC$495&gt;=4)*('CASE MASTER'!$AB$2:$AB$495&lt;=9)*('CASE MASTER'!$AD$2:$AD$495&gt;=9))*ROW('CASE MASTER'!$T$2:$T$495))-(ROW('CASE MASTER'!#REF!)-1))),":",","),",",REPT(" ",50)),(((INDEX('CASE MASTER'!$Z$2:$Z$495,(SUMPRODUCT((('CASE MASTER'!$T$2:$T$495=8)*('CASE MASTER'!$AA$2:$AA$495&lt;=4)*('CASE MASTER'!$AC$2:$AC$495&gt;=4)*('CASE MASTER'!$AB$2:$AB$495&lt;=9)*('CASE MASTER'!$AD$2:$AD$495&gt;=9))*ROW('CASE MASTER'!$T$2:$T$495))-(ROW('CASE MASTER'!#REF!)-1)))+((4-INDEX('CASE MASTER'!$AA$2:$AA$495,(SUMPRODUCT((('CASE MASTER'!$T$2:$T$495=8)*('CASE MASTER'!$AA$2:$AA$495&lt;=4)*('CASE MASTER'!$AC$2:$AC$495&gt;=4)*('CASE MASTER'!$AB$2:$AB$495&lt;=9)*('CASE MASTER'!$AD$2:$AD$495&gt;=9))*ROW('CASE MASTER'!$T$2:$T$495))-(ROW('CASE MASTER'!#REF!)-1))))*(INDEX('CASE MASTER'!$AD$2:$AD$495,(SUMPRODUCT((('CASE MASTER'!$T$2:$T$495=8)*('CASE MASTER'!$AA$2:$AA$495&lt;=4)*('CASE MASTER'!$AC$2:$AC$495&gt;=4)*('CASE MASTER'!$AB$2:$AB$495&lt;=9)*('CASE MASTER'!$AD$2:$AD$495&gt;=9))*ROW('CASE MASTER'!$T$2:$T$495))-(ROW('CASE MASTER'!#REF!)-1)))-INDEX('CASE MASTER'!$AB$2:$AB$495,(SUMPRODUCT((('CASE MASTER'!$T$2:$T$495=8)*('CASE MASTER'!$AA$2:$AA$495&lt;=4)*('CASE MASTER'!$AC$2:$AC$495&gt;=4)*('CASE MASTER'!$AB$2:$AB$495&lt;=9)*('CASE MASTER'!$AD$2:$AD$495&gt;=9))*ROW('CASE MASTER'!$T$2:$T$495))-(ROW('CASE MASTER'!#REF!)-1)))+1)+(9-INDEX('CASE MASTER'!$AB$2:$AB$495,(SUMPRODUCT((('CASE MASTER'!$T$2:$T$495=8)*('CASE MASTER'!$AA$2:$AA$495&lt;=4)*('CASE MASTER'!$AC$2:$AC$495&gt;=4)*('CASE MASTER'!$AB$2:$AB$495&lt;=9)*('CASE MASTER'!$AD$2:$AD$495&gt;=9))*ROW('CASE MASTER'!$T$2:$T$495))-(ROW('CASE MASTER'!#REF!)-1))))+1)))-1)*50+1,50))&amp;"_"&amp;INDEX('CASE MASTER'!$Q$2:$Q$495,(SUMPRODUCT((('CASE MASTER'!$T$2:$T$495=8)*('CASE MASTER'!$AA$2:$AA$495&lt;=4)*('CASE MASTER'!$AC$2:$AC$495&gt;=4)*('CASE MASTER'!$AB$2:$AB$495&lt;=9)*('CASE MASTER'!$AD$2:$AD$495&gt;=9))*ROW('CASE MASTER'!$T$2:$T$495))-(ROW('CASE MASTER'!#REF!)-1))),"")),"")</f>
        <v/>
      </c>
      <c r="K104" s="10" t="str">
        <f>IFERROR(IF(SUMPRODUCT((('CASE MASTER'!$T$2:$T$495=8)*('CASE MASTER'!$U$2:$U$495&lt;=4)*('CASE MASTER'!$W$2:$W$495&gt;=4)*('CASE MASTER'!$V$2:$V$495&lt;=10)*('CASE MASTER'!$X$2:$X$495&gt;=10))*ROW('CASE MASTER'!$T$2:$T$495))&gt;0,INDEX('CASE MASTER'!$Y$2:$Y$495,(SUMPRODUCT((('CASE MASTER'!$T$2:$T$495=8)*('CASE MASTER'!$U$2:$U$495&lt;=4)*('CASE MASTER'!$W$2:$W$495&gt;=4)*('CASE MASTER'!$V$2:$V$495&lt;=10)*('CASE MASTER'!$X$2:$X$495&gt;=10))*ROW('CASE MASTER'!$T$2:$T$495))-(ROW('CASE MASTER'!#REF!)-1)))&amp;TRIM(MID(SUBSTITUTE(SUBSTITUTE(INDEX('CASE MASTER'!$N$2:$N$495,(SUMPRODUCT((('CASE MASTER'!$T$2:$T$495=8)*('CASE MASTER'!$U$2:$U$495&lt;=4)*('CASE MASTER'!$W$2:$W$495&gt;=4)*('CASE MASTER'!$V$2:$V$495&lt;=10)*('CASE MASTER'!$X$2:$X$495&gt;=10))*ROW('CASE MASTER'!$T$2:$T$495))-(ROW('CASE MASTER'!#REF!)-1))),":",","),",",REPT(" ",50)),((((4-INDEX('CASE MASTER'!$U$2:$U$495,(SUMPRODUCT((('CASE MASTER'!$T$2:$T$495=8)*('CASE MASTER'!$U$2:$U$495&lt;=4)*('CASE MASTER'!$W$2:$W$495&gt;=4)*('CASE MASTER'!$V$2:$V$495&lt;=10)*('CASE MASTER'!$X$2:$X$495&gt;=10))*ROW('CASE MASTER'!$T$2:$T$495))-(ROW('CASE MASTER'!#REF!)-1))))*(INDEX('CASE MASTER'!$X$2:$X$495,(SUMPRODUCT((('CASE MASTER'!$T$2:$T$495=8)*('CASE MASTER'!$U$2:$U$495&lt;=4)*('CASE MASTER'!$W$2:$W$495&gt;=4)*('CASE MASTER'!$V$2:$V$495&lt;=10)*('CASE MASTER'!$X$2:$X$495&gt;=10))*ROW('CASE MASTER'!$T$2:$T$495))-(ROW('CASE MASTER'!#REF!)-1)))-INDEX('CASE MASTER'!$V$2:$V$495,(SUMPRODUCT((('CASE MASTER'!$T$2:$T$495=8)*('CASE MASTER'!$U$2:$U$495&lt;=4)*('CASE MASTER'!$W$2:$W$495&gt;=4)*('CASE MASTER'!$V$2:$V$495&lt;=10)*('CASE MASTER'!$X$2:$X$495&gt;=10))*ROW('CASE MASTER'!$T$2:$T$495))-(ROW('CASE MASTER'!#REF!)-1)))+1)+(10-INDEX('CASE MASTER'!$V$2:$V$495,(SUMPRODUCT((('CASE MASTER'!$T$2:$T$495=8)*('CASE MASTER'!$U$2:$U$495&lt;=4)*('CASE MASTER'!$W$2:$W$495&gt;=4)*('CASE MASTER'!$V$2:$V$495&lt;=10)*('CASE MASTER'!$X$2:$X$495&gt;=10))*ROW('CASE MASTER'!$T$2:$T$495))-(ROW('CASE MASTER'!#REF!)-1))))+1))-1)*50+1,50))&amp;"_"&amp;INDEX('CASE MASTER'!$Q$2:$Q$495,(SUMPRODUCT((('CASE MASTER'!$T$2:$T$495=8)*('CASE MASTER'!$U$2:$U$495&lt;=4)*('CASE MASTER'!$W$2:$W$495&gt;=4)*('CASE MASTER'!$V$2:$V$495&lt;=10)*('CASE MASTER'!$X$2:$X$495&gt;=10))*ROW('CASE MASTER'!$T$2:$T$495))-(ROW('CASE MASTER'!#REF!)-1))),IF(SUMPRODUCT((('CASE MASTER'!$T$2:$T$495=8)*('CASE MASTER'!$AA$2:$AA$495&lt;=4)*('CASE MASTER'!$AC$2:$AC$495&gt;=4)*('CASE MASTER'!$AB$2:$AB$495&lt;=10)*('CASE MASTER'!$AD$2:$AD$495&gt;=10))*ROW('CASE MASTER'!$T$2:$T$495))&gt;0,INDEX('CASE MASTER'!$Y$2:$Y$495,(SUMPRODUCT((('CASE MASTER'!$T$2:$T$495=8)*('CASE MASTER'!$AA$2:$AA$495&lt;=4)*('CASE MASTER'!$AC$2:$AC$495&gt;=4)*('CASE MASTER'!$AB$2:$AB$495&lt;=10)*('CASE MASTER'!$AD$2:$AD$495&gt;=10))*ROW('CASE MASTER'!$T$2:$T$495))-(ROW('CASE MASTER'!#REF!)-1)))&amp;TRIM(MID(SUBSTITUTE(SUBSTITUTE(INDEX('CASE MASTER'!$N$2:$N$495,(SUMPRODUCT((('CASE MASTER'!$T$2:$T$495=8)*('CASE MASTER'!$AA$2:$AA$495&lt;=4)*('CASE MASTER'!$AC$2:$AC$495&gt;=4)*('CASE MASTER'!$AB$2:$AB$495&lt;=10)*('CASE MASTER'!$AD$2:$AD$495&gt;=10))*ROW('CASE MASTER'!$T$2:$T$495))-(ROW('CASE MASTER'!#REF!)-1))),":",","),",",REPT(" ",50)),(((INDEX('CASE MASTER'!$Z$2:$Z$495,(SUMPRODUCT((('CASE MASTER'!$T$2:$T$495=8)*('CASE MASTER'!$AA$2:$AA$495&lt;=4)*('CASE MASTER'!$AC$2:$AC$495&gt;=4)*('CASE MASTER'!$AB$2:$AB$495&lt;=10)*('CASE MASTER'!$AD$2:$AD$495&gt;=10))*ROW('CASE MASTER'!$T$2:$T$495))-(ROW('CASE MASTER'!#REF!)-1)))+((4-INDEX('CASE MASTER'!$AA$2:$AA$495,(SUMPRODUCT((('CASE MASTER'!$T$2:$T$495=8)*('CASE MASTER'!$AA$2:$AA$495&lt;=4)*('CASE MASTER'!$AC$2:$AC$495&gt;=4)*('CASE MASTER'!$AB$2:$AB$495&lt;=10)*('CASE MASTER'!$AD$2:$AD$495&gt;=10))*ROW('CASE MASTER'!$T$2:$T$495))-(ROW('CASE MASTER'!#REF!)-1))))*(INDEX('CASE MASTER'!$AD$2:$AD$495,(SUMPRODUCT((('CASE MASTER'!$T$2:$T$495=8)*('CASE MASTER'!$AA$2:$AA$495&lt;=4)*('CASE MASTER'!$AC$2:$AC$495&gt;=4)*('CASE MASTER'!$AB$2:$AB$495&lt;=10)*('CASE MASTER'!$AD$2:$AD$495&gt;=10))*ROW('CASE MASTER'!$T$2:$T$495))-(ROW('CASE MASTER'!#REF!)-1)))-INDEX('CASE MASTER'!$AB$2:$AB$495,(SUMPRODUCT((('CASE MASTER'!$T$2:$T$495=8)*('CASE MASTER'!$AA$2:$AA$495&lt;=4)*('CASE MASTER'!$AC$2:$AC$495&gt;=4)*('CASE MASTER'!$AB$2:$AB$495&lt;=10)*('CASE MASTER'!$AD$2:$AD$495&gt;=10))*ROW('CASE MASTER'!$T$2:$T$495))-(ROW('CASE MASTER'!#REF!)-1)))+1)+(10-INDEX('CASE MASTER'!$AB$2:$AB$495,(SUMPRODUCT((('CASE MASTER'!$T$2:$T$495=8)*('CASE MASTER'!$AA$2:$AA$495&lt;=4)*('CASE MASTER'!$AC$2:$AC$495&gt;=4)*('CASE MASTER'!$AB$2:$AB$495&lt;=10)*('CASE MASTER'!$AD$2:$AD$495&gt;=10))*ROW('CASE MASTER'!$T$2:$T$495))-(ROW('CASE MASTER'!#REF!)-1))))+1)))-1)*50+1,50))&amp;"_"&amp;INDEX('CASE MASTER'!$Q$2:$Q$495,(SUMPRODUCT((('CASE MASTER'!$T$2:$T$495=8)*('CASE MASTER'!$AA$2:$AA$495&lt;=4)*('CASE MASTER'!$AC$2:$AC$495&gt;=4)*('CASE MASTER'!$AB$2:$AB$495&lt;=10)*('CASE MASTER'!$AD$2:$AD$495&gt;=10))*ROW('CASE MASTER'!$T$2:$T$495))-(ROW('CASE MASTER'!#REF!)-1))),"")),"")</f>
        <v/>
      </c>
    </row>
    <row r="105" spans="1:11" ht="15" customHeight="1" x14ac:dyDescent="0.35">
      <c r="A105" s="8" t="s">
        <v>32</v>
      </c>
      <c r="B105" s="10" t="str">
        <f>IFERROR(IF(SUMPRODUCT((('CASE MASTER'!$T$2:$T$495=8)*('CASE MASTER'!$U$2:$U$495&lt;=5)*('CASE MASTER'!$W$2:$W$495&gt;=5)*('CASE MASTER'!$V$2:$V$495&lt;=1)*('CASE MASTER'!$X$2:$X$495&gt;=1))*ROW('CASE MASTER'!$T$2:$T$495))&gt;0,INDEX('CASE MASTER'!$Y$2:$Y$495,(SUMPRODUCT((('CASE MASTER'!$T$2:$T$495=8)*('CASE MASTER'!$U$2:$U$495&lt;=5)*('CASE MASTER'!$W$2:$W$495&gt;=5)*('CASE MASTER'!$V$2:$V$495&lt;=1)*('CASE MASTER'!$X$2:$X$495&gt;=1))*ROW('CASE MASTER'!$T$2:$T$495))-(ROW('CASE MASTER'!#REF!)-1)))&amp;TRIM(MID(SUBSTITUTE(SUBSTITUTE(INDEX('CASE MASTER'!$N$2:$N$495,(SUMPRODUCT((('CASE MASTER'!$T$2:$T$495=8)*('CASE MASTER'!$U$2:$U$495&lt;=5)*('CASE MASTER'!$W$2:$W$495&gt;=5)*('CASE MASTER'!$V$2:$V$495&lt;=1)*('CASE MASTER'!$X$2:$X$495&gt;=1))*ROW('CASE MASTER'!$T$2:$T$495))-(ROW('CASE MASTER'!#REF!)-1))),":",","),",",REPT(" ",50)),((((5-INDEX('CASE MASTER'!$U$2:$U$495,(SUMPRODUCT((('CASE MASTER'!$T$2:$T$495=8)*('CASE MASTER'!$U$2:$U$495&lt;=5)*('CASE MASTER'!$W$2:$W$495&gt;=5)*('CASE MASTER'!$V$2:$V$495&lt;=1)*('CASE MASTER'!$X$2:$X$495&gt;=1))*ROW('CASE MASTER'!$T$2:$T$495))-(ROW('CASE MASTER'!#REF!)-1))))*(INDEX('CASE MASTER'!$X$2:$X$495,(SUMPRODUCT((('CASE MASTER'!$T$2:$T$495=8)*('CASE MASTER'!$U$2:$U$495&lt;=5)*('CASE MASTER'!$W$2:$W$495&gt;=5)*('CASE MASTER'!$V$2:$V$495&lt;=1)*('CASE MASTER'!$X$2:$X$495&gt;=1))*ROW('CASE MASTER'!$T$2:$T$495))-(ROW('CASE MASTER'!#REF!)-1)))-INDEX('CASE MASTER'!$V$2:$V$495,(SUMPRODUCT((('CASE MASTER'!$T$2:$T$495=8)*('CASE MASTER'!$U$2:$U$495&lt;=5)*('CASE MASTER'!$W$2:$W$495&gt;=5)*('CASE MASTER'!$V$2:$V$495&lt;=1)*('CASE MASTER'!$X$2:$X$495&gt;=1))*ROW('CASE MASTER'!$T$2:$T$495))-(ROW('CASE MASTER'!#REF!)-1)))+1)+(1-INDEX('CASE MASTER'!$V$2:$V$495,(SUMPRODUCT((('CASE MASTER'!$T$2:$T$495=8)*('CASE MASTER'!$U$2:$U$495&lt;=5)*('CASE MASTER'!$W$2:$W$495&gt;=5)*('CASE MASTER'!$V$2:$V$495&lt;=1)*('CASE MASTER'!$X$2:$X$495&gt;=1))*ROW('CASE MASTER'!$T$2:$T$495))-(ROW('CASE MASTER'!#REF!)-1))))+1))-1)*50+1,50))&amp;"_"&amp;INDEX('CASE MASTER'!$Q$2:$Q$495,(SUMPRODUCT((('CASE MASTER'!$T$2:$T$495=8)*('CASE MASTER'!$U$2:$U$495&lt;=5)*('CASE MASTER'!$W$2:$W$495&gt;=5)*('CASE MASTER'!$V$2:$V$495&lt;=1)*('CASE MASTER'!$X$2:$X$495&gt;=1))*ROW('CASE MASTER'!$T$2:$T$495))-(ROW('CASE MASTER'!#REF!)-1))),IF(SUMPRODUCT((('CASE MASTER'!$T$2:$T$495=8)*('CASE MASTER'!$AA$2:$AA$495&lt;=5)*('CASE MASTER'!$AC$2:$AC$495&gt;=5)*('CASE MASTER'!$AB$2:$AB$495&lt;=1)*('CASE MASTER'!$AD$2:$AD$495&gt;=1))*ROW('CASE MASTER'!$T$2:$T$495))&gt;0,INDEX('CASE MASTER'!$Y$2:$Y$495,(SUMPRODUCT((('CASE MASTER'!$T$2:$T$495=8)*('CASE MASTER'!$AA$2:$AA$495&lt;=5)*('CASE MASTER'!$AC$2:$AC$495&gt;=5)*('CASE MASTER'!$AB$2:$AB$495&lt;=1)*('CASE MASTER'!$AD$2:$AD$495&gt;=1))*ROW('CASE MASTER'!$T$2:$T$495))-(ROW('CASE MASTER'!#REF!)-1)))&amp;TRIM(MID(SUBSTITUTE(SUBSTITUTE(INDEX('CASE MASTER'!$N$2:$N$495,(SUMPRODUCT((('CASE MASTER'!$T$2:$T$495=8)*('CASE MASTER'!$AA$2:$AA$495&lt;=5)*('CASE MASTER'!$AC$2:$AC$495&gt;=5)*('CASE MASTER'!$AB$2:$AB$495&lt;=1)*('CASE MASTER'!$AD$2:$AD$495&gt;=1))*ROW('CASE MASTER'!$T$2:$T$495))-(ROW('CASE MASTER'!#REF!)-1))),":",","),",",REPT(" ",50)),(((INDEX('CASE MASTER'!$Z$2:$Z$495,(SUMPRODUCT((('CASE MASTER'!$T$2:$T$495=8)*('CASE MASTER'!$AA$2:$AA$495&lt;=5)*('CASE MASTER'!$AC$2:$AC$495&gt;=5)*('CASE MASTER'!$AB$2:$AB$495&lt;=1)*('CASE MASTER'!$AD$2:$AD$495&gt;=1))*ROW('CASE MASTER'!$T$2:$T$495))-(ROW('CASE MASTER'!#REF!)-1)))+((5-INDEX('CASE MASTER'!$AA$2:$AA$495,(SUMPRODUCT((('CASE MASTER'!$T$2:$T$495=8)*('CASE MASTER'!$AA$2:$AA$495&lt;=5)*('CASE MASTER'!$AC$2:$AC$495&gt;=5)*('CASE MASTER'!$AB$2:$AB$495&lt;=1)*('CASE MASTER'!$AD$2:$AD$495&gt;=1))*ROW('CASE MASTER'!$T$2:$T$495))-(ROW('CASE MASTER'!#REF!)-1))))*(INDEX('CASE MASTER'!$AD$2:$AD$495,(SUMPRODUCT((('CASE MASTER'!$T$2:$T$495=8)*('CASE MASTER'!$AA$2:$AA$495&lt;=5)*('CASE MASTER'!$AC$2:$AC$495&gt;=5)*('CASE MASTER'!$AB$2:$AB$495&lt;=1)*('CASE MASTER'!$AD$2:$AD$495&gt;=1))*ROW('CASE MASTER'!$T$2:$T$495))-(ROW('CASE MASTER'!#REF!)-1)))-INDEX('CASE MASTER'!$AB$2:$AB$495,(SUMPRODUCT((('CASE MASTER'!$T$2:$T$495=8)*('CASE MASTER'!$AA$2:$AA$495&lt;=5)*('CASE MASTER'!$AC$2:$AC$495&gt;=5)*('CASE MASTER'!$AB$2:$AB$495&lt;=1)*('CASE MASTER'!$AD$2:$AD$495&gt;=1))*ROW('CASE MASTER'!$T$2:$T$495))-(ROW('CASE MASTER'!#REF!)-1)))+1)+(1-INDEX('CASE MASTER'!$AB$2:$AB$495,(SUMPRODUCT((('CASE MASTER'!$T$2:$T$495=8)*('CASE MASTER'!$AA$2:$AA$495&lt;=5)*('CASE MASTER'!$AC$2:$AC$495&gt;=5)*('CASE MASTER'!$AB$2:$AB$495&lt;=1)*('CASE MASTER'!$AD$2:$AD$495&gt;=1))*ROW('CASE MASTER'!$T$2:$T$495))-(ROW('CASE MASTER'!#REF!)-1))))+1)))-1)*50+1,50))&amp;"_"&amp;INDEX('CASE MASTER'!$Q$2:$Q$495,(SUMPRODUCT((('CASE MASTER'!$T$2:$T$495=8)*('CASE MASTER'!$AA$2:$AA$495&lt;=5)*('CASE MASTER'!$AC$2:$AC$495&gt;=5)*('CASE MASTER'!$AB$2:$AB$495&lt;=1)*('CASE MASTER'!$AD$2:$AD$495&gt;=1))*ROW('CASE MASTER'!$T$2:$T$495))-(ROW('CASE MASTER'!#REF!)-1))),"")),"")</f>
        <v/>
      </c>
      <c r="C105" s="10" t="str">
        <f>IFERROR(IF(SUMPRODUCT((('CASE MASTER'!$T$2:$T$495=8)*('CASE MASTER'!$U$2:$U$495&lt;=5)*('CASE MASTER'!$W$2:$W$495&gt;=5)*('CASE MASTER'!$V$2:$V$495&lt;=2)*('CASE MASTER'!$X$2:$X$495&gt;=2))*ROW('CASE MASTER'!$T$2:$T$495))&gt;0,INDEX('CASE MASTER'!$Y$2:$Y$495,(SUMPRODUCT((('CASE MASTER'!$T$2:$T$495=8)*('CASE MASTER'!$U$2:$U$495&lt;=5)*('CASE MASTER'!$W$2:$W$495&gt;=5)*('CASE MASTER'!$V$2:$V$495&lt;=2)*('CASE MASTER'!$X$2:$X$495&gt;=2))*ROW('CASE MASTER'!$T$2:$T$495))-(ROW('CASE MASTER'!#REF!)-1)))&amp;TRIM(MID(SUBSTITUTE(SUBSTITUTE(INDEX('CASE MASTER'!$N$2:$N$495,(SUMPRODUCT((('CASE MASTER'!$T$2:$T$495=8)*('CASE MASTER'!$U$2:$U$495&lt;=5)*('CASE MASTER'!$W$2:$W$495&gt;=5)*('CASE MASTER'!$V$2:$V$495&lt;=2)*('CASE MASTER'!$X$2:$X$495&gt;=2))*ROW('CASE MASTER'!$T$2:$T$495))-(ROW('CASE MASTER'!#REF!)-1))),":",","),",",REPT(" ",50)),((((5-INDEX('CASE MASTER'!$U$2:$U$495,(SUMPRODUCT((('CASE MASTER'!$T$2:$T$495=8)*('CASE MASTER'!$U$2:$U$495&lt;=5)*('CASE MASTER'!$W$2:$W$495&gt;=5)*('CASE MASTER'!$V$2:$V$495&lt;=2)*('CASE MASTER'!$X$2:$X$495&gt;=2))*ROW('CASE MASTER'!$T$2:$T$495))-(ROW('CASE MASTER'!#REF!)-1))))*(INDEX('CASE MASTER'!$X$2:$X$495,(SUMPRODUCT((('CASE MASTER'!$T$2:$T$495=8)*('CASE MASTER'!$U$2:$U$495&lt;=5)*('CASE MASTER'!$W$2:$W$495&gt;=5)*('CASE MASTER'!$V$2:$V$495&lt;=2)*('CASE MASTER'!$X$2:$X$495&gt;=2))*ROW('CASE MASTER'!$T$2:$T$495))-(ROW('CASE MASTER'!#REF!)-1)))-INDEX('CASE MASTER'!$V$2:$V$495,(SUMPRODUCT((('CASE MASTER'!$T$2:$T$495=8)*('CASE MASTER'!$U$2:$U$495&lt;=5)*('CASE MASTER'!$W$2:$W$495&gt;=5)*('CASE MASTER'!$V$2:$V$495&lt;=2)*('CASE MASTER'!$X$2:$X$495&gt;=2))*ROW('CASE MASTER'!$T$2:$T$495))-(ROW('CASE MASTER'!#REF!)-1)))+1)+(2-INDEX('CASE MASTER'!$V$2:$V$495,(SUMPRODUCT((('CASE MASTER'!$T$2:$T$495=8)*('CASE MASTER'!$U$2:$U$495&lt;=5)*('CASE MASTER'!$W$2:$W$495&gt;=5)*('CASE MASTER'!$V$2:$V$495&lt;=2)*('CASE MASTER'!$X$2:$X$495&gt;=2))*ROW('CASE MASTER'!$T$2:$T$495))-(ROW('CASE MASTER'!#REF!)-1))))+1))-1)*50+1,50))&amp;"_"&amp;INDEX('CASE MASTER'!$Q$2:$Q$495,(SUMPRODUCT((('CASE MASTER'!$T$2:$T$495=8)*('CASE MASTER'!$U$2:$U$495&lt;=5)*('CASE MASTER'!$W$2:$W$495&gt;=5)*('CASE MASTER'!$V$2:$V$495&lt;=2)*('CASE MASTER'!$X$2:$X$495&gt;=2))*ROW('CASE MASTER'!$T$2:$T$495))-(ROW('CASE MASTER'!#REF!)-1))),IF(SUMPRODUCT((('CASE MASTER'!$T$2:$T$495=8)*('CASE MASTER'!$AA$2:$AA$495&lt;=5)*('CASE MASTER'!$AC$2:$AC$495&gt;=5)*('CASE MASTER'!$AB$2:$AB$495&lt;=2)*('CASE MASTER'!$AD$2:$AD$495&gt;=2))*ROW('CASE MASTER'!$T$2:$T$495))&gt;0,INDEX('CASE MASTER'!$Y$2:$Y$495,(SUMPRODUCT((('CASE MASTER'!$T$2:$T$495=8)*('CASE MASTER'!$AA$2:$AA$495&lt;=5)*('CASE MASTER'!$AC$2:$AC$495&gt;=5)*('CASE MASTER'!$AB$2:$AB$495&lt;=2)*('CASE MASTER'!$AD$2:$AD$495&gt;=2))*ROW('CASE MASTER'!$T$2:$T$495))-(ROW('CASE MASTER'!#REF!)-1)))&amp;TRIM(MID(SUBSTITUTE(SUBSTITUTE(INDEX('CASE MASTER'!$N$2:$N$495,(SUMPRODUCT((('CASE MASTER'!$T$2:$T$495=8)*('CASE MASTER'!$AA$2:$AA$495&lt;=5)*('CASE MASTER'!$AC$2:$AC$495&gt;=5)*('CASE MASTER'!$AB$2:$AB$495&lt;=2)*('CASE MASTER'!$AD$2:$AD$495&gt;=2))*ROW('CASE MASTER'!$T$2:$T$495))-(ROW('CASE MASTER'!#REF!)-1))),":",","),",",REPT(" ",50)),(((INDEX('CASE MASTER'!$Z$2:$Z$495,(SUMPRODUCT((('CASE MASTER'!$T$2:$T$495=8)*('CASE MASTER'!$AA$2:$AA$495&lt;=5)*('CASE MASTER'!$AC$2:$AC$495&gt;=5)*('CASE MASTER'!$AB$2:$AB$495&lt;=2)*('CASE MASTER'!$AD$2:$AD$495&gt;=2))*ROW('CASE MASTER'!$T$2:$T$495))-(ROW('CASE MASTER'!#REF!)-1)))+((5-INDEX('CASE MASTER'!$AA$2:$AA$495,(SUMPRODUCT((('CASE MASTER'!$T$2:$T$495=8)*('CASE MASTER'!$AA$2:$AA$495&lt;=5)*('CASE MASTER'!$AC$2:$AC$495&gt;=5)*('CASE MASTER'!$AB$2:$AB$495&lt;=2)*('CASE MASTER'!$AD$2:$AD$495&gt;=2))*ROW('CASE MASTER'!$T$2:$T$495))-(ROW('CASE MASTER'!#REF!)-1))))*(INDEX('CASE MASTER'!$AD$2:$AD$495,(SUMPRODUCT((('CASE MASTER'!$T$2:$T$495=8)*('CASE MASTER'!$AA$2:$AA$495&lt;=5)*('CASE MASTER'!$AC$2:$AC$495&gt;=5)*('CASE MASTER'!$AB$2:$AB$495&lt;=2)*('CASE MASTER'!$AD$2:$AD$495&gt;=2))*ROW('CASE MASTER'!$T$2:$T$495))-(ROW('CASE MASTER'!#REF!)-1)))-INDEX('CASE MASTER'!$AB$2:$AB$495,(SUMPRODUCT((('CASE MASTER'!$T$2:$T$495=8)*('CASE MASTER'!$AA$2:$AA$495&lt;=5)*('CASE MASTER'!$AC$2:$AC$495&gt;=5)*('CASE MASTER'!$AB$2:$AB$495&lt;=2)*('CASE MASTER'!$AD$2:$AD$495&gt;=2))*ROW('CASE MASTER'!$T$2:$T$495))-(ROW('CASE MASTER'!#REF!)-1)))+1)+(2-INDEX('CASE MASTER'!$AB$2:$AB$495,(SUMPRODUCT((('CASE MASTER'!$T$2:$T$495=8)*('CASE MASTER'!$AA$2:$AA$495&lt;=5)*('CASE MASTER'!$AC$2:$AC$495&gt;=5)*('CASE MASTER'!$AB$2:$AB$495&lt;=2)*('CASE MASTER'!$AD$2:$AD$495&gt;=2))*ROW('CASE MASTER'!$T$2:$T$495))-(ROW('CASE MASTER'!#REF!)-1))))+1)))-1)*50+1,50))&amp;"_"&amp;INDEX('CASE MASTER'!$Q$2:$Q$495,(SUMPRODUCT((('CASE MASTER'!$T$2:$T$495=8)*('CASE MASTER'!$AA$2:$AA$495&lt;=5)*('CASE MASTER'!$AC$2:$AC$495&gt;=5)*('CASE MASTER'!$AB$2:$AB$495&lt;=2)*('CASE MASTER'!$AD$2:$AD$495&gt;=2))*ROW('CASE MASTER'!$T$2:$T$495))-(ROW('CASE MASTER'!#REF!)-1))),"")),"")</f>
        <v/>
      </c>
      <c r="D105" s="10" t="str">
        <f>IFERROR(IF(SUMPRODUCT((('CASE MASTER'!$T$2:$T$495=8)*('CASE MASTER'!$U$2:$U$495&lt;=5)*('CASE MASTER'!$W$2:$W$495&gt;=5)*('CASE MASTER'!$V$2:$V$495&lt;=3)*('CASE MASTER'!$X$2:$X$495&gt;=3))*ROW('CASE MASTER'!$T$2:$T$495))&gt;0,INDEX('CASE MASTER'!$Y$2:$Y$495,(SUMPRODUCT((('CASE MASTER'!$T$2:$T$495=8)*('CASE MASTER'!$U$2:$U$495&lt;=5)*('CASE MASTER'!$W$2:$W$495&gt;=5)*('CASE MASTER'!$V$2:$V$495&lt;=3)*('CASE MASTER'!$X$2:$X$495&gt;=3))*ROW('CASE MASTER'!$T$2:$T$495))-(ROW('CASE MASTER'!#REF!)-1)))&amp;TRIM(MID(SUBSTITUTE(SUBSTITUTE(INDEX('CASE MASTER'!$N$2:$N$495,(SUMPRODUCT((('CASE MASTER'!$T$2:$T$495=8)*('CASE MASTER'!$U$2:$U$495&lt;=5)*('CASE MASTER'!$W$2:$W$495&gt;=5)*('CASE MASTER'!$V$2:$V$495&lt;=3)*('CASE MASTER'!$X$2:$X$495&gt;=3))*ROW('CASE MASTER'!$T$2:$T$495))-(ROW('CASE MASTER'!#REF!)-1))),":",","),",",REPT(" ",50)),((((5-INDEX('CASE MASTER'!$U$2:$U$495,(SUMPRODUCT((('CASE MASTER'!$T$2:$T$495=8)*('CASE MASTER'!$U$2:$U$495&lt;=5)*('CASE MASTER'!$W$2:$W$495&gt;=5)*('CASE MASTER'!$V$2:$V$495&lt;=3)*('CASE MASTER'!$X$2:$X$495&gt;=3))*ROW('CASE MASTER'!$T$2:$T$495))-(ROW('CASE MASTER'!#REF!)-1))))*(INDEX('CASE MASTER'!$X$2:$X$495,(SUMPRODUCT((('CASE MASTER'!$T$2:$T$495=8)*('CASE MASTER'!$U$2:$U$495&lt;=5)*('CASE MASTER'!$W$2:$W$495&gt;=5)*('CASE MASTER'!$V$2:$V$495&lt;=3)*('CASE MASTER'!$X$2:$X$495&gt;=3))*ROW('CASE MASTER'!$T$2:$T$495))-(ROW('CASE MASTER'!#REF!)-1)))-INDEX('CASE MASTER'!$V$2:$V$495,(SUMPRODUCT((('CASE MASTER'!$T$2:$T$495=8)*('CASE MASTER'!$U$2:$U$495&lt;=5)*('CASE MASTER'!$W$2:$W$495&gt;=5)*('CASE MASTER'!$V$2:$V$495&lt;=3)*('CASE MASTER'!$X$2:$X$495&gt;=3))*ROW('CASE MASTER'!$T$2:$T$495))-(ROW('CASE MASTER'!#REF!)-1)))+1)+(3-INDEX('CASE MASTER'!$V$2:$V$495,(SUMPRODUCT((('CASE MASTER'!$T$2:$T$495=8)*('CASE MASTER'!$U$2:$U$495&lt;=5)*('CASE MASTER'!$W$2:$W$495&gt;=5)*('CASE MASTER'!$V$2:$V$495&lt;=3)*('CASE MASTER'!$X$2:$X$495&gt;=3))*ROW('CASE MASTER'!$T$2:$T$495))-(ROW('CASE MASTER'!#REF!)-1))))+1))-1)*50+1,50))&amp;"_"&amp;INDEX('CASE MASTER'!$Q$2:$Q$495,(SUMPRODUCT((('CASE MASTER'!$T$2:$T$495=8)*('CASE MASTER'!$U$2:$U$495&lt;=5)*('CASE MASTER'!$W$2:$W$495&gt;=5)*('CASE MASTER'!$V$2:$V$495&lt;=3)*('CASE MASTER'!$X$2:$X$495&gt;=3))*ROW('CASE MASTER'!$T$2:$T$495))-(ROW('CASE MASTER'!#REF!)-1))),IF(SUMPRODUCT((('CASE MASTER'!$T$2:$T$495=8)*('CASE MASTER'!$AA$2:$AA$495&lt;=5)*('CASE MASTER'!$AC$2:$AC$495&gt;=5)*('CASE MASTER'!$AB$2:$AB$495&lt;=3)*('CASE MASTER'!$AD$2:$AD$495&gt;=3))*ROW('CASE MASTER'!$T$2:$T$495))&gt;0,INDEX('CASE MASTER'!$Y$2:$Y$495,(SUMPRODUCT((('CASE MASTER'!$T$2:$T$495=8)*('CASE MASTER'!$AA$2:$AA$495&lt;=5)*('CASE MASTER'!$AC$2:$AC$495&gt;=5)*('CASE MASTER'!$AB$2:$AB$495&lt;=3)*('CASE MASTER'!$AD$2:$AD$495&gt;=3))*ROW('CASE MASTER'!$T$2:$T$495))-(ROW('CASE MASTER'!#REF!)-1)))&amp;TRIM(MID(SUBSTITUTE(SUBSTITUTE(INDEX('CASE MASTER'!$N$2:$N$495,(SUMPRODUCT((('CASE MASTER'!$T$2:$T$495=8)*('CASE MASTER'!$AA$2:$AA$495&lt;=5)*('CASE MASTER'!$AC$2:$AC$495&gt;=5)*('CASE MASTER'!$AB$2:$AB$495&lt;=3)*('CASE MASTER'!$AD$2:$AD$495&gt;=3))*ROW('CASE MASTER'!$T$2:$T$495))-(ROW('CASE MASTER'!#REF!)-1))),":",","),",",REPT(" ",50)),(((INDEX('CASE MASTER'!$Z$2:$Z$495,(SUMPRODUCT((('CASE MASTER'!$T$2:$T$495=8)*('CASE MASTER'!$AA$2:$AA$495&lt;=5)*('CASE MASTER'!$AC$2:$AC$495&gt;=5)*('CASE MASTER'!$AB$2:$AB$495&lt;=3)*('CASE MASTER'!$AD$2:$AD$495&gt;=3))*ROW('CASE MASTER'!$T$2:$T$495))-(ROW('CASE MASTER'!#REF!)-1)))+((5-INDEX('CASE MASTER'!$AA$2:$AA$495,(SUMPRODUCT((('CASE MASTER'!$T$2:$T$495=8)*('CASE MASTER'!$AA$2:$AA$495&lt;=5)*('CASE MASTER'!$AC$2:$AC$495&gt;=5)*('CASE MASTER'!$AB$2:$AB$495&lt;=3)*('CASE MASTER'!$AD$2:$AD$495&gt;=3))*ROW('CASE MASTER'!$T$2:$T$495))-(ROW('CASE MASTER'!#REF!)-1))))*(INDEX('CASE MASTER'!$AD$2:$AD$495,(SUMPRODUCT((('CASE MASTER'!$T$2:$T$495=8)*('CASE MASTER'!$AA$2:$AA$495&lt;=5)*('CASE MASTER'!$AC$2:$AC$495&gt;=5)*('CASE MASTER'!$AB$2:$AB$495&lt;=3)*('CASE MASTER'!$AD$2:$AD$495&gt;=3))*ROW('CASE MASTER'!$T$2:$T$495))-(ROW('CASE MASTER'!#REF!)-1)))-INDEX('CASE MASTER'!$AB$2:$AB$495,(SUMPRODUCT((('CASE MASTER'!$T$2:$T$495=8)*('CASE MASTER'!$AA$2:$AA$495&lt;=5)*('CASE MASTER'!$AC$2:$AC$495&gt;=5)*('CASE MASTER'!$AB$2:$AB$495&lt;=3)*('CASE MASTER'!$AD$2:$AD$495&gt;=3))*ROW('CASE MASTER'!$T$2:$T$495))-(ROW('CASE MASTER'!#REF!)-1)))+1)+(3-INDEX('CASE MASTER'!$AB$2:$AB$495,(SUMPRODUCT((('CASE MASTER'!$T$2:$T$495=8)*('CASE MASTER'!$AA$2:$AA$495&lt;=5)*('CASE MASTER'!$AC$2:$AC$495&gt;=5)*('CASE MASTER'!$AB$2:$AB$495&lt;=3)*('CASE MASTER'!$AD$2:$AD$495&gt;=3))*ROW('CASE MASTER'!$T$2:$T$495))-(ROW('CASE MASTER'!#REF!)-1))))+1)))-1)*50+1,50))&amp;"_"&amp;INDEX('CASE MASTER'!$Q$2:$Q$495,(SUMPRODUCT((('CASE MASTER'!$T$2:$T$495=8)*('CASE MASTER'!$AA$2:$AA$495&lt;=5)*('CASE MASTER'!$AC$2:$AC$495&gt;=5)*('CASE MASTER'!$AB$2:$AB$495&lt;=3)*('CASE MASTER'!$AD$2:$AD$495&gt;=3))*ROW('CASE MASTER'!$T$2:$T$495))-(ROW('CASE MASTER'!#REF!)-1))),"")),"")</f>
        <v/>
      </c>
      <c r="E105" s="10" t="str">
        <f>IFERROR(IF(SUMPRODUCT((('CASE MASTER'!$T$2:$T$495=8)*('CASE MASTER'!$U$2:$U$495&lt;=5)*('CASE MASTER'!$W$2:$W$495&gt;=5)*('CASE MASTER'!$V$2:$V$495&lt;=4)*('CASE MASTER'!$X$2:$X$495&gt;=4))*ROW('CASE MASTER'!$T$2:$T$495))&gt;0,INDEX('CASE MASTER'!$Y$2:$Y$495,(SUMPRODUCT((('CASE MASTER'!$T$2:$T$495=8)*('CASE MASTER'!$U$2:$U$495&lt;=5)*('CASE MASTER'!$W$2:$W$495&gt;=5)*('CASE MASTER'!$V$2:$V$495&lt;=4)*('CASE MASTER'!$X$2:$X$495&gt;=4))*ROW('CASE MASTER'!$T$2:$T$495))-(ROW('CASE MASTER'!#REF!)-1)))&amp;TRIM(MID(SUBSTITUTE(SUBSTITUTE(INDEX('CASE MASTER'!$N$2:$N$495,(SUMPRODUCT((('CASE MASTER'!$T$2:$T$495=8)*('CASE MASTER'!$U$2:$U$495&lt;=5)*('CASE MASTER'!$W$2:$W$495&gt;=5)*('CASE MASTER'!$V$2:$V$495&lt;=4)*('CASE MASTER'!$X$2:$X$495&gt;=4))*ROW('CASE MASTER'!$T$2:$T$495))-(ROW('CASE MASTER'!#REF!)-1))),":",","),",",REPT(" ",50)),((((5-INDEX('CASE MASTER'!$U$2:$U$495,(SUMPRODUCT((('CASE MASTER'!$T$2:$T$495=8)*('CASE MASTER'!$U$2:$U$495&lt;=5)*('CASE MASTER'!$W$2:$W$495&gt;=5)*('CASE MASTER'!$V$2:$V$495&lt;=4)*('CASE MASTER'!$X$2:$X$495&gt;=4))*ROW('CASE MASTER'!$T$2:$T$495))-(ROW('CASE MASTER'!#REF!)-1))))*(INDEX('CASE MASTER'!$X$2:$X$495,(SUMPRODUCT((('CASE MASTER'!$T$2:$T$495=8)*('CASE MASTER'!$U$2:$U$495&lt;=5)*('CASE MASTER'!$W$2:$W$495&gt;=5)*('CASE MASTER'!$V$2:$V$495&lt;=4)*('CASE MASTER'!$X$2:$X$495&gt;=4))*ROW('CASE MASTER'!$T$2:$T$495))-(ROW('CASE MASTER'!#REF!)-1)))-INDEX('CASE MASTER'!$V$2:$V$495,(SUMPRODUCT((('CASE MASTER'!$T$2:$T$495=8)*('CASE MASTER'!$U$2:$U$495&lt;=5)*('CASE MASTER'!$W$2:$W$495&gt;=5)*('CASE MASTER'!$V$2:$V$495&lt;=4)*('CASE MASTER'!$X$2:$X$495&gt;=4))*ROW('CASE MASTER'!$T$2:$T$495))-(ROW('CASE MASTER'!#REF!)-1)))+1)+(4-INDEX('CASE MASTER'!$V$2:$V$495,(SUMPRODUCT((('CASE MASTER'!$T$2:$T$495=8)*('CASE MASTER'!$U$2:$U$495&lt;=5)*('CASE MASTER'!$W$2:$W$495&gt;=5)*('CASE MASTER'!$V$2:$V$495&lt;=4)*('CASE MASTER'!$X$2:$X$495&gt;=4))*ROW('CASE MASTER'!$T$2:$T$495))-(ROW('CASE MASTER'!#REF!)-1))))+1))-1)*50+1,50))&amp;"_"&amp;INDEX('CASE MASTER'!$Q$2:$Q$495,(SUMPRODUCT((('CASE MASTER'!$T$2:$T$495=8)*('CASE MASTER'!$U$2:$U$495&lt;=5)*('CASE MASTER'!$W$2:$W$495&gt;=5)*('CASE MASTER'!$V$2:$V$495&lt;=4)*('CASE MASTER'!$X$2:$X$495&gt;=4))*ROW('CASE MASTER'!$T$2:$T$495))-(ROW('CASE MASTER'!#REF!)-1))),IF(SUMPRODUCT((('CASE MASTER'!$T$2:$T$495=8)*('CASE MASTER'!$AA$2:$AA$495&lt;=5)*('CASE MASTER'!$AC$2:$AC$495&gt;=5)*('CASE MASTER'!$AB$2:$AB$495&lt;=4)*('CASE MASTER'!$AD$2:$AD$495&gt;=4))*ROW('CASE MASTER'!$T$2:$T$495))&gt;0,INDEX('CASE MASTER'!$Y$2:$Y$495,(SUMPRODUCT((('CASE MASTER'!$T$2:$T$495=8)*('CASE MASTER'!$AA$2:$AA$495&lt;=5)*('CASE MASTER'!$AC$2:$AC$495&gt;=5)*('CASE MASTER'!$AB$2:$AB$495&lt;=4)*('CASE MASTER'!$AD$2:$AD$495&gt;=4))*ROW('CASE MASTER'!$T$2:$T$495))-(ROW('CASE MASTER'!#REF!)-1)))&amp;TRIM(MID(SUBSTITUTE(SUBSTITUTE(INDEX('CASE MASTER'!$N$2:$N$495,(SUMPRODUCT((('CASE MASTER'!$T$2:$T$495=8)*('CASE MASTER'!$AA$2:$AA$495&lt;=5)*('CASE MASTER'!$AC$2:$AC$495&gt;=5)*('CASE MASTER'!$AB$2:$AB$495&lt;=4)*('CASE MASTER'!$AD$2:$AD$495&gt;=4))*ROW('CASE MASTER'!$T$2:$T$495))-(ROW('CASE MASTER'!#REF!)-1))),":",","),",",REPT(" ",50)),(((INDEX('CASE MASTER'!$Z$2:$Z$495,(SUMPRODUCT((('CASE MASTER'!$T$2:$T$495=8)*('CASE MASTER'!$AA$2:$AA$495&lt;=5)*('CASE MASTER'!$AC$2:$AC$495&gt;=5)*('CASE MASTER'!$AB$2:$AB$495&lt;=4)*('CASE MASTER'!$AD$2:$AD$495&gt;=4))*ROW('CASE MASTER'!$T$2:$T$495))-(ROW('CASE MASTER'!#REF!)-1)))+((5-INDEX('CASE MASTER'!$AA$2:$AA$495,(SUMPRODUCT((('CASE MASTER'!$T$2:$T$495=8)*('CASE MASTER'!$AA$2:$AA$495&lt;=5)*('CASE MASTER'!$AC$2:$AC$495&gt;=5)*('CASE MASTER'!$AB$2:$AB$495&lt;=4)*('CASE MASTER'!$AD$2:$AD$495&gt;=4))*ROW('CASE MASTER'!$T$2:$T$495))-(ROW('CASE MASTER'!#REF!)-1))))*(INDEX('CASE MASTER'!$AD$2:$AD$495,(SUMPRODUCT((('CASE MASTER'!$T$2:$T$495=8)*('CASE MASTER'!$AA$2:$AA$495&lt;=5)*('CASE MASTER'!$AC$2:$AC$495&gt;=5)*('CASE MASTER'!$AB$2:$AB$495&lt;=4)*('CASE MASTER'!$AD$2:$AD$495&gt;=4))*ROW('CASE MASTER'!$T$2:$T$495))-(ROW('CASE MASTER'!#REF!)-1)))-INDEX('CASE MASTER'!$AB$2:$AB$495,(SUMPRODUCT((('CASE MASTER'!$T$2:$T$495=8)*('CASE MASTER'!$AA$2:$AA$495&lt;=5)*('CASE MASTER'!$AC$2:$AC$495&gt;=5)*('CASE MASTER'!$AB$2:$AB$495&lt;=4)*('CASE MASTER'!$AD$2:$AD$495&gt;=4))*ROW('CASE MASTER'!$T$2:$T$495))-(ROW('CASE MASTER'!#REF!)-1)))+1)+(4-INDEX('CASE MASTER'!$AB$2:$AB$495,(SUMPRODUCT((('CASE MASTER'!$T$2:$T$495=8)*('CASE MASTER'!$AA$2:$AA$495&lt;=5)*('CASE MASTER'!$AC$2:$AC$495&gt;=5)*('CASE MASTER'!$AB$2:$AB$495&lt;=4)*('CASE MASTER'!$AD$2:$AD$495&gt;=4))*ROW('CASE MASTER'!$T$2:$T$495))-(ROW('CASE MASTER'!#REF!)-1))))+1)))-1)*50+1,50))&amp;"_"&amp;INDEX('CASE MASTER'!$Q$2:$Q$495,(SUMPRODUCT((('CASE MASTER'!$T$2:$T$495=8)*('CASE MASTER'!$AA$2:$AA$495&lt;=5)*('CASE MASTER'!$AC$2:$AC$495&gt;=5)*('CASE MASTER'!$AB$2:$AB$495&lt;=4)*('CASE MASTER'!$AD$2:$AD$495&gt;=4))*ROW('CASE MASTER'!$T$2:$T$495))-(ROW('CASE MASTER'!#REF!)-1))),"")),"")</f>
        <v/>
      </c>
      <c r="F105" s="10" t="str">
        <f>IFERROR(IF(SUMPRODUCT((('CASE MASTER'!$T$2:$T$495=8)*('CASE MASTER'!$U$2:$U$495&lt;=5)*('CASE MASTER'!$W$2:$W$495&gt;=5)*('CASE MASTER'!$V$2:$V$495&lt;=5)*('CASE MASTER'!$X$2:$X$495&gt;=5))*ROW('CASE MASTER'!$T$2:$T$495))&gt;0,INDEX('CASE MASTER'!$Y$2:$Y$495,(SUMPRODUCT((('CASE MASTER'!$T$2:$T$495=8)*('CASE MASTER'!$U$2:$U$495&lt;=5)*('CASE MASTER'!$W$2:$W$495&gt;=5)*('CASE MASTER'!$V$2:$V$495&lt;=5)*('CASE MASTER'!$X$2:$X$495&gt;=5))*ROW('CASE MASTER'!$T$2:$T$495))-(ROW('CASE MASTER'!#REF!)-1)))&amp;TRIM(MID(SUBSTITUTE(SUBSTITUTE(INDEX('CASE MASTER'!$N$2:$N$495,(SUMPRODUCT((('CASE MASTER'!$T$2:$T$495=8)*('CASE MASTER'!$U$2:$U$495&lt;=5)*('CASE MASTER'!$W$2:$W$495&gt;=5)*('CASE MASTER'!$V$2:$V$495&lt;=5)*('CASE MASTER'!$X$2:$X$495&gt;=5))*ROW('CASE MASTER'!$T$2:$T$495))-(ROW('CASE MASTER'!#REF!)-1))),":",","),",",REPT(" ",50)),((((5-INDEX('CASE MASTER'!$U$2:$U$495,(SUMPRODUCT((('CASE MASTER'!$T$2:$T$495=8)*('CASE MASTER'!$U$2:$U$495&lt;=5)*('CASE MASTER'!$W$2:$W$495&gt;=5)*('CASE MASTER'!$V$2:$V$495&lt;=5)*('CASE MASTER'!$X$2:$X$495&gt;=5))*ROW('CASE MASTER'!$T$2:$T$495))-(ROW('CASE MASTER'!#REF!)-1))))*(INDEX('CASE MASTER'!$X$2:$X$495,(SUMPRODUCT((('CASE MASTER'!$T$2:$T$495=8)*('CASE MASTER'!$U$2:$U$495&lt;=5)*('CASE MASTER'!$W$2:$W$495&gt;=5)*('CASE MASTER'!$V$2:$V$495&lt;=5)*('CASE MASTER'!$X$2:$X$495&gt;=5))*ROW('CASE MASTER'!$T$2:$T$495))-(ROW('CASE MASTER'!#REF!)-1)))-INDEX('CASE MASTER'!$V$2:$V$495,(SUMPRODUCT((('CASE MASTER'!$T$2:$T$495=8)*('CASE MASTER'!$U$2:$U$495&lt;=5)*('CASE MASTER'!$W$2:$W$495&gt;=5)*('CASE MASTER'!$V$2:$V$495&lt;=5)*('CASE MASTER'!$X$2:$X$495&gt;=5))*ROW('CASE MASTER'!$T$2:$T$495))-(ROW('CASE MASTER'!#REF!)-1)))+1)+(5-INDEX('CASE MASTER'!$V$2:$V$495,(SUMPRODUCT((('CASE MASTER'!$T$2:$T$495=8)*('CASE MASTER'!$U$2:$U$495&lt;=5)*('CASE MASTER'!$W$2:$W$495&gt;=5)*('CASE MASTER'!$V$2:$V$495&lt;=5)*('CASE MASTER'!$X$2:$X$495&gt;=5))*ROW('CASE MASTER'!$T$2:$T$495))-(ROW('CASE MASTER'!#REF!)-1))))+1))-1)*50+1,50))&amp;"_"&amp;INDEX('CASE MASTER'!$Q$2:$Q$495,(SUMPRODUCT((('CASE MASTER'!$T$2:$T$495=8)*('CASE MASTER'!$U$2:$U$495&lt;=5)*('CASE MASTER'!$W$2:$W$495&gt;=5)*('CASE MASTER'!$V$2:$V$495&lt;=5)*('CASE MASTER'!$X$2:$X$495&gt;=5))*ROW('CASE MASTER'!$T$2:$T$495))-(ROW('CASE MASTER'!#REF!)-1))),IF(SUMPRODUCT((('CASE MASTER'!$T$2:$T$495=8)*('CASE MASTER'!$AA$2:$AA$495&lt;=5)*('CASE MASTER'!$AC$2:$AC$495&gt;=5)*('CASE MASTER'!$AB$2:$AB$495&lt;=5)*('CASE MASTER'!$AD$2:$AD$495&gt;=5))*ROW('CASE MASTER'!$T$2:$T$495))&gt;0,INDEX('CASE MASTER'!$Y$2:$Y$495,(SUMPRODUCT((('CASE MASTER'!$T$2:$T$495=8)*('CASE MASTER'!$AA$2:$AA$495&lt;=5)*('CASE MASTER'!$AC$2:$AC$495&gt;=5)*('CASE MASTER'!$AB$2:$AB$495&lt;=5)*('CASE MASTER'!$AD$2:$AD$495&gt;=5))*ROW('CASE MASTER'!$T$2:$T$495))-(ROW('CASE MASTER'!#REF!)-1)))&amp;TRIM(MID(SUBSTITUTE(SUBSTITUTE(INDEX('CASE MASTER'!$N$2:$N$495,(SUMPRODUCT((('CASE MASTER'!$T$2:$T$495=8)*('CASE MASTER'!$AA$2:$AA$495&lt;=5)*('CASE MASTER'!$AC$2:$AC$495&gt;=5)*('CASE MASTER'!$AB$2:$AB$495&lt;=5)*('CASE MASTER'!$AD$2:$AD$495&gt;=5))*ROW('CASE MASTER'!$T$2:$T$495))-(ROW('CASE MASTER'!#REF!)-1))),":",","),",",REPT(" ",50)),(((INDEX('CASE MASTER'!$Z$2:$Z$495,(SUMPRODUCT((('CASE MASTER'!$T$2:$T$495=8)*('CASE MASTER'!$AA$2:$AA$495&lt;=5)*('CASE MASTER'!$AC$2:$AC$495&gt;=5)*('CASE MASTER'!$AB$2:$AB$495&lt;=5)*('CASE MASTER'!$AD$2:$AD$495&gt;=5))*ROW('CASE MASTER'!$T$2:$T$495))-(ROW('CASE MASTER'!#REF!)-1)))+((5-INDEX('CASE MASTER'!$AA$2:$AA$495,(SUMPRODUCT((('CASE MASTER'!$T$2:$T$495=8)*('CASE MASTER'!$AA$2:$AA$495&lt;=5)*('CASE MASTER'!$AC$2:$AC$495&gt;=5)*('CASE MASTER'!$AB$2:$AB$495&lt;=5)*('CASE MASTER'!$AD$2:$AD$495&gt;=5))*ROW('CASE MASTER'!$T$2:$T$495))-(ROW('CASE MASTER'!#REF!)-1))))*(INDEX('CASE MASTER'!$AD$2:$AD$495,(SUMPRODUCT((('CASE MASTER'!$T$2:$T$495=8)*('CASE MASTER'!$AA$2:$AA$495&lt;=5)*('CASE MASTER'!$AC$2:$AC$495&gt;=5)*('CASE MASTER'!$AB$2:$AB$495&lt;=5)*('CASE MASTER'!$AD$2:$AD$495&gt;=5))*ROW('CASE MASTER'!$T$2:$T$495))-(ROW('CASE MASTER'!#REF!)-1)))-INDEX('CASE MASTER'!$AB$2:$AB$495,(SUMPRODUCT((('CASE MASTER'!$T$2:$T$495=8)*('CASE MASTER'!$AA$2:$AA$495&lt;=5)*('CASE MASTER'!$AC$2:$AC$495&gt;=5)*('CASE MASTER'!$AB$2:$AB$495&lt;=5)*('CASE MASTER'!$AD$2:$AD$495&gt;=5))*ROW('CASE MASTER'!$T$2:$T$495))-(ROW('CASE MASTER'!#REF!)-1)))+1)+(5-INDEX('CASE MASTER'!$AB$2:$AB$495,(SUMPRODUCT((('CASE MASTER'!$T$2:$T$495=8)*('CASE MASTER'!$AA$2:$AA$495&lt;=5)*('CASE MASTER'!$AC$2:$AC$495&gt;=5)*('CASE MASTER'!$AB$2:$AB$495&lt;=5)*('CASE MASTER'!$AD$2:$AD$495&gt;=5))*ROW('CASE MASTER'!$T$2:$T$495))-(ROW('CASE MASTER'!#REF!)-1))))+1)))-1)*50+1,50))&amp;"_"&amp;INDEX('CASE MASTER'!$Q$2:$Q$495,(SUMPRODUCT((('CASE MASTER'!$T$2:$T$495=8)*('CASE MASTER'!$AA$2:$AA$495&lt;=5)*('CASE MASTER'!$AC$2:$AC$495&gt;=5)*('CASE MASTER'!$AB$2:$AB$495&lt;=5)*('CASE MASTER'!$AD$2:$AD$495&gt;=5))*ROW('CASE MASTER'!$T$2:$T$495))-(ROW('CASE MASTER'!#REF!)-1))),"")),"")</f>
        <v/>
      </c>
      <c r="G105" s="10" t="str">
        <f>IFERROR(IF(SUMPRODUCT((('CASE MASTER'!$T$2:$T$495=8)*('CASE MASTER'!$U$2:$U$495&lt;=5)*('CASE MASTER'!$W$2:$W$495&gt;=5)*('CASE MASTER'!$V$2:$V$495&lt;=6)*('CASE MASTER'!$X$2:$X$495&gt;=6))*ROW('CASE MASTER'!$T$2:$T$495))&gt;0,INDEX('CASE MASTER'!$Y$2:$Y$495,(SUMPRODUCT((('CASE MASTER'!$T$2:$T$495=8)*('CASE MASTER'!$U$2:$U$495&lt;=5)*('CASE MASTER'!$W$2:$W$495&gt;=5)*('CASE MASTER'!$V$2:$V$495&lt;=6)*('CASE MASTER'!$X$2:$X$495&gt;=6))*ROW('CASE MASTER'!$T$2:$T$495))-(ROW('CASE MASTER'!#REF!)-1)))&amp;TRIM(MID(SUBSTITUTE(SUBSTITUTE(INDEX('CASE MASTER'!$N$2:$N$495,(SUMPRODUCT((('CASE MASTER'!$T$2:$T$495=8)*('CASE MASTER'!$U$2:$U$495&lt;=5)*('CASE MASTER'!$W$2:$W$495&gt;=5)*('CASE MASTER'!$V$2:$V$495&lt;=6)*('CASE MASTER'!$X$2:$X$495&gt;=6))*ROW('CASE MASTER'!$T$2:$T$495))-(ROW('CASE MASTER'!#REF!)-1))),":",","),",",REPT(" ",50)),((((5-INDEX('CASE MASTER'!$U$2:$U$495,(SUMPRODUCT((('CASE MASTER'!$T$2:$T$495=8)*('CASE MASTER'!$U$2:$U$495&lt;=5)*('CASE MASTER'!$W$2:$W$495&gt;=5)*('CASE MASTER'!$V$2:$V$495&lt;=6)*('CASE MASTER'!$X$2:$X$495&gt;=6))*ROW('CASE MASTER'!$T$2:$T$495))-(ROW('CASE MASTER'!#REF!)-1))))*(INDEX('CASE MASTER'!$X$2:$X$495,(SUMPRODUCT((('CASE MASTER'!$T$2:$T$495=8)*('CASE MASTER'!$U$2:$U$495&lt;=5)*('CASE MASTER'!$W$2:$W$495&gt;=5)*('CASE MASTER'!$V$2:$V$495&lt;=6)*('CASE MASTER'!$X$2:$X$495&gt;=6))*ROW('CASE MASTER'!$T$2:$T$495))-(ROW('CASE MASTER'!#REF!)-1)))-INDEX('CASE MASTER'!$V$2:$V$495,(SUMPRODUCT((('CASE MASTER'!$T$2:$T$495=8)*('CASE MASTER'!$U$2:$U$495&lt;=5)*('CASE MASTER'!$W$2:$W$495&gt;=5)*('CASE MASTER'!$V$2:$V$495&lt;=6)*('CASE MASTER'!$X$2:$X$495&gt;=6))*ROW('CASE MASTER'!$T$2:$T$495))-(ROW('CASE MASTER'!#REF!)-1)))+1)+(6-INDEX('CASE MASTER'!$V$2:$V$495,(SUMPRODUCT((('CASE MASTER'!$T$2:$T$495=8)*('CASE MASTER'!$U$2:$U$495&lt;=5)*('CASE MASTER'!$W$2:$W$495&gt;=5)*('CASE MASTER'!$V$2:$V$495&lt;=6)*('CASE MASTER'!$X$2:$X$495&gt;=6))*ROW('CASE MASTER'!$T$2:$T$495))-(ROW('CASE MASTER'!#REF!)-1))))+1))-1)*50+1,50))&amp;"_"&amp;INDEX('CASE MASTER'!$Q$2:$Q$495,(SUMPRODUCT((('CASE MASTER'!$T$2:$T$495=8)*('CASE MASTER'!$U$2:$U$495&lt;=5)*('CASE MASTER'!$W$2:$W$495&gt;=5)*('CASE MASTER'!$V$2:$V$495&lt;=6)*('CASE MASTER'!$X$2:$X$495&gt;=6))*ROW('CASE MASTER'!$T$2:$T$495))-(ROW('CASE MASTER'!#REF!)-1))),IF(SUMPRODUCT((('CASE MASTER'!$T$2:$T$495=8)*('CASE MASTER'!$AA$2:$AA$495&lt;=5)*('CASE MASTER'!$AC$2:$AC$495&gt;=5)*('CASE MASTER'!$AB$2:$AB$495&lt;=6)*('CASE MASTER'!$AD$2:$AD$495&gt;=6))*ROW('CASE MASTER'!$T$2:$T$495))&gt;0,INDEX('CASE MASTER'!$Y$2:$Y$495,(SUMPRODUCT((('CASE MASTER'!$T$2:$T$495=8)*('CASE MASTER'!$AA$2:$AA$495&lt;=5)*('CASE MASTER'!$AC$2:$AC$495&gt;=5)*('CASE MASTER'!$AB$2:$AB$495&lt;=6)*('CASE MASTER'!$AD$2:$AD$495&gt;=6))*ROW('CASE MASTER'!$T$2:$T$495))-(ROW('CASE MASTER'!#REF!)-1)))&amp;TRIM(MID(SUBSTITUTE(SUBSTITUTE(INDEX('CASE MASTER'!$N$2:$N$495,(SUMPRODUCT((('CASE MASTER'!$T$2:$T$495=8)*('CASE MASTER'!$AA$2:$AA$495&lt;=5)*('CASE MASTER'!$AC$2:$AC$495&gt;=5)*('CASE MASTER'!$AB$2:$AB$495&lt;=6)*('CASE MASTER'!$AD$2:$AD$495&gt;=6))*ROW('CASE MASTER'!$T$2:$T$495))-(ROW('CASE MASTER'!#REF!)-1))),":",","),",",REPT(" ",50)),(((INDEX('CASE MASTER'!$Z$2:$Z$495,(SUMPRODUCT((('CASE MASTER'!$T$2:$T$495=8)*('CASE MASTER'!$AA$2:$AA$495&lt;=5)*('CASE MASTER'!$AC$2:$AC$495&gt;=5)*('CASE MASTER'!$AB$2:$AB$495&lt;=6)*('CASE MASTER'!$AD$2:$AD$495&gt;=6))*ROW('CASE MASTER'!$T$2:$T$495))-(ROW('CASE MASTER'!#REF!)-1)))+((5-INDEX('CASE MASTER'!$AA$2:$AA$495,(SUMPRODUCT((('CASE MASTER'!$T$2:$T$495=8)*('CASE MASTER'!$AA$2:$AA$495&lt;=5)*('CASE MASTER'!$AC$2:$AC$495&gt;=5)*('CASE MASTER'!$AB$2:$AB$495&lt;=6)*('CASE MASTER'!$AD$2:$AD$495&gt;=6))*ROW('CASE MASTER'!$T$2:$T$495))-(ROW('CASE MASTER'!#REF!)-1))))*(INDEX('CASE MASTER'!$AD$2:$AD$495,(SUMPRODUCT((('CASE MASTER'!$T$2:$T$495=8)*('CASE MASTER'!$AA$2:$AA$495&lt;=5)*('CASE MASTER'!$AC$2:$AC$495&gt;=5)*('CASE MASTER'!$AB$2:$AB$495&lt;=6)*('CASE MASTER'!$AD$2:$AD$495&gt;=6))*ROW('CASE MASTER'!$T$2:$T$495))-(ROW('CASE MASTER'!#REF!)-1)))-INDEX('CASE MASTER'!$AB$2:$AB$495,(SUMPRODUCT((('CASE MASTER'!$T$2:$T$495=8)*('CASE MASTER'!$AA$2:$AA$495&lt;=5)*('CASE MASTER'!$AC$2:$AC$495&gt;=5)*('CASE MASTER'!$AB$2:$AB$495&lt;=6)*('CASE MASTER'!$AD$2:$AD$495&gt;=6))*ROW('CASE MASTER'!$T$2:$T$495))-(ROW('CASE MASTER'!#REF!)-1)))+1)+(6-INDEX('CASE MASTER'!$AB$2:$AB$495,(SUMPRODUCT((('CASE MASTER'!$T$2:$T$495=8)*('CASE MASTER'!$AA$2:$AA$495&lt;=5)*('CASE MASTER'!$AC$2:$AC$495&gt;=5)*('CASE MASTER'!$AB$2:$AB$495&lt;=6)*('CASE MASTER'!$AD$2:$AD$495&gt;=6))*ROW('CASE MASTER'!$T$2:$T$495))-(ROW('CASE MASTER'!#REF!)-1))))+1)))-1)*50+1,50))&amp;"_"&amp;INDEX('CASE MASTER'!$Q$2:$Q$495,(SUMPRODUCT((('CASE MASTER'!$T$2:$T$495=8)*('CASE MASTER'!$AA$2:$AA$495&lt;=5)*('CASE MASTER'!$AC$2:$AC$495&gt;=5)*('CASE MASTER'!$AB$2:$AB$495&lt;=6)*('CASE MASTER'!$AD$2:$AD$495&gt;=6))*ROW('CASE MASTER'!$T$2:$T$495))-(ROW('CASE MASTER'!#REF!)-1))),"")),"")</f>
        <v/>
      </c>
      <c r="H105" s="10" t="str">
        <f>IFERROR(IF(SUMPRODUCT((('CASE MASTER'!$T$2:$T$495=8)*('CASE MASTER'!$U$2:$U$495&lt;=5)*('CASE MASTER'!$W$2:$W$495&gt;=5)*('CASE MASTER'!$V$2:$V$495&lt;=7)*('CASE MASTER'!$X$2:$X$495&gt;=7))*ROW('CASE MASTER'!$T$2:$T$495))&gt;0,INDEX('CASE MASTER'!$Y$2:$Y$495,(SUMPRODUCT((('CASE MASTER'!$T$2:$T$495=8)*('CASE MASTER'!$U$2:$U$495&lt;=5)*('CASE MASTER'!$W$2:$W$495&gt;=5)*('CASE MASTER'!$V$2:$V$495&lt;=7)*('CASE MASTER'!$X$2:$X$495&gt;=7))*ROW('CASE MASTER'!$T$2:$T$495))-(ROW('CASE MASTER'!#REF!)-1)))&amp;TRIM(MID(SUBSTITUTE(SUBSTITUTE(INDEX('CASE MASTER'!$N$2:$N$495,(SUMPRODUCT((('CASE MASTER'!$T$2:$T$495=8)*('CASE MASTER'!$U$2:$U$495&lt;=5)*('CASE MASTER'!$W$2:$W$495&gt;=5)*('CASE MASTER'!$V$2:$V$495&lt;=7)*('CASE MASTER'!$X$2:$X$495&gt;=7))*ROW('CASE MASTER'!$T$2:$T$495))-(ROW('CASE MASTER'!#REF!)-1))),":",","),",",REPT(" ",50)),((((5-INDEX('CASE MASTER'!$U$2:$U$495,(SUMPRODUCT((('CASE MASTER'!$T$2:$T$495=8)*('CASE MASTER'!$U$2:$U$495&lt;=5)*('CASE MASTER'!$W$2:$W$495&gt;=5)*('CASE MASTER'!$V$2:$V$495&lt;=7)*('CASE MASTER'!$X$2:$X$495&gt;=7))*ROW('CASE MASTER'!$T$2:$T$495))-(ROW('CASE MASTER'!#REF!)-1))))*(INDEX('CASE MASTER'!$X$2:$X$495,(SUMPRODUCT((('CASE MASTER'!$T$2:$T$495=8)*('CASE MASTER'!$U$2:$U$495&lt;=5)*('CASE MASTER'!$W$2:$W$495&gt;=5)*('CASE MASTER'!$V$2:$V$495&lt;=7)*('CASE MASTER'!$X$2:$X$495&gt;=7))*ROW('CASE MASTER'!$T$2:$T$495))-(ROW('CASE MASTER'!#REF!)-1)))-INDEX('CASE MASTER'!$V$2:$V$495,(SUMPRODUCT((('CASE MASTER'!$T$2:$T$495=8)*('CASE MASTER'!$U$2:$U$495&lt;=5)*('CASE MASTER'!$W$2:$W$495&gt;=5)*('CASE MASTER'!$V$2:$V$495&lt;=7)*('CASE MASTER'!$X$2:$X$495&gt;=7))*ROW('CASE MASTER'!$T$2:$T$495))-(ROW('CASE MASTER'!#REF!)-1)))+1)+(7-INDEX('CASE MASTER'!$V$2:$V$495,(SUMPRODUCT((('CASE MASTER'!$T$2:$T$495=8)*('CASE MASTER'!$U$2:$U$495&lt;=5)*('CASE MASTER'!$W$2:$W$495&gt;=5)*('CASE MASTER'!$V$2:$V$495&lt;=7)*('CASE MASTER'!$X$2:$X$495&gt;=7))*ROW('CASE MASTER'!$T$2:$T$495))-(ROW('CASE MASTER'!#REF!)-1))))+1))-1)*50+1,50))&amp;"_"&amp;INDEX('CASE MASTER'!$Q$2:$Q$495,(SUMPRODUCT((('CASE MASTER'!$T$2:$T$495=8)*('CASE MASTER'!$U$2:$U$495&lt;=5)*('CASE MASTER'!$W$2:$W$495&gt;=5)*('CASE MASTER'!$V$2:$V$495&lt;=7)*('CASE MASTER'!$X$2:$X$495&gt;=7))*ROW('CASE MASTER'!$T$2:$T$495))-(ROW('CASE MASTER'!#REF!)-1))),IF(SUMPRODUCT((('CASE MASTER'!$T$2:$T$495=8)*('CASE MASTER'!$AA$2:$AA$495&lt;=5)*('CASE MASTER'!$AC$2:$AC$495&gt;=5)*('CASE MASTER'!$AB$2:$AB$495&lt;=7)*('CASE MASTER'!$AD$2:$AD$495&gt;=7))*ROW('CASE MASTER'!$T$2:$T$495))&gt;0,INDEX('CASE MASTER'!$Y$2:$Y$495,(SUMPRODUCT((('CASE MASTER'!$T$2:$T$495=8)*('CASE MASTER'!$AA$2:$AA$495&lt;=5)*('CASE MASTER'!$AC$2:$AC$495&gt;=5)*('CASE MASTER'!$AB$2:$AB$495&lt;=7)*('CASE MASTER'!$AD$2:$AD$495&gt;=7))*ROW('CASE MASTER'!$T$2:$T$495))-(ROW('CASE MASTER'!#REF!)-1)))&amp;TRIM(MID(SUBSTITUTE(SUBSTITUTE(INDEX('CASE MASTER'!$N$2:$N$495,(SUMPRODUCT((('CASE MASTER'!$T$2:$T$495=8)*('CASE MASTER'!$AA$2:$AA$495&lt;=5)*('CASE MASTER'!$AC$2:$AC$495&gt;=5)*('CASE MASTER'!$AB$2:$AB$495&lt;=7)*('CASE MASTER'!$AD$2:$AD$495&gt;=7))*ROW('CASE MASTER'!$T$2:$T$495))-(ROW('CASE MASTER'!#REF!)-1))),":",","),",",REPT(" ",50)),(((INDEX('CASE MASTER'!$Z$2:$Z$495,(SUMPRODUCT((('CASE MASTER'!$T$2:$T$495=8)*('CASE MASTER'!$AA$2:$AA$495&lt;=5)*('CASE MASTER'!$AC$2:$AC$495&gt;=5)*('CASE MASTER'!$AB$2:$AB$495&lt;=7)*('CASE MASTER'!$AD$2:$AD$495&gt;=7))*ROW('CASE MASTER'!$T$2:$T$495))-(ROW('CASE MASTER'!#REF!)-1)))+((5-INDEX('CASE MASTER'!$AA$2:$AA$495,(SUMPRODUCT((('CASE MASTER'!$T$2:$T$495=8)*('CASE MASTER'!$AA$2:$AA$495&lt;=5)*('CASE MASTER'!$AC$2:$AC$495&gt;=5)*('CASE MASTER'!$AB$2:$AB$495&lt;=7)*('CASE MASTER'!$AD$2:$AD$495&gt;=7))*ROW('CASE MASTER'!$T$2:$T$495))-(ROW('CASE MASTER'!#REF!)-1))))*(INDEX('CASE MASTER'!$AD$2:$AD$495,(SUMPRODUCT((('CASE MASTER'!$T$2:$T$495=8)*('CASE MASTER'!$AA$2:$AA$495&lt;=5)*('CASE MASTER'!$AC$2:$AC$495&gt;=5)*('CASE MASTER'!$AB$2:$AB$495&lt;=7)*('CASE MASTER'!$AD$2:$AD$495&gt;=7))*ROW('CASE MASTER'!$T$2:$T$495))-(ROW('CASE MASTER'!#REF!)-1)))-INDEX('CASE MASTER'!$AB$2:$AB$495,(SUMPRODUCT((('CASE MASTER'!$T$2:$T$495=8)*('CASE MASTER'!$AA$2:$AA$495&lt;=5)*('CASE MASTER'!$AC$2:$AC$495&gt;=5)*('CASE MASTER'!$AB$2:$AB$495&lt;=7)*('CASE MASTER'!$AD$2:$AD$495&gt;=7))*ROW('CASE MASTER'!$T$2:$T$495))-(ROW('CASE MASTER'!#REF!)-1)))+1)+(7-INDEX('CASE MASTER'!$AB$2:$AB$495,(SUMPRODUCT((('CASE MASTER'!$T$2:$T$495=8)*('CASE MASTER'!$AA$2:$AA$495&lt;=5)*('CASE MASTER'!$AC$2:$AC$495&gt;=5)*('CASE MASTER'!$AB$2:$AB$495&lt;=7)*('CASE MASTER'!$AD$2:$AD$495&gt;=7))*ROW('CASE MASTER'!$T$2:$T$495))-(ROW('CASE MASTER'!#REF!)-1))))+1)))-1)*50+1,50))&amp;"_"&amp;INDEX('CASE MASTER'!$Q$2:$Q$495,(SUMPRODUCT((('CASE MASTER'!$T$2:$T$495=8)*('CASE MASTER'!$AA$2:$AA$495&lt;=5)*('CASE MASTER'!$AC$2:$AC$495&gt;=5)*('CASE MASTER'!$AB$2:$AB$495&lt;=7)*('CASE MASTER'!$AD$2:$AD$495&gt;=7))*ROW('CASE MASTER'!$T$2:$T$495))-(ROW('CASE MASTER'!#REF!)-1))),"")),"")</f>
        <v/>
      </c>
      <c r="I105" s="10" t="str">
        <f>IFERROR(IF(SUMPRODUCT((('CASE MASTER'!$T$2:$T$495=8)*('CASE MASTER'!$U$2:$U$495&lt;=5)*('CASE MASTER'!$W$2:$W$495&gt;=5)*('CASE MASTER'!$V$2:$V$495&lt;=8)*('CASE MASTER'!$X$2:$X$495&gt;=8))*ROW('CASE MASTER'!$T$2:$T$495))&gt;0,INDEX('CASE MASTER'!$Y$2:$Y$495,(SUMPRODUCT((('CASE MASTER'!$T$2:$T$495=8)*('CASE MASTER'!$U$2:$U$495&lt;=5)*('CASE MASTER'!$W$2:$W$495&gt;=5)*('CASE MASTER'!$V$2:$V$495&lt;=8)*('CASE MASTER'!$X$2:$X$495&gt;=8))*ROW('CASE MASTER'!$T$2:$T$495))-(ROW('CASE MASTER'!#REF!)-1)))&amp;TRIM(MID(SUBSTITUTE(SUBSTITUTE(INDEX('CASE MASTER'!$N$2:$N$495,(SUMPRODUCT((('CASE MASTER'!$T$2:$T$495=8)*('CASE MASTER'!$U$2:$U$495&lt;=5)*('CASE MASTER'!$W$2:$W$495&gt;=5)*('CASE MASTER'!$V$2:$V$495&lt;=8)*('CASE MASTER'!$X$2:$X$495&gt;=8))*ROW('CASE MASTER'!$T$2:$T$495))-(ROW('CASE MASTER'!#REF!)-1))),":",","),",",REPT(" ",50)),((((5-INDEX('CASE MASTER'!$U$2:$U$495,(SUMPRODUCT((('CASE MASTER'!$T$2:$T$495=8)*('CASE MASTER'!$U$2:$U$495&lt;=5)*('CASE MASTER'!$W$2:$W$495&gt;=5)*('CASE MASTER'!$V$2:$V$495&lt;=8)*('CASE MASTER'!$X$2:$X$495&gt;=8))*ROW('CASE MASTER'!$T$2:$T$495))-(ROW('CASE MASTER'!#REF!)-1))))*(INDEX('CASE MASTER'!$X$2:$X$495,(SUMPRODUCT((('CASE MASTER'!$T$2:$T$495=8)*('CASE MASTER'!$U$2:$U$495&lt;=5)*('CASE MASTER'!$W$2:$W$495&gt;=5)*('CASE MASTER'!$V$2:$V$495&lt;=8)*('CASE MASTER'!$X$2:$X$495&gt;=8))*ROW('CASE MASTER'!$T$2:$T$495))-(ROW('CASE MASTER'!#REF!)-1)))-INDEX('CASE MASTER'!$V$2:$V$495,(SUMPRODUCT((('CASE MASTER'!$T$2:$T$495=8)*('CASE MASTER'!$U$2:$U$495&lt;=5)*('CASE MASTER'!$W$2:$W$495&gt;=5)*('CASE MASTER'!$V$2:$V$495&lt;=8)*('CASE MASTER'!$X$2:$X$495&gt;=8))*ROW('CASE MASTER'!$T$2:$T$495))-(ROW('CASE MASTER'!#REF!)-1)))+1)+(8-INDEX('CASE MASTER'!$V$2:$V$495,(SUMPRODUCT((('CASE MASTER'!$T$2:$T$495=8)*('CASE MASTER'!$U$2:$U$495&lt;=5)*('CASE MASTER'!$W$2:$W$495&gt;=5)*('CASE MASTER'!$V$2:$V$495&lt;=8)*('CASE MASTER'!$X$2:$X$495&gt;=8))*ROW('CASE MASTER'!$T$2:$T$495))-(ROW('CASE MASTER'!#REF!)-1))))+1))-1)*50+1,50))&amp;"_"&amp;INDEX('CASE MASTER'!$Q$2:$Q$495,(SUMPRODUCT((('CASE MASTER'!$T$2:$T$495=8)*('CASE MASTER'!$U$2:$U$495&lt;=5)*('CASE MASTER'!$W$2:$W$495&gt;=5)*('CASE MASTER'!$V$2:$V$495&lt;=8)*('CASE MASTER'!$X$2:$X$495&gt;=8))*ROW('CASE MASTER'!$T$2:$T$495))-(ROW('CASE MASTER'!#REF!)-1))),IF(SUMPRODUCT((('CASE MASTER'!$T$2:$T$495=8)*('CASE MASTER'!$AA$2:$AA$495&lt;=5)*('CASE MASTER'!$AC$2:$AC$495&gt;=5)*('CASE MASTER'!$AB$2:$AB$495&lt;=8)*('CASE MASTER'!$AD$2:$AD$495&gt;=8))*ROW('CASE MASTER'!$T$2:$T$495))&gt;0,INDEX('CASE MASTER'!$Y$2:$Y$495,(SUMPRODUCT((('CASE MASTER'!$T$2:$T$495=8)*('CASE MASTER'!$AA$2:$AA$495&lt;=5)*('CASE MASTER'!$AC$2:$AC$495&gt;=5)*('CASE MASTER'!$AB$2:$AB$495&lt;=8)*('CASE MASTER'!$AD$2:$AD$495&gt;=8))*ROW('CASE MASTER'!$T$2:$T$495))-(ROW('CASE MASTER'!#REF!)-1)))&amp;TRIM(MID(SUBSTITUTE(SUBSTITUTE(INDEX('CASE MASTER'!$N$2:$N$495,(SUMPRODUCT((('CASE MASTER'!$T$2:$T$495=8)*('CASE MASTER'!$AA$2:$AA$495&lt;=5)*('CASE MASTER'!$AC$2:$AC$495&gt;=5)*('CASE MASTER'!$AB$2:$AB$495&lt;=8)*('CASE MASTER'!$AD$2:$AD$495&gt;=8))*ROW('CASE MASTER'!$T$2:$T$495))-(ROW('CASE MASTER'!#REF!)-1))),":",","),",",REPT(" ",50)),(((INDEX('CASE MASTER'!$Z$2:$Z$495,(SUMPRODUCT((('CASE MASTER'!$T$2:$T$495=8)*('CASE MASTER'!$AA$2:$AA$495&lt;=5)*('CASE MASTER'!$AC$2:$AC$495&gt;=5)*('CASE MASTER'!$AB$2:$AB$495&lt;=8)*('CASE MASTER'!$AD$2:$AD$495&gt;=8))*ROW('CASE MASTER'!$T$2:$T$495))-(ROW('CASE MASTER'!#REF!)-1)))+((5-INDEX('CASE MASTER'!$AA$2:$AA$495,(SUMPRODUCT((('CASE MASTER'!$T$2:$T$495=8)*('CASE MASTER'!$AA$2:$AA$495&lt;=5)*('CASE MASTER'!$AC$2:$AC$495&gt;=5)*('CASE MASTER'!$AB$2:$AB$495&lt;=8)*('CASE MASTER'!$AD$2:$AD$495&gt;=8))*ROW('CASE MASTER'!$T$2:$T$495))-(ROW('CASE MASTER'!#REF!)-1))))*(INDEX('CASE MASTER'!$AD$2:$AD$495,(SUMPRODUCT((('CASE MASTER'!$T$2:$T$495=8)*('CASE MASTER'!$AA$2:$AA$495&lt;=5)*('CASE MASTER'!$AC$2:$AC$495&gt;=5)*('CASE MASTER'!$AB$2:$AB$495&lt;=8)*('CASE MASTER'!$AD$2:$AD$495&gt;=8))*ROW('CASE MASTER'!$T$2:$T$495))-(ROW('CASE MASTER'!#REF!)-1)))-INDEX('CASE MASTER'!$AB$2:$AB$495,(SUMPRODUCT((('CASE MASTER'!$T$2:$T$495=8)*('CASE MASTER'!$AA$2:$AA$495&lt;=5)*('CASE MASTER'!$AC$2:$AC$495&gt;=5)*('CASE MASTER'!$AB$2:$AB$495&lt;=8)*('CASE MASTER'!$AD$2:$AD$495&gt;=8))*ROW('CASE MASTER'!$T$2:$T$495))-(ROW('CASE MASTER'!#REF!)-1)))+1)+(8-INDEX('CASE MASTER'!$AB$2:$AB$495,(SUMPRODUCT((('CASE MASTER'!$T$2:$T$495=8)*('CASE MASTER'!$AA$2:$AA$495&lt;=5)*('CASE MASTER'!$AC$2:$AC$495&gt;=5)*('CASE MASTER'!$AB$2:$AB$495&lt;=8)*('CASE MASTER'!$AD$2:$AD$495&gt;=8))*ROW('CASE MASTER'!$T$2:$T$495))-(ROW('CASE MASTER'!#REF!)-1))))+1)))-1)*50+1,50))&amp;"_"&amp;INDEX('CASE MASTER'!$Q$2:$Q$495,(SUMPRODUCT((('CASE MASTER'!$T$2:$T$495=8)*('CASE MASTER'!$AA$2:$AA$495&lt;=5)*('CASE MASTER'!$AC$2:$AC$495&gt;=5)*('CASE MASTER'!$AB$2:$AB$495&lt;=8)*('CASE MASTER'!$AD$2:$AD$495&gt;=8))*ROW('CASE MASTER'!$T$2:$T$495))-(ROW('CASE MASTER'!#REF!)-1))),"")),"")</f>
        <v/>
      </c>
      <c r="J105" s="10" t="str">
        <f>IFERROR(IF(SUMPRODUCT((('CASE MASTER'!$T$2:$T$495=8)*('CASE MASTER'!$U$2:$U$495&lt;=5)*('CASE MASTER'!$W$2:$W$495&gt;=5)*('CASE MASTER'!$V$2:$V$495&lt;=9)*('CASE MASTER'!$X$2:$X$495&gt;=9))*ROW('CASE MASTER'!$T$2:$T$495))&gt;0,INDEX('CASE MASTER'!$Y$2:$Y$495,(SUMPRODUCT((('CASE MASTER'!$T$2:$T$495=8)*('CASE MASTER'!$U$2:$U$495&lt;=5)*('CASE MASTER'!$W$2:$W$495&gt;=5)*('CASE MASTER'!$V$2:$V$495&lt;=9)*('CASE MASTER'!$X$2:$X$495&gt;=9))*ROW('CASE MASTER'!$T$2:$T$495))-(ROW('CASE MASTER'!#REF!)-1)))&amp;TRIM(MID(SUBSTITUTE(SUBSTITUTE(INDEX('CASE MASTER'!$N$2:$N$495,(SUMPRODUCT((('CASE MASTER'!$T$2:$T$495=8)*('CASE MASTER'!$U$2:$U$495&lt;=5)*('CASE MASTER'!$W$2:$W$495&gt;=5)*('CASE MASTER'!$V$2:$V$495&lt;=9)*('CASE MASTER'!$X$2:$X$495&gt;=9))*ROW('CASE MASTER'!$T$2:$T$495))-(ROW('CASE MASTER'!#REF!)-1))),":",","),",",REPT(" ",50)),((((5-INDEX('CASE MASTER'!$U$2:$U$495,(SUMPRODUCT((('CASE MASTER'!$T$2:$T$495=8)*('CASE MASTER'!$U$2:$U$495&lt;=5)*('CASE MASTER'!$W$2:$W$495&gt;=5)*('CASE MASTER'!$V$2:$V$495&lt;=9)*('CASE MASTER'!$X$2:$X$495&gt;=9))*ROW('CASE MASTER'!$T$2:$T$495))-(ROW('CASE MASTER'!#REF!)-1))))*(INDEX('CASE MASTER'!$X$2:$X$495,(SUMPRODUCT((('CASE MASTER'!$T$2:$T$495=8)*('CASE MASTER'!$U$2:$U$495&lt;=5)*('CASE MASTER'!$W$2:$W$495&gt;=5)*('CASE MASTER'!$V$2:$V$495&lt;=9)*('CASE MASTER'!$X$2:$X$495&gt;=9))*ROW('CASE MASTER'!$T$2:$T$495))-(ROW('CASE MASTER'!#REF!)-1)))-INDEX('CASE MASTER'!$V$2:$V$495,(SUMPRODUCT((('CASE MASTER'!$T$2:$T$495=8)*('CASE MASTER'!$U$2:$U$495&lt;=5)*('CASE MASTER'!$W$2:$W$495&gt;=5)*('CASE MASTER'!$V$2:$V$495&lt;=9)*('CASE MASTER'!$X$2:$X$495&gt;=9))*ROW('CASE MASTER'!$T$2:$T$495))-(ROW('CASE MASTER'!#REF!)-1)))+1)+(9-INDEX('CASE MASTER'!$V$2:$V$495,(SUMPRODUCT((('CASE MASTER'!$T$2:$T$495=8)*('CASE MASTER'!$U$2:$U$495&lt;=5)*('CASE MASTER'!$W$2:$W$495&gt;=5)*('CASE MASTER'!$V$2:$V$495&lt;=9)*('CASE MASTER'!$X$2:$X$495&gt;=9))*ROW('CASE MASTER'!$T$2:$T$495))-(ROW('CASE MASTER'!#REF!)-1))))+1))-1)*50+1,50))&amp;"_"&amp;INDEX('CASE MASTER'!$Q$2:$Q$495,(SUMPRODUCT((('CASE MASTER'!$T$2:$T$495=8)*('CASE MASTER'!$U$2:$U$495&lt;=5)*('CASE MASTER'!$W$2:$W$495&gt;=5)*('CASE MASTER'!$V$2:$V$495&lt;=9)*('CASE MASTER'!$X$2:$X$495&gt;=9))*ROW('CASE MASTER'!$T$2:$T$495))-(ROW('CASE MASTER'!#REF!)-1))),IF(SUMPRODUCT((('CASE MASTER'!$T$2:$T$495=8)*('CASE MASTER'!$AA$2:$AA$495&lt;=5)*('CASE MASTER'!$AC$2:$AC$495&gt;=5)*('CASE MASTER'!$AB$2:$AB$495&lt;=9)*('CASE MASTER'!$AD$2:$AD$495&gt;=9))*ROW('CASE MASTER'!$T$2:$T$495))&gt;0,INDEX('CASE MASTER'!$Y$2:$Y$495,(SUMPRODUCT((('CASE MASTER'!$T$2:$T$495=8)*('CASE MASTER'!$AA$2:$AA$495&lt;=5)*('CASE MASTER'!$AC$2:$AC$495&gt;=5)*('CASE MASTER'!$AB$2:$AB$495&lt;=9)*('CASE MASTER'!$AD$2:$AD$495&gt;=9))*ROW('CASE MASTER'!$T$2:$T$495))-(ROW('CASE MASTER'!#REF!)-1)))&amp;TRIM(MID(SUBSTITUTE(SUBSTITUTE(INDEX('CASE MASTER'!$N$2:$N$495,(SUMPRODUCT((('CASE MASTER'!$T$2:$T$495=8)*('CASE MASTER'!$AA$2:$AA$495&lt;=5)*('CASE MASTER'!$AC$2:$AC$495&gt;=5)*('CASE MASTER'!$AB$2:$AB$495&lt;=9)*('CASE MASTER'!$AD$2:$AD$495&gt;=9))*ROW('CASE MASTER'!$T$2:$T$495))-(ROW('CASE MASTER'!#REF!)-1))),":",","),",",REPT(" ",50)),(((INDEX('CASE MASTER'!$Z$2:$Z$495,(SUMPRODUCT((('CASE MASTER'!$T$2:$T$495=8)*('CASE MASTER'!$AA$2:$AA$495&lt;=5)*('CASE MASTER'!$AC$2:$AC$495&gt;=5)*('CASE MASTER'!$AB$2:$AB$495&lt;=9)*('CASE MASTER'!$AD$2:$AD$495&gt;=9))*ROW('CASE MASTER'!$T$2:$T$495))-(ROW('CASE MASTER'!#REF!)-1)))+((5-INDEX('CASE MASTER'!$AA$2:$AA$495,(SUMPRODUCT((('CASE MASTER'!$T$2:$T$495=8)*('CASE MASTER'!$AA$2:$AA$495&lt;=5)*('CASE MASTER'!$AC$2:$AC$495&gt;=5)*('CASE MASTER'!$AB$2:$AB$495&lt;=9)*('CASE MASTER'!$AD$2:$AD$495&gt;=9))*ROW('CASE MASTER'!$T$2:$T$495))-(ROW('CASE MASTER'!#REF!)-1))))*(INDEX('CASE MASTER'!$AD$2:$AD$495,(SUMPRODUCT((('CASE MASTER'!$T$2:$T$495=8)*('CASE MASTER'!$AA$2:$AA$495&lt;=5)*('CASE MASTER'!$AC$2:$AC$495&gt;=5)*('CASE MASTER'!$AB$2:$AB$495&lt;=9)*('CASE MASTER'!$AD$2:$AD$495&gt;=9))*ROW('CASE MASTER'!$T$2:$T$495))-(ROW('CASE MASTER'!#REF!)-1)))-INDEX('CASE MASTER'!$AB$2:$AB$495,(SUMPRODUCT((('CASE MASTER'!$T$2:$T$495=8)*('CASE MASTER'!$AA$2:$AA$495&lt;=5)*('CASE MASTER'!$AC$2:$AC$495&gt;=5)*('CASE MASTER'!$AB$2:$AB$495&lt;=9)*('CASE MASTER'!$AD$2:$AD$495&gt;=9))*ROW('CASE MASTER'!$T$2:$T$495))-(ROW('CASE MASTER'!#REF!)-1)))+1)+(9-INDEX('CASE MASTER'!$AB$2:$AB$495,(SUMPRODUCT((('CASE MASTER'!$T$2:$T$495=8)*('CASE MASTER'!$AA$2:$AA$495&lt;=5)*('CASE MASTER'!$AC$2:$AC$495&gt;=5)*('CASE MASTER'!$AB$2:$AB$495&lt;=9)*('CASE MASTER'!$AD$2:$AD$495&gt;=9))*ROW('CASE MASTER'!$T$2:$T$495))-(ROW('CASE MASTER'!#REF!)-1))))+1)))-1)*50+1,50))&amp;"_"&amp;INDEX('CASE MASTER'!$Q$2:$Q$495,(SUMPRODUCT((('CASE MASTER'!$T$2:$T$495=8)*('CASE MASTER'!$AA$2:$AA$495&lt;=5)*('CASE MASTER'!$AC$2:$AC$495&gt;=5)*('CASE MASTER'!$AB$2:$AB$495&lt;=9)*('CASE MASTER'!$AD$2:$AD$495&gt;=9))*ROW('CASE MASTER'!$T$2:$T$495))-(ROW('CASE MASTER'!#REF!)-1))),"")),"")</f>
        <v/>
      </c>
      <c r="K105" s="10" t="str">
        <f>IFERROR(IF(SUMPRODUCT((('CASE MASTER'!$T$2:$T$495=8)*('CASE MASTER'!$U$2:$U$495&lt;=5)*('CASE MASTER'!$W$2:$W$495&gt;=5)*('CASE MASTER'!$V$2:$V$495&lt;=10)*('CASE MASTER'!$X$2:$X$495&gt;=10))*ROW('CASE MASTER'!$T$2:$T$495))&gt;0,INDEX('CASE MASTER'!$Y$2:$Y$495,(SUMPRODUCT((('CASE MASTER'!$T$2:$T$495=8)*('CASE MASTER'!$U$2:$U$495&lt;=5)*('CASE MASTER'!$W$2:$W$495&gt;=5)*('CASE MASTER'!$V$2:$V$495&lt;=10)*('CASE MASTER'!$X$2:$X$495&gt;=10))*ROW('CASE MASTER'!$T$2:$T$495))-(ROW('CASE MASTER'!#REF!)-1)))&amp;TRIM(MID(SUBSTITUTE(SUBSTITUTE(INDEX('CASE MASTER'!$N$2:$N$495,(SUMPRODUCT((('CASE MASTER'!$T$2:$T$495=8)*('CASE MASTER'!$U$2:$U$495&lt;=5)*('CASE MASTER'!$W$2:$W$495&gt;=5)*('CASE MASTER'!$V$2:$V$495&lt;=10)*('CASE MASTER'!$X$2:$X$495&gt;=10))*ROW('CASE MASTER'!$T$2:$T$495))-(ROW('CASE MASTER'!#REF!)-1))),":",","),",",REPT(" ",50)),((((5-INDEX('CASE MASTER'!$U$2:$U$495,(SUMPRODUCT((('CASE MASTER'!$T$2:$T$495=8)*('CASE MASTER'!$U$2:$U$495&lt;=5)*('CASE MASTER'!$W$2:$W$495&gt;=5)*('CASE MASTER'!$V$2:$V$495&lt;=10)*('CASE MASTER'!$X$2:$X$495&gt;=10))*ROW('CASE MASTER'!$T$2:$T$495))-(ROW('CASE MASTER'!#REF!)-1))))*(INDEX('CASE MASTER'!$X$2:$X$495,(SUMPRODUCT((('CASE MASTER'!$T$2:$T$495=8)*('CASE MASTER'!$U$2:$U$495&lt;=5)*('CASE MASTER'!$W$2:$W$495&gt;=5)*('CASE MASTER'!$V$2:$V$495&lt;=10)*('CASE MASTER'!$X$2:$X$495&gt;=10))*ROW('CASE MASTER'!$T$2:$T$495))-(ROW('CASE MASTER'!#REF!)-1)))-INDEX('CASE MASTER'!$V$2:$V$495,(SUMPRODUCT((('CASE MASTER'!$T$2:$T$495=8)*('CASE MASTER'!$U$2:$U$495&lt;=5)*('CASE MASTER'!$W$2:$W$495&gt;=5)*('CASE MASTER'!$V$2:$V$495&lt;=10)*('CASE MASTER'!$X$2:$X$495&gt;=10))*ROW('CASE MASTER'!$T$2:$T$495))-(ROW('CASE MASTER'!#REF!)-1)))+1)+(10-INDEX('CASE MASTER'!$V$2:$V$495,(SUMPRODUCT((('CASE MASTER'!$T$2:$T$495=8)*('CASE MASTER'!$U$2:$U$495&lt;=5)*('CASE MASTER'!$W$2:$W$495&gt;=5)*('CASE MASTER'!$V$2:$V$495&lt;=10)*('CASE MASTER'!$X$2:$X$495&gt;=10))*ROW('CASE MASTER'!$T$2:$T$495))-(ROW('CASE MASTER'!#REF!)-1))))+1))-1)*50+1,50))&amp;"_"&amp;INDEX('CASE MASTER'!$Q$2:$Q$495,(SUMPRODUCT((('CASE MASTER'!$T$2:$T$495=8)*('CASE MASTER'!$U$2:$U$495&lt;=5)*('CASE MASTER'!$W$2:$W$495&gt;=5)*('CASE MASTER'!$V$2:$V$495&lt;=10)*('CASE MASTER'!$X$2:$X$495&gt;=10))*ROW('CASE MASTER'!$T$2:$T$495))-(ROW('CASE MASTER'!#REF!)-1))),IF(SUMPRODUCT((('CASE MASTER'!$T$2:$T$495=8)*('CASE MASTER'!$AA$2:$AA$495&lt;=5)*('CASE MASTER'!$AC$2:$AC$495&gt;=5)*('CASE MASTER'!$AB$2:$AB$495&lt;=10)*('CASE MASTER'!$AD$2:$AD$495&gt;=10))*ROW('CASE MASTER'!$T$2:$T$495))&gt;0,INDEX('CASE MASTER'!$Y$2:$Y$495,(SUMPRODUCT((('CASE MASTER'!$T$2:$T$495=8)*('CASE MASTER'!$AA$2:$AA$495&lt;=5)*('CASE MASTER'!$AC$2:$AC$495&gt;=5)*('CASE MASTER'!$AB$2:$AB$495&lt;=10)*('CASE MASTER'!$AD$2:$AD$495&gt;=10))*ROW('CASE MASTER'!$T$2:$T$495))-(ROW('CASE MASTER'!#REF!)-1)))&amp;TRIM(MID(SUBSTITUTE(SUBSTITUTE(INDEX('CASE MASTER'!$N$2:$N$495,(SUMPRODUCT((('CASE MASTER'!$T$2:$T$495=8)*('CASE MASTER'!$AA$2:$AA$495&lt;=5)*('CASE MASTER'!$AC$2:$AC$495&gt;=5)*('CASE MASTER'!$AB$2:$AB$495&lt;=10)*('CASE MASTER'!$AD$2:$AD$495&gt;=10))*ROW('CASE MASTER'!$T$2:$T$495))-(ROW('CASE MASTER'!#REF!)-1))),":",","),",",REPT(" ",50)),(((INDEX('CASE MASTER'!$Z$2:$Z$495,(SUMPRODUCT((('CASE MASTER'!$T$2:$T$495=8)*('CASE MASTER'!$AA$2:$AA$495&lt;=5)*('CASE MASTER'!$AC$2:$AC$495&gt;=5)*('CASE MASTER'!$AB$2:$AB$495&lt;=10)*('CASE MASTER'!$AD$2:$AD$495&gt;=10))*ROW('CASE MASTER'!$T$2:$T$495))-(ROW('CASE MASTER'!#REF!)-1)))+((5-INDEX('CASE MASTER'!$AA$2:$AA$495,(SUMPRODUCT((('CASE MASTER'!$T$2:$T$495=8)*('CASE MASTER'!$AA$2:$AA$495&lt;=5)*('CASE MASTER'!$AC$2:$AC$495&gt;=5)*('CASE MASTER'!$AB$2:$AB$495&lt;=10)*('CASE MASTER'!$AD$2:$AD$495&gt;=10))*ROW('CASE MASTER'!$T$2:$T$495))-(ROW('CASE MASTER'!#REF!)-1))))*(INDEX('CASE MASTER'!$AD$2:$AD$495,(SUMPRODUCT((('CASE MASTER'!$T$2:$T$495=8)*('CASE MASTER'!$AA$2:$AA$495&lt;=5)*('CASE MASTER'!$AC$2:$AC$495&gt;=5)*('CASE MASTER'!$AB$2:$AB$495&lt;=10)*('CASE MASTER'!$AD$2:$AD$495&gt;=10))*ROW('CASE MASTER'!$T$2:$T$495))-(ROW('CASE MASTER'!#REF!)-1)))-INDEX('CASE MASTER'!$AB$2:$AB$495,(SUMPRODUCT((('CASE MASTER'!$T$2:$T$495=8)*('CASE MASTER'!$AA$2:$AA$495&lt;=5)*('CASE MASTER'!$AC$2:$AC$495&gt;=5)*('CASE MASTER'!$AB$2:$AB$495&lt;=10)*('CASE MASTER'!$AD$2:$AD$495&gt;=10))*ROW('CASE MASTER'!$T$2:$T$495))-(ROW('CASE MASTER'!#REF!)-1)))+1)+(10-INDEX('CASE MASTER'!$AB$2:$AB$495,(SUMPRODUCT((('CASE MASTER'!$T$2:$T$495=8)*('CASE MASTER'!$AA$2:$AA$495&lt;=5)*('CASE MASTER'!$AC$2:$AC$495&gt;=5)*('CASE MASTER'!$AB$2:$AB$495&lt;=10)*('CASE MASTER'!$AD$2:$AD$495&gt;=10))*ROW('CASE MASTER'!$T$2:$T$495))-(ROW('CASE MASTER'!#REF!)-1))))+1)))-1)*50+1,50))&amp;"_"&amp;INDEX('CASE MASTER'!$Q$2:$Q$495,(SUMPRODUCT((('CASE MASTER'!$T$2:$T$495=8)*('CASE MASTER'!$AA$2:$AA$495&lt;=5)*('CASE MASTER'!$AC$2:$AC$495&gt;=5)*('CASE MASTER'!$AB$2:$AB$495&lt;=10)*('CASE MASTER'!$AD$2:$AD$495&gt;=10))*ROW('CASE MASTER'!$T$2:$T$495))-(ROW('CASE MASTER'!#REF!)-1))),"")),"")</f>
        <v/>
      </c>
    </row>
    <row r="106" spans="1:11" ht="15" customHeight="1" x14ac:dyDescent="0.35">
      <c r="A106" s="8" t="s">
        <v>33</v>
      </c>
      <c r="B106" s="10" t="str">
        <f>IFERROR(IF(SUMPRODUCT((('CASE MASTER'!$T$2:$T$495=8)*('CASE MASTER'!$U$2:$U$495&lt;=6)*('CASE MASTER'!$W$2:$W$495&gt;=6)*('CASE MASTER'!$V$2:$V$495&lt;=1)*('CASE MASTER'!$X$2:$X$495&gt;=1))*ROW('CASE MASTER'!$T$2:$T$495))&gt;0,INDEX('CASE MASTER'!$Y$2:$Y$495,(SUMPRODUCT((('CASE MASTER'!$T$2:$T$495=8)*('CASE MASTER'!$U$2:$U$495&lt;=6)*('CASE MASTER'!$W$2:$W$495&gt;=6)*('CASE MASTER'!$V$2:$V$495&lt;=1)*('CASE MASTER'!$X$2:$X$495&gt;=1))*ROW('CASE MASTER'!$T$2:$T$495))-(ROW('CASE MASTER'!#REF!)-1)))&amp;TRIM(MID(SUBSTITUTE(SUBSTITUTE(INDEX('CASE MASTER'!$N$2:$N$495,(SUMPRODUCT((('CASE MASTER'!$T$2:$T$495=8)*('CASE MASTER'!$U$2:$U$495&lt;=6)*('CASE MASTER'!$W$2:$W$495&gt;=6)*('CASE MASTER'!$V$2:$V$495&lt;=1)*('CASE MASTER'!$X$2:$X$495&gt;=1))*ROW('CASE MASTER'!$T$2:$T$495))-(ROW('CASE MASTER'!#REF!)-1))),":",","),",",REPT(" ",50)),((((6-INDEX('CASE MASTER'!$U$2:$U$495,(SUMPRODUCT((('CASE MASTER'!$T$2:$T$495=8)*('CASE MASTER'!$U$2:$U$495&lt;=6)*('CASE MASTER'!$W$2:$W$495&gt;=6)*('CASE MASTER'!$V$2:$V$495&lt;=1)*('CASE MASTER'!$X$2:$X$495&gt;=1))*ROW('CASE MASTER'!$T$2:$T$495))-(ROW('CASE MASTER'!#REF!)-1))))*(INDEX('CASE MASTER'!$X$2:$X$495,(SUMPRODUCT((('CASE MASTER'!$T$2:$T$495=8)*('CASE MASTER'!$U$2:$U$495&lt;=6)*('CASE MASTER'!$W$2:$W$495&gt;=6)*('CASE MASTER'!$V$2:$V$495&lt;=1)*('CASE MASTER'!$X$2:$X$495&gt;=1))*ROW('CASE MASTER'!$T$2:$T$495))-(ROW('CASE MASTER'!#REF!)-1)))-INDEX('CASE MASTER'!$V$2:$V$495,(SUMPRODUCT((('CASE MASTER'!$T$2:$T$495=8)*('CASE MASTER'!$U$2:$U$495&lt;=6)*('CASE MASTER'!$W$2:$W$495&gt;=6)*('CASE MASTER'!$V$2:$V$495&lt;=1)*('CASE MASTER'!$X$2:$X$495&gt;=1))*ROW('CASE MASTER'!$T$2:$T$495))-(ROW('CASE MASTER'!#REF!)-1)))+1)+(1-INDEX('CASE MASTER'!$V$2:$V$495,(SUMPRODUCT((('CASE MASTER'!$T$2:$T$495=8)*('CASE MASTER'!$U$2:$U$495&lt;=6)*('CASE MASTER'!$W$2:$W$495&gt;=6)*('CASE MASTER'!$V$2:$V$495&lt;=1)*('CASE MASTER'!$X$2:$X$495&gt;=1))*ROW('CASE MASTER'!$T$2:$T$495))-(ROW('CASE MASTER'!#REF!)-1))))+1))-1)*50+1,50))&amp;"_"&amp;INDEX('CASE MASTER'!$Q$2:$Q$495,(SUMPRODUCT((('CASE MASTER'!$T$2:$T$495=8)*('CASE MASTER'!$U$2:$U$495&lt;=6)*('CASE MASTER'!$W$2:$W$495&gt;=6)*('CASE MASTER'!$V$2:$V$495&lt;=1)*('CASE MASTER'!$X$2:$X$495&gt;=1))*ROW('CASE MASTER'!$T$2:$T$495))-(ROW('CASE MASTER'!#REF!)-1))),IF(SUMPRODUCT((('CASE MASTER'!$T$2:$T$495=8)*('CASE MASTER'!$AA$2:$AA$495&lt;=6)*('CASE MASTER'!$AC$2:$AC$495&gt;=6)*('CASE MASTER'!$AB$2:$AB$495&lt;=1)*('CASE MASTER'!$AD$2:$AD$495&gt;=1))*ROW('CASE MASTER'!$T$2:$T$495))&gt;0,INDEX('CASE MASTER'!$Y$2:$Y$495,(SUMPRODUCT((('CASE MASTER'!$T$2:$T$495=8)*('CASE MASTER'!$AA$2:$AA$495&lt;=6)*('CASE MASTER'!$AC$2:$AC$495&gt;=6)*('CASE MASTER'!$AB$2:$AB$495&lt;=1)*('CASE MASTER'!$AD$2:$AD$495&gt;=1))*ROW('CASE MASTER'!$T$2:$T$495))-(ROW('CASE MASTER'!#REF!)-1)))&amp;TRIM(MID(SUBSTITUTE(SUBSTITUTE(INDEX('CASE MASTER'!$N$2:$N$495,(SUMPRODUCT((('CASE MASTER'!$T$2:$T$495=8)*('CASE MASTER'!$AA$2:$AA$495&lt;=6)*('CASE MASTER'!$AC$2:$AC$495&gt;=6)*('CASE MASTER'!$AB$2:$AB$495&lt;=1)*('CASE MASTER'!$AD$2:$AD$495&gt;=1))*ROW('CASE MASTER'!$T$2:$T$495))-(ROW('CASE MASTER'!#REF!)-1))),":",","),",",REPT(" ",50)),(((INDEX('CASE MASTER'!$Z$2:$Z$495,(SUMPRODUCT((('CASE MASTER'!$T$2:$T$495=8)*('CASE MASTER'!$AA$2:$AA$495&lt;=6)*('CASE MASTER'!$AC$2:$AC$495&gt;=6)*('CASE MASTER'!$AB$2:$AB$495&lt;=1)*('CASE MASTER'!$AD$2:$AD$495&gt;=1))*ROW('CASE MASTER'!$T$2:$T$495))-(ROW('CASE MASTER'!#REF!)-1)))+((6-INDEX('CASE MASTER'!$AA$2:$AA$495,(SUMPRODUCT((('CASE MASTER'!$T$2:$T$495=8)*('CASE MASTER'!$AA$2:$AA$495&lt;=6)*('CASE MASTER'!$AC$2:$AC$495&gt;=6)*('CASE MASTER'!$AB$2:$AB$495&lt;=1)*('CASE MASTER'!$AD$2:$AD$495&gt;=1))*ROW('CASE MASTER'!$T$2:$T$495))-(ROW('CASE MASTER'!#REF!)-1))))*(INDEX('CASE MASTER'!$AD$2:$AD$495,(SUMPRODUCT((('CASE MASTER'!$T$2:$T$495=8)*('CASE MASTER'!$AA$2:$AA$495&lt;=6)*('CASE MASTER'!$AC$2:$AC$495&gt;=6)*('CASE MASTER'!$AB$2:$AB$495&lt;=1)*('CASE MASTER'!$AD$2:$AD$495&gt;=1))*ROW('CASE MASTER'!$T$2:$T$495))-(ROW('CASE MASTER'!#REF!)-1)))-INDEX('CASE MASTER'!$AB$2:$AB$495,(SUMPRODUCT((('CASE MASTER'!$T$2:$T$495=8)*('CASE MASTER'!$AA$2:$AA$495&lt;=6)*('CASE MASTER'!$AC$2:$AC$495&gt;=6)*('CASE MASTER'!$AB$2:$AB$495&lt;=1)*('CASE MASTER'!$AD$2:$AD$495&gt;=1))*ROW('CASE MASTER'!$T$2:$T$495))-(ROW('CASE MASTER'!#REF!)-1)))+1)+(1-INDEX('CASE MASTER'!$AB$2:$AB$495,(SUMPRODUCT((('CASE MASTER'!$T$2:$T$495=8)*('CASE MASTER'!$AA$2:$AA$495&lt;=6)*('CASE MASTER'!$AC$2:$AC$495&gt;=6)*('CASE MASTER'!$AB$2:$AB$495&lt;=1)*('CASE MASTER'!$AD$2:$AD$495&gt;=1))*ROW('CASE MASTER'!$T$2:$T$495))-(ROW('CASE MASTER'!#REF!)-1))))+1)))-1)*50+1,50))&amp;"_"&amp;INDEX('CASE MASTER'!$Q$2:$Q$495,(SUMPRODUCT((('CASE MASTER'!$T$2:$T$495=8)*('CASE MASTER'!$AA$2:$AA$495&lt;=6)*('CASE MASTER'!$AC$2:$AC$495&gt;=6)*('CASE MASTER'!$AB$2:$AB$495&lt;=1)*('CASE MASTER'!$AD$2:$AD$495&gt;=1))*ROW('CASE MASTER'!$T$2:$T$495))-(ROW('CASE MASTER'!#REF!)-1))),"")),"")</f>
        <v/>
      </c>
      <c r="C106" s="10" t="str">
        <f>IFERROR(IF(SUMPRODUCT((('CASE MASTER'!$T$2:$T$495=8)*('CASE MASTER'!$U$2:$U$495&lt;=6)*('CASE MASTER'!$W$2:$W$495&gt;=6)*('CASE MASTER'!$V$2:$V$495&lt;=2)*('CASE MASTER'!$X$2:$X$495&gt;=2))*ROW('CASE MASTER'!$T$2:$T$495))&gt;0,INDEX('CASE MASTER'!$Y$2:$Y$495,(SUMPRODUCT((('CASE MASTER'!$T$2:$T$495=8)*('CASE MASTER'!$U$2:$U$495&lt;=6)*('CASE MASTER'!$W$2:$W$495&gt;=6)*('CASE MASTER'!$V$2:$V$495&lt;=2)*('CASE MASTER'!$X$2:$X$495&gt;=2))*ROW('CASE MASTER'!$T$2:$T$495))-(ROW('CASE MASTER'!#REF!)-1)))&amp;TRIM(MID(SUBSTITUTE(SUBSTITUTE(INDEX('CASE MASTER'!$N$2:$N$495,(SUMPRODUCT((('CASE MASTER'!$T$2:$T$495=8)*('CASE MASTER'!$U$2:$U$495&lt;=6)*('CASE MASTER'!$W$2:$W$495&gt;=6)*('CASE MASTER'!$V$2:$V$495&lt;=2)*('CASE MASTER'!$X$2:$X$495&gt;=2))*ROW('CASE MASTER'!$T$2:$T$495))-(ROW('CASE MASTER'!#REF!)-1))),":",","),",",REPT(" ",50)),((((6-INDEX('CASE MASTER'!$U$2:$U$495,(SUMPRODUCT((('CASE MASTER'!$T$2:$T$495=8)*('CASE MASTER'!$U$2:$U$495&lt;=6)*('CASE MASTER'!$W$2:$W$495&gt;=6)*('CASE MASTER'!$V$2:$V$495&lt;=2)*('CASE MASTER'!$X$2:$X$495&gt;=2))*ROW('CASE MASTER'!$T$2:$T$495))-(ROW('CASE MASTER'!#REF!)-1))))*(INDEX('CASE MASTER'!$X$2:$X$495,(SUMPRODUCT((('CASE MASTER'!$T$2:$T$495=8)*('CASE MASTER'!$U$2:$U$495&lt;=6)*('CASE MASTER'!$W$2:$W$495&gt;=6)*('CASE MASTER'!$V$2:$V$495&lt;=2)*('CASE MASTER'!$X$2:$X$495&gt;=2))*ROW('CASE MASTER'!$T$2:$T$495))-(ROW('CASE MASTER'!#REF!)-1)))-INDEX('CASE MASTER'!$V$2:$V$495,(SUMPRODUCT((('CASE MASTER'!$T$2:$T$495=8)*('CASE MASTER'!$U$2:$U$495&lt;=6)*('CASE MASTER'!$W$2:$W$495&gt;=6)*('CASE MASTER'!$V$2:$V$495&lt;=2)*('CASE MASTER'!$X$2:$X$495&gt;=2))*ROW('CASE MASTER'!$T$2:$T$495))-(ROW('CASE MASTER'!#REF!)-1)))+1)+(2-INDEX('CASE MASTER'!$V$2:$V$495,(SUMPRODUCT((('CASE MASTER'!$T$2:$T$495=8)*('CASE MASTER'!$U$2:$U$495&lt;=6)*('CASE MASTER'!$W$2:$W$495&gt;=6)*('CASE MASTER'!$V$2:$V$495&lt;=2)*('CASE MASTER'!$X$2:$X$495&gt;=2))*ROW('CASE MASTER'!$T$2:$T$495))-(ROW('CASE MASTER'!#REF!)-1))))+1))-1)*50+1,50))&amp;"_"&amp;INDEX('CASE MASTER'!$Q$2:$Q$495,(SUMPRODUCT((('CASE MASTER'!$T$2:$T$495=8)*('CASE MASTER'!$U$2:$U$495&lt;=6)*('CASE MASTER'!$W$2:$W$495&gt;=6)*('CASE MASTER'!$V$2:$V$495&lt;=2)*('CASE MASTER'!$X$2:$X$495&gt;=2))*ROW('CASE MASTER'!$T$2:$T$495))-(ROW('CASE MASTER'!#REF!)-1))),IF(SUMPRODUCT((('CASE MASTER'!$T$2:$T$495=8)*('CASE MASTER'!$AA$2:$AA$495&lt;=6)*('CASE MASTER'!$AC$2:$AC$495&gt;=6)*('CASE MASTER'!$AB$2:$AB$495&lt;=2)*('CASE MASTER'!$AD$2:$AD$495&gt;=2))*ROW('CASE MASTER'!$T$2:$T$495))&gt;0,INDEX('CASE MASTER'!$Y$2:$Y$495,(SUMPRODUCT((('CASE MASTER'!$T$2:$T$495=8)*('CASE MASTER'!$AA$2:$AA$495&lt;=6)*('CASE MASTER'!$AC$2:$AC$495&gt;=6)*('CASE MASTER'!$AB$2:$AB$495&lt;=2)*('CASE MASTER'!$AD$2:$AD$495&gt;=2))*ROW('CASE MASTER'!$T$2:$T$495))-(ROW('CASE MASTER'!#REF!)-1)))&amp;TRIM(MID(SUBSTITUTE(SUBSTITUTE(INDEX('CASE MASTER'!$N$2:$N$495,(SUMPRODUCT((('CASE MASTER'!$T$2:$T$495=8)*('CASE MASTER'!$AA$2:$AA$495&lt;=6)*('CASE MASTER'!$AC$2:$AC$495&gt;=6)*('CASE MASTER'!$AB$2:$AB$495&lt;=2)*('CASE MASTER'!$AD$2:$AD$495&gt;=2))*ROW('CASE MASTER'!$T$2:$T$495))-(ROW('CASE MASTER'!#REF!)-1))),":",","),",",REPT(" ",50)),(((INDEX('CASE MASTER'!$Z$2:$Z$495,(SUMPRODUCT((('CASE MASTER'!$T$2:$T$495=8)*('CASE MASTER'!$AA$2:$AA$495&lt;=6)*('CASE MASTER'!$AC$2:$AC$495&gt;=6)*('CASE MASTER'!$AB$2:$AB$495&lt;=2)*('CASE MASTER'!$AD$2:$AD$495&gt;=2))*ROW('CASE MASTER'!$T$2:$T$495))-(ROW('CASE MASTER'!#REF!)-1)))+((6-INDEX('CASE MASTER'!$AA$2:$AA$495,(SUMPRODUCT((('CASE MASTER'!$T$2:$T$495=8)*('CASE MASTER'!$AA$2:$AA$495&lt;=6)*('CASE MASTER'!$AC$2:$AC$495&gt;=6)*('CASE MASTER'!$AB$2:$AB$495&lt;=2)*('CASE MASTER'!$AD$2:$AD$495&gt;=2))*ROW('CASE MASTER'!$T$2:$T$495))-(ROW('CASE MASTER'!#REF!)-1))))*(INDEX('CASE MASTER'!$AD$2:$AD$495,(SUMPRODUCT((('CASE MASTER'!$T$2:$T$495=8)*('CASE MASTER'!$AA$2:$AA$495&lt;=6)*('CASE MASTER'!$AC$2:$AC$495&gt;=6)*('CASE MASTER'!$AB$2:$AB$495&lt;=2)*('CASE MASTER'!$AD$2:$AD$495&gt;=2))*ROW('CASE MASTER'!$T$2:$T$495))-(ROW('CASE MASTER'!#REF!)-1)))-INDEX('CASE MASTER'!$AB$2:$AB$495,(SUMPRODUCT((('CASE MASTER'!$T$2:$T$495=8)*('CASE MASTER'!$AA$2:$AA$495&lt;=6)*('CASE MASTER'!$AC$2:$AC$495&gt;=6)*('CASE MASTER'!$AB$2:$AB$495&lt;=2)*('CASE MASTER'!$AD$2:$AD$495&gt;=2))*ROW('CASE MASTER'!$T$2:$T$495))-(ROW('CASE MASTER'!#REF!)-1)))+1)+(2-INDEX('CASE MASTER'!$AB$2:$AB$495,(SUMPRODUCT((('CASE MASTER'!$T$2:$T$495=8)*('CASE MASTER'!$AA$2:$AA$495&lt;=6)*('CASE MASTER'!$AC$2:$AC$495&gt;=6)*('CASE MASTER'!$AB$2:$AB$495&lt;=2)*('CASE MASTER'!$AD$2:$AD$495&gt;=2))*ROW('CASE MASTER'!$T$2:$T$495))-(ROW('CASE MASTER'!#REF!)-1))))+1)))-1)*50+1,50))&amp;"_"&amp;INDEX('CASE MASTER'!$Q$2:$Q$495,(SUMPRODUCT((('CASE MASTER'!$T$2:$T$495=8)*('CASE MASTER'!$AA$2:$AA$495&lt;=6)*('CASE MASTER'!$AC$2:$AC$495&gt;=6)*('CASE MASTER'!$AB$2:$AB$495&lt;=2)*('CASE MASTER'!$AD$2:$AD$495&gt;=2))*ROW('CASE MASTER'!$T$2:$T$495))-(ROW('CASE MASTER'!#REF!)-1))),"")),"")</f>
        <v/>
      </c>
      <c r="D106" s="10" t="str">
        <f>IFERROR(IF(SUMPRODUCT((('CASE MASTER'!$T$2:$T$495=8)*('CASE MASTER'!$U$2:$U$495&lt;=6)*('CASE MASTER'!$W$2:$W$495&gt;=6)*('CASE MASTER'!$V$2:$V$495&lt;=3)*('CASE MASTER'!$X$2:$X$495&gt;=3))*ROW('CASE MASTER'!$T$2:$T$495))&gt;0,INDEX('CASE MASTER'!$Y$2:$Y$495,(SUMPRODUCT((('CASE MASTER'!$T$2:$T$495=8)*('CASE MASTER'!$U$2:$U$495&lt;=6)*('CASE MASTER'!$W$2:$W$495&gt;=6)*('CASE MASTER'!$V$2:$V$495&lt;=3)*('CASE MASTER'!$X$2:$X$495&gt;=3))*ROW('CASE MASTER'!$T$2:$T$495))-(ROW('CASE MASTER'!#REF!)-1)))&amp;TRIM(MID(SUBSTITUTE(SUBSTITUTE(INDEX('CASE MASTER'!$N$2:$N$495,(SUMPRODUCT((('CASE MASTER'!$T$2:$T$495=8)*('CASE MASTER'!$U$2:$U$495&lt;=6)*('CASE MASTER'!$W$2:$W$495&gt;=6)*('CASE MASTER'!$V$2:$V$495&lt;=3)*('CASE MASTER'!$X$2:$X$495&gt;=3))*ROW('CASE MASTER'!$T$2:$T$495))-(ROW('CASE MASTER'!#REF!)-1))),":",","),",",REPT(" ",50)),((((6-INDEX('CASE MASTER'!$U$2:$U$495,(SUMPRODUCT((('CASE MASTER'!$T$2:$T$495=8)*('CASE MASTER'!$U$2:$U$495&lt;=6)*('CASE MASTER'!$W$2:$W$495&gt;=6)*('CASE MASTER'!$V$2:$V$495&lt;=3)*('CASE MASTER'!$X$2:$X$495&gt;=3))*ROW('CASE MASTER'!$T$2:$T$495))-(ROW('CASE MASTER'!#REF!)-1))))*(INDEX('CASE MASTER'!$X$2:$X$495,(SUMPRODUCT((('CASE MASTER'!$T$2:$T$495=8)*('CASE MASTER'!$U$2:$U$495&lt;=6)*('CASE MASTER'!$W$2:$W$495&gt;=6)*('CASE MASTER'!$V$2:$V$495&lt;=3)*('CASE MASTER'!$X$2:$X$495&gt;=3))*ROW('CASE MASTER'!$T$2:$T$495))-(ROW('CASE MASTER'!#REF!)-1)))-INDEX('CASE MASTER'!$V$2:$V$495,(SUMPRODUCT((('CASE MASTER'!$T$2:$T$495=8)*('CASE MASTER'!$U$2:$U$495&lt;=6)*('CASE MASTER'!$W$2:$W$495&gt;=6)*('CASE MASTER'!$V$2:$V$495&lt;=3)*('CASE MASTER'!$X$2:$X$495&gt;=3))*ROW('CASE MASTER'!$T$2:$T$495))-(ROW('CASE MASTER'!#REF!)-1)))+1)+(3-INDEX('CASE MASTER'!$V$2:$V$495,(SUMPRODUCT((('CASE MASTER'!$T$2:$T$495=8)*('CASE MASTER'!$U$2:$U$495&lt;=6)*('CASE MASTER'!$W$2:$W$495&gt;=6)*('CASE MASTER'!$V$2:$V$495&lt;=3)*('CASE MASTER'!$X$2:$X$495&gt;=3))*ROW('CASE MASTER'!$T$2:$T$495))-(ROW('CASE MASTER'!#REF!)-1))))+1))-1)*50+1,50))&amp;"_"&amp;INDEX('CASE MASTER'!$Q$2:$Q$495,(SUMPRODUCT((('CASE MASTER'!$T$2:$T$495=8)*('CASE MASTER'!$U$2:$U$495&lt;=6)*('CASE MASTER'!$W$2:$W$495&gt;=6)*('CASE MASTER'!$V$2:$V$495&lt;=3)*('CASE MASTER'!$X$2:$X$495&gt;=3))*ROW('CASE MASTER'!$T$2:$T$495))-(ROW('CASE MASTER'!#REF!)-1))),IF(SUMPRODUCT((('CASE MASTER'!$T$2:$T$495=8)*('CASE MASTER'!$AA$2:$AA$495&lt;=6)*('CASE MASTER'!$AC$2:$AC$495&gt;=6)*('CASE MASTER'!$AB$2:$AB$495&lt;=3)*('CASE MASTER'!$AD$2:$AD$495&gt;=3))*ROW('CASE MASTER'!$T$2:$T$495))&gt;0,INDEX('CASE MASTER'!$Y$2:$Y$495,(SUMPRODUCT((('CASE MASTER'!$T$2:$T$495=8)*('CASE MASTER'!$AA$2:$AA$495&lt;=6)*('CASE MASTER'!$AC$2:$AC$495&gt;=6)*('CASE MASTER'!$AB$2:$AB$495&lt;=3)*('CASE MASTER'!$AD$2:$AD$495&gt;=3))*ROW('CASE MASTER'!$T$2:$T$495))-(ROW('CASE MASTER'!#REF!)-1)))&amp;TRIM(MID(SUBSTITUTE(SUBSTITUTE(INDEX('CASE MASTER'!$N$2:$N$495,(SUMPRODUCT((('CASE MASTER'!$T$2:$T$495=8)*('CASE MASTER'!$AA$2:$AA$495&lt;=6)*('CASE MASTER'!$AC$2:$AC$495&gt;=6)*('CASE MASTER'!$AB$2:$AB$495&lt;=3)*('CASE MASTER'!$AD$2:$AD$495&gt;=3))*ROW('CASE MASTER'!$T$2:$T$495))-(ROW('CASE MASTER'!#REF!)-1))),":",","),",",REPT(" ",50)),(((INDEX('CASE MASTER'!$Z$2:$Z$495,(SUMPRODUCT((('CASE MASTER'!$T$2:$T$495=8)*('CASE MASTER'!$AA$2:$AA$495&lt;=6)*('CASE MASTER'!$AC$2:$AC$495&gt;=6)*('CASE MASTER'!$AB$2:$AB$495&lt;=3)*('CASE MASTER'!$AD$2:$AD$495&gt;=3))*ROW('CASE MASTER'!$T$2:$T$495))-(ROW('CASE MASTER'!#REF!)-1)))+((6-INDEX('CASE MASTER'!$AA$2:$AA$495,(SUMPRODUCT((('CASE MASTER'!$T$2:$T$495=8)*('CASE MASTER'!$AA$2:$AA$495&lt;=6)*('CASE MASTER'!$AC$2:$AC$495&gt;=6)*('CASE MASTER'!$AB$2:$AB$495&lt;=3)*('CASE MASTER'!$AD$2:$AD$495&gt;=3))*ROW('CASE MASTER'!$T$2:$T$495))-(ROW('CASE MASTER'!#REF!)-1))))*(INDEX('CASE MASTER'!$AD$2:$AD$495,(SUMPRODUCT((('CASE MASTER'!$T$2:$T$495=8)*('CASE MASTER'!$AA$2:$AA$495&lt;=6)*('CASE MASTER'!$AC$2:$AC$495&gt;=6)*('CASE MASTER'!$AB$2:$AB$495&lt;=3)*('CASE MASTER'!$AD$2:$AD$495&gt;=3))*ROW('CASE MASTER'!$T$2:$T$495))-(ROW('CASE MASTER'!#REF!)-1)))-INDEX('CASE MASTER'!$AB$2:$AB$495,(SUMPRODUCT((('CASE MASTER'!$T$2:$T$495=8)*('CASE MASTER'!$AA$2:$AA$495&lt;=6)*('CASE MASTER'!$AC$2:$AC$495&gt;=6)*('CASE MASTER'!$AB$2:$AB$495&lt;=3)*('CASE MASTER'!$AD$2:$AD$495&gt;=3))*ROW('CASE MASTER'!$T$2:$T$495))-(ROW('CASE MASTER'!#REF!)-1)))+1)+(3-INDEX('CASE MASTER'!$AB$2:$AB$495,(SUMPRODUCT((('CASE MASTER'!$T$2:$T$495=8)*('CASE MASTER'!$AA$2:$AA$495&lt;=6)*('CASE MASTER'!$AC$2:$AC$495&gt;=6)*('CASE MASTER'!$AB$2:$AB$495&lt;=3)*('CASE MASTER'!$AD$2:$AD$495&gt;=3))*ROW('CASE MASTER'!$T$2:$T$495))-(ROW('CASE MASTER'!#REF!)-1))))+1)))-1)*50+1,50))&amp;"_"&amp;INDEX('CASE MASTER'!$Q$2:$Q$495,(SUMPRODUCT((('CASE MASTER'!$T$2:$T$495=8)*('CASE MASTER'!$AA$2:$AA$495&lt;=6)*('CASE MASTER'!$AC$2:$AC$495&gt;=6)*('CASE MASTER'!$AB$2:$AB$495&lt;=3)*('CASE MASTER'!$AD$2:$AD$495&gt;=3))*ROW('CASE MASTER'!$T$2:$T$495))-(ROW('CASE MASTER'!#REF!)-1))),"")),"")</f>
        <v/>
      </c>
      <c r="E106" s="10" t="str">
        <f>IFERROR(IF(SUMPRODUCT((('CASE MASTER'!$T$2:$T$495=8)*('CASE MASTER'!$U$2:$U$495&lt;=6)*('CASE MASTER'!$W$2:$W$495&gt;=6)*('CASE MASTER'!$V$2:$V$495&lt;=4)*('CASE MASTER'!$X$2:$X$495&gt;=4))*ROW('CASE MASTER'!$T$2:$T$495))&gt;0,INDEX('CASE MASTER'!$Y$2:$Y$495,(SUMPRODUCT((('CASE MASTER'!$T$2:$T$495=8)*('CASE MASTER'!$U$2:$U$495&lt;=6)*('CASE MASTER'!$W$2:$W$495&gt;=6)*('CASE MASTER'!$V$2:$V$495&lt;=4)*('CASE MASTER'!$X$2:$X$495&gt;=4))*ROW('CASE MASTER'!$T$2:$T$495))-(ROW('CASE MASTER'!#REF!)-1)))&amp;TRIM(MID(SUBSTITUTE(SUBSTITUTE(INDEX('CASE MASTER'!$N$2:$N$495,(SUMPRODUCT((('CASE MASTER'!$T$2:$T$495=8)*('CASE MASTER'!$U$2:$U$495&lt;=6)*('CASE MASTER'!$W$2:$W$495&gt;=6)*('CASE MASTER'!$V$2:$V$495&lt;=4)*('CASE MASTER'!$X$2:$X$495&gt;=4))*ROW('CASE MASTER'!$T$2:$T$495))-(ROW('CASE MASTER'!#REF!)-1))),":",","),",",REPT(" ",50)),((((6-INDEX('CASE MASTER'!$U$2:$U$495,(SUMPRODUCT((('CASE MASTER'!$T$2:$T$495=8)*('CASE MASTER'!$U$2:$U$495&lt;=6)*('CASE MASTER'!$W$2:$W$495&gt;=6)*('CASE MASTER'!$V$2:$V$495&lt;=4)*('CASE MASTER'!$X$2:$X$495&gt;=4))*ROW('CASE MASTER'!$T$2:$T$495))-(ROW('CASE MASTER'!#REF!)-1))))*(INDEX('CASE MASTER'!$X$2:$X$495,(SUMPRODUCT((('CASE MASTER'!$T$2:$T$495=8)*('CASE MASTER'!$U$2:$U$495&lt;=6)*('CASE MASTER'!$W$2:$W$495&gt;=6)*('CASE MASTER'!$V$2:$V$495&lt;=4)*('CASE MASTER'!$X$2:$X$495&gt;=4))*ROW('CASE MASTER'!$T$2:$T$495))-(ROW('CASE MASTER'!#REF!)-1)))-INDEX('CASE MASTER'!$V$2:$V$495,(SUMPRODUCT((('CASE MASTER'!$T$2:$T$495=8)*('CASE MASTER'!$U$2:$U$495&lt;=6)*('CASE MASTER'!$W$2:$W$495&gt;=6)*('CASE MASTER'!$V$2:$V$495&lt;=4)*('CASE MASTER'!$X$2:$X$495&gt;=4))*ROW('CASE MASTER'!$T$2:$T$495))-(ROW('CASE MASTER'!#REF!)-1)))+1)+(4-INDEX('CASE MASTER'!$V$2:$V$495,(SUMPRODUCT((('CASE MASTER'!$T$2:$T$495=8)*('CASE MASTER'!$U$2:$U$495&lt;=6)*('CASE MASTER'!$W$2:$W$495&gt;=6)*('CASE MASTER'!$V$2:$V$495&lt;=4)*('CASE MASTER'!$X$2:$X$495&gt;=4))*ROW('CASE MASTER'!$T$2:$T$495))-(ROW('CASE MASTER'!#REF!)-1))))+1))-1)*50+1,50))&amp;"_"&amp;INDEX('CASE MASTER'!$Q$2:$Q$495,(SUMPRODUCT((('CASE MASTER'!$T$2:$T$495=8)*('CASE MASTER'!$U$2:$U$495&lt;=6)*('CASE MASTER'!$W$2:$W$495&gt;=6)*('CASE MASTER'!$V$2:$V$495&lt;=4)*('CASE MASTER'!$X$2:$X$495&gt;=4))*ROW('CASE MASTER'!$T$2:$T$495))-(ROW('CASE MASTER'!#REF!)-1))),IF(SUMPRODUCT((('CASE MASTER'!$T$2:$T$495=8)*('CASE MASTER'!$AA$2:$AA$495&lt;=6)*('CASE MASTER'!$AC$2:$AC$495&gt;=6)*('CASE MASTER'!$AB$2:$AB$495&lt;=4)*('CASE MASTER'!$AD$2:$AD$495&gt;=4))*ROW('CASE MASTER'!$T$2:$T$495))&gt;0,INDEX('CASE MASTER'!$Y$2:$Y$495,(SUMPRODUCT((('CASE MASTER'!$T$2:$T$495=8)*('CASE MASTER'!$AA$2:$AA$495&lt;=6)*('CASE MASTER'!$AC$2:$AC$495&gt;=6)*('CASE MASTER'!$AB$2:$AB$495&lt;=4)*('CASE MASTER'!$AD$2:$AD$495&gt;=4))*ROW('CASE MASTER'!$T$2:$T$495))-(ROW('CASE MASTER'!#REF!)-1)))&amp;TRIM(MID(SUBSTITUTE(SUBSTITUTE(INDEX('CASE MASTER'!$N$2:$N$495,(SUMPRODUCT((('CASE MASTER'!$T$2:$T$495=8)*('CASE MASTER'!$AA$2:$AA$495&lt;=6)*('CASE MASTER'!$AC$2:$AC$495&gt;=6)*('CASE MASTER'!$AB$2:$AB$495&lt;=4)*('CASE MASTER'!$AD$2:$AD$495&gt;=4))*ROW('CASE MASTER'!$T$2:$T$495))-(ROW('CASE MASTER'!#REF!)-1))),":",","),",",REPT(" ",50)),(((INDEX('CASE MASTER'!$Z$2:$Z$495,(SUMPRODUCT((('CASE MASTER'!$T$2:$T$495=8)*('CASE MASTER'!$AA$2:$AA$495&lt;=6)*('CASE MASTER'!$AC$2:$AC$495&gt;=6)*('CASE MASTER'!$AB$2:$AB$495&lt;=4)*('CASE MASTER'!$AD$2:$AD$495&gt;=4))*ROW('CASE MASTER'!$T$2:$T$495))-(ROW('CASE MASTER'!#REF!)-1)))+((6-INDEX('CASE MASTER'!$AA$2:$AA$495,(SUMPRODUCT((('CASE MASTER'!$T$2:$T$495=8)*('CASE MASTER'!$AA$2:$AA$495&lt;=6)*('CASE MASTER'!$AC$2:$AC$495&gt;=6)*('CASE MASTER'!$AB$2:$AB$495&lt;=4)*('CASE MASTER'!$AD$2:$AD$495&gt;=4))*ROW('CASE MASTER'!$T$2:$T$495))-(ROW('CASE MASTER'!#REF!)-1))))*(INDEX('CASE MASTER'!$AD$2:$AD$495,(SUMPRODUCT((('CASE MASTER'!$T$2:$T$495=8)*('CASE MASTER'!$AA$2:$AA$495&lt;=6)*('CASE MASTER'!$AC$2:$AC$495&gt;=6)*('CASE MASTER'!$AB$2:$AB$495&lt;=4)*('CASE MASTER'!$AD$2:$AD$495&gt;=4))*ROW('CASE MASTER'!$T$2:$T$495))-(ROW('CASE MASTER'!#REF!)-1)))-INDEX('CASE MASTER'!$AB$2:$AB$495,(SUMPRODUCT((('CASE MASTER'!$T$2:$T$495=8)*('CASE MASTER'!$AA$2:$AA$495&lt;=6)*('CASE MASTER'!$AC$2:$AC$495&gt;=6)*('CASE MASTER'!$AB$2:$AB$495&lt;=4)*('CASE MASTER'!$AD$2:$AD$495&gt;=4))*ROW('CASE MASTER'!$T$2:$T$495))-(ROW('CASE MASTER'!#REF!)-1)))+1)+(4-INDEX('CASE MASTER'!$AB$2:$AB$495,(SUMPRODUCT((('CASE MASTER'!$T$2:$T$495=8)*('CASE MASTER'!$AA$2:$AA$495&lt;=6)*('CASE MASTER'!$AC$2:$AC$495&gt;=6)*('CASE MASTER'!$AB$2:$AB$495&lt;=4)*('CASE MASTER'!$AD$2:$AD$495&gt;=4))*ROW('CASE MASTER'!$T$2:$T$495))-(ROW('CASE MASTER'!#REF!)-1))))+1)))-1)*50+1,50))&amp;"_"&amp;INDEX('CASE MASTER'!$Q$2:$Q$495,(SUMPRODUCT((('CASE MASTER'!$T$2:$T$495=8)*('CASE MASTER'!$AA$2:$AA$495&lt;=6)*('CASE MASTER'!$AC$2:$AC$495&gt;=6)*('CASE MASTER'!$AB$2:$AB$495&lt;=4)*('CASE MASTER'!$AD$2:$AD$495&gt;=4))*ROW('CASE MASTER'!$T$2:$T$495))-(ROW('CASE MASTER'!#REF!)-1))),"")),"")</f>
        <v/>
      </c>
      <c r="F106" s="10" t="str">
        <f>IFERROR(IF(SUMPRODUCT((('CASE MASTER'!$T$2:$T$495=8)*('CASE MASTER'!$U$2:$U$495&lt;=6)*('CASE MASTER'!$W$2:$W$495&gt;=6)*('CASE MASTER'!$V$2:$V$495&lt;=5)*('CASE MASTER'!$X$2:$X$495&gt;=5))*ROW('CASE MASTER'!$T$2:$T$495))&gt;0,INDEX('CASE MASTER'!$Y$2:$Y$495,(SUMPRODUCT((('CASE MASTER'!$T$2:$T$495=8)*('CASE MASTER'!$U$2:$U$495&lt;=6)*('CASE MASTER'!$W$2:$W$495&gt;=6)*('CASE MASTER'!$V$2:$V$495&lt;=5)*('CASE MASTER'!$X$2:$X$495&gt;=5))*ROW('CASE MASTER'!$T$2:$T$495))-(ROW('CASE MASTER'!#REF!)-1)))&amp;TRIM(MID(SUBSTITUTE(SUBSTITUTE(INDEX('CASE MASTER'!$N$2:$N$495,(SUMPRODUCT((('CASE MASTER'!$T$2:$T$495=8)*('CASE MASTER'!$U$2:$U$495&lt;=6)*('CASE MASTER'!$W$2:$W$495&gt;=6)*('CASE MASTER'!$V$2:$V$495&lt;=5)*('CASE MASTER'!$X$2:$X$495&gt;=5))*ROW('CASE MASTER'!$T$2:$T$495))-(ROW('CASE MASTER'!#REF!)-1))),":",","),",",REPT(" ",50)),((((6-INDEX('CASE MASTER'!$U$2:$U$495,(SUMPRODUCT((('CASE MASTER'!$T$2:$T$495=8)*('CASE MASTER'!$U$2:$U$495&lt;=6)*('CASE MASTER'!$W$2:$W$495&gt;=6)*('CASE MASTER'!$V$2:$V$495&lt;=5)*('CASE MASTER'!$X$2:$X$495&gt;=5))*ROW('CASE MASTER'!$T$2:$T$495))-(ROW('CASE MASTER'!#REF!)-1))))*(INDEX('CASE MASTER'!$X$2:$X$495,(SUMPRODUCT((('CASE MASTER'!$T$2:$T$495=8)*('CASE MASTER'!$U$2:$U$495&lt;=6)*('CASE MASTER'!$W$2:$W$495&gt;=6)*('CASE MASTER'!$V$2:$V$495&lt;=5)*('CASE MASTER'!$X$2:$X$495&gt;=5))*ROW('CASE MASTER'!$T$2:$T$495))-(ROW('CASE MASTER'!#REF!)-1)))-INDEX('CASE MASTER'!$V$2:$V$495,(SUMPRODUCT((('CASE MASTER'!$T$2:$T$495=8)*('CASE MASTER'!$U$2:$U$495&lt;=6)*('CASE MASTER'!$W$2:$W$495&gt;=6)*('CASE MASTER'!$V$2:$V$495&lt;=5)*('CASE MASTER'!$X$2:$X$495&gt;=5))*ROW('CASE MASTER'!$T$2:$T$495))-(ROW('CASE MASTER'!#REF!)-1)))+1)+(5-INDEX('CASE MASTER'!$V$2:$V$495,(SUMPRODUCT((('CASE MASTER'!$T$2:$T$495=8)*('CASE MASTER'!$U$2:$U$495&lt;=6)*('CASE MASTER'!$W$2:$W$495&gt;=6)*('CASE MASTER'!$V$2:$V$495&lt;=5)*('CASE MASTER'!$X$2:$X$495&gt;=5))*ROW('CASE MASTER'!$T$2:$T$495))-(ROW('CASE MASTER'!#REF!)-1))))+1))-1)*50+1,50))&amp;"_"&amp;INDEX('CASE MASTER'!$Q$2:$Q$495,(SUMPRODUCT((('CASE MASTER'!$T$2:$T$495=8)*('CASE MASTER'!$U$2:$U$495&lt;=6)*('CASE MASTER'!$W$2:$W$495&gt;=6)*('CASE MASTER'!$V$2:$V$495&lt;=5)*('CASE MASTER'!$X$2:$X$495&gt;=5))*ROW('CASE MASTER'!$T$2:$T$495))-(ROW('CASE MASTER'!#REF!)-1))),IF(SUMPRODUCT((('CASE MASTER'!$T$2:$T$495=8)*('CASE MASTER'!$AA$2:$AA$495&lt;=6)*('CASE MASTER'!$AC$2:$AC$495&gt;=6)*('CASE MASTER'!$AB$2:$AB$495&lt;=5)*('CASE MASTER'!$AD$2:$AD$495&gt;=5))*ROW('CASE MASTER'!$T$2:$T$495))&gt;0,INDEX('CASE MASTER'!$Y$2:$Y$495,(SUMPRODUCT((('CASE MASTER'!$T$2:$T$495=8)*('CASE MASTER'!$AA$2:$AA$495&lt;=6)*('CASE MASTER'!$AC$2:$AC$495&gt;=6)*('CASE MASTER'!$AB$2:$AB$495&lt;=5)*('CASE MASTER'!$AD$2:$AD$495&gt;=5))*ROW('CASE MASTER'!$T$2:$T$495))-(ROW('CASE MASTER'!#REF!)-1)))&amp;TRIM(MID(SUBSTITUTE(SUBSTITUTE(INDEX('CASE MASTER'!$N$2:$N$495,(SUMPRODUCT((('CASE MASTER'!$T$2:$T$495=8)*('CASE MASTER'!$AA$2:$AA$495&lt;=6)*('CASE MASTER'!$AC$2:$AC$495&gt;=6)*('CASE MASTER'!$AB$2:$AB$495&lt;=5)*('CASE MASTER'!$AD$2:$AD$495&gt;=5))*ROW('CASE MASTER'!$T$2:$T$495))-(ROW('CASE MASTER'!#REF!)-1))),":",","),",",REPT(" ",50)),(((INDEX('CASE MASTER'!$Z$2:$Z$495,(SUMPRODUCT((('CASE MASTER'!$T$2:$T$495=8)*('CASE MASTER'!$AA$2:$AA$495&lt;=6)*('CASE MASTER'!$AC$2:$AC$495&gt;=6)*('CASE MASTER'!$AB$2:$AB$495&lt;=5)*('CASE MASTER'!$AD$2:$AD$495&gt;=5))*ROW('CASE MASTER'!$T$2:$T$495))-(ROW('CASE MASTER'!#REF!)-1)))+((6-INDEX('CASE MASTER'!$AA$2:$AA$495,(SUMPRODUCT((('CASE MASTER'!$T$2:$T$495=8)*('CASE MASTER'!$AA$2:$AA$495&lt;=6)*('CASE MASTER'!$AC$2:$AC$495&gt;=6)*('CASE MASTER'!$AB$2:$AB$495&lt;=5)*('CASE MASTER'!$AD$2:$AD$495&gt;=5))*ROW('CASE MASTER'!$T$2:$T$495))-(ROW('CASE MASTER'!#REF!)-1))))*(INDEX('CASE MASTER'!$AD$2:$AD$495,(SUMPRODUCT((('CASE MASTER'!$T$2:$T$495=8)*('CASE MASTER'!$AA$2:$AA$495&lt;=6)*('CASE MASTER'!$AC$2:$AC$495&gt;=6)*('CASE MASTER'!$AB$2:$AB$495&lt;=5)*('CASE MASTER'!$AD$2:$AD$495&gt;=5))*ROW('CASE MASTER'!$T$2:$T$495))-(ROW('CASE MASTER'!#REF!)-1)))-INDEX('CASE MASTER'!$AB$2:$AB$495,(SUMPRODUCT((('CASE MASTER'!$T$2:$T$495=8)*('CASE MASTER'!$AA$2:$AA$495&lt;=6)*('CASE MASTER'!$AC$2:$AC$495&gt;=6)*('CASE MASTER'!$AB$2:$AB$495&lt;=5)*('CASE MASTER'!$AD$2:$AD$495&gt;=5))*ROW('CASE MASTER'!$T$2:$T$495))-(ROW('CASE MASTER'!#REF!)-1)))+1)+(5-INDEX('CASE MASTER'!$AB$2:$AB$495,(SUMPRODUCT((('CASE MASTER'!$T$2:$T$495=8)*('CASE MASTER'!$AA$2:$AA$495&lt;=6)*('CASE MASTER'!$AC$2:$AC$495&gt;=6)*('CASE MASTER'!$AB$2:$AB$495&lt;=5)*('CASE MASTER'!$AD$2:$AD$495&gt;=5))*ROW('CASE MASTER'!$T$2:$T$495))-(ROW('CASE MASTER'!#REF!)-1))))+1)))-1)*50+1,50))&amp;"_"&amp;INDEX('CASE MASTER'!$Q$2:$Q$495,(SUMPRODUCT((('CASE MASTER'!$T$2:$T$495=8)*('CASE MASTER'!$AA$2:$AA$495&lt;=6)*('CASE MASTER'!$AC$2:$AC$495&gt;=6)*('CASE MASTER'!$AB$2:$AB$495&lt;=5)*('CASE MASTER'!$AD$2:$AD$495&gt;=5))*ROW('CASE MASTER'!$T$2:$T$495))-(ROW('CASE MASTER'!#REF!)-1))),"")),"")</f>
        <v/>
      </c>
      <c r="G106" s="10" t="str">
        <f>IFERROR(IF(SUMPRODUCT((('CASE MASTER'!$T$2:$T$495=8)*('CASE MASTER'!$U$2:$U$495&lt;=6)*('CASE MASTER'!$W$2:$W$495&gt;=6)*('CASE MASTER'!$V$2:$V$495&lt;=6)*('CASE MASTER'!$X$2:$X$495&gt;=6))*ROW('CASE MASTER'!$T$2:$T$495))&gt;0,INDEX('CASE MASTER'!$Y$2:$Y$495,(SUMPRODUCT((('CASE MASTER'!$T$2:$T$495=8)*('CASE MASTER'!$U$2:$U$495&lt;=6)*('CASE MASTER'!$W$2:$W$495&gt;=6)*('CASE MASTER'!$V$2:$V$495&lt;=6)*('CASE MASTER'!$X$2:$X$495&gt;=6))*ROW('CASE MASTER'!$T$2:$T$495))-(ROW('CASE MASTER'!#REF!)-1)))&amp;TRIM(MID(SUBSTITUTE(SUBSTITUTE(INDEX('CASE MASTER'!$N$2:$N$495,(SUMPRODUCT((('CASE MASTER'!$T$2:$T$495=8)*('CASE MASTER'!$U$2:$U$495&lt;=6)*('CASE MASTER'!$W$2:$W$495&gt;=6)*('CASE MASTER'!$V$2:$V$495&lt;=6)*('CASE MASTER'!$X$2:$X$495&gt;=6))*ROW('CASE MASTER'!$T$2:$T$495))-(ROW('CASE MASTER'!#REF!)-1))),":",","),",",REPT(" ",50)),((((6-INDEX('CASE MASTER'!$U$2:$U$495,(SUMPRODUCT((('CASE MASTER'!$T$2:$T$495=8)*('CASE MASTER'!$U$2:$U$495&lt;=6)*('CASE MASTER'!$W$2:$W$495&gt;=6)*('CASE MASTER'!$V$2:$V$495&lt;=6)*('CASE MASTER'!$X$2:$X$495&gt;=6))*ROW('CASE MASTER'!$T$2:$T$495))-(ROW('CASE MASTER'!#REF!)-1))))*(INDEX('CASE MASTER'!$X$2:$X$495,(SUMPRODUCT((('CASE MASTER'!$T$2:$T$495=8)*('CASE MASTER'!$U$2:$U$495&lt;=6)*('CASE MASTER'!$W$2:$W$495&gt;=6)*('CASE MASTER'!$V$2:$V$495&lt;=6)*('CASE MASTER'!$X$2:$X$495&gt;=6))*ROW('CASE MASTER'!$T$2:$T$495))-(ROW('CASE MASTER'!#REF!)-1)))-INDEX('CASE MASTER'!$V$2:$V$495,(SUMPRODUCT((('CASE MASTER'!$T$2:$T$495=8)*('CASE MASTER'!$U$2:$U$495&lt;=6)*('CASE MASTER'!$W$2:$W$495&gt;=6)*('CASE MASTER'!$V$2:$V$495&lt;=6)*('CASE MASTER'!$X$2:$X$495&gt;=6))*ROW('CASE MASTER'!$T$2:$T$495))-(ROW('CASE MASTER'!#REF!)-1)))+1)+(6-INDEX('CASE MASTER'!$V$2:$V$495,(SUMPRODUCT((('CASE MASTER'!$T$2:$T$495=8)*('CASE MASTER'!$U$2:$U$495&lt;=6)*('CASE MASTER'!$W$2:$W$495&gt;=6)*('CASE MASTER'!$V$2:$V$495&lt;=6)*('CASE MASTER'!$X$2:$X$495&gt;=6))*ROW('CASE MASTER'!$T$2:$T$495))-(ROW('CASE MASTER'!#REF!)-1))))+1))-1)*50+1,50))&amp;"_"&amp;INDEX('CASE MASTER'!$Q$2:$Q$495,(SUMPRODUCT((('CASE MASTER'!$T$2:$T$495=8)*('CASE MASTER'!$U$2:$U$495&lt;=6)*('CASE MASTER'!$W$2:$W$495&gt;=6)*('CASE MASTER'!$V$2:$V$495&lt;=6)*('CASE MASTER'!$X$2:$X$495&gt;=6))*ROW('CASE MASTER'!$T$2:$T$495))-(ROW('CASE MASTER'!#REF!)-1))),IF(SUMPRODUCT((('CASE MASTER'!$T$2:$T$495=8)*('CASE MASTER'!$AA$2:$AA$495&lt;=6)*('CASE MASTER'!$AC$2:$AC$495&gt;=6)*('CASE MASTER'!$AB$2:$AB$495&lt;=6)*('CASE MASTER'!$AD$2:$AD$495&gt;=6))*ROW('CASE MASTER'!$T$2:$T$495))&gt;0,INDEX('CASE MASTER'!$Y$2:$Y$495,(SUMPRODUCT((('CASE MASTER'!$T$2:$T$495=8)*('CASE MASTER'!$AA$2:$AA$495&lt;=6)*('CASE MASTER'!$AC$2:$AC$495&gt;=6)*('CASE MASTER'!$AB$2:$AB$495&lt;=6)*('CASE MASTER'!$AD$2:$AD$495&gt;=6))*ROW('CASE MASTER'!$T$2:$T$495))-(ROW('CASE MASTER'!#REF!)-1)))&amp;TRIM(MID(SUBSTITUTE(SUBSTITUTE(INDEX('CASE MASTER'!$N$2:$N$495,(SUMPRODUCT((('CASE MASTER'!$T$2:$T$495=8)*('CASE MASTER'!$AA$2:$AA$495&lt;=6)*('CASE MASTER'!$AC$2:$AC$495&gt;=6)*('CASE MASTER'!$AB$2:$AB$495&lt;=6)*('CASE MASTER'!$AD$2:$AD$495&gt;=6))*ROW('CASE MASTER'!$T$2:$T$495))-(ROW('CASE MASTER'!#REF!)-1))),":",","),",",REPT(" ",50)),(((INDEX('CASE MASTER'!$Z$2:$Z$495,(SUMPRODUCT((('CASE MASTER'!$T$2:$T$495=8)*('CASE MASTER'!$AA$2:$AA$495&lt;=6)*('CASE MASTER'!$AC$2:$AC$495&gt;=6)*('CASE MASTER'!$AB$2:$AB$495&lt;=6)*('CASE MASTER'!$AD$2:$AD$495&gt;=6))*ROW('CASE MASTER'!$T$2:$T$495))-(ROW('CASE MASTER'!#REF!)-1)))+((6-INDEX('CASE MASTER'!$AA$2:$AA$495,(SUMPRODUCT((('CASE MASTER'!$T$2:$T$495=8)*('CASE MASTER'!$AA$2:$AA$495&lt;=6)*('CASE MASTER'!$AC$2:$AC$495&gt;=6)*('CASE MASTER'!$AB$2:$AB$495&lt;=6)*('CASE MASTER'!$AD$2:$AD$495&gt;=6))*ROW('CASE MASTER'!$T$2:$T$495))-(ROW('CASE MASTER'!#REF!)-1))))*(INDEX('CASE MASTER'!$AD$2:$AD$495,(SUMPRODUCT((('CASE MASTER'!$T$2:$T$495=8)*('CASE MASTER'!$AA$2:$AA$495&lt;=6)*('CASE MASTER'!$AC$2:$AC$495&gt;=6)*('CASE MASTER'!$AB$2:$AB$495&lt;=6)*('CASE MASTER'!$AD$2:$AD$495&gt;=6))*ROW('CASE MASTER'!$T$2:$T$495))-(ROW('CASE MASTER'!#REF!)-1)))-INDEX('CASE MASTER'!$AB$2:$AB$495,(SUMPRODUCT((('CASE MASTER'!$T$2:$T$495=8)*('CASE MASTER'!$AA$2:$AA$495&lt;=6)*('CASE MASTER'!$AC$2:$AC$495&gt;=6)*('CASE MASTER'!$AB$2:$AB$495&lt;=6)*('CASE MASTER'!$AD$2:$AD$495&gt;=6))*ROW('CASE MASTER'!$T$2:$T$495))-(ROW('CASE MASTER'!#REF!)-1)))+1)+(6-INDEX('CASE MASTER'!$AB$2:$AB$495,(SUMPRODUCT((('CASE MASTER'!$T$2:$T$495=8)*('CASE MASTER'!$AA$2:$AA$495&lt;=6)*('CASE MASTER'!$AC$2:$AC$495&gt;=6)*('CASE MASTER'!$AB$2:$AB$495&lt;=6)*('CASE MASTER'!$AD$2:$AD$495&gt;=6))*ROW('CASE MASTER'!$T$2:$T$495))-(ROW('CASE MASTER'!#REF!)-1))))+1)))-1)*50+1,50))&amp;"_"&amp;INDEX('CASE MASTER'!$Q$2:$Q$495,(SUMPRODUCT((('CASE MASTER'!$T$2:$T$495=8)*('CASE MASTER'!$AA$2:$AA$495&lt;=6)*('CASE MASTER'!$AC$2:$AC$495&gt;=6)*('CASE MASTER'!$AB$2:$AB$495&lt;=6)*('CASE MASTER'!$AD$2:$AD$495&gt;=6))*ROW('CASE MASTER'!$T$2:$T$495))-(ROW('CASE MASTER'!#REF!)-1))),"")),"")</f>
        <v/>
      </c>
      <c r="H106" s="10" t="str">
        <f>IFERROR(IF(SUMPRODUCT((('CASE MASTER'!$T$2:$T$495=8)*('CASE MASTER'!$U$2:$U$495&lt;=6)*('CASE MASTER'!$W$2:$W$495&gt;=6)*('CASE MASTER'!$V$2:$V$495&lt;=7)*('CASE MASTER'!$X$2:$X$495&gt;=7))*ROW('CASE MASTER'!$T$2:$T$495))&gt;0,INDEX('CASE MASTER'!$Y$2:$Y$495,(SUMPRODUCT((('CASE MASTER'!$T$2:$T$495=8)*('CASE MASTER'!$U$2:$U$495&lt;=6)*('CASE MASTER'!$W$2:$W$495&gt;=6)*('CASE MASTER'!$V$2:$V$495&lt;=7)*('CASE MASTER'!$X$2:$X$495&gt;=7))*ROW('CASE MASTER'!$T$2:$T$495))-(ROW('CASE MASTER'!#REF!)-1)))&amp;TRIM(MID(SUBSTITUTE(SUBSTITUTE(INDEX('CASE MASTER'!$N$2:$N$495,(SUMPRODUCT((('CASE MASTER'!$T$2:$T$495=8)*('CASE MASTER'!$U$2:$U$495&lt;=6)*('CASE MASTER'!$W$2:$W$495&gt;=6)*('CASE MASTER'!$V$2:$V$495&lt;=7)*('CASE MASTER'!$X$2:$X$495&gt;=7))*ROW('CASE MASTER'!$T$2:$T$495))-(ROW('CASE MASTER'!#REF!)-1))),":",","),",",REPT(" ",50)),((((6-INDEX('CASE MASTER'!$U$2:$U$495,(SUMPRODUCT((('CASE MASTER'!$T$2:$T$495=8)*('CASE MASTER'!$U$2:$U$495&lt;=6)*('CASE MASTER'!$W$2:$W$495&gt;=6)*('CASE MASTER'!$V$2:$V$495&lt;=7)*('CASE MASTER'!$X$2:$X$495&gt;=7))*ROW('CASE MASTER'!$T$2:$T$495))-(ROW('CASE MASTER'!#REF!)-1))))*(INDEX('CASE MASTER'!$X$2:$X$495,(SUMPRODUCT((('CASE MASTER'!$T$2:$T$495=8)*('CASE MASTER'!$U$2:$U$495&lt;=6)*('CASE MASTER'!$W$2:$W$495&gt;=6)*('CASE MASTER'!$V$2:$V$495&lt;=7)*('CASE MASTER'!$X$2:$X$495&gt;=7))*ROW('CASE MASTER'!$T$2:$T$495))-(ROW('CASE MASTER'!#REF!)-1)))-INDEX('CASE MASTER'!$V$2:$V$495,(SUMPRODUCT((('CASE MASTER'!$T$2:$T$495=8)*('CASE MASTER'!$U$2:$U$495&lt;=6)*('CASE MASTER'!$W$2:$W$495&gt;=6)*('CASE MASTER'!$V$2:$V$495&lt;=7)*('CASE MASTER'!$X$2:$X$495&gt;=7))*ROW('CASE MASTER'!$T$2:$T$495))-(ROW('CASE MASTER'!#REF!)-1)))+1)+(7-INDEX('CASE MASTER'!$V$2:$V$495,(SUMPRODUCT((('CASE MASTER'!$T$2:$T$495=8)*('CASE MASTER'!$U$2:$U$495&lt;=6)*('CASE MASTER'!$W$2:$W$495&gt;=6)*('CASE MASTER'!$V$2:$V$495&lt;=7)*('CASE MASTER'!$X$2:$X$495&gt;=7))*ROW('CASE MASTER'!$T$2:$T$495))-(ROW('CASE MASTER'!#REF!)-1))))+1))-1)*50+1,50))&amp;"_"&amp;INDEX('CASE MASTER'!$Q$2:$Q$495,(SUMPRODUCT((('CASE MASTER'!$T$2:$T$495=8)*('CASE MASTER'!$U$2:$U$495&lt;=6)*('CASE MASTER'!$W$2:$W$495&gt;=6)*('CASE MASTER'!$V$2:$V$495&lt;=7)*('CASE MASTER'!$X$2:$X$495&gt;=7))*ROW('CASE MASTER'!$T$2:$T$495))-(ROW('CASE MASTER'!#REF!)-1))),IF(SUMPRODUCT((('CASE MASTER'!$T$2:$T$495=8)*('CASE MASTER'!$AA$2:$AA$495&lt;=6)*('CASE MASTER'!$AC$2:$AC$495&gt;=6)*('CASE MASTER'!$AB$2:$AB$495&lt;=7)*('CASE MASTER'!$AD$2:$AD$495&gt;=7))*ROW('CASE MASTER'!$T$2:$T$495))&gt;0,INDEX('CASE MASTER'!$Y$2:$Y$495,(SUMPRODUCT((('CASE MASTER'!$T$2:$T$495=8)*('CASE MASTER'!$AA$2:$AA$495&lt;=6)*('CASE MASTER'!$AC$2:$AC$495&gt;=6)*('CASE MASTER'!$AB$2:$AB$495&lt;=7)*('CASE MASTER'!$AD$2:$AD$495&gt;=7))*ROW('CASE MASTER'!$T$2:$T$495))-(ROW('CASE MASTER'!#REF!)-1)))&amp;TRIM(MID(SUBSTITUTE(SUBSTITUTE(INDEX('CASE MASTER'!$N$2:$N$495,(SUMPRODUCT((('CASE MASTER'!$T$2:$T$495=8)*('CASE MASTER'!$AA$2:$AA$495&lt;=6)*('CASE MASTER'!$AC$2:$AC$495&gt;=6)*('CASE MASTER'!$AB$2:$AB$495&lt;=7)*('CASE MASTER'!$AD$2:$AD$495&gt;=7))*ROW('CASE MASTER'!$T$2:$T$495))-(ROW('CASE MASTER'!#REF!)-1))),":",","),",",REPT(" ",50)),(((INDEX('CASE MASTER'!$Z$2:$Z$495,(SUMPRODUCT((('CASE MASTER'!$T$2:$T$495=8)*('CASE MASTER'!$AA$2:$AA$495&lt;=6)*('CASE MASTER'!$AC$2:$AC$495&gt;=6)*('CASE MASTER'!$AB$2:$AB$495&lt;=7)*('CASE MASTER'!$AD$2:$AD$495&gt;=7))*ROW('CASE MASTER'!$T$2:$T$495))-(ROW('CASE MASTER'!#REF!)-1)))+((6-INDEX('CASE MASTER'!$AA$2:$AA$495,(SUMPRODUCT((('CASE MASTER'!$T$2:$T$495=8)*('CASE MASTER'!$AA$2:$AA$495&lt;=6)*('CASE MASTER'!$AC$2:$AC$495&gt;=6)*('CASE MASTER'!$AB$2:$AB$495&lt;=7)*('CASE MASTER'!$AD$2:$AD$495&gt;=7))*ROW('CASE MASTER'!$T$2:$T$495))-(ROW('CASE MASTER'!#REF!)-1))))*(INDEX('CASE MASTER'!$AD$2:$AD$495,(SUMPRODUCT((('CASE MASTER'!$T$2:$T$495=8)*('CASE MASTER'!$AA$2:$AA$495&lt;=6)*('CASE MASTER'!$AC$2:$AC$495&gt;=6)*('CASE MASTER'!$AB$2:$AB$495&lt;=7)*('CASE MASTER'!$AD$2:$AD$495&gt;=7))*ROW('CASE MASTER'!$T$2:$T$495))-(ROW('CASE MASTER'!#REF!)-1)))-INDEX('CASE MASTER'!$AB$2:$AB$495,(SUMPRODUCT((('CASE MASTER'!$T$2:$T$495=8)*('CASE MASTER'!$AA$2:$AA$495&lt;=6)*('CASE MASTER'!$AC$2:$AC$495&gt;=6)*('CASE MASTER'!$AB$2:$AB$495&lt;=7)*('CASE MASTER'!$AD$2:$AD$495&gt;=7))*ROW('CASE MASTER'!$T$2:$T$495))-(ROW('CASE MASTER'!#REF!)-1)))+1)+(7-INDEX('CASE MASTER'!$AB$2:$AB$495,(SUMPRODUCT((('CASE MASTER'!$T$2:$T$495=8)*('CASE MASTER'!$AA$2:$AA$495&lt;=6)*('CASE MASTER'!$AC$2:$AC$495&gt;=6)*('CASE MASTER'!$AB$2:$AB$495&lt;=7)*('CASE MASTER'!$AD$2:$AD$495&gt;=7))*ROW('CASE MASTER'!$T$2:$T$495))-(ROW('CASE MASTER'!#REF!)-1))))+1)))-1)*50+1,50))&amp;"_"&amp;INDEX('CASE MASTER'!$Q$2:$Q$495,(SUMPRODUCT((('CASE MASTER'!$T$2:$T$495=8)*('CASE MASTER'!$AA$2:$AA$495&lt;=6)*('CASE MASTER'!$AC$2:$AC$495&gt;=6)*('CASE MASTER'!$AB$2:$AB$495&lt;=7)*('CASE MASTER'!$AD$2:$AD$495&gt;=7))*ROW('CASE MASTER'!$T$2:$T$495))-(ROW('CASE MASTER'!#REF!)-1))),"")),"")</f>
        <v/>
      </c>
      <c r="I106" s="10" t="str">
        <f>IFERROR(IF(SUMPRODUCT((('CASE MASTER'!$T$2:$T$495=8)*('CASE MASTER'!$U$2:$U$495&lt;=6)*('CASE MASTER'!$W$2:$W$495&gt;=6)*('CASE MASTER'!$V$2:$V$495&lt;=8)*('CASE MASTER'!$X$2:$X$495&gt;=8))*ROW('CASE MASTER'!$T$2:$T$495))&gt;0,INDEX('CASE MASTER'!$Y$2:$Y$495,(SUMPRODUCT((('CASE MASTER'!$T$2:$T$495=8)*('CASE MASTER'!$U$2:$U$495&lt;=6)*('CASE MASTER'!$W$2:$W$495&gt;=6)*('CASE MASTER'!$V$2:$V$495&lt;=8)*('CASE MASTER'!$X$2:$X$495&gt;=8))*ROW('CASE MASTER'!$T$2:$T$495))-(ROW('CASE MASTER'!#REF!)-1)))&amp;TRIM(MID(SUBSTITUTE(SUBSTITUTE(INDEX('CASE MASTER'!$N$2:$N$495,(SUMPRODUCT((('CASE MASTER'!$T$2:$T$495=8)*('CASE MASTER'!$U$2:$U$495&lt;=6)*('CASE MASTER'!$W$2:$W$495&gt;=6)*('CASE MASTER'!$V$2:$V$495&lt;=8)*('CASE MASTER'!$X$2:$X$495&gt;=8))*ROW('CASE MASTER'!$T$2:$T$495))-(ROW('CASE MASTER'!#REF!)-1))),":",","),",",REPT(" ",50)),((((6-INDEX('CASE MASTER'!$U$2:$U$495,(SUMPRODUCT((('CASE MASTER'!$T$2:$T$495=8)*('CASE MASTER'!$U$2:$U$495&lt;=6)*('CASE MASTER'!$W$2:$W$495&gt;=6)*('CASE MASTER'!$V$2:$V$495&lt;=8)*('CASE MASTER'!$X$2:$X$495&gt;=8))*ROW('CASE MASTER'!$T$2:$T$495))-(ROW('CASE MASTER'!#REF!)-1))))*(INDEX('CASE MASTER'!$X$2:$X$495,(SUMPRODUCT((('CASE MASTER'!$T$2:$T$495=8)*('CASE MASTER'!$U$2:$U$495&lt;=6)*('CASE MASTER'!$W$2:$W$495&gt;=6)*('CASE MASTER'!$V$2:$V$495&lt;=8)*('CASE MASTER'!$X$2:$X$495&gt;=8))*ROW('CASE MASTER'!$T$2:$T$495))-(ROW('CASE MASTER'!#REF!)-1)))-INDEX('CASE MASTER'!$V$2:$V$495,(SUMPRODUCT((('CASE MASTER'!$T$2:$T$495=8)*('CASE MASTER'!$U$2:$U$495&lt;=6)*('CASE MASTER'!$W$2:$W$495&gt;=6)*('CASE MASTER'!$V$2:$V$495&lt;=8)*('CASE MASTER'!$X$2:$X$495&gt;=8))*ROW('CASE MASTER'!$T$2:$T$495))-(ROW('CASE MASTER'!#REF!)-1)))+1)+(8-INDEX('CASE MASTER'!$V$2:$V$495,(SUMPRODUCT((('CASE MASTER'!$T$2:$T$495=8)*('CASE MASTER'!$U$2:$U$495&lt;=6)*('CASE MASTER'!$W$2:$W$495&gt;=6)*('CASE MASTER'!$V$2:$V$495&lt;=8)*('CASE MASTER'!$X$2:$X$495&gt;=8))*ROW('CASE MASTER'!$T$2:$T$495))-(ROW('CASE MASTER'!#REF!)-1))))+1))-1)*50+1,50))&amp;"_"&amp;INDEX('CASE MASTER'!$Q$2:$Q$495,(SUMPRODUCT((('CASE MASTER'!$T$2:$T$495=8)*('CASE MASTER'!$U$2:$U$495&lt;=6)*('CASE MASTER'!$W$2:$W$495&gt;=6)*('CASE MASTER'!$V$2:$V$495&lt;=8)*('CASE MASTER'!$X$2:$X$495&gt;=8))*ROW('CASE MASTER'!$T$2:$T$495))-(ROW('CASE MASTER'!#REF!)-1))),IF(SUMPRODUCT((('CASE MASTER'!$T$2:$T$495=8)*('CASE MASTER'!$AA$2:$AA$495&lt;=6)*('CASE MASTER'!$AC$2:$AC$495&gt;=6)*('CASE MASTER'!$AB$2:$AB$495&lt;=8)*('CASE MASTER'!$AD$2:$AD$495&gt;=8))*ROW('CASE MASTER'!$T$2:$T$495))&gt;0,INDEX('CASE MASTER'!$Y$2:$Y$495,(SUMPRODUCT((('CASE MASTER'!$T$2:$T$495=8)*('CASE MASTER'!$AA$2:$AA$495&lt;=6)*('CASE MASTER'!$AC$2:$AC$495&gt;=6)*('CASE MASTER'!$AB$2:$AB$495&lt;=8)*('CASE MASTER'!$AD$2:$AD$495&gt;=8))*ROW('CASE MASTER'!$T$2:$T$495))-(ROW('CASE MASTER'!#REF!)-1)))&amp;TRIM(MID(SUBSTITUTE(SUBSTITUTE(INDEX('CASE MASTER'!$N$2:$N$495,(SUMPRODUCT((('CASE MASTER'!$T$2:$T$495=8)*('CASE MASTER'!$AA$2:$AA$495&lt;=6)*('CASE MASTER'!$AC$2:$AC$495&gt;=6)*('CASE MASTER'!$AB$2:$AB$495&lt;=8)*('CASE MASTER'!$AD$2:$AD$495&gt;=8))*ROW('CASE MASTER'!$T$2:$T$495))-(ROW('CASE MASTER'!#REF!)-1))),":",","),",",REPT(" ",50)),(((INDEX('CASE MASTER'!$Z$2:$Z$495,(SUMPRODUCT((('CASE MASTER'!$T$2:$T$495=8)*('CASE MASTER'!$AA$2:$AA$495&lt;=6)*('CASE MASTER'!$AC$2:$AC$495&gt;=6)*('CASE MASTER'!$AB$2:$AB$495&lt;=8)*('CASE MASTER'!$AD$2:$AD$495&gt;=8))*ROW('CASE MASTER'!$T$2:$T$495))-(ROW('CASE MASTER'!#REF!)-1)))+((6-INDEX('CASE MASTER'!$AA$2:$AA$495,(SUMPRODUCT((('CASE MASTER'!$T$2:$T$495=8)*('CASE MASTER'!$AA$2:$AA$495&lt;=6)*('CASE MASTER'!$AC$2:$AC$495&gt;=6)*('CASE MASTER'!$AB$2:$AB$495&lt;=8)*('CASE MASTER'!$AD$2:$AD$495&gt;=8))*ROW('CASE MASTER'!$T$2:$T$495))-(ROW('CASE MASTER'!#REF!)-1))))*(INDEX('CASE MASTER'!$AD$2:$AD$495,(SUMPRODUCT((('CASE MASTER'!$T$2:$T$495=8)*('CASE MASTER'!$AA$2:$AA$495&lt;=6)*('CASE MASTER'!$AC$2:$AC$495&gt;=6)*('CASE MASTER'!$AB$2:$AB$495&lt;=8)*('CASE MASTER'!$AD$2:$AD$495&gt;=8))*ROW('CASE MASTER'!$T$2:$T$495))-(ROW('CASE MASTER'!#REF!)-1)))-INDEX('CASE MASTER'!$AB$2:$AB$495,(SUMPRODUCT((('CASE MASTER'!$T$2:$T$495=8)*('CASE MASTER'!$AA$2:$AA$495&lt;=6)*('CASE MASTER'!$AC$2:$AC$495&gt;=6)*('CASE MASTER'!$AB$2:$AB$495&lt;=8)*('CASE MASTER'!$AD$2:$AD$495&gt;=8))*ROW('CASE MASTER'!$T$2:$T$495))-(ROW('CASE MASTER'!#REF!)-1)))+1)+(8-INDEX('CASE MASTER'!$AB$2:$AB$495,(SUMPRODUCT((('CASE MASTER'!$T$2:$T$495=8)*('CASE MASTER'!$AA$2:$AA$495&lt;=6)*('CASE MASTER'!$AC$2:$AC$495&gt;=6)*('CASE MASTER'!$AB$2:$AB$495&lt;=8)*('CASE MASTER'!$AD$2:$AD$495&gt;=8))*ROW('CASE MASTER'!$T$2:$T$495))-(ROW('CASE MASTER'!#REF!)-1))))+1)))-1)*50+1,50))&amp;"_"&amp;INDEX('CASE MASTER'!$Q$2:$Q$495,(SUMPRODUCT((('CASE MASTER'!$T$2:$T$495=8)*('CASE MASTER'!$AA$2:$AA$495&lt;=6)*('CASE MASTER'!$AC$2:$AC$495&gt;=6)*('CASE MASTER'!$AB$2:$AB$495&lt;=8)*('CASE MASTER'!$AD$2:$AD$495&gt;=8))*ROW('CASE MASTER'!$T$2:$T$495))-(ROW('CASE MASTER'!#REF!)-1))),"")),"")</f>
        <v/>
      </c>
      <c r="J106" s="10" t="str">
        <f>IFERROR(IF(SUMPRODUCT((('CASE MASTER'!$T$2:$T$495=8)*('CASE MASTER'!$U$2:$U$495&lt;=6)*('CASE MASTER'!$W$2:$W$495&gt;=6)*('CASE MASTER'!$V$2:$V$495&lt;=9)*('CASE MASTER'!$X$2:$X$495&gt;=9))*ROW('CASE MASTER'!$T$2:$T$495))&gt;0,INDEX('CASE MASTER'!$Y$2:$Y$495,(SUMPRODUCT((('CASE MASTER'!$T$2:$T$495=8)*('CASE MASTER'!$U$2:$U$495&lt;=6)*('CASE MASTER'!$W$2:$W$495&gt;=6)*('CASE MASTER'!$V$2:$V$495&lt;=9)*('CASE MASTER'!$X$2:$X$495&gt;=9))*ROW('CASE MASTER'!$T$2:$T$495))-(ROW('CASE MASTER'!#REF!)-1)))&amp;TRIM(MID(SUBSTITUTE(SUBSTITUTE(INDEX('CASE MASTER'!$N$2:$N$495,(SUMPRODUCT((('CASE MASTER'!$T$2:$T$495=8)*('CASE MASTER'!$U$2:$U$495&lt;=6)*('CASE MASTER'!$W$2:$W$495&gt;=6)*('CASE MASTER'!$V$2:$V$495&lt;=9)*('CASE MASTER'!$X$2:$X$495&gt;=9))*ROW('CASE MASTER'!$T$2:$T$495))-(ROW('CASE MASTER'!#REF!)-1))),":",","),",",REPT(" ",50)),((((6-INDEX('CASE MASTER'!$U$2:$U$495,(SUMPRODUCT((('CASE MASTER'!$T$2:$T$495=8)*('CASE MASTER'!$U$2:$U$495&lt;=6)*('CASE MASTER'!$W$2:$W$495&gt;=6)*('CASE MASTER'!$V$2:$V$495&lt;=9)*('CASE MASTER'!$X$2:$X$495&gt;=9))*ROW('CASE MASTER'!$T$2:$T$495))-(ROW('CASE MASTER'!#REF!)-1))))*(INDEX('CASE MASTER'!$X$2:$X$495,(SUMPRODUCT((('CASE MASTER'!$T$2:$T$495=8)*('CASE MASTER'!$U$2:$U$495&lt;=6)*('CASE MASTER'!$W$2:$W$495&gt;=6)*('CASE MASTER'!$V$2:$V$495&lt;=9)*('CASE MASTER'!$X$2:$X$495&gt;=9))*ROW('CASE MASTER'!$T$2:$T$495))-(ROW('CASE MASTER'!#REF!)-1)))-INDEX('CASE MASTER'!$V$2:$V$495,(SUMPRODUCT((('CASE MASTER'!$T$2:$T$495=8)*('CASE MASTER'!$U$2:$U$495&lt;=6)*('CASE MASTER'!$W$2:$W$495&gt;=6)*('CASE MASTER'!$V$2:$V$495&lt;=9)*('CASE MASTER'!$X$2:$X$495&gt;=9))*ROW('CASE MASTER'!$T$2:$T$495))-(ROW('CASE MASTER'!#REF!)-1)))+1)+(9-INDEX('CASE MASTER'!$V$2:$V$495,(SUMPRODUCT((('CASE MASTER'!$T$2:$T$495=8)*('CASE MASTER'!$U$2:$U$495&lt;=6)*('CASE MASTER'!$W$2:$W$495&gt;=6)*('CASE MASTER'!$V$2:$V$495&lt;=9)*('CASE MASTER'!$X$2:$X$495&gt;=9))*ROW('CASE MASTER'!$T$2:$T$495))-(ROW('CASE MASTER'!#REF!)-1))))+1))-1)*50+1,50))&amp;"_"&amp;INDEX('CASE MASTER'!$Q$2:$Q$495,(SUMPRODUCT((('CASE MASTER'!$T$2:$T$495=8)*('CASE MASTER'!$U$2:$U$495&lt;=6)*('CASE MASTER'!$W$2:$W$495&gt;=6)*('CASE MASTER'!$V$2:$V$495&lt;=9)*('CASE MASTER'!$X$2:$X$495&gt;=9))*ROW('CASE MASTER'!$T$2:$T$495))-(ROW('CASE MASTER'!#REF!)-1))),IF(SUMPRODUCT((('CASE MASTER'!$T$2:$T$495=8)*('CASE MASTER'!$AA$2:$AA$495&lt;=6)*('CASE MASTER'!$AC$2:$AC$495&gt;=6)*('CASE MASTER'!$AB$2:$AB$495&lt;=9)*('CASE MASTER'!$AD$2:$AD$495&gt;=9))*ROW('CASE MASTER'!$T$2:$T$495))&gt;0,INDEX('CASE MASTER'!$Y$2:$Y$495,(SUMPRODUCT((('CASE MASTER'!$T$2:$T$495=8)*('CASE MASTER'!$AA$2:$AA$495&lt;=6)*('CASE MASTER'!$AC$2:$AC$495&gt;=6)*('CASE MASTER'!$AB$2:$AB$495&lt;=9)*('CASE MASTER'!$AD$2:$AD$495&gt;=9))*ROW('CASE MASTER'!$T$2:$T$495))-(ROW('CASE MASTER'!#REF!)-1)))&amp;TRIM(MID(SUBSTITUTE(SUBSTITUTE(INDEX('CASE MASTER'!$N$2:$N$495,(SUMPRODUCT((('CASE MASTER'!$T$2:$T$495=8)*('CASE MASTER'!$AA$2:$AA$495&lt;=6)*('CASE MASTER'!$AC$2:$AC$495&gt;=6)*('CASE MASTER'!$AB$2:$AB$495&lt;=9)*('CASE MASTER'!$AD$2:$AD$495&gt;=9))*ROW('CASE MASTER'!$T$2:$T$495))-(ROW('CASE MASTER'!#REF!)-1))),":",","),",",REPT(" ",50)),(((INDEX('CASE MASTER'!$Z$2:$Z$495,(SUMPRODUCT((('CASE MASTER'!$T$2:$T$495=8)*('CASE MASTER'!$AA$2:$AA$495&lt;=6)*('CASE MASTER'!$AC$2:$AC$495&gt;=6)*('CASE MASTER'!$AB$2:$AB$495&lt;=9)*('CASE MASTER'!$AD$2:$AD$495&gt;=9))*ROW('CASE MASTER'!$T$2:$T$495))-(ROW('CASE MASTER'!#REF!)-1)))+((6-INDEX('CASE MASTER'!$AA$2:$AA$495,(SUMPRODUCT((('CASE MASTER'!$T$2:$T$495=8)*('CASE MASTER'!$AA$2:$AA$495&lt;=6)*('CASE MASTER'!$AC$2:$AC$495&gt;=6)*('CASE MASTER'!$AB$2:$AB$495&lt;=9)*('CASE MASTER'!$AD$2:$AD$495&gt;=9))*ROW('CASE MASTER'!$T$2:$T$495))-(ROW('CASE MASTER'!#REF!)-1))))*(INDEX('CASE MASTER'!$AD$2:$AD$495,(SUMPRODUCT((('CASE MASTER'!$T$2:$T$495=8)*('CASE MASTER'!$AA$2:$AA$495&lt;=6)*('CASE MASTER'!$AC$2:$AC$495&gt;=6)*('CASE MASTER'!$AB$2:$AB$495&lt;=9)*('CASE MASTER'!$AD$2:$AD$495&gt;=9))*ROW('CASE MASTER'!$T$2:$T$495))-(ROW('CASE MASTER'!#REF!)-1)))-INDEX('CASE MASTER'!$AB$2:$AB$495,(SUMPRODUCT((('CASE MASTER'!$T$2:$T$495=8)*('CASE MASTER'!$AA$2:$AA$495&lt;=6)*('CASE MASTER'!$AC$2:$AC$495&gt;=6)*('CASE MASTER'!$AB$2:$AB$495&lt;=9)*('CASE MASTER'!$AD$2:$AD$495&gt;=9))*ROW('CASE MASTER'!$T$2:$T$495))-(ROW('CASE MASTER'!#REF!)-1)))+1)+(9-INDEX('CASE MASTER'!$AB$2:$AB$495,(SUMPRODUCT((('CASE MASTER'!$T$2:$T$495=8)*('CASE MASTER'!$AA$2:$AA$495&lt;=6)*('CASE MASTER'!$AC$2:$AC$495&gt;=6)*('CASE MASTER'!$AB$2:$AB$495&lt;=9)*('CASE MASTER'!$AD$2:$AD$495&gt;=9))*ROW('CASE MASTER'!$T$2:$T$495))-(ROW('CASE MASTER'!#REF!)-1))))+1)))-1)*50+1,50))&amp;"_"&amp;INDEX('CASE MASTER'!$Q$2:$Q$495,(SUMPRODUCT((('CASE MASTER'!$T$2:$T$495=8)*('CASE MASTER'!$AA$2:$AA$495&lt;=6)*('CASE MASTER'!$AC$2:$AC$495&gt;=6)*('CASE MASTER'!$AB$2:$AB$495&lt;=9)*('CASE MASTER'!$AD$2:$AD$495&gt;=9))*ROW('CASE MASTER'!$T$2:$T$495))-(ROW('CASE MASTER'!#REF!)-1))),"")),"")</f>
        <v/>
      </c>
      <c r="K106" s="10" t="str">
        <f>IFERROR(IF(SUMPRODUCT((('CASE MASTER'!$T$2:$T$495=8)*('CASE MASTER'!$U$2:$U$495&lt;=6)*('CASE MASTER'!$W$2:$W$495&gt;=6)*('CASE MASTER'!$V$2:$V$495&lt;=10)*('CASE MASTER'!$X$2:$X$495&gt;=10))*ROW('CASE MASTER'!$T$2:$T$495))&gt;0,INDEX('CASE MASTER'!$Y$2:$Y$495,(SUMPRODUCT((('CASE MASTER'!$T$2:$T$495=8)*('CASE MASTER'!$U$2:$U$495&lt;=6)*('CASE MASTER'!$W$2:$W$495&gt;=6)*('CASE MASTER'!$V$2:$V$495&lt;=10)*('CASE MASTER'!$X$2:$X$495&gt;=10))*ROW('CASE MASTER'!$T$2:$T$495))-(ROW('CASE MASTER'!#REF!)-1)))&amp;TRIM(MID(SUBSTITUTE(SUBSTITUTE(INDEX('CASE MASTER'!$N$2:$N$495,(SUMPRODUCT((('CASE MASTER'!$T$2:$T$495=8)*('CASE MASTER'!$U$2:$U$495&lt;=6)*('CASE MASTER'!$W$2:$W$495&gt;=6)*('CASE MASTER'!$V$2:$V$495&lt;=10)*('CASE MASTER'!$X$2:$X$495&gt;=10))*ROW('CASE MASTER'!$T$2:$T$495))-(ROW('CASE MASTER'!#REF!)-1))),":",","),",",REPT(" ",50)),((((6-INDEX('CASE MASTER'!$U$2:$U$495,(SUMPRODUCT((('CASE MASTER'!$T$2:$T$495=8)*('CASE MASTER'!$U$2:$U$495&lt;=6)*('CASE MASTER'!$W$2:$W$495&gt;=6)*('CASE MASTER'!$V$2:$V$495&lt;=10)*('CASE MASTER'!$X$2:$X$495&gt;=10))*ROW('CASE MASTER'!$T$2:$T$495))-(ROW('CASE MASTER'!#REF!)-1))))*(INDEX('CASE MASTER'!$X$2:$X$495,(SUMPRODUCT((('CASE MASTER'!$T$2:$T$495=8)*('CASE MASTER'!$U$2:$U$495&lt;=6)*('CASE MASTER'!$W$2:$W$495&gt;=6)*('CASE MASTER'!$V$2:$V$495&lt;=10)*('CASE MASTER'!$X$2:$X$495&gt;=10))*ROW('CASE MASTER'!$T$2:$T$495))-(ROW('CASE MASTER'!#REF!)-1)))-INDEX('CASE MASTER'!$V$2:$V$495,(SUMPRODUCT((('CASE MASTER'!$T$2:$T$495=8)*('CASE MASTER'!$U$2:$U$495&lt;=6)*('CASE MASTER'!$W$2:$W$495&gt;=6)*('CASE MASTER'!$V$2:$V$495&lt;=10)*('CASE MASTER'!$X$2:$X$495&gt;=10))*ROW('CASE MASTER'!$T$2:$T$495))-(ROW('CASE MASTER'!#REF!)-1)))+1)+(10-INDEX('CASE MASTER'!$V$2:$V$495,(SUMPRODUCT((('CASE MASTER'!$T$2:$T$495=8)*('CASE MASTER'!$U$2:$U$495&lt;=6)*('CASE MASTER'!$W$2:$W$495&gt;=6)*('CASE MASTER'!$V$2:$V$495&lt;=10)*('CASE MASTER'!$X$2:$X$495&gt;=10))*ROW('CASE MASTER'!$T$2:$T$495))-(ROW('CASE MASTER'!#REF!)-1))))+1))-1)*50+1,50))&amp;"_"&amp;INDEX('CASE MASTER'!$Q$2:$Q$495,(SUMPRODUCT((('CASE MASTER'!$T$2:$T$495=8)*('CASE MASTER'!$U$2:$U$495&lt;=6)*('CASE MASTER'!$W$2:$W$495&gt;=6)*('CASE MASTER'!$V$2:$V$495&lt;=10)*('CASE MASTER'!$X$2:$X$495&gt;=10))*ROW('CASE MASTER'!$T$2:$T$495))-(ROW('CASE MASTER'!#REF!)-1))),IF(SUMPRODUCT((('CASE MASTER'!$T$2:$T$495=8)*('CASE MASTER'!$AA$2:$AA$495&lt;=6)*('CASE MASTER'!$AC$2:$AC$495&gt;=6)*('CASE MASTER'!$AB$2:$AB$495&lt;=10)*('CASE MASTER'!$AD$2:$AD$495&gt;=10))*ROW('CASE MASTER'!$T$2:$T$495))&gt;0,INDEX('CASE MASTER'!$Y$2:$Y$495,(SUMPRODUCT((('CASE MASTER'!$T$2:$T$495=8)*('CASE MASTER'!$AA$2:$AA$495&lt;=6)*('CASE MASTER'!$AC$2:$AC$495&gt;=6)*('CASE MASTER'!$AB$2:$AB$495&lt;=10)*('CASE MASTER'!$AD$2:$AD$495&gt;=10))*ROW('CASE MASTER'!$T$2:$T$495))-(ROW('CASE MASTER'!#REF!)-1)))&amp;TRIM(MID(SUBSTITUTE(SUBSTITUTE(INDEX('CASE MASTER'!$N$2:$N$495,(SUMPRODUCT((('CASE MASTER'!$T$2:$T$495=8)*('CASE MASTER'!$AA$2:$AA$495&lt;=6)*('CASE MASTER'!$AC$2:$AC$495&gt;=6)*('CASE MASTER'!$AB$2:$AB$495&lt;=10)*('CASE MASTER'!$AD$2:$AD$495&gt;=10))*ROW('CASE MASTER'!$T$2:$T$495))-(ROW('CASE MASTER'!#REF!)-1))),":",","),",",REPT(" ",50)),(((INDEX('CASE MASTER'!$Z$2:$Z$495,(SUMPRODUCT((('CASE MASTER'!$T$2:$T$495=8)*('CASE MASTER'!$AA$2:$AA$495&lt;=6)*('CASE MASTER'!$AC$2:$AC$495&gt;=6)*('CASE MASTER'!$AB$2:$AB$495&lt;=10)*('CASE MASTER'!$AD$2:$AD$495&gt;=10))*ROW('CASE MASTER'!$T$2:$T$495))-(ROW('CASE MASTER'!#REF!)-1)))+((6-INDEX('CASE MASTER'!$AA$2:$AA$495,(SUMPRODUCT((('CASE MASTER'!$T$2:$T$495=8)*('CASE MASTER'!$AA$2:$AA$495&lt;=6)*('CASE MASTER'!$AC$2:$AC$495&gt;=6)*('CASE MASTER'!$AB$2:$AB$495&lt;=10)*('CASE MASTER'!$AD$2:$AD$495&gt;=10))*ROW('CASE MASTER'!$T$2:$T$495))-(ROW('CASE MASTER'!#REF!)-1))))*(INDEX('CASE MASTER'!$AD$2:$AD$495,(SUMPRODUCT((('CASE MASTER'!$T$2:$T$495=8)*('CASE MASTER'!$AA$2:$AA$495&lt;=6)*('CASE MASTER'!$AC$2:$AC$495&gt;=6)*('CASE MASTER'!$AB$2:$AB$495&lt;=10)*('CASE MASTER'!$AD$2:$AD$495&gt;=10))*ROW('CASE MASTER'!$T$2:$T$495))-(ROW('CASE MASTER'!#REF!)-1)))-INDEX('CASE MASTER'!$AB$2:$AB$495,(SUMPRODUCT((('CASE MASTER'!$T$2:$T$495=8)*('CASE MASTER'!$AA$2:$AA$495&lt;=6)*('CASE MASTER'!$AC$2:$AC$495&gt;=6)*('CASE MASTER'!$AB$2:$AB$495&lt;=10)*('CASE MASTER'!$AD$2:$AD$495&gt;=10))*ROW('CASE MASTER'!$T$2:$T$495))-(ROW('CASE MASTER'!#REF!)-1)))+1)+(10-INDEX('CASE MASTER'!$AB$2:$AB$495,(SUMPRODUCT((('CASE MASTER'!$T$2:$T$495=8)*('CASE MASTER'!$AA$2:$AA$495&lt;=6)*('CASE MASTER'!$AC$2:$AC$495&gt;=6)*('CASE MASTER'!$AB$2:$AB$495&lt;=10)*('CASE MASTER'!$AD$2:$AD$495&gt;=10))*ROW('CASE MASTER'!$T$2:$T$495))-(ROW('CASE MASTER'!#REF!)-1))))+1)))-1)*50+1,50))&amp;"_"&amp;INDEX('CASE MASTER'!$Q$2:$Q$495,(SUMPRODUCT((('CASE MASTER'!$T$2:$T$495=8)*('CASE MASTER'!$AA$2:$AA$495&lt;=6)*('CASE MASTER'!$AC$2:$AC$495&gt;=6)*('CASE MASTER'!$AB$2:$AB$495&lt;=10)*('CASE MASTER'!$AD$2:$AD$495&gt;=10))*ROW('CASE MASTER'!$T$2:$T$495))-(ROW('CASE MASTER'!#REF!)-1))),"")),"")</f>
        <v/>
      </c>
    </row>
    <row r="107" spans="1:11" ht="15" customHeight="1" x14ac:dyDescent="0.35">
      <c r="A107" s="8" t="s">
        <v>34</v>
      </c>
      <c r="B107" s="10" t="str">
        <f>IFERROR(IF(SUMPRODUCT((('CASE MASTER'!$T$2:$T$495=8)*('CASE MASTER'!$U$2:$U$495&lt;=7)*('CASE MASTER'!$W$2:$W$495&gt;=7)*('CASE MASTER'!$V$2:$V$495&lt;=1)*('CASE MASTER'!$X$2:$X$495&gt;=1))*ROW('CASE MASTER'!$T$2:$T$495))&gt;0,INDEX('CASE MASTER'!$Y$2:$Y$495,(SUMPRODUCT((('CASE MASTER'!$T$2:$T$495=8)*('CASE MASTER'!$U$2:$U$495&lt;=7)*('CASE MASTER'!$W$2:$W$495&gt;=7)*('CASE MASTER'!$V$2:$V$495&lt;=1)*('CASE MASTER'!$X$2:$X$495&gt;=1))*ROW('CASE MASTER'!$T$2:$T$495))-(ROW('CASE MASTER'!#REF!)-1)))&amp;TRIM(MID(SUBSTITUTE(SUBSTITUTE(INDEX('CASE MASTER'!$N$2:$N$495,(SUMPRODUCT((('CASE MASTER'!$T$2:$T$495=8)*('CASE MASTER'!$U$2:$U$495&lt;=7)*('CASE MASTER'!$W$2:$W$495&gt;=7)*('CASE MASTER'!$V$2:$V$495&lt;=1)*('CASE MASTER'!$X$2:$X$495&gt;=1))*ROW('CASE MASTER'!$T$2:$T$495))-(ROW('CASE MASTER'!#REF!)-1))),":",","),",",REPT(" ",50)),((((7-INDEX('CASE MASTER'!$U$2:$U$495,(SUMPRODUCT((('CASE MASTER'!$T$2:$T$495=8)*('CASE MASTER'!$U$2:$U$495&lt;=7)*('CASE MASTER'!$W$2:$W$495&gt;=7)*('CASE MASTER'!$V$2:$V$495&lt;=1)*('CASE MASTER'!$X$2:$X$495&gt;=1))*ROW('CASE MASTER'!$T$2:$T$495))-(ROW('CASE MASTER'!#REF!)-1))))*(INDEX('CASE MASTER'!$X$2:$X$495,(SUMPRODUCT((('CASE MASTER'!$T$2:$T$495=8)*('CASE MASTER'!$U$2:$U$495&lt;=7)*('CASE MASTER'!$W$2:$W$495&gt;=7)*('CASE MASTER'!$V$2:$V$495&lt;=1)*('CASE MASTER'!$X$2:$X$495&gt;=1))*ROW('CASE MASTER'!$T$2:$T$495))-(ROW('CASE MASTER'!#REF!)-1)))-INDEX('CASE MASTER'!$V$2:$V$495,(SUMPRODUCT((('CASE MASTER'!$T$2:$T$495=8)*('CASE MASTER'!$U$2:$U$495&lt;=7)*('CASE MASTER'!$W$2:$W$495&gt;=7)*('CASE MASTER'!$V$2:$V$495&lt;=1)*('CASE MASTER'!$X$2:$X$495&gt;=1))*ROW('CASE MASTER'!$T$2:$T$495))-(ROW('CASE MASTER'!#REF!)-1)))+1)+(1-INDEX('CASE MASTER'!$V$2:$V$495,(SUMPRODUCT((('CASE MASTER'!$T$2:$T$495=8)*('CASE MASTER'!$U$2:$U$495&lt;=7)*('CASE MASTER'!$W$2:$W$495&gt;=7)*('CASE MASTER'!$V$2:$V$495&lt;=1)*('CASE MASTER'!$X$2:$X$495&gt;=1))*ROW('CASE MASTER'!$T$2:$T$495))-(ROW('CASE MASTER'!#REF!)-1))))+1))-1)*50+1,50))&amp;"_"&amp;INDEX('CASE MASTER'!$Q$2:$Q$495,(SUMPRODUCT((('CASE MASTER'!$T$2:$T$495=8)*('CASE MASTER'!$U$2:$U$495&lt;=7)*('CASE MASTER'!$W$2:$W$495&gt;=7)*('CASE MASTER'!$V$2:$V$495&lt;=1)*('CASE MASTER'!$X$2:$X$495&gt;=1))*ROW('CASE MASTER'!$T$2:$T$495))-(ROW('CASE MASTER'!#REF!)-1))),IF(SUMPRODUCT((('CASE MASTER'!$T$2:$T$495=8)*('CASE MASTER'!$AA$2:$AA$495&lt;=7)*('CASE MASTER'!$AC$2:$AC$495&gt;=7)*('CASE MASTER'!$AB$2:$AB$495&lt;=1)*('CASE MASTER'!$AD$2:$AD$495&gt;=1))*ROW('CASE MASTER'!$T$2:$T$495))&gt;0,INDEX('CASE MASTER'!$Y$2:$Y$495,(SUMPRODUCT((('CASE MASTER'!$T$2:$T$495=8)*('CASE MASTER'!$AA$2:$AA$495&lt;=7)*('CASE MASTER'!$AC$2:$AC$495&gt;=7)*('CASE MASTER'!$AB$2:$AB$495&lt;=1)*('CASE MASTER'!$AD$2:$AD$495&gt;=1))*ROW('CASE MASTER'!$T$2:$T$495))-(ROW('CASE MASTER'!#REF!)-1)))&amp;TRIM(MID(SUBSTITUTE(SUBSTITUTE(INDEX('CASE MASTER'!$N$2:$N$495,(SUMPRODUCT((('CASE MASTER'!$T$2:$T$495=8)*('CASE MASTER'!$AA$2:$AA$495&lt;=7)*('CASE MASTER'!$AC$2:$AC$495&gt;=7)*('CASE MASTER'!$AB$2:$AB$495&lt;=1)*('CASE MASTER'!$AD$2:$AD$495&gt;=1))*ROW('CASE MASTER'!$T$2:$T$495))-(ROW('CASE MASTER'!#REF!)-1))),":",","),",",REPT(" ",50)),(((INDEX('CASE MASTER'!$Z$2:$Z$495,(SUMPRODUCT((('CASE MASTER'!$T$2:$T$495=8)*('CASE MASTER'!$AA$2:$AA$495&lt;=7)*('CASE MASTER'!$AC$2:$AC$495&gt;=7)*('CASE MASTER'!$AB$2:$AB$495&lt;=1)*('CASE MASTER'!$AD$2:$AD$495&gt;=1))*ROW('CASE MASTER'!$T$2:$T$495))-(ROW('CASE MASTER'!#REF!)-1)))+((7-INDEX('CASE MASTER'!$AA$2:$AA$495,(SUMPRODUCT((('CASE MASTER'!$T$2:$T$495=8)*('CASE MASTER'!$AA$2:$AA$495&lt;=7)*('CASE MASTER'!$AC$2:$AC$495&gt;=7)*('CASE MASTER'!$AB$2:$AB$495&lt;=1)*('CASE MASTER'!$AD$2:$AD$495&gt;=1))*ROW('CASE MASTER'!$T$2:$T$495))-(ROW('CASE MASTER'!#REF!)-1))))*(INDEX('CASE MASTER'!$AD$2:$AD$495,(SUMPRODUCT((('CASE MASTER'!$T$2:$T$495=8)*('CASE MASTER'!$AA$2:$AA$495&lt;=7)*('CASE MASTER'!$AC$2:$AC$495&gt;=7)*('CASE MASTER'!$AB$2:$AB$495&lt;=1)*('CASE MASTER'!$AD$2:$AD$495&gt;=1))*ROW('CASE MASTER'!$T$2:$T$495))-(ROW('CASE MASTER'!#REF!)-1)))-INDEX('CASE MASTER'!$AB$2:$AB$495,(SUMPRODUCT((('CASE MASTER'!$T$2:$T$495=8)*('CASE MASTER'!$AA$2:$AA$495&lt;=7)*('CASE MASTER'!$AC$2:$AC$495&gt;=7)*('CASE MASTER'!$AB$2:$AB$495&lt;=1)*('CASE MASTER'!$AD$2:$AD$495&gt;=1))*ROW('CASE MASTER'!$T$2:$T$495))-(ROW('CASE MASTER'!#REF!)-1)))+1)+(1-INDEX('CASE MASTER'!$AB$2:$AB$495,(SUMPRODUCT((('CASE MASTER'!$T$2:$T$495=8)*('CASE MASTER'!$AA$2:$AA$495&lt;=7)*('CASE MASTER'!$AC$2:$AC$495&gt;=7)*('CASE MASTER'!$AB$2:$AB$495&lt;=1)*('CASE MASTER'!$AD$2:$AD$495&gt;=1))*ROW('CASE MASTER'!$T$2:$T$495))-(ROW('CASE MASTER'!#REF!)-1))))+1)))-1)*50+1,50))&amp;"_"&amp;INDEX('CASE MASTER'!$Q$2:$Q$495,(SUMPRODUCT((('CASE MASTER'!$T$2:$T$495=8)*('CASE MASTER'!$AA$2:$AA$495&lt;=7)*('CASE MASTER'!$AC$2:$AC$495&gt;=7)*('CASE MASTER'!$AB$2:$AB$495&lt;=1)*('CASE MASTER'!$AD$2:$AD$495&gt;=1))*ROW('CASE MASTER'!$T$2:$T$495))-(ROW('CASE MASTER'!#REF!)-1))),"")),"")</f>
        <v/>
      </c>
      <c r="C107" s="10" t="str">
        <f>IFERROR(IF(SUMPRODUCT((('CASE MASTER'!$T$2:$T$495=8)*('CASE MASTER'!$U$2:$U$495&lt;=7)*('CASE MASTER'!$W$2:$W$495&gt;=7)*('CASE MASTER'!$V$2:$V$495&lt;=2)*('CASE MASTER'!$X$2:$X$495&gt;=2))*ROW('CASE MASTER'!$T$2:$T$495))&gt;0,INDEX('CASE MASTER'!$Y$2:$Y$495,(SUMPRODUCT((('CASE MASTER'!$T$2:$T$495=8)*('CASE MASTER'!$U$2:$U$495&lt;=7)*('CASE MASTER'!$W$2:$W$495&gt;=7)*('CASE MASTER'!$V$2:$V$495&lt;=2)*('CASE MASTER'!$X$2:$X$495&gt;=2))*ROW('CASE MASTER'!$T$2:$T$495))-(ROW('CASE MASTER'!#REF!)-1)))&amp;TRIM(MID(SUBSTITUTE(SUBSTITUTE(INDEX('CASE MASTER'!$N$2:$N$495,(SUMPRODUCT((('CASE MASTER'!$T$2:$T$495=8)*('CASE MASTER'!$U$2:$U$495&lt;=7)*('CASE MASTER'!$W$2:$W$495&gt;=7)*('CASE MASTER'!$V$2:$V$495&lt;=2)*('CASE MASTER'!$X$2:$X$495&gt;=2))*ROW('CASE MASTER'!$T$2:$T$495))-(ROW('CASE MASTER'!#REF!)-1))),":",","),",",REPT(" ",50)),((((7-INDEX('CASE MASTER'!$U$2:$U$495,(SUMPRODUCT((('CASE MASTER'!$T$2:$T$495=8)*('CASE MASTER'!$U$2:$U$495&lt;=7)*('CASE MASTER'!$W$2:$W$495&gt;=7)*('CASE MASTER'!$V$2:$V$495&lt;=2)*('CASE MASTER'!$X$2:$X$495&gt;=2))*ROW('CASE MASTER'!$T$2:$T$495))-(ROW('CASE MASTER'!#REF!)-1))))*(INDEX('CASE MASTER'!$X$2:$X$495,(SUMPRODUCT((('CASE MASTER'!$T$2:$T$495=8)*('CASE MASTER'!$U$2:$U$495&lt;=7)*('CASE MASTER'!$W$2:$W$495&gt;=7)*('CASE MASTER'!$V$2:$V$495&lt;=2)*('CASE MASTER'!$X$2:$X$495&gt;=2))*ROW('CASE MASTER'!$T$2:$T$495))-(ROW('CASE MASTER'!#REF!)-1)))-INDEX('CASE MASTER'!$V$2:$V$495,(SUMPRODUCT((('CASE MASTER'!$T$2:$T$495=8)*('CASE MASTER'!$U$2:$U$495&lt;=7)*('CASE MASTER'!$W$2:$W$495&gt;=7)*('CASE MASTER'!$V$2:$V$495&lt;=2)*('CASE MASTER'!$X$2:$X$495&gt;=2))*ROW('CASE MASTER'!$T$2:$T$495))-(ROW('CASE MASTER'!#REF!)-1)))+1)+(2-INDEX('CASE MASTER'!$V$2:$V$495,(SUMPRODUCT((('CASE MASTER'!$T$2:$T$495=8)*('CASE MASTER'!$U$2:$U$495&lt;=7)*('CASE MASTER'!$W$2:$W$495&gt;=7)*('CASE MASTER'!$V$2:$V$495&lt;=2)*('CASE MASTER'!$X$2:$X$495&gt;=2))*ROW('CASE MASTER'!$T$2:$T$495))-(ROW('CASE MASTER'!#REF!)-1))))+1))-1)*50+1,50))&amp;"_"&amp;INDEX('CASE MASTER'!$Q$2:$Q$495,(SUMPRODUCT((('CASE MASTER'!$T$2:$T$495=8)*('CASE MASTER'!$U$2:$U$495&lt;=7)*('CASE MASTER'!$W$2:$W$495&gt;=7)*('CASE MASTER'!$V$2:$V$495&lt;=2)*('CASE MASTER'!$X$2:$X$495&gt;=2))*ROW('CASE MASTER'!$T$2:$T$495))-(ROW('CASE MASTER'!#REF!)-1))),IF(SUMPRODUCT((('CASE MASTER'!$T$2:$T$495=8)*('CASE MASTER'!$AA$2:$AA$495&lt;=7)*('CASE MASTER'!$AC$2:$AC$495&gt;=7)*('CASE MASTER'!$AB$2:$AB$495&lt;=2)*('CASE MASTER'!$AD$2:$AD$495&gt;=2))*ROW('CASE MASTER'!$T$2:$T$495))&gt;0,INDEX('CASE MASTER'!$Y$2:$Y$495,(SUMPRODUCT((('CASE MASTER'!$T$2:$T$495=8)*('CASE MASTER'!$AA$2:$AA$495&lt;=7)*('CASE MASTER'!$AC$2:$AC$495&gt;=7)*('CASE MASTER'!$AB$2:$AB$495&lt;=2)*('CASE MASTER'!$AD$2:$AD$495&gt;=2))*ROW('CASE MASTER'!$T$2:$T$495))-(ROW('CASE MASTER'!#REF!)-1)))&amp;TRIM(MID(SUBSTITUTE(SUBSTITUTE(INDEX('CASE MASTER'!$N$2:$N$495,(SUMPRODUCT((('CASE MASTER'!$T$2:$T$495=8)*('CASE MASTER'!$AA$2:$AA$495&lt;=7)*('CASE MASTER'!$AC$2:$AC$495&gt;=7)*('CASE MASTER'!$AB$2:$AB$495&lt;=2)*('CASE MASTER'!$AD$2:$AD$495&gt;=2))*ROW('CASE MASTER'!$T$2:$T$495))-(ROW('CASE MASTER'!#REF!)-1))),":",","),",",REPT(" ",50)),(((INDEX('CASE MASTER'!$Z$2:$Z$495,(SUMPRODUCT((('CASE MASTER'!$T$2:$T$495=8)*('CASE MASTER'!$AA$2:$AA$495&lt;=7)*('CASE MASTER'!$AC$2:$AC$495&gt;=7)*('CASE MASTER'!$AB$2:$AB$495&lt;=2)*('CASE MASTER'!$AD$2:$AD$495&gt;=2))*ROW('CASE MASTER'!$T$2:$T$495))-(ROW('CASE MASTER'!#REF!)-1)))+((7-INDEX('CASE MASTER'!$AA$2:$AA$495,(SUMPRODUCT((('CASE MASTER'!$T$2:$T$495=8)*('CASE MASTER'!$AA$2:$AA$495&lt;=7)*('CASE MASTER'!$AC$2:$AC$495&gt;=7)*('CASE MASTER'!$AB$2:$AB$495&lt;=2)*('CASE MASTER'!$AD$2:$AD$495&gt;=2))*ROW('CASE MASTER'!$T$2:$T$495))-(ROW('CASE MASTER'!#REF!)-1))))*(INDEX('CASE MASTER'!$AD$2:$AD$495,(SUMPRODUCT((('CASE MASTER'!$T$2:$T$495=8)*('CASE MASTER'!$AA$2:$AA$495&lt;=7)*('CASE MASTER'!$AC$2:$AC$495&gt;=7)*('CASE MASTER'!$AB$2:$AB$495&lt;=2)*('CASE MASTER'!$AD$2:$AD$495&gt;=2))*ROW('CASE MASTER'!$T$2:$T$495))-(ROW('CASE MASTER'!#REF!)-1)))-INDEX('CASE MASTER'!$AB$2:$AB$495,(SUMPRODUCT((('CASE MASTER'!$T$2:$T$495=8)*('CASE MASTER'!$AA$2:$AA$495&lt;=7)*('CASE MASTER'!$AC$2:$AC$495&gt;=7)*('CASE MASTER'!$AB$2:$AB$495&lt;=2)*('CASE MASTER'!$AD$2:$AD$495&gt;=2))*ROW('CASE MASTER'!$T$2:$T$495))-(ROW('CASE MASTER'!#REF!)-1)))+1)+(2-INDEX('CASE MASTER'!$AB$2:$AB$495,(SUMPRODUCT((('CASE MASTER'!$T$2:$T$495=8)*('CASE MASTER'!$AA$2:$AA$495&lt;=7)*('CASE MASTER'!$AC$2:$AC$495&gt;=7)*('CASE MASTER'!$AB$2:$AB$495&lt;=2)*('CASE MASTER'!$AD$2:$AD$495&gt;=2))*ROW('CASE MASTER'!$T$2:$T$495))-(ROW('CASE MASTER'!#REF!)-1))))+1)))-1)*50+1,50))&amp;"_"&amp;INDEX('CASE MASTER'!$Q$2:$Q$495,(SUMPRODUCT((('CASE MASTER'!$T$2:$T$495=8)*('CASE MASTER'!$AA$2:$AA$495&lt;=7)*('CASE MASTER'!$AC$2:$AC$495&gt;=7)*('CASE MASTER'!$AB$2:$AB$495&lt;=2)*('CASE MASTER'!$AD$2:$AD$495&gt;=2))*ROW('CASE MASTER'!$T$2:$T$495))-(ROW('CASE MASTER'!#REF!)-1))),"")),"")</f>
        <v/>
      </c>
      <c r="D107" s="10" t="str">
        <f>IFERROR(IF(SUMPRODUCT((('CASE MASTER'!$T$2:$T$495=8)*('CASE MASTER'!$U$2:$U$495&lt;=7)*('CASE MASTER'!$W$2:$W$495&gt;=7)*('CASE MASTER'!$V$2:$V$495&lt;=3)*('CASE MASTER'!$X$2:$X$495&gt;=3))*ROW('CASE MASTER'!$T$2:$T$495))&gt;0,INDEX('CASE MASTER'!$Y$2:$Y$495,(SUMPRODUCT((('CASE MASTER'!$T$2:$T$495=8)*('CASE MASTER'!$U$2:$U$495&lt;=7)*('CASE MASTER'!$W$2:$W$495&gt;=7)*('CASE MASTER'!$V$2:$V$495&lt;=3)*('CASE MASTER'!$X$2:$X$495&gt;=3))*ROW('CASE MASTER'!$T$2:$T$495))-(ROW('CASE MASTER'!#REF!)-1)))&amp;TRIM(MID(SUBSTITUTE(SUBSTITUTE(INDEX('CASE MASTER'!$N$2:$N$495,(SUMPRODUCT((('CASE MASTER'!$T$2:$T$495=8)*('CASE MASTER'!$U$2:$U$495&lt;=7)*('CASE MASTER'!$W$2:$W$495&gt;=7)*('CASE MASTER'!$V$2:$V$495&lt;=3)*('CASE MASTER'!$X$2:$X$495&gt;=3))*ROW('CASE MASTER'!$T$2:$T$495))-(ROW('CASE MASTER'!#REF!)-1))),":",","),",",REPT(" ",50)),((((7-INDEX('CASE MASTER'!$U$2:$U$495,(SUMPRODUCT((('CASE MASTER'!$T$2:$T$495=8)*('CASE MASTER'!$U$2:$U$495&lt;=7)*('CASE MASTER'!$W$2:$W$495&gt;=7)*('CASE MASTER'!$V$2:$V$495&lt;=3)*('CASE MASTER'!$X$2:$X$495&gt;=3))*ROW('CASE MASTER'!$T$2:$T$495))-(ROW('CASE MASTER'!#REF!)-1))))*(INDEX('CASE MASTER'!$X$2:$X$495,(SUMPRODUCT((('CASE MASTER'!$T$2:$T$495=8)*('CASE MASTER'!$U$2:$U$495&lt;=7)*('CASE MASTER'!$W$2:$W$495&gt;=7)*('CASE MASTER'!$V$2:$V$495&lt;=3)*('CASE MASTER'!$X$2:$X$495&gt;=3))*ROW('CASE MASTER'!$T$2:$T$495))-(ROW('CASE MASTER'!#REF!)-1)))-INDEX('CASE MASTER'!$V$2:$V$495,(SUMPRODUCT((('CASE MASTER'!$T$2:$T$495=8)*('CASE MASTER'!$U$2:$U$495&lt;=7)*('CASE MASTER'!$W$2:$W$495&gt;=7)*('CASE MASTER'!$V$2:$V$495&lt;=3)*('CASE MASTER'!$X$2:$X$495&gt;=3))*ROW('CASE MASTER'!$T$2:$T$495))-(ROW('CASE MASTER'!#REF!)-1)))+1)+(3-INDEX('CASE MASTER'!$V$2:$V$495,(SUMPRODUCT((('CASE MASTER'!$T$2:$T$495=8)*('CASE MASTER'!$U$2:$U$495&lt;=7)*('CASE MASTER'!$W$2:$W$495&gt;=7)*('CASE MASTER'!$V$2:$V$495&lt;=3)*('CASE MASTER'!$X$2:$X$495&gt;=3))*ROW('CASE MASTER'!$T$2:$T$495))-(ROW('CASE MASTER'!#REF!)-1))))+1))-1)*50+1,50))&amp;"_"&amp;INDEX('CASE MASTER'!$Q$2:$Q$495,(SUMPRODUCT((('CASE MASTER'!$T$2:$T$495=8)*('CASE MASTER'!$U$2:$U$495&lt;=7)*('CASE MASTER'!$W$2:$W$495&gt;=7)*('CASE MASTER'!$V$2:$V$495&lt;=3)*('CASE MASTER'!$X$2:$X$495&gt;=3))*ROW('CASE MASTER'!$T$2:$T$495))-(ROW('CASE MASTER'!#REF!)-1))),IF(SUMPRODUCT((('CASE MASTER'!$T$2:$T$495=8)*('CASE MASTER'!$AA$2:$AA$495&lt;=7)*('CASE MASTER'!$AC$2:$AC$495&gt;=7)*('CASE MASTER'!$AB$2:$AB$495&lt;=3)*('CASE MASTER'!$AD$2:$AD$495&gt;=3))*ROW('CASE MASTER'!$T$2:$T$495))&gt;0,INDEX('CASE MASTER'!$Y$2:$Y$495,(SUMPRODUCT((('CASE MASTER'!$T$2:$T$495=8)*('CASE MASTER'!$AA$2:$AA$495&lt;=7)*('CASE MASTER'!$AC$2:$AC$495&gt;=7)*('CASE MASTER'!$AB$2:$AB$495&lt;=3)*('CASE MASTER'!$AD$2:$AD$495&gt;=3))*ROW('CASE MASTER'!$T$2:$T$495))-(ROW('CASE MASTER'!#REF!)-1)))&amp;TRIM(MID(SUBSTITUTE(SUBSTITUTE(INDEX('CASE MASTER'!$N$2:$N$495,(SUMPRODUCT((('CASE MASTER'!$T$2:$T$495=8)*('CASE MASTER'!$AA$2:$AA$495&lt;=7)*('CASE MASTER'!$AC$2:$AC$495&gt;=7)*('CASE MASTER'!$AB$2:$AB$495&lt;=3)*('CASE MASTER'!$AD$2:$AD$495&gt;=3))*ROW('CASE MASTER'!$T$2:$T$495))-(ROW('CASE MASTER'!#REF!)-1))),":",","),",",REPT(" ",50)),(((INDEX('CASE MASTER'!$Z$2:$Z$495,(SUMPRODUCT((('CASE MASTER'!$T$2:$T$495=8)*('CASE MASTER'!$AA$2:$AA$495&lt;=7)*('CASE MASTER'!$AC$2:$AC$495&gt;=7)*('CASE MASTER'!$AB$2:$AB$495&lt;=3)*('CASE MASTER'!$AD$2:$AD$495&gt;=3))*ROW('CASE MASTER'!$T$2:$T$495))-(ROW('CASE MASTER'!#REF!)-1)))+((7-INDEX('CASE MASTER'!$AA$2:$AA$495,(SUMPRODUCT((('CASE MASTER'!$T$2:$T$495=8)*('CASE MASTER'!$AA$2:$AA$495&lt;=7)*('CASE MASTER'!$AC$2:$AC$495&gt;=7)*('CASE MASTER'!$AB$2:$AB$495&lt;=3)*('CASE MASTER'!$AD$2:$AD$495&gt;=3))*ROW('CASE MASTER'!$T$2:$T$495))-(ROW('CASE MASTER'!#REF!)-1))))*(INDEX('CASE MASTER'!$AD$2:$AD$495,(SUMPRODUCT((('CASE MASTER'!$T$2:$T$495=8)*('CASE MASTER'!$AA$2:$AA$495&lt;=7)*('CASE MASTER'!$AC$2:$AC$495&gt;=7)*('CASE MASTER'!$AB$2:$AB$495&lt;=3)*('CASE MASTER'!$AD$2:$AD$495&gt;=3))*ROW('CASE MASTER'!$T$2:$T$495))-(ROW('CASE MASTER'!#REF!)-1)))-INDEX('CASE MASTER'!$AB$2:$AB$495,(SUMPRODUCT((('CASE MASTER'!$T$2:$T$495=8)*('CASE MASTER'!$AA$2:$AA$495&lt;=7)*('CASE MASTER'!$AC$2:$AC$495&gt;=7)*('CASE MASTER'!$AB$2:$AB$495&lt;=3)*('CASE MASTER'!$AD$2:$AD$495&gt;=3))*ROW('CASE MASTER'!$T$2:$T$495))-(ROW('CASE MASTER'!#REF!)-1)))+1)+(3-INDEX('CASE MASTER'!$AB$2:$AB$495,(SUMPRODUCT((('CASE MASTER'!$T$2:$T$495=8)*('CASE MASTER'!$AA$2:$AA$495&lt;=7)*('CASE MASTER'!$AC$2:$AC$495&gt;=7)*('CASE MASTER'!$AB$2:$AB$495&lt;=3)*('CASE MASTER'!$AD$2:$AD$495&gt;=3))*ROW('CASE MASTER'!$T$2:$T$495))-(ROW('CASE MASTER'!#REF!)-1))))+1)))-1)*50+1,50))&amp;"_"&amp;INDEX('CASE MASTER'!$Q$2:$Q$495,(SUMPRODUCT((('CASE MASTER'!$T$2:$T$495=8)*('CASE MASTER'!$AA$2:$AA$495&lt;=7)*('CASE MASTER'!$AC$2:$AC$495&gt;=7)*('CASE MASTER'!$AB$2:$AB$495&lt;=3)*('CASE MASTER'!$AD$2:$AD$495&gt;=3))*ROW('CASE MASTER'!$T$2:$T$495))-(ROW('CASE MASTER'!#REF!)-1))),"")),"")</f>
        <v/>
      </c>
      <c r="E107" s="10" t="str">
        <f>IFERROR(IF(SUMPRODUCT((('CASE MASTER'!$T$2:$T$495=8)*('CASE MASTER'!$U$2:$U$495&lt;=7)*('CASE MASTER'!$W$2:$W$495&gt;=7)*('CASE MASTER'!$V$2:$V$495&lt;=4)*('CASE MASTER'!$X$2:$X$495&gt;=4))*ROW('CASE MASTER'!$T$2:$T$495))&gt;0,INDEX('CASE MASTER'!$Y$2:$Y$495,(SUMPRODUCT((('CASE MASTER'!$T$2:$T$495=8)*('CASE MASTER'!$U$2:$U$495&lt;=7)*('CASE MASTER'!$W$2:$W$495&gt;=7)*('CASE MASTER'!$V$2:$V$495&lt;=4)*('CASE MASTER'!$X$2:$X$495&gt;=4))*ROW('CASE MASTER'!$T$2:$T$495))-(ROW('CASE MASTER'!#REF!)-1)))&amp;TRIM(MID(SUBSTITUTE(SUBSTITUTE(INDEX('CASE MASTER'!$N$2:$N$495,(SUMPRODUCT((('CASE MASTER'!$T$2:$T$495=8)*('CASE MASTER'!$U$2:$U$495&lt;=7)*('CASE MASTER'!$W$2:$W$495&gt;=7)*('CASE MASTER'!$V$2:$V$495&lt;=4)*('CASE MASTER'!$X$2:$X$495&gt;=4))*ROW('CASE MASTER'!$T$2:$T$495))-(ROW('CASE MASTER'!#REF!)-1))),":",","),",",REPT(" ",50)),((((7-INDEX('CASE MASTER'!$U$2:$U$495,(SUMPRODUCT((('CASE MASTER'!$T$2:$T$495=8)*('CASE MASTER'!$U$2:$U$495&lt;=7)*('CASE MASTER'!$W$2:$W$495&gt;=7)*('CASE MASTER'!$V$2:$V$495&lt;=4)*('CASE MASTER'!$X$2:$X$495&gt;=4))*ROW('CASE MASTER'!$T$2:$T$495))-(ROW('CASE MASTER'!#REF!)-1))))*(INDEX('CASE MASTER'!$X$2:$X$495,(SUMPRODUCT((('CASE MASTER'!$T$2:$T$495=8)*('CASE MASTER'!$U$2:$U$495&lt;=7)*('CASE MASTER'!$W$2:$W$495&gt;=7)*('CASE MASTER'!$V$2:$V$495&lt;=4)*('CASE MASTER'!$X$2:$X$495&gt;=4))*ROW('CASE MASTER'!$T$2:$T$495))-(ROW('CASE MASTER'!#REF!)-1)))-INDEX('CASE MASTER'!$V$2:$V$495,(SUMPRODUCT((('CASE MASTER'!$T$2:$T$495=8)*('CASE MASTER'!$U$2:$U$495&lt;=7)*('CASE MASTER'!$W$2:$W$495&gt;=7)*('CASE MASTER'!$V$2:$V$495&lt;=4)*('CASE MASTER'!$X$2:$X$495&gt;=4))*ROW('CASE MASTER'!$T$2:$T$495))-(ROW('CASE MASTER'!#REF!)-1)))+1)+(4-INDEX('CASE MASTER'!$V$2:$V$495,(SUMPRODUCT((('CASE MASTER'!$T$2:$T$495=8)*('CASE MASTER'!$U$2:$U$495&lt;=7)*('CASE MASTER'!$W$2:$W$495&gt;=7)*('CASE MASTER'!$V$2:$V$495&lt;=4)*('CASE MASTER'!$X$2:$X$495&gt;=4))*ROW('CASE MASTER'!$T$2:$T$495))-(ROW('CASE MASTER'!#REF!)-1))))+1))-1)*50+1,50))&amp;"_"&amp;INDEX('CASE MASTER'!$Q$2:$Q$495,(SUMPRODUCT((('CASE MASTER'!$T$2:$T$495=8)*('CASE MASTER'!$U$2:$U$495&lt;=7)*('CASE MASTER'!$W$2:$W$495&gt;=7)*('CASE MASTER'!$V$2:$V$495&lt;=4)*('CASE MASTER'!$X$2:$X$495&gt;=4))*ROW('CASE MASTER'!$T$2:$T$495))-(ROW('CASE MASTER'!#REF!)-1))),IF(SUMPRODUCT((('CASE MASTER'!$T$2:$T$495=8)*('CASE MASTER'!$AA$2:$AA$495&lt;=7)*('CASE MASTER'!$AC$2:$AC$495&gt;=7)*('CASE MASTER'!$AB$2:$AB$495&lt;=4)*('CASE MASTER'!$AD$2:$AD$495&gt;=4))*ROW('CASE MASTER'!$T$2:$T$495))&gt;0,INDEX('CASE MASTER'!$Y$2:$Y$495,(SUMPRODUCT((('CASE MASTER'!$T$2:$T$495=8)*('CASE MASTER'!$AA$2:$AA$495&lt;=7)*('CASE MASTER'!$AC$2:$AC$495&gt;=7)*('CASE MASTER'!$AB$2:$AB$495&lt;=4)*('CASE MASTER'!$AD$2:$AD$495&gt;=4))*ROW('CASE MASTER'!$T$2:$T$495))-(ROW('CASE MASTER'!#REF!)-1)))&amp;TRIM(MID(SUBSTITUTE(SUBSTITUTE(INDEX('CASE MASTER'!$N$2:$N$495,(SUMPRODUCT((('CASE MASTER'!$T$2:$T$495=8)*('CASE MASTER'!$AA$2:$AA$495&lt;=7)*('CASE MASTER'!$AC$2:$AC$495&gt;=7)*('CASE MASTER'!$AB$2:$AB$495&lt;=4)*('CASE MASTER'!$AD$2:$AD$495&gt;=4))*ROW('CASE MASTER'!$T$2:$T$495))-(ROW('CASE MASTER'!#REF!)-1))),":",","),",",REPT(" ",50)),(((INDEX('CASE MASTER'!$Z$2:$Z$495,(SUMPRODUCT((('CASE MASTER'!$T$2:$T$495=8)*('CASE MASTER'!$AA$2:$AA$495&lt;=7)*('CASE MASTER'!$AC$2:$AC$495&gt;=7)*('CASE MASTER'!$AB$2:$AB$495&lt;=4)*('CASE MASTER'!$AD$2:$AD$495&gt;=4))*ROW('CASE MASTER'!$T$2:$T$495))-(ROW('CASE MASTER'!#REF!)-1)))+((7-INDEX('CASE MASTER'!$AA$2:$AA$495,(SUMPRODUCT((('CASE MASTER'!$T$2:$T$495=8)*('CASE MASTER'!$AA$2:$AA$495&lt;=7)*('CASE MASTER'!$AC$2:$AC$495&gt;=7)*('CASE MASTER'!$AB$2:$AB$495&lt;=4)*('CASE MASTER'!$AD$2:$AD$495&gt;=4))*ROW('CASE MASTER'!$T$2:$T$495))-(ROW('CASE MASTER'!#REF!)-1))))*(INDEX('CASE MASTER'!$AD$2:$AD$495,(SUMPRODUCT((('CASE MASTER'!$T$2:$T$495=8)*('CASE MASTER'!$AA$2:$AA$495&lt;=7)*('CASE MASTER'!$AC$2:$AC$495&gt;=7)*('CASE MASTER'!$AB$2:$AB$495&lt;=4)*('CASE MASTER'!$AD$2:$AD$495&gt;=4))*ROW('CASE MASTER'!$T$2:$T$495))-(ROW('CASE MASTER'!#REF!)-1)))-INDEX('CASE MASTER'!$AB$2:$AB$495,(SUMPRODUCT((('CASE MASTER'!$T$2:$T$495=8)*('CASE MASTER'!$AA$2:$AA$495&lt;=7)*('CASE MASTER'!$AC$2:$AC$495&gt;=7)*('CASE MASTER'!$AB$2:$AB$495&lt;=4)*('CASE MASTER'!$AD$2:$AD$495&gt;=4))*ROW('CASE MASTER'!$T$2:$T$495))-(ROW('CASE MASTER'!#REF!)-1)))+1)+(4-INDEX('CASE MASTER'!$AB$2:$AB$495,(SUMPRODUCT((('CASE MASTER'!$T$2:$T$495=8)*('CASE MASTER'!$AA$2:$AA$495&lt;=7)*('CASE MASTER'!$AC$2:$AC$495&gt;=7)*('CASE MASTER'!$AB$2:$AB$495&lt;=4)*('CASE MASTER'!$AD$2:$AD$495&gt;=4))*ROW('CASE MASTER'!$T$2:$T$495))-(ROW('CASE MASTER'!#REF!)-1))))+1)))-1)*50+1,50))&amp;"_"&amp;INDEX('CASE MASTER'!$Q$2:$Q$495,(SUMPRODUCT((('CASE MASTER'!$T$2:$T$495=8)*('CASE MASTER'!$AA$2:$AA$495&lt;=7)*('CASE MASTER'!$AC$2:$AC$495&gt;=7)*('CASE MASTER'!$AB$2:$AB$495&lt;=4)*('CASE MASTER'!$AD$2:$AD$495&gt;=4))*ROW('CASE MASTER'!$T$2:$T$495))-(ROW('CASE MASTER'!#REF!)-1))),"")),"")</f>
        <v/>
      </c>
      <c r="F107" s="10" t="str">
        <f>IFERROR(IF(SUMPRODUCT((('CASE MASTER'!$T$2:$T$495=8)*('CASE MASTER'!$U$2:$U$495&lt;=7)*('CASE MASTER'!$W$2:$W$495&gt;=7)*('CASE MASTER'!$V$2:$V$495&lt;=5)*('CASE MASTER'!$X$2:$X$495&gt;=5))*ROW('CASE MASTER'!$T$2:$T$495))&gt;0,INDEX('CASE MASTER'!$Y$2:$Y$495,(SUMPRODUCT((('CASE MASTER'!$T$2:$T$495=8)*('CASE MASTER'!$U$2:$U$495&lt;=7)*('CASE MASTER'!$W$2:$W$495&gt;=7)*('CASE MASTER'!$V$2:$V$495&lt;=5)*('CASE MASTER'!$X$2:$X$495&gt;=5))*ROW('CASE MASTER'!$T$2:$T$495))-(ROW('CASE MASTER'!#REF!)-1)))&amp;TRIM(MID(SUBSTITUTE(SUBSTITUTE(INDEX('CASE MASTER'!$N$2:$N$495,(SUMPRODUCT((('CASE MASTER'!$T$2:$T$495=8)*('CASE MASTER'!$U$2:$U$495&lt;=7)*('CASE MASTER'!$W$2:$W$495&gt;=7)*('CASE MASTER'!$V$2:$V$495&lt;=5)*('CASE MASTER'!$X$2:$X$495&gt;=5))*ROW('CASE MASTER'!$T$2:$T$495))-(ROW('CASE MASTER'!#REF!)-1))),":",","),",",REPT(" ",50)),((((7-INDEX('CASE MASTER'!$U$2:$U$495,(SUMPRODUCT((('CASE MASTER'!$T$2:$T$495=8)*('CASE MASTER'!$U$2:$U$495&lt;=7)*('CASE MASTER'!$W$2:$W$495&gt;=7)*('CASE MASTER'!$V$2:$V$495&lt;=5)*('CASE MASTER'!$X$2:$X$495&gt;=5))*ROW('CASE MASTER'!$T$2:$T$495))-(ROW('CASE MASTER'!#REF!)-1))))*(INDEX('CASE MASTER'!$X$2:$X$495,(SUMPRODUCT((('CASE MASTER'!$T$2:$T$495=8)*('CASE MASTER'!$U$2:$U$495&lt;=7)*('CASE MASTER'!$W$2:$W$495&gt;=7)*('CASE MASTER'!$V$2:$V$495&lt;=5)*('CASE MASTER'!$X$2:$X$495&gt;=5))*ROW('CASE MASTER'!$T$2:$T$495))-(ROW('CASE MASTER'!#REF!)-1)))-INDEX('CASE MASTER'!$V$2:$V$495,(SUMPRODUCT((('CASE MASTER'!$T$2:$T$495=8)*('CASE MASTER'!$U$2:$U$495&lt;=7)*('CASE MASTER'!$W$2:$W$495&gt;=7)*('CASE MASTER'!$V$2:$V$495&lt;=5)*('CASE MASTER'!$X$2:$X$495&gt;=5))*ROW('CASE MASTER'!$T$2:$T$495))-(ROW('CASE MASTER'!#REF!)-1)))+1)+(5-INDEX('CASE MASTER'!$V$2:$V$495,(SUMPRODUCT((('CASE MASTER'!$T$2:$T$495=8)*('CASE MASTER'!$U$2:$U$495&lt;=7)*('CASE MASTER'!$W$2:$W$495&gt;=7)*('CASE MASTER'!$V$2:$V$495&lt;=5)*('CASE MASTER'!$X$2:$X$495&gt;=5))*ROW('CASE MASTER'!$T$2:$T$495))-(ROW('CASE MASTER'!#REF!)-1))))+1))-1)*50+1,50))&amp;"_"&amp;INDEX('CASE MASTER'!$Q$2:$Q$495,(SUMPRODUCT((('CASE MASTER'!$T$2:$T$495=8)*('CASE MASTER'!$U$2:$U$495&lt;=7)*('CASE MASTER'!$W$2:$W$495&gt;=7)*('CASE MASTER'!$V$2:$V$495&lt;=5)*('CASE MASTER'!$X$2:$X$495&gt;=5))*ROW('CASE MASTER'!$T$2:$T$495))-(ROW('CASE MASTER'!#REF!)-1))),IF(SUMPRODUCT((('CASE MASTER'!$T$2:$T$495=8)*('CASE MASTER'!$AA$2:$AA$495&lt;=7)*('CASE MASTER'!$AC$2:$AC$495&gt;=7)*('CASE MASTER'!$AB$2:$AB$495&lt;=5)*('CASE MASTER'!$AD$2:$AD$495&gt;=5))*ROW('CASE MASTER'!$T$2:$T$495))&gt;0,INDEX('CASE MASTER'!$Y$2:$Y$495,(SUMPRODUCT((('CASE MASTER'!$T$2:$T$495=8)*('CASE MASTER'!$AA$2:$AA$495&lt;=7)*('CASE MASTER'!$AC$2:$AC$495&gt;=7)*('CASE MASTER'!$AB$2:$AB$495&lt;=5)*('CASE MASTER'!$AD$2:$AD$495&gt;=5))*ROW('CASE MASTER'!$T$2:$T$495))-(ROW('CASE MASTER'!#REF!)-1)))&amp;TRIM(MID(SUBSTITUTE(SUBSTITUTE(INDEX('CASE MASTER'!$N$2:$N$495,(SUMPRODUCT((('CASE MASTER'!$T$2:$T$495=8)*('CASE MASTER'!$AA$2:$AA$495&lt;=7)*('CASE MASTER'!$AC$2:$AC$495&gt;=7)*('CASE MASTER'!$AB$2:$AB$495&lt;=5)*('CASE MASTER'!$AD$2:$AD$495&gt;=5))*ROW('CASE MASTER'!$T$2:$T$495))-(ROW('CASE MASTER'!#REF!)-1))),":",","),",",REPT(" ",50)),(((INDEX('CASE MASTER'!$Z$2:$Z$495,(SUMPRODUCT((('CASE MASTER'!$T$2:$T$495=8)*('CASE MASTER'!$AA$2:$AA$495&lt;=7)*('CASE MASTER'!$AC$2:$AC$495&gt;=7)*('CASE MASTER'!$AB$2:$AB$495&lt;=5)*('CASE MASTER'!$AD$2:$AD$495&gt;=5))*ROW('CASE MASTER'!$T$2:$T$495))-(ROW('CASE MASTER'!#REF!)-1)))+((7-INDEX('CASE MASTER'!$AA$2:$AA$495,(SUMPRODUCT((('CASE MASTER'!$T$2:$T$495=8)*('CASE MASTER'!$AA$2:$AA$495&lt;=7)*('CASE MASTER'!$AC$2:$AC$495&gt;=7)*('CASE MASTER'!$AB$2:$AB$495&lt;=5)*('CASE MASTER'!$AD$2:$AD$495&gt;=5))*ROW('CASE MASTER'!$T$2:$T$495))-(ROW('CASE MASTER'!#REF!)-1))))*(INDEX('CASE MASTER'!$AD$2:$AD$495,(SUMPRODUCT((('CASE MASTER'!$T$2:$T$495=8)*('CASE MASTER'!$AA$2:$AA$495&lt;=7)*('CASE MASTER'!$AC$2:$AC$495&gt;=7)*('CASE MASTER'!$AB$2:$AB$495&lt;=5)*('CASE MASTER'!$AD$2:$AD$495&gt;=5))*ROW('CASE MASTER'!$T$2:$T$495))-(ROW('CASE MASTER'!#REF!)-1)))-INDEX('CASE MASTER'!$AB$2:$AB$495,(SUMPRODUCT((('CASE MASTER'!$T$2:$T$495=8)*('CASE MASTER'!$AA$2:$AA$495&lt;=7)*('CASE MASTER'!$AC$2:$AC$495&gt;=7)*('CASE MASTER'!$AB$2:$AB$495&lt;=5)*('CASE MASTER'!$AD$2:$AD$495&gt;=5))*ROW('CASE MASTER'!$T$2:$T$495))-(ROW('CASE MASTER'!#REF!)-1)))+1)+(5-INDEX('CASE MASTER'!$AB$2:$AB$495,(SUMPRODUCT((('CASE MASTER'!$T$2:$T$495=8)*('CASE MASTER'!$AA$2:$AA$495&lt;=7)*('CASE MASTER'!$AC$2:$AC$495&gt;=7)*('CASE MASTER'!$AB$2:$AB$495&lt;=5)*('CASE MASTER'!$AD$2:$AD$495&gt;=5))*ROW('CASE MASTER'!$T$2:$T$495))-(ROW('CASE MASTER'!#REF!)-1))))+1)))-1)*50+1,50))&amp;"_"&amp;INDEX('CASE MASTER'!$Q$2:$Q$495,(SUMPRODUCT((('CASE MASTER'!$T$2:$T$495=8)*('CASE MASTER'!$AA$2:$AA$495&lt;=7)*('CASE MASTER'!$AC$2:$AC$495&gt;=7)*('CASE MASTER'!$AB$2:$AB$495&lt;=5)*('CASE MASTER'!$AD$2:$AD$495&gt;=5))*ROW('CASE MASTER'!$T$2:$T$495))-(ROW('CASE MASTER'!#REF!)-1))),"")),"")</f>
        <v/>
      </c>
      <c r="G107" s="10" t="str">
        <f>IFERROR(IF(SUMPRODUCT((('CASE MASTER'!$T$2:$T$495=8)*('CASE MASTER'!$U$2:$U$495&lt;=7)*('CASE MASTER'!$W$2:$W$495&gt;=7)*('CASE MASTER'!$V$2:$V$495&lt;=6)*('CASE MASTER'!$X$2:$X$495&gt;=6))*ROW('CASE MASTER'!$T$2:$T$495))&gt;0,INDEX('CASE MASTER'!$Y$2:$Y$495,(SUMPRODUCT((('CASE MASTER'!$T$2:$T$495=8)*('CASE MASTER'!$U$2:$U$495&lt;=7)*('CASE MASTER'!$W$2:$W$495&gt;=7)*('CASE MASTER'!$V$2:$V$495&lt;=6)*('CASE MASTER'!$X$2:$X$495&gt;=6))*ROW('CASE MASTER'!$T$2:$T$495))-(ROW('CASE MASTER'!#REF!)-1)))&amp;TRIM(MID(SUBSTITUTE(SUBSTITUTE(INDEX('CASE MASTER'!$N$2:$N$495,(SUMPRODUCT((('CASE MASTER'!$T$2:$T$495=8)*('CASE MASTER'!$U$2:$U$495&lt;=7)*('CASE MASTER'!$W$2:$W$495&gt;=7)*('CASE MASTER'!$V$2:$V$495&lt;=6)*('CASE MASTER'!$X$2:$X$495&gt;=6))*ROW('CASE MASTER'!$T$2:$T$495))-(ROW('CASE MASTER'!#REF!)-1))),":",","),",",REPT(" ",50)),((((7-INDEX('CASE MASTER'!$U$2:$U$495,(SUMPRODUCT((('CASE MASTER'!$T$2:$T$495=8)*('CASE MASTER'!$U$2:$U$495&lt;=7)*('CASE MASTER'!$W$2:$W$495&gt;=7)*('CASE MASTER'!$V$2:$V$495&lt;=6)*('CASE MASTER'!$X$2:$X$495&gt;=6))*ROW('CASE MASTER'!$T$2:$T$495))-(ROW('CASE MASTER'!#REF!)-1))))*(INDEX('CASE MASTER'!$X$2:$X$495,(SUMPRODUCT((('CASE MASTER'!$T$2:$T$495=8)*('CASE MASTER'!$U$2:$U$495&lt;=7)*('CASE MASTER'!$W$2:$W$495&gt;=7)*('CASE MASTER'!$V$2:$V$495&lt;=6)*('CASE MASTER'!$X$2:$X$495&gt;=6))*ROW('CASE MASTER'!$T$2:$T$495))-(ROW('CASE MASTER'!#REF!)-1)))-INDEX('CASE MASTER'!$V$2:$V$495,(SUMPRODUCT((('CASE MASTER'!$T$2:$T$495=8)*('CASE MASTER'!$U$2:$U$495&lt;=7)*('CASE MASTER'!$W$2:$W$495&gt;=7)*('CASE MASTER'!$V$2:$V$495&lt;=6)*('CASE MASTER'!$X$2:$X$495&gt;=6))*ROW('CASE MASTER'!$T$2:$T$495))-(ROW('CASE MASTER'!#REF!)-1)))+1)+(6-INDEX('CASE MASTER'!$V$2:$V$495,(SUMPRODUCT((('CASE MASTER'!$T$2:$T$495=8)*('CASE MASTER'!$U$2:$U$495&lt;=7)*('CASE MASTER'!$W$2:$W$495&gt;=7)*('CASE MASTER'!$V$2:$V$495&lt;=6)*('CASE MASTER'!$X$2:$X$495&gt;=6))*ROW('CASE MASTER'!$T$2:$T$495))-(ROW('CASE MASTER'!#REF!)-1))))+1))-1)*50+1,50))&amp;"_"&amp;INDEX('CASE MASTER'!$Q$2:$Q$495,(SUMPRODUCT((('CASE MASTER'!$T$2:$T$495=8)*('CASE MASTER'!$U$2:$U$495&lt;=7)*('CASE MASTER'!$W$2:$W$495&gt;=7)*('CASE MASTER'!$V$2:$V$495&lt;=6)*('CASE MASTER'!$X$2:$X$495&gt;=6))*ROW('CASE MASTER'!$T$2:$T$495))-(ROW('CASE MASTER'!#REF!)-1))),IF(SUMPRODUCT((('CASE MASTER'!$T$2:$T$495=8)*('CASE MASTER'!$AA$2:$AA$495&lt;=7)*('CASE MASTER'!$AC$2:$AC$495&gt;=7)*('CASE MASTER'!$AB$2:$AB$495&lt;=6)*('CASE MASTER'!$AD$2:$AD$495&gt;=6))*ROW('CASE MASTER'!$T$2:$T$495))&gt;0,INDEX('CASE MASTER'!$Y$2:$Y$495,(SUMPRODUCT((('CASE MASTER'!$T$2:$T$495=8)*('CASE MASTER'!$AA$2:$AA$495&lt;=7)*('CASE MASTER'!$AC$2:$AC$495&gt;=7)*('CASE MASTER'!$AB$2:$AB$495&lt;=6)*('CASE MASTER'!$AD$2:$AD$495&gt;=6))*ROW('CASE MASTER'!$T$2:$T$495))-(ROW('CASE MASTER'!#REF!)-1)))&amp;TRIM(MID(SUBSTITUTE(SUBSTITUTE(INDEX('CASE MASTER'!$N$2:$N$495,(SUMPRODUCT((('CASE MASTER'!$T$2:$T$495=8)*('CASE MASTER'!$AA$2:$AA$495&lt;=7)*('CASE MASTER'!$AC$2:$AC$495&gt;=7)*('CASE MASTER'!$AB$2:$AB$495&lt;=6)*('CASE MASTER'!$AD$2:$AD$495&gt;=6))*ROW('CASE MASTER'!$T$2:$T$495))-(ROW('CASE MASTER'!#REF!)-1))),":",","),",",REPT(" ",50)),(((INDEX('CASE MASTER'!$Z$2:$Z$495,(SUMPRODUCT((('CASE MASTER'!$T$2:$T$495=8)*('CASE MASTER'!$AA$2:$AA$495&lt;=7)*('CASE MASTER'!$AC$2:$AC$495&gt;=7)*('CASE MASTER'!$AB$2:$AB$495&lt;=6)*('CASE MASTER'!$AD$2:$AD$495&gt;=6))*ROW('CASE MASTER'!$T$2:$T$495))-(ROW('CASE MASTER'!#REF!)-1)))+((7-INDEX('CASE MASTER'!$AA$2:$AA$495,(SUMPRODUCT((('CASE MASTER'!$T$2:$T$495=8)*('CASE MASTER'!$AA$2:$AA$495&lt;=7)*('CASE MASTER'!$AC$2:$AC$495&gt;=7)*('CASE MASTER'!$AB$2:$AB$495&lt;=6)*('CASE MASTER'!$AD$2:$AD$495&gt;=6))*ROW('CASE MASTER'!$T$2:$T$495))-(ROW('CASE MASTER'!#REF!)-1))))*(INDEX('CASE MASTER'!$AD$2:$AD$495,(SUMPRODUCT((('CASE MASTER'!$T$2:$T$495=8)*('CASE MASTER'!$AA$2:$AA$495&lt;=7)*('CASE MASTER'!$AC$2:$AC$495&gt;=7)*('CASE MASTER'!$AB$2:$AB$495&lt;=6)*('CASE MASTER'!$AD$2:$AD$495&gt;=6))*ROW('CASE MASTER'!$T$2:$T$495))-(ROW('CASE MASTER'!#REF!)-1)))-INDEX('CASE MASTER'!$AB$2:$AB$495,(SUMPRODUCT((('CASE MASTER'!$T$2:$T$495=8)*('CASE MASTER'!$AA$2:$AA$495&lt;=7)*('CASE MASTER'!$AC$2:$AC$495&gt;=7)*('CASE MASTER'!$AB$2:$AB$495&lt;=6)*('CASE MASTER'!$AD$2:$AD$495&gt;=6))*ROW('CASE MASTER'!$T$2:$T$495))-(ROW('CASE MASTER'!#REF!)-1)))+1)+(6-INDEX('CASE MASTER'!$AB$2:$AB$495,(SUMPRODUCT((('CASE MASTER'!$T$2:$T$495=8)*('CASE MASTER'!$AA$2:$AA$495&lt;=7)*('CASE MASTER'!$AC$2:$AC$495&gt;=7)*('CASE MASTER'!$AB$2:$AB$495&lt;=6)*('CASE MASTER'!$AD$2:$AD$495&gt;=6))*ROW('CASE MASTER'!$T$2:$T$495))-(ROW('CASE MASTER'!#REF!)-1))))+1)))-1)*50+1,50))&amp;"_"&amp;INDEX('CASE MASTER'!$Q$2:$Q$495,(SUMPRODUCT((('CASE MASTER'!$T$2:$T$495=8)*('CASE MASTER'!$AA$2:$AA$495&lt;=7)*('CASE MASTER'!$AC$2:$AC$495&gt;=7)*('CASE MASTER'!$AB$2:$AB$495&lt;=6)*('CASE MASTER'!$AD$2:$AD$495&gt;=6))*ROW('CASE MASTER'!$T$2:$T$495))-(ROW('CASE MASTER'!#REF!)-1))),"")),"")</f>
        <v/>
      </c>
      <c r="H107" s="10" t="str">
        <f>IFERROR(IF(SUMPRODUCT((('CASE MASTER'!$T$2:$T$495=8)*('CASE MASTER'!$U$2:$U$495&lt;=7)*('CASE MASTER'!$W$2:$W$495&gt;=7)*('CASE MASTER'!$V$2:$V$495&lt;=7)*('CASE MASTER'!$X$2:$X$495&gt;=7))*ROW('CASE MASTER'!$T$2:$T$495))&gt;0,INDEX('CASE MASTER'!$Y$2:$Y$495,(SUMPRODUCT((('CASE MASTER'!$T$2:$T$495=8)*('CASE MASTER'!$U$2:$U$495&lt;=7)*('CASE MASTER'!$W$2:$W$495&gt;=7)*('CASE MASTER'!$V$2:$V$495&lt;=7)*('CASE MASTER'!$X$2:$X$495&gt;=7))*ROW('CASE MASTER'!$T$2:$T$495))-(ROW('CASE MASTER'!#REF!)-1)))&amp;TRIM(MID(SUBSTITUTE(SUBSTITUTE(INDEX('CASE MASTER'!$N$2:$N$495,(SUMPRODUCT((('CASE MASTER'!$T$2:$T$495=8)*('CASE MASTER'!$U$2:$U$495&lt;=7)*('CASE MASTER'!$W$2:$W$495&gt;=7)*('CASE MASTER'!$V$2:$V$495&lt;=7)*('CASE MASTER'!$X$2:$X$495&gt;=7))*ROW('CASE MASTER'!$T$2:$T$495))-(ROW('CASE MASTER'!#REF!)-1))),":",","),",",REPT(" ",50)),((((7-INDEX('CASE MASTER'!$U$2:$U$495,(SUMPRODUCT((('CASE MASTER'!$T$2:$T$495=8)*('CASE MASTER'!$U$2:$U$495&lt;=7)*('CASE MASTER'!$W$2:$W$495&gt;=7)*('CASE MASTER'!$V$2:$V$495&lt;=7)*('CASE MASTER'!$X$2:$X$495&gt;=7))*ROW('CASE MASTER'!$T$2:$T$495))-(ROW('CASE MASTER'!#REF!)-1))))*(INDEX('CASE MASTER'!$X$2:$X$495,(SUMPRODUCT((('CASE MASTER'!$T$2:$T$495=8)*('CASE MASTER'!$U$2:$U$495&lt;=7)*('CASE MASTER'!$W$2:$W$495&gt;=7)*('CASE MASTER'!$V$2:$V$495&lt;=7)*('CASE MASTER'!$X$2:$X$495&gt;=7))*ROW('CASE MASTER'!$T$2:$T$495))-(ROW('CASE MASTER'!#REF!)-1)))-INDEX('CASE MASTER'!$V$2:$V$495,(SUMPRODUCT((('CASE MASTER'!$T$2:$T$495=8)*('CASE MASTER'!$U$2:$U$495&lt;=7)*('CASE MASTER'!$W$2:$W$495&gt;=7)*('CASE MASTER'!$V$2:$V$495&lt;=7)*('CASE MASTER'!$X$2:$X$495&gt;=7))*ROW('CASE MASTER'!$T$2:$T$495))-(ROW('CASE MASTER'!#REF!)-1)))+1)+(7-INDEX('CASE MASTER'!$V$2:$V$495,(SUMPRODUCT((('CASE MASTER'!$T$2:$T$495=8)*('CASE MASTER'!$U$2:$U$495&lt;=7)*('CASE MASTER'!$W$2:$W$495&gt;=7)*('CASE MASTER'!$V$2:$V$495&lt;=7)*('CASE MASTER'!$X$2:$X$495&gt;=7))*ROW('CASE MASTER'!$T$2:$T$495))-(ROW('CASE MASTER'!#REF!)-1))))+1))-1)*50+1,50))&amp;"_"&amp;INDEX('CASE MASTER'!$Q$2:$Q$495,(SUMPRODUCT((('CASE MASTER'!$T$2:$T$495=8)*('CASE MASTER'!$U$2:$U$495&lt;=7)*('CASE MASTER'!$W$2:$W$495&gt;=7)*('CASE MASTER'!$V$2:$V$495&lt;=7)*('CASE MASTER'!$X$2:$X$495&gt;=7))*ROW('CASE MASTER'!$T$2:$T$495))-(ROW('CASE MASTER'!#REF!)-1))),IF(SUMPRODUCT((('CASE MASTER'!$T$2:$T$495=8)*('CASE MASTER'!$AA$2:$AA$495&lt;=7)*('CASE MASTER'!$AC$2:$AC$495&gt;=7)*('CASE MASTER'!$AB$2:$AB$495&lt;=7)*('CASE MASTER'!$AD$2:$AD$495&gt;=7))*ROW('CASE MASTER'!$T$2:$T$495))&gt;0,INDEX('CASE MASTER'!$Y$2:$Y$495,(SUMPRODUCT((('CASE MASTER'!$T$2:$T$495=8)*('CASE MASTER'!$AA$2:$AA$495&lt;=7)*('CASE MASTER'!$AC$2:$AC$495&gt;=7)*('CASE MASTER'!$AB$2:$AB$495&lt;=7)*('CASE MASTER'!$AD$2:$AD$495&gt;=7))*ROW('CASE MASTER'!$T$2:$T$495))-(ROW('CASE MASTER'!#REF!)-1)))&amp;TRIM(MID(SUBSTITUTE(SUBSTITUTE(INDEX('CASE MASTER'!$N$2:$N$495,(SUMPRODUCT((('CASE MASTER'!$T$2:$T$495=8)*('CASE MASTER'!$AA$2:$AA$495&lt;=7)*('CASE MASTER'!$AC$2:$AC$495&gt;=7)*('CASE MASTER'!$AB$2:$AB$495&lt;=7)*('CASE MASTER'!$AD$2:$AD$495&gt;=7))*ROW('CASE MASTER'!$T$2:$T$495))-(ROW('CASE MASTER'!#REF!)-1))),":",","),",",REPT(" ",50)),(((INDEX('CASE MASTER'!$Z$2:$Z$495,(SUMPRODUCT((('CASE MASTER'!$T$2:$T$495=8)*('CASE MASTER'!$AA$2:$AA$495&lt;=7)*('CASE MASTER'!$AC$2:$AC$495&gt;=7)*('CASE MASTER'!$AB$2:$AB$495&lt;=7)*('CASE MASTER'!$AD$2:$AD$495&gt;=7))*ROW('CASE MASTER'!$T$2:$T$495))-(ROW('CASE MASTER'!#REF!)-1)))+((7-INDEX('CASE MASTER'!$AA$2:$AA$495,(SUMPRODUCT((('CASE MASTER'!$T$2:$T$495=8)*('CASE MASTER'!$AA$2:$AA$495&lt;=7)*('CASE MASTER'!$AC$2:$AC$495&gt;=7)*('CASE MASTER'!$AB$2:$AB$495&lt;=7)*('CASE MASTER'!$AD$2:$AD$495&gt;=7))*ROW('CASE MASTER'!$T$2:$T$495))-(ROW('CASE MASTER'!#REF!)-1))))*(INDEX('CASE MASTER'!$AD$2:$AD$495,(SUMPRODUCT((('CASE MASTER'!$T$2:$T$495=8)*('CASE MASTER'!$AA$2:$AA$495&lt;=7)*('CASE MASTER'!$AC$2:$AC$495&gt;=7)*('CASE MASTER'!$AB$2:$AB$495&lt;=7)*('CASE MASTER'!$AD$2:$AD$495&gt;=7))*ROW('CASE MASTER'!$T$2:$T$495))-(ROW('CASE MASTER'!#REF!)-1)))-INDEX('CASE MASTER'!$AB$2:$AB$495,(SUMPRODUCT((('CASE MASTER'!$T$2:$T$495=8)*('CASE MASTER'!$AA$2:$AA$495&lt;=7)*('CASE MASTER'!$AC$2:$AC$495&gt;=7)*('CASE MASTER'!$AB$2:$AB$495&lt;=7)*('CASE MASTER'!$AD$2:$AD$495&gt;=7))*ROW('CASE MASTER'!$T$2:$T$495))-(ROW('CASE MASTER'!#REF!)-1)))+1)+(7-INDEX('CASE MASTER'!$AB$2:$AB$495,(SUMPRODUCT((('CASE MASTER'!$T$2:$T$495=8)*('CASE MASTER'!$AA$2:$AA$495&lt;=7)*('CASE MASTER'!$AC$2:$AC$495&gt;=7)*('CASE MASTER'!$AB$2:$AB$495&lt;=7)*('CASE MASTER'!$AD$2:$AD$495&gt;=7))*ROW('CASE MASTER'!$T$2:$T$495))-(ROW('CASE MASTER'!#REF!)-1))))+1)))-1)*50+1,50))&amp;"_"&amp;INDEX('CASE MASTER'!$Q$2:$Q$495,(SUMPRODUCT((('CASE MASTER'!$T$2:$T$495=8)*('CASE MASTER'!$AA$2:$AA$495&lt;=7)*('CASE MASTER'!$AC$2:$AC$495&gt;=7)*('CASE MASTER'!$AB$2:$AB$495&lt;=7)*('CASE MASTER'!$AD$2:$AD$495&gt;=7))*ROW('CASE MASTER'!$T$2:$T$495))-(ROW('CASE MASTER'!#REF!)-1))),"")),"")</f>
        <v/>
      </c>
      <c r="I107" s="10" t="str">
        <f>IFERROR(IF(SUMPRODUCT((('CASE MASTER'!$T$2:$T$495=8)*('CASE MASTER'!$U$2:$U$495&lt;=7)*('CASE MASTER'!$W$2:$W$495&gt;=7)*('CASE MASTER'!$V$2:$V$495&lt;=8)*('CASE MASTER'!$X$2:$X$495&gt;=8))*ROW('CASE MASTER'!$T$2:$T$495))&gt;0,INDEX('CASE MASTER'!$Y$2:$Y$495,(SUMPRODUCT((('CASE MASTER'!$T$2:$T$495=8)*('CASE MASTER'!$U$2:$U$495&lt;=7)*('CASE MASTER'!$W$2:$W$495&gt;=7)*('CASE MASTER'!$V$2:$V$495&lt;=8)*('CASE MASTER'!$X$2:$X$495&gt;=8))*ROW('CASE MASTER'!$T$2:$T$495))-(ROW('CASE MASTER'!#REF!)-1)))&amp;TRIM(MID(SUBSTITUTE(SUBSTITUTE(INDEX('CASE MASTER'!$N$2:$N$495,(SUMPRODUCT((('CASE MASTER'!$T$2:$T$495=8)*('CASE MASTER'!$U$2:$U$495&lt;=7)*('CASE MASTER'!$W$2:$W$495&gt;=7)*('CASE MASTER'!$V$2:$V$495&lt;=8)*('CASE MASTER'!$X$2:$X$495&gt;=8))*ROW('CASE MASTER'!$T$2:$T$495))-(ROW('CASE MASTER'!#REF!)-1))),":",","),",",REPT(" ",50)),((((7-INDEX('CASE MASTER'!$U$2:$U$495,(SUMPRODUCT((('CASE MASTER'!$T$2:$T$495=8)*('CASE MASTER'!$U$2:$U$495&lt;=7)*('CASE MASTER'!$W$2:$W$495&gt;=7)*('CASE MASTER'!$V$2:$V$495&lt;=8)*('CASE MASTER'!$X$2:$X$495&gt;=8))*ROW('CASE MASTER'!$T$2:$T$495))-(ROW('CASE MASTER'!#REF!)-1))))*(INDEX('CASE MASTER'!$X$2:$X$495,(SUMPRODUCT((('CASE MASTER'!$T$2:$T$495=8)*('CASE MASTER'!$U$2:$U$495&lt;=7)*('CASE MASTER'!$W$2:$W$495&gt;=7)*('CASE MASTER'!$V$2:$V$495&lt;=8)*('CASE MASTER'!$X$2:$X$495&gt;=8))*ROW('CASE MASTER'!$T$2:$T$495))-(ROW('CASE MASTER'!#REF!)-1)))-INDEX('CASE MASTER'!$V$2:$V$495,(SUMPRODUCT((('CASE MASTER'!$T$2:$T$495=8)*('CASE MASTER'!$U$2:$U$495&lt;=7)*('CASE MASTER'!$W$2:$W$495&gt;=7)*('CASE MASTER'!$V$2:$V$495&lt;=8)*('CASE MASTER'!$X$2:$X$495&gt;=8))*ROW('CASE MASTER'!$T$2:$T$495))-(ROW('CASE MASTER'!#REF!)-1)))+1)+(8-INDEX('CASE MASTER'!$V$2:$V$495,(SUMPRODUCT((('CASE MASTER'!$T$2:$T$495=8)*('CASE MASTER'!$U$2:$U$495&lt;=7)*('CASE MASTER'!$W$2:$W$495&gt;=7)*('CASE MASTER'!$V$2:$V$495&lt;=8)*('CASE MASTER'!$X$2:$X$495&gt;=8))*ROW('CASE MASTER'!$T$2:$T$495))-(ROW('CASE MASTER'!#REF!)-1))))+1))-1)*50+1,50))&amp;"_"&amp;INDEX('CASE MASTER'!$Q$2:$Q$495,(SUMPRODUCT((('CASE MASTER'!$T$2:$T$495=8)*('CASE MASTER'!$U$2:$U$495&lt;=7)*('CASE MASTER'!$W$2:$W$495&gt;=7)*('CASE MASTER'!$V$2:$V$495&lt;=8)*('CASE MASTER'!$X$2:$X$495&gt;=8))*ROW('CASE MASTER'!$T$2:$T$495))-(ROW('CASE MASTER'!#REF!)-1))),IF(SUMPRODUCT((('CASE MASTER'!$T$2:$T$495=8)*('CASE MASTER'!$AA$2:$AA$495&lt;=7)*('CASE MASTER'!$AC$2:$AC$495&gt;=7)*('CASE MASTER'!$AB$2:$AB$495&lt;=8)*('CASE MASTER'!$AD$2:$AD$495&gt;=8))*ROW('CASE MASTER'!$T$2:$T$495))&gt;0,INDEX('CASE MASTER'!$Y$2:$Y$495,(SUMPRODUCT((('CASE MASTER'!$T$2:$T$495=8)*('CASE MASTER'!$AA$2:$AA$495&lt;=7)*('CASE MASTER'!$AC$2:$AC$495&gt;=7)*('CASE MASTER'!$AB$2:$AB$495&lt;=8)*('CASE MASTER'!$AD$2:$AD$495&gt;=8))*ROW('CASE MASTER'!$T$2:$T$495))-(ROW('CASE MASTER'!#REF!)-1)))&amp;TRIM(MID(SUBSTITUTE(SUBSTITUTE(INDEX('CASE MASTER'!$N$2:$N$495,(SUMPRODUCT((('CASE MASTER'!$T$2:$T$495=8)*('CASE MASTER'!$AA$2:$AA$495&lt;=7)*('CASE MASTER'!$AC$2:$AC$495&gt;=7)*('CASE MASTER'!$AB$2:$AB$495&lt;=8)*('CASE MASTER'!$AD$2:$AD$495&gt;=8))*ROW('CASE MASTER'!$T$2:$T$495))-(ROW('CASE MASTER'!#REF!)-1))),":",","),",",REPT(" ",50)),(((INDEX('CASE MASTER'!$Z$2:$Z$495,(SUMPRODUCT((('CASE MASTER'!$T$2:$T$495=8)*('CASE MASTER'!$AA$2:$AA$495&lt;=7)*('CASE MASTER'!$AC$2:$AC$495&gt;=7)*('CASE MASTER'!$AB$2:$AB$495&lt;=8)*('CASE MASTER'!$AD$2:$AD$495&gt;=8))*ROW('CASE MASTER'!$T$2:$T$495))-(ROW('CASE MASTER'!#REF!)-1)))+((7-INDEX('CASE MASTER'!$AA$2:$AA$495,(SUMPRODUCT((('CASE MASTER'!$T$2:$T$495=8)*('CASE MASTER'!$AA$2:$AA$495&lt;=7)*('CASE MASTER'!$AC$2:$AC$495&gt;=7)*('CASE MASTER'!$AB$2:$AB$495&lt;=8)*('CASE MASTER'!$AD$2:$AD$495&gt;=8))*ROW('CASE MASTER'!$T$2:$T$495))-(ROW('CASE MASTER'!#REF!)-1))))*(INDEX('CASE MASTER'!$AD$2:$AD$495,(SUMPRODUCT((('CASE MASTER'!$T$2:$T$495=8)*('CASE MASTER'!$AA$2:$AA$495&lt;=7)*('CASE MASTER'!$AC$2:$AC$495&gt;=7)*('CASE MASTER'!$AB$2:$AB$495&lt;=8)*('CASE MASTER'!$AD$2:$AD$495&gt;=8))*ROW('CASE MASTER'!$T$2:$T$495))-(ROW('CASE MASTER'!#REF!)-1)))-INDEX('CASE MASTER'!$AB$2:$AB$495,(SUMPRODUCT((('CASE MASTER'!$T$2:$T$495=8)*('CASE MASTER'!$AA$2:$AA$495&lt;=7)*('CASE MASTER'!$AC$2:$AC$495&gt;=7)*('CASE MASTER'!$AB$2:$AB$495&lt;=8)*('CASE MASTER'!$AD$2:$AD$495&gt;=8))*ROW('CASE MASTER'!$T$2:$T$495))-(ROW('CASE MASTER'!#REF!)-1)))+1)+(8-INDEX('CASE MASTER'!$AB$2:$AB$495,(SUMPRODUCT((('CASE MASTER'!$T$2:$T$495=8)*('CASE MASTER'!$AA$2:$AA$495&lt;=7)*('CASE MASTER'!$AC$2:$AC$495&gt;=7)*('CASE MASTER'!$AB$2:$AB$495&lt;=8)*('CASE MASTER'!$AD$2:$AD$495&gt;=8))*ROW('CASE MASTER'!$T$2:$T$495))-(ROW('CASE MASTER'!#REF!)-1))))+1)))-1)*50+1,50))&amp;"_"&amp;INDEX('CASE MASTER'!$Q$2:$Q$495,(SUMPRODUCT((('CASE MASTER'!$T$2:$T$495=8)*('CASE MASTER'!$AA$2:$AA$495&lt;=7)*('CASE MASTER'!$AC$2:$AC$495&gt;=7)*('CASE MASTER'!$AB$2:$AB$495&lt;=8)*('CASE MASTER'!$AD$2:$AD$495&gt;=8))*ROW('CASE MASTER'!$T$2:$T$495))-(ROW('CASE MASTER'!#REF!)-1))),"")),"")</f>
        <v/>
      </c>
      <c r="J107" s="10" t="str">
        <f>IFERROR(IF(SUMPRODUCT((('CASE MASTER'!$T$2:$T$495=8)*('CASE MASTER'!$U$2:$U$495&lt;=7)*('CASE MASTER'!$W$2:$W$495&gt;=7)*('CASE MASTER'!$V$2:$V$495&lt;=9)*('CASE MASTER'!$X$2:$X$495&gt;=9))*ROW('CASE MASTER'!$T$2:$T$495))&gt;0,INDEX('CASE MASTER'!$Y$2:$Y$495,(SUMPRODUCT((('CASE MASTER'!$T$2:$T$495=8)*('CASE MASTER'!$U$2:$U$495&lt;=7)*('CASE MASTER'!$W$2:$W$495&gt;=7)*('CASE MASTER'!$V$2:$V$495&lt;=9)*('CASE MASTER'!$X$2:$X$495&gt;=9))*ROW('CASE MASTER'!$T$2:$T$495))-(ROW('CASE MASTER'!#REF!)-1)))&amp;TRIM(MID(SUBSTITUTE(SUBSTITUTE(INDEX('CASE MASTER'!$N$2:$N$495,(SUMPRODUCT((('CASE MASTER'!$T$2:$T$495=8)*('CASE MASTER'!$U$2:$U$495&lt;=7)*('CASE MASTER'!$W$2:$W$495&gt;=7)*('CASE MASTER'!$V$2:$V$495&lt;=9)*('CASE MASTER'!$X$2:$X$495&gt;=9))*ROW('CASE MASTER'!$T$2:$T$495))-(ROW('CASE MASTER'!#REF!)-1))),":",","),",",REPT(" ",50)),((((7-INDEX('CASE MASTER'!$U$2:$U$495,(SUMPRODUCT((('CASE MASTER'!$T$2:$T$495=8)*('CASE MASTER'!$U$2:$U$495&lt;=7)*('CASE MASTER'!$W$2:$W$495&gt;=7)*('CASE MASTER'!$V$2:$V$495&lt;=9)*('CASE MASTER'!$X$2:$X$495&gt;=9))*ROW('CASE MASTER'!$T$2:$T$495))-(ROW('CASE MASTER'!#REF!)-1))))*(INDEX('CASE MASTER'!$X$2:$X$495,(SUMPRODUCT((('CASE MASTER'!$T$2:$T$495=8)*('CASE MASTER'!$U$2:$U$495&lt;=7)*('CASE MASTER'!$W$2:$W$495&gt;=7)*('CASE MASTER'!$V$2:$V$495&lt;=9)*('CASE MASTER'!$X$2:$X$495&gt;=9))*ROW('CASE MASTER'!$T$2:$T$495))-(ROW('CASE MASTER'!#REF!)-1)))-INDEX('CASE MASTER'!$V$2:$V$495,(SUMPRODUCT((('CASE MASTER'!$T$2:$T$495=8)*('CASE MASTER'!$U$2:$U$495&lt;=7)*('CASE MASTER'!$W$2:$W$495&gt;=7)*('CASE MASTER'!$V$2:$V$495&lt;=9)*('CASE MASTER'!$X$2:$X$495&gt;=9))*ROW('CASE MASTER'!$T$2:$T$495))-(ROW('CASE MASTER'!#REF!)-1)))+1)+(9-INDEX('CASE MASTER'!$V$2:$V$495,(SUMPRODUCT((('CASE MASTER'!$T$2:$T$495=8)*('CASE MASTER'!$U$2:$U$495&lt;=7)*('CASE MASTER'!$W$2:$W$495&gt;=7)*('CASE MASTER'!$V$2:$V$495&lt;=9)*('CASE MASTER'!$X$2:$X$495&gt;=9))*ROW('CASE MASTER'!$T$2:$T$495))-(ROW('CASE MASTER'!#REF!)-1))))+1))-1)*50+1,50))&amp;"_"&amp;INDEX('CASE MASTER'!$Q$2:$Q$495,(SUMPRODUCT((('CASE MASTER'!$T$2:$T$495=8)*('CASE MASTER'!$U$2:$U$495&lt;=7)*('CASE MASTER'!$W$2:$W$495&gt;=7)*('CASE MASTER'!$V$2:$V$495&lt;=9)*('CASE MASTER'!$X$2:$X$495&gt;=9))*ROW('CASE MASTER'!$T$2:$T$495))-(ROW('CASE MASTER'!#REF!)-1))),IF(SUMPRODUCT((('CASE MASTER'!$T$2:$T$495=8)*('CASE MASTER'!$AA$2:$AA$495&lt;=7)*('CASE MASTER'!$AC$2:$AC$495&gt;=7)*('CASE MASTER'!$AB$2:$AB$495&lt;=9)*('CASE MASTER'!$AD$2:$AD$495&gt;=9))*ROW('CASE MASTER'!$T$2:$T$495))&gt;0,INDEX('CASE MASTER'!$Y$2:$Y$495,(SUMPRODUCT((('CASE MASTER'!$T$2:$T$495=8)*('CASE MASTER'!$AA$2:$AA$495&lt;=7)*('CASE MASTER'!$AC$2:$AC$495&gt;=7)*('CASE MASTER'!$AB$2:$AB$495&lt;=9)*('CASE MASTER'!$AD$2:$AD$495&gt;=9))*ROW('CASE MASTER'!$T$2:$T$495))-(ROW('CASE MASTER'!#REF!)-1)))&amp;TRIM(MID(SUBSTITUTE(SUBSTITUTE(INDEX('CASE MASTER'!$N$2:$N$495,(SUMPRODUCT((('CASE MASTER'!$T$2:$T$495=8)*('CASE MASTER'!$AA$2:$AA$495&lt;=7)*('CASE MASTER'!$AC$2:$AC$495&gt;=7)*('CASE MASTER'!$AB$2:$AB$495&lt;=9)*('CASE MASTER'!$AD$2:$AD$495&gt;=9))*ROW('CASE MASTER'!$T$2:$T$495))-(ROW('CASE MASTER'!#REF!)-1))),":",","),",",REPT(" ",50)),(((INDEX('CASE MASTER'!$Z$2:$Z$495,(SUMPRODUCT((('CASE MASTER'!$T$2:$T$495=8)*('CASE MASTER'!$AA$2:$AA$495&lt;=7)*('CASE MASTER'!$AC$2:$AC$495&gt;=7)*('CASE MASTER'!$AB$2:$AB$495&lt;=9)*('CASE MASTER'!$AD$2:$AD$495&gt;=9))*ROW('CASE MASTER'!$T$2:$T$495))-(ROW('CASE MASTER'!#REF!)-1)))+((7-INDEX('CASE MASTER'!$AA$2:$AA$495,(SUMPRODUCT((('CASE MASTER'!$T$2:$T$495=8)*('CASE MASTER'!$AA$2:$AA$495&lt;=7)*('CASE MASTER'!$AC$2:$AC$495&gt;=7)*('CASE MASTER'!$AB$2:$AB$495&lt;=9)*('CASE MASTER'!$AD$2:$AD$495&gt;=9))*ROW('CASE MASTER'!$T$2:$T$495))-(ROW('CASE MASTER'!#REF!)-1))))*(INDEX('CASE MASTER'!$AD$2:$AD$495,(SUMPRODUCT((('CASE MASTER'!$T$2:$T$495=8)*('CASE MASTER'!$AA$2:$AA$495&lt;=7)*('CASE MASTER'!$AC$2:$AC$495&gt;=7)*('CASE MASTER'!$AB$2:$AB$495&lt;=9)*('CASE MASTER'!$AD$2:$AD$495&gt;=9))*ROW('CASE MASTER'!$T$2:$T$495))-(ROW('CASE MASTER'!#REF!)-1)))-INDEX('CASE MASTER'!$AB$2:$AB$495,(SUMPRODUCT((('CASE MASTER'!$T$2:$T$495=8)*('CASE MASTER'!$AA$2:$AA$495&lt;=7)*('CASE MASTER'!$AC$2:$AC$495&gt;=7)*('CASE MASTER'!$AB$2:$AB$495&lt;=9)*('CASE MASTER'!$AD$2:$AD$495&gt;=9))*ROW('CASE MASTER'!$T$2:$T$495))-(ROW('CASE MASTER'!#REF!)-1)))+1)+(9-INDEX('CASE MASTER'!$AB$2:$AB$495,(SUMPRODUCT((('CASE MASTER'!$T$2:$T$495=8)*('CASE MASTER'!$AA$2:$AA$495&lt;=7)*('CASE MASTER'!$AC$2:$AC$495&gt;=7)*('CASE MASTER'!$AB$2:$AB$495&lt;=9)*('CASE MASTER'!$AD$2:$AD$495&gt;=9))*ROW('CASE MASTER'!$T$2:$T$495))-(ROW('CASE MASTER'!#REF!)-1))))+1)))-1)*50+1,50))&amp;"_"&amp;INDEX('CASE MASTER'!$Q$2:$Q$495,(SUMPRODUCT((('CASE MASTER'!$T$2:$T$495=8)*('CASE MASTER'!$AA$2:$AA$495&lt;=7)*('CASE MASTER'!$AC$2:$AC$495&gt;=7)*('CASE MASTER'!$AB$2:$AB$495&lt;=9)*('CASE MASTER'!$AD$2:$AD$495&gt;=9))*ROW('CASE MASTER'!$T$2:$T$495))-(ROW('CASE MASTER'!#REF!)-1))),"")),"")</f>
        <v/>
      </c>
      <c r="K107" s="10" t="str">
        <f>IFERROR(IF(SUMPRODUCT((('CASE MASTER'!$T$2:$T$495=8)*('CASE MASTER'!$U$2:$U$495&lt;=7)*('CASE MASTER'!$W$2:$W$495&gt;=7)*('CASE MASTER'!$V$2:$V$495&lt;=10)*('CASE MASTER'!$X$2:$X$495&gt;=10))*ROW('CASE MASTER'!$T$2:$T$495))&gt;0,INDEX('CASE MASTER'!$Y$2:$Y$495,(SUMPRODUCT((('CASE MASTER'!$T$2:$T$495=8)*('CASE MASTER'!$U$2:$U$495&lt;=7)*('CASE MASTER'!$W$2:$W$495&gt;=7)*('CASE MASTER'!$V$2:$V$495&lt;=10)*('CASE MASTER'!$X$2:$X$495&gt;=10))*ROW('CASE MASTER'!$T$2:$T$495))-(ROW('CASE MASTER'!#REF!)-1)))&amp;TRIM(MID(SUBSTITUTE(SUBSTITUTE(INDEX('CASE MASTER'!$N$2:$N$495,(SUMPRODUCT((('CASE MASTER'!$T$2:$T$495=8)*('CASE MASTER'!$U$2:$U$495&lt;=7)*('CASE MASTER'!$W$2:$W$495&gt;=7)*('CASE MASTER'!$V$2:$V$495&lt;=10)*('CASE MASTER'!$X$2:$X$495&gt;=10))*ROW('CASE MASTER'!$T$2:$T$495))-(ROW('CASE MASTER'!#REF!)-1))),":",","),",",REPT(" ",50)),((((7-INDEX('CASE MASTER'!$U$2:$U$495,(SUMPRODUCT((('CASE MASTER'!$T$2:$T$495=8)*('CASE MASTER'!$U$2:$U$495&lt;=7)*('CASE MASTER'!$W$2:$W$495&gt;=7)*('CASE MASTER'!$V$2:$V$495&lt;=10)*('CASE MASTER'!$X$2:$X$495&gt;=10))*ROW('CASE MASTER'!$T$2:$T$495))-(ROW('CASE MASTER'!#REF!)-1))))*(INDEX('CASE MASTER'!$X$2:$X$495,(SUMPRODUCT((('CASE MASTER'!$T$2:$T$495=8)*('CASE MASTER'!$U$2:$U$495&lt;=7)*('CASE MASTER'!$W$2:$W$495&gt;=7)*('CASE MASTER'!$V$2:$V$495&lt;=10)*('CASE MASTER'!$X$2:$X$495&gt;=10))*ROW('CASE MASTER'!$T$2:$T$495))-(ROW('CASE MASTER'!#REF!)-1)))-INDEX('CASE MASTER'!$V$2:$V$495,(SUMPRODUCT((('CASE MASTER'!$T$2:$T$495=8)*('CASE MASTER'!$U$2:$U$495&lt;=7)*('CASE MASTER'!$W$2:$W$495&gt;=7)*('CASE MASTER'!$V$2:$V$495&lt;=10)*('CASE MASTER'!$X$2:$X$495&gt;=10))*ROW('CASE MASTER'!$T$2:$T$495))-(ROW('CASE MASTER'!#REF!)-1)))+1)+(10-INDEX('CASE MASTER'!$V$2:$V$495,(SUMPRODUCT((('CASE MASTER'!$T$2:$T$495=8)*('CASE MASTER'!$U$2:$U$495&lt;=7)*('CASE MASTER'!$W$2:$W$495&gt;=7)*('CASE MASTER'!$V$2:$V$495&lt;=10)*('CASE MASTER'!$X$2:$X$495&gt;=10))*ROW('CASE MASTER'!$T$2:$T$495))-(ROW('CASE MASTER'!#REF!)-1))))+1))-1)*50+1,50))&amp;"_"&amp;INDEX('CASE MASTER'!$Q$2:$Q$495,(SUMPRODUCT((('CASE MASTER'!$T$2:$T$495=8)*('CASE MASTER'!$U$2:$U$495&lt;=7)*('CASE MASTER'!$W$2:$W$495&gt;=7)*('CASE MASTER'!$V$2:$V$495&lt;=10)*('CASE MASTER'!$X$2:$X$495&gt;=10))*ROW('CASE MASTER'!$T$2:$T$495))-(ROW('CASE MASTER'!#REF!)-1))),IF(SUMPRODUCT((('CASE MASTER'!$T$2:$T$495=8)*('CASE MASTER'!$AA$2:$AA$495&lt;=7)*('CASE MASTER'!$AC$2:$AC$495&gt;=7)*('CASE MASTER'!$AB$2:$AB$495&lt;=10)*('CASE MASTER'!$AD$2:$AD$495&gt;=10))*ROW('CASE MASTER'!$T$2:$T$495))&gt;0,INDEX('CASE MASTER'!$Y$2:$Y$495,(SUMPRODUCT((('CASE MASTER'!$T$2:$T$495=8)*('CASE MASTER'!$AA$2:$AA$495&lt;=7)*('CASE MASTER'!$AC$2:$AC$495&gt;=7)*('CASE MASTER'!$AB$2:$AB$495&lt;=10)*('CASE MASTER'!$AD$2:$AD$495&gt;=10))*ROW('CASE MASTER'!$T$2:$T$495))-(ROW('CASE MASTER'!#REF!)-1)))&amp;TRIM(MID(SUBSTITUTE(SUBSTITUTE(INDEX('CASE MASTER'!$N$2:$N$495,(SUMPRODUCT((('CASE MASTER'!$T$2:$T$495=8)*('CASE MASTER'!$AA$2:$AA$495&lt;=7)*('CASE MASTER'!$AC$2:$AC$495&gt;=7)*('CASE MASTER'!$AB$2:$AB$495&lt;=10)*('CASE MASTER'!$AD$2:$AD$495&gt;=10))*ROW('CASE MASTER'!$T$2:$T$495))-(ROW('CASE MASTER'!#REF!)-1))),":",","),",",REPT(" ",50)),(((INDEX('CASE MASTER'!$Z$2:$Z$495,(SUMPRODUCT((('CASE MASTER'!$T$2:$T$495=8)*('CASE MASTER'!$AA$2:$AA$495&lt;=7)*('CASE MASTER'!$AC$2:$AC$495&gt;=7)*('CASE MASTER'!$AB$2:$AB$495&lt;=10)*('CASE MASTER'!$AD$2:$AD$495&gt;=10))*ROW('CASE MASTER'!$T$2:$T$495))-(ROW('CASE MASTER'!#REF!)-1)))+((7-INDEX('CASE MASTER'!$AA$2:$AA$495,(SUMPRODUCT((('CASE MASTER'!$T$2:$T$495=8)*('CASE MASTER'!$AA$2:$AA$495&lt;=7)*('CASE MASTER'!$AC$2:$AC$495&gt;=7)*('CASE MASTER'!$AB$2:$AB$495&lt;=10)*('CASE MASTER'!$AD$2:$AD$495&gt;=10))*ROW('CASE MASTER'!$T$2:$T$495))-(ROW('CASE MASTER'!#REF!)-1))))*(INDEX('CASE MASTER'!$AD$2:$AD$495,(SUMPRODUCT((('CASE MASTER'!$T$2:$T$495=8)*('CASE MASTER'!$AA$2:$AA$495&lt;=7)*('CASE MASTER'!$AC$2:$AC$495&gt;=7)*('CASE MASTER'!$AB$2:$AB$495&lt;=10)*('CASE MASTER'!$AD$2:$AD$495&gt;=10))*ROW('CASE MASTER'!$T$2:$T$495))-(ROW('CASE MASTER'!#REF!)-1)))-INDEX('CASE MASTER'!$AB$2:$AB$495,(SUMPRODUCT((('CASE MASTER'!$T$2:$T$495=8)*('CASE MASTER'!$AA$2:$AA$495&lt;=7)*('CASE MASTER'!$AC$2:$AC$495&gt;=7)*('CASE MASTER'!$AB$2:$AB$495&lt;=10)*('CASE MASTER'!$AD$2:$AD$495&gt;=10))*ROW('CASE MASTER'!$T$2:$T$495))-(ROW('CASE MASTER'!#REF!)-1)))+1)+(10-INDEX('CASE MASTER'!$AB$2:$AB$495,(SUMPRODUCT((('CASE MASTER'!$T$2:$T$495=8)*('CASE MASTER'!$AA$2:$AA$495&lt;=7)*('CASE MASTER'!$AC$2:$AC$495&gt;=7)*('CASE MASTER'!$AB$2:$AB$495&lt;=10)*('CASE MASTER'!$AD$2:$AD$495&gt;=10))*ROW('CASE MASTER'!$T$2:$T$495))-(ROW('CASE MASTER'!#REF!)-1))))+1)))-1)*50+1,50))&amp;"_"&amp;INDEX('CASE MASTER'!$Q$2:$Q$495,(SUMPRODUCT((('CASE MASTER'!$T$2:$T$495=8)*('CASE MASTER'!$AA$2:$AA$495&lt;=7)*('CASE MASTER'!$AC$2:$AC$495&gt;=7)*('CASE MASTER'!$AB$2:$AB$495&lt;=10)*('CASE MASTER'!$AD$2:$AD$495&gt;=10))*ROW('CASE MASTER'!$T$2:$T$495))-(ROW('CASE MASTER'!#REF!)-1))),"")),"")</f>
        <v/>
      </c>
    </row>
    <row r="108" spans="1:11" ht="15" customHeight="1" x14ac:dyDescent="0.35">
      <c r="A108" s="8" t="s">
        <v>35</v>
      </c>
      <c r="B108" s="10" t="str">
        <f>IFERROR(IF(SUMPRODUCT((('CASE MASTER'!$T$2:$T$495=8)*('CASE MASTER'!$U$2:$U$495&lt;=8)*('CASE MASTER'!$W$2:$W$495&gt;=8)*('CASE MASTER'!$V$2:$V$495&lt;=1)*('CASE MASTER'!$X$2:$X$495&gt;=1))*ROW('CASE MASTER'!$T$2:$T$495))&gt;0,INDEX('CASE MASTER'!$Y$2:$Y$495,(SUMPRODUCT((('CASE MASTER'!$T$2:$T$495=8)*('CASE MASTER'!$U$2:$U$495&lt;=8)*('CASE MASTER'!$W$2:$W$495&gt;=8)*('CASE MASTER'!$V$2:$V$495&lt;=1)*('CASE MASTER'!$X$2:$X$495&gt;=1))*ROW('CASE MASTER'!$T$2:$T$495))-(ROW('CASE MASTER'!#REF!)-1)))&amp;TRIM(MID(SUBSTITUTE(SUBSTITUTE(INDEX('CASE MASTER'!$N$2:$N$495,(SUMPRODUCT((('CASE MASTER'!$T$2:$T$495=8)*('CASE MASTER'!$U$2:$U$495&lt;=8)*('CASE MASTER'!$W$2:$W$495&gt;=8)*('CASE MASTER'!$V$2:$V$495&lt;=1)*('CASE MASTER'!$X$2:$X$495&gt;=1))*ROW('CASE MASTER'!$T$2:$T$495))-(ROW('CASE MASTER'!#REF!)-1))),":",","),",",REPT(" ",50)),((((8-INDEX('CASE MASTER'!$U$2:$U$495,(SUMPRODUCT((('CASE MASTER'!$T$2:$T$495=8)*('CASE MASTER'!$U$2:$U$495&lt;=8)*('CASE MASTER'!$W$2:$W$495&gt;=8)*('CASE MASTER'!$V$2:$V$495&lt;=1)*('CASE MASTER'!$X$2:$X$495&gt;=1))*ROW('CASE MASTER'!$T$2:$T$495))-(ROW('CASE MASTER'!#REF!)-1))))*(INDEX('CASE MASTER'!$X$2:$X$495,(SUMPRODUCT((('CASE MASTER'!$T$2:$T$495=8)*('CASE MASTER'!$U$2:$U$495&lt;=8)*('CASE MASTER'!$W$2:$W$495&gt;=8)*('CASE MASTER'!$V$2:$V$495&lt;=1)*('CASE MASTER'!$X$2:$X$495&gt;=1))*ROW('CASE MASTER'!$T$2:$T$495))-(ROW('CASE MASTER'!#REF!)-1)))-INDEX('CASE MASTER'!$V$2:$V$495,(SUMPRODUCT((('CASE MASTER'!$T$2:$T$495=8)*('CASE MASTER'!$U$2:$U$495&lt;=8)*('CASE MASTER'!$W$2:$W$495&gt;=8)*('CASE MASTER'!$V$2:$V$495&lt;=1)*('CASE MASTER'!$X$2:$X$495&gt;=1))*ROW('CASE MASTER'!$T$2:$T$495))-(ROW('CASE MASTER'!#REF!)-1)))+1)+(1-INDEX('CASE MASTER'!$V$2:$V$495,(SUMPRODUCT((('CASE MASTER'!$T$2:$T$495=8)*('CASE MASTER'!$U$2:$U$495&lt;=8)*('CASE MASTER'!$W$2:$W$495&gt;=8)*('CASE MASTER'!$V$2:$V$495&lt;=1)*('CASE MASTER'!$X$2:$X$495&gt;=1))*ROW('CASE MASTER'!$T$2:$T$495))-(ROW('CASE MASTER'!#REF!)-1))))+1))-1)*50+1,50))&amp;"_"&amp;INDEX('CASE MASTER'!$Q$2:$Q$495,(SUMPRODUCT((('CASE MASTER'!$T$2:$T$495=8)*('CASE MASTER'!$U$2:$U$495&lt;=8)*('CASE MASTER'!$W$2:$W$495&gt;=8)*('CASE MASTER'!$V$2:$V$495&lt;=1)*('CASE MASTER'!$X$2:$X$495&gt;=1))*ROW('CASE MASTER'!$T$2:$T$495))-(ROW('CASE MASTER'!#REF!)-1))),IF(SUMPRODUCT((('CASE MASTER'!$T$2:$T$495=8)*('CASE MASTER'!$AA$2:$AA$495&lt;=8)*('CASE MASTER'!$AC$2:$AC$495&gt;=8)*('CASE MASTER'!$AB$2:$AB$495&lt;=1)*('CASE MASTER'!$AD$2:$AD$495&gt;=1))*ROW('CASE MASTER'!$T$2:$T$495))&gt;0,INDEX('CASE MASTER'!$Y$2:$Y$495,(SUMPRODUCT((('CASE MASTER'!$T$2:$T$495=8)*('CASE MASTER'!$AA$2:$AA$495&lt;=8)*('CASE MASTER'!$AC$2:$AC$495&gt;=8)*('CASE MASTER'!$AB$2:$AB$495&lt;=1)*('CASE MASTER'!$AD$2:$AD$495&gt;=1))*ROW('CASE MASTER'!$T$2:$T$495))-(ROW('CASE MASTER'!#REF!)-1)))&amp;TRIM(MID(SUBSTITUTE(SUBSTITUTE(INDEX('CASE MASTER'!$N$2:$N$495,(SUMPRODUCT((('CASE MASTER'!$T$2:$T$495=8)*('CASE MASTER'!$AA$2:$AA$495&lt;=8)*('CASE MASTER'!$AC$2:$AC$495&gt;=8)*('CASE MASTER'!$AB$2:$AB$495&lt;=1)*('CASE MASTER'!$AD$2:$AD$495&gt;=1))*ROW('CASE MASTER'!$T$2:$T$495))-(ROW('CASE MASTER'!#REF!)-1))),":",","),",",REPT(" ",50)),(((INDEX('CASE MASTER'!$Z$2:$Z$495,(SUMPRODUCT((('CASE MASTER'!$T$2:$T$495=8)*('CASE MASTER'!$AA$2:$AA$495&lt;=8)*('CASE MASTER'!$AC$2:$AC$495&gt;=8)*('CASE MASTER'!$AB$2:$AB$495&lt;=1)*('CASE MASTER'!$AD$2:$AD$495&gt;=1))*ROW('CASE MASTER'!$T$2:$T$495))-(ROW('CASE MASTER'!#REF!)-1)))+((8-INDEX('CASE MASTER'!$AA$2:$AA$495,(SUMPRODUCT((('CASE MASTER'!$T$2:$T$495=8)*('CASE MASTER'!$AA$2:$AA$495&lt;=8)*('CASE MASTER'!$AC$2:$AC$495&gt;=8)*('CASE MASTER'!$AB$2:$AB$495&lt;=1)*('CASE MASTER'!$AD$2:$AD$495&gt;=1))*ROW('CASE MASTER'!$T$2:$T$495))-(ROW('CASE MASTER'!#REF!)-1))))*(INDEX('CASE MASTER'!$AD$2:$AD$495,(SUMPRODUCT((('CASE MASTER'!$T$2:$T$495=8)*('CASE MASTER'!$AA$2:$AA$495&lt;=8)*('CASE MASTER'!$AC$2:$AC$495&gt;=8)*('CASE MASTER'!$AB$2:$AB$495&lt;=1)*('CASE MASTER'!$AD$2:$AD$495&gt;=1))*ROW('CASE MASTER'!$T$2:$T$495))-(ROW('CASE MASTER'!#REF!)-1)))-INDEX('CASE MASTER'!$AB$2:$AB$495,(SUMPRODUCT((('CASE MASTER'!$T$2:$T$495=8)*('CASE MASTER'!$AA$2:$AA$495&lt;=8)*('CASE MASTER'!$AC$2:$AC$495&gt;=8)*('CASE MASTER'!$AB$2:$AB$495&lt;=1)*('CASE MASTER'!$AD$2:$AD$495&gt;=1))*ROW('CASE MASTER'!$T$2:$T$495))-(ROW('CASE MASTER'!#REF!)-1)))+1)+(1-INDEX('CASE MASTER'!$AB$2:$AB$495,(SUMPRODUCT((('CASE MASTER'!$T$2:$T$495=8)*('CASE MASTER'!$AA$2:$AA$495&lt;=8)*('CASE MASTER'!$AC$2:$AC$495&gt;=8)*('CASE MASTER'!$AB$2:$AB$495&lt;=1)*('CASE MASTER'!$AD$2:$AD$495&gt;=1))*ROW('CASE MASTER'!$T$2:$T$495))-(ROW('CASE MASTER'!#REF!)-1))))+1)))-1)*50+1,50))&amp;"_"&amp;INDEX('CASE MASTER'!$Q$2:$Q$495,(SUMPRODUCT((('CASE MASTER'!$T$2:$T$495=8)*('CASE MASTER'!$AA$2:$AA$495&lt;=8)*('CASE MASTER'!$AC$2:$AC$495&gt;=8)*('CASE MASTER'!$AB$2:$AB$495&lt;=1)*('CASE MASTER'!$AD$2:$AD$495&gt;=1))*ROW('CASE MASTER'!$T$2:$T$495))-(ROW('CASE MASTER'!#REF!)-1))),"")),"")</f>
        <v/>
      </c>
      <c r="C108" s="10" t="str">
        <f>IFERROR(IF(SUMPRODUCT((('CASE MASTER'!$T$2:$T$495=8)*('CASE MASTER'!$U$2:$U$495&lt;=8)*('CASE MASTER'!$W$2:$W$495&gt;=8)*('CASE MASTER'!$V$2:$V$495&lt;=2)*('CASE MASTER'!$X$2:$X$495&gt;=2))*ROW('CASE MASTER'!$T$2:$T$495))&gt;0,INDEX('CASE MASTER'!$Y$2:$Y$495,(SUMPRODUCT((('CASE MASTER'!$T$2:$T$495=8)*('CASE MASTER'!$U$2:$U$495&lt;=8)*('CASE MASTER'!$W$2:$W$495&gt;=8)*('CASE MASTER'!$V$2:$V$495&lt;=2)*('CASE MASTER'!$X$2:$X$495&gt;=2))*ROW('CASE MASTER'!$T$2:$T$495))-(ROW('CASE MASTER'!#REF!)-1)))&amp;TRIM(MID(SUBSTITUTE(SUBSTITUTE(INDEX('CASE MASTER'!$N$2:$N$495,(SUMPRODUCT((('CASE MASTER'!$T$2:$T$495=8)*('CASE MASTER'!$U$2:$U$495&lt;=8)*('CASE MASTER'!$W$2:$W$495&gt;=8)*('CASE MASTER'!$V$2:$V$495&lt;=2)*('CASE MASTER'!$X$2:$X$495&gt;=2))*ROW('CASE MASTER'!$T$2:$T$495))-(ROW('CASE MASTER'!#REF!)-1))),":",","),",",REPT(" ",50)),((((8-INDEX('CASE MASTER'!$U$2:$U$495,(SUMPRODUCT((('CASE MASTER'!$T$2:$T$495=8)*('CASE MASTER'!$U$2:$U$495&lt;=8)*('CASE MASTER'!$W$2:$W$495&gt;=8)*('CASE MASTER'!$V$2:$V$495&lt;=2)*('CASE MASTER'!$X$2:$X$495&gt;=2))*ROW('CASE MASTER'!$T$2:$T$495))-(ROW('CASE MASTER'!#REF!)-1))))*(INDEX('CASE MASTER'!$X$2:$X$495,(SUMPRODUCT((('CASE MASTER'!$T$2:$T$495=8)*('CASE MASTER'!$U$2:$U$495&lt;=8)*('CASE MASTER'!$W$2:$W$495&gt;=8)*('CASE MASTER'!$V$2:$V$495&lt;=2)*('CASE MASTER'!$X$2:$X$495&gt;=2))*ROW('CASE MASTER'!$T$2:$T$495))-(ROW('CASE MASTER'!#REF!)-1)))-INDEX('CASE MASTER'!$V$2:$V$495,(SUMPRODUCT((('CASE MASTER'!$T$2:$T$495=8)*('CASE MASTER'!$U$2:$U$495&lt;=8)*('CASE MASTER'!$W$2:$W$495&gt;=8)*('CASE MASTER'!$V$2:$V$495&lt;=2)*('CASE MASTER'!$X$2:$X$495&gt;=2))*ROW('CASE MASTER'!$T$2:$T$495))-(ROW('CASE MASTER'!#REF!)-1)))+1)+(2-INDEX('CASE MASTER'!$V$2:$V$495,(SUMPRODUCT((('CASE MASTER'!$T$2:$T$495=8)*('CASE MASTER'!$U$2:$U$495&lt;=8)*('CASE MASTER'!$W$2:$W$495&gt;=8)*('CASE MASTER'!$V$2:$V$495&lt;=2)*('CASE MASTER'!$X$2:$X$495&gt;=2))*ROW('CASE MASTER'!$T$2:$T$495))-(ROW('CASE MASTER'!#REF!)-1))))+1))-1)*50+1,50))&amp;"_"&amp;INDEX('CASE MASTER'!$Q$2:$Q$495,(SUMPRODUCT((('CASE MASTER'!$T$2:$T$495=8)*('CASE MASTER'!$U$2:$U$495&lt;=8)*('CASE MASTER'!$W$2:$W$495&gt;=8)*('CASE MASTER'!$V$2:$V$495&lt;=2)*('CASE MASTER'!$X$2:$X$495&gt;=2))*ROW('CASE MASTER'!$T$2:$T$495))-(ROW('CASE MASTER'!#REF!)-1))),IF(SUMPRODUCT((('CASE MASTER'!$T$2:$T$495=8)*('CASE MASTER'!$AA$2:$AA$495&lt;=8)*('CASE MASTER'!$AC$2:$AC$495&gt;=8)*('CASE MASTER'!$AB$2:$AB$495&lt;=2)*('CASE MASTER'!$AD$2:$AD$495&gt;=2))*ROW('CASE MASTER'!$T$2:$T$495))&gt;0,INDEX('CASE MASTER'!$Y$2:$Y$495,(SUMPRODUCT((('CASE MASTER'!$T$2:$T$495=8)*('CASE MASTER'!$AA$2:$AA$495&lt;=8)*('CASE MASTER'!$AC$2:$AC$495&gt;=8)*('CASE MASTER'!$AB$2:$AB$495&lt;=2)*('CASE MASTER'!$AD$2:$AD$495&gt;=2))*ROW('CASE MASTER'!$T$2:$T$495))-(ROW('CASE MASTER'!#REF!)-1)))&amp;TRIM(MID(SUBSTITUTE(SUBSTITUTE(INDEX('CASE MASTER'!$N$2:$N$495,(SUMPRODUCT((('CASE MASTER'!$T$2:$T$495=8)*('CASE MASTER'!$AA$2:$AA$495&lt;=8)*('CASE MASTER'!$AC$2:$AC$495&gt;=8)*('CASE MASTER'!$AB$2:$AB$495&lt;=2)*('CASE MASTER'!$AD$2:$AD$495&gt;=2))*ROW('CASE MASTER'!$T$2:$T$495))-(ROW('CASE MASTER'!#REF!)-1))),":",","),",",REPT(" ",50)),(((INDEX('CASE MASTER'!$Z$2:$Z$495,(SUMPRODUCT((('CASE MASTER'!$T$2:$T$495=8)*('CASE MASTER'!$AA$2:$AA$495&lt;=8)*('CASE MASTER'!$AC$2:$AC$495&gt;=8)*('CASE MASTER'!$AB$2:$AB$495&lt;=2)*('CASE MASTER'!$AD$2:$AD$495&gt;=2))*ROW('CASE MASTER'!$T$2:$T$495))-(ROW('CASE MASTER'!#REF!)-1)))+((8-INDEX('CASE MASTER'!$AA$2:$AA$495,(SUMPRODUCT((('CASE MASTER'!$T$2:$T$495=8)*('CASE MASTER'!$AA$2:$AA$495&lt;=8)*('CASE MASTER'!$AC$2:$AC$495&gt;=8)*('CASE MASTER'!$AB$2:$AB$495&lt;=2)*('CASE MASTER'!$AD$2:$AD$495&gt;=2))*ROW('CASE MASTER'!$T$2:$T$495))-(ROW('CASE MASTER'!#REF!)-1))))*(INDEX('CASE MASTER'!$AD$2:$AD$495,(SUMPRODUCT((('CASE MASTER'!$T$2:$T$495=8)*('CASE MASTER'!$AA$2:$AA$495&lt;=8)*('CASE MASTER'!$AC$2:$AC$495&gt;=8)*('CASE MASTER'!$AB$2:$AB$495&lt;=2)*('CASE MASTER'!$AD$2:$AD$495&gt;=2))*ROW('CASE MASTER'!$T$2:$T$495))-(ROW('CASE MASTER'!#REF!)-1)))-INDEX('CASE MASTER'!$AB$2:$AB$495,(SUMPRODUCT((('CASE MASTER'!$T$2:$T$495=8)*('CASE MASTER'!$AA$2:$AA$495&lt;=8)*('CASE MASTER'!$AC$2:$AC$495&gt;=8)*('CASE MASTER'!$AB$2:$AB$495&lt;=2)*('CASE MASTER'!$AD$2:$AD$495&gt;=2))*ROW('CASE MASTER'!$T$2:$T$495))-(ROW('CASE MASTER'!#REF!)-1)))+1)+(2-INDEX('CASE MASTER'!$AB$2:$AB$495,(SUMPRODUCT((('CASE MASTER'!$T$2:$T$495=8)*('CASE MASTER'!$AA$2:$AA$495&lt;=8)*('CASE MASTER'!$AC$2:$AC$495&gt;=8)*('CASE MASTER'!$AB$2:$AB$495&lt;=2)*('CASE MASTER'!$AD$2:$AD$495&gt;=2))*ROW('CASE MASTER'!$T$2:$T$495))-(ROW('CASE MASTER'!#REF!)-1))))+1)))-1)*50+1,50))&amp;"_"&amp;INDEX('CASE MASTER'!$Q$2:$Q$495,(SUMPRODUCT((('CASE MASTER'!$T$2:$T$495=8)*('CASE MASTER'!$AA$2:$AA$495&lt;=8)*('CASE MASTER'!$AC$2:$AC$495&gt;=8)*('CASE MASTER'!$AB$2:$AB$495&lt;=2)*('CASE MASTER'!$AD$2:$AD$495&gt;=2))*ROW('CASE MASTER'!$T$2:$T$495))-(ROW('CASE MASTER'!#REF!)-1))),"")),"")</f>
        <v/>
      </c>
      <c r="D108" s="10" t="str">
        <f>IFERROR(IF(SUMPRODUCT((('CASE MASTER'!$T$2:$T$495=8)*('CASE MASTER'!$U$2:$U$495&lt;=8)*('CASE MASTER'!$W$2:$W$495&gt;=8)*('CASE MASTER'!$V$2:$V$495&lt;=3)*('CASE MASTER'!$X$2:$X$495&gt;=3))*ROW('CASE MASTER'!$T$2:$T$495))&gt;0,INDEX('CASE MASTER'!$Y$2:$Y$495,(SUMPRODUCT((('CASE MASTER'!$T$2:$T$495=8)*('CASE MASTER'!$U$2:$U$495&lt;=8)*('CASE MASTER'!$W$2:$W$495&gt;=8)*('CASE MASTER'!$V$2:$V$495&lt;=3)*('CASE MASTER'!$X$2:$X$495&gt;=3))*ROW('CASE MASTER'!$T$2:$T$495))-(ROW('CASE MASTER'!#REF!)-1)))&amp;TRIM(MID(SUBSTITUTE(SUBSTITUTE(INDEX('CASE MASTER'!$N$2:$N$495,(SUMPRODUCT((('CASE MASTER'!$T$2:$T$495=8)*('CASE MASTER'!$U$2:$U$495&lt;=8)*('CASE MASTER'!$W$2:$W$495&gt;=8)*('CASE MASTER'!$V$2:$V$495&lt;=3)*('CASE MASTER'!$X$2:$X$495&gt;=3))*ROW('CASE MASTER'!$T$2:$T$495))-(ROW('CASE MASTER'!#REF!)-1))),":",","),",",REPT(" ",50)),((((8-INDEX('CASE MASTER'!$U$2:$U$495,(SUMPRODUCT((('CASE MASTER'!$T$2:$T$495=8)*('CASE MASTER'!$U$2:$U$495&lt;=8)*('CASE MASTER'!$W$2:$W$495&gt;=8)*('CASE MASTER'!$V$2:$V$495&lt;=3)*('CASE MASTER'!$X$2:$X$495&gt;=3))*ROW('CASE MASTER'!$T$2:$T$495))-(ROW('CASE MASTER'!#REF!)-1))))*(INDEX('CASE MASTER'!$X$2:$X$495,(SUMPRODUCT((('CASE MASTER'!$T$2:$T$495=8)*('CASE MASTER'!$U$2:$U$495&lt;=8)*('CASE MASTER'!$W$2:$W$495&gt;=8)*('CASE MASTER'!$V$2:$V$495&lt;=3)*('CASE MASTER'!$X$2:$X$495&gt;=3))*ROW('CASE MASTER'!$T$2:$T$495))-(ROW('CASE MASTER'!#REF!)-1)))-INDEX('CASE MASTER'!$V$2:$V$495,(SUMPRODUCT((('CASE MASTER'!$T$2:$T$495=8)*('CASE MASTER'!$U$2:$U$495&lt;=8)*('CASE MASTER'!$W$2:$W$495&gt;=8)*('CASE MASTER'!$V$2:$V$495&lt;=3)*('CASE MASTER'!$X$2:$X$495&gt;=3))*ROW('CASE MASTER'!$T$2:$T$495))-(ROW('CASE MASTER'!#REF!)-1)))+1)+(3-INDEX('CASE MASTER'!$V$2:$V$495,(SUMPRODUCT((('CASE MASTER'!$T$2:$T$495=8)*('CASE MASTER'!$U$2:$U$495&lt;=8)*('CASE MASTER'!$W$2:$W$495&gt;=8)*('CASE MASTER'!$V$2:$V$495&lt;=3)*('CASE MASTER'!$X$2:$X$495&gt;=3))*ROW('CASE MASTER'!$T$2:$T$495))-(ROW('CASE MASTER'!#REF!)-1))))+1))-1)*50+1,50))&amp;"_"&amp;INDEX('CASE MASTER'!$Q$2:$Q$495,(SUMPRODUCT((('CASE MASTER'!$T$2:$T$495=8)*('CASE MASTER'!$U$2:$U$495&lt;=8)*('CASE MASTER'!$W$2:$W$495&gt;=8)*('CASE MASTER'!$V$2:$V$495&lt;=3)*('CASE MASTER'!$X$2:$X$495&gt;=3))*ROW('CASE MASTER'!$T$2:$T$495))-(ROW('CASE MASTER'!#REF!)-1))),IF(SUMPRODUCT((('CASE MASTER'!$T$2:$T$495=8)*('CASE MASTER'!$AA$2:$AA$495&lt;=8)*('CASE MASTER'!$AC$2:$AC$495&gt;=8)*('CASE MASTER'!$AB$2:$AB$495&lt;=3)*('CASE MASTER'!$AD$2:$AD$495&gt;=3))*ROW('CASE MASTER'!$T$2:$T$495))&gt;0,INDEX('CASE MASTER'!$Y$2:$Y$495,(SUMPRODUCT((('CASE MASTER'!$T$2:$T$495=8)*('CASE MASTER'!$AA$2:$AA$495&lt;=8)*('CASE MASTER'!$AC$2:$AC$495&gt;=8)*('CASE MASTER'!$AB$2:$AB$495&lt;=3)*('CASE MASTER'!$AD$2:$AD$495&gt;=3))*ROW('CASE MASTER'!$T$2:$T$495))-(ROW('CASE MASTER'!#REF!)-1)))&amp;TRIM(MID(SUBSTITUTE(SUBSTITUTE(INDEX('CASE MASTER'!$N$2:$N$495,(SUMPRODUCT((('CASE MASTER'!$T$2:$T$495=8)*('CASE MASTER'!$AA$2:$AA$495&lt;=8)*('CASE MASTER'!$AC$2:$AC$495&gt;=8)*('CASE MASTER'!$AB$2:$AB$495&lt;=3)*('CASE MASTER'!$AD$2:$AD$495&gt;=3))*ROW('CASE MASTER'!$T$2:$T$495))-(ROW('CASE MASTER'!#REF!)-1))),":",","),",",REPT(" ",50)),(((INDEX('CASE MASTER'!$Z$2:$Z$495,(SUMPRODUCT((('CASE MASTER'!$T$2:$T$495=8)*('CASE MASTER'!$AA$2:$AA$495&lt;=8)*('CASE MASTER'!$AC$2:$AC$495&gt;=8)*('CASE MASTER'!$AB$2:$AB$495&lt;=3)*('CASE MASTER'!$AD$2:$AD$495&gt;=3))*ROW('CASE MASTER'!$T$2:$T$495))-(ROW('CASE MASTER'!#REF!)-1)))+((8-INDEX('CASE MASTER'!$AA$2:$AA$495,(SUMPRODUCT((('CASE MASTER'!$T$2:$T$495=8)*('CASE MASTER'!$AA$2:$AA$495&lt;=8)*('CASE MASTER'!$AC$2:$AC$495&gt;=8)*('CASE MASTER'!$AB$2:$AB$495&lt;=3)*('CASE MASTER'!$AD$2:$AD$495&gt;=3))*ROW('CASE MASTER'!$T$2:$T$495))-(ROW('CASE MASTER'!#REF!)-1))))*(INDEX('CASE MASTER'!$AD$2:$AD$495,(SUMPRODUCT((('CASE MASTER'!$T$2:$T$495=8)*('CASE MASTER'!$AA$2:$AA$495&lt;=8)*('CASE MASTER'!$AC$2:$AC$495&gt;=8)*('CASE MASTER'!$AB$2:$AB$495&lt;=3)*('CASE MASTER'!$AD$2:$AD$495&gt;=3))*ROW('CASE MASTER'!$T$2:$T$495))-(ROW('CASE MASTER'!#REF!)-1)))-INDEX('CASE MASTER'!$AB$2:$AB$495,(SUMPRODUCT((('CASE MASTER'!$T$2:$T$495=8)*('CASE MASTER'!$AA$2:$AA$495&lt;=8)*('CASE MASTER'!$AC$2:$AC$495&gt;=8)*('CASE MASTER'!$AB$2:$AB$495&lt;=3)*('CASE MASTER'!$AD$2:$AD$495&gt;=3))*ROW('CASE MASTER'!$T$2:$T$495))-(ROW('CASE MASTER'!#REF!)-1)))+1)+(3-INDEX('CASE MASTER'!$AB$2:$AB$495,(SUMPRODUCT((('CASE MASTER'!$T$2:$T$495=8)*('CASE MASTER'!$AA$2:$AA$495&lt;=8)*('CASE MASTER'!$AC$2:$AC$495&gt;=8)*('CASE MASTER'!$AB$2:$AB$495&lt;=3)*('CASE MASTER'!$AD$2:$AD$495&gt;=3))*ROW('CASE MASTER'!$T$2:$T$495))-(ROW('CASE MASTER'!#REF!)-1))))+1)))-1)*50+1,50))&amp;"_"&amp;INDEX('CASE MASTER'!$Q$2:$Q$495,(SUMPRODUCT((('CASE MASTER'!$T$2:$T$495=8)*('CASE MASTER'!$AA$2:$AA$495&lt;=8)*('CASE MASTER'!$AC$2:$AC$495&gt;=8)*('CASE MASTER'!$AB$2:$AB$495&lt;=3)*('CASE MASTER'!$AD$2:$AD$495&gt;=3))*ROW('CASE MASTER'!$T$2:$T$495))-(ROW('CASE MASTER'!#REF!)-1))),"")),"")</f>
        <v/>
      </c>
      <c r="E108" s="10" t="str">
        <f>IFERROR(IF(SUMPRODUCT((('CASE MASTER'!$T$2:$T$495=8)*('CASE MASTER'!$U$2:$U$495&lt;=8)*('CASE MASTER'!$W$2:$W$495&gt;=8)*('CASE MASTER'!$V$2:$V$495&lt;=4)*('CASE MASTER'!$X$2:$X$495&gt;=4))*ROW('CASE MASTER'!$T$2:$T$495))&gt;0,INDEX('CASE MASTER'!$Y$2:$Y$495,(SUMPRODUCT((('CASE MASTER'!$T$2:$T$495=8)*('CASE MASTER'!$U$2:$U$495&lt;=8)*('CASE MASTER'!$W$2:$W$495&gt;=8)*('CASE MASTER'!$V$2:$V$495&lt;=4)*('CASE MASTER'!$X$2:$X$495&gt;=4))*ROW('CASE MASTER'!$T$2:$T$495))-(ROW('CASE MASTER'!#REF!)-1)))&amp;TRIM(MID(SUBSTITUTE(SUBSTITUTE(INDEX('CASE MASTER'!$N$2:$N$495,(SUMPRODUCT((('CASE MASTER'!$T$2:$T$495=8)*('CASE MASTER'!$U$2:$U$495&lt;=8)*('CASE MASTER'!$W$2:$W$495&gt;=8)*('CASE MASTER'!$V$2:$V$495&lt;=4)*('CASE MASTER'!$X$2:$X$495&gt;=4))*ROW('CASE MASTER'!$T$2:$T$495))-(ROW('CASE MASTER'!#REF!)-1))),":",","),",",REPT(" ",50)),((((8-INDEX('CASE MASTER'!$U$2:$U$495,(SUMPRODUCT((('CASE MASTER'!$T$2:$T$495=8)*('CASE MASTER'!$U$2:$U$495&lt;=8)*('CASE MASTER'!$W$2:$W$495&gt;=8)*('CASE MASTER'!$V$2:$V$495&lt;=4)*('CASE MASTER'!$X$2:$X$495&gt;=4))*ROW('CASE MASTER'!$T$2:$T$495))-(ROW('CASE MASTER'!#REF!)-1))))*(INDEX('CASE MASTER'!$X$2:$X$495,(SUMPRODUCT((('CASE MASTER'!$T$2:$T$495=8)*('CASE MASTER'!$U$2:$U$495&lt;=8)*('CASE MASTER'!$W$2:$W$495&gt;=8)*('CASE MASTER'!$V$2:$V$495&lt;=4)*('CASE MASTER'!$X$2:$X$495&gt;=4))*ROW('CASE MASTER'!$T$2:$T$495))-(ROW('CASE MASTER'!#REF!)-1)))-INDEX('CASE MASTER'!$V$2:$V$495,(SUMPRODUCT((('CASE MASTER'!$T$2:$T$495=8)*('CASE MASTER'!$U$2:$U$495&lt;=8)*('CASE MASTER'!$W$2:$W$495&gt;=8)*('CASE MASTER'!$V$2:$V$495&lt;=4)*('CASE MASTER'!$X$2:$X$495&gt;=4))*ROW('CASE MASTER'!$T$2:$T$495))-(ROW('CASE MASTER'!#REF!)-1)))+1)+(4-INDEX('CASE MASTER'!$V$2:$V$495,(SUMPRODUCT((('CASE MASTER'!$T$2:$T$495=8)*('CASE MASTER'!$U$2:$U$495&lt;=8)*('CASE MASTER'!$W$2:$W$495&gt;=8)*('CASE MASTER'!$V$2:$V$495&lt;=4)*('CASE MASTER'!$X$2:$X$495&gt;=4))*ROW('CASE MASTER'!$T$2:$T$495))-(ROW('CASE MASTER'!#REF!)-1))))+1))-1)*50+1,50))&amp;"_"&amp;INDEX('CASE MASTER'!$Q$2:$Q$495,(SUMPRODUCT((('CASE MASTER'!$T$2:$T$495=8)*('CASE MASTER'!$U$2:$U$495&lt;=8)*('CASE MASTER'!$W$2:$W$495&gt;=8)*('CASE MASTER'!$V$2:$V$495&lt;=4)*('CASE MASTER'!$X$2:$X$495&gt;=4))*ROW('CASE MASTER'!$T$2:$T$495))-(ROW('CASE MASTER'!#REF!)-1))),IF(SUMPRODUCT((('CASE MASTER'!$T$2:$T$495=8)*('CASE MASTER'!$AA$2:$AA$495&lt;=8)*('CASE MASTER'!$AC$2:$AC$495&gt;=8)*('CASE MASTER'!$AB$2:$AB$495&lt;=4)*('CASE MASTER'!$AD$2:$AD$495&gt;=4))*ROW('CASE MASTER'!$T$2:$T$495))&gt;0,INDEX('CASE MASTER'!$Y$2:$Y$495,(SUMPRODUCT((('CASE MASTER'!$T$2:$T$495=8)*('CASE MASTER'!$AA$2:$AA$495&lt;=8)*('CASE MASTER'!$AC$2:$AC$495&gt;=8)*('CASE MASTER'!$AB$2:$AB$495&lt;=4)*('CASE MASTER'!$AD$2:$AD$495&gt;=4))*ROW('CASE MASTER'!$T$2:$T$495))-(ROW('CASE MASTER'!#REF!)-1)))&amp;TRIM(MID(SUBSTITUTE(SUBSTITUTE(INDEX('CASE MASTER'!$N$2:$N$495,(SUMPRODUCT((('CASE MASTER'!$T$2:$T$495=8)*('CASE MASTER'!$AA$2:$AA$495&lt;=8)*('CASE MASTER'!$AC$2:$AC$495&gt;=8)*('CASE MASTER'!$AB$2:$AB$495&lt;=4)*('CASE MASTER'!$AD$2:$AD$495&gt;=4))*ROW('CASE MASTER'!$T$2:$T$495))-(ROW('CASE MASTER'!#REF!)-1))),":",","),",",REPT(" ",50)),(((INDEX('CASE MASTER'!$Z$2:$Z$495,(SUMPRODUCT((('CASE MASTER'!$T$2:$T$495=8)*('CASE MASTER'!$AA$2:$AA$495&lt;=8)*('CASE MASTER'!$AC$2:$AC$495&gt;=8)*('CASE MASTER'!$AB$2:$AB$495&lt;=4)*('CASE MASTER'!$AD$2:$AD$495&gt;=4))*ROW('CASE MASTER'!$T$2:$T$495))-(ROW('CASE MASTER'!#REF!)-1)))+((8-INDEX('CASE MASTER'!$AA$2:$AA$495,(SUMPRODUCT((('CASE MASTER'!$T$2:$T$495=8)*('CASE MASTER'!$AA$2:$AA$495&lt;=8)*('CASE MASTER'!$AC$2:$AC$495&gt;=8)*('CASE MASTER'!$AB$2:$AB$495&lt;=4)*('CASE MASTER'!$AD$2:$AD$495&gt;=4))*ROW('CASE MASTER'!$T$2:$T$495))-(ROW('CASE MASTER'!#REF!)-1))))*(INDEX('CASE MASTER'!$AD$2:$AD$495,(SUMPRODUCT((('CASE MASTER'!$T$2:$T$495=8)*('CASE MASTER'!$AA$2:$AA$495&lt;=8)*('CASE MASTER'!$AC$2:$AC$495&gt;=8)*('CASE MASTER'!$AB$2:$AB$495&lt;=4)*('CASE MASTER'!$AD$2:$AD$495&gt;=4))*ROW('CASE MASTER'!$T$2:$T$495))-(ROW('CASE MASTER'!#REF!)-1)))-INDEX('CASE MASTER'!$AB$2:$AB$495,(SUMPRODUCT((('CASE MASTER'!$T$2:$T$495=8)*('CASE MASTER'!$AA$2:$AA$495&lt;=8)*('CASE MASTER'!$AC$2:$AC$495&gt;=8)*('CASE MASTER'!$AB$2:$AB$495&lt;=4)*('CASE MASTER'!$AD$2:$AD$495&gt;=4))*ROW('CASE MASTER'!$T$2:$T$495))-(ROW('CASE MASTER'!#REF!)-1)))+1)+(4-INDEX('CASE MASTER'!$AB$2:$AB$495,(SUMPRODUCT((('CASE MASTER'!$T$2:$T$495=8)*('CASE MASTER'!$AA$2:$AA$495&lt;=8)*('CASE MASTER'!$AC$2:$AC$495&gt;=8)*('CASE MASTER'!$AB$2:$AB$495&lt;=4)*('CASE MASTER'!$AD$2:$AD$495&gt;=4))*ROW('CASE MASTER'!$T$2:$T$495))-(ROW('CASE MASTER'!#REF!)-1))))+1)))-1)*50+1,50))&amp;"_"&amp;INDEX('CASE MASTER'!$Q$2:$Q$495,(SUMPRODUCT((('CASE MASTER'!$T$2:$T$495=8)*('CASE MASTER'!$AA$2:$AA$495&lt;=8)*('CASE MASTER'!$AC$2:$AC$495&gt;=8)*('CASE MASTER'!$AB$2:$AB$495&lt;=4)*('CASE MASTER'!$AD$2:$AD$495&gt;=4))*ROW('CASE MASTER'!$T$2:$T$495))-(ROW('CASE MASTER'!#REF!)-1))),"")),"")</f>
        <v/>
      </c>
      <c r="F108" s="10" t="str">
        <f>IFERROR(IF(SUMPRODUCT((('CASE MASTER'!$T$2:$T$495=8)*('CASE MASTER'!$U$2:$U$495&lt;=8)*('CASE MASTER'!$W$2:$W$495&gt;=8)*('CASE MASTER'!$V$2:$V$495&lt;=5)*('CASE MASTER'!$X$2:$X$495&gt;=5))*ROW('CASE MASTER'!$T$2:$T$495))&gt;0,INDEX('CASE MASTER'!$Y$2:$Y$495,(SUMPRODUCT((('CASE MASTER'!$T$2:$T$495=8)*('CASE MASTER'!$U$2:$U$495&lt;=8)*('CASE MASTER'!$W$2:$W$495&gt;=8)*('CASE MASTER'!$V$2:$V$495&lt;=5)*('CASE MASTER'!$X$2:$X$495&gt;=5))*ROW('CASE MASTER'!$T$2:$T$495))-(ROW('CASE MASTER'!#REF!)-1)))&amp;TRIM(MID(SUBSTITUTE(SUBSTITUTE(INDEX('CASE MASTER'!$N$2:$N$495,(SUMPRODUCT((('CASE MASTER'!$T$2:$T$495=8)*('CASE MASTER'!$U$2:$U$495&lt;=8)*('CASE MASTER'!$W$2:$W$495&gt;=8)*('CASE MASTER'!$V$2:$V$495&lt;=5)*('CASE MASTER'!$X$2:$X$495&gt;=5))*ROW('CASE MASTER'!$T$2:$T$495))-(ROW('CASE MASTER'!#REF!)-1))),":",","),",",REPT(" ",50)),((((8-INDEX('CASE MASTER'!$U$2:$U$495,(SUMPRODUCT((('CASE MASTER'!$T$2:$T$495=8)*('CASE MASTER'!$U$2:$U$495&lt;=8)*('CASE MASTER'!$W$2:$W$495&gt;=8)*('CASE MASTER'!$V$2:$V$495&lt;=5)*('CASE MASTER'!$X$2:$X$495&gt;=5))*ROW('CASE MASTER'!$T$2:$T$495))-(ROW('CASE MASTER'!#REF!)-1))))*(INDEX('CASE MASTER'!$X$2:$X$495,(SUMPRODUCT((('CASE MASTER'!$T$2:$T$495=8)*('CASE MASTER'!$U$2:$U$495&lt;=8)*('CASE MASTER'!$W$2:$W$495&gt;=8)*('CASE MASTER'!$V$2:$V$495&lt;=5)*('CASE MASTER'!$X$2:$X$495&gt;=5))*ROW('CASE MASTER'!$T$2:$T$495))-(ROW('CASE MASTER'!#REF!)-1)))-INDEX('CASE MASTER'!$V$2:$V$495,(SUMPRODUCT((('CASE MASTER'!$T$2:$T$495=8)*('CASE MASTER'!$U$2:$U$495&lt;=8)*('CASE MASTER'!$W$2:$W$495&gt;=8)*('CASE MASTER'!$V$2:$V$495&lt;=5)*('CASE MASTER'!$X$2:$X$495&gt;=5))*ROW('CASE MASTER'!$T$2:$T$495))-(ROW('CASE MASTER'!#REF!)-1)))+1)+(5-INDEX('CASE MASTER'!$V$2:$V$495,(SUMPRODUCT((('CASE MASTER'!$T$2:$T$495=8)*('CASE MASTER'!$U$2:$U$495&lt;=8)*('CASE MASTER'!$W$2:$W$495&gt;=8)*('CASE MASTER'!$V$2:$V$495&lt;=5)*('CASE MASTER'!$X$2:$X$495&gt;=5))*ROW('CASE MASTER'!$T$2:$T$495))-(ROW('CASE MASTER'!#REF!)-1))))+1))-1)*50+1,50))&amp;"_"&amp;INDEX('CASE MASTER'!$Q$2:$Q$495,(SUMPRODUCT((('CASE MASTER'!$T$2:$T$495=8)*('CASE MASTER'!$U$2:$U$495&lt;=8)*('CASE MASTER'!$W$2:$W$495&gt;=8)*('CASE MASTER'!$V$2:$V$495&lt;=5)*('CASE MASTER'!$X$2:$X$495&gt;=5))*ROW('CASE MASTER'!$T$2:$T$495))-(ROW('CASE MASTER'!#REF!)-1))),IF(SUMPRODUCT((('CASE MASTER'!$T$2:$T$495=8)*('CASE MASTER'!$AA$2:$AA$495&lt;=8)*('CASE MASTER'!$AC$2:$AC$495&gt;=8)*('CASE MASTER'!$AB$2:$AB$495&lt;=5)*('CASE MASTER'!$AD$2:$AD$495&gt;=5))*ROW('CASE MASTER'!$T$2:$T$495))&gt;0,INDEX('CASE MASTER'!$Y$2:$Y$495,(SUMPRODUCT((('CASE MASTER'!$T$2:$T$495=8)*('CASE MASTER'!$AA$2:$AA$495&lt;=8)*('CASE MASTER'!$AC$2:$AC$495&gt;=8)*('CASE MASTER'!$AB$2:$AB$495&lt;=5)*('CASE MASTER'!$AD$2:$AD$495&gt;=5))*ROW('CASE MASTER'!$T$2:$T$495))-(ROW('CASE MASTER'!#REF!)-1)))&amp;TRIM(MID(SUBSTITUTE(SUBSTITUTE(INDEX('CASE MASTER'!$N$2:$N$495,(SUMPRODUCT((('CASE MASTER'!$T$2:$T$495=8)*('CASE MASTER'!$AA$2:$AA$495&lt;=8)*('CASE MASTER'!$AC$2:$AC$495&gt;=8)*('CASE MASTER'!$AB$2:$AB$495&lt;=5)*('CASE MASTER'!$AD$2:$AD$495&gt;=5))*ROW('CASE MASTER'!$T$2:$T$495))-(ROW('CASE MASTER'!#REF!)-1))),":",","),",",REPT(" ",50)),(((INDEX('CASE MASTER'!$Z$2:$Z$495,(SUMPRODUCT((('CASE MASTER'!$T$2:$T$495=8)*('CASE MASTER'!$AA$2:$AA$495&lt;=8)*('CASE MASTER'!$AC$2:$AC$495&gt;=8)*('CASE MASTER'!$AB$2:$AB$495&lt;=5)*('CASE MASTER'!$AD$2:$AD$495&gt;=5))*ROW('CASE MASTER'!$T$2:$T$495))-(ROW('CASE MASTER'!#REF!)-1)))+((8-INDEX('CASE MASTER'!$AA$2:$AA$495,(SUMPRODUCT((('CASE MASTER'!$T$2:$T$495=8)*('CASE MASTER'!$AA$2:$AA$495&lt;=8)*('CASE MASTER'!$AC$2:$AC$495&gt;=8)*('CASE MASTER'!$AB$2:$AB$495&lt;=5)*('CASE MASTER'!$AD$2:$AD$495&gt;=5))*ROW('CASE MASTER'!$T$2:$T$495))-(ROW('CASE MASTER'!#REF!)-1))))*(INDEX('CASE MASTER'!$AD$2:$AD$495,(SUMPRODUCT((('CASE MASTER'!$T$2:$T$495=8)*('CASE MASTER'!$AA$2:$AA$495&lt;=8)*('CASE MASTER'!$AC$2:$AC$495&gt;=8)*('CASE MASTER'!$AB$2:$AB$495&lt;=5)*('CASE MASTER'!$AD$2:$AD$495&gt;=5))*ROW('CASE MASTER'!$T$2:$T$495))-(ROW('CASE MASTER'!#REF!)-1)))-INDEX('CASE MASTER'!$AB$2:$AB$495,(SUMPRODUCT((('CASE MASTER'!$T$2:$T$495=8)*('CASE MASTER'!$AA$2:$AA$495&lt;=8)*('CASE MASTER'!$AC$2:$AC$495&gt;=8)*('CASE MASTER'!$AB$2:$AB$495&lt;=5)*('CASE MASTER'!$AD$2:$AD$495&gt;=5))*ROW('CASE MASTER'!$T$2:$T$495))-(ROW('CASE MASTER'!#REF!)-1)))+1)+(5-INDEX('CASE MASTER'!$AB$2:$AB$495,(SUMPRODUCT((('CASE MASTER'!$T$2:$T$495=8)*('CASE MASTER'!$AA$2:$AA$495&lt;=8)*('CASE MASTER'!$AC$2:$AC$495&gt;=8)*('CASE MASTER'!$AB$2:$AB$495&lt;=5)*('CASE MASTER'!$AD$2:$AD$495&gt;=5))*ROW('CASE MASTER'!$T$2:$T$495))-(ROW('CASE MASTER'!#REF!)-1))))+1)))-1)*50+1,50))&amp;"_"&amp;INDEX('CASE MASTER'!$Q$2:$Q$495,(SUMPRODUCT((('CASE MASTER'!$T$2:$T$495=8)*('CASE MASTER'!$AA$2:$AA$495&lt;=8)*('CASE MASTER'!$AC$2:$AC$495&gt;=8)*('CASE MASTER'!$AB$2:$AB$495&lt;=5)*('CASE MASTER'!$AD$2:$AD$495&gt;=5))*ROW('CASE MASTER'!$T$2:$T$495))-(ROW('CASE MASTER'!#REF!)-1))),"")),"")</f>
        <v/>
      </c>
      <c r="G108" s="10" t="str">
        <f>IFERROR(IF(SUMPRODUCT((('CASE MASTER'!$T$2:$T$495=8)*('CASE MASTER'!$U$2:$U$495&lt;=8)*('CASE MASTER'!$W$2:$W$495&gt;=8)*('CASE MASTER'!$V$2:$V$495&lt;=6)*('CASE MASTER'!$X$2:$X$495&gt;=6))*ROW('CASE MASTER'!$T$2:$T$495))&gt;0,INDEX('CASE MASTER'!$Y$2:$Y$495,(SUMPRODUCT((('CASE MASTER'!$T$2:$T$495=8)*('CASE MASTER'!$U$2:$U$495&lt;=8)*('CASE MASTER'!$W$2:$W$495&gt;=8)*('CASE MASTER'!$V$2:$V$495&lt;=6)*('CASE MASTER'!$X$2:$X$495&gt;=6))*ROW('CASE MASTER'!$T$2:$T$495))-(ROW('CASE MASTER'!#REF!)-1)))&amp;TRIM(MID(SUBSTITUTE(SUBSTITUTE(INDEX('CASE MASTER'!$N$2:$N$495,(SUMPRODUCT((('CASE MASTER'!$T$2:$T$495=8)*('CASE MASTER'!$U$2:$U$495&lt;=8)*('CASE MASTER'!$W$2:$W$495&gt;=8)*('CASE MASTER'!$V$2:$V$495&lt;=6)*('CASE MASTER'!$X$2:$X$495&gt;=6))*ROW('CASE MASTER'!$T$2:$T$495))-(ROW('CASE MASTER'!#REF!)-1))),":",","),",",REPT(" ",50)),((((8-INDEX('CASE MASTER'!$U$2:$U$495,(SUMPRODUCT((('CASE MASTER'!$T$2:$T$495=8)*('CASE MASTER'!$U$2:$U$495&lt;=8)*('CASE MASTER'!$W$2:$W$495&gt;=8)*('CASE MASTER'!$V$2:$V$495&lt;=6)*('CASE MASTER'!$X$2:$X$495&gt;=6))*ROW('CASE MASTER'!$T$2:$T$495))-(ROW('CASE MASTER'!#REF!)-1))))*(INDEX('CASE MASTER'!$X$2:$X$495,(SUMPRODUCT((('CASE MASTER'!$T$2:$T$495=8)*('CASE MASTER'!$U$2:$U$495&lt;=8)*('CASE MASTER'!$W$2:$W$495&gt;=8)*('CASE MASTER'!$V$2:$V$495&lt;=6)*('CASE MASTER'!$X$2:$X$495&gt;=6))*ROW('CASE MASTER'!$T$2:$T$495))-(ROW('CASE MASTER'!#REF!)-1)))-INDEX('CASE MASTER'!$V$2:$V$495,(SUMPRODUCT((('CASE MASTER'!$T$2:$T$495=8)*('CASE MASTER'!$U$2:$U$495&lt;=8)*('CASE MASTER'!$W$2:$W$495&gt;=8)*('CASE MASTER'!$V$2:$V$495&lt;=6)*('CASE MASTER'!$X$2:$X$495&gt;=6))*ROW('CASE MASTER'!$T$2:$T$495))-(ROW('CASE MASTER'!#REF!)-1)))+1)+(6-INDEX('CASE MASTER'!$V$2:$V$495,(SUMPRODUCT((('CASE MASTER'!$T$2:$T$495=8)*('CASE MASTER'!$U$2:$U$495&lt;=8)*('CASE MASTER'!$W$2:$W$495&gt;=8)*('CASE MASTER'!$V$2:$V$495&lt;=6)*('CASE MASTER'!$X$2:$X$495&gt;=6))*ROW('CASE MASTER'!$T$2:$T$495))-(ROW('CASE MASTER'!#REF!)-1))))+1))-1)*50+1,50))&amp;"_"&amp;INDEX('CASE MASTER'!$Q$2:$Q$495,(SUMPRODUCT((('CASE MASTER'!$T$2:$T$495=8)*('CASE MASTER'!$U$2:$U$495&lt;=8)*('CASE MASTER'!$W$2:$W$495&gt;=8)*('CASE MASTER'!$V$2:$V$495&lt;=6)*('CASE MASTER'!$X$2:$X$495&gt;=6))*ROW('CASE MASTER'!$T$2:$T$495))-(ROW('CASE MASTER'!#REF!)-1))),IF(SUMPRODUCT((('CASE MASTER'!$T$2:$T$495=8)*('CASE MASTER'!$AA$2:$AA$495&lt;=8)*('CASE MASTER'!$AC$2:$AC$495&gt;=8)*('CASE MASTER'!$AB$2:$AB$495&lt;=6)*('CASE MASTER'!$AD$2:$AD$495&gt;=6))*ROW('CASE MASTER'!$T$2:$T$495))&gt;0,INDEX('CASE MASTER'!$Y$2:$Y$495,(SUMPRODUCT((('CASE MASTER'!$T$2:$T$495=8)*('CASE MASTER'!$AA$2:$AA$495&lt;=8)*('CASE MASTER'!$AC$2:$AC$495&gt;=8)*('CASE MASTER'!$AB$2:$AB$495&lt;=6)*('CASE MASTER'!$AD$2:$AD$495&gt;=6))*ROW('CASE MASTER'!$T$2:$T$495))-(ROW('CASE MASTER'!#REF!)-1)))&amp;TRIM(MID(SUBSTITUTE(SUBSTITUTE(INDEX('CASE MASTER'!$N$2:$N$495,(SUMPRODUCT((('CASE MASTER'!$T$2:$T$495=8)*('CASE MASTER'!$AA$2:$AA$495&lt;=8)*('CASE MASTER'!$AC$2:$AC$495&gt;=8)*('CASE MASTER'!$AB$2:$AB$495&lt;=6)*('CASE MASTER'!$AD$2:$AD$495&gt;=6))*ROW('CASE MASTER'!$T$2:$T$495))-(ROW('CASE MASTER'!#REF!)-1))),":",","),",",REPT(" ",50)),(((INDEX('CASE MASTER'!$Z$2:$Z$495,(SUMPRODUCT((('CASE MASTER'!$T$2:$T$495=8)*('CASE MASTER'!$AA$2:$AA$495&lt;=8)*('CASE MASTER'!$AC$2:$AC$495&gt;=8)*('CASE MASTER'!$AB$2:$AB$495&lt;=6)*('CASE MASTER'!$AD$2:$AD$495&gt;=6))*ROW('CASE MASTER'!$T$2:$T$495))-(ROW('CASE MASTER'!#REF!)-1)))+((8-INDEX('CASE MASTER'!$AA$2:$AA$495,(SUMPRODUCT((('CASE MASTER'!$T$2:$T$495=8)*('CASE MASTER'!$AA$2:$AA$495&lt;=8)*('CASE MASTER'!$AC$2:$AC$495&gt;=8)*('CASE MASTER'!$AB$2:$AB$495&lt;=6)*('CASE MASTER'!$AD$2:$AD$495&gt;=6))*ROW('CASE MASTER'!$T$2:$T$495))-(ROW('CASE MASTER'!#REF!)-1))))*(INDEX('CASE MASTER'!$AD$2:$AD$495,(SUMPRODUCT((('CASE MASTER'!$T$2:$T$495=8)*('CASE MASTER'!$AA$2:$AA$495&lt;=8)*('CASE MASTER'!$AC$2:$AC$495&gt;=8)*('CASE MASTER'!$AB$2:$AB$495&lt;=6)*('CASE MASTER'!$AD$2:$AD$495&gt;=6))*ROW('CASE MASTER'!$T$2:$T$495))-(ROW('CASE MASTER'!#REF!)-1)))-INDEX('CASE MASTER'!$AB$2:$AB$495,(SUMPRODUCT((('CASE MASTER'!$T$2:$T$495=8)*('CASE MASTER'!$AA$2:$AA$495&lt;=8)*('CASE MASTER'!$AC$2:$AC$495&gt;=8)*('CASE MASTER'!$AB$2:$AB$495&lt;=6)*('CASE MASTER'!$AD$2:$AD$495&gt;=6))*ROW('CASE MASTER'!$T$2:$T$495))-(ROW('CASE MASTER'!#REF!)-1)))+1)+(6-INDEX('CASE MASTER'!$AB$2:$AB$495,(SUMPRODUCT((('CASE MASTER'!$T$2:$T$495=8)*('CASE MASTER'!$AA$2:$AA$495&lt;=8)*('CASE MASTER'!$AC$2:$AC$495&gt;=8)*('CASE MASTER'!$AB$2:$AB$495&lt;=6)*('CASE MASTER'!$AD$2:$AD$495&gt;=6))*ROW('CASE MASTER'!$T$2:$T$495))-(ROW('CASE MASTER'!#REF!)-1))))+1)))-1)*50+1,50))&amp;"_"&amp;INDEX('CASE MASTER'!$Q$2:$Q$495,(SUMPRODUCT((('CASE MASTER'!$T$2:$T$495=8)*('CASE MASTER'!$AA$2:$AA$495&lt;=8)*('CASE MASTER'!$AC$2:$AC$495&gt;=8)*('CASE MASTER'!$AB$2:$AB$495&lt;=6)*('CASE MASTER'!$AD$2:$AD$495&gt;=6))*ROW('CASE MASTER'!$T$2:$T$495))-(ROW('CASE MASTER'!#REF!)-1))),"")),"")</f>
        <v/>
      </c>
      <c r="H108" s="10" t="str">
        <f>IFERROR(IF(SUMPRODUCT((('CASE MASTER'!$T$2:$T$495=8)*('CASE MASTER'!$U$2:$U$495&lt;=8)*('CASE MASTER'!$W$2:$W$495&gt;=8)*('CASE MASTER'!$V$2:$V$495&lt;=7)*('CASE MASTER'!$X$2:$X$495&gt;=7))*ROW('CASE MASTER'!$T$2:$T$495))&gt;0,INDEX('CASE MASTER'!$Y$2:$Y$495,(SUMPRODUCT((('CASE MASTER'!$T$2:$T$495=8)*('CASE MASTER'!$U$2:$U$495&lt;=8)*('CASE MASTER'!$W$2:$W$495&gt;=8)*('CASE MASTER'!$V$2:$V$495&lt;=7)*('CASE MASTER'!$X$2:$X$495&gt;=7))*ROW('CASE MASTER'!$T$2:$T$495))-(ROW('CASE MASTER'!#REF!)-1)))&amp;TRIM(MID(SUBSTITUTE(SUBSTITUTE(INDEX('CASE MASTER'!$N$2:$N$495,(SUMPRODUCT((('CASE MASTER'!$T$2:$T$495=8)*('CASE MASTER'!$U$2:$U$495&lt;=8)*('CASE MASTER'!$W$2:$W$495&gt;=8)*('CASE MASTER'!$V$2:$V$495&lt;=7)*('CASE MASTER'!$X$2:$X$495&gt;=7))*ROW('CASE MASTER'!$T$2:$T$495))-(ROW('CASE MASTER'!#REF!)-1))),":",","),",",REPT(" ",50)),((((8-INDEX('CASE MASTER'!$U$2:$U$495,(SUMPRODUCT((('CASE MASTER'!$T$2:$T$495=8)*('CASE MASTER'!$U$2:$U$495&lt;=8)*('CASE MASTER'!$W$2:$W$495&gt;=8)*('CASE MASTER'!$V$2:$V$495&lt;=7)*('CASE MASTER'!$X$2:$X$495&gt;=7))*ROW('CASE MASTER'!$T$2:$T$495))-(ROW('CASE MASTER'!#REF!)-1))))*(INDEX('CASE MASTER'!$X$2:$X$495,(SUMPRODUCT((('CASE MASTER'!$T$2:$T$495=8)*('CASE MASTER'!$U$2:$U$495&lt;=8)*('CASE MASTER'!$W$2:$W$495&gt;=8)*('CASE MASTER'!$V$2:$V$495&lt;=7)*('CASE MASTER'!$X$2:$X$495&gt;=7))*ROW('CASE MASTER'!$T$2:$T$495))-(ROW('CASE MASTER'!#REF!)-1)))-INDEX('CASE MASTER'!$V$2:$V$495,(SUMPRODUCT((('CASE MASTER'!$T$2:$T$495=8)*('CASE MASTER'!$U$2:$U$495&lt;=8)*('CASE MASTER'!$W$2:$W$495&gt;=8)*('CASE MASTER'!$V$2:$V$495&lt;=7)*('CASE MASTER'!$X$2:$X$495&gt;=7))*ROW('CASE MASTER'!$T$2:$T$495))-(ROW('CASE MASTER'!#REF!)-1)))+1)+(7-INDEX('CASE MASTER'!$V$2:$V$495,(SUMPRODUCT((('CASE MASTER'!$T$2:$T$495=8)*('CASE MASTER'!$U$2:$U$495&lt;=8)*('CASE MASTER'!$W$2:$W$495&gt;=8)*('CASE MASTER'!$V$2:$V$495&lt;=7)*('CASE MASTER'!$X$2:$X$495&gt;=7))*ROW('CASE MASTER'!$T$2:$T$495))-(ROW('CASE MASTER'!#REF!)-1))))+1))-1)*50+1,50))&amp;"_"&amp;INDEX('CASE MASTER'!$Q$2:$Q$495,(SUMPRODUCT((('CASE MASTER'!$T$2:$T$495=8)*('CASE MASTER'!$U$2:$U$495&lt;=8)*('CASE MASTER'!$W$2:$W$495&gt;=8)*('CASE MASTER'!$V$2:$V$495&lt;=7)*('CASE MASTER'!$X$2:$X$495&gt;=7))*ROW('CASE MASTER'!$T$2:$T$495))-(ROW('CASE MASTER'!#REF!)-1))),IF(SUMPRODUCT((('CASE MASTER'!$T$2:$T$495=8)*('CASE MASTER'!$AA$2:$AA$495&lt;=8)*('CASE MASTER'!$AC$2:$AC$495&gt;=8)*('CASE MASTER'!$AB$2:$AB$495&lt;=7)*('CASE MASTER'!$AD$2:$AD$495&gt;=7))*ROW('CASE MASTER'!$T$2:$T$495))&gt;0,INDEX('CASE MASTER'!$Y$2:$Y$495,(SUMPRODUCT((('CASE MASTER'!$T$2:$T$495=8)*('CASE MASTER'!$AA$2:$AA$495&lt;=8)*('CASE MASTER'!$AC$2:$AC$495&gt;=8)*('CASE MASTER'!$AB$2:$AB$495&lt;=7)*('CASE MASTER'!$AD$2:$AD$495&gt;=7))*ROW('CASE MASTER'!$T$2:$T$495))-(ROW('CASE MASTER'!#REF!)-1)))&amp;TRIM(MID(SUBSTITUTE(SUBSTITUTE(INDEX('CASE MASTER'!$N$2:$N$495,(SUMPRODUCT((('CASE MASTER'!$T$2:$T$495=8)*('CASE MASTER'!$AA$2:$AA$495&lt;=8)*('CASE MASTER'!$AC$2:$AC$495&gt;=8)*('CASE MASTER'!$AB$2:$AB$495&lt;=7)*('CASE MASTER'!$AD$2:$AD$495&gt;=7))*ROW('CASE MASTER'!$T$2:$T$495))-(ROW('CASE MASTER'!#REF!)-1))),":",","),",",REPT(" ",50)),(((INDEX('CASE MASTER'!$Z$2:$Z$495,(SUMPRODUCT((('CASE MASTER'!$T$2:$T$495=8)*('CASE MASTER'!$AA$2:$AA$495&lt;=8)*('CASE MASTER'!$AC$2:$AC$495&gt;=8)*('CASE MASTER'!$AB$2:$AB$495&lt;=7)*('CASE MASTER'!$AD$2:$AD$495&gt;=7))*ROW('CASE MASTER'!$T$2:$T$495))-(ROW('CASE MASTER'!#REF!)-1)))+((8-INDEX('CASE MASTER'!$AA$2:$AA$495,(SUMPRODUCT((('CASE MASTER'!$T$2:$T$495=8)*('CASE MASTER'!$AA$2:$AA$495&lt;=8)*('CASE MASTER'!$AC$2:$AC$495&gt;=8)*('CASE MASTER'!$AB$2:$AB$495&lt;=7)*('CASE MASTER'!$AD$2:$AD$495&gt;=7))*ROW('CASE MASTER'!$T$2:$T$495))-(ROW('CASE MASTER'!#REF!)-1))))*(INDEX('CASE MASTER'!$AD$2:$AD$495,(SUMPRODUCT((('CASE MASTER'!$T$2:$T$495=8)*('CASE MASTER'!$AA$2:$AA$495&lt;=8)*('CASE MASTER'!$AC$2:$AC$495&gt;=8)*('CASE MASTER'!$AB$2:$AB$495&lt;=7)*('CASE MASTER'!$AD$2:$AD$495&gt;=7))*ROW('CASE MASTER'!$T$2:$T$495))-(ROW('CASE MASTER'!#REF!)-1)))-INDEX('CASE MASTER'!$AB$2:$AB$495,(SUMPRODUCT((('CASE MASTER'!$T$2:$T$495=8)*('CASE MASTER'!$AA$2:$AA$495&lt;=8)*('CASE MASTER'!$AC$2:$AC$495&gt;=8)*('CASE MASTER'!$AB$2:$AB$495&lt;=7)*('CASE MASTER'!$AD$2:$AD$495&gt;=7))*ROW('CASE MASTER'!$T$2:$T$495))-(ROW('CASE MASTER'!#REF!)-1)))+1)+(7-INDEX('CASE MASTER'!$AB$2:$AB$495,(SUMPRODUCT((('CASE MASTER'!$T$2:$T$495=8)*('CASE MASTER'!$AA$2:$AA$495&lt;=8)*('CASE MASTER'!$AC$2:$AC$495&gt;=8)*('CASE MASTER'!$AB$2:$AB$495&lt;=7)*('CASE MASTER'!$AD$2:$AD$495&gt;=7))*ROW('CASE MASTER'!$T$2:$T$495))-(ROW('CASE MASTER'!#REF!)-1))))+1)))-1)*50+1,50))&amp;"_"&amp;INDEX('CASE MASTER'!$Q$2:$Q$495,(SUMPRODUCT((('CASE MASTER'!$T$2:$T$495=8)*('CASE MASTER'!$AA$2:$AA$495&lt;=8)*('CASE MASTER'!$AC$2:$AC$495&gt;=8)*('CASE MASTER'!$AB$2:$AB$495&lt;=7)*('CASE MASTER'!$AD$2:$AD$495&gt;=7))*ROW('CASE MASTER'!$T$2:$T$495))-(ROW('CASE MASTER'!#REF!)-1))),"")),"")</f>
        <v/>
      </c>
      <c r="I108" s="10" t="str">
        <f>IFERROR(IF(SUMPRODUCT((('CASE MASTER'!$T$2:$T$495=8)*('CASE MASTER'!$U$2:$U$495&lt;=8)*('CASE MASTER'!$W$2:$W$495&gt;=8)*('CASE MASTER'!$V$2:$V$495&lt;=8)*('CASE MASTER'!$X$2:$X$495&gt;=8))*ROW('CASE MASTER'!$T$2:$T$495))&gt;0,INDEX('CASE MASTER'!$Y$2:$Y$495,(SUMPRODUCT((('CASE MASTER'!$T$2:$T$495=8)*('CASE MASTER'!$U$2:$U$495&lt;=8)*('CASE MASTER'!$W$2:$W$495&gt;=8)*('CASE MASTER'!$V$2:$V$495&lt;=8)*('CASE MASTER'!$X$2:$X$495&gt;=8))*ROW('CASE MASTER'!$T$2:$T$495))-(ROW('CASE MASTER'!#REF!)-1)))&amp;TRIM(MID(SUBSTITUTE(SUBSTITUTE(INDEX('CASE MASTER'!$N$2:$N$495,(SUMPRODUCT((('CASE MASTER'!$T$2:$T$495=8)*('CASE MASTER'!$U$2:$U$495&lt;=8)*('CASE MASTER'!$W$2:$W$495&gt;=8)*('CASE MASTER'!$V$2:$V$495&lt;=8)*('CASE MASTER'!$X$2:$X$495&gt;=8))*ROW('CASE MASTER'!$T$2:$T$495))-(ROW('CASE MASTER'!#REF!)-1))),":",","),",",REPT(" ",50)),((((8-INDEX('CASE MASTER'!$U$2:$U$495,(SUMPRODUCT((('CASE MASTER'!$T$2:$T$495=8)*('CASE MASTER'!$U$2:$U$495&lt;=8)*('CASE MASTER'!$W$2:$W$495&gt;=8)*('CASE MASTER'!$V$2:$V$495&lt;=8)*('CASE MASTER'!$X$2:$X$495&gt;=8))*ROW('CASE MASTER'!$T$2:$T$495))-(ROW('CASE MASTER'!#REF!)-1))))*(INDEX('CASE MASTER'!$X$2:$X$495,(SUMPRODUCT((('CASE MASTER'!$T$2:$T$495=8)*('CASE MASTER'!$U$2:$U$495&lt;=8)*('CASE MASTER'!$W$2:$W$495&gt;=8)*('CASE MASTER'!$V$2:$V$495&lt;=8)*('CASE MASTER'!$X$2:$X$495&gt;=8))*ROW('CASE MASTER'!$T$2:$T$495))-(ROW('CASE MASTER'!#REF!)-1)))-INDEX('CASE MASTER'!$V$2:$V$495,(SUMPRODUCT((('CASE MASTER'!$T$2:$T$495=8)*('CASE MASTER'!$U$2:$U$495&lt;=8)*('CASE MASTER'!$W$2:$W$495&gt;=8)*('CASE MASTER'!$V$2:$V$495&lt;=8)*('CASE MASTER'!$X$2:$X$495&gt;=8))*ROW('CASE MASTER'!$T$2:$T$495))-(ROW('CASE MASTER'!#REF!)-1)))+1)+(8-INDEX('CASE MASTER'!$V$2:$V$495,(SUMPRODUCT((('CASE MASTER'!$T$2:$T$495=8)*('CASE MASTER'!$U$2:$U$495&lt;=8)*('CASE MASTER'!$W$2:$W$495&gt;=8)*('CASE MASTER'!$V$2:$V$495&lt;=8)*('CASE MASTER'!$X$2:$X$495&gt;=8))*ROW('CASE MASTER'!$T$2:$T$495))-(ROW('CASE MASTER'!#REF!)-1))))+1))-1)*50+1,50))&amp;"_"&amp;INDEX('CASE MASTER'!$Q$2:$Q$495,(SUMPRODUCT((('CASE MASTER'!$T$2:$T$495=8)*('CASE MASTER'!$U$2:$U$495&lt;=8)*('CASE MASTER'!$W$2:$W$495&gt;=8)*('CASE MASTER'!$V$2:$V$495&lt;=8)*('CASE MASTER'!$X$2:$X$495&gt;=8))*ROW('CASE MASTER'!$T$2:$T$495))-(ROW('CASE MASTER'!#REF!)-1))),IF(SUMPRODUCT((('CASE MASTER'!$T$2:$T$495=8)*('CASE MASTER'!$AA$2:$AA$495&lt;=8)*('CASE MASTER'!$AC$2:$AC$495&gt;=8)*('CASE MASTER'!$AB$2:$AB$495&lt;=8)*('CASE MASTER'!$AD$2:$AD$495&gt;=8))*ROW('CASE MASTER'!$T$2:$T$495))&gt;0,INDEX('CASE MASTER'!$Y$2:$Y$495,(SUMPRODUCT((('CASE MASTER'!$T$2:$T$495=8)*('CASE MASTER'!$AA$2:$AA$495&lt;=8)*('CASE MASTER'!$AC$2:$AC$495&gt;=8)*('CASE MASTER'!$AB$2:$AB$495&lt;=8)*('CASE MASTER'!$AD$2:$AD$495&gt;=8))*ROW('CASE MASTER'!$T$2:$T$495))-(ROW('CASE MASTER'!#REF!)-1)))&amp;TRIM(MID(SUBSTITUTE(SUBSTITUTE(INDEX('CASE MASTER'!$N$2:$N$495,(SUMPRODUCT((('CASE MASTER'!$T$2:$T$495=8)*('CASE MASTER'!$AA$2:$AA$495&lt;=8)*('CASE MASTER'!$AC$2:$AC$495&gt;=8)*('CASE MASTER'!$AB$2:$AB$495&lt;=8)*('CASE MASTER'!$AD$2:$AD$495&gt;=8))*ROW('CASE MASTER'!$T$2:$T$495))-(ROW('CASE MASTER'!#REF!)-1))),":",","),",",REPT(" ",50)),(((INDEX('CASE MASTER'!$Z$2:$Z$495,(SUMPRODUCT((('CASE MASTER'!$T$2:$T$495=8)*('CASE MASTER'!$AA$2:$AA$495&lt;=8)*('CASE MASTER'!$AC$2:$AC$495&gt;=8)*('CASE MASTER'!$AB$2:$AB$495&lt;=8)*('CASE MASTER'!$AD$2:$AD$495&gt;=8))*ROW('CASE MASTER'!$T$2:$T$495))-(ROW('CASE MASTER'!#REF!)-1)))+((8-INDEX('CASE MASTER'!$AA$2:$AA$495,(SUMPRODUCT((('CASE MASTER'!$T$2:$T$495=8)*('CASE MASTER'!$AA$2:$AA$495&lt;=8)*('CASE MASTER'!$AC$2:$AC$495&gt;=8)*('CASE MASTER'!$AB$2:$AB$495&lt;=8)*('CASE MASTER'!$AD$2:$AD$495&gt;=8))*ROW('CASE MASTER'!$T$2:$T$495))-(ROW('CASE MASTER'!#REF!)-1))))*(INDEX('CASE MASTER'!$AD$2:$AD$495,(SUMPRODUCT((('CASE MASTER'!$T$2:$T$495=8)*('CASE MASTER'!$AA$2:$AA$495&lt;=8)*('CASE MASTER'!$AC$2:$AC$495&gt;=8)*('CASE MASTER'!$AB$2:$AB$495&lt;=8)*('CASE MASTER'!$AD$2:$AD$495&gt;=8))*ROW('CASE MASTER'!$T$2:$T$495))-(ROW('CASE MASTER'!#REF!)-1)))-INDEX('CASE MASTER'!$AB$2:$AB$495,(SUMPRODUCT((('CASE MASTER'!$T$2:$T$495=8)*('CASE MASTER'!$AA$2:$AA$495&lt;=8)*('CASE MASTER'!$AC$2:$AC$495&gt;=8)*('CASE MASTER'!$AB$2:$AB$495&lt;=8)*('CASE MASTER'!$AD$2:$AD$495&gt;=8))*ROW('CASE MASTER'!$T$2:$T$495))-(ROW('CASE MASTER'!#REF!)-1)))+1)+(8-INDEX('CASE MASTER'!$AB$2:$AB$495,(SUMPRODUCT((('CASE MASTER'!$T$2:$T$495=8)*('CASE MASTER'!$AA$2:$AA$495&lt;=8)*('CASE MASTER'!$AC$2:$AC$495&gt;=8)*('CASE MASTER'!$AB$2:$AB$495&lt;=8)*('CASE MASTER'!$AD$2:$AD$495&gt;=8))*ROW('CASE MASTER'!$T$2:$T$495))-(ROW('CASE MASTER'!#REF!)-1))))+1)))-1)*50+1,50))&amp;"_"&amp;INDEX('CASE MASTER'!$Q$2:$Q$495,(SUMPRODUCT((('CASE MASTER'!$T$2:$T$495=8)*('CASE MASTER'!$AA$2:$AA$495&lt;=8)*('CASE MASTER'!$AC$2:$AC$495&gt;=8)*('CASE MASTER'!$AB$2:$AB$495&lt;=8)*('CASE MASTER'!$AD$2:$AD$495&gt;=8))*ROW('CASE MASTER'!$T$2:$T$495))-(ROW('CASE MASTER'!#REF!)-1))),"")),"")</f>
        <v/>
      </c>
      <c r="J108" s="10" t="str">
        <f>IFERROR(IF(SUMPRODUCT((('CASE MASTER'!$T$2:$T$495=8)*('CASE MASTER'!$U$2:$U$495&lt;=8)*('CASE MASTER'!$W$2:$W$495&gt;=8)*('CASE MASTER'!$V$2:$V$495&lt;=9)*('CASE MASTER'!$X$2:$X$495&gt;=9))*ROW('CASE MASTER'!$T$2:$T$495))&gt;0,INDEX('CASE MASTER'!$Y$2:$Y$495,(SUMPRODUCT((('CASE MASTER'!$T$2:$T$495=8)*('CASE MASTER'!$U$2:$U$495&lt;=8)*('CASE MASTER'!$W$2:$W$495&gt;=8)*('CASE MASTER'!$V$2:$V$495&lt;=9)*('CASE MASTER'!$X$2:$X$495&gt;=9))*ROW('CASE MASTER'!$T$2:$T$495))-(ROW('CASE MASTER'!#REF!)-1)))&amp;TRIM(MID(SUBSTITUTE(SUBSTITUTE(INDEX('CASE MASTER'!$N$2:$N$495,(SUMPRODUCT((('CASE MASTER'!$T$2:$T$495=8)*('CASE MASTER'!$U$2:$U$495&lt;=8)*('CASE MASTER'!$W$2:$W$495&gt;=8)*('CASE MASTER'!$V$2:$V$495&lt;=9)*('CASE MASTER'!$X$2:$X$495&gt;=9))*ROW('CASE MASTER'!$T$2:$T$495))-(ROW('CASE MASTER'!#REF!)-1))),":",","),",",REPT(" ",50)),((((8-INDEX('CASE MASTER'!$U$2:$U$495,(SUMPRODUCT((('CASE MASTER'!$T$2:$T$495=8)*('CASE MASTER'!$U$2:$U$495&lt;=8)*('CASE MASTER'!$W$2:$W$495&gt;=8)*('CASE MASTER'!$V$2:$V$495&lt;=9)*('CASE MASTER'!$X$2:$X$495&gt;=9))*ROW('CASE MASTER'!$T$2:$T$495))-(ROW('CASE MASTER'!#REF!)-1))))*(INDEX('CASE MASTER'!$X$2:$X$495,(SUMPRODUCT((('CASE MASTER'!$T$2:$T$495=8)*('CASE MASTER'!$U$2:$U$495&lt;=8)*('CASE MASTER'!$W$2:$W$495&gt;=8)*('CASE MASTER'!$V$2:$V$495&lt;=9)*('CASE MASTER'!$X$2:$X$495&gt;=9))*ROW('CASE MASTER'!$T$2:$T$495))-(ROW('CASE MASTER'!#REF!)-1)))-INDEX('CASE MASTER'!$V$2:$V$495,(SUMPRODUCT((('CASE MASTER'!$T$2:$T$495=8)*('CASE MASTER'!$U$2:$U$495&lt;=8)*('CASE MASTER'!$W$2:$W$495&gt;=8)*('CASE MASTER'!$V$2:$V$495&lt;=9)*('CASE MASTER'!$X$2:$X$495&gt;=9))*ROW('CASE MASTER'!$T$2:$T$495))-(ROW('CASE MASTER'!#REF!)-1)))+1)+(9-INDEX('CASE MASTER'!$V$2:$V$495,(SUMPRODUCT((('CASE MASTER'!$T$2:$T$495=8)*('CASE MASTER'!$U$2:$U$495&lt;=8)*('CASE MASTER'!$W$2:$W$495&gt;=8)*('CASE MASTER'!$V$2:$V$495&lt;=9)*('CASE MASTER'!$X$2:$X$495&gt;=9))*ROW('CASE MASTER'!$T$2:$T$495))-(ROW('CASE MASTER'!#REF!)-1))))+1))-1)*50+1,50))&amp;"_"&amp;INDEX('CASE MASTER'!$Q$2:$Q$495,(SUMPRODUCT((('CASE MASTER'!$T$2:$T$495=8)*('CASE MASTER'!$U$2:$U$495&lt;=8)*('CASE MASTER'!$W$2:$W$495&gt;=8)*('CASE MASTER'!$V$2:$V$495&lt;=9)*('CASE MASTER'!$X$2:$X$495&gt;=9))*ROW('CASE MASTER'!$T$2:$T$495))-(ROW('CASE MASTER'!#REF!)-1))),IF(SUMPRODUCT((('CASE MASTER'!$T$2:$T$495=8)*('CASE MASTER'!$AA$2:$AA$495&lt;=8)*('CASE MASTER'!$AC$2:$AC$495&gt;=8)*('CASE MASTER'!$AB$2:$AB$495&lt;=9)*('CASE MASTER'!$AD$2:$AD$495&gt;=9))*ROW('CASE MASTER'!$T$2:$T$495))&gt;0,INDEX('CASE MASTER'!$Y$2:$Y$495,(SUMPRODUCT((('CASE MASTER'!$T$2:$T$495=8)*('CASE MASTER'!$AA$2:$AA$495&lt;=8)*('CASE MASTER'!$AC$2:$AC$495&gt;=8)*('CASE MASTER'!$AB$2:$AB$495&lt;=9)*('CASE MASTER'!$AD$2:$AD$495&gt;=9))*ROW('CASE MASTER'!$T$2:$T$495))-(ROW('CASE MASTER'!#REF!)-1)))&amp;TRIM(MID(SUBSTITUTE(SUBSTITUTE(INDEX('CASE MASTER'!$N$2:$N$495,(SUMPRODUCT((('CASE MASTER'!$T$2:$T$495=8)*('CASE MASTER'!$AA$2:$AA$495&lt;=8)*('CASE MASTER'!$AC$2:$AC$495&gt;=8)*('CASE MASTER'!$AB$2:$AB$495&lt;=9)*('CASE MASTER'!$AD$2:$AD$495&gt;=9))*ROW('CASE MASTER'!$T$2:$T$495))-(ROW('CASE MASTER'!#REF!)-1))),":",","),",",REPT(" ",50)),(((INDEX('CASE MASTER'!$Z$2:$Z$495,(SUMPRODUCT((('CASE MASTER'!$T$2:$T$495=8)*('CASE MASTER'!$AA$2:$AA$495&lt;=8)*('CASE MASTER'!$AC$2:$AC$495&gt;=8)*('CASE MASTER'!$AB$2:$AB$495&lt;=9)*('CASE MASTER'!$AD$2:$AD$495&gt;=9))*ROW('CASE MASTER'!$T$2:$T$495))-(ROW('CASE MASTER'!#REF!)-1)))+((8-INDEX('CASE MASTER'!$AA$2:$AA$495,(SUMPRODUCT((('CASE MASTER'!$T$2:$T$495=8)*('CASE MASTER'!$AA$2:$AA$495&lt;=8)*('CASE MASTER'!$AC$2:$AC$495&gt;=8)*('CASE MASTER'!$AB$2:$AB$495&lt;=9)*('CASE MASTER'!$AD$2:$AD$495&gt;=9))*ROW('CASE MASTER'!$T$2:$T$495))-(ROW('CASE MASTER'!#REF!)-1))))*(INDEX('CASE MASTER'!$AD$2:$AD$495,(SUMPRODUCT((('CASE MASTER'!$T$2:$T$495=8)*('CASE MASTER'!$AA$2:$AA$495&lt;=8)*('CASE MASTER'!$AC$2:$AC$495&gt;=8)*('CASE MASTER'!$AB$2:$AB$495&lt;=9)*('CASE MASTER'!$AD$2:$AD$495&gt;=9))*ROW('CASE MASTER'!$T$2:$T$495))-(ROW('CASE MASTER'!#REF!)-1)))-INDEX('CASE MASTER'!$AB$2:$AB$495,(SUMPRODUCT((('CASE MASTER'!$T$2:$T$495=8)*('CASE MASTER'!$AA$2:$AA$495&lt;=8)*('CASE MASTER'!$AC$2:$AC$495&gt;=8)*('CASE MASTER'!$AB$2:$AB$495&lt;=9)*('CASE MASTER'!$AD$2:$AD$495&gt;=9))*ROW('CASE MASTER'!$T$2:$T$495))-(ROW('CASE MASTER'!#REF!)-1)))+1)+(9-INDEX('CASE MASTER'!$AB$2:$AB$495,(SUMPRODUCT((('CASE MASTER'!$T$2:$T$495=8)*('CASE MASTER'!$AA$2:$AA$495&lt;=8)*('CASE MASTER'!$AC$2:$AC$495&gt;=8)*('CASE MASTER'!$AB$2:$AB$495&lt;=9)*('CASE MASTER'!$AD$2:$AD$495&gt;=9))*ROW('CASE MASTER'!$T$2:$T$495))-(ROW('CASE MASTER'!#REF!)-1))))+1)))-1)*50+1,50))&amp;"_"&amp;INDEX('CASE MASTER'!$Q$2:$Q$495,(SUMPRODUCT((('CASE MASTER'!$T$2:$T$495=8)*('CASE MASTER'!$AA$2:$AA$495&lt;=8)*('CASE MASTER'!$AC$2:$AC$495&gt;=8)*('CASE MASTER'!$AB$2:$AB$495&lt;=9)*('CASE MASTER'!$AD$2:$AD$495&gt;=9))*ROW('CASE MASTER'!$T$2:$T$495))-(ROW('CASE MASTER'!#REF!)-1))),"")),"")</f>
        <v/>
      </c>
      <c r="K108" s="10" t="str">
        <f>IFERROR(IF(SUMPRODUCT((('CASE MASTER'!$T$2:$T$495=8)*('CASE MASTER'!$U$2:$U$495&lt;=8)*('CASE MASTER'!$W$2:$W$495&gt;=8)*('CASE MASTER'!$V$2:$V$495&lt;=10)*('CASE MASTER'!$X$2:$X$495&gt;=10))*ROW('CASE MASTER'!$T$2:$T$495))&gt;0,INDEX('CASE MASTER'!$Y$2:$Y$495,(SUMPRODUCT((('CASE MASTER'!$T$2:$T$495=8)*('CASE MASTER'!$U$2:$U$495&lt;=8)*('CASE MASTER'!$W$2:$W$495&gt;=8)*('CASE MASTER'!$V$2:$V$495&lt;=10)*('CASE MASTER'!$X$2:$X$495&gt;=10))*ROW('CASE MASTER'!$T$2:$T$495))-(ROW('CASE MASTER'!#REF!)-1)))&amp;TRIM(MID(SUBSTITUTE(SUBSTITUTE(INDEX('CASE MASTER'!$N$2:$N$495,(SUMPRODUCT((('CASE MASTER'!$T$2:$T$495=8)*('CASE MASTER'!$U$2:$U$495&lt;=8)*('CASE MASTER'!$W$2:$W$495&gt;=8)*('CASE MASTER'!$V$2:$V$495&lt;=10)*('CASE MASTER'!$X$2:$X$495&gt;=10))*ROW('CASE MASTER'!$T$2:$T$495))-(ROW('CASE MASTER'!#REF!)-1))),":",","),",",REPT(" ",50)),((((8-INDEX('CASE MASTER'!$U$2:$U$495,(SUMPRODUCT((('CASE MASTER'!$T$2:$T$495=8)*('CASE MASTER'!$U$2:$U$495&lt;=8)*('CASE MASTER'!$W$2:$W$495&gt;=8)*('CASE MASTER'!$V$2:$V$495&lt;=10)*('CASE MASTER'!$X$2:$X$495&gt;=10))*ROW('CASE MASTER'!$T$2:$T$495))-(ROW('CASE MASTER'!#REF!)-1))))*(INDEX('CASE MASTER'!$X$2:$X$495,(SUMPRODUCT((('CASE MASTER'!$T$2:$T$495=8)*('CASE MASTER'!$U$2:$U$495&lt;=8)*('CASE MASTER'!$W$2:$W$495&gt;=8)*('CASE MASTER'!$V$2:$V$495&lt;=10)*('CASE MASTER'!$X$2:$X$495&gt;=10))*ROW('CASE MASTER'!$T$2:$T$495))-(ROW('CASE MASTER'!#REF!)-1)))-INDEX('CASE MASTER'!$V$2:$V$495,(SUMPRODUCT((('CASE MASTER'!$T$2:$T$495=8)*('CASE MASTER'!$U$2:$U$495&lt;=8)*('CASE MASTER'!$W$2:$W$495&gt;=8)*('CASE MASTER'!$V$2:$V$495&lt;=10)*('CASE MASTER'!$X$2:$X$495&gt;=10))*ROW('CASE MASTER'!$T$2:$T$495))-(ROW('CASE MASTER'!#REF!)-1)))+1)+(10-INDEX('CASE MASTER'!$V$2:$V$495,(SUMPRODUCT((('CASE MASTER'!$T$2:$T$495=8)*('CASE MASTER'!$U$2:$U$495&lt;=8)*('CASE MASTER'!$W$2:$W$495&gt;=8)*('CASE MASTER'!$V$2:$V$495&lt;=10)*('CASE MASTER'!$X$2:$X$495&gt;=10))*ROW('CASE MASTER'!$T$2:$T$495))-(ROW('CASE MASTER'!#REF!)-1))))+1))-1)*50+1,50))&amp;"_"&amp;INDEX('CASE MASTER'!$Q$2:$Q$495,(SUMPRODUCT((('CASE MASTER'!$T$2:$T$495=8)*('CASE MASTER'!$U$2:$U$495&lt;=8)*('CASE MASTER'!$W$2:$W$495&gt;=8)*('CASE MASTER'!$V$2:$V$495&lt;=10)*('CASE MASTER'!$X$2:$X$495&gt;=10))*ROW('CASE MASTER'!$T$2:$T$495))-(ROW('CASE MASTER'!#REF!)-1))),IF(SUMPRODUCT((('CASE MASTER'!$T$2:$T$495=8)*('CASE MASTER'!$AA$2:$AA$495&lt;=8)*('CASE MASTER'!$AC$2:$AC$495&gt;=8)*('CASE MASTER'!$AB$2:$AB$495&lt;=10)*('CASE MASTER'!$AD$2:$AD$495&gt;=10))*ROW('CASE MASTER'!$T$2:$T$495))&gt;0,INDEX('CASE MASTER'!$Y$2:$Y$495,(SUMPRODUCT((('CASE MASTER'!$T$2:$T$495=8)*('CASE MASTER'!$AA$2:$AA$495&lt;=8)*('CASE MASTER'!$AC$2:$AC$495&gt;=8)*('CASE MASTER'!$AB$2:$AB$495&lt;=10)*('CASE MASTER'!$AD$2:$AD$495&gt;=10))*ROW('CASE MASTER'!$T$2:$T$495))-(ROW('CASE MASTER'!#REF!)-1)))&amp;TRIM(MID(SUBSTITUTE(SUBSTITUTE(INDEX('CASE MASTER'!$N$2:$N$495,(SUMPRODUCT((('CASE MASTER'!$T$2:$T$495=8)*('CASE MASTER'!$AA$2:$AA$495&lt;=8)*('CASE MASTER'!$AC$2:$AC$495&gt;=8)*('CASE MASTER'!$AB$2:$AB$495&lt;=10)*('CASE MASTER'!$AD$2:$AD$495&gt;=10))*ROW('CASE MASTER'!$T$2:$T$495))-(ROW('CASE MASTER'!#REF!)-1))),":",","),",",REPT(" ",50)),(((INDEX('CASE MASTER'!$Z$2:$Z$495,(SUMPRODUCT((('CASE MASTER'!$T$2:$T$495=8)*('CASE MASTER'!$AA$2:$AA$495&lt;=8)*('CASE MASTER'!$AC$2:$AC$495&gt;=8)*('CASE MASTER'!$AB$2:$AB$495&lt;=10)*('CASE MASTER'!$AD$2:$AD$495&gt;=10))*ROW('CASE MASTER'!$T$2:$T$495))-(ROW('CASE MASTER'!#REF!)-1)))+((8-INDEX('CASE MASTER'!$AA$2:$AA$495,(SUMPRODUCT((('CASE MASTER'!$T$2:$T$495=8)*('CASE MASTER'!$AA$2:$AA$495&lt;=8)*('CASE MASTER'!$AC$2:$AC$495&gt;=8)*('CASE MASTER'!$AB$2:$AB$495&lt;=10)*('CASE MASTER'!$AD$2:$AD$495&gt;=10))*ROW('CASE MASTER'!$T$2:$T$495))-(ROW('CASE MASTER'!#REF!)-1))))*(INDEX('CASE MASTER'!$AD$2:$AD$495,(SUMPRODUCT((('CASE MASTER'!$T$2:$T$495=8)*('CASE MASTER'!$AA$2:$AA$495&lt;=8)*('CASE MASTER'!$AC$2:$AC$495&gt;=8)*('CASE MASTER'!$AB$2:$AB$495&lt;=10)*('CASE MASTER'!$AD$2:$AD$495&gt;=10))*ROW('CASE MASTER'!$T$2:$T$495))-(ROW('CASE MASTER'!#REF!)-1)))-INDEX('CASE MASTER'!$AB$2:$AB$495,(SUMPRODUCT((('CASE MASTER'!$T$2:$T$495=8)*('CASE MASTER'!$AA$2:$AA$495&lt;=8)*('CASE MASTER'!$AC$2:$AC$495&gt;=8)*('CASE MASTER'!$AB$2:$AB$495&lt;=10)*('CASE MASTER'!$AD$2:$AD$495&gt;=10))*ROW('CASE MASTER'!$T$2:$T$495))-(ROW('CASE MASTER'!#REF!)-1)))+1)+(10-INDEX('CASE MASTER'!$AB$2:$AB$495,(SUMPRODUCT((('CASE MASTER'!$T$2:$T$495=8)*('CASE MASTER'!$AA$2:$AA$495&lt;=8)*('CASE MASTER'!$AC$2:$AC$495&gt;=8)*('CASE MASTER'!$AB$2:$AB$495&lt;=10)*('CASE MASTER'!$AD$2:$AD$495&gt;=10))*ROW('CASE MASTER'!$T$2:$T$495))-(ROW('CASE MASTER'!#REF!)-1))))+1)))-1)*50+1,50))&amp;"_"&amp;INDEX('CASE MASTER'!$Q$2:$Q$495,(SUMPRODUCT((('CASE MASTER'!$T$2:$T$495=8)*('CASE MASTER'!$AA$2:$AA$495&lt;=8)*('CASE MASTER'!$AC$2:$AC$495&gt;=8)*('CASE MASTER'!$AB$2:$AB$495&lt;=10)*('CASE MASTER'!$AD$2:$AD$495&gt;=10))*ROW('CASE MASTER'!$T$2:$T$495))-(ROW('CASE MASTER'!#REF!)-1))),"")),"")</f>
        <v/>
      </c>
    </row>
    <row r="109" spans="1:11" ht="15" customHeight="1" x14ac:dyDescent="0.35">
      <c r="A109" s="8" t="s">
        <v>81</v>
      </c>
      <c r="B109" s="10" t="str">
        <f>IFERROR(IF(SUMPRODUCT((('CASE MASTER'!$T$2:$T$495=8)*('CASE MASTER'!$U$2:$U$495&lt;=9)*('CASE MASTER'!$W$2:$W$495&gt;=9)*('CASE MASTER'!$V$2:$V$495&lt;=1)*('CASE MASTER'!$X$2:$X$495&gt;=1))*ROW('CASE MASTER'!$T$2:$T$495))&gt;0,INDEX('CASE MASTER'!$Y$2:$Y$495,(SUMPRODUCT((('CASE MASTER'!$T$2:$T$495=8)*('CASE MASTER'!$U$2:$U$495&lt;=9)*('CASE MASTER'!$W$2:$W$495&gt;=9)*('CASE MASTER'!$V$2:$V$495&lt;=1)*('CASE MASTER'!$X$2:$X$495&gt;=1))*ROW('CASE MASTER'!$T$2:$T$495))-(ROW('CASE MASTER'!#REF!)-1)))&amp;TRIM(MID(SUBSTITUTE(SUBSTITUTE(INDEX('CASE MASTER'!$N$2:$N$495,(SUMPRODUCT((('CASE MASTER'!$T$2:$T$495=8)*('CASE MASTER'!$U$2:$U$495&lt;=9)*('CASE MASTER'!$W$2:$W$495&gt;=9)*('CASE MASTER'!$V$2:$V$495&lt;=1)*('CASE MASTER'!$X$2:$X$495&gt;=1))*ROW('CASE MASTER'!$T$2:$T$495))-(ROW('CASE MASTER'!#REF!)-1))),":",","),",",REPT(" ",50)),((((9-INDEX('CASE MASTER'!$U$2:$U$495,(SUMPRODUCT((('CASE MASTER'!$T$2:$T$495=8)*('CASE MASTER'!$U$2:$U$495&lt;=9)*('CASE MASTER'!$W$2:$W$495&gt;=9)*('CASE MASTER'!$V$2:$V$495&lt;=1)*('CASE MASTER'!$X$2:$X$495&gt;=1))*ROW('CASE MASTER'!$T$2:$T$495))-(ROW('CASE MASTER'!#REF!)-1))))*(INDEX('CASE MASTER'!$X$2:$X$495,(SUMPRODUCT((('CASE MASTER'!$T$2:$T$495=8)*('CASE MASTER'!$U$2:$U$495&lt;=9)*('CASE MASTER'!$W$2:$W$495&gt;=9)*('CASE MASTER'!$V$2:$V$495&lt;=1)*('CASE MASTER'!$X$2:$X$495&gt;=1))*ROW('CASE MASTER'!$T$2:$T$495))-(ROW('CASE MASTER'!#REF!)-1)))-INDEX('CASE MASTER'!$V$2:$V$495,(SUMPRODUCT((('CASE MASTER'!$T$2:$T$495=8)*('CASE MASTER'!$U$2:$U$495&lt;=9)*('CASE MASTER'!$W$2:$W$495&gt;=9)*('CASE MASTER'!$V$2:$V$495&lt;=1)*('CASE MASTER'!$X$2:$X$495&gt;=1))*ROW('CASE MASTER'!$T$2:$T$495))-(ROW('CASE MASTER'!#REF!)-1)))+1)+(1-INDEX('CASE MASTER'!$V$2:$V$495,(SUMPRODUCT((('CASE MASTER'!$T$2:$T$495=8)*('CASE MASTER'!$U$2:$U$495&lt;=9)*('CASE MASTER'!$W$2:$W$495&gt;=9)*('CASE MASTER'!$V$2:$V$495&lt;=1)*('CASE MASTER'!$X$2:$X$495&gt;=1))*ROW('CASE MASTER'!$T$2:$T$495))-(ROW('CASE MASTER'!#REF!)-1))))+1))-1)*50+1,50))&amp;"_"&amp;INDEX('CASE MASTER'!$Q$2:$Q$495,(SUMPRODUCT((('CASE MASTER'!$T$2:$T$495=8)*('CASE MASTER'!$U$2:$U$495&lt;=9)*('CASE MASTER'!$W$2:$W$495&gt;=9)*('CASE MASTER'!$V$2:$V$495&lt;=1)*('CASE MASTER'!$X$2:$X$495&gt;=1))*ROW('CASE MASTER'!$T$2:$T$495))-(ROW('CASE MASTER'!#REF!)-1))),IF(SUMPRODUCT((('CASE MASTER'!$T$2:$T$495=8)*('CASE MASTER'!$AA$2:$AA$495&lt;=9)*('CASE MASTER'!$AC$2:$AC$495&gt;=9)*('CASE MASTER'!$AB$2:$AB$495&lt;=1)*('CASE MASTER'!$AD$2:$AD$495&gt;=1))*ROW('CASE MASTER'!$T$2:$T$495))&gt;0,INDEX('CASE MASTER'!$Y$2:$Y$495,(SUMPRODUCT((('CASE MASTER'!$T$2:$T$495=8)*('CASE MASTER'!$AA$2:$AA$495&lt;=9)*('CASE MASTER'!$AC$2:$AC$495&gt;=9)*('CASE MASTER'!$AB$2:$AB$495&lt;=1)*('CASE MASTER'!$AD$2:$AD$495&gt;=1))*ROW('CASE MASTER'!$T$2:$T$495))-(ROW('CASE MASTER'!#REF!)-1)))&amp;TRIM(MID(SUBSTITUTE(SUBSTITUTE(INDEX('CASE MASTER'!$N$2:$N$495,(SUMPRODUCT((('CASE MASTER'!$T$2:$T$495=8)*('CASE MASTER'!$AA$2:$AA$495&lt;=9)*('CASE MASTER'!$AC$2:$AC$495&gt;=9)*('CASE MASTER'!$AB$2:$AB$495&lt;=1)*('CASE MASTER'!$AD$2:$AD$495&gt;=1))*ROW('CASE MASTER'!$T$2:$T$495))-(ROW('CASE MASTER'!#REF!)-1))),":",","),",",REPT(" ",50)),(((INDEX('CASE MASTER'!$Z$2:$Z$495,(SUMPRODUCT((('CASE MASTER'!$T$2:$T$495=8)*('CASE MASTER'!$AA$2:$AA$495&lt;=9)*('CASE MASTER'!$AC$2:$AC$495&gt;=9)*('CASE MASTER'!$AB$2:$AB$495&lt;=1)*('CASE MASTER'!$AD$2:$AD$495&gt;=1))*ROW('CASE MASTER'!$T$2:$T$495))-(ROW('CASE MASTER'!#REF!)-1)))+((9-INDEX('CASE MASTER'!$AA$2:$AA$495,(SUMPRODUCT((('CASE MASTER'!$T$2:$T$495=8)*('CASE MASTER'!$AA$2:$AA$495&lt;=9)*('CASE MASTER'!$AC$2:$AC$495&gt;=9)*('CASE MASTER'!$AB$2:$AB$495&lt;=1)*('CASE MASTER'!$AD$2:$AD$495&gt;=1))*ROW('CASE MASTER'!$T$2:$T$495))-(ROW('CASE MASTER'!#REF!)-1))))*(INDEX('CASE MASTER'!$AD$2:$AD$495,(SUMPRODUCT((('CASE MASTER'!$T$2:$T$495=8)*('CASE MASTER'!$AA$2:$AA$495&lt;=9)*('CASE MASTER'!$AC$2:$AC$495&gt;=9)*('CASE MASTER'!$AB$2:$AB$495&lt;=1)*('CASE MASTER'!$AD$2:$AD$495&gt;=1))*ROW('CASE MASTER'!$T$2:$T$495))-(ROW('CASE MASTER'!#REF!)-1)))-INDEX('CASE MASTER'!$AB$2:$AB$495,(SUMPRODUCT((('CASE MASTER'!$T$2:$T$495=8)*('CASE MASTER'!$AA$2:$AA$495&lt;=9)*('CASE MASTER'!$AC$2:$AC$495&gt;=9)*('CASE MASTER'!$AB$2:$AB$495&lt;=1)*('CASE MASTER'!$AD$2:$AD$495&gt;=1))*ROW('CASE MASTER'!$T$2:$T$495))-(ROW('CASE MASTER'!#REF!)-1)))+1)+(1-INDEX('CASE MASTER'!$AB$2:$AB$495,(SUMPRODUCT((('CASE MASTER'!$T$2:$T$495=8)*('CASE MASTER'!$AA$2:$AA$495&lt;=9)*('CASE MASTER'!$AC$2:$AC$495&gt;=9)*('CASE MASTER'!$AB$2:$AB$495&lt;=1)*('CASE MASTER'!$AD$2:$AD$495&gt;=1))*ROW('CASE MASTER'!$T$2:$T$495))-(ROW('CASE MASTER'!#REF!)-1))))+1)))-1)*50+1,50))&amp;"_"&amp;INDEX('CASE MASTER'!$Q$2:$Q$495,(SUMPRODUCT((('CASE MASTER'!$T$2:$T$495=8)*('CASE MASTER'!$AA$2:$AA$495&lt;=9)*('CASE MASTER'!$AC$2:$AC$495&gt;=9)*('CASE MASTER'!$AB$2:$AB$495&lt;=1)*('CASE MASTER'!$AD$2:$AD$495&gt;=1))*ROW('CASE MASTER'!$T$2:$T$495))-(ROW('CASE MASTER'!#REF!)-1))),"")),"")</f>
        <v/>
      </c>
      <c r="C109" s="10" t="str">
        <f>IFERROR(IF(SUMPRODUCT((('CASE MASTER'!$T$2:$T$495=8)*('CASE MASTER'!$U$2:$U$495&lt;=9)*('CASE MASTER'!$W$2:$W$495&gt;=9)*('CASE MASTER'!$V$2:$V$495&lt;=2)*('CASE MASTER'!$X$2:$X$495&gt;=2))*ROW('CASE MASTER'!$T$2:$T$495))&gt;0,INDEX('CASE MASTER'!$Y$2:$Y$495,(SUMPRODUCT((('CASE MASTER'!$T$2:$T$495=8)*('CASE MASTER'!$U$2:$U$495&lt;=9)*('CASE MASTER'!$W$2:$W$495&gt;=9)*('CASE MASTER'!$V$2:$V$495&lt;=2)*('CASE MASTER'!$X$2:$X$495&gt;=2))*ROW('CASE MASTER'!$T$2:$T$495))-(ROW('CASE MASTER'!#REF!)-1)))&amp;TRIM(MID(SUBSTITUTE(SUBSTITUTE(INDEX('CASE MASTER'!$N$2:$N$495,(SUMPRODUCT((('CASE MASTER'!$T$2:$T$495=8)*('CASE MASTER'!$U$2:$U$495&lt;=9)*('CASE MASTER'!$W$2:$W$495&gt;=9)*('CASE MASTER'!$V$2:$V$495&lt;=2)*('CASE MASTER'!$X$2:$X$495&gt;=2))*ROW('CASE MASTER'!$T$2:$T$495))-(ROW('CASE MASTER'!#REF!)-1))),":",","),",",REPT(" ",50)),((((9-INDEX('CASE MASTER'!$U$2:$U$495,(SUMPRODUCT((('CASE MASTER'!$T$2:$T$495=8)*('CASE MASTER'!$U$2:$U$495&lt;=9)*('CASE MASTER'!$W$2:$W$495&gt;=9)*('CASE MASTER'!$V$2:$V$495&lt;=2)*('CASE MASTER'!$X$2:$X$495&gt;=2))*ROW('CASE MASTER'!$T$2:$T$495))-(ROW('CASE MASTER'!#REF!)-1))))*(INDEX('CASE MASTER'!$X$2:$X$495,(SUMPRODUCT((('CASE MASTER'!$T$2:$T$495=8)*('CASE MASTER'!$U$2:$U$495&lt;=9)*('CASE MASTER'!$W$2:$W$495&gt;=9)*('CASE MASTER'!$V$2:$V$495&lt;=2)*('CASE MASTER'!$X$2:$X$495&gt;=2))*ROW('CASE MASTER'!$T$2:$T$495))-(ROW('CASE MASTER'!#REF!)-1)))-INDEX('CASE MASTER'!$V$2:$V$495,(SUMPRODUCT((('CASE MASTER'!$T$2:$T$495=8)*('CASE MASTER'!$U$2:$U$495&lt;=9)*('CASE MASTER'!$W$2:$W$495&gt;=9)*('CASE MASTER'!$V$2:$V$495&lt;=2)*('CASE MASTER'!$X$2:$X$495&gt;=2))*ROW('CASE MASTER'!$T$2:$T$495))-(ROW('CASE MASTER'!#REF!)-1)))+1)+(2-INDEX('CASE MASTER'!$V$2:$V$495,(SUMPRODUCT((('CASE MASTER'!$T$2:$T$495=8)*('CASE MASTER'!$U$2:$U$495&lt;=9)*('CASE MASTER'!$W$2:$W$495&gt;=9)*('CASE MASTER'!$V$2:$V$495&lt;=2)*('CASE MASTER'!$X$2:$X$495&gt;=2))*ROW('CASE MASTER'!$T$2:$T$495))-(ROW('CASE MASTER'!#REF!)-1))))+1))-1)*50+1,50))&amp;"_"&amp;INDEX('CASE MASTER'!$Q$2:$Q$495,(SUMPRODUCT((('CASE MASTER'!$T$2:$T$495=8)*('CASE MASTER'!$U$2:$U$495&lt;=9)*('CASE MASTER'!$W$2:$W$495&gt;=9)*('CASE MASTER'!$V$2:$V$495&lt;=2)*('CASE MASTER'!$X$2:$X$495&gt;=2))*ROW('CASE MASTER'!$T$2:$T$495))-(ROW('CASE MASTER'!#REF!)-1))),IF(SUMPRODUCT((('CASE MASTER'!$T$2:$T$495=8)*('CASE MASTER'!$AA$2:$AA$495&lt;=9)*('CASE MASTER'!$AC$2:$AC$495&gt;=9)*('CASE MASTER'!$AB$2:$AB$495&lt;=2)*('CASE MASTER'!$AD$2:$AD$495&gt;=2))*ROW('CASE MASTER'!$T$2:$T$495))&gt;0,INDEX('CASE MASTER'!$Y$2:$Y$495,(SUMPRODUCT((('CASE MASTER'!$T$2:$T$495=8)*('CASE MASTER'!$AA$2:$AA$495&lt;=9)*('CASE MASTER'!$AC$2:$AC$495&gt;=9)*('CASE MASTER'!$AB$2:$AB$495&lt;=2)*('CASE MASTER'!$AD$2:$AD$495&gt;=2))*ROW('CASE MASTER'!$T$2:$T$495))-(ROW('CASE MASTER'!#REF!)-1)))&amp;TRIM(MID(SUBSTITUTE(SUBSTITUTE(INDEX('CASE MASTER'!$N$2:$N$495,(SUMPRODUCT((('CASE MASTER'!$T$2:$T$495=8)*('CASE MASTER'!$AA$2:$AA$495&lt;=9)*('CASE MASTER'!$AC$2:$AC$495&gt;=9)*('CASE MASTER'!$AB$2:$AB$495&lt;=2)*('CASE MASTER'!$AD$2:$AD$495&gt;=2))*ROW('CASE MASTER'!$T$2:$T$495))-(ROW('CASE MASTER'!#REF!)-1))),":",","),",",REPT(" ",50)),(((INDEX('CASE MASTER'!$Z$2:$Z$495,(SUMPRODUCT((('CASE MASTER'!$T$2:$T$495=8)*('CASE MASTER'!$AA$2:$AA$495&lt;=9)*('CASE MASTER'!$AC$2:$AC$495&gt;=9)*('CASE MASTER'!$AB$2:$AB$495&lt;=2)*('CASE MASTER'!$AD$2:$AD$495&gt;=2))*ROW('CASE MASTER'!$T$2:$T$495))-(ROW('CASE MASTER'!#REF!)-1)))+((9-INDEX('CASE MASTER'!$AA$2:$AA$495,(SUMPRODUCT((('CASE MASTER'!$T$2:$T$495=8)*('CASE MASTER'!$AA$2:$AA$495&lt;=9)*('CASE MASTER'!$AC$2:$AC$495&gt;=9)*('CASE MASTER'!$AB$2:$AB$495&lt;=2)*('CASE MASTER'!$AD$2:$AD$495&gt;=2))*ROW('CASE MASTER'!$T$2:$T$495))-(ROW('CASE MASTER'!#REF!)-1))))*(INDEX('CASE MASTER'!$AD$2:$AD$495,(SUMPRODUCT((('CASE MASTER'!$T$2:$T$495=8)*('CASE MASTER'!$AA$2:$AA$495&lt;=9)*('CASE MASTER'!$AC$2:$AC$495&gt;=9)*('CASE MASTER'!$AB$2:$AB$495&lt;=2)*('CASE MASTER'!$AD$2:$AD$495&gt;=2))*ROW('CASE MASTER'!$T$2:$T$495))-(ROW('CASE MASTER'!#REF!)-1)))-INDEX('CASE MASTER'!$AB$2:$AB$495,(SUMPRODUCT((('CASE MASTER'!$T$2:$T$495=8)*('CASE MASTER'!$AA$2:$AA$495&lt;=9)*('CASE MASTER'!$AC$2:$AC$495&gt;=9)*('CASE MASTER'!$AB$2:$AB$495&lt;=2)*('CASE MASTER'!$AD$2:$AD$495&gt;=2))*ROW('CASE MASTER'!$T$2:$T$495))-(ROW('CASE MASTER'!#REF!)-1)))+1)+(2-INDEX('CASE MASTER'!$AB$2:$AB$495,(SUMPRODUCT((('CASE MASTER'!$T$2:$T$495=8)*('CASE MASTER'!$AA$2:$AA$495&lt;=9)*('CASE MASTER'!$AC$2:$AC$495&gt;=9)*('CASE MASTER'!$AB$2:$AB$495&lt;=2)*('CASE MASTER'!$AD$2:$AD$495&gt;=2))*ROW('CASE MASTER'!$T$2:$T$495))-(ROW('CASE MASTER'!#REF!)-1))))+1)))-1)*50+1,50))&amp;"_"&amp;INDEX('CASE MASTER'!$Q$2:$Q$495,(SUMPRODUCT((('CASE MASTER'!$T$2:$T$495=8)*('CASE MASTER'!$AA$2:$AA$495&lt;=9)*('CASE MASTER'!$AC$2:$AC$495&gt;=9)*('CASE MASTER'!$AB$2:$AB$495&lt;=2)*('CASE MASTER'!$AD$2:$AD$495&gt;=2))*ROW('CASE MASTER'!$T$2:$T$495))-(ROW('CASE MASTER'!#REF!)-1))),"")),"")</f>
        <v/>
      </c>
      <c r="D109" s="10" t="str">
        <f>IFERROR(IF(SUMPRODUCT((('CASE MASTER'!$T$2:$T$495=8)*('CASE MASTER'!$U$2:$U$495&lt;=9)*('CASE MASTER'!$W$2:$W$495&gt;=9)*('CASE MASTER'!$V$2:$V$495&lt;=3)*('CASE MASTER'!$X$2:$X$495&gt;=3))*ROW('CASE MASTER'!$T$2:$T$495))&gt;0,INDEX('CASE MASTER'!$Y$2:$Y$495,(SUMPRODUCT((('CASE MASTER'!$T$2:$T$495=8)*('CASE MASTER'!$U$2:$U$495&lt;=9)*('CASE MASTER'!$W$2:$W$495&gt;=9)*('CASE MASTER'!$V$2:$V$495&lt;=3)*('CASE MASTER'!$X$2:$X$495&gt;=3))*ROW('CASE MASTER'!$T$2:$T$495))-(ROW('CASE MASTER'!#REF!)-1)))&amp;TRIM(MID(SUBSTITUTE(SUBSTITUTE(INDEX('CASE MASTER'!$N$2:$N$495,(SUMPRODUCT((('CASE MASTER'!$T$2:$T$495=8)*('CASE MASTER'!$U$2:$U$495&lt;=9)*('CASE MASTER'!$W$2:$W$495&gt;=9)*('CASE MASTER'!$V$2:$V$495&lt;=3)*('CASE MASTER'!$X$2:$X$495&gt;=3))*ROW('CASE MASTER'!$T$2:$T$495))-(ROW('CASE MASTER'!#REF!)-1))),":",","),",",REPT(" ",50)),((((9-INDEX('CASE MASTER'!$U$2:$U$495,(SUMPRODUCT((('CASE MASTER'!$T$2:$T$495=8)*('CASE MASTER'!$U$2:$U$495&lt;=9)*('CASE MASTER'!$W$2:$W$495&gt;=9)*('CASE MASTER'!$V$2:$V$495&lt;=3)*('CASE MASTER'!$X$2:$X$495&gt;=3))*ROW('CASE MASTER'!$T$2:$T$495))-(ROW('CASE MASTER'!#REF!)-1))))*(INDEX('CASE MASTER'!$X$2:$X$495,(SUMPRODUCT((('CASE MASTER'!$T$2:$T$495=8)*('CASE MASTER'!$U$2:$U$495&lt;=9)*('CASE MASTER'!$W$2:$W$495&gt;=9)*('CASE MASTER'!$V$2:$V$495&lt;=3)*('CASE MASTER'!$X$2:$X$495&gt;=3))*ROW('CASE MASTER'!$T$2:$T$495))-(ROW('CASE MASTER'!#REF!)-1)))-INDEX('CASE MASTER'!$V$2:$V$495,(SUMPRODUCT((('CASE MASTER'!$T$2:$T$495=8)*('CASE MASTER'!$U$2:$U$495&lt;=9)*('CASE MASTER'!$W$2:$W$495&gt;=9)*('CASE MASTER'!$V$2:$V$495&lt;=3)*('CASE MASTER'!$X$2:$X$495&gt;=3))*ROW('CASE MASTER'!$T$2:$T$495))-(ROW('CASE MASTER'!#REF!)-1)))+1)+(3-INDEX('CASE MASTER'!$V$2:$V$495,(SUMPRODUCT((('CASE MASTER'!$T$2:$T$495=8)*('CASE MASTER'!$U$2:$U$495&lt;=9)*('CASE MASTER'!$W$2:$W$495&gt;=9)*('CASE MASTER'!$V$2:$V$495&lt;=3)*('CASE MASTER'!$X$2:$X$495&gt;=3))*ROW('CASE MASTER'!$T$2:$T$495))-(ROW('CASE MASTER'!#REF!)-1))))+1))-1)*50+1,50))&amp;"_"&amp;INDEX('CASE MASTER'!$Q$2:$Q$495,(SUMPRODUCT((('CASE MASTER'!$T$2:$T$495=8)*('CASE MASTER'!$U$2:$U$495&lt;=9)*('CASE MASTER'!$W$2:$W$495&gt;=9)*('CASE MASTER'!$V$2:$V$495&lt;=3)*('CASE MASTER'!$X$2:$X$495&gt;=3))*ROW('CASE MASTER'!$T$2:$T$495))-(ROW('CASE MASTER'!#REF!)-1))),IF(SUMPRODUCT((('CASE MASTER'!$T$2:$T$495=8)*('CASE MASTER'!$AA$2:$AA$495&lt;=9)*('CASE MASTER'!$AC$2:$AC$495&gt;=9)*('CASE MASTER'!$AB$2:$AB$495&lt;=3)*('CASE MASTER'!$AD$2:$AD$495&gt;=3))*ROW('CASE MASTER'!$T$2:$T$495))&gt;0,INDEX('CASE MASTER'!$Y$2:$Y$495,(SUMPRODUCT((('CASE MASTER'!$T$2:$T$495=8)*('CASE MASTER'!$AA$2:$AA$495&lt;=9)*('CASE MASTER'!$AC$2:$AC$495&gt;=9)*('CASE MASTER'!$AB$2:$AB$495&lt;=3)*('CASE MASTER'!$AD$2:$AD$495&gt;=3))*ROW('CASE MASTER'!$T$2:$T$495))-(ROW('CASE MASTER'!#REF!)-1)))&amp;TRIM(MID(SUBSTITUTE(SUBSTITUTE(INDEX('CASE MASTER'!$N$2:$N$495,(SUMPRODUCT((('CASE MASTER'!$T$2:$T$495=8)*('CASE MASTER'!$AA$2:$AA$495&lt;=9)*('CASE MASTER'!$AC$2:$AC$495&gt;=9)*('CASE MASTER'!$AB$2:$AB$495&lt;=3)*('CASE MASTER'!$AD$2:$AD$495&gt;=3))*ROW('CASE MASTER'!$T$2:$T$495))-(ROW('CASE MASTER'!#REF!)-1))),":",","),",",REPT(" ",50)),(((INDEX('CASE MASTER'!$Z$2:$Z$495,(SUMPRODUCT((('CASE MASTER'!$T$2:$T$495=8)*('CASE MASTER'!$AA$2:$AA$495&lt;=9)*('CASE MASTER'!$AC$2:$AC$495&gt;=9)*('CASE MASTER'!$AB$2:$AB$495&lt;=3)*('CASE MASTER'!$AD$2:$AD$495&gt;=3))*ROW('CASE MASTER'!$T$2:$T$495))-(ROW('CASE MASTER'!#REF!)-1)))+((9-INDEX('CASE MASTER'!$AA$2:$AA$495,(SUMPRODUCT((('CASE MASTER'!$T$2:$T$495=8)*('CASE MASTER'!$AA$2:$AA$495&lt;=9)*('CASE MASTER'!$AC$2:$AC$495&gt;=9)*('CASE MASTER'!$AB$2:$AB$495&lt;=3)*('CASE MASTER'!$AD$2:$AD$495&gt;=3))*ROW('CASE MASTER'!$T$2:$T$495))-(ROW('CASE MASTER'!#REF!)-1))))*(INDEX('CASE MASTER'!$AD$2:$AD$495,(SUMPRODUCT((('CASE MASTER'!$T$2:$T$495=8)*('CASE MASTER'!$AA$2:$AA$495&lt;=9)*('CASE MASTER'!$AC$2:$AC$495&gt;=9)*('CASE MASTER'!$AB$2:$AB$495&lt;=3)*('CASE MASTER'!$AD$2:$AD$495&gt;=3))*ROW('CASE MASTER'!$T$2:$T$495))-(ROW('CASE MASTER'!#REF!)-1)))-INDEX('CASE MASTER'!$AB$2:$AB$495,(SUMPRODUCT((('CASE MASTER'!$T$2:$T$495=8)*('CASE MASTER'!$AA$2:$AA$495&lt;=9)*('CASE MASTER'!$AC$2:$AC$495&gt;=9)*('CASE MASTER'!$AB$2:$AB$495&lt;=3)*('CASE MASTER'!$AD$2:$AD$495&gt;=3))*ROW('CASE MASTER'!$T$2:$T$495))-(ROW('CASE MASTER'!#REF!)-1)))+1)+(3-INDEX('CASE MASTER'!$AB$2:$AB$495,(SUMPRODUCT((('CASE MASTER'!$T$2:$T$495=8)*('CASE MASTER'!$AA$2:$AA$495&lt;=9)*('CASE MASTER'!$AC$2:$AC$495&gt;=9)*('CASE MASTER'!$AB$2:$AB$495&lt;=3)*('CASE MASTER'!$AD$2:$AD$495&gt;=3))*ROW('CASE MASTER'!$T$2:$T$495))-(ROW('CASE MASTER'!#REF!)-1))))+1)))-1)*50+1,50))&amp;"_"&amp;INDEX('CASE MASTER'!$Q$2:$Q$495,(SUMPRODUCT((('CASE MASTER'!$T$2:$T$495=8)*('CASE MASTER'!$AA$2:$AA$495&lt;=9)*('CASE MASTER'!$AC$2:$AC$495&gt;=9)*('CASE MASTER'!$AB$2:$AB$495&lt;=3)*('CASE MASTER'!$AD$2:$AD$495&gt;=3))*ROW('CASE MASTER'!$T$2:$T$495))-(ROW('CASE MASTER'!#REF!)-1))),"")),"")</f>
        <v/>
      </c>
      <c r="E109" s="10" t="str">
        <f>IFERROR(IF(SUMPRODUCT((('CASE MASTER'!$T$2:$T$495=8)*('CASE MASTER'!$U$2:$U$495&lt;=9)*('CASE MASTER'!$W$2:$W$495&gt;=9)*('CASE MASTER'!$V$2:$V$495&lt;=4)*('CASE MASTER'!$X$2:$X$495&gt;=4))*ROW('CASE MASTER'!$T$2:$T$495))&gt;0,INDEX('CASE MASTER'!$Y$2:$Y$495,(SUMPRODUCT((('CASE MASTER'!$T$2:$T$495=8)*('CASE MASTER'!$U$2:$U$495&lt;=9)*('CASE MASTER'!$W$2:$W$495&gt;=9)*('CASE MASTER'!$V$2:$V$495&lt;=4)*('CASE MASTER'!$X$2:$X$495&gt;=4))*ROW('CASE MASTER'!$T$2:$T$495))-(ROW('CASE MASTER'!#REF!)-1)))&amp;TRIM(MID(SUBSTITUTE(SUBSTITUTE(INDEX('CASE MASTER'!$N$2:$N$495,(SUMPRODUCT((('CASE MASTER'!$T$2:$T$495=8)*('CASE MASTER'!$U$2:$U$495&lt;=9)*('CASE MASTER'!$W$2:$W$495&gt;=9)*('CASE MASTER'!$V$2:$V$495&lt;=4)*('CASE MASTER'!$X$2:$X$495&gt;=4))*ROW('CASE MASTER'!$T$2:$T$495))-(ROW('CASE MASTER'!#REF!)-1))),":",","),",",REPT(" ",50)),((((9-INDEX('CASE MASTER'!$U$2:$U$495,(SUMPRODUCT((('CASE MASTER'!$T$2:$T$495=8)*('CASE MASTER'!$U$2:$U$495&lt;=9)*('CASE MASTER'!$W$2:$W$495&gt;=9)*('CASE MASTER'!$V$2:$V$495&lt;=4)*('CASE MASTER'!$X$2:$X$495&gt;=4))*ROW('CASE MASTER'!$T$2:$T$495))-(ROW('CASE MASTER'!#REF!)-1))))*(INDEX('CASE MASTER'!$X$2:$X$495,(SUMPRODUCT((('CASE MASTER'!$T$2:$T$495=8)*('CASE MASTER'!$U$2:$U$495&lt;=9)*('CASE MASTER'!$W$2:$W$495&gt;=9)*('CASE MASTER'!$V$2:$V$495&lt;=4)*('CASE MASTER'!$X$2:$X$495&gt;=4))*ROW('CASE MASTER'!$T$2:$T$495))-(ROW('CASE MASTER'!#REF!)-1)))-INDEX('CASE MASTER'!$V$2:$V$495,(SUMPRODUCT((('CASE MASTER'!$T$2:$T$495=8)*('CASE MASTER'!$U$2:$U$495&lt;=9)*('CASE MASTER'!$W$2:$W$495&gt;=9)*('CASE MASTER'!$V$2:$V$495&lt;=4)*('CASE MASTER'!$X$2:$X$495&gt;=4))*ROW('CASE MASTER'!$T$2:$T$495))-(ROW('CASE MASTER'!#REF!)-1)))+1)+(4-INDEX('CASE MASTER'!$V$2:$V$495,(SUMPRODUCT((('CASE MASTER'!$T$2:$T$495=8)*('CASE MASTER'!$U$2:$U$495&lt;=9)*('CASE MASTER'!$W$2:$W$495&gt;=9)*('CASE MASTER'!$V$2:$V$495&lt;=4)*('CASE MASTER'!$X$2:$X$495&gt;=4))*ROW('CASE MASTER'!$T$2:$T$495))-(ROW('CASE MASTER'!#REF!)-1))))+1))-1)*50+1,50))&amp;"_"&amp;INDEX('CASE MASTER'!$Q$2:$Q$495,(SUMPRODUCT((('CASE MASTER'!$T$2:$T$495=8)*('CASE MASTER'!$U$2:$U$495&lt;=9)*('CASE MASTER'!$W$2:$W$495&gt;=9)*('CASE MASTER'!$V$2:$V$495&lt;=4)*('CASE MASTER'!$X$2:$X$495&gt;=4))*ROW('CASE MASTER'!$T$2:$T$495))-(ROW('CASE MASTER'!#REF!)-1))),IF(SUMPRODUCT((('CASE MASTER'!$T$2:$T$495=8)*('CASE MASTER'!$AA$2:$AA$495&lt;=9)*('CASE MASTER'!$AC$2:$AC$495&gt;=9)*('CASE MASTER'!$AB$2:$AB$495&lt;=4)*('CASE MASTER'!$AD$2:$AD$495&gt;=4))*ROW('CASE MASTER'!$T$2:$T$495))&gt;0,INDEX('CASE MASTER'!$Y$2:$Y$495,(SUMPRODUCT((('CASE MASTER'!$T$2:$T$495=8)*('CASE MASTER'!$AA$2:$AA$495&lt;=9)*('CASE MASTER'!$AC$2:$AC$495&gt;=9)*('CASE MASTER'!$AB$2:$AB$495&lt;=4)*('CASE MASTER'!$AD$2:$AD$495&gt;=4))*ROW('CASE MASTER'!$T$2:$T$495))-(ROW('CASE MASTER'!#REF!)-1)))&amp;TRIM(MID(SUBSTITUTE(SUBSTITUTE(INDEX('CASE MASTER'!$N$2:$N$495,(SUMPRODUCT((('CASE MASTER'!$T$2:$T$495=8)*('CASE MASTER'!$AA$2:$AA$495&lt;=9)*('CASE MASTER'!$AC$2:$AC$495&gt;=9)*('CASE MASTER'!$AB$2:$AB$495&lt;=4)*('CASE MASTER'!$AD$2:$AD$495&gt;=4))*ROW('CASE MASTER'!$T$2:$T$495))-(ROW('CASE MASTER'!#REF!)-1))),":",","),",",REPT(" ",50)),(((INDEX('CASE MASTER'!$Z$2:$Z$495,(SUMPRODUCT((('CASE MASTER'!$T$2:$T$495=8)*('CASE MASTER'!$AA$2:$AA$495&lt;=9)*('CASE MASTER'!$AC$2:$AC$495&gt;=9)*('CASE MASTER'!$AB$2:$AB$495&lt;=4)*('CASE MASTER'!$AD$2:$AD$495&gt;=4))*ROW('CASE MASTER'!$T$2:$T$495))-(ROW('CASE MASTER'!#REF!)-1)))+((9-INDEX('CASE MASTER'!$AA$2:$AA$495,(SUMPRODUCT((('CASE MASTER'!$T$2:$T$495=8)*('CASE MASTER'!$AA$2:$AA$495&lt;=9)*('CASE MASTER'!$AC$2:$AC$495&gt;=9)*('CASE MASTER'!$AB$2:$AB$495&lt;=4)*('CASE MASTER'!$AD$2:$AD$495&gt;=4))*ROW('CASE MASTER'!$T$2:$T$495))-(ROW('CASE MASTER'!#REF!)-1))))*(INDEX('CASE MASTER'!$AD$2:$AD$495,(SUMPRODUCT((('CASE MASTER'!$T$2:$T$495=8)*('CASE MASTER'!$AA$2:$AA$495&lt;=9)*('CASE MASTER'!$AC$2:$AC$495&gt;=9)*('CASE MASTER'!$AB$2:$AB$495&lt;=4)*('CASE MASTER'!$AD$2:$AD$495&gt;=4))*ROW('CASE MASTER'!$T$2:$T$495))-(ROW('CASE MASTER'!#REF!)-1)))-INDEX('CASE MASTER'!$AB$2:$AB$495,(SUMPRODUCT((('CASE MASTER'!$T$2:$T$495=8)*('CASE MASTER'!$AA$2:$AA$495&lt;=9)*('CASE MASTER'!$AC$2:$AC$495&gt;=9)*('CASE MASTER'!$AB$2:$AB$495&lt;=4)*('CASE MASTER'!$AD$2:$AD$495&gt;=4))*ROW('CASE MASTER'!$T$2:$T$495))-(ROW('CASE MASTER'!#REF!)-1)))+1)+(4-INDEX('CASE MASTER'!$AB$2:$AB$495,(SUMPRODUCT((('CASE MASTER'!$T$2:$T$495=8)*('CASE MASTER'!$AA$2:$AA$495&lt;=9)*('CASE MASTER'!$AC$2:$AC$495&gt;=9)*('CASE MASTER'!$AB$2:$AB$495&lt;=4)*('CASE MASTER'!$AD$2:$AD$495&gt;=4))*ROW('CASE MASTER'!$T$2:$T$495))-(ROW('CASE MASTER'!#REF!)-1))))+1)))-1)*50+1,50))&amp;"_"&amp;INDEX('CASE MASTER'!$Q$2:$Q$495,(SUMPRODUCT((('CASE MASTER'!$T$2:$T$495=8)*('CASE MASTER'!$AA$2:$AA$495&lt;=9)*('CASE MASTER'!$AC$2:$AC$495&gt;=9)*('CASE MASTER'!$AB$2:$AB$495&lt;=4)*('CASE MASTER'!$AD$2:$AD$495&gt;=4))*ROW('CASE MASTER'!$T$2:$T$495))-(ROW('CASE MASTER'!#REF!)-1))),"")),"")</f>
        <v/>
      </c>
      <c r="F109" s="10" t="str">
        <f>IFERROR(IF(SUMPRODUCT((('CASE MASTER'!$T$2:$T$495=8)*('CASE MASTER'!$U$2:$U$495&lt;=9)*('CASE MASTER'!$W$2:$W$495&gt;=9)*('CASE MASTER'!$V$2:$V$495&lt;=5)*('CASE MASTER'!$X$2:$X$495&gt;=5))*ROW('CASE MASTER'!$T$2:$T$495))&gt;0,INDEX('CASE MASTER'!$Y$2:$Y$495,(SUMPRODUCT((('CASE MASTER'!$T$2:$T$495=8)*('CASE MASTER'!$U$2:$U$495&lt;=9)*('CASE MASTER'!$W$2:$W$495&gt;=9)*('CASE MASTER'!$V$2:$V$495&lt;=5)*('CASE MASTER'!$X$2:$X$495&gt;=5))*ROW('CASE MASTER'!$T$2:$T$495))-(ROW('CASE MASTER'!#REF!)-1)))&amp;TRIM(MID(SUBSTITUTE(SUBSTITUTE(INDEX('CASE MASTER'!$N$2:$N$495,(SUMPRODUCT((('CASE MASTER'!$T$2:$T$495=8)*('CASE MASTER'!$U$2:$U$495&lt;=9)*('CASE MASTER'!$W$2:$W$495&gt;=9)*('CASE MASTER'!$V$2:$V$495&lt;=5)*('CASE MASTER'!$X$2:$X$495&gt;=5))*ROW('CASE MASTER'!$T$2:$T$495))-(ROW('CASE MASTER'!#REF!)-1))),":",","),",",REPT(" ",50)),((((9-INDEX('CASE MASTER'!$U$2:$U$495,(SUMPRODUCT((('CASE MASTER'!$T$2:$T$495=8)*('CASE MASTER'!$U$2:$U$495&lt;=9)*('CASE MASTER'!$W$2:$W$495&gt;=9)*('CASE MASTER'!$V$2:$V$495&lt;=5)*('CASE MASTER'!$X$2:$X$495&gt;=5))*ROW('CASE MASTER'!$T$2:$T$495))-(ROW('CASE MASTER'!#REF!)-1))))*(INDEX('CASE MASTER'!$X$2:$X$495,(SUMPRODUCT((('CASE MASTER'!$T$2:$T$495=8)*('CASE MASTER'!$U$2:$U$495&lt;=9)*('CASE MASTER'!$W$2:$W$495&gt;=9)*('CASE MASTER'!$V$2:$V$495&lt;=5)*('CASE MASTER'!$X$2:$X$495&gt;=5))*ROW('CASE MASTER'!$T$2:$T$495))-(ROW('CASE MASTER'!#REF!)-1)))-INDEX('CASE MASTER'!$V$2:$V$495,(SUMPRODUCT((('CASE MASTER'!$T$2:$T$495=8)*('CASE MASTER'!$U$2:$U$495&lt;=9)*('CASE MASTER'!$W$2:$W$495&gt;=9)*('CASE MASTER'!$V$2:$V$495&lt;=5)*('CASE MASTER'!$X$2:$X$495&gt;=5))*ROW('CASE MASTER'!$T$2:$T$495))-(ROW('CASE MASTER'!#REF!)-1)))+1)+(5-INDEX('CASE MASTER'!$V$2:$V$495,(SUMPRODUCT((('CASE MASTER'!$T$2:$T$495=8)*('CASE MASTER'!$U$2:$U$495&lt;=9)*('CASE MASTER'!$W$2:$W$495&gt;=9)*('CASE MASTER'!$V$2:$V$495&lt;=5)*('CASE MASTER'!$X$2:$X$495&gt;=5))*ROW('CASE MASTER'!$T$2:$T$495))-(ROW('CASE MASTER'!#REF!)-1))))+1))-1)*50+1,50))&amp;"_"&amp;INDEX('CASE MASTER'!$Q$2:$Q$495,(SUMPRODUCT((('CASE MASTER'!$T$2:$T$495=8)*('CASE MASTER'!$U$2:$U$495&lt;=9)*('CASE MASTER'!$W$2:$W$495&gt;=9)*('CASE MASTER'!$V$2:$V$495&lt;=5)*('CASE MASTER'!$X$2:$X$495&gt;=5))*ROW('CASE MASTER'!$T$2:$T$495))-(ROW('CASE MASTER'!#REF!)-1))),IF(SUMPRODUCT((('CASE MASTER'!$T$2:$T$495=8)*('CASE MASTER'!$AA$2:$AA$495&lt;=9)*('CASE MASTER'!$AC$2:$AC$495&gt;=9)*('CASE MASTER'!$AB$2:$AB$495&lt;=5)*('CASE MASTER'!$AD$2:$AD$495&gt;=5))*ROW('CASE MASTER'!$T$2:$T$495))&gt;0,INDEX('CASE MASTER'!$Y$2:$Y$495,(SUMPRODUCT((('CASE MASTER'!$T$2:$T$495=8)*('CASE MASTER'!$AA$2:$AA$495&lt;=9)*('CASE MASTER'!$AC$2:$AC$495&gt;=9)*('CASE MASTER'!$AB$2:$AB$495&lt;=5)*('CASE MASTER'!$AD$2:$AD$495&gt;=5))*ROW('CASE MASTER'!$T$2:$T$495))-(ROW('CASE MASTER'!#REF!)-1)))&amp;TRIM(MID(SUBSTITUTE(SUBSTITUTE(INDEX('CASE MASTER'!$N$2:$N$495,(SUMPRODUCT((('CASE MASTER'!$T$2:$T$495=8)*('CASE MASTER'!$AA$2:$AA$495&lt;=9)*('CASE MASTER'!$AC$2:$AC$495&gt;=9)*('CASE MASTER'!$AB$2:$AB$495&lt;=5)*('CASE MASTER'!$AD$2:$AD$495&gt;=5))*ROW('CASE MASTER'!$T$2:$T$495))-(ROW('CASE MASTER'!#REF!)-1))),":",","),",",REPT(" ",50)),(((INDEX('CASE MASTER'!$Z$2:$Z$495,(SUMPRODUCT((('CASE MASTER'!$T$2:$T$495=8)*('CASE MASTER'!$AA$2:$AA$495&lt;=9)*('CASE MASTER'!$AC$2:$AC$495&gt;=9)*('CASE MASTER'!$AB$2:$AB$495&lt;=5)*('CASE MASTER'!$AD$2:$AD$495&gt;=5))*ROW('CASE MASTER'!$T$2:$T$495))-(ROW('CASE MASTER'!#REF!)-1)))+((9-INDEX('CASE MASTER'!$AA$2:$AA$495,(SUMPRODUCT((('CASE MASTER'!$T$2:$T$495=8)*('CASE MASTER'!$AA$2:$AA$495&lt;=9)*('CASE MASTER'!$AC$2:$AC$495&gt;=9)*('CASE MASTER'!$AB$2:$AB$495&lt;=5)*('CASE MASTER'!$AD$2:$AD$495&gt;=5))*ROW('CASE MASTER'!$T$2:$T$495))-(ROW('CASE MASTER'!#REF!)-1))))*(INDEX('CASE MASTER'!$AD$2:$AD$495,(SUMPRODUCT((('CASE MASTER'!$T$2:$T$495=8)*('CASE MASTER'!$AA$2:$AA$495&lt;=9)*('CASE MASTER'!$AC$2:$AC$495&gt;=9)*('CASE MASTER'!$AB$2:$AB$495&lt;=5)*('CASE MASTER'!$AD$2:$AD$495&gt;=5))*ROW('CASE MASTER'!$T$2:$T$495))-(ROW('CASE MASTER'!#REF!)-1)))-INDEX('CASE MASTER'!$AB$2:$AB$495,(SUMPRODUCT((('CASE MASTER'!$T$2:$T$495=8)*('CASE MASTER'!$AA$2:$AA$495&lt;=9)*('CASE MASTER'!$AC$2:$AC$495&gt;=9)*('CASE MASTER'!$AB$2:$AB$495&lt;=5)*('CASE MASTER'!$AD$2:$AD$495&gt;=5))*ROW('CASE MASTER'!$T$2:$T$495))-(ROW('CASE MASTER'!#REF!)-1)))+1)+(5-INDEX('CASE MASTER'!$AB$2:$AB$495,(SUMPRODUCT((('CASE MASTER'!$T$2:$T$495=8)*('CASE MASTER'!$AA$2:$AA$495&lt;=9)*('CASE MASTER'!$AC$2:$AC$495&gt;=9)*('CASE MASTER'!$AB$2:$AB$495&lt;=5)*('CASE MASTER'!$AD$2:$AD$495&gt;=5))*ROW('CASE MASTER'!$T$2:$T$495))-(ROW('CASE MASTER'!#REF!)-1))))+1)))-1)*50+1,50))&amp;"_"&amp;INDEX('CASE MASTER'!$Q$2:$Q$495,(SUMPRODUCT((('CASE MASTER'!$T$2:$T$495=8)*('CASE MASTER'!$AA$2:$AA$495&lt;=9)*('CASE MASTER'!$AC$2:$AC$495&gt;=9)*('CASE MASTER'!$AB$2:$AB$495&lt;=5)*('CASE MASTER'!$AD$2:$AD$495&gt;=5))*ROW('CASE MASTER'!$T$2:$T$495))-(ROW('CASE MASTER'!#REF!)-1))),"")),"")</f>
        <v/>
      </c>
      <c r="G109" s="10" t="str">
        <f>IFERROR(IF(SUMPRODUCT((('CASE MASTER'!$T$2:$T$495=8)*('CASE MASTER'!$U$2:$U$495&lt;=9)*('CASE MASTER'!$W$2:$W$495&gt;=9)*('CASE MASTER'!$V$2:$V$495&lt;=6)*('CASE MASTER'!$X$2:$X$495&gt;=6))*ROW('CASE MASTER'!$T$2:$T$495))&gt;0,INDEX('CASE MASTER'!$Y$2:$Y$495,(SUMPRODUCT((('CASE MASTER'!$T$2:$T$495=8)*('CASE MASTER'!$U$2:$U$495&lt;=9)*('CASE MASTER'!$W$2:$W$495&gt;=9)*('CASE MASTER'!$V$2:$V$495&lt;=6)*('CASE MASTER'!$X$2:$X$495&gt;=6))*ROW('CASE MASTER'!$T$2:$T$495))-(ROW('CASE MASTER'!#REF!)-1)))&amp;TRIM(MID(SUBSTITUTE(SUBSTITUTE(INDEX('CASE MASTER'!$N$2:$N$495,(SUMPRODUCT((('CASE MASTER'!$T$2:$T$495=8)*('CASE MASTER'!$U$2:$U$495&lt;=9)*('CASE MASTER'!$W$2:$W$495&gt;=9)*('CASE MASTER'!$V$2:$V$495&lt;=6)*('CASE MASTER'!$X$2:$X$495&gt;=6))*ROW('CASE MASTER'!$T$2:$T$495))-(ROW('CASE MASTER'!#REF!)-1))),":",","),",",REPT(" ",50)),((((9-INDEX('CASE MASTER'!$U$2:$U$495,(SUMPRODUCT((('CASE MASTER'!$T$2:$T$495=8)*('CASE MASTER'!$U$2:$U$495&lt;=9)*('CASE MASTER'!$W$2:$W$495&gt;=9)*('CASE MASTER'!$V$2:$V$495&lt;=6)*('CASE MASTER'!$X$2:$X$495&gt;=6))*ROW('CASE MASTER'!$T$2:$T$495))-(ROW('CASE MASTER'!#REF!)-1))))*(INDEX('CASE MASTER'!$X$2:$X$495,(SUMPRODUCT((('CASE MASTER'!$T$2:$T$495=8)*('CASE MASTER'!$U$2:$U$495&lt;=9)*('CASE MASTER'!$W$2:$W$495&gt;=9)*('CASE MASTER'!$V$2:$V$495&lt;=6)*('CASE MASTER'!$X$2:$X$495&gt;=6))*ROW('CASE MASTER'!$T$2:$T$495))-(ROW('CASE MASTER'!#REF!)-1)))-INDEX('CASE MASTER'!$V$2:$V$495,(SUMPRODUCT((('CASE MASTER'!$T$2:$T$495=8)*('CASE MASTER'!$U$2:$U$495&lt;=9)*('CASE MASTER'!$W$2:$W$495&gt;=9)*('CASE MASTER'!$V$2:$V$495&lt;=6)*('CASE MASTER'!$X$2:$X$495&gt;=6))*ROW('CASE MASTER'!$T$2:$T$495))-(ROW('CASE MASTER'!#REF!)-1)))+1)+(6-INDEX('CASE MASTER'!$V$2:$V$495,(SUMPRODUCT((('CASE MASTER'!$T$2:$T$495=8)*('CASE MASTER'!$U$2:$U$495&lt;=9)*('CASE MASTER'!$W$2:$W$495&gt;=9)*('CASE MASTER'!$V$2:$V$495&lt;=6)*('CASE MASTER'!$X$2:$X$495&gt;=6))*ROW('CASE MASTER'!$T$2:$T$495))-(ROW('CASE MASTER'!#REF!)-1))))+1))-1)*50+1,50))&amp;"_"&amp;INDEX('CASE MASTER'!$Q$2:$Q$495,(SUMPRODUCT((('CASE MASTER'!$T$2:$T$495=8)*('CASE MASTER'!$U$2:$U$495&lt;=9)*('CASE MASTER'!$W$2:$W$495&gt;=9)*('CASE MASTER'!$V$2:$V$495&lt;=6)*('CASE MASTER'!$X$2:$X$495&gt;=6))*ROW('CASE MASTER'!$T$2:$T$495))-(ROW('CASE MASTER'!#REF!)-1))),IF(SUMPRODUCT((('CASE MASTER'!$T$2:$T$495=8)*('CASE MASTER'!$AA$2:$AA$495&lt;=9)*('CASE MASTER'!$AC$2:$AC$495&gt;=9)*('CASE MASTER'!$AB$2:$AB$495&lt;=6)*('CASE MASTER'!$AD$2:$AD$495&gt;=6))*ROW('CASE MASTER'!$T$2:$T$495))&gt;0,INDEX('CASE MASTER'!$Y$2:$Y$495,(SUMPRODUCT((('CASE MASTER'!$T$2:$T$495=8)*('CASE MASTER'!$AA$2:$AA$495&lt;=9)*('CASE MASTER'!$AC$2:$AC$495&gt;=9)*('CASE MASTER'!$AB$2:$AB$495&lt;=6)*('CASE MASTER'!$AD$2:$AD$495&gt;=6))*ROW('CASE MASTER'!$T$2:$T$495))-(ROW('CASE MASTER'!#REF!)-1)))&amp;TRIM(MID(SUBSTITUTE(SUBSTITUTE(INDEX('CASE MASTER'!$N$2:$N$495,(SUMPRODUCT((('CASE MASTER'!$T$2:$T$495=8)*('CASE MASTER'!$AA$2:$AA$495&lt;=9)*('CASE MASTER'!$AC$2:$AC$495&gt;=9)*('CASE MASTER'!$AB$2:$AB$495&lt;=6)*('CASE MASTER'!$AD$2:$AD$495&gt;=6))*ROW('CASE MASTER'!$T$2:$T$495))-(ROW('CASE MASTER'!#REF!)-1))),":",","),",",REPT(" ",50)),(((INDEX('CASE MASTER'!$Z$2:$Z$495,(SUMPRODUCT((('CASE MASTER'!$T$2:$T$495=8)*('CASE MASTER'!$AA$2:$AA$495&lt;=9)*('CASE MASTER'!$AC$2:$AC$495&gt;=9)*('CASE MASTER'!$AB$2:$AB$495&lt;=6)*('CASE MASTER'!$AD$2:$AD$495&gt;=6))*ROW('CASE MASTER'!$T$2:$T$495))-(ROW('CASE MASTER'!#REF!)-1)))+((9-INDEX('CASE MASTER'!$AA$2:$AA$495,(SUMPRODUCT((('CASE MASTER'!$T$2:$T$495=8)*('CASE MASTER'!$AA$2:$AA$495&lt;=9)*('CASE MASTER'!$AC$2:$AC$495&gt;=9)*('CASE MASTER'!$AB$2:$AB$495&lt;=6)*('CASE MASTER'!$AD$2:$AD$495&gt;=6))*ROW('CASE MASTER'!$T$2:$T$495))-(ROW('CASE MASTER'!#REF!)-1))))*(INDEX('CASE MASTER'!$AD$2:$AD$495,(SUMPRODUCT((('CASE MASTER'!$T$2:$T$495=8)*('CASE MASTER'!$AA$2:$AA$495&lt;=9)*('CASE MASTER'!$AC$2:$AC$495&gt;=9)*('CASE MASTER'!$AB$2:$AB$495&lt;=6)*('CASE MASTER'!$AD$2:$AD$495&gt;=6))*ROW('CASE MASTER'!$T$2:$T$495))-(ROW('CASE MASTER'!#REF!)-1)))-INDEX('CASE MASTER'!$AB$2:$AB$495,(SUMPRODUCT((('CASE MASTER'!$T$2:$T$495=8)*('CASE MASTER'!$AA$2:$AA$495&lt;=9)*('CASE MASTER'!$AC$2:$AC$495&gt;=9)*('CASE MASTER'!$AB$2:$AB$495&lt;=6)*('CASE MASTER'!$AD$2:$AD$495&gt;=6))*ROW('CASE MASTER'!$T$2:$T$495))-(ROW('CASE MASTER'!#REF!)-1)))+1)+(6-INDEX('CASE MASTER'!$AB$2:$AB$495,(SUMPRODUCT((('CASE MASTER'!$T$2:$T$495=8)*('CASE MASTER'!$AA$2:$AA$495&lt;=9)*('CASE MASTER'!$AC$2:$AC$495&gt;=9)*('CASE MASTER'!$AB$2:$AB$495&lt;=6)*('CASE MASTER'!$AD$2:$AD$495&gt;=6))*ROW('CASE MASTER'!$T$2:$T$495))-(ROW('CASE MASTER'!#REF!)-1))))+1)))-1)*50+1,50))&amp;"_"&amp;INDEX('CASE MASTER'!$Q$2:$Q$495,(SUMPRODUCT((('CASE MASTER'!$T$2:$T$495=8)*('CASE MASTER'!$AA$2:$AA$495&lt;=9)*('CASE MASTER'!$AC$2:$AC$495&gt;=9)*('CASE MASTER'!$AB$2:$AB$495&lt;=6)*('CASE MASTER'!$AD$2:$AD$495&gt;=6))*ROW('CASE MASTER'!$T$2:$T$495))-(ROW('CASE MASTER'!#REF!)-1))),"")),"")</f>
        <v/>
      </c>
      <c r="H109" s="10" t="str">
        <f>IFERROR(IF(SUMPRODUCT((('CASE MASTER'!$T$2:$T$495=8)*('CASE MASTER'!$U$2:$U$495&lt;=9)*('CASE MASTER'!$W$2:$W$495&gt;=9)*('CASE MASTER'!$V$2:$V$495&lt;=7)*('CASE MASTER'!$X$2:$X$495&gt;=7))*ROW('CASE MASTER'!$T$2:$T$495))&gt;0,INDEX('CASE MASTER'!$Y$2:$Y$495,(SUMPRODUCT((('CASE MASTER'!$T$2:$T$495=8)*('CASE MASTER'!$U$2:$U$495&lt;=9)*('CASE MASTER'!$W$2:$W$495&gt;=9)*('CASE MASTER'!$V$2:$V$495&lt;=7)*('CASE MASTER'!$X$2:$X$495&gt;=7))*ROW('CASE MASTER'!$T$2:$T$495))-(ROW('CASE MASTER'!#REF!)-1)))&amp;TRIM(MID(SUBSTITUTE(SUBSTITUTE(INDEX('CASE MASTER'!$N$2:$N$495,(SUMPRODUCT((('CASE MASTER'!$T$2:$T$495=8)*('CASE MASTER'!$U$2:$U$495&lt;=9)*('CASE MASTER'!$W$2:$W$495&gt;=9)*('CASE MASTER'!$V$2:$V$495&lt;=7)*('CASE MASTER'!$X$2:$X$495&gt;=7))*ROW('CASE MASTER'!$T$2:$T$495))-(ROW('CASE MASTER'!#REF!)-1))),":",","),",",REPT(" ",50)),((((9-INDEX('CASE MASTER'!$U$2:$U$495,(SUMPRODUCT((('CASE MASTER'!$T$2:$T$495=8)*('CASE MASTER'!$U$2:$U$495&lt;=9)*('CASE MASTER'!$W$2:$W$495&gt;=9)*('CASE MASTER'!$V$2:$V$495&lt;=7)*('CASE MASTER'!$X$2:$X$495&gt;=7))*ROW('CASE MASTER'!$T$2:$T$495))-(ROW('CASE MASTER'!#REF!)-1))))*(INDEX('CASE MASTER'!$X$2:$X$495,(SUMPRODUCT((('CASE MASTER'!$T$2:$T$495=8)*('CASE MASTER'!$U$2:$U$495&lt;=9)*('CASE MASTER'!$W$2:$W$495&gt;=9)*('CASE MASTER'!$V$2:$V$495&lt;=7)*('CASE MASTER'!$X$2:$X$495&gt;=7))*ROW('CASE MASTER'!$T$2:$T$495))-(ROW('CASE MASTER'!#REF!)-1)))-INDEX('CASE MASTER'!$V$2:$V$495,(SUMPRODUCT((('CASE MASTER'!$T$2:$T$495=8)*('CASE MASTER'!$U$2:$U$495&lt;=9)*('CASE MASTER'!$W$2:$W$495&gt;=9)*('CASE MASTER'!$V$2:$V$495&lt;=7)*('CASE MASTER'!$X$2:$X$495&gt;=7))*ROW('CASE MASTER'!$T$2:$T$495))-(ROW('CASE MASTER'!#REF!)-1)))+1)+(7-INDEX('CASE MASTER'!$V$2:$V$495,(SUMPRODUCT((('CASE MASTER'!$T$2:$T$495=8)*('CASE MASTER'!$U$2:$U$495&lt;=9)*('CASE MASTER'!$W$2:$W$495&gt;=9)*('CASE MASTER'!$V$2:$V$495&lt;=7)*('CASE MASTER'!$X$2:$X$495&gt;=7))*ROW('CASE MASTER'!$T$2:$T$495))-(ROW('CASE MASTER'!#REF!)-1))))+1))-1)*50+1,50))&amp;"_"&amp;INDEX('CASE MASTER'!$Q$2:$Q$495,(SUMPRODUCT((('CASE MASTER'!$T$2:$T$495=8)*('CASE MASTER'!$U$2:$U$495&lt;=9)*('CASE MASTER'!$W$2:$W$495&gt;=9)*('CASE MASTER'!$V$2:$V$495&lt;=7)*('CASE MASTER'!$X$2:$X$495&gt;=7))*ROW('CASE MASTER'!$T$2:$T$495))-(ROW('CASE MASTER'!#REF!)-1))),IF(SUMPRODUCT((('CASE MASTER'!$T$2:$T$495=8)*('CASE MASTER'!$AA$2:$AA$495&lt;=9)*('CASE MASTER'!$AC$2:$AC$495&gt;=9)*('CASE MASTER'!$AB$2:$AB$495&lt;=7)*('CASE MASTER'!$AD$2:$AD$495&gt;=7))*ROW('CASE MASTER'!$T$2:$T$495))&gt;0,INDEX('CASE MASTER'!$Y$2:$Y$495,(SUMPRODUCT((('CASE MASTER'!$T$2:$T$495=8)*('CASE MASTER'!$AA$2:$AA$495&lt;=9)*('CASE MASTER'!$AC$2:$AC$495&gt;=9)*('CASE MASTER'!$AB$2:$AB$495&lt;=7)*('CASE MASTER'!$AD$2:$AD$495&gt;=7))*ROW('CASE MASTER'!$T$2:$T$495))-(ROW('CASE MASTER'!#REF!)-1)))&amp;TRIM(MID(SUBSTITUTE(SUBSTITUTE(INDEX('CASE MASTER'!$N$2:$N$495,(SUMPRODUCT((('CASE MASTER'!$T$2:$T$495=8)*('CASE MASTER'!$AA$2:$AA$495&lt;=9)*('CASE MASTER'!$AC$2:$AC$495&gt;=9)*('CASE MASTER'!$AB$2:$AB$495&lt;=7)*('CASE MASTER'!$AD$2:$AD$495&gt;=7))*ROW('CASE MASTER'!$T$2:$T$495))-(ROW('CASE MASTER'!#REF!)-1))),":",","),",",REPT(" ",50)),(((INDEX('CASE MASTER'!$Z$2:$Z$495,(SUMPRODUCT((('CASE MASTER'!$T$2:$T$495=8)*('CASE MASTER'!$AA$2:$AA$495&lt;=9)*('CASE MASTER'!$AC$2:$AC$495&gt;=9)*('CASE MASTER'!$AB$2:$AB$495&lt;=7)*('CASE MASTER'!$AD$2:$AD$495&gt;=7))*ROW('CASE MASTER'!$T$2:$T$495))-(ROW('CASE MASTER'!#REF!)-1)))+((9-INDEX('CASE MASTER'!$AA$2:$AA$495,(SUMPRODUCT((('CASE MASTER'!$T$2:$T$495=8)*('CASE MASTER'!$AA$2:$AA$495&lt;=9)*('CASE MASTER'!$AC$2:$AC$495&gt;=9)*('CASE MASTER'!$AB$2:$AB$495&lt;=7)*('CASE MASTER'!$AD$2:$AD$495&gt;=7))*ROW('CASE MASTER'!$T$2:$T$495))-(ROW('CASE MASTER'!#REF!)-1))))*(INDEX('CASE MASTER'!$AD$2:$AD$495,(SUMPRODUCT((('CASE MASTER'!$T$2:$T$495=8)*('CASE MASTER'!$AA$2:$AA$495&lt;=9)*('CASE MASTER'!$AC$2:$AC$495&gt;=9)*('CASE MASTER'!$AB$2:$AB$495&lt;=7)*('CASE MASTER'!$AD$2:$AD$495&gt;=7))*ROW('CASE MASTER'!$T$2:$T$495))-(ROW('CASE MASTER'!#REF!)-1)))-INDEX('CASE MASTER'!$AB$2:$AB$495,(SUMPRODUCT((('CASE MASTER'!$T$2:$T$495=8)*('CASE MASTER'!$AA$2:$AA$495&lt;=9)*('CASE MASTER'!$AC$2:$AC$495&gt;=9)*('CASE MASTER'!$AB$2:$AB$495&lt;=7)*('CASE MASTER'!$AD$2:$AD$495&gt;=7))*ROW('CASE MASTER'!$T$2:$T$495))-(ROW('CASE MASTER'!#REF!)-1)))+1)+(7-INDEX('CASE MASTER'!$AB$2:$AB$495,(SUMPRODUCT((('CASE MASTER'!$T$2:$T$495=8)*('CASE MASTER'!$AA$2:$AA$495&lt;=9)*('CASE MASTER'!$AC$2:$AC$495&gt;=9)*('CASE MASTER'!$AB$2:$AB$495&lt;=7)*('CASE MASTER'!$AD$2:$AD$495&gt;=7))*ROW('CASE MASTER'!$T$2:$T$495))-(ROW('CASE MASTER'!#REF!)-1))))+1)))-1)*50+1,50))&amp;"_"&amp;INDEX('CASE MASTER'!$Q$2:$Q$495,(SUMPRODUCT((('CASE MASTER'!$T$2:$T$495=8)*('CASE MASTER'!$AA$2:$AA$495&lt;=9)*('CASE MASTER'!$AC$2:$AC$495&gt;=9)*('CASE MASTER'!$AB$2:$AB$495&lt;=7)*('CASE MASTER'!$AD$2:$AD$495&gt;=7))*ROW('CASE MASTER'!$T$2:$T$495))-(ROW('CASE MASTER'!#REF!)-1))),"")),"")</f>
        <v/>
      </c>
      <c r="I109" s="10" t="str">
        <f>IFERROR(IF(SUMPRODUCT((('CASE MASTER'!$T$2:$T$495=8)*('CASE MASTER'!$U$2:$U$495&lt;=9)*('CASE MASTER'!$W$2:$W$495&gt;=9)*('CASE MASTER'!$V$2:$V$495&lt;=8)*('CASE MASTER'!$X$2:$X$495&gt;=8))*ROW('CASE MASTER'!$T$2:$T$495))&gt;0,INDEX('CASE MASTER'!$Y$2:$Y$495,(SUMPRODUCT((('CASE MASTER'!$T$2:$T$495=8)*('CASE MASTER'!$U$2:$U$495&lt;=9)*('CASE MASTER'!$W$2:$W$495&gt;=9)*('CASE MASTER'!$V$2:$V$495&lt;=8)*('CASE MASTER'!$X$2:$X$495&gt;=8))*ROW('CASE MASTER'!$T$2:$T$495))-(ROW('CASE MASTER'!#REF!)-1)))&amp;TRIM(MID(SUBSTITUTE(SUBSTITUTE(INDEX('CASE MASTER'!$N$2:$N$495,(SUMPRODUCT((('CASE MASTER'!$T$2:$T$495=8)*('CASE MASTER'!$U$2:$U$495&lt;=9)*('CASE MASTER'!$W$2:$W$495&gt;=9)*('CASE MASTER'!$V$2:$V$495&lt;=8)*('CASE MASTER'!$X$2:$X$495&gt;=8))*ROW('CASE MASTER'!$T$2:$T$495))-(ROW('CASE MASTER'!#REF!)-1))),":",","),",",REPT(" ",50)),((((9-INDEX('CASE MASTER'!$U$2:$U$495,(SUMPRODUCT((('CASE MASTER'!$T$2:$T$495=8)*('CASE MASTER'!$U$2:$U$495&lt;=9)*('CASE MASTER'!$W$2:$W$495&gt;=9)*('CASE MASTER'!$V$2:$V$495&lt;=8)*('CASE MASTER'!$X$2:$X$495&gt;=8))*ROW('CASE MASTER'!$T$2:$T$495))-(ROW('CASE MASTER'!#REF!)-1))))*(INDEX('CASE MASTER'!$X$2:$X$495,(SUMPRODUCT((('CASE MASTER'!$T$2:$T$495=8)*('CASE MASTER'!$U$2:$U$495&lt;=9)*('CASE MASTER'!$W$2:$W$495&gt;=9)*('CASE MASTER'!$V$2:$V$495&lt;=8)*('CASE MASTER'!$X$2:$X$495&gt;=8))*ROW('CASE MASTER'!$T$2:$T$495))-(ROW('CASE MASTER'!#REF!)-1)))-INDEX('CASE MASTER'!$V$2:$V$495,(SUMPRODUCT((('CASE MASTER'!$T$2:$T$495=8)*('CASE MASTER'!$U$2:$U$495&lt;=9)*('CASE MASTER'!$W$2:$W$495&gt;=9)*('CASE MASTER'!$V$2:$V$495&lt;=8)*('CASE MASTER'!$X$2:$X$495&gt;=8))*ROW('CASE MASTER'!$T$2:$T$495))-(ROW('CASE MASTER'!#REF!)-1)))+1)+(8-INDEX('CASE MASTER'!$V$2:$V$495,(SUMPRODUCT((('CASE MASTER'!$T$2:$T$495=8)*('CASE MASTER'!$U$2:$U$495&lt;=9)*('CASE MASTER'!$W$2:$W$495&gt;=9)*('CASE MASTER'!$V$2:$V$495&lt;=8)*('CASE MASTER'!$X$2:$X$495&gt;=8))*ROW('CASE MASTER'!$T$2:$T$495))-(ROW('CASE MASTER'!#REF!)-1))))+1))-1)*50+1,50))&amp;"_"&amp;INDEX('CASE MASTER'!$Q$2:$Q$495,(SUMPRODUCT((('CASE MASTER'!$T$2:$T$495=8)*('CASE MASTER'!$U$2:$U$495&lt;=9)*('CASE MASTER'!$W$2:$W$495&gt;=9)*('CASE MASTER'!$V$2:$V$495&lt;=8)*('CASE MASTER'!$X$2:$X$495&gt;=8))*ROW('CASE MASTER'!$T$2:$T$495))-(ROW('CASE MASTER'!#REF!)-1))),IF(SUMPRODUCT((('CASE MASTER'!$T$2:$T$495=8)*('CASE MASTER'!$AA$2:$AA$495&lt;=9)*('CASE MASTER'!$AC$2:$AC$495&gt;=9)*('CASE MASTER'!$AB$2:$AB$495&lt;=8)*('CASE MASTER'!$AD$2:$AD$495&gt;=8))*ROW('CASE MASTER'!$T$2:$T$495))&gt;0,INDEX('CASE MASTER'!$Y$2:$Y$495,(SUMPRODUCT((('CASE MASTER'!$T$2:$T$495=8)*('CASE MASTER'!$AA$2:$AA$495&lt;=9)*('CASE MASTER'!$AC$2:$AC$495&gt;=9)*('CASE MASTER'!$AB$2:$AB$495&lt;=8)*('CASE MASTER'!$AD$2:$AD$495&gt;=8))*ROW('CASE MASTER'!$T$2:$T$495))-(ROW('CASE MASTER'!#REF!)-1)))&amp;TRIM(MID(SUBSTITUTE(SUBSTITUTE(INDEX('CASE MASTER'!$N$2:$N$495,(SUMPRODUCT((('CASE MASTER'!$T$2:$T$495=8)*('CASE MASTER'!$AA$2:$AA$495&lt;=9)*('CASE MASTER'!$AC$2:$AC$495&gt;=9)*('CASE MASTER'!$AB$2:$AB$495&lt;=8)*('CASE MASTER'!$AD$2:$AD$495&gt;=8))*ROW('CASE MASTER'!$T$2:$T$495))-(ROW('CASE MASTER'!#REF!)-1))),":",","),",",REPT(" ",50)),(((INDEX('CASE MASTER'!$Z$2:$Z$495,(SUMPRODUCT((('CASE MASTER'!$T$2:$T$495=8)*('CASE MASTER'!$AA$2:$AA$495&lt;=9)*('CASE MASTER'!$AC$2:$AC$495&gt;=9)*('CASE MASTER'!$AB$2:$AB$495&lt;=8)*('CASE MASTER'!$AD$2:$AD$495&gt;=8))*ROW('CASE MASTER'!$T$2:$T$495))-(ROW('CASE MASTER'!#REF!)-1)))+((9-INDEX('CASE MASTER'!$AA$2:$AA$495,(SUMPRODUCT((('CASE MASTER'!$T$2:$T$495=8)*('CASE MASTER'!$AA$2:$AA$495&lt;=9)*('CASE MASTER'!$AC$2:$AC$495&gt;=9)*('CASE MASTER'!$AB$2:$AB$495&lt;=8)*('CASE MASTER'!$AD$2:$AD$495&gt;=8))*ROW('CASE MASTER'!$T$2:$T$495))-(ROW('CASE MASTER'!#REF!)-1))))*(INDEX('CASE MASTER'!$AD$2:$AD$495,(SUMPRODUCT((('CASE MASTER'!$T$2:$T$495=8)*('CASE MASTER'!$AA$2:$AA$495&lt;=9)*('CASE MASTER'!$AC$2:$AC$495&gt;=9)*('CASE MASTER'!$AB$2:$AB$495&lt;=8)*('CASE MASTER'!$AD$2:$AD$495&gt;=8))*ROW('CASE MASTER'!$T$2:$T$495))-(ROW('CASE MASTER'!#REF!)-1)))-INDEX('CASE MASTER'!$AB$2:$AB$495,(SUMPRODUCT((('CASE MASTER'!$T$2:$T$495=8)*('CASE MASTER'!$AA$2:$AA$495&lt;=9)*('CASE MASTER'!$AC$2:$AC$495&gt;=9)*('CASE MASTER'!$AB$2:$AB$495&lt;=8)*('CASE MASTER'!$AD$2:$AD$495&gt;=8))*ROW('CASE MASTER'!$T$2:$T$495))-(ROW('CASE MASTER'!#REF!)-1)))+1)+(8-INDEX('CASE MASTER'!$AB$2:$AB$495,(SUMPRODUCT((('CASE MASTER'!$T$2:$T$495=8)*('CASE MASTER'!$AA$2:$AA$495&lt;=9)*('CASE MASTER'!$AC$2:$AC$495&gt;=9)*('CASE MASTER'!$AB$2:$AB$495&lt;=8)*('CASE MASTER'!$AD$2:$AD$495&gt;=8))*ROW('CASE MASTER'!$T$2:$T$495))-(ROW('CASE MASTER'!#REF!)-1))))+1)))-1)*50+1,50))&amp;"_"&amp;INDEX('CASE MASTER'!$Q$2:$Q$495,(SUMPRODUCT((('CASE MASTER'!$T$2:$T$495=8)*('CASE MASTER'!$AA$2:$AA$495&lt;=9)*('CASE MASTER'!$AC$2:$AC$495&gt;=9)*('CASE MASTER'!$AB$2:$AB$495&lt;=8)*('CASE MASTER'!$AD$2:$AD$495&gt;=8))*ROW('CASE MASTER'!$T$2:$T$495))-(ROW('CASE MASTER'!#REF!)-1))),"")),"")</f>
        <v/>
      </c>
      <c r="J109" s="10" t="str">
        <f>IFERROR(IF(SUMPRODUCT((('CASE MASTER'!$T$2:$T$495=8)*('CASE MASTER'!$U$2:$U$495&lt;=9)*('CASE MASTER'!$W$2:$W$495&gt;=9)*('CASE MASTER'!$V$2:$V$495&lt;=9)*('CASE MASTER'!$X$2:$X$495&gt;=9))*ROW('CASE MASTER'!$T$2:$T$495))&gt;0,INDEX('CASE MASTER'!$Y$2:$Y$495,(SUMPRODUCT((('CASE MASTER'!$T$2:$T$495=8)*('CASE MASTER'!$U$2:$U$495&lt;=9)*('CASE MASTER'!$W$2:$W$495&gt;=9)*('CASE MASTER'!$V$2:$V$495&lt;=9)*('CASE MASTER'!$X$2:$X$495&gt;=9))*ROW('CASE MASTER'!$T$2:$T$495))-(ROW('CASE MASTER'!#REF!)-1)))&amp;TRIM(MID(SUBSTITUTE(SUBSTITUTE(INDEX('CASE MASTER'!$N$2:$N$495,(SUMPRODUCT((('CASE MASTER'!$T$2:$T$495=8)*('CASE MASTER'!$U$2:$U$495&lt;=9)*('CASE MASTER'!$W$2:$W$495&gt;=9)*('CASE MASTER'!$V$2:$V$495&lt;=9)*('CASE MASTER'!$X$2:$X$495&gt;=9))*ROW('CASE MASTER'!$T$2:$T$495))-(ROW('CASE MASTER'!#REF!)-1))),":",","),",",REPT(" ",50)),((((9-INDEX('CASE MASTER'!$U$2:$U$495,(SUMPRODUCT((('CASE MASTER'!$T$2:$T$495=8)*('CASE MASTER'!$U$2:$U$495&lt;=9)*('CASE MASTER'!$W$2:$W$495&gt;=9)*('CASE MASTER'!$V$2:$V$495&lt;=9)*('CASE MASTER'!$X$2:$X$495&gt;=9))*ROW('CASE MASTER'!$T$2:$T$495))-(ROW('CASE MASTER'!#REF!)-1))))*(INDEX('CASE MASTER'!$X$2:$X$495,(SUMPRODUCT((('CASE MASTER'!$T$2:$T$495=8)*('CASE MASTER'!$U$2:$U$495&lt;=9)*('CASE MASTER'!$W$2:$W$495&gt;=9)*('CASE MASTER'!$V$2:$V$495&lt;=9)*('CASE MASTER'!$X$2:$X$495&gt;=9))*ROW('CASE MASTER'!$T$2:$T$495))-(ROW('CASE MASTER'!#REF!)-1)))-INDEX('CASE MASTER'!$V$2:$V$495,(SUMPRODUCT((('CASE MASTER'!$T$2:$T$495=8)*('CASE MASTER'!$U$2:$U$495&lt;=9)*('CASE MASTER'!$W$2:$W$495&gt;=9)*('CASE MASTER'!$V$2:$V$495&lt;=9)*('CASE MASTER'!$X$2:$X$495&gt;=9))*ROW('CASE MASTER'!$T$2:$T$495))-(ROW('CASE MASTER'!#REF!)-1)))+1)+(9-INDEX('CASE MASTER'!$V$2:$V$495,(SUMPRODUCT((('CASE MASTER'!$T$2:$T$495=8)*('CASE MASTER'!$U$2:$U$495&lt;=9)*('CASE MASTER'!$W$2:$W$495&gt;=9)*('CASE MASTER'!$V$2:$V$495&lt;=9)*('CASE MASTER'!$X$2:$X$495&gt;=9))*ROW('CASE MASTER'!$T$2:$T$495))-(ROW('CASE MASTER'!#REF!)-1))))+1))-1)*50+1,50))&amp;"_"&amp;INDEX('CASE MASTER'!$Q$2:$Q$495,(SUMPRODUCT((('CASE MASTER'!$T$2:$T$495=8)*('CASE MASTER'!$U$2:$U$495&lt;=9)*('CASE MASTER'!$W$2:$W$495&gt;=9)*('CASE MASTER'!$V$2:$V$495&lt;=9)*('CASE MASTER'!$X$2:$X$495&gt;=9))*ROW('CASE MASTER'!$T$2:$T$495))-(ROW('CASE MASTER'!#REF!)-1))),IF(SUMPRODUCT((('CASE MASTER'!$T$2:$T$495=8)*('CASE MASTER'!$AA$2:$AA$495&lt;=9)*('CASE MASTER'!$AC$2:$AC$495&gt;=9)*('CASE MASTER'!$AB$2:$AB$495&lt;=9)*('CASE MASTER'!$AD$2:$AD$495&gt;=9))*ROW('CASE MASTER'!$T$2:$T$495))&gt;0,INDEX('CASE MASTER'!$Y$2:$Y$495,(SUMPRODUCT((('CASE MASTER'!$T$2:$T$495=8)*('CASE MASTER'!$AA$2:$AA$495&lt;=9)*('CASE MASTER'!$AC$2:$AC$495&gt;=9)*('CASE MASTER'!$AB$2:$AB$495&lt;=9)*('CASE MASTER'!$AD$2:$AD$495&gt;=9))*ROW('CASE MASTER'!$T$2:$T$495))-(ROW('CASE MASTER'!#REF!)-1)))&amp;TRIM(MID(SUBSTITUTE(SUBSTITUTE(INDEX('CASE MASTER'!$N$2:$N$495,(SUMPRODUCT((('CASE MASTER'!$T$2:$T$495=8)*('CASE MASTER'!$AA$2:$AA$495&lt;=9)*('CASE MASTER'!$AC$2:$AC$495&gt;=9)*('CASE MASTER'!$AB$2:$AB$495&lt;=9)*('CASE MASTER'!$AD$2:$AD$495&gt;=9))*ROW('CASE MASTER'!$T$2:$T$495))-(ROW('CASE MASTER'!#REF!)-1))),":",","),",",REPT(" ",50)),(((INDEX('CASE MASTER'!$Z$2:$Z$495,(SUMPRODUCT((('CASE MASTER'!$T$2:$T$495=8)*('CASE MASTER'!$AA$2:$AA$495&lt;=9)*('CASE MASTER'!$AC$2:$AC$495&gt;=9)*('CASE MASTER'!$AB$2:$AB$495&lt;=9)*('CASE MASTER'!$AD$2:$AD$495&gt;=9))*ROW('CASE MASTER'!$T$2:$T$495))-(ROW('CASE MASTER'!#REF!)-1)))+((9-INDEX('CASE MASTER'!$AA$2:$AA$495,(SUMPRODUCT((('CASE MASTER'!$T$2:$T$495=8)*('CASE MASTER'!$AA$2:$AA$495&lt;=9)*('CASE MASTER'!$AC$2:$AC$495&gt;=9)*('CASE MASTER'!$AB$2:$AB$495&lt;=9)*('CASE MASTER'!$AD$2:$AD$495&gt;=9))*ROW('CASE MASTER'!$T$2:$T$495))-(ROW('CASE MASTER'!#REF!)-1))))*(INDEX('CASE MASTER'!$AD$2:$AD$495,(SUMPRODUCT((('CASE MASTER'!$T$2:$T$495=8)*('CASE MASTER'!$AA$2:$AA$495&lt;=9)*('CASE MASTER'!$AC$2:$AC$495&gt;=9)*('CASE MASTER'!$AB$2:$AB$495&lt;=9)*('CASE MASTER'!$AD$2:$AD$495&gt;=9))*ROW('CASE MASTER'!$T$2:$T$495))-(ROW('CASE MASTER'!#REF!)-1)))-INDEX('CASE MASTER'!$AB$2:$AB$495,(SUMPRODUCT((('CASE MASTER'!$T$2:$T$495=8)*('CASE MASTER'!$AA$2:$AA$495&lt;=9)*('CASE MASTER'!$AC$2:$AC$495&gt;=9)*('CASE MASTER'!$AB$2:$AB$495&lt;=9)*('CASE MASTER'!$AD$2:$AD$495&gt;=9))*ROW('CASE MASTER'!$T$2:$T$495))-(ROW('CASE MASTER'!#REF!)-1)))+1)+(9-INDEX('CASE MASTER'!$AB$2:$AB$495,(SUMPRODUCT((('CASE MASTER'!$T$2:$T$495=8)*('CASE MASTER'!$AA$2:$AA$495&lt;=9)*('CASE MASTER'!$AC$2:$AC$495&gt;=9)*('CASE MASTER'!$AB$2:$AB$495&lt;=9)*('CASE MASTER'!$AD$2:$AD$495&gt;=9))*ROW('CASE MASTER'!$T$2:$T$495))-(ROW('CASE MASTER'!#REF!)-1))))+1)))-1)*50+1,50))&amp;"_"&amp;INDEX('CASE MASTER'!$Q$2:$Q$495,(SUMPRODUCT((('CASE MASTER'!$T$2:$T$495=8)*('CASE MASTER'!$AA$2:$AA$495&lt;=9)*('CASE MASTER'!$AC$2:$AC$495&gt;=9)*('CASE MASTER'!$AB$2:$AB$495&lt;=9)*('CASE MASTER'!$AD$2:$AD$495&gt;=9))*ROW('CASE MASTER'!$T$2:$T$495))-(ROW('CASE MASTER'!#REF!)-1))),"")),"")</f>
        <v/>
      </c>
      <c r="K109" s="10" t="str">
        <f>IFERROR(IF(SUMPRODUCT((('CASE MASTER'!$T$2:$T$495=8)*('CASE MASTER'!$U$2:$U$495&lt;=9)*('CASE MASTER'!$W$2:$W$495&gt;=9)*('CASE MASTER'!$V$2:$V$495&lt;=10)*('CASE MASTER'!$X$2:$X$495&gt;=10))*ROW('CASE MASTER'!$T$2:$T$495))&gt;0,INDEX('CASE MASTER'!$Y$2:$Y$495,(SUMPRODUCT((('CASE MASTER'!$T$2:$T$495=8)*('CASE MASTER'!$U$2:$U$495&lt;=9)*('CASE MASTER'!$W$2:$W$495&gt;=9)*('CASE MASTER'!$V$2:$V$495&lt;=10)*('CASE MASTER'!$X$2:$X$495&gt;=10))*ROW('CASE MASTER'!$T$2:$T$495))-(ROW('CASE MASTER'!#REF!)-1)))&amp;TRIM(MID(SUBSTITUTE(SUBSTITUTE(INDEX('CASE MASTER'!$N$2:$N$495,(SUMPRODUCT((('CASE MASTER'!$T$2:$T$495=8)*('CASE MASTER'!$U$2:$U$495&lt;=9)*('CASE MASTER'!$W$2:$W$495&gt;=9)*('CASE MASTER'!$V$2:$V$495&lt;=10)*('CASE MASTER'!$X$2:$X$495&gt;=10))*ROW('CASE MASTER'!$T$2:$T$495))-(ROW('CASE MASTER'!#REF!)-1))),":",","),",",REPT(" ",50)),((((9-INDEX('CASE MASTER'!$U$2:$U$495,(SUMPRODUCT((('CASE MASTER'!$T$2:$T$495=8)*('CASE MASTER'!$U$2:$U$495&lt;=9)*('CASE MASTER'!$W$2:$W$495&gt;=9)*('CASE MASTER'!$V$2:$V$495&lt;=10)*('CASE MASTER'!$X$2:$X$495&gt;=10))*ROW('CASE MASTER'!$T$2:$T$495))-(ROW('CASE MASTER'!#REF!)-1))))*(INDEX('CASE MASTER'!$X$2:$X$495,(SUMPRODUCT((('CASE MASTER'!$T$2:$T$495=8)*('CASE MASTER'!$U$2:$U$495&lt;=9)*('CASE MASTER'!$W$2:$W$495&gt;=9)*('CASE MASTER'!$V$2:$V$495&lt;=10)*('CASE MASTER'!$X$2:$X$495&gt;=10))*ROW('CASE MASTER'!$T$2:$T$495))-(ROW('CASE MASTER'!#REF!)-1)))-INDEX('CASE MASTER'!$V$2:$V$495,(SUMPRODUCT((('CASE MASTER'!$T$2:$T$495=8)*('CASE MASTER'!$U$2:$U$495&lt;=9)*('CASE MASTER'!$W$2:$W$495&gt;=9)*('CASE MASTER'!$V$2:$V$495&lt;=10)*('CASE MASTER'!$X$2:$X$495&gt;=10))*ROW('CASE MASTER'!$T$2:$T$495))-(ROW('CASE MASTER'!#REF!)-1)))+1)+(10-INDEX('CASE MASTER'!$V$2:$V$495,(SUMPRODUCT((('CASE MASTER'!$T$2:$T$495=8)*('CASE MASTER'!$U$2:$U$495&lt;=9)*('CASE MASTER'!$W$2:$W$495&gt;=9)*('CASE MASTER'!$V$2:$V$495&lt;=10)*('CASE MASTER'!$X$2:$X$495&gt;=10))*ROW('CASE MASTER'!$T$2:$T$495))-(ROW('CASE MASTER'!#REF!)-1))))+1))-1)*50+1,50))&amp;"_"&amp;INDEX('CASE MASTER'!$Q$2:$Q$495,(SUMPRODUCT((('CASE MASTER'!$T$2:$T$495=8)*('CASE MASTER'!$U$2:$U$495&lt;=9)*('CASE MASTER'!$W$2:$W$495&gt;=9)*('CASE MASTER'!$V$2:$V$495&lt;=10)*('CASE MASTER'!$X$2:$X$495&gt;=10))*ROW('CASE MASTER'!$T$2:$T$495))-(ROW('CASE MASTER'!#REF!)-1))),IF(SUMPRODUCT((('CASE MASTER'!$T$2:$T$495=8)*('CASE MASTER'!$AA$2:$AA$495&lt;=9)*('CASE MASTER'!$AC$2:$AC$495&gt;=9)*('CASE MASTER'!$AB$2:$AB$495&lt;=10)*('CASE MASTER'!$AD$2:$AD$495&gt;=10))*ROW('CASE MASTER'!$T$2:$T$495))&gt;0,INDEX('CASE MASTER'!$Y$2:$Y$495,(SUMPRODUCT((('CASE MASTER'!$T$2:$T$495=8)*('CASE MASTER'!$AA$2:$AA$495&lt;=9)*('CASE MASTER'!$AC$2:$AC$495&gt;=9)*('CASE MASTER'!$AB$2:$AB$495&lt;=10)*('CASE MASTER'!$AD$2:$AD$495&gt;=10))*ROW('CASE MASTER'!$T$2:$T$495))-(ROW('CASE MASTER'!#REF!)-1)))&amp;TRIM(MID(SUBSTITUTE(SUBSTITUTE(INDEX('CASE MASTER'!$N$2:$N$495,(SUMPRODUCT((('CASE MASTER'!$T$2:$T$495=8)*('CASE MASTER'!$AA$2:$AA$495&lt;=9)*('CASE MASTER'!$AC$2:$AC$495&gt;=9)*('CASE MASTER'!$AB$2:$AB$495&lt;=10)*('CASE MASTER'!$AD$2:$AD$495&gt;=10))*ROW('CASE MASTER'!$T$2:$T$495))-(ROW('CASE MASTER'!#REF!)-1))),":",","),",",REPT(" ",50)),(((INDEX('CASE MASTER'!$Z$2:$Z$495,(SUMPRODUCT((('CASE MASTER'!$T$2:$T$495=8)*('CASE MASTER'!$AA$2:$AA$495&lt;=9)*('CASE MASTER'!$AC$2:$AC$495&gt;=9)*('CASE MASTER'!$AB$2:$AB$495&lt;=10)*('CASE MASTER'!$AD$2:$AD$495&gt;=10))*ROW('CASE MASTER'!$T$2:$T$495))-(ROW('CASE MASTER'!#REF!)-1)))+((9-INDEX('CASE MASTER'!$AA$2:$AA$495,(SUMPRODUCT((('CASE MASTER'!$T$2:$T$495=8)*('CASE MASTER'!$AA$2:$AA$495&lt;=9)*('CASE MASTER'!$AC$2:$AC$495&gt;=9)*('CASE MASTER'!$AB$2:$AB$495&lt;=10)*('CASE MASTER'!$AD$2:$AD$495&gt;=10))*ROW('CASE MASTER'!$T$2:$T$495))-(ROW('CASE MASTER'!#REF!)-1))))*(INDEX('CASE MASTER'!$AD$2:$AD$495,(SUMPRODUCT((('CASE MASTER'!$T$2:$T$495=8)*('CASE MASTER'!$AA$2:$AA$495&lt;=9)*('CASE MASTER'!$AC$2:$AC$495&gt;=9)*('CASE MASTER'!$AB$2:$AB$495&lt;=10)*('CASE MASTER'!$AD$2:$AD$495&gt;=10))*ROW('CASE MASTER'!$T$2:$T$495))-(ROW('CASE MASTER'!#REF!)-1)))-INDEX('CASE MASTER'!$AB$2:$AB$495,(SUMPRODUCT((('CASE MASTER'!$T$2:$T$495=8)*('CASE MASTER'!$AA$2:$AA$495&lt;=9)*('CASE MASTER'!$AC$2:$AC$495&gt;=9)*('CASE MASTER'!$AB$2:$AB$495&lt;=10)*('CASE MASTER'!$AD$2:$AD$495&gt;=10))*ROW('CASE MASTER'!$T$2:$T$495))-(ROW('CASE MASTER'!#REF!)-1)))+1)+(10-INDEX('CASE MASTER'!$AB$2:$AB$495,(SUMPRODUCT((('CASE MASTER'!$T$2:$T$495=8)*('CASE MASTER'!$AA$2:$AA$495&lt;=9)*('CASE MASTER'!$AC$2:$AC$495&gt;=9)*('CASE MASTER'!$AB$2:$AB$495&lt;=10)*('CASE MASTER'!$AD$2:$AD$495&gt;=10))*ROW('CASE MASTER'!$T$2:$T$495))-(ROW('CASE MASTER'!#REF!)-1))))+1)))-1)*50+1,50))&amp;"_"&amp;INDEX('CASE MASTER'!$Q$2:$Q$495,(SUMPRODUCT((('CASE MASTER'!$T$2:$T$495=8)*('CASE MASTER'!$AA$2:$AA$495&lt;=9)*('CASE MASTER'!$AC$2:$AC$495&gt;=9)*('CASE MASTER'!$AB$2:$AB$495&lt;=10)*('CASE MASTER'!$AD$2:$AD$495&gt;=10))*ROW('CASE MASTER'!$T$2:$T$495))-(ROW('CASE MASTER'!#REF!)-1))),"")),"")</f>
        <v/>
      </c>
    </row>
    <row r="110" spans="1:11" ht="15" customHeight="1" x14ac:dyDescent="0.35">
      <c r="A110" s="8" t="s">
        <v>82</v>
      </c>
      <c r="B110" s="10" t="str">
        <f>IFERROR(IF(SUMPRODUCT((('CASE MASTER'!$T$2:$T$495=8)*('CASE MASTER'!$U$2:$U$495&lt;=10)*('CASE MASTER'!$W$2:$W$495&gt;=10)*('CASE MASTER'!$V$2:$V$495&lt;=1)*('CASE MASTER'!$X$2:$X$495&gt;=1))*ROW('CASE MASTER'!$T$2:$T$495))&gt;0,INDEX('CASE MASTER'!$Y$2:$Y$495,(SUMPRODUCT((('CASE MASTER'!$T$2:$T$495=8)*('CASE MASTER'!$U$2:$U$495&lt;=10)*('CASE MASTER'!$W$2:$W$495&gt;=10)*('CASE MASTER'!$V$2:$V$495&lt;=1)*('CASE MASTER'!$X$2:$X$495&gt;=1))*ROW('CASE MASTER'!$T$2:$T$495))-(ROW('CASE MASTER'!#REF!)-1)))&amp;TRIM(MID(SUBSTITUTE(SUBSTITUTE(INDEX('CASE MASTER'!$N$2:$N$495,(SUMPRODUCT((('CASE MASTER'!$T$2:$T$495=8)*('CASE MASTER'!$U$2:$U$495&lt;=10)*('CASE MASTER'!$W$2:$W$495&gt;=10)*('CASE MASTER'!$V$2:$V$495&lt;=1)*('CASE MASTER'!$X$2:$X$495&gt;=1))*ROW('CASE MASTER'!$T$2:$T$495))-(ROW('CASE MASTER'!#REF!)-1))),":",","),",",REPT(" ",50)),((((10-INDEX('CASE MASTER'!$U$2:$U$495,(SUMPRODUCT((('CASE MASTER'!$T$2:$T$495=8)*('CASE MASTER'!$U$2:$U$495&lt;=10)*('CASE MASTER'!$W$2:$W$495&gt;=10)*('CASE MASTER'!$V$2:$V$495&lt;=1)*('CASE MASTER'!$X$2:$X$495&gt;=1))*ROW('CASE MASTER'!$T$2:$T$495))-(ROW('CASE MASTER'!#REF!)-1))))*(INDEX('CASE MASTER'!$X$2:$X$495,(SUMPRODUCT((('CASE MASTER'!$T$2:$T$495=8)*('CASE MASTER'!$U$2:$U$495&lt;=10)*('CASE MASTER'!$W$2:$W$495&gt;=10)*('CASE MASTER'!$V$2:$V$495&lt;=1)*('CASE MASTER'!$X$2:$X$495&gt;=1))*ROW('CASE MASTER'!$T$2:$T$495))-(ROW('CASE MASTER'!#REF!)-1)))-INDEX('CASE MASTER'!$V$2:$V$495,(SUMPRODUCT((('CASE MASTER'!$T$2:$T$495=8)*('CASE MASTER'!$U$2:$U$495&lt;=10)*('CASE MASTER'!$W$2:$W$495&gt;=10)*('CASE MASTER'!$V$2:$V$495&lt;=1)*('CASE MASTER'!$X$2:$X$495&gt;=1))*ROW('CASE MASTER'!$T$2:$T$495))-(ROW('CASE MASTER'!#REF!)-1)))+1)+(1-INDEX('CASE MASTER'!$V$2:$V$495,(SUMPRODUCT((('CASE MASTER'!$T$2:$T$495=8)*('CASE MASTER'!$U$2:$U$495&lt;=10)*('CASE MASTER'!$W$2:$W$495&gt;=10)*('CASE MASTER'!$V$2:$V$495&lt;=1)*('CASE MASTER'!$X$2:$X$495&gt;=1))*ROW('CASE MASTER'!$T$2:$T$495))-(ROW('CASE MASTER'!#REF!)-1))))+1))-1)*50+1,50))&amp;"_"&amp;INDEX('CASE MASTER'!$Q$2:$Q$495,(SUMPRODUCT((('CASE MASTER'!$T$2:$T$495=8)*('CASE MASTER'!$U$2:$U$495&lt;=10)*('CASE MASTER'!$W$2:$W$495&gt;=10)*('CASE MASTER'!$V$2:$V$495&lt;=1)*('CASE MASTER'!$X$2:$X$495&gt;=1))*ROW('CASE MASTER'!$T$2:$T$495))-(ROW('CASE MASTER'!#REF!)-1))),IF(SUMPRODUCT((('CASE MASTER'!$T$2:$T$495=8)*('CASE MASTER'!$AA$2:$AA$495&lt;=10)*('CASE MASTER'!$AC$2:$AC$495&gt;=10)*('CASE MASTER'!$AB$2:$AB$495&lt;=1)*('CASE MASTER'!$AD$2:$AD$495&gt;=1))*ROW('CASE MASTER'!$T$2:$T$495))&gt;0,INDEX('CASE MASTER'!$Y$2:$Y$495,(SUMPRODUCT((('CASE MASTER'!$T$2:$T$495=8)*('CASE MASTER'!$AA$2:$AA$495&lt;=10)*('CASE MASTER'!$AC$2:$AC$495&gt;=10)*('CASE MASTER'!$AB$2:$AB$495&lt;=1)*('CASE MASTER'!$AD$2:$AD$495&gt;=1))*ROW('CASE MASTER'!$T$2:$T$495))-(ROW('CASE MASTER'!#REF!)-1)))&amp;TRIM(MID(SUBSTITUTE(SUBSTITUTE(INDEX('CASE MASTER'!$N$2:$N$495,(SUMPRODUCT((('CASE MASTER'!$T$2:$T$495=8)*('CASE MASTER'!$AA$2:$AA$495&lt;=10)*('CASE MASTER'!$AC$2:$AC$495&gt;=10)*('CASE MASTER'!$AB$2:$AB$495&lt;=1)*('CASE MASTER'!$AD$2:$AD$495&gt;=1))*ROW('CASE MASTER'!$T$2:$T$495))-(ROW('CASE MASTER'!#REF!)-1))),":",","),",",REPT(" ",50)),(((INDEX('CASE MASTER'!$Z$2:$Z$495,(SUMPRODUCT((('CASE MASTER'!$T$2:$T$495=8)*('CASE MASTER'!$AA$2:$AA$495&lt;=10)*('CASE MASTER'!$AC$2:$AC$495&gt;=10)*('CASE MASTER'!$AB$2:$AB$495&lt;=1)*('CASE MASTER'!$AD$2:$AD$495&gt;=1))*ROW('CASE MASTER'!$T$2:$T$495))-(ROW('CASE MASTER'!#REF!)-1)))+((10-INDEX('CASE MASTER'!$AA$2:$AA$495,(SUMPRODUCT((('CASE MASTER'!$T$2:$T$495=8)*('CASE MASTER'!$AA$2:$AA$495&lt;=10)*('CASE MASTER'!$AC$2:$AC$495&gt;=10)*('CASE MASTER'!$AB$2:$AB$495&lt;=1)*('CASE MASTER'!$AD$2:$AD$495&gt;=1))*ROW('CASE MASTER'!$T$2:$T$495))-(ROW('CASE MASTER'!#REF!)-1))))*(INDEX('CASE MASTER'!$AD$2:$AD$495,(SUMPRODUCT((('CASE MASTER'!$T$2:$T$495=8)*('CASE MASTER'!$AA$2:$AA$495&lt;=10)*('CASE MASTER'!$AC$2:$AC$495&gt;=10)*('CASE MASTER'!$AB$2:$AB$495&lt;=1)*('CASE MASTER'!$AD$2:$AD$495&gt;=1))*ROW('CASE MASTER'!$T$2:$T$495))-(ROW('CASE MASTER'!#REF!)-1)))-INDEX('CASE MASTER'!$AB$2:$AB$495,(SUMPRODUCT((('CASE MASTER'!$T$2:$T$495=8)*('CASE MASTER'!$AA$2:$AA$495&lt;=10)*('CASE MASTER'!$AC$2:$AC$495&gt;=10)*('CASE MASTER'!$AB$2:$AB$495&lt;=1)*('CASE MASTER'!$AD$2:$AD$495&gt;=1))*ROW('CASE MASTER'!$T$2:$T$495))-(ROW('CASE MASTER'!#REF!)-1)))+1)+(1-INDEX('CASE MASTER'!$AB$2:$AB$495,(SUMPRODUCT((('CASE MASTER'!$T$2:$T$495=8)*('CASE MASTER'!$AA$2:$AA$495&lt;=10)*('CASE MASTER'!$AC$2:$AC$495&gt;=10)*('CASE MASTER'!$AB$2:$AB$495&lt;=1)*('CASE MASTER'!$AD$2:$AD$495&gt;=1))*ROW('CASE MASTER'!$T$2:$T$495))-(ROW('CASE MASTER'!#REF!)-1))))+1)))-1)*50+1,50))&amp;"_"&amp;INDEX('CASE MASTER'!$Q$2:$Q$495,(SUMPRODUCT((('CASE MASTER'!$T$2:$T$495=8)*('CASE MASTER'!$AA$2:$AA$495&lt;=10)*('CASE MASTER'!$AC$2:$AC$495&gt;=10)*('CASE MASTER'!$AB$2:$AB$495&lt;=1)*('CASE MASTER'!$AD$2:$AD$495&gt;=1))*ROW('CASE MASTER'!$T$2:$T$495))-(ROW('CASE MASTER'!#REF!)-1))),"")),"")</f>
        <v/>
      </c>
      <c r="C110" s="10" t="str">
        <f>IFERROR(IF(SUMPRODUCT((('CASE MASTER'!$T$2:$T$495=8)*('CASE MASTER'!$U$2:$U$495&lt;=10)*('CASE MASTER'!$W$2:$W$495&gt;=10)*('CASE MASTER'!$V$2:$V$495&lt;=2)*('CASE MASTER'!$X$2:$X$495&gt;=2))*ROW('CASE MASTER'!$T$2:$T$495))&gt;0,INDEX('CASE MASTER'!$Y$2:$Y$495,(SUMPRODUCT((('CASE MASTER'!$T$2:$T$495=8)*('CASE MASTER'!$U$2:$U$495&lt;=10)*('CASE MASTER'!$W$2:$W$495&gt;=10)*('CASE MASTER'!$V$2:$V$495&lt;=2)*('CASE MASTER'!$X$2:$X$495&gt;=2))*ROW('CASE MASTER'!$T$2:$T$495))-(ROW('CASE MASTER'!#REF!)-1)))&amp;TRIM(MID(SUBSTITUTE(SUBSTITUTE(INDEX('CASE MASTER'!$N$2:$N$495,(SUMPRODUCT((('CASE MASTER'!$T$2:$T$495=8)*('CASE MASTER'!$U$2:$U$495&lt;=10)*('CASE MASTER'!$W$2:$W$495&gt;=10)*('CASE MASTER'!$V$2:$V$495&lt;=2)*('CASE MASTER'!$X$2:$X$495&gt;=2))*ROW('CASE MASTER'!$T$2:$T$495))-(ROW('CASE MASTER'!#REF!)-1))),":",","),",",REPT(" ",50)),((((10-INDEX('CASE MASTER'!$U$2:$U$495,(SUMPRODUCT((('CASE MASTER'!$T$2:$T$495=8)*('CASE MASTER'!$U$2:$U$495&lt;=10)*('CASE MASTER'!$W$2:$W$495&gt;=10)*('CASE MASTER'!$V$2:$V$495&lt;=2)*('CASE MASTER'!$X$2:$X$495&gt;=2))*ROW('CASE MASTER'!$T$2:$T$495))-(ROW('CASE MASTER'!#REF!)-1))))*(INDEX('CASE MASTER'!$X$2:$X$495,(SUMPRODUCT((('CASE MASTER'!$T$2:$T$495=8)*('CASE MASTER'!$U$2:$U$495&lt;=10)*('CASE MASTER'!$W$2:$W$495&gt;=10)*('CASE MASTER'!$V$2:$V$495&lt;=2)*('CASE MASTER'!$X$2:$X$495&gt;=2))*ROW('CASE MASTER'!$T$2:$T$495))-(ROW('CASE MASTER'!#REF!)-1)))-INDEX('CASE MASTER'!$V$2:$V$495,(SUMPRODUCT((('CASE MASTER'!$T$2:$T$495=8)*('CASE MASTER'!$U$2:$U$495&lt;=10)*('CASE MASTER'!$W$2:$W$495&gt;=10)*('CASE MASTER'!$V$2:$V$495&lt;=2)*('CASE MASTER'!$X$2:$X$495&gt;=2))*ROW('CASE MASTER'!$T$2:$T$495))-(ROW('CASE MASTER'!#REF!)-1)))+1)+(2-INDEX('CASE MASTER'!$V$2:$V$495,(SUMPRODUCT((('CASE MASTER'!$T$2:$T$495=8)*('CASE MASTER'!$U$2:$U$495&lt;=10)*('CASE MASTER'!$W$2:$W$495&gt;=10)*('CASE MASTER'!$V$2:$V$495&lt;=2)*('CASE MASTER'!$X$2:$X$495&gt;=2))*ROW('CASE MASTER'!$T$2:$T$495))-(ROW('CASE MASTER'!#REF!)-1))))+1))-1)*50+1,50))&amp;"_"&amp;INDEX('CASE MASTER'!$Q$2:$Q$495,(SUMPRODUCT((('CASE MASTER'!$T$2:$T$495=8)*('CASE MASTER'!$U$2:$U$495&lt;=10)*('CASE MASTER'!$W$2:$W$495&gt;=10)*('CASE MASTER'!$V$2:$V$495&lt;=2)*('CASE MASTER'!$X$2:$X$495&gt;=2))*ROW('CASE MASTER'!$T$2:$T$495))-(ROW('CASE MASTER'!#REF!)-1))),IF(SUMPRODUCT((('CASE MASTER'!$T$2:$T$495=8)*('CASE MASTER'!$AA$2:$AA$495&lt;=10)*('CASE MASTER'!$AC$2:$AC$495&gt;=10)*('CASE MASTER'!$AB$2:$AB$495&lt;=2)*('CASE MASTER'!$AD$2:$AD$495&gt;=2))*ROW('CASE MASTER'!$T$2:$T$495))&gt;0,INDEX('CASE MASTER'!$Y$2:$Y$495,(SUMPRODUCT((('CASE MASTER'!$T$2:$T$495=8)*('CASE MASTER'!$AA$2:$AA$495&lt;=10)*('CASE MASTER'!$AC$2:$AC$495&gt;=10)*('CASE MASTER'!$AB$2:$AB$495&lt;=2)*('CASE MASTER'!$AD$2:$AD$495&gt;=2))*ROW('CASE MASTER'!$T$2:$T$495))-(ROW('CASE MASTER'!#REF!)-1)))&amp;TRIM(MID(SUBSTITUTE(SUBSTITUTE(INDEX('CASE MASTER'!$N$2:$N$495,(SUMPRODUCT((('CASE MASTER'!$T$2:$T$495=8)*('CASE MASTER'!$AA$2:$AA$495&lt;=10)*('CASE MASTER'!$AC$2:$AC$495&gt;=10)*('CASE MASTER'!$AB$2:$AB$495&lt;=2)*('CASE MASTER'!$AD$2:$AD$495&gt;=2))*ROW('CASE MASTER'!$T$2:$T$495))-(ROW('CASE MASTER'!#REF!)-1))),":",","),",",REPT(" ",50)),(((INDEX('CASE MASTER'!$Z$2:$Z$495,(SUMPRODUCT((('CASE MASTER'!$T$2:$T$495=8)*('CASE MASTER'!$AA$2:$AA$495&lt;=10)*('CASE MASTER'!$AC$2:$AC$495&gt;=10)*('CASE MASTER'!$AB$2:$AB$495&lt;=2)*('CASE MASTER'!$AD$2:$AD$495&gt;=2))*ROW('CASE MASTER'!$T$2:$T$495))-(ROW('CASE MASTER'!#REF!)-1)))+((10-INDEX('CASE MASTER'!$AA$2:$AA$495,(SUMPRODUCT((('CASE MASTER'!$T$2:$T$495=8)*('CASE MASTER'!$AA$2:$AA$495&lt;=10)*('CASE MASTER'!$AC$2:$AC$495&gt;=10)*('CASE MASTER'!$AB$2:$AB$495&lt;=2)*('CASE MASTER'!$AD$2:$AD$495&gt;=2))*ROW('CASE MASTER'!$T$2:$T$495))-(ROW('CASE MASTER'!#REF!)-1))))*(INDEX('CASE MASTER'!$AD$2:$AD$495,(SUMPRODUCT((('CASE MASTER'!$T$2:$T$495=8)*('CASE MASTER'!$AA$2:$AA$495&lt;=10)*('CASE MASTER'!$AC$2:$AC$495&gt;=10)*('CASE MASTER'!$AB$2:$AB$495&lt;=2)*('CASE MASTER'!$AD$2:$AD$495&gt;=2))*ROW('CASE MASTER'!$T$2:$T$495))-(ROW('CASE MASTER'!#REF!)-1)))-INDEX('CASE MASTER'!$AB$2:$AB$495,(SUMPRODUCT((('CASE MASTER'!$T$2:$T$495=8)*('CASE MASTER'!$AA$2:$AA$495&lt;=10)*('CASE MASTER'!$AC$2:$AC$495&gt;=10)*('CASE MASTER'!$AB$2:$AB$495&lt;=2)*('CASE MASTER'!$AD$2:$AD$495&gt;=2))*ROW('CASE MASTER'!$T$2:$T$495))-(ROW('CASE MASTER'!#REF!)-1)))+1)+(2-INDEX('CASE MASTER'!$AB$2:$AB$495,(SUMPRODUCT((('CASE MASTER'!$T$2:$T$495=8)*('CASE MASTER'!$AA$2:$AA$495&lt;=10)*('CASE MASTER'!$AC$2:$AC$495&gt;=10)*('CASE MASTER'!$AB$2:$AB$495&lt;=2)*('CASE MASTER'!$AD$2:$AD$495&gt;=2))*ROW('CASE MASTER'!$T$2:$T$495))-(ROW('CASE MASTER'!#REF!)-1))))+1)))-1)*50+1,50))&amp;"_"&amp;INDEX('CASE MASTER'!$Q$2:$Q$495,(SUMPRODUCT((('CASE MASTER'!$T$2:$T$495=8)*('CASE MASTER'!$AA$2:$AA$495&lt;=10)*('CASE MASTER'!$AC$2:$AC$495&gt;=10)*('CASE MASTER'!$AB$2:$AB$495&lt;=2)*('CASE MASTER'!$AD$2:$AD$495&gt;=2))*ROW('CASE MASTER'!$T$2:$T$495))-(ROW('CASE MASTER'!#REF!)-1))),"")),"")</f>
        <v/>
      </c>
      <c r="D110" s="10" t="str">
        <f>IFERROR(IF(SUMPRODUCT((('CASE MASTER'!$T$2:$T$495=8)*('CASE MASTER'!$U$2:$U$495&lt;=10)*('CASE MASTER'!$W$2:$W$495&gt;=10)*('CASE MASTER'!$V$2:$V$495&lt;=3)*('CASE MASTER'!$X$2:$X$495&gt;=3))*ROW('CASE MASTER'!$T$2:$T$495))&gt;0,INDEX('CASE MASTER'!$Y$2:$Y$495,(SUMPRODUCT((('CASE MASTER'!$T$2:$T$495=8)*('CASE MASTER'!$U$2:$U$495&lt;=10)*('CASE MASTER'!$W$2:$W$495&gt;=10)*('CASE MASTER'!$V$2:$V$495&lt;=3)*('CASE MASTER'!$X$2:$X$495&gt;=3))*ROW('CASE MASTER'!$T$2:$T$495))-(ROW('CASE MASTER'!#REF!)-1)))&amp;TRIM(MID(SUBSTITUTE(SUBSTITUTE(INDEX('CASE MASTER'!$N$2:$N$495,(SUMPRODUCT((('CASE MASTER'!$T$2:$T$495=8)*('CASE MASTER'!$U$2:$U$495&lt;=10)*('CASE MASTER'!$W$2:$W$495&gt;=10)*('CASE MASTER'!$V$2:$V$495&lt;=3)*('CASE MASTER'!$X$2:$X$495&gt;=3))*ROW('CASE MASTER'!$T$2:$T$495))-(ROW('CASE MASTER'!#REF!)-1))),":",","),",",REPT(" ",50)),((((10-INDEX('CASE MASTER'!$U$2:$U$495,(SUMPRODUCT((('CASE MASTER'!$T$2:$T$495=8)*('CASE MASTER'!$U$2:$U$495&lt;=10)*('CASE MASTER'!$W$2:$W$495&gt;=10)*('CASE MASTER'!$V$2:$V$495&lt;=3)*('CASE MASTER'!$X$2:$X$495&gt;=3))*ROW('CASE MASTER'!$T$2:$T$495))-(ROW('CASE MASTER'!#REF!)-1))))*(INDEX('CASE MASTER'!$X$2:$X$495,(SUMPRODUCT((('CASE MASTER'!$T$2:$T$495=8)*('CASE MASTER'!$U$2:$U$495&lt;=10)*('CASE MASTER'!$W$2:$W$495&gt;=10)*('CASE MASTER'!$V$2:$V$495&lt;=3)*('CASE MASTER'!$X$2:$X$495&gt;=3))*ROW('CASE MASTER'!$T$2:$T$495))-(ROW('CASE MASTER'!#REF!)-1)))-INDEX('CASE MASTER'!$V$2:$V$495,(SUMPRODUCT((('CASE MASTER'!$T$2:$T$495=8)*('CASE MASTER'!$U$2:$U$495&lt;=10)*('CASE MASTER'!$W$2:$W$495&gt;=10)*('CASE MASTER'!$V$2:$V$495&lt;=3)*('CASE MASTER'!$X$2:$X$495&gt;=3))*ROW('CASE MASTER'!$T$2:$T$495))-(ROW('CASE MASTER'!#REF!)-1)))+1)+(3-INDEX('CASE MASTER'!$V$2:$V$495,(SUMPRODUCT((('CASE MASTER'!$T$2:$T$495=8)*('CASE MASTER'!$U$2:$U$495&lt;=10)*('CASE MASTER'!$W$2:$W$495&gt;=10)*('CASE MASTER'!$V$2:$V$495&lt;=3)*('CASE MASTER'!$X$2:$X$495&gt;=3))*ROW('CASE MASTER'!$T$2:$T$495))-(ROW('CASE MASTER'!#REF!)-1))))+1))-1)*50+1,50))&amp;"_"&amp;INDEX('CASE MASTER'!$Q$2:$Q$495,(SUMPRODUCT((('CASE MASTER'!$T$2:$T$495=8)*('CASE MASTER'!$U$2:$U$495&lt;=10)*('CASE MASTER'!$W$2:$W$495&gt;=10)*('CASE MASTER'!$V$2:$V$495&lt;=3)*('CASE MASTER'!$X$2:$X$495&gt;=3))*ROW('CASE MASTER'!$T$2:$T$495))-(ROW('CASE MASTER'!#REF!)-1))),IF(SUMPRODUCT((('CASE MASTER'!$T$2:$T$495=8)*('CASE MASTER'!$AA$2:$AA$495&lt;=10)*('CASE MASTER'!$AC$2:$AC$495&gt;=10)*('CASE MASTER'!$AB$2:$AB$495&lt;=3)*('CASE MASTER'!$AD$2:$AD$495&gt;=3))*ROW('CASE MASTER'!$T$2:$T$495))&gt;0,INDEX('CASE MASTER'!$Y$2:$Y$495,(SUMPRODUCT((('CASE MASTER'!$T$2:$T$495=8)*('CASE MASTER'!$AA$2:$AA$495&lt;=10)*('CASE MASTER'!$AC$2:$AC$495&gt;=10)*('CASE MASTER'!$AB$2:$AB$495&lt;=3)*('CASE MASTER'!$AD$2:$AD$495&gt;=3))*ROW('CASE MASTER'!$T$2:$T$495))-(ROW('CASE MASTER'!#REF!)-1)))&amp;TRIM(MID(SUBSTITUTE(SUBSTITUTE(INDEX('CASE MASTER'!$N$2:$N$495,(SUMPRODUCT((('CASE MASTER'!$T$2:$T$495=8)*('CASE MASTER'!$AA$2:$AA$495&lt;=10)*('CASE MASTER'!$AC$2:$AC$495&gt;=10)*('CASE MASTER'!$AB$2:$AB$495&lt;=3)*('CASE MASTER'!$AD$2:$AD$495&gt;=3))*ROW('CASE MASTER'!$T$2:$T$495))-(ROW('CASE MASTER'!#REF!)-1))),":",","),",",REPT(" ",50)),(((INDEX('CASE MASTER'!$Z$2:$Z$495,(SUMPRODUCT((('CASE MASTER'!$T$2:$T$495=8)*('CASE MASTER'!$AA$2:$AA$495&lt;=10)*('CASE MASTER'!$AC$2:$AC$495&gt;=10)*('CASE MASTER'!$AB$2:$AB$495&lt;=3)*('CASE MASTER'!$AD$2:$AD$495&gt;=3))*ROW('CASE MASTER'!$T$2:$T$495))-(ROW('CASE MASTER'!#REF!)-1)))+((10-INDEX('CASE MASTER'!$AA$2:$AA$495,(SUMPRODUCT((('CASE MASTER'!$T$2:$T$495=8)*('CASE MASTER'!$AA$2:$AA$495&lt;=10)*('CASE MASTER'!$AC$2:$AC$495&gt;=10)*('CASE MASTER'!$AB$2:$AB$495&lt;=3)*('CASE MASTER'!$AD$2:$AD$495&gt;=3))*ROW('CASE MASTER'!$T$2:$T$495))-(ROW('CASE MASTER'!#REF!)-1))))*(INDEX('CASE MASTER'!$AD$2:$AD$495,(SUMPRODUCT((('CASE MASTER'!$T$2:$T$495=8)*('CASE MASTER'!$AA$2:$AA$495&lt;=10)*('CASE MASTER'!$AC$2:$AC$495&gt;=10)*('CASE MASTER'!$AB$2:$AB$495&lt;=3)*('CASE MASTER'!$AD$2:$AD$495&gt;=3))*ROW('CASE MASTER'!$T$2:$T$495))-(ROW('CASE MASTER'!#REF!)-1)))-INDEX('CASE MASTER'!$AB$2:$AB$495,(SUMPRODUCT((('CASE MASTER'!$T$2:$T$495=8)*('CASE MASTER'!$AA$2:$AA$495&lt;=10)*('CASE MASTER'!$AC$2:$AC$495&gt;=10)*('CASE MASTER'!$AB$2:$AB$495&lt;=3)*('CASE MASTER'!$AD$2:$AD$495&gt;=3))*ROW('CASE MASTER'!$T$2:$T$495))-(ROW('CASE MASTER'!#REF!)-1)))+1)+(3-INDEX('CASE MASTER'!$AB$2:$AB$495,(SUMPRODUCT((('CASE MASTER'!$T$2:$T$495=8)*('CASE MASTER'!$AA$2:$AA$495&lt;=10)*('CASE MASTER'!$AC$2:$AC$495&gt;=10)*('CASE MASTER'!$AB$2:$AB$495&lt;=3)*('CASE MASTER'!$AD$2:$AD$495&gt;=3))*ROW('CASE MASTER'!$T$2:$T$495))-(ROW('CASE MASTER'!#REF!)-1))))+1)))-1)*50+1,50))&amp;"_"&amp;INDEX('CASE MASTER'!$Q$2:$Q$495,(SUMPRODUCT((('CASE MASTER'!$T$2:$T$495=8)*('CASE MASTER'!$AA$2:$AA$495&lt;=10)*('CASE MASTER'!$AC$2:$AC$495&gt;=10)*('CASE MASTER'!$AB$2:$AB$495&lt;=3)*('CASE MASTER'!$AD$2:$AD$495&gt;=3))*ROW('CASE MASTER'!$T$2:$T$495))-(ROW('CASE MASTER'!#REF!)-1))),"")),"")</f>
        <v/>
      </c>
      <c r="E110" s="10" t="str">
        <f>IFERROR(IF(SUMPRODUCT((('CASE MASTER'!$T$2:$T$495=8)*('CASE MASTER'!$U$2:$U$495&lt;=10)*('CASE MASTER'!$W$2:$W$495&gt;=10)*('CASE MASTER'!$V$2:$V$495&lt;=4)*('CASE MASTER'!$X$2:$X$495&gt;=4))*ROW('CASE MASTER'!$T$2:$T$495))&gt;0,INDEX('CASE MASTER'!$Y$2:$Y$495,(SUMPRODUCT((('CASE MASTER'!$T$2:$T$495=8)*('CASE MASTER'!$U$2:$U$495&lt;=10)*('CASE MASTER'!$W$2:$W$495&gt;=10)*('CASE MASTER'!$V$2:$V$495&lt;=4)*('CASE MASTER'!$X$2:$X$495&gt;=4))*ROW('CASE MASTER'!$T$2:$T$495))-(ROW('CASE MASTER'!#REF!)-1)))&amp;TRIM(MID(SUBSTITUTE(SUBSTITUTE(INDEX('CASE MASTER'!$N$2:$N$495,(SUMPRODUCT((('CASE MASTER'!$T$2:$T$495=8)*('CASE MASTER'!$U$2:$U$495&lt;=10)*('CASE MASTER'!$W$2:$W$495&gt;=10)*('CASE MASTER'!$V$2:$V$495&lt;=4)*('CASE MASTER'!$X$2:$X$495&gt;=4))*ROW('CASE MASTER'!$T$2:$T$495))-(ROW('CASE MASTER'!#REF!)-1))),":",","),",",REPT(" ",50)),((((10-INDEX('CASE MASTER'!$U$2:$U$495,(SUMPRODUCT((('CASE MASTER'!$T$2:$T$495=8)*('CASE MASTER'!$U$2:$U$495&lt;=10)*('CASE MASTER'!$W$2:$W$495&gt;=10)*('CASE MASTER'!$V$2:$V$495&lt;=4)*('CASE MASTER'!$X$2:$X$495&gt;=4))*ROW('CASE MASTER'!$T$2:$T$495))-(ROW('CASE MASTER'!#REF!)-1))))*(INDEX('CASE MASTER'!$X$2:$X$495,(SUMPRODUCT((('CASE MASTER'!$T$2:$T$495=8)*('CASE MASTER'!$U$2:$U$495&lt;=10)*('CASE MASTER'!$W$2:$W$495&gt;=10)*('CASE MASTER'!$V$2:$V$495&lt;=4)*('CASE MASTER'!$X$2:$X$495&gt;=4))*ROW('CASE MASTER'!$T$2:$T$495))-(ROW('CASE MASTER'!#REF!)-1)))-INDEX('CASE MASTER'!$V$2:$V$495,(SUMPRODUCT((('CASE MASTER'!$T$2:$T$495=8)*('CASE MASTER'!$U$2:$U$495&lt;=10)*('CASE MASTER'!$W$2:$W$495&gt;=10)*('CASE MASTER'!$V$2:$V$495&lt;=4)*('CASE MASTER'!$X$2:$X$495&gt;=4))*ROW('CASE MASTER'!$T$2:$T$495))-(ROW('CASE MASTER'!#REF!)-1)))+1)+(4-INDEX('CASE MASTER'!$V$2:$V$495,(SUMPRODUCT((('CASE MASTER'!$T$2:$T$495=8)*('CASE MASTER'!$U$2:$U$495&lt;=10)*('CASE MASTER'!$W$2:$W$495&gt;=10)*('CASE MASTER'!$V$2:$V$495&lt;=4)*('CASE MASTER'!$X$2:$X$495&gt;=4))*ROW('CASE MASTER'!$T$2:$T$495))-(ROW('CASE MASTER'!#REF!)-1))))+1))-1)*50+1,50))&amp;"_"&amp;INDEX('CASE MASTER'!$Q$2:$Q$495,(SUMPRODUCT((('CASE MASTER'!$T$2:$T$495=8)*('CASE MASTER'!$U$2:$U$495&lt;=10)*('CASE MASTER'!$W$2:$W$495&gt;=10)*('CASE MASTER'!$V$2:$V$495&lt;=4)*('CASE MASTER'!$X$2:$X$495&gt;=4))*ROW('CASE MASTER'!$T$2:$T$495))-(ROW('CASE MASTER'!#REF!)-1))),IF(SUMPRODUCT((('CASE MASTER'!$T$2:$T$495=8)*('CASE MASTER'!$AA$2:$AA$495&lt;=10)*('CASE MASTER'!$AC$2:$AC$495&gt;=10)*('CASE MASTER'!$AB$2:$AB$495&lt;=4)*('CASE MASTER'!$AD$2:$AD$495&gt;=4))*ROW('CASE MASTER'!$T$2:$T$495))&gt;0,INDEX('CASE MASTER'!$Y$2:$Y$495,(SUMPRODUCT((('CASE MASTER'!$T$2:$T$495=8)*('CASE MASTER'!$AA$2:$AA$495&lt;=10)*('CASE MASTER'!$AC$2:$AC$495&gt;=10)*('CASE MASTER'!$AB$2:$AB$495&lt;=4)*('CASE MASTER'!$AD$2:$AD$495&gt;=4))*ROW('CASE MASTER'!$T$2:$T$495))-(ROW('CASE MASTER'!#REF!)-1)))&amp;TRIM(MID(SUBSTITUTE(SUBSTITUTE(INDEX('CASE MASTER'!$N$2:$N$495,(SUMPRODUCT((('CASE MASTER'!$T$2:$T$495=8)*('CASE MASTER'!$AA$2:$AA$495&lt;=10)*('CASE MASTER'!$AC$2:$AC$495&gt;=10)*('CASE MASTER'!$AB$2:$AB$495&lt;=4)*('CASE MASTER'!$AD$2:$AD$495&gt;=4))*ROW('CASE MASTER'!$T$2:$T$495))-(ROW('CASE MASTER'!#REF!)-1))),":",","),",",REPT(" ",50)),(((INDEX('CASE MASTER'!$Z$2:$Z$495,(SUMPRODUCT((('CASE MASTER'!$T$2:$T$495=8)*('CASE MASTER'!$AA$2:$AA$495&lt;=10)*('CASE MASTER'!$AC$2:$AC$495&gt;=10)*('CASE MASTER'!$AB$2:$AB$495&lt;=4)*('CASE MASTER'!$AD$2:$AD$495&gt;=4))*ROW('CASE MASTER'!$T$2:$T$495))-(ROW('CASE MASTER'!#REF!)-1)))+((10-INDEX('CASE MASTER'!$AA$2:$AA$495,(SUMPRODUCT((('CASE MASTER'!$T$2:$T$495=8)*('CASE MASTER'!$AA$2:$AA$495&lt;=10)*('CASE MASTER'!$AC$2:$AC$495&gt;=10)*('CASE MASTER'!$AB$2:$AB$495&lt;=4)*('CASE MASTER'!$AD$2:$AD$495&gt;=4))*ROW('CASE MASTER'!$T$2:$T$495))-(ROW('CASE MASTER'!#REF!)-1))))*(INDEX('CASE MASTER'!$AD$2:$AD$495,(SUMPRODUCT((('CASE MASTER'!$T$2:$T$495=8)*('CASE MASTER'!$AA$2:$AA$495&lt;=10)*('CASE MASTER'!$AC$2:$AC$495&gt;=10)*('CASE MASTER'!$AB$2:$AB$495&lt;=4)*('CASE MASTER'!$AD$2:$AD$495&gt;=4))*ROW('CASE MASTER'!$T$2:$T$495))-(ROW('CASE MASTER'!#REF!)-1)))-INDEX('CASE MASTER'!$AB$2:$AB$495,(SUMPRODUCT((('CASE MASTER'!$T$2:$T$495=8)*('CASE MASTER'!$AA$2:$AA$495&lt;=10)*('CASE MASTER'!$AC$2:$AC$495&gt;=10)*('CASE MASTER'!$AB$2:$AB$495&lt;=4)*('CASE MASTER'!$AD$2:$AD$495&gt;=4))*ROW('CASE MASTER'!$T$2:$T$495))-(ROW('CASE MASTER'!#REF!)-1)))+1)+(4-INDEX('CASE MASTER'!$AB$2:$AB$495,(SUMPRODUCT((('CASE MASTER'!$T$2:$T$495=8)*('CASE MASTER'!$AA$2:$AA$495&lt;=10)*('CASE MASTER'!$AC$2:$AC$495&gt;=10)*('CASE MASTER'!$AB$2:$AB$495&lt;=4)*('CASE MASTER'!$AD$2:$AD$495&gt;=4))*ROW('CASE MASTER'!$T$2:$T$495))-(ROW('CASE MASTER'!#REF!)-1))))+1)))-1)*50+1,50))&amp;"_"&amp;INDEX('CASE MASTER'!$Q$2:$Q$495,(SUMPRODUCT((('CASE MASTER'!$T$2:$T$495=8)*('CASE MASTER'!$AA$2:$AA$495&lt;=10)*('CASE MASTER'!$AC$2:$AC$495&gt;=10)*('CASE MASTER'!$AB$2:$AB$495&lt;=4)*('CASE MASTER'!$AD$2:$AD$495&gt;=4))*ROW('CASE MASTER'!$T$2:$T$495))-(ROW('CASE MASTER'!#REF!)-1))),"")),"")</f>
        <v/>
      </c>
      <c r="F110" s="10" t="str">
        <f>IFERROR(IF(SUMPRODUCT((('CASE MASTER'!$T$2:$T$495=8)*('CASE MASTER'!$U$2:$U$495&lt;=10)*('CASE MASTER'!$W$2:$W$495&gt;=10)*('CASE MASTER'!$V$2:$V$495&lt;=5)*('CASE MASTER'!$X$2:$X$495&gt;=5))*ROW('CASE MASTER'!$T$2:$T$495))&gt;0,INDEX('CASE MASTER'!$Y$2:$Y$495,(SUMPRODUCT((('CASE MASTER'!$T$2:$T$495=8)*('CASE MASTER'!$U$2:$U$495&lt;=10)*('CASE MASTER'!$W$2:$W$495&gt;=10)*('CASE MASTER'!$V$2:$V$495&lt;=5)*('CASE MASTER'!$X$2:$X$495&gt;=5))*ROW('CASE MASTER'!$T$2:$T$495))-(ROW('CASE MASTER'!#REF!)-1)))&amp;TRIM(MID(SUBSTITUTE(SUBSTITUTE(INDEX('CASE MASTER'!$N$2:$N$495,(SUMPRODUCT((('CASE MASTER'!$T$2:$T$495=8)*('CASE MASTER'!$U$2:$U$495&lt;=10)*('CASE MASTER'!$W$2:$W$495&gt;=10)*('CASE MASTER'!$V$2:$V$495&lt;=5)*('CASE MASTER'!$X$2:$X$495&gt;=5))*ROW('CASE MASTER'!$T$2:$T$495))-(ROW('CASE MASTER'!#REF!)-1))),":",","),",",REPT(" ",50)),((((10-INDEX('CASE MASTER'!$U$2:$U$495,(SUMPRODUCT((('CASE MASTER'!$T$2:$T$495=8)*('CASE MASTER'!$U$2:$U$495&lt;=10)*('CASE MASTER'!$W$2:$W$495&gt;=10)*('CASE MASTER'!$V$2:$V$495&lt;=5)*('CASE MASTER'!$X$2:$X$495&gt;=5))*ROW('CASE MASTER'!$T$2:$T$495))-(ROW('CASE MASTER'!#REF!)-1))))*(INDEX('CASE MASTER'!$X$2:$X$495,(SUMPRODUCT((('CASE MASTER'!$T$2:$T$495=8)*('CASE MASTER'!$U$2:$U$495&lt;=10)*('CASE MASTER'!$W$2:$W$495&gt;=10)*('CASE MASTER'!$V$2:$V$495&lt;=5)*('CASE MASTER'!$X$2:$X$495&gt;=5))*ROW('CASE MASTER'!$T$2:$T$495))-(ROW('CASE MASTER'!#REF!)-1)))-INDEX('CASE MASTER'!$V$2:$V$495,(SUMPRODUCT((('CASE MASTER'!$T$2:$T$495=8)*('CASE MASTER'!$U$2:$U$495&lt;=10)*('CASE MASTER'!$W$2:$W$495&gt;=10)*('CASE MASTER'!$V$2:$V$495&lt;=5)*('CASE MASTER'!$X$2:$X$495&gt;=5))*ROW('CASE MASTER'!$T$2:$T$495))-(ROW('CASE MASTER'!#REF!)-1)))+1)+(5-INDEX('CASE MASTER'!$V$2:$V$495,(SUMPRODUCT((('CASE MASTER'!$T$2:$T$495=8)*('CASE MASTER'!$U$2:$U$495&lt;=10)*('CASE MASTER'!$W$2:$W$495&gt;=10)*('CASE MASTER'!$V$2:$V$495&lt;=5)*('CASE MASTER'!$X$2:$X$495&gt;=5))*ROW('CASE MASTER'!$T$2:$T$495))-(ROW('CASE MASTER'!#REF!)-1))))+1))-1)*50+1,50))&amp;"_"&amp;INDEX('CASE MASTER'!$Q$2:$Q$495,(SUMPRODUCT((('CASE MASTER'!$T$2:$T$495=8)*('CASE MASTER'!$U$2:$U$495&lt;=10)*('CASE MASTER'!$W$2:$W$495&gt;=10)*('CASE MASTER'!$V$2:$V$495&lt;=5)*('CASE MASTER'!$X$2:$X$495&gt;=5))*ROW('CASE MASTER'!$T$2:$T$495))-(ROW('CASE MASTER'!#REF!)-1))),IF(SUMPRODUCT((('CASE MASTER'!$T$2:$T$495=8)*('CASE MASTER'!$AA$2:$AA$495&lt;=10)*('CASE MASTER'!$AC$2:$AC$495&gt;=10)*('CASE MASTER'!$AB$2:$AB$495&lt;=5)*('CASE MASTER'!$AD$2:$AD$495&gt;=5))*ROW('CASE MASTER'!$T$2:$T$495))&gt;0,INDEX('CASE MASTER'!$Y$2:$Y$495,(SUMPRODUCT((('CASE MASTER'!$T$2:$T$495=8)*('CASE MASTER'!$AA$2:$AA$495&lt;=10)*('CASE MASTER'!$AC$2:$AC$495&gt;=10)*('CASE MASTER'!$AB$2:$AB$495&lt;=5)*('CASE MASTER'!$AD$2:$AD$495&gt;=5))*ROW('CASE MASTER'!$T$2:$T$495))-(ROW('CASE MASTER'!#REF!)-1)))&amp;TRIM(MID(SUBSTITUTE(SUBSTITUTE(INDEX('CASE MASTER'!$N$2:$N$495,(SUMPRODUCT((('CASE MASTER'!$T$2:$T$495=8)*('CASE MASTER'!$AA$2:$AA$495&lt;=10)*('CASE MASTER'!$AC$2:$AC$495&gt;=10)*('CASE MASTER'!$AB$2:$AB$495&lt;=5)*('CASE MASTER'!$AD$2:$AD$495&gt;=5))*ROW('CASE MASTER'!$T$2:$T$495))-(ROW('CASE MASTER'!#REF!)-1))),":",","),",",REPT(" ",50)),(((INDEX('CASE MASTER'!$Z$2:$Z$495,(SUMPRODUCT((('CASE MASTER'!$T$2:$T$495=8)*('CASE MASTER'!$AA$2:$AA$495&lt;=10)*('CASE MASTER'!$AC$2:$AC$495&gt;=10)*('CASE MASTER'!$AB$2:$AB$495&lt;=5)*('CASE MASTER'!$AD$2:$AD$495&gt;=5))*ROW('CASE MASTER'!$T$2:$T$495))-(ROW('CASE MASTER'!#REF!)-1)))+((10-INDEX('CASE MASTER'!$AA$2:$AA$495,(SUMPRODUCT((('CASE MASTER'!$T$2:$T$495=8)*('CASE MASTER'!$AA$2:$AA$495&lt;=10)*('CASE MASTER'!$AC$2:$AC$495&gt;=10)*('CASE MASTER'!$AB$2:$AB$495&lt;=5)*('CASE MASTER'!$AD$2:$AD$495&gt;=5))*ROW('CASE MASTER'!$T$2:$T$495))-(ROW('CASE MASTER'!#REF!)-1))))*(INDEX('CASE MASTER'!$AD$2:$AD$495,(SUMPRODUCT((('CASE MASTER'!$T$2:$T$495=8)*('CASE MASTER'!$AA$2:$AA$495&lt;=10)*('CASE MASTER'!$AC$2:$AC$495&gt;=10)*('CASE MASTER'!$AB$2:$AB$495&lt;=5)*('CASE MASTER'!$AD$2:$AD$495&gt;=5))*ROW('CASE MASTER'!$T$2:$T$495))-(ROW('CASE MASTER'!#REF!)-1)))-INDEX('CASE MASTER'!$AB$2:$AB$495,(SUMPRODUCT((('CASE MASTER'!$T$2:$T$495=8)*('CASE MASTER'!$AA$2:$AA$495&lt;=10)*('CASE MASTER'!$AC$2:$AC$495&gt;=10)*('CASE MASTER'!$AB$2:$AB$495&lt;=5)*('CASE MASTER'!$AD$2:$AD$495&gt;=5))*ROW('CASE MASTER'!$T$2:$T$495))-(ROW('CASE MASTER'!#REF!)-1)))+1)+(5-INDEX('CASE MASTER'!$AB$2:$AB$495,(SUMPRODUCT((('CASE MASTER'!$T$2:$T$495=8)*('CASE MASTER'!$AA$2:$AA$495&lt;=10)*('CASE MASTER'!$AC$2:$AC$495&gt;=10)*('CASE MASTER'!$AB$2:$AB$495&lt;=5)*('CASE MASTER'!$AD$2:$AD$495&gt;=5))*ROW('CASE MASTER'!$T$2:$T$495))-(ROW('CASE MASTER'!#REF!)-1))))+1)))-1)*50+1,50))&amp;"_"&amp;INDEX('CASE MASTER'!$Q$2:$Q$495,(SUMPRODUCT((('CASE MASTER'!$T$2:$T$495=8)*('CASE MASTER'!$AA$2:$AA$495&lt;=10)*('CASE MASTER'!$AC$2:$AC$495&gt;=10)*('CASE MASTER'!$AB$2:$AB$495&lt;=5)*('CASE MASTER'!$AD$2:$AD$495&gt;=5))*ROW('CASE MASTER'!$T$2:$T$495))-(ROW('CASE MASTER'!#REF!)-1))),"")),"")</f>
        <v/>
      </c>
      <c r="G110" s="10" t="str">
        <f>IFERROR(IF(SUMPRODUCT((('CASE MASTER'!$T$2:$T$495=8)*('CASE MASTER'!$U$2:$U$495&lt;=10)*('CASE MASTER'!$W$2:$W$495&gt;=10)*('CASE MASTER'!$V$2:$V$495&lt;=6)*('CASE MASTER'!$X$2:$X$495&gt;=6))*ROW('CASE MASTER'!$T$2:$T$495))&gt;0,INDEX('CASE MASTER'!$Y$2:$Y$495,(SUMPRODUCT((('CASE MASTER'!$T$2:$T$495=8)*('CASE MASTER'!$U$2:$U$495&lt;=10)*('CASE MASTER'!$W$2:$W$495&gt;=10)*('CASE MASTER'!$V$2:$V$495&lt;=6)*('CASE MASTER'!$X$2:$X$495&gt;=6))*ROW('CASE MASTER'!$T$2:$T$495))-(ROW('CASE MASTER'!#REF!)-1)))&amp;TRIM(MID(SUBSTITUTE(SUBSTITUTE(INDEX('CASE MASTER'!$N$2:$N$495,(SUMPRODUCT((('CASE MASTER'!$T$2:$T$495=8)*('CASE MASTER'!$U$2:$U$495&lt;=10)*('CASE MASTER'!$W$2:$W$495&gt;=10)*('CASE MASTER'!$V$2:$V$495&lt;=6)*('CASE MASTER'!$X$2:$X$495&gt;=6))*ROW('CASE MASTER'!$T$2:$T$495))-(ROW('CASE MASTER'!#REF!)-1))),":",","),",",REPT(" ",50)),((((10-INDEX('CASE MASTER'!$U$2:$U$495,(SUMPRODUCT((('CASE MASTER'!$T$2:$T$495=8)*('CASE MASTER'!$U$2:$U$495&lt;=10)*('CASE MASTER'!$W$2:$W$495&gt;=10)*('CASE MASTER'!$V$2:$V$495&lt;=6)*('CASE MASTER'!$X$2:$X$495&gt;=6))*ROW('CASE MASTER'!$T$2:$T$495))-(ROW('CASE MASTER'!#REF!)-1))))*(INDEX('CASE MASTER'!$X$2:$X$495,(SUMPRODUCT((('CASE MASTER'!$T$2:$T$495=8)*('CASE MASTER'!$U$2:$U$495&lt;=10)*('CASE MASTER'!$W$2:$W$495&gt;=10)*('CASE MASTER'!$V$2:$V$495&lt;=6)*('CASE MASTER'!$X$2:$X$495&gt;=6))*ROW('CASE MASTER'!$T$2:$T$495))-(ROW('CASE MASTER'!#REF!)-1)))-INDEX('CASE MASTER'!$V$2:$V$495,(SUMPRODUCT((('CASE MASTER'!$T$2:$T$495=8)*('CASE MASTER'!$U$2:$U$495&lt;=10)*('CASE MASTER'!$W$2:$W$495&gt;=10)*('CASE MASTER'!$V$2:$V$495&lt;=6)*('CASE MASTER'!$X$2:$X$495&gt;=6))*ROW('CASE MASTER'!$T$2:$T$495))-(ROW('CASE MASTER'!#REF!)-1)))+1)+(6-INDEX('CASE MASTER'!$V$2:$V$495,(SUMPRODUCT((('CASE MASTER'!$T$2:$T$495=8)*('CASE MASTER'!$U$2:$U$495&lt;=10)*('CASE MASTER'!$W$2:$W$495&gt;=10)*('CASE MASTER'!$V$2:$V$495&lt;=6)*('CASE MASTER'!$X$2:$X$495&gt;=6))*ROW('CASE MASTER'!$T$2:$T$495))-(ROW('CASE MASTER'!#REF!)-1))))+1))-1)*50+1,50))&amp;"_"&amp;INDEX('CASE MASTER'!$Q$2:$Q$495,(SUMPRODUCT((('CASE MASTER'!$T$2:$T$495=8)*('CASE MASTER'!$U$2:$U$495&lt;=10)*('CASE MASTER'!$W$2:$W$495&gt;=10)*('CASE MASTER'!$V$2:$V$495&lt;=6)*('CASE MASTER'!$X$2:$X$495&gt;=6))*ROW('CASE MASTER'!$T$2:$T$495))-(ROW('CASE MASTER'!#REF!)-1))),IF(SUMPRODUCT((('CASE MASTER'!$T$2:$T$495=8)*('CASE MASTER'!$AA$2:$AA$495&lt;=10)*('CASE MASTER'!$AC$2:$AC$495&gt;=10)*('CASE MASTER'!$AB$2:$AB$495&lt;=6)*('CASE MASTER'!$AD$2:$AD$495&gt;=6))*ROW('CASE MASTER'!$T$2:$T$495))&gt;0,INDEX('CASE MASTER'!$Y$2:$Y$495,(SUMPRODUCT((('CASE MASTER'!$T$2:$T$495=8)*('CASE MASTER'!$AA$2:$AA$495&lt;=10)*('CASE MASTER'!$AC$2:$AC$495&gt;=10)*('CASE MASTER'!$AB$2:$AB$495&lt;=6)*('CASE MASTER'!$AD$2:$AD$495&gt;=6))*ROW('CASE MASTER'!$T$2:$T$495))-(ROW('CASE MASTER'!#REF!)-1)))&amp;TRIM(MID(SUBSTITUTE(SUBSTITUTE(INDEX('CASE MASTER'!$N$2:$N$495,(SUMPRODUCT((('CASE MASTER'!$T$2:$T$495=8)*('CASE MASTER'!$AA$2:$AA$495&lt;=10)*('CASE MASTER'!$AC$2:$AC$495&gt;=10)*('CASE MASTER'!$AB$2:$AB$495&lt;=6)*('CASE MASTER'!$AD$2:$AD$495&gt;=6))*ROW('CASE MASTER'!$T$2:$T$495))-(ROW('CASE MASTER'!#REF!)-1))),":",","),",",REPT(" ",50)),(((INDEX('CASE MASTER'!$Z$2:$Z$495,(SUMPRODUCT((('CASE MASTER'!$T$2:$T$495=8)*('CASE MASTER'!$AA$2:$AA$495&lt;=10)*('CASE MASTER'!$AC$2:$AC$495&gt;=10)*('CASE MASTER'!$AB$2:$AB$495&lt;=6)*('CASE MASTER'!$AD$2:$AD$495&gt;=6))*ROW('CASE MASTER'!$T$2:$T$495))-(ROW('CASE MASTER'!#REF!)-1)))+((10-INDEX('CASE MASTER'!$AA$2:$AA$495,(SUMPRODUCT((('CASE MASTER'!$T$2:$T$495=8)*('CASE MASTER'!$AA$2:$AA$495&lt;=10)*('CASE MASTER'!$AC$2:$AC$495&gt;=10)*('CASE MASTER'!$AB$2:$AB$495&lt;=6)*('CASE MASTER'!$AD$2:$AD$495&gt;=6))*ROW('CASE MASTER'!$T$2:$T$495))-(ROW('CASE MASTER'!#REF!)-1))))*(INDEX('CASE MASTER'!$AD$2:$AD$495,(SUMPRODUCT((('CASE MASTER'!$T$2:$T$495=8)*('CASE MASTER'!$AA$2:$AA$495&lt;=10)*('CASE MASTER'!$AC$2:$AC$495&gt;=10)*('CASE MASTER'!$AB$2:$AB$495&lt;=6)*('CASE MASTER'!$AD$2:$AD$495&gt;=6))*ROW('CASE MASTER'!$T$2:$T$495))-(ROW('CASE MASTER'!#REF!)-1)))-INDEX('CASE MASTER'!$AB$2:$AB$495,(SUMPRODUCT((('CASE MASTER'!$T$2:$T$495=8)*('CASE MASTER'!$AA$2:$AA$495&lt;=10)*('CASE MASTER'!$AC$2:$AC$495&gt;=10)*('CASE MASTER'!$AB$2:$AB$495&lt;=6)*('CASE MASTER'!$AD$2:$AD$495&gt;=6))*ROW('CASE MASTER'!$T$2:$T$495))-(ROW('CASE MASTER'!#REF!)-1)))+1)+(6-INDEX('CASE MASTER'!$AB$2:$AB$495,(SUMPRODUCT((('CASE MASTER'!$T$2:$T$495=8)*('CASE MASTER'!$AA$2:$AA$495&lt;=10)*('CASE MASTER'!$AC$2:$AC$495&gt;=10)*('CASE MASTER'!$AB$2:$AB$495&lt;=6)*('CASE MASTER'!$AD$2:$AD$495&gt;=6))*ROW('CASE MASTER'!$T$2:$T$495))-(ROW('CASE MASTER'!#REF!)-1))))+1)))-1)*50+1,50))&amp;"_"&amp;INDEX('CASE MASTER'!$Q$2:$Q$495,(SUMPRODUCT((('CASE MASTER'!$T$2:$T$495=8)*('CASE MASTER'!$AA$2:$AA$495&lt;=10)*('CASE MASTER'!$AC$2:$AC$495&gt;=10)*('CASE MASTER'!$AB$2:$AB$495&lt;=6)*('CASE MASTER'!$AD$2:$AD$495&gt;=6))*ROW('CASE MASTER'!$T$2:$T$495))-(ROW('CASE MASTER'!#REF!)-1))),"")),"")</f>
        <v/>
      </c>
      <c r="H110" s="10" t="str">
        <f>IFERROR(IF(SUMPRODUCT((('CASE MASTER'!$T$2:$T$495=8)*('CASE MASTER'!$U$2:$U$495&lt;=10)*('CASE MASTER'!$W$2:$W$495&gt;=10)*('CASE MASTER'!$V$2:$V$495&lt;=7)*('CASE MASTER'!$X$2:$X$495&gt;=7))*ROW('CASE MASTER'!$T$2:$T$495))&gt;0,INDEX('CASE MASTER'!$Y$2:$Y$495,(SUMPRODUCT((('CASE MASTER'!$T$2:$T$495=8)*('CASE MASTER'!$U$2:$U$495&lt;=10)*('CASE MASTER'!$W$2:$W$495&gt;=10)*('CASE MASTER'!$V$2:$V$495&lt;=7)*('CASE MASTER'!$X$2:$X$495&gt;=7))*ROW('CASE MASTER'!$T$2:$T$495))-(ROW('CASE MASTER'!#REF!)-1)))&amp;TRIM(MID(SUBSTITUTE(SUBSTITUTE(INDEX('CASE MASTER'!$N$2:$N$495,(SUMPRODUCT((('CASE MASTER'!$T$2:$T$495=8)*('CASE MASTER'!$U$2:$U$495&lt;=10)*('CASE MASTER'!$W$2:$W$495&gt;=10)*('CASE MASTER'!$V$2:$V$495&lt;=7)*('CASE MASTER'!$X$2:$X$495&gt;=7))*ROW('CASE MASTER'!$T$2:$T$495))-(ROW('CASE MASTER'!#REF!)-1))),":",","),",",REPT(" ",50)),((((10-INDEX('CASE MASTER'!$U$2:$U$495,(SUMPRODUCT((('CASE MASTER'!$T$2:$T$495=8)*('CASE MASTER'!$U$2:$U$495&lt;=10)*('CASE MASTER'!$W$2:$W$495&gt;=10)*('CASE MASTER'!$V$2:$V$495&lt;=7)*('CASE MASTER'!$X$2:$X$495&gt;=7))*ROW('CASE MASTER'!$T$2:$T$495))-(ROW('CASE MASTER'!#REF!)-1))))*(INDEX('CASE MASTER'!$X$2:$X$495,(SUMPRODUCT((('CASE MASTER'!$T$2:$T$495=8)*('CASE MASTER'!$U$2:$U$495&lt;=10)*('CASE MASTER'!$W$2:$W$495&gt;=10)*('CASE MASTER'!$V$2:$V$495&lt;=7)*('CASE MASTER'!$X$2:$X$495&gt;=7))*ROW('CASE MASTER'!$T$2:$T$495))-(ROW('CASE MASTER'!#REF!)-1)))-INDEX('CASE MASTER'!$V$2:$V$495,(SUMPRODUCT((('CASE MASTER'!$T$2:$T$495=8)*('CASE MASTER'!$U$2:$U$495&lt;=10)*('CASE MASTER'!$W$2:$W$495&gt;=10)*('CASE MASTER'!$V$2:$V$495&lt;=7)*('CASE MASTER'!$X$2:$X$495&gt;=7))*ROW('CASE MASTER'!$T$2:$T$495))-(ROW('CASE MASTER'!#REF!)-1)))+1)+(7-INDEX('CASE MASTER'!$V$2:$V$495,(SUMPRODUCT((('CASE MASTER'!$T$2:$T$495=8)*('CASE MASTER'!$U$2:$U$495&lt;=10)*('CASE MASTER'!$W$2:$W$495&gt;=10)*('CASE MASTER'!$V$2:$V$495&lt;=7)*('CASE MASTER'!$X$2:$X$495&gt;=7))*ROW('CASE MASTER'!$T$2:$T$495))-(ROW('CASE MASTER'!#REF!)-1))))+1))-1)*50+1,50))&amp;"_"&amp;INDEX('CASE MASTER'!$Q$2:$Q$495,(SUMPRODUCT((('CASE MASTER'!$T$2:$T$495=8)*('CASE MASTER'!$U$2:$U$495&lt;=10)*('CASE MASTER'!$W$2:$W$495&gt;=10)*('CASE MASTER'!$V$2:$V$495&lt;=7)*('CASE MASTER'!$X$2:$X$495&gt;=7))*ROW('CASE MASTER'!$T$2:$T$495))-(ROW('CASE MASTER'!#REF!)-1))),IF(SUMPRODUCT((('CASE MASTER'!$T$2:$T$495=8)*('CASE MASTER'!$AA$2:$AA$495&lt;=10)*('CASE MASTER'!$AC$2:$AC$495&gt;=10)*('CASE MASTER'!$AB$2:$AB$495&lt;=7)*('CASE MASTER'!$AD$2:$AD$495&gt;=7))*ROW('CASE MASTER'!$T$2:$T$495))&gt;0,INDEX('CASE MASTER'!$Y$2:$Y$495,(SUMPRODUCT((('CASE MASTER'!$T$2:$T$495=8)*('CASE MASTER'!$AA$2:$AA$495&lt;=10)*('CASE MASTER'!$AC$2:$AC$495&gt;=10)*('CASE MASTER'!$AB$2:$AB$495&lt;=7)*('CASE MASTER'!$AD$2:$AD$495&gt;=7))*ROW('CASE MASTER'!$T$2:$T$495))-(ROW('CASE MASTER'!#REF!)-1)))&amp;TRIM(MID(SUBSTITUTE(SUBSTITUTE(INDEX('CASE MASTER'!$N$2:$N$495,(SUMPRODUCT((('CASE MASTER'!$T$2:$T$495=8)*('CASE MASTER'!$AA$2:$AA$495&lt;=10)*('CASE MASTER'!$AC$2:$AC$495&gt;=10)*('CASE MASTER'!$AB$2:$AB$495&lt;=7)*('CASE MASTER'!$AD$2:$AD$495&gt;=7))*ROW('CASE MASTER'!$T$2:$T$495))-(ROW('CASE MASTER'!#REF!)-1))),":",","),",",REPT(" ",50)),(((INDEX('CASE MASTER'!$Z$2:$Z$495,(SUMPRODUCT((('CASE MASTER'!$T$2:$T$495=8)*('CASE MASTER'!$AA$2:$AA$495&lt;=10)*('CASE MASTER'!$AC$2:$AC$495&gt;=10)*('CASE MASTER'!$AB$2:$AB$495&lt;=7)*('CASE MASTER'!$AD$2:$AD$495&gt;=7))*ROW('CASE MASTER'!$T$2:$T$495))-(ROW('CASE MASTER'!#REF!)-1)))+((10-INDEX('CASE MASTER'!$AA$2:$AA$495,(SUMPRODUCT((('CASE MASTER'!$T$2:$T$495=8)*('CASE MASTER'!$AA$2:$AA$495&lt;=10)*('CASE MASTER'!$AC$2:$AC$495&gt;=10)*('CASE MASTER'!$AB$2:$AB$495&lt;=7)*('CASE MASTER'!$AD$2:$AD$495&gt;=7))*ROW('CASE MASTER'!$T$2:$T$495))-(ROW('CASE MASTER'!#REF!)-1))))*(INDEX('CASE MASTER'!$AD$2:$AD$495,(SUMPRODUCT((('CASE MASTER'!$T$2:$T$495=8)*('CASE MASTER'!$AA$2:$AA$495&lt;=10)*('CASE MASTER'!$AC$2:$AC$495&gt;=10)*('CASE MASTER'!$AB$2:$AB$495&lt;=7)*('CASE MASTER'!$AD$2:$AD$495&gt;=7))*ROW('CASE MASTER'!$T$2:$T$495))-(ROW('CASE MASTER'!#REF!)-1)))-INDEX('CASE MASTER'!$AB$2:$AB$495,(SUMPRODUCT((('CASE MASTER'!$T$2:$T$495=8)*('CASE MASTER'!$AA$2:$AA$495&lt;=10)*('CASE MASTER'!$AC$2:$AC$495&gt;=10)*('CASE MASTER'!$AB$2:$AB$495&lt;=7)*('CASE MASTER'!$AD$2:$AD$495&gt;=7))*ROW('CASE MASTER'!$T$2:$T$495))-(ROW('CASE MASTER'!#REF!)-1)))+1)+(7-INDEX('CASE MASTER'!$AB$2:$AB$495,(SUMPRODUCT((('CASE MASTER'!$T$2:$T$495=8)*('CASE MASTER'!$AA$2:$AA$495&lt;=10)*('CASE MASTER'!$AC$2:$AC$495&gt;=10)*('CASE MASTER'!$AB$2:$AB$495&lt;=7)*('CASE MASTER'!$AD$2:$AD$495&gt;=7))*ROW('CASE MASTER'!$T$2:$T$495))-(ROW('CASE MASTER'!#REF!)-1))))+1)))-1)*50+1,50))&amp;"_"&amp;INDEX('CASE MASTER'!$Q$2:$Q$495,(SUMPRODUCT((('CASE MASTER'!$T$2:$T$495=8)*('CASE MASTER'!$AA$2:$AA$495&lt;=10)*('CASE MASTER'!$AC$2:$AC$495&gt;=10)*('CASE MASTER'!$AB$2:$AB$495&lt;=7)*('CASE MASTER'!$AD$2:$AD$495&gt;=7))*ROW('CASE MASTER'!$T$2:$T$495))-(ROW('CASE MASTER'!#REF!)-1))),"")),"")</f>
        <v/>
      </c>
      <c r="I110" s="10" t="str">
        <f>IFERROR(IF(SUMPRODUCT((('CASE MASTER'!$T$2:$T$495=8)*('CASE MASTER'!$U$2:$U$495&lt;=10)*('CASE MASTER'!$W$2:$W$495&gt;=10)*('CASE MASTER'!$V$2:$V$495&lt;=8)*('CASE MASTER'!$X$2:$X$495&gt;=8))*ROW('CASE MASTER'!$T$2:$T$495))&gt;0,INDEX('CASE MASTER'!$Y$2:$Y$495,(SUMPRODUCT((('CASE MASTER'!$T$2:$T$495=8)*('CASE MASTER'!$U$2:$U$495&lt;=10)*('CASE MASTER'!$W$2:$W$495&gt;=10)*('CASE MASTER'!$V$2:$V$495&lt;=8)*('CASE MASTER'!$X$2:$X$495&gt;=8))*ROW('CASE MASTER'!$T$2:$T$495))-(ROW('CASE MASTER'!#REF!)-1)))&amp;TRIM(MID(SUBSTITUTE(SUBSTITUTE(INDEX('CASE MASTER'!$N$2:$N$495,(SUMPRODUCT((('CASE MASTER'!$T$2:$T$495=8)*('CASE MASTER'!$U$2:$U$495&lt;=10)*('CASE MASTER'!$W$2:$W$495&gt;=10)*('CASE MASTER'!$V$2:$V$495&lt;=8)*('CASE MASTER'!$X$2:$X$495&gt;=8))*ROW('CASE MASTER'!$T$2:$T$495))-(ROW('CASE MASTER'!#REF!)-1))),":",","),",",REPT(" ",50)),((((10-INDEX('CASE MASTER'!$U$2:$U$495,(SUMPRODUCT((('CASE MASTER'!$T$2:$T$495=8)*('CASE MASTER'!$U$2:$U$495&lt;=10)*('CASE MASTER'!$W$2:$W$495&gt;=10)*('CASE MASTER'!$V$2:$V$495&lt;=8)*('CASE MASTER'!$X$2:$X$495&gt;=8))*ROW('CASE MASTER'!$T$2:$T$495))-(ROW('CASE MASTER'!#REF!)-1))))*(INDEX('CASE MASTER'!$X$2:$X$495,(SUMPRODUCT((('CASE MASTER'!$T$2:$T$495=8)*('CASE MASTER'!$U$2:$U$495&lt;=10)*('CASE MASTER'!$W$2:$W$495&gt;=10)*('CASE MASTER'!$V$2:$V$495&lt;=8)*('CASE MASTER'!$X$2:$X$495&gt;=8))*ROW('CASE MASTER'!$T$2:$T$495))-(ROW('CASE MASTER'!#REF!)-1)))-INDEX('CASE MASTER'!$V$2:$V$495,(SUMPRODUCT((('CASE MASTER'!$T$2:$T$495=8)*('CASE MASTER'!$U$2:$U$495&lt;=10)*('CASE MASTER'!$W$2:$W$495&gt;=10)*('CASE MASTER'!$V$2:$V$495&lt;=8)*('CASE MASTER'!$X$2:$X$495&gt;=8))*ROW('CASE MASTER'!$T$2:$T$495))-(ROW('CASE MASTER'!#REF!)-1)))+1)+(8-INDEX('CASE MASTER'!$V$2:$V$495,(SUMPRODUCT((('CASE MASTER'!$T$2:$T$495=8)*('CASE MASTER'!$U$2:$U$495&lt;=10)*('CASE MASTER'!$W$2:$W$495&gt;=10)*('CASE MASTER'!$V$2:$V$495&lt;=8)*('CASE MASTER'!$X$2:$X$495&gt;=8))*ROW('CASE MASTER'!$T$2:$T$495))-(ROW('CASE MASTER'!#REF!)-1))))+1))-1)*50+1,50))&amp;"_"&amp;INDEX('CASE MASTER'!$Q$2:$Q$495,(SUMPRODUCT((('CASE MASTER'!$T$2:$T$495=8)*('CASE MASTER'!$U$2:$U$495&lt;=10)*('CASE MASTER'!$W$2:$W$495&gt;=10)*('CASE MASTER'!$V$2:$V$495&lt;=8)*('CASE MASTER'!$X$2:$X$495&gt;=8))*ROW('CASE MASTER'!$T$2:$T$495))-(ROW('CASE MASTER'!#REF!)-1))),IF(SUMPRODUCT((('CASE MASTER'!$T$2:$T$495=8)*('CASE MASTER'!$AA$2:$AA$495&lt;=10)*('CASE MASTER'!$AC$2:$AC$495&gt;=10)*('CASE MASTER'!$AB$2:$AB$495&lt;=8)*('CASE MASTER'!$AD$2:$AD$495&gt;=8))*ROW('CASE MASTER'!$T$2:$T$495))&gt;0,INDEX('CASE MASTER'!$Y$2:$Y$495,(SUMPRODUCT((('CASE MASTER'!$T$2:$T$495=8)*('CASE MASTER'!$AA$2:$AA$495&lt;=10)*('CASE MASTER'!$AC$2:$AC$495&gt;=10)*('CASE MASTER'!$AB$2:$AB$495&lt;=8)*('CASE MASTER'!$AD$2:$AD$495&gt;=8))*ROW('CASE MASTER'!$T$2:$T$495))-(ROW('CASE MASTER'!#REF!)-1)))&amp;TRIM(MID(SUBSTITUTE(SUBSTITUTE(INDEX('CASE MASTER'!$N$2:$N$495,(SUMPRODUCT((('CASE MASTER'!$T$2:$T$495=8)*('CASE MASTER'!$AA$2:$AA$495&lt;=10)*('CASE MASTER'!$AC$2:$AC$495&gt;=10)*('CASE MASTER'!$AB$2:$AB$495&lt;=8)*('CASE MASTER'!$AD$2:$AD$495&gt;=8))*ROW('CASE MASTER'!$T$2:$T$495))-(ROW('CASE MASTER'!#REF!)-1))),":",","),",",REPT(" ",50)),(((INDEX('CASE MASTER'!$Z$2:$Z$495,(SUMPRODUCT((('CASE MASTER'!$T$2:$T$495=8)*('CASE MASTER'!$AA$2:$AA$495&lt;=10)*('CASE MASTER'!$AC$2:$AC$495&gt;=10)*('CASE MASTER'!$AB$2:$AB$495&lt;=8)*('CASE MASTER'!$AD$2:$AD$495&gt;=8))*ROW('CASE MASTER'!$T$2:$T$495))-(ROW('CASE MASTER'!#REF!)-1)))+((10-INDEX('CASE MASTER'!$AA$2:$AA$495,(SUMPRODUCT((('CASE MASTER'!$T$2:$T$495=8)*('CASE MASTER'!$AA$2:$AA$495&lt;=10)*('CASE MASTER'!$AC$2:$AC$495&gt;=10)*('CASE MASTER'!$AB$2:$AB$495&lt;=8)*('CASE MASTER'!$AD$2:$AD$495&gt;=8))*ROW('CASE MASTER'!$T$2:$T$495))-(ROW('CASE MASTER'!#REF!)-1))))*(INDEX('CASE MASTER'!$AD$2:$AD$495,(SUMPRODUCT((('CASE MASTER'!$T$2:$T$495=8)*('CASE MASTER'!$AA$2:$AA$495&lt;=10)*('CASE MASTER'!$AC$2:$AC$495&gt;=10)*('CASE MASTER'!$AB$2:$AB$495&lt;=8)*('CASE MASTER'!$AD$2:$AD$495&gt;=8))*ROW('CASE MASTER'!$T$2:$T$495))-(ROW('CASE MASTER'!#REF!)-1)))-INDEX('CASE MASTER'!$AB$2:$AB$495,(SUMPRODUCT((('CASE MASTER'!$T$2:$T$495=8)*('CASE MASTER'!$AA$2:$AA$495&lt;=10)*('CASE MASTER'!$AC$2:$AC$495&gt;=10)*('CASE MASTER'!$AB$2:$AB$495&lt;=8)*('CASE MASTER'!$AD$2:$AD$495&gt;=8))*ROW('CASE MASTER'!$T$2:$T$495))-(ROW('CASE MASTER'!#REF!)-1)))+1)+(8-INDEX('CASE MASTER'!$AB$2:$AB$495,(SUMPRODUCT((('CASE MASTER'!$T$2:$T$495=8)*('CASE MASTER'!$AA$2:$AA$495&lt;=10)*('CASE MASTER'!$AC$2:$AC$495&gt;=10)*('CASE MASTER'!$AB$2:$AB$495&lt;=8)*('CASE MASTER'!$AD$2:$AD$495&gt;=8))*ROW('CASE MASTER'!$T$2:$T$495))-(ROW('CASE MASTER'!#REF!)-1))))+1)))-1)*50+1,50))&amp;"_"&amp;INDEX('CASE MASTER'!$Q$2:$Q$495,(SUMPRODUCT((('CASE MASTER'!$T$2:$T$495=8)*('CASE MASTER'!$AA$2:$AA$495&lt;=10)*('CASE MASTER'!$AC$2:$AC$495&gt;=10)*('CASE MASTER'!$AB$2:$AB$495&lt;=8)*('CASE MASTER'!$AD$2:$AD$495&gt;=8))*ROW('CASE MASTER'!$T$2:$T$495))-(ROW('CASE MASTER'!#REF!)-1))),"")),"")</f>
        <v/>
      </c>
      <c r="J110" s="10" t="str">
        <f>IFERROR(IF(SUMPRODUCT((('CASE MASTER'!$T$2:$T$495=8)*('CASE MASTER'!$U$2:$U$495&lt;=10)*('CASE MASTER'!$W$2:$W$495&gt;=10)*('CASE MASTER'!$V$2:$V$495&lt;=9)*('CASE MASTER'!$X$2:$X$495&gt;=9))*ROW('CASE MASTER'!$T$2:$T$495))&gt;0,INDEX('CASE MASTER'!$Y$2:$Y$495,(SUMPRODUCT((('CASE MASTER'!$T$2:$T$495=8)*('CASE MASTER'!$U$2:$U$495&lt;=10)*('CASE MASTER'!$W$2:$W$495&gt;=10)*('CASE MASTER'!$V$2:$V$495&lt;=9)*('CASE MASTER'!$X$2:$X$495&gt;=9))*ROW('CASE MASTER'!$T$2:$T$495))-(ROW('CASE MASTER'!#REF!)-1)))&amp;TRIM(MID(SUBSTITUTE(SUBSTITUTE(INDEX('CASE MASTER'!$N$2:$N$495,(SUMPRODUCT((('CASE MASTER'!$T$2:$T$495=8)*('CASE MASTER'!$U$2:$U$495&lt;=10)*('CASE MASTER'!$W$2:$W$495&gt;=10)*('CASE MASTER'!$V$2:$V$495&lt;=9)*('CASE MASTER'!$X$2:$X$495&gt;=9))*ROW('CASE MASTER'!$T$2:$T$495))-(ROW('CASE MASTER'!#REF!)-1))),":",","),",",REPT(" ",50)),((((10-INDEX('CASE MASTER'!$U$2:$U$495,(SUMPRODUCT((('CASE MASTER'!$T$2:$T$495=8)*('CASE MASTER'!$U$2:$U$495&lt;=10)*('CASE MASTER'!$W$2:$W$495&gt;=10)*('CASE MASTER'!$V$2:$V$495&lt;=9)*('CASE MASTER'!$X$2:$X$495&gt;=9))*ROW('CASE MASTER'!$T$2:$T$495))-(ROW('CASE MASTER'!#REF!)-1))))*(INDEX('CASE MASTER'!$X$2:$X$495,(SUMPRODUCT((('CASE MASTER'!$T$2:$T$495=8)*('CASE MASTER'!$U$2:$U$495&lt;=10)*('CASE MASTER'!$W$2:$W$495&gt;=10)*('CASE MASTER'!$V$2:$V$495&lt;=9)*('CASE MASTER'!$X$2:$X$495&gt;=9))*ROW('CASE MASTER'!$T$2:$T$495))-(ROW('CASE MASTER'!#REF!)-1)))-INDEX('CASE MASTER'!$V$2:$V$495,(SUMPRODUCT((('CASE MASTER'!$T$2:$T$495=8)*('CASE MASTER'!$U$2:$U$495&lt;=10)*('CASE MASTER'!$W$2:$W$495&gt;=10)*('CASE MASTER'!$V$2:$V$495&lt;=9)*('CASE MASTER'!$X$2:$X$495&gt;=9))*ROW('CASE MASTER'!$T$2:$T$495))-(ROW('CASE MASTER'!#REF!)-1)))+1)+(9-INDEX('CASE MASTER'!$V$2:$V$495,(SUMPRODUCT((('CASE MASTER'!$T$2:$T$495=8)*('CASE MASTER'!$U$2:$U$495&lt;=10)*('CASE MASTER'!$W$2:$W$495&gt;=10)*('CASE MASTER'!$V$2:$V$495&lt;=9)*('CASE MASTER'!$X$2:$X$495&gt;=9))*ROW('CASE MASTER'!$T$2:$T$495))-(ROW('CASE MASTER'!#REF!)-1))))+1))-1)*50+1,50))&amp;"_"&amp;INDEX('CASE MASTER'!$Q$2:$Q$495,(SUMPRODUCT((('CASE MASTER'!$T$2:$T$495=8)*('CASE MASTER'!$U$2:$U$495&lt;=10)*('CASE MASTER'!$W$2:$W$495&gt;=10)*('CASE MASTER'!$V$2:$V$495&lt;=9)*('CASE MASTER'!$X$2:$X$495&gt;=9))*ROW('CASE MASTER'!$T$2:$T$495))-(ROW('CASE MASTER'!#REF!)-1))),IF(SUMPRODUCT((('CASE MASTER'!$T$2:$T$495=8)*('CASE MASTER'!$AA$2:$AA$495&lt;=10)*('CASE MASTER'!$AC$2:$AC$495&gt;=10)*('CASE MASTER'!$AB$2:$AB$495&lt;=9)*('CASE MASTER'!$AD$2:$AD$495&gt;=9))*ROW('CASE MASTER'!$T$2:$T$495))&gt;0,INDEX('CASE MASTER'!$Y$2:$Y$495,(SUMPRODUCT((('CASE MASTER'!$T$2:$T$495=8)*('CASE MASTER'!$AA$2:$AA$495&lt;=10)*('CASE MASTER'!$AC$2:$AC$495&gt;=10)*('CASE MASTER'!$AB$2:$AB$495&lt;=9)*('CASE MASTER'!$AD$2:$AD$495&gt;=9))*ROW('CASE MASTER'!$T$2:$T$495))-(ROW('CASE MASTER'!#REF!)-1)))&amp;TRIM(MID(SUBSTITUTE(SUBSTITUTE(INDEX('CASE MASTER'!$N$2:$N$495,(SUMPRODUCT((('CASE MASTER'!$T$2:$T$495=8)*('CASE MASTER'!$AA$2:$AA$495&lt;=10)*('CASE MASTER'!$AC$2:$AC$495&gt;=10)*('CASE MASTER'!$AB$2:$AB$495&lt;=9)*('CASE MASTER'!$AD$2:$AD$495&gt;=9))*ROW('CASE MASTER'!$T$2:$T$495))-(ROW('CASE MASTER'!#REF!)-1))),":",","),",",REPT(" ",50)),(((INDEX('CASE MASTER'!$Z$2:$Z$495,(SUMPRODUCT((('CASE MASTER'!$T$2:$T$495=8)*('CASE MASTER'!$AA$2:$AA$495&lt;=10)*('CASE MASTER'!$AC$2:$AC$495&gt;=10)*('CASE MASTER'!$AB$2:$AB$495&lt;=9)*('CASE MASTER'!$AD$2:$AD$495&gt;=9))*ROW('CASE MASTER'!$T$2:$T$495))-(ROW('CASE MASTER'!#REF!)-1)))+((10-INDEX('CASE MASTER'!$AA$2:$AA$495,(SUMPRODUCT((('CASE MASTER'!$T$2:$T$495=8)*('CASE MASTER'!$AA$2:$AA$495&lt;=10)*('CASE MASTER'!$AC$2:$AC$495&gt;=10)*('CASE MASTER'!$AB$2:$AB$495&lt;=9)*('CASE MASTER'!$AD$2:$AD$495&gt;=9))*ROW('CASE MASTER'!$T$2:$T$495))-(ROW('CASE MASTER'!#REF!)-1))))*(INDEX('CASE MASTER'!$AD$2:$AD$495,(SUMPRODUCT((('CASE MASTER'!$T$2:$T$495=8)*('CASE MASTER'!$AA$2:$AA$495&lt;=10)*('CASE MASTER'!$AC$2:$AC$495&gt;=10)*('CASE MASTER'!$AB$2:$AB$495&lt;=9)*('CASE MASTER'!$AD$2:$AD$495&gt;=9))*ROW('CASE MASTER'!$T$2:$T$495))-(ROW('CASE MASTER'!#REF!)-1)))-INDEX('CASE MASTER'!$AB$2:$AB$495,(SUMPRODUCT((('CASE MASTER'!$T$2:$T$495=8)*('CASE MASTER'!$AA$2:$AA$495&lt;=10)*('CASE MASTER'!$AC$2:$AC$495&gt;=10)*('CASE MASTER'!$AB$2:$AB$495&lt;=9)*('CASE MASTER'!$AD$2:$AD$495&gt;=9))*ROW('CASE MASTER'!$T$2:$T$495))-(ROW('CASE MASTER'!#REF!)-1)))+1)+(9-INDEX('CASE MASTER'!$AB$2:$AB$495,(SUMPRODUCT((('CASE MASTER'!$T$2:$T$495=8)*('CASE MASTER'!$AA$2:$AA$495&lt;=10)*('CASE MASTER'!$AC$2:$AC$495&gt;=10)*('CASE MASTER'!$AB$2:$AB$495&lt;=9)*('CASE MASTER'!$AD$2:$AD$495&gt;=9))*ROW('CASE MASTER'!$T$2:$T$495))-(ROW('CASE MASTER'!#REF!)-1))))+1)))-1)*50+1,50))&amp;"_"&amp;INDEX('CASE MASTER'!$Q$2:$Q$495,(SUMPRODUCT((('CASE MASTER'!$T$2:$T$495=8)*('CASE MASTER'!$AA$2:$AA$495&lt;=10)*('CASE MASTER'!$AC$2:$AC$495&gt;=10)*('CASE MASTER'!$AB$2:$AB$495&lt;=9)*('CASE MASTER'!$AD$2:$AD$495&gt;=9))*ROW('CASE MASTER'!$T$2:$T$495))-(ROW('CASE MASTER'!#REF!)-1))),"")),"")</f>
        <v/>
      </c>
      <c r="K110" s="10" t="str">
        <f>IFERROR(IF(SUMPRODUCT((('CASE MASTER'!$T$2:$T$495=8)*('CASE MASTER'!$U$2:$U$495&lt;=10)*('CASE MASTER'!$W$2:$W$495&gt;=10)*('CASE MASTER'!$V$2:$V$495&lt;=10)*('CASE MASTER'!$X$2:$X$495&gt;=10))*ROW('CASE MASTER'!$T$2:$T$495))&gt;0,INDEX('CASE MASTER'!$Y$2:$Y$495,(SUMPRODUCT((('CASE MASTER'!$T$2:$T$495=8)*('CASE MASTER'!$U$2:$U$495&lt;=10)*('CASE MASTER'!$W$2:$W$495&gt;=10)*('CASE MASTER'!$V$2:$V$495&lt;=10)*('CASE MASTER'!$X$2:$X$495&gt;=10))*ROW('CASE MASTER'!$T$2:$T$495))-(ROW('CASE MASTER'!#REF!)-1)))&amp;TRIM(MID(SUBSTITUTE(SUBSTITUTE(INDEX('CASE MASTER'!$N$2:$N$495,(SUMPRODUCT((('CASE MASTER'!$T$2:$T$495=8)*('CASE MASTER'!$U$2:$U$495&lt;=10)*('CASE MASTER'!$W$2:$W$495&gt;=10)*('CASE MASTER'!$V$2:$V$495&lt;=10)*('CASE MASTER'!$X$2:$X$495&gt;=10))*ROW('CASE MASTER'!$T$2:$T$495))-(ROW('CASE MASTER'!#REF!)-1))),":",","),",",REPT(" ",50)),((((10-INDEX('CASE MASTER'!$U$2:$U$495,(SUMPRODUCT((('CASE MASTER'!$T$2:$T$495=8)*('CASE MASTER'!$U$2:$U$495&lt;=10)*('CASE MASTER'!$W$2:$W$495&gt;=10)*('CASE MASTER'!$V$2:$V$495&lt;=10)*('CASE MASTER'!$X$2:$X$495&gt;=10))*ROW('CASE MASTER'!$T$2:$T$495))-(ROW('CASE MASTER'!#REF!)-1))))*(INDEX('CASE MASTER'!$X$2:$X$495,(SUMPRODUCT((('CASE MASTER'!$T$2:$T$495=8)*('CASE MASTER'!$U$2:$U$495&lt;=10)*('CASE MASTER'!$W$2:$W$495&gt;=10)*('CASE MASTER'!$V$2:$V$495&lt;=10)*('CASE MASTER'!$X$2:$X$495&gt;=10))*ROW('CASE MASTER'!$T$2:$T$495))-(ROW('CASE MASTER'!#REF!)-1)))-INDEX('CASE MASTER'!$V$2:$V$495,(SUMPRODUCT((('CASE MASTER'!$T$2:$T$495=8)*('CASE MASTER'!$U$2:$U$495&lt;=10)*('CASE MASTER'!$W$2:$W$495&gt;=10)*('CASE MASTER'!$V$2:$V$495&lt;=10)*('CASE MASTER'!$X$2:$X$495&gt;=10))*ROW('CASE MASTER'!$T$2:$T$495))-(ROW('CASE MASTER'!#REF!)-1)))+1)+(10-INDEX('CASE MASTER'!$V$2:$V$495,(SUMPRODUCT((('CASE MASTER'!$T$2:$T$495=8)*('CASE MASTER'!$U$2:$U$495&lt;=10)*('CASE MASTER'!$W$2:$W$495&gt;=10)*('CASE MASTER'!$V$2:$V$495&lt;=10)*('CASE MASTER'!$X$2:$X$495&gt;=10))*ROW('CASE MASTER'!$T$2:$T$495))-(ROW('CASE MASTER'!#REF!)-1))))+1))-1)*50+1,50))&amp;"_"&amp;INDEX('CASE MASTER'!$Q$2:$Q$495,(SUMPRODUCT((('CASE MASTER'!$T$2:$T$495=8)*('CASE MASTER'!$U$2:$U$495&lt;=10)*('CASE MASTER'!$W$2:$W$495&gt;=10)*('CASE MASTER'!$V$2:$V$495&lt;=10)*('CASE MASTER'!$X$2:$X$495&gt;=10))*ROW('CASE MASTER'!$T$2:$T$495))-(ROW('CASE MASTER'!#REF!)-1))),IF(SUMPRODUCT((('CASE MASTER'!$T$2:$T$495=8)*('CASE MASTER'!$AA$2:$AA$495&lt;=10)*('CASE MASTER'!$AC$2:$AC$495&gt;=10)*('CASE MASTER'!$AB$2:$AB$495&lt;=10)*('CASE MASTER'!$AD$2:$AD$495&gt;=10))*ROW('CASE MASTER'!$T$2:$T$495))&gt;0,INDEX('CASE MASTER'!$Y$2:$Y$495,(SUMPRODUCT((('CASE MASTER'!$T$2:$T$495=8)*('CASE MASTER'!$AA$2:$AA$495&lt;=10)*('CASE MASTER'!$AC$2:$AC$495&gt;=10)*('CASE MASTER'!$AB$2:$AB$495&lt;=10)*('CASE MASTER'!$AD$2:$AD$495&gt;=10))*ROW('CASE MASTER'!$T$2:$T$495))-(ROW('CASE MASTER'!#REF!)-1)))&amp;TRIM(MID(SUBSTITUTE(SUBSTITUTE(INDEX('CASE MASTER'!$N$2:$N$495,(SUMPRODUCT((('CASE MASTER'!$T$2:$T$495=8)*('CASE MASTER'!$AA$2:$AA$495&lt;=10)*('CASE MASTER'!$AC$2:$AC$495&gt;=10)*('CASE MASTER'!$AB$2:$AB$495&lt;=10)*('CASE MASTER'!$AD$2:$AD$495&gt;=10))*ROW('CASE MASTER'!$T$2:$T$495))-(ROW('CASE MASTER'!#REF!)-1))),":",","),",",REPT(" ",50)),(((INDEX('CASE MASTER'!$Z$2:$Z$495,(SUMPRODUCT((('CASE MASTER'!$T$2:$T$495=8)*('CASE MASTER'!$AA$2:$AA$495&lt;=10)*('CASE MASTER'!$AC$2:$AC$495&gt;=10)*('CASE MASTER'!$AB$2:$AB$495&lt;=10)*('CASE MASTER'!$AD$2:$AD$495&gt;=10))*ROW('CASE MASTER'!$T$2:$T$495))-(ROW('CASE MASTER'!#REF!)-1)))+((10-INDEX('CASE MASTER'!$AA$2:$AA$495,(SUMPRODUCT((('CASE MASTER'!$T$2:$T$495=8)*('CASE MASTER'!$AA$2:$AA$495&lt;=10)*('CASE MASTER'!$AC$2:$AC$495&gt;=10)*('CASE MASTER'!$AB$2:$AB$495&lt;=10)*('CASE MASTER'!$AD$2:$AD$495&gt;=10))*ROW('CASE MASTER'!$T$2:$T$495))-(ROW('CASE MASTER'!#REF!)-1))))*(INDEX('CASE MASTER'!$AD$2:$AD$495,(SUMPRODUCT((('CASE MASTER'!$T$2:$T$495=8)*('CASE MASTER'!$AA$2:$AA$495&lt;=10)*('CASE MASTER'!$AC$2:$AC$495&gt;=10)*('CASE MASTER'!$AB$2:$AB$495&lt;=10)*('CASE MASTER'!$AD$2:$AD$495&gt;=10))*ROW('CASE MASTER'!$T$2:$T$495))-(ROW('CASE MASTER'!#REF!)-1)))-INDEX('CASE MASTER'!$AB$2:$AB$495,(SUMPRODUCT((('CASE MASTER'!$T$2:$T$495=8)*('CASE MASTER'!$AA$2:$AA$495&lt;=10)*('CASE MASTER'!$AC$2:$AC$495&gt;=10)*('CASE MASTER'!$AB$2:$AB$495&lt;=10)*('CASE MASTER'!$AD$2:$AD$495&gt;=10))*ROW('CASE MASTER'!$T$2:$T$495))-(ROW('CASE MASTER'!#REF!)-1)))+1)+(10-INDEX('CASE MASTER'!$AB$2:$AB$495,(SUMPRODUCT((('CASE MASTER'!$T$2:$T$495=8)*('CASE MASTER'!$AA$2:$AA$495&lt;=10)*('CASE MASTER'!$AC$2:$AC$495&gt;=10)*('CASE MASTER'!$AB$2:$AB$495&lt;=10)*('CASE MASTER'!$AD$2:$AD$495&gt;=10))*ROW('CASE MASTER'!$T$2:$T$495))-(ROW('CASE MASTER'!#REF!)-1))))+1)))-1)*50+1,50))&amp;"_"&amp;INDEX('CASE MASTER'!$Q$2:$Q$495,(SUMPRODUCT((('CASE MASTER'!$T$2:$T$495=8)*('CASE MASTER'!$AA$2:$AA$495&lt;=10)*('CASE MASTER'!$AC$2:$AC$495&gt;=10)*('CASE MASTER'!$AB$2:$AB$495&lt;=10)*('CASE MASTER'!$AD$2:$AD$495&gt;=10))*ROW('CASE MASTER'!$T$2:$T$495))-(ROW('CASE MASTER'!#REF!)-1))),"")),"")</f>
        <v/>
      </c>
    </row>
    <row r="113" spans="1:11" ht="15" customHeight="1" x14ac:dyDescent="0.35">
      <c r="A113" s="12" t="s">
        <v>90</v>
      </c>
      <c r="B113" s="13"/>
      <c r="C113" s="13"/>
      <c r="D113" s="13"/>
      <c r="E113" s="13"/>
      <c r="F113" s="13"/>
      <c r="G113" s="13"/>
      <c r="H113" s="13"/>
      <c r="I113" s="13"/>
      <c r="J113" s="13"/>
      <c r="K113" s="13"/>
    </row>
    <row r="114" spans="1:11" ht="15" customHeight="1" x14ac:dyDescent="0.35">
      <c r="B114" s="8">
        <v>1</v>
      </c>
      <c r="C114" s="8">
        <v>2</v>
      </c>
      <c r="D114" s="8">
        <v>3</v>
      </c>
      <c r="E114" s="8">
        <v>4</v>
      </c>
      <c r="F114" s="8">
        <v>5</v>
      </c>
      <c r="G114" s="8">
        <v>6</v>
      </c>
      <c r="H114" s="8">
        <v>7</v>
      </c>
      <c r="I114" s="8">
        <v>8</v>
      </c>
      <c r="J114" s="8">
        <v>9</v>
      </c>
      <c r="K114" s="8">
        <v>10</v>
      </c>
    </row>
    <row r="115" spans="1:11" ht="15" customHeight="1" x14ac:dyDescent="0.35">
      <c r="A115" s="8" t="s">
        <v>28</v>
      </c>
      <c r="B115" s="10" t="str">
        <f>IFERROR(IF(SUMPRODUCT((('CASE MASTER'!$T$2:$T$495=9)*('CASE MASTER'!$U$2:$U$495&lt;=1)*('CASE MASTER'!$W$2:$W$495&gt;=1)*('CASE MASTER'!$V$2:$V$495&lt;=1)*('CASE MASTER'!$X$2:$X$495&gt;=1))*ROW('CASE MASTER'!$T$2:$T$495))&gt;0,INDEX('CASE MASTER'!$Y$2:$Y$495,(SUMPRODUCT((('CASE MASTER'!$T$2:$T$495=9)*('CASE MASTER'!$U$2:$U$495&lt;=1)*('CASE MASTER'!$W$2:$W$495&gt;=1)*('CASE MASTER'!$V$2:$V$495&lt;=1)*('CASE MASTER'!$X$2:$X$495&gt;=1))*ROW('CASE MASTER'!$T$2:$T$495))-(ROW('CASE MASTER'!#REF!)-1)))&amp;TRIM(MID(SUBSTITUTE(SUBSTITUTE(INDEX('CASE MASTER'!$N$2:$N$495,(SUMPRODUCT((('CASE MASTER'!$T$2:$T$495=9)*('CASE MASTER'!$U$2:$U$495&lt;=1)*('CASE MASTER'!$W$2:$W$495&gt;=1)*('CASE MASTER'!$V$2:$V$495&lt;=1)*('CASE MASTER'!$X$2:$X$495&gt;=1))*ROW('CASE MASTER'!$T$2:$T$495))-(ROW('CASE MASTER'!#REF!)-1))),":",","),",",REPT(" ",50)),((((1-INDEX('CASE MASTER'!$U$2:$U$495,(SUMPRODUCT((('CASE MASTER'!$T$2:$T$495=9)*('CASE MASTER'!$U$2:$U$495&lt;=1)*('CASE MASTER'!$W$2:$W$495&gt;=1)*('CASE MASTER'!$V$2:$V$495&lt;=1)*('CASE MASTER'!$X$2:$X$495&gt;=1))*ROW('CASE MASTER'!$T$2:$T$495))-(ROW('CASE MASTER'!#REF!)-1))))*(INDEX('CASE MASTER'!$X$2:$X$495,(SUMPRODUCT((('CASE MASTER'!$T$2:$T$495=9)*('CASE MASTER'!$U$2:$U$495&lt;=1)*('CASE MASTER'!$W$2:$W$495&gt;=1)*('CASE MASTER'!$V$2:$V$495&lt;=1)*('CASE MASTER'!$X$2:$X$495&gt;=1))*ROW('CASE MASTER'!$T$2:$T$495))-(ROW('CASE MASTER'!#REF!)-1)))-INDEX('CASE MASTER'!$V$2:$V$495,(SUMPRODUCT((('CASE MASTER'!$T$2:$T$495=9)*('CASE MASTER'!$U$2:$U$495&lt;=1)*('CASE MASTER'!$W$2:$W$495&gt;=1)*('CASE MASTER'!$V$2:$V$495&lt;=1)*('CASE MASTER'!$X$2:$X$495&gt;=1))*ROW('CASE MASTER'!$T$2:$T$495))-(ROW('CASE MASTER'!#REF!)-1)))+1)+(1-INDEX('CASE MASTER'!$V$2:$V$495,(SUMPRODUCT((('CASE MASTER'!$T$2:$T$495=9)*('CASE MASTER'!$U$2:$U$495&lt;=1)*('CASE MASTER'!$W$2:$W$495&gt;=1)*('CASE MASTER'!$V$2:$V$495&lt;=1)*('CASE MASTER'!$X$2:$X$495&gt;=1))*ROW('CASE MASTER'!$T$2:$T$495))-(ROW('CASE MASTER'!#REF!)-1))))+1))-1)*50+1,50))&amp;"_"&amp;INDEX('CASE MASTER'!$Q$2:$Q$495,(SUMPRODUCT((('CASE MASTER'!$T$2:$T$495=9)*('CASE MASTER'!$U$2:$U$495&lt;=1)*('CASE MASTER'!$W$2:$W$495&gt;=1)*('CASE MASTER'!$V$2:$V$495&lt;=1)*('CASE MASTER'!$X$2:$X$495&gt;=1))*ROW('CASE MASTER'!$T$2:$T$495))-(ROW('CASE MASTER'!#REF!)-1))),IF(SUMPRODUCT((('CASE MASTER'!$T$2:$T$495=9)*('CASE MASTER'!$AA$2:$AA$495&lt;=1)*('CASE MASTER'!$AC$2:$AC$495&gt;=1)*('CASE MASTER'!$AB$2:$AB$495&lt;=1)*('CASE MASTER'!$AD$2:$AD$495&gt;=1))*ROW('CASE MASTER'!$T$2:$T$495))&gt;0,INDEX('CASE MASTER'!$Y$2:$Y$495,(SUMPRODUCT((('CASE MASTER'!$T$2:$T$495=9)*('CASE MASTER'!$AA$2:$AA$495&lt;=1)*('CASE MASTER'!$AC$2:$AC$495&gt;=1)*('CASE MASTER'!$AB$2:$AB$495&lt;=1)*('CASE MASTER'!$AD$2:$AD$495&gt;=1))*ROW('CASE MASTER'!$T$2:$T$495))-(ROW('CASE MASTER'!#REF!)-1)))&amp;TRIM(MID(SUBSTITUTE(SUBSTITUTE(INDEX('CASE MASTER'!$N$2:$N$495,(SUMPRODUCT((('CASE MASTER'!$T$2:$T$495=9)*('CASE MASTER'!$AA$2:$AA$495&lt;=1)*('CASE MASTER'!$AC$2:$AC$495&gt;=1)*('CASE MASTER'!$AB$2:$AB$495&lt;=1)*('CASE MASTER'!$AD$2:$AD$495&gt;=1))*ROW('CASE MASTER'!$T$2:$T$495))-(ROW('CASE MASTER'!#REF!)-1))),":",","),",",REPT(" ",50)),(((INDEX('CASE MASTER'!$Z$2:$Z$495,(SUMPRODUCT((('CASE MASTER'!$T$2:$T$495=9)*('CASE MASTER'!$AA$2:$AA$495&lt;=1)*('CASE MASTER'!$AC$2:$AC$495&gt;=1)*('CASE MASTER'!$AB$2:$AB$495&lt;=1)*('CASE MASTER'!$AD$2:$AD$495&gt;=1))*ROW('CASE MASTER'!$T$2:$T$495))-(ROW('CASE MASTER'!#REF!)-1)))+((1-INDEX('CASE MASTER'!$AA$2:$AA$495,(SUMPRODUCT((('CASE MASTER'!$T$2:$T$495=9)*('CASE MASTER'!$AA$2:$AA$495&lt;=1)*('CASE MASTER'!$AC$2:$AC$495&gt;=1)*('CASE MASTER'!$AB$2:$AB$495&lt;=1)*('CASE MASTER'!$AD$2:$AD$495&gt;=1))*ROW('CASE MASTER'!$T$2:$T$495))-(ROW('CASE MASTER'!#REF!)-1))))*(INDEX('CASE MASTER'!$AD$2:$AD$495,(SUMPRODUCT((('CASE MASTER'!$T$2:$T$495=9)*('CASE MASTER'!$AA$2:$AA$495&lt;=1)*('CASE MASTER'!$AC$2:$AC$495&gt;=1)*('CASE MASTER'!$AB$2:$AB$495&lt;=1)*('CASE MASTER'!$AD$2:$AD$495&gt;=1))*ROW('CASE MASTER'!$T$2:$T$495))-(ROW('CASE MASTER'!#REF!)-1)))-INDEX('CASE MASTER'!$AB$2:$AB$495,(SUMPRODUCT((('CASE MASTER'!$T$2:$T$495=9)*('CASE MASTER'!$AA$2:$AA$495&lt;=1)*('CASE MASTER'!$AC$2:$AC$495&gt;=1)*('CASE MASTER'!$AB$2:$AB$495&lt;=1)*('CASE MASTER'!$AD$2:$AD$495&gt;=1))*ROW('CASE MASTER'!$T$2:$T$495))-(ROW('CASE MASTER'!#REF!)-1)))+1)+(1-INDEX('CASE MASTER'!$AB$2:$AB$495,(SUMPRODUCT((('CASE MASTER'!$T$2:$T$495=9)*('CASE MASTER'!$AA$2:$AA$495&lt;=1)*('CASE MASTER'!$AC$2:$AC$495&gt;=1)*('CASE MASTER'!$AB$2:$AB$495&lt;=1)*('CASE MASTER'!$AD$2:$AD$495&gt;=1))*ROW('CASE MASTER'!$T$2:$T$495))-(ROW('CASE MASTER'!#REF!)-1))))+1)))-1)*50+1,50))&amp;"_"&amp;INDEX('CASE MASTER'!$Q$2:$Q$495,(SUMPRODUCT((('CASE MASTER'!$T$2:$T$495=9)*('CASE MASTER'!$AA$2:$AA$495&lt;=1)*('CASE MASTER'!$AC$2:$AC$495&gt;=1)*('CASE MASTER'!$AB$2:$AB$495&lt;=1)*('CASE MASTER'!$AD$2:$AD$495&gt;=1))*ROW('CASE MASTER'!$T$2:$T$495))-(ROW('CASE MASTER'!#REF!)-1))),"")),"")</f>
        <v/>
      </c>
      <c r="C115" s="10" t="str">
        <f>IFERROR(IF(SUMPRODUCT((('CASE MASTER'!$T$2:$T$495=9)*('CASE MASTER'!$U$2:$U$495&lt;=1)*('CASE MASTER'!$W$2:$W$495&gt;=1)*('CASE MASTER'!$V$2:$V$495&lt;=2)*('CASE MASTER'!$X$2:$X$495&gt;=2))*ROW('CASE MASTER'!$T$2:$T$495))&gt;0,INDEX('CASE MASTER'!$Y$2:$Y$495,(SUMPRODUCT((('CASE MASTER'!$T$2:$T$495=9)*('CASE MASTER'!$U$2:$U$495&lt;=1)*('CASE MASTER'!$W$2:$W$495&gt;=1)*('CASE MASTER'!$V$2:$V$495&lt;=2)*('CASE MASTER'!$X$2:$X$495&gt;=2))*ROW('CASE MASTER'!$T$2:$T$495))-(ROW('CASE MASTER'!#REF!)-1)))&amp;TRIM(MID(SUBSTITUTE(SUBSTITUTE(INDEX('CASE MASTER'!$N$2:$N$495,(SUMPRODUCT((('CASE MASTER'!$T$2:$T$495=9)*('CASE MASTER'!$U$2:$U$495&lt;=1)*('CASE MASTER'!$W$2:$W$495&gt;=1)*('CASE MASTER'!$V$2:$V$495&lt;=2)*('CASE MASTER'!$X$2:$X$495&gt;=2))*ROW('CASE MASTER'!$T$2:$T$495))-(ROW('CASE MASTER'!#REF!)-1))),":",","),",",REPT(" ",50)),((((1-INDEX('CASE MASTER'!$U$2:$U$495,(SUMPRODUCT((('CASE MASTER'!$T$2:$T$495=9)*('CASE MASTER'!$U$2:$U$495&lt;=1)*('CASE MASTER'!$W$2:$W$495&gt;=1)*('CASE MASTER'!$V$2:$V$495&lt;=2)*('CASE MASTER'!$X$2:$X$495&gt;=2))*ROW('CASE MASTER'!$T$2:$T$495))-(ROW('CASE MASTER'!#REF!)-1))))*(INDEX('CASE MASTER'!$X$2:$X$495,(SUMPRODUCT((('CASE MASTER'!$T$2:$T$495=9)*('CASE MASTER'!$U$2:$U$495&lt;=1)*('CASE MASTER'!$W$2:$W$495&gt;=1)*('CASE MASTER'!$V$2:$V$495&lt;=2)*('CASE MASTER'!$X$2:$X$495&gt;=2))*ROW('CASE MASTER'!$T$2:$T$495))-(ROW('CASE MASTER'!#REF!)-1)))-INDEX('CASE MASTER'!$V$2:$V$495,(SUMPRODUCT((('CASE MASTER'!$T$2:$T$495=9)*('CASE MASTER'!$U$2:$U$495&lt;=1)*('CASE MASTER'!$W$2:$W$495&gt;=1)*('CASE MASTER'!$V$2:$V$495&lt;=2)*('CASE MASTER'!$X$2:$X$495&gt;=2))*ROW('CASE MASTER'!$T$2:$T$495))-(ROW('CASE MASTER'!#REF!)-1)))+1)+(2-INDEX('CASE MASTER'!$V$2:$V$495,(SUMPRODUCT((('CASE MASTER'!$T$2:$T$495=9)*('CASE MASTER'!$U$2:$U$495&lt;=1)*('CASE MASTER'!$W$2:$W$495&gt;=1)*('CASE MASTER'!$V$2:$V$495&lt;=2)*('CASE MASTER'!$X$2:$X$495&gt;=2))*ROW('CASE MASTER'!$T$2:$T$495))-(ROW('CASE MASTER'!#REF!)-1))))+1))-1)*50+1,50))&amp;"_"&amp;INDEX('CASE MASTER'!$Q$2:$Q$495,(SUMPRODUCT((('CASE MASTER'!$T$2:$T$495=9)*('CASE MASTER'!$U$2:$U$495&lt;=1)*('CASE MASTER'!$W$2:$W$495&gt;=1)*('CASE MASTER'!$V$2:$V$495&lt;=2)*('CASE MASTER'!$X$2:$X$495&gt;=2))*ROW('CASE MASTER'!$T$2:$T$495))-(ROW('CASE MASTER'!#REF!)-1))),IF(SUMPRODUCT((('CASE MASTER'!$T$2:$T$495=9)*('CASE MASTER'!$AA$2:$AA$495&lt;=1)*('CASE MASTER'!$AC$2:$AC$495&gt;=1)*('CASE MASTER'!$AB$2:$AB$495&lt;=2)*('CASE MASTER'!$AD$2:$AD$495&gt;=2))*ROW('CASE MASTER'!$T$2:$T$495))&gt;0,INDEX('CASE MASTER'!$Y$2:$Y$495,(SUMPRODUCT((('CASE MASTER'!$T$2:$T$495=9)*('CASE MASTER'!$AA$2:$AA$495&lt;=1)*('CASE MASTER'!$AC$2:$AC$495&gt;=1)*('CASE MASTER'!$AB$2:$AB$495&lt;=2)*('CASE MASTER'!$AD$2:$AD$495&gt;=2))*ROW('CASE MASTER'!$T$2:$T$495))-(ROW('CASE MASTER'!#REF!)-1)))&amp;TRIM(MID(SUBSTITUTE(SUBSTITUTE(INDEX('CASE MASTER'!$N$2:$N$495,(SUMPRODUCT((('CASE MASTER'!$T$2:$T$495=9)*('CASE MASTER'!$AA$2:$AA$495&lt;=1)*('CASE MASTER'!$AC$2:$AC$495&gt;=1)*('CASE MASTER'!$AB$2:$AB$495&lt;=2)*('CASE MASTER'!$AD$2:$AD$495&gt;=2))*ROW('CASE MASTER'!$T$2:$T$495))-(ROW('CASE MASTER'!#REF!)-1))),":",","),",",REPT(" ",50)),(((INDEX('CASE MASTER'!$Z$2:$Z$495,(SUMPRODUCT((('CASE MASTER'!$T$2:$T$495=9)*('CASE MASTER'!$AA$2:$AA$495&lt;=1)*('CASE MASTER'!$AC$2:$AC$495&gt;=1)*('CASE MASTER'!$AB$2:$AB$495&lt;=2)*('CASE MASTER'!$AD$2:$AD$495&gt;=2))*ROW('CASE MASTER'!$T$2:$T$495))-(ROW('CASE MASTER'!#REF!)-1)))+((1-INDEX('CASE MASTER'!$AA$2:$AA$495,(SUMPRODUCT((('CASE MASTER'!$T$2:$T$495=9)*('CASE MASTER'!$AA$2:$AA$495&lt;=1)*('CASE MASTER'!$AC$2:$AC$495&gt;=1)*('CASE MASTER'!$AB$2:$AB$495&lt;=2)*('CASE MASTER'!$AD$2:$AD$495&gt;=2))*ROW('CASE MASTER'!$T$2:$T$495))-(ROW('CASE MASTER'!#REF!)-1))))*(INDEX('CASE MASTER'!$AD$2:$AD$495,(SUMPRODUCT((('CASE MASTER'!$T$2:$T$495=9)*('CASE MASTER'!$AA$2:$AA$495&lt;=1)*('CASE MASTER'!$AC$2:$AC$495&gt;=1)*('CASE MASTER'!$AB$2:$AB$495&lt;=2)*('CASE MASTER'!$AD$2:$AD$495&gt;=2))*ROW('CASE MASTER'!$T$2:$T$495))-(ROW('CASE MASTER'!#REF!)-1)))-INDEX('CASE MASTER'!$AB$2:$AB$495,(SUMPRODUCT((('CASE MASTER'!$T$2:$T$495=9)*('CASE MASTER'!$AA$2:$AA$495&lt;=1)*('CASE MASTER'!$AC$2:$AC$495&gt;=1)*('CASE MASTER'!$AB$2:$AB$495&lt;=2)*('CASE MASTER'!$AD$2:$AD$495&gt;=2))*ROW('CASE MASTER'!$T$2:$T$495))-(ROW('CASE MASTER'!#REF!)-1)))+1)+(2-INDEX('CASE MASTER'!$AB$2:$AB$495,(SUMPRODUCT((('CASE MASTER'!$T$2:$T$495=9)*('CASE MASTER'!$AA$2:$AA$495&lt;=1)*('CASE MASTER'!$AC$2:$AC$495&gt;=1)*('CASE MASTER'!$AB$2:$AB$495&lt;=2)*('CASE MASTER'!$AD$2:$AD$495&gt;=2))*ROW('CASE MASTER'!$T$2:$T$495))-(ROW('CASE MASTER'!#REF!)-1))))+1)))-1)*50+1,50))&amp;"_"&amp;INDEX('CASE MASTER'!$Q$2:$Q$495,(SUMPRODUCT((('CASE MASTER'!$T$2:$T$495=9)*('CASE MASTER'!$AA$2:$AA$495&lt;=1)*('CASE MASTER'!$AC$2:$AC$495&gt;=1)*('CASE MASTER'!$AB$2:$AB$495&lt;=2)*('CASE MASTER'!$AD$2:$AD$495&gt;=2))*ROW('CASE MASTER'!$T$2:$T$495))-(ROW('CASE MASTER'!#REF!)-1))),"")),"")</f>
        <v/>
      </c>
      <c r="D115" s="10" t="str">
        <f>IFERROR(IF(SUMPRODUCT((('CASE MASTER'!$T$2:$T$495=9)*('CASE MASTER'!$U$2:$U$495&lt;=1)*('CASE MASTER'!$W$2:$W$495&gt;=1)*('CASE MASTER'!$V$2:$V$495&lt;=3)*('CASE MASTER'!$X$2:$X$495&gt;=3))*ROW('CASE MASTER'!$T$2:$T$495))&gt;0,INDEX('CASE MASTER'!$Y$2:$Y$495,(SUMPRODUCT((('CASE MASTER'!$T$2:$T$495=9)*('CASE MASTER'!$U$2:$U$495&lt;=1)*('CASE MASTER'!$W$2:$W$495&gt;=1)*('CASE MASTER'!$V$2:$V$495&lt;=3)*('CASE MASTER'!$X$2:$X$495&gt;=3))*ROW('CASE MASTER'!$T$2:$T$495))-(ROW('CASE MASTER'!#REF!)-1)))&amp;TRIM(MID(SUBSTITUTE(SUBSTITUTE(INDEX('CASE MASTER'!$N$2:$N$495,(SUMPRODUCT((('CASE MASTER'!$T$2:$T$495=9)*('CASE MASTER'!$U$2:$U$495&lt;=1)*('CASE MASTER'!$W$2:$W$495&gt;=1)*('CASE MASTER'!$V$2:$V$495&lt;=3)*('CASE MASTER'!$X$2:$X$495&gt;=3))*ROW('CASE MASTER'!$T$2:$T$495))-(ROW('CASE MASTER'!#REF!)-1))),":",","),",",REPT(" ",50)),((((1-INDEX('CASE MASTER'!$U$2:$U$495,(SUMPRODUCT((('CASE MASTER'!$T$2:$T$495=9)*('CASE MASTER'!$U$2:$U$495&lt;=1)*('CASE MASTER'!$W$2:$W$495&gt;=1)*('CASE MASTER'!$V$2:$V$495&lt;=3)*('CASE MASTER'!$X$2:$X$495&gt;=3))*ROW('CASE MASTER'!$T$2:$T$495))-(ROW('CASE MASTER'!#REF!)-1))))*(INDEX('CASE MASTER'!$X$2:$X$495,(SUMPRODUCT((('CASE MASTER'!$T$2:$T$495=9)*('CASE MASTER'!$U$2:$U$495&lt;=1)*('CASE MASTER'!$W$2:$W$495&gt;=1)*('CASE MASTER'!$V$2:$V$495&lt;=3)*('CASE MASTER'!$X$2:$X$495&gt;=3))*ROW('CASE MASTER'!$T$2:$T$495))-(ROW('CASE MASTER'!#REF!)-1)))-INDEX('CASE MASTER'!$V$2:$V$495,(SUMPRODUCT((('CASE MASTER'!$T$2:$T$495=9)*('CASE MASTER'!$U$2:$U$495&lt;=1)*('CASE MASTER'!$W$2:$W$495&gt;=1)*('CASE MASTER'!$V$2:$V$495&lt;=3)*('CASE MASTER'!$X$2:$X$495&gt;=3))*ROW('CASE MASTER'!$T$2:$T$495))-(ROW('CASE MASTER'!#REF!)-1)))+1)+(3-INDEX('CASE MASTER'!$V$2:$V$495,(SUMPRODUCT((('CASE MASTER'!$T$2:$T$495=9)*('CASE MASTER'!$U$2:$U$495&lt;=1)*('CASE MASTER'!$W$2:$W$495&gt;=1)*('CASE MASTER'!$V$2:$V$495&lt;=3)*('CASE MASTER'!$X$2:$X$495&gt;=3))*ROW('CASE MASTER'!$T$2:$T$495))-(ROW('CASE MASTER'!#REF!)-1))))+1))-1)*50+1,50))&amp;"_"&amp;INDEX('CASE MASTER'!$Q$2:$Q$495,(SUMPRODUCT((('CASE MASTER'!$T$2:$T$495=9)*('CASE MASTER'!$U$2:$U$495&lt;=1)*('CASE MASTER'!$W$2:$W$495&gt;=1)*('CASE MASTER'!$V$2:$V$495&lt;=3)*('CASE MASTER'!$X$2:$X$495&gt;=3))*ROW('CASE MASTER'!$T$2:$T$495))-(ROW('CASE MASTER'!#REF!)-1))),IF(SUMPRODUCT((('CASE MASTER'!$T$2:$T$495=9)*('CASE MASTER'!$AA$2:$AA$495&lt;=1)*('CASE MASTER'!$AC$2:$AC$495&gt;=1)*('CASE MASTER'!$AB$2:$AB$495&lt;=3)*('CASE MASTER'!$AD$2:$AD$495&gt;=3))*ROW('CASE MASTER'!$T$2:$T$495))&gt;0,INDEX('CASE MASTER'!$Y$2:$Y$495,(SUMPRODUCT((('CASE MASTER'!$T$2:$T$495=9)*('CASE MASTER'!$AA$2:$AA$495&lt;=1)*('CASE MASTER'!$AC$2:$AC$495&gt;=1)*('CASE MASTER'!$AB$2:$AB$495&lt;=3)*('CASE MASTER'!$AD$2:$AD$495&gt;=3))*ROW('CASE MASTER'!$T$2:$T$495))-(ROW('CASE MASTER'!#REF!)-1)))&amp;TRIM(MID(SUBSTITUTE(SUBSTITUTE(INDEX('CASE MASTER'!$N$2:$N$495,(SUMPRODUCT((('CASE MASTER'!$T$2:$T$495=9)*('CASE MASTER'!$AA$2:$AA$495&lt;=1)*('CASE MASTER'!$AC$2:$AC$495&gt;=1)*('CASE MASTER'!$AB$2:$AB$495&lt;=3)*('CASE MASTER'!$AD$2:$AD$495&gt;=3))*ROW('CASE MASTER'!$T$2:$T$495))-(ROW('CASE MASTER'!#REF!)-1))),":",","),",",REPT(" ",50)),(((INDEX('CASE MASTER'!$Z$2:$Z$495,(SUMPRODUCT((('CASE MASTER'!$T$2:$T$495=9)*('CASE MASTER'!$AA$2:$AA$495&lt;=1)*('CASE MASTER'!$AC$2:$AC$495&gt;=1)*('CASE MASTER'!$AB$2:$AB$495&lt;=3)*('CASE MASTER'!$AD$2:$AD$495&gt;=3))*ROW('CASE MASTER'!$T$2:$T$495))-(ROW('CASE MASTER'!#REF!)-1)))+((1-INDEX('CASE MASTER'!$AA$2:$AA$495,(SUMPRODUCT((('CASE MASTER'!$T$2:$T$495=9)*('CASE MASTER'!$AA$2:$AA$495&lt;=1)*('CASE MASTER'!$AC$2:$AC$495&gt;=1)*('CASE MASTER'!$AB$2:$AB$495&lt;=3)*('CASE MASTER'!$AD$2:$AD$495&gt;=3))*ROW('CASE MASTER'!$T$2:$T$495))-(ROW('CASE MASTER'!#REF!)-1))))*(INDEX('CASE MASTER'!$AD$2:$AD$495,(SUMPRODUCT((('CASE MASTER'!$T$2:$T$495=9)*('CASE MASTER'!$AA$2:$AA$495&lt;=1)*('CASE MASTER'!$AC$2:$AC$495&gt;=1)*('CASE MASTER'!$AB$2:$AB$495&lt;=3)*('CASE MASTER'!$AD$2:$AD$495&gt;=3))*ROW('CASE MASTER'!$T$2:$T$495))-(ROW('CASE MASTER'!#REF!)-1)))-INDEX('CASE MASTER'!$AB$2:$AB$495,(SUMPRODUCT((('CASE MASTER'!$T$2:$T$495=9)*('CASE MASTER'!$AA$2:$AA$495&lt;=1)*('CASE MASTER'!$AC$2:$AC$495&gt;=1)*('CASE MASTER'!$AB$2:$AB$495&lt;=3)*('CASE MASTER'!$AD$2:$AD$495&gt;=3))*ROW('CASE MASTER'!$T$2:$T$495))-(ROW('CASE MASTER'!#REF!)-1)))+1)+(3-INDEX('CASE MASTER'!$AB$2:$AB$495,(SUMPRODUCT((('CASE MASTER'!$T$2:$T$495=9)*('CASE MASTER'!$AA$2:$AA$495&lt;=1)*('CASE MASTER'!$AC$2:$AC$495&gt;=1)*('CASE MASTER'!$AB$2:$AB$495&lt;=3)*('CASE MASTER'!$AD$2:$AD$495&gt;=3))*ROW('CASE MASTER'!$T$2:$T$495))-(ROW('CASE MASTER'!#REF!)-1))))+1)))-1)*50+1,50))&amp;"_"&amp;INDEX('CASE MASTER'!$Q$2:$Q$495,(SUMPRODUCT((('CASE MASTER'!$T$2:$T$495=9)*('CASE MASTER'!$AA$2:$AA$495&lt;=1)*('CASE MASTER'!$AC$2:$AC$495&gt;=1)*('CASE MASTER'!$AB$2:$AB$495&lt;=3)*('CASE MASTER'!$AD$2:$AD$495&gt;=3))*ROW('CASE MASTER'!$T$2:$T$495))-(ROW('CASE MASTER'!#REF!)-1))),"")),"")</f>
        <v/>
      </c>
      <c r="E115" s="10" t="str">
        <f>IFERROR(IF(SUMPRODUCT((('CASE MASTER'!$T$2:$T$495=9)*('CASE MASTER'!$U$2:$U$495&lt;=1)*('CASE MASTER'!$W$2:$W$495&gt;=1)*('CASE MASTER'!$V$2:$V$495&lt;=4)*('CASE MASTER'!$X$2:$X$495&gt;=4))*ROW('CASE MASTER'!$T$2:$T$495))&gt;0,INDEX('CASE MASTER'!$Y$2:$Y$495,(SUMPRODUCT((('CASE MASTER'!$T$2:$T$495=9)*('CASE MASTER'!$U$2:$U$495&lt;=1)*('CASE MASTER'!$W$2:$W$495&gt;=1)*('CASE MASTER'!$V$2:$V$495&lt;=4)*('CASE MASTER'!$X$2:$X$495&gt;=4))*ROW('CASE MASTER'!$T$2:$T$495))-(ROW('CASE MASTER'!#REF!)-1)))&amp;TRIM(MID(SUBSTITUTE(SUBSTITUTE(INDEX('CASE MASTER'!$N$2:$N$495,(SUMPRODUCT((('CASE MASTER'!$T$2:$T$495=9)*('CASE MASTER'!$U$2:$U$495&lt;=1)*('CASE MASTER'!$W$2:$W$495&gt;=1)*('CASE MASTER'!$V$2:$V$495&lt;=4)*('CASE MASTER'!$X$2:$X$495&gt;=4))*ROW('CASE MASTER'!$T$2:$T$495))-(ROW('CASE MASTER'!#REF!)-1))),":",","),",",REPT(" ",50)),((((1-INDEX('CASE MASTER'!$U$2:$U$495,(SUMPRODUCT((('CASE MASTER'!$T$2:$T$495=9)*('CASE MASTER'!$U$2:$U$495&lt;=1)*('CASE MASTER'!$W$2:$W$495&gt;=1)*('CASE MASTER'!$V$2:$V$495&lt;=4)*('CASE MASTER'!$X$2:$X$495&gt;=4))*ROW('CASE MASTER'!$T$2:$T$495))-(ROW('CASE MASTER'!#REF!)-1))))*(INDEX('CASE MASTER'!$X$2:$X$495,(SUMPRODUCT((('CASE MASTER'!$T$2:$T$495=9)*('CASE MASTER'!$U$2:$U$495&lt;=1)*('CASE MASTER'!$W$2:$W$495&gt;=1)*('CASE MASTER'!$V$2:$V$495&lt;=4)*('CASE MASTER'!$X$2:$X$495&gt;=4))*ROW('CASE MASTER'!$T$2:$T$495))-(ROW('CASE MASTER'!#REF!)-1)))-INDEX('CASE MASTER'!$V$2:$V$495,(SUMPRODUCT((('CASE MASTER'!$T$2:$T$495=9)*('CASE MASTER'!$U$2:$U$495&lt;=1)*('CASE MASTER'!$W$2:$W$495&gt;=1)*('CASE MASTER'!$V$2:$V$495&lt;=4)*('CASE MASTER'!$X$2:$X$495&gt;=4))*ROW('CASE MASTER'!$T$2:$T$495))-(ROW('CASE MASTER'!#REF!)-1)))+1)+(4-INDEX('CASE MASTER'!$V$2:$V$495,(SUMPRODUCT((('CASE MASTER'!$T$2:$T$495=9)*('CASE MASTER'!$U$2:$U$495&lt;=1)*('CASE MASTER'!$W$2:$W$495&gt;=1)*('CASE MASTER'!$V$2:$V$495&lt;=4)*('CASE MASTER'!$X$2:$X$495&gt;=4))*ROW('CASE MASTER'!$T$2:$T$495))-(ROW('CASE MASTER'!#REF!)-1))))+1))-1)*50+1,50))&amp;"_"&amp;INDEX('CASE MASTER'!$Q$2:$Q$495,(SUMPRODUCT((('CASE MASTER'!$T$2:$T$495=9)*('CASE MASTER'!$U$2:$U$495&lt;=1)*('CASE MASTER'!$W$2:$W$495&gt;=1)*('CASE MASTER'!$V$2:$V$495&lt;=4)*('CASE MASTER'!$X$2:$X$495&gt;=4))*ROW('CASE MASTER'!$T$2:$T$495))-(ROW('CASE MASTER'!#REF!)-1))),IF(SUMPRODUCT((('CASE MASTER'!$T$2:$T$495=9)*('CASE MASTER'!$AA$2:$AA$495&lt;=1)*('CASE MASTER'!$AC$2:$AC$495&gt;=1)*('CASE MASTER'!$AB$2:$AB$495&lt;=4)*('CASE MASTER'!$AD$2:$AD$495&gt;=4))*ROW('CASE MASTER'!$T$2:$T$495))&gt;0,INDEX('CASE MASTER'!$Y$2:$Y$495,(SUMPRODUCT((('CASE MASTER'!$T$2:$T$495=9)*('CASE MASTER'!$AA$2:$AA$495&lt;=1)*('CASE MASTER'!$AC$2:$AC$495&gt;=1)*('CASE MASTER'!$AB$2:$AB$495&lt;=4)*('CASE MASTER'!$AD$2:$AD$495&gt;=4))*ROW('CASE MASTER'!$T$2:$T$495))-(ROW('CASE MASTER'!#REF!)-1)))&amp;TRIM(MID(SUBSTITUTE(SUBSTITUTE(INDEX('CASE MASTER'!$N$2:$N$495,(SUMPRODUCT((('CASE MASTER'!$T$2:$T$495=9)*('CASE MASTER'!$AA$2:$AA$495&lt;=1)*('CASE MASTER'!$AC$2:$AC$495&gt;=1)*('CASE MASTER'!$AB$2:$AB$495&lt;=4)*('CASE MASTER'!$AD$2:$AD$495&gt;=4))*ROW('CASE MASTER'!$T$2:$T$495))-(ROW('CASE MASTER'!#REF!)-1))),":",","),",",REPT(" ",50)),(((INDEX('CASE MASTER'!$Z$2:$Z$495,(SUMPRODUCT((('CASE MASTER'!$T$2:$T$495=9)*('CASE MASTER'!$AA$2:$AA$495&lt;=1)*('CASE MASTER'!$AC$2:$AC$495&gt;=1)*('CASE MASTER'!$AB$2:$AB$495&lt;=4)*('CASE MASTER'!$AD$2:$AD$495&gt;=4))*ROW('CASE MASTER'!$T$2:$T$495))-(ROW('CASE MASTER'!#REF!)-1)))+((1-INDEX('CASE MASTER'!$AA$2:$AA$495,(SUMPRODUCT((('CASE MASTER'!$T$2:$T$495=9)*('CASE MASTER'!$AA$2:$AA$495&lt;=1)*('CASE MASTER'!$AC$2:$AC$495&gt;=1)*('CASE MASTER'!$AB$2:$AB$495&lt;=4)*('CASE MASTER'!$AD$2:$AD$495&gt;=4))*ROW('CASE MASTER'!$T$2:$T$495))-(ROW('CASE MASTER'!#REF!)-1))))*(INDEX('CASE MASTER'!$AD$2:$AD$495,(SUMPRODUCT((('CASE MASTER'!$T$2:$T$495=9)*('CASE MASTER'!$AA$2:$AA$495&lt;=1)*('CASE MASTER'!$AC$2:$AC$495&gt;=1)*('CASE MASTER'!$AB$2:$AB$495&lt;=4)*('CASE MASTER'!$AD$2:$AD$495&gt;=4))*ROW('CASE MASTER'!$T$2:$T$495))-(ROW('CASE MASTER'!#REF!)-1)))-INDEX('CASE MASTER'!$AB$2:$AB$495,(SUMPRODUCT((('CASE MASTER'!$T$2:$T$495=9)*('CASE MASTER'!$AA$2:$AA$495&lt;=1)*('CASE MASTER'!$AC$2:$AC$495&gt;=1)*('CASE MASTER'!$AB$2:$AB$495&lt;=4)*('CASE MASTER'!$AD$2:$AD$495&gt;=4))*ROW('CASE MASTER'!$T$2:$T$495))-(ROW('CASE MASTER'!#REF!)-1)))+1)+(4-INDEX('CASE MASTER'!$AB$2:$AB$495,(SUMPRODUCT((('CASE MASTER'!$T$2:$T$495=9)*('CASE MASTER'!$AA$2:$AA$495&lt;=1)*('CASE MASTER'!$AC$2:$AC$495&gt;=1)*('CASE MASTER'!$AB$2:$AB$495&lt;=4)*('CASE MASTER'!$AD$2:$AD$495&gt;=4))*ROW('CASE MASTER'!$T$2:$T$495))-(ROW('CASE MASTER'!#REF!)-1))))+1)))-1)*50+1,50))&amp;"_"&amp;INDEX('CASE MASTER'!$Q$2:$Q$495,(SUMPRODUCT((('CASE MASTER'!$T$2:$T$495=9)*('CASE MASTER'!$AA$2:$AA$495&lt;=1)*('CASE MASTER'!$AC$2:$AC$495&gt;=1)*('CASE MASTER'!$AB$2:$AB$495&lt;=4)*('CASE MASTER'!$AD$2:$AD$495&gt;=4))*ROW('CASE MASTER'!$T$2:$T$495))-(ROW('CASE MASTER'!#REF!)-1))),"")),"")</f>
        <v/>
      </c>
      <c r="F115" s="10" t="str">
        <f>IFERROR(IF(SUMPRODUCT((('CASE MASTER'!$T$2:$T$495=9)*('CASE MASTER'!$U$2:$U$495&lt;=1)*('CASE MASTER'!$W$2:$W$495&gt;=1)*('CASE MASTER'!$V$2:$V$495&lt;=5)*('CASE MASTER'!$X$2:$X$495&gt;=5))*ROW('CASE MASTER'!$T$2:$T$495))&gt;0,INDEX('CASE MASTER'!$Y$2:$Y$495,(SUMPRODUCT((('CASE MASTER'!$T$2:$T$495=9)*('CASE MASTER'!$U$2:$U$495&lt;=1)*('CASE MASTER'!$W$2:$W$495&gt;=1)*('CASE MASTER'!$V$2:$V$495&lt;=5)*('CASE MASTER'!$X$2:$X$495&gt;=5))*ROW('CASE MASTER'!$T$2:$T$495))-(ROW('CASE MASTER'!#REF!)-1)))&amp;TRIM(MID(SUBSTITUTE(SUBSTITUTE(INDEX('CASE MASTER'!$N$2:$N$495,(SUMPRODUCT((('CASE MASTER'!$T$2:$T$495=9)*('CASE MASTER'!$U$2:$U$495&lt;=1)*('CASE MASTER'!$W$2:$W$495&gt;=1)*('CASE MASTER'!$V$2:$V$495&lt;=5)*('CASE MASTER'!$X$2:$X$495&gt;=5))*ROW('CASE MASTER'!$T$2:$T$495))-(ROW('CASE MASTER'!#REF!)-1))),":",","),",",REPT(" ",50)),((((1-INDEX('CASE MASTER'!$U$2:$U$495,(SUMPRODUCT((('CASE MASTER'!$T$2:$T$495=9)*('CASE MASTER'!$U$2:$U$495&lt;=1)*('CASE MASTER'!$W$2:$W$495&gt;=1)*('CASE MASTER'!$V$2:$V$495&lt;=5)*('CASE MASTER'!$X$2:$X$495&gt;=5))*ROW('CASE MASTER'!$T$2:$T$495))-(ROW('CASE MASTER'!#REF!)-1))))*(INDEX('CASE MASTER'!$X$2:$X$495,(SUMPRODUCT((('CASE MASTER'!$T$2:$T$495=9)*('CASE MASTER'!$U$2:$U$495&lt;=1)*('CASE MASTER'!$W$2:$W$495&gt;=1)*('CASE MASTER'!$V$2:$V$495&lt;=5)*('CASE MASTER'!$X$2:$X$495&gt;=5))*ROW('CASE MASTER'!$T$2:$T$495))-(ROW('CASE MASTER'!#REF!)-1)))-INDEX('CASE MASTER'!$V$2:$V$495,(SUMPRODUCT((('CASE MASTER'!$T$2:$T$495=9)*('CASE MASTER'!$U$2:$U$495&lt;=1)*('CASE MASTER'!$W$2:$W$495&gt;=1)*('CASE MASTER'!$V$2:$V$495&lt;=5)*('CASE MASTER'!$X$2:$X$495&gt;=5))*ROW('CASE MASTER'!$T$2:$T$495))-(ROW('CASE MASTER'!#REF!)-1)))+1)+(5-INDEX('CASE MASTER'!$V$2:$V$495,(SUMPRODUCT((('CASE MASTER'!$T$2:$T$495=9)*('CASE MASTER'!$U$2:$U$495&lt;=1)*('CASE MASTER'!$W$2:$W$495&gt;=1)*('CASE MASTER'!$V$2:$V$495&lt;=5)*('CASE MASTER'!$X$2:$X$495&gt;=5))*ROW('CASE MASTER'!$T$2:$T$495))-(ROW('CASE MASTER'!#REF!)-1))))+1))-1)*50+1,50))&amp;"_"&amp;INDEX('CASE MASTER'!$Q$2:$Q$495,(SUMPRODUCT((('CASE MASTER'!$T$2:$T$495=9)*('CASE MASTER'!$U$2:$U$495&lt;=1)*('CASE MASTER'!$W$2:$W$495&gt;=1)*('CASE MASTER'!$V$2:$V$495&lt;=5)*('CASE MASTER'!$X$2:$X$495&gt;=5))*ROW('CASE MASTER'!$T$2:$T$495))-(ROW('CASE MASTER'!#REF!)-1))),IF(SUMPRODUCT((('CASE MASTER'!$T$2:$T$495=9)*('CASE MASTER'!$AA$2:$AA$495&lt;=1)*('CASE MASTER'!$AC$2:$AC$495&gt;=1)*('CASE MASTER'!$AB$2:$AB$495&lt;=5)*('CASE MASTER'!$AD$2:$AD$495&gt;=5))*ROW('CASE MASTER'!$T$2:$T$495))&gt;0,INDEX('CASE MASTER'!$Y$2:$Y$495,(SUMPRODUCT((('CASE MASTER'!$T$2:$T$495=9)*('CASE MASTER'!$AA$2:$AA$495&lt;=1)*('CASE MASTER'!$AC$2:$AC$495&gt;=1)*('CASE MASTER'!$AB$2:$AB$495&lt;=5)*('CASE MASTER'!$AD$2:$AD$495&gt;=5))*ROW('CASE MASTER'!$T$2:$T$495))-(ROW('CASE MASTER'!#REF!)-1)))&amp;TRIM(MID(SUBSTITUTE(SUBSTITUTE(INDEX('CASE MASTER'!$N$2:$N$495,(SUMPRODUCT((('CASE MASTER'!$T$2:$T$495=9)*('CASE MASTER'!$AA$2:$AA$495&lt;=1)*('CASE MASTER'!$AC$2:$AC$495&gt;=1)*('CASE MASTER'!$AB$2:$AB$495&lt;=5)*('CASE MASTER'!$AD$2:$AD$495&gt;=5))*ROW('CASE MASTER'!$T$2:$T$495))-(ROW('CASE MASTER'!#REF!)-1))),":",","),",",REPT(" ",50)),(((INDEX('CASE MASTER'!$Z$2:$Z$495,(SUMPRODUCT((('CASE MASTER'!$T$2:$T$495=9)*('CASE MASTER'!$AA$2:$AA$495&lt;=1)*('CASE MASTER'!$AC$2:$AC$495&gt;=1)*('CASE MASTER'!$AB$2:$AB$495&lt;=5)*('CASE MASTER'!$AD$2:$AD$495&gt;=5))*ROW('CASE MASTER'!$T$2:$T$495))-(ROW('CASE MASTER'!#REF!)-1)))+((1-INDEX('CASE MASTER'!$AA$2:$AA$495,(SUMPRODUCT((('CASE MASTER'!$T$2:$T$495=9)*('CASE MASTER'!$AA$2:$AA$495&lt;=1)*('CASE MASTER'!$AC$2:$AC$495&gt;=1)*('CASE MASTER'!$AB$2:$AB$495&lt;=5)*('CASE MASTER'!$AD$2:$AD$495&gt;=5))*ROW('CASE MASTER'!$T$2:$T$495))-(ROW('CASE MASTER'!#REF!)-1))))*(INDEX('CASE MASTER'!$AD$2:$AD$495,(SUMPRODUCT((('CASE MASTER'!$T$2:$T$495=9)*('CASE MASTER'!$AA$2:$AA$495&lt;=1)*('CASE MASTER'!$AC$2:$AC$495&gt;=1)*('CASE MASTER'!$AB$2:$AB$495&lt;=5)*('CASE MASTER'!$AD$2:$AD$495&gt;=5))*ROW('CASE MASTER'!$T$2:$T$495))-(ROW('CASE MASTER'!#REF!)-1)))-INDEX('CASE MASTER'!$AB$2:$AB$495,(SUMPRODUCT((('CASE MASTER'!$T$2:$T$495=9)*('CASE MASTER'!$AA$2:$AA$495&lt;=1)*('CASE MASTER'!$AC$2:$AC$495&gt;=1)*('CASE MASTER'!$AB$2:$AB$495&lt;=5)*('CASE MASTER'!$AD$2:$AD$495&gt;=5))*ROW('CASE MASTER'!$T$2:$T$495))-(ROW('CASE MASTER'!#REF!)-1)))+1)+(5-INDEX('CASE MASTER'!$AB$2:$AB$495,(SUMPRODUCT((('CASE MASTER'!$T$2:$T$495=9)*('CASE MASTER'!$AA$2:$AA$495&lt;=1)*('CASE MASTER'!$AC$2:$AC$495&gt;=1)*('CASE MASTER'!$AB$2:$AB$495&lt;=5)*('CASE MASTER'!$AD$2:$AD$495&gt;=5))*ROW('CASE MASTER'!$T$2:$T$495))-(ROW('CASE MASTER'!#REF!)-1))))+1)))-1)*50+1,50))&amp;"_"&amp;INDEX('CASE MASTER'!$Q$2:$Q$495,(SUMPRODUCT((('CASE MASTER'!$T$2:$T$495=9)*('CASE MASTER'!$AA$2:$AA$495&lt;=1)*('CASE MASTER'!$AC$2:$AC$495&gt;=1)*('CASE MASTER'!$AB$2:$AB$495&lt;=5)*('CASE MASTER'!$AD$2:$AD$495&gt;=5))*ROW('CASE MASTER'!$T$2:$T$495))-(ROW('CASE MASTER'!#REF!)-1))),"")),"")</f>
        <v/>
      </c>
      <c r="G115" s="10" t="str">
        <f>IFERROR(IF(SUMPRODUCT((('CASE MASTER'!$T$2:$T$495=9)*('CASE MASTER'!$U$2:$U$495&lt;=1)*('CASE MASTER'!$W$2:$W$495&gt;=1)*('CASE MASTER'!$V$2:$V$495&lt;=6)*('CASE MASTER'!$X$2:$X$495&gt;=6))*ROW('CASE MASTER'!$T$2:$T$495))&gt;0,INDEX('CASE MASTER'!$Y$2:$Y$495,(SUMPRODUCT((('CASE MASTER'!$T$2:$T$495=9)*('CASE MASTER'!$U$2:$U$495&lt;=1)*('CASE MASTER'!$W$2:$W$495&gt;=1)*('CASE MASTER'!$V$2:$V$495&lt;=6)*('CASE MASTER'!$X$2:$X$495&gt;=6))*ROW('CASE MASTER'!$T$2:$T$495))-(ROW('CASE MASTER'!#REF!)-1)))&amp;TRIM(MID(SUBSTITUTE(SUBSTITUTE(INDEX('CASE MASTER'!$N$2:$N$495,(SUMPRODUCT((('CASE MASTER'!$T$2:$T$495=9)*('CASE MASTER'!$U$2:$U$495&lt;=1)*('CASE MASTER'!$W$2:$W$495&gt;=1)*('CASE MASTER'!$V$2:$V$495&lt;=6)*('CASE MASTER'!$X$2:$X$495&gt;=6))*ROW('CASE MASTER'!$T$2:$T$495))-(ROW('CASE MASTER'!#REF!)-1))),":",","),",",REPT(" ",50)),((((1-INDEX('CASE MASTER'!$U$2:$U$495,(SUMPRODUCT((('CASE MASTER'!$T$2:$T$495=9)*('CASE MASTER'!$U$2:$U$495&lt;=1)*('CASE MASTER'!$W$2:$W$495&gt;=1)*('CASE MASTER'!$V$2:$V$495&lt;=6)*('CASE MASTER'!$X$2:$X$495&gt;=6))*ROW('CASE MASTER'!$T$2:$T$495))-(ROW('CASE MASTER'!#REF!)-1))))*(INDEX('CASE MASTER'!$X$2:$X$495,(SUMPRODUCT((('CASE MASTER'!$T$2:$T$495=9)*('CASE MASTER'!$U$2:$U$495&lt;=1)*('CASE MASTER'!$W$2:$W$495&gt;=1)*('CASE MASTER'!$V$2:$V$495&lt;=6)*('CASE MASTER'!$X$2:$X$495&gt;=6))*ROW('CASE MASTER'!$T$2:$T$495))-(ROW('CASE MASTER'!#REF!)-1)))-INDEX('CASE MASTER'!$V$2:$V$495,(SUMPRODUCT((('CASE MASTER'!$T$2:$T$495=9)*('CASE MASTER'!$U$2:$U$495&lt;=1)*('CASE MASTER'!$W$2:$W$495&gt;=1)*('CASE MASTER'!$V$2:$V$495&lt;=6)*('CASE MASTER'!$X$2:$X$495&gt;=6))*ROW('CASE MASTER'!$T$2:$T$495))-(ROW('CASE MASTER'!#REF!)-1)))+1)+(6-INDEX('CASE MASTER'!$V$2:$V$495,(SUMPRODUCT((('CASE MASTER'!$T$2:$T$495=9)*('CASE MASTER'!$U$2:$U$495&lt;=1)*('CASE MASTER'!$W$2:$W$495&gt;=1)*('CASE MASTER'!$V$2:$V$495&lt;=6)*('CASE MASTER'!$X$2:$X$495&gt;=6))*ROW('CASE MASTER'!$T$2:$T$495))-(ROW('CASE MASTER'!#REF!)-1))))+1))-1)*50+1,50))&amp;"_"&amp;INDEX('CASE MASTER'!$Q$2:$Q$495,(SUMPRODUCT((('CASE MASTER'!$T$2:$T$495=9)*('CASE MASTER'!$U$2:$U$495&lt;=1)*('CASE MASTER'!$W$2:$W$495&gt;=1)*('CASE MASTER'!$V$2:$V$495&lt;=6)*('CASE MASTER'!$X$2:$X$495&gt;=6))*ROW('CASE MASTER'!$T$2:$T$495))-(ROW('CASE MASTER'!#REF!)-1))),IF(SUMPRODUCT((('CASE MASTER'!$T$2:$T$495=9)*('CASE MASTER'!$AA$2:$AA$495&lt;=1)*('CASE MASTER'!$AC$2:$AC$495&gt;=1)*('CASE MASTER'!$AB$2:$AB$495&lt;=6)*('CASE MASTER'!$AD$2:$AD$495&gt;=6))*ROW('CASE MASTER'!$T$2:$T$495))&gt;0,INDEX('CASE MASTER'!$Y$2:$Y$495,(SUMPRODUCT((('CASE MASTER'!$T$2:$T$495=9)*('CASE MASTER'!$AA$2:$AA$495&lt;=1)*('CASE MASTER'!$AC$2:$AC$495&gt;=1)*('CASE MASTER'!$AB$2:$AB$495&lt;=6)*('CASE MASTER'!$AD$2:$AD$495&gt;=6))*ROW('CASE MASTER'!$T$2:$T$495))-(ROW('CASE MASTER'!#REF!)-1)))&amp;TRIM(MID(SUBSTITUTE(SUBSTITUTE(INDEX('CASE MASTER'!$N$2:$N$495,(SUMPRODUCT((('CASE MASTER'!$T$2:$T$495=9)*('CASE MASTER'!$AA$2:$AA$495&lt;=1)*('CASE MASTER'!$AC$2:$AC$495&gt;=1)*('CASE MASTER'!$AB$2:$AB$495&lt;=6)*('CASE MASTER'!$AD$2:$AD$495&gt;=6))*ROW('CASE MASTER'!$T$2:$T$495))-(ROW('CASE MASTER'!#REF!)-1))),":",","),",",REPT(" ",50)),(((INDEX('CASE MASTER'!$Z$2:$Z$495,(SUMPRODUCT((('CASE MASTER'!$T$2:$T$495=9)*('CASE MASTER'!$AA$2:$AA$495&lt;=1)*('CASE MASTER'!$AC$2:$AC$495&gt;=1)*('CASE MASTER'!$AB$2:$AB$495&lt;=6)*('CASE MASTER'!$AD$2:$AD$495&gt;=6))*ROW('CASE MASTER'!$T$2:$T$495))-(ROW('CASE MASTER'!#REF!)-1)))+((1-INDEX('CASE MASTER'!$AA$2:$AA$495,(SUMPRODUCT((('CASE MASTER'!$T$2:$T$495=9)*('CASE MASTER'!$AA$2:$AA$495&lt;=1)*('CASE MASTER'!$AC$2:$AC$495&gt;=1)*('CASE MASTER'!$AB$2:$AB$495&lt;=6)*('CASE MASTER'!$AD$2:$AD$495&gt;=6))*ROW('CASE MASTER'!$T$2:$T$495))-(ROW('CASE MASTER'!#REF!)-1))))*(INDEX('CASE MASTER'!$AD$2:$AD$495,(SUMPRODUCT((('CASE MASTER'!$T$2:$T$495=9)*('CASE MASTER'!$AA$2:$AA$495&lt;=1)*('CASE MASTER'!$AC$2:$AC$495&gt;=1)*('CASE MASTER'!$AB$2:$AB$495&lt;=6)*('CASE MASTER'!$AD$2:$AD$495&gt;=6))*ROW('CASE MASTER'!$T$2:$T$495))-(ROW('CASE MASTER'!#REF!)-1)))-INDEX('CASE MASTER'!$AB$2:$AB$495,(SUMPRODUCT((('CASE MASTER'!$T$2:$T$495=9)*('CASE MASTER'!$AA$2:$AA$495&lt;=1)*('CASE MASTER'!$AC$2:$AC$495&gt;=1)*('CASE MASTER'!$AB$2:$AB$495&lt;=6)*('CASE MASTER'!$AD$2:$AD$495&gt;=6))*ROW('CASE MASTER'!$T$2:$T$495))-(ROW('CASE MASTER'!#REF!)-1)))+1)+(6-INDEX('CASE MASTER'!$AB$2:$AB$495,(SUMPRODUCT((('CASE MASTER'!$T$2:$T$495=9)*('CASE MASTER'!$AA$2:$AA$495&lt;=1)*('CASE MASTER'!$AC$2:$AC$495&gt;=1)*('CASE MASTER'!$AB$2:$AB$495&lt;=6)*('CASE MASTER'!$AD$2:$AD$495&gt;=6))*ROW('CASE MASTER'!$T$2:$T$495))-(ROW('CASE MASTER'!#REF!)-1))))+1)))-1)*50+1,50))&amp;"_"&amp;INDEX('CASE MASTER'!$Q$2:$Q$495,(SUMPRODUCT((('CASE MASTER'!$T$2:$T$495=9)*('CASE MASTER'!$AA$2:$AA$495&lt;=1)*('CASE MASTER'!$AC$2:$AC$495&gt;=1)*('CASE MASTER'!$AB$2:$AB$495&lt;=6)*('CASE MASTER'!$AD$2:$AD$495&gt;=6))*ROW('CASE MASTER'!$T$2:$T$495))-(ROW('CASE MASTER'!#REF!)-1))),"")),"")</f>
        <v/>
      </c>
      <c r="H115" s="10" t="str">
        <f>IFERROR(IF(SUMPRODUCT((('CASE MASTER'!$T$2:$T$495=9)*('CASE MASTER'!$U$2:$U$495&lt;=1)*('CASE MASTER'!$W$2:$W$495&gt;=1)*('CASE MASTER'!$V$2:$V$495&lt;=7)*('CASE MASTER'!$X$2:$X$495&gt;=7))*ROW('CASE MASTER'!$T$2:$T$495))&gt;0,INDEX('CASE MASTER'!$Y$2:$Y$495,(SUMPRODUCT((('CASE MASTER'!$T$2:$T$495=9)*('CASE MASTER'!$U$2:$U$495&lt;=1)*('CASE MASTER'!$W$2:$W$495&gt;=1)*('CASE MASTER'!$V$2:$V$495&lt;=7)*('CASE MASTER'!$X$2:$X$495&gt;=7))*ROW('CASE MASTER'!$T$2:$T$495))-(ROW('CASE MASTER'!#REF!)-1)))&amp;TRIM(MID(SUBSTITUTE(SUBSTITUTE(INDEX('CASE MASTER'!$N$2:$N$495,(SUMPRODUCT((('CASE MASTER'!$T$2:$T$495=9)*('CASE MASTER'!$U$2:$U$495&lt;=1)*('CASE MASTER'!$W$2:$W$495&gt;=1)*('CASE MASTER'!$V$2:$V$495&lt;=7)*('CASE MASTER'!$X$2:$X$495&gt;=7))*ROW('CASE MASTER'!$T$2:$T$495))-(ROW('CASE MASTER'!#REF!)-1))),":",","),",",REPT(" ",50)),((((1-INDEX('CASE MASTER'!$U$2:$U$495,(SUMPRODUCT((('CASE MASTER'!$T$2:$T$495=9)*('CASE MASTER'!$U$2:$U$495&lt;=1)*('CASE MASTER'!$W$2:$W$495&gt;=1)*('CASE MASTER'!$V$2:$V$495&lt;=7)*('CASE MASTER'!$X$2:$X$495&gt;=7))*ROW('CASE MASTER'!$T$2:$T$495))-(ROW('CASE MASTER'!#REF!)-1))))*(INDEX('CASE MASTER'!$X$2:$X$495,(SUMPRODUCT((('CASE MASTER'!$T$2:$T$495=9)*('CASE MASTER'!$U$2:$U$495&lt;=1)*('CASE MASTER'!$W$2:$W$495&gt;=1)*('CASE MASTER'!$V$2:$V$495&lt;=7)*('CASE MASTER'!$X$2:$X$495&gt;=7))*ROW('CASE MASTER'!$T$2:$T$495))-(ROW('CASE MASTER'!#REF!)-1)))-INDEX('CASE MASTER'!$V$2:$V$495,(SUMPRODUCT((('CASE MASTER'!$T$2:$T$495=9)*('CASE MASTER'!$U$2:$U$495&lt;=1)*('CASE MASTER'!$W$2:$W$495&gt;=1)*('CASE MASTER'!$V$2:$V$495&lt;=7)*('CASE MASTER'!$X$2:$X$495&gt;=7))*ROW('CASE MASTER'!$T$2:$T$495))-(ROW('CASE MASTER'!#REF!)-1)))+1)+(7-INDEX('CASE MASTER'!$V$2:$V$495,(SUMPRODUCT((('CASE MASTER'!$T$2:$T$495=9)*('CASE MASTER'!$U$2:$U$495&lt;=1)*('CASE MASTER'!$W$2:$W$495&gt;=1)*('CASE MASTER'!$V$2:$V$495&lt;=7)*('CASE MASTER'!$X$2:$X$495&gt;=7))*ROW('CASE MASTER'!$T$2:$T$495))-(ROW('CASE MASTER'!#REF!)-1))))+1))-1)*50+1,50))&amp;"_"&amp;INDEX('CASE MASTER'!$Q$2:$Q$495,(SUMPRODUCT((('CASE MASTER'!$T$2:$T$495=9)*('CASE MASTER'!$U$2:$U$495&lt;=1)*('CASE MASTER'!$W$2:$W$495&gt;=1)*('CASE MASTER'!$V$2:$V$495&lt;=7)*('CASE MASTER'!$X$2:$X$495&gt;=7))*ROW('CASE MASTER'!$T$2:$T$495))-(ROW('CASE MASTER'!#REF!)-1))),IF(SUMPRODUCT((('CASE MASTER'!$T$2:$T$495=9)*('CASE MASTER'!$AA$2:$AA$495&lt;=1)*('CASE MASTER'!$AC$2:$AC$495&gt;=1)*('CASE MASTER'!$AB$2:$AB$495&lt;=7)*('CASE MASTER'!$AD$2:$AD$495&gt;=7))*ROW('CASE MASTER'!$T$2:$T$495))&gt;0,INDEX('CASE MASTER'!$Y$2:$Y$495,(SUMPRODUCT((('CASE MASTER'!$T$2:$T$495=9)*('CASE MASTER'!$AA$2:$AA$495&lt;=1)*('CASE MASTER'!$AC$2:$AC$495&gt;=1)*('CASE MASTER'!$AB$2:$AB$495&lt;=7)*('CASE MASTER'!$AD$2:$AD$495&gt;=7))*ROW('CASE MASTER'!$T$2:$T$495))-(ROW('CASE MASTER'!#REF!)-1)))&amp;TRIM(MID(SUBSTITUTE(SUBSTITUTE(INDEX('CASE MASTER'!$N$2:$N$495,(SUMPRODUCT((('CASE MASTER'!$T$2:$T$495=9)*('CASE MASTER'!$AA$2:$AA$495&lt;=1)*('CASE MASTER'!$AC$2:$AC$495&gt;=1)*('CASE MASTER'!$AB$2:$AB$495&lt;=7)*('CASE MASTER'!$AD$2:$AD$495&gt;=7))*ROW('CASE MASTER'!$T$2:$T$495))-(ROW('CASE MASTER'!#REF!)-1))),":",","),",",REPT(" ",50)),(((INDEX('CASE MASTER'!$Z$2:$Z$495,(SUMPRODUCT((('CASE MASTER'!$T$2:$T$495=9)*('CASE MASTER'!$AA$2:$AA$495&lt;=1)*('CASE MASTER'!$AC$2:$AC$495&gt;=1)*('CASE MASTER'!$AB$2:$AB$495&lt;=7)*('CASE MASTER'!$AD$2:$AD$495&gt;=7))*ROW('CASE MASTER'!$T$2:$T$495))-(ROW('CASE MASTER'!#REF!)-1)))+((1-INDEX('CASE MASTER'!$AA$2:$AA$495,(SUMPRODUCT((('CASE MASTER'!$T$2:$T$495=9)*('CASE MASTER'!$AA$2:$AA$495&lt;=1)*('CASE MASTER'!$AC$2:$AC$495&gt;=1)*('CASE MASTER'!$AB$2:$AB$495&lt;=7)*('CASE MASTER'!$AD$2:$AD$495&gt;=7))*ROW('CASE MASTER'!$T$2:$T$495))-(ROW('CASE MASTER'!#REF!)-1))))*(INDEX('CASE MASTER'!$AD$2:$AD$495,(SUMPRODUCT((('CASE MASTER'!$T$2:$T$495=9)*('CASE MASTER'!$AA$2:$AA$495&lt;=1)*('CASE MASTER'!$AC$2:$AC$495&gt;=1)*('CASE MASTER'!$AB$2:$AB$495&lt;=7)*('CASE MASTER'!$AD$2:$AD$495&gt;=7))*ROW('CASE MASTER'!$T$2:$T$495))-(ROW('CASE MASTER'!#REF!)-1)))-INDEX('CASE MASTER'!$AB$2:$AB$495,(SUMPRODUCT((('CASE MASTER'!$T$2:$T$495=9)*('CASE MASTER'!$AA$2:$AA$495&lt;=1)*('CASE MASTER'!$AC$2:$AC$495&gt;=1)*('CASE MASTER'!$AB$2:$AB$495&lt;=7)*('CASE MASTER'!$AD$2:$AD$495&gt;=7))*ROW('CASE MASTER'!$T$2:$T$495))-(ROW('CASE MASTER'!#REF!)-1)))+1)+(7-INDEX('CASE MASTER'!$AB$2:$AB$495,(SUMPRODUCT((('CASE MASTER'!$T$2:$T$495=9)*('CASE MASTER'!$AA$2:$AA$495&lt;=1)*('CASE MASTER'!$AC$2:$AC$495&gt;=1)*('CASE MASTER'!$AB$2:$AB$495&lt;=7)*('CASE MASTER'!$AD$2:$AD$495&gt;=7))*ROW('CASE MASTER'!$T$2:$T$495))-(ROW('CASE MASTER'!#REF!)-1))))+1)))-1)*50+1,50))&amp;"_"&amp;INDEX('CASE MASTER'!$Q$2:$Q$495,(SUMPRODUCT((('CASE MASTER'!$T$2:$T$495=9)*('CASE MASTER'!$AA$2:$AA$495&lt;=1)*('CASE MASTER'!$AC$2:$AC$495&gt;=1)*('CASE MASTER'!$AB$2:$AB$495&lt;=7)*('CASE MASTER'!$AD$2:$AD$495&gt;=7))*ROW('CASE MASTER'!$T$2:$T$495))-(ROW('CASE MASTER'!#REF!)-1))),"")),"")</f>
        <v/>
      </c>
      <c r="I115" s="10" t="str">
        <f>IFERROR(IF(SUMPRODUCT((('CASE MASTER'!$T$2:$T$495=9)*('CASE MASTER'!$U$2:$U$495&lt;=1)*('CASE MASTER'!$W$2:$W$495&gt;=1)*('CASE MASTER'!$V$2:$V$495&lt;=8)*('CASE MASTER'!$X$2:$X$495&gt;=8))*ROW('CASE MASTER'!$T$2:$T$495))&gt;0,INDEX('CASE MASTER'!$Y$2:$Y$495,(SUMPRODUCT((('CASE MASTER'!$T$2:$T$495=9)*('CASE MASTER'!$U$2:$U$495&lt;=1)*('CASE MASTER'!$W$2:$W$495&gt;=1)*('CASE MASTER'!$V$2:$V$495&lt;=8)*('CASE MASTER'!$X$2:$X$495&gt;=8))*ROW('CASE MASTER'!$T$2:$T$495))-(ROW('CASE MASTER'!#REF!)-1)))&amp;TRIM(MID(SUBSTITUTE(SUBSTITUTE(INDEX('CASE MASTER'!$N$2:$N$495,(SUMPRODUCT((('CASE MASTER'!$T$2:$T$495=9)*('CASE MASTER'!$U$2:$U$495&lt;=1)*('CASE MASTER'!$W$2:$W$495&gt;=1)*('CASE MASTER'!$V$2:$V$495&lt;=8)*('CASE MASTER'!$X$2:$X$495&gt;=8))*ROW('CASE MASTER'!$T$2:$T$495))-(ROW('CASE MASTER'!#REF!)-1))),":",","),",",REPT(" ",50)),((((1-INDEX('CASE MASTER'!$U$2:$U$495,(SUMPRODUCT((('CASE MASTER'!$T$2:$T$495=9)*('CASE MASTER'!$U$2:$U$495&lt;=1)*('CASE MASTER'!$W$2:$W$495&gt;=1)*('CASE MASTER'!$V$2:$V$495&lt;=8)*('CASE MASTER'!$X$2:$X$495&gt;=8))*ROW('CASE MASTER'!$T$2:$T$495))-(ROW('CASE MASTER'!#REF!)-1))))*(INDEX('CASE MASTER'!$X$2:$X$495,(SUMPRODUCT((('CASE MASTER'!$T$2:$T$495=9)*('CASE MASTER'!$U$2:$U$495&lt;=1)*('CASE MASTER'!$W$2:$W$495&gt;=1)*('CASE MASTER'!$V$2:$V$495&lt;=8)*('CASE MASTER'!$X$2:$X$495&gt;=8))*ROW('CASE MASTER'!$T$2:$T$495))-(ROW('CASE MASTER'!#REF!)-1)))-INDEX('CASE MASTER'!$V$2:$V$495,(SUMPRODUCT((('CASE MASTER'!$T$2:$T$495=9)*('CASE MASTER'!$U$2:$U$495&lt;=1)*('CASE MASTER'!$W$2:$W$495&gt;=1)*('CASE MASTER'!$V$2:$V$495&lt;=8)*('CASE MASTER'!$X$2:$X$495&gt;=8))*ROW('CASE MASTER'!$T$2:$T$495))-(ROW('CASE MASTER'!#REF!)-1)))+1)+(8-INDEX('CASE MASTER'!$V$2:$V$495,(SUMPRODUCT((('CASE MASTER'!$T$2:$T$495=9)*('CASE MASTER'!$U$2:$U$495&lt;=1)*('CASE MASTER'!$W$2:$W$495&gt;=1)*('CASE MASTER'!$V$2:$V$495&lt;=8)*('CASE MASTER'!$X$2:$X$495&gt;=8))*ROW('CASE MASTER'!$T$2:$T$495))-(ROW('CASE MASTER'!#REF!)-1))))+1))-1)*50+1,50))&amp;"_"&amp;INDEX('CASE MASTER'!$Q$2:$Q$495,(SUMPRODUCT((('CASE MASTER'!$T$2:$T$495=9)*('CASE MASTER'!$U$2:$U$495&lt;=1)*('CASE MASTER'!$W$2:$W$495&gt;=1)*('CASE MASTER'!$V$2:$V$495&lt;=8)*('CASE MASTER'!$X$2:$X$495&gt;=8))*ROW('CASE MASTER'!$T$2:$T$495))-(ROW('CASE MASTER'!#REF!)-1))),IF(SUMPRODUCT((('CASE MASTER'!$T$2:$T$495=9)*('CASE MASTER'!$AA$2:$AA$495&lt;=1)*('CASE MASTER'!$AC$2:$AC$495&gt;=1)*('CASE MASTER'!$AB$2:$AB$495&lt;=8)*('CASE MASTER'!$AD$2:$AD$495&gt;=8))*ROW('CASE MASTER'!$T$2:$T$495))&gt;0,INDEX('CASE MASTER'!$Y$2:$Y$495,(SUMPRODUCT((('CASE MASTER'!$T$2:$T$495=9)*('CASE MASTER'!$AA$2:$AA$495&lt;=1)*('CASE MASTER'!$AC$2:$AC$495&gt;=1)*('CASE MASTER'!$AB$2:$AB$495&lt;=8)*('CASE MASTER'!$AD$2:$AD$495&gt;=8))*ROW('CASE MASTER'!$T$2:$T$495))-(ROW('CASE MASTER'!#REF!)-1)))&amp;TRIM(MID(SUBSTITUTE(SUBSTITUTE(INDEX('CASE MASTER'!$N$2:$N$495,(SUMPRODUCT((('CASE MASTER'!$T$2:$T$495=9)*('CASE MASTER'!$AA$2:$AA$495&lt;=1)*('CASE MASTER'!$AC$2:$AC$495&gt;=1)*('CASE MASTER'!$AB$2:$AB$495&lt;=8)*('CASE MASTER'!$AD$2:$AD$495&gt;=8))*ROW('CASE MASTER'!$T$2:$T$495))-(ROW('CASE MASTER'!#REF!)-1))),":",","),",",REPT(" ",50)),(((INDEX('CASE MASTER'!$Z$2:$Z$495,(SUMPRODUCT((('CASE MASTER'!$T$2:$T$495=9)*('CASE MASTER'!$AA$2:$AA$495&lt;=1)*('CASE MASTER'!$AC$2:$AC$495&gt;=1)*('CASE MASTER'!$AB$2:$AB$495&lt;=8)*('CASE MASTER'!$AD$2:$AD$495&gt;=8))*ROW('CASE MASTER'!$T$2:$T$495))-(ROW('CASE MASTER'!#REF!)-1)))+((1-INDEX('CASE MASTER'!$AA$2:$AA$495,(SUMPRODUCT((('CASE MASTER'!$T$2:$T$495=9)*('CASE MASTER'!$AA$2:$AA$495&lt;=1)*('CASE MASTER'!$AC$2:$AC$495&gt;=1)*('CASE MASTER'!$AB$2:$AB$495&lt;=8)*('CASE MASTER'!$AD$2:$AD$495&gt;=8))*ROW('CASE MASTER'!$T$2:$T$495))-(ROW('CASE MASTER'!#REF!)-1))))*(INDEX('CASE MASTER'!$AD$2:$AD$495,(SUMPRODUCT((('CASE MASTER'!$T$2:$T$495=9)*('CASE MASTER'!$AA$2:$AA$495&lt;=1)*('CASE MASTER'!$AC$2:$AC$495&gt;=1)*('CASE MASTER'!$AB$2:$AB$495&lt;=8)*('CASE MASTER'!$AD$2:$AD$495&gt;=8))*ROW('CASE MASTER'!$T$2:$T$495))-(ROW('CASE MASTER'!#REF!)-1)))-INDEX('CASE MASTER'!$AB$2:$AB$495,(SUMPRODUCT((('CASE MASTER'!$T$2:$T$495=9)*('CASE MASTER'!$AA$2:$AA$495&lt;=1)*('CASE MASTER'!$AC$2:$AC$495&gt;=1)*('CASE MASTER'!$AB$2:$AB$495&lt;=8)*('CASE MASTER'!$AD$2:$AD$495&gt;=8))*ROW('CASE MASTER'!$T$2:$T$495))-(ROW('CASE MASTER'!#REF!)-1)))+1)+(8-INDEX('CASE MASTER'!$AB$2:$AB$495,(SUMPRODUCT((('CASE MASTER'!$T$2:$T$495=9)*('CASE MASTER'!$AA$2:$AA$495&lt;=1)*('CASE MASTER'!$AC$2:$AC$495&gt;=1)*('CASE MASTER'!$AB$2:$AB$495&lt;=8)*('CASE MASTER'!$AD$2:$AD$495&gt;=8))*ROW('CASE MASTER'!$T$2:$T$495))-(ROW('CASE MASTER'!#REF!)-1))))+1)))-1)*50+1,50))&amp;"_"&amp;INDEX('CASE MASTER'!$Q$2:$Q$495,(SUMPRODUCT((('CASE MASTER'!$T$2:$T$495=9)*('CASE MASTER'!$AA$2:$AA$495&lt;=1)*('CASE MASTER'!$AC$2:$AC$495&gt;=1)*('CASE MASTER'!$AB$2:$AB$495&lt;=8)*('CASE MASTER'!$AD$2:$AD$495&gt;=8))*ROW('CASE MASTER'!$T$2:$T$495))-(ROW('CASE MASTER'!#REF!)-1))),"")),"")</f>
        <v/>
      </c>
      <c r="J115" s="10" t="str">
        <f>IFERROR(IF(SUMPRODUCT((('CASE MASTER'!$T$2:$T$495=9)*('CASE MASTER'!$U$2:$U$495&lt;=1)*('CASE MASTER'!$W$2:$W$495&gt;=1)*('CASE MASTER'!$V$2:$V$495&lt;=9)*('CASE MASTER'!$X$2:$X$495&gt;=9))*ROW('CASE MASTER'!$T$2:$T$495))&gt;0,INDEX('CASE MASTER'!$Y$2:$Y$495,(SUMPRODUCT((('CASE MASTER'!$T$2:$T$495=9)*('CASE MASTER'!$U$2:$U$495&lt;=1)*('CASE MASTER'!$W$2:$W$495&gt;=1)*('CASE MASTER'!$V$2:$V$495&lt;=9)*('CASE MASTER'!$X$2:$X$495&gt;=9))*ROW('CASE MASTER'!$T$2:$T$495))-(ROW('CASE MASTER'!#REF!)-1)))&amp;TRIM(MID(SUBSTITUTE(SUBSTITUTE(INDEX('CASE MASTER'!$N$2:$N$495,(SUMPRODUCT((('CASE MASTER'!$T$2:$T$495=9)*('CASE MASTER'!$U$2:$U$495&lt;=1)*('CASE MASTER'!$W$2:$W$495&gt;=1)*('CASE MASTER'!$V$2:$V$495&lt;=9)*('CASE MASTER'!$X$2:$X$495&gt;=9))*ROW('CASE MASTER'!$T$2:$T$495))-(ROW('CASE MASTER'!#REF!)-1))),":",","),",",REPT(" ",50)),((((1-INDEX('CASE MASTER'!$U$2:$U$495,(SUMPRODUCT((('CASE MASTER'!$T$2:$T$495=9)*('CASE MASTER'!$U$2:$U$495&lt;=1)*('CASE MASTER'!$W$2:$W$495&gt;=1)*('CASE MASTER'!$V$2:$V$495&lt;=9)*('CASE MASTER'!$X$2:$X$495&gt;=9))*ROW('CASE MASTER'!$T$2:$T$495))-(ROW('CASE MASTER'!#REF!)-1))))*(INDEX('CASE MASTER'!$X$2:$X$495,(SUMPRODUCT((('CASE MASTER'!$T$2:$T$495=9)*('CASE MASTER'!$U$2:$U$495&lt;=1)*('CASE MASTER'!$W$2:$W$495&gt;=1)*('CASE MASTER'!$V$2:$V$495&lt;=9)*('CASE MASTER'!$X$2:$X$495&gt;=9))*ROW('CASE MASTER'!$T$2:$T$495))-(ROW('CASE MASTER'!#REF!)-1)))-INDEX('CASE MASTER'!$V$2:$V$495,(SUMPRODUCT((('CASE MASTER'!$T$2:$T$495=9)*('CASE MASTER'!$U$2:$U$495&lt;=1)*('CASE MASTER'!$W$2:$W$495&gt;=1)*('CASE MASTER'!$V$2:$V$495&lt;=9)*('CASE MASTER'!$X$2:$X$495&gt;=9))*ROW('CASE MASTER'!$T$2:$T$495))-(ROW('CASE MASTER'!#REF!)-1)))+1)+(9-INDEX('CASE MASTER'!$V$2:$V$495,(SUMPRODUCT((('CASE MASTER'!$T$2:$T$495=9)*('CASE MASTER'!$U$2:$U$495&lt;=1)*('CASE MASTER'!$W$2:$W$495&gt;=1)*('CASE MASTER'!$V$2:$V$495&lt;=9)*('CASE MASTER'!$X$2:$X$495&gt;=9))*ROW('CASE MASTER'!$T$2:$T$495))-(ROW('CASE MASTER'!#REF!)-1))))+1))-1)*50+1,50))&amp;"_"&amp;INDEX('CASE MASTER'!$Q$2:$Q$495,(SUMPRODUCT((('CASE MASTER'!$T$2:$T$495=9)*('CASE MASTER'!$U$2:$U$495&lt;=1)*('CASE MASTER'!$W$2:$W$495&gt;=1)*('CASE MASTER'!$V$2:$V$495&lt;=9)*('CASE MASTER'!$X$2:$X$495&gt;=9))*ROW('CASE MASTER'!$T$2:$T$495))-(ROW('CASE MASTER'!#REF!)-1))),IF(SUMPRODUCT((('CASE MASTER'!$T$2:$T$495=9)*('CASE MASTER'!$AA$2:$AA$495&lt;=1)*('CASE MASTER'!$AC$2:$AC$495&gt;=1)*('CASE MASTER'!$AB$2:$AB$495&lt;=9)*('CASE MASTER'!$AD$2:$AD$495&gt;=9))*ROW('CASE MASTER'!$T$2:$T$495))&gt;0,INDEX('CASE MASTER'!$Y$2:$Y$495,(SUMPRODUCT((('CASE MASTER'!$T$2:$T$495=9)*('CASE MASTER'!$AA$2:$AA$495&lt;=1)*('CASE MASTER'!$AC$2:$AC$495&gt;=1)*('CASE MASTER'!$AB$2:$AB$495&lt;=9)*('CASE MASTER'!$AD$2:$AD$495&gt;=9))*ROW('CASE MASTER'!$T$2:$T$495))-(ROW('CASE MASTER'!#REF!)-1)))&amp;TRIM(MID(SUBSTITUTE(SUBSTITUTE(INDEX('CASE MASTER'!$N$2:$N$495,(SUMPRODUCT((('CASE MASTER'!$T$2:$T$495=9)*('CASE MASTER'!$AA$2:$AA$495&lt;=1)*('CASE MASTER'!$AC$2:$AC$495&gt;=1)*('CASE MASTER'!$AB$2:$AB$495&lt;=9)*('CASE MASTER'!$AD$2:$AD$495&gt;=9))*ROW('CASE MASTER'!$T$2:$T$495))-(ROW('CASE MASTER'!#REF!)-1))),":",","),",",REPT(" ",50)),(((INDEX('CASE MASTER'!$Z$2:$Z$495,(SUMPRODUCT((('CASE MASTER'!$T$2:$T$495=9)*('CASE MASTER'!$AA$2:$AA$495&lt;=1)*('CASE MASTER'!$AC$2:$AC$495&gt;=1)*('CASE MASTER'!$AB$2:$AB$495&lt;=9)*('CASE MASTER'!$AD$2:$AD$495&gt;=9))*ROW('CASE MASTER'!$T$2:$T$495))-(ROW('CASE MASTER'!#REF!)-1)))+((1-INDEX('CASE MASTER'!$AA$2:$AA$495,(SUMPRODUCT((('CASE MASTER'!$T$2:$T$495=9)*('CASE MASTER'!$AA$2:$AA$495&lt;=1)*('CASE MASTER'!$AC$2:$AC$495&gt;=1)*('CASE MASTER'!$AB$2:$AB$495&lt;=9)*('CASE MASTER'!$AD$2:$AD$495&gt;=9))*ROW('CASE MASTER'!$T$2:$T$495))-(ROW('CASE MASTER'!#REF!)-1))))*(INDEX('CASE MASTER'!$AD$2:$AD$495,(SUMPRODUCT((('CASE MASTER'!$T$2:$T$495=9)*('CASE MASTER'!$AA$2:$AA$495&lt;=1)*('CASE MASTER'!$AC$2:$AC$495&gt;=1)*('CASE MASTER'!$AB$2:$AB$495&lt;=9)*('CASE MASTER'!$AD$2:$AD$495&gt;=9))*ROW('CASE MASTER'!$T$2:$T$495))-(ROW('CASE MASTER'!#REF!)-1)))-INDEX('CASE MASTER'!$AB$2:$AB$495,(SUMPRODUCT((('CASE MASTER'!$T$2:$T$495=9)*('CASE MASTER'!$AA$2:$AA$495&lt;=1)*('CASE MASTER'!$AC$2:$AC$495&gt;=1)*('CASE MASTER'!$AB$2:$AB$495&lt;=9)*('CASE MASTER'!$AD$2:$AD$495&gt;=9))*ROW('CASE MASTER'!$T$2:$T$495))-(ROW('CASE MASTER'!#REF!)-1)))+1)+(9-INDEX('CASE MASTER'!$AB$2:$AB$495,(SUMPRODUCT((('CASE MASTER'!$T$2:$T$495=9)*('CASE MASTER'!$AA$2:$AA$495&lt;=1)*('CASE MASTER'!$AC$2:$AC$495&gt;=1)*('CASE MASTER'!$AB$2:$AB$495&lt;=9)*('CASE MASTER'!$AD$2:$AD$495&gt;=9))*ROW('CASE MASTER'!$T$2:$T$495))-(ROW('CASE MASTER'!#REF!)-1))))+1)))-1)*50+1,50))&amp;"_"&amp;INDEX('CASE MASTER'!$Q$2:$Q$495,(SUMPRODUCT((('CASE MASTER'!$T$2:$T$495=9)*('CASE MASTER'!$AA$2:$AA$495&lt;=1)*('CASE MASTER'!$AC$2:$AC$495&gt;=1)*('CASE MASTER'!$AB$2:$AB$495&lt;=9)*('CASE MASTER'!$AD$2:$AD$495&gt;=9))*ROW('CASE MASTER'!$T$2:$T$495))-(ROW('CASE MASTER'!#REF!)-1))),"")),"")</f>
        <v/>
      </c>
      <c r="K115" s="10" t="str">
        <f>IFERROR(IF(SUMPRODUCT((('CASE MASTER'!$T$2:$T$495=9)*('CASE MASTER'!$U$2:$U$495&lt;=1)*('CASE MASTER'!$W$2:$W$495&gt;=1)*('CASE MASTER'!$V$2:$V$495&lt;=10)*('CASE MASTER'!$X$2:$X$495&gt;=10))*ROW('CASE MASTER'!$T$2:$T$495))&gt;0,INDEX('CASE MASTER'!$Y$2:$Y$495,(SUMPRODUCT((('CASE MASTER'!$T$2:$T$495=9)*('CASE MASTER'!$U$2:$U$495&lt;=1)*('CASE MASTER'!$W$2:$W$495&gt;=1)*('CASE MASTER'!$V$2:$V$495&lt;=10)*('CASE MASTER'!$X$2:$X$495&gt;=10))*ROW('CASE MASTER'!$T$2:$T$495))-(ROW('CASE MASTER'!#REF!)-1)))&amp;TRIM(MID(SUBSTITUTE(SUBSTITUTE(INDEX('CASE MASTER'!$N$2:$N$495,(SUMPRODUCT((('CASE MASTER'!$T$2:$T$495=9)*('CASE MASTER'!$U$2:$U$495&lt;=1)*('CASE MASTER'!$W$2:$W$495&gt;=1)*('CASE MASTER'!$V$2:$V$495&lt;=10)*('CASE MASTER'!$X$2:$X$495&gt;=10))*ROW('CASE MASTER'!$T$2:$T$495))-(ROW('CASE MASTER'!#REF!)-1))),":",","),",",REPT(" ",50)),((((1-INDEX('CASE MASTER'!$U$2:$U$495,(SUMPRODUCT((('CASE MASTER'!$T$2:$T$495=9)*('CASE MASTER'!$U$2:$U$495&lt;=1)*('CASE MASTER'!$W$2:$W$495&gt;=1)*('CASE MASTER'!$V$2:$V$495&lt;=10)*('CASE MASTER'!$X$2:$X$495&gt;=10))*ROW('CASE MASTER'!$T$2:$T$495))-(ROW('CASE MASTER'!#REF!)-1))))*(INDEX('CASE MASTER'!$X$2:$X$495,(SUMPRODUCT((('CASE MASTER'!$T$2:$T$495=9)*('CASE MASTER'!$U$2:$U$495&lt;=1)*('CASE MASTER'!$W$2:$W$495&gt;=1)*('CASE MASTER'!$V$2:$V$495&lt;=10)*('CASE MASTER'!$X$2:$X$495&gt;=10))*ROW('CASE MASTER'!$T$2:$T$495))-(ROW('CASE MASTER'!#REF!)-1)))-INDEX('CASE MASTER'!$V$2:$V$495,(SUMPRODUCT((('CASE MASTER'!$T$2:$T$495=9)*('CASE MASTER'!$U$2:$U$495&lt;=1)*('CASE MASTER'!$W$2:$W$495&gt;=1)*('CASE MASTER'!$V$2:$V$495&lt;=10)*('CASE MASTER'!$X$2:$X$495&gt;=10))*ROW('CASE MASTER'!$T$2:$T$495))-(ROW('CASE MASTER'!#REF!)-1)))+1)+(10-INDEX('CASE MASTER'!$V$2:$V$495,(SUMPRODUCT((('CASE MASTER'!$T$2:$T$495=9)*('CASE MASTER'!$U$2:$U$495&lt;=1)*('CASE MASTER'!$W$2:$W$495&gt;=1)*('CASE MASTER'!$V$2:$V$495&lt;=10)*('CASE MASTER'!$X$2:$X$495&gt;=10))*ROW('CASE MASTER'!$T$2:$T$495))-(ROW('CASE MASTER'!#REF!)-1))))+1))-1)*50+1,50))&amp;"_"&amp;INDEX('CASE MASTER'!$Q$2:$Q$495,(SUMPRODUCT((('CASE MASTER'!$T$2:$T$495=9)*('CASE MASTER'!$U$2:$U$495&lt;=1)*('CASE MASTER'!$W$2:$W$495&gt;=1)*('CASE MASTER'!$V$2:$V$495&lt;=10)*('CASE MASTER'!$X$2:$X$495&gt;=10))*ROW('CASE MASTER'!$T$2:$T$495))-(ROW('CASE MASTER'!#REF!)-1))),IF(SUMPRODUCT((('CASE MASTER'!$T$2:$T$495=9)*('CASE MASTER'!$AA$2:$AA$495&lt;=1)*('CASE MASTER'!$AC$2:$AC$495&gt;=1)*('CASE MASTER'!$AB$2:$AB$495&lt;=10)*('CASE MASTER'!$AD$2:$AD$495&gt;=10))*ROW('CASE MASTER'!$T$2:$T$495))&gt;0,INDEX('CASE MASTER'!$Y$2:$Y$495,(SUMPRODUCT((('CASE MASTER'!$T$2:$T$495=9)*('CASE MASTER'!$AA$2:$AA$495&lt;=1)*('CASE MASTER'!$AC$2:$AC$495&gt;=1)*('CASE MASTER'!$AB$2:$AB$495&lt;=10)*('CASE MASTER'!$AD$2:$AD$495&gt;=10))*ROW('CASE MASTER'!$T$2:$T$495))-(ROW('CASE MASTER'!#REF!)-1)))&amp;TRIM(MID(SUBSTITUTE(SUBSTITUTE(INDEX('CASE MASTER'!$N$2:$N$495,(SUMPRODUCT((('CASE MASTER'!$T$2:$T$495=9)*('CASE MASTER'!$AA$2:$AA$495&lt;=1)*('CASE MASTER'!$AC$2:$AC$495&gt;=1)*('CASE MASTER'!$AB$2:$AB$495&lt;=10)*('CASE MASTER'!$AD$2:$AD$495&gt;=10))*ROW('CASE MASTER'!$T$2:$T$495))-(ROW('CASE MASTER'!#REF!)-1))),":",","),",",REPT(" ",50)),(((INDEX('CASE MASTER'!$Z$2:$Z$495,(SUMPRODUCT((('CASE MASTER'!$T$2:$T$495=9)*('CASE MASTER'!$AA$2:$AA$495&lt;=1)*('CASE MASTER'!$AC$2:$AC$495&gt;=1)*('CASE MASTER'!$AB$2:$AB$495&lt;=10)*('CASE MASTER'!$AD$2:$AD$495&gt;=10))*ROW('CASE MASTER'!$T$2:$T$495))-(ROW('CASE MASTER'!#REF!)-1)))+((1-INDEX('CASE MASTER'!$AA$2:$AA$495,(SUMPRODUCT((('CASE MASTER'!$T$2:$T$495=9)*('CASE MASTER'!$AA$2:$AA$495&lt;=1)*('CASE MASTER'!$AC$2:$AC$495&gt;=1)*('CASE MASTER'!$AB$2:$AB$495&lt;=10)*('CASE MASTER'!$AD$2:$AD$495&gt;=10))*ROW('CASE MASTER'!$T$2:$T$495))-(ROW('CASE MASTER'!#REF!)-1))))*(INDEX('CASE MASTER'!$AD$2:$AD$495,(SUMPRODUCT((('CASE MASTER'!$T$2:$T$495=9)*('CASE MASTER'!$AA$2:$AA$495&lt;=1)*('CASE MASTER'!$AC$2:$AC$495&gt;=1)*('CASE MASTER'!$AB$2:$AB$495&lt;=10)*('CASE MASTER'!$AD$2:$AD$495&gt;=10))*ROW('CASE MASTER'!$T$2:$T$495))-(ROW('CASE MASTER'!#REF!)-1)))-INDEX('CASE MASTER'!$AB$2:$AB$495,(SUMPRODUCT((('CASE MASTER'!$T$2:$T$495=9)*('CASE MASTER'!$AA$2:$AA$495&lt;=1)*('CASE MASTER'!$AC$2:$AC$495&gt;=1)*('CASE MASTER'!$AB$2:$AB$495&lt;=10)*('CASE MASTER'!$AD$2:$AD$495&gt;=10))*ROW('CASE MASTER'!$T$2:$T$495))-(ROW('CASE MASTER'!#REF!)-1)))+1)+(10-INDEX('CASE MASTER'!$AB$2:$AB$495,(SUMPRODUCT((('CASE MASTER'!$T$2:$T$495=9)*('CASE MASTER'!$AA$2:$AA$495&lt;=1)*('CASE MASTER'!$AC$2:$AC$495&gt;=1)*('CASE MASTER'!$AB$2:$AB$495&lt;=10)*('CASE MASTER'!$AD$2:$AD$495&gt;=10))*ROW('CASE MASTER'!$T$2:$T$495))-(ROW('CASE MASTER'!#REF!)-1))))+1)))-1)*50+1,50))&amp;"_"&amp;INDEX('CASE MASTER'!$Q$2:$Q$495,(SUMPRODUCT((('CASE MASTER'!$T$2:$T$495=9)*('CASE MASTER'!$AA$2:$AA$495&lt;=1)*('CASE MASTER'!$AC$2:$AC$495&gt;=1)*('CASE MASTER'!$AB$2:$AB$495&lt;=10)*('CASE MASTER'!$AD$2:$AD$495&gt;=10))*ROW('CASE MASTER'!$T$2:$T$495))-(ROW('CASE MASTER'!#REF!)-1))),"")),"")</f>
        <v/>
      </c>
    </row>
    <row r="116" spans="1:11" ht="15" customHeight="1" x14ac:dyDescent="0.35">
      <c r="A116" s="8" t="s">
        <v>29</v>
      </c>
      <c r="B116" s="10" t="str">
        <f>IFERROR(IF(SUMPRODUCT((('CASE MASTER'!$T$2:$T$495=9)*('CASE MASTER'!$U$2:$U$495&lt;=2)*('CASE MASTER'!$W$2:$W$495&gt;=2)*('CASE MASTER'!$V$2:$V$495&lt;=1)*('CASE MASTER'!$X$2:$X$495&gt;=1))*ROW('CASE MASTER'!$T$2:$T$495))&gt;0,INDEX('CASE MASTER'!$Y$2:$Y$495,(SUMPRODUCT((('CASE MASTER'!$T$2:$T$495=9)*('CASE MASTER'!$U$2:$U$495&lt;=2)*('CASE MASTER'!$W$2:$W$495&gt;=2)*('CASE MASTER'!$V$2:$V$495&lt;=1)*('CASE MASTER'!$X$2:$X$495&gt;=1))*ROW('CASE MASTER'!$T$2:$T$495))-(ROW('CASE MASTER'!#REF!)-1)))&amp;TRIM(MID(SUBSTITUTE(SUBSTITUTE(INDEX('CASE MASTER'!$N$2:$N$495,(SUMPRODUCT((('CASE MASTER'!$T$2:$T$495=9)*('CASE MASTER'!$U$2:$U$495&lt;=2)*('CASE MASTER'!$W$2:$W$495&gt;=2)*('CASE MASTER'!$V$2:$V$495&lt;=1)*('CASE MASTER'!$X$2:$X$495&gt;=1))*ROW('CASE MASTER'!$T$2:$T$495))-(ROW('CASE MASTER'!#REF!)-1))),":",","),",",REPT(" ",50)),((((2-INDEX('CASE MASTER'!$U$2:$U$495,(SUMPRODUCT((('CASE MASTER'!$T$2:$T$495=9)*('CASE MASTER'!$U$2:$U$495&lt;=2)*('CASE MASTER'!$W$2:$W$495&gt;=2)*('CASE MASTER'!$V$2:$V$495&lt;=1)*('CASE MASTER'!$X$2:$X$495&gt;=1))*ROW('CASE MASTER'!$T$2:$T$495))-(ROW('CASE MASTER'!#REF!)-1))))*(INDEX('CASE MASTER'!$X$2:$X$495,(SUMPRODUCT((('CASE MASTER'!$T$2:$T$495=9)*('CASE MASTER'!$U$2:$U$495&lt;=2)*('CASE MASTER'!$W$2:$W$495&gt;=2)*('CASE MASTER'!$V$2:$V$495&lt;=1)*('CASE MASTER'!$X$2:$X$495&gt;=1))*ROW('CASE MASTER'!$T$2:$T$495))-(ROW('CASE MASTER'!#REF!)-1)))-INDEX('CASE MASTER'!$V$2:$V$495,(SUMPRODUCT((('CASE MASTER'!$T$2:$T$495=9)*('CASE MASTER'!$U$2:$U$495&lt;=2)*('CASE MASTER'!$W$2:$W$495&gt;=2)*('CASE MASTER'!$V$2:$V$495&lt;=1)*('CASE MASTER'!$X$2:$X$495&gt;=1))*ROW('CASE MASTER'!$T$2:$T$495))-(ROW('CASE MASTER'!#REF!)-1)))+1)+(1-INDEX('CASE MASTER'!$V$2:$V$495,(SUMPRODUCT((('CASE MASTER'!$T$2:$T$495=9)*('CASE MASTER'!$U$2:$U$495&lt;=2)*('CASE MASTER'!$W$2:$W$495&gt;=2)*('CASE MASTER'!$V$2:$V$495&lt;=1)*('CASE MASTER'!$X$2:$X$495&gt;=1))*ROW('CASE MASTER'!$T$2:$T$495))-(ROW('CASE MASTER'!#REF!)-1))))+1))-1)*50+1,50))&amp;"_"&amp;INDEX('CASE MASTER'!$Q$2:$Q$495,(SUMPRODUCT((('CASE MASTER'!$T$2:$T$495=9)*('CASE MASTER'!$U$2:$U$495&lt;=2)*('CASE MASTER'!$W$2:$W$495&gt;=2)*('CASE MASTER'!$V$2:$V$495&lt;=1)*('CASE MASTER'!$X$2:$X$495&gt;=1))*ROW('CASE MASTER'!$T$2:$T$495))-(ROW('CASE MASTER'!#REF!)-1))),IF(SUMPRODUCT((('CASE MASTER'!$T$2:$T$495=9)*('CASE MASTER'!$AA$2:$AA$495&lt;=2)*('CASE MASTER'!$AC$2:$AC$495&gt;=2)*('CASE MASTER'!$AB$2:$AB$495&lt;=1)*('CASE MASTER'!$AD$2:$AD$495&gt;=1))*ROW('CASE MASTER'!$T$2:$T$495))&gt;0,INDEX('CASE MASTER'!$Y$2:$Y$495,(SUMPRODUCT((('CASE MASTER'!$T$2:$T$495=9)*('CASE MASTER'!$AA$2:$AA$495&lt;=2)*('CASE MASTER'!$AC$2:$AC$495&gt;=2)*('CASE MASTER'!$AB$2:$AB$495&lt;=1)*('CASE MASTER'!$AD$2:$AD$495&gt;=1))*ROW('CASE MASTER'!$T$2:$T$495))-(ROW('CASE MASTER'!#REF!)-1)))&amp;TRIM(MID(SUBSTITUTE(SUBSTITUTE(INDEX('CASE MASTER'!$N$2:$N$495,(SUMPRODUCT((('CASE MASTER'!$T$2:$T$495=9)*('CASE MASTER'!$AA$2:$AA$495&lt;=2)*('CASE MASTER'!$AC$2:$AC$495&gt;=2)*('CASE MASTER'!$AB$2:$AB$495&lt;=1)*('CASE MASTER'!$AD$2:$AD$495&gt;=1))*ROW('CASE MASTER'!$T$2:$T$495))-(ROW('CASE MASTER'!#REF!)-1))),":",","),",",REPT(" ",50)),(((INDEX('CASE MASTER'!$Z$2:$Z$495,(SUMPRODUCT((('CASE MASTER'!$T$2:$T$495=9)*('CASE MASTER'!$AA$2:$AA$495&lt;=2)*('CASE MASTER'!$AC$2:$AC$495&gt;=2)*('CASE MASTER'!$AB$2:$AB$495&lt;=1)*('CASE MASTER'!$AD$2:$AD$495&gt;=1))*ROW('CASE MASTER'!$T$2:$T$495))-(ROW('CASE MASTER'!#REF!)-1)))+((2-INDEX('CASE MASTER'!$AA$2:$AA$495,(SUMPRODUCT((('CASE MASTER'!$T$2:$T$495=9)*('CASE MASTER'!$AA$2:$AA$495&lt;=2)*('CASE MASTER'!$AC$2:$AC$495&gt;=2)*('CASE MASTER'!$AB$2:$AB$495&lt;=1)*('CASE MASTER'!$AD$2:$AD$495&gt;=1))*ROW('CASE MASTER'!$T$2:$T$495))-(ROW('CASE MASTER'!#REF!)-1))))*(INDEX('CASE MASTER'!$AD$2:$AD$495,(SUMPRODUCT((('CASE MASTER'!$T$2:$T$495=9)*('CASE MASTER'!$AA$2:$AA$495&lt;=2)*('CASE MASTER'!$AC$2:$AC$495&gt;=2)*('CASE MASTER'!$AB$2:$AB$495&lt;=1)*('CASE MASTER'!$AD$2:$AD$495&gt;=1))*ROW('CASE MASTER'!$T$2:$T$495))-(ROW('CASE MASTER'!#REF!)-1)))-INDEX('CASE MASTER'!$AB$2:$AB$495,(SUMPRODUCT((('CASE MASTER'!$T$2:$T$495=9)*('CASE MASTER'!$AA$2:$AA$495&lt;=2)*('CASE MASTER'!$AC$2:$AC$495&gt;=2)*('CASE MASTER'!$AB$2:$AB$495&lt;=1)*('CASE MASTER'!$AD$2:$AD$495&gt;=1))*ROW('CASE MASTER'!$T$2:$T$495))-(ROW('CASE MASTER'!#REF!)-1)))+1)+(1-INDEX('CASE MASTER'!$AB$2:$AB$495,(SUMPRODUCT((('CASE MASTER'!$T$2:$T$495=9)*('CASE MASTER'!$AA$2:$AA$495&lt;=2)*('CASE MASTER'!$AC$2:$AC$495&gt;=2)*('CASE MASTER'!$AB$2:$AB$495&lt;=1)*('CASE MASTER'!$AD$2:$AD$495&gt;=1))*ROW('CASE MASTER'!$T$2:$T$495))-(ROW('CASE MASTER'!#REF!)-1))))+1)))-1)*50+1,50))&amp;"_"&amp;INDEX('CASE MASTER'!$Q$2:$Q$495,(SUMPRODUCT((('CASE MASTER'!$T$2:$T$495=9)*('CASE MASTER'!$AA$2:$AA$495&lt;=2)*('CASE MASTER'!$AC$2:$AC$495&gt;=2)*('CASE MASTER'!$AB$2:$AB$495&lt;=1)*('CASE MASTER'!$AD$2:$AD$495&gt;=1))*ROW('CASE MASTER'!$T$2:$T$495))-(ROW('CASE MASTER'!#REF!)-1))),"")),"")</f>
        <v/>
      </c>
      <c r="C116" s="10" t="str">
        <f>IFERROR(IF(SUMPRODUCT((('CASE MASTER'!$T$2:$T$495=9)*('CASE MASTER'!$U$2:$U$495&lt;=2)*('CASE MASTER'!$W$2:$W$495&gt;=2)*('CASE MASTER'!$V$2:$V$495&lt;=2)*('CASE MASTER'!$X$2:$X$495&gt;=2))*ROW('CASE MASTER'!$T$2:$T$495))&gt;0,INDEX('CASE MASTER'!$Y$2:$Y$495,(SUMPRODUCT((('CASE MASTER'!$T$2:$T$495=9)*('CASE MASTER'!$U$2:$U$495&lt;=2)*('CASE MASTER'!$W$2:$W$495&gt;=2)*('CASE MASTER'!$V$2:$V$495&lt;=2)*('CASE MASTER'!$X$2:$X$495&gt;=2))*ROW('CASE MASTER'!$T$2:$T$495))-(ROW('CASE MASTER'!#REF!)-1)))&amp;TRIM(MID(SUBSTITUTE(SUBSTITUTE(INDEX('CASE MASTER'!$N$2:$N$495,(SUMPRODUCT((('CASE MASTER'!$T$2:$T$495=9)*('CASE MASTER'!$U$2:$U$495&lt;=2)*('CASE MASTER'!$W$2:$W$495&gt;=2)*('CASE MASTER'!$V$2:$V$495&lt;=2)*('CASE MASTER'!$X$2:$X$495&gt;=2))*ROW('CASE MASTER'!$T$2:$T$495))-(ROW('CASE MASTER'!#REF!)-1))),":",","),",",REPT(" ",50)),((((2-INDEX('CASE MASTER'!$U$2:$U$495,(SUMPRODUCT((('CASE MASTER'!$T$2:$T$495=9)*('CASE MASTER'!$U$2:$U$495&lt;=2)*('CASE MASTER'!$W$2:$W$495&gt;=2)*('CASE MASTER'!$V$2:$V$495&lt;=2)*('CASE MASTER'!$X$2:$X$495&gt;=2))*ROW('CASE MASTER'!$T$2:$T$495))-(ROW('CASE MASTER'!#REF!)-1))))*(INDEX('CASE MASTER'!$X$2:$X$495,(SUMPRODUCT((('CASE MASTER'!$T$2:$T$495=9)*('CASE MASTER'!$U$2:$U$495&lt;=2)*('CASE MASTER'!$W$2:$W$495&gt;=2)*('CASE MASTER'!$V$2:$V$495&lt;=2)*('CASE MASTER'!$X$2:$X$495&gt;=2))*ROW('CASE MASTER'!$T$2:$T$495))-(ROW('CASE MASTER'!#REF!)-1)))-INDEX('CASE MASTER'!$V$2:$V$495,(SUMPRODUCT((('CASE MASTER'!$T$2:$T$495=9)*('CASE MASTER'!$U$2:$U$495&lt;=2)*('CASE MASTER'!$W$2:$W$495&gt;=2)*('CASE MASTER'!$V$2:$V$495&lt;=2)*('CASE MASTER'!$X$2:$X$495&gt;=2))*ROW('CASE MASTER'!$T$2:$T$495))-(ROW('CASE MASTER'!#REF!)-1)))+1)+(2-INDEX('CASE MASTER'!$V$2:$V$495,(SUMPRODUCT((('CASE MASTER'!$T$2:$T$495=9)*('CASE MASTER'!$U$2:$U$495&lt;=2)*('CASE MASTER'!$W$2:$W$495&gt;=2)*('CASE MASTER'!$V$2:$V$495&lt;=2)*('CASE MASTER'!$X$2:$X$495&gt;=2))*ROW('CASE MASTER'!$T$2:$T$495))-(ROW('CASE MASTER'!#REF!)-1))))+1))-1)*50+1,50))&amp;"_"&amp;INDEX('CASE MASTER'!$Q$2:$Q$495,(SUMPRODUCT((('CASE MASTER'!$T$2:$T$495=9)*('CASE MASTER'!$U$2:$U$495&lt;=2)*('CASE MASTER'!$W$2:$W$495&gt;=2)*('CASE MASTER'!$V$2:$V$495&lt;=2)*('CASE MASTER'!$X$2:$X$495&gt;=2))*ROW('CASE MASTER'!$T$2:$T$495))-(ROW('CASE MASTER'!#REF!)-1))),IF(SUMPRODUCT((('CASE MASTER'!$T$2:$T$495=9)*('CASE MASTER'!$AA$2:$AA$495&lt;=2)*('CASE MASTER'!$AC$2:$AC$495&gt;=2)*('CASE MASTER'!$AB$2:$AB$495&lt;=2)*('CASE MASTER'!$AD$2:$AD$495&gt;=2))*ROW('CASE MASTER'!$T$2:$T$495))&gt;0,INDEX('CASE MASTER'!$Y$2:$Y$495,(SUMPRODUCT((('CASE MASTER'!$T$2:$T$495=9)*('CASE MASTER'!$AA$2:$AA$495&lt;=2)*('CASE MASTER'!$AC$2:$AC$495&gt;=2)*('CASE MASTER'!$AB$2:$AB$495&lt;=2)*('CASE MASTER'!$AD$2:$AD$495&gt;=2))*ROW('CASE MASTER'!$T$2:$T$495))-(ROW('CASE MASTER'!#REF!)-1)))&amp;TRIM(MID(SUBSTITUTE(SUBSTITUTE(INDEX('CASE MASTER'!$N$2:$N$495,(SUMPRODUCT((('CASE MASTER'!$T$2:$T$495=9)*('CASE MASTER'!$AA$2:$AA$495&lt;=2)*('CASE MASTER'!$AC$2:$AC$495&gt;=2)*('CASE MASTER'!$AB$2:$AB$495&lt;=2)*('CASE MASTER'!$AD$2:$AD$495&gt;=2))*ROW('CASE MASTER'!$T$2:$T$495))-(ROW('CASE MASTER'!#REF!)-1))),":",","),",",REPT(" ",50)),(((INDEX('CASE MASTER'!$Z$2:$Z$495,(SUMPRODUCT((('CASE MASTER'!$T$2:$T$495=9)*('CASE MASTER'!$AA$2:$AA$495&lt;=2)*('CASE MASTER'!$AC$2:$AC$495&gt;=2)*('CASE MASTER'!$AB$2:$AB$495&lt;=2)*('CASE MASTER'!$AD$2:$AD$495&gt;=2))*ROW('CASE MASTER'!$T$2:$T$495))-(ROW('CASE MASTER'!#REF!)-1)))+((2-INDEX('CASE MASTER'!$AA$2:$AA$495,(SUMPRODUCT((('CASE MASTER'!$T$2:$T$495=9)*('CASE MASTER'!$AA$2:$AA$495&lt;=2)*('CASE MASTER'!$AC$2:$AC$495&gt;=2)*('CASE MASTER'!$AB$2:$AB$495&lt;=2)*('CASE MASTER'!$AD$2:$AD$495&gt;=2))*ROW('CASE MASTER'!$T$2:$T$495))-(ROW('CASE MASTER'!#REF!)-1))))*(INDEX('CASE MASTER'!$AD$2:$AD$495,(SUMPRODUCT((('CASE MASTER'!$T$2:$T$495=9)*('CASE MASTER'!$AA$2:$AA$495&lt;=2)*('CASE MASTER'!$AC$2:$AC$495&gt;=2)*('CASE MASTER'!$AB$2:$AB$495&lt;=2)*('CASE MASTER'!$AD$2:$AD$495&gt;=2))*ROW('CASE MASTER'!$T$2:$T$495))-(ROW('CASE MASTER'!#REF!)-1)))-INDEX('CASE MASTER'!$AB$2:$AB$495,(SUMPRODUCT((('CASE MASTER'!$T$2:$T$495=9)*('CASE MASTER'!$AA$2:$AA$495&lt;=2)*('CASE MASTER'!$AC$2:$AC$495&gt;=2)*('CASE MASTER'!$AB$2:$AB$495&lt;=2)*('CASE MASTER'!$AD$2:$AD$495&gt;=2))*ROW('CASE MASTER'!$T$2:$T$495))-(ROW('CASE MASTER'!#REF!)-1)))+1)+(2-INDEX('CASE MASTER'!$AB$2:$AB$495,(SUMPRODUCT((('CASE MASTER'!$T$2:$T$495=9)*('CASE MASTER'!$AA$2:$AA$495&lt;=2)*('CASE MASTER'!$AC$2:$AC$495&gt;=2)*('CASE MASTER'!$AB$2:$AB$495&lt;=2)*('CASE MASTER'!$AD$2:$AD$495&gt;=2))*ROW('CASE MASTER'!$T$2:$T$495))-(ROW('CASE MASTER'!#REF!)-1))))+1)))-1)*50+1,50))&amp;"_"&amp;INDEX('CASE MASTER'!$Q$2:$Q$495,(SUMPRODUCT((('CASE MASTER'!$T$2:$T$495=9)*('CASE MASTER'!$AA$2:$AA$495&lt;=2)*('CASE MASTER'!$AC$2:$AC$495&gt;=2)*('CASE MASTER'!$AB$2:$AB$495&lt;=2)*('CASE MASTER'!$AD$2:$AD$495&gt;=2))*ROW('CASE MASTER'!$T$2:$T$495))-(ROW('CASE MASTER'!#REF!)-1))),"")),"")</f>
        <v/>
      </c>
      <c r="D116" s="10" t="str">
        <f>IFERROR(IF(SUMPRODUCT((('CASE MASTER'!$T$2:$T$495=9)*('CASE MASTER'!$U$2:$U$495&lt;=2)*('CASE MASTER'!$W$2:$W$495&gt;=2)*('CASE MASTER'!$V$2:$V$495&lt;=3)*('CASE MASTER'!$X$2:$X$495&gt;=3))*ROW('CASE MASTER'!$T$2:$T$495))&gt;0,INDEX('CASE MASTER'!$Y$2:$Y$495,(SUMPRODUCT((('CASE MASTER'!$T$2:$T$495=9)*('CASE MASTER'!$U$2:$U$495&lt;=2)*('CASE MASTER'!$W$2:$W$495&gt;=2)*('CASE MASTER'!$V$2:$V$495&lt;=3)*('CASE MASTER'!$X$2:$X$495&gt;=3))*ROW('CASE MASTER'!$T$2:$T$495))-(ROW('CASE MASTER'!#REF!)-1)))&amp;TRIM(MID(SUBSTITUTE(SUBSTITUTE(INDEX('CASE MASTER'!$N$2:$N$495,(SUMPRODUCT((('CASE MASTER'!$T$2:$T$495=9)*('CASE MASTER'!$U$2:$U$495&lt;=2)*('CASE MASTER'!$W$2:$W$495&gt;=2)*('CASE MASTER'!$V$2:$V$495&lt;=3)*('CASE MASTER'!$X$2:$X$495&gt;=3))*ROW('CASE MASTER'!$T$2:$T$495))-(ROW('CASE MASTER'!#REF!)-1))),":",","),",",REPT(" ",50)),((((2-INDEX('CASE MASTER'!$U$2:$U$495,(SUMPRODUCT((('CASE MASTER'!$T$2:$T$495=9)*('CASE MASTER'!$U$2:$U$495&lt;=2)*('CASE MASTER'!$W$2:$W$495&gt;=2)*('CASE MASTER'!$V$2:$V$495&lt;=3)*('CASE MASTER'!$X$2:$X$495&gt;=3))*ROW('CASE MASTER'!$T$2:$T$495))-(ROW('CASE MASTER'!#REF!)-1))))*(INDEX('CASE MASTER'!$X$2:$X$495,(SUMPRODUCT((('CASE MASTER'!$T$2:$T$495=9)*('CASE MASTER'!$U$2:$U$495&lt;=2)*('CASE MASTER'!$W$2:$W$495&gt;=2)*('CASE MASTER'!$V$2:$V$495&lt;=3)*('CASE MASTER'!$X$2:$X$495&gt;=3))*ROW('CASE MASTER'!$T$2:$T$495))-(ROW('CASE MASTER'!#REF!)-1)))-INDEX('CASE MASTER'!$V$2:$V$495,(SUMPRODUCT((('CASE MASTER'!$T$2:$T$495=9)*('CASE MASTER'!$U$2:$U$495&lt;=2)*('CASE MASTER'!$W$2:$W$495&gt;=2)*('CASE MASTER'!$V$2:$V$495&lt;=3)*('CASE MASTER'!$X$2:$X$495&gt;=3))*ROW('CASE MASTER'!$T$2:$T$495))-(ROW('CASE MASTER'!#REF!)-1)))+1)+(3-INDEX('CASE MASTER'!$V$2:$V$495,(SUMPRODUCT((('CASE MASTER'!$T$2:$T$495=9)*('CASE MASTER'!$U$2:$U$495&lt;=2)*('CASE MASTER'!$W$2:$W$495&gt;=2)*('CASE MASTER'!$V$2:$V$495&lt;=3)*('CASE MASTER'!$X$2:$X$495&gt;=3))*ROW('CASE MASTER'!$T$2:$T$495))-(ROW('CASE MASTER'!#REF!)-1))))+1))-1)*50+1,50))&amp;"_"&amp;INDEX('CASE MASTER'!$Q$2:$Q$495,(SUMPRODUCT((('CASE MASTER'!$T$2:$T$495=9)*('CASE MASTER'!$U$2:$U$495&lt;=2)*('CASE MASTER'!$W$2:$W$495&gt;=2)*('CASE MASTER'!$V$2:$V$495&lt;=3)*('CASE MASTER'!$X$2:$X$495&gt;=3))*ROW('CASE MASTER'!$T$2:$T$495))-(ROW('CASE MASTER'!#REF!)-1))),IF(SUMPRODUCT((('CASE MASTER'!$T$2:$T$495=9)*('CASE MASTER'!$AA$2:$AA$495&lt;=2)*('CASE MASTER'!$AC$2:$AC$495&gt;=2)*('CASE MASTER'!$AB$2:$AB$495&lt;=3)*('CASE MASTER'!$AD$2:$AD$495&gt;=3))*ROW('CASE MASTER'!$T$2:$T$495))&gt;0,INDEX('CASE MASTER'!$Y$2:$Y$495,(SUMPRODUCT((('CASE MASTER'!$T$2:$T$495=9)*('CASE MASTER'!$AA$2:$AA$495&lt;=2)*('CASE MASTER'!$AC$2:$AC$495&gt;=2)*('CASE MASTER'!$AB$2:$AB$495&lt;=3)*('CASE MASTER'!$AD$2:$AD$495&gt;=3))*ROW('CASE MASTER'!$T$2:$T$495))-(ROW('CASE MASTER'!#REF!)-1)))&amp;TRIM(MID(SUBSTITUTE(SUBSTITUTE(INDEX('CASE MASTER'!$N$2:$N$495,(SUMPRODUCT((('CASE MASTER'!$T$2:$T$495=9)*('CASE MASTER'!$AA$2:$AA$495&lt;=2)*('CASE MASTER'!$AC$2:$AC$495&gt;=2)*('CASE MASTER'!$AB$2:$AB$495&lt;=3)*('CASE MASTER'!$AD$2:$AD$495&gt;=3))*ROW('CASE MASTER'!$T$2:$T$495))-(ROW('CASE MASTER'!#REF!)-1))),":",","),",",REPT(" ",50)),(((INDEX('CASE MASTER'!$Z$2:$Z$495,(SUMPRODUCT((('CASE MASTER'!$T$2:$T$495=9)*('CASE MASTER'!$AA$2:$AA$495&lt;=2)*('CASE MASTER'!$AC$2:$AC$495&gt;=2)*('CASE MASTER'!$AB$2:$AB$495&lt;=3)*('CASE MASTER'!$AD$2:$AD$495&gt;=3))*ROW('CASE MASTER'!$T$2:$T$495))-(ROW('CASE MASTER'!#REF!)-1)))+((2-INDEX('CASE MASTER'!$AA$2:$AA$495,(SUMPRODUCT((('CASE MASTER'!$T$2:$T$495=9)*('CASE MASTER'!$AA$2:$AA$495&lt;=2)*('CASE MASTER'!$AC$2:$AC$495&gt;=2)*('CASE MASTER'!$AB$2:$AB$495&lt;=3)*('CASE MASTER'!$AD$2:$AD$495&gt;=3))*ROW('CASE MASTER'!$T$2:$T$495))-(ROW('CASE MASTER'!#REF!)-1))))*(INDEX('CASE MASTER'!$AD$2:$AD$495,(SUMPRODUCT((('CASE MASTER'!$T$2:$T$495=9)*('CASE MASTER'!$AA$2:$AA$495&lt;=2)*('CASE MASTER'!$AC$2:$AC$495&gt;=2)*('CASE MASTER'!$AB$2:$AB$495&lt;=3)*('CASE MASTER'!$AD$2:$AD$495&gt;=3))*ROW('CASE MASTER'!$T$2:$T$495))-(ROW('CASE MASTER'!#REF!)-1)))-INDEX('CASE MASTER'!$AB$2:$AB$495,(SUMPRODUCT((('CASE MASTER'!$T$2:$T$495=9)*('CASE MASTER'!$AA$2:$AA$495&lt;=2)*('CASE MASTER'!$AC$2:$AC$495&gt;=2)*('CASE MASTER'!$AB$2:$AB$495&lt;=3)*('CASE MASTER'!$AD$2:$AD$495&gt;=3))*ROW('CASE MASTER'!$T$2:$T$495))-(ROW('CASE MASTER'!#REF!)-1)))+1)+(3-INDEX('CASE MASTER'!$AB$2:$AB$495,(SUMPRODUCT((('CASE MASTER'!$T$2:$T$495=9)*('CASE MASTER'!$AA$2:$AA$495&lt;=2)*('CASE MASTER'!$AC$2:$AC$495&gt;=2)*('CASE MASTER'!$AB$2:$AB$495&lt;=3)*('CASE MASTER'!$AD$2:$AD$495&gt;=3))*ROW('CASE MASTER'!$T$2:$T$495))-(ROW('CASE MASTER'!#REF!)-1))))+1)))-1)*50+1,50))&amp;"_"&amp;INDEX('CASE MASTER'!$Q$2:$Q$495,(SUMPRODUCT((('CASE MASTER'!$T$2:$T$495=9)*('CASE MASTER'!$AA$2:$AA$495&lt;=2)*('CASE MASTER'!$AC$2:$AC$495&gt;=2)*('CASE MASTER'!$AB$2:$AB$495&lt;=3)*('CASE MASTER'!$AD$2:$AD$495&gt;=3))*ROW('CASE MASTER'!$T$2:$T$495))-(ROW('CASE MASTER'!#REF!)-1))),"")),"")</f>
        <v/>
      </c>
      <c r="E116" s="10" t="str">
        <f>IFERROR(IF(SUMPRODUCT((('CASE MASTER'!$T$2:$T$495=9)*('CASE MASTER'!$U$2:$U$495&lt;=2)*('CASE MASTER'!$W$2:$W$495&gt;=2)*('CASE MASTER'!$V$2:$V$495&lt;=4)*('CASE MASTER'!$X$2:$X$495&gt;=4))*ROW('CASE MASTER'!$T$2:$T$495))&gt;0,INDEX('CASE MASTER'!$Y$2:$Y$495,(SUMPRODUCT((('CASE MASTER'!$T$2:$T$495=9)*('CASE MASTER'!$U$2:$U$495&lt;=2)*('CASE MASTER'!$W$2:$W$495&gt;=2)*('CASE MASTER'!$V$2:$V$495&lt;=4)*('CASE MASTER'!$X$2:$X$495&gt;=4))*ROW('CASE MASTER'!$T$2:$T$495))-(ROW('CASE MASTER'!#REF!)-1)))&amp;TRIM(MID(SUBSTITUTE(SUBSTITUTE(INDEX('CASE MASTER'!$N$2:$N$495,(SUMPRODUCT((('CASE MASTER'!$T$2:$T$495=9)*('CASE MASTER'!$U$2:$U$495&lt;=2)*('CASE MASTER'!$W$2:$W$495&gt;=2)*('CASE MASTER'!$V$2:$V$495&lt;=4)*('CASE MASTER'!$X$2:$X$495&gt;=4))*ROW('CASE MASTER'!$T$2:$T$495))-(ROW('CASE MASTER'!#REF!)-1))),":",","),",",REPT(" ",50)),((((2-INDEX('CASE MASTER'!$U$2:$U$495,(SUMPRODUCT((('CASE MASTER'!$T$2:$T$495=9)*('CASE MASTER'!$U$2:$U$495&lt;=2)*('CASE MASTER'!$W$2:$W$495&gt;=2)*('CASE MASTER'!$V$2:$V$495&lt;=4)*('CASE MASTER'!$X$2:$X$495&gt;=4))*ROW('CASE MASTER'!$T$2:$T$495))-(ROW('CASE MASTER'!#REF!)-1))))*(INDEX('CASE MASTER'!$X$2:$X$495,(SUMPRODUCT((('CASE MASTER'!$T$2:$T$495=9)*('CASE MASTER'!$U$2:$U$495&lt;=2)*('CASE MASTER'!$W$2:$W$495&gt;=2)*('CASE MASTER'!$V$2:$V$495&lt;=4)*('CASE MASTER'!$X$2:$X$495&gt;=4))*ROW('CASE MASTER'!$T$2:$T$495))-(ROW('CASE MASTER'!#REF!)-1)))-INDEX('CASE MASTER'!$V$2:$V$495,(SUMPRODUCT((('CASE MASTER'!$T$2:$T$495=9)*('CASE MASTER'!$U$2:$U$495&lt;=2)*('CASE MASTER'!$W$2:$W$495&gt;=2)*('CASE MASTER'!$V$2:$V$495&lt;=4)*('CASE MASTER'!$X$2:$X$495&gt;=4))*ROW('CASE MASTER'!$T$2:$T$495))-(ROW('CASE MASTER'!#REF!)-1)))+1)+(4-INDEX('CASE MASTER'!$V$2:$V$495,(SUMPRODUCT((('CASE MASTER'!$T$2:$T$495=9)*('CASE MASTER'!$U$2:$U$495&lt;=2)*('CASE MASTER'!$W$2:$W$495&gt;=2)*('CASE MASTER'!$V$2:$V$495&lt;=4)*('CASE MASTER'!$X$2:$X$495&gt;=4))*ROW('CASE MASTER'!$T$2:$T$495))-(ROW('CASE MASTER'!#REF!)-1))))+1))-1)*50+1,50))&amp;"_"&amp;INDEX('CASE MASTER'!$Q$2:$Q$495,(SUMPRODUCT((('CASE MASTER'!$T$2:$T$495=9)*('CASE MASTER'!$U$2:$U$495&lt;=2)*('CASE MASTER'!$W$2:$W$495&gt;=2)*('CASE MASTER'!$V$2:$V$495&lt;=4)*('CASE MASTER'!$X$2:$X$495&gt;=4))*ROW('CASE MASTER'!$T$2:$T$495))-(ROW('CASE MASTER'!#REF!)-1))),IF(SUMPRODUCT((('CASE MASTER'!$T$2:$T$495=9)*('CASE MASTER'!$AA$2:$AA$495&lt;=2)*('CASE MASTER'!$AC$2:$AC$495&gt;=2)*('CASE MASTER'!$AB$2:$AB$495&lt;=4)*('CASE MASTER'!$AD$2:$AD$495&gt;=4))*ROW('CASE MASTER'!$T$2:$T$495))&gt;0,INDEX('CASE MASTER'!$Y$2:$Y$495,(SUMPRODUCT((('CASE MASTER'!$T$2:$T$495=9)*('CASE MASTER'!$AA$2:$AA$495&lt;=2)*('CASE MASTER'!$AC$2:$AC$495&gt;=2)*('CASE MASTER'!$AB$2:$AB$495&lt;=4)*('CASE MASTER'!$AD$2:$AD$495&gt;=4))*ROW('CASE MASTER'!$T$2:$T$495))-(ROW('CASE MASTER'!#REF!)-1)))&amp;TRIM(MID(SUBSTITUTE(SUBSTITUTE(INDEX('CASE MASTER'!$N$2:$N$495,(SUMPRODUCT((('CASE MASTER'!$T$2:$T$495=9)*('CASE MASTER'!$AA$2:$AA$495&lt;=2)*('CASE MASTER'!$AC$2:$AC$495&gt;=2)*('CASE MASTER'!$AB$2:$AB$495&lt;=4)*('CASE MASTER'!$AD$2:$AD$495&gt;=4))*ROW('CASE MASTER'!$T$2:$T$495))-(ROW('CASE MASTER'!#REF!)-1))),":",","),",",REPT(" ",50)),(((INDEX('CASE MASTER'!$Z$2:$Z$495,(SUMPRODUCT((('CASE MASTER'!$T$2:$T$495=9)*('CASE MASTER'!$AA$2:$AA$495&lt;=2)*('CASE MASTER'!$AC$2:$AC$495&gt;=2)*('CASE MASTER'!$AB$2:$AB$495&lt;=4)*('CASE MASTER'!$AD$2:$AD$495&gt;=4))*ROW('CASE MASTER'!$T$2:$T$495))-(ROW('CASE MASTER'!#REF!)-1)))+((2-INDEX('CASE MASTER'!$AA$2:$AA$495,(SUMPRODUCT((('CASE MASTER'!$T$2:$T$495=9)*('CASE MASTER'!$AA$2:$AA$495&lt;=2)*('CASE MASTER'!$AC$2:$AC$495&gt;=2)*('CASE MASTER'!$AB$2:$AB$495&lt;=4)*('CASE MASTER'!$AD$2:$AD$495&gt;=4))*ROW('CASE MASTER'!$T$2:$T$495))-(ROW('CASE MASTER'!#REF!)-1))))*(INDEX('CASE MASTER'!$AD$2:$AD$495,(SUMPRODUCT((('CASE MASTER'!$T$2:$T$495=9)*('CASE MASTER'!$AA$2:$AA$495&lt;=2)*('CASE MASTER'!$AC$2:$AC$495&gt;=2)*('CASE MASTER'!$AB$2:$AB$495&lt;=4)*('CASE MASTER'!$AD$2:$AD$495&gt;=4))*ROW('CASE MASTER'!$T$2:$T$495))-(ROW('CASE MASTER'!#REF!)-1)))-INDEX('CASE MASTER'!$AB$2:$AB$495,(SUMPRODUCT((('CASE MASTER'!$T$2:$T$495=9)*('CASE MASTER'!$AA$2:$AA$495&lt;=2)*('CASE MASTER'!$AC$2:$AC$495&gt;=2)*('CASE MASTER'!$AB$2:$AB$495&lt;=4)*('CASE MASTER'!$AD$2:$AD$495&gt;=4))*ROW('CASE MASTER'!$T$2:$T$495))-(ROW('CASE MASTER'!#REF!)-1)))+1)+(4-INDEX('CASE MASTER'!$AB$2:$AB$495,(SUMPRODUCT((('CASE MASTER'!$T$2:$T$495=9)*('CASE MASTER'!$AA$2:$AA$495&lt;=2)*('CASE MASTER'!$AC$2:$AC$495&gt;=2)*('CASE MASTER'!$AB$2:$AB$495&lt;=4)*('CASE MASTER'!$AD$2:$AD$495&gt;=4))*ROW('CASE MASTER'!$T$2:$T$495))-(ROW('CASE MASTER'!#REF!)-1))))+1)))-1)*50+1,50))&amp;"_"&amp;INDEX('CASE MASTER'!$Q$2:$Q$495,(SUMPRODUCT((('CASE MASTER'!$T$2:$T$495=9)*('CASE MASTER'!$AA$2:$AA$495&lt;=2)*('CASE MASTER'!$AC$2:$AC$495&gt;=2)*('CASE MASTER'!$AB$2:$AB$495&lt;=4)*('CASE MASTER'!$AD$2:$AD$495&gt;=4))*ROW('CASE MASTER'!$T$2:$T$495))-(ROW('CASE MASTER'!#REF!)-1))),"")),"")</f>
        <v/>
      </c>
      <c r="F116" s="10" t="str">
        <f>IFERROR(IF(SUMPRODUCT((('CASE MASTER'!$T$2:$T$495=9)*('CASE MASTER'!$U$2:$U$495&lt;=2)*('CASE MASTER'!$W$2:$W$495&gt;=2)*('CASE MASTER'!$V$2:$V$495&lt;=5)*('CASE MASTER'!$X$2:$X$495&gt;=5))*ROW('CASE MASTER'!$T$2:$T$495))&gt;0,INDEX('CASE MASTER'!$Y$2:$Y$495,(SUMPRODUCT((('CASE MASTER'!$T$2:$T$495=9)*('CASE MASTER'!$U$2:$U$495&lt;=2)*('CASE MASTER'!$W$2:$W$495&gt;=2)*('CASE MASTER'!$V$2:$V$495&lt;=5)*('CASE MASTER'!$X$2:$X$495&gt;=5))*ROW('CASE MASTER'!$T$2:$T$495))-(ROW('CASE MASTER'!#REF!)-1)))&amp;TRIM(MID(SUBSTITUTE(SUBSTITUTE(INDEX('CASE MASTER'!$N$2:$N$495,(SUMPRODUCT((('CASE MASTER'!$T$2:$T$495=9)*('CASE MASTER'!$U$2:$U$495&lt;=2)*('CASE MASTER'!$W$2:$W$495&gt;=2)*('CASE MASTER'!$V$2:$V$495&lt;=5)*('CASE MASTER'!$X$2:$X$495&gt;=5))*ROW('CASE MASTER'!$T$2:$T$495))-(ROW('CASE MASTER'!#REF!)-1))),":",","),",",REPT(" ",50)),((((2-INDEX('CASE MASTER'!$U$2:$U$495,(SUMPRODUCT((('CASE MASTER'!$T$2:$T$495=9)*('CASE MASTER'!$U$2:$U$495&lt;=2)*('CASE MASTER'!$W$2:$W$495&gt;=2)*('CASE MASTER'!$V$2:$V$495&lt;=5)*('CASE MASTER'!$X$2:$X$495&gt;=5))*ROW('CASE MASTER'!$T$2:$T$495))-(ROW('CASE MASTER'!#REF!)-1))))*(INDEX('CASE MASTER'!$X$2:$X$495,(SUMPRODUCT((('CASE MASTER'!$T$2:$T$495=9)*('CASE MASTER'!$U$2:$U$495&lt;=2)*('CASE MASTER'!$W$2:$W$495&gt;=2)*('CASE MASTER'!$V$2:$V$495&lt;=5)*('CASE MASTER'!$X$2:$X$495&gt;=5))*ROW('CASE MASTER'!$T$2:$T$495))-(ROW('CASE MASTER'!#REF!)-1)))-INDEX('CASE MASTER'!$V$2:$V$495,(SUMPRODUCT((('CASE MASTER'!$T$2:$T$495=9)*('CASE MASTER'!$U$2:$U$495&lt;=2)*('CASE MASTER'!$W$2:$W$495&gt;=2)*('CASE MASTER'!$V$2:$V$495&lt;=5)*('CASE MASTER'!$X$2:$X$495&gt;=5))*ROW('CASE MASTER'!$T$2:$T$495))-(ROW('CASE MASTER'!#REF!)-1)))+1)+(5-INDEX('CASE MASTER'!$V$2:$V$495,(SUMPRODUCT((('CASE MASTER'!$T$2:$T$495=9)*('CASE MASTER'!$U$2:$U$495&lt;=2)*('CASE MASTER'!$W$2:$W$495&gt;=2)*('CASE MASTER'!$V$2:$V$495&lt;=5)*('CASE MASTER'!$X$2:$X$495&gt;=5))*ROW('CASE MASTER'!$T$2:$T$495))-(ROW('CASE MASTER'!#REF!)-1))))+1))-1)*50+1,50))&amp;"_"&amp;INDEX('CASE MASTER'!$Q$2:$Q$495,(SUMPRODUCT((('CASE MASTER'!$T$2:$T$495=9)*('CASE MASTER'!$U$2:$U$495&lt;=2)*('CASE MASTER'!$W$2:$W$495&gt;=2)*('CASE MASTER'!$V$2:$V$495&lt;=5)*('CASE MASTER'!$X$2:$X$495&gt;=5))*ROW('CASE MASTER'!$T$2:$T$495))-(ROW('CASE MASTER'!#REF!)-1))),IF(SUMPRODUCT((('CASE MASTER'!$T$2:$T$495=9)*('CASE MASTER'!$AA$2:$AA$495&lt;=2)*('CASE MASTER'!$AC$2:$AC$495&gt;=2)*('CASE MASTER'!$AB$2:$AB$495&lt;=5)*('CASE MASTER'!$AD$2:$AD$495&gt;=5))*ROW('CASE MASTER'!$T$2:$T$495))&gt;0,INDEX('CASE MASTER'!$Y$2:$Y$495,(SUMPRODUCT((('CASE MASTER'!$T$2:$T$495=9)*('CASE MASTER'!$AA$2:$AA$495&lt;=2)*('CASE MASTER'!$AC$2:$AC$495&gt;=2)*('CASE MASTER'!$AB$2:$AB$495&lt;=5)*('CASE MASTER'!$AD$2:$AD$495&gt;=5))*ROW('CASE MASTER'!$T$2:$T$495))-(ROW('CASE MASTER'!#REF!)-1)))&amp;TRIM(MID(SUBSTITUTE(SUBSTITUTE(INDEX('CASE MASTER'!$N$2:$N$495,(SUMPRODUCT((('CASE MASTER'!$T$2:$T$495=9)*('CASE MASTER'!$AA$2:$AA$495&lt;=2)*('CASE MASTER'!$AC$2:$AC$495&gt;=2)*('CASE MASTER'!$AB$2:$AB$495&lt;=5)*('CASE MASTER'!$AD$2:$AD$495&gt;=5))*ROW('CASE MASTER'!$T$2:$T$495))-(ROW('CASE MASTER'!#REF!)-1))),":",","),",",REPT(" ",50)),(((INDEX('CASE MASTER'!$Z$2:$Z$495,(SUMPRODUCT((('CASE MASTER'!$T$2:$T$495=9)*('CASE MASTER'!$AA$2:$AA$495&lt;=2)*('CASE MASTER'!$AC$2:$AC$495&gt;=2)*('CASE MASTER'!$AB$2:$AB$495&lt;=5)*('CASE MASTER'!$AD$2:$AD$495&gt;=5))*ROW('CASE MASTER'!$T$2:$T$495))-(ROW('CASE MASTER'!#REF!)-1)))+((2-INDEX('CASE MASTER'!$AA$2:$AA$495,(SUMPRODUCT((('CASE MASTER'!$T$2:$T$495=9)*('CASE MASTER'!$AA$2:$AA$495&lt;=2)*('CASE MASTER'!$AC$2:$AC$495&gt;=2)*('CASE MASTER'!$AB$2:$AB$495&lt;=5)*('CASE MASTER'!$AD$2:$AD$495&gt;=5))*ROW('CASE MASTER'!$T$2:$T$495))-(ROW('CASE MASTER'!#REF!)-1))))*(INDEX('CASE MASTER'!$AD$2:$AD$495,(SUMPRODUCT((('CASE MASTER'!$T$2:$T$495=9)*('CASE MASTER'!$AA$2:$AA$495&lt;=2)*('CASE MASTER'!$AC$2:$AC$495&gt;=2)*('CASE MASTER'!$AB$2:$AB$495&lt;=5)*('CASE MASTER'!$AD$2:$AD$495&gt;=5))*ROW('CASE MASTER'!$T$2:$T$495))-(ROW('CASE MASTER'!#REF!)-1)))-INDEX('CASE MASTER'!$AB$2:$AB$495,(SUMPRODUCT((('CASE MASTER'!$T$2:$T$495=9)*('CASE MASTER'!$AA$2:$AA$495&lt;=2)*('CASE MASTER'!$AC$2:$AC$495&gt;=2)*('CASE MASTER'!$AB$2:$AB$495&lt;=5)*('CASE MASTER'!$AD$2:$AD$495&gt;=5))*ROW('CASE MASTER'!$T$2:$T$495))-(ROW('CASE MASTER'!#REF!)-1)))+1)+(5-INDEX('CASE MASTER'!$AB$2:$AB$495,(SUMPRODUCT((('CASE MASTER'!$T$2:$T$495=9)*('CASE MASTER'!$AA$2:$AA$495&lt;=2)*('CASE MASTER'!$AC$2:$AC$495&gt;=2)*('CASE MASTER'!$AB$2:$AB$495&lt;=5)*('CASE MASTER'!$AD$2:$AD$495&gt;=5))*ROW('CASE MASTER'!$T$2:$T$495))-(ROW('CASE MASTER'!#REF!)-1))))+1)))-1)*50+1,50))&amp;"_"&amp;INDEX('CASE MASTER'!$Q$2:$Q$495,(SUMPRODUCT((('CASE MASTER'!$T$2:$T$495=9)*('CASE MASTER'!$AA$2:$AA$495&lt;=2)*('CASE MASTER'!$AC$2:$AC$495&gt;=2)*('CASE MASTER'!$AB$2:$AB$495&lt;=5)*('CASE MASTER'!$AD$2:$AD$495&gt;=5))*ROW('CASE MASTER'!$T$2:$T$495))-(ROW('CASE MASTER'!#REF!)-1))),"")),"")</f>
        <v/>
      </c>
      <c r="G116" s="10" t="str">
        <f>IFERROR(IF(SUMPRODUCT((('CASE MASTER'!$T$2:$T$495=9)*('CASE MASTER'!$U$2:$U$495&lt;=2)*('CASE MASTER'!$W$2:$W$495&gt;=2)*('CASE MASTER'!$V$2:$V$495&lt;=6)*('CASE MASTER'!$X$2:$X$495&gt;=6))*ROW('CASE MASTER'!$T$2:$T$495))&gt;0,INDEX('CASE MASTER'!$Y$2:$Y$495,(SUMPRODUCT((('CASE MASTER'!$T$2:$T$495=9)*('CASE MASTER'!$U$2:$U$495&lt;=2)*('CASE MASTER'!$W$2:$W$495&gt;=2)*('CASE MASTER'!$V$2:$V$495&lt;=6)*('CASE MASTER'!$X$2:$X$495&gt;=6))*ROW('CASE MASTER'!$T$2:$T$495))-(ROW('CASE MASTER'!#REF!)-1)))&amp;TRIM(MID(SUBSTITUTE(SUBSTITUTE(INDEX('CASE MASTER'!$N$2:$N$495,(SUMPRODUCT((('CASE MASTER'!$T$2:$T$495=9)*('CASE MASTER'!$U$2:$U$495&lt;=2)*('CASE MASTER'!$W$2:$W$495&gt;=2)*('CASE MASTER'!$V$2:$V$495&lt;=6)*('CASE MASTER'!$X$2:$X$495&gt;=6))*ROW('CASE MASTER'!$T$2:$T$495))-(ROW('CASE MASTER'!#REF!)-1))),":",","),",",REPT(" ",50)),((((2-INDEX('CASE MASTER'!$U$2:$U$495,(SUMPRODUCT((('CASE MASTER'!$T$2:$T$495=9)*('CASE MASTER'!$U$2:$U$495&lt;=2)*('CASE MASTER'!$W$2:$W$495&gt;=2)*('CASE MASTER'!$V$2:$V$495&lt;=6)*('CASE MASTER'!$X$2:$X$495&gt;=6))*ROW('CASE MASTER'!$T$2:$T$495))-(ROW('CASE MASTER'!#REF!)-1))))*(INDEX('CASE MASTER'!$X$2:$X$495,(SUMPRODUCT((('CASE MASTER'!$T$2:$T$495=9)*('CASE MASTER'!$U$2:$U$495&lt;=2)*('CASE MASTER'!$W$2:$W$495&gt;=2)*('CASE MASTER'!$V$2:$V$495&lt;=6)*('CASE MASTER'!$X$2:$X$495&gt;=6))*ROW('CASE MASTER'!$T$2:$T$495))-(ROW('CASE MASTER'!#REF!)-1)))-INDEX('CASE MASTER'!$V$2:$V$495,(SUMPRODUCT((('CASE MASTER'!$T$2:$T$495=9)*('CASE MASTER'!$U$2:$U$495&lt;=2)*('CASE MASTER'!$W$2:$W$495&gt;=2)*('CASE MASTER'!$V$2:$V$495&lt;=6)*('CASE MASTER'!$X$2:$X$495&gt;=6))*ROW('CASE MASTER'!$T$2:$T$495))-(ROW('CASE MASTER'!#REF!)-1)))+1)+(6-INDEX('CASE MASTER'!$V$2:$V$495,(SUMPRODUCT((('CASE MASTER'!$T$2:$T$495=9)*('CASE MASTER'!$U$2:$U$495&lt;=2)*('CASE MASTER'!$W$2:$W$495&gt;=2)*('CASE MASTER'!$V$2:$V$495&lt;=6)*('CASE MASTER'!$X$2:$X$495&gt;=6))*ROW('CASE MASTER'!$T$2:$T$495))-(ROW('CASE MASTER'!#REF!)-1))))+1))-1)*50+1,50))&amp;"_"&amp;INDEX('CASE MASTER'!$Q$2:$Q$495,(SUMPRODUCT((('CASE MASTER'!$T$2:$T$495=9)*('CASE MASTER'!$U$2:$U$495&lt;=2)*('CASE MASTER'!$W$2:$W$495&gt;=2)*('CASE MASTER'!$V$2:$V$495&lt;=6)*('CASE MASTER'!$X$2:$X$495&gt;=6))*ROW('CASE MASTER'!$T$2:$T$495))-(ROW('CASE MASTER'!#REF!)-1))),IF(SUMPRODUCT((('CASE MASTER'!$T$2:$T$495=9)*('CASE MASTER'!$AA$2:$AA$495&lt;=2)*('CASE MASTER'!$AC$2:$AC$495&gt;=2)*('CASE MASTER'!$AB$2:$AB$495&lt;=6)*('CASE MASTER'!$AD$2:$AD$495&gt;=6))*ROW('CASE MASTER'!$T$2:$T$495))&gt;0,INDEX('CASE MASTER'!$Y$2:$Y$495,(SUMPRODUCT((('CASE MASTER'!$T$2:$T$495=9)*('CASE MASTER'!$AA$2:$AA$495&lt;=2)*('CASE MASTER'!$AC$2:$AC$495&gt;=2)*('CASE MASTER'!$AB$2:$AB$495&lt;=6)*('CASE MASTER'!$AD$2:$AD$495&gt;=6))*ROW('CASE MASTER'!$T$2:$T$495))-(ROW('CASE MASTER'!#REF!)-1)))&amp;TRIM(MID(SUBSTITUTE(SUBSTITUTE(INDEX('CASE MASTER'!$N$2:$N$495,(SUMPRODUCT((('CASE MASTER'!$T$2:$T$495=9)*('CASE MASTER'!$AA$2:$AA$495&lt;=2)*('CASE MASTER'!$AC$2:$AC$495&gt;=2)*('CASE MASTER'!$AB$2:$AB$495&lt;=6)*('CASE MASTER'!$AD$2:$AD$495&gt;=6))*ROW('CASE MASTER'!$T$2:$T$495))-(ROW('CASE MASTER'!#REF!)-1))),":",","),",",REPT(" ",50)),(((INDEX('CASE MASTER'!$Z$2:$Z$495,(SUMPRODUCT((('CASE MASTER'!$T$2:$T$495=9)*('CASE MASTER'!$AA$2:$AA$495&lt;=2)*('CASE MASTER'!$AC$2:$AC$495&gt;=2)*('CASE MASTER'!$AB$2:$AB$495&lt;=6)*('CASE MASTER'!$AD$2:$AD$495&gt;=6))*ROW('CASE MASTER'!$T$2:$T$495))-(ROW('CASE MASTER'!#REF!)-1)))+((2-INDEX('CASE MASTER'!$AA$2:$AA$495,(SUMPRODUCT((('CASE MASTER'!$T$2:$T$495=9)*('CASE MASTER'!$AA$2:$AA$495&lt;=2)*('CASE MASTER'!$AC$2:$AC$495&gt;=2)*('CASE MASTER'!$AB$2:$AB$495&lt;=6)*('CASE MASTER'!$AD$2:$AD$495&gt;=6))*ROW('CASE MASTER'!$T$2:$T$495))-(ROW('CASE MASTER'!#REF!)-1))))*(INDEX('CASE MASTER'!$AD$2:$AD$495,(SUMPRODUCT((('CASE MASTER'!$T$2:$T$495=9)*('CASE MASTER'!$AA$2:$AA$495&lt;=2)*('CASE MASTER'!$AC$2:$AC$495&gt;=2)*('CASE MASTER'!$AB$2:$AB$495&lt;=6)*('CASE MASTER'!$AD$2:$AD$495&gt;=6))*ROW('CASE MASTER'!$T$2:$T$495))-(ROW('CASE MASTER'!#REF!)-1)))-INDEX('CASE MASTER'!$AB$2:$AB$495,(SUMPRODUCT((('CASE MASTER'!$T$2:$T$495=9)*('CASE MASTER'!$AA$2:$AA$495&lt;=2)*('CASE MASTER'!$AC$2:$AC$495&gt;=2)*('CASE MASTER'!$AB$2:$AB$495&lt;=6)*('CASE MASTER'!$AD$2:$AD$495&gt;=6))*ROW('CASE MASTER'!$T$2:$T$495))-(ROW('CASE MASTER'!#REF!)-1)))+1)+(6-INDEX('CASE MASTER'!$AB$2:$AB$495,(SUMPRODUCT((('CASE MASTER'!$T$2:$T$495=9)*('CASE MASTER'!$AA$2:$AA$495&lt;=2)*('CASE MASTER'!$AC$2:$AC$495&gt;=2)*('CASE MASTER'!$AB$2:$AB$495&lt;=6)*('CASE MASTER'!$AD$2:$AD$495&gt;=6))*ROW('CASE MASTER'!$T$2:$T$495))-(ROW('CASE MASTER'!#REF!)-1))))+1)))-1)*50+1,50))&amp;"_"&amp;INDEX('CASE MASTER'!$Q$2:$Q$495,(SUMPRODUCT((('CASE MASTER'!$T$2:$T$495=9)*('CASE MASTER'!$AA$2:$AA$495&lt;=2)*('CASE MASTER'!$AC$2:$AC$495&gt;=2)*('CASE MASTER'!$AB$2:$AB$495&lt;=6)*('CASE MASTER'!$AD$2:$AD$495&gt;=6))*ROW('CASE MASTER'!$T$2:$T$495))-(ROW('CASE MASTER'!#REF!)-1))),"")),"")</f>
        <v/>
      </c>
      <c r="H116" s="10" t="str">
        <f>IFERROR(IF(SUMPRODUCT((('CASE MASTER'!$T$2:$T$495=9)*('CASE MASTER'!$U$2:$U$495&lt;=2)*('CASE MASTER'!$W$2:$W$495&gt;=2)*('CASE MASTER'!$V$2:$V$495&lt;=7)*('CASE MASTER'!$X$2:$X$495&gt;=7))*ROW('CASE MASTER'!$T$2:$T$495))&gt;0,INDEX('CASE MASTER'!$Y$2:$Y$495,(SUMPRODUCT((('CASE MASTER'!$T$2:$T$495=9)*('CASE MASTER'!$U$2:$U$495&lt;=2)*('CASE MASTER'!$W$2:$W$495&gt;=2)*('CASE MASTER'!$V$2:$V$495&lt;=7)*('CASE MASTER'!$X$2:$X$495&gt;=7))*ROW('CASE MASTER'!$T$2:$T$495))-(ROW('CASE MASTER'!#REF!)-1)))&amp;TRIM(MID(SUBSTITUTE(SUBSTITUTE(INDEX('CASE MASTER'!$N$2:$N$495,(SUMPRODUCT((('CASE MASTER'!$T$2:$T$495=9)*('CASE MASTER'!$U$2:$U$495&lt;=2)*('CASE MASTER'!$W$2:$W$495&gt;=2)*('CASE MASTER'!$V$2:$V$495&lt;=7)*('CASE MASTER'!$X$2:$X$495&gt;=7))*ROW('CASE MASTER'!$T$2:$T$495))-(ROW('CASE MASTER'!#REF!)-1))),":",","),",",REPT(" ",50)),((((2-INDEX('CASE MASTER'!$U$2:$U$495,(SUMPRODUCT((('CASE MASTER'!$T$2:$T$495=9)*('CASE MASTER'!$U$2:$U$495&lt;=2)*('CASE MASTER'!$W$2:$W$495&gt;=2)*('CASE MASTER'!$V$2:$V$495&lt;=7)*('CASE MASTER'!$X$2:$X$495&gt;=7))*ROW('CASE MASTER'!$T$2:$T$495))-(ROW('CASE MASTER'!#REF!)-1))))*(INDEX('CASE MASTER'!$X$2:$X$495,(SUMPRODUCT((('CASE MASTER'!$T$2:$T$495=9)*('CASE MASTER'!$U$2:$U$495&lt;=2)*('CASE MASTER'!$W$2:$W$495&gt;=2)*('CASE MASTER'!$V$2:$V$495&lt;=7)*('CASE MASTER'!$X$2:$X$495&gt;=7))*ROW('CASE MASTER'!$T$2:$T$495))-(ROW('CASE MASTER'!#REF!)-1)))-INDEX('CASE MASTER'!$V$2:$V$495,(SUMPRODUCT((('CASE MASTER'!$T$2:$T$495=9)*('CASE MASTER'!$U$2:$U$495&lt;=2)*('CASE MASTER'!$W$2:$W$495&gt;=2)*('CASE MASTER'!$V$2:$V$495&lt;=7)*('CASE MASTER'!$X$2:$X$495&gt;=7))*ROW('CASE MASTER'!$T$2:$T$495))-(ROW('CASE MASTER'!#REF!)-1)))+1)+(7-INDEX('CASE MASTER'!$V$2:$V$495,(SUMPRODUCT((('CASE MASTER'!$T$2:$T$495=9)*('CASE MASTER'!$U$2:$U$495&lt;=2)*('CASE MASTER'!$W$2:$W$495&gt;=2)*('CASE MASTER'!$V$2:$V$495&lt;=7)*('CASE MASTER'!$X$2:$X$495&gt;=7))*ROW('CASE MASTER'!$T$2:$T$495))-(ROW('CASE MASTER'!#REF!)-1))))+1))-1)*50+1,50))&amp;"_"&amp;INDEX('CASE MASTER'!$Q$2:$Q$495,(SUMPRODUCT((('CASE MASTER'!$T$2:$T$495=9)*('CASE MASTER'!$U$2:$U$495&lt;=2)*('CASE MASTER'!$W$2:$W$495&gt;=2)*('CASE MASTER'!$V$2:$V$495&lt;=7)*('CASE MASTER'!$X$2:$X$495&gt;=7))*ROW('CASE MASTER'!$T$2:$T$495))-(ROW('CASE MASTER'!#REF!)-1))),IF(SUMPRODUCT((('CASE MASTER'!$T$2:$T$495=9)*('CASE MASTER'!$AA$2:$AA$495&lt;=2)*('CASE MASTER'!$AC$2:$AC$495&gt;=2)*('CASE MASTER'!$AB$2:$AB$495&lt;=7)*('CASE MASTER'!$AD$2:$AD$495&gt;=7))*ROW('CASE MASTER'!$T$2:$T$495))&gt;0,INDEX('CASE MASTER'!$Y$2:$Y$495,(SUMPRODUCT((('CASE MASTER'!$T$2:$T$495=9)*('CASE MASTER'!$AA$2:$AA$495&lt;=2)*('CASE MASTER'!$AC$2:$AC$495&gt;=2)*('CASE MASTER'!$AB$2:$AB$495&lt;=7)*('CASE MASTER'!$AD$2:$AD$495&gt;=7))*ROW('CASE MASTER'!$T$2:$T$495))-(ROW('CASE MASTER'!#REF!)-1)))&amp;TRIM(MID(SUBSTITUTE(SUBSTITUTE(INDEX('CASE MASTER'!$N$2:$N$495,(SUMPRODUCT((('CASE MASTER'!$T$2:$T$495=9)*('CASE MASTER'!$AA$2:$AA$495&lt;=2)*('CASE MASTER'!$AC$2:$AC$495&gt;=2)*('CASE MASTER'!$AB$2:$AB$495&lt;=7)*('CASE MASTER'!$AD$2:$AD$495&gt;=7))*ROW('CASE MASTER'!$T$2:$T$495))-(ROW('CASE MASTER'!#REF!)-1))),":",","),",",REPT(" ",50)),(((INDEX('CASE MASTER'!$Z$2:$Z$495,(SUMPRODUCT((('CASE MASTER'!$T$2:$T$495=9)*('CASE MASTER'!$AA$2:$AA$495&lt;=2)*('CASE MASTER'!$AC$2:$AC$495&gt;=2)*('CASE MASTER'!$AB$2:$AB$495&lt;=7)*('CASE MASTER'!$AD$2:$AD$495&gt;=7))*ROW('CASE MASTER'!$T$2:$T$495))-(ROW('CASE MASTER'!#REF!)-1)))+((2-INDEX('CASE MASTER'!$AA$2:$AA$495,(SUMPRODUCT((('CASE MASTER'!$T$2:$T$495=9)*('CASE MASTER'!$AA$2:$AA$495&lt;=2)*('CASE MASTER'!$AC$2:$AC$495&gt;=2)*('CASE MASTER'!$AB$2:$AB$495&lt;=7)*('CASE MASTER'!$AD$2:$AD$495&gt;=7))*ROW('CASE MASTER'!$T$2:$T$495))-(ROW('CASE MASTER'!#REF!)-1))))*(INDEX('CASE MASTER'!$AD$2:$AD$495,(SUMPRODUCT((('CASE MASTER'!$T$2:$T$495=9)*('CASE MASTER'!$AA$2:$AA$495&lt;=2)*('CASE MASTER'!$AC$2:$AC$495&gt;=2)*('CASE MASTER'!$AB$2:$AB$495&lt;=7)*('CASE MASTER'!$AD$2:$AD$495&gt;=7))*ROW('CASE MASTER'!$T$2:$T$495))-(ROW('CASE MASTER'!#REF!)-1)))-INDEX('CASE MASTER'!$AB$2:$AB$495,(SUMPRODUCT((('CASE MASTER'!$T$2:$T$495=9)*('CASE MASTER'!$AA$2:$AA$495&lt;=2)*('CASE MASTER'!$AC$2:$AC$495&gt;=2)*('CASE MASTER'!$AB$2:$AB$495&lt;=7)*('CASE MASTER'!$AD$2:$AD$495&gt;=7))*ROW('CASE MASTER'!$T$2:$T$495))-(ROW('CASE MASTER'!#REF!)-1)))+1)+(7-INDEX('CASE MASTER'!$AB$2:$AB$495,(SUMPRODUCT((('CASE MASTER'!$T$2:$T$495=9)*('CASE MASTER'!$AA$2:$AA$495&lt;=2)*('CASE MASTER'!$AC$2:$AC$495&gt;=2)*('CASE MASTER'!$AB$2:$AB$495&lt;=7)*('CASE MASTER'!$AD$2:$AD$495&gt;=7))*ROW('CASE MASTER'!$T$2:$T$495))-(ROW('CASE MASTER'!#REF!)-1))))+1)))-1)*50+1,50))&amp;"_"&amp;INDEX('CASE MASTER'!$Q$2:$Q$495,(SUMPRODUCT((('CASE MASTER'!$T$2:$T$495=9)*('CASE MASTER'!$AA$2:$AA$495&lt;=2)*('CASE MASTER'!$AC$2:$AC$495&gt;=2)*('CASE MASTER'!$AB$2:$AB$495&lt;=7)*('CASE MASTER'!$AD$2:$AD$495&gt;=7))*ROW('CASE MASTER'!$T$2:$T$495))-(ROW('CASE MASTER'!#REF!)-1))),"")),"")</f>
        <v/>
      </c>
      <c r="I116" s="10" t="str">
        <f>IFERROR(IF(SUMPRODUCT((('CASE MASTER'!$T$2:$T$495=9)*('CASE MASTER'!$U$2:$U$495&lt;=2)*('CASE MASTER'!$W$2:$W$495&gt;=2)*('CASE MASTER'!$V$2:$V$495&lt;=8)*('CASE MASTER'!$X$2:$X$495&gt;=8))*ROW('CASE MASTER'!$T$2:$T$495))&gt;0,INDEX('CASE MASTER'!$Y$2:$Y$495,(SUMPRODUCT((('CASE MASTER'!$T$2:$T$495=9)*('CASE MASTER'!$U$2:$U$495&lt;=2)*('CASE MASTER'!$W$2:$W$495&gt;=2)*('CASE MASTER'!$V$2:$V$495&lt;=8)*('CASE MASTER'!$X$2:$X$495&gt;=8))*ROW('CASE MASTER'!$T$2:$T$495))-(ROW('CASE MASTER'!#REF!)-1)))&amp;TRIM(MID(SUBSTITUTE(SUBSTITUTE(INDEX('CASE MASTER'!$N$2:$N$495,(SUMPRODUCT((('CASE MASTER'!$T$2:$T$495=9)*('CASE MASTER'!$U$2:$U$495&lt;=2)*('CASE MASTER'!$W$2:$W$495&gt;=2)*('CASE MASTER'!$V$2:$V$495&lt;=8)*('CASE MASTER'!$X$2:$X$495&gt;=8))*ROW('CASE MASTER'!$T$2:$T$495))-(ROW('CASE MASTER'!#REF!)-1))),":",","),",",REPT(" ",50)),((((2-INDEX('CASE MASTER'!$U$2:$U$495,(SUMPRODUCT((('CASE MASTER'!$T$2:$T$495=9)*('CASE MASTER'!$U$2:$U$495&lt;=2)*('CASE MASTER'!$W$2:$W$495&gt;=2)*('CASE MASTER'!$V$2:$V$495&lt;=8)*('CASE MASTER'!$X$2:$X$495&gt;=8))*ROW('CASE MASTER'!$T$2:$T$495))-(ROW('CASE MASTER'!#REF!)-1))))*(INDEX('CASE MASTER'!$X$2:$X$495,(SUMPRODUCT((('CASE MASTER'!$T$2:$T$495=9)*('CASE MASTER'!$U$2:$U$495&lt;=2)*('CASE MASTER'!$W$2:$W$495&gt;=2)*('CASE MASTER'!$V$2:$V$495&lt;=8)*('CASE MASTER'!$X$2:$X$495&gt;=8))*ROW('CASE MASTER'!$T$2:$T$495))-(ROW('CASE MASTER'!#REF!)-1)))-INDEX('CASE MASTER'!$V$2:$V$495,(SUMPRODUCT((('CASE MASTER'!$T$2:$T$495=9)*('CASE MASTER'!$U$2:$U$495&lt;=2)*('CASE MASTER'!$W$2:$W$495&gt;=2)*('CASE MASTER'!$V$2:$V$495&lt;=8)*('CASE MASTER'!$X$2:$X$495&gt;=8))*ROW('CASE MASTER'!$T$2:$T$495))-(ROW('CASE MASTER'!#REF!)-1)))+1)+(8-INDEX('CASE MASTER'!$V$2:$V$495,(SUMPRODUCT((('CASE MASTER'!$T$2:$T$495=9)*('CASE MASTER'!$U$2:$U$495&lt;=2)*('CASE MASTER'!$W$2:$W$495&gt;=2)*('CASE MASTER'!$V$2:$V$495&lt;=8)*('CASE MASTER'!$X$2:$X$495&gt;=8))*ROW('CASE MASTER'!$T$2:$T$495))-(ROW('CASE MASTER'!#REF!)-1))))+1))-1)*50+1,50))&amp;"_"&amp;INDEX('CASE MASTER'!$Q$2:$Q$495,(SUMPRODUCT((('CASE MASTER'!$T$2:$T$495=9)*('CASE MASTER'!$U$2:$U$495&lt;=2)*('CASE MASTER'!$W$2:$W$495&gt;=2)*('CASE MASTER'!$V$2:$V$495&lt;=8)*('CASE MASTER'!$X$2:$X$495&gt;=8))*ROW('CASE MASTER'!$T$2:$T$495))-(ROW('CASE MASTER'!#REF!)-1))),IF(SUMPRODUCT((('CASE MASTER'!$T$2:$T$495=9)*('CASE MASTER'!$AA$2:$AA$495&lt;=2)*('CASE MASTER'!$AC$2:$AC$495&gt;=2)*('CASE MASTER'!$AB$2:$AB$495&lt;=8)*('CASE MASTER'!$AD$2:$AD$495&gt;=8))*ROW('CASE MASTER'!$T$2:$T$495))&gt;0,INDEX('CASE MASTER'!$Y$2:$Y$495,(SUMPRODUCT((('CASE MASTER'!$T$2:$T$495=9)*('CASE MASTER'!$AA$2:$AA$495&lt;=2)*('CASE MASTER'!$AC$2:$AC$495&gt;=2)*('CASE MASTER'!$AB$2:$AB$495&lt;=8)*('CASE MASTER'!$AD$2:$AD$495&gt;=8))*ROW('CASE MASTER'!$T$2:$T$495))-(ROW('CASE MASTER'!#REF!)-1)))&amp;TRIM(MID(SUBSTITUTE(SUBSTITUTE(INDEX('CASE MASTER'!$N$2:$N$495,(SUMPRODUCT((('CASE MASTER'!$T$2:$T$495=9)*('CASE MASTER'!$AA$2:$AA$495&lt;=2)*('CASE MASTER'!$AC$2:$AC$495&gt;=2)*('CASE MASTER'!$AB$2:$AB$495&lt;=8)*('CASE MASTER'!$AD$2:$AD$495&gt;=8))*ROW('CASE MASTER'!$T$2:$T$495))-(ROW('CASE MASTER'!#REF!)-1))),":",","),",",REPT(" ",50)),(((INDEX('CASE MASTER'!$Z$2:$Z$495,(SUMPRODUCT((('CASE MASTER'!$T$2:$T$495=9)*('CASE MASTER'!$AA$2:$AA$495&lt;=2)*('CASE MASTER'!$AC$2:$AC$495&gt;=2)*('CASE MASTER'!$AB$2:$AB$495&lt;=8)*('CASE MASTER'!$AD$2:$AD$495&gt;=8))*ROW('CASE MASTER'!$T$2:$T$495))-(ROW('CASE MASTER'!#REF!)-1)))+((2-INDEX('CASE MASTER'!$AA$2:$AA$495,(SUMPRODUCT((('CASE MASTER'!$T$2:$T$495=9)*('CASE MASTER'!$AA$2:$AA$495&lt;=2)*('CASE MASTER'!$AC$2:$AC$495&gt;=2)*('CASE MASTER'!$AB$2:$AB$495&lt;=8)*('CASE MASTER'!$AD$2:$AD$495&gt;=8))*ROW('CASE MASTER'!$T$2:$T$495))-(ROW('CASE MASTER'!#REF!)-1))))*(INDEX('CASE MASTER'!$AD$2:$AD$495,(SUMPRODUCT((('CASE MASTER'!$T$2:$T$495=9)*('CASE MASTER'!$AA$2:$AA$495&lt;=2)*('CASE MASTER'!$AC$2:$AC$495&gt;=2)*('CASE MASTER'!$AB$2:$AB$495&lt;=8)*('CASE MASTER'!$AD$2:$AD$495&gt;=8))*ROW('CASE MASTER'!$T$2:$T$495))-(ROW('CASE MASTER'!#REF!)-1)))-INDEX('CASE MASTER'!$AB$2:$AB$495,(SUMPRODUCT((('CASE MASTER'!$T$2:$T$495=9)*('CASE MASTER'!$AA$2:$AA$495&lt;=2)*('CASE MASTER'!$AC$2:$AC$495&gt;=2)*('CASE MASTER'!$AB$2:$AB$495&lt;=8)*('CASE MASTER'!$AD$2:$AD$495&gt;=8))*ROW('CASE MASTER'!$T$2:$T$495))-(ROW('CASE MASTER'!#REF!)-1)))+1)+(8-INDEX('CASE MASTER'!$AB$2:$AB$495,(SUMPRODUCT((('CASE MASTER'!$T$2:$T$495=9)*('CASE MASTER'!$AA$2:$AA$495&lt;=2)*('CASE MASTER'!$AC$2:$AC$495&gt;=2)*('CASE MASTER'!$AB$2:$AB$495&lt;=8)*('CASE MASTER'!$AD$2:$AD$495&gt;=8))*ROW('CASE MASTER'!$T$2:$T$495))-(ROW('CASE MASTER'!#REF!)-1))))+1)))-1)*50+1,50))&amp;"_"&amp;INDEX('CASE MASTER'!$Q$2:$Q$495,(SUMPRODUCT((('CASE MASTER'!$T$2:$T$495=9)*('CASE MASTER'!$AA$2:$AA$495&lt;=2)*('CASE MASTER'!$AC$2:$AC$495&gt;=2)*('CASE MASTER'!$AB$2:$AB$495&lt;=8)*('CASE MASTER'!$AD$2:$AD$495&gt;=8))*ROW('CASE MASTER'!$T$2:$T$495))-(ROW('CASE MASTER'!#REF!)-1))),"")),"")</f>
        <v/>
      </c>
      <c r="J116" s="10" t="str">
        <f>IFERROR(IF(SUMPRODUCT((('CASE MASTER'!$T$2:$T$495=9)*('CASE MASTER'!$U$2:$U$495&lt;=2)*('CASE MASTER'!$W$2:$W$495&gt;=2)*('CASE MASTER'!$V$2:$V$495&lt;=9)*('CASE MASTER'!$X$2:$X$495&gt;=9))*ROW('CASE MASTER'!$T$2:$T$495))&gt;0,INDEX('CASE MASTER'!$Y$2:$Y$495,(SUMPRODUCT((('CASE MASTER'!$T$2:$T$495=9)*('CASE MASTER'!$U$2:$U$495&lt;=2)*('CASE MASTER'!$W$2:$W$495&gt;=2)*('CASE MASTER'!$V$2:$V$495&lt;=9)*('CASE MASTER'!$X$2:$X$495&gt;=9))*ROW('CASE MASTER'!$T$2:$T$495))-(ROW('CASE MASTER'!#REF!)-1)))&amp;TRIM(MID(SUBSTITUTE(SUBSTITUTE(INDEX('CASE MASTER'!$N$2:$N$495,(SUMPRODUCT((('CASE MASTER'!$T$2:$T$495=9)*('CASE MASTER'!$U$2:$U$495&lt;=2)*('CASE MASTER'!$W$2:$W$495&gt;=2)*('CASE MASTER'!$V$2:$V$495&lt;=9)*('CASE MASTER'!$X$2:$X$495&gt;=9))*ROW('CASE MASTER'!$T$2:$T$495))-(ROW('CASE MASTER'!#REF!)-1))),":",","),",",REPT(" ",50)),((((2-INDEX('CASE MASTER'!$U$2:$U$495,(SUMPRODUCT((('CASE MASTER'!$T$2:$T$495=9)*('CASE MASTER'!$U$2:$U$495&lt;=2)*('CASE MASTER'!$W$2:$W$495&gt;=2)*('CASE MASTER'!$V$2:$V$495&lt;=9)*('CASE MASTER'!$X$2:$X$495&gt;=9))*ROW('CASE MASTER'!$T$2:$T$495))-(ROW('CASE MASTER'!#REF!)-1))))*(INDEX('CASE MASTER'!$X$2:$X$495,(SUMPRODUCT((('CASE MASTER'!$T$2:$T$495=9)*('CASE MASTER'!$U$2:$U$495&lt;=2)*('CASE MASTER'!$W$2:$W$495&gt;=2)*('CASE MASTER'!$V$2:$V$495&lt;=9)*('CASE MASTER'!$X$2:$X$495&gt;=9))*ROW('CASE MASTER'!$T$2:$T$495))-(ROW('CASE MASTER'!#REF!)-1)))-INDEX('CASE MASTER'!$V$2:$V$495,(SUMPRODUCT((('CASE MASTER'!$T$2:$T$495=9)*('CASE MASTER'!$U$2:$U$495&lt;=2)*('CASE MASTER'!$W$2:$W$495&gt;=2)*('CASE MASTER'!$V$2:$V$495&lt;=9)*('CASE MASTER'!$X$2:$X$495&gt;=9))*ROW('CASE MASTER'!$T$2:$T$495))-(ROW('CASE MASTER'!#REF!)-1)))+1)+(9-INDEX('CASE MASTER'!$V$2:$V$495,(SUMPRODUCT((('CASE MASTER'!$T$2:$T$495=9)*('CASE MASTER'!$U$2:$U$495&lt;=2)*('CASE MASTER'!$W$2:$W$495&gt;=2)*('CASE MASTER'!$V$2:$V$495&lt;=9)*('CASE MASTER'!$X$2:$X$495&gt;=9))*ROW('CASE MASTER'!$T$2:$T$495))-(ROW('CASE MASTER'!#REF!)-1))))+1))-1)*50+1,50))&amp;"_"&amp;INDEX('CASE MASTER'!$Q$2:$Q$495,(SUMPRODUCT((('CASE MASTER'!$T$2:$T$495=9)*('CASE MASTER'!$U$2:$U$495&lt;=2)*('CASE MASTER'!$W$2:$W$495&gt;=2)*('CASE MASTER'!$V$2:$V$495&lt;=9)*('CASE MASTER'!$X$2:$X$495&gt;=9))*ROW('CASE MASTER'!$T$2:$T$495))-(ROW('CASE MASTER'!#REF!)-1))),IF(SUMPRODUCT((('CASE MASTER'!$T$2:$T$495=9)*('CASE MASTER'!$AA$2:$AA$495&lt;=2)*('CASE MASTER'!$AC$2:$AC$495&gt;=2)*('CASE MASTER'!$AB$2:$AB$495&lt;=9)*('CASE MASTER'!$AD$2:$AD$495&gt;=9))*ROW('CASE MASTER'!$T$2:$T$495))&gt;0,INDEX('CASE MASTER'!$Y$2:$Y$495,(SUMPRODUCT((('CASE MASTER'!$T$2:$T$495=9)*('CASE MASTER'!$AA$2:$AA$495&lt;=2)*('CASE MASTER'!$AC$2:$AC$495&gt;=2)*('CASE MASTER'!$AB$2:$AB$495&lt;=9)*('CASE MASTER'!$AD$2:$AD$495&gt;=9))*ROW('CASE MASTER'!$T$2:$T$495))-(ROW('CASE MASTER'!#REF!)-1)))&amp;TRIM(MID(SUBSTITUTE(SUBSTITUTE(INDEX('CASE MASTER'!$N$2:$N$495,(SUMPRODUCT((('CASE MASTER'!$T$2:$T$495=9)*('CASE MASTER'!$AA$2:$AA$495&lt;=2)*('CASE MASTER'!$AC$2:$AC$495&gt;=2)*('CASE MASTER'!$AB$2:$AB$495&lt;=9)*('CASE MASTER'!$AD$2:$AD$495&gt;=9))*ROW('CASE MASTER'!$T$2:$T$495))-(ROW('CASE MASTER'!#REF!)-1))),":",","),",",REPT(" ",50)),(((INDEX('CASE MASTER'!$Z$2:$Z$495,(SUMPRODUCT((('CASE MASTER'!$T$2:$T$495=9)*('CASE MASTER'!$AA$2:$AA$495&lt;=2)*('CASE MASTER'!$AC$2:$AC$495&gt;=2)*('CASE MASTER'!$AB$2:$AB$495&lt;=9)*('CASE MASTER'!$AD$2:$AD$495&gt;=9))*ROW('CASE MASTER'!$T$2:$T$495))-(ROW('CASE MASTER'!#REF!)-1)))+((2-INDEX('CASE MASTER'!$AA$2:$AA$495,(SUMPRODUCT((('CASE MASTER'!$T$2:$T$495=9)*('CASE MASTER'!$AA$2:$AA$495&lt;=2)*('CASE MASTER'!$AC$2:$AC$495&gt;=2)*('CASE MASTER'!$AB$2:$AB$495&lt;=9)*('CASE MASTER'!$AD$2:$AD$495&gt;=9))*ROW('CASE MASTER'!$T$2:$T$495))-(ROW('CASE MASTER'!#REF!)-1))))*(INDEX('CASE MASTER'!$AD$2:$AD$495,(SUMPRODUCT((('CASE MASTER'!$T$2:$T$495=9)*('CASE MASTER'!$AA$2:$AA$495&lt;=2)*('CASE MASTER'!$AC$2:$AC$495&gt;=2)*('CASE MASTER'!$AB$2:$AB$495&lt;=9)*('CASE MASTER'!$AD$2:$AD$495&gt;=9))*ROW('CASE MASTER'!$T$2:$T$495))-(ROW('CASE MASTER'!#REF!)-1)))-INDEX('CASE MASTER'!$AB$2:$AB$495,(SUMPRODUCT((('CASE MASTER'!$T$2:$T$495=9)*('CASE MASTER'!$AA$2:$AA$495&lt;=2)*('CASE MASTER'!$AC$2:$AC$495&gt;=2)*('CASE MASTER'!$AB$2:$AB$495&lt;=9)*('CASE MASTER'!$AD$2:$AD$495&gt;=9))*ROW('CASE MASTER'!$T$2:$T$495))-(ROW('CASE MASTER'!#REF!)-1)))+1)+(9-INDEX('CASE MASTER'!$AB$2:$AB$495,(SUMPRODUCT((('CASE MASTER'!$T$2:$T$495=9)*('CASE MASTER'!$AA$2:$AA$495&lt;=2)*('CASE MASTER'!$AC$2:$AC$495&gt;=2)*('CASE MASTER'!$AB$2:$AB$495&lt;=9)*('CASE MASTER'!$AD$2:$AD$495&gt;=9))*ROW('CASE MASTER'!$T$2:$T$495))-(ROW('CASE MASTER'!#REF!)-1))))+1)))-1)*50+1,50))&amp;"_"&amp;INDEX('CASE MASTER'!$Q$2:$Q$495,(SUMPRODUCT((('CASE MASTER'!$T$2:$T$495=9)*('CASE MASTER'!$AA$2:$AA$495&lt;=2)*('CASE MASTER'!$AC$2:$AC$495&gt;=2)*('CASE MASTER'!$AB$2:$AB$495&lt;=9)*('CASE MASTER'!$AD$2:$AD$495&gt;=9))*ROW('CASE MASTER'!$T$2:$T$495))-(ROW('CASE MASTER'!#REF!)-1))),"")),"")</f>
        <v/>
      </c>
      <c r="K116" s="10" t="str">
        <f>IFERROR(IF(SUMPRODUCT((('CASE MASTER'!$T$2:$T$495=9)*('CASE MASTER'!$U$2:$U$495&lt;=2)*('CASE MASTER'!$W$2:$W$495&gt;=2)*('CASE MASTER'!$V$2:$V$495&lt;=10)*('CASE MASTER'!$X$2:$X$495&gt;=10))*ROW('CASE MASTER'!$T$2:$T$495))&gt;0,INDEX('CASE MASTER'!$Y$2:$Y$495,(SUMPRODUCT((('CASE MASTER'!$T$2:$T$495=9)*('CASE MASTER'!$U$2:$U$495&lt;=2)*('CASE MASTER'!$W$2:$W$495&gt;=2)*('CASE MASTER'!$V$2:$V$495&lt;=10)*('CASE MASTER'!$X$2:$X$495&gt;=10))*ROW('CASE MASTER'!$T$2:$T$495))-(ROW('CASE MASTER'!#REF!)-1)))&amp;TRIM(MID(SUBSTITUTE(SUBSTITUTE(INDEX('CASE MASTER'!$N$2:$N$495,(SUMPRODUCT((('CASE MASTER'!$T$2:$T$495=9)*('CASE MASTER'!$U$2:$U$495&lt;=2)*('CASE MASTER'!$W$2:$W$495&gt;=2)*('CASE MASTER'!$V$2:$V$495&lt;=10)*('CASE MASTER'!$X$2:$X$495&gt;=10))*ROW('CASE MASTER'!$T$2:$T$495))-(ROW('CASE MASTER'!#REF!)-1))),":",","),",",REPT(" ",50)),((((2-INDEX('CASE MASTER'!$U$2:$U$495,(SUMPRODUCT((('CASE MASTER'!$T$2:$T$495=9)*('CASE MASTER'!$U$2:$U$495&lt;=2)*('CASE MASTER'!$W$2:$W$495&gt;=2)*('CASE MASTER'!$V$2:$V$495&lt;=10)*('CASE MASTER'!$X$2:$X$495&gt;=10))*ROW('CASE MASTER'!$T$2:$T$495))-(ROW('CASE MASTER'!#REF!)-1))))*(INDEX('CASE MASTER'!$X$2:$X$495,(SUMPRODUCT((('CASE MASTER'!$T$2:$T$495=9)*('CASE MASTER'!$U$2:$U$495&lt;=2)*('CASE MASTER'!$W$2:$W$495&gt;=2)*('CASE MASTER'!$V$2:$V$495&lt;=10)*('CASE MASTER'!$X$2:$X$495&gt;=10))*ROW('CASE MASTER'!$T$2:$T$495))-(ROW('CASE MASTER'!#REF!)-1)))-INDEX('CASE MASTER'!$V$2:$V$495,(SUMPRODUCT((('CASE MASTER'!$T$2:$T$495=9)*('CASE MASTER'!$U$2:$U$495&lt;=2)*('CASE MASTER'!$W$2:$W$495&gt;=2)*('CASE MASTER'!$V$2:$V$495&lt;=10)*('CASE MASTER'!$X$2:$X$495&gt;=10))*ROW('CASE MASTER'!$T$2:$T$495))-(ROW('CASE MASTER'!#REF!)-1)))+1)+(10-INDEX('CASE MASTER'!$V$2:$V$495,(SUMPRODUCT((('CASE MASTER'!$T$2:$T$495=9)*('CASE MASTER'!$U$2:$U$495&lt;=2)*('CASE MASTER'!$W$2:$W$495&gt;=2)*('CASE MASTER'!$V$2:$V$495&lt;=10)*('CASE MASTER'!$X$2:$X$495&gt;=10))*ROW('CASE MASTER'!$T$2:$T$495))-(ROW('CASE MASTER'!#REF!)-1))))+1))-1)*50+1,50))&amp;"_"&amp;INDEX('CASE MASTER'!$Q$2:$Q$495,(SUMPRODUCT((('CASE MASTER'!$T$2:$T$495=9)*('CASE MASTER'!$U$2:$U$495&lt;=2)*('CASE MASTER'!$W$2:$W$495&gt;=2)*('CASE MASTER'!$V$2:$V$495&lt;=10)*('CASE MASTER'!$X$2:$X$495&gt;=10))*ROW('CASE MASTER'!$T$2:$T$495))-(ROW('CASE MASTER'!#REF!)-1))),IF(SUMPRODUCT((('CASE MASTER'!$T$2:$T$495=9)*('CASE MASTER'!$AA$2:$AA$495&lt;=2)*('CASE MASTER'!$AC$2:$AC$495&gt;=2)*('CASE MASTER'!$AB$2:$AB$495&lt;=10)*('CASE MASTER'!$AD$2:$AD$495&gt;=10))*ROW('CASE MASTER'!$T$2:$T$495))&gt;0,INDEX('CASE MASTER'!$Y$2:$Y$495,(SUMPRODUCT((('CASE MASTER'!$T$2:$T$495=9)*('CASE MASTER'!$AA$2:$AA$495&lt;=2)*('CASE MASTER'!$AC$2:$AC$495&gt;=2)*('CASE MASTER'!$AB$2:$AB$495&lt;=10)*('CASE MASTER'!$AD$2:$AD$495&gt;=10))*ROW('CASE MASTER'!$T$2:$T$495))-(ROW('CASE MASTER'!#REF!)-1)))&amp;TRIM(MID(SUBSTITUTE(SUBSTITUTE(INDEX('CASE MASTER'!$N$2:$N$495,(SUMPRODUCT((('CASE MASTER'!$T$2:$T$495=9)*('CASE MASTER'!$AA$2:$AA$495&lt;=2)*('CASE MASTER'!$AC$2:$AC$495&gt;=2)*('CASE MASTER'!$AB$2:$AB$495&lt;=10)*('CASE MASTER'!$AD$2:$AD$495&gt;=10))*ROW('CASE MASTER'!$T$2:$T$495))-(ROW('CASE MASTER'!#REF!)-1))),":",","),",",REPT(" ",50)),(((INDEX('CASE MASTER'!$Z$2:$Z$495,(SUMPRODUCT((('CASE MASTER'!$T$2:$T$495=9)*('CASE MASTER'!$AA$2:$AA$495&lt;=2)*('CASE MASTER'!$AC$2:$AC$495&gt;=2)*('CASE MASTER'!$AB$2:$AB$495&lt;=10)*('CASE MASTER'!$AD$2:$AD$495&gt;=10))*ROW('CASE MASTER'!$T$2:$T$495))-(ROW('CASE MASTER'!#REF!)-1)))+((2-INDEX('CASE MASTER'!$AA$2:$AA$495,(SUMPRODUCT((('CASE MASTER'!$T$2:$T$495=9)*('CASE MASTER'!$AA$2:$AA$495&lt;=2)*('CASE MASTER'!$AC$2:$AC$495&gt;=2)*('CASE MASTER'!$AB$2:$AB$495&lt;=10)*('CASE MASTER'!$AD$2:$AD$495&gt;=10))*ROW('CASE MASTER'!$T$2:$T$495))-(ROW('CASE MASTER'!#REF!)-1))))*(INDEX('CASE MASTER'!$AD$2:$AD$495,(SUMPRODUCT((('CASE MASTER'!$T$2:$T$495=9)*('CASE MASTER'!$AA$2:$AA$495&lt;=2)*('CASE MASTER'!$AC$2:$AC$495&gt;=2)*('CASE MASTER'!$AB$2:$AB$495&lt;=10)*('CASE MASTER'!$AD$2:$AD$495&gt;=10))*ROW('CASE MASTER'!$T$2:$T$495))-(ROW('CASE MASTER'!#REF!)-1)))-INDEX('CASE MASTER'!$AB$2:$AB$495,(SUMPRODUCT((('CASE MASTER'!$T$2:$T$495=9)*('CASE MASTER'!$AA$2:$AA$495&lt;=2)*('CASE MASTER'!$AC$2:$AC$495&gt;=2)*('CASE MASTER'!$AB$2:$AB$495&lt;=10)*('CASE MASTER'!$AD$2:$AD$495&gt;=10))*ROW('CASE MASTER'!$T$2:$T$495))-(ROW('CASE MASTER'!#REF!)-1)))+1)+(10-INDEX('CASE MASTER'!$AB$2:$AB$495,(SUMPRODUCT((('CASE MASTER'!$T$2:$T$495=9)*('CASE MASTER'!$AA$2:$AA$495&lt;=2)*('CASE MASTER'!$AC$2:$AC$495&gt;=2)*('CASE MASTER'!$AB$2:$AB$495&lt;=10)*('CASE MASTER'!$AD$2:$AD$495&gt;=10))*ROW('CASE MASTER'!$T$2:$T$495))-(ROW('CASE MASTER'!#REF!)-1))))+1)))-1)*50+1,50))&amp;"_"&amp;INDEX('CASE MASTER'!$Q$2:$Q$495,(SUMPRODUCT((('CASE MASTER'!$T$2:$T$495=9)*('CASE MASTER'!$AA$2:$AA$495&lt;=2)*('CASE MASTER'!$AC$2:$AC$495&gt;=2)*('CASE MASTER'!$AB$2:$AB$495&lt;=10)*('CASE MASTER'!$AD$2:$AD$495&gt;=10))*ROW('CASE MASTER'!$T$2:$T$495))-(ROW('CASE MASTER'!#REF!)-1))),"")),"")</f>
        <v/>
      </c>
    </row>
    <row r="117" spans="1:11" ht="15" customHeight="1" x14ac:dyDescent="0.35">
      <c r="A117" s="8" t="s">
        <v>30</v>
      </c>
      <c r="B117" s="10" t="str">
        <f>IFERROR(IF(SUMPRODUCT((('CASE MASTER'!$T$2:$T$495=9)*('CASE MASTER'!$U$2:$U$495&lt;=3)*('CASE MASTER'!$W$2:$W$495&gt;=3)*('CASE MASTER'!$V$2:$V$495&lt;=1)*('CASE MASTER'!$X$2:$X$495&gt;=1))*ROW('CASE MASTER'!$T$2:$T$495))&gt;0,INDEX('CASE MASTER'!$Y$2:$Y$495,(SUMPRODUCT((('CASE MASTER'!$T$2:$T$495=9)*('CASE MASTER'!$U$2:$U$495&lt;=3)*('CASE MASTER'!$W$2:$W$495&gt;=3)*('CASE MASTER'!$V$2:$V$495&lt;=1)*('CASE MASTER'!$X$2:$X$495&gt;=1))*ROW('CASE MASTER'!$T$2:$T$495))-(ROW('CASE MASTER'!#REF!)-1)))&amp;TRIM(MID(SUBSTITUTE(SUBSTITUTE(INDEX('CASE MASTER'!$N$2:$N$495,(SUMPRODUCT((('CASE MASTER'!$T$2:$T$495=9)*('CASE MASTER'!$U$2:$U$495&lt;=3)*('CASE MASTER'!$W$2:$W$495&gt;=3)*('CASE MASTER'!$V$2:$V$495&lt;=1)*('CASE MASTER'!$X$2:$X$495&gt;=1))*ROW('CASE MASTER'!$T$2:$T$495))-(ROW('CASE MASTER'!#REF!)-1))),":",","),",",REPT(" ",50)),((((3-INDEX('CASE MASTER'!$U$2:$U$495,(SUMPRODUCT((('CASE MASTER'!$T$2:$T$495=9)*('CASE MASTER'!$U$2:$U$495&lt;=3)*('CASE MASTER'!$W$2:$W$495&gt;=3)*('CASE MASTER'!$V$2:$V$495&lt;=1)*('CASE MASTER'!$X$2:$X$495&gt;=1))*ROW('CASE MASTER'!$T$2:$T$495))-(ROW('CASE MASTER'!#REF!)-1))))*(INDEX('CASE MASTER'!$X$2:$X$495,(SUMPRODUCT((('CASE MASTER'!$T$2:$T$495=9)*('CASE MASTER'!$U$2:$U$495&lt;=3)*('CASE MASTER'!$W$2:$W$495&gt;=3)*('CASE MASTER'!$V$2:$V$495&lt;=1)*('CASE MASTER'!$X$2:$X$495&gt;=1))*ROW('CASE MASTER'!$T$2:$T$495))-(ROW('CASE MASTER'!#REF!)-1)))-INDEX('CASE MASTER'!$V$2:$V$495,(SUMPRODUCT((('CASE MASTER'!$T$2:$T$495=9)*('CASE MASTER'!$U$2:$U$495&lt;=3)*('CASE MASTER'!$W$2:$W$495&gt;=3)*('CASE MASTER'!$V$2:$V$495&lt;=1)*('CASE MASTER'!$X$2:$X$495&gt;=1))*ROW('CASE MASTER'!$T$2:$T$495))-(ROW('CASE MASTER'!#REF!)-1)))+1)+(1-INDEX('CASE MASTER'!$V$2:$V$495,(SUMPRODUCT((('CASE MASTER'!$T$2:$T$495=9)*('CASE MASTER'!$U$2:$U$495&lt;=3)*('CASE MASTER'!$W$2:$W$495&gt;=3)*('CASE MASTER'!$V$2:$V$495&lt;=1)*('CASE MASTER'!$X$2:$X$495&gt;=1))*ROW('CASE MASTER'!$T$2:$T$495))-(ROW('CASE MASTER'!#REF!)-1))))+1))-1)*50+1,50))&amp;"_"&amp;INDEX('CASE MASTER'!$Q$2:$Q$495,(SUMPRODUCT((('CASE MASTER'!$T$2:$T$495=9)*('CASE MASTER'!$U$2:$U$495&lt;=3)*('CASE MASTER'!$W$2:$W$495&gt;=3)*('CASE MASTER'!$V$2:$V$495&lt;=1)*('CASE MASTER'!$X$2:$X$495&gt;=1))*ROW('CASE MASTER'!$T$2:$T$495))-(ROW('CASE MASTER'!#REF!)-1))),IF(SUMPRODUCT((('CASE MASTER'!$T$2:$T$495=9)*('CASE MASTER'!$AA$2:$AA$495&lt;=3)*('CASE MASTER'!$AC$2:$AC$495&gt;=3)*('CASE MASTER'!$AB$2:$AB$495&lt;=1)*('CASE MASTER'!$AD$2:$AD$495&gt;=1))*ROW('CASE MASTER'!$T$2:$T$495))&gt;0,INDEX('CASE MASTER'!$Y$2:$Y$495,(SUMPRODUCT((('CASE MASTER'!$T$2:$T$495=9)*('CASE MASTER'!$AA$2:$AA$495&lt;=3)*('CASE MASTER'!$AC$2:$AC$495&gt;=3)*('CASE MASTER'!$AB$2:$AB$495&lt;=1)*('CASE MASTER'!$AD$2:$AD$495&gt;=1))*ROW('CASE MASTER'!$T$2:$T$495))-(ROW('CASE MASTER'!#REF!)-1)))&amp;TRIM(MID(SUBSTITUTE(SUBSTITUTE(INDEX('CASE MASTER'!$N$2:$N$495,(SUMPRODUCT((('CASE MASTER'!$T$2:$T$495=9)*('CASE MASTER'!$AA$2:$AA$495&lt;=3)*('CASE MASTER'!$AC$2:$AC$495&gt;=3)*('CASE MASTER'!$AB$2:$AB$495&lt;=1)*('CASE MASTER'!$AD$2:$AD$495&gt;=1))*ROW('CASE MASTER'!$T$2:$T$495))-(ROW('CASE MASTER'!#REF!)-1))),":",","),",",REPT(" ",50)),(((INDEX('CASE MASTER'!$Z$2:$Z$495,(SUMPRODUCT((('CASE MASTER'!$T$2:$T$495=9)*('CASE MASTER'!$AA$2:$AA$495&lt;=3)*('CASE MASTER'!$AC$2:$AC$495&gt;=3)*('CASE MASTER'!$AB$2:$AB$495&lt;=1)*('CASE MASTER'!$AD$2:$AD$495&gt;=1))*ROW('CASE MASTER'!$T$2:$T$495))-(ROW('CASE MASTER'!#REF!)-1)))+((3-INDEX('CASE MASTER'!$AA$2:$AA$495,(SUMPRODUCT((('CASE MASTER'!$T$2:$T$495=9)*('CASE MASTER'!$AA$2:$AA$495&lt;=3)*('CASE MASTER'!$AC$2:$AC$495&gt;=3)*('CASE MASTER'!$AB$2:$AB$495&lt;=1)*('CASE MASTER'!$AD$2:$AD$495&gt;=1))*ROW('CASE MASTER'!$T$2:$T$495))-(ROW('CASE MASTER'!#REF!)-1))))*(INDEX('CASE MASTER'!$AD$2:$AD$495,(SUMPRODUCT((('CASE MASTER'!$T$2:$T$495=9)*('CASE MASTER'!$AA$2:$AA$495&lt;=3)*('CASE MASTER'!$AC$2:$AC$495&gt;=3)*('CASE MASTER'!$AB$2:$AB$495&lt;=1)*('CASE MASTER'!$AD$2:$AD$495&gt;=1))*ROW('CASE MASTER'!$T$2:$T$495))-(ROW('CASE MASTER'!#REF!)-1)))-INDEX('CASE MASTER'!$AB$2:$AB$495,(SUMPRODUCT((('CASE MASTER'!$T$2:$T$495=9)*('CASE MASTER'!$AA$2:$AA$495&lt;=3)*('CASE MASTER'!$AC$2:$AC$495&gt;=3)*('CASE MASTER'!$AB$2:$AB$495&lt;=1)*('CASE MASTER'!$AD$2:$AD$495&gt;=1))*ROW('CASE MASTER'!$T$2:$T$495))-(ROW('CASE MASTER'!#REF!)-1)))+1)+(1-INDEX('CASE MASTER'!$AB$2:$AB$495,(SUMPRODUCT((('CASE MASTER'!$T$2:$T$495=9)*('CASE MASTER'!$AA$2:$AA$495&lt;=3)*('CASE MASTER'!$AC$2:$AC$495&gt;=3)*('CASE MASTER'!$AB$2:$AB$495&lt;=1)*('CASE MASTER'!$AD$2:$AD$495&gt;=1))*ROW('CASE MASTER'!$T$2:$T$495))-(ROW('CASE MASTER'!#REF!)-1))))+1)))-1)*50+1,50))&amp;"_"&amp;INDEX('CASE MASTER'!$Q$2:$Q$495,(SUMPRODUCT((('CASE MASTER'!$T$2:$T$495=9)*('CASE MASTER'!$AA$2:$AA$495&lt;=3)*('CASE MASTER'!$AC$2:$AC$495&gt;=3)*('CASE MASTER'!$AB$2:$AB$495&lt;=1)*('CASE MASTER'!$AD$2:$AD$495&gt;=1))*ROW('CASE MASTER'!$T$2:$T$495))-(ROW('CASE MASTER'!#REF!)-1))),"")),"")</f>
        <v/>
      </c>
      <c r="C117" s="10" t="str">
        <f>IFERROR(IF(SUMPRODUCT((('CASE MASTER'!$T$2:$T$495=9)*('CASE MASTER'!$U$2:$U$495&lt;=3)*('CASE MASTER'!$W$2:$W$495&gt;=3)*('CASE MASTER'!$V$2:$V$495&lt;=2)*('CASE MASTER'!$X$2:$X$495&gt;=2))*ROW('CASE MASTER'!$T$2:$T$495))&gt;0,INDEX('CASE MASTER'!$Y$2:$Y$495,(SUMPRODUCT((('CASE MASTER'!$T$2:$T$495=9)*('CASE MASTER'!$U$2:$U$495&lt;=3)*('CASE MASTER'!$W$2:$W$495&gt;=3)*('CASE MASTER'!$V$2:$V$495&lt;=2)*('CASE MASTER'!$X$2:$X$495&gt;=2))*ROW('CASE MASTER'!$T$2:$T$495))-(ROW('CASE MASTER'!#REF!)-1)))&amp;TRIM(MID(SUBSTITUTE(SUBSTITUTE(INDEX('CASE MASTER'!$N$2:$N$495,(SUMPRODUCT((('CASE MASTER'!$T$2:$T$495=9)*('CASE MASTER'!$U$2:$U$495&lt;=3)*('CASE MASTER'!$W$2:$W$495&gt;=3)*('CASE MASTER'!$V$2:$V$495&lt;=2)*('CASE MASTER'!$X$2:$X$495&gt;=2))*ROW('CASE MASTER'!$T$2:$T$495))-(ROW('CASE MASTER'!#REF!)-1))),":",","),",",REPT(" ",50)),((((3-INDEX('CASE MASTER'!$U$2:$U$495,(SUMPRODUCT((('CASE MASTER'!$T$2:$T$495=9)*('CASE MASTER'!$U$2:$U$495&lt;=3)*('CASE MASTER'!$W$2:$W$495&gt;=3)*('CASE MASTER'!$V$2:$V$495&lt;=2)*('CASE MASTER'!$X$2:$X$495&gt;=2))*ROW('CASE MASTER'!$T$2:$T$495))-(ROW('CASE MASTER'!#REF!)-1))))*(INDEX('CASE MASTER'!$X$2:$X$495,(SUMPRODUCT((('CASE MASTER'!$T$2:$T$495=9)*('CASE MASTER'!$U$2:$U$495&lt;=3)*('CASE MASTER'!$W$2:$W$495&gt;=3)*('CASE MASTER'!$V$2:$V$495&lt;=2)*('CASE MASTER'!$X$2:$X$495&gt;=2))*ROW('CASE MASTER'!$T$2:$T$495))-(ROW('CASE MASTER'!#REF!)-1)))-INDEX('CASE MASTER'!$V$2:$V$495,(SUMPRODUCT((('CASE MASTER'!$T$2:$T$495=9)*('CASE MASTER'!$U$2:$U$495&lt;=3)*('CASE MASTER'!$W$2:$W$495&gt;=3)*('CASE MASTER'!$V$2:$V$495&lt;=2)*('CASE MASTER'!$X$2:$X$495&gt;=2))*ROW('CASE MASTER'!$T$2:$T$495))-(ROW('CASE MASTER'!#REF!)-1)))+1)+(2-INDEX('CASE MASTER'!$V$2:$V$495,(SUMPRODUCT((('CASE MASTER'!$T$2:$T$495=9)*('CASE MASTER'!$U$2:$U$495&lt;=3)*('CASE MASTER'!$W$2:$W$495&gt;=3)*('CASE MASTER'!$V$2:$V$495&lt;=2)*('CASE MASTER'!$X$2:$X$495&gt;=2))*ROW('CASE MASTER'!$T$2:$T$495))-(ROW('CASE MASTER'!#REF!)-1))))+1))-1)*50+1,50))&amp;"_"&amp;INDEX('CASE MASTER'!$Q$2:$Q$495,(SUMPRODUCT((('CASE MASTER'!$T$2:$T$495=9)*('CASE MASTER'!$U$2:$U$495&lt;=3)*('CASE MASTER'!$W$2:$W$495&gt;=3)*('CASE MASTER'!$V$2:$V$495&lt;=2)*('CASE MASTER'!$X$2:$X$495&gt;=2))*ROW('CASE MASTER'!$T$2:$T$495))-(ROW('CASE MASTER'!#REF!)-1))),IF(SUMPRODUCT((('CASE MASTER'!$T$2:$T$495=9)*('CASE MASTER'!$AA$2:$AA$495&lt;=3)*('CASE MASTER'!$AC$2:$AC$495&gt;=3)*('CASE MASTER'!$AB$2:$AB$495&lt;=2)*('CASE MASTER'!$AD$2:$AD$495&gt;=2))*ROW('CASE MASTER'!$T$2:$T$495))&gt;0,INDEX('CASE MASTER'!$Y$2:$Y$495,(SUMPRODUCT((('CASE MASTER'!$T$2:$T$495=9)*('CASE MASTER'!$AA$2:$AA$495&lt;=3)*('CASE MASTER'!$AC$2:$AC$495&gt;=3)*('CASE MASTER'!$AB$2:$AB$495&lt;=2)*('CASE MASTER'!$AD$2:$AD$495&gt;=2))*ROW('CASE MASTER'!$T$2:$T$495))-(ROW('CASE MASTER'!#REF!)-1)))&amp;TRIM(MID(SUBSTITUTE(SUBSTITUTE(INDEX('CASE MASTER'!$N$2:$N$495,(SUMPRODUCT((('CASE MASTER'!$T$2:$T$495=9)*('CASE MASTER'!$AA$2:$AA$495&lt;=3)*('CASE MASTER'!$AC$2:$AC$495&gt;=3)*('CASE MASTER'!$AB$2:$AB$495&lt;=2)*('CASE MASTER'!$AD$2:$AD$495&gt;=2))*ROW('CASE MASTER'!$T$2:$T$495))-(ROW('CASE MASTER'!#REF!)-1))),":",","),",",REPT(" ",50)),(((INDEX('CASE MASTER'!$Z$2:$Z$495,(SUMPRODUCT((('CASE MASTER'!$T$2:$T$495=9)*('CASE MASTER'!$AA$2:$AA$495&lt;=3)*('CASE MASTER'!$AC$2:$AC$495&gt;=3)*('CASE MASTER'!$AB$2:$AB$495&lt;=2)*('CASE MASTER'!$AD$2:$AD$495&gt;=2))*ROW('CASE MASTER'!$T$2:$T$495))-(ROW('CASE MASTER'!#REF!)-1)))+((3-INDEX('CASE MASTER'!$AA$2:$AA$495,(SUMPRODUCT((('CASE MASTER'!$T$2:$T$495=9)*('CASE MASTER'!$AA$2:$AA$495&lt;=3)*('CASE MASTER'!$AC$2:$AC$495&gt;=3)*('CASE MASTER'!$AB$2:$AB$495&lt;=2)*('CASE MASTER'!$AD$2:$AD$495&gt;=2))*ROW('CASE MASTER'!$T$2:$T$495))-(ROW('CASE MASTER'!#REF!)-1))))*(INDEX('CASE MASTER'!$AD$2:$AD$495,(SUMPRODUCT((('CASE MASTER'!$T$2:$T$495=9)*('CASE MASTER'!$AA$2:$AA$495&lt;=3)*('CASE MASTER'!$AC$2:$AC$495&gt;=3)*('CASE MASTER'!$AB$2:$AB$495&lt;=2)*('CASE MASTER'!$AD$2:$AD$495&gt;=2))*ROW('CASE MASTER'!$T$2:$T$495))-(ROW('CASE MASTER'!#REF!)-1)))-INDEX('CASE MASTER'!$AB$2:$AB$495,(SUMPRODUCT((('CASE MASTER'!$T$2:$T$495=9)*('CASE MASTER'!$AA$2:$AA$495&lt;=3)*('CASE MASTER'!$AC$2:$AC$495&gt;=3)*('CASE MASTER'!$AB$2:$AB$495&lt;=2)*('CASE MASTER'!$AD$2:$AD$495&gt;=2))*ROW('CASE MASTER'!$T$2:$T$495))-(ROW('CASE MASTER'!#REF!)-1)))+1)+(2-INDEX('CASE MASTER'!$AB$2:$AB$495,(SUMPRODUCT((('CASE MASTER'!$T$2:$T$495=9)*('CASE MASTER'!$AA$2:$AA$495&lt;=3)*('CASE MASTER'!$AC$2:$AC$495&gt;=3)*('CASE MASTER'!$AB$2:$AB$495&lt;=2)*('CASE MASTER'!$AD$2:$AD$495&gt;=2))*ROW('CASE MASTER'!$T$2:$T$495))-(ROW('CASE MASTER'!#REF!)-1))))+1)))-1)*50+1,50))&amp;"_"&amp;INDEX('CASE MASTER'!$Q$2:$Q$495,(SUMPRODUCT((('CASE MASTER'!$T$2:$T$495=9)*('CASE MASTER'!$AA$2:$AA$495&lt;=3)*('CASE MASTER'!$AC$2:$AC$495&gt;=3)*('CASE MASTER'!$AB$2:$AB$495&lt;=2)*('CASE MASTER'!$AD$2:$AD$495&gt;=2))*ROW('CASE MASTER'!$T$2:$T$495))-(ROW('CASE MASTER'!#REF!)-1))),"")),"")</f>
        <v/>
      </c>
      <c r="D117" s="10" t="str">
        <f>IFERROR(IF(SUMPRODUCT((('CASE MASTER'!$T$2:$T$495=9)*('CASE MASTER'!$U$2:$U$495&lt;=3)*('CASE MASTER'!$W$2:$W$495&gt;=3)*('CASE MASTER'!$V$2:$V$495&lt;=3)*('CASE MASTER'!$X$2:$X$495&gt;=3))*ROW('CASE MASTER'!$T$2:$T$495))&gt;0,INDEX('CASE MASTER'!$Y$2:$Y$495,(SUMPRODUCT((('CASE MASTER'!$T$2:$T$495=9)*('CASE MASTER'!$U$2:$U$495&lt;=3)*('CASE MASTER'!$W$2:$W$495&gt;=3)*('CASE MASTER'!$V$2:$V$495&lt;=3)*('CASE MASTER'!$X$2:$X$495&gt;=3))*ROW('CASE MASTER'!$T$2:$T$495))-(ROW('CASE MASTER'!#REF!)-1)))&amp;TRIM(MID(SUBSTITUTE(SUBSTITUTE(INDEX('CASE MASTER'!$N$2:$N$495,(SUMPRODUCT((('CASE MASTER'!$T$2:$T$495=9)*('CASE MASTER'!$U$2:$U$495&lt;=3)*('CASE MASTER'!$W$2:$W$495&gt;=3)*('CASE MASTER'!$V$2:$V$495&lt;=3)*('CASE MASTER'!$X$2:$X$495&gt;=3))*ROW('CASE MASTER'!$T$2:$T$495))-(ROW('CASE MASTER'!#REF!)-1))),":",","),",",REPT(" ",50)),((((3-INDEX('CASE MASTER'!$U$2:$U$495,(SUMPRODUCT((('CASE MASTER'!$T$2:$T$495=9)*('CASE MASTER'!$U$2:$U$495&lt;=3)*('CASE MASTER'!$W$2:$W$495&gt;=3)*('CASE MASTER'!$V$2:$V$495&lt;=3)*('CASE MASTER'!$X$2:$X$495&gt;=3))*ROW('CASE MASTER'!$T$2:$T$495))-(ROW('CASE MASTER'!#REF!)-1))))*(INDEX('CASE MASTER'!$X$2:$X$495,(SUMPRODUCT((('CASE MASTER'!$T$2:$T$495=9)*('CASE MASTER'!$U$2:$U$495&lt;=3)*('CASE MASTER'!$W$2:$W$495&gt;=3)*('CASE MASTER'!$V$2:$V$495&lt;=3)*('CASE MASTER'!$X$2:$X$495&gt;=3))*ROW('CASE MASTER'!$T$2:$T$495))-(ROW('CASE MASTER'!#REF!)-1)))-INDEX('CASE MASTER'!$V$2:$V$495,(SUMPRODUCT((('CASE MASTER'!$T$2:$T$495=9)*('CASE MASTER'!$U$2:$U$495&lt;=3)*('CASE MASTER'!$W$2:$W$495&gt;=3)*('CASE MASTER'!$V$2:$V$495&lt;=3)*('CASE MASTER'!$X$2:$X$495&gt;=3))*ROW('CASE MASTER'!$T$2:$T$495))-(ROW('CASE MASTER'!#REF!)-1)))+1)+(3-INDEX('CASE MASTER'!$V$2:$V$495,(SUMPRODUCT((('CASE MASTER'!$T$2:$T$495=9)*('CASE MASTER'!$U$2:$U$495&lt;=3)*('CASE MASTER'!$W$2:$W$495&gt;=3)*('CASE MASTER'!$V$2:$V$495&lt;=3)*('CASE MASTER'!$X$2:$X$495&gt;=3))*ROW('CASE MASTER'!$T$2:$T$495))-(ROW('CASE MASTER'!#REF!)-1))))+1))-1)*50+1,50))&amp;"_"&amp;INDEX('CASE MASTER'!$Q$2:$Q$495,(SUMPRODUCT((('CASE MASTER'!$T$2:$T$495=9)*('CASE MASTER'!$U$2:$U$495&lt;=3)*('CASE MASTER'!$W$2:$W$495&gt;=3)*('CASE MASTER'!$V$2:$V$495&lt;=3)*('CASE MASTER'!$X$2:$X$495&gt;=3))*ROW('CASE MASTER'!$T$2:$T$495))-(ROW('CASE MASTER'!#REF!)-1))),IF(SUMPRODUCT((('CASE MASTER'!$T$2:$T$495=9)*('CASE MASTER'!$AA$2:$AA$495&lt;=3)*('CASE MASTER'!$AC$2:$AC$495&gt;=3)*('CASE MASTER'!$AB$2:$AB$495&lt;=3)*('CASE MASTER'!$AD$2:$AD$495&gt;=3))*ROW('CASE MASTER'!$T$2:$T$495))&gt;0,INDEX('CASE MASTER'!$Y$2:$Y$495,(SUMPRODUCT((('CASE MASTER'!$T$2:$T$495=9)*('CASE MASTER'!$AA$2:$AA$495&lt;=3)*('CASE MASTER'!$AC$2:$AC$495&gt;=3)*('CASE MASTER'!$AB$2:$AB$495&lt;=3)*('CASE MASTER'!$AD$2:$AD$495&gt;=3))*ROW('CASE MASTER'!$T$2:$T$495))-(ROW('CASE MASTER'!#REF!)-1)))&amp;TRIM(MID(SUBSTITUTE(SUBSTITUTE(INDEX('CASE MASTER'!$N$2:$N$495,(SUMPRODUCT((('CASE MASTER'!$T$2:$T$495=9)*('CASE MASTER'!$AA$2:$AA$495&lt;=3)*('CASE MASTER'!$AC$2:$AC$495&gt;=3)*('CASE MASTER'!$AB$2:$AB$495&lt;=3)*('CASE MASTER'!$AD$2:$AD$495&gt;=3))*ROW('CASE MASTER'!$T$2:$T$495))-(ROW('CASE MASTER'!#REF!)-1))),":",","),",",REPT(" ",50)),(((INDEX('CASE MASTER'!$Z$2:$Z$495,(SUMPRODUCT((('CASE MASTER'!$T$2:$T$495=9)*('CASE MASTER'!$AA$2:$AA$495&lt;=3)*('CASE MASTER'!$AC$2:$AC$495&gt;=3)*('CASE MASTER'!$AB$2:$AB$495&lt;=3)*('CASE MASTER'!$AD$2:$AD$495&gt;=3))*ROW('CASE MASTER'!$T$2:$T$495))-(ROW('CASE MASTER'!#REF!)-1)))+((3-INDEX('CASE MASTER'!$AA$2:$AA$495,(SUMPRODUCT((('CASE MASTER'!$T$2:$T$495=9)*('CASE MASTER'!$AA$2:$AA$495&lt;=3)*('CASE MASTER'!$AC$2:$AC$495&gt;=3)*('CASE MASTER'!$AB$2:$AB$495&lt;=3)*('CASE MASTER'!$AD$2:$AD$495&gt;=3))*ROW('CASE MASTER'!$T$2:$T$495))-(ROW('CASE MASTER'!#REF!)-1))))*(INDEX('CASE MASTER'!$AD$2:$AD$495,(SUMPRODUCT((('CASE MASTER'!$T$2:$T$495=9)*('CASE MASTER'!$AA$2:$AA$495&lt;=3)*('CASE MASTER'!$AC$2:$AC$495&gt;=3)*('CASE MASTER'!$AB$2:$AB$495&lt;=3)*('CASE MASTER'!$AD$2:$AD$495&gt;=3))*ROW('CASE MASTER'!$T$2:$T$495))-(ROW('CASE MASTER'!#REF!)-1)))-INDEX('CASE MASTER'!$AB$2:$AB$495,(SUMPRODUCT((('CASE MASTER'!$T$2:$T$495=9)*('CASE MASTER'!$AA$2:$AA$495&lt;=3)*('CASE MASTER'!$AC$2:$AC$495&gt;=3)*('CASE MASTER'!$AB$2:$AB$495&lt;=3)*('CASE MASTER'!$AD$2:$AD$495&gt;=3))*ROW('CASE MASTER'!$T$2:$T$495))-(ROW('CASE MASTER'!#REF!)-1)))+1)+(3-INDEX('CASE MASTER'!$AB$2:$AB$495,(SUMPRODUCT((('CASE MASTER'!$T$2:$T$495=9)*('CASE MASTER'!$AA$2:$AA$495&lt;=3)*('CASE MASTER'!$AC$2:$AC$495&gt;=3)*('CASE MASTER'!$AB$2:$AB$495&lt;=3)*('CASE MASTER'!$AD$2:$AD$495&gt;=3))*ROW('CASE MASTER'!$T$2:$T$495))-(ROW('CASE MASTER'!#REF!)-1))))+1)))-1)*50+1,50))&amp;"_"&amp;INDEX('CASE MASTER'!$Q$2:$Q$495,(SUMPRODUCT((('CASE MASTER'!$T$2:$T$495=9)*('CASE MASTER'!$AA$2:$AA$495&lt;=3)*('CASE MASTER'!$AC$2:$AC$495&gt;=3)*('CASE MASTER'!$AB$2:$AB$495&lt;=3)*('CASE MASTER'!$AD$2:$AD$495&gt;=3))*ROW('CASE MASTER'!$T$2:$T$495))-(ROW('CASE MASTER'!#REF!)-1))),"")),"")</f>
        <v/>
      </c>
      <c r="E117" s="10" t="str">
        <f>IFERROR(IF(SUMPRODUCT((('CASE MASTER'!$T$2:$T$495=9)*('CASE MASTER'!$U$2:$U$495&lt;=3)*('CASE MASTER'!$W$2:$W$495&gt;=3)*('CASE MASTER'!$V$2:$V$495&lt;=4)*('CASE MASTER'!$X$2:$X$495&gt;=4))*ROW('CASE MASTER'!$T$2:$T$495))&gt;0,INDEX('CASE MASTER'!$Y$2:$Y$495,(SUMPRODUCT((('CASE MASTER'!$T$2:$T$495=9)*('CASE MASTER'!$U$2:$U$495&lt;=3)*('CASE MASTER'!$W$2:$W$495&gt;=3)*('CASE MASTER'!$V$2:$V$495&lt;=4)*('CASE MASTER'!$X$2:$X$495&gt;=4))*ROW('CASE MASTER'!$T$2:$T$495))-(ROW('CASE MASTER'!#REF!)-1)))&amp;TRIM(MID(SUBSTITUTE(SUBSTITUTE(INDEX('CASE MASTER'!$N$2:$N$495,(SUMPRODUCT((('CASE MASTER'!$T$2:$T$495=9)*('CASE MASTER'!$U$2:$U$495&lt;=3)*('CASE MASTER'!$W$2:$W$495&gt;=3)*('CASE MASTER'!$V$2:$V$495&lt;=4)*('CASE MASTER'!$X$2:$X$495&gt;=4))*ROW('CASE MASTER'!$T$2:$T$495))-(ROW('CASE MASTER'!#REF!)-1))),":",","),",",REPT(" ",50)),((((3-INDEX('CASE MASTER'!$U$2:$U$495,(SUMPRODUCT((('CASE MASTER'!$T$2:$T$495=9)*('CASE MASTER'!$U$2:$U$495&lt;=3)*('CASE MASTER'!$W$2:$W$495&gt;=3)*('CASE MASTER'!$V$2:$V$495&lt;=4)*('CASE MASTER'!$X$2:$X$495&gt;=4))*ROW('CASE MASTER'!$T$2:$T$495))-(ROW('CASE MASTER'!#REF!)-1))))*(INDEX('CASE MASTER'!$X$2:$X$495,(SUMPRODUCT((('CASE MASTER'!$T$2:$T$495=9)*('CASE MASTER'!$U$2:$U$495&lt;=3)*('CASE MASTER'!$W$2:$W$495&gt;=3)*('CASE MASTER'!$V$2:$V$495&lt;=4)*('CASE MASTER'!$X$2:$X$495&gt;=4))*ROW('CASE MASTER'!$T$2:$T$495))-(ROW('CASE MASTER'!#REF!)-1)))-INDEX('CASE MASTER'!$V$2:$V$495,(SUMPRODUCT((('CASE MASTER'!$T$2:$T$495=9)*('CASE MASTER'!$U$2:$U$495&lt;=3)*('CASE MASTER'!$W$2:$W$495&gt;=3)*('CASE MASTER'!$V$2:$V$495&lt;=4)*('CASE MASTER'!$X$2:$X$495&gt;=4))*ROW('CASE MASTER'!$T$2:$T$495))-(ROW('CASE MASTER'!#REF!)-1)))+1)+(4-INDEX('CASE MASTER'!$V$2:$V$495,(SUMPRODUCT((('CASE MASTER'!$T$2:$T$495=9)*('CASE MASTER'!$U$2:$U$495&lt;=3)*('CASE MASTER'!$W$2:$W$495&gt;=3)*('CASE MASTER'!$V$2:$V$495&lt;=4)*('CASE MASTER'!$X$2:$X$495&gt;=4))*ROW('CASE MASTER'!$T$2:$T$495))-(ROW('CASE MASTER'!#REF!)-1))))+1))-1)*50+1,50))&amp;"_"&amp;INDEX('CASE MASTER'!$Q$2:$Q$495,(SUMPRODUCT((('CASE MASTER'!$T$2:$T$495=9)*('CASE MASTER'!$U$2:$U$495&lt;=3)*('CASE MASTER'!$W$2:$W$495&gt;=3)*('CASE MASTER'!$V$2:$V$495&lt;=4)*('CASE MASTER'!$X$2:$X$495&gt;=4))*ROW('CASE MASTER'!$T$2:$T$495))-(ROW('CASE MASTER'!#REF!)-1))),IF(SUMPRODUCT((('CASE MASTER'!$T$2:$T$495=9)*('CASE MASTER'!$AA$2:$AA$495&lt;=3)*('CASE MASTER'!$AC$2:$AC$495&gt;=3)*('CASE MASTER'!$AB$2:$AB$495&lt;=4)*('CASE MASTER'!$AD$2:$AD$495&gt;=4))*ROW('CASE MASTER'!$T$2:$T$495))&gt;0,INDEX('CASE MASTER'!$Y$2:$Y$495,(SUMPRODUCT((('CASE MASTER'!$T$2:$T$495=9)*('CASE MASTER'!$AA$2:$AA$495&lt;=3)*('CASE MASTER'!$AC$2:$AC$495&gt;=3)*('CASE MASTER'!$AB$2:$AB$495&lt;=4)*('CASE MASTER'!$AD$2:$AD$495&gt;=4))*ROW('CASE MASTER'!$T$2:$T$495))-(ROW('CASE MASTER'!#REF!)-1)))&amp;TRIM(MID(SUBSTITUTE(SUBSTITUTE(INDEX('CASE MASTER'!$N$2:$N$495,(SUMPRODUCT((('CASE MASTER'!$T$2:$T$495=9)*('CASE MASTER'!$AA$2:$AA$495&lt;=3)*('CASE MASTER'!$AC$2:$AC$495&gt;=3)*('CASE MASTER'!$AB$2:$AB$495&lt;=4)*('CASE MASTER'!$AD$2:$AD$495&gt;=4))*ROW('CASE MASTER'!$T$2:$T$495))-(ROW('CASE MASTER'!#REF!)-1))),":",","),",",REPT(" ",50)),(((INDEX('CASE MASTER'!$Z$2:$Z$495,(SUMPRODUCT((('CASE MASTER'!$T$2:$T$495=9)*('CASE MASTER'!$AA$2:$AA$495&lt;=3)*('CASE MASTER'!$AC$2:$AC$495&gt;=3)*('CASE MASTER'!$AB$2:$AB$495&lt;=4)*('CASE MASTER'!$AD$2:$AD$495&gt;=4))*ROW('CASE MASTER'!$T$2:$T$495))-(ROW('CASE MASTER'!#REF!)-1)))+((3-INDEX('CASE MASTER'!$AA$2:$AA$495,(SUMPRODUCT((('CASE MASTER'!$T$2:$T$495=9)*('CASE MASTER'!$AA$2:$AA$495&lt;=3)*('CASE MASTER'!$AC$2:$AC$495&gt;=3)*('CASE MASTER'!$AB$2:$AB$495&lt;=4)*('CASE MASTER'!$AD$2:$AD$495&gt;=4))*ROW('CASE MASTER'!$T$2:$T$495))-(ROW('CASE MASTER'!#REF!)-1))))*(INDEX('CASE MASTER'!$AD$2:$AD$495,(SUMPRODUCT((('CASE MASTER'!$T$2:$T$495=9)*('CASE MASTER'!$AA$2:$AA$495&lt;=3)*('CASE MASTER'!$AC$2:$AC$495&gt;=3)*('CASE MASTER'!$AB$2:$AB$495&lt;=4)*('CASE MASTER'!$AD$2:$AD$495&gt;=4))*ROW('CASE MASTER'!$T$2:$T$495))-(ROW('CASE MASTER'!#REF!)-1)))-INDEX('CASE MASTER'!$AB$2:$AB$495,(SUMPRODUCT((('CASE MASTER'!$T$2:$T$495=9)*('CASE MASTER'!$AA$2:$AA$495&lt;=3)*('CASE MASTER'!$AC$2:$AC$495&gt;=3)*('CASE MASTER'!$AB$2:$AB$495&lt;=4)*('CASE MASTER'!$AD$2:$AD$495&gt;=4))*ROW('CASE MASTER'!$T$2:$T$495))-(ROW('CASE MASTER'!#REF!)-1)))+1)+(4-INDEX('CASE MASTER'!$AB$2:$AB$495,(SUMPRODUCT((('CASE MASTER'!$T$2:$T$495=9)*('CASE MASTER'!$AA$2:$AA$495&lt;=3)*('CASE MASTER'!$AC$2:$AC$495&gt;=3)*('CASE MASTER'!$AB$2:$AB$495&lt;=4)*('CASE MASTER'!$AD$2:$AD$495&gt;=4))*ROW('CASE MASTER'!$T$2:$T$495))-(ROW('CASE MASTER'!#REF!)-1))))+1)))-1)*50+1,50))&amp;"_"&amp;INDEX('CASE MASTER'!$Q$2:$Q$495,(SUMPRODUCT((('CASE MASTER'!$T$2:$T$495=9)*('CASE MASTER'!$AA$2:$AA$495&lt;=3)*('CASE MASTER'!$AC$2:$AC$495&gt;=3)*('CASE MASTER'!$AB$2:$AB$495&lt;=4)*('CASE MASTER'!$AD$2:$AD$495&gt;=4))*ROW('CASE MASTER'!$T$2:$T$495))-(ROW('CASE MASTER'!#REF!)-1))),"")),"")</f>
        <v/>
      </c>
      <c r="F117" s="10" t="str">
        <f>IFERROR(IF(SUMPRODUCT((('CASE MASTER'!$T$2:$T$495=9)*('CASE MASTER'!$U$2:$U$495&lt;=3)*('CASE MASTER'!$W$2:$W$495&gt;=3)*('CASE MASTER'!$V$2:$V$495&lt;=5)*('CASE MASTER'!$X$2:$X$495&gt;=5))*ROW('CASE MASTER'!$T$2:$T$495))&gt;0,INDEX('CASE MASTER'!$Y$2:$Y$495,(SUMPRODUCT((('CASE MASTER'!$T$2:$T$495=9)*('CASE MASTER'!$U$2:$U$495&lt;=3)*('CASE MASTER'!$W$2:$W$495&gt;=3)*('CASE MASTER'!$V$2:$V$495&lt;=5)*('CASE MASTER'!$X$2:$X$495&gt;=5))*ROW('CASE MASTER'!$T$2:$T$495))-(ROW('CASE MASTER'!#REF!)-1)))&amp;TRIM(MID(SUBSTITUTE(SUBSTITUTE(INDEX('CASE MASTER'!$N$2:$N$495,(SUMPRODUCT((('CASE MASTER'!$T$2:$T$495=9)*('CASE MASTER'!$U$2:$U$495&lt;=3)*('CASE MASTER'!$W$2:$W$495&gt;=3)*('CASE MASTER'!$V$2:$V$495&lt;=5)*('CASE MASTER'!$X$2:$X$495&gt;=5))*ROW('CASE MASTER'!$T$2:$T$495))-(ROW('CASE MASTER'!#REF!)-1))),":",","),",",REPT(" ",50)),((((3-INDEX('CASE MASTER'!$U$2:$U$495,(SUMPRODUCT((('CASE MASTER'!$T$2:$T$495=9)*('CASE MASTER'!$U$2:$U$495&lt;=3)*('CASE MASTER'!$W$2:$W$495&gt;=3)*('CASE MASTER'!$V$2:$V$495&lt;=5)*('CASE MASTER'!$X$2:$X$495&gt;=5))*ROW('CASE MASTER'!$T$2:$T$495))-(ROW('CASE MASTER'!#REF!)-1))))*(INDEX('CASE MASTER'!$X$2:$X$495,(SUMPRODUCT((('CASE MASTER'!$T$2:$T$495=9)*('CASE MASTER'!$U$2:$U$495&lt;=3)*('CASE MASTER'!$W$2:$W$495&gt;=3)*('CASE MASTER'!$V$2:$V$495&lt;=5)*('CASE MASTER'!$X$2:$X$495&gt;=5))*ROW('CASE MASTER'!$T$2:$T$495))-(ROW('CASE MASTER'!#REF!)-1)))-INDEX('CASE MASTER'!$V$2:$V$495,(SUMPRODUCT((('CASE MASTER'!$T$2:$T$495=9)*('CASE MASTER'!$U$2:$U$495&lt;=3)*('CASE MASTER'!$W$2:$W$495&gt;=3)*('CASE MASTER'!$V$2:$V$495&lt;=5)*('CASE MASTER'!$X$2:$X$495&gt;=5))*ROW('CASE MASTER'!$T$2:$T$495))-(ROW('CASE MASTER'!#REF!)-1)))+1)+(5-INDEX('CASE MASTER'!$V$2:$V$495,(SUMPRODUCT((('CASE MASTER'!$T$2:$T$495=9)*('CASE MASTER'!$U$2:$U$495&lt;=3)*('CASE MASTER'!$W$2:$W$495&gt;=3)*('CASE MASTER'!$V$2:$V$495&lt;=5)*('CASE MASTER'!$X$2:$X$495&gt;=5))*ROW('CASE MASTER'!$T$2:$T$495))-(ROW('CASE MASTER'!#REF!)-1))))+1))-1)*50+1,50))&amp;"_"&amp;INDEX('CASE MASTER'!$Q$2:$Q$495,(SUMPRODUCT((('CASE MASTER'!$T$2:$T$495=9)*('CASE MASTER'!$U$2:$U$495&lt;=3)*('CASE MASTER'!$W$2:$W$495&gt;=3)*('CASE MASTER'!$V$2:$V$495&lt;=5)*('CASE MASTER'!$X$2:$X$495&gt;=5))*ROW('CASE MASTER'!$T$2:$T$495))-(ROW('CASE MASTER'!#REF!)-1))),IF(SUMPRODUCT((('CASE MASTER'!$T$2:$T$495=9)*('CASE MASTER'!$AA$2:$AA$495&lt;=3)*('CASE MASTER'!$AC$2:$AC$495&gt;=3)*('CASE MASTER'!$AB$2:$AB$495&lt;=5)*('CASE MASTER'!$AD$2:$AD$495&gt;=5))*ROW('CASE MASTER'!$T$2:$T$495))&gt;0,INDEX('CASE MASTER'!$Y$2:$Y$495,(SUMPRODUCT((('CASE MASTER'!$T$2:$T$495=9)*('CASE MASTER'!$AA$2:$AA$495&lt;=3)*('CASE MASTER'!$AC$2:$AC$495&gt;=3)*('CASE MASTER'!$AB$2:$AB$495&lt;=5)*('CASE MASTER'!$AD$2:$AD$495&gt;=5))*ROW('CASE MASTER'!$T$2:$T$495))-(ROW('CASE MASTER'!#REF!)-1)))&amp;TRIM(MID(SUBSTITUTE(SUBSTITUTE(INDEX('CASE MASTER'!$N$2:$N$495,(SUMPRODUCT((('CASE MASTER'!$T$2:$T$495=9)*('CASE MASTER'!$AA$2:$AA$495&lt;=3)*('CASE MASTER'!$AC$2:$AC$495&gt;=3)*('CASE MASTER'!$AB$2:$AB$495&lt;=5)*('CASE MASTER'!$AD$2:$AD$495&gt;=5))*ROW('CASE MASTER'!$T$2:$T$495))-(ROW('CASE MASTER'!#REF!)-1))),":",","),",",REPT(" ",50)),(((INDEX('CASE MASTER'!$Z$2:$Z$495,(SUMPRODUCT((('CASE MASTER'!$T$2:$T$495=9)*('CASE MASTER'!$AA$2:$AA$495&lt;=3)*('CASE MASTER'!$AC$2:$AC$495&gt;=3)*('CASE MASTER'!$AB$2:$AB$495&lt;=5)*('CASE MASTER'!$AD$2:$AD$495&gt;=5))*ROW('CASE MASTER'!$T$2:$T$495))-(ROW('CASE MASTER'!#REF!)-1)))+((3-INDEX('CASE MASTER'!$AA$2:$AA$495,(SUMPRODUCT((('CASE MASTER'!$T$2:$T$495=9)*('CASE MASTER'!$AA$2:$AA$495&lt;=3)*('CASE MASTER'!$AC$2:$AC$495&gt;=3)*('CASE MASTER'!$AB$2:$AB$495&lt;=5)*('CASE MASTER'!$AD$2:$AD$495&gt;=5))*ROW('CASE MASTER'!$T$2:$T$495))-(ROW('CASE MASTER'!#REF!)-1))))*(INDEX('CASE MASTER'!$AD$2:$AD$495,(SUMPRODUCT((('CASE MASTER'!$T$2:$T$495=9)*('CASE MASTER'!$AA$2:$AA$495&lt;=3)*('CASE MASTER'!$AC$2:$AC$495&gt;=3)*('CASE MASTER'!$AB$2:$AB$495&lt;=5)*('CASE MASTER'!$AD$2:$AD$495&gt;=5))*ROW('CASE MASTER'!$T$2:$T$495))-(ROW('CASE MASTER'!#REF!)-1)))-INDEX('CASE MASTER'!$AB$2:$AB$495,(SUMPRODUCT((('CASE MASTER'!$T$2:$T$495=9)*('CASE MASTER'!$AA$2:$AA$495&lt;=3)*('CASE MASTER'!$AC$2:$AC$495&gt;=3)*('CASE MASTER'!$AB$2:$AB$495&lt;=5)*('CASE MASTER'!$AD$2:$AD$495&gt;=5))*ROW('CASE MASTER'!$T$2:$T$495))-(ROW('CASE MASTER'!#REF!)-1)))+1)+(5-INDEX('CASE MASTER'!$AB$2:$AB$495,(SUMPRODUCT((('CASE MASTER'!$T$2:$T$495=9)*('CASE MASTER'!$AA$2:$AA$495&lt;=3)*('CASE MASTER'!$AC$2:$AC$495&gt;=3)*('CASE MASTER'!$AB$2:$AB$495&lt;=5)*('CASE MASTER'!$AD$2:$AD$495&gt;=5))*ROW('CASE MASTER'!$T$2:$T$495))-(ROW('CASE MASTER'!#REF!)-1))))+1)))-1)*50+1,50))&amp;"_"&amp;INDEX('CASE MASTER'!$Q$2:$Q$495,(SUMPRODUCT((('CASE MASTER'!$T$2:$T$495=9)*('CASE MASTER'!$AA$2:$AA$495&lt;=3)*('CASE MASTER'!$AC$2:$AC$495&gt;=3)*('CASE MASTER'!$AB$2:$AB$495&lt;=5)*('CASE MASTER'!$AD$2:$AD$495&gt;=5))*ROW('CASE MASTER'!$T$2:$T$495))-(ROW('CASE MASTER'!#REF!)-1))),"")),"")</f>
        <v/>
      </c>
      <c r="G117" s="10" t="str">
        <f>IFERROR(IF(SUMPRODUCT((('CASE MASTER'!$T$2:$T$495=9)*('CASE MASTER'!$U$2:$U$495&lt;=3)*('CASE MASTER'!$W$2:$W$495&gt;=3)*('CASE MASTER'!$V$2:$V$495&lt;=6)*('CASE MASTER'!$X$2:$X$495&gt;=6))*ROW('CASE MASTER'!$T$2:$T$495))&gt;0,INDEX('CASE MASTER'!$Y$2:$Y$495,(SUMPRODUCT((('CASE MASTER'!$T$2:$T$495=9)*('CASE MASTER'!$U$2:$U$495&lt;=3)*('CASE MASTER'!$W$2:$W$495&gt;=3)*('CASE MASTER'!$V$2:$V$495&lt;=6)*('CASE MASTER'!$X$2:$X$495&gt;=6))*ROW('CASE MASTER'!$T$2:$T$495))-(ROW('CASE MASTER'!#REF!)-1)))&amp;TRIM(MID(SUBSTITUTE(SUBSTITUTE(INDEX('CASE MASTER'!$N$2:$N$495,(SUMPRODUCT((('CASE MASTER'!$T$2:$T$495=9)*('CASE MASTER'!$U$2:$U$495&lt;=3)*('CASE MASTER'!$W$2:$W$495&gt;=3)*('CASE MASTER'!$V$2:$V$495&lt;=6)*('CASE MASTER'!$X$2:$X$495&gt;=6))*ROW('CASE MASTER'!$T$2:$T$495))-(ROW('CASE MASTER'!#REF!)-1))),":",","),",",REPT(" ",50)),((((3-INDEX('CASE MASTER'!$U$2:$U$495,(SUMPRODUCT((('CASE MASTER'!$T$2:$T$495=9)*('CASE MASTER'!$U$2:$U$495&lt;=3)*('CASE MASTER'!$W$2:$W$495&gt;=3)*('CASE MASTER'!$V$2:$V$495&lt;=6)*('CASE MASTER'!$X$2:$X$495&gt;=6))*ROW('CASE MASTER'!$T$2:$T$495))-(ROW('CASE MASTER'!#REF!)-1))))*(INDEX('CASE MASTER'!$X$2:$X$495,(SUMPRODUCT((('CASE MASTER'!$T$2:$T$495=9)*('CASE MASTER'!$U$2:$U$495&lt;=3)*('CASE MASTER'!$W$2:$W$495&gt;=3)*('CASE MASTER'!$V$2:$V$495&lt;=6)*('CASE MASTER'!$X$2:$X$495&gt;=6))*ROW('CASE MASTER'!$T$2:$T$495))-(ROW('CASE MASTER'!#REF!)-1)))-INDEX('CASE MASTER'!$V$2:$V$495,(SUMPRODUCT((('CASE MASTER'!$T$2:$T$495=9)*('CASE MASTER'!$U$2:$U$495&lt;=3)*('CASE MASTER'!$W$2:$W$495&gt;=3)*('CASE MASTER'!$V$2:$V$495&lt;=6)*('CASE MASTER'!$X$2:$X$495&gt;=6))*ROW('CASE MASTER'!$T$2:$T$495))-(ROW('CASE MASTER'!#REF!)-1)))+1)+(6-INDEX('CASE MASTER'!$V$2:$V$495,(SUMPRODUCT((('CASE MASTER'!$T$2:$T$495=9)*('CASE MASTER'!$U$2:$U$495&lt;=3)*('CASE MASTER'!$W$2:$W$495&gt;=3)*('CASE MASTER'!$V$2:$V$495&lt;=6)*('CASE MASTER'!$X$2:$X$495&gt;=6))*ROW('CASE MASTER'!$T$2:$T$495))-(ROW('CASE MASTER'!#REF!)-1))))+1))-1)*50+1,50))&amp;"_"&amp;INDEX('CASE MASTER'!$Q$2:$Q$495,(SUMPRODUCT((('CASE MASTER'!$T$2:$T$495=9)*('CASE MASTER'!$U$2:$U$495&lt;=3)*('CASE MASTER'!$W$2:$W$495&gt;=3)*('CASE MASTER'!$V$2:$V$495&lt;=6)*('CASE MASTER'!$X$2:$X$495&gt;=6))*ROW('CASE MASTER'!$T$2:$T$495))-(ROW('CASE MASTER'!#REF!)-1))),IF(SUMPRODUCT((('CASE MASTER'!$T$2:$T$495=9)*('CASE MASTER'!$AA$2:$AA$495&lt;=3)*('CASE MASTER'!$AC$2:$AC$495&gt;=3)*('CASE MASTER'!$AB$2:$AB$495&lt;=6)*('CASE MASTER'!$AD$2:$AD$495&gt;=6))*ROW('CASE MASTER'!$T$2:$T$495))&gt;0,INDEX('CASE MASTER'!$Y$2:$Y$495,(SUMPRODUCT((('CASE MASTER'!$T$2:$T$495=9)*('CASE MASTER'!$AA$2:$AA$495&lt;=3)*('CASE MASTER'!$AC$2:$AC$495&gt;=3)*('CASE MASTER'!$AB$2:$AB$495&lt;=6)*('CASE MASTER'!$AD$2:$AD$495&gt;=6))*ROW('CASE MASTER'!$T$2:$T$495))-(ROW('CASE MASTER'!#REF!)-1)))&amp;TRIM(MID(SUBSTITUTE(SUBSTITUTE(INDEX('CASE MASTER'!$N$2:$N$495,(SUMPRODUCT((('CASE MASTER'!$T$2:$T$495=9)*('CASE MASTER'!$AA$2:$AA$495&lt;=3)*('CASE MASTER'!$AC$2:$AC$495&gt;=3)*('CASE MASTER'!$AB$2:$AB$495&lt;=6)*('CASE MASTER'!$AD$2:$AD$495&gt;=6))*ROW('CASE MASTER'!$T$2:$T$495))-(ROW('CASE MASTER'!#REF!)-1))),":",","),",",REPT(" ",50)),(((INDEX('CASE MASTER'!$Z$2:$Z$495,(SUMPRODUCT((('CASE MASTER'!$T$2:$T$495=9)*('CASE MASTER'!$AA$2:$AA$495&lt;=3)*('CASE MASTER'!$AC$2:$AC$495&gt;=3)*('CASE MASTER'!$AB$2:$AB$495&lt;=6)*('CASE MASTER'!$AD$2:$AD$495&gt;=6))*ROW('CASE MASTER'!$T$2:$T$495))-(ROW('CASE MASTER'!#REF!)-1)))+((3-INDEX('CASE MASTER'!$AA$2:$AA$495,(SUMPRODUCT((('CASE MASTER'!$T$2:$T$495=9)*('CASE MASTER'!$AA$2:$AA$495&lt;=3)*('CASE MASTER'!$AC$2:$AC$495&gt;=3)*('CASE MASTER'!$AB$2:$AB$495&lt;=6)*('CASE MASTER'!$AD$2:$AD$495&gt;=6))*ROW('CASE MASTER'!$T$2:$T$495))-(ROW('CASE MASTER'!#REF!)-1))))*(INDEX('CASE MASTER'!$AD$2:$AD$495,(SUMPRODUCT((('CASE MASTER'!$T$2:$T$495=9)*('CASE MASTER'!$AA$2:$AA$495&lt;=3)*('CASE MASTER'!$AC$2:$AC$495&gt;=3)*('CASE MASTER'!$AB$2:$AB$495&lt;=6)*('CASE MASTER'!$AD$2:$AD$495&gt;=6))*ROW('CASE MASTER'!$T$2:$T$495))-(ROW('CASE MASTER'!#REF!)-1)))-INDEX('CASE MASTER'!$AB$2:$AB$495,(SUMPRODUCT((('CASE MASTER'!$T$2:$T$495=9)*('CASE MASTER'!$AA$2:$AA$495&lt;=3)*('CASE MASTER'!$AC$2:$AC$495&gt;=3)*('CASE MASTER'!$AB$2:$AB$495&lt;=6)*('CASE MASTER'!$AD$2:$AD$495&gt;=6))*ROW('CASE MASTER'!$T$2:$T$495))-(ROW('CASE MASTER'!#REF!)-1)))+1)+(6-INDEX('CASE MASTER'!$AB$2:$AB$495,(SUMPRODUCT((('CASE MASTER'!$T$2:$T$495=9)*('CASE MASTER'!$AA$2:$AA$495&lt;=3)*('CASE MASTER'!$AC$2:$AC$495&gt;=3)*('CASE MASTER'!$AB$2:$AB$495&lt;=6)*('CASE MASTER'!$AD$2:$AD$495&gt;=6))*ROW('CASE MASTER'!$T$2:$T$495))-(ROW('CASE MASTER'!#REF!)-1))))+1)))-1)*50+1,50))&amp;"_"&amp;INDEX('CASE MASTER'!$Q$2:$Q$495,(SUMPRODUCT((('CASE MASTER'!$T$2:$T$495=9)*('CASE MASTER'!$AA$2:$AA$495&lt;=3)*('CASE MASTER'!$AC$2:$AC$495&gt;=3)*('CASE MASTER'!$AB$2:$AB$495&lt;=6)*('CASE MASTER'!$AD$2:$AD$495&gt;=6))*ROW('CASE MASTER'!$T$2:$T$495))-(ROW('CASE MASTER'!#REF!)-1))),"")),"")</f>
        <v/>
      </c>
      <c r="H117" s="10" t="str">
        <f>IFERROR(IF(SUMPRODUCT((('CASE MASTER'!$T$2:$T$495=9)*('CASE MASTER'!$U$2:$U$495&lt;=3)*('CASE MASTER'!$W$2:$W$495&gt;=3)*('CASE MASTER'!$V$2:$V$495&lt;=7)*('CASE MASTER'!$X$2:$X$495&gt;=7))*ROW('CASE MASTER'!$T$2:$T$495))&gt;0,INDEX('CASE MASTER'!$Y$2:$Y$495,(SUMPRODUCT((('CASE MASTER'!$T$2:$T$495=9)*('CASE MASTER'!$U$2:$U$495&lt;=3)*('CASE MASTER'!$W$2:$W$495&gt;=3)*('CASE MASTER'!$V$2:$V$495&lt;=7)*('CASE MASTER'!$X$2:$X$495&gt;=7))*ROW('CASE MASTER'!$T$2:$T$495))-(ROW('CASE MASTER'!#REF!)-1)))&amp;TRIM(MID(SUBSTITUTE(SUBSTITUTE(INDEX('CASE MASTER'!$N$2:$N$495,(SUMPRODUCT((('CASE MASTER'!$T$2:$T$495=9)*('CASE MASTER'!$U$2:$U$495&lt;=3)*('CASE MASTER'!$W$2:$W$495&gt;=3)*('CASE MASTER'!$V$2:$V$495&lt;=7)*('CASE MASTER'!$X$2:$X$495&gt;=7))*ROW('CASE MASTER'!$T$2:$T$495))-(ROW('CASE MASTER'!#REF!)-1))),":",","),",",REPT(" ",50)),((((3-INDEX('CASE MASTER'!$U$2:$U$495,(SUMPRODUCT((('CASE MASTER'!$T$2:$T$495=9)*('CASE MASTER'!$U$2:$U$495&lt;=3)*('CASE MASTER'!$W$2:$W$495&gt;=3)*('CASE MASTER'!$V$2:$V$495&lt;=7)*('CASE MASTER'!$X$2:$X$495&gt;=7))*ROW('CASE MASTER'!$T$2:$T$495))-(ROW('CASE MASTER'!#REF!)-1))))*(INDEX('CASE MASTER'!$X$2:$X$495,(SUMPRODUCT((('CASE MASTER'!$T$2:$T$495=9)*('CASE MASTER'!$U$2:$U$495&lt;=3)*('CASE MASTER'!$W$2:$W$495&gt;=3)*('CASE MASTER'!$V$2:$V$495&lt;=7)*('CASE MASTER'!$X$2:$X$495&gt;=7))*ROW('CASE MASTER'!$T$2:$T$495))-(ROW('CASE MASTER'!#REF!)-1)))-INDEX('CASE MASTER'!$V$2:$V$495,(SUMPRODUCT((('CASE MASTER'!$T$2:$T$495=9)*('CASE MASTER'!$U$2:$U$495&lt;=3)*('CASE MASTER'!$W$2:$W$495&gt;=3)*('CASE MASTER'!$V$2:$V$495&lt;=7)*('CASE MASTER'!$X$2:$X$495&gt;=7))*ROW('CASE MASTER'!$T$2:$T$495))-(ROW('CASE MASTER'!#REF!)-1)))+1)+(7-INDEX('CASE MASTER'!$V$2:$V$495,(SUMPRODUCT((('CASE MASTER'!$T$2:$T$495=9)*('CASE MASTER'!$U$2:$U$495&lt;=3)*('CASE MASTER'!$W$2:$W$495&gt;=3)*('CASE MASTER'!$V$2:$V$495&lt;=7)*('CASE MASTER'!$X$2:$X$495&gt;=7))*ROW('CASE MASTER'!$T$2:$T$495))-(ROW('CASE MASTER'!#REF!)-1))))+1))-1)*50+1,50))&amp;"_"&amp;INDEX('CASE MASTER'!$Q$2:$Q$495,(SUMPRODUCT((('CASE MASTER'!$T$2:$T$495=9)*('CASE MASTER'!$U$2:$U$495&lt;=3)*('CASE MASTER'!$W$2:$W$495&gt;=3)*('CASE MASTER'!$V$2:$V$495&lt;=7)*('CASE MASTER'!$X$2:$X$495&gt;=7))*ROW('CASE MASTER'!$T$2:$T$495))-(ROW('CASE MASTER'!#REF!)-1))),IF(SUMPRODUCT((('CASE MASTER'!$T$2:$T$495=9)*('CASE MASTER'!$AA$2:$AA$495&lt;=3)*('CASE MASTER'!$AC$2:$AC$495&gt;=3)*('CASE MASTER'!$AB$2:$AB$495&lt;=7)*('CASE MASTER'!$AD$2:$AD$495&gt;=7))*ROW('CASE MASTER'!$T$2:$T$495))&gt;0,INDEX('CASE MASTER'!$Y$2:$Y$495,(SUMPRODUCT((('CASE MASTER'!$T$2:$T$495=9)*('CASE MASTER'!$AA$2:$AA$495&lt;=3)*('CASE MASTER'!$AC$2:$AC$495&gt;=3)*('CASE MASTER'!$AB$2:$AB$495&lt;=7)*('CASE MASTER'!$AD$2:$AD$495&gt;=7))*ROW('CASE MASTER'!$T$2:$T$495))-(ROW('CASE MASTER'!#REF!)-1)))&amp;TRIM(MID(SUBSTITUTE(SUBSTITUTE(INDEX('CASE MASTER'!$N$2:$N$495,(SUMPRODUCT((('CASE MASTER'!$T$2:$T$495=9)*('CASE MASTER'!$AA$2:$AA$495&lt;=3)*('CASE MASTER'!$AC$2:$AC$495&gt;=3)*('CASE MASTER'!$AB$2:$AB$495&lt;=7)*('CASE MASTER'!$AD$2:$AD$495&gt;=7))*ROW('CASE MASTER'!$T$2:$T$495))-(ROW('CASE MASTER'!#REF!)-1))),":",","),",",REPT(" ",50)),(((INDEX('CASE MASTER'!$Z$2:$Z$495,(SUMPRODUCT((('CASE MASTER'!$T$2:$T$495=9)*('CASE MASTER'!$AA$2:$AA$495&lt;=3)*('CASE MASTER'!$AC$2:$AC$495&gt;=3)*('CASE MASTER'!$AB$2:$AB$495&lt;=7)*('CASE MASTER'!$AD$2:$AD$495&gt;=7))*ROW('CASE MASTER'!$T$2:$T$495))-(ROW('CASE MASTER'!#REF!)-1)))+((3-INDEX('CASE MASTER'!$AA$2:$AA$495,(SUMPRODUCT((('CASE MASTER'!$T$2:$T$495=9)*('CASE MASTER'!$AA$2:$AA$495&lt;=3)*('CASE MASTER'!$AC$2:$AC$495&gt;=3)*('CASE MASTER'!$AB$2:$AB$495&lt;=7)*('CASE MASTER'!$AD$2:$AD$495&gt;=7))*ROW('CASE MASTER'!$T$2:$T$495))-(ROW('CASE MASTER'!#REF!)-1))))*(INDEX('CASE MASTER'!$AD$2:$AD$495,(SUMPRODUCT((('CASE MASTER'!$T$2:$T$495=9)*('CASE MASTER'!$AA$2:$AA$495&lt;=3)*('CASE MASTER'!$AC$2:$AC$495&gt;=3)*('CASE MASTER'!$AB$2:$AB$495&lt;=7)*('CASE MASTER'!$AD$2:$AD$495&gt;=7))*ROW('CASE MASTER'!$T$2:$T$495))-(ROW('CASE MASTER'!#REF!)-1)))-INDEX('CASE MASTER'!$AB$2:$AB$495,(SUMPRODUCT((('CASE MASTER'!$T$2:$T$495=9)*('CASE MASTER'!$AA$2:$AA$495&lt;=3)*('CASE MASTER'!$AC$2:$AC$495&gt;=3)*('CASE MASTER'!$AB$2:$AB$495&lt;=7)*('CASE MASTER'!$AD$2:$AD$495&gt;=7))*ROW('CASE MASTER'!$T$2:$T$495))-(ROW('CASE MASTER'!#REF!)-1)))+1)+(7-INDEX('CASE MASTER'!$AB$2:$AB$495,(SUMPRODUCT((('CASE MASTER'!$T$2:$T$495=9)*('CASE MASTER'!$AA$2:$AA$495&lt;=3)*('CASE MASTER'!$AC$2:$AC$495&gt;=3)*('CASE MASTER'!$AB$2:$AB$495&lt;=7)*('CASE MASTER'!$AD$2:$AD$495&gt;=7))*ROW('CASE MASTER'!$T$2:$T$495))-(ROW('CASE MASTER'!#REF!)-1))))+1)))-1)*50+1,50))&amp;"_"&amp;INDEX('CASE MASTER'!$Q$2:$Q$495,(SUMPRODUCT((('CASE MASTER'!$T$2:$T$495=9)*('CASE MASTER'!$AA$2:$AA$495&lt;=3)*('CASE MASTER'!$AC$2:$AC$495&gt;=3)*('CASE MASTER'!$AB$2:$AB$495&lt;=7)*('CASE MASTER'!$AD$2:$AD$495&gt;=7))*ROW('CASE MASTER'!$T$2:$T$495))-(ROW('CASE MASTER'!#REF!)-1))),"")),"")</f>
        <v/>
      </c>
      <c r="I117" s="10" t="str">
        <f>IFERROR(IF(SUMPRODUCT((('CASE MASTER'!$T$2:$T$495=9)*('CASE MASTER'!$U$2:$U$495&lt;=3)*('CASE MASTER'!$W$2:$W$495&gt;=3)*('CASE MASTER'!$V$2:$V$495&lt;=8)*('CASE MASTER'!$X$2:$X$495&gt;=8))*ROW('CASE MASTER'!$T$2:$T$495))&gt;0,INDEX('CASE MASTER'!$Y$2:$Y$495,(SUMPRODUCT((('CASE MASTER'!$T$2:$T$495=9)*('CASE MASTER'!$U$2:$U$495&lt;=3)*('CASE MASTER'!$W$2:$W$495&gt;=3)*('CASE MASTER'!$V$2:$V$495&lt;=8)*('CASE MASTER'!$X$2:$X$495&gt;=8))*ROW('CASE MASTER'!$T$2:$T$495))-(ROW('CASE MASTER'!#REF!)-1)))&amp;TRIM(MID(SUBSTITUTE(SUBSTITUTE(INDEX('CASE MASTER'!$N$2:$N$495,(SUMPRODUCT((('CASE MASTER'!$T$2:$T$495=9)*('CASE MASTER'!$U$2:$U$495&lt;=3)*('CASE MASTER'!$W$2:$W$495&gt;=3)*('CASE MASTER'!$V$2:$V$495&lt;=8)*('CASE MASTER'!$X$2:$X$495&gt;=8))*ROW('CASE MASTER'!$T$2:$T$495))-(ROW('CASE MASTER'!#REF!)-1))),":",","),",",REPT(" ",50)),((((3-INDEX('CASE MASTER'!$U$2:$U$495,(SUMPRODUCT((('CASE MASTER'!$T$2:$T$495=9)*('CASE MASTER'!$U$2:$U$495&lt;=3)*('CASE MASTER'!$W$2:$W$495&gt;=3)*('CASE MASTER'!$V$2:$V$495&lt;=8)*('CASE MASTER'!$X$2:$X$495&gt;=8))*ROW('CASE MASTER'!$T$2:$T$495))-(ROW('CASE MASTER'!#REF!)-1))))*(INDEX('CASE MASTER'!$X$2:$X$495,(SUMPRODUCT((('CASE MASTER'!$T$2:$T$495=9)*('CASE MASTER'!$U$2:$U$495&lt;=3)*('CASE MASTER'!$W$2:$W$495&gt;=3)*('CASE MASTER'!$V$2:$V$495&lt;=8)*('CASE MASTER'!$X$2:$X$495&gt;=8))*ROW('CASE MASTER'!$T$2:$T$495))-(ROW('CASE MASTER'!#REF!)-1)))-INDEX('CASE MASTER'!$V$2:$V$495,(SUMPRODUCT((('CASE MASTER'!$T$2:$T$495=9)*('CASE MASTER'!$U$2:$U$495&lt;=3)*('CASE MASTER'!$W$2:$W$495&gt;=3)*('CASE MASTER'!$V$2:$V$495&lt;=8)*('CASE MASTER'!$X$2:$X$495&gt;=8))*ROW('CASE MASTER'!$T$2:$T$495))-(ROW('CASE MASTER'!#REF!)-1)))+1)+(8-INDEX('CASE MASTER'!$V$2:$V$495,(SUMPRODUCT((('CASE MASTER'!$T$2:$T$495=9)*('CASE MASTER'!$U$2:$U$495&lt;=3)*('CASE MASTER'!$W$2:$W$495&gt;=3)*('CASE MASTER'!$V$2:$V$495&lt;=8)*('CASE MASTER'!$X$2:$X$495&gt;=8))*ROW('CASE MASTER'!$T$2:$T$495))-(ROW('CASE MASTER'!#REF!)-1))))+1))-1)*50+1,50))&amp;"_"&amp;INDEX('CASE MASTER'!$Q$2:$Q$495,(SUMPRODUCT((('CASE MASTER'!$T$2:$T$495=9)*('CASE MASTER'!$U$2:$U$495&lt;=3)*('CASE MASTER'!$W$2:$W$495&gt;=3)*('CASE MASTER'!$V$2:$V$495&lt;=8)*('CASE MASTER'!$X$2:$X$495&gt;=8))*ROW('CASE MASTER'!$T$2:$T$495))-(ROW('CASE MASTER'!#REF!)-1))),IF(SUMPRODUCT((('CASE MASTER'!$T$2:$T$495=9)*('CASE MASTER'!$AA$2:$AA$495&lt;=3)*('CASE MASTER'!$AC$2:$AC$495&gt;=3)*('CASE MASTER'!$AB$2:$AB$495&lt;=8)*('CASE MASTER'!$AD$2:$AD$495&gt;=8))*ROW('CASE MASTER'!$T$2:$T$495))&gt;0,INDEX('CASE MASTER'!$Y$2:$Y$495,(SUMPRODUCT((('CASE MASTER'!$T$2:$T$495=9)*('CASE MASTER'!$AA$2:$AA$495&lt;=3)*('CASE MASTER'!$AC$2:$AC$495&gt;=3)*('CASE MASTER'!$AB$2:$AB$495&lt;=8)*('CASE MASTER'!$AD$2:$AD$495&gt;=8))*ROW('CASE MASTER'!$T$2:$T$495))-(ROW('CASE MASTER'!#REF!)-1)))&amp;TRIM(MID(SUBSTITUTE(SUBSTITUTE(INDEX('CASE MASTER'!$N$2:$N$495,(SUMPRODUCT((('CASE MASTER'!$T$2:$T$495=9)*('CASE MASTER'!$AA$2:$AA$495&lt;=3)*('CASE MASTER'!$AC$2:$AC$495&gt;=3)*('CASE MASTER'!$AB$2:$AB$495&lt;=8)*('CASE MASTER'!$AD$2:$AD$495&gt;=8))*ROW('CASE MASTER'!$T$2:$T$495))-(ROW('CASE MASTER'!#REF!)-1))),":",","),",",REPT(" ",50)),(((INDEX('CASE MASTER'!$Z$2:$Z$495,(SUMPRODUCT((('CASE MASTER'!$T$2:$T$495=9)*('CASE MASTER'!$AA$2:$AA$495&lt;=3)*('CASE MASTER'!$AC$2:$AC$495&gt;=3)*('CASE MASTER'!$AB$2:$AB$495&lt;=8)*('CASE MASTER'!$AD$2:$AD$495&gt;=8))*ROW('CASE MASTER'!$T$2:$T$495))-(ROW('CASE MASTER'!#REF!)-1)))+((3-INDEX('CASE MASTER'!$AA$2:$AA$495,(SUMPRODUCT((('CASE MASTER'!$T$2:$T$495=9)*('CASE MASTER'!$AA$2:$AA$495&lt;=3)*('CASE MASTER'!$AC$2:$AC$495&gt;=3)*('CASE MASTER'!$AB$2:$AB$495&lt;=8)*('CASE MASTER'!$AD$2:$AD$495&gt;=8))*ROW('CASE MASTER'!$T$2:$T$495))-(ROW('CASE MASTER'!#REF!)-1))))*(INDEX('CASE MASTER'!$AD$2:$AD$495,(SUMPRODUCT((('CASE MASTER'!$T$2:$T$495=9)*('CASE MASTER'!$AA$2:$AA$495&lt;=3)*('CASE MASTER'!$AC$2:$AC$495&gt;=3)*('CASE MASTER'!$AB$2:$AB$495&lt;=8)*('CASE MASTER'!$AD$2:$AD$495&gt;=8))*ROW('CASE MASTER'!$T$2:$T$495))-(ROW('CASE MASTER'!#REF!)-1)))-INDEX('CASE MASTER'!$AB$2:$AB$495,(SUMPRODUCT((('CASE MASTER'!$T$2:$T$495=9)*('CASE MASTER'!$AA$2:$AA$495&lt;=3)*('CASE MASTER'!$AC$2:$AC$495&gt;=3)*('CASE MASTER'!$AB$2:$AB$495&lt;=8)*('CASE MASTER'!$AD$2:$AD$495&gt;=8))*ROW('CASE MASTER'!$T$2:$T$495))-(ROW('CASE MASTER'!#REF!)-1)))+1)+(8-INDEX('CASE MASTER'!$AB$2:$AB$495,(SUMPRODUCT((('CASE MASTER'!$T$2:$T$495=9)*('CASE MASTER'!$AA$2:$AA$495&lt;=3)*('CASE MASTER'!$AC$2:$AC$495&gt;=3)*('CASE MASTER'!$AB$2:$AB$495&lt;=8)*('CASE MASTER'!$AD$2:$AD$495&gt;=8))*ROW('CASE MASTER'!$T$2:$T$495))-(ROW('CASE MASTER'!#REF!)-1))))+1)))-1)*50+1,50))&amp;"_"&amp;INDEX('CASE MASTER'!$Q$2:$Q$495,(SUMPRODUCT((('CASE MASTER'!$T$2:$T$495=9)*('CASE MASTER'!$AA$2:$AA$495&lt;=3)*('CASE MASTER'!$AC$2:$AC$495&gt;=3)*('CASE MASTER'!$AB$2:$AB$495&lt;=8)*('CASE MASTER'!$AD$2:$AD$495&gt;=8))*ROW('CASE MASTER'!$T$2:$T$495))-(ROW('CASE MASTER'!#REF!)-1))),"")),"")</f>
        <v/>
      </c>
      <c r="J117" s="10" t="str">
        <f>IFERROR(IF(SUMPRODUCT((('CASE MASTER'!$T$2:$T$495=9)*('CASE MASTER'!$U$2:$U$495&lt;=3)*('CASE MASTER'!$W$2:$W$495&gt;=3)*('CASE MASTER'!$V$2:$V$495&lt;=9)*('CASE MASTER'!$X$2:$X$495&gt;=9))*ROW('CASE MASTER'!$T$2:$T$495))&gt;0,INDEX('CASE MASTER'!$Y$2:$Y$495,(SUMPRODUCT((('CASE MASTER'!$T$2:$T$495=9)*('CASE MASTER'!$U$2:$U$495&lt;=3)*('CASE MASTER'!$W$2:$W$495&gt;=3)*('CASE MASTER'!$V$2:$V$495&lt;=9)*('CASE MASTER'!$X$2:$X$495&gt;=9))*ROW('CASE MASTER'!$T$2:$T$495))-(ROW('CASE MASTER'!#REF!)-1)))&amp;TRIM(MID(SUBSTITUTE(SUBSTITUTE(INDEX('CASE MASTER'!$N$2:$N$495,(SUMPRODUCT((('CASE MASTER'!$T$2:$T$495=9)*('CASE MASTER'!$U$2:$U$495&lt;=3)*('CASE MASTER'!$W$2:$W$495&gt;=3)*('CASE MASTER'!$V$2:$V$495&lt;=9)*('CASE MASTER'!$X$2:$X$495&gt;=9))*ROW('CASE MASTER'!$T$2:$T$495))-(ROW('CASE MASTER'!#REF!)-1))),":",","),",",REPT(" ",50)),((((3-INDEX('CASE MASTER'!$U$2:$U$495,(SUMPRODUCT((('CASE MASTER'!$T$2:$T$495=9)*('CASE MASTER'!$U$2:$U$495&lt;=3)*('CASE MASTER'!$W$2:$W$495&gt;=3)*('CASE MASTER'!$V$2:$V$495&lt;=9)*('CASE MASTER'!$X$2:$X$495&gt;=9))*ROW('CASE MASTER'!$T$2:$T$495))-(ROW('CASE MASTER'!#REF!)-1))))*(INDEX('CASE MASTER'!$X$2:$X$495,(SUMPRODUCT((('CASE MASTER'!$T$2:$T$495=9)*('CASE MASTER'!$U$2:$U$495&lt;=3)*('CASE MASTER'!$W$2:$W$495&gt;=3)*('CASE MASTER'!$V$2:$V$495&lt;=9)*('CASE MASTER'!$X$2:$X$495&gt;=9))*ROW('CASE MASTER'!$T$2:$T$495))-(ROW('CASE MASTER'!#REF!)-1)))-INDEX('CASE MASTER'!$V$2:$V$495,(SUMPRODUCT((('CASE MASTER'!$T$2:$T$495=9)*('CASE MASTER'!$U$2:$U$495&lt;=3)*('CASE MASTER'!$W$2:$W$495&gt;=3)*('CASE MASTER'!$V$2:$V$495&lt;=9)*('CASE MASTER'!$X$2:$X$495&gt;=9))*ROW('CASE MASTER'!$T$2:$T$495))-(ROW('CASE MASTER'!#REF!)-1)))+1)+(9-INDEX('CASE MASTER'!$V$2:$V$495,(SUMPRODUCT((('CASE MASTER'!$T$2:$T$495=9)*('CASE MASTER'!$U$2:$U$495&lt;=3)*('CASE MASTER'!$W$2:$W$495&gt;=3)*('CASE MASTER'!$V$2:$V$495&lt;=9)*('CASE MASTER'!$X$2:$X$495&gt;=9))*ROW('CASE MASTER'!$T$2:$T$495))-(ROW('CASE MASTER'!#REF!)-1))))+1))-1)*50+1,50))&amp;"_"&amp;INDEX('CASE MASTER'!$Q$2:$Q$495,(SUMPRODUCT((('CASE MASTER'!$T$2:$T$495=9)*('CASE MASTER'!$U$2:$U$495&lt;=3)*('CASE MASTER'!$W$2:$W$495&gt;=3)*('CASE MASTER'!$V$2:$V$495&lt;=9)*('CASE MASTER'!$X$2:$X$495&gt;=9))*ROW('CASE MASTER'!$T$2:$T$495))-(ROW('CASE MASTER'!#REF!)-1))),IF(SUMPRODUCT((('CASE MASTER'!$T$2:$T$495=9)*('CASE MASTER'!$AA$2:$AA$495&lt;=3)*('CASE MASTER'!$AC$2:$AC$495&gt;=3)*('CASE MASTER'!$AB$2:$AB$495&lt;=9)*('CASE MASTER'!$AD$2:$AD$495&gt;=9))*ROW('CASE MASTER'!$T$2:$T$495))&gt;0,INDEX('CASE MASTER'!$Y$2:$Y$495,(SUMPRODUCT((('CASE MASTER'!$T$2:$T$495=9)*('CASE MASTER'!$AA$2:$AA$495&lt;=3)*('CASE MASTER'!$AC$2:$AC$495&gt;=3)*('CASE MASTER'!$AB$2:$AB$495&lt;=9)*('CASE MASTER'!$AD$2:$AD$495&gt;=9))*ROW('CASE MASTER'!$T$2:$T$495))-(ROW('CASE MASTER'!#REF!)-1)))&amp;TRIM(MID(SUBSTITUTE(SUBSTITUTE(INDEX('CASE MASTER'!$N$2:$N$495,(SUMPRODUCT((('CASE MASTER'!$T$2:$T$495=9)*('CASE MASTER'!$AA$2:$AA$495&lt;=3)*('CASE MASTER'!$AC$2:$AC$495&gt;=3)*('CASE MASTER'!$AB$2:$AB$495&lt;=9)*('CASE MASTER'!$AD$2:$AD$495&gt;=9))*ROW('CASE MASTER'!$T$2:$T$495))-(ROW('CASE MASTER'!#REF!)-1))),":",","),",",REPT(" ",50)),(((INDEX('CASE MASTER'!$Z$2:$Z$495,(SUMPRODUCT((('CASE MASTER'!$T$2:$T$495=9)*('CASE MASTER'!$AA$2:$AA$495&lt;=3)*('CASE MASTER'!$AC$2:$AC$495&gt;=3)*('CASE MASTER'!$AB$2:$AB$495&lt;=9)*('CASE MASTER'!$AD$2:$AD$495&gt;=9))*ROW('CASE MASTER'!$T$2:$T$495))-(ROW('CASE MASTER'!#REF!)-1)))+((3-INDEX('CASE MASTER'!$AA$2:$AA$495,(SUMPRODUCT((('CASE MASTER'!$T$2:$T$495=9)*('CASE MASTER'!$AA$2:$AA$495&lt;=3)*('CASE MASTER'!$AC$2:$AC$495&gt;=3)*('CASE MASTER'!$AB$2:$AB$495&lt;=9)*('CASE MASTER'!$AD$2:$AD$495&gt;=9))*ROW('CASE MASTER'!$T$2:$T$495))-(ROW('CASE MASTER'!#REF!)-1))))*(INDEX('CASE MASTER'!$AD$2:$AD$495,(SUMPRODUCT((('CASE MASTER'!$T$2:$T$495=9)*('CASE MASTER'!$AA$2:$AA$495&lt;=3)*('CASE MASTER'!$AC$2:$AC$495&gt;=3)*('CASE MASTER'!$AB$2:$AB$495&lt;=9)*('CASE MASTER'!$AD$2:$AD$495&gt;=9))*ROW('CASE MASTER'!$T$2:$T$495))-(ROW('CASE MASTER'!#REF!)-1)))-INDEX('CASE MASTER'!$AB$2:$AB$495,(SUMPRODUCT((('CASE MASTER'!$T$2:$T$495=9)*('CASE MASTER'!$AA$2:$AA$495&lt;=3)*('CASE MASTER'!$AC$2:$AC$495&gt;=3)*('CASE MASTER'!$AB$2:$AB$495&lt;=9)*('CASE MASTER'!$AD$2:$AD$495&gt;=9))*ROW('CASE MASTER'!$T$2:$T$495))-(ROW('CASE MASTER'!#REF!)-1)))+1)+(9-INDEX('CASE MASTER'!$AB$2:$AB$495,(SUMPRODUCT((('CASE MASTER'!$T$2:$T$495=9)*('CASE MASTER'!$AA$2:$AA$495&lt;=3)*('CASE MASTER'!$AC$2:$AC$495&gt;=3)*('CASE MASTER'!$AB$2:$AB$495&lt;=9)*('CASE MASTER'!$AD$2:$AD$495&gt;=9))*ROW('CASE MASTER'!$T$2:$T$495))-(ROW('CASE MASTER'!#REF!)-1))))+1)))-1)*50+1,50))&amp;"_"&amp;INDEX('CASE MASTER'!$Q$2:$Q$495,(SUMPRODUCT((('CASE MASTER'!$T$2:$T$495=9)*('CASE MASTER'!$AA$2:$AA$495&lt;=3)*('CASE MASTER'!$AC$2:$AC$495&gt;=3)*('CASE MASTER'!$AB$2:$AB$495&lt;=9)*('CASE MASTER'!$AD$2:$AD$495&gt;=9))*ROW('CASE MASTER'!$T$2:$T$495))-(ROW('CASE MASTER'!#REF!)-1))),"")),"")</f>
        <v/>
      </c>
      <c r="K117" s="10" t="str">
        <f>IFERROR(IF(SUMPRODUCT((('CASE MASTER'!$T$2:$T$495=9)*('CASE MASTER'!$U$2:$U$495&lt;=3)*('CASE MASTER'!$W$2:$W$495&gt;=3)*('CASE MASTER'!$V$2:$V$495&lt;=10)*('CASE MASTER'!$X$2:$X$495&gt;=10))*ROW('CASE MASTER'!$T$2:$T$495))&gt;0,INDEX('CASE MASTER'!$Y$2:$Y$495,(SUMPRODUCT((('CASE MASTER'!$T$2:$T$495=9)*('CASE MASTER'!$U$2:$U$495&lt;=3)*('CASE MASTER'!$W$2:$W$495&gt;=3)*('CASE MASTER'!$V$2:$V$495&lt;=10)*('CASE MASTER'!$X$2:$X$495&gt;=10))*ROW('CASE MASTER'!$T$2:$T$495))-(ROW('CASE MASTER'!#REF!)-1)))&amp;TRIM(MID(SUBSTITUTE(SUBSTITUTE(INDEX('CASE MASTER'!$N$2:$N$495,(SUMPRODUCT((('CASE MASTER'!$T$2:$T$495=9)*('CASE MASTER'!$U$2:$U$495&lt;=3)*('CASE MASTER'!$W$2:$W$495&gt;=3)*('CASE MASTER'!$V$2:$V$495&lt;=10)*('CASE MASTER'!$X$2:$X$495&gt;=10))*ROW('CASE MASTER'!$T$2:$T$495))-(ROW('CASE MASTER'!#REF!)-1))),":",","),",",REPT(" ",50)),((((3-INDEX('CASE MASTER'!$U$2:$U$495,(SUMPRODUCT((('CASE MASTER'!$T$2:$T$495=9)*('CASE MASTER'!$U$2:$U$495&lt;=3)*('CASE MASTER'!$W$2:$W$495&gt;=3)*('CASE MASTER'!$V$2:$V$495&lt;=10)*('CASE MASTER'!$X$2:$X$495&gt;=10))*ROW('CASE MASTER'!$T$2:$T$495))-(ROW('CASE MASTER'!#REF!)-1))))*(INDEX('CASE MASTER'!$X$2:$X$495,(SUMPRODUCT((('CASE MASTER'!$T$2:$T$495=9)*('CASE MASTER'!$U$2:$U$495&lt;=3)*('CASE MASTER'!$W$2:$W$495&gt;=3)*('CASE MASTER'!$V$2:$V$495&lt;=10)*('CASE MASTER'!$X$2:$X$495&gt;=10))*ROW('CASE MASTER'!$T$2:$T$495))-(ROW('CASE MASTER'!#REF!)-1)))-INDEX('CASE MASTER'!$V$2:$V$495,(SUMPRODUCT((('CASE MASTER'!$T$2:$T$495=9)*('CASE MASTER'!$U$2:$U$495&lt;=3)*('CASE MASTER'!$W$2:$W$495&gt;=3)*('CASE MASTER'!$V$2:$V$495&lt;=10)*('CASE MASTER'!$X$2:$X$495&gt;=10))*ROW('CASE MASTER'!$T$2:$T$495))-(ROW('CASE MASTER'!#REF!)-1)))+1)+(10-INDEX('CASE MASTER'!$V$2:$V$495,(SUMPRODUCT((('CASE MASTER'!$T$2:$T$495=9)*('CASE MASTER'!$U$2:$U$495&lt;=3)*('CASE MASTER'!$W$2:$W$495&gt;=3)*('CASE MASTER'!$V$2:$V$495&lt;=10)*('CASE MASTER'!$X$2:$X$495&gt;=10))*ROW('CASE MASTER'!$T$2:$T$495))-(ROW('CASE MASTER'!#REF!)-1))))+1))-1)*50+1,50))&amp;"_"&amp;INDEX('CASE MASTER'!$Q$2:$Q$495,(SUMPRODUCT((('CASE MASTER'!$T$2:$T$495=9)*('CASE MASTER'!$U$2:$U$495&lt;=3)*('CASE MASTER'!$W$2:$W$495&gt;=3)*('CASE MASTER'!$V$2:$V$495&lt;=10)*('CASE MASTER'!$X$2:$X$495&gt;=10))*ROW('CASE MASTER'!$T$2:$T$495))-(ROW('CASE MASTER'!#REF!)-1))),IF(SUMPRODUCT((('CASE MASTER'!$T$2:$T$495=9)*('CASE MASTER'!$AA$2:$AA$495&lt;=3)*('CASE MASTER'!$AC$2:$AC$495&gt;=3)*('CASE MASTER'!$AB$2:$AB$495&lt;=10)*('CASE MASTER'!$AD$2:$AD$495&gt;=10))*ROW('CASE MASTER'!$T$2:$T$495))&gt;0,INDEX('CASE MASTER'!$Y$2:$Y$495,(SUMPRODUCT((('CASE MASTER'!$T$2:$T$495=9)*('CASE MASTER'!$AA$2:$AA$495&lt;=3)*('CASE MASTER'!$AC$2:$AC$495&gt;=3)*('CASE MASTER'!$AB$2:$AB$495&lt;=10)*('CASE MASTER'!$AD$2:$AD$495&gt;=10))*ROW('CASE MASTER'!$T$2:$T$495))-(ROW('CASE MASTER'!#REF!)-1)))&amp;TRIM(MID(SUBSTITUTE(SUBSTITUTE(INDEX('CASE MASTER'!$N$2:$N$495,(SUMPRODUCT((('CASE MASTER'!$T$2:$T$495=9)*('CASE MASTER'!$AA$2:$AA$495&lt;=3)*('CASE MASTER'!$AC$2:$AC$495&gt;=3)*('CASE MASTER'!$AB$2:$AB$495&lt;=10)*('CASE MASTER'!$AD$2:$AD$495&gt;=10))*ROW('CASE MASTER'!$T$2:$T$495))-(ROW('CASE MASTER'!#REF!)-1))),":",","),",",REPT(" ",50)),(((INDEX('CASE MASTER'!$Z$2:$Z$495,(SUMPRODUCT((('CASE MASTER'!$T$2:$T$495=9)*('CASE MASTER'!$AA$2:$AA$495&lt;=3)*('CASE MASTER'!$AC$2:$AC$495&gt;=3)*('CASE MASTER'!$AB$2:$AB$495&lt;=10)*('CASE MASTER'!$AD$2:$AD$495&gt;=10))*ROW('CASE MASTER'!$T$2:$T$495))-(ROW('CASE MASTER'!#REF!)-1)))+((3-INDEX('CASE MASTER'!$AA$2:$AA$495,(SUMPRODUCT((('CASE MASTER'!$T$2:$T$495=9)*('CASE MASTER'!$AA$2:$AA$495&lt;=3)*('CASE MASTER'!$AC$2:$AC$495&gt;=3)*('CASE MASTER'!$AB$2:$AB$495&lt;=10)*('CASE MASTER'!$AD$2:$AD$495&gt;=10))*ROW('CASE MASTER'!$T$2:$T$495))-(ROW('CASE MASTER'!#REF!)-1))))*(INDEX('CASE MASTER'!$AD$2:$AD$495,(SUMPRODUCT((('CASE MASTER'!$T$2:$T$495=9)*('CASE MASTER'!$AA$2:$AA$495&lt;=3)*('CASE MASTER'!$AC$2:$AC$495&gt;=3)*('CASE MASTER'!$AB$2:$AB$495&lt;=10)*('CASE MASTER'!$AD$2:$AD$495&gt;=10))*ROW('CASE MASTER'!$T$2:$T$495))-(ROW('CASE MASTER'!#REF!)-1)))-INDEX('CASE MASTER'!$AB$2:$AB$495,(SUMPRODUCT((('CASE MASTER'!$T$2:$T$495=9)*('CASE MASTER'!$AA$2:$AA$495&lt;=3)*('CASE MASTER'!$AC$2:$AC$495&gt;=3)*('CASE MASTER'!$AB$2:$AB$495&lt;=10)*('CASE MASTER'!$AD$2:$AD$495&gt;=10))*ROW('CASE MASTER'!$T$2:$T$495))-(ROW('CASE MASTER'!#REF!)-1)))+1)+(10-INDEX('CASE MASTER'!$AB$2:$AB$495,(SUMPRODUCT((('CASE MASTER'!$T$2:$T$495=9)*('CASE MASTER'!$AA$2:$AA$495&lt;=3)*('CASE MASTER'!$AC$2:$AC$495&gt;=3)*('CASE MASTER'!$AB$2:$AB$495&lt;=10)*('CASE MASTER'!$AD$2:$AD$495&gt;=10))*ROW('CASE MASTER'!$T$2:$T$495))-(ROW('CASE MASTER'!#REF!)-1))))+1)))-1)*50+1,50))&amp;"_"&amp;INDEX('CASE MASTER'!$Q$2:$Q$495,(SUMPRODUCT((('CASE MASTER'!$T$2:$T$495=9)*('CASE MASTER'!$AA$2:$AA$495&lt;=3)*('CASE MASTER'!$AC$2:$AC$495&gt;=3)*('CASE MASTER'!$AB$2:$AB$495&lt;=10)*('CASE MASTER'!$AD$2:$AD$495&gt;=10))*ROW('CASE MASTER'!$T$2:$T$495))-(ROW('CASE MASTER'!#REF!)-1))),"")),"")</f>
        <v/>
      </c>
    </row>
    <row r="118" spans="1:11" ht="15" customHeight="1" x14ac:dyDescent="0.35">
      <c r="A118" s="8" t="s">
        <v>31</v>
      </c>
      <c r="B118" s="10" t="str">
        <f>IFERROR(IF(SUMPRODUCT((('CASE MASTER'!$T$2:$T$495=9)*('CASE MASTER'!$U$2:$U$495&lt;=4)*('CASE MASTER'!$W$2:$W$495&gt;=4)*('CASE MASTER'!$V$2:$V$495&lt;=1)*('CASE MASTER'!$X$2:$X$495&gt;=1))*ROW('CASE MASTER'!$T$2:$T$495))&gt;0,INDEX('CASE MASTER'!$Y$2:$Y$495,(SUMPRODUCT((('CASE MASTER'!$T$2:$T$495=9)*('CASE MASTER'!$U$2:$U$495&lt;=4)*('CASE MASTER'!$W$2:$W$495&gt;=4)*('CASE MASTER'!$V$2:$V$495&lt;=1)*('CASE MASTER'!$X$2:$X$495&gt;=1))*ROW('CASE MASTER'!$T$2:$T$495))-(ROW('CASE MASTER'!#REF!)-1)))&amp;TRIM(MID(SUBSTITUTE(SUBSTITUTE(INDEX('CASE MASTER'!$N$2:$N$495,(SUMPRODUCT((('CASE MASTER'!$T$2:$T$495=9)*('CASE MASTER'!$U$2:$U$495&lt;=4)*('CASE MASTER'!$W$2:$W$495&gt;=4)*('CASE MASTER'!$V$2:$V$495&lt;=1)*('CASE MASTER'!$X$2:$X$495&gt;=1))*ROW('CASE MASTER'!$T$2:$T$495))-(ROW('CASE MASTER'!#REF!)-1))),":",","),",",REPT(" ",50)),((((4-INDEX('CASE MASTER'!$U$2:$U$495,(SUMPRODUCT((('CASE MASTER'!$T$2:$T$495=9)*('CASE MASTER'!$U$2:$U$495&lt;=4)*('CASE MASTER'!$W$2:$W$495&gt;=4)*('CASE MASTER'!$V$2:$V$495&lt;=1)*('CASE MASTER'!$X$2:$X$495&gt;=1))*ROW('CASE MASTER'!$T$2:$T$495))-(ROW('CASE MASTER'!#REF!)-1))))*(INDEX('CASE MASTER'!$X$2:$X$495,(SUMPRODUCT((('CASE MASTER'!$T$2:$T$495=9)*('CASE MASTER'!$U$2:$U$495&lt;=4)*('CASE MASTER'!$W$2:$W$495&gt;=4)*('CASE MASTER'!$V$2:$V$495&lt;=1)*('CASE MASTER'!$X$2:$X$495&gt;=1))*ROW('CASE MASTER'!$T$2:$T$495))-(ROW('CASE MASTER'!#REF!)-1)))-INDEX('CASE MASTER'!$V$2:$V$495,(SUMPRODUCT((('CASE MASTER'!$T$2:$T$495=9)*('CASE MASTER'!$U$2:$U$495&lt;=4)*('CASE MASTER'!$W$2:$W$495&gt;=4)*('CASE MASTER'!$V$2:$V$495&lt;=1)*('CASE MASTER'!$X$2:$X$495&gt;=1))*ROW('CASE MASTER'!$T$2:$T$495))-(ROW('CASE MASTER'!#REF!)-1)))+1)+(1-INDEX('CASE MASTER'!$V$2:$V$495,(SUMPRODUCT((('CASE MASTER'!$T$2:$T$495=9)*('CASE MASTER'!$U$2:$U$495&lt;=4)*('CASE MASTER'!$W$2:$W$495&gt;=4)*('CASE MASTER'!$V$2:$V$495&lt;=1)*('CASE MASTER'!$X$2:$X$495&gt;=1))*ROW('CASE MASTER'!$T$2:$T$495))-(ROW('CASE MASTER'!#REF!)-1))))+1))-1)*50+1,50))&amp;"_"&amp;INDEX('CASE MASTER'!$Q$2:$Q$495,(SUMPRODUCT((('CASE MASTER'!$T$2:$T$495=9)*('CASE MASTER'!$U$2:$U$495&lt;=4)*('CASE MASTER'!$W$2:$W$495&gt;=4)*('CASE MASTER'!$V$2:$V$495&lt;=1)*('CASE MASTER'!$X$2:$X$495&gt;=1))*ROW('CASE MASTER'!$T$2:$T$495))-(ROW('CASE MASTER'!#REF!)-1))),IF(SUMPRODUCT((('CASE MASTER'!$T$2:$T$495=9)*('CASE MASTER'!$AA$2:$AA$495&lt;=4)*('CASE MASTER'!$AC$2:$AC$495&gt;=4)*('CASE MASTER'!$AB$2:$AB$495&lt;=1)*('CASE MASTER'!$AD$2:$AD$495&gt;=1))*ROW('CASE MASTER'!$T$2:$T$495))&gt;0,INDEX('CASE MASTER'!$Y$2:$Y$495,(SUMPRODUCT((('CASE MASTER'!$T$2:$T$495=9)*('CASE MASTER'!$AA$2:$AA$495&lt;=4)*('CASE MASTER'!$AC$2:$AC$495&gt;=4)*('CASE MASTER'!$AB$2:$AB$495&lt;=1)*('CASE MASTER'!$AD$2:$AD$495&gt;=1))*ROW('CASE MASTER'!$T$2:$T$495))-(ROW('CASE MASTER'!#REF!)-1)))&amp;TRIM(MID(SUBSTITUTE(SUBSTITUTE(INDEX('CASE MASTER'!$N$2:$N$495,(SUMPRODUCT((('CASE MASTER'!$T$2:$T$495=9)*('CASE MASTER'!$AA$2:$AA$495&lt;=4)*('CASE MASTER'!$AC$2:$AC$495&gt;=4)*('CASE MASTER'!$AB$2:$AB$495&lt;=1)*('CASE MASTER'!$AD$2:$AD$495&gt;=1))*ROW('CASE MASTER'!$T$2:$T$495))-(ROW('CASE MASTER'!#REF!)-1))),":",","),",",REPT(" ",50)),(((INDEX('CASE MASTER'!$Z$2:$Z$495,(SUMPRODUCT((('CASE MASTER'!$T$2:$T$495=9)*('CASE MASTER'!$AA$2:$AA$495&lt;=4)*('CASE MASTER'!$AC$2:$AC$495&gt;=4)*('CASE MASTER'!$AB$2:$AB$495&lt;=1)*('CASE MASTER'!$AD$2:$AD$495&gt;=1))*ROW('CASE MASTER'!$T$2:$T$495))-(ROW('CASE MASTER'!#REF!)-1)))+((4-INDEX('CASE MASTER'!$AA$2:$AA$495,(SUMPRODUCT((('CASE MASTER'!$T$2:$T$495=9)*('CASE MASTER'!$AA$2:$AA$495&lt;=4)*('CASE MASTER'!$AC$2:$AC$495&gt;=4)*('CASE MASTER'!$AB$2:$AB$495&lt;=1)*('CASE MASTER'!$AD$2:$AD$495&gt;=1))*ROW('CASE MASTER'!$T$2:$T$495))-(ROW('CASE MASTER'!#REF!)-1))))*(INDEX('CASE MASTER'!$AD$2:$AD$495,(SUMPRODUCT((('CASE MASTER'!$T$2:$T$495=9)*('CASE MASTER'!$AA$2:$AA$495&lt;=4)*('CASE MASTER'!$AC$2:$AC$495&gt;=4)*('CASE MASTER'!$AB$2:$AB$495&lt;=1)*('CASE MASTER'!$AD$2:$AD$495&gt;=1))*ROW('CASE MASTER'!$T$2:$T$495))-(ROW('CASE MASTER'!#REF!)-1)))-INDEX('CASE MASTER'!$AB$2:$AB$495,(SUMPRODUCT((('CASE MASTER'!$T$2:$T$495=9)*('CASE MASTER'!$AA$2:$AA$495&lt;=4)*('CASE MASTER'!$AC$2:$AC$495&gt;=4)*('CASE MASTER'!$AB$2:$AB$495&lt;=1)*('CASE MASTER'!$AD$2:$AD$495&gt;=1))*ROW('CASE MASTER'!$T$2:$T$495))-(ROW('CASE MASTER'!#REF!)-1)))+1)+(1-INDEX('CASE MASTER'!$AB$2:$AB$495,(SUMPRODUCT((('CASE MASTER'!$T$2:$T$495=9)*('CASE MASTER'!$AA$2:$AA$495&lt;=4)*('CASE MASTER'!$AC$2:$AC$495&gt;=4)*('CASE MASTER'!$AB$2:$AB$495&lt;=1)*('CASE MASTER'!$AD$2:$AD$495&gt;=1))*ROW('CASE MASTER'!$T$2:$T$495))-(ROW('CASE MASTER'!#REF!)-1))))+1)))-1)*50+1,50))&amp;"_"&amp;INDEX('CASE MASTER'!$Q$2:$Q$495,(SUMPRODUCT((('CASE MASTER'!$T$2:$T$495=9)*('CASE MASTER'!$AA$2:$AA$495&lt;=4)*('CASE MASTER'!$AC$2:$AC$495&gt;=4)*('CASE MASTER'!$AB$2:$AB$495&lt;=1)*('CASE MASTER'!$AD$2:$AD$495&gt;=1))*ROW('CASE MASTER'!$T$2:$T$495))-(ROW('CASE MASTER'!#REF!)-1))),"")),"")</f>
        <v/>
      </c>
      <c r="C118" s="10" t="str">
        <f>IFERROR(IF(SUMPRODUCT((('CASE MASTER'!$T$2:$T$495=9)*('CASE MASTER'!$U$2:$U$495&lt;=4)*('CASE MASTER'!$W$2:$W$495&gt;=4)*('CASE MASTER'!$V$2:$V$495&lt;=2)*('CASE MASTER'!$X$2:$X$495&gt;=2))*ROW('CASE MASTER'!$T$2:$T$495))&gt;0,INDEX('CASE MASTER'!$Y$2:$Y$495,(SUMPRODUCT((('CASE MASTER'!$T$2:$T$495=9)*('CASE MASTER'!$U$2:$U$495&lt;=4)*('CASE MASTER'!$W$2:$W$495&gt;=4)*('CASE MASTER'!$V$2:$V$495&lt;=2)*('CASE MASTER'!$X$2:$X$495&gt;=2))*ROW('CASE MASTER'!$T$2:$T$495))-(ROW('CASE MASTER'!#REF!)-1)))&amp;TRIM(MID(SUBSTITUTE(SUBSTITUTE(INDEX('CASE MASTER'!$N$2:$N$495,(SUMPRODUCT((('CASE MASTER'!$T$2:$T$495=9)*('CASE MASTER'!$U$2:$U$495&lt;=4)*('CASE MASTER'!$W$2:$W$495&gt;=4)*('CASE MASTER'!$V$2:$V$495&lt;=2)*('CASE MASTER'!$X$2:$X$495&gt;=2))*ROW('CASE MASTER'!$T$2:$T$495))-(ROW('CASE MASTER'!#REF!)-1))),":",","),",",REPT(" ",50)),((((4-INDEX('CASE MASTER'!$U$2:$U$495,(SUMPRODUCT((('CASE MASTER'!$T$2:$T$495=9)*('CASE MASTER'!$U$2:$U$495&lt;=4)*('CASE MASTER'!$W$2:$W$495&gt;=4)*('CASE MASTER'!$V$2:$V$495&lt;=2)*('CASE MASTER'!$X$2:$X$495&gt;=2))*ROW('CASE MASTER'!$T$2:$T$495))-(ROW('CASE MASTER'!#REF!)-1))))*(INDEX('CASE MASTER'!$X$2:$X$495,(SUMPRODUCT((('CASE MASTER'!$T$2:$T$495=9)*('CASE MASTER'!$U$2:$U$495&lt;=4)*('CASE MASTER'!$W$2:$W$495&gt;=4)*('CASE MASTER'!$V$2:$V$495&lt;=2)*('CASE MASTER'!$X$2:$X$495&gt;=2))*ROW('CASE MASTER'!$T$2:$T$495))-(ROW('CASE MASTER'!#REF!)-1)))-INDEX('CASE MASTER'!$V$2:$V$495,(SUMPRODUCT((('CASE MASTER'!$T$2:$T$495=9)*('CASE MASTER'!$U$2:$U$495&lt;=4)*('CASE MASTER'!$W$2:$W$495&gt;=4)*('CASE MASTER'!$V$2:$V$495&lt;=2)*('CASE MASTER'!$X$2:$X$495&gt;=2))*ROW('CASE MASTER'!$T$2:$T$495))-(ROW('CASE MASTER'!#REF!)-1)))+1)+(2-INDEX('CASE MASTER'!$V$2:$V$495,(SUMPRODUCT((('CASE MASTER'!$T$2:$T$495=9)*('CASE MASTER'!$U$2:$U$495&lt;=4)*('CASE MASTER'!$W$2:$W$495&gt;=4)*('CASE MASTER'!$V$2:$V$495&lt;=2)*('CASE MASTER'!$X$2:$X$495&gt;=2))*ROW('CASE MASTER'!$T$2:$T$495))-(ROW('CASE MASTER'!#REF!)-1))))+1))-1)*50+1,50))&amp;"_"&amp;INDEX('CASE MASTER'!$Q$2:$Q$495,(SUMPRODUCT((('CASE MASTER'!$T$2:$T$495=9)*('CASE MASTER'!$U$2:$U$495&lt;=4)*('CASE MASTER'!$W$2:$W$495&gt;=4)*('CASE MASTER'!$V$2:$V$495&lt;=2)*('CASE MASTER'!$X$2:$X$495&gt;=2))*ROW('CASE MASTER'!$T$2:$T$495))-(ROW('CASE MASTER'!#REF!)-1))),IF(SUMPRODUCT((('CASE MASTER'!$T$2:$T$495=9)*('CASE MASTER'!$AA$2:$AA$495&lt;=4)*('CASE MASTER'!$AC$2:$AC$495&gt;=4)*('CASE MASTER'!$AB$2:$AB$495&lt;=2)*('CASE MASTER'!$AD$2:$AD$495&gt;=2))*ROW('CASE MASTER'!$T$2:$T$495))&gt;0,INDEX('CASE MASTER'!$Y$2:$Y$495,(SUMPRODUCT((('CASE MASTER'!$T$2:$T$495=9)*('CASE MASTER'!$AA$2:$AA$495&lt;=4)*('CASE MASTER'!$AC$2:$AC$495&gt;=4)*('CASE MASTER'!$AB$2:$AB$495&lt;=2)*('CASE MASTER'!$AD$2:$AD$495&gt;=2))*ROW('CASE MASTER'!$T$2:$T$495))-(ROW('CASE MASTER'!#REF!)-1)))&amp;TRIM(MID(SUBSTITUTE(SUBSTITUTE(INDEX('CASE MASTER'!$N$2:$N$495,(SUMPRODUCT((('CASE MASTER'!$T$2:$T$495=9)*('CASE MASTER'!$AA$2:$AA$495&lt;=4)*('CASE MASTER'!$AC$2:$AC$495&gt;=4)*('CASE MASTER'!$AB$2:$AB$495&lt;=2)*('CASE MASTER'!$AD$2:$AD$495&gt;=2))*ROW('CASE MASTER'!$T$2:$T$495))-(ROW('CASE MASTER'!#REF!)-1))),":",","),",",REPT(" ",50)),(((INDEX('CASE MASTER'!$Z$2:$Z$495,(SUMPRODUCT((('CASE MASTER'!$T$2:$T$495=9)*('CASE MASTER'!$AA$2:$AA$495&lt;=4)*('CASE MASTER'!$AC$2:$AC$495&gt;=4)*('CASE MASTER'!$AB$2:$AB$495&lt;=2)*('CASE MASTER'!$AD$2:$AD$495&gt;=2))*ROW('CASE MASTER'!$T$2:$T$495))-(ROW('CASE MASTER'!#REF!)-1)))+((4-INDEX('CASE MASTER'!$AA$2:$AA$495,(SUMPRODUCT((('CASE MASTER'!$T$2:$T$495=9)*('CASE MASTER'!$AA$2:$AA$495&lt;=4)*('CASE MASTER'!$AC$2:$AC$495&gt;=4)*('CASE MASTER'!$AB$2:$AB$495&lt;=2)*('CASE MASTER'!$AD$2:$AD$495&gt;=2))*ROW('CASE MASTER'!$T$2:$T$495))-(ROW('CASE MASTER'!#REF!)-1))))*(INDEX('CASE MASTER'!$AD$2:$AD$495,(SUMPRODUCT((('CASE MASTER'!$T$2:$T$495=9)*('CASE MASTER'!$AA$2:$AA$495&lt;=4)*('CASE MASTER'!$AC$2:$AC$495&gt;=4)*('CASE MASTER'!$AB$2:$AB$495&lt;=2)*('CASE MASTER'!$AD$2:$AD$495&gt;=2))*ROW('CASE MASTER'!$T$2:$T$495))-(ROW('CASE MASTER'!#REF!)-1)))-INDEX('CASE MASTER'!$AB$2:$AB$495,(SUMPRODUCT((('CASE MASTER'!$T$2:$T$495=9)*('CASE MASTER'!$AA$2:$AA$495&lt;=4)*('CASE MASTER'!$AC$2:$AC$495&gt;=4)*('CASE MASTER'!$AB$2:$AB$495&lt;=2)*('CASE MASTER'!$AD$2:$AD$495&gt;=2))*ROW('CASE MASTER'!$T$2:$T$495))-(ROW('CASE MASTER'!#REF!)-1)))+1)+(2-INDEX('CASE MASTER'!$AB$2:$AB$495,(SUMPRODUCT((('CASE MASTER'!$T$2:$T$495=9)*('CASE MASTER'!$AA$2:$AA$495&lt;=4)*('CASE MASTER'!$AC$2:$AC$495&gt;=4)*('CASE MASTER'!$AB$2:$AB$495&lt;=2)*('CASE MASTER'!$AD$2:$AD$495&gt;=2))*ROW('CASE MASTER'!$T$2:$T$495))-(ROW('CASE MASTER'!#REF!)-1))))+1)))-1)*50+1,50))&amp;"_"&amp;INDEX('CASE MASTER'!$Q$2:$Q$495,(SUMPRODUCT((('CASE MASTER'!$T$2:$T$495=9)*('CASE MASTER'!$AA$2:$AA$495&lt;=4)*('CASE MASTER'!$AC$2:$AC$495&gt;=4)*('CASE MASTER'!$AB$2:$AB$495&lt;=2)*('CASE MASTER'!$AD$2:$AD$495&gt;=2))*ROW('CASE MASTER'!$T$2:$T$495))-(ROW('CASE MASTER'!#REF!)-1))),"")),"")</f>
        <v/>
      </c>
      <c r="D118" s="10" t="str">
        <f>IFERROR(IF(SUMPRODUCT((('CASE MASTER'!$T$2:$T$495=9)*('CASE MASTER'!$U$2:$U$495&lt;=4)*('CASE MASTER'!$W$2:$W$495&gt;=4)*('CASE MASTER'!$V$2:$V$495&lt;=3)*('CASE MASTER'!$X$2:$X$495&gt;=3))*ROW('CASE MASTER'!$T$2:$T$495))&gt;0,INDEX('CASE MASTER'!$Y$2:$Y$495,(SUMPRODUCT((('CASE MASTER'!$T$2:$T$495=9)*('CASE MASTER'!$U$2:$U$495&lt;=4)*('CASE MASTER'!$W$2:$W$495&gt;=4)*('CASE MASTER'!$V$2:$V$495&lt;=3)*('CASE MASTER'!$X$2:$X$495&gt;=3))*ROW('CASE MASTER'!$T$2:$T$495))-(ROW('CASE MASTER'!#REF!)-1)))&amp;TRIM(MID(SUBSTITUTE(SUBSTITUTE(INDEX('CASE MASTER'!$N$2:$N$495,(SUMPRODUCT((('CASE MASTER'!$T$2:$T$495=9)*('CASE MASTER'!$U$2:$U$495&lt;=4)*('CASE MASTER'!$W$2:$W$495&gt;=4)*('CASE MASTER'!$V$2:$V$495&lt;=3)*('CASE MASTER'!$X$2:$X$495&gt;=3))*ROW('CASE MASTER'!$T$2:$T$495))-(ROW('CASE MASTER'!#REF!)-1))),":",","),",",REPT(" ",50)),((((4-INDEX('CASE MASTER'!$U$2:$U$495,(SUMPRODUCT((('CASE MASTER'!$T$2:$T$495=9)*('CASE MASTER'!$U$2:$U$495&lt;=4)*('CASE MASTER'!$W$2:$W$495&gt;=4)*('CASE MASTER'!$V$2:$V$495&lt;=3)*('CASE MASTER'!$X$2:$X$495&gt;=3))*ROW('CASE MASTER'!$T$2:$T$495))-(ROW('CASE MASTER'!#REF!)-1))))*(INDEX('CASE MASTER'!$X$2:$X$495,(SUMPRODUCT((('CASE MASTER'!$T$2:$T$495=9)*('CASE MASTER'!$U$2:$U$495&lt;=4)*('CASE MASTER'!$W$2:$W$495&gt;=4)*('CASE MASTER'!$V$2:$V$495&lt;=3)*('CASE MASTER'!$X$2:$X$495&gt;=3))*ROW('CASE MASTER'!$T$2:$T$495))-(ROW('CASE MASTER'!#REF!)-1)))-INDEX('CASE MASTER'!$V$2:$V$495,(SUMPRODUCT((('CASE MASTER'!$T$2:$T$495=9)*('CASE MASTER'!$U$2:$U$495&lt;=4)*('CASE MASTER'!$W$2:$W$495&gt;=4)*('CASE MASTER'!$V$2:$V$495&lt;=3)*('CASE MASTER'!$X$2:$X$495&gt;=3))*ROW('CASE MASTER'!$T$2:$T$495))-(ROW('CASE MASTER'!#REF!)-1)))+1)+(3-INDEX('CASE MASTER'!$V$2:$V$495,(SUMPRODUCT((('CASE MASTER'!$T$2:$T$495=9)*('CASE MASTER'!$U$2:$U$495&lt;=4)*('CASE MASTER'!$W$2:$W$495&gt;=4)*('CASE MASTER'!$V$2:$V$495&lt;=3)*('CASE MASTER'!$X$2:$X$495&gt;=3))*ROW('CASE MASTER'!$T$2:$T$495))-(ROW('CASE MASTER'!#REF!)-1))))+1))-1)*50+1,50))&amp;"_"&amp;INDEX('CASE MASTER'!$Q$2:$Q$495,(SUMPRODUCT((('CASE MASTER'!$T$2:$T$495=9)*('CASE MASTER'!$U$2:$U$495&lt;=4)*('CASE MASTER'!$W$2:$W$495&gt;=4)*('CASE MASTER'!$V$2:$V$495&lt;=3)*('CASE MASTER'!$X$2:$X$495&gt;=3))*ROW('CASE MASTER'!$T$2:$T$495))-(ROW('CASE MASTER'!#REF!)-1))),IF(SUMPRODUCT((('CASE MASTER'!$T$2:$T$495=9)*('CASE MASTER'!$AA$2:$AA$495&lt;=4)*('CASE MASTER'!$AC$2:$AC$495&gt;=4)*('CASE MASTER'!$AB$2:$AB$495&lt;=3)*('CASE MASTER'!$AD$2:$AD$495&gt;=3))*ROW('CASE MASTER'!$T$2:$T$495))&gt;0,INDEX('CASE MASTER'!$Y$2:$Y$495,(SUMPRODUCT((('CASE MASTER'!$T$2:$T$495=9)*('CASE MASTER'!$AA$2:$AA$495&lt;=4)*('CASE MASTER'!$AC$2:$AC$495&gt;=4)*('CASE MASTER'!$AB$2:$AB$495&lt;=3)*('CASE MASTER'!$AD$2:$AD$495&gt;=3))*ROW('CASE MASTER'!$T$2:$T$495))-(ROW('CASE MASTER'!#REF!)-1)))&amp;TRIM(MID(SUBSTITUTE(SUBSTITUTE(INDEX('CASE MASTER'!$N$2:$N$495,(SUMPRODUCT((('CASE MASTER'!$T$2:$T$495=9)*('CASE MASTER'!$AA$2:$AA$495&lt;=4)*('CASE MASTER'!$AC$2:$AC$495&gt;=4)*('CASE MASTER'!$AB$2:$AB$495&lt;=3)*('CASE MASTER'!$AD$2:$AD$495&gt;=3))*ROW('CASE MASTER'!$T$2:$T$495))-(ROW('CASE MASTER'!#REF!)-1))),":",","),",",REPT(" ",50)),(((INDEX('CASE MASTER'!$Z$2:$Z$495,(SUMPRODUCT((('CASE MASTER'!$T$2:$T$495=9)*('CASE MASTER'!$AA$2:$AA$495&lt;=4)*('CASE MASTER'!$AC$2:$AC$495&gt;=4)*('CASE MASTER'!$AB$2:$AB$495&lt;=3)*('CASE MASTER'!$AD$2:$AD$495&gt;=3))*ROW('CASE MASTER'!$T$2:$T$495))-(ROW('CASE MASTER'!#REF!)-1)))+((4-INDEX('CASE MASTER'!$AA$2:$AA$495,(SUMPRODUCT((('CASE MASTER'!$T$2:$T$495=9)*('CASE MASTER'!$AA$2:$AA$495&lt;=4)*('CASE MASTER'!$AC$2:$AC$495&gt;=4)*('CASE MASTER'!$AB$2:$AB$495&lt;=3)*('CASE MASTER'!$AD$2:$AD$495&gt;=3))*ROW('CASE MASTER'!$T$2:$T$495))-(ROW('CASE MASTER'!#REF!)-1))))*(INDEX('CASE MASTER'!$AD$2:$AD$495,(SUMPRODUCT((('CASE MASTER'!$T$2:$T$495=9)*('CASE MASTER'!$AA$2:$AA$495&lt;=4)*('CASE MASTER'!$AC$2:$AC$495&gt;=4)*('CASE MASTER'!$AB$2:$AB$495&lt;=3)*('CASE MASTER'!$AD$2:$AD$495&gt;=3))*ROW('CASE MASTER'!$T$2:$T$495))-(ROW('CASE MASTER'!#REF!)-1)))-INDEX('CASE MASTER'!$AB$2:$AB$495,(SUMPRODUCT((('CASE MASTER'!$T$2:$T$495=9)*('CASE MASTER'!$AA$2:$AA$495&lt;=4)*('CASE MASTER'!$AC$2:$AC$495&gt;=4)*('CASE MASTER'!$AB$2:$AB$495&lt;=3)*('CASE MASTER'!$AD$2:$AD$495&gt;=3))*ROW('CASE MASTER'!$T$2:$T$495))-(ROW('CASE MASTER'!#REF!)-1)))+1)+(3-INDEX('CASE MASTER'!$AB$2:$AB$495,(SUMPRODUCT((('CASE MASTER'!$T$2:$T$495=9)*('CASE MASTER'!$AA$2:$AA$495&lt;=4)*('CASE MASTER'!$AC$2:$AC$495&gt;=4)*('CASE MASTER'!$AB$2:$AB$495&lt;=3)*('CASE MASTER'!$AD$2:$AD$495&gt;=3))*ROW('CASE MASTER'!$T$2:$T$495))-(ROW('CASE MASTER'!#REF!)-1))))+1)))-1)*50+1,50))&amp;"_"&amp;INDEX('CASE MASTER'!$Q$2:$Q$495,(SUMPRODUCT((('CASE MASTER'!$T$2:$T$495=9)*('CASE MASTER'!$AA$2:$AA$495&lt;=4)*('CASE MASTER'!$AC$2:$AC$495&gt;=4)*('CASE MASTER'!$AB$2:$AB$495&lt;=3)*('CASE MASTER'!$AD$2:$AD$495&gt;=3))*ROW('CASE MASTER'!$T$2:$T$495))-(ROW('CASE MASTER'!#REF!)-1))),"")),"")</f>
        <v/>
      </c>
      <c r="E118" s="10" t="str">
        <f>IFERROR(IF(SUMPRODUCT((('CASE MASTER'!$T$2:$T$495=9)*('CASE MASTER'!$U$2:$U$495&lt;=4)*('CASE MASTER'!$W$2:$W$495&gt;=4)*('CASE MASTER'!$V$2:$V$495&lt;=4)*('CASE MASTER'!$X$2:$X$495&gt;=4))*ROW('CASE MASTER'!$T$2:$T$495))&gt;0,INDEX('CASE MASTER'!$Y$2:$Y$495,(SUMPRODUCT((('CASE MASTER'!$T$2:$T$495=9)*('CASE MASTER'!$U$2:$U$495&lt;=4)*('CASE MASTER'!$W$2:$W$495&gt;=4)*('CASE MASTER'!$V$2:$V$495&lt;=4)*('CASE MASTER'!$X$2:$X$495&gt;=4))*ROW('CASE MASTER'!$T$2:$T$495))-(ROW('CASE MASTER'!#REF!)-1)))&amp;TRIM(MID(SUBSTITUTE(SUBSTITUTE(INDEX('CASE MASTER'!$N$2:$N$495,(SUMPRODUCT((('CASE MASTER'!$T$2:$T$495=9)*('CASE MASTER'!$U$2:$U$495&lt;=4)*('CASE MASTER'!$W$2:$W$495&gt;=4)*('CASE MASTER'!$V$2:$V$495&lt;=4)*('CASE MASTER'!$X$2:$X$495&gt;=4))*ROW('CASE MASTER'!$T$2:$T$495))-(ROW('CASE MASTER'!#REF!)-1))),":",","),",",REPT(" ",50)),((((4-INDEX('CASE MASTER'!$U$2:$U$495,(SUMPRODUCT((('CASE MASTER'!$T$2:$T$495=9)*('CASE MASTER'!$U$2:$U$495&lt;=4)*('CASE MASTER'!$W$2:$W$495&gt;=4)*('CASE MASTER'!$V$2:$V$495&lt;=4)*('CASE MASTER'!$X$2:$X$495&gt;=4))*ROW('CASE MASTER'!$T$2:$T$495))-(ROW('CASE MASTER'!#REF!)-1))))*(INDEX('CASE MASTER'!$X$2:$X$495,(SUMPRODUCT((('CASE MASTER'!$T$2:$T$495=9)*('CASE MASTER'!$U$2:$U$495&lt;=4)*('CASE MASTER'!$W$2:$W$495&gt;=4)*('CASE MASTER'!$V$2:$V$495&lt;=4)*('CASE MASTER'!$X$2:$X$495&gt;=4))*ROW('CASE MASTER'!$T$2:$T$495))-(ROW('CASE MASTER'!#REF!)-1)))-INDEX('CASE MASTER'!$V$2:$V$495,(SUMPRODUCT((('CASE MASTER'!$T$2:$T$495=9)*('CASE MASTER'!$U$2:$U$495&lt;=4)*('CASE MASTER'!$W$2:$W$495&gt;=4)*('CASE MASTER'!$V$2:$V$495&lt;=4)*('CASE MASTER'!$X$2:$X$495&gt;=4))*ROW('CASE MASTER'!$T$2:$T$495))-(ROW('CASE MASTER'!#REF!)-1)))+1)+(4-INDEX('CASE MASTER'!$V$2:$V$495,(SUMPRODUCT((('CASE MASTER'!$T$2:$T$495=9)*('CASE MASTER'!$U$2:$U$495&lt;=4)*('CASE MASTER'!$W$2:$W$495&gt;=4)*('CASE MASTER'!$V$2:$V$495&lt;=4)*('CASE MASTER'!$X$2:$X$495&gt;=4))*ROW('CASE MASTER'!$T$2:$T$495))-(ROW('CASE MASTER'!#REF!)-1))))+1))-1)*50+1,50))&amp;"_"&amp;INDEX('CASE MASTER'!$Q$2:$Q$495,(SUMPRODUCT((('CASE MASTER'!$T$2:$T$495=9)*('CASE MASTER'!$U$2:$U$495&lt;=4)*('CASE MASTER'!$W$2:$W$495&gt;=4)*('CASE MASTER'!$V$2:$V$495&lt;=4)*('CASE MASTER'!$X$2:$X$495&gt;=4))*ROW('CASE MASTER'!$T$2:$T$495))-(ROW('CASE MASTER'!#REF!)-1))),IF(SUMPRODUCT((('CASE MASTER'!$T$2:$T$495=9)*('CASE MASTER'!$AA$2:$AA$495&lt;=4)*('CASE MASTER'!$AC$2:$AC$495&gt;=4)*('CASE MASTER'!$AB$2:$AB$495&lt;=4)*('CASE MASTER'!$AD$2:$AD$495&gt;=4))*ROW('CASE MASTER'!$T$2:$T$495))&gt;0,INDEX('CASE MASTER'!$Y$2:$Y$495,(SUMPRODUCT((('CASE MASTER'!$T$2:$T$495=9)*('CASE MASTER'!$AA$2:$AA$495&lt;=4)*('CASE MASTER'!$AC$2:$AC$495&gt;=4)*('CASE MASTER'!$AB$2:$AB$495&lt;=4)*('CASE MASTER'!$AD$2:$AD$495&gt;=4))*ROW('CASE MASTER'!$T$2:$T$495))-(ROW('CASE MASTER'!#REF!)-1)))&amp;TRIM(MID(SUBSTITUTE(SUBSTITUTE(INDEX('CASE MASTER'!$N$2:$N$495,(SUMPRODUCT((('CASE MASTER'!$T$2:$T$495=9)*('CASE MASTER'!$AA$2:$AA$495&lt;=4)*('CASE MASTER'!$AC$2:$AC$495&gt;=4)*('CASE MASTER'!$AB$2:$AB$495&lt;=4)*('CASE MASTER'!$AD$2:$AD$495&gt;=4))*ROW('CASE MASTER'!$T$2:$T$495))-(ROW('CASE MASTER'!#REF!)-1))),":",","),",",REPT(" ",50)),(((INDEX('CASE MASTER'!$Z$2:$Z$495,(SUMPRODUCT((('CASE MASTER'!$T$2:$T$495=9)*('CASE MASTER'!$AA$2:$AA$495&lt;=4)*('CASE MASTER'!$AC$2:$AC$495&gt;=4)*('CASE MASTER'!$AB$2:$AB$495&lt;=4)*('CASE MASTER'!$AD$2:$AD$495&gt;=4))*ROW('CASE MASTER'!$T$2:$T$495))-(ROW('CASE MASTER'!#REF!)-1)))+((4-INDEX('CASE MASTER'!$AA$2:$AA$495,(SUMPRODUCT((('CASE MASTER'!$T$2:$T$495=9)*('CASE MASTER'!$AA$2:$AA$495&lt;=4)*('CASE MASTER'!$AC$2:$AC$495&gt;=4)*('CASE MASTER'!$AB$2:$AB$495&lt;=4)*('CASE MASTER'!$AD$2:$AD$495&gt;=4))*ROW('CASE MASTER'!$T$2:$T$495))-(ROW('CASE MASTER'!#REF!)-1))))*(INDEX('CASE MASTER'!$AD$2:$AD$495,(SUMPRODUCT((('CASE MASTER'!$T$2:$T$495=9)*('CASE MASTER'!$AA$2:$AA$495&lt;=4)*('CASE MASTER'!$AC$2:$AC$495&gt;=4)*('CASE MASTER'!$AB$2:$AB$495&lt;=4)*('CASE MASTER'!$AD$2:$AD$495&gt;=4))*ROW('CASE MASTER'!$T$2:$T$495))-(ROW('CASE MASTER'!#REF!)-1)))-INDEX('CASE MASTER'!$AB$2:$AB$495,(SUMPRODUCT((('CASE MASTER'!$T$2:$T$495=9)*('CASE MASTER'!$AA$2:$AA$495&lt;=4)*('CASE MASTER'!$AC$2:$AC$495&gt;=4)*('CASE MASTER'!$AB$2:$AB$495&lt;=4)*('CASE MASTER'!$AD$2:$AD$495&gt;=4))*ROW('CASE MASTER'!$T$2:$T$495))-(ROW('CASE MASTER'!#REF!)-1)))+1)+(4-INDEX('CASE MASTER'!$AB$2:$AB$495,(SUMPRODUCT((('CASE MASTER'!$T$2:$T$495=9)*('CASE MASTER'!$AA$2:$AA$495&lt;=4)*('CASE MASTER'!$AC$2:$AC$495&gt;=4)*('CASE MASTER'!$AB$2:$AB$495&lt;=4)*('CASE MASTER'!$AD$2:$AD$495&gt;=4))*ROW('CASE MASTER'!$T$2:$T$495))-(ROW('CASE MASTER'!#REF!)-1))))+1)))-1)*50+1,50))&amp;"_"&amp;INDEX('CASE MASTER'!$Q$2:$Q$495,(SUMPRODUCT((('CASE MASTER'!$T$2:$T$495=9)*('CASE MASTER'!$AA$2:$AA$495&lt;=4)*('CASE MASTER'!$AC$2:$AC$495&gt;=4)*('CASE MASTER'!$AB$2:$AB$495&lt;=4)*('CASE MASTER'!$AD$2:$AD$495&gt;=4))*ROW('CASE MASTER'!$T$2:$T$495))-(ROW('CASE MASTER'!#REF!)-1))),"")),"")</f>
        <v/>
      </c>
      <c r="F118" s="10" t="str">
        <f>IFERROR(IF(SUMPRODUCT((('CASE MASTER'!$T$2:$T$495=9)*('CASE MASTER'!$U$2:$U$495&lt;=4)*('CASE MASTER'!$W$2:$W$495&gt;=4)*('CASE MASTER'!$V$2:$V$495&lt;=5)*('CASE MASTER'!$X$2:$X$495&gt;=5))*ROW('CASE MASTER'!$T$2:$T$495))&gt;0,INDEX('CASE MASTER'!$Y$2:$Y$495,(SUMPRODUCT((('CASE MASTER'!$T$2:$T$495=9)*('CASE MASTER'!$U$2:$U$495&lt;=4)*('CASE MASTER'!$W$2:$W$495&gt;=4)*('CASE MASTER'!$V$2:$V$495&lt;=5)*('CASE MASTER'!$X$2:$X$495&gt;=5))*ROW('CASE MASTER'!$T$2:$T$495))-(ROW('CASE MASTER'!#REF!)-1)))&amp;TRIM(MID(SUBSTITUTE(SUBSTITUTE(INDEX('CASE MASTER'!$N$2:$N$495,(SUMPRODUCT((('CASE MASTER'!$T$2:$T$495=9)*('CASE MASTER'!$U$2:$U$495&lt;=4)*('CASE MASTER'!$W$2:$W$495&gt;=4)*('CASE MASTER'!$V$2:$V$495&lt;=5)*('CASE MASTER'!$X$2:$X$495&gt;=5))*ROW('CASE MASTER'!$T$2:$T$495))-(ROW('CASE MASTER'!#REF!)-1))),":",","),",",REPT(" ",50)),((((4-INDEX('CASE MASTER'!$U$2:$U$495,(SUMPRODUCT((('CASE MASTER'!$T$2:$T$495=9)*('CASE MASTER'!$U$2:$U$495&lt;=4)*('CASE MASTER'!$W$2:$W$495&gt;=4)*('CASE MASTER'!$V$2:$V$495&lt;=5)*('CASE MASTER'!$X$2:$X$495&gt;=5))*ROW('CASE MASTER'!$T$2:$T$495))-(ROW('CASE MASTER'!#REF!)-1))))*(INDEX('CASE MASTER'!$X$2:$X$495,(SUMPRODUCT((('CASE MASTER'!$T$2:$T$495=9)*('CASE MASTER'!$U$2:$U$495&lt;=4)*('CASE MASTER'!$W$2:$W$495&gt;=4)*('CASE MASTER'!$V$2:$V$495&lt;=5)*('CASE MASTER'!$X$2:$X$495&gt;=5))*ROW('CASE MASTER'!$T$2:$T$495))-(ROW('CASE MASTER'!#REF!)-1)))-INDEX('CASE MASTER'!$V$2:$V$495,(SUMPRODUCT((('CASE MASTER'!$T$2:$T$495=9)*('CASE MASTER'!$U$2:$U$495&lt;=4)*('CASE MASTER'!$W$2:$W$495&gt;=4)*('CASE MASTER'!$V$2:$V$495&lt;=5)*('CASE MASTER'!$X$2:$X$495&gt;=5))*ROW('CASE MASTER'!$T$2:$T$495))-(ROW('CASE MASTER'!#REF!)-1)))+1)+(5-INDEX('CASE MASTER'!$V$2:$V$495,(SUMPRODUCT((('CASE MASTER'!$T$2:$T$495=9)*('CASE MASTER'!$U$2:$U$495&lt;=4)*('CASE MASTER'!$W$2:$W$495&gt;=4)*('CASE MASTER'!$V$2:$V$495&lt;=5)*('CASE MASTER'!$X$2:$X$495&gt;=5))*ROW('CASE MASTER'!$T$2:$T$495))-(ROW('CASE MASTER'!#REF!)-1))))+1))-1)*50+1,50))&amp;"_"&amp;INDEX('CASE MASTER'!$Q$2:$Q$495,(SUMPRODUCT((('CASE MASTER'!$T$2:$T$495=9)*('CASE MASTER'!$U$2:$U$495&lt;=4)*('CASE MASTER'!$W$2:$W$495&gt;=4)*('CASE MASTER'!$V$2:$V$495&lt;=5)*('CASE MASTER'!$X$2:$X$495&gt;=5))*ROW('CASE MASTER'!$T$2:$T$495))-(ROW('CASE MASTER'!#REF!)-1))),IF(SUMPRODUCT((('CASE MASTER'!$T$2:$T$495=9)*('CASE MASTER'!$AA$2:$AA$495&lt;=4)*('CASE MASTER'!$AC$2:$AC$495&gt;=4)*('CASE MASTER'!$AB$2:$AB$495&lt;=5)*('CASE MASTER'!$AD$2:$AD$495&gt;=5))*ROW('CASE MASTER'!$T$2:$T$495))&gt;0,INDEX('CASE MASTER'!$Y$2:$Y$495,(SUMPRODUCT((('CASE MASTER'!$T$2:$T$495=9)*('CASE MASTER'!$AA$2:$AA$495&lt;=4)*('CASE MASTER'!$AC$2:$AC$495&gt;=4)*('CASE MASTER'!$AB$2:$AB$495&lt;=5)*('CASE MASTER'!$AD$2:$AD$495&gt;=5))*ROW('CASE MASTER'!$T$2:$T$495))-(ROW('CASE MASTER'!#REF!)-1)))&amp;TRIM(MID(SUBSTITUTE(SUBSTITUTE(INDEX('CASE MASTER'!$N$2:$N$495,(SUMPRODUCT((('CASE MASTER'!$T$2:$T$495=9)*('CASE MASTER'!$AA$2:$AA$495&lt;=4)*('CASE MASTER'!$AC$2:$AC$495&gt;=4)*('CASE MASTER'!$AB$2:$AB$495&lt;=5)*('CASE MASTER'!$AD$2:$AD$495&gt;=5))*ROW('CASE MASTER'!$T$2:$T$495))-(ROW('CASE MASTER'!#REF!)-1))),":",","),",",REPT(" ",50)),(((INDEX('CASE MASTER'!$Z$2:$Z$495,(SUMPRODUCT((('CASE MASTER'!$T$2:$T$495=9)*('CASE MASTER'!$AA$2:$AA$495&lt;=4)*('CASE MASTER'!$AC$2:$AC$495&gt;=4)*('CASE MASTER'!$AB$2:$AB$495&lt;=5)*('CASE MASTER'!$AD$2:$AD$495&gt;=5))*ROW('CASE MASTER'!$T$2:$T$495))-(ROW('CASE MASTER'!#REF!)-1)))+((4-INDEX('CASE MASTER'!$AA$2:$AA$495,(SUMPRODUCT((('CASE MASTER'!$T$2:$T$495=9)*('CASE MASTER'!$AA$2:$AA$495&lt;=4)*('CASE MASTER'!$AC$2:$AC$495&gt;=4)*('CASE MASTER'!$AB$2:$AB$495&lt;=5)*('CASE MASTER'!$AD$2:$AD$495&gt;=5))*ROW('CASE MASTER'!$T$2:$T$495))-(ROW('CASE MASTER'!#REF!)-1))))*(INDEX('CASE MASTER'!$AD$2:$AD$495,(SUMPRODUCT((('CASE MASTER'!$T$2:$T$495=9)*('CASE MASTER'!$AA$2:$AA$495&lt;=4)*('CASE MASTER'!$AC$2:$AC$495&gt;=4)*('CASE MASTER'!$AB$2:$AB$495&lt;=5)*('CASE MASTER'!$AD$2:$AD$495&gt;=5))*ROW('CASE MASTER'!$T$2:$T$495))-(ROW('CASE MASTER'!#REF!)-1)))-INDEX('CASE MASTER'!$AB$2:$AB$495,(SUMPRODUCT((('CASE MASTER'!$T$2:$T$495=9)*('CASE MASTER'!$AA$2:$AA$495&lt;=4)*('CASE MASTER'!$AC$2:$AC$495&gt;=4)*('CASE MASTER'!$AB$2:$AB$495&lt;=5)*('CASE MASTER'!$AD$2:$AD$495&gt;=5))*ROW('CASE MASTER'!$T$2:$T$495))-(ROW('CASE MASTER'!#REF!)-1)))+1)+(5-INDEX('CASE MASTER'!$AB$2:$AB$495,(SUMPRODUCT((('CASE MASTER'!$T$2:$T$495=9)*('CASE MASTER'!$AA$2:$AA$495&lt;=4)*('CASE MASTER'!$AC$2:$AC$495&gt;=4)*('CASE MASTER'!$AB$2:$AB$495&lt;=5)*('CASE MASTER'!$AD$2:$AD$495&gt;=5))*ROW('CASE MASTER'!$T$2:$T$495))-(ROW('CASE MASTER'!#REF!)-1))))+1)))-1)*50+1,50))&amp;"_"&amp;INDEX('CASE MASTER'!$Q$2:$Q$495,(SUMPRODUCT((('CASE MASTER'!$T$2:$T$495=9)*('CASE MASTER'!$AA$2:$AA$495&lt;=4)*('CASE MASTER'!$AC$2:$AC$495&gt;=4)*('CASE MASTER'!$AB$2:$AB$495&lt;=5)*('CASE MASTER'!$AD$2:$AD$495&gt;=5))*ROW('CASE MASTER'!$T$2:$T$495))-(ROW('CASE MASTER'!#REF!)-1))),"")),"")</f>
        <v/>
      </c>
      <c r="G118" s="10" t="str">
        <f>IFERROR(IF(SUMPRODUCT((('CASE MASTER'!$T$2:$T$495=9)*('CASE MASTER'!$U$2:$U$495&lt;=4)*('CASE MASTER'!$W$2:$W$495&gt;=4)*('CASE MASTER'!$V$2:$V$495&lt;=6)*('CASE MASTER'!$X$2:$X$495&gt;=6))*ROW('CASE MASTER'!$T$2:$T$495))&gt;0,INDEX('CASE MASTER'!$Y$2:$Y$495,(SUMPRODUCT((('CASE MASTER'!$T$2:$T$495=9)*('CASE MASTER'!$U$2:$U$495&lt;=4)*('CASE MASTER'!$W$2:$W$495&gt;=4)*('CASE MASTER'!$V$2:$V$495&lt;=6)*('CASE MASTER'!$X$2:$X$495&gt;=6))*ROW('CASE MASTER'!$T$2:$T$495))-(ROW('CASE MASTER'!#REF!)-1)))&amp;TRIM(MID(SUBSTITUTE(SUBSTITUTE(INDEX('CASE MASTER'!$N$2:$N$495,(SUMPRODUCT((('CASE MASTER'!$T$2:$T$495=9)*('CASE MASTER'!$U$2:$U$495&lt;=4)*('CASE MASTER'!$W$2:$W$495&gt;=4)*('CASE MASTER'!$V$2:$V$495&lt;=6)*('CASE MASTER'!$X$2:$X$495&gt;=6))*ROW('CASE MASTER'!$T$2:$T$495))-(ROW('CASE MASTER'!#REF!)-1))),":",","),",",REPT(" ",50)),((((4-INDEX('CASE MASTER'!$U$2:$U$495,(SUMPRODUCT((('CASE MASTER'!$T$2:$T$495=9)*('CASE MASTER'!$U$2:$U$495&lt;=4)*('CASE MASTER'!$W$2:$W$495&gt;=4)*('CASE MASTER'!$V$2:$V$495&lt;=6)*('CASE MASTER'!$X$2:$X$495&gt;=6))*ROW('CASE MASTER'!$T$2:$T$495))-(ROW('CASE MASTER'!#REF!)-1))))*(INDEX('CASE MASTER'!$X$2:$X$495,(SUMPRODUCT((('CASE MASTER'!$T$2:$T$495=9)*('CASE MASTER'!$U$2:$U$495&lt;=4)*('CASE MASTER'!$W$2:$W$495&gt;=4)*('CASE MASTER'!$V$2:$V$495&lt;=6)*('CASE MASTER'!$X$2:$X$495&gt;=6))*ROW('CASE MASTER'!$T$2:$T$495))-(ROW('CASE MASTER'!#REF!)-1)))-INDEX('CASE MASTER'!$V$2:$V$495,(SUMPRODUCT((('CASE MASTER'!$T$2:$T$495=9)*('CASE MASTER'!$U$2:$U$495&lt;=4)*('CASE MASTER'!$W$2:$W$495&gt;=4)*('CASE MASTER'!$V$2:$V$495&lt;=6)*('CASE MASTER'!$X$2:$X$495&gt;=6))*ROW('CASE MASTER'!$T$2:$T$495))-(ROW('CASE MASTER'!#REF!)-1)))+1)+(6-INDEX('CASE MASTER'!$V$2:$V$495,(SUMPRODUCT((('CASE MASTER'!$T$2:$T$495=9)*('CASE MASTER'!$U$2:$U$495&lt;=4)*('CASE MASTER'!$W$2:$W$495&gt;=4)*('CASE MASTER'!$V$2:$V$495&lt;=6)*('CASE MASTER'!$X$2:$X$495&gt;=6))*ROW('CASE MASTER'!$T$2:$T$495))-(ROW('CASE MASTER'!#REF!)-1))))+1))-1)*50+1,50))&amp;"_"&amp;INDEX('CASE MASTER'!$Q$2:$Q$495,(SUMPRODUCT((('CASE MASTER'!$T$2:$T$495=9)*('CASE MASTER'!$U$2:$U$495&lt;=4)*('CASE MASTER'!$W$2:$W$495&gt;=4)*('CASE MASTER'!$V$2:$V$495&lt;=6)*('CASE MASTER'!$X$2:$X$495&gt;=6))*ROW('CASE MASTER'!$T$2:$T$495))-(ROW('CASE MASTER'!#REF!)-1))),IF(SUMPRODUCT((('CASE MASTER'!$T$2:$T$495=9)*('CASE MASTER'!$AA$2:$AA$495&lt;=4)*('CASE MASTER'!$AC$2:$AC$495&gt;=4)*('CASE MASTER'!$AB$2:$AB$495&lt;=6)*('CASE MASTER'!$AD$2:$AD$495&gt;=6))*ROW('CASE MASTER'!$T$2:$T$495))&gt;0,INDEX('CASE MASTER'!$Y$2:$Y$495,(SUMPRODUCT((('CASE MASTER'!$T$2:$T$495=9)*('CASE MASTER'!$AA$2:$AA$495&lt;=4)*('CASE MASTER'!$AC$2:$AC$495&gt;=4)*('CASE MASTER'!$AB$2:$AB$495&lt;=6)*('CASE MASTER'!$AD$2:$AD$495&gt;=6))*ROW('CASE MASTER'!$T$2:$T$495))-(ROW('CASE MASTER'!#REF!)-1)))&amp;TRIM(MID(SUBSTITUTE(SUBSTITUTE(INDEX('CASE MASTER'!$N$2:$N$495,(SUMPRODUCT((('CASE MASTER'!$T$2:$T$495=9)*('CASE MASTER'!$AA$2:$AA$495&lt;=4)*('CASE MASTER'!$AC$2:$AC$495&gt;=4)*('CASE MASTER'!$AB$2:$AB$495&lt;=6)*('CASE MASTER'!$AD$2:$AD$495&gt;=6))*ROW('CASE MASTER'!$T$2:$T$495))-(ROW('CASE MASTER'!#REF!)-1))),":",","),",",REPT(" ",50)),(((INDEX('CASE MASTER'!$Z$2:$Z$495,(SUMPRODUCT((('CASE MASTER'!$T$2:$T$495=9)*('CASE MASTER'!$AA$2:$AA$495&lt;=4)*('CASE MASTER'!$AC$2:$AC$495&gt;=4)*('CASE MASTER'!$AB$2:$AB$495&lt;=6)*('CASE MASTER'!$AD$2:$AD$495&gt;=6))*ROW('CASE MASTER'!$T$2:$T$495))-(ROW('CASE MASTER'!#REF!)-1)))+((4-INDEX('CASE MASTER'!$AA$2:$AA$495,(SUMPRODUCT((('CASE MASTER'!$T$2:$T$495=9)*('CASE MASTER'!$AA$2:$AA$495&lt;=4)*('CASE MASTER'!$AC$2:$AC$495&gt;=4)*('CASE MASTER'!$AB$2:$AB$495&lt;=6)*('CASE MASTER'!$AD$2:$AD$495&gt;=6))*ROW('CASE MASTER'!$T$2:$T$495))-(ROW('CASE MASTER'!#REF!)-1))))*(INDEX('CASE MASTER'!$AD$2:$AD$495,(SUMPRODUCT((('CASE MASTER'!$T$2:$T$495=9)*('CASE MASTER'!$AA$2:$AA$495&lt;=4)*('CASE MASTER'!$AC$2:$AC$495&gt;=4)*('CASE MASTER'!$AB$2:$AB$495&lt;=6)*('CASE MASTER'!$AD$2:$AD$495&gt;=6))*ROW('CASE MASTER'!$T$2:$T$495))-(ROW('CASE MASTER'!#REF!)-1)))-INDEX('CASE MASTER'!$AB$2:$AB$495,(SUMPRODUCT((('CASE MASTER'!$T$2:$T$495=9)*('CASE MASTER'!$AA$2:$AA$495&lt;=4)*('CASE MASTER'!$AC$2:$AC$495&gt;=4)*('CASE MASTER'!$AB$2:$AB$495&lt;=6)*('CASE MASTER'!$AD$2:$AD$495&gt;=6))*ROW('CASE MASTER'!$T$2:$T$495))-(ROW('CASE MASTER'!#REF!)-1)))+1)+(6-INDEX('CASE MASTER'!$AB$2:$AB$495,(SUMPRODUCT((('CASE MASTER'!$T$2:$T$495=9)*('CASE MASTER'!$AA$2:$AA$495&lt;=4)*('CASE MASTER'!$AC$2:$AC$495&gt;=4)*('CASE MASTER'!$AB$2:$AB$495&lt;=6)*('CASE MASTER'!$AD$2:$AD$495&gt;=6))*ROW('CASE MASTER'!$T$2:$T$495))-(ROW('CASE MASTER'!#REF!)-1))))+1)))-1)*50+1,50))&amp;"_"&amp;INDEX('CASE MASTER'!$Q$2:$Q$495,(SUMPRODUCT((('CASE MASTER'!$T$2:$T$495=9)*('CASE MASTER'!$AA$2:$AA$495&lt;=4)*('CASE MASTER'!$AC$2:$AC$495&gt;=4)*('CASE MASTER'!$AB$2:$AB$495&lt;=6)*('CASE MASTER'!$AD$2:$AD$495&gt;=6))*ROW('CASE MASTER'!$T$2:$T$495))-(ROW('CASE MASTER'!#REF!)-1))),"")),"")</f>
        <v/>
      </c>
      <c r="H118" s="10" t="str">
        <f>IFERROR(IF(SUMPRODUCT((('CASE MASTER'!$T$2:$T$495=9)*('CASE MASTER'!$U$2:$U$495&lt;=4)*('CASE MASTER'!$W$2:$W$495&gt;=4)*('CASE MASTER'!$V$2:$V$495&lt;=7)*('CASE MASTER'!$X$2:$X$495&gt;=7))*ROW('CASE MASTER'!$T$2:$T$495))&gt;0,INDEX('CASE MASTER'!$Y$2:$Y$495,(SUMPRODUCT((('CASE MASTER'!$T$2:$T$495=9)*('CASE MASTER'!$U$2:$U$495&lt;=4)*('CASE MASTER'!$W$2:$W$495&gt;=4)*('CASE MASTER'!$V$2:$V$495&lt;=7)*('CASE MASTER'!$X$2:$X$495&gt;=7))*ROW('CASE MASTER'!$T$2:$T$495))-(ROW('CASE MASTER'!#REF!)-1)))&amp;TRIM(MID(SUBSTITUTE(SUBSTITUTE(INDEX('CASE MASTER'!$N$2:$N$495,(SUMPRODUCT((('CASE MASTER'!$T$2:$T$495=9)*('CASE MASTER'!$U$2:$U$495&lt;=4)*('CASE MASTER'!$W$2:$W$495&gt;=4)*('CASE MASTER'!$V$2:$V$495&lt;=7)*('CASE MASTER'!$X$2:$X$495&gt;=7))*ROW('CASE MASTER'!$T$2:$T$495))-(ROW('CASE MASTER'!#REF!)-1))),":",","),",",REPT(" ",50)),((((4-INDEX('CASE MASTER'!$U$2:$U$495,(SUMPRODUCT((('CASE MASTER'!$T$2:$T$495=9)*('CASE MASTER'!$U$2:$U$495&lt;=4)*('CASE MASTER'!$W$2:$W$495&gt;=4)*('CASE MASTER'!$V$2:$V$495&lt;=7)*('CASE MASTER'!$X$2:$X$495&gt;=7))*ROW('CASE MASTER'!$T$2:$T$495))-(ROW('CASE MASTER'!#REF!)-1))))*(INDEX('CASE MASTER'!$X$2:$X$495,(SUMPRODUCT((('CASE MASTER'!$T$2:$T$495=9)*('CASE MASTER'!$U$2:$U$495&lt;=4)*('CASE MASTER'!$W$2:$W$495&gt;=4)*('CASE MASTER'!$V$2:$V$495&lt;=7)*('CASE MASTER'!$X$2:$X$495&gt;=7))*ROW('CASE MASTER'!$T$2:$T$495))-(ROW('CASE MASTER'!#REF!)-1)))-INDEX('CASE MASTER'!$V$2:$V$495,(SUMPRODUCT((('CASE MASTER'!$T$2:$T$495=9)*('CASE MASTER'!$U$2:$U$495&lt;=4)*('CASE MASTER'!$W$2:$W$495&gt;=4)*('CASE MASTER'!$V$2:$V$495&lt;=7)*('CASE MASTER'!$X$2:$X$495&gt;=7))*ROW('CASE MASTER'!$T$2:$T$495))-(ROW('CASE MASTER'!#REF!)-1)))+1)+(7-INDEX('CASE MASTER'!$V$2:$V$495,(SUMPRODUCT((('CASE MASTER'!$T$2:$T$495=9)*('CASE MASTER'!$U$2:$U$495&lt;=4)*('CASE MASTER'!$W$2:$W$495&gt;=4)*('CASE MASTER'!$V$2:$V$495&lt;=7)*('CASE MASTER'!$X$2:$X$495&gt;=7))*ROW('CASE MASTER'!$T$2:$T$495))-(ROW('CASE MASTER'!#REF!)-1))))+1))-1)*50+1,50))&amp;"_"&amp;INDEX('CASE MASTER'!$Q$2:$Q$495,(SUMPRODUCT((('CASE MASTER'!$T$2:$T$495=9)*('CASE MASTER'!$U$2:$U$495&lt;=4)*('CASE MASTER'!$W$2:$W$495&gt;=4)*('CASE MASTER'!$V$2:$V$495&lt;=7)*('CASE MASTER'!$X$2:$X$495&gt;=7))*ROW('CASE MASTER'!$T$2:$T$495))-(ROW('CASE MASTER'!#REF!)-1))),IF(SUMPRODUCT((('CASE MASTER'!$T$2:$T$495=9)*('CASE MASTER'!$AA$2:$AA$495&lt;=4)*('CASE MASTER'!$AC$2:$AC$495&gt;=4)*('CASE MASTER'!$AB$2:$AB$495&lt;=7)*('CASE MASTER'!$AD$2:$AD$495&gt;=7))*ROW('CASE MASTER'!$T$2:$T$495))&gt;0,INDEX('CASE MASTER'!$Y$2:$Y$495,(SUMPRODUCT((('CASE MASTER'!$T$2:$T$495=9)*('CASE MASTER'!$AA$2:$AA$495&lt;=4)*('CASE MASTER'!$AC$2:$AC$495&gt;=4)*('CASE MASTER'!$AB$2:$AB$495&lt;=7)*('CASE MASTER'!$AD$2:$AD$495&gt;=7))*ROW('CASE MASTER'!$T$2:$T$495))-(ROW('CASE MASTER'!#REF!)-1)))&amp;TRIM(MID(SUBSTITUTE(SUBSTITUTE(INDEX('CASE MASTER'!$N$2:$N$495,(SUMPRODUCT((('CASE MASTER'!$T$2:$T$495=9)*('CASE MASTER'!$AA$2:$AA$495&lt;=4)*('CASE MASTER'!$AC$2:$AC$495&gt;=4)*('CASE MASTER'!$AB$2:$AB$495&lt;=7)*('CASE MASTER'!$AD$2:$AD$495&gt;=7))*ROW('CASE MASTER'!$T$2:$T$495))-(ROW('CASE MASTER'!#REF!)-1))),":",","),",",REPT(" ",50)),(((INDEX('CASE MASTER'!$Z$2:$Z$495,(SUMPRODUCT((('CASE MASTER'!$T$2:$T$495=9)*('CASE MASTER'!$AA$2:$AA$495&lt;=4)*('CASE MASTER'!$AC$2:$AC$495&gt;=4)*('CASE MASTER'!$AB$2:$AB$495&lt;=7)*('CASE MASTER'!$AD$2:$AD$495&gt;=7))*ROW('CASE MASTER'!$T$2:$T$495))-(ROW('CASE MASTER'!#REF!)-1)))+((4-INDEX('CASE MASTER'!$AA$2:$AA$495,(SUMPRODUCT((('CASE MASTER'!$T$2:$T$495=9)*('CASE MASTER'!$AA$2:$AA$495&lt;=4)*('CASE MASTER'!$AC$2:$AC$495&gt;=4)*('CASE MASTER'!$AB$2:$AB$495&lt;=7)*('CASE MASTER'!$AD$2:$AD$495&gt;=7))*ROW('CASE MASTER'!$T$2:$T$495))-(ROW('CASE MASTER'!#REF!)-1))))*(INDEX('CASE MASTER'!$AD$2:$AD$495,(SUMPRODUCT((('CASE MASTER'!$T$2:$T$495=9)*('CASE MASTER'!$AA$2:$AA$495&lt;=4)*('CASE MASTER'!$AC$2:$AC$495&gt;=4)*('CASE MASTER'!$AB$2:$AB$495&lt;=7)*('CASE MASTER'!$AD$2:$AD$495&gt;=7))*ROW('CASE MASTER'!$T$2:$T$495))-(ROW('CASE MASTER'!#REF!)-1)))-INDEX('CASE MASTER'!$AB$2:$AB$495,(SUMPRODUCT((('CASE MASTER'!$T$2:$T$495=9)*('CASE MASTER'!$AA$2:$AA$495&lt;=4)*('CASE MASTER'!$AC$2:$AC$495&gt;=4)*('CASE MASTER'!$AB$2:$AB$495&lt;=7)*('CASE MASTER'!$AD$2:$AD$495&gt;=7))*ROW('CASE MASTER'!$T$2:$T$495))-(ROW('CASE MASTER'!#REF!)-1)))+1)+(7-INDEX('CASE MASTER'!$AB$2:$AB$495,(SUMPRODUCT((('CASE MASTER'!$T$2:$T$495=9)*('CASE MASTER'!$AA$2:$AA$495&lt;=4)*('CASE MASTER'!$AC$2:$AC$495&gt;=4)*('CASE MASTER'!$AB$2:$AB$495&lt;=7)*('CASE MASTER'!$AD$2:$AD$495&gt;=7))*ROW('CASE MASTER'!$T$2:$T$495))-(ROW('CASE MASTER'!#REF!)-1))))+1)))-1)*50+1,50))&amp;"_"&amp;INDEX('CASE MASTER'!$Q$2:$Q$495,(SUMPRODUCT((('CASE MASTER'!$T$2:$T$495=9)*('CASE MASTER'!$AA$2:$AA$495&lt;=4)*('CASE MASTER'!$AC$2:$AC$495&gt;=4)*('CASE MASTER'!$AB$2:$AB$495&lt;=7)*('CASE MASTER'!$AD$2:$AD$495&gt;=7))*ROW('CASE MASTER'!$T$2:$T$495))-(ROW('CASE MASTER'!#REF!)-1))),"")),"")</f>
        <v/>
      </c>
      <c r="I118" s="10" t="str">
        <f>IFERROR(IF(SUMPRODUCT((('CASE MASTER'!$T$2:$T$495=9)*('CASE MASTER'!$U$2:$U$495&lt;=4)*('CASE MASTER'!$W$2:$W$495&gt;=4)*('CASE MASTER'!$V$2:$V$495&lt;=8)*('CASE MASTER'!$X$2:$X$495&gt;=8))*ROW('CASE MASTER'!$T$2:$T$495))&gt;0,INDEX('CASE MASTER'!$Y$2:$Y$495,(SUMPRODUCT((('CASE MASTER'!$T$2:$T$495=9)*('CASE MASTER'!$U$2:$U$495&lt;=4)*('CASE MASTER'!$W$2:$W$495&gt;=4)*('CASE MASTER'!$V$2:$V$495&lt;=8)*('CASE MASTER'!$X$2:$X$495&gt;=8))*ROW('CASE MASTER'!$T$2:$T$495))-(ROW('CASE MASTER'!#REF!)-1)))&amp;TRIM(MID(SUBSTITUTE(SUBSTITUTE(INDEX('CASE MASTER'!$N$2:$N$495,(SUMPRODUCT((('CASE MASTER'!$T$2:$T$495=9)*('CASE MASTER'!$U$2:$U$495&lt;=4)*('CASE MASTER'!$W$2:$W$495&gt;=4)*('CASE MASTER'!$V$2:$V$495&lt;=8)*('CASE MASTER'!$X$2:$X$495&gt;=8))*ROW('CASE MASTER'!$T$2:$T$495))-(ROW('CASE MASTER'!#REF!)-1))),":",","),",",REPT(" ",50)),((((4-INDEX('CASE MASTER'!$U$2:$U$495,(SUMPRODUCT((('CASE MASTER'!$T$2:$T$495=9)*('CASE MASTER'!$U$2:$U$495&lt;=4)*('CASE MASTER'!$W$2:$W$495&gt;=4)*('CASE MASTER'!$V$2:$V$495&lt;=8)*('CASE MASTER'!$X$2:$X$495&gt;=8))*ROW('CASE MASTER'!$T$2:$T$495))-(ROW('CASE MASTER'!#REF!)-1))))*(INDEX('CASE MASTER'!$X$2:$X$495,(SUMPRODUCT((('CASE MASTER'!$T$2:$T$495=9)*('CASE MASTER'!$U$2:$U$495&lt;=4)*('CASE MASTER'!$W$2:$W$495&gt;=4)*('CASE MASTER'!$V$2:$V$495&lt;=8)*('CASE MASTER'!$X$2:$X$495&gt;=8))*ROW('CASE MASTER'!$T$2:$T$495))-(ROW('CASE MASTER'!#REF!)-1)))-INDEX('CASE MASTER'!$V$2:$V$495,(SUMPRODUCT((('CASE MASTER'!$T$2:$T$495=9)*('CASE MASTER'!$U$2:$U$495&lt;=4)*('CASE MASTER'!$W$2:$W$495&gt;=4)*('CASE MASTER'!$V$2:$V$495&lt;=8)*('CASE MASTER'!$X$2:$X$495&gt;=8))*ROW('CASE MASTER'!$T$2:$T$495))-(ROW('CASE MASTER'!#REF!)-1)))+1)+(8-INDEX('CASE MASTER'!$V$2:$V$495,(SUMPRODUCT((('CASE MASTER'!$T$2:$T$495=9)*('CASE MASTER'!$U$2:$U$495&lt;=4)*('CASE MASTER'!$W$2:$W$495&gt;=4)*('CASE MASTER'!$V$2:$V$495&lt;=8)*('CASE MASTER'!$X$2:$X$495&gt;=8))*ROW('CASE MASTER'!$T$2:$T$495))-(ROW('CASE MASTER'!#REF!)-1))))+1))-1)*50+1,50))&amp;"_"&amp;INDEX('CASE MASTER'!$Q$2:$Q$495,(SUMPRODUCT((('CASE MASTER'!$T$2:$T$495=9)*('CASE MASTER'!$U$2:$U$495&lt;=4)*('CASE MASTER'!$W$2:$W$495&gt;=4)*('CASE MASTER'!$V$2:$V$495&lt;=8)*('CASE MASTER'!$X$2:$X$495&gt;=8))*ROW('CASE MASTER'!$T$2:$T$495))-(ROW('CASE MASTER'!#REF!)-1))),IF(SUMPRODUCT((('CASE MASTER'!$T$2:$T$495=9)*('CASE MASTER'!$AA$2:$AA$495&lt;=4)*('CASE MASTER'!$AC$2:$AC$495&gt;=4)*('CASE MASTER'!$AB$2:$AB$495&lt;=8)*('CASE MASTER'!$AD$2:$AD$495&gt;=8))*ROW('CASE MASTER'!$T$2:$T$495))&gt;0,INDEX('CASE MASTER'!$Y$2:$Y$495,(SUMPRODUCT((('CASE MASTER'!$T$2:$T$495=9)*('CASE MASTER'!$AA$2:$AA$495&lt;=4)*('CASE MASTER'!$AC$2:$AC$495&gt;=4)*('CASE MASTER'!$AB$2:$AB$495&lt;=8)*('CASE MASTER'!$AD$2:$AD$495&gt;=8))*ROW('CASE MASTER'!$T$2:$T$495))-(ROW('CASE MASTER'!#REF!)-1)))&amp;TRIM(MID(SUBSTITUTE(SUBSTITUTE(INDEX('CASE MASTER'!$N$2:$N$495,(SUMPRODUCT((('CASE MASTER'!$T$2:$T$495=9)*('CASE MASTER'!$AA$2:$AA$495&lt;=4)*('CASE MASTER'!$AC$2:$AC$495&gt;=4)*('CASE MASTER'!$AB$2:$AB$495&lt;=8)*('CASE MASTER'!$AD$2:$AD$495&gt;=8))*ROW('CASE MASTER'!$T$2:$T$495))-(ROW('CASE MASTER'!#REF!)-1))),":",","),",",REPT(" ",50)),(((INDEX('CASE MASTER'!$Z$2:$Z$495,(SUMPRODUCT((('CASE MASTER'!$T$2:$T$495=9)*('CASE MASTER'!$AA$2:$AA$495&lt;=4)*('CASE MASTER'!$AC$2:$AC$495&gt;=4)*('CASE MASTER'!$AB$2:$AB$495&lt;=8)*('CASE MASTER'!$AD$2:$AD$495&gt;=8))*ROW('CASE MASTER'!$T$2:$T$495))-(ROW('CASE MASTER'!#REF!)-1)))+((4-INDEX('CASE MASTER'!$AA$2:$AA$495,(SUMPRODUCT((('CASE MASTER'!$T$2:$T$495=9)*('CASE MASTER'!$AA$2:$AA$495&lt;=4)*('CASE MASTER'!$AC$2:$AC$495&gt;=4)*('CASE MASTER'!$AB$2:$AB$495&lt;=8)*('CASE MASTER'!$AD$2:$AD$495&gt;=8))*ROW('CASE MASTER'!$T$2:$T$495))-(ROW('CASE MASTER'!#REF!)-1))))*(INDEX('CASE MASTER'!$AD$2:$AD$495,(SUMPRODUCT((('CASE MASTER'!$T$2:$T$495=9)*('CASE MASTER'!$AA$2:$AA$495&lt;=4)*('CASE MASTER'!$AC$2:$AC$495&gt;=4)*('CASE MASTER'!$AB$2:$AB$495&lt;=8)*('CASE MASTER'!$AD$2:$AD$495&gt;=8))*ROW('CASE MASTER'!$T$2:$T$495))-(ROW('CASE MASTER'!#REF!)-1)))-INDEX('CASE MASTER'!$AB$2:$AB$495,(SUMPRODUCT((('CASE MASTER'!$T$2:$T$495=9)*('CASE MASTER'!$AA$2:$AA$495&lt;=4)*('CASE MASTER'!$AC$2:$AC$495&gt;=4)*('CASE MASTER'!$AB$2:$AB$495&lt;=8)*('CASE MASTER'!$AD$2:$AD$495&gt;=8))*ROW('CASE MASTER'!$T$2:$T$495))-(ROW('CASE MASTER'!#REF!)-1)))+1)+(8-INDEX('CASE MASTER'!$AB$2:$AB$495,(SUMPRODUCT((('CASE MASTER'!$T$2:$T$495=9)*('CASE MASTER'!$AA$2:$AA$495&lt;=4)*('CASE MASTER'!$AC$2:$AC$495&gt;=4)*('CASE MASTER'!$AB$2:$AB$495&lt;=8)*('CASE MASTER'!$AD$2:$AD$495&gt;=8))*ROW('CASE MASTER'!$T$2:$T$495))-(ROW('CASE MASTER'!#REF!)-1))))+1)))-1)*50+1,50))&amp;"_"&amp;INDEX('CASE MASTER'!$Q$2:$Q$495,(SUMPRODUCT((('CASE MASTER'!$T$2:$T$495=9)*('CASE MASTER'!$AA$2:$AA$495&lt;=4)*('CASE MASTER'!$AC$2:$AC$495&gt;=4)*('CASE MASTER'!$AB$2:$AB$495&lt;=8)*('CASE MASTER'!$AD$2:$AD$495&gt;=8))*ROW('CASE MASTER'!$T$2:$T$495))-(ROW('CASE MASTER'!#REF!)-1))),"")),"")</f>
        <v/>
      </c>
      <c r="J118" s="10" t="str">
        <f>IFERROR(IF(SUMPRODUCT((('CASE MASTER'!$T$2:$T$495=9)*('CASE MASTER'!$U$2:$U$495&lt;=4)*('CASE MASTER'!$W$2:$W$495&gt;=4)*('CASE MASTER'!$V$2:$V$495&lt;=9)*('CASE MASTER'!$X$2:$X$495&gt;=9))*ROW('CASE MASTER'!$T$2:$T$495))&gt;0,INDEX('CASE MASTER'!$Y$2:$Y$495,(SUMPRODUCT((('CASE MASTER'!$T$2:$T$495=9)*('CASE MASTER'!$U$2:$U$495&lt;=4)*('CASE MASTER'!$W$2:$W$495&gt;=4)*('CASE MASTER'!$V$2:$V$495&lt;=9)*('CASE MASTER'!$X$2:$X$495&gt;=9))*ROW('CASE MASTER'!$T$2:$T$495))-(ROW('CASE MASTER'!#REF!)-1)))&amp;TRIM(MID(SUBSTITUTE(SUBSTITUTE(INDEX('CASE MASTER'!$N$2:$N$495,(SUMPRODUCT((('CASE MASTER'!$T$2:$T$495=9)*('CASE MASTER'!$U$2:$U$495&lt;=4)*('CASE MASTER'!$W$2:$W$495&gt;=4)*('CASE MASTER'!$V$2:$V$495&lt;=9)*('CASE MASTER'!$X$2:$X$495&gt;=9))*ROW('CASE MASTER'!$T$2:$T$495))-(ROW('CASE MASTER'!#REF!)-1))),":",","),",",REPT(" ",50)),((((4-INDEX('CASE MASTER'!$U$2:$U$495,(SUMPRODUCT((('CASE MASTER'!$T$2:$T$495=9)*('CASE MASTER'!$U$2:$U$495&lt;=4)*('CASE MASTER'!$W$2:$W$495&gt;=4)*('CASE MASTER'!$V$2:$V$495&lt;=9)*('CASE MASTER'!$X$2:$X$495&gt;=9))*ROW('CASE MASTER'!$T$2:$T$495))-(ROW('CASE MASTER'!#REF!)-1))))*(INDEX('CASE MASTER'!$X$2:$X$495,(SUMPRODUCT((('CASE MASTER'!$T$2:$T$495=9)*('CASE MASTER'!$U$2:$U$495&lt;=4)*('CASE MASTER'!$W$2:$W$495&gt;=4)*('CASE MASTER'!$V$2:$V$495&lt;=9)*('CASE MASTER'!$X$2:$X$495&gt;=9))*ROW('CASE MASTER'!$T$2:$T$495))-(ROW('CASE MASTER'!#REF!)-1)))-INDEX('CASE MASTER'!$V$2:$V$495,(SUMPRODUCT((('CASE MASTER'!$T$2:$T$495=9)*('CASE MASTER'!$U$2:$U$495&lt;=4)*('CASE MASTER'!$W$2:$W$495&gt;=4)*('CASE MASTER'!$V$2:$V$495&lt;=9)*('CASE MASTER'!$X$2:$X$495&gt;=9))*ROW('CASE MASTER'!$T$2:$T$495))-(ROW('CASE MASTER'!#REF!)-1)))+1)+(9-INDEX('CASE MASTER'!$V$2:$V$495,(SUMPRODUCT((('CASE MASTER'!$T$2:$T$495=9)*('CASE MASTER'!$U$2:$U$495&lt;=4)*('CASE MASTER'!$W$2:$W$495&gt;=4)*('CASE MASTER'!$V$2:$V$495&lt;=9)*('CASE MASTER'!$X$2:$X$495&gt;=9))*ROW('CASE MASTER'!$T$2:$T$495))-(ROW('CASE MASTER'!#REF!)-1))))+1))-1)*50+1,50))&amp;"_"&amp;INDEX('CASE MASTER'!$Q$2:$Q$495,(SUMPRODUCT((('CASE MASTER'!$T$2:$T$495=9)*('CASE MASTER'!$U$2:$U$495&lt;=4)*('CASE MASTER'!$W$2:$W$495&gt;=4)*('CASE MASTER'!$V$2:$V$495&lt;=9)*('CASE MASTER'!$X$2:$X$495&gt;=9))*ROW('CASE MASTER'!$T$2:$T$495))-(ROW('CASE MASTER'!#REF!)-1))),IF(SUMPRODUCT((('CASE MASTER'!$T$2:$T$495=9)*('CASE MASTER'!$AA$2:$AA$495&lt;=4)*('CASE MASTER'!$AC$2:$AC$495&gt;=4)*('CASE MASTER'!$AB$2:$AB$495&lt;=9)*('CASE MASTER'!$AD$2:$AD$495&gt;=9))*ROW('CASE MASTER'!$T$2:$T$495))&gt;0,INDEX('CASE MASTER'!$Y$2:$Y$495,(SUMPRODUCT((('CASE MASTER'!$T$2:$T$495=9)*('CASE MASTER'!$AA$2:$AA$495&lt;=4)*('CASE MASTER'!$AC$2:$AC$495&gt;=4)*('CASE MASTER'!$AB$2:$AB$495&lt;=9)*('CASE MASTER'!$AD$2:$AD$495&gt;=9))*ROW('CASE MASTER'!$T$2:$T$495))-(ROW('CASE MASTER'!#REF!)-1)))&amp;TRIM(MID(SUBSTITUTE(SUBSTITUTE(INDEX('CASE MASTER'!$N$2:$N$495,(SUMPRODUCT((('CASE MASTER'!$T$2:$T$495=9)*('CASE MASTER'!$AA$2:$AA$495&lt;=4)*('CASE MASTER'!$AC$2:$AC$495&gt;=4)*('CASE MASTER'!$AB$2:$AB$495&lt;=9)*('CASE MASTER'!$AD$2:$AD$495&gt;=9))*ROW('CASE MASTER'!$T$2:$T$495))-(ROW('CASE MASTER'!#REF!)-1))),":",","),",",REPT(" ",50)),(((INDEX('CASE MASTER'!$Z$2:$Z$495,(SUMPRODUCT((('CASE MASTER'!$T$2:$T$495=9)*('CASE MASTER'!$AA$2:$AA$495&lt;=4)*('CASE MASTER'!$AC$2:$AC$495&gt;=4)*('CASE MASTER'!$AB$2:$AB$495&lt;=9)*('CASE MASTER'!$AD$2:$AD$495&gt;=9))*ROW('CASE MASTER'!$T$2:$T$495))-(ROW('CASE MASTER'!#REF!)-1)))+((4-INDEX('CASE MASTER'!$AA$2:$AA$495,(SUMPRODUCT((('CASE MASTER'!$T$2:$T$495=9)*('CASE MASTER'!$AA$2:$AA$495&lt;=4)*('CASE MASTER'!$AC$2:$AC$495&gt;=4)*('CASE MASTER'!$AB$2:$AB$495&lt;=9)*('CASE MASTER'!$AD$2:$AD$495&gt;=9))*ROW('CASE MASTER'!$T$2:$T$495))-(ROW('CASE MASTER'!#REF!)-1))))*(INDEX('CASE MASTER'!$AD$2:$AD$495,(SUMPRODUCT((('CASE MASTER'!$T$2:$T$495=9)*('CASE MASTER'!$AA$2:$AA$495&lt;=4)*('CASE MASTER'!$AC$2:$AC$495&gt;=4)*('CASE MASTER'!$AB$2:$AB$495&lt;=9)*('CASE MASTER'!$AD$2:$AD$495&gt;=9))*ROW('CASE MASTER'!$T$2:$T$495))-(ROW('CASE MASTER'!#REF!)-1)))-INDEX('CASE MASTER'!$AB$2:$AB$495,(SUMPRODUCT((('CASE MASTER'!$T$2:$T$495=9)*('CASE MASTER'!$AA$2:$AA$495&lt;=4)*('CASE MASTER'!$AC$2:$AC$495&gt;=4)*('CASE MASTER'!$AB$2:$AB$495&lt;=9)*('CASE MASTER'!$AD$2:$AD$495&gt;=9))*ROW('CASE MASTER'!$T$2:$T$495))-(ROW('CASE MASTER'!#REF!)-1)))+1)+(9-INDEX('CASE MASTER'!$AB$2:$AB$495,(SUMPRODUCT((('CASE MASTER'!$T$2:$T$495=9)*('CASE MASTER'!$AA$2:$AA$495&lt;=4)*('CASE MASTER'!$AC$2:$AC$495&gt;=4)*('CASE MASTER'!$AB$2:$AB$495&lt;=9)*('CASE MASTER'!$AD$2:$AD$495&gt;=9))*ROW('CASE MASTER'!$T$2:$T$495))-(ROW('CASE MASTER'!#REF!)-1))))+1)))-1)*50+1,50))&amp;"_"&amp;INDEX('CASE MASTER'!$Q$2:$Q$495,(SUMPRODUCT((('CASE MASTER'!$T$2:$T$495=9)*('CASE MASTER'!$AA$2:$AA$495&lt;=4)*('CASE MASTER'!$AC$2:$AC$495&gt;=4)*('CASE MASTER'!$AB$2:$AB$495&lt;=9)*('CASE MASTER'!$AD$2:$AD$495&gt;=9))*ROW('CASE MASTER'!$T$2:$T$495))-(ROW('CASE MASTER'!#REF!)-1))),"")),"")</f>
        <v/>
      </c>
      <c r="K118" s="10" t="str">
        <f>IFERROR(IF(SUMPRODUCT((('CASE MASTER'!$T$2:$T$495=9)*('CASE MASTER'!$U$2:$U$495&lt;=4)*('CASE MASTER'!$W$2:$W$495&gt;=4)*('CASE MASTER'!$V$2:$V$495&lt;=10)*('CASE MASTER'!$X$2:$X$495&gt;=10))*ROW('CASE MASTER'!$T$2:$T$495))&gt;0,INDEX('CASE MASTER'!$Y$2:$Y$495,(SUMPRODUCT((('CASE MASTER'!$T$2:$T$495=9)*('CASE MASTER'!$U$2:$U$495&lt;=4)*('CASE MASTER'!$W$2:$W$495&gt;=4)*('CASE MASTER'!$V$2:$V$495&lt;=10)*('CASE MASTER'!$X$2:$X$495&gt;=10))*ROW('CASE MASTER'!$T$2:$T$495))-(ROW('CASE MASTER'!#REF!)-1)))&amp;TRIM(MID(SUBSTITUTE(SUBSTITUTE(INDEX('CASE MASTER'!$N$2:$N$495,(SUMPRODUCT((('CASE MASTER'!$T$2:$T$495=9)*('CASE MASTER'!$U$2:$U$495&lt;=4)*('CASE MASTER'!$W$2:$W$495&gt;=4)*('CASE MASTER'!$V$2:$V$495&lt;=10)*('CASE MASTER'!$X$2:$X$495&gt;=10))*ROW('CASE MASTER'!$T$2:$T$495))-(ROW('CASE MASTER'!#REF!)-1))),":",","),",",REPT(" ",50)),((((4-INDEX('CASE MASTER'!$U$2:$U$495,(SUMPRODUCT((('CASE MASTER'!$T$2:$T$495=9)*('CASE MASTER'!$U$2:$U$495&lt;=4)*('CASE MASTER'!$W$2:$W$495&gt;=4)*('CASE MASTER'!$V$2:$V$495&lt;=10)*('CASE MASTER'!$X$2:$X$495&gt;=10))*ROW('CASE MASTER'!$T$2:$T$495))-(ROW('CASE MASTER'!#REF!)-1))))*(INDEX('CASE MASTER'!$X$2:$X$495,(SUMPRODUCT((('CASE MASTER'!$T$2:$T$495=9)*('CASE MASTER'!$U$2:$U$495&lt;=4)*('CASE MASTER'!$W$2:$W$495&gt;=4)*('CASE MASTER'!$V$2:$V$495&lt;=10)*('CASE MASTER'!$X$2:$X$495&gt;=10))*ROW('CASE MASTER'!$T$2:$T$495))-(ROW('CASE MASTER'!#REF!)-1)))-INDEX('CASE MASTER'!$V$2:$V$495,(SUMPRODUCT((('CASE MASTER'!$T$2:$T$495=9)*('CASE MASTER'!$U$2:$U$495&lt;=4)*('CASE MASTER'!$W$2:$W$495&gt;=4)*('CASE MASTER'!$V$2:$V$495&lt;=10)*('CASE MASTER'!$X$2:$X$495&gt;=10))*ROW('CASE MASTER'!$T$2:$T$495))-(ROW('CASE MASTER'!#REF!)-1)))+1)+(10-INDEX('CASE MASTER'!$V$2:$V$495,(SUMPRODUCT((('CASE MASTER'!$T$2:$T$495=9)*('CASE MASTER'!$U$2:$U$495&lt;=4)*('CASE MASTER'!$W$2:$W$495&gt;=4)*('CASE MASTER'!$V$2:$V$495&lt;=10)*('CASE MASTER'!$X$2:$X$495&gt;=10))*ROW('CASE MASTER'!$T$2:$T$495))-(ROW('CASE MASTER'!#REF!)-1))))+1))-1)*50+1,50))&amp;"_"&amp;INDEX('CASE MASTER'!$Q$2:$Q$495,(SUMPRODUCT((('CASE MASTER'!$T$2:$T$495=9)*('CASE MASTER'!$U$2:$U$495&lt;=4)*('CASE MASTER'!$W$2:$W$495&gt;=4)*('CASE MASTER'!$V$2:$V$495&lt;=10)*('CASE MASTER'!$X$2:$X$495&gt;=10))*ROW('CASE MASTER'!$T$2:$T$495))-(ROW('CASE MASTER'!#REF!)-1))),IF(SUMPRODUCT((('CASE MASTER'!$T$2:$T$495=9)*('CASE MASTER'!$AA$2:$AA$495&lt;=4)*('CASE MASTER'!$AC$2:$AC$495&gt;=4)*('CASE MASTER'!$AB$2:$AB$495&lt;=10)*('CASE MASTER'!$AD$2:$AD$495&gt;=10))*ROW('CASE MASTER'!$T$2:$T$495))&gt;0,INDEX('CASE MASTER'!$Y$2:$Y$495,(SUMPRODUCT((('CASE MASTER'!$T$2:$T$495=9)*('CASE MASTER'!$AA$2:$AA$495&lt;=4)*('CASE MASTER'!$AC$2:$AC$495&gt;=4)*('CASE MASTER'!$AB$2:$AB$495&lt;=10)*('CASE MASTER'!$AD$2:$AD$495&gt;=10))*ROW('CASE MASTER'!$T$2:$T$495))-(ROW('CASE MASTER'!#REF!)-1)))&amp;TRIM(MID(SUBSTITUTE(SUBSTITUTE(INDEX('CASE MASTER'!$N$2:$N$495,(SUMPRODUCT((('CASE MASTER'!$T$2:$T$495=9)*('CASE MASTER'!$AA$2:$AA$495&lt;=4)*('CASE MASTER'!$AC$2:$AC$495&gt;=4)*('CASE MASTER'!$AB$2:$AB$495&lt;=10)*('CASE MASTER'!$AD$2:$AD$495&gt;=10))*ROW('CASE MASTER'!$T$2:$T$495))-(ROW('CASE MASTER'!#REF!)-1))),":",","),",",REPT(" ",50)),(((INDEX('CASE MASTER'!$Z$2:$Z$495,(SUMPRODUCT((('CASE MASTER'!$T$2:$T$495=9)*('CASE MASTER'!$AA$2:$AA$495&lt;=4)*('CASE MASTER'!$AC$2:$AC$495&gt;=4)*('CASE MASTER'!$AB$2:$AB$495&lt;=10)*('CASE MASTER'!$AD$2:$AD$495&gt;=10))*ROW('CASE MASTER'!$T$2:$T$495))-(ROW('CASE MASTER'!#REF!)-1)))+((4-INDEX('CASE MASTER'!$AA$2:$AA$495,(SUMPRODUCT((('CASE MASTER'!$T$2:$T$495=9)*('CASE MASTER'!$AA$2:$AA$495&lt;=4)*('CASE MASTER'!$AC$2:$AC$495&gt;=4)*('CASE MASTER'!$AB$2:$AB$495&lt;=10)*('CASE MASTER'!$AD$2:$AD$495&gt;=10))*ROW('CASE MASTER'!$T$2:$T$495))-(ROW('CASE MASTER'!#REF!)-1))))*(INDEX('CASE MASTER'!$AD$2:$AD$495,(SUMPRODUCT((('CASE MASTER'!$T$2:$T$495=9)*('CASE MASTER'!$AA$2:$AA$495&lt;=4)*('CASE MASTER'!$AC$2:$AC$495&gt;=4)*('CASE MASTER'!$AB$2:$AB$495&lt;=10)*('CASE MASTER'!$AD$2:$AD$495&gt;=10))*ROW('CASE MASTER'!$T$2:$T$495))-(ROW('CASE MASTER'!#REF!)-1)))-INDEX('CASE MASTER'!$AB$2:$AB$495,(SUMPRODUCT((('CASE MASTER'!$T$2:$T$495=9)*('CASE MASTER'!$AA$2:$AA$495&lt;=4)*('CASE MASTER'!$AC$2:$AC$495&gt;=4)*('CASE MASTER'!$AB$2:$AB$495&lt;=10)*('CASE MASTER'!$AD$2:$AD$495&gt;=10))*ROW('CASE MASTER'!$T$2:$T$495))-(ROW('CASE MASTER'!#REF!)-1)))+1)+(10-INDEX('CASE MASTER'!$AB$2:$AB$495,(SUMPRODUCT((('CASE MASTER'!$T$2:$T$495=9)*('CASE MASTER'!$AA$2:$AA$495&lt;=4)*('CASE MASTER'!$AC$2:$AC$495&gt;=4)*('CASE MASTER'!$AB$2:$AB$495&lt;=10)*('CASE MASTER'!$AD$2:$AD$495&gt;=10))*ROW('CASE MASTER'!$T$2:$T$495))-(ROW('CASE MASTER'!#REF!)-1))))+1)))-1)*50+1,50))&amp;"_"&amp;INDEX('CASE MASTER'!$Q$2:$Q$495,(SUMPRODUCT((('CASE MASTER'!$T$2:$T$495=9)*('CASE MASTER'!$AA$2:$AA$495&lt;=4)*('CASE MASTER'!$AC$2:$AC$495&gt;=4)*('CASE MASTER'!$AB$2:$AB$495&lt;=10)*('CASE MASTER'!$AD$2:$AD$495&gt;=10))*ROW('CASE MASTER'!$T$2:$T$495))-(ROW('CASE MASTER'!#REF!)-1))),"")),"")</f>
        <v/>
      </c>
    </row>
    <row r="119" spans="1:11" ht="15" customHeight="1" x14ac:dyDescent="0.35">
      <c r="A119" s="8" t="s">
        <v>32</v>
      </c>
      <c r="B119" s="10" t="str">
        <f>IFERROR(IF(SUMPRODUCT((('CASE MASTER'!$T$2:$T$495=9)*('CASE MASTER'!$U$2:$U$495&lt;=5)*('CASE MASTER'!$W$2:$W$495&gt;=5)*('CASE MASTER'!$V$2:$V$495&lt;=1)*('CASE MASTER'!$X$2:$X$495&gt;=1))*ROW('CASE MASTER'!$T$2:$T$495))&gt;0,INDEX('CASE MASTER'!$Y$2:$Y$495,(SUMPRODUCT((('CASE MASTER'!$T$2:$T$495=9)*('CASE MASTER'!$U$2:$U$495&lt;=5)*('CASE MASTER'!$W$2:$W$495&gt;=5)*('CASE MASTER'!$V$2:$V$495&lt;=1)*('CASE MASTER'!$X$2:$X$495&gt;=1))*ROW('CASE MASTER'!$T$2:$T$495))-(ROW('CASE MASTER'!#REF!)-1)))&amp;TRIM(MID(SUBSTITUTE(SUBSTITUTE(INDEX('CASE MASTER'!$N$2:$N$495,(SUMPRODUCT((('CASE MASTER'!$T$2:$T$495=9)*('CASE MASTER'!$U$2:$U$495&lt;=5)*('CASE MASTER'!$W$2:$W$495&gt;=5)*('CASE MASTER'!$V$2:$V$495&lt;=1)*('CASE MASTER'!$X$2:$X$495&gt;=1))*ROW('CASE MASTER'!$T$2:$T$495))-(ROW('CASE MASTER'!#REF!)-1))),":",","),",",REPT(" ",50)),((((5-INDEX('CASE MASTER'!$U$2:$U$495,(SUMPRODUCT((('CASE MASTER'!$T$2:$T$495=9)*('CASE MASTER'!$U$2:$U$495&lt;=5)*('CASE MASTER'!$W$2:$W$495&gt;=5)*('CASE MASTER'!$V$2:$V$495&lt;=1)*('CASE MASTER'!$X$2:$X$495&gt;=1))*ROW('CASE MASTER'!$T$2:$T$495))-(ROW('CASE MASTER'!#REF!)-1))))*(INDEX('CASE MASTER'!$X$2:$X$495,(SUMPRODUCT((('CASE MASTER'!$T$2:$T$495=9)*('CASE MASTER'!$U$2:$U$495&lt;=5)*('CASE MASTER'!$W$2:$W$495&gt;=5)*('CASE MASTER'!$V$2:$V$495&lt;=1)*('CASE MASTER'!$X$2:$X$495&gt;=1))*ROW('CASE MASTER'!$T$2:$T$495))-(ROW('CASE MASTER'!#REF!)-1)))-INDEX('CASE MASTER'!$V$2:$V$495,(SUMPRODUCT((('CASE MASTER'!$T$2:$T$495=9)*('CASE MASTER'!$U$2:$U$495&lt;=5)*('CASE MASTER'!$W$2:$W$495&gt;=5)*('CASE MASTER'!$V$2:$V$495&lt;=1)*('CASE MASTER'!$X$2:$X$495&gt;=1))*ROW('CASE MASTER'!$T$2:$T$495))-(ROW('CASE MASTER'!#REF!)-1)))+1)+(1-INDEX('CASE MASTER'!$V$2:$V$495,(SUMPRODUCT((('CASE MASTER'!$T$2:$T$495=9)*('CASE MASTER'!$U$2:$U$495&lt;=5)*('CASE MASTER'!$W$2:$W$495&gt;=5)*('CASE MASTER'!$V$2:$V$495&lt;=1)*('CASE MASTER'!$X$2:$X$495&gt;=1))*ROW('CASE MASTER'!$T$2:$T$495))-(ROW('CASE MASTER'!#REF!)-1))))+1))-1)*50+1,50))&amp;"_"&amp;INDEX('CASE MASTER'!$Q$2:$Q$495,(SUMPRODUCT((('CASE MASTER'!$T$2:$T$495=9)*('CASE MASTER'!$U$2:$U$495&lt;=5)*('CASE MASTER'!$W$2:$W$495&gt;=5)*('CASE MASTER'!$V$2:$V$495&lt;=1)*('CASE MASTER'!$X$2:$X$495&gt;=1))*ROW('CASE MASTER'!$T$2:$T$495))-(ROW('CASE MASTER'!#REF!)-1))),IF(SUMPRODUCT((('CASE MASTER'!$T$2:$T$495=9)*('CASE MASTER'!$AA$2:$AA$495&lt;=5)*('CASE MASTER'!$AC$2:$AC$495&gt;=5)*('CASE MASTER'!$AB$2:$AB$495&lt;=1)*('CASE MASTER'!$AD$2:$AD$495&gt;=1))*ROW('CASE MASTER'!$T$2:$T$495))&gt;0,INDEX('CASE MASTER'!$Y$2:$Y$495,(SUMPRODUCT((('CASE MASTER'!$T$2:$T$495=9)*('CASE MASTER'!$AA$2:$AA$495&lt;=5)*('CASE MASTER'!$AC$2:$AC$495&gt;=5)*('CASE MASTER'!$AB$2:$AB$495&lt;=1)*('CASE MASTER'!$AD$2:$AD$495&gt;=1))*ROW('CASE MASTER'!$T$2:$T$495))-(ROW('CASE MASTER'!#REF!)-1)))&amp;TRIM(MID(SUBSTITUTE(SUBSTITUTE(INDEX('CASE MASTER'!$N$2:$N$495,(SUMPRODUCT((('CASE MASTER'!$T$2:$T$495=9)*('CASE MASTER'!$AA$2:$AA$495&lt;=5)*('CASE MASTER'!$AC$2:$AC$495&gt;=5)*('CASE MASTER'!$AB$2:$AB$495&lt;=1)*('CASE MASTER'!$AD$2:$AD$495&gt;=1))*ROW('CASE MASTER'!$T$2:$T$495))-(ROW('CASE MASTER'!#REF!)-1))),":",","),",",REPT(" ",50)),(((INDEX('CASE MASTER'!$Z$2:$Z$495,(SUMPRODUCT((('CASE MASTER'!$T$2:$T$495=9)*('CASE MASTER'!$AA$2:$AA$495&lt;=5)*('CASE MASTER'!$AC$2:$AC$495&gt;=5)*('CASE MASTER'!$AB$2:$AB$495&lt;=1)*('CASE MASTER'!$AD$2:$AD$495&gt;=1))*ROW('CASE MASTER'!$T$2:$T$495))-(ROW('CASE MASTER'!#REF!)-1)))+((5-INDEX('CASE MASTER'!$AA$2:$AA$495,(SUMPRODUCT((('CASE MASTER'!$T$2:$T$495=9)*('CASE MASTER'!$AA$2:$AA$495&lt;=5)*('CASE MASTER'!$AC$2:$AC$495&gt;=5)*('CASE MASTER'!$AB$2:$AB$495&lt;=1)*('CASE MASTER'!$AD$2:$AD$495&gt;=1))*ROW('CASE MASTER'!$T$2:$T$495))-(ROW('CASE MASTER'!#REF!)-1))))*(INDEX('CASE MASTER'!$AD$2:$AD$495,(SUMPRODUCT((('CASE MASTER'!$T$2:$T$495=9)*('CASE MASTER'!$AA$2:$AA$495&lt;=5)*('CASE MASTER'!$AC$2:$AC$495&gt;=5)*('CASE MASTER'!$AB$2:$AB$495&lt;=1)*('CASE MASTER'!$AD$2:$AD$495&gt;=1))*ROW('CASE MASTER'!$T$2:$T$495))-(ROW('CASE MASTER'!#REF!)-1)))-INDEX('CASE MASTER'!$AB$2:$AB$495,(SUMPRODUCT((('CASE MASTER'!$T$2:$T$495=9)*('CASE MASTER'!$AA$2:$AA$495&lt;=5)*('CASE MASTER'!$AC$2:$AC$495&gt;=5)*('CASE MASTER'!$AB$2:$AB$495&lt;=1)*('CASE MASTER'!$AD$2:$AD$495&gt;=1))*ROW('CASE MASTER'!$T$2:$T$495))-(ROW('CASE MASTER'!#REF!)-1)))+1)+(1-INDEX('CASE MASTER'!$AB$2:$AB$495,(SUMPRODUCT((('CASE MASTER'!$T$2:$T$495=9)*('CASE MASTER'!$AA$2:$AA$495&lt;=5)*('CASE MASTER'!$AC$2:$AC$495&gt;=5)*('CASE MASTER'!$AB$2:$AB$495&lt;=1)*('CASE MASTER'!$AD$2:$AD$495&gt;=1))*ROW('CASE MASTER'!$T$2:$T$495))-(ROW('CASE MASTER'!#REF!)-1))))+1)))-1)*50+1,50))&amp;"_"&amp;INDEX('CASE MASTER'!$Q$2:$Q$495,(SUMPRODUCT((('CASE MASTER'!$T$2:$T$495=9)*('CASE MASTER'!$AA$2:$AA$495&lt;=5)*('CASE MASTER'!$AC$2:$AC$495&gt;=5)*('CASE MASTER'!$AB$2:$AB$495&lt;=1)*('CASE MASTER'!$AD$2:$AD$495&gt;=1))*ROW('CASE MASTER'!$T$2:$T$495))-(ROW('CASE MASTER'!#REF!)-1))),"")),"")</f>
        <v/>
      </c>
      <c r="C119" s="10" t="str">
        <f>IFERROR(IF(SUMPRODUCT((('CASE MASTER'!$T$2:$T$495=9)*('CASE MASTER'!$U$2:$U$495&lt;=5)*('CASE MASTER'!$W$2:$W$495&gt;=5)*('CASE MASTER'!$V$2:$V$495&lt;=2)*('CASE MASTER'!$X$2:$X$495&gt;=2))*ROW('CASE MASTER'!$T$2:$T$495))&gt;0,INDEX('CASE MASTER'!$Y$2:$Y$495,(SUMPRODUCT((('CASE MASTER'!$T$2:$T$495=9)*('CASE MASTER'!$U$2:$U$495&lt;=5)*('CASE MASTER'!$W$2:$W$495&gt;=5)*('CASE MASTER'!$V$2:$V$495&lt;=2)*('CASE MASTER'!$X$2:$X$495&gt;=2))*ROW('CASE MASTER'!$T$2:$T$495))-(ROW('CASE MASTER'!#REF!)-1)))&amp;TRIM(MID(SUBSTITUTE(SUBSTITUTE(INDEX('CASE MASTER'!$N$2:$N$495,(SUMPRODUCT((('CASE MASTER'!$T$2:$T$495=9)*('CASE MASTER'!$U$2:$U$495&lt;=5)*('CASE MASTER'!$W$2:$W$495&gt;=5)*('CASE MASTER'!$V$2:$V$495&lt;=2)*('CASE MASTER'!$X$2:$X$495&gt;=2))*ROW('CASE MASTER'!$T$2:$T$495))-(ROW('CASE MASTER'!#REF!)-1))),":",","),",",REPT(" ",50)),((((5-INDEX('CASE MASTER'!$U$2:$U$495,(SUMPRODUCT((('CASE MASTER'!$T$2:$T$495=9)*('CASE MASTER'!$U$2:$U$495&lt;=5)*('CASE MASTER'!$W$2:$W$495&gt;=5)*('CASE MASTER'!$V$2:$V$495&lt;=2)*('CASE MASTER'!$X$2:$X$495&gt;=2))*ROW('CASE MASTER'!$T$2:$T$495))-(ROW('CASE MASTER'!#REF!)-1))))*(INDEX('CASE MASTER'!$X$2:$X$495,(SUMPRODUCT((('CASE MASTER'!$T$2:$T$495=9)*('CASE MASTER'!$U$2:$U$495&lt;=5)*('CASE MASTER'!$W$2:$W$495&gt;=5)*('CASE MASTER'!$V$2:$V$495&lt;=2)*('CASE MASTER'!$X$2:$X$495&gt;=2))*ROW('CASE MASTER'!$T$2:$T$495))-(ROW('CASE MASTER'!#REF!)-1)))-INDEX('CASE MASTER'!$V$2:$V$495,(SUMPRODUCT((('CASE MASTER'!$T$2:$T$495=9)*('CASE MASTER'!$U$2:$U$495&lt;=5)*('CASE MASTER'!$W$2:$W$495&gt;=5)*('CASE MASTER'!$V$2:$V$495&lt;=2)*('CASE MASTER'!$X$2:$X$495&gt;=2))*ROW('CASE MASTER'!$T$2:$T$495))-(ROW('CASE MASTER'!#REF!)-1)))+1)+(2-INDEX('CASE MASTER'!$V$2:$V$495,(SUMPRODUCT((('CASE MASTER'!$T$2:$T$495=9)*('CASE MASTER'!$U$2:$U$495&lt;=5)*('CASE MASTER'!$W$2:$W$495&gt;=5)*('CASE MASTER'!$V$2:$V$495&lt;=2)*('CASE MASTER'!$X$2:$X$495&gt;=2))*ROW('CASE MASTER'!$T$2:$T$495))-(ROW('CASE MASTER'!#REF!)-1))))+1))-1)*50+1,50))&amp;"_"&amp;INDEX('CASE MASTER'!$Q$2:$Q$495,(SUMPRODUCT((('CASE MASTER'!$T$2:$T$495=9)*('CASE MASTER'!$U$2:$U$495&lt;=5)*('CASE MASTER'!$W$2:$W$495&gt;=5)*('CASE MASTER'!$V$2:$V$495&lt;=2)*('CASE MASTER'!$X$2:$X$495&gt;=2))*ROW('CASE MASTER'!$T$2:$T$495))-(ROW('CASE MASTER'!#REF!)-1))),IF(SUMPRODUCT((('CASE MASTER'!$T$2:$T$495=9)*('CASE MASTER'!$AA$2:$AA$495&lt;=5)*('CASE MASTER'!$AC$2:$AC$495&gt;=5)*('CASE MASTER'!$AB$2:$AB$495&lt;=2)*('CASE MASTER'!$AD$2:$AD$495&gt;=2))*ROW('CASE MASTER'!$T$2:$T$495))&gt;0,INDEX('CASE MASTER'!$Y$2:$Y$495,(SUMPRODUCT((('CASE MASTER'!$T$2:$T$495=9)*('CASE MASTER'!$AA$2:$AA$495&lt;=5)*('CASE MASTER'!$AC$2:$AC$495&gt;=5)*('CASE MASTER'!$AB$2:$AB$495&lt;=2)*('CASE MASTER'!$AD$2:$AD$495&gt;=2))*ROW('CASE MASTER'!$T$2:$T$495))-(ROW('CASE MASTER'!#REF!)-1)))&amp;TRIM(MID(SUBSTITUTE(SUBSTITUTE(INDEX('CASE MASTER'!$N$2:$N$495,(SUMPRODUCT((('CASE MASTER'!$T$2:$T$495=9)*('CASE MASTER'!$AA$2:$AA$495&lt;=5)*('CASE MASTER'!$AC$2:$AC$495&gt;=5)*('CASE MASTER'!$AB$2:$AB$495&lt;=2)*('CASE MASTER'!$AD$2:$AD$495&gt;=2))*ROW('CASE MASTER'!$T$2:$T$495))-(ROW('CASE MASTER'!#REF!)-1))),":",","),",",REPT(" ",50)),(((INDEX('CASE MASTER'!$Z$2:$Z$495,(SUMPRODUCT((('CASE MASTER'!$T$2:$T$495=9)*('CASE MASTER'!$AA$2:$AA$495&lt;=5)*('CASE MASTER'!$AC$2:$AC$495&gt;=5)*('CASE MASTER'!$AB$2:$AB$495&lt;=2)*('CASE MASTER'!$AD$2:$AD$495&gt;=2))*ROW('CASE MASTER'!$T$2:$T$495))-(ROW('CASE MASTER'!#REF!)-1)))+((5-INDEX('CASE MASTER'!$AA$2:$AA$495,(SUMPRODUCT((('CASE MASTER'!$T$2:$T$495=9)*('CASE MASTER'!$AA$2:$AA$495&lt;=5)*('CASE MASTER'!$AC$2:$AC$495&gt;=5)*('CASE MASTER'!$AB$2:$AB$495&lt;=2)*('CASE MASTER'!$AD$2:$AD$495&gt;=2))*ROW('CASE MASTER'!$T$2:$T$495))-(ROW('CASE MASTER'!#REF!)-1))))*(INDEX('CASE MASTER'!$AD$2:$AD$495,(SUMPRODUCT((('CASE MASTER'!$T$2:$T$495=9)*('CASE MASTER'!$AA$2:$AA$495&lt;=5)*('CASE MASTER'!$AC$2:$AC$495&gt;=5)*('CASE MASTER'!$AB$2:$AB$495&lt;=2)*('CASE MASTER'!$AD$2:$AD$495&gt;=2))*ROW('CASE MASTER'!$T$2:$T$495))-(ROW('CASE MASTER'!#REF!)-1)))-INDEX('CASE MASTER'!$AB$2:$AB$495,(SUMPRODUCT((('CASE MASTER'!$T$2:$T$495=9)*('CASE MASTER'!$AA$2:$AA$495&lt;=5)*('CASE MASTER'!$AC$2:$AC$495&gt;=5)*('CASE MASTER'!$AB$2:$AB$495&lt;=2)*('CASE MASTER'!$AD$2:$AD$495&gt;=2))*ROW('CASE MASTER'!$T$2:$T$495))-(ROW('CASE MASTER'!#REF!)-1)))+1)+(2-INDEX('CASE MASTER'!$AB$2:$AB$495,(SUMPRODUCT((('CASE MASTER'!$T$2:$T$495=9)*('CASE MASTER'!$AA$2:$AA$495&lt;=5)*('CASE MASTER'!$AC$2:$AC$495&gt;=5)*('CASE MASTER'!$AB$2:$AB$495&lt;=2)*('CASE MASTER'!$AD$2:$AD$495&gt;=2))*ROW('CASE MASTER'!$T$2:$T$495))-(ROW('CASE MASTER'!#REF!)-1))))+1)))-1)*50+1,50))&amp;"_"&amp;INDEX('CASE MASTER'!$Q$2:$Q$495,(SUMPRODUCT((('CASE MASTER'!$T$2:$T$495=9)*('CASE MASTER'!$AA$2:$AA$495&lt;=5)*('CASE MASTER'!$AC$2:$AC$495&gt;=5)*('CASE MASTER'!$AB$2:$AB$495&lt;=2)*('CASE MASTER'!$AD$2:$AD$495&gt;=2))*ROW('CASE MASTER'!$T$2:$T$495))-(ROW('CASE MASTER'!#REF!)-1))),"")),"")</f>
        <v/>
      </c>
      <c r="D119" s="10" t="str">
        <f>IFERROR(IF(SUMPRODUCT((('CASE MASTER'!$T$2:$T$495=9)*('CASE MASTER'!$U$2:$U$495&lt;=5)*('CASE MASTER'!$W$2:$W$495&gt;=5)*('CASE MASTER'!$V$2:$V$495&lt;=3)*('CASE MASTER'!$X$2:$X$495&gt;=3))*ROW('CASE MASTER'!$T$2:$T$495))&gt;0,INDEX('CASE MASTER'!$Y$2:$Y$495,(SUMPRODUCT((('CASE MASTER'!$T$2:$T$495=9)*('CASE MASTER'!$U$2:$U$495&lt;=5)*('CASE MASTER'!$W$2:$W$495&gt;=5)*('CASE MASTER'!$V$2:$V$495&lt;=3)*('CASE MASTER'!$X$2:$X$495&gt;=3))*ROW('CASE MASTER'!$T$2:$T$495))-(ROW('CASE MASTER'!#REF!)-1)))&amp;TRIM(MID(SUBSTITUTE(SUBSTITUTE(INDEX('CASE MASTER'!$N$2:$N$495,(SUMPRODUCT((('CASE MASTER'!$T$2:$T$495=9)*('CASE MASTER'!$U$2:$U$495&lt;=5)*('CASE MASTER'!$W$2:$W$495&gt;=5)*('CASE MASTER'!$V$2:$V$495&lt;=3)*('CASE MASTER'!$X$2:$X$495&gt;=3))*ROW('CASE MASTER'!$T$2:$T$495))-(ROW('CASE MASTER'!#REF!)-1))),":",","),",",REPT(" ",50)),((((5-INDEX('CASE MASTER'!$U$2:$U$495,(SUMPRODUCT((('CASE MASTER'!$T$2:$T$495=9)*('CASE MASTER'!$U$2:$U$495&lt;=5)*('CASE MASTER'!$W$2:$W$495&gt;=5)*('CASE MASTER'!$V$2:$V$495&lt;=3)*('CASE MASTER'!$X$2:$X$495&gt;=3))*ROW('CASE MASTER'!$T$2:$T$495))-(ROW('CASE MASTER'!#REF!)-1))))*(INDEX('CASE MASTER'!$X$2:$X$495,(SUMPRODUCT((('CASE MASTER'!$T$2:$T$495=9)*('CASE MASTER'!$U$2:$U$495&lt;=5)*('CASE MASTER'!$W$2:$W$495&gt;=5)*('CASE MASTER'!$V$2:$V$495&lt;=3)*('CASE MASTER'!$X$2:$X$495&gt;=3))*ROW('CASE MASTER'!$T$2:$T$495))-(ROW('CASE MASTER'!#REF!)-1)))-INDEX('CASE MASTER'!$V$2:$V$495,(SUMPRODUCT((('CASE MASTER'!$T$2:$T$495=9)*('CASE MASTER'!$U$2:$U$495&lt;=5)*('CASE MASTER'!$W$2:$W$495&gt;=5)*('CASE MASTER'!$V$2:$V$495&lt;=3)*('CASE MASTER'!$X$2:$X$495&gt;=3))*ROW('CASE MASTER'!$T$2:$T$495))-(ROW('CASE MASTER'!#REF!)-1)))+1)+(3-INDEX('CASE MASTER'!$V$2:$V$495,(SUMPRODUCT((('CASE MASTER'!$T$2:$T$495=9)*('CASE MASTER'!$U$2:$U$495&lt;=5)*('CASE MASTER'!$W$2:$W$495&gt;=5)*('CASE MASTER'!$V$2:$V$495&lt;=3)*('CASE MASTER'!$X$2:$X$495&gt;=3))*ROW('CASE MASTER'!$T$2:$T$495))-(ROW('CASE MASTER'!#REF!)-1))))+1))-1)*50+1,50))&amp;"_"&amp;INDEX('CASE MASTER'!$Q$2:$Q$495,(SUMPRODUCT((('CASE MASTER'!$T$2:$T$495=9)*('CASE MASTER'!$U$2:$U$495&lt;=5)*('CASE MASTER'!$W$2:$W$495&gt;=5)*('CASE MASTER'!$V$2:$V$495&lt;=3)*('CASE MASTER'!$X$2:$X$495&gt;=3))*ROW('CASE MASTER'!$T$2:$T$495))-(ROW('CASE MASTER'!#REF!)-1))),IF(SUMPRODUCT((('CASE MASTER'!$T$2:$T$495=9)*('CASE MASTER'!$AA$2:$AA$495&lt;=5)*('CASE MASTER'!$AC$2:$AC$495&gt;=5)*('CASE MASTER'!$AB$2:$AB$495&lt;=3)*('CASE MASTER'!$AD$2:$AD$495&gt;=3))*ROW('CASE MASTER'!$T$2:$T$495))&gt;0,INDEX('CASE MASTER'!$Y$2:$Y$495,(SUMPRODUCT((('CASE MASTER'!$T$2:$T$495=9)*('CASE MASTER'!$AA$2:$AA$495&lt;=5)*('CASE MASTER'!$AC$2:$AC$495&gt;=5)*('CASE MASTER'!$AB$2:$AB$495&lt;=3)*('CASE MASTER'!$AD$2:$AD$495&gt;=3))*ROW('CASE MASTER'!$T$2:$T$495))-(ROW('CASE MASTER'!#REF!)-1)))&amp;TRIM(MID(SUBSTITUTE(SUBSTITUTE(INDEX('CASE MASTER'!$N$2:$N$495,(SUMPRODUCT((('CASE MASTER'!$T$2:$T$495=9)*('CASE MASTER'!$AA$2:$AA$495&lt;=5)*('CASE MASTER'!$AC$2:$AC$495&gt;=5)*('CASE MASTER'!$AB$2:$AB$495&lt;=3)*('CASE MASTER'!$AD$2:$AD$495&gt;=3))*ROW('CASE MASTER'!$T$2:$T$495))-(ROW('CASE MASTER'!#REF!)-1))),":",","),",",REPT(" ",50)),(((INDEX('CASE MASTER'!$Z$2:$Z$495,(SUMPRODUCT((('CASE MASTER'!$T$2:$T$495=9)*('CASE MASTER'!$AA$2:$AA$495&lt;=5)*('CASE MASTER'!$AC$2:$AC$495&gt;=5)*('CASE MASTER'!$AB$2:$AB$495&lt;=3)*('CASE MASTER'!$AD$2:$AD$495&gt;=3))*ROW('CASE MASTER'!$T$2:$T$495))-(ROW('CASE MASTER'!#REF!)-1)))+((5-INDEX('CASE MASTER'!$AA$2:$AA$495,(SUMPRODUCT((('CASE MASTER'!$T$2:$T$495=9)*('CASE MASTER'!$AA$2:$AA$495&lt;=5)*('CASE MASTER'!$AC$2:$AC$495&gt;=5)*('CASE MASTER'!$AB$2:$AB$495&lt;=3)*('CASE MASTER'!$AD$2:$AD$495&gt;=3))*ROW('CASE MASTER'!$T$2:$T$495))-(ROW('CASE MASTER'!#REF!)-1))))*(INDEX('CASE MASTER'!$AD$2:$AD$495,(SUMPRODUCT((('CASE MASTER'!$T$2:$T$495=9)*('CASE MASTER'!$AA$2:$AA$495&lt;=5)*('CASE MASTER'!$AC$2:$AC$495&gt;=5)*('CASE MASTER'!$AB$2:$AB$495&lt;=3)*('CASE MASTER'!$AD$2:$AD$495&gt;=3))*ROW('CASE MASTER'!$T$2:$T$495))-(ROW('CASE MASTER'!#REF!)-1)))-INDEX('CASE MASTER'!$AB$2:$AB$495,(SUMPRODUCT((('CASE MASTER'!$T$2:$T$495=9)*('CASE MASTER'!$AA$2:$AA$495&lt;=5)*('CASE MASTER'!$AC$2:$AC$495&gt;=5)*('CASE MASTER'!$AB$2:$AB$495&lt;=3)*('CASE MASTER'!$AD$2:$AD$495&gt;=3))*ROW('CASE MASTER'!$T$2:$T$495))-(ROW('CASE MASTER'!#REF!)-1)))+1)+(3-INDEX('CASE MASTER'!$AB$2:$AB$495,(SUMPRODUCT((('CASE MASTER'!$T$2:$T$495=9)*('CASE MASTER'!$AA$2:$AA$495&lt;=5)*('CASE MASTER'!$AC$2:$AC$495&gt;=5)*('CASE MASTER'!$AB$2:$AB$495&lt;=3)*('CASE MASTER'!$AD$2:$AD$495&gt;=3))*ROW('CASE MASTER'!$T$2:$T$495))-(ROW('CASE MASTER'!#REF!)-1))))+1)))-1)*50+1,50))&amp;"_"&amp;INDEX('CASE MASTER'!$Q$2:$Q$495,(SUMPRODUCT((('CASE MASTER'!$T$2:$T$495=9)*('CASE MASTER'!$AA$2:$AA$495&lt;=5)*('CASE MASTER'!$AC$2:$AC$495&gt;=5)*('CASE MASTER'!$AB$2:$AB$495&lt;=3)*('CASE MASTER'!$AD$2:$AD$495&gt;=3))*ROW('CASE MASTER'!$T$2:$T$495))-(ROW('CASE MASTER'!#REF!)-1))),"")),"")</f>
        <v/>
      </c>
      <c r="E119" s="10" t="str">
        <f>IFERROR(IF(SUMPRODUCT((('CASE MASTER'!$T$2:$T$495=9)*('CASE MASTER'!$U$2:$U$495&lt;=5)*('CASE MASTER'!$W$2:$W$495&gt;=5)*('CASE MASTER'!$V$2:$V$495&lt;=4)*('CASE MASTER'!$X$2:$X$495&gt;=4))*ROW('CASE MASTER'!$T$2:$T$495))&gt;0,INDEX('CASE MASTER'!$Y$2:$Y$495,(SUMPRODUCT((('CASE MASTER'!$T$2:$T$495=9)*('CASE MASTER'!$U$2:$U$495&lt;=5)*('CASE MASTER'!$W$2:$W$495&gt;=5)*('CASE MASTER'!$V$2:$V$495&lt;=4)*('CASE MASTER'!$X$2:$X$495&gt;=4))*ROW('CASE MASTER'!$T$2:$T$495))-(ROW('CASE MASTER'!#REF!)-1)))&amp;TRIM(MID(SUBSTITUTE(SUBSTITUTE(INDEX('CASE MASTER'!$N$2:$N$495,(SUMPRODUCT((('CASE MASTER'!$T$2:$T$495=9)*('CASE MASTER'!$U$2:$U$495&lt;=5)*('CASE MASTER'!$W$2:$W$495&gt;=5)*('CASE MASTER'!$V$2:$V$495&lt;=4)*('CASE MASTER'!$X$2:$X$495&gt;=4))*ROW('CASE MASTER'!$T$2:$T$495))-(ROW('CASE MASTER'!#REF!)-1))),":",","),",",REPT(" ",50)),((((5-INDEX('CASE MASTER'!$U$2:$U$495,(SUMPRODUCT((('CASE MASTER'!$T$2:$T$495=9)*('CASE MASTER'!$U$2:$U$495&lt;=5)*('CASE MASTER'!$W$2:$W$495&gt;=5)*('CASE MASTER'!$V$2:$V$495&lt;=4)*('CASE MASTER'!$X$2:$X$495&gt;=4))*ROW('CASE MASTER'!$T$2:$T$495))-(ROW('CASE MASTER'!#REF!)-1))))*(INDEX('CASE MASTER'!$X$2:$X$495,(SUMPRODUCT((('CASE MASTER'!$T$2:$T$495=9)*('CASE MASTER'!$U$2:$U$495&lt;=5)*('CASE MASTER'!$W$2:$W$495&gt;=5)*('CASE MASTER'!$V$2:$V$495&lt;=4)*('CASE MASTER'!$X$2:$X$495&gt;=4))*ROW('CASE MASTER'!$T$2:$T$495))-(ROW('CASE MASTER'!#REF!)-1)))-INDEX('CASE MASTER'!$V$2:$V$495,(SUMPRODUCT((('CASE MASTER'!$T$2:$T$495=9)*('CASE MASTER'!$U$2:$U$495&lt;=5)*('CASE MASTER'!$W$2:$W$495&gt;=5)*('CASE MASTER'!$V$2:$V$495&lt;=4)*('CASE MASTER'!$X$2:$X$495&gt;=4))*ROW('CASE MASTER'!$T$2:$T$495))-(ROW('CASE MASTER'!#REF!)-1)))+1)+(4-INDEX('CASE MASTER'!$V$2:$V$495,(SUMPRODUCT((('CASE MASTER'!$T$2:$T$495=9)*('CASE MASTER'!$U$2:$U$495&lt;=5)*('CASE MASTER'!$W$2:$W$495&gt;=5)*('CASE MASTER'!$V$2:$V$495&lt;=4)*('CASE MASTER'!$X$2:$X$495&gt;=4))*ROW('CASE MASTER'!$T$2:$T$495))-(ROW('CASE MASTER'!#REF!)-1))))+1))-1)*50+1,50))&amp;"_"&amp;INDEX('CASE MASTER'!$Q$2:$Q$495,(SUMPRODUCT((('CASE MASTER'!$T$2:$T$495=9)*('CASE MASTER'!$U$2:$U$495&lt;=5)*('CASE MASTER'!$W$2:$W$495&gt;=5)*('CASE MASTER'!$V$2:$V$495&lt;=4)*('CASE MASTER'!$X$2:$X$495&gt;=4))*ROW('CASE MASTER'!$T$2:$T$495))-(ROW('CASE MASTER'!#REF!)-1))),IF(SUMPRODUCT((('CASE MASTER'!$T$2:$T$495=9)*('CASE MASTER'!$AA$2:$AA$495&lt;=5)*('CASE MASTER'!$AC$2:$AC$495&gt;=5)*('CASE MASTER'!$AB$2:$AB$495&lt;=4)*('CASE MASTER'!$AD$2:$AD$495&gt;=4))*ROW('CASE MASTER'!$T$2:$T$495))&gt;0,INDEX('CASE MASTER'!$Y$2:$Y$495,(SUMPRODUCT((('CASE MASTER'!$T$2:$T$495=9)*('CASE MASTER'!$AA$2:$AA$495&lt;=5)*('CASE MASTER'!$AC$2:$AC$495&gt;=5)*('CASE MASTER'!$AB$2:$AB$495&lt;=4)*('CASE MASTER'!$AD$2:$AD$495&gt;=4))*ROW('CASE MASTER'!$T$2:$T$495))-(ROW('CASE MASTER'!#REF!)-1)))&amp;TRIM(MID(SUBSTITUTE(SUBSTITUTE(INDEX('CASE MASTER'!$N$2:$N$495,(SUMPRODUCT((('CASE MASTER'!$T$2:$T$495=9)*('CASE MASTER'!$AA$2:$AA$495&lt;=5)*('CASE MASTER'!$AC$2:$AC$495&gt;=5)*('CASE MASTER'!$AB$2:$AB$495&lt;=4)*('CASE MASTER'!$AD$2:$AD$495&gt;=4))*ROW('CASE MASTER'!$T$2:$T$495))-(ROW('CASE MASTER'!#REF!)-1))),":",","),",",REPT(" ",50)),(((INDEX('CASE MASTER'!$Z$2:$Z$495,(SUMPRODUCT((('CASE MASTER'!$T$2:$T$495=9)*('CASE MASTER'!$AA$2:$AA$495&lt;=5)*('CASE MASTER'!$AC$2:$AC$495&gt;=5)*('CASE MASTER'!$AB$2:$AB$495&lt;=4)*('CASE MASTER'!$AD$2:$AD$495&gt;=4))*ROW('CASE MASTER'!$T$2:$T$495))-(ROW('CASE MASTER'!#REF!)-1)))+((5-INDEX('CASE MASTER'!$AA$2:$AA$495,(SUMPRODUCT((('CASE MASTER'!$T$2:$T$495=9)*('CASE MASTER'!$AA$2:$AA$495&lt;=5)*('CASE MASTER'!$AC$2:$AC$495&gt;=5)*('CASE MASTER'!$AB$2:$AB$495&lt;=4)*('CASE MASTER'!$AD$2:$AD$495&gt;=4))*ROW('CASE MASTER'!$T$2:$T$495))-(ROW('CASE MASTER'!#REF!)-1))))*(INDEX('CASE MASTER'!$AD$2:$AD$495,(SUMPRODUCT((('CASE MASTER'!$T$2:$T$495=9)*('CASE MASTER'!$AA$2:$AA$495&lt;=5)*('CASE MASTER'!$AC$2:$AC$495&gt;=5)*('CASE MASTER'!$AB$2:$AB$495&lt;=4)*('CASE MASTER'!$AD$2:$AD$495&gt;=4))*ROW('CASE MASTER'!$T$2:$T$495))-(ROW('CASE MASTER'!#REF!)-1)))-INDEX('CASE MASTER'!$AB$2:$AB$495,(SUMPRODUCT((('CASE MASTER'!$T$2:$T$495=9)*('CASE MASTER'!$AA$2:$AA$495&lt;=5)*('CASE MASTER'!$AC$2:$AC$495&gt;=5)*('CASE MASTER'!$AB$2:$AB$495&lt;=4)*('CASE MASTER'!$AD$2:$AD$495&gt;=4))*ROW('CASE MASTER'!$T$2:$T$495))-(ROW('CASE MASTER'!#REF!)-1)))+1)+(4-INDEX('CASE MASTER'!$AB$2:$AB$495,(SUMPRODUCT((('CASE MASTER'!$T$2:$T$495=9)*('CASE MASTER'!$AA$2:$AA$495&lt;=5)*('CASE MASTER'!$AC$2:$AC$495&gt;=5)*('CASE MASTER'!$AB$2:$AB$495&lt;=4)*('CASE MASTER'!$AD$2:$AD$495&gt;=4))*ROW('CASE MASTER'!$T$2:$T$495))-(ROW('CASE MASTER'!#REF!)-1))))+1)))-1)*50+1,50))&amp;"_"&amp;INDEX('CASE MASTER'!$Q$2:$Q$495,(SUMPRODUCT((('CASE MASTER'!$T$2:$T$495=9)*('CASE MASTER'!$AA$2:$AA$495&lt;=5)*('CASE MASTER'!$AC$2:$AC$495&gt;=5)*('CASE MASTER'!$AB$2:$AB$495&lt;=4)*('CASE MASTER'!$AD$2:$AD$495&gt;=4))*ROW('CASE MASTER'!$T$2:$T$495))-(ROW('CASE MASTER'!#REF!)-1))),"")),"")</f>
        <v/>
      </c>
      <c r="F119" s="10" t="str">
        <f>IFERROR(IF(SUMPRODUCT((('CASE MASTER'!$T$2:$T$495=9)*('CASE MASTER'!$U$2:$U$495&lt;=5)*('CASE MASTER'!$W$2:$W$495&gt;=5)*('CASE MASTER'!$V$2:$V$495&lt;=5)*('CASE MASTER'!$X$2:$X$495&gt;=5))*ROW('CASE MASTER'!$T$2:$T$495))&gt;0,INDEX('CASE MASTER'!$Y$2:$Y$495,(SUMPRODUCT((('CASE MASTER'!$T$2:$T$495=9)*('CASE MASTER'!$U$2:$U$495&lt;=5)*('CASE MASTER'!$W$2:$W$495&gt;=5)*('CASE MASTER'!$V$2:$V$495&lt;=5)*('CASE MASTER'!$X$2:$X$495&gt;=5))*ROW('CASE MASTER'!$T$2:$T$495))-(ROW('CASE MASTER'!#REF!)-1)))&amp;TRIM(MID(SUBSTITUTE(SUBSTITUTE(INDEX('CASE MASTER'!$N$2:$N$495,(SUMPRODUCT((('CASE MASTER'!$T$2:$T$495=9)*('CASE MASTER'!$U$2:$U$495&lt;=5)*('CASE MASTER'!$W$2:$W$495&gt;=5)*('CASE MASTER'!$V$2:$V$495&lt;=5)*('CASE MASTER'!$X$2:$X$495&gt;=5))*ROW('CASE MASTER'!$T$2:$T$495))-(ROW('CASE MASTER'!#REF!)-1))),":",","),",",REPT(" ",50)),((((5-INDEX('CASE MASTER'!$U$2:$U$495,(SUMPRODUCT((('CASE MASTER'!$T$2:$T$495=9)*('CASE MASTER'!$U$2:$U$495&lt;=5)*('CASE MASTER'!$W$2:$W$495&gt;=5)*('CASE MASTER'!$V$2:$V$495&lt;=5)*('CASE MASTER'!$X$2:$X$495&gt;=5))*ROW('CASE MASTER'!$T$2:$T$495))-(ROW('CASE MASTER'!#REF!)-1))))*(INDEX('CASE MASTER'!$X$2:$X$495,(SUMPRODUCT((('CASE MASTER'!$T$2:$T$495=9)*('CASE MASTER'!$U$2:$U$495&lt;=5)*('CASE MASTER'!$W$2:$W$495&gt;=5)*('CASE MASTER'!$V$2:$V$495&lt;=5)*('CASE MASTER'!$X$2:$X$495&gt;=5))*ROW('CASE MASTER'!$T$2:$T$495))-(ROW('CASE MASTER'!#REF!)-1)))-INDEX('CASE MASTER'!$V$2:$V$495,(SUMPRODUCT((('CASE MASTER'!$T$2:$T$495=9)*('CASE MASTER'!$U$2:$U$495&lt;=5)*('CASE MASTER'!$W$2:$W$495&gt;=5)*('CASE MASTER'!$V$2:$V$495&lt;=5)*('CASE MASTER'!$X$2:$X$495&gt;=5))*ROW('CASE MASTER'!$T$2:$T$495))-(ROW('CASE MASTER'!#REF!)-1)))+1)+(5-INDEX('CASE MASTER'!$V$2:$V$495,(SUMPRODUCT((('CASE MASTER'!$T$2:$T$495=9)*('CASE MASTER'!$U$2:$U$495&lt;=5)*('CASE MASTER'!$W$2:$W$495&gt;=5)*('CASE MASTER'!$V$2:$V$495&lt;=5)*('CASE MASTER'!$X$2:$X$495&gt;=5))*ROW('CASE MASTER'!$T$2:$T$495))-(ROW('CASE MASTER'!#REF!)-1))))+1))-1)*50+1,50))&amp;"_"&amp;INDEX('CASE MASTER'!$Q$2:$Q$495,(SUMPRODUCT((('CASE MASTER'!$T$2:$T$495=9)*('CASE MASTER'!$U$2:$U$495&lt;=5)*('CASE MASTER'!$W$2:$W$495&gt;=5)*('CASE MASTER'!$V$2:$V$495&lt;=5)*('CASE MASTER'!$X$2:$X$495&gt;=5))*ROW('CASE MASTER'!$T$2:$T$495))-(ROW('CASE MASTER'!#REF!)-1))),IF(SUMPRODUCT((('CASE MASTER'!$T$2:$T$495=9)*('CASE MASTER'!$AA$2:$AA$495&lt;=5)*('CASE MASTER'!$AC$2:$AC$495&gt;=5)*('CASE MASTER'!$AB$2:$AB$495&lt;=5)*('CASE MASTER'!$AD$2:$AD$495&gt;=5))*ROW('CASE MASTER'!$T$2:$T$495))&gt;0,INDEX('CASE MASTER'!$Y$2:$Y$495,(SUMPRODUCT((('CASE MASTER'!$T$2:$T$495=9)*('CASE MASTER'!$AA$2:$AA$495&lt;=5)*('CASE MASTER'!$AC$2:$AC$495&gt;=5)*('CASE MASTER'!$AB$2:$AB$495&lt;=5)*('CASE MASTER'!$AD$2:$AD$495&gt;=5))*ROW('CASE MASTER'!$T$2:$T$495))-(ROW('CASE MASTER'!#REF!)-1)))&amp;TRIM(MID(SUBSTITUTE(SUBSTITUTE(INDEX('CASE MASTER'!$N$2:$N$495,(SUMPRODUCT((('CASE MASTER'!$T$2:$T$495=9)*('CASE MASTER'!$AA$2:$AA$495&lt;=5)*('CASE MASTER'!$AC$2:$AC$495&gt;=5)*('CASE MASTER'!$AB$2:$AB$495&lt;=5)*('CASE MASTER'!$AD$2:$AD$495&gt;=5))*ROW('CASE MASTER'!$T$2:$T$495))-(ROW('CASE MASTER'!#REF!)-1))),":",","),",",REPT(" ",50)),(((INDEX('CASE MASTER'!$Z$2:$Z$495,(SUMPRODUCT((('CASE MASTER'!$T$2:$T$495=9)*('CASE MASTER'!$AA$2:$AA$495&lt;=5)*('CASE MASTER'!$AC$2:$AC$495&gt;=5)*('CASE MASTER'!$AB$2:$AB$495&lt;=5)*('CASE MASTER'!$AD$2:$AD$495&gt;=5))*ROW('CASE MASTER'!$T$2:$T$495))-(ROW('CASE MASTER'!#REF!)-1)))+((5-INDEX('CASE MASTER'!$AA$2:$AA$495,(SUMPRODUCT((('CASE MASTER'!$T$2:$T$495=9)*('CASE MASTER'!$AA$2:$AA$495&lt;=5)*('CASE MASTER'!$AC$2:$AC$495&gt;=5)*('CASE MASTER'!$AB$2:$AB$495&lt;=5)*('CASE MASTER'!$AD$2:$AD$495&gt;=5))*ROW('CASE MASTER'!$T$2:$T$495))-(ROW('CASE MASTER'!#REF!)-1))))*(INDEX('CASE MASTER'!$AD$2:$AD$495,(SUMPRODUCT((('CASE MASTER'!$T$2:$T$495=9)*('CASE MASTER'!$AA$2:$AA$495&lt;=5)*('CASE MASTER'!$AC$2:$AC$495&gt;=5)*('CASE MASTER'!$AB$2:$AB$495&lt;=5)*('CASE MASTER'!$AD$2:$AD$495&gt;=5))*ROW('CASE MASTER'!$T$2:$T$495))-(ROW('CASE MASTER'!#REF!)-1)))-INDEX('CASE MASTER'!$AB$2:$AB$495,(SUMPRODUCT((('CASE MASTER'!$T$2:$T$495=9)*('CASE MASTER'!$AA$2:$AA$495&lt;=5)*('CASE MASTER'!$AC$2:$AC$495&gt;=5)*('CASE MASTER'!$AB$2:$AB$495&lt;=5)*('CASE MASTER'!$AD$2:$AD$495&gt;=5))*ROW('CASE MASTER'!$T$2:$T$495))-(ROW('CASE MASTER'!#REF!)-1)))+1)+(5-INDEX('CASE MASTER'!$AB$2:$AB$495,(SUMPRODUCT((('CASE MASTER'!$T$2:$T$495=9)*('CASE MASTER'!$AA$2:$AA$495&lt;=5)*('CASE MASTER'!$AC$2:$AC$495&gt;=5)*('CASE MASTER'!$AB$2:$AB$495&lt;=5)*('CASE MASTER'!$AD$2:$AD$495&gt;=5))*ROW('CASE MASTER'!$T$2:$T$495))-(ROW('CASE MASTER'!#REF!)-1))))+1)))-1)*50+1,50))&amp;"_"&amp;INDEX('CASE MASTER'!$Q$2:$Q$495,(SUMPRODUCT((('CASE MASTER'!$T$2:$T$495=9)*('CASE MASTER'!$AA$2:$AA$495&lt;=5)*('CASE MASTER'!$AC$2:$AC$495&gt;=5)*('CASE MASTER'!$AB$2:$AB$495&lt;=5)*('CASE MASTER'!$AD$2:$AD$495&gt;=5))*ROW('CASE MASTER'!$T$2:$T$495))-(ROW('CASE MASTER'!#REF!)-1))),"")),"")</f>
        <v/>
      </c>
      <c r="G119" s="10" t="str">
        <f>IFERROR(IF(SUMPRODUCT((('CASE MASTER'!$T$2:$T$495=9)*('CASE MASTER'!$U$2:$U$495&lt;=5)*('CASE MASTER'!$W$2:$W$495&gt;=5)*('CASE MASTER'!$V$2:$V$495&lt;=6)*('CASE MASTER'!$X$2:$X$495&gt;=6))*ROW('CASE MASTER'!$T$2:$T$495))&gt;0,INDEX('CASE MASTER'!$Y$2:$Y$495,(SUMPRODUCT((('CASE MASTER'!$T$2:$T$495=9)*('CASE MASTER'!$U$2:$U$495&lt;=5)*('CASE MASTER'!$W$2:$W$495&gt;=5)*('CASE MASTER'!$V$2:$V$495&lt;=6)*('CASE MASTER'!$X$2:$X$495&gt;=6))*ROW('CASE MASTER'!$T$2:$T$495))-(ROW('CASE MASTER'!#REF!)-1)))&amp;TRIM(MID(SUBSTITUTE(SUBSTITUTE(INDEX('CASE MASTER'!$N$2:$N$495,(SUMPRODUCT((('CASE MASTER'!$T$2:$T$495=9)*('CASE MASTER'!$U$2:$U$495&lt;=5)*('CASE MASTER'!$W$2:$W$495&gt;=5)*('CASE MASTER'!$V$2:$V$495&lt;=6)*('CASE MASTER'!$X$2:$X$495&gt;=6))*ROW('CASE MASTER'!$T$2:$T$495))-(ROW('CASE MASTER'!#REF!)-1))),":",","),",",REPT(" ",50)),((((5-INDEX('CASE MASTER'!$U$2:$U$495,(SUMPRODUCT((('CASE MASTER'!$T$2:$T$495=9)*('CASE MASTER'!$U$2:$U$495&lt;=5)*('CASE MASTER'!$W$2:$W$495&gt;=5)*('CASE MASTER'!$V$2:$V$495&lt;=6)*('CASE MASTER'!$X$2:$X$495&gt;=6))*ROW('CASE MASTER'!$T$2:$T$495))-(ROW('CASE MASTER'!#REF!)-1))))*(INDEX('CASE MASTER'!$X$2:$X$495,(SUMPRODUCT((('CASE MASTER'!$T$2:$T$495=9)*('CASE MASTER'!$U$2:$U$495&lt;=5)*('CASE MASTER'!$W$2:$W$495&gt;=5)*('CASE MASTER'!$V$2:$V$495&lt;=6)*('CASE MASTER'!$X$2:$X$495&gt;=6))*ROW('CASE MASTER'!$T$2:$T$495))-(ROW('CASE MASTER'!#REF!)-1)))-INDEX('CASE MASTER'!$V$2:$V$495,(SUMPRODUCT((('CASE MASTER'!$T$2:$T$495=9)*('CASE MASTER'!$U$2:$U$495&lt;=5)*('CASE MASTER'!$W$2:$W$495&gt;=5)*('CASE MASTER'!$V$2:$V$495&lt;=6)*('CASE MASTER'!$X$2:$X$495&gt;=6))*ROW('CASE MASTER'!$T$2:$T$495))-(ROW('CASE MASTER'!#REF!)-1)))+1)+(6-INDEX('CASE MASTER'!$V$2:$V$495,(SUMPRODUCT((('CASE MASTER'!$T$2:$T$495=9)*('CASE MASTER'!$U$2:$U$495&lt;=5)*('CASE MASTER'!$W$2:$W$495&gt;=5)*('CASE MASTER'!$V$2:$V$495&lt;=6)*('CASE MASTER'!$X$2:$X$495&gt;=6))*ROW('CASE MASTER'!$T$2:$T$495))-(ROW('CASE MASTER'!#REF!)-1))))+1))-1)*50+1,50))&amp;"_"&amp;INDEX('CASE MASTER'!$Q$2:$Q$495,(SUMPRODUCT((('CASE MASTER'!$T$2:$T$495=9)*('CASE MASTER'!$U$2:$U$495&lt;=5)*('CASE MASTER'!$W$2:$W$495&gt;=5)*('CASE MASTER'!$V$2:$V$495&lt;=6)*('CASE MASTER'!$X$2:$X$495&gt;=6))*ROW('CASE MASTER'!$T$2:$T$495))-(ROW('CASE MASTER'!#REF!)-1))),IF(SUMPRODUCT((('CASE MASTER'!$T$2:$T$495=9)*('CASE MASTER'!$AA$2:$AA$495&lt;=5)*('CASE MASTER'!$AC$2:$AC$495&gt;=5)*('CASE MASTER'!$AB$2:$AB$495&lt;=6)*('CASE MASTER'!$AD$2:$AD$495&gt;=6))*ROW('CASE MASTER'!$T$2:$T$495))&gt;0,INDEX('CASE MASTER'!$Y$2:$Y$495,(SUMPRODUCT((('CASE MASTER'!$T$2:$T$495=9)*('CASE MASTER'!$AA$2:$AA$495&lt;=5)*('CASE MASTER'!$AC$2:$AC$495&gt;=5)*('CASE MASTER'!$AB$2:$AB$495&lt;=6)*('CASE MASTER'!$AD$2:$AD$495&gt;=6))*ROW('CASE MASTER'!$T$2:$T$495))-(ROW('CASE MASTER'!#REF!)-1)))&amp;TRIM(MID(SUBSTITUTE(SUBSTITUTE(INDEX('CASE MASTER'!$N$2:$N$495,(SUMPRODUCT((('CASE MASTER'!$T$2:$T$495=9)*('CASE MASTER'!$AA$2:$AA$495&lt;=5)*('CASE MASTER'!$AC$2:$AC$495&gt;=5)*('CASE MASTER'!$AB$2:$AB$495&lt;=6)*('CASE MASTER'!$AD$2:$AD$495&gt;=6))*ROW('CASE MASTER'!$T$2:$T$495))-(ROW('CASE MASTER'!#REF!)-1))),":",","),",",REPT(" ",50)),(((INDEX('CASE MASTER'!$Z$2:$Z$495,(SUMPRODUCT((('CASE MASTER'!$T$2:$T$495=9)*('CASE MASTER'!$AA$2:$AA$495&lt;=5)*('CASE MASTER'!$AC$2:$AC$495&gt;=5)*('CASE MASTER'!$AB$2:$AB$495&lt;=6)*('CASE MASTER'!$AD$2:$AD$495&gt;=6))*ROW('CASE MASTER'!$T$2:$T$495))-(ROW('CASE MASTER'!#REF!)-1)))+((5-INDEX('CASE MASTER'!$AA$2:$AA$495,(SUMPRODUCT((('CASE MASTER'!$T$2:$T$495=9)*('CASE MASTER'!$AA$2:$AA$495&lt;=5)*('CASE MASTER'!$AC$2:$AC$495&gt;=5)*('CASE MASTER'!$AB$2:$AB$495&lt;=6)*('CASE MASTER'!$AD$2:$AD$495&gt;=6))*ROW('CASE MASTER'!$T$2:$T$495))-(ROW('CASE MASTER'!#REF!)-1))))*(INDEX('CASE MASTER'!$AD$2:$AD$495,(SUMPRODUCT((('CASE MASTER'!$T$2:$T$495=9)*('CASE MASTER'!$AA$2:$AA$495&lt;=5)*('CASE MASTER'!$AC$2:$AC$495&gt;=5)*('CASE MASTER'!$AB$2:$AB$495&lt;=6)*('CASE MASTER'!$AD$2:$AD$495&gt;=6))*ROW('CASE MASTER'!$T$2:$T$495))-(ROW('CASE MASTER'!#REF!)-1)))-INDEX('CASE MASTER'!$AB$2:$AB$495,(SUMPRODUCT((('CASE MASTER'!$T$2:$T$495=9)*('CASE MASTER'!$AA$2:$AA$495&lt;=5)*('CASE MASTER'!$AC$2:$AC$495&gt;=5)*('CASE MASTER'!$AB$2:$AB$495&lt;=6)*('CASE MASTER'!$AD$2:$AD$495&gt;=6))*ROW('CASE MASTER'!$T$2:$T$495))-(ROW('CASE MASTER'!#REF!)-1)))+1)+(6-INDEX('CASE MASTER'!$AB$2:$AB$495,(SUMPRODUCT((('CASE MASTER'!$T$2:$T$495=9)*('CASE MASTER'!$AA$2:$AA$495&lt;=5)*('CASE MASTER'!$AC$2:$AC$495&gt;=5)*('CASE MASTER'!$AB$2:$AB$495&lt;=6)*('CASE MASTER'!$AD$2:$AD$495&gt;=6))*ROW('CASE MASTER'!$T$2:$T$495))-(ROW('CASE MASTER'!#REF!)-1))))+1)))-1)*50+1,50))&amp;"_"&amp;INDEX('CASE MASTER'!$Q$2:$Q$495,(SUMPRODUCT((('CASE MASTER'!$T$2:$T$495=9)*('CASE MASTER'!$AA$2:$AA$495&lt;=5)*('CASE MASTER'!$AC$2:$AC$495&gt;=5)*('CASE MASTER'!$AB$2:$AB$495&lt;=6)*('CASE MASTER'!$AD$2:$AD$495&gt;=6))*ROW('CASE MASTER'!$T$2:$T$495))-(ROW('CASE MASTER'!#REF!)-1))),"")),"")</f>
        <v/>
      </c>
      <c r="H119" s="10" t="str">
        <f>IFERROR(IF(SUMPRODUCT((('CASE MASTER'!$T$2:$T$495=9)*('CASE MASTER'!$U$2:$U$495&lt;=5)*('CASE MASTER'!$W$2:$W$495&gt;=5)*('CASE MASTER'!$V$2:$V$495&lt;=7)*('CASE MASTER'!$X$2:$X$495&gt;=7))*ROW('CASE MASTER'!$T$2:$T$495))&gt;0,INDEX('CASE MASTER'!$Y$2:$Y$495,(SUMPRODUCT((('CASE MASTER'!$T$2:$T$495=9)*('CASE MASTER'!$U$2:$U$495&lt;=5)*('CASE MASTER'!$W$2:$W$495&gt;=5)*('CASE MASTER'!$V$2:$V$495&lt;=7)*('CASE MASTER'!$X$2:$X$495&gt;=7))*ROW('CASE MASTER'!$T$2:$T$495))-(ROW('CASE MASTER'!#REF!)-1)))&amp;TRIM(MID(SUBSTITUTE(SUBSTITUTE(INDEX('CASE MASTER'!$N$2:$N$495,(SUMPRODUCT((('CASE MASTER'!$T$2:$T$495=9)*('CASE MASTER'!$U$2:$U$495&lt;=5)*('CASE MASTER'!$W$2:$W$495&gt;=5)*('CASE MASTER'!$V$2:$V$495&lt;=7)*('CASE MASTER'!$X$2:$X$495&gt;=7))*ROW('CASE MASTER'!$T$2:$T$495))-(ROW('CASE MASTER'!#REF!)-1))),":",","),",",REPT(" ",50)),((((5-INDEX('CASE MASTER'!$U$2:$U$495,(SUMPRODUCT((('CASE MASTER'!$T$2:$T$495=9)*('CASE MASTER'!$U$2:$U$495&lt;=5)*('CASE MASTER'!$W$2:$W$495&gt;=5)*('CASE MASTER'!$V$2:$V$495&lt;=7)*('CASE MASTER'!$X$2:$X$495&gt;=7))*ROW('CASE MASTER'!$T$2:$T$495))-(ROW('CASE MASTER'!#REF!)-1))))*(INDEX('CASE MASTER'!$X$2:$X$495,(SUMPRODUCT((('CASE MASTER'!$T$2:$T$495=9)*('CASE MASTER'!$U$2:$U$495&lt;=5)*('CASE MASTER'!$W$2:$W$495&gt;=5)*('CASE MASTER'!$V$2:$V$495&lt;=7)*('CASE MASTER'!$X$2:$X$495&gt;=7))*ROW('CASE MASTER'!$T$2:$T$495))-(ROW('CASE MASTER'!#REF!)-1)))-INDEX('CASE MASTER'!$V$2:$V$495,(SUMPRODUCT((('CASE MASTER'!$T$2:$T$495=9)*('CASE MASTER'!$U$2:$U$495&lt;=5)*('CASE MASTER'!$W$2:$W$495&gt;=5)*('CASE MASTER'!$V$2:$V$495&lt;=7)*('CASE MASTER'!$X$2:$X$495&gt;=7))*ROW('CASE MASTER'!$T$2:$T$495))-(ROW('CASE MASTER'!#REF!)-1)))+1)+(7-INDEX('CASE MASTER'!$V$2:$V$495,(SUMPRODUCT((('CASE MASTER'!$T$2:$T$495=9)*('CASE MASTER'!$U$2:$U$495&lt;=5)*('CASE MASTER'!$W$2:$W$495&gt;=5)*('CASE MASTER'!$V$2:$V$495&lt;=7)*('CASE MASTER'!$X$2:$X$495&gt;=7))*ROW('CASE MASTER'!$T$2:$T$495))-(ROW('CASE MASTER'!#REF!)-1))))+1))-1)*50+1,50))&amp;"_"&amp;INDEX('CASE MASTER'!$Q$2:$Q$495,(SUMPRODUCT((('CASE MASTER'!$T$2:$T$495=9)*('CASE MASTER'!$U$2:$U$495&lt;=5)*('CASE MASTER'!$W$2:$W$495&gt;=5)*('CASE MASTER'!$V$2:$V$495&lt;=7)*('CASE MASTER'!$X$2:$X$495&gt;=7))*ROW('CASE MASTER'!$T$2:$T$495))-(ROW('CASE MASTER'!#REF!)-1))),IF(SUMPRODUCT((('CASE MASTER'!$T$2:$T$495=9)*('CASE MASTER'!$AA$2:$AA$495&lt;=5)*('CASE MASTER'!$AC$2:$AC$495&gt;=5)*('CASE MASTER'!$AB$2:$AB$495&lt;=7)*('CASE MASTER'!$AD$2:$AD$495&gt;=7))*ROW('CASE MASTER'!$T$2:$T$495))&gt;0,INDEX('CASE MASTER'!$Y$2:$Y$495,(SUMPRODUCT((('CASE MASTER'!$T$2:$T$495=9)*('CASE MASTER'!$AA$2:$AA$495&lt;=5)*('CASE MASTER'!$AC$2:$AC$495&gt;=5)*('CASE MASTER'!$AB$2:$AB$495&lt;=7)*('CASE MASTER'!$AD$2:$AD$495&gt;=7))*ROW('CASE MASTER'!$T$2:$T$495))-(ROW('CASE MASTER'!#REF!)-1)))&amp;TRIM(MID(SUBSTITUTE(SUBSTITUTE(INDEX('CASE MASTER'!$N$2:$N$495,(SUMPRODUCT((('CASE MASTER'!$T$2:$T$495=9)*('CASE MASTER'!$AA$2:$AA$495&lt;=5)*('CASE MASTER'!$AC$2:$AC$495&gt;=5)*('CASE MASTER'!$AB$2:$AB$495&lt;=7)*('CASE MASTER'!$AD$2:$AD$495&gt;=7))*ROW('CASE MASTER'!$T$2:$T$495))-(ROW('CASE MASTER'!#REF!)-1))),":",","),",",REPT(" ",50)),(((INDEX('CASE MASTER'!$Z$2:$Z$495,(SUMPRODUCT((('CASE MASTER'!$T$2:$T$495=9)*('CASE MASTER'!$AA$2:$AA$495&lt;=5)*('CASE MASTER'!$AC$2:$AC$495&gt;=5)*('CASE MASTER'!$AB$2:$AB$495&lt;=7)*('CASE MASTER'!$AD$2:$AD$495&gt;=7))*ROW('CASE MASTER'!$T$2:$T$495))-(ROW('CASE MASTER'!#REF!)-1)))+((5-INDEX('CASE MASTER'!$AA$2:$AA$495,(SUMPRODUCT((('CASE MASTER'!$T$2:$T$495=9)*('CASE MASTER'!$AA$2:$AA$495&lt;=5)*('CASE MASTER'!$AC$2:$AC$495&gt;=5)*('CASE MASTER'!$AB$2:$AB$495&lt;=7)*('CASE MASTER'!$AD$2:$AD$495&gt;=7))*ROW('CASE MASTER'!$T$2:$T$495))-(ROW('CASE MASTER'!#REF!)-1))))*(INDEX('CASE MASTER'!$AD$2:$AD$495,(SUMPRODUCT((('CASE MASTER'!$T$2:$T$495=9)*('CASE MASTER'!$AA$2:$AA$495&lt;=5)*('CASE MASTER'!$AC$2:$AC$495&gt;=5)*('CASE MASTER'!$AB$2:$AB$495&lt;=7)*('CASE MASTER'!$AD$2:$AD$495&gt;=7))*ROW('CASE MASTER'!$T$2:$T$495))-(ROW('CASE MASTER'!#REF!)-1)))-INDEX('CASE MASTER'!$AB$2:$AB$495,(SUMPRODUCT((('CASE MASTER'!$T$2:$T$495=9)*('CASE MASTER'!$AA$2:$AA$495&lt;=5)*('CASE MASTER'!$AC$2:$AC$495&gt;=5)*('CASE MASTER'!$AB$2:$AB$495&lt;=7)*('CASE MASTER'!$AD$2:$AD$495&gt;=7))*ROW('CASE MASTER'!$T$2:$T$495))-(ROW('CASE MASTER'!#REF!)-1)))+1)+(7-INDEX('CASE MASTER'!$AB$2:$AB$495,(SUMPRODUCT((('CASE MASTER'!$T$2:$T$495=9)*('CASE MASTER'!$AA$2:$AA$495&lt;=5)*('CASE MASTER'!$AC$2:$AC$495&gt;=5)*('CASE MASTER'!$AB$2:$AB$495&lt;=7)*('CASE MASTER'!$AD$2:$AD$495&gt;=7))*ROW('CASE MASTER'!$T$2:$T$495))-(ROW('CASE MASTER'!#REF!)-1))))+1)))-1)*50+1,50))&amp;"_"&amp;INDEX('CASE MASTER'!$Q$2:$Q$495,(SUMPRODUCT((('CASE MASTER'!$T$2:$T$495=9)*('CASE MASTER'!$AA$2:$AA$495&lt;=5)*('CASE MASTER'!$AC$2:$AC$495&gt;=5)*('CASE MASTER'!$AB$2:$AB$495&lt;=7)*('CASE MASTER'!$AD$2:$AD$495&gt;=7))*ROW('CASE MASTER'!$T$2:$T$495))-(ROW('CASE MASTER'!#REF!)-1))),"")),"")</f>
        <v/>
      </c>
      <c r="I119" s="10" t="str">
        <f>IFERROR(IF(SUMPRODUCT((('CASE MASTER'!$T$2:$T$495=9)*('CASE MASTER'!$U$2:$U$495&lt;=5)*('CASE MASTER'!$W$2:$W$495&gt;=5)*('CASE MASTER'!$V$2:$V$495&lt;=8)*('CASE MASTER'!$X$2:$X$495&gt;=8))*ROW('CASE MASTER'!$T$2:$T$495))&gt;0,INDEX('CASE MASTER'!$Y$2:$Y$495,(SUMPRODUCT((('CASE MASTER'!$T$2:$T$495=9)*('CASE MASTER'!$U$2:$U$495&lt;=5)*('CASE MASTER'!$W$2:$W$495&gt;=5)*('CASE MASTER'!$V$2:$V$495&lt;=8)*('CASE MASTER'!$X$2:$X$495&gt;=8))*ROW('CASE MASTER'!$T$2:$T$495))-(ROW('CASE MASTER'!#REF!)-1)))&amp;TRIM(MID(SUBSTITUTE(SUBSTITUTE(INDEX('CASE MASTER'!$N$2:$N$495,(SUMPRODUCT((('CASE MASTER'!$T$2:$T$495=9)*('CASE MASTER'!$U$2:$U$495&lt;=5)*('CASE MASTER'!$W$2:$W$495&gt;=5)*('CASE MASTER'!$V$2:$V$495&lt;=8)*('CASE MASTER'!$X$2:$X$495&gt;=8))*ROW('CASE MASTER'!$T$2:$T$495))-(ROW('CASE MASTER'!#REF!)-1))),":",","),",",REPT(" ",50)),((((5-INDEX('CASE MASTER'!$U$2:$U$495,(SUMPRODUCT((('CASE MASTER'!$T$2:$T$495=9)*('CASE MASTER'!$U$2:$U$495&lt;=5)*('CASE MASTER'!$W$2:$W$495&gt;=5)*('CASE MASTER'!$V$2:$V$495&lt;=8)*('CASE MASTER'!$X$2:$X$495&gt;=8))*ROW('CASE MASTER'!$T$2:$T$495))-(ROW('CASE MASTER'!#REF!)-1))))*(INDEX('CASE MASTER'!$X$2:$X$495,(SUMPRODUCT((('CASE MASTER'!$T$2:$T$495=9)*('CASE MASTER'!$U$2:$U$495&lt;=5)*('CASE MASTER'!$W$2:$W$495&gt;=5)*('CASE MASTER'!$V$2:$V$495&lt;=8)*('CASE MASTER'!$X$2:$X$495&gt;=8))*ROW('CASE MASTER'!$T$2:$T$495))-(ROW('CASE MASTER'!#REF!)-1)))-INDEX('CASE MASTER'!$V$2:$V$495,(SUMPRODUCT((('CASE MASTER'!$T$2:$T$495=9)*('CASE MASTER'!$U$2:$U$495&lt;=5)*('CASE MASTER'!$W$2:$W$495&gt;=5)*('CASE MASTER'!$V$2:$V$495&lt;=8)*('CASE MASTER'!$X$2:$X$495&gt;=8))*ROW('CASE MASTER'!$T$2:$T$495))-(ROW('CASE MASTER'!#REF!)-1)))+1)+(8-INDEX('CASE MASTER'!$V$2:$V$495,(SUMPRODUCT((('CASE MASTER'!$T$2:$T$495=9)*('CASE MASTER'!$U$2:$U$495&lt;=5)*('CASE MASTER'!$W$2:$W$495&gt;=5)*('CASE MASTER'!$V$2:$V$495&lt;=8)*('CASE MASTER'!$X$2:$X$495&gt;=8))*ROW('CASE MASTER'!$T$2:$T$495))-(ROW('CASE MASTER'!#REF!)-1))))+1))-1)*50+1,50))&amp;"_"&amp;INDEX('CASE MASTER'!$Q$2:$Q$495,(SUMPRODUCT((('CASE MASTER'!$T$2:$T$495=9)*('CASE MASTER'!$U$2:$U$495&lt;=5)*('CASE MASTER'!$W$2:$W$495&gt;=5)*('CASE MASTER'!$V$2:$V$495&lt;=8)*('CASE MASTER'!$X$2:$X$495&gt;=8))*ROW('CASE MASTER'!$T$2:$T$495))-(ROW('CASE MASTER'!#REF!)-1))),IF(SUMPRODUCT((('CASE MASTER'!$T$2:$T$495=9)*('CASE MASTER'!$AA$2:$AA$495&lt;=5)*('CASE MASTER'!$AC$2:$AC$495&gt;=5)*('CASE MASTER'!$AB$2:$AB$495&lt;=8)*('CASE MASTER'!$AD$2:$AD$495&gt;=8))*ROW('CASE MASTER'!$T$2:$T$495))&gt;0,INDEX('CASE MASTER'!$Y$2:$Y$495,(SUMPRODUCT((('CASE MASTER'!$T$2:$T$495=9)*('CASE MASTER'!$AA$2:$AA$495&lt;=5)*('CASE MASTER'!$AC$2:$AC$495&gt;=5)*('CASE MASTER'!$AB$2:$AB$495&lt;=8)*('CASE MASTER'!$AD$2:$AD$495&gt;=8))*ROW('CASE MASTER'!$T$2:$T$495))-(ROW('CASE MASTER'!#REF!)-1)))&amp;TRIM(MID(SUBSTITUTE(SUBSTITUTE(INDEX('CASE MASTER'!$N$2:$N$495,(SUMPRODUCT((('CASE MASTER'!$T$2:$T$495=9)*('CASE MASTER'!$AA$2:$AA$495&lt;=5)*('CASE MASTER'!$AC$2:$AC$495&gt;=5)*('CASE MASTER'!$AB$2:$AB$495&lt;=8)*('CASE MASTER'!$AD$2:$AD$495&gt;=8))*ROW('CASE MASTER'!$T$2:$T$495))-(ROW('CASE MASTER'!#REF!)-1))),":",","),",",REPT(" ",50)),(((INDEX('CASE MASTER'!$Z$2:$Z$495,(SUMPRODUCT((('CASE MASTER'!$T$2:$T$495=9)*('CASE MASTER'!$AA$2:$AA$495&lt;=5)*('CASE MASTER'!$AC$2:$AC$495&gt;=5)*('CASE MASTER'!$AB$2:$AB$495&lt;=8)*('CASE MASTER'!$AD$2:$AD$495&gt;=8))*ROW('CASE MASTER'!$T$2:$T$495))-(ROW('CASE MASTER'!#REF!)-1)))+((5-INDEX('CASE MASTER'!$AA$2:$AA$495,(SUMPRODUCT((('CASE MASTER'!$T$2:$T$495=9)*('CASE MASTER'!$AA$2:$AA$495&lt;=5)*('CASE MASTER'!$AC$2:$AC$495&gt;=5)*('CASE MASTER'!$AB$2:$AB$495&lt;=8)*('CASE MASTER'!$AD$2:$AD$495&gt;=8))*ROW('CASE MASTER'!$T$2:$T$495))-(ROW('CASE MASTER'!#REF!)-1))))*(INDEX('CASE MASTER'!$AD$2:$AD$495,(SUMPRODUCT((('CASE MASTER'!$T$2:$T$495=9)*('CASE MASTER'!$AA$2:$AA$495&lt;=5)*('CASE MASTER'!$AC$2:$AC$495&gt;=5)*('CASE MASTER'!$AB$2:$AB$495&lt;=8)*('CASE MASTER'!$AD$2:$AD$495&gt;=8))*ROW('CASE MASTER'!$T$2:$T$495))-(ROW('CASE MASTER'!#REF!)-1)))-INDEX('CASE MASTER'!$AB$2:$AB$495,(SUMPRODUCT((('CASE MASTER'!$T$2:$T$495=9)*('CASE MASTER'!$AA$2:$AA$495&lt;=5)*('CASE MASTER'!$AC$2:$AC$495&gt;=5)*('CASE MASTER'!$AB$2:$AB$495&lt;=8)*('CASE MASTER'!$AD$2:$AD$495&gt;=8))*ROW('CASE MASTER'!$T$2:$T$495))-(ROW('CASE MASTER'!#REF!)-1)))+1)+(8-INDEX('CASE MASTER'!$AB$2:$AB$495,(SUMPRODUCT((('CASE MASTER'!$T$2:$T$495=9)*('CASE MASTER'!$AA$2:$AA$495&lt;=5)*('CASE MASTER'!$AC$2:$AC$495&gt;=5)*('CASE MASTER'!$AB$2:$AB$495&lt;=8)*('CASE MASTER'!$AD$2:$AD$495&gt;=8))*ROW('CASE MASTER'!$T$2:$T$495))-(ROW('CASE MASTER'!#REF!)-1))))+1)))-1)*50+1,50))&amp;"_"&amp;INDEX('CASE MASTER'!$Q$2:$Q$495,(SUMPRODUCT((('CASE MASTER'!$T$2:$T$495=9)*('CASE MASTER'!$AA$2:$AA$495&lt;=5)*('CASE MASTER'!$AC$2:$AC$495&gt;=5)*('CASE MASTER'!$AB$2:$AB$495&lt;=8)*('CASE MASTER'!$AD$2:$AD$495&gt;=8))*ROW('CASE MASTER'!$T$2:$T$495))-(ROW('CASE MASTER'!#REF!)-1))),"")),"")</f>
        <v/>
      </c>
      <c r="J119" s="10" t="str">
        <f>IFERROR(IF(SUMPRODUCT((('CASE MASTER'!$T$2:$T$495=9)*('CASE MASTER'!$U$2:$U$495&lt;=5)*('CASE MASTER'!$W$2:$W$495&gt;=5)*('CASE MASTER'!$V$2:$V$495&lt;=9)*('CASE MASTER'!$X$2:$X$495&gt;=9))*ROW('CASE MASTER'!$T$2:$T$495))&gt;0,INDEX('CASE MASTER'!$Y$2:$Y$495,(SUMPRODUCT((('CASE MASTER'!$T$2:$T$495=9)*('CASE MASTER'!$U$2:$U$495&lt;=5)*('CASE MASTER'!$W$2:$W$495&gt;=5)*('CASE MASTER'!$V$2:$V$495&lt;=9)*('CASE MASTER'!$X$2:$X$495&gt;=9))*ROW('CASE MASTER'!$T$2:$T$495))-(ROW('CASE MASTER'!#REF!)-1)))&amp;TRIM(MID(SUBSTITUTE(SUBSTITUTE(INDEX('CASE MASTER'!$N$2:$N$495,(SUMPRODUCT((('CASE MASTER'!$T$2:$T$495=9)*('CASE MASTER'!$U$2:$U$495&lt;=5)*('CASE MASTER'!$W$2:$W$495&gt;=5)*('CASE MASTER'!$V$2:$V$495&lt;=9)*('CASE MASTER'!$X$2:$X$495&gt;=9))*ROW('CASE MASTER'!$T$2:$T$495))-(ROW('CASE MASTER'!#REF!)-1))),":",","),",",REPT(" ",50)),((((5-INDEX('CASE MASTER'!$U$2:$U$495,(SUMPRODUCT((('CASE MASTER'!$T$2:$T$495=9)*('CASE MASTER'!$U$2:$U$495&lt;=5)*('CASE MASTER'!$W$2:$W$495&gt;=5)*('CASE MASTER'!$V$2:$V$495&lt;=9)*('CASE MASTER'!$X$2:$X$495&gt;=9))*ROW('CASE MASTER'!$T$2:$T$495))-(ROW('CASE MASTER'!#REF!)-1))))*(INDEX('CASE MASTER'!$X$2:$X$495,(SUMPRODUCT((('CASE MASTER'!$T$2:$T$495=9)*('CASE MASTER'!$U$2:$U$495&lt;=5)*('CASE MASTER'!$W$2:$W$495&gt;=5)*('CASE MASTER'!$V$2:$V$495&lt;=9)*('CASE MASTER'!$X$2:$X$495&gt;=9))*ROW('CASE MASTER'!$T$2:$T$495))-(ROW('CASE MASTER'!#REF!)-1)))-INDEX('CASE MASTER'!$V$2:$V$495,(SUMPRODUCT((('CASE MASTER'!$T$2:$T$495=9)*('CASE MASTER'!$U$2:$U$495&lt;=5)*('CASE MASTER'!$W$2:$W$495&gt;=5)*('CASE MASTER'!$V$2:$V$495&lt;=9)*('CASE MASTER'!$X$2:$X$495&gt;=9))*ROW('CASE MASTER'!$T$2:$T$495))-(ROW('CASE MASTER'!#REF!)-1)))+1)+(9-INDEX('CASE MASTER'!$V$2:$V$495,(SUMPRODUCT((('CASE MASTER'!$T$2:$T$495=9)*('CASE MASTER'!$U$2:$U$495&lt;=5)*('CASE MASTER'!$W$2:$W$495&gt;=5)*('CASE MASTER'!$V$2:$V$495&lt;=9)*('CASE MASTER'!$X$2:$X$495&gt;=9))*ROW('CASE MASTER'!$T$2:$T$495))-(ROW('CASE MASTER'!#REF!)-1))))+1))-1)*50+1,50))&amp;"_"&amp;INDEX('CASE MASTER'!$Q$2:$Q$495,(SUMPRODUCT((('CASE MASTER'!$T$2:$T$495=9)*('CASE MASTER'!$U$2:$U$495&lt;=5)*('CASE MASTER'!$W$2:$W$495&gt;=5)*('CASE MASTER'!$V$2:$V$495&lt;=9)*('CASE MASTER'!$X$2:$X$495&gt;=9))*ROW('CASE MASTER'!$T$2:$T$495))-(ROW('CASE MASTER'!#REF!)-1))),IF(SUMPRODUCT((('CASE MASTER'!$T$2:$T$495=9)*('CASE MASTER'!$AA$2:$AA$495&lt;=5)*('CASE MASTER'!$AC$2:$AC$495&gt;=5)*('CASE MASTER'!$AB$2:$AB$495&lt;=9)*('CASE MASTER'!$AD$2:$AD$495&gt;=9))*ROW('CASE MASTER'!$T$2:$T$495))&gt;0,INDEX('CASE MASTER'!$Y$2:$Y$495,(SUMPRODUCT((('CASE MASTER'!$T$2:$T$495=9)*('CASE MASTER'!$AA$2:$AA$495&lt;=5)*('CASE MASTER'!$AC$2:$AC$495&gt;=5)*('CASE MASTER'!$AB$2:$AB$495&lt;=9)*('CASE MASTER'!$AD$2:$AD$495&gt;=9))*ROW('CASE MASTER'!$T$2:$T$495))-(ROW('CASE MASTER'!#REF!)-1)))&amp;TRIM(MID(SUBSTITUTE(SUBSTITUTE(INDEX('CASE MASTER'!$N$2:$N$495,(SUMPRODUCT((('CASE MASTER'!$T$2:$T$495=9)*('CASE MASTER'!$AA$2:$AA$495&lt;=5)*('CASE MASTER'!$AC$2:$AC$495&gt;=5)*('CASE MASTER'!$AB$2:$AB$495&lt;=9)*('CASE MASTER'!$AD$2:$AD$495&gt;=9))*ROW('CASE MASTER'!$T$2:$T$495))-(ROW('CASE MASTER'!#REF!)-1))),":",","),",",REPT(" ",50)),(((INDEX('CASE MASTER'!$Z$2:$Z$495,(SUMPRODUCT((('CASE MASTER'!$T$2:$T$495=9)*('CASE MASTER'!$AA$2:$AA$495&lt;=5)*('CASE MASTER'!$AC$2:$AC$495&gt;=5)*('CASE MASTER'!$AB$2:$AB$495&lt;=9)*('CASE MASTER'!$AD$2:$AD$495&gt;=9))*ROW('CASE MASTER'!$T$2:$T$495))-(ROW('CASE MASTER'!#REF!)-1)))+((5-INDEX('CASE MASTER'!$AA$2:$AA$495,(SUMPRODUCT((('CASE MASTER'!$T$2:$T$495=9)*('CASE MASTER'!$AA$2:$AA$495&lt;=5)*('CASE MASTER'!$AC$2:$AC$495&gt;=5)*('CASE MASTER'!$AB$2:$AB$495&lt;=9)*('CASE MASTER'!$AD$2:$AD$495&gt;=9))*ROW('CASE MASTER'!$T$2:$T$495))-(ROW('CASE MASTER'!#REF!)-1))))*(INDEX('CASE MASTER'!$AD$2:$AD$495,(SUMPRODUCT((('CASE MASTER'!$T$2:$T$495=9)*('CASE MASTER'!$AA$2:$AA$495&lt;=5)*('CASE MASTER'!$AC$2:$AC$495&gt;=5)*('CASE MASTER'!$AB$2:$AB$495&lt;=9)*('CASE MASTER'!$AD$2:$AD$495&gt;=9))*ROW('CASE MASTER'!$T$2:$T$495))-(ROW('CASE MASTER'!#REF!)-1)))-INDEX('CASE MASTER'!$AB$2:$AB$495,(SUMPRODUCT((('CASE MASTER'!$T$2:$T$495=9)*('CASE MASTER'!$AA$2:$AA$495&lt;=5)*('CASE MASTER'!$AC$2:$AC$495&gt;=5)*('CASE MASTER'!$AB$2:$AB$495&lt;=9)*('CASE MASTER'!$AD$2:$AD$495&gt;=9))*ROW('CASE MASTER'!$T$2:$T$495))-(ROW('CASE MASTER'!#REF!)-1)))+1)+(9-INDEX('CASE MASTER'!$AB$2:$AB$495,(SUMPRODUCT((('CASE MASTER'!$T$2:$T$495=9)*('CASE MASTER'!$AA$2:$AA$495&lt;=5)*('CASE MASTER'!$AC$2:$AC$495&gt;=5)*('CASE MASTER'!$AB$2:$AB$495&lt;=9)*('CASE MASTER'!$AD$2:$AD$495&gt;=9))*ROW('CASE MASTER'!$T$2:$T$495))-(ROW('CASE MASTER'!#REF!)-1))))+1)))-1)*50+1,50))&amp;"_"&amp;INDEX('CASE MASTER'!$Q$2:$Q$495,(SUMPRODUCT((('CASE MASTER'!$T$2:$T$495=9)*('CASE MASTER'!$AA$2:$AA$495&lt;=5)*('CASE MASTER'!$AC$2:$AC$495&gt;=5)*('CASE MASTER'!$AB$2:$AB$495&lt;=9)*('CASE MASTER'!$AD$2:$AD$495&gt;=9))*ROW('CASE MASTER'!$T$2:$T$495))-(ROW('CASE MASTER'!#REF!)-1))),"")),"")</f>
        <v/>
      </c>
      <c r="K119" s="10" t="str">
        <f>IFERROR(IF(SUMPRODUCT((('CASE MASTER'!$T$2:$T$495=9)*('CASE MASTER'!$U$2:$U$495&lt;=5)*('CASE MASTER'!$W$2:$W$495&gt;=5)*('CASE MASTER'!$V$2:$V$495&lt;=10)*('CASE MASTER'!$X$2:$X$495&gt;=10))*ROW('CASE MASTER'!$T$2:$T$495))&gt;0,INDEX('CASE MASTER'!$Y$2:$Y$495,(SUMPRODUCT((('CASE MASTER'!$T$2:$T$495=9)*('CASE MASTER'!$U$2:$U$495&lt;=5)*('CASE MASTER'!$W$2:$W$495&gt;=5)*('CASE MASTER'!$V$2:$V$495&lt;=10)*('CASE MASTER'!$X$2:$X$495&gt;=10))*ROW('CASE MASTER'!$T$2:$T$495))-(ROW('CASE MASTER'!#REF!)-1)))&amp;TRIM(MID(SUBSTITUTE(SUBSTITUTE(INDEX('CASE MASTER'!$N$2:$N$495,(SUMPRODUCT((('CASE MASTER'!$T$2:$T$495=9)*('CASE MASTER'!$U$2:$U$495&lt;=5)*('CASE MASTER'!$W$2:$W$495&gt;=5)*('CASE MASTER'!$V$2:$V$495&lt;=10)*('CASE MASTER'!$X$2:$X$495&gt;=10))*ROW('CASE MASTER'!$T$2:$T$495))-(ROW('CASE MASTER'!#REF!)-1))),":",","),",",REPT(" ",50)),((((5-INDEX('CASE MASTER'!$U$2:$U$495,(SUMPRODUCT((('CASE MASTER'!$T$2:$T$495=9)*('CASE MASTER'!$U$2:$U$495&lt;=5)*('CASE MASTER'!$W$2:$W$495&gt;=5)*('CASE MASTER'!$V$2:$V$495&lt;=10)*('CASE MASTER'!$X$2:$X$495&gt;=10))*ROW('CASE MASTER'!$T$2:$T$495))-(ROW('CASE MASTER'!#REF!)-1))))*(INDEX('CASE MASTER'!$X$2:$X$495,(SUMPRODUCT((('CASE MASTER'!$T$2:$T$495=9)*('CASE MASTER'!$U$2:$U$495&lt;=5)*('CASE MASTER'!$W$2:$W$495&gt;=5)*('CASE MASTER'!$V$2:$V$495&lt;=10)*('CASE MASTER'!$X$2:$X$495&gt;=10))*ROW('CASE MASTER'!$T$2:$T$495))-(ROW('CASE MASTER'!#REF!)-1)))-INDEX('CASE MASTER'!$V$2:$V$495,(SUMPRODUCT((('CASE MASTER'!$T$2:$T$495=9)*('CASE MASTER'!$U$2:$U$495&lt;=5)*('CASE MASTER'!$W$2:$W$495&gt;=5)*('CASE MASTER'!$V$2:$V$495&lt;=10)*('CASE MASTER'!$X$2:$X$495&gt;=10))*ROW('CASE MASTER'!$T$2:$T$495))-(ROW('CASE MASTER'!#REF!)-1)))+1)+(10-INDEX('CASE MASTER'!$V$2:$V$495,(SUMPRODUCT((('CASE MASTER'!$T$2:$T$495=9)*('CASE MASTER'!$U$2:$U$495&lt;=5)*('CASE MASTER'!$W$2:$W$495&gt;=5)*('CASE MASTER'!$V$2:$V$495&lt;=10)*('CASE MASTER'!$X$2:$X$495&gt;=10))*ROW('CASE MASTER'!$T$2:$T$495))-(ROW('CASE MASTER'!#REF!)-1))))+1))-1)*50+1,50))&amp;"_"&amp;INDEX('CASE MASTER'!$Q$2:$Q$495,(SUMPRODUCT((('CASE MASTER'!$T$2:$T$495=9)*('CASE MASTER'!$U$2:$U$495&lt;=5)*('CASE MASTER'!$W$2:$W$495&gt;=5)*('CASE MASTER'!$V$2:$V$495&lt;=10)*('CASE MASTER'!$X$2:$X$495&gt;=10))*ROW('CASE MASTER'!$T$2:$T$495))-(ROW('CASE MASTER'!#REF!)-1))),IF(SUMPRODUCT((('CASE MASTER'!$T$2:$T$495=9)*('CASE MASTER'!$AA$2:$AA$495&lt;=5)*('CASE MASTER'!$AC$2:$AC$495&gt;=5)*('CASE MASTER'!$AB$2:$AB$495&lt;=10)*('CASE MASTER'!$AD$2:$AD$495&gt;=10))*ROW('CASE MASTER'!$T$2:$T$495))&gt;0,INDEX('CASE MASTER'!$Y$2:$Y$495,(SUMPRODUCT((('CASE MASTER'!$T$2:$T$495=9)*('CASE MASTER'!$AA$2:$AA$495&lt;=5)*('CASE MASTER'!$AC$2:$AC$495&gt;=5)*('CASE MASTER'!$AB$2:$AB$495&lt;=10)*('CASE MASTER'!$AD$2:$AD$495&gt;=10))*ROW('CASE MASTER'!$T$2:$T$495))-(ROW('CASE MASTER'!#REF!)-1)))&amp;TRIM(MID(SUBSTITUTE(SUBSTITUTE(INDEX('CASE MASTER'!$N$2:$N$495,(SUMPRODUCT((('CASE MASTER'!$T$2:$T$495=9)*('CASE MASTER'!$AA$2:$AA$495&lt;=5)*('CASE MASTER'!$AC$2:$AC$495&gt;=5)*('CASE MASTER'!$AB$2:$AB$495&lt;=10)*('CASE MASTER'!$AD$2:$AD$495&gt;=10))*ROW('CASE MASTER'!$T$2:$T$495))-(ROW('CASE MASTER'!#REF!)-1))),":",","),",",REPT(" ",50)),(((INDEX('CASE MASTER'!$Z$2:$Z$495,(SUMPRODUCT((('CASE MASTER'!$T$2:$T$495=9)*('CASE MASTER'!$AA$2:$AA$495&lt;=5)*('CASE MASTER'!$AC$2:$AC$495&gt;=5)*('CASE MASTER'!$AB$2:$AB$495&lt;=10)*('CASE MASTER'!$AD$2:$AD$495&gt;=10))*ROW('CASE MASTER'!$T$2:$T$495))-(ROW('CASE MASTER'!#REF!)-1)))+((5-INDEX('CASE MASTER'!$AA$2:$AA$495,(SUMPRODUCT((('CASE MASTER'!$T$2:$T$495=9)*('CASE MASTER'!$AA$2:$AA$495&lt;=5)*('CASE MASTER'!$AC$2:$AC$495&gt;=5)*('CASE MASTER'!$AB$2:$AB$495&lt;=10)*('CASE MASTER'!$AD$2:$AD$495&gt;=10))*ROW('CASE MASTER'!$T$2:$T$495))-(ROW('CASE MASTER'!#REF!)-1))))*(INDEX('CASE MASTER'!$AD$2:$AD$495,(SUMPRODUCT((('CASE MASTER'!$T$2:$T$495=9)*('CASE MASTER'!$AA$2:$AA$495&lt;=5)*('CASE MASTER'!$AC$2:$AC$495&gt;=5)*('CASE MASTER'!$AB$2:$AB$495&lt;=10)*('CASE MASTER'!$AD$2:$AD$495&gt;=10))*ROW('CASE MASTER'!$T$2:$T$495))-(ROW('CASE MASTER'!#REF!)-1)))-INDEX('CASE MASTER'!$AB$2:$AB$495,(SUMPRODUCT((('CASE MASTER'!$T$2:$T$495=9)*('CASE MASTER'!$AA$2:$AA$495&lt;=5)*('CASE MASTER'!$AC$2:$AC$495&gt;=5)*('CASE MASTER'!$AB$2:$AB$495&lt;=10)*('CASE MASTER'!$AD$2:$AD$495&gt;=10))*ROW('CASE MASTER'!$T$2:$T$495))-(ROW('CASE MASTER'!#REF!)-1)))+1)+(10-INDEX('CASE MASTER'!$AB$2:$AB$495,(SUMPRODUCT((('CASE MASTER'!$T$2:$T$495=9)*('CASE MASTER'!$AA$2:$AA$495&lt;=5)*('CASE MASTER'!$AC$2:$AC$495&gt;=5)*('CASE MASTER'!$AB$2:$AB$495&lt;=10)*('CASE MASTER'!$AD$2:$AD$495&gt;=10))*ROW('CASE MASTER'!$T$2:$T$495))-(ROW('CASE MASTER'!#REF!)-1))))+1)))-1)*50+1,50))&amp;"_"&amp;INDEX('CASE MASTER'!$Q$2:$Q$495,(SUMPRODUCT((('CASE MASTER'!$T$2:$T$495=9)*('CASE MASTER'!$AA$2:$AA$495&lt;=5)*('CASE MASTER'!$AC$2:$AC$495&gt;=5)*('CASE MASTER'!$AB$2:$AB$495&lt;=10)*('CASE MASTER'!$AD$2:$AD$495&gt;=10))*ROW('CASE MASTER'!$T$2:$T$495))-(ROW('CASE MASTER'!#REF!)-1))),"")),"")</f>
        <v/>
      </c>
    </row>
    <row r="120" spans="1:11" ht="15" customHeight="1" x14ac:dyDescent="0.35">
      <c r="A120" s="8" t="s">
        <v>33</v>
      </c>
      <c r="B120" s="10" t="str">
        <f>IFERROR(IF(SUMPRODUCT((('CASE MASTER'!$T$2:$T$495=9)*('CASE MASTER'!$U$2:$U$495&lt;=6)*('CASE MASTER'!$W$2:$W$495&gt;=6)*('CASE MASTER'!$V$2:$V$495&lt;=1)*('CASE MASTER'!$X$2:$X$495&gt;=1))*ROW('CASE MASTER'!$T$2:$T$495))&gt;0,INDEX('CASE MASTER'!$Y$2:$Y$495,(SUMPRODUCT((('CASE MASTER'!$T$2:$T$495=9)*('CASE MASTER'!$U$2:$U$495&lt;=6)*('CASE MASTER'!$W$2:$W$495&gt;=6)*('CASE MASTER'!$V$2:$V$495&lt;=1)*('CASE MASTER'!$X$2:$X$495&gt;=1))*ROW('CASE MASTER'!$T$2:$T$495))-(ROW('CASE MASTER'!#REF!)-1)))&amp;TRIM(MID(SUBSTITUTE(SUBSTITUTE(INDEX('CASE MASTER'!$N$2:$N$495,(SUMPRODUCT((('CASE MASTER'!$T$2:$T$495=9)*('CASE MASTER'!$U$2:$U$495&lt;=6)*('CASE MASTER'!$W$2:$W$495&gt;=6)*('CASE MASTER'!$V$2:$V$495&lt;=1)*('CASE MASTER'!$X$2:$X$495&gt;=1))*ROW('CASE MASTER'!$T$2:$T$495))-(ROW('CASE MASTER'!#REF!)-1))),":",","),",",REPT(" ",50)),((((6-INDEX('CASE MASTER'!$U$2:$U$495,(SUMPRODUCT((('CASE MASTER'!$T$2:$T$495=9)*('CASE MASTER'!$U$2:$U$495&lt;=6)*('CASE MASTER'!$W$2:$W$495&gt;=6)*('CASE MASTER'!$V$2:$V$495&lt;=1)*('CASE MASTER'!$X$2:$X$495&gt;=1))*ROW('CASE MASTER'!$T$2:$T$495))-(ROW('CASE MASTER'!#REF!)-1))))*(INDEX('CASE MASTER'!$X$2:$X$495,(SUMPRODUCT((('CASE MASTER'!$T$2:$T$495=9)*('CASE MASTER'!$U$2:$U$495&lt;=6)*('CASE MASTER'!$W$2:$W$495&gt;=6)*('CASE MASTER'!$V$2:$V$495&lt;=1)*('CASE MASTER'!$X$2:$X$495&gt;=1))*ROW('CASE MASTER'!$T$2:$T$495))-(ROW('CASE MASTER'!#REF!)-1)))-INDEX('CASE MASTER'!$V$2:$V$495,(SUMPRODUCT((('CASE MASTER'!$T$2:$T$495=9)*('CASE MASTER'!$U$2:$U$495&lt;=6)*('CASE MASTER'!$W$2:$W$495&gt;=6)*('CASE MASTER'!$V$2:$V$495&lt;=1)*('CASE MASTER'!$X$2:$X$495&gt;=1))*ROW('CASE MASTER'!$T$2:$T$495))-(ROW('CASE MASTER'!#REF!)-1)))+1)+(1-INDEX('CASE MASTER'!$V$2:$V$495,(SUMPRODUCT((('CASE MASTER'!$T$2:$T$495=9)*('CASE MASTER'!$U$2:$U$495&lt;=6)*('CASE MASTER'!$W$2:$W$495&gt;=6)*('CASE MASTER'!$V$2:$V$495&lt;=1)*('CASE MASTER'!$X$2:$X$495&gt;=1))*ROW('CASE MASTER'!$T$2:$T$495))-(ROW('CASE MASTER'!#REF!)-1))))+1))-1)*50+1,50))&amp;"_"&amp;INDEX('CASE MASTER'!$Q$2:$Q$495,(SUMPRODUCT((('CASE MASTER'!$T$2:$T$495=9)*('CASE MASTER'!$U$2:$U$495&lt;=6)*('CASE MASTER'!$W$2:$W$495&gt;=6)*('CASE MASTER'!$V$2:$V$495&lt;=1)*('CASE MASTER'!$X$2:$X$495&gt;=1))*ROW('CASE MASTER'!$T$2:$T$495))-(ROW('CASE MASTER'!#REF!)-1))),IF(SUMPRODUCT((('CASE MASTER'!$T$2:$T$495=9)*('CASE MASTER'!$AA$2:$AA$495&lt;=6)*('CASE MASTER'!$AC$2:$AC$495&gt;=6)*('CASE MASTER'!$AB$2:$AB$495&lt;=1)*('CASE MASTER'!$AD$2:$AD$495&gt;=1))*ROW('CASE MASTER'!$T$2:$T$495))&gt;0,INDEX('CASE MASTER'!$Y$2:$Y$495,(SUMPRODUCT((('CASE MASTER'!$T$2:$T$495=9)*('CASE MASTER'!$AA$2:$AA$495&lt;=6)*('CASE MASTER'!$AC$2:$AC$495&gt;=6)*('CASE MASTER'!$AB$2:$AB$495&lt;=1)*('CASE MASTER'!$AD$2:$AD$495&gt;=1))*ROW('CASE MASTER'!$T$2:$T$495))-(ROW('CASE MASTER'!#REF!)-1)))&amp;TRIM(MID(SUBSTITUTE(SUBSTITUTE(INDEX('CASE MASTER'!$N$2:$N$495,(SUMPRODUCT((('CASE MASTER'!$T$2:$T$495=9)*('CASE MASTER'!$AA$2:$AA$495&lt;=6)*('CASE MASTER'!$AC$2:$AC$495&gt;=6)*('CASE MASTER'!$AB$2:$AB$495&lt;=1)*('CASE MASTER'!$AD$2:$AD$495&gt;=1))*ROW('CASE MASTER'!$T$2:$T$495))-(ROW('CASE MASTER'!#REF!)-1))),":",","),",",REPT(" ",50)),(((INDEX('CASE MASTER'!$Z$2:$Z$495,(SUMPRODUCT((('CASE MASTER'!$T$2:$T$495=9)*('CASE MASTER'!$AA$2:$AA$495&lt;=6)*('CASE MASTER'!$AC$2:$AC$495&gt;=6)*('CASE MASTER'!$AB$2:$AB$495&lt;=1)*('CASE MASTER'!$AD$2:$AD$495&gt;=1))*ROW('CASE MASTER'!$T$2:$T$495))-(ROW('CASE MASTER'!#REF!)-1)))+((6-INDEX('CASE MASTER'!$AA$2:$AA$495,(SUMPRODUCT((('CASE MASTER'!$T$2:$T$495=9)*('CASE MASTER'!$AA$2:$AA$495&lt;=6)*('CASE MASTER'!$AC$2:$AC$495&gt;=6)*('CASE MASTER'!$AB$2:$AB$495&lt;=1)*('CASE MASTER'!$AD$2:$AD$495&gt;=1))*ROW('CASE MASTER'!$T$2:$T$495))-(ROW('CASE MASTER'!#REF!)-1))))*(INDEX('CASE MASTER'!$AD$2:$AD$495,(SUMPRODUCT((('CASE MASTER'!$T$2:$T$495=9)*('CASE MASTER'!$AA$2:$AA$495&lt;=6)*('CASE MASTER'!$AC$2:$AC$495&gt;=6)*('CASE MASTER'!$AB$2:$AB$495&lt;=1)*('CASE MASTER'!$AD$2:$AD$495&gt;=1))*ROW('CASE MASTER'!$T$2:$T$495))-(ROW('CASE MASTER'!#REF!)-1)))-INDEX('CASE MASTER'!$AB$2:$AB$495,(SUMPRODUCT((('CASE MASTER'!$T$2:$T$495=9)*('CASE MASTER'!$AA$2:$AA$495&lt;=6)*('CASE MASTER'!$AC$2:$AC$495&gt;=6)*('CASE MASTER'!$AB$2:$AB$495&lt;=1)*('CASE MASTER'!$AD$2:$AD$495&gt;=1))*ROW('CASE MASTER'!$T$2:$T$495))-(ROW('CASE MASTER'!#REF!)-1)))+1)+(1-INDEX('CASE MASTER'!$AB$2:$AB$495,(SUMPRODUCT((('CASE MASTER'!$T$2:$T$495=9)*('CASE MASTER'!$AA$2:$AA$495&lt;=6)*('CASE MASTER'!$AC$2:$AC$495&gt;=6)*('CASE MASTER'!$AB$2:$AB$495&lt;=1)*('CASE MASTER'!$AD$2:$AD$495&gt;=1))*ROW('CASE MASTER'!$T$2:$T$495))-(ROW('CASE MASTER'!#REF!)-1))))+1)))-1)*50+1,50))&amp;"_"&amp;INDEX('CASE MASTER'!$Q$2:$Q$495,(SUMPRODUCT((('CASE MASTER'!$T$2:$T$495=9)*('CASE MASTER'!$AA$2:$AA$495&lt;=6)*('CASE MASTER'!$AC$2:$AC$495&gt;=6)*('CASE MASTER'!$AB$2:$AB$495&lt;=1)*('CASE MASTER'!$AD$2:$AD$495&gt;=1))*ROW('CASE MASTER'!$T$2:$T$495))-(ROW('CASE MASTER'!#REF!)-1))),"")),"")</f>
        <v/>
      </c>
      <c r="C120" s="10" t="str">
        <f>IFERROR(IF(SUMPRODUCT((('CASE MASTER'!$T$2:$T$495=9)*('CASE MASTER'!$U$2:$U$495&lt;=6)*('CASE MASTER'!$W$2:$W$495&gt;=6)*('CASE MASTER'!$V$2:$V$495&lt;=2)*('CASE MASTER'!$X$2:$X$495&gt;=2))*ROW('CASE MASTER'!$T$2:$T$495))&gt;0,INDEX('CASE MASTER'!$Y$2:$Y$495,(SUMPRODUCT((('CASE MASTER'!$T$2:$T$495=9)*('CASE MASTER'!$U$2:$U$495&lt;=6)*('CASE MASTER'!$W$2:$W$495&gt;=6)*('CASE MASTER'!$V$2:$V$495&lt;=2)*('CASE MASTER'!$X$2:$X$495&gt;=2))*ROW('CASE MASTER'!$T$2:$T$495))-(ROW('CASE MASTER'!#REF!)-1)))&amp;TRIM(MID(SUBSTITUTE(SUBSTITUTE(INDEX('CASE MASTER'!$N$2:$N$495,(SUMPRODUCT((('CASE MASTER'!$T$2:$T$495=9)*('CASE MASTER'!$U$2:$U$495&lt;=6)*('CASE MASTER'!$W$2:$W$495&gt;=6)*('CASE MASTER'!$V$2:$V$495&lt;=2)*('CASE MASTER'!$X$2:$X$495&gt;=2))*ROW('CASE MASTER'!$T$2:$T$495))-(ROW('CASE MASTER'!#REF!)-1))),":",","),",",REPT(" ",50)),((((6-INDEX('CASE MASTER'!$U$2:$U$495,(SUMPRODUCT((('CASE MASTER'!$T$2:$T$495=9)*('CASE MASTER'!$U$2:$U$495&lt;=6)*('CASE MASTER'!$W$2:$W$495&gt;=6)*('CASE MASTER'!$V$2:$V$495&lt;=2)*('CASE MASTER'!$X$2:$X$495&gt;=2))*ROW('CASE MASTER'!$T$2:$T$495))-(ROW('CASE MASTER'!#REF!)-1))))*(INDEX('CASE MASTER'!$X$2:$X$495,(SUMPRODUCT((('CASE MASTER'!$T$2:$T$495=9)*('CASE MASTER'!$U$2:$U$495&lt;=6)*('CASE MASTER'!$W$2:$W$495&gt;=6)*('CASE MASTER'!$V$2:$V$495&lt;=2)*('CASE MASTER'!$X$2:$X$495&gt;=2))*ROW('CASE MASTER'!$T$2:$T$495))-(ROW('CASE MASTER'!#REF!)-1)))-INDEX('CASE MASTER'!$V$2:$V$495,(SUMPRODUCT((('CASE MASTER'!$T$2:$T$495=9)*('CASE MASTER'!$U$2:$U$495&lt;=6)*('CASE MASTER'!$W$2:$W$495&gt;=6)*('CASE MASTER'!$V$2:$V$495&lt;=2)*('CASE MASTER'!$X$2:$X$495&gt;=2))*ROW('CASE MASTER'!$T$2:$T$495))-(ROW('CASE MASTER'!#REF!)-1)))+1)+(2-INDEX('CASE MASTER'!$V$2:$V$495,(SUMPRODUCT((('CASE MASTER'!$T$2:$T$495=9)*('CASE MASTER'!$U$2:$U$495&lt;=6)*('CASE MASTER'!$W$2:$W$495&gt;=6)*('CASE MASTER'!$V$2:$V$495&lt;=2)*('CASE MASTER'!$X$2:$X$495&gt;=2))*ROW('CASE MASTER'!$T$2:$T$495))-(ROW('CASE MASTER'!#REF!)-1))))+1))-1)*50+1,50))&amp;"_"&amp;INDEX('CASE MASTER'!$Q$2:$Q$495,(SUMPRODUCT((('CASE MASTER'!$T$2:$T$495=9)*('CASE MASTER'!$U$2:$U$495&lt;=6)*('CASE MASTER'!$W$2:$W$495&gt;=6)*('CASE MASTER'!$V$2:$V$495&lt;=2)*('CASE MASTER'!$X$2:$X$495&gt;=2))*ROW('CASE MASTER'!$T$2:$T$495))-(ROW('CASE MASTER'!#REF!)-1))),IF(SUMPRODUCT((('CASE MASTER'!$T$2:$T$495=9)*('CASE MASTER'!$AA$2:$AA$495&lt;=6)*('CASE MASTER'!$AC$2:$AC$495&gt;=6)*('CASE MASTER'!$AB$2:$AB$495&lt;=2)*('CASE MASTER'!$AD$2:$AD$495&gt;=2))*ROW('CASE MASTER'!$T$2:$T$495))&gt;0,INDEX('CASE MASTER'!$Y$2:$Y$495,(SUMPRODUCT((('CASE MASTER'!$T$2:$T$495=9)*('CASE MASTER'!$AA$2:$AA$495&lt;=6)*('CASE MASTER'!$AC$2:$AC$495&gt;=6)*('CASE MASTER'!$AB$2:$AB$495&lt;=2)*('CASE MASTER'!$AD$2:$AD$495&gt;=2))*ROW('CASE MASTER'!$T$2:$T$495))-(ROW('CASE MASTER'!#REF!)-1)))&amp;TRIM(MID(SUBSTITUTE(SUBSTITUTE(INDEX('CASE MASTER'!$N$2:$N$495,(SUMPRODUCT((('CASE MASTER'!$T$2:$T$495=9)*('CASE MASTER'!$AA$2:$AA$495&lt;=6)*('CASE MASTER'!$AC$2:$AC$495&gt;=6)*('CASE MASTER'!$AB$2:$AB$495&lt;=2)*('CASE MASTER'!$AD$2:$AD$495&gt;=2))*ROW('CASE MASTER'!$T$2:$T$495))-(ROW('CASE MASTER'!#REF!)-1))),":",","),",",REPT(" ",50)),(((INDEX('CASE MASTER'!$Z$2:$Z$495,(SUMPRODUCT((('CASE MASTER'!$T$2:$T$495=9)*('CASE MASTER'!$AA$2:$AA$495&lt;=6)*('CASE MASTER'!$AC$2:$AC$495&gt;=6)*('CASE MASTER'!$AB$2:$AB$495&lt;=2)*('CASE MASTER'!$AD$2:$AD$495&gt;=2))*ROW('CASE MASTER'!$T$2:$T$495))-(ROW('CASE MASTER'!#REF!)-1)))+((6-INDEX('CASE MASTER'!$AA$2:$AA$495,(SUMPRODUCT((('CASE MASTER'!$T$2:$T$495=9)*('CASE MASTER'!$AA$2:$AA$495&lt;=6)*('CASE MASTER'!$AC$2:$AC$495&gt;=6)*('CASE MASTER'!$AB$2:$AB$495&lt;=2)*('CASE MASTER'!$AD$2:$AD$495&gt;=2))*ROW('CASE MASTER'!$T$2:$T$495))-(ROW('CASE MASTER'!#REF!)-1))))*(INDEX('CASE MASTER'!$AD$2:$AD$495,(SUMPRODUCT((('CASE MASTER'!$T$2:$T$495=9)*('CASE MASTER'!$AA$2:$AA$495&lt;=6)*('CASE MASTER'!$AC$2:$AC$495&gt;=6)*('CASE MASTER'!$AB$2:$AB$495&lt;=2)*('CASE MASTER'!$AD$2:$AD$495&gt;=2))*ROW('CASE MASTER'!$T$2:$T$495))-(ROW('CASE MASTER'!#REF!)-1)))-INDEX('CASE MASTER'!$AB$2:$AB$495,(SUMPRODUCT((('CASE MASTER'!$T$2:$T$495=9)*('CASE MASTER'!$AA$2:$AA$495&lt;=6)*('CASE MASTER'!$AC$2:$AC$495&gt;=6)*('CASE MASTER'!$AB$2:$AB$495&lt;=2)*('CASE MASTER'!$AD$2:$AD$495&gt;=2))*ROW('CASE MASTER'!$T$2:$T$495))-(ROW('CASE MASTER'!#REF!)-1)))+1)+(2-INDEX('CASE MASTER'!$AB$2:$AB$495,(SUMPRODUCT((('CASE MASTER'!$T$2:$T$495=9)*('CASE MASTER'!$AA$2:$AA$495&lt;=6)*('CASE MASTER'!$AC$2:$AC$495&gt;=6)*('CASE MASTER'!$AB$2:$AB$495&lt;=2)*('CASE MASTER'!$AD$2:$AD$495&gt;=2))*ROW('CASE MASTER'!$T$2:$T$495))-(ROW('CASE MASTER'!#REF!)-1))))+1)))-1)*50+1,50))&amp;"_"&amp;INDEX('CASE MASTER'!$Q$2:$Q$495,(SUMPRODUCT((('CASE MASTER'!$T$2:$T$495=9)*('CASE MASTER'!$AA$2:$AA$495&lt;=6)*('CASE MASTER'!$AC$2:$AC$495&gt;=6)*('CASE MASTER'!$AB$2:$AB$495&lt;=2)*('CASE MASTER'!$AD$2:$AD$495&gt;=2))*ROW('CASE MASTER'!$T$2:$T$495))-(ROW('CASE MASTER'!#REF!)-1))),"")),"")</f>
        <v/>
      </c>
      <c r="D120" s="10" t="str">
        <f>IFERROR(IF(SUMPRODUCT((('CASE MASTER'!$T$2:$T$495=9)*('CASE MASTER'!$U$2:$U$495&lt;=6)*('CASE MASTER'!$W$2:$W$495&gt;=6)*('CASE MASTER'!$V$2:$V$495&lt;=3)*('CASE MASTER'!$X$2:$X$495&gt;=3))*ROW('CASE MASTER'!$T$2:$T$495))&gt;0,INDEX('CASE MASTER'!$Y$2:$Y$495,(SUMPRODUCT((('CASE MASTER'!$T$2:$T$495=9)*('CASE MASTER'!$U$2:$U$495&lt;=6)*('CASE MASTER'!$W$2:$W$495&gt;=6)*('CASE MASTER'!$V$2:$V$495&lt;=3)*('CASE MASTER'!$X$2:$X$495&gt;=3))*ROW('CASE MASTER'!$T$2:$T$495))-(ROW('CASE MASTER'!#REF!)-1)))&amp;TRIM(MID(SUBSTITUTE(SUBSTITUTE(INDEX('CASE MASTER'!$N$2:$N$495,(SUMPRODUCT((('CASE MASTER'!$T$2:$T$495=9)*('CASE MASTER'!$U$2:$U$495&lt;=6)*('CASE MASTER'!$W$2:$W$495&gt;=6)*('CASE MASTER'!$V$2:$V$495&lt;=3)*('CASE MASTER'!$X$2:$X$495&gt;=3))*ROW('CASE MASTER'!$T$2:$T$495))-(ROW('CASE MASTER'!#REF!)-1))),":",","),",",REPT(" ",50)),((((6-INDEX('CASE MASTER'!$U$2:$U$495,(SUMPRODUCT((('CASE MASTER'!$T$2:$T$495=9)*('CASE MASTER'!$U$2:$U$495&lt;=6)*('CASE MASTER'!$W$2:$W$495&gt;=6)*('CASE MASTER'!$V$2:$V$495&lt;=3)*('CASE MASTER'!$X$2:$X$495&gt;=3))*ROW('CASE MASTER'!$T$2:$T$495))-(ROW('CASE MASTER'!#REF!)-1))))*(INDEX('CASE MASTER'!$X$2:$X$495,(SUMPRODUCT((('CASE MASTER'!$T$2:$T$495=9)*('CASE MASTER'!$U$2:$U$495&lt;=6)*('CASE MASTER'!$W$2:$W$495&gt;=6)*('CASE MASTER'!$V$2:$V$495&lt;=3)*('CASE MASTER'!$X$2:$X$495&gt;=3))*ROW('CASE MASTER'!$T$2:$T$495))-(ROW('CASE MASTER'!#REF!)-1)))-INDEX('CASE MASTER'!$V$2:$V$495,(SUMPRODUCT((('CASE MASTER'!$T$2:$T$495=9)*('CASE MASTER'!$U$2:$U$495&lt;=6)*('CASE MASTER'!$W$2:$W$495&gt;=6)*('CASE MASTER'!$V$2:$V$495&lt;=3)*('CASE MASTER'!$X$2:$X$495&gt;=3))*ROW('CASE MASTER'!$T$2:$T$495))-(ROW('CASE MASTER'!#REF!)-1)))+1)+(3-INDEX('CASE MASTER'!$V$2:$V$495,(SUMPRODUCT((('CASE MASTER'!$T$2:$T$495=9)*('CASE MASTER'!$U$2:$U$495&lt;=6)*('CASE MASTER'!$W$2:$W$495&gt;=6)*('CASE MASTER'!$V$2:$V$495&lt;=3)*('CASE MASTER'!$X$2:$X$495&gt;=3))*ROW('CASE MASTER'!$T$2:$T$495))-(ROW('CASE MASTER'!#REF!)-1))))+1))-1)*50+1,50))&amp;"_"&amp;INDEX('CASE MASTER'!$Q$2:$Q$495,(SUMPRODUCT((('CASE MASTER'!$T$2:$T$495=9)*('CASE MASTER'!$U$2:$U$495&lt;=6)*('CASE MASTER'!$W$2:$W$495&gt;=6)*('CASE MASTER'!$V$2:$V$495&lt;=3)*('CASE MASTER'!$X$2:$X$495&gt;=3))*ROW('CASE MASTER'!$T$2:$T$495))-(ROW('CASE MASTER'!#REF!)-1))),IF(SUMPRODUCT((('CASE MASTER'!$T$2:$T$495=9)*('CASE MASTER'!$AA$2:$AA$495&lt;=6)*('CASE MASTER'!$AC$2:$AC$495&gt;=6)*('CASE MASTER'!$AB$2:$AB$495&lt;=3)*('CASE MASTER'!$AD$2:$AD$495&gt;=3))*ROW('CASE MASTER'!$T$2:$T$495))&gt;0,INDEX('CASE MASTER'!$Y$2:$Y$495,(SUMPRODUCT((('CASE MASTER'!$T$2:$T$495=9)*('CASE MASTER'!$AA$2:$AA$495&lt;=6)*('CASE MASTER'!$AC$2:$AC$495&gt;=6)*('CASE MASTER'!$AB$2:$AB$495&lt;=3)*('CASE MASTER'!$AD$2:$AD$495&gt;=3))*ROW('CASE MASTER'!$T$2:$T$495))-(ROW('CASE MASTER'!#REF!)-1)))&amp;TRIM(MID(SUBSTITUTE(SUBSTITUTE(INDEX('CASE MASTER'!$N$2:$N$495,(SUMPRODUCT((('CASE MASTER'!$T$2:$T$495=9)*('CASE MASTER'!$AA$2:$AA$495&lt;=6)*('CASE MASTER'!$AC$2:$AC$495&gt;=6)*('CASE MASTER'!$AB$2:$AB$495&lt;=3)*('CASE MASTER'!$AD$2:$AD$495&gt;=3))*ROW('CASE MASTER'!$T$2:$T$495))-(ROW('CASE MASTER'!#REF!)-1))),":",","),",",REPT(" ",50)),(((INDEX('CASE MASTER'!$Z$2:$Z$495,(SUMPRODUCT((('CASE MASTER'!$T$2:$T$495=9)*('CASE MASTER'!$AA$2:$AA$495&lt;=6)*('CASE MASTER'!$AC$2:$AC$495&gt;=6)*('CASE MASTER'!$AB$2:$AB$495&lt;=3)*('CASE MASTER'!$AD$2:$AD$495&gt;=3))*ROW('CASE MASTER'!$T$2:$T$495))-(ROW('CASE MASTER'!#REF!)-1)))+((6-INDEX('CASE MASTER'!$AA$2:$AA$495,(SUMPRODUCT((('CASE MASTER'!$T$2:$T$495=9)*('CASE MASTER'!$AA$2:$AA$495&lt;=6)*('CASE MASTER'!$AC$2:$AC$495&gt;=6)*('CASE MASTER'!$AB$2:$AB$495&lt;=3)*('CASE MASTER'!$AD$2:$AD$495&gt;=3))*ROW('CASE MASTER'!$T$2:$T$495))-(ROW('CASE MASTER'!#REF!)-1))))*(INDEX('CASE MASTER'!$AD$2:$AD$495,(SUMPRODUCT((('CASE MASTER'!$T$2:$T$495=9)*('CASE MASTER'!$AA$2:$AA$495&lt;=6)*('CASE MASTER'!$AC$2:$AC$495&gt;=6)*('CASE MASTER'!$AB$2:$AB$495&lt;=3)*('CASE MASTER'!$AD$2:$AD$495&gt;=3))*ROW('CASE MASTER'!$T$2:$T$495))-(ROW('CASE MASTER'!#REF!)-1)))-INDEX('CASE MASTER'!$AB$2:$AB$495,(SUMPRODUCT((('CASE MASTER'!$T$2:$T$495=9)*('CASE MASTER'!$AA$2:$AA$495&lt;=6)*('CASE MASTER'!$AC$2:$AC$495&gt;=6)*('CASE MASTER'!$AB$2:$AB$495&lt;=3)*('CASE MASTER'!$AD$2:$AD$495&gt;=3))*ROW('CASE MASTER'!$T$2:$T$495))-(ROW('CASE MASTER'!#REF!)-1)))+1)+(3-INDEX('CASE MASTER'!$AB$2:$AB$495,(SUMPRODUCT((('CASE MASTER'!$T$2:$T$495=9)*('CASE MASTER'!$AA$2:$AA$495&lt;=6)*('CASE MASTER'!$AC$2:$AC$495&gt;=6)*('CASE MASTER'!$AB$2:$AB$495&lt;=3)*('CASE MASTER'!$AD$2:$AD$495&gt;=3))*ROW('CASE MASTER'!$T$2:$T$495))-(ROW('CASE MASTER'!#REF!)-1))))+1)))-1)*50+1,50))&amp;"_"&amp;INDEX('CASE MASTER'!$Q$2:$Q$495,(SUMPRODUCT((('CASE MASTER'!$T$2:$T$495=9)*('CASE MASTER'!$AA$2:$AA$495&lt;=6)*('CASE MASTER'!$AC$2:$AC$495&gt;=6)*('CASE MASTER'!$AB$2:$AB$495&lt;=3)*('CASE MASTER'!$AD$2:$AD$495&gt;=3))*ROW('CASE MASTER'!$T$2:$T$495))-(ROW('CASE MASTER'!#REF!)-1))),"")),"")</f>
        <v/>
      </c>
      <c r="E120" s="10" t="str">
        <f>IFERROR(IF(SUMPRODUCT((('CASE MASTER'!$T$2:$T$495=9)*('CASE MASTER'!$U$2:$U$495&lt;=6)*('CASE MASTER'!$W$2:$W$495&gt;=6)*('CASE MASTER'!$V$2:$V$495&lt;=4)*('CASE MASTER'!$X$2:$X$495&gt;=4))*ROW('CASE MASTER'!$T$2:$T$495))&gt;0,INDEX('CASE MASTER'!$Y$2:$Y$495,(SUMPRODUCT((('CASE MASTER'!$T$2:$T$495=9)*('CASE MASTER'!$U$2:$U$495&lt;=6)*('CASE MASTER'!$W$2:$W$495&gt;=6)*('CASE MASTER'!$V$2:$V$495&lt;=4)*('CASE MASTER'!$X$2:$X$495&gt;=4))*ROW('CASE MASTER'!$T$2:$T$495))-(ROW('CASE MASTER'!#REF!)-1)))&amp;TRIM(MID(SUBSTITUTE(SUBSTITUTE(INDEX('CASE MASTER'!$N$2:$N$495,(SUMPRODUCT((('CASE MASTER'!$T$2:$T$495=9)*('CASE MASTER'!$U$2:$U$495&lt;=6)*('CASE MASTER'!$W$2:$W$495&gt;=6)*('CASE MASTER'!$V$2:$V$495&lt;=4)*('CASE MASTER'!$X$2:$X$495&gt;=4))*ROW('CASE MASTER'!$T$2:$T$495))-(ROW('CASE MASTER'!#REF!)-1))),":",","),",",REPT(" ",50)),((((6-INDEX('CASE MASTER'!$U$2:$U$495,(SUMPRODUCT((('CASE MASTER'!$T$2:$T$495=9)*('CASE MASTER'!$U$2:$U$495&lt;=6)*('CASE MASTER'!$W$2:$W$495&gt;=6)*('CASE MASTER'!$V$2:$V$495&lt;=4)*('CASE MASTER'!$X$2:$X$495&gt;=4))*ROW('CASE MASTER'!$T$2:$T$495))-(ROW('CASE MASTER'!#REF!)-1))))*(INDEX('CASE MASTER'!$X$2:$X$495,(SUMPRODUCT((('CASE MASTER'!$T$2:$T$495=9)*('CASE MASTER'!$U$2:$U$495&lt;=6)*('CASE MASTER'!$W$2:$W$495&gt;=6)*('CASE MASTER'!$V$2:$V$495&lt;=4)*('CASE MASTER'!$X$2:$X$495&gt;=4))*ROW('CASE MASTER'!$T$2:$T$495))-(ROW('CASE MASTER'!#REF!)-1)))-INDEX('CASE MASTER'!$V$2:$V$495,(SUMPRODUCT((('CASE MASTER'!$T$2:$T$495=9)*('CASE MASTER'!$U$2:$U$495&lt;=6)*('CASE MASTER'!$W$2:$W$495&gt;=6)*('CASE MASTER'!$V$2:$V$495&lt;=4)*('CASE MASTER'!$X$2:$X$495&gt;=4))*ROW('CASE MASTER'!$T$2:$T$495))-(ROW('CASE MASTER'!#REF!)-1)))+1)+(4-INDEX('CASE MASTER'!$V$2:$V$495,(SUMPRODUCT((('CASE MASTER'!$T$2:$T$495=9)*('CASE MASTER'!$U$2:$U$495&lt;=6)*('CASE MASTER'!$W$2:$W$495&gt;=6)*('CASE MASTER'!$V$2:$V$495&lt;=4)*('CASE MASTER'!$X$2:$X$495&gt;=4))*ROW('CASE MASTER'!$T$2:$T$495))-(ROW('CASE MASTER'!#REF!)-1))))+1))-1)*50+1,50))&amp;"_"&amp;INDEX('CASE MASTER'!$Q$2:$Q$495,(SUMPRODUCT((('CASE MASTER'!$T$2:$T$495=9)*('CASE MASTER'!$U$2:$U$495&lt;=6)*('CASE MASTER'!$W$2:$W$495&gt;=6)*('CASE MASTER'!$V$2:$V$495&lt;=4)*('CASE MASTER'!$X$2:$X$495&gt;=4))*ROW('CASE MASTER'!$T$2:$T$495))-(ROW('CASE MASTER'!#REF!)-1))),IF(SUMPRODUCT((('CASE MASTER'!$T$2:$T$495=9)*('CASE MASTER'!$AA$2:$AA$495&lt;=6)*('CASE MASTER'!$AC$2:$AC$495&gt;=6)*('CASE MASTER'!$AB$2:$AB$495&lt;=4)*('CASE MASTER'!$AD$2:$AD$495&gt;=4))*ROW('CASE MASTER'!$T$2:$T$495))&gt;0,INDEX('CASE MASTER'!$Y$2:$Y$495,(SUMPRODUCT((('CASE MASTER'!$T$2:$T$495=9)*('CASE MASTER'!$AA$2:$AA$495&lt;=6)*('CASE MASTER'!$AC$2:$AC$495&gt;=6)*('CASE MASTER'!$AB$2:$AB$495&lt;=4)*('CASE MASTER'!$AD$2:$AD$495&gt;=4))*ROW('CASE MASTER'!$T$2:$T$495))-(ROW('CASE MASTER'!#REF!)-1)))&amp;TRIM(MID(SUBSTITUTE(SUBSTITUTE(INDEX('CASE MASTER'!$N$2:$N$495,(SUMPRODUCT((('CASE MASTER'!$T$2:$T$495=9)*('CASE MASTER'!$AA$2:$AA$495&lt;=6)*('CASE MASTER'!$AC$2:$AC$495&gt;=6)*('CASE MASTER'!$AB$2:$AB$495&lt;=4)*('CASE MASTER'!$AD$2:$AD$495&gt;=4))*ROW('CASE MASTER'!$T$2:$T$495))-(ROW('CASE MASTER'!#REF!)-1))),":",","),",",REPT(" ",50)),(((INDEX('CASE MASTER'!$Z$2:$Z$495,(SUMPRODUCT((('CASE MASTER'!$T$2:$T$495=9)*('CASE MASTER'!$AA$2:$AA$495&lt;=6)*('CASE MASTER'!$AC$2:$AC$495&gt;=6)*('CASE MASTER'!$AB$2:$AB$495&lt;=4)*('CASE MASTER'!$AD$2:$AD$495&gt;=4))*ROW('CASE MASTER'!$T$2:$T$495))-(ROW('CASE MASTER'!#REF!)-1)))+((6-INDEX('CASE MASTER'!$AA$2:$AA$495,(SUMPRODUCT((('CASE MASTER'!$T$2:$T$495=9)*('CASE MASTER'!$AA$2:$AA$495&lt;=6)*('CASE MASTER'!$AC$2:$AC$495&gt;=6)*('CASE MASTER'!$AB$2:$AB$495&lt;=4)*('CASE MASTER'!$AD$2:$AD$495&gt;=4))*ROW('CASE MASTER'!$T$2:$T$495))-(ROW('CASE MASTER'!#REF!)-1))))*(INDEX('CASE MASTER'!$AD$2:$AD$495,(SUMPRODUCT((('CASE MASTER'!$T$2:$T$495=9)*('CASE MASTER'!$AA$2:$AA$495&lt;=6)*('CASE MASTER'!$AC$2:$AC$495&gt;=6)*('CASE MASTER'!$AB$2:$AB$495&lt;=4)*('CASE MASTER'!$AD$2:$AD$495&gt;=4))*ROW('CASE MASTER'!$T$2:$T$495))-(ROW('CASE MASTER'!#REF!)-1)))-INDEX('CASE MASTER'!$AB$2:$AB$495,(SUMPRODUCT((('CASE MASTER'!$T$2:$T$495=9)*('CASE MASTER'!$AA$2:$AA$495&lt;=6)*('CASE MASTER'!$AC$2:$AC$495&gt;=6)*('CASE MASTER'!$AB$2:$AB$495&lt;=4)*('CASE MASTER'!$AD$2:$AD$495&gt;=4))*ROW('CASE MASTER'!$T$2:$T$495))-(ROW('CASE MASTER'!#REF!)-1)))+1)+(4-INDEX('CASE MASTER'!$AB$2:$AB$495,(SUMPRODUCT((('CASE MASTER'!$T$2:$T$495=9)*('CASE MASTER'!$AA$2:$AA$495&lt;=6)*('CASE MASTER'!$AC$2:$AC$495&gt;=6)*('CASE MASTER'!$AB$2:$AB$495&lt;=4)*('CASE MASTER'!$AD$2:$AD$495&gt;=4))*ROW('CASE MASTER'!$T$2:$T$495))-(ROW('CASE MASTER'!#REF!)-1))))+1)))-1)*50+1,50))&amp;"_"&amp;INDEX('CASE MASTER'!$Q$2:$Q$495,(SUMPRODUCT((('CASE MASTER'!$T$2:$T$495=9)*('CASE MASTER'!$AA$2:$AA$495&lt;=6)*('CASE MASTER'!$AC$2:$AC$495&gt;=6)*('CASE MASTER'!$AB$2:$AB$495&lt;=4)*('CASE MASTER'!$AD$2:$AD$495&gt;=4))*ROW('CASE MASTER'!$T$2:$T$495))-(ROW('CASE MASTER'!#REF!)-1))),"")),"")</f>
        <v/>
      </c>
      <c r="F120" s="10" t="str">
        <f>IFERROR(IF(SUMPRODUCT((('CASE MASTER'!$T$2:$T$495=9)*('CASE MASTER'!$U$2:$U$495&lt;=6)*('CASE MASTER'!$W$2:$W$495&gt;=6)*('CASE MASTER'!$V$2:$V$495&lt;=5)*('CASE MASTER'!$X$2:$X$495&gt;=5))*ROW('CASE MASTER'!$T$2:$T$495))&gt;0,INDEX('CASE MASTER'!$Y$2:$Y$495,(SUMPRODUCT((('CASE MASTER'!$T$2:$T$495=9)*('CASE MASTER'!$U$2:$U$495&lt;=6)*('CASE MASTER'!$W$2:$W$495&gt;=6)*('CASE MASTER'!$V$2:$V$495&lt;=5)*('CASE MASTER'!$X$2:$X$495&gt;=5))*ROW('CASE MASTER'!$T$2:$T$495))-(ROW('CASE MASTER'!#REF!)-1)))&amp;TRIM(MID(SUBSTITUTE(SUBSTITUTE(INDEX('CASE MASTER'!$N$2:$N$495,(SUMPRODUCT((('CASE MASTER'!$T$2:$T$495=9)*('CASE MASTER'!$U$2:$U$495&lt;=6)*('CASE MASTER'!$W$2:$W$495&gt;=6)*('CASE MASTER'!$V$2:$V$495&lt;=5)*('CASE MASTER'!$X$2:$X$495&gt;=5))*ROW('CASE MASTER'!$T$2:$T$495))-(ROW('CASE MASTER'!#REF!)-1))),":",","),",",REPT(" ",50)),((((6-INDEX('CASE MASTER'!$U$2:$U$495,(SUMPRODUCT((('CASE MASTER'!$T$2:$T$495=9)*('CASE MASTER'!$U$2:$U$495&lt;=6)*('CASE MASTER'!$W$2:$W$495&gt;=6)*('CASE MASTER'!$V$2:$V$495&lt;=5)*('CASE MASTER'!$X$2:$X$495&gt;=5))*ROW('CASE MASTER'!$T$2:$T$495))-(ROW('CASE MASTER'!#REF!)-1))))*(INDEX('CASE MASTER'!$X$2:$X$495,(SUMPRODUCT((('CASE MASTER'!$T$2:$T$495=9)*('CASE MASTER'!$U$2:$U$495&lt;=6)*('CASE MASTER'!$W$2:$W$495&gt;=6)*('CASE MASTER'!$V$2:$V$495&lt;=5)*('CASE MASTER'!$X$2:$X$495&gt;=5))*ROW('CASE MASTER'!$T$2:$T$495))-(ROW('CASE MASTER'!#REF!)-1)))-INDEX('CASE MASTER'!$V$2:$V$495,(SUMPRODUCT((('CASE MASTER'!$T$2:$T$495=9)*('CASE MASTER'!$U$2:$U$495&lt;=6)*('CASE MASTER'!$W$2:$W$495&gt;=6)*('CASE MASTER'!$V$2:$V$495&lt;=5)*('CASE MASTER'!$X$2:$X$495&gt;=5))*ROW('CASE MASTER'!$T$2:$T$495))-(ROW('CASE MASTER'!#REF!)-1)))+1)+(5-INDEX('CASE MASTER'!$V$2:$V$495,(SUMPRODUCT((('CASE MASTER'!$T$2:$T$495=9)*('CASE MASTER'!$U$2:$U$495&lt;=6)*('CASE MASTER'!$W$2:$W$495&gt;=6)*('CASE MASTER'!$V$2:$V$495&lt;=5)*('CASE MASTER'!$X$2:$X$495&gt;=5))*ROW('CASE MASTER'!$T$2:$T$495))-(ROW('CASE MASTER'!#REF!)-1))))+1))-1)*50+1,50))&amp;"_"&amp;INDEX('CASE MASTER'!$Q$2:$Q$495,(SUMPRODUCT((('CASE MASTER'!$T$2:$T$495=9)*('CASE MASTER'!$U$2:$U$495&lt;=6)*('CASE MASTER'!$W$2:$W$495&gt;=6)*('CASE MASTER'!$V$2:$V$495&lt;=5)*('CASE MASTER'!$X$2:$X$495&gt;=5))*ROW('CASE MASTER'!$T$2:$T$495))-(ROW('CASE MASTER'!#REF!)-1))),IF(SUMPRODUCT((('CASE MASTER'!$T$2:$T$495=9)*('CASE MASTER'!$AA$2:$AA$495&lt;=6)*('CASE MASTER'!$AC$2:$AC$495&gt;=6)*('CASE MASTER'!$AB$2:$AB$495&lt;=5)*('CASE MASTER'!$AD$2:$AD$495&gt;=5))*ROW('CASE MASTER'!$T$2:$T$495))&gt;0,INDEX('CASE MASTER'!$Y$2:$Y$495,(SUMPRODUCT((('CASE MASTER'!$T$2:$T$495=9)*('CASE MASTER'!$AA$2:$AA$495&lt;=6)*('CASE MASTER'!$AC$2:$AC$495&gt;=6)*('CASE MASTER'!$AB$2:$AB$495&lt;=5)*('CASE MASTER'!$AD$2:$AD$495&gt;=5))*ROW('CASE MASTER'!$T$2:$T$495))-(ROW('CASE MASTER'!#REF!)-1)))&amp;TRIM(MID(SUBSTITUTE(SUBSTITUTE(INDEX('CASE MASTER'!$N$2:$N$495,(SUMPRODUCT((('CASE MASTER'!$T$2:$T$495=9)*('CASE MASTER'!$AA$2:$AA$495&lt;=6)*('CASE MASTER'!$AC$2:$AC$495&gt;=6)*('CASE MASTER'!$AB$2:$AB$495&lt;=5)*('CASE MASTER'!$AD$2:$AD$495&gt;=5))*ROW('CASE MASTER'!$T$2:$T$495))-(ROW('CASE MASTER'!#REF!)-1))),":",","),",",REPT(" ",50)),(((INDEX('CASE MASTER'!$Z$2:$Z$495,(SUMPRODUCT((('CASE MASTER'!$T$2:$T$495=9)*('CASE MASTER'!$AA$2:$AA$495&lt;=6)*('CASE MASTER'!$AC$2:$AC$495&gt;=6)*('CASE MASTER'!$AB$2:$AB$495&lt;=5)*('CASE MASTER'!$AD$2:$AD$495&gt;=5))*ROW('CASE MASTER'!$T$2:$T$495))-(ROW('CASE MASTER'!#REF!)-1)))+((6-INDEX('CASE MASTER'!$AA$2:$AA$495,(SUMPRODUCT((('CASE MASTER'!$T$2:$T$495=9)*('CASE MASTER'!$AA$2:$AA$495&lt;=6)*('CASE MASTER'!$AC$2:$AC$495&gt;=6)*('CASE MASTER'!$AB$2:$AB$495&lt;=5)*('CASE MASTER'!$AD$2:$AD$495&gt;=5))*ROW('CASE MASTER'!$T$2:$T$495))-(ROW('CASE MASTER'!#REF!)-1))))*(INDEX('CASE MASTER'!$AD$2:$AD$495,(SUMPRODUCT((('CASE MASTER'!$T$2:$T$495=9)*('CASE MASTER'!$AA$2:$AA$495&lt;=6)*('CASE MASTER'!$AC$2:$AC$495&gt;=6)*('CASE MASTER'!$AB$2:$AB$495&lt;=5)*('CASE MASTER'!$AD$2:$AD$495&gt;=5))*ROW('CASE MASTER'!$T$2:$T$495))-(ROW('CASE MASTER'!#REF!)-1)))-INDEX('CASE MASTER'!$AB$2:$AB$495,(SUMPRODUCT((('CASE MASTER'!$T$2:$T$495=9)*('CASE MASTER'!$AA$2:$AA$495&lt;=6)*('CASE MASTER'!$AC$2:$AC$495&gt;=6)*('CASE MASTER'!$AB$2:$AB$495&lt;=5)*('CASE MASTER'!$AD$2:$AD$495&gt;=5))*ROW('CASE MASTER'!$T$2:$T$495))-(ROW('CASE MASTER'!#REF!)-1)))+1)+(5-INDEX('CASE MASTER'!$AB$2:$AB$495,(SUMPRODUCT((('CASE MASTER'!$T$2:$T$495=9)*('CASE MASTER'!$AA$2:$AA$495&lt;=6)*('CASE MASTER'!$AC$2:$AC$495&gt;=6)*('CASE MASTER'!$AB$2:$AB$495&lt;=5)*('CASE MASTER'!$AD$2:$AD$495&gt;=5))*ROW('CASE MASTER'!$T$2:$T$495))-(ROW('CASE MASTER'!#REF!)-1))))+1)))-1)*50+1,50))&amp;"_"&amp;INDEX('CASE MASTER'!$Q$2:$Q$495,(SUMPRODUCT((('CASE MASTER'!$T$2:$T$495=9)*('CASE MASTER'!$AA$2:$AA$495&lt;=6)*('CASE MASTER'!$AC$2:$AC$495&gt;=6)*('CASE MASTER'!$AB$2:$AB$495&lt;=5)*('CASE MASTER'!$AD$2:$AD$495&gt;=5))*ROW('CASE MASTER'!$T$2:$T$495))-(ROW('CASE MASTER'!#REF!)-1))),"")),"")</f>
        <v/>
      </c>
      <c r="G120" s="10" t="str">
        <f>IFERROR(IF(SUMPRODUCT((('CASE MASTER'!$T$2:$T$495=9)*('CASE MASTER'!$U$2:$U$495&lt;=6)*('CASE MASTER'!$W$2:$W$495&gt;=6)*('CASE MASTER'!$V$2:$V$495&lt;=6)*('CASE MASTER'!$X$2:$X$495&gt;=6))*ROW('CASE MASTER'!$T$2:$T$495))&gt;0,INDEX('CASE MASTER'!$Y$2:$Y$495,(SUMPRODUCT((('CASE MASTER'!$T$2:$T$495=9)*('CASE MASTER'!$U$2:$U$495&lt;=6)*('CASE MASTER'!$W$2:$W$495&gt;=6)*('CASE MASTER'!$V$2:$V$495&lt;=6)*('CASE MASTER'!$X$2:$X$495&gt;=6))*ROW('CASE MASTER'!$T$2:$T$495))-(ROW('CASE MASTER'!#REF!)-1)))&amp;TRIM(MID(SUBSTITUTE(SUBSTITUTE(INDEX('CASE MASTER'!$N$2:$N$495,(SUMPRODUCT((('CASE MASTER'!$T$2:$T$495=9)*('CASE MASTER'!$U$2:$U$495&lt;=6)*('CASE MASTER'!$W$2:$W$495&gt;=6)*('CASE MASTER'!$V$2:$V$495&lt;=6)*('CASE MASTER'!$X$2:$X$495&gt;=6))*ROW('CASE MASTER'!$T$2:$T$495))-(ROW('CASE MASTER'!#REF!)-1))),":",","),",",REPT(" ",50)),((((6-INDEX('CASE MASTER'!$U$2:$U$495,(SUMPRODUCT((('CASE MASTER'!$T$2:$T$495=9)*('CASE MASTER'!$U$2:$U$495&lt;=6)*('CASE MASTER'!$W$2:$W$495&gt;=6)*('CASE MASTER'!$V$2:$V$495&lt;=6)*('CASE MASTER'!$X$2:$X$495&gt;=6))*ROW('CASE MASTER'!$T$2:$T$495))-(ROW('CASE MASTER'!#REF!)-1))))*(INDEX('CASE MASTER'!$X$2:$X$495,(SUMPRODUCT((('CASE MASTER'!$T$2:$T$495=9)*('CASE MASTER'!$U$2:$U$495&lt;=6)*('CASE MASTER'!$W$2:$W$495&gt;=6)*('CASE MASTER'!$V$2:$V$495&lt;=6)*('CASE MASTER'!$X$2:$X$495&gt;=6))*ROW('CASE MASTER'!$T$2:$T$495))-(ROW('CASE MASTER'!#REF!)-1)))-INDEX('CASE MASTER'!$V$2:$V$495,(SUMPRODUCT((('CASE MASTER'!$T$2:$T$495=9)*('CASE MASTER'!$U$2:$U$495&lt;=6)*('CASE MASTER'!$W$2:$W$495&gt;=6)*('CASE MASTER'!$V$2:$V$495&lt;=6)*('CASE MASTER'!$X$2:$X$495&gt;=6))*ROW('CASE MASTER'!$T$2:$T$495))-(ROW('CASE MASTER'!#REF!)-1)))+1)+(6-INDEX('CASE MASTER'!$V$2:$V$495,(SUMPRODUCT((('CASE MASTER'!$T$2:$T$495=9)*('CASE MASTER'!$U$2:$U$495&lt;=6)*('CASE MASTER'!$W$2:$W$495&gt;=6)*('CASE MASTER'!$V$2:$V$495&lt;=6)*('CASE MASTER'!$X$2:$X$495&gt;=6))*ROW('CASE MASTER'!$T$2:$T$495))-(ROW('CASE MASTER'!#REF!)-1))))+1))-1)*50+1,50))&amp;"_"&amp;INDEX('CASE MASTER'!$Q$2:$Q$495,(SUMPRODUCT((('CASE MASTER'!$T$2:$T$495=9)*('CASE MASTER'!$U$2:$U$495&lt;=6)*('CASE MASTER'!$W$2:$W$495&gt;=6)*('CASE MASTER'!$V$2:$V$495&lt;=6)*('CASE MASTER'!$X$2:$X$495&gt;=6))*ROW('CASE MASTER'!$T$2:$T$495))-(ROW('CASE MASTER'!#REF!)-1))),IF(SUMPRODUCT((('CASE MASTER'!$T$2:$T$495=9)*('CASE MASTER'!$AA$2:$AA$495&lt;=6)*('CASE MASTER'!$AC$2:$AC$495&gt;=6)*('CASE MASTER'!$AB$2:$AB$495&lt;=6)*('CASE MASTER'!$AD$2:$AD$495&gt;=6))*ROW('CASE MASTER'!$T$2:$T$495))&gt;0,INDEX('CASE MASTER'!$Y$2:$Y$495,(SUMPRODUCT((('CASE MASTER'!$T$2:$T$495=9)*('CASE MASTER'!$AA$2:$AA$495&lt;=6)*('CASE MASTER'!$AC$2:$AC$495&gt;=6)*('CASE MASTER'!$AB$2:$AB$495&lt;=6)*('CASE MASTER'!$AD$2:$AD$495&gt;=6))*ROW('CASE MASTER'!$T$2:$T$495))-(ROW('CASE MASTER'!#REF!)-1)))&amp;TRIM(MID(SUBSTITUTE(SUBSTITUTE(INDEX('CASE MASTER'!$N$2:$N$495,(SUMPRODUCT((('CASE MASTER'!$T$2:$T$495=9)*('CASE MASTER'!$AA$2:$AA$495&lt;=6)*('CASE MASTER'!$AC$2:$AC$495&gt;=6)*('CASE MASTER'!$AB$2:$AB$495&lt;=6)*('CASE MASTER'!$AD$2:$AD$495&gt;=6))*ROW('CASE MASTER'!$T$2:$T$495))-(ROW('CASE MASTER'!#REF!)-1))),":",","),",",REPT(" ",50)),(((INDEX('CASE MASTER'!$Z$2:$Z$495,(SUMPRODUCT((('CASE MASTER'!$T$2:$T$495=9)*('CASE MASTER'!$AA$2:$AA$495&lt;=6)*('CASE MASTER'!$AC$2:$AC$495&gt;=6)*('CASE MASTER'!$AB$2:$AB$495&lt;=6)*('CASE MASTER'!$AD$2:$AD$495&gt;=6))*ROW('CASE MASTER'!$T$2:$T$495))-(ROW('CASE MASTER'!#REF!)-1)))+((6-INDEX('CASE MASTER'!$AA$2:$AA$495,(SUMPRODUCT((('CASE MASTER'!$T$2:$T$495=9)*('CASE MASTER'!$AA$2:$AA$495&lt;=6)*('CASE MASTER'!$AC$2:$AC$495&gt;=6)*('CASE MASTER'!$AB$2:$AB$495&lt;=6)*('CASE MASTER'!$AD$2:$AD$495&gt;=6))*ROW('CASE MASTER'!$T$2:$T$495))-(ROW('CASE MASTER'!#REF!)-1))))*(INDEX('CASE MASTER'!$AD$2:$AD$495,(SUMPRODUCT((('CASE MASTER'!$T$2:$T$495=9)*('CASE MASTER'!$AA$2:$AA$495&lt;=6)*('CASE MASTER'!$AC$2:$AC$495&gt;=6)*('CASE MASTER'!$AB$2:$AB$495&lt;=6)*('CASE MASTER'!$AD$2:$AD$495&gt;=6))*ROW('CASE MASTER'!$T$2:$T$495))-(ROW('CASE MASTER'!#REF!)-1)))-INDEX('CASE MASTER'!$AB$2:$AB$495,(SUMPRODUCT((('CASE MASTER'!$T$2:$T$495=9)*('CASE MASTER'!$AA$2:$AA$495&lt;=6)*('CASE MASTER'!$AC$2:$AC$495&gt;=6)*('CASE MASTER'!$AB$2:$AB$495&lt;=6)*('CASE MASTER'!$AD$2:$AD$495&gt;=6))*ROW('CASE MASTER'!$T$2:$T$495))-(ROW('CASE MASTER'!#REF!)-1)))+1)+(6-INDEX('CASE MASTER'!$AB$2:$AB$495,(SUMPRODUCT((('CASE MASTER'!$T$2:$T$495=9)*('CASE MASTER'!$AA$2:$AA$495&lt;=6)*('CASE MASTER'!$AC$2:$AC$495&gt;=6)*('CASE MASTER'!$AB$2:$AB$495&lt;=6)*('CASE MASTER'!$AD$2:$AD$495&gt;=6))*ROW('CASE MASTER'!$T$2:$T$495))-(ROW('CASE MASTER'!#REF!)-1))))+1)))-1)*50+1,50))&amp;"_"&amp;INDEX('CASE MASTER'!$Q$2:$Q$495,(SUMPRODUCT((('CASE MASTER'!$T$2:$T$495=9)*('CASE MASTER'!$AA$2:$AA$495&lt;=6)*('CASE MASTER'!$AC$2:$AC$495&gt;=6)*('CASE MASTER'!$AB$2:$AB$495&lt;=6)*('CASE MASTER'!$AD$2:$AD$495&gt;=6))*ROW('CASE MASTER'!$T$2:$T$495))-(ROW('CASE MASTER'!#REF!)-1))),"")),"")</f>
        <v/>
      </c>
      <c r="H120" s="10" t="str">
        <f>IFERROR(IF(SUMPRODUCT((('CASE MASTER'!$T$2:$T$495=9)*('CASE MASTER'!$U$2:$U$495&lt;=6)*('CASE MASTER'!$W$2:$W$495&gt;=6)*('CASE MASTER'!$V$2:$V$495&lt;=7)*('CASE MASTER'!$X$2:$X$495&gt;=7))*ROW('CASE MASTER'!$T$2:$T$495))&gt;0,INDEX('CASE MASTER'!$Y$2:$Y$495,(SUMPRODUCT((('CASE MASTER'!$T$2:$T$495=9)*('CASE MASTER'!$U$2:$U$495&lt;=6)*('CASE MASTER'!$W$2:$W$495&gt;=6)*('CASE MASTER'!$V$2:$V$495&lt;=7)*('CASE MASTER'!$X$2:$X$495&gt;=7))*ROW('CASE MASTER'!$T$2:$T$495))-(ROW('CASE MASTER'!#REF!)-1)))&amp;TRIM(MID(SUBSTITUTE(SUBSTITUTE(INDEX('CASE MASTER'!$N$2:$N$495,(SUMPRODUCT((('CASE MASTER'!$T$2:$T$495=9)*('CASE MASTER'!$U$2:$U$495&lt;=6)*('CASE MASTER'!$W$2:$W$495&gt;=6)*('CASE MASTER'!$V$2:$V$495&lt;=7)*('CASE MASTER'!$X$2:$X$495&gt;=7))*ROW('CASE MASTER'!$T$2:$T$495))-(ROW('CASE MASTER'!#REF!)-1))),":",","),",",REPT(" ",50)),((((6-INDEX('CASE MASTER'!$U$2:$U$495,(SUMPRODUCT((('CASE MASTER'!$T$2:$T$495=9)*('CASE MASTER'!$U$2:$U$495&lt;=6)*('CASE MASTER'!$W$2:$W$495&gt;=6)*('CASE MASTER'!$V$2:$V$495&lt;=7)*('CASE MASTER'!$X$2:$X$495&gt;=7))*ROW('CASE MASTER'!$T$2:$T$495))-(ROW('CASE MASTER'!#REF!)-1))))*(INDEX('CASE MASTER'!$X$2:$X$495,(SUMPRODUCT((('CASE MASTER'!$T$2:$T$495=9)*('CASE MASTER'!$U$2:$U$495&lt;=6)*('CASE MASTER'!$W$2:$W$495&gt;=6)*('CASE MASTER'!$V$2:$V$495&lt;=7)*('CASE MASTER'!$X$2:$X$495&gt;=7))*ROW('CASE MASTER'!$T$2:$T$495))-(ROW('CASE MASTER'!#REF!)-1)))-INDEX('CASE MASTER'!$V$2:$V$495,(SUMPRODUCT((('CASE MASTER'!$T$2:$T$495=9)*('CASE MASTER'!$U$2:$U$495&lt;=6)*('CASE MASTER'!$W$2:$W$495&gt;=6)*('CASE MASTER'!$V$2:$V$495&lt;=7)*('CASE MASTER'!$X$2:$X$495&gt;=7))*ROW('CASE MASTER'!$T$2:$T$495))-(ROW('CASE MASTER'!#REF!)-1)))+1)+(7-INDEX('CASE MASTER'!$V$2:$V$495,(SUMPRODUCT((('CASE MASTER'!$T$2:$T$495=9)*('CASE MASTER'!$U$2:$U$495&lt;=6)*('CASE MASTER'!$W$2:$W$495&gt;=6)*('CASE MASTER'!$V$2:$V$495&lt;=7)*('CASE MASTER'!$X$2:$X$495&gt;=7))*ROW('CASE MASTER'!$T$2:$T$495))-(ROW('CASE MASTER'!#REF!)-1))))+1))-1)*50+1,50))&amp;"_"&amp;INDEX('CASE MASTER'!$Q$2:$Q$495,(SUMPRODUCT((('CASE MASTER'!$T$2:$T$495=9)*('CASE MASTER'!$U$2:$U$495&lt;=6)*('CASE MASTER'!$W$2:$W$495&gt;=6)*('CASE MASTER'!$V$2:$V$495&lt;=7)*('CASE MASTER'!$X$2:$X$495&gt;=7))*ROW('CASE MASTER'!$T$2:$T$495))-(ROW('CASE MASTER'!#REF!)-1))),IF(SUMPRODUCT((('CASE MASTER'!$T$2:$T$495=9)*('CASE MASTER'!$AA$2:$AA$495&lt;=6)*('CASE MASTER'!$AC$2:$AC$495&gt;=6)*('CASE MASTER'!$AB$2:$AB$495&lt;=7)*('CASE MASTER'!$AD$2:$AD$495&gt;=7))*ROW('CASE MASTER'!$T$2:$T$495))&gt;0,INDEX('CASE MASTER'!$Y$2:$Y$495,(SUMPRODUCT((('CASE MASTER'!$T$2:$T$495=9)*('CASE MASTER'!$AA$2:$AA$495&lt;=6)*('CASE MASTER'!$AC$2:$AC$495&gt;=6)*('CASE MASTER'!$AB$2:$AB$495&lt;=7)*('CASE MASTER'!$AD$2:$AD$495&gt;=7))*ROW('CASE MASTER'!$T$2:$T$495))-(ROW('CASE MASTER'!#REF!)-1)))&amp;TRIM(MID(SUBSTITUTE(SUBSTITUTE(INDEX('CASE MASTER'!$N$2:$N$495,(SUMPRODUCT((('CASE MASTER'!$T$2:$T$495=9)*('CASE MASTER'!$AA$2:$AA$495&lt;=6)*('CASE MASTER'!$AC$2:$AC$495&gt;=6)*('CASE MASTER'!$AB$2:$AB$495&lt;=7)*('CASE MASTER'!$AD$2:$AD$495&gt;=7))*ROW('CASE MASTER'!$T$2:$T$495))-(ROW('CASE MASTER'!#REF!)-1))),":",","),",",REPT(" ",50)),(((INDEX('CASE MASTER'!$Z$2:$Z$495,(SUMPRODUCT((('CASE MASTER'!$T$2:$T$495=9)*('CASE MASTER'!$AA$2:$AA$495&lt;=6)*('CASE MASTER'!$AC$2:$AC$495&gt;=6)*('CASE MASTER'!$AB$2:$AB$495&lt;=7)*('CASE MASTER'!$AD$2:$AD$495&gt;=7))*ROW('CASE MASTER'!$T$2:$T$495))-(ROW('CASE MASTER'!#REF!)-1)))+((6-INDEX('CASE MASTER'!$AA$2:$AA$495,(SUMPRODUCT((('CASE MASTER'!$T$2:$T$495=9)*('CASE MASTER'!$AA$2:$AA$495&lt;=6)*('CASE MASTER'!$AC$2:$AC$495&gt;=6)*('CASE MASTER'!$AB$2:$AB$495&lt;=7)*('CASE MASTER'!$AD$2:$AD$495&gt;=7))*ROW('CASE MASTER'!$T$2:$T$495))-(ROW('CASE MASTER'!#REF!)-1))))*(INDEX('CASE MASTER'!$AD$2:$AD$495,(SUMPRODUCT((('CASE MASTER'!$T$2:$T$495=9)*('CASE MASTER'!$AA$2:$AA$495&lt;=6)*('CASE MASTER'!$AC$2:$AC$495&gt;=6)*('CASE MASTER'!$AB$2:$AB$495&lt;=7)*('CASE MASTER'!$AD$2:$AD$495&gt;=7))*ROW('CASE MASTER'!$T$2:$T$495))-(ROW('CASE MASTER'!#REF!)-1)))-INDEX('CASE MASTER'!$AB$2:$AB$495,(SUMPRODUCT((('CASE MASTER'!$T$2:$T$495=9)*('CASE MASTER'!$AA$2:$AA$495&lt;=6)*('CASE MASTER'!$AC$2:$AC$495&gt;=6)*('CASE MASTER'!$AB$2:$AB$495&lt;=7)*('CASE MASTER'!$AD$2:$AD$495&gt;=7))*ROW('CASE MASTER'!$T$2:$T$495))-(ROW('CASE MASTER'!#REF!)-1)))+1)+(7-INDEX('CASE MASTER'!$AB$2:$AB$495,(SUMPRODUCT((('CASE MASTER'!$T$2:$T$495=9)*('CASE MASTER'!$AA$2:$AA$495&lt;=6)*('CASE MASTER'!$AC$2:$AC$495&gt;=6)*('CASE MASTER'!$AB$2:$AB$495&lt;=7)*('CASE MASTER'!$AD$2:$AD$495&gt;=7))*ROW('CASE MASTER'!$T$2:$T$495))-(ROW('CASE MASTER'!#REF!)-1))))+1)))-1)*50+1,50))&amp;"_"&amp;INDEX('CASE MASTER'!$Q$2:$Q$495,(SUMPRODUCT((('CASE MASTER'!$T$2:$T$495=9)*('CASE MASTER'!$AA$2:$AA$495&lt;=6)*('CASE MASTER'!$AC$2:$AC$495&gt;=6)*('CASE MASTER'!$AB$2:$AB$495&lt;=7)*('CASE MASTER'!$AD$2:$AD$495&gt;=7))*ROW('CASE MASTER'!$T$2:$T$495))-(ROW('CASE MASTER'!#REF!)-1))),"")),"")</f>
        <v/>
      </c>
      <c r="I120" s="10" t="str">
        <f>IFERROR(IF(SUMPRODUCT((('CASE MASTER'!$T$2:$T$495=9)*('CASE MASTER'!$U$2:$U$495&lt;=6)*('CASE MASTER'!$W$2:$W$495&gt;=6)*('CASE MASTER'!$V$2:$V$495&lt;=8)*('CASE MASTER'!$X$2:$X$495&gt;=8))*ROW('CASE MASTER'!$T$2:$T$495))&gt;0,INDEX('CASE MASTER'!$Y$2:$Y$495,(SUMPRODUCT((('CASE MASTER'!$T$2:$T$495=9)*('CASE MASTER'!$U$2:$U$495&lt;=6)*('CASE MASTER'!$W$2:$W$495&gt;=6)*('CASE MASTER'!$V$2:$V$495&lt;=8)*('CASE MASTER'!$X$2:$X$495&gt;=8))*ROW('CASE MASTER'!$T$2:$T$495))-(ROW('CASE MASTER'!#REF!)-1)))&amp;TRIM(MID(SUBSTITUTE(SUBSTITUTE(INDEX('CASE MASTER'!$N$2:$N$495,(SUMPRODUCT((('CASE MASTER'!$T$2:$T$495=9)*('CASE MASTER'!$U$2:$U$495&lt;=6)*('CASE MASTER'!$W$2:$W$495&gt;=6)*('CASE MASTER'!$V$2:$V$495&lt;=8)*('CASE MASTER'!$X$2:$X$495&gt;=8))*ROW('CASE MASTER'!$T$2:$T$495))-(ROW('CASE MASTER'!#REF!)-1))),":",","),",",REPT(" ",50)),((((6-INDEX('CASE MASTER'!$U$2:$U$495,(SUMPRODUCT((('CASE MASTER'!$T$2:$T$495=9)*('CASE MASTER'!$U$2:$U$495&lt;=6)*('CASE MASTER'!$W$2:$W$495&gt;=6)*('CASE MASTER'!$V$2:$V$495&lt;=8)*('CASE MASTER'!$X$2:$X$495&gt;=8))*ROW('CASE MASTER'!$T$2:$T$495))-(ROW('CASE MASTER'!#REF!)-1))))*(INDEX('CASE MASTER'!$X$2:$X$495,(SUMPRODUCT((('CASE MASTER'!$T$2:$T$495=9)*('CASE MASTER'!$U$2:$U$495&lt;=6)*('CASE MASTER'!$W$2:$W$495&gt;=6)*('CASE MASTER'!$V$2:$V$495&lt;=8)*('CASE MASTER'!$X$2:$X$495&gt;=8))*ROW('CASE MASTER'!$T$2:$T$495))-(ROW('CASE MASTER'!#REF!)-1)))-INDEX('CASE MASTER'!$V$2:$V$495,(SUMPRODUCT((('CASE MASTER'!$T$2:$T$495=9)*('CASE MASTER'!$U$2:$U$495&lt;=6)*('CASE MASTER'!$W$2:$W$495&gt;=6)*('CASE MASTER'!$V$2:$V$495&lt;=8)*('CASE MASTER'!$X$2:$X$495&gt;=8))*ROW('CASE MASTER'!$T$2:$T$495))-(ROW('CASE MASTER'!#REF!)-1)))+1)+(8-INDEX('CASE MASTER'!$V$2:$V$495,(SUMPRODUCT((('CASE MASTER'!$T$2:$T$495=9)*('CASE MASTER'!$U$2:$U$495&lt;=6)*('CASE MASTER'!$W$2:$W$495&gt;=6)*('CASE MASTER'!$V$2:$V$495&lt;=8)*('CASE MASTER'!$X$2:$X$495&gt;=8))*ROW('CASE MASTER'!$T$2:$T$495))-(ROW('CASE MASTER'!#REF!)-1))))+1))-1)*50+1,50))&amp;"_"&amp;INDEX('CASE MASTER'!$Q$2:$Q$495,(SUMPRODUCT((('CASE MASTER'!$T$2:$T$495=9)*('CASE MASTER'!$U$2:$U$495&lt;=6)*('CASE MASTER'!$W$2:$W$495&gt;=6)*('CASE MASTER'!$V$2:$V$495&lt;=8)*('CASE MASTER'!$X$2:$X$495&gt;=8))*ROW('CASE MASTER'!$T$2:$T$495))-(ROW('CASE MASTER'!#REF!)-1))),IF(SUMPRODUCT((('CASE MASTER'!$T$2:$T$495=9)*('CASE MASTER'!$AA$2:$AA$495&lt;=6)*('CASE MASTER'!$AC$2:$AC$495&gt;=6)*('CASE MASTER'!$AB$2:$AB$495&lt;=8)*('CASE MASTER'!$AD$2:$AD$495&gt;=8))*ROW('CASE MASTER'!$T$2:$T$495))&gt;0,INDEX('CASE MASTER'!$Y$2:$Y$495,(SUMPRODUCT((('CASE MASTER'!$T$2:$T$495=9)*('CASE MASTER'!$AA$2:$AA$495&lt;=6)*('CASE MASTER'!$AC$2:$AC$495&gt;=6)*('CASE MASTER'!$AB$2:$AB$495&lt;=8)*('CASE MASTER'!$AD$2:$AD$495&gt;=8))*ROW('CASE MASTER'!$T$2:$T$495))-(ROW('CASE MASTER'!#REF!)-1)))&amp;TRIM(MID(SUBSTITUTE(SUBSTITUTE(INDEX('CASE MASTER'!$N$2:$N$495,(SUMPRODUCT((('CASE MASTER'!$T$2:$T$495=9)*('CASE MASTER'!$AA$2:$AA$495&lt;=6)*('CASE MASTER'!$AC$2:$AC$495&gt;=6)*('CASE MASTER'!$AB$2:$AB$495&lt;=8)*('CASE MASTER'!$AD$2:$AD$495&gt;=8))*ROW('CASE MASTER'!$T$2:$T$495))-(ROW('CASE MASTER'!#REF!)-1))),":",","),",",REPT(" ",50)),(((INDEX('CASE MASTER'!$Z$2:$Z$495,(SUMPRODUCT((('CASE MASTER'!$T$2:$T$495=9)*('CASE MASTER'!$AA$2:$AA$495&lt;=6)*('CASE MASTER'!$AC$2:$AC$495&gt;=6)*('CASE MASTER'!$AB$2:$AB$495&lt;=8)*('CASE MASTER'!$AD$2:$AD$495&gt;=8))*ROW('CASE MASTER'!$T$2:$T$495))-(ROW('CASE MASTER'!#REF!)-1)))+((6-INDEX('CASE MASTER'!$AA$2:$AA$495,(SUMPRODUCT((('CASE MASTER'!$T$2:$T$495=9)*('CASE MASTER'!$AA$2:$AA$495&lt;=6)*('CASE MASTER'!$AC$2:$AC$495&gt;=6)*('CASE MASTER'!$AB$2:$AB$495&lt;=8)*('CASE MASTER'!$AD$2:$AD$495&gt;=8))*ROW('CASE MASTER'!$T$2:$T$495))-(ROW('CASE MASTER'!#REF!)-1))))*(INDEX('CASE MASTER'!$AD$2:$AD$495,(SUMPRODUCT((('CASE MASTER'!$T$2:$T$495=9)*('CASE MASTER'!$AA$2:$AA$495&lt;=6)*('CASE MASTER'!$AC$2:$AC$495&gt;=6)*('CASE MASTER'!$AB$2:$AB$495&lt;=8)*('CASE MASTER'!$AD$2:$AD$495&gt;=8))*ROW('CASE MASTER'!$T$2:$T$495))-(ROW('CASE MASTER'!#REF!)-1)))-INDEX('CASE MASTER'!$AB$2:$AB$495,(SUMPRODUCT((('CASE MASTER'!$T$2:$T$495=9)*('CASE MASTER'!$AA$2:$AA$495&lt;=6)*('CASE MASTER'!$AC$2:$AC$495&gt;=6)*('CASE MASTER'!$AB$2:$AB$495&lt;=8)*('CASE MASTER'!$AD$2:$AD$495&gt;=8))*ROW('CASE MASTER'!$T$2:$T$495))-(ROW('CASE MASTER'!#REF!)-1)))+1)+(8-INDEX('CASE MASTER'!$AB$2:$AB$495,(SUMPRODUCT((('CASE MASTER'!$T$2:$T$495=9)*('CASE MASTER'!$AA$2:$AA$495&lt;=6)*('CASE MASTER'!$AC$2:$AC$495&gt;=6)*('CASE MASTER'!$AB$2:$AB$495&lt;=8)*('CASE MASTER'!$AD$2:$AD$495&gt;=8))*ROW('CASE MASTER'!$T$2:$T$495))-(ROW('CASE MASTER'!#REF!)-1))))+1)))-1)*50+1,50))&amp;"_"&amp;INDEX('CASE MASTER'!$Q$2:$Q$495,(SUMPRODUCT((('CASE MASTER'!$T$2:$T$495=9)*('CASE MASTER'!$AA$2:$AA$495&lt;=6)*('CASE MASTER'!$AC$2:$AC$495&gt;=6)*('CASE MASTER'!$AB$2:$AB$495&lt;=8)*('CASE MASTER'!$AD$2:$AD$495&gt;=8))*ROW('CASE MASTER'!$T$2:$T$495))-(ROW('CASE MASTER'!#REF!)-1))),"")),"")</f>
        <v/>
      </c>
      <c r="J120" s="10" t="str">
        <f>IFERROR(IF(SUMPRODUCT((('CASE MASTER'!$T$2:$T$495=9)*('CASE MASTER'!$U$2:$U$495&lt;=6)*('CASE MASTER'!$W$2:$W$495&gt;=6)*('CASE MASTER'!$V$2:$V$495&lt;=9)*('CASE MASTER'!$X$2:$X$495&gt;=9))*ROW('CASE MASTER'!$T$2:$T$495))&gt;0,INDEX('CASE MASTER'!$Y$2:$Y$495,(SUMPRODUCT((('CASE MASTER'!$T$2:$T$495=9)*('CASE MASTER'!$U$2:$U$495&lt;=6)*('CASE MASTER'!$W$2:$W$495&gt;=6)*('CASE MASTER'!$V$2:$V$495&lt;=9)*('CASE MASTER'!$X$2:$X$495&gt;=9))*ROW('CASE MASTER'!$T$2:$T$495))-(ROW('CASE MASTER'!#REF!)-1)))&amp;TRIM(MID(SUBSTITUTE(SUBSTITUTE(INDEX('CASE MASTER'!$N$2:$N$495,(SUMPRODUCT((('CASE MASTER'!$T$2:$T$495=9)*('CASE MASTER'!$U$2:$U$495&lt;=6)*('CASE MASTER'!$W$2:$W$495&gt;=6)*('CASE MASTER'!$V$2:$V$495&lt;=9)*('CASE MASTER'!$X$2:$X$495&gt;=9))*ROW('CASE MASTER'!$T$2:$T$495))-(ROW('CASE MASTER'!#REF!)-1))),":",","),",",REPT(" ",50)),((((6-INDEX('CASE MASTER'!$U$2:$U$495,(SUMPRODUCT((('CASE MASTER'!$T$2:$T$495=9)*('CASE MASTER'!$U$2:$U$495&lt;=6)*('CASE MASTER'!$W$2:$W$495&gt;=6)*('CASE MASTER'!$V$2:$V$495&lt;=9)*('CASE MASTER'!$X$2:$X$495&gt;=9))*ROW('CASE MASTER'!$T$2:$T$495))-(ROW('CASE MASTER'!#REF!)-1))))*(INDEX('CASE MASTER'!$X$2:$X$495,(SUMPRODUCT((('CASE MASTER'!$T$2:$T$495=9)*('CASE MASTER'!$U$2:$U$495&lt;=6)*('CASE MASTER'!$W$2:$W$495&gt;=6)*('CASE MASTER'!$V$2:$V$495&lt;=9)*('CASE MASTER'!$X$2:$X$495&gt;=9))*ROW('CASE MASTER'!$T$2:$T$495))-(ROW('CASE MASTER'!#REF!)-1)))-INDEX('CASE MASTER'!$V$2:$V$495,(SUMPRODUCT((('CASE MASTER'!$T$2:$T$495=9)*('CASE MASTER'!$U$2:$U$495&lt;=6)*('CASE MASTER'!$W$2:$W$495&gt;=6)*('CASE MASTER'!$V$2:$V$495&lt;=9)*('CASE MASTER'!$X$2:$X$495&gt;=9))*ROW('CASE MASTER'!$T$2:$T$495))-(ROW('CASE MASTER'!#REF!)-1)))+1)+(9-INDEX('CASE MASTER'!$V$2:$V$495,(SUMPRODUCT((('CASE MASTER'!$T$2:$T$495=9)*('CASE MASTER'!$U$2:$U$495&lt;=6)*('CASE MASTER'!$W$2:$W$495&gt;=6)*('CASE MASTER'!$V$2:$V$495&lt;=9)*('CASE MASTER'!$X$2:$X$495&gt;=9))*ROW('CASE MASTER'!$T$2:$T$495))-(ROW('CASE MASTER'!#REF!)-1))))+1))-1)*50+1,50))&amp;"_"&amp;INDEX('CASE MASTER'!$Q$2:$Q$495,(SUMPRODUCT((('CASE MASTER'!$T$2:$T$495=9)*('CASE MASTER'!$U$2:$U$495&lt;=6)*('CASE MASTER'!$W$2:$W$495&gt;=6)*('CASE MASTER'!$V$2:$V$495&lt;=9)*('CASE MASTER'!$X$2:$X$495&gt;=9))*ROW('CASE MASTER'!$T$2:$T$495))-(ROW('CASE MASTER'!#REF!)-1))),IF(SUMPRODUCT((('CASE MASTER'!$T$2:$T$495=9)*('CASE MASTER'!$AA$2:$AA$495&lt;=6)*('CASE MASTER'!$AC$2:$AC$495&gt;=6)*('CASE MASTER'!$AB$2:$AB$495&lt;=9)*('CASE MASTER'!$AD$2:$AD$495&gt;=9))*ROW('CASE MASTER'!$T$2:$T$495))&gt;0,INDEX('CASE MASTER'!$Y$2:$Y$495,(SUMPRODUCT((('CASE MASTER'!$T$2:$T$495=9)*('CASE MASTER'!$AA$2:$AA$495&lt;=6)*('CASE MASTER'!$AC$2:$AC$495&gt;=6)*('CASE MASTER'!$AB$2:$AB$495&lt;=9)*('CASE MASTER'!$AD$2:$AD$495&gt;=9))*ROW('CASE MASTER'!$T$2:$T$495))-(ROW('CASE MASTER'!#REF!)-1)))&amp;TRIM(MID(SUBSTITUTE(SUBSTITUTE(INDEX('CASE MASTER'!$N$2:$N$495,(SUMPRODUCT((('CASE MASTER'!$T$2:$T$495=9)*('CASE MASTER'!$AA$2:$AA$495&lt;=6)*('CASE MASTER'!$AC$2:$AC$495&gt;=6)*('CASE MASTER'!$AB$2:$AB$495&lt;=9)*('CASE MASTER'!$AD$2:$AD$495&gt;=9))*ROW('CASE MASTER'!$T$2:$T$495))-(ROW('CASE MASTER'!#REF!)-1))),":",","),",",REPT(" ",50)),(((INDEX('CASE MASTER'!$Z$2:$Z$495,(SUMPRODUCT((('CASE MASTER'!$T$2:$T$495=9)*('CASE MASTER'!$AA$2:$AA$495&lt;=6)*('CASE MASTER'!$AC$2:$AC$495&gt;=6)*('CASE MASTER'!$AB$2:$AB$495&lt;=9)*('CASE MASTER'!$AD$2:$AD$495&gt;=9))*ROW('CASE MASTER'!$T$2:$T$495))-(ROW('CASE MASTER'!#REF!)-1)))+((6-INDEX('CASE MASTER'!$AA$2:$AA$495,(SUMPRODUCT((('CASE MASTER'!$T$2:$T$495=9)*('CASE MASTER'!$AA$2:$AA$495&lt;=6)*('CASE MASTER'!$AC$2:$AC$495&gt;=6)*('CASE MASTER'!$AB$2:$AB$495&lt;=9)*('CASE MASTER'!$AD$2:$AD$495&gt;=9))*ROW('CASE MASTER'!$T$2:$T$495))-(ROW('CASE MASTER'!#REF!)-1))))*(INDEX('CASE MASTER'!$AD$2:$AD$495,(SUMPRODUCT((('CASE MASTER'!$T$2:$T$495=9)*('CASE MASTER'!$AA$2:$AA$495&lt;=6)*('CASE MASTER'!$AC$2:$AC$495&gt;=6)*('CASE MASTER'!$AB$2:$AB$495&lt;=9)*('CASE MASTER'!$AD$2:$AD$495&gt;=9))*ROW('CASE MASTER'!$T$2:$T$495))-(ROW('CASE MASTER'!#REF!)-1)))-INDEX('CASE MASTER'!$AB$2:$AB$495,(SUMPRODUCT((('CASE MASTER'!$T$2:$T$495=9)*('CASE MASTER'!$AA$2:$AA$495&lt;=6)*('CASE MASTER'!$AC$2:$AC$495&gt;=6)*('CASE MASTER'!$AB$2:$AB$495&lt;=9)*('CASE MASTER'!$AD$2:$AD$495&gt;=9))*ROW('CASE MASTER'!$T$2:$T$495))-(ROW('CASE MASTER'!#REF!)-1)))+1)+(9-INDEX('CASE MASTER'!$AB$2:$AB$495,(SUMPRODUCT((('CASE MASTER'!$T$2:$T$495=9)*('CASE MASTER'!$AA$2:$AA$495&lt;=6)*('CASE MASTER'!$AC$2:$AC$495&gt;=6)*('CASE MASTER'!$AB$2:$AB$495&lt;=9)*('CASE MASTER'!$AD$2:$AD$495&gt;=9))*ROW('CASE MASTER'!$T$2:$T$495))-(ROW('CASE MASTER'!#REF!)-1))))+1)))-1)*50+1,50))&amp;"_"&amp;INDEX('CASE MASTER'!$Q$2:$Q$495,(SUMPRODUCT((('CASE MASTER'!$T$2:$T$495=9)*('CASE MASTER'!$AA$2:$AA$495&lt;=6)*('CASE MASTER'!$AC$2:$AC$495&gt;=6)*('CASE MASTER'!$AB$2:$AB$495&lt;=9)*('CASE MASTER'!$AD$2:$AD$495&gt;=9))*ROW('CASE MASTER'!$T$2:$T$495))-(ROW('CASE MASTER'!#REF!)-1))),"")),"")</f>
        <v/>
      </c>
      <c r="K120" s="10" t="str">
        <f>IFERROR(IF(SUMPRODUCT((('CASE MASTER'!$T$2:$T$495=9)*('CASE MASTER'!$U$2:$U$495&lt;=6)*('CASE MASTER'!$W$2:$W$495&gt;=6)*('CASE MASTER'!$V$2:$V$495&lt;=10)*('CASE MASTER'!$X$2:$X$495&gt;=10))*ROW('CASE MASTER'!$T$2:$T$495))&gt;0,INDEX('CASE MASTER'!$Y$2:$Y$495,(SUMPRODUCT((('CASE MASTER'!$T$2:$T$495=9)*('CASE MASTER'!$U$2:$U$495&lt;=6)*('CASE MASTER'!$W$2:$W$495&gt;=6)*('CASE MASTER'!$V$2:$V$495&lt;=10)*('CASE MASTER'!$X$2:$X$495&gt;=10))*ROW('CASE MASTER'!$T$2:$T$495))-(ROW('CASE MASTER'!#REF!)-1)))&amp;TRIM(MID(SUBSTITUTE(SUBSTITUTE(INDEX('CASE MASTER'!$N$2:$N$495,(SUMPRODUCT((('CASE MASTER'!$T$2:$T$495=9)*('CASE MASTER'!$U$2:$U$495&lt;=6)*('CASE MASTER'!$W$2:$W$495&gt;=6)*('CASE MASTER'!$V$2:$V$495&lt;=10)*('CASE MASTER'!$X$2:$X$495&gt;=10))*ROW('CASE MASTER'!$T$2:$T$495))-(ROW('CASE MASTER'!#REF!)-1))),":",","),",",REPT(" ",50)),((((6-INDEX('CASE MASTER'!$U$2:$U$495,(SUMPRODUCT((('CASE MASTER'!$T$2:$T$495=9)*('CASE MASTER'!$U$2:$U$495&lt;=6)*('CASE MASTER'!$W$2:$W$495&gt;=6)*('CASE MASTER'!$V$2:$V$495&lt;=10)*('CASE MASTER'!$X$2:$X$495&gt;=10))*ROW('CASE MASTER'!$T$2:$T$495))-(ROW('CASE MASTER'!#REF!)-1))))*(INDEX('CASE MASTER'!$X$2:$X$495,(SUMPRODUCT((('CASE MASTER'!$T$2:$T$495=9)*('CASE MASTER'!$U$2:$U$495&lt;=6)*('CASE MASTER'!$W$2:$W$495&gt;=6)*('CASE MASTER'!$V$2:$V$495&lt;=10)*('CASE MASTER'!$X$2:$X$495&gt;=10))*ROW('CASE MASTER'!$T$2:$T$495))-(ROW('CASE MASTER'!#REF!)-1)))-INDEX('CASE MASTER'!$V$2:$V$495,(SUMPRODUCT((('CASE MASTER'!$T$2:$T$495=9)*('CASE MASTER'!$U$2:$U$495&lt;=6)*('CASE MASTER'!$W$2:$W$495&gt;=6)*('CASE MASTER'!$V$2:$V$495&lt;=10)*('CASE MASTER'!$X$2:$X$495&gt;=10))*ROW('CASE MASTER'!$T$2:$T$495))-(ROW('CASE MASTER'!#REF!)-1)))+1)+(10-INDEX('CASE MASTER'!$V$2:$V$495,(SUMPRODUCT((('CASE MASTER'!$T$2:$T$495=9)*('CASE MASTER'!$U$2:$U$495&lt;=6)*('CASE MASTER'!$W$2:$W$495&gt;=6)*('CASE MASTER'!$V$2:$V$495&lt;=10)*('CASE MASTER'!$X$2:$X$495&gt;=10))*ROW('CASE MASTER'!$T$2:$T$495))-(ROW('CASE MASTER'!#REF!)-1))))+1))-1)*50+1,50))&amp;"_"&amp;INDEX('CASE MASTER'!$Q$2:$Q$495,(SUMPRODUCT((('CASE MASTER'!$T$2:$T$495=9)*('CASE MASTER'!$U$2:$U$495&lt;=6)*('CASE MASTER'!$W$2:$W$495&gt;=6)*('CASE MASTER'!$V$2:$V$495&lt;=10)*('CASE MASTER'!$X$2:$X$495&gt;=10))*ROW('CASE MASTER'!$T$2:$T$495))-(ROW('CASE MASTER'!#REF!)-1))),IF(SUMPRODUCT((('CASE MASTER'!$T$2:$T$495=9)*('CASE MASTER'!$AA$2:$AA$495&lt;=6)*('CASE MASTER'!$AC$2:$AC$495&gt;=6)*('CASE MASTER'!$AB$2:$AB$495&lt;=10)*('CASE MASTER'!$AD$2:$AD$495&gt;=10))*ROW('CASE MASTER'!$T$2:$T$495))&gt;0,INDEX('CASE MASTER'!$Y$2:$Y$495,(SUMPRODUCT((('CASE MASTER'!$T$2:$T$495=9)*('CASE MASTER'!$AA$2:$AA$495&lt;=6)*('CASE MASTER'!$AC$2:$AC$495&gt;=6)*('CASE MASTER'!$AB$2:$AB$495&lt;=10)*('CASE MASTER'!$AD$2:$AD$495&gt;=10))*ROW('CASE MASTER'!$T$2:$T$495))-(ROW('CASE MASTER'!#REF!)-1)))&amp;TRIM(MID(SUBSTITUTE(SUBSTITUTE(INDEX('CASE MASTER'!$N$2:$N$495,(SUMPRODUCT((('CASE MASTER'!$T$2:$T$495=9)*('CASE MASTER'!$AA$2:$AA$495&lt;=6)*('CASE MASTER'!$AC$2:$AC$495&gt;=6)*('CASE MASTER'!$AB$2:$AB$495&lt;=10)*('CASE MASTER'!$AD$2:$AD$495&gt;=10))*ROW('CASE MASTER'!$T$2:$T$495))-(ROW('CASE MASTER'!#REF!)-1))),":",","),",",REPT(" ",50)),(((INDEX('CASE MASTER'!$Z$2:$Z$495,(SUMPRODUCT((('CASE MASTER'!$T$2:$T$495=9)*('CASE MASTER'!$AA$2:$AA$495&lt;=6)*('CASE MASTER'!$AC$2:$AC$495&gt;=6)*('CASE MASTER'!$AB$2:$AB$495&lt;=10)*('CASE MASTER'!$AD$2:$AD$495&gt;=10))*ROW('CASE MASTER'!$T$2:$T$495))-(ROW('CASE MASTER'!#REF!)-1)))+((6-INDEX('CASE MASTER'!$AA$2:$AA$495,(SUMPRODUCT((('CASE MASTER'!$T$2:$T$495=9)*('CASE MASTER'!$AA$2:$AA$495&lt;=6)*('CASE MASTER'!$AC$2:$AC$495&gt;=6)*('CASE MASTER'!$AB$2:$AB$495&lt;=10)*('CASE MASTER'!$AD$2:$AD$495&gt;=10))*ROW('CASE MASTER'!$T$2:$T$495))-(ROW('CASE MASTER'!#REF!)-1))))*(INDEX('CASE MASTER'!$AD$2:$AD$495,(SUMPRODUCT((('CASE MASTER'!$T$2:$T$495=9)*('CASE MASTER'!$AA$2:$AA$495&lt;=6)*('CASE MASTER'!$AC$2:$AC$495&gt;=6)*('CASE MASTER'!$AB$2:$AB$495&lt;=10)*('CASE MASTER'!$AD$2:$AD$495&gt;=10))*ROW('CASE MASTER'!$T$2:$T$495))-(ROW('CASE MASTER'!#REF!)-1)))-INDEX('CASE MASTER'!$AB$2:$AB$495,(SUMPRODUCT((('CASE MASTER'!$T$2:$T$495=9)*('CASE MASTER'!$AA$2:$AA$495&lt;=6)*('CASE MASTER'!$AC$2:$AC$495&gt;=6)*('CASE MASTER'!$AB$2:$AB$495&lt;=10)*('CASE MASTER'!$AD$2:$AD$495&gt;=10))*ROW('CASE MASTER'!$T$2:$T$495))-(ROW('CASE MASTER'!#REF!)-1)))+1)+(10-INDEX('CASE MASTER'!$AB$2:$AB$495,(SUMPRODUCT((('CASE MASTER'!$T$2:$T$495=9)*('CASE MASTER'!$AA$2:$AA$495&lt;=6)*('CASE MASTER'!$AC$2:$AC$495&gt;=6)*('CASE MASTER'!$AB$2:$AB$495&lt;=10)*('CASE MASTER'!$AD$2:$AD$495&gt;=10))*ROW('CASE MASTER'!$T$2:$T$495))-(ROW('CASE MASTER'!#REF!)-1))))+1)))-1)*50+1,50))&amp;"_"&amp;INDEX('CASE MASTER'!$Q$2:$Q$495,(SUMPRODUCT((('CASE MASTER'!$T$2:$T$495=9)*('CASE MASTER'!$AA$2:$AA$495&lt;=6)*('CASE MASTER'!$AC$2:$AC$495&gt;=6)*('CASE MASTER'!$AB$2:$AB$495&lt;=10)*('CASE MASTER'!$AD$2:$AD$495&gt;=10))*ROW('CASE MASTER'!$T$2:$T$495))-(ROW('CASE MASTER'!#REF!)-1))),"")),"")</f>
        <v/>
      </c>
    </row>
    <row r="121" spans="1:11" ht="15" customHeight="1" x14ac:dyDescent="0.35">
      <c r="A121" s="8" t="s">
        <v>34</v>
      </c>
      <c r="B121" s="10" t="str">
        <f>IFERROR(IF(SUMPRODUCT((('CASE MASTER'!$T$2:$T$495=9)*('CASE MASTER'!$U$2:$U$495&lt;=7)*('CASE MASTER'!$W$2:$W$495&gt;=7)*('CASE MASTER'!$V$2:$V$495&lt;=1)*('CASE MASTER'!$X$2:$X$495&gt;=1))*ROW('CASE MASTER'!$T$2:$T$495))&gt;0,INDEX('CASE MASTER'!$Y$2:$Y$495,(SUMPRODUCT((('CASE MASTER'!$T$2:$T$495=9)*('CASE MASTER'!$U$2:$U$495&lt;=7)*('CASE MASTER'!$W$2:$W$495&gt;=7)*('CASE MASTER'!$V$2:$V$495&lt;=1)*('CASE MASTER'!$X$2:$X$495&gt;=1))*ROW('CASE MASTER'!$T$2:$T$495))-(ROW('CASE MASTER'!#REF!)-1)))&amp;TRIM(MID(SUBSTITUTE(SUBSTITUTE(INDEX('CASE MASTER'!$N$2:$N$495,(SUMPRODUCT((('CASE MASTER'!$T$2:$T$495=9)*('CASE MASTER'!$U$2:$U$495&lt;=7)*('CASE MASTER'!$W$2:$W$495&gt;=7)*('CASE MASTER'!$V$2:$V$495&lt;=1)*('CASE MASTER'!$X$2:$X$495&gt;=1))*ROW('CASE MASTER'!$T$2:$T$495))-(ROW('CASE MASTER'!#REF!)-1))),":",","),",",REPT(" ",50)),((((7-INDEX('CASE MASTER'!$U$2:$U$495,(SUMPRODUCT((('CASE MASTER'!$T$2:$T$495=9)*('CASE MASTER'!$U$2:$U$495&lt;=7)*('CASE MASTER'!$W$2:$W$495&gt;=7)*('CASE MASTER'!$V$2:$V$495&lt;=1)*('CASE MASTER'!$X$2:$X$495&gt;=1))*ROW('CASE MASTER'!$T$2:$T$495))-(ROW('CASE MASTER'!#REF!)-1))))*(INDEX('CASE MASTER'!$X$2:$X$495,(SUMPRODUCT((('CASE MASTER'!$T$2:$T$495=9)*('CASE MASTER'!$U$2:$U$495&lt;=7)*('CASE MASTER'!$W$2:$W$495&gt;=7)*('CASE MASTER'!$V$2:$V$495&lt;=1)*('CASE MASTER'!$X$2:$X$495&gt;=1))*ROW('CASE MASTER'!$T$2:$T$495))-(ROW('CASE MASTER'!#REF!)-1)))-INDEX('CASE MASTER'!$V$2:$V$495,(SUMPRODUCT((('CASE MASTER'!$T$2:$T$495=9)*('CASE MASTER'!$U$2:$U$495&lt;=7)*('CASE MASTER'!$W$2:$W$495&gt;=7)*('CASE MASTER'!$V$2:$V$495&lt;=1)*('CASE MASTER'!$X$2:$X$495&gt;=1))*ROW('CASE MASTER'!$T$2:$T$495))-(ROW('CASE MASTER'!#REF!)-1)))+1)+(1-INDEX('CASE MASTER'!$V$2:$V$495,(SUMPRODUCT((('CASE MASTER'!$T$2:$T$495=9)*('CASE MASTER'!$U$2:$U$495&lt;=7)*('CASE MASTER'!$W$2:$W$495&gt;=7)*('CASE MASTER'!$V$2:$V$495&lt;=1)*('CASE MASTER'!$X$2:$X$495&gt;=1))*ROW('CASE MASTER'!$T$2:$T$495))-(ROW('CASE MASTER'!#REF!)-1))))+1))-1)*50+1,50))&amp;"_"&amp;INDEX('CASE MASTER'!$Q$2:$Q$495,(SUMPRODUCT((('CASE MASTER'!$T$2:$T$495=9)*('CASE MASTER'!$U$2:$U$495&lt;=7)*('CASE MASTER'!$W$2:$W$495&gt;=7)*('CASE MASTER'!$V$2:$V$495&lt;=1)*('CASE MASTER'!$X$2:$X$495&gt;=1))*ROW('CASE MASTER'!$T$2:$T$495))-(ROW('CASE MASTER'!#REF!)-1))),IF(SUMPRODUCT((('CASE MASTER'!$T$2:$T$495=9)*('CASE MASTER'!$AA$2:$AA$495&lt;=7)*('CASE MASTER'!$AC$2:$AC$495&gt;=7)*('CASE MASTER'!$AB$2:$AB$495&lt;=1)*('CASE MASTER'!$AD$2:$AD$495&gt;=1))*ROW('CASE MASTER'!$T$2:$T$495))&gt;0,INDEX('CASE MASTER'!$Y$2:$Y$495,(SUMPRODUCT((('CASE MASTER'!$T$2:$T$495=9)*('CASE MASTER'!$AA$2:$AA$495&lt;=7)*('CASE MASTER'!$AC$2:$AC$495&gt;=7)*('CASE MASTER'!$AB$2:$AB$495&lt;=1)*('CASE MASTER'!$AD$2:$AD$495&gt;=1))*ROW('CASE MASTER'!$T$2:$T$495))-(ROW('CASE MASTER'!#REF!)-1)))&amp;TRIM(MID(SUBSTITUTE(SUBSTITUTE(INDEX('CASE MASTER'!$N$2:$N$495,(SUMPRODUCT((('CASE MASTER'!$T$2:$T$495=9)*('CASE MASTER'!$AA$2:$AA$495&lt;=7)*('CASE MASTER'!$AC$2:$AC$495&gt;=7)*('CASE MASTER'!$AB$2:$AB$495&lt;=1)*('CASE MASTER'!$AD$2:$AD$495&gt;=1))*ROW('CASE MASTER'!$T$2:$T$495))-(ROW('CASE MASTER'!#REF!)-1))),":",","),",",REPT(" ",50)),(((INDEX('CASE MASTER'!$Z$2:$Z$495,(SUMPRODUCT((('CASE MASTER'!$T$2:$T$495=9)*('CASE MASTER'!$AA$2:$AA$495&lt;=7)*('CASE MASTER'!$AC$2:$AC$495&gt;=7)*('CASE MASTER'!$AB$2:$AB$495&lt;=1)*('CASE MASTER'!$AD$2:$AD$495&gt;=1))*ROW('CASE MASTER'!$T$2:$T$495))-(ROW('CASE MASTER'!#REF!)-1)))+((7-INDEX('CASE MASTER'!$AA$2:$AA$495,(SUMPRODUCT((('CASE MASTER'!$T$2:$T$495=9)*('CASE MASTER'!$AA$2:$AA$495&lt;=7)*('CASE MASTER'!$AC$2:$AC$495&gt;=7)*('CASE MASTER'!$AB$2:$AB$495&lt;=1)*('CASE MASTER'!$AD$2:$AD$495&gt;=1))*ROW('CASE MASTER'!$T$2:$T$495))-(ROW('CASE MASTER'!#REF!)-1))))*(INDEX('CASE MASTER'!$AD$2:$AD$495,(SUMPRODUCT((('CASE MASTER'!$T$2:$T$495=9)*('CASE MASTER'!$AA$2:$AA$495&lt;=7)*('CASE MASTER'!$AC$2:$AC$495&gt;=7)*('CASE MASTER'!$AB$2:$AB$495&lt;=1)*('CASE MASTER'!$AD$2:$AD$495&gt;=1))*ROW('CASE MASTER'!$T$2:$T$495))-(ROW('CASE MASTER'!#REF!)-1)))-INDEX('CASE MASTER'!$AB$2:$AB$495,(SUMPRODUCT((('CASE MASTER'!$T$2:$T$495=9)*('CASE MASTER'!$AA$2:$AA$495&lt;=7)*('CASE MASTER'!$AC$2:$AC$495&gt;=7)*('CASE MASTER'!$AB$2:$AB$495&lt;=1)*('CASE MASTER'!$AD$2:$AD$495&gt;=1))*ROW('CASE MASTER'!$T$2:$T$495))-(ROW('CASE MASTER'!#REF!)-1)))+1)+(1-INDEX('CASE MASTER'!$AB$2:$AB$495,(SUMPRODUCT((('CASE MASTER'!$T$2:$T$495=9)*('CASE MASTER'!$AA$2:$AA$495&lt;=7)*('CASE MASTER'!$AC$2:$AC$495&gt;=7)*('CASE MASTER'!$AB$2:$AB$495&lt;=1)*('CASE MASTER'!$AD$2:$AD$495&gt;=1))*ROW('CASE MASTER'!$T$2:$T$495))-(ROW('CASE MASTER'!#REF!)-1))))+1)))-1)*50+1,50))&amp;"_"&amp;INDEX('CASE MASTER'!$Q$2:$Q$495,(SUMPRODUCT((('CASE MASTER'!$T$2:$T$495=9)*('CASE MASTER'!$AA$2:$AA$495&lt;=7)*('CASE MASTER'!$AC$2:$AC$495&gt;=7)*('CASE MASTER'!$AB$2:$AB$495&lt;=1)*('CASE MASTER'!$AD$2:$AD$495&gt;=1))*ROW('CASE MASTER'!$T$2:$T$495))-(ROW('CASE MASTER'!#REF!)-1))),"")),"")</f>
        <v/>
      </c>
      <c r="C121" s="10" t="str">
        <f>IFERROR(IF(SUMPRODUCT((('CASE MASTER'!$T$2:$T$495=9)*('CASE MASTER'!$U$2:$U$495&lt;=7)*('CASE MASTER'!$W$2:$W$495&gt;=7)*('CASE MASTER'!$V$2:$V$495&lt;=2)*('CASE MASTER'!$X$2:$X$495&gt;=2))*ROW('CASE MASTER'!$T$2:$T$495))&gt;0,INDEX('CASE MASTER'!$Y$2:$Y$495,(SUMPRODUCT((('CASE MASTER'!$T$2:$T$495=9)*('CASE MASTER'!$U$2:$U$495&lt;=7)*('CASE MASTER'!$W$2:$W$495&gt;=7)*('CASE MASTER'!$V$2:$V$495&lt;=2)*('CASE MASTER'!$X$2:$X$495&gt;=2))*ROW('CASE MASTER'!$T$2:$T$495))-(ROW('CASE MASTER'!#REF!)-1)))&amp;TRIM(MID(SUBSTITUTE(SUBSTITUTE(INDEX('CASE MASTER'!$N$2:$N$495,(SUMPRODUCT((('CASE MASTER'!$T$2:$T$495=9)*('CASE MASTER'!$U$2:$U$495&lt;=7)*('CASE MASTER'!$W$2:$W$495&gt;=7)*('CASE MASTER'!$V$2:$V$495&lt;=2)*('CASE MASTER'!$X$2:$X$495&gt;=2))*ROW('CASE MASTER'!$T$2:$T$495))-(ROW('CASE MASTER'!#REF!)-1))),":",","),",",REPT(" ",50)),((((7-INDEX('CASE MASTER'!$U$2:$U$495,(SUMPRODUCT((('CASE MASTER'!$T$2:$T$495=9)*('CASE MASTER'!$U$2:$U$495&lt;=7)*('CASE MASTER'!$W$2:$W$495&gt;=7)*('CASE MASTER'!$V$2:$V$495&lt;=2)*('CASE MASTER'!$X$2:$X$495&gt;=2))*ROW('CASE MASTER'!$T$2:$T$495))-(ROW('CASE MASTER'!#REF!)-1))))*(INDEX('CASE MASTER'!$X$2:$X$495,(SUMPRODUCT((('CASE MASTER'!$T$2:$T$495=9)*('CASE MASTER'!$U$2:$U$495&lt;=7)*('CASE MASTER'!$W$2:$W$495&gt;=7)*('CASE MASTER'!$V$2:$V$495&lt;=2)*('CASE MASTER'!$X$2:$X$495&gt;=2))*ROW('CASE MASTER'!$T$2:$T$495))-(ROW('CASE MASTER'!#REF!)-1)))-INDEX('CASE MASTER'!$V$2:$V$495,(SUMPRODUCT((('CASE MASTER'!$T$2:$T$495=9)*('CASE MASTER'!$U$2:$U$495&lt;=7)*('CASE MASTER'!$W$2:$W$495&gt;=7)*('CASE MASTER'!$V$2:$V$495&lt;=2)*('CASE MASTER'!$X$2:$X$495&gt;=2))*ROW('CASE MASTER'!$T$2:$T$495))-(ROW('CASE MASTER'!#REF!)-1)))+1)+(2-INDEX('CASE MASTER'!$V$2:$V$495,(SUMPRODUCT((('CASE MASTER'!$T$2:$T$495=9)*('CASE MASTER'!$U$2:$U$495&lt;=7)*('CASE MASTER'!$W$2:$W$495&gt;=7)*('CASE MASTER'!$V$2:$V$495&lt;=2)*('CASE MASTER'!$X$2:$X$495&gt;=2))*ROW('CASE MASTER'!$T$2:$T$495))-(ROW('CASE MASTER'!#REF!)-1))))+1))-1)*50+1,50))&amp;"_"&amp;INDEX('CASE MASTER'!$Q$2:$Q$495,(SUMPRODUCT((('CASE MASTER'!$T$2:$T$495=9)*('CASE MASTER'!$U$2:$U$495&lt;=7)*('CASE MASTER'!$W$2:$W$495&gt;=7)*('CASE MASTER'!$V$2:$V$495&lt;=2)*('CASE MASTER'!$X$2:$X$495&gt;=2))*ROW('CASE MASTER'!$T$2:$T$495))-(ROW('CASE MASTER'!#REF!)-1))),IF(SUMPRODUCT((('CASE MASTER'!$T$2:$T$495=9)*('CASE MASTER'!$AA$2:$AA$495&lt;=7)*('CASE MASTER'!$AC$2:$AC$495&gt;=7)*('CASE MASTER'!$AB$2:$AB$495&lt;=2)*('CASE MASTER'!$AD$2:$AD$495&gt;=2))*ROW('CASE MASTER'!$T$2:$T$495))&gt;0,INDEX('CASE MASTER'!$Y$2:$Y$495,(SUMPRODUCT((('CASE MASTER'!$T$2:$T$495=9)*('CASE MASTER'!$AA$2:$AA$495&lt;=7)*('CASE MASTER'!$AC$2:$AC$495&gt;=7)*('CASE MASTER'!$AB$2:$AB$495&lt;=2)*('CASE MASTER'!$AD$2:$AD$495&gt;=2))*ROW('CASE MASTER'!$T$2:$T$495))-(ROW('CASE MASTER'!#REF!)-1)))&amp;TRIM(MID(SUBSTITUTE(SUBSTITUTE(INDEX('CASE MASTER'!$N$2:$N$495,(SUMPRODUCT((('CASE MASTER'!$T$2:$T$495=9)*('CASE MASTER'!$AA$2:$AA$495&lt;=7)*('CASE MASTER'!$AC$2:$AC$495&gt;=7)*('CASE MASTER'!$AB$2:$AB$495&lt;=2)*('CASE MASTER'!$AD$2:$AD$495&gt;=2))*ROW('CASE MASTER'!$T$2:$T$495))-(ROW('CASE MASTER'!#REF!)-1))),":",","),",",REPT(" ",50)),(((INDEX('CASE MASTER'!$Z$2:$Z$495,(SUMPRODUCT((('CASE MASTER'!$T$2:$T$495=9)*('CASE MASTER'!$AA$2:$AA$495&lt;=7)*('CASE MASTER'!$AC$2:$AC$495&gt;=7)*('CASE MASTER'!$AB$2:$AB$495&lt;=2)*('CASE MASTER'!$AD$2:$AD$495&gt;=2))*ROW('CASE MASTER'!$T$2:$T$495))-(ROW('CASE MASTER'!#REF!)-1)))+((7-INDEX('CASE MASTER'!$AA$2:$AA$495,(SUMPRODUCT((('CASE MASTER'!$T$2:$T$495=9)*('CASE MASTER'!$AA$2:$AA$495&lt;=7)*('CASE MASTER'!$AC$2:$AC$495&gt;=7)*('CASE MASTER'!$AB$2:$AB$495&lt;=2)*('CASE MASTER'!$AD$2:$AD$495&gt;=2))*ROW('CASE MASTER'!$T$2:$T$495))-(ROW('CASE MASTER'!#REF!)-1))))*(INDEX('CASE MASTER'!$AD$2:$AD$495,(SUMPRODUCT((('CASE MASTER'!$T$2:$T$495=9)*('CASE MASTER'!$AA$2:$AA$495&lt;=7)*('CASE MASTER'!$AC$2:$AC$495&gt;=7)*('CASE MASTER'!$AB$2:$AB$495&lt;=2)*('CASE MASTER'!$AD$2:$AD$495&gt;=2))*ROW('CASE MASTER'!$T$2:$T$495))-(ROW('CASE MASTER'!#REF!)-1)))-INDEX('CASE MASTER'!$AB$2:$AB$495,(SUMPRODUCT((('CASE MASTER'!$T$2:$T$495=9)*('CASE MASTER'!$AA$2:$AA$495&lt;=7)*('CASE MASTER'!$AC$2:$AC$495&gt;=7)*('CASE MASTER'!$AB$2:$AB$495&lt;=2)*('CASE MASTER'!$AD$2:$AD$495&gt;=2))*ROW('CASE MASTER'!$T$2:$T$495))-(ROW('CASE MASTER'!#REF!)-1)))+1)+(2-INDEX('CASE MASTER'!$AB$2:$AB$495,(SUMPRODUCT((('CASE MASTER'!$T$2:$T$495=9)*('CASE MASTER'!$AA$2:$AA$495&lt;=7)*('CASE MASTER'!$AC$2:$AC$495&gt;=7)*('CASE MASTER'!$AB$2:$AB$495&lt;=2)*('CASE MASTER'!$AD$2:$AD$495&gt;=2))*ROW('CASE MASTER'!$T$2:$T$495))-(ROW('CASE MASTER'!#REF!)-1))))+1)))-1)*50+1,50))&amp;"_"&amp;INDEX('CASE MASTER'!$Q$2:$Q$495,(SUMPRODUCT((('CASE MASTER'!$T$2:$T$495=9)*('CASE MASTER'!$AA$2:$AA$495&lt;=7)*('CASE MASTER'!$AC$2:$AC$495&gt;=7)*('CASE MASTER'!$AB$2:$AB$495&lt;=2)*('CASE MASTER'!$AD$2:$AD$495&gt;=2))*ROW('CASE MASTER'!$T$2:$T$495))-(ROW('CASE MASTER'!#REF!)-1))),"")),"")</f>
        <v/>
      </c>
      <c r="D121" s="10" t="str">
        <f>IFERROR(IF(SUMPRODUCT((('CASE MASTER'!$T$2:$T$495=9)*('CASE MASTER'!$U$2:$U$495&lt;=7)*('CASE MASTER'!$W$2:$W$495&gt;=7)*('CASE MASTER'!$V$2:$V$495&lt;=3)*('CASE MASTER'!$X$2:$X$495&gt;=3))*ROW('CASE MASTER'!$T$2:$T$495))&gt;0,INDEX('CASE MASTER'!$Y$2:$Y$495,(SUMPRODUCT((('CASE MASTER'!$T$2:$T$495=9)*('CASE MASTER'!$U$2:$U$495&lt;=7)*('CASE MASTER'!$W$2:$W$495&gt;=7)*('CASE MASTER'!$V$2:$V$495&lt;=3)*('CASE MASTER'!$X$2:$X$495&gt;=3))*ROW('CASE MASTER'!$T$2:$T$495))-(ROW('CASE MASTER'!#REF!)-1)))&amp;TRIM(MID(SUBSTITUTE(SUBSTITUTE(INDEX('CASE MASTER'!$N$2:$N$495,(SUMPRODUCT((('CASE MASTER'!$T$2:$T$495=9)*('CASE MASTER'!$U$2:$U$495&lt;=7)*('CASE MASTER'!$W$2:$W$495&gt;=7)*('CASE MASTER'!$V$2:$V$495&lt;=3)*('CASE MASTER'!$X$2:$X$495&gt;=3))*ROW('CASE MASTER'!$T$2:$T$495))-(ROW('CASE MASTER'!#REF!)-1))),":",","),",",REPT(" ",50)),((((7-INDEX('CASE MASTER'!$U$2:$U$495,(SUMPRODUCT((('CASE MASTER'!$T$2:$T$495=9)*('CASE MASTER'!$U$2:$U$495&lt;=7)*('CASE MASTER'!$W$2:$W$495&gt;=7)*('CASE MASTER'!$V$2:$V$495&lt;=3)*('CASE MASTER'!$X$2:$X$495&gt;=3))*ROW('CASE MASTER'!$T$2:$T$495))-(ROW('CASE MASTER'!#REF!)-1))))*(INDEX('CASE MASTER'!$X$2:$X$495,(SUMPRODUCT((('CASE MASTER'!$T$2:$T$495=9)*('CASE MASTER'!$U$2:$U$495&lt;=7)*('CASE MASTER'!$W$2:$W$495&gt;=7)*('CASE MASTER'!$V$2:$V$495&lt;=3)*('CASE MASTER'!$X$2:$X$495&gt;=3))*ROW('CASE MASTER'!$T$2:$T$495))-(ROW('CASE MASTER'!#REF!)-1)))-INDEX('CASE MASTER'!$V$2:$V$495,(SUMPRODUCT((('CASE MASTER'!$T$2:$T$495=9)*('CASE MASTER'!$U$2:$U$495&lt;=7)*('CASE MASTER'!$W$2:$W$495&gt;=7)*('CASE MASTER'!$V$2:$V$495&lt;=3)*('CASE MASTER'!$X$2:$X$495&gt;=3))*ROW('CASE MASTER'!$T$2:$T$495))-(ROW('CASE MASTER'!#REF!)-1)))+1)+(3-INDEX('CASE MASTER'!$V$2:$V$495,(SUMPRODUCT((('CASE MASTER'!$T$2:$T$495=9)*('CASE MASTER'!$U$2:$U$495&lt;=7)*('CASE MASTER'!$W$2:$W$495&gt;=7)*('CASE MASTER'!$V$2:$V$495&lt;=3)*('CASE MASTER'!$X$2:$X$495&gt;=3))*ROW('CASE MASTER'!$T$2:$T$495))-(ROW('CASE MASTER'!#REF!)-1))))+1))-1)*50+1,50))&amp;"_"&amp;INDEX('CASE MASTER'!$Q$2:$Q$495,(SUMPRODUCT((('CASE MASTER'!$T$2:$T$495=9)*('CASE MASTER'!$U$2:$U$495&lt;=7)*('CASE MASTER'!$W$2:$W$495&gt;=7)*('CASE MASTER'!$V$2:$V$495&lt;=3)*('CASE MASTER'!$X$2:$X$495&gt;=3))*ROW('CASE MASTER'!$T$2:$T$495))-(ROW('CASE MASTER'!#REF!)-1))),IF(SUMPRODUCT((('CASE MASTER'!$T$2:$T$495=9)*('CASE MASTER'!$AA$2:$AA$495&lt;=7)*('CASE MASTER'!$AC$2:$AC$495&gt;=7)*('CASE MASTER'!$AB$2:$AB$495&lt;=3)*('CASE MASTER'!$AD$2:$AD$495&gt;=3))*ROW('CASE MASTER'!$T$2:$T$495))&gt;0,INDEX('CASE MASTER'!$Y$2:$Y$495,(SUMPRODUCT((('CASE MASTER'!$T$2:$T$495=9)*('CASE MASTER'!$AA$2:$AA$495&lt;=7)*('CASE MASTER'!$AC$2:$AC$495&gt;=7)*('CASE MASTER'!$AB$2:$AB$495&lt;=3)*('CASE MASTER'!$AD$2:$AD$495&gt;=3))*ROW('CASE MASTER'!$T$2:$T$495))-(ROW('CASE MASTER'!#REF!)-1)))&amp;TRIM(MID(SUBSTITUTE(SUBSTITUTE(INDEX('CASE MASTER'!$N$2:$N$495,(SUMPRODUCT((('CASE MASTER'!$T$2:$T$495=9)*('CASE MASTER'!$AA$2:$AA$495&lt;=7)*('CASE MASTER'!$AC$2:$AC$495&gt;=7)*('CASE MASTER'!$AB$2:$AB$495&lt;=3)*('CASE MASTER'!$AD$2:$AD$495&gt;=3))*ROW('CASE MASTER'!$T$2:$T$495))-(ROW('CASE MASTER'!#REF!)-1))),":",","),",",REPT(" ",50)),(((INDEX('CASE MASTER'!$Z$2:$Z$495,(SUMPRODUCT((('CASE MASTER'!$T$2:$T$495=9)*('CASE MASTER'!$AA$2:$AA$495&lt;=7)*('CASE MASTER'!$AC$2:$AC$495&gt;=7)*('CASE MASTER'!$AB$2:$AB$495&lt;=3)*('CASE MASTER'!$AD$2:$AD$495&gt;=3))*ROW('CASE MASTER'!$T$2:$T$495))-(ROW('CASE MASTER'!#REF!)-1)))+((7-INDEX('CASE MASTER'!$AA$2:$AA$495,(SUMPRODUCT((('CASE MASTER'!$T$2:$T$495=9)*('CASE MASTER'!$AA$2:$AA$495&lt;=7)*('CASE MASTER'!$AC$2:$AC$495&gt;=7)*('CASE MASTER'!$AB$2:$AB$495&lt;=3)*('CASE MASTER'!$AD$2:$AD$495&gt;=3))*ROW('CASE MASTER'!$T$2:$T$495))-(ROW('CASE MASTER'!#REF!)-1))))*(INDEX('CASE MASTER'!$AD$2:$AD$495,(SUMPRODUCT((('CASE MASTER'!$T$2:$T$495=9)*('CASE MASTER'!$AA$2:$AA$495&lt;=7)*('CASE MASTER'!$AC$2:$AC$495&gt;=7)*('CASE MASTER'!$AB$2:$AB$495&lt;=3)*('CASE MASTER'!$AD$2:$AD$495&gt;=3))*ROW('CASE MASTER'!$T$2:$T$495))-(ROW('CASE MASTER'!#REF!)-1)))-INDEX('CASE MASTER'!$AB$2:$AB$495,(SUMPRODUCT((('CASE MASTER'!$T$2:$T$495=9)*('CASE MASTER'!$AA$2:$AA$495&lt;=7)*('CASE MASTER'!$AC$2:$AC$495&gt;=7)*('CASE MASTER'!$AB$2:$AB$495&lt;=3)*('CASE MASTER'!$AD$2:$AD$495&gt;=3))*ROW('CASE MASTER'!$T$2:$T$495))-(ROW('CASE MASTER'!#REF!)-1)))+1)+(3-INDEX('CASE MASTER'!$AB$2:$AB$495,(SUMPRODUCT((('CASE MASTER'!$T$2:$T$495=9)*('CASE MASTER'!$AA$2:$AA$495&lt;=7)*('CASE MASTER'!$AC$2:$AC$495&gt;=7)*('CASE MASTER'!$AB$2:$AB$495&lt;=3)*('CASE MASTER'!$AD$2:$AD$495&gt;=3))*ROW('CASE MASTER'!$T$2:$T$495))-(ROW('CASE MASTER'!#REF!)-1))))+1)))-1)*50+1,50))&amp;"_"&amp;INDEX('CASE MASTER'!$Q$2:$Q$495,(SUMPRODUCT((('CASE MASTER'!$T$2:$T$495=9)*('CASE MASTER'!$AA$2:$AA$495&lt;=7)*('CASE MASTER'!$AC$2:$AC$495&gt;=7)*('CASE MASTER'!$AB$2:$AB$495&lt;=3)*('CASE MASTER'!$AD$2:$AD$495&gt;=3))*ROW('CASE MASTER'!$T$2:$T$495))-(ROW('CASE MASTER'!#REF!)-1))),"")),"")</f>
        <v/>
      </c>
      <c r="E121" s="10" t="str">
        <f>IFERROR(IF(SUMPRODUCT((('CASE MASTER'!$T$2:$T$495=9)*('CASE MASTER'!$U$2:$U$495&lt;=7)*('CASE MASTER'!$W$2:$W$495&gt;=7)*('CASE MASTER'!$V$2:$V$495&lt;=4)*('CASE MASTER'!$X$2:$X$495&gt;=4))*ROW('CASE MASTER'!$T$2:$T$495))&gt;0,INDEX('CASE MASTER'!$Y$2:$Y$495,(SUMPRODUCT((('CASE MASTER'!$T$2:$T$495=9)*('CASE MASTER'!$U$2:$U$495&lt;=7)*('CASE MASTER'!$W$2:$W$495&gt;=7)*('CASE MASTER'!$V$2:$V$495&lt;=4)*('CASE MASTER'!$X$2:$X$495&gt;=4))*ROW('CASE MASTER'!$T$2:$T$495))-(ROW('CASE MASTER'!#REF!)-1)))&amp;TRIM(MID(SUBSTITUTE(SUBSTITUTE(INDEX('CASE MASTER'!$N$2:$N$495,(SUMPRODUCT((('CASE MASTER'!$T$2:$T$495=9)*('CASE MASTER'!$U$2:$U$495&lt;=7)*('CASE MASTER'!$W$2:$W$495&gt;=7)*('CASE MASTER'!$V$2:$V$495&lt;=4)*('CASE MASTER'!$X$2:$X$495&gt;=4))*ROW('CASE MASTER'!$T$2:$T$495))-(ROW('CASE MASTER'!#REF!)-1))),":",","),",",REPT(" ",50)),((((7-INDEX('CASE MASTER'!$U$2:$U$495,(SUMPRODUCT((('CASE MASTER'!$T$2:$T$495=9)*('CASE MASTER'!$U$2:$U$495&lt;=7)*('CASE MASTER'!$W$2:$W$495&gt;=7)*('CASE MASTER'!$V$2:$V$495&lt;=4)*('CASE MASTER'!$X$2:$X$495&gt;=4))*ROW('CASE MASTER'!$T$2:$T$495))-(ROW('CASE MASTER'!#REF!)-1))))*(INDEX('CASE MASTER'!$X$2:$X$495,(SUMPRODUCT((('CASE MASTER'!$T$2:$T$495=9)*('CASE MASTER'!$U$2:$U$495&lt;=7)*('CASE MASTER'!$W$2:$W$495&gt;=7)*('CASE MASTER'!$V$2:$V$495&lt;=4)*('CASE MASTER'!$X$2:$X$495&gt;=4))*ROW('CASE MASTER'!$T$2:$T$495))-(ROW('CASE MASTER'!#REF!)-1)))-INDEX('CASE MASTER'!$V$2:$V$495,(SUMPRODUCT((('CASE MASTER'!$T$2:$T$495=9)*('CASE MASTER'!$U$2:$U$495&lt;=7)*('CASE MASTER'!$W$2:$W$495&gt;=7)*('CASE MASTER'!$V$2:$V$495&lt;=4)*('CASE MASTER'!$X$2:$X$495&gt;=4))*ROW('CASE MASTER'!$T$2:$T$495))-(ROW('CASE MASTER'!#REF!)-1)))+1)+(4-INDEX('CASE MASTER'!$V$2:$V$495,(SUMPRODUCT((('CASE MASTER'!$T$2:$T$495=9)*('CASE MASTER'!$U$2:$U$495&lt;=7)*('CASE MASTER'!$W$2:$W$495&gt;=7)*('CASE MASTER'!$V$2:$V$495&lt;=4)*('CASE MASTER'!$X$2:$X$495&gt;=4))*ROW('CASE MASTER'!$T$2:$T$495))-(ROW('CASE MASTER'!#REF!)-1))))+1))-1)*50+1,50))&amp;"_"&amp;INDEX('CASE MASTER'!$Q$2:$Q$495,(SUMPRODUCT((('CASE MASTER'!$T$2:$T$495=9)*('CASE MASTER'!$U$2:$U$495&lt;=7)*('CASE MASTER'!$W$2:$W$495&gt;=7)*('CASE MASTER'!$V$2:$V$495&lt;=4)*('CASE MASTER'!$X$2:$X$495&gt;=4))*ROW('CASE MASTER'!$T$2:$T$495))-(ROW('CASE MASTER'!#REF!)-1))),IF(SUMPRODUCT((('CASE MASTER'!$T$2:$T$495=9)*('CASE MASTER'!$AA$2:$AA$495&lt;=7)*('CASE MASTER'!$AC$2:$AC$495&gt;=7)*('CASE MASTER'!$AB$2:$AB$495&lt;=4)*('CASE MASTER'!$AD$2:$AD$495&gt;=4))*ROW('CASE MASTER'!$T$2:$T$495))&gt;0,INDEX('CASE MASTER'!$Y$2:$Y$495,(SUMPRODUCT((('CASE MASTER'!$T$2:$T$495=9)*('CASE MASTER'!$AA$2:$AA$495&lt;=7)*('CASE MASTER'!$AC$2:$AC$495&gt;=7)*('CASE MASTER'!$AB$2:$AB$495&lt;=4)*('CASE MASTER'!$AD$2:$AD$495&gt;=4))*ROW('CASE MASTER'!$T$2:$T$495))-(ROW('CASE MASTER'!#REF!)-1)))&amp;TRIM(MID(SUBSTITUTE(SUBSTITUTE(INDEX('CASE MASTER'!$N$2:$N$495,(SUMPRODUCT((('CASE MASTER'!$T$2:$T$495=9)*('CASE MASTER'!$AA$2:$AA$495&lt;=7)*('CASE MASTER'!$AC$2:$AC$495&gt;=7)*('CASE MASTER'!$AB$2:$AB$495&lt;=4)*('CASE MASTER'!$AD$2:$AD$495&gt;=4))*ROW('CASE MASTER'!$T$2:$T$495))-(ROW('CASE MASTER'!#REF!)-1))),":",","),",",REPT(" ",50)),(((INDEX('CASE MASTER'!$Z$2:$Z$495,(SUMPRODUCT((('CASE MASTER'!$T$2:$T$495=9)*('CASE MASTER'!$AA$2:$AA$495&lt;=7)*('CASE MASTER'!$AC$2:$AC$495&gt;=7)*('CASE MASTER'!$AB$2:$AB$495&lt;=4)*('CASE MASTER'!$AD$2:$AD$495&gt;=4))*ROW('CASE MASTER'!$T$2:$T$495))-(ROW('CASE MASTER'!#REF!)-1)))+((7-INDEX('CASE MASTER'!$AA$2:$AA$495,(SUMPRODUCT((('CASE MASTER'!$T$2:$T$495=9)*('CASE MASTER'!$AA$2:$AA$495&lt;=7)*('CASE MASTER'!$AC$2:$AC$495&gt;=7)*('CASE MASTER'!$AB$2:$AB$495&lt;=4)*('CASE MASTER'!$AD$2:$AD$495&gt;=4))*ROW('CASE MASTER'!$T$2:$T$495))-(ROW('CASE MASTER'!#REF!)-1))))*(INDEX('CASE MASTER'!$AD$2:$AD$495,(SUMPRODUCT((('CASE MASTER'!$T$2:$T$495=9)*('CASE MASTER'!$AA$2:$AA$495&lt;=7)*('CASE MASTER'!$AC$2:$AC$495&gt;=7)*('CASE MASTER'!$AB$2:$AB$495&lt;=4)*('CASE MASTER'!$AD$2:$AD$495&gt;=4))*ROW('CASE MASTER'!$T$2:$T$495))-(ROW('CASE MASTER'!#REF!)-1)))-INDEX('CASE MASTER'!$AB$2:$AB$495,(SUMPRODUCT((('CASE MASTER'!$T$2:$T$495=9)*('CASE MASTER'!$AA$2:$AA$495&lt;=7)*('CASE MASTER'!$AC$2:$AC$495&gt;=7)*('CASE MASTER'!$AB$2:$AB$495&lt;=4)*('CASE MASTER'!$AD$2:$AD$495&gt;=4))*ROW('CASE MASTER'!$T$2:$T$495))-(ROW('CASE MASTER'!#REF!)-1)))+1)+(4-INDEX('CASE MASTER'!$AB$2:$AB$495,(SUMPRODUCT((('CASE MASTER'!$T$2:$T$495=9)*('CASE MASTER'!$AA$2:$AA$495&lt;=7)*('CASE MASTER'!$AC$2:$AC$495&gt;=7)*('CASE MASTER'!$AB$2:$AB$495&lt;=4)*('CASE MASTER'!$AD$2:$AD$495&gt;=4))*ROW('CASE MASTER'!$T$2:$T$495))-(ROW('CASE MASTER'!#REF!)-1))))+1)))-1)*50+1,50))&amp;"_"&amp;INDEX('CASE MASTER'!$Q$2:$Q$495,(SUMPRODUCT((('CASE MASTER'!$T$2:$T$495=9)*('CASE MASTER'!$AA$2:$AA$495&lt;=7)*('CASE MASTER'!$AC$2:$AC$495&gt;=7)*('CASE MASTER'!$AB$2:$AB$495&lt;=4)*('CASE MASTER'!$AD$2:$AD$495&gt;=4))*ROW('CASE MASTER'!$T$2:$T$495))-(ROW('CASE MASTER'!#REF!)-1))),"")),"")</f>
        <v/>
      </c>
      <c r="F121" s="10" t="str">
        <f>IFERROR(IF(SUMPRODUCT((('CASE MASTER'!$T$2:$T$495=9)*('CASE MASTER'!$U$2:$U$495&lt;=7)*('CASE MASTER'!$W$2:$W$495&gt;=7)*('CASE MASTER'!$V$2:$V$495&lt;=5)*('CASE MASTER'!$X$2:$X$495&gt;=5))*ROW('CASE MASTER'!$T$2:$T$495))&gt;0,INDEX('CASE MASTER'!$Y$2:$Y$495,(SUMPRODUCT((('CASE MASTER'!$T$2:$T$495=9)*('CASE MASTER'!$U$2:$U$495&lt;=7)*('CASE MASTER'!$W$2:$W$495&gt;=7)*('CASE MASTER'!$V$2:$V$495&lt;=5)*('CASE MASTER'!$X$2:$X$495&gt;=5))*ROW('CASE MASTER'!$T$2:$T$495))-(ROW('CASE MASTER'!#REF!)-1)))&amp;TRIM(MID(SUBSTITUTE(SUBSTITUTE(INDEX('CASE MASTER'!$N$2:$N$495,(SUMPRODUCT((('CASE MASTER'!$T$2:$T$495=9)*('CASE MASTER'!$U$2:$U$495&lt;=7)*('CASE MASTER'!$W$2:$W$495&gt;=7)*('CASE MASTER'!$V$2:$V$495&lt;=5)*('CASE MASTER'!$X$2:$X$495&gt;=5))*ROW('CASE MASTER'!$T$2:$T$495))-(ROW('CASE MASTER'!#REF!)-1))),":",","),",",REPT(" ",50)),((((7-INDEX('CASE MASTER'!$U$2:$U$495,(SUMPRODUCT((('CASE MASTER'!$T$2:$T$495=9)*('CASE MASTER'!$U$2:$U$495&lt;=7)*('CASE MASTER'!$W$2:$W$495&gt;=7)*('CASE MASTER'!$V$2:$V$495&lt;=5)*('CASE MASTER'!$X$2:$X$495&gt;=5))*ROW('CASE MASTER'!$T$2:$T$495))-(ROW('CASE MASTER'!#REF!)-1))))*(INDEX('CASE MASTER'!$X$2:$X$495,(SUMPRODUCT((('CASE MASTER'!$T$2:$T$495=9)*('CASE MASTER'!$U$2:$U$495&lt;=7)*('CASE MASTER'!$W$2:$W$495&gt;=7)*('CASE MASTER'!$V$2:$V$495&lt;=5)*('CASE MASTER'!$X$2:$X$495&gt;=5))*ROW('CASE MASTER'!$T$2:$T$495))-(ROW('CASE MASTER'!#REF!)-1)))-INDEX('CASE MASTER'!$V$2:$V$495,(SUMPRODUCT((('CASE MASTER'!$T$2:$T$495=9)*('CASE MASTER'!$U$2:$U$495&lt;=7)*('CASE MASTER'!$W$2:$W$495&gt;=7)*('CASE MASTER'!$V$2:$V$495&lt;=5)*('CASE MASTER'!$X$2:$X$495&gt;=5))*ROW('CASE MASTER'!$T$2:$T$495))-(ROW('CASE MASTER'!#REF!)-1)))+1)+(5-INDEX('CASE MASTER'!$V$2:$V$495,(SUMPRODUCT((('CASE MASTER'!$T$2:$T$495=9)*('CASE MASTER'!$U$2:$U$495&lt;=7)*('CASE MASTER'!$W$2:$W$495&gt;=7)*('CASE MASTER'!$V$2:$V$495&lt;=5)*('CASE MASTER'!$X$2:$X$495&gt;=5))*ROW('CASE MASTER'!$T$2:$T$495))-(ROW('CASE MASTER'!#REF!)-1))))+1))-1)*50+1,50))&amp;"_"&amp;INDEX('CASE MASTER'!$Q$2:$Q$495,(SUMPRODUCT((('CASE MASTER'!$T$2:$T$495=9)*('CASE MASTER'!$U$2:$U$495&lt;=7)*('CASE MASTER'!$W$2:$W$495&gt;=7)*('CASE MASTER'!$V$2:$V$495&lt;=5)*('CASE MASTER'!$X$2:$X$495&gt;=5))*ROW('CASE MASTER'!$T$2:$T$495))-(ROW('CASE MASTER'!#REF!)-1))),IF(SUMPRODUCT((('CASE MASTER'!$T$2:$T$495=9)*('CASE MASTER'!$AA$2:$AA$495&lt;=7)*('CASE MASTER'!$AC$2:$AC$495&gt;=7)*('CASE MASTER'!$AB$2:$AB$495&lt;=5)*('CASE MASTER'!$AD$2:$AD$495&gt;=5))*ROW('CASE MASTER'!$T$2:$T$495))&gt;0,INDEX('CASE MASTER'!$Y$2:$Y$495,(SUMPRODUCT((('CASE MASTER'!$T$2:$T$495=9)*('CASE MASTER'!$AA$2:$AA$495&lt;=7)*('CASE MASTER'!$AC$2:$AC$495&gt;=7)*('CASE MASTER'!$AB$2:$AB$495&lt;=5)*('CASE MASTER'!$AD$2:$AD$495&gt;=5))*ROW('CASE MASTER'!$T$2:$T$495))-(ROW('CASE MASTER'!#REF!)-1)))&amp;TRIM(MID(SUBSTITUTE(SUBSTITUTE(INDEX('CASE MASTER'!$N$2:$N$495,(SUMPRODUCT((('CASE MASTER'!$T$2:$T$495=9)*('CASE MASTER'!$AA$2:$AA$495&lt;=7)*('CASE MASTER'!$AC$2:$AC$495&gt;=7)*('CASE MASTER'!$AB$2:$AB$495&lt;=5)*('CASE MASTER'!$AD$2:$AD$495&gt;=5))*ROW('CASE MASTER'!$T$2:$T$495))-(ROW('CASE MASTER'!#REF!)-1))),":",","),",",REPT(" ",50)),(((INDEX('CASE MASTER'!$Z$2:$Z$495,(SUMPRODUCT((('CASE MASTER'!$T$2:$T$495=9)*('CASE MASTER'!$AA$2:$AA$495&lt;=7)*('CASE MASTER'!$AC$2:$AC$495&gt;=7)*('CASE MASTER'!$AB$2:$AB$495&lt;=5)*('CASE MASTER'!$AD$2:$AD$495&gt;=5))*ROW('CASE MASTER'!$T$2:$T$495))-(ROW('CASE MASTER'!#REF!)-1)))+((7-INDEX('CASE MASTER'!$AA$2:$AA$495,(SUMPRODUCT((('CASE MASTER'!$T$2:$T$495=9)*('CASE MASTER'!$AA$2:$AA$495&lt;=7)*('CASE MASTER'!$AC$2:$AC$495&gt;=7)*('CASE MASTER'!$AB$2:$AB$495&lt;=5)*('CASE MASTER'!$AD$2:$AD$495&gt;=5))*ROW('CASE MASTER'!$T$2:$T$495))-(ROW('CASE MASTER'!#REF!)-1))))*(INDEX('CASE MASTER'!$AD$2:$AD$495,(SUMPRODUCT((('CASE MASTER'!$T$2:$T$495=9)*('CASE MASTER'!$AA$2:$AA$495&lt;=7)*('CASE MASTER'!$AC$2:$AC$495&gt;=7)*('CASE MASTER'!$AB$2:$AB$495&lt;=5)*('CASE MASTER'!$AD$2:$AD$495&gt;=5))*ROW('CASE MASTER'!$T$2:$T$495))-(ROW('CASE MASTER'!#REF!)-1)))-INDEX('CASE MASTER'!$AB$2:$AB$495,(SUMPRODUCT((('CASE MASTER'!$T$2:$T$495=9)*('CASE MASTER'!$AA$2:$AA$495&lt;=7)*('CASE MASTER'!$AC$2:$AC$495&gt;=7)*('CASE MASTER'!$AB$2:$AB$495&lt;=5)*('CASE MASTER'!$AD$2:$AD$495&gt;=5))*ROW('CASE MASTER'!$T$2:$T$495))-(ROW('CASE MASTER'!#REF!)-1)))+1)+(5-INDEX('CASE MASTER'!$AB$2:$AB$495,(SUMPRODUCT((('CASE MASTER'!$T$2:$T$495=9)*('CASE MASTER'!$AA$2:$AA$495&lt;=7)*('CASE MASTER'!$AC$2:$AC$495&gt;=7)*('CASE MASTER'!$AB$2:$AB$495&lt;=5)*('CASE MASTER'!$AD$2:$AD$495&gt;=5))*ROW('CASE MASTER'!$T$2:$T$495))-(ROW('CASE MASTER'!#REF!)-1))))+1)))-1)*50+1,50))&amp;"_"&amp;INDEX('CASE MASTER'!$Q$2:$Q$495,(SUMPRODUCT((('CASE MASTER'!$T$2:$T$495=9)*('CASE MASTER'!$AA$2:$AA$495&lt;=7)*('CASE MASTER'!$AC$2:$AC$495&gt;=7)*('CASE MASTER'!$AB$2:$AB$495&lt;=5)*('CASE MASTER'!$AD$2:$AD$495&gt;=5))*ROW('CASE MASTER'!$T$2:$T$495))-(ROW('CASE MASTER'!#REF!)-1))),"")),"")</f>
        <v/>
      </c>
      <c r="G121" s="10" t="str">
        <f>IFERROR(IF(SUMPRODUCT((('CASE MASTER'!$T$2:$T$495=9)*('CASE MASTER'!$U$2:$U$495&lt;=7)*('CASE MASTER'!$W$2:$W$495&gt;=7)*('CASE MASTER'!$V$2:$V$495&lt;=6)*('CASE MASTER'!$X$2:$X$495&gt;=6))*ROW('CASE MASTER'!$T$2:$T$495))&gt;0,INDEX('CASE MASTER'!$Y$2:$Y$495,(SUMPRODUCT((('CASE MASTER'!$T$2:$T$495=9)*('CASE MASTER'!$U$2:$U$495&lt;=7)*('CASE MASTER'!$W$2:$W$495&gt;=7)*('CASE MASTER'!$V$2:$V$495&lt;=6)*('CASE MASTER'!$X$2:$X$495&gt;=6))*ROW('CASE MASTER'!$T$2:$T$495))-(ROW('CASE MASTER'!#REF!)-1)))&amp;TRIM(MID(SUBSTITUTE(SUBSTITUTE(INDEX('CASE MASTER'!$N$2:$N$495,(SUMPRODUCT((('CASE MASTER'!$T$2:$T$495=9)*('CASE MASTER'!$U$2:$U$495&lt;=7)*('CASE MASTER'!$W$2:$W$495&gt;=7)*('CASE MASTER'!$V$2:$V$495&lt;=6)*('CASE MASTER'!$X$2:$X$495&gt;=6))*ROW('CASE MASTER'!$T$2:$T$495))-(ROW('CASE MASTER'!#REF!)-1))),":",","),",",REPT(" ",50)),((((7-INDEX('CASE MASTER'!$U$2:$U$495,(SUMPRODUCT((('CASE MASTER'!$T$2:$T$495=9)*('CASE MASTER'!$U$2:$U$495&lt;=7)*('CASE MASTER'!$W$2:$W$495&gt;=7)*('CASE MASTER'!$V$2:$V$495&lt;=6)*('CASE MASTER'!$X$2:$X$495&gt;=6))*ROW('CASE MASTER'!$T$2:$T$495))-(ROW('CASE MASTER'!#REF!)-1))))*(INDEX('CASE MASTER'!$X$2:$X$495,(SUMPRODUCT((('CASE MASTER'!$T$2:$T$495=9)*('CASE MASTER'!$U$2:$U$495&lt;=7)*('CASE MASTER'!$W$2:$W$495&gt;=7)*('CASE MASTER'!$V$2:$V$495&lt;=6)*('CASE MASTER'!$X$2:$X$495&gt;=6))*ROW('CASE MASTER'!$T$2:$T$495))-(ROW('CASE MASTER'!#REF!)-1)))-INDEX('CASE MASTER'!$V$2:$V$495,(SUMPRODUCT((('CASE MASTER'!$T$2:$T$495=9)*('CASE MASTER'!$U$2:$U$495&lt;=7)*('CASE MASTER'!$W$2:$W$495&gt;=7)*('CASE MASTER'!$V$2:$V$495&lt;=6)*('CASE MASTER'!$X$2:$X$495&gt;=6))*ROW('CASE MASTER'!$T$2:$T$495))-(ROW('CASE MASTER'!#REF!)-1)))+1)+(6-INDEX('CASE MASTER'!$V$2:$V$495,(SUMPRODUCT((('CASE MASTER'!$T$2:$T$495=9)*('CASE MASTER'!$U$2:$U$495&lt;=7)*('CASE MASTER'!$W$2:$W$495&gt;=7)*('CASE MASTER'!$V$2:$V$495&lt;=6)*('CASE MASTER'!$X$2:$X$495&gt;=6))*ROW('CASE MASTER'!$T$2:$T$495))-(ROW('CASE MASTER'!#REF!)-1))))+1))-1)*50+1,50))&amp;"_"&amp;INDEX('CASE MASTER'!$Q$2:$Q$495,(SUMPRODUCT((('CASE MASTER'!$T$2:$T$495=9)*('CASE MASTER'!$U$2:$U$495&lt;=7)*('CASE MASTER'!$W$2:$W$495&gt;=7)*('CASE MASTER'!$V$2:$V$495&lt;=6)*('CASE MASTER'!$X$2:$X$495&gt;=6))*ROW('CASE MASTER'!$T$2:$T$495))-(ROW('CASE MASTER'!#REF!)-1))),IF(SUMPRODUCT((('CASE MASTER'!$T$2:$T$495=9)*('CASE MASTER'!$AA$2:$AA$495&lt;=7)*('CASE MASTER'!$AC$2:$AC$495&gt;=7)*('CASE MASTER'!$AB$2:$AB$495&lt;=6)*('CASE MASTER'!$AD$2:$AD$495&gt;=6))*ROW('CASE MASTER'!$T$2:$T$495))&gt;0,INDEX('CASE MASTER'!$Y$2:$Y$495,(SUMPRODUCT((('CASE MASTER'!$T$2:$T$495=9)*('CASE MASTER'!$AA$2:$AA$495&lt;=7)*('CASE MASTER'!$AC$2:$AC$495&gt;=7)*('CASE MASTER'!$AB$2:$AB$495&lt;=6)*('CASE MASTER'!$AD$2:$AD$495&gt;=6))*ROW('CASE MASTER'!$T$2:$T$495))-(ROW('CASE MASTER'!#REF!)-1)))&amp;TRIM(MID(SUBSTITUTE(SUBSTITUTE(INDEX('CASE MASTER'!$N$2:$N$495,(SUMPRODUCT((('CASE MASTER'!$T$2:$T$495=9)*('CASE MASTER'!$AA$2:$AA$495&lt;=7)*('CASE MASTER'!$AC$2:$AC$495&gt;=7)*('CASE MASTER'!$AB$2:$AB$495&lt;=6)*('CASE MASTER'!$AD$2:$AD$495&gt;=6))*ROW('CASE MASTER'!$T$2:$T$495))-(ROW('CASE MASTER'!#REF!)-1))),":",","),",",REPT(" ",50)),(((INDEX('CASE MASTER'!$Z$2:$Z$495,(SUMPRODUCT((('CASE MASTER'!$T$2:$T$495=9)*('CASE MASTER'!$AA$2:$AA$495&lt;=7)*('CASE MASTER'!$AC$2:$AC$495&gt;=7)*('CASE MASTER'!$AB$2:$AB$495&lt;=6)*('CASE MASTER'!$AD$2:$AD$495&gt;=6))*ROW('CASE MASTER'!$T$2:$T$495))-(ROW('CASE MASTER'!#REF!)-1)))+((7-INDEX('CASE MASTER'!$AA$2:$AA$495,(SUMPRODUCT((('CASE MASTER'!$T$2:$T$495=9)*('CASE MASTER'!$AA$2:$AA$495&lt;=7)*('CASE MASTER'!$AC$2:$AC$495&gt;=7)*('CASE MASTER'!$AB$2:$AB$495&lt;=6)*('CASE MASTER'!$AD$2:$AD$495&gt;=6))*ROW('CASE MASTER'!$T$2:$T$495))-(ROW('CASE MASTER'!#REF!)-1))))*(INDEX('CASE MASTER'!$AD$2:$AD$495,(SUMPRODUCT((('CASE MASTER'!$T$2:$T$495=9)*('CASE MASTER'!$AA$2:$AA$495&lt;=7)*('CASE MASTER'!$AC$2:$AC$495&gt;=7)*('CASE MASTER'!$AB$2:$AB$495&lt;=6)*('CASE MASTER'!$AD$2:$AD$495&gt;=6))*ROW('CASE MASTER'!$T$2:$T$495))-(ROW('CASE MASTER'!#REF!)-1)))-INDEX('CASE MASTER'!$AB$2:$AB$495,(SUMPRODUCT((('CASE MASTER'!$T$2:$T$495=9)*('CASE MASTER'!$AA$2:$AA$495&lt;=7)*('CASE MASTER'!$AC$2:$AC$495&gt;=7)*('CASE MASTER'!$AB$2:$AB$495&lt;=6)*('CASE MASTER'!$AD$2:$AD$495&gt;=6))*ROW('CASE MASTER'!$T$2:$T$495))-(ROW('CASE MASTER'!#REF!)-1)))+1)+(6-INDEX('CASE MASTER'!$AB$2:$AB$495,(SUMPRODUCT((('CASE MASTER'!$T$2:$T$495=9)*('CASE MASTER'!$AA$2:$AA$495&lt;=7)*('CASE MASTER'!$AC$2:$AC$495&gt;=7)*('CASE MASTER'!$AB$2:$AB$495&lt;=6)*('CASE MASTER'!$AD$2:$AD$495&gt;=6))*ROW('CASE MASTER'!$T$2:$T$495))-(ROW('CASE MASTER'!#REF!)-1))))+1)))-1)*50+1,50))&amp;"_"&amp;INDEX('CASE MASTER'!$Q$2:$Q$495,(SUMPRODUCT((('CASE MASTER'!$T$2:$T$495=9)*('CASE MASTER'!$AA$2:$AA$495&lt;=7)*('CASE MASTER'!$AC$2:$AC$495&gt;=7)*('CASE MASTER'!$AB$2:$AB$495&lt;=6)*('CASE MASTER'!$AD$2:$AD$495&gt;=6))*ROW('CASE MASTER'!$T$2:$T$495))-(ROW('CASE MASTER'!#REF!)-1))),"")),"")</f>
        <v/>
      </c>
      <c r="H121" s="10" t="str">
        <f>IFERROR(IF(SUMPRODUCT((('CASE MASTER'!$T$2:$T$495=9)*('CASE MASTER'!$U$2:$U$495&lt;=7)*('CASE MASTER'!$W$2:$W$495&gt;=7)*('CASE MASTER'!$V$2:$V$495&lt;=7)*('CASE MASTER'!$X$2:$X$495&gt;=7))*ROW('CASE MASTER'!$T$2:$T$495))&gt;0,INDEX('CASE MASTER'!$Y$2:$Y$495,(SUMPRODUCT((('CASE MASTER'!$T$2:$T$495=9)*('CASE MASTER'!$U$2:$U$495&lt;=7)*('CASE MASTER'!$W$2:$W$495&gt;=7)*('CASE MASTER'!$V$2:$V$495&lt;=7)*('CASE MASTER'!$X$2:$X$495&gt;=7))*ROW('CASE MASTER'!$T$2:$T$495))-(ROW('CASE MASTER'!#REF!)-1)))&amp;TRIM(MID(SUBSTITUTE(SUBSTITUTE(INDEX('CASE MASTER'!$N$2:$N$495,(SUMPRODUCT((('CASE MASTER'!$T$2:$T$495=9)*('CASE MASTER'!$U$2:$U$495&lt;=7)*('CASE MASTER'!$W$2:$W$495&gt;=7)*('CASE MASTER'!$V$2:$V$495&lt;=7)*('CASE MASTER'!$X$2:$X$495&gt;=7))*ROW('CASE MASTER'!$T$2:$T$495))-(ROW('CASE MASTER'!#REF!)-1))),":",","),",",REPT(" ",50)),((((7-INDEX('CASE MASTER'!$U$2:$U$495,(SUMPRODUCT((('CASE MASTER'!$T$2:$T$495=9)*('CASE MASTER'!$U$2:$U$495&lt;=7)*('CASE MASTER'!$W$2:$W$495&gt;=7)*('CASE MASTER'!$V$2:$V$495&lt;=7)*('CASE MASTER'!$X$2:$X$495&gt;=7))*ROW('CASE MASTER'!$T$2:$T$495))-(ROW('CASE MASTER'!#REF!)-1))))*(INDEX('CASE MASTER'!$X$2:$X$495,(SUMPRODUCT((('CASE MASTER'!$T$2:$T$495=9)*('CASE MASTER'!$U$2:$U$495&lt;=7)*('CASE MASTER'!$W$2:$W$495&gt;=7)*('CASE MASTER'!$V$2:$V$495&lt;=7)*('CASE MASTER'!$X$2:$X$495&gt;=7))*ROW('CASE MASTER'!$T$2:$T$495))-(ROW('CASE MASTER'!#REF!)-1)))-INDEX('CASE MASTER'!$V$2:$V$495,(SUMPRODUCT((('CASE MASTER'!$T$2:$T$495=9)*('CASE MASTER'!$U$2:$U$495&lt;=7)*('CASE MASTER'!$W$2:$W$495&gt;=7)*('CASE MASTER'!$V$2:$V$495&lt;=7)*('CASE MASTER'!$X$2:$X$495&gt;=7))*ROW('CASE MASTER'!$T$2:$T$495))-(ROW('CASE MASTER'!#REF!)-1)))+1)+(7-INDEX('CASE MASTER'!$V$2:$V$495,(SUMPRODUCT((('CASE MASTER'!$T$2:$T$495=9)*('CASE MASTER'!$U$2:$U$495&lt;=7)*('CASE MASTER'!$W$2:$W$495&gt;=7)*('CASE MASTER'!$V$2:$V$495&lt;=7)*('CASE MASTER'!$X$2:$X$495&gt;=7))*ROW('CASE MASTER'!$T$2:$T$495))-(ROW('CASE MASTER'!#REF!)-1))))+1))-1)*50+1,50))&amp;"_"&amp;INDEX('CASE MASTER'!$Q$2:$Q$495,(SUMPRODUCT((('CASE MASTER'!$T$2:$T$495=9)*('CASE MASTER'!$U$2:$U$495&lt;=7)*('CASE MASTER'!$W$2:$W$495&gt;=7)*('CASE MASTER'!$V$2:$V$495&lt;=7)*('CASE MASTER'!$X$2:$X$495&gt;=7))*ROW('CASE MASTER'!$T$2:$T$495))-(ROW('CASE MASTER'!#REF!)-1))),IF(SUMPRODUCT((('CASE MASTER'!$T$2:$T$495=9)*('CASE MASTER'!$AA$2:$AA$495&lt;=7)*('CASE MASTER'!$AC$2:$AC$495&gt;=7)*('CASE MASTER'!$AB$2:$AB$495&lt;=7)*('CASE MASTER'!$AD$2:$AD$495&gt;=7))*ROW('CASE MASTER'!$T$2:$T$495))&gt;0,INDEX('CASE MASTER'!$Y$2:$Y$495,(SUMPRODUCT((('CASE MASTER'!$T$2:$T$495=9)*('CASE MASTER'!$AA$2:$AA$495&lt;=7)*('CASE MASTER'!$AC$2:$AC$495&gt;=7)*('CASE MASTER'!$AB$2:$AB$495&lt;=7)*('CASE MASTER'!$AD$2:$AD$495&gt;=7))*ROW('CASE MASTER'!$T$2:$T$495))-(ROW('CASE MASTER'!#REF!)-1)))&amp;TRIM(MID(SUBSTITUTE(SUBSTITUTE(INDEX('CASE MASTER'!$N$2:$N$495,(SUMPRODUCT((('CASE MASTER'!$T$2:$T$495=9)*('CASE MASTER'!$AA$2:$AA$495&lt;=7)*('CASE MASTER'!$AC$2:$AC$495&gt;=7)*('CASE MASTER'!$AB$2:$AB$495&lt;=7)*('CASE MASTER'!$AD$2:$AD$495&gt;=7))*ROW('CASE MASTER'!$T$2:$T$495))-(ROW('CASE MASTER'!#REF!)-1))),":",","),",",REPT(" ",50)),(((INDEX('CASE MASTER'!$Z$2:$Z$495,(SUMPRODUCT((('CASE MASTER'!$T$2:$T$495=9)*('CASE MASTER'!$AA$2:$AA$495&lt;=7)*('CASE MASTER'!$AC$2:$AC$495&gt;=7)*('CASE MASTER'!$AB$2:$AB$495&lt;=7)*('CASE MASTER'!$AD$2:$AD$495&gt;=7))*ROW('CASE MASTER'!$T$2:$T$495))-(ROW('CASE MASTER'!#REF!)-1)))+((7-INDEX('CASE MASTER'!$AA$2:$AA$495,(SUMPRODUCT((('CASE MASTER'!$T$2:$T$495=9)*('CASE MASTER'!$AA$2:$AA$495&lt;=7)*('CASE MASTER'!$AC$2:$AC$495&gt;=7)*('CASE MASTER'!$AB$2:$AB$495&lt;=7)*('CASE MASTER'!$AD$2:$AD$495&gt;=7))*ROW('CASE MASTER'!$T$2:$T$495))-(ROW('CASE MASTER'!#REF!)-1))))*(INDEX('CASE MASTER'!$AD$2:$AD$495,(SUMPRODUCT((('CASE MASTER'!$T$2:$T$495=9)*('CASE MASTER'!$AA$2:$AA$495&lt;=7)*('CASE MASTER'!$AC$2:$AC$495&gt;=7)*('CASE MASTER'!$AB$2:$AB$495&lt;=7)*('CASE MASTER'!$AD$2:$AD$495&gt;=7))*ROW('CASE MASTER'!$T$2:$T$495))-(ROW('CASE MASTER'!#REF!)-1)))-INDEX('CASE MASTER'!$AB$2:$AB$495,(SUMPRODUCT((('CASE MASTER'!$T$2:$T$495=9)*('CASE MASTER'!$AA$2:$AA$495&lt;=7)*('CASE MASTER'!$AC$2:$AC$495&gt;=7)*('CASE MASTER'!$AB$2:$AB$495&lt;=7)*('CASE MASTER'!$AD$2:$AD$495&gt;=7))*ROW('CASE MASTER'!$T$2:$T$495))-(ROW('CASE MASTER'!#REF!)-1)))+1)+(7-INDEX('CASE MASTER'!$AB$2:$AB$495,(SUMPRODUCT((('CASE MASTER'!$T$2:$T$495=9)*('CASE MASTER'!$AA$2:$AA$495&lt;=7)*('CASE MASTER'!$AC$2:$AC$495&gt;=7)*('CASE MASTER'!$AB$2:$AB$495&lt;=7)*('CASE MASTER'!$AD$2:$AD$495&gt;=7))*ROW('CASE MASTER'!$T$2:$T$495))-(ROW('CASE MASTER'!#REF!)-1))))+1)))-1)*50+1,50))&amp;"_"&amp;INDEX('CASE MASTER'!$Q$2:$Q$495,(SUMPRODUCT((('CASE MASTER'!$T$2:$T$495=9)*('CASE MASTER'!$AA$2:$AA$495&lt;=7)*('CASE MASTER'!$AC$2:$AC$495&gt;=7)*('CASE MASTER'!$AB$2:$AB$495&lt;=7)*('CASE MASTER'!$AD$2:$AD$495&gt;=7))*ROW('CASE MASTER'!$T$2:$T$495))-(ROW('CASE MASTER'!#REF!)-1))),"")),"")</f>
        <v/>
      </c>
      <c r="I121" s="10" t="str">
        <f>IFERROR(IF(SUMPRODUCT((('CASE MASTER'!$T$2:$T$495=9)*('CASE MASTER'!$U$2:$U$495&lt;=7)*('CASE MASTER'!$W$2:$W$495&gt;=7)*('CASE MASTER'!$V$2:$V$495&lt;=8)*('CASE MASTER'!$X$2:$X$495&gt;=8))*ROW('CASE MASTER'!$T$2:$T$495))&gt;0,INDEX('CASE MASTER'!$Y$2:$Y$495,(SUMPRODUCT((('CASE MASTER'!$T$2:$T$495=9)*('CASE MASTER'!$U$2:$U$495&lt;=7)*('CASE MASTER'!$W$2:$W$495&gt;=7)*('CASE MASTER'!$V$2:$V$495&lt;=8)*('CASE MASTER'!$X$2:$X$495&gt;=8))*ROW('CASE MASTER'!$T$2:$T$495))-(ROW('CASE MASTER'!#REF!)-1)))&amp;TRIM(MID(SUBSTITUTE(SUBSTITUTE(INDEX('CASE MASTER'!$N$2:$N$495,(SUMPRODUCT((('CASE MASTER'!$T$2:$T$495=9)*('CASE MASTER'!$U$2:$U$495&lt;=7)*('CASE MASTER'!$W$2:$W$495&gt;=7)*('CASE MASTER'!$V$2:$V$495&lt;=8)*('CASE MASTER'!$X$2:$X$495&gt;=8))*ROW('CASE MASTER'!$T$2:$T$495))-(ROW('CASE MASTER'!#REF!)-1))),":",","),",",REPT(" ",50)),((((7-INDEX('CASE MASTER'!$U$2:$U$495,(SUMPRODUCT((('CASE MASTER'!$T$2:$T$495=9)*('CASE MASTER'!$U$2:$U$495&lt;=7)*('CASE MASTER'!$W$2:$W$495&gt;=7)*('CASE MASTER'!$V$2:$V$495&lt;=8)*('CASE MASTER'!$X$2:$X$495&gt;=8))*ROW('CASE MASTER'!$T$2:$T$495))-(ROW('CASE MASTER'!#REF!)-1))))*(INDEX('CASE MASTER'!$X$2:$X$495,(SUMPRODUCT((('CASE MASTER'!$T$2:$T$495=9)*('CASE MASTER'!$U$2:$U$495&lt;=7)*('CASE MASTER'!$W$2:$W$495&gt;=7)*('CASE MASTER'!$V$2:$V$495&lt;=8)*('CASE MASTER'!$X$2:$X$495&gt;=8))*ROW('CASE MASTER'!$T$2:$T$495))-(ROW('CASE MASTER'!#REF!)-1)))-INDEX('CASE MASTER'!$V$2:$V$495,(SUMPRODUCT((('CASE MASTER'!$T$2:$T$495=9)*('CASE MASTER'!$U$2:$U$495&lt;=7)*('CASE MASTER'!$W$2:$W$495&gt;=7)*('CASE MASTER'!$V$2:$V$495&lt;=8)*('CASE MASTER'!$X$2:$X$495&gt;=8))*ROW('CASE MASTER'!$T$2:$T$495))-(ROW('CASE MASTER'!#REF!)-1)))+1)+(8-INDEX('CASE MASTER'!$V$2:$V$495,(SUMPRODUCT((('CASE MASTER'!$T$2:$T$495=9)*('CASE MASTER'!$U$2:$U$495&lt;=7)*('CASE MASTER'!$W$2:$W$495&gt;=7)*('CASE MASTER'!$V$2:$V$495&lt;=8)*('CASE MASTER'!$X$2:$X$495&gt;=8))*ROW('CASE MASTER'!$T$2:$T$495))-(ROW('CASE MASTER'!#REF!)-1))))+1))-1)*50+1,50))&amp;"_"&amp;INDEX('CASE MASTER'!$Q$2:$Q$495,(SUMPRODUCT((('CASE MASTER'!$T$2:$T$495=9)*('CASE MASTER'!$U$2:$U$495&lt;=7)*('CASE MASTER'!$W$2:$W$495&gt;=7)*('CASE MASTER'!$V$2:$V$495&lt;=8)*('CASE MASTER'!$X$2:$X$495&gt;=8))*ROW('CASE MASTER'!$T$2:$T$495))-(ROW('CASE MASTER'!#REF!)-1))),IF(SUMPRODUCT((('CASE MASTER'!$T$2:$T$495=9)*('CASE MASTER'!$AA$2:$AA$495&lt;=7)*('CASE MASTER'!$AC$2:$AC$495&gt;=7)*('CASE MASTER'!$AB$2:$AB$495&lt;=8)*('CASE MASTER'!$AD$2:$AD$495&gt;=8))*ROW('CASE MASTER'!$T$2:$T$495))&gt;0,INDEX('CASE MASTER'!$Y$2:$Y$495,(SUMPRODUCT((('CASE MASTER'!$T$2:$T$495=9)*('CASE MASTER'!$AA$2:$AA$495&lt;=7)*('CASE MASTER'!$AC$2:$AC$495&gt;=7)*('CASE MASTER'!$AB$2:$AB$495&lt;=8)*('CASE MASTER'!$AD$2:$AD$495&gt;=8))*ROW('CASE MASTER'!$T$2:$T$495))-(ROW('CASE MASTER'!#REF!)-1)))&amp;TRIM(MID(SUBSTITUTE(SUBSTITUTE(INDEX('CASE MASTER'!$N$2:$N$495,(SUMPRODUCT((('CASE MASTER'!$T$2:$T$495=9)*('CASE MASTER'!$AA$2:$AA$495&lt;=7)*('CASE MASTER'!$AC$2:$AC$495&gt;=7)*('CASE MASTER'!$AB$2:$AB$495&lt;=8)*('CASE MASTER'!$AD$2:$AD$495&gt;=8))*ROW('CASE MASTER'!$T$2:$T$495))-(ROW('CASE MASTER'!#REF!)-1))),":",","),",",REPT(" ",50)),(((INDEX('CASE MASTER'!$Z$2:$Z$495,(SUMPRODUCT((('CASE MASTER'!$T$2:$T$495=9)*('CASE MASTER'!$AA$2:$AA$495&lt;=7)*('CASE MASTER'!$AC$2:$AC$495&gt;=7)*('CASE MASTER'!$AB$2:$AB$495&lt;=8)*('CASE MASTER'!$AD$2:$AD$495&gt;=8))*ROW('CASE MASTER'!$T$2:$T$495))-(ROW('CASE MASTER'!#REF!)-1)))+((7-INDEX('CASE MASTER'!$AA$2:$AA$495,(SUMPRODUCT((('CASE MASTER'!$T$2:$T$495=9)*('CASE MASTER'!$AA$2:$AA$495&lt;=7)*('CASE MASTER'!$AC$2:$AC$495&gt;=7)*('CASE MASTER'!$AB$2:$AB$495&lt;=8)*('CASE MASTER'!$AD$2:$AD$495&gt;=8))*ROW('CASE MASTER'!$T$2:$T$495))-(ROW('CASE MASTER'!#REF!)-1))))*(INDEX('CASE MASTER'!$AD$2:$AD$495,(SUMPRODUCT((('CASE MASTER'!$T$2:$T$495=9)*('CASE MASTER'!$AA$2:$AA$495&lt;=7)*('CASE MASTER'!$AC$2:$AC$495&gt;=7)*('CASE MASTER'!$AB$2:$AB$495&lt;=8)*('CASE MASTER'!$AD$2:$AD$495&gt;=8))*ROW('CASE MASTER'!$T$2:$T$495))-(ROW('CASE MASTER'!#REF!)-1)))-INDEX('CASE MASTER'!$AB$2:$AB$495,(SUMPRODUCT((('CASE MASTER'!$T$2:$T$495=9)*('CASE MASTER'!$AA$2:$AA$495&lt;=7)*('CASE MASTER'!$AC$2:$AC$495&gt;=7)*('CASE MASTER'!$AB$2:$AB$495&lt;=8)*('CASE MASTER'!$AD$2:$AD$495&gt;=8))*ROW('CASE MASTER'!$T$2:$T$495))-(ROW('CASE MASTER'!#REF!)-1)))+1)+(8-INDEX('CASE MASTER'!$AB$2:$AB$495,(SUMPRODUCT((('CASE MASTER'!$T$2:$T$495=9)*('CASE MASTER'!$AA$2:$AA$495&lt;=7)*('CASE MASTER'!$AC$2:$AC$495&gt;=7)*('CASE MASTER'!$AB$2:$AB$495&lt;=8)*('CASE MASTER'!$AD$2:$AD$495&gt;=8))*ROW('CASE MASTER'!$T$2:$T$495))-(ROW('CASE MASTER'!#REF!)-1))))+1)))-1)*50+1,50))&amp;"_"&amp;INDEX('CASE MASTER'!$Q$2:$Q$495,(SUMPRODUCT((('CASE MASTER'!$T$2:$T$495=9)*('CASE MASTER'!$AA$2:$AA$495&lt;=7)*('CASE MASTER'!$AC$2:$AC$495&gt;=7)*('CASE MASTER'!$AB$2:$AB$495&lt;=8)*('CASE MASTER'!$AD$2:$AD$495&gt;=8))*ROW('CASE MASTER'!$T$2:$T$495))-(ROW('CASE MASTER'!#REF!)-1))),"")),"")</f>
        <v/>
      </c>
      <c r="J121" s="10" t="str">
        <f>IFERROR(IF(SUMPRODUCT((('CASE MASTER'!$T$2:$T$495=9)*('CASE MASTER'!$U$2:$U$495&lt;=7)*('CASE MASTER'!$W$2:$W$495&gt;=7)*('CASE MASTER'!$V$2:$V$495&lt;=9)*('CASE MASTER'!$X$2:$X$495&gt;=9))*ROW('CASE MASTER'!$T$2:$T$495))&gt;0,INDEX('CASE MASTER'!$Y$2:$Y$495,(SUMPRODUCT((('CASE MASTER'!$T$2:$T$495=9)*('CASE MASTER'!$U$2:$U$495&lt;=7)*('CASE MASTER'!$W$2:$W$495&gt;=7)*('CASE MASTER'!$V$2:$V$495&lt;=9)*('CASE MASTER'!$X$2:$X$495&gt;=9))*ROW('CASE MASTER'!$T$2:$T$495))-(ROW('CASE MASTER'!#REF!)-1)))&amp;TRIM(MID(SUBSTITUTE(SUBSTITUTE(INDEX('CASE MASTER'!$N$2:$N$495,(SUMPRODUCT((('CASE MASTER'!$T$2:$T$495=9)*('CASE MASTER'!$U$2:$U$495&lt;=7)*('CASE MASTER'!$W$2:$W$495&gt;=7)*('CASE MASTER'!$V$2:$V$495&lt;=9)*('CASE MASTER'!$X$2:$X$495&gt;=9))*ROW('CASE MASTER'!$T$2:$T$495))-(ROW('CASE MASTER'!#REF!)-1))),":",","),",",REPT(" ",50)),((((7-INDEX('CASE MASTER'!$U$2:$U$495,(SUMPRODUCT((('CASE MASTER'!$T$2:$T$495=9)*('CASE MASTER'!$U$2:$U$495&lt;=7)*('CASE MASTER'!$W$2:$W$495&gt;=7)*('CASE MASTER'!$V$2:$V$495&lt;=9)*('CASE MASTER'!$X$2:$X$495&gt;=9))*ROW('CASE MASTER'!$T$2:$T$495))-(ROW('CASE MASTER'!#REF!)-1))))*(INDEX('CASE MASTER'!$X$2:$X$495,(SUMPRODUCT((('CASE MASTER'!$T$2:$T$495=9)*('CASE MASTER'!$U$2:$U$495&lt;=7)*('CASE MASTER'!$W$2:$W$495&gt;=7)*('CASE MASTER'!$V$2:$V$495&lt;=9)*('CASE MASTER'!$X$2:$X$495&gt;=9))*ROW('CASE MASTER'!$T$2:$T$495))-(ROW('CASE MASTER'!#REF!)-1)))-INDEX('CASE MASTER'!$V$2:$V$495,(SUMPRODUCT((('CASE MASTER'!$T$2:$T$495=9)*('CASE MASTER'!$U$2:$U$495&lt;=7)*('CASE MASTER'!$W$2:$W$495&gt;=7)*('CASE MASTER'!$V$2:$V$495&lt;=9)*('CASE MASTER'!$X$2:$X$495&gt;=9))*ROW('CASE MASTER'!$T$2:$T$495))-(ROW('CASE MASTER'!#REF!)-1)))+1)+(9-INDEX('CASE MASTER'!$V$2:$V$495,(SUMPRODUCT((('CASE MASTER'!$T$2:$T$495=9)*('CASE MASTER'!$U$2:$U$495&lt;=7)*('CASE MASTER'!$W$2:$W$495&gt;=7)*('CASE MASTER'!$V$2:$V$495&lt;=9)*('CASE MASTER'!$X$2:$X$495&gt;=9))*ROW('CASE MASTER'!$T$2:$T$495))-(ROW('CASE MASTER'!#REF!)-1))))+1))-1)*50+1,50))&amp;"_"&amp;INDEX('CASE MASTER'!$Q$2:$Q$495,(SUMPRODUCT((('CASE MASTER'!$T$2:$T$495=9)*('CASE MASTER'!$U$2:$U$495&lt;=7)*('CASE MASTER'!$W$2:$W$495&gt;=7)*('CASE MASTER'!$V$2:$V$495&lt;=9)*('CASE MASTER'!$X$2:$X$495&gt;=9))*ROW('CASE MASTER'!$T$2:$T$495))-(ROW('CASE MASTER'!#REF!)-1))),IF(SUMPRODUCT((('CASE MASTER'!$T$2:$T$495=9)*('CASE MASTER'!$AA$2:$AA$495&lt;=7)*('CASE MASTER'!$AC$2:$AC$495&gt;=7)*('CASE MASTER'!$AB$2:$AB$495&lt;=9)*('CASE MASTER'!$AD$2:$AD$495&gt;=9))*ROW('CASE MASTER'!$T$2:$T$495))&gt;0,INDEX('CASE MASTER'!$Y$2:$Y$495,(SUMPRODUCT((('CASE MASTER'!$T$2:$T$495=9)*('CASE MASTER'!$AA$2:$AA$495&lt;=7)*('CASE MASTER'!$AC$2:$AC$495&gt;=7)*('CASE MASTER'!$AB$2:$AB$495&lt;=9)*('CASE MASTER'!$AD$2:$AD$495&gt;=9))*ROW('CASE MASTER'!$T$2:$T$495))-(ROW('CASE MASTER'!#REF!)-1)))&amp;TRIM(MID(SUBSTITUTE(SUBSTITUTE(INDEX('CASE MASTER'!$N$2:$N$495,(SUMPRODUCT((('CASE MASTER'!$T$2:$T$495=9)*('CASE MASTER'!$AA$2:$AA$495&lt;=7)*('CASE MASTER'!$AC$2:$AC$495&gt;=7)*('CASE MASTER'!$AB$2:$AB$495&lt;=9)*('CASE MASTER'!$AD$2:$AD$495&gt;=9))*ROW('CASE MASTER'!$T$2:$T$495))-(ROW('CASE MASTER'!#REF!)-1))),":",","),",",REPT(" ",50)),(((INDEX('CASE MASTER'!$Z$2:$Z$495,(SUMPRODUCT((('CASE MASTER'!$T$2:$T$495=9)*('CASE MASTER'!$AA$2:$AA$495&lt;=7)*('CASE MASTER'!$AC$2:$AC$495&gt;=7)*('CASE MASTER'!$AB$2:$AB$495&lt;=9)*('CASE MASTER'!$AD$2:$AD$495&gt;=9))*ROW('CASE MASTER'!$T$2:$T$495))-(ROW('CASE MASTER'!#REF!)-1)))+((7-INDEX('CASE MASTER'!$AA$2:$AA$495,(SUMPRODUCT((('CASE MASTER'!$T$2:$T$495=9)*('CASE MASTER'!$AA$2:$AA$495&lt;=7)*('CASE MASTER'!$AC$2:$AC$495&gt;=7)*('CASE MASTER'!$AB$2:$AB$495&lt;=9)*('CASE MASTER'!$AD$2:$AD$495&gt;=9))*ROW('CASE MASTER'!$T$2:$T$495))-(ROW('CASE MASTER'!#REF!)-1))))*(INDEX('CASE MASTER'!$AD$2:$AD$495,(SUMPRODUCT((('CASE MASTER'!$T$2:$T$495=9)*('CASE MASTER'!$AA$2:$AA$495&lt;=7)*('CASE MASTER'!$AC$2:$AC$495&gt;=7)*('CASE MASTER'!$AB$2:$AB$495&lt;=9)*('CASE MASTER'!$AD$2:$AD$495&gt;=9))*ROW('CASE MASTER'!$T$2:$T$495))-(ROW('CASE MASTER'!#REF!)-1)))-INDEX('CASE MASTER'!$AB$2:$AB$495,(SUMPRODUCT((('CASE MASTER'!$T$2:$T$495=9)*('CASE MASTER'!$AA$2:$AA$495&lt;=7)*('CASE MASTER'!$AC$2:$AC$495&gt;=7)*('CASE MASTER'!$AB$2:$AB$495&lt;=9)*('CASE MASTER'!$AD$2:$AD$495&gt;=9))*ROW('CASE MASTER'!$T$2:$T$495))-(ROW('CASE MASTER'!#REF!)-1)))+1)+(9-INDEX('CASE MASTER'!$AB$2:$AB$495,(SUMPRODUCT((('CASE MASTER'!$T$2:$T$495=9)*('CASE MASTER'!$AA$2:$AA$495&lt;=7)*('CASE MASTER'!$AC$2:$AC$495&gt;=7)*('CASE MASTER'!$AB$2:$AB$495&lt;=9)*('CASE MASTER'!$AD$2:$AD$495&gt;=9))*ROW('CASE MASTER'!$T$2:$T$495))-(ROW('CASE MASTER'!#REF!)-1))))+1)))-1)*50+1,50))&amp;"_"&amp;INDEX('CASE MASTER'!$Q$2:$Q$495,(SUMPRODUCT((('CASE MASTER'!$T$2:$T$495=9)*('CASE MASTER'!$AA$2:$AA$495&lt;=7)*('CASE MASTER'!$AC$2:$AC$495&gt;=7)*('CASE MASTER'!$AB$2:$AB$495&lt;=9)*('CASE MASTER'!$AD$2:$AD$495&gt;=9))*ROW('CASE MASTER'!$T$2:$T$495))-(ROW('CASE MASTER'!#REF!)-1))),"")),"")</f>
        <v/>
      </c>
      <c r="K121" s="10" t="str">
        <f>IFERROR(IF(SUMPRODUCT((('CASE MASTER'!$T$2:$T$495=9)*('CASE MASTER'!$U$2:$U$495&lt;=7)*('CASE MASTER'!$W$2:$W$495&gt;=7)*('CASE MASTER'!$V$2:$V$495&lt;=10)*('CASE MASTER'!$X$2:$X$495&gt;=10))*ROW('CASE MASTER'!$T$2:$T$495))&gt;0,INDEX('CASE MASTER'!$Y$2:$Y$495,(SUMPRODUCT((('CASE MASTER'!$T$2:$T$495=9)*('CASE MASTER'!$U$2:$U$495&lt;=7)*('CASE MASTER'!$W$2:$W$495&gt;=7)*('CASE MASTER'!$V$2:$V$495&lt;=10)*('CASE MASTER'!$X$2:$X$495&gt;=10))*ROW('CASE MASTER'!$T$2:$T$495))-(ROW('CASE MASTER'!#REF!)-1)))&amp;TRIM(MID(SUBSTITUTE(SUBSTITUTE(INDEX('CASE MASTER'!$N$2:$N$495,(SUMPRODUCT((('CASE MASTER'!$T$2:$T$495=9)*('CASE MASTER'!$U$2:$U$495&lt;=7)*('CASE MASTER'!$W$2:$W$495&gt;=7)*('CASE MASTER'!$V$2:$V$495&lt;=10)*('CASE MASTER'!$X$2:$X$495&gt;=10))*ROW('CASE MASTER'!$T$2:$T$495))-(ROW('CASE MASTER'!#REF!)-1))),":",","),",",REPT(" ",50)),((((7-INDEX('CASE MASTER'!$U$2:$U$495,(SUMPRODUCT((('CASE MASTER'!$T$2:$T$495=9)*('CASE MASTER'!$U$2:$U$495&lt;=7)*('CASE MASTER'!$W$2:$W$495&gt;=7)*('CASE MASTER'!$V$2:$V$495&lt;=10)*('CASE MASTER'!$X$2:$X$495&gt;=10))*ROW('CASE MASTER'!$T$2:$T$495))-(ROW('CASE MASTER'!#REF!)-1))))*(INDEX('CASE MASTER'!$X$2:$X$495,(SUMPRODUCT((('CASE MASTER'!$T$2:$T$495=9)*('CASE MASTER'!$U$2:$U$495&lt;=7)*('CASE MASTER'!$W$2:$W$495&gt;=7)*('CASE MASTER'!$V$2:$V$495&lt;=10)*('CASE MASTER'!$X$2:$X$495&gt;=10))*ROW('CASE MASTER'!$T$2:$T$495))-(ROW('CASE MASTER'!#REF!)-1)))-INDEX('CASE MASTER'!$V$2:$V$495,(SUMPRODUCT((('CASE MASTER'!$T$2:$T$495=9)*('CASE MASTER'!$U$2:$U$495&lt;=7)*('CASE MASTER'!$W$2:$W$495&gt;=7)*('CASE MASTER'!$V$2:$V$495&lt;=10)*('CASE MASTER'!$X$2:$X$495&gt;=10))*ROW('CASE MASTER'!$T$2:$T$495))-(ROW('CASE MASTER'!#REF!)-1)))+1)+(10-INDEX('CASE MASTER'!$V$2:$V$495,(SUMPRODUCT((('CASE MASTER'!$T$2:$T$495=9)*('CASE MASTER'!$U$2:$U$495&lt;=7)*('CASE MASTER'!$W$2:$W$495&gt;=7)*('CASE MASTER'!$V$2:$V$495&lt;=10)*('CASE MASTER'!$X$2:$X$495&gt;=10))*ROW('CASE MASTER'!$T$2:$T$495))-(ROW('CASE MASTER'!#REF!)-1))))+1))-1)*50+1,50))&amp;"_"&amp;INDEX('CASE MASTER'!$Q$2:$Q$495,(SUMPRODUCT((('CASE MASTER'!$T$2:$T$495=9)*('CASE MASTER'!$U$2:$U$495&lt;=7)*('CASE MASTER'!$W$2:$W$495&gt;=7)*('CASE MASTER'!$V$2:$V$495&lt;=10)*('CASE MASTER'!$X$2:$X$495&gt;=10))*ROW('CASE MASTER'!$T$2:$T$495))-(ROW('CASE MASTER'!#REF!)-1))),IF(SUMPRODUCT((('CASE MASTER'!$T$2:$T$495=9)*('CASE MASTER'!$AA$2:$AA$495&lt;=7)*('CASE MASTER'!$AC$2:$AC$495&gt;=7)*('CASE MASTER'!$AB$2:$AB$495&lt;=10)*('CASE MASTER'!$AD$2:$AD$495&gt;=10))*ROW('CASE MASTER'!$T$2:$T$495))&gt;0,INDEX('CASE MASTER'!$Y$2:$Y$495,(SUMPRODUCT((('CASE MASTER'!$T$2:$T$495=9)*('CASE MASTER'!$AA$2:$AA$495&lt;=7)*('CASE MASTER'!$AC$2:$AC$495&gt;=7)*('CASE MASTER'!$AB$2:$AB$495&lt;=10)*('CASE MASTER'!$AD$2:$AD$495&gt;=10))*ROW('CASE MASTER'!$T$2:$T$495))-(ROW('CASE MASTER'!#REF!)-1)))&amp;TRIM(MID(SUBSTITUTE(SUBSTITUTE(INDEX('CASE MASTER'!$N$2:$N$495,(SUMPRODUCT((('CASE MASTER'!$T$2:$T$495=9)*('CASE MASTER'!$AA$2:$AA$495&lt;=7)*('CASE MASTER'!$AC$2:$AC$495&gt;=7)*('CASE MASTER'!$AB$2:$AB$495&lt;=10)*('CASE MASTER'!$AD$2:$AD$495&gt;=10))*ROW('CASE MASTER'!$T$2:$T$495))-(ROW('CASE MASTER'!#REF!)-1))),":",","),",",REPT(" ",50)),(((INDEX('CASE MASTER'!$Z$2:$Z$495,(SUMPRODUCT((('CASE MASTER'!$T$2:$T$495=9)*('CASE MASTER'!$AA$2:$AA$495&lt;=7)*('CASE MASTER'!$AC$2:$AC$495&gt;=7)*('CASE MASTER'!$AB$2:$AB$495&lt;=10)*('CASE MASTER'!$AD$2:$AD$495&gt;=10))*ROW('CASE MASTER'!$T$2:$T$495))-(ROW('CASE MASTER'!#REF!)-1)))+((7-INDEX('CASE MASTER'!$AA$2:$AA$495,(SUMPRODUCT((('CASE MASTER'!$T$2:$T$495=9)*('CASE MASTER'!$AA$2:$AA$495&lt;=7)*('CASE MASTER'!$AC$2:$AC$495&gt;=7)*('CASE MASTER'!$AB$2:$AB$495&lt;=10)*('CASE MASTER'!$AD$2:$AD$495&gt;=10))*ROW('CASE MASTER'!$T$2:$T$495))-(ROW('CASE MASTER'!#REF!)-1))))*(INDEX('CASE MASTER'!$AD$2:$AD$495,(SUMPRODUCT((('CASE MASTER'!$T$2:$T$495=9)*('CASE MASTER'!$AA$2:$AA$495&lt;=7)*('CASE MASTER'!$AC$2:$AC$495&gt;=7)*('CASE MASTER'!$AB$2:$AB$495&lt;=10)*('CASE MASTER'!$AD$2:$AD$495&gt;=10))*ROW('CASE MASTER'!$T$2:$T$495))-(ROW('CASE MASTER'!#REF!)-1)))-INDEX('CASE MASTER'!$AB$2:$AB$495,(SUMPRODUCT((('CASE MASTER'!$T$2:$T$495=9)*('CASE MASTER'!$AA$2:$AA$495&lt;=7)*('CASE MASTER'!$AC$2:$AC$495&gt;=7)*('CASE MASTER'!$AB$2:$AB$495&lt;=10)*('CASE MASTER'!$AD$2:$AD$495&gt;=10))*ROW('CASE MASTER'!$T$2:$T$495))-(ROW('CASE MASTER'!#REF!)-1)))+1)+(10-INDEX('CASE MASTER'!$AB$2:$AB$495,(SUMPRODUCT((('CASE MASTER'!$T$2:$T$495=9)*('CASE MASTER'!$AA$2:$AA$495&lt;=7)*('CASE MASTER'!$AC$2:$AC$495&gt;=7)*('CASE MASTER'!$AB$2:$AB$495&lt;=10)*('CASE MASTER'!$AD$2:$AD$495&gt;=10))*ROW('CASE MASTER'!$T$2:$T$495))-(ROW('CASE MASTER'!#REF!)-1))))+1)))-1)*50+1,50))&amp;"_"&amp;INDEX('CASE MASTER'!$Q$2:$Q$495,(SUMPRODUCT((('CASE MASTER'!$T$2:$T$495=9)*('CASE MASTER'!$AA$2:$AA$495&lt;=7)*('CASE MASTER'!$AC$2:$AC$495&gt;=7)*('CASE MASTER'!$AB$2:$AB$495&lt;=10)*('CASE MASTER'!$AD$2:$AD$495&gt;=10))*ROW('CASE MASTER'!$T$2:$T$495))-(ROW('CASE MASTER'!#REF!)-1))),"")),"")</f>
        <v/>
      </c>
    </row>
    <row r="122" spans="1:11" ht="15" customHeight="1" x14ac:dyDescent="0.35">
      <c r="A122" s="8" t="s">
        <v>35</v>
      </c>
      <c r="B122" s="10" t="str">
        <f>IFERROR(IF(SUMPRODUCT((('CASE MASTER'!$T$2:$T$495=9)*('CASE MASTER'!$U$2:$U$495&lt;=8)*('CASE MASTER'!$W$2:$W$495&gt;=8)*('CASE MASTER'!$V$2:$V$495&lt;=1)*('CASE MASTER'!$X$2:$X$495&gt;=1))*ROW('CASE MASTER'!$T$2:$T$495))&gt;0,INDEX('CASE MASTER'!$Y$2:$Y$495,(SUMPRODUCT((('CASE MASTER'!$T$2:$T$495=9)*('CASE MASTER'!$U$2:$U$495&lt;=8)*('CASE MASTER'!$W$2:$W$495&gt;=8)*('CASE MASTER'!$V$2:$V$495&lt;=1)*('CASE MASTER'!$X$2:$X$495&gt;=1))*ROW('CASE MASTER'!$T$2:$T$495))-(ROW('CASE MASTER'!#REF!)-1)))&amp;TRIM(MID(SUBSTITUTE(SUBSTITUTE(INDEX('CASE MASTER'!$N$2:$N$495,(SUMPRODUCT((('CASE MASTER'!$T$2:$T$495=9)*('CASE MASTER'!$U$2:$U$495&lt;=8)*('CASE MASTER'!$W$2:$W$495&gt;=8)*('CASE MASTER'!$V$2:$V$495&lt;=1)*('CASE MASTER'!$X$2:$X$495&gt;=1))*ROW('CASE MASTER'!$T$2:$T$495))-(ROW('CASE MASTER'!#REF!)-1))),":",","),",",REPT(" ",50)),((((8-INDEX('CASE MASTER'!$U$2:$U$495,(SUMPRODUCT((('CASE MASTER'!$T$2:$T$495=9)*('CASE MASTER'!$U$2:$U$495&lt;=8)*('CASE MASTER'!$W$2:$W$495&gt;=8)*('CASE MASTER'!$V$2:$V$495&lt;=1)*('CASE MASTER'!$X$2:$X$495&gt;=1))*ROW('CASE MASTER'!$T$2:$T$495))-(ROW('CASE MASTER'!#REF!)-1))))*(INDEX('CASE MASTER'!$X$2:$X$495,(SUMPRODUCT((('CASE MASTER'!$T$2:$T$495=9)*('CASE MASTER'!$U$2:$U$495&lt;=8)*('CASE MASTER'!$W$2:$W$495&gt;=8)*('CASE MASTER'!$V$2:$V$495&lt;=1)*('CASE MASTER'!$X$2:$X$495&gt;=1))*ROW('CASE MASTER'!$T$2:$T$495))-(ROW('CASE MASTER'!#REF!)-1)))-INDEX('CASE MASTER'!$V$2:$V$495,(SUMPRODUCT((('CASE MASTER'!$T$2:$T$495=9)*('CASE MASTER'!$U$2:$U$495&lt;=8)*('CASE MASTER'!$W$2:$W$495&gt;=8)*('CASE MASTER'!$V$2:$V$495&lt;=1)*('CASE MASTER'!$X$2:$X$495&gt;=1))*ROW('CASE MASTER'!$T$2:$T$495))-(ROW('CASE MASTER'!#REF!)-1)))+1)+(1-INDEX('CASE MASTER'!$V$2:$V$495,(SUMPRODUCT((('CASE MASTER'!$T$2:$T$495=9)*('CASE MASTER'!$U$2:$U$495&lt;=8)*('CASE MASTER'!$W$2:$W$495&gt;=8)*('CASE MASTER'!$V$2:$V$495&lt;=1)*('CASE MASTER'!$X$2:$X$495&gt;=1))*ROW('CASE MASTER'!$T$2:$T$495))-(ROW('CASE MASTER'!#REF!)-1))))+1))-1)*50+1,50))&amp;"_"&amp;INDEX('CASE MASTER'!$Q$2:$Q$495,(SUMPRODUCT((('CASE MASTER'!$T$2:$T$495=9)*('CASE MASTER'!$U$2:$U$495&lt;=8)*('CASE MASTER'!$W$2:$W$495&gt;=8)*('CASE MASTER'!$V$2:$V$495&lt;=1)*('CASE MASTER'!$X$2:$X$495&gt;=1))*ROW('CASE MASTER'!$T$2:$T$495))-(ROW('CASE MASTER'!#REF!)-1))),IF(SUMPRODUCT((('CASE MASTER'!$T$2:$T$495=9)*('CASE MASTER'!$AA$2:$AA$495&lt;=8)*('CASE MASTER'!$AC$2:$AC$495&gt;=8)*('CASE MASTER'!$AB$2:$AB$495&lt;=1)*('CASE MASTER'!$AD$2:$AD$495&gt;=1))*ROW('CASE MASTER'!$T$2:$T$495))&gt;0,INDEX('CASE MASTER'!$Y$2:$Y$495,(SUMPRODUCT((('CASE MASTER'!$T$2:$T$495=9)*('CASE MASTER'!$AA$2:$AA$495&lt;=8)*('CASE MASTER'!$AC$2:$AC$495&gt;=8)*('CASE MASTER'!$AB$2:$AB$495&lt;=1)*('CASE MASTER'!$AD$2:$AD$495&gt;=1))*ROW('CASE MASTER'!$T$2:$T$495))-(ROW('CASE MASTER'!#REF!)-1)))&amp;TRIM(MID(SUBSTITUTE(SUBSTITUTE(INDEX('CASE MASTER'!$N$2:$N$495,(SUMPRODUCT((('CASE MASTER'!$T$2:$T$495=9)*('CASE MASTER'!$AA$2:$AA$495&lt;=8)*('CASE MASTER'!$AC$2:$AC$495&gt;=8)*('CASE MASTER'!$AB$2:$AB$495&lt;=1)*('CASE MASTER'!$AD$2:$AD$495&gt;=1))*ROW('CASE MASTER'!$T$2:$T$495))-(ROW('CASE MASTER'!#REF!)-1))),":",","),",",REPT(" ",50)),(((INDEX('CASE MASTER'!$Z$2:$Z$495,(SUMPRODUCT((('CASE MASTER'!$T$2:$T$495=9)*('CASE MASTER'!$AA$2:$AA$495&lt;=8)*('CASE MASTER'!$AC$2:$AC$495&gt;=8)*('CASE MASTER'!$AB$2:$AB$495&lt;=1)*('CASE MASTER'!$AD$2:$AD$495&gt;=1))*ROW('CASE MASTER'!$T$2:$T$495))-(ROW('CASE MASTER'!#REF!)-1)))+((8-INDEX('CASE MASTER'!$AA$2:$AA$495,(SUMPRODUCT((('CASE MASTER'!$T$2:$T$495=9)*('CASE MASTER'!$AA$2:$AA$495&lt;=8)*('CASE MASTER'!$AC$2:$AC$495&gt;=8)*('CASE MASTER'!$AB$2:$AB$495&lt;=1)*('CASE MASTER'!$AD$2:$AD$495&gt;=1))*ROW('CASE MASTER'!$T$2:$T$495))-(ROW('CASE MASTER'!#REF!)-1))))*(INDEX('CASE MASTER'!$AD$2:$AD$495,(SUMPRODUCT((('CASE MASTER'!$T$2:$T$495=9)*('CASE MASTER'!$AA$2:$AA$495&lt;=8)*('CASE MASTER'!$AC$2:$AC$495&gt;=8)*('CASE MASTER'!$AB$2:$AB$495&lt;=1)*('CASE MASTER'!$AD$2:$AD$495&gt;=1))*ROW('CASE MASTER'!$T$2:$T$495))-(ROW('CASE MASTER'!#REF!)-1)))-INDEX('CASE MASTER'!$AB$2:$AB$495,(SUMPRODUCT((('CASE MASTER'!$T$2:$T$495=9)*('CASE MASTER'!$AA$2:$AA$495&lt;=8)*('CASE MASTER'!$AC$2:$AC$495&gt;=8)*('CASE MASTER'!$AB$2:$AB$495&lt;=1)*('CASE MASTER'!$AD$2:$AD$495&gt;=1))*ROW('CASE MASTER'!$T$2:$T$495))-(ROW('CASE MASTER'!#REF!)-1)))+1)+(1-INDEX('CASE MASTER'!$AB$2:$AB$495,(SUMPRODUCT((('CASE MASTER'!$T$2:$T$495=9)*('CASE MASTER'!$AA$2:$AA$495&lt;=8)*('CASE MASTER'!$AC$2:$AC$495&gt;=8)*('CASE MASTER'!$AB$2:$AB$495&lt;=1)*('CASE MASTER'!$AD$2:$AD$495&gt;=1))*ROW('CASE MASTER'!$T$2:$T$495))-(ROW('CASE MASTER'!#REF!)-1))))+1)))-1)*50+1,50))&amp;"_"&amp;INDEX('CASE MASTER'!$Q$2:$Q$495,(SUMPRODUCT((('CASE MASTER'!$T$2:$T$495=9)*('CASE MASTER'!$AA$2:$AA$495&lt;=8)*('CASE MASTER'!$AC$2:$AC$495&gt;=8)*('CASE MASTER'!$AB$2:$AB$495&lt;=1)*('CASE MASTER'!$AD$2:$AD$495&gt;=1))*ROW('CASE MASTER'!$T$2:$T$495))-(ROW('CASE MASTER'!#REF!)-1))),"")),"")</f>
        <v/>
      </c>
      <c r="C122" s="10" t="str">
        <f>IFERROR(IF(SUMPRODUCT((('CASE MASTER'!$T$2:$T$495=9)*('CASE MASTER'!$U$2:$U$495&lt;=8)*('CASE MASTER'!$W$2:$W$495&gt;=8)*('CASE MASTER'!$V$2:$V$495&lt;=2)*('CASE MASTER'!$X$2:$X$495&gt;=2))*ROW('CASE MASTER'!$T$2:$T$495))&gt;0,INDEX('CASE MASTER'!$Y$2:$Y$495,(SUMPRODUCT((('CASE MASTER'!$T$2:$T$495=9)*('CASE MASTER'!$U$2:$U$495&lt;=8)*('CASE MASTER'!$W$2:$W$495&gt;=8)*('CASE MASTER'!$V$2:$V$495&lt;=2)*('CASE MASTER'!$X$2:$X$495&gt;=2))*ROW('CASE MASTER'!$T$2:$T$495))-(ROW('CASE MASTER'!#REF!)-1)))&amp;TRIM(MID(SUBSTITUTE(SUBSTITUTE(INDEX('CASE MASTER'!$N$2:$N$495,(SUMPRODUCT((('CASE MASTER'!$T$2:$T$495=9)*('CASE MASTER'!$U$2:$U$495&lt;=8)*('CASE MASTER'!$W$2:$W$495&gt;=8)*('CASE MASTER'!$V$2:$V$495&lt;=2)*('CASE MASTER'!$X$2:$X$495&gt;=2))*ROW('CASE MASTER'!$T$2:$T$495))-(ROW('CASE MASTER'!#REF!)-1))),":",","),",",REPT(" ",50)),((((8-INDEX('CASE MASTER'!$U$2:$U$495,(SUMPRODUCT((('CASE MASTER'!$T$2:$T$495=9)*('CASE MASTER'!$U$2:$U$495&lt;=8)*('CASE MASTER'!$W$2:$W$495&gt;=8)*('CASE MASTER'!$V$2:$V$495&lt;=2)*('CASE MASTER'!$X$2:$X$495&gt;=2))*ROW('CASE MASTER'!$T$2:$T$495))-(ROW('CASE MASTER'!#REF!)-1))))*(INDEX('CASE MASTER'!$X$2:$X$495,(SUMPRODUCT((('CASE MASTER'!$T$2:$T$495=9)*('CASE MASTER'!$U$2:$U$495&lt;=8)*('CASE MASTER'!$W$2:$W$495&gt;=8)*('CASE MASTER'!$V$2:$V$495&lt;=2)*('CASE MASTER'!$X$2:$X$495&gt;=2))*ROW('CASE MASTER'!$T$2:$T$495))-(ROW('CASE MASTER'!#REF!)-1)))-INDEX('CASE MASTER'!$V$2:$V$495,(SUMPRODUCT((('CASE MASTER'!$T$2:$T$495=9)*('CASE MASTER'!$U$2:$U$495&lt;=8)*('CASE MASTER'!$W$2:$W$495&gt;=8)*('CASE MASTER'!$V$2:$V$495&lt;=2)*('CASE MASTER'!$X$2:$X$495&gt;=2))*ROW('CASE MASTER'!$T$2:$T$495))-(ROW('CASE MASTER'!#REF!)-1)))+1)+(2-INDEX('CASE MASTER'!$V$2:$V$495,(SUMPRODUCT((('CASE MASTER'!$T$2:$T$495=9)*('CASE MASTER'!$U$2:$U$495&lt;=8)*('CASE MASTER'!$W$2:$W$495&gt;=8)*('CASE MASTER'!$V$2:$V$495&lt;=2)*('CASE MASTER'!$X$2:$X$495&gt;=2))*ROW('CASE MASTER'!$T$2:$T$495))-(ROW('CASE MASTER'!#REF!)-1))))+1))-1)*50+1,50))&amp;"_"&amp;INDEX('CASE MASTER'!$Q$2:$Q$495,(SUMPRODUCT((('CASE MASTER'!$T$2:$T$495=9)*('CASE MASTER'!$U$2:$U$495&lt;=8)*('CASE MASTER'!$W$2:$W$495&gt;=8)*('CASE MASTER'!$V$2:$V$495&lt;=2)*('CASE MASTER'!$X$2:$X$495&gt;=2))*ROW('CASE MASTER'!$T$2:$T$495))-(ROW('CASE MASTER'!#REF!)-1))),IF(SUMPRODUCT((('CASE MASTER'!$T$2:$T$495=9)*('CASE MASTER'!$AA$2:$AA$495&lt;=8)*('CASE MASTER'!$AC$2:$AC$495&gt;=8)*('CASE MASTER'!$AB$2:$AB$495&lt;=2)*('CASE MASTER'!$AD$2:$AD$495&gt;=2))*ROW('CASE MASTER'!$T$2:$T$495))&gt;0,INDEX('CASE MASTER'!$Y$2:$Y$495,(SUMPRODUCT((('CASE MASTER'!$T$2:$T$495=9)*('CASE MASTER'!$AA$2:$AA$495&lt;=8)*('CASE MASTER'!$AC$2:$AC$495&gt;=8)*('CASE MASTER'!$AB$2:$AB$495&lt;=2)*('CASE MASTER'!$AD$2:$AD$495&gt;=2))*ROW('CASE MASTER'!$T$2:$T$495))-(ROW('CASE MASTER'!#REF!)-1)))&amp;TRIM(MID(SUBSTITUTE(SUBSTITUTE(INDEX('CASE MASTER'!$N$2:$N$495,(SUMPRODUCT((('CASE MASTER'!$T$2:$T$495=9)*('CASE MASTER'!$AA$2:$AA$495&lt;=8)*('CASE MASTER'!$AC$2:$AC$495&gt;=8)*('CASE MASTER'!$AB$2:$AB$495&lt;=2)*('CASE MASTER'!$AD$2:$AD$495&gt;=2))*ROW('CASE MASTER'!$T$2:$T$495))-(ROW('CASE MASTER'!#REF!)-1))),":",","),",",REPT(" ",50)),(((INDEX('CASE MASTER'!$Z$2:$Z$495,(SUMPRODUCT((('CASE MASTER'!$T$2:$T$495=9)*('CASE MASTER'!$AA$2:$AA$495&lt;=8)*('CASE MASTER'!$AC$2:$AC$495&gt;=8)*('CASE MASTER'!$AB$2:$AB$495&lt;=2)*('CASE MASTER'!$AD$2:$AD$495&gt;=2))*ROW('CASE MASTER'!$T$2:$T$495))-(ROW('CASE MASTER'!#REF!)-1)))+((8-INDEX('CASE MASTER'!$AA$2:$AA$495,(SUMPRODUCT((('CASE MASTER'!$T$2:$T$495=9)*('CASE MASTER'!$AA$2:$AA$495&lt;=8)*('CASE MASTER'!$AC$2:$AC$495&gt;=8)*('CASE MASTER'!$AB$2:$AB$495&lt;=2)*('CASE MASTER'!$AD$2:$AD$495&gt;=2))*ROW('CASE MASTER'!$T$2:$T$495))-(ROW('CASE MASTER'!#REF!)-1))))*(INDEX('CASE MASTER'!$AD$2:$AD$495,(SUMPRODUCT((('CASE MASTER'!$T$2:$T$495=9)*('CASE MASTER'!$AA$2:$AA$495&lt;=8)*('CASE MASTER'!$AC$2:$AC$495&gt;=8)*('CASE MASTER'!$AB$2:$AB$495&lt;=2)*('CASE MASTER'!$AD$2:$AD$495&gt;=2))*ROW('CASE MASTER'!$T$2:$T$495))-(ROW('CASE MASTER'!#REF!)-1)))-INDEX('CASE MASTER'!$AB$2:$AB$495,(SUMPRODUCT((('CASE MASTER'!$T$2:$T$495=9)*('CASE MASTER'!$AA$2:$AA$495&lt;=8)*('CASE MASTER'!$AC$2:$AC$495&gt;=8)*('CASE MASTER'!$AB$2:$AB$495&lt;=2)*('CASE MASTER'!$AD$2:$AD$495&gt;=2))*ROW('CASE MASTER'!$T$2:$T$495))-(ROW('CASE MASTER'!#REF!)-1)))+1)+(2-INDEX('CASE MASTER'!$AB$2:$AB$495,(SUMPRODUCT((('CASE MASTER'!$T$2:$T$495=9)*('CASE MASTER'!$AA$2:$AA$495&lt;=8)*('CASE MASTER'!$AC$2:$AC$495&gt;=8)*('CASE MASTER'!$AB$2:$AB$495&lt;=2)*('CASE MASTER'!$AD$2:$AD$495&gt;=2))*ROW('CASE MASTER'!$T$2:$T$495))-(ROW('CASE MASTER'!#REF!)-1))))+1)))-1)*50+1,50))&amp;"_"&amp;INDEX('CASE MASTER'!$Q$2:$Q$495,(SUMPRODUCT((('CASE MASTER'!$T$2:$T$495=9)*('CASE MASTER'!$AA$2:$AA$495&lt;=8)*('CASE MASTER'!$AC$2:$AC$495&gt;=8)*('CASE MASTER'!$AB$2:$AB$495&lt;=2)*('CASE MASTER'!$AD$2:$AD$495&gt;=2))*ROW('CASE MASTER'!$T$2:$T$495))-(ROW('CASE MASTER'!#REF!)-1))),"")),"")</f>
        <v/>
      </c>
      <c r="D122" s="10" t="str">
        <f>IFERROR(IF(SUMPRODUCT((('CASE MASTER'!$T$2:$T$495=9)*('CASE MASTER'!$U$2:$U$495&lt;=8)*('CASE MASTER'!$W$2:$W$495&gt;=8)*('CASE MASTER'!$V$2:$V$495&lt;=3)*('CASE MASTER'!$X$2:$X$495&gt;=3))*ROW('CASE MASTER'!$T$2:$T$495))&gt;0,INDEX('CASE MASTER'!$Y$2:$Y$495,(SUMPRODUCT((('CASE MASTER'!$T$2:$T$495=9)*('CASE MASTER'!$U$2:$U$495&lt;=8)*('CASE MASTER'!$W$2:$W$495&gt;=8)*('CASE MASTER'!$V$2:$V$495&lt;=3)*('CASE MASTER'!$X$2:$X$495&gt;=3))*ROW('CASE MASTER'!$T$2:$T$495))-(ROW('CASE MASTER'!#REF!)-1)))&amp;TRIM(MID(SUBSTITUTE(SUBSTITUTE(INDEX('CASE MASTER'!$N$2:$N$495,(SUMPRODUCT((('CASE MASTER'!$T$2:$T$495=9)*('CASE MASTER'!$U$2:$U$495&lt;=8)*('CASE MASTER'!$W$2:$W$495&gt;=8)*('CASE MASTER'!$V$2:$V$495&lt;=3)*('CASE MASTER'!$X$2:$X$495&gt;=3))*ROW('CASE MASTER'!$T$2:$T$495))-(ROW('CASE MASTER'!#REF!)-1))),":",","),",",REPT(" ",50)),((((8-INDEX('CASE MASTER'!$U$2:$U$495,(SUMPRODUCT((('CASE MASTER'!$T$2:$T$495=9)*('CASE MASTER'!$U$2:$U$495&lt;=8)*('CASE MASTER'!$W$2:$W$495&gt;=8)*('CASE MASTER'!$V$2:$V$495&lt;=3)*('CASE MASTER'!$X$2:$X$495&gt;=3))*ROW('CASE MASTER'!$T$2:$T$495))-(ROW('CASE MASTER'!#REF!)-1))))*(INDEX('CASE MASTER'!$X$2:$X$495,(SUMPRODUCT((('CASE MASTER'!$T$2:$T$495=9)*('CASE MASTER'!$U$2:$U$495&lt;=8)*('CASE MASTER'!$W$2:$W$495&gt;=8)*('CASE MASTER'!$V$2:$V$495&lt;=3)*('CASE MASTER'!$X$2:$X$495&gt;=3))*ROW('CASE MASTER'!$T$2:$T$495))-(ROW('CASE MASTER'!#REF!)-1)))-INDEX('CASE MASTER'!$V$2:$V$495,(SUMPRODUCT((('CASE MASTER'!$T$2:$T$495=9)*('CASE MASTER'!$U$2:$U$495&lt;=8)*('CASE MASTER'!$W$2:$W$495&gt;=8)*('CASE MASTER'!$V$2:$V$495&lt;=3)*('CASE MASTER'!$X$2:$X$495&gt;=3))*ROW('CASE MASTER'!$T$2:$T$495))-(ROW('CASE MASTER'!#REF!)-1)))+1)+(3-INDEX('CASE MASTER'!$V$2:$V$495,(SUMPRODUCT((('CASE MASTER'!$T$2:$T$495=9)*('CASE MASTER'!$U$2:$U$495&lt;=8)*('CASE MASTER'!$W$2:$W$495&gt;=8)*('CASE MASTER'!$V$2:$V$495&lt;=3)*('CASE MASTER'!$X$2:$X$495&gt;=3))*ROW('CASE MASTER'!$T$2:$T$495))-(ROW('CASE MASTER'!#REF!)-1))))+1))-1)*50+1,50))&amp;"_"&amp;INDEX('CASE MASTER'!$Q$2:$Q$495,(SUMPRODUCT((('CASE MASTER'!$T$2:$T$495=9)*('CASE MASTER'!$U$2:$U$495&lt;=8)*('CASE MASTER'!$W$2:$W$495&gt;=8)*('CASE MASTER'!$V$2:$V$495&lt;=3)*('CASE MASTER'!$X$2:$X$495&gt;=3))*ROW('CASE MASTER'!$T$2:$T$495))-(ROW('CASE MASTER'!#REF!)-1))),IF(SUMPRODUCT((('CASE MASTER'!$T$2:$T$495=9)*('CASE MASTER'!$AA$2:$AA$495&lt;=8)*('CASE MASTER'!$AC$2:$AC$495&gt;=8)*('CASE MASTER'!$AB$2:$AB$495&lt;=3)*('CASE MASTER'!$AD$2:$AD$495&gt;=3))*ROW('CASE MASTER'!$T$2:$T$495))&gt;0,INDEX('CASE MASTER'!$Y$2:$Y$495,(SUMPRODUCT((('CASE MASTER'!$T$2:$T$495=9)*('CASE MASTER'!$AA$2:$AA$495&lt;=8)*('CASE MASTER'!$AC$2:$AC$495&gt;=8)*('CASE MASTER'!$AB$2:$AB$495&lt;=3)*('CASE MASTER'!$AD$2:$AD$495&gt;=3))*ROW('CASE MASTER'!$T$2:$T$495))-(ROW('CASE MASTER'!#REF!)-1)))&amp;TRIM(MID(SUBSTITUTE(SUBSTITUTE(INDEX('CASE MASTER'!$N$2:$N$495,(SUMPRODUCT((('CASE MASTER'!$T$2:$T$495=9)*('CASE MASTER'!$AA$2:$AA$495&lt;=8)*('CASE MASTER'!$AC$2:$AC$495&gt;=8)*('CASE MASTER'!$AB$2:$AB$495&lt;=3)*('CASE MASTER'!$AD$2:$AD$495&gt;=3))*ROW('CASE MASTER'!$T$2:$T$495))-(ROW('CASE MASTER'!#REF!)-1))),":",","),",",REPT(" ",50)),(((INDEX('CASE MASTER'!$Z$2:$Z$495,(SUMPRODUCT((('CASE MASTER'!$T$2:$T$495=9)*('CASE MASTER'!$AA$2:$AA$495&lt;=8)*('CASE MASTER'!$AC$2:$AC$495&gt;=8)*('CASE MASTER'!$AB$2:$AB$495&lt;=3)*('CASE MASTER'!$AD$2:$AD$495&gt;=3))*ROW('CASE MASTER'!$T$2:$T$495))-(ROW('CASE MASTER'!#REF!)-1)))+((8-INDEX('CASE MASTER'!$AA$2:$AA$495,(SUMPRODUCT((('CASE MASTER'!$T$2:$T$495=9)*('CASE MASTER'!$AA$2:$AA$495&lt;=8)*('CASE MASTER'!$AC$2:$AC$495&gt;=8)*('CASE MASTER'!$AB$2:$AB$495&lt;=3)*('CASE MASTER'!$AD$2:$AD$495&gt;=3))*ROW('CASE MASTER'!$T$2:$T$495))-(ROW('CASE MASTER'!#REF!)-1))))*(INDEX('CASE MASTER'!$AD$2:$AD$495,(SUMPRODUCT((('CASE MASTER'!$T$2:$T$495=9)*('CASE MASTER'!$AA$2:$AA$495&lt;=8)*('CASE MASTER'!$AC$2:$AC$495&gt;=8)*('CASE MASTER'!$AB$2:$AB$495&lt;=3)*('CASE MASTER'!$AD$2:$AD$495&gt;=3))*ROW('CASE MASTER'!$T$2:$T$495))-(ROW('CASE MASTER'!#REF!)-1)))-INDEX('CASE MASTER'!$AB$2:$AB$495,(SUMPRODUCT((('CASE MASTER'!$T$2:$T$495=9)*('CASE MASTER'!$AA$2:$AA$495&lt;=8)*('CASE MASTER'!$AC$2:$AC$495&gt;=8)*('CASE MASTER'!$AB$2:$AB$495&lt;=3)*('CASE MASTER'!$AD$2:$AD$495&gt;=3))*ROW('CASE MASTER'!$T$2:$T$495))-(ROW('CASE MASTER'!#REF!)-1)))+1)+(3-INDEX('CASE MASTER'!$AB$2:$AB$495,(SUMPRODUCT((('CASE MASTER'!$T$2:$T$495=9)*('CASE MASTER'!$AA$2:$AA$495&lt;=8)*('CASE MASTER'!$AC$2:$AC$495&gt;=8)*('CASE MASTER'!$AB$2:$AB$495&lt;=3)*('CASE MASTER'!$AD$2:$AD$495&gt;=3))*ROW('CASE MASTER'!$T$2:$T$495))-(ROW('CASE MASTER'!#REF!)-1))))+1)))-1)*50+1,50))&amp;"_"&amp;INDEX('CASE MASTER'!$Q$2:$Q$495,(SUMPRODUCT((('CASE MASTER'!$T$2:$T$495=9)*('CASE MASTER'!$AA$2:$AA$495&lt;=8)*('CASE MASTER'!$AC$2:$AC$495&gt;=8)*('CASE MASTER'!$AB$2:$AB$495&lt;=3)*('CASE MASTER'!$AD$2:$AD$495&gt;=3))*ROW('CASE MASTER'!$T$2:$T$495))-(ROW('CASE MASTER'!#REF!)-1))),"")),"")</f>
        <v/>
      </c>
      <c r="E122" s="10" t="str">
        <f>IFERROR(IF(SUMPRODUCT((('CASE MASTER'!$T$2:$T$495=9)*('CASE MASTER'!$U$2:$U$495&lt;=8)*('CASE MASTER'!$W$2:$W$495&gt;=8)*('CASE MASTER'!$V$2:$V$495&lt;=4)*('CASE MASTER'!$X$2:$X$495&gt;=4))*ROW('CASE MASTER'!$T$2:$T$495))&gt;0,INDEX('CASE MASTER'!$Y$2:$Y$495,(SUMPRODUCT((('CASE MASTER'!$T$2:$T$495=9)*('CASE MASTER'!$U$2:$U$495&lt;=8)*('CASE MASTER'!$W$2:$W$495&gt;=8)*('CASE MASTER'!$V$2:$V$495&lt;=4)*('CASE MASTER'!$X$2:$X$495&gt;=4))*ROW('CASE MASTER'!$T$2:$T$495))-(ROW('CASE MASTER'!#REF!)-1)))&amp;TRIM(MID(SUBSTITUTE(SUBSTITUTE(INDEX('CASE MASTER'!$N$2:$N$495,(SUMPRODUCT((('CASE MASTER'!$T$2:$T$495=9)*('CASE MASTER'!$U$2:$U$495&lt;=8)*('CASE MASTER'!$W$2:$W$495&gt;=8)*('CASE MASTER'!$V$2:$V$495&lt;=4)*('CASE MASTER'!$X$2:$X$495&gt;=4))*ROW('CASE MASTER'!$T$2:$T$495))-(ROW('CASE MASTER'!#REF!)-1))),":",","),",",REPT(" ",50)),((((8-INDEX('CASE MASTER'!$U$2:$U$495,(SUMPRODUCT((('CASE MASTER'!$T$2:$T$495=9)*('CASE MASTER'!$U$2:$U$495&lt;=8)*('CASE MASTER'!$W$2:$W$495&gt;=8)*('CASE MASTER'!$V$2:$V$495&lt;=4)*('CASE MASTER'!$X$2:$X$495&gt;=4))*ROW('CASE MASTER'!$T$2:$T$495))-(ROW('CASE MASTER'!#REF!)-1))))*(INDEX('CASE MASTER'!$X$2:$X$495,(SUMPRODUCT((('CASE MASTER'!$T$2:$T$495=9)*('CASE MASTER'!$U$2:$U$495&lt;=8)*('CASE MASTER'!$W$2:$W$495&gt;=8)*('CASE MASTER'!$V$2:$V$495&lt;=4)*('CASE MASTER'!$X$2:$X$495&gt;=4))*ROW('CASE MASTER'!$T$2:$T$495))-(ROW('CASE MASTER'!#REF!)-1)))-INDEX('CASE MASTER'!$V$2:$V$495,(SUMPRODUCT((('CASE MASTER'!$T$2:$T$495=9)*('CASE MASTER'!$U$2:$U$495&lt;=8)*('CASE MASTER'!$W$2:$W$495&gt;=8)*('CASE MASTER'!$V$2:$V$495&lt;=4)*('CASE MASTER'!$X$2:$X$495&gt;=4))*ROW('CASE MASTER'!$T$2:$T$495))-(ROW('CASE MASTER'!#REF!)-1)))+1)+(4-INDEX('CASE MASTER'!$V$2:$V$495,(SUMPRODUCT((('CASE MASTER'!$T$2:$T$495=9)*('CASE MASTER'!$U$2:$U$495&lt;=8)*('CASE MASTER'!$W$2:$W$495&gt;=8)*('CASE MASTER'!$V$2:$V$495&lt;=4)*('CASE MASTER'!$X$2:$X$495&gt;=4))*ROW('CASE MASTER'!$T$2:$T$495))-(ROW('CASE MASTER'!#REF!)-1))))+1))-1)*50+1,50))&amp;"_"&amp;INDEX('CASE MASTER'!$Q$2:$Q$495,(SUMPRODUCT((('CASE MASTER'!$T$2:$T$495=9)*('CASE MASTER'!$U$2:$U$495&lt;=8)*('CASE MASTER'!$W$2:$W$495&gt;=8)*('CASE MASTER'!$V$2:$V$495&lt;=4)*('CASE MASTER'!$X$2:$X$495&gt;=4))*ROW('CASE MASTER'!$T$2:$T$495))-(ROW('CASE MASTER'!#REF!)-1))),IF(SUMPRODUCT((('CASE MASTER'!$T$2:$T$495=9)*('CASE MASTER'!$AA$2:$AA$495&lt;=8)*('CASE MASTER'!$AC$2:$AC$495&gt;=8)*('CASE MASTER'!$AB$2:$AB$495&lt;=4)*('CASE MASTER'!$AD$2:$AD$495&gt;=4))*ROW('CASE MASTER'!$T$2:$T$495))&gt;0,INDEX('CASE MASTER'!$Y$2:$Y$495,(SUMPRODUCT((('CASE MASTER'!$T$2:$T$495=9)*('CASE MASTER'!$AA$2:$AA$495&lt;=8)*('CASE MASTER'!$AC$2:$AC$495&gt;=8)*('CASE MASTER'!$AB$2:$AB$495&lt;=4)*('CASE MASTER'!$AD$2:$AD$495&gt;=4))*ROW('CASE MASTER'!$T$2:$T$495))-(ROW('CASE MASTER'!#REF!)-1)))&amp;TRIM(MID(SUBSTITUTE(SUBSTITUTE(INDEX('CASE MASTER'!$N$2:$N$495,(SUMPRODUCT((('CASE MASTER'!$T$2:$T$495=9)*('CASE MASTER'!$AA$2:$AA$495&lt;=8)*('CASE MASTER'!$AC$2:$AC$495&gt;=8)*('CASE MASTER'!$AB$2:$AB$495&lt;=4)*('CASE MASTER'!$AD$2:$AD$495&gt;=4))*ROW('CASE MASTER'!$T$2:$T$495))-(ROW('CASE MASTER'!#REF!)-1))),":",","),",",REPT(" ",50)),(((INDEX('CASE MASTER'!$Z$2:$Z$495,(SUMPRODUCT((('CASE MASTER'!$T$2:$T$495=9)*('CASE MASTER'!$AA$2:$AA$495&lt;=8)*('CASE MASTER'!$AC$2:$AC$495&gt;=8)*('CASE MASTER'!$AB$2:$AB$495&lt;=4)*('CASE MASTER'!$AD$2:$AD$495&gt;=4))*ROW('CASE MASTER'!$T$2:$T$495))-(ROW('CASE MASTER'!#REF!)-1)))+((8-INDEX('CASE MASTER'!$AA$2:$AA$495,(SUMPRODUCT((('CASE MASTER'!$T$2:$T$495=9)*('CASE MASTER'!$AA$2:$AA$495&lt;=8)*('CASE MASTER'!$AC$2:$AC$495&gt;=8)*('CASE MASTER'!$AB$2:$AB$495&lt;=4)*('CASE MASTER'!$AD$2:$AD$495&gt;=4))*ROW('CASE MASTER'!$T$2:$T$495))-(ROW('CASE MASTER'!#REF!)-1))))*(INDEX('CASE MASTER'!$AD$2:$AD$495,(SUMPRODUCT((('CASE MASTER'!$T$2:$T$495=9)*('CASE MASTER'!$AA$2:$AA$495&lt;=8)*('CASE MASTER'!$AC$2:$AC$495&gt;=8)*('CASE MASTER'!$AB$2:$AB$495&lt;=4)*('CASE MASTER'!$AD$2:$AD$495&gt;=4))*ROW('CASE MASTER'!$T$2:$T$495))-(ROW('CASE MASTER'!#REF!)-1)))-INDEX('CASE MASTER'!$AB$2:$AB$495,(SUMPRODUCT((('CASE MASTER'!$T$2:$T$495=9)*('CASE MASTER'!$AA$2:$AA$495&lt;=8)*('CASE MASTER'!$AC$2:$AC$495&gt;=8)*('CASE MASTER'!$AB$2:$AB$495&lt;=4)*('CASE MASTER'!$AD$2:$AD$495&gt;=4))*ROW('CASE MASTER'!$T$2:$T$495))-(ROW('CASE MASTER'!#REF!)-1)))+1)+(4-INDEX('CASE MASTER'!$AB$2:$AB$495,(SUMPRODUCT((('CASE MASTER'!$T$2:$T$495=9)*('CASE MASTER'!$AA$2:$AA$495&lt;=8)*('CASE MASTER'!$AC$2:$AC$495&gt;=8)*('CASE MASTER'!$AB$2:$AB$495&lt;=4)*('CASE MASTER'!$AD$2:$AD$495&gt;=4))*ROW('CASE MASTER'!$T$2:$T$495))-(ROW('CASE MASTER'!#REF!)-1))))+1)))-1)*50+1,50))&amp;"_"&amp;INDEX('CASE MASTER'!$Q$2:$Q$495,(SUMPRODUCT((('CASE MASTER'!$T$2:$T$495=9)*('CASE MASTER'!$AA$2:$AA$495&lt;=8)*('CASE MASTER'!$AC$2:$AC$495&gt;=8)*('CASE MASTER'!$AB$2:$AB$495&lt;=4)*('CASE MASTER'!$AD$2:$AD$495&gt;=4))*ROW('CASE MASTER'!$T$2:$T$495))-(ROW('CASE MASTER'!#REF!)-1))),"")),"")</f>
        <v/>
      </c>
      <c r="F122" s="10" t="str">
        <f>IFERROR(IF(SUMPRODUCT((('CASE MASTER'!$T$2:$T$495=9)*('CASE MASTER'!$U$2:$U$495&lt;=8)*('CASE MASTER'!$W$2:$W$495&gt;=8)*('CASE MASTER'!$V$2:$V$495&lt;=5)*('CASE MASTER'!$X$2:$X$495&gt;=5))*ROW('CASE MASTER'!$T$2:$T$495))&gt;0,INDEX('CASE MASTER'!$Y$2:$Y$495,(SUMPRODUCT((('CASE MASTER'!$T$2:$T$495=9)*('CASE MASTER'!$U$2:$U$495&lt;=8)*('CASE MASTER'!$W$2:$W$495&gt;=8)*('CASE MASTER'!$V$2:$V$495&lt;=5)*('CASE MASTER'!$X$2:$X$495&gt;=5))*ROW('CASE MASTER'!$T$2:$T$495))-(ROW('CASE MASTER'!#REF!)-1)))&amp;TRIM(MID(SUBSTITUTE(SUBSTITUTE(INDEX('CASE MASTER'!$N$2:$N$495,(SUMPRODUCT((('CASE MASTER'!$T$2:$T$495=9)*('CASE MASTER'!$U$2:$U$495&lt;=8)*('CASE MASTER'!$W$2:$W$495&gt;=8)*('CASE MASTER'!$V$2:$V$495&lt;=5)*('CASE MASTER'!$X$2:$X$495&gt;=5))*ROW('CASE MASTER'!$T$2:$T$495))-(ROW('CASE MASTER'!#REF!)-1))),":",","),",",REPT(" ",50)),((((8-INDEX('CASE MASTER'!$U$2:$U$495,(SUMPRODUCT((('CASE MASTER'!$T$2:$T$495=9)*('CASE MASTER'!$U$2:$U$495&lt;=8)*('CASE MASTER'!$W$2:$W$495&gt;=8)*('CASE MASTER'!$V$2:$V$495&lt;=5)*('CASE MASTER'!$X$2:$X$495&gt;=5))*ROW('CASE MASTER'!$T$2:$T$495))-(ROW('CASE MASTER'!#REF!)-1))))*(INDEX('CASE MASTER'!$X$2:$X$495,(SUMPRODUCT((('CASE MASTER'!$T$2:$T$495=9)*('CASE MASTER'!$U$2:$U$495&lt;=8)*('CASE MASTER'!$W$2:$W$495&gt;=8)*('CASE MASTER'!$V$2:$V$495&lt;=5)*('CASE MASTER'!$X$2:$X$495&gt;=5))*ROW('CASE MASTER'!$T$2:$T$495))-(ROW('CASE MASTER'!#REF!)-1)))-INDEX('CASE MASTER'!$V$2:$V$495,(SUMPRODUCT((('CASE MASTER'!$T$2:$T$495=9)*('CASE MASTER'!$U$2:$U$495&lt;=8)*('CASE MASTER'!$W$2:$W$495&gt;=8)*('CASE MASTER'!$V$2:$V$495&lt;=5)*('CASE MASTER'!$X$2:$X$495&gt;=5))*ROW('CASE MASTER'!$T$2:$T$495))-(ROW('CASE MASTER'!#REF!)-1)))+1)+(5-INDEX('CASE MASTER'!$V$2:$V$495,(SUMPRODUCT((('CASE MASTER'!$T$2:$T$495=9)*('CASE MASTER'!$U$2:$U$495&lt;=8)*('CASE MASTER'!$W$2:$W$495&gt;=8)*('CASE MASTER'!$V$2:$V$495&lt;=5)*('CASE MASTER'!$X$2:$X$495&gt;=5))*ROW('CASE MASTER'!$T$2:$T$495))-(ROW('CASE MASTER'!#REF!)-1))))+1))-1)*50+1,50))&amp;"_"&amp;INDEX('CASE MASTER'!$Q$2:$Q$495,(SUMPRODUCT((('CASE MASTER'!$T$2:$T$495=9)*('CASE MASTER'!$U$2:$U$495&lt;=8)*('CASE MASTER'!$W$2:$W$495&gt;=8)*('CASE MASTER'!$V$2:$V$495&lt;=5)*('CASE MASTER'!$X$2:$X$495&gt;=5))*ROW('CASE MASTER'!$T$2:$T$495))-(ROW('CASE MASTER'!#REF!)-1))),IF(SUMPRODUCT((('CASE MASTER'!$T$2:$T$495=9)*('CASE MASTER'!$AA$2:$AA$495&lt;=8)*('CASE MASTER'!$AC$2:$AC$495&gt;=8)*('CASE MASTER'!$AB$2:$AB$495&lt;=5)*('CASE MASTER'!$AD$2:$AD$495&gt;=5))*ROW('CASE MASTER'!$T$2:$T$495))&gt;0,INDEX('CASE MASTER'!$Y$2:$Y$495,(SUMPRODUCT((('CASE MASTER'!$T$2:$T$495=9)*('CASE MASTER'!$AA$2:$AA$495&lt;=8)*('CASE MASTER'!$AC$2:$AC$495&gt;=8)*('CASE MASTER'!$AB$2:$AB$495&lt;=5)*('CASE MASTER'!$AD$2:$AD$495&gt;=5))*ROW('CASE MASTER'!$T$2:$T$495))-(ROW('CASE MASTER'!#REF!)-1)))&amp;TRIM(MID(SUBSTITUTE(SUBSTITUTE(INDEX('CASE MASTER'!$N$2:$N$495,(SUMPRODUCT((('CASE MASTER'!$T$2:$T$495=9)*('CASE MASTER'!$AA$2:$AA$495&lt;=8)*('CASE MASTER'!$AC$2:$AC$495&gt;=8)*('CASE MASTER'!$AB$2:$AB$495&lt;=5)*('CASE MASTER'!$AD$2:$AD$495&gt;=5))*ROW('CASE MASTER'!$T$2:$T$495))-(ROW('CASE MASTER'!#REF!)-1))),":",","),",",REPT(" ",50)),(((INDEX('CASE MASTER'!$Z$2:$Z$495,(SUMPRODUCT((('CASE MASTER'!$T$2:$T$495=9)*('CASE MASTER'!$AA$2:$AA$495&lt;=8)*('CASE MASTER'!$AC$2:$AC$495&gt;=8)*('CASE MASTER'!$AB$2:$AB$495&lt;=5)*('CASE MASTER'!$AD$2:$AD$495&gt;=5))*ROW('CASE MASTER'!$T$2:$T$495))-(ROW('CASE MASTER'!#REF!)-1)))+((8-INDEX('CASE MASTER'!$AA$2:$AA$495,(SUMPRODUCT((('CASE MASTER'!$T$2:$T$495=9)*('CASE MASTER'!$AA$2:$AA$495&lt;=8)*('CASE MASTER'!$AC$2:$AC$495&gt;=8)*('CASE MASTER'!$AB$2:$AB$495&lt;=5)*('CASE MASTER'!$AD$2:$AD$495&gt;=5))*ROW('CASE MASTER'!$T$2:$T$495))-(ROW('CASE MASTER'!#REF!)-1))))*(INDEX('CASE MASTER'!$AD$2:$AD$495,(SUMPRODUCT((('CASE MASTER'!$T$2:$T$495=9)*('CASE MASTER'!$AA$2:$AA$495&lt;=8)*('CASE MASTER'!$AC$2:$AC$495&gt;=8)*('CASE MASTER'!$AB$2:$AB$495&lt;=5)*('CASE MASTER'!$AD$2:$AD$495&gt;=5))*ROW('CASE MASTER'!$T$2:$T$495))-(ROW('CASE MASTER'!#REF!)-1)))-INDEX('CASE MASTER'!$AB$2:$AB$495,(SUMPRODUCT((('CASE MASTER'!$T$2:$T$495=9)*('CASE MASTER'!$AA$2:$AA$495&lt;=8)*('CASE MASTER'!$AC$2:$AC$495&gt;=8)*('CASE MASTER'!$AB$2:$AB$495&lt;=5)*('CASE MASTER'!$AD$2:$AD$495&gt;=5))*ROW('CASE MASTER'!$T$2:$T$495))-(ROW('CASE MASTER'!#REF!)-1)))+1)+(5-INDEX('CASE MASTER'!$AB$2:$AB$495,(SUMPRODUCT((('CASE MASTER'!$T$2:$T$495=9)*('CASE MASTER'!$AA$2:$AA$495&lt;=8)*('CASE MASTER'!$AC$2:$AC$495&gt;=8)*('CASE MASTER'!$AB$2:$AB$495&lt;=5)*('CASE MASTER'!$AD$2:$AD$495&gt;=5))*ROW('CASE MASTER'!$T$2:$T$495))-(ROW('CASE MASTER'!#REF!)-1))))+1)))-1)*50+1,50))&amp;"_"&amp;INDEX('CASE MASTER'!$Q$2:$Q$495,(SUMPRODUCT((('CASE MASTER'!$T$2:$T$495=9)*('CASE MASTER'!$AA$2:$AA$495&lt;=8)*('CASE MASTER'!$AC$2:$AC$495&gt;=8)*('CASE MASTER'!$AB$2:$AB$495&lt;=5)*('CASE MASTER'!$AD$2:$AD$495&gt;=5))*ROW('CASE MASTER'!$T$2:$T$495))-(ROW('CASE MASTER'!#REF!)-1))),"")),"")</f>
        <v/>
      </c>
      <c r="G122" s="10" t="str">
        <f>IFERROR(IF(SUMPRODUCT((('CASE MASTER'!$T$2:$T$495=9)*('CASE MASTER'!$U$2:$U$495&lt;=8)*('CASE MASTER'!$W$2:$W$495&gt;=8)*('CASE MASTER'!$V$2:$V$495&lt;=6)*('CASE MASTER'!$X$2:$X$495&gt;=6))*ROW('CASE MASTER'!$T$2:$T$495))&gt;0,INDEX('CASE MASTER'!$Y$2:$Y$495,(SUMPRODUCT((('CASE MASTER'!$T$2:$T$495=9)*('CASE MASTER'!$U$2:$U$495&lt;=8)*('CASE MASTER'!$W$2:$W$495&gt;=8)*('CASE MASTER'!$V$2:$V$495&lt;=6)*('CASE MASTER'!$X$2:$X$495&gt;=6))*ROW('CASE MASTER'!$T$2:$T$495))-(ROW('CASE MASTER'!#REF!)-1)))&amp;TRIM(MID(SUBSTITUTE(SUBSTITUTE(INDEX('CASE MASTER'!$N$2:$N$495,(SUMPRODUCT((('CASE MASTER'!$T$2:$T$495=9)*('CASE MASTER'!$U$2:$U$495&lt;=8)*('CASE MASTER'!$W$2:$W$495&gt;=8)*('CASE MASTER'!$V$2:$V$495&lt;=6)*('CASE MASTER'!$X$2:$X$495&gt;=6))*ROW('CASE MASTER'!$T$2:$T$495))-(ROW('CASE MASTER'!#REF!)-1))),":",","),",",REPT(" ",50)),((((8-INDEX('CASE MASTER'!$U$2:$U$495,(SUMPRODUCT((('CASE MASTER'!$T$2:$T$495=9)*('CASE MASTER'!$U$2:$U$495&lt;=8)*('CASE MASTER'!$W$2:$W$495&gt;=8)*('CASE MASTER'!$V$2:$V$495&lt;=6)*('CASE MASTER'!$X$2:$X$495&gt;=6))*ROW('CASE MASTER'!$T$2:$T$495))-(ROW('CASE MASTER'!#REF!)-1))))*(INDEX('CASE MASTER'!$X$2:$X$495,(SUMPRODUCT((('CASE MASTER'!$T$2:$T$495=9)*('CASE MASTER'!$U$2:$U$495&lt;=8)*('CASE MASTER'!$W$2:$W$495&gt;=8)*('CASE MASTER'!$V$2:$V$495&lt;=6)*('CASE MASTER'!$X$2:$X$495&gt;=6))*ROW('CASE MASTER'!$T$2:$T$495))-(ROW('CASE MASTER'!#REF!)-1)))-INDEX('CASE MASTER'!$V$2:$V$495,(SUMPRODUCT((('CASE MASTER'!$T$2:$T$495=9)*('CASE MASTER'!$U$2:$U$495&lt;=8)*('CASE MASTER'!$W$2:$W$495&gt;=8)*('CASE MASTER'!$V$2:$V$495&lt;=6)*('CASE MASTER'!$X$2:$X$495&gt;=6))*ROW('CASE MASTER'!$T$2:$T$495))-(ROW('CASE MASTER'!#REF!)-1)))+1)+(6-INDEX('CASE MASTER'!$V$2:$V$495,(SUMPRODUCT((('CASE MASTER'!$T$2:$T$495=9)*('CASE MASTER'!$U$2:$U$495&lt;=8)*('CASE MASTER'!$W$2:$W$495&gt;=8)*('CASE MASTER'!$V$2:$V$495&lt;=6)*('CASE MASTER'!$X$2:$X$495&gt;=6))*ROW('CASE MASTER'!$T$2:$T$495))-(ROW('CASE MASTER'!#REF!)-1))))+1))-1)*50+1,50))&amp;"_"&amp;INDEX('CASE MASTER'!$Q$2:$Q$495,(SUMPRODUCT((('CASE MASTER'!$T$2:$T$495=9)*('CASE MASTER'!$U$2:$U$495&lt;=8)*('CASE MASTER'!$W$2:$W$495&gt;=8)*('CASE MASTER'!$V$2:$V$495&lt;=6)*('CASE MASTER'!$X$2:$X$495&gt;=6))*ROW('CASE MASTER'!$T$2:$T$495))-(ROW('CASE MASTER'!#REF!)-1))),IF(SUMPRODUCT((('CASE MASTER'!$T$2:$T$495=9)*('CASE MASTER'!$AA$2:$AA$495&lt;=8)*('CASE MASTER'!$AC$2:$AC$495&gt;=8)*('CASE MASTER'!$AB$2:$AB$495&lt;=6)*('CASE MASTER'!$AD$2:$AD$495&gt;=6))*ROW('CASE MASTER'!$T$2:$T$495))&gt;0,INDEX('CASE MASTER'!$Y$2:$Y$495,(SUMPRODUCT((('CASE MASTER'!$T$2:$T$495=9)*('CASE MASTER'!$AA$2:$AA$495&lt;=8)*('CASE MASTER'!$AC$2:$AC$495&gt;=8)*('CASE MASTER'!$AB$2:$AB$495&lt;=6)*('CASE MASTER'!$AD$2:$AD$495&gt;=6))*ROW('CASE MASTER'!$T$2:$T$495))-(ROW('CASE MASTER'!#REF!)-1)))&amp;TRIM(MID(SUBSTITUTE(SUBSTITUTE(INDEX('CASE MASTER'!$N$2:$N$495,(SUMPRODUCT((('CASE MASTER'!$T$2:$T$495=9)*('CASE MASTER'!$AA$2:$AA$495&lt;=8)*('CASE MASTER'!$AC$2:$AC$495&gt;=8)*('CASE MASTER'!$AB$2:$AB$495&lt;=6)*('CASE MASTER'!$AD$2:$AD$495&gt;=6))*ROW('CASE MASTER'!$T$2:$T$495))-(ROW('CASE MASTER'!#REF!)-1))),":",","),",",REPT(" ",50)),(((INDEX('CASE MASTER'!$Z$2:$Z$495,(SUMPRODUCT((('CASE MASTER'!$T$2:$T$495=9)*('CASE MASTER'!$AA$2:$AA$495&lt;=8)*('CASE MASTER'!$AC$2:$AC$495&gt;=8)*('CASE MASTER'!$AB$2:$AB$495&lt;=6)*('CASE MASTER'!$AD$2:$AD$495&gt;=6))*ROW('CASE MASTER'!$T$2:$T$495))-(ROW('CASE MASTER'!#REF!)-1)))+((8-INDEX('CASE MASTER'!$AA$2:$AA$495,(SUMPRODUCT((('CASE MASTER'!$T$2:$T$495=9)*('CASE MASTER'!$AA$2:$AA$495&lt;=8)*('CASE MASTER'!$AC$2:$AC$495&gt;=8)*('CASE MASTER'!$AB$2:$AB$495&lt;=6)*('CASE MASTER'!$AD$2:$AD$495&gt;=6))*ROW('CASE MASTER'!$T$2:$T$495))-(ROW('CASE MASTER'!#REF!)-1))))*(INDEX('CASE MASTER'!$AD$2:$AD$495,(SUMPRODUCT((('CASE MASTER'!$T$2:$T$495=9)*('CASE MASTER'!$AA$2:$AA$495&lt;=8)*('CASE MASTER'!$AC$2:$AC$495&gt;=8)*('CASE MASTER'!$AB$2:$AB$495&lt;=6)*('CASE MASTER'!$AD$2:$AD$495&gt;=6))*ROW('CASE MASTER'!$T$2:$T$495))-(ROW('CASE MASTER'!#REF!)-1)))-INDEX('CASE MASTER'!$AB$2:$AB$495,(SUMPRODUCT((('CASE MASTER'!$T$2:$T$495=9)*('CASE MASTER'!$AA$2:$AA$495&lt;=8)*('CASE MASTER'!$AC$2:$AC$495&gt;=8)*('CASE MASTER'!$AB$2:$AB$495&lt;=6)*('CASE MASTER'!$AD$2:$AD$495&gt;=6))*ROW('CASE MASTER'!$T$2:$T$495))-(ROW('CASE MASTER'!#REF!)-1)))+1)+(6-INDEX('CASE MASTER'!$AB$2:$AB$495,(SUMPRODUCT((('CASE MASTER'!$T$2:$T$495=9)*('CASE MASTER'!$AA$2:$AA$495&lt;=8)*('CASE MASTER'!$AC$2:$AC$495&gt;=8)*('CASE MASTER'!$AB$2:$AB$495&lt;=6)*('CASE MASTER'!$AD$2:$AD$495&gt;=6))*ROW('CASE MASTER'!$T$2:$T$495))-(ROW('CASE MASTER'!#REF!)-1))))+1)))-1)*50+1,50))&amp;"_"&amp;INDEX('CASE MASTER'!$Q$2:$Q$495,(SUMPRODUCT((('CASE MASTER'!$T$2:$T$495=9)*('CASE MASTER'!$AA$2:$AA$495&lt;=8)*('CASE MASTER'!$AC$2:$AC$495&gt;=8)*('CASE MASTER'!$AB$2:$AB$495&lt;=6)*('CASE MASTER'!$AD$2:$AD$495&gt;=6))*ROW('CASE MASTER'!$T$2:$T$495))-(ROW('CASE MASTER'!#REF!)-1))),"")),"")</f>
        <v/>
      </c>
      <c r="H122" s="10" t="str">
        <f>IFERROR(IF(SUMPRODUCT((('CASE MASTER'!$T$2:$T$495=9)*('CASE MASTER'!$U$2:$U$495&lt;=8)*('CASE MASTER'!$W$2:$W$495&gt;=8)*('CASE MASTER'!$V$2:$V$495&lt;=7)*('CASE MASTER'!$X$2:$X$495&gt;=7))*ROW('CASE MASTER'!$T$2:$T$495))&gt;0,INDEX('CASE MASTER'!$Y$2:$Y$495,(SUMPRODUCT((('CASE MASTER'!$T$2:$T$495=9)*('CASE MASTER'!$U$2:$U$495&lt;=8)*('CASE MASTER'!$W$2:$W$495&gt;=8)*('CASE MASTER'!$V$2:$V$495&lt;=7)*('CASE MASTER'!$X$2:$X$495&gt;=7))*ROW('CASE MASTER'!$T$2:$T$495))-(ROW('CASE MASTER'!#REF!)-1)))&amp;TRIM(MID(SUBSTITUTE(SUBSTITUTE(INDEX('CASE MASTER'!$N$2:$N$495,(SUMPRODUCT((('CASE MASTER'!$T$2:$T$495=9)*('CASE MASTER'!$U$2:$U$495&lt;=8)*('CASE MASTER'!$W$2:$W$495&gt;=8)*('CASE MASTER'!$V$2:$V$495&lt;=7)*('CASE MASTER'!$X$2:$X$495&gt;=7))*ROW('CASE MASTER'!$T$2:$T$495))-(ROW('CASE MASTER'!#REF!)-1))),":",","),",",REPT(" ",50)),((((8-INDEX('CASE MASTER'!$U$2:$U$495,(SUMPRODUCT((('CASE MASTER'!$T$2:$T$495=9)*('CASE MASTER'!$U$2:$U$495&lt;=8)*('CASE MASTER'!$W$2:$W$495&gt;=8)*('CASE MASTER'!$V$2:$V$495&lt;=7)*('CASE MASTER'!$X$2:$X$495&gt;=7))*ROW('CASE MASTER'!$T$2:$T$495))-(ROW('CASE MASTER'!#REF!)-1))))*(INDEX('CASE MASTER'!$X$2:$X$495,(SUMPRODUCT((('CASE MASTER'!$T$2:$T$495=9)*('CASE MASTER'!$U$2:$U$495&lt;=8)*('CASE MASTER'!$W$2:$W$495&gt;=8)*('CASE MASTER'!$V$2:$V$495&lt;=7)*('CASE MASTER'!$X$2:$X$495&gt;=7))*ROW('CASE MASTER'!$T$2:$T$495))-(ROW('CASE MASTER'!#REF!)-1)))-INDEX('CASE MASTER'!$V$2:$V$495,(SUMPRODUCT((('CASE MASTER'!$T$2:$T$495=9)*('CASE MASTER'!$U$2:$U$495&lt;=8)*('CASE MASTER'!$W$2:$W$495&gt;=8)*('CASE MASTER'!$V$2:$V$495&lt;=7)*('CASE MASTER'!$X$2:$X$495&gt;=7))*ROW('CASE MASTER'!$T$2:$T$495))-(ROW('CASE MASTER'!#REF!)-1)))+1)+(7-INDEX('CASE MASTER'!$V$2:$V$495,(SUMPRODUCT((('CASE MASTER'!$T$2:$T$495=9)*('CASE MASTER'!$U$2:$U$495&lt;=8)*('CASE MASTER'!$W$2:$W$495&gt;=8)*('CASE MASTER'!$V$2:$V$495&lt;=7)*('CASE MASTER'!$X$2:$X$495&gt;=7))*ROW('CASE MASTER'!$T$2:$T$495))-(ROW('CASE MASTER'!#REF!)-1))))+1))-1)*50+1,50))&amp;"_"&amp;INDEX('CASE MASTER'!$Q$2:$Q$495,(SUMPRODUCT((('CASE MASTER'!$T$2:$T$495=9)*('CASE MASTER'!$U$2:$U$495&lt;=8)*('CASE MASTER'!$W$2:$W$495&gt;=8)*('CASE MASTER'!$V$2:$V$495&lt;=7)*('CASE MASTER'!$X$2:$X$495&gt;=7))*ROW('CASE MASTER'!$T$2:$T$495))-(ROW('CASE MASTER'!#REF!)-1))),IF(SUMPRODUCT((('CASE MASTER'!$T$2:$T$495=9)*('CASE MASTER'!$AA$2:$AA$495&lt;=8)*('CASE MASTER'!$AC$2:$AC$495&gt;=8)*('CASE MASTER'!$AB$2:$AB$495&lt;=7)*('CASE MASTER'!$AD$2:$AD$495&gt;=7))*ROW('CASE MASTER'!$T$2:$T$495))&gt;0,INDEX('CASE MASTER'!$Y$2:$Y$495,(SUMPRODUCT((('CASE MASTER'!$T$2:$T$495=9)*('CASE MASTER'!$AA$2:$AA$495&lt;=8)*('CASE MASTER'!$AC$2:$AC$495&gt;=8)*('CASE MASTER'!$AB$2:$AB$495&lt;=7)*('CASE MASTER'!$AD$2:$AD$495&gt;=7))*ROW('CASE MASTER'!$T$2:$T$495))-(ROW('CASE MASTER'!#REF!)-1)))&amp;TRIM(MID(SUBSTITUTE(SUBSTITUTE(INDEX('CASE MASTER'!$N$2:$N$495,(SUMPRODUCT((('CASE MASTER'!$T$2:$T$495=9)*('CASE MASTER'!$AA$2:$AA$495&lt;=8)*('CASE MASTER'!$AC$2:$AC$495&gt;=8)*('CASE MASTER'!$AB$2:$AB$495&lt;=7)*('CASE MASTER'!$AD$2:$AD$495&gt;=7))*ROW('CASE MASTER'!$T$2:$T$495))-(ROW('CASE MASTER'!#REF!)-1))),":",","),",",REPT(" ",50)),(((INDEX('CASE MASTER'!$Z$2:$Z$495,(SUMPRODUCT((('CASE MASTER'!$T$2:$T$495=9)*('CASE MASTER'!$AA$2:$AA$495&lt;=8)*('CASE MASTER'!$AC$2:$AC$495&gt;=8)*('CASE MASTER'!$AB$2:$AB$495&lt;=7)*('CASE MASTER'!$AD$2:$AD$495&gt;=7))*ROW('CASE MASTER'!$T$2:$T$495))-(ROW('CASE MASTER'!#REF!)-1)))+((8-INDEX('CASE MASTER'!$AA$2:$AA$495,(SUMPRODUCT((('CASE MASTER'!$T$2:$T$495=9)*('CASE MASTER'!$AA$2:$AA$495&lt;=8)*('CASE MASTER'!$AC$2:$AC$495&gt;=8)*('CASE MASTER'!$AB$2:$AB$495&lt;=7)*('CASE MASTER'!$AD$2:$AD$495&gt;=7))*ROW('CASE MASTER'!$T$2:$T$495))-(ROW('CASE MASTER'!#REF!)-1))))*(INDEX('CASE MASTER'!$AD$2:$AD$495,(SUMPRODUCT((('CASE MASTER'!$T$2:$T$495=9)*('CASE MASTER'!$AA$2:$AA$495&lt;=8)*('CASE MASTER'!$AC$2:$AC$495&gt;=8)*('CASE MASTER'!$AB$2:$AB$495&lt;=7)*('CASE MASTER'!$AD$2:$AD$495&gt;=7))*ROW('CASE MASTER'!$T$2:$T$495))-(ROW('CASE MASTER'!#REF!)-1)))-INDEX('CASE MASTER'!$AB$2:$AB$495,(SUMPRODUCT((('CASE MASTER'!$T$2:$T$495=9)*('CASE MASTER'!$AA$2:$AA$495&lt;=8)*('CASE MASTER'!$AC$2:$AC$495&gt;=8)*('CASE MASTER'!$AB$2:$AB$495&lt;=7)*('CASE MASTER'!$AD$2:$AD$495&gt;=7))*ROW('CASE MASTER'!$T$2:$T$495))-(ROW('CASE MASTER'!#REF!)-1)))+1)+(7-INDEX('CASE MASTER'!$AB$2:$AB$495,(SUMPRODUCT((('CASE MASTER'!$T$2:$T$495=9)*('CASE MASTER'!$AA$2:$AA$495&lt;=8)*('CASE MASTER'!$AC$2:$AC$495&gt;=8)*('CASE MASTER'!$AB$2:$AB$495&lt;=7)*('CASE MASTER'!$AD$2:$AD$495&gt;=7))*ROW('CASE MASTER'!$T$2:$T$495))-(ROW('CASE MASTER'!#REF!)-1))))+1)))-1)*50+1,50))&amp;"_"&amp;INDEX('CASE MASTER'!$Q$2:$Q$495,(SUMPRODUCT((('CASE MASTER'!$T$2:$T$495=9)*('CASE MASTER'!$AA$2:$AA$495&lt;=8)*('CASE MASTER'!$AC$2:$AC$495&gt;=8)*('CASE MASTER'!$AB$2:$AB$495&lt;=7)*('CASE MASTER'!$AD$2:$AD$495&gt;=7))*ROW('CASE MASTER'!$T$2:$T$495))-(ROW('CASE MASTER'!#REF!)-1))),"")),"")</f>
        <v/>
      </c>
      <c r="I122" s="10" t="str">
        <f>IFERROR(IF(SUMPRODUCT((('CASE MASTER'!$T$2:$T$495=9)*('CASE MASTER'!$U$2:$U$495&lt;=8)*('CASE MASTER'!$W$2:$W$495&gt;=8)*('CASE MASTER'!$V$2:$V$495&lt;=8)*('CASE MASTER'!$X$2:$X$495&gt;=8))*ROW('CASE MASTER'!$T$2:$T$495))&gt;0,INDEX('CASE MASTER'!$Y$2:$Y$495,(SUMPRODUCT((('CASE MASTER'!$T$2:$T$495=9)*('CASE MASTER'!$U$2:$U$495&lt;=8)*('CASE MASTER'!$W$2:$W$495&gt;=8)*('CASE MASTER'!$V$2:$V$495&lt;=8)*('CASE MASTER'!$X$2:$X$495&gt;=8))*ROW('CASE MASTER'!$T$2:$T$495))-(ROW('CASE MASTER'!#REF!)-1)))&amp;TRIM(MID(SUBSTITUTE(SUBSTITUTE(INDEX('CASE MASTER'!$N$2:$N$495,(SUMPRODUCT((('CASE MASTER'!$T$2:$T$495=9)*('CASE MASTER'!$U$2:$U$495&lt;=8)*('CASE MASTER'!$W$2:$W$495&gt;=8)*('CASE MASTER'!$V$2:$V$495&lt;=8)*('CASE MASTER'!$X$2:$X$495&gt;=8))*ROW('CASE MASTER'!$T$2:$T$495))-(ROW('CASE MASTER'!#REF!)-1))),":",","),",",REPT(" ",50)),((((8-INDEX('CASE MASTER'!$U$2:$U$495,(SUMPRODUCT((('CASE MASTER'!$T$2:$T$495=9)*('CASE MASTER'!$U$2:$U$495&lt;=8)*('CASE MASTER'!$W$2:$W$495&gt;=8)*('CASE MASTER'!$V$2:$V$495&lt;=8)*('CASE MASTER'!$X$2:$X$495&gt;=8))*ROW('CASE MASTER'!$T$2:$T$495))-(ROW('CASE MASTER'!#REF!)-1))))*(INDEX('CASE MASTER'!$X$2:$X$495,(SUMPRODUCT((('CASE MASTER'!$T$2:$T$495=9)*('CASE MASTER'!$U$2:$U$495&lt;=8)*('CASE MASTER'!$W$2:$W$495&gt;=8)*('CASE MASTER'!$V$2:$V$495&lt;=8)*('CASE MASTER'!$X$2:$X$495&gt;=8))*ROW('CASE MASTER'!$T$2:$T$495))-(ROW('CASE MASTER'!#REF!)-1)))-INDEX('CASE MASTER'!$V$2:$V$495,(SUMPRODUCT((('CASE MASTER'!$T$2:$T$495=9)*('CASE MASTER'!$U$2:$U$495&lt;=8)*('CASE MASTER'!$W$2:$W$495&gt;=8)*('CASE MASTER'!$V$2:$V$495&lt;=8)*('CASE MASTER'!$X$2:$X$495&gt;=8))*ROW('CASE MASTER'!$T$2:$T$495))-(ROW('CASE MASTER'!#REF!)-1)))+1)+(8-INDEX('CASE MASTER'!$V$2:$V$495,(SUMPRODUCT((('CASE MASTER'!$T$2:$T$495=9)*('CASE MASTER'!$U$2:$U$495&lt;=8)*('CASE MASTER'!$W$2:$W$495&gt;=8)*('CASE MASTER'!$V$2:$V$495&lt;=8)*('CASE MASTER'!$X$2:$X$495&gt;=8))*ROW('CASE MASTER'!$T$2:$T$495))-(ROW('CASE MASTER'!#REF!)-1))))+1))-1)*50+1,50))&amp;"_"&amp;INDEX('CASE MASTER'!$Q$2:$Q$495,(SUMPRODUCT((('CASE MASTER'!$T$2:$T$495=9)*('CASE MASTER'!$U$2:$U$495&lt;=8)*('CASE MASTER'!$W$2:$W$495&gt;=8)*('CASE MASTER'!$V$2:$V$495&lt;=8)*('CASE MASTER'!$X$2:$X$495&gt;=8))*ROW('CASE MASTER'!$T$2:$T$495))-(ROW('CASE MASTER'!#REF!)-1))),IF(SUMPRODUCT((('CASE MASTER'!$T$2:$T$495=9)*('CASE MASTER'!$AA$2:$AA$495&lt;=8)*('CASE MASTER'!$AC$2:$AC$495&gt;=8)*('CASE MASTER'!$AB$2:$AB$495&lt;=8)*('CASE MASTER'!$AD$2:$AD$495&gt;=8))*ROW('CASE MASTER'!$T$2:$T$495))&gt;0,INDEX('CASE MASTER'!$Y$2:$Y$495,(SUMPRODUCT((('CASE MASTER'!$T$2:$T$495=9)*('CASE MASTER'!$AA$2:$AA$495&lt;=8)*('CASE MASTER'!$AC$2:$AC$495&gt;=8)*('CASE MASTER'!$AB$2:$AB$495&lt;=8)*('CASE MASTER'!$AD$2:$AD$495&gt;=8))*ROW('CASE MASTER'!$T$2:$T$495))-(ROW('CASE MASTER'!#REF!)-1)))&amp;TRIM(MID(SUBSTITUTE(SUBSTITUTE(INDEX('CASE MASTER'!$N$2:$N$495,(SUMPRODUCT((('CASE MASTER'!$T$2:$T$495=9)*('CASE MASTER'!$AA$2:$AA$495&lt;=8)*('CASE MASTER'!$AC$2:$AC$495&gt;=8)*('CASE MASTER'!$AB$2:$AB$495&lt;=8)*('CASE MASTER'!$AD$2:$AD$495&gt;=8))*ROW('CASE MASTER'!$T$2:$T$495))-(ROW('CASE MASTER'!#REF!)-1))),":",","),",",REPT(" ",50)),(((INDEX('CASE MASTER'!$Z$2:$Z$495,(SUMPRODUCT((('CASE MASTER'!$T$2:$T$495=9)*('CASE MASTER'!$AA$2:$AA$495&lt;=8)*('CASE MASTER'!$AC$2:$AC$495&gt;=8)*('CASE MASTER'!$AB$2:$AB$495&lt;=8)*('CASE MASTER'!$AD$2:$AD$495&gt;=8))*ROW('CASE MASTER'!$T$2:$T$495))-(ROW('CASE MASTER'!#REF!)-1)))+((8-INDEX('CASE MASTER'!$AA$2:$AA$495,(SUMPRODUCT((('CASE MASTER'!$T$2:$T$495=9)*('CASE MASTER'!$AA$2:$AA$495&lt;=8)*('CASE MASTER'!$AC$2:$AC$495&gt;=8)*('CASE MASTER'!$AB$2:$AB$495&lt;=8)*('CASE MASTER'!$AD$2:$AD$495&gt;=8))*ROW('CASE MASTER'!$T$2:$T$495))-(ROW('CASE MASTER'!#REF!)-1))))*(INDEX('CASE MASTER'!$AD$2:$AD$495,(SUMPRODUCT((('CASE MASTER'!$T$2:$T$495=9)*('CASE MASTER'!$AA$2:$AA$495&lt;=8)*('CASE MASTER'!$AC$2:$AC$495&gt;=8)*('CASE MASTER'!$AB$2:$AB$495&lt;=8)*('CASE MASTER'!$AD$2:$AD$495&gt;=8))*ROW('CASE MASTER'!$T$2:$T$495))-(ROW('CASE MASTER'!#REF!)-1)))-INDEX('CASE MASTER'!$AB$2:$AB$495,(SUMPRODUCT((('CASE MASTER'!$T$2:$T$495=9)*('CASE MASTER'!$AA$2:$AA$495&lt;=8)*('CASE MASTER'!$AC$2:$AC$495&gt;=8)*('CASE MASTER'!$AB$2:$AB$495&lt;=8)*('CASE MASTER'!$AD$2:$AD$495&gt;=8))*ROW('CASE MASTER'!$T$2:$T$495))-(ROW('CASE MASTER'!#REF!)-1)))+1)+(8-INDEX('CASE MASTER'!$AB$2:$AB$495,(SUMPRODUCT((('CASE MASTER'!$T$2:$T$495=9)*('CASE MASTER'!$AA$2:$AA$495&lt;=8)*('CASE MASTER'!$AC$2:$AC$495&gt;=8)*('CASE MASTER'!$AB$2:$AB$495&lt;=8)*('CASE MASTER'!$AD$2:$AD$495&gt;=8))*ROW('CASE MASTER'!$T$2:$T$495))-(ROW('CASE MASTER'!#REF!)-1))))+1)))-1)*50+1,50))&amp;"_"&amp;INDEX('CASE MASTER'!$Q$2:$Q$495,(SUMPRODUCT((('CASE MASTER'!$T$2:$T$495=9)*('CASE MASTER'!$AA$2:$AA$495&lt;=8)*('CASE MASTER'!$AC$2:$AC$495&gt;=8)*('CASE MASTER'!$AB$2:$AB$495&lt;=8)*('CASE MASTER'!$AD$2:$AD$495&gt;=8))*ROW('CASE MASTER'!$T$2:$T$495))-(ROW('CASE MASTER'!#REF!)-1))),"")),"")</f>
        <v/>
      </c>
      <c r="J122" s="10" t="str">
        <f>IFERROR(IF(SUMPRODUCT((('CASE MASTER'!$T$2:$T$495=9)*('CASE MASTER'!$U$2:$U$495&lt;=8)*('CASE MASTER'!$W$2:$W$495&gt;=8)*('CASE MASTER'!$V$2:$V$495&lt;=9)*('CASE MASTER'!$X$2:$X$495&gt;=9))*ROW('CASE MASTER'!$T$2:$T$495))&gt;0,INDEX('CASE MASTER'!$Y$2:$Y$495,(SUMPRODUCT((('CASE MASTER'!$T$2:$T$495=9)*('CASE MASTER'!$U$2:$U$495&lt;=8)*('CASE MASTER'!$W$2:$W$495&gt;=8)*('CASE MASTER'!$V$2:$V$495&lt;=9)*('CASE MASTER'!$X$2:$X$495&gt;=9))*ROW('CASE MASTER'!$T$2:$T$495))-(ROW('CASE MASTER'!#REF!)-1)))&amp;TRIM(MID(SUBSTITUTE(SUBSTITUTE(INDEX('CASE MASTER'!$N$2:$N$495,(SUMPRODUCT((('CASE MASTER'!$T$2:$T$495=9)*('CASE MASTER'!$U$2:$U$495&lt;=8)*('CASE MASTER'!$W$2:$W$495&gt;=8)*('CASE MASTER'!$V$2:$V$495&lt;=9)*('CASE MASTER'!$X$2:$X$495&gt;=9))*ROW('CASE MASTER'!$T$2:$T$495))-(ROW('CASE MASTER'!#REF!)-1))),":",","),",",REPT(" ",50)),((((8-INDEX('CASE MASTER'!$U$2:$U$495,(SUMPRODUCT((('CASE MASTER'!$T$2:$T$495=9)*('CASE MASTER'!$U$2:$U$495&lt;=8)*('CASE MASTER'!$W$2:$W$495&gt;=8)*('CASE MASTER'!$V$2:$V$495&lt;=9)*('CASE MASTER'!$X$2:$X$495&gt;=9))*ROW('CASE MASTER'!$T$2:$T$495))-(ROW('CASE MASTER'!#REF!)-1))))*(INDEX('CASE MASTER'!$X$2:$X$495,(SUMPRODUCT((('CASE MASTER'!$T$2:$T$495=9)*('CASE MASTER'!$U$2:$U$495&lt;=8)*('CASE MASTER'!$W$2:$W$495&gt;=8)*('CASE MASTER'!$V$2:$V$495&lt;=9)*('CASE MASTER'!$X$2:$X$495&gt;=9))*ROW('CASE MASTER'!$T$2:$T$495))-(ROW('CASE MASTER'!#REF!)-1)))-INDEX('CASE MASTER'!$V$2:$V$495,(SUMPRODUCT((('CASE MASTER'!$T$2:$T$495=9)*('CASE MASTER'!$U$2:$U$495&lt;=8)*('CASE MASTER'!$W$2:$W$495&gt;=8)*('CASE MASTER'!$V$2:$V$495&lt;=9)*('CASE MASTER'!$X$2:$X$495&gt;=9))*ROW('CASE MASTER'!$T$2:$T$495))-(ROW('CASE MASTER'!#REF!)-1)))+1)+(9-INDEX('CASE MASTER'!$V$2:$V$495,(SUMPRODUCT((('CASE MASTER'!$T$2:$T$495=9)*('CASE MASTER'!$U$2:$U$495&lt;=8)*('CASE MASTER'!$W$2:$W$495&gt;=8)*('CASE MASTER'!$V$2:$V$495&lt;=9)*('CASE MASTER'!$X$2:$X$495&gt;=9))*ROW('CASE MASTER'!$T$2:$T$495))-(ROW('CASE MASTER'!#REF!)-1))))+1))-1)*50+1,50))&amp;"_"&amp;INDEX('CASE MASTER'!$Q$2:$Q$495,(SUMPRODUCT((('CASE MASTER'!$T$2:$T$495=9)*('CASE MASTER'!$U$2:$U$495&lt;=8)*('CASE MASTER'!$W$2:$W$495&gt;=8)*('CASE MASTER'!$V$2:$V$495&lt;=9)*('CASE MASTER'!$X$2:$X$495&gt;=9))*ROW('CASE MASTER'!$T$2:$T$495))-(ROW('CASE MASTER'!#REF!)-1))),IF(SUMPRODUCT((('CASE MASTER'!$T$2:$T$495=9)*('CASE MASTER'!$AA$2:$AA$495&lt;=8)*('CASE MASTER'!$AC$2:$AC$495&gt;=8)*('CASE MASTER'!$AB$2:$AB$495&lt;=9)*('CASE MASTER'!$AD$2:$AD$495&gt;=9))*ROW('CASE MASTER'!$T$2:$T$495))&gt;0,INDEX('CASE MASTER'!$Y$2:$Y$495,(SUMPRODUCT((('CASE MASTER'!$T$2:$T$495=9)*('CASE MASTER'!$AA$2:$AA$495&lt;=8)*('CASE MASTER'!$AC$2:$AC$495&gt;=8)*('CASE MASTER'!$AB$2:$AB$495&lt;=9)*('CASE MASTER'!$AD$2:$AD$495&gt;=9))*ROW('CASE MASTER'!$T$2:$T$495))-(ROW('CASE MASTER'!#REF!)-1)))&amp;TRIM(MID(SUBSTITUTE(SUBSTITUTE(INDEX('CASE MASTER'!$N$2:$N$495,(SUMPRODUCT((('CASE MASTER'!$T$2:$T$495=9)*('CASE MASTER'!$AA$2:$AA$495&lt;=8)*('CASE MASTER'!$AC$2:$AC$495&gt;=8)*('CASE MASTER'!$AB$2:$AB$495&lt;=9)*('CASE MASTER'!$AD$2:$AD$495&gt;=9))*ROW('CASE MASTER'!$T$2:$T$495))-(ROW('CASE MASTER'!#REF!)-1))),":",","),",",REPT(" ",50)),(((INDEX('CASE MASTER'!$Z$2:$Z$495,(SUMPRODUCT((('CASE MASTER'!$T$2:$T$495=9)*('CASE MASTER'!$AA$2:$AA$495&lt;=8)*('CASE MASTER'!$AC$2:$AC$495&gt;=8)*('CASE MASTER'!$AB$2:$AB$495&lt;=9)*('CASE MASTER'!$AD$2:$AD$495&gt;=9))*ROW('CASE MASTER'!$T$2:$T$495))-(ROW('CASE MASTER'!#REF!)-1)))+((8-INDEX('CASE MASTER'!$AA$2:$AA$495,(SUMPRODUCT((('CASE MASTER'!$T$2:$T$495=9)*('CASE MASTER'!$AA$2:$AA$495&lt;=8)*('CASE MASTER'!$AC$2:$AC$495&gt;=8)*('CASE MASTER'!$AB$2:$AB$495&lt;=9)*('CASE MASTER'!$AD$2:$AD$495&gt;=9))*ROW('CASE MASTER'!$T$2:$T$495))-(ROW('CASE MASTER'!#REF!)-1))))*(INDEX('CASE MASTER'!$AD$2:$AD$495,(SUMPRODUCT((('CASE MASTER'!$T$2:$T$495=9)*('CASE MASTER'!$AA$2:$AA$495&lt;=8)*('CASE MASTER'!$AC$2:$AC$495&gt;=8)*('CASE MASTER'!$AB$2:$AB$495&lt;=9)*('CASE MASTER'!$AD$2:$AD$495&gt;=9))*ROW('CASE MASTER'!$T$2:$T$495))-(ROW('CASE MASTER'!#REF!)-1)))-INDEX('CASE MASTER'!$AB$2:$AB$495,(SUMPRODUCT((('CASE MASTER'!$T$2:$T$495=9)*('CASE MASTER'!$AA$2:$AA$495&lt;=8)*('CASE MASTER'!$AC$2:$AC$495&gt;=8)*('CASE MASTER'!$AB$2:$AB$495&lt;=9)*('CASE MASTER'!$AD$2:$AD$495&gt;=9))*ROW('CASE MASTER'!$T$2:$T$495))-(ROW('CASE MASTER'!#REF!)-1)))+1)+(9-INDEX('CASE MASTER'!$AB$2:$AB$495,(SUMPRODUCT((('CASE MASTER'!$T$2:$T$495=9)*('CASE MASTER'!$AA$2:$AA$495&lt;=8)*('CASE MASTER'!$AC$2:$AC$495&gt;=8)*('CASE MASTER'!$AB$2:$AB$495&lt;=9)*('CASE MASTER'!$AD$2:$AD$495&gt;=9))*ROW('CASE MASTER'!$T$2:$T$495))-(ROW('CASE MASTER'!#REF!)-1))))+1)))-1)*50+1,50))&amp;"_"&amp;INDEX('CASE MASTER'!$Q$2:$Q$495,(SUMPRODUCT((('CASE MASTER'!$T$2:$T$495=9)*('CASE MASTER'!$AA$2:$AA$495&lt;=8)*('CASE MASTER'!$AC$2:$AC$495&gt;=8)*('CASE MASTER'!$AB$2:$AB$495&lt;=9)*('CASE MASTER'!$AD$2:$AD$495&gt;=9))*ROW('CASE MASTER'!$T$2:$T$495))-(ROW('CASE MASTER'!#REF!)-1))),"")),"")</f>
        <v/>
      </c>
      <c r="K122" s="10" t="str">
        <f>IFERROR(IF(SUMPRODUCT((('CASE MASTER'!$T$2:$T$495=9)*('CASE MASTER'!$U$2:$U$495&lt;=8)*('CASE MASTER'!$W$2:$W$495&gt;=8)*('CASE MASTER'!$V$2:$V$495&lt;=10)*('CASE MASTER'!$X$2:$X$495&gt;=10))*ROW('CASE MASTER'!$T$2:$T$495))&gt;0,INDEX('CASE MASTER'!$Y$2:$Y$495,(SUMPRODUCT((('CASE MASTER'!$T$2:$T$495=9)*('CASE MASTER'!$U$2:$U$495&lt;=8)*('CASE MASTER'!$W$2:$W$495&gt;=8)*('CASE MASTER'!$V$2:$V$495&lt;=10)*('CASE MASTER'!$X$2:$X$495&gt;=10))*ROW('CASE MASTER'!$T$2:$T$495))-(ROW('CASE MASTER'!#REF!)-1)))&amp;TRIM(MID(SUBSTITUTE(SUBSTITUTE(INDEX('CASE MASTER'!$N$2:$N$495,(SUMPRODUCT((('CASE MASTER'!$T$2:$T$495=9)*('CASE MASTER'!$U$2:$U$495&lt;=8)*('CASE MASTER'!$W$2:$W$495&gt;=8)*('CASE MASTER'!$V$2:$V$495&lt;=10)*('CASE MASTER'!$X$2:$X$495&gt;=10))*ROW('CASE MASTER'!$T$2:$T$495))-(ROW('CASE MASTER'!#REF!)-1))),":",","),",",REPT(" ",50)),((((8-INDEX('CASE MASTER'!$U$2:$U$495,(SUMPRODUCT((('CASE MASTER'!$T$2:$T$495=9)*('CASE MASTER'!$U$2:$U$495&lt;=8)*('CASE MASTER'!$W$2:$W$495&gt;=8)*('CASE MASTER'!$V$2:$V$495&lt;=10)*('CASE MASTER'!$X$2:$X$495&gt;=10))*ROW('CASE MASTER'!$T$2:$T$495))-(ROW('CASE MASTER'!#REF!)-1))))*(INDEX('CASE MASTER'!$X$2:$X$495,(SUMPRODUCT((('CASE MASTER'!$T$2:$T$495=9)*('CASE MASTER'!$U$2:$U$495&lt;=8)*('CASE MASTER'!$W$2:$W$495&gt;=8)*('CASE MASTER'!$V$2:$V$495&lt;=10)*('CASE MASTER'!$X$2:$X$495&gt;=10))*ROW('CASE MASTER'!$T$2:$T$495))-(ROW('CASE MASTER'!#REF!)-1)))-INDEX('CASE MASTER'!$V$2:$V$495,(SUMPRODUCT((('CASE MASTER'!$T$2:$T$495=9)*('CASE MASTER'!$U$2:$U$495&lt;=8)*('CASE MASTER'!$W$2:$W$495&gt;=8)*('CASE MASTER'!$V$2:$V$495&lt;=10)*('CASE MASTER'!$X$2:$X$495&gt;=10))*ROW('CASE MASTER'!$T$2:$T$495))-(ROW('CASE MASTER'!#REF!)-1)))+1)+(10-INDEX('CASE MASTER'!$V$2:$V$495,(SUMPRODUCT((('CASE MASTER'!$T$2:$T$495=9)*('CASE MASTER'!$U$2:$U$495&lt;=8)*('CASE MASTER'!$W$2:$W$495&gt;=8)*('CASE MASTER'!$V$2:$V$495&lt;=10)*('CASE MASTER'!$X$2:$X$495&gt;=10))*ROW('CASE MASTER'!$T$2:$T$495))-(ROW('CASE MASTER'!#REF!)-1))))+1))-1)*50+1,50))&amp;"_"&amp;INDEX('CASE MASTER'!$Q$2:$Q$495,(SUMPRODUCT((('CASE MASTER'!$T$2:$T$495=9)*('CASE MASTER'!$U$2:$U$495&lt;=8)*('CASE MASTER'!$W$2:$W$495&gt;=8)*('CASE MASTER'!$V$2:$V$495&lt;=10)*('CASE MASTER'!$X$2:$X$495&gt;=10))*ROW('CASE MASTER'!$T$2:$T$495))-(ROW('CASE MASTER'!#REF!)-1))),IF(SUMPRODUCT((('CASE MASTER'!$T$2:$T$495=9)*('CASE MASTER'!$AA$2:$AA$495&lt;=8)*('CASE MASTER'!$AC$2:$AC$495&gt;=8)*('CASE MASTER'!$AB$2:$AB$495&lt;=10)*('CASE MASTER'!$AD$2:$AD$495&gt;=10))*ROW('CASE MASTER'!$T$2:$T$495))&gt;0,INDEX('CASE MASTER'!$Y$2:$Y$495,(SUMPRODUCT((('CASE MASTER'!$T$2:$T$495=9)*('CASE MASTER'!$AA$2:$AA$495&lt;=8)*('CASE MASTER'!$AC$2:$AC$495&gt;=8)*('CASE MASTER'!$AB$2:$AB$495&lt;=10)*('CASE MASTER'!$AD$2:$AD$495&gt;=10))*ROW('CASE MASTER'!$T$2:$T$495))-(ROW('CASE MASTER'!#REF!)-1)))&amp;TRIM(MID(SUBSTITUTE(SUBSTITUTE(INDEX('CASE MASTER'!$N$2:$N$495,(SUMPRODUCT((('CASE MASTER'!$T$2:$T$495=9)*('CASE MASTER'!$AA$2:$AA$495&lt;=8)*('CASE MASTER'!$AC$2:$AC$495&gt;=8)*('CASE MASTER'!$AB$2:$AB$495&lt;=10)*('CASE MASTER'!$AD$2:$AD$495&gt;=10))*ROW('CASE MASTER'!$T$2:$T$495))-(ROW('CASE MASTER'!#REF!)-1))),":",","),",",REPT(" ",50)),(((INDEX('CASE MASTER'!$Z$2:$Z$495,(SUMPRODUCT((('CASE MASTER'!$T$2:$T$495=9)*('CASE MASTER'!$AA$2:$AA$495&lt;=8)*('CASE MASTER'!$AC$2:$AC$495&gt;=8)*('CASE MASTER'!$AB$2:$AB$495&lt;=10)*('CASE MASTER'!$AD$2:$AD$495&gt;=10))*ROW('CASE MASTER'!$T$2:$T$495))-(ROW('CASE MASTER'!#REF!)-1)))+((8-INDEX('CASE MASTER'!$AA$2:$AA$495,(SUMPRODUCT((('CASE MASTER'!$T$2:$T$495=9)*('CASE MASTER'!$AA$2:$AA$495&lt;=8)*('CASE MASTER'!$AC$2:$AC$495&gt;=8)*('CASE MASTER'!$AB$2:$AB$495&lt;=10)*('CASE MASTER'!$AD$2:$AD$495&gt;=10))*ROW('CASE MASTER'!$T$2:$T$495))-(ROW('CASE MASTER'!#REF!)-1))))*(INDEX('CASE MASTER'!$AD$2:$AD$495,(SUMPRODUCT((('CASE MASTER'!$T$2:$T$495=9)*('CASE MASTER'!$AA$2:$AA$495&lt;=8)*('CASE MASTER'!$AC$2:$AC$495&gt;=8)*('CASE MASTER'!$AB$2:$AB$495&lt;=10)*('CASE MASTER'!$AD$2:$AD$495&gt;=10))*ROW('CASE MASTER'!$T$2:$T$495))-(ROW('CASE MASTER'!#REF!)-1)))-INDEX('CASE MASTER'!$AB$2:$AB$495,(SUMPRODUCT((('CASE MASTER'!$T$2:$T$495=9)*('CASE MASTER'!$AA$2:$AA$495&lt;=8)*('CASE MASTER'!$AC$2:$AC$495&gt;=8)*('CASE MASTER'!$AB$2:$AB$495&lt;=10)*('CASE MASTER'!$AD$2:$AD$495&gt;=10))*ROW('CASE MASTER'!$T$2:$T$495))-(ROW('CASE MASTER'!#REF!)-1)))+1)+(10-INDEX('CASE MASTER'!$AB$2:$AB$495,(SUMPRODUCT((('CASE MASTER'!$T$2:$T$495=9)*('CASE MASTER'!$AA$2:$AA$495&lt;=8)*('CASE MASTER'!$AC$2:$AC$495&gt;=8)*('CASE MASTER'!$AB$2:$AB$495&lt;=10)*('CASE MASTER'!$AD$2:$AD$495&gt;=10))*ROW('CASE MASTER'!$T$2:$T$495))-(ROW('CASE MASTER'!#REF!)-1))))+1)))-1)*50+1,50))&amp;"_"&amp;INDEX('CASE MASTER'!$Q$2:$Q$495,(SUMPRODUCT((('CASE MASTER'!$T$2:$T$495=9)*('CASE MASTER'!$AA$2:$AA$495&lt;=8)*('CASE MASTER'!$AC$2:$AC$495&gt;=8)*('CASE MASTER'!$AB$2:$AB$495&lt;=10)*('CASE MASTER'!$AD$2:$AD$495&gt;=10))*ROW('CASE MASTER'!$T$2:$T$495))-(ROW('CASE MASTER'!#REF!)-1))),"")),"")</f>
        <v/>
      </c>
    </row>
    <row r="123" spans="1:11" ht="15" customHeight="1" x14ac:dyDescent="0.35">
      <c r="A123" s="8" t="s">
        <v>81</v>
      </c>
      <c r="B123" s="10" t="str">
        <f>IFERROR(IF(SUMPRODUCT((('CASE MASTER'!$T$2:$T$495=9)*('CASE MASTER'!$U$2:$U$495&lt;=9)*('CASE MASTER'!$W$2:$W$495&gt;=9)*('CASE MASTER'!$V$2:$V$495&lt;=1)*('CASE MASTER'!$X$2:$X$495&gt;=1))*ROW('CASE MASTER'!$T$2:$T$495))&gt;0,INDEX('CASE MASTER'!$Y$2:$Y$495,(SUMPRODUCT((('CASE MASTER'!$T$2:$T$495=9)*('CASE MASTER'!$U$2:$U$495&lt;=9)*('CASE MASTER'!$W$2:$W$495&gt;=9)*('CASE MASTER'!$V$2:$V$495&lt;=1)*('CASE MASTER'!$X$2:$X$495&gt;=1))*ROW('CASE MASTER'!$T$2:$T$495))-(ROW('CASE MASTER'!#REF!)-1)))&amp;TRIM(MID(SUBSTITUTE(SUBSTITUTE(INDEX('CASE MASTER'!$N$2:$N$495,(SUMPRODUCT((('CASE MASTER'!$T$2:$T$495=9)*('CASE MASTER'!$U$2:$U$495&lt;=9)*('CASE MASTER'!$W$2:$W$495&gt;=9)*('CASE MASTER'!$V$2:$V$495&lt;=1)*('CASE MASTER'!$X$2:$X$495&gt;=1))*ROW('CASE MASTER'!$T$2:$T$495))-(ROW('CASE MASTER'!#REF!)-1))),":",","),",",REPT(" ",50)),((((9-INDEX('CASE MASTER'!$U$2:$U$495,(SUMPRODUCT((('CASE MASTER'!$T$2:$T$495=9)*('CASE MASTER'!$U$2:$U$495&lt;=9)*('CASE MASTER'!$W$2:$W$495&gt;=9)*('CASE MASTER'!$V$2:$V$495&lt;=1)*('CASE MASTER'!$X$2:$X$495&gt;=1))*ROW('CASE MASTER'!$T$2:$T$495))-(ROW('CASE MASTER'!#REF!)-1))))*(INDEX('CASE MASTER'!$X$2:$X$495,(SUMPRODUCT((('CASE MASTER'!$T$2:$T$495=9)*('CASE MASTER'!$U$2:$U$495&lt;=9)*('CASE MASTER'!$W$2:$W$495&gt;=9)*('CASE MASTER'!$V$2:$V$495&lt;=1)*('CASE MASTER'!$X$2:$X$495&gt;=1))*ROW('CASE MASTER'!$T$2:$T$495))-(ROW('CASE MASTER'!#REF!)-1)))-INDEX('CASE MASTER'!$V$2:$V$495,(SUMPRODUCT((('CASE MASTER'!$T$2:$T$495=9)*('CASE MASTER'!$U$2:$U$495&lt;=9)*('CASE MASTER'!$W$2:$W$495&gt;=9)*('CASE MASTER'!$V$2:$V$495&lt;=1)*('CASE MASTER'!$X$2:$X$495&gt;=1))*ROW('CASE MASTER'!$T$2:$T$495))-(ROW('CASE MASTER'!#REF!)-1)))+1)+(1-INDEX('CASE MASTER'!$V$2:$V$495,(SUMPRODUCT((('CASE MASTER'!$T$2:$T$495=9)*('CASE MASTER'!$U$2:$U$495&lt;=9)*('CASE MASTER'!$W$2:$W$495&gt;=9)*('CASE MASTER'!$V$2:$V$495&lt;=1)*('CASE MASTER'!$X$2:$X$495&gt;=1))*ROW('CASE MASTER'!$T$2:$T$495))-(ROW('CASE MASTER'!#REF!)-1))))+1))-1)*50+1,50))&amp;"_"&amp;INDEX('CASE MASTER'!$Q$2:$Q$495,(SUMPRODUCT((('CASE MASTER'!$T$2:$T$495=9)*('CASE MASTER'!$U$2:$U$495&lt;=9)*('CASE MASTER'!$W$2:$W$495&gt;=9)*('CASE MASTER'!$V$2:$V$495&lt;=1)*('CASE MASTER'!$X$2:$X$495&gt;=1))*ROW('CASE MASTER'!$T$2:$T$495))-(ROW('CASE MASTER'!#REF!)-1))),IF(SUMPRODUCT((('CASE MASTER'!$T$2:$T$495=9)*('CASE MASTER'!$AA$2:$AA$495&lt;=9)*('CASE MASTER'!$AC$2:$AC$495&gt;=9)*('CASE MASTER'!$AB$2:$AB$495&lt;=1)*('CASE MASTER'!$AD$2:$AD$495&gt;=1))*ROW('CASE MASTER'!$T$2:$T$495))&gt;0,INDEX('CASE MASTER'!$Y$2:$Y$495,(SUMPRODUCT((('CASE MASTER'!$T$2:$T$495=9)*('CASE MASTER'!$AA$2:$AA$495&lt;=9)*('CASE MASTER'!$AC$2:$AC$495&gt;=9)*('CASE MASTER'!$AB$2:$AB$495&lt;=1)*('CASE MASTER'!$AD$2:$AD$495&gt;=1))*ROW('CASE MASTER'!$T$2:$T$495))-(ROW('CASE MASTER'!#REF!)-1)))&amp;TRIM(MID(SUBSTITUTE(SUBSTITUTE(INDEX('CASE MASTER'!$N$2:$N$495,(SUMPRODUCT((('CASE MASTER'!$T$2:$T$495=9)*('CASE MASTER'!$AA$2:$AA$495&lt;=9)*('CASE MASTER'!$AC$2:$AC$495&gt;=9)*('CASE MASTER'!$AB$2:$AB$495&lt;=1)*('CASE MASTER'!$AD$2:$AD$495&gt;=1))*ROW('CASE MASTER'!$T$2:$T$495))-(ROW('CASE MASTER'!#REF!)-1))),":",","),",",REPT(" ",50)),(((INDEX('CASE MASTER'!$Z$2:$Z$495,(SUMPRODUCT((('CASE MASTER'!$T$2:$T$495=9)*('CASE MASTER'!$AA$2:$AA$495&lt;=9)*('CASE MASTER'!$AC$2:$AC$495&gt;=9)*('CASE MASTER'!$AB$2:$AB$495&lt;=1)*('CASE MASTER'!$AD$2:$AD$495&gt;=1))*ROW('CASE MASTER'!$T$2:$T$495))-(ROW('CASE MASTER'!#REF!)-1)))+((9-INDEX('CASE MASTER'!$AA$2:$AA$495,(SUMPRODUCT((('CASE MASTER'!$T$2:$T$495=9)*('CASE MASTER'!$AA$2:$AA$495&lt;=9)*('CASE MASTER'!$AC$2:$AC$495&gt;=9)*('CASE MASTER'!$AB$2:$AB$495&lt;=1)*('CASE MASTER'!$AD$2:$AD$495&gt;=1))*ROW('CASE MASTER'!$T$2:$T$495))-(ROW('CASE MASTER'!#REF!)-1))))*(INDEX('CASE MASTER'!$AD$2:$AD$495,(SUMPRODUCT((('CASE MASTER'!$T$2:$T$495=9)*('CASE MASTER'!$AA$2:$AA$495&lt;=9)*('CASE MASTER'!$AC$2:$AC$495&gt;=9)*('CASE MASTER'!$AB$2:$AB$495&lt;=1)*('CASE MASTER'!$AD$2:$AD$495&gt;=1))*ROW('CASE MASTER'!$T$2:$T$495))-(ROW('CASE MASTER'!#REF!)-1)))-INDEX('CASE MASTER'!$AB$2:$AB$495,(SUMPRODUCT((('CASE MASTER'!$T$2:$T$495=9)*('CASE MASTER'!$AA$2:$AA$495&lt;=9)*('CASE MASTER'!$AC$2:$AC$495&gt;=9)*('CASE MASTER'!$AB$2:$AB$495&lt;=1)*('CASE MASTER'!$AD$2:$AD$495&gt;=1))*ROW('CASE MASTER'!$T$2:$T$495))-(ROW('CASE MASTER'!#REF!)-1)))+1)+(1-INDEX('CASE MASTER'!$AB$2:$AB$495,(SUMPRODUCT((('CASE MASTER'!$T$2:$T$495=9)*('CASE MASTER'!$AA$2:$AA$495&lt;=9)*('CASE MASTER'!$AC$2:$AC$495&gt;=9)*('CASE MASTER'!$AB$2:$AB$495&lt;=1)*('CASE MASTER'!$AD$2:$AD$495&gt;=1))*ROW('CASE MASTER'!$T$2:$T$495))-(ROW('CASE MASTER'!#REF!)-1))))+1)))-1)*50+1,50))&amp;"_"&amp;INDEX('CASE MASTER'!$Q$2:$Q$495,(SUMPRODUCT((('CASE MASTER'!$T$2:$T$495=9)*('CASE MASTER'!$AA$2:$AA$495&lt;=9)*('CASE MASTER'!$AC$2:$AC$495&gt;=9)*('CASE MASTER'!$AB$2:$AB$495&lt;=1)*('CASE MASTER'!$AD$2:$AD$495&gt;=1))*ROW('CASE MASTER'!$T$2:$T$495))-(ROW('CASE MASTER'!#REF!)-1))),"")),"")</f>
        <v/>
      </c>
      <c r="C123" s="10" t="str">
        <f>IFERROR(IF(SUMPRODUCT((('CASE MASTER'!$T$2:$T$495=9)*('CASE MASTER'!$U$2:$U$495&lt;=9)*('CASE MASTER'!$W$2:$W$495&gt;=9)*('CASE MASTER'!$V$2:$V$495&lt;=2)*('CASE MASTER'!$X$2:$X$495&gt;=2))*ROW('CASE MASTER'!$T$2:$T$495))&gt;0,INDEX('CASE MASTER'!$Y$2:$Y$495,(SUMPRODUCT((('CASE MASTER'!$T$2:$T$495=9)*('CASE MASTER'!$U$2:$U$495&lt;=9)*('CASE MASTER'!$W$2:$W$495&gt;=9)*('CASE MASTER'!$V$2:$V$495&lt;=2)*('CASE MASTER'!$X$2:$X$495&gt;=2))*ROW('CASE MASTER'!$T$2:$T$495))-(ROW('CASE MASTER'!#REF!)-1)))&amp;TRIM(MID(SUBSTITUTE(SUBSTITUTE(INDEX('CASE MASTER'!$N$2:$N$495,(SUMPRODUCT((('CASE MASTER'!$T$2:$T$495=9)*('CASE MASTER'!$U$2:$U$495&lt;=9)*('CASE MASTER'!$W$2:$W$495&gt;=9)*('CASE MASTER'!$V$2:$V$495&lt;=2)*('CASE MASTER'!$X$2:$X$495&gt;=2))*ROW('CASE MASTER'!$T$2:$T$495))-(ROW('CASE MASTER'!#REF!)-1))),":",","),",",REPT(" ",50)),((((9-INDEX('CASE MASTER'!$U$2:$U$495,(SUMPRODUCT((('CASE MASTER'!$T$2:$T$495=9)*('CASE MASTER'!$U$2:$U$495&lt;=9)*('CASE MASTER'!$W$2:$W$495&gt;=9)*('CASE MASTER'!$V$2:$V$495&lt;=2)*('CASE MASTER'!$X$2:$X$495&gt;=2))*ROW('CASE MASTER'!$T$2:$T$495))-(ROW('CASE MASTER'!#REF!)-1))))*(INDEX('CASE MASTER'!$X$2:$X$495,(SUMPRODUCT((('CASE MASTER'!$T$2:$T$495=9)*('CASE MASTER'!$U$2:$U$495&lt;=9)*('CASE MASTER'!$W$2:$W$495&gt;=9)*('CASE MASTER'!$V$2:$V$495&lt;=2)*('CASE MASTER'!$X$2:$X$495&gt;=2))*ROW('CASE MASTER'!$T$2:$T$495))-(ROW('CASE MASTER'!#REF!)-1)))-INDEX('CASE MASTER'!$V$2:$V$495,(SUMPRODUCT((('CASE MASTER'!$T$2:$T$495=9)*('CASE MASTER'!$U$2:$U$495&lt;=9)*('CASE MASTER'!$W$2:$W$495&gt;=9)*('CASE MASTER'!$V$2:$V$495&lt;=2)*('CASE MASTER'!$X$2:$X$495&gt;=2))*ROW('CASE MASTER'!$T$2:$T$495))-(ROW('CASE MASTER'!#REF!)-1)))+1)+(2-INDEX('CASE MASTER'!$V$2:$V$495,(SUMPRODUCT((('CASE MASTER'!$T$2:$T$495=9)*('CASE MASTER'!$U$2:$U$495&lt;=9)*('CASE MASTER'!$W$2:$W$495&gt;=9)*('CASE MASTER'!$V$2:$V$495&lt;=2)*('CASE MASTER'!$X$2:$X$495&gt;=2))*ROW('CASE MASTER'!$T$2:$T$495))-(ROW('CASE MASTER'!#REF!)-1))))+1))-1)*50+1,50))&amp;"_"&amp;INDEX('CASE MASTER'!$Q$2:$Q$495,(SUMPRODUCT((('CASE MASTER'!$T$2:$T$495=9)*('CASE MASTER'!$U$2:$U$495&lt;=9)*('CASE MASTER'!$W$2:$W$495&gt;=9)*('CASE MASTER'!$V$2:$V$495&lt;=2)*('CASE MASTER'!$X$2:$X$495&gt;=2))*ROW('CASE MASTER'!$T$2:$T$495))-(ROW('CASE MASTER'!#REF!)-1))),IF(SUMPRODUCT((('CASE MASTER'!$T$2:$T$495=9)*('CASE MASTER'!$AA$2:$AA$495&lt;=9)*('CASE MASTER'!$AC$2:$AC$495&gt;=9)*('CASE MASTER'!$AB$2:$AB$495&lt;=2)*('CASE MASTER'!$AD$2:$AD$495&gt;=2))*ROW('CASE MASTER'!$T$2:$T$495))&gt;0,INDEX('CASE MASTER'!$Y$2:$Y$495,(SUMPRODUCT((('CASE MASTER'!$T$2:$T$495=9)*('CASE MASTER'!$AA$2:$AA$495&lt;=9)*('CASE MASTER'!$AC$2:$AC$495&gt;=9)*('CASE MASTER'!$AB$2:$AB$495&lt;=2)*('CASE MASTER'!$AD$2:$AD$495&gt;=2))*ROW('CASE MASTER'!$T$2:$T$495))-(ROW('CASE MASTER'!#REF!)-1)))&amp;TRIM(MID(SUBSTITUTE(SUBSTITUTE(INDEX('CASE MASTER'!$N$2:$N$495,(SUMPRODUCT((('CASE MASTER'!$T$2:$T$495=9)*('CASE MASTER'!$AA$2:$AA$495&lt;=9)*('CASE MASTER'!$AC$2:$AC$495&gt;=9)*('CASE MASTER'!$AB$2:$AB$495&lt;=2)*('CASE MASTER'!$AD$2:$AD$495&gt;=2))*ROW('CASE MASTER'!$T$2:$T$495))-(ROW('CASE MASTER'!#REF!)-1))),":",","),",",REPT(" ",50)),(((INDEX('CASE MASTER'!$Z$2:$Z$495,(SUMPRODUCT((('CASE MASTER'!$T$2:$T$495=9)*('CASE MASTER'!$AA$2:$AA$495&lt;=9)*('CASE MASTER'!$AC$2:$AC$495&gt;=9)*('CASE MASTER'!$AB$2:$AB$495&lt;=2)*('CASE MASTER'!$AD$2:$AD$495&gt;=2))*ROW('CASE MASTER'!$T$2:$T$495))-(ROW('CASE MASTER'!#REF!)-1)))+((9-INDEX('CASE MASTER'!$AA$2:$AA$495,(SUMPRODUCT((('CASE MASTER'!$T$2:$T$495=9)*('CASE MASTER'!$AA$2:$AA$495&lt;=9)*('CASE MASTER'!$AC$2:$AC$495&gt;=9)*('CASE MASTER'!$AB$2:$AB$495&lt;=2)*('CASE MASTER'!$AD$2:$AD$495&gt;=2))*ROW('CASE MASTER'!$T$2:$T$495))-(ROW('CASE MASTER'!#REF!)-1))))*(INDEX('CASE MASTER'!$AD$2:$AD$495,(SUMPRODUCT((('CASE MASTER'!$T$2:$T$495=9)*('CASE MASTER'!$AA$2:$AA$495&lt;=9)*('CASE MASTER'!$AC$2:$AC$495&gt;=9)*('CASE MASTER'!$AB$2:$AB$495&lt;=2)*('CASE MASTER'!$AD$2:$AD$495&gt;=2))*ROW('CASE MASTER'!$T$2:$T$495))-(ROW('CASE MASTER'!#REF!)-1)))-INDEX('CASE MASTER'!$AB$2:$AB$495,(SUMPRODUCT((('CASE MASTER'!$T$2:$T$495=9)*('CASE MASTER'!$AA$2:$AA$495&lt;=9)*('CASE MASTER'!$AC$2:$AC$495&gt;=9)*('CASE MASTER'!$AB$2:$AB$495&lt;=2)*('CASE MASTER'!$AD$2:$AD$495&gt;=2))*ROW('CASE MASTER'!$T$2:$T$495))-(ROW('CASE MASTER'!#REF!)-1)))+1)+(2-INDEX('CASE MASTER'!$AB$2:$AB$495,(SUMPRODUCT((('CASE MASTER'!$T$2:$T$495=9)*('CASE MASTER'!$AA$2:$AA$495&lt;=9)*('CASE MASTER'!$AC$2:$AC$495&gt;=9)*('CASE MASTER'!$AB$2:$AB$495&lt;=2)*('CASE MASTER'!$AD$2:$AD$495&gt;=2))*ROW('CASE MASTER'!$T$2:$T$495))-(ROW('CASE MASTER'!#REF!)-1))))+1)))-1)*50+1,50))&amp;"_"&amp;INDEX('CASE MASTER'!$Q$2:$Q$495,(SUMPRODUCT((('CASE MASTER'!$T$2:$T$495=9)*('CASE MASTER'!$AA$2:$AA$495&lt;=9)*('CASE MASTER'!$AC$2:$AC$495&gt;=9)*('CASE MASTER'!$AB$2:$AB$495&lt;=2)*('CASE MASTER'!$AD$2:$AD$495&gt;=2))*ROW('CASE MASTER'!$T$2:$T$495))-(ROW('CASE MASTER'!#REF!)-1))),"")),"")</f>
        <v/>
      </c>
      <c r="D123" s="10" t="str">
        <f>IFERROR(IF(SUMPRODUCT((('CASE MASTER'!$T$2:$T$495=9)*('CASE MASTER'!$U$2:$U$495&lt;=9)*('CASE MASTER'!$W$2:$W$495&gt;=9)*('CASE MASTER'!$V$2:$V$495&lt;=3)*('CASE MASTER'!$X$2:$X$495&gt;=3))*ROW('CASE MASTER'!$T$2:$T$495))&gt;0,INDEX('CASE MASTER'!$Y$2:$Y$495,(SUMPRODUCT((('CASE MASTER'!$T$2:$T$495=9)*('CASE MASTER'!$U$2:$U$495&lt;=9)*('CASE MASTER'!$W$2:$W$495&gt;=9)*('CASE MASTER'!$V$2:$V$495&lt;=3)*('CASE MASTER'!$X$2:$X$495&gt;=3))*ROW('CASE MASTER'!$T$2:$T$495))-(ROW('CASE MASTER'!#REF!)-1)))&amp;TRIM(MID(SUBSTITUTE(SUBSTITUTE(INDEX('CASE MASTER'!$N$2:$N$495,(SUMPRODUCT((('CASE MASTER'!$T$2:$T$495=9)*('CASE MASTER'!$U$2:$U$495&lt;=9)*('CASE MASTER'!$W$2:$W$495&gt;=9)*('CASE MASTER'!$V$2:$V$495&lt;=3)*('CASE MASTER'!$X$2:$X$495&gt;=3))*ROW('CASE MASTER'!$T$2:$T$495))-(ROW('CASE MASTER'!#REF!)-1))),":",","),",",REPT(" ",50)),((((9-INDEX('CASE MASTER'!$U$2:$U$495,(SUMPRODUCT((('CASE MASTER'!$T$2:$T$495=9)*('CASE MASTER'!$U$2:$U$495&lt;=9)*('CASE MASTER'!$W$2:$W$495&gt;=9)*('CASE MASTER'!$V$2:$V$495&lt;=3)*('CASE MASTER'!$X$2:$X$495&gt;=3))*ROW('CASE MASTER'!$T$2:$T$495))-(ROW('CASE MASTER'!#REF!)-1))))*(INDEX('CASE MASTER'!$X$2:$X$495,(SUMPRODUCT((('CASE MASTER'!$T$2:$T$495=9)*('CASE MASTER'!$U$2:$U$495&lt;=9)*('CASE MASTER'!$W$2:$W$495&gt;=9)*('CASE MASTER'!$V$2:$V$495&lt;=3)*('CASE MASTER'!$X$2:$X$495&gt;=3))*ROW('CASE MASTER'!$T$2:$T$495))-(ROW('CASE MASTER'!#REF!)-1)))-INDEX('CASE MASTER'!$V$2:$V$495,(SUMPRODUCT((('CASE MASTER'!$T$2:$T$495=9)*('CASE MASTER'!$U$2:$U$495&lt;=9)*('CASE MASTER'!$W$2:$W$495&gt;=9)*('CASE MASTER'!$V$2:$V$495&lt;=3)*('CASE MASTER'!$X$2:$X$495&gt;=3))*ROW('CASE MASTER'!$T$2:$T$495))-(ROW('CASE MASTER'!#REF!)-1)))+1)+(3-INDEX('CASE MASTER'!$V$2:$V$495,(SUMPRODUCT((('CASE MASTER'!$T$2:$T$495=9)*('CASE MASTER'!$U$2:$U$495&lt;=9)*('CASE MASTER'!$W$2:$W$495&gt;=9)*('CASE MASTER'!$V$2:$V$495&lt;=3)*('CASE MASTER'!$X$2:$X$495&gt;=3))*ROW('CASE MASTER'!$T$2:$T$495))-(ROW('CASE MASTER'!#REF!)-1))))+1))-1)*50+1,50))&amp;"_"&amp;INDEX('CASE MASTER'!$Q$2:$Q$495,(SUMPRODUCT((('CASE MASTER'!$T$2:$T$495=9)*('CASE MASTER'!$U$2:$U$495&lt;=9)*('CASE MASTER'!$W$2:$W$495&gt;=9)*('CASE MASTER'!$V$2:$V$495&lt;=3)*('CASE MASTER'!$X$2:$X$495&gt;=3))*ROW('CASE MASTER'!$T$2:$T$495))-(ROW('CASE MASTER'!#REF!)-1))),IF(SUMPRODUCT((('CASE MASTER'!$T$2:$T$495=9)*('CASE MASTER'!$AA$2:$AA$495&lt;=9)*('CASE MASTER'!$AC$2:$AC$495&gt;=9)*('CASE MASTER'!$AB$2:$AB$495&lt;=3)*('CASE MASTER'!$AD$2:$AD$495&gt;=3))*ROW('CASE MASTER'!$T$2:$T$495))&gt;0,INDEX('CASE MASTER'!$Y$2:$Y$495,(SUMPRODUCT((('CASE MASTER'!$T$2:$T$495=9)*('CASE MASTER'!$AA$2:$AA$495&lt;=9)*('CASE MASTER'!$AC$2:$AC$495&gt;=9)*('CASE MASTER'!$AB$2:$AB$495&lt;=3)*('CASE MASTER'!$AD$2:$AD$495&gt;=3))*ROW('CASE MASTER'!$T$2:$T$495))-(ROW('CASE MASTER'!#REF!)-1)))&amp;TRIM(MID(SUBSTITUTE(SUBSTITUTE(INDEX('CASE MASTER'!$N$2:$N$495,(SUMPRODUCT((('CASE MASTER'!$T$2:$T$495=9)*('CASE MASTER'!$AA$2:$AA$495&lt;=9)*('CASE MASTER'!$AC$2:$AC$495&gt;=9)*('CASE MASTER'!$AB$2:$AB$495&lt;=3)*('CASE MASTER'!$AD$2:$AD$495&gt;=3))*ROW('CASE MASTER'!$T$2:$T$495))-(ROW('CASE MASTER'!#REF!)-1))),":",","),",",REPT(" ",50)),(((INDEX('CASE MASTER'!$Z$2:$Z$495,(SUMPRODUCT((('CASE MASTER'!$T$2:$T$495=9)*('CASE MASTER'!$AA$2:$AA$495&lt;=9)*('CASE MASTER'!$AC$2:$AC$495&gt;=9)*('CASE MASTER'!$AB$2:$AB$495&lt;=3)*('CASE MASTER'!$AD$2:$AD$495&gt;=3))*ROW('CASE MASTER'!$T$2:$T$495))-(ROW('CASE MASTER'!#REF!)-1)))+((9-INDEX('CASE MASTER'!$AA$2:$AA$495,(SUMPRODUCT((('CASE MASTER'!$T$2:$T$495=9)*('CASE MASTER'!$AA$2:$AA$495&lt;=9)*('CASE MASTER'!$AC$2:$AC$495&gt;=9)*('CASE MASTER'!$AB$2:$AB$495&lt;=3)*('CASE MASTER'!$AD$2:$AD$495&gt;=3))*ROW('CASE MASTER'!$T$2:$T$495))-(ROW('CASE MASTER'!#REF!)-1))))*(INDEX('CASE MASTER'!$AD$2:$AD$495,(SUMPRODUCT((('CASE MASTER'!$T$2:$T$495=9)*('CASE MASTER'!$AA$2:$AA$495&lt;=9)*('CASE MASTER'!$AC$2:$AC$495&gt;=9)*('CASE MASTER'!$AB$2:$AB$495&lt;=3)*('CASE MASTER'!$AD$2:$AD$495&gt;=3))*ROW('CASE MASTER'!$T$2:$T$495))-(ROW('CASE MASTER'!#REF!)-1)))-INDEX('CASE MASTER'!$AB$2:$AB$495,(SUMPRODUCT((('CASE MASTER'!$T$2:$T$495=9)*('CASE MASTER'!$AA$2:$AA$495&lt;=9)*('CASE MASTER'!$AC$2:$AC$495&gt;=9)*('CASE MASTER'!$AB$2:$AB$495&lt;=3)*('CASE MASTER'!$AD$2:$AD$495&gt;=3))*ROW('CASE MASTER'!$T$2:$T$495))-(ROW('CASE MASTER'!#REF!)-1)))+1)+(3-INDEX('CASE MASTER'!$AB$2:$AB$495,(SUMPRODUCT((('CASE MASTER'!$T$2:$T$495=9)*('CASE MASTER'!$AA$2:$AA$495&lt;=9)*('CASE MASTER'!$AC$2:$AC$495&gt;=9)*('CASE MASTER'!$AB$2:$AB$495&lt;=3)*('CASE MASTER'!$AD$2:$AD$495&gt;=3))*ROW('CASE MASTER'!$T$2:$T$495))-(ROW('CASE MASTER'!#REF!)-1))))+1)))-1)*50+1,50))&amp;"_"&amp;INDEX('CASE MASTER'!$Q$2:$Q$495,(SUMPRODUCT((('CASE MASTER'!$T$2:$T$495=9)*('CASE MASTER'!$AA$2:$AA$495&lt;=9)*('CASE MASTER'!$AC$2:$AC$495&gt;=9)*('CASE MASTER'!$AB$2:$AB$495&lt;=3)*('CASE MASTER'!$AD$2:$AD$495&gt;=3))*ROW('CASE MASTER'!$T$2:$T$495))-(ROW('CASE MASTER'!#REF!)-1))),"")),"")</f>
        <v/>
      </c>
      <c r="E123" s="10" t="str">
        <f>IFERROR(IF(SUMPRODUCT((('CASE MASTER'!$T$2:$T$495=9)*('CASE MASTER'!$U$2:$U$495&lt;=9)*('CASE MASTER'!$W$2:$W$495&gt;=9)*('CASE MASTER'!$V$2:$V$495&lt;=4)*('CASE MASTER'!$X$2:$X$495&gt;=4))*ROW('CASE MASTER'!$T$2:$T$495))&gt;0,INDEX('CASE MASTER'!$Y$2:$Y$495,(SUMPRODUCT((('CASE MASTER'!$T$2:$T$495=9)*('CASE MASTER'!$U$2:$U$495&lt;=9)*('CASE MASTER'!$W$2:$W$495&gt;=9)*('CASE MASTER'!$V$2:$V$495&lt;=4)*('CASE MASTER'!$X$2:$X$495&gt;=4))*ROW('CASE MASTER'!$T$2:$T$495))-(ROW('CASE MASTER'!#REF!)-1)))&amp;TRIM(MID(SUBSTITUTE(SUBSTITUTE(INDEX('CASE MASTER'!$N$2:$N$495,(SUMPRODUCT((('CASE MASTER'!$T$2:$T$495=9)*('CASE MASTER'!$U$2:$U$495&lt;=9)*('CASE MASTER'!$W$2:$W$495&gt;=9)*('CASE MASTER'!$V$2:$V$495&lt;=4)*('CASE MASTER'!$X$2:$X$495&gt;=4))*ROW('CASE MASTER'!$T$2:$T$495))-(ROW('CASE MASTER'!#REF!)-1))),":",","),",",REPT(" ",50)),((((9-INDEX('CASE MASTER'!$U$2:$U$495,(SUMPRODUCT((('CASE MASTER'!$T$2:$T$495=9)*('CASE MASTER'!$U$2:$U$495&lt;=9)*('CASE MASTER'!$W$2:$W$495&gt;=9)*('CASE MASTER'!$V$2:$V$495&lt;=4)*('CASE MASTER'!$X$2:$X$495&gt;=4))*ROW('CASE MASTER'!$T$2:$T$495))-(ROW('CASE MASTER'!#REF!)-1))))*(INDEX('CASE MASTER'!$X$2:$X$495,(SUMPRODUCT((('CASE MASTER'!$T$2:$T$495=9)*('CASE MASTER'!$U$2:$U$495&lt;=9)*('CASE MASTER'!$W$2:$W$495&gt;=9)*('CASE MASTER'!$V$2:$V$495&lt;=4)*('CASE MASTER'!$X$2:$X$495&gt;=4))*ROW('CASE MASTER'!$T$2:$T$495))-(ROW('CASE MASTER'!#REF!)-1)))-INDEX('CASE MASTER'!$V$2:$V$495,(SUMPRODUCT((('CASE MASTER'!$T$2:$T$495=9)*('CASE MASTER'!$U$2:$U$495&lt;=9)*('CASE MASTER'!$W$2:$W$495&gt;=9)*('CASE MASTER'!$V$2:$V$495&lt;=4)*('CASE MASTER'!$X$2:$X$495&gt;=4))*ROW('CASE MASTER'!$T$2:$T$495))-(ROW('CASE MASTER'!#REF!)-1)))+1)+(4-INDEX('CASE MASTER'!$V$2:$V$495,(SUMPRODUCT((('CASE MASTER'!$T$2:$T$495=9)*('CASE MASTER'!$U$2:$U$495&lt;=9)*('CASE MASTER'!$W$2:$W$495&gt;=9)*('CASE MASTER'!$V$2:$V$495&lt;=4)*('CASE MASTER'!$X$2:$X$495&gt;=4))*ROW('CASE MASTER'!$T$2:$T$495))-(ROW('CASE MASTER'!#REF!)-1))))+1))-1)*50+1,50))&amp;"_"&amp;INDEX('CASE MASTER'!$Q$2:$Q$495,(SUMPRODUCT((('CASE MASTER'!$T$2:$T$495=9)*('CASE MASTER'!$U$2:$U$495&lt;=9)*('CASE MASTER'!$W$2:$W$495&gt;=9)*('CASE MASTER'!$V$2:$V$495&lt;=4)*('CASE MASTER'!$X$2:$X$495&gt;=4))*ROW('CASE MASTER'!$T$2:$T$495))-(ROW('CASE MASTER'!#REF!)-1))),IF(SUMPRODUCT((('CASE MASTER'!$T$2:$T$495=9)*('CASE MASTER'!$AA$2:$AA$495&lt;=9)*('CASE MASTER'!$AC$2:$AC$495&gt;=9)*('CASE MASTER'!$AB$2:$AB$495&lt;=4)*('CASE MASTER'!$AD$2:$AD$495&gt;=4))*ROW('CASE MASTER'!$T$2:$T$495))&gt;0,INDEX('CASE MASTER'!$Y$2:$Y$495,(SUMPRODUCT((('CASE MASTER'!$T$2:$T$495=9)*('CASE MASTER'!$AA$2:$AA$495&lt;=9)*('CASE MASTER'!$AC$2:$AC$495&gt;=9)*('CASE MASTER'!$AB$2:$AB$495&lt;=4)*('CASE MASTER'!$AD$2:$AD$495&gt;=4))*ROW('CASE MASTER'!$T$2:$T$495))-(ROW('CASE MASTER'!#REF!)-1)))&amp;TRIM(MID(SUBSTITUTE(SUBSTITUTE(INDEX('CASE MASTER'!$N$2:$N$495,(SUMPRODUCT((('CASE MASTER'!$T$2:$T$495=9)*('CASE MASTER'!$AA$2:$AA$495&lt;=9)*('CASE MASTER'!$AC$2:$AC$495&gt;=9)*('CASE MASTER'!$AB$2:$AB$495&lt;=4)*('CASE MASTER'!$AD$2:$AD$495&gt;=4))*ROW('CASE MASTER'!$T$2:$T$495))-(ROW('CASE MASTER'!#REF!)-1))),":",","),",",REPT(" ",50)),(((INDEX('CASE MASTER'!$Z$2:$Z$495,(SUMPRODUCT((('CASE MASTER'!$T$2:$T$495=9)*('CASE MASTER'!$AA$2:$AA$495&lt;=9)*('CASE MASTER'!$AC$2:$AC$495&gt;=9)*('CASE MASTER'!$AB$2:$AB$495&lt;=4)*('CASE MASTER'!$AD$2:$AD$495&gt;=4))*ROW('CASE MASTER'!$T$2:$T$495))-(ROW('CASE MASTER'!#REF!)-1)))+((9-INDEX('CASE MASTER'!$AA$2:$AA$495,(SUMPRODUCT((('CASE MASTER'!$T$2:$T$495=9)*('CASE MASTER'!$AA$2:$AA$495&lt;=9)*('CASE MASTER'!$AC$2:$AC$495&gt;=9)*('CASE MASTER'!$AB$2:$AB$495&lt;=4)*('CASE MASTER'!$AD$2:$AD$495&gt;=4))*ROW('CASE MASTER'!$T$2:$T$495))-(ROW('CASE MASTER'!#REF!)-1))))*(INDEX('CASE MASTER'!$AD$2:$AD$495,(SUMPRODUCT((('CASE MASTER'!$T$2:$T$495=9)*('CASE MASTER'!$AA$2:$AA$495&lt;=9)*('CASE MASTER'!$AC$2:$AC$495&gt;=9)*('CASE MASTER'!$AB$2:$AB$495&lt;=4)*('CASE MASTER'!$AD$2:$AD$495&gt;=4))*ROW('CASE MASTER'!$T$2:$T$495))-(ROW('CASE MASTER'!#REF!)-1)))-INDEX('CASE MASTER'!$AB$2:$AB$495,(SUMPRODUCT((('CASE MASTER'!$T$2:$T$495=9)*('CASE MASTER'!$AA$2:$AA$495&lt;=9)*('CASE MASTER'!$AC$2:$AC$495&gt;=9)*('CASE MASTER'!$AB$2:$AB$495&lt;=4)*('CASE MASTER'!$AD$2:$AD$495&gt;=4))*ROW('CASE MASTER'!$T$2:$T$495))-(ROW('CASE MASTER'!#REF!)-1)))+1)+(4-INDEX('CASE MASTER'!$AB$2:$AB$495,(SUMPRODUCT((('CASE MASTER'!$T$2:$T$495=9)*('CASE MASTER'!$AA$2:$AA$495&lt;=9)*('CASE MASTER'!$AC$2:$AC$495&gt;=9)*('CASE MASTER'!$AB$2:$AB$495&lt;=4)*('CASE MASTER'!$AD$2:$AD$495&gt;=4))*ROW('CASE MASTER'!$T$2:$T$495))-(ROW('CASE MASTER'!#REF!)-1))))+1)))-1)*50+1,50))&amp;"_"&amp;INDEX('CASE MASTER'!$Q$2:$Q$495,(SUMPRODUCT((('CASE MASTER'!$T$2:$T$495=9)*('CASE MASTER'!$AA$2:$AA$495&lt;=9)*('CASE MASTER'!$AC$2:$AC$495&gt;=9)*('CASE MASTER'!$AB$2:$AB$495&lt;=4)*('CASE MASTER'!$AD$2:$AD$495&gt;=4))*ROW('CASE MASTER'!$T$2:$T$495))-(ROW('CASE MASTER'!#REF!)-1))),"")),"")</f>
        <v/>
      </c>
      <c r="F123" s="10" t="str">
        <f>IFERROR(IF(SUMPRODUCT((('CASE MASTER'!$T$2:$T$495=9)*('CASE MASTER'!$U$2:$U$495&lt;=9)*('CASE MASTER'!$W$2:$W$495&gt;=9)*('CASE MASTER'!$V$2:$V$495&lt;=5)*('CASE MASTER'!$X$2:$X$495&gt;=5))*ROW('CASE MASTER'!$T$2:$T$495))&gt;0,INDEX('CASE MASTER'!$Y$2:$Y$495,(SUMPRODUCT((('CASE MASTER'!$T$2:$T$495=9)*('CASE MASTER'!$U$2:$U$495&lt;=9)*('CASE MASTER'!$W$2:$W$495&gt;=9)*('CASE MASTER'!$V$2:$V$495&lt;=5)*('CASE MASTER'!$X$2:$X$495&gt;=5))*ROW('CASE MASTER'!$T$2:$T$495))-(ROW('CASE MASTER'!#REF!)-1)))&amp;TRIM(MID(SUBSTITUTE(SUBSTITUTE(INDEX('CASE MASTER'!$N$2:$N$495,(SUMPRODUCT((('CASE MASTER'!$T$2:$T$495=9)*('CASE MASTER'!$U$2:$U$495&lt;=9)*('CASE MASTER'!$W$2:$W$495&gt;=9)*('CASE MASTER'!$V$2:$V$495&lt;=5)*('CASE MASTER'!$X$2:$X$495&gt;=5))*ROW('CASE MASTER'!$T$2:$T$495))-(ROW('CASE MASTER'!#REF!)-1))),":",","),",",REPT(" ",50)),((((9-INDEX('CASE MASTER'!$U$2:$U$495,(SUMPRODUCT((('CASE MASTER'!$T$2:$T$495=9)*('CASE MASTER'!$U$2:$U$495&lt;=9)*('CASE MASTER'!$W$2:$W$495&gt;=9)*('CASE MASTER'!$V$2:$V$495&lt;=5)*('CASE MASTER'!$X$2:$X$495&gt;=5))*ROW('CASE MASTER'!$T$2:$T$495))-(ROW('CASE MASTER'!#REF!)-1))))*(INDEX('CASE MASTER'!$X$2:$X$495,(SUMPRODUCT((('CASE MASTER'!$T$2:$T$495=9)*('CASE MASTER'!$U$2:$U$495&lt;=9)*('CASE MASTER'!$W$2:$W$495&gt;=9)*('CASE MASTER'!$V$2:$V$495&lt;=5)*('CASE MASTER'!$X$2:$X$495&gt;=5))*ROW('CASE MASTER'!$T$2:$T$495))-(ROW('CASE MASTER'!#REF!)-1)))-INDEX('CASE MASTER'!$V$2:$V$495,(SUMPRODUCT((('CASE MASTER'!$T$2:$T$495=9)*('CASE MASTER'!$U$2:$U$495&lt;=9)*('CASE MASTER'!$W$2:$W$495&gt;=9)*('CASE MASTER'!$V$2:$V$495&lt;=5)*('CASE MASTER'!$X$2:$X$495&gt;=5))*ROW('CASE MASTER'!$T$2:$T$495))-(ROW('CASE MASTER'!#REF!)-1)))+1)+(5-INDEX('CASE MASTER'!$V$2:$V$495,(SUMPRODUCT((('CASE MASTER'!$T$2:$T$495=9)*('CASE MASTER'!$U$2:$U$495&lt;=9)*('CASE MASTER'!$W$2:$W$495&gt;=9)*('CASE MASTER'!$V$2:$V$495&lt;=5)*('CASE MASTER'!$X$2:$X$495&gt;=5))*ROW('CASE MASTER'!$T$2:$T$495))-(ROW('CASE MASTER'!#REF!)-1))))+1))-1)*50+1,50))&amp;"_"&amp;INDEX('CASE MASTER'!$Q$2:$Q$495,(SUMPRODUCT((('CASE MASTER'!$T$2:$T$495=9)*('CASE MASTER'!$U$2:$U$495&lt;=9)*('CASE MASTER'!$W$2:$W$495&gt;=9)*('CASE MASTER'!$V$2:$V$495&lt;=5)*('CASE MASTER'!$X$2:$X$495&gt;=5))*ROW('CASE MASTER'!$T$2:$T$495))-(ROW('CASE MASTER'!#REF!)-1))),IF(SUMPRODUCT((('CASE MASTER'!$T$2:$T$495=9)*('CASE MASTER'!$AA$2:$AA$495&lt;=9)*('CASE MASTER'!$AC$2:$AC$495&gt;=9)*('CASE MASTER'!$AB$2:$AB$495&lt;=5)*('CASE MASTER'!$AD$2:$AD$495&gt;=5))*ROW('CASE MASTER'!$T$2:$T$495))&gt;0,INDEX('CASE MASTER'!$Y$2:$Y$495,(SUMPRODUCT((('CASE MASTER'!$T$2:$T$495=9)*('CASE MASTER'!$AA$2:$AA$495&lt;=9)*('CASE MASTER'!$AC$2:$AC$495&gt;=9)*('CASE MASTER'!$AB$2:$AB$495&lt;=5)*('CASE MASTER'!$AD$2:$AD$495&gt;=5))*ROW('CASE MASTER'!$T$2:$T$495))-(ROW('CASE MASTER'!#REF!)-1)))&amp;TRIM(MID(SUBSTITUTE(SUBSTITUTE(INDEX('CASE MASTER'!$N$2:$N$495,(SUMPRODUCT((('CASE MASTER'!$T$2:$T$495=9)*('CASE MASTER'!$AA$2:$AA$495&lt;=9)*('CASE MASTER'!$AC$2:$AC$495&gt;=9)*('CASE MASTER'!$AB$2:$AB$495&lt;=5)*('CASE MASTER'!$AD$2:$AD$495&gt;=5))*ROW('CASE MASTER'!$T$2:$T$495))-(ROW('CASE MASTER'!#REF!)-1))),":",","),",",REPT(" ",50)),(((INDEX('CASE MASTER'!$Z$2:$Z$495,(SUMPRODUCT((('CASE MASTER'!$T$2:$T$495=9)*('CASE MASTER'!$AA$2:$AA$495&lt;=9)*('CASE MASTER'!$AC$2:$AC$495&gt;=9)*('CASE MASTER'!$AB$2:$AB$495&lt;=5)*('CASE MASTER'!$AD$2:$AD$495&gt;=5))*ROW('CASE MASTER'!$T$2:$T$495))-(ROW('CASE MASTER'!#REF!)-1)))+((9-INDEX('CASE MASTER'!$AA$2:$AA$495,(SUMPRODUCT((('CASE MASTER'!$T$2:$T$495=9)*('CASE MASTER'!$AA$2:$AA$495&lt;=9)*('CASE MASTER'!$AC$2:$AC$495&gt;=9)*('CASE MASTER'!$AB$2:$AB$495&lt;=5)*('CASE MASTER'!$AD$2:$AD$495&gt;=5))*ROW('CASE MASTER'!$T$2:$T$495))-(ROW('CASE MASTER'!#REF!)-1))))*(INDEX('CASE MASTER'!$AD$2:$AD$495,(SUMPRODUCT((('CASE MASTER'!$T$2:$T$495=9)*('CASE MASTER'!$AA$2:$AA$495&lt;=9)*('CASE MASTER'!$AC$2:$AC$495&gt;=9)*('CASE MASTER'!$AB$2:$AB$495&lt;=5)*('CASE MASTER'!$AD$2:$AD$495&gt;=5))*ROW('CASE MASTER'!$T$2:$T$495))-(ROW('CASE MASTER'!#REF!)-1)))-INDEX('CASE MASTER'!$AB$2:$AB$495,(SUMPRODUCT((('CASE MASTER'!$T$2:$T$495=9)*('CASE MASTER'!$AA$2:$AA$495&lt;=9)*('CASE MASTER'!$AC$2:$AC$495&gt;=9)*('CASE MASTER'!$AB$2:$AB$495&lt;=5)*('CASE MASTER'!$AD$2:$AD$495&gt;=5))*ROW('CASE MASTER'!$T$2:$T$495))-(ROW('CASE MASTER'!#REF!)-1)))+1)+(5-INDEX('CASE MASTER'!$AB$2:$AB$495,(SUMPRODUCT((('CASE MASTER'!$T$2:$T$495=9)*('CASE MASTER'!$AA$2:$AA$495&lt;=9)*('CASE MASTER'!$AC$2:$AC$495&gt;=9)*('CASE MASTER'!$AB$2:$AB$495&lt;=5)*('CASE MASTER'!$AD$2:$AD$495&gt;=5))*ROW('CASE MASTER'!$T$2:$T$495))-(ROW('CASE MASTER'!#REF!)-1))))+1)))-1)*50+1,50))&amp;"_"&amp;INDEX('CASE MASTER'!$Q$2:$Q$495,(SUMPRODUCT((('CASE MASTER'!$T$2:$T$495=9)*('CASE MASTER'!$AA$2:$AA$495&lt;=9)*('CASE MASTER'!$AC$2:$AC$495&gt;=9)*('CASE MASTER'!$AB$2:$AB$495&lt;=5)*('CASE MASTER'!$AD$2:$AD$495&gt;=5))*ROW('CASE MASTER'!$T$2:$T$495))-(ROW('CASE MASTER'!#REF!)-1))),"")),"")</f>
        <v/>
      </c>
      <c r="G123" s="10" t="str">
        <f>IFERROR(IF(SUMPRODUCT((('CASE MASTER'!$T$2:$T$495=9)*('CASE MASTER'!$U$2:$U$495&lt;=9)*('CASE MASTER'!$W$2:$W$495&gt;=9)*('CASE MASTER'!$V$2:$V$495&lt;=6)*('CASE MASTER'!$X$2:$X$495&gt;=6))*ROW('CASE MASTER'!$T$2:$T$495))&gt;0,INDEX('CASE MASTER'!$Y$2:$Y$495,(SUMPRODUCT((('CASE MASTER'!$T$2:$T$495=9)*('CASE MASTER'!$U$2:$U$495&lt;=9)*('CASE MASTER'!$W$2:$W$495&gt;=9)*('CASE MASTER'!$V$2:$V$495&lt;=6)*('CASE MASTER'!$X$2:$X$495&gt;=6))*ROW('CASE MASTER'!$T$2:$T$495))-(ROW('CASE MASTER'!#REF!)-1)))&amp;TRIM(MID(SUBSTITUTE(SUBSTITUTE(INDEX('CASE MASTER'!$N$2:$N$495,(SUMPRODUCT((('CASE MASTER'!$T$2:$T$495=9)*('CASE MASTER'!$U$2:$U$495&lt;=9)*('CASE MASTER'!$W$2:$W$495&gt;=9)*('CASE MASTER'!$V$2:$V$495&lt;=6)*('CASE MASTER'!$X$2:$X$495&gt;=6))*ROW('CASE MASTER'!$T$2:$T$495))-(ROW('CASE MASTER'!#REF!)-1))),":",","),",",REPT(" ",50)),((((9-INDEX('CASE MASTER'!$U$2:$U$495,(SUMPRODUCT((('CASE MASTER'!$T$2:$T$495=9)*('CASE MASTER'!$U$2:$U$495&lt;=9)*('CASE MASTER'!$W$2:$W$495&gt;=9)*('CASE MASTER'!$V$2:$V$495&lt;=6)*('CASE MASTER'!$X$2:$X$495&gt;=6))*ROW('CASE MASTER'!$T$2:$T$495))-(ROW('CASE MASTER'!#REF!)-1))))*(INDEX('CASE MASTER'!$X$2:$X$495,(SUMPRODUCT((('CASE MASTER'!$T$2:$T$495=9)*('CASE MASTER'!$U$2:$U$495&lt;=9)*('CASE MASTER'!$W$2:$W$495&gt;=9)*('CASE MASTER'!$V$2:$V$495&lt;=6)*('CASE MASTER'!$X$2:$X$495&gt;=6))*ROW('CASE MASTER'!$T$2:$T$495))-(ROW('CASE MASTER'!#REF!)-1)))-INDEX('CASE MASTER'!$V$2:$V$495,(SUMPRODUCT((('CASE MASTER'!$T$2:$T$495=9)*('CASE MASTER'!$U$2:$U$495&lt;=9)*('CASE MASTER'!$W$2:$W$495&gt;=9)*('CASE MASTER'!$V$2:$V$495&lt;=6)*('CASE MASTER'!$X$2:$X$495&gt;=6))*ROW('CASE MASTER'!$T$2:$T$495))-(ROW('CASE MASTER'!#REF!)-1)))+1)+(6-INDEX('CASE MASTER'!$V$2:$V$495,(SUMPRODUCT((('CASE MASTER'!$T$2:$T$495=9)*('CASE MASTER'!$U$2:$U$495&lt;=9)*('CASE MASTER'!$W$2:$W$495&gt;=9)*('CASE MASTER'!$V$2:$V$495&lt;=6)*('CASE MASTER'!$X$2:$X$495&gt;=6))*ROW('CASE MASTER'!$T$2:$T$495))-(ROW('CASE MASTER'!#REF!)-1))))+1))-1)*50+1,50))&amp;"_"&amp;INDEX('CASE MASTER'!$Q$2:$Q$495,(SUMPRODUCT((('CASE MASTER'!$T$2:$T$495=9)*('CASE MASTER'!$U$2:$U$495&lt;=9)*('CASE MASTER'!$W$2:$W$495&gt;=9)*('CASE MASTER'!$V$2:$V$495&lt;=6)*('CASE MASTER'!$X$2:$X$495&gt;=6))*ROW('CASE MASTER'!$T$2:$T$495))-(ROW('CASE MASTER'!#REF!)-1))),IF(SUMPRODUCT((('CASE MASTER'!$T$2:$T$495=9)*('CASE MASTER'!$AA$2:$AA$495&lt;=9)*('CASE MASTER'!$AC$2:$AC$495&gt;=9)*('CASE MASTER'!$AB$2:$AB$495&lt;=6)*('CASE MASTER'!$AD$2:$AD$495&gt;=6))*ROW('CASE MASTER'!$T$2:$T$495))&gt;0,INDEX('CASE MASTER'!$Y$2:$Y$495,(SUMPRODUCT((('CASE MASTER'!$T$2:$T$495=9)*('CASE MASTER'!$AA$2:$AA$495&lt;=9)*('CASE MASTER'!$AC$2:$AC$495&gt;=9)*('CASE MASTER'!$AB$2:$AB$495&lt;=6)*('CASE MASTER'!$AD$2:$AD$495&gt;=6))*ROW('CASE MASTER'!$T$2:$T$495))-(ROW('CASE MASTER'!#REF!)-1)))&amp;TRIM(MID(SUBSTITUTE(SUBSTITUTE(INDEX('CASE MASTER'!$N$2:$N$495,(SUMPRODUCT((('CASE MASTER'!$T$2:$T$495=9)*('CASE MASTER'!$AA$2:$AA$495&lt;=9)*('CASE MASTER'!$AC$2:$AC$495&gt;=9)*('CASE MASTER'!$AB$2:$AB$495&lt;=6)*('CASE MASTER'!$AD$2:$AD$495&gt;=6))*ROW('CASE MASTER'!$T$2:$T$495))-(ROW('CASE MASTER'!#REF!)-1))),":",","),",",REPT(" ",50)),(((INDEX('CASE MASTER'!$Z$2:$Z$495,(SUMPRODUCT((('CASE MASTER'!$T$2:$T$495=9)*('CASE MASTER'!$AA$2:$AA$495&lt;=9)*('CASE MASTER'!$AC$2:$AC$495&gt;=9)*('CASE MASTER'!$AB$2:$AB$495&lt;=6)*('CASE MASTER'!$AD$2:$AD$495&gt;=6))*ROW('CASE MASTER'!$T$2:$T$495))-(ROW('CASE MASTER'!#REF!)-1)))+((9-INDEX('CASE MASTER'!$AA$2:$AA$495,(SUMPRODUCT((('CASE MASTER'!$T$2:$T$495=9)*('CASE MASTER'!$AA$2:$AA$495&lt;=9)*('CASE MASTER'!$AC$2:$AC$495&gt;=9)*('CASE MASTER'!$AB$2:$AB$495&lt;=6)*('CASE MASTER'!$AD$2:$AD$495&gt;=6))*ROW('CASE MASTER'!$T$2:$T$495))-(ROW('CASE MASTER'!#REF!)-1))))*(INDEX('CASE MASTER'!$AD$2:$AD$495,(SUMPRODUCT((('CASE MASTER'!$T$2:$T$495=9)*('CASE MASTER'!$AA$2:$AA$495&lt;=9)*('CASE MASTER'!$AC$2:$AC$495&gt;=9)*('CASE MASTER'!$AB$2:$AB$495&lt;=6)*('CASE MASTER'!$AD$2:$AD$495&gt;=6))*ROW('CASE MASTER'!$T$2:$T$495))-(ROW('CASE MASTER'!#REF!)-1)))-INDEX('CASE MASTER'!$AB$2:$AB$495,(SUMPRODUCT((('CASE MASTER'!$T$2:$T$495=9)*('CASE MASTER'!$AA$2:$AA$495&lt;=9)*('CASE MASTER'!$AC$2:$AC$495&gt;=9)*('CASE MASTER'!$AB$2:$AB$495&lt;=6)*('CASE MASTER'!$AD$2:$AD$495&gt;=6))*ROW('CASE MASTER'!$T$2:$T$495))-(ROW('CASE MASTER'!#REF!)-1)))+1)+(6-INDEX('CASE MASTER'!$AB$2:$AB$495,(SUMPRODUCT((('CASE MASTER'!$T$2:$T$495=9)*('CASE MASTER'!$AA$2:$AA$495&lt;=9)*('CASE MASTER'!$AC$2:$AC$495&gt;=9)*('CASE MASTER'!$AB$2:$AB$495&lt;=6)*('CASE MASTER'!$AD$2:$AD$495&gt;=6))*ROW('CASE MASTER'!$T$2:$T$495))-(ROW('CASE MASTER'!#REF!)-1))))+1)))-1)*50+1,50))&amp;"_"&amp;INDEX('CASE MASTER'!$Q$2:$Q$495,(SUMPRODUCT((('CASE MASTER'!$T$2:$T$495=9)*('CASE MASTER'!$AA$2:$AA$495&lt;=9)*('CASE MASTER'!$AC$2:$AC$495&gt;=9)*('CASE MASTER'!$AB$2:$AB$495&lt;=6)*('CASE MASTER'!$AD$2:$AD$495&gt;=6))*ROW('CASE MASTER'!$T$2:$T$495))-(ROW('CASE MASTER'!#REF!)-1))),"")),"")</f>
        <v/>
      </c>
      <c r="H123" s="10" t="str">
        <f>IFERROR(IF(SUMPRODUCT((('CASE MASTER'!$T$2:$T$495=9)*('CASE MASTER'!$U$2:$U$495&lt;=9)*('CASE MASTER'!$W$2:$W$495&gt;=9)*('CASE MASTER'!$V$2:$V$495&lt;=7)*('CASE MASTER'!$X$2:$X$495&gt;=7))*ROW('CASE MASTER'!$T$2:$T$495))&gt;0,INDEX('CASE MASTER'!$Y$2:$Y$495,(SUMPRODUCT((('CASE MASTER'!$T$2:$T$495=9)*('CASE MASTER'!$U$2:$U$495&lt;=9)*('CASE MASTER'!$W$2:$W$495&gt;=9)*('CASE MASTER'!$V$2:$V$495&lt;=7)*('CASE MASTER'!$X$2:$X$495&gt;=7))*ROW('CASE MASTER'!$T$2:$T$495))-(ROW('CASE MASTER'!#REF!)-1)))&amp;TRIM(MID(SUBSTITUTE(SUBSTITUTE(INDEX('CASE MASTER'!$N$2:$N$495,(SUMPRODUCT((('CASE MASTER'!$T$2:$T$495=9)*('CASE MASTER'!$U$2:$U$495&lt;=9)*('CASE MASTER'!$W$2:$W$495&gt;=9)*('CASE MASTER'!$V$2:$V$495&lt;=7)*('CASE MASTER'!$X$2:$X$495&gt;=7))*ROW('CASE MASTER'!$T$2:$T$495))-(ROW('CASE MASTER'!#REF!)-1))),":",","),",",REPT(" ",50)),((((9-INDEX('CASE MASTER'!$U$2:$U$495,(SUMPRODUCT((('CASE MASTER'!$T$2:$T$495=9)*('CASE MASTER'!$U$2:$U$495&lt;=9)*('CASE MASTER'!$W$2:$W$495&gt;=9)*('CASE MASTER'!$V$2:$V$495&lt;=7)*('CASE MASTER'!$X$2:$X$495&gt;=7))*ROW('CASE MASTER'!$T$2:$T$495))-(ROW('CASE MASTER'!#REF!)-1))))*(INDEX('CASE MASTER'!$X$2:$X$495,(SUMPRODUCT((('CASE MASTER'!$T$2:$T$495=9)*('CASE MASTER'!$U$2:$U$495&lt;=9)*('CASE MASTER'!$W$2:$W$495&gt;=9)*('CASE MASTER'!$V$2:$V$495&lt;=7)*('CASE MASTER'!$X$2:$X$495&gt;=7))*ROW('CASE MASTER'!$T$2:$T$495))-(ROW('CASE MASTER'!#REF!)-1)))-INDEX('CASE MASTER'!$V$2:$V$495,(SUMPRODUCT((('CASE MASTER'!$T$2:$T$495=9)*('CASE MASTER'!$U$2:$U$495&lt;=9)*('CASE MASTER'!$W$2:$W$495&gt;=9)*('CASE MASTER'!$V$2:$V$495&lt;=7)*('CASE MASTER'!$X$2:$X$495&gt;=7))*ROW('CASE MASTER'!$T$2:$T$495))-(ROW('CASE MASTER'!#REF!)-1)))+1)+(7-INDEX('CASE MASTER'!$V$2:$V$495,(SUMPRODUCT((('CASE MASTER'!$T$2:$T$495=9)*('CASE MASTER'!$U$2:$U$495&lt;=9)*('CASE MASTER'!$W$2:$W$495&gt;=9)*('CASE MASTER'!$V$2:$V$495&lt;=7)*('CASE MASTER'!$X$2:$X$495&gt;=7))*ROW('CASE MASTER'!$T$2:$T$495))-(ROW('CASE MASTER'!#REF!)-1))))+1))-1)*50+1,50))&amp;"_"&amp;INDEX('CASE MASTER'!$Q$2:$Q$495,(SUMPRODUCT((('CASE MASTER'!$T$2:$T$495=9)*('CASE MASTER'!$U$2:$U$495&lt;=9)*('CASE MASTER'!$W$2:$W$495&gt;=9)*('CASE MASTER'!$V$2:$V$495&lt;=7)*('CASE MASTER'!$X$2:$X$495&gt;=7))*ROW('CASE MASTER'!$T$2:$T$495))-(ROW('CASE MASTER'!#REF!)-1))),IF(SUMPRODUCT((('CASE MASTER'!$T$2:$T$495=9)*('CASE MASTER'!$AA$2:$AA$495&lt;=9)*('CASE MASTER'!$AC$2:$AC$495&gt;=9)*('CASE MASTER'!$AB$2:$AB$495&lt;=7)*('CASE MASTER'!$AD$2:$AD$495&gt;=7))*ROW('CASE MASTER'!$T$2:$T$495))&gt;0,INDEX('CASE MASTER'!$Y$2:$Y$495,(SUMPRODUCT((('CASE MASTER'!$T$2:$T$495=9)*('CASE MASTER'!$AA$2:$AA$495&lt;=9)*('CASE MASTER'!$AC$2:$AC$495&gt;=9)*('CASE MASTER'!$AB$2:$AB$495&lt;=7)*('CASE MASTER'!$AD$2:$AD$495&gt;=7))*ROW('CASE MASTER'!$T$2:$T$495))-(ROW('CASE MASTER'!#REF!)-1)))&amp;TRIM(MID(SUBSTITUTE(SUBSTITUTE(INDEX('CASE MASTER'!$N$2:$N$495,(SUMPRODUCT((('CASE MASTER'!$T$2:$T$495=9)*('CASE MASTER'!$AA$2:$AA$495&lt;=9)*('CASE MASTER'!$AC$2:$AC$495&gt;=9)*('CASE MASTER'!$AB$2:$AB$495&lt;=7)*('CASE MASTER'!$AD$2:$AD$495&gt;=7))*ROW('CASE MASTER'!$T$2:$T$495))-(ROW('CASE MASTER'!#REF!)-1))),":",","),",",REPT(" ",50)),(((INDEX('CASE MASTER'!$Z$2:$Z$495,(SUMPRODUCT((('CASE MASTER'!$T$2:$T$495=9)*('CASE MASTER'!$AA$2:$AA$495&lt;=9)*('CASE MASTER'!$AC$2:$AC$495&gt;=9)*('CASE MASTER'!$AB$2:$AB$495&lt;=7)*('CASE MASTER'!$AD$2:$AD$495&gt;=7))*ROW('CASE MASTER'!$T$2:$T$495))-(ROW('CASE MASTER'!#REF!)-1)))+((9-INDEX('CASE MASTER'!$AA$2:$AA$495,(SUMPRODUCT((('CASE MASTER'!$T$2:$T$495=9)*('CASE MASTER'!$AA$2:$AA$495&lt;=9)*('CASE MASTER'!$AC$2:$AC$495&gt;=9)*('CASE MASTER'!$AB$2:$AB$495&lt;=7)*('CASE MASTER'!$AD$2:$AD$495&gt;=7))*ROW('CASE MASTER'!$T$2:$T$495))-(ROW('CASE MASTER'!#REF!)-1))))*(INDEX('CASE MASTER'!$AD$2:$AD$495,(SUMPRODUCT((('CASE MASTER'!$T$2:$T$495=9)*('CASE MASTER'!$AA$2:$AA$495&lt;=9)*('CASE MASTER'!$AC$2:$AC$495&gt;=9)*('CASE MASTER'!$AB$2:$AB$495&lt;=7)*('CASE MASTER'!$AD$2:$AD$495&gt;=7))*ROW('CASE MASTER'!$T$2:$T$495))-(ROW('CASE MASTER'!#REF!)-1)))-INDEX('CASE MASTER'!$AB$2:$AB$495,(SUMPRODUCT((('CASE MASTER'!$T$2:$T$495=9)*('CASE MASTER'!$AA$2:$AA$495&lt;=9)*('CASE MASTER'!$AC$2:$AC$495&gt;=9)*('CASE MASTER'!$AB$2:$AB$495&lt;=7)*('CASE MASTER'!$AD$2:$AD$495&gt;=7))*ROW('CASE MASTER'!$T$2:$T$495))-(ROW('CASE MASTER'!#REF!)-1)))+1)+(7-INDEX('CASE MASTER'!$AB$2:$AB$495,(SUMPRODUCT((('CASE MASTER'!$T$2:$T$495=9)*('CASE MASTER'!$AA$2:$AA$495&lt;=9)*('CASE MASTER'!$AC$2:$AC$495&gt;=9)*('CASE MASTER'!$AB$2:$AB$495&lt;=7)*('CASE MASTER'!$AD$2:$AD$495&gt;=7))*ROW('CASE MASTER'!$T$2:$T$495))-(ROW('CASE MASTER'!#REF!)-1))))+1)))-1)*50+1,50))&amp;"_"&amp;INDEX('CASE MASTER'!$Q$2:$Q$495,(SUMPRODUCT((('CASE MASTER'!$T$2:$T$495=9)*('CASE MASTER'!$AA$2:$AA$495&lt;=9)*('CASE MASTER'!$AC$2:$AC$495&gt;=9)*('CASE MASTER'!$AB$2:$AB$495&lt;=7)*('CASE MASTER'!$AD$2:$AD$495&gt;=7))*ROW('CASE MASTER'!$T$2:$T$495))-(ROW('CASE MASTER'!#REF!)-1))),"")),"")</f>
        <v/>
      </c>
      <c r="I123" s="10" t="str">
        <f>IFERROR(IF(SUMPRODUCT((('CASE MASTER'!$T$2:$T$495=9)*('CASE MASTER'!$U$2:$U$495&lt;=9)*('CASE MASTER'!$W$2:$W$495&gt;=9)*('CASE MASTER'!$V$2:$V$495&lt;=8)*('CASE MASTER'!$X$2:$X$495&gt;=8))*ROW('CASE MASTER'!$T$2:$T$495))&gt;0,INDEX('CASE MASTER'!$Y$2:$Y$495,(SUMPRODUCT((('CASE MASTER'!$T$2:$T$495=9)*('CASE MASTER'!$U$2:$U$495&lt;=9)*('CASE MASTER'!$W$2:$W$495&gt;=9)*('CASE MASTER'!$V$2:$V$495&lt;=8)*('CASE MASTER'!$X$2:$X$495&gt;=8))*ROW('CASE MASTER'!$T$2:$T$495))-(ROW('CASE MASTER'!#REF!)-1)))&amp;TRIM(MID(SUBSTITUTE(SUBSTITUTE(INDEX('CASE MASTER'!$N$2:$N$495,(SUMPRODUCT((('CASE MASTER'!$T$2:$T$495=9)*('CASE MASTER'!$U$2:$U$495&lt;=9)*('CASE MASTER'!$W$2:$W$495&gt;=9)*('CASE MASTER'!$V$2:$V$495&lt;=8)*('CASE MASTER'!$X$2:$X$495&gt;=8))*ROW('CASE MASTER'!$T$2:$T$495))-(ROW('CASE MASTER'!#REF!)-1))),":",","),",",REPT(" ",50)),((((9-INDEX('CASE MASTER'!$U$2:$U$495,(SUMPRODUCT((('CASE MASTER'!$T$2:$T$495=9)*('CASE MASTER'!$U$2:$U$495&lt;=9)*('CASE MASTER'!$W$2:$W$495&gt;=9)*('CASE MASTER'!$V$2:$V$495&lt;=8)*('CASE MASTER'!$X$2:$X$495&gt;=8))*ROW('CASE MASTER'!$T$2:$T$495))-(ROW('CASE MASTER'!#REF!)-1))))*(INDEX('CASE MASTER'!$X$2:$X$495,(SUMPRODUCT((('CASE MASTER'!$T$2:$T$495=9)*('CASE MASTER'!$U$2:$U$495&lt;=9)*('CASE MASTER'!$W$2:$W$495&gt;=9)*('CASE MASTER'!$V$2:$V$495&lt;=8)*('CASE MASTER'!$X$2:$X$495&gt;=8))*ROW('CASE MASTER'!$T$2:$T$495))-(ROW('CASE MASTER'!#REF!)-1)))-INDEX('CASE MASTER'!$V$2:$V$495,(SUMPRODUCT((('CASE MASTER'!$T$2:$T$495=9)*('CASE MASTER'!$U$2:$U$495&lt;=9)*('CASE MASTER'!$W$2:$W$495&gt;=9)*('CASE MASTER'!$V$2:$V$495&lt;=8)*('CASE MASTER'!$X$2:$X$495&gt;=8))*ROW('CASE MASTER'!$T$2:$T$495))-(ROW('CASE MASTER'!#REF!)-1)))+1)+(8-INDEX('CASE MASTER'!$V$2:$V$495,(SUMPRODUCT((('CASE MASTER'!$T$2:$T$495=9)*('CASE MASTER'!$U$2:$U$495&lt;=9)*('CASE MASTER'!$W$2:$W$495&gt;=9)*('CASE MASTER'!$V$2:$V$495&lt;=8)*('CASE MASTER'!$X$2:$X$495&gt;=8))*ROW('CASE MASTER'!$T$2:$T$495))-(ROW('CASE MASTER'!#REF!)-1))))+1))-1)*50+1,50))&amp;"_"&amp;INDEX('CASE MASTER'!$Q$2:$Q$495,(SUMPRODUCT((('CASE MASTER'!$T$2:$T$495=9)*('CASE MASTER'!$U$2:$U$495&lt;=9)*('CASE MASTER'!$W$2:$W$495&gt;=9)*('CASE MASTER'!$V$2:$V$495&lt;=8)*('CASE MASTER'!$X$2:$X$495&gt;=8))*ROW('CASE MASTER'!$T$2:$T$495))-(ROW('CASE MASTER'!#REF!)-1))),IF(SUMPRODUCT((('CASE MASTER'!$T$2:$T$495=9)*('CASE MASTER'!$AA$2:$AA$495&lt;=9)*('CASE MASTER'!$AC$2:$AC$495&gt;=9)*('CASE MASTER'!$AB$2:$AB$495&lt;=8)*('CASE MASTER'!$AD$2:$AD$495&gt;=8))*ROW('CASE MASTER'!$T$2:$T$495))&gt;0,INDEX('CASE MASTER'!$Y$2:$Y$495,(SUMPRODUCT((('CASE MASTER'!$T$2:$T$495=9)*('CASE MASTER'!$AA$2:$AA$495&lt;=9)*('CASE MASTER'!$AC$2:$AC$495&gt;=9)*('CASE MASTER'!$AB$2:$AB$495&lt;=8)*('CASE MASTER'!$AD$2:$AD$495&gt;=8))*ROW('CASE MASTER'!$T$2:$T$495))-(ROW('CASE MASTER'!#REF!)-1)))&amp;TRIM(MID(SUBSTITUTE(SUBSTITUTE(INDEX('CASE MASTER'!$N$2:$N$495,(SUMPRODUCT((('CASE MASTER'!$T$2:$T$495=9)*('CASE MASTER'!$AA$2:$AA$495&lt;=9)*('CASE MASTER'!$AC$2:$AC$495&gt;=9)*('CASE MASTER'!$AB$2:$AB$495&lt;=8)*('CASE MASTER'!$AD$2:$AD$495&gt;=8))*ROW('CASE MASTER'!$T$2:$T$495))-(ROW('CASE MASTER'!#REF!)-1))),":",","),",",REPT(" ",50)),(((INDEX('CASE MASTER'!$Z$2:$Z$495,(SUMPRODUCT((('CASE MASTER'!$T$2:$T$495=9)*('CASE MASTER'!$AA$2:$AA$495&lt;=9)*('CASE MASTER'!$AC$2:$AC$495&gt;=9)*('CASE MASTER'!$AB$2:$AB$495&lt;=8)*('CASE MASTER'!$AD$2:$AD$495&gt;=8))*ROW('CASE MASTER'!$T$2:$T$495))-(ROW('CASE MASTER'!#REF!)-1)))+((9-INDEX('CASE MASTER'!$AA$2:$AA$495,(SUMPRODUCT((('CASE MASTER'!$T$2:$T$495=9)*('CASE MASTER'!$AA$2:$AA$495&lt;=9)*('CASE MASTER'!$AC$2:$AC$495&gt;=9)*('CASE MASTER'!$AB$2:$AB$495&lt;=8)*('CASE MASTER'!$AD$2:$AD$495&gt;=8))*ROW('CASE MASTER'!$T$2:$T$495))-(ROW('CASE MASTER'!#REF!)-1))))*(INDEX('CASE MASTER'!$AD$2:$AD$495,(SUMPRODUCT((('CASE MASTER'!$T$2:$T$495=9)*('CASE MASTER'!$AA$2:$AA$495&lt;=9)*('CASE MASTER'!$AC$2:$AC$495&gt;=9)*('CASE MASTER'!$AB$2:$AB$495&lt;=8)*('CASE MASTER'!$AD$2:$AD$495&gt;=8))*ROW('CASE MASTER'!$T$2:$T$495))-(ROW('CASE MASTER'!#REF!)-1)))-INDEX('CASE MASTER'!$AB$2:$AB$495,(SUMPRODUCT((('CASE MASTER'!$T$2:$T$495=9)*('CASE MASTER'!$AA$2:$AA$495&lt;=9)*('CASE MASTER'!$AC$2:$AC$495&gt;=9)*('CASE MASTER'!$AB$2:$AB$495&lt;=8)*('CASE MASTER'!$AD$2:$AD$495&gt;=8))*ROW('CASE MASTER'!$T$2:$T$495))-(ROW('CASE MASTER'!#REF!)-1)))+1)+(8-INDEX('CASE MASTER'!$AB$2:$AB$495,(SUMPRODUCT((('CASE MASTER'!$T$2:$T$495=9)*('CASE MASTER'!$AA$2:$AA$495&lt;=9)*('CASE MASTER'!$AC$2:$AC$495&gt;=9)*('CASE MASTER'!$AB$2:$AB$495&lt;=8)*('CASE MASTER'!$AD$2:$AD$495&gt;=8))*ROW('CASE MASTER'!$T$2:$T$495))-(ROW('CASE MASTER'!#REF!)-1))))+1)))-1)*50+1,50))&amp;"_"&amp;INDEX('CASE MASTER'!$Q$2:$Q$495,(SUMPRODUCT((('CASE MASTER'!$T$2:$T$495=9)*('CASE MASTER'!$AA$2:$AA$495&lt;=9)*('CASE MASTER'!$AC$2:$AC$495&gt;=9)*('CASE MASTER'!$AB$2:$AB$495&lt;=8)*('CASE MASTER'!$AD$2:$AD$495&gt;=8))*ROW('CASE MASTER'!$T$2:$T$495))-(ROW('CASE MASTER'!#REF!)-1))),"")),"")</f>
        <v/>
      </c>
      <c r="J123" s="10" t="str">
        <f>IFERROR(IF(SUMPRODUCT((('CASE MASTER'!$T$2:$T$495=9)*('CASE MASTER'!$U$2:$U$495&lt;=9)*('CASE MASTER'!$W$2:$W$495&gt;=9)*('CASE MASTER'!$V$2:$V$495&lt;=9)*('CASE MASTER'!$X$2:$X$495&gt;=9))*ROW('CASE MASTER'!$T$2:$T$495))&gt;0,INDEX('CASE MASTER'!$Y$2:$Y$495,(SUMPRODUCT((('CASE MASTER'!$T$2:$T$495=9)*('CASE MASTER'!$U$2:$U$495&lt;=9)*('CASE MASTER'!$W$2:$W$495&gt;=9)*('CASE MASTER'!$V$2:$V$495&lt;=9)*('CASE MASTER'!$X$2:$X$495&gt;=9))*ROW('CASE MASTER'!$T$2:$T$495))-(ROW('CASE MASTER'!#REF!)-1)))&amp;TRIM(MID(SUBSTITUTE(SUBSTITUTE(INDEX('CASE MASTER'!$N$2:$N$495,(SUMPRODUCT((('CASE MASTER'!$T$2:$T$495=9)*('CASE MASTER'!$U$2:$U$495&lt;=9)*('CASE MASTER'!$W$2:$W$495&gt;=9)*('CASE MASTER'!$V$2:$V$495&lt;=9)*('CASE MASTER'!$X$2:$X$495&gt;=9))*ROW('CASE MASTER'!$T$2:$T$495))-(ROW('CASE MASTER'!#REF!)-1))),":",","),",",REPT(" ",50)),((((9-INDEX('CASE MASTER'!$U$2:$U$495,(SUMPRODUCT((('CASE MASTER'!$T$2:$T$495=9)*('CASE MASTER'!$U$2:$U$495&lt;=9)*('CASE MASTER'!$W$2:$W$495&gt;=9)*('CASE MASTER'!$V$2:$V$495&lt;=9)*('CASE MASTER'!$X$2:$X$495&gt;=9))*ROW('CASE MASTER'!$T$2:$T$495))-(ROW('CASE MASTER'!#REF!)-1))))*(INDEX('CASE MASTER'!$X$2:$X$495,(SUMPRODUCT((('CASE MASTER'!$T$2:$T$495=9)*('CASE MASTER'!$U$2:$U$495&lt;=9)*('CASE MASTER'!$W$2:$W$495&gt;=9)*('CASE MASTER'!$V$2:$V$495&lt;=9)*('CASE MASTER'!$X$2:$X$495&gt;=9))*ROW('CASE MASTER'!$T$2:$T$495))-(ROW('CASE MASTER'!#REF!)-1)))-INDEX('CASE MASTER'!$V$2:$V$495,(SUMPRODUCT((('CASE MASTER'!$T$2:$T$495=9)*('CASE MASTER'!$U$2:$U$495&lt;=9)*('CASE MASTER'!$W$2:$W$495&gt;=9)*('CASE MASTER'!$V$2:$V$495&lt;=9)*('CASE MASTER'!$X$2:$X$495&gt;=9))*ROW('CASE MASTER'!$T$2:$T$495))-(ROW('CASE MASTER'!#REF!)-1)))+1)+(9-INDEX('CASE MASTER'!$V$2:$V$495,(SUMPRODUCT((('CASE MASTER'!$T$2:$T$495=9)*('CASE MASTER'!$U$2:$U$495&lt;=9)*('CASE MASTER'!$W$2:$W$495&gt;=9)*('CASE MASTER'!$V$2:$V$495&lt;=9)*('CASE MASTER'!$X$2:$X$495&gt;=9))*ROW('CASE MASTER'!$T$2:$T$495))-(ROW('CASE MASTER'!#REF!)-1))))+1))-1)*50+1,50))&amp;"_"&amp;INDEX('CASE MASTER'!$Q$2:$Q$495,(SUMPRODUCT((('CASE MASTER'!$T$2:$T$495=9)*('CASE MASTER'!$U$2:$U$495&lt;=9)*('CASE MASTER'!$W$2:$W$495&gt;=9)*('CASE MASTER'!$V$2:$V$495&lt;=9)*('CASE MASTER'!$X$2:$X$495&gt;=9))*ROW('CASE MASTER'!$T$2:$T$495))-(ROW('CASE MASTER'!#REF!)-1))),IF(SUMPRODUCT((('CASE MASTER'!$T$2:$T$495=9)*('CASE MASTER'!$AA$2:$AA$495&lt;=9)*('CASE MASTER'!$AC$2:$AC$495&gt;=9)*('CASE MASTER'!$AB$2:$AB$495&lt;=9)*('CASE MASTER'!$AD$2:$AD$495&gt;=9))*ROW('CASE MASTER'!$T$2:$T$495))&gt;0,INDEX('CASE MASTER'!$Y$2:$Y$495,(SUMPRODUCT((('CASE MASTER'!$T$2:$T$495=9)*('CASE MASTER'!$AA$2:$AA$495&lt;=9)*('CASE MASTER'!$AC$2:$AC$495&gt;=9)*('CASE MASTER'!$AB$2:$AB$495&lt;=9)*('CASE MASTER'!$AD$2:$AD$495&gt;=9))*ROW('CASE MASTER'!$T$2:$T$495))-(ROW('CASE MASTER'!#REF!)-1)))&amp;TRIM(MID(SUBSTITUTE(SUBSTITUTE(INDEX('CASE MASTER'!$N$2:$N$495,(SUMPRODUCT((('CASE MASTER'!$T$2:$T$495=9)*('CASE MASTER'!$AA$2:$AA$495&lt;=9)*('CASE MASTER'!$AC$2:$AC$495&gt;=9)*('CASE MASTER'!$AB$2:$AB$495&lt;=9)*('CASE MASTER'!$AD$2:$AD$495&gt;=9))*ROW('CASE MASTER'!$T$2:$T$495))-(ROW('CASE MASTER'!#REF!)-1))),":",","),",",REPT(" ",50)),(((INDEX('CASE MASTER'!$Z$2:$Z$495,(SUMPRODUCT((('CASE MASTER'!$T$2:$T$495=9)*('CASE MASTER'!$AA$2:$AA$495&lt;=9)*('CASE MASTER'!$AC$2:$AC$495&gt;=9)*('CASE MASTER'!$AB$2:$AB$495&lt;=9)*('CASE MASTER'!$AD$2:$AD$495&gt;=9))*ROW('CASE MASTER'!$T$2:$T$495))-(ROW('CASE MASTER'!#REF!)-1)))+((9-INDEX('CASE MASTER'!$AA$2:$AA$495,(SUMPRODUCT((('CASE MASTER'!$T$2:$T$495=9)*('CASE MASTER'!$AA$2:$AA$495&lt;=9)*('CASE MASTER'!$AC$2:$AC$495&gt;=9)*('CASE MASTER'!$AB$2:$AB$495&lt;=9)*('CASE MASTER'!$AD$2:$AD$495&gt;=9))*ROW('CASE MASTER'!$T$2:$T$495))-(ROW('CASE MASTER'!#REF!)-1))))*(INDEX('CASE MASTER'!$AD$2:$AD$495,(SUMPRODUCT((('CASE MASTER'!$T$2:$T$495=9)*('CASE MASTER'!$AA$2:$AA$495&lt;=9)*('CASE MASTER'!$AC$2:$AC$495&gt;=9)*('CASE MASTER'!$AB$2:$AB$495&lt;=9)*('CASE MASTER'!$AD$2:$AD$495&gt;=9))*ROW('CASE MASTER'!$T$2:$T$495))-(ROW('CASE MASTER'!#REF!)-1)))-INDEX('CASE MASTER'!$AB$2:$AB$495,(SUMPRODUCT((('CASE MASTER'!$T$2:$T$495=9)*('CASE MASTER'!$AA$2:$AA$495&lt;=9)*('CASE MASTER'!$AC$2:$AC$495&gt;=9)*('CASE MASTER'!$AB$2:$AB$495&lt;=9)*('CASE MASTER'!$AD$2:$AD$495&gt;=9))*ROW('CASE MASTER'!$T$2:$T$495))-(ROW('CASE MASTER'!#REF!)-1)))+1)+(9-INDEX('CASE MASTER'!$AB$2:$AB$495,(SUMPRODUCT((('CASE MASTER'!$T$2:$T$495=9)*('CASE MASTER'!$AA$2:$AA$495&lt;=9)*('CASE MASTER'!$AC$2:$AC$495&gt;=9)*('CASE MASTER'!$AB$2:$AB$495&lt;=9)*('CASE MASTER'!$AD$2:$AD$495&gt;=9))*ROW('CASE MASTER'!$T$2:$T$495))-(ROW('CASE MASTER'!#REF!)-1))))+1)))-1)*50+1,50))&amp;"_"&amp;INDEX('CASE MASTER'!$Q$2:$Q$495,(SUMPRODUCT((('CASE MASTER'!$T$2:$T$495=9)*('CASE MASTER'!$AA$2:$AA$495&lt;=9)*('CASE MASTER'!$AC$2:$AC$495&gt;=9)*('CASE MASTER'!$AB$2:$AB$495&lt;=9)*('CASE MASTER'!$AD$2:$AD$495&gt;=9))*ROW('CASE MASTER'!$T$2:$T$495))-(ROW('CASE MASTER'!#REF!)-1))),"")),"")</f>
        <v/>
      </c>
      <c r="K123" s="10" t="str">
        <f>IFERROR(IF(SUMPRODUCT((('CASE MASTER'!$T$2:$T$495=9)*('CASE MASTER'!$U$2:$U$495&lt;=9)*('CASE MASTER'!$W$2:$W$495&gt;=9)*('CASE MASTER'!$V$2:$V$495&lt;=10)*('CASE MASTER'!$X$2:$X$495&gt;=10))*ROW('CASE MASTER'!$T$2:$T$495))&gt;0,INDEX('CASE MASTER'!$Y$2:$Y$495,(SUMPRODUCT((('CASE MASTER'!$T$2:$T$495=9)*('CASE MASTER'!$U$2:$U$495&lt;=9)*('CASE MASTER'!$W$2:$W$495&gt;=9)*('CASE MASTER'!$V$2:$V$495&lt;=10)*('CASE MASTER'!$X$2:$X$495&gt;=10))*ROW('CASE MASTER'!$T$2:$T$495))-(ROW('CASE MASTER'!#REF!)-1)))&amp;TRIM(MID(SUBSTITUTE(SUBSTITUTE(INDEX('CASE MASTER'!$N$2:$N$495,(SUMPRODUCT((('CASE MASTER'!$T$2:$T$495=9)*('CASE MASTER'!$U$2:$U$495&lt;=9)*('CASE MASTER'!$W$2:$W$495&gt;=9)*('CASE MASTER'!$V$2:$V$495&lt;=10)*('CASE MASTER'!$X$2:$X$495&gt;=10))*ROW('CASE MASTER'!$T$2:$T$495))-(ROW('CASE MASTER'!#REF!)-1))),":",","),",",REPT(" ",50)),((((9-INDEX('CASE MASTER'!$U$2:$U$495,(SUMPRODUCT((('CASE MASTER'!$T$2:$T$495=9)*('CASE MASTER'!$U$2:$U$495&lt;=9)*('CASE MASTER'!$W$2:$W$495&gt;=9)*('CASE MASTER'!$V$2:$V$495&lt;=10)*('CASE MASTER'!$X$2:$X$495&gt;=10))*ROW('CASE MASTER'!$T$2:$T$495))-(ROW('CASE MASTER'!#REF!)-1))))*(INDEX('CASE MASTER'!$X$2:$X$495,(SUMPRODUCT((('CASE MASTER'!$T$2:$T$495=9)*('CASE MASTER'!$U$2:$U$495&lt;=9)*('CASE MASTER'!$W$2:$W$495&gt;=9)*('CASE MASTER'!$V$2:$V$495&lt;=10)*('CASE MASTER'!$X$2:$X$495&gt;=10))*ROW('CASE MASTER'!$T$2:$T$495))-(ROW('CASE MASTER'!#REF!)-1)))-INDEX('CASE MASTER'!$V$2:$V$495,(SUMPRODUCT((('CASE MASTER'!$T$2:$T$495=9)*('CASE MASTER'!$U$2:$U$495&lt;=9)*('CASE MASTER'!$W$2:$W$495&gt;=9)*('CASE MASTER'!$V$2:$V$495&lt;=10)*('CASE MASTER'!$X$2:$X$495&gt;=10))*ROW('CASE MASTER'!$T$2:$T$495))-(ROW('CASE MASTER'!#REF!)-1)))+1)+(10-INDEX('CASE MASTER'!$V$2:$V$495,(SUMPRODUCT((('CASE MASTER'!$T$2:$T$495=9)*('CASE MASTER'!$U$2:$U$495&lt;=9)*('CASE MASTER'!$W$2:$W$495&gt;=9)*('CASE MASTER'!$V$2:$V$495&lt;=10)*('CASE MASTER'!$X$2:$X$495&gt;=10))*ROW('CASE MASTER'!$T$2:$T$495))-(ROW('CASE MASTER'!#REF!)-1))))+1))-1)*50+1,50))&amp;"_"&amp;INDEX('CASE MASTER'!$Q$2:$Q$495,(SUMPRODUCT((('CASE MASTER'!$T$2:$T$495=9)*('CASE MASTER'!$U$2:$U$495&lt;=9)*('CASE MASTER'!$W$2:$W$495&gt;=9)*('CASE MASTER'!$V$2:$V$495&lt;=10)*('CASE MASTER'!$X$2:$X$495&gt;=10))*ROW('CASE MASTER'!$T$2:$T$495))-(ROW('CASE MASTER'!#REF!)-1))),IF(SUMPRODUCT((('CASE MASTER'!$T$2:$T$495=9)*('CASE MASTER'!$AA$2:$AA$495&lt;=9)*('CASE MASTER'!$AC$2:$AC$495&gt;=9)*('CASE MASTER'!$AB$2:$AB$495&lt;=10)*('CASE MASTER'!$AD$2:$AD$495&gt;=10))*ROW('CASE MASTER'!$T$2:$T$495))&gt;0,INDEX('CASE MASTER'!$Y$2:$Y$495,(SUMPRODUCT((('CASE MASTER'!$T$2:$T$495=9)*('CASE MASTER'!$AA$2:$AA$495&lt;=9)*('CASE MASTER'!$AC$2:$AC$495&gt;=9)*('CASE MASTER'!$AB$2:$AB$495&lt;=10)*('CASE MASTER'!$AD$2:$AD$495&gt;=10))*ROW('CASE MASTER'!$T$2:$T$495))-(ROW('CASE MASTER'!#REF!)-1)))&amp;TRIM(MID(SUBSTITUTE(SUBSTITUTE(INDEX('CASE MASTER'!$N$2:$N$495,(SUMPRODUCT((('CASE MASTER'!$T$2:$T$495=9)*('CASE MASTER'!$AA$2:$AA$495&lt;=9)*('CASE MASTER'!$AC$2:$AC$495&gt;=9)*('CASE MASTER'!$AB$2:$AB$495&lt;=10)*('CASE MASTER'!$AD$2:$AD$495&gt;=10))*ROW('CASE MASTER'!$T$2:$T$495))-(ROW('CASE MASTER'!#REF!)-1))),":",","),",",REPT(" ",50)),(((INDEX('CASE MASTER'!$Z$2:$Z$495,(SUMPRODUCT((('CASE MASTER'!$T$2:$T$495=9)*('CASE MASTER'!$AA$2:$AA$495&lt;=9)*('CASE MASTER'!$AC$2:$AC$495&gt;=9)*('CASE MASTER'!$AB$2:$AB$495&lt;=10)*('CASE MASTER'!$AD$2:$AD$495&gt;=10))*ROW('CASE MASTER'!$T$2:$T$495))-(ROW('CASE MASTER'!#REF!)-1)))+((9-INDEX('CASE MASTER'!$AA$2:$AA$495,(SUMPRODUCT((('CASE MASTER'!$T$2:$T$495=9)*('CASE MASTER'!$AA$2:$AA$495&lt;=9)*('CASE MASTER'!$AC$2:$AC$495&gt;=9)*('CASE MASTER'!$AB$2:$AB$495&lt;=10)*('CASE MASTER'!$AD$2:$AD$495&gt;=10))*ROW('CASE MASTER'!$T$2:$T$495))-(ROW('CASE MASTER'!#REF!)-1))))*(INDEX('CASE MASTER'!$AD$2:$AD$495,(SUMPRODUCT((('CASE MASTER'!$T$2:$T$495=9)*('CASE MASTER'!$AA$2:$AA$495&lt;=9)*('CASE MASTER'!$AC$2:$AC$495&gt;=9)*('CASE MASTER'!$AB$2:$AB$495&lt;=10)*('CASE MASTER'!$AD$2:$AD$495&gt;=10))*ROW('CASE MASTER'!$T$2:$T$495))-(ROW('CASE MASTER'!#REF!)-1)))-INDEX('CASE MASTER'!$AB$2:$AB$495,(SUMPRODUCT((('CASE MASTER'!$T$2:$T$495=9)*('CASE MASTER'!$AA$2:$AA$495&lt;=9)*('CASE MASTER'!$AC$2:$AC$495&gt;=9)*('CASE MASTER'!$AB$2:$AB$495&lt;=10)*('CASE MASTER'!$AD$2:$AD$495&gt;=10))*ROW('CASE MASTER'!$T$2:$T$495))-(ROW('CASE MASTER'!#REF!)-1)))+1)+(10-INDEX('CASE MASTER'!$AB$2:$AB$495,(SUMPRODUCT((('CASE MASTER'!$T$2:$T$495=9)*('CASE MASTER'!$AA$2:$AA$495&lt;=9)*('CASE MASTER'!$AC$2:$AC$495&gt;=9)*('CASE MASTER'!$AB$2:$AB$495&lt;=10)*('CASE MASTER'!$AD$2:$AD$495&gt;=10))*ROW('CASE MASTER'!$T$2:$T$495))-(ROW('CASE MASTER'!#REF!)-1))))+1)))-1)*50+1,50))&amp;"_"&amp;INDEX('CASE MASTER'!$Q$2:$Q$495,(SUMPRODUCT((('CASE MASTER'!$T$2:$T$495=9)*('CASE MASTER'!$AA$2:$AA$495&lt;=9)*('CASE MASTER'!$AC$2:$AC$495&gt;=9)*('CASE MASTER'!$AB$2:$AB$495&lt;=10)*('CASE MASTER'!$AD$2:$AD$495&gt;=10))*ROW('CASE MASTER'!$T$2:$T$495))-(ROW('CASE MASTER'!#REF!)-1))),"")),"")</f>
        <v/>
      </c>
    </row>
    <row r="124" spans="1:11" ht="15" customHeight="1" x14ac:dyDescent="0.35">
      <c r="A124" s="8" t="s">
        <v>82</v>
      </c>
      <c r="B124" s="10" t="str">
        <f>IFERROR(IF(SUMPRODUCT((('CASE MASTER'!$T$2:$T$495=9)*('CASE MASTER'!$U$2:$U$495&lt;=10)*('CASE MASTER'!$W$2:$W$495&gt;=10)*('CASE MASTER'!$V$2:$V$495&lt;=1)*('CASE MASTER'!$X$2:$X$495&gt;=1))*ROW('CASE MASTER'!$T$2:$T$495))&gt;0,INDEX('CASE MASTER'!$Y$2:$Y$495,(SUMPRODUCT((('CASE MASTER'!$T$2:$T$495=9)*('CASE MASTER'!$U$2:$U$495&lt;=10)*('CASE MASTER'!$W$2:$W$495&gt;=10)*('CASE MASTER'!$V$2:$V$495&lt;=1)*('CASE MASTER'!$X$2:$X$495&gt;=1))*ROW('CASE MASTER'!$T$2:$T$495))-(ROW('CASE MASTER'!#REF!)-1)))&amp;TRIM(MID(SUBSTITUTE(SUBSTITUTE(INDEX('CASE MASTER'!$N$2:$N$495,(SUMPRODUCT((('CASE MASTER'!$T$2:$T$495=9)*('CASE MASTER'!$U$2:$U$495&lt;=10)*('CASE MASTER'!$W$2:$W$495&gt;=10)*('CASE MASTER'!$V$2:$V$495&lt;=1)*('CASE MASTER'!$X$2:$X$495&gt;=1))*ROW('CASE MASTER'!$T$2:$T$495))-(ROW('CASE MASTER'!#REF!)-1))),":",","),",",REPT(" ",50)),((((10-INDEX('CASE MASTER'!$U$2:$U$495,(SUMPRODUCT((('CASE MASTER'!$T$2:$T$495=9)*('CASE MASTER'!$U$2:$U$495&lt;=10)*('CASE MASTER'!$W$2:$W$495&gt;=10)*('CASE MASTER'!$V$2:$V$495&lt;=1)*('CASE MASTER'!$X$2:$X$495&gt;=1))*ROW('CASE MASTER'!$T$2:$T$495))-(ROW('CASE MASTER'!#REF!)-1))))*(INDEX('CASE MASTER'!$X$2:$X$495,(SUMPRODUCT((('CASE MASTER'!$T$2:$T$495=9)*('CASE MASTER'!$U$2:$U$495&lt;=10)*('CASE MASTER'!$W$2:$W$495&gt;=10)*('CASE MASTER'!$V$2:$V$495&lt;=1)*('CASE MASTER'!$X$2:$X$495&gt;=1))*ROW('CASE MASTER'!$T$2:$T$495))-(ROW('CASE MASTER'!#REF!)-1)))-INDEX('CASE MASTER'!$V$2:$V$495,(SUMPRODUCT((('CASE MASTER'!$T$2:$T$495=9)*('CASE MASTER'!$U$2:$U$495&lt;=10)*('CASE MASTER'!$W$2:$W$495&gt;=10)*('CASE MASTER'!$V$2:$V$495&lt;=1)*('CASE MASTER'!$X$2:$X$495&gt;=1))*ROW('CASE MASTER'!$T$2:$T$495))-(ROW('CASE MASTER'!#REF!)-1)))+1)+(1-INDEX('CASE MASTER'!$V$2:$V$495,(SUMPRODUCT((('CASE MASTER'!$T$2:$T$495=9)*('CASE MASTER'!$U$2:$U$495&lt;=10)*('CASE MASTER'!$W$2:$W$495&gt;=10)*('CASE MASTER'!$V$2:$V$495&lt;=1)*('CASE MASTER'!$X$2:$X$495&gt;=1))*ROW('CASE MASTER'!$T$2:$T$495))-(ROW('CASE MASTER'!#REF!)-1))))+1))-1)*50+1,50))&amp;"_"&amp;INDEX('CASE MASTER'!$Q$2:$Q$495,(SUMPRODUCT((('CASE MASTER'!$T$2:$T$495=9)*('CASE MASTER'!$U$2:$U$495&lt;=10)*('CASE MASTER'!$W$2:$W$495&gt;=10)*('CASE MASTER'!$V$2:$V$495&lt;=1)*('CASE MASTER'!$X$2:$X$495&gt;=1))*ROW('CASE MASTER'!$T$2:$T$495))-(ROW('CASE MASTER'!#REF!)-1))),IF(SUMPRODUCT((('CASE MASTER'!$T$2:$T$495=9)*('CASE MASTER'!$AA$2:$AA$495&lt;=10)*('CASE MASTER'!$AC$2:$AC$495&gt;=10)*('CASE MASTER'!$AB$2:$AB$495&lt;=1)*('CASE MASTER'!$AD$2:$AD$495&gt;=1))*ROW('CASE MASTER'!$T$2:$T$495))&gt;0,INDEX('CASE MASTER'!$Y$2:$Y$495,(SUMPRODUCT((('CASE MASTER'!$T$2:$T$495=9)*('CASE MASTER'!$AA$2:$AA$495&lt;=10)*('CASE MASTER'!$AC$2:$AC$495&gt;=10)*('CASE MASTER'!$AB$2:$AB$495&lt;=1)*('CASE MASTER'!$AD$2:$AD$495&gt;=1))*ROW('CASE MASTER'!$T$2:$T$495))-(ROW('CASE MASTER'!#REF!)-1)))&amp;TRIM(MID(SUBSTITUTE(SUBSTITUTE(INDEX('CASE MASTER'!$N$2:$N$495,(SUMPRODUCT((('CASE MASTER'!$T$2:$T$495=9)*('CASE MASTER'!$AA$2:$AA$495&lt;=10)*('CASE MASTER'!$AC$2:$AC$495&gt;=10)*('CASE MASTER'!$AB$2:$AB$495&lt;=1)*('CASE MASTER'!$AD$2:$AD$495&gt;=1))*ROW('CASE MASTER'!$T$2:$T$495))-(ROW('CASE MASTER'!#REF!)-1))),":",","),",",REPT(" ",50)),(((INDEX('CASE MASTER'!$Z$2:$Z$495,(SUMPRODUCT((('CASE MASTER'!$T$2:$T$495=9)*('CASE MASTER'!$AA$2:$AA$495&lt;=10)*('CASE MASTER'!$AC$2:$AC$495&gt;=10)*('CASE MASTER'!$AB$2:$AB$495&lt;=1)*('CASE MASTER'!$AD$2:$AD$495&gt;=1))*ROW('CASE MASTER'!$T$2:$T$495))-(ROW('CASE MASTER'!#REF!)-1)))+((10-INDEX('CASE MASTER'!$AA$2:$AA$495,(SUMPRODUCT((('CASE MASTER'!$T$2:$T$495=9)*('CASE MASTER'!$AA$2:$AA$495&lt;=10)*('CASE MASTER'!$AC$2:$AC$495&gt;=10)*('CASE MASTER'!$AB$2:$AB$495&lt;=1)*('CASE MASTER'!$AD$2:$AD$495&gt;=1))*ROW('CASE MASTER'!$T$2:$T$495))-(ROW('CASE MASTER'!#REF!)-1))))*(INDEX('CASE MASTER'!$AD$2:$AD$495,(SUMPRODUCT((('CASE MASTER'!$T$2:$T$495=9)*('CASE MASTER'!$AA$2:$AA$495&lt;=10)*('CASE MASTER'!$AC$2:$AC$495&gt;=10)*('CASE MASTER'!$AB$2:$AB$495&lt;=1)*('CASE MASTER'!$AD$2:$AD$495&gt;=1))*ROW('CASE MASTER'!$T$2:$T$495))-(ROW('CASE MASTER'!#REF!)-1)))-INDEX('CASE MASTER'!$AB$2:$AB$495,(SUMPRODUCT((('CASE MASTER'!$T$2:$T$495=9)*('CASE MASTER'!$AA$2:$AA$495&lt;=10)*('CASE MASTER'!$AC$2:$AC$495&gt;=10)*('CASE MASTER'!$AB$2:$AB$495&lt;=1)*('CASE MASTER'!$AD$2:$AD$495&gt;=1))*ROW('CASE MASTER'!$T$2:$T$495))-(ROW('CASE MASTER'!#REF!)-1)))+1)+(1-INDEX('CASE MASTER'!$AB$2:$AB$495,(SUMPRODUCT((('CASE MASTER'!$T$2:$T$495=9)*('CASE MASTER'!$AA$2:$AA$495&lt;=10)*('CASE MASTER'!$AC$2:$AC$495&gt;=10)*('CASE MASTER'!$AB$2:$AB$495&lt;=1)*('CASE MASTER'!$AD$2:$AD$495&gt;=1))*ROW('CASE MASTER'!$T$2:$T$495))-(ROW('CASE MASTER'!#REF!)-1))))+1)))-1)*50+1,50))&amp;"_"&amp;INDEX('CASE MASTER'!$Q$2:$Q$495,(SUMPRODUCT((('CASE MASTER'!$T$2:$T$495=9)*('CASE MASTER'!$AA$2:$AA$495&lt;=10)*('CASE MASTER'!$AC$2:$AC$495&gt;=10)*('CASE MASTER'!$AB$2:$AB$495&lt;=1)*('CASE MASTER'!$AD$2:$AD$495&gt;=1))*ROW('CASE MASTER'!$T$2:$T$495))-(ROW('CASE MASTER'!#REF!)-1))),"")),"")</f>
        <v/>
      </c>
      <c r="C124" s="10" t="str">
        <f>IFERROR(IF(SUMPRODUCT((('CASE MASTER'!$T$2:$T$495=9)*('CASE MASTER'!$U$2:$U$495&lt;=10)*('CASE MASTER'!$W$2:$W$495&gt;=10)*('CASE MASTER'!$V$2:$V$495&lt;=2)*('CASE MASTER'!$X$2:$X$495&gt;=2))*ROW('CASE MASTER'!$T$2:$T$495))&gt;0,INDEX('CASE MASTER'!$Y$2:$Y$495,(SUMPRODUCT((('CASE MASTER'!$T$2:$T$495=9)*('CASE MASTER'!$U$2:$U$495&lt;=10)*('CASE MASTER'!$W$2:$W$495&gt;=10)*('CASE MASTER'!$V$2:$V$495&lt;=2)*('CASE MASTER'!$X$2:$X$495&gt;=2))*ROW('CASE MASTER'!$T$2:$T$495))-(ROW('CASE MASTER'!#REF!)-1)))&amp;TRIM(MID(SUBSTITUTE(SUBSTITUTE(INDEX('CASE MASTER'!$N$2:$N$495,(SUMPRODUCT((('CASE MASTER'!$T$2:$T$495=9)*('CASE MASTER'!$U$2:$U$495&lt;=10)*('CASE MASTER'!$W$2:$W$495&gt;=10)*('CASE MASTER'!$V$2:$V$495&lt;=2)*('CASE MASTER'!$X$2:$X$495&gt;=2))*ROW('CASE MASTER'!$T$2:$T$495))-(ROW('CASE MASTER'!#REF!)-1))),":",","),",",REPT(" ",50)),((((10-INDEX('CASE MASTER'!$U$2:$U$495,(SUMPRODUCT((('CASE MASTER'!$T$2:$T$495=9)*('CASE MASTER'!$U$2:$U$495&lt;=10)*('CASE MASTER'!$W$2:$W$495&gt;=10)*('CASE MASTER'!$V$2:$V$495&lt;=2)*('CASE MASTER'!$X$2:$X$495&gt;=2))*ROW('CASE MASTER'!$T$2:$T$495))-(ROW('CASE MASTER'!#REF!)-1))))*(INDEX('CASE MASTER'!$X$2:$X$495,(SUMPRODUCT((('CASE MASTER'!$T$2:$T$495=9)*('CASE MASTER'!$U$2:$U$495&lt;=10)*('CASE MASTER'!$W$2:$W$495&gt;=10)*('CASE MASTER'!$V$2:$V$495&lt;=2)*('CASE MASTER'!$X$2:$X$495&gt;=2))*ROW('CASE MASTER'!$T$2:$T$495))-(ROW('CASE MASTER'!#REF!)-1)))-INDEX('CASE MASTER'!$V$2:$V$495,(SUMPRODUCT((('CASE MASTER'!$T$2:$T$495=9)*('CASE MASTER'!$U$2:$U$495&lt;=10)*('CASE MASTER'!$W$2:$W$495&gt;=10)*('CASE MASTER'!$V$2:$V$495&lt;=2)*('CASE MASTER'!$X$2:$X$495&gt;=2))*ROW('CASE MASTER'!$T$2:$T$495))-(ROW('CASE MASTER'!#REF!)-1)))+1)+(2-INDEX('CASE MASTER'!$V$2:$V$495,(SUMPRODUCT((('CASE MASTER'!$T$2:$T$495=9)*('CASE MASTER'!$U$2:$U$495&lt;=10)*('CASE MASTER'!$W$2:$W$495&gt;=10)*('CASE MASTER'!$V$2:$V$495&lt;=2)*('CASE MASTER'!$X$2:$X$495&gt;=2))*ROW('CASE MASTER'!$T$2:$T$495))-(ROW('CASE MASTER'!#REF!)-1))))+1))-1)*50+1,50))&amp;"_"&amp;INDEX('CASE MASTER'!$Q$2:$Q$495,(SUMPRODUCT((('CASE MASTER'!$T$2:$T$495=9)*('CASE MASTER'!$U$2:$U$495&lt;=10)*('CASE MASTER'!$W$2:$W$495&gt;=10)*('CASE MASTER'!$V$2:$V$495&lt;=2)*('CASE MASTER'!$X$2:$X$495&gt;=2))*ROW('CASE MASTER'!$T$2:$T$495))-(ROW('CASE MASTER'!#REF!)-1))),IF(SUMPRODUCT((('CASE MASTER'!$T$2:$T$495=9)*('CASE MASTER'!$AA$2:$AA$495&lt;=10)*('CASE MASTER'!$AC$2:$AC$495&gt;=10)*('CASE MASTER'!$AB$2:$AB$495&lt;=2)*('CASE MASTER'!$AD$2:$AD$495&gt;=2))*ROW('CASE MASTER'!$T$2:$T$495))&gt;0,INDEX('CASE MASTER'!$Y$2:$Y$495,(SUMPRODUCT((('CASE MASTER'!$T$2:$T$495=9)*('CASE MASTER'!$AA$2:$AA$495&lt;=10)*('CASE MASTER'!$AC$2:$AC$495&gt;=10)*('CASE MASTER'!$AB$2:$AB$495&lt;=2)*('CASE MASTER'!$AD$2:$AD$495&gt;=2))*ROW('CASE MASTER'!$T$2:$T$495))-(ROW('CASE MASTER'!#REF!)-1)))&amp;TRIM(MID(SUBSTITUTE(SUBSTITUTE(INDEX('CASE MASTER'!$N$2:$N$495,(SUMPRODUCT((('CASE MASTER'!$T$2:$T$495=9)*('CASE MASTER'!$AA$2:$AA$495&lt;=10)*('CASE MASTER'!$AC$2:$AC$495&gt;=10)*('CASE MASTER'!$AB$2:$AB$495&lt;=2)*('CASE MASTER'!$AD$2:$AD$495&gt;=2))*ROW('CASE MASTER'!$T$2:$T$495))-(ROW('CASE MASTER'!#REF!)-1))),":",","),",",REPT(" ",50)),(((INDEX('CASE MASTER'!$Z$2:$Z$495,(SUMPRODUCT((('CASE MASTER'!$T$2:$T$495=9)*('CASE MASTER'!$AA$2:$AA$495&lt;=10)*('CASE MASTER'!$AC$2:$AC$495&gt;=10)*('CASE MASTER'!$AB$2:$AB$495&lt;=2)*('CASE MASTER'!$AD$2:$AD$495&gt;=2))*ROW('CASE MASTER'!$T$2:$T$495))-(ROW('CASE MASTER'!#REF!)-1)))+((10-INDEX('CASE MASTER'!$AA$2:$AA$495,(SUMPRODUCT((('CASE MASTER'!$T$2:$T$495=9)*('CASE MASTER'!$AA$2:$AA$495&lt;=10)*('CASE MASTER'!$AC$2:$AC$495&gt;=10)*('CASE MASTER'!$AB$2:$AB$495&lt;=2)*('CASE MASTER'!$AD$2:$AD$495&gt;=2))*ROW('CASE MASTER'!$T$2:$T$495))-(ROW('CASE MASTER'!#REF!)-1))))*(INDEX('CASE MASTER'!$AD$2:$AD$495,(SUMPRODUCT((('CASE MASTER'!$T$2:$T$495=9)*('CASE MASTER'!$AA$2:$AA$495&lt;=10)*('CASE MASTER'!$AC$2:$AC$495&gt;=10)*('CASE MASTER'!$AB$2:$AB$495&lt;=2)*('CASE MASTER'!$AD$2:$AD$495&gt;=2))*ROW('CASE MASTER'!$T$2:$T$495))-(ROW('CASE MASTER'!#REF!)-1)))-INDEX('CASE MASTER'!$AB$2:$AB$495,(SUMPRODUCT((('CASE MASTER'!$T$2:$T$495=9)*('CASE MASTER'!$AA$2:$AA$495&lt;=10)*('CASE MASTER'!$AC$2:$AC$495&gt;=10)*('CASE MASTER'!$AB$2:$AB$495&lt;=2)*('CASE MASTER'!$AD$2:$AD$495&gt;=2))*ROW('CASE MASTER'!$T$2:$T$495))-(ROW('CASE MASTER'!#REF!)-1)))+1)+(2-INDEX('CASE MASTER'!$AB$2:$AB$495,(SUMPRODUCT((('CASE MASTER'!$T$2:$T$495=9)*('CASE MASTER'!$AA$2:$AA$495&lt;=10)*('CASE MASTER'!$AC$2:$AC$495&gt;=10)*('CASE MASTER'!$AB$2:$AB$495&lt;=2)*('CASE MASTER'!$AD$2:$AD$495&gt;=2))*ROW('CASE MASTER'!$T$2:$T$495))-(ROW('CASE MASTER'!#REF!)-1))))+1)))-1)*50+1,50))&amp;"_"&amp;INDEX('CASE MASTER'!$Q$2:$Q$495,(SUMPRODUCT((('CASE MASTER'!$T$2:$T$495=9)*('CASE MASTER'!$AA$2:$AA$495&lt;=10)*('CASE MASTER'!$AC$2:$AC$495&gt;=10)*('CASE MASTER'!$AB$2:$AB$495&lt;=2)*('CASE MASTER'!$AD$2:$AD$495&gt;=2))*ROW('CASE MASTER'!$T$2:$T$495))-(ROW('CASE MASTER'!#REF!)-1))),"")),"")</f>
        <v/>
      </c>
      <c r="D124" s="10" t="str">
        <f>IFERROR(IF(SUMPRODUCT((('CASE MASTER'!$T$2:$T$495=9)*('CASE MASTER'!$U$2:$U$495&lt;=10)*('CASE MASTER'!$W$2:$W$495&gt;=10)*('CASE MASTER'!$V$2:$V$495&lt;=3)*('CASE MASTER'!$X$2:$X$495&gt;=3))*ROW('CASE MASTER'!$T$2:$T$495))&gt;0,INDEX('CASE MASTER'!$Y$2:$Y$495,(SUMPRODUCT((('CASE MASTER'!$T$2:$T$495=9)*('CASE MASTER'!$U$2:$U$495&lt;=10)*('CASE MASTER'!$W$2:$W$495&gt;=10)*('CASE MASTER'!$V$2:$V$495&lt;=3)*('CASE MASTER'!$X$2:$X$495&gt;=3))*ROW('CASE MASTER'!$T$2:$T$495))-(ROW('CASE MASTER'!#REF!)-1)))&amp;TRIM(MID(SUBSTITUTE(SUBSTITUTE(INDEX('CASE MASTER'!$N$2:$N$495,(SUMPRODUCT((('CASE MASTER'!$T$2:$T$495=9)*('CASE MASTER'!$U$2:$U$495&lt;=10)*('CASE MASTER'!$W$2:$W$495&gt;=10)*('CASE MASTER'!$V$2:$V$495&lt;=3)*('CASE MASTER'!$X$2:$X$495&gt;=3))*ROW('CASE MASTER'!$T$2:$T$495))-(ROW('CASE MASTER'!#REF!)-1))),":",","),",",REPT(" ",50)),((((10-INDEX('CASE MASTER'!$U$2:$U$495,(SUMPRODUCT((('CASE MASTER'!$T$2:$T$495=9)*('CASE MASTER'!$U$2:$U$495&lt;=10)*('CASE MASTER'!$W$2:$W$495&gt;=10)*('CASE MASTER'!$V$2:$V$495&lt;=3)*('CASE MASTER'!$X$2:$X$495&gt;=3))*ROW('CASE MASTER'!$T$2:$T$495))-(ROW('CASE MASTER'!#REF!)-1))))*(INDEX('CASE MASTER'!$X$2:$X$495,(SUMPRODUCT((('CASE MASTER'!$T$2:$T$495=9)*('CASE MASTER'!$U$2:$U$495&lt;=10)*('CASE MASTER'!$W$2:$W$495&gt;=10)*('CASE MASTER'!$V$2:$V$495&lt;=3)*('CASE MASTER'!$X$2:$X$495&gt;=3))*ROW('CASE MASTER'!$T$2:$T$495))-(ROW('CASE MASTER'!#REF!)-1)))-INDEX('CASE MASTER'!$V$2:$V$495,(SUMPRODUCT((('CASE MASTER'!$T$2:$T$495=9)*('CASE MASTER'!$U$2:$U$495&lt;=10)*('CASE MASTER'!$W$2:$W$495&gt;=10)*('CASE MASTER'!$V$2:$V$495&lt;=3)*('CASE MASTER'!$X$2:$X$495&gt;=3))*ROW('CASE MASTER'!$T$2:$T$495))-(ROW('CASE MASTER'!#REF!)-1)))+1)+(3-INDEX('CASE MASTER'!$V$2:$V$495,(SUMPRODUCT((('CASE MASTER'!$T$2:$T$495=9)*('CASE MASTER'!$U$2:$U$495&lt;=10)*('CASE MASTER'!$W$2:$W$495&gt;=10)*('CASE MASTER'!$V$2:$V$495&lt;=3)*('CASE MASTER'!$X$2:$X$495&gt;=3))*ROW('CASE MASTER'!$T$2:$T$495))-(ROW('CASE MASTER'!#REF!)-1))))+1))-1)*50+1,50))&amp;"_"&amp;INDEX('CASE MASTER'!$Q$2:$Q$495,(SUMPRODUCT((('CASE MASTER'!$T$2:$T$495=9)*('CASE MASTER'!$U$2:$U$495&lt;=10)*('CASE MASTER'!$W$2:$W$495&gt;=10)*('CASE MASTER'!$V$2:$V$495&lt;=3)*('CASE MASTER'!$X$2:$X$495&gt;=3))*ROW('CASE MASTER'!$T$2:$T$495))-(ROW('CASE MASTER'!#REF!)-1))),IF(SUMPRODUCT((('CASE MASTER'!$T$2:$T$495=9)*('CASE MASTER'!$AA$2:$AA$495&lt;=10)*('CASE MASTER'!$AC$2:$AC$495&gt;=10)*('CASE MASTER'!$AB$2:$AB$495&lt;=3)*('CASE MASTER'!$AD$2:$AD$495&gt;=3))*ROW('CASE MASTER'!$T$2:$T$495))&gt;0,INDEX('CASE MASTER'!$Y$2:$Y$495,(SUMPRODUCT((('CASE MASTER'!$T$2:$T$495=9)*('CASE MASTER'!$AA$2:$AA$495&lt;=10)*('CASE MASTER'!$AC$2:$AC$495&gt;=10)*('CASE MASTER'!$AB$2:$AB$495&lt;=3)*('CASE MASTER'!$AD$2:$AD$495&gt;=3))*ROW('CASE MASTER'!$T$2:$T$495))-(ROW('CASE MASTER'!#REF!)-1)))&amp;TRIM(MID(SUBSTITUTE(SUBSTITUTE(INDEX('CASE MASTER'!$N$2:$N$495,(SUMPRODUCT((('CASE MASTER'!$T$2:$T$495=9)*('CASE MASTER'!$AA$2:$AA$495&lt;=10)*('CASE MASTER'!$AC$2:$AC$495&gt;=10)*('CASE MASTER'!$AB$2:$AB$495&lt;=3)*('CASE MASTER'!$AD$2:$AD$495&gt;=3))*ROW('CASE MASTER'!$T$2:$T$495))-(ROW('CASE MASTER'!#REF!)-1))),":",","),",",REPT(" ",50)),(((INDEX('CASE MASTER'!$Z$2:$Z$495,(SUMPRODUCT((('CASE MASTER'!$T$2:$T$495=9)*('CASE MASTER'!$AA$2:$AA$495&lt;=10)*('CASE MASTER'!$AC$2:$AC$495&gt;=10)*('CASE MASTER'!$AB$2:$AB$495&lt;=3)*('CASE MASTER'!$AD$2:$AD$495&gt;=3))*ROW('CASE MASTER'!$T$2:$T$495))-(ROW('CASE MASTER'!#REF!)-1)))+((10-INDEX('CASE MASTER'!$AA$2:$AA$495,(SUMPRODUCT((('CASE MASTER'!$T$2:$T$495=9)*('CASE MASTER'!$AA$2:$AA$495&lt;=10)*('CASE MASTER'!$AC$2:$AC$495&gt;=10)*('CASE MASTER'!$AB$2:$AB$495&lt;=3)*('CASE MASTER'!$AD$2:$AD$495&gt;=3))*ROW('CASE MASTER'!$T$2:$T$495))-(ROW('CASE MASTER'!#REF!)-1))))*(INDEX('CASE MASTER'!$AD$2:$AD$495,(SUMPRODUCT((('CASE MASTER'!$T$2:$T$495=9)*('CASE MASTER'!$AA$2:$AA$495&lt;=10)*('CASE MASTER'!$AC$2:$AC$495&gt;=10)*('CASE MASTER'!$AB$2:$AB$495&lt;=3)*('CASE MASTER'!$AD$2:$AD$495&gt;=3))*ROW('CASE MASTER'!$T$2:$T$495))-(ROW('CASE MASTER'!#REF!)-1)))-INDEX('CASE MASTER'!$AB$2:$AB$495,(SUMPRODUCT((('CASE MASTER'!$T$2:$T$495=9)*('CASE MASTER'!$AA$2:$AA$495&lt;=10)*('CASE MASTER'!$AC$2:$AC$495&gt;=10)*('CASE MASTER'!$AB$2:$AB$495&lt;=3)*('CASE MASTER'!$AD$2:$AD$495&gt;=3))*ROW('CASE MASTER'!$T$2:$T$495))-(ROW('CASE MASTER'!#REF!)-1)))+1)+(3-INDEX('CASE MASTER'!$AB$2:$AB$495,(SUMPRODUCT((('CASE MASTER'!$T$2:$T$495=9)*('CASE MASTER'!$AA$2:$AA$495&lt;=10)*('CASE MASTER'!$AC$2:$AC$495&gt;=10)*('CASE MASTER'!$AB$2:$AB$495&lt;=3)*('CASE MASTER'!$AD$2:$AD$495&gt;=3))*ROW('CASE MASTER'!$T$2:$T$495))-(ROW('CASE MASTER'!#REF!)-1))))+1)))-1)*50+1,50))&amp;"_"&amp;INDEX('CASE MASTER'!$Q$2:$Q$495,(SUMPRODUCT((('CASE MASTER'!$T$2:$T$495=9)*('CASE MASTER'!$AA$2:$AA$495&lt;=10)*('CASE MASTER'!$AC$2:$AC$495&gt;=10)*('CASE MASTER'!$AB$2:$AB$495&lt;=3)*('CASE MASTER'!$AD$2:$AD$495&gt;=3))*ROW('CASE MASTER'!$T$2:$T$495))-(ROW('CASE MASTER'!#REF!)-1))),"")),"")</f>
        <v/>
      </c>
      <c r="E124" s="10" t="str">
        <f>IFERROR(IF(SUMPRODUCT((('CASE MASTER'!$T$2:$T$495=9)*('CASE MASTER'!$U$2:$U$495&lt;=10)*('CASE MASTER'!$W$2:$W$495&gt;=10)*('CASE MASTER'!$V$2:$V$495&lt;=4)*('CASE MASTER'!$X$2:$X$495&gt;=4))*ROW('CASE MASTER'!$T$2:$T$495))&gt;0,INDEX('CASE MASTER'!$Y$2:$Y$495,(SUMPRODUCT((('CASE MASTER'!$T$2:$T$495=9)*('CASE MASTER'!$U$2:$U$495&lt;=10)*('CASE MASTER'!$W$2:$W$495&gt;=10)*('CASE MASTER'!$V$2:$V$495&lt;=4)*('CASE MASTER'!$X$2:$X$495&gt;=4))*ROW('CASE MASTER'!$T$2:$T$495))-(ROW('CASE MASTER'!#REF!)-1)))&amp;TRIM(MID(SUBSTITUTE(SUBSTITUTE(INDEX('CASE MASTER'!$N$2:$N$495,(SUMPRODUCT((('CASE MASTER'!$T$2:$T$495=9)*('CASE MASTER'!$U$2:$U$495&lt;=10)*('CASE MASTER'!$W$2:$W$495&gt;=10)*('CASE MASTER'!$V$2:$V$495&lt;=4)*('CASE MASTER'!$X$2:$X$495&gt;=4))*ROW('CASE MASTER'!$T$2:$T$495))-(ROW('CASE MASTER'!#REF!)-1))),":",","),",",REPT(" ",50)),((((10-INDEX('CASE MASTER'!$U$2:$U$495,(SUMPRODUCT((('CASE MASTER'!$T$2:$T$495=9)*('CASE MASTER'!$U$2:$U$495&lt;=10)*('CASE MASTER'!$W$2:$W$495&gt;=10)*('CASE MASTER'!$V$2:$V$495&lt;=4)*('CASE MASTER'!$X$2:$X$495&gt;=4))*ROW('CASE MASTER'!$T$2:$T$495))-(ROW('CASE MASTER'!#REF!)-1))))*(INDEX('CASE MASTER'!$X$2:$X$495,(SUMPRODUCT((('CASE MASTER'!$T$2:$T$495=9)*('CASE MASTER'!$U$2:$U$495&lt;=10)*('CASE MASTER'!$W$2:$W$495&gt;=10)*('CASE MASTER'!$V$2:$V$495&lt;=4)*('CASE MASTER'!$X$2:$X$495&gt;=4))*ROW('CASE MASTER'!$T$2:$T$495))-(ROW('CASE MASTER'!#REF!)-1)))-INDEX('CASE MASTER'!$V$2:$V$495,(SUMPRODUCT((('CASE MASTER'!$T$2:$T$495=9)*('CASE MASTER'!$U$2:$U$495&lt;=10)*('CASE MASTER'!$W$2:$W$495&gt;=10)*('CASE MASTER'!$V$2:$V$495&lt;=4)*('CASE MASTER'!$X$2:$X$495&gt;=4))*ROW('CASE MASTER'!$T$2:$T$495))-(ROW('CASE MASTER'!#REF!)-1)))+1)+(4-INDEX('CASE MASTER'!$V$2:$V$495,(SUMPRODUCT((('CASE MASTER'!$T$2:$T$495=9)*('CASE MASTER'!$U$2:$U$495&lt;=10)*('CASE MASTER'!$W$2:$W$495&gt;=10)*('CASE MASTER'!$V$2:$V$495&lt;=4)*('CASE MASTER'!$X$2:$X$495&gt;=4))*ROW('CASE MASTER'!$T$2:$T$495))-(ROW('CASE MASTER'!#REF!)-1))))+1))-1)*50+1,50))&amp;"_"&amp;INDEX('CASE MASTER'!$Q$2:$Q$495,(SUMPRODUCT((('CASE MASTER'!$T$2:$T$495=9)*('CASE MASTER'!$U$2:$U$495&lt;=10)*('CASE MASTER'!$W$2:$W$495&gt;=10)*('CASE MASTER'!$V$2:$V$495&lt;=4)*('CASE MASTER'!$X$2:$X$495&gt;=4))*ROW('CASE MASTER'!$T$2:$T$495))-(ROW('CASE MASTER'!#REF!)-1))),IF(SUMPRODUCT((('CASE MASTER'!$T$2:$T$495=9)*('CASE MASTER'!$AA$2:$AA$495&lt;=10)*('CASE MASTER'!$AC$2:$AC$495&gt;=10)*('CASE MASTER'!$AB$2:$AB$495&lt;=4)*('CASE MASTER'!$AD$2:$AD$495&gt;=4))*ROW('CASE MASTER'!$T$2:$T$495))&gt;0,INDEX('CASE MASTER'!$Y$2:$Y$495,(SUMPRODUCT((('CASE MASTER'!$T$2:$T$495=9)*('CASE MASTER'!$AA$2:$AA$495&lt;=10)*('CASE MASTER'!$AC$2:$AC$495&gt;=10)*('CASE MASTER'!$AB$2:$AB$495&lt;=4)*('CASE MASTER'!$AD$2:$AD$495&gt;=4))*ROW('CASE MASTER'!$T$2:$T$495))-(ROW('CASE MASTER'!#REF!)-1)))&amp;TRIM(MID(SUBSTITUTE(SUBSTITUTE(INDEX('CASE MASTER'!$N$2:$N$495,(SUMPRODUCT((('CASE MASTER'!$T$2:$T$495=9)*('CASE MASTER'!$AA$2:$AA$495&lt;=10)*('CASE MASTER'!$AC$2:$AC$495&gt;=10)*('CASE MASTER'!$AB$2:$AB$495&lt;=4)*('CASE MASTER'!$AD$2:$AD$495&gt;=4))*ROW('CASE MASTER'!$T$2:$T$495))-(ROW('CASE MASTER'!#REF!)-1))),":",","),",",REPT(" ",50)),(((INDEX('CASE MASTER'!$Z$2:$Z$495,(SUMPRODUCT((('CASE MASTER'!$T$2:$T$495=9)*('CASE MASTER'!$AA$2:$AA$495&lt;=10)*('CASE MASTER'!$AC$2:$AC$495&gt;=10)*('CASE MASTER'!$AB$2:$AB$495&lt;=4)*('CASE MASTER'!$AD$2:$AD$495&gt;=4))*ROW('CASE MASTER'!$T$2:$T$495))-(ROW('CASE MASTER'!#REF!)-1)))+((10-INDEX('CASE MASTER'!$AA$2:$AA$495,(SUMPRODUCT((('CASE MASTER'!$T$2:$T$495=9)*('CASE MASTER'!$AA$2:$AA$495&lt;=10)*('CASE MASTER'!$AC$2:$AC$495&gt;=10)*('CASE MASTER'!$AB$2:$AB$495&lt;=4)*('CASE MASTER'!$AD$2:$AD$495&gt;=4))*ROW('CASE MASTER'!$T$2:$T$495))-(ROW('CASE MASTER'!#REF!)-1))))*(INDEX('CASE MASTER'!$AD$2:$AD$495,(SUMPRODUCT((('CASE MASTER'!$T$2:$T$495=9)*('CASE MASTER'!$AA$2:$AA$495&lt;=10)*('CASE MASTER'!$AC$2:$AC$495&gt;=10)*('CASE MASTER'!$AB$2:$AB$495&lt;=4)*('CASE MASTER'!$AD$2:$AD$495&gt;=4))*ROW('CASE MASTER'!$T$2:$T$495))-(ROW('CASE MASTER'!#REF!)-1)))-INDEX('CASE MASTER'!$AB$2:$AB$495,(SUMPRODUCT((('CASE MASTER'!$T$2:$T$495=9)*('CASE MASTER'!$AA$2:$AA$495&lt;=10)*('CASE MASTER'!$AC$2:$AC$495&gt;=10)*('CASE MASTER'!$AB$2:$AB$495&lt;=4)*('CASE MASTER'!$AD$2:$AD$495&gt;=4))*ROW('CASE MASTER'!$T$2:$T$495))-(ROW('CASE MASTER'!#REF!)-1)))+1)+(4-INDEX('CASE MASTER'!$AB$2:$AB$495,(SUMPRODUCT((('CASE MASTER'!$T$2:$T$495=9)*('CASE MASTER'!$AA$2:$AA$495&lt;=10)*('CASE MASTER'!$AC$2:$AC$495&gt;=10)*('CASE MASTER'!$AB$2:$AB$495&lt;=4)*('CASE MASTER'!$AD$2:$AD$495&gt;=4))*ROW('CASE MASTER'!$T$2:$T$495))-(ROW('CASE MASTER'!#REF!)-1))))+1)))-1)*50+1,50))&amp;"_"&amp;INDEX('CASE MASTER'!$Q$2:$Q$495,(SUMPRODUCT((('CASE MASTER'!$T$2:$T$495=9)*('CASE MASTER'!$AA$2:$AA$495&lt;=10)*('CASE MASTER'!$AC$2:$AC$495&gt;=10)*('CASE MASTER'!$AB$2:$AB$495&lt;=4)*('CASE MASTER'!$AD$2:$AD$495&gt;=4))*ROW('CASE MASTER'!$T$2:$T$495))-(ROW('CASE MASTER'!#REF!)-1))),"")),"")</f>
        <v/>
      </c>
      <c r="F124" s="10" t="str">
        <f>IFERROR(IF(SUMPRODUCT((('CASE MASTER'!$T$2:$T$495=9)*('CASE MASTER'!$U$2:$U$495&lt;=10)*('CASE MASTER'!$W$2:$W$495&gt;=10)*('CASE MASTER'!$V$2:$V$495&lt;=5)*('CASE MASTER'!$X$2:$X$495&gt;=5))*ROW('CASE MASTER'!$T$2:$T$495))&gt;0,INDEX('CASE MASTER'!$Y$2:$Y$495,(SUMPRODUCT((('CASE MASTER'!$T$2:$T$495=9)*('CASE MASTER'!$U$2:$U$495&lt;=10)*('CASE MASTER'!$W$2:$W$495&gt;=10)*('CASE MASTER'!$V$2:$V$495&lt;=5)*('CASE MASTER'!$X$2:$X$495&gt;=5))*ROW('CASE MASTER'!$T$2:$T$495))-(ROW('CASE MASTER'!#REF!)-1)))&amp;TRIM(MID(SUBSTITUTE(SUBSTITUTE(INDEX('CASE MASTER'!$N$2:$N$495,(SUMPRODUCT((('CASE MASTER'!$T$2:$T$495=9)*('CASE MASTER'!$U$2:$U$495&lt;=10)*('CASE MASTER'!$W$2:$W$495&gt;=10)*('CASE MASTER'!$V$2:$V$495&lt;=5)*('CASE MASTER'!$X$2:$X$495&gt;=5))*ROW('CASE MASTER'!$T$2:$T$495))-(ROW('CASE MASTER'!#REF!)-1))),":",","),",",REPT(" ",50)),((((10-INDEX('CASE MASTER'!$U$2:$U$495,(SUMPRODUCT((('CASE MASTER'!$T$2:$T$495=9)*('CASE MASTER'!$U$2:$U$495&lt;=10)*('CASE MASTER'!$W$2:$W$495&gt;=10)*('CASE MASTER'!$V$2:$V$495&lt;=5)*('CASE MASTER'!$X$2:$X$495&gt;=5))*ROW('CASE MASTER'!$T$2:$T$495))-(ROW('CASE MASTER'!#REF!)-1))))*(INDEX('CASE MASTER'!$X$2:$X$495,(SUMPRODUCT((('CASE MASTER'!$T$2:$T$495=9)*('CASE MASTER'!$U$2:$U$495&lt;=10)*('CASE MASTER'!$W$2:$W$495&gt;=10)*('CASE MASTER'!$V$2:$V$495&lt;=5)*('CASE MASTER'!$X$2:$X$495&gt;=5))*ROW('CASE MASTER'!$T$2:$T$495))-(ROW('CASE MASTER'!#REF!)-1)))-INDEX('CASE MASTER'!$V$2:$V$495,(SUMPRODUCT((('CASE MASTER'!$T$2:$T$495=9)*('CASE MASTER'!$U$2:$U$495&lt;=10)*('CASE MASTER'!$W$2:$W$495&gt;=10)*('CASE MASTER'!$V$2:$V$495&lt;=5)*('CASE MASTER'!$X$2:$X$495&gt;=5))*ROW('CASE MASTER'!$T$2:$T$495))-(ROW('CASE MASTER'!#REF!)-1)))+1)+(5-INDEX('CASE MASTER'!$V$2:$V$495,(SUMPRODUCT((('CASE MASTER'!$T$2:$T$495=9)*('CASE MASTER'!$U$2:$U$495&lt;=10)*('CASE MASTER'!$W$2:$W$495&gt;=10)*('CASE MASTER'!$V$2:$V$495&lt;=5)*('CASE MASTER'!$X$2:$X$495&gt;=5))*ROW('CASE MASTER'!$T$2:$T$495))-(ROW('CASE MASTER'!#REF!)-1))))+1))-1)*50+1,50))&amp;"_"&amp;INDEX('CASE MASTER'!$Q$2:$Q$495,(SUMPRODUCT((('CASE MASTER'!$T$2:$T$495=9)*('CASE MASTER'!$U$2:$U$495&lt;=10)*('CASE MASTER'!$W$2:$W$495&gt;=10)*('CASE MASTER'!$V$2:$V$495&lt;=5)*('CASE MASTER'!$X$2:$X$495&gt;=5))*ROW('CASE MASTER'!$T$2:$T$495))-(ROW('CASE MASTER'!#REF!)-1))),IF(SUMPRODUCT((('CASE MASTER'!$T$2:$T$495=9)*('CASE MASTER'!$AA$2:$AA$495&lt;=10)*('CASE MASTER'!$AC$2:$AC$495&gt;=10)*('CASE MASTER'!$AB$2:$AB$495&lt;=5)*('CASE MASTER'!$AD$2:$AD$495&gt;=5))*ROW('CASE MASTER'!$T$2:$T$495))&gt;0,INDEX('CASE MASTER'!$Y$2:$Y$495,(SUMPRODUCT((('CASE MASTER'!$T$2:$T$495=9)*('CASE MASTER'!$AA$2:$AA$495&lt;=10)*('CASE MASTER'!$AC$2:$AC$495&gt;=10)*('CASE MASTER'!$AB$2:$AB$495&lt;=5)*('CASE MASTER'!$AD$2:$AD$495&gt;=5))*ROW('CASE MASTER'!$T$2:$T$495))-(ROW('CASE MASTER'!#REF!)-1)))&amp;TRIM(MID(SUBSTITUTE(SUBSTITUTE(INDEX('CASE MASTER'!$N$2:$N$495,(SUMPRODUCT((('CASE MASTER'!$T$2:$T$495=9)*('CASE MASTER'!$AA$2:$AA$495&lt;=10)*('CASE MASTER'!$AC$2:$AC$495&gt;=10)*('CASE MASTER'!$AB$2:$AB$495&lt;=5)*('CASE MASTER'!$AD$2:$AD$495&gt;=5))*ROW('CASE MASTER'!$T$2:$T$495))-(ROW('CASE MASTER'!#REF!)-1))),":",","),",",REPT(" ",50)),(((INDEX('CASE MASTER'!$Z$2:$Z$495,(SUMPRODUCT((('CASE MASTER'!$T$2:$T$495=9)*('CASE MASTER'!$AA$2:$AA$495&lt;=10)*('CASE MASTER'!$AC$2:$AC$495&gt;=10)*('CASE MASTER'!$AB$2:$AB$495&lt;=5)*('CASE MASTER'!$AD$2:$AD$495&gt;=5))*ROW('CASE MASTER'!$T$2:$T$495))-(ROW('CASE MASTER'!#REF!)-1)))+((10-INDEX('CASE MASTER'!$AA$2:$AA$495,(SUMPRODUCT((('CASE MASTER'!$T$2:$T$495=9)*('CASE MASTER'!$AA$2:$AA$495&lt;=10)*('CASE MASTER'!$AC$2:$AC$495&gt;=10)*('CASE MASTER'!$AB$2:$AB$495&lt;=5)*('CASE MASTER'!$AD$2:$AD$495&gt;=5))*ROW('CASE MASTER'!$T$2:$T$495))-(ROW('CASE MASTER'!#REF!)-1))))*(INDEX('CASE MASTER'!$AD$2:$AD$495,(SUMPRODUCT((('CASE MASTER'!$T$2:$T$495=9)*('CASE MASTER'!$AA$2:$AA$495&lt;=10)*('CASE MASTER'!$AC$2:$AC$495&gt;=10)*('CASE MASTER'!$AB$2:$AB$495&lt;=5)*('CASE MASTER'!$AD$2:$AD$495&gt;=5))*ROW('CASE MASTER'!$T$2:$T$495))-(ROW('CASE MASTER'!#REF!)-1)))-INDEX('CASE MASTER'!$AB$2:$AB$495,(SUMPRODUCT((('CASE MASTER'!$T$2:$T$495=9)*('CASE MASTER'!$AA$2:$AA$495&lt;=10)*('CASE MASTER'!$AC$2:$AC$495&gt;=10)*('CASE MASTER'!$AB$2:$AB$495&lt;=5)*('CASE MASTER'!$AD$2:$AD$495&gt;=5))*ROW('CASE MASTER'!$T$2:$T$495))-(ROW('CASE MASTER'!#REF!)-1)))+1)+(5-INDEX('CASE MASTER'!$AB$2:$AB$495,(SUMPRODUCT((('CASE MASTER'!$T$2:$T$495=9)*('CASE MASTER'!$AA$2:$AA$495&lt;=10)*('CASE MASTER'!$AC$2:$AC$495&gt;=10)*('CASE MASTER'!$AB$2:$AB$495&lt;=5)*('CASE MASTER'!$AD$2:$AD$495&gt;=5))*ROW('CASE MASTER'!$T$2:$T$495))-(ROW('CASE MASTER'!#REF!)-1))))+1)))-1)*50+1,50))&amp;"_"&amp;INDEX('CASE MASTER'!$Q$2:$Q$495,(SUMPRODUCT((('CASE MASTER'!$T$2:$T$495=9)*('CASE MASTER'!$AA$2:$AA$495&lt;=10)*('CASE MASTER'!$AC$2:$AC$495&gt;=10)*('CASE MASTER'!$AB$2:$AB$495&lt;=5)*('CASE MASTER'!$AD$2:$AD$495&gt;=5))*ROW('CASE MASTER'!$T$2:$T$495))-(ROW('CASE MASTER'!#REF!)-1))),"")),"")</f>
        <v/>
      </c>
      <c r="G124" s="10" t="str">
        <f>IFERROR(IF(SUMPRODUCT((('CASE MASTER'!$T$2:$T$495=9)*('CASE MASTER'!$U$2:$U$495&lt;=10)*('CASE MASTER'!$W$2:$W$495&gt;=10)*('CASE MASTER'!$V$2:$V$495&lt;=6)*('CASE MASTER'!$X$2:$X$495&gt;=6))*ROW('CASE MASTER'!$T$2:$T$495))&gt;0,INDEX('CASE MASTER'!$Y$2:$Y$495,(SUMPRODUCT((('CASE MASTER'!$T$2:$T$495=9)*('CASE MASTER'!$U$2:$U$495&lt;=10)*('CASE MASTER'!$W$2:$W$495&gt;=10)*('CASE MASTER'!$V$2:$V$495&lt;=6)*('CASE MASTER'!$X$2:$X$495&gt;=6))*ROW('CASE MASTER'!$T$2:$T$495))-(ROW('CASE MASTER'!#REF!)-1)))&amp;TRIM(MID(SUBSTITUTE(SUBSTITUTE(INDEX('CASE MASTER'!$N$2:$N$495,(SUMPRODUCT((('CASE MASTER'!$T$2:$T$495=9)*('CASE MASTER'!$U$2:$U$495&lt;=10)*('CASE MASTER'!$W$2:$W$495&gt;=10)*('CASE MASTER'!$V$2:$V$495&lt;=6)*('CASE MASTER'!$X$2:$X$495&gt;=6))*ROW('CASE MASTER'!$T$2:$T$495))-(ROW('CASE MASTER'!#REF!)-1))),":",","),",",REPT(" ",50)),((((10-INDEX('CASE MASTER'!$U$2:$U$495,(SUMPRODUCT((('CASE MASTER'!$T$2:$T$495=9)*('CASE MASTER'!$U$2:$U$495&lt;=10)*('CASE MASTER'!$W$2:$W$495&gt;=10)*('CASE MASTER'!$V$2:$V$495&lt;=6)*('CASE MASTER'!$X$2:$X$495&gt;=6))*ROW('CASE MASTER'!$T$2:$T$495))-(ROW('CASE MASTER'!#REF!)-1))))*(INDEX('CASE MASTER'!$X$2:$X$495,(SUMPRODUCT((('CASE MASTER'!$T$2:$T$495=9)*('CASE MASTER'!$U$2:$U$495&lt;=10)*('CASE MASTER'!$W$2:$W$495&gt;=10)*('CASE MASTER'!$V$2:$V$495&lt;=6)*('CASE MASTER'!$X$2:$X$495&gt;=6))*ROW('CASE MASTER'!$T$2:$T$495))-(ROW('CASE MASTER'!#REF!)-1)))-INDEX('CASE MASTER'!$V$2:$V$495,(SUMPRODUCT((('CASE MASTER'!$T$2:$T$495=9)*('CASE MASTER'!$U$2:$U$495&lt;=10)*('CASE MASTER'!$W$2:$W$495&gt;=10)*('CASE MASTER'!$V$2:$V$495&lt;=6)*('CASE MASTER'!$X$2:$X$495&gt;=6))*ROW('CASE MASTER'!$T$2:$T$495))-(ROW('CASE MASTER'!#REF!)-1)))+1)+(6-INDEX('CASE MASTER'!$V$2:$V$495,(SUMPRODUCT((('CASE MASTER'!$T$2:$T$495=9)*('CASE MASTER'!$U$2:$U$495&lt;=10)*('CASE MASTER'!$W$2:$W$495&gt;=10)*('CASE MASTER'!$V$2:$V$495&lt;=6)*('CASE MASTER'!$X$2:$X$495&gt;=6))*ROW('CASE MASTER'!$T$2:$T$495))-(ROW('CASE MASTER'!#REF!)-1))))+1))-1)*50+1,50))&amp;"_"&amp;INDEX('CASE MASTER'!$Q$2:$Q$495,(SUMPRODUCT((('CASE MASTER'!$T$2:$T$495=9)*('CASE MASTER'!$U$2:$U$495&lt;=10)*('CASE MASTER'!$W$2:$W$495&gt;=10)*('CASE MASTER'!$V$2:$V$495&lt;=6)*('CASE MASTER'!$X$2:$X$495&gt;=6))*ROW('CASE MASTER'!$T$2:$T$495))-(ROW('CASE MASTER'!#REF!)-1))),IF(SUMPRODUCT((('CASE MASTER'!$T$2:$T$495=9)*('CASE MASTER'!$AA$2:$AA$495&lt;=10)*('CASE MASTER'!$AC$2:$AC$495&gt;=10)*('CASE MASTER'!$AB$2:$AB$495&lt;=6)*('CASE MASTER'!$AD$2:$AD$495&gt;=6))*ROW('CASE MASTER'!$T$2:$T$495))&gt;0,INDEX('CASE MASTER'!$Y$2:$Y$495,(SUMPRODUCT((('CASE MASTER'!$T$2:$T$495=9)*('CASE MASTER'!$AA$2:$AA$495&lt;=10)*('CASE MASTER'!$AC$2:$AC$495&gt;=10)*('CASE MASTER'!$AB$2:$AB$495&lt;=6)*('CASE MASTER'!$AD$2:$AD$495&gt;=6))*ROW('CASE MASTER'!$T$2:$T$495))-(ROW('CASE MASTER'!#REF!)-1)))&amp;TRIM(MID(SUBSTITUTE(SUBSTITUTE(INDEX('CASE MASTER'!$N$2:$N$495,(SUMPRODUCT((('CASE MASTER'!$T$2:$T$495=9)*('CASE MASTER'!$AA$2:$AA$495&lt;=10)*('CASE MASTER'!$AC$2:$AC$495&gt;=10)*('CASE MASTER'!$AB$2:$AB$495&lt;=6)*('CASE MASTER'!$AD$2:$AD$495&gt;=6))*ROW('CASE MASTER'!$T$2:$T$495))-(ROW('CASE MASTER'!#REF!)-1))),":",","),",",REPT(" ",50)),(((INDEX('CASE MASTER'!$Z$2:$Z$495,(SUMPRODUCT((('CASE MASTER'!$T$2:$T$495=9)*('CASE MASTER'!$AA$2:$AA$495&lt;=10)*('CASE MASTER'!$AC$2:$AC$495&gt;=10)*('CASE MASTER'!$AB$2:$AB$495&lt;=6)*('CASE MASTER'!$AD$2:$AD$495&gt;=6))*ROW('CASE MASTER'!$T$2:$T$495))-(ROW('CASE MASTER'!#REF!)-1)))+((10-INDEX('CASE MASTER'!$AA$2:$AA$495,(SUMPRODUCT((('CASE MASTER'!$T$2:$T$495=9)*('CASE MASTER'!$AA$2:$AA$495&lt;=10)*('CASE MASTER'!$AC$2:$AC$495&gt;=10)*('CASE MASTER'!$AB$2:$AB$495&lt;=6)*('CASE MASTER'!$AD$2:$AD$495&gt;=6))*ROW('CASE MASTER'!$T$2:$T$495))-(ROW('CASE MASTER'!#REF!)-1))))*(INDEX('CASE MASTER'!$AD$2:$AD$495,(SUMPRODUCT((('CASE MASTER'!$T$2:$T$495=9)*('CASE MASTER'!$AA$2:$AA$495&lt;=10)*('CASE MASTER'!$AC$2:$AC$495&gt;=10)*('CASE MASTER'!$AB$2:$AB$495&lt;=6)*('CASE MASTER'!$AD$2:$AD$495&gt;=6))*ROW('CASE MASTER'!$T$2:$T$495))-(ROW('CASE MASTER'!#REF!)-1)))-INDEX('CASE MASTER'!$AB$2:$AB$495,(SUMPRODUCT((('CASE MASTER'!$T$2:$T$495=9)*('CASE MASTER'!$AA$2:$AA$495&lt;=10)*('CASE MASTER'!$AC$2:$AC$495&gt;=10)*('CASE MASTER'!$AB$2:$AB$495&lt;=6)*('CASE MASTER'!$AD$2:$AD$495&gt;=6))*ROW('CASE MASTER'!$T$2:$T$495))-(ROW('CASE MASTER'!#REF!)-1)))+1)+(6-INDEX('CASE MASTER'!$AB$2:$AB$495,(SUMPRODUCT((('CASE MASTER'!$T$2:$T$495=9)*('CASE MASTER'!$AA$2:$AA$495&lt;=10)*('CASE MASTER'!$AC$2:$AC$495&gt;=10)*('CASE MASTER'!$AB$2:$AB$495&lt;=6)*('CASE MASTER'!$AD$2:$AD$495&gt;=6))*ROW('CASE MASTER'!$T$2:$T$495))-(ROW('CASE MASTER'!#REF!)-1))))+1)))-1)*50+1,50))&amp;"_"&amp;INDEX('CASE MASTER'!$Q$2:$Q$495,(SUMPRODUCT((('CASE MASTER'!$T$2:$T$495=9)*('CASE MASTER'!$AA$2:$AA$495&lt;=10)*('CASE MASTER'!$AC$2:$AC$495&gt;=10)*('CASE MASTER'!$AB$2:$AB$495&lt;=6)*('CASE MASTER'!$AD$2:$AD$495&gt;=6))*ROW('CASE MASTER'!$T$2:$T$495))-(ROW('CASE MASTER'!#REF!)-1))),"")),"")</f>
        <v/>
      </c>
      <c r="H124" s="10" t="str">
        <f>IFERROR(IF(SUMPRODUCT((('CASE MASTER'!$T$2:$T$495=9)*('CASE MASTER'!$U$2:$U$495&lt;=10)*('CASE MASTER'!$W$2:$W$495&gt;=10)*('CASE MASTER'!$V$2:$V$495&lt;=7)*('CASE MASTER'!$X$2:$X$495&gt;=7))*ROW('CASE MASTER'!$T$2:$T$495))&gt;0,INDEX('CASE MASTER'!$Y$2:$Y$495,(SUMPRODUCT((('CASE MASTER'!$T$2:$T$495=9)*('CASE MASTER'!$U$2:$U$495&lt;=10)*('CASE MASTER'!$W$2:$W$495&gt;=10)*('CASE MASTER'!$V$2:$V$495&lt;=7)*('CASE MASTER'!$X$2:$X$495&gt;=7))*ROW('CASE MASTER'!$T$2:$T$495))-(ROW('CASE MASTER'!#REF!)-1)))&amp;TRIM(MID(SUBSTITUTE(SUBSTITUTE(INDEX('CASE MASTER'!$N$2:$N$495,(SUMPRODUCT((('CASE MASTER'!$T$2:$T$495=9)*('CASE MASTER'!$U$2:$U$495&lt;=10)*('CASE MASTER'!$W$2:$W$495&gt;=10)*('CASE MASTER'!$V$2:$V$495&lt;=7)*('CASE MASTER'!$X$2:$X$495&gt;=7))*ROW('CASE MASTER'!$T$2:$T$495))-(ROW('CASE MASTER'!#REF!)-1))),":",","),",",REPT(" ",50)),((((10-INDEX('CASE MASTER'!$U$2:$U$495,(SUMPRODUCT((('CASE MASTER'!$T$2:$T$495=9)*('CASE MASTER'!$U$2:$U$495&lt;=10)*('CASE MASTER'!$W$2:$W$495&gt;=10)*('CASE MASTER'!$V$2:$V$495&lt;=7)*('CASE MASTER'!$X$2:$X$495&gt;=7))*ROW('CASE MASTER'!$T$2:$T$495))-(ROW('CASE MASTER'!#REF!)-1))))*(INDEX('CASE MASTER'!$X$2:$X$495,(SUMPRODUCT((('CASE MASTER'!$T$2:$T$495=9)*('CASE MASTER'!$U$2:$U$495&lt;=10)*('CASE MASTER'!$W$2:$W$495&gt;=10)*('CASE MASTER'!$V$2:$V$495&lt;=7)*('CASE MASTER'!$X$2:$X$495&gt;=7))*ROW('CASE MASTER'!$T$2:$T$495))-(ROW('CASE MASTER'!#REF!)-1)))-INDEX('CASE MASTER'!$V$2:$V$495,(SUMPRODUCT((('CASE MASTER'!$T$2:$T$495=9)*('CASE MASTER'!$U$2:$U$495&lt;=10)*('CASE MASTER'!$W$2:$W$495&gt;=10)*('CASE MASTER'!$V$2:$V$495&lt;=7)*('CASE MASTER'!$X$2:$X$495&gt;=7))*ROW('CASE MASTER'!$T$2:$T$495))-(ROW('CASE MASTER'!#REF!)-1)))+1)+(7-INDEX('CASE MASTER'!$V$2:$V$495,(SUMPRODUCT((('CASE MASTER'!$T$2:$T$495=9)*('CASE MASTER'!$U$2:$U$495&lt;=10)*('CASE MASTER'!$W$2:$W$495&gt;=10)*('CASE MASTER'!$V$2:$V$495&lt;=7)*('CASE MASTER'!$X$2:$X$495&gt;=7))*ROW('CASE MASTER'!$T$2:$T$495))-(ROW('CASE MASTER'!#REF!)-1))))+1))-1)*50+1,50))&amp;"_"&amp;INDEX('CASE MASTER'!$Q$2:$Q$495,(SUMPRODUCT((('CASE MASTER'!$T$2:$T$495=9)*('CASE MASTER'!$U$2:$U$495&lt;=10)*('CASE MASTER'!$W$2:$W$495&gt;=10)*('CASE MASTER'!$V$2:$V$495&lt;=7)*('CASE MASTER'!$X$2:$X$495&gt;=7))*ROW('CASE MASTER'!$T$2:$T$495))-(ROW('CASE MASTER'!#REF!)-1))),IF(SUMPRODUCT((('CASE MASTER'!$T$2:$T$495=9)*('CASE MASTER'!$AA$2:$AA$495&lt;=10)*('CASE MASTER'!$AC$2:$AC$495&gt;=10)*('CASE MASTER'!$AB$2:$AB$495&lt;=7)*('CASE MASTER'!$AD$2:$AD$495&gt;=7))*ROW('CASE MASTER'!$T$2:$T$495))&gt;0,INDEX('CASE MASTER'!$Y$2:$Y$495,(SUMPRODUCT((('CASE MASTER'!$T$2:$T$495=9)*('CASE MASTER'!$AA$2:$AA$495&lt;=10)*('CASE MASTER'!$AC$2:$AC$495&gt;=10)*('CASE MASTER'!$AB$2:$AB$495&lt;=7)*('CASE MASTER'!$AD$2:$AD$495&gt;=7))*ROW('CASE MASTER'!$T$2:$T$495))-(ROW('CASE MASTER'!#REF!)-1)))&amp;TRIM(MID(SUBSTITUTE(SUBSTITUTE(INDEX('CASE MASTER'!$N$2:$N$495,(SUMPRODUCT((('CASE MASTER'!$T$2:$T$495=9)*('CASE MASTER'!$AA$2:$AA$495&lt;=10)*('CASE MASTER'!$AC$2:$AC$495&gt;=10)*('CASE MASTER'!$AB$2:$AB$495&lt;=7)*('CASE MASTER'!$AD$2:$AD$495&gt;=7))*ROW('CASE MASTER'!$T$2:$T$495))-(ROW('CASE MASTER'!#REF!)-1))),":",","),",",REPT(" ",50)),(((INDEX('CASE MASTER'!$Z$2:$Z$495,(SUMPRODUCT((('CASE MASTER'!$T$2:$T$495=9)*('CASE MASTER'!$AA$2:$AA$495&lt;=10)*('CASE MASTER'!$AC$2:$AC$495&gt;=10)*('CASE MASTER'!$AB$2:$AB$495&lt;=7)*('CASE MASTER'!$AD$2:$AD$495&gt;=7))*ROW('CASE MASTER'!$T$2:$T$495))-(ROW('CASE MASTER'!#REF!)-1)))+((10-INDEX('CASE MASTER'!$AA$2:$AA$495,(SUMPRODUCT((('CASE MASTER'!$T$2:$T$495=9)*('CASE MASTER'!$AA$2:$AA$495&lt;=10)*('CASE MASTER'!$AC$2:$AC$495&gt;=10)*('CASE MASTER'!$AB$2:$AB$495&lt;=7)*('CASE MASTER'!$AD$2:$AD$495&gt;=7))*ROW('CASE MASTER'!$T$2:$T$495))-(ROW('CASE MASTER'!#REF!)-1))))*(INDEX('CASE MASTER'!$AD$2:$AD$495,(SUMPRODUCT((('CASE MASTER'!$T$2:$T$495=9)*('CASE MASTER'!$AA$2:$AA$495&lt;=10)*('CASE MASTER'!$AC$2:$AC$495&gt;=10)*('CASE MASTER'!$AB$2:$AB$495&lt;=7)*('CASE MASTER'!$AD$2:$AD$495&gt;=7))*ROW('CASE MASTER'!$T$2:$T$495))-(ROW('CASE MASTER'!#REF!)-1)))-INDEX('CASE MASTER'!$AB$2:$AB$495,(SUMPRODUCT((('CASE MASTER'!$T$2:$T$495=9)*('CASE MASTER'!$AA$2:$AA$495&lt;=10)*('CASE MASTER'!$AC$2:$AC$495&gt;=10)*('CASE MASTER'!$AB$2:$AB$495&lt;=7)*('CASE MASTER'!$AD$2:$AD$495&gt;=7))*ROW('CASE MASTER'!$T$2:$T$495))-(ROW('CASE MASTER'!#REF!)-1)))+1)+(7-INDEX('CASE MASTER'!$AB$2:$AB$495,(SUMPRODUCT((('CASE MASTER'!$T$2:$T$495=9)*('CASE MASTER'!$AA$2:$AA$495&lt;=10)*('CASE MASTER'!$AC$2:$AC$495&gt;=10)*('CASE MASTER'!$AB$2:$AB$495&lt;=7)*('CASE MASTER'!$AD$2:$AD$495&gt;=7))*ROW('CASE MASTER'!$T$2:$T$495))-(ROW('CASE MASTER'!#REF!)-1))))+1)))-1)*50+1,50))&amp;"_"&amp;INDEX('CASE MASTER'!$Q$2:$Q$495,(SUMPRODUCT((('CASE MASTER'!$T$2:$T$495=9)*('CASE MASTER'!$AA$2:$AA$495&lt;=10)*('CASE MASTER'!$AC$2:$AC$495&gt;=10)*('CASE MASTER'!$AB$2:$AB$495&lt;=7)*('CASE MASTER'!$AD$2:$AD$495&gt;=7))*ROW('CASE MASTER'!$T$2:$T$495))-(ROW('CASE MASTER'!#REF!)-1))),"")),"")</f>
        <v/>
      </c>
      <c r="I124" s="10" t="str">
        <f>IFERROR(IF(SUMPRODUCT((('CASE MASTER'!$T$2:$T$495=9)*('CASE MASTER'!$U$2:$U$495&lt;=10)*('CASE MASTER'!$W$2:$W$495&gt;=10)*('CASE MASTER'!$V$2:$V$495&lt;=8)*('CASE MASTER'!$X$2:$X$495&gt;=8))*ROW('CASE MASTER'!$T$2:$T$495))&gt;0,INDEX('CASE MASTER'!$Y$2:$Y$495,(SUMPRODUCT((('CASE MASTER'!$T$2:$T$495=9)*('CASE MASTER'!$U$2:$U$495&lt;=10)*('CASE MASTER'!$W$2:$W$495&gt;=10)*('CASE MASTER'!$V$2:$V$495&lt;=8)*('CASE MASTER'!$X$2:$X$495&gt;=8))*ROW('CASE MASTER'!$T$2:$T$495))-(ROW('CASE MASTER'!#REF!)-1)))&amp;TRIM(MID(SUBSTITUTE(SUBSTITUTE(INDEX('CASE MASTER'!$N$2:$N$495,(SUMPRODUCT((('CASE MASTER'!$T$2:$T$495=9)*('CASE MASTER'!$U$2:$U$495&lt;=10)*('CASE MASTER'!$W$2:$W$495&gt;=10)*('CASE MASTER'!$V$2:$V$495&lt;=8)*('CASE MASTER'!$X$2:$X$495&gt;=8))*ROW('CASE MASTER'!$T$2:$T$495))-(ROW('CASE MASTER'!#REF!)-1))),":",","),",",REPT(" ",50)),((((10-INDEX('CASE MASTER'!$U$2:$U$495,(SUMPRODUCT((('CASE MASTER'!$T$2:$T$495=9)*('CASE MASTER'!$U$2:$U$495&lt;=10)*('CASE MASTER'!$W$2:$W$495&gt;=10)*('CASE MASTER'!$V$2:$V$495&lt;=8)*('CASE MASTER'!$X$2:$X$495&gt;=8))*ROW('CASE MASTER'!$T$2:$T$495))-(ROW('CASE MASTER'!#REF!)-1))))*(INDEX('CASE MASTER'!$X$2:$X$495,(SUMPRODUCT((('CASE MASTER'!$T$2:$T$495=9)*('CASE MASTER'!$U$2:$U$495&lt;=10)*('CASE MASTER'!$W$2:$W$495&gt;=10)*('CASE MASTER'!$V$2:$V$495&lt;=8)*('CASE MASTER'!$X$2:$X$495&gt;=8))*ROW('CASE MASTER'!$T$2:$T$495))-(ROW('CASE MASTER'!#REF!)-1)))-INDEX('CASE MASTER'!$V$2:$V$495,(SUMPRODUCT((('CASE MASTER'!$T$2:$T$495=9)*('CASE MASTER'!$U$2:$U$495&lt;=10)*('CASE MASTER'!$W$2:$W$495&gt;=10)*('CASE MASTER'!$V$2:$V$495&lt;=8)*('CASE MASTER'!$X$2:$X$495&gt;=8))*ROW('CASE MASTER'!$T$2:$T$495))-(ROW('CASE MASTER'!#REF!)-1)))+1)+(8-INDEX('CASE MASTER'!$V$2:$V$495,(SUMPRODUCT((('CASE MASTER'!$T$2:$T$495=9)*('CASE MASTER'!$U$2:$U$495&lt;=10)*('CASE MASTER'!$W$2:$W$495&gt;=10)*('CASE MASTER'!$V$2:$V$495&lt;=8)*('CASE MASTER'!$X$2:$X$495&gt;=8))*ROW('CASE MASTER'!$T$2:$T$495))-(ROW('CASE MASTER'!#REF!)-1))))+1))-1)*50+1,50))&amp;"_"&amp;INDEX('CASE MASTER'!$Q$2:$Q$495,(SUMPRODUCT((('CASE MASTER'!$T$2:$T$495=9)*('CASE MASTER'!$U$2:$U$495&lt;=10)*('CASE MASTER'!$W$2:$W$495&gt;=10)*('CASE MASTER'!$V$2:$V$495&lt;=8)*('CASE MASTER'!$X$2:$X$495&gt;=8))*ROW('CASE MASTER'!$T$2:$T$495))-(ROW('CASE MASTER'!#REF!)-1))),IF(SUMPRODUCT((('CASE MASTER'!$T$2:$T$495=9)*('CASE MASTER'!$AA$2:$AA$495&lt;=10)*('CASE MASTER'!$AC$2:$AC$495&gt;=10)*('CASE MASTER'!$AB$2:$AB$495&lt;=8)*('CASE MASTER'!$AD$2:$AD$495&gt;=8))*ROW('CASE MASTER'!$T$2:$T$495))&gt;0,INDEX('CASE MASTER'!$Y$2:$Y$495,(SUMPRODUCT((('CASE MASTER'!$T$2:$T$495=9)*('CASE MASTER'!$AA$2:$AA$495&lt;=10)*('CASE MASTER'!$AC$2:$AC$495&gt;=10)*('CASE MASTER'!$AB$2:$AB$495&lt;=8)*('CASE MASTER'!$AD$2:$AD$495&gt;=8))*ROW('CASE MASTER'!$T$2:$T$495))-(ROW('CASE MASTER'!#REF!)-1)))&amp;TRIM(MID(SUBSTITUTE(SUBSTITUTE(INDEX('CASE MASTER'!$N$2:$N$495,(SUMPRODUCT((('CASE MASTER'!$T$2:$T$495=9)*('CASE MASTER'!$AA$2:$AA$495&lt;=10)*('CASE MASTER'!$AC$2:$AC$495&gt;=10)*('CASE MASTER'!$AB$2:$AB$495&lt;=8)*('CASE MASTER'!$AD$2:$AD$495&gt;=8))*ROW('CASE MASTER'!$T$2:$T$495))-(ROW('CASE MASTER'!#REF!)-1))),":",","),",",REPT(" ",50)),(((INDEX('CASE MASTER'!$Z$2:$Z$495,(SUMPRODUCT((('CASE MASTER'!$T$2:$T$495=9)*('CASE MASTER'!$AA$2:$AA$495&lt;=10)*('CASE MASTER'!$AC$2:$AC$495&gt;=10)*('CASE MASTER'!$AB$2:$AB$495&lt;=8)*('CASE MASTER'!$AD$2:$AD$495&gt;=8))*ROW('CASE MASTER'!$T$2:$T$495))-(ROW('CASE MASTER'!#REF!)-1)))+((10-INDEX('CASE MASTER'!$AA$2:$AA$495,(SUMPRODUCT((('CASE MASTER'!$T$2:$T$495=9)*('CASE MASTER'!$AA$2:$AA$495&lt;=10)*('CASE MASTER'!$AC$2:$AC$495&gt;=10)*('CASE MASTER'!$AB$2:$AB$495&lt;=8)*('CASE MASTER'!$AD$2:$AD$495&gt;=8))*ROW('CASE MASTER'!$T$2:$T$495))-(ROW('CASE MASTER'!#REF!)-1))))*(INDEX('CASE MASTER'!$AD$2:$AD$495,(SUMPRODUCT((('CASE MASTER'!$T$2:$T$495=9)*('CASE MASTER'!$AA$2:$AA$495&lt;=10)*('CASE MASTER'!$AC$2:$AC$495&gt;=10)*('CASE MASTER'!$AB$2:$AB$495&lt;=8)*('CASE MASTER'!$AD$2:$AD$495&gt;=8))*ROW('CASE MASTER'!$T$2:$T$495))-(ROW('CASE MASTER'!#REF!)-1)))-INDEX('CASE MASTER'!$AB$2:$AB$495,(SUMPRODUCT((('CASE MASTER'!$T$2:$T$495=9)*('CASE MASTER'!$AA$2:$AA$495&lt;=10)*('CASE MASTER'!$AC$2:$AC$495&gt;=10)*('CASE MASTER'!$AB$2:$AB$495&lt;=8)*('CASE MASTER'!$AD$2:$AD$495&gt;=8))*ROW('CASE MASTER'!$T$2:$T$495))-(ROW('CASE MASTER'!#REF!)-1)))+1)+(8-INDEX('CASE MASTER'!$AB$2:$AB$495,(SUMPRODUCT((('CASE MASTER'!$T$2:$T$495=9)*('CASE MASTER'!$AA$2:$AA$495&lt;=10)*('CASE MASTER'!$AC$2:$AC$495&gt;=10)*('CASE MASTER'!$AB$2:$AB$495&lt;=8)*('CASE MASTER'!$AD$2:$AD$495&gt;=8))*ROW('CASE MASTER'!$T$2:$T$495))-(ROW('CASE MASTER'!#REF!)-1))))+1)))-1)*50+1,50))&amp;"_"&amp;INDEX('CASE MASTER'!$Q$2:$Q$495,(SUMPRODUCT((('CASE MASTER'!$T$2:$T$495=9)*('CASE MASTER'!$AA$2:$AA$495&lt;=10)*('CASE MASTER'!$AC$2:$AC$495&gt;=10)*('CASE MASTER'!$AB$2:$AB$495&lt;=8)*('CASE MASTER'!$AD$2:$AD$495&gt;=8))*ROW('CASE MASTER'!$T$2:$T$495))-(ROW('CASE MASTER'!#REF!)-1))),"")),"")</f>
        <v/>
      </c>
      <c r="J124" s="10" t="str">
        <f>IFERROR(IF(SUMPRODUCT((('CASE MASTER'!$T$2:$T$495=9)*('CASE MASTER'!$U$2:$U$495&lt;=10)*('CASE MASTER'!$W$2:$W$495&gt;=10)*('CASE MASTER'!$V$2:$V$495&lt;=9)*('CASE MASTER'!$X$2:$X$495&gt;=9))*ROW('CASE MASTER'!$T$2:$T$495))&gt;0,INDEX('CASE MASTER'!$Y$2:$Y$495,(SUMPRODUCT((('CASE MASTER'!$T$2:$T$495=9)*('CASE MASTER'!$U$2:$U$495&lt;=10)*('CASE MASTER'!$W$2:$W$495&gt;=10)*('CASE MASTER'!$V$2:$V$495&lt;=9)*('CASE MASTER'!$X$2:$X$495&gt;=9))*ROW('CASE MASTER'!$T$2:$T$495))-(ROW('CASE MASTER'!#REF!)-1)))&amp;TRIM(MID(SUBSTITUTE(SUBSTITUTE(INDEX('CASE MASTER'!$N$2:$N$495,(SUMPRODUCT((('CASE MASTER'!$T$2:$T$495=9)*('CASE MASTER'!$U$2:$U$495&lt;=10)*('CASE MASTER'!$W$2:$W$495&gt;=10)*('CASE MASTER'!$V$2:$V$495&lt;=9)*('CASE MASTER'!$X$2:$X$495&gt;=9))*ROW('CASE MASTER'!$T$2:$T$495))-(ROW('CASE MASTER'!#REF!)-1))),":",","),",",REPT(" ",50)),((((10-INDEX('CASE MASTER'!$U$2:$U$495,(SUMPRODUCT((('CASE MASTER'!$T$2:$T$495=9)*('CASE MASTER'!$U$2:$U$495&lt;=10)*('CASE MASTER'!$W$2:$W$495&gt;=10)*('CASE MASTER'!$V$2:$V$495&lt;=9)*('CASE MASTER'!$X$2:$X$495&gt;=9))*ROW('CASE MASTER'!$T$2:$T$495))-(ROW('CASE MASTER'!#REF!)-1))))*(INDEX('CASE MASTER'!$X$2:$X$495,(SUMPRODUCT((('CASE MASTER'!$T$2:$T$495=9)*('CASE MASTER'!$U$2:$U$495&lt;=10)*('CASE MASTER'!$W$2:$W$495&gt;=10)*('CASE MASTER'!$V$2:$V$495&lt;=9)*('CASE MASTER'!$X$2:$X$495&gt;=9))*ROW('CASE MASTER'!$T$2:$T$495))-(ROW('CASE MASTER'!#REF!)-1)))-INDEX('CASE MASTER'!$V$2:$V$495,(SUMPRODUCT((('CASE MASTER'!$T$2:$T$495=9)*('CASE MASTER'!$U$2:$U$495&lt;=10)*('CASE MASTER'!$W$2:$W$495&gt;=10)*('CASE MASTER'!$V$2:$V$495&lt;=9)*('CASE MASTER'!$X$2:$X$495&gt;=9))*ROW('CASE MASTER'!$T$2:$T$495))-(ROW('CASE MASTER'!#REF!)-1)))+1)+(9-INDEX('CASE MASTER'!$V$2:$V$495,(SUMPRODUCT((('CASE MASTER'!$T$2:$T$495=9)*('CASE MASTER'!$U$2:$U$495&lt;=10)*('CASE MASTER'!$W$2:$W$495&gt;=10)*('CASE MASTER'!$V$2:$V$495&lt;=9)*('CASE MASTER'!$X$2:$X$495&gt;=9))*ROW('CASE MASTER'!$T$2:$T$495))-(ROW('CASE MASTER'!#REF!)-1))))+1))-1)*50+1,50))&amp;"_"&amp;INDEX('CASE MASTER'!$Q$2:$Q$495,(SUMPRODUCT((('CASE MASTER'!$T$2:$T$495=9)*('CASE MASTER'!$U$2:$U$495&lt;=10)*('CASE MASTER'!$W$2:$W$495&gt;=10)*('CASE MASTER'!$V$2:$V$495&lt;=9)*('CASE MASTER'!$X$2:$X$495&gt;=9))*ROW('CASE MASTER'!$T$2:$T$495))-(ROW('CASE MASTER'!#REF!)-1))),IF(SUMPRODUCT((('CASE MASTER'!$T$2:$T$495=9)*('CASE MASTER'!$AA$2:$AA$495&lt;=10)*('CASE MASTER'!$AC$2:$AC$495&gt;=10)*('CASE MASTER'!$AB$2:$AB$495&lt;=9)*('CASE MASTER'!$AD$2:$AD$495&gt;=9))*ROW('CASE MASTER'!$T$2:$T$495))&gt;0,INDEX('CASE MASTER'!$Y$2:$Y$495,(SUMPRODUCT((('CASE MASTER'!$T$2:$T$495=9)*('CASE MASTER'!$AA$2:$AA$495&lt;=10)*('CASE MASTER'!$AC$2:$AC$495&gt;=10)*('CASE MASTER'!$AB$2:$AB$495&lt;=9)*('CASE MASTER'!$AD$2:$AD$495&gt;=9))*ROW('CASE MASTER'!$T$2:$T$495))-(ROW('CASE MASTER'!#REF!)-1)))&amp;TRIM(MID(SUBSTITUTE(SUBSTITUTE(INDEX('CASE MASTER'!$N$2:$N$495,(SUMPRODUCT((('CASE MASTER'!$T$2:$T$495=9)*('CASE MASTER'!$AA$2:$AA$495&lt;=10)*('CASE MASTER'!$AC$2:$AC$495&gt;=10)*('CASE MASTER'!$AB$2:$AB$495&lt;=9)*('CASE MASTER'!$AD$2:$AD$495&gt;=9))*ROW('CASE MASTER'!$T$2:$T$495))-(ROW('CASE MASTER'!#REF!)-1))),":",","),",",REPT(" ",50)),(((INDEX('CASE MASTER'!$Z$2:$Z$495,(SUMPRODUCT((('CASE MASTER'!$T$2:$T$495=9)*('CASE MASTER'!$AA$2:$AA$495&lt;=10)*('CASE MASTER'!$AC$2:$AC$495&gt;=10)*('CASE MASTER'!$AB$2:$AB$495&lt;=9)*('CASE MASTER'!$AD$2:$AD$495&gt;=9))*ROW('CASE MASTER'!$T$2:$T$495))-(ROW('CASE MASTER'!#REF!)-1)))+((10-INDEX('CASE MASTER'!$AA$2:$AA$495,(SUMPRODUCT((('CASE MASTER'!$T$2:$T$495=9)*('CASE MASTER'!$AA$2:$AA$495&lt;=10)*('CASE MASTER'!$AC$2:$AC$495&gt;=10)*('CASE MASTER'!$AB$2:$AB$495&lt;=9)*('CASE MASTER'!$AD$2:$AD$495&gt;=9))*ROW('CASE MASTER'!$T$2:$T$495))-(ROW('CASE MASTER'!#REF!)-1))))*(INDEX('CASE MASTER'!$AD$2:$AD$495,(SUMPRODUCT((('CASE MASTER'!$T$2:$T$495=9)*('CASE MASTER'!$AA$2:$AA$495&lt;=10)*('CASE MASTER'!$AC$2:$AC$495&gt;=10)*('CASE MASTER'!$AB$2:$AB$495&lt;=9)*('CASE MASTER'!$AD$2:$AD$495&gt;=9))*ROW('CASE MASTER'!$T$2:$T$495))-(ROW('CASE MASTER'!#REF!)-1)))-INDEX('CASE MASTER'!$AB$2:$AB$495,(SUMPRODUCT((('CASE MASTER'!$T$2:$T$495=9)*('CASE MASTER'!$AA$2:$AA$495&lt;=10)*('CASE MASTER'!$AC$2:$AC$495&gt;=10)*('CASE MASTER'!$AB$2:$AB$495&lt;=9)*('CASE MASTER'!$AD$2:$AD$495&gt;=9))*ROW('CASE MASTER'!$T$2:$T$495))-(ROW('CASE MASTER'!#REF!)-1)))+1)+(9-INDEX('CASE MASTER'!$AB$2:$AB$495,(SUMPRODUCT((('CASE MASTER'!$T$2:$T$495=9)*('CASE MASTER'!$AA$2:$AA$495&lt;=10)*('CASE MASTER'!$AC$2:$AC$495&gt;=10)*('CASE MASTER'!$AB$2:$AB$495&lt;=9)*('CASE MASTER'!$AD$2:$AD$495&gt;=9))*ROW('CASE MASTER'!$T$2:$T$495))-(ROW('CASE MASTER'!#REF!)-1))))+1)))-1)*50+1,50))&amp;"_"&amp;INDEX('CASE MASTER'!$Q$2:$Q$495,(SUMPRODUCT((('CASE MASTER'!$T$2:$T$495=9)*('CASE MASTER'!$AA$2:$AA$495&lt;=10)*('CASE MASTER'!$AC$2:$AC$495&gt;=10)*('CASE MASTER'!$AB$2:$AB$495&lt;=9)*('CASE MASTER'!$AD$2:$AD$495&gt;=9))*ROW('CASE MASTER'!$T$2:$T$495))-(ROW('CASE MASTER'!#REF!)-1))),"")),"")</f>
        <v/>
      </c>
      <c r="K124" s="10" t="str">
        <f>IFERROR(IF(SUMPRODUCT((('CASE MASTER'!$T$2:$T$495=9)*('CASE MASTER'!$U$2:$U$495&lt;=10)*('CASE MASTER'!$W$2:$W$495&gt;=10)*('CASE MASTER'!$V$2:$V$495&lt;=10)*('CASE MASTER'!$X$2:$X$495&gt;=10))*ROW('CASE MASTER'!$T$2:$T$495))&gt;0,INDEX('CASE MASTER'!$Y$2:$Y$495,(SUMPRODUCT((('CASE MASTER'!$T$2:$T$495=9)*('CASE MASTER'!$U$2:$U$495&lt;=10)*('CASE MASTER'!$W$2:$W$495&gt;=10)*('CASE MASTER'!$V$2:$V$495&lt;=10)*('CASE MASTER'!$X$2:$X$495&gt;=10))*ROW('CASE MASTER'!$T$2:$T$495))-(ROW('CASE MASTER'!#REF!)-1)))&amp;TRIM(MID(SUBSTITUTE(SUBSTITUTE(INDEX('CASE MASTER'!$N$2:$N$495,(SUMPRODUCT((('CASE MASTER'!$T$2:$T$495=9)*('CASE MASTER'!$U$2:$U$495&lt;=10)*('CASE MASTER'!$W$2:$W$495&gt;=10)*('CASE MASTER'!$V$2:$V$495&lt;=10)*('CASE MASTER'!$X$2:$X$495&gt;=10))*ROW('CASE MASTER'!$T$2:$T$495))-(ROW('CASE MASTER'!#REF!)-1))),":",","),",",REPT(" ",50)),((((10-INDEX('CASE MASTER'!$U$2:$U$495,(SUMPRODUCT((('CASE MASTER'!$T$2:$T$495=9)*('CASE MASTER'!$U$2:$U$495&lt;=10)*('CASE MASTER'!$W$2:$W$495&gt;=10)*('CASE MASTER'!$V$2:$V$495&lt;=10)*('CASE MASTER'!$X$2:$X$495&gt;=10))*ROW('CASE MASTER'!$T$2:$T$495))-(ROW('CASE MASTER'!#REF!)-1))))*(INDEX('CASE MASTER'!$X$2:$X$495,(SUMPRODUCT((('CASE MASTER'!$T$2:$T$495=9)*('CASE MASTER'!$U$2:$U$495&lt;=10)*('CASE MASTER'!$W$2:$W$495&gt;=10)*('CASE MASTER'!$V$2:$V$495&lt;=10)*('CASE MASTER'!$X$2:$X$495&gt;=10))*ROW('CASE MASTER'!$T$2:$T$495))-(ROW('CASE MASTER'!#REF!)-1)))-INDEX('CASE MASTER'!$V$2:$V$495,(SUMPRODUCT((('CASE MASTER'!$T$2:$T$495=9)*('CASE MASTER'!$U$2:$U$495&lt;=10)*('CASE MASTER'!$W$2:$W$495&gt;=10)*('CASE MASTER'!$V$2:$V$495&lt;=10)*('CASE MASTER'!$X$2:$X$495&gt;=10))*ROW('CASE MASTER'!$T$2:$T$495))-(ROW('CASE MASTER'!#REF!)-1)))+1)+(10-INDEX('CASE MASTER'!$V$2:$V$495,(SUMPRODUCT((('CASE MASTER'!$T$2:$T$495=9)*('CASE MASTER'!$U$2:$U$495&lt;=10)*('CASE MASTER'!$W$2:$W$495&gt;=10)*('CASE MASTER'!$V$2:$V$495&lt;=10)*('CASE MASTER'!$X$2:$X$495&gt;=10))*ROW('CASE MASTER'!$T$2:$T$495))-(ROW('CASE MASTER'!#REF!)-1))))+1))-1)*50+1,50))&amp;"_"&amp;INDEX('CASE MASTER'!$Q$2:$Q$495,(SUMPRODUCT((('CASE MASTER'!$T$2:$T$495=9)*('CASE MASTER'!$U$2:$U$495&lt;=10)*('CASE MASTER'!$W$2:$W$495&gt;=10)*('CASE MASTER'!$V$2:$V$495&lt;=10)*('CASE MASTER'!$X$2:$X$495&gt;=10))*ROW('CASE MASTER'!$T$2:$T$495))-(ROW('CASE MASTER'!#REF!)-1))),IF(SUMPRODUCT((('CASE MASTER'!$T$2:$T$495=9)*('CASE MASTER'!$AA$2:$AA$495&lt;=10)*('CASE MASTER'!$AC$2:$AC$495&gt;=10)*('CASE MASTER'!$AB$2:$AB$495&lt;=10)*('CASE MASTER'!$AD$2:$AD$495&gt;=10))*ROW('CASE MASTER'!$T$2:$T$495))&gt;0,INDEX('CASE MASTER'!$Y$2:$Y$495,(SUMPRODUCT((('CASE MASTER'!$T$2:$T$495=9)*('CASE MASTER'!$AA$2:$AA$495&lt;=10)*('CASE MASTER'!$AC$2:$AC$495&gt;=10)*('CASE MASTER'!$AB$2:$AB$495&lt;=10)*('CASE MASTER'!$AD$2:$AD$495&gt;=10))*ROW('CASE MASTER'!$T$2:$T$495))-(ROW('CASE MASTER'!#REF!)-1)))&amp;TRIM(MID(SUBSTITUTE(SUBSTITUTE(INDEX('CASE MASTER'!$N$2:$N$495,(SUMPRODUCT((('CASE MASTER'!$T$2:$T$495=9)*('CASE MASTER'!$AA$2:$AA$495&lt;=10)*('CASE MASTER'!$AC$2:$AC$495&gt;=10)*('CASE MASTER'!$AB$2:$AB$495&lt;=10)*('CASE MASTER'!$AD$2:$AD$495&gt;=10))*ROW('CASE MASTER'!$T$2:$T$495))-(ROW('CASE MASTER'!#REF!)-1))),":",","),",",REPT(" ",50)),(((INDEX('CASE MASTER'!$Z$2:$Z$495,(SUMPRODUCT((('CASE MASTER'!$T$2:$T$495=9)*('CASE MASTER'!$AA$2:$AA$495&lt;=10)*('CASE MASTER'!$AC$2:$AC$495&gt;=10)*('CASE MASTER'!$AB$2:$AB$495&lt;=10)*('CASE MASTER'!$AD$2:$AD$495&gt;=10))*ROW('CASE MASTER'!$T$2:$T$495))-(ROW('CASE MASTER'!#REF!)-1)))+((10-INDEX('CASE MASTER'!$AA$2:$AA$495,(SUMPRODUCT((('CASE MASTER'!$T$2:$T$495=9)*('CASE MASTER'!$AA$2:$AA$495&lt;=10)*('CASE MASTER'!$AC$2:$AC$495&gt;=10)*('CASE MASTER'!$AB$2:$AB$495&lt;=10)*('CASE MASTER'!$AD$2:$AD$495&gt;=10))*ROW('CASE MASTER'!$T$2:$T$495))-(ROW('CASE MASTER'!#REF!)-1))))*(INDEX('CASE MASTER'!$AD$2:$AD$495,(SUMPRODUCT((('CASE MASTER'!$T$2:$T$495=9)*('CASE MASTER'!$AA$2:$AA$495&lt;=10)*('CASE MASTER'!$AC$2:$AC$495&gt;=10)*('CASE MASTER'!$AB$2:$AB$495&lt;=10)*('CASE MASTER'!$AD$2:$AD$495&gt;=10))*ROW('CASE MASTER'!$T$2:$T$495))-(ROW('CASE MASTER'!#REF!)-1)))-INDEX('CASE MASTER'!$AB$2:$AB$495,(SUMPRODUCT((('CASE MASTER'!$T$2:$T$495=9)*('CASE MASTER'!$AA$2:$AA$495&lt;=10)*('CASE MASTER'!$AC$2:$AC$495&gt;=10)*('CASE MASTER'!$AB$2:$AB$495&lt;=10)*('CASE MASTER'!$AD$2:$AD$495&gt;=10))*ROW('CASE MASTER'!$T$2:$T$495))-(ROW('CASE MASTER'!#REF!)-1)))+1)+(10-INDEX('CASE MASTER'!$AB$2:$AB$495,(SUMPRODUCT((('CASE MASTER'!$T$2:$T$495=9)*('CASE MASTER'!$AA$2:$AA$495&lt;=10)*('CASE MASTER'!$AC$2:$AC$495&gt;=10)*('CASE MASTER'!$AB$2:$AB$495&lt;=10)*('CASE MASTER'!$AD$2:$AD$495&gt;=10))*ROW('CASE MASTER'!$T$2:$T$495))-(ROW('CASE MASTER'!#REF!)-1))))+1)))-1)*50+1,50))&amp;"_"&amp;INDEX('CASE MASTER'!$Q$2:$Q$495,(SUMPRODUCT((('CASE MASTER'!$T$2:$T$495=9)*('CASE MASTER'!$AA$2:$AA$495&lt;=10)*('CASE MASTER'!$AC$2:$AC$495&gt;=10)*('CASE MASTER'!$AB$2:$AB$495&lt;=10)*('CASE MASTER'!$AD$2:$AD$495&gt;=10))*ROW('CASE MASTER'!$T$2:$T$495))-(ROW('CASE MASTER'!#REF!)-1))),"")),"")</f>
        <v/>
      </c>
    </row>
    <row r="127" spans="1:11" ht="15" customHeight="1" x14ac:dyDescent="0.35">
      <c r="A127" s="12" t="s">
        <v>91</v>
      </c>
      <c r="B127" s="13"/>
      <c r="C127" s="13"/>
      <c r="D127" s="13"/>
      <c r="E127" s="13"/>
      <c r="F127" s="13"/>
      <c r="G127" s="13"/>
      <c r="H127" s="13"/>
      <c r="I127" s="13"/>
      <c r="J127" s="13"/>
      <c r="K127" s="13"/>
    </row>
    <row r="128" spans="1:11" ht="15" customHeight="1" x14ac:dyDescent="0.35">
      <c r="B128" s="8">
        <v>1</v>
      </c>
      <c r="C128" s="8">
        <v>2</v>
      </c>
      <c r="D128" s="8">
        <v>3</v>
      </c>
      <c r="E128" s="8">
        <v>4</v>
      </c>
      <c r="F128" s="8">
        <v>5</v>
      </c>
      <c r="G128" s="8">
        <v>6</v>
      </c>
      <c r="H128" s="8">
        <v>7</v>
      </c>
      <c r="I128" s="8">
        <v>8</v>
      </c>
      <c r="J128" s="8">
        <v>9</v>
      </c>
      <c r="K128" s="8">
        <v>10</v>
      </c>
    </row>
    <row r="129" spans="1:11" ht="15" customHeight="1" x14ac:dyDescent="0.35">
      <c r="A129" s="8" t="s">
        <v>28</v>
      </c>
      <c r="B129" s="10" t="str">
        <f>IFERROR(IF(SUMPRODUCT((('CASE MASTER'!$T$2:$T$495=10)*('CASE MASTER'!$U$2:$U$495&lt;=1)*('CASE MASTER'!$W$2:$W$495&gt;=1)*('CASE MASTER'!$V$2:$V$495&lt;=1)*('CASE MASTER'!$X$2:$X$495&gt;=1))*ROW('CASE MASTER'!$T$2:$T$495))&gt;0,INDEX('CASE MASTER'!$Y$2:$Y$495,(SUMPRODUCT((('CASE MASTER'!$T$2:$T$495=10)*('CASE MASTER'!$U$2:$U$495&lt;=1)*('CASE MASTER'!$W$2:$W$495&gt;=1)*('CASE MASTER'!$V$2:$V$495&lt;=1)*('CASE MASTER'!$X$2:$X$495&gt;=1))*ROW('CASE MASTER'!$T$2:$T$495))-(ROW('CASE MASTER'!#REF!)-1)))&amp;TRIM(MID(SUBSTITUTE(SUBSTITUTE(INDEX('CASE MASTER'!$N$2:$N$495,(SUMPRODUCT((('CASE MASTER'!$T$2:$T$495=10)*('CASE MASTER'!$U$2:$U$495&lt;=1)*('CASE MASTER'!$W$2:$W$495&gt;=1)*('CASE MASTER'!$V$2:$V$495&lt;=1)*('CASE MASTER'!$X$2:$X$495&gt;=1))*ROW('CASE MASTER'!$T$2:$T$495))-(ROW('CASE MASTER'!#REF!)-1))),":",","),",",REPT(" ",50)),((((1-INDEX('CASE MASTER'!$U$2:$U$495,(SUMPRODUCT((('CASE MASTER'!$T$2:$T$495=10)*('CASE MASTER'!$U$2:$U$495&lt;=1)*('CASE MASTER'!$W$2:$W$495&gt;=1)*('CASE MASTER'!$V$2:$V$495&lt;=1)*('CASE MASTER'!$X$2:$X$495&gt;=1))*ROW('CASE MASTER'!$T$2:$T$495))-(ROW('CASE MASTER'!#REF!)-1))))*(INDEX('CASE MASTER'!$X$2:$X$495,(SUMPRODUCT((('CASE MASTER'!$T$2:$T$495=10)*('CASE MASTER'!$U$2:$U$495&lt;=1)*('CASE MASTER'!$W$2:$W$495&gt;=1)*('CASE MASTER'!$V$2:$V$495&lt;=1)*('CASE MASTER'!$X$2:$X$495&gt;=1))*ROW('CASE MASTER'!$T$2:$T$495))-(ROW('CASE MASTER'!#REF!)-1)))-INDEX('CASE MASTER'!$V$2:$V$495,(SUMPRODUCT((('CASE MASTER'!$T$2:$T$495=10)*('CASE MASTER'!$U$2:$U$495&lt;=1)*('CASE MASTER'!$W$2:$W$495&gt;=1)*('CASE MASTER'!$V$2:$V$495&lt;=1)*('CASE MASTER'!$X$2:$X$495&gt;=1))*ROW('CASE MASTER'!$T$2:$T$495))-(ROW('CASE MASTER'!#REF!)-1)))+1)+(1-INDEX('CASE MASTER'!$V$2:$V$495,(SUMPRODUCT((('CASE MASTER'!$T$2:$T$495=10)*('CASE MASTER'!$U$2:$U$495&lt;=1)*('CASE MASTER'!$W$2:$W$495&gt;=1)*('CASE MASTER'!$V$2:$V$495&lt;=1)*('CASE MASTER'!$X$2:$X$495&gt;=1))*ROW('CASE MASTER'!$T$2:$T$495))-(ROW('CASE MASTER'!#REF!)-1))))+1))-1)*50+1,50))&amp;"_"&amp;INDEX('CASE MASTER'!$Q$2:$Q$495,(SUMPRODUCT((('CASE MASTER'!$T$2:$T$495=10)*('CASE MASTER'!$U$2:$U$495&lt;=1)*('CASE MASTER'!$W$2:$W$495&gt;=1)*('CASE MASTER'!$V$2:$V$495&lt;=1)*('CASE MASTER'!$X$2:$X$495&gt;=1))*ROW('CASE MASTER'!$T$2:$T$495))-(ROW('CASE MASTER'!#REF!)-1))),IF(SUMPRODUCT((('CASE MASTER'!$T$2:$T$495=10)*('CASE MASTER'!$AA$2:$AA$495&lt;=1)*('CASE MASTER'!$AC$2:$AC$495&gt;=1)*('CASE MASTER'!$AB$2:$AB$495&lt;=1)*('CASE MASTER'!$AD$2:$AD$495&gt;=1))*ROW('CASE MASTER'!$T$2:$T$495))&gt;0,INDEX('CASE MASTER'!$Y$2:$Y$495,(SUMPRODUCT((('CASE MASTER'!$T$2:$T$495=10)*('CASE MASTER'!$AA$2:$AA$495&lt;=1)*('CASE MASTER'!$AC$2:$AC$495&gt;=1)*('CASE MASTER'!$AB$2:$AB$495&lt;=1)*('CASE MASTER'!$AD$2:$AD$495&gt;=1))*ROW('CASE MASTER'!$T$2:$T$495))-(ROW('CASE MASTER'!#REF!)-1)))&amp;TRIM(MID(SUBSTITUTE(SUBSTITUTE(INDEX('CASE MASTER'!$N$2:$N$495,(SUMPRODUCT((('CASE MASTER'!$T$2:$T$495=10)*('CASE MASTER'!$AA$2:$AA$495&lt;=1)*('CASE MASTER'!$AC$2:$AC$495&gt;=1)*('CASE MASTER'!$AB$2:$AB$495&lt;=1)*('CASE MASTER'!$AD$2:$AD$495&gt;=1))*ROW('CASE MASTER'!$T$2:$T$495))-(ROW('CASE MASTER'!#REF!)-1))),":",","),",",REPT(" ",50)),(((INDEX('CASE MASTER'!$Z$2:$Z$495,(SUMPRODUCT((('CASE MASTER'!$T$2:$T$495=10)*('CASE MASTER'!$AA$2:$AA$495&lt;=1)*('CASE MASTER'!$AC$2:$AC$495&gt;=1)*('CASE MASTER'!$AB$2:$AB$495&lt;=1)*('CASE MASTER'!$AD$2:$AD$495&gt;=1))*ROW('CASE MASTER'!$T$2:$T$495))-(ROW('CASE MASTER'!#REF!)-1)))+((1-INDEX('CASE MASTER'!$AA$2:$AA$495,(SUMPRODUCT((('CASE MASTER'!$T$2:$T$495=10)*('CASE MASTER'!$AA$2:$AA$495&lt;=1)*('CASE MASTER'!$AC$2:$AC$495&gt;=1)*('CASE MASTER'!$AB$2:$AB$495&lt;=1)*('CASE MASTER'!$AD$2:$AD$495&gt;=1))*ROW('CASE MASTER'!$T$2:$T$495))-(ROW('CASE MASTER'!#REF!)-1))))*(INDEX('CASE MASTER'!$AD$2:$AD$495,(SUMPRODUCT((('CASE MASTER'!$T$2:$T$495=10)*('CASE MASTER'!$AA$2:$AA$495&lt;=1)*('CASE MASTER'!$AC$2:$AC$495&gt;=1)*('CASE MASTER'!$AB$2:$AB$495&lt;=1)*('CASE MASTER'!$AD$2:$AD$495&gt;=1))*ROW('CASE MASTER'!$T$2:$T$495))-(ROW('CASE MASTER'!#REF!)-1)))-INDEX('CASE MASTER'!$AB$2:$AB$495,(SUMPRODUCT((('CASE MASTER'!$T$2:$T$495=10)*('CASE MASTER'!$AA$2:$AA$495&lt;=1)*('CASE MASTER'!$AC$2:$AC$495&gt;=1)*('CASE MASTER'!$AB$2:$AB$495&lt;=1)*('CASE MASTER'!$AD$2:$AD$495&gt;=1))*ROW('CASE MASTER'!$T$2:$T$495))-(ROW('CASE MASTER'!#REF!)-1)))+1)+(1-INDEX('CASE MASTER'!$AB$2:$AB$495,(SUMPRODUCT((('CASE MASTER'!$T$2:$T$495=10)*('CASE MASTER'!$AA$2:$AA$495&lt;=1)*('CASE MASTER'!$AC$2:$AC$495&gt;=1)*('CASE MASTER'!$AB$2:$AB$495&lt;=1)*('CASE MASTER'!$AD$2:$AD$495&gt;=1))*ROW('CASE MASTER'!$T$2:$T$495))-(ROW('CASE MASTER'!#REF!)-1))))+1)))-1)*50+1,50))&amp;"_"&amp;INDEX('CASE MASTER'!$Q$2:$Q$495,(SUMPRODUCT((('CASE MASTER'!$T$2:$T$495=10)*('CASE MASTER'!$AA$2:$AA$495&lt;=1)*('CASE MASTER'!$AC$2:$AC$495&gt;=1)*('CASE MASTER'!$AB$2:$AB$495&lt;=1)*('CASE MASTER'!$AD$2:$AD$495&gt;=1))*ROW('CASE MASTER'!$T$2:$T$495))-(ROW('CASE MASTER'!#REF!)-1))),"")),"")</f>
        <v/>
      </c>
      <c r="C129" s="10" t="str">
        <f>IFERROR(IF(SUMPRODUCT((('CASE MASTER'!$T$2:$T$495=10)*('CASE MASTER'!$U$2:$U$495&lt;=1)*('CASE MASTER'!$W$2:$W$495&gt;=1)*('CASE MASTER'!$V$2:$V$495&lt;=2)*('CASE MASTER'!$X$2:$X$495&gt;=2))*ROW('CASE MASTER'!$T$2:$T$495))&gt;0,INDEX('CASE MASTER'!$Y$2:$Y$495,(SUMPRODUCT((('CASE MASTER'!$T$2:$T$495=10)*('CASE MASTER'!$U$2:$U$495&lt;=1)*('CASE MASTER'!$W$2:$W$495&gt;=1)*('CASE MASTER'!$V$2:$V$495&lt;=2)*('CASE MASTER'!$X$2:$X$495&gt;=2))*ROW('CASE MASTER'!$T$2:$T$495))-(ROW('CASE MASTER'!#REF!)-1)))&amp;TRIM(MID(SUBSTITUTE(SUBSTITUTE(INDEX('CASE MASTER'!$N$2:$N$495,(SUMPRODUCT((('CASE MASTER'!$T$2:$T$495=10)*('CASE MASTER'!$U$2:$U$495&lt;=1)*('CASE MASTER'!$W$2:$W$495&gt;=1)*('CASE MASTER'!$V$2:$V$495&lt;=2)*('CASE MASTER'!$X$2:$X$495&gt;=2))*ROW('CASE MASTER'!$T$2:$T$495))-(ROW('CASE MASTER'!#REF!)-1))),":",","),",",REPT(" ",50)),((((1-INDEX('CASE MASTER'!$U$2:$U$495,(SUMPRODUCT((('CASE MASTER'!$T$2:$T$495=10)*('CASE MASTER'!$U$2:$U$495&lt;=1)*('CASE MASTER'!$W$2:$W$495&gt;=1)*('CASE MASTER'!$V$2:$V$495&lt;=2)*('CASE MASTER'!$X$2:$X$495&gt;=2))*ROW('CASE MASTER'!$T$2:$T$495))-(ROW('CASE MASTER'!#REF!)-1))))*(INDEX('CASE MASTER'!$X$2:$X$495,(SUMPRODUCT((('CASE MASTER'!$T$2:$T$495=10)*('CASE MASTER'!$U$2:$U$495&lt;=1)*('CASE MASTER'!$W$2:$W$495&gt;=1)*('CASE MASTER'!$V$2:$V$495&lt;=2)*('CASE MASTER'!$X$2:$X$495&gt;=2))*ROW('CASE MASTER'!$T$2:$T$495))-(ROW('CASE MASTER'!#REF!)-1)))-INDEX('CASE MASTER'!$V$2:$V$495,(SUMPRODUCT((('CASE MASTER'!$T$2:$T$495=10)*('CASE MASTER'!$U$2:$U$495&lt;=1)*('CASE MASTER'!$W$2:$W$495&gt;=1)*('CASE MASTER'!$V$2:$V$495&lt;=2)*('CASE MASTER'!$X$2:$X$495&gt;=2))*ROW('CASE MASTER'!$T$2:$T$495))-(ROW('CASE MASTER'!#REF!)-1)))+1)+(2-INDEX('CASE MASTER'!$V$2:$V$495,(SUMPRODUCT((('CASE MASTER'!$T$2:$T$495=10)*('CASE MASTER'!$U$2:$U$495&lt;=1)*('CASE MASTER'!$W$2:$W$495&gt;=1)*('CASE MASTER'!$V$2:$V$495&lt;=2)*('CASE MASTER'!$X$2:$X$495&gt;=2))*ROW('CASE MASTER'!$T$2:$T$495))-(ROW('CASE MASTER'!#REF!)-1))))+1))-1)*50+1,50))&amp;"_"&amp;INDEX('CASE MASTER'!$Q$2:$Q$495,(SUMPRODUCT((('CASE MASTER'!$T$2:$T$495=10)*('CASE MASTER'!$U$2:$U$495&lt;=1)*('CASE MASTER'!$W$2:$W$495&gt;=1)*('CASE MASTER'!$V$2:$V$495&lt;=2)*('CASE MASTER'!$X$2:$X$495&gt;=2))*ROW('CASE MASTER'!$T$2:$T$495))-(ROW('CASE MASTER'!#REF!)-1))),IF(SUMPRODUCT((('CASE MASTER'!$T$2:$T$495=10)*('CASE MASTER'!$AA$2:$AA$495&lt;=1)*('CASE MASTER'!$AC$2:$AC$495&gt;=1)*('CASE MASTER'!$AB$2:$AB$495&lt;=2)*('CASE MASTER'!$AD$2:$AD$495&gt;=2))*ROW('CASE MASTER'!$T$2:$T$495))&gt;0,INDEX('CASE MASTER'!$Y$2:$Y$495,(SUMPRODUCT((('CASE MASTER'!$T$2:$T$495=10)*('CASE MASTER'!$AA$2:$AA$495&lt;=1)*('CASE MASTER'!$AC$2:$AC$495&gt;=1)*('CASE MASTER'!$AB$2:$AB$495&lt;=2)*('CASE MASTER'!$AD$2:$AD$495&gt;=2))*ROW('CASE MASTER'!$T$2:$T$495))-(ROW('CASE MASTER'!#REF!)-1)))&amp;TRIM(MID(SUBSTITUTE(SUBSTITUTE(INDEX('CASE MASTER'!$N$2:$N$495,(SUMPRODUCT((('CASE MASTER'!$T$2:$T$495=10)*('CASE MASTER'!$AA$2:$AA$495&lt;=1)*('CASE MASTER'!$AC$2:$AC$495&gt;=1)*('CASE MASTER'!$AB$2:$AB$495&lt;=2)*('CASE MASTER'!$AD$2:$AD$495&gt;=2))*ROW('CASE MASTER'!$T$2:$T$495))-(ROW('CASE MASTER'!#REF!)-1))),":",","),",",REPT(" ",50)),(((INDEX('CASE MASTER'!$Z$2:$Z$495,(SUMPRODUCT((('CASE MASTER'!$T$2:$T$495=10)*('CASE MASTER'!$AA$2:$AA$495&lt;=1)*('CASE MASTER'!$AC$2:$AC$495&gt;=1)*('CASE MASTER'!$AB$2:$AB$495&lt;=2)*('CASE MASTER'!$AD$2:$AD$495&gt;=2))*ROW('CASE MASTER'!$T$2:$T$495))-(ROW('CASE MASTER'!#REF!)-1)))+((1-INDEX('CASE MASTER'!$AA$2:$AA$495,(SUMPRODUCT((('CASE MASTER'!$T$2:$T$495=10)*('CASE MASTER'!$AA$2:$AA$495&lt;=1)*('CASE MASTER'!$AC$2:$AC$495&gt;=1)*('CASE MASTER'!$AB$2:$AB$495&lt;=2)*('CASE MASTER'!$AD$2:$AD$495&gt;=2))*ROW('CASE MASTER'!$T$2:$T$495))-(ROW('CASE MASTER'!#REF!)-1))))*(INDEX('CASE MASTER'!$AD$2:$AD$495,(SUMPRODUCT((('CASE MASTER'!$T$2:$T$495=10)*('CASE MASTER'!$AA$2:$AA$495&lt;=1)*('CASE MASTER'!$AC$2:$AC$495&gt;=1)*('CASE MASTER'!$AB$2:$AB$495&lt;=2)*('CASE MASTER'!$AD$2:$AD$495&gt;=2))*ROW('CASE MASTER'!$T$2:$T$495))-(ROW('CASE MASTER'!#REF!)-1)))-INDEX('CASE MASTER'!$AB$2:$AB$495,(SUMPRODUCT((('CASE MASTER'!$T$2:$T$495=10)*('CASE MASTER'!$AA$2:$AA$495&lt;=1)*('CASE MASTER'!$AC$2:$AC$495&gt;=1)*('CASE MASTER'!$AB$2:$AB$495&lt;=2)*('CASE MASTER'!$AD$2:$AD$495&gt;=2))*ROW('CASE MASTER'!$T$2:$T$495))-(ROW('CASE MASTER'!#REF!)-1)))+1)+(2-INDEX('CASE MASTER'!$AB$2:$AB$495,(SUMPRODUCT((('CASE MASTER'!$T$2:$T$495=10)*('CASE MASTER'!$AA$2:$AA$495&lt;=1)*('CASE MASTER'!$AC$2:$AC$495&gt;=1)*('CASE MASTER'!$AB$2:$AB$495&lt;=2)*('CASE MASTER'!$AD$2:$AD$495&gt;=2))*ROW('CASE MASTER'!$T$2:$T$495))-(ROW('CASE MASTER'!#REF!)-1))))+1)))-1)*50+1,50))&amp;"_"&amp;INDEX('CASE MASTER'!$Q$2:$Q$495,(SUMPRODUCT((('CASE MASTER'!$T$2:$T$495=10)*('CASE MASTER'!$AA$2:$AA$495&lt;=1)*('CASE MASTER'!$AC$2:$AC$495&gt;=1)*('CASE MASTER'!$AB$2:$AB$495&lt;=2)*('CASE MASTER'!$AD$2:$AD$495&gt;=2))*ROW('CASE MASTER'!$T$2:$T$495))-(ROW('CASE MASTER'!#REF!)-1))),"")),"")</f>
        <v/>
      </c>
      <c r="D129" s="10" t="str">
        <f>IFERROR(IF(SUMPRODUCT((('CASE MASTER'!$T$2:$T$495=10)*('CASE MASTER'!$U$2:$U$495&lt;=1)*('CASE MASTER'!$W$2:$W$495&gt;=1)*('CASE MASTER'!$V$2:$V$495&lt;=3)*('CASE MASTER'!$X$2:$X$495&gt;=3))*ROW('CASE MASTER'!$T$2:$T$495))&gt;0,INDEX('CASE MASTER'!$Y$2:$Y$495,(SUMPRODUCT((('CASE MASTER'!$T$2:$T$495=10)*('CASE MASTER'!$U$2:$U$495&lt;=1)*('CASE MASTER'!$W$2:$W$495&gt;=1)*('CASE MASTER'!$V$2:$V$495&lt;=3)*('CASE MASTER'!$X$2:$X$495&gt;=3))*ROW('CASE MASTER'!$T$2:$T$495))-(ROW('CASE MASTER'!#REF!)-1)))&amp;TRIM(MID(SUBSTITUTE(SUBSTITUTE(INDEX('CASE MASTER'!$N$2:$N$495,(SUMPRODUCT((('CASE MASTER'!$T$2:$T$495=10)*('CASE MASTER'!$U$2:$U$495&lt;=1)*('CASE MASTER'!$W$2:$W$495&gt;=1)*('CASE MASTER'!$V$2:$V$495&lt;=3)*('CASE MASTER'!$X$2:$X$495&gt;=3))*ROW('CASE MASTER'!$T$2:$T$495))-(ROW('CASE MASTER'!#REF!)-1))),":",","),",",REPT(" ",50)),((((1-INDEX('CASE MASTER'!$U$2:$U$495,(SUMPRODUCT((('CASE MASTER'!$T$2:$T$495=10)*('CASE MASTER'!$U$2:$U$495&lt;=1)*('CASE MASTER'!$W$2:$W$495&gt;=1)*('CASE MASTER'!$V$2:$V$495&lt;=3)*('CASE MASTER'!$X$2:$X$495&gt;=3))*ROW('CASE MASTER'!$T$2:$T$495))-(ROW('CASE MASTER'!#REF!)-1))))*(INDEX('CASE MASTER'!$X$2:$X$495,(SUMPRODUCT((('CASE MASTER'!$T$2:$T$495=10)*('CASE MASTER'!$U$2:$U$495&lt;=1)*('CASE MASTER'!$W$2:$W$495&gt;=1)*('CASE MASTER'!$V$2:$V$495&lt;=3)*('CASE MASTER'!$X$2:$X$495&gt;=3))*ROW('CASE MASTER'!$T$2:$T$495))-(ROW('CASE MASTER'!#REF!)-1)))-INDEX('CASE MASTER'!$V$2:$V$495,(SUMPRODUCT((('CASE MASTER'!$T$2:$T$495=10)*('CASE MASTER'!$U$2:$U$495&lt;=1)*('CASE MASTER'!$W$2:$W$495&gt;=1)*('CASE MASTER'!$V$2:$V$495&lt;=3)*('CASE MASTER'!$X$2:$X$495&gt;=3))*ROW('CASE MASTER'!$T$2:$T$495))-(ROW('CASE MASTER'!#REF!)-1)))+1)+(3-INDEX('CASE MASTER'!$V$2:$V$495,(SUMPRODUCT((('CASE MASTER'!$T$2:$T$495=10)*('CASE MASTER'!$U$2:$U$495&lt;=1)*('CASE MASTER'!$W$2:$W$495&gt;=1)*('CASE MASTER'!$V$2:$V$495&lt;=3)*('CASE MASTER'!$X$2:$X$495&gt;=3))*ROW('CASE MASTER'!$T$2:$T$495))-(ROW('CASE MASTER'!#REF!)-1))))+1))-1)*50+1,50))&amp;"_"&amp;INDEX('CASE MASTER'!$Q$2:$Q$495,(SUMPRODUCT((('CASE MASTER'!$T$2:$T$495=10)*('CASE MASTER'!$U$2:$U$495&lt;=1)*('CASE MASTER'!$W$2:$W$495&gt;=1)*('CASE MASTER'!$V$2:$V$495&lt;=3)*('CASE MASTER'!$X$2:$X$495&gt;=3))*ROW('CASE MASTER'!$T$2:$T$495))-(ROW('CASE MASTER'!#REF!)-1))),IF(SUMPRODUCT((('CASE MASTER'!$T$2:$T$495=10)*('CASE MASTER'!$AA$2:$AA$495&lt;=1)*('CASE MASTER'!$AC$2:$AC$495&gt;=1)*('CASE MASTER'!$AB$2:$AB$495&lt;=3)*('CASE MASTER'!$AD$2:$AD$495&gt;=3))*ROW('CASE MASTER'!$T$2:$T$495))&gt;0,INDEX('CASE MASTER'!$Y$2:$Y$495,(SUMPRODUCT((('CASE MASTER'!$T$2:$T$495=10)*('CASE MASTER'!$AA$2:$AA$495&lt;=1)*('CASE MASTER'!$AC$2:$AC$495&gt;=1)*('CASE MASTER'!$AB$2:$AB$495&lt;=3)*('CASE MASTER'!$AD$2:$AD$495&gt;=3))*ROW('CASE MASTER'!$T$2:$T$495))-(ROW('CASE MASTER'!#REF!)-1)))&amp;TRIM(MID(SUBSTITUTE(SUBSTITUTE(INDEX('CASE MASTER'!$N$2:$N$495,(SUMPRODUCT((('CASE MASTER'!$T$2:$T$495=10)*('CASE MASTER'!$AA$2:$AA$495&lt;=1)*('CASE MASTER'!$AC$2:$AC$495&gt;=1)*('CASE MASTER'!$AB$2:$AB$495&lt;=3)*('CASE MASTER'!$AD$2:$AD$495&gt;=3))*ROW('CASE MASTER'!$T$2:$T$495))-(ROW('CASE MASTER'!#REF!)-1))),":",","),",",REPT(" ",50)),(((INDEX('CASE MASTER'!$Z$2:$Z$495,(SUMPRODUCT((('CASE MASTER'!$T$2:$T$495=10)*('CASE MASTER'!$AA$2:$AA$495&lt;=1)*('CASE MASTER'!$AC$2:$AC$495&gt;=1)*('CASE MASTER'!$AB$2:$AB$495&lt;=3)*('CASE MASTER'!$AD$2:$AD$495&gt;=3))*ROW('CASE MASTER'!$T$2:$T$495))-(ROW('CASE MASTER'!#REF!)-1)))+((1-INDEX('CASE MASTER'!$AA$2:$AA$495,(SUMPRODUCT((('CASE MASTER'!$T$2:$T$495=10)*('CASE MASTER'!$AA$2:$AA$495&lt;=1)*('CASE MASTER'!$AC$2:$AC$495&gt;=1)*('CASE MASTER'!$AB$2:$AB$495&lt;=3)*('CASE MASTER'!$AD$2:$AD$495&gt;=3))*ROW('CASE MASTER'!$T$2:$T$495))-(ROW('CASE MASTER'!#REF!)-1))))*(INDEX('CASE MASTER'!$AD$2:$AD$495,(SUMPRODUCT((('CASE MASTER'!$T$2:$T$495=10)*('CASE MASTER'!$AA$2:$AA$495&lt;=1)*('CASE MASTER'!$AC$2:$AC$495&gt;=1)*('CASE MASTER'!$AB$2:$AB$495&lt;=3)*('CASE MASTER'!$AD$2:$AD$495&gt;=3))*ROW('CASE MASTER'!$T$2:$T$495))-(ROW('CASE MASTER'!#REF!)-1)))-INDEX('CASE MASTER'!$AB$2:$AB$495,(SUMPRODUCT((('CASE MASTER'!$T$2:$T$495=10)*('CASE MASTER'!$AA$2:$AA$495&lt;=1)*('CASE MASTER'!$AC$2:$AC$495&gt;=1)*('CASE MASTER'!$AB$2:$AB$495&lt;=3)*('CASE MASTER'!$AD$2:$AD$495&gt;=3))*ROW('CASE MASTER'!$T$2:$T$495))-(ROW('CASE MASTER'!#REF!)-1)))+1)+(3-INDEX('CASE MASTER'!$AB$2:$AB$495,(SUMPRODUCT((('CASE MASTER'!$T$2:$T$495=10)*('CASE MASTER'!$AA$2:$AA$495&lt;=1)*('CASE MASTER'!$AC$2:$AC$495&gt;=1)*('CASE MASTER'!$AB$2:$AB$495&lt;=3)*('CASE MASTER'!$AD$2:$AD$495&gt;=3))*ROW('CASE MASTER'!$T$2:$T$495))-(ROW('CASE MASTER'!#REF!)-1))))+1)))-1)*50+1,50))&amp;"_"&amp;INDEX('CASE MASTER'!$Q$2:$Q$495,(SUMPRODUCT((('CASE MASTER'!$T$2:$T$495=10)*('CASE MASTER'!$AA$2:$AA$495&lt;=1)*('CASE MASTER'!$AC$2:$AC$495&gt;=1)*('CASE MASTER'!$AB$2:$AB$495&lt;=3)*('CASE MASTER'!$AD$2:$AD$495&gt;=3))*ROW('CASE MASTER'!$T$2:$T$495))-(ROW('CASE MASTER'!#REF!)-1))),"")),"")</f>
        <v/>
      </c>
      <c r="E129" s="10" t="str">
        <f>IFERROR(IF(SUMPRODUCT((('CASE MASTER'!$T$2:$T$495=10)*('CASE MASTER'!$U$2:$U$495&lt;=1)*('CASE MASTER'!$W$2:$W$495&gt;=1)*('CASE MASTER'!$V$2:$V$495&lt;=4)*('CASE MASTER'!$X$2:$X$495&gt;=4))*ROW('CASE MASTER'!$T$2:$T$495))&gt;0,INDEX('CASE MASTER'!$Y$2:$Y$495,(SUMPRODUCT((('CASE MASTER'!$T$2:$T$495=10)*('CASE MASTER'!$U$2:$U$495&lt;=1)*('CASE MASTER'!$W$2:$W$495&gt;=1)*('CASE MASTER'!$V$2:$V$495&lt;=4)*('CASE MASTER'!$X$2:$X$495&gt;=4))*ROW('CASE MASTER'!$T$2:$T$495))-(ROW('CASE MASTER'!#REF!)-1)))&amp;TRIM(MID(SUBSTITUTE(SUBSTITUTE(INDEX('CASE MASTER'!$N$2:$N$495,(SUMPRODUCT((('CASE MASTER'!$T$2:$T$495=10)*('CASE MASTER'!$U$2:$U$495&lt;=1)*('CASE MASTER'!$W$2:$W$495&gt;=1)*('CASE MASTER'!$V$2:$V$495&lt;=4)*('CASE MASTER'!$X$2:$X$495&gt;=4))*ROW('CASE MASTER'!$T$2:$T$495))-(ROW('CASE MASTER'!#REF!)-1))),":",","),",",REPT(" ",50)),((((1-INDEX('CASE MASTER'!$U$2:$U$495,(SUMPRODUCT((('CASE MASTER'!$T$2:$T$495=10)*('CASE MASTER'!$U$2:$U$495&lt;=1)*('CASE MASTER'!$W$2:$W$495&gt;=1)*('CASE MASTER'!$V$2:$V$495&lt;=4)*('CASE MASTER'!$X$2:$X$495&gt;=4))*ROW('CASE MASTER'!$T$2:$T$495))-(ROW('CASE MASTER'!#REF!)-1))))*(INDEX('CASE MASTER'!$X$2:$X$495,(SUMPRODUCT((('CASE MASTER'!$T$2:$T$495=10)*('CASE MASTER'!$U$2:$U$495&lt;=1)*('CASE MASTER'!$W$2:$W$495&gt;=1)*('CASE MASTER'!$V$2:$V$495&lt;=4)*('CASE MASTER'!$X$2:$X$495&gt;=4))*ROW('CASE MASTER'!$T$2:$T$495))-(ROW('CASE MASTER'!#REF!)-1)))-INDEX('CASE MASTER'!$V$2:$V$495,(SUMPRODUCT((('CASE MASTER'!$T$2:$T$495=10)*('CASE MASTER'!$U$2:$U$495&lt;=1)*('CASE MASTER'!$W$2:$W$495&gt;=1)*('CASE MASTER'!$V$2:$V$495&lt;=4)*('CASE MASTER'!$X$2:$X$495&gt;=4))*ROW('CASE MASTER'!$T$2:$T$495))-(ROW('CASE MASTER'!#REF!)-1)))+1)+(4-INDEX('CASE MASTER'!$V$2:$V$495,(SUMPRODUCT((('CASE MASTER'!$T$2:$T$495=10)*('CASE MASTER'!$U$2:$U$495&lt;=1)*('CASE MASTER'!$W$2:$W$495&gt;=1)*('CASE MASTER'!$V$2:$V$495&lt;=4)*('CASE MASTER'!$X$2:$X$495&gt;=4))*ROW('CASE MASTER'!$T$2:$T$495))-(ROW('CASE MASTER'!#REF!)-1))))+1))-1)*50+1,50))&amp;"_"&amp;INDEX('CASE MASTER'!$Q$2:$Q$495,(SUMPRODUCT((('CASE MASTER'!$T$2:$T$495=10)*('CASE MASTER'!$U$2:$U$495&lt;=1)*('CASE MASTER'!$W$2:$W$495&gt;=1)*('CASE MASTER'!$V$2:$V$495&lt;=4)*('CASE MASTER'!$X$2:$X$495&gt;=4))*ROW('CASE MASTER'!$T$2:$T$495))-(ROW('CASE MASTER'!#REF!)-1))),IF(SUMPRODUCT((('CASE MASTER'!$T$2:$T$495=10)*('CASE MASTER'!$AA$2:$AA$495&lt;=1)*('CASE MASTER'!$AC$2:$AC$495&gt;=1)*('CASE MASTER'!$AB$2:$AB$495&lt;=4)*('CASE MASTER'!$AD$2:$AD$495&gt;=4))*ROW('CASE MASTER'!$T$2:$T$495))&gt;0,INDEX('CASE MASTER'!$Y$2:$Y$495,(SUMPRODUCT((('CASE MASTER'!$T$2:$T$495=10)*('CASE MASTER'!$AA$2:$AA$495&lt;=1)*('CASE MASTER'!$AC$2:$AC$495&gt;=1)*('CASE MASTER'!$AB$2:$AB$495&lt;=4)*('CASE MASTER'!$AD$2:$AD$495&gt;=4))*ROW('CASE MASTER'!$T$2:$T$495))-(ROW('CASE MASTER'!#REF!)-1)))&amp;TRIM(MID(SUBSTITUTE(SUBSTITUTE(INDEX('CASE MASTER'!$N$2:$N$495,(SUMPRODUCT((('CASE MASTER'!$T$2:$T$495=10)*('CASE MASTER'!$AA$2:$AA$495&lt;=1)*('CASE MASTER'!$AC$2:$AC$495&gt;=1)*('CASE MASTER'!$AB$2:$AB$495&lt;=4)*('CASE MASTER'!$AD$2:$AD$495&gt;=4))*ROW('CASE MASTER'!$T$2:$T$495))-(ROW('CASE MASTER'!#REF!)-1))),":",","),",",REPT(" ",50)),(((INDEX('CASE MASTER'!$Z$2:$Z$495,(SUMPRODUCT((('CASE MASTER'!$T$2:$T$495=10)*('CASE MASTER'!$AA$2:$AA$495&lt;=1)*('CASE MASTER'!$AC$2:$AC$495&gt;=1)*('CASE MASTER'!$AB$2:$AB$495&lt;=4)*('CASE MASTER'!$AD$2:$AD$495&gt;=4))*ROW('CASE MASTER'!$T$2:$T$495))-(ROW('CASE MASTER'!#REF!)-1)))+((1-INDEX('CASE MASTER'!$AA$2:$AA$495,(SUMPRODUCT((('CASE MASTER'!$T$2:$T$495=10)*('CASE MASTER'!$AA$2:$AA$495&lt;=1)*('CASE MASTER'!$AC$2:$AC$495&gt;=1)*('CASE MASTER'!$AB$2:$AB$495&lt;=4)*('CASE MASTER'!$AD$2:$AD$495&gt;=4))*ROW('CASE MASTER'!$T$2:$T$495))-(ROW('CASE MASTER'!#REF!)-1))))*(INDEX('CASE MASTER'!$AD$2:$AD$495,(SUMPRODUCT((('CASE MASTER'!$T$2:$T$495=10)*('CASE MASTER'!$AA$2:$AA$495&lt;=1)*('CASE MASTER'!$AC$2:$AC$495&gt;=1)*('CASE MASTER'!$AB$2:$AB$495&lt;=4)*('CASE MASTER'!$AD$2:$AD$495&gt;=4))*ROW('CASE MASTER'!$T$2:$T$495))-(ROW('CASE MASTER'!#REF!)-1)))-INDEX('CASE MASTER'!$AB$2:$AB$495,(SUMPRODUCT((('CASE MASTER'!$T$2:$T$495=10)*('CASE MASTER'!$AA$2:$AA$495&lt;=1)*('CASE MASTER'!$AC$2:$AC$495&gt;=1)*('CASE MASTER'!$AB$2:$AB$495&lt;=4)*('CASE MASTER'!$AD$2:$AD$495&gt;=4))*ROW('CASE MASTER'!$T$2:$T$495))-(ROW('CASE MASTER'!#REF!)-1)))+1)+(4-INDEX('CASE MASTER'!$AB$2:$AB$495,(SUMPRODUCT((('CASE MASTER'!$T$2:$T$495=10)*('CASE MASTER'!$AA$2:$AA$495&lt;=1)*('CASE MASTER'!$AC$2:$AC$495&gt;=1)*('CASE MASTER'!$AB$2:$AB$495&lt;=4)*('CASE MASTER'!$AD$2:$AD$495&gt;=4))*ROW('CASE MASTER'!$T$2:$T$495))-(ROW('CASE MASTER'!#REF!)-1))))+1)))-1)*50+1,50))&amp;"_"&amp;INDEX('CASE MASTER'!$Q$2:$Q$495,(SUMPRODUCT((('CASE MASTER'!$T$2:$T$495=10)*('CASE MASTER'!$AA$2:$AA$495&lt;=1)*('CASE MASTER'!$AC$2:$AC$495&gt;=1)*('CASE MASTER'!$AB$2:$AB$495&lt;=4)*('CASE MASTER'!$AD$2:$AD$495&gt;=4))*ROW('CASE MASTER'!$T$2:$T$495))-(ROW('CASE MASTER'!#REF!)-1))),"")),"")</f>
        <v/>
      </c>
      <c r="F129" s="10" t="str">
        <f>IFERROR(IF(SUMPRODUCT((('CASE MASTER'!$T$2:$T$495=10)*('CASE MASTER'!$U$2:$U$495&lt;=1)*('CASE MASTER'!$W$2:$W$495&gt;=1)*('CASE MASTER'!$V$2:$V$495&lt;=5)*('CASE MASTER'!$X$2:$X$495&gt;=5))*ROW('CASE MASTER'!$T$2:$T$495))&gt;0,INDEX('CASE MASTER'!$Y$2:$Y$495,(SUMPRODUCT((('CASE MASTER'!$T$2:$T$495=10)*('CASE MASTER'!$U$2:$U$495&lt;=1)*('CASE MASTER'!$W$2:$W$495&gt;=1)*('CASE MASTER'!$V$2:$V$495&lt;=5)*('CASE MASTER'!$X$2:$X$495&gt;=5))*ROW('CASE MASTER'!$T$2:$T$495))-(ROW('CASE MASTER'!#REF!)-1)))&amp;TRIM(MID(SUBSTITUTE(SUBSTITUTE(INDEX('CASE MASTER'!$N$2:$N$495,(SUMPRODUCT((('CASE MASTER'!$T$2:$T$495=10)*('CASE MASTER'!$U$2:$U$495&lt;=1)*('CASE MASTER'!$W$2:$W$495&gt;=1)*('CASE MASTER'!$V$2:$V$495&lt;=5)*('CASE MASTER'!$X$2:$X$495&gt;=5))*ROW('CASE MASTER'!$T$2:$T$495))-(ROW('CASE MASTER'!#REF!)-1))),":",","),",",REPT(" ",50)),((((1-INDEX('CASE MASTER'!$U$2:$U$495,(SUMPRODUCT((('CASE MASTER'!$T$2:$T$495=10)*('CASE MASTER'!$U$2:$U$495&lt;=1)*('CASE MASTER'!$W$2:$W$495&gt;=1)*('CASE MASTER'!$V$2:$V$495&lt;=5)*('CASE MASTER'!$X$2:$X$495&gt;=5))*ROW('CASE MASTER'!$T$2:$T$495))-(ROW('CASE MASTER'!#REF!)-1))))*(INDEX('CASE MASTER'!$X$2:$X$495,(SUMPRODUCT((('CASE MASTER'!$T$2:$T$495=10)*('CASE MASTER'!$U$2:$U$495&lt;=1)*('CASE MASTER'!$W$2:$W$495&gt;=1)*('CASE MASTER'!$V$2:$V$495&lt;=5)*('CASE MASTER'!$X$2:$X$495&gt;=5))*ROW('CASE MASTER'!$T$2:$T$495))-(ROW('CASE MASTER'!#REF!)-1)))-INDEX('CASE MASTER'!$V$2:$V$495,(SUMPRODUCT((('CASE MASTER'!$T$2:$T$495=10)*('CASE MASTER'!$U$2:$U$495&lt;=1)*('CASE MASTER'!$W$2:$W$495&gt;=1)*('CASE MASTER'!$V$2:$V$495&lt;=5)*('CASE MASTER'!$X$2:$X$495&gt;=5))*ROW('CASE MASTER'!$T$2:$T$495))-(ROW('CASE MASTER'!#REF!)-1)))+1)+(5-INDEX('CASE MASTER'!$V$2:$V$495,(SUMPRODUCT((('CASE MASTER'!$T$2:$T$495=10)*('CASE MASTER'!$U$2:$U$495&lt;=1)*('CASE MASTER'!$W$2:$W$495&gt;=1)*('CASE MASTER'!$V$2:$V$495&lt;=5)*('CASE MASTER'!$X$2:$X$495&gt;=5))*ROW('CASE MASTER'!$T$2:$T$495))-(ROW('CASE MASTER'!#REF!)-1))))+1))-1)*50+1,50))&amp;"_"&amp;INDEX('CASE MASTER'!$Q$2:$Q$495,(SUMPRODUCT((('CASE MASTER'!$T$2:$T$495=10)*('CASE MASTER'!$U$2:$U$495&lt;=1)*('CASE MASTER'!$W$2:$W$495&gt;=1)*('CASE MASTER'!$V$2:$V$495&lt;=5)*('CASE MASTER'!$X$2:$X$495&gt;=5))*ROW('CASE MASTER'!$T$2:$T$495))-(ROW('CASE MASTER'!#REF!)-1))),IF(SUMPRODUCT((('CASE MASTER'!$T$2:$T$495=10)*('CASE MASTER'!$AA$2:$AA$495&lt;=1)*('CASE MASTER'!$AC$2:$AC$495&gt;=1)*('CASE MASTER'!$AB$2:$AB$495&lt;=5)*('CASE MASTER'!$AD$2:$AD$495&gt;=5))*ROW('CASE MASTER'!$T$2:$T$495))&gt;0,INDEX('CASE MASTER'!$Y$2:$Y$495,(SUMPRODUCT((('CASE MASTER'!$T$2:$T$495=10)*('CASE MASTER'!$AA$2:$AA$495&lt;=1)*('CASE MASTER'!$AC$2:$AC$495&gt;=1)*('CASE MASTER'!$AB$2:$AB$495&lt;=5)*('CASE MASTER'!$AD$2:$AD$495&gt;=5))*ROW('CASE MASTER'!$T$2:$T$495))-(ROW('CASE MASTER'!#REF!)-1)))&amp;TRIM(MID(SUBSTITUTE(SUBSTITUTE(INDEX('CASE MASTER'!$N$2:$N$495,(SUMPRODUCT((('CASE MASTER'!$T$2:$T$495=10)*('CASE MASTER'!$AA$2:$AA$495&lt;=1)*('CASE MASTER'!$AC$2:$AC$495&gt;=1)*('CASE MASTER'!$AB$2:$AB$495&lt;=5)*('CASE MASTER'!$AD$2:$AD$495&gt;=5))*ROW('CASE MASTER'!$T$2:$T$495))-(ROW('CASE MASTER'!#REF!)-1))),":",","),",",REPT(" ",50)),(((INDEX('CASE MASTER'!$Z$2:$Z$495,(SUMPRODUCT((('CASE MASTER'!$T$2:$T$495=10)*('CASE MASTER'!$AA$2:$AA$495&lt;=1)*('CASE MASTER'!$AC$2:$AC$495&gt;=1)*('CASE MASTER'!$AB$2:$AB$495&lt;=5)*('CASE MASTER'!$AD$2:$AD$495&gt;=5))*ROW('CASE MASTER'!$T$2:$T$495))-(ROW('CASE MASTER'!#REF!)-1)))+((1-INDEX('CASE MASTER'!$AA$2:$AA$495,(SUMPRODUCT((('CASE MASTER'!$T$2:$T$495=10)*('CASE MASTER'!$AA$2:$AA$495&lt;=1)*('CASE MASTER'!$AC$2:$AC$495&gt;=1)*('CASE MASTER'!$AB$2:$AB$495&lt;=5)*('CASE MASTER'!$AD$2:$AD$495&gt;=5))*ROW('CASE MASTER'!$T$2:$T$495))-(ROW('CASE MASTER'!#REF!)-1))))*(INDEX('CASE MASTER'!$AD$2:$AD$495,(SUMPRODUCT((('CASE MASTER'!$T$2:$T$495=10)*('CASE MASTER'!$AA$2:$AA$495&lt;=1)*('CASE MASTER'!$AC$2:$AC$495&gt;=1)*('CASE MASTER'!$AB$2:$AB$495&lt;=5)*('CASE MASTER'!$AD$2:$AD$495&gt;=5))*ROW('CASE MASTER'!$T$2:$T$495))-(ROW('CASE MASTER'!#REF!)-1)))-INDEX('CASE MASTER'!$AB$2:$AB$495,(SUMPRODUCT((('CASE MASTER'!$T$2:$T$495=10)*('CASE MASTER'!$AA$2:$AA$495&lt;=1)*('CASE MASTER'!$AC$2:$AC$495&gt;=1)*('CASE MASTER'!$AB$2:$AB$495&lt;=5)*('CASE MASTER'!$AD$2:$AD$495&gt;=5))*ROW('CASE MASTER'!$T$2:$T$495))-(ROW('CASE MASTER'!#REF!)-1)))+1)+(5-INDEX('CASE MASTER'!$AB$2:$AB$495,(SUMPRODUCT((('CASE MASTER'!$T$2:$T$495=10)*('CASE MASTER'!$AA$2:$AA$495&lt;=1)*('CASE MASTER'!$AC$2:$AC$495&gt;=1)*('CASE MASTER'!$AB$2:$AB$495&lt;=5)*('CASE MASTER'!$AD$2:$AD$495&gt;=5))*ROW('CASE MASTER'!$T$2:$T$495))-(ROW('CASE MASTER'!#REF!)-1))))+1)))-1)*50+1,50))&amp;"_"&amp;INDEX('CASE MASTER'!$Q$2:$Q$495,(SUMPRODUCT((('CASE MASTER'!$T$2:$T$495=10)*('CASE MASTER'!$AA$2:$AA$495&lt;=1)*('CASE MASTER'!$AC$2:$AC$495&gt;=1)*('CASE MASTER'!$AB$2:$AB$495&lt;=5)*('CASE MASTER'!$AD$2:$AD$495&gt;=5))*ROW('CASE MASTER'!$T$2:$T$495))-(ROW('CASE MASTER'!#REF!)-1))),"")),"")</f>
        <v/>
      </c>
      <c r="G129" s="10" t="str">
        <f>IFERROR(IF(SUMPRODUCT((('CASE MASTER'!$T$2:$T$495=10)*('CASE MASTER'!$U$2:$U$495&lt;=1)*('CASE MASTER'!$W$2:$W$495&gt;=1)*('CASE MASTER'!$V$2:$V$495&lt;=6)*('CASE MASTER'!$X$2:$X$495&gt;=6))*ROW('CASE MASTER'!$T$2:$T$495))&gt;0,INDEX('CASE MASTER'!$Y$2:$Y$495,(SUMPRODUCT((('CASE MASTER'!$T$2:$T$495=10)*('CASE MASTER'!$U$2:$U$495&lt;=1)*('CASE MASTER'!$W$2:$W$495&gt;=1)*('CASE MASTER'!$V$2:$V$495&lt;=6)*('CASE MASTER'!$X$2:$X$495&gt;=6))*ROW('CASE MASTER'!$T$2:$T$495))-(ROW('CASE MASTER'!#REF!)-1)))&amp;TRIM(MID(SUBSTITUTE(SUBSTITUTE(INDEX('CASE MASTER'!$N$2:$N$495,(SUMPRODUCT((('CASE MASTER'!$T$2:$T$495=10)*('CASE MASTER'!$U$2:$U$495&lt;=1)*('CASE MASTER'!$W$2:$W$495&gt;=1)*('CASE MASTER'!$V$2:$V$495&lt;=6)*('CASE MASTER'!$X$2:$X$495&gt;=6))*ROW('CASE MASTER'!$T$2:$T$495))-(ROW('CASE MASTER'!#REF!)-1))),":",","),",",REPT(" ",50)),((((1-INDEX('CASE MASTER'!$U$2:$U$495,(SUMPRODUCT((('CASE MASTER'!$T$2:$T$495=10)*('CASE MASTER'!$U$2:$U$495&lt;=1)*('CASE MASTER'!$W$2:$W$495&gt;=1)*('CASE MASTER'!$V$2:$V$495&lt;=6)*('CASE MASTER'!$X$2:$X$495&gt;=6))*ROW('CASE MASTER'!$T$2:$T$495))-(ROW('CASE MASTER'!#REF!)-1))))*(INDEX('CASE MASTER'!$X$2:$X$495,(SUMPRODUCT((('CASE MASTER'!$T$2:$T$495=10)*('CASE MASTER'!$U$2:$U$495&lt;=1)*('CASE MASTER'!$W$2:$W$495&gt;=1)*('CASE MASTER'!$V$2:$V$495&lt;=6)*('CASE MASTER'!$X$2:$X$495&gt;=6))*ROW('CASE MASTER'!$T$2:$T$495))-(ROW('CASE MASTER'!#REF!)-1)))-INDEX('CASE MASTER'!$V$2:$V$495,(SUMPRODUCT((('CASE MASTER'!$T$2:$T$495=10)*('CASE MASTER'!$U$2:$U$495&lt;=1)*('CASE MASTER'!$W$2:$W$495&gt;=1)*('CASE MASTER'!$V$2:$V$495&lt;=6)*('CASE MASTER'!$X$2:$X$495&gt;=6))*ROW('CASE MASTER'!$T$2:$T$495))-(ROW('CASE MASTER'!#REF!)-1)))+1)+(6-INDEX('CASE MASTER'!$V$2:$V$495,(SUMPRODUCT((('CASE MASTER'!$T$2:$T$495=10)*('CASE MASTER'!$U$2:$U$495&lt;=1)*('CASE MASTER'!$W$2:$W$495&gt;=1)*('CASE MASTER'!$V$2:$V$495&lt;=6)*('CASE MASTER'!$X$2:$X$495&gt;=6))*ROW('CASE MASTER'!$T$2:$T$495))-(ROW('CASE MASTER'!#REF!)-1))))+1))-1)*50+1,50))&amp;"_"&amp;INDEX('CASE MASTER'!$Q$2:$Q$495,(SUMPRODUCT((('CASE MASTER'!$T$2:$T$495=10)*('CASE MASTER'!$U$2:$U$495&lt;=1)*('CASE MASTER'!$W$2:$W$495&gt;=1)*('CASE MASTER'!$V$2:$V$495&lt;=6)*('CASE MASTER'!$X$2:$X$495&gt;=6))*ROW('CASE MASTER'!$T$2:$T$495))-(ROW('CASE MASTER'!#REF!)-1))),IF(SUMPRODUCT((('CASE MASTER'!$T$2:$T$495=10)*('CASE MASTER'!$AA$2:$AA$495&lt;=1)*('CASE MASTER'!$AC$2:$AC$495&gt;=1)*('CASE MASTER'!$AB$2:$AB$495&lt;=6)*('CASE MASTER'!$AD$2:$AD$495&gt;=6))*ROW('CASE MASTER'!$T$2:$T$495))&gt;0,INDEX('CASE MASTER'!$Y$2:$Y$495,(SUMPRODUCT((('CASE MASTER'!$T$2:$T$495=10)*('CASE MASTER'!$AA$2:$AA$495&lt;=1)*('CASE MASTER'!$AC$2:$AC$495&gt;=1)*('CASE MASTER'!$AB$2:$AB$495&lt;=6)*('CASE MASTER'!$AD$2:$AD$495&gt;=6))*ROW('CASE MASTER'!$T$2:$T$495))-(ROW('CASE MASTER'!#REF!)-1)))&amp;TRIM(MID(SUBSTITUTE(SUBSTITUTE(INDEX('CASE MASTER'!$N$2:$N$495,(SUMPRODUCT((('CASE MASTER'!$T$2:$T$495=10)*('CASE MASTER'!$AA$2:$AA$495&lt;=1)*('CASE MASTER'!$AC$2:$AC$495&gt;=1)*('CASE MASTER'!$AB$2:$AB$495&lt;=6)*('CASE MASTER'!$AD$2:$AD$495&gt;=6))*ROW('CASE MASTER'!$T$2:$T$495))-(ROW('CASE MASTER'!#REF!)-1))),":",","),",",REPT(" ",50)),(((INDEX('CASE MASTER'!$Z$2:$Z$495,(SUMPRODUCT((('CASE MASTER'!$T$2:$T$495=10)*('CASE MASTER'!$AA$2:$AA$495&lt;=1)*('CASE MASTER'!$AC$2:$AC$495&gt;=1)*('CASE MASTER'!$AB$2:$AB$495&lt;=6)*('CASE MASTER'!$AD$2:$AD$495&gt;=6))*ROW('CASE MASTER'!$T$2:$T$495))-(ROW('CASE MASTER'!#REF!)-1)))+((1-INDEX('CASE MASTER'!$AA$2:$AA$495,(SUMPRODUCT((('CASE MASTER'!$T$2:$T$495=10)*('CASE MASTER'!$AA$2:$AA$495&lt;=1)*('CASE MASTER'!$AC$2:$AC$495&gt;=1)*('CASE MASTER'!$AB$2:$AB$495&lt;=6)*('CASE MASTER'!$AD$2:$AD$495&gt;=6))*ROW('CASE MASTER'!$T$2:$T$495))-(ROW('CASE MASTER'!#REF!)-1))))*(INDEX('CASE MASTER'!$AD$2:$AD$495,(SUMPRODUCT((('CASE MASTER'!$T$2:$T$495=10)*('CASE MASTER'!$AA$2:$AA$495&lt;=1)*('CASE MASTER'!$AC$2:$AC$495&gt;=1)*('CASE MASTER'!$AB$2:$AB$495&lt;=6)*('CASE MASTER'!$AD$2:$AD$495&gt;=6))*ROW('CASE MASTER'!$T$2:$T$495))-(ROW('CASE MASTER'!#REF!)-1)))-INDEX('CASE MASTER'!$AB$2:$AB$495,(SUMPRODUCT((('CASE MASTER'!$T$2:$T$495=10)*('CASE MASTER'!$AA$2:$AA$495&lt;=1)*('CASE MASTER'!$AC$2:$AC$495&gt;=1)*('CASE MASTER'!$AB$2:$AB$495&lt;=6)*('CASE MASTER'!$AD$2:$AD$495&gt;=6))*ROW('CASE MASTER'!$T$2:$T$495))-(ROW('CASE MASTER'!#REF!)-1)))+1)+(6-INDEX('CASE MASTER'!$AB$2:$AB$495,(SUMPRODUCT((('CASE MASTER'!$T$2:$T$495=10)*('CASE MASTER'!$AA$2:$AA$495&lt;=1)*('CASE MASTER'!$AC$2:$AC$495&gt;=1)*('CASE MASTER'!$AB$2:$AB$495&lt;=6)*('CASE MASTER'!$AD$2:$AD$495&gt;=6))*ROW('CASE MASTER'!$T$2:$T$495))-(ROW('CASE MASTER'!#REF!)-1))))+1)))-1)*50+1,50))&amp;"_"&amp;INDEX('CASE MASTER'!$Q$2:$Q$495,(SUMPRODUCT((('CASE MASTER'!$T$2:$T$495=10)*('CASE MASTER'!$AA$2:$AA$495&lt;=1)*('CASE MASTER'!$AC$2:$AC$495&gt;=1)*('CASE MASTER'!$AB$2:$AB$495&lt;=6)*('CASE MASTER'!$AD$2:$AD$495&gt;=6))*ROW('CASE MASTER'!$T$2:$T$495))-(ROW('CASE MASTER'!#REF!)-1))),"")),"")</f>
        <v/>
      </c>
      <c r="H129" s="10" t="str">
        <f>IFERROR(IF(SUMPRODUCT((('CASE MASTER'!$T$2:$T$495=10)*('CASE MASTER'!$U$2:$U$495&lt;=1)*('CASE MASTER'!$W$2:$W$495&gt;=1)*('CASE MASTER'!$V$2:$V$495&lt;=7)*('CASE MASTER'!$X$2:$X$495&gt;=7))*ROW('CASE MASTER'!$T$2:$T$495))&gt;0,INDEX('CASE MASTER'!$Y$2:$Y$495,(SUMPRODUCT((('CASE MASTER'!$T$2:$T$495=10)*('CASE MASTER'!$U$2:$U$495&lt;=1)*('CASE MASTER'!$W$2:$W$495&gt;=1)*('CASE MASTER'!$V$2:$V$495&lt;=7)*('CASE MASTER'!$X$2:$X$495&gt;=7))*ROW('CASE MASTER'!$T$2:$T$495))-(ROW('CASE MASTER'!#REF!)-1)))&amp;TRIM(MID(SUBSTITUTE(SUBSTITUTE(INDEX('CASE MASTER'!$N$2:$N$495,(SUMPRODUCT((('CASE MASTER'!$T$2:$T$495=10)*('CASE MASTER'!$U$2:$U$495&lt;=1)*('CASE MASTER'!$W$2:$W$495&gt;=1)*('CASE MASTER'!$V$2:$V$495&lt;=7)*('CASE MASTER'!$X$2:$X$495&gt;=7))*ROW('CASE MASTER'!$T$2:$T$495))-(ROW('CASE MASTER'!#REF!)-1))),":",","),",",REPT(" ",50)),((((1-INDEX('CASE MASTER'!$U$2:$U$495,(SUMPRODUCT((('CASE MASTER'!$T$2:$T$495=10)*('CASE MASTER'!$U$2:$U$495&lt;=1)*('CASE MASTER'!$W$2:$W$495&gt;=1)*('CASE MASTER'!$V$2:$V$495&lt;=7)*('CASE MASTER'!$X$2:$X$495&gt;=7))*ROW('CASE MASTER'!$T$2:$T$495))-(ROW('CASE MASTER'!#REF!)-1))))*(INDEX('CASE MASTER'!$X$2:$X$495,(SUMPRODUCT((('CASE MASTER'!$T$2:$T$495=10)*('CASE MASTER'!$U$2:$U$495&lt;=1)*('CASE MASTER'!$W$2:$W$495&gt;=1)*('CASE MASTER'!$V$2:$V$495&lt;=7)*('CASE MASTER'!$X$2:$X$495&gt;=7))*ROW('CASE MASTER'!$T$2:$T$495))-(ROW('CASE MASTER'!#REF!)-1)))-INDEX('CASE MASTER'!$V$2:$V$495,(SUMPRODUCT((('CASE MASTER'!$T$2:$T$495=10)*('CASE MASTER'!$U$2:$U$495&lt;=1)*('CASE MASTER'!$W$2:$W$495&gt;=1)*('CASE MASTER'!$V$2:$V$495&lt;=7)*('CASE MASTER'!$X$2:$X$495&gt;=7))*ROW('CASE MASTER'!$T$2:$T$495))-(ROW('CASE MASTER'!#REF!)-1)))+1)+(7-INDEX('CASE MASTER'!$V$2:$V$495,(SUMPRODUCT((('CASE MASTER'!$T$2:$T$495=10)*('CASE MASTER'!$U$2:$U$495&lt;=1)*('CASE MASTER'!$W$2:$W$495&gt;=1)*('CASE MASTER'!$V$2:$V$495&lt;=7)*('CASE MASTER'!$X$2:$X$495&gt;=7))*ROW('CASE MASTER'!$T$2:$T$495))-(ROW('CASE MASTER'!#REF!)-1))))+1))-1)*50+1,50))&amp;"_"&amp;INDEX('CASE MASTER'!$Q$2:$Q$495,(SUMPRODUCT((('CASE MASTER'!$T$2:$T$495=10)*('CASE MASTER'!$U$2:$U$495&lt;=1)*('CASE MASTER'!$W$2:$W$495&gt;=1)*('CASE MASTER'!$V$2:$V$495&lt;=7)*('CASE MASTER'!$X$2:$X$495&gt;=7))*ROW('CASE MASTER'!$T$2:$T$495))-(ROW('CASE MASTER'!#REF!)-1))),IF(SUMPRODUCT((('CASE MASTER'!$T$2:$T$495=10)*('CASE MASTER'!$AA$2:$AA$495&lt;=1)*('CASE MASTER'!$AC$2:$AC$495&gt;=1)*('CASE MASTER'!$AB$2:$AB$495&lt;=7)*('CASE MASTER'!$AD$2:$AD$495&gt;=7))*ROW('CASE MASTER'!$T$2:$T$495))&gt;0,INDEX('CASE MASTER'!$Y$2:$Y$495,(SUMPRODUCT((('CASE MASTER'!$T$2:$T$495=10)*('CASE MASTER'!$AA$2:$AA$495&lt;=1)*('CASE MASTER'!$AC$2:$AC$495&gt;=1)*('CASE MASTER'!$AB$2:$AB$495&lt;=7)*('CASE MASTER'!$AD$2:$AD$495&gt;=7))*ROW('CASE MASTER'!$T$2:$T$495))-(ROW('CASE MASTER'!#REF!)-1)))&amp;TRIM(MID(SUBSTITUTE(SUBSTITUTE(INDEX('CASE MASTER'!$N$2:$N$495,(SUMPRODUCT((('CASE MASTER'!$T$2:$T$495=10)*('CASE MASTER'!$AA$2:$AA$495&lt;=1)*('CASE MASTER'!$AC$2:$AC$495&gt;=1)*('CASE MASTER'!$AB$2:$AB$495&lt;=7)*('CASE MASTER'!$AD$2:$AD$495&gt;=7))*ROW('CASE MASTER'!$T$2:$T$495))-(ROW('CASE MASTER'!#REF!)-1))),":",","),",",REPT(" ",50)),(((INDEX('CASE MASTER'!$Z$2:$Z$495,(SUMPRODUCT((('CASE MASTER'!$T$2:$T$495=10)*('CASE MASTER'!$AA$2:$AA$495&lt;=1)*('CASE MASTER'!$AC$2:$AC$495&gt;=1)*('CASE MASTER'!$AB$2:$AB$495&lt;=7)*('CASE MASTER'!$AD$2:$AD$495&gt;=7))*ROW('CASE MASTER'!$T$2:$T$495))-(ROW('CASE MASTER'!#REF!)-1)))+((1-INDEX('CASE MASTER'!$AA$2:$AA$495,(SUMPRODUCT((('CASE MASTER'!$T$2:$T$495=10)*('CASE MASTER'!$AA$2:$AA$495&lt;=1)*('CASE MASTER'!$AC$2:$AC$495&gt;=1)*('CASE MASTER'!$AB$2:$AB$495&lt;=7)*('CASE MASTER'!$AD$2:$AD$495&gt;=7))*ROW('CASE MASTER'!$T$2:$T$495))-(ROW('CASE MASTER'!#REF!)-1))))*(INDEX('CASE MASTER'!$AD$2:$AD$495,(SUMPRODUCT((('CASE MASTER'!$T$2:$T$495=10)*('CASE MASTER'!$AA$2:$AA$495&lt;=1)*('CASE MASTER'!$AC$2:$AC$495&gt;=1)*('CASE MASTER'!$AB$2:$AB$495&lt;=7)*('CASE MASTER'!$AD$2:$AD$495&gt;=7))*ROW('CASE MASTER'!$T$2:$T$495))-(ROW('CASE MASTER'!#REF!)-1)))-INDEX('CASE MASTER'!$AB$2:$AB$495,(SUMPRODUCT((('CASE MASTER'!$T$2:$T$495=10)*('CASE MASTER'!$AA$2:$AA$495&lt;=1)*('CASE MASTER'!$AC$2:$AC$495&gt;=1)*('CASE MASTER'!$AB$2:$AB$495&lt;=7)*('CASE MASTER'!$AD$2:$AD$495&gt;=7))*ROW('CASE MASTER'!$T$2:$T$495))-(ROW('CASE MASTER'!#REF!)-1)))+1)+(7-INDEX('CASE MASTER'!$AB$2:$AB$495,(SUMPRODUCT((('CASE MASTER'!$T$2:$T$495=10)*('CASE MASTER'!$AA$2:$AA$495&lt;=1)*('CASE MASTER'!$AC$2:$AC$495&gt;=1)*('CASE MASTER'!$AB$2:$AB$495&lt;=7)*('CASE MASTER'!$AD$2:$AD$495&gt;=7))*ROW('CASE MASTER'!$T$2:$T$495))-(ROW('CASE MASTER'!#REF!)-1))))+1)))-1)*50+1,50))&amp;"_"&amp;INDEX('CASE MASTER'!$Q$2:$Q$495,(SUMPRODUCT((('CASE MASTER'!$T$2:$T$495=10)*('CASE MASTER'!$AA$2:$AA$495&lt;=1)*('CASE MASTER'!$AC$2:$AC$495&gt;=1)*('CASE MASTER'!$AB$2:$AB$495&lt;=7)*('CASE MASTER'!$AD$2:$AD$495&gt;=7))*ROW('CASE MASTER'!$T$2:$T$495))-(ROW('CASE MASTER'!#REF!)-1))),"")),"")</f>
        <v/>
      </c>
      <c r="I129" s="10" t="str">
        <f>IFERROR(IF(SUMPRODUCT((('CASE MASTER'!$T$2:$T$495=10)*('CASE MASTER'!$U$2:$U$495&lt;=1)*('CASE MASTER'!$W$2:$W$495&gt;=1)*('CASE MASTER'!$V$2:$V$495&lt;=8)*('CASE MASTER'!$X$2:$X$495&gt;=8))*ROW('CASE MASTER'!$T$2:$T$495))&gt;0,INDEX('CASE MASTER'!$Y$2:$Y$495,(SUMPRODUCT((('CASE MASTER'!$T$2:$T$495=10)*('CASE MASTER'!$U$2:$U$495&lt;=1)*('CASE MASTER'!$W$2:$W$495&gt;=1)*('CASE MASTER'!$V$2:$V$495&lt;=8)*('CASE MASTER'!$X$2:$X$495&gt;=8))*ROW('CASE MASTER'!$T$2:$T$495))-(ROW('CASE MASTER'!#REF!)-1)))&amp;TRIM(MID(SUBSTITUTE(SUBSTITUTE(INDEX('CASE MASTER'!$N$2:$N$495,(SUMPRODUCT((('CASE MASTER'!$T$2:$T$495=10)*('CASE MASTER'!$U$2:$U$495&lt;=1)*('CASE MASTER'!$W$2:$W$495&gt;=1)*('CASE MASTER'!$V$2:$V$495&lt;=8)*('CASE MASTER'!$X$2:$X$495&gt;=8))*ROW('CASE MASTER'!$T$2:$T$495))-(ROW('CASE MASTER'!#REF!)-1))),":",","),",",REPT(" ",50)),((((1-INDEX('CASE MASTER'!$U$2:$U$495,(SUMPRODUCT((('CASE MASTER'!$T$2:$T$495=10)*('CASE MASTER'!$U$2:$U$495&lt;=1)*('CASE MASTER'!$W$2:$W$495&gt;=1)*('CASE MASTER'!$V$2:$V$495&lt;=8)*('CASE MASTER'!$X$2:$X$495&gt;=8))*ROW('CASE MASTER'!$T$2:$T$495))-(ROW('CASE MASTER'!#REF!)-1))))*(INDEX('CASE MASTER'!$X$2:$X$495,(SUMPRODUCT((('CASE MASTER'!$T$2:$T$495=10)*('CASE MASTER'!$U$2:$U$495&lt;=1)*('CASE MASTER'!$W$2:$W$495&gt;=1)*('CASE MASTER'!$V$2:$V$495&lt;=8)*('CASE MASTER'!$X$2:$X$495&gt;=8))*ROW('CASE MASTER'!$T$2:$T$495))-(ROW('CASE MASTER'!#REF!)-1)))-INDEX('CASE MASTER'!$V$2:$V$495,(SUMPRODUCT((('CASE MASTER'!$T$2:$T$495=10)*('CASE MASTER'!$U$2:$U$495&lt;=1)*('CASE MASTER'!$W$2:$W$495&gt;=1)*('CASE MASTER'!$V$2:$V$495&lt;=8)*('CASE MASTER'!$X$2:$X$495&gt;=8))*ROW('CASE MASTER'!$T$2:$T$495))-(ROW('CASE MASTER'!#REF!)-1)))+1)+(8-INDEX('CASE MASTER'!$V$2:$V$495,(SUMPRODUCT((('CASE MASTER'!$T$2:$T$495=10)*('CASE MASTER'!$U$2:$U$495&lt;=1)*('CASE MASTER'!$W$2:$W$495&gt;=1)*('CASE MASTER'!$V$2:$V$495&lt;=8)*('CASE MASTER'!$X$2:$X$495&gt;=8))*ROW('CASE MASTER'!$T$2:$T$495))-(ROW('CASE MASTER'!#REF!)-1))))+1))-1)*50+1,50))&amp;"_"&amp;INDEX('CASE MASTER'!$Q$2:$Q$495,(SUMPRODUCT((('CASE MASTER'!$T$2:$T$495=10)*('CASE MASTER'!$U$2:$U$495&lt;=1)*('CASE MASTER'!$W$2:$W$495&gt;=1)*('CASE MASTER'!$V$2:$V$495&lt;=8)*('CASE MASTER'!$X$2:$X$495&gt;=8))*ROW('CASE MASTER'!$T$2:$T$495))-(ROW('CASE MASTER'!#REF!)-1))),IF(SUMPRODUCT((('CASE MASTER'!$T$2:$T$495=10)*('CASE MASTER'!$AA$2:$AA$495&lt;=1)*('CASE MASTER'!$AC$2:$AC$495&gt;=1)*('CASE MASTER'!$AB$2:$AB$495&lt;=8)*('CASE MASTER'!$AD$2:$AD$495&gt;=8))*ROW('CASE MASTER'!$T$2:$T$495))&gt;0,INDEX('CASE MASTER'!$Y$2:$Y$495,(SUMPRODUCT((('CASE MASTER'!$T$2:$T$495=10)*('CASE MASTER'!$AA$2:$AA$495&lt;=1)*('CASE MASTER'!$AC$2:$AC$495&gt;=1)*('CASE MASTER'!$AB$2:$AB$495&lt;=8)*('CASE MASTER'!$AD$2:$AD$495&gt;=8))*ROW('CASE MASTER'!$T$2:$T$495))-(ROW('CASE MASTER'!#REF!)-1)))&amp;TRIM(MID(SUBSTITUTE(SUBSTITUTE(INDEX('CASE MASTER'!$N$2:$N$495,(SUMPRODUCT((('CASE MASTER'!$T$2:$T$495=10)*('CASE MASTER'!$AA$2:$AA$495&lt;=1)*('CASE MASTER'!$AC$2:$AC$495&gt;=1)*('CASE MASTER'!$AB$2:$AB$495&lt;=8)*('CASE MASTER'!$AD$2:$AD$495&gt;=8))*ROW('CASE MASTER'!$T$2:$T$495))-(ROW('CASE MASTER'!#REF!)-1))),":",","),",",REPT(" ",50)),(((INDEX('CASE MASTER'!$Z$2:$Z$495,(SUMPRODUCT((('CASE MASTER'!$T$2:$T$495=10)*('CASE MASTER'!$AA$2:$AA$495&lt;=1)*('CASE MASTER'!$AC$2:$AC$495&gt;=1)*('CASE MASTER'!$AB$2:$AB$495&lt;=8)*('CASE MASTER'!$AD$2:$AD$495&gt;=8))*ROW('CASE MASTER'!$T$2:$T$495))-(ROW('CASE MASTER'!#REF!)-1)))+((1-INDEX('CASE MASTER'!$AA$2:$AA$495,(SUMPRODUCT((('CASE MASTER'!$T$2:$T$495=10)*('CASE MASTER'!$AA$2:$AA$495&lt;=1)*('CASE MASTER'!$AC$2:$AC$495&gt;=1)*('CASE MASTER'!$AB$2:$AB$495&lt;=8)*('CASE MASTER'!$AD$2:$AD$495&gt;=8))*ROW('CASE MASTER'!$T$2:$T$495))-(ROW('CASE MASTER'!#REF!)-1))))*(INDEX('CASE MASTER'!$AD$2:$AD$495,(SUMPRODUCT((('CASE MASTER'!$T$2:$T$495=10)*('CASE MASTER'!$AA$2:$AA$495&lt;=1)*('CASE MASTER'!$AC$2:$AC$495&gt;=1)*('CASE MASTER'!$AB$2:$AB$495&lt;=8)*('CASE MASTER'!$AD$2:$AD$495&gt;=8))*ROW('CASE MASTER'!$T$2:$T$495))-(ROW('CASE MASTER'!#REF!)-1)))-INDEX('CASE MASTER'!$AB$2:$AB$495,(SUMPRODUCT((('CASE MASTER'!$T$2:$T$495=10)*('CASE MASTER'!$AA$2:$AA$495&lt;=1)*('CASE MASTER'!$AC$2:$AC$495&gt;=1)*('CASE MASTER'!$AB$2:$AB$495&lt;=8)*('CASE MASTER'!$AD$2:$AD$495&gt;=8))*ROW('CASE MASTER'!$T$2:$T$495))-(ROW('CASE MASTER'!#REF!)-1)))+1)+(8-INDEX('CASE MASTER'!$AB$2:$AB$495,(SUMPRODUCT((('CASE MASTER'!$T$2:$T$495=10)*('CASE MASTER'!$AA$2:$AA$495&lt;=1)*('CASE MASTER'!$AC$2:$AC$495&gt;=1)*('CASE MASTER'!$AB$2:$AB$495&lt;=8)*('CASE MASTER'!$AD$2:$AD$495&gt;=8))*ROW('CASE MASTER'!$T$2:$T$495))-(ROW('CASE MASTER'!#REF!)-1))))+1)))-1)*50+1,50))&amp;"_"&amp;INDEX('CASE MASTER'!$Q$2:$Q$495,(SUMPRODUCT((('CASE MASTER'!$T$2:$T$495=10)*('CASE MASTER'!$AA$2:$AA$495&lt;=1)*('CASE MASTER'!$AC$2:$AC$495&gt;=1)*('CASE MASTER'!$AB$2:$AB$495&lt;=8)*('CASE MASTER'!$AD$2:$AD$495&gt;=8))*ROW('CASE MASTER'!$T$2:$T$495))-(ROW('CASE MASTER'!#REF!)-1))),"")),"")</f>
        <v/>
      </c>
      <c r="J129" s="10" t="str">
        <f>IFERROR(IF(SUMPRODUCT((('CASE MASTER'!$T$2:$T$495=10)*('CASE MASTER'!$U$2:$U$495&lt;=1)*('CASE MASTER'!$W$2:$W$495&gt;=1)*('CASE MASTER'!$V$2:$V$495&lt;=9)*('CASE MASTER'!$X$2:$X$495&gt;=9))*ROW('CASE MASTER'!$T$2:$T$495))&gt;0,INDEX('CASE MASTER'!$Y$2:$Y$495,(SUMPRODUCT((('CASE MASTER'!$T$2:$T$495=10)*('CASE MASTER'!$U$2:$U$495&lt;=1)*('CASE MASTER'!$W$2:$W$495&gt;=1)*('CASE MASTER'!$V$2:$V$495&lt;=9)*('CASE MASTER'!$X$2:$X$495&gt;=9))*ROW('CASE MASTER'!$T$2:$T$495))-(ROW('CASE MASTER'!#REF!)-1)))&amp;TRIM(MID(SUBSTITUTE(SUBSTITUTE(INDEX('CASE MASTER'!$N$2:$N$495,(SUMPRODUCT((('CASE MASTER'!$T$2:$T$495=10)*('CASE MASTER'!$U$2:$U$495&lt;=1)*('CASE MASTER'!$W$2:$W$495&gt;=1)*('CASE MASTER'!$V$2:$V$495&lt;=9)*('CASE MASTER'!$X$2:$X$495&gt;=9))*ROW('CASE MASTER'!$T$2:$T$495))-(ROW('CASE MASTER'!#REF!)-1))),":",","),",",REPT(" ",50)),((((1-INDEX('CASE MASTER'!$U$2:$U$495,(SUMPRODUCT((('CASE MASTER'!$T$2:$T$495=10)*('CASE MASTER'!$U$2:$U$495&lt;=1)*('CASE MASTER'!$W$2:$W$495&gt;=1)*('CASE MASTER'!$V$2:$V$495&lt;=9)*('CASE MASTER'!$X$2:$X$495&gt;=9))*ROW('CASE MASTER'!$T$2:$T$495))-(ROW('CASE MASTER'!#REF!)-1))))*(INDEX('CASE MASTER'!$X$2:$X$495,(SUMPRODUCT((('CASE MASTER'!$T$2:$T$495=10)*('CASE MASTER'!$U$2:$U$495&lt;=1)*('CASE MASTER'!$W$2:$W$495&gt;=1)*('CASE MASTER'!$V$2:$V$495&lt;=9)*('CASE MASTER'!$X$2:$X$495&gt;=9))*ROW('CASE MASTER'!$T$2:$T$495))-(ROW('CASE MASTER'!#REF!)-1)))-INDEX('CASE MASTER'!$V$2:$V$495,(SUMPRODUCT((('CASE MASTER'!$T$2:$T$495=10)*('CASE MASTER'!$U$2:$U$495&lt;=1)*('CASE MASTER'!$W$2:$W$495&gt;=1)*('CASE MASTER'!$V$2:$V$495&lt;=9)*('CASE MASTER'!$X$2:$X$495&gt;=9))*ROW('CASE MASTER'!$T$2:$T$495))-(ROW('CASE MASTER'!#REF!)-1)))+1)+(9-INDEX('CASE MASTER'!$V$2:$V$495,(SUMPRODUCT((('CASE MASTER'!$T$2:$T$495=10)*('CASE MASTER'!$U$2:$U$495&lt;=1)*('CASE MASTER'!$W$2:$W$495&gt;=1)*('CASE MASTER'!$V$2:$V$495&lt;=9)*('CASE MASTER'!$X$2:$X$495&gt;=9))*ROW('CASE MASTER'!$T$2:$T$495))-(ROW('CASE MASTER'!#REF!)-1))))+1))-1)*50+1,50))&amp;"_"&amp;INDEX('CASE MASTER'!$Q$2:$Q$495,(SUMPRODUCT((('CASE MASTER'!$T$2:$T$495=10)*('CASE MASTER'!$U$2:$U$495&lt;=1)*('CASE MASTER'!$W$2:$W$495&gt;=1)*('CASE MASTER'!$V$2:$V$495&lt;=9)*('CASE MASTER'!$X$2:$X$495&gt;=9))*ROW('CASE MASTER'!$T$2:$T$495))-(ROW('CASE MASTER'!#REF!)-1))),IF(SUMPRODUCT((('CASE MASTER'!$T$2:$T$495=10)*('CASE MASTER'!$AA$2:$AA$495&lt;=1)*('CASE MASTER'!$AC$2:$AC$495&gt;=1)*('CASE MASTER'!$AB$2:$AB$495&lt;=9)*('CASE MASTER'!$AD$2:$AD$495&gt;=9))*ROW('CASE MASTER'!$T$2:$T$495))&gt;0,INDEX('CASE MASTER'!$Y$2:$Y$495,(SUMPRODUCT((('CASE MASTER'!$T$2:$T$495=10)*('CASE MASTER'!$AA$2:$AA$495&lt;=1)*('CASE MASTER'!$AC$2:$AC$495&gt;=1)*('CASE MASTER'!$AB$2:$AB$495&lt;=9)*('CASE MASTER'!$AD$2:$AD$495&gt;=9))*ROW('CASE MASTER'!$T$2:$T$495))-(ROW('CASE MASTER'!#REF!)-1)))&amp;TRIM(MID(SUBSTITUTE(SUBSTITUTE(INDEX('CASE MASTER'!$N$2:$N$495,(SUMPRODUCT((('CASE MASTER'!$T$2:$T$495=10)*('CASE MASTER'!$AA$2:$AA$495&lt;=1)*('CASE MASTER'!$AC$2:$AC$495&gt;=1)*('CASE MASTER'!$AB$2:$AB$495&lt;=9)*('CASE MASTER'!$AD$2:$AD$495&gt;=9))*ROW('CASE MASTER'!$T$2:$T$495))-(ROW('CASE MASTER'!#REF!)-1))),":",","),",",REPT(" ",50)),(((INDEX('CASE MASTER'!$Z$2:$Z$495,(SUMPRODUCT((('CASE MASTER'!$T$2:$T$495=10)*('CASE MASTER'!$AA$2:$AA$495&lt;=1)*('CASE MASTER'!$AC$2:$AC$495&gt;=1)*('CASE MASTER'!$AB$2:$AB$495&lt;=9)*('CASE MASTER'!$AD$2:$AD$495&gt;=9))*ROW('CASE MASTER'!$T$2:$T$495))-(ROW('CASE MASTER'!#REF!)-1)))+((1-INDEX('CASE MASTER'!$AA$2:$AA$495,(SUMPRODUCT((('CASE MASTER'!$T$2:$T$495=10)*('CASE MASTER'!$AA$2:$AA$495&lt;=1)*('CASE MASTER'!$AC$2:$AC$495&gt;=1)*('CASE MASTER'!$AB$2:$AB$495&lt;=9)*('CASE MASTER'!$AD$2:$AD$495&gt;=9))*ROW('CASE MASTER'!$T$2:$T$495))-(ROW('CASE MASTER'!#REF!)-1))))*(INDEX('CASE MASTER'!$AD$2:$AD$495,(SUMPRODUCT((('CASE MASTER'!$T$2:$T$495=10)*('CASE MASTER'!$AA$2:$AA$495&lt;=1)*('CASE MASTER'!$AC$2:$AC$495&gt;=1)*('CASE MASTER'!$AB$2:$AB$495&lt;=9)*('CASE MASTER'!$AD$2:$AD$495&gt;=9))*ROW('CASE MASTER'!$T$2:$T$495))-(ROW('CASE MASTER'!#REF!)-1)))-INDEX('CASE MASTER'!$AB$2:$AB$495,(SUMPRODUCT((('CASE MASTER'!$T$2:$T$495=10)*('CASE MASTER'!$AA$2:$AA$495&lt;=1)*('CASE MASTER'!$AC$2:$AC$495&gt;=1)*('CASE MASTER'!$AB$2:$AB$495&lt;=9)*('CASE MASTER'!$AD$2:$AD$495&gt;=9))*ROW('CASE MASTER'!$T$2:$T$495))-(ROW('CASE MASTER'!#REF!)-1)))+1)+(9-INDEX('CASE MASTER'!$AB$2:$AB$495,(SUMPRODUCT((('CASE MASTER'!$T$2:$T$495=10)*('CASE MASTER'!$AA$2:$AA$495&lt;=1)*('CASE MASTER'!$AC$2:$AC$495&gt;=1)*('CASE MASTER'!$AB$2:$AB$495&lt;=9)*('CASE MASTER'!$AD$2:$AD$495&gt;=9))*ROW('CASE MASTER'!$T$2:$T$495))-(ROW('CASE MASTER'!#REF!)-1))))+1)))-1)*50+1,50))&amp;"_"&amp;INDEX('CASE MASTER'!$Q$2:$Q$495,(SUMPRODUCT((('CASE MASTER'!$T$2:$T$495=10)*('CASE MASTER'!$AA$2:$AA$495&lt;=1)*('CASE MASTER'!$AC$2:$AC$495&gt;=1)*('CASE MASTER'!$AB$2:$AB$495&lt;=9)*('CASE MASTER'!$AD$2:$AD$495&gt;=9))*ROW('CASE MASTER'!$T$2:$T$495))-(ROW('CASE MASTER'!#REF!)-1))),"")),"")</f>
        <v/>
      </c>
      <c r="K129" s="10" t="str">
        <f>IFERROR(IF(SUMPRODUCT((('CASE MASTER'!$T$2:$T$495=10)*('CASE MASTER'!$U$2:$U$495&lt;=1)*('CASE MASTER'!$W$2:$W$495&gt;=1)*('CASE MASTER'!$V$2:$V$495&lt;=10)*('CASE MASTER'!$X$2:$X$495&gt;=10))*ROW('CASE MASTER'!$T$2:$T$495))&gt;0,INDEX('CASE MASTER'!$Y$2:$Y$495,(SUMPRODUCT((('CASE MASTER'!$T$2:$T$495=10)*('CASE MASTER'!$U$2:$U$495&lt;=1)*('CASE MASTER'!$W$2:$W$495&gt;=1)*('CASE MASTER'!$V$2:$V$495&lt;=10)*('CASE MASTER'!$X$2:$X$495&gt;=10))*ROW('CASE MASTER'!$T$2:$T$495))-(ROW('CASE MASTER'!#REF!)-1)))&amp;TRIM(MID(SUBSTITUTE(SUBSTITUTE(INDEX('CASE MASTER'!$N$2:$N$495,(SUMPRODUCT((('CASE MASTER'!$T$2:$T$495=10)*('CASE MASTER'!$U$2:$U$495&lt;=1)*('CASE MASTER'!$W$2:$W$495&gt;=1)*('CASE MASTER'!$V$2:$V$495&lt;=10)*('CASE MASTER'!$X$2:$X$495&gt;=10))*ROW('CASE MASTER'!$T$2:$T$495))-(ROW('CASE MASTER'!#REF!)-1))),":",","),",",REPT(" ",50)),((((1-INDEX('CASE MASTER'!$U$2:$U$495,(SUMPRODUCT((('CASE MASTER'!$T$2:$T$495=10)*('CASE MASTER'!$U$2:$U$495&lt;=1)*('CASE MASTER'!$W$2:$W$495&gt;=1)*('CASE MASTER'!$V$2:$V$495&lt;=10)*('CASE MASTER'!$X$2:$X$495&gt;=10))*ROW('CASE MASTER'!$T$2:$T$495))-(ROW('CASE MASTER'!#REF!)-1))))*(INDEX('CASE MASTER'!$X$2:$X$495,(SUMPRODUCT((('CASE MASTER'!$T$2:$T$495=10)*('CASE MASTER'!$U$2:$U$495&lt;=1)*('CASE MASTER'!$W$2:$W$495&gt;=1)*('CASE MASTER'!$V$2:$V$495&lt;=10)*('CASE MASTER'!$X$2:$X$495&gt;=10))*ROW('CASE MASTER'!$T$2:$T$495))-(ROW('CASE MASTER'!#REF!)-1)))-INDEX('CASE MASTER'!$V$2:$V$495,(SUMPRODUCT((('CASE MASTER'!$T$2:$T$495=10)*('CASE MASTER'!$U$2:$U$495&lt;=1)*('CASE MASTER'!$W$2:$W$495&gt;=1)*('CASE MASTER'!$V$2:$V$495&lt;=10)*('CASE MASTER'!$X$2:$X$495&gt;=10))*ROW('CASE MASTER'!$T$2:$T$495))-(ROW('CASE MASTER'!#REF!)-1)))+1)+(10-INDEX('CASE MASTER'!$V$2:$V$495,(SUMPRODUCT((('CASE MASTER'!$T$2:$T$495=10)*('CASE MASTER'!$U$2:$U$495&lt;=1)*('CASE MASTER'!$W$2:$W$495&gt;=1)*('CASE MASTER'!$V$2:$V$495&lt;=10)*('CASE MASTER'!$X$2:$X$495&gt;=10))*ROW('CASE MASTER'!$T$2:$T$495))-(ROW('CASE MASTER'!#REF!)-1))))+1))-1)*50+1,50))&amp;"_"&amp;INDEX('CASE MASTER'!$Q$2:$Q$495,(SUMPRODUCT((('CASE MASTER'!$T$2:$T$495=10)*('CASE MASTER'!$U$2:$U$495&lt;=1)*('CASE MASTER'!$W$2:$W$495&gt;=1)*('CASE MASTER'!$V$2:$V$495&lt;=10)*('CASE MASTER'!$X$2:$X$495&gt;=10))*ROW('CASE MASTER'!$T$2:$T$495))-(ROW('CASE MASTER'!#REF!)-1))),IF(SUMPRODUCT((('CASE MASTER'!$T$2:$T$495=10)*('CASE MASTER'!$AA$2:$AA$495&lt;=1)*('CASE MASTER'!$AC$2:$AC$495&gt;=1)*('CASE MASTER'!$AB$2:$AB$495&lt;=10)*('CASE MASTER'!$AD$2:$AD$495&gt;=10))*ROW('CASE MASTER'!$T$2:$T$495))&gt;0,INDEX('CASE MASTER'!$Y$2:$Y$495,(SUMPRODUCT((('CASE MASTER'!$T$2:$T$495=10)*('CASE MASTER'!$AA$2:$AA$495&lt;=1)*('CASE MASTER'!$AC$2:$AC$495&gt;=1)*('CASE MASTER'!$AB$2:$AB$495&lt;=10)*('CASE MASTER'!$AD$2:$AD$495&gt;=10))*ROW('CASE MASTER'!$T$2:$T$495))-(ROW('CASE MASTER'!#REF!)-1)))&amp;TRIM(MID(SUBSTITUTE(SUBSTITUTE(INDEX('CASE MASTER'!$N$2:$N$495,(SUMPRODUCT((('CASE MASTER'!$T$2:$T$495=10)*('CASE MASTER'!$AA$2:$AA$495&lt;=1)*('CASE MASTER'!$AC$2:$AC$495&gt;=1)*('CASE MASTER'!$AB$2:$AB$495&lt;=10)*('CASE MASTER'!$AD$2:$AD$495&gt;=10))*ROW('CASE MASTER'!$T$2:$T$495))-(ROW('CASE MASTER'!#REF!)-1))),":",","),",",REPT(" ",50)),(((INDEX('CASE MASTER'!$Z$2:$Z$495,(SUMPRODUCT((('CASE MASTER'!$T$2:$T$495=10)*('CASE MASTER'!$AA$2:$AA$495&lt;=1)*('CASE MASTER'!$AC$2:$AC$495&gt;=1)*('CASE MASTER'!$AB$2:$AB$495&lt;=10)*('CASE MASTER'!$AD$2:$AD$495&gt;=10))*ROW('CASE MASTER'!$T$2:$T$495))-(ROW('CASE MASTER'!#REF!)-1)))+((1-INDEX('CASE MASTER'!$AA$2:$AA$495,(SUMPRODUCT((('CASE MASTER'!$T$2:$T$495=10)*('CASE MASTER'!$AA$2:$AA$495&lt;=1)*('CASE MASTER'!$AC$2:$AC$495&gt;=1)*('CASE MASTER'!$AB$2:$AB$495&lt;=10)*('CASE MASTER'!$AD$2:$AD$495&gt;=10))*ROW('CASE MASTER'!$T$2:$T$495))-(ROW('CASE MASTER'!#REF!)-1))))*(INDEX('CASE MASTER'!$AD$2:$AD$495,(SUMPRODUCT((('CASE MASTER'!$T$2:$T$495=10)*('CASE MASTER'!$AA$2:$AA$495&lt;=1)*('CASE MASTER'!$AC$2:$AC$495&gt;=1)*('CASE MASTER'!$AB$2:$AB$495&lt;=10)*('CASE MASTER'!$AD$2:$AD$495&gt;=10))*ROW('CASE MASTER'!$T$2:$T$495))-(ROW('CASE MASTER'!#REF!)-1)))-INDEX('CASE MASTER'!$AB$2:$AB$495,(SUMPRODUCT((('CASE MASTER'!$T$2:$T$495=10)*('CASE MASTER'!$AA$2:$AA$495&lt;=1)*('CASE MASTER'!$AC$2:$AC$495&gt;=1)*('CASE MASTER'!$AB$2:$AB$495&lt;=10)*('CASE MASTER'!$AD$2:$AD$495&gt;=10))*ROW('CASE MASTER'!$T$2:$T$495))-(ROW('CASE MASTER'!#REF!)-1)))+1)+(10-INDEX('CASE MASTER'!$AB$2:$AB$495,(SUMPRODUCT((('CASE MASTER'!$T$2:$T$495=10)*('CASE MASTER'!$AA$2:$AA$495&lt;=1)*('CASE MASTER'!$AC$2:$AC$495&gt;=1)*('CASE MASTER'!$AB$2:$AB$495&lt;=10)*('CASE MASTER'!$AD$2:$AD$495&gt;=10))*ROW('CASE MASTER'!$T$2:$T$495))-(ROW('CASE MASTER'!#REF!)-1))))+1)))-1)*50+1,50))&amp;"_"&amp;INDEX('CASE MASTER'!$Q$2:$Q$495,(SUMPRODUCT((('CASE MASTER'!$T$2:$T$495=10)*('CASE MASTER'!$AA$2:$AA$495&lt;=1)*('CASE MASTER'!$AC$2:$AC$495&gt;=1)*('CASE MASTER'!$AB$2:$AB$495&lt;=10)*('CASE MASTER'!$AD$2:$AD$495&gt;=10))*ROW('CASE MASTER'!$T$2:$T$495))-(ROW('CASE MASTER'!#REF!)-1))),"")),"")</f>
        <v/>
      </c>
    </row>
    <row r="130" spans="1:11" ht="15" customHeight="1" x14ac:dyDescent="0.35">
      <c r="A130" s="8" t="s">
        <v>29</v>
      </c>
      <c r="B130" s="10" t="str">
        <f>IFERROR(IF(SUMPRODUCT((('CASE MASTER'!$T$2:$T$495=10)*('CASE MASTER'!$U$2:$U$495&lt;=2)*('CASE MASTER'!$W$2:$W$495&gt;=2)*('CASE MASTER'!$V$2:$V$495&lt;=1)*('CASE MASTER'!$X$2:$X$495&gt;=1))*ROW('CASE MASTER'!$T$2:$T$495))&gt;0,INDEX('CASE MASTER'!$Y$2:$Y$495,(SUMPRODUCT((('CASE MASTER'!$T$2:$T$495=10)*('CASE MASTER'!$U$2:$U$495&lt;=2)*('CASE MASTER'!$W$2:$W$495&gt;=2)*('CASE MASTER'!$V$2:$V$495&lt;=1)*('CASE MASTER'!$X$2:$X$495&gt;=1))*ROW('CASE MASTER'!$T$2:$T$495))-(ROW('CASE MASTER'!#REF!)-1)))&amp;TRIM(MID(SUBSTITUTE(SUBSTITUTE(INDEX('CASE MASTER'!$N$2:$N$495,(SUMPRODUCT((('CASE MASTER'!$T$2:$T$495=10)*('CASE MASTER'!$U$2:$U$495&lt;=2)*('CASE MASTER'!$W$2:$W$495&gt;=2)*('CASE MASTER'!$V$2:$V$495&lt;=1)*('CASE MASTER'!$X$2:$X$495&gt;=1))*ROW('CASE MASTER'!$T$2:$T$495))-(ROW('CASE MASTER'!#REF!)-1))),":",","),",",REPT(" ",50)),((((2-INDEX('CASE MASTER'!$U$2:$U$495,(SUMPRODUCT((('CASE MASTER'!$T$2:$T$495=10)*('CASE MASTER'!$U$2:$U$495&lt;=2)*('CASE MASTER'!$W$2:$W$495&gt;=2)*('CASE MASTER'!$V$2:$V$495&lt;=1)*('CASE MASTER'!$X$2:$X$495&gt;=1))*ROW('CASE MASTER'!$T$2:$T$495))-(ROW('CASE MASTER'!#REF!)-1))))*(INDEX('CASE MASTER'!$X$2:$X$495,(SUMPRODUCT((('CASE MASTER'!$T$2:$T$495=10)*('CASE MASTER'!$U$2:$U$495&lt;=2)*('CASE MASTER'!$W$2:$W$495&gt;=2)*('CASE MASTER'!$V$2:$V$495&lt;=1)*('CASE MASTER'!$X$2:$X$495&gt;=1))*ROW('CASE MASTER'!$T$2:$T$495))-(ROW('CASE MASTER'!#REF!)-1)))-INDEX('CASE MASTER'!$V$2:$V$495,(SUMPRODUCT((('CASE MASTER'!$T$2:$T$495=10)*('CASE MASTER'!$U$2:$U$495&lt;=2)*('CASE MASTER'!$W$2:$W$495&gt;=2)*('CASE MASTER'!$V$2:$V$495&lt;=1)*('CASE MASTER'!$X$2:$X$495&gt;=1))*ROW('CASE MASTER'!$T$2:$T$495))-(ROW('CASE MASTER'!#REF!)-1)))+1)+(1-INDEX('CASE MASTER'!$V$2:$V$495,(SUMPRODUCT((('CASE MASTER'!$T$2:$T$495=10)*('CASE MASTER'!$U$2:$U$495&lt;=2)*('CASE MASTER'!$W$2:$W$495&gt;=2)*('CASE MASTER'!$V$2:$V$495&lt;=1)*('CASE MASTER'!$X$2:$X$495&gt;=1))*ROW('CASE MASTER'!$T$2:$T$495))-(ROW('CASE MASTER'!#REF!)-1))))+1))-1)*50+1,50))&amp;"_"&amp;INDEX('CASE MASTER'!$Q$2:$Q$495,(SUMPRODUCT((('CASE MASTER'!$T$2:$T$495=10)*('CASE MASTER'!$U$2:$U$495&lt;=2)*('CASE MASTER'!$W$2:$W$495&gt;=2)*('CASE MASTER'!$V$2:$V$495&lt;=1)*('CASE MASTER'!$X$2:$X$495&gt;=1))*ROW('CASE MASTER'!$T$2:$T$495))-(ROW('CASE MASTER'!#REF!)-1))),IF(SUMPRODUCT((('CASE MASTER'!$T$2:$T$495=10)*('CASE MASTER'!$AA$2:$AA$495&lt;=2)*('CASE MASTER'!$AC$2:$AC$495&gt;=2)*('CASE MASTER'!$AB$2:$AB$495&lt;=1)*('CASE MASTER'!$AD$2:$AD$495&gt;=1))*ROW('CASE MASTER'!$T$2:$T$495))&gt;0,INDEX('CASE MASTER'!$Y$2:$Y$495,(SUMPRODUCT((('CASE MASTER'!$T$2:$T$495=10)*('CASE MASTER'!$AA$2:$AA$495&lt;=2)*('CASE MASTER'!$AC$2:$AC$495&gt;=2)*('CASE MASTER'!$AB$2:$AB$495&lt;=1)*('CASE MASTER'!$AD$2:$AD$495&gt;=1))*ROW('CASE MASTER'!$T$2:$T$495))-(ROW('CASE MASTER'!#REF!)-1)))&amp;TRIM(MID(SUBSTITUTE(SUBSTITUTE(INDEX('CASE MASTER'!$N$2:$N$495,(SUMPRODUCT((('CASE MASTER'!$T$2:$T$495=10)*('CASE MASTER'!$AA$2:$AA$495&lt;=2)*('CASE MASTER'!$AC$2:$AC$495&gt;=2)*('CASE MASTER'!$AB$2:$AB$495&lt;=1)*('CASE MASTER'!$AD$2:$AD$495&gt;=1))*ROW('CASE MASTER'!$T$2:$T$495))-(ROW('CASE MASTER'!#REF!)-1))),":",","),",",REPT(" ",50)),(((INDEX('CASE MASTER'!$Z$2:$Z$495,(SUMPRODUCT((('CASE MASTER'!$T$2:$T$495=10)*('CASE MASTER'!$AA$2:$AA$495&lt;=2)*('CASE MASTER'!$AC$2:$AC$495&gt;=2)*('CASE MASTER'!$AB$2:$AB$495&lt;=1)*('CASE MASTER'!$AD$2:$AD$495&gt;=1))*ROW('CASE MASTER'!$T$2:$T$495))-(ROW('CASE MASTER'!#REF!)-1)))+((2-INDEX('CASE MASTER'!$AA$2:$AA$495,(SUMPRODUCT((('CASE MASTER'!$T$2:$T$495=10)*('CASE MASTER'!$AA$2:$AA$495&lt;=2)*('CASE MASTER'!$AC$2:$AC$495&gt;=2)*('CASE MASTER'!$AB$2:$AB$495&lt;=1)*('CASE MASTER'!$AD$2:$AD$495&gt;=1))*ROW('CASE MASTER'!$T$2:$T$495))-(ROW('CASE MASTER'!#REF!)-1))))*(INDEX('CASE MASTER'!$AD$2:$AD$495,(SUMPRODUCT((('CASE MASTER'!$T$2:$T$495=10)*('CASE MASTER'!$AA$2:$AA$495&lt;=2)*('CASE MASTER'!$AC$2:$AC$495&gt;=2)*('CASE MASTER'!$AB$2:$AB$495&lt;=1)*('CASE MASTER'!$AD$2:$AD$495&gt;=1))*ROW('CASE MASTER'!$T$2:$T$495))-(ROW('CASE MASTER'!#REF!)-1)))-INDEX('CASE MASTER'!$AB$2:$AB$495,(SUMPRODUCT((('CASE MASTER'!$T$2:$T$495=10)*('CASE MASTER'!$AA$2:$AA$495&lt;=2)*('CASE MASTER'!$AC$2:$AC$495&gt;=2)*('CASE MASTER'!$AB$2:$AB$495&lt;=1)*('CASE MASTER'!$AD$2:$AD$495&gt;=1))*ROW('CASE MASTER'!$T$2:$T$495))-(ROW('CASE MASTER'!#REF!)-1)))+1)+(1-INDEX('CASE MASTER'!$AB$2:$AB$495,(SUMPRODUCT((('CASE MASTER'!$T$2:$T$495=10)*('CASE MASTER'!$AA$2:$AA$495&lt;=2)*('CASE MASTER'!$AC$2:$AC$495&gt;=2)*('CASE MASTER'!$AB$2:$AB$495&lt;=1)*('CASE MASTER'!$AD$2:$AD$495&gt;=1))*ROW('CASE MASTER'!$T$2:$T$495))-(ROW('CASE MASTER'!#REF!)-1))))+1)))-1)*50+1,50))&amp;"_"&amp;INDEX('CASE MASTER'!$Q$2:$Q$495,(SUMPRODUCT((('CASE MASTER'!$T$2:$T$495=10)*('CASE MASTER'!$AA$2:$AA$495&lt;=2)*('CASE MASTER'!$AC$2:$AC$495&gt;=2)*('CASE MASTER'!$AB$2:$AB$495&lt;=1)*('CASE MASTER'!$AD$2:$AD$495&gt;=1))*ROW('CASE MASTER'!$T$2:$T$495))-(ROW('CASE MASTER'!#REF!)-1))),"")),"")</f>
        <v/>
      </c>
      <c r="C130" s="10" t="str">
        <f>IFERROR(IF(SUMPRODUCT((('CASE MASTER'!$T$2:$T$495=10)*('CASE MASTER'!$U$2:$U$495&lt;=2)*('CASE MASTER'!$W$2:$W$495&gt;=2)*('CASE MASTER'!$V$2:$V$495&lt;=2)*('CASE MASTER'!$X$2:$X$495&gt;=2))*ROW('CASE MASTER'!$T$2:$T$495))&gt;0,INDEX('CASE MASTER'!$Y$2:$Y$495,(SUMPRODUCT((('CASE MASTER'!$T$2:$T$495=10)*('CASE MASTER'!$U$2:$U$495&lt;=2)*('CASE MASTER'!$W$2:$W$495&gt;=2)*('CASE MASTER'!$V$2:$V$495&lt;=2)*('CASE MASTER'!$X$2:$X$495&gt;=2))*ROW('CASE MASTER'!$T$2:$T$495))-(ROW('CASE MASTER'!#REF!)-1)))&amp;TRIM(MID(SUBSTITUTE(SUBSTITUTE(INDEX('CASE MASTER'!$N$2:$N$495,(SUMPRODUCT((('CASE MASTER'!$T$2:$T$495=10)*('CASE MASTER'!$U$2:$U$495&lt;=2)*('CASE MASTER'!$W$2:$W$495&gt;=2)*('CASE MASTER'!$V$2:$V$495&lt;=2)*('CASE MASTER'!$X$2:$X$495&gt;=2))*ROW('CASE MASTER'!$T$2:$T$495))-(ROW('CASE MASTER'!#REF!)-1))),":",","),",",REPT(" ",50)),((((2-INDEX('CASE MASTER'!$U$2:$U$495,(SUMPRODUCT((('CASE MASTER'!$T$2:$T$495=10)*('CASE MASTER'!$U$2:$U$495&lt;=2)*('CASE MASTER'!$W$2:$W$495&gt;=2)*('CASE MASTER'!$V$2:$V$495&lt;=2)*('CASE MASTER'!$X$2:$X$495&gt;=2))*ROW('CASE MASTER'!$T$2:$T$495))-(ROW('CASE MASTER'!#REF!)-1))))*(INDEX('CASE MASTER'!$X$2:$X$495,(SUMPRODUCT((('CASE MASTER'!$T$2:$T$495=10)*('CASE MASTER'!$U$2:$U$495&lt;=2)*('CASE MASTER'!$W$2:$W$495&gt;=2)*('CASE MASTER'!$V$2:$V$495&lt;=2)*('CASE MASTER'!$X$2:$X$495&gt;=2))*ROW('CASE MASTER'!$T$2:$T$495))-(ROW('CASE MASTER'!#REF!)-1)))-INDEX('CASE MASTER'!$V$2:$V$495,(SUMPRODUCT((('CASE MASTER'!$T$2:$T$495=10)*('CASE MASTER'!$U$2:$U$495&lt;=2)*('CASE MASTER'!$W$2:$W$495&gt;=2)*('CASE MASTER'!$V$2:$V$495&lt;=2)*('CASE MASTER'!$X$2:$X$495&gt;=2))*ROW('CASE MASTER'!$T$2:$T$495))-(ROW('CASE MASTER'!#REF!)-1)))+1)+(2-INDEX('CASE MASTER'!$V$2:$V$495,(SUMPRODUCT((('CASE MASTER'!$T$2:$T$495=10)*('CASE MASTER'!$U$2:$U$495&lt;=2)*('CASE MASTER'!$W$2:$W$495&gt;=2)*('CASE MASTER'!$V$2:$V$495&lt;=2)*('CASE MASTER'!$X$2:$X$495&gt;=2))*ROW('CASE MASTER'!$T$2:$T$495))-(ROW('CASE MASTER'!#REF!)-1))))+1))-1)*50+1,50))&amp;"_"&amp;INDEX('CASE MASTER'!$Q$2:$Q$495,(SUMPRODUCT((('CASE MASTER'!$T$2:$T$495=10)*('CASE MASTER'!$U$2:$U$495&lt;=2)*('CASE MASTER'!$W$2:$W$495&gt;=2)*('CASE MASTER'!$V$2:$V$495&lt;=2)*('CASE MASTER'!$X$2:$X$495&gt;=2))*ROW('CASE MASTER'!$T$2:$T$495))-(ROW('CASE MASTER'!#REF!)-1))),IF(SUMPRODUCT((('CASE MASTER'!$T$2:$T$495=10)*('CASE MASTER'!$AA$2:$AA$495&lt;=2)*('CASE MASTER'!$AC$2:$AC$495&gt;=2)*('CASE MASTER'!$AB$2:$AB$495&lt;=2)*('CASE MASTER'!$AD$2:$AD$495&gt;=2))*ROW('CASE MASTER'!$T$2:$T$495))&gt;0,INDEX('CASE MASTER'!$Y$2:$Y$495,(SUMPRODUCT((('CASE MASTER'!$T$2:$T$495=10)*('CASE MASTER'!$AA$2:$AA$495&lt;=2)*('CASE MASTER'!$AC$2:$AC$495&gt;=2)*('CASE MASTER'!$AB$2:$AB$495&lt;=2)*('CASE MASTER'!$AD$2:$AD$495&gt;=2))*ROW('CASE MASTER'!$T$2:$T$495))-(ROW('CASE MASTER'!#REF!)-1)))&amp;TRIM(MID(SUBSTITUTE(SUBSTITUTE(INDEX('CASE MASTER'!$N$2:$N$495,(SUMPRODUCT((('CASE MASTER'!$T$2:$T$495=10)*('CASE MASTER'!$AA$2:$AA$495&lt;=2)*('CASE MASTER'!$AC$2:$AC$495&gt;=2)*('CASE MASTER'!$AB$2:$AB$495&lt;=2)*('CASE MASTER'!$AD$2:$AD$495&gt;=2))*ROW('CASE MASTER'!$T$2:$T$495))-(ROW('CASE MASTER'!#REF!)-1))),":",","),",",REPT(" ",50)),(((INDEX('CASE MASTER'!$Z$2:$Z$495,(SUMPRODUCT((('CASE MASTER'!$T$2:$T$495=10)*('CASE MASTER'!$AA$2:$AA$495&lt;=2)*('CASE MASTER'!$AC$2:$AC$495&gt;=2)*('CASE MASTER'!$AB$2:$AB$495&lt;=2)*('CASE MASTER'!$AD$2:$AD$495&gt;=2))*ROW('CASE MASTER'!$T$2:$T$495))-(ROW('CASE MASTER'!#REF!)-1)))+((2-INDEX('CASE MASTER'!$AA$2:$AA$495,(SUMPRODUCT((('CASE MASTER'!$T$2:$T$495=10)*('CASE MASTER'!$AA$2:$AA$495&lt;=2)*('CASE MASTER'!$AC$2:$AC$495&gt;=2)*('CASE MASTER'!$AB$2:$AB$495&lt;=2)*('CASE MASTER'!$AD$2:$AD$495&gt;=2))*ROW('CASE MASTER'!$T$2:$T$495))-(ROW('CASE MASTER'!#REF!)-1))))*(INDEX('CASE MASTER'!$AD$2:$AD$495,(SUMPRODUCT((('CASE MASTER'!$T$2:$T$495=10)*('CASE MASTER'!$AA$2:$AA$495&lt;=2)*('CASE MASTER'!$AC$2:$AC$495&gt;=2)*('CASE MASTER'!$AB$2:$AB$495&lt;=2)*('CASE MASTER'!$AD$2:$AD$495&gt;=2))*ROW('CASE MASTER'!$T$2:$T$495))-(ROW('CASE MASTER'!#REF!)-1)))-INDEX('CASE MASTER'!$AB$2:$AB$495,(SUMPRODUCT((('CASE MASTER'!$T$2:$T$495=10)*('CASE MASTER'!$AA$2:$AA$495&lt;=2)*('CASE MASTER'!$AC$2:$AC$495&gt;=2)*('CASE MASTER'!$AB$2:$AB$495&lt;=2)*('CASE MASTER'!$AD$2:$AD$495&gt;=2))*ROW('CASE MASTER'!$T$2:$T$495))-(ROW('CASE MASTER'!#REF!)-1)))+1)+(2-INDEX('CASE MASTER'!$AB$2:$AB$495,(SUMPRODUCT((('CASE MASTER'!$T$2:$T$495=10)*('CASE MASTER'!$AA$2:$AA$495&lt;=2)*('CASE MASTER'!$AC$2:$AC$495&gt;=2)*('CASE MASTER'!$AB$2:$AB$495&lt;=2)*('CASE MASTER'!$AD$2:$AD$495&gt;=2))*ROW('CASE MASTER'!$T$2:$T$495))-(ROW('CASE MASTER'!#REF!)-1))))+1)))-1)*50+1,50))&amp;"_"&amp;INDEX('CASE MASTER'!$Q$2:$Q$495,(SUMPRODUCT((('CASE MASTER'!$T$2:$T$495=10)*('CASE MASTER'!$AA$2:$AA$495&lt;=2)*('CASE MASTER'!$AC$2:$AC$495&gt;=2)*('CASE MASTER'!$AB$2:$AB$495&lt;=2)*('CASE MASTER'!$AD$2:$AD$495&gt;=2))*ROW('CASE MASTER'!$T$2:$T$495))-(ROW('CASE MASTER'!#REF!)-1))),"")),"")</f>
        <v/>
      </c>
      <c r="D130" s="10" t="str">
        <f>IFERROR(IF(SUMPRODUCT((('CASE MASTER'!$T$2:$T$495=10)*('CASE MASTER'!$U$2:$U$495&lt;=2)*('CASE MASTER'!$W$2:$W$495&gt;=2)*('CASE MASTER'!$V$2:$V$495&lt;=3)*('CASE MASTER'!$X$2:$X$495&gt;=3))*ROW('CASE MASTER'!$T$2:$T$495))&gt;0,INDEX('CASE MASTER'!$Y$2:$Y$495,(SUMPRODUCT((('CASE MASTER'!$T$2:$T$495=10)*('CASE MASTER'!$U$2:$U$495&lt;=2)*('CASE MASTER'!$W$2:$W$495&gt;=2)*('CASE MASTER'!$V$2:$V$495&lt;=3)*('CASE MASTER'!$X$2:$X$495&gt;=3))*ROW('CASE MASTER'!$T$2:$T$495))-(ROW('CASE MASTER'!#REF!)-1)))&amp;TRIM(MID(SUBSTITUTE(SUBSTITUTE(INDEX('CASE MASTER'!$N$2:$N$495,(SUMPRODUCT((('CASE MASTER'!$T$2:$T$495=10)*('CASE MASTER'!$U$2:$U$495&lt;=2)*('CASE MASTER'!$W$2:$W$495&gt;=2)*('CASE MASTER'!$V$2:$V$495&lt;=3)*('CASE MASTER'!$X$2:$X$495&gt;=3))*ROW('CASE MASTER'!$T$2:$T$495))-(ROW('CASE MASTER'!#REF!)-1))),":",","),",",REPT(" ",50)),((((2-INDEX('CASE MASTER'!$U$2:$U$495,(SUMPRODUCT((('CASE MASTER'!$T$2:$T$495=10)*('CASE MASTER'!$U$2:$U$495&lt;=2)*('CASE MASTER'!$W$2:$W$495&gt;=2)*('CASE MASTER'!$V$2:$V$495&lt;=3)*('CASE MASTER'!$X$2:$X$495&gt;=3))*ROW('CASE MASTER'!$T$2:$T$495))-(ROW('CASE MASTER'!#REF!)-1))))*(INDEX('CASE MASTER'!$X$2:$X$495,(SUMPRODUCT((('CASE MASTER'!$T$2:$T$495=10)*('CASE MASTER'!$U$2:$U$495&lt;=2)*('CASE MASTER'!$W$2:$W$495&gt;=2)*('CASE MASTER'!$V$2:$V$495&lt;=3)*('CASE MASTER'!$X$2:$X$495&gt;=3))*ROW('CASE MASTER'!$T$2:$T$495))-(ROW('CASE MASTER'!#REF!)-1)))-INDEX('CASE MASTER'!$V$2:$V$495,(SUMPRODUCT((('CASE MASTER'!$T$2:$T$495=10)*('CASE MASTER'!$U$2:$U$495&lt;=2)*('CASE MASTER'!$W$2:$W$495&gt;=2)*('CASE MASTER'!$V$2:$V$495&lt;=3)*('CASE MASTER'!$X$2:$X$495&gt;=3))*ROW('CASE MASTER'!$T$2:$T$495))-(ROW('CASE MASTER'!#REF!)-1)))+1)+(3-INDEX('CASE MASTER'!$V$2:$V$495,(SUMPRODUCT((('CASE MASTER'!$T$2:$T$495=10)*('CASE MASTER'!$U$2:$U$495&lt;=2)*('CASE MASTER'!$W$2:$W$495&gt;=2)*('CASE MASTER'!$V$2:$V$495&lt;=3)*('CASE MASTER'!$X$2:$X$495&gt;=3))*ROW('CASE MASTER'!$T$2:$T$495))-(ROW('CASE MASTER'!#REF!)-1))))+1))-1)*50+1,50))&amp;"_"&amp;INDEX('CASE MASTER'!$Q$2:$Q$495,(SUMPRODUCT((('CASE MASTER'!$T$2:$T$495=10)*('CASE MASTER'!$U$2:$U$495&lt;=2)*('CASE MASTER'!$W$2:$W$495&gt;=2)*('CASE MASTER'!$V$2:$V$495&lt;=3)*('CASE MASTER'!$X$2:$X$495&gt;=3))*ROW('CASE MASTER'!$T$2:$T$495))-(ROW('CASE MASTER'!#REF!)-1))),IF(SUMPRODUCT((('CASE MASTER'!$T$2:$T$495=10)*('CASE MASTER'!$AA$2:$AA$495&lt;=2)*('CASE MASTER'!$AC$2:$AC$495&gt;=2)*('CASE MASTER'!$AB$2:$AB$495&lt;=3)*('CASE MASTER'!$AD$2:$AD$495&gt;=3))*ROW('CASE MASTER'!$T$2:$T$495))&gt;0,INDEX('CASE MASTER'!$Y$2:$Y$495,(SUMPRODUCT((('CASE MASTER'!$T$2:$T$495=10)*('CASE MASTER'!$AA$2:$AA$495&lt;=2)*('CASE MASTER'!$AC$2:$AC$495&gt;=2)*('CASE MASTER'!$AB$2:$AB$495&lt;=3)*('CASE MASTER'!$AD$2:$AD$495&gt;=3))*ROW('CASE MASTER'!$T$2:$T$495))-(ROW('CASE MASTER'!#REF!)-1)))&amp;TRIM(MID(SUBSTITUTE(SUBSTITUTE(INDEX('CASE MASTER'!$N$2:$N$495,(SUMPRODUCT((('CASE MASTER'!$T$2:$T$495=10)*('CASE MASTER'!$AA$2:$AA$495&lt;=2)*('CASE MASTER'!$AC$2:$AC$495&gt;=2)*('CASE MASTER'!$AB$2:$AB$495&lt;=3)*('CASE MASTER'!$AD$2:$AD$495&gt;=3))*ROW('CASE MASTER'!$T$2:$T$495))-(ROW('CASE MASTER'!#REF!)-1))),":",","),",",REPT(" ",50)),(((INDEX('CASE MASTER'!$Z$2:$Z$495,(SUMPRODUCT((('CASE MASTER'!$T$2:$T$495=10)*('CASE MASTER'!$AA$2:$AA$495&lt;=2)*('CASE MASTER'!$AC$2:$AC$495&gt;=2)*('CASE MASTER'!$AB$2:$AB$495&lt;=3)*('CASE MASTER'!$AD$2:$AD$495&gt;=3))*ROW('CASE MASTER'!$T$2:$T$495))-(ROW('CASE MASTER'!#REF!)-1)))+((2-INDEX('CASE MASTER'!$AA$2:$AA$495,(SUMPRODUCT((('CASE MASTER'!$T$2:$T$495=10)*('CASE MASTER'!$AA$2:$AA$495&lt;=2)*('CASE MASTER'!$AC$2:$AC$495&gt;=2)*('CASE MASTER'!$AB$2:$AB$495&lt;=3)*('CASE MASTER'!$AD$2:$AD$495&gt;=3))*ROW('CASE MASTER'!$T$2:$T$495))-(ROW('CASE MASTER'!#REF!)-1))))*(INDEX('CASE MASTER'!$AD$2:$AD$495,(SUMPRODUCT((('CASE MASTER'!$T$2:$T$495=10)*('CASE MASTER'!$AA$2:$AA$495&lt;=2)*('CASE MASTER'!$AC$2:$AC$495&gt;=2)*('CASE MASTER'!$AB$2:$AB$495&lt;=3)*('CASE MASTER'!$AD$2:$AD$495&gt;=3))*ROW('CASE MASTER'!$T$2:$T$495))-(ROW('CASE MASTER'!#REF!)-1)))-INDEX('CASE MASTER'!$AB$2:$AB$495,(SUMPRODUCT((('CASE MASTER'!$T$2:$T$495=10)*('CASE MASTER'!$AA$2:$AA$495&lt;=2)*('CASE MASTER'!$AC$2:$AC$495&gt;=2)*('CASE MASTER'!$AB$2:$AB$495&lt;=3)*('CASE MASTER'!$AD$2:$AD$495&gt;=3))*ROW('CASE MASTER'!$T$2:$T$495))-(ROW('CASE MASTER'!#REF!)-1)))+1)+(3-INDEX('CASE MASTER'!$AB$2:$AB$495,(SUMPRODUCT((('CASE MASTER'!$T$2:$T$495=10)*('CASE MASTER'!$AA$2:$AA$495&lt;=2)*('CASE MASTER'!$AC$2:$AC$495&gt;=2)*('CASE MASTER'!$AB$2:$AB$495&lt;=3)*('CASE MASTER'!$AD$2:$AD$495&gt;=3))*ROW('CASE MASTER'!$T$2:$T$495))-(ROW('CASE MASTER'!#REF!)-1))))+1)))-1)*50+1,50))&amp;"_"&amp;INDEX('CASE MASTER'!$Q$2:$Q$495,(SUMPRODUCT((('CASE MASTER'!$T$2:$T$495=10)*('CASE MASTER'!$AA$2:$AA$495&lt;=2)*('CASE MASTER'!$AC$2:$AC$495&gt;=2)*('CASE MASTER'!$AB$2:$AB$495&lt;=3)*('CASE MASTER'!$AD$2:$AD$495&gt;=3))*ROW('CASE MASTER'!$T$2:$T$495))-(ROW('CASE MASTER'!#REF!)-1))),"")),"")</f>
        <v/>
      </c>
      <c r="E130" s="10" t="str">
        <f>IFERROR(IF(SUMPRODUCT((('CASE MASTER'!$T$2:$T$495=10)*('CASE MASTER'!$U$2:$U$495&lt;=2)*('CASE MASTER'!$W$2:$W$495&gt;=2)*('CASE MASTER'!$V$2:$V$495&lt;=4)*('CASE MASTER'!$X$2:$X$495&gt;=4))*ROW('CASE MASTER'!$T$2:$T$495))&gt;0,INDEX('CASE MASTER'!$Y$2:$Y$495,(SUMPRODUCT((('CASE MASTER'!$T$2:$T$495=10)*('CASE MASTER'!$U$2:$U$495&lt;=2)*('CASE MASTER'!$W$2:$W$495&gt;=2)*('CASE MASTER'!$V$2:$V$495&lt;=4)*('CASE MASTER'!$X$2:$X$495&gt;=4))*ROW('CASE MASTER'!$T$2:$T$495))-(ROW('CASE MASTER'!#REF!)-1)))&amp;TRIM(MID(SUBSTITUTE(SUBSTITUTE(INDEX('CASE MASTER'!$N$2:$N$495,(SUMPRODUCT((('CASE MASTER'!$T$2:$T$495=10)*('CASE MASTER'!$U$2:$U$495&lt;=2)*('CASE MASTER'!$W$2:$W$495&gt;=2)*('CASE MASTER'!$V$2:$V$495&lt;=4)*('CASE MASTER'!$X$2:$X$495&gt;=4))*ROW('CASE MASTER'!$T$2:$T$495))-(ROW('CASE MASTER'!#REF!)-1))),":",","),",",REPT(" ",50)),((((2-INDEX('CASE MASTER'!$U$2:$U$495,(SUMPRODUCT((('CASE MASTER'!$T$2:$T$495=10)*('CASE MASTER'!$U$2:$U$495&lt;=2)*('CASE MASTER'!$W$2:$W$495&gt;=2)*('CASE MASTER'!$V$2:$V$495&lt;=4)*('CASE MASTER'!$X$2:$X$495&gt;=4))*ROW('CASE MASTER'!$T$2:$T$495))-(ROW('CASE MASTER'!#REF!)-1))))*(INDEX('CASE MASTER'!$X$2:$X$495,(SUMPRODUCT((('CASE MASTER'!$T$2:$T$495=10)*('CASE MASTER'!$U$2:$U$495&lt;=2)*('CASE MASTER'!$W$2:$W$495&gt;=2)*('CASE MASTER'!$V$2:$V$495&lt;=4)*('CASE MASTER'!$X$2:$X$495&gt;=4))*ROW('CASE MASTER'!$T$2:$T$495))-(ROW('CASE MASTER'!#REF!)-1)))-INDEX('CASE MASTER'!$V$2:$V$495,(SUMPRODUCT((('CASE MASTER'!$T$2:$T$495=10)*('CASE MASTER'!$U$2:$U$495&lt;=2)*('CASE MASTER'!$W$2:$W$495&gt;=2)*('CASE MASTER'!$V$2:$V$495&lt;=4)*('CASE MASTER'!$X$2:$X$495&gt;=4))*ROW('CASE MASTER'!$T$2:$T$495))-(ROW('CASE MASTER'!#REF!)-1)))+1)+(4-INDEX('CASE MASTER'!$V$2:$V$495,(SUMPRODUCT((('CASE MASTER'!$T$2:$T$495=10)*('CASE MASTER'!$U$2:$U$495&lt;=2)*('CASE MASTER'!$W$2:$W$495&gt;=2)*('CASE MASTER'!$V$2:$V$495&lt;=4)*('CASE MASTER'!$X$2:$X$495&gt;=4))*ROW('CASE MASTER'!$T$2:$T$495))-(ROW('CASE MASTER'!#REF!)-1))))+1))-1)*50+1,50))&amp;"_"&amp;INDEX('CASE MASTER'!$Q$2:$Q$495,(SUMPRODUCT((('CASE MASTER'!$T$2:$T$495=10)*('CASE MASTER'!$U$2:$U$495&lt;=2)*('CASE MASTER'!$W$2:$W$495&gt;=2)*('CASE MASTER'!$V$2:$V$495&lt;=4)*('CASE MASTER'!$X$2:$X$495&gt;=4))*ROW('CASE MASTER'!$T$2:$T$495))-(ROW('CASE MASTER'!#REF!)-1))),IF(SUMPRODUCT((('CASE MASTER'!$T$2:$T$495=10)*('CASE MASTER'!$AA$2:$AA$495&lt;=2)*('CASE MASTER'!$AC$2:$AC$495&gt;=2)*('CASE MASTER'!$AB$2:$AB$495&lt;=4)*('CASE MASTER'!$AD$2:$AD$495&gt;=4))*ROW('CASE MASTER'!$T$2:$T$495))&gt;0,INDEX('CASE MASTER'!$Y$2:$Y$495,(SUMPRODUCT((('CASE MASTER'!$T$2:$T$495=10)*('CASE MASTER'!$AA$2:$AA$495&lt;=2)*('CASE MASTER'!$AC$2:$AC$495&gt;=2)*('CASE MASTER'!$AB$2:$AB$495&lt;=4)*('CASE MASTER'!$AD$2:$AD$495&gt;=4))*ROW('CASE MASTER'!$T$2:$T$495))-(ROW('CASE MASTER'!#REF!)-1)))&amp;TRIM(MID(SUBSTITUTE(SUBSTITUTE(INDEX('CASE MASTER'!$N$2:$N$495,(SUMPRODUCT((('CASE MASTER'!$T$2:$T$495=10)*('CASE MASTER'!$AA$2:$AA$495&lt;=2)*('CASE MASTER'!$AC$2:$AC$495&gt;=2)*('CASE MASTER'!$AB$2:$AB$495&lt;=4)*('CASE MASTER'!$AD$2:$AD$495&gt;=4))*ROW('CASE MASTER'!$T$2:$T$495))-(ROW('CASE MASTER'!#REF!)-1))),":",","),",",REPT(" ",50)),(((INDEX('CASE MASTER'!$Z$2:$Z$495,(SUMPRODUCT((('CASE MASTER'!$T$2:$T$495=10)*('CASE MASTER'!$AA$2:$AA$495&lt;=2)*('CASE MASTER'!$AC$2:$AC$495&gt;=2)*('CASE MASTER'!$AB$2:$AB$495&lt;=4)*('CASE MASTER'!$AD$2:$AD$495&gt;=4))*ROW('CASE MASTER'!$T$2:$T$495))-(ROW('CASE MASTER'!#REF!)-1)))+((2-INDEX('CASE MASTER'!$AA$2:$AA$495,(SUMPRODUCT((('CASE MASTER'!$T$2:$T$495=10)*('CASE MASTER'!$AA$2:$AA$495&lt;=2)*('CASE MASTER'!$AC$2:$AC$495&gt;=2)*('CASE MASTER'!$AB$2:$AB$495&lt;=4)*('CASE MASTER'!$AD$2:$AD$495&gt;=4))*ROW('CASE MASTER'!$T$2:$T$495))-(ROW('CASE MASTER'!#REF!)-1))))*(INDEX('CASE MASTER'!$AD$2:$AD$495,(SUMPRODUCT((('CASE MASTER'!$T$2:$T$495=10)*('CASE MASTER'!$AA$2:$AA$495&lt;=2)*('CASE MASTER'!$AC$2:$AC$495&gt;=2)*('CASE MASTER'!$AB$2:$AB$495&lt;=4)*('CASE MASTER'!$AD$2:$AD$495&gt;=4))*ROW('CASE MASTER'!$T$2:$T$495))-(ROW('CASE MASTER'!#REF!)-1)))-INDEX('CASE MASTER'!$AB$2:$AB$495,(SUMPRODUCT((('CASE MASTER'!$T$2:$T$495=10)*('CASE MASTER'!$AA$2:$AA$495&lt;=2)*('CASE MASTER'!$AC$2:$AC$495&gt;=2)*('CASE MASTER'!$AB$2:$AB$495&lt;=4)*('CASE MASTER'!$AD$2:$AD$495&gt;=4))*ROW('CASE MASTER'!$T$2:$T$495))-(ROW('CASE MASTER'!#REF!)-1)))+1)+(4-INDEX('CASE MASTER'!$AB$2:$AB$495,(SUMPRODUCT((('CASE MASTER'!$T$2:$T$495=10)*('CASE MASTER'!$AA$2:$AA$495&lt;=2)*('CASE MASTER'!$AC$2:$AC$495&gt;=2)*('CASE MASTER'!$AB$2:$AB$495&lt;=4)*('CASE MASTER'!$AD$2:$AD$495&gt;=4))*ROW('CASE MASTER'!$T$2:$T$495))-(ROW('CASE MASTER'!#REF!)-1))))+1)))-1)*50+1,50))&amp;"_"&amp;INDEX('CASE MASTER'!$Q$2:$Q$495,(SUMPRODUCT((('CASE MASTER'!$T$2:$T$495=10)*('CASE MASTER'!$AA$2:$AA$495&lt;=2)*('CASE MASTER'!$AC$2:$AC$495&gt;=2)*('CASE MASTER'!$AB$2:$AB$495&lt;=4)*('CASE MASTER'!$AD$2:$AD$495&gt;=4))*ROW('CASE MASTER'!$T$2:$T$495))-(ROW('CASE MASTER'!#REF!)-1))),"")),"")</f>
        <v/>
      </c>
      <c r="F130" s="10" t="str">
        <f>IFERROR(IF(SUMPRODUCT((('CASE MASTER'!$T$2:$T$495=10)*('CASE MASTER'!$U$2:$U$495&lt;=2)*('CASE MASTER'!$W$2:$W$495&gt;=2)*('CASE MASTER'!$V$2:$V$495&lt;=5)*('CASE MASTER'!$X$2:$X$495&gt;=5))*ROW('CASE MASTER'!$T$2:$T$495))&gt;0,INDEX('CASE MASTER'!$Y$2:$Y$495,(SUMPRODUCT((('CASE MASTER'!$T$2:$T$495=10)*('CASE MASTER'!$U$2:$U$495&lt;=2)*('CASE MASTER'!$W$2:$W$495&gt;=2)*('CASE MASTER'!$V$2:$V$495&lt;=5)*('CASE MASTER'!$X$2:$X$495&gt;=5))*ROW('CASE MASTER'!$T$2:$T$495))-(ROW('CASE MASTER'!#REF!)-1)))&amp;TRIM(MID(SUBSTITUTE(SUBSTITUTE(INDEX('CASE MASTER'!$N$2:$N$495,(SUMPRODUCT((('CASE MASTER'!$T$2:$T$495=10)*('CASE MASTER'!$U$2:$U$495&lt;=2)*('CASE MASTER'!$W$2:$W$495&gt;=2)*('CASE MASTER'!$V$2:$V$495&lt;=5)*('CASE MASTER'!$X$2:$X$495&gt;=5))*ROW('CASE MASTER'!$T$2:$T$495))-(ROW('CASE MASTER'!#REF!)-1))),":",","),",",REPT(" ",50)),((((2-INDEX('CASE MASTER'!$U$2:$U$495,(SUMPRODUCT((('CASE MASTER'!$T$2:$T$495=10)*('CASE MASTER'!$U$2:$U$495&lt;=2)*('CASE MASTER'!$W$2:$W$495&gt;=2)*('CASE MASTER'!$V$2:$V$495&lt;=5)*('CASE MASTER'!$X$2:$X$495&gt;=5))*ROW('CASE MASTER'!$T$2:$T$495))-(ROW('CASE MASTER'!#REF!)-1))))*(INDEX('CASE MASTER'!$X$2:$X$495,(SUMPRODUCT((('CASE MASTER'!$T$2:$T$495=10)*('CASE MASTER'!$U$2:$U$495&lt;=2)*('CASE MASTER'!$W$2:$W$495&gt;=2)*('CASE MASTER'!$V$2:$V$495&lt;=5)*('CASE MASTER'!$X$2:$X$495&gt;=5))*ROW('CASE MASTER'!$T$2:$T$495))-(ROW('CASE MASTER'!#REF!)-1)))-INDEX('CASE MASTER'!$V$2:$V$495,(SUMPRODUCT((('CASE MASTER'!$T$2:$T$495=10)*('CASE MASTER'!$U$2:$U$495&lt;=2)*('CASE MASTER'!$W$2:$W$495&gt;=2)*('CASE MASTER'!$V$2:$V$495&lt;=5)*('CASE MASTER'!$X$2:$X$495&gt;=5))*ROW('CASE MASTER'!$T$2:$T$495))-(ROW('CASE MASTER'!#REF!)-1)))+1)+(5-INDEX('CASE MASTER'!$V$2:$V$495,(SUMPRODUCT((('CASE MASTER'!$T$2:$T$495=10)*('CASE MASTER'!$U$2:$U$495&lt;=2)*('CASE MASTER'!$W$2:$W$495&gt;=2)*('CASE MASTER'!$V$2:$V$495&lt;=5)*('CASE MASTER'!$X$2:$X$495&gt;=5))*ROW('CASE MASTER'!$T$2:$T$495))-(ROW('CASE MASTER'!#REF!)-1))))+1))-1)*50+1,50))&amp;"_"&amp;INDEX('CASE MASTER'!$Q$2:$Q$495,(SUMPRODUCT((('CASE MASTER'!$T$2:$T$495=10)*('CASE MASTER'!$U$2:$U$495&lt;=2)*('CASE MASTER'!$W$2:$W$495&gt;=2)*('CASE MASTER'!$V$2:$V$495&lt;=5)*('CASE MASTER'!$X$2:$X$495&gt;=5))*ROW('CASE MASTER'!$T$2:$T$495))-(ROW('CASE MASTER'!#REF!)-1))),IF(SUMPRODUCT((('CASE MASTER'!$T$2:$T$495=10)*('CASE MASTER'!$AA$2:$AA$495&lt;=2)*('CASE MASTER'!$AC$2:$AC$495&gt;=2)*('CASE MASTER'!$AB$2:$AB$495&lt;=5)*('CASE MASTER'!$AD$2:$AD$495&gt;=5))*ROW('CASE MASTER'!$T$2:$T$495))&gt;0,INDEX('CASE MASTER'!$Y$2:$Y$495,(SUMPRODUCT((('CASE MASTER'!$T$2:$T$495=10)*('CASE MASTER'!$AA$2:$AA$495&lt;=2)*('CASE MASTER'!$AC$2:$AC$495&gt;=2)*('CASE MASTER'!$AB$2:$AB$495&lt;=5)*('CASE MASTER'!$AD$2:$AD$495&gt;=5))*ROW('CASE MASTER'!$T$2:$T$495))-(ROW('CASE MASTER'!#REF!)-1)))&amp;TRIM(MID(SUBSTITUTE(SUBSTITUTE(INDEX('CASE MASTER'!$N$2:$N$495,(SUMPRODUCT((('CASE MASTER'!$T$2:$T$495=10)*('CASE MASTER'!$AA$2:$AA$495&lt;=2)*('CASE MASTER'!$AC$2:$AC$495&gt;=2)*('CASE MASTER'!$AB$2:$AB$495&lt;=5)*('CASE MASTER'!$AD$2:$AD$495&gt;=5))*ROW('CASE MASTER'!$T$2:$T$495))-(ROW('CASE MASTER'!#REF!)-1))),":",","),",",REPT(" ",50)),(((INDEX('CASE MASTER'!$Z$2:$Z$495,(SUMPRODUCT((('CASE MASTER'!$T$2:$T$495=10)*('CASE MASTER'!$AA$2:$AA$495&lt;=2)*('CASE MASTER'!$AC$2:$AC$495&gt;=2)*('CASE MASTER'!$AB$2:$AB$495&lt;=5)*('CASE MASTER'!$AD$2:$AD$495&gt;=5))*ROW('CASE MASTER'!$T$2:$T$495))-(ROW('CASE MASTER'!#REF!)-1)))+((2-INDEX('CASE MASTER'!$AA$2:$AA$495,(SUMPRODUCT((('CASE MASTER'!$T$2:$T$495=10)*('CASE MASTER'!$AA$2:$AA$495&lt;=2)*('CASE MASTER'!$AC$2:$AC$495&gt;=2)*('CASE MASTER'!$AB$2:$AB$495&lt;=5)*('CASE MASTER'!$AD$2:$AD$495&gt;=5))*ROW('CASE MASTER'!$T$2:$T$495))-(ROW('CASE MASTER'!#REF!)-1))))*(INDEX('CASE MASTER'!$AD$2:$AD$495,(SUMPRODUCT((('CASE MASTER'!$T$2:$T$495=10)*('CASE MASTER'!$AA$2:$AA$495&lt;=2)*('CASE MASTER'!$AC$2:$AC$495&gt;=2)*('CASE MASTER'!$AB$2:$AB$495&lt;=5)*('CASE MASTER'!$AD$2:$AD$495&gt;=5))*ROW('CASE MASTER'!$T$2:$T$495))-(ROW('CASE MASTER'!#REF!)-1)))-INDEX('CASE MASTER'!$AB$2:$AB$495,(SUMPRODUCT((('CASE MASTER'!$T$2:$T$495=10)*('CASE MASTER'!$AA$2:$AA$495&lt;=2)*('CASE MASTER'!$AC$2:$AC$495&gt;=2)*('CASE MASTER'!$AB$2:$AB$495&lt;=5)*('CASE MASTER'!$AD$2:$AD$495&gt;=5))*ROW('CASE MASTER'!$T$2:$T$495))-(ROW('CASE MASTER'!#REF!)-1)))+1)+(5-INDEX('CASE MASTER'!$AB$2:$AB$495,(SUMPRODUCT((('CASE MASTER'!$T$2:$T$495=10)*('CASE MASTER'!$AA$2:$AA$495&lt;=2)*('CASE MASTER'!$AC$2:$AC$495&gt;=2)*('CASE MASTER'!$AB$2:$AB$495&lt;=5)*('CASE MASTER'!$AD$2:$AD$495&gt;=5))*ROW('CASE MASTER'!$T$2:$T$495))-(ROW('CASE MASTER'!#REF!)-1))))+1)))-1)*50+1,50))&amp;"_"&amp;INDEX('CASE MASTER'!$Q$2:$Q$495,(SUMPRODUCT((('CASE MASTER'!$T$2:$T$495=10)*('CASE MASTER'!$AA$2:$AA$495&lt;=2)*('CASE MASTER'!$AC$2:$AC$495&gt;=2)*('CASE MASTER'!$AB$2:$AB$495&lt;=5)*('CASE MASTER'!$AD$2:$AD$495&gt;=5))*ROW('CASE MASTER'!$T$2:$T$495))-(ROW('CASE MASTER'!#REF!)-1))),"")),"")</f>
        <v/>
      </c>
      <c r="G130" s="10" t="str">
        <f>IFERROR(IF(SUMPRODUCT((('CASE MASTER'!$T$2:$T$495=10)*('CASE MASTER'!$U$2:$U$495&lt;=2)*('CASE MASTER'!$W$2:$W$495&gt;=2)*('CASE MASTER'!$V$2:$V$495&lt;=6)*('CASE MASTER'!$X$2:$X$495&gt;=6))*ROW('CASE MASTER'!$T$2:$T$495))&gt;0,INDEX('CASE MASTER'!$Y$2:$Y$495,(SUMPRODUCT((('CASE MASTER'!$T$2:$T$495=10)*('CASE MASTER'!$U$2:$U$495&lt;=2)*('CASE MASTER'!$W$2:$W$495&gt;=2)*('CASE MASTER'!$V$2:$V$495&lt;=6)*('CASE MASTER'!$X$2:$X$495&gt;=6))*ROW('CASE MASTER'!$T$2:$T$495))-(ROW('CASE MASTER'!#REF!)-1)))&amp;TRIM(MID(SUBSTITUTE(SUBSTITUTE(INDEX('CASE MASTER'!$N$2:$N$495,(SUMPRODUCT((('CASE MASTER'!$T$2:$T$495=10)*('CASE MASTER'!$U$2:$U$495&lt;=2)*('CASE MASTER'!$W$2:$W$495&gt;=2)*('CASE MASTER'!$V$2:$V$495&lt;=6)*('CASE MASTER'!$X$2:$X$495&gt;=6))*ROW('CASE MASTER'!$T$2:$T$495))-(ROW('CASE MASTER'!#REF!)-1))),":",","),",",REPT(" ",50)),((((2-INDEX('CASE MASTER'!$U$2:$U$495,(SUMPRODUCT((('CASE MASTER'!$T$2:$T$495=10)*('CASE MASTER'!$U$2:$U$495&lt;=2)*('CASE MASTER'!$W$2:$W$495&gt;=2)*('CASE MASTER'!$V$2:$V$495&lt;=6)*('CASE MASTER'!$X$2:$X$495&gt;=6))*ROW('CASE MASTER'!$T$2:$T$495))-(ROW('CASE MASTER'!#REF!)-1))))*(INDEX('CASE MASTER'!$X$2:$X$495,(SUMPRODUCT((('CASE MASTER'!$T$2:$T$495=10)*('CASE MASTER'!$U$2:$U$495&lt;=2)*('CASE MASTER'!$W$2:$W$495&gt;=2)*('CASE MASTER'!$V$2:$V$495&lt;=6)*('CASE MASTER'!$X$2:$X$495&gt;=6))*ROW('CASE MASTER'!$T$2:$T$495))-(ROW('CASE MASTER'!#REF!)-1)))-INDEX('CASE MASTER'!$V$2:$V$495,(SUMPRODUCT((('CASE MASTER'!$T$2:$T$495=10)*('CASE MASTER'!$U$2:$U$495&lt;=2)*('CASE MASTER'!$W$2:$W$495&gt;=2)*('CASE MASTER'!$V$2:$V$495&lt;=6)*('CASE MASTER'!$X$2:$X$495&gt;=6))*ROW('CASE MASTER'!$T$2:$T$495))-(ROW('CASE MASTER'!#REF!)-1)))+1)+(6-INDEX('CASE MASTER'!$V$2:$V$495,(SUMPRODUCT((('CASE MASTER'!$T$2:$T$495=10)*('CASE MASTER'!$U$2:$U$495&lt;=2)*('CASE MASTER'!$W$2:$W$495&gt;=2)*('CASE MASTER'!$V$2:$V$495&lt;=6)*('CASE MASTER'!$X$2:$X$495&gt;=6))*ROW('CASE MASTER'!$T$2:$T$495))-(ROW('CASE MASTER'!#REF!)-1))))+1))-1)*50+1,50))&amp;"_"&amp;INDEX('CASE MASTER'!$Q$2:$Q$495,(SUMPRODUCT((('CASE MASTER'!$T$2:$T$495=10)*('CASE MASTER'!$U$2:$U$495&lt;=2)*('CASE MASTER'!$W$2:$W$495&gt;=2)*('CASE MASTER'!$V$2:$V$495&lt;=6)*('CASE MASTER'!$X$2:$X$495&gt;=6))*ROW('CASE MASTER'!$T$2:$T$495))-(ROW('CASE MASTER'!#REF!)-1))),IF(SUMPRODUCT((('CASE MASTER'!$T$2:$T$495=10)*('CASE MASTER'!$AA$2:$AA$495&lt;=2)*('CASE MASTER'!$AC$2:$AC$495&gt;=2)*('CASE MASTER'!$AB$2:$AB$495&lt;=6)*('CASE MASTER'!$AD$2:$AD$495&gt;=6))*ROW('CASE MASTER'!$T$2:$T$495))&gt;0,INDEX('CASE MASTER'!$Y$2:$Y$495,(SUMPRODUCT((('CASE MASTER'!$T$2:$T$495=10)*('CASE MASTER'!$AA$2:$AA$495&lt;=2)*('CASE MASTER'!$AC$2:$AC$495&gt;=2)*('CASE MASTER'!$AB$2:$AB$495&lt;=6)*('CASE MASTER'!$AD$2:$AD$495&gt;=6))*ROW('CASE MASTER'!$T$2:$T$495))-(ROW('CASE MASTER'!#REF!)-1)))&amp;TRIM(MID(SUBSTITUTE(SUBSTITUTE(INDEX('CASE MASTER'!$N$2:$N$495,(SUMPRODUCT((('CASE MASTER'!$T$2:$T$495=10)*('CASE MASTER'!$AA$2:$AA$495&lt;=2)*('CASE MASTER'!$AC$2:$AC$495&gt;=2)*('CASE MASTER'!$AB$2:$AB$495&lt;=6)*('CASE MASTER'!$AD$2:$AD$495&gt;=6))*ROW('CASE MASTER'!$T$2:$T$495))-(ROW('CASE MASTER'!#REF!)-1))),":",","),",",REPT(" ",50)),(((INDEX('CASE MASTER'!$Z$2:$Z$495,(SUMPRODUCT((('CASE MASTER'!$T$2:$T$495=10)*('CASE MASTER'!$AA$2:$AA$495&lt;=2)*('CASE MASTER'!$AC$2:$AC$495&gt;=2)*('CASE MASTER'!$AB$2:$AB$495&lt;=6)*('CASE MASTER'!$AD$2:$AD$495&gt;=6))*ROW('CASE MASTER'!$T$2:$T$495))-(ROW('CASE MASTER'!#REF!)-1)))+((2-INDEX('CASE MASTER'!$AA$2:$AA$495,(SUMPRODUCT((('CASE MASTER'!$T$2:$T$495=10)*('CASE MASTER'!$AA$2:$AA$495&lt;=2)*('CASE MASTER'!$AC$2:$AC$495&gt;=2)*('CASE MASTER'!$AB$2:$AB$495&lt;=6)*('CASE MASTER'!$AD$2:$AD$495&gt;=6))*ROW('CASE MASTER'!$T$2:$T$495))-(ROW('CASE MASTER'!#REF!)-1))))*(INDEX('CASE MASTER'!$AD$2:$AD$495,(SUMPRODUCT((('CASE MASTER'!$T$2:$T$495=10)*('CASE MASTER'!$AA$2:$AA$495&lt;=2)*('CASE MASTER'!$AC$2:$AC$495&gt;=2)*('CASE MASTER'!$AB$2:$AB$495&lt;=6)*('CASE MASTER'!$AD$2:$AD$495&gt;=6))*ROW('CASE MASTER'!$T$2:$T$495))-(ROW('CASE MASTER'!#REF!)-1)))-INDEX('CASE MASTER'!$AB$2:$AB$495,(SUMPRODUCT((('CASE MASTER'!$T$2:$T$495=10)*('CASE MASTER'!$AA$2:$AA$495&lt;=2)*('CASE MASTER'!$AC$2:$AC$495&gt;=2)*('CASE MASTER'!$AB$2:$AB$495&lt;=6)*('CASE MASTER'!$AD$2:$AD$495&gt;=6))*ROW('CASE MASTER'!$T$2:$T$495))-(ROW('CASE MASTER'!#REF!)-1)))+1)+(6-INDEX('CASE MASTER'!$AB$2:$AB$495,(SUMPRODUCT((('CASE MASTER'!$T$2:$T$495=10)*('CASE MASTER'!$AA$2:$AA$495&lt;=2)*('CASE MASTER'!$AC$2:$AC$495&gt;=2)*('CASE MASTER'!$AB$2:$AB$495&lt;=6)*('CASE MASTER'!$AD$2:$AD$495&gt;=6))*ROW('CASE MASTER'!$T$2:$T$495))-(ROW('CASE MASTER'!#REF!)-1))))+1)))-1)*50+1,50))&amp;"_"&amp;INDEX('CASE MASTER'!$Q$2:$Q$495,(SUMPRODUCT((('CASE MASTER'!$T$2:$T$495=10)*('CASE MASTER'!$AA$2:$AA$495&lt;=2)*('CASE MASTER'!$AC$2:$AC$495&gt;=2)*('CASE MASTER'!$AB$2:$AB$495&lt;=6)*('CASE MASTER'!$AD$2:$AD$495&gt;=6))*ROW('CASE MASTER'!$T$2:$T$495))-(ROW('CASE MASTER'!#REF!)-1))),"")),"")</f>
        <v/>
      </c>
      <c r="H130" s="10" t="str">
        <f>IFERROR(IF(SUMPRODUCT((('CASE MASTER'!$T$2:$T$495=10)*('CASE MASTER'!$U$2:$U$495&lt;=2)*('CASE MASTER'!$W$2:$W$495&gt;=2)*('CASE MASTER'!$V$2:$V$495&lt;=7)*('CASE MASTER'!$X$2:$X$495&gt;=7))*ROW('CASE MASTER'!$T$2:$T$495))&gt;0,INDEX('CASE MASTER'!$Y$2:$Y$495,(SUMPRODUCT((('CASE MASTER'!$T$2:$T$495=10)*('CASE MASTER'!$U$2:$U$495&lt;=2)*('CASE MASTER'!$W$2:$W$495&gt;=2)*('CASE MASTER'!$V$2:$V$495&lt;=7)*('CASE MASTER'!$X$2:$X$495&gt;=7))*ROW('CASE MASTER'!$T$2:$T$495))-(ROW('CASE MASTER'!#REF!)-1)))&amp;TRIM(MID(SUBSTITUTE(SUBSTITUTE(INDEX('CASE MASTER'!$N$2:$N$495,(SUMPRODUCT((('CASE MASTER'!$T$2:$T$495=10)*('CASE MASTER'!$U$2:$U$495&lt;=2)*('CASE MASTER'!$W$2:$W$495&gt;=2)*('CASE MASTER'!$V$2:$V$495&lt;=7)*('CASE MASTER'!$X$2:$X$495&gt;=7))*ROW('CASE MASTER'!$T$2:$T$495))-(ROW('CASE MASTER'!#REF!)-1))),":",","),",",REPT(" ",50)),((((2-INDEX('CASE MASTER'!$U$2:$U$495,(SUMPRODUCT((('CASE MASTER'!$T$2:$T$495=10)*('CASE MASTER'!$U$2:$U$495&lt;=2)*('CASE MASTER'!$W$2:$W$495&gt;=2)*('CASE MASTER'!$V$2:$V$495&lt;=7)*('CASE MASTER'!$X$2:$X$495&gt;=7))*ROW('CASE MASTER'!$T$2:$T$495))-(ROW('CASE MASTER'!#REF!)-1))))*(INDEX('CASE MASTER'!$X$2:$X$495,(SUMPRODUCT((('CASE MASTER'!$T$2:$T$495=10)*('CASE MASTER'!$U$2:$U$495&lt;=2)*('CASE MASTER'!$W$2:$W$495&gt;=2)*('CASE MASTER'!$V$2:$V$495&lt;=7)*('CASE MASTER'!$X$2:$X$495&gt;=7))*ROW('CASE MASTER'!$T$2:$T$495))-(ROW('CASE MASTER'!#REF!)-1)))-INDEX('CASE MASTER'!$V$2:$V$495,(SUMPRODUCT((('CASE MASTER'!$T$2:$T$495=10)*('CASE MASTER'!$U$2:$U$495&lt;=2)*('CASE MASTER'!$W$2:$W$495&gt;=2)*('CASE MASTER'!$V$2:$V$495&lt;=7)*('CASE MASTER'!$X$2:$X$495&gt;=7))*ROW('CASE MASTER'!$T$2:$T$495))-(ROW('CASE MASTER'!#REF!)-1)))+1)+(7-INDEX('CASE MASTER'!$V$2:$V$495,(SUMPRODUCT((('CASE MASTER'!$T$2:$T$495=10)*('CASE MASTER'!$U$2:$U$495&lt;=2)*('CASE MASTER'!$W$2:$W$495&gt;=2)*('CASE MASTER'!$V$2:$V$495&lt;=7)*('CASE MASTER'!$X$2:$X$495&gt;=7))*ROW('CASE MASTER'!$T$2:$T$495))-(ROW('CASE MASTER'!#REF!)-1))))+1))-1)*50+1,50))&amp;"_"&amp;INDEX('CASE MASTER'!$Q$2:$Q$495,(SUMPRODUCT((('CASE MASTER'!$T$2:$T$495=10)*('CASE MASTER'!$U$2:$U$495&lt;=2)*('CASE MASTER'!$W$2:$W$495&gt;=2)*('CASE MASTER'!$V$2:$V$495&lt;=7)*('CASE MASTER'!$X$2:$X$495&gt;=7))*ROW('CASE MASTER'!$T$2:$T$495))-(ROW('CASE MASTER'!#REF!)-1))),IF(SUMPRODUCT((('CASE MASTER'!$T$2:$T$495=10)*('CASE MASTER'!$AA$2:$AA$495&lt;=2)*('CASE MASTER'!$AC$2:$AC$495&gt;=2)*('CASE MASTER'!$AB$2:$AB$495&lt;=7)*('CASE MASTER'!$AD$2:$AD$495&gt;=7))*ROW('CASE MASTER'!$T$2:$T$495))&gt;0,INDEX('CASE MASTER'!$Y$2:$Y$495,(SUMPRODUCT((('CASE MASTER'!$T$2:$T$495=10)*('CASE MASTER'!$AA$2:$AA$495&lt;=2)*('CASE MASTER'!$AC$2:$AC$495&gt;=2)*('CASE MASTER'!$AB$2:$AB$495&lt;=7)*('CASE MASTER'!$AD$2:$AD$495&gt;=7))*ROW('CASE MASTER'!$T$2:$T$495))-(ROW('CASE MASTER'!#REF!)-1)))&amp;TRIM(MID(SUBSTITUTE(SUBSTITUTE(INDEX('CASE MASTER'!$N$2:$N$495,(SUMPRODUCT((('CASE MASTER'!$T$2:$T$495=10)*('CASE MASTER'!$AA$2:$AA$495&lt;=2)*('CASE MASTER'!$AC$2:$AC$495&gt;=2)*('CASE MASTER'!$AB$2:$AB$495&lt;=7)*('CASE MASTER'!$AD$2:$AD$495&gt;=7))*ROW('CASE MASTER'!$T$2:$T$495))-(ROW('CASE MASTER'!#REF!)-1))),":",","),",",REPT(" ",50)),(((INDEX('CASE MASTER'!$Z$2:$Z$495,(SUMPRODUCT((('CASE MASTER'!$T$2:$T$495=10)*('CASE MASTER'!$AA$2:$AA$495&lt;=2)*('CASE MASTER'!$AC$2:$AC$495&gt;=2)*('CASE MASTER'!$AB$2:$AB$495&lt;=7)*('CASE MASTER'!$AD$2:$AD$495&gt;=7))*ROW('CASE MASTER'!$T$2:$T$495))-(ROW('CASE MASTER'!#REF!)-1)))+((2-INDEX('CASE MASTER'!$AA$2:$AA$495,(SUMPRODUCT((('CASE MASTER'!$T$2:$T$495=10)*('CASE MASTER'!$AA$2:$AA$495&lt;=2)*('CASE MASTER'!$AC$2:$AC$495&gt;=2)*('CASE MASTER'!$AB$2:$AB$495&lt;=7)*('CASE MASTER'!$AD$2:$AD$495&gt;=7))*ROW('CASE MASTER'!$T$2:$T$495))-(ROW('CASE MASTER'!#REF!)-1))))*(INDEX('CASE MASTER'!$AD$2:$AD$495,(SUMPRODUCT((('CASE MASTER'!$T$2:$T$495=10)*('CASE MASTER'!$AA$2:$AA$495&lt;=2)*('CASE MASTER'!$AC$2:$AC$495&gt;=2)*('CASE MASTER'!$AB$2:$AB$495&lt;=7)*('CASE MASTER'!$AD$2:$AD$495&gt;=7))*ROW('CASE MASTER'!$T$2:$T$495))-(ROW('CASE MASTER'!#REF!)-1)))-INDEX('CASE MASTER'!$AB$2:$AB$495,(SUMPRODUCT((('CASE MASTER'!$T$2:$T$495=10)*('CASE MASTER'!$AA$2:$AA$495&lt;=2)*('CASE MASTER'!$AC$2:$AC$495&gt;=2)*('CASE MASTER'!$AB$2:$AB$495&lt;=7)*('CASE MASTER'!$AD$2:$AD$495&gt;=7))*ROW('CASE MASTER'!$T$2:$T$495))-(ROW('CASE MASTER'!#REF!)-1)))+1)+(7-INDEX('CASE MASTER'!$AB$2:$AB$495,(SUMPRODUCT((('CASE MASTER'!$T$2:$T$495=10)*('CASE MASTER'!$AA$2:$AA$495&lt;=2)*('CASE MASTER'!$AC$2:$AC$495&gt;=2)*('CASE MASTER'!$AB$2:$AB$495&lt;=7)*('CASE MASTER'!$AD$2:$AD$495&gt;=7))*ROW('CASE MASTER'!$T$2:$T$495))-(ROW('CASE MASTER'!#REF!)-1))))+1)))-1)*50+1,50))&amp;"_"&amp;INDEX('CASE MASTER'!$Q$2:$Q$495,(SUMPRODUCT((('CASE MASTER'!$T$2:$T$495=10)*('CASE MASTER'!$AA$2:$AA$495&lt;=2)*('CASE MASTER'!$AC$2:$AC$495&gt;=2)*('CASE MASTER'!$AB$2:$AB$495&lt;=7)*('CASE MASTER'!$AD$2:$AD$495&gt;=7))*ROW('CASE MASTER'!$T$2:$T$495))-(ROW('CASE MASTER'!#REF!)-1))),"")),"")</f>
        <v/>
      </c>
      <c r="I130" s="10" t="str">
        <f>IFERROR(IF(SUMPRODUCT((('CASE MASTER'!$T$2:$T$495=10)*('CASE MASTER'!$U$2:$U$495&lt;=2)*('CASE MASTER'!$W$2:$W$495&gt;=2)*('CASE MASTER'!$V$2:$V$495&lt;=8)*('CASE MASTER'!$X$2:$X$495&gt;=8))*ROW('CASE MASTER'!$T$2:$T$495))&gt;0,INDEX('CASE MASTER'!$Y$2:$Y$495,(SUMPRODUCT((('CASE MASTER'!$T$2:$T$495=10)*('CASE MASTER'!$U$2:$U$495&lt;=2)*('CASE MASTER'!$W$2:$W$495&gt;=2)*('CASE MASTER'!$V$2:$V$495&lt;=8)*('CASE MASTER'!$X$2:$X$495&gt;=8))*ROW('CASE MASTER'!$T$2:$T$495))-(ROW('CASE MASTER'!#REF!)-1)))&amp;TRIM(MID(SUBSTITUTE(SUBSTITUTE(INDEX('CASE MASTER'!$N$2:$N$495,(SUMPRODUCT((('CASE MASTER'!$T$2:$T$495=10)*('CASE MASTER'!$U$2:$U$495&lt;=2)*('CASE MASTER'!$W$2:$W$495&gt;=2)*('CASE MASTER'!$V$2:$V$495&lt;=8)*('CASE MASTER'!$X$2:$X$495&gt;=8))*ROW('CASE MASTER'!$T$2:$T$495))-(ROW('CASE MASTER'!#REF!)-1))),":",","),",",REPT(" ",50)),((((2-INDEX('CASE MASTER'!$U$2:$U$495,(SUMPRODUCT((('CASE MASTER'!$T$2:$T$495=10)*('CASE MASTER'!$U$2:$U$495&lt;=2)*('CASE MASTER'!$W$2:$W$495&gt;=2)*('CASE MASTER'!$V$2:$V$495&lt;=8)*('CASE MASTER'!$X$2:$X$495&gt;=8))*ROW('CASE MASTER'!$T$2:$T$495))-(ROW('CASE MASTER'!#REF!)-1))))*(INDEX('CASE MASTER'!$X$2:$X$495,(SUMPRODUCT((('CASE MASTER'!$T$2:$T$495=10)*('CASE MASTER'!$U$2:$U$495&lt;=2)*('CASE MASTER'!$W$2:$W$495&gt;=2)*('CASE MASTER'!$V$2:$V$495&lt;=8)*('CASE MASTER'!$X$2:$X$495&gt;=8))*ROW('CASE MASTER'!$T$2:$T$495))-(ROW('CASE MASTER'!#REF!)-1)))-INDEX('CASE MASTER'!$V$2:$V$495,(SUMPRODUCT((('CASE MASTER'!$T$2:$T$495=10)*('CASE MASTER'!$U$2:$U$495&lt;=2)*('CASE MASTER'!$W$2:$W$495&gt;=2)*('CASE MASTER'!$V$2:$V$495&lt;=8)*('CASE MASTER'!$X$2:$X$495&gt;=8))*ROW('CASE MASTER'!$T$2:$T$495))-(ROW('CASE MASTER'!#REF!)-1)))+1)+(8-INDEX('CASE MASTER'!$V$2:$V$495,(SUMPRODUCT((('CASE MASTER'!$T$2:$T$495=10)*('CASE MASTER'!$U$2:$U$495&lt;=2)*('CASE MASTER'!$W$2:$W$495&gt;=2)*('CASE MASTER'!$V$2:$V$495&lt;=8)*('CASE MASTER'!$X$2:$X$495&gt;=8))*ROW('CASE MASTER'!$T$2:$T$495))-(ROW('CASE MASTER'!#REF!)-1))))+1))-1)*50+1,50))&amp;"_"&amp;INDEX('CASE MASTER'!$Q$2:$Q$495,(SUMPRODUCT((('CASE MASTER'!$T$2:$T$495=10)*('CASE MASTER'!$U$2:$U$495&lt;=2)*('CASE MASTER'!$W$2:$W$495&gt;=2)*('CASE MASTER'!$V$2:$V$495&lt;=8)*('CASE MASTER'!$X$2:$X$495&gt;=8))*ROW('CASE MASTER'!$T$2:$T$495))-(ROW('CASE MASTER'!#REF!)-1))),IF(SUMPRODUCT((('CASE MASTER'!$T$2:$T$495=10)*('CASE MASTER'!$AA$2:$AA$495&lt;=2)*('CASE MASTER'!$AC$2:$AC$495&gt;=2)*('CASE MASTER'!$AB$2:$AB$495&lt;=8)*('CASE MASTER'!$AD$2:$AD$495&gt;=8))*ROW('CASE MASTER'!$T$2:$T$495))&gt;0,INDEX('CASE MASTER'!$Y$2:$Y$495,(SUMPRODUCT((('CASE MASTER'!$T$2:$T$495=10)*('CASE MASTER'!$AA$2:$AA$495&lt;=2)*('CASE MASTER'!$AC$2:$AC$495&gt;=2)*('CASE MASTER'!$AB$2:$AB$495&lt;=8)*('CASE MASTER'!$AD$2:$AD$495&gt;=8))*ROW('CASE MASTER'!$T$2:$T$495))-(ROW('CASE MASTER'!#REF!)-1)))&amp;TRIM(MID(SUBSTITUTE(SUBSTITUTE(INDEX('CASE MASTER'!$N$2:$N$495,(SUMPRODUCT((('CASE MASTER'!$T$2:$T$495=10)*('CASE MASTER'!$AA$2:$AA$495&lt;=2)*('CASE MASTER'!$AC$2:$AC$495&gt;=2)*('CASE MASTER'!$AB$2:$AB$495&lt;=8)*('CASE MASTER'!$AD$2:$AD$495&gt;=8))*ROW('CASE MASTER'!$T$2:$T$495))-(ROW('CASE MASTER'!#REF!)-1))),":",","),",",REPT(" ",50)),(((INDEX('CASE MASTER'!$Z$2:$Z$495,(SUMPRODUCT((('CASE MASTER'!$T$2:$T$495=10)*('CASE MASTER'!$AA$2:$AA$495&lt;=2)*('CASE MASTER'!$AC$2:$AC$495&gt;=2)*('CASE MASTER'!$AB$2:$AB$495&lt;=8)*('CASE MASTER'!$AD$2:$AD$495&gt;=8))*ROW('CASE MASTER'!$T$2:$T$495))-(ROW('CASE MASTER'!#REF!)-1)))+((2-INDEX('CASE MASTER'!$AA$2:$AA$495,(SUMPRODUCT((('CASE MASTER'!$T$2:$T$495=10)*('CASE MASTER'!$AA$2:$AA$495&lt;=2)*('CASE MASTER'!$AC$2:$AC$495&gt;=2)*('CASE MASTER'!$AB$2:$AB$495&lt;=8)*('CASE MASTER'!$AD$2:$AD$495&gt;=8))*ROW('CASE MASTER'!$T$2:$T$495))-(ROW('CASE MASTER'!#REF!)-1))))*(INDEX('CASE MASTER'!$AD$2:$AD$495,(SUMPRODUCT((('CASE MASTER'!$T$2:$T$495=10)*('CASE MASTER'!$AA$2:$AA$495&lt;=2)*('CASE MASTER'!$AC$2:$AC$495&gt;=2)*('CASE MASTER'!$AB$2:$AB$495&lt;=8)*('CASE MASTER'!$AD$2:$AD$495&gt;=8))*ROW('CASE MASTER'!$T$2:$T$495))-(ROW('CASE MASTER'!#REF!)-1)))-INDEX('CASE MASTER'!$AB$2:$AB$495,(SUMPRODUCT((('CASE MASTER'!$T$2:$T$495=10)*('CASE MASTER'!$AA$2:$AA$495&lt;=2)*('CASE MASTER'!$AC$2:$AC$495&gt;=2)*('CASE MASTER'!$AB$2:$AB$495&lt;=8)*('CASE MASTER'!$AD$2:$AD$495&gt;=8))*ROW('CASE MASTER'!$T$2:$T$495))-(ROW('CASE MASTER'!#REF!)-1)))+1)+(8-INDEX('CASE MASTER'!$AB$2:$AB$495,(SUMPRODUCT((('CASE MASTER'!$T$2:$T$495=10)*('CASE MASTER'!$AA$2:$AA$495&lt;=2)*('CASE MASTER'!$AC$2:$AC$495&gt;=2)*('CASE MASTER'!$AB$2:$AB$495&lt;=8)*('CASE MASTER'!$AD$2:$AD$495&gt;=8))*ROW('CASE MASTER'!$T$2:$T$495))-(ROW('CASE MASTER'!#REF!)-1))))+1)))-1)*50+1,50))&amp;"_"&amp;INDEX('CASE MASTER'!$Q$2:$Q$495,(SUMPRODUCT((('CASE MASTER'!$T$2:$T$495=10)*('CASE MASTER'!$AA$2:$AA$495&lt;=2)*('CASE MASTER'!$AC$2:$AC$495&gt;=2)*('CASE MASTER'!$AB$2:$AB$495&lt;=8)*('CASE MASTER'!$AD$2:$AD$495&gt;=8))*ROW('CASE MASTER'!$T$2:$T$495))-(ROW('CASE MASTER'!#REF!)-1))),"")),"")</f>
        <v/>
      </c>
      <c r="J130" s="10" t="str">
        <f>IFERROR(IF(SUMPRODUCT((('CASE MASTER'!$T$2:$T$495=10)*('CASE MASTER'!$U$2:$U$495&lt;=2)*('CASE MASTER'!$W$2:$W$495&gt;=2)*('CASE MASTER'!$V$2:$V$495&lt;=9)*('CASE MASTER'!$X$2:$X$495&gt;=9))*ROW('CASE MASTER'!$T$2:$T$495))&gt;0,INDEX('CASE MASTER'!$Y$2:$Y$495,(SUMPRODUCT((('CASE MASTER'!$T$2:$T$495=10)*('CASE MASTER'!$U$2:$U$495&lt;=2)*('CASE MASTER'!$W$2:$W$495&gt;=2)*('CASE MASTER'!$V$2:$V$495&lt;=9)*('CASE MASTER'!$X$2:$X$495&gt;=9))*ROW('CASE MASTER'!$T$2:$T$495))-(ROW('CASE MASTER'!#REF!)-1)))&amp;TRIM(MID(SUBSTITUTE(SUBSTITUTE(INDEX('CASE MASTER'!$N$2:$N$495,(SUMPRODUCT((('CASE MASTER'!$T$2:$T$495=10)*('CASE MASTER'!$U$2:$U$495&lt;=2)*('CASE MASTER'!$W$2:$W$495&gt;=2)*('CASE MASTER'!$V$2:$V$495&lt;=9)*('CASE MASTER'!$X$2:$X$495&gt;=9))*ROW('CASE MASTER'!$T$2:$T$495))-(ROW('CASE MASTER'!#REF!)-1))),":",","),",",REPT(" ",50)),((((2-INDEX('CASE MASTER'!$U$2:$U$495,(SUMPRODUCT((('CASE MASTER'!$T$2:$T$495=10)*('CASE MASTER'!$U$2:$U$495&lt;=2)*('CASE MASTER'!$W$2:$W$495&gt;=2)*('CASE MASTER'!$V$2:$V$495&lt;=9)*('CASE MASTER'!$X$2:$X$495&gt;=9))*ROW('CASE MASTER'!$T$2:$T$495))-(ROW('CASE MASTER'!#REF!)-1))))*(INDEX('CASE MASTER'!$X$2:$X$495,(SUMPRODUCT((('CASE MASTER'!$T$2:$T$495=10)*('CASE MASTER'!$U$2:$U$495&lt;=2)*('CASE MASTER'!$W$2:$W$495&gt;=2)*('CASE MASTER'!$V$2:$V$495&lt;=9)*('CASE MASTER'!$X$2:$X$495&gt;=9))*ROW('CASE MASTER'!$T$2:$T$495))-(ROW('CASE MASTER'!#REF!)-1)))-INDEX('CASE MASTER'!$V$2:$V$495,(SUMPRODUCT((('CASE MASTER'!$T$2:$T$495=10)*('CASE MASTER'!$U$2:$U$495&lt;=2)*('CASE MASTER'!$W$2:$W$495&gt;=2)*('CASE MASTER'!$V$2:$V$495&lt;=9)*('CASE MASTER'!$X$2:$X$495&gt;=9))*ROW('CASE MASTER'!$T$2:$T$495))-(ROW('CASE MASTER'!#REF!)-1)))+1)+(9-INDEX('CASE MASTER'!$V$2:$V$495,(SUMPRODUCT((('CASE MASTER'!$T$2:$T$495=10)*('CASE MASTER'!$U$2:$U$495&lt;=2)*('CASE MASTER'!$W$2:$W$495&gt;=2)*('CASE MASTER'!$V$2:$V$495&lt;=9)*('CASE MASTER'!$X$2:$X$495&gt;=9))*ROW('CASE MASTER'!$T$2:$T$495))-(ROW('CASE MASTER'!#REF!)-1))))+1))-1)*50+1,50))&amp;"_"&amp;INDEX('CASE MASTER'!$Q$2:$Q$495,(SUMPRODUCT((('CASE MASTER'!$T$2:$T$495=10)*('CASE MASTER'!$U$2:$U$495&lt;=2)*('CASE MASTER'!$W$2:$W$495&gt;=2)*('CASE MASTER'!$V$2:$V$495&lt;=9)*('CASE MASTER'!$X$2:$X$495&gt;=9))*ROW('CASE MASTER'!$T$2:$T$495))-(ROW('CASE MASTER'!#REF!)-1))),IF(SUMPRODUCT((('CASE MASTER'!$T$2:$T$495=10)*('CASE MASTER'!$AA$2:$AA$495&lt;=2)*('CASE MASTER'!$AC$2:$AC$495&gt;=2)*('CASE MASTER'!$AB$2:$AB$495&lt;=9)*('CASE MASTER'!$AD$2:$AD$495&gt;=9))*ROW('CASE MASTER'!$T$2:$T$495))&gt;0,INDEX('CASE MASTER'!$Y$2:$Y$495,(SUMPRODUCT((('CASE MASTER'!$T$2:$T$495=10)*('CASE MASTER'!$AA$2:$AA$495&lt;=2)*('CASE MASTER'!$AC$2:$AC$495&gt;=2)*('CASE MASTER'!$AB$2:$AB$495&lt;=9)*('CASE MASTER'!$AD$2:$AD$495&gt;=9))*ROW('CASE MASTER'!$T$2:$T$495))-(ROW('CASE MASTER'!#REF!)-1)))&amp;TRIM(MID(SUBSTITUTE(SUBSTITUTE(INDEX('CASE MASTER'!$N$2:$N$495,(SUMPRODUCT((('CASE MASTER'!$T$2:$T$495=10)*('CASE MASTER'!$AA$2:$AA$495&lt;=2)*('CASE MASTER'!$AC$2:$AC$495&gt;=2)*('CASE MASTER'!$AB$2:$AB$495&lt;=9)*('CASE MASTER'!$AD$2:$AD$495&gt;=9))*ROW('CASE MASTER'!$T$2:$T$495))-(ROW('CASE MASTER'!#REF!)-1))),":",","),",",REPT(" ",50)),(((INDEX('CASE MASTER'!$Z$2:$Z$495,(SUMPRODUCT((('CASE MASTER'!$T$2:$T$495=10)*('CASE MASTER'!$AA$2:$AA$495&lt;=2)*('CASE MASTER'!$AC$2:$AC$495&gt;=2)*('CASE MASTER'!$AB$2:$AB$495&lt;=9)*('CASE MASTER'!$AD$2:$AD$495&gt;=9))*ROW('CASE MASTER'!$T$2:$T$495))-(ROW('CASE MASTER'!#REF!)-1)))+((2-INDEX('CASE MASTER'!$AA$2:$AA$495,(SUMPRODUCT((('CASE MASTER'!$T$2:$T$495=10)*('CASE MASTER'!$AA$2:$AA$495&lt;=2)*('CASE MASTER'!$AC$2:$AC$495&gt;=2)*('CASE MASTER'!$AB$2:$AB$495&lt;=9)*('CASE MASTER'!$AD$2:$AD$495&gt;=9))*ROW('CASE MASTER'!$T$2:$T$495))-(ROW('CASE MASTER'!#REF!)-1))))*(INDEX('CASE MASTER'!$AD$2:$AD$495,(SUMPRODUCT((('CASE MASTER'!$T$2:$T$495=10)*('CASE MASTER'!$AA$2:$AA$495&lt;=2)*('CASE MASTER'!$AC$2:$AC$495&gt;=2)*('CASE MASTER'!$AB$2:$AB$495&lt;=9)*('CASE MASTER'!$AD$2:$AD$495&gt;=9))*ROW('CASE MASTER'!$T$2:$T$495))-(ROW('CASE MASTER'!#REF!)-1)))-INDEX('CASE MASTER'!$AB$2:$AB$495,(SUMPRODUCT((('CASE MASTER'!$T$2:$T$495=10)*('CASE MASTER'!$AA$2:$AA$495&lt;=2)*('CASE MASTER'!$AC$2:$AC$495&gt;=2)*('CASE MASTER'!$AB$2:$AB$495&lt;=9)*('CASE MASTER'!$AD$2:$AD$495&gt;=9))*ROW('CASE MASTER'!$T$2:$T$495))-(ROW('CASE MASTER'!#REF!)-1)))+1)+(9-INDEX('CASE MASTER'!$AB$2:$AB$495,(SUMPRODUCT((('CASE MASTER'!$T$2:$T$495=10)*('CASE MASTER'!$AA$2:$AA$495&lt;=2)*('CASE MASTER'!$AC$2:$AC$495&gt;=2)*('CASE MASTER'!$AB$2:$AB$495&lt;=9)*('CASE MASTER'!$AD$2:$AD$495&gt;=9))*ROW('CASE MASTER'!$T$2:$T$495))-(ROW('CASE MASTER'!#REF!)-1))))+1)))-1)*50+1,50))&amp;"_"&amp;INDEX('CASE MASTER'!$Q$2:$Q$495,(SUMPRODUCT((('CASE MASTER'!$T$2:$T$495=10)*('CASE MASTER'!$AA$2:$AA$495&lt;=2)*('CASE MASTER'!$AC$2:$AC$495&gt;=2)*('CASE MASTER'!$AB$2:$AB$495&lt;=9)*('CASE MASTER'!$AD$2:$AD$495&gt;=9))*ROW('CASE MASTER'!$T$2:$T$495))-(ROW('CASE MASTER'!#REF!)-1))),"")),"")</f>
        <v/>
      </c>
      <c r="K130" s="10" t="str">
        <f>IFERROR(IF(SUMPRODUCT((('CASE MASTER'!$T$2:$T$495=10)*('CASE MASTER'!$U$2:$U$495&lt;=2)*('CASE MASTER'!$W$2:$W$495&gt;=2)*('CASE MASTER'!$V$2:$V$495&lt;=10)*('CASE MASTER'!$X$2:$X$495&gt;=10))*ROW('CASE MASTER'!$T$2:$T$495))&gt;0,INDEX('CASE MASTER'!$Y$2:$Y$495,(SUMPRODUCT((('CASE MASTER'!$T$2:$T$495=10)*('CASE MASTER'!$U$2:$U$495&lt;=2)*('CASE MASTER'!$W$2:$W$495&gt;=2)*('CASE MASTER'!$V$2:$V$495&lt;=10)*('CASE MASTER'!$X$2:$X$495&gt;=10))*ROW('CASE MASTER'!$T$2:$T$495))-(ROW('CASE MASTER'!#REF!)-1)))&amp;TRIM(MID(SUBSTITUTE(SUBSTITUTE(INDEX('CASE MASTER'!$N$2:$N$495,(SUMPRODUCT((('CASE MASTER'!$T$2:$T$495=10)*('CASE MASTER'!$U$2:$U$495&lt;=2)*('CASE MASTER'!$W$2:$W$495&gt;=2)*('CASE MASTER'!$V$2:$V$495&lt;=10)*('CASE MASTER'!$X$2:$X$495&gt;=10))*ROW('CASE MASTER'!$T$2:$T$495))-(ROW('CASE MASTER'!#REF!)-1))),":",","),",",REPT(" ",50)),((((2-INDEX('CASE MASTER'!$U$2:$U$495,(SUMPRODUCT((('CASE MASTER'!$T$2:$T$495=10)*('CASE MASTER'!$U$2:$U$495&lt;=2)*('CASE MASTER'!$W$2:$W$495&gt;=2)*('CASE MASTER'!$V$2:$V$495&lt;=10)*('CASE MASTER'!$X$2:$X$495&gt;=10))*ROW('CASE MASTER'!$T$2:$T$495))-(ROW('CASE MASTER'!#REF!)-1))))*(INDEX('CASE MASTER'!$X$2:$X$495,(SUMPRODUCT((('CASE MASTER'!$T$2:$T$495=10)*('CASE MASTER'!$U$2:$U$495&lt;=2)*('CASE MASTER'!$W$2:$W$495&gt;=2)*('CASE MASTER'!$V$2:$V$495&lt;=10)*('CASE MASTER'!$X$2:$X$495&gt;=10))*ROW('CASE MASTER'!$T$2:$T$495))-(ROW('CASE MASTER'!#REF!)-1)))-INDEX('CASE MASTER'!$V$2:$V$495,(SUMPRODUCT((('CASE MASTER'!$T$2:$T$495=10)*('CASE MASTER'!$U$2:$U$495&lt;=2)*('CASE MASTER'!$W$2:$W$495&gt;=2)*('CASE MASTER'!$V$2:$V$495&lt;=10)*('CASE MASTER'!$X$2:$X$495&gt;=10))*ROW('CASE MASTER'!$T$2:$T$495))-(ROW('CASE MASTER'!#REF!)-1)))+1)+(10-INDEX('CASE MASTER'!$V$2:$V$495,(SUMPRODUCT((('CASE MASTER'!$T$2:$T$495=10)*('CASE MASTER'!$U$2:$U$495&lt;=2)*('CASE MASTER'!$W$2:$W$495&gt;=2)*('CASE MASTER'!$V$2:$V$495&lt;=10)*('CASE MASTER'!$X$2:$X$495&gt;=10))*ROW('CASE MASTER'!$T$2:$T$495))-(ROW('CASE MASTER'!#REF!)-1))))+1))-1)*50+1,50))&amp;"_"&amp;INDEX('CASE MASTER'!$Q$2:$Q$495,(SUMPRODUCT((('CASE MASTER'!$T$2:$T$495=10)*('CASE MASTER'!$U$2:$U$495&lt;=2)*('CASE MASTER'!$W$2:$W$495&gt;=2)*('CASE MASTER'!$V$2:$V$495&lt;=10)*('CASE MASTER'!$X$2:$X$495&gt;=10))*ROW('CASE MASTER'!$T$2:$T$495))-(ROW('CASE MASTER'!#REF!)-1))),IF(SUMPRODUCT((('CASE MASTER'!$T$2:$T$495=10)*('CASE MASTER'!$AA$2:$AA$495&lt;=2)*('CASE MASTER'!$AC$2:$AC$495&gt;=2)*('CASE MASTER'!$AB$2:$AB$495&lt;=10)*('CASE MASTER'!$AD$2:$AD$495&gt;=10))*ROW('CASE MASTER'!$T$2:$T$495))&gt;0,INDEX('CASE MASTER'!$Y$2:$Y$495,(SUMPRODUCT((('CASE MASTER'!$T$2:$T$495=10)*('CASE MASTER'!$AA$2:$AA$495&lt;=2)*('CASE MASTER'!$AC$2:$AC$495&gt;=2)*('CASE MASTER'!$AB$2:$AB$495&lt;=10)*('CASE MASTER'!$AD$2:$AD$495&gt;=10))*ROW('CASE MASTER'!$T$2:$T$495))-(ROW('CASE MASTER'!#REF!)-1)))&amp;TRIM(MID(SUBSTITUTE(SUBSTITUTE(INDEX('CASE MASTER'!$N$2:$N$495,(SUMPRODUCT((('CASE MASTER'!$T$2:$T$495=10)*('CASE MASTER'!$AA$2:$AA$495&lt;=2)*('CASE MASTER'!$AC$2:$AC$495&gt;=2)*('CASE MASTER'!$AB$2:$AB$495&lt;=10)*('CASE MASTER'!$AD$2:$AD$495&gt;=10))*ROW('CASE MASTER'!$T$2:$T$495))-(ROW('CASE MASTER'!#REF!)-1))),":",","),",",REPT(" ",50)),(((INDEX('CASE MASTER'!$Z$2:$Z$495,(SUMPRODUCT((('CASE MASTER'!$T$2:$T$495=10)*('CASE MASTER'!$AA$2:$AA$495&lt;=2)*('CASE MASTER'!$AC$2:$AC$495&gt;=2)*('CASE MASTER'!$AB$2:$AB$495&lt;=10)*('CASE MASTER'!$AD$2:$AD$495&gt;=10))*ROW('CASE MASTER'!$T$2:$T$495))-(ROW('CASE MASTER'!#REF!)-1)))+((2-INDEX('CASE MASTER'!$AA$2:$AA$495,(SUMPRODUCT((('CASE MASTER'!$T$2:$T$495=10)*('CASE MASTER'!$AA$2:$AA$495&lt;=2)*('CASE MASTER'!$AC$2:$AC$495&gt;=2)*('CASE MASTER'!$AB$2:$AB$495&lt;=10)*('CASE MASTER'!$AD$2:$AD$495&gt;=10))*ROW('CASE MASTER'!$T$2:$T$495))-(ROW('CASE MASTER'!#REF!)-1))))*(INDEX('CASE MASTER'!$AD$2:$AD$495,(SUMPRODUCT((('CASE MASTER'!$T$2:$T$495=10)*('CASE MASTER'!$AA$2:$AA$495&lt;=2)*('CASE MASTER'!$AC$2:$AC$495&gt;=2)*('CASE MASTER'!$AB$2:$AB$495&lt;=10)*('CASE MASTER'!$AD$2:$AD$495&gt;=10))*ROW('CASE MASTER'!$T$2:$T$495))-(ROW('CASE MASTER'!#REF!)-1)))-INDEX('CASE MASTER'!$AB$2:$AB$495,(SUMPRODUCT((('CASE MASTER'!$T$2:$T$495=10)*('CASE MASTER'!$AA$2:$AA$495&lt;=2)*('CASE MASTER'!$AC$2:$AC$495&gt;=2)*('CASE MASTER'!$AB$2:$AB$495&lt;=10)*('CASE MASTER'!$AD$2:$AD$495&gt;=10))*ROW('CASE MASTER'!$T$2:$T$495))-(ROW('CASE MASTER'!#REF!)-1)))+1)+(10-INDEX('CASE MASTER'!$AB$2:$AB$495,(SUMPRODUCT((('CASE MASTER'!$T$2:$T$495=10)*('CASE MASTER'!$AA$2:$AA$495&lt;=2)*('CASE MASTER'!$AC$2:$AC$495&gt;=2)*('CASE MASTER'!$AB$2:$AB$495&lt;=10)*('CASE MASTER'!$AD$2:$AD$495&gt;=10))*ROW('CASE MASTER'!$T$2:$T$495))-(ROW('CASE MASTER'!#REF!)-1))))+1)))-1)*50+1,50))&amp;"_"&amp;INDEX('CASE MASTER'!$Q$2:$Q$495,(SUMPRODUCT((('CASE MASTER'!$T$2:$T$495=10)*('CASE MASTER'!$AA$2:$AA$495&lt;=2)*('CASE MASTER'!$AC$2:$AC$495&gt;=2)*('CASE MASTER'!$AB$2:$AB$495&lt;=10)*('CASE MASTER'!$AD$2:$AD$495&gt;=10))*ROW('CASE MASTER'!$T$2:$T$495))-(ROW('CASE MASTER'!#REF!)-1))),"")),"")</f>
        <v/>
      </c>
    </row>
    <row r="131" spans="1:11" ht="15" customHeight="1" x14ac:dyDescent="0.35">
      <c r="A131" s="8" t="s">
        <v>30</v>
      </c>
      <c r="B131" s="10" t="str">
        <f>IFERROR(IF(SUMPRODUCT((('CASE MASTER'!$T$2:$T$495=10)*('CASE MASTER'!$U$2:$U$495&lt;=3)*('CASE MASTER'!$W$2:$W$495&gt;=3)*('CASE MASTER'!$V$2:$V$495&lt;=1)*('CASE MASTER'!$X$2:$X$495&gt;=1))*ROW('CASE MASTER'!$T$2:$T$495))&gt;0,INDEX('CASE MASTER'!$Y$2:$Y$495,(SUMPRODUCT((('CASE MASTER'!$T$2:$T$495=10)*('CASE MASTER'!$U$2:$U$495&lt;=3)*('CASE MASTER'!$W$2:$W$495&gt;=3)*('CASE MASTER'!$V$2:$V$495&lt;=1)*('CASE MASTER'!$X$2:$X$495&gt;=1))*ROW('CASE MASTER'!$T$2:$T$495))-(ROW('CASE MASTER'!#REF!)-1)))&amp;TRIM(MID(SUBSTITUTE(SUBSTITUTE(INDEX('CASE MASTER'!$N$2:$N$495,(SUMPRODUCT((('CASE MASTER'!$T$2:$T$495=10)*('CASE MASTER'!$U$2:$U$495&lt;=3)*('CASE MASTER'!$W$2:$W$495&gt;=3)*('CASE MASTER'!$V$2:$V$495&lt;=1)*('CASE MASTER'!$X$2:$X$495&gt;=1))*ROW('CASE MASTER'!$T$2:$T$495))-(ROW('CASE MASTER'!#REF!)-1))),":",","),",",REPT(" ",50)),((((3-INDEX('CASE MASTER'!$U$2:$U$495,(SUMPRODUCT((('CASE MASTER'!$T$2:$T$495=10)*('CASE MASTER'!$U$2:$U$495&lt;=3)*('CASE MASTER'!$W$2:$W$495&gt;=3)*('CASE MASTER'!$V$2:$V$495&lt;=1)*('CASE MASTER'!$X$2:$X$495&gt;=1))*ROW('CASE MASTER'!$T$2:$T$495))-(ROW('CASE MASTER'!#REF!)-1))))*(INDEX('CASE MASTER'!$X$2:$X$495,(SUMPRODUCT((('CASE MASTER'!$T$2:$T$495=10)*('CASE MASTER'!$U$2:$U$495&lt;=3)*('CASE MASTER'!$W$2:$W$495&gt;=3)*('CASE MASTER'!$V$2:$V$495&lt;=1)*('CASE MASTER'!$X$2:$X$495&gt;=1))*ROW('CASE MASTER'!$T$2:$T$495))-(ROW('CASE MASTER'!#REF!)-1)))-INDEX('CASE MASTER'!$V$2:$V$495,(SUMPRODUCT((('CASE MASTER'!$T$2:$T$495=10)*('CASE MASTER'!$U$2:$U$495&lt;=3)*('CASE MASTER'!$W$2:$W$495&gt;=3)*('CASE MASTER'!$V$2:$V$495&lt;=1)*('CASE MASTER'!$X$2:$X$495&gt;=1))*ROW('CASE MASTER'!$T$2:$T$495))-(ROW('CASE MASTER'!#REF!)-1)))+1)+(1-INDEX('CASE MASTER'!$V$2:$V$495,(SUMPRODUCT((('CASE MASTER'!$T$2:$T$495=10)*('CASE MASTER'!$U$2:$U$495&lt;=3)*('CASE MASTER'!$W$2:$W$495&gt;=3)*('CASE MASTER'!$V$2:$V$495&lt;=1)*('CASE MASTER'!$X$2:$X$495&gt;=1))*ROW('CASE MASTER'!$T$2:$T$495))-(ROW('CASE MASTER'!#REF!)-1))))+1))-1)*50+1,50))&amp;"_"&amp;INDEX('CASE MASTER'!$Q$2:$Q$495,(SUMPRODUCT((('CASE MASTER'!$T$2:$T$495=10)*('CASE MASTER'!$U$2:$U$495&lt;=3)*('CASE MASTER'!$W$2:$W$495&gt;=3)*('CASE MASTER'!$V$2:$V$495&lt;=1)*('CASE MASTER'!$X$2:$X$495&gt;=1))*ROW('CASE MASTER'!$T$2:$T$495))-(ROW('CASE MASTER'!#REF!)-1))),IF(SUMPRODUCT((('CASE MASTER'!$T$2:$T$495=10)*('CASE MASTER'!$AA$2:$AA$495&lt;=3)*('CASE MASTER'!$AC$2:$AC$495&gt;=3)*('CASE MASTER'!$AB$2:$AB$495&lt;=1)*('CASE MASTER'!$AD$2:$AD$495&gt;=1))*ROW('CASE MASTER'!$T$2:$T$495))&gt;0,INDEX('CASE MASTER'!$Y$2:$Y$495,(SUMPRODUCT((('CASE MASTER'!$T$2:$T$495=10)*('CASE MASTER'!$AA$2:$AA$495&lt;=3)*('CASE MASTER'!$AC$2:$AC$495&gt;=3)*('CASE MASTER'!$AB$2:$AB$495&lt;=1)*('CASE MASTER'!$AD$2:$AD$495&gt;=1))*ROW('CASE MASTER'!$T$2:$T$495))-(ROW('CASE MASTER'!#REF!)-1)))&amp;TRIM(MID(SUBSTITUTE(SUBSTITUTE(INDEX('CASE MASTER'!$N$2:$N$495,(SUMPRODUCT((('CASE MASTER'!$T$2:$T$495=10)*('CASE MASTER'!$AA$2:$AA$495&lt;=3)*('CASE MASTER'!$AC$2:$AC$495&gt;=3)*('CASE MASTER'!$AB$2:$AB$495&lt;=1)*('CASE MASTER'!$AD$2:$AD$495&gt;=1))*ROW('CASE MASTER'!$T$2:$T$495))-(ROW('CASE MASTER'!#REF!)-1))),":",","),",",REPT(" ",50)),(((INDEX('CASE MASTER'!$Z$2:$Z$495,(SUMPRODUCT((('CASE MASTER'!$T$2:$T$495=10)*('CASE MASTER'!$AA$2:$AA$495&lt;=3)*('CASE MASTER'!$AC$2:$AC$495&gt;=3)*('CASE MASTER'!$AB$2:$AB$495&lt;=1)*('CASE MASTER'!$AD$2:$AD$495&gt;=1))*ROW('CASE MASTER'!$T$2:$T$495))-(ROW('CASE MASTER'!#REF!)-1)))+((3-INDEX('CASE MASTER'!$AA$2:$AA$495,(SUMPRODUCT((('CASE MASTER'!$T$2:$T$495=10)*('CASE MASTER'!$AA$2:$AA$495&lt;=3)*('CASE MASTER'!$AC$2:$AC$495&gt;=3)*('CASE MASTER'!$AB$2:$AB$495&lt;=1)*('CASE MASTER'!$AD$2:$AD$495&gt;=1))*ROW('CASE MASTER'!$T$2:$T$495))-(ROW('CASE MASTER'!#REF!)-1))))*(INDEX('CASE MASTER'!$AD$2:$AD$495,(SUMPRODUCT((('CASE MASTER'!$T$2:$T$495=10)*('CASE MASTER'!$AA$2:$AA$495&lt;=3)*('CASE MASTER'!$AC$2:$AC$495&gt;=3)*('CASE MASTER'!$AB$2:$AB$495&lt;=1)*('CASE MASTER'!$AD$2:$AD$495&gt;=1))*ROW('CASE MASTER'!$T$2:$T$495))-(ROW('CASE MASTER'!#REF!)-1)))-INDEX('CASE MASTER'!$AB$2:$AB$495,(SUMPRODUCT((('CASE MASTER'!$T$2:$T$495=10)*('CASE MASTER'!$AA$2:$AA$495&lt;=3)*('CASE MASTER'!$AC$2:$AC$495&gt;=3)*('CASE MASTER'!$AB$2:$AB$495&lt;=1)*('CASE MASTER'!$AD$2:$AD$495&gt;=1))*ROW('CASE MASTER'!$T$2:$T$495))-(ROW('CASE MASTER'!#REF!)-1)))+1)+(1-INDEX('CASE MASTER'!$AB$2:$AB$495,(SUMPRODUCT((('CASE MASTER'!$T$2:$T$495=10)*('CASE MASTER'!$AA$2:$AA$495&lt;=3)*('CASE MASTER'!$AC$2:$AC$495&gt;=3)*('CASE MASTER'!$AB$2:$AB$495&lt;=1)*('CASE MASTER'!$AD$2:$AD$495&gt;=1))*ROW('CASE MASTER'!$T$2:$T$495))-(ROW('CASE MASTER'!#REF!)-1))))+1)))-1)*50+1,50))&amp;"_"&amp;INDEX('CASE MASTER'!$Q$2:$Q$495,(SUMPRODUCT((('CASE MASTER'!$T$2:$T$495=10)*('CASE MASTER'!$AA$2:$AA$495&lt;=3)*('CASE MASTER'!$AC$2:$AC$495&gt;=3)*('CASE MASTER'!$AB$2:$AB$495&lt;=1)*('CASE MASTER'!$AD$2:$AD$495&gt;=1))*ROW('CASE MASTER'!$T$2:$T$495))-(ROW('CASE MASTER'!#REF!)-1))),"")),"")</f>
        <v/>
      </c>
      <c r="C131" s="10" t="str">
        <f>IFERROR(IF(SUMPRODUCT((('CASE MASTER'!$T$2:$T$495=10)*('CASE MASTER'!$U$2:$U$495&lt;=3)*('CASE MASTER'!$W$2:$W$495&gt;=3)*('CASE MASTER'!$V$2:$V$495&lt;=2)*('CASE MASTER'!$X$2:$X$495&gt;=2))*ROW('CASE MASTER'!$T$2:$T$495))&gt;0,INDEX('CASE MASTER'!$Y$2:$Y$495,(SUMPRODUCT((('CASE MASTER'!$T$2:$T$495=10)*('CASE MASTER'!$U$2:$U$495&lt;=3)*('CASE MASTER'!$W$2:$W$495&gt;=3)*('CASE MASTER'!$V$2:$V$495&lt;=2)*('CASE MASTER'!$X$2:$X$495&gt;=2))*ROW('CASE MASTER'!$T$2:$T$495))-(ROW('CASE MASTER'!#REF!)-1)))&amp;TRIM(MID(SUBSTITUTE(SUBSTITUTE(INDEX('CASE MASTER'!$N$2:$N$495,(SUMPRODUCT((('CASE MASTER'!$T$2:$T$495=10)*('CASE MASTER'!$U$2:$U$495&lt;=3)*('CASE MASTER'!$W$2:$W$495&gt;=3)*('CASE MASTER'!$V$2:$V$495&lt;=2)*('CASE MASTER'!$X$2:$X$495&gt;=2))*ROW('CASE MASTER'!$T$2:$T$495))-(ROW('CASE MASTER'!#REF!)-1))),":",","),",",REPT(" ",50)),((((3-INDEX('CASE MASTER'!$U$2:$U$495,(SUMPRODUCT((('CASE MASTER'!$T$2:$T$495=10)*('CASE MASTER'!$U$2:$U$495&lt;=3)*('CASE MASTER'!$W$2:$W$495&gt;=3)*('CASE MASTER'!$V$2:$V$495&lt;=2)*('CASE MASTER'!$X$2:$X$495&gt;=2))*ROW('CASE MASTER'!$T$2:$T$495))-(ROW('CASE MASTER'!#REF!)-1))))*(INDEX('CASE MASTER'!$X$2:$X$495,(SUMPRODUCT((('CASE MASTER'!$T$2:$T$495=10)*('CASE MASTER'!$U$2:$U$495&lt;=3)*('CASE MASTER'!$W$2:$W$495&gt;=3)*('CASE MASTER'!$V$2:$V$495&lt;=2)*('CASE MASTER'!$X$2:$X$495&gt;=2))*ROW('CASE MASTER'!$T$2:$T$495))-(ROW('CASE MASTER'!#REF!)-1)))-INDEX('CASE MASTER'!$V$2:$V$495,(SUMPRODUCT((('CASE MASTER'!$T$2:$T$495=10)*('CASE MASTER'!$U$2:$U$495&lt;=3)*('CASE MASTER'!$W$2:$W$495&gt;=3)*('CASE MASTER'!$V$2:$V$495&lt;=2)*('CASE MASTER'!$X$2:$X$495&gt;=2))*ROW('CASE MASTER'!$T$2:$T$495))-(ROW('CASE MASTER'!#REF!)-1)))+1)+(2-INDEX('CASE MASTER'!$V$2:$V$495,(SUMPRODUCT((('CASE MASTER'!$T$2:$T$495=10)*('CASE MASTER'!$U$2:$U$495&lt;=3)*('CASE MASTER'!$W$2:$W$495&gt;=3)*('CASE MASTER'!$V$2:$V$495&lt;=2)*('CASE MASTER'!$X$2:$X$495&gt;=2))*ROW('CASE MASTER'!$T$2:$T$495))-(ROW('CASE MASTER'!#REF!)-1))))+1))-1)*50+1,50))&amp;"_"&amp;INDEX('CASE MASTER'!$Q$2:$Q$495,(SUMPRODUCT((('CASE MASTER'!$T$2:$T$495=10)*('CASE MASTER'!$U$2:$U$495&lt;=3)*('CASE MASTER'!$W$2:$W$495&gt;=3)*('CASE MASTER'!$V$2:$V$495&lt;=2)*('CASE MASTER'!$X$2:$X$495&gt;=2))*ROW('CASE MASTER'!$T$2:$T$495))-(ROW('CASE MASTER'!#REF!)-1))),IF(SUMPRODUCT((('CASE MASTER'!$T$2:$T$495=10)*('CASE MASTER'!$AA$2:$AA$495&lt;=3)*('CASE MASTER'!$AC$2:$AC$495&gt;=3)*('CASE MASTER'!$AB$2:$AB$495&lt;=2)*('CASE MASTER'!$AD$2:$AD$495&gt;=2))*ROW('CASE MASTER'!$T$2:$T$495))&gt;0,INDEX('CASE MASTER'!$Y$2:$Y$495,(SUMPRODUCT((('CASE MASTER'!$T$2:$T$495=10)*('CASE MASTER'!$AA$2:$AA$495&lt;=3)*('CASE MASTER'!$AC$2:$AC$495&gt;=3)*('CASE MASTER'!$AB$2:$AB$495&lt;=2)*('CASE MASTER'!$AD$2:$AD$495&gt;=2))*ROW('CASE MASTER'!$T$2:$T$495))-(ROW('CASE MASTER'!#REF!)-1)))&amp;TRIM(MID(SUBSTITUTE(SUBSTITUTE(INDEX('CASE MASTER'!$N$2:$N$495,(SUMPRODUCT((('CASE MASTER'!$T$2:$T$495=10)*('CASE MASTER'!$AA$2:$AA$495&lt;=3)*('CASE MASTER'!$AC$2:$AC$495&gt;=3)*('CASE MASTER'!$AB$2:$AB$495&lt;=2)*('CASE MASTER'!$AD$2:$AD$495&gt;=2))*ROW('CASE MASTER'!$T$2:$T$495))-(ROW('CASE MASTER'!#REF!)-1))),":",","),",",REPT(" ",50)),(((INDEX('CASE MASTER'!$Z$2:$Z$495,(SUMPRODUCT((('CASE MASTER'!$T$2:$T$495=10)*('CASE MASTER'!$AA$2:$AA$495&lt;=3)*('CASE MASTER'!$AC$2:$AC$495&gt;=3)*('CASE MASTER'!$AB$2:$AB$495&lt;=2)*('CASE MASTER'!$AD$2:$AD$495&gt;=2))*ROW('CASE MASTER'!$T$2:$T$495))-(ROW('CASE MASTER'!#REF!)-1)))+((3-INDEX('CASE MASTER'!$AA$2:$AA$495,(SUMPRODUCT((('CASE MASTER'!$T$2:$T$495=10)*('CASE MASTER'!$AA$2:$AA$495&lt;=3)*('CASE MASTER'!$AC$2:$AC$495&gt;=3)*('CASE MASTER'!$AB$2:$AB$495&lt;=2)*('CASE MASTER'!$AD$2:$AD$495&gt;=2))*ROW('CASE MASTER'!$T$2:$T$495))-(ROW('CASE MASTER'!#REF!)-1))))*(INDEX('CASE MASTER'!$AD$2:$AD$495,(SUMPRODUCT((('CASE MASTER'!$T$2:$T$495=10)*('CASE MASTER'!$AA$2:$AA$495&lt;=3)*('CASE MASTER'!$AC$2:$AC$495&gt;=3)*('CASE MASTER'!$AB$2:$AB$495&lt;=2)*('CASE MASTER'!$AD$2:$AD$495&gt;=2))*ROW('CASE MASTER'!$T$2:$T$495))-(ROW('CASE MASTER'!#REF!)-1)))-INDEX('CASE MASTER'!$AB$2:$AB$495,(SUMPRODUCT((('CASE MASTER'!$T$2:$T$495=10)*('CASE MASTER'!$AA$2:$AA$495&lt;=3)*('CASE MASTER'!$AC$2:$AC$495&gt;=3)*('CASE MASTER'!$AB$2:$AB$495&lt;=2)*('CASE MASTER'!$AD$2:$AD$495&gt;=2))*ROW('CASE MASTER'!$T$2:$T$495))-(ROW('CASE MASTER'!#REF!)-1)))+1)+(2-INDEX('CASE MASTER'!$AB$2:$AB$495,(SUMPRODUCT((('CASE MASTER'!$T$2:$T$495=10)*('CASE MASTER'!$AA$2:$AA$495&lt;=3)*('CASE MASTER'!$AC$2:$AC$495&gt;=3)*('CASE MASTER'!$AB$2:$AB$495&lt;=2)*('CASE MASTER'!$AD$2:$AD$495&gt;=2))*ROW('CASE MASTER'!$T$2:$T$495))-(ROW('CASE MASTER'!#REF!)-1))))+1)))-1)*50+1,50))&amp;"_"&amp;INDEX('CASE MASTER'!$Q$2:$Q$495,(SUMPRODUCT((('CASE MASTER'!$T$2:$T$495=10)*('CASE MASTER'!$AA$2:$AA$495&lt;=3)*('CASE MASTER'!$AC$2:$AC$495&gt;=3)*('CASE MASTER'!$AB$2:$AB$495&lt;=2)*('CASE MASTER'!$AD$2:$AD$495&gt;=2))*ROW('CASE MASTER'!$T$2:$T$495))-(ROW('CASE MASTER'!#REF!)-1))),"")),"")</f>
        <v/>
      </c>
      <c r="D131" s="10" t="str">
        <f>IFERROR(IF(SUMPRODUCT((('CASE MASTER'!$T$2:$T$495=10)*('CASE MASTER'!$U$2:$U$495&lt;=3)*('CASE MASTER'!$W$2:$W$495&gt;=3)*('CASE MASTER'!$V$2:$V$495&lt;=3)*('CASE MASTER'!$X$2:$X$495&gt;=3))*ROW('CASE MASTER'!$T$2:$T$495))&gt;0,INDEX('CASE MASTER'!$Y$2:$Y$495,(SUMPRODUCT((('CASE MASTER'!$T$2:$T$495=10)*('CASE MASTER'!$U$2:$U$495&lt;=3)*('CASE MASTER'!$W$2:$W$495&gt;=3)*('CASE MASTER'!$V$2:$V$495&lt;=3)*('CASE MASTER'!$X$2:$X$495&gt;=3))*ROW('CASE MASTER'!$T$2:$T$495))-(ROW('CASE MASTER'!#REF!)-1)))&amp;TRIM(MID(SUBSTITUTE(SUBSTITUTE(INDEX('CASE MASTER'!$N$2:$N$495,(SUMPRODUCT((('CASE MASTER'!$T$2:$T$495=10)*('CASE MASTER'!$U$2:$U$495&lt;=3)*('CASE MASTER'!$W$2:$W$495&gt;=3)*('CASE MASTER'!$V$2:$V$495&lt;=3)*('CASE MASTER'!$X$2:$X$495&gt;=3))*ROW('CASE MASTER'!$T$2:$T$495))-(ROW('CASE MASTER'!#REF!)-1))),":",","),",",REPT(" ",50)),((((3-INDEX('CASE MASTER'!$U$2:$U$495,(SUMPRODUCT((('CASE MASTER'!$T$2:$T$495=10)*('CASE MASTER'!$U$2:$U$495&lt;=3)*('CASE MASTER'!$W$2:$W$495&gt;=3)*('CASE MASTER'!$V$2:$V$495&lt;=3)*('CASE MASTER'!$X$2:$X$495&gt;=3))*ROW('CASE MASTER'!$T$2:$T$495))-(ROW('CASE MASTER'!#REF!)-1))))*(INDEX('CASE MASTER'!$X$2:$X$495,(SUMPRODUCT((('CASE MASTER'!$T$2:$T$495=10)*('CASE MASTER'!$U$2:$U$495&lt;=3)*('CASE MASTER'!$W$2:$W$495&gt;=3)*('CASE MASTER'!$V$2:$V$495&lt;=3)*('CASE MASTER'!$X$2:$X$495&gt;=3))*ROW('CASE MASTER'!$T$2:$T$495))-(ROW('CASE MASTER'!#REF!)-1)))-INDEX('CASE MASTER'!$V$2:$V$495,(SUMPRODUCT((('CASE MASTER'!$T$2:$T$495=10)*('CASE MASTER'!$U$2:$U$495&lt;=3)*('CASE MASTER'!$W$2:$W$495&gt;=3)*('CASE MASTER'!$V$2:$V$495&lt;=3)*('CASE MASTER'!$X$2:$X$495&gt;=3))*ROW('CASE MASTER'!$T$2:$T$495))-(ROW('CASE MASTER'!#REF!)-1)))+1)+(3-INDEX('CASE MASTER'!$V$2:$V$495,(SUMPRODUCT((('CASE MASTER'!$T$2:$T$495=10)*('CASE MASTER'!$U$2:$U$495&lt;=3)*('CASE MASTER'!$W$2:$W$495&gt;=3)*('CASE MASTER'!$V$2:$V$495&lt;=3)*('CASE MASTER'!$X$2:$X$495&gt;=3))*ROW('CASE MASTER'!$T$2:$T$495))-(ROW('CASE MASTER'!#REF!)-1))))+1))-1)*50+1,50))&amp;"_"&amp;INDEX('CASE MASTER'!$Q$2:$Q$495,(SUMPRODUCT((('CASE MASTER'!$T$2:$T$495=10)*('CASE MASTER'!$U$2:$U$495&lt;=3)*('CASE MASTER'!$W$2:$W$495&gt;=3)*('CASE MASTER'!$V$2:$V$495&lt;=3)*('CASE MASTER'!$X$2:$X$495&gt;=3))*ROW('CASE MASTER'!$T$2:$T$495))-(ROW('CASE MASTER'!#REF!)-1))),IF(SUMPRODUCT((('CASE MASTER'!$T$2:$T$495=10)*('CASE MASTER'!$AA$2:$AA$495&lt;=3)*('CASE MASTER'!$AC$2:$AC$495&gt;=3)*('CASE MASTER'!$AB$2:$AB$495&lt;=3)*('CASE MASTER'!$AD$2:$AD$495&gt;=3))*ROW('CASE MASTER'!$T$2:$T$495))&gt;0,INDEX('CASE MASTER'!$Y$2:$Y$495,(SUMPRODUCT((('CASE MASTER'!$T$2:$T$495=10)*('CASE MASTER'!$AA$2:$AA$495&lt;=3)*('CASE MASTER'!$AC$2:$AC$495&gt;=3)*('CASE MASTER'!$AB$2:$AB$495&lt;=3)*('CASE MASTER'!$AD$2:$AD$495&gt;=3))*ROW('CASE MASTER'!$T$2:$T$495))-(ROW('CASE MASTER'!#REF!)-1)))&amp;TRIM(MID(SUBSTITUTE(SUBSTITUTE(INDEX('CASE MASTER'!$N$2:$N$495,(SUMPRODUCT((('CASE MASTER'!$T$2:$T$495=10)*('CASE MASTER'!$AA$2:$AA$495&lt;=3)*('CASE MASTER'!$AC$2:$AC$495&gt;=3)*('CASE MASTER'!$AB$2:$AB$495&lt;=3)*('CASE MASTER'!$AD$2:$AD$495&gt;=3))*ROW('CASE MASTER'!$T$2:$T$495))-(ROW('CASE MASTER'!#REF!)-1))),":",","),",",REPT(" ",50)),(((INDEX('CASE MASTER'!$Z$2:$Z$495,(SUMPRODUCT((('CASE MASTER'!$T$2:$T$495=10)*('CASE MASTER'!$AA$2:$AA$495&lt;=3)*('CASE MASTER'!$AC$2:$AC$495&gt;=3)*('CASE MASTER'!$AB$2:$AB$495&lt;=3)*('CASE MASTER'!$AD$2:$AD$495&gt;=3))*ROW('CASE MASTER'!$T$2:$T$495))-(ROW('CASE MASTER'!#REF!)-1)))+((3-INDEX('CASE MASTER'!$AA$2:$AA$495,(SUMPRODUCT((('CASE MASTER'!$T$2:$T$495=10)*('CASE MASTER'!$AA$2:$AA$495&lt;=3)*('CASE MASTER'!$AC$2:$AC$495&gt;=3)*('CASE MASTER'!$AB$2:$AB$495&lt;=3)*('CASE MASTER'!$AD$2:$AD$495&gt;=3))*ROW('CASE MASTER'!$T$2:$T$495))-(ROW('CASE MASTER'!#REF!)-1))))*(INDEX('CASE MASTER'!$AD$2:$AD$495,(SUMPRODUCT((('CASE MASTER'!$T$2:$T$495=10)*('CASE MASTER'!$AA$2:$AA$495&lt;=3)*('CASE MASTER'!$AC$2:$AC$495&gt;=3)*('CASE MASTER'!$AB$2:$AB$495&lt;=3)*('CASE MASTER'!$AD$2:$AD$495&gt;=3))*ROW('CASE MASTER'!$T$2:$T$495))-(ROW('CASE MASTER'!#REF!)-1)))-INDEX('CASE MASTER'!$AB$2:$AB$495,(SUMPRODUCT((('CASE MASTER'!$T$2:$T$495=10)*('CASE MASTER'!$AA$2:$AA$495&lt;=3)*('CASE MASTER'!$AC$2:$AC$495&gt;=3)*('CASE MASTER'!$AB$2:$AB$495&lt;=3)*('CASE MASTER'!$AD$2:$AD$495&gt;=3))*ROW('CASE MASTER'!$T$2:$T$495))-(ROW('CASE MASTER'!#REF!)-1)))+1)+(3-INDEX('CASE MASTER'!$AB$2:$AB$495,(SUMPRODUCT((('CASE MASTER'!$T$2:$T$495=10)*('CASE MASTER'!$AA$2:$AA$495&lt;=3)*('CASE MASTER'!$AC$2:$AC$495&gt;=3)*('CASE MASTER'!$AB$2:$AB$495&lt;=3)*('CASE MASTER'!$AD$2:$AD$495&gt;=3))*ROW('CASE MASTER'!$T$2:$T$495))-(ROW('CASE MASTER'!#REF!)-1))))+1)))-1)*50+1,50))&amp;"_"&amp;INDEX('CASE MASTER'!$Q$2:$Q$495,(SUMPRODUCT((('CASE MASTER'!$T$2:$T$495=10)*('CASE MASTER'!$AA$2:$AA$495&lt;=3)*('CASE MASTER'!$AC$2:$AC$495&gt;=3)*('CASE MASTER'!$AB$2:$AB$495&lt;=3)*('CASE MASTER'!$AD$2:$AD$495&gt;=3))*ROW('CASE MASTER'!$T$2:$T$495))-(ROW('CASE MASTER'!#REF!)-1))),"")),"")</f>
        <v/>
      </c>
      <c r="E131" s="10" t="str">
        <f>IFERROR(IF(SUMPRODUCT((('CASE MASTER'!$T$2:$T$495=10)*('CASE MASTER'!$U$2:$U$495&lt;=3)*('CASE MASTER'!$W$2:$W$495&gt;=3)*('CASE MASTER'!$V$2:$V$495&lt;=4)*('CASE MASTER'!$X$2:$X$495&gt;=4))*ROW('CASE MASTER'!$T$2:$T$495))&gt;0,INDEX('CASE MASTER'!$Y$2:$Y$495,(SUMPRODUCT((('CASE MASTER'!$T$2:$T$495=10)*('CASE MASTER'!$U$2:$U$495&lt;=3)*('CASE MASTER'!$W$2:$W$495&gt;=3)*('CASE MASTER'!$V$2:$V$495&lt;=4)*('CASE MASTER'!$X$2:$X$495&gt;=4))*ROW('CASE MASTER'!$T$2:$T$495))-(ROW('CASE MASTER'!#REF!)-1)))&amp;TRIM(MID(SUBSTITUTE(SUBSTITUTE(INDEX('CASE MASTER'!$N$2:$N$495,(SUMPRODUCT((('CASE MASTER'!$T$2:$T$495=10)*('CASE MASTER'!$U$2:$U$495&lt;=3)*('CASE MASTER'!$W$2:$W$495&gt;=3)*('CASE MASTER'!$V$2:$V$495&lt;=4)*('CASE MASTER'!$X$2:$X$495&gt;=4))*ROW('CASE MASTER'!$T$2:$T$495))-(ROW('CASE MASTER'!#REF!)-1))),":",","),",",REPT(" ",50)),((((3-INDEX('CASE MASTER'!$U$2:$U$495,(SUMPRODUCT((('CASE MASTER'!$T$2:$T$495=10)*('CASE MASTER'!$U$2:$U$495&lt;=3)*('CASE MASTER'!$W$2:$W$495&gt;=3)*('CASE MASTER'!$V$2:$V$495&lt;=4)*('CASE MASTER'!$X$2:$X$495&gt;=4))*ROW('CASE MASTER'!$T$2:$T$495))-(ROW('CASE MASTER'!#REF!)-1))))*(INDEX('CASE MASTER'!$X$2:$X$495,(SUMPRODUCT((('CASE MASTER'!$T$2:$T$495=10)*('CASE MASTER'!$U$2:$U$495&lt;=3)*('CASE MASTER'!$W$2:$W$495&gt;=3)*('CASE MASTER'!$V$2:$V$495&lt;=4)*('CASE MASTER'!$X$2:$X$495&gt;=4))*ROW('CASE MASTER'!$T$2:$T$495))-(ROW('CASE MASTER'!#REF!)-1)))-INDEX('CASE MASTER'!$V$2:$V$495,(SUMPRODUCT((('CASE MASTER'!$T$2:$T$495=10)*('CASE MASTER'!$U$2:$U$495&lt;=3)*('CASE MASTER'!$W$2:$W$495&gt;=3)*('CASE MASTER'!$V$2:$V$495&lt;=4)*('CASE MASTER'!$X$2:$X$495&gt;=4))*ROW('CASE MASTER'!$T$2:$T$495))-(ROW('CASE MASTER'!#REF!)-1)))+1)+(4-INDEX('CASE MASTER'!$V$2:$V$495,(SUMPRODUCT((('CASE MASTER'!$T$2:$T$495=10)*('CASE MASTER'!$U$2:$U$495&lt;=3)*('CASE MASTER'!$W$2:$W$495&gt;=3)*('CASE MASTER'!$V$2:$V$495&lt;=4)*('CASE MASTER'!$X$2:$X$495&gt;=4))*ROW('CASE MASTER'!$T$2:$T$495))-(ROW('CASE MASTER'!#REF!)-1))))+1))-1)*50+1,50))&amp;"_"&amp;INDEX('CASE MASTER'!$Q$2:$Q$495,(SUMPRODUCT((('CASE MASTER'!$T$2:$T$495=10)*('CASE MASTER'!$U$2:$U$495&lt;=3)*('CASE MASTER'!$W$2:$W$495&gt;=3)*('CASE MASTER'!$V$2:$V$495&lt;=4)*('CASE MASTER'!$X$2:$X$495&gt;=4))*ROW('CASE MASTER'!$T$2:$T$495))-(ROW('CASE MASTER'!#REF!)-1))),IF(SUMPRODUCT((('CASE MASTER'!$T$2:$T$495=10)*('CASE MASTER'!$AA$2:$AA$495&lt;=3)*('CASE MASTER'!$AC$2:$AC$495&gt;=3)*('CASE MASTER'!$AB$2:$AB$495&lt;=4)*('CASE MASTER'!$AD$2:$AD$495&gt;=4))*ROW('CASE MASTER'!$T$2:$T$495))&gt;0,INDEX('CASE MASTER'!$Y$2:$Y$495,(SUMPRODUCT((('CASE MASTER'!$T$2:$T$495=10)*('CASE MASTER'!$AA$2:$AA$495&lt;=3)*('CASE MASTER'!$AC$2:$AC$495&gt;=3)*('CASE MASTER'!$AB$2:$AB$495&lt;=4)*('CASE MASTER'!$AD$2:$AD$495&gt;=4))*ROW('CASE MASTER'!$T$2:$T$495))-(ROW('CASE MASTER'!#REF!)-1)))&amp;TRIM(MID(SUBSTITUTE(SUBSTITUTE(INDEX('CASE MASTER'!$N$2:$N$495,(SUMPRODUCT((('CASE MASTER'!$T$2:$T$495=10)*('CASE MASTER'!$AA$2:$AA$495&lt;=3)*('CASE MASTER'!$AC$2:$AC$495&gt;=3)*('CASE MASTER'!$AB$2:$AB$495&lt;=4)*('CASE MASTER'!$AD$2:$AD$495&gt;=4))*ROW('CASE MASTER'!$T$2:$T$495))-(ROW('CASE MASTER'!#REF!)-1))),":",","),",",REPT(" ",50)),(((INDEX('CASE MASTER'!$Z$2:$Z$495,(SUMPRODUCT((('CASE MASTER'!$T$2:$T$495=10)*('CASE MASTER'!$AA$2:$AA$495&lt;=3)*('CASE MASTER'!$AC$2:$AC$495&gt;=3)*('CASE MASTER'!$AB$2:$AB$495&lt;=4)*('CASE MASTER'!$AD$2:$AD$495&gt;=4))*ROW('CASE MASTER'!$T$2:$T$495))-(ROW('CASE MASTER'!#REF!)-1)))+((3-INDEX('CASE MASTER'!$AA$2:$AA$495,(SUMPRODUCT((('CASE MASTER'!$T$2:$T$495=10)*('CASE MASTER'!$AA$2:$AA$495&lt;=3)*('CASE MASTER'!$AC$2:$AC$495&gt;=3)*('CASE MASTER'!$AB$2:$AB$495&lt;=4)*('CASE MASTER'!$AD$2:$AD$495&gt;=4))*ROW('CASE MASTER'!$T$2:$T$495))-(ROW('CASE MASTER'!#REF!)-1))))*(INDEX('CASE MASTER'!$AD$2:$AD$495,(SUMPRODUCT((('CASE MASTER'!$T$2:$T$495=10)*('CASE MASTER'!$AA$2:$AA$495&lt;=3)*('CASE MASTER'!$AC$2:$AC$495&gt;=3)*('CASE MASTER'!$AB$2:$AB$495&lt;=4)*('CASE MASTER'!$AD$2:$AD$495&gt;=4))*ROW('CASE MASTER'!$T$2:$T$495))-(ROW('CASE MASTER'!#REF!)-1)))-INDEX('CASE MASTER'!$AB$2:$AB$495,(SUMPRODUCT((('CASE MASTER'!$T$2:$T$495=10)*('CASE MASTER'!$AA$2:$AA$495&lt;=3)*('CASE MASTER'!$AC$2:$AC$495&gt;=3)*('CASE MASTER'!$AB$2:$AB$495&lt;=4)*('CASE MASTER'!$AD$2:$AD$495&gt;=4))*ROW('CASE MASTER'!$T$2:$T$495))-(ROW('CASE MASTER'!#REF!)-1)))+1)+(4-INDEX('CASE MASTER'!$AB$2:$AB$495,(SUMPRODUCT((('CASE MASTER'!$T$2:$T$495=10)*('CASE MASTER'!$AA$2:$AA$495&lt;=3)*('CASE MASTER'!$AC$2:$AC$495&gt;=3)*('CASE MASTER'!$AB$2:$AB$495&lt;=4)*('CASE MASTER'!$AD$2:$AD$495&gt;=4))*ROW('CASE MASTER'!$T$2:$T$495))-(ROW('CASE MASTER'!#REF!)-1))))+1)))-1)*50+1,50))&amp;"_"&amp;INDEX('CASE MASTER'!$Q$2:$Q$495,(SUMPRODUCT((('CASE MASTER'!$T$2:$T$495=10)*('CASE MASTER'!$AA$2:$AA$495&lt;=3)*('CASE MASTER'!$AC$2:$AC$495&gt;=3)*('CASE MASTER'!$AB$2:$AB$495&lt;=4)*('CASE MASTER'!$AD$2:$AD$495&gt;=4))*ROW('CASE MASTER'!$T$2:$T$495))-(ROW('CASE MASTER'!#REF!)-1))),"")),"")</f>
        <v/>
      </c>
      <c r="F131" s="10" t="str">
        <f>IFERROR(IF(SUMPRODUCT((('CASE MASTER'!$T$2:$T$495=10)*('CASE MASTER'!$U$2:$U$495&lt;=3)*('CASE MASTER'!$W$2:$W$495&gt;=3)*('CASE MASTER'!$V$2:$V$495&lt;=5)*('CASE MASTER'!$X$2:$X$495&gt;=5))*ROW('CASE MASTER'!$T$2:$T$495))&gt;0,INDEX('CASE MASTER'!$Y$2:$Y$495,(SUMPRODUCT((('CASE MASTER'!$T$2:$T$495=10)*('CASE MASTER'!$U$2:$U$495&lt;=3)*('CASE MASTER'!$W$2:$W$495&gt;=3)*('CASE MASTER'!$V$2:$V$495&lt;=5)*('CASE MASTER'!$X$2:$X$495&gt;=5))*ROW('CASE MASTER'!$T$2:$T$495))-(ROW('CASE MASTER'!#REF!)-1)))&amp;TRIM(MID(SUBSTITUTE(SUBSTITUTE(INDEX('CASE MASTER'!$N$2:$N$495,(SUMPRODUCT((('CASE MASTER'!$T$2:$T$495=10)*('CASE MASTER'!$U$2:$U$495&lt;=3)*('CASE MASTER'!$W$2:$W$495&gt;=3)*('CASE MASTER'!$V$2:$V$495&lt;=5)*('CASE MASTER'!$X$2:$X$495&gt;=5))*ROW('CASE MASTER'!$T$2:$T$495))-(ROW('CASE MASTER'!#REF!)-1))),":",","),",",REPT(" ",50)),((((3-INDEX('CASE MASTER'!$U$2:$U$495,(SUMPRODUCT((('CASE MASTER'!$T$2:$T$495=10)*('CASE MASTER'!$U$2:$U$495&lt;=3)*('CASE MASTER'!$W$2:$W$495&gt;=3)*('CASE MASTER'!$V$2:$V$495&lt;=5)*('CASE MASTER'!$X$2:$X$495&gt;=5))*ROW('CASE MASTER'!$T$2:$T$495))-(ROW('CASE MASTER'!#REF!)-1))))*(INDEX('CASE MASTER'!$X$2:$X$495,(SUMPRODUCT((('CASE MASTER'!$T$2:$T$495=10)*('CASE MASTER'!$U$2:$U$495&lt;=3)*('CASE MASTER'!$W$2:$W$495&gt;=3)*('CASE MASTER'!$V$2:$V$495&lt;=5)*('CASE MASTER'!$X$2:$X$495&gt;=5))*ROW('CASE MASTER'!$T$2:$T$495))-(ROW('CASE MASTER'!#REF!)-1)))-INDEX('CASE MASTER'!$V$2:$V$495,(SUMPRODUCT((('CASE MASTER'!$T$2:$T$495=10)*('CASE MASTER'!$U$2:$U$495&lt;=3)*('CASE MASTER'!$W$2:$W$495&gt;=3)*('CASE MASTER'!$V$2:$V$495&lt;=5)*('CASE MASTER'!$X$2:$X$495&gt;=5))*ROW('CASE MASTER'!$T$2:$T$495))-(ROW('CASE MASTER'!#REF!)-1)))+1)+(5-INDEX('CASE MASTER'!$V$2:$V$495,(SUMPRODUCT((('CASE MASTER'!$T$2:$T$495=10)*('CASE MASTER'!$U$2:$U$495&lt;=3)*('CASE MASTER'!$W$2:$W$495&gt;=3)*('CASE MASTER'!$V$2:$V$495&lt;=5)*('CASE MASTER'!$X$2:$X$495&gt;=5))*ROW('CASE MASTER'!$T$2:$T$495))-(ROW('CASE MASTER'!#REF!)-1))))+1))-1)*50+1,50))&amp;"_"&amp;INDEX('CASE MASTER'!$Q$2:$Q$495,(SUMPRODUCT((('CASE MASTER'!$T$2:$T$495=10)*('CASE MASTER'!$U$2:$U$495&lt;=3)*('CASE MASTER'!$W$2:$W$495&gt;=3)*('CASE MASTER'!$V$2:$V$495&lt;=5)*('CASE MASTER'!$X$2:$X$495&gt;=5))*ROW('CASE MASTER'!$T$2:$T$495))-(ROW('CASE MASTER'!#REF!)-1))),IF(SUMPRODUCT((('CASE MASTER'!$T$2:$T$495=10)*('CASE MASTER'!$AA$2:$AA$495&lt;=3)*('CASE MASTER'!$AC$2:$AC$495&gt;=3)*('CASE MASTER'!$AB$2:$AB$495&lt;=5)*('CASE MASTER'!$AD$2:$AD$495&gt;=5))*ROW('CASE MASTER'!$T$2:$T$495))&gt;0,INDEX('CASE MASTER'!$Y$2:$Y$495,(SUMPRODUCT((('CASE MASTER'!$T$2:$T$495=10)*('CASE MASTER'!$AA$2:$AA$495&lt;=3)*('CASE MASTER'!$AC$2:$AC$495&gt;=3)*('CASE MASTER'!$AB$2:$AB$495&lt;=5)*('CASE MASTER'!$AD$2:$AD$495&gt;=5))*ROW('CASE MASTER'!$T$2:$T$495))-(ROW('CASE MASTER'!#REF!)-1)))&amp;TRIM(MID(SUBSTITUTE(SUBSTITUTE(INDEX('CASE MASTER'!$N$2:$N$495,(SUMPRODUCT((('CASE MASTER'!$T$2:$T$495=10)*('CASE MASTER'!$AA$2:$AA$495&lt;=3)*('CASE MASTER'!$AC$2:$AC$495&gt;=3)*('CASE MASTER'!$AB$2:$AB$495&lt;=5)*('CASE MASTER'!$AD$2:$AD$495&gt;=5))*ROW('CASE MASTER'!$T$2:$T$495))-(ROW('CASE MASTER'!#REF!)-1))),":",","),",",REPT(" ",50)),(((INDEX('CASE MASTER'!$Z$2:$Z$495,(SUMPRODUCT((('CASE MASTER'!$T$2:$T$495=10)*('CASE MASTER'!$AA$2:$AA$495&lt;=3)*('CASE MASTER'!$AC$2:$AC$495&gt;=3)*('CASE MASTER'!$AB$2:$AB$495&lt;=5)*('CASE MASTER'!$AD$2:$AD$495&gt;=5))*ROW('CASE MASTER'!$T$2:$T$495))-(ROW('CASE MASTER'!#REF!)-1)))+((3-INDEX('CASE MASTER'!$AA$2:$AA$495,(SUMPRODUCT((('CASE MASTER'!$T$2:$T$495=10)*('CASE MASTER'!$AA$2:$AA$495&lt;=3)*('CASE MASTER'!$AC$2:$AC$495&gt;=3)*('CASE MASTER'!$AB$2:$AB$495&lt;=5)*('CASE MASTER'!$AD$2:$AD$495&gt;=5))*ROW('CASE MASTER'!$T$2:$T$495))-(ROW('CASE MASTER'!#REF!)-1))))*(INDEX('CASE MASTER'!$AD$2:$AD$495,(SUMPRODUCT((('CASE MASTER'!$T$2:$T$495=10)*('CASE MASTER'!$AA$2:$AA$495&lt;=3)*('CASE MASTER'!$AC$2:$AC$495&gt;=3)*('CASE MASTER'!$AB$2:$AB$495&lt;=5)*('CASE MASTER'!$AD$2:$AD$495&gt;=5))*ROW('CASE MASTER'!$T$2:$T$495))-(ROW('CASE MASTER'!#REF!)-1)))-INDEX('CASE MASTER'!$AB$2:$AB$495,(SUMPRODUCT((('CASE MASTER'!$T$2:$T$495=10)*('CASE MASTER'!$AA$2:$AA$495&lt;=3)*('CASE MASTER'!$AC$2:$AC$495&gt;=3)*('CASE MASTER'!$AB$2:$AB$495&lt;=5)*('CASE MASTER'!$AD$2:$AD$495&gt;=5))*ROW('CASE MASTER'!$T$2:$T$495))-(ROW('CASE MASTER'!#REF!)-1)))+1)+(5-INDEX('CASE MASTER'!$AB$2:$AB$495,(SUMPRODUCT((('CASE MASTER'!$T$2:$T$495=10)*('CASE MASTER'!$AA$2:$AA$495&lt;=3)*('CASE MASTER'!$AC$2:$AC$495&gt;=3)*('CASE MASTER'!$AB$2:$AB$495&lt;=5)*('CASE MASTER'!$AD$2:$AD$495&gt;=5))*ROW('CASE MASTER'!$T$2:$T$495))-(ROW('CASE MASTER'!#REF!)-1))))+1)))-1)*50+1,50))&amp;"_"&amp;INDEX('CASE MASTER'!$Q$2:$Q$495,(SUMPRODUCT((('CASE MASTER'!$T$2:$T$495=10)*('CASE MASTER'!$AA$2:$AA$495&lt;=3)*('CASE MASTER'!$AC$2:$AC$495&gt;=3)*('CASE MASTER'!$AB$2:$AB$495&lt;=5)*('CASE MASTER'!$AD$2:$AD$495&gt;=5))*ROW('CASE MASTER'!$T$2:$T$495))-(ROW('CASE MASTER'!#REF!)-1))),"")),"")</f>
        <v/>
      </c>
      <c r="G131" s="10" t="str">
        <f>IFERROR(IF(SUMPRODUCT((('CASE MASTER'!$T$2:$T$495=10)*('CASE MASTER'!$U$2:$U$495&lt;=3)*('CASE MASTER'!$W$2:$W$495&gt;=3)*('CASE MASTER'!$V$2:$V$495&lt;=6)*('CASE MASTER'!$X$2:$X$495&gt;=6))*ROW('CASE MASTER'!$T$2:$T$495))&gt;0,INDEX('CASE MASTER'!$Y$2:$Y$495,(SUMPRODUCT((('CASE MASTER'!$T$2:$T$495=10)*('CASE MASTER'!$U$2:$U$495&lt;=3)*('CASE MASTER'!$W$2:$W$495&gt;=3)*('CASE MASTER'!$V$2:$V$495&lt;=6)*('CASE MASTER'!$X$2:$X$495&gt;=6))*ROW('CASE MASTER'!$T$2:$T$495))-(ROW('CASE MASTER'!#REF!)-1)))&amp;TRIM(MID(SUBSTITUTE(SUBSTITUTE(INDEX('CASE MASTER'!$N$2:$N$495,(SUMPRODUCT((('CASE MASTER'!$T$2:$T$495=10)*('CASE MASTER'!$U$2:$U$495&lt;=3)*('CASE MASTER'!$W$2:$W$495&gt;=3)*('CASE MASTER'!$V$2:$V$495&lt;=6)*('CASE MASTER'!$X$2:$X$495&gt;=6))*ROW('CASE MASTER'!$T$2:$T$495))-(ROW('CASE MASTER'!#REF!)-1))),":",","),",",REPT(" ",50)),((((3-INDEX('CASE MASTER'!$U$2:$U$495,(SUMPRODUCT((('CASE MASTER'!$T$2:$T$495=10)*('CASE MASTER'!$U$2:$U$495&lt;=3)*('CASE MASTER'!$W$2:$W$495&gt;=3)*('CASE MASTER'!$V$2:$V$495&lt;=6)*('CASE MASTER'!$X$2:$X$495&gt;=6))*ROW('CASE MASTER'!$T$2:$T$495))-(ROW('CASE MASTER'!#REF!)-1))))*(INDEX('CASE MASTER'!$X$2:$X$495,(SUMPRODUCT((('CASE MASTER'!$T$2:$T$495=10)*('CASE MASTER'!$U$2:$U$495&lt;=3)*('CASE MASTER'!$W$2:$W$495&gt;=3)*('CASE MASTER'!$V$2:$V$495&lt;=6)*('CASE MASTER'!$X$2:$X$495&gt;=6))*ROW('CASE MASTER'!$T$2:$T$495))-(ROW('CASE MASTER'!#REF!)-1)))-INDEX('CASE MASTER'!$V$2:$V$495,(SUMPRODUCT((('CASE MASTER'!$T$2:$T$495=10)*('CASE MASTER'!$U$2:$U$495&lt;=3)*('CASE MASTER'!$W$2:$W$495&gt;=3)*('CASE MASTER'!$V$2:$V$495&lt;=6)*('CASE MASTER'!$X$2:$X$495&gt;=6))*ROW('CASE MASTER'!$T$2:$T$495))-(ROW('CASE MASTER'!#REF!)-1)))+1)+(6-INDEX('CASE MASTER'!$V$2:$V$495,(SUMPRODUCT((('CASE MASTER'!$T$2:$T$495=10)*('CASE MASTER'!$U$2:$U$495&lt;=3)*('CASE MASTER'!$W$2:$W$495&gt;=3)*('CASE MASTER'!$V$2:$V$495&lt;=6)*('CASE MASTER'!$X$2:$X$495&gt;=6))*ROW('CASE MASTER'!$T$2:$T$495))-(ROW('CASE MASTER'!#REF!)-1))))+1))-1)*50+1,50))&amp;"_"&amp;INDEX('CASE MASTER'!$Q$2:$Q$495,(SUMPRODUCT((('CASE MASTER'!$T$2:$T$495=10)*('CASE MASTER'!$U$2:$U$495&lt;=3)*('CASE MASTER'!$W$2:$W$495&gt;=3)*('CASE MASTER'!$V$2:$V$495&lt;=6)*('CASE MASTER'!$X$2:$X$495&gt;=6))*ROW('CASE MASTER'!$T$2:$T$495))-(ROW('CASE MASTER'!#REF!)-1))),IF(SUMPRODUCT((('CASE MASTER'!$T$2:$T$495=10)*('CASE MASTER'!$AA$2:$AA$495&lt;=3)*('CASE MASTER'!$AC$2:$AC$495&gt;=3)*('CASE MASTER'!$AB$2:$AB$495&lt;=6)*('CASE MASTER'!$AD$2:$AD$495&gt;=6))*ROW('CASE MASTER'!$T$2:$T$495))&gt;0,INDEX('CASE MASTER'!$Y$2:$Y$495,(SUMPRODUCT((('CASE MASTER'!$T$2:$T$495=10)*('CASE MASTER'!$AA$2:$AA$495&lt;=3)*('CASE MASTER'!$AC$2:$AC$495&gt;=3)*('CASE MASTER'!$AB$2:$AB$495&lt;=6)*('CASE MASTER'!$AD$2:$AD$495&gt;=6))*ROW('CASE MASTER'!$T$2:$T$495))-(ROW('CASE MASTER'!#REF!)-1)))&amp;TRIM(MID(SUBSTITUTE(SUBSTITUTE(INDEX('CASE MASTER'!$N$2:$N$495,(SUMPRODUCT((('CASE MASTER'!$T$2:$T$495=10)*('CASE MASTER'!$AA$2:$AA$495&lt;=3)*('CASE MASTER'!$AC$2:$AC$495&gt;=3)*('CASE MASTER'!$AB$2:$AB$495&lt;=6)*('CASE MASTER'!$AD$2:$AD$495&gt;=6))*ROW('CASE MASTER'!$T$2:$T$495))-(ROW('CASE MASTER'!#REF!)-1))),":",","),",",REPT(" ",50)),(((INDEX('CASE MASTER'!$Z$2:$Z$495,(SUMPRODUCT((('CASE MASTER'!$T$2:$T$495=10)*('CASE MASTER'!$AA$2:$AA$495&lt;=3)*('CASE MASTER'!$AC$2:$AC$495&gt;=3)*('CASE MASTER'!$AB$2:$AB$495&lt;=6)*('CASE MASTER'!$AD$2:$AD$495&gt;=6))*ROW('CASE MASTER'!$T$2:$T$495))-(ROW('CASE MASTER'!#REF!)-1)))+((3-INDEX('CASE MASTER'!$AA$2:$AA$495,(SUMPRODUCT((('CASE MASTER'!$T$2:$T$495=10)*('CASE MASTER'!$AA$2:$AA$495&lt;=3)*('CASE MASTER'!$AC$2:$AC$495&gt;=3)*('CASE MASTER'!$AB$2:$AB$495&lt;=6)*('CASE MASTER'!$AD$2:$AD$495&gt;=6))*ROW('CASE MASTER'!$T$2:$T$495))-(ROW('CASE MASTER'!#REF!)-1))))*(INDEX('CASE MASTER'!$AD$2:$AD$495,(SUMPRODUCT((('CASE MASTER'!$T$2:$T$495=10)*('CASE MASTER'!$AA$2:$AA$495&lt;=3)*('CASE MASTER'!$AC$2:$AC$495&gt;=3)*('CASE MASTER'!$AB$2:$AB$495&lt;=6)*('CASE MASTER'!$AD$2:$AD$495&gt;=6))*ROW('CASE MASTER'!$T$2:$T$495))-(ROW('CASE MASTER'!#REF!)-1)))-INDEX('CASE MASTER'!$AB$2:$AB$495,(SUMPRODUCT((('CASE MASTER'!$T$2:$T$495=10)*('CASE MASTER'!$AA$2:$AA$495&lt;=3)*('CASE MASTER'!$AC$2:$AC$495&gt;=3)*('CASE MASTER'!$AB$2:$AB$495&lt;=6)*('CASE MASTER'!$AD$2:$AD$495&gt;=6))*ROW('CASE MASTER'!$T$2:$T$495))-(ROW('CASE MASTER'!#REF!)-1)))+1)+(6-INDEX('CASE MASTER'!$AB$2:$AB$495,(SUMPRODUCT((('CASE MASTER'!$T$2:$T$495=10)*('CASE MASTER'!$AA$2:$AA$495&lt;=3)*('CASE MASTER'!$AC$2:$AC$495&gt;=3)*('CASE MASTER'!$AB$2:$AB$495&lt;=6)*('CASE MASTER'!$AD$2:$AD$495&gt;=6))*ROW('CASE MASTER'!$T$2:$T$495))-(ROW('CASE MASTER'!#REF!)-1))))+1)))-1)*50+1,50))&amp;"_"&amp;INDEX('CASE MASTER'!$Q$2:$Q$495,(SUMPRODUCT((('CASE MASTER'!$T$2:$T$495=10)*('CASE MASTER'!$AA$2:$AA$495&lt;=3)*('CASE MASTER'!$AC$2:$AC$495&gt;=3)*('CASE MASTER'!$AB$2:$AB$495&lt;=6)*('CASE MASTER'!$AD$2:$AD$495&gt;=6))*ROW('CASE MASTER'!$T$2:$T$495))-(ROW('CASE MASTER'!#REF!)-1))),"")),"")</f>
        <v/>
      </c>
      <c r="H131" s="10" t="str">
        <f>IFERROR(IF(SUMPRODUCT((('CASE MASTER'!$T$2:$T$495=10)*('CASE MASTER'!$U$2:$U$495&lt;=3)*('CASE MASTER'!$W$2:$W$495&gt;=3)*('CASE MASTER'!$V$2:$V$495&lt;=7)*('CASE MASTER'!$X$2:$X$495&gt;=7))*ROW('CASE MASTER'!$T$2:$T$495))&gt;0,INDEX('CASE MASTER'!$Y$2:$Y$495,(SUMPRODUCT((('CASE MASTER'!$T$2:$T$495=10)*('CASE MASTER'!$U$2:$U$495&lt;=3)*('CASE MASTER'!$W$2:$W$495&gt;=3)*('CASE MASTER'!$V$2:$V$495&lt;=7)*('CASE MASTER'!$X$2:$X$495&gt;=7))*ROW('CASE MASTER'!$T$2:$T$495))-(ROW('CASE MASTER'!#REF!)-1)))&amp;TRIM(MID(SUBSTITUTE(SUBSTITUTE(INDEX('CASE MASTER'!$N$2:$N$495,(SUMPRODUCT((('CASE MASTER'!$T$2:$T$495=10)*('CASE MASTER'!$U$2:$U$495&lt;=3)*('CASE MASTER'!$W$2:$W$495&gt;=3)*('CASE MASTER'!$V$2:$V$495&lt;=7)*('CASE MASTER'!$X$2:$X$495&gt;=7))*ROW('CASE MASTER'!$T$2:$T$495))-(ROW('CASE MASTER'!#REF!)-1))),":",","),",",REPT(" ",50)),((((3-INDEX('CASE MASTER'!$U$2:$U$495,(SUMPRODUCT((('CASE MASTER'!$T$2:$T$495=10)*('CASE MASTER'!$U$2:$U$495&lt;=3)*('CASE MASTER'!$W$2:$W$495&gt;=3)*('CASE MASTER'!$V$2:$V$495&lt;=7)*('CASE MASTER'!$X$2:$X$495&gt;=7))*ROW('CASE MASTER'!$T$2:$T$495))-(ROW('CASE MASTER'!#REF!)-1))))*(INDEX('CASE MASTER'!$X$2:$X$495,(SUMPRODUCT((('CASE MASTER'!$T$2:$T$495=10)*('CASE MASTER'!$U$2:$U$495&lt;=3)*('CASE MASTER'!$W$2:$W$495&gt;=3)*('CASE MASTER'!$V$2:$V$495&lt;=7)*('CASE MASTER'!$X$2:$X$495&gt;=7))*ROW('CASE MASTER'!$T$2:$T$495))-(ROW('CASE MASTER'!#REF!)-1)))-INDEX('CASE MASTER'!$V$2:$V$495,(SUMPRODUCT((('CASE MASTER'!$T$2:$T$495=10)*('CASE MASTER'!$U$2:$U$495&lt;=3)*('CASE MASTER'!$W$2:$W$495&gt;=3)*('CASE MASTER'!$V$2:$V$495&lt;=7)*('CASE MASTER'!$X$2:$X$495&gt;=7))*ROW('CASE MASTER'!$T$2:$T$495))-(ROW('CASE MASTER'!#REF!)-1)))+1)+(7-INDEX('CASE MASTER'!$V$2:$V$495,(SUMPRODUCT((('CASE MASTER'!$T$2:$T$495=10)*('CASE MASTER'!$U$2:$U$495&lt;=3)*('CASE MASTER'!$W$2:$W$495&gt;=3)*('CASE MASTER'!$V$2:$V$495&lt;=7)*('CASE MASTER'!$X$2:$X$495&gt;=7))*ROW('CASE MASTER'!$T$2:$T$495))-(ROW('CASE MASTER'!#REF!)-1))))+1))-1)*50+1,50))&amp;"_"&amp;INDEX('CASE MASTER'!$Q$2:$Q$495,(SUMPRODUCT((('CASE MASTER'!$T$2:$T$495=10)*('CASE MASTER'!$U$2:$U$495&lt;=3)*('CASE MASTER'!$W$2:$W$495&gt;=3)*('CASE MASTER'!$V$2:$V$495&lt;=7)*('CASE MASTER'!$X$2:$X$495&gt;=7))*ROW('CASE MASTER'!$T$2:$T$495))-(ROW('CASE MASTER'!#REF!)-1))),IF(SUMPRODUCT((('CASE MASTER'!$T$2:$T$495=10)*('CASE MASTER'!$AA$2:$AA$495&lt;=3)*('CASE MASTER'!$AC$2:$AC$495&gt;=3)*('CASE MASTER'!$AB$2:$AB$495&lt;=7)*('CASE MASTER'!$AD$2:$AD$495&gt;=7))*ROW('CASE MASTER'!$T$2:$T$495))&gt;0,INDEX('CASE MASTER'!$Y$2:$Y$495,(SUMPRODUCT((('CASE MASTER'!$T$2:$T$495=10)*('CASE MASTER'!$AA$2:$AA$495&lt;=3)*('CASE MASTER'!$AC$2:$AC$495&gt;=3)*('CASE MASTER'!$AB$2:$AB$495&lt;=7)*('CASE MASTER'!$AD$2:$AD$495&gt;=7))*ROW('CASE MASTER'!$T$2:$T$495))-(ROW('CASE MASTER'!#REF!)-1)))&amp;TRIM(MID(SUBSTITUTE(SUBSTITUTE(INDEX('CASE MASTER'!$N$2:$N$495,(SUMPRODUCT((('CASE MASTER'!$T$2:$T$495=10)*('CASE MASTER'!$AA$2:$AA$495&lt;=3)*('CASE MASTER'!$AC$2:$AC$495&gt;=3)*('CASE MASTER'!$AB$2:$AB$495&lt;=7)*('CASE MASTER'!$AD$2:$AD$495&gt;=7))*ROW('CASE MASTER'!$T$2:$T$495))-(ROW('CASE MASTER'!#REF!)-1))),":",","),",",REPT(" ",50)),(((INDEX('CASE MASTER'!$Z$2:$Z$495,(SUMPRODUCT((('CASE MASTER'!$T$2:$T$495=10)*('CASE MASTER'!$AA$2:$AA$495&lt;=3)*('CASE MASTER'!$AC$2:$AC$495&gt;=3)*('CASE MASTER'!$AB$2:$AB$495&lt;=7)*('CASE MASTER'!$AD$2:$AD$495&gt;=7))*ROW('CASE MASTER'!$T$2:$T$495))-(ROW('CASE MASTER'!#REF!)-1)))+((3-INDEX('CASE MASTER'!$AA$2:$AA$495,(SUMPRODUCT((('CASE MASTER'!$T$2:$T$495=10)*('CASE MASTER'!$AA$2:$AA$495&lt;=3)*('CASE MASTER'!$AC$2:$AC$495&gt;=3)*('CASE MASTER'!$AB$2:$AB$495&lt;=7)*('CASE MASTER'!$AD$2:$AD$495&gt;=7))*ROW('CASE MASTER'!$T$2:$T$495))-(ROW('CASE MASTER'!#REF!)-1))))*(INDEX('CASE MASTER'!$AD$2:$AD$495,(SUMPRODUCT((('CASE MASTER'!$T$2:$T$495=10)*('CASE MASTER'!$AA$2:$AA$495&lt;=3)*('CASE MASTER'!$AC$2:$AC$495&gt;=3)*('CASE MASTER'!$AB$2:$AB$495&lt;=7)*('CASE MASTER'!$AD$2:$AD$495&gt;=7))*ROW('CASE MASTER'!$T$2:$T$495))-(ROW('CASE MASTER'!#REF!)-1)))-INDEX('CASE MASTER'!$AB$2:$AB$495,(SUMPRODUCT((('CASE MASTER'!$T$2:$T$495=10)*('CASE MASTER'!$AA$2:$AA$495&lt;=3)*('CASE MASTER'!$AC$2:$AC$495&gt;=3)*('CASE MASTER'!$AB$2:$AB$495&lt;=7)*('CASE MASTER'!$AD$2:$AD$495&gt;=7))*ROW('CASE MASTER'!$T$2:$T$495))-(ROW('CASE MASTER'!#REF!)-1)))+1)+(7-INDEX('CASE MASTER'!$AB$2:$AB$495,(SUMPRODUCT((('CASE MASTER'!$T$2:$T$495=10)*('CASE MASTER'!$AA$2:$AA$495&lt;=3)*('CASE MASTER'!$AC$2:$AC$495&gt;=3)*('CASE MASTER'!$AB$2:$AB$495&lt;=7)*('CASE MASTER'!$AD$2:$AD$495&gt;=7))*ROW('CASE MASTER'!$T$2:$T$495))-(ROW('CASE MASTER'!#REF!)-1))))+1)))-1)*50+1,50))&amp;"_"&amp;INDEX('CASE MASTER'!$Q$2:$Q$495,(SUMPRODUCT((('CASE MASTER'!$T$2:$T$495=10)*('CASE MASTER'!$AA$2:$AA$495&lt;=3)*('CASE MASTER'!$AC$2:$AC$495&gt;=3)*('CASE MASTER'!$AB$2:$AB$495&lt;=7)*('CASE MASTER'!$AD$2:$AD$495&gt;=7))*ROW('CASE MASTER'!$T$2:$T$495))-(ROW('CASE MASTER'!#REF!)-1))),"")),"")</f>
        <v/>
      </c>
      <c r="I131" s="10" t="str">
        <f>IFERROR(IF(SUMPRODUCT((('CASE MASTER'!$T$2:$T$495=10)*('CASE MASTER'!$U$2:$U$495&lt;=3)*('CASE MASTER'!$W$2:$W$495&gt;=3)*('CASE MASTER'!$V$2:$V$495&lt;=8)*('CASE MASTER'!$X$2:$X$495&gt;=8))*ROW('CASE MASTER'!$T$2:$T$495))&gt;0,INDEX('CASE MASTER'!$Y$2:$Y$495,(SUMPRODUCT((('CASE MASTER'!$T$2:$T$495=10)*('CASE MASTER'!$U$2:$U$495&lt;=3)*('CASE MASTER'!$W$2:$W$495&gt;=3)*('CASE MASTER'!$V$2:$V$495&lt;=8)*('CASE MASTER'!$X$2:$X$495&gt;=8))*ROW('CASE MASTER'!$T$2:$T$495))-(ROW('CASE MASTER'!#REF!)-1)))&amp;TRIM(MID(SUBSTITUTE(SUBSTITUTE(INDEX('CASE MASTER'!$N$2:$N$495,(SUMPRODUCT((('CASE MASTER'!$T$2:$T$495=10)*('CASE MASTER'!$U$2:$U$495&lt;=3)*('CASE MASTER'!$W$2:$W$495&gt;=3)*('CASE MASTER'!$V$2:$V$495&lt;=8)*('CASE MASTER'!$X$2:$X$495&gt;=8))*ROW('CASE MASTER'!$T$2:$T$495))-(ROW('CASE MASTER'!#REF!)-1))),":",","),",",REPT(" ",50)),((((3-INDEX('CASE MASTER'!$U$2:$U$495,(SUMPRODUCT((('CASE MASTER'!$T$2:$T$495=10)*('CASE MASTER'!$U$2:$U$495&lt;=3)*('CASE MASTER'!$W$2:$W$495&gt;=3)*('CASE MASTER'!$V$2:$V$495&lt;=8)*('CASE MASTER'!$X$2:$X$495&gt;=8))*ROW('CASE MASTER'!$T$2:$T$495))-(ROW('CASE MASTER'!#REF!)-1))))*(INDEX('CASE MASTER'!$X$2:$X$495,(SUMPRODUCT((('CASE MASTER'!$T$2:$T$495=10)*('CASE MASTER'!$U$2:$U$495&lt;=3)*('CASE MASTER'!$W$2:$W$495&gt;=3)*('CASE MASTER'!$V$2:$V$495&lt;=8)*('CASE MASTER'!$X$2:$X$495&gt;=8))*ROW('CASE MASTER'!$T$2:$T$495))-(ROW('CASE MASTER'!#REF!)-1)))-INDEX('CASE MASTER'!$V$2:$V$495,(SUMPRODUCT((('CASE MASTER'!$T$2:$T$495=10)*('CASE MASTER'!$U$2:$U$495&lt;=3)*('CASE MASTER'!$W$2:$W$495&gt;=3)*('CASE MASTER'!$V$2:$V$495&lt;=8)*('CASE MASTER'!$X$2:$X$495&gt;=8))*ROW('CASE MASTER'!$T$2:$T$495))-(ROW('CASE MASTER'!#REF!)-1)))+1)+(8-INDEX('CASE MASTER'!$V$2:$V$495,(SUMPRODUCT((('CASE MASTER'!$T$2:$T$495=10)*('CASE MASTER'!$U$2:$U$495&lt;=3)*('CASE MASTER'!$W$2:$W$495&gt;=3)*('CASE MASTER'!$V$2:$V$495&lt;=8)*('CASE MASTER'!$X$2:$X$495&gt;=8))*ROW('CASE MASTER'!$T$2:$T$495))-(ROW('CASE MASTER'!#REF!)-1))))+1))-1)*50+1,50))&amp;"_"&amp;INDEX('CASE MASTER'!$Q$2:$Q$495,(SUMPRODUCT((('CASE MASTER'!$T$2:$T$495=10)*('CASE MASTER'!$U$2:$U$495&lt;=3)*('CASE MASTER'!$W$2:$W$495&gt;=3)*('CASE MASTER'!$V$2:$V$495&lt;=8)*('CASE MASTER'!$X$2:$X$495&gt;=8))*ROW('CASE MASTER'!$T$2:$T$495))-(ROW('CASE MASTER'!#REF!)-1))),IF(SUMPRODUCT((('CASE MASTER'!$T$2:$T$495=10)*('CASE MASTER'!$AA$2:$AA$495&lt;=3)*('CASE MASTER'!$AC$2:$AC$495&gt;=3)*('CASE MASTER'!$AB$2:$AB$495&lt;=8)*('CASE MASTER'!$AD$2:$AD$495&gt;=8))*ROW('CASE MASTER'!$T$2:$T$495))&gt;0,INDEX('CASE MASTER'!$Y$2:$Y$495,(SUMPRODUCT((('CASE MASTER'!$T$2:$T$495=10)*('CASE MASTER'!$AA$2:$AA$495&lt;=3)*('CASE MASTER'!$AC$2:$AC$495&gt;=3)*('CASE MASTER'!$AB$2:$AB$495&lt;=8)*('CASE MASTER'!$AD$2:$AD$495&gt;=8))*ROW('CASE MASTER'!$T$2:$T$495))-(ROW('CASE MASTER'!#REF!)-1)))&amp;TRIM(MID(SUBSTITUTE(SUBSTITUTE(INDEX('CASE MASTER'!$N$2:$N$495,(SUMPRODUCT((('CASE MASTER'!$T$2:$T$495=10)*('CASE MASTER'!$AA$2:$AA$495&lt;=3)*('CASE MASTER'!$AC$2:$AC$495&gt;=3)*('CASE MASTER'!$AB$2:$AB$495&lt;=8)*('CASE MASTER'!$AD$2:$AD$495&gt;=8))*ROW('CASE MASTER'!$T$2:$T$495))-(ROW('CASE MASTER'!#REF!)-1))),":",","),",",REPT(" ",50)),(((INDEX('CASE MASTER'!$Z$2:$Z$495,(SUMPRODUCT((('CASE MASTER'!$T$2:$T$495=10)*('CASE MASTER'!$AA$2:$AA$495&lt;=3)*('CASE MASTER'!$AC$2:$AC$495&gt;=3)*('CASE MASTER'!$AB$2:$AB$495&lt;=8)*('CASE MASTER'!$AD$2:$AD$495&gt;=8))*ROW('CASE MASTER'!$T$2:$T$495))-(ROW('CASE MASTER'!#REF!)-1)))+((3-INDEX('CASE MASTER'!$AA$2:$AA$495,(SUMPRODUCT((('CASE MASTER'!$T$2:$T$495=10)*('CASE MASTER'!$AA$2:$AA$495&lt;=3)*('CASE MASTER'!$AC$2:$AC$495&gt;=3)*('CASE MASTER'!$AB$2:$AB$495&lt;=8)*('CASE MASTER'!$AD$2:$AD$495&gt;=8))*ROW('CASE MASTER'!$T$2:$T$495))-(ROW('CASE MASTER'!#REF!)-1))))*(INDEX('CASE MASTER'!$AD$2:$AD$495,(SUMPRODUCT((('CASE MASTER'!$T$2:$T$495=10)*('CASE MASTER'!$AA$2:$AA$495&lt;=3)*('CASE MASTER'!$AC$2:$AC$495&gt;=3)*('CASE MASTER'!$AB$2:$AB$495&lt;=8)*('CASE MASTER'!$AD$2:$AD$495&gt;=8))*ROW('CASE MASTER'!$T$2:$T$495))-(ROW('CASE MASTER'!#REF!)-1)))-INDEX('CASE MASTER'!$AB$2:$AB$495,(SUMPRODUCT((('CASE MASTER'!$T$2:$T$495=10)*('CASE MASTER'!$AA$2:$AA$495&lt;=3)*('CASE MASTER'!$AC$2:$AC$495&gt;=3)*('CASE MASTER'!$AB$2:$AB$495&lt;=8)*('CASE MASTER'!$AD$2:$AD$495&gt;=8))*ROW('CASE MASTER'!$T$2:$T$495))-(ROW('CASE MASTER'!#REF!)-1)))+1)+(8-INDEX('CASE MASTER'!$AB$2:$AB$495,(SUMPRODUCT((('CASE MASTER'!$T$2:$T$495=10)*('CASE MASTER'!$AA$2:$AA$495&lt;=3)*('CASE MASTER'!$AC$2:$AC$495&gt;=3)*('CASE MASTER'!$AB$2:$AB$495&lt;=8)*('CASE MASTER'!$AD$2:$AD$495&gt;=8))*ROW('CASE MASTER'!$T$2:$T$495))-(ROW('CASE MASTER'!#REF!)-1))))+1)))-1)*50+1,50))&amp;"_"&amp;INDEX('CASE MASTER'!$Q$2:$Q$495,(SUMPRODUCT((('CASE MASTER'!$T$2:$T$495=10)*('CASE MASTER'!$AA$2:$AA$495&lt;=3)*('CASE MASTER'!$AC$2:$AC$495&gt;=3)*('CASE MASTER'!$AB$2:$AB$495&lt;=8)*('CASE MASTER'!$AD$2:$AD$495&gt;=8))*ROW('CASE MASTER'!$T$2:$T$495))-(ROW('CASE MASTER'!#REF!)-1))),"")),"")</f>
        <v/>
      </c>
      <c r="J131" s="10" t="str">
        <f>IFERROR(IF(SUMPRODUCT((('CASE MASTER'!$T$2:$T$495=10)*('CASE MASTER'!$U$2:$U$495&lt;=3)*('CASE MASTER'!$W$2:$W$495&gt;=3)*('CASE MASTER'!$V$2:$V$495&lt;=9)*('CASE MASTER'!$X$2:$X$495&gt;=9))*ROW('CASE MASTER'!$T$2:$T$495))&gt;0,INDEX('CASE MASTER'!$Y$2:$Y$495,(SUMPRODUCT((('CASE MASTER'!$T$2:$T$495=10)*('CASE MASTER'!$U$2:$U$495&lt;=3)*('CASE MASTER'!$W$2:$W$495&gt;=3)*('CASE MASTER'!$V$2:$V$495&lt;=9)*('CASE MASTER'!$X$2:$X$495&gt;=9))*ROW('CASE MASTER'!$T$2:$T$495))-(ROW('CASE MASTER'!#REF!)-1)))&amp;TRIM(MID(SUBSTITUTE(SUBSTITUTE(INDEX('CASE MASTER'!$N$2:$N$495,(SUMPRODUCT((('CASE MASTER'!$T$2:$T$495=10)*('CASE MASTER'!$U$2:$U$495&lt;=3)*('CASE MASTER'!$W$2:$W$495&gt;=3)*('CASE MASTER'!$V$2:$V$495&lt;=9)*('CASE MASTER'!$X$2:$X$495&gt;=9))*ROW('CASE MASTER'!$T$2:$T$495))-(ROW('CASE MASTER'!#REF!)-1))),":",","),",",REPT(" ",50)),((((3-INDEX('CASE MASTER'!$U$2:$U$495,(SUMPRODUCT((('CASE MASTER'!$T$2:$T$495=10)*('CASE MASTER'!$U$2:$U$495&lt;=3)*('CASE MASTER'!$W$2:$W$495&gt;=3)*('CASE MASTER'!$V$2:$V$495&lt;=9)*('CASE MASTER'!$X$2:$X$495&gt;=9))*ROW('CASE MASTER'!$T$2:$T$495))-(ROW('CASE MASTER'!#REF!)-1))))*(INDEX('CASE MASTER'!$X$2:$X$495,(SUMPRODUCT((('CASE MASTER'!$T$2:$T$495=10)*('CASE MASTER'!$U$2:$U$495&lt;=3)*('CASE MASTER'!$W$2:$W$495&gt;=3)*('CASE MASTER'!$V$2:$V$495&lt;=9)*('CASE MASTER'!$X$2:$X$495&gt;=9))*ROW('CASE MASTER'!$T$2:$T$495))-(ROW('CASE MASTER'!#REF!)-1)))-INDEX('CASE MASTER'!$V$2:$V$495,(SUMPRODUCT((('CASE MASTER'!$T$2:$T$495=10)*('CASE MASTER'!$U$2:$U$495&lt;=3)*('CASE MASTER'!$W$2:$W$495&gt;=3)*('CASE MASTER'!$V$2:$V$495&lt;=9)*('CASE MASTER'!$X$2:$X$495&gt;=9))*ROW('CASE MASTER'!$T$2:$T$495))-(ROW('CASE MASTER'!#REF!)-1)))+1)+(9-INDEX('CASE MASTER'!$V$2:$V$495,(SUMPRODUCT((('CASE MASTER'!$T$2:$T$495=10)*('CASE MASTER'!$U$2:$U$495&lt;=3)*('CASE MASTER'!$W$2:$W$495&gt;=3)*('CASE MASTER'!$V$2:$V$495&lt;=9)*('CASE MASTER'!$X$2:$X$495&gt;=9))*ROW('CASE MASTER'!$T$2:$T$495))-(ROW('CASE MASTER'!#REF!)-1))))+1))-1)*50+1,50))&amp;"_"&amp;INDEX('CASE MASTER'!$Q$2:$Q$495,(SUMPRODUCT((('CASE MASTER'!$T$2:$T$495=10)*('CASE MASTER'!$U$2:$U$495&lt;=3)*('CASE MASTER'!$W$2:$W$495&gt;=3)*('CASE MASTER'!$V$2:$V$495&lt;=9)*('CASE MASTER'!$X$2:$X$495&gt;=9))*ROW('CASE MASTER'!$T$2:$T$495))-(ROW('CASE MASTER'!#REF!)-1))),IF(SUMPRODUCT((('CASE MASTER'!$T$2:$T$495=10)*('CASE MASTER'!$AA$2:$AA$495&lt;=3)*('CASE MASTER'!$AC$2:$AC$495&gt;=3)*('CASE MASTER'!$AB$2:$AB$495&lt;=9)*('CASE MASTER'!$AD$2:$AD$495&gt;=9))*ROW('CASE MASTER'!$T$2:$T$495))&gt;0,INDEX('CASE MASTER'!$Y$2:$Y$495,(SUMPRODUCT((('CASE MASTER'!$T$2:$T$495=10)*('CASE MASTER'!$AA$2:$AA$495&lt;=3)*('CASE MASTER'!$AC$2:$AC$495&gt;=3)*('CASE MASTER'!$AB$2:$AB$495&lt;=9)*('CASE MASTER'!$AD$2:$AD$495&gt;=9))*ROW('CASE MASTER'!$T$2:$T$495))-(ROW('CASE MASTER'!#REF!)-1)))&amp;TRIM(MID(SUBSTITUTE(SUBSTITUTE(INDEX('CASE MASTER'!$N$2:$N$495,(SUMPRODUCT((('CASE MASTER'!$T$2:$T$495=10)*('CASE MASTER'!$AA$2:$AA$495&lt;=3)*('CASE MASTER'!$AC$2:$AC$495&gt;=3)*('CASE MASTER'!$AB$2:$AB$495&lt;=9)*('CASE MASTER'!$AD$2:$AD$495&gt;=9))*ROW('CASE MASTER'!$T$2:$T$495))-(ROW('CASE MASTER'!#REF!)-1))),":",","),",",REPT(" ",50)),(((INDEX('CASE MASTER'!$Z$2:$Z$495,(SUMPRODUCT((('CASE MASTER'!$T$2:$T$495=10)*('CASE MASTER'!$AA$2:$AA$495&lt;=3)*('CASE MASTER'!$AC$2:$AC$495&gt;=3)*('CASE MASTER'!$AB$2:$AB$495&lt;=9)*('CASE MASTER'!$AD$2:$AD$495&gt;=9))*ROW('CASE MASTER'!$T$2:$T$495))-(ROW('CASE MASTER'!#REF!)-1)))+((3-INDEX('CASE MASTER'!$AA$2:$AA$495,(SUMPRODUCT((('CASE MASTER'!$T$2:$T$495=10)*('CASE MASTER'!$AA$2:$AA$495&lt;=3)*('CASE MASTER'!$AC$2:$AC$495&gt;=3)*('CASE MASTER'!$AB$2:$AB$495&lt;=9)*('CASE MASTER'!$AD$2:$AD$495&gt;=9))*ROW('CASE MASTER'!$T$2:$T$495))-(ROW('CASE MASTER'!#REF!)-1))))*(INDEX('CASE MASTER'!$AD$2:$AD$495,(SUMPRODUCT((('CASE MASTER'!$T$2:$T$495=10)*('CASE MASTER'!$AA$2:$AA$495&lt;=3)*('CASE MASTER'!$AC$2:$AC$495&gt;=3)*('CASE MASTER'!$AB$2:$AB$495&lt;=9)*('CASE MASTER'!$AD$2:$AD$495&gt;=9))*ROW('CASE MASTER'!$T$2:$T$495))-(ROW('CASE MASTER'!#REF!)-1)))-INDEX('CASE MASTER'!$AB$2:$AB$495,(SUMPRODUCT((('CASE MASTER'!$T$2:$T$495=10)*('CASE MASTER'!$AA$2:$AA$495&lt;=3)*('CASE MASTER'!$AC$2:$AC$495&gt;=3)*('CASE MASTER'!$AB$2:$AB$495&lt;=9)*('CASE MASTER'!$AD$2:$AD$495&gt;=9))*ROW('CASE MASTER'!$T$2:$T$495))-(ROW('CASE MASTER'!#REF!)-1)))+1)+(9-INDEX('CASE MASTER'!$AB$2:$AB$495,(SUMPRODUCT((('CASE MASTER'!$T$2:$T$495=10)*('CASE MASTER'!$AA$2:$AA$495&lt;=3)*('CASE MASTER'!$AC$2:$AC$495&gt;=3)*('CASE MASTER'!$AB$2:$AB$495&lt;=9)*('CASE MASTER'!$AD$2:$AD$495&gt;=9))*ROW('CASE MASTER'!$T$2:$T$495))-(ROW('CASE MASTER'!#REF!)-1))))+1)))-1)*50+1,50))&amp;"_"&amp;INDEX('CASE MASTER'!$Q$2:$Q$495,(SUMPRODUCT((('CASE MASTER'!$T$2:$T$495=10)*('CASE MASTER'!$AA$2:$AA$495&lt;=3)*('CASE MASTER'!$AC$2:$AC$495&gt;=3)*('CASE MASTER'!$AB$2:$AB$495&lt;=9)*('CASE MASTER'!$AD$2:$AD$495&gt;=9))*ROW('CASE MASTER'!$T$2:$T$495))-(ROW('CASE MASTER'!#REF!)-1))),"")),"")</f>
        <v/>
      </c>
      <c r="K131" s="10" t="str">
        <f>IFERROR(IF(SUMPRODUCT((('CASE MASTER'!$T$2:$T$495=10)*('CASE MASTER'!$U$2:$U$495&lt;=3)*('CASE MASTER'!$W$2:$W$495&gt;=3)*('CASE MASTER'!$V$2:$V$495&lt;=10)*('CASE MASTER'!$X$2:$X$495&gt;=10))*ROW('CASE MASTER'!$T$2:$T$495))&gt;0,INDEX('CASE MASTER'!$Y$2:$Y$495,(SUMPRODUCT((('CASE MASTER'!$T$2:$T$495=10)*('CASE MASTER'!$U$2:$U$495&lt;=3)*('CASE MASTER'!$W$2:$W$495&gt;=3)*('CASE MASTER'!$V$2:$V$495&lt;=10)*('CASE MASTER'!$X$2:$X$495&gt;=10))*ROW('CASE MASTER'!$T$2:$T$495))-(ROW('CASE MASTER'!#REF!)-1)))&amp;TRIM(MID(SUBSTITUTE(SUBSTITUTE(INDEX('CASE MASTER'!$N$2:$N$495,(SUMPRODUCT((('CASE MASTER'!$T$2:$T$495=10)*('CASE MASTER'!$U$2:$U$495&lt;=3)*('CASE MASTER'!$W$2:$W$495&gt;=3)*('CASE MASTER'!$V$2:$V$495&lt;=10)*('CASE MASTER'!$X$2:$X$495&gt;=10))*ROW('CASE MASTER'!$T$2:$T$495))-(ROW('CASE MASTER'!#REF!)-1))),":",","),",",REPT(" ",50)),((((3-INDEX('CASE MASTER'!$U$2:$U$495,(SUMPRODUCT((('CASE MASTER'!$T$2:$T$495=10)*('CASE MASTER'!$U$2:$U$495&lt;=3)*('CASE MASTER'!$W$2:$W$495&gt;=3)*('CASE MASTER'!$V$2:$V$495&lt;=10)*('CASE MASTER'!$X$2:$X$495&gt;=10))*ROW('CASE MASTER'!$T$2:$T$495))-(ROW('CASE MASTER'!#REF!)-1))))*(INDEX('CASE MASTER'!$X$2:$X$495,(SUMPRODUCT((('CASE MASTER'!$T$2:$T$495=10)*('CASE MASTER'!$U$2:$U$495&lt;=3)*('CASE MASTER'!$W$2:$W$495&gt;=3)*('CASE MASTER'!$V$2:$V$495&lt;=10)*('CASE MASTER'!$X$2:$X$495&gt;=10))*ROW('CASE MASTER'!$T$2:$T$495))-(ROW('CASE MASTER'!#REF!)-1)))-INDEX('CASE MASTER'!$V$2:$V$495,(SUMPRODUCT((('CASE MASTER'!$T$2:$T$495=10)*('CASE MASTER'!$U$2:$U$495&lt;=3)*('CASE MASTER'!$W$2:$W$495&gt;=3)*('CASE MASTER'!$V$2:$V$495&lt;=10)*('CASE MASTER'!$X$2:$X$495&gt;=10))*ROW('CASE MASTER'!$T$2:$T$495))-(ROW('CASE MASTER'!#REF!)-1)))+1)+(10-INDEX('CASE MASTER'!$V$2:$V$495,(SUMPRODUCT((('CASE MASTER'!$T$2:$T$495=10)*('CASE MASTER'!$U$2:$U$495&lt;=3)*('CASE MASTER'!$W$2:$W$495&gt;=3)*('CASE MASTER'!$V$2:$V$495&lt;=10)*('CASE MASTER'!$X$2:$X$495&gt;=10))*ROW('CASE MASTER'!$T$2:$T$495))-(ROW('CASE MASTER'!#REF!)-1))))+1))-1)*50+1,50))&amp;"_"&amp;INDEX('CASE MASTER'!$Q$2:$Q$495,(SUMPRODUCT((('CASE MASTER'!$T$2:$T$495=10)*('CASE MASTER'!$U$2:$U$495&lt;=3)*('CASE MASTER'!$W$2:$W$495&gt;=3)*('CASE MASTER'!$V$2:$V$495&lt;=10)*('CASE MASTER'!$X$2:$X$495&gt;=10))*ROW('CASE MASTER'!$T$2:$T$495))-(ROW('CASE MASTER'!#REF!)-1))),IF(SUMPRODUCT((('CASE MASTER'!$T$2:$T$495=10)*('CASE MASTER'!$AA$2:$AA$495&lt;=3)*('CASE MASTER'!$AC$2:$AC$495&gt;=3)*('CASE MASTER'!$AB$2:$AB$495&lt;=10)*('CASE MASTER'!$AD$2:$AD$495&gt;=10))*ROW('CASE MASTER'!$T$2:$T$495))&gt;0,INDEX('CASE MASTER'!$Y$2:$Y$495,(SUMPRODUCT((('CASE MASTER'!$T$2:$T$495=10)*('CASE MASTER'!$AA$2:$AA$495&lt;=3)*('CASE MASTER'!$AC$2:$AC$495&gt;=3)*('CASE MASTER'!$AB$2:$AB$495&lt;=10)*('CASE MASTER'!$AD$2:$AD$495&gt;=10))*ROW('CASE MASTER'!$T$2:$T$495))-(ROW('CASE MASTER'!#REF!)-1)))&amp;TRIM(MID(SUBSTITUTE(SUBSTITUTE(INDEX('CASE MASTER'!$N$2:$N$495,(SUMPRODUCT((('CASE MASTER'!$T$2:$T$495=10)*('CASE MASTER'!$AA$2:$AA$495&lt;=3)*('CASE MASTER'!$AC$2:$AC$495&gt;=3)*('CASE MASTER'!$AB$2:$AB$495&lt;=10)*('CASE MASTER'!$AD$2:$AD$495&gt;=10))*ROW('CASE MASTER'!$T$2:$T$495))-(ROW('CASE MASTER'!#REF!)-1))),":",","),",",REPT(" ",50)),(((INDEX('CASE MASTER'!$Z$2:$Z$495,(SUMPRODUCT((('CASE MASTER'!$T$2:$T$495=10)*('CASE MASTER'!$AA$2:$AA$495&lt;=3)*('CASE MASTER'!$AC$2:$AC$495&gt;=3)*('CASE MASTER'!$AB$2:$AB$495&lt;=10)*('CASE MASTER'!$AD$2:$AD$495&gt;=10))*ROW('CASE MASTER'!$T$2:$T$495))-(ROW('CASE MASTER'!#REF!)-1)))+((3-INDEX('CASE MASTER'!$AA$2:$AA$495,(SUMPRODUCT((('CASE MASTER'!$T$2:$T$495=10)*('CASE MASTER'!$AA$2:$AA$495&lt;=3)*('CASE MASTER'!$AC$2:$AC$495&gt;=3)*('CASE MASTER'!$AB$2:$AB$495&lt;=10)*('CASE MASTER'!$AD$2:$AD$495&gt;=10))*ROW('CASE MASTER'!$T$2:$T$495))-(ROW('CASE MASTER'!#REF!)-1))))*(INDEX('CASE MASTER'!$AD$2:$AD$495,(SUMPRODUCT((('CASE MASTER'!$T$2:$T$495=10)*('CASE MASTER'!$AA$2:$AA$495&lt;=3)*('CASE MASTER'!$AC$2:$AC$495&gt;=3)*('CASE MASTER'!$AB$2:$AB$495&lt;=10)*('CASE MASTER'!$AD$2:$AD$495&gt;=10))*ROW('CASE MASTER'!$T$2:$T$495))-(ROW('CASE MASTER'!#REF!)-1)))-INDEX('CASE MASTER'!$AB$2:$AB$495,(SUMPRODUCT((('CASE MASTER'!$T$2:$T$495=10)*('CASE MASTER'!$AA$2:$AA$495&lt;=3)*('CASE MASTER'!$AC$2:$AC$495&gt;=3)*('CASE MASTER'!$AB$2:$AB$495&lt;=10)*('CASE MASTER'!$AD$2:$AD$495&gt;=10))*ROW('CASE MASTER'!$T$2:$T$495))-(ROW('CASE MASTER'!#REF!)-1)))+1)+(10-INDEX('CASE MASTER'!$AB$2:$AB$495,(SUMPRODUCT((('CASE MASTER'!$T$2:$T$495=10)*('CASE MASTER'!$AA$2:$AA$495&lt;=3)*('CASE MASTER'!$AC$2:$AC$495&gt;=3)*('CASE MASTER'!$AB$2:$AB$495&lt;=10)*('CASE MASTER'!$AD$2:$AD$495&gt;=10))*ROW('CASE MASTER'!$T$2:$T$495))-(ROW('CASE MASTER'!#REF!)-1))))+1)))-1)*50+1,50))&amp;"_"&amp;INDEX('CASE MASTER'!$Q$2:$Q$495,(SUMPRODUCT((('CASE MASTER'!$T$2:$T$495=10)*('CASE MASTER'!$AA$2:$AA$495&lt;=3)*('CASE MASTER'!$AC$2:$AC$495&gt;=3)*('CASE MASTER'!$AB$2:$AB$495&lt;=10)*('CASE MASTER'!$AD$2:$AD$495&gt;=10))*ROW('CASE MASTER'!$T$2:$T$495))-(ROW('CASE MASTER'!#REF!)-1))),"")),"")</f>
        <v/>
      </c>
    </row>
    <row r="132" spans="1:11" ht="15" customHeight="1" x14ac:dyDescent="0.35">
      <c r="A132" s="8" t="s">
        <v>31</v>
      </c>
      <c r="B132" s="10" t="str">
        <f>IFERROR(IF(SUMPRODUCT((('CASE MASTER'!$T$2:$T$495=10)*('CASE MASTER'!$U$2:$U$495&lt;=4)*('CASE MASTER'!$W$2:$W$495&gt;=4)*('CASE MASTER'!$V$2:$V$495&lt;=1)*('CASE MASTER'!$X$2:$X$495&gt;=1))*ROW('CASE MASTER'!$T$2:$T$495))&gt;0,INDEX('CASE MASTER'!$Y$2:$Y$495,(SUMPRODUCT((('CASE MASTER'!$T$2:$T$495=10)*('CASE MASTER'!$U$2:$U$495&lt;=4)*('CASE MASTER'!$W$2:$W$495&gt;=4)*('CASE MASTER'!$V$2:$V$495&lt;=1)*('CASE MASTER'!$X$2:$X$495&gt;=1))*ROW('CASE MASTER'!$T$2:$T$495))-(ROW('CASE MASTER'!#REF!)-1)))&amp;TRIM(MID(SUBSTITUTE(SUBSTITUTE(INDEX('CASE MASTER'!$N$2:$N$495,(SUMPRODUCT((('CASE MASTER'!$T$2:$T$495=10)*('CASE MASTER'!$U$2:$U$495&lt;=4)*('CASE MASTER'!$W$2:$W$495&gt;=4)*('CASE MASTER'!$V$2:$V$495&lt;=1)*('CASE MASTER'!$X$2:$X$495&gt;=1))*ROW('CASE MASTER'!$T$2:$T$495))-(ROW('CASE MASTER'!#REF!)-1))),":",","),",",REPT(" ",50)),((((4-INDEX('CASE MASTER'!$U$2:$U$495,(SUMPRODUCT((('CASE MASTER'!$T$2:$T$495=10)*('CASE MASTER'!$U$2:$U$495&lt;=4)*('CASE MASTER'!$W$2:$W$495&gt;=4)*('CASE MASTER'!$V$2:$V$495&lt;=1)*('CASE MASTER'!$X$2:$X$495&gt;=1))*ROW('CASE MASTER'!$T$2:$T$495))-(ROW('CASE MASTER'!#REF!)-1))))*(INDEX('CASE MASTER'!$X$2:$X$495,(SUMPRODUCT((('CASE MASTER'!$T$2:$T$495=10)*('CASE MASTER'!$U$2:$U$495&lt;=4)*('CASE MASTER'!$W$2:$W$495&gt;=4)*('CASE MASTER'!$V$2:$V$495&lt;=1)*('CASE MASTER'!$X$2:$X$495&gt;=1))*ROW('CASE MASTER'!$T$2:$T$495))-(ROW('CASE MASTER'!#REF!)-1)))-INDEX('CASE MASTER'!$V$2:$V$495,(SUMPRODUCT((('CASE MASTER'!$T$2:$T$495=10)*('CASE MASTER'!$U$2:$U$495&lt;=4)*('CASE MASTER'!$W$2:$W$495&gt;=4)*('CASE MASTER'!$V$2:$V$495&lt;=1)*('CASE MASTER'!$X$2:$X$495&gt;=1))*ROW('CASE MASTER'!$T$2:$T$495))-(ROW('CASE MASTER'!#REF!)-1)))+1)+(1-INDEX('CASE MASTER'!$V$2:$V$495,(SUMPRODUCT((('CASE MASTER'!$T$2:$T$495=10)*('CASE MASTER'!$U$2:$U$495&lt;=4)*('CASE MASTER'!$W$2:$W$495&gt;=4)*('CASE MASTER'!$V$2:$V$495&lt;=1)*('CASE MASTER'!$X$2:$X$495&gt;=1))*ROW('CASE MASTER'!$T$2:$T$495))-(ROW('CASE MASTER'!#REF!)-1))))+1))-1)*50+1,50))&amp;"_"&amp;INDEX('CASE MASTER'!$Q$2:$Q$495,(SUMPRODUCT((('CASE MASTER'!$T$2:$T$495=10)*('CASE MASTER'!$U$2:$U$495&lt;=4)*('CASE MASTER'!$W$2:$W$495&gt;=4)*('CASE MASTER'!$V$2:$V$495&lt;=1)*('CASE MASTER'!$X$2:$X$495&gt;=1))*ROW('CASE MASTER'!$T$2:$T$495))-(ROW('CASE MASTER'!#REF!)-1))),IF(SUMPRODUCT((('CASE MASTER'!$T$2:$T$495=10)*('CASE MASTER'!$AA$2:$AA$495&lt;=4)*('CASE MASTER'!$AC$2:$AC$495&gt;=4)*('CASE MASTER'!$AB$2:$AB$495&lt;=1)*('CASE MASTER'!$AD$2:$AD$495&gt;=1))*ROW('CASE MASTER'!$T$2:$T$495))&gt;0,INDEX('CASE MASTER'!$Y$2:$Y$495,(SUMPRODUCT((('CASE MASTER'!$T$2:$T$495=10)*('CASE MASTER'!$AA$2:$AA$495&lt;=4)*('CASE MASTER'!$AC$2:$AC$495&gt;=4)*('CASE MASTER'!$AB$2:$AB$495&lt;=1)*('CASE MASTER'!$AD$2:$AD$495&gt;=1))*ROW('CASE MASTER'!$T$2:$T$495))-(ROW('CASE MASTER'!#REF!)-1)))&amp;TRIM(MID(SUBSTITUTE(SUBSTITUTE(INDEX('CASE MASTER'!$N$2:$N$495,(SUMPRODUCT((('CASE MASTER'!$T$2:$T$495=10)*('CASE MASTER'!$AA$2:$AA$495&lt;=4)*('CASE MASTER'!$AC$2:$AC$495&gt;=4)*('CASE MASTER'!$AB$2:$AB$495&lt;=1)*('CASE MASTER'!$AD$2:$AD$495&gt;=1))*ROW('CASE MASTER'!$T$2:$T$495))-(ROW('CASE MASTER'!#REF!)-1))),":",","),",",REPT(" ",50)),(((INDEX('CASE MASTER'!$Z$2:$Z$495,(SUMPRODUCT((('CASE MASTER'!$T$2:$T$495=10)*('CASE MASTER'!$AA$2:$AA$495&lt;=4)*('CASE MASTER'!$AC$2:$AC$495&gt;=4)*('CASE MASTER'!$AB$2:$AB$495&lt;=1)*('CASE MASTER'!$AD$2:$AD$495&gt;=1))*ROW('CASE MASTER'!$T$2:$T$495))-(ROW('CASE MASTER'!#REF!)-1)))+((4-INDEX('CASE MASTER'!$AA$2:$AA$495,(SUMPRODUCT((('CASE MASTER'!$T$2:$T$495=10)*('CASE MASTER'!$AA$2:$AA$495&lt;=4)*('CASE MASTER'!$AC$2:$AC$495&gt;=4)*('CASE MASTER'!$AB$2:$AB$495&lt;=1)*('CASE MASTER'!$AD$2:$AD$495&gt;=1))*ROW('CASE MASTER'!$T$2:$T$495))-(ROW('CASE MASTER'!#REF!)-1))))*(INDEX('CASE MASTER'!$AD$2:$AD$495,(SUMPRODUCT((('CASE MASTER'!$T$2:$T$495=10)*('CASE MASTER'!$AA$2:$AA$495&lt;=4)*('CASE MASTER'!$AC$2:$AC$495&gt;=4)*('CASE MASTER'!$AB$2:$AB$495&lt;=1)*('CASE MASTER'!$AD$2:$AD$495&gt;=1))*ROW('CASE MASTER'!$T$2:$T$495))-(ROW('CASE MASTER'!#REF!)-1)))-INDEX('CASE MASTER'!$AB$2:$AB$495,(SUMPRODUCT((('CASE MASTER'!$T$2:$T$495=10)*('CASE MASTER'!$AA$2:$AA$495&lt;=4)*('CASE MASTER'!$AC$2:$AC$495&gt;=4)*('CASE MASTER'!$AB$2:$AB$495&lt;=1)*('CASE MASTER'!$AD$2:$AD$495&gt;=1))*ROW('CASE MASTER'!$T$2:$T$495))-(ROW('CASE MASTER'!#REF!)-1)))+1)+(1-INDEX('CASE MASTER'!$AB$2:$AB$495,(SUMPRODUCT((('CASE MASTER'!$T$2:$T$495=10)*('CASE MASTER'!$AA$2:$AA$495&lt;=4)*('CASE MASTER'!$AC$2:$AC$495&gt;=4)*('CASE MASTER'!$AB$2:$AB$495&lt;=1)*('CASE MASTER'!$AD$2:$AD$495&gt;=1))*ROW('CASE MASTER'!$T$2:$T$495))-(ROW('CASE MASTER'!#REF!)-1))))+1)))-1)*50+1,50))&amp;"_"&amp;INDEX('CASE MASTER'!$Q$2:$Q$495,(SUMPRODUCT((('CASE MASTER'!$T$2:$T$495=10)*('CASE MASTER'!$AA$2:$AA$495&lt;=4)*('CASE MASTER'!$AC$2:$AC$495&gt;=4)*('CASE MASTER'!$AB$2:$AB$495&lt;=1)*('CASE MASTER'!$AD$2:$AD$495&gt;=1))*ROW('CASE MASTER'!$T$2:$T$495))-(ROW('CASE MASTER'!#REF!)-1))),"")),"")</f>
        <v/>
      </c>
      <c r="C132" s="10" t="str">
        <f>IFERROR(IF(SUMPRODUCT((('CASE MASTER'!$T$2:$T$495=10)*('CASE MASTER'!$U$2:$U$495&lt;=4)*('CASE MASTER'!$W$2:$W$495&gt;=4)*('CASE MASTER'!$V$2:$V$495&lt;=2)*('CASE MASTER'!$X$2:$X$495&gt;=2))*ROW('CASE MASTER'!$T$2:$T$495))&gt;0,INDEX('CASE MASTER'!$Y$2:$Y$495,(SUMPRODUCT((('CASE MASTER'!$T$2:$T$495=10)*('CASE MASTER'!$U$2:$U$495&lt;=4)*('CASE MASTER'!$W$2:$W$495&gt;=4)*('CASE MASTER'!$V$2:$V$495&lt;=2)*('CASE MASTER'!$X$2:$X$495&gt;=2))*ROW('CASE MASTER'!$T$2:$T$495))-(ROW('CASE MASTER'!#REF!)-1)))&amp;TRIM(MID(SUBSTITUTE(SUBSTITUTE(INDEX('CASE MASTER'!$N$2:$N$495,(SUMPRODUCT((('CASE MASTER'!$T$2:$T$495=10)*('CASE MASTER'!$U$2:$U$495&lt;=4)*('CASE MASTER'!$W$2:$W$495&gt;=4)*('CASE MASTER'!$V$2:$V$495&lt;=2)*('CASE MASTER'!$X$2:$X$495&gt;=2))*ROW('CASE MASTER'!$T$2:$T$495))-(ROW('CASE MASTER'!#REF!)-1))),":",","),",",REPT(" ",50)),((((4-INDEX('CASE MASTER'!$U$2:$U$495,(SUMPRODUCT((('CASE MASTER'!$T$2:$T$495=10)*('CASE MASTER'!$U$2:$U$495&lt;=4)*('CASE MASTER'!$W$2:$W$495&gt;=4)*('CASE MASTER'!$V$2:$V$495&lt;=2)*('CASE MASTER'!$X$2:$X$495&gt;=2))*ROW('CASE MASTER'!$T$2:$T$495))-(ROW('CASE MASTER'!#REF!)-1))))*(INDEX('CASE MASTER'!$X$2:$X$495,(SUMPRODUCT((('CASE MASTER'!$T$2:$T$495=10)*('CASE MASTER'!$U$2:$U$495&lt;=4)*('CASE MASTER'!$W$2:$W$495&gt;=4)*('CASE MASTER'!$V$2:$V$495&lt;=2)*('CASE MASTER'!$X$2:$X$495&gt;=2))*ROW('CASE MASTER'!$T$2:$T$495))-(ROW('CASE MASTER'!#REF!)-1)))-INDEX('CASE MASTER'!$V$2:$V$495,(SUMPRODUCT((('CASE MASTER'!$T$2:$T$495=10)*('CASE MASTER'!$U$2:$U$495&lt;=4)*('CASE MASTER'!$W$2:$W$495&gt;=4)*('CASE MASTER'!$V$2:$V$495&lt;=2)*('CASE MASTER'!$X$2:$X$495&gt;=2))*ROW('CASE MASTER'!$T$2:$T$495))-(ROW('CASE MASTER'!#REF!)-1)))+1)+(2-INDEX('CASE MASTER'!$V$2:$V$495,(SUMPRODUCT((('CASE MASTER'!$T$2:$T$495=10)*('CASE MASTER'!$U$2:$U$495&lt;=4)*('CASE MASTER'!$W$2:$W$495&gt;=4)*('CASE MASTER'!$V$2:$V$495&lt;=2)*('CASE MASTER'!$X$2:$X$495&gt;=2))*ROW('CASE MASTER'!$T$2:$T$495))-(ROW('CASE MASTER'!#REF!)-1))))+1))-1)*50+1,50))&amp;"_"&amp;INDEX('CASE MASTER'!$Q$2:$Q$495,(SUMPRODUCT((('CASE MASTER'!$T$2:$T$495=10)*('CASE MASTER'!$U$2:$U$495&lt;=4)*('CASE MASTER'!$W$2:$W$495&gt;=4)*('CASE MASTER'!$V$2:$V$495&lt;=2)*('CASE MASTER'!$X$2:$X$495&gt;=2))*ROW('CASE MASTER'!$T$2:$T$495))-(ROW('CASE MASTER'!#REF!)-1))),IF(SUMPRODUCT((('CASE MASTER'!$T$2:$T$495=10)*('CASE MASTER'!$AA$2:$AA$495&lt;=4)*('CASE MASTER'!$AC$2:$AC$495&gt;=4)*('CASE MASTER'!$AB$2:$AB$495&lt;=2)*('CASE MASTER'!$AD$2:$AD$495&gt;=2))*ROW('CASE MASTER'!$T$2:$T$495))&gt;0,INDEX('CASE MASTER'!$Y$2:$Y$495,(SUMPRODUCT((('CASE MASTER'!$T$2:$T$495=10)*('CASE MASTER'!$AA$2:$AA$495&lt;=4)*('CASE MASTER'!$AC$2:$AC$495&gt;=4)*('CASE MASTER'!$AB$2:$AB$495&lt;=2)*('CASE MASTER'!$AD$2:$AD$495&gt;=2))*ROW('CASE MASTER'!$T$2:$T$495))-(ROW('CASE MASTER'!#REF!)-1)))&amp;TRIM(MID(SUBSTITUTE(SUBSTITUTE(INDEX('CASE MASTER'!$N$2:$N$495,(SUMPRODUCT((('CASE MASTER'!$T$2:$T$495=10)*('CASE MASTER'!$AA$2:$AA$495&lt;=4)*('CASE MASTER'!$AC$2:$AC$495&gt;=4)*('CASE MASTER'!$AB$2:$AB$495&lt;=2)*('CASE MASTER'!$AD$2:$AD$495&gt;=2))*ROW('CASE MASTER'!$T$2:$T$495))-(ROW('CASE MASTER'!#REF!)-1))),":",","),",",REPT(" ",50)),(((INDEX('CASE MASTER'!$Z$2:$Z$495,(SUMPRODUCT((('CASE MASTER'!$T$2:$T$495=10)*('CASE MASTER'!$AA$2:$AA$495&lt;=4)*('CASE MASTER'!$AC$2:$AC$495&gt;=4)*('CASE MASTER'!$AB$2:$AB$495&lt;=2)*('CASE MASTER'!$AD$2:$AD$495&gt;=2))*ROW('CASE MASTER'!$T$2:$T$495))-(ROW('CASE MASTER'!#REF!)-1)))+((4-INDEX('CASE MASTER'!$AA$2:$AA$495,(SUMPRODUCT((('CASE MASTER'!$T$2:$T$495=10)*('CASE MASTER'!$AA$2:$AA$495&lt;=4)*('CASE MASTER'!$AC$2:$AC$495&gt;=4)*('CASE MASTER'!$AB$2:$AB$495&lt;=2)*('CASE MASTER'!$AD$2:$AD$495&gt;=2))*ROW('CASE MASTER'!$T$2:$T$495))-(ROW('CASE MASTER'!#REF!)-1))))*(INDEX('CASE MASTER'!$AD$2:$AD$495,(SUMPRODUCT((('CASE MASTER'!$T$2:$T$495=10)*('CASE MASTER'!$AA$2:$AA$495&lt;=4)*('CASE MASTER'!$AC$2:$AC$495&gt;=4)*('CASE MASTER'!$AB$2:$AB$495&lt;=2)*('CASE MASTER'!$AD$2:$AD$495&gt;=2))*ROW('CASE MASTER'!$T$2:$T$495))-(ROW('CASE MASTER'!#REF!)-1)))-INDEX('CASE MASTER'!$AB$2:$AB$495,(SUMPRODUCT((('CASE MASTER'!$T$2:$T$495=10)*('CASE MASTER'!$AA$2:$AA$495&lt;=4)*('CASE MASTER'!$AC$2:$AC$495&gt;=4)*('CASE MASTER'!$AB$2:$AB$495&lt;=2)*('CASE MASTER'!$AD$2:$AD$495&gt;=2))*ROW('CASE MASTER'!$T$2:$T$495))-(ROW('CASE MASTER'!#REF!)-1)))+1)+(2-INDEX('CASE MASTER'!$AB$2:$AB$495,(SUMPRODUCT((('CASE MASTER'!$T$2:$T$495=10)*('CASE MASTER'!$AA$2:$AA$495&lt;=4)*('CASE MASTER'!$AC$2:$AC$495&gt;=4)*('CASE MASTER'!$AB$2:$AB$495&lt;=2)*('CASE MASTER'!$AD$2:$AD$495&gt;=2))*ROW('CASE MASTER'!$T$2:$T$495))-(ROW('CASE MASTER'!#REF!)-1))))+1)))-1)*50+1,50))&amp;"_"&amp;INDEX('CASE MASTER'!$Q$2:$Q$495,(SUMPRODUCT((('CASE MASTER'!$T$2:$T$495=10)*('CASE MASTER'!$AA$2:$AA$495&lt;=4)*('CASE MASTER'!$AC$2:$AC$495&gt;=4)*('CASE MASTER'!$AB$2:$AB$495&lt;=2)*('CASE MASTER'!$AD$2:$AD$495&gt;=2))*ROW('CASE MASTER'!$T$2:$T$495))-(ROW('CASE MASTER'!#REF!)-1))),"")),"")</f>
        <v/>
      </c>
      <c r="D132" s="10" t="str">
        <f>IFERROR(IF(SUMPRODUCT((('CASE MASTER'!$T$2:$T$495=10)*('CASE MASTER'!$U$2:$U$495&lt;=4)*('CASE MASTER'!$W$2:$W$495&gt;=4)*('CASE MASTER'!$V$2:$V$495&lt;=3)*('CASE MASTER'!$X$2:$X$495&gt;=3))*ROW('CASE MASTER'!$T$2:$T$495))&gt;0,INDEX('CASE MASTER'!$Y$2:$Y$495,(SUMPRODUCT((('CASE MASTER'!$T$2:$T$495=10)*('CASE MASTER'!$U$2:$U$495&lt;=4)*('CASE MASTER'!$W$2:$W$495&gt;=4)*('CASE MASTER'!$V$2:$V$495&lt;=3)*('CASE MASTER'!$X$2:$X$495&gt;=3))*ROW('CASE MASTER'!$T$2:$T$495))-(ROW('CASE MASTER'!#REF!)-1)))&amp;TRIM(MID(SUBSTITUTE(SUBSTITUTE(INDEX('CASE MASTER'!$N$2:$N$495,(SUMPRODUCT((('CASE MASTER'!$T$2:$T$495=10)*('CASE MASTER'!$U$2:$U$495&lt;=4)*('CASE MASTER'!$W$2:$W$495&gt;=4)*('CASE MASTER'!$V$2:$V$495&lt;=3)*('CASE MASTER'!$X$2:$X$495&gt;=3))*ROW('CASE MASTER'!$T$2:$T$495))-(ROW('CASE MASTER'!#REF!)-1))),":",","),",",REPT(" ",50)),((((4-INDEX('CASE MASTER'!$U$2:$U$495,(SUMPRODUCT((('CASE MASTER'!$T$2:$T$495=10)*('CASE MASTER'!$U$2:$U$495&lt;=4)*('CASE MASTER'!$W$2:$W$495&gt;=4)*('CASE MASTER'!$V$2:$V$495&lt;=3)*('CASE MASTER'!$X$2:$X$495&gt;=3))*ROW('CASE MASTER'!$T$2:$T$495))-(ROW('CASE MASTER'!#REF!)-1))))*(INDEX('CASE MASTER'!$X$2:$X$495,(SUMPRODUCT((('CASE MASTER'!$T$2:$T$495=10)*('CASE MASTER'!$U$2:$U$495&lt;=4)*('CASE MASTER'!$W$2:$W$495&gt;=4)*('CASE MASTER'!$V$2:$V$495&lt;=3)*('CASE MASTER'!$X$2:$X$495&gt;=3))*ROW('CASE MASTER'!$T$2:$T$495))-(ROW('CASE MASTER'!#REF!)-1)))-INDEX('CASE MASTER'!$V$2:$V$495,(SUMPRODUCT((('CASE MASTER'!$T$2:$T$495=10)*('CASE MASTER'!$U$2:$U$495&lt;=4)*('CASE MASTER'!$W$2:$W$495&gt;=4)*('CASE MASTER'!$V$2:$V$495&lt;=3)*('CASE MASTER'!$X$2:$X$495&gt;=3))*ROW('CASE MASTER'!$T$2:$T$495))-(ROW('CASE MASTER'!#REF!)-1)))+1)+(3-INDEX('CASE MASTER'!$V$2:$V$495,(SUMPRODUCT((('CASE MASTER'!$T$2:$T$495=10)*('CASE MASTER'!$U$2:$U$495&lt;=4)*('CASE MASTER'!$W$2:$W$495&gt;=4)*('CASE MASTER'!$V$2:$V$495&lt;=3)*('CASE MASTER'!$X$2:$X$495&gt;=3))*ROW('CASE MASTER'!$T$2:$T$495))-(ROW('CASE MASTER'!#REF!)-1))))+1))-1)*50+1,50))&amp;"_"&amp;INDEX('CASE MASTER'!$Q$2:$Q$495,(SUMPRODUCT((('CASE MASTER'!$T$2:$T$495=10)*('CASE MASTER'!$U$2:$U$495&lt;=4)*('CASE MASTER'!$W$2:$W$495&gt;=4)*('CASE MASTER'!$V$2:$V$495&lt;=3)*('CASE MASTER'!$X$2:$X$495&gt;=3))*ROW('CASE MASTER'!$T$2:$T$495))-(ROW('CASE MASTER'!#REF!)-1))),IF(SUMPRODUCT((('CASE MASTER'!$T$2:$T$495=10)*('CASE MASTER'!$AA$2:$AA$495&lt;=4)*('CASE MASTER'!$AC$2:$AC$495&gt;=4)*('CASE MASTER'!$AB$2:$AB$495&lt;=3)*('CASE MASTER'!$AD$2:$AD$495&gt;=3))*ROW('CASE MASTER'!$T$2:$T$495))&gt;0,INDEX('CASE MASTER'!$Y$2:$Y$495,(SUMPRODUCT((('CASE MASTER'!$T$2:$T$495=10)*('CASE MASTER'!$AA$2:$AA$495&lt;=4)*('CASE MASTER'!$AC$2:$AC$495&gt;=4)*('CASE MASTER'!$AB$2:$AB$495&lt;=3)*('CASE MASTER'!$AD$2:$AD$495&gt;=3))*ROW('CASE MASTER'!$T$2:$T$495))-(ROW('CASE MASTER'!#REF!)-1)))&amp;TRIM(MID(SUBSTITUTE(SUBSTITUTE(INDEX('CASE MASTER'!$N$2:$N$495,(SUMPRODUCT((('CASE MASTER'!$T$2:$T$495=10)*('CASE MASTER'!$AA$2:$AA$495&lt;=4)*('CASE MASTER'!$AC$2:$AC$495&gt;=4)*('CASE MASTER'!$AB$2:$AB$495&lt;=3)*('CASE MASTER'!$AD$2:$AD$495&gt;=3))*ROW('CASE MASTER'!$T$2:$T$495))-(ROW('CASE MASTER'!#REF!)-1))),":",","),",",REPT(" ",50)),(((INDEX('CASE MASTER'!$Z$2:$Z$495,(SUMPRODUCT((('CASE MASTER'!$T$2:$T$495=10)*('CASE MASTER'!$AA$2:$AA$495&lt;=4)*('CASE MASTER'!$AC$2:$AC$495&gt;=4)*('CASE MASTER'!$AB$2:$AB$495&lt;=3)*('CASE MASTER'!$AD$2:$AD$495&gt;=3))*ROW('CASE MASTER'!$T$2:$T$495))-(ROW('CASE MASTER'!#REF!)-1)))+((4-INDEX('CASE MASTER'!$AA$2:$AA$495,(SUMPRODUCT((('CASE MASTER'!$T$2:$T$495=10)*('CASE MASTER'!$AA$2:$AA$495&lt;=4)*('CASE MASTER'!$AC$2:$AC$495&gt;=4)*('CASE MASTER'!$AB$2:$AB$495&lt;=3)*('CASE MASTER'!$AD$2:$AD$495&gt;=3))*ROW('CASE MASTER'!$T$2:$T$495))-(ROW('CASE MASTER'!#REF!)-1))))*(INDEX('CASE MASTER'!$AD$2:$AD$495,(SUMPRODUCT((('CASE MASTER'!$T$2:$T$495=10)*('CASE MASTER'!$AA$2:$AA$495&lt;=4)*('CASE MASTER'!$AC$2:$AC$495&gt;=4)*('CASE MASTER'!$AB$2:$AB$495&lt;=3)*('CASE MASTER'!$AD$2:$AD$495&gt;=3))*ROW('CASE MASTER'!$T$2:$T$495))-(ROW('CASE MASTER'!#REF!)-1)))-INDEX('CASE MASTER'!$AB$2:$AB$495,(SUMPRODUCT((('CASE MASTER'!$T$2:$T$495=10)*('CASE MASTER'!$AA$2:$AA$495&lt;=4)*('CASE MASTER'!$AC$2:$AC$495&gt;=4)*('CASE MASTER'!$AB$2:$AB$495&lt;=3)*('CASE MASTER'!$AD$2:$AD$495&gt;=3))*ROW('CASE MASTER'!$T$2:$T$495))-(ROW('CASE MASTER'!#REF!)-1)))+1)+(3-INDEX('CASE MASTER'!$AB$2:$AB$495,(SUMPRODUCT((('CASE MASTER'!$T$2:$T$495=10)*('CASE MASTER'!$AA$2:$AA$495&lt;=4)*('CASE MASTER'!$AC$2:$AC$495&gt;=4)*('CASE MASTER'!$AB$2:$AB$495&lt;=3)*('CASE MASTER'!$AD$2:$AD$495&gt;=3))*ROW('CASE MASTER'!$T$2:$T$495))-(ROW('CASE MASTER'!#REF!)-1))))+1)))-1)*50+1,50))&amp;"_"&amp;INDEX('CASE MASTER'!$Q$2:$Q$495,(SUMPRODUCT((('CASE MASTER'!$T$2:$T$495=10)*('CASE MASTER'!$AA$2:$AA$495&lt;=4)*('CASE MASTER'!$AC$2:$AC$495&gt;=4)*('CASE MASTER'!$AB$2:$AB$495&lt;=3)*('CASE MASTER'!$AD$2:$AD$495&gt;=3))*ROW('CASE MASTER'!$T$2:$T$495))-(ROW('CASE MASTER'!#REF!)-1))),"")),"")</f>
        <v/>
      </c>
      <c r="E132" s="10" t="str">
        <f>IFERROR(IF(SUMPRODUCT((('CASE MASTER'!$T$2:$T$495=10)*('CASE MASTER'!$U$2:$U$495&lt;=4)*('CASE MASTER'!$W$2:$W$495&gt;=4)*('CASE MASTER'!$V$2:$V$495&lt;=4)*('CASE MASTER'!$X$2:$X$495&gt;=4))*ROW('CASE MASTER'!$T$2:$T$495))&gt;0,INDEX('CASE MASTER'!$Y$2:$Y$495,(SUMPRODUCT((('CASE MASTER'!$T$2:$T$495=10)*('CASE MASTER'!$U$2:$U$495&lt;=4)*('CASE MASTER'!$W$2:$W$495&gt;=4)*('CASE MASTER'!$V$2:$V$495&lt;=4)*('CASE MASTER'!$X$2:$X$495&gt;=4))*ROW('CASE MASTER'!$T$2:$T$495))-(ROW('CASE MASTER'!#REF!)-1)))&amp;TRIM(MID(SUBSTITUTE(SUBSTITUTE(INDEX('CASE MASTER'!$N$2:$N$495,(SUMPRODUCT((('CASE MASTER'!$T$2:$T$495=10)*('CASE MASTER'!$U$2:$U$495&lt;=4)*('CASE MASTER'!$W$2:$W$495&gt;=4)*('CASE MASTER'!$V$2:$V$495&lt;=4)*('CASE MASTER'!$X$2:$X$495&gt;=4))*ROW('CASE MASTER'!$T$2:$T$495))-(ROW('CASE MASTER'!#REF!)-1))),":",","),",",REPT(" ",50)),((((4-INDEX('CASE MASTER'!$U$2:$U$495,(SUMPRODUCT((('CASE MASTER'!$T$2:$T$495=10)*('CASE MASTER'!$U$2:$U$495&lt;=4)*('CASE MASTER'!$W$2:$W$495&gt;=4)*('CASE MASTER'!$V$2:$V$495&lt;=4)*('CASE MASTER'!$X$2:$X$495&gt;=4))*ROW('CASE MASTER'!$T$2:$T$495))-(ROW('CASE MASTER'!#REF!)-1))))*(INDEX('CASE MASTER'!$X$2:$X$495,(SUMPRODUCT((('CASE MASTER'!$T$2:$T$495=10)*('CASE MASTER'!$U$2:$U$495&lt;=4)*('CASE MASTER'!$W$2:$W$495&gt;=4)*('CASE MASTER'!$V$2:$V$495&lt;=4)*('CASE MASTER'!$X$2:$X$495&gt;=4))*ROW('CASE MASTER'!$T$2:$T$495))-(ROW('CASE MASTER'!#REF!)-1)))-INDEX('CASE MASTER'!$V$2:$V$495,(SUMPRODUCT((('CASE MASTER'!$T$2:$T$495=10)*('CASE MASTER'!$U$2:$U$495&lt;=4)*('CASE MASTER'!$W$2:$W$495&gt;=4)*('CASE MASTER'!$V$2:$V$495&lt;=4)*('CASE MASTER'!$X$2:$X$495&gt;=4))*ROW('CASE MASTER'!$T$2:$T$495))-(ROW('CASE MASTER'!#REF!)-1)))+1)+(4-INDEX('CASE MASTER'!$V$2:$V$495,(SUMPRODUCT((('CASE MASTER'!$T$2:$T$495=10)*('CASE MASTER'!$U$2:$U$495&lt;=4)*('CASE MASTER'!$W$2:$W$495&gt;=4)*('CASE MASTER'!$V$2:$V$495&lt;=4)*('CASE MASTER'!$X$2:$X$495&gt;=4))*ROW('CASE MASTER'!$T$2:$T$495))-(ROW('CASE MASTER'!#REF!)-1))))+1))-1)*50+1,50))&amp;"_"&amp;INDEX('CASE MASTER'!$Q$2:$Q$495,(SUMPRODUCT((('CASE MASTER'!$T$2:$T$495=10)*('CASE MASTER'!$U$2:$U$495&lt;=4)*('CASE MASTER'!$W$2:$W$495&gt;=4)*('CASE MASTER'!$V$2:$V$495&lt;=4)*('CASE MASTER'!$X$2:$X$495&gt;=4))*ROW('CASE MASTER'!$T$2:$T$495))-(ROW('CASE MASTER'!#REF!)-1))),IF(SUMPRODUCT((('CASE MASTER'!$T$2:$T$495=10)*('CASE MASTER'!$AA$2:$AA$495&lt;=4)*('CASE MASTER'!$AC$2:$AC$495&gt;=4)*('CASE MASTER'!$AB$2:$AB$495&lt;=4)*('CASE MASTER'!$AD$2:$AD$495&gt;=4))*ROW('CASE MASTER'!$T$2:$T$495))&gt;0,INDEX('CASE MASTER'!$Y$2:$Y$495,(SUMPRODUCT((('CASE MASTER'!$T$2:$T$495=10)*('CASE MASTER'!$AA$2:$AA$495&lt;=4)*('CASE MASTER'!$AC$2:$AC$495&gt;=4)*('CASE MASTER'!$AB$2:$AB$495&lt;=4)*('CASE MASTER'!$AD$2:$AD$495&gt;=4))*ROW('CASE MASTER'!$T$2:$T$495))-(ROW('CASE MASTER'!#REF!)-1)))&amp;TRIM(MID(SUBSTITUTE(SUBSTITUTE(INDEX('CASE MASTER'!$N$2:$N$495,(SUMPRODUCT((('CASE MASTER'!$T$2:$T$495=10)*('CASE MASTER'!$AA$2:$AA$495&lt;=4)*('CASE MASTER'!$AC$2:$AC$495&gt;=4)*('CASE MASTER'!$AB$2:$AB$495&lt;=4)*('CASE MASTER'!$AD$2:$AD$495&gt;=4))*ROW('CASE MASTER'!$T$2:$T$495))-(ROW('CASE MASTER'!#REF!)-1))),":",","),",",REPT(" ",50)),(((INDEX('CASE MASTER'!$Z$2:$Z$495,(SUMPRODUCT((('CASE MASTER'!$T$2:$T$495=10)*('CASE MASTER'!$AA$2:$AA$495&lt;=4)*('CASE MASTER'!$AC$2:$AC$495&gt;=4)*('CASE MASTER'!$AB$2:$AB$495&lt;=4)*('CASE MASTER'!$AD$2:$AD$495&gt;=4))*ROW('CASE MASTER'!$T$2:$T$495))-(ROW('CASE MASTER'!#REF!)-1)))+((4-INDEX('CASE MASTER'!$AA$2:$AA$495,(SUMPRODUCT((('CASE MASTER'!$T$2:$T$495=10)*('CASE MASTER'!$AA$2:$AA$495&lt;=4)*('CASE MASTER'!$AC$2:$AC$495&gt;=4)*('CASE MASTER'!$AB$2:$AB$495&lt;=4)*('CASE MASTER'!$AD$2:$AD$495&gt;=4))*ROW('CASE MASTER'!$T$2:$T$495))-(ROW('CASE MASTER'!#REF!)-1))))*(INDEX('CASE MASTER'!$AD$2:$AD$495,(SUMPRODUCT((('CASE MASTER'!$T$2:$T$495=10)*('CASE MASTER'!$AA$2:$AA$495&lt;=4)*('CASE MASTER'!$AC$2:$AC$495&gt;=4)*('CASE MASTER'!$AB$2:$AB$495&lt;=4)*('CASE MASTER'!$AD$2:$AD$495&gt;=4))*ROW('CASE MASTER'!$T$2:$T$495))-(ROW('CASE MASTER'!#REF!)-1)))-INDEX('CASE MASTER'!$AB$2:$AB$495,(SUMPRODUCT((('CASE MASTER'!$T$2:$T$495=10)*('CASE MASTER'!$AA$2:$AA$495&lt;=4)*('CASE MASTER'!$AC$2:$AC$495&gt;=4)*('CASE MASTER'!$AB$2:$AB$495&lt;=4)*('CASE MASTER'!$AD$2:$AD$495&gt;=4))*ROW('CASE MASTER'!$T$2:$T$495))-(ROW('CASE MASTER'!#REF!)-1)))+1)+(4-INDEX('CASE MASTER'!$AB$2:$AB$495,(SUMPRODUCT((('CASE MASTER'!$T$2:$T$495=10)*('CASE MASTER'!$AA$2:$AA$495&lt;=4)*('CASE MASTER'!$AC$2:$AC$495&gt;=4)*('CASE MASTER'!$AB$2:$AB$495&lt;=4)*('CASE MASTER'!$AD$2:$AD$495&gt;=4))*ROW('CASE MASTER'!$T$2:$T$495))-(ROW('CASE MASTER'!#REF!)-1))))+1)))-1)*50+1,50))&amp;"_"&amp;INDEX('CASE MASTER'!$Q$2:$Q$495,(SUMPRODUCT((('CASE MASTER'!$T$2:$T$495=10)*('CASE MASTER'!$AA$2:$AA$495&lt;=4)*('CASE MASTER'!$AC$2:$AC$495&gt;=4)*('CASE MASTER'!$AB$2:$AB$495&lt;=4)*('CASE MASTER'!$AD$2:$AD$495&gt;=4))*ROW('CASE MASTER'!$T$2:$T$495))-(ROW('CASE MASTER'!#REF!)-1))),"")),"")</f>
        <v/>
      </c>
      <c r="F132" s="10" t="str">
        <f>IFERROR(IF(SUMPRODUCT((('CASE MASTER'!$T$2:$T$495=10)*('CASE MASTER'!$U$2:$U$495&lt;=4)*('CASE MASTER'!$W$2:$W$495&gt;=4)*('CASE MASTER'!$V$2:$V$495&lt;=5)*('CASE MASTER'!$X$2:$X$495&gt;=5))*ROW('CASE MASTER'!$T$2:$T$495))&gt;0,INDEX('CASE MASTER'!$Y$2:$Y$495,(SUMPRODUCT((('CASE MASTER'!$T$2:$T$495=10)*('CASE MASTER'!$U$2:$U$495&lt;=4)*('CASE MASTER'!$W$2:$W$495&gt;=4)*('CASE MASTER'!$V$2:$V$495&lt;=5)*('CASE MASTER'!$X$2:$X$495&gt;=5))*ROW('CASE MASTER'!$T$2:$T$495))-(ROW('CASE MASTER'!#REF!)-1)))&amp;TRIM(MID(SUBSTITUTE(SUBSTITUTE(INDEX('CASE MASTER'!$N$2:$N$495,(SUMPRODUCT((('CASE MASTER'!$T$2:$T$495=10)*('CASE MASTER'!$U$2:$U$495&lt;=4)*('CASE MASTER'!$W$2:$W$495&gt;=4)*('CASE MASTER'!$V$2:$V$495&lt;=5)*('CASE MASTER'!$X$2:$X$495&gt;=5))*ROW('CASE MASTER'!$T$2:$T$495))-(ROW('CASE MASTER'!#REF!)-1))),":",","),",",REPT(" ",50)),((((4-INDEX('CASE MASTER'!$U$2:$U$495,(SUMPRODUCT((('CASE MASTER'!$T$2:$T$495=10)*('CASE MASTER'!$U$2:$U$495&lt;=4)*('CASE MASTER'!$W$2:$W$495&gt;=4)*('CASE MASTER'!$V$2:$V$495&lt;=5)*('CASE MASTER'!$X$2:$X$495&gt;=5))*ROW('CASE MASTER'!$T$2:$T$495))-(ROW('CASE MASTER'!#REF!)-1))))*(INDEX('CASE MASTER'!$X$2:$X$495,(SUMPRODUCT((('CASE MASTER'!$T$2:$T$495=10)*('CASE MASTER'!$U$2:$U$495&lt;=4)*('CASE MASTER'!$W$2:$W$495&gt;=4)*('CASE MASTER'!$V$2:$V$495&lt;=5)*('CASE MASTER'!$X$2:$X$495&gt;=5))*ROW('CASE MASTER'!$T$2:$T$495))-(ROW('CASE MASTER'!#REF!)-1)))-INDEX('CASE MASTER'!$V$2:$V$495,(SUMPRODUCT((('CASE MASTER'!$T$2:$T$495=10)*('CASE MASTER'!$U$2:$U$495&lt;=4)*('CASE MASTER'!$W$2:$W$495&gt;=4)*('CASE MASTER'!$V$2:$V$495&lt;=5)*('CASE MASTER'!$X$2:$X$495&gt;=5))*ROW('CASE MASTER'!$T$2:$T$495))-(ROW('CASE MASTER'!#REF!)-1)))+1)+(5-INDEX('CASE MASTER'!$V$2:$V$495,(SUMPRODUCT((('CASE MASTER'!$T$2:$T$495=10)*('CASE MASTER'!$U$2:$U$495&lt;=4)*('CASE MASTER'!$W$2:$W$495&gt;=4)*('CASE MASTER'!$V$2:$V$495&lt;=5)*('CASE MASTER'!$X$2:$X$495&gt;=5))*ROW('CASE MASTER'!$T$2:$T$495))-(ROW('CASE MASTER'!#REF!)-1))))+1))-1)*50+1,50))&amp;"_"&amp;INDEX('CASE MASTER'!$Q$2:$Q$495,(SUMPRODUCT((('CASE MASTER'!$T$2:$T$495=10)*('CASE MASTER'!$U$2:$U$495&lt;=4)*('CASE MASTER'!$W$2:$W$495&gt;=4)*('CASE MASTER'!$V$2:$V$495&lt;=5)*('CASE MASTER'!$X$2:$X$495&gt;=5))*ROW('CASE MASTER'!$T$2:$T$495))-(ROW('CASE MASTER'!#REF!)-1))),IF(SUMPRODUCT((('CASE MASTER'!$T$2:$T$495=10)*('CASE MASTER'!$AA$2:$AA$495&lt;=4)*('CASE MASTER'!$AC$2:$AC$495&gt;=4)*('CASE MASTER'!$AB$2:$AB$495&lt;=5)*('CASE MASTER'!$AD$2:$AD$495&gt;=5))*ROW('CASE MASTER'!$T$2:$T$495))&gt;0,INDEX('CASE MASTER'!$Y$2:$Y$495,(SUMPRODUCT((('CASE MASTER'!$T$2:$T$495=10)*('CASE MASTER'!$AA$2:$AA$495&lt;=4)*('CASE MASTER'!$AC$2:$AC$495&gt;=4)*('CASE MASTER'!$AB$2:$AB$495&lt;=5)*('CASE MASTER'!$AD$2:$AD$495&gt;=5))*ROW('CASE MASTER'!$T$2:$T$495))-(ROW('CASE MASTER'!#REF!)-1)))&amp;TRIM(MID(SUBSTITUTE(SUBSTITUTE(INDEX('CASE MASTER'!$N$2:$N$495,(SUMPRODUCT((('CASE MASTER'!$T$2:$T$495=10)*('CASE MASTER'!$AA$2:$AA$495&lt;=4)*('CASE MASTER'!$AC$2:$AC$495&gt;=4)*('CASE MASTER'!$AB$2:$AB$495&lt;=5)*('CASE MASTER'!$AD$2:$AD$495&gt;=5))*ROW('CASE MASTER'!$T$2:$T$495))-(ROW('CASE MASTER'!#REF!)-1))),":",","),",",REPT(" ",50)),(((INDEX('CASE MASTER'!$Z$2:$Z$495,(SUMPRODUCT((('CASE MASTER'!$T$2:$T$495=10)*('CASE MASTER'!$AA$2:$AA$495&lt;=4)*('CASE MASTER'!$AC$2:$AC$495&gt;=4)*('CASE MASTER'!$AB$2:$AB$495&lt;=5)*('CASE MASTER'!$AD$2:$AD$495&gt;=5))*ROW('CASE MASTER'!$T$2:$T$495))-(ROW('CASE MASTER'!#REF!)-1)))+((4-INDEX('CASE MASTER'!$AA$2:$AA$495,(SUMPRODUCT((('CASE MASTER'!$T$2:$T$495=10)*('CASE MASTER'!$AA$2:$AA$495&lt;=4)*('CASE MASTER'!$AC$2:$AC$495&gt;=4)*('CASE MASTER'!$AB$2:$AB$495&lt;=5)*('CASE MASTER'!$AD$2:$AD$495&gt;=5))*ROW('CASE MASTER'!$T$2:$T$495))-(ROW('CASE MASTER'!#REF!)-1))))*(INDEX('CASE MASTER'!$AD$2:$AD$495,(SUMPRODUCT((('CASE MASTER'!$T$2:$T$495=10)*('CASE MASTER'!$AA$2:$AA$495&lt;=4)*('CASE MASTER'!$AC$2:$AC$495&gt;=4)*('CASE MASTER'!$AB$2:$AB$495&lt;=5)*('CASE MASTER'!$AD$2:$AD$495&gt;=5))*ROW('CASE MASTER'!$T$2:$T$495))-(ROW('CASE MASTER'!#REF!)-1)))-INDEX('CASE MASTER'!$AB$2:$AB$495,(SUMPRODUCT((('CASE MASTER'!$T$2:$T$495=10)*('CASE MASTER'!$AA$2:$AA$495&lt;=4)*('CASE MASTER'!$AC$2:$AC$495&gt;=4)*('CASE MASTER'!$AB$2:$AB$495&lt;=5)*('CASE MASTER'!$AD$2:$AD$495&gt;=5))*ROW('CASE MASTER'!$T$2:$T$495))-(ROW('CASE MASTER'!#REF!)-1)))+1)+(5-INDEX('CASE MASTER'!$AB$2:$AB$495,(SUMPRODUCT((('CASE MASTER'!$T$2:$T$495=10)*('CASE MASTER'!$AA$2:$AA$495&lt;=4)*('CASE MASTER'!$AC$2:$AC$495&gt;=4)*('CASE MASTER'!$AB$2:$AB$495&lt;=5)*('CASE MASTER'!$AD$2:$AD$495&gt;=5))*ROW('CASE MASTER'!$T$2:$T$495))-(ROW('CASE MASTER'!#REF!)-1))))+1)))-1)*50+1,50))&amp;"_"&amp;INDEX('CASE MASTER'!$Q$2:$Q$495,(SUMPRODUCT((('CASE MASTER'!$T$2:$T$495=10)*('CASE MASTER'!$AA$2:$AA$495&lt;=4)*('CASE MASTER'!$AC$2:$AC$495&gt;=4)*('CASE MASTER'!$AB$2:$AB$495&lt;=5)*('CASE MASTER'!$AD$2:$AD$495&gt;=5))*ROW('CASE MASTER'!$T$2:$T$495))-(ROW('CASE MASTER'!#REF!)-1))),"")),"")</f>
        <v/>
      </c>
      <c r="G132" s="10" t="str">
        <f>IFERROR(IF(SUMPRODUCT((('CASE MASTER'!$T$2:$T$495=10)*('CASE MASTER'!$U$2:$U$495&lt;=4)*('CASE MASTER'!$W$2:$W$495&gt;=4)*('CASE MASTER'!$V$2:$V$495&lt;=6)*('CASE MASTER'!$X$2:$X$495&gt;=6))*ROW('CASE MASTER'!$T$2:$T$495))&gt;0,INDEX('CASE MASTER'!$Y$2:$Y$495,(SUMPRODUCT((('CASE MASTER'!$T$2:$T$495=10)*('CASE MASTER'!$U$2:$U$495&lt;=4)*('CASE MASTER'!$W$2:$W$495&gt;=4)*('CASE MASTER'!$V$2:$V$495&lt;=6)*('CASE MASTER'!$X$2:$X$495&gt;=6))*ROW('CASE MASTER'!$T$2:$T$495))-(ROW('CASE MASTER'!#REF!)-1)))&amp;TRIM(MID(SUBSTITUTE(SUBSTITUTE(INDEX('CASE MASTER'!$N$2:$N$495,(SUMPRODUCT((('CASE MASTER'!$T$2:$T$495=10)*('CASE MASTER'!$U$2:$U$495&lt;=4)*('CASE MASTER'!$W$2:$W$495&gt;=4)*('CASE MASTER'!$V$2:$V$495&lt;=6)*('CASE MASTER'!$X$2:$X$495&gt;=6))*ROW('CASE MASTER'!$T$2:$T$495))-(ROW('CASE MASTER'!#REF!)-1))),":",","),",",REPT(" ",50)),((((4-INDEX('CASE MASTER'!$U$2:$U$495,(SUMPRODUCT((('CASE MASTER'!$T$2:$T$495=10)*('CASE MASTER'!$U$2:$U$495&lt;=4)*('CASE MASTER'!$W$2:$W$495&gt;=4)*('CASE MASTER'!$V$2:$V$495&lt;=6)*('CASE MASTER'!$X$2:$X$495&gt;=6))*ROW('CASE MASTER'!$T$2:$T$495))-(ROW('CASE MASTER'!#REF!)-1))))*(INDEX('CASE MASTER'!$X$2:$X$495,(SUMPRODUCT((('CASE MASTER'!$T$2:$T$495=10)*('CASE MASTER'!$U$2:$U$495&lt;=4)*('CASE MASTER'!$W$2:$W$495&gt;=4)*('CASE MASTER'!$V$2:$V$495&lt;=6)*('CASE MASTER'!$X$2:$X$495&gt;=6))*ROW('CASE MASTER'!$T$2:$T$495))-(ROW('CASE MASTER'!#REF!)-1)))-INDEX('CASE MASTER'!$V$2:$V$495,(SUMPRODUCT((('CASE MASTER'!$T$2:$T$495=10)*('CASE MASTER'!$U$2:$U$495&lt;=4)*('CASE MASTER'!$W$2:$W$495&gt;=4)*('CASE MASTER'!$V$2:$V$495&lt;=6)*('CASE MASTER'!$X$2:$X$495&gt;=6))*ROW('CASE MASTER'!$T$2:$T$495))-(ROW('CASE MASTER'!#REF!)-1)))+1)+(6-INDEX('CASE MASTER'!$V$2:$V$495,(SUMPRODUCT((('CASE MASTER'!$T$2:$T$495=10)*('CASE MASTER'!$U$2:$U$495&lt;=4)*('CASE MASTER'!$W$2:$W$495&gt;=4)*('CASE MASTER'!$V$2:$V$495&lt;=6)*('CASE MASTER'!$X$2:$X$495&gt;=6))*ROW('CASE MASTER'!$T$2:$T$495))-(ROW('CASE MASTER'!#REF!)-1))))+1))-1)*50+1,50))&amp;"_"&amp;INDEX('CASE MASTER'!$Q$2:$Q$495,(SUMPRODUCT((('CASE MASTER'!$T$2:$T$495=10)*('CASE MASTER'!$U$2:$U$495&lt;=4)*('CASE MASTER'!$W$2:$W$495&gt;=4)*('CASE MASTER'!$V$2:$V$495&lt;=6)*('CASE MASTER'!$X$2:$X$495&gt;=6))*ROW('CASE MASTER'!$T$2:$T$495))-(ROW('CASE MASTER'!#REF!)-1))),IF(SUMPRODUCT((('CASE MASTER'!$T$2:$T$495=10)*('CASE MASTER'!$AA$2:$AA$495&lt;=4)*('CASE MASTER'!$AC$2:$AC$495&gt;=4)*('CASE MASTER'!$AB$2:$AB$495&lt;=6)*('CASE MASTER'!$AD$2:$AD$495&gt;=6))*ROW('CASE MASTER'!$T$2:$T$495))&gt;0,INDEX('CASE MASTER'!$Y$2:$Y$495,(SUMPRODUCT((('CASE MASTER'!$T$2:$T$495=10)*('CASE MASTER'!$AA$2:$AA$495&lt;=4)*('CASE MASTER'!$AC$2:$AC$495&gt;=4)*('CASE MASTER'!$AB$2:$AB$495&lt;=6)*('CASE MASTER'!$AD$2:$AD$495&gt;=6))*ROW('CASE MASTER'!$T$2:$T$495))-(ROW('CASE MASTER'!#REF!)-1)))&amp;TRIM(MID(SUBSTITUTE(SUBSTITUTE(INDEX('CASE MASTER'!$N$2:$N$495,(SUMPRODUCT((('CASE MASTER'!$T$2:$T$495=10)*('CASE MASTER'!$AA$2:$AA$495&lt;=4)*('CASE MASTER'!$AC$2:$AC$495&gt;=4)*('CASE MASTER'!$AB$2:$AB$495&lt;=6)*('CASE MASTER'!$AD$2:$AD$495&gt;=6))*ROW('CASE MASTER'!$T$2:$T$495))-(ROW('CASE MASTER'!#REF!)-1))),":",","),",",REPT(" ",50)),(((INDEX('CASE MASTER'!$Z$2:$Z$495,(SUMPRODUCT((('CASE MASTER'!$T$2:$T$495=10)*('CASE MASTER'!$AA$2:$AA$495&lt;=4)*('CASE MASTER'!$AC$2:$AC$495&gt;=4)*('CASE MASTER'!$AB$2:$AB$495&lt;=6)*('CASE MASTER'!$AD$2:$AD$495&gt;=6))*ROW('CASE MASTER'!$T$2:$T$495))-(ROW('CASE MASTER'!#REF!)-1)))+((4-INDEX('CASE MASTER'!$AA$2:$AA$495,(SUMPRODUCT((('CASE MASTER'!$T$2:$T$495=10)*('CASE MASTER'!$AA$2:$AA$495&lt;=4)*('CASE MASTER'!$AC$2:$AC$495&gt;=4)*('CASE MASTER'!$AB$2:$AB$495&lt;=6)*('CASE MASTER'!$AD$2:$AD$495&gt;=6))*ROW('CASE MASTER'!$T$2:$T$495))-(ROW('CASE MASTER'!#REF!)-1))))*(INDEX('CASE MASTER'!$AD$2:$AD$495,(SUMPRODUCT((('CASE MASTER'!$T$2:$T$495=10)*('CASE MASTER'!$AA$2:$AA$495&lt;=4)*('CASE MASTER'!$AC$2:$AC$495&gt;=4)*('CASE MASTER'!$AB$2:$AB$495&lt;=6)*('CASE MASTER'!$AD$2:$AD$495&gt;=6))*ROW('CASE MASTER'!$T$2:$T$495))-(ROW('CASE MASTER'!#REF!)-1)))-INDEX('CASE MASTER'!$AB$2:$AB$495,(SUMPRODUCT((('CASE MASTER'!$T$2:$T$495=10)*('CASE MASTER'!$AA$2:$AA$495&lt;=4)*('CASE MASTER'!$AC$2:$AC$495&gt;=4)*('CASE MASTER'!$AB$2:$AB$495&lt;=6)*('CASE MASTER'!$AD$2:$AD$495&gt;=6))*ROW('CASE MASTER'!$T$2:$T$495))-(ROW('CASE MASTER'!#REF!)-1)))+1)+(6-INDEX('CASE MASTER'!$AB$2:$AB$495,(SUMPRODUCT((('CASE MASTER'!$T$2:$T$495=10)*('CASE MASTER'!$AA$2:$AA$495&lt;=4)*('CASE MASTER'!$AC$2:$AC$495&gt;=4)*('CASE MASTER'!$AB$2:$AB$495&lt;=6)*('CASE MASTER'!$AD$2:$AD$495&gt;=6))*ROW('CASE MASTER'!$T$2:$T$495))-(ROW('CASE MASTER'!#REF!)-1))))+1)))-1)*50+1,50))&amp;"_"&amp;INDEX('CASE MASTER'!$Q$2:$Q$495,(SUMPRODUCT((('CASE MASTER'!$T$2:$T$495=10)*('CASE MASTER'!$AA$2:$AA$495&lt;=4)*('CASE MASTER'!$AC$2:$AC$495&gt;=4)*('CASE MASTER'!$AB$2:$AB$495&lt;=6)*('CASE MASTER'!$AD$2:$AD$495&gt;=6))*ROW('CASE MASTER'!$T$2:$T$495))-(ROW('CASE MASTER'!#REF!)-1))),"")),"")</f>
        <v/>
      </c>
      <c r="H132" s="10" t="str">
        <f>IFERROR(IF(SUMPRODUCT((('CASE MASTER'!$T$2:$T$495=10)*('CASE MASTER'!$U$2:$U$495&lt;=4)*('CASE MASTER'!$W$2:$W$495&gt;=4)*('CASE MASTER'!$V$2:$V$495&lt;=7)*('CASE MASTER'!$X$2:$X$495&gt;=7))*ROW('CASE MASTER'!$T$2:$T$495))&gt;0,INDEX('CASE MASTER'!$Y$2:$Y$495,(SUMPRODUCT((('CASE MASTER'!$T$2:$T$495=10)*('CASE MASTER'!$U$2:$U$495&lt;=4)*('CASE MASTER'!$W$2:$W$495&gt;=4)*('CASE MASTER'!$V$2:$V$495&lt;=7)*('CASE MASTER'!$X$2:$X$495&gt;=7))*ROW('CASE MASTER'!$T$2:$T$495))-(ROW('CASE MASTER'!#REF!)-1)))&amp;TRIM(MID(SUBSTITUTE(SUBSTITUTE(INDEX('CASE MASTER'!$N$2:$N$495,(SUMPRODUCT((('CASE MASTER'!$T$2:$T$495=10)*('CASE MASTER'!$U$2:$U$495&lt;=4)*('CASE MASTER'!$W$2:$W$495&gt;=4)*('CASE MASTER'!$V$2:$V$495&lt;=7)*('CASE MASTER'!$X$2:$X$495&gt;=7))*ROW('CASE MASTER'!$T$2:$T$495))-(ROW('CASE MASTER'!#REF!)-1))),":",","),",",REPT(" ",50)),((((4-INDEX('CASE MASTER'!$U$2:$U$495,(SUMPRODUCT((('CASE MASTER'!$T$2:$T$495=10)*('CASE MASTER'!$U$2:$U$495&lt;=4)*('CASE MASTER'!$W$2:$W$495&gt;=4)*('CASE MASTER'!$V$2:$V$495&lt;=7)*('CASE MASTER'!$X$2:$X$495&gt;=7))*ROW('CASE MASTER'!$T$2:$T$495))-(ROW('CASE MASTER'!#REF!)-1))))*(INDEX('CASE MASTER'!$X$2:$X$495,(SUMPRODUCT((('CASE MASTER'!$T$2:$T$495=10)*('CASE MASTER'!$U$2:$U$495&lt;=4)*('CASE MASTER'!$W$2:$W$495&gt;=4)*('CASE MASTER'!$V$2:$V$495&lt;=7)*('CASE MASTER'!$X$2:$X$495&gt;=7))*ROW('CASE MASTER'!$T$2:$T$495))-(ROW('CASE MASTER'!#REF!)-1)))-INDEX('CASE MASTER'!$V$2:$V$495,(SUMPRODUCT((('CASE MASTER'!$T$2:$T$495=10)*('CASE MASTER'!$U$2:$U$495&lt;=4)*('CASE MASTER'!$W$2:$W$495&gt;=4)*('CASE MASTER'!$V$2:$V$495&lt;=7)*('CASE MASTER'!$X$2:$X$495&gt;=7))*ROW('CASE MASTER'!$T$2:$T$495))-(ROW('CASE MASTER'!#REF!)-1)))+1)+(7-INDEX('CASE MASTER'!$V$2:$V$495,(SUMPRODUCT((('CASE MASTER'!$T$2:$T$495=10)*('CASE MASTER'!$U$2:$U$495&lt;=4)*('CASE MASTER'!$W$2:$W$495&gt;=4)*('CASE MASTER'!$V$2:$V$495&lt;=7)*('CASE MASTER'!$X$2:$X$495&gt;=7))*ROW('CASE MASTER'!$T$2:$T$495))-(ROW('CASE MASTER'!#REF!)-1))))+1))-1)*50+1,50))&amp;"_"&amp;INDEX('CASE MASTER'!$Q$2:$Q$495,(SUMPRODUCT((('CASE MASTER'!$T$2:$T$495=10)*('CASE MASTER'!$U$2:$U$495&lt;=4)*('CASE MASTER'!$W$2:$W$495&gt;=4)*('CASE MASTER'!$V$2:$V$495&lt;=7)*('CASE MASTER'!$X$2:$X$495&gt;=7))*ROW('CASE MASTER'!$T$2:$T$495))-(ROW('CASE MASTER'!#REF!)-1))),IF(SUMPRODUCT((('CASE MASTER'!$T$2:$T$495=10)*('CASE MASTER'!$AA$2:$AA$495&lt;=4)*('CASE MASTER'!$AC$2:$AC$495&gt;=4)*('CASE MASTER'!$AB$2:$AB$495&lt;=7)*('CASE MASTER'!$AD$2:$AD$495&gt;=7))*ROW('CASE MASTER'!$T$2:$T$495))&gt;0,INDEX('CASE MASTER'!$Y$2:$Y$495,(SUMPRODUCT((('CASE MASTER'!$T$2:$T$495=10)*('CASE MASTER'!$AA$2:$AA$495&lt;=4)*('CASE MASTER'!$AC$2:$AC$495&gt;=4)*('CASE MASTER'!$AB$2:$AB$495&lt;=7)*('CASE MASTER'!$AD$2:$AD$495&gt;=7))*ROW('CASE MASTER'!$T$2:$T$495))-(ROW('CASE MASTER'!#REF!)-1)))&amp;TRIM(MID(SUBSTITUTE(SUBSTITUTE(INDEX('CASE MASTER'!$N$2:$N$495,(SUMPRODUCT((('CASE MASTER'!$T$2:$T$495=10)*('CASE MASTER'!$AA$2:$AA$495&lt;=4)*('CASE MASTER'!$AC$2:$AC$495&gt;=4)*('CASE MASTER'!$AB$2:$AB$495&lt;=7)*('CASE MASTER'!$AD$2:$AD$495&gt;=7))*ROW('CASE MASTER'!$T$2:$T$495))-(ROW('CASE MASTER'!#REF!)-1))),":",","),",",REPT(" ",50)),(((INDEX('CASE MASTER'!$Z$2:$Z$495,(SUMPRODUCT((('CASE MASTER'!$T$2:$T$495=10)*('CASE MASTER'!$AA$2:$AA$495&lt;=4)*('CASE MASTER'!$AC$2:$AC$495&gt;=4)*('CASE MASTER'!$AB$2:$AB$495&lt;=7)*('CASE MASTER'!$AD$2:$AD$495&gt;=7))*ROW('CASE MASTER'!$T$2:$T$495))-(ROW('CASE MASTER'!#REF!)-1)))+((4-INDEX('CASE MASTER'!$AA$2:$AA$495,(SUMPRODUCT((('CASE MASTER'!$T$2:$T$495=10)*('CASE MASTER'!$AA$2:$AA$495&lt;=4)*('CASE MASTER'!$AC$2:$AC$495&gt;=4)*('CASE MASTER'!$AB$2:$AB$495&lt;=7)*('CASE MASTER'!$AD$2:$AD$495&gt;=7))*ROW('CASE MASTER'!$T$2:$T$495))-(ROW('CASE MASTER'!#REF!)-1))))*(INDEX('CASE MASTER'!$AD$2:$AD$495,(SUMPRODUCT((('CASE MASTER'!$T$2:$T$495=10)*('CASE MASTER'!$AA$2:$AA$495&lt;=4)*('CASE MASTER'!$AC$2:$AC$495&gt;=4)*('CASE MASTER'!$AB$2:$AB$495&lt;=7)*('CASE MASTER'!$AD$2:$AD$495&gt;=7))*ROW('CASE MASTER'!$T$2:$T$495))-(ROW('CASE MASTER'!#REF!)-1)))-INDEX('CASE MASTER'!$AB$2:$AB$495,(SUMPRODUCT((('CASE MASTER'!$T$2:$T$495=10)*('CASE MASTER'!$AA$2:$AA$495&lt;=4)*('CASE MASTER'!$AC$2:$AC$495&gt;=4)*('CASE MASTER'!$AB$2:$AB$495&lt;=7)*('CASE MASTER'!$AD$2:$AD$495&gt;=7))*ROW('CASE MASTER'!$T$2:$T$495))-(ROW('CASE MASTER'!#REF!)-1)))+1)+(7-INDEX('CASE MASTER'!$AB$2:$AB$495,(SUMPRODUCT((('CASE MASTER'!$T$2:$T$495=10)*('CASE MASTER'!$AA$2:$AA$495&lt;=4)*('CASE MASTER'!$AC$2:$AC$495&gt;=4)*('CASE MASTER'!$AB$2:$AB$495&lt;=7)*('CASE MASTER'!$AD$2:$AD$495&gt;=7))*ROW('CASE MASTER'!$T$2:$T$495))-(ROW('CASE MASTER'!#REF!)-1))))+1)))-1)*50+1,50))&amp;"_"&amp;INDEX('CASE MASTER'!$Q$2:$Q$495,(SUMPRODUCT((('CASE MASTER'!$T$2:$T$495=10)*('CASE MASTER'!$AA$2:$AA$495&lt;=4)*('CASE MASTER'!$AC$2:$AC$495&gt;=4)*('CASE MASTER'!$AB$2:$AB$495&lt;=7)*('CASE MASTER'!$AD$2:$AD$495&gt;=7))*ROW('CASE MASTER'!$T$2:$T$495))-(ROW('CASE MASTER'!#REF!)-1))),"")),"")</f>
        <v/>
      </c>
      <c r="I132" s="10" t="str">
        <f>IFERROR(IF(SUMPRODUCT((('CASE MASTER'!$T$2:$T$495=10)*('CASE MASTER'!$U$2:$U$495&lt;=4)*('CASE MASTER'!$W$2:$W$495&gt;=4)*('CASE MASTER'!$V$2:$V$495&lt;=8)*('CASE MASTER'!$X$2:$X$495&gt;=8))*ROW('CASE MASTER'!$T$2:$T$495))&gt;0,INDEX('CASE MASTER'!$Y$2:$Y$495,(SUMPRODUCT((('CASE MASTER'!$T$2:$T$495=10)*('CASE MASTER'!$U$2:$U$495&lt;=4)*('CASE MASTER'!$W$2:$W$495&gt;=4)*('CASE MASTER'!$V$2:$V$495&lt;=8)*('CASE MASTER'!$X$2:$X$495&gt;=8))*ROW('CASE MASTER'!$T$2:$T$495))-(ROW('CASE MASTER'!#REF!)-1)))&amp;TRIM(MID(SUBSTITUTE(SUBSTITUTE(INDEX('CASE MASTER'!$N$2:$N$495,(SUMPRODUCT((('CASE MASTER'!$T$2:$T$495=10)*('CASE MASTER'!$U$2:$U$495&lt;=4)*('CASE MASTER'!$W$2:$W$495&gt;=4)*('CASE MASTER'!$V$2:$V$495&lt;=8)*('CASE MASTER'!$X$2:$X$495&gt;=8))*ROW('CASE MASTER'!$T$2:$T$495))-(ROW('CASE MASTER'!#REF!)-1))),":",","),",",REPT(" ",50)),((((4-INDEX('CASE MASTER'!$U$2:$U$495,(SUMPRODUCT((('CASE MASTER'!$T$2:$T$495=10)*('CASE MASTER'!$U$2:$U$495&lt;=4)*('CASE MASTER'!$W$2:$W$495&gt;=4)*('CASE MASTER'!$V$2:$V$495&lt;=8)*('CASE MASTER'!$X$2:$X$495&gt;=8))*ROW('CASE MASTER'!$T$2:$T$495))-(ROW('CASE MASTER'!#REF!)-1))))*(INDEX('CASE MASTER'!$X$2:$X$495,(SUMPRODUCT((('CASE MASTER'!$T$2:$T$495=10)*('CASE MASTER'!$U$2:$U$495&lt;=4)*('CASE MASTER'!$W$2:$W$495&gt;=4)*('CASE MASTER'!$V$2:$V$495&lt;=8)*('CASE MASTER'!$X$2:$X$495&gt;=8))*ROW('CASE MASTER'!$T$2:$T$495))-(ROW('CASE MASTER'!#REF!)-1)))-INDEX('CASE MASTER'!$V$2:$V$495,(SUMPRODUCT((('CASE MASTER'!$T$2:$T$495=10)*('CASE MASTER'!$U$2:$U$495&lt;=4)*('CASE MASTER'!$W$2:$W$495&gt;=4)*('CASE MASTER'!$V$2:$V$495&lt;=8)*('CASE MASTER'!$X$2:$X$495&gt;=8))*ROW('CASE MASTER'!$T$2:$T$495))-(ROW('CASE MASTER'!#REF!)-1)))+1)+(8-INDEX('CASE MASTER'!$V$2:$V$495,(SUMPRODUCT((('CASE MASTER'!$T$2:$T$495=10)*('CASE MASTER'!$U$2:$U$495&lt;=4)*('CASE MASTER'!$W$2:$W$495&gt;=4)*('CASE MASTER'!$V$2:$V$495&lt;=8)*('CASE MASTER'!$X$2:$X$495&gt;=8))*ROW('CASE MASTER'!$T$2:$T$495))-(ROW('CASE MASTER'!#REF!)-1))))+1))-1)*50+1,50))&amp;"_"&amp;INDEX('CASE MASTER'!$Q$2:$Q$495,(SUMPRODUCT((('CASE MASTER'!$T$2:$T$495=10)*('CASE MASTER'!$U$2:$U$495&lt;=4)*('CASE MASTER'!$W$2:$W$495&gt;=4)*('CASE MASTER'!$V$2:$V$495&lt;=8)*('CASE MASTER'!$X$2:$X$495&gt;=8))*ROW('CASE MASTER'!$T$2:$T$495))-(ROW('CASE MASTER'!#REF!)-1))),IF(SUMPRODUCT((('CASE MASTER'!$T$2:$T$495=10)*('CASE MASTER'!$AA$2:$AA$495&lt;=4)*('CASE MASTER'!$AC$2:$AC$495&gt;=4)*('CASE MASTER'!$AB$2:$AB$495&lt;=8)*('CASE MASTER'!$AD$2:$AD$495&gt;=8))*ROW('CASE MASTER'!$T$2:$T$495))&gt;0,INDEX('CASE MASTER'!$Y$2:$Y$495,(SUMPRODUCT((('CASE MASTER'!$T$2:$T$495=10)*('CASE MASTER'!$AA$2:$AA$495&lt;=4)*('CASE MASTER'!$AC$2:$AC$495&gt;=4)*('CASE MASTER'!$AB$2:$AB$495&lt;=8)*('CASE MASTER'!$AD$2:$AD$495&gt;=8))*ROW('CASE MASTER'!$T$2:$T$495))-(ROW('CASE MASTER'!#REF!)-1)))&amp;TRIM(MID(SUBSTITUTE(SUBSTITUTE(INDEX('CASE MASTER'!$N$2:$N$495,(SUMPRODUCT((('CASE MASTER'!$T$2:$T$495=10)*('CASE MASTER'!$AA$2:$AA$495&lt;=4)*('CASE MASTER'!$AC$2:$AC$495&gt;=4)*('CASE MASTER'!$AB$2:$AB$495&lt;=8)*('CASE MASTER'!$AD$2:$AD$495&gt;=8))*ROW('CASE MASTER'!$T$2:$T$495))-(ROW('CASE MASTER'!#REF!)-1))),":",","),",",REPT(" ",50)),(((INDEX('CASE MASTER'!$Z$2:$Z$495,(SUMPRODUCT((('CASE MASTER'!$T$2:$T$495=10)*('CASE MASTER'!$AA$2:$AA$495&lt;=4)*('CASE MASTER'!$AC$2:$AC$495&gt;=4)*('CASE MASTER'!$AB$2:$AB$495&lt;=8)*('CASE MASTER'!$AD$2:$AD$495&gt;=8))*ROW('CASE MASTER'!$T$2:$T$495))-(ROW('CASE MASTER'!#REF!)-1)))+((4-INDEX('CASE MASTER'!$AA$2:$AA$495,(SUMPRODUCT((('CASE MASTER'!$T$2:$T$495=10)*('CASE MASTER'!$AA$2:$AA$495&lt;=4)*('CASE MASTER'!$AC$2:$AC$495&gt;=4)*('CASE MASTER'!$AB$2:$AB$495&lt;=8)*('CASE MASTER'!$AD$2:$AD$495&gt;=8))*ROW('CASE MASTER'!$T$2:$T$495))-(ROW('CASE MASTER'!#REF!)-1))))*(INDEX('CASE MASTER'!$AD$2:$AD$495,(SUMPRODUCT((('CASE MASTER'!$T$2:$T$495=10)*('CASE MASTER'!$AA$2:$AA$495&lt;=4)*('CASE MASTER'!$AC$2:$AC$495&gt;=4)*('CASE MASTER'!$AB$2:$AB$495&lt;=8)*('CASE MASTER'!$AD$2:$AD$495&gt;=8))*ROW('CASE MASTER'!$T$2:$T$495))-(ROW('CASE MASTER'!#REF!)-1)))-INDEX('CASE MASTER'!$AB$2:$AB$495,(SUMPRODUCT((('CASE MASTER'!$T$2:$T$495=10)*('CASE MASTER'!$AA$2:$AA$495&lt;=4)*('CASE MASTER'!$AC$2:$AC$495&gt;=4)*('CASE MASTER'!$AB$2:$AB$495&lt;=8)*('CASE MASTER'!$AD$2:$AD$495&gt;=8))*ROW('CASE MASTER'!$T$2:$T$495))-(ROW('CASE MASTER'!#REF!)-1)))+1)+(8-INDEX('CASE MASTER'!$AB$2:$AB$495,(SUMPRODUCT((('CASE MASTER'!$T$2:$T$495=10)*('CASE MASTER'!$AA$2:$AA$495&lt;=4)*('CASE MASTER'!$AC$2:$AC$495&gt;=4)*('CASE MASTER'!$AB$2:$AB$495&lt;=8)*('CASE MASTER'!$AD$2:$AD$495&gt;=8))*ROW('CASE MASTER'!$T$2:$T$495))-(ROW('CASE MASTER'!#REF!)-1))))+1)))-1)*50+1,50))&amp;"_"&amp;INDEX('CASE MASTER'!$Q$2:$Q$495,(SUMPRODUCT((('CASE MASTER'!$T$2:$T$495=10)*('CASE MASTER'!$AA$2:$AA$495&lt;=4)*('CASE MASTER'!$AC$2:$AC$495&gt;=4)*('CASE MASTER'!$AB$2:$AB$495&lt;=8)*('CASE MASTER'!$AD$2:$AD$495&gt;=8))*ROW('CASE MASTER'!$T$2:$T$495))-(ROW('CASE MASTER'!#REF!)-1))),"")),"")</f>
        <v/>
      </c>
      <c r="J132" s="10" t="str">
        <f>IFERROR(IF(SUMPRODUCT((('CASE MASTER'!$T$2:$T$495=10)*('CASE MASTER'!$U$2:$U$495&lt;=4)*('CASE MASTER'!$W$2:$W$495&gt;=4)*('CASE MASTER'!$V$2:$V$495&lt;=9)*('CASE MASTER'!$X$2:$X$495&gt;=9))*ROW('CASE MASTER'!$T$2:$T$495))&gt;0,INDEX('CASE MASTER'!$Y$2:$Y$495,(SUMPRODUCT((('CASE MASTER'!$T$2:$T$495=10)*('CASE MASTER'!$U$2:$U$495&lt;=4)*('CASE MASTER'!$W$2:$W$495&gt;=4)*('CASE MASTER'!$V$2:$V$495&lt;=9)*('CASE MASTER'!$X$2:$X$495&gt;=9))*ROW('CASE MASTER'!$T$2:$T$495))-(ROW('CASE MASTER'!#REF!)-1)))&amp;TRIM(MID(SUBSTITUTE(SUBSTITUTE(INDEX('CASE MASTER'!$N$2:$N$495,(SUMPRODUCT((('CASE MASTER'!$T$2:$T$495=10)*('CASE MASTER'!$U$2:$U$495&lt;=4)*('CASE MASTER'!$W$2:$W$495&gt;=4)*('CASE MASTER'!$V$2:$V$495&lt;=9)*('CASE MASTER'!$X$2:$X$495&gt;=9))*ROW('CASE MASTER'!$T$2:$T$495))-(ROW('CASE MASTER'!#REF!)-1))),":",","),",",REPT(" ",50)),((((4-INDEX('CASE MASTER'!$U$2:$U$495,(SUMPRODUCT((('CASE MASTER'!$T$2:$T$495=10)*('CASE MASTER'!$U$2:$U$495&lt;=4)*('CASE MASTER'!$W$2:$W$495&gt;=4)*('CASE MASTER'!$V$2:$V$495&lt;=9)*('CASE MASTER'!$X$2:$X$495&gt;=9))*ROW('CASE MASTER'!$T$2:$T$495))-(ROW('CASE MASTER'!#REF!)-1))))*(INDEX('CASE MASTER'!$X$2:$X$495,(SUMPRODUCT((('CASE MASTER'!$T$2:$T$495=10)*('CASE MASTER'!$U$2:$U$495&lt;=4)*('CASE MASTER'!$W$2:$W$495&gt;=4)*('CASE MASTER'!$V$2:$V$495&lt;=9)*('CASE MASTER'!$X$2:$X$495&gt;=9))*ROW('CASE MASTER'!$T$2:$T$495))-(ROW('CASE MASTER'!#REF!)-1)))-INDEX('CASE MASTER'!$V$2:$V$495,(SUMPRODUCT((('CASE MASTER'!$T$2:$T$495=10)*('CASE MASTER'!$U$2:$U$495&lt;=4)*('CASE MASTER'!$W$2:$W$495&gt;=4)*('CASE MASTER'!$V$2:$V$495&lt;=9)*('CASE MASTER'!$X$2:$X$495&gt;=9))*ROW('CASE MASTER'!$T$2:$T$495))-(ROW('CASE MASTER'!#REF!)-1)))+1)+(9-INDEX('CASE MASTER'!$V$2:$V$495,(SUMPRODUCT((('CASE MASTER'!$T$2:$T$495=10)*('CASE MASTER'!$U$2:$U$495&lt;=4)*('CASE MASTER'!$W$2:$W$495&gt;=4)*('CASE MASTER'!$V$2:$V$495&lt;=9)*('CASE MASTER'!$X$2:$X$495&gt;=9))*ROW('CASE MASTER'!$T$2:$T$495))-(ROW('CASE MASTER'!#REF!)-1))))+1))-1)*50+1,50))&amp;"_"&amp;INDEX('CASE MASTER'!$Q$2:$Q$495,(SUMPRODUCT((('CASE MASTER'!$T$2:$T$495=10)*('CASE MASTER'!$U$2:$U$495&lt;=4)*('CASE MASTER'!$W$2:$W$495&gt;=4)*('CASE MASTER'!$V$2:$V$495&lt;=9)*('CASE MASTER'!$X$2:$X$495&gt;=9))*ROW('CASE MASTER'!$T$2:$T$495))-(ROW('CASE MASTER'!#REF!)-1))),IF(SUMPRODUCT((('CASE MASTER'!$T$2:$T$495=10)*('CASE MASTER'!$AA$2:$AA$495&lt;=4)*('CASE MASTER'!$AC$2:$AC$495&gt;=4)*('CASE MASTER'!$AB$2:$AB$495&lt;=9)*('CASE MASTER'!$AD$2:$AD$495&gt;=9))*ROW('CASE MASTER'!$T$2:$T$495))&gt;0,INDEX('CASE MASTER'!$Y$2:$Y$495,(SUMPRODUCT((('CASE MASTER'!$T$2:$T$495=10)*('CASE MASTER'!$AA$2:$AA$495&lt;=4)*('CASE MASTER'!$AC$2:$AC$495&gt;=4)*('CASE MASTER'!$AB$2:$AB$495&lt;=9)*('CASE MASTER'!$AD$2:$AD$495&gt;=9))*ROW('CASE MASTER'!$T$2:$T$495))-(ROW('CASE MASTER'!#REF!)-1)))&amp;TRIM(MID(SUBSTITUTE(SUBSTITUTE(INDEX('CASE MASTER'!$N$2:$N$495,(SUMPRODUCT((('CASE MASTER'!$T$2:$T$495=10)*('CASE MASTER'!$AA$2:$AA$495&lt;=4)*('CASE MASTER'!$AC$2:$AC$495&gt;=4)*('CASE MASTER'!$AB$2:$AB$495&lt;=9)*('CASE MASTER'!$AD$2:$AD$495&gt;=9))*ROW('CASE MASTER'!$T$2:$T$495))-(ROW('CASE MASTER'!#REF!)-1))),":",","),",",REPT(" ",50)),(((INDEX('CASE MASTER'!$Z$2:$Z$495,(SUMPRODUCT((('CASE MASTER'!$T$2:$T$495=10)*('CASE MASTER'!$AA$2:$AA$495&lt;=4)*('CASE MASTER'!$AC$2:$AC$495&gt;=4)*('CASE MASTER'!$AB$2:$AB$495&lt;=9)*('CASE MASTER'!$AD$2:$AD$495&gt;=9))*ROW('CASE MASTER'!$T$2:$T$495))-(ROW('CASE MASTER'!#REF!)-1)))+((4-INDEX('CASE MASTER'!$AA$2:$AA$495,(SUMPRODUCT((('CASE MASTER'!$T$2:$T$495=10)*('CASE MASTER'!$AA$2:$AA$495&lt;=4)*('CASE MASTER'!$AC$2:$AC$495&gt;=4)*('CASE MASTER'!$AB$2:$AB$495&lt;=9)*('CASE MASTER'!$AD$2:$AD$495&gt;=9))*ROW('CASE MASTER'!$T$2:$T$495))-(ROW('CASE MASTER'!#REF!)-1))))*(INDEX('CASE MASTER'!$AD$2:$AD$495,(SUMPRODUCT((('CASE MASTER'!$T$2:$T$495=10)*('CASE MASTER'!$AA$2:$AA$495&lt;=4)*('CASE MASTER'!$AC$2:$AC$495&gt;=4)*('CASE MASTER'!$AB$2:$AB$495&lt;=9)*('CASE MASTER'!$AD$2:$AD$495&gt;=9))*ROW('CASE MASTER'!$T$2:$T$495))-(ROW('CASE MASTER'!#REF!)-1)))-INDEX('CASE MASTER'!$AB$2:$AB$495,(SUMPRODUCT((('CASE MASTER'!$T$2:$T$495=10)*('CASE MASTER'!$AA$2:$AA$495&lt;=4)*('CASE MASTER'!$AC$2:$AC$495&gt;=4)*('CASE MASTER'!$AB$2:$AB$495&lt;=9)*('CASE MASTER'!$AD$2:$AD$495&gt;=9))*ROW('CASE MASTER'!$T$2:$T$495))-(ROW('CASE MASTER'!#REF!)-1)))+1)+(9-INDEX('CASE MASTER'!$AB$2:$AB$495,(SUMPRODUCT((('CASE MASTER'!$T$2:$T$495=10)*('CASE MASTER'!$AA$2:$AA$495&lt;=4)*('CASE MASTER'!$AC$2:$AC$495&gt;=4)*('CASE MASTER'!$AB$2:$AB$495&lt;=9)*('CASE MASTER'!$AD$2:$AD$495&gt;=9))*ROW('CASE MASTER'!$T$2:$T$495))-(ROW('CASE MASTER'!#REF!)-1))))+1)))-1)*50+1,50))&amp;"_"&amp;INDEX('CASE MASTER'!$Q$2:$Q$495,(SUMPRODUCT((('CASE MASTER'!$T$2:$T$495=10)*('CASE MASTER'!$AA$2:$AA$495&lt;=4)*('CASE MASTER'!$AC$2:$AC$495&gt;=4)*('CASE MASTER'!$AB$2:$AB$495&lt;=9)*('CASE MASTER'!$AD$2:$AD$495&gt;=9))*ROW('CASE MASTER'!$T$2:$T$495))-(ROW('CASE MASTER'!#REF!)-1))),"")),"")</f>
        <v/>
      </c>
      <c r="K132" s="10" t="str">
        <f>IFERROR(IF(SUMPRODUCT((('CASE MASTER'!$T$2:$T$495=10)*('CASE MASTER'!$U$2:$U$495&lt;=4)*('CASE MASTER'!$W$2:$W$495&gt;=4)*('CASE MASTER'!$V$2:$V$495&lt;=10)*('CASE MASTER'!$X$2:$X$495&gt;=10))*ROW('CASE MASTER'!$T$2:$T$495))&gt;0,INDEX('CASE MASTER'!$Y$2:$Y$495,(SUMPRODUCT((('CASE MASTER'!$T$2:$T$495=10)*('CASE MASTER'!$U$2:$U$495&lt;=4)*('CASE MASTER'!$W$2:$W$495&gt;=4)*('CASE MASTER'!$V$2:$V$495&lt;=10)*('CASE MASTER'!$X$2:$X$495&gt;=10))*ROW('CASE MASTER'!$T$2:$T$495))-(ROW('CASE MASTER'!#REF!)-1)))&amp;TRIM(MID(SUBSTITUTE(SUBSTITUTE(INDEX('CASE MASTER'!$N$2:$N$495,(SUMPRODUCT((('CASE MASTER'!$T$2:$T$495=10)*('CASE MASTER'!$U$2:$U$495&lt;=4)*('CASE MASTER'!$W$2:$W$495&gt;=4)*('CASE MASTER'!$V$2:$V$495&lt;=10)*('CASE MASTER'!$X$2:$X$495&gt;=10))*ROW('CASE MASTER'!$T$2:$T$495))-(ROW('CASE MASTER'!#REF!)-1))),":",","),",",REPT(" ",50)),((((4-INDEX('CASE MASTER'!$U$2:$U$495,(SUMPRODUCT((('CASE MASTER'!$T$2:$T$495=10)*('CASE MASTER'!$U$2:$U$495&lt;=4)*('CASE MASTER'!$W$2:$W$495&gt;=4)*('CASE MASTER'!$V$2:$V$495&lt;=10)*('CASE MASTER'!$X$2:$X$495&gt;=10))*ROW('CASE MASTER'!$T$2:$T$495))-(ROW('CASE MASTER'!#REF!)-1))))*(INDEX('CASE MASTER'!$X$2:$X$495,(SUMPRODUCT((('CASE MASTER'!$T$2:$T$495=10)*('CASE MASTER'!$U$2:$U$495&lt;=4)*('CASE MASTER'!$W$2:$W$495&gt;=4)*('CASE MASTER'!$V$2:$V$495&lt;=10)*('CASE MASTER'!$X$2:$X$495&gt;=10))*ROW('CASE MASTER'!$T$2:$T$495))-(ROW('CASE MASTER'!#REF!)-1)))-INDEX('CASE MASTER'!$V$2:$V$495,(SUMPRODUCT((('CASE MASTER'!$T$2:$T$495=10)*('CASE MASTER'!$U$2:$U$495&lt;=4)*('CASE MASTER'!$W$2:$W$495&gt;=4)*('CASE MASTER'!$V$2:$V$495&lt;=10)*('CASE MASTER'!$X$2:$X$495&gt;=10))*ROW('CASE MASTER'!$T$2:$T$495))-(ROW('CASE MASTER'!#REF!)-1)))+1)+(10-INDEX('CASE MASTER'!$V$2:$V$495,(SUMPRODUCT((('CASE MASTER'!$T$2:$T$495=10)*('CASE MASTER'!$U$2:$U$495&lt;=4)*('CASE MASTER'!$W$2:$W$495&gt;=4)*('CASE MASTER'!$V$2:$V$495&lt;=10)*('CASE MASTER'!$X$2:$X$495&gt;=10))*ROW('CASE MASTER'!$T$2:$T$495))-(ROW('CASE MASTER'!#REF!)-1))))+1))-1)*50+1,50))&amp;"_"&amp;INDEX('CASE MASTER'!$Q$2:$Q$495,(SUMPRODUCT((('CASE MASTER'!$T$2:$T$495=10)*('CASE MASTER'!$U$2:$U$495&lt;=4)*('CASE MASTER'!$W$2:$W$495&gt;=4)*('CASE MASTER'!$V$2:$V$495&lt;=10)*('CASE MASTER'!$X$2:$X$495&gt;=10))*ROW('CASE MASTER'!$T$2:$T$495))-(ROW('CASE MASTER'!#REF!)-1))),IF(SUMPRODUCT((('CASE MASTER'!$T$2:$T$495=10)*('CASE MASTER'!$AA$2:$AA$495&lt;=4)*('CASE MASTER'!$AC$2:$AC$495&gt;=4)*('CASE MASTER'!$AB$2:$AB$495&lt;=10)*('CASE MASTER'!$AD$2:$AD$495&gt;=10))*ROW('CASE MASTER'!$T$2:$T$495))&gt;0,INDEX('CASE MASTER'!$Y$2:$Y$495,(SUMPRODUCT((('CASE MASTER'!$T$2:$T$495=10)*('CASE MASTER'!$AA$2:$AA$495&lt;=4)*('CASE MASTER'!$AC$2:$AC$495&gt;=4)*('CASE MASTER'!$AB$2:$AB$495&lt;=10)*('CASE MASTER'!$AD$2:$AD$495&gt;=10))*ROW('CASE MASTER'!$T$2:$T$495))-(ROW('CASE MASTER'!#REF!)-1)))&amp;TRIM(MID(SUBSTITUTE(SUBSTITUTE(INDEX('CASE MASTER'!$N$2:$N$495,(SUMPRODUCT((('CASE MASTER'!$T$2:$T$495=10)*('CASE MASTER'!$AA$2:$AA$495&lt;=4)*('CASE MASTER'!$AC$2:$AC$495&gt;=4)*('CASE MASTER'!$AB$2:$AB$495&lt;=10)*('CASE MASTER'!$AD$2:$AD$495&gt;=10))*ROW('CASE MASTER'!$T$2:$T$495))-(ROW('CASE MASTER'!#REF!)-1))),":",","),",",REPT(" ",50)),(((INDEX('CASE MASTER'!$Z$2:$Z$495,(SUMPRODUCT((('CASE MASTER'!$T$2:$T$495=10)*('CASE MASTER'!$AA$2:$AA$495&lt;=4)*('CASE MASTER'!$AC$2:$AC$495&gt;=4)*('CASE MASTER'!$AB$2:$AB$495&lt;=10)*('CASE MASTER'!$AD$2:$AD$495&gt;=10))*ROW('CASE MASTER'!$T$2:$T$495))-(ROW('CASE MASTER'!#REF!)-1)))+((4-INDEX('CASE MASTER'!$AA$2:$AA$495,(SUMPRODUCT((('CASE MASTER'!$T$2:$T$495=10)*('CASE MASTER'!$AA$2:$AA$495&lt;=4)*('CASE MASTER'!$AC$2:$AC$495&gt;=4)*('CASE MASTER'!$AB$2:$AB$495&lt;=10)*('CASE MASTER'!$AD$2:$AD$495&gt;=10))*ROW('CASE MASTER'!$T$2:$T$495))-(ROW('CASE MASTER'!#REF!)-1))))*(INDEX('CASE MASTER'!$AD$2:$AD$495,(SUMPRODUCT((('CASE MASTER'!$T$2:$T$495=10)*('CASE MASTER'!$AA$2:$AA$495&lt;=4)*('CASE MASTER'!$AC$2:$AC$495&gt;=4)*('CASE MASTER'!$AB$2:$AB$495&lt;=10)*('CASE MASTER'!$AD$2:$AD$495&gt;=10))*ROW('CASE MASTER'!$T$2:$T$495))-(ROW('CASE MASTER'!#REF!)-1)))-INDEX('CASE MASTER'!$AB$2:$AB$495,(SUMPRODUCT((('CASE MASTER'!$T$2:$T$495=10)*('CASE MASTER'!$AA$2:$AA$495&lt;=4)*('CASE MASTER'!$AC$2:$AC$495&gt;=4)*('CASE MASTER'!$AB$2:$AB$495&lt;=10)*('CASE MASTER'!$AD$2:$AD$495&gt;=10))*ROW('CASE MASTER'!$T$2:$T$495))-(ROW('CASE MASTER'!#REF!)-1)))+1)+(10-INDEX('CASE MASTER'!$AB$2:$AB$495,(SUMPRODUCT((('CASE MASTER'!$T$2:$T$495=10)*('CASE MASTER'!$AA$2:$AA$495&lt;=4)*('CASE MASTER'!$AC$2:$AC$495&gt;=4)*('CASE MASTER'!$AB$2:$AB$495&lt;=10)*('CASE MASTER'!$AD$2:$AD$495&gt;=10))*ROW('CASE MASTER'!$T$2:$T$495))-(ROW('CASE MASTER'!#REF!)-1))))+1)))-1)*50+1,50))&amp;"_"&amp;INDEX('CASE MASTER'!$Q$2:$Q$495,(SUMPRODUCT((('CASE MASTER'!$T$2:$T$495=10)*('CASE MASTER'!$AA$2:$AA$495&lt;=4)*('CASE MASTER'!$AC$2:$AC$495&gt;=4)*('CASE MASTER'!$AB$2:$AB$495&lt;=10)*('CASE MASTER'!$AD$2:$AD$495&gt;=10))*ROW('CASE MASTER'!$T$2:$T$495))-(ROW('CASE MASTER'!#REF!)-1))),"")),"")</f>
        <v/>
      </c>
    </row>
    <row r="133" spans="1:11" ht="15" customHeight="1" x14ac:dyDescent="0.35">
      <c r="A133" s="8" t="s">
        <v>32</v>
      </c>
      <c r="B133" s="10" t="str">
        <f>IFERROR(IF(SUMPRODUCT((('CASE MASTER'!$T$2:$T$495=10)*('CASE MASTER'!$U$2:$U$495&lt;=5)*('CASE MASTER'!$W$2:$W$495&gt;=5)*('CASE MASTER'!$V$2:$V$495&lt;=1)*('CASE MASTER'!$X$2:$X$495&gt;=1))*ROW('CASE MASTER'!$T$2:$T$495))&gt;0,INDEX('CASE MASTER'!$Y$2:$Y$495,(SUMPRODUCT((('CASE MASTER'!$T$2:$T$495=10)*('CASE MASTER'!$U$2:$U$495&lt;=5)*('CASE MASTER'!$W$2:$W$495&gt;=5)*('CASE MASTER'!$V$2:$V$495&lt;=1)*('CASE MASTER'!$X$2:$X$495&gt;=1))*ROW('CASE MASTER'!$T$2:$T$495))-(ROW('CASE MASTER'!#REF!)-1)))&amp;TRIM(MID(SUBSTITUTE(SUBSTITUTE(INDEX('CASE MASTER'!$N$2:$N$495,(SUMPRODUCT((('CASE MASTER'!$T$2:$T$495=10)*('CASE MASTER'!$U$2:$U$495&lt;=5)*('CASE MASTER'!$W$2:$W$495&gt;=5)*('CASE MASTER'!$V$2:$V$495&lt;=1)*('CASE MASTER'!$X$2:$X$495&gt;=1))*ROW('CASE MASTER'!$T$2:$T$495))-(ROW('CASE MASTER'!#REF!)-1))),":",","),",",REPT(" ",50)),((((5-INDEX('CASE MASTER'!$U$2:$U$495,(SUMPRODUCT((('CASE MASTER'!$T$2:$T$495=10)*('CASE MASTER'!$U$2:$U$495&lt;=5)*('CASE MASTER'!$W$2:$W$495&gt;=5)*('CASE MASTER'!$V$2:$V$495&lt;=1)*('CASE MASTER'!$X$2:$X$495&gt;=1))*ROW('CASE MASTER'!$T$2:$T$495))-(ROW('CASE MASTER'!#REF!)-1))))*(INDEX('CASE MASTER'!$X$2:$X$495,(SUMPRODUCT((('CASE MASTER'!$T$2:$T$495=10)*('CASE MASTER'!$U$2:$U$495&lt;=5)*('CASE MASTER'!$W$2:$W$495&gt;=5)*('CASE MASTER'!$V$2:$V$495&lt;=1)*('CASE MASTER'!$X$2:$X$495&gt;=1))*ROW('CASE MASTER'!$T$2:$T$495))-(ROW('CASE MASTER'!#REF!)-1)))-INDEX('CASE MASTER'!$V$2:$V$495,(SUMPRODUCT((('CASE MASTER'!$T$2:$T$495=10)*('CASE MASTER'!$U$2:$U$495&lt;=5)*('CASE MASTER'!$W$2:$W$495&gt;=5)*('CASE MASTER'!$V$2:$V$495&lt;=1)*('CASE MASTER'!$X$2:$X$495&gt;=1))*ROW('CASE MASTER'!$T$2:$T$495))-(ROW('CASE MASTER'!#REF!)-1)))+1)+(1-INDEX('CASE MASTER'!$V$2:$V$495,(SUMPRODUCT((('CASE MASTER'!$T$2:$T$495=10)*('CASE MASTER'!$U$2:$U$495&lt;=5)*('CASE MASTER'!$W$2:$W$495&gt;=5)*('CASE MASTER'!$V$2:$V$495&lt;=1)*('CASE MASTER'!$X$2:$X$495&gt;=1))*ROW('CASE MASTER'!$T$2:$T$495))-(ROW('CASE MASTER'!#REF!)-1))))+1))-1)*50+1,50))&amp;"_"&amp;INDEX('CASE MASTER'!$Q$2:$Q$495,(SUMPRODUCT((('CASE MASTER'!$T$2:$T$495=10)*('CASE MASTER'!$U$2:$U$495&lt;=5)*('CASE MASTER'!$W$2:$W$495&gt;=5)*('CASE MASTER'!$V$2:$V$495&lt;=1)*('CASE MASTER'!$X$2:$X$495&gt;=1))*ROW('CASE MASTER'!$T$2:$T$495))-(ROW('CASE MASTER'!#REF!)-1))),IF(SUMPRODUCT((('CASE MASTER'!$T$2:$T$495=10)*('CASE MASTER'!$AA$2:$AA$495&lt;=5)*('CASE MASTER'!$AC$2:$AC$495&gt;=5)*('CASE MASTER'!$AB$2:$AB$495&lt;=1)*('CASE MASTER'!$AD$2:$AD$495&gt;=1))*ROW('CASE MASTER'!$T$2:$T$495))&gt;0,INDEX('CASE MASTER'!$Y$2:$Y$495,(SUMPRODUCT((('CASE MASTER'!$T$2:$T$495=10)*('CASE MASTER'!$AA$2:$AA$495&lt;=5)*('CASE MASTER'!$AC$2:$AC$495&gt;=5)*('CASE MASTER'!$AB$2:$AB$495&lt;=1)*('CASE MASTER'!$AD$2:$AD$495&gt;=1))*ROW('CASE MASTER'!$T$2:$T$495))-(ROW('CASE MASTER'!#REF!)-1)))&amp;TRIM(MID(SUBSTITUTE(SUBSTITUTE(INDEX('CASE MASTER'!$N$2:$N$495,(SUMPRODUCT((('CASE MASTER'!$T$2:$T$495=10)*('CASE MASTER'!$AA$2:$AA$495&lt;=5)*('CASE MASTER'!$AC$2:$AC$495&gt;=5)*('CASE MASTER'!$AB$2:$AB$495&lt;=1)*('CASE MASTER'!$AD$2:$AD$495&gt;=1))*ROW('CASE MASTER'!$T$2:$T$495))-(ROW('CASE MASTER'!#REF!)-1))),":",","),",",REPT(" ",50)),(((INDEX('CASE MASTER'!$Z$2:$Z$495,(SUMPRODUCT((('CASE MASTER'!$T$2:$T$495=10)*('CASE MASTER'!$AA$2:$AA$495&lt;=5)*('CASE MASTER'!$AC$2:$AC$495&gt;=5)*('CASE MASTER'!$AB$2:$AB$495&lt;=1)*('CASE MASTER'!$AD$2:$AD$495&gt;=1))*ROW('CASE MASTER'!$T$2:$T$495))-(ROW('CASE MASTER'!#REF!)-1)))+((5-INDEX('CASE MASTER'!$AA$2:$AA$495,(SUMPRODUCT((('CASE MASTER'!$T$2:$T$495=10)*('CASE MASTER'!$AA$2:$AA$495&lt;=5)*('CASE MASTER'!$AC$2:$AC$495&gt;=5)*('CASE MASTER'!$AB$2:$AB$495&lt;=1)*('CASE MASTER'!$AD$2:$AD$495&gt;=1))*ROW('CASE MASTER'!$T$2:$T$495))-(ROW('CASE MASTER'!#REF!)-1))))*(INDEX('CASE MASTER'!$AD$2:$AD$495,(SUMPRODUCT((('CASE MASTER'!$T$2:$T$495=10)*('CASE MASTER'!$AA$2:$AA$495&lt;=5)*('CASE MASTER'!$AC$2:$AC$495&gt;=5)*('CASE MASTER'!$AB$2:$AB$495&lt;=1)*('CASE MASTER'!$AD$2:$AD$495&gt;=1))*ROW('CASE MASTER'!$T$2:$T$495))-(ROW('CASE MASTER'!#REF!)-1)))-INDEX('CASE MASTER'!$AB$2:$AB$495,(SUMPRODUCT((('CASE MASTER'!$T$2:$T$495=10)*('CASE MASTER'!$AA$2:$AA$495&lt;=5)*('CASE MASTER'!$AC$2:$AC$495&gt;=5)*('CASE MASTER'!$AB$2:$AB$495&lt;=1)*('CASE MASTER'!$AD$2:$AD$495&gt;=1))*ROW('CASE MASTER'!$T$2:$T$495))-(ROW('CASE MASTER'!#REF!)-1)))+1)+(1-INDEX('CASE MASTER'!$AB$2:$AB$495,(SUMPRODUCT((('CASE MASTER'!$T$2:$T$495=10)*('CASE MASTER'!$AA$2:$AA$495&lt;=5)*('CASE MASTER'!$AC$2:$AC$495&gt;=5)*('CASE MASTER'!$AB$2:$AB$495&lt;=1)*('CASE MASTER'!$AD$2:$AD$495&gt;=1))*ROW('CASE MASTER'!$T$2:$T$495))-(ROW('CASE MASTER'!#REF!)-1))))+1)))-1)*50+1,50))&amp;"_"&amp;INDEX('CASE MASTER'!$Q$2:$Q$495,(SUMPRODUCT((('CASE MASTER'!$T$2:$T$495=10)*('CASE MASTER'!$AA$2:$AA$495&lt;=5)*('CASE MASTER'!$AC$2:$AC$495&gt;=5)*('CASE MASTER'!$AB$2:$AB$495&lt;=1)*('CASE MASTER'!$AD$2:$AD$495&gt;=1))*ROW('CASE MASTER'!$T$2:$T$495))-(ROW('CASE MASTER'!#REF!)-1))),"")),"")</f>
        <v/>
      </c>
      <c r="C133" s="10" t="str">
        <f>IFERROR(IF(SUMPRODUCT((('CASE MASTER'!$T$2:$T$495=10)*('CASE MASTER'!$U$2:$U$495&lt;=5)*('CASE MASTER'!$W$2:$W$495&gt;=5)*('CASE MASTER'!$V$2:$V$495&lt;=2)*('CASE MASTER'!$X$2:$X$495&gt;=2))*ROW('CASE MASTER'!$T$2:$T$495))&gt;0,INDEX('CASE MASTER'!$Y$2:$Y$495,(SUMPRODUCT((('CASE MASTER'!$T$2:$T$495=10)*('CASE MASTER'!$U$2:$U$495&lt;=5)*('CASE MASTER'!$W$2:$W$495&gt;=5)*('CASE MASTER'!$V$2:$V$495&lt;=2)*('CASE MASTER'!$X$2:$X$495&gt;=2))*ROW('CASE MASTER'!$T$2:$T$495))-(ROW('CASE MASTER'!#REF!)-1)))&amp;TRIM(MID(SUBSTITUTE(SUBSTITUTE(INDEX('CASE MASTER'!$N$2:$N$495,(SUMPRODUCT((('CASE MASTER'!$T$2:$T$495=10)*('CASE MASTER'!$U$2:$U$495&lt;=5)*('CASE MASTER'!$W$2:$W$495&gt;=5)*('CASE MASTER'!$V$2:$V$495&lt;=2)*('CASE MASTER'!$X$2:$X$495&gt;=2))*ROW('CASE MASTER'!$T$2:$T$495))-(ROW('CASE MASTER'!#REF!)-1))),":",","),",",REPT(" ",50)),((((5-INDEX('CASE MASTER'!$U$2:$U$495,(SUMPRODUCT((('CASE MASTER'!$T$2:$T$495=10)*('CASE MASTER'!$U$2:$U$495&lt;=5)*('CASE MASTER'!$W$2:$W$495&gt;=5)*('CASE MASTER'!$V$2:$V$495&lt;=2)*('CASE MASTER'!$X$2:$X$495&gt;=2))*ROW('CASE MASTER'!$T$2:$T$495))-(ROW('CASE MASTER'!#REF!)-1))))*(INDEX('CASE MASTER'!$X$2:$X$495,(SUMPRODUCT((('CASE MASTER'!$T$2:$T$495=10)*('CASE MASTER'!$U$2:$U$495&lt;=5)*('CASE MASTER'!$W$2:$W$495&gt;=5)*('CASE MASTER'!$V$2:$V$495&lt;=2)*('CASE MASTER'!$X$2:$X$495&gt;=2))*ROW('CASE MASTER'!$T$2:$T$495))-(ROW('CASE MASTER'!#REF!)-1)))-INDEX('CASE MASTER'!$V$2:$V$495,(SUMPRODUCT((('CASE MASTER'!$T$2:$T$495=10)*('CASE MASTER'!$U$2:$U$495&lt;=5)*('CASE MASTER'!$W$2:$W$495&gt;=5)*('CASE MASTER'!$V$2:$V$495&lt;=2)*('CASE MASTER'!$X$2:$X$495&gt;=2))*ROW('CASE MASTER'!$T$2:$T$495))-(ROW('CASE MASTER'!#REF!)-1)))+1)+(2-INDEX('CASE MASTER'!$V$2:$V$495,(SUMPRODUCT((('CASE MASTER'!$T$2:$T$495=10)*('CASE MASTER'!$U$2:$U$495&lt;=5)*('CASE MASTER'!$W$2:$W$495&gt;=5)*('CASE MASTER'!$V$2:$V$495&lt;=2)*('CASE MASTER'!$X$2:$X$495&gt;=2))*ROW('CASE MASTER'!$T$2:$T$495))-(ROW('CASE MASTER'!#REF!)-1))))+1))-1)*50+1,50))&amp;"_"&amp;INDEX('CASE MASTER'!$Q$2:$Q$495,(SUMPRODUCT((('CASE MASTER'!$T$2:$T$495=10)*('CASE MASTER'!$U$2:$U$495&lt;=5)*('CASE MASTER'!$W$2:$W$495&gt;=5)*('CASE MASTER'!$V$2:$V$495&lt;=2)*('CASE MASTER'!$X$2:$X$495&gt;=2))*ROW('CASE MASTER'!$T$2:$T$495))-(ROW('CASE MASTER'!#REF!)-1))),IF(SUMPRODUCT((('CASE MASTER'!$T$2:$T$495=10)*('CASE MASTER'!$AA$2:$AA$495&lt;=5)*('CASE MASTER'!$AC$2:$AC$495&gt;=5)*('CASE MASTER'!$AB$2:$AB$495&lt;=2)*('CASE MASTER'!$AD$2:$AD$495&gt;=2))*ROW('CASE MASTER'!$T$2:$T$495))&gt;0,INDEX('CASE MASTER'!$Y$2:$Y$495,(SUMPRODUCT((('CASE MASTER'!$T$2:$T$495=10)*('CASE MASTER'!$AA$2:$AA$495&lt;=5)*('CASE MASTER'!$AC$2:$AC$495&gt;=5)*('CASE MASTER'!$AB$2:$AB$495&lt;=2)*('CASE MASTER'!$AD$2:$AD$495&gt;=2))*ROW('CASE MASTER'!$T$2:$T$495))-(ROW('CASE MASTER'!#REF!)-1)))&amp;TRIM(MID(SUBSTITUTE(SUBSTITUTE(INDEX('CASE MASTER'!$N$2:$N$495,(SUMPRODUCT((('CASE MASTER'!$T$2:$T$495=10)*('CASE MASTER'!$AA$2:$AA$495&lt;=5)*('CASE MASTER'!$AC$2:$AC$495&gt;=5)*('CASE MASTER'!$AB$2:$AB$495&lt;=2)*('CASE MASTER'!$AD$2:$AD$495&gt;=2))*ROW('CASE MASTER'!$T$2:$T$495))-(ROW('CASE MASTER'!#REF!)-1))),":",","),",",REPT(" ",50)),(((INDEX('CASE MASTER'!$Z$2:$Z$495,(SUMPRODUCT((('CASE MASTER'!$T$2:$T$495=10)*('CASE MASTER'!$AA$2:$AA$495&lt;=5)*('CASE MASTER'!$AC$2:$AC$495&gt;=5)*('CASE MASTER'!$AB$2:$AB$495&lt;=2)*('CASE MASTER'!$AD$2:$AD$495&gt;=2))*ROW('CASE MASTER'!$T$2:$T$495))-(ROW('CASE MASTER'!#REF!)-1)))+((5-INDEX('CASE MASTER'!$AA$2:$AA$495,(SUMPRODUCT((('CASE MASTER'!$T$2:$T$495=10)*('CASE MASTER'!$AA$2:$AA$495&lt;=5)*('CASE MASTER'!$AC$2:$AC$495&gt;=5)*('CASE MASTER'!$AB$2:$AB$495&lt;=2)*('CASE MASTER'!$AD$2:$AD$495&gt;=2))*ROW('CASE MASTER'!$T$2:$T$495))-(ROW('CASE MASTER'!#REF!)-1))))*(INDEX('CASE MASTER'!$AD$2:$AD$495,(SUMPRODUCT((('CASE MASTER'!$T$2:$T$495=10)*('CASE MASTER'!$AA$2:$AA$495&lt;=5)*('CASE MASTER'!$AC$2:$AC$495&gt;=5)*('CASE MASTER'!$AB$2:$AB$495&lt;=2)*('CASE MASTER'!$AD$2:$AD$495&gt;=2))*ROW('CASE MASTER'!$T$2:$T$495))-(ROW('CASE MASTER'!#REF!)-1)))-INDEX('CASE MASTER'!$AB$2:$AB$495,(SUMPRODUCT((('CASE MASTER'!$T$2:$T$495=10)*('CASE MASTER'!$AA$2:$AA$495&lt;=5)*('CASE MASTER'!$AC$2:$AC$495&gt;=5)*('CASE MASTER'!$AB$2:$AB$495&lt;=2)*('CASE MASTER'!$AD$2:$AD$495&gt;=2))*ROW('CASE MASTER'!$T$2:$T$495))-(ROW('CASE MASTER'!#REF!)-1)))+1)+(2-INDEX('CASE MASTER'!$AB$2:$AB$495,(SUMPRODUCT((('CASE MASTER'!$T$2:$T$495=10)*('CASE MASTER'!$AA$2:$AA$495&lt;=5)*('CASE MASTER'!$AC$2:$AC$495&gt;=5)*('CASE MASTER'!$AB$2:$AB$495&lt;=2)*('CASE MASTER'!$AD$2:$AD$495&gt;=2))*ROW('CASE MASTER'!$T$2:$T$495))-(ROW('CASE MASTER'!#REF!)-1))))+1)))-1)*50+1,50))&amp;"_"&amp;INDEX('CASE MASTER'!$Q$2:$Q$495,(SUMPRODUCT((('CASE MASTER'!$T$2:$T$495=10)*('CASE MASTER'!$AA$2:$AA$495&lt;=5)*('CASE MASTER'!$AC$2:$AC$495&gt;=5)*('CASE MASTER'!$AB$2:$AB$495&lt;=2)*('CASE MASTER'!$AD$2:$AD$495&gt;=2))*ROW('CASE MASTER'!$T$2:$T$495))-(ROW('CASE MASTER'!#REF!)-1))),"")),"")</f>
        <v/>
      </c>
      <c r="D133" s="10" t="str">
        <f>IFERROR(IF(SUMPRODUCT((('CASE MASTER'!$T$2:$T$495=10)*('CASE MASTER'!$U$2:$U$495&lt;=5)*('CASE MASTER'!$W$2:$W$495&gt;=5)*('CASE MASTER'!$V$2:$V$495&lt;=3)*('CASE MASTER'!$X$2:$X$495&gt;=3))*ROW('CASE MASTER'!$T$2:$T$495))&gt;0,INDEX('CASE MASTER'!$Y$2:$Y$495,(SUMPRODUCT((('CASE MASTER'!$T$2:$T$495=10)*('CASE MASTER'!$U$2:$U$495&lt;=5)*('CASE MASTER'!$W$2:$W$495&gt;=5)*('CASE MASTER'!$V$2:$V$495&lt;=3)*('CASE MASTER'!$X$2:$X$495&gt;=3))*ROW('CASE MASTER'!$T$2:$T$495))-(ROW('CASE MASTER'!#REF!)-1)))&amp;TRIM(MID(SUBSTITUTE(SUBSTITUTE(INDEX('CASE MASTER'!$N$2:$N$495,(SUMPRODUCT((('CASE MASTER'!$T$2:$T$495=10)*('CASE MASTER'!$U$2:$U$495&lt;=5)*('CASE MASTER'!$W$2:$W$495&gt;=5)*('CASE MASTER'!$V$2:$V$495&lt;=3)*('CASE MASTER'!$X$2:$X$495&gt;=3))*ROW('CASE MASTER'!$T$2:$T$495))-(ROW('CASE MASTER'!#REF!)-1))),":",","),",",REPT(" ",50)),((((5-INDEX('CASE MASTER'!$U$2:$U$495,(SUMPRODUCT((('CASE MASTER'!$T$2:$T$495=10)*('CASE MASTER'!$U$2:$U$495&lt;=5)*('CASE MASTER'!$W$2:$W$495&gt;=5)*('CASE MASTER'!$V$2:$V$495&lt;=3)*('CASE MASTER'!$X$2:$X$495&gt;=3))*ROW('CASE MASTER'!$T$2:$T$495))-(ROW('CASE MASTER'!#REF!)-1))))*(INDEX('CASE MASTER'!$X$2:$X$495,(SUMPRODUCT((('CASE MASTER'!$T$2:$T$495=10)*('CASE MASTER'!$U$2:$U$495&lt;=5)*('CASE MASTER'!$W$2:$W$495&gt;=5)*('CASE MASTER'!$V$2:$V$495&lt;=3)*('CASE MASTER'!$X$2:$X$495&gt;=3))*ROW('CASE MASTER'!$T$2:$T$495))-(ROW('CASE MASTER'!#REF!)-1)))-INDEX('CASE MASTER'!$V$2:$V$495,(SUMPRODUCT((('CASE MASTER'!$T$2:$T$495=10)*('CASE MASTER'!$U$2:$U$495&lt;=5)*('CASE MASTER'!$W$2:$W$495&gt;=5)*('CASE MASTER'!$V$2:$V$495&lt;=3)*('CASE MASTER'!$X$2:$X$495&gt;=3))*ROW('CASE MASTER'!$T$2:$T$495))-(ROW('CASE MASTER'!#REF!)-1)))+1)+(3-INDEX('CASE MASTER'!$V$2:$V$495,(SUMPRODUCT((('CASE MASTER'!$T$2:$T$495=10)*('CASE MASTER'!$U$2:$U$495&lt;=5)*('CASE MASTER'!$W$2:$W$495&gt;=5)*('CASE MASTER'!$V$2:$V$495&lt;=3)*('CASE MASTER'!$X$2:$X$495&gt;=3))*ROW('CASE MASTER'!$T$2:$T$495))-(ROW('CASE MASTER'!#REF!)-1))))+1))-1)*50+1,50))&amp;"_"&amp;INDEX('CASE MASTER'!$Q$2:$Q$495,(SUMPRODUCT((('CASE MASTER'!$T$2:$T$495=10)*('CASE MASTER'!$U$2:$U$495&lt;=5)*('CASE MASTER'!$W$2:$W$495&gt;=5)*('CASE MASTER'!$V$2:$V$495&lt;=3)*('CASE MASTER'!$X$2:$X$495&gt;=3))*ROW('CASE MASTER'!$T$2:$T$495))-(ROW('CASE MASTER'!#REF!)-1))),IF(SUMPRODUCT((('CASE MASTER'!$T$2:$T$495=10)*('CASE MASTER'!$AA$2:$AA$495&lt;=5)*('CASE MASTER'!$AC$2:$AC$495&gt;=5)*('CASE MASTER'!$AB$2:$AB$495&lt;=3)*('CASE MASTER'!$AD$2:$AD$495&gt;=3))*ROW('CASE MASTER'!$T$2:$T$495))&gt;0,INDEX('CASE MASTER'!$Y$2:$Y$495,(SUMPRODUCT((('CASE MASTER'!$T$2:$T$495=10)*('CASE MASTER'!$AA$2:$AA$495&lt;=5)*('CASE MASTER'!$AC$2:$AC$495&gt;=5)*('CASE MASTER'!$AB$2:$AB$495&lt;=3)*('CASE MASTER'!$AD$2:$AD$495&gt;=3))*ROW('CASE MASTER'!$T$2:$T$495))-(ROW('CASE MASTER'!#REF!)-1)))&amp;TRIM(MID(SUBSTITUTE(SUBSTITUTE(INDEX('CASE MASTER'!$N$2:$N$495,(SUMPRODUCT((('CASE MASTER'!$T$2:$T$495=10)*('CASE MASTER'!$AA$2:$AA$495&lt;=5)*('CASE MASTER'!$AC$2:$AC$495&gt;=5)*('CASE MASTER'!$AB$2:$AB$495&lt;=3)*('CASE MASTER'!$AD$2:$AD$495&gt;=3))*ROW('CASE MASTER'!$T$2:$T$495))-(ROW('CASE MASTER'!#REF!)-1))),":",","),",",REPT(" ",50)),(((INDEX('CASE MASTER'!$Z$2:$Z$495,(SUMPRODUCT((('CASE MASTER'!$T$2:$T$495=10)*('CASE MASTER'!$AA$2:$AA$495&lt;=5)*('CASE MASTER'!$AC$2:$AC$495&gt;=5)*('CASE MASTER'!$AB$2:$AB$495&lt;=3)*('CASE MASTER'!$AD$2:$AD$495&gt;=3))*ROW('CASE MASTER'!$T$2:$T$495))-(ROW('CASE MASTER'!#REF!)-1)))+((5-INDEX('CASE MASTER'!$AA$2:$AA$495,(SUMPRODUCT((('CASE MASTER'!$T$2:$T$495=10)*('CASE MASTER'!$AA$2:$AA$495&lt;=5)*('CASE MASTER'!$AC$2:$AC$495&gt;=5)*('CASE MASTER'!$AB$2:$AB$495&lt;=3)*('CASE MASTER'!$AD$2:$AD$495&gt;=3))*ROW('CASE MASTER'!$T$2:$T$495))-(ROW('CASE MASTER'!#REF!)-1))))*(INDEX('CASE MASTER'!$AD$2:$AD$495,(SUMPRODUCT((('CASE MASTER'!$T$2:$T$495=10)*('CASE MASTER'!$AA$2:$AA$495&lt;=5)*('CASE MASTER'!$AC$2:$AC$495&gt;=5)*('CASE MASTER'!$AB$2:$AB$495&lt;=3)*('CASE MASTER'!$AD$2:$AD$495&gt;=3))*ROW('CASE MASTER'!$T$2:$T$495))-(ROW('CASE MASTER'!#REF!)-1)))-INDEX('CASE MASTER'!$AB$2:$AB$495,(SUMPRODUCT((('CASE MASTER'!$T$2:$T$495=10)*('CASE MASTER'!$AA$2:$AA$495&lt;=5)*('CASE MASTER'!$AC$2:$AC$495&gt;=5)*('CASE MASTER'!$AB$2:$AB$495&lt;=3)*('CASE MASTER'!$AD$2:$AD$495&gt;=3))*ROW('CASE MASTER'!$T$2:$T$495))-(ROW('CASE MASTER'!#REF!)-1)))+1)+(3-INDEX('CASE MASTER'!$AB$2:$AB$495,(SUMPRODUCT((('CASE MASTER'!$T$2:$T$495=10)*('CASE MASTER'!$AA$2:$AA$495&lt;=5)*('CASE MASTER'!$AC$2:$AC$495&gt;=5)*('CASE MASTER'!$AB$2:$AB$495&lt;=3)*('CASE MASTER'!$AD$2:$AD$495&gt;=3))*ROW('CASE MASTER'!$T$2:$T$495))-(ROW('CASE MASTER'!#REF!)-1))))+1)))-1)*50+1,50))&amp;"_"&amp;INDEX('CASE MASTER'!$Q$2:$Q$495,(SUMPRODUCT((('CASE MASTER'!$T$2:$T$495=10)*('CASE MASTER'!$AA$2:$AA$495&lt;=5)*('CASE MASTER'!$AC$2:$AC$495&gt;=5)*('CASE MASTER'!$AB$2:$AB$495&lt;=3)*('CASE MASTER'!$AD$2:$AD$495&gt;=3))*ROW('CASE MASTER'!$T$2:$T$495))-(ROW('CASE MASTER'!#REF!)-1))),"")),"")</f>
        <v/>
      </c>
      <c r="E133" s="10" t="str">
        <f>IFERROR(IF(SUMPRODUCT((('CASE MASTER'!$T$2:$T$495=10)*('CASE MASTER'!$U$2:$U$495&lt;=5)*('CASE MASTER'!$W$2:$W$495&gt;=5)*('CASE MASTER'!$V$2:$V$495&lt;=4)*('CASE MASTER'!$X$2:$X$495&gt;=4))*ROW('CASE MASTER'!$T$2:$T$495))&gt;0,INDEX('CASE MASTER'!$Y$2:$Y$495,(SUMPRODUCT((('CASE MASTER'!$T$2:$T$495=10)*('CASE MASTER'!$U$2:$U$495&lt;=5)*('CASE MASTER'!$W$2:$W$495&gt;=5)*('CASE MASTER'!$V$2:$V$495&lt;=4)*('CASE MASTER'!$X$2:$X$495&gt;=4))*ROW('CASE MASTER'!$T$2:$T$495))-(ROW('CASE MASTER'!#REF!)-1)))&amp;TRIM(MID(SUBSTITUTE(SUBSTITUTE(INDEX('CASE MASTER'!$N$2:$N$495,(SUMPRODUCT((('CASE MASTER'!$T$2:$T$495=10)*('CASE MASTER'!$U$2:$U$495&lt;=5)*('CASE MASTER'!$W$2:$W$495&gt;=5)*('CASE MASTER'!$V$2:$V$495&lt;=4)*('CASE MASTER'!$X$2:$X$495&gt;=4))*ROW('CASE MASTER'!$T$2:$T$495))-(ROW('CASE MASTER'!#REF!)-1))),":",","),",",REPT(" ",50)),((((5-INDEX('CASE MASTER'!$U$2:$U$495,(SUMPRODUCT((('CASE MASTER'!$T$2:$T$495=10)*('CASE MASTER'!$U$2:$U$495&lt;=5)*('CASE MASTER'!$W$2:$W$495&gt;=5)*('CASE MASTER'!$V$2:$V$495&lt;=4)*('CASE MASTER'!$X$2:$X$495&gt;=4))*ROW('CASE MASTER'!$T$2:$T$495))-(ROW('CASE MASTER'!#REF!)-1))))*(INDEX('CASE MASTER'!$X$2:$X$495,(SUMPRODUCT((('CASE MASTER'!$T$2:$T$495=10)*('CASE MASTER'!$U$2:$U$495&lt;=5)*('CASE MASTER'!$W$2:$W$495&gt;=5)*('CASE MASTER'!$V$2:$V$495&lt;=4)*('CASE MASTER'!$X$2:$X$495&gt;=4))*ROW('CASE MASTER'!$T$2:$T$495))-(ROW('CASE MASTER'!#REF!)-1)))-INDEX('CASE MASTER'!$V$2:$V$495,(SUMPRODUCT((('CASE MASTER'!$T$2:$T$495=10)*('CASE MASTER'!$U$2:$U$495&lt;=5)*('CASE MASTER'!$W$2:$W$495&gt;=5)*('CASE MASTER'!$V$2:$V$495&lt;=4)*('CASE MASTER'!$X$2:$X$495&gt;=4))*ROW('CASE MASTER'!$T$2:$T$495))-(ROW('CASE MASTER'!#REF!)-1)))+1)+(4-INDEX('CASE MASTER'!$V$2:$V$495,(SUMPRODUCT((('CASE MASTER'!$T$2:$T$495=10)*('CASE MASTER'!$U$2:$U$495&lt;=5)*('CASE MASTER'!$W$2:$W$495&gt;=5)*('CASE MASTER'!$V$2:$V$495&lt;=4)*('CASE MASTER'!$X$2:$X$495&gt;=4))*ROW('CASE MASTER'!$T$2:$T$495))-(ROW('CASE MASTER'!#REF!)-1))))+1))-1)*50+1,50))&amp;"_"&amp;INDEX('CASE MASTER'!$Q$2:$Q$495,(SUMPRODUCT((('CASE MASTER'!$T$2:$T$495=10)*('CASE MASTER'!$U$2:$U$495&lt;=5)*('CASE MASTER'!$W$2:$W$495&gt;=5)*('CASE MASTER'!$V$2:$V$495&lt;=4)*('CASE MASTER'!$X$2:$X$495&gt;=4))*ROW('CASE MASTER'!$T$2:$T$495))-(ROW('CASE MASTER'!#REF!)-1))),IF(SUMPRODUCT((('CASE MASTER'!$T$2:$T$495=10)*('CASE MASTER'!$AA$2:$AA$495&lt;=5)*('CASE MASTER'!$AC$2:$AC$495&gt;=5)*('CASE MASTER'!$AB$2:$AB$495&lt;=4)*('CASE MASTER'!$AD$2:$AD$495&gt;=4))*ROW('CASE MASTER'!$T$2:$T$495))&gt;0,INDEX('CASE MASTER'!$Y$2:$Y$495,(SUMPRODUCT((('CASE MASTER'!$T$2:$T$495=10)*('CASE MASTER'!$AA$2:$AA$495&lt;=5)*('CASE MASTER'!$AC$2:$AC$495&gt;=5)*('CASE MASTER'!$AB$2:$AB$495&lt;=4)*('CASE MASTER'!$AD$2:$AD$495&gt;=4))*ROW('CASE MASTER'!$T$2:$T$495))-(ROW('CASE MASTER'!#REF!)-1)))&amp;TRIM(MID(SUBSTITUTE(SUBSTITUTE(INDEX('CASE MASTER'!$N$2:$N$495,(SUMPRODUCT((('CASE MASTER'!$T$2:$T$495=10)*('CASE MASTER'!$AA$2:$AA$495&lt;=5)*('CASE MASTER'!$AC$2:$AC$495&gt;=5)*('CASE MASTER'!$AB$2:$AB$495&lt;=4)*('CASE MASTER'!$AD$2:$AD$495&gt;=4))*ROW('CASE MASTER'!$T$2:$T$495))-(ROW('CASE MASTER'!#REF!)-1))),":",","),",",REPT(" ",50)),(((INDEX('CASE MASTER'!$Z$2:$Z$495,(SUMPRODUCT((('CASE MASTER'!$T$2:$T$495=10)*('CASE MASTER'!$AA$2:$AA$495&lt;=5)*('CASE MASTER'!$AC$2:$AC$495&gt;=5)*('CASE MASTER'!$AB$2:$AB$495&lt;=4)*('CASE MASTER'!$AD$2:$AD$495&gt;=4))*ROW('CASE MASTER'!$T$2:$T$495))-(ROW('CASE MASTER'!#REF!)-1)))+((5-INDEX('CASE MASTER'!$AA$2:$AA$495,(SUMPRODUCT((('CASE MASTER'!$T$2:$T$495=10)*('CASE MASTER'!$AA$2:$AA$495&lt;=5)*('CASE MASTER'!$AC$2:$AC$495&gt;=5)*('CASE MASTER'!$AB$2:$AB$495&lt;=4)*('CASE MASTER'!$AD$2:$AD$495&gt;=4))*ROW('CASE MASTER'!$T$2:$T$495))-(ROW('CASE MASTER'!#REF!)-1))))*(INDEX('CASE MASTER'!$AD$2:$AD$495,(SUMPRODUCT((('CASE MASTER'!$T$2:$T$495=10)*('CASE MASTER'!$AA$2:$AA$495&lt;=5)*('CASE MASTER'!$AC$2:$AC$495&gt;=5)*('CASE MASTER'!$AB$2:$AB$495&lt;=4)*('CASE MASTER'!$AD$2:$AD$495&gt;=4))*ROW('CASE MASTER'!$T$2:$T$495))-(ROW('CASE MASTER'!#REF!)-1)))-INDEX('CASE MASTER'!$AB$2:$AB$495,(SUMPRODUCT((('CASE MASTER'!$T$2:$T$495=10)*('CASE MASTER'!$AA$2:$AA$495&lt;=5)*('CASE MASTER'!$AC$2:$AC$495&gt;=5)*('CASE MASTER'!$AB$2:$AB$495&lt;=4)*('CASE MASTER'!$AD$2:$AD$495&gt;=4))*ROW('CASE MASTER'!$T$2:$T$495))-(ROW('CASE MASTER'!#REF!)-1)))+1)+(4-INDEX('CASE MASTER'!$AB$2:$AB$495,(SUMPRODUCT((('CASE MASTER'!$T$2:$T$495=10)*('CASE MASTER'!$AA$2:$AA$495&lt;=5)*('CASE MASTER'!$AC$2:$AC$495&gt;=5)*('CASE MASTER'!$AB$2:$AB$495&lt;=4)*('CASE MASTER'!$AD$2:$AD$495&gt;=4))*ROW('CASE MASTER'!$T$2:$T$495))-(ROW('CASE MASTER'!#REF!)-1))))+1)))-1)*50+1,50))&amp;"_"&amp;INDEX('CASE MASTER'!$Q$2:$Q$495,(SUMPRODUCT((('CASE MASTER'!$T$2:$T$495=10)*('CASE MASTER'!$AA$2:$AA$495&lt;=5)*('CASE MASTER'!$AC$2:$AC$495&gt;=5)*('CASE MASTER'!$AB$2:$AB$495&lt;=4)*('CASE MASTER'!$AD$2:$AD$495&gt;=4))*ROW('CASE MASTER'!$T$2:$T$495))-(ROW('CASE MASTER'!#REF!)-1))),"")),"")</f>
        <v/>
      </c>
      <c r="F133" s="10" t="str">
        <f>IFERROR(IF(SUMPRODUCT((('CASE MASTER'!$T$2:$T$495=10)*('CASE MASTER'!$U$2:$U$495&lt;=5)*('CASE MASTER'!$W$2:$W$495&gt;=5)*('CASE MASTER'!$V$2:$V$495&lt;=5)*('CASE MASTER'!$X$2:$X$495&gt;=5))*ROW('CASE MASTER'!$T$2:$T$495))&gt;0,INDEX('CASE MASTER'!$Y$2:$Y$495,(SUMPRODUCT((('CASE MASTER'!$T$2:$T$495=10)*('CASE MASTER'!$U$2:$U$495&lt;=5)*('CASE MASTER'!$W$2:$W$495&gt;=5)*('CASE MASTER'!$V$2:$V$495&lt;=5)*('CASE MASTER'!$X$2:$X$495&gt;=5))*ROW('CASE MASTER'!$T$2:$T$495))-(ROW('CASE MASTER'!#REF!)-1)))&amp;TRIM(MID(SUBSTITUTE(SUBSTITUTE(INDEX('CASE MASTER'!$N$2:$N$495,(SUMPRODUCT((('CASE MASTER'!$T$2:$T$495=10)*('CASE MASTER'!$U$2:$U$495&lt;=5)*('CASE MASTER'!$W$2:$W$495&gt;=5)*('CASE MASTER'!$V$2:$V$495&lt;=5)*('CASE MASTER'!$X$2:$X$495&gt;=5))*ROW('CASE MASTER'!$T$2:$T$495))-(ROW('CASE MASTER'!#REF!)-1))),":",","),",",REPT(" ",50)),((((5-INDEX('CASE MASTER'!$U$2:$U$495,(SUMPRODUCT((('CASE MASTER'!$T$2:$T$495=10)*('CASE MASTER'!$U$2:$U$495&lt;=5)*('CASE MASTER'!$W$2:$W$495&gt;=5)*('CASE MASTER'!$V$2:$V$495&lt;=5)*('CASE MASTER'!$X$2:$X$495&gt;=5))*ROW('CASE MASTER'!$T$2:$T$495))-(ROW('CASE MASTER'!#REF!)-1))))*(INDEX('CASE MASTER'!$X$2:$X$495,(SUMPRODUCT((('CASE MASTER'!$T$2:$T$495=10)*('CASE MASTER'!$U$2:$U$495&lt;=5)*('CASE MASTER'!$W$2:$W$495&gt;=5)*('CASE MASTER'!$V$2:$V$495&lt;=5)*('CASE MASTER'!$X$2:$X$495&gt;=5))*ROW('CASE MASTER'!$T$2:$T$495))-(ROW('CASE MASTER'!#REF!)-1)))-INDEX('CASE MASTER'!$V$2:$V$495,(SUMPRODUCT((('CASE MASTER'!$T$2:$T$495=10)*('CASE MASTER'!$U$2:$U$495&lt;=5)*('CASE MASTER'!$W$2:$W$495&gt;=5)*('CASE MASTER'!$V$2:$V$495&lt;=5)*('CASE MASTER'!$X$2:$X$495&gt;=5))*ROW('CASE MASTER'!$T$2:$T$495))-(ROW('CASE MASTER'!#REF!)-1)))+1)+(5-INDEX('CASE MASTER'!$V$2:$V$495,(SUMPRODUCT((('CASE MASTER'!$T$2:$T$495=10)*('CASE MASTER'!$U$2:$U$495&lt;=5)*('CASE MASTER'!$W$2:$W$495&gt;=5)*('CASE MASTER'!$V$2:$V$495&lt;=5)*('CASE MASTER'!$X$2:$X$495&gt;=5))*ROW('CASE MASTER'!$T$2:$T$495))-(ROW('CASE MASTER'!#REF!)-1))))+1))-1)*50+1,50))&amp;"_"&amp;INDEX('CASE MASTER'!$Q$2:$Q$495,(SUMPRODUCT((('CASE MASTER'!$T$2:$T$495=10)*('CASE MASTER'!$U$2:$U$495&lt;=5)*('CASE MASTER'!$W$2:$W$495&gt;=5)*('CASE MASTER'!$V$2:$V$495&lt;=5)*('CASE MASTER'!$X$2:$X$495&gt;=5))*ROW('CASE MASTER'!$T$2:$T$495))-(ROW('CASE MASTER'!#REF!)-1))),IF(SUMPRODUCT((('CASE MASTER'!$T$2:$T$495=10)*('CASE MASTER'!$AA$2:$AA$495&lt;=5)*('CASE MASTER'!$AC$2:$AC$495&gt;=5)*('CASE MASTER'!$AB$2:$AB$495&lt;=5)*('CASE MASTER'!$AD$2:$AD$495&gt;=5))*ROW('CASE MASTER'!$T$2:$T$495))&gt;0,INDEX('CASE MASTER'!$Y$2:$Y$495,(SUMPRODUCT((('CASE MASTER'!$T$2:$T$495=10)*('CASE MASTER'!$AA$2:$AA$495&lt;=5)*('CASE MASTER'!$AC$2:$AC$495&gt;=5)*('CASE MASTER'!$AB$2:$AB$495&lt;=5)*('CASE MASTER'!$AD$2:$AD$495&gt;=5))*ROW('CASE MASTER'!$T$2:$T$495))-(ROW('CASE MASTER'!#REF!)-1)))&amp;TRIM(MID(SUBSTITUTE(SUBSTITUTE(INDEX('CASE MASTER'!$N$2:$N$495,(SUMPRODUCT((('CASE MASTER'!$T$2:$T$495=10)*('CASE MASTER'!$AA$2:$AA$495&lt;=5)*('CASE MASTER'!$AC$2:$AC$495&gt;=5)*('CASE MASTER'!$AB$2:$AB$495&lt;=5)*('CASE MASTER'!$AD$2:$AD$495&gt;=5))*ROW('CASE MASTER'!$T$2:$T$495))-(ROW('CASE MASTER'!#REF!)-1))),":",","),",",REPT(" ",50)),(((INDEX('CASE MASTER'!$Z$2:$Z$495,(SUMPRODUCT((('CASE MASTER'!$T$2:$T$495=10)*('CASE MASTER'!$AA$2:$AA$495&lt;=5)*('CASE MASTER'!$AC$2:$AC$495&gt;=5)*('CASE MASTER'!$AB$2:$AB$495&lt;=5)*('CASE MASTER'!$AD$2:$AD$495&gt;=5))*ROW('CASE MASTER'!$T$2:$T$495))-(ROW('CASE MASTER'!#REF!)-1)))+((5-INDEX('CASE MASTER'!$AA$2:$AA$495,(SUMPRODUCT((('CASE MASTER'!$T$2:$T$495=10)*('CASE MASTER'!$AA$2:$AA$495&lt;=5)*('CASE MASTER'!$AC$2:$AC$495&gt;=5)*('CASE MASTER'!$AB$2:$AB$495&lt;=5)*('CASE MASTER'!$AD$2:$AD$495&gt;=5))*ROW('CASE MASTER'!$T$2:$T$495))-(ROW('CASE MASTER'!#REF!)-1))))*(INDEX('CASE MASTER'!$AD$2:$AD$495,(SUMPRODUCT((('CASE MASTER'!$T$2:$T$495=10)*('CASE MASTER'!$AA$2:$AA$495&lt;=5)*('CASE MASTER'!$AC$2:$AC$495&gt;=5)*('CASE MASTER'!$AB$2:$AB$495&lt;=5)*('CASE MASTER'!$AD$2:$AD$495&gt;=5))*ROW('CASE MASTER'!$T$2:$T$495))-(ROW('CASE MASTER'!#REF!)-1)))-INDEX('CASE MASTER'!$AB$2:$AB$495,(SUMPRODUCT((('CASE MASTER'!$T$2:$T$495=10)*('CASE MASTER'!$AA$2:$AA$495&lt;=5)*('CASE MASTER'!$AC$2:$AC$495&gt;=5)*('CASE MASTER'!$AB$2:$AB$495&lt;=5)*('CASE MASTER'!$AD$2:$AD$495&gt;=5))*ROW('CASE MASTER'!$T$2:$T$495))-(ROW('CASE MASTER'!#REF!)-1)))+1)+(5-INDEX('CASE MASTER'!$AB$2:$AB$495,(SUMPRODUCT((('CASE MASTER'!$T$2:$T$495=10)*('CASE MASTER'!$AA$2:$AA$495&lt;=5)*('CASE MASTER'!$AC$2:$AC$495&gt;=5)*('CASE MASTER'!$AB$2:$AB$495&lt;=5)*('CASE MASTER'!$AD$2:$AD$495&gt;=5))*ROW('CASE MASTER'!$T$2:$T$495))-(ROW('CASE MASTER'!#REF!)-1))))+1)))-1)*50+1,50))&amp;"_"&amp;INDEX('CASE MASTER'!$Q$2:$Q$495,(SUMPRODUCT((('CASE MASTER'!$T$2:$T$495=10)*('CASE MASTER'!$AA$2:$AA$495&lt;=5)*('CASE MASTER'!$AC$2:$AC$495&gt;=5)*('CASE MASTER'!$AB$2:$AB$495&lt;=5)*('CASE MASTER'!$AD$2:$AD$495&gt;=5))*ROW('CASE MASTER'!$T$2:$T$495))-(ROW('CASE MASTER'!#REF!)-1))),"")),"")</f>
        <v/>
      </c>
      <c r="G133" s="10" t="str">
        <f>IFERROR(IF(SUMPRODUCT((('CASE MASTER'!$T$2:$T$495=10)*('CASE MASTER'!$U$2:$U$495&lt;=5)*('CASE MASTER'!$W$2:$W$495&gt;=5)*('CASE MASTER'!$V$2:$V$495&lt;=6)*('CASE MASTER'!$X$2:$X$495&gt;=6))*ROW('CASE MASTER'!$T$2:$T$495))&gt;0,INDEX('CASE MASTER'!$Y$2:$Y$495,(SUMPRODUCT((('CASE MASTER'!$T$2:$T$495=10)*('CASE MASTER'!$U$2:$U$495&lt;=5)*('CASE MASTER'!$W$2:$W$495&gt;=5)*('CASE MASTER'!$V$2:$V$495&lt;=6)*('CASE MASTER'!$X$2:$X$495&gt;=6))*ROW('CASE MASTER'!$T$2:$T$495))-(ROW('CASE MASTER'!#REF!)-1)))&amp;TRIM(MID(SUBSTITUTE(SUBSTITUTE(INDEX('CASE MASTER'!$N$2:$N$495,(SUMPRODUCT((('CASE MASTER'!$T$2:$T$495=10)*('CASE MASTER'!$U$2:$U$495&lt;=5)*('CASE MASTER'!$W$2:$W$495&gt;=5)*('CASE MASTER'!$V$2:$V$495&lt;=6)*('CASE MASTER'!$X$2:$X$495&gt;=6))*ROW('CASE MASTER'!$T$2:$T$495))-(ROW('CASE MASTER'!#REF!)-1))),":",","),",",REPT(" ",50)),((((5-INDEX('CASE MASTER'!$U$2:$U$495,(SUMPRODUCT((('CASE MASTER'!$T$2:$T$495=10)*('CASE MASTER'!$U$2:$U$495&lt;=5)*('CASE MASTER'!$W$2:$W$495&gt;=5)*('CASE MASTER'!$V$2:$V$495&lt;=6)*('CASE MASTER'!$X$2:$X$495&gt;=6))*ROW('CASE MASTER'!$T$2:$T$495))-(ROW('CASE MASTER'!#REF!)-1))))*(INDEX('CASE MASTER'!$X$2:$X$495,(SUMPRODUCT((('CASE MASTER'!$T$2:$T$495=10)*('CASE MASTER'!$U$2:$U$495&lt;=5)*('CASE MASTER'!$W$2:$W$495&gt;=5)*('CASE MASTER'!$V$2:$V$495&lt;=6)*('CASE MASTER'!$X$2:$X$495&gt;=6))*ROW('CASE MASTER'!$T$2:$T$495))-(ROW('CASE MASTER'!#REF!)-1)))-INDEX('CASE MASTER'!$V$2:$V$495,(SUMPRODUCT((('CASE MASTER'!$T$2:$T$495=10)*('CASE MASTER'!$U$2:$U$495&lt;=5)*('CASE MASTER'!$W$2:$W$495&gt;=5)*('CASE MASTER'!$V$2:$V$495&lt;=6)*('CASE MASTER'!$X$2:$X$495&gt;=6))*ROW('CASE MASTER'!$T$2:$T$495))-(ROW('CASE MASTER'!#REF!)-1)))+1)+(6-INDEX('CASE MASTER'!$V$2:$V$495,(SUMPRODUCT((('CASE MASTER'!$T$2:$T$495=10)*('CASE MASTER'!$U$2:$U$495&lt;=5)*('CASE MASTER'!$W$2:$W$495&gt;=5)*('CASE MASTER'!$V$2:$V$495&lt;=6)*('CASE MASTER'!$X$2:$X$495&gt;=6))*ROW('CASE MASTER'!$T$2:$T$495))-(ROW('CASE MASTER'!#REF!)-1))))+1))-1)*50+1,50))&amp;"_"&amp;INDEX('CASE MASTER'!$Q$2:$Q$495,(SUMPRODUCT((('CASE MASTER'!$T$2:$T$495=10)*('CASE MASTER'!$U$2:$U$495&lt;=5)*('CASE MASTER'!$W$2:$W$495&gt;=5)*('CASE MASTER'!$V$2:$V$495&lt;=6)*('CASE MASTER'!$X$2:$X$495&gt;=6))*ROW('CASE MASTER'!$T$2:$T$495))-(ROW('CASE MASTER'!#REF!)-1))),IF(SUMPRODUCT((('CASE MASTER'!$T$2:$T$495=10)*('CASE MASTER'!$AA$2:$AA$495&lt;=5)*('CASE MASTER'!$AC$2:$AC$495&gt;=5)*('CASE MASTER'!$AB$2:$AB$495&lt;=6)*('CASE MASTER'!$AD$2:$AD$495&gt;=6))*ROW('CASE MASTER'!$T$2:$T$495))&gt;0,INDEX('CASE MASTER'!$Y$2:$Y$495,(SUMPRODUCT((('CASE MASTER'!$T$2:$T$495=10)*('CASE MASTER'!$AA$2:$AA$495&lt;=5)*('CASE MASTER'!$AC$2:$AC$495&gt;=5)*('CASE MASTER'!$AB$2:$AB$495&lt;=6)*('CASE MASTER'!$AD$2:$AD$495&gt;=6))*ROW('CASE MASTER'!$T$2:$T$495))-(ROW('CASE MASTER'!#REF!)-1)))&amp;TRIM(MID(SUBSTITUTE(SUBSTITUTE(INDEX('CASE MASTER'!$N$2:$N$495,(SUMPRODUCT((('CASE MASTER'!$T$2:$T$495=10)*('CASE MASTER'!$AA$2:$AA$495&lt;=5)*('CASE MASTER'!$AC$2:$AC$495&gt;=5)*('CASE MASTER'!$AB$2:$AB$495&lt;=6)*('CASE MASTER'!$AD$2:$AD$495&gt;=6))*ROW('CASE MASTER'!$T$2:$T$495))-(ROW('CASE MASTER'!#REF!)-1))),":",","),",",REPT(" ",50)),(((INDEX('CASE MASTER'!$Z$2:$Z$495,(SUMPRODUCT((('CASE MASTER'!$T$2:$T$495=10)*('CASE MASTER'!$AA$2:$AA$495&lt;=5)*('CASE MASTER'!$AC$2:$AC$495&gt;=5)*('CASE MASTER'!$AB$2:$AB$495&lt;=6)*('CASE MASTER'!$AD$2:$AD$495&gt;=6))*ROW('CASE MASTER'!$T$2:$T$495))-(ROW('CASE MASTER'!#REF!)-1)))+((5-INDEX('CASE MASTER'!$AA$2:$AA$495,(SUMPRODUCT((('CASE MASTER'!$T$2:$T$495=10)*('CASE MASTER'!$AA$2:$AA$495&lt;=5)*('CASE MASTER'!$AC$2:$AC$495&gt;=5)*('CASE MASTER'!$AB$2:$AB$495&lt;=6)*('CASE MASTER'!$AD$2:$AD$495&gt;=6))*ROW('CASE MASTER'!$T$2:$T$495))-(ROW('CASE MASTER'!#REF!)-1))))*(INDEX('CASE MASTER'!$AD$2:$AD$495,(SUMPRODUCT((('CASE MASTER'!$T$2:$T$495=10)*('CASE MASTER'!$AA$2:$AA$495&lt;=5)*('CASE MASTER'!$AC$2:$AC$495&gt;=5)*('CASE MASTER'!$AB$2:$AB$495&lt;=6)*('CASE MASTER'!$AD$2:$AD$495&gt;=6))*ROW('CASE MASTER'!$T$2:$T$495))-(ROW('CASE MASTER'!#REF!)-1)))-INDEX('CASE MASTER'!$AB$2:$AB$495,(SUMPRODUCT((('CASE MASTER'!$T$2:$T$495=10)*('CASE MASTER'!$AA$2:$AA$495&lt;=5)*('CASE MASTER'!$AC$2:$AC$495&gt;=5)*('CASE MASTER'!$AB$2:$AB$495&lt;=6)*('CASE MASTER'!$AD$2:$AD$495&gt;=6))*ROW('CASE MASTER'!$T$2:$T$495))-(ROW('CASE MASTER'!#REF!)-1)))+1)+(6-INDEX('CASE MASTER'!$AB$2:$AB$495,(SUMPRODUCT((('CASE MASTER'!$T$2:$T$495=10)*('CASE MASTER'!$AA$2:$AA$495&lt;=5)*('CASE MASTER'!$AC$2:$AC$495&gt;=5)*('CASE MASTER'!$AB$2:$AB$495&lt;=6)*('CASE MASTER'!$AD$2:$AD$495&gt;=6))*ROW('CASE MASTER'!$T$2:$T$495))-(ROW('CASE MASTER'!#REF!)-1))))+1)))-1)*50+1,50))&amp;"_"&amp;INDEX('CASE MASTER'!$Q$2:$Q$495,(SUMPRODUCT((('CASE MASTER'!$T$2:$T$495=10)*('CASE MASTER'!$AA$2:$AA$495&lt;=5)*('CASE MASTER'!$AC$2:$AC$495&gt;=5)*('CASE MASTER'!$AB$2:$AB$495&lt;=6)*('CASE MASTER'!$AD$2:$AD$495&gt;=6))*ROW('CASE MASTER'!$T$2:$T$495))-(ROW('CASE MASTER'!#REF!)-1))),"")),"")</f>
        <v/>
      </c>
      <c r="H133" s="10" t="str">
        <f>IFERROR(IF(SUMPRODUCT((('CASE MASTER'!$T$2:$T$495=10)*('CASE MASTER'!$U$2:$U$495&lt;=5)*('CASE MASTER'!$W$2:$W$495&gt;=5)*('CASE MASTER'!$V$2:$V$495&lt;=7)*('CASE MASTER'!$X$2:$X$495&gt;=7))*ROW('CASE MASTER'!$T$2:$T$495))&gt;0,INDEX('CASE MASTER'!$Y$2:$Y$495,(SUMPRODUCT((('CASE MASTER'!$T$2:$T$495=10)*('CASE MASTER'!$U$2:$U$495&lt;=5)*('CASE MASTER'!$W$2:$W$495&gt;=5)*('CASE MASTER'!$V$2:$V$495&lt;=7)*('CASE MASTER'!$X$2:$X$495&gt;=7))*ROW('CASE MASTER'!$T$2:$T$495))-(ROW('CASE MASTER'!#REF!)-1)))&amp;TRIM(MID(SUBSTITUTE(SUBSTITUTE(INDEX('CASE MASTER'!$N$2:$N$495,(SUMPRODUCT((('CASE MASTER'!$T$2:$T$495=10)*('CASE MASTER'!$U$2:$U$495&lt;=5)*('CASE MASTER'!$W$2:$W$495&gt;=5)*('CASE MASTER'!$V$2:$V$495&lt;=7)*('CASE MASTER'!$X$2:$X$495&gt;=7))*ROW('CASE MASTER'!$T$2:$T$495))-(ROW('CASE MASTER'!#REF!)-1))),":",","),",",REPT(" ",50)),((((5-INDEX('CASE MASTER'!$U$2:$U$495,(SUMPRODUCT((('CASE MASTER'!$T$2:$T$495=10)*('CASE MASTER'!$U$2:$U$495&lt;=5)*('CASE MASTER'!$W$2:$W$495&gt;=5)*('CASE MASTER'!$V$2:$V$495&lt;=7)*('CASE MASTER'!$X$2:$X$495&gt;=7))*ROW('CASE MASTER'!$T$2:$T$495))-(ROW('CASE MASTER'!#REF!)-1))))*(INDEX('CASE MASTER'!$X$2:$X$495,(SUMPRODUCT((('CASE MASTER'!$T$2:$T$495=10)*('CASE MASTER'!$U$2:$U$495&lt;=5)*('CASE MASTER'!$W$2:$W$495&gt;=5)*('CASE MASTER'!$V$2:$V$495&lt;=7)*('CASE MASTER'!$X$2:$X$495&gt;=7))*ROW('CASE MASTER'!$T$2:$T$495))-(ROW('CASE MASTER'!#REF!)-1)))-INDEX('CASE MASTER'!$V$2:$V$495,(SUMPRODUCT((('CASE MASTER'!$T$2:$T$495=10)*('CASE MASTER'!$U$2:$U$495&lt;=5)*('CASE MASTER'!$W$2:$W$495&gt;=5)*('CASE MASTER'!$V$2:$V$495&lt;=7)*('CASE MASTER'!$X$2:$X$495&gt;=7))*ROW('CASE MASTER'!$T$2:$T$495))-(ROW('CASE MASTER'!#REF!)-1)))+1)+(7-INDEX('CASE MASTER'!$V$2:$V$495,(SUMPRODUCT((('CASE MASTER'!$T$2:$T$495=10)*('CASE MASTER'!$U$2:$U$495&lt;=5)*('CASE MASTER'!$W$2:$W$495&gt;=5)*('CASE MASTER'!$V$2:$V$495&lt;=7)*('CASE MASTER'!$X$2:$X$495&gt;=7))*ROW('CASE MASTER'!$T$2:$T$495))-(ROW('CASE MASTER'!#REF!)-1))))+1))-1)*50+1,50))&amp;"_"&amp;INDEX('CASE MASTER'!$Q$2:$Q$495,(SUMPRODUCT((('CASE MASTER'!$T$2:$T$495=10)*('CASE MASTER'!$U$2:$U$495&lt;=5)*('CASE MASTER'!$W$2:$W$495&gt;=5)*('CASE MASTER'!$V$2:$V$495&lt;=7)*('CASE MASTER'!$X$2:$X$495&gt;=7))*ROW('CASE MASTER'!$T$2:$T$495))-(ROW('CASE MASTER'!#REF!)-1))),IF(SUMPRODUCT((('CASE MASTER'!$T$2:$T$495=10)*('CASE MASTER'!$AA$2:$AA$495&lt;=5)*('CASE MASTER'!$AC$2:$AC$495&gt;=5)*('CASE MASTER'!$AB$2:$AB$495&lt;=7)*('CASE MASTER'!$AD$2:$AD$495&gt;=7))*ROW('CASE MASTER'!$T$2:$T$495))&gt;0,INDEX('CASE MASTER'!$Y$2:$Y$495,(SUMPRODUCT((('CASE MASTER'!$T$2:$T$495=10)*('CASE MASTER'!$AA$2:$AA$495&lt;=5)*('CASE MASTER'!$AC$2:$AC$495&gt;=5)*('CASE MASTER'!$AB$2:$AB$495&lt;=7)*('CASE MASTER'!$AD$2:$AD$495&gt;=7))*ROW('CASE MASTER'!$T$2:$T$495))-(ROW('CASE MASTER'!#REF!)-1)))&amp;TRIM(MID(SUBSTITUTE(SUBSTITUTE(INDEX('CASE MASTER'!$N$2:$N$495,(SUMPRODUCT((('CASE MASTER'!$T$2:$T$495=10)*('CASE MASTER'!$AA$2:$AA$495&lt;=5)*('CASE MASTER'!$AC$2:$AC$495&gt;=5)*('CASE MASTER'!$AB$2:$AB$495&lt;=7)*('CASE MASTER'!$AD$2:$AD$495&gt;=7))*ROW('CASE MASTER'!$T$2:$T$495))-(ROW('CASE MASTER'!#REF!)-1))),":",","),",",REPT(" ",50)),(((INDEX('CASE MASTER'!$Z$2:$Z$495,(SUMPRODUCT((('CASE MASTER'!$T$2:$T$495=10)*('CASE MASTER'!$AA$2:$AA$495&lt;=5)*('CASE MASTER'!$AC$2:$AC$495&gt;=5)*('CASE MASTER'!$AB$2:$AB$495&lt;=7)*('CASE MASTER'!$AD$2:$AD$495&gt;=7))*ROW('CASE MASTER'!$T$2:$T$495))-(ROW('CASE MASTER'!#REF!)-1)))+((5-INDEX('CASE MASTER'!$AA$2:$AA$495,(SUMPRODUCT((('CASE MASTER'!$T$2:$T$495=10)*('CASE MASTER'!$AA$2:$AA$495&lt;=5)*('CASE MASTER'!$AC$2:$AC$495&gt;=5)*('CASE MASTER'!$AB$2:$AB$495&lt;=7)*('CASE MASTER'!$AD$2:$AD$495&gt;=7))*ROW('CASE MASTER'!$T$2:$T$495))-(ROW('CASE MASTER'!#REF!)-1))))*(INDEX('CASE MASTER'!$AD$2:$AD$495,(SUMPRODUCT((('CASE MASTER'!$T$2:$T$495=10)*('CASE MASTER'!$AA$2:$AA$495&lt;=5)*('CASE MASTER'!$AC$2:$AC$495&gt;=5)*('CASE MASTER'!$AB$2:$AB$495&lt;=7)*('CASE MASTER'!$AD$2:$AD$495&gt;=7))*ROW('CASE MASTER'!$T$2:$T$495))-(ROW('CASE MASTER'!#REF!)-1)))-INDEX('CASE MASTER'!$AB$2:$AB$495,(SUMPRODUCT((('CASE MASTER'!$T$2:$T$495=10)*('CASE MASTER'!$AA$2:$AA$495&lt;=5)*('CASE MASTER'!$AC$2:$AC$495&gt;=5)*('CASE MASTER'!$AB$2:$AB$495&lt;=7)*('CASE MASTER'!$AD$2:$AD$495&gt;=7))*ROW('CASE MASTER'!$T$2:$T$495))-(ROW('CASE MASTER'!#REF!)-1)))+1)+(7-INDEX('CASE MASTER'!$AB$2:$AB$495,(SUMPRODUCT((('CASE MASTER'!$T$2:$T$495=10)*('CASE MASTER'!$AA$2:$AA$495&lt;=5)*('CASE MASTER'!$AC$2:$AC$495&gt;=5)*('CASE MASTER'!$AB$2:$AB$495&lt;=7)*('CASE MASTER'!$AD$2:$AD$495&gt;=7))*ROW('CASE MASTER'!$T$2:$T$495))-(ROW('CASE MASTER'!#REF!)-1))))+1)))-1)*50+1,50))&amp;"_"&amp;INDEX('CASE MASTER'!$Q$2:$Q$495,(SUMPRODUCT((('CASE MASTER'!$T$2:$T$495=10)*('CASE MASTER'!$AA$2:$AA$495&lt;=5)*('CASE MASTER'!$AC$2:$AC$495&gt;=5)*('CASE MASTER'!$AB$2:$AB$495&lt;=7)*('CASE MASTER'!$AD$2:$AD$495&gt;=7))*ROW('CASE MASTER'!$T$2:$T$495))-(ROW('CASE MASTER'!#REF!)-1))),"")),"")</f>
        <v/>
      </c>
      <c r="I133" s="10" t="str">
        <f>IFERROR(IF(SUMPRODUCT((('CASE MASTER'!$T$2:$T$495=10)*('CASE MASTER'!$U$2:$U$495&lt;=5)*('CASE MASTER'!$W$2:$W$495&gt;=5)*('CASE MASTER'!$V$2:$V$495&lt;=8)*('CASE MASTER'!$X$2:$X$495&gt;=8))*ROW('CASE MASTER'!$T$2:$T$495))&gt;0,INDEX('CASE MASTER'!$Y$2:$Y$495,(SUMPRODUCT((('CASE MASTER'!$T$2:$T$495=10)*('CASE MASTER'!$U$2:$U$495&lt;=5)*('CASE MASTER'!$W$2:$W$495&gt;=5)*('CASE MASTER'!$V$2:$V$495&lt;=8)*('CASE MASTER'!$X$2:$X$495&gt;=8))*ROW('CASE MASTER'!$T$2:$T$495))-(ROW('CASE MASTER'!#REF!)-1)))&amp;TRIM(MID(SUBSTITUTE(SUBSTITUTE(INDEX('CASE MASTER'!$N$2:$N$495,(SUMPRODUCT((('CASE MASTER'!$T$2:$T$495=10)*('CASE MASTER'!$U$2:$U$495&lt;=5)*('CASE MASTER'!$W$2:$W$495&gt;=5)*('CASE MASTER'!$V$2:$V$495&lt;=8)*('CASE MASTER'!$X$2:$X$495&gt;=8))*ROW('CASE MASTER'!$T$2:$T$495))-(ROW('CASE MASTER'!#REF!)-1))),":",","),",",REPT(" ",50)),((((5-INDEX('CASE MASTER'!$U$2:$U$495,(SUMPRODUCT((('CASE MASTER'!$T$2:$T$495=10)*('CASE MASTER'!$U$2:$U$495&lt;=5)*('CASE MASTER'!$W$2:$W$495&gt;=5)*('CASE MASTER'!$V$2:$V$495&lt;=8)*('CASE MASTER'!$X$2:$X$495&gt;=8))*ROW('CASE MASTER'!$T$2:$T$495))-(ROW('CASE MASTER'!#REF!)-1))))*(INDEX('CASE MASTER'!$X$2:$X$495,(SUMPRODUCT((('CASE MASTER'!$T$2:$T$495=10)*('CASE MASTER'!$U$2:$U$495&lt;=5)*('CASE MASTER'!$W$2:$W$495&gt;=5)*('CASE MASTER'!$V$2:$V$495&lt;=8)*('CASE MASTER'!$X$2:$X$495&gt;=8))*ROW('CASE MASTER'!$T$2:$T$495))-(ROW('CASE MASTER'!#REF!)-1)))-INDEX('CASE MASTER'!$V$2:$V$495,(SUMPRODUCT((('CASE MASTER'!$T$2:$T$495=10)*('CASE MASTER'!$U$2:$U$495&lt;=5)*('CASE MASTER'!$W$2:$W$495&gt;=5)*('CASE MASTER'!$V$2:$V$495&lt;=8)*('CASE MASTER'!$X$2:$X$495&gt;=8))*ROW('CASE MASTER'!$T$2:$T$495))-(ROW('CASE MASTER'!#REF!)-1)))+1)+(8-INDEX('CASE MASTER'!$V$2:$V$495,(SUMPRODUCT((('CASE MASTER'!$T$2:$T$495=10)*('CASE MASTER'!$U$2:$U$495&lt;=5)*('CASE MASTER'!$W$2:$W$495&gt;=5)*('CASE MASTER'!$V$2:$V$495&lt;=8)*('CASE MASTER'!$X$2:$X$495&gt;=8))*ROW('CASE MASTER'!$T$2:$T$495))-(ROW('CASE MASTER'!#REF!)-1))))+1))-1)*50+1,50))&amp;"_"&amp;INDEX('CASE MASTER'!$Q$2:$Q$495,(SUMPRODUCT((('CASE MASTER'!$T$2:$T$495=10)*('CASE MASTER'!$U$2:$U$495&lt;=5)*('CASE MASTER'!$W$2:$W$495&gt;=5)*('CASE MASTER'!$V$2:$V$495&lt;=8)*('CASE MASTER'!$X$2:$X$495&gt;=8))*ROW('CASE MASTER'!$T$2:$T$495))-(ROW('CASE MASTER'!#REF!)-1))),IF(SUMPRODUCT((('CASE MASTER'!$T$2:$T$495=10)*('CASE MASTER'!$AA$2:$AA$495&lt;=5)*('CASE MASTER'!$AC$2:$AC$495&gt;=5)*('CASE MASTER'!$AB$2:$AB$495&lt;=8)*('CASE MASTER'!$AD$2:$AD$495&gt;=8))*ROW('CASE MASTER'!$T$2:$T$495))&gt;0,INDEX('CASE MASTER'!$Y$2:$Y$495,(SUMPRODUCT((('CASE MASTER'!$T$2:$T$495=10)*('CASE MASTER'!$AA$2:$AA$495&lt;=5)*('CASE MASTER'!$AC$2:$AC$495&gt;=5)*('CASE MASTER'!$AB$2:$AB$495&lt;=8)*('CASE MASTER'!$AD$2:$AD$495&gt;=8))*ROW('CASE MASTER'!$T$2:$T$495))-(ROW('CASE MASTER'!#REF!)-1)))&amp;TRIM(MID(SUBSTITUTE(SUBSTITUTE(INDEX('CASE MASTER'!$N$2:$N$495,(SUMPRODUCT((('CASE MASTER'!$T$2:$T$495=10)*('CASE MASTER'!$AA$2:$AA$495&lt;=5)*('CASE MASTER'!$AC$2:$AC$495&gt;=5)*('CASE MASTER'!$AB$2:$AB$495&lt;=8)*('CASE MASTER'!$AD$2:$AD$495&gt;=8))*ROW('CASE MASTER'!$T$2:$T$495))-(ROW('CASE MASTER'!#REF!)-1))),":",","),",",REPT(" ",50)),(((INDEX('CASE MASTER'!$Z$2:$Z$495,(SUMPRODUCT((('CASE MASTER'!$T$2:$T$495=10)*('CASE MASTER'!$AA$2:$AA$495&lt;=5)*('CASE MASTER'!$AC$2:$AC$495&gt;=5)*('CASE MASTER'!$AB$2:$AB$495&lt;=8)*('CASE MASTER'!$AD$2:$AD$495&gt;=8))*ROW('CASE MASTER'!$T$2:$T$495))-(ROW('CASE MASTER'!#REF!)-1)))+((5-INDEX('CASE MASTER'!$AA$2:$AA$495,(SUMPRODUCT((('CASE MASTER'!$T$2:$T$495=10)*('CASE MASTER'!$AA$2:$AA$495&lt;=5)*('CASE MASTER'!$AC$2:$AC$495&gt;=5)*('CASE MASTER'!$AB$2:$AB$495&lt;=8)*('CASE MASTER'!$AD$2:$AD$495&gt;=8))*ROW('CASE MASTER'!$T$2:$T$495))-(ROW('CASE MASTER'!#REF!)-1))))*(INDEX('CASE MASTER'!$AD$2:$AD$495,(SUMPRODUCT((('CASE MASTER'!$T$2:$T$495=10)*('CASE MASTER'!$AA$2:$AA$495&lt;=5)*('CASE MASTER'!$AC$2:$AC$495&gt;=5)*('CASE MASTER'!$AB$2:$AB$495&lt;=8)*('CASE MASTER'!$AD$2:$AD$495&gt;=8))*ROW('CASE MASTER'!$T$2:$T$495))-(ROW('CASE MASTER'!#REF!)-1)))-INDEX('CASE MASTER'!$AB$2:$AB$495,(SUMPRODUCT((('CASE MASTER'!$T$2:$T$495=10)*('CASE MASTER'!$AA$2:$AA$495&lt;=5)*('CASE MASTER'!$AC$2:$AC$495&gt;=5)*('CASE MASTER'!$AB$2:$AB$495&lt;=8)*('CASE MASTER'!$AD$2:$AD$495&gt;=8))*ROW('CASE MASTER'!$T$2:$T$495))-(ROW('CASE MASTER'!#REF!)-1)))+1)+(8-INDEX('CASE MASTER'!$AB$2:$AB$495,(SUMPRODUCT((('CASE MASTER'!$T$2:$T$495=10)*('CASE MASTER'!$AA$2:$AA$495&lt;=5)*('CASE MASTER'!$AC$2:$AC$495&gt;=5)*('CASE MASTER'!$AB$2:$AB$495&lt;=8)*('CASE MASTER'!$AD$2:$AD$495&gt;=8))*ROW('CASE MASTER'!$T$2:$T$495))-(ROW('CASE MASTER'!#REF!)-1))))+1)))-1)*50+1,50))&amp;"_"&amp;INDEX('CASE MASTER'!$Q$2:$Q$495,(SUMPRODUCT((('CASE MASTER'!$T$2:$T$495=10)*('CASE MASTER'!$AA$2:$AA$495&lt;=5)*('CASE MASTER'!$AC$2:$AC$495&gt;=5)*('CASE MASTER'!$AB$2:$AB$495&lt;=8)*('CASE MASTER'!$AD$2:$AD$495&gt;=8))*ROW('CASE MASTER'!$T$2:$T$495))-(ROW('CASE MASTER'!#REF!)-1))),"")),"")</f>
        <v/>
      </c>
      <c r="J133" s="10" t="str">
        <f>IFERROR(IF(SUMPRODUCT((('CASE MASTER'!$T$2:$T$495=10)*('CASE MASTER'!$U$2:$U$495&lt;=5)*('CASE MASTER'!$W$2:$W$495&gt;=5)*('CASE MASTER'!$V$2:$V$495&lt;=9)*('CASE MASTER'!$X$2:$X$495&gt;=9))*ROW('CASE MASTER'!$T$2:$T$495))&gt;0,INDEX('CASE MASTER'!$Y$2:$Y$495,(SUMPRODUCT((('CASE MASTER'!$T$2:$T$495=10)*('CASE MASTER'!$U$2:$U$495&lt;=5)*('CASE MASTER'!$W$2:$W$495&gt;=5)*('CASE MASTER'!$V$2:$V$495&lt;=9)*('CASE MASTER'!$X$2:$X$495&gt;=9))*ROW('CASE MASTER'!$T$2:$T$495))-(ROW('CASE MASTER'!#REF!)-1)))&amp;TRIM(MID(SUBSTITUTE(SUBSTITUTE(INDEX('CASE MASTER'!$N$2:$N$495,(SUMPRODUCT((('CASE MASTER'!$T$2:$T$495=10)*('CASE MASTER'!$U$2:$U$495&lt;=5)*('CASE MASTER'!$W$2:$W$495&gt;=5)*('CASE MASTER'!$V$2:$V$495&lt;=9)*('CASE MASTER'!$X$2:$X$495&gt;=9))*ROW('CASE MASTER'!$T$2:$T$495))-(ROW('CASE MASTER'!#REF!)-1))),":",","),",",REPT(" ",50)),((((5-INDEX('CASE MASTER'!$U$2:$U$495,(SUMPRODUCT((('CASE MASTER'!$T$2:$T$495=10)*('CASE MASTER'!$U$2:$U$495&lt;=5)*('CASE MASTER'!$W$2:$W$495&gt;=5)*('CASE MASTER'!$V$2:$V$495&lt;=9)*('CASE MASTER'!$X$2:$X$495&gt;=9))*ROW('CASE MASTER'!$T$2:$T$495))-(ROW('CASE MASTER'!#REF!)-1))))*(INDEX('CASE MASTER'!$X$2:$X$495,(SUMPRODUCT((('CASE MASTER'!$T$2:$T$495=10)*('CASE MASTER'!$U$2:$U$495&lt;=5)*('CASE MASTER'!$W$2:$W$495&gt;=5)*('CASE MASTER'!$V$2:$V$495&lt;=9)*('CASE MASTER'!$X$2:$X$495&gt;=9))*ROW('CASE MASTER'!$T$2:$T$495))-(ROW('CASE MASTER'!#REF!)-1)))-INDEX('CASE MASTER'!$V$2:$V$495,(SUMPRODUCT((('CASE MASTER'!$T$2:$T$495=10)*('CASE MASTER'!$U$2:$U$495&lt;=5)*('CASE MASTER'!$W$2:$W$495&gt;=5)*('CASE MASTER'!$V$2:$V$495&lt;=9)*('CASE MASTER'!$X$2:$X$495&gt;=9))*ROW('CASE MASTER'!$T$2:$T$495))-(ROW('CASE MASTER'!#REF!)-1)))+1)+(9-INDEX('CASE MASTER'!$V$2:$V$495,(SUMPRODUCT((('CASE MASTER'!$T$2:$T$495=10)*('CASE MASTER'!$U$2:$U$495&lt;=5)*('CASE MASTER'!$W$2:$W$495&gt;=5)*('CASE MASTER'!$V$2:$V$495&lt;=9)*('CASE MASTER'!$X$2:$X$495&gt;=9))*ROW('CASE MASTER'!$T$2:$T$495))-(ROW('CASE MASTER'!#REF!)-1))))+1))-1)*50+1,50))&amp;"_"&amp;INDEX('CASE MASTER'!$Q$2:$Q$495,(SUMPRODUCT((('CASE MASTER'!$T$2:$T$495=10)*('CASE MASTER'!$U$2:$U$495&lt;=5)*('CASE MASTER'!$W$2:$W$495&gt;=5)*('CASE MASTER'!$V$2:$V$495&lt;=9)*('CASE MASTER'!$X$2:$X$495&gt;=9))*ROW('CASE MASTER'!$T$2:$T$495))-(ROW('CASE MASTER'!#REF!)-1))),IF(SUMPRODUCT((('CASE MASTER'!$T$2:$T$495=10)*('CASE MASTER'!$AA$2:$AA$495&lt;=5)*('CASE MASTER'!$AC$2:$AC$495&gt;=5)*('CASE MASTER'!$AB$2:$AB$495&lt;=9)*('CASE MASTER'!$AD$2:$AD$495&gt;=9))*ROW('CASE MASTER'!$T$2:$T$495))&gt;0,INDEX('CASE MASTER'!$Y$2:$Y$495,(SUMPRODUCT((('CASE MASTER'!$T$2:$T$495=10)*('CASE MASTER'!$AA$2:$AA$495&lt;=5)*('CASE MASTER'!$AC$2:$AC$495&gt;=5)*('CASE MASTER'!$AB$2:$AB$495&lt;=9)*('CASE MASTER'!$AD$2:$AD$495&gt;=9))*ROW('CASE MASTER'!$T$2:$T$495))-(ROW('CASE MASTER'!#REF!)-1)))&amp;TRIM(MID(SUBSTITUTE(SUBSTITUTE(INDEX('CASE MASTER'!$N$2:$N$495,(SUMPRODUCT((('CASE MASTER'!$T$2:$T$495=10)*('CASE MASTER'!$AA$2:$AA$495&lt;=5)*('CASE MASTER'!$AC$2:$AC$495&gt;=5)*('CASE MASTER'!$AB$2:$AB$495&lt;=9)*('CASE MASTER'!$AD$2:$AD$495&gt;=9))*ROW('CASE MASTER'!$T$2:$T$495))-(ROW('CASE MASTER'!#REF!)-1))),":",","),",",REPT(" ",50)),(((INDEX('CASE MASTER'!$Z$2:$Z$495,(SUMPRODUCT((('CASE MASTER'!$T$2:$T$495=10)*('CASE MASTER'!$AA$2:$AA$495&lt;=5)*('CASE MASTER'!$AC$2:$AC$495&gt;=5)*('CASE MASTER'!$AB$2:$AB$495&lt;=9)*('CASE MASTER'!$AD$2:$AD$495&gt;=9))*ROW('CASE MASTER'!$T$2:$T$495))-(ROW('CASE MASTER'!#REF!)-1)))+((5-INDEX('CASE MASTER'!$AA$2:$AA$495,(SUMPRODUCT((('CASE MASTER'!$T$2:$T$495=10)*('CASE MASTER'!$AA$2:$AA$495&lt;=5)*('CASE MASTER'!$AC$2:$AC$495&gt;=5)*('CASE MASTER'!$AB$2:$AB$495&lt;=9)*('CASE MASTER'!$AD$2:$AD$495&gt;=9))*ROW('CASE MASTER'!$T$2:$T$495))-(ROW('CASE MASTER'!#REF!)-1))))*(INDEX('CASE MASTER'!$AD$2:$AD$495,(SUMPRODUCT((('CASE MASTER'!$T$2:$T$495=10)*('CASE MASTER'!$AA$2:$AA$495&lt;=5)*('CASE MASTER'!$AC$2:$AC$495&gt;=5)*('CASE MASTER'!$AB$2:$AB$495&lt;=9)*('CASE MASTER'!$AD$2:$AD$495&gt;=9))*ROW('CASE MASTER'!$T$2:$T$495))-(ROW('CASE MASTER'!#REF!)-1)))-INDEX('CASE MASTER'!$AB$2:$AB$495,(SUMPRODUCT((('CASE MASTER'!$T$2:$T$495=10)*('CASE MASTER'!$AA$2:$AA$495&lt;=5)*('CASE MASTER'!$AC$2:$AC$495&gt;=5)*('CASE MASTER'!$AB$2:$AB$495&lt;=9)*('CASE MASTER'!$AD$2:$AD$495&gt;=9))*ROW('CASE MASTER'!$T$2:$T$495))-(ROW('CASE MASTER'!#REF!)-1)))+1)+(9-INDEX('CASE MASTER'!$AB$2:$AB$495,(SUMPRODUCT((('CASE MASTER'!$T$2:$T$495=10)*('CASE MASTER'!$AA$2:$AA$495&lt;=5)*('CASE MASTER'!$AC$2:$AC$495&gt;=5)*('CASE MASTER'!$AB$2:$AB$495&lt;=9)*('CASE MASTER'!$AD$2:$AD$495&gt;=9))*ROW('CASE MASTER'!$T$2:$T$495))-(ROW('CASE MASTER'!#REF!)-1))))+1)))-1)*50+1,50))&amp;"_"&amp;INDEX('CASE MASTER'!$Q$2:$Q$495,(SUMPRODUCT((('CASE MASTER'!$T$2:$T$495=10)*('CASE MASTER'!$AA$2:$AA$495&lt;=5)*('CASE MASTER'!$AC$2:$AC$495&gt;=5)*('CASE MASTER'!$AB$2:$AB$495&lt;=9)*('CASE MASTER'!$AD$2:$AD$495&gt;=9))*ROW('CASE MASTER'!$T$2:$T$495))-(ROW('CASE MASTER'!#REF!)-1))),"")),"")</f>
        <v/>
      </c>
      <c r="K133" s="10" t="str">
        <f>IFERROR(IF(SUMPRODUCT((('CASE MASTER'!$T$2:$T$495=10)*('CASE MASTER'!$U$2:$U$495&lt;=5)*('CASE MASTER'!$W$2:$W$495&gt;=5)*('CASE MASTER'!$V$2:$V$495&lt;=10)*('CASE MASTER'!$X$2:$X$495&gt;=10))*ROW('CASE MASTER'!$T$2:$T$495))&gt;0,INDEX('CASE MASTER'!$Y$2:$Y$495,(SUMPRODUCT((('CASE MASTER'!$T$2:$T$495=10)*('CASE MASTER'!$U$2:$U$495&lt;=5)*('CASE MASTER'!$W$2:$W$495&gt;=5)*('CASE MASTER'!$V$2:$V$495&lt;=10)*('CASE MASTER'!$X$2:$X$495&gt;=10))*ROW('CASE MASTER'!$T$2:$T$495))-(ROW('CASE MASTER'!#REF!)-1)))&amp;TRIM(MID(SUBSTITUTE(SUBSTITUTE(INDEX('CASE MASTER'!$N$2:$N$495,(SUMPRODUCT((('CASE MASTER'!$T$2:$T$495=10)*('CASE MASTER'!$U$2:$U$495&lt;=5)*('CASE MASTER'!$W$2:$W$495&gt;=5)*('CASE MASTER'!$V$2:$V$495&lt;=10)*('CASE MASTER'!$X$2:$X$495&gt;=10))*ROW('CASE MASTER'!$T$2:$T$495))-(ROW('CASE MASTER'!#REF!)-1))),":",","),",",REPT(" ",50)),((((5-INDEX('CASE MASTER'!$U$2:$U$495,(SUMPRODUCT((('CASE MASTER'!$T$2:$T$495=10)*('CASE MASTER'!$U$2:$U$495&lt;=5)*('CASE MASTER'!$W$2:$W$495&gt;=5)*('CASE MASTER'!$V$2:$V$495&lt;=10)*('CASE MASTER'!$X$2:$X$495&gt;=10))*ROW('CASE MASTER'!$T$2:$T$495))-(ROW('CASE MASTER'!#REF!)-1))))*(INDEX('CASE MASTER'!$X$2:$X$495,(SUMPRODUCT((('CASE MASTER'!$T$2:$T$495=10)*('CASE MASTER'!$U$2:$U$495&lt;=5)*('CASE MASTER'!$W$2:$W$495&gt;=5)*('CASE MASTER'!$V$2:$V$495&lt;=10)*('CASE MASTER'!$X$2:$X$495&gt;=10))*ROW('CASE MASTER'!$T$2:$T$495))-(ROW('CASE MASTER'!#REF!)-1)))-INDEX('CASE MASTER'!$V$2:$V$495,(SUMPRODUCT((('CASE MASTER'!$T$2:$T$495=10)*('CASE MASTER'!$U$2:$U$495&lt;=5)*('CASE MASTER'!$W$2:$W$495&gt;=5)*('CASE MASTER'!$V$2:$V$495&lt;=10)*('CASE MASTER'!$X$2:$X$495&gt;=10))*ROW('CASE MASTER'!$T$2:$T$495))-(ROW('CASE MASTER'!#REF!)-1)))+1)+(10-INDEX('CASE MASTER'!$V$2:$V$495,(SUMPRODUCT((('CASE MASTER'!$T$2:$T$495=10)*('CASE MASTER'!$U$2:$U$495&lt;=5)*('CASE MASTER'!$W$2:$W$495&gt;=5)*('CASE MASTER'!$V$2:$V$495&lt;=10)*('CASE MASTER'!$X$2:$X$495&gt;=10))*ROW('CASE MASTER'!$T$2:$T$495))-(ROW('CASE MASTER'!#REF!)-1))))+1))-1)*50+1,50))&amp;"_"&amp;INDEX('CASE MASTER'!$Q$2:$Q$495,(SUMPRODUCT((('CASE MASTER'!$T$2:$T$495=10)*('CASE MASTER'!$U$2:$U$495&lt;=5)*('CASE MASTER'!$W$2:$W$495&gt;=5)*('CASE MASTER'!$V$2:$V$495&lt;=10)*('CASE MASTER'!$X$2:$X$495&gt;=10))*ROW('CASE MASTER'!$T$2:$T$495))-(ROW('CASE MASTER'!#REF!)-1))),IF(SUMPRODUCT((('CASE MASTER'!$T$2:$T$495=10)*('CASE MASTER'!$AA$2:$AA$495&lt;=5)*('CASE MASTER'!$AC$2:$AC$495&gt;=5)*('CASE MASTER'!$AB$2:$AB$495&lt;=10)*('CASE MASTER'!$AD$2:$AD$495&gt;=10))*ROW('CASE MASTER'!$T$2:$T$495))&gt;0,INDEX('CASE MASTER'!$Y$2:$Y$495,(SUMPRODUCT((('CASE MASTER'!$T$2:$T$495=10)*('CASE MASTER'!$AA$2:$AA$495&lt;=5)*('CASE MASTER'!$AC$2:$AC$495&gt;=5)*('CASE MASTER'!$AB$2:$AB$495&lt;=10)*('CASE MASTER'!$AD$2:$AD$495&gt;=10))*ROW('CASE MASTER'!$T$2:$T$495))-(ROW('CASE MASTER'!#REF!)-1)))&amp;TRIM(MID(SUBSTITUTE(SUBSTITUTE(INDEX('CASE MASTER'!$N$2:$N$495,(SUMPRODUCT((('CASE MASTER'!$T$2:$T$495=10)*('CASE MASTER'!$AA$2:$AA$495&lt;=5)*('CASE MASTER'!$AC$2:$AC$495&gt;=5)*('CASE MASTER'!$AB$2:$AB$495&lt;=10)*('CASE MASTER'!$AD$2:$AD$495&gt;=10))*ROW('CASE MASTER'!$T$2:$T$495))-(ROW('CASE MASTER'!#REF!)-1))),":",","),",",REPT(" ",50)),(((INDEX('CASE MASTER'!$Z$2:$Z$495,(SUMPRODUCT((('CASE MASTER'!$T$2:$T$495=10)*('CASE MASTER'!$AA$2:$AA$495&lt;=5)*('CASE MASTER'!$AC$2:$AC$495&gt;=5)*('CASE MASTER'!$AB$2:$AB$495&lt;=10)*('CASE MASTER'!$AD$2:$AD$495&gt;=10))*ROW('CASE MASTER'!$T$2:$T$495))-(ROW('CASE MASTER'!#REF!)-1)))+((5-INDEX('CASE MASTER'!$AA$2:$AA$495,(SUMPRODUCT((('CASE MASTER'!$T$2:$T$495=10)*('CASE MASTER'!$AA$2:$AA$495&lt;=5)*('CASE MASTER'!$AC$2:$AC$495&gt;=5)*('CASE MASTER'!$AB$2:$AB$495&lt;=10)*('CASE MASTER'!$AD$2:$AD$495&gt;=10))*ROW('CASE MASTER'!$T$2:$T$495))-(ROW('CASE MASTER'!#REF!)-1))))*(INDEX('CASE MASTER'!$AD$2:$AD$495,(SUMPRODUCT((('CASE MASTER'!$T$2:$T$495=10)*('CASE MASTER'!$AA$2:$AA$495&lt;=5)*('CASE MASTER'!$AC$2:$AC$495&gt;=5)*('CASE MASTER'!$AB$2:$AB$495&lt;=10)*('CASE MASTER'!$AD$2:$AD$495&gt;=10))*ROW('CASE MASTER'!$T$2:$T$495))-(ROW('CASE MASTER'!#REF!)-1)))-INDEX('CASE MASTER'!$AB$2:$AB$495,(SUMPRODUCT((('CASE MASTER'!$T$2:$T$495=10)*('CASE MASTER'!$AA$2:$AA$495&lt;=5)*('CASE MASTER'!$AC$2:$AC$495&gt;=5)*('CASE MASTER'!$AB$2:$AB$495&lt;=10)*('CASE MASTER'!$AD$2:$AD$495&gt;=10))*ROW('CASE MASTER'!$T$2:$T$495))-(ROW('CASE MASTER'!#REF!)-1)))+1)+(10-INDEX('CASE MASTER'!$AB$2:$AB$495,(SUMPRODUCT((('CASE MASTER'!$T$2:$T$495=10)*('CASE MASTER'!$AA$2:$AA$495&lt;=5)*('CASE MASTER'!$AC$2:$AC$495&gt;=5)*('CASE MASTER'!$AB$2:$AB$495&lt;=10)*('CASE MASTER'!$AD$2:$AD$495&gt;=10))*ROW('CASE MASTER'!$T$2:$T$495))-(ROW('CASE MASTER'!#REF!)-1))))+1)))-1)*50+1,50))&amp;"_"&amp;INDEX('CASE MASTER'!$Q$2:$Q$495,(SUMPRODUCT((('CASE MASTER'!$T$2:$T$495=10)*('CASE MASTER'!$AA$2:$AA$495&lt;=5)*('CASE MASTER'!$AC$2:$AC$495&gt;=5)*('CASE MASTER'!$AB$2:$AB$495&lt;=10)*('CASE MASTER'!$AD$2:$AD$495&gt;=10))*ROW('CASE MASTER'!$T$2:$T$495))-(ROW('CASE MASTER'!#REF!)-1))),"")),"")</f>
        <v/>
      </c>
    </row>
    <row r="134" spans="1:11" ht="15" customHeight="1" x14ac:dyDescent="0.35">
      <c r="A134" s="8" t="s">
        <v>33</v>
      </c>
      <c r="B134" s="10" t="str">
        <f>IFERROR(IF(SUMPRODUCT((('CASE MASTER'!$T$2:$T$495=10)*('CASE MASTER'!$U$2:$U$495&lt;=6)*('CASE MASTER'!$W$2:$W$495&gt;=6)*('CASE MASTER'!$V$2:$V$495&lt;=1)*('CASE MASTER'!$X$2:$X$495&gt;=1))*ROW('CASE MASTER'!$T$2:$T$495))&gt;0,INDEX('CASE MASTER'!$Y$2:$Y$495,(SUMPRODUCT((('CASE MASTER'!$T$2:$T$495=10)*('CASE MASTER'!$U$2:$U$495&lt;=6)*('CASE MASTER'!$W$2:$W$495&gt;=6)*('CASE MASTER'!$V$2:$V$495&lt;=1)*('CASE MASTER'!$X$2:$X$495&gt;=1))*ROW('CASE MASTER'!$T$2:$T$495))-(ROW('CASE MASTER'!#REF!)-1)))&amp;TRIM(MID(SUBSTITUTE(SUBSTITUTE(INDEX('CASE MASTER'!$N$2:$N$495,(SUMPRODUCT((('CASE MASTER'!$T$2:$T$495=10)*('CASE MASTER'!$U$2:$U$495&lt;=6)*('CASE MASTER'!$W$2:$W$495&gt;=6)*('CASE MASTER'!$V$2:$V$495&lt;=1)*('CASE MASTER'!$X$2:$X$495&gt;=1))*ROW('CASE MASTER'!$T$2:$T$495))-(ROW('CASE MASTER'!#REF!)-1))),":",","),",",REPT(" ",50)),((((6-INDEX('CASE MASTER'!$U$2:$U$495,(SUMPRODUCT((('CASE MASTER'!$T$2:$T$495=10)*('CASE MASTER'!$U$2:$U$495&lt;=6)*('CASE MASTER'!$W$2:$W$495&gt;=6)*('CASE MASTER'!$V$2:$V$495&lt;=1)*('CASE MASTER'!$X$2:$X$495&gt;=1))*ROW('CASE MASTER'!$T$2:$T$495))-(ROW('CASE MASTER'!#REF!)-1))))*(INDEX('CASE MASTER'!$X$2:$X$495,(SUMPRODUCT((('CASE MASTER'!$T$2:$T$495=10)*('CASE MASTER'!$U$2:$U$495&lt;=6)*('CASE MASTER'!$W$2:$W$495&gt;=6)*('CASE MASTER'!$V$2:$V$495&lt;=1)*('CASE MASTER'!$X$2:$X$495&gt;=1))*ROW('CASE MASTER'!$T$2:$T$495))-(ROW('CASE MASTER'!#REF!)-1)))-INDEX('CASE MASTER'!$V$2:$V$495,(SUMPRODUCT((('CASE MASTER'!$T$2:$T$495=10)*('CASE MASTER'!$U$2:$U$495&lt;=6)*('CASE MASTER'!$W$2:$W$495&gt;=6)*('CASE MASTER'!$V$2:$V$495&lt;=1)*('CASE MASTER'!$X$2:$X$495&gt;=1))*ROW('CASE MASTER'!$T$2:$T$495))-(ROW('CASE MASTER'!#REF!)-1)))+1)+(1-INDEX('CASE MASTER'!$V$2:$V$495,(SUMPRODUCT((('CASE MASTER'!$T$2:$T$495=10)*('CASE MASTER'!$U$2:$U$495&lt;=6)*('CASE MASTER'!$W$2:$W$495&gt;=6)*('CASE MASTER'!$V$2:$V$495&lt;=1)*('CASE MASTER'!$X$2:$X$495&gt;=1))*ROW('CASE MASTER'!$T$2:$T$495))-(ROW('CASE MASTER'!#REF!)-1))))+1))-1)*50+1,50))&amp;"_"&amp;INDEX('CASE MASTER'!$Q$2:$Q$495,(SUMPRODUCT((('CASE MASTER'!$T$2:$T$495=10)*('CASE MASTER'!$U$2:$U$495&lt;=6)*('CASE MASTER'!$W$2:$W$495&gt;=6)*('CASE MASTER'!$V$2:$V$495&lt;=1)*('CASE MASTER'!$X$2:$X$495&gt;=1))*ROW('CASE MASTER'!$T$2:$T$495))-(ROW('CASE MASTER'!#REF!)-1))),IF(SUMPRODUCT((('CASE MASTER'!$T$2:$T$495=10)*('CASE MASTER'!$AA$2:$AA$495&lt;=6)*('CASE MASTER'!$AC$2:$AC$495&gt;=6)*('CASE MASTER'!$AB$2:$AB$495&lt;=1)*('CASE MASTER'!$AD$2:$AD$495&gt;=1))*ROW('CASE MASTER'!$T$2:$T$495))&gt;0,INDEX('CASE MASTER'!$Y$2:$Y$495,(SUMPRODUCT((('CASE MASTER'!$T$2:$T$495=10)*('CASE MASTER'!$AA$2:$AA$495&lt;=6)*('CASE MASTER'!$AC$2:$AC$495&gt;=6)*('CASE MASTER'!$AB$2:$AB$495&lt;=1)*('CASE MASTER'!$AD$2:$AD$495&gt;=1))*ROW('CASE MASTER'!$T$2:$T$495))-(ROW('CASE MASTER'!#REF!)-1)))&amp;TRIM(MID(SUBSTITUTE(SUBSTITUTE(INDEX('CASE MASTER'!$N$2:$N$495,(SUMPRODUCT((('CASE MASTER'!$T$2:$T$495=10)*('CASE MASTER'!$AA$2:$AA$495&lt;=6)*('CASE MASTER'!$AC$2:$AC$495&gt;=6)*('CASE MASTER'!$AB$2:$AB$495&lt;=1)*('CASE MASTER'!$AD$2:$AD$495&gt;=1))*ROW('CASE MASTER'!$T$2:$T$495))-(ROW('CASE MASTER'!#REF!)-1))),":",","),",",REPT(" ",50)),(((INDEX('CASE MASTER'!$Z$2:$Z$495,(SUMPRODUCT((('CASE MASTER'!$T$2:$T$495=10)*('CASE MASTER'!$AA$2:$AA$495&lt;=6)*('CASE MASTER'!$AC$2:$AC$495&gt;=6)*('CASE MASTER'!$AB$2:$AB$495&lt;=1)*('CASE MASTER'!$AD$2:$AD$495&gt;=1))*ROW('CASE MASTER'!$T$2:$T$495))-(ROW('CASE MASTER'!#REF!)-1)))+((6-INDEX('CASE MASTER'!$AA$2:$AA$495,(SUMPRODUCT((('CASE MASTER'!$T$2:$T$495=10)*('CASE MASTER'!$AA$2:$AA$495&lt;=6)*('CASE MASTER'!$AC$2:$AC$495&gt;=6)*('CASE MASTER'!$AB$2:$AB$495&lt;=1)*('CASE MASTER'!$AD$2:$AD$495&gt;=1))*ROW('CASE MASTER'!$T$2:$T$495))-(ROW('CASE MASTER'!#REF!)-1))))*(INDEX('CASE MASTER'!$AD$2:$AD$495,(SUMPRODUCT((('CASE MASTER'!$T$2:$T$495=10)*('CASE MASTER'!$AA$2:$AA$495&lt;=6)*('CASE MASTER'!$AC$2:$AC$495&gt;=6)*('CASE MASTER'!$AB$2:$AB$495&lt;=1)*('CASE MASTER'!$AD$2:$AD$495&gt;=1))*ROW('CASE MASTER'!$T$2:$T$495))-(ROW('CASE MASTER'!#REF!)-1)))-INDEX('CASE MASTER'!$AB$2:$AB$495,(SUMPRODUCT((('CASE MASTER'!$T$2:$T$495=10)*('CASE MASTER'!$AA$2:$AA$495&lt;=6)*('CASE MASTER'!$AC$2:$AC$495&gt;=6)*('CASE MASTER'!$AB$2:$AB$495&lt;=1)*('CASE MASTER'!$AD$2:$AD$495&gt;=1))*ROW('CASE MASTER'!$T$2:$T$495))-(ROW('CASE MASTER'!#REF!)-1)))+1)+(1-INDEX('CASE MASTER'!$AB$2:$AB$495,(SUMPRODUCT((('CASE MASTER'!$T$2:$T$495=10)*('CASE MASTER'!$AA$2:$AA$495&lt;=6)*('CASE MASTER'!$AC$2:$AC$495&gt;=6)*('CASE MASTER'!$AB$2:$AB$495&lt;=1)*('CASE MASTER'!$AD$2:$AD$495&gt;=1))*ROW('CASE MASTER'!$T$2:$T$495))-(ROW('CASE MASTER'!#REF!)-1))))+1)))-1)*50+1,50))&amp;"_"&amp;INDEX('CASE MASTER'!$Q$2:$Q$495,(SUMPRODUCT((('CASE MASTER'!$T$2:$T$495=10)*('CASE MASTER'!$AA$2:$AA$495&lt;=6)*('CASE MASTER'!$AC$2:$AC$495&gt;=6)*('CASE MASTER'!$AB$2:$AB$495&lt;=1)*('CASE MASTER'!$AD$2:$AD$495&gt;=1))*ROW('CASE MASTER'!$T$2:$T$495))-(ROW('CASE MASTER'!#REF!)-1))),"")),"")</f>
        <v/>
      </c>
      <c r="C134" s="10" t="str">
        <f>IFERROR(IF(SUMPRODUCT((('CASE MASTER'!$T$2:$T$495=10)*('CASE MASTER'!$U$2:$U$495&lt;=6)*('CASE MASTER'!$W$2:$W$495&gt;=6)*('CASE MASTER'!$V$2:$V$495&lt;=2)*('CASE MASTER'!$X$2:$X$495&gt;=2))*ROW('CASE MASTER'!$T$2:$T$495))&gt;0,INDEX('CASE MASTER'!$Y$2:$Y$495,(SUMPRODUCT((('CASE MASTER'!$T$2:$T$495=10)*('CASE MASTER'!$U$2:$U$495&lt;=6)*('CASE MASTER'!$W$2:$W$495&gt;=6)*('CASE MASTER'!$V$2:$V$495&lt;=2)*('CASE MASTER'!$X$2:$X$495&gt;=2))*ROW('CASE MASTER'!$T$2:$T$495))-(ROW('CASE MASTER'!#REF!)-1)))&amp;TRIM(MID(SUBSTITUTE(SUBSTITUTE(INDEX('CASE MASTER'!$N$2:$N$495,(SUMPRODUCT((('CASE MASTER'!$T$2:$T$495=10)*('CASE MASTER'!$U$2:$U$495&lt;=6)*('CASE MASTER'!$W$2:$W$495&gt;=6)*('CASE MASTER'!$V$2:$V$495&lt;=2)*('CASE MASTER'!$X$2:$X$495&gt;=2))*ROW('CASE MASTER'!$T$2:$T$495))-(ROW('CASE MASTER'!#REF!)-1))),":",","),",",REPT(" ",50)),((((6-INDEX('CASE MASTER'!$U$2:$U$495,(SUMPRODUCT((('CASE MASTER'!$T$2:$T$495=10)*('CASE MASTER'!$U$2:$U$495&lt;=6)*('CASE MASTER'!$W$2:$W$495&gt;=6)*('CASE MASTER'!$V$2:$V$495&lt;=2)*('CASE MASTER'!$X$2:$X$495&gt;=2))*ROW('CASE MASTER'!$T$2:$T$495))-(ROW('CASE MASTER'!#REF!)-1))))*(INDEX('CASE MASTER'!$X$2:$X$495,(SUMPRODUCT((('CASE MASTER'!$T$2:$T$495=10)*('CASE MASTER'!$U$2:$U$495&lt;=6)*('CASE MASTER'!$W$2:$W$495&gt;=6)*('CASE MASTER'!$V$2:$V$495&lt;=2)*('CASE MASTER'!$X$2:$X$495&gt;=2))*ROW('CASE MASTER'!$T$2:$T$495))-(ROW('CASE MASTER'!#REF!)-1)))-INDEX('CASE MASTER'!$V$2:$V$495,(SUMPRODUCT((('CASE MASTER'!$T$2:$T$495=10)*('CASE MASTER'!$U$2:$U$495&lt;=6)*('CASE MASTER'!$W$2:$W$495&gt;=6)*('CASE MASTER'!$V$2:$V$495&lt;=2)*('CASE MASTER'!$X$2:$X$495&gt;=2))*ROW('CASE MASTER'!$T$2:$T$495))-(ROW('CASE MASTER'!#REF!)-1)))+1)+(2-INDEX('CASE MASTER'!$V$2:$V$495,(SUMPRODUCT((('CASE MASTER'!$T$2:$T$495=10)*('CASE MASTER'!$U$2:$U$495&lt;=6)*('CASE MASTER'!$W$2:$W$495&gt;=6)*('CASE MASTER'!$V$2:$V$495&lt;=2)*('CASE MASTER'!$X$2:$X$495&gt;=2))*ROW('CASE MASTER'!$T$2:$T$495))-(ROW('CASE MASTER'!#REF!)-1))))+1))-1)*50+1,50))&amp;"_"&amp;INDEX('CASE MASTER'!$Q$2:$Q$495,(SUMPRODUCT((('CASE MASTER'!$T$2:$T$495=10)*('CASE MASTER'!$U$2:$U$495&lt;=6)*('CASE MASTER'!$W$2:$W$495&gt;=6)*('CASE MASTER'!$V$2:$V$495&lt;=2)*('CASE MASTER'!$X$2:$X$495&gt;=2))*ROW('CASE MASTER'!$T$2:$T$495))-(ROW('CASE MASTER'!#REF!)-1))),IF(SUMPRODUCT((('CASE MASTER'!$T$2:$T$495=10)*('CASE MASTER'!$AA$2:$AA$495&lt;=6)*('CASE MASTER'!$AC$2:$AC$495&gt;=6)*('CASE MASTER'!$AB$2:$AB$495&lt;=2)*('CASE MASTER'!$AD$2:$AD$495&gt;=2))*ROW('CASE MASTER'!$T$2:$T$495))&gt;0,INDEX('CASE MASTER'!$Y$2:$Y$495,(SUMPRODUCT((('CASE MASTER'!$T$2:$T$495=10)*('CASE MASTER'!$AA$2:$AA$495&lt;=6)*('CASE MASTER'!$AC$2:$AC$495&gt;=6)*('CASE MASTER'!$AB$2:$AB$495&lt;=2)*('CASE MASTER'!$AD$2:$AD$495&gt;=2))*ROW('CASE MASTER'!$T$2:$T$495))-(ROW('CASE MASTER'!#REF!)-1)))&amp;TRIM(MID(SUBSTITUTE(SUBSTITUTE(INDEX('CASE MASTER'!$N$2:$N$495,(SUMPRODUCT((('CASE MASTER'!$T$2:$T$495=10)*('CASE MASTER'!$AA$2:$AA$495&lt;=6)*('CASE MASTER'!$AC$2:$AC$495&gt;=6)*('CASE MASTER'!$AB$2:$AB$495&lt;=2)*('CASE MASTER'!$AD$2:$AD$495&gt;=2))*ROW('CASE MASTER'!$T$2:$T$495))-(ROW('CASE MASTER'!#REF!)-1))),":",","),",",REPT(" ",50)),(((INDEX('CASE MASTER'!$Z$2:$Z$495,(SUMPRODUCT((('CASE MASTER'!$T$2:$T$495=10)*('CASE MASTER'!$AA$2:$AA$495&lt;=6)*('CASE MASTER'!$AC$2:$AC$495&gt;=6)*('CASE MASTER'!$AB$2:$AB$495&lt;=2)*('CASE MASTER'!$AD$2:$AD$495&gt;=2))*ROW('CASE MASTER'!$T$2:$T$495))-(ROW('CASE MASTER'!#REF!)-1)))+((6-INDEX('CASE MASTER'!$AA$2:$AA$495,(SUMPRODUCT((('CASE MASTER'!$T$2:$T$495=10)*('CASE MASTER'!$AA$2:$AA$495&lt;=6)*('CASE MASTER'!$AC$2:$AC$495&gt;=6)*('CASE MASTER'!$AB$2:$AB$495&lt;=2)*('CASE MASTER'!$AD$2:$AD$495&gt;=2))*ROW('CASE MASTER'!$T$2:$T$495))-(ROW('CASE MASTER'!#REF!)-1))))*(INDEX('CASE MASTER'!$AD$2:$AD$495,(SUMPRODUCT((('CASE MASTER'!$T$2:$T$495=10)*('CASE MASTER'!$AA$2:$AA$495&lt;=6)*('CASE MASTER'!$AC$2:$AC$495&gt;=6)*('CASE MASTER'!$AB$2:$AB$495&lt;=2)*('CASE MASTER'!$AD$2:$AD$495&gt;=2))*ROW('CASE MASTER'!$T$2:$T$495))-(ROW('CASE MASTER'!#REF!)-1)))-INDEX('CASE MASTER'!$AB$2:$AB$495,(SUMPRODUCT((('CASE MASTER'!$T$2:$T$495=10)*('CASE MASTER'!$AA$2:$AA$495&lt;=6)*('CASE MASTER'!$AC$2:$AC$495&gt;=6)*('CASE MASTER'!$AB$2:$AB$495&lt;=2)*('CASE MASTER'!$AD$2:$AD$495&gt;=2))*ROW('CASE MASTER'!$T$2:$T$495))-(ROW('CASE MASTER'!#REF!)-1)))+1)+(2-INDEX('CASE MASTER'!$AB$2:$AB$495,(SUMPRODUCT((('CASE MASTER'!$T$2:$T$495=10)*('CASE MASTER'!$AA$2:$AA$495&lt;=6)*('CASE MASTER'!$AC$2:$AC$495&gt;=6)*('CASE MASTER'!$AB$2:$AB$495&lt;=2)*('CASE MASTER'!$AD$2:$AD$495&gt;=2))*ROW('CASE MASTER'!$T$2:$T$495))-(ROW('CASE MASTER'!#REF!)-1))))+1)))-1)*50+1,50))&amp;"_"&amp;INDEX('CASE MASTER'!$Q$2:$Q$495,(SUMPRODUCT((('CASE MASTER'!$T$2:$T$495=10)*('CASE MASTER'!$AA$2:$AA$495&lt;=6)*('CASE MASTER'!$AC$2:$AC$495&gt;=6)*('CASE MASTER'!$AB$2:$AB$495&lt;=2)*('CASE MASTER'!$AD$2:$AD$495&gt;=2))*ROW('CASE MASTER'!$T$2:$T$495))-(ROW('CASE MASTER'!#REF!)-1))),"")),"")</f>
        <v/>
      </c>
      <c r="D134" s="10" t="str">
        <f>IFERROR(IF(SUMPRODUCT((('CASE MASTER'!$T$2:$T$495=10)*('CASE MASTER'!$U$2:$U$495&lt;=6)*('CASE MASTER'!$W$2:$W$495&gt;=6)*('CASE MASTER'!$V$2:$V$495&lt;=3)*('CASE MASTER'!$X$2:$X$495&gt;=3))*ROW('CASE MASTER'!$T$2:$T$495))&gt;0,INDEX('CASE MASTER'!$Y$2:$Y$495,(SUMPRODUCT((('CASE MASTER'!$T$2:$T$495=10)*('CASE MASTER'!$U$2:$U$495&lt;=6)*('CASE MASTER'!$W$2:$W$495&gt;=6)*('CASE MASTER'!$V$2:$V$495&lt;=3)*('CASE MASTER'!$X$2:$X$495&gt;=3))*ROW('CASE MASTER'!$T$2:$T$495))-(ROW('CASE MASTER'!#REF!)-1)))&amp;TRIM(MID(SUBSTITUTE(SUBSTITUTE(INDEX('CASE MASTER'!$N$2:$N$495,(SUMPRODUCT((('CASE MASTER'!$T$2:$T$495=10)*('CASE MASTER'!$U$2:$U$495&lt;=6)*('CASE MASTER'!$W$2:$W$495&gt;=6)*('CASE MASTER'!$V$2:$V$495&lt;=3)*('CASE MASTER'!$X$2:$X$495&gt;=3))*ROW('CASE MASTER'!$T$2:$T$495))-(ROW('CASE MASTER'!#REF!)-1))),":",","),",",REPT(" ",50)),((((6-INDEX('CASE MASTER'!$U$2:$U$495,(SUMPRODUCT((('CASE MASTER'!$T$2:$T$495=10)*('CASE MASTER'!$U$2:$U$495&lt;=6)*('CASE MASTER'!$W$2:$W$495&gt;=6)*('CASE MASTER'!$V$2:$V$495&lt;=3)*('CASE MASTER'!$X$2:$X$495&gt;=3))*ROW('CASE MASTER'!$T$2:$T$495))-(ROW('CASE MASTER'!#REF!)-1))))*(INDEX('CASE MASTER'!$X$2:$X$495,(SUMPRODUCT((('CASE MASTER'!$T$2:$T$495=10)*('CASE MASTER'!$U$2:$U$495&lt;=6)*('CASE MASTER'!$W$2:$W$495&gt;=6)*('CASE MASTER'!$V$2:$V$495&lt;=3)*('CASE MASTER'!$X$2:$X$495&gt;=3))*ROW('CASE MASTER'!$T$2:$T$495))-(ROW('CASE MASTER'!#REF!)-1)))-INDEX('CASE MASTER'!$V$2:$V$495,(SUMPRODUCT((('CASE MASTER'!$T$2:$T$495=10)*('CASE MASTER'!$U$2:$U$495&lt;=6)*('CASE MASTER'!$W$2:$W$495&gt;=6)*('CASE MASTER'!$V$2:$V$495&lt;=3)*('CASE MASTER'!$X$2:$X$495&gt;=3))*ROW('CASE MASTER'!$T$2:$T$495))-(ROW('CASE MASTER'!#REF!)-1)))+1)+(3-INDEX('CASE MASTER'!$V$2:$V$495,(SUMPRODUCT((('CASE MASTER'!$T$2:$T$495=10)*('CASE MASTER'!$U$2:$U$495&lt;=6)*('CASE MASTER'!$W$2:$W$495&gt;=6)*('CASE MASTER'!$V$2:$V$495&lt;=3)*('CASE MASTER'!$X$2:$X$495&gt;=3))*ROW('CASE MASTER'!$T$2:$T$495))-(ROW('CASE MASTER'!#REF!)-1))))+1))-1)*50+1,50))&amp;"_"&amp;INDEX('CASE MASTER'!$Q$2:$Q$495,(SUMPRODUCT((('CASE MASTER'!$T$2:$T$495=10)*('CASE MASTER'!$U$2:$U$495&lt;=6)*('CASE MASTER'!$W$2:$W$495&gt;=6)*('CASE MASTER'!$V$2:$V$495&lt;=3)*('CASE MASTER'!$X$2:$X$495&gt;=3))*ROW('CASE MASTER'!$T$2:$T$495))-(ROW('CASE MASTER'!#REF!)-1))),IF(SUMPRODUCT((('CASE MASTER'!$T$2:$T$495=10)*('CASE MASTER'!$AA$2:$AA$495&lt;=6)*('CASE MASTER'!$AC$2:$AC$495&gt;=6)*('CASE MASTER'!$AB$2:$AB$495&lt;=3)*('CASE MASTER'!$AD$2:$AD$495&gt;=3))*ROW('CASE MASTER'!$T$2:$T$495))&gt;0,INDEX('CASE MASTER'!$Y$2:$Y$495,(SUMPRODUCT((('CASE MASTER'!$T$2:$T$495=10)*('CASE MASTER'!$AA$2:$AA$495&lt;=6)*('CASE MASTER'!$AC$2:$AC$495&gt;=6)*('CASE MASTER'!$AB$2:$AB$495&lt;=3)*('CASE MASTER'!$AD$2:$AD$495&gt;=3))*ROW('CASE MASTER'!$T$2:$T$495))-(ROW('CASE MASTER'!#REF!)-1)))&amp;TRIM(MID(SUBSTITUTE(SUBSTITUTE(INDEX('CASE MASTER'!$N$2:$N$495,(SUMPRODUCT((('CASE MASTER'!$T$2:$T$495=10)*('CASE MASTER'!$AA$2:$AA$495&lt;=6)*('CASE MASTER'!$AC$2:$AC$495&gt;=6)*('CASE MASTER'!$AB$2:$AB$495&lt;=3)*('CASE MASTER'!$AD$2:$AD$495&gt;=3))*ROW('CASE MASTER'!$T$2:$T$495))-(ROW('CASE MASTER'!#REF!)-1))),":",","),",",REPT(" ",50)),(((INDEX('CASE MASTER'!$Z$2:$Z$495,(SUMPRODUCT((('CASE MASTER'!$T$2:$T$495=10)*('CASE MASTER'!$AA$2:$AA$495&lt;=6)*('CASE MASTER'!$AC$2:$AC$495&gt;=6)*('CASE MASTER'!$AB$2:$AB$495&lt;=3)*('CASE MASTER'!$AD$2:$AD$495&gt;=3))*ROW('CASE MASTER'!$T$2:$T$495))-(ROW('CASE MASTER'!#REF!)-1)))+((6-INDEX('CASE MASTER'!$AA$2:$AA$495,(SUMPRODUCT((('CASE MASTER'!$T$2:$T$495=10)*('CASE MASTER'!$AA$2:$AA$495&lt;=6)*('CASE MASTER'!$AC$2:$AC$495&gt;=6)*('CASE MASTER'!$AB$2:$AB$495&lt;=3)*('CASE MASTER'!$AD$2:$AD$495&gt;=3))*ROW('CASE MASTER'!$T$2:$T$495))-(ROW('CASE MASTER'!#REF!)-1))))*(INDEX('CASE MASTER'!$AD$2:$AD$495,(SUMPRODUCT((('CASE MASTER'!$T$2:$T$495=10)*('CASE MASTER'!$AA$2:$AA$495&lt;=6)*('CASE MASTER'!$AC$2:$AC$495&gt;=6)*('CASE MASTER'!$AB$2:$AB$495&lt;=3)*('CASE MASTER'!$AD$2:$AD$495&gt;=3))*ROW('CASE MASTER'!$T$2:$T$495))-(ROW('CASE MASTER'!#REF!)-1)))-INDEX('CASE MASTER'!$AB$2:$AB$495,(SUMPRODUCT((('CASE MASTER'!$T$2:$T$495=10)*('CASE MASTER'!$AA$2:$AA$495&lt;=6)*('CASE MASTER'!$AC$2:$AC$495&gt;=6)*('CASE MASTER'!$AB$2:$AB$495&lt;=3)*('CASE MASTER'!$AD$2:$AD$495&gt;=3))*ROW('CASE MASTER'!$T$2:$T$495))-(ROW('CASE MASTER'!#REF!)-1)))+1)+(3-INDEX('CASE MASTER'!$AB$2:$AB$495,(SUMPRODUCT((('CASE MASTER'!$T$2:$T$495=10)*('CASE MASTER'!$AA$2:$AA$495&lt;=6)*('CASE MASTER'!$AC$2:$AC$495&gt;=6)*('CASE MASTER'!$AB$2:$AB$495&lt;=3)*('CASE MASTER'!$AD$2:$AD$495&gt;=3))*ROW('CASE MASTER'!$T$2:$T$495))-(ROW('CASE MASTER'!#REF!)-1))))+1)))-1)*50+1,50))&amp;"_"&amp;INDEX('CASE MASTER'!$Q$2:$Q$495,(SUMPRODUCT((('CASE MASTER'!$T$2:$T$495=10)*('CASE MASTER'!$AA$2:$AA$495&lt;=6)*('CASE MASTER'!$AC$2:$AC$495&gt;=6)*('CASE MASTER'!$AB$2:$AB$495&lt;=3)*('CASE MASTER'!$AD$2:$AD$495&gt;=3))*ROW('CASE MASTER'!$T$2:$T$495))-(ROW('CASE MASTER'!#REF!)-1))),"")),"")</f>
        <v/>
      </c>
      <c r="E134" s="10" t="str">
        <f>IFERROR(IF(SUMPRODUCT((('CASE MASTER'!$T$2:$T$495=10)*('CASE MASTER'!$U$2:$U$495&lt;=6)*('CASE MASTER'!$W$2:$W$495&gt;=6)*('CASE MASTER'!$V$2:$V$495&lt;=4)*('CASE MASTER'!$X$2:$X$495&gt;=4))*ROW('CASE MASTER'!$T$2:$T$495))&gt;0,INDEX('CASE MASTER'!$Y$2:$Y$495,(SUMPRODUCT((('CASE MASTER'!$T$2:$T$495=10)*('CASE MASTER'!$U$2:$U$495&lt;=6)*('CASE MASTER'!$W$2:$W$495&gt;=6)*('CASE MASTER'!$V$2:$V$495&lt;=4)*('CASE MASTER'!$X$2:$X$495&gt;=4))*ROW('CASE MASTER'!$T$2:$T$495))-(ROW('CASE MASTER'!#REF!)-1)))&amp;TRIM(MID(SUBSTITUTE(SUBSTITUTE(INDEX('CASE MASTER'!$N$2:$N$495,(SUMPRODUCT((('CASE MASTER'!$T$2:$T$495=10)*('CASE MASTER'!$U$2:$U$495&lt;=6)*('CASE MASTER'!$W$2:$W$495&gt;=6)*('CASE MASTER'!$V$2:$V$495&lt;=4)*('CASE MASTER'!$X$2:$X$495&gt;=4))*ROW('CASE MASTER'!$T$2:$T$495))-(ROW('CASE MASTER'!#REF!)-1))),":",","),",",REPT(" ",50)),((((6-INDEX('CASE MASTER'!$U$2:$U$495,(SUMPRODUCT((('CASE MASTER'!$T$2:$T$495=10)*('CASE MASTER'!$U$2:$U$495&lt;=6)*('CASE MASTER'!$W$2:$W$495&gt;=6)*('CASE MASTER'!$V$2:$V$495&lt;=4)*('CASE MASTER'!$X$2:$X$495&gt;=4))*ROW('CASE MASTER'!$T$2:$T$495))-(ROW('CASE MASTER'!#REF!)-1))))*(INDEX('CASE MASTER'!$X$2:$X$495,(SUMPRODUCT((('CASE MASTER'!$T$2:$T$495=10)*('CASE MASTER'!$U$2:$U$495&lt;=6)*('CASE MASTER'!$W$2:$W$495&gt;=6)*('CASE MASTER'!$V$2:$V$495&lt;=4)*('CASE MASTER'!$X$2:$X$495&gt;=4))*ROW('CASE MASTER'!$T$2:$T$495))-(ROW('CASE MASTER'!#REF!)-1)))-INDEX('CASE MASTER'!$V$2:$V$495,(SUMPRODUCT((('CASE MASTER'!$T$2:$T$495=10)*('CASE MASTER'!$U$2:$U$495&lt;=6)*('CASE MASTER'!$W$2:$W$495&gt;=6)*('CASE MASTER'!$V$2:$V$495&lt;=4)*('CASE MASTER'!$X$2:$X$495&gt;=4))*ROW('CASE MASTER'!$T$2:$T$495))-(ROW('CASE MASTER'!#REF!)-1)))+1)+(4-INDEX('CASE MASTER'!$V$2:$V$495,(SUMPRODUCT((('CASE MASTER'!$T$2:$T$495=10)*('CASE MASTER'!$U$2:$U$495&lt;=6)*('CASE MASTER'!$W$2:$W$495&gt;=6)*('CASE MASTER'!$V$2:$V$495&lt;=4)*('CASE MASTER'!$X$2:$X$495&gt;=4))*ROW('CASE MASTER'!$T$2:$T$495))-(ROW('CASE MASTER'!#REF!)-1))))+1))-1)*50+1,50))&amp;"_"&amp;INDEX('CASE MASTER'!$Q$2:$Q$495,(SUMPRODUCT((('CASE MASTER'!$T$2:$T$495=10)*('CASE MASTER'!$U$2:$U$495&lt;=6)*('CASE MASTER'!$W$2:$W$495&gt;=6)*('CASE MASTER'!$V$2:$V$495&lt;=4)*('CASE MASTER'!$X$2:$X$495&gt;=4))*ROW('CASE MASTER'!$T$2:$T$495))-(ROW('CASE MASTER'!#REF!)-1))),IF(SUMPRODUCT((('CASE MASTER'!$T$2:$T$495=10)*('CASE MASTER'!$AA$2:$AA$495&lt;=6)*('CASE MASTER'!$AC$2:$AC$495&gt;=6)*('CASE MASTER'!$AB$2:$AB$495&lt;=4)*('CASE MASTER'!$AD$2:$AD$495&gt;=4))*ROW('CASE MASTER'!$T$2:$T$495))&gt;0,INDEX('CASE MASTER'!$Y$2:$Y$495,(SUMPRODUCT((('CASE MASTER'!$T$2:$T$495=10)*('CASE MASTER'!$AA$2:$AA$495&lt;=6)*('CASE MASTER'!$AC$2:$AC$495&gt;=6)*('CASE MASTER'!$AB$2:$AB$495&lt;=4)*('CASE MASTER'!$AD$2:$AD$495&gt;=4))*ROW('CASE MASTER'!$T$2:$T$495))-(ROW('CASE MASTER'!#REF!)-1)))&amp;TRIM(MID(SUBSTITUTE(SUBSTITUTE(INDEX('CASE MASTER'!$N$2:$N$495,(SUMPRODUCT((('CASE MASTER'!$T$2:$T$495=10)*('CASE MASTER'!$AA$2:$AA$495&lt;=6)*('CASE MASTER'!$AC$2:$AC$495&gt;=6)*('CASE MASTER'!$AB$2:$AB$495&lt;=4)*('CASE MASTER'!$AD$2:$AD$495&gt;=4))*ROW('CASE MASTER'!$T$2:$T$495))-(ROW('CASE MASTER'!#REF!)-1))),":",","),",",REPT(" ",50)),(((INDEX('CASE MASTER'!$Z$2:$Z$495,(SUMPRODUCT((('CASE MASTER'!$T$2:$T$495=10)*('CASE MASTER'!$AA$2:$AA$495&lt;=6)*('CASE MASTER'!$AC$2:$AC$495&gt;=6)*('CASE MASTER'!$AB$2:$AB$495&lt;=4)*('CASE MASTER'!$AD$2:$AD$495&gt;=4))*ROW('CASE MASTER'!$T$2:$T$495))-(ROW('CASE MASTER'!#REF!)-1)))+((6-INDEX('CASE MASTER'!$AA$2:$AA$495,(SUMPRODUCT((('CASE MASTER'!$T$2:$T$495=10)*('CASE MASTER'!$AA$2:$AA$495&lt;=6)*('CASE MASTER'!$AC$2:$AC$495&gt;=6)*('CASE MASTER'!$AB$2:$AB$495&lt;=4)*('CASE MASTER'!$AD$2:$AD$495&gt;=4))*ROW('CASE MASTER'!$T$2:$T$495))-(ROW('CASE MASTER'!#REF!)-1))))*(INDEX('CASE MASTER'!$AD$2:$AD$495,(SUMPRODUCT((('CASE MASTER'!$T$2:$T$495=10)*('CASE MASTER'!$AA$2:$AA$495&lt;=6)*('CASE MASTER'!$AC$2:$AC$495&gt;=6)*('CASE MASTER'!$AB$2:$AB$495&lt;=4)*('CASE MASTER'!$AD$2:$AD$495&gt;=4))*ROW('CASE MASTER'!$T$2:$T$495))-(ROW('CASE MASTER'!#REF!)-1)))-INDEX('CASE MASTER'!$AB$2:$AB$495,(SUMPRODUCT((('CASE MASTER'!$T$2:$T$495=10)*('CASE MASTER'!$AA$2:$AA$495&lt;=6)*('CASE MASTER'!$AC$2:$AC$495&gt;=6)*('CASE MASTER'!$AB$2:$AB$495&lt;=4)*('CASE MASTER'!$AD$2:$AD$495&gt;=4))*ROW('CASE MASTER'!$T$2:$T$495))-(ROW('CASE MASTER'!#REF!)-1)))+1)+(4-INDEX('CASE MASTER'!$AB$2:$AB$495,(SUMPRODUCT((('CASE MASTER'!$T$2:$T$495=10)*('CASE MASTER'!$AA$2:$AA$495&lt;=6)*('CASE MASTER'!$AC$2:$AC$495&gt;=6)*('CASE MASTER'!$AB$2:$AB$495&lt;=4)*('CASE MASTER'!$AD$2:$AD$495&gt;=4))*ROW('CASE MASTER'!$T$2:$T$495))-(ROW('CASE MASTER'!#REF!)-1))))+1)))-1)*50+1,50))&amp;"_"&amp;INDEX('CASE MASTER'!$Q$2:$Q$495,(SUMPRODUCT((('CASE MASTER'!$T$2:$T$495=10)*('CASE MASTER'!$AA$2:$AA$495&lt;=6)*('CASE MASTER'!$AC$2:$AC$495&gt;=6)*('CASE MASTER'!$AB$2:$AB$495&lt;=4)*('CASE MASTER'!$AD$2:$AD$495&gt;=4))*ROW('CASE MASTER'!$T$2:$T$495))-(ROW('CASE MASTER'!#REF!)-1))),"")),"")</f>
        <v/>
      </c>
      <c r="F134" s="10" t="str">
        <f>IFERROR(IF(SUMPRODUCT((('CASE MASTER'!$T$2:$T$495=10)*('CASE MASTER'!$U$2:$U$495&lt;=6)*('CASE MASTER'!$W$2:$W$495&gt;=6)*('CASE MASTER'!$V$2:$V$495&lt;=5)*('CASE MASTER'!$X$2:$X$495&gt;=5))*ROW('CASE MASTER'!$T$2:$T$495))&gt;0,INDEX('CASE MASTER'!$Y$2:$Y$495,(SUMPRODUCT((('CASE MASTER'!$T$2:$T$495=10)*('CASE MASTER'!$U$2:$U$495&lt;=6)*('CASE MASTER'!$W$2:$W$495&gt;=6)*('CASE MASTER'!$V$2:$V$495&lt;=5)*('CASE MASTER'!$X$2:$X$495&gt;=5))*ROW('CASE MASTER'!$T$2:$T$495))-(ROW('CASE MASTER'!#REF!)-1)))&amp;TRIM(MID(SUBSTITUTE(SUBSTITUTE(INDEX('CASE MASTER'!$N$2:$N$495,(SUMPRODUCT((('CASE MASTER'!$T$2:$T$495=10)*('CASE MASTER'!$U$2:$U$495&lt;=6)*('CASE MASTER'!$W$2:$W$495&gt;=6)*('CASE MASTER'!$V$2:$V$495&lt;=5)*('CASE MASTER'!$X$2:$X$495&gt;=5))*ROW('CASE MASTER'!$T$2:$T$495))-(ROW('CASE MASTER'!#REF!)-1))),":",","),",",REPT(" ",50)),((((6-INDEX('CASE MASTER'!$U$2:$U$495,(SUMPRODUCT((('CASE MASTER'!$T$2:$T$495=10)*('CASE MASTER'!$U$2:$U$495&lt;=6)*('CASE MASTER'!$W$2:$W$495&gt;=6)*('CASE MASTER'!$V$2:$V$495&lt;=5)*('CASE MASTER'!$X$2:$X$495&gt;=5))*ROW('CASE MASTER'!$T$2:$T$495))-(ROW('CASE MASTER'!#REF!)-1))))*(INDEX('CASE MASTER'!$X$2:$X$495,(SUMPRODUCT((('CASE MASTER'!$T$2:$T$495=10)*('CASE MASTER'!$U$2:$U$495&lt;=6)*('CASE MASTER'!$W$2:$W$495&gt;=6)*('CASE MASTER'!$V$2:$V$495&lt;=5)*('CASE MASTER'!$X$2:$X$495&gt;=5))*ROW('CASE MASTER'!$T$2:$T$495))-(ROW('CASE MASTER'!#REF!)-1)))-INDEX('CASE MASTER'!$V$2:$V$495,(SUMPRODUCT((('CASE MASTER'!$T$2:$T$495=10)*('CASE MASTER'!$U$2:$U$495&lt;=6)*('CASE MASTER'!$W$2:$W$495&gt;=6)*('CASE MASTER'!$V$2:$V$495&lt;=5)*('CASE MASTER'!$X$2:$X$495&gt;=5))*ROW('CASE MASTER'!$T$2:$T$495))-(ROW('CASE MASTER'!#REF!)-1)))+1)+(5-INDEX('CASE MASTER'!$V$2:$V$495,(SUMPRODUCT((('CASE MASTER'!$T$2:$T$495=10)*('CASE MASTER'!$U$2:$U$495&lt;=6)*('CASE MASTER'!$W$2:$W$495&gt;=6)*('CASE MASTER'!$V$2:$V$495&lt;=5)*('CASE MASTER'!$X$2:$X$495&gt;=5))*ROW('CASE MASTER'!$T$2:$T$495))-(ROW('CASE MASTER'!#REF!)-1))))+1))-1)*50+1,50))&amp;"_"&amp;INDEX('CASE MASTER'!$Q$2:$Q$495,(SUMPRODUCT((('CASE MASTER'!$T$2:$T$495=10)*('CASE MASTER'!$U$2:$U$495&lt;=6)*('CASE MASTER'!$W$2:$W$495&gt;=6)*('CASE MASTER'!$V$2:$V$495&lt;=5)*('CASE MASTER'!$X$2:$X$495&gt;=5))*ROW('CASE MASTER'!$T$2:$T$495))-(ROW('CASE MASTER'!#REF!)-1))),IF(SUMPRODUCT((('CASE MASTER'!$T$2:$T$495=10)*('CASE MASTER'!$AA$2:$AA$495&lt;=6)*('CASE MASTER'!$AC$2:$AC$495&gt;=6)*('CASE MASTER'!$AB$2:$AB$495&lt;=5)*('CASE MASTER'!$AD$2:$AD$495&gt;=5))*ROW('CASE MASTER'!$T$2:$T$495))&gt;0,INDEX('CASE MASTER'!$Y$2:$Y$495,(SUMPRODUCT((('CASE MASTER'!$T$2:$T$495=10)*('CASE MASTER'!$AA$2:$AA$495&lt;=6)*('CASE MASTER'!$AC$2:$AC$495&gt;=6)*('CASE MASTER'!$AB$2:$AB$495&lt;=5)*('CASE MASTER'!$AD$2:$AD$495&gt;=5))*ROW('CASE MASTER'!$T$2:$T$495))-(ROW('CASE MASTER'!#REF!)-1)))&amp;TRIM(MID(SUBSTITUTE(SUBSTITUTE(INDEX('CASE MASTER'!$N$2:$N$495,(SUMPRODUCT((('CASE MASTER'!$T$2:$T$495=10)*('CASE MASTER'!$AA$2:$AA$495&lt;=6)*('CASE MASTER'!$AC$2:$AC$495&gt;=6)*('CASE MASTER'!$AB$2:$AB$495&lt;=5)*('CASE MASTER'!$AD$2:$AD$495&gt;=5))*ROW('CASE MASTER'!$T$2:$T$495))-(ROW('CASE MASTER'!#REF!)-1))),":",","),",",REPT(" ",50)),(((INDEX('CASE MASTER'!$Z$2:$Z$495,(SUMPRODUCT((('CASE MASTER'!$T$2:$T$495=10)*('CASE MASTER'!$AA$2:$AA$495&lt;=6)*('CASE MASTER'!$AC$2:$AC$495&gt;=6)*('CASE MASTER'!$AB$2:$AB$495&lt;=5)*('CASE MASTER'!$AD$2:$AD$495&gt;=5))*ROW('CASE MASTER'!$T$2:$T$495))-(ROW('CASE MASTER'!#REF!)-1)))+((6-INDEX('CASE MASTER'!$AA$2:$AA$495,(SUMPRODUCT((('CASE MASTER'!$T$2:$T$495=10)*('CASE MASTER'!$AA$2:$AA$495&lt;=6)*('CASE MASTER'!$AC$2:$AC$495&gt;=6)*('CASE MASTER'!$AB$2:$AB$495&lt;=5)*('CASE MASTER'!$AD$2:$AD$495&gt;=5))*ROW('CASE MASTER'!$T$2:$T$495))-(ROW('CASE MASTER'!#REF!)-1))))*(INDEX('CASE MASTER'!$AD$2:$AD$495,(SUMPRODUCT((('CASE MASTER'!$T$2:$T$495=10)*('CASE MASTER'!$AA$2:$AA$495&lt;=6)*('CASE MASTER'!$AC$2:$AC$495&gt;=6)*('CASE MASTER'!$AB$2:$AB$495&lt;=5)*('CASE MASTER'!$AD$2:$AD$495&gt;=5))*ROW('CASE MASTER'!$T$2:$T$495))-(ROW('CASE MASTER'!#REF!)-1)))-INDEX('CASE MASTER'!$AB$2:$AB$495,(SUMPRODUCT((('CASE MASTER'!$T$2:$T$495=10)*('CASE MASTER'!$AA$2:$AA$495&lt;=6)*('CASE MASTER'!$AC$2:$AC$495&gt;=6)*('CASE MASTER'!$AB$2:$AB$495&lt;=5)*('CASE MASTER'!$AD$2:$AD$495&gt;=5))*ROW('CASE MASTER'!$T$2:$T$495))-(ROW('CASE MASTER'!#REF!)-1)))+1)+(5-INDEX('CASE MASTER'!$AB$2:$AB$495,(SUMPRODUCT((('CASE MASTER'!$T$2:$T$495=10)*('CASE MASTER'!$AA$2:$AA$495&lt;=6)*('CASE MASTER'!$AC$2:$AC$495&gt;=6)*('CASE MASTER'!$AB$2:$AB$495&lt;=5)*('CASE MASTER'!$AD$2:$AD$495&gt;=5))*ROW('CASE MASTER'!$T$2:$T$495))-(ROW('CASE MASTER'!#REF!)-1))))+1)))-1)*50+1,50))&amp;"_"&amp;INDEX('CASE MASTER'!$Q$2:$Q$495,(SUMPRODUCT((('CASE MASTER'!$T$2:$T$495=10)*('CASE MASTER'!$AA$2:$AA$495&lt;=6)*('CASE MASTER'!$AC$2:$AC$495&gt;=6)*('CASE MASTER'!$AB$2:$AB$495&lt;=5)*('CASE MASTER'!$AD$2:$AD$495&gt;=5))*ROW('CASE MASTER'!$T$2:$T$495))-(ROW('CASE MASTER'!#REF!)-1))),"")),"")</f>
        <v/>
      </c>
      <c r="G134" s="10" t="str">
        <f>IFERROR(IF(SUMPRODUCT((('CASE MASTER'!$T$2:$T$495=10)*('CASE MASTER'!$U$2:$U$495&lt;=6)*('CASE MASTER'!$W$2:$W$495&gt;=6)*('CASE MASTER'!$V$2:$V$495&lt;=6)*('CASE MASTER'!$X$2:$X$495&gt;=6))*ROW('CASE MASTER'!$T$2:$T$495))&gt;0,INDEX('CASE MASTER'!$Y$2:$Y$495,(SUMPRODUCT((('CASE MASTER'!$T$2:$T$495=10)*('CASE MASTER'!$U$2:$U$495&lt;=6)*('CASE MASTER'!$W$2:$W$495&gt;=6)*('CASE MASTER'!$V$2:$V$495&lt;=6)*('CASE MASTER'!$X$2:$X$495&gt;=6))*ROW('CASE MASTER'!$T$2:$T$495))-(ROW('CASE MASTER'!#REF!)-1)))&amp;TRIM(MID(SUBSTITUTE(SUBSTITUTE(INDEX('CASE MASTER'!$N$2:$N$495,(SUMPRODUCT((('CASE MASTER'!$T$2:$T$495=10)*('CASE MASTER'!$U$2:$U$495&lt;=6)*('CASE MASTER'!$W$2:$W$495&gt;=6)*('CASE MASTER'!$V$2:$V$495&lt;=6)*('CASE MASTER'!$X$2:$X$495&gt;=6))*ROW('CASE MASTER'!$T$2:$T$495))-(ROW('CASE MASTER'!#REF!)-1))),":",","),",",REPT(" ",50)),((((6-INDEX('CASE MASTER'!$U$2:$U$495,(SUMPRODUCT((('CASE MASTER'!$T$2:$T$495=10)*('CASE MASTER'!$U$2:$U$495&lt;=6)*('CASE MASTER'!$W$2:$W$495&gt;=6)*('CASE MASTER'!$V$2:$V$495&lt;=6)*('CASE MASTER'!$X$2:$X$495&gt;=6))*ROW('CASE MASTER'!$T$2:$T$495))-(ROW('CASE MASTER'!#REF!)-1))))*(INDEX('CASE MASTER'!$X$2:$X$495,(SUMPRODUCT((('CASE MASTER'!$T$2:$T$495=10)*('CASE MASTER'!$U$2:$U$495&lt;=6)*('CASE MASTER'!$W$2:$W$495&gt;=6)*('CASE MASTER'!$V$2:$V$495&lt;=6)*('CASE MASTER'!$X$2:$X$495&gt;=6))*ROW('CASE MASTER'!$T$2:$T$495))-(ROW('CASE MASTER'!#REF!)-1)))-INDEX('CASE MASTER'!$V$2:$V$495,(SUMPRODUCT((('CASE MASTER'!$T$2:$T$495=10)*('CASE MASTER'!$U$2:$U$495&lt;=6)*('CASE MASTER'!$W$2:$W$495&gt;=6)*('CASE MASTER'!$V$2:$V$495&lt;=6)*('CASE MASTER'!$X$2:$X$495&gt;=6))*ROW('CASE MASTER'!$T$2:$T$495))-(ROW('CASE MASTER'!#REF!)-1)))+1)+(6-INDEX('CASE MASTER'!$V$2:$V$495,(SUMPRODUCT((('CASE MASTER'!$T$2:$T$495=10)*('CASE MASTER'!$U$2:$U$495&lt;=6)*('CASE MASTER'!$W$2:$W$495&gt;=6)*('CASE MASTER'!$V$2:$V$495&lt;=6)*('CASE MASTER'!$X$2:$X$495&gt;=6))*ROW('CASE MASTER'!$T$2:$T$495))-(ROW('CASE MASTER'!#REF!)-1))))+1))-1)*50+1,50))&amp;"_"&amp;INDEX('CASE MASTER'!$Q$2:$Q$495,(SUMPRODUCT((('CASE MASTER'!$T$2:$T$495=10)*('CASE MASTER'!$U$2:$U$495&lt;=6)*('CASE MASTER'!$W$2:$W$495&gt;=6)*('CASE MASTER'!$V$2:$V$495&lt;=6)*('CASE MASTER'!$X$2:$X$495&gt;=6))*ROW('CASE MASTER'!$T$2:$T$495))-(ROW('CASE MASTER'!#REF!)-1))),IF(SUMPRODUCT((('CASE MASTER'!$T$2:$T$495=10)*('CASE MASTER'!$AA$2:$AA$495&lt;=6)*('CASE MASTER'!$AC$2:$AC$495&gt;=6)*('CASE MASTER'!$AB$2:$AB$495&lt;=6)*('CASE MASTER'!$AD$2:$AD$495&gt;=6))*ROW('CASE MASTER'!$T$2:$T$495))&gt;0,INDEX('CASE MASTER'!$Y$2:$Y$495,(SUMPRODUCT((('CASE MASTER'!$T$2:$T$495=10)*('CASE MASTER'!$AA$2:$AA$495&lt;=6)*('CASE MASTER'!$AC$2:$AC$495&gt;=6)*('CASE MASTER'!$AB$2:$AB$495&lt;=6)*('CASE MASTER'!$AD$2:$AD$495&gt;=6))*ROW('CASE MASTER'!$T$2:$T$495))-(ROW('CASE MASTER'!#REF!)-1)))&amp;TRIM(MID(SUBSTITUTE(SUBSTITUTE(INDEX('CASE MASTER'!$N$2:$N$495,(SUMPRODUCT((('CASE MASTER'!$T$2:$T$495=10)*('CASE MASTER'!$AA$2:$AA$495&lt;=6)*('CASE MASTER'!$AC$2:$AC$495&gt;=6)*('CASE MASTER'!$AB$2:$AB$495&lt;=6)*('CASE MASTER'!$AD$2:$AD$495&gt;=6))*ROW('CASE MASTER'!$T$2:$T$495))-(ROW('CASE MASTER'!#REF!)-1))),":",","),",",REPT(" ",50)),(((INDEX('CASE MASTER'!$Z$2:$Z$495,(SUMPRODUCT((('CASE MASTER'!$T$2:$T$495=10)*('CASE MASTER'!$AA$2:$AA$495&lt;=6)*('CASE MASTER'!$AC$2:$AC$495&gt;=6)*('CASE MASTER'!$AB$2:$AB$495&lt;=6)*('CASE MASTER'!$AD$2:$AD$495&gt;=6))*ROW('CASE MASTER'!$T$2:$T$495))-(ROW('CASE MASTER'!#REF!)-1)))+((6-INDEX('CASE MASTER'!$AA$2:$AA$495,(SUMPRODUCT((('CASE MASTER'!$T$2:$T$495=10)*('CASE MASTER'!$AA$2:$AA$495&lt;=6)*('CASE MASTER'!$AC$2:$AC$495&gt;=6)*('CASE MASTER'!$AB$2:$AB$495&lt;=6)*('CASE MASTER'!$AD$2:$AD$495&gt;=6))*ROW('CASE MASTER'!$T$2:$T$495))-(ROW('CASE MASTER'!#REF!)-1))))*(INDEX('CASE MASTER'!$AD$2:$AD$495,(SUMPRODUCT((('CASE MASTER'!$T$2:$T$495=10)*('CASE MASTER'!$AA$2:$AA$495&lt;=6)*('CASE MASTER'!$AC$2:$AC$495&gt;=6)*('CASE MASTER'!$AB$2:$AB$495&lt;=6)*('CASE MASTER'!$AD$2:$AD$495&gt;=6))*ROW('CASE MASTER'!$T$2:$T$495))-(ROW('CASE MASTER'!#REF!)-1)))-INDEX('CASE MASTER'!$AB$2:$AB$495,(SUMPRODUCT((('CASE MASTER'!$T$2:$T$495=10)*('CASE MASTER'!$AA$2:$AA$495&lt;=6)*('CASE MASTER'!$AC$2:$AC$495&gt;=6)*('CASE MASTER'!$AB$2:$AB$495&lt;=6)*('CASE MASTER'!$AD$2:$AD$495&gt;=6))*ROW('CASE MASTER'!$T$2:$T$495))-(ROW('CASE MASTER'!#REF!)-1)))+1)+(6-INDEX('CASE MASTER'!$AB$2:$AB$495,(SUMPRODUCT((('CASE MASTER'!$T$2:$T$495=10)*('CASE MASTER'!$AA$2:$AA$495&lt;=6)*('CASE MASTER'!$AC$2:$AC$495&gt;=6)*('CASE MASTER'!$AB$2:$AB$495&lt;=6)*('CASE MASTER'!$AD$2:$AD$495&gt;=6))*ROW('CASE MASTER'!$T$2:$T$495))-(ROW('CASE MASTER'!#REF!)-1))))+1)))-1)*50+1,50))&amp;"_"&amp;INDEX('CASE MASTER'!$Q$2:$Q$495,(SUMPRODUCT((('CASE MASTER'!$T$2:$T$495=10)*('CASE MASTER'!$AA$2:$AA$495&lt;=6)*('CASE MASTER'!$AC$2:$AC$495&gt;=6)*('CASE MASTER'!$AB$2:$AB$495&lt;=6)*('CASE MASTER'!$AD$2:$AD$495&gt;=6))*ROW('CASE MASTER'!$T$2:$T$495))-(ROW('CASE MASTER'!#REF!)-1))),"")),"")</f>
        <v/>
      </c>
      <c r="H134" s="10" t="str">
        <f>IFERROR(IF(SUMPRODUCT((('CASE MASTER'!$T$2:$T$495=10)*('CASE MASTER'!$U$2:$U$495&lt;=6)*('CASE MASTER'!$W$2:$W$495&gt;=6)*('CASE MASTER'!$V$2:$V$495&lt;=7)*('CASE MASTER'!$X$2:$X$495&gt;=7))*ROW('CASE MASTER'!$T$2:$T$495))&gt;0,INDEX('CASE MASTER'!$Y$2:$Y$495,(SUMPRODUCT((('CASE MASTER'!$T$2:$T$495=10)*('CASE MASTER'!$U$2:$U$495&lt;=6)*('CASE MASTER'!$W$2:$W$495&gt;=6)*('CASE MASTER'!$V$2:$V$495&lt;=7)*('CASE MASTER'!$X$2:$X$495&gt;=7))*ROW('CASE MASTER'!$T$2:$T$495))-(ROW('CASE MASTER'!#REF!)-1)))&amp;TRIM(MID(SUBSTITUTE(SUBSTITUTE(INDEX('CASE MASTER'!$N$2:$N$495,(SUMPRODUCT((('CASE MASTER'!$T$2:$T$495=10)*('CASE MASTER'!$U$2:$U$495&lt;=6)*('CASE MASTER'!$W$2:$W$495&gt;=6)*('CASE MASTER'!$V$2:$V$495&lt;=7)*('CASE MASTER'!$X$2:$X$495&gt;=7))*ROW('CASE MASTER'!$T$2:$T$495))-(ROW('CASE MASTER'!#REF!)-1))),":",","),",",REPT(" ",50)),((((6-INDEX('CASE MASTER'!$U$2:$U$495,(SUMPRODUCT((('CASE MASTER'!$T$2:$T$495=10)*('CASE MASTER'!$U$2:$U$495&lt;=6)*('CASE MASTER'!$W$2:$W$495&gt;=6)*('CASE MASTER'!$V$2:$V$495&lt;=7)*('CASE MASTER'!$X$2:$X$495&gt;=7))*ROW('CASE MASTER'!$T$2:$T$495))-(ROW('CASE MASTER'!#REF!)-1))))*(INDEX('CASE MASTER'!$X$2:$X$495,(SUMPRODUCT((('CASE MASTER'!$T$2:$T$495=10)*('CASE MASTER'!$U$2:$U$495&lt;=6)*('CASE MASTER'!$W$2:$W$495&gt;=6)*('CASE MASTER'!$V$2:$V$495&lt;=7)*('CASE MASTER'!$X$2:$X$495&gt;=7))*ROW('CASE MASTER'!$T$2:$T$495))-(ROW('CASE MASTER'!#REF!)-1)))-INDEX('CASE MASTER'!$V$2:$V$495,(SUMPRODUCT((('CASE MASTER'!$T$2:$T$495=10)*('CASE MASTER'!$U$2:$U$495&lt;=6)*('CASE MASTER'!$W$2:$W$495&gt;=6)*('CASE MASTER'!$V$2:$V$495&lt;=7)*('CASE MASTER'!$X$2:$X$495&gt;=7))*ROW('CASE MASTER'!$T$2:$T$495))-(ROW('CASE MASTER'!#REF!)-1)))+1)+(7-INDEX('CASE MASTER'!$V$2:$V$495,(SUMPRODUCT((('CASE MASTER'!$T$2:$T$495=10)*('CASE MASTER'!$U$2:$U$495&lt;=6)*('CASE MASTER'!$W$2:$W$495&gt;=6)*('CASE MASTER'!$V$2:$V$495&lt;=7)*('CASE MASTER'!$X$2:$X$495&gt;=7))*ROW('CASE MASTER'!$T$2:$T$495))-(ROW('CASE MASTER'!#REF!)-1))))+1))-1)*50+1,50))&amp;"_"&amp;INDEX('CASE MASTER'!$Q$2:$Q$495,(SUMPRODUCT((('CASE MASTER'!$T$2:$T$495=10)*('CASE MASTER'!$U$2:$U$495&lt;=6)*('CASE MASTER'!$W$2:$W$495&gt;=6)*('CASE MASTER'!$V$2:$V$495&lt;=7)*('CASE MASTER'!$X$2:$X$495&gt;=7))*ROW('CASE MASTER'!$T$2:$T$495))-(ROW('CASE MASTER'!#REF!)-1))),IF(SUMPRODUCT((('CASE MASTER'!$T$2:$T$495=10)*('CASE MASTER'!$AA$2:$AA$495&lt;=6)*('CASE MASTER'!$AC$2:$AC$495&gt;=6)*('CASE MASTER'!$AB$2:$AB$495&lt;=7)*('CASE MASTER'!$AD$2:$AD$495&gt;=7))*ROW('CASE MASTER'!$T$2:$T$495))&gt;0,INDEX('CASE MASTER'!$Y$2:$Y$495,(SUMPRODUCT((('CASE MASTER'!$T$2:$T$495=10)*('CASE MASTER'!$AA$2:$AA$495&lt;=6)*('CASE MASTER'!$AC$2:$AC$495&gt;=6)*('CASE MASTER'!$AB$2:$AB$495&lt;=7)*('CASE MASTER'!$AD$2:$AD$495&gt;=7))*ROW('CASE MASTER'!$T$2:$T$495))-(ROW('CASE MASTER'!#REF!)-1)))&amp;TRIM(MID(SUBSTITUTE(SUBSTITUTE(INDEX('CASE MASTER'!$N$2:$N$495,(SUMPRODUCT((('CASE MASTER'!$T$2:$T$495=10)*('CASE MASTER'!$AA$2:$AA$495&lt;=6)*('CASE MASTER'!$AC$2:$AC$495&gt;=6)*('CASE MASTER'!$AB$2:$AB$495&lt;=7)*('CASE MASTER'!$AD$2:$AD$495&gt;=7))*ROW('CASE MASTER'!$T$2:$T$495))-(ROW('CASE MASTER'!#REF!)-1))),":",","),",",REPT(" ",50)),(((INDEX('CASE MASTER'!$Z$2:$Z$495,(SUMPRODUCT((('CASE MASTER'!$T$2:$T$495=10)*('CASE MASTER'!$AA$2:$AA$495&lt;=6)*('CASE MASTER'!$AC$2:$AC$495&gt;=6)*('CASE MASTER'!$AB$2:$AB$495&lt;=7)*('CASE MASTER'!$AD$2:$AD$495&gt;=7))*ROW('CASE MASTER'!$T$2:$T$495))-(ROW('CASE MASTER'!#REF!)-1)))+((6-INDEX('CASE MASTER'!$AA$2:$AA$495,(SUMPRODUCT((('CASE MASTER'!$T$2:$T$495=10)*('CASE MASTER'!$AA$2:$AA$495&lt;=6)*('CASE MASTER'!$AC$2:$AC$495&gt;=6)*('CASE MASTER'!$AB$2:$AB$495&lt;=7)*('CASE MASTER'!$AD$2:$AD$495&gt;=7))*ROW('CASE MASTER'!$T$2:$T$495))-(ROW('CASE MASTER'!#REF!)-1))))*(INDEX('CASE MASTER'!$AD$2:$AD$495,(SUMPRODUCT((('CASE MASTER'!$T$2:$T$495=10)*('CASE MASTER'!$AA$2:$AA$495&lt;=6)*('CASE MASTER'!$AC$2:$AC$495&gt;=6)*('CASE MASTER'!$AB$2:$AB$495&lt;=7)*('CASE MASTER'!$AD$2:$AD$495&gt;=7))*ROW('CASE MASTER'!$T$2:$T$495))-(ROW('CASE MASTER'!#REF!)-1)))-INDEX('CASE MASTER'!$AB$2:$AB$495,(SUMPRODUCT((('CASE MASTER'!$T$2:$T$495=10)*('CASE MASTER'!$AA$2:$AA$495&lt;=6)*('CASE MASTER'!$AC$2:$AC$495&gt;=6)*('CASE MASTER'!$AB$2:$AB$495&lt;=7)*('CASE MASTER'!$AD$2:$AD$495&gt;=7))*ROW('CASE MASTER'!$T$2:$T$495))-(ROW('CASE MASTER'!#REF!)-1)))+1)+(7-INDEX('CASE MASTER'!$AB$2:$AB$495,(SUMPRODUCT((('CASE MASTER'!$T$2:$T$495=10)*('CASE MASTER'!$AA$2:$AA$495&lt;=6)*('CASE MASTER'!$AC$2:$AC$495&gt;=6)*('CASE MASTER'!$AB$2:$AB$495&lt;=7)*('CASE MASTER'!$AD$2:$AD$495&gt;=7))*ROW('CASE MASTER'!$T$2:$T$495))-(ROW('CASE MASTER'!#REF!)-1))))+1)))-1)*50+1,50))&amp;"_"&amp;INDEX('CASE MASTER'!$Q$2:$Q$495,(SUMPRODUCT((('CASE MASTER'!$T$2:$T$495=10)*('CASE MASTER'!$AA$2:$AA$495&lt;=6)*('CASE MASTER'!$AC$2:$AC$495&gt;=6)*('CASE MASTER'!$AB$2:$AB$495&lt;=7)*('CASE MASTER'!$AD$2:$AD$495&gt;=7))*ROW('CASE MASTER'!$T$2:$T$495))-(ROW('CASE MASTER'!#REF!)-1))),"")),"")</f>
        <v/>
      </c>
      <c r="I134" s="10" t="str">
        <f>IFERROR(IF(SUMPRODUCT((('CASE MASTER'!$T$2:$T$495=10)*('CASE MASTER'!$U$2:$U$495&lt;=6)*('CASE MASTER'!$W$2:$W$495&gt;=6)*('CASE MASTER'!$V$2:$V$495&lt;=8)*('CASE MASTER'!$X$2:$X$495&gt;=8))*ROW('CASE MASTER'!$T$2:$T$495))&gt;0,INDEX('CASE MASTER'!$Y$2:$Y$495,(SUMPRODUCT((('CASE MASTER'!$T$2:$T$495=10)*('CASE MASTER'!$U$2:$U$495&lt;=6)*('CASE MASTER'!$W$2:$W$495&gt;=6)*('CASE MASTER'!$V$2:$V$495&lt;=8)*('CASE MASTER'!$X$2:$X$495&gt;=8))*ROW('CASE MASTER'!$T$2:$T$495))-(ROW('CASE MASTER'!#REF!)-1)))&amp;TRIM(MID(SUBSTITUTE(SUBSTITUTE(INDEX('CASE MASTER'!$N$2:$N$495,(SUMPRODUCT((('CASE MASTER'!$T$2:$T$495=10)*('CASE MASTER'!$U$2:$U$495&lt;=6)*('CASE MASTER'!$W$2:$W$495&gt;=6)*('CASE MASTER'!$V$2:$V$495&lt;=8)*('CASE MASTER'!$X$2:$X$495&gt;=8))*ROW('CASE MASTER'!$T$2:$T$495))-(ROW('CASE MASTER'!#REF!)-1))),":",","),",",REPT(" ",50)),((((6-INDEX('CASE MASTER'!$U$2:$U$495,(SUMPRODUCT((('CASE MASTER'!$T$2:$T$495=10)*('CASE MASTER'!$U$2:$U$495&lt;=6)*('CASE MASTER'!$W$2:$W$495&gt;=6)*('CASE MASTER'!$V$2:$V$495&lt;=8)*('CASE MASTER'!$X$2:$X$495&gt;=8))*ROW('CASE MASTER'!$T$2:$T$495))-(ROW('CASE MASTER'!#REF!)-1))))*(INDEX('CASE MASTER'!$X$2:$X$495,(SUMPRODUCT((('CASE MASTER'!$T$2:$T$495=10)*('CASE MASTER'!$U$2:$U$495&lt;=6)*('CASE MASTER'!$W$2:$W$495&gt;=6)*('CASE MASTER'!$V$2:$V$495&lt;=8)*('CASE MASTER'!$X$2:$X$495&gt;=8))*ROW('CASE MASTER'!$T$2:$T$495))-(ROW('CASE MASTER'!#REF!)-1)))-INDEX('CASE MASTER'!$V$2:$V$495,(SUMPRODUCT((('CASE MASTER'!$T$2:$T$495=10)*('CASE MASTER'!$U$2:$U$495&lt;=6)*('CASE MASTER'!$W$2:$W$495&gt;=6)*('CASE MASTER'!$V$2:$V$495&lt;=8)*('CASE MASTER'!$X$2:$X$495&gt;=8))*ROW('CASE MASTER'!$T$2:$T$495))-(ROW('CASE MASTER'!#REF!)-1)))+1)+(8-INDEX('CASE MASTER'!$V$2:$V$495,(SUMPRODUCT((('CASE MASTER'!$T$2:$T$495=10)*('CASE MASTER'!$U$2:$U$495&lt;=6)*('CASE MASTER'!$W$2:$W$495&gt;=6)*('CASE MASTER'!$V$2:$V$495&lt;=8)*('CASE MASTER'!$X$2:$X$495&gt;=8))*ROW('CASE MASTER'!$T$2:$T$495))-(ROW('CASE MASTER'!#REF!)-1))))+1))-1)*50+1,50))&amp;"_"&amp;INDEX('CASE MASTER'!$Q$2:$Q$495,(SUMPRODUCT((('CASE MASTER'!$T$2:$T$495=10)*('CASE MASTER'!$U$2:$U$495&lt;=6)*('CASE MASTER'!$W$2:$W$495&gt;=6)*('CASE MASTER'!$V$2:$V$495&lt;=8)*('CASE MASTER'!$X$2:$X$495&gt;=8))*ROW('CASE MASTER'!$T$2:$T$495))-(ROW('CASE MASTER'!#REF!)-1))),IF(SUMPRODUCT((('CASE MASTER'!$T$2:$T$495=10)*('CASE MASTER'!$AA$2:$AA$495&lt;=6)*('CASE MASTER'!$AC$2:$AC$495&gt;=6)*('CASE MASTER'!$AB$2:$AB$495&lt;=8)*('CASE MASTER'!$AD$2:$AD$495&gt;=8))*ROW('CASE MASTER'!$T$2:$T$495))&gt;0,INDEX('CASE MASTER'!$Y$2:$Y$495,(SUMPRODUCT((('CASE MASTER'!$T$2:$T$495=10)*('CASE MASTER'!$AA$2:$AA$495&lt;=6)*('CASE MASTER'!$AC$2:$AC$495&gt;=6)*('CASE MASTER'!$AB$2:$AB$495&lt;=8)*('CASE MASTER'!$AD$2:$AD$495&gt;=8))*ROW('CASE MASTER'!$T$2:$T$495))-(ROW('CASE MASTER'!#REF!)-1)))&amp;TRIM(MID(SUBSTITUTE(SUBSTITUTE(INDEX('CASE MASTER'!$N$2:$N$495,(SUMPRODUCT((('CASE MASTER'!$T$2:$T$495=10)*('CASE MASTER'!$AA$2:$AA$495&lt;=6)*('CASE MASTER'!$AC$2:$AC$495&gt;=6)*('CASE MASTER'!$AB$2:$AB$495&lt;=8)*('CASE MASTER'!$AD$2:$AD$495&gt;=8))*ROW('CASE MASTER'!$T$2:$T$495))-(ROW('CASE MASTER'!#REF!)-1))),":",","),",",REPT(" ",50)),(((INDEX('CASE MASTER'!$Z$2:$Z$495,(SUMPRODUCT((('CASE MASTER'!$T$2:$T$495=10)*('CASE MASTER'!$AA$2:$AA$495&lt;=6)*('CASE MASTER'!$AC$2:$AC$495&gt;=6)*('CASE MASTER'!$AB$2:$AB$495&lt;=8)*('CASE MASTER'!$AD$2:$AD$495&gt;=8))*ROW('CASE MASTER'!$T$2:$T$495))-(ROW('CASE MASTER'!#REF!)-1)))+((6-INDEX('CASE MASTER'!$AA$2:$AA$495,(SUMPRODUCT((('CASE MASTER'!$T$2:$T$495=10)*('CASE MASTER'!$AA$2:$AA$495&lt;=6)*('CASE MASTER'!$AC$2:$AC$495&gt;=6)*('CASE MASTER'!$AB$2:$AB$495&lt;=8)*('CASE MASTER'!$AD$2:$AD$495&gt;=8))*ROW('CASE MASTER'!$T$2:$T$495))-(ROW('CASE MASTER'!#REF!)-1))))*(INDEX('CASE MASTER'!$AD$2:$AD$495,(SUMPRODUCT((('CASE MASTER'!$T$2:$T$495=10)*('CASE MASTER'!$AA$2:$AA$495&lt;=6)*('CASE MASTER'!$AC$2:$AC$495&gt;=6)*('CASE MASTER'!$AB$2:$AB$495&lt;=8)*('CASE MASTER'!$AD$2:$AD$495&gt;=8))*ROW('CASE MASTER'!$T$2:$T$495))-(ROW('CASE MASTER'!#REF!)-1)))-INDEX('CASE MASTER'!$AB$2:$AB$495,(SUMPRODUCT((('CASE MASTER'!$T$2:$T$495=10)*('CASE MASTER'!$AA$2:$AA$495&lt;=6)*('CASE MASTER'!$AC$2:$AC$495&gt;=6)*('CASE MASTER'!$AB$2:$AB$495&lt;=8)*('CASE MASTER'!$AD$2:$AD$495&gt;=8))*ROW('CASE MASTER'!$T$2:$T$495))-(ROW('CASE MASTER'!#REF!)-1)))+1)+(8-INDEX('CASE MASTER'!$AB$2:$AB$495,(SUMPRODUCT((('CASE MASTER'!$T$2:$T$495=10)*('CASE MASTER'!$AA$2:$AA$495&lt;=6)*('CASE MASTER'!$AC$2:$AC$495&gt;=6)*('CASE MASTER'!$AB$2:$AB$495&lt;=8)*('CASE MASTER'!$AD$2:$AD$495&gt;=8))*ROW('CASE MASTER'!$T$2:$T$495))-(ROW('CASE MASTER'!#REF!)-1))))+1)))-1)*50+1,50))&amp;"_"&amp;INDEX('CASE MASTER'!$Q$2:$Q$495,(SUMPRODUCT((('CASE MASTER'!$T$2:$T$495=10)*('CASE MASTER'!$AA$2:$AA$495&lt;=6)*('CASE MASTER'!$AC$2:$AC$495&gt;=6)*('CASE MASTER'!$AB$2:$AB$495&lt;=8)*('CASE MASTER'!$AD$2:$AD$495&gt;=8))*ROW('CASE MASTER'!$T$2:$T$495))-(ROW('CASE MASTER'!#REF!)-1))),"")),"")</f>
        <v/>
      </c>
      <c r="J134" s="10" t="str">
        <f>IFERROR(IF(SUMPRODUCT((('CASE MASTER'!$T$2:$T$495=10)*('CASE MASTER'!$U$2:$U$495&lt;=6)*('CASE MASTER'!$W$2:$W$495&gt;=6)*('CASE MASTER'!$V$2:$V$495&lt;=9)*('CASE MASTER'!$X$2:$X$495&gt;=9))*ROW('CASE MASTER'!$T$2:$T$495))&gt;0,INDEX('CASE MASTER'!$Y$2:$Y$495,(SUMPRODUCT((('CASE MASTER'!$T$2:$T$495=10)*('CASE MASTER'!$U$2:$U$495&lt;=6)*('CASE MASTER'!$W$2:$W$495&gt;=6)*('CASE MASTER'!$V$2:$V$495&lt;=9)*('CASE MASTER'!$X$2:$X$495&gt;=9))*ROW('CASE MASTER'!$T$2:$T$495))-(ROW('CASE MASTER'!#REF!)-1)))&amp;TRIM(MID(SUBSTITUTE(SUBSTITUTE(INDEX('CASE MASTER'!$N$2:$N$495,(SUMPRODUCT((('CASE MASTER'!$T$2:$T$495=10)*('CASE MASTER'!$U$2:$U$495&lt;=6)*('CASE MASTER'!$W$2:$W$495&gt;=6)*('CASE MASTER'!$V$2:$V$495&lt;=9)*('CASE MASTER'!$X$2:$X$495&gt;=9))*ROW('CASE MASTER'!$T$2:$T$495))-(ROW('CASE MASTER'!#REF!)-1))),":",","),",",REPT(" ",50)),((((6-INDEX('CASE MASTER'!$U$2:$U$495,(SUMPRODUCT((('CASE MASTER'!$T$2:$T$495=10)*('CASE MASTER'!$U$2:$U$495&lt;=6)*('CASE MASTER'!$W$2:$W$495&gt;=6)*('CASE MASTER'!$V$2:$V$495&lt;=9)*('CASE MASTER'!$X$2:$X$495&gt;=9))*ROW('CASE MASTER'!$T$2:$T$495))-(ROW('CASE MASTER'!#REF!)-1))))*(INDEX('CASE MASTER'!$X$2:$X$495,(SUMPRODUCT((('CASE MASTER'!$T$2:$T$495=10)*('CASE MASTER'!$U$2:$U$495&lt;=6)*('CASE MASTER'!$W$2:$W$495&gt;=6)*('CASE MASTER'!$V$2:$V$495&lt;=9)*('CASE MASTER'!$X$2:$X$495&gt;=9))*ROW('CASE MASTER'!$T$2:$T$495))-(ROW('CASE MASTER'!#REF!)-1)))-INDEX('CASE MASTER'!$V$2:$V$495,(SUMPRODUCT((('CASE MASTER'!$T$2:$T$495=10)*('CASE MASTER'!$U$2:$U$495&lt;=6)*('CASE MASTER'!$W$2:$W$495&gt;=6)*('CASE MASTER'!$V$2:$V$495&lt;=9)*('CASE MASTER'!$X$2:$X$495&gt;=9))*ROW('CASE MASTER'!$T$2:$T$495))-(ROW('CASE MASTER'!#REF!)-1)))+1)+(9-INDEX('CASE MASTER'!$V$2:$V$495,(SUMPRODUCT((('CASE MASTER'!$T$2:$T$495=10)*('CASE MASTER'!$U$2:$U$495&lt;=6)*('CASE MASTER'!$W$2:$W$495&gt;=6)*('CASE MASTER'!$V$2:$V$495&lt;=9)*('CASE MASTER'!$X$2:$X$495&gt;=9))*ROW('CASE MASTER'!$T$2:$T$495))-(ROW('CASE MASTER'!#REF!)-1))))+1))-1)*50+1,50))&amp;"_"&amp;INDEX('CASE MASTER'!$Q$2:$Q$495,(SUMPRODUCT((('CASE MASTER'!$T$2:$T$495=10)*('CASE MASTER'!$U$2:$U$495&lt;=6)*('CASE MASTER'!$W$2:$W$495&gt;=6)*('CASE MASTER'!$V$2:$V$495&lt;=9)*('CASE MASTER'!$X$2:$X$495&gt;=9))*ROW('CASE MASTER'!$T$2:$T$495))-(ROW('CASE MASTER'!#REF!)-1))),IF(SUMPRODUCT((('CASE MASTER'!$T$2:$T$495=10)*('CASE MASTER'!$AA$2:$AA$495&lt;=6)*('CASE MASTER'!$AC$2:$AC$495&gt;=6)*('CASE MASTER'!$AB$2:$AB$495&lt;=9)*('CASE MASTER'!$AD$2:$AD$495&gt;=9))*ROW('CASE MASTER'!$T$2:$T$495))&gt;0,INDEX('CASE MASTER'!$Y$2:$Y$495,(SUMPRODUCT((('CASE MASTER'!$T$2:$T$495=10)*('CASE MASTER'!$AA$2:$AA$495&lt;=6)*('CASE MASTER'!$AC$2:$AC$495&gt;=6)*('CASE MASTER'!$AB$2:$AB$495&lt;=9)*('CASE MASTER'!$AD$2:$AD$495&gt;=9))*ROW('CASE MASTER'!$T$2:$T$495))-(ROW('CASE MASTER'!#REF!)-1)))&amp;TRIM(MID(SUBSTITUTE(SUBSTITUTE(INDEX('CASE MASTER'!$N$2:$N$495,(SUMPRODUCT((('CASE MASTER'!$T$2:$T$495=10)*('CASE MASTER'!$AA$2:$AA$495&lt;=6)*('CASE MASTER'!$AC$2:$AC$495&gt;=6)*('CASE MASTER'!$AB$2:$AB$495&lt;=9)*('CASE MASTER'!$AD$2:$AD$495&gt;=9))*ROW('CASE MASTER'!$T$2:$T$495))-(ROW('CASE MASTER'!#REF!)-1))),":",","),",",REPT(" ",50)),(((INDEX('CASE MASTER'!$Z$2:$Z$495,(SUMPRODUCT((('CASE MASTER'!$T$2:$T$495=10)*('CASE MASTER'!$AA$2:$AA$495&lt;=6)*('CASE MASTER'!$AC$2:$AC$495&gt;=6)*('CASE MASTER'!$AB$2:$AB$495&lt;=9)*('CASE MASTER'!$AD$2:$AD$495&gt;=9))*ROW('CASE MASTER'!$T$2:$T$495))-(ROW('CASE MASTER'!#REF!)-1)))+((6-INDEX('CASE MASTER'!$AA$2:$AA$495,(SUMPRODUCT((('CASE MASTER'!$T$2:$T$495=10)*('CASE MASTER'!$AA$2:$AA$495&lt;=6)*('CASE MASTER'!$AC$2:$AC$495&gt;=6)*('CASE MASTER'!$AB$2:$AB$495&lt;=9)*('CASE MASTER'!$AD$2:$AD$495&gt;=9))*ROW('CASE MASTER'!$T$2:$T$495))-(ROW('CASE MASTER'!#REF!)-1))))*(INDEX('CASE MASTER'!$AD$2:$AD$495,(SUMPRODUCT((('CASE MASTER'!$T$2:$T$495=10)*('CASE MASTER'!$AA$2:$AA$495&lt;=6)*('CASE MASTER'!$AC$2:$AC$495&gt;=6)*('CASE MASTER'!$AB$2:$AB$495&lt;=9)*('CASE MASTER'!$AD$2:$AD$495&gt;=9))*ROW('CASE MASTER'!$T$2:$T$495))-(ROW('CASE MASTER'!#REF!)-1)))-INDEX('CASE MASTER'!$AB$2:$AB$495,(SUMPRODUCT((('CASE MASTER'!$T$2:$T$495=10)*('CASE MASTER'!$AA$2:$AA$495&lt;=6)*('CASE MASTER'!$AC$2:$AC$495&gt;=6)*('CASE MASTER'!$AB$2:$AB$495&lt;=9)*('CASE MASTER'!$AD$2:$AD$495&gt;=9))*ROW('CASE MASTER'!$T$2:$T$495))-(ROW('CASE MASTER'!#REF!)-1)))+1)+(9-INDEX('CASE MASTER'!$AB$2:$AB$495,(SUMPRODUCT((('CASE MASTER'!$T$2:$T$495=10)*('CASE MASTER'!$AA$2:$AA$495&lt;=6)*('CASE MASTER'!$AC$2:$AC$495&gt;=6)*('CASE MASTER'!$AB$2:$AB$495&lt;=9)*('CASE MASTER'!$AD$2:$AD$495&gt;=9))*ROW('CASE MASTER'!$T$2:$T$495))-(ROW('CASE MASTER'!#REF!)-1))))+1)))-1)*50+1,50))&amp;"_"&amp;INDEX('CASE MASTER'!$Q$2:$Q$495,(SUMPRODUCT((('CASE MASTER'!$T$2:$T$495=10)*('CASE MASTER'!$AA$2:$AA$495&lt;=6)*('CASE MASTER'!$AC$2:$AC$495&gt;=6)*('CASE MASTER'!$AB$2:$AB$495&lt;=9)*('CASE MASTER'!$AD$2:$AD$495&gt;=9))*ROW('CASE MASTER'!$T$2:$T$495))-(ROW('CASE MASTER'!#REF!)-1))),"")),"")</f>
        <v/>
      </c>
      <c r="K134" s="10" t="str">
        <f>IFERROR(IF(SUMPRODUCT((('CASE MASTER'!$T$2:$T$495=10)*('CASE MASTER'!$U$2:$U$495&lt;=6)*('CASE MASTER'!$W$2:$W$495&gt;=6)*('CASE MASTER'!$V$2:$V$495&lt;=10)*('CASE MASTER'!$X$2:$X$495&gt;=10))*ROW('CASE MASTER'!$T$2:$T$495))&gt;0,INDEX('CASE MASTER'!$Y$2:$Y$495,(SUMPRODUCT((('CASE MASTER'!$T$2:$T$495=10)*('CASE MASTER'!$U$2:$U$495&lt;=6)*('CASE MASTER'!$W$2:$W$495&gt;=6)*('CASE MASTER'!$V$2:$V$495&lt;=10)*('CASE MASTER'!$X$2:$X$495&gt;=10))*ROW('CASE MASTER'!$T$2:$T$495))-(ROW('CASE MASTER'!#REF!)-1)))&amp;TRIM(MID(SUBSTITUTE(SUBSTITUTE(INDEX('CASE MASTER'!$N$2:$N$495,(SUMPRODUCT((('CASE MASTER'!$T$2:$T$495=10)*('CASE MASTER'!$U$2:$U$495&lt;=6)*('CASE MASTER'!$W$2:$W$495&gt;=6)*('CASE MASTER'!$V$2:$V$495&lt;=10)*('CASE MASTER'!$X$2:$X$495&gt;=10))*ROW('CASE MASTER'!$T$2:$T$495))-(ROW('CASE MASTER'!#REF!)-1))),":",","),",",REPT(" ",50)),((((6-INDEX('CASE MASTER'!$U$2:$U$495,(SUMPRODUCT((('CASE MASTER'!$T$2:$T$495=10)*('CASE MASTER'!$U$2:$U$495&lt;=6)*('CASE MASTER'!$W$2:$W$495&gt;=6)*('CASE MASTER'!$V$2:$V$495&lt;=10)*('CASE MASTER'!$X$2:$X$495&gt;=10))*ROW('CASE MASTER'!$T$2:$T$495))-(ROW('CASE MASTER'!#REF!)-1))))*(INDEX('CASE MASTER'!$X$2:$X$495,(SUMPRODUCT((('CASE MASTER'!$T$2:$T$495=10)*('CASE MASTER'!$U$2:$U$495&lt;=6)*('CASE MASTER'!$W$2:$W$495&gt;=6)*('CASE MASTER'!$V$2:$V$495&lt;=10)*('CASE MASTER'!$X$2:$X$495&gt;=10))*ROW('CASE MASTER'!$T$2:$T$495))-(ROW('CASE MASTER'!#REF!)-1)))-INDEX('CASE MASTER'!$V$2:$V$495,(SUMPRODUCT((('CASE MASTER'!$T$2:$T$495=10)*('CASE MASTER'!$U$2:$U$495&lt;=6)*('CASE MASTER'!$W$2:$W$495&gt;=6)*('CASE MASTER'!$V$2:$V$495&lt;=10)*('CASE MASTER'!$X$2:$X$495&gt;=10))*ROW('CASE MASTER'!$T$2:$T$495))-(ROW('CASE MASTER'!#REF!)-1)))+1)+(10-INDEX('CASE MASTER'!$V$2:$V$495,(SUMPRODUCT((('CASE MASTER'!$T$2:$T$495=10)*('CASE MASTER'!$U$2:$U$495&lt;=6)*('CASE MASTER'!$W$2:$W$495&gt;=6)*('CASE MASTER'!$V$2:$V$495&lt;=10)*('CASE MASTER'!$X$2:$X$495&gt;=10))*ROW('CASE MASTER'!$T$2:$T$495))-(ROW('CASE MASTER'!#REF!)-1))))+1))-1)*50+1,50))&amp;"_"&amp;INDEX('CASE MASTER'!$Q$2:$Q$495,(SUMPRODUCT((('CASE MASTER'!$T$2:$T$495=10)*('CASE MASTER'!$U$2:$U$495&lt;=6)*('CASE MASTER'!$W$2:$W$495&gt;=6)*('CASE MASTER'!$V$2:$V$495&lt;=10)*('CASE MASTER'!$X$2:$X$495&gt;=10))*ROW('CASE MASTER'!$T$2:$T$495))-(ROW('CASE MASTER'!#REF!)-1))),IF(SUMPRODUCT((('CASE MASTER'!$T$2:$T$495=10)*('CASE MASTER'!$AA$2:$AA$495&lt;=6)*('CASE MASTER'!$AC$2:$AC$495&gt;=6)*('CASE MASTER'!$AB$2:$AB$495&lt;=10)*('CASE MASTER'!$AD$2:$AD$495&gt;=10))*ROW('CASE MASTER'!$T$2:$T$495))&gt;0,INDEX('CASE MASTER'!$Y$2:$Y$495,(SUMPRODUCT((('CASE MASTER'!$T$2:$T$495=10)*('CASE MASTER'!$AA$2:$AA$495&lt;=6)*('CASE MASTER'!$AC$2:$AC$495&gt;=6)*('CASE MASTER'!$AB$2:$AB$495&lt;=10)*('CASE MASTER'!$AD$2:$AD$495&gt;=10))*ROW('CASE MASTER'!$T$2:$T$495))-(ROW('CASE MASTER'!#REF!)-1)))&amp;TRIM(MID(SUBSTITUTE(SUBSTITUTE(INDEX('CASE MASTER'!$N$2:$N$495,(SUMPRODUCT((('CASE MASTER'!$T$2:$T$495=10)*('CASE MASTER'!$AA$2:$AA$495&lt;=6)*('CASE MASTER'!$AC$2:$AC$495&gt;=6)*('CASE MASTER'!$AB$2:$AB$495&lt;=10)*('CASE MASTER'!$AD$2:$AD$495&gt;=10))*ROW('CASE MASTER'!$T$2:$T$495))-(ROW('CASE MASTER'!#REF!)-1))),":",","),",",REPT(" ",50)),(((INDEX('CASE MASTER'!$Z$2:$Z$495,(SUMPRODUCT((('CASE MASTER'!$T$2:$T$495=10)*('CASE MASTER'!$AA$2:$AA$495&lt;=6)*('CASE MASTER'!$AC$2:$AC$495&gt;=6)*('CASE MASTER'!$AB$2:$AB$495&lt;=10)*('CASE MASTER'!$AD$2:$AD$495&gt;=10))*ROW('CASE MASTER'!$T$2:$T$495))-(ROW('CASE MASTER'!#REF!)-1)))+((6-INDEX('CASE MASTER'!$AA$2:$AA$495,(SUMPRODUCT((('CASE MASTER'!$T$2:$T$495=10)*('CASE MASTER'!$AA$2:$AA$495&lt;=6)*('CASE MASTER'!$AC$2:$AC$495&gt;=6)*('CASE MASTER'!$AB$2:$AB$495&lt;=10)*('CASE MASTER'!$AD$2:$AD$495&gt;=10))*ROW('CASE MASTER'!$T$2:$T$495))-(ROW('CASE MASTER'!#REF!)-1))))*(INDEX('CASE MASTER'!$AD$2:$AD$495,(SUMPRODUCT((('CASE MASTER'!$T$2:$T$495=10)*('CASE MASTER'!$AA$2:$AA$495&lt;=6)*('CASE MASTER'!$AC$2:$AC$495&gt;=6)*('CASE MASTER'!$AB$2:$AB$495&lt;=10)*('CASE MASTER'!$AD$2:$AD$495&gt;=10))*ROW('CASE MASTER'!$T$2:$T$495))-(ROW('CASE MASTER'!#REF!)-1)))-INDEX('CASE MASTER'!$AB$2:$AB$495,(SUMPRODUCT((('CASE MASTER'!$T$2:$T$495=10)*('CASE MASTER'!$AA$2:$AA$495&lt;=6)*('CASE MASTER'!$AC$2:$AC$495&gt;=6)*('CASE MASTER'!$AB$2:$AB$495&lt;=10)*('CASE MASTER'!$AD$2:$AD$495&gt;=10))*ROW('CASE MASTER'!$T$2:$T$495))-(ROW('CASE MASTER'!#REF!)-1)))+1)+(10-INDEX('CASE MASTER'!$AB$2:$AB$495,(SUMPRODUCT((('CASE MASTER'!$T$2:$T$495=10)*('CASE MASTER'!$AA$2:$AA$495&lt;=6)*('CASE MASTER'!$AC$2:$AC$495&gt;=6)*('CASE MASTER'!$AB$2:$AB$495&lt;=10)*('CASE MASTER'!$AD$2:$AD$495&gt;=10))*ROW('CASE MASTER'!$T$2:$T$495))-(ROW('CASE MASTER'!#REF!)-1))))+1)))-1)*50+1,50))&amp;"_"&amp;INDEX('CASE MASTER'!$Q$2:$Q$495,(SUMPRODUCT((('CASE MASTER'!$T$2:$T$495=10)*('CASE MASTER'!$AA$2:$AA$495&lt;=6)*('CASE MASTER'!$AC$2:$AC$495&gt;=6)*('CASE MASTER'!$AB$2:$AB$495&lt;=10)*('CASE MASTER'!$AD$2:$AD$495&gt;=10))*ROW('CASE MASTER'!$T$2:$T$495))-(ROW('CASE MASTER'!#REF!)-1))),"")),"")</f>
        <v/>
      </c>
    </row>
    <row r="135" spans="1:11" ht="15" customHeight="1" x14ac:dyDescent="0.35">
      <c r="A135" s="8" t="s">
        <v>34</v>
      </c>
      <c r="B135" s="10" t="str">
        <f>IFERROR(IF(SUMPRODUCT((('CASE MASTER'!$T$2:$T$495=10)*('CASE MASTER'!$U$2:$U$495&lt;=7)*('CASE MASTER'!$W$2:$W$495&gt;=7)*('CASE MASTER'!$V$2:$V$495&lt;=1)*('CASE MASTER'!$X$2:$X$495&gt;=1))*ROW('CASE MASTER'!$T$2:$T$495))&gt;0,INDEX('CASE MASTER'!$Y$2:$Y$495,(SUMPRODUCT((('CASE MASTER'!$T$2:$T$495=10)*('CASE MASTER'!$U$2:$U$495&lt;=7)*('CASE MASTER'!$W$2:$W$495&gt;=7)*('CASE MASTER'!$V$2:$V$495&lt;=1)*('CASE MASTER'!$X$2:$X$495&gt;=1))*ROW('CASE MASTER'!$T$2:$T$495))-(ROW('CASE MASTER'!#REF!)-1)))&amp;TRIM(MID(SUBSTITUTE(SUBSTITUTE(INDEX('CASE MASTER'!$N$2:$N$495,(SUMPRODUCT((('CASE MASTER'!$T$2:$T$495=10)*('CASE MASTER'!$U$2:$U$495&lt;=7)*('CASE MASTER'!$W$2:$W$495&gt;=7)*('CASE MASTER'!$V$2:$V$495&lt;=1)*('CASE MASTER'!$X$2:$X$495&gt;=1))*ROW('CASE MASTER'!$T$2:$T$495))-(ROW('CASE MASTER'!#REF!)-1))),":",","),",",REPT(" ",50)),((((7-INDEX('CASE MASTER'!$U$2:$U$495,(SUMPRODUCT((('CASE MASTER'!$T$2:$T$495=10)*('CASE MASTER'!$U$2:$U$495&lt;=7)*('CASE MASTER'!$W$2:$W$495&gt;=7)*('CASE MASTER'!$V$2:$V$495&lt;=1)*('CASE MASTER'!$X$2:$X$495&gt;=1))*ROW('CASE MASTER'!$T$2:$T$495))-(ROW('CASE MASTER'!#REF!)-1))))*(INDEX('CASE MASTER'!$X$2:$X$495,(SUMPRODUCT((('CASE MASTER'!$T$2:$T$495=10)*('CASE MASTER'!$U$2:$U$495&lt;=7)*('CASE MASTER'!$W$2:$W$495&gt;=7)*('CASE MASTER'!$V$2:$V$495&lt;=1)*('CASE MASTER'!$X$2:$X$495&gt;=1))*ROW('CASE MASTER'!$T$2:$T$495))-(ROW('CASE MASTER'!#REF!)-1)))-INDEX('CASE MASTER'!$V$2:$V$495,(SUMPRODUCT((('CASE MASTER'!$T$2:$T$495=10)*('CASE MASTER'!$U$2:$U$495&lt;=7)*('CASE MASTER'!$W$2:$W$495&gt;=7)*('CASE MASTER'!$V$2:$V$495&lt;=1)*('CASE MASTER'!$X$2:$X$495&gt;=1))*ROW('CASE MASTER'!$T$2:$T$495))-(ROW('CASE MASTER'!#REF!)-1)))+1)+(1-INDEX('CASE MASTER'!$V$2:$V$495,(SUMPRODUCT((('CASE MASTER'!$T$2:$T$495=10)*('CASE MASTER'!$U$2:$U$495&lt;=7)*('CASE MASTER'!$W$2:$W$495&gt;=7)*('CASE MASTER'!$V$2:$V$495&lt;=1)*('CASE MASTER'!$X$2:$X$495&gt;=1))*ROW('CASE MASTER'!$T$2:$T$495))-(ROW('CASE MASTER'!#REF!)-1))))+1))-1)*50+1,50))&amp;"_"&amp;INDEX('CASE MASTER'!$Q$2:$Q$495,(SUMPRODUCT((('CASE MASTER'!$T$2:$T$495=10)*('CASE MASTER'!$U$2:$U$495&lt;=7)*('CASE MASTER'!$W$2:$W$495&gt;=7)*('CASE MASTER'!$V$2:$V$495&lt;=1)*('CASE MASTER'!$X$2:$X$495&gt;=1))*ROW('CASE MASTER'!$T$2:$T$495))-(ROW('CASE MASTER'!#REF!)-1))),IF(SUMPRODUCT((('CASE MASTER'!$T$2:$T$495=10)*('CASE MASTER'!$AA$2:$AA$495&lt;=7)*('CASE MASTER'!$AC$2:$AC$495&gt;=7)*('CASE MASTER'!$AB$2:$AB$495&lt;=1)*('CASE MASTER'!$AD$2:$AD$495&gt;=1))*ROW('CASE MASTER'!$T$2:$T$495))&gt;0,INDEX('CASE MASTER'!$Y$2:$Y$495,(SUMPRODUCT((('CASE MASTER'!$T$2:$T$495=10)*('CASE MASTER'!$AA$2:$AA$495&lt;=7)*('CASE MASTER'!$AC$2:$AC$495&gt;=7)*('CASE MASTER'!$AB$2:$AB$495&lt;=1)*('CASE MASTER'!$AD$2:$AD$495&gt;=1))*ROW('CASE MASTER'!$T$2:$T$495))-(ROW('CASE MASTER'!#REF!)-1)))&amp;TRIM(MID(SUBSTITUTE(SUBSTITUTE(INDEX('CASE MASTER'!$N$2:$N$495,(SUMPRODUCT((('CASE MASTER'!$T$2:$T$495=10)*('CASE MASTER'!$AA$2:$AA$495&lt;=7)*('CASE MASTER'!$AC$2:$AC$495&gt;=7)*('CASE MASTER'!$AB$2:$AB$495&lt;=1)*('CASE MASTER'!$AD$2:$AD$495&gt;=1))*ROW('CASE MASTER'!$T$2:$T$495))-(ROW('CASE MASTER'!#REF!)-1))),":",","),",",REPT(" ",50)),(((INDEX('CASE MASTER'!$Z$2:$Z$495,(SUMPRODUCT((('CASE MASTER'!$T$2:$T$495=10)*('CASE MASTER'!$AA$2:$AA$495&lt;=7)*('CASE MASTER'!$AC$2:$AC$495&gt;=7)*('CASE MASTER'!$AB$2:$AB$495&lt;=1)*('CASE MASTER'!$AD$2:$AD$495&gt;=1))*ROW('CASE MASTER'!$T$2:$T$495))-(ROW('CASE MASTER'!#REF!)-1)))+((7-INDEX('CASE MASTER'!$AA$2:$AA$495,(SUMPRODUCT((('CASE MASTER'!$T$2:$T$495=10)*('CASE MASTER'!$AA$2:$AA$495&lt;=7)*('CASE MASTER'!$AC$2:$AC$495&gt;=7)*('CASE MASTER'!$AB$2:$AB$495&lt;=1)*('CASE MASTER'!$AD$2:$AD$495&gt;=1))*ROW('CASE MASTER'!$T$2:$T$495))-(ROW('CASE MASTER'!#REF!)-1))))*(INDEX('CASE MASTER'!$AD$2:$AD$495,(SUMPRODUCT((('CASE MASTER'!$T$2:$T$495=10)*('CASE MASTER'!$AA$2:$AA$495&lt;=7)*('CASE MASTER'!$AC$2:$AC$495&gt;=7)*('CASE MASTER'!$AB$2:$AB$495&lt;=1)*('CASE MASTER'!$AD$2:$AD$495&gt;=1))*ROW('CASE MASTER'!$T$2:$T$495))-(ROW('CASE MASTER'!#REF!)-1)))-INDEX('CASE MASTER'!$AB$2:$AB$495,(SUMPRODUCT((('CASE MASTER'!$T$2:$T$495=10)*('CASE MASTER'!$AA$2:$AA$495&lt;=7)*('CASE MASTER'!$AC$2:$AC$495&gt;=7)*('CASE MASTER'!$AB$2:$AB$495&lt;=1)*('CASE MASTER'!$AD$2:$AD$495&gt;=1))*ROW('CASE MASTER'!$T$2:$T$495))-(ROW('CASE MASTER'!#REF!)-1)))+1)+(1-INDEX('CASE MASTER'!$AB$2:$AB$495,(SUMPRODUCT((('CASE MASTER'!$T$2:$T$495=10)*('CASE MASTER'!$AA$2:$AA$495&lt;=7)*('CASE MASTER'!$AC$2:$AC$495&gt;=7)*('CASE MASTER'!$AB$2:$AB$495&lt;=1)*('CASE MASTER'!$AD$2:$AD$495&gt;=1))*ROW('CASE MASTER'!$T$2:$T$495))-(ROW('CASE MASTER'!#REF!)-1))))+1)))-1)*50+1,50))&amp;"_"&amp;INDEX('CASE MASTER'!$Q$2:$Q$495,(SUMPRODUCT((('CASE MASTER'!$T$2:$T$495=10)*('CASE MASTER'!$AA$2:$AA$495&lt;=7)*('CASE MASTER'!$AC$2:$AC$495&gt;=7)*('CASE MASTER'!$AB$2:$AB$495&lt;=1)*('CASE MASTER'!$AD$2:$AD$495&gt;=1))*ROW('CASE MASTER'!$T$2:$T$495))-(ROW('CASE MASTER'!#REF!)-1))),"")),"")</f>
        <v/>
      </c>
      <c r="C135" s="10" t="str">
        <f>IFERROR(IF(SUMPRODUCT((('CASE MASTER'!$T$2:$T$495=10)*('CASE MASTER'!$U$2:$U$495&lt;=7)*('CASE MASTER'!$W$2:$W$495&gt;=7)*('CASE MASTER'!$V$2:$V$495&lt;=2)*('CASE MASTER'!$X$2:$X$495&gt;=2))*ROW('CASE MASTER'!$T$2:$T$495))&gt;0,INDEX('CASE MASTER'!$Y$2:$Y$495,(SUMPRODUCT((('CASE MASTER'!$T$2:$T$495=10)*('CASE MASTER'!$U$2:$U$495&lt;=7)*('CASE MASTER'!$W$2:$W$495&gt;=7)*('CASE MASTER'!$V$2:$V$495&lt;=2)*('CASE MASTER'!$X$2:$X$495&gt;=2))*ROW('CASE MASTER'!$T$2:$T$495))-(ROW('CASE MASTER'!#REF!)-1)))&amp;TRIM(MID(SUBSTITUTE(SUBSTITUTE(INDEX('CASE MASTER'!$N$2:$N$495,(SUMPRODUCT((('CASE MASTER'!$T$2:$T$495=10)*('CASE MASTER'!$U$2:$U$495&lt;=7)*('CASE MASTER'!$W$2:$W$495&gt;=7)*('CASE MASTER'!$V$2:$V$495&lt;=2)*('CASE MASTER'!$X$2:$X$495&gt;=2))*ROW('CASE MASTER'!$T$2:$T$495))-(ROW('CASE MASTER'!#REF!)-1))),":",","),",",REPT(" ",50)),((((7-INDEX('CASE MASTER'!$U$2:$U$495,(SUMPRODUCT((('CASE MASTER'!$T$2:$T$495=10)*('CASE MASTER'!$U$2:$U$495&lt;=7)*('CASE MASTER'!$W$2:$W$495&gt;=7)*('CASE MASTER'!$V$2:$V$495&lt;=2)*('CASE MASTER'!$X$2:$X$495&gt;=2))*ROW('CASE MASTER'!$T$2:$T$495))-(ROW('CASE MASTER'!#REF!)-1))))*(INDEX('CASE MASTER'!$X$2:$X$495,(SUMPRODUCT((('CASE MASTER'!$T$2:$T$495=10)*('CASE MASTER'!$U$2:$U$495&lt;=7)*('CASE MASTER'!$W$2:$W$495&gt;=7)*('CASE MASTER'!$V$2:$V$495&lt;=2)*('CASE MASTER'!$X$2:$X$495&gt;=2))*ROW('CASE MASTER'!$T$2:$T$495))-(ROW('CASE MASTER'!#REF!)-1)))-INDEX('CASE MASTER'!$V$2:$V$495,(SUMPRODUCT((('CASE MASTER'!$T$2:$T$495=10)*('CASE MASTER'!$U$2:$U$495&lt;=7)*('CASE MASTER'!$W$2:$W$495&gt;=7)*('CASE MASTER'!$V$2:$V$495&lt;=2)*('CASE MASTER'!$X$2:$X$495&gt;=2))*ROW('CASE MASTER'!$T$2:$T$495))-(ROW('CASE MASTER'!#REF!)-1)))+1)+(2-INDEX('CASE MASTER'!$V$2:$V$495,(SUMPRODUCT((('CASE MASTER'!$T$2:$T$495=10)*('CASE MASTER'!$U$2:$U$495&lt;=7)*('CASE MASTER'!$W$2:$W$495&gt;=7)*('CASE MASTER'!$V$2:$V$495&lt;=2)*('CASE MASTER'!$X$2:$X$495&gt;=2))*ROW('CASE MASTER'!$T$2:$T$495))-(ROW('CASE MASTER'!#REF!)-1))))+1))-1)*50+1,50))&amp;"_"&amp;INDEX('CASE MASTER'!$Q$2:$Q$495,(SUMPRODUCT((('CASE MASTER'!$T$2:$T$495=10)*('CASE MASTER'!$U$2:$U$495&lt;=7)*('CASE MASTER'!$W$2:$W$495&gt;=7)*('CASE MASTER'!$V$2:$V$495&lt;=2)*('CASE MASTER'!$X$2:$X$495&gt;=2))*ROW('CASE MASTER'!$T$2:$T$495))-(ROW('CASE MASTER'!#REF!)-1))),IF(SUMPRODUCT((('CASE MASTER'!$T$2:$T$495=10)*('CASE MASTER'!$AA$2:$AA$495&lt;=7)*('CASE MASTER'!$AC$2:$AC$495&gt;=7)*('CASE MASTER'!$AB$2:$AB$495&lt;=2)*('CASE MASTER'!$AD$2:$AD$495&gt;=2))*ROW('CASE MASTER'!$T$2:$T$495))&gt;0,INDEX('CASE MASTER'!$Y$2:$Y$495,(SUMPRODUCT((('CASE MASTER'!$T$2:$T$495=10)*('CASE MASTER'!$AA$2:$AA$495&lt;=7)*('CASE MASTER'!$AC$2:$AC$495&gt;=7)*('CASE MASTER'!$AB$2:$AB$495&lt;=2)*('CASE MASTER'!$AD$2:$AD$495&gt;=2))*ROW('CASE MASTER'!$T$2:$T$495))-(ROW('CASE MASTER'!#REF!)-1)))&amp;TRIM(MID(SUBSTITUTE(SUBSTITUTE(INDEX('CASE MASTER'!$N$2:$N$495,(SUMPRODUCT((('CASE MASTER'!$T$2:$T$495=10)*('CASE MASTER'!$AA$2:$AA$495&lt;=7)*('CASE MASTER'!$AC$2:$AC$495&gt;=7)*('CASE MASTER'!$AB$2:$AB$495&lt;=2)*('CASE MASTER'!$AD$2:$AD$495&gt;=2))*ROW('CASE MASTER'!$T$2:$T$495))-(ROW('CASE MASTER'!#REF!)-1))),":",","),",",REPT(" ",50)),(((INDEX('CASE MASTER'!$Z$2:$Z$495,(SUMPRODUCT((('CASE MASTER'!$T$2:$T$495=10)*('CASE MASTER'!$AA$2:$AA$495&lt;=7)*('CASE MASTER'!$AC$2:$AC$495&gt;=7)*('CASE MASTER'!$AB$2:$AB$495&lt;=2)*('CASE MASTER'!$AD$2:$AD$495&gt;=2))*ROW('CASE MASTER'!$T$2:$T$495))-(ROW('CASE MASTER'!#REF!)-1)))+((7-INDEX('CASE MASTER'!$AA$2:$AA$495,(SUMPRODUCT((('CASE MASTER'!$T$2:$T$495=10)*('CASE MASTER'!$AA$2:$AA$495&lt;=7)*('CASE MASTER'!$AC$2:$AC$495&gt;=7)*('CASE MASTER'!$AB$2:$AB$495&lt;=2)*('CASE MASTER'!$AD$2:$AD$495&gt;=2))*ROW('CASE MASTER'!$T$2:$T$495))-(ROW('CASE MASTER'!#REF!)-1))))*(INDEX('CASE MASTER'!$AD$2:$AD$495,(SUMPRODUCT((('CASE MASTER'!$T$2:$T$495=10)*('CASE MASTER'!$AA$2:$AA$495&lt;=7)*('CASE MASTER'!$AC$2:$AC$495&gt;=7)*('CASE MASTER'!$AB$2:$AB$495&lt;=2)*('CASE MASTER'!$AD$2:$AD$495&gt;=2))*ROW('CASE MASTER'!$T$2:$T$495))-(ROW('CASE MASTER'!#REF!)-1)))-INDEX('CASE MASTER'!$AB$2:$AB$495,(SUMPRODUCT((('CASE MASTER'!$T$2:$T$495=10)*('CASE MASTER'!$AA$2:$AA$495&lt;=7)*('CASE MASTER'!$AC$2:$AC$495&gt;=7)*('CASE MASTER'!$AB$2:$AB$495&lt;=2)*('CASE MASTER'!$AD$2:$AD$495&gt;=2))*ROW('CASE MASTER'!$T$2:$T$495))-(ROW('CASE MASTER'!#REF!)-1)))+1)+(2-INDEX('CASE MASTER'!$AB$2:$AB$495,(SUMPRODUCT((('CASE MASTER'!$T$2:$T$495=10)*('CASE MASTER'!$AA$2:$AA$495&lt;=7)*('CASE MASTER'!$AC$2:$AC$495&gt;=7)*('CASE MASTER'!$AB$2:$AB$495&lt;=2)*('CASE MASTER'!$AD$2:$AD$495&gt;=2))*ROW('CASE MASTER'!$T$2:$T$495))-(ROW('CASE MASTER'!#REF!)-1))))+1)))-1)*50+1,50))&amp;"_"&amp;INDEX('CASE MASTER'!$Q$2:$Q$495,(SUMPRODUCT((('CASE MASTER'!$T$2:$T$495=10)*('CASE MASTER'!$AA$2:$AA$495&lt;=7)*('CASE MASTER'!$AC$2:$AC$495&gt;=7)*('CASE MASTER'!$AB$2:$AB$495&lt;=2)*('CASE MASTER'!$AD$2:$AD$495&gt;=2))*ROW('CASE MASTER'!$T$2:$T$495))-(ROW('CASE MASTER'!#REF!)-1))),"")),"")</f>
        <v/>
      </c>
      <c r="D135" s="10" t="str">
        <f>IFERROR(IF(SUMPRODUCT((('CASE MASTER'!$T$2:$T$495=10)*('CASE MASTER'!$U$2:$U$495&lt;=7)*('CASE MASTER'!$W$2:$W$495&gt;=7)*('CASE MASTER'!$V$2:$V$495&lt;=3)*('CASE MASTER'!$X$2:$X$495&gt;=3))*ROW('CASE MASTER'!$T$2:$T$495))&gt;0,INDEX('CASE MASTER'!$Y$2:$Y$495,(SUMPRODUCT((('CASE MASTER'!$T$2:$T$495=10)*('CASE MASTER'!$U$2:$U$495&lt;=7)*('CASE MASTER'!$W$2:$W$495&gt;=7)*('CASE MASTER'!$V$2:$V$495&lt;=3)*('CASE MASTER'!$X$2:$X$495&gt;=3))*ROW('CASE MASTER'!$T$2:$T$495))-(ROW('CASE MASTER'!#REF!)-1)))&amp;TRIM(MID(SUBSTITUTE(SUBSTITUTE(INDEX('CASE MASTER'!$N$2:$N$495,(SUMPRODUCT((('CASE MASTER'!$T$2:$T$495=10)*('CASE MASTER'!$U$2:$U$495&lt;=7)*('CASE MASTER'!$W$2:$W$495&gt;=7)*('CASE MASTER'!$V$2:$V$495&lt;=3)*('CASE MASTER'!$X$2:$X$495&gt;=3))*ROW('CASE MASTER'!$T$2:$T$495))-(ROW('CASE MASTER'!#REF!)-1))),":",","),",",REPT(" ",50)),((((7-INDEX('CASE MASTER'!$U$2:$U$495,(SUMPRODUCT((('CASE MASTER'!$T$2:$T$495=10)*('CASE MASTER'!$U$2:$U$495&lt;=7)*('CASE MASTER'!$W$2:$W$495&gt;=7)*('CASE MASTER'!$V$2:$V$495&lt;=3)*('CASE MASTER'!$X$2:$X$495&gt;=3))*ROW('CASE MASTER'!$T$2:$T$495))-(ROW('CASE MASTER'!#REF!)-1))))*(INDEX('CASE MASTER'!$X$2:$X$495,(SUMPRODUCT((('CASE MASTER'!$T$2:$T$495=10)*('CASE MASTER'!$U$2:$U$495&lt;=7)*('CASE MASTER'!$W$2:$W$495&gt;=7)*('CASE MASTER'!$V$2:$V$495&lt;=3)*('CASE MASTER'!$X$2:$X$495&gt;=3))*ROW('CASE MASTER'!$T$2:$T$495))-(ROW('CASE MASTER'!#REF!)-1)))-INDEX('CASE MASTER'!$V$2:$V$495,(SUMPRODUCT((('CASE MASTER'!$T$2:$T$495=10)*('CASE MASTER'!$U$2:$U$495&lt;=7)*('CASE MASTER'!$W$2:$W$495&gt;=7)*('CASE MASTER'!$V$2:$V$495&lt;=3)*('CASE MASTER'!$X$2:$X$495&gt;=3))*ROW('CASE MASTER'!$T$2:$T$495))-(ROW('CASE MASTER'!#REF!)-1)))+1)+(3-INDEX('CASE MASTER'!$V$2:$V$495,(SUMPRODUCT((('CASE MASTER'!$T$2:$T$495=10)*('CASE MASTER'!$U$2:$U$495&lt;=7)*('CASE MASTER'!$W$2:$W$495&gt;=7)*('CASE MASTER'!$V$2:$V$495&lt;=3)*('CASE MASTER'!$X$2:$X$495&gt;=3))*ROW('CASE MASTER'!$T$2:$T$495))-(ROW('CASE MASTER'!#REF!)-1))))+1))-1)*50+1,50))&amp;"_"&amp;INDEX('CASE MASTER'!$Q$2:$Q$495,(SUMPRODUCT((('CASE MASTER'!$T$2:$T$495=10)*('CASE MASTER'!$U$2:$U$495&lt;=7)*('CASE MASTER'!$W$2:$W$495&gt;=7)*('CASE MASTER'!$V$2:$V$495&lt;=3)*('CASE MASTER'!$X$2:$X$495&gt;=3))*ROW('CASE MASTER'!$T$2:$T$495))-(ROW('CASE MASTER'!#REF!)-1))),IF(SUMPRODUCT((('CASE MASTER'!$T$2:$T$495=10)*('CASE MASTER'!$AA$2:$AA$495&lt;=7)*('CASE MASTER'!$AC$2:$AC$495&gt;=7)*('CASE MASTER'!$AB$2:$AB$495&lt;=3)*('CASE MASTER'!$AD$2:$AD$495&gt;=3))*ROW('CASE MASTER'!$T$2:$T$495))&gt;0,INDEX('CASE MASTER'!$Y$2:$Y$495,(SUMPRODUCT((('CASE MASTER'!$T$2:$T$495=10)*('CASE MASTER'!$AA$2:$AA$495&lt;=7)*('CASE MASTER'!$AC$2:$AC$495&gt;=7)*('CASE MASTER'!$AB$2:$AB$495&lt;=3)*('CASE MASTER'!$AD$2:$AD$495&gt;=3))*ROW('CASE MASTER'!$T$2:$T$495))-(ROW('CASE MASTER'!#REF!)-1)))&amp;TRIM(MID(SUBSTITUTE(SUBSTITUTE(INDEX('CASE MASTER'!$N$2:$N$495,(SUMPRODUCT((('CASE MASTER'!$T$2:$T$495=10)*('CASE MASTER'!$AA$2:$AA$495&lt;=7)*('CASE MASTER'!$AC$2:$AC$495&gt;=7)*('CASE MASTER'!$AB$2:$AB$495&lt;=3)*('CASE MASTER'!$AD$2:$AD$495&gt;=3))*ROW('CASE MASTER'!$T$2:$T$495))-(ROW('CASE MASTER'!#REF!)-1))),":",","),",",REPT(" ",50)),(((INDEX('CASE MASTER'!$Z$2:$Z$495,(SUMPRODUCT((('CASE MASTER'!$T$2:$T$495=10)*('CASE MASTER'!$AA$2:$AA$495&lt;=7)*('CASE MASTER'!$AC$2:$AC$495&gt;=7)*('CASE MASTER'!$AB$2:$AB$495&lt;=3)*('CASE MASTER'!$AD$2:$AD$495&gt;=3))*ROW('CASE MASTER'!$T$2:$T$495))-(ROW('CASE MASTER'!#REF!)-1)))+((7-INDEX('CASE MASTER'!$AA$2:$AA$495,(SUMPRODUCT((('CASE MASTER'!$T$2:$T$495=10)*('CASE MASTER'!$AA$2:$AA$495&lt;=7)*('CASE MASTER'!$AC$2:$AC$495&gt;=7)*('CASE MASTER'!$AB$2:$AB$495&lt;=3)*('CASE MASTER'!$AD$2:$AD$495&gt;=3))*ROW('CASE MASTER'!$T$2:$T$495))-(ROW('CASE MASTER'!#REF!)-1))))*(INDEX('CASE MASTER'!$AD$2:$AD$495,(SUMPRODUCT((('CASE MASTER'!$T$2:$T$495=10)*('CASE MASTER'!$AA$2:$AA$495&lt;=7)*('CASE MASTER'!$AC$2:$AC$495&gt;=7)*('CASE MASTER'!$AB$2:$AB$495&lt;=3)*('CASE MASTER'!$AD$2:$AD$495&gt;=3))*ROW('CASE MASTER'!$T$2:$T$495))-(ROW('CASE MASTER'!#REF!)-1)))-INDEX('CASE MASTER'!$AB$2:$AB$495,(SUMPRODUCT((('CASE MASTER'!$T$2:$T$495=10)*('CASE MASTER'!$AA$2:$AA$495&lt;=7)*('CASE MASTER'!$AC$2:$AC$495&gt;=7)*('CASE MASTER'!$AB$2:$AB$495&lt;=3)*('CASE MASTER'!$AD$2:$AD$495&gt;=3))*ROW('CASE MASTER'!$T$2:$T$495))-(ROW('CASE MASTER'!#REF!)-1)))+1)+(3-INDEX('CASE MASTER'!$AB$2:$AB$495,(SUMPRODUCT((('CASE MASTER'!$T$2:$T$495=10)*('CASE MASTER'!$AA$2:$AA$495&lt;=7)*('CASE MASTER'!$AC$2:$AC$495&gt;=7)*('CASE MASTER'!$AB$2:$AB$495&lt;=3)*('CASE MASTER'!$AD$2:$AD$495&gt;=3))*ROW('CASE MASTER'!$T$2:$T$495))-(ROW('CASE MASTER'!#REF!)-1))))+1)))-1)*50+1,50))&amp;"_"&amp;INDEX('CASE MASTER'!$Q$2:$Q$495,(SUMPRODUCT((('CASE MASTER'!$T$2:$T$495=10)*('CASE MASTER'!$AA$2:$AA$495&lt;=7)*('CASE MASTER'!$AC$2:$AC$495&gt;=7)*('CASE MASTER'!$AB$2:$AB$495&lt;=3)*('CASE MASTER'!$AD$2:$AD$495&gt;=3))*ROW('CASE MASTER'!$T$2:$T$495))-(ROW('CASE MASTER'!#REF!)-1))),"")),"")</f>
        <v/>
      </c>
      <c r="E135" s="10" t="str">
        <f>IFERROR(IF(SUMPRODUCT((('CASE MASTER'!$T$2:$T$495=10)*('CASE MASTER'!$U$2:$U$495&lt;=7)*('CASE MASTER'!$W$2:$W$495&gt;=7)*('CASE MASTER'!$V$2:$V$495&lt;=4)*('CASE MASTER'!$X$2:$X$495&gt;=4))*ROW('CASE MASTER'!$T$2:$T$495))&gt;0,INDEX('CASE MASTER'!$Y$2:$Y$495,(SUMPRODUCT((('CASE MASTER'!$T$2:$T$495=10)*('CASE MASTER'!$U$2:$U$495&lt;=7)*('CASE MASTER'!$W$2:$W$495&gt;=7)*('CASE MASTER'!$V$2:$V$495&lt;=4)*('CASE MASTER'!$X$2:$X$495&gt;=4))*ROW('CASE MASTER'!$T$2:$T$495))-(ROW('CASE MASTER'!#REF!)-1)))&amp;TRIM(MID(SUBSTITUTE(SUBSTITUTE(INDEX('CASE MASTER'!$N$2:$N$495,(SUMPRODUCT((('CASE MASTER'!$T$2:$T$495=10)*('CASE MASTER'!$U$2:$U$495&lt;=7)*('CASE MASTER'!$W$2:$W$495&gt;=7)*('CASE MASTER'!$V$2:$V$495&lt;=4)*('CASE MASTER'!$X$2:$X$495&gt;=4))*ROW('CASE MASTER'!$T$2:$T$495))-(ROW('CASE MASTER'!#REF!)-1))),":",","),",",REPT(" ",50)),((((7-INDEX('CASE MASTER'!$U$2:$U$495,(SUMPRODUCT((('CASE MASTER'!$T$2:$T$495=10)*('CASE MASTER'!$U$2:$U$495&lt;=7)*('CASE MASTER'!$W$2:$W$495&gt;=7)*('CASE MASTER'!$V$2:$V$495&lt;=4)*('CASE MASTER'!$X$2:$X$495&gt;=4))*ROW('CASE MASTER'!$T$2:$T$495))-(ROW('CASE MASTER'!#REF!)-1))))*(INDEX('CASE MASTER'!$X$2:$X$495,(SUMPRODUCT((('CASE MASTER'!$T$2:$T$495=10)*('CASE MASTER'!$U$2:$U$495&lt;=7)*('CASE MASTER'!$W$2:$W$495&gt;=7)*('CASE MASTER'!$V$2:$V$495&lt;=4)*('CASE MASTER'!$X$2:$X$495&gt;=4))*ROW('CASE MASTER'!$T$2:$T$495))-(ROW('CASE MASTER'!#REF!)-1)))-INDEX('CASE MASTER'!$V$2:$V$495,(SUMPRODUCT((('CASE MASTER'!$T$2:$T$495=10)*('CASE MASTER'!$U$2:$U$495&lt;=7)*('CASE MASTER'!$W$2:$W$495&gt;=7)*('CASE MASTER'!$V$2:$V$495&lt;=4)*('CASE MASTER'!$X$2:$X$495&gt;=4))*ROW('CASE MASTER'!$T$2:$T$495))-(ROW('CASE MASTER'!#REF!)-1)))+1)+(4-INDEX('CASE MASTER'!$V$2:$V$495,(SUMPRODUCT((('CASE MASTER'!$T$2:$T$495=10)*('CASE MASTER'!$U$2:$U$495&lt;=7)*('CASE MASTER'!$W$2:$W$495&gt;=7)*('CASE MASTER'!$V$2:$V$495&lt;=4)*('CASE MASTER'!$X$2:$X$495&gt;=4))*ROW('CASE MASTER'!$T$2:$T$495))-(ROW('CASE MASTER'!#REF!)-1))))+1))-1)*50+1,50))&amp;"_"&amp;INDEX('CASE MASTER'!$Q$2:$Q$495,(SUMPRODUCT((('CASE MASTER'!$T$2:$T$495=10)*('CASE MASTER'!$U$2:$U$495&lt;=7)*('CASE MASTER'!$W$2:$W$495&gt;=7)*('CASE MASTER'!$V$2:$V$495&lt;=4)*('CASE MASTER'!$X$2:$X$495&gt;=4))*ROW('CASE MASTER'!$T$2:$T$495))-(ROW('CASE MASTER'!#REF!)-1))),IF(SUMPRODUCT((('CASE MASTER'!$T$2:$T$495=10)*('CASE MASTER'!$AA$2:$AA$495&lt;=7)*('CASE MASTER'!$AC$2:$AC$495&gt;=7)*('CASE MASTER'!$AB$2:$AB$495&lt;=4)*('CASE MASTER'!$AD$2:$AD$495&gt;=4))*ROW('CASE MASTER'!$T$2:$T$495))&gt;0,INDEX('CASE MASTER'!$Y$2:$Y$495,(SUMPRODUCT((('CASE MASTER'!$T$2:$T$495=10)*('CASE MASTER'!$AA$2:$AA$495&lt;=7)*('CASE MASTER'!$AC$2:$AC$495&gt;=7)*('CASE MASTER'!$AB$2:$AB$495&lt;=4)*('CASE MASTER'!$AD$2:$AD$495&gt;=4))*ROW('CASE MASTER'!$T$2:$T$495))-(ROW('CASE MASTER'!#REF!)-1)))&amp;TRIM(MID(SUBSTITUTE(SUBSTITUTE(INDEX('CASE MASTER'!$N$2:$N$495,(SUMPRODUCT((('CASE MASTER'!$T$2:$T$495=10)*('CASE MASTER'!$AA$2:$AA$495&lt;=7)*('CASE MASTER'!$AC$2:$AC$495&gt;=7)*('CASE MASTER'!$AB$2:$AB$495&lt;=4)*('CASE MASTER'!$AD$2:$AD$495&gt;=4))*ROW('CASE MASTER'!$T$2:$T$495))-(ROW('CASE MASTER'!#REF!)-1))),":",","),",",REPT(" ",50)),(((INDEX('CASE MASTER'!$Z$2:$Z$495,(SUMPRODUCT((('CASE MASTER'!$T$2:$T$495=10)*('CASE MASTER'!$AA$2:$AA$495&lt;=7)*('CASE MASTER'!$AC$2:$AC$495&gt;=7)*('CASE MASTER'!$AB$2:$AB$495&lt;=4)*('CASE MASTER'!$AD$2:$AD$495&gt;=4))*ROW('CASE MASTER'!$T$2:$T$495))-(ROW('CASE MASTER'!#REF!)-1)))+((7-INDEX('CASE MASTER'!$AA$2:$AA$495,(SUMPRODUCT((('CASE MASTER'!$T$2:$T$495=10)*('CASE MASTER'!$AA$2:$AA$495&lt;=7)*('CASE MASTER'!$AC$2:$AC$495&gt;=7)*('CASE MASTER'!$AB$2:$AB$495&lt;=4)*('CASE MASTER'!$AD$2:$AD$495&gt;=4))*ROW('CASE MASTER'!$T$2:$T$495))-(ROW('CASE MASTER'!#REF!)-1))))*(INDEX('CASE MASTER'!$AD$2:$AD$495,(SUMPRODUCT((('CASE MASTER'!$T$2:$T$495=10)*('CASE MASTER'!$AA$2:$AA$495&lt;=7)*('CASE MASTER'!$AC$2:$AC$495&gt;=7)*('CASE MASTER'!$AB$2:$AB$495&lt;=4)*('CASE MASTER'!$AD$2:$AD$495&gt;=4))*ROW('CASE MASTER'!$T$2:$T$495))-(ROW('CASE MASTER'!#REF!)-1)))-INDEX('CASE MASTER'!$AB$2:$AB$495,(SUMPRODUCT((('CASE MASTER'!$T$2:$T$495=10)*('CASE MASTER'!$AA$2:$AA$495&lt;=7)*('CASE MASTER'!$AC$2:$AC$495&gt;=7)*('CASE MASTER'!$AB$2:$AB$495&lt;=4)*('CASE MASTER'!$AD$2:$AD$495&gt;=4))*ROW('CASE MASTER'!$T$2:$T$495))-(ROW('CASE MASTER'!#REF!)-1)))+1)+(4-INDEX('CASE MASTER'!$AB$2:$AB$495,(SUMPRODUCT((('CASE MASTER'!$T$2:$T$495=10)*('CASE MASTER'!$AA$2:$AA$495&lt;=7)*('CASE MASTER'!$AC$2:$AC$495&gt;=7)*('CASE MASTER'!$AB$2:$AB$495&lt;=4)*('CASE MASTER'!$AD$2:$AD$495&gt;=4))*ROW('CASE MASTER'!$T$2:$T$495))-(ROW('CASE MASTER'!#REF!)-1))))+1)))-1)*50+1,50))&amp;"_"&amp;INDEX('CASE MASTER'!$Q$2:$Q$495,(SUMPRODUCT((('CASE MASTER'!$T$2:$T$495=10)*('CASE MASTER'!$AA$2:$AA$495&lt;=7)*('CASE MASTER'!$AC$2:$AC$495&gt;=7)*('CASE MASTER'!$AB$2:$AB$495&lt;=4)*('CASE MASTER'!$AD$2:$AD$495&gt;=4))*ROW('CASE MASTER'!$T$2:$T$495))-(ROW('CASE MASTER'!#REF!)-1))),"")),"")</f>
        <v/>
      </c>
      <c r="F135" s="10" t="str">
        <f>IFERROR(IF(SUMPRODUCT((('CASE MASTER'!$T$2:$T$495=10)*('CASE MASTER'!$U$2:$U$495&lt;=7)*('CASE MASTER'!$W$2:$W$495&gt;=7)*('CASE MASTER'!$V$2:$V$495&lt;=5)*('CASE MASTER'!$X$2:$X$495&gt;=5))*ROW('CASE MASTER'!$T$2:$T$495))&gt;0,INDEX('CASE MASTER'!$Y$2:$Y$495,(SUMPRODUCT((('CASE MASTER'!$T$2:$T$495=10)*('CASE MASTER'!$U$2:$U$495&lt;=7)*('CASE MASTER'!$W$2:$W$495&gt;=7)*('CASE MASTER'!$V$2:$V$495&lt;=5)*('CASE MASTER'!$X$2:$X$495&gt;=5))*ROW('CASE MASTER'!$T$2:$T$495))-(ROW('CASE MASTER'!#REF!)-1)))&amp;TRIM(MID(SUBSTITUTE(SUBSTITUTE(INDEX('CASE MASTER'!$N$2:$N$495,(SUMPRODUCT((('CASE MASTER'!$T$2:$T$495=10)*('CASE MASTER'!$U$2:$U$495&lt;=7)*('CASE MASTER'!$W$2:$W$495&gt;=7)*('CASE MASTER'!$V$2:$V$495&lt;=5)*('CASE MASTER'!$X$2:$X$495&gt;=5))*ROW('CASE MASTER'!$T$2:$T$495))-(ROW('CASE MASTER'!#REF!)-1))),":",","),",",REPT(" ",50)),((((7-INDEX('CASE MASTER'!$U$2:$U$495,(SUMPRODUCT((('CASE MASTER'!$T$2:$T$495=10)*('CASE MASTER'!$U$2:$U$495&lt;=7)*('CASE MASTER'!$W$2:$W$495&gt;=7)*('CASE MASTER'!$V$2:$V$495&lt;=5)*('CASE MASTER'!$X$2:$X$495&gt;=5))*ROW('CASE MASTER'!$T$2:$T$495))-(ROW('CASE MASTER'!#REF!)-1))))*(INDEX('CASE MASTER'!$X$2:$X$495,(SUMPRODUCT((('CASE MASTER'!$T$2:$T$495=10)*('CASE MASTER'!$U$2:$U$495&lt;=7)*('CASE MASTER'!$W$2:$W$495&gt;=7)*('CASE MASTER'!$V$2:$V$495&lt;=5)*('CASE MASTER'!$X$2:$X$495&gt;=5))*ROW('CASE MASTER'!$T$2:$T$495))-(ROW('CASE MASTER'!#REF!)-1)))-INDEX('CASE MASTER'!$V$2:$V$495,(SUMPRODUCT((('CASE MASTER'!$T$2:$T$495=10)*('CASE MASTER'!$U$2:$U$495&lt;=7)*('CASE MASTER'!$W$2:$W$495&gt;=7)*('CASE MASTER'!$V$2:$V$495&lt;=5)*('CASE MASTER'!$X$2:$X$495&gt;=5))*ROW('CASE MASTER'!$T$2:$T$495))-(ROW('CASE MASTER'!#REF!)-1)))+1)+(5-INDEX('CASE MASTER'!$V$2:$V$495,(SUMPRODUCT((('CASE MASTER'!$T$2:$T$495=10)*('CASE MASTER'!$U$2:$U$495&lt;=7)*('CASE MASTER'!$W$2:$W$495&gt;=7)*('CASE MASTER'!$V$2:$V$495&lt;=5)*('CASE MASTER'!$X$2:$X$495&gt;=5))*ROW('CASE MASTER'!$T$2:$T$495))-(ROW('CASE MASTER'!#REF!)-1))))+1))-1)*50+1,50))&amp;"_"&amp;INDEX('CASE MASTER'!$Q$2:$Q$495,(SUMPRODUCT((('CASE MASTER'!$T$2:$T$495=10)*('CASE MASTER'!$U$2:$U$495&lt;=7)*('CASE MASTER'!$W$2:$W$495&gt;=7)*('CASE MASTER'!$V$2:$V$495&lt;=5)*('CASE MASTER'!$X$2:$X$495&gt;=5))*ROW('CASE MASTER'!$T$2:$T$495))-(ROW('CASE MASTER'!#REF!)-1))),IF(SUMPRODUCT((('CASE MASTER'!$T$2:$T$495=10)*('CASE MASTER'!$AA$2:$AA$495&lt;=7)*('CASE MASTER'!$AC$2:$AC$495&gt;=7)*('CASE MASTER'!$AB$2:$AB$495&lt;=5)*('CASE MASTER'!$AD$2:$AD$495&gt;=5))*ROW('CASE MASTER'!$T$2:$T$495))&gt;0,INDEX('CASE MASTER'!$Y$2:$Y$495,(SUMPRODUCT((('CASE MASTER'!$T$2:$T$495=10)*('CASE MASTER'!$AA$2:$AA$495&lt;=7)*('CASE MASTER'!$AC$2:$AC$495&gt;=7)*('CASE MASTER'!$AB$2:$AB$495&lt;=5)*('CASE MASTER'!$AD$2:$AD$495&gt;=5))*ROW('CASE MASTER'!$T$2:$T$495))-(ROW('CASE MASTER'!#REF!)-1)))&amp;TRIM(MID(SUBSTITUTE(SUBSTITUTE(INDEX('CASE MASTER'!$N$2:$N$495,(SUMPRODUCT((('CASE MASTER'!$T$2:$T$495=10)*('CASE MASTER'!$AA$2:$AA$495&lt;=7)*('CASE MASTER'!$AC$2:$AC$495&gt;=7)*('CASE MASTER'!$AB$2:$AB$495&lt;=5)*('CASE MASTER'!$AD$2:$AD$495&gt;=5))*ROW('CASE MASTER'!$T$2:$T$495))-(ROW('CASE MASTER'!#REF!)-1))),":",","),",",REPT(" ",50)),(((INDEX('CASE MASTER'!$Z$2:$Z$495,(SUMPRODUCT((('CASE MASTER'!$T$2:$T$495=10)*('CASE MASTER'!$AA$2:$AA$495&lt;=7)*('CASE MASTER'!$AC$2:$AC$495&gt;=7)*('CASE MASTER'!$AB$2:$AB$495&lt;=5)*('CASE MASTER'!$AD$2:$AD$495&gt;=5))*ROW('CASE MASTER'!$T$2:$T$495))-(ROW('CASE MASTER'!#REF!)-1)))+((7-INDEX('CASE MASTER'!$AA$2:$AA$495,(SUMPRODUCT((('CASE MASTER'!$T$2:$T$495=10)*('CASE MASTER'!$AA$2:$AA$495&lt;=7)*('CASE MASTER'!$AC$2:$AC$495&gt;=7)*('CASE MASTER'!$AB$2:$AB$495&lt;=5)*('CASE MASTER'!$AD$2:$AD$495&gt;=5))*ROW('CASE MASTER'!$T$2:$T$495))-(ROW('CASE MASTER'!#REF!)-1))))*(INDEX('CASE MASTER'!$AD$2:$AD$495,(SUMPRODUCT((('CASE MASTER'!$T$2:$T$495=10)*('CASE MASTER'!$AA$2:$AA$495&lt;=7)*('CASE MASTER'!$AC$2:$AC$495&gt;=7)*('CASE MASTER'!$AB$2:$AB$495&lt;=5)*('CASE MASTER'!$AD$2:$AD$495&gt;=5))*ROW('CASE MASTER'!$T$2:$T$495))-(ROW('CASE MASTER'!#REF!)-1)))-INDEX('CASE MASTER'!$AB$2:$AB$495,(SUMPRODUCT((('CASE MASTER'!$T$2:$T$495=10)*('CASE MASTER'!$AA$2:$AA$495&lt;=7)*('CASE MASTER'!$AC$2:$AC$495&gt;=7)*('CASE MASTER'!$AB$2:$AB$495&lt;=5)*('CASE MASTER'!$AD$2:$AD$495&gt;=5))*ROW('CASE MASTER'!$T$2:$T$495))-(ROW('CASE MASTER'!#REF!)-1)))+1)+(5-INDEX('CASE MASTER'!$AB$2:$AB$495,(SUMPRODUCT((('CASE MASTER'!$T$2:$T$495=10)*('CASE MASTER'!$AA$2:$AA$495&lt;=7)*('CASE MASTER'!$AC$2:$AC$495&gt;=7)*('CASE MASTER'!$AB$2:$AB$495&lt;=5)*('CASE MASTER'!$AD$2:$AD$495&gt;=5))*ROW('CASE MASTER'!$T$2:$T$495))-(ROW('CASE MASTER'!#REF!)-1))))+1)))-1)*50+1,50))&amp;"_"&amp;INDEX('CASE MASTER'!$Q$2:$Q$495,(SUMPRODUCT((('CASE MASTER'!$T$2:$T$495=10)*('CASE MASTER'!$AA$2:$AA$495&lt;=7)*('CASE MASTER'!$AC$2:$AC$495&gt;=7)*('CASE MASTER'!$AB$2:$AB$495&lt;=5)*('CASE MASTER'!$AD$2:$AD$495&gt;=5))*ROW('CASE MASTER'!$T$2:$T$495))-(ROW('CASE MASTER'!#REF!)-1))),"")),"")</f>
        <v/>
      </c>
      <c r="G135" s="10" t="str">
        <f>IFERROR(IF(SUMPRODUCT((('CASE MASTER'!$T$2:$T$495=10)*('CASE MASTER'!$U$2:$U$495&lt;=7)*('CASE MASTER'!$W$2:$W$495&gt;=7)*('CASE MASTER'!$V$2:$V$495&lt;=6)*('CASE MASTER'!$X$2:$X$495&gt;=6))*ROW('CASE MASTER'!$T$2:$T$495))&gt;0,INDEX('CASE MASTER'!$Y$2:$Y$495,(SUMPRODUCT((('CASE MASTER'!$T$2:$T$495=10)*('CASE MASTER'!$U$2:$U$495&lt;=7)*('CASE MASTER'!$W$2:$W$495&gt;=7)*('CASE MASTER'!$V$2:$V$495&lt;=6)*('CASE MASTER'!$X$2:$X$495&gt;=6))*ROW('CASE MASTER'!$T$2:$T$495))-(ROW('CASE MASTER'!#REF!)-1)))&amp;TRIM(MID(SUBSTITUTE(SUBSTITUTE(INDEX('CASE MASTER'!$N$2:$N$495,(SUMPRODUCT((('CASE MASTER'!$T$2:$T$495=10)*('CASE MASTER'!$U$2:$U$495&lt;=7)*('CASE MASTER'!$W$2:$W$495&gt;=7)*('CASE MASTER'!$V$2:$V$495&lt;=6)*('CASE MASTER'!$X$2:$X$495&gt;=6))*ROW('CASE MASTER'!$T$2:$T$495))-(ROW('CASE MASTER'!#REF!)-1))),":",","),",",REPT(" ",50)),((((7-INDEX('CASE MASTER'!$U$2:$U$495,(SUMPRODUCT((('CASE MASTER'!$T$2:$T$495=10)*('CASE MASTER'!$U$2:$U$495&lt;=7)*('CASE MASTER'!$W$2:$W$495&gt;=7)*('CASE MASTER'!$V$2:$V$495&lt;=6)*('CASE MASTER'!$X$2:$X$495&gt;=6))*ROW('CASE MASTER'!$T$2:$T$495))-(ROW('CASE MASTER'!#REF!)-1))))*(INDEX('CASE MASTER'!$X$2:$X$495,(SUMPRODUCT((('CASE MASTER'!$T$2:$T$495=10)*('CASE MASTER'!$U$2:$U$495&lt;=7)*('CASE MASTER'!$W$2:$W$495&gt;=7)*('CASE MASTER'!$V$2:$V$495&lt;=6)*('CASE MASTER'!$X$2:$X$495&gt;=6))*ROW('CASE MASTER'!$T$2:$T$495))-(ROW('CASE MASTER'!#REF!)-1)))-INDEX('CASE MASTER'!$V$2:$V$495,(SUMPRODUCT((('CASE MASTER'!$T$2:$T$495=10)*('CASE MASTER'!$U$2:$U$495&lt;=7)*('CASE MASTER'!$W$2:$W$495&gt;=7)*('CASE MASTER'!$V$2:$V$495&lt;=6)*('CASE MASTER'!$X$2:$X$495&gt;=6))*ROW('CASE MASTER'!$T$2:$T$495))-(ROW('CASE MASTER'!#REF!)-1)))+1)+(6-INDEX('CASE MASTER'!$V$2:$V$495,(SUMPRODUCT((('CASE MASTER'!$T$2:$T$495=10)*('CASE MASTER'!$U$2:$U$495&lt;=7)*('CASE MASTER'!$W$2:$W$495&gt;=7)*('CASE MASTER'!$V$2:$V$495&lt;=6)*('CASE MASTER'!$X$2:$X$495&gt;=6))*ROW('CASE MASTER'!$T$2:$T$495))-(ROW('CASE MASTER'!#REF!)-1))))+1))-1)*50+1,50))&amp;"_"&amp;INDEX('CASE MASTER'!$Q$2:$Q$495,(SUMPRODUCT((('CASE MASTER'!$T$2:$T$495=10)*('CASE MASTER'!$U$2:$U$495&lt;=7)*('CASE MASTER'!$W$2:$W$495&gt;=7)*('CASE MASTER'!$V$2:$V$495&lt;=6)*('CASE MASTER'!$X$2:$X$495&gt;=6))*ROW('CASE MASTER'!$T$2:$T$495))-(ROW('CASE MASTER'!#REF!)-1))),IF(SUMPRODUCT((('CASE MASTER'!$T$2:$T$495=10)*('CASE MASTER'!$AA$2:$AA$495&lt;=7)*('CASE MASTER'!$AC$2:$AC$495&gt;=7)*('CASE MASTER'!$AB$2:$AB$495&lt;=6)*('CASE MASTER'!$AD$2:$AD$495&gt;=6))*ROW('CASE MASTER'!$T$2:$T$495))&gt;0,INDEX('CASE MASTER'!$Y$2:$Y$495,(SUMPRODUCT((('CASE MASTER'!$T$2:$T$495=10)*('CASE MASTER'!$AA$2:$AA$495&lt;=7)*('CASE MASTER'!$AC$2:$AC$495&gt;=7)*('CASE MASTER'!$AB$2:$AB$495&lt;=6)*('CASE MASTER'!$AD$2:$AD$495&gt;=6))*ROW('CASE MASTER'!$T$2:$T$495))-(ROW('CASE MASTER'!#REF!)-1)))&amp;TRIM(MID(SUBSTITUTE(SUBSTITUTE(INDEX('CASE MASTER'!$N$2:$N$495,(SUMPRODUCT((('CASE MASTER'!$T$2:$T$495=10)*('CASE MASTER'!$AA$2:$AA$495&lt;=7)*('CASE MASTER'!$AC$2:$AC$495&gt;=7)*('CASE MASTER'!$AB$2:$AB$495&lt;=6)*('CASE MASTER'!$AD$2:$AD$495&gt;=6))*ROW('CASE MASTER'!$T$2:$T$495))-(ROW('CASE MASTER'!#REF!)-1))),":",","),",",REPT(" ",50)),(((INDEX('CASE MASTER'!$Z$2:$Z$495,(SUMPRODUCT((('CASE MASTER'!$T$2:$T$495=10)*('CASE MASTER'!$AA$2:$AA$495&lt;=7)*('CASE MASTER'!$AC$2:$AC$495&gt;=7)*('CASE MASTER'!$AB$2:$AB$495&lt;=6)*('CASE MASTER'!$AD$2:$AD$495&gt;=6))*ROW('CASE MASTER'!$T$2:$T$495))-(ROW('CASE MASTER'!#REF!)-1)))+((7-INDEX('CASE MASTER'!$AA$2:$AA$495,(SUMPRODUCT((('CASE MASTER'!$T$2:$T$495=10)*('CASE MASTER'!$AA$2:$AA$495&lt;=7)*('CASE MASTER'!$AC$2:$AC$495&gt;=7)*('CASE MASTER'!$AB$2:$AB$495&lt;=6)*('CASE MASTER'!$AD$2:$AD$495&gt;=6))*ROW('CASE MASTER'!$T$2:$T$495))-(ROW('CASE MASTER'!#REF!)-1))))*(INDEX('CASE MASTER'!$AD$2:$AD$495,(SUMPRODUCT((('CASE MASTER'!$T$2:$T$495=10)*('CASE MASTER'!$AA$2:$AA$495&lt;=7)*('CASE MASTER'!$AC$2:$AC$495&gt;=7)*('CASE MASTER'!$AB$2:$AB$495&lt;=6)*('CASE MASTER'!$AD$2:$AD$495&gt;=6))*ROW('CASE MASTER'!$T$2:$T$495))-(ROW('CASE MASTER'!#REF!)-1)))-INDEX('CASE MASTER'!$AB$2:$AB$495,(SUMPRODUCT((('CASE MASTER'!$T$2:$T$495=10)*('CASE MASTER'!$AA$2:$AA$495&lt;=7)*('CASE MASTER'!$AC$2:$AC$495&gt;=7)*('CASE MASTER'!$AB$2:$AB$495&lt;=6)*('CASE MASTER'!$AD$2:$AD$495&gt;=6))*ROW('CASE MASTER'!$T$2:$T$495))-(ROW('CASE MASTER'!#REF!)-1)))+1)+(6-INDEX('CASE MASTER'!$AB$2:$AB$495,(SUMPRODUCT((('CASE MASTER'!$T$2:$T$495=10)*('CASE MASTER'!$AA$2:$AA$495&lt;=7)*('CASE MASTER'!$AC$2:$AC$495&gt;=7)*('CASE MASTER'!$AB$2:$AB$495&lt;=6)*('CASE MASTER'!$AD$2:$AD$495&gt;=6))*ROW('CASE MASTER'!$T$2:$T$495))-(ROW('CASE MASTER'!#REF!)-1))))+1)))-1)*50+1,50))&amp;"_"&amp;INDEX('CASE MASTER'!$Q$2:$Q$495,(SUMPRODUCT((('CASE MASTER'!$T$2:$T$495=10)*('CASE MASTER'!$AA$2:$AA$495&lt;=7)*('CASE MASTER'!$AC$2:$AC$495&gt;=7)*('CASE MASTER'!$AB$2:$AB$495&lt;=6)*('CASE MASTER'!$AD$2:$AD$495&gt;=6))*ROW('CASE MASTER'!$T$2:$T$495))-(ROW('CASE MASTER'!#REF!)-1))),"")),"")</f>
        <v/>
      </c>
      <c r="H135" s="10" t="str">
        <f>IFERROR(IF(SUMPRODUCT((('CASE MASTER'!$T$2:$T$495=10)*('CASE MASTER'!$U$2:$U$495&lt;=7)*('CASE MASTER'!$W$2:$W$495&gt;=7)*('CASE MASTER'!$V$2:$V$495&lt;=7)*('CASE MASTER'!$X$2:$X$495&gt;=7))*ROW('CASE MASTER'!$T$2:$T$495))&gt;0,INDEX('CASE MASTER'!$Y$2:$Y$495,(SUMPRODUCT((('CASE MASTER'!$T$2:$T$495=10)*('CASE MASTER'!$U$2:$U$495&lt;=7)*('CASE MASTER'!$W$2:$W$495&gt;=7)*('CASE MASTER'!$V$2:$V$495&lt;=7)*('CASE MASTER'!$X$2:$X$495&gt;=7))*ROW('CASE MASTER'!$T$2:$T$495))-(ROW('CASE MASTER'!#REF!)-1)))&amp;TRIM(MID(SUBSTITUTE(SUBSTITUTE(INDEX('CASE MASTER'!$N$2:$N$495,(SUMPRODUCT((('CASE MASTER'!$T$2:$T$495=10)*('CASE MASTER'!$U$2:$U$495&lt;=7)*('CASE MASTER'!$W$2:$W$495&gt;=7)*('CASE MASTER'!$V$2:$V$495&lt;=7)*('CASE MASTER'!$X$2:$X$495&gt;=7))*ROW('CASE MASTER'!$T$2:$T$495))-(ROW('CASE MASTER'!#REF!)-1))),":",","),",",REPT(" ",50)),((((7-INDEX('CASE MASTER'!$U$2:$U$495,(SUMPRODUCT((('CASE MASTER'!$T$2:$T$495=10)*('CASE MASTER'!$U$2:$U$495&lt;=7)*('CASE MASTER'!$W$2:$W$495&gt;=7)*('CASE MASTER'!$V$2:$V$495&lt;=7)*('CASE MASTER'!$X$2:$X$495&gt;=7))*ROW('CASE MASTER'!$T$2:$T$495))-(ROW('CASE MASTER'!#REF!)-1))))*(INDEX('CASE MASTER'!$X$2:$X$495,(SUMPRODUCT((('CASE MASTER'!$T$2:$T$495=10)*('CASE MASTER'!$U$2:$U$495&lt;=7)*('CASE MASTER'!$W$2:$W$495&gt;=7)*('CASE MASTER'!$V$2:$V$495&lt;=7)*('CASE MASTER'!$X$2:$X$495&gt;=7))*ROW('CASE MASTER'!$T$2:$T$495))-(ROW('CASE MASTER'!#REF!)-1)))-INDEX('CASE MASTER'!$V$2:$V$495,(SUMPRODUCT((('CASE MASTER'!$T$2:$T$495=10)*('CASE MASTER'!$U$2:$U$495&lt;=7)*('CASE MASTER'!$W$2:$W$495&gt;=7)*('CASE MASTER'!$V$2:$V$495&lt;=7)*('CASE MASTER'!$X$2:$X$495&gt;=7))*ROW('CASE MASTER'!$T$2:$T$495))-(ROW('CASE MASTER'!#REF!)-1)))+1)+(7-INDEX('CASE MASTER'!$V$2:$V$495,(SUMPRODUCT((('CASE MASTER'!$T$2:$T$495=10)*('CASE MASTER'!$U$2:$U$495&lt;=7)*('CASE MASTER'!$W$2:$W$495&gt;=7)*('CASE MASTER'!$V$2:$V$495&lt;=7)*('CASE MASTER'!$X$2:$X$495&gt;=7))*ROW('CASE MASTER'!$T$2:$T$495))-(ROW('CASE MASTER'!#REF!)-1))))+1))-1)*50+1,50))&amp;"_"&amp;INDEX('CASE MASTER'!$Q$2:$Q$495,(SUMPRODUCT((('CASE MASTER'!$T$2:$T$495=10)*('CASE MASTER'!$U$2:$U$495&lt;=7)*('CASE MASTER'!$W$2:$W$495&gt;=7)*('CASE MASTER'!$V$2:$V$495&lt;=7)*('CASE MASTER'!$X$2:$X$495&gt;=7))*ROW('CASE MASTER'!$T$2:$T$495))-(ROW('CASE MASTER'!#REF!)-1))),IF(SUMPRODUCT((('CASE MASTER'!$T$2:$T$495=10)*('CASE MASTER'!$AA$2:$AA$495&lt;=7)*('CASE MASTER'!$AC$2:$AC$495&gt;=7)*('CASE MASTER'!$AB$2:$AB$495&lt;=7)*('CASE MASTER'!$AD$2:$AD$495&gt;=7))*ROW('CASE MASTER'!$T$2:$T$495))&gt;0,INDEX('CASE MASTER'!$Y$2:$Y$495,(SUMPRODUCT((('CASE MASTER'!$T$2:$T$495=10)*('CASE MASTER'!$AA$2:$AA$495&lt;=7)*('CASE MASTER'!$AC$2:$AC$495&gt;=7)*('CASE MASTER'!$AB$2:$AB$495&lt;=7)*('CASE MASTER'!$AD$2:$AD$495&gt;=7))*ROW('CASE MASTER'!$T$2:$T$495))-(ROW('CASE MASTER'!#REF!)-1)))&amp;TRIM(MID(SUBSTITUTE(SUBSTITUTE(INDEX('CASE MASTER'!$N$2:$N$495,(SUMPRODUCT((('CASE MASTER'!$T$2:$T$495=10)*('CASE MASTER'!$AA$2:$AA$495&lt;=7)*('CASE MASTER'!$AC$2:$AC$495&gt;=7)*('CASE MASTER'!$AB$2:$AB$495&lt;=7)*('CASE MASTER'!$AD$2:$AD$495&gt;=7))*ROW('CASE MASTER'!$T$2:$T$495))-(ROW('CASE MASTER'!#REF!)-1))),":",","),",",REPT(" ",50)),(((INDEX('CASE MASTER'!$Z$2:$Z$495,(SUMPRODUCT((('CASE MASTER'!$T$2:$T$495=10)*('CASE MASTER'!$AA$2:$AA$495&lt;=7)*('CASE MASTER'!$AC$2:$AC$495&gt;=7)*('CASE MASTER'!$AB$2:$AB$495&lt;=7)*('CASE MASTER'!$AD$2:$AD$495&gt;=7))*ROW('CASE MASTER'!$T$2:$T$495))-(ROW('CASE MASTER'!#REF!)-1)))+((7-INDEX('CASE MASTER'!$AA$2:$AA$495,(SUMPRODUCT((('CASE MASTER'!$T$2:$T$495=10)*('CASE MASTER'!$AA$2:$AA$495&lt;=7)*('CASE MASTER'!$AC$2:$AC$495&gt;=7)*('CASE MASTER'!$AB$2:$AB$495&lt;=7)*('CASE MASTER'!$AD$2:$AD$495&gt;=7))*ROW('CASE MASTER'!$T$2:$T$495))-(ROW('CASE MASTER'!#REF!)-1))))*(INDEX('CASE MASTER'!$AD$2:$AD$495,(SUMPRODUCT((('CASE MASTER'!$T$2:$T$495=10)*('CASE MASTER'!$AA$2:$AA$495&lt;=7)*('CASE MASTER'!$AC$2:$AC$495&gt;=7)*('CASE MASTER'!$AB$2:$AB$495&lt;=7)*('CASE MASTER'!$AD$2:$AD$495&gt;=7))*ROW('CASE MASTER'!$T$2:$T$495))-(ROW('CASE MASTER'!#REF!)-1)))-INDEX('CASE MASTER'!$AB$2:$AB$495,(SUMPRODUCT((('CASE MASTER'!$T$2:$T$495=10)*('CASE MASTER'!$AA$2:$AA$495&lt;=7)*('CASE MASTER'!$AC$2:$AC$495&gt;=7)*('CASE MASTER'!$AB$2:$AB$495&lt;=7)*('CASE MASTER'!$AD$2:$AD$495&gt;=7))*ROW('CASE MASTER'!$T$2:$T$495))-(ROW('CASE MASTER'!#REF!)-1)))+1)+(7-INDEX('CASE MASTER'!$AB$2:$AB$495,(SUMPRODUCT((('CASE MASTER'!$T$2:$T$495=10)*('CASE MASTER'!$AA$2:$AA$495&lt;=7)*('CASE MASTER'!$AC$2:$AC$495&gt;=7)*('CASE MASTER'!$AB$2:$AB$495&lt;=7)*('CASE MASTER'!$AD$2:$AD$495&gt;=7))*ROW('CASE MASTER'!$T$2:$T$495))-(ROW('CASE MASTER'!#REF!)-1))))+1)))-1)*50+1,50))&amp;"_"&amp;INDEX('CASE MASTER'!$Q$2:$Q$495,(SUMPRODUCT((('CASE MASTER'!$T$2:$T$495=10)*('CASE MASTER'!$AA$2:$AA$495&lt;=7)*('CASE MASTER'!$AC$2:$AC$495&gt;=7)*('CASE MASTER'!$AB$2:$AB$495&lt;=7)*('CASE MASTER'!$AD$2:$AD$495&gt;=7))*ROW('CASE MASTER'!$T$2:$T$495))-(ROW('CASE MASTER'!#REF!)-1))),"")),"")</f>
        <v/>
      </c>
      <c r="I135" s="10" t="str">
        <f>IFERROR(IF(SUMPRODUCT((('CASE MASTER'!$T$2:$T$495=10)*('CASE MASTER'!$U$2:$U$495&lt;=7)*('CASE MASTER'!$W$2:$W$495&gt;=7)*('CASE MASTER'!$V$2:$V$495&lt;=8)*('CASE MASTER'!$X$2:$X$495&gt;=8))*ROW('CASE MASTER'!$T$2:$T$495))&gt;0,INDEX('CASE MASTER'!$Y$2:$Y$495,(SUMPRODUCT((('CASE MASTER'!$T$2:$T$495=10)*('CASE MASTER'!$U$2:$U$495&lt;=7)*('CASE MASTER'!$W$2:$W$495&gt;=7)*('CASE MASTER'!$V$2:$V$495&lt;=8)*('CASE MASTER'!$X$2:$X$495&gt;=8))*ROW('CASE MASTER'!$T$2:$T$495))-(ROW('CASE MASTER'!#REF!)-1)))&amp;TRIM(MID(SUBSTITUTE(SUBSTITUTE(INDEX('CASE MASTER'!$N$2:$N$495,(SUMPRODUCT((('CASE MASTER'!$T$2:$T$495=10)*('CASE MASTER'!$U$2:$U$495&lt;=7)*('CASE MASTER'!$W$2:$W$495&gt;=7)*('CASE MASTER'!$V$2:$V$495&lt;=8)*('CASE MASTER'!$X$2:$X$495&gt;=8))*ROW('CASE MASTER'!$T$2:$T$495))-(ROW('CASE MASTER'!#REF!)-1))),":",","),",",REPT(" ",50)),((((7-INDEX('CASE MASTER'!$U$2:$U$495,(SUMPRODUCT((('CASE MASTER'!$T$2:$T$495=10)*('CASE MASTER'!$U$2:$U$495&lt;=7)*('CASE MASTER'!$W$2:$W$495&gt;=7)*('CASE MASTER'!$V$2:$V$495&lt;=8)*('CASE MASTER'!$X$2:$X$495&gt;=8))*ROW('CASE MASTER'!$T$2:$T$495))-(ROW('CASE MASTER'!#REF!)-1))))*(INDEX('CASE MASTER'!$X$2:$X$495,(SUMPRODUCT((('CASE MASTER'!$T$2:$T$495=10)*('CASE MASTER'!$U$2:$U$495&lt;=7)*('CASE MASTER'!$W$2:$W$495&gt;=7)*('CASE MASTER'!$V$2:$V$495&lt;=8)*('CASE MASTER'!$X$2:$X$495&gt;=8))*ROW('CASE MASTER'!$T$2:$T$495))-(ROW('CASE MASTER'!#REF!)-1)))-INDEX('CASE MASTER'!$V$2:$V$495,(SUMPRODUCT((('CASE MASTER'!$T$2:$T$495=10)*('CASE MASTER'!$U$2:$U$495&lt;=7)*('CASE MASTER'!$W$2:$W$495&gt;=7)*('CASE MASTER'!$V$2:$V$495&lt;=8)*('CASE MASTER'!$X$2:$X$495&gt;=8))*ROW('CASE MASTER'!$T$2:$T$495))-(ROW('CASE MASTER'!#REF!)-1)))+1)+(8-INDEX('CASE MASTER'!$V$2:$V$495,(SUMPRODUCT((('CASE MASTER'!$T$2:$T$495=10)*('CASE MASTER'!$U$2:$U$495&lt;=7)*('CASE MASTER'!$W$2:$W$495&gt;=7)*('CASE MASTER'!$V$2:$V$495&lt;=8)*('CASE MASTER'!$X$2:$X$495&gt;=8))*ROW('CASE MASTER'!$T$2:$T$495))-(ROW('CASE MASTER'!#REF!)-1))))+1))-1)*50+1,50))&amp;"_"&amp;INDEX('CASE MASTER'!$Q$2:$Q$495,(SUMPRODUCT((('CASE MASTER'!$T$2:$T$495=10)*('CASE MASTER'!$U$2:$U$495&lt;=7)*('CASE MASTER'!$W$2:$W$495&gt;=7)*('CASE MASTER'!$V$2:$V$495&lt;=8)*('CASE MASTER'!$X$2:$X$495&gt;=8))*ROW('CASE MASTER'!$T$2:$T$495))-(ROW('CASE MASTER'!#REF!)-1))),IF(SUMPRODUCT((('CASE MASTER'!$T$2:$T$495=10)*('CASE MASTER'!$AA$2:$AA$495&lt;=7)*('CASE MASTER'!$AC$2:$AC$495&gt;=7)*('CASE MASTER'!$AB$2:$AB$495&lt;=8)*('CASE MASTER'!$AD$2:$AD$495&gt;=8))*ROW('CASE MASTER'!$T$2:$T$495))&gt;0,INDEX('CASE MASTER'!$Y$2:$Y$495,(SUMPRODUCT((('CASE MASTER'!$T$2:$T$495=10)*('CASE MASTER'!$AA$2:$AA$495&lt;=7)*('CASE MASTER'!$AC$2:$AC$495&gt;=7)*('CASE MASTER'!$AB$2:$AB$495&lt;=8)*('CASE MASTER'!$AD$2:$AD$495&gt;=8))*ROW('CASE MASTER'!$T$2:$T$495))-(ROW('CASE MASTER'!#REF!)-1)))&amp;TRIM(MID(SUBSTITUTE(SUBSTITUTE(INDEX('CASE MASTER'!$N$2:$N$495,(SUMPRODUCT((('CASE MASTER'!$T$2:$T$495=10)*('CASE MASTER'!$AA$2:$AA$495&lt;=7)*('CASE MASTER'!$AC$2:$AC$495&gt;=7)*('CASE MASTER'!$AB$2:$AB$495&lt;=8)*('CASE MASTER'!$AD$2:$AD$495&gt;=8))*ROW('CASE MASTER'!$T$2:$T$495))-(ROW('CASE MASTER'!#REF!)-1))),":",","),",",REPT(" ",50)),(((INDEX('CASE MASTER'!$Z$2:$Z$495,(SUMPRODUCT((('CASE MASTER'!$T$2:$T$495=10)*('CASE MASTER'!$AA$2:$AA$495&lt;=7)*('CASE MASTER'!$AC$2:$AC$495&gt;=7)*('CASE MASTER'!$AB$2:$AB$495&lt;=8)*('CASE MASTER'!$AD$2:$AD$495&gt;=8))*ROW('CASE MASTER'!$T$2:$T$495))-(ROW('CASE MASTER'!#REF!)-1)))+((7-INDEX('CASE MASTER'!$AA$2:$AA$495,(SUMPRODUCT((('CASE MASTER'!$T$2:$T$495=10)*('CASE MASTER'!$AA$2:$AA$495&lt;=7)*('CASE MASTER'!$AC$2:$AC$495&gt;=7)*('CASE MASTER'!$AB$2:$AB$495&lt;=8)*('CASE MASTER'!$AD$2:$AD$495&gt;=8))*ROW('CASE MASTER'!$T$2:$T$495))-(ROW('CASE MASTER'!#REF!)-1))))*(INDEX('CASE MASTER'!$AD$2:$AD$495,(SUMPRODUCT((('CASE MASTER'!$T$2:$T$495=10)*('CASE MASTER'!$AA$2:$AA$495&lt;=7)*('CASE MASTER'!$AC$2:$AC$495&gt;=7)*('CASE MASTER'!$AB$2:$AB$495&lt;=8)*('CASE MASTER'!$AD$2:$AD$495&gt;=8))*ROW('CASE MASTER'!$T$2:$T$495))-(ROW('CASE MASTER'!#REF!)-1)))-INDEX('CASE MASTER'!$AB$2:$AB$495,(SUMPRODUCT((('CASE MASTER'!$T$2:$T$495=10)*('CASE MASTER'!$AA$2:$AA$495&lt;=7)*('CASE MASTER'!$AC$2:$AC$495&gt;=7)*('CASE MASTER'!$AB$2:$AB$495&lt;=8)*('CASE MASTER'!$AD$2:$AD$495&gt;=8))*ROW('CASE MASTER'!$T$2:$T$495))-(ROW('CASE MASTER'!#REF!)-1)))+1)+(8-INDEX('CASE MASTER'!$AB$2:$AB$495,(SUMPRODUCT((('CASE MASTER'!$T$2:$T$495=10)*('CASE MASTER'!$AA$2:$AA$495&lt;=7)*('CASE MASTER'!$AC$2:$AC$495&gt;=7)*('CASE MASTER'!$AB$2:$AB$495&lt;=8)*('CASE MASTER'!$AD$2:$AD$495&gt;=8))*ROW('CASE MASTER'!$T$2:$T$495))-(ROW('CASE MASTER'!#REF!)-1))))+1)))-1)*50+1,50))&amp;"_"&amp;INDEX('CASE MASTER'!$Q$2:$Q$495,(SUMPRODUCT((('CASE MASTER'!$T$2:$T$495=10)*('CASE MASTER'!$AA$2:$AA$495&lt;=7)*('CASE MASTER'!$AC$2:$AC$495&gt;=7)*('CASE MASTER'!$AB$2:$AB$495&lt;=8)*('CASE MASTER'!$AD$2:$AD$495&gt;=8))*ROW('CASE MASTER'!$T$2:$T$495))-(ROW('CASE MASTER'!#REF!)-1))),"")),"")</f>
        <v/>
      </c>
      <c r="J135" s="10" t="str">
        <f>IFERROR(IF(SUMPRODUCT((('CASE MASTER'!$T$2:$T$495=10)*('CASE MASTER'!$U$2:$U$495&lt;=7)*('CASE MASTER'!$W$2:$W$495&gt;=7)*('CASE MASTER'!$V$2:$V$495&lt;=9)*('CASE MASTER'!$X$2:$X$495&gt;=9))*ROW('CASE MASTER'!$T$2:$T$495))&gt;0,INDEX('CASE MASTER'!$Y$2:$Y$495,(SUMPRODUCT((('CASE MASTER'!$T$2:$T$495=10)*('CASE MASTER'!$U$2:$U$495&lt;=7)*('CASE MASTER'!$W$2:$W$495&gt;=7)*('CASE MASTER'!$V$2:$V$495&lt;=9)*('CASE MASTER'!$X$2:$X$495&gt;=9))*ROW('CASE MASTER'!$T$2:$T$495))-(ROW('CASE MASTER'!#REF!)-1)))&amp;TRIM(MID(SUBSTITUTE(SUBSTITUTE(INDEX('CASE MASTER'!$N$2:$N$495,(SUMPRODUCT((('CASE MASTER'!$T$2:$T$495=10)*('CASE MASTER'!$U$2:$U$495&lt;=7)*('CASE MASTER'!$W$2:$W$495&gt;=7)*('CASE MASTER'!$V$2:$V$495&lt;=9)*('CASE MASTER'!$X$2:$X$495&gt;=9))*ROW('CASE MASTER'!$T$2:$T$495))-(ROW('CASE MASTER'!#REF!)-1))),":",","),",",REPT(" ",50)),((((7-INDEX('CASE MASTER'!$U$2:$U$495,(SUMPRODUCT((('CASE MASTER'!$T$2:$T$495=10)*('CASE MASTER'!$U$2:$U$495&lt;=7)*('CASE MASTER'!$W$2:$W$495&gt;=7)*('CASE MASTER'!$V$2:$V$495&lt;=9)*('CASE MASTER'!$X$2:$X$495&gt;=9))*ROW('CASE MASTER'!$T$2:$T$495))-(ROW('CASE MASTER'!#REF!)-1))))*(INDEX('CASE MASTER'!$X$2:$X$495,(SUMPRODUCT((('CASE MASTER'!$T$2:$T$495=10)*('CASE MASTER'!$U$2:$U$495&lt;=7)*('CASE MASTER'!$W$2:$W$495&gt;=7)*('CASE MASTER'!$V$2:$V$495&lt;=9)*('CASE MASTER'!$X$2:$X$495&gt;=9))*ROW('CASE MASTER'!$T$2:$T$495))-(ROW('CASE MASTER'!#REF!)-1)))-INDEX('CASE MASTER'!$V$2:$V$495,(SUMPRODUCT((('CASE MASTER'!$T$2:$T$495=10)*('CASE MASTER'!$U$2:$U$495&lt;=7)*('CASE MASTER'!$W$2:$W$495&gt;=7)*('CASE MASTER'!$V$2:$V$495&lt;=9)*('CASE MASTER'!$X$2:$X$495&gt;=9))*ROW('CASE MASTER'!$T$2:$T$495))-(ROW('CASE MASTER'!#REF!)-1)))+1)+(9-INDEX('CASE MASTER'!$V$2:$V$495,(SUMPRODUCT((('CASE MASTER'!$T$2:$T$495=10)*('CASE MASTER'!$U$2:$U$495&lt;=7)*('CASE MASTER'!$W$2:$W$495&gt;=7)*('CASE MASTER'!$V$2:$V$495&lt;=9)*('CASE MASTER'!$X$2:$X$495&gt;=9))*ROW('CASE MASTER'!$T$2:$T$495))-(ROW('CASE MASTER'!#REF!)-1))))+1))-1)*50+1,50))&amp;"_"&amp;INDEX('CASE MASTER'!$Q$2:$Q$495,(SUMPRODUCT((('CASE MASTER'!$T$2:$T$495=10)*('CASE MASTER'!$U$2:$U$495&lt;=7)*('CASE MASTER'!$W$2:$W$495&gt;=7)*('CASE MASTER'!$V$2:$V$495&lt;=9)*('CASE MASTER'!$X$2:$X$495&gt;=9))*ROW('CASE MASTER'!$T$2:$T$495))-(ROW('CASE MASTER'!#REF!)-1))),IF(SUMPRODUCT((('CASE MASTER'!$T$2:$T$495=10)*('CASE MASTER'!$AA$2:$AA$495&lt;=7)*('CASE MASTER'!$AC$2:$AC$495&gt;=7)*('CASE MASTER'!$AB$2:$AB$495&lt;=9)*('CASE MASTER'!$AD$2:$AD$495&gt;=9))*ROW('CASE MASTER'!$T$2:$T$495))&gt;0,INDEX('CASE MASTER'!$Y$2:$Y$495,(SUMPRODUCT((('CASE MASTER'!$T$2:$T$495=10)*('CASE MASTER'!$AA$2:$AA$495&lt;=7)*('CASE MASTER'!$AC$2:$AC$495&gt;=7)*('CASE MASTER'!$AB$2:$AB$495&lt;=9)*('CASE MASTER'!$AD$2:$AD$495&gt;=9))*ROW('CASE MASTER'!$T$2:$T$495))-(ROW('CASE MASTER'!#REF!)-1)))&amp;TRIM(MID(SUBSTITUTE(SUBSTITUTE(INDEX('CASE MASTER'!$N$2:$N$495,(SUMPRODUCT((('CASE MASTER'!$T$2:$T$495=10)*('CASE MASTER'!$AA$2:$AA$495&lt;=7)*('CASE MASTER'!$AC$2:$AC$495&gt;=7)*('CASE MASTER'!$AB$2:$AB$495&lt;=9)*('CASE MASTER'!$AD$2:$AD$495&gt;=9))*ROW('CASE MASTER'!$T$2:$T$495))-(ROW('CASE MASTER'!#REF!)-1))),":",","),",",REPT(" ",50)),(((INDEX('CASE MASTER'!$Z$2:$Z$495,(SUMPRODUCT((('CASE MASTER'!$T$2:$T$495=10)*('CASE MASTER'!$AA$2:$AA$495&lt;=7)*('CASE MASTER'!$AC$2:$AC$495&gt;=7)*('CASE MASTER'!$AB$2:$AB$495&lt;=9)*('CASE MASTER'!$AD$2:$AD$495&gt;=9))*ROW('CASE MASTER'!$T$2:$T$495))-(ROW('CASE MASTER'!#REF!)-1)))+((7-INDEX('CASE MASTER'!$AA$2:$AA$495,(SUMPRODUCT((('CASE MASTER'!$T$2:$T$495=10)*('CASE MASTER'!$AA$2:$AA$495&lt;=7)*('CASE MASTER'!$AC$2:$AC$495&gt;=7)*('CASE MASTER'!$AB$2:$AB$495&lt;=9)*('CASE MASTER'!$AD$2:$AD$495&gt;=9))*ROW('CASE MASTER'!$T$2:$T$495))-(ROW('CASE MASTER'!#REF!)-1))))*(INDEX('CASE MASTER'!$AD$2:$AD$495,(SUMPRODUCT((('CASE MASTER'!$T$2:$T$495=10)*('CASE MASTER'!$AA$2:$AA$495&lt;=7)*('CASE MASTER'!$AC$2:$AC$495&gt;=7)*('CASE MASTER'!$AB$2:$AB$495&lt;=9)*('CASE MASTER'!$AD$2:$AD$495&gt;=9))*ROW('CASE MASTER'!$T$2:$T$495))-(ROW('CASE MASTER'!#REF!)-1)))-INDEX('CASE MASTER'!$AB$2:$AB$495,(SUMPRODUCT((('CASE MASTER'!$T$2:$T$495=10)*('CASE MASTER'!$AA$2:$AA$495&lt;=7)*('CASE MASTER'!$AC$2:$AC$495&gt;=7)*('CASE MASTER'!$AB$2:$AB$495&lt;=9)*('CASE MASTER'!$AD$2:$AD$495&gt;=9))*ROW('CASE MASTER'!$T$2:$T$495))-(ROW('CASE MASTER'!#REF!)-1)))+1)+(9-INDEX('CASE MASTER'!$AB$2:$AB$495,(SUMPRODUCT((('CASE MASTER'!$T$2:$T$495=10)*('CASE MASTER'!$AA$2:$AA$495&lt;=7)*('CASE MASTER'!$AC$2:$AC$495&gt;=7)*('CASE MASTER'!$AB$2:$AB$495&lt;=9)*('CASE MASTER'!$AD$2:$AD$495&gt;=9))*ROW('CASE MASTER'!$T$2:$T$495))-(ROW('CASE MASTER'!#REF!)-1))))+1)))-1)*50+1,50))&amp;"_"&amp;INDEX('CASE MASTER'!$Q$2:$Q$495,(SUMPRODUCT((('CASE MASTER'!$T$2:$T$495=10)*('CASE MASTER'!$AA$2:$AA$495&lt;=7)*('CASE MASTER'!$AC$2:$AC$495&gt;=7)*('CASE MASTER'!$AB$2:$AB$495&lt;=9)*('CASE MASTER'!$AD$2:$AD$495&gt;=9))*ROW('CASE MASTER'!$T$2:$T$495))-(ROW('CASE MASTER'!#REF!)-1))),"")),"")</f>
        <v/>
      </c>
      <c r="K135" s="10" t="str">
        <f>IFERROR(IF(SUMPRODUCT((('CASE MASTER'!$T$2:$T$495=10)*('CASE MASTER'!$U$2:$U$495&lt;=7)*('CASE MASTER'!$W$2:$W$495&gt;=7)*('CASE MASTER'!$V$2:$V$495&lt;=10)*('CASE MASTER'!$X$2:$X$495&gt;=10))*ROW('CASE MASTER'!$T$2:$T$495))&gt;0,INDEX('CASE MASTER'!$Y$2:$Y$495,(SUMPRODUCT((('CASE MASTER'!$T$2:$T$495=10)*('CASE MASTER'!$U$2:$U$495&lt;=7)*('CASE MASTER'!$W$2:$W$495&gt;=7)*('CASE MASTER'!$V$2:$V$495&lt;=10)*('CASE MASTER'!$X$2:$X$495&gt;=10))*ROW('CASE MASTER'!$T$2:$T$495))-(ROW('CASE MASTER'!#REF!)-1)))&amp;TRIM(MID(SUBSTITUTE(SUBSTITUTE(INDEX('CASE MASTER'!$N$2:$N$495,(SUMPRODUCT((('CASE MASTER'!$T$2:$T$495=10)*('CASE MASTER'!$U$2:$U$495&lt;=7)*('CASE MASTER'!$W$2:$W$495&gt;=7)*('CASE MASTER'!$V$2:$V$495&lt;=10)*('CASE MASTER'!$X$2:$X$495&gt;=10))*ROW('CASE MASTER'!$T$2:$T$495))-(ROW('CASE MASTER'!#REF!)-1))),":",","),",",REPT(" ",50)),((((7-INDEX('CASE MASTER'!$U$2:$U$495,(SUMPRODUCT((('CASE MASTER'!$T$2:$T$495=10)*('CASE MASTER'!$U$2:$U$495&lt;=7)*('CASE MASTER'!$W$2:$W$495&gt;=7)*('CASE MASTER'!$V$2:$V$495&lt;=10)*('CASE MASTER'!$X$2:$X$495&gt;=10))*ROW('CASE MASTER'!$T$2:$T$495))-(ROW('CASE MASTER'!#REF!)-1))))*(INDEX('CASE MASTER'!$X$2:$X$495,(SUMPRODUCT((('CASE MASTER'!$T$2:$T$495=10)*('CASE MASTER'!$U$2:$U$495&lt;=7)*('CASE MASTER'!$W$2:$W$495&gt;=7)*('CASE MASTER'!$V$2:$V$495&lt;=10)*('CASE MASTER'!$X$2:$X$495&gt;=10))*ROW('CASE MASTER'!$T$2:$T$495))-(ROW('CASE MASTER'!#REF!)-1)))-INDEX('CASE MASTER'!$V$2:$V$495,(SUMPRODUCT((('CASE MASTER'!$T$2:$T$495=10)*('CASE MASTER'!$U$2:$U$495&lt;=7)*('CASE MASTER'!$W$2:$W$495&gt;=7)*('CASE MASTER'!$V$2:$V$495&lt;=10)*('CASE MASTER'!$X$2:$X$495&gt;=10))*ROW('CASE MASTER'!$T$2:$T$495))-(ROW('CASE MASTER'!#REF!)-1)))+1)+(10-INDEX('CASE MASTER'!$V$2:$V$495,(SUMPRODUCT((('CASE MASTER'!$T$2:$T$495=10)*('CASE MASTER'!$U$2:$U$495&lt;=7)*('CASE MASTER'!$W$2:$W$495&gt;=7)*('CASE MASTER'!$V$2:$V$495&lt;=10)*('CASE MASTER'!$X$2:$X$495&gt;=10))*ROW('CASE MASTER'!$T$2:$T$495))-(ROW('CASE MASTER'!#REF!)-1))))+1))-1)*50+1,50))&amp;"_"&amp;INDEX('CASE MASTER'!$Q$2:$Q$495,(SUMPRODUCT((('CASE MASTER'!$T$2:$T$495=10)*('CASE MASTER'!$U$2:$U$495&lt;=7)*('CASE MASTER'!$W$2:$W$495&gt;=7)*('CASE MASTER'!$V$2:$V$495&lt;=10)*('CASE MASTER'!$X$2:$X$495&gt;=10))*ROW('CASE MASTER'!$T$2:$T$495))-(ROW('CASE MASTER'!#REF!)-1))),IF(SUMPRODUCT((('CASE MASTER'!$T$2:$T$495=10)*('CASE MASTER'!$AA$2:$AA$495&lt;=7)*('CASE MASTER'!$AC$2:$AC$495&gt;=7)*('CASE MASTER'!$AB$2:$AB$495&lt;=10)*('CASE MASTER'!$AD$2:$AD$495&gt;=10))*ROW('CASE MASTER'!$T$2:$T$495))&gt;0,INDEX('CASE MASTER'!$Y$2:$Y$495,(SUMPRODUCT((('CASE MASTER'!$T$2:$T$495=10)*('CASE MASTER'!$AA$2:$AA$495&lt;=7)*('CASE MASTER'!$AC$2:$AC$495&gt;=7)*('CASE MASTER'!$AB$2:$AB$495&lt;=10)*('CASE MASTER'!$AD$2:$AD$495&gt;=10))*ROW('CASE MASTER'!$T$2:$T$495))-(ROW('CASE MASTER'!#REF!)-1)))&amp;TRIM(MID(SUBSTITUTE(SUBSTITUTE(INDEX('CASE MASTER'!$N$2:$N$495,(SUMPRODUCT((('CASE MASTER'!$T$2:$T$495=10)*('CASE MASTER'!$AA$2:$AA$495&lt;=7)*('CASE MASTER'!$AC$2:$AC$495&gt;=7)*('CASE MASTER'!$AB$2:$AB$495&lt;=10)*('CASE MASTER'!$AD$2:$AD$495&gt;=10))*ROW('CASE MASTER'!$T$2:$T$495))-(ROW('CASE MASTER'!#REF!)-1))),":",","),",",REPT(" ",50)),(((INDEX('CASE MASTER'!$Z$2:$Z$495,(SUMPRODUCT((('CASE MASTER'!$T$2:$T$495=10)*('CASE MASTER'!$AA$2:$AA$495&lt;=7)*('CASE MASTER'!$AC$2:$AC$495&gt;=7)*('CASE MASTER'!$AB$2:$AB$495&lt;=10)*('CASE MASTER'!$AD$2:$AD$495&gt;=10))*ROW('CASE MASTER'!$T$2:$T$495))-(ROW('CASE MASTER'!#REF!)-1)))+((7-INDEX('CASE MASTER'!$AA$2:$AA$495,(SUMPRODUCT((('CASE MASTER'!$T$2:$T$495=10)*('CASE MASTER'!$AA$2:$AA$495&lt;=7)*('CASE MASTER'!$AC$2:$AC$495&gt;=7)*('CASE MASTER'!$AB$2:$AB$495&lt;=10)*('CASE MASTER'!$AD$2:$AD$495&gt;=10))*ROW('CASE MASTER'!$T$2:$T$495))-(ROW('CASE MASTER'!#REF!)-1))))*(INDEX('CASE MASTER'!$AD$2:$AD$495,(SUMPRODUCT((('CASE MASTER'!$T$2:$T$495=10)*('CASE MASTER'!$AA$2:$AA$495&lt;=7)*('CASE MASTER'!$AC$2:$AC$495&gt;=7)*('CASE MASTER'!$AB$2:$AB$495&lt;=10)*('CASE MASTER'!$AD$2:$AD$495&gt;=10))*ROW('CASE MASTER'!$T$2:$T$495))-(ROW('CASE MASTER'!#REF!)-1)))-INDEX('CASE MASTER'!$AB$2:$AB$495,(SUMPRODUCT((('CASE MASTER'!$T$2:$T$495=10)*('CASE MASTER'!$AA$2:$AA$495&lt;=7)*('CASE MASTER'!$AC$2:$AC$495&gt;=7)*('CASE MASTER'!$AB$2:$AB$495&lt;=10)*('CASE MASTER'!$AD$2:$AD$495&gt;=10))*ROW('CASE MASTER'!$T$2:$T$495))-(ROW('CASE MASTER'!#REF!)-1)))+1)+(10-INDEX('CASE MASTER'!$AB$2:$AB$495,(SUMPRODUCT((('CASE MASTER'!$T$2:$T$495=10)*('CASE MASTER'!$AA$2:$AA$495&lt;=7)*('CASE MASTER'!$AC$2:$AC$495&gt;=7)*('CASE MASTER'!$AB$2:$AB$495&lt;=10)*('CASE MASTER'!$AD$2:$AD$495&gt;=10))*ROW('CASE MASTER'!$T$2:$T$495))-(ROW('CASE MASTER'!#REF!)-1))))+1)))-1)*50+1,50))&amp;"_"&amp;INDEX('CASE MASTER'!$Q$2:$Q$495,(SUMPRODUCT((('CASE MASTER'!$T$2:$T$495=10)*('CASE MASTER'!$AA$2:$AA$495&lt;=7)*('CASE MASTER'!$AC$2:$AC$495&gt;=7)*('CASE MASTER'!$AB$2:$AB$495&lt;=10)*('CASE MASTER'!$AD$2:$AD$495&gt;=10))*ROW('CASE MASTER'!$T$2:$T$495))-(ROW('CASE MASTER'!#REF!)-1))),"")),"")</f>
        <v/>
      </c>
    </row>
    <row r="136" spans="1:11" ht="15" customHeight="1" x14ac:dyDescent="0.35">
      <c r="A136" s="8" t="s">
        <v>35</v>
      </c>
      <c r="B136" s="10" t="str">
        <f>IFERROR(IF(SUMPRODUCT((('CASE MASTER'!$T$2:$T$495=10)*('CASE MASTER'!$U$2:$U$495&lt;=8)*('CASE MASTER'!$W$2:$W$495&gt;=8)*('CASE MASTER'!$V$2:$V$495&lt;=1)*('CASE MASTER'!$X$2:$X$495&gt;=1))*ROW('CASE MASTER'!$T$2:$T$495))&gt;0,INDEX('CASE MASTER'!$Y$2:$Y$495,(SUMPRODUCT((('CASE MASTER'!$T$2:$T$495=10)*('CASE MASTER'!$U$2:$U$495&lt;=8)*('CASE MASTER'!$W$2:$W$495&gt;=8)*('CASE MASTER'!$V$2:$V$495&lt;=1)*('CASE MASTER'!$X$2:$X$495&gt;=1))*ROW('CASE MASTER'!$T$2:$T$495))-(ROW('CASE MASTER'!#REF!)-1)))&amp;TRIM(MID(SUBSTITUTE(SUBSTITUTE(INDEX('CASE MASTER'!$N$2:$N$495,(SUMPRODUCT((('CASE MASTER'!$T$2:$T$495=10)*('CASE MASTER'!$U$2:$U$495&lt;=8)*('CASE MASTER'!$W$2:$W$495&gt;=8)*('CASE MASTER'!$V$2:$V$495&lt;=1)*('CASE MASTER'!$X$2:$X$495&gt;=1))*ROW('CASE MASTER'!$T$2:$T$495))-(ROW('CASE MASTER'!#REF!)-1))),":",","),",",REPT(" ",50)),((((8-INDEX('CASE MASTER'!$U$2:$U$495,(SUMPRODUCT((('CASE MASTER'!$T$2:$T$495=10)*('CASE MASTER'!$U$2:$U$495&lt;=8)*('CASE MASTER'!$W$2:$W$495&gt;=8)*('CASE MASTER'!$V$2:$V$495&lt;=1)*('CASE MASTER'!$X$2:$X$495&gt;=1))*ROW('CASE MASTER'!$T$2:$T$495))-(ROW('CASE MASTER'!#REF!)-1))))*(INDEX('CASE MASTER'!$X$2:$X$495,(SUMPRODUCT((('CASE MASTER'!$T$2:$T$495=10)*('CASE MASTER'!$U$2:$U$495&lt;=8)*('CASE MASTER'!$W$2:$W$495&gt;=8)*('CASE MASTER'!$V$2:$V$495&lt;=1)*('CASE MASTER'!$X$2:$X$495&gt;=1))*ROW('CASE MASTER'!$T$2:$T$495))-(ROW('CASE MASTER'!#REF!)-1)))-INDEX('CASE MASTER'!$V$2:$V$495,(SUMPRODUCT((('CASE MASTER'!$T$2:$T$495=10)*('CASE MASTER'!$U$2:$U$495&lt;=8)*('CASE MASTER'!$W$2:$W$495&gt;=8)*('CASE MASTER'!$V$2:$V$495&lt;=1)*('CASE MASTER'!$X$2:$X$495&gt;=1))*ROW('CASE MASTER'!$T$2:$T$495))-(ROW('CASE MASTER'!#REF!)-1)))+1)+(1-INDEX('CASE MASTER'!$V$2:$V$495,(SUMPRODUCT((('CASE MASTER'!$T$2:$T$495=10)*('CASE MASTER'!$U$2:$U$495&lt;=8)*('CASE MASTER'!$W$2:$W$495&gt;=8)*('CASE MASTER'!$V$2:$V$495&lt;=1)*('CASE MASTER'!$X$2:$X$495&gt;=1))*ROW('CASE MASTER'!$T$2:$T$495))-(ROW('CASE MASTER'!#REF!)-1))))+1))-1)*50+1,50))&amp;"_"&amp;INDEX('CASE MASTER'!$Q$2:$Q$495,(SUMPRODUCT((('CASE MASTER'!$T$2:$T$495=10)*('CASE MASTER'!$U$2:$U$495&lt;=8)*('CASE MASTER'!$W$2:$W$495&gt;=8)*('CASE MASTER'!$V$2:$V$495&lt;=1)*('CASE MASTER'!$X$2:$X$495&gt;=1))*ROW('CASE MASTER'!$T$2:$T$495))-(ROW('CASE MASTER'!#REF!)-1))),IF(SUMPRODUCT((('CASE MASTER'!$T$2:$T$495=10)*('CASE MASTER'!$AA$2:$AA$495&lt;=8)*('CASE MASTER'!$AC$2:$AC$495&gt;=8)*('CASE MASTER'!$AB$2:$AB$495&lt;=1)*('CASE MASTER'!$AD$2:$AD$495&gt;=1))*ROW('CASE MASTER'!$T$2:$T$495))&gt;0,INDEX('CASE MASTER'!$Y$2:$Y$495,(SUMPRODUCT((('CASE MASTER'!$T$2:$T$495=10)*('CASE MASTER'!$AA$2:$AA$495&lt;=8)*('CASE MASTER'!$AC$2:$AC$495&gt;=8)*('CASE MASTER'!$AB$2:$AB$495&lt;=1)*('CASE MASTER'!$AD$2:$AD$495&gt;=1))*ROW('CASE MASTER'!$T$2:$T$495))-(ROW('CASE MASTER'!#REF!)-1)))&amp;TRIM(MID(SUBSTITUTE(SUBSTITUTE(INDEX('CASE MASTER'!$N$2:$N$495,(SUMPRODUCT((('CASE MASTER'!$T$2:$T$495=10)*('CASE MASTER'!$AA$2:$AA$495&lt;=8)*('CASE MASTER'!$AC$2:$AC$495&gt;=8)*('CASE MASTER'!$AB$2:$AB$495&lt;=1)*('CASE MASTER'!$AD$2:$AD$495&gt;=1))*ROW('CASE MASTER'!$T$2:$T$495))-(ROW('CASE MASTER'!#REF!)-1))),":",","),",",REPT(" ",50)),(((INDEX('CASE MASTER'!$Z$2:$Z$495,(SUMPRODUCT((('CASE MASTER'!$T$2:$T$495=10)*('CASE MASTER'!$AA$2:$AA$495&lt;=8)*('CASE MASTER'!$AC$2:$AC$495&gt;=8)*('CASE MASTER'!$AB$2:$AB$495&lt;=1)*('CASE MASTER'!$AD$2:$AD$495&gt;=1))*ROW('CASE MASTER'!$T$2:$T$495))-(ROW('CASE MASTER'!#REF!)-1)))+((8-INDEX('CASE MASTER'!$AA$2:$AA$495,(SUMPRODUCT((('CASE MASTER'!$T$2:$T$495=10)*('CASE MASTER'!$AA$2:$AA$495&lt;=8)*('CASE MASTER'!$AC$2:$AC$495&gt;=8)*('CASE MASTER'!$AB$2:$AB$495&lt;=1)*('CASE MASTER'!$AD$2:$AD$495&gt;=1))*ROW('CASE MASTER'!$T$2:$T$495))-(ROW('CASE MASTER'!#REF!)-1))))*(INDEX('CASE MASTER'!$AD$2:$AD$495,(SUMPRODUCT((('CASE MASTER'!$T$2:$T$495=10)*('CASE MASTER'!$AA$2:$AA$495&lt;=8)*('CASE MASTER'!$AC$2:$AC$495&gt;=8)*('CASE MASTER'!$AB$2:$AB$495&lt;=1)*('CASE MASTER'!$AD$2:$AD$495&gt;=1))*ROW('CASE MASTER'!$T$2:$T$495))-(ROW('CASE MASTER'!#REF!)-1)))-INDEX('CASE MASTER'!$AB$2:$AB$495,(SUMPRODUCT((('CASE MASTER'!$T$2:$T$495=10)*('CASE MASTER'!$AA$2:$AA$495&lt;=8)*('CASE MASTER'!$AC$2:$AC$495&gt;=8)*('CASE MASTER'!$AB$2:$AB$495&lt;=1)*('CASE MASTER'!$AD$2:$AD$495&gt;=1))*ROW('CASE MASTER'!$T$2:$T$495))-(ROW('CASE MASTER'!#REF!)-1)))+1)+(1-INDEX('CASE MASTER'!$AB$2:$AB$495,(SUMPRODUCT((('CASE MASTER'!$T$2:$T$495=10)*('CASE MASTER'!$AA$2:$AA$495&lt;=8)*('CASE MASTER'!$AC$2:$AC$495&gt;=8)*('CASE MASTER'!$AB$2:$AB$495&lt;=1)*('CASE MASTER'!$AD$2:$AD$495&gt;=1))*ROW('CASE MASTER'!$T$2:$T$495))-(ROW('CASE MASTER'!#REF!)-1))))+1)))-1)*50+1,50))&amp;"_"&amp;INDEX('CASE MASTER'!$Q$2:$Q$495,(SUMPRODUCT((('CASE MASTER'!$T$2:$T$495=10)*('CASE MASTER'!$AA$2:$AA$495&lt;=8)*('CASE MASTER'!$AC$2:$AC$495&gt;=8)*('CASE MASTER'!$AB$2:$AB$495&lt;=1)*('CASE MASTER'!$AD$2:$AD$495&gt;=1))*ROW('CASE MASTER'!$T$2:$T$495))-(ROW('CASE MASTER'!#REF!)-1))),"")),"")</f>
        <v/>
      </c>
      <c r="C136" s="10" t="str">
        <f>IFERROR(IF(SUMPRODUCT((('CASE MASTER'!$T$2:$T$495=10)*('CASE MASTER'!$U$2:$U$495&lt;=8)*('CASE MASTER'!$W$2:$W$495&gt;=8)*('CASE MASTER'!$V$2:$V$495&lt;=2)*('CASE MASTER'!$X$2:$X$495&gt;=2))*ROW('CASE MASTER'!$T$2:$T$495))&gt;0,INDEX('CASE MASTER'!$Y$2:$Y$495,(SUMPRODUCT((('CASE MASTER'!$T$2:$T$495=10)*('CASE MASTER'!$U$2:$U$495&lt;=8)*('CASE MASTER'!$W$2:$W$495&gt;=8)*('CASE MASTER'!$V$2:$V$495&lt;=2)*('CASE MASTER'!$X$2:$X$495&gt;=2))*ROW('CASE MASTER'!$T$2:$T$495))-(ROW('CASE MASTER'!#REF!)-1)))&amp;TRIM(MID(SUBSTITUTE(SUBSTITUTE(INDEX('CASE MASTER'!$N$2:$N$495,(SUMPRODUCT((('CASE MASTER'!$T$2:$T$495=10)*('CASE MASTER'!$U$2:$U$495&lt;=8)*('CASE MASTER'!$W$2:$W$495&gt;=8)*('CASE MASTER'!$V$2:$V$495&lt;=2)*('CASE MASTER'!$X$2:$X$495&gt;=2))*ROW('CASE MASTER'!$T$2:$T$495))-(ROW('CASE MASTER'!#REF!)-1))),":",","),",",REPT(" ",50)),((((8-INDEX('CASE MASTER'!$U$2:$U$495,(SUMPRODUCT((('CASE MASTER'!$T$2:$T$495=10)*('CASE MASTER'!$U$2:$U$495&lt;=8)*('CASE MASTER'!$W$2:$W$495&gt;=8)*('CASE MASTER'!$V$2:$V$495&lt;=2)*('CASE MASTER'!$X$2:$X$495&gt;=2))*ROW('CASE MASTER'!$T$2:$T$495))-(ROW('CASE MASTER'!#REF!)-1))))*(INDEX('CASE MASTER'!$X$2:$X$495,(SUMPRODUCT((('CASE MASTER'!$T$2:$T$495=10)*('CASE MASTER'!$U$2:$U$495&lt;=8)*('CASE MASTER'!$W$2:$W$495&gt;=8)*('CASE MASTER'!$V$2:$V$495&lt;=2)*('CASE MASTER'!$X$2:$X$495&gt;=2))*ROW('CASE MASTER'!$T$2:$T$495))-(ROW('CASE MASTER'!#REF!)-1)))-INDEX('CASE MASTER'!$V$2:$V$495,(SUMPRODUCT((('CASE MASTER'!$T$2:$T$495=10)*('CASE MASTER'!$U$2:$U$495&lt;=8)*('CASE MASTER'!$W$2:$W$495&gt;=8)*('CASE MASTER'!$V$2:$V$495&lt;=2)*('CASE MASTER'!$X$2:$X$495&gt;=2))*ROW('CASE MASTER'!$T$2:$T$495))-(ROW('CASE MASTER'!#REF!)-1)))+1)+(2-INDEX('CASE MASTER'!$V$2:$V$495,(SUMPRODUCT((('CASE MASTER'!$T$2:$T$495=10)*('CASE MASTER'!$U$2:$U$495&lt;=8)*('CASE MASTER'!$W$2:$W$495&gt;=8)*('CASE MASTER'!$V$2:$V$495&lt;=2)*('CASE MASTER'!$X$2:$X$495&gt;=2))*ROW('CASE MASTER'!$T$2:$T$495))-(ROW('CASE MASTER'!#REF!)-1))))+1))-1)*50+1,50))&amp;"_"&amp;INDEX('CASE MASTER'!$Q$2:$Q$495,(SUMPRODUCT((('CASE MASTER'!$T$2:$T$495=10)*('CASE MASTER'!$U$2:$U$495&lt;=8)*('CASE MASTER'!$W$2:$W$495&gt;=8)*('CASE MASTER'!$V$2:$V$495&lt;=2)*('CASE MASTER'!$X$2:$X$495&gt;=2))*ROW('CASE MASTER'!$T$2:$T$495))-(ROW('CASE MASTER'!#REF!)-1))),IF(SUMPRODUCT((('CASE MASTER'!$T$2:$T$495=10)*('CASE MASTER'!$AA$2:$AA$495&lt;=8)*('CASE MASTER'!$AC$2:$AC$495&gt;=8)*('CASE MASTER'!$AB$2:$AB$495&lt;=2)*('CASE MASTER'!$AD$2:$AD$495&gt;=2))*ROW('CASE MASTER'!$T$2:$T$495))&gt;0,INDEX('CASE MASTER'!$Y$2:$Y$495,(SUMPRODUCT((('CASE MASTER'!$T$2:$T$495=10)*('CASE MASTER'!$AA$2:$AA$495&lt;=8)*('CASE MASTER'!$AC$2:$AC$495&gt;=8)*('CASE MASTER'!$AB$2:$AB$495&lt;=2)*('CASE MASTER'!$AD$2:$AD$495&gt;=2))*ROW('CASE MASTER'!$T$2:$T$495))-(ROW('CASE MASTER'!#REF!)-1)))&amp;TRIM(MID(SUBSTITUTE(SUBSTITUTE(INDEX('CASE MASTER'!$N$2:$N$495,(SUMPRODUCT((('CASE MASTER'!$T$2:$T$495=10)*('CASE MASTER'!$AA$2:$AA$495&lt;=8)*('CASE MASTER'!$AC$2:$AC$495&gt;=8)*('CASE MASTER'!$AB$2:$AB$495&lt;=2)*('CASE MASTER'!$AD$2:$AD$495&gt;=2))*ROW('CASE MASTER'!$T$2:$T$495))-(ROW('CASE MASTER'!#REF!)-1))),":",","),",",REPT(" ",50)),(((INDEX('CASE MASTER'!$Z$2:$Z$495,(SUMPRODUCT((('CASE MASTER'!$T$2:$T$495=10)*('CASE MASTER'!$AA$2:$AA$495&lt;=8)*('CASE MASTER'!$AC$2:$AC$495&gt;=8)*('CASE MASTER'!$AB$2:$AB$495&lt;=2)*('CASE MASTER'!$AD$2:$AD$495&gt;=2))*ROW('CASE MASTER'!$T$2:$T$495))-(ROW('CASE MASTER'!#REF!)-1)))+((8-INDEX('CASE MASTER'!$AA$2:$AA$495,(SUMPRODUCT((('CASE MASTER'!$T$2:$T$495=10)*('CASE MASTER'!$AA$2:$AA$495&lt;=8)*('CASE MASTER'!$AC$2:$AC$495&gt;=8)*('CASE MASTER'!$AB$2:$AB$495&lt;=2)*('CASE MASTER'!$AD$2:$AD$495&gt;=2))*ROW('CASE MASTER'!$T$2:$T$495))-(ROW('CASE MASTER'!#REF!)-1))))*(INDEX('CASE MASTER'!$AD$2:$AD$495,(SUMPRODUCT((('CASE MASTER'!$T$2:$T$495=10)*('CASE MASTER'!$AA$2:$AA$495&lt;=8)*('CASE MASTER'!$AC$2:$AC$495&gt;=8)*('CASE MASTER'!$AB$2:$AB$495&lt;=2)*('CASE MASTER'!$AD$2:$AD$495&gt;=2))*ROW('CASE MASTER'!$T$2:$T$495))-(ROW('CASE MASTER'!#REF!)-1)))-INDEX('CASE MASTER'!$AB$2:$AB$495,(SUMPRODUCT((('CASE MASTER'!$T$2:$T$495=10)*('CASE MASTER'!$AA$2:$AA$495&lt;=8)*('CASE MASTER'!$AC$2:$AC$495&gt;=8)*('CASE MASTER'!$AB$2:$AB$495&lt;=2)*('CASE MASTER'!$AD$2:$AD$495&gt;=2))*ROW('CASE MASTER'!$T$2:$T$495))-(ROW('CASE MASTER'!#REF!)-1)))+1)+(2-INDEX('CASE MASTER'!$AB$2:$AB$495,(SUMPRODUCT((('CASE MASTER'!$T$2:$T$495=10)*('CASE MASTER'!$AA$2:$AA$495&lt;=8)*('CASE MASTER'!$AC$2:$AC$495&gt;=8)*('CASE MASTER'!$AB$2:$AB$495&lt;=2)*('CASE MASTER'!$AD$2:$AD$495&gt;=2))*ROW('CASE MASTER'!$T$2:$T$495))-(ROW('CASE MASTER'!#REF!)-1))))+1)))-1)*50+1,50))&amp;"_"&amp;INDEX('CASE MASTER'!$Q$2:$Q$495,(SUMPRODUCT((('CASE MASTER'!$T$2:$T$495=10)*('CASE MASTER'!$AA$2:$AA$495&lt;=8)*('CASE MASTER'!$AC$2:$AC$495&gt;=8)*('CASE MASTER'!$AB$2:$AB$495&lt;=2)*('CASE MASTER'!$AD$2:$AD$495&gt;=2))*ROW('CASE MASTER'!$T$2:$T$495))-(ROW('CASE MASTER'!#REF!)-1))),"")),"")</f>
        <v/>
      </c>
      <c r="D136" s="10" t="str">
        <f>IFERROR(IF(SUMPRODUCT((('CASE MASTER'!$T$2:$T$495=10)*('CASE MASTER'!$U$2:$U$495&lt;=8)*('CASE MASTER'!$W$2:$W$495&gt;=8)*('CASE MASTER'!$V$2:$V$495&lt;=3)*('CASE MASTER'!$X$2:$X$495&gt;=3))*ROW('CASE MASTER'!$T$2:$T$495))&gt;0,INDEX('CASE MASTER'!$Y$2:$Y$495,(SUMPRODUCT((('CASE MASTER'!$T$2:$T$495=10)*('CASE MASTER'!$U$2:$U$495&lt;=8)*('CASE MASTER'!$W$2:$W$495&gt;=8)*('CASE MASTER'!$V$2:$V$495&lt;=3)*('CASE MASTER'!$X$2:$X$495&gt;=3))*ROW('CASE MASTER'!$T$2:$T$495))-(ROW('CASE MASTER'!#REF!)-1)))&amp;TRIM(MID(SUBSTITUTE(SUBSTITUTE(INDEX('CASE MASTER'!$N$2:$N$495,(SUMPRODUCT((('CASE MASTER'!$T$2:$T$495=10)*('CASE MASTER'!$U$2:$U$495&lt;=8)*('CASE MASTER'!$W$2:$W$495&gt;=8)*('CASE MASTER'!$V$2:$V$495&lt;=3)*('CASE MASTER'!$X$2:$X$495&gt;=3))*ROW('CASE MASTER'!$T$2:$T$495))-(ROW('CASE MASTER'!#REF!)-1))),":",","),",",REPT(" ",50)),((((8-INDEX('CASE MASTER'!$U$2:$U$495,(SUMPRODUCT((('CASE MASTER'!$T$2:$T$495=10)*('CASE MASTER'!$U$2:$U$495&lt;=8)*('CASE MASTER'!$W$2:$W$495&gt;=8)*('CASE MASTER'!$V$2:$V$495&lt;=3)*('CASE MASTER'!$X$2:$X$495&gt;=3))*ROW('CASE MASTER'!$T$2:$T$495))-(ROW('CASE MASTER'!#REF!)-1))))*(INDEX('CASE MASTER'!$X$2:$X$495,(SUMPRODUCT((('CASE MASTER'!$T$2:$T$495=10)*('CASE MASTER'!$U$2:$U$495&lt;=8)*('CASE MASTER'!$W$2:$W$495&gt;=8)*('CASE MASTER'!$V$2:$V$495&lt;=3)*('CASE MASTER'!$X$2:$X$495&gt;=3))*ROW('CASE MASTER'!$T$2:$T$495))-(ROW('CASE MASTER'!#REF!)-1)))-INDEX('CASE MASTER'!$V$2:$V$495,(SUMPRODUCT((('CASE MASTER'!$T$2:$T$495=10)*('CASE MASTER'!$U$2:$U$495&lt;=8)*('CASE MASTER'!$W$2:$W$495&gt;=8)*('CASE MASTER'!$V$2:$V$495&lt;=3)*('CASE MASTER'!$X$2:$X$495&gt;=3))*ROW('CASE MASTER'!$T$2:$T$495))-(ROW('CASE MASTER'!#REF!)-1)))+1)+(3-INDEX('CASE MASTER'!$V$2:$V$495,(SUMPRODUCT((('CASE MASTER'!$T$2:$T$495=10)*('CASE MASTER'!$U$2:$U$495&lt;=8)*('CASE MASTER'!$W$2:$W$495&gt;=8)*('CASE MASTER'!$V$2:$V$495&lt;=3)*('CASE MASTER'!$X$2:$X$495&gt;=3))*ROW('CASE MASTER'!$T$2:$T$495))-(ROW('CASE MASTER'!#REF!)-1))))+1))-1)*50+1,50))&amp;"_"&amp;INDEX('CASE MASTER'!$Q$2:$Q$495,(SUMPRODUCT((('CASE MASTER'!$T$2:$T$495=10)*('CASE MASTER'!$U$2:$U$495&lt;=8)*('CASE MASTER'!$W$2:$W$495&gt;=8)*('CASE MASTER'!$V$2:$V$495&lt;=3)*('CASE MASTER'!$X$2:$X$495&gt;=3))*ROW('CASE MASTER'!$T$2:$T$495))-(ROW('CASE MASTER'!#REF!)-1))),IF(SUMPRODUCT((('CASE MASTER'!$T$2:$T$495=10)*('CASE MASTER'!$AA$2:$AA$495&lt;=8)*('CASE MASTER'!$AC$2:$AC$495&gt;=8)*('CASE MASTER'!$AB$2:$AB$495&lt;=3)*('CASE MASTER'!$AD$2:$AD$495&gt;=3))*ROW('CASE MASTER'!$T$2:$T$495))&gt;0,INDEX('CASE MASTER'!$Y$2:$Y$495,(SUMPRODUCT((('CASE MASTER'!$T$2:$T$495=10)*('CASE MASTER'!$AA$2:$AA$495&lt;=8)*('CASE MASTER'!$AC$2:$AC$495&gt;=8)*('CASE MASTER'!$AB$2:$AB$495&lt;=3)*('CASE MASTER'!$AD$2:$AD$495&gt;=3))*ROW('CASE MASTER'!$T$2:$T$495))-(ROW('CASE MASTER'!#REF!)-1)))&amp;TRIM(MID(SUBSTITUTE(SUBSTITUTE(INDEX('CASE MASTER'!$N$2:$N$495,(SUMPRODUCT((('CASE MASTER'!$T$2:$T$495=10)*('CASE MASTER'!$AA$2:$AA$495&lt;=8)*('CASE MASTER'!$AC$2:$AC$495&gt;=8)*('CASE MASTER'!$AB$2:$AB$495&lt;=3)*('CASE MASTER'!$AD$2:$AD$495&gt;=3))*ROW('CASE MASTER'!$T$2:$T$495))-(ROW('CASE MASTER'!#REF!)-1))),":",","),",",REPT(" ",50)),(((INDEX('CASE MASTER'!$Z$2:$Z$495,(SUMPRODUCT((('CASE MASTER'!$T$2:$T$495=10)*('CASE MASTER'!$AA$2:$AA$495&lt;=8)*('CASE MASTER'!$AC$2:$AC$495&gt;=8)*('CASE MASTER'!$AB$2:$AB$495&lt;=3)*('CASE MASTER'!$AD$2:$AD$495&gt;=3))*ROW('CASE MASTER'!$T$2:$T$495))-(ROW('CASE MASTER'!#REF!)-1)))+((8-INDEX('CASE MASTER'!$AA$2:$AA$495,(SUMPRODUCT((('CASE MASTER'!$T$2:$T$495=10)*('CASE MASTER'!$AA$2:$AA$495&lt;=8)*('CASE MASTER'!$AC$2:$AC$495&gt;=8)*('CASE MASTER'!$AB$2:$AB$495&lt;=3)*('CASE MASTER'!$AD$2:$AD$495&gt;=3))*ROW('CASE MASTER'!$T$2:$T$495))-(ROW('CASE MASTER'!#REF!)-1))))*(INDEX('CASE MASTER'!$AD$2:$AD$495,(SUMPRODUCT((('CASE MASTER'!$T$2:$T$495=10)*('CASE MASTER'!$AA$2:$AA$495&lt;=8)*('CASE MASTER'!$AC$2:$AC$495&gt;=8)*('CASE MASTER'!$AB$2:$AB$495&lt;=3)*('CASE MASTER'!$AD$2:$AD$495&gt;=3))*ROW('CASE MASTER'!$T$2:$T$495))-(ROW('CASE MASTER'!#REF!)-1)))-INDEX('CASE MASTER'!$AB$2:$AB$495,(SUMPRODUCT((('CASE MASTER'!$T$2:$T$495=10)*('CASE MASTER'!$AA$2:$AA$495&lt;=8)*('CASE MASTER'!$AC$2:$AC$495&gt;=8)*('CASE MASTER'!$AB$2:$AB$495&lt;=3)*('CASE MASTER'!$AD$2:$AD$495&gt;=3))*ROW('CASE MASTER'!$T$2:$T$495))-(ROW('CASE MASTER'!#REF!)-1)))+1)+(3-INDEX('CASE MASTER'!$AB$2:$AB$495,(SUMPRODUCT((('CASE MASTER'!$T$2:$T$495=10)*('CASE MASTER'!$AA$2:$AA$495&lt;=8)*('CASE MASTER'!$AC$2:$AC$495&gt;=8)*('CASE MASTER'!$AB$2:$AB$495&lt;=3)*('CASE MASTER'!$AD$2:$AD$495&gt;=3))*ROW('CASE MASTER'!$T$2:$T$495))-(ROW('CASE MASTER'!#REF!)-1))))+1)))-1)*50+1,50))&amp;"_"&amp;INDEX('CASE MASTER'!$Q$2:$Q$495,(SUMPRODUCT((('CASE MASTER'!$T$2:$T$495=10)*('CASE MASTER'!$AA$2:$AA$495&lt;=8)*('CASE MASTER'!$AC$2:$AC$495&gt;=8)*('CASE MASTER'!$AB$2:$AB$495&lt;=3)*('CASE MASTER'!$AD$2:$AD$495&gt;=3))*ROW('CASE MASTER'!$T$2:$T$495))-(ROW('CASE MASTER'!#REF!)-1))),"")),"")</f>
        <v/>
      </c>
      <c r="E136" s="10" t="str">
        <f>IFERROR(IF(SUMPRODUCT((('CASE MASTER'!$T$2:$T$495=10)*('CASE MASTER'!$U$2:$U$495&lt;=8)*('CASE MASTER'!$W$2:$W$495&gt;=8)*('CASE MASTER'!$V$2:$V$495&lt;=4)*('CASE MASTER'!$X$2:$X$495&gt;=4))*ROW('CASE MASTER'!$T$2:$T$495))&gt;0,INDEX('CASE MASTER'!$Y$2:$Y$495,(SUMPRODUCT((('CASE MASTER'!$T$2:$T$495=10)*('CASE MASTER'!$U$2:$U$495&lt;=8)*('CASE MASTER'!$W$2:$W$495&gt;=8)*('CASE MASTER'!$V$2:$V$495&lt;=4)*('CASE MASTER'!$X$2:$X$495&gt;=4))*ROW('CASE MASTER'!$T$2:$T$495))-(ROW('CASE MASTER'!#REF!)-1)))&amp;TRIM(MID(SUBSTITUTE(SUBSTITUTE(INDEX('CASE MASTER'!$N$2:$N$495,(SUMPRODUCT((('CASE MASTER'!$T$2:$T$495=10)*('CASE MASTER'!$U$2:$U$495&lt;=8)*('CASE MASTER'!$W$2:$W$495&gt;=8)*('CASE MASTER'!$V$2:$V$495&lt;=4)*('CASE MASTER'!$X$2:$X$495&gt;=4))*ROW('CASE MASTER'!$T$2:$T$495))-(ROW('CASE MASTER'!#REF!)-1))),":",","),",",REPT(" ",50)),((((8-INDEX('CASE MASTER'!$U$2:$U$495,(SUMPRODUCT((('CASE MASTER'!$T$2:$T$495=10)*('CASE MASTER'!$U$2:$U$495&lt;=8)*('CASE MASTER'!$W$2:$W$495&gt;=8)*('CASE MASTER'!$V$2:$V$495&lt;=4)*('CASE MASTER'!$X$2:$X$495&gt;=4))*ROW('CASE MASTER'!$T$2:$T$495))-(ROW('CASE MASTER'!#REF!)-1))))*(INDEX('CASE MASTER'!$X$2:$X$495,(SUMPRODUCT((('CASE MASTER'!$T$2:$T$495=10)*('CASE MASTER'!$U$2:$U$495&lt;=8)*('CASE MASTER'!$W$2:$W$495&gt;=8)*('CASE MASTER'!$V$2:$V$495&lt;=4)*('CASE MASTER'!$X$2:$X$495&gt;=4))*ROW('CASE MASTER'!$T$2:$T$495))-(ROW('CASE MASTER'!#REF!)-1)))-INDEX('CASE MASTER'!$V$2:$V$495,(SUMPRODUCT((('CASE MASTER'!$T$2:$T$495=10)*('CASE MASTER'!$U$2:$U$495&lt;=8)*('CASE MASTER'!$W$2:$W$495&gt;=8)*('CASE MASTER'!$V$2:$V$495&lt;=4)*('CASE MASTER'!$X$2:$X$495&gt;=4))*ROW('CASE MASTER'!$T$2:$T$495))-(ROW('CASE MASTER'!#REF!)-1)))+1)+(4-INDEX('CASE MASTER'!$V$2:$V$495,(SUMPRODUCT((('CASE MASTER'!$T$2:$T$495=10)*('CASE MASTER'!$U$2:$U$495&lt;=8)*('CASE MASTER'!$W$2:$W$495&gt;=8)*('CASE MASTER'!$V$2:$V$495&lt;=4)*('CASE MASTER'!$X$2:$X$495&gt;=4))*ROW('CASE MASTER'!$T$2:$T$495))-(ROW('CASE MASTER'!#REF!)-1))))+1))-1)*50+1,50))&amp;"_"&amp;INDEX('CASE MASTER'!$Q$2:$Q$495,(SUMPRODUCT((('CASE MASTER'!$T$2:$T$495=10)*('CASE MASTER'!$U$2:$U$495&lt;=8)*('CASE MASTER'!$W$2:$W$495&gt;=8)*('CASE MASTER'!$V$2:$V$495&lt;=4)*('CASE MASTER'!$X$2:$X$495&gt;=4))*ROW('CASE MASTER'!$T$2:$T$495))-(ROW('CASE MASTER'!#REF!)-1))),IF(SUMPRODUCT((('CASE MASTER'!$T$2:$T$495=10)*('CASE MASTER'!$AA$2:$AA$495&lt;=8)*('CASE MASTER'!$AC$2:$AC$495&gt;=8)*('CASE MASTER'!$AB$2:$AB$495&lt;=4)*('CASE MASTER'!$AD$2:$AD$495&gt;=4))*ROW('CASE MASTER'!$T$2:$T$495))&gt;0,INDEX('CASE MASTER'!$Y$2:$Y$495,(SUMPRODUCT((('CASE MASTER'!$T$2:$T$495=10)*('CASE MASTER'!$AA$2:$AA$495&lt;=8)*('CASE MASTER'!$AC$2:$AC$495&gt;=8)*('CASE MASTER'!$AB$2:$AB$495&lt;=4)*('CASE MASTER'!$AD$2:$AD$495&gt;=4))*ROW('CASE MASTER'!$T$2:$T$495))-(ROW('CASE MASTER'!#REF!)-1)))&amp;TRIM(MID(SUBSTITUTE(SUBSTITUTE(INDEX('CASE MASTER'!$N$2:$N$495,(SUMPRODUCT((('CASE MASTER'!$T$2:$T$495=10)*('CASE MASTER'!$AA$2:$AA$495&lt;=8)*('CASE MASTER'!$AC$2:$AC$495&gt;=8)*('CASE MASTER'!$AB$2:$AB$495&lt;=4)*('CASE MASTER'!$AD$2:$AD$495&gt;=4))*ROW('CASE MASTER'!$T$2:$T$495))-(ROW('CASE MASTER'!#REF!)-1))),":",","),",",REPT(" ",50)),(((INDEX('CASE MASTER'!$Z$2:$Z$495,(SUMPRODUCT((('CASE MASTER'!$T$2:$T$495=10)*('CASE MASTER'!$AA$2:$AA$495&lt;=8)*('CASE MASTER'!$AC$2:$AC$495&gt;=8)*('CASE MASTER'!$AB$2:$AB$495&lt;=4)*('CASE MASTER'!$AD$2:$AD$495&gt;=4))*ROW('CASE MASTER'!$T$2:$T$495))-(ROW('CASE MASTER'!#REF!)-1)))+((8-INDEX('CASE MASTER'!$AA$2:$AA$495,(SUMPRODUCT((('CASE MASTER'!$T$2:$T$495=10)*('CASE MASTER'!$AA$2:$AA$495&lt;=8)*('CASE MASTER'!$AC$2:$AC$495&gt;=8)*('CASE MASTER'!$AB$2:$AB$495&lt;=4)*('CASE MASTER'!$AD$2:$AD$495&gt;=4))*ROW('CASE MASTER'!$T$2:$T$495))-(ROW('CASE MASTER'!#REF!)-1))))*(INDEX('CASE MASTER'!$AD$2:$AD$495,(SUMPRODUCT((('CASE MASTER'!$T$2:$T$495=10)*('CASE MASTER'!$AA$2:$AA$495&lt;=8)*('CASE MASTER'!$AC$2:$AC$495&gt;=8)*('CASE MASTER'!$AB$2:$AB$495&lt;=4)*('CASE MASTER'!$AD$2:$AD$495&gt;=4))*ROW('CASE MASTER'!$T$2:$T$495))-(ROW('CASE MASTER'!#REF!)-1)))-INDEX('CASE MASTER'!$AB$2:$AB$495,(SUMPRODUCT((('CASE MASTER'!$T$2:$T$495=10)*('CASE MASTER'!$AA$2:$AA$495&lt;=8)*('CASE MASTER'!$AC$2:$AC$495&gt;=8)*('CASE MASTER'!$AB$2:$AB$495&lt;=4)*('CASE MASTER'!$AD$2:$AD$495&gt;=4))*ROW('CASE MASTER'!$T$2:$T$495))-(ROW('CASE MASTER'!#REF!)-1)))+1)+(4-INDEX('CASE MASTER'!$AB$2:$AB$495,(SUMPRODUCT((('CASE MASTER'!$T$2:$T$495=10)*('CASE MASTER'!$AA$2:$AA$495&lt;=8)*('CASE MASTER'!$AC$2:$AC$495&gt;=8)*('CASE MASTER'!$AB$2:$AB$495&lt;=4)*('CASE MASTER'!$AD$2:$AD$495&gt;=4))*ROW('CASE MASTER'!$T$2:$T$495))-(ROW('CASE MASTER'!#REF!)-1))))+1)))-1)*50+1,50))&amp;"_"&amp;INDEX('CASE MASTER'!$Q$2:$Q$495,(SUMPRODUCT((('CASE MASTER'!$T$2:$T$495=10)*('CASE MASTER'!$AA$2:$AA$495&lt;=8)*('CASE MASTER'!$AC$2:$AC$495&gt;=8)*('CASE MASTER'!$AB$2:$AB$495&lt;=4)*('CASE MASTER'!$AD$2:$AD$495&gt;=4))*ROW('CASE MASTER'!$T$2:$T$495))-(ROW('CASE MASTER'!#REF!)-1))),"")),"")</f>
        <v/>
      </c>
      <c r="F136" s="10" t="str">
        <f>IFERROR(IF(SUMPRODUCT((('CASE MASTER'!$T$2:$T$495=10)*('CASE MASTER'!$U$2:$U$495&lt;=8)*('CASE MASTER'!$W$2:$W$495&gt;=8)*('CASE MASTER'!$V$2:$V$495&lt;=5)*('CASE MASTER'!$X$2:$X$495&gt;=5))*ROW('CASE MASTER'!$T$2:$T$495))&gt;0,INDEX('CASE MASTER'!$Y$2:$Y$495,(SUMPRODUCT((('CASE MASTER'!$T$2:$T$495=10)*('CASE MASTER'!$U$2:$U$495&lt;=8)*('CASE MASTER'!$W$2:$W$495&gt;=8)*('CASE MASTER'!$V$2:$V$495&lt;=5)*('CASE MASTER'!$X$2:$X$495&gt;=5))*ROW('CASE MASTER'!$T$2:$T$495))-(ROW('CASE MASTER'!#REF!)-1)))&amp;TRIM(MID(SUBSTITUTE(SUBSTITUTE(INDEX('CASE MASTER'!$N$2:$N$495,(SUMPRODUCT((('CASE MASTER'!$T$2:$T$495=10)*('CASE MASTER'!$U$2:$U$495&lt;=8)*('CASE MASTER'!$W$2:$W$495&gt;=8)*('CASE MASTER'!$V$2:$V$495&lt;=5)*('CASE MASTER'!$X$2:$X$495&gt;=5))*ROW('CASE MASTER'!$T$2:$T$495))-(ROW('CASE MASTER'!#REF!)-1))),":",","),",",REPT(" ",50)),((((8-INDEX('CASE MASTER'!$U$2:$U$495,(SUMPRODUCT((('CASE MASTER'!$T$2:$T$495=10)*('CASE MASTER'!$U$2:$U$495&lt;=8)*('CASE MASTER'!$W$2:$W$495&gt;=8)*('CASE MASTER'!$V$2:$V$495&lt;=5)*('CASE MASTER'!$X$2:$X$495&gt;=5))*ROW('CASE MASTER'!$T$2:$T$495))-(ROW('CASE MASTER'!#REF!)-1))))*(INDEX('CASE MASTER'!$X$2:$X$495,(SUMPRODUCT((('CASE MASTER'!$T$2:$T$495=10)*('CASE MASTER'!$U$2:$U$495&lt;=8)*('CASE MASTER'!$W$2:$W$495&gt;=8)*('CASE MASTER'!$V$2:$V$495&lt;=5)*('CASE MASTER'!$X$2:$X$495&gt;=5))*ROW('CASE MASTER'!$T$2:$T$495))-(ROW('CASE MASTER'!#REF!)-1)))-INDEX('CASE MASTER'!$V$2:$V$495,(SUMPRODUCT((('CASE MASTER'!$T$2:$T$495=10)*('CASE MASTER'!$U$2:$U$495&lt;=8)*('CASE MASTER'!$W$2:$W$495&gt;=8)*('CASE MASTER'!$V$2:$V$495&lt;=5)*('CASE MASTER'!$X$2:$X$495&gt;=5))*ROW('CASE MASTER'!$T$2:$T$495))-(ROW('CASE MASTER'!#REF!)-1)))+1)+(5-INDEX('CASE MASTER'!$V$2:$V$495,(SUMPRODUCT((('CASE MASTER'!$T$2:$T$495=10)*('CASE MASTER'!$U$2:$U$495&lt;=8)*('CASE MASTER'!$W$2:$W$495&gt;=8)*('CASE MASTER'!$V$2:$V$495&lt;=5)*('CASE MASTER'!$X$2:$X$495&gt;=5))*ROW('CASE MASTER'!$T$2:$T$495))-(ROW('CASE MASTER'!#REF!)-1))))+1))-1)*50+1,50))&amp;"_"&amp;INDEX('CASE MASTER'!$Q$2:$Q$495,(SUMPRODUCT((('CASE MASTER'!$T$2:$T$495=10)*('CASE MASTER'!$U$2:$U$495&lt;=8)*('CASE MASTER'!$W$2:$W$495&gt;=8)*('CASE MASTER'!$V$2:$V$495&lt;=5)*('CASE MASTER'!$X$2:$X$495&gt;=5))*ROW('CASE MASTER'!$T$2:$T$495))-(ROW('CASE MASTER'!#REF!)-1))),IF(SUMPRODUCT((('CASE MASTER'!$T$2:$T$495=10)*('CASE MASTER'!$AA$2:$AA$495&lt;=8)*('CASE MASTER'!$AC$2:$AC$495&gt;=8)*('CASE MASTER'!$AB$2:$AB$495&lt;=5)*('CASE MASTER'!$AD$2:$AD$495&gt;=5))*ROW('CASE MASTER'!$T$2:$T$495))&gt;0,INDEX('CASE MASTER'!$Y$2:$Y$495,(SUMPRODUCT((('CASE MASTER'!$T$2:$T$495=10)*('CASE MASTER'!$AA$2:$AA$495&lt;=8)*('CASE MASTER'!$AC$2:$AC$495&gt;=8)*('CASE MASTER'!$AB$2:$AB$495&lt;=5)*('CASE MASTER'!$AD$2:$AD$495&gt;=5))*ROW('CASE MASTER'!$T$2:$T$495))-(ROW('CASE MASTER'!#REF!)-1)))&amp;TRIM(MID(SUBSTITUTE(SUBSTITUTE(INDEX('CASE MASTER'!$N$2:$N$495,(SUMPRODUCT((('CASE MASTER'!$T$2:$T$495=10)*('CASE MASTER'!$AA$2:$AA$495&lt;=8)*('CASE MASTER'!$AC$2:$AC$495&gt;=8)*('CASE MASTER'!$AB$2:$AB$495&lt;=5)*('CASE MASTER'!$AD$2:$AD$495&gt;=5))*ROW('CASE MASTER'!$T$2:$T$495))-(ROW('CASE MASTER'!#REF!)-1))),":",","),",",REPT(" ",50)),(((INDEX('CASE MASTER'!$Z$2:$Z$495,(SUMPRODUCT((('CASE MASTER'!$T$2:$T$495=10)*('CASE MASTER'!$AA$2:$AA$495&lt;=8)*('CASE MASTER'!$AC$2:$AC$495&gt;=8)*('CASE MASTER'!$AB$2:$AB$495&lt;=5)*('CASE MASTER'!$AD$2:$AD$495&gt;=5))*ROW('CASE MASTER'!$T$2:$T$495))-(ROW('CASE MASTER'!#REF!)-1)))+((8-INDEX('CASE MASTER'!$AA$2:$AA$495,(SUMPRODUCT((('CASE MASTER'!$T$2:$T$495=10)*('CASE MASTER'!$AA$2:$AA$495&lt;=8)*('CASE MASTER'!$AC$2:$AC$495&gt;=8)*('CASE MASTER'!$AB$2:$AB$495&lt;=5)*('CASE MASTER'!$AD$2:$AD$495&gt;=5))*ROW('CASE MASTER'!$T$2:$T$495))-(ROW('CASE MASTER'!#REF!)-1))))*(INDEX('CASE MASTER'!$AD$2:$AD$495,(SUMPRODUCT((('CASE MASTER'!$T$2:$T$495=10)*('CASE MASTER'!$AA$2:$AA$495&lt;=8)*('CASE MASTER'!$AC$2:$AC$495&gt;=8)*('CASE MASTER'!$AB$2:$AB$495&lt;=5)*('CASE MASTER'!$AD$2:$AD$495&gt;=5))*ROW('CASE MASTER'!$T$2:$T$495))-(ROW('CASE MASTER'!#REF!)-1)))-INDEX('CASE MASTER'!$AB$2:$AB$495,(SUMPRODUCT((('CASE MASTER'!$T$2:$T$495=10)*('CASE MASTER'!$AA$2:$AA$495&lt;=8)*('CASE MASTER'!$AC$2:$AC$495&gt;=8)*('CASE MASTER'!$AB$2:$AB$495&lt;=5)*('CASE MASTER'!$AD$2:$AD$495&gt;=5))*ROW('CASE MASTER'!$T$2:$T$495))-(ROW('CASE MASTER'!#REF!)-1)))+1)+(5-INDEX('CASE MASTER'!$AB$2:$AB$495,(SUMPRODUCT((('CASE MASTER'!$T$2:$T$495=10)*('CASE MASTER'!$AA$2:$AA$495&lt;=8)*('CASE MASTER'!$AC$2:$AC$495&gt;=8)*('CASE MASTER'!$AB$2:$AB$495&lt;=5)*('CASE MASTER'!$AD$2:$AD$495&gt;=5))*ROW('CASE MASTER'!$T$2:$T$495))-(ROW('CASE MASTER'!#REF!)-1))))+1)))-1)*50+1,50))&amp;"_"&amp;INDEX('CASE MASTER'!$Q$2:$Q$495,(SUMPRODUCT((('CASE MASTER'!$T$2:$T$495=10)*('CASE MASTER'!$AA$2:$AA$495&lt;=8)*('CASE MASTER'!$AC$2:$AC$495&gt;=8)*('CASE MASTER'!$AB$2:$AB$495&lt;=5)*('CASE MASTER'!$AD$2:$AD$495&gt;=5))*ROW('CASE MASTER'!$T$2:$T$495))-(ROW('CASE MASTER'!#REF!)-1))),"")),"")</f>
        <v/>
      </c>
      <c r="G136" s="10" t="str">
        <f>IFERROR(IF(SUMPRODUCT((('CASE MASTER'!$T$2:$T$495=10)*('CASE MASTER'!$U$2:$U$495&lt;=8)*('CASE MASTER'!$W$2:$W$495&gt;=8)*('CASE MASTER'!$V$2:$V$495&lt;=6)*('CASE MASTER'!$X$2:$X$495&gt;=6))*ROW('CASE MASTER'!$T$2:$T$495))&gt;0,INDEX('CASE MASTER'!$Y$2:$Y$495,(SUMPRODUCT((('CASE MASTER'!$T$2:$T$495=10)*('CASE MASTER'!$U$2:$U$495&lt;=8)*('CASE MASTER'!$W$2:$W$495&gt;=8)*('CASE MASTER'!$V$2:$V$495&lt;=6)*('CASE MASTER'!$X$2:$X$495&gt;=6))*ROW('CASE MASTER'!$T$2:$T$495))-(ROW('CASE MASTER'!#REF!)-1)))&amp;TRIM(MID(SUBSTITUTE(SUBSTITUTE(INDEX('CASE MASTER'!$N$2:$N$495,(SUMPRODUCT((('CASE MASTER'!$T$2:$T$495=10)*('CASE MASTER'!$U$2:$U$495&lt;=8)*('CASE MASTER'!$W$2:$W$495&gt;=8)*('CASE MASTER'!$V$2:$V$495&lt;=6)*('CASE MASTER'!$X$2:$X$495&gt;=6))*ROW('CASE MASTER'!$T$2:$T$495))-(ROW('CASE MASTER'!#REF!)-1))),":",","),",",REPT(" ",50)),((((8-INDEX('CASE MASTER'!$U$2:$U$495,(SUMPRODUCT((('CASE MASTER'!$T$2:$T$495=10)*('CASE MASTER'!$U$2:$U$495&lt;=8)*('CASE MASTER'!$W$2:$W$495&gt;=8)*('CASE MASTER'!$V$2:$V$495&lt;=6)*('CASE MASTER'!$X$2:$X$495&gt;=6))*ROW('CASE MASTER'!$T$2:$T$495))-(ROW('CASE MASTER'!#REF!)-1))))*(INDEX('CASE MASTER'!$X$2:$X$495,(SUMPRODUCT((('CASE MASTER'!$T$2:$T$495=10)*('CASE MASTER'!$U$2:$U$495&lt;=8)*('CASE MASTER'!$W$2:$W$495&gt;=8)*('CASE MASTER'!$V$2:$V$495&lt;=6)*('CASE MASTER'!$X$2:$X$495&gt;=6))*ROW('CASE MASTER'!$T$2:$T$495))-(ROW('CASE MASTER'!#REF!)-1)))-INDEX('CASE MASTER'!$V$2:$V$495,(SUMPRODUCT((('CASE MASTER'!$T$2:$T$495=10)*('CASE MASTER'!$U$2:$U$495&lt;=8)*('CASE MASTER'!$W$2:$W$495&gt;=8)*('CASE MASTER'!$V$2:$V$495&lt;=6)*('CASE MASTER'!$X$2:$X$495&gt;=6))*ROW('CASE MASTER'!$T$2:$T$495))-(ROW('CASE MASTER'!#REF!)-1)))+1)+(6-INDEX('CASE MASTER'!$V$2:$V$495,(SUMPRODUCT((('CASE MASTER'!$T$2:$T$495=10)*('CASE MASTER'!$U$2:$U$495&lt;=8)*('CASE MASTER'!$W$2:$W$495&gt;=8)*('CASE MASTER'!$V$2:$V$495&lt;=6)*('CASE MASTER'!$X$2:$X$495&gt;=6))*ROW('CASE MASTER'!$T$2:$T$495))-(ROW('CASE MASTER'!#REF!)-1))))+1))-1)*50+1,50))&amp;"_"&amp;INDEX('CASE MASTER'!$Q$2:$Q$495,(SUMPRODUCT((('CASE MASTER'!$T$2:$T$495=10)*('CASE MASTER'!$U$2:$U$495&lt;=8)*('CASE MASTER'!$W$2:$W$495&gt;=8)*('CASE MASTER'!$V$2:$V$495&lt;=6)*('CASE MASTER'!$X$2:$X$495&gt;=6))*ROW('CASE MASTER'!$T$2:$T$495))-(ROW('CASE MASTER'!#REF!)-1))),IF(SUMPRODUCT((('CASE MASTER'!$T$2:$T$495=10)*('CASE MASTER'!$AA$2:$AA$495&lt;=8)*('CASE MASTER'!$AC$2:$AC$495&gt;=8)*('CASE MASTER'!$AB$2:$AB$495&lt;=6)*('CASE MASTER'!$AD$2:$AD$495&gt;=6))*ROW('CASE MASTER'!$T$2:$T$495))&gt;0,INDEX('CASE MASTER'!$Y$2:$Y$495,(SUMPRODUCT((('CASE MASTER'!$T$2:$T$495=10)*('CASE MASTER'!$AA$2:$AA$495&lt;=8)*('CASE MASTER'!$AC$2:$AC$495&gt;=8)*('CASE MASTER'!$AB$2:$AB$495&lt;=6)*('CASE MASTER'!$AD$2:$AD$495&gt;=6))*ROW('CASE MASTER'!$T$2:$T$495))-(ROW('CASE MASTER'!#REF!)-1)))&amp;TRIM(MID(SUBSTITUTE(SUBSTITUTE(INDEX('CASE MASTER'!$N$2:$N$495,(SUMPRODUCT((('CASE MASTER'!$T$2:$T$495=10)*('CASE MASTER'!$AA$2:$AA$495&lt;=8)*('CASE MASTER'!$AC$2:$AC$495&gt;=8)*('CASE MASTER'!$AB$2:$AB$495&lt;=6)*('CASE MASTER'!$AD$2:$AD$495&gt;=6))*ROW('CASE MASTER'!$T$2:$T$495))-(ROW('CASE MASTER'!#REF!)-1))),":",","),",",REPT(" ",50)),(((INDEX('CASE MASTER'!$Z$2:$Z$495,(SUMPRODUCT((('CASE MASTER'!$T$2:$T$495=10)*('CASE MASTER'!$AA$2:$AA$495&lt;=8)*('CASE MASTER'!$AC$2:$AC$495&gt;=8)*('CASE MASTER'!$AB$2:$AB$495&lt;=6)*('CASE MASTER'!$AD$2:$AD$495&gt;=6))*ROW('CASE MASTER'!$T$2:$T$495))-(ROW('CASE MASTER'!#REF!)-1)))+((8-INDEX('CASE MASTER'!$AA$2:$AA$495,(SUMPRODUCT((('CASE MASTER'!$T$2:$T$495=10)*('CASE MASTER'!$AA$2:$AA$495&lt;=8)*('CASE MASTER'!$AC$2:$AC$495&gt;=8)*('CASE MASTER'!$AB$2:$AB$495&lt;=6)*('CASE MASTER'!$AD$2:$AD$495&gt;=6))*ROW('CASE MASTER'!$T$2:$T$495))-(ROW('CASE MASTER'!#REF!)-1))))*(INDEX('CASE MASTER'!$AD$2:$AD$495,(SUMPRODUCT((('CASE MASTER'!$T$2:$T$495=10)*('CASE MASTER'!$AA$2:$AA$495&lt;=8)*('CASE MASTER'!$AC$2:$AC$495&gt;=8)*('CASE MASTER'!$AB$2:$AB$495&lt;=6)*('CASE MASTER'!$AD$2:$AD$495&gt;=6))*ROW('CASE MASTER'!$T$2:$T$495))-(ROW('CASE MASTER'!#REF!)-1)))-INDEX('CASE MASTER'!$AB$2:$AB$495,(SUMPRODUCT((('CASE MASTER'!$T$2:$T$495=10)*('CASE MASTER'!$AA$2:$AA$495&lt;=8)*('CASE MASTER'!$AC$2:$AC$495&gt;=8)*('CASE MASTER'!$AB$2:$AB$495&lt;=6)*('CASE MASTER'!$AD$2:$AD$495&gt;=6))*ROW('CASE MASTER'!$T$2:$T$495))-(ROW('CASE MASTER'!#REF!)-1)))+1)+(6-INDEX('CASE MASTER'!$AB$2:$AB$495,(SUMPRODUCT((('CASE MASTER'!$T$2:$T$495=10)*('CASE MASTER'!$AA$2:$AA$495&lt;=8)*('CASE MASTER'!$AC$2:$AC$495&gt;=8)*('CASE MASTER'!$AB$2:$AB$495&lt;=6)*('CASE MASTER'!$AD$2:$AD$495&gt;=6))*ROW('CASE MASTER'!$T$2:$T$495))-(ROW('CASE MASTER'!#REF!)-1))))+1)))-1)*50+1,50))&amp;"_"&amp;INDEX('CASE MASTER'!$Q$2:$Q$495,(SUMPRODUCT((('CASE MASTER'!$T$2:$T$495=10)*('CASE MASTER'!$AA$2:$AA$495&lt;=8)*('CASE MASTER'!$AC$2:$AC$495&gt;=8)*('CASE MASTER'!$AB$2:$AB$495&lt;=6)*('CASE MASTER'!$AD$2:$AD$495&gt;=6))*ROW('CASE MASTER'!$T$2:$T$495))-(ROW('CASE MASTER'!#REF!)-1))),"")),"")</f>
        <v/>
      </c>
      <c r="H136" s="10" t="str">
        <f>IFERROR(IF(SUMPRODUCT((('CASE MASTER'!$T$2:$T$495=10)*('CASE MASTER'!$U$2:$U$495&lt;=8)*('CASE MASTER'!$W$2:$W$495&gt;=8)*('CASE MASTER'!$V$2:$V$495&lt;=7)*('CASE MASTER'!$X$2:$X$495&gt;=7))*ROW('CASE MASTER'!$T$2:$T$495))&gt;0,INDEX('CASE MASTER'!$Y$2:$Y$495,(SUMPRODUCT((('CASE MASTER'!$T$2:$T$495=10)*('CASE MASTER'!$U$2:$U$495&lt;=8)*('CASE MASTER'!$W$2:$W$495&gt;=8)*('CASE MASTER'!$V$2:$V$495&lt;=7)*('CASE MASTER'!$X$2:$X$495&gt;=7))*ROW('CASE MASTER'!$T$2:$T$495))-(ROW('CASE MASTER'!#REF!)-1)))&amp;TRIM(MID(SUBSTITUTE(SUBSTITUTE(INDEX('CASE MASTER'!$N$2:$N$495,(SUMPRODUCT((('CASE MASTER'!$T$2:$T$495=10)*('CASE MASTER'!$U$2:$U$495&lt;=8)*('CASE MASTER'!$W$2:$W$495&gt;=8)*('CASE MASTER'!$V$2:$V$495&lt;=7)*('CASE MASTER'!$X$2:$X$495&gt;=7))*ROW('CASE MASTER'!$T$2:$T$495))-(ROW('CASE MASTER'!#REF!)-1))),":",","),",",REPT(" ",50)),((((8-INDEX('CASE MASTER'!$U$2:$U$495,(SUMPRODUCT((('CASE MASTER'!$T$2:$T$495=10)*('CASE MASTER'!$U$2:$U$495&lt;=8)*('CASE MASTER'!$W$2:$W$495&gt;=8)*('CASE MASTER'!$V$2:$V$495&lt;=7)*('CASE MASTER'!$X$2:$X$495&gt;=7))*ROW('CASE MASTER'!$T$2:$T$495))-(ROW('CASE MASTER'!#REF!)-1))))*(INDEX('CASE MASTER'!$X$2:$X$495,(SUMPRODUCT((('CASE MASTER'!$T$2:$T$495=10)*('CASE MASTER'!$U$2:$U$495&lt;=8)*('CASE MASTER'!$W$2:$W$495&gt;=8)*('CASE MASTER'!$V$2:$V$495&lt;=7)*('CASE MASTER'!$X$2:$X$495&gt;=7))*ROW('CASE MASTER'!$T$2:$T$495))-(ROW('CASE MASTER'!#REF!)-1)))-INDEX('CASE MASTER'!$V$2:$V$495,(SUMPRODUCT((('CASE MASTER'!$T$2:$T$495=10)*('CASE MASTER'!$U$2:$U$495&lt;=8)*('CASE MASTER'!$W$2:$W$495&gt;=8)*('CASE MASTER'!$V$2:$V$495&lt;=7)*('CASE MASTER'!$X$2:$X$495&gt;=7))*ROW('CASE MASTER'!$T$2:$T$495))-(ROW('CASE MASTER'!#REF!)-1)))+1)+(7-INDEX('CASE MASTER'!$V$2:$V$495,(SUMPRODUCT((('CASE MASTER'!$T$2:$T$495=10)*('CASE MASTER'!$U$2:$U$495&lt;=8)*('CASE MASTER'!$W$2:$W$495&gt;=8)*('CASE MASTER'!$V$2:$V$495&lt;=7)*('CASE MASTER'!$X$2:$X$495&gt;=7))*ROW('CASE MASTER'!$T$2:$T$495))-(ROW('CASE MASTER'!#REF!)-1))))+1))-1)*50+1,50))&amp;"_"&amp;INDEX('CASE MASTER'!$Q$2:$Q$495,(SUMPRODUCT((('CASE MASTER'!$T$2:$T$495=10)*('CASE MASTER'!$U$2:$U$495&lt;=8)*('CASE MASTER'!$W$2:$W$495&gt;=8)*('CASE MASTER'!$V$2:$V$495&lt;=7)*('CASE MASTER'!$X$2:$X$495&gt;=7))*ROW('CASE MASTER'!$T$2:$T$495))-(ROW('CASE MASTER'!#REF!)-1))),IF(SUMPRODUCT((('CASE MASTER'!$T$2:$T$495=10)*('CASE MASTER'!$AA$2:$AA$495&lt;=8)*('CASE MASTER'!$AC$2:$AC$495&gt;=8)*('CASE MASTER'!$AB$2:$AB$495&lt;=7)*('CASE MASTER'!$AD$2:$AD$495&gt;=7))*ROW('CASE MASTER'!$T$2:$T$495))&gt;0,INDEX('CASE MASTER'!$Y$2:$Y$495,(SUMPRODUCT((('CASE MASTER'!$T$2:$T$495=10)*('CASE MASTER'!$AA$2:$AA$495&lt;=8)*('CASE MASTER'!$AC$2:$AC$495&gt;=8)*('CASE MASTER'!$AB$2:$AB$495&lt;=7)*('CASE MASTER'!$AD$2:$AD$495&gt;=7))*ROW('CASE MASTER'!$T$2:$T$495))-(ROW('CASE MASTER'!#REF!)-1)))&amp;TRIM(MID(SUBSTITUTE(SUBSTITUTE(INDEX('CASE MASTER'!$N$2:$N$495,(SUMPRODUCT((('CASE MASTER'!$T$2:$T$495=10)*('CASE MASTER'!$AA$2:$AA$495&lt;=8)*('CASE MASTER'!$AC$2:$AC$495&gt;=8)*('CASE MASTER'!$AB$2:$AB$495&lt;=7)*('CASE MASTER'!$AD$2:$AD$495&gt;=7))*ROW('CASE MASTER'!$T$2:$T$495))-(ROW('CASE MASTER'!#REF!)-1))),":",","),",",REPT(" ",50)),(((INDEX('CASE MASTER'!$Z$2:$Z$495,(SUMPRODUCT((('CASE MASTER'!$T$2:$T$495=10)*('CASE MASTER'!$AA$2:$AA$495&lt;=8)*('CASE MASTER'!$AC$2:$AC$495&gt;=8)*('CASE MASTER'!$AB$2:$AB$495&lt;=7)*('CASE MASTER'!$AD$2:$AD$495&gt;=7))*ROW('CASE MASTER'!$T$2:$T$495))-(ROW('CASE MASTER'!#REF!)-1)))+((8-INDEX('CASE MASTER'!$AA$2:$AA$495,(SUMPRODUCT((('CASE MASTER'!$T$2:$T$495=10)*('CASE MASTER'!$AA$2:$AA$495&lt;=8)*('CASE MASTER'!$AC$2:$AC$495&gt;=8)*('CASE MASTER'!$AB$2:$AB$495&lt;=7)*('CASE MASTER'!$AD$2:$AD$495&gt;=7))*ROW('CASE MASTER'!$T$2:$T$495))-(ROW('CASE MASTER'!#REF!)-1))))*(INDEX('CASE MASTER'!$AD$2:$AD$495,(SUMPRODUCT((('CASE MASTER'!$T$2:$T$495=10)*('CASE MASTER'!$AA$2:$AA$495&lt;=8)*('CASE MASTER'!$AC$2:$AC$495&gt;=8)*('CASE MASTER'!$AB$2:$AB$495&lt;=7)*('CASE MASTER'!$AD$2:$AD$495&gt;=7))*ROW('CASE MASTER'!$T$2:$T$495))-(ROW('CASE MASTER'!#REF!)-1)))-INDEX('CASE MASTER'!$AB$2:$AB$495,(SUMPRODUCT((('CASE MASTER'!$T$2:$T$495=10)*('CASE MASTER'!$AA$2:$AA$495&lt;=8)*('CASE MASTER'!$AC$2:$AC$495&gt;=8)*('CASE MASTER'!$AB$2:$AB$495&lt;=7)*('CASE MASTER'!$AD$2:$AD$495&gt;=7))*ROW('CASE MASTER'!$T$2:$T$495))-(ROW('CASE MASTER'!#REF!)-1)))+1)+(7-INDEX('CASE MASTER'!$AB$2:$AB$495,(SUMPRODUCT((('CASE MASTER'!$T$2:$T$495=10)*('CASE MASTER'!$AA$2:$AA$495&lt;=8)*('CASE MASTER'!$AC$2:$AC$495&gt;=8)*('CASE MASTER'!$AB$2:$AB$495&lt;=7)*('CASE MASTER'!$AD$2:$AD$495&gt;=7))*ROW('CASE MASTER'!$T$2:$T$495))-(ROW('CASE MASTER'!#REF!)-1))))+1)))-1)*50+1,50))&amp;"_"&amp;INDEX('CASE MASTER'!$Q$2:$Q$495,(SUMPRODUCT((('CASE MASTER'!$T$2:$T$495=10)*('CASE MASTER'!$AA$2:$AA$495&lt;=8)*('CASE MASTER'!$AC$2:$AC$495&gt;=8)*('CASE MASTER'!$AB$2:$AB$495&lt;=7)*('CASE MASTER'!$AD$2:$AD$495&gt;=7))*ROW('CASE MASTER'!$T$2:$T$495))-(ROW('CASE MASTER'!#REF!)-1))),"")),"")</f>
        <v/>
      </c>
      <c r="I136" s="10" t="str">
        <f>IFERROR(IF(SUMPRODUCT((('CASE MASTER'!$T$2:$T$495=10)*('CASE MASTER'!$U$2:$U$495&lt;=8)*('CASE MASTER'!$W$2:$W$495&gt;=8)*('CASE MASTER'!$V$2:$V$495&lt;=8)*('CASE MASTER'!$X$2:$X$495&gt;=8))*ROW('CASE MASTER'!$T$2:$T$495))&gt;0,INDEX('CASE MASTER'!$Y$2:$Y$495,(SUMPRODUCT((('CASE MASTER'!$T$2:$T$495=10)*('CASE MASTER'!$U$2:$U$495&lt;=8)*('CASE MASTER'!$W$2:$W$495&gt;=8)*('CASE MASTER'!$V$2:$V$495&lt;=8)*('CASE MASTER'!$X$2:$X$495&gt;=8))*ROW('CASE MASTER'!$T$2:$T$495))-(ROW('CASE MASTER'!#REF!)-1)))&amp;TRIM(MID(SUBSTITUTE(SUBSTITUTE(INDEX('CASE MASTER'!$N$2:$N$495,(SUMPRODUCT((('CASE MASTER'!$T$2:$T$495=10)*('CASE MASTER'!$U$2:$U$495&lt;=8)*('CASE MASTER'!$W$2:$W$495&gt;=8)*('CASE MASTER'!$V$2:$V$495&lt;=8)*('CASE MASTER'!$X$2:$X$495&gt;=8))*ROW('CASE MASTER'!$T$2:$T$495))-(ROW('CASE MASTER'!#REF!)-1))),":",","),",",REPT(" ",50)),((((8-INDEX('CASE MASTER'!$U$2:$U$495,(SUMPRODUCT((('CASE MASTER'!$T$2:$T$495=10)*('CASE MASTER'!$U$2:$U$495&lt;=8)*('CASE MASTER'!$W$2:$W$495&gt;=8)*('CASE MASTER'!$V$2:$V$495&lt;=8)*('CASE MASTER'!$X$2:$X$495&gt;=8))*ROW('CASE MASTER'!$T$2:$T$495))-(ROW('CASE MASTER'!#REF!)-1))))*(INDEX('CASE MASTER'!$X$2:$X$495,(SUMPRODUCT((('CASE MASTER'!$T$2:$T$495=10)*('CASE MASTER'!$U$2:$U$495&lt;=8)*('CASE MASTER'!$W$2:$W$495&gt;=8)*('CASE MASTER'!$V$2:$V$495&lt;=8)*('CASE MASTER'!$X$2:$X$495&gt;=8))*ROW('CASE MASTER'!$T$2:$T$495))-(ROW('CASE MASTER'!#REF!)-1)))-INDEX('CASE MASTER'!$V$2:$V$495,(SUMPRODUCT((('CASE MASTER'!$T$2:$T$495=10)*('CASE MASTER'!$U$2:$U$495&lt;=8)*('CASE MASTER'!$W$2:$W$495&gt;=8)*('CASE MASTER'!$V$2:$V$495&lt;=8)*('CASE MASTER'!$X$2:$X$495&gt;=8))*ROW('CASE MASTER'!$T$2:$T$495))-(ROW('CASE MASTER'!#REF!)-1)))+1)+(8-INDEX('CASE MASTER'!$V$2:$V$495,(SUMPRODUCT((('CASE MASTER'!$T$2:$T$495=10)*('CASE MASTER'!$U$2:$U$495&lt;=8)*('CASE MASTER'!$W$2:$W$495&gt;=8)*('CASE MASTER'!$V$2:$V$495&lt;=8)*('CASE MASTER'!$X$2:$X$495&gt;=8))*ROW('CASE MASTER'!$T$2:$T$495))-(ROW('CASE MASTER'!#REF!)-1))))+1))-1)*50+1,50))&amp;"_"&amp;INDEX('CASE MASTER'!$Q$2:$Q$495,(SUMPRODUCT((('CASE MASTER'!$T$2:$T$495=10)*('CASE MASTER'!$U$2:$U$495&lt;=8)*('CASE MASTER'!$W$2:$W$495&gt;=8)*('CASE MASTER'!$V$2:$V$495&lt;=8)*('CASE MASTER'!$X$2:$X$495&gt;=8))*ROW('CASE MASTER'!$T$2:$T$495))-(ROW('CASE MASTER'!#REF!)-1))),IF(SUMPRODUCT((('CASE MASTER'!$T$2:$T$495=10)*('CASE MASTER'!$AA$2:$AA$495&lt;=8)*('CASE MASTER'!$AC$2:$AC$495&gt;=8)*('CASE MASTER'!$AB$2:$AB$495&lt;=8)*('CASE MASTER'!$AD$2:$AD$495&gt;=8))*ROW('CASE MASTER'!$T$2:$T$495))&gt;0,INDEX('CASE MASTER'!$Y$2:$Y$495,(SUMPRODUCT((('CASE MASTER'!$T$2:$T$495=10)*('CASE MASTER'!$AA$2:$AA$495&lt;=8)*('CASE MASTER'!$AC$2:$AC$495&gt;=8)*('CASE MASTER'!$AB$2:$AB$495&lt;=8)*('CASE MASTER'!$AD$2:$AD$495&gt;=8))*ROW('CASE MASTER'!$T$2:$T$495))-(ROW('CASE MASTER'!#REF!)-1)))&amp;TRIM(MID(SUBSTITUTE(SUBSTITUTE(INDEX('CASE MASTER'!$N$2:$N$495,(SUMPRODUCT((('CASE MASTER'!$T$2:$T$495=10)*('CASE MASTER'!$AA$2:$AA$495&lt;=8)*('CASE MASTER'!$AC$2:$AC$495&gt;=8)*('CASE MASTER'!$AB$2:$AB$495&lt;=8)*('CASE MASTER'!$AD$2:$AD$495&gt;=8))*ROW('CASE MASTER'!$T$2:$T$495))-(ROW('CASE MASTER'!#REF!)-1))),":",","),",",REPT(" ",50)),(((INDEX('CASE MASTER'!$Z$2:$Z$495,(SUMPRODUCT((('CASE MASTER'!$T$2:$T$495=10)*('CASE MASTER'!$AA$2:$AA$495&lt;=8)*('CASE MASTER'!$AC$2:$AC$495&gt;=8)*('CASE MASTER'!$AB$2:$AB$495&lt;=8)*('CASE MASTER'!$AD$2:$AD$495&gt;=8))*ROW('CASE MASTER'!$T$2:$T$495))-(ROW('CASE MASTER'!#REF!)-1)))+((8-INDEX('CASE MASTER'!$AA$2:$AA$495,(SUMPRODUCT((('CASE MASTER'!$T$2:$T$495=10)*('CASE MASTER'!$AA$2:$AA$495&lt;=8)*('CASE MASTER'!$AC$2:$AC$495&gt;=8)*('CASE MASTER'!$AB$2:$AB$495&lt;=8)*('CASE MASTER'!$AD$2:$AD$495&gt;=8))*ROW('CASE MASTER'!$T$2:$T$495))-(ROW('CASE MASTER'!#REF!)-1))))*(INDEX('CASE MASTER'!$AD$2:$AD$495,(SUMPRODUCT((('CASE MASTER'!$T$2:$T$495=10)*('CASE MASTER'!$AA$2:$AA$495&lt;=8)*('CASE MASTER'!$AC$2:$AC$495&gt;=8)*('CASE MASTER'!$AB$2:$AB$495&lt;=8)*('CASE MASTER'!$AD$2:$AD$495&gt;=8))*ROW('CASE MASTER'!$T$2:$T$495))-(ROW('CASE MASTER'!#REF!)-1)))-INDEX('CASE MASTER'!$AB$2:$AB$495,(SUMPRODUCT((('CASE MASTER'!$T$2:$T$495=10)*('CASE MASTER'!$AA$2:$AA$495&lt;=8)*('CASE MASTER'!$AC$2:$AC$495&gt;=8)*('CASE MASTER'!$AB$2:$AB$495&lt;=8)*('CASE MASTER'!$AD$2:$AD$495&gt;=8))*ROW('CASE MASTER'!$T$2:$T$495))-(ROW('CASE MASTER'!#REF!)-1)))+1)+(8-INDEX('CASE MASTER'!$AB$2:$AB$495,(SUMPRODUCT((('CASE MASTER'!$T$2:$T$495=10)*('CASE MASTER'!$AA$2:$AA$495&lt;=8)*('CASE MASTER'!$AC$2:$AC$495&gt;=8)*('CASE MASTER'!$AB$2:$AB$495&lt;=8)*('CASE MASTER'!$AD$2:$AD$495&gt;=8))*ROW('CASE MASTER'!$T$2:$T$495))-(ROW('CASE MASTER'!#REF!)-1))))+1)))-1)*50+1,50))&amp;"_"&amp;INDEX('CASE MASTER'!$Q$2:$Q$495,(SUMPRODUCT((('CASE MASTER'!$T$2:$T$495=10)*('CASE MASTER'!$AA$2:$AA$495&lt;=8)*('CASE MASTER'!$AC$2:$AC$495&gt;=8)*('CASE MASTER'!$AB$2:$AB$495&lt;=8)*('CASE MASTER'!$AD$2:$AD$495&gt;=8))*ROW('CASE MASTER'!$T$2:$T$495))-(ROW('CASE MASTER'!#REF!)-1))),"")),"")</f>
        <v/>
      </c>
      <c r="J136" s="10" t="str">
        <f>IFERROR(IF(SUMPRODUCT((('CASE MASTER'!$T$2:$T$495=10)*('CASE MASTER'!$U$2:$U$495&lt;=8)*('CASE MASTER'!$W$2:$W$495&gt;=8)*('CASE MASTER'!$V$2:$V$495&lt;=9)*('CASE MASTER'!$X$2:$X$495&gt;=9))*ROW('CASE MASTER'!$T$2:$T$495))&gt;0,INDEX('CASE MASTER'!$Y$2:$Y$495,(SUMPRODUCT((('CASE MASTER'!$T$2:$T$495=10)*('CASE MASTER'!$U$2:$U$495&lt;=8)*('CASE MASTER'!$W$2:$W$495&gt;=8)*('CASE MASTER'!$V$2:$V$495&lt;=9)*('CASE MASTER'!$X$2:$X$495&gt;=9))*ROW('CASE MASTER'!$T$2:$T$495))-(ROW('CASE MASTER'!#REF!)-1)))&amp;TRIM(MID(SUBSTITUTE(SUBSTITUTE(INDEX('CASE MASTER'!$N$2:$N$495,(SUMPRODUCT((('CASE MASTER'!$T$2:$T$495=10)*('CASE MASTER'!$U$2:$U$495&lt;=8)*('CASE MASTER'!$W$2:$W$495&gt;=8)*('CASE MASTER'!$V$2:$V$495&lt;=9)*('CASE MASTER'!$X$2:$X$495&gt;=9))*ROW('CASE MASTER'!$T$2:$T$495))-(ROW('CASE MASTER'!#REF!)-1))),":",","),",",REPT(" ",50)),((((8-INDEX('CASE MASTER'!$U$2:$U$495,(SUMPRODUCT((('CASE MASTER'!$T$2:$T$495=10)*('CASE MASTER'!$U$2:$U$495&lt;=8)*('CASE MASTER'!$W$2:$W$495&gt;=8)*('CASE MASTER'!$V$2:$V$495&lt;=9)*('CASE MASTER'!$X$2:$X$495&gt;=9))*ROW('CASE MASTER'!$T$2:$T$495))-(ROW('CASE MASTER'!#REF!)-1))))*(INDEX('CASE MASTER'!$X$2:$X$495,(SUMPRODUCT((('CASE MASTER'!$T$2:$T$495=10)*('CASE MASTER'!$U$2:$U$495&lt;=8)*('CASE MASTER'!$W$2:$W$495&gt;=8)*('CASE MASTER'!$V$2:$V$495&lt;=9)*('CASE MASTER'!$X$2:$X$495&gt;=9))*ROW('CASE MASTER'!$T$2:$T$495))-(ROW('CASE MASTER'!#REF!)-1)))-INDEX('CASE MASTER'!$V$2:$V$495,(SUMPRODUCT((('CASE MASTER'!$T$2:$T$495=10)*('CASE MASTER'!$U$2:$U$495&lt;=8)*('CASE MASTER'!$W$2:$W$495&gt;=8)*('CASE MASTER'!$V$2:$V$495&lt;=9)*('CASE MASTER'!$X$2:$X$495&gt;=9))*ROW('CASE MASTER'!$T$2:$T$495))-(ROW('CASE MASTER'!#REF!)-1)))+1)+(9-INDEX('CASE MASTER'!$V$2:$V$495,(SUMPRODUCT((('CASE MASTER'!$T$2:$T$495=10)*('CASE MASTER'!$U$2:$U$495&lt;=8)*('CASE MASTER'!$W$2:$W$495&gt;=8)*('CASE MASTER'!$V$2:$V$495&lt;=9)*('CASE MASTER'!$X$2:$X$495&gt;=9))*ROW('CASE MASTER'!$T$2:$T$495))-(ROW('CASE MASTER'!#REF!)-1))))+1))-1)*50+1,50))&amp;"_"&amp;INDEX('CASE MASTER'!$Q$2:$Q$495,(SUMPRODUCT((('CASE MASTER'!$T$2:$T$495=10)*('CASE MASTER'!$U$2:$U$495&lt;=8)*('CASE MASTER'!$W$2:$W$495&gt;=8)*('CASE MASTER'!$V$2:$V$495&lt;=9)*('CASE MASTER'!$X$2:$X$495&gt;=9))*ROW('CASE MASTER'!$T$2:$T$495))-(ROW('CASE MASTER'!#REF!)-1))),IF(SUMPRODUCT((('CASE MASTER'!$T$2:$T$495=10)*('CASE MASTER'!$AA$2:$AA$495&lt;=8)*('CASE MASTER'!$AC$2:$AC$495&gt;=8)*('CASE MASTER'!$AB$2:$AB$495&lt;=9)*('CASE MASTER'!$AD$2:$AD$495&gt;=9))*ROW('CASE MASTER'!$T$2:$T$495))&gt;0,INDEX('CASE MASTER'!$Y$2:$Y$495,(SUMPRODUCT((('CASE MASTER'!$T$2:$T$495=10)*('CASE MASTER'!$AA$2:$AA$495&lt;=8)*('CASE MASTER'!$AC$2:$AC$495&gt;=8)*('CASE MASTER'!$AB$2:$AB$495&lt;=9)*('CASE MASTER'!$AD$2:$AD$495&gt;=9))*ROW('CASE MASTER'!$T$2:$T$495))-(ROW('CASE MASTER'!#REF!)-1)))&amp;TRIM(MID(SUBSTITUTE(SUBSTITUTE(INDEX('CASE MASTER'!$N$2:$N$495,(SUMPRODUCT((('CASE MASTER'!$T$2:$T$495=10)*('CASE MASTER'!$AA$2:$AA$495&lt;=8)*('CASE MASTER'!$AC$2:$AC$495&gt;=8)*('CASE MASTER'!$AB$2:$AB$495&lt;=9)*('CASE MASTER'!$AD$2:$AD$495&gt;=9))*ROW('CASE MASTER'!$T$2:$T$495))-(ROW('CASE MASTER'!#REF!)-1))),":",","),",",REPT(" ",50)),(((INDEX('CASE MASTER'!$Z$2:$Z$495,(SUMPRODUCT((('CASE MASTER'!$T$2:$T$495=10)*('CASE MASTER'!$AA$2:$AA$495&lt;=8)*('CASE MASTER'!$AC$2:$AC$495&gt;=8)*('CASE MASTER'!$AB$2:$AB$495&lt;=9)*('CASE MASTER'!$AD$2:$AD$495&gt;=9))*ROW('CASE MASTER'!$T$2:$T$495))-(ROW('CASE MASTER'!#REF!)-1)))+((8-INDEX('CASE MASTER'!$AA$2:$AA$495,(SUMPRODUCT((('CASE MASTER'!$T$2:$T$495=10)*('CASE MASTER'!$AA$2:$AA$495&lt;=8)*('CASE MASTER'!$AC$2:$AC$495&gt;=8)*('CASE MASTER'!$AB$2:$AB$495&lt;=9)*('CASE MASTER'!$AD$2:$AD$495&gt;=9))*ROW('CASE MASTER'!$T$2:$T$495))-(ROW('CASE MASTER'!#REF!)-1))))*(INDEX('CASE MASTER'!$AD$2:$AD$495,(SUMPRODUCT((('CASE MASTER'!$T$2:$T$495=10)*('CASE MASTER'!$AA$2:$AA$495&lt;=8)*('CASE MASTER'!$AC$2:$AC$495&gt;=8)*('CASE MASTER'!$AB$2:$AB$495&lt;=9)*('CASE MASTER'!$AD$2:$AD$495&gt;=9))*ROW('CASE MASTER'!$T$2:$T$495))-(ROW('CASE MASTER'!#REF!)-1)))-INDEX('CASE MASTER'!$AB$2:$AB$495,(SUMPRODUCT((('CASE MASTER'!$T$2:$T$495=10)*('CASE MASTER'!$AA$2:$AA$495&lt;=8)*('CASE MASTER'!$AC$2:$AC$495&gt;=8)*('CASE MASTER'!$AB$2:$AB$495&lt;=9)*('CASE MASTER'!$AD$2:$AD$495&gt;=9))*ROW('CASE MASTER'!$T$2:$T$495))-(ROW('CASE MASTER'!#REF!)-1)))+1)+(9-INDEX('CASE MASTER'!$AB$2:$AB$495,(SUMPRODUCT((('CASE MASTER'!$T$2:$T$495=10)*('CASE MASTER'!$AA$2:$AA$495&lt;=8)*('CASE MASTER'!$AC$2:$AC$495&gt;=8)*('CASE MASTER'!$AB$2:$AB$495&lt;=9)*('CASE MASTER'!$AD$2:$AD$495&gt;=9))*ROW('CASE MASTER'!$T$2:$T$495))-(ROW('CASE MASTER'!#REF!)-1))))+1)))-1)*50+1,50))&amp;"_"&amp;INDEX('CASE MASTER'!$Q$2:$Q$495,(SUMPRODUCT((('CASE MASTER'!$T$2:$T$495=10)*('CASE MASTER'!$AA$2:$AA$495&lt;=8)*('CASE MASTER'!$AC$2:$AC$495&gt;=8)*('CASE MASTER'!$AB$2:$AB$495&lt;=9)*('CASE MASTER'!$AD$2:$AD$495&gt;=9))*ROW('CASE MASTER'!$T$2:$T$495))-(ROW('CASE MASTER'!#REF!)-1))),"")),"")</f>
        <v/>
      </c>
      <c r="K136" s="10" t="str">
        <f>IFERROR(IF(SUMPRODUCT((('CASE MASTER'!$T$2:$T$495=10)*('CASE MASTER'!$U$2:$U$495&lt;=8)*('CASE MASTER'!$W$2:$W$495&gt;=8)*('CASE MASTER'!$V$2:$V$495&lt;=10)*('CASE MASTER'!$X$2:$X$495&gt;=10))*ROW('CASE MASTER'!$T$2:$T$495))&gt;0,INDEX('CASE MASTER'!$Y$2:$Y$495,(SUMPRODUCT((('CASE MASTER'!$T$2:$T$495=10)*('CASE MASTER'!$U$2:$U$495&lt;=8)*('CASE MASTER'!$W$2:$W$495&gt;=8)*('CASE MASTER'!$V$2:$V$495&lt;=10)*('CASE MASTER'!$X$2:$X$495&gt;=10))*ROW('CASE MASTER'!$T$2:$T$495))-(ROW('CASE MASTER'!#REF!)-1)))&amp;TRIM(MID(SUBSTITUTE(SUBSTITUTE(INDEX('CASE MASTER'!$N$2:$N$495,(SUMPRODUCT((('CASE MASTER'!$T$2:$T$495=10)*('CASE MASTER'!$U$2:$U$495&lt;=8)*('CASE MASTER'!$W$2:$W$495&gt;=8)*('CASE MASTER'!$V$2:$V$495&lt;=10)*('CASE MASTER'!$X$2:$X$495&gt;=10))*ROW('CASE MASTER'!$T$2:$T$495))-(ROW('CASE MASTER'!#REF!)-1))),":",","),",",REPT(" ",50)),((((8-INDEX('CASE MASTER'!$U$2:$U$495,(SUMPRODUCT((('CASE MASTER'!$T$2:$T$495=10)*('CASE MASTER'!$U$2:$U$495&lt;=8)*('CASE MASTER'!$W$2:$W$495&gt;=8)*('CASE MASTER'!$V$2:$V$495&lt;=10)*('CASE MASTER'!$X$2:$X$495&gt;=10))*ROW('CASE MASTER'!$T$2:$T$495))-(ROW('CASE MASTER'!#REF!)-1))))*(INDEX('CASE MASTER'!$X$2:$X$495,(SUMPRODUCT((('CASE MASTER'!$T$2:$T$495=10)*('CASE MASTER'!$U$2:$U$495&lt;=8)*('CASE MASTER'!$W$2:$W$495&gt;=8)*('CASE MASTER'!$V$2:$V$495&lt;=10)*('CASE MASTER'!$X$2:$X$495&gt;=10))*ROW('CASE MASTER'!$T$2:$T$495))-(ROW('CASE MASTER'!#REF!)-1)))-INDEX('CASE MASTER'!$V$2:$V$495,(SUMPRODUCT((('CASE MASTER'!$T$2:$T$495=10)*('CASE MASTER'!$U$2:$U$495&lt;=8)*('CASE MASTER'!$W$2:$W$495&gt;=8)*('CASE MASTER'!$V$2:$V$495&lt;=10)*('CASE MASTER'!$X$2:$X$495&gt;=10))*ROW('CASE MASTER'!$T$2:$T$495))-(ROW('CASE MASTER'!#REF!)-1)))+1)+(10-INDEX('CASE MASTER'!$V$2:$V$495,(SUMPRODUCT((('CASE MASTER'!$T$2:$T$495=10)*('CASE MASTER'!$U$2:$U$495&lt;=8)*('CASE MASTER'!$W$2:$W$495&gt;=8)*('CASE MASTER'!$V$2:$V$495&lt;=10)*('CASE MASTER'!$X$2:$X$495&gt;=10))*ROW('CASE MASTER'!$T$2:$T$495))-(ROW('CASE MASTER'!#REF!)-1))))+1))-1)*50+1,50))&amp;"_"&amp;INDEX('CASE MASTER'!$Q$2:$Q$495,(SUMPRODUCT((('CASE MASTER'!$T$2:$T$495=10)*('CASE MASTER'!$U$2:$U$495&lt;=8)*('CASE MASTER'!$W$2:$W$495&gt;=8)*('CASE MASTER'!$V$2:$V$495&lt;=10)*('CASE MASTER'!$X$2:$X$495&gt;=10))*ROW('CASE MASTER'!$T$2:$T$495))-(ROW('CASE MASTER'!#REF!)-1))),IF(SUMPRODUCT((('CASE MASTER'!$T$2:$T$495=10)*('CASE MASTER'!$AA$2:$AA$495&lt;=8)*('CASE MASTER'!$AC$2:$AC$495&gt;=8)*('CASE MASTER'!$AB$2:$AB$495&lt;=10)*('CASE MASTER'!$AD$2:$AD$495&gt;=10))*ROW('CASE MASTER'!$T$2:$T$495))&gt;0,INDEX('CASE MASTER'!$Y$2:$Y$495,(SUMPRODUCT((('CASE MASTER'!$T$2:$T$495=10)*('CASE MASTER'!$AA$2:$AA$495&lt;=8)*('CASE MASTER'!$AC$2:$AC$495&gt;=8)*('CASE MASTER'!$AB$2:$AB$495&lt;=10)*('CASE MASTER'!$AD$2:$AD$495&gt;=10))*ROW('CASE MASTER'!$T$2:$T$495))-(ROW('CASE MASTER'!#REF!)-1)))&amp;TRIM(MID(SUBSTITUTE(SUBSTITUTE(INDEX('CASE MASTER'!$N$2:$N$495,(SUMPRODUCT((('CASE MASTER'!$T$2:$T$495=10)*('CASE MASTER'!$AA$2:$AA$495&lt;=8)*('CASE MASTER'!$AC$2:$AC$495&gt;=8)*('CASE MASTER'!$AB$2:$AB$495&lt;=10)*('CASE MASTER'!$AD$2:$AD$495&gt;=10))*ROW('CASE MASTER'!$T$2:$T$495))-(ROW('CASE MASTER'!#REF!)-1))),":",","),",",REPT(" ",50)),(((INDEX('CASE MASTER'!$Z$2:$Z$495,(SUMPRODUCT((('CASE MASTER'!$T$2:$T$495=10)*('CASE MASTER'!$AA$2:$AA$495&lt;=8)*('CASE MASTER'!$AC$2:$AC$495&gt;=8)*('CASE MASTER'!$AB$2:$AB$495&lt;=10)*('CASE MASTER'!$AD$2:$AD$495&gt;=10))*ROW('CASE MASTER'!$T$2:$T$495))-(ROW('CASE MASTER'!#REF!)-1)))+((8-INDEX('CASE MASTER'!$AA$2:$AA$495,(SUMPRODUCT((('CASE MASTER'!$T$2:$T$495=10)*('CASE MASTER'!$AA$2:$AA$495&lt;=8)*('CASE MASTER'!$AC$2:$AC$495&gt;=8)*('CASE MASTER'!$AB$2:$AB$495&lt;=10)*('CASE MASTER'!$AD$2:$AD$495&gt;=10))*ROW('CASE MASTER'!$T$2:$T$495))-(ROW('CASE MASTER'!#REF!)-1))))*(INDEX('CASE MASTER'!$AD$2:$AD$495,(SUMPRODUCT((('CASE MASTER'!$T$2:$T$495=10)*('CASE MASTER'!$AA$2:$AA$495&lt;=8)*('CASE MASTER'!$AC$2:$AC$495&gt;=8)*('CASE MASTER'!$AB$2:$AB$495&lt;=10)*('CASE MASTER'!$AD$2:$AD$495&gt;=10))*ROW('CASE MASTER'!$T$2:$T$495))-(ROW('CASE MASTER'!#REF!)-1)))-INDEX('CASE MASTER'!$AB$2:$AB$495,(SUMPRODUCT((('CASE MASTER'!$T$2:$T$495=10)*('CASE MASTER'!$AA$2:$AA$495&lt;=8)*('CASE MASTER'!$AC$2:$AC$495&gt;=8)*('CASE MASTER'!$AB$2:$AB$495&lt;=10)*('CASE MASTER'!$AD$2:$AD$495&gt;=10))*ROW('CASE MASTER'!$T$2:$T$495))-(ROW('CASE MASTER'!#REF!)-1)))+1)+(10-INDEX('CASE MASTER'!$AB$2:$AB$495,(SUMPRODUCT((('CASE MASTER'!$T$2:$T$495=10)*('CASE MASTER'!$AA$2:$AA$495&lt;=8)*('CASE MASTER'!$AC$2:$AC$495&gt;=8)*('CASE MASTER'!$AB$2:$AB$495&lt;=10)*('CASE MASTER'!$AD$2:$AD$495&gt;=10))*ROW('CASE MASTER'!$T$2:$T$495))-(ROW('CASE MASTER'!#REF!)-1))))+1)))-1)*50+1,50))&amp;"_"&amp;INDEX('CASE MASTER'!$Q$2:$Q$495,(SUMPRODUCT((('CASE MASTER'!$T$2:$T$495=10)*('CASE MASTER'!$AA$2:$AA$495&lt;=8)*('CASE MASTER'!$AC$2:$AC$495&gt;=8)*('CASE MASTER'!$AB$2:$AB$495&lt;=10)*('CASE MASTER'!$AD$2:$AD$495&gt;=10))*ROW('CASE MASTER'!$T$2:$T$495))-(ROW('CASE MASTER'!#REF!)-1))),"")),"")</f>
        <v/>
      </c>
    </row>
    <row r="137" spans="1:11" ht="15" customHeight="1" x14ac:dyDescent="0.35">
      <c r="A137" s="8" t="s">
        <v>81</v>
      </c>
      <c r="B137" s="10" t="str">
        <f>IFERROR(IF(SUMPRODUCT((('CASE MASTER'!$T$2:$T$495=10)*('CASE MASTER'!$U$2:$U$495&lt;=9)*('CASE MASTER'!$W$2:$W$495&gt;=9)*('CASE MASTER'!$V$2:$V$495&lt;=1)*('CASE MASTER'!$X$2:$X$495&gt;=1))*ROW('CASE MASTER'!$T$2:$T$495))&gt;0,INDEX('CASE MASTER'!$Y$2:$Y$495,(SUMPRODUCT((('CASE MASTER'!$T$2:$T$495=10)*('CASE MASTER'!$U$2:$U$495&lt;=9)*('CASE MASTER'!$W$2:$W$495&gt;=9)*('CASE MASTER'!$V$2:$V$495&lt;=1)*('CASE MASTER'!$X$2:$X$495&gt;=1))*ROW('CASE MASTER'!$T$2:$T$495))-(ROW('CASE MASTER'!#REF!)-1)))&amp;TRIM(MID(SUBSTITUTE(SUBSTITUTE(INDEX('CASE MASTER'!$N$2:$N$495,(SUMPRODUCT((('CASE MASTER'!$T$2:$T$495=10)*('CASE MASTER'!$U$2:$U$495&lt;=9)*('CASE MASTER'!$W$2:$W$495&gt;=9)*('CASE MASTER'!$V$2:$V$495&lt;=1)*('CASE MASTER'!$X$2:$X$495&gt;=1))*ROW('CASE MASTER'!$T$2:$T$495))-(ROW('CASE MASTER'!#REF!)-1))),":",","),",",REPT(" ",50)),((((9-INDEX('CASE MASTER'!$U$2:$U$495,(SUMPRODUCT((('CASE MASTER'!$T$2:$T$495=10)*('CASE MASTER'!$U$2:$U$495&lt;=9)*('CASE MASTER'!$W$2:$W$495&gt;=9)*('CASE MASTER'!$V$2:$V$495&lt;=1)*('CASE MASTER'!$X$2:$X$495&gt;=1))*ROW('CASE MASTER'!$T$2:$T$495))-(ROW('CASE MASTER'!#REF!)-1))))*(INDEX('CASE MASTER'!$X$2:$X$495,(SUMPRODUCT((('CASE MASTER'!$T$2:$T$495=10)*('CASE MASTER'!$U$2:$U$495&lt;=9)*('CASE MASTER'!$W$2:$W$495&gt;=9)*('CASE MASTER'!$V$2:$V$495&lt;=1)*('CASE MASTER'!$X$2:$X$495&gt;=1))*ROW('CASE MASTER'!$T$2:$T$495))-(ROW('CASE MASTER'!#REF!)-1)))-INDEX('CASE MASTER'!$V$2:$V$495,(SUMPRODUCT((('CASE MASTER'!$T$2:$T$495=10)*('CASE MASTER'!$U$2:$U$495&lt;=9)*('CASE MASTER'!$W$2:$W$495&gt;=9)*('CASE MASTER'!$V$2:$V$495&lt;=1)*('CASE MASTER'!$X$2:$X$495&gt;=1))*ROW('CASE MASTER'!$T$2:$T$495))-(ROW('CASE MASTER'!#REF!)-1)))+1)+(1-INDEX('CASE MASTER'!$V$2:$V$495,(SUMPRODUCT((('CASE MASTER'!$T$2:$T$495=10)*('CASE MASTER'!$U$2:$U$495&lt;=9)*('CASE MASTER'!$W$2:$W$495&gt;=9)*('CASE MASTER'!$V$2:$V$495&lt;=1)*('CASE MASTER'!$X$2:$X$495&gt;=1))*ROW('CASE MASTER'!$T$2:$T$495))-(ROW('CASE MASTER'!#REF!)-1))))+1))-1)*50+1,50))&amp;"_"&amp;INDEX('CASE MASTER'!$Q$2:$Q$495,(SUMPRODUCT((('CASE MASTER'!$T$2:$T$495=10)*('CASE MASTER'!$U$2:$U$495&lt;=9)*('CASE MASTER'!$W$2:$W$495&gt;=9)*('CASE MASTER'!$V$2:$V$495&lt;=1)*('CASE MASTER'!$X$2:$X$495&gt;=1))*ROW('CASE MASTER'!$T$2:$T$495))-(ROW('CASE MASTER'!#REF!)-1))),IF(SUMPRODUCT((('CASE MASTER'!$T$2:$T$495=10)*('CASE MASTER'!$AA$2:$AA$495&lt;=9)*('CASE MASTER'!$AC$2:$AC$495&gt;=9)*('CASE MASTER'!$AB$2:$AB$495&lt;=1)*('CASE MASTER'!$AD$2:$AD$495&gt;=1))*ROW('CASE MASTER'!$T$2:$T$495))&gt;0,INDEX('CASE MASTER'!$Y$2:$Y$495,(SUMPRODUCT((('CASE MASTER'!$T$2:$T$495=10)*('CASE MASTER'!$AA$2:$AA$495&lt;=9)*('CASE MASTER'!$AC$2:$AC$495&gt;=9)*('CASE MASTER'!$AB$2:$AB$495&lt;=1)*('CASE MASTER'!$AD$2:$AD$495&gt;=1))*ROW('CASE MASTER'!$T$2:$T$495))-(ROW('CASE MASTER'!#REF!)-1)))&amp;TRIM(MID(SUBSTITUTE(SUBSTITUTE(INDEX('CASE MASTER'!$N$2:$N$495,(SUMPRODUCT((('CASE MASTER'!$T$2:$T$495=10)*('CASE MASTER'!$AA$2:$AA$495&lt;=9)*('CASE MASTER'!$AC$2:$AC$495&gt;=9)*('CASE MASTER'!$AB$2:$AB$495&lt;=1)*('CASE MASTER'!$AD$2:$AD$495&gt;=1))*ROW('CASE MASTER'!$T$2:$T$495))-(ROW('CASE MASTER'!#REF!)-1))),":",","),",",REPT(" ",50)),(((INDEX('CASE MASTER'!$Z$2:$Z$495,(SUMPRODUCT((('CASE MASTER'!$T$2:$T$495=10)*('CASE MASTER'!$AA$2:$AA$495&lt;=9)*('CASE MASTER'!$AC$2:$AC$495&gt;=9)*('CASE MASTER'!$AB$2:$AB$495&lt;=1)*('CASE MASTER'!$AD$2:$AD$495&gt;=1))*ROW('CASE MASTER'!$T$2:$T$495))-(ROW('CASE MASTER'!#REF!)-1)))+((9-INDEX('CASE MASTER'!$AA$2:$AA$495,(SUMPRODUCT((('CASE MASTER'!$T$2:$T$495=10)*('CASE MASTER'!$AA$2:$AA$495&lt;=9)*('CASE MASTER'!$AC$2:$AC$495&gt;=9)*('CASE MASTER'!$AB$2:$AB$495&lt;=1)*('CASE MASTER'!$AD$2:$AD$495&gt;=1))*ROW('CASE MASTER'!$T$2:$T$495))-(ROW('CASE MASTER'!#REF!)-1))))*(INDEX('CASE MASTER'!$AD$2:$AD$495,(SUMPRODUCT((('CASE MASTER'!$T$2:$T$495=10)*('CASE MASTER'!$AA$2:$AA$495&lt;=9)*('CASE MASTER'!$AC$2:$AC$495&gt;=9)*('CASE MASTER'!$AB$2:$AB$495&lt;=1)*('CASE MASTER'!$AD$2:$AD$495&gt;=1))*ROW('CASE MASTER'!$T$2:$T$495))-(ROW('CASE MASTER'!#REF!)-1)))-INDEX('CASE MASTER'!$AB$2:$AB$495,(SUMPRODUCT((('CASE MASTER'!$T$2:$T$495=10)*('CASE MASTER'!$AA$2:$AA$495&lt;=9)*('CASE MASTER'!$AC$2:$AC$495&gt;=9)*('CASE MASTER'!$AB$2:$AB$495&lt;=1)*('CASE MASTER'!$AD$2:$AD$495&gt;=1))*ROW('CASE MASTER'!$T$2:$T$495))-(ROW('CASE MASTER'!#REF!)-1)))+1)+(1-INDEX('CASE MASTER'!$AB$2:$AB$495,(SUMPRODUCT((('CASE MASTER'!$T$2:$T$495=10)*('CASE MASTER'!$AA$2:$AA$495&lt;=9)*('CASE MASTER'!$AC$2:$AC$495&gt;=9)*('CASE MASTER'!$AB$2:$AB$495&lt;=1)*('CASE MASTER'!$AD$2:$AD$495&gt;=1))*ROW('CASE MASTER'!$T$2:$T$495))-(ROW('CASE MASTER'!#REF!)-1))))+1)))-1)*50+1,50))&amp;"_"&amp;INDEX('CASE MASTER'!$Q$2:$Q$495,(SUMPRODUCT((('CASE MASTER'!$T$2:$T$495=10)*('CASE MASTER'!$AA$2:$AA$495&lt;=9)*('CASE MASTER'!$AC$2:$AC$495&gt;=9)*('CASE MASTER'!$AB$2:$AB$495&lt;=1)*('CASE MASTER'!$AD$2:$AD$495&gt;=1))*ROW('CASE MASTER'!$T$2:$T$495))-(ROW('CASE MASTER'!#REF!)-1))),"")),"")</f>
        <v/>
      </c>
      <c r="C137" s="10" t="str">
        <f>IFERROR(IF(SUMPRODUCT((('CASE MASTER'!$T$2:$T$495=10)*('CASE MASTER'!$U$2:$U$495&lt;=9)*('CASE MASTER'!$W$2:$W$495&gt;=9)*('CASE MASTER'!$V$2:$V$495&lt;=2)*('CASE MASTER'!$X$2:$X$495&gt;=2))*ROW('CASE MASTER'!$T$2:$T$495))&gt;0,INDEX('CASE MASTER'!$Y$2:$Y$495,(SUMPRODUCT((('CASE MASTER'!$T$2:$T$495=10)*('CASE MASTER'!$U$2:$U$495&lt;=9)*('CASE MASTER'!$W$2:$W$495&gt;=9)*('CASE MASTER'!$V$2:$V$495&lt;=2)*('CASE MASTER'!$X$2:$X$495&gt;=2))*ROW('CASE MASTER'!$T$2:$T$495))-(ROW('CASE MASTER'!#REF!)-1)))&amp;TRIM(MID(SUBSTITUTE(SUBSTITUTE(INDEX('CASE MASTER'!$N$2:$N$495,(SUMPRODUCT((('CASE MASTER'!$T$2:$T$495=10)*('CASE MASTER'!$U$2:$U$495&lt;=9)*('CASE MASTER'!$W$2:$W$495&gt;=9)*('CASE MASTER'!$V$2:$V$495&lt;=2)*('CASE MASTER'!$X$2:$X$495&gt;=2))*ROW('CASE MASTER'!$T$2:$T$495))-(ROW('CASE MASTER'!#REF!)-1))),":",","),",",REPT(" ",50)),((((9-INDEX('CASE MASTER'!$U$2:$U$495,(SUMPRODUCT((('CASE MASTER'!$T$2:$T$495=10)*('CASE MASTER'!$U$2:$U$495&lt;=9)*('CASE MASTER'!$W$2:$W$495&gt;=9)*('CASE MASTER'!$V$2:$V$495&lt;=2)*('CASE MASTER'!$X$2:$X$495&gt;=2))*ROW('CASE MASTER'!$T$2:$T$495))-(ROW('CASE MASTER'!#REF!)-1))))*(INDEX('CASE MASTER'!$X$2:$X$495,(SUMPRODUCT((('CASE MASTER'!$T$2:$T$495=10)*('CASE MASTER'!$U$2:$U$495&lt;=9)*('CASE MASTER'!$W$2:$W$495&gt;=9)*('CASE MASTER'!$V$2:$V$495&lt;=2)*('CASE MASTER'!$X$2:$X$495&gt;=2))*ROW('CASE MASTER'!$T$2:$T$495))-(ROW('CASE MASTER'!#REF!)-1)))-INDEX('CASE MASTER'!$V$2:$V$495,(SUMPRODUCT((('CASE MASTER'!$T$2:$T$495=10)*('CASE MASTER'!$U$2:$U$495&lt;=9)*('CASE MASTER'!$W$2:$W$495&gt;=9)*('CASE MASTER'!$V$2:$V$495&lt;=2)*('CASE MASTER'!$X$2:$X$495&gt;=2))*ROW('CASE MASTER'!$T$2:$T$495))-(ROW('CASE MASTER'!#REF!)-1)))+1)+(2-INDEX('CASE MASTER'!$V$2:$V$495,(SUMPRODUCT((('CASE MASTER'!$T$2:$T$495=10)*('CASE MASTER'!$U$2:$U$495&lt;=9)*('CASE MASTER'!$W$2:$W$495&gt;=9)*('CASE MASTER'!$V$2:$V$495&lt;=2)*('CASE MASTER'!$X$2:$X$495&gt;=2))*ROW('CASE MASTER'!$T$2:$T$495))-(ROW('CASE MASTER'!#REF!)-1))))+1))-1)*50+1,50))&amp;"_"&amp;INDEX('CASE MASTER'!$Q$2:$Q$495,(SUMPRODUCT((('CASE MASTER'!$T$2:$T$495=10)*('CASE MASTER'!$U$2:$U$495&lt;=9)*('CASE MASTER'!$W$2:$W$495&gt;=9)*('CASE MASTER'!$V$2:$V$495&lt;=2)*('CASE MASTER'!$X$2:$X$495&gt;=2))*ROW('CASE MASTER'!$T$2:$T$495))-(ROW('CASE MASTER'!#REF!)-1))),IF(SUMPRODUCT((('CASE MASTER'!$T$2:$T$495=10)*('CASE MASTER'!$AA$2:$AA$495&lt;=9)*('CASE MASTER'!$AC$2:$AC$495&gt;=9)*('CASE MASTER'!$AB$2:$AB$495&lt;=2)*('CASE MASTER'!$AD$2:$AD$495&gt;=2))*ROW('CASE MASTER'!$T$2:$T$495))&gt;0,INDEX('CASE MASTER'!$Y$2:$Y$495,(SUMPRODUCT((('CASE MASTER'!$T$2:$T$495=10)*('CASE MASTER'!$AA$2:$AA$495&lt;=9)*('CASE MASTER'!$AC$2:$AC$495&gt;=9)*('CASE MASTER'!$AB$2:$AB$495&lt;=2)*('CASE MASTER'!$AD$2:$AD$495&gt;=2))*ROW('CASE MASTER'!$T$2:$T$495))-(ROW('CASE MASTER'!#REF!)-1)))&amp;TRIM(MID(SUBSTITUTE(SUBSTITUTE(INDEX('CASE MASTER'!$N$2:$N$495,(SUMPRODUCT((('CASE MASTER'!$T$2:$T$495=10)*('CASE MASTER'!$AA$2:$AA$495&lt;=9)*('CASE MASTER'!$AC$2:$AC$495&gt;=9)*('CASE MASTER'!$AB$2:$AB$495&lt;=2)*('CASE MASTER'!$AD$2:$AD$495&gt;=2))*ROW('CASE MASTER'!$T$2:$T$495))-(ROW('CASE MASTER'!#REF!)-1))),":",","),",",REPT(" ",50)),(((INDEX('CASE MASTER'!$Z$2:$Z$495,(SUMPRODUCT((('CASE MASTER'!$T$2:$T$495=10)*('CASE MASTER'!$AA$2:$AA$495&lt;=9)*('CASE MASTER'!$AC$2:$AC$495&gt;=9)*('CASE MASTER'!$AB$2:$AB$495&lt;=2)*('CASE MASTER'!$AD$2:$AD$495&gt;=2))*ROW('CASE MASTER'!$T$2:$T$495))-(ROW('CASE MASTER'!#REF!)-1)))+((9-INDEX('CASE MASTER'!$AA$2:$AA$495,(SUMPRODUCT((('CASE MASTER'!$T$2:$T$495=10)*('CASE MASTER'!$AA$2:$AA$495&lt;=9)*('CASE MASTER'!$AC$2:$AC$495&gt;=9)*('CASE MASTER'!$AB$2:$AB$495&lt;=2)*('CASE MASTER'!$AD$2:$AD$495&gt;=2))*ROW('CASE MASTER'!$T$2:$T$495))-(ROW('CASE MASTER'!#REF!)-1))))*(INDEX('CASE MASTER'!$AD$2:$AD$495,(SUMPRODUCT((('CASE MASTER'!$T$2:$T$495=10)*('CASE MASTER'!$AA$2:$AA$495&lt;=9)*('CASE MASTER'!$AC$2:$AC$495&gt;=9)*('CASE MASTER'!$AB$2:$AB$495&lt;=2)*('CASE MASTER'!$AD$2:$AD$495&gt;=2))*ROW('CASE MASTER'!$T$2:$T$495))-(ROW('CASE MASTER'!#REF!)-1)))-INDEX('CASE MASTER'!$AB$2:$AB$495,(SUMPRODUCT((('CASE MASTER'!$T$2:$T$495=10)*('CASE MASTER'!$AA$2:$AA$495&lt;=9)*('CASE MASTER'!$AC$2:$AC$495&gt;=9)*('CASE MASTER'!$AB$2:$AB$495&lt;=2)*('CASE MASTER'!$AD$2:$AD$495&gt;=2))*ROW('CASE MASTER'!$T$2:$T$495))-(ROW('CASE MASTER'!#REF!)-1)))+1)+(2-INDEX('CASE MASTER'!$AB$2:$AB$495,(SUMPRODUCT((('CASE MASTER'!$T$2:$T$495=10)*('CASE MASTER'!$AA$2:$AA$495&lt;=9)*('CASE MASTER'!$AC$2:$AC$495&gt;=9)*('CASE MASTER'!$AB$2:$AB$495&lt;=2)*('CASE MASTER'!$AD$2:$AD$495&gt;=2))*ROW('CASE MASTER'!$T$2:$T$495))-(ROW('CASE MASTER'!#REF!)-1))))+1)))-1)*50+1,50))&amp;"_"&amp;INDEX('CASE MASTER'!$Q$2:$Q$495,(SUMPRODUCT((('CASE MASTER'!$T$2:$T$495=10)*('CASE MASTER'!$AA$2:$AA$495&lt;=9)*('CASE MASTER'!$AC$2:$AC$495&gt;=9)*('CASE MASTER'!$AB$2:$AB$495&lt;=2)*('CASE MASTER'!$AD$2:$AD$495&gt;=2))*ROW('CASE MASTER'!$T$2:$T$495))-(ROW('CASE MASTER'!#REF!)-1))),"")),"")</f>
        <v/>
      </c>
      <c r="D137" s="10" t="str">
        <f>IFERROR(IF(SUMPRODUCT((('CASE MASTER'!$T$2:$T$495=10)*('CASE MASTER'!$U$2:$U$495&lt;=9)*('CASE MASTER'!$W$2:$W$495&gt;=9)*('CASE MASTER'!$V$2:$V$495&lt;=3)*('CASE MASTER'!$X$2:$X$495&gt;=3))*ROW('CASE MASTER'!$T$2:$T$495))&gt;0,INDEX('CASE MASTER'!$Y$2:$Y$495,(SUMPRODUCT((('CASE MASTER'!$T$2:$T$495=10)*('CASE MASTER'!$U$2:$U$495&lt;=9)*('CASE MASTER'!$W$2:$W$495&gt;=9)*('CASE MASTER'!$V$2:$V$495&lt;=3)*('CASE MASTER'!$X$2:$X$495&gt;=3))*ROW('CASE MASTER'!$T$2:$T$495))-(ROW('CASE MASTER'!#REF!)-1)))&amp;TRIM(MID(SUBSTITUTE(SUBSTITUTE(INDEX('CASE MASTER'!$N$2:$N$495,(SUMPRODUCT((('CASE MASTER'!$T$2:$T$495=10)*('CASE MASTER'!$U$2:$U$495&lt;=9)*('CASE MASTER'!$W$2:$W$495&gt;=9)*('CASE MASTER'!$V$2:$V$495&lt;=3)*('CASE MASTER'!$X$2:$X$495&gt;=3))*ROW('CASE MASTER'!$T$2:$T$495))-(ROW('CASE MASTER'!#REF!)-1))),":",","),",",REPT(" ",50)),((((9-INDEX('CASE MASTER'!$U$2:$U$495,(SUMPRODUCT((('CASE MASTER'!$T$2:$T$495=10)*('CASE MASTER'!$U$2:$U$495&lt;=9)*('CASE MASTER'!$W$2:$W$495&gt;=9)*('CASE MASTER'!$V$2:$V$495&lt;=3)*('CASE MASTER'!$X$2:$X$495&gt;=3))*ROW('CASE MASTER'!$T$2:$T$495))-(ROW('CASE MASTER'!#REF!)-1))))*(INDEX('CASE MASTER'!$X$2:$X$495,(SUMPRODUCT((('CASE MASTER'!$T$2:$T$495=10)*('CASE MASTER'!$U$2:$U$495&lt;=9)*('CASE MASTER'!$W$2:$W$495&gt;=9)*('CASE MASTER'!$V$2:$V$495&lt;=3)*('CASE MASTER'!$X$2:$X$495&gt;=3))*ROW('CASE MASTER'!$T$2:$T$495))-(ROW('CASE MASTER'!#REF!)-1)))-INDEX('CASE MASTER'!$V$2:$V$495,(SUMPRODUCT((('CASE MASTER'!$T$2:$T$495=10)*('CASE MASTER'!$U$2:$U$495&lt;=9)*('CASE MASTER'!$W$2:$W$495&gt;=9)*('CASE MASTER'!$V$2:$V$495&lt;=3)*('CASE MASTER'!$X$2:$X$495&gt;=3))*ROW('CASE MASTER'!$T$2:$T$495))-(ROW('CASE MASTER'!#REF!)-1)))+1)+(3-INDEX('CASE MASTER'!$V$2:$V$495,(SUMPRODUCT((('CASE MASTER'!$T$2:$T$495=10)*('CASE MASTER'!$U$2:$U$495&lt;=9)*('CASE MASTER'!$W$2:$W$495&gt;=9)*('CASE MASTER'!$V$2:$V$495&lt;=3)*('CASE MASTER'!$X$2:$X$495&gt;=3))*ROW('CASE MASTER'!$T$2:$T$495))-(ROW('CASE MASTER'!#REF!)-1))))+1))-1)*50+1,50))&amp;"_"&amp;INDEX('CASE MASTER'!$Q$2:$Q$495,(SUMPRODUCT((('CASE MASTER'!$T$2:$T$495=10)*('CASE MASTER'!$U$2:$U$495&lt;=9)*('CASE MASTER'!$W$2:$W$495&gt;=9)*('CASE MASTER'!$V$2:$V$495&lt;=3)*('CASE MASTER'!$X$2:$X$495&gt;=3))*ROW('CASE MASTER'!$T$2:$T$495))-(ROW('CASE MASTER'!#REF!)-1))),IF(SUMPRODUCT((('CASE MASTER'!$T$2:$T$495=10)*('CASE MASTER'!$AA$2:$AA$495&lt;=9)*('CASE MASTER'!$AC$2:$AC$495&gt;=9)*('CASE MASTER'!$AB$2:$AB$495&lt;=3)*('CASE MASTER'!$AD$2:$AD$495&gt;=3))*ROW('CASE MASTER'!$T$2:$T$495))&gt;0,INDEX('CASE MASTER'!$Y$2:$Y$495,(SUMPRODUCT((('CASE MASTER'!$T$2:$T$495=10)*('CASE MASTER'!$AA$2:$AA$495&lt;=9)*('CASE MASTER'!$AC$2:$AC$495&gt;=9)*('CASE MASTER'!$AB$2:$AB$495&lt;=3)*('CASE MASTER'!$AD$2:$AD$495&gt;=3))*ROW('CASE MASTER'!$T$2:$T$495))-(ROW('CASE MASTER'!#REF!)-1)))&amp;TRIM(MID(SUBSTITUTE(SUBSTITUTE(INDEX('CASE MASTER'!$N$2:$N$495,(SUMPRODUCT((('CASE MASTER'!$T$2:$T$495=10)*('CASE MASTER'!$AA$2:$AA$495&lt;=9)*('CASE MASTER'!$AC$2:$AC$495&gt;=9)*('CASE MASTER'!$AB$2:$AB$495&lt;=3)*('CASE MASTER'!$AD$2:$AD$495&gt;=3))*ROW('CASE MASTER'!$T$2:$T$495))-(ROW('CASE MASTER'!#REF!)-1))),":",","),",",REPT(" ",50)),(((INDEX('CASE MASTER'!$Z$2:$Z$495,(SUMPRODUCT((('CASE MASTER'!$T$2:$T$495=10)*('CASE MASTER'!$AA$2:$AA$495&lt;=9)*('CASE MASTER'!$AC$2:$AC$495&gt;=9)*('CASE MASTER'!$AB$2:$AB$495&lt;=3)*('CASE MASTER'!$AD$2:$AD$495&gt;=3))*ROW('CASE MASTER'!$T$2:$T$495))-(ROW('CASE MASTER'!#REF!)-1)))+((9-INDEX('CASE MASTER'!$AA$2:$AA$495,(SUMPRODUCT((('CASE MASTER'!$T$2:$T$495=10)*('CASE MASTER'!$AA$2:$AA$495&lt;=9)*('CASE MASTER'!$AC$2:$AC$495&gt;=9)*('CASE MASTER'!$AB$2:$AB$495&lt;=3)*('CASE MASTER'!$AD$2:$AD$495&gt;=3))*ROW('CASE MASTER'!$T$2:$T$495))-(ROW('CASE MASTER'!#REF!)-1))))*(INDEX('CASE MASTER'!$AD$2:$AD$495,(SUMPRODUCT((('CASE MASTER'!$T$2:$T$495=10)*('CASE MASTER'!$AA$2:$AA$495&lt;=9)*('CASE MASTER'!$AC$2:$AC$495&gt;=9)*('CASE MASTER'!$AB$2:$AB$495&lt;=3)*('CASE MASTER'!$AD$2:$AD$495&gt;=3))*ROW('CASE MASTER'!$T$2:$T$495))-(ROW('CASE MASTER'!#REF!)-1)))-INDEX('CASE MASTER'!$AB$2:$AB$495,(SUMPRODUCT((('CASE MASTER'!$T$2:$T$495=10)*('CASE MASTER'!$AA$2:$AA$495&lt;=9)*('CASE MASTER'!$AC$2:$AC$495&gt;=9)*('CASE MASTER'!$AB$2:$AB$495&lt;=3)*('CASE MASTER'!$AD$2:$AD$495&gt;=3))*ROW('CASE MASTER'!$T$2:$T$495))-(ROW('CASE MASTER'!#REF!)-1)))+1)+(3-INDEX('CASE MASTER'!$AB$2:$AB$495,(SUMPRODUCT((('CASE MASTER'!$T$2:$T$495=10)*('CASE MASTER'!$AA$2:$AA$495&lt;=9)*('CASE MASTER'!$AC$2:$AC$495&gt;=9)*('CASE MASTER'!$AB$2:$AB$495&lt;=3)*('CASE MASTER'!$AD$2:$AD$495&gt;=3))*ROW('CASE MASTER'!$T$2:$T$495))-(ROW('CASE MASTER'!#REF!)-1))))+1)))-1)*50+1,50))&amp;"_"&amp;INDEX('CASE MASTER'!$Q$2:$Q$495,(SUMPRODUCT((('CASE MASTER'!$T$2:$T$495=10)*('CASE MASTER'!$AA$2:$AA$495&lt;=9)*('CASE MASTER'!$AC$2:$AC$495&gt;=9)*('CASE MASTER'!$AB$2:$AB$495&lt;=3)*('CASE MASTER'!$AD$2:$AD$495&gt;=3))*ROW('CASE MASTER'!$T$2:$T$495))-(ROW('CASE MASTER'!#REF!)-1))),"")),"")</f>
        <v/>
      </c>
      <c r="E137" s="10" t="str">
        <f>IFERROR(IF(SUMPRODUCT((('CASE MASTER'!$T$2:$T$495=10)*('CASE MASTER'!$U$2:$U$495&lt;=9)*('CASE MASTER'!$W$2:$W$495&gt;=9)*('CASE MASTER'!$V$2:$V$495&lt;=4)*('CASE MASTER'!$X$2:$X$495&gt;=4))*ROW('CASE MASTER'!$T$2:$T$495))&gt;0,INDEX('CASE MASTER'!$Y$2:$Y$495,(SUMPRODUCT((('CASE MASTER'!$T$2:$T$495=10)*('CASE MASTER'!$U$2:$U$495&lt;=9)*('CASE MASTER'!$W$2:$W$495&gt;=9)*('CASE MASTER'!$V$2:$V$495&lt;=4)*('CASE MASTER'!$X$2:$X$495&gt;=4))*ROW('CASE MASTER'!$T$2:$T$495))-(ROW('CASE MASTER'!#REF!)-1)))&amp;TRIM(MID(SUBSTITUTE(SUBSTITUTE(INDEX('CASE MASTER'!$N$2:$N$495,(SUMPRODUCT((('CASE MASTER'!$T$2:$T$495=10)*('CASE MASTER'!$U$2:$U$495&lt;=9)*('CASE MASTER'!$W$2:$W$495&gt;=9)*('CASE MASTER'!$V$2:$V$495&lt;=4)*('CASE MASTER'!$X$2:$X$495&gt;=4))*ROW('CASE MASTER'!$T$2:$T$495))-(ROW('CASE MASTER'!#REF!)-1))),":",","),",",REPT(" ",50)),((((9-INDEX('CASE MASTER'!$U$2:$U$495,(SUMPRODUCT((('CASE MASTER'!$T$2:$T$495=10)*('CASE MASTER'!$U$2:$U$495&lt;=9)*('CASE MASTER'!$W$2:$W$495&gt;=9)*('CASE MASTER'!$V$2:$V$495&lt;=4)*('CASE MASTER'!$X$2:$X$495&gt;=4))*ROW('CASE MASTER'!$T$2:$T$495))-(ROW('CASE MASTER'!#REF!)-1))))*(INDEX('CASE MASTER'!$X$2:$X$495,(SUMPRODUCT((('CASE MASTER'!$T$2:$T$495=10)*('CASE MASTER'!$U$2:$U$495&lt;=9)*('CASE MASTER'!$W$2:$W$495&gt;=9)*('CASE MASTER'!$V$2:$V$495&lt;=4)*('CASE MASTER'!$X$2:$X$495&gt;=4))*ROW('CASE MASTER'!$T$2:$T$495))-(ROW('CASE MASTER'!#REF!)-1)))-INDEX('CASE MASTER'!$V$2:$V$495,(SUMPRODUCT((('CASE MASTER'!$T$2:$T$495=10)*('CASE MASTER'!$U$2:$U$495&lt;=9)*('CASE MASTER'!$W$2:$W$495&gt;=9)*('CASE MASTER'!$V$2:$V$495&lt;=4)*('CASE MASTER'!$X$2:$X$495&gt;=4))*ROW('CASE MASTER'!$T$2:$T$495))-(ROW('CASE MASTER'!#REF!)-1)))+1)+(4-INDEX('CASE MASTER'!$V$2:$V$495,(SUMPRODUCT((('CASE MASTER'!$T$2:$T$495=10)*('CASE MASTER'!$U$2:$U$495&lt;=9)*('CASE MASTER'!$W$2:$W$495&gt;=9)*('CASE MASTER'!$V$2:$V$495&lt;=4)*('CASE MASTER'!$X$2:$X$495&gt;=4))*ROW('CASE MASTER'!$T$2:$T$495))-(ROW('CASE MASTER'!#REF!)-1))))+1))-1)*50+1,50))&amp;"_"&amp;INDEX('CASE MASTER'!$Q$2:$Q$495,(SUMPRODUCT((('CASE MASTER'!$T$2:$T$495=10)*('CASE MASTER'!$U$2:$U$495&lt;=9)*('CASE MASTER'!$W$2:$W$495&gt;=9)*('CASE MASTER'!$V$2:$V$495&lt;=4)*('CASE MASTER'!$X$2:$X$495&gt;=4))*ROW('CASE MASTER'!$T$2:$T$495))-(ROW('CASE MASTER'!#REF!)-1))),IF(SUMPRODUCT((('CASE MASTER'!$T$2:$T$495=10)*('CASE MASTER'!$AA$2:$AA$495&lt;=9)*('CASE MASTER'!$AC$2:$AC$495&gt;=9)*('CASE MASTER'!$AB$2:$AB$495&lt;=4)*('CASE MASTER'!$AD$2:$AD$495&gt;=4))*ROW('CASE MASTER'!$T$2:$T$495))&gt;0,INDEX('CASE MASTER'!$Y$2:$Y$495,(SUMPRODUCT((('CASE MASTER'!$T$2:$T$495=10)*('CASE MASTER'!$AA$2:$AA$495&lt;=9)*('CASE MASTER'!$AC$2:$AC$495&gt;=9)*('CASE MASTER'!$AB$2:$AB$495&lt;=4)*('CASE MASTER'!$AD$2:$AD$495&gt;=4))*ROW('CASE MASTER'!$T$2:$T$495))-(ROW('CASE MASTER'!#REF!)-1)))&amp;TRIM(MID(SUBSTITUTE(SUBSTITUTE(INDEX('CASE MASTER'!$N$2:$N$495,(SUMPRODUCT((('CASE MASTER'!$T$2:$T$495=10)*('CASE MASTER'!$AA$2:$AA$495&lt;=9)*('CASE MASTER'!$AC$2:$AC$495&gt;=9)*('CASE MASTER'!$AB$2:$AB$495&lt;=4)*('CASE MASTER'!$AD$2:$AD$495&gt;=4))*ROW('CASE MASTER'!$T$2:$T$495))-(ROW('CASE MASTER'!#REF!)-1))),":",","),",",REPT(" ",50)),(((INDEX('CASE MASTER'!$Z$2:$Z$495,(SUMPRODUCT((('CASE MASTER'!$T$2:$T$495=10)*('CASE MASTER'!$AA$2:$AA$495&lt;=9)*('CASE MASTER'!$AC$2:$AC$495&gt;=9)*('CASE MASTER'!$AB$2:$AB$495&lt;=4)*('CASE MASTER'!$AD$2:$AD$495&gt;=4))*ROW('CASE MASTER'!$T$2:$T$495))-(ROW('CASE MASTER'!#REF!)-1)))+((9-INDEX('CASE MASTER'!$AA$2:$AA$495,(SUMPRODUCT((('CASE MASTER'!$T$2:$T$495=10)*('CASE MASTER'!$AA$2:$AA$495&lt;=9)*('CASE MASTER'!$AC$2:$AC$495&gt;=9)*('CASE MASTER'!$AB$2:$AB$495&lt;=4)*('CASE MASTER'!$AD$2:$AD$495&gt;=4))*ROW('CASE MASTER'!$T$2:$T$495))-(ROW('CASE MASTER'!#REF!)-1))))*(INDEX('CASE MASTER'!$AD$2:$AD$495,(SUMPRODUCT((('CASE MASTER'!$T$2:$T$495=10)*('CASE MASTER'!$AA$2:$AA$495&lt;=9)*('CASE MASTER'!$AC$2:$AC$495&gt;=9)*('CASE MASTER'!$AB$2:$AB$495&lt;=4)*('CASE MASTER'!$AD$2:$AD$495&gt;=4))*ROW('CASE MASTER'!$T$2:$T$495))-(ROW('CASE MASTER'!#REF!)-1)))-INDEX('CASE MASTER'!$AB$2:$AB$495,(SUMPRODUCT((('CASE MASTER'!$T$2:$T$495=10)*('CASE MASTER'!$AA$2:$AA$495&lt;=9)*('CASE MASTER'!$AC$2:$AC$495&gt;=9)*('CASE MASTER'!$AB$2:$AB$495&lt;=4)*('CASE MASTER'!$AD$2:$AD$495&gt;=4))*ROW('CASE MASTER'!$T$2:$T$495))-(ROW('CASE MASTER'!#REF!)-1)))+1)+(4-INDEX('CASE MASTER'!$AB$2:$AB$495,(SUMPRODUCT((('CASE MASTER'!$T$2:$T$495=10)*('CASE MASTER'!$AA$2:$AA$495&lt;=9)*('CASE MASTER'!$AC$2:$AC$495&gt;=9)*('CASE MASTER'!$AB$2:$AB$495&lt;=4)*('CASE MASTER'!$AD$2:$AD$495&gt;=4))*ROW('CASE MASTER'!$T$2:$T$495))-(ROW('CASE MASTER'!#REF!)-1))))+1)))-1)*50+1,50))&amp;"_"&amp;INDEX('CASE MASTER'!$Q$2:$Q$495,(SUMPRODUCT((('CASE MASTER'!$T$2:$T$495=10)*('CASE MASTER'!$AA$2:$AA$495&lt;=9)*('CASE MASTER'!$AC$2:$AC$495&gt;=9)*('CASE MASTER'!$AB$2:$AB$495&lt;=4)*('CASE MASTER'!$AD$2:$AD$495&gt;=4))*ROW('CASE MASTER'!$T$2:$T$495))-(ROW('CASE MASTER'!#REF!)-1))),"")),"")</f>
        <v/>
      </c>
      <c r="F137" s="10" t="str">
        <f>IFERROR(IF(SUMPRODUCT((('CASE MASTER'!$T$2:$T$495=10)*('CASE MASTER'!$U$2:$U$495&lt;=9)*('CASE MASTER'!$W$2:$W$495&gt;=9)*('CASE MASTER'!$V$2:$V$495&lt;=5)*('CASE MASTER'!$X$2:$X$495&gt;=5))*ROW('CASE MASTER'!$T$2:$T$495))&gt;0,INDEX('CASE MASTER'!$Y$2:$Y$495,(SUMPRODUCT((('CASE MASTER'!$T$2:$T$495=10)*('CASE MASTER'!$U$2:$U$495&lt;=9)*('CASE MASTER'!$W$2:$W$495&gt;=9)*('CASE MASTER'!$V$2:$V$495&lt;=5)*('CASE MASTER'!$X$2:$X$495&gt;=5))*ROW('CASE MASTER'!$T$2:$T$495))-(ROW('CASE MASTER'!#REF!)-1)))&amp;TRIM(MID(SUBSTITUTE(SUBSTITUTE(INDEX('CASE MASTER'!$N$2:$N$495,(SUMPRODUCT((('CASE MASTER'!$T$2:$T$495=10)*('CASE MASTER'!$U$2:$U$495&lt;=9)*('CASE MASTER'!$W$2:$W$495&gt;=9)*('CASE MASTER'!$V$2:$V$495&lt;=5)*('CASE MASTER'!$X$2:$X$495&gt;=5))*ROW('CASE MASTER'!$T$2:$T$495))-(ROW('CASE MASTER'!#REF!)-1))),":",","),",",REPT(" ",50)),((((9-INDEX('CASE MASTER'!$U$2:$U$495,(SUMPRODUCT((('CASE MASTER'!$T$2:$T$495=10)*('CASE MASTER'!$U$2:$U$495&lt;=9)*('CASE MASTER'!$W$2:$W$495&gt;=9)*('CASE MASTER'!$V$2:$V$495&lt;=5)*('CASE MASTER'!$X$2:$X$495&gt;=5))*ROW('CASE MASTER'!$T$2:$T$495))-(ROW('CASE MASTER'!#REF!)-1))))*(INDEX('CASE MASTER'!$X$2:$X$495,(SUMPRODUCT((('CASE MASTER'!$T$2:$T$495=10)*('CASE MASTER'!$U$2:$U$495&lt;=9)*('CASE MASTER'!$W$2:$W$495&gt;=9)*('CASE MASTER'!$V$2:$V$495&lt;=5)*('CASE MASTER'!$X$2:$X$495&gt;=5))*ROW('CASE MASTER'!$T$2:$T$495))-(ROW('CASE MASTER'!#REF!)-1)))-INDEX('CASE MASTER'!$V$2:$V$495,(SUMPRODUCT((('CASE MASTER'!$T$2:$T$495=10)*('CASE MASTER'!$U$2:$U$495&lt;=9)*('CASE MASTER'!$W$2:$W$495&gt;=9)*('CASE MASTER'!$V$2:$V$495&lt;=5)*('CASE MASTER'!$X$2:$X$495&gt;=5))*ROW('CASE MASTER'!$T$2:$T$495))-(ROW('CASE MASTER'!#REF!)-1)))+1)+(5-INDEX('CASE MASTER'!$V$2:$V$495,(SUMPRODUCT((('CASE MASTER'!$T$2:$T$495=10)*('CASE MASTER'!$U$2:$U$495&lt;=9)*('CASE MASTER'!$W$2:$W$495&gt;=9)*('CASE MASTER'!$V$2:$V$495&lt;=5)*('CASE MASTER'!$X$2:$X$495&gt;=5))*ROW('CASE MASTER'!$T$2:$T$495))-(ROW('CASE MASTER'!#REF!)-1))))+1))-1)*50+1,50))&amp;"_"&amp;INDEX('CASE MASTER'!$Q$2:$Q$495,(SUMPRODUCT((('CASE MASTER'!$T$2:$T$495=10)*('CASE MASTER'!$U$2:$U$495&lt;=9)*('CASE MASTER'!$W$2:$W$495&gt;=9)*('CASE MASTER'!$V$2:$V$495&lt;=5)*('CASE MASTER'!$X$2:$X$495&gt;=5))*ROW('CASE MASTER'!$T$2:$T$495))-(ROW('CASE MASTER'!#REF!)-1))),IF(SUMPRODUCT((('CASE MASTER'!$T$2:$T$495=10)*('CASE MASTER'!$AA$2:$AA$495&lt;=9)*('CASE MASTER'!$AC$2:$AC$495&gt;=9)*('CASE MASTER'!$AB$2:$AB$495&lt;=5)*('CASE MASTER'!$AD$2:$AD$495&gt;=5))*ROW('CASE MASTER'!$T$2:$T$495))&gt;0,INDEX('CASE MASTER'!$Y$2:$Y$495,(SUMPRODUCT((('CASE MASTER'!$T$2:$T$495=10)*('CASE MASTER'!$AA$2:$AA$495&lt;=9)*('CASE MASTER'!$AC$2:$AC$495&gt;=9)*('CASE MASTER'!$AB$2:$AB$495&lt;=5)*('CASE MASTER'!$AD$2:$AD$495&gt;=5))*ROW('CASE MASTER'!$T$2:$T$495))-(ROW('CASE MASTER'!#REF!)-1)))&amp;TRIM(MID(SUBSTITUTE(SUBSTITUTE(INDEX('CASE MASTER'!$N$2:$N$495,(SUMPRODUCT((('CASE MASTER'!$T$2:$T$495=10)*('CASE MASTER'!$AA$2:$AA$495&lt;=9)*('CASE MASTER'!$AC$2:$AC$495&gt;=9)*('CASE MASTER'!$AB$2:$AB$495&lt;=5)*('CASE MASTER'!$AD$2:$AD$495&gt;=5))*ROW('CASE MASTER'!$T$2:$T$495))-(ROW('CASE MASTER'!#REF!)-1))),":",","),",",REPT(" ",50)),(((INDEX('CASE MASTER'!$Z$2:$Z$495,(SUMPRODUCT((('CASE MASTER'!$T$2:$T$495=10)*('CASE MASTER'!$AA$2:$AA$495&lt;=9)*('CASE MASTER'!$AC$2:$AC$495&gt;=9)*('CASE MASTER'!$AB$2:$AB$495&lt;=5)*('CASE MASTER'!$AD$2:$AD$495&gt;=5))*ROW('CASE MASTER'!$T$2:$T$495))-(ROW('CASE MASTER'!#REF!)-1)))+((9-INDEX('CASE MASTER'!$AA$2:$AA$495,(SUMPRODUCT((('CASE MASTER'!$T$2:$T$495=10)*('CASE MASTER'!$AA$2:$AA$495&lt;=9)*('CASE MASTER'!$AC$2:$AC$495&gt;=9)*('CASE MASTER'!$AB$2:$AB$495&lt;=5)*('CASE MASTER'!$AD$2:$AD$495&gt;=5))*ROW('CASE MASTER'!$T$2:$T$495))-(ROW('CASE MASTER'!#REF!)-1))))*(INDEX('CASE MASTER'!$AD$2:$AD$495,(SUMPRODUCT((('CASE MASTER'!$T$2:$T$495=10)*('CASE MASTER'!$AA$2:$AA$495&lt;=9)*('CASE MASTER'!$AC$2:$AC$495&gt;=9)*('CASE MASTER'!$AB$2:$AB$495&lt;=5)*('CASE MASTER'!$AD$2:$AD$495&gt;=5))*ROW('CASE MASTER'!$T$2:$T$495))-(ROW('CASE MASTER'!#REF!)-1)))-INDEX('CASE MASTER'!$AB$2:$AB$495,(SUMPRODUCT((('CASE MASTER'!$T$2:$T$495=10)*('CASE MASTER'!$AA$2:$AA$495&lt;=9)*('CASE MASTER'!$AC$2:$AC$495&gt;=9)*('CASE MASTER'!$AB$2:$AB$495&lt;=5)*('CASE MASTER'!$AD$2:$AD$495&gt;=5))*ROW('CASE MASTER'!$T$2:$T$495))-(ROW('CASE MASTER'!#REF!)-1)))+1)+(5-INDEX('CASE MASTER'!$AB$2:$AB$495,(SUMPRODUCT((('CASE MASTER'!$T$2:$T$495=10)*('CASE MASTER'!$AA$2:$AA$495&lt;=9)*('CASE MASTER'!$AC$2:$AC$495&gt;=9)*('CASE MASTER'!$AB$2:$AB$495&lt;=5)*('CASE MASTER'!$AD$2:$AD$495&gt;=5))*ROW('CASE MASTER'!$T$2:$T$495))-(ROW('CASE MASTER'!#REF!)-1))))+1)))-1)*50+1,50))&amp;"_"&amp;INDEX('CASE MASTER'!$Q$2:$Q$495,(SUMPRODUCT((('CASE MASTER'!$T$2:$T$495=10)*('CASE MASTER'!$AA$2:$AA$495&lt;=9)*('CASE MASTER'!$AC$2:$AC$495&gt;=9)*('CASE MASTER'!$AB$2:$AB$495&lt;=5)*('CASE MASTER'!$AD$2:$AD$495&gt;=5))*ROW('CASE MASTER'!$T$2:$T$495))-(ROW('CASE MASTER'!#REF!)-1))),"")),"")</f>
        <v/>
      </c>
      <c r="G137" s="10" t="str">
        <f>IFERROR(IF(SUMPRODUCT((('CASE MASTER'!$T$2:$T$495=10)*('CASE MASTER'!$U$2:$U$495&lt;=9)*('CASE MASTER'!$W$2:$W$495&gt;=9)*('CASE MASTER'!$V$2:$V$495&lt;=6)*('CASE MASTER'!$X$2:$X$495&gt;=6))*ROW('CASE MASTER'!$T$2:$T$495))&gt;0,INDEX('CASE MASTER'!$Y$2:$Y$495,(SUMPRODUCT((('CASE MASTER'!$T$2:$T$495=10)*('CASE MASTER'!$U$2:$U$495&lt;=9)*('CASE MASTER'!$W$2:$W$495&gt;=9)*('CASE MASTER'!$V$2:$V$495&lt;=6)*('CASE MASTER'!$X$2:$X$495&gt;=6))*ROW('CASE MASTER'!$T$2:$T$495))-(ROW('CASE MASTER'!#REF!)-1)))&amp;TRIM(MID(SUBSTITUTE(SUBSTITUTE(INDEX('CASE MASTER'!$N$2:$N$495,(SUMPRODUCT((('CASE MASTER'!$T$2:$T$495=10)*('CASE MASTER'!$U$2:$U$495&lt;=9)*('CASE MASTER'!$W$2:$W$495&gt;=9)*('CASE MASTER'!$V$2:$V$495&lt;=6)*('CASE MASTER'!$X$2:$X$495&gt;=6))*ROW('CASE MASTER'!$T$2:$T$495))-(ROW('CASE MASTER'!#REF!)-1))),":",","),",",REPT(" ",50)),((((9-INDEX('CASE MASTER'!$U$2:$U$495,(SUMPRODUCT((('CASE MASTER'!$T$2:$T$495=10)*('CASE MASTER'!$U$2:$U$495&lt;=9)*('CASE MASTER'!$W$2:$W$495&gt;=9)*('CASE MASTER'!$V$2:$V$495&lt;=6)*('CASE MASTER'!$X$2:$X$495&gt;=6))*ROW('CASE MASTER'!$T$2:$T$495))-(ROW('CASE MASTER'!#REF!)-1))))*(INDEX('CASE MASTER'!$X$2:$X$495,(SUMPRODUCT((('CASE MASTER'!$T$2:$T$495=10)*('CASE MASTER'!$U$2:$U$495&lt;=9)*('CASE MASTER'!$W$2:$W$495&gt;=9)*('CASE MASTER'!$V$2:$V$495&lt;=6)*('CASE MASTER'!$X$2:$X$495&gt;=6))*ROW('CASE MASTER'!$T$2:$T$495))-(ROW('CASE MASTER'!#REF!)-1)))-INDEX('CASE MASTER'!$V$2:$V$495,(SUMPRODUCT((('CASE MASTER'!$T$2:$T$495=10)*('CASE MASTER'!$U$2:$U$495&lt;=9)*('CASE MASTER'!$W$2:$W$495&gt;=9)*('CASE MASTER'!$V$2:$V$495&lt;=6)*('CASE MASTER'!$X$2:$X$495&gt;=6))*ROW('CASE MASTER'!$T$2:$T$495))-(ROW('CASE MASTER'!#REF!)-1)))+1)+(6-INDEX('CASE MASTER'!$V$2:$V$495,(SUMPRODUCT((('CASE MASTER'!$T$2:$T$495=10)*('CASE MASTER'!$U$2:$U$495&lt;=9)*('CASE MASTER'!$W$2:$W$495&gt;=9)*('CASE MASTER'!$V$2:$V$495&lt;=6)*('CASE MASTER'!$X$2:$X$495&gt;=6))*ROW('CASE MASTER'!$T$2:$T$495))-(ROW('CASE MASTER'!#REF!)-1))))+1))-1)*50+1,50))&amp;"_"&amp;INDEX('CASE MASTER'!$Q$2:$Q$495,(SUMPRODUCT((('CASE MASTER'!$T$2:$T$495=10)*('CASE MASTER'!$U$2:$U$495&lt;=9)*('CASE MASTER'!$W$2:$W$495&gt;=9)*('CASE MASTER'!$V$2:$V$495&lt;=6)*('CASE MASTER'!$X$2:$X$495&gt;=6))*ROW('CASE MASTER'!$T$2:$T$495))-(ROW('CASE MASTER'!#REF!)-1))),IF(SUMPRODUCT((('CASE MASTER'!$T$2:$T$495=10)*('CASE MASTER'!$AA$2:$AA$495&lt;=9)*('CASE MASTER'!$AC$2:$AC$495&gt;=9)*('CASE MASTER'!$AB$2:$AB$495&lt;=6)*('CASE MASTER'!$AD$2:$AD$495&gt;=6))*ROW('CASE MASTER'!$T$2:$T$495))&gt;0,INDEX('CASE MASTER'!$Y$2:$Y$495,(SUMPRODUCT((('CASE MASTER'!$T$2:$T$495=10)*('CASE MASTER'!$AA$2:$AA$495&lt;=9)*('CASE MASTER'!$AC$2:$AC$495&gt;=9)*('CASE MASTER'!$AB$2:$AB$495&lt;=6)*('CASE MASTER'!$AD$2:$AD$495&gt;=6))*ROW('CASE MASTER'!$T$2:$T$495))-(ROW('CASE MASTER'!#REF!)-1)))&amp;TRIM(MID(SUBSTITUTE(SUBSTITUTE(INDEX('CASE MASTER'!$N$2:$N$495,(SUMPRODUCT((('CASE MASTER'!$T$2:$T$495=10)*('CASE MASTER'!$AA$2:$AA$495&lt;=9)*('CASE MASTER'!$AC$2:$AC$495&gt;=9)*('CASE MASTER'!$AB$2:$AB$495&lt;=6)*('CASE MASTER'!$AD$2:$AD$495&gt;=6))*ROW('CASE MASTER'!$T$2:$T$495))-(ROW('CASE MASTER'!#REF!)-1))),":",","),",",REPT(" ",50)),(((INDEX('CASE MASTER'!$Z$2:$Z$495,(SUMPRODUCT((('CASE MASTER'!$T$2:$T$495=10)*('CASE MASTER'!$AA$2:$AA$495&lt;=9)*('CASE MASTER'!$AC$2:$AC$495&gt;=9)*('CASE MASTER'!$AB$2:$AB$495&lt;=6)*('CASE MASTER'!$AD$2:$AD$495&gt;=6))*ROW('CASE MASTER'!$T$2:$T$495))-(ROW('CASE MASTER'!#REF!)-1)))+((9-INDEX('CASE MASTER'!$AA$2:$AA$495,(SUMPRODUCT((('CASE MASTER'!$T$2:$T$495=10)*('CASE MASTER'!$AA$2:$AA$495&lt;=9)*('CASE MASTER'!$AC$2:$AC$495&gt;=9)*('CASE MASTER'!$AB$2:$AB$495&lt;=6)*('CASE MASTER'!$AD$2:$AD$495&gt;=6))*ROW('CASE MASTER'!$T$2:$T$495))-(ROW('CASE MASTER'!#REF!)-1))))*(INDEX('CASE MASTER'!$AD$2:$AD$495,(SUMPRODUCT((('CASE MASTER'!$T$2:$T$495=10)*('CASE MASTER'!$AA$2:$AA$495&lt;=9)*('CASE MASTER'!$AC$2:$AC$495&gt;=9)*('CASE MASTER'!$AB$2:$AB$495&lt;=6)*('CASE MASTER'!$AD$2:$AD$495&gt;=6))*ROW('CASE MASTER'!$T$2:$T$495))-(ROW('CASE MASTER'!#REF!)-1)))-INDEX('CASE MASTER'!$AB$2:$AB$495,(SUMPRODUCT((('CASE MASTER'!$T$2:$T$495=10)*('CASE MASTER'!$AA$2:$AA$495&lt;=9)*('CASE MASTER'!$AC$2:$AC$495&gt;=9)*('CASE MASTER'!$AB$2:$AB$495&lt;=6)*('CASE MASTER'!$AD$2:$AD$495&gt;=6))*ROW('CASE MASTER'!$T$2:$T$495))-(ROW('CASE MASTER'!#REF!)-1)))+1)+(6-INDEX('CASE MASTER'!$AB$2:$AB$495,(SUMPRODUCT((('CASE MASTER'!$T$2:$T$495=10)*('CASE MASTER'!$AA$2:$AA$495&lt;=9)*('CASE MASTER'!$AC$2:$AC$495&gt;=9)*('CASE MASTER'!$AB$2:$AB$495&lt;=6)*('CASE MASTER'!$AD$2:$AD$495&gt;=6))*ROW('CASE MASTER'!$T$2:$T$495))-(ROW('CASE MASTER'!#REF!)-1))))+1)))-1)*50+1,50))&amp;"_"&amp;INDEX('CASE MASTER'!$Q$2:$Q$495,(SUMPRODUCT((('CASE MASTER'!$T$2:$T$495=10)*('CASE MASTER'!$AA$2:$AA$495&lt;=9)*('CASE MASTER'!$AC$2:$AC$495&gt;=9)*('CASE MASTER'!$AB$2:$AB$495&lt;=6)*('CASE MASTER'!$AD$2:$AD$495&gt;=6))*ROW('CASE MASTER'!$T$2:$T$495))-(ROW('CASE MASTER'!#REF!)-1))),"")),"")</f>
        <v/>
      </c>
      <c r="H137" s="10" t="str">
        <f>IFERROR(IF(SUMPRODUCT((('CASE MASTER'!$T$2:$T$495=10)*('CASE MASTER'!$U$2:$U$495&lt;=9)*('CASE MASTER'!$W$2:$W$495&gt;=9)*('CASE MASTER'!$V$2:$V$495&lt;=7)*('CASE MASTER'!$X$2:$X$495&gt;=7))*ROW('CASE MASTER'!$T$2:$T$495))&gt;0,INDEX('CASE MASTER'!$Y$2:$Y$495,(SUMPRODUCT((('CASE MASTER'!$T$2:$T$495=10)*('CASE MASTER'!$U$2:$U$495&lt;=9)*('CASE MASTER'!$W$2:$W$495&gt;=9)*('CASE MASTER'!$V$2:$V$495&lt;=7)*('CASE MASTER'!$X$2:$X$495&gt;=7))*ROW('CASE MASTER'!$T$2:$T$495))-(ROW('CASE MASTER'!#REF!)-1)))&amp;TRIM(MID(SUBSTITUTE(SUBSTITUTE(INDEX('CASE MASTER'!$N$2:$N$495,(SUMPRODUCT((('CASE MASTER'!$T$2:$T$495=10)*('CASE MASTER'!$U$2:$U$495&lt;=9)*('CASE MASTER'!$W$2:$W$495&gt;=9)*('CASE MASTER'!$V$2:$V$495&lt;=7)*('CASE MASTER'!$X$2:$X$495&gt;=7))*ROW('CASE MASTER'!$T$2:$T$495))-(ROW('CASE MASTER'!#REF!)-1))),":",","),",",REPT(" ",50)),((((9-INDEX('CASE MASTER'!$U$2:$U$495,(SUMPRODUCT((('CASE MASTER'!$T$2:$T$495=10)*('CASE MASTER'!$U$2:$U$495&lt;=9)*('CASE MASTER'!$W$2:$W$495&gt;=9)*('CASE MASTER'!$V$2:$V$495&lt;=7)*('CASE MASTER'!$X$2:$X$495&gt;=7))*ROW('CASE MASTER'!$T$2:$T$495))-(ROW('CASE MASTER'!#REF!)-1))))*(INDEX('CASE MASTER'!$X$2:$X$495,(SUMPRODUCT((('CASE MASTER'!$T$2:$T$495=10)*('CASE MASTER'!$U$2:$U$495&lt;=9)*('CASE MASTER'!$W$2:$W$495&gt;=9)*('CASE MASTER'!$V$2:$V$495&lt;=7)*('CASE MASTER'!$X$2:$X$495&gt;=7))*ROW('CASE MASTER'!$T$2:$T$495))-(ROW('CASE MASTER'!#REF!)-1)))-INDEX('CASE MASTER'!$V$2:$V$495,(SUMPRODUCT((('CASE MASTER'!$T$2:$T$495=10)*('CASE MASTER'!$U$2:$U$495&lt;=9)*('CASE MASTER'!$W$2:$W$495&gt;=9)*('CASE MASTER'!$V$2:$V$495&lt;=7)*('CASE MASTER'!$X$2:$X$495&gt;=7))*ROW('CASE MASTER'!$T$2:$T$495))-(ROW('CASE MASTER'!#REF!)-1)))+1)+(7-INDEX('CASE MASTER'!$V$2:$V$495,(SUMPRODUCT((('CASE MASTER'!$T$2:$T$495=10)*('CASE MASTER'!$U$2:$U$495&lt;=9)*('CASE MASTER'!$W$2:$W$495&gt;=9)*('CASE MASTER'!$V$2:$V$495&lt;=7)*('CASE MASTER'!$X$2:$X$495&gt;=7))*ROW('CASE MASTER'!$T$2:$T$495))-(ROW('CASE MASTER'!#REF!)-1))))+1))-1)*50+1,50))&amp;"_"&amp;INDEX('CASE MASTER'!$Q$2:$Q$495,(SUMPRODUCT((('CASE MASTER'!$T$2:$T$495=10)*('CASE MASTER'!$U$2:$U$495&lt;=9)*('CASE MASTER'!$W$2:$W$495&gt;=9)*('CASE MASTER'!$V$2:$V$495&lt;=7)*('CASE MASTER'!$X$2:$X$495&gt;=7))*ROW('CASE MASTER'!$T$2:$T$495))-(ROW('CASE MASTER'!#REF!)-1))),IF(SUMPRODUCT((('CASE MASTER'!$T$2:$T$495=10)*('CASE MASTER'!$AA$2:$AA$495&lt;=9)*('CASE MASTER'!$AC$2:$AC$495&gt;=9)*('CASE MASTER'!$AB$2:$AB$495&lt;=7)*('CASE MASTER'!$AD$2:$AD$495&gt;=7))*ROW('CASE MASTER'!$T$2:$T$495))&gt;0,INDEX('CASE MASTER'!$Y$2:$Y$495,(SUMPRODUCT((('CASE MASTER'!$T$2:$T$495=10)*('CASE MASTER'!$AA$2:$AA$495&lt;=9)*('CASE MASTER'!$AC$2:$AC$495&gt;=9)*('CASE MASTER'!$AB$2:$AB$495&lt;=7)*('CASE MASTER'!$AD$2:$AD$495&gt;=7))*ROW('CASE MASTER'!$T$2:$T$495))-(ROW('CASE MASTER'!#REF!)-1)))&amp;TRIM(MID(SUBSTITUTE(SUBSTITUTE(INDEX('CASE MASTER'!$N$2:$N$495,(SUMPRODUCT((('CASE MASTER'!$T$2:$T$495=10)*('CASE MASTER'!$AA$2:$AA$495&lt;=9)*('CASE MASTER'!$AC$2:$AC$495&gt;=9)*('CASE MASTER'!$AB$2:$AB$495&lt;=7)*('CASE MASTER'!$AD$2:$AD$495&gt;=7))*ROW('CASE MASTER'!$T$2:$T$495))-(ROW('CASE MASTER'!#REF!)-1))),":",","),",",REPT(" ",50)),(((INDEX('CASE MASTER'!$Z$2:$Z$495,(SUMPRODUCT((('CASE MASTER'!$T$2:$T$495=10)*('CASE MASTER'!$AA$2:$AA$495&lt;=9)*('CASE MASTER'!$AC$2:$AC$495&gt;=9)*('CASE MASTER'!$AB$2:$AB$495&lt;=7)*('CASE MASTER'!$AD$2:$AD$495&gt;=7))*ROW('CASE MASTER'!$T$2:$T$495))-(ROW('CASE MASTER'!#REF!)-1)))+((9-INDEX('CASE MASTER'!$AA$2:$AA$495,(SUMPRODUCT((('CASE MASTER'!$T$2:$T$495=10)*('CASE MASTER'!$AA$2:$AA$495&lt;=9)*('CASE MASTER'!$AC$2:$AC$495&gt;=9)*('CASE MASTER'!$AB$2:$AB$495&lt;=7)*('CASE MASTER'!$AD$2:$AD$495&gt;=7))*ROW('CASE MASTER'!$T$2:$T$495))-(ROW('CASE MASTER'!#REF!)-1))))*(INDEX('CASE MASTER'!$AD$2:$AD$495,(SUMPRODUCT((('CASE MASTER'!$T$2:$T$495=10)*('CASE MASTER'!$AA$2:$AA$495&lt;=9)*('CASE MASTER'!$AC$2:$AC$495&gt;=9)*('CASE MASTER'!$AB$2:$AB$495&lt;=7)*('CASE MASTER'!$AD$2:$AD$495&gt;=7))*ROW('CASE MASTER'!$T$2:$T$495))-(ROW('CASE MASTER'!#REF!)-1)))-INDEX('CASE MASTER'!$AB$2:$AB$495,(SUMPRODUCT((('CASE MASTER'!$T$2:$T$495=10)*('CASE MASTER'!$AA$2:$AA$495&lt;=9)*('CASE MASTER'!$AC$2:$AC$495&gt;=9)*('CASE MASTER'!$AB$2:$AB$495&lt;=7)*('CASE MASTER'!$AD$2:$AD$495&gt;=7))*ROW('CASE MASTER'!$T$2:$T$495))-(ROW('CASE MASTER'!#REF!)-1)))+1)+(7-INDEX('CASE MASTER'!$AB$2:$AB$495,(SUMPRODUCT((('CASE MASTER'!$T$2:$T$495=10)*('CASE MASTER'!$AA$2:$AA$495&lt;=9)*('CASE MASTER'!$AC$2:$AC$495&gt;=9)*('CASE MASTER'!$AB$2:$AB$495&lt;=7)*('CASE MASTER'!$AD$2:$AD$495&gt;=7))*ROW('CASE MASTER'!$T$2:$T$495))-(ROW('CASE MASTER'!#REF!)-1))))+1)))-1)*50+1,50))&amp;"_"&amp;INDEX('CASE MASTER'!$Q$2:$Q$495,(SUMPRODUCT((('CASE MASTER'!$T$2:$T$495=10)*('CASE MASTER'!$AA$2:$AA$495&lt;=9)*('CASE MASTER'!$AC$2:$AC$495&gt;=9)*('CASE MASTER'!$AB$2:$AB$495&lt;=7)*('CASE MASTER'!$AD$2:$AD$495&gt;=7))*ROW('CASE MASTER'!$T$2:$T$495))-(ROW('CASE MASTER'!#REF!)-1))),"")),"")</f>
        <v/>
      </c>
      <c r="I137" s="10" t="str">
        <f>IFERROR(IF(SUMPRODUCT((('CASE MASTER'!$T$2:$T$495=10)*('CASE MASTER'!$U$2:$U$495&lt;=9)*('CASE MASTER'!$W$2:$W$495&gt;=9)*('CASE MASTER'!$V$2:$V$495&lt;=8)*('CASE MASTER'!$X$2:$X$495&gt;=8))*ROW('CASE MASTER'!$T$2:$T$495))&gt;0,INDEX('CASE MASTER'!$Y$2:$Y$495,(SUMPRODUCT((('CASE MASTER'!$T$2:$T$495=10)*('CASE MASTER'!$U$2:$U$495&lt;=9)*('CASE MASTER'!$W$2:$W$495&gt;=9)*('CASE MASTER'!$V$2:$V$495&lt;=8)*('CASE MASTER'!$X$2:$X$495&gt;=8))*ROW('CASE MASTER'!$T$2:$T$495))-(ROW('CASE MASTER'!#REF!)-1)))&amp;TRIM(MID(SUBSTITUTE(SUBSTITUTE(INDEX('CASE MASTER'!$N$2:$N$495,(SUMPRODUCT((('CASE MASTER'!$T$2:$T$495=10)*('CASE MASTER'!$U$2:$U$495&lt;=9)*('CASE MASTER'!$W$2:$W$495&gt;=9)*('CASE MASTER'!$V$2:$V$495&lt;=8)*('CASE MASTER'!$X$2:$X$495&gt;=8))*ROW('CASE MASTER'!$T$2:$T$495))-(ROW('CASE MASTER'!#REF!)-1))),":",","),",",REPT(" ",50)),((((9-INDEX('CASE MASTER'!$U$2:$U$495,(SUMPRODUCT((('CASE MASTER'!$T$2:$T$495=10)*('CASE MASTER'!$U$2:$U$495&lt;=9)*('CASE MASTER'!$W$2:$W$495&gt;=9)*('CASE MASTER'!$V$2:$V$495&lt;=8)*('CASE MASTER'!$X$2:$X$495&gt;=8))*ROW('CASE MASTER'!$T$2:$T$495))-(ROW('CASE MASTER'!#REF!)-1))))*(INDEX('CASE MASTER'!$X$2:$X$495,(SUMPRODUCT((('CASE MASTER'!$T$2:$T$495=10)*('CASE MASTER'!$U$2:$U$495&lt;=9)*('CASE MASTER'!$W$2:$W$495&gt;=9)*('CASE MASTER'!$V$2:$V$495&lt;=8)*('CASE MASTER'!$X$2:$X$495&gt;=8))*ROW('CASE MASTER'!$T$2:$T$495))-(ROW('CASE MASTER'!#REF!)-1)))-INDEX('CASE MASTER'!$V$2:$V$495,(SUMPRODUCT((('CASE MASTER'!$T$2:$T$495=10)*('CASE MASTER'!$U$2:$U$495&lt;=9)*('CASE MASTER'!$W$2:$W$495&gt;=9)*('CASE MASTER'!$V$2:$V$495&lt;=8)*('CASE MASTER'!$X$2:$X$495&gt;=8))*ROW('CASE MASTER'!$T$2:$T$495))-(ROW('CASE MASTER'!#REF!)-1)))+1)+(8-INDEX('CASE MASTER'!$V$2:$V$495,(SUMPRODUCT((('CASE MASTER'!$T$2:$T$495=10)*('CASE MASTER'!$U$2:$U$495&lt;=9)*('CASE MASTER'!$W$2:$W$495&gt;=9)*('CASE MASTER'!$V$2:$V$495&lt;=8)*('CASE MASTER'!$X$2:$X$495&gt;=8))*ROW('CASE MASTER'!$T$2:$T$495))-(ROW('CASE MASTER'!#REF!)-1))))+1))-1)*50+1,50))&amp;"_"&amp;INDEX('CASE MASTER'!$Q$2:$Q$495,(SUMPRODUCT((('CASE MASTER'!$T$2:$T$495=10)*('CASE MASTER'!$U$2:$U$495&lt;=9)*('CASE MASTER'!$W$2:$W$495&gt;=9)*('CASE MASTER'!$V$2:$V$495&lt;=8)*('CASE MASTER'!$X$2:$X$495&gt;=8))*ROW('CASE MASTER'!$T$2:$T$495))-(ROW('CASE MASTER'!#REF!)-1))),IF(SUMPRODUCT((('CASE MASTER'!$T$2:$T$495=10)*('CASE MASTER'!$AA$2:$AA$495&lt;=9)*('CASE MASTER'!$AC$2:$AC$495&gt;=9)*('CASE MASTER'!$AB$2:$AB$495&lt;=8)*('CASE MASTER'!$AD$2:$AD$495&gt;=8))*ROW('CASE MASTER'!$T$2:$T$495))&gt;0,INDEX('CASE MASTER'!$Y$2:$Y$495,(SUMPRODUCT((('CASE MASTER'!$T$2:$T$495=10)*('CASE MASTER'!$AA$2:$AA$495&lt;=9)*('CASE MASTER'!$AC$2:$AC$495&gt;=9)*('CASE MASTER'!$AB$2:$AB$495&lt;=8)*('CASE MASTER'!$AD$2:$AD$495&gt;=8))*ROW('CASE MASTER'!$T$2:$T$495))-(ROW('CASE MASTER'!#REF!)-1)))&amp;TRIM(MID(SUBSTITUTE(SUBSTITUTE(INDEX('CASE MASTER'!$N$2:$N$495,(SUMPRODUCT((('CASE MASTER'!$T$2:$T$495=10)*('CASE MASTER'!$AA$2:$AA$495&lt;=9)*('CASE MASTER'!$AC$2:$AC$495&gt;=9)*('CASE MASTER'!$AB$2:$AB$495&lt;=8)*('CASE MASTER'!$AD$2:$AD$495&gt;=8))*ROW('CASE MASTER'!$T$2:$T$495))-(ROW('CASE MASTER'!#REF!)-1))),":",","),",",REPT(" ",50)),(((INDEX('CASE MASTER'!$Z$2:$Z$495,(SUMPRODUCT((('CASE MASTER'!$T$2:$T$495=10)*('CASE MASTER'!$AA$2:$AA$495&lt;=9)*('CASE MASTER'!$AC$2:$AC$495&gt;=9)*('CASE MASTER'!$AB$2:$AB$495&lt;=8)*('CASE MASTER'!$AD$2:$AD$495&gt;=8))*ROW('CASE MASTER'!$T$2:$T$495))-(ROW('CASE MASTER'!#REF!)-1)))+((9-INDEX('CASE MASTER'!$AA$2:$AA$495,(SUMPRODUCT((('CASE MASTER'!$T$2:$T$495=10)*('CASE MASTER'!$AA$2:$AA$495&lt;=9)*('CASE MASTER'!$AC$2:$AC$495&gt;=9)*('CASE MASTER'!$AB$2:$AB$495&lt;=8)*('CASE MASTER'!$AD$2:$AD$495&gt;=8))*ROW('CASE MASTER'!$T$2:$T$495))-(ROW('CASE MASTER'!#REF!)-1))))*(INDEX('CASE MASTER'!$AD$2:$AD$495,(SUMPRODUCT((('CASE MASTER'!$T$2:$T$495=10)*('CASE MASTER'!$AA$2:$AA$495&lt;=9)*('CASE MASTER'!$AC$2:$AC$495&gt;=9)*('CASE MASTER'!$AB$2:$AB$495&lt;=8)*('CASE MASTER'!$AD$2:$AD$495&gt;=8))*ROW('CASE MASTER'!$T$2:$T$495))-(ROW('CASE MASTER'!#REF!)-1)))-INDEX('CASE MASTER'!$AB$2:$AB$495,(SUMPRODUCT((('CASE MASTER'!$T$2:$T$495=10)*('CASE MASTER'!$AA$2:$AA$495&lt;=9)*('CASE MASTER'!$AC$2:$AC$495&gt;=9)*('CASE MASTER'!$AB$2:$AB$495&lt;=8)*('CASE MASTER'!$AD$2:$AD$495&gt;=8))*ROW('CASE MASTER'!$T$2:$T$495))-(ROW('CASE MASTER'!#REF!)-1)))+1)+(8-INDEX('CASE MASTER'!$AB$2:$AB$495,(SUMPRODUCT((('CASE MASTER'!$T$2:$T$495=10)*('CASE MASTER'!$AA$2:$AA$495&lt;=9)*('CASE MASTER'!$AC$2:$AC$495&gt;=9)*('CASE MASTER'!$AB$2:$AB$495&lt;=8)*('CASE MASTER'!$AD$2:$AD$495&gt;=8))*ROW('CASE MASTER'!$T$2:$T$495))-(ROW('CASE MASTER'!#REF!)-1))))+1)))-1)*50+1,50))&amp;"_"&amp;INDEX('CASE MASTER'!$Q$2:$Q$495,(SUMPRODUCT((('CASE MASTER'!$T$2:$T$495=10)*('CASE MASTER'!$AA$2:$AA$495&lt;=9)*('CASE MASTER'!$AC$2:$AC$495&gt;=9)*('CASE MASTER'!$AB$2:$AB$495&lt;=8)*('CASE MASTER'!$AD$2:$AD$495&gt;=8))*ROW('CASE MASTER'!$T$2:$T$495))-(ROW('CASE MASTER'!#REF!)-1))),"")),"")</f>
        <v/>
      </c>
      <c r="J137" s="10" t="str">
        <f>IFERROR(IF(SUMPRODUCT((('CASE MASTER'!$T$2:$T$495=10)*('CASE MASTER'!$U$2:$U$495&lt;=9)*('CASE MASTER'!$W$2:$W$495&gt;=9)*('CASE MASTER'!$V$2:$V$495&lt;=9)*('CASE MASTER'!$X$2:$X$495&gt;=9))*ROW('CASE MASTER'!$T$2:$T$495))&gt;0,INDEX('CASE MASTER'!$Y$2:$Y$495,(SUMPRODUCT((('CASE MASTER'!$T$2:$T$495=10)*('CASE MASTER'!$U$2:$U$495&lt;=9)*('CASE MASTER'!$W$2:$W$495&gt;=9)*('CASE MASTER'!$V$2:$V$495&lt;=9)*('CASE MASTER'!$X$2:$X$495&gt;=9))*ROW('CASE MASTER'!$T$2:$T$495))-(ROW('CASE MASTER'!#REF!)-1)))&amp;TRIM(MID(SUBSTITUTE(SUBSTITUTE(INDEX('CASE MASTER'!$N$2:$N$495,(SUMPRODUCT((('CASE MASTER'!$T$2:$T$495=10)*('CASE MASTER'!$U$2:$U$495&lt;=9)*('CASE MASTER'!$W$2:$W$495&gt;=9)*('CASE MASTER'!$V$2:$V$495&lt;=9)*('CASE MASTER'!$X$2:$X$495&gt;=9))*ROW('CASE MASTER'!$T$2:$T$495))-(ROW('CASE MASTER'!#REF!)-1))),":",","),",",REPT(" ",50)),((((9-INDEX('CASE MASTER'!$U$2:$U$495,(SUMPRODUCT((('CASE MASTER'!$T$2:$T$495=10)*('CASE MASTER'!$U$2:$U$495&lt;=9)*('CASE MASTER'!$W$2:$W$495&gt;=9)*('CASE MASTER'!$V$2:$V$495&lt;=9)*('CASE MASTER'!$X$2:$X$495&gt;=9))*ROW('CASE MASTER'!$T$2:$T$495))-(ROW('CASE MASTER'!#REF!)-1))))*(INDEX('CASE MASTER'!$X$2:$X$495,(SUMPRODUCT((('CASE MASTER'!$T$2:$T$495=10)*('CASE MASTER'!$U$2:$U$495&lt;=9)*('CASE MASTER'!$W$2:$W$495&gt;=9)*('CASE MASTER'!$V$2:$V$495&lt;=9)*('CASE MASTER'!$X$2:$X$495&gt;=9))*ROW('CASE MASTER'!$T$2:$T$495))-(ROW('CASE MASTER'!#REF!)-1)))-INDEX('CASE MASTER'!$V$2:$V$495,(SUMPRODUCT((('CASE MASTER'!$T$2:$T$495=10)*('CASE MASTER'!$U$2:$U$495&lt;=9)*('CASE MASTER'!$W$2:$W$495&gt;=9)*('CASE MASTER'!$V$2:$V$495&lt;=9)*('CASE MASTER'!$X$2:$X$495&gt;=9))*ROW('CASE MASTER'!$T$2:$T$495))-(ROW('CASE MASTER'!#REF!)-1)))+1)+(9-INDEX('CASE MASTER'!$V$2:$V$495,(SUMPRODUCT((('CASE MASTER'!$T$2:$T$495=10)*('CASE MASTER'!$U$2:$U$495&lt;=9)*('CASE MASTER'!$W$2:$W$495&gt;=9)*('CASE MASTER'!$V$2:$V$495&lt;=9)*('CASE MASTER'!$X$2:$X$495&gt;=9))*ROW('CASE MASTER'!$T$2:$T$495))-(ROW('CASE MASTER'!#REF!)-1))))+1))-1)*50+1,50))&amp;"_"&amp;INDEX('CASE MASTER'!$Q$2:$Q$495,(SUMPRODUCT((('CASE MASTER'!$T$2:$T$495=10)*('CASE MASTER'!$U$2:$U$495&lt;=9)*('CASE MASTER'!$W$2:$W$495&gt;=9)*('CASE MASTER'!$V$2:$V$495&lt;=9)*('CASE MASTER'!$X$2:$X$495&gt;=9))*ROW('CASE MASTER'!$T$2:$T$495))-(ROW('CASE MASTER'!#REF!)-1))),IF(SUMPRODUCT((('CASE MASTER'!$T$2:$T$495=10)*('CASE MASTER'!$AA$2:$AA$495&lt;=9)*('CASE MASTER'!$AC$2:$AC$495&gt;=9)*('CASE MASTER'!$AB$2:$AB$495&lt;=9)*('CASE MASTER'!$AD$2:$AD$495&gt;=9))*ROW('CASE MASTER'!$T$2:$T$495))&gt;0,INDEX('CASE MASTER'!$Y$2:$Y$495,(SUMPRODUCT((('CASE MASTER'!$T$2:$T$495=10)*('CASE MASTER'!$AA$2:$AA$495&lt;=9)*('CASE MASTER'!$AC$2:$AC$495&gt;=9)*('CASE MASTER'!$AB$2:$AB$495&lt;=9)*('CASE MASTER'!$AD$2:$AD$495&gt;=9))*ROW('CASE MASTER'!$T$2:$T$495))-(ROW('CASE MASTER'!#REF!)-1)))&amp;TRIM(MID(SUBSTITUTE(SUBSTITUTE(INDEX('CASE MASTER'!$N$2:$N$495,(SUMPRODUCT((('CASE MASTER'!$T$2:$T$495=10)*('CASE MASTER'!$AA$2:$AA$495&lt;=9)*('CASE MASTER'!$AC$2:$AC$495&gt;=9)*('CASE MASTER'!$AB$2:$AB$495&lt;=9)*('CASE MASTER'!$AD$2:$AD$495&gt;=9))*ROW('CASE MASTER'!$T$2:$T$495))-(ROW('CASE MASTER'!#REF!)-1))),":",","),",",REPT(" ",50)),(((INDEX('CASE MASTER'!$Z$2:$Z$495,(SUMPRODUCT((('CASE MASTER'!$T$2:$T$495=10)*('CASE MASTER'!$AA$2:$AA$495&lt;=9)*('CASE MASTER'!$AC$2:$AC$495&gt;=9)*('CASE MASTER'!$AB$2:$AB$495&lt;=9)*('CASE MASTER'!$AD$2:$AD$495&gt;=9))*ROW('CASE MASTER'!$T$2:$T$495))-(ROW('CASE MASTER'!#REF!)-1)))+((9-INDEX('CASE MASTER'!$AA$2:$AA$495,(SUMPRODUCT((('CASE MASTER'!$T$2:$T$495=10)*('CASE MASTER'!$AA$2:$AA$495&lt;=9)*('CASE MASTER'!$AC$2:$AC$495&gt;=9)*('CASE MASTER'!$AB$2:$AB$495&lt;=9)*('CASE MASTER'!$AD$2:$AD$495&gt;=9))*ROW('CASE MASTER'!$T$2:$T$495))-(ROW('CASE MASTER'!#REF!)-1))))*(INDEX('CASE MASTER'!$AD$2:$AD$495,(SUMPRODUCT((('CASE MASTER'!$T$2:$T$495=10)*('CASE MASTER'!$AA$2:$AA$495&lt;=9)*('CASE MASTER'!$AC$2:$AC$495&gt;=9)*('CASE MASTER'!$AB$2:$AB$495&lt;=9)*('CASE MASTER'!$AD$2:$AD$495&gt;=9))*ROW('CASE MASTER'!$T$2:$T$495))-(ROW('CASE MASTER'!#REF!)-1)))-INDEX('CASE MASTER'!$AB$2:$AB$495,(SUMPRODUCT((('CASE MASTER'!$T$2:$T$495=10)*('CASE MASTER'!$AA$2:$AA$495&lt;=9)*('CASE MASTER'!$AC$2:$AC$495&gt;=9)*('CASE MASTER'!$AB$2:$AB$495&lt;=9)*('CASE MASTER'!$AD$2:$AD$495&gt;=9))*ROW('CASE MASTER'!$T$2:$T$495))-(ROW('CASE MASTER'!#REF!)-1)))+1)+(9-INDEX('CASE MASTER'!$AB$2:$AB$495,(SUMPRODUCT((('CASE MASTER'!$T$2:$T$495=10)*('CASE MASTER'!$AA$2:$AA$495&lt;=9)*('CASE MASTER'!$AC$2:$AC$495&gt;=9)*('CASE MASTER'!$AB$2:$AB$495&lt;=9)*('CASE MASTER'!$AD$2:$AD$495&gt;=9))*ROW('CASE MASTER'!$T$2:$T$495))-(ROW('CASE MASTER'!#REF!)-1))))+1)))-1)*50+1,50))&amp;"_"&amp;INDEX('CASE MASTER'!$Q$2:$Q$495,(SUMPRODUCT((('CASE MASTER'!$T$2:$T$495=10)*('CASE MASTER'!$AA$2:$AA$495&lt;=9)*('CASE MASTER'!$AC$2:$AC$495&gt;=9)*('CASE MASTER'!$AB$2:$AB$495&lt;=9)*('CASE MASTER'!$AD$2:$AD$495&gt;=9))*ROW('CASE MASTER'!$T$2:$T$495))-(ROW('CASE MASTER'!#REF!)-1))),"")),"")</f>
        <v/>
      </c>
      <c r="K137" s="10" t="str">
        <f>IFERROR(IF(SUMPRODUCT((('CASE MASTER'!$T$2:$T$495=10)*('CASE MASTER'!$U$2:$U$495&lt;=9)*('CASE MASTER'!$W$2:$W$495&gt;=9)*('CASE MASTER'!$V$2:$V$495&lt;=10)*('CASE MASTER'!$X$2:$X$495&gt;=10))*ROW('CASE MASTER'!$T$2:$T$495))&gt;0,INDEX('CASE MASTER'!$Y$2:$Y$495,(SUMPRODUCT((('CASE MASTER'!$T$2:$T$495=10)*('CASE MASTER'!$U$2:$U$495&lt;=9)*('CASE MASTER'!$W$2:$W$495&gt;=9)*('CASE MASTER'!$V$2:$V$495&lt;=10)*('CASE MASTER'!$X$2:$X$495&gt;=10))*ROW('CASE MASTER'!$T$2:$T$495))-(ROW('CASE MASTER'!#REF!)-1)))&amp;TRIM(MID(SUBSTITUTE(SUBSTITUTE(INDEX('CASE MASTER'!$N$2:$N$495,(SUMPRODUCT((('CASE MASTER'!$T$2:$T$495=10)*('CASE MASTER'!$U$2:$U$495&lt;=9)*('CASE MASTER'!$W$2:$W$495&gt;=9)*('CASE MASTER'!$V$2:$V$495&lt;=10)*('CASE MASTER'!$X$2:$X$495&gt;=10))*ROW('CASE MASTER'!$T$2:$T$495))-(ROW('CASE MASTER'!#REF!)-1))),":",","),",",REPT(" ",50)),((((9-INDEX('CASE MASTER'!$U$2:$U$495,(SUMPRODUCT((('CASE MASTER'!$T$2:$T$495=10)*('CASE MASTER'!$U$2:$U$495&lt;=9)*('CASE MASTER'!$W$2:$W$495&gt;=9)*('CASE MASTER'!$V$2:$V$495&lt;=10)*('CASE MASTER'!$X$2:$X$495&gt;=10))*ROW('CASE MASTER'!$T$2:$T$495))-(ROW('CASE MASTER'!#REF!)-1))))*(INDEX('CASE MASTER'!$X$2:$X$495,(SUMPRODUCT((('CASE MASTER'!$T$2:$T$495=10)*('CASE MASTER'!$U$2:$U$495&lt;=9)*('CASE MASTER'!$W$2:$W$495&gt;=9)*('CASE MASTER'!$V$2:$V$495&lt;=10)*('CASE MASTER'!$X$2:$X$495&gt;=10))*ROW('CASE MASTER'!$T$2:$T$495))-(ROW('CASE MASTER'!#REF!)-1)))-INDEX('CASE MASTER'!$V$2:$V$495,(SUMPRODUCT((('CASE MASTER'!$T$2:$T$495=10)*('CASE MASTER'!$U$2:$U$495&lt;=9)*('CASE MASTER'!$W$2:$W$495&gt;=9)*('CASE MASTER'!$V$2:$V$495&lt;=10)*('CASE MASTER'!$X$2:$X$495&gt;=10))*ROW('CASE MASTER'!$T$2:$T$495))-(ROW('CASE MASTER'!#REF!)-1)))+1)+(10-INDEX('CASE MASTER'!$V$2:$V$495,(SUMPRODUCT((('CASE MASTER'!$T$2:$T$495=10)*('CASE MASTER'!$U$2:$U$495&lt;=9)*('CASE MASTER'!$W$2:$W$495&gt;=9)*('CASE MASTER'!$V$2:$V$495&lt;=10)*('CASE MASTER'!$X$2:$X$495&gt;=10))*ROW('CASE MASTER'!$T$2:$T$495))-(ROW('CASE MASTER'!#REF!)-1))))+1))-1)*50+1,50))&amp;"_"&amp;INDEX('CASE MASTER'!$Q$2:$Q$495,(SUMPRODUCT((('CASE MASTER'!$T$2:$T$495=10)*('CASE MASTER'!$U$2:$U$495&lt;=9)*('CASE MASTER'!$W$2:$W$495&gt;=9)*('CASE MASTER'!$V$2:$V$495&lt;=10)*('CASE MASTER'!$X$2:$X$495&gt;=10))*ROW('CASE MASTER'!$T$2:$T$495))-(ROW('CASE MASTER'!#REF!)-1))),IF(SUMPRODUCT((('CASE MASTER'!$T$2:$T$495=10)*('CASE MASTER'!$AA$2:$AA$495&lt;=9)*('CASE MASTER'!$AC$2:$AC$495&gt;=9)*('CASE MASTER'!$AB$2:$AB$495&lt;=10)*('CASE MASTER'!$AD$2:$AD$495&gt;=10))*ROW('CASE MASTER'!$T$2:$T$495))&gt;0,INDEX('CASE MASTER'!$Y$2:$Y$495,(SUMPRODUCT((('CASE MASTER'!$T$2:$T$495=10)*('CASE MASTER'!$AA$2:$AA$495&lt;=9)*('CASE MASTER'!$AC$2:$AC$495&gt;=9)*('CASE MASTER'!$AB$2:$AB$495&lt;=10)*('CASE MASTER'!$AD$2:$AD$495&gt;=10))*ROW('CASE MASTER'!$T$2:$T$495))-(ROW('CASE MASTER'!#REF!)-1)))&amp;TRIM(MID(SUBSTITUTE(SUBSTITUTE(INDEX('CASE MASTER'!$N$2:$N$495,(SUMPRODUCT((('CASE MASTER'!$T$2:$T$495=10)*('CASE MASTER'!$AA$2:$AA$495&lt;=9)*('CASE MASTER'!$AC$2:$AC$495&gt;=9)*('CASE MASTER'!$AB$2:$AB$495&lt;=10)*('CASE MASTER'!$AD$2:$AD$495&gt;=10))*ROW('CASE MASTER'!$T$2:$T$495))-(ROW('CASE MASTER'!#REF!)-1))),":",","),",",REPT(" ",50)),(((INDEX('CASE MASTER'!$Z$2:$Z$495,(SUMPRODUCT((('CASE MASTER'!$T$2:$T$495=10)*('CASE MASTER'!$AA$2:$AA$495&lt;=9)*('CASE MASTER'!$AC$2:$AC$495&gt;=9)*('CASE MASTER'!$AB$2:$AB$495&lt;=10)*('CASE MASTER'!$AD$2:$AD$495&gt;=10))*ROW('CASE MASTER'!$T$2:$T$495))-(ROW('CASE MASTER'!#REF!)-1)))+((9-INDEX('CASE MASTER'!$AA$2:$AA$495,(SUMPRODUCT((('CASE MASTER'!$T$2:$T$495=10)*('CASE MASTER'!$AA$2:$AA$495&lt;=9)*('CASE MASTER'!$AC$2:$AC$495&gt;=9)*('CASE MASTER'!$AB$2:$AB$495&lt;=10)*('CASE MASTER'!$AD$2:$AD$495&gt;=10))*ROW('CASE MASTER'!$T$2:$T$495))-(ROW('CASE MASTER'!#REF!)-1))))*(INDEX('CASE MASTER'!$AD$2:$AD$495,(SUMPRODUCT((('CASE MASTER'!$T$2:$T$495=10)*('CASE MASTER'!$AA$2:$AA$495&lt;=9)*('CASE MASTER'!$AC$2:$AC$495&gt;=9)*('CASE MASTER'!$AB$2:$AB$495&lt;=10)*('CASE MASTER'!$AD$2:$AD$495&gt;=10))*ROW('CASE MASTER'!$T$2:$T$495))-(ROW('CASE MASTER'!#REF!)-1)))-INDEX('CASE MASTER'!$AB$2:$AB$495,(SUMPRODUCT((('CASE MASTER'!$T$2:$T$495=10)*('CASE MASTER'!$AA$2:$AA$495&lt;=9)*('CASE MASTER'!$AC$2:$AC$495&gt;=9)*('CASE MASTER'!$AB$2:$AB$495&lt;=10)*('CASE MASTER'!$AD$2:$AD$495&gt;=10))*ROW('CASE MASTER'!$T$2:$T$495))-(ROW('CASE MASTER'!#REF!)-1)))+1)+(10-INDEX('CASE MASTER'!$AB$2:$AB$495,(SUMPRODUCT((('CASE MASTER'!$T$2:$T$495=10)*('CASE MASTER'!$AA$2:$AA$495&lt;=9)*('CASE MASTER'!$AC$2:$AC$495&gt;=9)*('CASE MASTER'!$AB$2:$AB$495&lt;=10)*('CASE MASTER'!$AD$2:$AD$495&gt;=10))*ROW('CASE MASTER'!$T$2:$T$495))-(ROW('CASE MASTER'!#REF!)-1))))+1)))-1)*50+1,50))&amp;"_"&amp;INDEX('CASE MASTER'!$Q$2:$Q$495,(SUMPRODUCT((('CASE MASTER'!$T$2:$T$495=10)*('CASE MASTER'!$AA$2:$AA$495&lt;=9)*('CASE MASTER'!$AC$2:$AC$495&gt;=9)*('CASE MASTER'!$AB$2:$AB$495&lt;=10)*('CASE MASTER'!$AD$2:$AD$495&gt;=10))*ROW('CASE MASTER'!$T$2:$T$495))-(ROW('CASE MASTER'!#REF!)-1))),"")),"")</f>
        <v/>
      </c>
    </row>
    <row r="138" spans="1:11" ht="15" customHeight="1" x14ac:dyDescent="0.35">
      <c r="A138" s="8" t="s">
        <v>82</v>
      </c>
      <c r="B138" s="10" t="str">
        <f>IFERROR(IF(SUMPRODUCT((('CASE MASTER'!$T$2:$T$495=10)*('CASE MASTER'!$U$2:$U$495&lt;=10)*('CASE MASTER'!$W$2:$W$495&gt;=10)*('CASE MASTER'!$V$2:$V$495&lt;=1)*('CASE MASTER'!$X$2:$X$495&gt;=1))*ROW('CASE MASTER'!$T$2:$T$495))&gt;0,INDEX('CASE MASTER'!$Y$2:$Y$495,(SUMPRODUCT((('CASE MASTER'!$T$2:$T$495=10)*('CASE MASTER'!$U$2:$U$495&lt;=10)*('CASE MASTER'!$W$2:$W$495&gt;=10)*('CASE MASTER'!$V$2:$V$495&lt;=1)*('CASE MASTER'!$X$2:$X$495&gt;=1))*ROW('CASE MASTER'!$T$2:$T$495))-(ROW('CASE MASTER'!#REF!)-1)))&amp;TRIM(MID(SUBSTITUTE(SUBSTITUTE(INDEX('CASE MASTER'!$N$2:$N$495,(SUMPRODUCT((('CASE MASTER'!$T$2:$T$495=10)*('CASE MASTER'!$U$2:$U$495&lt;=10)*('CASE MASTER'!$W$2:$W$495&gt;=10)*('CASE MASTER'!$V$2:$V$495&lt;=1)*('CASE MASTER'!$X$2:$X$495&gt;=1))*ROW('CASE MASTER'!$T$2:$T$495))-(ROW('CASE MASTER'!#REF!)-1))),":",","),",",REPT(" ",50)),((((10-INDEX('CASE MASTER'!$U$2:$U$495,(SUMPRODUCT((('CASE MASTER'!$T$2:$T$495=10)*('CASE MASTER'!$U$2:$U$495&lt;=10)*('CASE MASTER'!$W$2:$W$495&gt;=10)*('CASE MASTER'!$V$2:$V$495&lt;=1)*('CASE MASTER'!$X$2:$X$495&gt;=1))*ROW('CASE MASTER'!$T$2:$T$495))-(ROW('CASE MASTER'!#REF!)-1))))*(INDEX('CASE MASTER'!$X$2:$X$495,(SUMPRODUCT((('CASE MASTER'!$T$2:$T$495=10)*('CASE MASTER'!$U$2:$U$495&lt;=10)*('CASE MASTER'!$W$2:$W$495&gt;=10)*('CASE MASTER'!$V$2:$V$495&lt;=1)*('CASE MASTER'!$X$2:$X$495&gt;=1))*ROW('CASE MASTER'!$T$2:$T$495))-(ROW('CASE MASTER'!#REF!)-1)))-INDEX('CASE MASTER'!$V$2:$V$495,(SUMPRODUCT((('CASE MASTER'!$T$2:$T$495=10)*('CASE MASTER'!$U$2:$U$495&lt;=10)*('CASE MASTER'!$W$2:$W$495&gt;=10)*('CASE MASTER'!$V$2:$V$495&lt;=1)*('CASE MASTER'!$X$2:$X$495&gt;=1))*ROW('CASE MASTER'!$T$2:$T$495))-(ROW('CASE MASTER'!#REF!)-1)))+1)+(1-INDEX('CASE MASTER'!$V$2:$V$495,(SUMPRODUCT((('CASE MASTER'!$T$2:$T$495=10)*('CASE MASTER'!$U$2:$U$495&lt;=10)*('CASE MASTER'!$W$2:$W$495&gt;=10)*('CASE MASTER'!$V$2:$V$495&lt;=1)*('CASE MASTER'!$X$2:$X$495&gt;=1))*ROW('CASE MASTER'!$T$2:$T$495))-(ROW('CASE MASTER'!#REF!)-1))))+1))-1)*50+1,50))&amp;"_"&amp;INDEX('CASE MASTER'!$Q$2:$Q$495,(SUMPRODUCT((('CASE MASTER'!$T$2:$T$495=10)*('CASE MASTER'!$U$2:$U$495&lt;=10)*('CASE MASTER'!$W$2:$W$495&gt;=10)*('CASE MASTER'!$V$2:$V$495&lt;=1)*('CASE MASTER'!$X$2:$X$495&gt;=1))*ROW('CASE MASTER'!$T$2:$T$495))-(ROW('CASE MASTER'!#REF!)-1))),IF(SUMPRODUCT((('CASE MASTER'!$T$2:$T$495=10)*('CASE MASTER'!$AA$2:$AA$495&lt;=10)*('CASE MASTER'!$AC$2:$AC$495&gt;=10)*('CASE MASTER'!$AB$2:$AB$495&lt;=1)*('CASE MASTER'!$AD$2:$AD$495&gt;=1))*ROW('CASE MASTER'!$T$2:$T$495))&gt;0,INDEX('CASE MASTER'!$Y$2:$Y$495,(SUMPRODUCT((('CASE MASTER'!$T$2:$T$495=10)*('CASE MASTER'!$AA$2:$AA$495&lt;=10)*('CASE MASTER'!$AC$2:$AC$495&gt;=10)*('CASE MASTER'!$AB$2:$AB$495&lt;=1)*('CASE MASTER'!$AD$2:$AD$495&gt;=1))*ROW('CASE MASTER'!$T$2:$T$495))-(ROW('CASE MASTER'!#REF!)-1)))&amp;TRIM(MID(SUBSTITUTE(SUBSTITUTE(INDEX('CASE MASTER'!$N$2:$N$495,(SUMPRODUCT((('CASE MASTER'!$T$2:$T$495=10)*('CASE MASTER'!$AA$2:$AA$495&lt;=10)*('CASE MASTER'!$AC$2:$AC$495&gt;=10)*('CASE MASTER'!$AB$2:$AB$495&lt;=1)*('CASE MASTER'!$AD$2:$AD$495&gt;=1))*ROW('CASE MASTER'!$T$2:$T$495))-(ROW('CASE MASTER'!#REF!)-1))),":",","),",",REPT(" ",50)),(((INDEX('CASE MASTER'!$Z$2:$Z$495,(SUMPRODUCT((('CASE MASTER'!$T$2:$T$495=10)*('CASE MASTER'!$AA$2:$AA$495&lt;=10)*('CASE MASTER'!$AC$2:$AC$495&gt;=10)*('CASE MASTER'!$AB$2:$AB$495&lt;=1)*('CASE MASTER'!$AD$2:$AD$495&gt;=1))*ROW('CASE MASTER'!$T$2:$T$495))-(ROW('CASE MASTER'!#REF!)-1)))+((10-INDEX('CASE MASTER'!$AA$2:$AA$495,(SUMPRODUCT((('CASE MASTER'!$T$2:$T$495=10)*('CASE MASTER'!$AA$2:$AA$495&lt;=10)*('CASE MASTER'!$AC$2:$AC$495&gt;=10)*('CASE MASTER'!$AB$2:$AB$495&lt;=1)*('CASE MASTER'!$AD$2:$AD$495&gt;=1))*ROW('CASE MASTER'!$T$2:$T$495))-(ROW('CASE MASTER'!#REF!)-1))))*(INDEX('CASE MASTER'!$AD$2:$AD$495,(SUMPRODUCT((('CASE MASTER'!$T$2:$T$495=10)*('CASE MASTER'!$AA$2:$AA$495&lt;=10)*('CASE MASTER'!$AC$2:$AC$495&gt;=10)*('CASE MASTER'!$AB$2:$AB$495&lt;=1)*('CASE MASTER'!$AD$2:$AD$495&gt;=1))*ROW('CASE MASTER'!$T$2:$T$495))-(ROW('CASE MASTER'!#REF!)-1)))-INDEX('CASE MASTER'!$AB$2:$AB$495,(SUMPRODUCT((('CASE MASTER'!$T$2:$T$495=10)*('CASE MASTER'!$AA$2:$AA$495&lt;=10)*('CASE MASTER'!$AC$2:$AC$495&gt;=10)*('CASE MASTER'!$AB$2:$AB$495&lt;=1)*('CASE MASTER'!$AD$2:$AD$495&gt;=1))*ROW('CASE MASTER'!$T$2:$T$495))-(ROW('CASE MASTER'!#REF!)-1)))+1)+(1-INDEX('CASE MASTER'!$AB$2:$AB$495,(SUMPRODUCT((('CASE MASTER'!$T$2:$T$495=10)*('CASE MASTER'!$AA$2:$AA$495&lt;=10)*('CASE MASTER'!$AC$2:$AC$495&gt;=10)*('CASE MASTER'!$AB$2:$AB$495&lt;=1)*('CASE MASTER'!$AD$2:$AD$495&gt;=1))*ROW('CASE MASTER'!$T$2:$T$495))-(ROW('CASE MASTER'!#REF!)-1))))+1)))-1)*50+1,50))&amp;"_"&amp;INDEX('CASE MASTER'!$Q$2:$Q$495,(SUMPRODUCT((('CASE MASTER'!$T$2:$T$495=10)*('CASE MASTER'!$AA$2:$AA$495&lt;=10)*('CASE MASTER'!$AC$2:$AC$495&gt;=10)*('CASE MASTER'!$AB$2:$AB$495&lt;=1)*('CASE MASTER'!$AD$2:$AD$495&gt;=1))*ROW('CASE MASTER'!$T$2:$T$495))-(ROW('CASE MASTER'!#REF!)-1))),"")),"")</f>
        <v/>
      </c>
      <c r="C138" s="10" t="str">
        <f>IFERROR(IF(SUMPRODUCT((('CASE MASTER'!$T$2:$T$495=10)*('CASE MASTER'!$U$2:$U$495&lt;=10)*('CASE MASTER'!$W$2:$W$495&gt;=10)*('CASE MASTER'!$V$2:$V$495&lt;=2)*('CASE MASTER'!$X$2:$X$495&gt;=2))*ROW('CASE MASTER'!$T$2:$T$495))&gt;0,INDEX('CASE MASTER'!$Y$2:$Y$495,(SUMPRODUCT((('CASE MASTER'!$T$2:$T$495=10)*('CASE MASTER'!$U$2:$U$495&lt;=10)*('CASE MASTER'!$W$2:$W$495&gt;=10)*('CASE MASTER'!$V$2:$V$495&lt;=2)*('CASE MASTER'!$X$2:$X$495&gt;=2))*ROW('CASE MASTER'!$T$2:$T$495))-(ROW('CASE MASTER'!#REF!)-1)))&amp;TRIM(MID(SUBSTITUTE(SUBSTITUTE(INDEX('CASE MASTER'!$N$2:$N$495,(SUMPRODUCT((('CASE MASTER'!$T$2:$T$495=10)*('CASE MASTER'!$U$2:$U$495&lt;=10)*('CASE MASTER'!$W$2:$W$495&gt;=10)*('CASE MASTER'!$V$2:$V$495&lt;=2)*('CASE MASTER'!$X$2:$X$495&gt;=2))*ROW('CASE MASTER'!$T$2:$T$495))-(ROW('CASE MASTER'!#REF!)-1))),":",","),",",REPT(" ",50)),((((10-INDEX('CASE MASTER'!$U$2:$U$495,(SUMPRODUCT((('CASE MASTER'!$T$2:$T$495=10)*('CASE MASTER'!$U$2:$U$495&lt;=10)*('CASE MASTER'!$W$2:$W$495&gt;=10)*('CASE MASTER'!$V$2:$V$495&lt;=2)*('CASE MASTER'!$X$2:$X$495&gt;=2))*ROW('CASE MASTER'!$T$2:$T$495))-(ROW('CASE MASTER'!#REF!)-1))))*(INDEX('CASE MASTER'!$X$2:$X$495,(SUMPRODUCT((('CASE MASTER'!$T$2:$T$495=10)*('CASE MASTER'!$U$2:$U$495&lt;=10)*('CASE MASTER'!$W$2:$W$495&gt;=10)*('CASE MASTER'!$V$2:$V$495&lt;=2)*('CASE MASTER'!$X$2:$X$495&gt;=2))*ROW('CASE MASTER'!$T$2:$T$495))-(ROW('CASE MASTER'!#REF!)-1)))-INDEX('CASE MASTER'!$V$2:$V$495,(SUMPRODUCT((('CASE MASTER'!$T$2:$T$495=10)*('CASE MASTER'!$U$2:$U$495&lt;=10)*('CASE MASTER'!$W$2:$W$495&gt;=10)*('CASE MASTER'!$V$2:$V$495&lt;=2)*('CASE MASTER'!$X$2:$X$495&gt;=2))*ROW('CASE MASTER'!$T$2:$T$495))-(ROW('CASE MASTER'!#REF!)-1)))+1)+(2-INDEX('CASE MASTER'!$V$2:$V$495,(SUMPRODUCT((('CASE MASTER'!$T$2:$T$495=10)*('CASE MASTER'!$U$2:$U$495&lt;=10)*('CASE MASTER'!$W$2:$W$495&gt;=10)*('CASE MASTER'!$V$2:$V$495&lt;=2)*('CASE MASTER'!$X$2:$X$495&gt;=2))*ROW('CASE MASTER'!$T$2:$T$495))-(ROW('CASE MASTER'!#REF!)-1))))+1))-1)*50+1,50))&amp;"_"&amp;INDEX('CASE MASTER'!$Q$2:$Q$495,(SUMPRODUCT((('CASE MASTER'!$T$2:$T$495=10)*('CASE MASTER'!$U$2:$U$495&lt;=10)*('CASE MASTER'!$W$2:$W$495&gt;=10)*('CASE MASTER'!$V$2:$V$495&lt;=2)*('CASE MASTER'!$X$2:$X$495&gt;=2))*ROW('CASE MASTER'!$T$2:$T$495))-(ROW('CASE MASTER'!#REF!)-1))),IF(SUMPRODUCT((('CASE MASTER'!$T$2:$T$495=10)*('CASE MASTER'!$AA$2:$AA$495&lt;=10)*('CASE MASTER'!$AC$2:$AC$495&gt;=10)*('CASE MASTER'!$AB$2:$AB$495&lt;=2)*('CASE MASTER'!$AD$2:$AD$495&gt;=2))*ROW('CASE MASTER'!$T$2:$T$495))&gt;0,INDEX('CASE MASTER'!$Y$2:$Y$495,(SUMPRODUCT((('CASE MASTER'!$T$2:$T$495=10)*('CASE MASTER'!$AA$2:$AA$495&lt;=10)*('CASE MASTER'!$AC$2:$AC$495&gt;=10)*('CASE MASTER'!$AB$2:$AB$495&lt;=2)*('CASE MASTER'!$AD$2:$AD$495&gt;=2))*ROW('CASE MASTER'!$T$2:$T$495))-(ROW('CASE MASTER'!#REF!)-1)))&amp;TRIM(MID(SUBSTITUTE(SUBSTITUTE(INDEX('CASE MASTER'!$N$2:$N$495,(SUMPRODUCT((('CASE MASTER'!$T$2:$T$495=10)*('CASE MASTER'!$AA$2:$AA$495&lt;=10)*('CASE MASTER'!$AC$2:$AC$495&gt;=10)*('CASE MASTER'!$AB$2:$AB$495&lt;=2)*('CASE MASTER'!$AD$2:$AD$495&gt;=2))*ROW('CASE MASTER'!$T$2:$T$495))-(ROW('CASE MASTER'!#REF!)-1))),":",","),",",REPT(" ",50)),(((INDEX('CASE MASTER'!$Z$2:$Z$495,(SUMPRODUCT((('CASE MASTER'!$T$2:$T$495=10)*('CASE MASTER'!$AA$2:$AA$495&lt;=10)*('CASE MASTER'!$AC$2:$AC$495&gt;=10)*('CASE MASTER'!$AB$2:$AB$495&lt;=2)*('CASE MASTER'!$AD$2:$AD$495&gt;=2))*ROW('CASE MASTER'!$T$2:$T$495))-(ROW('CASE MASTER'!#REF!)-1)))+((10-INDEX('CASE MASTER'!$AA$2:$AA$495,(SUMPRODUCT((('CASE MASTER'!$T$2:$T$495=10)*('CASE MASTER'!$AA$2:$AA$495&lt;=10)*('CASE MASTER'!$AC$2:$AC$495&gt;=10)*('CASE MASTER'!$AB$2:$AB$495&lt;=2)*('CASE MASTER'!$AD$2:$AD$495&gt;=2))*ROW('CASE MASTER'!$T$2:$T$495))-(ROW('CASE MASTER'!#REF!)-1))))*(INDEX('CASE MASTER'!$AD$2:$AD$495,(SUMPRODUCT((('CASE MASTER'!$T$2:$T$495=10)*('CASE MASTER'!$AA$2:$AA$495&lt;=10)*('CASE MASTER'!$AC$2:$AC$495&gt;=10)*('CASE MASTER'!$AB$2:$AB$495&lt;=2)*('CASE MASTER'!$AD$2:$AD$495&gt;=2))*ROW('CASE MASTER'!$T$2:$T$495))-(ROW('CASE MASTER'!#REF!)-1)))-INDEX('CASE MASTER'!$AB$2:$AB$495,(SUMPRODUCT((('CASE MASTER'!$T$2:$T$495=10)*('CASE MASTER'!$AA$2:$AA$495&lt;=10)*('CASE MASTER'!$AC$2:$AC$495&gt;=10)*('CASE MASTER'!$AB$2:$AB$495&lt;=2)*('CASE MASTER'!$AD$2:$AD$495&gt;=2))*ROW('CASE MASTER'!$T$2:$T$495))-(ROW('CASE MASTER'!#REF!)-1)))+1)+(2-INDEX('CASE MASTER'!$AB$2:$AB$495,(SUMPRODUCT((('CASE MASTER'!$T$2:$T$495=10)*('CASE MASTER'!$AA$2:$AA$495&lt;=10)*('CASE MASTER'!$AC$2:$AC$495&gt;=10)*('CASE MASTER'!$AB$2:$AB$495&lt;=2)*('CASE MASTER'!$AD$2:$AD$495&gt;=2))*ROW('CASE MASTER'!$T$2:$T$495))-(ROW('CASE MASTER'!#REF!)-1))))+1)))-1)*50+1,50))&amp;"_"&amp;INDEX('CASE MASTER'!$Q$2:$Q$495,(SUMPRODUCT((('CASE MASTER'!$T$2:$T$495=10)*('CASE MASTER'!$AA$2:$AA$495&lt;=10)*('CASE MASTER'!$AC$2:$AC$495&gt;=10)*('CASE MASTER'!$AB$2:$AB$495&lt;=2)*('CASE MASTER'!$AD$2:$AD$495&gt;=2))*ROW('CASE MASTER'!$T$2:$T$495))-(ROW('CASE MASTER'!#REF!)-1))),"")),"")</f>
        <v/>
      </c>
      <c r="D138" s="10" t="str">
        <f>IFERROR(IF(SUMPRODUCT((('CASE MASTER'!$T$2:$T$495=10)*('CASE MASTER'!$U$2:$U$495&lt;=10)*('CASE MASTER'!$W$2:$W$495&gt;=10)*('CASE MASTER'!$V$2:$V$495&lt;=3)*('CASE MASTER'!$X$2:$X$495&gt;=3))*ROW('CASE MASTER'!$T$2:$T$495))&gt;0,INDEX('CASE MASTER'!$Y$2:$Y$495,(SUMPRODUCT((('CASE MASTER'!$T$2:$T$495=10)*('CASE MASTER'!$U$2:$U$495&lt;=10)*('CASE MASTER'!$W$2:$W$495&gt;=10)*('CASE MASTER'!$V$2:$V$495&lt;=3)*('CASE MASTER'!$X$2:$X$495&gt;=3))*ROW('CASE MASTER'!$T$2:$T$495))-(ROW('CASE MASTER'!#REF!)-1)))&amp;TRIM(MID(SUBSTITUTE(SUBSTITUTE(INDEX('CASE MASTER'!$N$2:$N$495,(SUMPRODUCT((('CASE MASTER'!$T$2:$T$495=10)*('CASE MASTER'!$U$2:$U$495&lt;=10)*('CASE MASTER'!$W$2:$W$495&gt;=10)*('CASE MASTER'!$V$2:$V$495&lt;=3)*('CASE MASTER'!$X$2:$X$495&gt;=3))*ROW('CASE MASTER'!$T$2:$T$495))-(ROW('CASE MASTER'!#REF!)-1))),":",","),",",REPT(" ",50)),((((10-INDEX('CASE MASTER'!$U$2:$U$495,(SUMPRODUCT((('CASE MASTER'!$T$2:$T$495=10)*('CASE MASTER'!$U$2:$U$495&lt;=10)*('CASE MASTER'!$W$2:$W$495&gt;=10)*('CASE MASTER'!$V$2:$V$495&lt;=3)*('CASE MASTER'!$X$2:$X$495&gt;=3))*ROW('CASE MASTER'!$T$2:$T$495))-(ROW('CASE MASTER'!#REF!)-1))))*(INDEX('CASE MASTER'!$X$2:$X$495,(SUMPRODUCT((('CASE MASTER'!$T$2:$T$495=10)*('CASE MASTER'!$U$2:$U$495&lt;=10)*('CASE MASTER'!$W$2:$W$495&gt;=10)*('CASE MASTER'!$V$2:$V$495&lt;=3)*('CASE MASTER'!$X$2:$X$495&gt;=3))*ROW('CASE MASTER'!$T$2:$T$495))-(ROW('CASE MASTER'!#REF!)-1)))-INDEX('CASE MASTER'!$V$2:$V$495,(SUMPRODUCT((('CASE MASTER'!$T$2:$T$495=10)*('CASE MASTER'!$U$2:$U$495&lt;=10)*('CASE MASTER'!$W$2:$W$495&gt;=10)*('CASE MASTER'!$V$2:$V$495&lt;=3)*('CASE MASTER'!$X$2:$X$495&gt;=3))*ROW('CASE MASTER'!$T$2:$T$495))-(ROW('CASE MASTER'!#REF!)-1)))+1)+(3-INDEX('CASE MASTER'!$V$2:$V$495,(SUMPRODUCT((('CASE MASTER'!$T$2:$T$495=10)*('CASE MASTER'!$U$2:$U$495&lt;=10)*('CASE MASTER'!$W$2:$W$495&gt;=10)*('CASE MASTER'!$V$2:$V$495&lt;=3)*('CASE MASTER'!$X$2:$X$495&gt;=3))*ROW('CASE MASTER'!$T$2:$T$495))-(ROW('CASE MASTER'!#REF!)-1))))+1))-1)*50+1,50))&amp;"_"&amp;INDEX('CASE MASTER'!$Q$2:$Q$495,(SUMPRODUCT((('CASE MASTER'!$T$2:$T$495=10)*('CASE MASTER'!$U$2:$U$495&lt;=10)*('CASE MASTER'!$W$2:$W$495&gt;=10)*('CASE MASTER'!$V$2:$V$495&lt;=3)*('CASE MASTER'!$X$2:$X$495&gt;=3))*ROW('CASE MASTER'!$T$2:$T$495))-(ROW('CASE MASTER'!#REF!)-1))),IF(SUMPRODUCT((('CASE MASTER'!$T$2:$T$495=10)*('CASE MASTER'!$AA$2:$AA$495&lt;=10)*('CASE MASTER'!$AC$2:$AC$495&gt;=10)*('CASE MASTER'!$AB$2:$AB$495&lt;=3)*('CASE MASTER'!$AD$2:$AD$495&gt;=3))*ROW('CASE MASTER'!$T$2:$T$495))&gt;0,INDEX('CASE MASTER'!$Y$2:$Y$495,(SUMPRODUCT((('CASE MASTER'!$T$2:$T$495=10)*('CASE MASTER'!$AA$2:$AA$495&lt;=10)*('CASE MASTER'!$AC$2:$AC$495&gt;=10)*('CASE MASTER'!$AB$2:$AB$495&lt;=3)*('CASE MASTER'!$AD$2:$AD$495&gt;=3))*ROW('CASE MASTER'!$T$2:$T$495))-(ROW('CASE MASTER'!#REF!)-1)))&amp;TRIM(MID(SUBSTITUTE(SUBSTITUTE(INDEX('CASE MASTER'!$N$2:$N$495,(SUMPRODUCT((('CASE MASTER'!$T$2:$T$495=10)*('CASE MASTER'!$AA$2:$AA$495&lt;=10)*('CASE MASTER'!$AC$2:$AC$495&gt;=10)*('CASE MASTER'!$AB$2:$AB$495&lt;=3)*('CASE MASTER'!$AD$2:$AD$495&gt;=3))*ROW('CASE MASTER'!$T$2:$T$495))-(ROW('CASE MASTER'!#REF!)-1))),":",","),",",REPT(" ",50)),(((INDEX('CASE MASTER'!$Z$2:$Z$495,(SUMPRODUCT((('CASE MASTER'!$T$2:$T$495=10)*('CASE MASTER'!$AA$2:$AA$495&lt;=10)*('CASE MASTER'!$AC$2:$AC$495&gt;=10)*('CASE MASTER'!$AB$2:$AB$495&lt;=3)*('CASE MASTER'!$AD$2:$AD$495&gt;=3))*ROW('CASE MASTER'!$T$2:$T$495))-(ROW('CASE MASTER'!#REF!)-1)))+((10-INDEX('CASE MASTER'!$AA$2:$AA$495,(SUMPRODUCT((('CASE MASTER'!$T$2:$T$495=10)*('CASE MASTER'!$AA$2:$AA$495&lt;=10)*('CASE MASTER'!$AC$2:$AC$495&gt;=10)*('CASE MASTER'!$AB$2:$AB$495&lt;=3)*('CASE MASTER'!$AD$2:$AD$495&gt;=3))*ROW('CASE MASTER'!$T$2:$T$495))-(ROW('CASE MASTER'!#REF!)-1))))*(INDEX('CASE MASTER'!$AD$2:$AD$495,(SUMPRODUCT((('CASE MASTER'!$T$2:$T$495=10)*('CASE MASTER'!$AA$2:$AA$495&lt;=10)*('CASE MASTER'!$AC$2:$AC$495&gt;=10)*('CASE MASTER'!$AB$2:$AB$495&lt;=3)*('CASE MASTER'!$AD$2:$AD$495&gt;=3))*ROW('CASE MASTER'!$T$2:$T$495))-(ROW('CASE MASTER'!#REF!)-1)))-INDEX('CASE MASTER'!$AB$2:$AB$495,(SUMPRODUCT((('CASE MASTER'!$T$2:$T$495=10)*('CASE MASTER'!$AA$2:$AA$495&lt;=10)*('CASE MASTER'!$AC$2:$AC$495&gt;=10)*('CASE MASTER'!$AB$2:$AB$495&lt;=3)*('CASE MASTER'!$AD$2:$AD$495&gt;=3))*ROW('CASE MASTER'!$T$2:$T$495))-(ROW('CASE MASTER'!#REF!)-1)))+1)+(3-INDEX('CASE MASTER'!$AB$2:$AB$495,(SUMPRODUCT((('CASE MASTER'!$T$2:$T$495=10)*('CASE MASTER'!$AA$2:$AA$495&lt;=10)*('CASE MASTER'!$AC$2:$AC$495&gt;=10)*('CASE MASTER'!$AB$2:$AB$495&lt;=3)*('CASE MASTER'!$AD$2:$AD$495&gt;=3))*ROW('CASE MASTER'!$T$2:$T$495))-(ROW('CASE MASTER'!#REF!)-1))))+1)))-1)*50+1,50))&amp;"_"&amp;INDEX('CASE MASTER'!$Q$2:$Q$495,(SUMPRODUCT((('CASE MASTER'!$T$2:$T$495=10)*('CASE MASTER'!$AA$2:$AA$495&lt;=10)*('CASE MASTER'!$AC$2:$AC$495&gt;=10)*('CASE MASTER'!$AB$2:$AB$495&lt;=3)*('CASE MASTER'!$AD$2:$AD$495&gt;=3))*ROW('CASE MASTER'!$T$2:$T$495))-(ROW('CASE MASTER'!#REF!)-1))),"")),"")</f>
        <v/>
      </c>
      <c r="E138" s="10" t="str">
        <f>IFERROR(IF(SUMPRODUCT((('CASE MASTER'!$T$2:$T$495=10)*('CASE MASTER'!$U$2:$U$495&lt;=10)*('CASE MASTER'!$W$2:$W$495&gt;=10)*('CASE MASTER'!$V$2:$V$495&lt;=4)*('CASE MASTER'!$X$2:$X$495&gt;=4))*ROW('CASE MASTER'!$T$2:$T$495))&gt;0,INDEX('CASE MASTER'!$Y$2:$Y$495,(SUMPRODUCT((('CASE MASTER'!$T$2:$T$495=10)*('CASE MASTER'!$U$2:$U$495&lt;=10)*('CASE MASTER'!$W$2:$W$495&gt;=10)*('CASE MASTER'!$V$2:$V$495&lt;=4)*('CASE MASTER'!$X$2:$X$495&gt;=4))*ROW('CASE MASTER'!$T$2:$T$495))-(ROW('CASE MASTER'!#REF!)-1)))&amp;TRIM(MID(SUBSTITUTE(SUBSTITUTE(INDEX('CASE MASTER'!$N$2:$N$495,(SUMPRODUCT((('CASE MASTER'!$T$2:$T$495=10)*('CASE MASTER'!$U$2:$U$495&lt;=10)*('CASE MASTER'!$W$2:$W$495&gt;=10)*('CASE MASTER'!$V$2:$V$495&lt;=4)*('CASE MASTER'!$X$2:$X$495&gt;=4))*ROW('CASE MASTER'!$T$2:$T$495))-(ROW('CASE MASTER'!#REF!)-1))),":",","),",",REPT(" ",50)),((((10-INDEX('CASE MASTER'!$U$2:$U$495,(SUMPRODUCT((('CASE MASTER'!$T$2:$T$495=10)*('CASE MASTER'!$U$2:$U$495&lt;=10)*('CASE MASTER'!$W$2:$W$495&gt;=10)*('CASE MASTER'!$V$2:$V$495&lt;=4)*('CASE MASTER'!$X$2:$X$495&gt;=4))*ROW('CASE MASTER'!$T$2:$T$495))-(ROW('CASE MASTER'!#REF!)-1))))*(INDEX('CASE MASTER'!$X$2:$X$495,(SUMPRODUCT((('CASE MASTER'!$T$2:$T$495=10)*('CASE MASTER'!$U$2:$U$495&lt;=10)*('CASE MASTER'!$W$2:$W$495&gt;=10)*('CASE MASTER'!$V$2:$V$495&lt;=4)*('CASE MASTER'!$X$2:$X$495&gt;=4))*ROW('CASE MASTER'!$T$2:$T$495))-(ROW('CASE MASTER'!#REF!)-1)))-INDEX('CASE MASTER'!$V$2:$V$495,(SUMPRODUCT((('CASE MASTER'!$T$2:$T$495=10)*('CASE MASTER'!$U$2:$U$495&lt;=10)*('CASE MASTER'!$W$2:$W$495&gt;=10)*('CASE MASTER'!$V$2:$V$495&lt;=4)*('CASE MASTER'!$X$2:$X$495&gt;=4))*ROW('CASE MASTER'!$T$2:$T$495))-(ROW('CASE MASTER'!#REF!)-1)))+1)+(4-INDEX('CASE MASTER'!$V$2:$V$495,(SUMPRODUCT((('CASE MASTER'!$T$2:$T$495=10)*('CASE MASTER'!$U$2:$U$495&lt;=10)*('CASE MASTER'!$W$2:$W$495&gt;=10)*('CASE MASTER'!$V$2:$V$495&lt;=4)*('CASE MASTER'!$X$2:$X$495&gt;=4))*ROW('CASE MASTER'!$T$2:$T$495))-(ROW('CASE MASTER'!#REF!)-1))))+1))-1)*50+1,50))&amp;"_"&amp;INDEX('CASE MASTER'!$Q$2:$Q$495,(SUMPRODUCT((('CASE MASTER'!$T$2:$T$495=10)*('CASE MASTER'!$U$2:$U$495&lt;=10)*('CASE MASTER'!$W$2:$W$495&gt;=10)*('CASE MASTER'!$V$2:$V$495&lt;=4)*('CASE MASTER'!$X$2:$X$495&gt;=4))*ROW('CASE MASTER'!$T$2:$T$495))-(ROW('CASE MASTER'!#REF!)-1))),IF(SUMPRODUCT((('CASE MASTER'!$T$2:$T$495=10)*('CASE MASTER'!$AA$2:$AA$495&lt;=10)*('CASE MASTER'!$AC$2:$AC$495&gt;=10)*('CASE MASTER'!$AB$2:$AB$495&lt;=4)*('CASE MASTER'!$AD$2:$AD$495&gt;=4))*ROW('CASE MASTER'!$T$2:$T$495))&gt;0,INDEX('CASE MASTER'!$Y$2:$Y$495,(SUMPRODUCT((('CASE MASTER'!$T$2:$T$495=10)*('CASE MASTER'!$AA$2:$AA$495&lt;=10)*('CASE MASTER'!$AC$2:$AC$495&gt;=10)*('CASE MASTER'!$AB$2:$AB$495&lt;=4)*('CASE MASTER'!$AD$2:$AD$495&gt;=4))*ROW('CASE MASTER'!$T$2:$T$495))-(ROW('CASE MASTER'!#REF!)-1)))&amp;TRIM(MID(SUBSTITUTE(SUBSTITUTE(INDEX('CASE MASTER'!$N$2:$N$495,(SUMPRODUCT((('CASE MASTER'!$T$2:$T$495=10)*('CASE MASTER'!$AA$2:$AA$495&lt;=10)*('CASE MASTER'!$AC$2:$AC$495&gt;=10)*('CASE MASTER'!$AB$2:$AB$495&lt;=4)*('CASE MASTER'!$AD$2:$AD$495&gt;=4))*ROW('CASE MASTER'!$T$2:$T$495))-(ROW('CASE MASTER'!#REF!)-1))),":",","),",",REPT(" ",50)),(((INDEX('CASE MASTER'!$Z$2:$Z$495,(SUMPRODUCT((('CASE MASTER'!$T$2:$T$495=10)*('CASE MASTER'!$AA$2:$AA$495&lt;=10)*('CASE MASTER'!$AC$2:$AC$495&gt;=10)*('CASE MASTER'!$AB$2:$AB$495&lt;=4)*('CASE MASTER'!$AD$2:$AD$495&gt;=4))*ROW('CASE MASTER'!$T$2:$T$495))-(ROW('CASE MASTER'!#REF!)-1)))+((10-INDEX('CASE MASTER'!$AA$2:$AA$495,(SUMPRODUCT((('CASE MASTER'!$T$2:$T$495=10)*('CASE MASTER'!$AA$2:$AA$495&lt;=10)*('CASE MASTER'!$AC$2:$AC$495&gt;=10)*('CASE MASTER'!$AB$2:$AB$495&lt;=4)*('CASE MASTER'!$AD$2:$AD$495&gt;=4))*ROW('CASE MASTER'!$T$2:$T$495))-(ROW('CASE MASTER'!#REF!)-1))))*(INDEX('CASE MASTER'!$AD$2:$AD$495,(SUMPRODUCT((('CASE MASTER'!$T$2:$T$495=10)*('CASE MASTER'!$AA$2:$AA$495&lt;=10)*('CASE MASTER'!$AC$2:$AC$495&gt;=10)*('CASE MASTER'!$AB$2:$AB$495&lt;=4)*('CASE MASTER'!$AD$2:$AD$495&gt;=4))*ROW('CASE MASTER'!$T$2:$T$495))-(ROW('CASE MASTER'!#REF!)-1)))-INDEX('CASE MASTER'!$AB$2:$AB$495,(SUMPRODUCT((('CASE MASTER'!$T$2:$T$495=10)*('CASE MASTER'!$AA$2:$AA$495&lt;=10)*('CASE MASTER'!$AC$2:$AC$495&gt;=10)*('CASE MASTER'!$AB$2:$AB$495&lt;=4)*('CASE MASTER'!$AD$2:$AD$495&gt;=4))*ROW('CASE MASTER'!$T$2:$T$495))-(ROW('CASE MASTER'!#REF!)-1)))+1)+(4-INDEX('CASE MASTER'!$AB$2:$AB$495,(SUMPRODUCT((('CASE MASTER'!$T$2:$T$495=10)*('CASE MASTER'!$AA$2:$AA$495&lt;=10)*('CASE MASTER'!$AC$2:$AC$495&gt;=10)*('CASE MASTER'!$AB$2:$AB$495&lt;=4)*('CASE MASTER'!$AD$2:$AD$495&gt;=4))*ROW('CASE MASTER'!$T$2:$T$495))-(ROW('CASE MASTER'!#REF!)-1))))+1)))-1)*50+1,50))&amp;"_"&amp;INDEX('CASE MASTER'!$Q$2:$Q$495,(SUMPRODUCT((('CASE MASTER'!$T$2:$T$495=10)*('CASE MASTER'!$AA$2:$AA$495&lt;=10)*('CASE MASTER'!$AC$2:$AC$495&gt;=10)*('CASE MASTER'!$AB$2:$AB$495&lt;=4)*('CASE MASTER'!$AD$2:$AD$495&gt;=4))*ROW('CASE MASTER'!$T$2:$T$495))-(ROW('CASE MASTER'!#REF!)-1))),"")),"")</f>
        <v/>
      </c>
      <c r="F138" s="10" t="str">
        <f>IFERROR(IF(SUMPRODUCT((('CASE MASTER'!$T$2:$T$495=10)*('CASE MASTER'!$U$2:$U$495&lt;=10)*('CASE MASTER'!$W$2:$W$495&gt;=10)*('CASE MASTER'!$V$2:$V$495&lt;=5)*('CASE MASTER'!$X$2:$X$495&gt;=5))*ROW('CASE MASTER'!$T$2:$T$495))&gt;0,INDEX('CASE MASTER'!$Y$2:$Y$495,(SUMPRODUCT((('CASE MASTER'!$T$2:$T$495=10)*('CASE MASTER'!$U$2:$U$495&lt;=10)*('CASE MASTER'!$W$2:$W$495&gt;=10)*('CASE MASTER'!$V$2:$V$495&lt;=5)*('CASE MASTER'!$X$2:$X$495&gt;=5))*ROW('CASE MASTER'!$T$2:$T$495))-(ROW('CASE MASTER'!#REF!)-1)))&amp;TRIM(MID(SUBSTITUTE(SUBSTITUTE(INDEX('CASE MASTER'!$N$2:$N$495,(SUMPRODUCT((('CASE MASTER'!$T$2:$T$495=10)*('CASE MASTER'!$U$2:$U$495&lt;=10)*('CASE MASTER'!$W$2:$W$495&gt;=10)*('CASE MASTER'!$V$2:$V$495&lt;=5)*('CASE MASTER'!$X$2:$X$495&gt;=5))*ROW('CASE MASTER'!$T$2:$T$495))-(ROW('CASE MASTER'!#REF!)-1))),":",","),",",REPT(" ",50)),((((10-INDEX('CASE MASTER'!$U$2:$U$495,(SUMPRODUCT((('CASE MASTER'!$T$2:$T$495=10)*('CASE MASTER'!$U$2:$U$495&lt;=10)*('CASE MASTER'!$W$2:$W$495&gt;=10)*('CASE MASTER'!$V$2:$V$495&lt;=5)*('CASE MASTER'!$X$2:$X$495&gt;=5))*ROW('CASE MASTER'!$T$2:$T$495))-(ROW('CASE MASTER'!#REF!)-1))))*(INDEX('CASE MASTER'!$X$2:$X$495,(SUMPRODUCT((('CASE MASTER'!$T$2:$T$495=10)*('CASE MASTER'!$U$2:$U$495&lt;=10)*('CASE MASTER'!$W$2:$W$495&gt;=10)*('CASE MASTER'!$V$2:$V$495&lt;=5)*('CASE MASTER'!$X$2:$X$495&gt;=5))*ROW('CASE MASTER'!$T$2:$T$495))-(ROW('CASE MASTER'!#REF!)-1)))-INDEX('CASE MASTER'!$V$2:$V$495,(SUMPRODUCT((('CASE MASTER'!$T$2:$T$495=10)*('CASE MASTER'!$U$2:$U$495&lt;=10)*('CASE MASTER'!$W$2:$W$495&gt;=10)*('CASE MASTER'!$V$2:$V$495&lt;=5)*('CASE MASTER'!$X$2:$X$495&gt;=5))*ROW('CASE MASTER'!$T$2:$T$495))-(ROW('CASE MASTER'!#REF!)-1)))+1)+(5-INDEX('CASE MASTER'!$V$2:$V$495,(SUMPRODUCT((('CASE MASTER'!$T$2:$T$495=10)*('CASE MASTER'!$U$2:$U$495&lt;=10)*('CASE MASTER'!$W$2:$W$495&gt;=10)*('CASE MASTER'!$V$2:$V$495&lt;=5)*('CASE MASTER'!$X$2:$X$495&gt;=5))*ROW('CASE MASTER'!$T$2:$T$495))-(ROW('CASE MASTER'!#REF!)-1))))+1))-1)*50+1,50))&amp;"_"&amp;INDEX('CASE MASTER'!$Q$2:$Q$495,(SUMPRODUCT((('CASE MASTER'!$T$2:$T$495=10)*('CASE MASTER'!$U$2:$U$495&lt;=10)*('CASE MASTER'!$W$2:$W$495&gt;=10)*('CASE MASTER'!$V$2:$V$495&lt;=5)*('CASE MASTER'!$X$2:$X$495&gt;=5))*ROW('CASE MASTER'!$T$2:$T$495))-(ROW('CASE MASTER'!#REF!)-1))),IF(SUMPRODUCT((('CASE MASTER'!$T$2:$T$495=10)*('CASE MASTER'!$AA$2:$AA$495&lt;=10)*('CASE MASTER'!$AC$2:$AC$495&gt;=10)*('CASE MASTER'!$AB$2:$AB$495&lt;=5)*('CASE MASTER'!$AD$2:$AD$495&gt;=5))*ROW('CASE MASTER'!$T$2:$T$495))&gt;0,INDEX('CASE MASTER'!$Y$2:$Y$495,(SUMPRODUCT((('CASE MASTER'!$T$2:$T$495=10)*('CASE MASTER'!$AA$2:$AA$495&lt;=10)*('CASE MASTER'!$AC$2:$AC$495&gt;=10)*('CASE MASTER'!$AB$2:$AB$495&lt;=5)*('CASE MASTER'!$AD$2:$AD$495&gt;=5))*ROW('CASE MASTER'!$T$2:$T$495))-(ROW('CASE MASTER'!#REF!)-1)))&amp;TRIM(MID(SUBSTITUTE(SUBSTITUTE(INDEX('CASE MASTER'!$N$2:$N$495,(SUMPRODUCT((('CASE MASTER'!$T$2:$T$495=10)*('CASE MASTER'!$AA$2:$AA$495&lt;=10)*('CASE MASTER'!$AC$2:$AC$495&gt;=10)*('CASE MASTER'!$AB$2:$AB$495&lt;=5)*('CASE MASTER'!$AD$2:$AD$495&gt;=5))*ROW('CASE MASTER'!$T$2:$T$495))-(ROW('CASE MASTER'!#REF!)-1))),":",","),",",REPT(" ",50)),(((INDEX('CASE MASTER'!$Z$2:$Z$495,(SUMPRODUCT((('CASE MASTER'!$T$2:$T$495=10)*('CASE MASTER'!$AA$2:$AA$495&lt;=10)*('CASE MASTER'!$AC$2:$AC$495&gt;=10)*('CASE MASTER'!$AB$2:$AB$495&lt;=5)*('CASE MASTER'!$AD$2:$AD$495&gt;=5))*ROW('CASE MASTER'!$T$2:$T$495))-(ROW('CASE MASTER'!#REF!)-1)))+((10-INDEX('CASE MASTER'!$AA$2:$AA$495,(SUMPRODUCT((('CASE MASTER'!$T$2:$T$495=10)*('CASE MASTER'!$AA$2:$AA$495&lt;=10)*('CASE MASTER'!$AC$2:$AC$495&gt;=10)*('CASE MASTER'!$AB$2:$AB$495&lt;=5)*('CASE MASTER'!$AD$2:$AD$495&gt;=5))*ROW('CASE MASTER'!$T$2:$T$495))-(ROW('CASE MASTER'!#REF!)-1))))*(INDEX('CASE MASTER'!$AD$2:$AD$495,(SUMPRODUCT((('CASE MASTER'!$T$2:$T$495=10)*('CASE MASTER'!$AA$2:$AA$495&lt;=10)*('CASE MASTER'!$AC$2:$AC$495&gt;=10)*('CASE MASTER'!$AB$2:$AB$495&lt;=5)*('CASE MASTER'!$AD$2:$AD$495&gt;=5))*ROW('CASE MASTER'!$T$2:$T$495))-(ROW('CASE MASTER'!#REF!)-1)))-INDEX('CASE MASTER'!$AB$2:$AB$495,(SUMPRODUCT((('CASE MASTER'!$T$2:$T$495=10)*('CASE MASTER'!$AA$2:$AA$495&lt;=10)*('CASE MASTER'!$AC$2:$AC$495&gt;=10)*('CASE MASTER'!$AB$2:$AB$495&lt;=5)*('CASE MASTER'!$AD$2:$AD$495&gt;=5))*ROW('CASE MASTER'!$T$2:$T$495))-(ROW('CASE MASTER'!#REF!)-1)))+1)+(5-INDEX('CASE MASTER'!$AB$2:$AB$495,(SUMPRODUCT((('CASE MASTER'!$T$2:$T$495=10)*('CASE MASTER'!$AA$2:$AA$495&lt;=10)*('CASE MASTER'!$AC$2:$AC$495&gt;=10)*('CASE MASTER'!$AB$2:$AB$495&lt;=5)*('CASE MASTER'!$AD$2:$AD$495&gt;=5))*ROW('CASE MASTER'!$T$2:$T$495))-(ROW('CASE MASTER'!#REF!)-1))))+1)))-1)*50+1,50))&amp;"_"&amp;INDEX('CASE MASTER'!$Q$2:$Q$495,(SUMPRODUCT((('CASE MASTER'!$T$2:$T$495=10)*('CASE MASTER'!$AA$2:$AA$495&lt;=10)*('CASE MASTER'!$AC$2:$AC$495&gt;=10)*('CASE MASTER'!$AB$2:$AB$495&lt;=5)*('CASE MASTER'!$AD$2:$AD$495&gt;=5))*ROW('CASE MASTER'!$T$2:$T$495))-(ROW('CASE MASTER'!#REF!)-1))),"")),"")</f>
        <v/>
      </c>
      <c r="G138" s="10" t="str">
        <f>IFERROR(IF(SUMPRODUCT((('CASE MASTER'!$T$2:$T$495=10)*('CASE MASTER'!$U$2:$U$495&lt;=10)*('CASE MASTER'!$W$2:$W$495&gt;=10)*('CASE MASTER'!$V$2:$V$495&lt;=6)*('CASE MASTER'!$X$2:$X$495&gt;=6))*ROW('CASE MASTER'!$T$2:$T$495))&gt;0,INDEX('CASE MASTER'!$Y$2:$Y$495,(SUMPRODUCT((('CASE MASTER'!$T$2:$T$495=10)*('CASE MASTER'!$U$2:$U$495&lt;=10)*('CASE MASTER'!$W$2:$W$495&gt;=10)*('CASE MASTER'!$V$2:$V$495&lt;=6)*('CASE MASTER'!$X$2:$X$495&gt;=6))*ROW('CASE MASTER'!$T$2:$T$495))-(ROW('CASE MASTER'!#REF!)-1)))&amp;TRIM(MID(SUBSTITUTE(SUBSTITUTE(INDEX('CASE MASTER'!$N$2:$N$495,(SUMPRODUCT((('CASE MASTER'!$T$2:$T$495=10)*('CASE MASTER'!$U$2:$U$495&lt;=10)*('CASE MASTER'!$W$2:$W$495&gt;=10)*('CASE MASTER'!$V$2:$V$495&lt;=6)*('CASE MASTER'!$X$2:$X$495&gt;=6))*ROW('CASE MASTER'!$T$2:$T$495))-(ROW('CASE MASTER'!#REF!)-1))),":",","),",",REPT(" ",50)),((((10-INDEX('CASE MASTER'!$U$2:$U$495,(SUMPRODUCT((('CASE MASTER'!$T$2:$T$495=10)*('CASE MASTER'!$U$2:$U$495&lt;=10)*('CASE MASTER'!$W$2:$W$495&gt;=10)*('CASE MASTER'!$V$2:$V$495&lt;=6)*('CASE MASTER'!$X$2:$X$495&gt;=6))*ROW('CASE MASTER'!$T$2:$T$495))-(ROW('CASE MASTER'!#REF!)-1))))*(INDEX('CASE MASTER'!$X$2:$X$495,(SUMPRODUCT((('CASE MASTER'!$T$2:$T$495=10)*('CASE MASTER'!$U$2:$U$495&lt;=10)*('CASE MASTER'!$W$2:$W$495&gt;=10)*('CASE MASTER'!$V$2:$V$495&lt;=6)*('CASE MASTER'!$X$2:$X$495&gt;=6))*ROW('CASE MASTER'!$T$2:$T$495))-(ROW('CASE MASTER'!#REF!)-1)))-INDEX('CASE MASTER'!$V$2:$V$495,(SUMPRODUCT((('CASE MASTER'!$T$2:$T$495=10)*('CASE MASTER'!$U$2:$U$495&lt;=10)*('CASE MASTER'!$W$2:$W$495&gt;=10)*('CASE MASTER'!$V$2:$V$495&lt;=6)*('CASE MASTER'!$X$2:$X$495&gt;=6))*ROW('CASE MASTER'!$T$2:$T$495))-(ROW('CASE MASTER'!#REF!)-1)))+1)+(6-INDEX('CASE MASTER'!$V$2:$V$495,(SUMPRODUCT((('CASE MASTER'!$T$2:$T$495=10)*('CASE MASTER'!$U$2:$U$495&lt;=10)*('CASE MASTER'!$W$2:$W$495&gt;=10)*('CASE MASTER'!$V$2:$V$495&lt;=6)*('CASE MASTER'!$X$2:$X$495&gt;=6))*ROW('CASE MASTER'!$T$2:$T$495))-(ROW('CASE MASTER'!#REF!)-1))))+1))-1)*50+1,50))&amp;"_"&amp;INDEX('CASE MASTER'!$Q$2:$Q$495,(SUMPRODUCT((('CASE MASTER'!$T$2:$T$495=10)*('CASE MASTER'!$U$2:$U$495&lt;=10)*('CASE MASTER'!$W$2:$W$495&gt;=10)*('CASE MASTER'!$V$2:$V$495&lt;=6)*('CASE MASTER'!$X$2:$X$495&gt;=6))*ROW('CASE MASTER'!$T$2:$T$495))-(ROW('CASE MASTER'!#REF!)-1))),IF(SUMPRODUCT((('CASE MASTER'!$T$2:$T$495=10)*('CASE MASTER'!$AA$2:$AA$495&lt;=10)*('CASE MASTER'!$AC$2:$AC$495&gt;=10)*('CASE MASTER'!$AB$2:$AB$495&lt;=6)*('CASE MASTER'!$AD$2:$AD$495&gt;=6))*ROW('CASE MASTER'!$T$2:$T$495))&gt;0,INDEX('CASE MASTER'!$Y$2:$Y$495,(SUMPRODUCT((('CASE MASTER'!$T$2:$T$495=10)*('CASE MASTER'!$AA$2:$AA$495&lt;=10)*('CASE MASTER'!$AC$2:$AC$495&gt;=10)*('CASE MASTER'!$AB$2:$AB$495&lt;=6)*('CASE MASTER'!$AD$2:$AD$495&gt;=6))*ROW('CASE MASTER'!$T$2:$T$495))-(ROW('CASE MASTER'!#REF!)-1)))&amp;TRIM(MID(SUBSTITUTE(SUBSTITUTE(INDEX('CASE MASTER'!$N$2:$N$495,(SUMPRODUCT((('CASE MASTER'!$T$2:$T$495=10)*('CASE MASTER'!$AA$2:$AA$495&lt;=10)*('CASE MASTER'!$AC$2:$AC$495&gt;=10)*('CASE MASTER'!$AB$2:$AB$495&lt;=6)*('CASE MASTER'!$AD$2:$AD$495&gt;=6))*ROW('CASE MASTER'!$T$2:$T$495))-(ROW('CASE MASTER'!#REF!)-1))),":",","),",",REPT(" ",50)),(((INDEX('CASE MASTER'!$Z$2:$Z$495,(SUMPRODUCT((('CASE MASTER'!$T$2:$T$495=10)*('CASE MASTER'!$AA$2:$AA$495&lt;=10)*('CASE MASTER'!$AC$2:$AC$495&gt;=10)*('CASE MASTER'!$AB$2:$AB$495&lt;=6)*('CASE MASTER'!$AD$2:$AD$495&gt;=6))*ROW('CASE MASTER'!$T$2:$T$495))-(ROW('CASE MASTER'!#REF!)-1)))+((10-INDEX('CASE MASTER'!$AA$2:$AA$495,(SUMPRODUCT((('CASE MASTER'!$T$2:$T$495=10)*('CASE MASTER'!$AA$2:$AA$495&lt;=10)*('CASE MASTER'!$AC$2:$AC$495&gt;=10)*('CASE MASTER'!$AB$2:$AB$495&lt;=6)*('CASE MASTER'!$AD$2:$AD$495&gt;=6))*ROW('CASE MASTER'!$T$2:$T$495))-(ROW('CASE MASTER'!#REF!)-1))))*(INDEX('CASE MASTER'!$AD$2:$AD$495,(SUMPRODUCT((('CASE MASTER'!$T$2:$T$495=10)*('CASE MASTER'!$AA$2:$AA$495&lt;=10)*('CASE MASTER'!$AC$2:$AC$495&gt;=10)*('CASE MASTER'!$AB$2:$AB$495&lt;=6)*('CASE MASTER'!$AD$2:$AD$495&gt;=6))*ROW('CASE MASTER'!$T$2:$T$495))-(ROW('CASE MASTER'!#REF!)-1)))-INDEX('CASE MASTER'!$AB$2:$AB$495,(SUMPRODUCT((('CASE MASTER'!$T$2:$T$495=10)*('CASE MASTER'!$AA$2:$AA$495&lt;=10)*('CASE MASTER'!$AC$2:$AC$495&gt;=10)*('CASE MASTER'!$AB$2:$AB$495&lt;=6)*('CASE MASTER'!$AD$2:$AD$495&gt;=6))*ROW('CASE MASTER'!$T$2:$T$495))-(ROW('CASE MASTER'!#REF!)-1)))+1)+(6-INDEX('CASE MASTER'!$AB$2:$AB$495,(SUMPRODUCT((('CASE MASTER'!$T$2:$T$495=10)*('CASE MASTER'!$AA$2:$AA$495&lt;=10)*('CASE MASTER'!$AC$2:$AC$495&gt;=10)*('CASE MASTER'!$AB$2:$AB$495&lt;=6)*('CASE MASTER'!$AD$2:$AD$495&gt;=6))*ROW('CASE MASTER'!$T$2:$T$495))-(ROW('CASE MASTER'!#REF!)-1))))+1)))-1)*50+1,50))&amp;"_"&amp;INDEX('CASE MASTER'!$Q$2:$Q$495,(SUMPRODUCT((('CASE MASTER'!$T$2:$T$495=10)*('CASE MASTER'!$AA$2:$AA$495&lt;=10)*('CASE MASTER'!$AC$2:$AC$495&gt;=10)*('CASE MASTER'!$AB$2:$AB$495&lt;=6)*('CASE MASTER'!$AD$2:$AD$495&gt;=6))*ROW('CASE MASTER'!$T$2:$T$495))-(ROW('CASE MASTER'!#REF!)-1))),"")),"")</f>
        <v/>
      </c>
      <c r="H138" s="10" t="str">
        <f>IFERROR(IF(SUMPRODUCT((('CASE MASTER'!$T$2:$T$495=10)*('CASE MASTER'!$U$2:$U$495&lt;=10)*('CASE MASTER'!$W$2:$W$495&gt;=10)*('CASE MASTER'!$V$2:$V$495&lt;=7)*('CASE MASTER'!$X$2:$X$495&gt;=7))*ROW('CASE MASTER'!$T$2:$T$495))&gt;0,INDEX('CASE MASTER'!$Y$2:$Y$495,(SUMPRODUCT((('CASE MASTER'!$T$2:$T$495=10)*('CASE MASTER'!$U$2:$U$495&lt;=10)*('CASE MASTER'!$W$2:$W$495&gt;=10)*('CASE MASTER'!$V$2:$V$495&lt;=7)*('CASE MASTER'!$X$2:$X$495&gt;=7))*ROW('CASE MASTER'!$T$2:$T$495))-(ROW('CASE MASTER'!#REF!)-1)))&amp;TRIM(MID(SUBSTITUTE(SUBSTITUTE(INDEX('CASE MASTER'!$N$2:$N$495,(SUMPRODUCT((('CASE MASTER'!$T$2:$T$495=10)*('CASE MASTER'!$U$2:$U$495&lt;=10)*('CASE MASTER'!$W$2:$W$495&gt;=10)*('CASE MASTER'!$V$2:$V$495&lt;=7)*('CASE MASTER'!$X$2:$X$495&gt;=7))*ROW('CASE MASTER'!$T$2:$T$495))-(ROW('CASE MASTER'!#REF!)-1))),":",","),",",REPT(" ",50)),((((10-INDEX('CASE MASTER'!$U$2:$U$495,(SUMPRODUCT((('CASE MASTER'!$T$2:$T$495=10)*('CASE MASTER'!$U$2:$U$495&lt;=10)*('CASE MASTER'!$W$2:$W$495&gt;=10)*('CASE MASTER'!$V$2:$V$495&lt;=7)*('CASE MASTER'!$X$2:$X$495&gt;=7))*ROW('CASE MASTER'!$T$2:$T$495))-(ROW('CASE MASTER'!#REF!)-1))))*(INDEX('CASE MASTER'!$X$2:$X$495,(SUMPRODUCT((('CASE MASTER'!$T$2:$T$495=10)*('CASE MASTER'!$U$2:$U$495&lt;=10)*('CASE MASTER'!$W$2:$W$495&gt;=10)*('CASE MASTER'!$V$2:$V$495&lt;=7)*('CASE MASTER'!$X$2:$X$495&gt;=7))*ROW('CASE MASTER'!$T$2:$T$495))-(ROW('CASE MASTER'!#REF!)-1)))-INDEX('CASE MASTER'!$V$2:$V$495,(SUMPRODUCT((('CASE MASTER'!$T$2:$T$495=10)*('CASE MASTER'!$U$2:$U$495&lt;=10)*('CASE MASTER'!$W$2:$W$495&gt;=10)*('CASE MASTER'!$V$2:$V$495&lt;=7)*('CASE MASTER'!$X$2:$X$495&gt;=7))*ROW('CASE MASTER'!$T$2:$T$495))-(ROW('CASE MASTER'!#REF!)-1)))+1)+(7-INDEX('CASE MASTER'!$V$2:$V$495,(SUMPRODUCT((('CASE MASTER'!$T$2:$T$495=10)*('CASE MASTER'!$U$2:$U$495&lt;=10)*('CASE MASTER'!$W$2:$W$495&gt;=10)*('CASE MASTER'!$V$2:$V$495&lt;=7)*('CASE MASTER'!$X$2:$X$495&gt;=7))*ROW('CASE MASTER'!$T$2:$T$495))-(ROW('CASE MASTER'!#REF!)-1))))+1))-1)*50+1,50))&amp;"_"&amp;INDEX('CASE MASTER'!$Q$2:$Q$495,(SUMPRODUCT((('CASE MASTER'!$T$2:$T$495=10)*('CASE MASTER'!$U$2:$U$495&lt;=10)*('CASE MASTER'!$W$2:$W$495&gt;=10)*('CASE MASTER'!$V$2:$V$495&lt;=7)*('CASE MASTER'!$X$2:$X$495&gt;=7))*ROW('CASE MASTER'!$T$2:$T$495))-(ROW('CASE MASTER'!#REF!)-1))),IF(SUMPRODUCT((('CASE MASTER'!$T$2:$T$495=10)*('CASE MASTER'!$AA$2:$AA$495&lt;=10)*('CASE MASTER'!$AC$2:$AC$495&gt;=10)*('CASE MASTER'!$AB$2:$AB$495&lt;=7)*('CASE MASTER'!$AD$2:$AD$495&gt;=7))*ROW('CASE MASTER'!$T$2:$T$495))&gt;0,INDEX('CASE MASTER'!$Y$2:$Y$495,(SUMPRODUCT((('CASE MASTER'!$T$2:$T$495=10)*('CASE MASTER'!$AA$2:$AA$495&lt;=10)*('CASE MASTER'!$AC$2:$AC$495&gt;=10)*('CASE MASTER'!$AB$2:$AB$495&lt;=7)*('CASE MASTER'!$AD$2:$AD$495&gt;=7))*ROW('CASE MASTER'!$T$2:$T$495))-(ROW('CASE MASTER'!#REF!)-1)))&amp;TRIM(MID(SUBSTITUTE(SUBSTITUTE(INDEX('CASE MASTER'!$N$2:$N$495,(SUMPRODUCT((('CASE MASTER'!$T$2:$T$495=10)*('CASE MASTER'!$AA$2:$AA$495&lt;=10)*('CASE MASTER'!$AC$2:$AC$495&gt;=10)*('CASE MASTER'!$AB$2:$AB$495&lt;=7)*('CASE MASTER'!$AD$2:$AD$495&gt;=7))*ROW('CASE MASTER'!$T$2:$T$495))-(ROW('CASE MASTER'!#REF!)-1))),":",","),",",REPT(" ",50)),(((INDEX('CASE MASTER'!$Z$2:$Z$495,(SUMPRODUCT((('CASE MASTER'!$T$2:$T$495=10)*('CASE MASTER'!$AA$2:$AA$495&lt;=10)*('CASE MASTER'!$AC$2:$AC$495&gt;=10)*('CASE MASTER'!$AB$2:$AB$495&lt;=7)*('CASE MASTER'!$AD$2:$AD$495&gt;=7))*ROW('CASE MASTER'!$T$2:$T$495))-(ROW('CASE MASTER'!#REF!)-1)))+((10-INDEX('CASE MASTER'!$AA$2:$AA$495,(SUMPRODUCT((('CASE MASTER'!$T$2:$T$495=10)*('CASE MASTER'!$AA$2:$AA$495&lt;=10)*('CASE MASTER'!$AC$2:$AC$495&gt;=10)*('CASE MASTER'!$AB$2:$AB$495&lt;=7)*('CASE MASTER'!$AD$2:$AD$495&gt;=7))*ROW('CASE MASTER'!$T$2:$T$495))-(ROW('CASE MASTER'!#REF!)-1))))*(INDEX('CASE MASTER'!$AD$2:$AD$495,(SUMPRODUCT((('CASE MASTER'!$T$2:$T$495=10)*('CASE MASTER'!$AA$2:$AA$495&lt;=10)*('CASE MASTER'!$AC$2:$AC$495&gt;=10)*('CASE MASTER'!$AB$2:$AB$495&lt;=7)*('CASE MASTER'!$AD$2:$AD$495&gt;=7))*ROW('CASE MASTER'!$T$2:$T$495))-(ROW('CASE MASTER'!#REF!)-1)))-INDEX('CASE MASTER'!$AB$2:$AB$495,(SUMPRODUCT((('CASE MASTER'!$T$2:$T$495=10)*('CASE MASTER'!$AA$2:$AA$495&lt;=10)*('CASE MASTER'!$AC$2:$AC$495&gt;=10)*('CASE MASTER'!$AB$2:$AB$495&lt;=7)*('CASE MASTER'!$AD$2:$AD$495&gt;=7))*ROW('CASE MASTER'!$T$2:$T$495))-(ROW('CASE MASTER'!#REF!)-1)))+1)+(7-INDEX('CASE MASTER'!$AB$2:$AB$495,(SUMPRODUCT((('CASE MASTER'!$T$2:$T$495=10)*('CASE MASTER'!$AA$2:$AA$495&lt;=10)*('CASE MASTER'!$AC$2:$AC$495&gt;=10)*('CASE MASTER'!$AB$2:$AB$495&lt;=7)*('CASE MASTER'!$AD$2:$AD$495&gt;=7))*ROW('CASE MASTER'!$T$2:$T$495))-(ROW('CASE MASTER'!#REF!)-1))))+1)))-1)*50+1,50))&amp;"_"&amp;INDEX('CASE MASTER'!$Q$2:$Q$495,(SUMPRODUCT((('CASE MASTER'!$T$2:$T$495=10)*('CASE MASTER'!$AA$2:$AA$495&lt;=10)*('CASE MASTER'!$AC$2:$AC$495&gt;=10)*('CASE MASTER'!$AB$2:$AB$495&lt;=7)*('CASE MASTER'!$AD$2:$AD$495&gt;=7))*ROW('CASE MASTER'!$T$2:$T$495))-(ROW('CASE MASTER'!#REF!)-1))),"")),"")</f>
        <v/>
      </c>
      <c r="I138" s="10" t="str">
        <f>IFERROR(IF(SUMPRODUCT((('CASE MASTER'!$T$2:$T$495=10)*('CASE MASTER'!$U$2:$U$495&lt;=10)*('CASE MASTER'!$W$2:$W$495&gt;=10)*('CASE MASTER'!$V$2:$V$495&lt;=8)*('CASE MASTER'!$X$2:$X$495&gt;=8))*ROW('CASE MASTER'!$T$2:$T$495))&gt;0,INDEX('CASE MASTER'!$Y$2:$Y$495,(SUMPRODUCT((('CASE MASTER'!$T$2:$T$495=10)*('CASE MASTER'!$U$2:$U$495&lt;=10)*('CASE MASTER'!$W$2:$W$495&gt;=10)*('CASE MASTER'!$V$2:$V$495&lt;=8)*('CASE MASTER'!$X$2:$X$495&gt;=8))*ROW('CASE MASTER'!$T$2:$T$495))-(ROW('CASE MASTER'!#REF!)-1)))&amp;TRIM(MID(SUBSTITUTE(SUBSTITUTE(INDEX('CASE MASTER'!$N$2:$N$495,(SUMPRODUCT((('CASE MASTER'!$T$2:$T$495=10)*('CASE MASTER'!$U$2:$U$495&lt;=10)*('CASE MASTER'!$W$2:$W$495&gt;=10)*('CASE MASTER'!$V$2:$V$495&lt;=8)*('CASE MASTER'!$X$2:$X$495&gt;=8))*ROW('CASE MASTER'!$T$2:$T$495))-(ROW('CASE MASTER'!#REF!)-1))),":",","),",",REPT(" ",50)),((((10-INDEX('CASE MASTER'!$U$2:$U$495,(SUMPRODUCT((('CASE MASTER'!$T$2:$T$495=10)*('CASE MASTER'!$U$2:$U$495&lt;=10)*('CASE MASTER'!$W$2:$W$495&gt;=10)*('CASE MASTER'!$V$2:$V$495&lt;=8)*('CASE MASTER'!$X$2:$X$495&gt;=8))*ROW('CASE MASTER'!$T$2:$T$495))-(ROW('CASE MASTER'!#REF!)-1))))*(INDEX('CASE MASTER'!$X$2:$X$495,(SUMPRODUCT((('CASE MASTER'!$T$2:$T$495=10)*('CASE MASTER'!$U$2:$U$495&lt;=10)*('CASE MASTER'!$W$2:$W$495&gt;=10)*('CASE MASTER'!$V$2:$V$495&lt;=8)*('CASE MASTER'!$X$2:$X$495&gt;=8))*ROW('CASE MASTER'!$T$2:$T$495))-(ROW('CASE MASTER'!#REF!)-1)))-INDEX('CASE MASTER'!$V$2:$V$495,(SUMPRODUCT((('CASE MASTER'!$T$2:$T$495=10)*('CASE MASTER'!$U$2:$U$495&lt;=10)*('CASE MASTER'!$W$2:$W$495&gt;=10)*('CASE MASTER'!$V$2:$V$495&lt;=8)*('CASE MASTER'!$X$2:$X$495&gt;=8))*ROW('CASE MASTER'!$T$2:$T$495))-(ROW('CASE MASTER'!#REF!)-1)))+1)+(8-INDEX('CASE MASTER'!$V$2:$V$495,(SUMPRODUCT((('CASE MASTER'!$T$2:$T$495=10)*('CASE MASTER'!$U$2:$U$495&lt;=10)*('CASE MASTER'!$W$2:$W$495&gt;=10)*('CASE MASTER'!$V$2:$V$495&lt;=8)*('CASE MASTER'!$X$2:$X$495&gt;=8))*ROW('CASE MASTER'!$T$2:$T$495))-(ROW('CASE MASTER'!#REF!)-1))))+1))-1)*50+1,50))&amp;"_"&amp;INDEX('CASE MASTER'!$Q$2:$Q$495,(SUMPRODUCT((('CASE MASTER'!$T$2:$T$495=10)*('CASE MASTER'!$U$2:$U$495&lt;=10)*('CASE MASTER'!$W$2:$W$495&gt;=10)*('CASE MASTER'!$V$2:$V$495&lt;=8)*('CASE MASTER'!$X$2:$X$495&gt;=8))*ROW('CASE MASTER'!$T$2:$T$495))-(ROW('CASE MASTER'!#REF!)-1))),IF(SUMPRODUCT((('CASE MASTER'!$T$2:$T$495=10)*('CASE MASTER'!$AA$2:$AA$495&lt;=10)*('CASE MASTER'!$AC$2:$AC$495&gt;=10)*('CASE MASTER'!$AB$2:$AB$495&lt;=8)*('CASE MASTER'!$AD$2:$AD$495&gt;=8))*ROW('CASE MASTER'!$T$2:$T$495))&gt;0,INDEX('CASE MASTER'!$Y$2:$Y$495,(SUMPRODUCT((('CASE MASTER'!$T$2:$T$495=10)*('CASE MASTER'!$AA$2:$AA$495&lt;=10)*('CASE MASTER'!$AC$2:$AC$495&gt;=10)*('CASE MASTER'!$AB$2:$AB$495&lt;=8)*('CASE MASTER'!$AD$2:$AD$495&gt;=8))*ROW('CASE MASTER'!$T$2:$T$495))-(ROW('CASE MASTER'!#REF!)-1)))&amp;TRIM(MID(SUBSTITUTE(SUBSTITUTE(INDEX('CASE MASTER'!$N$2:$N$495,(SUMPRODUCT((('CASE MASTER'!$T$2:$T$495=10)*('CASE MASTER'!$AA$2:$AA$495&lt;=10)*('CASE MASTER'!$AC$2:$AC$495&gt;=10)*('CASE MASTER'!$AB$2:$AB$495&lt;=8)*('CASE MASTER'!$AD$2:$AD$495&gt;=8))*ROW('CASE MASTER'!$T$2:$T$495))-(ROW('CASE MASTER'!#REF!)-1))),":",","),",",REPT(" ",50)),(((INDEX('CASE MASTER'!$Z$2:$Z$495,(SUMPRODUCT((('CASE MASTER'!$T$2:$T$495=10)*('CASE MASTER'!$AA$2:$AA$495&lt;=10)*('CASE MASTER'!$AC$2:$AC$495&gt;=10)*('CASE MASTER'!$AB$2:$AB$495&lt;=8)*('CASE MASTER'!$AD$2:$AD$495&gt;=8))*ROW('CASE MASTER'!$T$2:$T$495))-(ROW('CASE MASTER'!#REF!)-1)))+((10-INDEX('CASE MASTER'!$AA$2:$AA$495,(SUMPRODUCT((('CASE MASTER'!$T$2:$T$495=10)*('CASE MASTER'!$AA$2:$AA$495&lt;=10)*('CASE MASTER'!$AC$2:$AC$495&gt;=10)*('CASE MASTER'!$AB$2:$AB$495&lt;=8)*('CASE MASTER'!$AD$2:$AD$495&gt;=8))*ROW('CASE MASTER'!$T$2:$T$495))-(ROW('CASE MASTER'!#REF!)-1))))*(INDEX('CASE MASTER'!$AD$2:$AD$495,(SUMPRODUCT((('CASE MASTER'!$T$2:$T$495=10)*('CASE MASTER'!$AA$2:$AA$495&lt;=10)*('CASE MASTER'!$AC$2:$AC$495&gt;=10)*('CASE MASTER'!$AB$2:$AB$495&lt;=8)*('CASE MASTER'!$AD$2:$AD$495&gt;=8))*ROW('CASE MASTER'!$T$2:$T$495))-(ROW('CASE MASTER'!#REF!)-1)))-INDEX('CASE MASTER'!$AB$2:$AB$495,(SUMPRODUCT((('CASE MASTER'!$T$2:$T$495=10)*('CASE MASTER'!$AA$2:$AA$495&lt;=10)*('CASE MASTER'!$AC$2:$AC$495&gt;=10)*('CASE MASTER'!$AB$2:$AB$495&lt;=8)*('CASE MASTER'!$AD$2:$AD$495&gt;=8))*ROW('CASE MASTER'!$T$2:$T$495))-(ROW('CASE MASTER'!#REF!)-1)))+1)+(8-INDEX('CASE MASTER'!$AB$2:$AB$495,(SUMPRODUCT((('CASE MASTER'!$T$2:$T$495=10)*('CASE MASTER'!$AA$2:$AA$495&lt;=10)*('CASE MASTER'!$AC$2:$AC$495&gt;=10)*('CASE MASTER'!$AB$2:$AB$495&lt;=8)*('CASE MASTER'!$AD$2:$AD$495&gt;=8))*ROW('CASE MASTER'!$T$2:$T$495))-(ROW('CASE MASTER'!#REF!)-1))))+1)))-1)*50+1,50))&amp;"_"&amp;INDEX('CASE MASTER'!$Q$2:$Q$495,(SUMPRODUCT((('CASE MASTER'!$T$2:$T$495=10)*('CASE MASTER'!$AA$2:$AA$495&lt;=10)*('CASE MASTER'!$AC$2:$AC$495&gt;=10)*('CASE MASTER'!$AB$2:$AB$495&lt;=8)*('CASE MASTER'!$AD$2:$AD$495&gt;=8))*ROW('CASE MASTER'!$T$2:$T$495))-(ROW('CASE MASTER'!#REF!)-1))),"")),"")</f>
        <v/>
      </c>
      <c r="J138" s="10" t="str">
        <f>IFERROR(IF(SUMPRODUCT((('CASE MASTER'!$T$2:$T$495=10)*('CASE MASTER'!$U$2:$U$495&lt;=10)*('CASE MASTER'!$W$2:$W$495&gt;=10)*('CASE MASTER'!$V$2:$V$495&lt;=9)*('CASE MASTER'!$X$2:$X$495&gt;=9))*ROW('CASE MASTER'!$T$2:$T$495))&gt;0,INDEX('CASE MASTER'!$Y$2:$Y$495,(SUMPRODUCT((('CASE MASTER'!$T$2:$T$495=10)*('CASE MASTER'!$U$2:$U$495&lt;=10)*('CASE MASTER'!$W$2:$W$495&gt;=10)*('CASE MASTER'!$V$2:$V$495&lt;=9)*('CASE MASTER'!$X$2:$X$495&gt;=9))*ROW('CASE MASTER'!$T$2:$T$495))-(ROW('CASE MASTER'!#REF!)-1)))&amp;TRIM(MID(SUBSTITUTE(SUBSTITUTE(INDEX('CASE MASTER'!$N$2:$N$495,(SUMPRODUCT((('CASE MASTER'!$T$2:$T$495=10)*('CASE MASTER'!$U$2:$U$495&lt;=10)*('CASE MASTER'!$W$2:$W$495&gt;=10)*('CASE MASTER'!$V$2:$V$495&lt;=9)*('CASE MASTER'!$X$2:$X$495&gt;=9))*ROW('CASE MASTER'!$T$2:$T$495))-(ROW('CASE MASTER'!#REF!)-1))),":",","),",",REPT(" ",50)),((((10-INDEX('CASE MASTER'!$U$2:$U$495,(SUMPRODUCT((('CASE MASTER'!$T$2:$T$495=10)*('CASE MASTER'!$U$2:$U$495&lt;=10)*('CASE MASTER'!$W$2:$W$495&gt;=10)*('CASE MASTER'!$V$2:$V$495&lt;=9)*('CASE MASTER'!$X$2:$X$495&gt;=9))*ROW('CASE MASTER'!$T$2:$T$495))-(ROW('CASE MASTER'!#REF!)-1))))*(INDEX('CASE MASTER'!$X$2:$X$495,(SUMPRODUCT((('CASE MASTER'!$T$2:$T$495=10)*('CASE MASTER'!$U$2:$U$495&lt;=10)*('CASE MASTER'!$W$2:$W$495&gt;=10)*('CASE MASTER'!$V$2:$V$495&lt;=9)*('CASE MASTER'!$X$2:$X$495&gt;=9))*ROW('CASE MASTER'!$T$2:$T$495))-(ROW('CASE MASTER'!#REF!)-1)))-INDEX('CASE MASTER'!$V$2:$V$495,(SUMPRODUCT((('CASE MASTER'!$T$2:$T$495=10)*('CASE MASTER'!$U$2:$U$495&lt;=10)*('CASE MASTER'!$W$2:$W$495&gt;=10)*('CASE MASTER'!$V$2:$V$495&lt;=9)*('CASE MASTER'!$X$2:$X$495&gt;=9))*ROW('CASE MASTER'!$T$2:$T$495))-(ROW('CASE MASTER'!#REF!)-1)))+1)+(9-INDEX('CASE MASTER'!$V$2:$V$495,(SUMPRODUCT((('CASE MASTER'!$T$2:$T$495=10)*('CASE MASTER'!$U$2:$U$495&lt;=10)*('CASE MASTER'!$W$2:$W$495&gt;=10)*('CASE MASTER'!$V$2:$V$495&lt;=9)*('CASE MASTER'!$X$2:$X$495&gt;=9))*ROW('CASE MASTER'!$T$2:$T$495))-(ROW('CASE MASTER'!#REF!)-1))))+1))-1)*50+1,50))&amp;"_"&amp;INDEX('CASE MASTER'!$Q$2:$Q$495,(SUMPRODUCT((('CASE MASTER'!$T$2:$T$495=10)*('CASE MASTER'!$U$2:$U$495&lt;=10)*('CASE MASTER'!$W$2:$W$495&gt;=10)*('CASE MASTER'!$V$2:$V$495&lt;=9)*('CASE MASTER'!$X$2:$X$495&gt;=9))*ROW('CASE MASTER'!$T$2:$T$495))-(ROW('CASE MASTER'!#REF!)-1))),IF(SUMPRODUCT((('CASE MASTER'!$T$2:$T$495=10)*('CASE MASTER'!$AA$2:$AA$495&lt;=10)*('CASE MASTER'!$AC$2:$AC$495&gt;=10)*('CASE MASTER'!$AB$2:$AB$495&lt;=9)*('CASE MASTER'!$AD$2:$AD$495&gt;=9))*ROW('CASE MASTER'!$T$2:$T$495))&gt;0,INDEX('CASE MASTER'!$Y$2:$Y$495,(SUMPRODUCT((('CASE MASTER'!$T$2:$T$495=10)*('CASE MASTER'!$AA$2:$AA$495&lt;=10)*('CASE MASTER'!$AC$2:$AC$495&gt;=10)*('CASE MASTER'!$AB$2:$AB$495&lt;=9)*('CASE MASTER'!$AD$2:$AD$495&gt;=9))*ROW('CASE MASTER'!$T$2:$T$495))-(ROW('CASE MASTER'!#REF!)-1)))&amp;TRIM(MID(SUBSTITUTE(SUBSTITUTE(INDEX('CASE MASTER'!$N$2:$N$495,(SUMPRODUCT((('CASE MASTER'!$T$2:$T$495=10)*('CASE MASTER'!$AA$2:$AA$495&lt;=10)*('CASE MASTER'!$AC$2:$AC$495&gt;=10)*('CASE MASTER'!$AB$2:$AB$495&lt;=9)*('CASE MASTER'!$AD$2:$AD$495&gt;=9))*ROW('CASE MASTER'!$T$2:$T$495))-(ROW('CASE MASTER'!#REF!)-1))),":",","),",",REPT(" ",50)),(((INDEX('CASE MASTER'!$Z$2:$Z$495,(SUMPRODUCT((('CASE MASTER'!$T$2:$T$495=10)*('CASE MASTER'!$AA$2:$AA$495&lt;=10)*('CASE MASTER'!$AC$2:$AC$495&gt;=10)*('CASE MASTER'!$AB$2:$AB$495&lt;=9)*('CASE MASTER'!$AD$2:$AD$495&gt;=9))*ROW('CASE MASTER'!$T$2:$T$495))-(ROW('CASE MASTER'!#REF!)-1)))+((10-INDEX('CASE MASTER'!$AA$2:$AA$495,(SUMPRODUCT((('CASE MASTER'!$T$2:$T$495=10)*('CASE MASTER'!$AA$2:$AA$495&lt;=10)*('CASE MASTER'!$AC$2:$AC$495&gt;=10)*('CASE MASTER'!$AB$2:$AB$495&lt;=9)*('CASE MASTER'!$AD$2:$AD$495&gt;=9))*ROW('CASE MASTER'!$T$2:$T$495))-(ROW('CASE MASTER'!#REF!)-1))))*(INDEX('CASE MASTER'!$AD$2:$AD$495,(SUMPRODUCT((('CASE MASTER'!$T$2:$T$495=10)*('CASE MASTER'!$AA$2:$AA$495&lt;=10)*('CASE MASTER'!$AC$2:$AC$495&gt;=10)*('CASE MASTER'!$AB$2:$AB$495&lt;=9)*('CASE MASTER'!$AD$2:$AD$495&gt;=9))*ROW('CASE MASTER'!$T$2:$T$495))-(ROW('CASE MASTER'!#REF!)-1)))-INDEX('CASE MASTER'!$AB$2:$AB$495,(SUMPRODUCT((('CASE MASTER'!$T$2:$T$495=10)*('CASE MASTER'!$AA$2:$AA$495&lt;=10)*('CASE MASTER'!$AC$2:$AC$495&gt;=10)*('CASE MASTER'!$AB$2:$AB$495&lt;=9)*('CASE MASTER'!$AD$2:$AD$495&gt;=9))*ROW('CASE MASTER'!$T$2:$T$495))-(ROW('CASE MASTER'!#REF!)-1)))+1)+(9-INDEX('CASE MASTER'!$AB$2:$AB$495,(SUMPRODUCT((('CASE MASTER'!$T$2:$T$495=10)*('CASE MASTER'!$AA$2:$AA$495&lt;=10)*('CASE MASTER'!$AC$2:$AC$495&gt;=10)*('CASE MASTER'!$AB$2:$AB$495&lt;=9)*('CASE MASTER'!$AD$2:$AD$495&gt;=9))*ROW('CASE MASTER'!$T$2:$T$495))-(ROW('CASE MASTER'!#REF!)-1))))+1)))-1)*50+1,50))&amp;"_"&amp;INDEX('CASE MASTER'!$Q$2:$Q$495,(SUMPRODUCT((('CASE MASTER'!$T$2:$T$495=10)*('CASE MASTER'!$AA$2:$AA$495&lt;=10)*('CASE MASTER'!$AC$2:$AC$495&gt;=10)*('CASE MASTER'!$AB$2:$AB$495&lt;=9)*('CASE MASTER'!$AD$2:$AD$495&gt;=9))*ROW('CASE MASTER'!$T$2:$T$495))-(ROW('CASE MASTER'!#REF!)-1))),"")),"")</f>
        <v/>
      </c>
      <c r="K138" s="10" t="str">
        <f>IFERROR(IF(SUMPRODUCT((('CASE MASTER'!$T$2:$T$495=10)*('CASE MASTER'!$U$2:$U$495&lt;=10)*('CASE MASTER'!$W$2:$W$495&gt;=10)*('CASE MASTER'!$V$2:$V$495&lt;=10)*('CASE MASTER'!$X$2:$X$495&gt;=10))*ROW('CASE MASTER'!$T$2:$T$495))&gt;0,INDEX('CASE MASTER'!$Y$2:$Y$495,(SUMPRODUCT((('CASE MASTER'!$T$2:$T$495=10)*('CASE MASTER'!$U$2:$U$495&lt;=10)*('CASE MASTER'!$W$2:$W$495&gt;=10)*('CASE MASTER'!$V$2:$V$495&lt;=10)*('CASE MASTER'!$X$2:$X$495&gt;=10))*ROW('CASE MASTER'!$T$2:$T$495))-(ROW('CASE MASTER'!#REF!)-1)))&amp;TRIM(MID(SUBSTITUTE(SUBSTITUTE(INDEX('CASE MASTER'!$N$2:$N$495,(SUMPRODUCT((('CASE MASTER'!$T$2:$T$495=10)*('CASE MASTER'!$U$2:$U$495&lt;=10)*('CASE MASTER'!$W$2:$W$495&gt;=10)*('CASE MASTER'!$V$2:$V$495&lt;=10)*('CASE MASTER'!$X$2:$X$495&gt;=10))*ROW('CASE MASTER'!$T$2:$T$495))-(ROW('CASE MASTER'!#REF!)-1))),":",","),",",REPT(" ",50)),((((10-INDEX('CASE MASTER'!$U$2:$U$495,(SUMPRODUCT((('CASE MASTER'!$T$2:$T$495=10)*('CASE MASTER'!$U$2:$U$495&lt;=10)*('CASE MASTER'!$W$2:$W$495&gt;=10)*('CASE MASTER'!$V$2:$V$495&lt;=10)*('CASE MASTER'!$X$2:$X$495&gt;=10))*ROW('CASE MASTER'!$T$2:$T$495))-(ROW('CASE MASTER'!#REF!)-1))))*(INDEX('CASE MASTER'!$X$2:$X$495,(SUMPRODUCT((('CASE MASTER'!$T$2:$T$495=10)*('CASE MASTER'!$U$2:$U$495&lt;=10)*('CASE MASTER'!$W$2:$W$495&gt;=10)*('CASE MASTER'!$V$2:$V$495&lt;=10)*('CASE MASTER'!$X$2:$X$495&gt;=10))*ROW('CASE MASTER'!$T$2:$T$495))-(ROW('CASE MASTER'!#REF!)-1)))-INDEX('CASE MASTER'!$V$2:$V$495,(SUMPRODUCT((('CASE MASTER'!$T$2:$T$495=10)*('CASE MASTER'!$U$2:$U$495&lt;=10)*('CASE MASTER'!$W$2:$W$495&gt;=10)*('CASE MASTER'!$V$2:$V$495&lt;=10)*('CASE MASTER'!$X$2:$X$495&gt;=10))*ROW('CASE MASTER'!$T$2:$T$495))-(ROW('CASE MASTER'!#REF!)-1)))+1)+(10-INDEX('CASE MASTER'!$V$2:$V$495,(SUMPRODUCT((('CASE MASTER'!$T$2:$T$495=10)*('CASE MASTER'!$U$2:$U$495&lt;=10)*('CASE MASTER'!$W$2:$W$495&gt;=10)*('CASE MASTER'!$V$2:$V$495&lt;=10)*('CASE MASTER'!$X$2:$X$495&gt;=10))*ROW('CASE MASTER'!$T$2:$T$495))-(ROW('CASE MASTER'!#REF!)-1))))+1))-1)*50+1,50))&amp;"_"&amp;INDEX('CASE MASTER'!$Q$2:$Q$495,(SUMPRODUCT((('CASE MASTER'!$T$2:$T$495=10)*('CASE MASTER'!$U$2:$U$495&lt;=10)*('CASE MASTER'!$W$2:$W$495&gt;=10)*('CASE MASTER'!$V$2:$V$495&lt;=10)*('CASE MASTER'!$X$2:$X$495&gt;=10))*ROW('CASE MASTER'!$T$2:$T$495))-(ROW('CASE MASTER'!#REF!)-1))),IF(SUMPRODUCT((('CASE MASTER'!$T$2:$T$495=10)*('CASE MASTER'!$AA$2:$AA$495&lt;=10)*('CASE MASTER'!$AC$2:$AC$495&gt;=10)*('CASE MASTER'!$AB$2:$AB$495&lt;=10)*('CASE MASTER'!$AD$2:$AD$495&gt;=10))*ROW('CASE MASTER'!$T$2:$T$495))&gt;0,INDEX('CASE MASTER'!$Y$2:$Y$495,(SUMPRODUCT((('CASE MASTER'!$T$2:$T$495=10)*('CASE MASTER'!$AA$2:$AA$495&lt;=10)*('CASE MASTER'!$AC$2:$AC$495&gt;=10)*('CASE MASTER'!$AB$2:$AB$495&lt;=10)*('CASE MASTER'!$AD$2:$AD$495&gt;=10))*ROW('CASE MASTER'!$T$2:$T$495))-(ROW('CASE MASTER'!#REF!)-1)))&amp;TRIM(MID(SUBSTITUTE(SUBSTITUTE(INDEX('CASE MASTER'!$N$2:$N$495,(SUMPRODUCT((('CASE MASTER'!$T$2:$T$495=10)*('CASE MASTER'!$AA$2:$AA$495&lt;=10)*('CASE MASTER'!$AC$2:$AC$495&gt;=10)*('CASE MASTER'!$AB$2:$AB$495&lt;=10)*('CASE MASTER'!$AD$2:$AD$495&gt;=10))*ROW('CASE MASTER'!$T$2:$T$495))-(ROW('CASE MASTER'!#REF!)-1))),":",","),",",REPT(" ",50)),(((INDEX('CASE MASTER'!$Z$2:$Z$495,(SUMPRODUCT((('CASE MASTER'!$T$2:$T$495=10)*('CASE MASTER'!$AA$2:$AA$495&lt;=10)*('CASE MASTER'!$AC$2:$AC$495&gt;=10)*('CASE MASTER'!$AB$2:$AB$495&lt;=10)*('CASE MASTER'!$AD$2:$AD$495&gt;=10))*ROW('CASE MASTER'!$T$2:$T$495))-(ROW('CASE MASTER'!#REF!)-1)))+((10-INDEX('CASE MASTER'!$AA$2:$AA$495,(SUMPRODUCT((('CASE MASTER'!$T$2:$T$495=10)*('CASE MASTER'!$AA$2:$AA$495&lt;=10)*('CASE MASTER'!$AC$2:$AC$495&gt;=10)*('CASE MASTER'!$AB$2:$AB$495&lt;=10)*('CASE MASTER'!$AD$2:$AD$495&gt;=10))*ROW('CASE MASTER'!$T$2:$T$495))-(ROW('CASE MASTER'!#REF!)-1))))*(INDEX('CASE MASTER'!$AD$2:$AD$495,(SUMPRODUCT((('CASE MASTER'!$T$2:$T$495=10)*('CASE MASTER'!$AA$2:$AA$495&lt;=10)*('CASE MASTER'!$AC$2:$AC$495&gt;=10)*('CASE MASTER'!$AB$2:$AB$495&lt;=10)*('CASE MASTER'!$AD$2:$AD$495&gt;=10))*ROW('CASE MASTER'!$T$2:$T$495))-(ROW('CASE MASTER'!#REF!)-1)))-INDEX('CASE MASTER'!$AB$2:$AB$495,(SUMPRODUCT((('CASE MASTER'!$T$2:$T$495=10)*('CASE MASTER'!$AA$2:$AA$495&lt;=10)*('CASE MASTER'!$AC$2:$AC$495&gt;=10)*('CASE MASTER'!$AB$2:$AB$495&lt;=10)*('CASE MASTER'!$AD$2:$AD$495&gt;=10))*ROW('CASE MASTER'!$T$2:$T$495))-(ROW('CASE MASTER'!#REF!)-1)))+1)+(10-INDEX('CASE MASTER'!$AB$2:$AB$495,(SUMPRODUCT((('CASE MASTER'!$T$2:$T$495=10)*('CASE MASTER'!$AA$2:$AA$495&lt;=10)*('CASE MASTER'!$AC$2:$AC$495&gt;=10)*('CASE MASTER'!$AB$2:$AB$495&lt;=10)*('CASE MASTER'!$AD$2:$AD$495&gt;=10))*ROW('CASE MASTER'!$T$2:$T$495))-(ROW('CASE MASTER'!#REF!)-1))))+1)))-1)*50+1,50))&amp;"_"&amp;INDEX('CASE MASTER'!$Q$2:$Q$495,(SUMPRODUCT((('CASE MASTER'!$T$2:$T$495=10)*('CASE MASTER'!$AA$2:$AA$495&lt;=10)*('CASE MASTER'!$AC$2:$AC$495&gt;=10)*('CASE MASTER'!$AB$2:$AB$495&lt;=10)*('CASE MASTER'!$AD$2:$AD$495&gt;=10))*ROW('CASE MASTER'!$T$2:$T$495))-(ROW('CASE MASTER'!#REF!)-1))),"")),"")</f>
        <v/>
      </c>
    </row>
    <row r="141" spans="1:11" ht="15" customHeight="1" x14ac:dyDescent="0.35">
      <c r="A141" s="12" t="s">
        <v>92</v>
      </c>
      <c r="B141" s="13"/>
      <c r="C141" s="13"/>
      <c r="D141" s="13"/>
      <c r="E141" s="13"/>
      <c r="F141" s="13"/>
      <c r="G141" s="13"/>
      <c r="H141" s="13"/>
      <c r="I141" s="13"/>
      <c r="J141" s="13"/>
      <c r="K141" s="13"/>
    </row>
    <row r="142" spans="1:11" ht="15" customHeight="1" x14ac:dyDescent="0.35">
      <c r="B142" s="8">
        <v>1</v>
      </c>
      <c r="C142" s="8">
        <v>2</v>
      </c>
      <c r="D142" s="8">
        <v>3</v>
      </c>
      <c r="E142" s="8">
        <v>4</v>
      </c>
      <c r="F142" s="8">
        <v>5</v>
      </c>
      <c r="G142" s="8">
        <v>6</v>
      </c>
      <c r="H142" s="8">
        <v>7</v>
      </c>
      <c r="I142" s="8">
        <v>8</v>
      </c>
      <c r="J142" s="8">
        <v>9</v>
      </c>
      <c r="K142" s="8">
        <v>10</v>
      </c>
    </row>
    <row r="143" spans="1:11" ht="15" customHeight="1" x14ac:dyDescent="0.35">
      <c r="A143" s="8" t="s">
        <v>28</v>
      </c>
      <c r="B143" s="10" t="str">
        <f>IFERROR(IF(SUMPRODUCT((('CASE MASTER'!$T$2:$T$495=11)*('CASE MASTER'!$U$2:$U$495&lt;=1)*('CASE MASTER'!$W$2:$W$495&gt;=1)*('CASE MASTER'!$V$2:$V$495&lt;=1)*('CASE MASTER'!$X$2:$X$495&gt;=1))*ROW('CASE MASTER'!$T$2:$T$495))&gt;0,INDEX('CASE MASTER'!$Y$2:$Y$495,(SUMPRODUCT((('CASE MASTER'!$T$2:$T$495=11)*('CASE MASTER'!$U$2:$U$495&lt;=1)*('CASE MASTER'!$W$2:$W$495&gt;=1)*('CASE MASTER'!$V$2:$V$495&lt;=1)*('CASE MASTER'!$X$2:$X$495&gt;=1))*ROW('CASE MASTER'!$T$2:$T$495))-(ROW('CASE MASTER'!#REF!)-1)))&amp;TRIM(MID(SUBSTITUTE(SUBSTITUTE(INDEX('CASE MASTER'!$N$2:$N$495,(SUMPRODUCT((('CASE MASTER'!$T$2:$T$495=11)*('CASE MASTER'!$U$2:$U$495&lt;=1)*('CASE MASTER'!$W$2:$W$495&gt;=1)*('CASE MASTER'!$V$2:$V$495&lt;=1)*('CASE MASTER'!$X$2:$X$495&gt;=1))*ROW('CASE MASTER'!$T$2:$T$495))-(ROW('CASE MASTER'!#REF!)-1))),":",","),",",REPT(" ",50)),((((1-INDEX('CASE MASTER'!$U$2:$U$495,(SUMPRODUCT((('CASE MASTER'!$T$2:$T$495=11)*('CASE MASTER'!$U$2:$U$495&lt;=1)*('CASE MASTER'!$W$2:$W$495&gt;=1)*('CASE MASTER'!$V$2:$V$495&lt;=1)*('CASE MASTER'!$X$2:$X$495&gt;=1))*ROW('CASE MASTER'!$T$2:$T$495))-(ROW('CASE MASTER'!#REF!)-1))))*(INDEX('CASE MASTER'!$X$2:$X$495,(SUMPRODUCT((('CASE MASTER'!$T$2:$T$495=11)*('CASE MASTER'!$U$2:$U$495&lt;=1)*('CASE MASTER'!$W$2:$W$495&gt;=1)*('CASE MASTER'!$V$2:$V$495&lt;=1)*('CASE MASTER'!$X$2:$X$495&gt;=1))*ROW('CASE MASTER'!$T$2:$T$495))-(ROW('CASE MASTER'!#REF!)-1)))-INDEX('CASE MASTER'!$V$2:$V$495,(SUMPRODUCT((('CASE MASTER'!$T$2:$T$495=11)*('CASE MASTER'!$U$2:$U$495&lt;=1)*('CASE MASTER'!$W$2:$W$495&gt;=1)*('CASE MASTER'!$V$2:$V$495&lt;=1)*('CASE MASTER'!$X$2:$X$495&gt;=1))*ROW('CASE MASTER'!$T$2:$T$495))-(ROW('CASE MASTER'!#REF!)-1)))+1)+(1-INDEX('CASE MASTER'!$V$2:$V$495,(SUMPRODUCT((('CASE MASTER'!$T$2:$T$495=11)*('CASE MASTER'!$U$2:$U$495&lt;=1)*('CASE MASTER'!$W$2:$W$495&gt;=1)*('CASE MASTER'!$V$2:$V$495&lt;=1)*('CASE MASTER'!$X$2:$X$495&gt;=1))*ROW('CASE MASTER'!$T$2:$T$495))-(ROW('CASE MASTER'!#REF!)-1))))+1))-1)*50+1,50))&amp;"_"&amp;INDEX('CASE MASTER'!$Q$2:$Q$495,(SUMPRODUCT((('CASE MASTER'!$T$2:$T$495=11)*('CASE MASTER'!$U$2:$U$495&lt;=1)*('CASE MASTER'!$W$2:$W$495&gt;=1)*('CASE MASTER'!$V$2:$V$495&lt;=1)*('CASE MASTER'!$X$2:$X$495&gt;=1))*ROW('CASE MASTER'!$T$2:$T$495))-(ROW('CASE MASTER'!#REF!)-1))),IF(SUMPRODUCT((('CASE MASTER'!$T$2:$T$495=11)*('CASE MASTER'!$AA$2:$AA$495&lt;=1)*('CASE MASTER'!$AC$2:$AC$495&gt;=1)*('CASE MASTER'!$AB$2:$AB$495&lt;=1)*('CASE MASTER'!$AD$2:$AD$495&gt;=1))*ROW('CASE MASTER'!$T$2:$T$495))&gt;0,INDEX('CASE MASTER'!$Y$2:$Y$495,(SUMPRODUCT((('CASE MASTER'!$T$2:$T$495=11)*('CASE MASTER'!$AA$2:$AA$495&lt;=1)*('CASE MASTER'!$AC$2:$AC$495&gt;=1)*('CASE MASTER'!$AB$2:$AB$495&lt;=1)*('CASE MASTER'!$AD$2:$AD$495&gt;=1))*ROW('CASE MASTER'!$T$2:$T$495))-(ROW('CASE MASTER'!#REF!)-1)))&amp;TRIM(MID(SUBSTITUTE(SUBSTITUTE(INDEX('CASE MASTER'!$N$2:$N$495,(SUMPRODUCT((('CASE MASTER'!$T$2:$T$495=11)*('CASE MASTER'!$AA$2:$AA$495&lt;=1)*('CASE MASTER'!$AC$2:$AC$495&gt;=1)*('CASE MASTER'!$AB$2:$AB$495&lt;=1)*('CASE MASTER'!$AD$2:$AD$495&gt;=1))*ROW('CASE MASTER'!$T$2:$T$495))-(ROW('CASE MASTER'!#REF!)-1))),":",","),",",REPT(" ",50)),(((INDEX('CASE MASTER'!$Z$2:$Z$495,(SUMPRODUCT((('CASE MASTER'!$T$2:$T$495=11)*('CASE MASTER'!$AA$2:$AA$495&lt;=1)*('CASE MASTER'!$AC$2:$AC$495&gt;=1)*('CASE MASTER'!$AB$2:$AB$495&lt;=1)*('CASE MASTER'!$AD$2:$AD$495&gt;=1))*ROW('CASE MASTER'!$T$2:$T$495))-(ROW('CASE MASTER'!#REF!)-1)))+((1-INDEX('CASE MASTER'!$AA$2:$AA$495,(SUMPRODUCT((('CASE MASTER'!$T$2:$T$495=11)*('CASE MASTER'!$AA$2:$AA$495&lt;=1)*('CASE MASTER'!$AC$2:$AC$495&gt;=1)*('CASE MASTER'!$AB$2:$AB$495&lt;=1)*('CASE MASTER'!$AD$2:$AD$495&gt;=1))*ROW('CASE MASTER'!$T$2:$T$495))-(ROW('CASE MASTER'!#REF!)-1))))*(INDEX('CASE MASTER'!$AD$2:$AD$495,(SUMPRODUCT((('CASE MASTER'!$T$2:$T$495=11)*('CASE MASTER'!$AA$2:$AA$495&lt;=1)*('CASE MASTER'!$AC$2:$AC$495&gt;=1)*('CASE MASTER'!$AB$2:$AB$495&lt;=1)*('CASE MASTER'!$AD$2:$AD$495&gt;=1))*ROW('CASE MASTER'!$T$2:$T$495))-(ROW('CASE MASTER'!#REF!)-1)))-INDEX('CASE MASTER'!$AB$2:$AB$495,(SUMPRODUCT((('CASE MASTER'!$T$2:$T$495=11)*('CASE MASTER'!$AA$2:$AA$495&lt;=1)*('CASE MASTER'!$AC$2:$AC$495&gt;=1)*('CASE MASTER'!$AB$2:$AB$495&lt;=1)*('CASE MASTER'!$AD$2:$AD$495&gt;=1))*ROW('CASE MASTER'!$T$2:$T$495))-(ROW('CASE MASTER'!#REF!)-1)))+1)+(1-INDEX('CASE MASTER'!$AB$2:$AB$495,(SUMPRODUCT((('CASE MASTER'!$T$2:$T$495=11)*('CASE MASTER'!$AA$2:$AA$495&lt;=1)*('CASE MASTER'!$AC$2:$AC$495&gt;=1)*('CASE MASTER'!$AB$2:$AB$495&lt;=1)*('CASE MASTER'!$AD$2:$AD$495&gt;=1))*ROW('CASE MASTER'!$T$2:$T$495))-(ROW('CASE MASTER'!#REF!)-1))))+1)))-1)*50+1,50))&amp;"_"&amp;INDEX('CASE MASTER'!$Q$2:$Q$495,(SUMPRODUCT((('CASE MASTER'!$T$2:$T$495=11)*('CASE MASTER'!$AA$2:$AA$495&lt;=1)*('CASE MASTER'!$AC$2:$AC$495&gt;=1)*('CASE MASTER'!$AB$2:$AB$495&lt;=1)*('CASE MASTER'!$AD$2:$AD$495&gt;=1))*ROW('CASE MASTER'!$T$2:$T$495))-(ROW('CASE MASTER'!#REF!)-1))),"")),"")</f>
        <v/>
      </c>
      <c r="C143" s="10" t="str">
        <f>IFERROR(IF(SUMPRODUCT((('CASE MASTER'!$T$2:$T$495=11)*('CASE MASTER'!$U$2:$U$495&lt;=1)*('CASE MASTER'!$W$2:$W$495&gt;=1)*('CASE MASTER'!$V$2:$V$495&lt;=2)*('CASE MASTER'!$X$2:$X$495&gt;=2))*ROW('CASE MASTER'!$T$2:$T$495))&gt;0,INDEX('CASE MASTER'!$Y$2:$Y$495,(SUMPRODUCT((('CASE MASTER'!$T$2:$T$495=11)*('CASE MASTER'!$U$2:$U$495&lt;=1)*('CASE MASTER'!$W$2:$W$495&gt;=1)*('CASE MASTER'!$V$2:$V$495&lt;=2)*('CASE MASTER'!$X$2:$X$495&gt;=2))*ROW('CASE MASTER'!$T$2:$T$495))-(ROW('CASE MASTER'!#REF!)-1)))&amp;TRIM(MID(SUBSTITUTE(SUBSTITUTE(INDEX('CASE MASTER'!$N$2:$N$495,(SUMPRODUCT((('CASE MASTER'!$T$2:$T$495=11)*('CASE MASTER'!$U$2:$U$495&lt;=1)*('CASE MASTER'!$W$2:$W$495&gt;=1)*('CASE MASTER'!$V$2:$V$495&lt;=2)*('CASE MASTER'!$X$2:$X$495&gt;=2))*ROW('CASE MASTER'!$T$2:$T$495))-(ROW('CASE MASTER'!#REF!)-1))),":",","),",",REPT(" ",50)),((((1-INDEX('CASE MASTER'!$U$2:$U$495,(SUMPRODUCT((('CASE MASTER'!$T$2:$T$495=11)*('CASE MASTER'!$U$2:$U$495&lt;=1)*('CASE MASTER'!$W$2:$W$495&gt;=1)*('CASE MASTER'!$V$2:$V$495&lt;=2)*('CASE MASTER'!$X$2:$X$495&gt;=2))*ROW('CASE MASTER'!$T$2:$T$495))-(ROW('CASE MASTER'!#REF!)-1))))*(INDEX('CASE MASTER'!$X$2:$X$495,(SUMPRODUCT((('CASE MASTER'!$T$2:$T$495=11)*('CASE MASTER'!$U$2:$U$495&lt;=1)*('CASE MASTER'!$W$2:$W$495&gt;=1)*('CASE MASTER'!$V$2:$V$495&lt;=2)*('CASE MASTER'!$X$2:$X$495&gt;=2))*ROW('CASE MASTER'!$T$2:$T$495))-(ROW('CASE MASTER'!#REF!)-1)))-INDEX('CASE MASTER'!$V$2:$V$495,(SUMPRODUCT((('CASE MASTER'!$T$2:$T$495=11)*('CASE MASTER'!$U$2:$U$495&lt;=1)*('CASE MASTER'!$W$2:$W$495&gt;=1)*('CASE MASTER'!$V$2:$V$495&lt;=2)*('CASE MASTER'!$X$2:$X$495&gt;=2))*ROW('CASE MASTER'!$T$2:$T$495))-(ROW('CASE MASTER'!#REF!)-1)))+1)+(2-INDEX('CASE MASTER'!$V$2:$V$495,(SUMPRODUCT((('CASE MASTER'!$T$2:$T$495=11)*('CASE MASTER'!$U$2:$U$495&lt;=1)*('CASE MASTER'!$W$2:$W$495&gt;=1)*('CASE MASTER'!$V$2:$V$495&lt;=2)*('CASE MASTER'!$X$2:$X$495&gt;=2))*ROW('CASE MASTER'!$T$2:$T$495))-(ROW('CASE MASTER'!#REF!)-1))))+1))-1)*50+1,50))&amp;"_"&amp;INDEX('CASE MASTER'!$Q$2:$Q$495,(SUMPRODUCT((('CASE MASTER'!$T$2:$T$495=11)*('CASE MASTER'!$U$2:$U$495&lt;=1)*('CASE MASTER'!$W$2:$W$495&gt;=1)*('CASE MASTER'!$V$2:$V$495&lt;=2)*('CASE MASTER'!$X$2:$X$495&gt;=2))*ROW('CASE MASTER'!$T$2:$T$495))-(ROW('CASE MASTER'!#REF!)-1))),IF(SUMPRODUCT((('CASE MASTER'!$T$2:$T$495=11)*('CASE MASTER'!$AA$2:$AA$495&lt;=1)*('CASE MASTER'!$AC$2:$AC$495&gt;=1)*('CASE MASTER'!$AB$2:$AB$495&lt;=2)*('CASE MASTER'!$AD$2:$AD$495&gt;=2))*ROW('CASE MASTER'!$T$2:$T$495))&gt;0,INDEX('CASE MASTER'!$Y$2:$Y$495,(SUMPRODUCT((('CASE MASTER'!$T$2:$T$495=11)*('CASE MASTER'!$AA$2:$AA$495&lt;=1)*('CASE MASTER'!$AC$2:$AC$495&gt;=1)*('CASE MASTER'!$AB$2:$AB$495&lt;=2)*('CASE MASTER'!$AD$2:$AD$495&gt;=2))*ROW('CASE MASTER'!$T$2:$T$495))-(ROW('CASE MASTER'!#REF!)-1)))&amp;TRIM(MID(SUBSTITUTE(SUBSTITUTE(INDEX('CASE MASTER'!$N$2:$N$495,(SUMPRODUCT((('CASE MASTER'!$T$2:$T$495=11)*('CASE MASTER'!$AA$2:$AA$495&lt;=1)*('CASE MASTER'!$AC$2:$AC$495&gt;=1)*('CASE MASTER'!$AB$2:$AB$495&lt;=2)*('CASE MASTER'!$AD$2:$AD$495&gt;=2))*ROW('CASE MASTER'!$T$2:$T$495))-(ROW('CASE MASTER'!#REF!)-1))),":",","),",",REPT(" ",50)),(((INDEX('CASE MASTER'!$Z$2:$Z$495,(SUMPRODUCT((('CASE MASTER'!$T$2:$T$495=11)*('CASE MASTER'!$AA$2:$AA$495&lt;=1)*('CASE MASTER'!$AC$2:$AC$495&gt;=1)*('CASE MASTER'!$AB$2:$AB$495&lt;=2)*('CASE MASTER'!$AD$2:$AD$495&gt;=2))*ROW('CASE MASTER'!$T$2:$T$495))-(ROW('CASE MASTER'!#REF!)-1)))+((1-INDEX('CASE MASTER'!$AA$2:$AA$495,(SUMPRODUCT((('CASE MASTER'!$T$2:$T$495=11)*('CASE MASTER'!$AA$2:$AA$495&lt;=1)*('CASE MASTER'!$AC$2:$AC$495&gt;=1)*('CASE MASTER'!$AB$2:$AB$495&lt;=2)*('CASE MASTER'!$AD$2:$AD$495&gt;=2))*ROW('CASE MASTER'!$T$2:$T$495))-(ROW('CASE MASTER'!#REF!)-1))))*(INDEX('CASE MASTER'!$AD$2:$AD$495,(SUMPRODUCT((('CASE MASTER'!$T$2:$T$495=11)*('CASE MASTER'!$AA$2:$AA$495&lt;=1)*('CASE MASTER'!$AC$2:$AC$495&gt;=1)*('CASE MASTER'!$AB$2:$AB$495&lt;=2)*('CASE MASTER'!$AD$2:$AD$495&gt;=2))*ROW('CASE MASTER'!$T$2:$T$495))-(ROW('CASE MASTER'!#REF!)-1)))-INDEX('CASE MASTER'!$AB$2:$AB$495,(SUMPRODUCT((('CASE MASTER'!$T$2:$T$495=11)*('CASE MASTER'!$AA$2:$AA$495&lt;=1)*('CASE MASTER'!$AC$2:$AC$495&gt;=1)*('CASE MASTER'!$AB$2:$AB$495&lt;=2)*('CASE MASTER'!$AD$2:$AD$495&gt;=2))*ROW('CASE MASTER'!$T$2:$T$495))-(ROW('CASE MASTER'!#REF!)-1)))+1)+(2-INDEX('CASE MASTER'!$AB$2:$AB$495,(SUMPRODUCT((('CASE MASTER'!$T$2:$T$495=11)*('CASE MASTER'!$AA$2:$AA$495&lt;=1)*('CASE MASTER'!$AC$2:$AC$495&gt;=1)*('CASE MASTER'!$AB$2:$AB$495&lt;=2)*('CASE MASTER'!$AD$2:$AD$495&gt;=2))*ROW('CASE MASTER'!$T$2:$T$495))-(ROW('CASE MASTER'!#REF!)-1))))+1)))-1)*50+1,50))&amp;"_"&amp;INDEX('CASE MASTER'!$Q$2:$Q$495,(SUMPRODUCT((('CASE MASTER'!$T$2:$T$495=11)*('CASE MASTER'!$AA$2:$AA$495&lt;=1)*('CASE MASTER'!$AC$2:$AC$495&gt;=1)*('CASE MASTER'!$AB$2:$AB$495&lt;=2)*('CASE MASTER'!$AD$2:$AD$495&gt;=2))*ROW('CASE MASTER'!$T$2:$T$495))-(ROW('CASE MASTER'!#REF!)-1))),"")),"")</f>
        <v/>
      </c>
      <c r="D143" s="10" t="str">
        <f>IFERROR(IF(SUMPRODUCT((('CASE MASTER'!$T$2:$T$495=11)*('CASE MASTER'!$U$2:$U$495&lt;=1)*('CASE MASTER'!$W$2:$W$495&gt;=1)*('CASE MASTER'!$V$2:$V$495&lt;=3)*('CASE MASTER'!$X$2:$X$495&gt;=3))*ROW('CASE MASTER'!$T$2:$T$495))&gt;0,INDEX('CASE MASTER'!$Y$2:$Y$495,(SUMPRODUCT((('CASE MASTER'!$T$2:$T$495=11)*('CASE MASTER'!$U$2:$U$495&lt;=1)*('CASE MASTER'!$W$2:$W$495&gt;=1)*('CASE MASTER'!$V$2:$V$495&lt;=3)*('CASE MASTER'!$X$2:$X$495&gt;=3))*ROW('CASE MASTER'!$T$2:$T$495))-(ROW('CASE MASTER'!#REF!)-1)))&amp;TRIM(MID(SUBSTITUTE(SUBSTITUTE(INDEX('CASE MASTER'!$N$2:$N$495,(SUMPRODUCT((('CASE MASTER'!$T$2:$T$495=11)*('CASE MASTER'!$U$2:$U$495&lt;=1)*('CASE MASTER'!$W$2:$W$495&gt;=1)*('CASE MASTER'!$V$2:$V$495&lt;=3)*('CASE MASTER'!$X$2:$X$495&gt;=3))*ROW('CASE MASTER'!$T$2:$T$495))-(ROW('CASE MASTER'!#REF!)-1))),":",","),",",REPT(" ",50)),((((1-INDEX('CASE MASTER'!$U$2:$U$495,(SUMPRODUCT((('CASE MASTER'!$T$2:$T$495=11)*('CASE MASTER'!$U$2:$U$495&lt;=1)*('CASE MASTER'!$W$2:$W$495&gt;=1)*('CASE MASTER'!$V$2:$V$495&lt;=3)*('CASE MASTER'!$X$2:$X$495&gt;=3))*ROW('CASE MASTER'!$T$2:$T$495))-(ROW('CASE MASTER'!#REF!)-1))))*(INDEX('CASE MASTER'!$X$2:$X$495,(SUMPRODUCT((('CASE MASTER'!$T$2:$T$495=11)*('CASE MASTER'!$U$2:$U$495&lt;=1)*('CASE MASTER'!$W$2:$W$495&gt;=1)*('CASE MASTER'!$V$2:$V$495&lt;=3)*('CASE MASTER'!$X$2:$X$495&gt;=3))*ROW('CASE MASTER'!$T$2:$T$495))-(ROW('CASE MASTER'!#REF!)-1)))-INDEX('CASE MASTER'!$V$2:$V$495,(SUMPRODUCT((('CASE MASTER'!$T$2:$T$495=11)*('CASE MASTER'!$U$2:$U$495&lt;=1)*('CASE MASTER'!$W$2:$W$495&gt;=1)*('CASE MASTER'!$V$2:$V$495&lt;=3)*('CASE MASTER'!$X$2:$X$495&gt;=3))*ROW('CASE MASTER'!$T$2:$T$495))-(ROW('CASE MASTER'!#REF!)-1)))+1)+(3-INDEX('CASE MASTER'!$V$2:$V$495,(SUMPRODUCT((('CASE MASTER'!$T$2:$T$495=11)*('CASE MASTER'!$U$2:$U$495&lt;=1)*('CASE MASTER'!$W$2:$W$495&gt;=1)*('CASE MASTER'!$V$2:$V$495&lt;=3)*('CASE MASTER'!$X$2:$X$495&gt;=3))*ROW('CASE MASTER'!$T$2:$T$495))-(ROW('CASE MASTER'!#REF!)-1))))+1))-1)*50+1,50))&amp;"_"&amp;INDEX('CASE MASTER'!$Q$2:$Q$495,(SUMPRODUCT((('CASE MASTER'!$T$2:$T$495=11)*('CASE MASTER'!$U$2:$U$495&lt;=1)*('CASE MASTER'!$W$2:$W$495&gt;=1)*('CASE MASTER'!$V$2:$V$495&lt;=3)*('CASE MASTER'!$X$2:$X$495&gt;=3))*ROW('CASE MASTER'!$T$2:$T$495))-(ROW('CASE MASTER'!#REF!)-1))),IF(SUMPRODUCT((('CASE MASTER'!$T$2:$T$495=11)*('CASE MASTER'!$AA$2:$AA$495&lt;=1)*('CASE MASTER'!$AC$2:$AC$495&gt;=1)*('CASE MASTER'!$AB$2:$AB$495&lt;=3)*('CASE MASTER'!$AD$2:$AD$495&gt;=3))*ROW('CASE MASTER'!$T$2:$T$495))&gt;0,INDEX('CASE MASTER'!$Y$2:$Y$495,(SUMPRODUCT((('CASE MASTER'!$T$2:$T$495=11)*('CASE MASTER'!$AA$2:$AA$495&lt;=1)*('CASE MASTER'!$AC$2:$AC$495&gt;=1)*('CASE MASTER'!$AB$2:$AB$495&lt;=3)*('CASE MASTER'!$AD$2:$AD$495&gt;=3))*ROW('CASE MASTER'!$T$2:$T$495))-(ROW('CASE MASTER'!#REF!)-1)))&amp;TRIM(MID(SUBSTITUTE(SUBSTITUTE(INDEX('CASE MASTER'!$N$2:$N$495,(SUMPRODUCT((('CASE MASTER'!$T$2:$T$495=11)*('CASE MASTER'!$AA$2:$AA$495&lt;=1)*('CASE MASTER'!$AC$2:$AC$495&gt;=1)*('CASE MASTER'!$AB$2:$AB$495&lt;=3)*('CASE MASTER'!$AD$2:$AD$495&gt;=3))*ROW('CASE MASTER'!$T$2:$T$495))-(ROW('CASE MASTER'!#REF!)-1))),":",","),",",REPT(" ",50)),(((INDEX('CASE MASTER'!$Z$2:$Z$495,(SUMPRODUCT((('CASE MASTER'!$T$2:$T$495=11)*('CASE MASTER'!$AA$2:$AA$495&lt;=1)*('CASE MASTER'!$AC$2:$AC$495&gt;=1)*('CASE MASTER'!$AB$2:$AB$495&lt;=3)*('CASE MASTER'!$AD$2:$AD$495&gt;=3))*ROW('CASE MASTER'!$T$2:$T$495))-(ROW('CASE MASTER'!#REF!)-1)))+((1-INDEX('CASE MASTER'!$AA$2:$AA$495,(SUMPRODUCT((('CASE MASTER'!$T$2:$T$495=11)*('CASE MASTER'!$AA$2:$AA$495&lt;=1)*('CASE MASTER'!$AC$2:$AC$495&gt;=1)*('CASE MASTER'!$AB$2:$AB$495&lt;=3)*('CASE MASTER'!$AD$2:$AD$495&gt;=3))*ROW('CASE MASTER'!$T$2:$T$495))-(ROW('CASE MASTER'!#REF!)-1))))*(INDEX('CASE MASTER'!$AD$2:$AD$495,(SUMPRODUCT((('CASE MASTER'!$T$2:$T$495=11)*('CASE MASTER'!$AA$2:$AA$495&lt;=1)*('CASE MASTER'!$AC$2:$AC$495&gt;=1)*('CASE MASTER'!$AB$2:$AB$495&lt;=3)*('CASE MASTER'!$AD$2:$AD$495&gt;=3))*ROW('CASE MASTER'!$T$2:$T$495))-(ROW('CASE MASTER'!#REF!)-1)))-INDEX('CASE MASTER'!$AB$2:$AB$495,(SUMPRODUCT((('CASE MASTER'!$T$2:$T$495=11)*('CASE MASTER'!$AA$2:$AA$495&lt;=1)*('CASE MASTER'!$AC$2:$AC$495&gt;=1)*('CASE MASTER'!$AB$2:$AB$495&lt;=3)*('CASE MASTER'!$AD$2:$AD$495&gt;=3))*ROW('CASE MASTER'!$T$2:$T$495))-(ROW('CASE MASTER'!#REF!)-1)))+1)+(3-INDEX('CASE MASTER'!$AB$2:$AB$495,(SUMPRODUCT((('CASE MASTER'!$T$2:$T$495=11)*('CASE MASTER'!$AA$2:$AA$495&lt;=1)*('CASE MASTER'!$AC$2:$AC$495&gt;=1)*('CASE MASTER'!$AB$2:$AB$495&lt;=3)*('CASE MASTER'!$AD$2:$AD$495&gt;=3))*ROW('CASE MASTER'!$T$2:$T$495))-(ROW('CASE MASTER'!#REF!)-1))))+1)))-1)*50+1,50))&amp;"_"&amp;INDEX('CASE MASTER'!$Q$2:$Q$495,(SUMPRODUCT((('CASE MASTER'!$T$2:$T$495=11)*('CASE MASTER'!$AA$2:$AA$495&lt;=1)*('CASE MASTER'!$AC$2:$AC$495&gt;=1)*('CASE MASTER'!$AB$2:$AB$495&lt;=3)*('CASE MASTER'!$AD$2:$AD$495&gt;=3))*ROW('CASE MASTER'!$T$2:$T$495))-(ROW('CASE MASTER'!#REF!)-1))),"")),"")</f>
        <v/>
      </c>
      <c r="E143" s="10" t="str">
        <f>IFERROR(IF(SUMPRODUCT((('CASE MASTER'!$T$2:$T$495=11)*('CASE MASTER'!$U$2:$U$495&lt;=1)*('CASE MASTER'!$W$2:$W$495&gt;=1)*('CASE MASTER'!$V$2:$V$495&lt;=4)*('CASE MASTER'!$X$2:$X$495&gt;=4))*ROW('CASE MASTER'!$T$2:$T$495))&gt;0,INDEX('CASE MASTER'!$Y$2:$Y$495,(SUMPRODUCT((('CASE MASTER'!$T$2:$T$495=11)*('CASE MASTER'!$U$2:$U$495&lt;=1)*('CASE MASTER'!$W$2:$W$495&gt;=1)*('CASE MASTER'!$V$2:$V$495&lt;=4)*('CASE MASTER'!$X$2:$X$495&gt;=4))*ROW('CASE MASTER'!$T$2:$T$495))-(ROW('CASE MASTER'!#REF!)-1)))&amp;TRIM(MID(SUBSTITUTE(SUBSTITUTE(INDEX('CASE MASTER'!$N$2:$N$495,(SUMPRODUCT((('CASE MASTER'!$T$2:$T$495=11)*('CASE MASTER'!$U$2:$U$495&lt;=1)*('CASE MASTER'!$W$2:$W$495&gt;=1)*('CASE MASTER'!$V$2:$V$495&lt;=4)*('CASE MASTER'!$X$2:$X$495&gt;=4))*ROW('CASE MASTER'!$T$2:$T$495))-(ROW('CASE MASTER'!#REF!)-1))),":",","),",",REPT(" ",50)),((((1-INDEX('CASE MASTER'!$U$2:$U$495,(SUMPRODUCT((('CASE MASTER'!$T$2:$T$495=11)*('CASE MASTER'!$U$2:$U$495&lt;=1)*('CASE MASTER'!$W$2:$W$495&gt;=1)*('CASE MASTER'!$V$2:$V$495&lt;=4)*('CASE MASTER'!$X$2:$X$495&gt;=4))*ROW('CASE MASTER'!$T$2:$T$495))-(ROW('CASE MASTER'!#REF!)-1))))*(INDEX('CASE MASTER'!$X$2:$X$495,(SUMPRODUCT((('CASE MASTER'!$T$2:$T$495=11)*('CASE MASTER'!$U$2:$U$495&lt;=1)*('CASE MASTER'!$W$2:$W$495&gt;=1)*('CASE MASTER'!$V$2:$V$495&lt;=4)*('CASE MASTER'!$X$2:$X$495&gt;=4))*ROW('CASE MASTER'!$T$2:$T$495))-(ROW('CASE MASTER'!#REF!)-1)))-INDEX('CASE MASTER'!$V$2:$V$495,(SUMPRODUCT((('CASE MASTER'!$T$2:$T$495=11)*('CASE MASTER'!$U$2:$U$495&lt;=1)*('CASE MASTER'!$W$2:$W$495&gt;=1)*('CASE MASTER'!$V$2:$V$495&lt;=4)*('CASE MASTER'!$X$2:$X$495&gt;=4))*ROW('CASE MASTER'!$T$2:$T$495))-(ROW('CASE MASTER'!#REF!)-1)))+1)+(4-INDEX('CASE MASTER'!$V$2:$V$495,(SUMPRODUCT((('CASE MASTER'!$T$2:$T$495=11)*('CASE MASTER'!$U$2:$U$495&lt;=1)*('CASE MASTER'!$W$2:$W$495&gt;=1)*('CASE MASTER'!$V$2:$V$495&lt;=4)*('CASE MASTER'!$X$2:$X$495&gt;=4))*ROW('CASE MASTER'!$T$2:$T$495))-(ROW('CASE MASTER'!#REF!)-1))))+1))-1)*50+1,50))&amp;"_"&amp;INDEX('CASE MASTER'!$Q$2:$Q$495,(SUMPRODUCT((('CASE MASTER'!$T$2:$T$495=11)*('CASE MASTER'!$U$2:$U$495&lt;=1)*('CASE MASTER'!$W$2:$W$495&gt;=1)*('CASE MASTER'!$V$2:$V$495&lt;=4)*('CASE MASTER'!$X$2:$X$495&gt;=4))*ROW('CASE MASTER'!$T$2:$T$495))-(ROW('CASE MASTER'!#REF!)-1))),IF(SUMPRODUCT((('CASE MASTER'!$T$2:$T$495=11)*('CASE MASTER'!$AA$2:$AA$495&lt;=1)*('CASE MASTER'!$AC$2:$AC$495&gt;=1)*('CASE MASTER'!$AB$2:$AB$495&lt;=4)*('CASE MASTER'!$AD$2:$AD$495&gt;=4))*ROW('CASE MASTER'!$T$2:$T$495))&gt;0,INDEX('CASE MASTER'!$Y$2:$Y$495,(SUMPRODUCT((('CASE MASTER'!$T$2:$T$495=11)*('CASE MASTER'!$AA$2:$AA$495&lt;=1)*('CASE MASTER'!$AC$2:$AC$495&gt;=1)*('CASE MASTER'!$AB$2:$AB$495&lt;=4)*('CASE MASTER'!$AD$2:$AD$495&gt;=4))*ROW('CASE MASTER'!$T$2:$T$495))-(ROW('CASE MASTER'!#REF!)-1)))&amp;TRIM(MID(SUBSTITUTE(SUBSTITUTE(INDEX('CASE MASTER'!$N$2:$N$495,(SUMPRODUCT((('CASE MASTER'!$T$2:$T$495=11)*('CASE MASTER'!$AA$2:$AA$495&lt;=1)*('CASE MASTER'!$AC$2:$AC$495&gt;=1)*('CASE MASTER'!$AB$2:$AB$495&lt;=4)*('CASE MASTER'!$AD$2:$AD$495&gt;=4))*ROW('CASE MASTER'!$T$2:$T$495))-(ROW('CASE MASTER'!#REF!)-1))),":",","),",",REPT(" ",50)),(((INDEX('CASE MASTER'!$Z$2:$Z$495,(SUMPRODUCT((('CASE MASTER'!$T$2:$T$495=11)*('CASE MASTER'!$AA$2:$AA$495&lt;=1)*('CASE MASTER'!$AC$2:$AC$495&gt;=1)*('CASE MASTER'!$AB$2:$AB$495&lt;=4)*('CASE MASTER'!$AD$2:$AD$495&gt;=4))*ROW('CASE MASTER'!$T$2:$T$495))-(ROW('CASE MASTER'!#REF!)-1)))+((1-INDEX('CASE MASTER'!$AA$2:$AA$495,(SUMPRODUCT((('CASE MASTER'!$T$2:$T$495=11)*('CASE MASTER'!$AA$2:$AA$495&lt;=1)*('CASE MASTER'!$AC$2:$AC$495&gt;=1)*('CASE MASTER'!$AB$2:$AB$495&lt;=4)*('CASE MASTER'!$AD$2:$AD$495&gt;=4))*ROW('CASE MASTER'!$T$2:$T$495))-(ROW('CASE MASTER'!#REF!)-1))))*(INDEX('CASE MASTER'!$AD$2:$AD$495,(SUMPRODUCT((('CASE MASTER'!$T$2:$T$495=11)*('CASE MASTER'!$AA$2:$AA$495&lt;=1)*('CASE MASTER'!$AC$2:$AC$495&gt;=1)*('CASE MASTER'!$AB$2:$AB$495&lt;=4)*('CASE MASTER'!$AD$2:$AD$495&gt;=4))*ROW('CASE MASTER'!$T$2:$T$495))-(ROW('CASE MASTER'!#REF!)-1)))-INDEX('CASE MASTER'!$AB$2:$AB$495,(SUMPRODUCT((('CASE MASTER'!$T$2:$T$495=11)*('CASE MASTER'!$AA$2:$AA$495&lt;=1)*('CASE MASTER'!$AC$2:$AC$495&gt;=1)*('CASE MASTER'!$AB$2:$AB$495&lt;=4)*('CASE MASTER'!$AD$2:$AD$495&gt;=4))*ROW('CASE MASTER'!$T$2:$T$495))-(ROW('CASE MASTER'!#REF!)-1)))+1)+(4-INDEX('CASE MASTER'!$AB$2:$AB$495,(SUMPRODUCT((('CASE MASTER'!$T$2:$T$495=11)*('CASE MASTER'!$AA$2:$AA$495&lt;=1)*('CASE MASTER'!$AC$2:$AC$495&gt;=1)*('CASE MASTER'!$AB$2:$AB$495&lt;=4)*('CASE MASTER'!$AD$2:$AD$495&gt;=4))*ROW('CASE MASTER'!$T$2:$T$495))-(ROW('CASE MASTER'!#REF!)-1))))+1)))-1)*50+1,50))&amp;"_"&amp;INDEX('CASE MASTER'!$Q$2:$Q$495,(SUMPRODUCT((('CASE MASTER'!$T$2:$T$495=11)*('CASE MASTER'!$AA$2:$AA$495&lt;=1)*('CASE MASTER'!$AC$2:$AC$495&gt;=1)*('CASE MASTER'!$AB$2:$AB$495&lt;=4)*('CASE MASTER'!$AD$2:$AD$495&gt;=4))*ROW('CASE MASTER'!$T$2:$T$495))-(ROW('CASE MASTER'!#REF!)-1))),"")),"")</f>
        <v/>
      </c>
      <c r="F143" s="10" t="str">
        <f>IFERROR(IF(SUMPRODUCT((('CASE MASTER'!$T$2:$T$495=11)*('CASE MASTER'!$U$2:$U$495&lt;=1)*('CASE MASTER'!$W$2:$W$495&gt;=1)*('CASE MASTER'!$V$2:$V$495&lt;=5)*('CASE MASTER'!$X$2:$X$495&gt;=5))*ROW('CASE MASTER'!$T$2:$T$495))&gt;0,INDEX('CASE MASTER'!$Y$2:$Y$495,(SUMPRODUCT((('CASE MASTER'!$T$2:$T$495=11)*('CASE MASTER'!$U$2:$U$495&lt;=1)*('CASE MASTER'!$W$2:$W$495&gt;=1)*('CASE MASTER'!$V$2:$V$495&lt;=5)*('CASE MASTER'!$X$2:$X$495&gt;=5))*ROW('CASE MASTER'!$T$2:$T$495))-(ROW('CASE MASTER'!#REF!)-1)))&amp;TRIM(MID(SUBSTITUTE(SUBSTITUTE(INDEX('CASE MASTER'!$N$2:$N$495,(SUMPRODUCT((('CASE MASTER'!$T$2:$T$495=11)*('CASE MASTER'!$U$2:$U$495&lt;=1)*('CASE MASTER'!$W$2:$W$495&gt;=1)*('CASE MASTER'!$V$2:$V$495&lt;=5)*('CASE MASTER'!$X$2:$X$495&gt;=5))*ROW('CASE MASTER'!$T$2:$T$495))-(ROW('CASE MASTER'!#REF!)-1))),":",","),",",REPT(" ",50)),((((1-INDEX('CASE MASTER'!$U$2:$U$495,(SUMPRODUCT((('CASE MASTER'!$T$2:$T$495=11)*('CASE MASTER'!$U$2:$U$495&lt;=1)*('CASE MASTER'!$W$2:$W$495&gt;=1)*('CASE MASTER'!$V$2:$V$495&lt;=5)*('CASE MASTER'!$X$2:$X$495&gt;=5))*ROW('CASE MASTER'!$T$2:$T$495))-(ROW('CASE MASTER'!#REF!)-1))))*(INDEX('CASE MASTER'!$X$2:$X$495,(SUMPRODUCT((('CASE MASTER'!$T$2:$T$495=11)*('CASE MASTER'!$U$2:$U$495&lt;=1)*('CASE MASTER'!$W$2:$W$495&gt;=1)*('CASE MASTER'!$V$2:$V$495&lt;=5)*('CASE MASTER'!$X$2:$X$495&gt;=5))*ROW('CASE MASTER'!$T$2:$T$495))-(ROW('CASE MASTER'!#REF!)-1)))-INDEX('CASE MASTER'!$V$2:$V$495,(SUMPRODUCT((('CASE MASTER'!$T$2:$T$495=11)*('CASE MASTER'!$U$2:$U$495&lt;=1)*('CASE MASTER'!$W$2:$W$495&gt;=1)*('CASE MASTER'!$V$2:$V$495&lt;=5)*('CASE MASTER'!$X$2:$X$495&gt;=5))*ROW('CASE MASTER'!$T$2:$T$495))-(ROW('CASE MASTER'!#REF!)-1)))+1)+(5-INDEX('CASE MASTER'!$V$2:$V$495,(SUMPRODUCT((('CASE MASTER'!$T$2:$T$495=11)*('CASE MASTER'!$U$2:$U$495&lt;=1)*('CASE MASTER'!$W$2:$W$495&gt;=1)*('CASE MASTER'!$V$2:$V$495&lt;=5)*('CASE MASTER'!$X$2:$X$495&gt;=5))*ROW('CASE MASTER'!$T$2:$T$495))-(ROW('CASE MASTER'!#REF!)-1))))+1))-1)*50+1,50))&amp;"_"&amp;INDEX('CASE MASTER'!$Q$2:$Q$495,(SUMPRODUCT((('CASE MASTER'!$T$2:$T$495=11)*('CASE MASTER'!$U$2:$U$495&lt;=1)*('CASE MASTER'!$W$2:$W$495&gt;=1)*('CASE MASTER'!$V$2:$V$495&lt;=5)*('CASE MASTER'!$X$2:$X$495&gt;=5))*ROW('CASE MASTER'!$T$2:$T$495))-(ROW('CASE MASTER'!#REF!)-1))),IF(SUMPRODUCT((('CASE MASTER'!$T$2:$T$495=11)*('CASE MASTER'!$AA$2:$AA$495&lt;=1)*('CASE MASTER'!$AC$2:$AC$495&gt;=1)*('CASE MASTER'!$AB$2:$AB$495&lt;=5)*('CASE MASTER'!$AD$2:$AD$495&gt;=5))*ROW('CASE MASTER'!$T$2:$T$495))&gt;0,INDEX('CASE MASTER'!$Y$2:$Y$495,(SUMPRODUCT((('CASE MASTER'!$T$2:$T$495=11)*('CASE MASTER'!$AA$2:$AA$495&lt;=1)*('CASE MASTER'!$AC$2:$AC$495&gt;=1)*('CASE MASTER'!$AB$2:$AB$495&lt;=5)*('CASE MASTER'!$AD$2:$AD$495&gt;=5))*ROW('CASE MASTER'!$T$2:$T$495))-(ROW('CASE MASTER'!#REF!)-1)))&amp;TRIM(MID(SUBSTITUTE(SUBSTITUTE(INDEX('CASE MASTER'!$N$2:$N$495,(SUMPRODUCT((('CASE MASTER'!$T$2:$T$495=11)*('CASE MASTER'!$AA$2:$AA$495&lt;=1)*('CASE MASTER'!$AC$2:$AC$495&gt;=1)*('CASE MASTER'!$AB$2:$AB$495&lt;=5)*('CASE MASTER'!$AD$2:$AD$495&gt;=5))*ROW('CASE MASTER'!$T$2:$T$495))-(ROW('CASE MASTER'!#REF!)-1))),":",","),",",REPT(" ",50)),(((INDEX('CASE MASTER'!$Z$2:$Z$495,(SUMPRODUCT((('CASE MASTER'!$T$2:$T$495=11)*('CASE MASTER'!$AA$2:$AA$495&lt;=1)*('CASE MASTER'!$AC$2:$AC$495&gt;=1)*('CASE MASTER'!$AB$2:$AB$495&lt;=5)*('CASE MASTER'!$AD$2:$AD$495&gt;=5))*ROW('CASE MASTER'!$T$2:$T$495))-(ROW('CASE MASTER'!#REF!)-1)))+((1-INDEX('CASE MASTER'!$AA$2:$AA$495,(SUMPRODUCT((('CASE MASTER'!$T$2:$T$495=11)*('CASE MASTER'!$AA$2:$AA$495&lt;=1)*('CASE MASTER'!$AC$2:$AC$495&gt;=1)*('CASE MASTER'!$AB$2:$AB$495&lt;=5)*('CASE MASTER'!$AD$2:$AD$495&gt;=5))*ROW('CASE MASTER'!$T$2:$T$495))-(ROW('CASE MASTER'!#REF!)-1))))*(INDEX('CASE MASTER'!$AD$2:$AD$495,(SUMPRODUCT((('CASE MASTER'!$T$2:$T$495=11)*('CASE MASTER'!$AA$2:$AA$495&lt;=1)*('CASE MASTER'!$AC$2:$AC$495&gt;=1)*('CASE MASTER'!$AB$2:$AB$495&lt;=5)*('CASE MASTER'!$AD$2:$AD$495&gt;=5))*ROW('CASE MASTER'!$T$2:$T$495))-(ROW('CASE MASTER'!#REF!)-1)))-INDEX('CASE MASTER'!$AB$2:$AB$495,(SUMPRODUCT((('CASE MASTER'!$T$2:$T$495=11)*('CASE MASTER'!$AA$2:$AA$495&lt;=1)*('CASE MASTER'!$AC$2:$AC$495&gt;=1)*('CASE MASTER'!$AB$2:$AB$495&lt;=5)*('CASE MASTER'!$AD$2:$AD$495&gt;=5))*ROW('CASE MASTER'!$T$2:$T$495))-(ROW('CASE MASTER'!#REF!)-1)))+1)+(5-INDEX('CASE MASTER'!$AB$2:$AB$495,(SUMPRODUCT((('CASE MASTER'!$T$2:$T$495=11)*('CASE MASTER'!$AA$2:$AA$495&lt;=1)*('CASE MASTER'!$AC$2:$AC$495&gt;=1)*('CASE MASTER'!$AB$2:$AB$495&lt;=5)*('CASE MASTER'!$AD$2:$AD$495&gt;=5))*ROW('CASE MASTER'!$T$2:$T$495))-(ROW('CASE MASTER'!#REF!)-1))))+1)))-1)*50+1,50))&amp;"_"&amp;INDEX('CASE MASTER'!$Q$2:$Q$495,(SUMPRODUCT((('CASE MASTER'!$T$2:$T$495=11)*('CASE MASTER'!$AA$2:$AA$495&lt;=1)*('CASE MASTER'!$AC$2:$AC$495&gt;=1)*('CASE MASTER'!$AB$2:$AB$495&lt;=5)*('CASE MASTER'!$AD$2:$AD$495&gt;=5))*ROW('CASE MASTER'!$T$2:$T$495))-(ROW('CASE MASTER'!#REF!)-1))),"")),"")</f>
        <v/>
      </c>
      <c r="G143" s="10" t="str">
        <f>IFERROR(IF(SUMPRODUCT((('CASE MASTER'!$T$2:$T$495=11)*('CASE MASTER'!$U$2:$U$495&lt;=1)*('CASE MASTER'!$W$2:$W$495&gt;=1)*('CASE MASTER'!$V$2:$V$495&lt;=6)*('CASE MASTER'!$X$2:$X$495&gt;=6))*ROW('CASE MASTER'!$T$2:$T$495))&gt;0,INDEX('CASE MASTER'!$Y$2:$Y$495,(SUMPRODUCT((('CASE MASTER'!$T$2:$T$495=11)*('CASE MASTER'!$U$2:$U$495&lt;=1)*('CASE MASTER'!$W$2:$W$495&gt;=1)*('CASE MASTER'!$V$2:$V$495&lt;=6)*('CASE MASTER'!$X$2:$X$495&gt;=6))*ROW('CASE MASTER'!$T$2:$T$495))-(ROW('CASE MASTER'!#REF!)-1)))&amp;TRIM(MID(SUBSTITUTE(SUBSTITUTE(INDEX('CASE MASTER'!$N$2:$N$495,(SUMPRODUCT((('CASE MASTER'!$T$2:$T$495=11)*('CASE MASTER'!$U$2:$U$495&lt;=1)*('CASE MASTER'!$W$2:$W$495&gt;=1)*('CASE MASTER'!$V$2:$V$495&lt;=6)*('CASE MASTER'!$X$2:$X$495&gt;=6))*ROW('CASE MASTER'!$T$2:$T$495))-(ROW('CASE MASTER'!#REF!)-1))),":",","),",",REPT(" ",50)),((((1-INDEX('CASE MASTER'!$U$2:$U$495,(SUMPRODUCT((('CASE MASTER'!$T$2:$T$495=11)*('CASE MASTER'!$U$2:$U$495&lt;=1)*('CASE MASTER'!$W$2:$W$495&gt;=1)*('CASE MASTER'!$V$2:$V$495&lt;=6)*('CASE MASTER'!$X$2:$X$495&gt;=6))*ROW('CASE MASTER'!$T$2:$T$495))-(ROW('CASE MASTER'!#REF!)-1))))*(INDEX('CASE MASTER'!$X$2:$X$495,(SUMPRODUCT((('CASE MASTER'!$T$2:$T$495=11)*('CASE MASTER'!$U$2:$U$495&lt;=1)*('CASE MASTER'!$W$2:$W$495&gt;=1)*('CASE MASTER'!$V$2:$V$495&lt;=6)*('CASE MASTER'!$X$2:$X$495&gt;=6))*ROW('CASE MASTER'!$T$2:$T$495))-(ROW('CASE MASTER'!#REF!)-1)))-INDEX('CASE MASTER'!$V$2:$V$495,(SUMPRODUCT((('CASE MASTER'!$T$2:$T$495=11)*('CASE MASTER'!$U$2:$U$495&lt;=1)*('CASE MASTER'!$W$2:$W$495&gt;=1)*('CASE MASTER'!$V$2:$V$495&lt;=6)*('CASE MASTER'!$X$2:$X$495&gt;=6))*ROW('CASE MASTER'!$T$2:$T$495))-(ROW('CASE MASTER'!#REF!)-1)))+1)+(6-INDEX('CASE MASTER'!$V$2:$V$495,(SUMPRODUCT((('CASE MASTER'!$T$2:$T$495=11)*('CASE MASTER'!$U$2:$U$495&lt;=1)*('CASE MASTER'!$W$2:$W$495&gt;=1)*('CASE MASTER'!$V$2:$V$495&lt;=6)*('CASE MASTER'!$X$2:$X$495&gt;=6))*ROW('CASE MASTER'!$T$2:$T$495))-(ROW('CASE MASTER'!#REF!)-1))))+1))-1)*50+1,50))&amp;"_"&amp;INDEX('CASE MASTER'!$Q$2:$Q$495,(SUMPRODUCT((('CASE MASTER'!$T$2:$T$495=11)*('CASE MASTER'!$U$2:$U$495&lt;=1)*('CASE MASTER'!$W$2:$W$495&gt;=1)*('CASE MASTER'!$V$2:$V$495&lt;=6)*('CASE MASTER'!$X$2:$X$495&gt;=6))*ROW('CASE MASTER'!$T$2:$T$495))-(ROW('CASE MASTER'!#REF!)-1))),IF(SUMPRODUCT((('CASE MASTER'!$T$2:$T$495=11)*('CASE MASTER'!$AA$2:$AA$495&lt;=1)*('CASE MASTER'!$AC$2:$AC$495&gt;=1)*('CASE MASTER'!$AB$2:$AB$495&lt;=6)*('CASE MASTER'!$AD$2:$AD$495&gt;=6))*ROW('CASE MASTER'!$T$2:$T$495))&gt;0,INDEX('CASE MASTER'!$Y$2:$Y$495,(SUMPRODUCT((('CASE MASTER'!$T$2:$T$495=11)*('CASE MASTER'!$AA$2:$AA$495&lt;=1)*('CASE MASTER'!$AC$2:$AC$495&gt;=1)*('CASE MASTER'!$AB$2:$AB$495&lt;=6)*('CASE MASTER'!$AD$2:$AD$495&gt;=6))*ROW('CASE MASTER'!$T$2:$T$495))-(ROW('CASE MASTER'!#REF!)-1)))&amp;TRIM(MID(SUBSTITUTE(SUBSTITUTE(INDEX('CASE MASTER'!$N$2:$N$495,(SUMPRODUCT((('CASE MASTER'!$T$2:$T$495=11)*('CASE MASTER'!$AA$2:$AA$495&lt;=1)*('CASE MASTER'!$AC$2:$AC$495&gt;=1)*('CASE MASTER'!$AB$2:$AB$495&lt;=6)*('CASE MASTER'!$AD$2:$AD$495&gt;=6))*ROW('CASE MASTER'!$T$2:$T$495))-(ROW('CASE MASTER'!#REF!)-1))),":",","),",",REPT(" ",50)),(((INDEX('CASE MASTER'!$Z$2:$Z$495,(SUMPRODUCT((('CASE MASTER'!$T$2:$T$495=11)*('CASE MASTER'!$AA$2:$AA$495&lt;=1)*('CASE MASTER'!$AC$2:$AC$495&gt;=1)*('CASE MASTER'!$AB$2:$AB$495&lt;=6)*('CASE MASTER'!$AD$2:$AD$495&gt;=6))*ROW('CASE MASTER'!$T$2:$T$495))-(ROW('CASE MASTER'!#REF!)-1)))+((1-INDEX('CASE MASTER'!$AA$2:$AA$495,(SUMPRODUCT((('CASE MASTER'!$T$2:$T$495=11)*('CASE MASTER'!$AA$2:$AA$495&lt;=1)*('CASE MASTER'!$AC$2:$AC$495&gt;=1)*('CASE MASTER'!$AB$2:$AB$495&lt;=6)*('CASE MASTER'!$AD$2:$AD$495&gt;=6))*ROW('CASE MASTER'!$T$2:$T$495))-(ROW('CASE MASTER'!#REF!)-1))))*(INDEX('CASE MASTER'!$AD$2:$AD$495,(SUMPRODUCT((('CASE MASTER'!$T$2:$T$495=11)*('CASE MASTER'!$AA$2:$AA$495&lt;=1)*('CASE MASTER'!$AC$2:$AC$495&gt;=1)*('CASE MASTER'!$AB$2:$AB$495&lt;=6)*('CASE MASTER'!$AD$2:$AD$495&gt;=6))*ROW('CASE MASTER'!$T$2:$T$495))-(ROW('CASE MASTER'!#REF!)-1)))-INDEX('CASE MASTER'!$AB$2:$AB$495,(SUMPRODUCT((('CASE MASTER'!$T$2:$T$495=11)*('CASE MASTER'!$AA$2:$AA$495&lt;=1)*('CASE MASTER'!$AC$2:$AC$495&gt;=1)*('CASE MASTER'!$AB$2:$AB$495&lt;=6)*('CASE MASTER'!$AD$2:$AD$495&gt;=6))*ROW('CASE MASTER'!$T$2:$T$495))-(ROW('CASE MASTER'!#REF!)-1)))+1)+(6-INDEX('CASE MASTER'!$AB$2:$AB$495,(SUMPRODUCT((('CASE MASTER'!$T$2:$T$495=11)*('CASE MASTER'!$AA$2:$AA$495&lt;=1)*('CASE MASTER'!$AC$2:$AC$495&gt;=1)*('CASE MASTER'!$AB$2:$AB$495&lt;=6)*('CASE MASTER'!$AD$2:$AD$495&gt;=6))*ROW('CASE MASTER'!$T$2:$T$495))-(ROW('CASE MASTER'!#REF!)-1))))+1)))-1)*50+1,50))&amp;"_"&amp;INDEX('CASE MASTER'!$Q$2:$Q$495,(SUMPRODUCT((('CASE MASTER'!$T$2:$T$495=11)*('CASE MASTER'!$AA$2:$AA$495&lt;=1)*('CASE MASTER'!$AC$2:$AC$495&gt;=1)*('CASE MASTER'!$AB$2:$AB$495&lt;=6)*('CASE MASTER'!$AD$2:$AD$495&gt;=6))*ROW('CASE MASTER'!$T$2:$T$495))-(ROW('CASE MASTER'!#REF!)-1))),"")),"")</f>
        <v/>
      </c>
      <c r="H143" s="10" t="str">
        <f>IFERROR(IF(SUMPRODUCT((('CASE MASTER'!$T$2:$T$495=11)*('CASE MASTER'!$U$2:$U$495&lt;=1)*('CASE MASTER'!$W$2:$W$495&gt;=1)*('CASE MASTER'!$V$2:$V$495&lt;=7)*('CASE MASTER'!$X$2:$X$495&gt;=7))*ROW('CASE MASTER'!$T$2:$T$495))&gt;0,INDEX('CASE MASTER'!$Y$2:$Y$495,(SUMPRODUCT((('CASE MASTER'!$T$2:$T$495=11)*('CASE MASTER'!$U$2:$U$495&lt;=1)*('CASE MASTER'!$W$2:$W$495&gt;=1)*('CASE MASTER'!$V$2:$V$495&lt;=7)*('CASE MASTER'!$X$2:$X$495&gt;=7))*ROW('CASE MASTER'!$T$2:$T$495))-(ROW('CASE MASTER'!#REF!)-1)))&amp;TRIM(MID(SUBSTITUTE(SUBSTITUTE(INDEX('CASE MASTER'!$N$2:$N$495,(SUMPRODUCT((('CASE MASTER'!$T$2:$T$495=11)*('CASE MASTER'!$U$2:$U$495&lt;=1)*('CASE MASTER'!$W$2:$W$495&gt;=1)*('CASE MASTER'!$V$2:$V$495&lt;=7)*('CASE MASTER'!$X$2:$X$495&gt;=7))*ROW('CASE MASTER'!$T$2:$T$495))-(ROW('CASE MASTER'!#REF!)-1))),":",","),",",REPT(" ",50)),((((1-INDEX('CASE MASTER'!$U$2:$U$495,(SUMPRODUCT((('CASE MASTER'!$T$2:$T$495=11)*('CASE MASTER'!$U$2:$U$495&lt;=1)*('CASE MASTER'!$W$2:$W$495&gt;=1)*('CASE MASTER'!$V$2:$V$495&lt;=7)*('CASE MASTER'!$X$2:$X$495&gt;=7))*ROW('CASE MASTER'!$T$2:$T$495))-(ROW('CASE MASTER'!#REF!)-1))))*(INDEX('CASE MASTER'!$X$2:$X$495,(SUMPRODUCT((('CASE MASTER'!$T$2:$T$495=11)*('CASE MASTER'!$U$2:$U$495&lt;=1)*('CASE MASTER'!$W$2:$W$495&gt;=1)*('CASE MASTER'!$V$2:$V$495&lt;=7)*('CASE MASTER'!$X$2:$X$495&gt;=7))*ROW('CASE MASTER'!$T$2:$T$495))-(ROW('CASE MASTER'!#REF!)-1)))-INDEX('CASE MASTER'!$V$2:$V$495,(SUMPRODUCT((('CASE MASTER'!$T$2:$T$495=11)*('CASE MASTER'!$U$2:$U$495&lt;=1)*('CASE MASTER'!$W$2:$W$495&gt;=1)*('CASE MASTER'!$V$2:$V$495&lt;=7)*('CASE MASTER'!$X$2:$X$495&gt;=7))*ROW('CASE MASTER'!$T$2:$T$495))-(ROW('CASE MASTER'!#REF!)-1)))+1)+(7-INDEX('CASE MASTER'!$V$2:$V$495,(SUMPRODUCT((('CASE MASTER'!$T$2:$T$495=11)*('CASE MASTER'!$U$2:$U$495&lt;=1)*('CASE MASTER'!$W$2:$W$495&gt;=1)*('CASE MASTER'!$V$2:$V$495&lt;=7)*('CASE MASTER'!$X$2:$X$495&gt;=7))*ROW('CASE MASTER'!$T$2:$T$495))-(ROW('CASE MASTER'!#REF!)-1))))+1))-1)*50+1,50))&amp;"_"&amp;INDEX('CASE MASTER'!$Q$2:$Q$495,(SUMPRODUCT((('CASE MASTER'!$T$2:$T$495=11)*('CASE MASTER'!$U$2:$U$495&lt;=1)*('CASE MASTER'!$W$2:$W$495&gt;=1)*('CASE MASTER'!$V$2:$V$495&lt;=7)*('CASE MASTER'!$X$2:$X$495&gt;=7))*ROW('CASE MASTER'!$T$2:$T$495))-(ROW('CASE MASTER'!#REF!)-1))),IF(SUMPRODUCT((('CASE MASTER'!$T$2:$T$495=11)*('CASE MASTER'!$AA$2:$AA$495&lt;=1)*('CASE MASTER'!$AC$2:$AC$495&gt;=1)*('CASE MASTER'!$AB$2:$AB$495&lt;=7)*('CASE MASTER'!$AD$2:$AD$495&gt;=7))*ROW('CASE MASTER'!$T$2:$T$495))&gt;0,INDEX('CASE MASTER'!$Y$2:$Y$495,(SUMPRODUCT((('CASE MASTER'!$T$2:$T$495=11)*('CASE MASTER'!$AA$2:$AA$495&lt;=1)*('CASE MASTER'!$AC$2:$AC$495&gt;=1)*('CASE MASTER'!$AB$2:$AB$495&lt;=7)*('CASE MASTER'!$AD$2:$AD$495&gt;=7))*ROW('CASE MASTER'!$T$2:$T$495))-(ROW('CASE MASTER'!#REF!)-1)))&amp;TRIM(MID(SUBSTITUTE(SUBSTITUTE(INDEX('CASE MASTER'!$N$2:$N$495,(SUMPRODUCT((('CASE MASTER'!$T$2:$T$495=11)*('CASE MASTER'!$AA$2:$AA$495&lt;=1)*('CASE MASTER'!$AC$2:$AC$495&gt;=1)*('CASE MASTER'!$AB$2:$AB$495&lt;=7)*('CASE MASTER'!$AD$2:$AD$495&gt;=7))*ROW('CASE MASTER'!$T$2:$T$495))-(ROW('CASE MASTER'!#REF!)-1))),":",","),",",REPT(" ",50)),(((INDEX('CASE MASTER'!$Z$2:$Z$495,(SUMPRODUCT((('CASE MASTER'!$T$2:$T$495=11)*('CASE MASTER'!$AA$2:$AA$495&lt;=1)*('CASE MASTER'!$AC$2:$AC$495&gt;=1)*('CASE MASTER'!$AB$2:$AB$495&lt;=7)*('CASE MASTER'!$AD$2:$AD$495&gt;=7))*ROW('CASE MASTER'!$T$2:$T$495))-(ROW('CASE MASTER'!#REF!)-1)))+((1-INDEX('CASE MASTER'!$AA$2:$AA$495,(SUMPRODUCT((('CASE MASTER'!$T$2:$T$495=11)*('CASE MASTER'!$AA$2:$AA$495&lt;=1)*('CASE MASTER'!$AC$2:$AC$495&gt;=1)*('CASE MASTER'!$AB$2:$AB$495&lt;=7)*('CASE MASTER'!$AD$2:$AD$495&gt;=7))*ROW('CASE MASTER'!$T$2:$T$495))-(ROW('CASE MASTER'!#REF!)-1))))*(INDEX('CASE MASTER'!$AD$2:$AD$495,(SUMPRODUCT((('CASE MASTER'!$T$2:$T$495=11)*('CASE MASTER'!$AA$2:$AA$495&lt;=1)*('CASE MASTER'!$AC$2:$AC$495&gt;=1)*('CASE MASTER'!$AB$2:$AB$495&lt;=7)*('CASE MASTER'!$AD$2:$AD$495&gt;=7))*ROW('CASE MASTER'!$T$2:$T$495))-(ROW('CASE MASTER'!#REF!)-1)))-INDEX('CASE MASTER'!$AB$2:$AB$495,(SUMPRODUCT((('CASE MASTER'!$T$2:$T$495=11)*('CASE MASTER'!$AA$2:$AA$495&lt;=1)*('CASE MASTER'!$AC$2:$AC$495&gt;=1)*('CASE MASTER'!$AB$2:$AB$495&lt;=7)*('CASE MASTER'!$AD$2:$AD$495&gt;=7))*ROW('CASE MASTER'!$T$2:$T$495))-(ROW('CASE MASTER'!#REF!)-1)))+1)+(7-INDEX('CASE MASTER'!$AB$2:$AB$495,(SUMPRODUCT((('CASE MASTER'!$T$2:$T$495=11)*('CASE MASTER'!$AA$2:$AA$495&lt;=1)*('CASE MASTER'!$AC$2:$AC$495&gt;=1)*('CASE MASTER'!$AB$2:$AB$495&lt;=7)*('CASE MASTER'!$AD$2:$AD$495&gt;=7))*ROW('CASE MASTER'!$T$2:$T$495))-(ROW('CASE MASTER'!#REF!)-1))))+1)))-1)*50+1,50))&amp;"_"&amp;INDEX('CASE MASTER'!$Q$2:$Q$495,(SUMPRODUCT((('CASE MASTER'!$T$2:$T$495=11)*('CASE MASTER'!$AA$2:$AA$495&lt;=1)*('CASE MASTER'!$AC$2:$AC$495&gt;=1)*('CASE MASTER'!$AB$2:$AB$495&lt;=7)*('CASE MASTER'!$AD$2:$AD$495&gt;=7))*ROW('CASE MASTER'!$T$2:$T$495))-(ROW('CASE MASTER'!#REF!)-1))),"")),"")</f>
        <v/>
      </c>
      <c r="I143" s="10" t="str">
        <f>IFERROR(IF(SUMPRODUCT((('CASE MASTER'!$T$2:$T$495=11)*('CASE MASTER'!$U$2:$U$495&lt;=1)*('CASE MASTER'!$W$2:$W$495&gt;=1)*('CASE MASTER'!$V$2:$V$495&lt;=8)*('CASE MASTER'!$X$2:$X$495&gt;=8))*ROW('CASE MASTER'!$T$2:$T$495))&gt;0,INDEX('CASE MASTER'!$Y$2:$Y$495,(SUMPRODUCT((('CASE MASTER'!$T$2:$T$495=11)*('CASE MASTER'!$U$2:$U$495&lt;=1)*('CASE MASTER'!$W$2:$W$495&gt;=1)*('CASE MASTER'!$V$2:$V$495&lt;=8)*('CASE MASTER'!$X$2:$X$495&gt;=8))*ROW('CASE MASTER'!$T$2:$T$495))-(ROW('CASE MASTER'!#REF!)-1)))&amp;TRIM(MID(SUBSTITUTE(SUBSTITUTE(INDEX('CASE MASTER'!$N$2:$N$495,(SUMPRODUCT((('CASE MASTER'!$T$2:$T$495=11)*('CASE MASTER'!$U$2:$U$495&lt;=1)*('CASE MASTER'!$W$2:$W$495&gt;=1)*('CASE MASTER'!$V$2:$V$495&lt;=8)*('CASE MASTER'!$X$2:$X$495&gt;=8))*ROW('CASE MASTER'!$T$2:$T$495))-(ROW('CASE MASTER'!#REF!)-1))),":",","),",",REPT(" ",50)),((((1-INDEX('CASE MASTER'!$U$2:$U$495,(SUMPRODUCT((('CASE MASTER'!$T$2:$T$495=11)*('CASE MASTER'!$U$2:$U$495&lt;=1)*('CASE MASTER'!$W$2:$W$495&gt;=1)*('CASE MASTER'!$V$2:$V$495&lt;=8)*('CASE MASTER'!$X$2:$X$495&gt;=8))*ROW('CASE MASTER'!$T$2:$T$495))-(ROW('CASE MASTER'!#REF!)-1))))*(INDEX('CASE MASTER'!$X$2:$X$495,(SUMPRODUCT((('CASE MASTER'!$T$2:$T$495=11)*('CASE MASTER'!$U$2:$U$495&lt;=1)*('CASE MASTER'!$W$2:$W$495&gt;=1)*('CASE MASTER'!$V$2:$V$495&lt;=8)*('CASE MASTER'!$X$2:$X$495&gt;=8))*ROW('CASE MASTER'!$T$2:$T$495))-(ROW('CASE MASTER'!#REF!)-1)))-INDEX('CASE MASTER'!$V$2:$V$495,(SUMPRODUCT((('CASE MASTER'!$T$2:$T$495=11)*('CASE MASTER'!$U$2:$U$495&lt;=1)*('CASE MASTER'!$W$2:$W$495&gt;=1)*('CASE MASTER'!$V$2:$V$495&lt;=8)*('CASE MASTER'!$X$2:$X$495&gt;=8))*ROW('CASE MASTER'!$T$2:$T$495))-(ROW('CASE MASTER'!#REF!)-1)))+1)+(8-INDEX('CASE MASTER'!$V$2:$V$495,(SUMPRODUCT((('CASE MASTER'!$T$2:$T$495=11)*('CASE MASTER'!$U$2:$U$495&lt;=1)*('CASE MASTER'!$W$2:$W$495&gt;=1)*('CASE MASTER'!$V$2:$V$495&lt;=8)*('CASE MASTER'!$X$2:$X$495&gt;=8))*ROW('CASE MASTER'!$T$2:$T$495))-(ROW('CASE MASTER'!#REF!)-1))))+1))-1)*50+1,50))&amp;"_"&amp;INDEX('CASE MASTER'!$Q$2:$Q$495,(SUMPRODUCT((('CASE MASTER'!$T$2:$T$495=11)*('CASE MASTER'!$U$2:$U$495&lt;=1)*('CASE MASTER'!$W$2:$W$495&gt;=1)*('CASE MASTER'!$V$2:$V$495&lt;=8)*('CASE MASTER'!$X$2:$X$495&gt;=8))*ROW('CASE MASTER'!$T$2:$T$495))-(ROW('CASE MASTER'!#REF!)-1))),IF(SUMPRODUCT((('CASE MASTER'!$T$2:$T$495=11)*('CASE MASTER'!$AA$2:$AA$495&lt;=1)*('CASE MASTER'!$AC$2:$AC$495&gt;=1)*('CASE MASTER'!$AB$2:$AB$495&lt;=8)*('CASE MASTER'!$AD$2:$AD$495&gt;=8))*ROW('CASE MASTER'!$T$2:$T$495))&gt;0,INDEX('CASE MASTER'!$Y$2:$Y$495,(SUMPRODUCT((('CASE MASTER'!$T$2:$T$495=11)*('CASE MASTER'!$AA$2:$AA$495&lt;=1)*('CASE MASTER'!$AC$2:$AC$495&gt;=1)*('CASE MASTER'!$AB$2:$AB$495&lt;=8)*('CASE MASTER'!$AD$2:$AD$495&gt;=8))*ROW('CASE MASTER'!$T$2:$T$495))-(ROW('CASE MASTER'!#REF!)-1)))&amp;TRIM(MID(SUBSTITUTE(SUBSTITUTE(INDEX('CASE MASTER'!$N$2:$N$495,(SUMPRODUCT((('CASE MASTER'!$T$2:$T$495=11)*('CASE MASTER'!$AA$2:$AA$495&lt;=1)*('CASE MASTER'!$AC$2:$AC$495&gt;=1)*('CASE MASTER'!$AB$2:$AB$495&lt;=8)*('CASE MASTER'!$AD$2:$AD$495&gt;=8))*ROW('CASE MASTER'!$T$2:$T$495))-(ROW('CASE MASTER'!#REF!)-1))),":",","),",",REPT(" ",50)),(((INDEX('CASE MASTER'!$Z$2:$Z$495,(SUMPRODUCT((('CASE MASTER'!$T$2:$T$495=11)*('CASE MASTER'!$AA$2:$AA$495&lt;=1)*('CASE MASTER'!$AC$2:$AC$495&gt;=1)*('CASE MASTER'!$AB$2:$AB$495&lt;=8)*('CASE MASTER'!$AD$2:$AD$495&gt;=8))*ROW('CASE MASTER'!$T$2:$T$495))-(ROW('CASE MASTER'!#REF!)-1)))+((1-INDEX('CASE MASTER'!$AA$2:$AA$495,(SUMPRODUCT((('CASE MASTER'!$T$2:$T$495=11)*('CASE MASTER'!$AA$2:$AA$495&lt;=1)*('CASE MASTER'!$AC$2:$AC$495&gt;=1)*('CASE MASTER'!$AB$2:$AB$495&lt;=8)*('CASE MASTER'!$AD$2:$AD$495&gt;=8))*ROW('CASE MASTER'!$T$2:$T$495))-(ROW('CASE MASTER'!#REF!)-1))))*(INDEX('CASE MASTER'!$AD$2:$AD$495,(SUMPRODUCT((('CASE MASTER'!$T$2:$T$495=11)*('CASE MASTER'!$AA$2:$AA$495&lt;=1)*('CASE MASTER'!$AC$2:$AC$495&gt;=1)*('CASE MASTER'!$AB$2:$AB$495&lt;=8)*('CASE MASTER'!$AD$2:$AD$495&gt;=8))*ROW('CASE MASTER'!$T$2:$T$495))-(ROW('CASE MASTER'!#REF!)-1)))-INDEX('CASE MASTER'!$AB$2:$AB$495,(SUMPRODUCT((('CASE MASTER'!$T$2:$T$495=11)*('CASE MASTER'!$AA$2:$AA$495&lt;=1)*('CASE MASTER'!$AC$2:$AC$495&gt;=1)*('CASE MASTER'!$AB$2:$AB$495&lt;=8)*('CASE MASTER'!$AD$2:$AD$495&gt;=8))*ROW('CASE MASTER'!$T$2:$T$495))-(ROW('CASE MASTER'!#REF!)-1)))+1)+(8-INDEX('CASE MASTER'!$AB$2:$AB$495,(SUMPRODUCT((('CASE MASTER'!$T$2:$T$495=11)*('CASE MASTER'!$AA$2:$AA$495&lt;=1)*('CASE MASTER'!$AC$2:$AC$495&gt;=1)*('CASE MASTER'!$AB$2:$AB$495&lt;=8)*('CASE MASTER'!$AD$2:$AD$495&gt;=8))*ROW('CASE MASTER'!$T$2:$T$495))-(ROW('CASE MASTER'!#REF!)-1))))+1)))-1)*50+1,50))&amp;"_"&amp;INDEX('CASE MASTER'!$Q$2:$Q$495,(SUMPRODUCT((('CASE MASTER'!$T$2:$T$495=11)*('CASE MASTER'!$AA$2:$AA$495&lt;=1)*('CASE MASTER'!$AC$2:$AC$495&gt;=1)*('CASE MASTER'!$AB$2:$AB$495&lt;=8)*('CASE MASTER'!$AD$2:$AD$495&gt;=8))*ROW('CASE MASTER'!$T$2:$T$495))-(ROW('CASE MASTER'!#REF!)-1))),"")),"")</f>
        <v/>
      </c>
      <c r="J143" s="10" t="str">
        <f>IFERROR(IF(SUMPRODUCT((('CASE MASTER'!$T$2:$T$495=11)*('CASE MASTER'!$U$2:$U$495&lt;=1)*('CASE MASTER'!$W$2:$W$495&gt;=1)*('CASE MASTER'!$V$2:$V$495&lt;=9)*('CASE MASTER'!$X$2:$X$495&gt;=9))*ROW('CASE MASTER'!$T$2:$T$495))&gt;0,INDEX('CASE MASTER'!$Y$2:$Y$495,(SUMPRODUCT((('CASE MASTER'!$T$2:$T$495=11)*('CASE MASTER'!$U$2:$U$495&lt;=1)*('CASE MASTER'!$W$2:$W$495&gt;=1)*('CASE MASTER'!$V$2:$V$495&lt;=9)*('CASE MASTER'!$X$2:$X$495&gt;=9))*ROW('CASE MASTER'!$T$2:$T$495))-(ROW('CASE MASTER'!#REF!)-1)))&amp;TRIM(MID(SUBSTITUTE(SUBSTITUTE(INDEX('CASE MASTER'!$N$2:$N$495,(SUMPRODUCT((('CASE MASTER'!$T$2:$T$495=11)*('CASE MASTER'!$U$2:$U$495&lt;=1)*('CASE MASTER'!$W$2:$W$495&gt;=1)*('CASE MASTER'!$V$2:$V$495&lt;=9)*('CASE MASTER'!$X$2:$X$495&gt;=9))*ROW('CASE MASTER'!$T$2:$T$495))-(ROW('CASE MASTER'!#REF!)-1))),":",","),",",REPT(" ",50)),((((1-INDEX('CASE MASTER'!$U$2:$U$495,(SUMPRODUCT((('CASE MASTER'!$T$2:$T$495=11)*('CASE MASTER'!$U$2:$U$495&lt;=1)*('CASE MASTER'!$W$2:$W$495&gt;=1)*('CASE MASTER'!$V$2:$V$495&lt;=9)*('CASE MASTER'!$X$2:$X$495&gt;=9))*ROW('CASE MASTER'!$T$2:$T$495))-(ROW('CASE MASTER'!#REF!)-1))))*(INDEX('CASE MASTER'!$X$2:$X$495,(SUMPRODUCT((('CASE MASTER'!$T$2:$T$495=11)*('CASE MASTER'!$U$2:$U$495&lt;=1)*('CASE MASTER'!$W$2:$W$495&gt;=1)*('CASE MASTER'!$V$2:$V$495&lt;=9)*('CASE MASTER'!$X$2:$X$495&gt;=9))*ROW('CASE MASTER'!$T$2:$T$495))-(ROW('CASE MASTER'!#REF!)-1)))-INDEX('CASE MASTER'!$V$2:$V$495,(SUMPRODUCT((('CASE MASTER'!$T$2:$T$495=11)*('CASE MASTER'!$U$2:$U$495&lt;=1)*('CASE MASTER'!$W$2:$W$495&gt;=1)*('CASE MASTER'!$V$2:$V$495&lt;=9)*('CASE MASTER'!$X$2:$X$495&gt;=9))*ROW('CASE MASTER'!$T$2:$T$495))-(ROW('CASE MASTER'!#REF!)-1)))+1)+(9-INDEX('CASE MASTER'!$V$2:$V$495,(SUMPRODUCT((('CASE MASTER'!$T$2:$T$495=11)*('CASE MASTER'!$U$2:$U$495&lt;=1)*('CASE MASTER'!$W$2:$W$495&gt;=1)*('CASE MASTER'!$V$2:$V$495&lt;=9)*('CASE MASTER'!$X$2:$X$495&gt;=9))*ROW('CASE MASTER'!$T$2:$T$495))-(ROW('CASE MASTER'!#REF!)-1))))+1))-1)*50+1,50))&amp;"_"&amp;INDEX('CASE MASTER'!$Q$2:$Q$495,(SUMPRODUCT((('CASE MASTER'!$T$2:$T$495=11)*('CASE MASTER'!$U$2:$U$495&lt;=1)*('CASE MASTER'!$W$2:$W$495&gt;=1)*('CASE MASTER'!$V$2:$V$495&lt;=9)*('CASE MASTER'!$X$2:$X$495&gt;=9))*ROW('CASE MASTER'!$T$2:$T$495))-(ROW('CASE MASTER'!#REF!)-1))),IF(SUMPRODUCT((('CASE MASTER'!$T$2:$T$495=11)*('CASE MASTER'!$AA$2:$AA$495&lt;=1)*('CASE MASTER'!$AC$2:$AC$495&gt;=1)*('CASE MASTER'!$AB$2:$AB$495&lt;=9)*('CASE MASTER'!$AD$2:$AD$495&gt;=9))*ROW('CASE MASTER'!$T$2:$T$495))&gt;0,INDEX('CASE MASTER'!$Y$2:$Y$495,(SUMPRODUCT((('CASE MASTER'!$T$2:$T$495=11)*('CASE MASTER'!$AA$2:$AA$495&lt;=1)*('CASE MASTER'!$AC$2:$AC$495&gt;=1)*('CASE MASTER'!$AB$2:$AB$495&lt;=9)*('CASE MASTER'!$AD$2:$AD$495&gt;=9))*ROW('CASE MASTER'!$T$2:$T$495))-(ROW('CASE MASTER'!#REF!)-1)))&amp;TRIM(MID(SUBSTITUTE(SUBSTITUTE(INDEX('CASE MASTER'!$N$2:$N$495,(SUMPRODUCT((('CASE MASTER'!$T$2:$T$495=11)*('CASE MASTER'!$AA$2:$AA$495&lt;=1)*('CASE MASTER'!$AC$2:$AC$495&gt;=1)*('CASE MASTER'!$AB$2:$AB$495&lt;=9)*('CASE MASTER'!$AD$2:$AD$495&gt;=9))*ROW('CASE MASTER'!$T$2:$T$495))-(ROW('CASE MASTER'!#REF!)-1))),":",","),",",REPT(" ",50)),(((INDEX('CASE MASTER'!$Z$2:$Z$495,(SUMPRODUCT((('CASE MASTER'!$T$2:$T$495=11)*('CASE MASTER'!$AA$2:$AA$495&lt;=1)*('CASE MASTER'!$AC$2:$AC$495&gt;=1)*('CASE MASTER'!$AB$2:$AB$495&lt;=9)*('CASE MASTER'!$AD$2:$AD$495&gt;=9))*ROW('CASE MASTER'!$T$2:$T$495))-(ROW('CASE MASTER'!#REF!)-1)))+((1-INDEX('CASE MASTER'!$AA$2:$AA$495,(SUMPRODUCT((('CASE MASTER'!$T$2:$T$495=11)*('CASE MASTER'!$AA$2:$AA$495&lt;=1)*('CASE MASTER'!$AC$2:$AC$495&gt;=1)*('CASE MASTER'!$AB$2:$AB$495&lt;=9)*('CASE MASTER'!$AD$2:$AD$495&gt;=9))*ROW('CASE MASTER'!$T$2:$T$495))-(ROW('CASE MASTER'!#REF!)-1))))*(INDEX('CASE MASTER'!$AD$2:$AD$495,(SUMPRODUCT((('CASE MASTER'!$T$2:$T$495=11)*('CASE MASTER'!$AA$2:$AA$495&lt;=1)*('CASE MASTER'!$AC$2:$AC$495&gt;=1)*('CASE MASTER'!$AB$2:$AB$495&lt;=9)*('CASE MASTER'!$AD$2:$AD$495&gt;=9))*ROW('CASE MASTER'!$T$2:$T$495))-(ROW('CASE MASTER'!#REF!)-1)))-INDEX('CASE MASTER'!$AB$2:$AB$495,(SUMPRODUCT((('CASE MASTER'!$T$2:$T$495=11)*('CASE MASTER'!$AA$2:$AA$495&lt;=1)*('CASE MASTER'!$AC$2:$AC$495&gt;=1)*('CASE MASTER'!$AB$2:$AB$495&lt;=9)*('CASE MASTER'!$AD$2:$AD$495&gt;=9))*ROW('CASE MASTER'!$T$2:$T$495))-(ROW('CASE MASTER'!#REF!)-1)))+1)+(9-INDEX('CASE MASTER'!$AB$2:$AB$495,(SUMPRODUCT((('CASE MASTER'!$T$2:$T$495=11)*('CASE MASTER'!$AA$2:$AA$495&lt;=1)*('CASE MASTER'!$AC$2:$AC$495&gt;=1)*('CASE MASTER'!$AB$2:$AB$495&lt;=9)*('CASE MASTER'!$AD$2:$AD$495&gt;=9))*ROW('CASE MASTER'!$T$2:$T$495))-(ROW('CASE MASTER'!#REF!)-1))))+1)))-1)*50+1,50))&amp;"_"&amp;INDEX('CASE MASTER'!$Q$2:$Q$495,(SUMPRODUCT((('CASE MASTER'!$T$2:$T$495=11)*('CASE MASTER'!$AA$2:$AA$495&lt;=1)*('CASE MASTER'!$AC$2:$AC$495&gt;=1)*('CASE MASTER'!$AB$2:$AB$495&lt;=9)*('CASE MASTER'!$AD$2:$AD$495&gt;=9))*ROW('CASE MASTER'!$T$2:$T$495))-(ROW('CASE MASTER'!#REF!)-1))),"")),"")</f>
        <v/>
      </c>
      <c r="K143" s="10" t="str">
        <f>IFERROR(IF(SUMPRODUCT((('CASE MASTER'!$T$2:$T$495=11)*('CASE MASTER'!$U$2:$U$495&lt;=1)*('CASE MASTER'!$W$2:$W$495&gt;=1)*('CASE MASTER'!$V$2:$V$495&lt;=10)*('CASE MASTER'!$X$2:$X$495&gt;=10))*ROW('CASE MASTER'!$T$2:$T$495))&gt;0,INDEX('CASE MASTER'!$Y$2:$Y$495,(SUMPRODUCT((('CASE MASTER'!$T$2:$T$495=11)*('CASE MASTER'!$U$2:$U$495&lt;=1)*('CASE MASTER'!$W$2:$W$495&gt;=1)*('CASE MASTER'!$V$2:$V$495&lt;=10)*('CASE MASTER'!$X$2:$X$495&gt;=10))*ROW('CASE MASTER'!$T$2:$T$495))-(ROW('CASE MASTER'!#REF!)-1)))&amp;TRIM(MID(SUBSTITUTE(SUBSTITUTE(INDEX('CASE MASTER'!$N$2:$N$495,(SUMPRODUCT((('CASE MASTER'!$T$2:$T$495=11)*('CASE MASTER'!$U$2:$U$495&lt;=1)*('CASE MASTER'!$W$2:$W$495&gt;=1)*('CASE MASTER'!$V$2:$V$495&lt;=10)*('CASE MASTER'!$X$2:$X$495&gt;=10))*ROW('CASE MASTER'!$T$2:$T$495))-(ROW('CASE MASTER'!#REF!)-1))),":",","),",",REPT(" ",50)),((((1-INDEX('CASE MASTER'!$U$2:$U$495,(SUMPRODUCT((('CASE MASTER'!$T$2:$T$495=11)*('CASE MASTER'!$U$2:$U$495&lt;=1)*('CASE MASTER'!$W$2:$W$495&gt;=1)*('CASE MASTER'!$V$2:$V$495&lt;=10)*('CASE MASTER'!$X$2:$X$495&gt;=10))*ROW('CASE MASTER'!$T$2:$T$495))-(ROW('CASE MASTER'!#REF!)-1))))*(INDEX('CASE MASTER'!$X$2:$X$495,(SUMPRODUCT((('CASE MASTER'!$T$2:$T$495=11)*('CASE MASTER'!$U$2:$U$495&lt;=1)*('CASE MASTER'!$W$2:$W$495&gt;=1)*('CASE MASTER'!$V$2:$V$495&lt;=10)*('CASE MASTER'!$X$2:$X$495&gt;=10))*ROW('CASE MASTER'!$T$2:$T$495))-(ROW('CASE MASTER'!#REF!)-1)))-INDEX('CASE MASTER'!$V$2:$V$495,(SUMPRODUCT((('CASE MASTER'!$T$2:$T$495=11)*('CASE MASTER'!$U$2:$U$495&lt;=1)*('CASE MASTER'!$W$2:$W$495&gt;=1)*('CASE MASTER'!$V$2:$V$495&lt;=10)*('CASE MASTER'!$X$2:$X$495&gt;=10))*ROW('CASE MASTER'!$T$2:$T$495))-(ROW('CASE MASTER'!#REF!)-1)))+1)+(10-INDEX('CASE MASTER'!$V$2:$V$495,(SUMPRODUCT((('CASE MASTER'!$T$2:$T$495=11)*('CASE MASTER'!$U$2:$U$495&lt;=1)*('CASE MASTER'!$W$2:$W$495&gt;=1)*('CASE MASTER'!$V$2:$V$495&lt;=10)*('CASE MASTER'!$X$2:$X$495&gt;=10))*ROW('CASE MASTER'!$T$2:$T$495))-(ROW('CASE MASTER'!#REF!)-1))))+1))-1)*50+1,50))&amp;"_"&amp;INDEX('CASE MASTER'!$Q$2:$Q$495,(SUMPRODUCT((('CASE MASTER'!$T$2:$T$495=11)*('CASE MASTER'!$U$2:$U$495&lt;=1)*('CASE MASTER'!$W$2:$W$495&gt;=1)*('CASE MASTER'!$V$2:$V$495&lt;=10)*('CASE MASTER'!$X$2:$X$495&gt;=10))*ROW('CASE MASTER'!$T$2:$T$495))-(ROW('CASE MASTER'!#REF!)-1))),IF(SUMPRODUCT((('CASE MASTER'!$T$2:$T$495=11)*('CASE MASTER'!$AA$2:$AA$495&lt;=1)*('CASE MASTER'!$AC$2:$AC$495&gt;=1)*('CASE MASTER'!$AB$2:$AB$495&lt;=10)*('CASE MASTER'!$AD$2:$AD$495&gt;=10))*ROW('CASE MASTER'!$T$2:$T$495))&gt;0,INDEX('CASE MASTER'!$Y$2:$Y$495,(SUMPRODUCT((('CASE MASTER'!$T$2:$T$495=11)*('CASE MASTER'!$AA$2:$AA$495&lt;=1)*('CASE MASTER'!$AC$2:$AC$495&gt;=1)*('CASE MASTER'!$AB$2:$AB$495&lt;=10)*('CASE MASTER'!$AD$2:$AD$495&gt;=10))*ROW('CASE MASTER'!$T$2:$T$495))-(ROW('CASE MASTER'!#REF!)-1)))&amp;TRIM(MID(SUBSTITUTE(SUBSTITUTE(INDEX('CASE MASTER'!$N$2:$N$495,(SUMPRODUCT((('CASE MASTER'!$T$2:$T$495=11)*('CASE MASTER'!$AA$2:$AA$495&lt;=1)*('CASE MASTER'!$AC$2:$AC$495&gt;=1)*('CASE MASTER'!$AB$2:$AB$495&lt;=10)*('CASE MASTER'!$AD$2:$AD$495&gt;=10))*ROW('CASE MASTER'!$T$2:$T$495))-(ROW('CASE MASTER'!#REF!)-1))),":",","),",",REPT(" ",50)),(((INDEX('CASE MASTER'!$Z$2:$Z$495,(SUMPRODUCT((('CASE MASTER'!$T$2:$T$495=11)*('CASE MASTER'!$AA$2:$AA$495&lt;=1)*('CASE MASTER'!$AC$2:$AC$495&gt;=1)*('CASE MASTER'!$AB$2:$AB$495&lt;=10)*('CASE MASTER'!$AD$2:$AD$495&gt;=10))*ROW('CASE MASTER'!$T$2:$T$495))-(ROW('CASE MASTER'!#REF!)-1)))+((1-INDEX('CASE MASTER'!$AA$2:$AA$495,(SUMPRODUCT((('CASE MASTER'!$T$2:$T$495=11)*('CASE MASTER'!$AA$2:$AA$495&lt;=1)*('CASE MASTER'!$AC$2:$AC$495&gt;=1)*('CASE MASTER'!$AB$2:$AB$495&lt;=10)*('CASE MASTER'!$AD$2:$AD$495&gt;=10))*ROW('CASE MASTER'!$T$2:$T$495))-(ROW('CASE MASTER'!#REF!)-1))))*(INDEX('CASE MASTER'!$AD$2:$AD$495,(SUMPRODUCT((('CASE MASTER'!$T$2:$T$495=11)*('CASE MASTER'!$AA$2:$AA$495&lt;=1)*('CASE MASTER'!$AC$2:$AC$495&gt;=1)*('CASE MASTER'!$AB$2:$AB$495&lt;=10)*('CASE MASTER'!$AD$2:$AD$495&gt;=10))*ROW('CASE MASTER'!$T$2:$T$495))-(ROW('CASE MASTER'!#REF!)-1)))-INDEX('CASE MASTER'!$AB$2:$AB$495,(SUMPRODUCT((('CASE MASTER'!$T$2:$T$495=11)*('CASE MASTER'!$AA$2:$AA$495&lt;=1)*('CASE MASTER'!$AC$2:$AC$495&gt;=1)*('CASE MASTER'!$AB$2:$AB$495&lt;=10)*('CASE MASTER'!$AD$2:$AD$495&gt;=10))*ROW('CASE MASTER'!$T$2:$T$495))-(ROW('CASE MASTER'!#REF!)-1)))+1)+(10-INDEX('CASE MASTER'!$AB$2:$AB$495,(SUMPRODUCT((('CASE MASTER'!$T$2:$T$495=11)*('CASE MASTER'!$AA$2:$AA$495&lt;=1)*('CASE MASTER'!$AC$2:$AC$495&gt;=1)*('CASE MASTER'!$AB$2:$AB$495&lt;=10)*('CASE MASTER'!$AD$2:$AD$495&gt;=10))*ROW('CASE MASTER'!$T$2:$T$495))-(ROW('CASE MASTER'!#REF!)-1))))+1)))-1)*50+1,50))&amp;"_"&amp;INDEX('CASE MASTER'!$Q$2:$Q$495,(SUMPRODUCT((('CASE MASTER'!$T$2:$T$495=11)*('CASE MASTER'!$AA$2:$AA$495&lt;=1)*('CASE MASTER'!$AC$2:$AC$495&gt;=1)*('CASE MASTER'!$AB$2:$AB$495&lt;=10)*('CASE MASTER'!$AD$2:$AD$495&gt;=10))*ROW('CASE MASTER'!$T$2:$T$495))-(ROW('CASE MASTER'!#REF!)-1))),"")),"")</f>
        <v/>
      </c>
    </row>
    <row r="144" spans="1:11" ht="15" customHeight="1" x14ac:dyDescent="0.35">
      <c r="A144" s="8" t="s">
        <v>29</v>
      </c>
      <c r="B144" s="10" t="str">
        <f>IFERROR(IF(SUMPRODUCT((('CASE MASTER'!$T$2:$T$495=11)*('CASE MASTER'!$U$2:$U$495&lt;=2)*('CASE MASTER'!$W$2:$W$495&gt;=2)*('CASE MASTER'!$V$2:$V$495&lt;=1)*('CASE MASTER'!$X$2:$X$495&gt;=1))*ROW('CASE MASTER'!$T$2:$T$495))&gt;0,INDEX('CASE MASTER'!$Y$2:$Y$495,(SUMPRODUCT((('CASE MASTER'!$T$2:$T$495=11)*('CASE MASTER'!$U$2:$U$495&lt;=2)*('CASE MASTER'!$W$2:$W$495&gt;=2)*('CASE MASTER'!$V$2:$V$495&lt;=1)*('CASE MASTER'!$X$2:$X$495&gt;=1))*ROW('CASE MASTER'!$T$2:$T$495))-(ROW('CASE MASTER'!#REF!)-1)))&amp;TRIM(MID(SUBSTITUTE(SUBSTITUTE(INDEX('CASE MASTER'!$N$2:$N$495,(SUMPRODUCT((('CASE MASTER'!$T$2:$T$495=11)*('CASE MASTER'!$U$2:$U$495&lt;=2)*('CASE MASTER'!$W$2:$W$495&gt;=2)*('CASE MASTER'!$V$2:$V$495&lt;=1)*('CASE MASTER'!$X$2:$X$495&gt;=1))*ROW('CASE MASTER'!$T$2:$T$495))-(ROW('CASE MASTER'!#REF!)-1))),":",","),",",REPT(" ",50)),((((2-INDEX('CASE MASTER'!$U$2:$U$495,(SUMPRODUCT((('CASE MASTER'!$T$2:$T$495=11)*('CASE MASTER'!$U$2:$U$495&lt;=2)*('CASE MASTER'!$W$2:$W$495&gt;=2)*('CASE MASTER'!$V$2:$V$495&lt;=1)*('CASE MASTER'!$X$2:$X$495&gt;=1))*ROW('CASE MASTER'!$T$2:$T$495))-(ROW('CASE MASTER'!#REF!)-1))))*(INDEX('CASE MASTER'!$X$2:$X$495,(SUMPRODUCT((('CASE MASTER'!$T$2:$T$495=11)*('CASE MASTER'!$U$2:$U$495&lt;=2)*('CASE MASTER'!$W$2:$W$495&gt;=2)*('CASE MASTER'!$V$2:$V$495&lt;=1)*('CASE MASTER'!$X$2:$X$495&gt;=1))*ROW('CASE MASTER'!$T$2:$T$495))-(ROW('CASE MASTER'!#REF!)-1)))-INDEX('CASE MASTER'!$V$2:$V$495,(SUMPRODUCT((('CASE MASTER'!$T$2:$T$495=11)*('CASE MASTER'!$U$2:$U$495&lt;=2)*('CASE MASTER'!$W$2:$W$495&gt;=2)*('CASE MASTER'!$V$2:$V$495&lt;=1)*('CASE MASTER'!$X$2:$X$495&gt;=1))*ROW('CASE MASTER'!$T$2:$T$495))-(ROW('CASE MASTER'!#REF!)-1)))+1)+(1-INDEX('CASE MASTER'!$V$2:$V$495,(SUMPRODUCT((('CASE MASTER'!$T$2:$T$495=11)*('CASE MASTER'!$U$2:$U$495&lt;=2)*('CASE MASTER'!$W$2:$W$495&gt;=2)*('CASE MASTER'!$V$2:$V$495&lt;=1)*('CASE MASTER'!$X$2:$X$495&gt;=1))*ROW('CASE MASTER'!$T$2:$T$495))-(ROW('CASE MASTER'!#REF!)-1))))+1))-1)*50+1,50))&amp;"_"&amp;INDEX('CASE MASTER'!$Q$2:$Q$495,(SUMPRODUCT((('CASE MASTER'!$T$2:$T$495=11)*('CASE MASTER'!$U$2:$U$495&lt;=2)*('CASE MASTER'!$W$2:$W$495&gt;=2)*('CASE MASTER'!$V$2:$V$495&lt;=1)*('CASE MASTER'!$X$2:$X$495&gt;=1))*ROW('CASE MASTER'!$T$2:$T$495))-(ROW('CASE MASTER'!#REF!)-1))),IF(SUMPRODUCT((('CASE MASTER'!$T$2:$T$495=11)*('CASE MASTER'!$AA$2:$AA$495&lt;=2)*('CASE MASTER'!$AC$2:$AC$495&gt;=2)*('CASE MASTER'!$AB$2:$AB$495&lt;=1)*('CASE MASTER'!$AD$2:$AD$495&gt;=1))*ROW('CASE MASTER'!$T$2:$T$495))&gt;0,INDEX('CASE MASTER'!$Y$2:$Y$495,(SUMPRODUCT((('CASE MASTER'!$T$2:$T$495=11)*('CASE MASTER'!$AA$2:$AA$495&lt;=2)*('CASE MASTER'!$AC$2:$AC$495&gt;=2)*('CASE MASTER'!$AB$2:$AB$495&lt;=1)*('CASE MASTER'!$AD$2:$AD$495&gt;=1))*ROW('CASE MASTER'!$T$2:$T$495))-(ROW('CASE MASTER'!#REF!)-1)))&amp;TRIM(MID(SUBSTITUTE(SUBSTITUTE(INDEX('CASE MASTER'!$N$2:$N$495,(SUMPRODUCT((('CASE MASTER'!$T$2:$T$495=11)*('CASE MASTER'!$AA$2:$AA$495&lt;=2)*('CASE MASTER'!$AC$2:$AC$495&gt;=2)*('CASE MASTER'!$AB$2:$AB$495&lt;=1)*('CASE MASTER'!$AD$2:$AD$495&gt;=1))*ROW('CASE MASTER'!$T$2:$T$495))-(ROW('CASE MASTER'!#REF!)-1))),":",","),",",REPT(" ",50)),(((INDEX('CASE MASTER'!$Z$2:$Z$495,(SUMPRODUCT((('CASE MASTER'!$T$2:$T$495=11)*('CASE MASTER'!$AA$2:$AA$495&lt;=2)*('CASE MASTER'!$AC$2:$AC$495&gt;=2)*('CASE MASTER'!$AB$2:$AB$495&lt;=1)*('CASE MASTER'!$AD$2:$AD$495&gt;=1))*ROW('CASE MASTER'!$T$2:$T$495))-(ROW('CASE MASTER'!#REF!)-1)))+((2-INDEX('CASE MASTER'!$AA$2:$AA$495,(SUMPRODUCT((('CASE MASTER'!$T$2:$T$495=11)*('CASE MASTER'!$AA$2:$AA$495&lt;=2)*('CASE MASTER'!$AC$2:$AC$495&gt;=2)*('CASE MASTER'!$AB$2:$AB$495&lt;=1)*('CASE MASTER'!$AD$2:$AD$495&gt;=1))*ROW('CASE MASTER'!$T$2:$T$495))-(ROW('CASE MASTER'!#REF!)-1))))*(INDEX('CASE MASTER'!$AD$2:$AD$495,(SUMPRODUCT((('CASE MASTER'!$T$2:$T$495=11)*('CASE MASTER'!$AA$2:$AA$495&lt;=2)*('CASE MASTER'!$AC$2:$AC$495&gt;=2)*('CASE MASTER'!$AB$2:$AB$495&lt;=1)*('CASE MASTER'!$AD$2:$AD$495&gt;=1))*ROW('CASE MASTER'!$T$2:$T$495))-(ROW('CASE MASTER'!#REF!)-1)))-INDEX('CASE MASTER'!$AB$2:$AB$495,(SUMPRODUCT((('CASE MASTER'!$T$2:$T$495=11)*('CASE MASTER'!$AA$2:$AA$495&lt;=2)*('CASE MASTER'!$AC$2:$AC$495&gt;=2)*('CASE MASTER'!$AB$2:$AB$495&lt;=1)*('CASE MASTER'!$AD$2:$AD$495&gt;=1))*ROW('CASE MASTER'!$T$2:$T$495))-(ROW('CASE MASTER'!#REF!)-1)))+1)+(1-INDEX('CASE MASTER'!$AB$2:$AB$495,(SUMPRODUCT((('CASE MASTER'!$T$2:$T$495=11)*('CASE MASTER'!$AA$2:$AA$495&lt;=2)*('CASE MASTER'!$AC$2:$AC$495&gt;=2)*('CASE MASTER'!$AB$2:$AB$495&lt;=1)*('CASE MASTER'!$AD$2:$AD$495&gt;=1))*ROW('CASE MASTER'!$T$2:$T$495))-(ROW('CASE MASTER'!#REF!)-1))))+1)))-1)*50+1,50))&amp;"_"&amp;INDEX('CASE MASTER'!$Q$2:$Q$495,(SUMPRODUCT((('CASE MASTER'!$T$2:$T$495=11)*('CASE MASTER'!$AA$2:$AA$495&lt;=2)*('CASE MASTER'!$AC$2:$AC$495&gt;=2)*('CASE MASTER'!$AB$2:$AB$495&lt;=1)*('CASE MASTER'!$AD$2:$AD$495&gt;=1))*ROW('CASE MASTER'!$T$2:$T$495))-(ROW('CASE MASTER'!#REF!)-1))),"")),"")</f>
        <v/>
      </c>
      <c r="C144" s="10" t="str">
        <f>IFERROR(IF(SUMPRODUCT((('CASE MASTER'!$T$2:$T$495=11)*('CASE MASTER'!$U$2:$U$495&lt;=2)*('CASE MASTER'!$W$2:$W$495&gt;=2)*('CASE MASTER'!$V$2:$V$495&lt;=2)*('CASE MASTER'!$X$2:$X$495&gt;=2))*ROW('CASE MASTER'!$T$2:$T$495))&gt;0,INDEX('CASE MASTER'!$Y$2:$Y$495,(SUMPRODUCT((('CASE MASTER'!$T$2:$T$495=11)*('CASE MASTER'!$U$2:$U$495&lt;=2)*('CASE MASTER'!$W$2:$W$495&gt;=2)*('CASE MASTER'!$V$2:$V$495&lt;=2)*('CASE MASTER'!$X$2:$X$495&gt;=2))*ROW('CASE MASTER'!$T$2:$T$495))-(ROW('CASE MASTER'!#REF!)-1)))&amp;TRIM(MID(SUBSTITUTE(SUBSTITUTE(INDEX('CASE MASTER'!$N$2:$N$495,(SUMPRODUCT((('CASE MASTER'!$T$2:$T$495=11)*('CASE MASTER'!$U$2:$U$495&lt;=2)*('CASE MASTER'!$W$2:$W$495&gt;=2)*('CASE MASTER'!$V$2:$V$495&lt;=2)*('CASE MASTER'!$X$2:$X$495&gt;=2))*ROW('CASE MASTER'!$T$2:$T$495))-(ROW('CASE MASTER'!#REF!)-1))),":",","),",",REPT(" ",50)),((((2-INDEX('CASE MASTER'!$U$2:$U$495,(SUMPRODUCT((('CASE MASTER'!$T$2:$T$495=11)*('CASE MASTER'!$U$2:$U$495&lt;=2)*('CASE MASTER'!$W$2:$W$495&gt;=2)*('CASE MASTER'!$V$2:$V$495&lt;=2)*('CASE MASTER'!$X$2:$X$495&gt;=2))*ROW('CASE MASTER'!$T$2:$T$495))-(ROW('CASE MASTER'!#REF!)-1))))*(INDEX('CASE MASTER'!$X$2:$X$495,(SUMPRODUCT((('CASE MASTER'!$T$2:$T$495=11)*('CASE MASTER'!$U$2:$U$495&lt;=2)*('CASE MASTER'!$W$2:$W$495&gt;=2)*('CASE MASTER'!$V$2:$V$495&lt;=2)*('CASE MASTER'!$X$2:$X$495&gt;=2))*ROW('CASE MASTER'!$T$2:$T$495))-(ROW('CASE MASTER'!#REF!)-1)))-INDEX('CASE MASTER'!$V$2:$V$495,(SUMPRODUCT((('CASE MASTER'!$T$2:$T$495=11)*('CASE MASTER'!$U$2:$U$495&lt;=2)*('CASE MASTER'!$W$2:$W$495&gt;=2)*('CASE MASTER'!$V$2:$V$495&lt;=2)*('CASE MASTER'!$X$2:$X$495&gt;=2))*ROW('CASE MASTER'!$T$2:$T$495))-(ROW('CASE MASTER'!#REF!)-1)))+1)+(2-INDEX('CASE MASTER'!$V$2:$V$495,(SUMPRODUCT((('CASE MASTER'!$T$2:$T$495=11)*('CASE MASTER'!$U$2:$U$495&lt;=2)*('CASE MASTER'!$W$2:$W$495&gt;=2)*('CASE MASTER'!$V$2:$V$495&lt;=2)*('CASE MASTER'!$X$2:$X$495&gt;=2))*ROW('CASE MASTER'!$T$2:$T$495))-(ROW('CASE MASTER'!#REF!)-1))))+1))-1)*50+1,50))&amp;"_"&amp;INDEX('CASE MASTER'!$Q$2:$Q$495,(SUMPRODUCT((('CASE MASTER'!$T$2:$T$495=11)*('CASE MASTER'!$U$2:$U$495&lt;=2)*('CASE MASTER'!$W$2:$W$495&gt;=2)*('CASE MASTER'!$V$2:$V$495&lt;=2)*('CASE MASTER'!$X$2:$X$495&gt;=2))*ROW('CASE MASTER'!$T$2:$T$495))-(ROW('CASE MASTER'!#REF!)-1))),IF(SUMPRODUCT((('CASE MASTER'!$T$2:$T$495=11)*('CASE MASTER'!$AA$2:$AA$495&lt;=2)*('CASE MASTER'!$AC$2:$AC$495&gt;=2)*('CASE MASTER'!$AB$2:$AB$495&lt;=2)*('CASE MASTER'!$AD$2:$AD$495&gt;=2))*ROW('CASE MASTER'!$T$2:$T$495))&gt;0,INDEX('CASE MASTER'!$Y$2:$Y$495,(SUMPRODUCT((('CASE MASTER'!$T$2:$T$495=11)*('CASE MASTER'!$AA$2:$AA$495&lt;=2)*('CASE MASTER'!$AC$2:$AC$495&gt;=2)*('CASE MASTER'!$AB$2:$AB$495&lt;=2)*('CASE MASTER'!$AD$2:$AD$495&gt;=2))*ROW('CASE MASTER'!$T$2:$T$495))-(ROW('CASE MASTER'!#REF!)-1)))&amp;TRIM(MID(SUBSTITUTE(SUBSTITUTE(INDEX('CASE MASTER'!$N$2:$N$495,(SUMPRODUCT((('CASE MASTER'!$T$2:$T$495=11)*('CASE MASTER'!$AA$2:$AA$495&lt;=2)*('CASE MASTER'!$AC$2:$AC$495&gt;=2)*('CASE MASTER'!$AB$2:$AB$495&lt;=2)*('CASE MASTER'!$AD$2:$AD$495&gt;=2))*ROW('CASE MASTER'!$T$2:$T$495))-(ROW('CASE MASTER'!#REF!)-1))),":",","),",",REPT(" ",50)),(((INDEX('CASE MASTER'!$Z$2:$Z$495,(SUMPRODUCT((('CASE MASTER'!$T$2:$T$495=11)*('CASE MASTER'!$AA$2:$AA$495&lt;=2)*('CASE MASTER'!$AC$2:$AC$495&gt;=2)*('CASE MASTER'!$AB$2:$AB$495&lt;=2)*('CASE MASTER'!$AD$2:$AD$495&gt;=2))*ROW('CASE MASTER'!$T$2:$T$495))-(ROW('CASE MASTER'!#REF!)-1)))+((2-INDEX('CASE MASTER'!$AA$2:$AA$495,(SUMPRODUCT((('CASE MASTER'!$T$2:$T$495=11)*('CASE MASTER'!$AA$2:$AA$495&lt;=2)*('CASE MASTER'!$AC$2:$AC$495&gt;=2)*('CASE MASTER'!$AB$2:$AB$495&lt;=2)*('CASE MASTER'!$AD$2:$AD$495&gt;=2))*ROW('CASE MASTER'!$T$2:$T$495))-(ROW('CASE MASTER'!#REF!)-1))))*(INDEX('CASE MASTER'!$AD$2:$AD$495,(SUMPRODUCT((('CASE MASTER'!$T$2:$T$495=11)*('CASE MASTER'!$AA$2:$AA$495&lt;=2)*('CASE MASTER'!$AC$2:$AC$495&gt;=2)*('CASE MASTER'!$AB$2:$AB$495&lt;=2)*('CASE MASTER'!$AD$2:$AD$495&gt;=2))*ROW('CASE MASTER'!$T$2:$T$495))-(ROW('CASE MASTER'!#REF!)-1)))-INDEX('CASE MASTER'!$AB$2:$AB$495,(SUMPRODUCT((('CASE MASTER'!$T$2:$T$495=11)*('CASE MASTER'!$AA$2:$AA$495&lt;=2)*('CASE MASTER'!$AC$2:$AC$495&gt;=2)*('CASE MASTER'!$AB$2:$AB$495&lt;=2)*('CASE MASTER'!$AD$2:$AD$495&gt;=2))*ROW('CASE MASTER'!$T$2:$T$495))-(ROW('CASE MASTER'!#REF!)-1)))+1)+(2-INDEX('CASE MASTER'!$AB$2:$AB$495,(SUMPRODUCT((('CASE MASTER'!$T$2:$T$495=11)*('CASE MASTER'!$AA$2:$AA$495&lt;=2)*('CASE MASTER'!$AC$2:$AC$495&gt;=2)*('CASE MASTER'!$AB$2:$AB$495&lt;=2)*('CASE MASTER'!$AD$2:$AD$495&gt;=2))*ROW('CASE MASTER'!$T$2:$T$495))-(ROW('CASE MASTER'!#REF!)-1))))+1)))-1)*50+1,50))&amp;"_"&amp;INDEX('CASE MASTER'!$Q$2:$Q$495,(SUMPRODUCT((('CASE MASTER'!$T$2:$T$495=11)*('CASE MASTER'!$AA$2:$AA$495&lt;=2)*('CASE MASTER'!$AC$2:$AC$495&gt;=2)*('CASE MASTER'!$AB$2:$AB$495&lt;=2)*('CASE MASTER'!$AD$2:$AD$495&gt;=2))*ROW('CASE MASTER'!$T$2:$T$495))-(ROW('CASE MASTER'!#REF!)-1))),"")),"")</f>
        <v/>
      </c>
      <c r="D144" s="10" t="str">
        <f>IFERROR(IF(SUMPRODUCT((('CASE MASTER'!$T$2:$T$495=11)*('CASE MASTER'!$U$2:$U$495&lt;=2)*('CASE MASTER'!$W$2:$W$495&gt;=2)*('CASE MASTER'!$V$2:$V$495&lt;=3)*('CASE MASTER'!$X$2:$X$495&gt;=3))*ROW('CASE MASTER'!$T$2:$T$495))&gt;0,INDEX('CASE MASTER'!$Y$2:$Y$495,(SUMPRODUCT((('CASE MASTER'!$T$2:$T$495=11)*('CASE MASTER'!$U$2:$U$495&lt;=2)*('CASE MASTER'!$W$2:$W$495&gt;=2)*('CASE MASTER'!$V$2:$V$495&lt;=3)*('CASE MASTER'!$X$2:$X$495&gt;=3))*ROW('CASE MASTER'!$T$2:$T$495))-(ROW('CASE MASTER'!#REF!)-1)))&amp;TRIM(MID(SUBSTITUTE(SUBSTITUTE(INDEX('CASE MASTER'!$N$2:$N$495,(SUMPRODUCT((('CASE MASTER'!$T$2:$T$495=11)*('CASE MASTER'!$U$2:$U$495&lt;=2)*('CASE MASTER'!$W$2:$W$495&gt;=2)*('CASE MASTER'!$V$2:$V$495&lt;=3)*('CASE MASTER'!$X$2:$X$495&gt;=3))*ROW('CASE MASTER'!$T$2:$T$495))-(ROW('CASE MASTER'!#REF!)-1))),":",","),",",REPT(" ",50)),((((2-INDEX('CASE MASTER'!$U$2:$U$495,(SUMPRODUCT((('CASE MASTER'!$T$2:$T$495=11)*('CASE MASTER'!$U$2:$U$495&lt;=2)*('CASE MASTER'!$W$2:$W$495&gt;=2)*('CASE MASTER'!$V$2:$V$495&lt;=3)*('CASE MASTER'!$X$2:$X$495&gt;=3))*ROW('CASE MASTER'!$T$2:$T$495))-(ROW('CASE MASTER'!#REF!)-1))))*(INDEX('CASE MASTER'!$X$2:$X$495,(SUMPRODUCT((('CASE MASTER'!$T$2:$T$495=11)*('CASE MASTER'!$U$2:$U$495&lt;=2)*('CASE MASTER'!$W$2:$W$495&gt;=2)*('CASE MASTER'!$V$2:$V$495&lt;=3)*('CASE MASTER'!$X$2:$X$495&gt;=3))*ROW('CASE MASTER'!$T$2:$T$495))-(ROW('CASE MASTER'!#REF!)-1)))-INDEX('CASE MASTER'!$V$2:$V$495,(SUMPRODUCT((('CASE MASTER'!$T$2:$T$495=11)*('CASE MASTER'!$U$2:$U$495&lt;=2)*('CASE MASTER'!$W$2:$W$495&gt;=2)*('CASE MASTER'!$V$2:$V$495&lt;=3)*('CASE MASTER'!$X$2:$X$495&gt;=3))*ROW('CASE MASTER'!$T$2:$T$495))-(ROW('CASE MASTER'!#REF!)-1)))+1)+(3-INDEX('CASE MASTER'!$V$2:$V$495,(SUMPRODUCT((('CASE MASTER'!$T$2:$T$495=11)*('CASE MASTER'!$U$2:$U$495&lt;=2)*('CASE MASTER'!$W$2:$W$495&gt;=2)*('CASE MASTER'!$V$2:$V$495&lt;=3)*('CASE MASTER'!$X$2:$X$495&gt;=3))*ROW('CASE MASTER'!$T$2:$T$495))-(ROW('CASE MASTER'!#REF!)-1))))+1))-1)*50+1,50))&amp;"_"&amp;INDEX('CASE MASTER'!$Q$2:$Q$495,(SUMPRODUCT((('CASE MASTER'!$T$2:$T$495=11)*('CASE MASTER'!$U$2:$U$495&lt;=2)*('CASE MASTER'!$W$2:$W$495&gt;=2)*('CASE MASTER'!$V$2:$V$495&lt;=3)*('CASE MASTER'!$X$2:$X$495&gt;=3))*ROW('CASE MASTER'!$T$2:$T$495))-(ROW('CASE MASTER'!#REF!)-1))),IF(SUMPRODUCT((('CASE MASTER'!$T$2:$T$495=11)*('CASE MASTER'!$AA$2:$AA$495&lt;=2)*('CASE MASTER'!$AC$2:$AC$495&gt;=2)*('CASE MASTER'!$AB$2:$AB$495&lt;=3)*('CASE MASTER'!$AD$2:$AD$495&gt;=3))*ROW('CASE MASTER'!$T$2:$T$495))&gt;0,INDEX('CASE MASTER'!$Y$2:$Y$495,(SUMPRODUCT((('CASE MASTER'!$T$2:$T$495=11)*('CASE MASTER'!$AA$2:$AA$495&lt;=2)*('CASE MASTER'!$AC$2:$AC$495&gt;=2)*('CASE MASTER'!$AB$2:$AB$495&lt;=3)*('CASE MASTER'!$AD$2:$AD$495&gt;=3))*ROW('CASE MASTER'!$T$2:$T$495))-(ROW('CASE MASTER'!#REF!)-1)))&amp;TRIM(MID(SUBSTITUTE(SUBSTITUTE(INDEX('CASE MASTER'!$N$2:$N$495,(SUMPRODUCT((('CASE MASTER'!$T$2:$T$495=11)*('CASE MASTER'!$AA$2:$AA$495&lt;=2)*('CASE MASTER'!$AC$2:$AC$495&gt;=2)*('CASE MASTER'!$AB$2:$AB$495&lt;=3)*('CASE MASTER'!$AD$2:$AD$495&gt;=3))*ROW('CASE MASTER'!$T$2:$T$495))-(ROW('CASE MASTER'!#REF!)-1))),":",","),",",REPT(" ",50)),(((INDEX('CASE MASTER'!$Z$2:$Z$495,(SUMPRODUCT((('CASE MASTER'!$T$2:$T$495=11)*('CASE MASTER'!$AA$2:$AA$495&lt;=2)*('CASE MASTER'!$AC$2:$AC$495&gt;=2)*('CASE MASTER'!$AB$2:$AB$495&lt;=3)*('CASE MASTER'!$AD$2:$AD$495&gt;=3))*ROW('CASE MASTER'!$T$2:$T$495))-(ROW('CASE MASTER'!#REF!)-1)))+((2-INDEX('CASE MASTER'!$AA$2:$AA$495,(SUMPRODUCT((('CASE MASTER'!$T$2:$T$495=11)*('CASE MASTER'!$AA$2:$AA$495&lt;=2)*('CASE MASTER'!$AC$2:$AC$495&gt;=2)*('CASE MASTER'!$AB$2:$AB$495&lt;=3)*('CASE MASTER'!$AD$2:$AD$495&gt;=3))*ROW('CASE MASTER'!$T$2:$T$495))-(ROW('CASE MASTER'!#REF!)-1))))*(INDEX('CASE MASTER'!$AD$2:$AD$495,(SUMPRODUCT((('CASE MASTER'!$T$2:$T$495=11)*('CASE MASTER'!$AA$2:$AA$495&lt;=2)*('CASE MASTER'!$AC$2:$AC$495&gt;=2)*('CASE MASTER'!$AB$2:$AB$495&lt;=3)*('CASE MASTER'!$AD$2:$AD$495&gt;=3))*ROW('CASE MASTER'!$T$2:$T$495))-(ROW('CASE MASTER'!#REF!)-1)))-INDEX('CASE MASTER'!$AB$2:$AB$495,(SUMPRODUCT((('CASE MASTER'!$T$2:$T$495=11)*('CASE MASTER'!$AA$2:$AA$495&lt;=2)*('CASE MASTER'!$AC$2:$AC$495&gt;=2)*('CASE MASTER'!$AB$2:$AB$495&lt;=3)*('CASE MASTER'!$AD$2:$AD$495&gt;=3))*ROW('CASE MASTER'!$T$2:$T$495))-(ROW('CASE MASTER'!#REF!)-1)))+1)+(3-INDEX('CASE MASTER'!$AB$2:$AB$495,(SUMPRODUCT((('CASE MASTER'!$T$2:$T$495=11)*('CASE MASTER'!$AA$2:$AA$495&lt;=2)*('CASE MASTER'!$AC$2:$AC$495&gt;=2)*('CASE MASTER'!$AB$2:$AB$495&lt;=3)*('CASE MASTER'!$AD$2:$AD$495&gt;=3))*ROW('CASE MASTER'!$T$2:$T$495))-(ROW('CASE MASTER'!#REF!)-1))))+1)))-1)*50+1,50))&amp;"_"&amp;INDEX('CASE MASTER'!$Q$2:$Q$495,(SUMPRODUCT((('CASE MASTER'!$T$2:$T$495=11)*('CASE MASTER'!$AA$2:$AA$495&lt;=2)*('CASE MASTER'!$AC$2:$AC$495&gt;=2)*('CASE MASTER'!$AB$2:$AB$495&lt;=3)*('CASE MASTER'!$AD$2:$AD$495&gt;=3))*ROW('CASE MASTER'!$T$2:$T$495))-(ROW('CASE MASTER'!#REF!)-1))),"")),"")</f>
        <v/>
      </c>
      <c r="E144" s="10" t="str">
        <f>IFERROR(IF(SUMPRODUCT((('CASE MASTER'!$T$2:$T$495=11)*('CASE MASTER'!$U$2:$U$495&lt;=2)*('CASE MASTER'!$W$2:$W$495&gt;=2)*('CASE MASTER'!$V$2:$V$495&lt;=4)*('CASE MASTER'!$X$2:$X$495&gt;=4))*ROW('CASE MASTER'!$T$2:$T$495))&gt;0,INDEX('CASE MASTER'!$Y$2:$Y$495,(SUMPRODUCT((('CASE MASTER'!$T$2:$T$495=11)*('CASE MASTER'!$U$2:$U$495&lt;=2)*('CASE MASTER'!$W$2:$W$495&gt;=2)*('CASE MASTER'!$V$2:$V$495&lt;=4)*('CASE MASTER'!$X$2:$X$495&gt;=4))*ROW('CASE MASTER'!$T$2:$T$495))-(ROW('CASE MASTER'!#REF!)-1)))&amp;TRIM(MID(SUBSTITUTE(SUBSTITUTE(INDEX('CASE MASTER'!$N$2:$N$495,(SUMPRODUCT((('CASE MASTER'!$T$2:$T$495=11)*('CASE MASTER'!$U$2:$U$495&lt;=2)*('CASE MASTER'!$W$2:$W$495&gt;=2)*('CASE MASTER'!$V$2:$V$495&lt;=4)*('CASE MASTER'!$X$2:$X$495&gt;=4))*ROW('CASE MASTER'!$T$2:$T$495))-(ROW('CASE MASTER'!#REF!)-1))),":",","),",",REPT(" ",50)),((((2-INDEX('CASE MASTER'!$U$2:$U$495,(SUMPRODUCT((('CASE MASTER'!$T$2:$T$495=11)*('CASE MASTER'!$U$2:$U$495&lt;=2)*('CASE MASTER'!$W$2:$W$495&gt;=2)*('CASE MASTER'!$V$2:$V$495&lt;=4)*('CASE MASTER'!$X$2:$X$495&gt;=4))*ROW('CASE MASTER'!$T$2:$T$495))-(ROW('CASE MASTER'!#REF!)-1))))*(INDEX('CASE MASTER'!$X$2:$X$495,(SUMPRODUCT((('CASE MASTER'!$T$2:$T$495=11)*('CASE MASTER'!$U$2:$U$495&lt;=2)*('CASE MASTER'!$W$2:$W$495&gt;=2)*('CASE MASTER'!$V$2:$V$495&lt;=4)*('CASE MASTER'!$X$2:$X$495&gt;=4))*ROW('CASE MASTER'!$T$2:$T$495))-(ROW('CASE MASTER'!#REF!)-1)))-INDEX('CASE MASTER'!$V$2:$V$495,(SUMPRODUCT((('CASE MASTER'!$T$2:$T$495=11)*('CASE MASTER'!$U$2:$U$495&lt;=2)*('CASE MASTER'!$W$2:$W$495&gt;=2)*('CASE MASTER'!$V$2:$V$495&lt;=4)*('CASE MASTER'!$X$2:$X$495&gt;=4))*ROW('CASE MASTER'!$T$2:$T$495))-(ROW('CASE MASTER'!#REF!)-1)))+1)+(4-INDEX('CASE MASTER'!$V$2:$V$495,(SUMPRODUCT((('CASE MASTER'!$T$2:$T$495=11)*('CASE MASTER'!$U$2:$U$495&lt;=2)*('CASE MASTER'!$W$2:$W$495&gt;=2)*('CASE MASTER'!$V$2:$V$495&lt;=4)*('CASE MASTER'!$X$2:$X$495&gt;=4))*ROW('CASE MASTER'!$T$2:$T$495))-(ROW('CASE MASTER'!#REF!)-1))))+1))-1)*50+1,50))&amp;"_"&amp;INDEX('CASE MASTER'!$Q$2:$Q$495,(SUMPRODUCT((('CASE MASTER'!$T$2:$T$495=11)*('CASE MASTER'!$U$2:$U$495&lt;=2)*('CASE MASTER'!$W$2:$W$495&gt;=2)*('CASE MASTER'!$V$2:$V$495&lt;=4)*('CASE MASTER'!$X$2:$X$495&gt;=4))*ROW('CASE MASTER'!$T$2:$T$495))-(ROW('CASE MASTER'!#REF!)-1))),IF(SUMPRODUCT((('CASE MASTER'!$T$2:$T$495=11)*('CASE MASTER'!$AA$2:$AA$495&lt;=2)*('CASE MASTER'!$AC$2:$AC$495&gt;=2)*('CASE MASTER'!$AB$2:$AB$495&lt;=4)*('CASE MASTER'!$AD$2:$AD$495&gt;=4))*ROW('CASE MASTER'!$T$2:$T$495))&gt;0,INDEX('CASE MASTER'!$Y$2:$Y$495,(SUMPRODUCT((('CASE MASTER'!$T$2:$T$495=11)*('CASE MASTER'!$AA$2:$AA$495&lt;=2)*('CASE MASTER'!$AC$2:$AC$495&gt;=2)*('CASE MASTER'!$AB$2:$AB$495&lt;=4)*('CASE MASTER'!$AD$2:$AD$495&gt;=4))*ROW('CASE MASTER'!$T$2:$T$495))-(ROW('CASE MASTER'!#REF!)-1)))&amp;TRIM(MID(SUBSTITUTE(SUBSTITUTE(INDEX('CASE MASTER'!$N$2:$N$495,(SUMPRODUCT((('CASE MASTER'!$T$2:$T$495=11)*('CASE MASTER'!$AA$2:$AA$495&lt;=2)*('CASE MASTER'!$AC$2:$AC$495&gt;=2)*('CASE MASTER'!$AB$2:$AB$495&lt;=4)*('CASE MASTER'!$AD$2:$AD$495&gt;=4))*ROW('CASE MASTER'!$T$2:$T$495))-(ROW('CASE MASTER'!#REF!)-1))),":",","),",",REPT(" ",50)),(((INDEX('CASE MASTER'!$Z$2:$Z$495,(SUMPRODUCT((('CASE MASTER'!$T$2:$T$495=11)*('CASE MASTER'!$AA$2:$AA$495&lt;=2)*('CASE MASTER'!$AC$2:$AC$495&gt;=2)*('CASE MASTER'!$AB$2:$AB$495&lt;=4)*('CASE MASTER'!$AD$2:$AD$495&gt;=4))*ROW('CASE MASTER'!$T$2:$T$495))-(ROW('CASE MASTER'!#REF!)-1)))+((2-INDEX('CASE MASTER'!$AA$2:$AA$495,(SUMPRODUCT((('CASE MASTER'!$T$2:$T$495=11)*('CASE MASTER'!$AA$2:$AA$495&lt;=2)*('CASE MASTER'!$AC$2:$AC$495&gt;=2)*('CASE MASTER'!$AB$2:$AB$495&lt;=4)*('CASE MASTER'!$AD$2:$AD$495&gt;=4))*ROW('CASE MASTER'!$T$2:$T$495))-(ROW('CASE MASTER'!#REF!)-1))))*(INDEX('CASE MASTER'!$AD$2:$AD$495,(SUMPRODUCT((('CASE MASTER'!$T$2:$T$495=11)*('CASE MASTER'!$AA$2:$AA$495&lt;=2)*('CASE MASTER'!$AC$2:$AC$495&gt;=2)*('CASE MASTER'!$AB$2:$AB$495&lt;=4)*('CASE MASTER'!$AD$2:$AD$495&gt;=4))*ROW('CASE MASTER'!$T$2:$T$495))-(ROW('CASE MASTER'!#REF!)-1)))-INDEX('CASE MASTER'!$AB$2:$AB$495,(SUMPRODUCT((('CASE MASTER'!$T$2:$T$495=11)*('CASE MASTER'!$AA$2:$AA$495&lt;=2)*('CASE MASTER'!$AC$2:$AC$495&gt;=2)*('CASE MASTER'!$AB$2:$AB$495&lt;=4)*('CASE MASTER'!$AD$2:$AD$495&gt;=4))*ROW('CASE MASTER'!$T$2:$T$495))-(ROW('CASE MASTER'!#REF!)-1)))+1)+(4-INDEX('CASE MASTER'!$AB$2:$AB$495,(SUMPRODUCT((('CASE MASTER'!$T$2:$T$495=11)*('CASE MASTER'!$AA$2:$AA$495&lt;=2)*('CASE MASTER'!$AC$2:$AC$495&gt;=2)*('CASE MASTER'!$AB$2:$AB$495&lt;=4)*('CASE MASTER'!$AD$2:$AD$495&gt;=4))*ROW('CASE MASTER'!$T$2:$T$495))-(ROW('CASE MASTER'!#REF!)-1))))+1)))-1)*50+1,50))&amp;"_"&amp;INDEX('CASE MASTER'!$Q$2:$Q$495,(SUMPRODUCT((('CASE MASTER'!$T$2:$T$495=11)*('CASE MASTER'!$AA$2:$AA$495&lt;=2)*('CASE MASTER'!$AC$2:$AC$495&gt;=2)*('CASE MASTER'!$AB$2:$AB$495&lt;=4)*('CASE MASTER'!$AD$2:$AD$495&gt;=4))*ROW('CASE MASTER'!$T$2:$T$495))-(ROW('CASE MASTER'!#REF!)-1))),"")),"")</f>
        <v/>
      </c>
      <c r="F144" s="10" t="str">
        <f>IFERROR(IF(SUMPRODUCT((('CASE MASTER'!$T$2:$T$495=11)*('CASE MASTER'!$U$2:$U$495&lt;=2)*('CASE MASTER'!$W$2:$W$495&gt;=2)*('CASE MASTER'!$V$2:$V$495&lt;=5)*('CASE MASTER'!$X$2:$X$495&gt;=5))*ROW('CASE MASTER'!$T$2:$T$495))&gt;0,INDEX('CASE MASTER'!$Y$2:$Y$495,(SUMPRODUCT((('CASE MASTER'!$T$2:$T$495=11)*('CASE MASTER'!$U$2:$U$495&lt;=2)*('CASE MASTER'!$W$2:$W$495&gt;=2)*('CASE MASTER'!$V$2:$V$495&lt;=5)*('CASE MASTER'!$X$2:$X$495&gt;=5))*ROW('CASE MASTER'!$T$2:$T$495))-(ROW('CASE MASTER'!#REF!)-1)))&amp;TRIM(MID(SUBSTITUTE(SUBSTITUTE(INDEX('CASE MASTER'!$N$2:$N$495,(SUMPRODUCT((('CASE MASTER'!$T$2:$T$495=11)*('CASE MASTER'!$U$2:$U$495&lt;=2)*('CASE MASTER'!$W$2:$W$495&gt;=2)*('CASE MASTER'!$V$2:$V$495&lt;=5)*('CASE MASTER'!$X$2:$X$495&gt;=5))*ROW('CASE MASTER'!$T$2:$T$495))-(ROW('CASE MASTER'!#REF!)-1))),":",","),",",REPT(" ",50)),((((2-INDEX('CASE MASTER'!$U$2:$U$495,(SUMPRODUCT((('CASE MASTER'!$T$2:$T$495=11)*('CASE MASTER'!$U$2:$U$495&lt;=2)*('CASE MASTER'!$W$2:$W$495&gt;=2)*('CASE MASTER'!$V$2:$V$495&lt;=5)*('CASE MASTER'!$X$2:$X$495&gt;=5))*ROW('CASE MASTER'!$T$2:$T$495))-(ROW('CASE MASTER'!#REF!)-1))))*(INDEX('CASE MASTER'!$X$2:$X$495,(SUMPRODUCT((('CASE MASTER'!$T$2:$T$495=11)*('CASE MASTER'!$U$2:$U$495&lt;=2)*('CASE MASTER'!$W$2:$W$495&gt;=2)*('CASE MASTER'!$V$2:$V$495&lt;=5)*('CASE MASTER'!$X$2:$X$495&gt;=5))*ROW('CASE MASTER'!$T$2:$T$495))-(ROW('CASE MASTER'!#REF!)-1)))-INDEX('CASE MASTER'!$V$2:$V$495,(SUMPRODUCT((('CASE MASTER'!$T$2:$T$495=11)*('CASE MASTER'!$U$2:$U$495&lt;=2)*('CASE MASTER'!$W$2:$W$495&gt;=2)*('CASE MASTER'!$V$2:$V$495&lt;=5)*('CASE MASTER'!$X$2:$X$495&gt;=5))*ROW('CASE MASTER'!$T$2:$T$495))-(ROW('CASE MASTER'!#REF!)-1)))+1)+(5-INDEX('CASE MASTER'!$V$2:$V$495,(SUMPRODUCT((('CASE MASTER'!$T$2:$T$495=11)*('CASE MASTER'!$U$2:$U$495&lt;=2)*('CASE MASTER'!$W$2:$W$495&gt;=2)*('CASE MASTER'!$V$2:$V$495&lt;=5)*('CASE MASTER'!$X$2:$X$495&gt;=5))*ROW('CASE MASTER'!$T$2:$T$495))-(ROW('CASE MASTER'!#REF!)-1))))+1))-1)*50+1,50))&amp;"_"&amp;INDEX('CASE MASTER'!$Q$2:$Q$495,(SUMPRODUCT((('CASE MASTER'!$T$2:$T$495=11)*('CASE MASTER'!$U$2:$U$495&lt;=2)*('CASE MASTER'!$W$2:$W$495&gt;=2)*('CASE MASTER'!$V$2:$V$495&lt;=5)*('CASE MASTER'!$X$2:$X$495&gt;=5))*ROW('CASE MASTER'!$T$2:$T$495))-(ROW('CASE MASTER'!#REF!)-1))),IF(SUMPRODUCT((('CASE MASTER'!$T$2:$T$495=11)*('CASE MASTER'!$AA$2:$AA$495&lt;=2)*('CASE MASTER'!$AC$2:$AC$495&gt;=2)*('CASE MASTER'!$AB$2:$AB$495&lt;=5)*('CASE MASTER'!$AD$2:$AD$495&gt;=5))*ROW('CASE MASTER'!$T$2:$T$495))&gt;0,INDEX('CASE MASTER'!$Y$2:$Y$495,(SUMPRODUCT((('CASE MASTER'!$T$2:$T$495=11)*('CASE MASTER'!$AA$2:$AA$495&lt;=2)*('CASE MASTER'!$AC$2:$AC$495&gt;=2)*('CASE MASTER'!$AB$2:$AB$495&lt;=5)*('CASE MASTER'!$AD$2:$AD$495&gt;=5))*ROW('CASE MASTER'!$T$2:$T$495))-(ROW('CASE MASTER'!#REF!)-1)))&amp;TRIM(MID(SUBSTITUTE(SUBSTITUTE(INDEX('CASE MASTER'!$N$2:$N$495,(SUMPRODUCT((('CASE MASTER'!$T$2:$T$495=11)*('CASE MASTER'!$AA$2:$AA$495&lt;=2)*('CASE MASTER'!$AC$2:$AC$495&gt;=2)*('CASE MASTER'!$AB$2:$AB$495&lt;=5)*('CASE MASTER'!$AD$2:$AD$495&gt;=5))*ROW('CASE MASTER'!$T$2:$T$495))-(ROW('CASE MASTER'!#REF!)-1))),":",","),",",REPT(" ",50)),(((INDEX('CASE MASTER'!$Z$2:$Z$495,(SUMPRODUCT((('CASE MASTER'!$T$2:$T$495=11)*('CASE MASTER'!$AA$2:$AA$495&lt;=2)*('CASE MASTER'!$AC$2:$AC$495&gt;=2)*('CASE MASTER'!$AB$2:$AB$495&lt;=5)*('CASE MASTER'!$AD$2:$AD$495&gt;=5))*ROW('CASE MASTER'!$T$2:$T$495))-(ROW('CASE MASTER'!#REF!)-1)))+((2-INDEX('CASE MASTER'!$AA$2:$AA$495,(SUMPRODUCT((('CASE MASTER'!$T$2:$T$495=11)*('CASE MASTER'!$AA$2:$AA$495&lt;=2)*('CASE MASTER'!$AC$2:$AC$495&gt;=2)*('CASE MASTER'!$AB$2:$AB$495&lt;=5)*('CASE MASTER'!$AD$2:$AD$495&gt;=5))*ROW('CASE MASTER'!$T$2:$T$495))-(ROW('CASE MASTER'!#REF!)-1))))*(INDEX('CASE MASTER'!$AD$2:$AD$495,(SUMPRODUCT((('CASE MASTER'!$T$2:$T$495=11)*('CASE MASTER'!$AA$2:$AA$495&lt;=2)*('CASE MASTER'!$AC$2:$AC$495&gt;=2)*('CASE MASTER'!$AB$2:$AB$495&lt;=5)*('CASE MASTER'!$AD$2:$AD$495&gt;=5))*ROW('CASE MASTER'!$T$2:$T$495))-(ROW('CASE MASTER'!#REF!)-1)))-INDEX('CASE MASTER'!$AB$2:$AB$495,(SUMPRODUCT((('CASE MASTER'!$T$2:$T$495=11)*('CASE MASTER'!$AA$2:$AA$495&lt;=2)*('CASE MASTER'!$AC$2:$AC$495&gt;=2)*('CASE MASTER'!$AB$2:$AB$495&lt;=5)*('CASE MASTER'!$AD$2:$AD$495&gt;=5))*ROW('CASE MASTER'!$T$2:$T$495))-(ROW('CASE MASTER'!#REF!)-1)))+1)+(5-INDEX('CASE MASTER'!$AB$2:$AB$495,(SUMPRODUCT((('CASE MASTER'!$T$2:$T$495=11)*('CASE MASTER'!$AA$2:$AA$495&lt;=2)*('CASE MASTER'!$AC$2:$AC$495&gt;=2)*('CASE MASTER'!$AB$2:$AB$495&lt;=5)*('CASE MASTER'!$AD$2:$AD$495&gt;=5))*ROW('CASE MASTER'!$T$2:$T$495))-(ROW('CASE MASTER'!#REF!)-1))))+1)))-1)*50+1,50))&amp;"_"&amp;INDEX('CASE MASTER'!$Q$2:$Q$495,(SUMPRODUCT((('CASE MASTER'!$T$2:$T$495=11)*('CASE MASTER'!$AA$2:$AA$495&lt;=2)*('CASE MASTER'!$AC$2:$AC$495&gt;=2)*('CASE MASTER'!$AB$2:$AB$495&lt;=5)*('CASE MASTER'!$AD$2:$AD$495&gt;=5))*ROW('CASE MASTER'!$T$2:$T$495))-(ROW('CASE MASTER'!#REF!)-1))),"")),"")</f>
        <v/>
      </c>
      <c r="G144" s="10" t="str">
        <f>IFERROR(IF(SUMPRODUCT((('CASE MASTER'!$T$2:$T$495=11)*('CASE MASTER'!$U$2:$U$495&lt;=2)*('CASE MASTER'!$W$2:$W$495&gt;=2)*('CASE MASTER'!$V$2:$V$495&lt;=6)*('CASE MASTER'!$X$2:$X$495&gt;=6))*ROW('CASE MASTER'!$T$2:$T$495))&gt;0,INDEX('CASE MASTER'!$Y$2:$Y$495,(SUMPRODUCT((('CASE MASTER'!$T$2:$T$495=11)*('CASE MASTER'!$U$2:$U$495&lt;=2)*('CASE MASTER'!$W$2:$W$495&gt;=2)*('CASE MASTER'!$V$2:$V$495&lt;=6)*('CASE MASTER'!$X$2:$X$495&gt;=6))*ROW('CASE MASTER'!$T$2:$T$495))-(ROW('CASE MASTER'!#REF!)-1)))&amp;TRIM(MID(SUBSTITUTE(SUBSTITUTE(INDEX('CASE MASTER'!$N$2:$N$495,(SUMPRODUCT((('CASE MASTER'!$T$2:$T$495=11)*('CASE MASTER'!$U$2:$U$495&lt;=2)*('CASE MASTER'!$W$2:$W$495&gt;=2)*('CASE MASTER'!$V$2:$V$495&lt;=6)*('CASE MASTER'!$X$2:$X$495&gt;=6))*ROW('CASE MASTER'!$T$2:$T$495))-(ROW('CASE MASTER'!#REF!)-1))),":",","),",",REPT(" ",50)),((((2-INDEX('CASE MASTER'!$U$2:$U$495,(SUMPRODUCT((('CASE MASTER'!$T$2:$T$495=11)*('CASE MASTER'!$U$2:$U$495&lt;=2)*('CASE MASTER'!$W$2:$W$495&gt;=2)*('CASE MASTER'!$V$2:$V$495&lt;=6)*('CASE MASTER'!$X$2:$X$495&gt;=6))*ROW('CASE MASTER'!$T$2:$T$495))-(ROW('CASE MASTER'!#REF!)-1))))*(INDEX('CASE MASTER'!$X$2:$X$495,(SUMPRODUCT((('CASE MASTER'!$T$2:$T$495=11)*('CASE MASTER'!$U$2:$U$495&lt;=2)*('CASE MASTER'!$W$2:$W$495&gt;=2)*('CASE MASTER'!$V$2:$V$495&lt;=6)*('CASE MASTER'!$X$2:$X$495&gt;=6))*ROW('CASE MASTER'!$T$2:$T$495))-(ROW('CASE MASTER'!#REF!)-1)))-INDEX('CASE MASTER'!$V$2:$V$495,(SUMPRODUCT((('CASE MASTER'!$T$2:$T$495=11)*('CASE MASTER'!$U$2:$U$495&lt;=2)*('CASE MASTER'!$W$2:$W$495&gt;=2)*('CASE MASTER'!$V$2:$V$495&lt;=6)*('CASE MASTER'!$X$2:$X$495&gt;=6))*ROW('CASE MASTER'!$T$2:$T$495))-(ROW('CASE MASTER'!#REF!)-1)))+1)+(6-INDEX('CASE MASTER'!$V$2:$V$495,(SUMPRODUCT((('CASE MASTER'!$T$2:$T$495=11)*('CASE MASTER'!$U$2:$U$495&lt;=2)*('CASE MASTER'!$W$2:$W$495&gt;=2)*('CASE MASTER'!$V$2:$V$495&lt;=6)*('CASE MASTER'!$X$2:$X$495&gt;=6))*ROW('CASE MASTER'!$T$2:$T$495))-(ROW('CASE MASTER'!#REF!)-1))))+1))-1)*50+1,50))&amp;"_"&amp;INDEX('CASE MASTER'!$Q$2:$Q$495,(SUMPRODUCT((('CASE MASTER'!$T$2:$T$495=11)*('CASE MASTER'!$U$2:$U$495&lt;=2)*('CASE MASTER'!$W$2:$W$495&gt;=2)*('CASE MASTER'!$V$2:$V$495&lt;=6)*('CASE MASTER'!$X$2:$X$495&gt;=6))*ROW('CASE MASTER'!$T$2:$T$495))-(ROW('CASE MASTER'!#REF!)-1))),IF(SUMPRODUCT((('CASE MASTER'!$T$2:$T$495=11)*('CASE MASTER'!$AA$2:$AA$495&lt;=2)*('CASE MASTER'!$AC$2:$AC$495&gt;=2)*('CASE MASTER'!$AB$2:$AB$495&lt;=6)*('CASE MASTER'!$AD$2:$AD$495&gt;=6))*ROW('CASE MASTER'!$T$2:$T$495))&gt;0,INDEX('CASE MASTER'!$Y$2:$Y$495,(SUMPRODUCT((('CASE MASTER'!$T$2:$T$495=11)*('CASE MASTER'!$AA$2:$AA$495&lt;=2)*('CASE MASTER'!$AC$2:$AC$495&gt;=2)*('CASE MASTER'!$AB$2:$AB$495&lt;=6)*('CASE MASTER'!$AD$2:$AD$495&gt;=6))*ROW('CASE MASTER'!$T$2:$T$495))-(ROW('CASE MASTER'!#REF!)-1)))&amp;TRIM(MID(SUBSTITUTE(SUBSTITUTE(INDEX('CASE MASTER'!$N$2:$N$495,(SUMPRODUCT((('CASE MASTER'!$T$2:$T$495=11)*('CASE MASTER'!$AA$2:$AA$495&lt;=2)*('CASE MASTER'!$AC$2:$AC$495&gt;=2)*('CASE MASTER'!$AB$2:$AB$495&lt;=6)*('CASE MASTER'!$AD$2:$AD$495&gt;=6))*ROW('CASE MASTER'!$T$2:$T$495))-(ROW('CASE MASTER'!#REF!)-1))),":",","),",",REPT(" ",50)),(((INDEX('CASE MASTER'!$Z$2:$Z$495,(SUMPRODUCT((('CASE MASTER'!$T$2:$T$495=11)*('CASE MASTER'!$AA$2:$AA$495&lt;=2)*('CASE MASTER'!$AC$2:$AC$495&gt;=2)*('CASE MASTER'!$AB$2:$AB$495&lt;=6)*('CASE MASTER'!$AD$2:$AD$495&gt;=6))*ROW('CASE MASTER'!$T$2:$T$495))-(ROW('CASE MASTER'!#REF!)-1)))+((2-INDEX('CASE MASTER'!$AA$2:$AA$495,(SUMPRODUCT((('CASE MASTER'!$T$2:$T$495=11)*('CASE MASTER'!$AA$2:$AA$495&lt;=2)*('CASE MASTER'!$AC$2:$AC$495&gt;=2)*('CASE MASTER'!$AB$2:$AB$495&lt;=6)*('CASE MASTER'!$AD$2:$AD$495&gt;=6))*ROW('CASE MASTER'!$T$2:$T$495))-(ROW('CASE MASTER'!#REF!)-1))))*(INDEX('CASE MASTER'!$AD$2:$AD$495,(SUMPRODUCT((('CASE MASTER'!$T$2:$T$495=11)*('CASE MASTER'!$AA$2:$AA$495&lt;=2)*('CASE MASTER'!$AC$2:$AC$495&gt;=2)*('CASE MASTER'!$AB$2:$AB$495&lt;=6)*('CASE MASTER'!$AD$2:$AD$495&gt;=6))*ROW('CASE MASTER'!$T$2:$T$495))-(ROW('CASE MASTER'!#REF!)-1)))-INDEX('CASE MASTER'!$AB$2:$AB$495,(SUMPRODUCT((('CASE MASTER'!$T$2:$T$495=11)*('CASE MASTER'!$AA$2:$AA$495&lt;=2)*('CASE MASTER'!$AC$2:$AC$495&gt;=2)*('CASE MASTER'!$AB$2:$AB$495&lt;=6)*('CASE MASTER'!$AD$2:$AD$495&gt;=6))*ROW('CASE MASTER'!$T$2:$T$495))-(ROW('CASE MASTER'!#REF!)-1)))+1)+(6-INDEX('CASE MASTER'!$AB$2:$AB$495,(SUMPRODUCT((('CASE MASTER'!$T$2:$T$495=11)*('CASE MASTER'!$AA$2:$AA$495&lt;=2)*('CASE MASTER'!$AC$2:$AC$495&gt;=2)*('CASE MASTER'!$AB$2:$AB$495&lt;=6)*('CASE MASTER'!$AD$2:$AD$495&gt;=6))*ROW('CASE MASTER'!$T$2:$T$495))-(ROW('CASE MASTER'!#REF!)-1))))+1)))-1)*50+1,50))&amp;"_"&amp;INDEX('CASE MASTER'!$Q$2:$Q$495,(SUMPRODUCT((('CASE MASTER'!$T$2:$T$495=11)*('CASE MASTER'!$AA$2:$AA$495&lt;=2)*('CASE MASTER'!$AC$2:$AC$495&gt;=2)*('CASE MASTER'!$AB$2:$AB$495&lt;=6)*('CASE MASTER'!$AD$2:$AD$495&gt;=6))*ROW('CASE MASTER'!$T$2:$T$495))-(ROW('CASE MASTER'!#REF!)-1))),"")),"")</f>
        <v/>
      </c>
      <c r="H144" s="10" t="str">
        <f>IFERROR(IF(SUMPRODUCT((('CASE MASTER'!$T$2:$T$495=11)*('CASE MASTER'!$U$2:$U$495&lt;=2)*('CASE MASTER'!$W$2:$W$495&gt;=2)*('CASE MASTER'!$V$2:$V$495&lt;=7)*('CASE MASTER'!$X$2:$X$495&gt;=7))*ROW('CASE MASTER'!$T$2:$T$495))&gt;0,INDEX('CASE MASTER'!$Y$2:$Y$495,(SUMPRODUCT((('CASE MASTER'!$T$2:$T$495=11)*('CASE MASTER'!$U$2:$U$495&lt;=2)*('CASE MASTER'!$W$2:$W$495&gt;=2)*('CASE MASTER'!$V$2:$V$495&lt;=7)*('CASE MASTER'!$X$2:$X$495&gt;=7))*ROW('CASE MASTER'!$T$2:$T$495))-(ROW('CASE MASTER'!#REF!)-1)))&amp;TRIM(MID(SUBSTITUTE(SUBSTITUTE(INDEX('CASE MASTER'!$N$2:$N$495,(SUMPRODUCT((('CASE MASTER'!$T$2:$T$495=11)*('CASE MASTER'!$U$2:$U$495&lt;=2)*('CASE MASTER'!$W$2:$W$495&gt;=2)*('CASE MASTER'!$V$2:$V$495&lt;=7)*('CASE MASTER'!$X$2:$X$495&gt;=7))*ROW('CASE MASTER'!$T$2:$T$495))-(ROW('CASE MASTER'!#REF!)-1))),":",","),",",REPT(" ",50)),((((2-INDEX('CASE MASTER'!$U$2:$U$495,(SUMPRODUCT((('CASE MASTER'!$T$2:$T$495=11)*('CASE MASTER'!$U$2:$U$495&lt;=2)*('CASE MASTER'!$W$2:$W$495&gt;=2)*('CASE MASTER'!$V$2:$V$495&lt;=7)*('CASE MASTER'!$X$2:$X$495&gt;=7))*ROW('CASE MASTER'!$T$2:$T$495))-(ROW('CASE MASTER'!#REF!)-1))))*(INDEX('CASE MASTER'!$X$2:$X$495,(SUMPRODUCT((('CASE MASTER'!$T$2:$T$495=11)*('CASE MASTER'!$U$2:$U$495&lt;=2)*('CASE MASTER'!$W$2:$W$495&gt;=2)*('CASE MASTER'!$V$2:$V$495&lt;=7)*('CASE MASTER'!$X$2:$X$495&gt;=7))*ROW('CASE MASTER'!$T$2:$T$495))-(ROW('CASE MASTER'!#REF!)-1)))-INDEX('CASE MASTER'!$V$2:$V$495,(SUMPRODUCT((('CASE MASTER'!$T$2:$T$495=11)*('CASE MASTER'!$U$2:$U$495&lt;=2)*('CASE MASTER'!$W$2:$W$495&gt;=2)*('CASE MASTER'!$V$2:$V$495&lt;=7)*('CASE MASTER'!$X$2:$X$495&gt;=7))*ROW('CASE MASTER'!$T$2:$T$495))-(ROW('CASE MASTER'!#REF!)-1)))+1)+(7-INDEX('CASE MASTER'!$V$2:$V$495,(SUMPRODUCT((('CASE MASTER'!$T$2:$T$495=11)*('CASE MASTER'!$U$2:$U$495&lt;=2)*('CASE MASTER'!$W$2:$W$495&gt;=2)*('CASE MASTER'!$V$2:$V$495&lt;=7)*('CASE MASTER'!$X$2:$X$495&gt;=7))*ROW('CASE MASTER'!$T$2:$T$495))-(ROW('CASE MASTER'!#REF!)-1))))+1))-1)*50+1,50))&amp;"_"&amp;INDEX('CASE MASTER'!$Q$2:$Q$495,(SUMPRODUCT((('CASE MASTER'!$T$2:$T$495=11)*('CASE MASTER'!$U$2:$U$495&lt;=2)*('CASE MASTER'!$W$2:$W$495&gt;=2)*('CASE MASTER'!$V$2:$V$495&lt;=7)*('CASE MASTER'!$X$2:$X$495&gt;=7))*ROW('CASE MASTER'!$T$2:$T$495))-(ROW('CASE MASTER'!#REF!)-1))),IF(SUMPRODUCT((('CASE MASTER'!$T$2:$T$495=11)*('CASE MASTER'!$AA$2:$AA$495&lt;=2)*('CASE MASTER'!$AC$2:$AC$495&gt;=2)*('CASE MASTER'!$AB$2:$AB$495&lt;=7)*('CASE MASTER'!$AD$2:$AD$495&gt;=7))*ROW('CASE MASTER'!$T$2:$T$495))&gt;0,INDEX('CASE MASTER'!$Y$2:$Y$495,(SUMPRODUCT((('CASE MASTER'!$T$2:$T$495=11)*('CASE MASTER'!$AA$2:$AA$495&lt;=2)*('CASE MASTER'!$AC$2:$AC$495&gt;=2)*('CASE MASTER'!$AB$2:$AB$495&lt;=7)*('CASE MASTER'!$AD$2:$AD$495&gt;=7))*ROW('CASE MASTER'!$T$2:$T$495))-(ROW('CASE MASTER'!#REF!)-1)))&amp;TRIM(MID(SUBSTITUTE(SUBSTITUTE(INDEX('CASE MASTER'!$N$2:$N$495,(SUMPRODUCT((('CASE MASTER'!$T$2:$T$495=11)*('CASE MASTER'!$AA$2:$AA$495&lt;=2)*('CASE MASTER'!$AC$2:$AC$495&gt;=2)*('CASE MASTER'!$AB$2:$AB$495&lt;=7)*('CASE MASTER'!$AD$2:$AD$495&gt;=7))*ROW('CASE MASTER'!$T$2:$T$495))-(ROW('CASE MASTER'!#REF!)-1))),":",","),",",REPT(" ",50)),(((INDEX('CASE MASTER'!$Z$2:$Z$495,(SUMPRODUCT((('CASE MASTER'!$T$2:$T$495=11)*('CASE MASTER'!$AA$2:$AA$495&lt;=2)*('CASE MASTER'!$AC$2:$AC$495&gt;=2)*('CASE MASTER'!$AB$2:$AB$495&lt;=7)*('CASE MASTER'!$AD$2:$AD$495&gt;=7))*ROW('CASE MASTER'!$T$2:$T$495))-(ROW('CASE MASTER'!#REF!)-1)))+((2-INDEX('CASE MASTER'!$AA$2:$AA$495,(SUMPRODUCT((('CASE MASTER'!$T$2:$T$495=11)*('CASE MASTER'!$AA$2:$AA$495&lt;=2)*('CASE MASTER'!$AC$2:$AC$495&gt;=2)*('CASE MASTER'!$AB$2:$AB$495&lt;=7)*('CASE MASTER'!$AD$2:$AD$495&gt;=7))*ROW('CASE MASTER'!$T$2:$T$495))-(ROW('CASE MASTER'!#REF!)-1))))*(INDEX('CASE MASTER'!$AD$2:$AD$495,(SUMPRODUCT((('CASE MASTER'!$T$2:$T$495=11)*('CASE MASTER'!$AA$2:$AA$495&lt;=2)*('CASE MASTER'!$AC$2:$AC$495&gt;=2)*('CASE MASTER'!$AB$2:$AB$495&lt;=7)*('CASE MASTER'!$AD$2:$AD$495&gt;=7))*ROW('CASE MASTER'!$T$2:$T$495))-(ROW('CASE MASTER'!#REF!)-1)))-INDEX('CASE MASTER'!$AB$2:$AB$495,(SUMPRODUCT((('CASE MASTER'!$T$2:$T$495=11)*('CASE MASTER'!$AA$2:$AA$495&lt;=2)*('CASE MASTER'!$AC$2:$AC$495&gt;=2)*('CASE MASTER'!$AB$2:$AB$495&lt;=7)*('CASE MASTER'!$AD$2:$AD$495&gt;=7))*ROW('CASE MASTER'!$T$2:$T$495))-(ROW('CASE MASTER'!#REF!)-1)))+1)+(7-INDEX('CASE MASTER'!$AB$2:$AB$495,(SUMPRODUCT((('CASE MASTER'!$T$2:$T$495=11)*('CASE MASTER'!$AA$2:$AA$495&lt;=2)*('CASE MASTER'!$AC$2:$AC$495&gt;=2)*('CASE MASTER'!$AB$2:$AB$495&lt;=7)*('CASE MASTER'!$AD$2:$AD$495&gt;=7))*ROW('CASE MASTER'!$T$2:$T$495))-(ROW('CASE MASTER'!#REF!)-1))))+1)))-1)*50+1,50))&amp;"_"&amp;INDEX('CASE MASTER'!$Q$2:$Q$495,(SUMPRODUCT((('CASE MASTER'!$T$2:$T$495=11)*('CASE MASTER'!$AA$2:$AA$495&lt;=2)*('CASE MASTER'!$AC$2:$AC$495&gt;=2)*('CASE MASTER'!$AB$2:$AB$495&lt;=7)*('CASE MASTER'!$AD$2:$AD$495&gt;=7))*ROW('CASE MASTER'!$T$2:$T$495))-(ROW('CASE MASTER'!#REF!)-1))),"")),"")</f>
        <v/>
      </c>
      <c r="I144" s="10" t="str">
        <f>IFERROR(IF(SUMPRODUCT((('CASE MASTER'!$T$2:$T$495=11)*('CASE MASTER'!$U$2:$U$495&lt;=2)*('CASE MASTER'!$W$2:$W$495&gt;=2)*('CASE MASTER'!$V$2:$V$495&lt;=8)*('CASE MASTER'!$X$2:$X$495&gt;=8))*ROW('CASE MASTER'!$T$2:$T$495))&gt;0,INDEX('CASE MASTER'!$Y$2:$Y$495,(SUMPRODUCT((('CASE MASTER'!$T$2:$T$495=11)*('CASE MASTER'!$U$2:$U$495&lt;=2)*('CASE MASTER'!$W$2:$W$495&gt;=2)*('CASE MASTER'!$V$2:$V$495&lt;=8)*('CASE MASTER'!$X$2:$X$495&gt;=8))*ROW('CASE MASTER'!$T$2:$T$495))-(ROW('CASE MASTER'!#REF!)-1)))&amp;TRIM(MID(SUBSTITUTE(SUBSTITUTE(INDEX('CASE MASTER'!$N$2:$N$495,(SUMPRODUCT((('CASE MASTER'!$T$2:$T$495=11)*('CASE MASTER'!$U$2:$U$495&lt;=2)*('CASE MASTER'!$W$2:$W$495&gt;=2)*('CASE MASTER'!$V$2:$V$495&lt;=8)*('CASE MASTER'!$X$2:$X$495&gt;=8))*ROW('CASE MASTER'!$T$2:$T$495))-(ROW('CASE MASTER'!#REF!)-1))),":",","),",",REPT(" ",50)),((((2-INDEX('CASE MASTER'!$U$2:$U$495,(SUMPRODUCT((('CASE MASTER'!$T$2:$T$495=11)*('CASE MASTER'!$U$2:$U$495&lt;=2)*('CASE MASTER'!$W$2:$W$495&gt;=2)*('CASE MASTER'!$V$2:$V$495&lt;=8)*('CASE MASTER'!$X$2:$X$495&gt;=8))*ROW('CASE MASTER'!$T$2:$T$495))-(ROW('CASE MASTER'!#REF!)-1))))*(INDEX('CASE MASTER'!$X$2:$X$495,(SUMPRODUCT((('CASE MASTER'!$T$2:$T$495=11)*('CASE MASTER'!$U$2:$U$495&lt;=2)*('CASE MASTER'!$W$2:$W$495&gt;=2)*('CASE MASTER'!$V$2:$V$495&lt;=8)*('CASE MASTER'!$X$2:$X$495&gt;=8))*ROW('CASE MASTER'!$T$2:$T$495))-(ROW('CASE MASTER'!#REF!)-1)))-INDEX('CASE MASTER'!$V$2:$V$495,(SUMPRODUCT((('CASE MASTER'!$T$2:$T$495=11)*('CASE MASTER'!$U$2:$U$495&lt;=2)*('CASE MASTER'!$W$2:$W$495&gt;=2)*('CASE MASTER'!$V$2:$V$495&lt;=8)*('CASE MASTER'!$X$2:$X$495&gt;=8))*ROW('CASE MASTER'!$T$2:$T$495))-(ROW('CASE MASTER'!#REF!)-1)))+1)+(8-INDEX('CASE MASTER'!$V$2:$V$495,(SUMPRODUCT((('CASE MASTER'!$T$2:$T$495=11)*('CASE MASTER'!$U$2:$U$495&lt;=2)*('CASE MASTER'!$W$2:$W$495&gt;=2)*('CASE MASTER'!$V$2:$V$495&lt;=8)*('CASE MASTER'!$X$2:$X$495&gt;=8))*ROW('CASE MASTER'!$T$2:$T$495))-(ROW('CASE MASTER'!#REF!)-1))))+1))-1)*50+1,50))&amp;"_"&amp;INDEX('CASE MASTER'!$Q$2:$Q$495,(SUMPRODUCT((('CASE MASTER'!$T$2:$T$495=11)*('CASE MASTER'!$U$2:$U$495&lt;=2)*('CASE MASTER'!$W$2:$W$495&gt;=2)*('CASE MASTER'!$V$2:$V$495&lt;=8)*('CASE MASTER'!$X$2:$X$495&gt;=8))*ROW('CASE MASTER'!$T$2:$T$495))-(ROW('CASE MASTER'!#REF!)-1))),IF(SUMPRODUCT((('CASE MASTER'!$T$2:$T$495=11)*('CASE MASTER'!$AA$2:$AA$495&lt;=2)*('CASE MASTER'!$AC$2:$AC$495&gt;=2)*('CASE MASTER'!$AB$2:$AB$495&lt;=8)*('CASE MASTER'!$AD$2:$AD$495&gt;=8))*ROW('CASE MASTER'!$T$2:$T$495))&gt;0,INDEX('CASE MASTER'!$Y$2:$Y$495,(SUMPRODUCT((('CASE MASTER'!$T$2:$T$495=11)*('CASE MASTER'!$AA$2:$AA$495&lt;=2)*('CASE MASTER'!$AC$2:$AC$495&gt;=2)*('CASE MASTER'!$AB$2:$AB$495&lt;=8)*('CASE MASTER'!$AD$2:$AD$495&gt;=8))*ROW('CASE MASTER'!$T$2:$T$495))-(ROW('CASE MASTER'!#REF!)-1)))&amp;TRIM(MID(SUBSTITUTE(SUBSTITUTE(INDEX('CASE MASTER'!$N$2:$N$495,(SUMPRODUCT((('CASE MASTER'!$T$2:$T$495=11)*('CASE MASTER'!$AA$2:$AA$495&lt;=2)*('CASE MASTER'!$AC$2:$AC$495&gt;=2)*('CASE MASTER'!$AB$2:$AB$495&lt;=8)*('CASE MASTER'!$AD$2:$AD$495&gt;=8))*ROW('CASE MASTER'!$T$2:$T$495))-(ROW('CASE MASTER'!#REF!)-1))),":",","),",",REPT(" ",50)),(((INDEX('CASE MASTER'!$Z$2:$Z$495,(SUMPRODUCT((('CASE MASTER'!$T$2:$T$495=11)*('CASE MASTER'!$AA$2:$AA$495&lt;=2)*('CASE MASTER'!$AC$2:$AC$495&gt;=2)*('CASE MASTER'!$AB$2:$AB$495&lt;=8)*('CASE MASTER'!$AD$2:$AD$495&gt;=8))*ROW('CASE MASTER'!$T$2:$T$495))-(ROW('CASE MASTER'!#REF!)-1)))+((2-INDEX('CASE MASTER'!$AA$2:$AA$495,(SUMPRODUCT((('CASE MASTER'!$T$2:$T$495=11)*('CASE MASTER'!$AA$2:$AA$495&lt;=2)*('CASE MASTER'!$AC$2:$AC$495&gt;=2)*('CASE MASTER'!$AB$2:$AB$495&lt;=8)*('CASE MASTER'!$AD$2:$AD$495&gt;=8))*ROW('CASE MASTER'!$T$2:$T$495))-(ROW('CASE MASTER'!#REF!)-1))))*(INDEX('CASE MASTER'!$AD$2:$AD$495,(SUMPRODUCT((('CASE MASTER'!$T$2:$T$495=11)*('CASE MASTER'!$AA$2:$AA$495&lt;=2)*('CASE MASTER'!$AC$2:$AC$495&gt;=2)*('CASE MASTER'!$AB$2:$AB$495&lt;=8)*('CASE MASTER'!$AD$2:$AD$495&gt;=8))*ROW('CASE MASTER'!$T$2:$T$495))-(ROW('CASE MASTER'!#REF!)-1)))-INDEX('CASE MASTER'!$AB$2:$AB$495,(SUMPRODUCT((('CASE MASTER'!$T$2:$T$495=11)*('CASE MASTER'!$AA$2:$AA$495&lt;=2)*('CASE MASTER'!$AC$2:$AC$495&gt;=2)*('CASE MASTER'!$AB$2:$AB$495&lt;=8)*('CASE MASTER'!$AD$2:$AD$495&gt;=8))*ROW('CASE MASTER'!$T$2:$T$495))-(ROW('CASE MASTER'!#REF!)-1)))+1)+(8-INDEX('CASE MASTER'!$AB$2:$AB$495,(SUMPRODUCT((('CASE MASTER'!$T$2:$T$495=11)*('CASE MASTER'!$AA$2:$AA$495&lt;=2)*('CASE MASTER'!$AC$2:$AC$495&gt;=2)*('CASE MASTER'!$AB$2:$AB$495&lt;=8)*('CASE MASTER'!$AD$2:$AD$495&gt;=8))*ROW('CASE MASTER'!$T$2:$T$495))-(ROW('CASE MASTER'!#REF!)-1))))+1)))-1)*50+1,50))&amp;"_"&amp;INDEX('CASE MASTER'!$Q$2:$Q$495,(SUMPRODUCT((('CASE MASTER'!$T$2:$T$495=11)*('CASE MASTER'!$AA$2:$AA$495&lt;=2)*('CASE MASTER'!$AC$2:$AC$495&gt;=2)*('CASE MASTER'!$AB$2:$AB$495&lt;=8)*('CASE MASTER'!$AD$2:$AD$495&gt;=8))*ROW('CASE MASTER'!$T$2:$T$495))-(ROW('CASE MASTER'!#REF!)-1))),"")),"")</f>
        <v/>
      </c>
      <c r="J144" s="10" t="str">
        <f>IFERROR(IF(SUMPRODUCT((('CASE MASTER'!$T$2:$T$495=11)*('CASE MASTER'!$U$2:$U$495&lt;=2)*('CASE MASTER'!$W$2:$W$495&gt;=2)*('CASE MASTER'!$V$2:$V$495&lt;=9)*('CASE MASTER'!$X$2:$X$495&gt;=9))*ROW('CASE MASTER'!$T$2:$T$495))&gt;0,INDEX('CASE MASTER'!$Y$2:$Y$495,(SUMPRODUCT((('CASE MASTER'!$T$2:$T$495=11)*('CASE MASTER'!$U$2:$U$495&lt;=2)*('CASE MASTER'!$W$2:$W$495&gt;=2)*('CASE MASTER'!$V$2:$V$495&lt;=9)*('CASE MASTER'!$X$2:$X$495&gt;=9))*ROW('CASE MASTER'!$T$2:$T$495))-(ROW('CASE MASTER'!#REF!)-1)))&amp;TRIM(MID(SUBSTITUTE(SUBSTITUTE(INDEX('CASE MASTER'!$N$2:$N$495,(SUMPRODUCT((('CASE MASTER'!$T$2:$T$495=11)*('CASE MASTER'!$U$2:$U$495&lt;=2)*('CASE MASTER'!$W$2:$W$495&gt;=2)*('CASE MASTER'!$V$2:$V$495&lt;=9)*('CASE MASTER'!$X$2:$X$495&gt;=9))*ROW('CASE MASTER'!$T$2:$T$495))-(ROW('CASE MASTER'!#REF!)-1))),":",","),",",REPT(" ",50)),((((2-INDEX('CASE MASTER'!$U$2:$U$495,(SUMPRODUCT((('CASE MASTER'!$T$2:$T$495=11)*('CASE MASTER'!$U$2:$U$495&lt;=2)*('CASE MASTER'!$W$2:$W$495&gt;=2)*('CASE MASTER'!$V$2:$V$495&lt;=9)*('CASE MASTER'!$X$2:$X$495&gt;=9))*ROW('CASE MASTER'!$T$2:$T$495))-(ROW('CASE MASTER'!#REF!)-1))))*(INDEX('CASE MASTER'!$X$2:$X$495,(SUMPRODUCT((('CASE MASTER'!$T$2:$T$495=11)*('CASE MASTER'!$U$2:$U$495&lt;=2)*('CASE MASTER'!$W$2:$W$495&gt;=2)*('CASE MASTER'!$V$2:$V$495&lt;=9)*('CASE MASTER'!$X$2:$X$495&gt;=9))*ROW('CASE MASTER'!$T$2:$T$495))-(ROW('CASE MASTER'!#REF!)-1)))-INDEX('CASE MASTER'!$V$2:$V$495,(SUMPRODUCT((('CASE MASTER'!$T$2:$T$495=11)*('CASE MASTER'!$U$2:$U$495&lt;=2)*('CASE MASTER'!$W$2:$W$495&gt;=2)*('CASE MASTER'!$V$2:$V$495&lt;=9)*('CASE MASTER'!$X$2:$X$495&gt;=9))*ROW('CASE MASTER'!$T$2:$T$495))-(ROW('CASE MASTER'!#REF!)-1)))+1)+(9-INDEX('CASE MASTER'!$V$2:$V$495,(SUMPRODUCT((('CASE MASTER'!$T$2:$T$495=11)*('CASE MASTER'!$U$2:$U$495&lt;=2)*('CASE MASTER'!$W$2:$W$495&gt;=2)*('CASE MASTER'!$V$2:$V$495&lt;=9)*('CASE MASTER'!$X$2:$X$495&gt;=9))*ROW('CASE MASTER'!$T$2:$T$495))-(ROW('CASE MASTER'!#REF!)-1))))+1))-1)*50+1,50))&amp;"_"&amp;INDEX('CASE MASTER'!$Q$2:$Q$495,(SUMPRODUCT((('CASE MASTER'!$T$2:$T$495=11)*('CASE MASTER'!$U$2:$U$495&lt;=2)*('CASE MASTER'!$W$2:$W$495&gt;=2)*('CASE MASTER'!$V$2:$V$495&lt;=9)*('CASE MASTER'!$X$2:$X$495&gt;=9))*ROW('CASE MASTER'!$T$2:$T$495))-(ROW('CASE MASTER'!#REF!)-1))),IF(SUMPRODUCT((('CASE MASTER'!$T$2:$T$495=11)*('CASE MASTER'!$AA$2:$AA$495&lt;=2)*('CASE MASTER'!$AC$2:$AC$495&gt;=2)*('CASE MASTER'!$AB$2:$AB$495&lt;=9)*('CASE MASTER'!$AD$2:$AD$495&gt;=9))*ROW('CASE MASTER'!$T$2:$T$495))&gt;0,INDEX('CASE MASTER'!$Y$2:$Y$495,(SUMPRODUCT((('CASE MASTER'!$T$2:$T$495=11)*('CASE MASTER'!$AA$2:$AA$495&lt;=2)*('CASE MASTER'!$AC$2:$AC$495&gt;=2)*('CASE MASTER'!$AB$2:$AB$495&lt;=9)*('CASE MASTER'!$AD$2:$AD$495&gt;=9))*ROW('CASE MASTER'!$T$2:$T$495))-(ROW('CASE MASTER'!#REF!)-1)))&amp;TRIM(MID(SUBSTITUTE(SUBSTITUTE(INDEX('CASE MASTER'!$N$2:$N$495,(SUMPRODUCT((('CASE MASTER'!$T$2:$T$495=11)*('CASE MASTER'!$AA$2:$AA$495&lt;=2)*('CASE MASTER'!$AC$2:$AC$495&gt;=2)*('CASE MASTER'!$AB$2:$AB$495&lt;=9)*('CASE MASTER'!$AD$2:$AD$495&gt;=9))*ROW('CASE MASTER'!$T$2:$T$495))-(ROW('CASE MASTER'!#REF!)-1))),":",","),",",REPT(" ",50)),(((INDEX('CASE MASTER'!$Z$2:$Z$495,(SUMPRODUCT((('CASE MASTER'!$T$2:$T$495=11)*('CASE MASTER'!$AA$2:$AA$495&lt;=2)*('CASE MASTER'!$AC$2:$AC$495&gt;=2)*('CASE MASTER'!$AB$2:$AB$495&lt;=9)*('CASE MASTER'!$AD$2:$AD$495&gt;=9))*ROW('CASE MASTER'!$T$2:$T$495))-(ROW('CASE MASTER'!#REF!)-1)))+((2-INDEX('CASE MASTER'!$AA$2:$AA$495,(SUMPRODUCT((('CASE MASTER'!$T$2:$T$495=11)*('CASE MASTER'!$AA$2:$AA$495&lt;=2)*('CASE MASTER'!$AC$2:$AC$495&gt;=2)*('CASE MASTER'!$AB$2:$AB$495&lt;=9)*('CASE MASTER'!$AD$2:$AD$495&gt;=9))*ROW('CASE MASTER'!$T$2:$T$495))-(ROW('CASE MASTER'!#REF!)-1))))*(INDEX('CASE MASTER'!$AD$2:$AD$495,(SUMPRODUCT((('CASE MASTER'!$T$2:$T$495=11)*('CASE MASTER'!$AA$2:$AA$495&lt;=2)*('CASE MASTER'!$AC$2:$AC$495&gt;=2)*('CASE MASTER'!$AB$2:$AB$495&lt;=9)*('CASE MASTER'!$AD$2:$AD$495&gt;=9))*ROW('CASE MASTER'!$T$2:$T$495))-(ROW('CASE MASTER'!#REF!)-1)))-INDEX('CASE MASTER'!$AB$2:$AB$495,(SUMPRODUCT((('CASE MASTER'!$T$2:$T$495=11)*('CASE MASTER'!$AA$2:$AA$495&lt;=2)*('CASE MASTER'!$AC$2:$AC$495&gt;=2)*('CASE MASTER'!$AB$2:$AB$495&lt;=9)*('CASE MASTER'!$AD$2:$AD$495&gt;=9))*ROW('CASE MASTER'!$T$2:$T$495))-(ROW('CASE MASTER'!#REF!)-1)))+1)+(9-INDEX('CASE MASTER'!$AB$2:$AB$495,(SUMPRODUCT((('CASE MASTER'!$T$2:$T$495=11)*('CASE MASTER'!$AA$2:$AA$495&lt;=2)*('CASE MASTER'!$AC$2:$AC$495&gt;=2)*('CASE MASTER'!$AB$2:$AB$495&lt;=9)*('CASE MASTER'!$AD$2:$AD$495&gt;=9))*ROW('CASE MASTER'!$T$2:$T$495))-(ROW('CASE MASTER'!#REF!)-1))))+1)))-1)*50+1,50))&amp;"_"&amp;INDEX('CASE MASTER'!$Q$2:$Q$495,(SUMPRODUCT((('CASE MASTER'!$T$2:$T$495=11)*('CASE MASTER'!$AA$2:$AA$495&lt;=2)*('CASE MASTER'!$AC$2:$AC$495&gt;=2)*('CASE MASTER'!$AB$2:$AB$495&lt;=9)*('CASE MASTER'!$AD$2:$AD$495&gt;=9))*ROW('CASE MASTER'!$T$2:$T$495))-(ROW('CASE MASTER'!#REF!)-1))),"")),"")</f>
        <v/>
      </c>
      <c r="K144" s="10" t="str">
        <f>IFERROR(IF(SUMPRODUCT((('CASE MASTER'!$T$2:$T$495=11)*('CASE MASTER'!$U$2:$U$495&lt;=2)*('CASE MASTER'!$W$2:$W$495&gt;=2)*('CASE MASTER'!$V$2:$V$495&lt;=10)*('CASE MASTER'!$X$2:$X$495&gt;=10))*ROW('CASE MASTER'!$T$2:$T$495))&gt;0,INDEX('CASE MASTER'!$Y$2:$Y$495,(SUMPRODUCT((('CASE MASTER'!$T$2:$T$495=11)*('CASE MASTER'!$U$2:$U$495&lt;=2)*('CASE MASTER'!$W$2:$W$495&gt;=2)*('CASE MASTER'!$V$2:$V$495&lt;=10)*('CASE MASTER'!$X$2:$X$495&gt;=10))*ROW('CASE MASTER'!$T$2:$T$495))-(ROW('CASE MASTER'!#REF!)-1)))&amp;TRIM(MID(SUBSTITUTE(SUBSTITUTE(INDEX('CASE MASTER'!$N$2:$N$495,(SUMPRODUCT((('CASE MASTER'!$T$2:$T$495=11)*('CASE MASTER'!$U$2:$U$495&lt;=2)*('CASE MASTER'!$W$2:$W$495&gt;=2)*('CASE MASTER'!$V$2:$V$495&lt;=10)*('CASE MASTER'!$X$2:$X$495&gt;=10))*ROW('CASE MASTER'!$T$2:$T$495))-(ROW('CASE MASTER'!#REF!)-1))),":",","),",",REPT(" ",50)),((((2-INDEX('CASE MASTER'!$U$2:$U$495,(SUMPRODUCT((('CASE MASTER'!$T$2:$T$495=11)*('CASE MASTER'!$U$2:$U$495&lt;=2)*('CASE MASTER'!$W$2:$W$495&gt;=2)*('CASE MASTER'!$V$2:$V$495&lt;=10)*('CASE MASTER'!$X$2:$X$495&gt;=10))*ROW('CASE MASTER'!$T$2:$T$495))-(ROW('CASE MASTER'!#REF!)-1))))*(INDEX('CASE MASTER'!$X$2:$X$495,(SUMPRODUCT((('CASE MASTER'!$T$2:$T$495=11)*('CASE MASTER'!$U$2:$U$495&lt;=2)*('CASE MASTER'!$W$2:$W$495&gt;=2)*('CASE MASTER'!$V$2:$V$495&lt;=10)*('CASE MASTER'!$X$2:$X$495&gt;=10))*ROW('CASE MASTER'!$T$2:$T$495))-(ROW('CASE MASTER'!#REF!)-1)))-INDEX('CASE MASTER'!$V$2:$V$495,(SUMPRODUCT((('CASE MASTER'!$T$2:$T$495=11)*('CASE MASTER'!$U$2:$U$495&lt;=2)*('CASE MASTER'!$W$2:$W$495&gt;=2)*('CASE MASTER'!$V$2:$V$495&lt;=10)*('CASE MASTER'!$X$2:$X$495&gt;=10))*ROW('CASE MASTER'!$T$2:$T$495))-(ROW('CASE MASTER'!#REF!)-1)))+1)+(10-INDEX('CASE MASTER'!$V$2:$V$495,(SUMPRODUCT((('CASE MASTER'!$T$2:$T$495=11)*('CASE MASTER'!$U$2:$U$495&lt;=2)*('CASE MASTER'!$W$2:$W$495&gt;=2)*('CASE MASTER'!$V$2:$V$495&lt;=10)*('CASE MASTER'!$X$2:$X$495&gt;=10))*ROW('CASE MASTER'!$T$2:$T$495))-(ROW('CASE MASTER'!#REF!)-1))))+1))-1)*50+1,50))&amp;"_"&amp;INDEX('CASE MASTER'!$Q$2:$Q$495,(SUMPRODUCT((('CASE MASTER'!$T$2:$T$495=11)*('CASE MASTER'!$U$2:$U$495&lt;=2)*('CASE MASTER'!$W$2:$W$495&gt;=2)*('CASE MASTER'!$V$2:$V$495&lt;=10)*('CASE MASTER'!$X$2:$X$495&gt;=10))*ROW('CASE MASTER'!$T$2:$T$495))-(ROW('CASE MASTER'!#REF!)-1))),IF(SUMPRODUCT((('CASE MASTER'!$T$2:$T$495=11)*('CASE MASTER'!$AA$2:$AA$495&lt;=2)*('CASE MASTER'!$AC$2:$AC$495&gt;=2)*('CASE MASTER'!$AB$2:$AB$495&lt;=10)*('CASE MASTER'!$AD$2:$AD$495&gt;=10))*ROW('CASE MASTER'!$T$2:$T$495))&gt;0,INDEX('CASE MASTER'!$Y$2:$Y$495,(SUMPRODUCT((('CASE MASTER'!$T$2:$T$495=11)*('CASE MASTER'!$AA$2:$AA$495&lt;=2)*('CASE MASTER'!$AC$2:$AC$495&gt;=2)*('CASE MASTER'!$AB$2:$AB$495&lt;=10)*('CASE MASTER'!$AD$2:$AD$495&gt;=10))*ROW('CASE MASTER'!$T$2:$T$495))-(ROW('CASE MASTER'!#REF!)-1)))&amp;TRIM(MID(SUBSTITUTE(SUBSTITUTE(INDEX('CASE MASTER'!$N$2:$N$495,(SUMPRODUCT((('CASE MASTER'!$T$2:$T$495=11)*('CASE MASTER'!$AA$2:$AA$495&lt;=2)*('CASE MASTER'!$AC$2:$AC$495&gt;=2)*('CASE MASTER'!$AB$2:$AB$495&lt;=10)*('CASE MASTER'!$AD$2:$AD$495&gt;=10))*ROW('CASE MASTER'!$T$2:$T$495))-(ROW('CASE MASTER'!#REF!)-1))),":",","),",",REPT(" ",50)),(((INDEX('CASE MASTER'!$Z$2:$Z$495,(SUMPRODUCT((('CASE MASTER'!$T$2:$T$495=11)*('CASE MASTER'!$AA$2:$AA$495&lt;=2)*('CASE MASTER'!$AC$2:$AC$495&gt;=2)*('CASE MASTER'!$AB$2:$AB$495&lt;=10)*('CASE MASTER'!$AD$2:$AD$495&gt;=10))*ROW('CASE MASTER'!$T$2:$T$495))-(ROW('CASE MASTER'!#REF!)-1)))+((2-INDEX('CASE MASTER'!$AA$2:$AA$495,(SUMPRODUCT((('CASE MASTER'!$T$2:$T$495=11)*('CASE MASTER'!$AA$2:$AA$495&lt;=2)*('CASE MASTER'!$AC$2:$AC$495&gt;=2)*('CASE MASTER'!$AB$2:$AB$495&lt;=10)*('CASE MASTER'!$AD$2:$AD$495&gt;=10))*ROW('CASE MASTER'!$T$2:$T$495))-(ROW('CASE MASTER'!#REF!)-1))))*(INDEX('CASE MASTER'!$AD$2:$AD$495,(SUMPRODUCT((('CASE MASTER'!$T$2:$T$495=11)*('CASE MASTER'!$AA$2:$AA$495&lt;=2)*('CASE MASTER'!$AC$2:$AC$495&gt;=2)*('CASE MASTER'!$AB$2:$AB$495&lt;=10)*('CASE MASTER'!$AD$2:$AD$495&gt;=10))*ROW('CASE MASTER'!$T$2:$T$495))-(ROW('CASE MASTER'!#REF!)-1)))-INDEX('CASE MASTER'!$AB$2:$AB$495,(SUMPRODUCT((('CASE MASTER'!$T$2:$T$495=11)*('CASE MASTER'!$AA$2:$AA$495&lt;=2)*('CASE MASTER'!$AC$2:$AC$495&gt;=2)*('CASE MASTER'!$AB$2:$AB$495&lt;=10)*('CASE MASTER'!$AD$2:$AD$495&gt;=10))*ROW('CASE MASTER'!$T$2:$T$495))-(ROW('CASE MASTER'!#REF!)-1)))+1)+(10-INDEX('CASE MASTER'!$AB$2:$AB$495,(SUMPRODUCT((('CASE MASTER'!$T$2:$T$495=11)*('CASE MASTER'!$AA$2:$AA$495&lt;=2)*('CASE MASTER'!$AC$2:$AC$495&gt;=2)*('CASE MASTER'!$AB$2:$AB$495&lt;=10)*('CASE MASTER'!$AD$2:$AD$495&gt;=10))*ROW('CASE MASTER'!$T$2:$T$495))-(ROW('CASE MASTER'!#REF!)-1))))+1)))-1)*50+1,50))&amp;"_"&amp;INDEX('CASE MASTER'!$Q$2:$Q$495,(SUMPRODUCT((('CASE MASTER'!$T$2:$T$495=11)*('CASE MASTER'!$AA$2:$AA$495&lt;=2)*('CASE MASTER'!$AC$2:$AC$495&gt;=2)*('CASE MASTER'!$AB$2:$AB$495&lt;=10)*('CASE MASTER'!$AD$2:$AD$495&gt;=10))*ROW('CASE MASTER'!$T$2:$T$495))-(ROW('CASE MASTER'!#REF!)-1))),"")),"")</f>
        <v/>
      </c>
    </row>
    <row r="145" spans="1:11" ht="15" customHeight="1" x14ac:dyDescent="0.35">
      <c r="A145" s="8" t="s">
        <v>30</v>
      </c>
      <c r="B145" s="10" t="str">
        <f>IFERROR(IF(SUMPRODUCT((('CASE MASTER'!$T$2:$T$495=11)*('CASE MASTER'!$U$2:$U$495&lt;=3)*('CASE MASTER'!$W$2:$W$495&gt;=3)*('CASE MASTER'!$V$2:$V$495&lt;=1)*('CASE MASTER'!$X$2:$X$495&gt;=1))*ROW('CASE MASTER'!$T$2:$T$495))&gt;0,INDEX('CASE MASTER'!$Y$2:$Y$495,(SUMPRODUCT((('CASE MASTER'!$T$2:$T$495=11)*('CASE MASTER'!$U$2:$U$495&lt;=3)*('CASE MASTER'!$W$2:$W$495&gt;=3)*('CASE MASTER'!$V$2:$V$495&lt;=1)*('CASE MASTER'!$X$2:$X$495&gt;=1))*ROW('CASE MASTER'!$T$2:$T$495))-(ROW('CASE MASTER'!#REF!)-1)))&amp;TRIM(MID(SUBSTITUTE(SUBSTITUTE(INDEX('CASE MASTER'!$N$2:$N$495,(SUMPRODUCT((('CASE MASTER'!$T$2:$T$495=11)*('CASE MASTER'!$U$2:$U$495&lt;=3)*('CASE MASTER'!$W$2:$W$495&gt;=3)*('CASE MASTER'!$V$2:$V$495&lt;=1)*('CASE MASTER'!$X$2:$X$495&gt;=1))*ROW('CASE MASTER'!$T$2:$T$495))-(ROW('CASE MASTER'!#REF!)-1))),":",","),",",REPT(" ",50)),((((3-INDEX('CASE MASTER'!$U$2:$U$495,(SUMPRODUCT((('CASE MASTER'!$T$2:$T$495=11)*('CASE MASTER'!$U$2:$U$495&lt;=3)*('CASE MASTER'!$W$2:$W$495&gt;=3)*('CASE MASTER'!$V$2:$V$495&lt;=1)*('CASE MASTER'!$X$2:$X$495&gt;=1))*ROW('CASE MASTER'!$T$2:$T$495))-(ROW('CASE MASTER'!#REF!)-1))))*(INDEX('CASE MASTER'!$X$2:$X$495,(SUMPRODUCT((('CASE MASTER'!$T$2:$T$495=11)*('CASE MASTER'!$U$2:$U$495&lt;=3)*('CASE MASTER'!$W$2:$W$495&gt;=3)*('CASE MASTER'!$V$2:$V$495&lt;=1)*('CASE MASTER'!$X$2:$X$495&gt;=1))*ROW('CASE MASTER'!$T$2:$T$495))-(ROW('CASE MASTER'!#REF!)-1)))-INDEX('CASE MASTER'!$V$2:$V$495,(SUMPRODUCT((('CASE MASTER'!$T$2:$T$495=11)*('CASE MASTER'!$U$2:$U$495&lt;=3)*('CASE MASTER'!$W$2:$W$495&gt;=3)*('CASE MASTER'!$V$2:$V$495&lt;=1)*('CASE MASTER'!$X$2:$X$495&gt;=1))*ROW('CASE MASTER'!$T$2:$T$495))-(ROW('CASE MASTER'!#REF!)-1)))+1)+(1-INDEX('CASE MASTER'!$V$2:$V$495,(SUMPRODUCT((('CASE MASTER'!$T$2:$T$495=11)*('CASE MASTER'!$U$2:$U$495&lt;=3)*('CASE MASTER'!$W$2:$W$495&gt;=3)*('CASE MASTER'!$V$2:$V$495&lt;=1)*('CASE MASTER'!$X$2:$X$495&gt;=1))*ROW('CASE MASTER'!$T$2:$T$495))-(ROW('CASE MASTER'!#REF!)-1))))+1))-1)*50+1,50))&amp;"_"&amp;INDEX('CASE MASTER'!$Q$2:$Q$495,(SUMPRODUCT((('CASE MASTER'!$T$2:$T$495=11)*('CASE MASTER'!$U$2:$U$495&lt;=3)*('CASE MASTER'!$W$2:$W$495&gt;=3)*('CASE MASTER'!$V$2:$V$495&lt;=1)*('CASE MASTER'!$X$2:$X$495&gt;=1))*ROW('CASE MASTER'!$T$2:$T$495))-(ROW('CASE MASTER'!#REF!)-1))),IF(SUMPRODUCT((('CASE MASTER'!$T$2:$T$495=11)*('CASE MASTER'!$AA$2:$AA$495&lt;=3)*('CASE MASTER'!$AC$2:$AC$495&gt;=3)*('CASE MASTER'!$AB$2:$AB$495&lt;=1)*('CASE MASTER'!$AD$2:$AD$495&gt;=1))*ROW('CASE MASTER'!$T$2:$T$495))&gt;0,INDEX('CASE MASTER'!$Y$2:$Y$495,(SUMPRODUCT((('CASE MASTER'!$T$2:$T$495=11)*('CASE MASTER'!$AA$2:$AA$495&lt;=3)*('CASE MASTER'!$AC$2:$AC$495&gt;=3)*('CASE MASTER'!$AB$2:$AB$495&lt;=1)*('CASE MASTER'!$AD$2:$AD$495&gt;=1))*ROW('CASE MASTER'!$T$2:$T$495))-(ROW('CASE MASTER'!#REF!)-1)))&amp;TRIM(MID(SUBSTITUTE(SUBSTITUTE(INDEX('CASE MASTER'!$N$2:$N$495,(SUMPRODUCT((('CASE MASTER'!$T$2:$T$495=11)*('CASE MASTER'!$AA$2:$AA$495&lt;=3)*('CASE MASTER'!$AC$2:$AC$495&gt;=3)*('CASE MASTER'!$AB$2:$AB$495&lt;=1)*('CASE MASTER'!$AD$2:$AD$495&gt;=1))*ROW('CASE MASTER'!$T$2:$T$495))-(ROW('CASE MASTER'!#REF!)-1))),":",","),",",REPT(" ",50)),(((INDEX('CASE MASTER'!$Z$2:$Z$495,(SUMPRODUCT((('CASE MASTER'!$T$2:$T$495=11)*('CASE MASTER'!$AA$2:$AA$495&lt;=3)*('CASE MASTER'!$AC$2:$AC$495&gt;=3)*('CASE MASTER'!$AB$2:$AB$495&lt;=1)*('CASE MASTER'!$AD$2:$AD$495&gt;=1))*ROW('CASE MASTER'!$T$2:$T$495))-(ROW('CASE MASTER'!#REF!)-1)))+((3-INDEX('CASE MASTER'!$AA$2:$AA$495,(SUMPRODUCT((('CASE MASTER'!$T$2:$T$495=11)*('CASE MASTER'!$AA$2:$AA$495&lt;=3)*('CASE MASTER'!$AC$2:$AC$495&gt;=3)*('CASE MASTER'!$AB$2:$AB$495&lt;=1)*('CASE MASTER'!$AD$2:$AD$495&gt;=1))*ROW('CASE MASTER'!$T$2:$T$495))-(ROW('CASE MASTER'!#REF!)-1))))*(INDEX('CASE MASTER'!$AD$2:$AD$495,(SUMPRODUCT((('CASE MASTER'!$T$2:$T$495=11)*('CASE MASTER'!$AA$2:$AA$495&lt;=3)*('CASE MASTER'!$AC$2:$AC$495&gt;=3)*('CASE MASTER'!$AB$2:$AB$495&lt;=1)*('CASE MASTER'!$AD$2:$AD$495&gt;=1))*ROW('CASE MASTER'!$T$2:$T$495))-(ROW('CASE MASTER'!#REF!)-1)))-INDEX('CASE MASTER'!$AB$2:$AB$495,(SUMPRODUCT((('CASE MASTER'!$T$2:$T$495=11)*('CASE MASTER'!$AA$2:$AA$495&lt;=3)*('CASE MASTER'!$AC$2:$AC$495&gt;=3)*('CASE MASTER'!$AB$2:$AB$495&lt;=1)*('CASE MASTER'!$AD$2:$AD$495&gt;=1))*ROW('CASE MASTER'!$T$2:$T$495))-(ROW('CASE MASTER'!#REF!)-1)))+1)+(1-INDEX('CASE MASTER'!$AB$2:$AB$495,(SUMPRODUCT((('CASE MASTER'!$T$2:$T$495=11)*('CASE MASTER'!$AA$2:$AA$495&lt;=3)*('CASE MASTER'!$AC$2:$AC$495&gt;=3)*('CASE MASTER'!$AB$2:$AB$495&lt;=1)*('CASE MASTER'!$AD$2:$AD$495&gt;=1))*ROW('CASE MASTER'!$T$2:$T$495))-(ROW('CASE MASTER'!#REF!)-1))))+1)))-1)*50+1,50))&amp;"_"&amp;INDEX('CASE MASTER'!$Q$2:$Q$495,(SUMPRODUCT((('CASE MASTER'!$T$2:$T$495=11)*('CASE MASTER'!$AA$2:$AA$495&lt;=3)*('CASE MASTER'!$AC$2:$AC$495&gt;=3)*('CASE MASTER'!$AB$2:$AB$495&lt;=1)*('CASE MASTER'!$AD$2:$AD$495&gt;=1))*ROW('CASE MASTER'!$T$2:$T$495))-(ROW('CASE MASTER'!#REF!)-1))),"")),"")</f>
        <v/>
      </c>
      <c r="C145" s="10" t="str">
        <f>IFERROR(IF(SUMPRODUCT((('CASE MASTER'!$T$2:$T$495=11)*('CASE MASTER'!$U$2:$U$495&lt;=3)*('CASE MASTER'!$W$2:$W$495&gt;=3)*('CASE MASTER'!$V$2:$V$495&lt;=2)*('CASE MASTER'!$X$2:$X$495&gt;=2))*ROW('CASE MASTER'!$T$2:$T$495))&gt;0,INDEX('CASE MASTER'!$Y$2:$Y$495,(SUMPRODUCT((('CASE MASTER'!$T$2:$T$495=11)*('CASE MASTER'!$U$2:$U$495&lt;=3)*('CASE MASTER'!$W$2:$W$495&gt;=3)*('CASE MASTER'!$V$2:$V$495&lt;=2)*('CASE MASTER'!$X$2:$X$495&gt;=2))*ROW('CASE MASTER'!$T$2:$T$495))-(ROW('CASE MASTER'!#REF!)-1)))&amp;TRIM(MID(SUBSTITUTE(SUBSTITUTE(INDEX('CASE MASTER'!$N$2:$N$495,(SUMPRODUCT((('CASE MASTER'!$T$2:$T$495=11)*('CASE MASTER'!$U$2:$U$495&lt;=3)*('CASE MASTER'!$W$2:$W$495&gt;=3)*('CASE MASTER'!$V$2:$V$495&lt;=2)*('CASE MASTER'!$X$2:$X$495&gt;=2))*ROW('CASE MASTER'!$T$2:$T$495))-(ROW('CASE MASTER'!#REF!)-1))),":",","),",",REPT(" ",50)),((((3-INDEX('CASE MASTER'!$U$2:$U$495,(SUMPRODUCT((('CASE MASTER'!$T$2:$T$495=11)*('CASE MASTER'!$U$2:$U$495&lt;=3)*('CASE MASTER'!$W$2:$W$495&gt;=3)*('CASE MASTER'!$V$2:$V$495&lt;=2)*('CASE MASTER'!$X$2:$X$495&gt;=2))*ROW('CASE MASTER'!$T$2:$T$495))-(ROW('CASE MASTER'!#REF!)-1))))*(INDEX('CASE MASTER'!$X$2:$X$495,(SUMPRODUCT((('CASE MASTER'!$T$2:$T$495=11)*('CASE MASTER'!$U$2:$U$495&lt;=3)*('CASE MASTER'!$W$2:$W$495&gt;=3)*('CASE MASTER'!$V$2:$V$495&lt;=2)*('CASE MASTER'!$X$2:$X$495&gt;=2))*ROW('CASE MASTER'!$T$2:$T$495))-(ROW('CASE MASTER'!#REF!)-1)))-INDEX('CASE MASTER'!$V$2:$V$495,(SUMPRODUCT((('CASE MASTER'!$T$2:$T$495=11)*('CASE MASTER'!$U$2:$U$495&lt;=3)*('CASE MASTER'!$W$2:$W$495&gt;=3)*('CASE MASTER'!$V$2:$V$495&lt;=2)*('CASE MASTER'!$X$2:$X$495&gt;=2))*ROW('CASE MASTER'!$T$2:$T$495))-(ROW('CASE MASTER'!#REF!)-1)))+1)+(2-INDEX('CASE MASTER'!$V$2:$V$495,(SUMPRODUCT((('CASE MASTER'!$T$2:$T$495=11)*('CASE MASTER'!$U$2:$U$495&lt;=3)*('CASE MASTER'!$W$2:$W$495&gt;=3)*('CASE MASTER'!$V$2:$V$495&lt;=2)*('CASE MASTER'!$X$2:$X$495&gt;=2))*ROW('CASE MASTER'!$T$2:$T$495))-(ROW('CASE MASTER'!#REF!)-1))))+1))-1)*50+1,50))&amp;"_"&amp;INDEX('CASE MASTER'!$Q$2:$Q$495,(SUMPRODUCT((('CASE MASTER'!$T$2:$T$495=11)*('CASE MASTER'!$U$2:$U$495&lt;=3)*('CASE MASTER'!$W$2:$W$495&gt;=3)*('CASE MASTER'!$V$2:$V$495&lt;=2)*('CASE MASTER'!$X$2:$X$495&gt;=2))*ROW('CASE MASTER'!$T$2:$T$495))-(ROW('CASE MASTER'!#REF!)-1))),IF(SUMPRODUCT((('CASE MASTER'!$T$2:$T$495=11)*('CASE MASTER'!$AA$2:$AA$495&lt;=3)*('CASE MASTER'!$AC$2:$AC$495&gt;=3)*('CASE MASTER'!$AB$2:$AB$495&lt;=2)*('CASE MASTER'!$AD$2:$AD$495&gt;=2))*ROW('CASE MASTER'!$T$2:$T$495))&gt;0,INDEX('CASE MASTER'!$Y$2:$Y$495,(SUMPRODUCT((('CASE MASTER'!$T$2:$T$495=11)*('CASE MASTER'!$AA$2:$AA$495&lt;=3)*('CASE MASTER'!$AC$2:$AC$495&gt;=3)*('CASE MASTER'!$AB$2:$AB$495&lt;=2)*('CASE MASTER'!$AD$2:$AD$495&gt;=2))*ROW('CASE MASTER'!$T$2:$T$495))-(ROW('CASE MASTER'!#REF!)-1)))&amp;TRIM(MID(SUBSTITUTE(SUBSTITUTE(INDEX('CASE MASTER'!$N$2:$N$495,(SUMPRODUCT((('CASE MASTER'!$T$2:$T$495=11)*('CASE MASTER'!$AA$2:$AA$495&lt;=3)*('CASE MASTER'!$AC$2:$AC$495&gt;=3)*('CASE MASTER'!$AB$2:$AB$495&lt;=2)*('CASE MASTER'!$AD$2:$AD$495&gt;=2))*ROW('CASE MASTER'!$T$2:$T$495))-(ROW('CASE MASTER'!#REF!)-1))),":",","),",",REPT(" ",50)),(((INDEX('CASE MASTER'!$Z$2:$Z$495,(SUMPRODUCT((('CASE MASTER'!$T$2:$T$495=11)*('CASE MASTER'!$AA$2:$AA$495&lt;=3)*('CASE MASTER'!$AC$2:$AC$495&gt;=3)*('CASE MASTER'!$AB$2:$AB$495&lt;=2)*('CASE MASTER'!$AD$2:$AD$495&gt;=2))*ROW('CASE MASTER'!$T$2:$T$495))-(ROW('CASE MASTER'!#REF!)-1)))+((3-INDEX('CASE MASTER'!$AA$2:$AA$495,(SUMPRODUCT((('CASE MASTER'!$T$2:$T$495=11)*('CASE MASTER'!$AA$2:$AA$495&lt;=3)*('CASE MASTER'!$AC$2:$AC$495&gt;=3)*('CASE MASTER'!$AB$2:$AB$495&lt;=2)*('CASE MASTER'!$AD$2:$AD$495&gt;=2))*ROW('CASE MASTER'!$T$2:$T$495))-(ROW('CASE MASTER'!#REF!)-1))))*(INDEX('CASE MASTER'!$AD$2:$AD$495,(SUMPRODUCT((('CASE MASTER'!$T$2:$T$495=11)*('CASE MASTER'!$AA$2:$AA$495&lt;=3)*('CASE MASTER'!$AC$2:$AC$495&gt;=3)*('CASE MASTER'!$AB$2:$AB$495&lt;=2)*('CASE MASTER'!$AD$2:$AD$495&gt;=2))*ROW('CASE MASTER'!$T$2:$T$495))-(ROW('CASE MASTER'!#REF!)-1)))-INDEX('CASE MASTER'!$AB$2:$AB$495,(SUMPRODUCT((('CASE MASTER'!$T$2:$T$495=11)*('CASE MASTER'!$AA$2:$AA$495&lt;=3)*('CASE MASTER'!$AC$2:$AC$495&gt;=3)*('CASE MASTER'!$AB$2:$AB$495&lt;=2)*('CASE MASTER'!$AD$2:$AD$495&gt;=2))*ROW('CASE MASTER'!$T$2:$T$495))-(ROW('CASE MASTER'!#REF!)-1)))+1)+(2-INDEX('CASE MASTER'!$AB$2:$AB$495,(SUMPRODUCT((('CASE MASTER'!$T$2:$T$495=11)*('CASE MASTER'!$AA$2:$AA$495&lt;=3)*('CASE MASTER'!$AC$2:$AC$495&gt;=3)*('CASE MASTER'!$AB$2:$AB$495&lt;=2)*('CASE MASTER'!$AD$2:$AD$495&gt;=2))*ROW('CASE MASTER'!$T$2:$T$495))-(ROW('CASE MASTER'!#REF!)-1))))+1)))-1)*50+1,50))&amp;"_"&amp;INDEX('CASE MASTER'!$Q$2:$Q$495,(SUMPRODUCT((('CASE MASTER'!$T$2:$T$495=11)*('CASE MASTER'!$AA$2:$AA$495&lt;=3)*('CASE MASTER'!$AC$2:$AC$495&gt;=3)*('CASE MASTER'!$AB$2:$AB$495&lt;=2)*('CASE MASTER'!$AD$2:$AD$495&gt;=2))*ROW('CASE MASTER'!$T$2:$T$495))-(ROW('CASE MASTER'!#REF!)-1))),"")),"")</f>
        <v/>
      </c>
      <c r="D145" s="10" t="str">
        <f>IFERROR(IF(SUMPRODUCT((('CASE MASTER'!$T$2:$T$495=11)*('CASE MASTER'!$U$2:$U$495&lt;=3)*('CASE MASTER'!$W$2:$W$495&gt;=3)*('CASE MASTER'!$V$2:$V$495&lt;=3)*('CASE MASTER'!$X$2:$X$495&gt;=3))*ROW('CASE MASTER'!$T$2:$T$495))&gt;0,INDEX('CASE MASTER'!$Y$2:$Y$495,(SUMPRODUCT((('CASE MASTER'!$T$2:$T$495=11)*('CASE MASTER'!$U$2:$U$495&lt;=3)*('CASE MASTER'!$W$2:$W$495&gt;=3)*('CASE MASTER'!$V$2:$V$495&lt;=3)*('CASE MASTER'!$X$2:$X$495&gt;=3))*ROW('CASE MASTER'!$T$2:$T$495))-(ROW('CASE MASTER'!#REF!)-1)))&amp;TRIM(MID(SUBSTITUTE(SUBSTITUTE(INDEX('CASE MASTER'!$N$2:$N$495,(SUMPRODUCT((('CASE MASTER'!$T$2:$T$495=11)*('CASE MASTER'!$U$2:$U$495&lt;=3)*('CASE MASTER'!$W$2:$W$495&gt;=3)*('CASE MASTER'!$V$2:$V$495&lt;=3)*('CASE MASTER'!$X$2:$X$495&gt;=3))*ROW('CASE MASTER'!$T$2:$T$495))-(ROW('CASE MASTER'!#REF!)-1))),":",","),",",REPT(" ",50)),((((3-INDEX('CASE MASTER'!$U$2:$U$495,(SUMPRODUCT((('CASE MASTER'!$T$2:$T$495=11)*('CASE MASTER'!$U$2:$U$495&lt;=3)*('CASE MASTER'!$W$2:$W$495&gt;=3)*('CASE MASTER'!$V$2:$V$495&lt;=3)*('CASE MASTER'!$X$2:$X$495&gt;=3))*ROW('CASE MASTER'!$T$2:$T$495))-(ROW('CASE MASTER'!#REF!)-1))))*(INDEX('CASE MASTER'!$X$2:$X$495,(SUMPRODUCT((('CASE MASTER'!$T$2:$T$495=11)*('CASE MASTER'!$U$2:$U$495&lt;=3)*('CASE MASTER'!$W$2:$W$495&gt;=3)*('CASE MASTER'!$V$2:$V$495&lt;=3)*('CASE MASTER'!$X$2:$X$495&gt;=3))*ROW('CASE MASTER'!$T$2:$T$495))-(ROW('CASE MASTER'!#REF!)-1)))-INDEX('CASE MASTER'!$V$2:$V$495,(SUMPRODUCT((('CASE MASTER'!$T$2:$T$495=11)*('CASE MASTER'!$U$2:$U$495&lt;=3)*('CASE MASTER'!$W$2:$W$495&gt;=3)*('CASE MASTER'!$V$2:$V$495&lt;=3)*('CASE MASTER'!$X$2:$X$495&gt;=3))*ROW('CASE MASTER'!$T$2:$T$495))-(ROW('CASE MASTER'!#REF!)-1)))+1)+(3-INDEX('CASE MASTER'!$V$2:$V$495,(SUMPRODUCT((('CASE MASTER'!$T$2:$T$495=11)*('CASE MASTER'!$U$2:$U$495&lt;=3)*('CASE MASTER'!$W$2:$W$495&gt;=3)*('CASE MASTER'!$V$2:$V$495&lt;=3)*('CASE MASTER'!$X$2:$X$495&gt;=3))*ROW('CASE MASTER'!$T$2:$T$495))-(ROW('CASE MASTER'!#REF!)-1))))+1))-1)*50+1,50))&amp;"_"&amp;INDEX('CASE MASTER'!$Q$2:$Q$495,(SUMPRODUCT((('CASE MASTER'!$T$2:$T$495=11)*('CASE MASTER'!$U$2:$U$495&lt;=3)*('CASE MASTER'!$W$2:$W$495&gt;=3)*('CASE MASTER'!$V$2:$V$495&lt;=3)*('CASE MASTER'!$X$2:$X$495&gt;=3))*ROW('CASE MASTER'!$T$2:$T$495))-(ROW('CASE MASTER'!#REF!)-1))),IF(SUMPRODUCT((('CASE MASTER'!$T$2:$T$495=11)*('CASE MASTER'!$AA$2:$AA$495&lt;=3)*('CASE MASTER'!$AC$2:$AC$495&gt;=3)*('CASE MASTER'!$AB$2:$AB$495&lt;=3)*('CASE MASTER'!$AD$2:$AD$495&gt;=3))*ROW('CASE MASTER'!$T$2:$T$495))&gt;0,INDEX('CASE MASTER'!$Y$2:$Y$495,(SUMPRODUCT((('CASE MASTER'!$T$2:$T$495=11)*('CASE MASTER'!$AA$2:$AA$495&lt;=3)*('CASE MASTER'!$AC$2:$AC$495&gt;=3)*('CASE MASTER'!$AB$2:$AB$495&lt;=3)*('CASE MASTER'!$AD$2:$AD$495&gt;=3))*ROW('CASE MASTER'!$T$2:$T$495))-(ROW('CASE MASTER'!#REF!)-1)))&amp;TRIM(MID(SUBSTITUTE(SUBSTITUTE(INDEX('CASE MASTER'!$N$2:$N$495,(SUMPRODUCT((('CASE MASTER'!$T$2:$T$495=11)*('CASE MASTER'!$AA$2:$AA$495&lt;=3)*('CASE MASTER'!$AC$2:$AC$495&gt;=3)*('CASE MASTER'!$AB$2:$AB$495&lt;=3)*('CASE MASTER'!$AD$2:$AD$495&gt;=3))*ROW('CASE MASTER'!$T$2:$T$495))-(ROW('CASE MASTER'!#REF!)-1))),":",","),",",REPT(" ",50)),(((INDEX('CASE MASTER'!$Z$2:$Z$495,(SUMPRODUCT((('CASE MASTER'!$T$2:$T$495=11)*('CASE MASTER'!$AA$2:$AA$495&lt;=3)*('CASE MASTER'!$AC$2:$AC$495&gt;=3)*('CASE MASTER'!$AB$2:$AB$495&lt;=3)*('CASE MASTER'!$AD$2:$AD$495&gt;=3))*ROW('CASE MASTER'!$T$2:$T$495))-(ROW('CASE MASTER'!#REF!)-1)))+((3-INDEX('CASE MASTER'!$AA$2:$AA$495,(SUMPRODUCT((('CASE MASTER'!$T$2:$T$495=11)*('CASE MASTER'!$AA$2:$AA$495&lt;=3)*('CASE MASTER'!$AC$2:$AC$495&gt;=3)*('CASE MASTER'!$AB$2:$AB$495&lt;=3)*('CASE MASTER'!$AD$2:$AD$495&gt;=3))*ROW('CASE MASTER'!$T$2:$T$495))-(ROW('CASE MASTER'!#REF!)-1))))*(INDEX('CASE MASTER'!$AD$2:$AD$495,(SUMPRODUCT((('CASE MASTER'!$T$2:$T$495=11)*('CASE MASTER'!$AA$2:$AA$495&lt;=3)*('CASE MASTER'!$AC$2:$AC$495&gt;=3)*('CASE MASTER'!$AB$2:$AB$495&lt;=3)*('CASE MASTER'!$AD$2:$AD$495&gt;=3))*ROW('CASE MASTER'!$T$2:$T$495))-(ROW('CASE MASTER'!#REF!)-1)))-INDEX('CASE MASTER'!$AB$2:$AB$495,(SUMPRODUCT((('CASE MASTER'!$T$2:$T$495=11)*('CASE MASTER'!$AA$2:$AA$495&lt;=3)*('CASE MASTER'!$AC$2:$AC$495&gt;=3)*('CASE MASTER'!$AB$2:$AB$495&lt;=3)*('CASE MASTER'!$AD$2:$AD$495&gt;=3))*ROW('CASE MASTER'!$T$2:$T$495))-(ROW('CASE MASTER'!#REF!)-1)))+1)+(3-INDEX('CASE MASTER'!$AB$2:$AB$495,(SUMPRODUCT((('CASE MASTER'!$T$2:$T$495=11)*('CASE MASTER'!$AA$2:$AA$495&lt;=3)*('CASE MASTER'!$AC$2:$AC$495&gt;=3)*('CASE MASTER'!$AB$2:$AB$495&lt;=3)*('CASE MASTER'!$AD$2:$AD$495&gt;=3))*ROW('CASE MASTER'!$T$2:$T$495))-(ROW('CASE MASTER'!#REF!)-1))))+1)))-1)*50+1,50))&amp;"_"&amp;INDEX('CASE MASTER'!$Q$2:$Q$495,(SUMPRODUCT((('CASE MASTER'!$T$2:$T$495=11)*('CASE MASTER'!$AA$2:$AA$495&lt;=3)*('CASE MASTER'!$AC$2:$AC$495&gt;=3)*('CASE MASTER'!$AB$2:$AB$495&lt;=3)*('CASE MASTER'!$AD$2:$AD$495&gt;=3))*ROW('CASE MASTER'!$T$2:$T$495))-(ROW('CASE MASTER'!#REF!)-1))),"")),"")</f>
        <v/>
      </c>
      <c r="E145" s="10" t="str">
        <f>IFERROR(IF(SUMPRODUCT((('CASE MASTER'!$T$2:$T$495=11)*('CASE MASTER'!$U$2:$U$495&lt;=3)*('CASE MASTER'!$W$2:$W$495&gt;=3)*('CASE MASTER'!$V$2:$V$495&lt;=4)*('CASE MASTER'!$X$2:$X$495&gt;=4))*ROW('CASE MASTER'!$T$2:$T$495))&gt;0,INDEX('CASE MASTER'!$Y$2:$Y$495,(SUMPRODUCT((('CASE MASTER'!$T$2:$T$495=11)*('CASE MASTER'!$U$2:$U$495&lt;=3)*('CASE MASTER'!$W$2:$W$495&gt;=3)*('CASE MASTER'!$V$2:$V$495&lt;=4)*('CASE MASTER'!$X$2:$X$495&gt;=4))*ROW('CASE MASTER'!$T$2:$T$495))-(ROW('CASE MASTER'!#REF!)-1)))&amp;TRIM(MID(SUBSTITUTE(SUBSTITUTE(INDEX('CASE MASTER'!$N$2:$N$495,(SUMPRODUCT((('CASE MASTER'!$T$2:$T$495=11)*('CASE MASTER'!$U$2:$U$495&lt;=3)*('CASE MASTER'!$W$2:$W$495&gt;=3)*('CASE MASTER'!$V$2:$V$495&lt;=4)*('CASE MASTER'!$X$2:$X$495&gt;=4))*ROW('CASE MASTER'!$T$2:$T$495))-(ROW('CASE MASTER'!#REF!)-1))),":",","),",",REPT(" ",50)),((((3-INDEX('CASE MASTER'!$U$2:$U$495,(SUMPRODUCT((('CASE MASTER'!$T$2:$T$495=11)*('CASE MASTER'!$U$2:$U$495&lt;=3)*('CASE MASTER'!$W$2:$W$495&gt;=3)*('CASE MASTER'!$V$2:$V$495&lt;=4)*('CASE MASTER'!$X$2:$X$495&gt;=4))*ROW('CASE MASTER'!$T$2:$T$495))-(ROW('CASE MASTER'!#REF!)-1))))*(INDEX('CASE MASTER'!$X$2:$X$495,(SUMPRODUCT((('CASE MASTER'!$T$2:$T$495=11)*('CASE MASTER'!$U$2:$U$495&lt;=3)*('CASE MASTER'!$W$2:$W$495&gt;=3)*('CASE MASTER'!$V$2:$V$495&lt;=4)*('CASE MASTER'!$X$2:$X$495&gt;=4))*ROW('CASE MASTER'!$T$2:$T$495))-(ROW('CASE MASTER'!#REF!)-1)))-INDEX('CASE MASTER'!$V$2:$V$495,(SUMPRODUCT((('CASE MASTER'!$T$2:$T$495=11)*('CASE MASTER'!$U$2:$U$495&lt;=3)*('CASE MASTER'!$W$2:$W$495&gt;=3)*('CASE MASTER'!$V$2:$V$495&lt;=4)*('CASE MASTER'!$X$2:$X$495&gt;=4))*ROW('CASE MASTER'!$T$2:$T$495))-(ROW('CASE MASTER'!#REF!)-1)))+1)+(4-INDEX('CASE MASTER'!$V$2:$V$495,(SUMPRODUCT((('CASE MASTER'!$T$2:$T$495=11)*('CASE MASTER'!$U$2:$U$495&lt;=3)*('CASE MASTER'!$W$2:$W$495&gt;=3)*('CASE MASTER'!$V$2:$V$495&lt;=4)*('CASE MASTER'!$X$2:$X$495&gt;=4))*ROW('CASE MASTER'!$T$2:$T$495))-(ROW('CASE MASTER'!#REF!)-1))))+1))-1)*50+1,50))&amp;"_"&amp;INDEX('CASE MASTER'!$Q$2:$Q$495,(SUMPRODUCT((('CASE MASTER'!$T$2:$T$495=11)*('CASE MASTER'!$U$2:$U$495&lt;=3)*('CASE MASTER'!$W$2:$W$495&gt;=3)*('CASE MASTER'!$V$2:$V$495&lt;=4)*('CASE MASTER'!$X$2:$X$495&gt;=4))*ROW('CASE MASTER'!$T$2:$T$495))-(ROW('CASE MASTER'!#REF!)-1))),IF(SUMPRODUCT((('CASE MASTER'!$T$2:$T$495=11)*('CASE MASTER'!$AA$2:$AA$495&lt;=3)*('CASE MASTER'!$AC$2:$AC$495&gt;=3)*('CASE MASTER'!$AB$2:$AB$495&lt;=4)*('CASE MASTER'!$AD$2:$AD$495&gt;=4))*ROW('CASE MASTER'!$T$2:$T$495))&gt;0,INDEX('CASE MASTER'!$Y$2:$Y$495,(SUMPRODUCT((('CASE MASTER'!$T$2:$T$495=11)*('CASE MASTER'!$AA$2:$AA$495&lt;=3)*('CASE MASTER'!$AC$2:$AC$495&gt;=3)*('CASE MASTER'!$AB$2:$AB$495&lt;=4)*('CASE MASTER'!$AD$2:$AD$495&gt;=4))*ROW('CASE MASTER'!$T$2:$T$495))-(ROW('CASE MASTER'!#REF!)-1)))&amp;TRIM(MID(SUBSTITUTE(SUBSTITUTE(INDEX('CASE MASTER'!$N$2:$N$495,(SUMPRODUCT((('CASE MASTER'!$T$2:$T$495=11)*('CASE MASTER'!$AA$2:$AA$495&lt;=3)*('CASE MASTER'!$AC$2:$AC$495&gt;=3)*('CASE MASTER'!$AB$2:$AB$495&lt;=4)*('CASE MASTER'!$AD$2:$AD$495&gt;=4))*ROW('CASE MASTER'!$T$2:$T$495))-(ROW('CASE MASTER'!#REF!)-1))),":",","),",",REPT(" ",50)),(((INDEX('CASE MASTER'!$Z$2:$Z$495,(SUMPRODUCT((('CASE MASTER'!$T$2:$T$495=11)*('CASE MASTER'!$AA$2:$AA$495&lt;=3)*('CASE MASTER'!$AC$2:$AC$495&gt;=3)*('CASE MASTER'!$AB$2:$AB$495&lt;=4)*('CASE MASTER'!$AD$2:$AD$495&gt;=4))*ROW('CASE MASTER'!$T$2:$T$495))-(ROW('CASE MASTER'!#REF!)-1)))+((3-INDEX('CASE MASTER'!$AA$2:$AA$495,(SUMPRODUCT((('CASE MASTER'!$T$2:$T$495=11)*('CASE MASTER'!$AA$2:$AA$495&lt;=3)*('CASE MASTER'!$AC$2:$AC$495&gt;=3)*('CASE MASTER'!$AB$2:$AB$495&lt;=4)*('CASE MASTER'!$AD$2:$AD$495&gt;=4))*ROW('CASE MASTER'!$T$2:$T$495))-(ROW('CASE MASTER'!#REF!)-1))))*(INDEX('CASE MASTER'!$AD$2:$AD$495,(SUMPRODUCT((('CASE MASTER'!$T$2:$T$495=11)*('CASE MASTER'!$AA$2:$AA$495&lt;=3)*('CASE MASTER'!$AC$2:$AC$495&gt;=3)*('CASE MASTER'!$AB$2:$AB$495&lt;=4)*('CASE MASTER'!$AD$2:$AD$495&gt;=4))*ROW('CASE MASTER'!$T$2:$T$495))-(ROW('CASE MASTER'!#REF!)-1)))-INDEX('CASE MASTER'!$AB$2:$AB$495,(SUMPRODUCT((('CASE MASTER'!$T$2:$T$495=11)*('CASE MASTER'!$AA$2:$AA$495&lt;=3)*('CASE MASTER'!$AC$2:$AC$495&gt;=3)*('CASE MASTER'!$AB$2:$AB$495&lt;=4)*('CASE MASTER'!$AD$2:$AD$495&gt;=4))*ROW('CASE MASTER'!$T$2:$T$495))-(ROW('CASE MASTER'!#REF!)-1)))+1)+(4-INDEX('CASE MASTER'!$AB$2:$AB$495,(SUMPRODUCT((('CASE MASTER'!$T$2:$T$495=11)*('CASE MASTER'!$AA$2:$AA$495&lt;=3)*('CASE MASTER'!$AC$2:$AC$495&gt;=3)*('CASE MASTER'!$AB$2:$AB$495&lt;=4)*('CASE MASTER'!$AD$2:$AD$495&gt;=4))*ROW('CASE MASTER'!$T$2:$T$495))-(ROW('CASE MASTER'!#REF!)-1))))+1)))-1)*50+1,50))&amp;"_"&amp;INDEX('CASE MASTER'!$Q$2:$Q$495,(SUMPRODUCT((('CASE MASTER'!$T$2:$T$495=11)*('CASE MASTER'!$AA$2:$AA$495&lt;=3)*('CASE MASTER'!$AC$2:$AC$495&gt;=3)*('CASE MASTER'!$AB$2:$AB$495&lt;=4)*('CASE MASTER'!$AD$2:$AD$495&gt;=4))*ROW('CASE MASTER'!$T$2:$T$495))-(ROW('CASE MASTER'!#REF!)-1))),"")),"")</f>
        <v/>
      </c>
      <c r="F145" s="10" t="str">
        <f>IFERROR(IF(SUMPRODUCT((('CASE MASTER'!$T$2:$T$495=11)*('CASE MASTER'!$U$2:$U$495&lt;=3)*('CASE MASTER'!$W$2:$W$495&gt;=3)*('CASE MASTER'!$V$2:$V$495&lt;=5)*('CASE MASTER'!$X$2:$X$495&gt;=5))*ROW('CASE MASTER'!$T$2:$T$495))&gt;0,INDEX('CASE MASTER'!$Y$2:$Y$495,(SUMPRODUCT((('CASE MASTER'!$T$2:$T$495=11)*('CASE MASTER'!$U$2:$U$495&lt;=3)*('CASE MASTER'!$W$2:$W$495&gt;=3)*('CASE MASTER'!$V$2:$V$495&lt;=5)*('CASE MASTER'!$X$2:$X$495&gt;=5))*ROW('CASE MASTER'!$T$2:$T$495))-(ROW('CASE MASTER'!#REF!)-1)))&amp;TRIM(MID(SUBSTITUTE(SUBSTITUTE(INDEX('CASE MASTER'!$N$2:$N$495,(SUMPRODUCT((('CASE MASTER'!$T$2:$T$495=11)*('CASE MASTER'!$U$2:$U$495&lt;=3)*('CASE MASTER'!$W$2:$W$495&gt;=3)*('CASE MASTER'!$V$2:$V$495&lt;=5)*('CASE MASTER'!$X$2:$X$495&gt;=5))*ROW('CASE MASTER'!$T$2:$T$495))-(ROW('CASE MASTER'!#REF!)-1))),":",","),",",REPT(" ",50)),((((3-INDEX('CASE MASTER'!$U$2:$U$495,(SUMPRODUCT((('CASE MASTER'!$T$2:$T$495=11)*('CASE MASTER'!$U$2:$U$495&lt;=3)*('CASE MASTER'!$W$2:$W$495&gt;=3)*('CASE MASTER'!$V$2:$V$495&lt;=5)*('CASE MASTER'!$X$2:$X$495&gt;=5))*ROW('CASE MASTER'!$T$2:$T$495))-(ROW('CASE MASTER'!#REF!)-1))))*(INDEX('CASE MASTER'!$X$2:$X$495,(SUMPRODUCT((('CASE MASTER'!$T$2:$T$495=11)*('CASE MASTER'!$U$2:$U$495&lt;=3)*('CASE MASTER'!$W$2:$W$495&gt;=3)*('CASE MASTER'!$V$2:$V$495&lt;=5)*('CASE MASTER'!$X$2:$X$495&gt;=5))*ROW('CASE MASTER'!$T$2:$T$495))-(ROW('CASE MASTER'!#REF!)-1)))-INDEX('CASE MASTER'!$V$2:$V$495,(SUMPRODUCT((('CASE MASTER'!$T$2:$T$495=11)*('CASE MASTER'!$U$2:$U$495&lt;=3)*('CASE MASTER'!$W$2:$W$495&gt;=3)*('CASE MASTER'!$V$2:$V$495&lt;=5)*('CASE MASTER'!$X$2:$X$495&gt;=5))*ROW('CASE MASTER'!$T$2:$T$495))-(ROW('CASE MASTER'!#REF!)-1)))+1)+(5-INDEX('CASE MASTER'!$V$2:$V$495,(SUMPRODUCT((('CASE MASTER'!$T$2:$T$495=11)*('CASE MASTER'!$U$2:$U$495&lt;=3)*('CASE MASTER'!$W$2:$W$495&gt;=3)*('CASE MASTER'!$V$2:$V$495&lt;=5)*('CASE MASTER'!$X$2:$X$495&gt;=5))*ROW('CASE MASTER'!$T$2:$T$495))-(ROW('CASE MASTER'!#REF!)-1))))+1))-1)*50+1,50))&amp;"_"&amp;INDEX('CASE MASTER'!$Q$2:$Q$495,(SUMPRODUCT((('CASE MASTER'!$T$2:$T$495=11)*('CASE MASTER'!$U$2:$U$495&lt;=3)*('CASE MASTER'!$W$2:$W$495&gt;=3)*('CASE MASTER'!$V$2:$V$495&lt;=5)*('CASE MASTER'!$X$2:$X$495&gt;=5))*ROW('CASE MASTER'!$T$2:$T$495))-(ROW('CASE MASTER'!#REF!)-1))),IF(SUMPRODUCT((('CASE MASTER'!$T$2:$T$495=11)*('CASE MASTER'!$AA$2:$AA$495&lt;=3)*('CASE MASTER'!$AC$2:$AC$495&gt;=3)*('CASE MASTER'!$AB$2:$AB$495&lt;=5)*('CASE MASTER'!$AD$2:$AD$495&gt;=5))*ROW('CASE MASTER'!$T$2:$T$495))&gt;0,INDEX('CASE MASTER'!$Y$2:$Y$495,(SUMPRODUCT((('CASE MASTER'!$T$2:$T$495=11)*('CASE MASTER'!$AA$2:$AA$495&lt;=3)*('CASE MASTER'!$AC$2:$AC$495&gt;=3)*('CASE MASTER'!$AB$2:$AB$495&lt;=5)*('CASE MASTER'!$AD$2:$AD$495&gt;=5))*ROW('CASE MASTER'!$T$2:$T$495))-(ROW('CASE MASTER'!#REF!)-1)))&amp;TRIM(MID(SUBSTITUTE(SUBSTITUTE(INDEX('CASE MASTER'!$N$2:$N$495,(SUMPRODUCT((('CASE MASTER'!$T$2:$T$495=11)*('CASE MASTER'!$AA$2:$AA$495&lt;=3)*('CASE MASTER'!$AC$2:$AC$495&gt;=3)*('CASE MASTER'!$AB$2:$AB$495&lt;=5)*('CASE MASTER'!$AD$2:$AD$495&gt;=5))*ROW('CASE MASTER'!$T$2:$T$495))-(ROW('CASE MASTER'!#REF!)-1))),":",","),",",REPT(" ",50)),(((INDEX('CASE MASTER'!$Z$2:$Z$495,(SUMPRODUCT((('CASE MASTER'!$T$2:$T$495=11)*('CASE MASTER'!$AA$2:$AA$495&lt;=3)*('CASE MASTER'!$AC$2:$AC$495&gt;=3)*('CASE MASTER'!$AB$2:$AB$495&lt;=5)*('CASE MASTER'!$AD$2:$AD$495&gt;=5))*ROW('CASE MASTER'!$T$2:$T$495))-(ROW('CASE MASTER'!#REF!)-1)))+((3-INDEX('CASE MASTER'!$AA$2:$AA$495,(SUMPRODUCT((('CASE MASTER'!$T$2:$T$495=11)*('CASE MASTER'!$AA$2:$AA$495&lt;=3)*('CASE MASTER'!$AC$2:$AC$495&gt;=3)*('CASE MASTER'!$AB$2:$AB$495&lt;=5)*('CASE MASTER'!$AD$2:$AD$495&gt;=5))*ROW('CASE MASTER'!$T$2:$T$495))-(ROW('CASE MASTER'!#REF!)-1))))*(INDEX('CASE MASTER'!$AD$2:$AD$495,(SUMPRODUCT((('CASE MASTER'!$T$2:$T$495=11)*('CASE MASTER'!$AA$2:$AA$495&lt;=3)*('CASE MASTER'!$AC$2:$AC$495&gt;=3)*('CASE MASTER'!$AB$2:$AB$495&lt;=5)*('CASE MASTER'!$AD$2:$AD$495&gt;=5))*ROW('CASE MASTER'!$T$2:$T$495))-(ROW('CASE MASTER'!#REF!)-1)))-INDEX('CASE MASTER'!$AB$2:$AB$495,(SUMPRODUCT((('CASE MASTER'!$T$2:$T$495=11)*('CASE MASTER'!$AA$2:$AA$495&lt;=3)*('CASE MASTER'!$AC$2:$AC$495&gt;=3)*('CASE MASTER'!$AB$2:$AB$495&lt;=5)*('CASE MASTER'!$AD$2:$AD$495&gt;=5))*ROW('CASE MASTER'!$T$2:$T$495))-(ROW('CASE MASTER'!#REF!)-1)))+1)+(5-INDEX('CASE MASTER'!$AB$2:$AB$495,(SUMPRODUCT((('CASE MASTER'!$T$2:$T$495=11)*('CASE MASTER'!$AA$2:$AA$495&lt;=3)*('CASE MASTER'!$AC$2:$AC$495&gt;=3)*('CASE MASTER'!$AB$2:$AB$495&lt;=5)*('CASE MASTER'!$AD$2:$AD$495&gt;=5))*ROW('CASE MASTER'!$T$2:$T$495))-(ROW('CASE MASTER'!#REF!)-1))))+1)))-1)*50+1,50))&amp;"_"&amp;INDEX('CASE MASTER'!$Q$2:$Q$495,(SUMPRODUCT((('CASE MASTER'!$T$2:$T$495=11)*('CASE MASTER'!$AA$2:$AA$495&lt;=3)*('CASE MASTER'!$AC$2:$AC$495&gt;=3)*('CASE MASTER'!$AB$2:$AB$495&lt;=5)*('CASE MASTER'!$AD$2:$AD$495&gt;=5))*ROW('CASE MASTER'!$T$2:$T$495))-(ROW('CASE MASTER'!#REF!)-1))),"")),"")</f>
        <v/>
      </c>
      <c r="G145" s="10" t="str">
        <f>IFERROR(IF(SUMPRODUCT((('CASE MASTER'!$T$2:$T$495=11)*('CASE MASTER'!$U$2:$U$495&lt;=3)*('CASE MASTER'!$W$2:$W$495&gt;=3)*('CASE MASTER'!$V$2:$V$495&lt;=6)*('CASE MASTER'!$X$2:$X$495&gt;=6))*ROW('CASE MASTER'!$T$2:$T$495))&gt;0,INDEX('CASE MASTER'!$Y$2:$Y$495,(SUMPRODUCT((('CASE MASTER'!$T$2:$T$495=11)*('CASE MASTER'!$U$2:$U$495&lt;=3)*('CASE MASTER'!$W$2:$W$495&gt;=3)*('CASE MASTER'!$V$2:$V$495&lt;=6)*('CASE MASTER'!$X$2:$X$495&gt;=6))*ROW('CASE MASTER'!$T$2:$T$495))-(ROW('CASE MASTER'!#REF!)-1)))&amp;TRIM(MID(SUBSTITUTE(SUBSTITUTE(INDEX('CASE MASTER'!$N$2:$N$495,(SUMPRODUCT((('CASE MASTER'!$T$2:$T$495=11)*('CASE MASTER'!$U$2:$U$495&lt;=3)*('CASE MASTER'!$W$2:$W$495&gt;=3)*('CASE MASTER'!$V$2:$V$495&lt;=6)*('CASE MASTER'!$X$2:$X$495&gt;=6))*ROW('CASE MASTER'!$T$2:$T$495))-(ROW('CASE MASTER'!#REF!)-1))),":",","),",",REPT(" ",50)),((((3-INDEX('CASE MASTER'!$U$2:$U$495,(SUMPRODUCT((('CASE MASTER'!$T$2:$T$495=11)*('CASE MASTER'!$U$2:$U$495&lt;=3)*('CASE MASTER'!$W$2:$W$495&gt;=3)*('CASE MASTER'!$V$2:$V$495&lt;=6)*('CASE MASTER'!$X$2:$X$495&gt;=6))*ROW('CASE MASTER'!$T$2:$T$495))-(ROW('CASE MASTER'!#REF!)-1))))*(INDEX('CASE MASTER'!$X$2:$X$495,(SUMPRODUCT((('CASE MASTER'!$T$2:$T$495=11)*('CASE MASTER'!$U$2:$U$495&lt;=3)*('CASE MASTER'!$W$2:$W$495&gt;=3)*('CASE MASTER'!$V$2:$V$495&lt;=6)*('CASE MASTER'!$X$2:$X$495&gt;=6))*ROW('CASE MASTER'!$T$2:$T$495))-(ROW('CASE MASTER'!#REF!)-1)))-INDEX('CASE MASTER'!$V$2:$V$495,(SUMPRODUCT((('CASE MASTER'!$T$2:$T$495=11)*('CASE MASTER'!$U$2:$U$495&lt;=3)*('CASE MASTER'!$W$2:$W$495&gt;=3)*('CASE MASTER'!$V$2:$V$495&lt;=6)*('CASE MASTER'!$X$2:$X$495&gt;=6))*ROW('CASE MASTER'!$T$2:$T$495))-(ROW('CASE MASTER'!#REF!)-1)))+1)+(6-INDEX('CASE MASTER'!$V$2:$V$495,(SUMPRODUCT((('CASE MASTER'!$T$2:$T$495=11)*('CASE MASTER'!$U$2:$U$495&lt;=3)*('CASE MASTER'!$W$2:$W$495&gt;=3)*('CASE MASTER'!$V$2:$V$495&lt;=6)*('CASE MASTER'!$X$2:$X$495&gt;=6))*ROW('CASE MASTER'!$T$2:$T$495))-(ROW('CASE MASTER'!#REF!)-1))))+1))-1)*50+1,50))&amp;"_"&amp;INDEX('CASE MASTER'!$Q$2:$Q$495,(SUMPRODUCT((('CASE MASTER'!$T$2:$T$495=11)*('CASE MASTER'!$U$2:$U$495&lt;=3)*('CASE MASTER'!$W$2:$W$495&gt;=3)*('CASE MASTER'!$V$2:$V$495&lt;=6)*('CASE MASTER'!$X$2:$X$495&gt;=6))*ROW('CASE MASTER'!$T$2:$T$495))-(ROW('CASE MASTER'!#REF!)-1))),IF(SUMPRODUCT((('CASE MASTER'!$T$2:$T$495=11)*('CASE MASTER'!$AA$2:$AA$495&lt;=3)*('CASE MASTER'!$AC$2:$AC$495&gt;=3)*('CASE MASTER'!$AB$2:$AB$495&lt;=6)*('CASE MASTER'!$AD$2:$AD$495&gt;=6))*ROW('CASE MASTER'!$T$2:$T$495))&gt;0,INDEX('CASE MASTER'!$Y$2:$Y$495,(SUMPRODUCT((('CASE MASTER'!$T$2:$T$495=11)*('CASE MASTER'!$AA$2:$AA$495&lt;=3)*('CASE MASTER'!$AC$2:$AC$495&gt;=3)*('CASE MASTER'!$AB$2:$AB$495&lt;=6)*('CASE MASTER'!$AD$2:$AD$495&gt;=6))*ROW('CASE MASTER'!$T$2:$T$495))-(ROW('CASE MASTER'!#REF!)-1)))&amp;TRIM(MID(SUBSTITUTE(SUBSTITUTE(INDEX('CASE MASTER'!$N$2:$N$495,(SUMPRODUCT((('CASE MASTER'!$T$2:$T$495=11)*('CASE MASTER'!$AA$2:$AA$495&lt;=3)*('CASE MASTER'!$AC$2:$AC$495&gt;=3)*('CASE MASTER'!$AB$2:$AB$495&lt;=6)*('CASE MASTER'!$AD$2:$AD$495&gt;=6))*ROW('CASE MASTER'!$T$2:$T$495))-(ROW('CASE MASTER'!#REF!)-1))),":",","),",",REPT(" ",50)),(((INDEX('CASE MASTER'!$Z$2:$Z$495,(SUMPRODUCT((('CASE MASTER'!$T$2:$T$495=11)*('CASE MASTER'!$AA$2:$AA$495&lt;=3)*('CASE MASTER'!$AC$2:$AC$495&gt;=3)*('CASE MASTER'!$AB$2:$AB$495&lt;=6)*('CASE MASTER'!$AD$2:$AD$495&gt;=6))*ROW('CASE MASTER'!$T$2:$T$495))-(ROW('CASE MASTER'!#REF!)-1)))+((3-INDEX('CASE MASTER'!$AA$2:$AA$495,(SUMPRODUCT((('CASE MASTER'!$T$2:$T$495=11)*('CASE MASTER'!$AA$2:$AA$495&lt;=3)*('CASE MASTER'!$AC$2:$AC$495&gt;=3)*('CASE MASTER'!$AB$2:$AB$495&lt;=6)*('CASE MASTER'!$AD$2:$AD$495&gt;=6))*ROW('CASE MASTER'!$T$2:$T$495))-(ROW('CASE MASTER'!#REF!)-1))))*(INDEX('CASE MASTER'!$AD$2:$AD$495,(SUMPRODUCT((('CASE MASTER'!$T$2:$T$495=11)*('CASE MASTER'!$AA$2:$AA$495&lt;=3)*('CASE MASTER'!$AC$2:$AC$495&gt;=3)*('CASE MASTER'!$AB$2:$AB$495&lt;=6)*('CASE MASTER'!$AD$2:$AD$495&gt;=6))*ROW('CASE MASTER'!$T$2:$T$495))-(ROW('CASE MASTER'!#REF!)-1)))-INDEX('CASE MASTER'!$AB$2:$AB$495,(SUMPRODUCT((('CASE MASTER'!$T$2:$T$495=11)*('CASE MASTER'!$AA$2:$AA$495&lt;=3)*('CASE MASTER'!$AC$2:$AC$495&gt;=3)*('CASE MASTER'!$AB$2:$AB$495&lt;=6)*('CASE MASTER'!$AD$2:$AD$495&gt;=6))*ROW('CASE MASTER'!$T$2:$T$495))-(ROW('CASE MASTER'!#REF!)-1)))+1)+(6-INDEX('CASE MASTER'!$AB$2:$AB$495,(SUMPRODUCT((('CASE MASTER'!$T$2:$T$495=11)*('CASE MASTER'!$AA$2:$AA$495&lt;=3)*('CASE MASTER'!$AC$2:$AC$495&gt;=3)*('CASE MASTER'!$AB$2:$AB$495&lt;=6)*('CASE MASTER'!$AD$2:$AD$495&gt;=6))*ROW('CASE MASTER'!$T$2:$T$495))-(ROW('CASE MASTER'!#REF!)-1))))+1)))-1)*50+1,50))&amp;"_"&amp;INDEX('CASE MASTER'!$Q$2:$Q$495,(SUMPRODUCT((('CASE MASTER'!$T$2:$T$495=11)*('CASE MASTER'!$AA$2:$AA$495&lt;=3)*('CASE MASTER'!$AC$2:$AC$495&gt;=3)*('CASE MASTER'!$AB$2:$AB$495&lt;=6)*('CASE MASTER'!$AD$2:$AD$495&gt;=6))*ROW('CASE MASTER'!$T$2:$T$495))-(ROW('CASE MASTER'!#REF!)-1))),"")),"")</f>
        <v/>
      </c>
      <c r="H145" s="10" t="str">
        <f>IFERROR(IF(SUMPRODUCT((('CASE MASTER'!$T$2:$T$495=11)*('CASE MASTER'!$U$2:$U$495&lt;=3)*('CASE MASTER'!$W$2:$W$495&gt;=3)*('CASE MASTER'!$V$2:$V$495&lt;=7)*('CASE MASTER'!$X$2:$X$495&gt;=7))*ROW('CASE MASTER'!$T$2:$T$495))&gt;0,INDEX('CASE MASTER'!$Y$2:$Y$495,(SUMPRODUCT((('CASE MASTER'!$T$2:$T$495=11)*('CASE MASTER'!$U$2:$U$495&lt;=3)*('CASE MASTER'!$W$2:$W$495&gt;=3)*('CASE MASTER'!$V$2:$V$495&lt;=7)*('CASE MASTER'!$X$2:$X$495&gt;=7))*ROW('CASE MASTER'!$T$2:$T$495))-(ROW('CASE MASTER'!#REF!)-1)))&amp;TRIM(MID(SUBSTITUTE(SUBSTITUTE(INDEX('CASE MASTER'!$N$2:$N$495,(SUMPRODUCT((('CASE MASTER'!$T$2:$T$495=11)*('CASE MASTER'!$U$2:$U$495&lt;=3)*('CASE MASTER'!$W$2:$W$495&gt;=3)*('CASE MASTER'!$V$2:$V$495&lt;=7)*('CASE MASTER'!$X$2:$X$495&gt;=7))*ROW('CASE MASTER'!$T$2:$T$495))-(ROW('CASE MASTER'!#REF!)-1))),":",","),",",REPT(" ",50)),((((3-INDEX('CASE MASTER'!$U$2:$U$495,(SUMPRODUCT((('CASE MASTER'!$T$2:$T$495=11)*('CASE MASTER'!$U$2:$U$495&lt;=3)*('CASE MASTER'!$W$2:$W$495&gt;=3)*('CASE MASTER'!$V$2:$V$495&lt;=7)*('CASE MASTER'!$X$2:$X$495&gt;=7))*ROW('CASE MASTER'!$T$2:$T$495))-(ROW('CASE MASTER'!#REF!)-1))))*(INDEX('CASE MASTER'!$X$2:$X$495,(SUMPRODUCT((('CASE MASTER'!$T$2:$T$495=11)*('CASE MASTER'!$U$2:$U$495&lt;=3)*('CASE MASTER'!$W$2:$W$495&gt;=3)*('CASE MASTER'!$V$2:$V$495&lt;=7)*('CASE MASTER'!$X$2:$X$495&gt;=7))*ROW('CASE MASTER'!$T$2:$T$495))-(ROW('CASE MASTER'!#REF!)-1)))-INDEX('CASE MASTER'!$V$2:$V$495,(SUMPRODUCT((('CASE MASTER'!$T$2:$T$495=11)*('CASE MASTER'!$U$2:$U$495&lt;=3)*('CASE MASTER'!$W$2:$W$495&gt;=3)*('CASE MASTER'!$V$2:$V$495&lt;=7)*('CASE MASTER'!$X$2:$X$495&gt;=7))*ROW('CASE MASTER'!$T$2:$T$495))-(ROW('CASE MASTER'!#REF!)-1)))+1)+(7-INDEX('CASE MASTER'!$V$2:$V$495,(SUMPRODUCT((('CASE MASTER'!$T$2:$T$495=11)*('CASE MASTER'!$U$2:$U$495&lt;=3)*('CASE MASTER'!$W$2:$W$495&gt;=3)*('CASE MASTER'!$V$2:$V$495&lt;=7)*('CASE MASTER'!$X$2:$X$495&gt;=7))*ROW('CASE MASTER'!$T$2:$T$495))-(ROW('CASE MASTER'!#REF!)-1))))+1))-1)*50+1,50))&amp;"_"&amp;INDEX('CASE MASTER'!$Q$2:$Q$495,(SUMPRODUCT((('CASE MASTER'!$T$2:$T$495=11)*('CASE MASTER'!$U$2:$U$495&lt;=3)*('CASE MASTER'!$W$2:$W$495&gt;=3)*('CASE MASTER'!$V$2:$V$495&lt;=7)*('CASE MASTER'!$X$2:$X$495&gt;=7))*ROW('CASE MASTER'!$T$2:$T$495))-(ROW('CASE MASTER'!#REF!)-1))),IF(SUMPRODUCT((('CASE MASTER'!$T$2:$T$495=11)*('CASE MASTER'!$AA$2:$AA$495&lt;=3)*('CASE MASTER'!$AC$2:$AC$495&gt;=3)*('CASE MASTER'!$AB$2:$AB$495&lt;=7)*('CASE MASTER'!$AD$2:$AD$495&gt;=7))*ROW('CASE MASTER'!$T$2:$T$495))&gt;0,INDEX('CASE MASTER'!$Y$2:$Y$495,(SUMPRODUCT((('CASE MASTER'!$T$2:$T$495=11)*('CASE MASTER'!$AA$2:$AA$495&lt;=3)*('CASE MASTER'!$AC$2:$AC$495&gt;=3)*('CASE MASTER'!$AB$2:$AB$495&lt;=7)*('CASE MASTER'!$AD$2:$AD$495&gt;=7))*ROW('CASE MASTER'!$T$2:$T$495))-(ROW('CASE MASTER'!#REF!)-1)))&amp;TRIM(MID(SUBSTITUTE(SUBSTITUTE(INDEX('CASE MASTER'!$N$2:$N$495,(SUMPRODUCT((('CASE MASTER'!$T$2:$T$495=11)*('CASE MASTER'!$AA$2:$AA$495&lt;=3)*('CASE MASTER'!$AC$2:$AC$495&gt;=3)*('CASE MASTER'!$AB$2:$AB$495&lt;=7)*('CASE MASTER'!$AD$2:$AD$495&gt;=7))*ROW('CASE MASTER'!$T$2:$T$495))-(ROW('CASE MASTER'!#REF!)-1))),":",","),",",REPT(" ",50)),(((INDEX('CASE MASTER'!$Z$2:$Z$495,(SUMPRODUCT((('CASE MASTER'!$T$2:$T$495=11)*('CASE MASTER'!$AA$2:$AA$495&lt;=3)*('CASE MASTER'!$AC$2:$AC$495&gt;=3)*('CASE MASTER'!$AB$2:$AB$495&lt;=7)*('CASE MASTER'!$AD$2:$AD$495&gt;=7))*ROW('CASE MASTER'!$T$2:$T$495))-(ROW('CASE MASTER'!#REF!)-1)))+((3-INDEX('CASE MASTER'!$AA$2:$AA$495,(SUMPRODUCT((('CASE MASTER'!$T$2:$T$495=11)*('CASE MASTER'!$AA$2:$AA$495&lt;=3)*('CASE MASTER'!$AC$2:$AC$495&gt;=3)*('CASE MASTER'!$AB$2:$AB$495&lt;=7)*('CASE MASTER'!$AD$2:$AD$495&gt;=7))*ROW('CASE MASTER'!$T$2:$T$495))-(ROW('CASE MASTER'!#REF!)-1))))*(INDEX('CASE MASTER'!$AD$2:$AD$495,(SUMPRODUCT((('CASE MASTER'!$T$2:$T$495=11)*('CASE MASTER'!$AA$2:$AA$495&lt;=3)*('CASE MASTER'!$AC$2:$AC$495&gt;=3)*('CASE MASTER'!$AB$2:$AB$495&lt;=7)*('CASE MASTER'!$AD$2:$AD$495&gt;=7))*ROW('CASE MASTER'!$T$2:$T$495))-(ROW('CASE MASTER'!#REF!)-1)))-INDEX('CASE MASTER'!$AB$2:$AB$495,(SUMPRODUCT((('CASE MASTER'!$T$2:$T$495=11)*('CASE MASTER'!$AA$2:$AA$495&lt;=3)*('CASE MASTER'!$AC$2:$AC$495&gt;=3)*('CASE MASTER'!$AB$2:$AB$495&lt;=7)*('CASE MASTER'!$AD$2:$AD$495&gt;=7))*ROW('CASE MASTER'!$T$2:$T$495))-(ROW('CASE MASTER'!#REF!)-1)))+1)+(7-INDEX('CASE MASTER'!$AB$2:$AB$495,(SUMPRODUCT((('CASE MASTER'!$T$2:$T$495=11)*('CASE MASTER'!$AA$2:$AA$495&lt;=3)*('CASE MASTER'!$AC$2:$AC$495&gt;=3)*('CASE MASTER'!$AB$2:$AB$495&lt;=7)*('CASE MASTER'!$AD$2:$AD$495&gt;=7))*ROW('CASE MASTER'!$T$2:$T$495))-(ROW('CASE MASTER'!#REF!)-1))))+1)))-1)*50+1,50))&amp;"_"&amp;INDEX('CASE MASTER'!$Q$2:$Q$495,(SUMPRODUCT((('CASE MASTER'!$T$2:$T$495=11)*('CASE MASTER'!$AA$2:$AA$495&lt;=3)*('CASE MASTER'!$AC$2:$AC$495&gt;=3)*('CASE MASTER'!$AB$2:$AB$495&lt;=7)*('CASE MASTER'!$AD$2:$AD$495&gt;=7))*ROW('CASE MASTER'!$T$2:$T$495))-(ROW('CASE MASTER'!#REF!)-1))),"")),"")</f>
        <v/>
      </c>
      <c r="I145" s="10" t="str">
        <f>IFERROR(IF(SUMPRODUCT((('CASE MASTER'!$T$2:$T$495=11)*('CASE MASTER'!$U$2:$U$495&lt;=3)*('CASE MASTER'!$W$2:$W$495&gt;=3)*('CASE MASTER'!$V$2:$V$495&lt;=8)*('CASE MASTER'!$X$2:$X$495&gt;=8))*ROW('CASE MASTER'!$T$2:$T$495))&gt;0,INDEX('CASE MASTER'!$Y$2:$Y$495,(SUMPRODUCT((('CASE MASTER'!$T$2:$T$495=11)*('CASE MASTER'!$U$2:$U$495&lt;=3)*('CASE MASTER'!$W$2:$W$495&gt;=3)*('CASE MASTER'!$V$2:$V$495&lt;=8)*('CASE MASTER'!$X$2:$X$495&gt;=8))*ROW('CASE MASTER'!$T$2:$T$495))-(ROW('CASE MASTER'!#REF!)-1)))&amp;TRIM(MID(SUBSTITUTE(SUBSTITUTE(INDEX('CASE MASTER'!$N$2:$N$495,(SUMPRODUCT((('CASE MASTER'!$T$2:$T$495=11)*('CASE MASTER'!$U$2:$U$495&lt;=3)*('CASE MASTER'!$W$2:$W$495&gt;=3)*('CASE MASTER'!$V$2:$V$495&lt;=8)*('CASE MASTER'!$X$2:$X$495&gt;=8))*ROW('CASE MASTER'!$T$2:$T$495))-(ROW('CASE MASTER'!#REF!)-1))),":",","),",",REPT(" ",50)),((((3-INDEX('CASE MASTER'!$U$2:$U$495,(SUMPRODUCT((('CASE MASTER'!$T$2:$T$495=11)*('CASE MASTER'!$U$2:$U$495&lt;=3)*('CASE MASTER'!$W$2:$W$495&gt;=3)*('CASE MASTER'!$V$2:$V$495&lt;=8)*('CASE MASTER'!$X$2:$X$495&gt;=8))*ROW('CASE MASTER'!$T$2:$T$495))-(ROW('CASE MASTER'!#REF!)-1))))*(INDEX('CASE MASTER'!$X$2:$X$495,(SUMPRODUCT((('CASE MASTER'!$T$2:$T$495=11)*('CASE MASTER'!$U$2:$U$495&lt;=3)*('CASE MASTER'!$W$2:$W$495&gt;=3)*('CASE MASTER'!$V$2:$V$495&lt;=8)*('CASE MASTER'!$X$2:$X$495&gt;=8))*ROW('CASE MASTER'!$T$2:$T$495))-(ROW('CASE MASTER'!#REF!)-1)))-INDEX('CASE MASTER'!$V$2:$V$495,(SUMPRODUCT((('CASE MASTER'!$T$2:$T$495=11)*('CASE MASTER'!$U$2:$U$495&lt;=3)*('CASE MASTER'!$W$2:$W$495&gt;=3)*('CASE MASTER'!$V$2:$V$495&lt;=8)*('CASE MASTER'!$X$2:$X$495&gt;=8))*ROW('CASE MASTER'!$T$2:$T$495))-(ROW('CASE MASTER'!#REF!)-1)))+1)+(8-INDEX('CASE MASTER'!$V$2:$V$495,(SUMPRODUCT((('CASE MASTER'!$T$2:$T$495=11)*('CASE MASTER'!$U$2:$U$495&lt;=3)*('CASE MASTER'!$W$2:$W$495&gt;=3)*('CASE MASTER'!$V$2:$V$495&lt;=8)*('CASE MASTER'!$X$2:$X$495&gt;=8))*ROW('CASE MASTER'!$T$2:$T$495))-(ROW('CASE MASTER'!#REF!)-1))))+1))-1)*50+1,50))&amp;"_"&amp;INDEX('CASE MASTER'!$Q$2:$Q$495,(SUMPRODUCT((('CASE MASTER'!$T$2:$T$495=11)*('CASE MASTER'!$U$2:$U$495&lt;=3)*('CASE MASTER'!$W$2:$W$495&gt;=3)*('CASE MASTER'!$V$2:$V$495&lt;=8)*('CASE MASTER'!$X$2:$X$495&gt;=8))*ROW('CASE MASTER'!$T$2:$T$495))-(ROW('CASE MASTER'!#REF!)-1))),IF(SUMPRODUCT((('CASE MASTER'!$T$2:$T$495=11)*('CASE MASTER'!$AA$2:$AA$495&lt;=3)*('CASE MASTER'!$AC$2:$AC$495&gt;=3)*('CASE MASTER'!$AB$2:$AB$495&lt;=8)*('CASE MASTER'!$AD$2:$AD$495&gt;=8))*ROW('CASE MASTER'!$T$2:$T$495))&gt;0,INDEX('CASE MASTER'!$Y$2:$Y$495,(SUMPRODUCT((('CASE MASTER'!$T$2:$T$495=11)*('CASE MASTER'!$AA$2:$AA$495&lt;=3)*('CASE MASTER'!$AC$2:$AC$495&gt;=3)*('CASE MASTER'!$AB$2:$AB$495&lt;=8)*('CASE MASTER'!$AD$2:$AD$495&gt;=8))*ROW('CASE MASTER'!$T$2:$T$495))-(ROW('CASE MASTER'!#REF!)-1)))&amp;TRIM(MID(SUBSTITUTE(SUBSTITUTE(INDEX('CASE MASTER'!$N$2:$N$495,(SUMPRODUCT((('CASE MASTER'!$T$2:$T$495=11)*('CASE MASTER'!$AA$2:$AA$495&lt;=3)*('CASE MASTER'!$AC$2:$AC$495&gt;=3)*('CASE MASTER'!$AB$2:$AB$495&lt;=8)*('CASE MASTER'!$AD$2:$AD$495&gt;=8))*ROW('CASE MASTER'!$T$2:$T$495))-(ROW('CASE MASTER'!#REF!)-1))),":",","),",",REPT(" ",50)),(((INDEX('CASE MASTER'!$Z$2:$Z$495,(SUMPRODUCT((('CASE MASTER'!$T$2:$T$495=11)*('CASE MASTER'!$AA$2:$AA$495&lt;=3)*('CASE MASTER'!$AC$2:$AC$495&gt;=3)*('CASE MASTER'!$AB$2:$AB$495&lt;=8)*('CASE MASTER'!$AD$2:$AD$495&gt;=8))*ROW('CASE MASTER'!$T$2:$T$495))-(ROW('CASE MASTER'!#REF!)-1)))+((3-INDEX('CASE MASTER'!$AA$2:$AA$495,(SUMPRODUCT((('CASE MASTER'!$T$2:$T$495=11)*('CASE MASTER'!$AA$2:$AA$495&lt;=3)*('CASE MASTER'!$AC$2:$AC$495&gt;=3)*('CASE MASTER'!$AB$2:$AB$495&lt;=8)*('CASE MASTER'!$AD$2:$AD$495&gt;=8))*ROW('CASE MASTER'!$T$2:$T$495))-(ROW('CASE MASTER'!#REF!)-1))))*(INDEX('CASE MASTER'!$AD$2:$AD$495,(SUMPRODUCT((('CASE MASTER'!$T$2:$T$495=11)*('CASE MASTER'!$AA$2:$AA$495&lt;=3)*('CASE MASTER'!$AC$2:$AC$495&gt;=3)*('CASE MASTER'!$AB$2:$AB$495&lt;=8)*('CASE MASTER'!$AD$2:$AD$495&gt;=8))*ROW('CASE MASTER'!$T$2:$T$495))-(ROW('CASE MASTER'!#REF!)-1)))-INDEX('CASE MASTER'!$AB$2:$AB$495,(SUMPRODUCT((('CASE MASTER'!$T$2:$T$495=11)*('CASE MASTER'!$AA$2:$AA$495&lt;=3)*('CASE MASTER'!$AC$2:$AC$495&gt;=3)*('CASE MASTER'!$AB$2:$AB$495&lt;=8)*('CASE MASTER'!$AD$2:$AD$495&gt;=8))*ROW('CASE MASTER'!$T$2:$T$495))-(ROW('CASE MASTER'!#REF!)-1)))+1)+(8-INDEX('CASE MASTER'!$AB$2:$AB$495,(SUMPRODUCT((('CASE MASTER'!$T$2:$T$495=11)*('CASE MASTER'!$AA$2:$AA$495&lt;=3)*('CASE MASTER'!$AC$2:$AC$495&gt;=3)*('CASE MASTER'!$AB$2:$AB$495&lt;=8)*('CASE MASTER'!$AD$2:$AD$495&gt;=8))*ROW('CASE MASTER'!$T$2:$T$495))-(ROW('CASE MASTER'!#REF!)-1))))+1)))-1)*50+1,50))&amp;"_"&amp;INDEX('CASE MASTER'!$Q$2:$Q$495,(SUMPRODUCT((('CASE MASTER'!$T$2:$T$495=11)*('CASE MASTER'!$AA$2:$AA$495&lt;=3)*('CASE MASTER'!$AC$2:$AC$495&gt;=3)*('CASE MASTER'!$AB$2:$AB$495&lt;=8)*('CASE MASTER'!$AD$2:$AD$495&gt;=8))*ROW('CASE MASTER'!$T$2:$T$495))-(ROW('CASE MASTER'!#REF!)-1))),"")),"")</f>
        <v/>
      </c>
      <c r="J145" s="10" t="str">
        <f>IFERROR(IF(SUMPRODUCT((('CASE MASTER'!$T$2:$T$495=11)*('CASE MASTER'!$U$2:$U$495&lt;=3)*('CASE MASTER'!$W$2:$W$495&gt;=3)*('CASE MASTER'!$V$2:$V$495&lt;=9)*('CASE MASTER'!$X$2:$X$495&gt;=9))*ROW('CASE MASTER'!$T$2:$T$495))&gt;0,INDEX('CASE MASTER'!$Y$2:$Y$495,(SUMPRODUCT((('CASE MASTER'!$T$2:$T$495=11)*('CASE MASTER'!$U$2:$U$495&lt;=3)*('CASE MASTER'!$W$2:$W$495&gt;=3)*('CASE MASTER'!$V$2:$V$495&lt;=9)*('CASE MASTER'!$X$2:$X$495&gt;=9))*ROW('CASE MASTER'!$T$2:$T$495))-(ROW('CASE MASTER'!#REF!)-1)))&amp;TRIM(MID(SUBSTITUTE(SUBSTITUTE(INDEX('CASE MASTER'!$N$2:$N$495,(SUMPRODUCT((('CASE MASTER'!$T$2:$T$495=11)*('CASE MASTER'!$U$2:$U$495&lt;=3)*('CASE MASTER'!$W$2:$W$495&gt;=3)*('CASE MASTER'!$V$2:$V$495&lt;=9)*('CASE MASTER'!$X$2:$X$495&gt;=9))*ROW('CASE MASTER'!$T$2:$T$495))-(ROW('CASE MASTER'!#REF!)-1))),":",","),",",REPT(" ",50)),((((3-INDEX('CASE MASTER'!$U$2:$U$495,(SUMPRODUCT((('CASE MASTER'!$T$2:$T$495=11)*('CASE MASTER'!$U$2:$U$495&lt;=3)*('CASE MASTER'!$W$2:$W$495&gt;=3)*('CASE MASTER'!$V$2:$V$495&lt;=9)*('CASE MASTER'!$X$2:$X$495&gt;=9))*ROW('CASE MASTER'!$T$2:$T$495))-(ROW('CASE MASTER'!#REF!)-1))))*(INDEX('CASE MASTER'!$X$2:$X$495,(SUMPRODUCT((('CASE MASTER'!$T$2:$T$495=11)*('CASE MASTER'!$U$2:$U$495&lt;=3)*('CASE MASTER'!$W$2:$W$495&gt;=3)*('CASE MASTER'!$V$2:$V$495&lt;=9)*('CASE MASTER'!$X$2:$X$495&gt;=9))*ROW('CASE MASTER'!$T$2:$T$495))-(ROW('CASE MASTER'!#REF!)-1)))-INDEX('CASE MASTER'!$V$2:$V$495,(SUMPRODUCT((('CASE MASTER'!$T$2:$T$495=11)*('CASE MASTER'!$U$2:$U$495&lt;=3)*('CASE MASTER'!$W$2:$W$495&gt;=3)*('CASE MASTER'!$V$2:$V$495&lt;=9)*('CASE MASTER'!$X$2:$X$495&gt;=9))*ROW('CASE MASTER'!$T$2:$T$495))-(ROW('CASE MASTER'!#REF!)-1)))+1)+(9-INDEX('CASE MASTER'!$V$2:$V$495,(SUMPRODUCT((('CASE MASTER'!$T$2:$T$495=11)*('CASE MASTER'!$U$2:$U$495&lt;=3)*('CASE MASTER'!$W$2:$W$495&gt;=3)*('CASE MASTER'!$V$2:$V$495&lt;=9)*('CASE MASTER'!$X$2:$X$495&gt;=9))*ROW('CASE MASTER'!$T$2:$T$495))-(ROW('CASE MASTER'!#REF!)-1))))+1))-1)*50+1,50))&amp;"_"&amp;INDEX('CASE MASTER'!$Q$2:$Q$495,(SUMPRODUCT((('CASE MASTER'!$T$2:$T$495=11)*('CASE MASTER'!$U$2:$U$495&lt;=3)*('CASE MASTER'!$W$2:$W$495&gt;=3)*('CASE MASTER'!$V$2:$V$495&lt;=9)*('CASE MASTER'!$X$2:$X$495&gt;=9))*ROW('CASE MASTER'!$T$2:$T$495))-(ROW('CASE MASTER'!#REF!)-1))),IF(SUMPRODUCT((('CASE MASTER'!$T$2:$T$495=11)*('CASE MASTER'!$AA$2:$AA$495&lt;=3)*('CASE MASTER'!$AC$2:$AC$495&gt;=3)*('CASE MASTER'!$AB$2:$AB$495&lt;=9)*('CASE MASTER'!$AD$2:$AD$495&gt;=9))*ROW('CASE MASTER'!$T$2:$T$495))&gt;0,INDEX('CASE MASTER'!$Y$2:$Y$495,(SUMPRODUCT((('CASE MASTER'!$T$2:$T$495=11)*('CASE MASTER'!$AA$2:$AA$495&lt;=3)*('CASE MASTER'!$AC$2:$AC$495&gt;=3)*('CASE MASTER'!$AB$2:$AB$495&lt;=9)*('CASE MASTER'!$AD$2:$AD$495&gt;=9))*ROW('CASE MASTER'!$T$2:$T$495))-(ROW('CASE MASTER'!#REF!)-1)))&amp;TRIM(MID(SUBSTITUTE(SUBSTITUTE(INDEX('CASE MASTER'!$N$2:$N$495,(SUMPRODUCT((('CASE MASTER'!$T$2:$T$495=11)*('CASE MASTER'!$AA$2:$AA$495&lt;=3)*('CASE MASTER'!$AC$2:$AC$495&gt;=3)*('CASE MASTER'!$AB$2:$AB$495&lt;=9)*('CASE MASTER'!$AD$2:$AD$495&gt;=9))*ROW('CASE MASTER'!$T$2:$T$495))-(ROW('CASE MASTER'!#REF!)-1))),":",","),",",REPT(" ",50)),(((INDEX('CASE MASTER'!$Z$2:$Z$495,(SUMPRODUCT((('CASE MASTER'!$T$2:$T$495=11)*('CASE MASTER'!$AA$2:$AA$495&lt;=3)*('CASE MASTER'!$AC$2:$AC$495&gt;=3)*('CASE MASTER'!$AB$2:$AB$495&lt;=9)*('CASE MASTER'!$AD$2:$AD$495&gt;=9))*ROW('CASE MASTER'!$T$2:$T$495))-(ROW('CASE MASTER'!#REF!)-1)))+((3-INDEX('CASE MASTER'!$AA$2:$AA$495,(SUMPRODUCT((('CASE MASTER'!$T$2:$T$495=11)*('CASE MASTER'!$AA$2:$AA$495&lt;=3)*('CASE MASTER'!$AC$2:$AC$495&gt;=3)*('CASE MASTER'!$AB$2:$AB$495&lt;=9)*('CASE MASTER'!$AD$2:$AD$495&gt;=9))*ROW('CASE MASTER'!$T$2:$T$495))-(ROW('CASE MASTER'!#REF!)-1))))*(INDEX('CASE MASTER'!$AD$2:$AD$495,(SUMPRODUCT((('CASE MASTER'!$T$2:$T$495=11)*('CASE MASTER'!$AA$2:$AA$495&lt;=3)*('CASE MASTER'!$AC$2:$AC$495&gt;=3)*('CASE MASTER'!$AB$2:$AB$495&lt;=9)*('CASE MASTER'!$AD$2:$AD$495&gt;=9))*ROW('CASE MASTER'!$T$2:$T$495))-(ROW('CASE MASTER'!#REF!)-1)))-INDEX('CASE MASTER'!$AB$2:$AB$495,(SUMPRODUCT((('CASE MASTER'!$T$2:$T$495=11)*('CASE MASTER'!$AA$2:$AA$495&lt;=3)*('CASE MASTER'!$AC$2:$AC$495&gt;=3)*('CASE MASTER'!$AB$2:$AB$495&lt;=9)*('CASE MASTER'!$AD$2:$AD$495&gt;=9))*ROW('CASE MASTER'!$T$2:$T$495))-(ROW('CASE MASTER'!#REF!)-1)))+1)+(9-INDEX('CASE MASTER'!$AB$2:$AB$495,(SUMPRODUCT((('CASE MASTER'!$T$2:$T$495=11)*('CASE MASTER'!$AA$2:$AA$495&lt;=3)*('CASE MASTER'!$AC$2:$AC$495&gt;=3)*('CASE MASTER'!$AB$2:$AB$495&lt;=9)*('CASE MASTER'!$AD$2:$AD$495&gt;=9))*ROW('CASE MASTER'!$T$2:$T$495))-(ROW('CASE MASTER'!#REF!)-1))))+1)))-1)*50+1,50))&amp;"_"&amp;INDEX('CASE MASTER'!$Q$2:$Q$495,(SUMPRODUCT((('CASE MASTER'!$T$2:$T$495=11)*('CASE MASTER'!$AA$2:$AA$495&lt;=3)*('CASE MASTER'!$AC$2:$AC$495&gt;=3)*('CASE MASTER'!$AB$2:$AB$495&lt;=9)*('CASE MASTER'!$AD$2:$AD$495&gt;=9))*ROW('CASE MASTER'!$T$2:$T$495))-(ROW('CASE MASTER'!#REF!)-1))),"")),"")</f>
        <v/>
      </c>
      <c r="K145" s="10" t="str">
        <f>IFERROR(IF(SUMPRODUCT((('CASE MASTER'!$T$2:$T$495=11)*('CASE MASTER'!$U$2:$U$495&lt;=3)*('CASE MASTER'!$W$2:$W$495&gt;=3)*('CASE MASTER'!$V$2:$V$495&lt;=10)*('CASE MASTER'!$X$2:$X$495&gt;=10))*ROW('CASE MASTER'!$T$2:$T$495))&gt;0,INDEX('CASE MASTER'!$Y$2:$Y$495,(SUMPRODUCT((('CASE MASTER'!$T$2:$T$495=11)*('CASE MASTER'!$U$2:$U$495&lt;=3)*('CASE MASTER'!$W$2:$W$495&gt;=3)*('CASE MASTER'!$V$2:$V$495&lt;=10)*('CASE MASTER'!$X$2:$X$495&gt;=10))*ROW('CASE MASTER'!$T$2:$T$495))-(ROW('CASE MASTER'!#REF!)-1)))&amp;TRIM(MID(SUBSTITUTE(SUBSTITUTE(INDEX('CASE MASTER'!$N$2:$N$495,(SUMPRODUCT((('CASE MASTER'!$T$2:$T$495=11)*('CASE MASTER'!$U$2:$U$495&lt;=3)*('CASE MASTER'!$W$2:$W$495&gt;=3)*('CASE MASTER'!$V$2:$V$495&lt;=10)*('CASE MASTER'!$X$2:$X$495&gt;=10))*ROW('CASE MASTER'!$T$2:$T$495))-(ROW('CASE MASTER'!#REF!)-1))),":",","),",",REPT(" ",50)),((((3-INDEX('CASE MASTER'!$U$2:$U$495,(SUMPRODUCT((('CASE MASTER'!$T$2:$T$495=11)*('CASE MASTER'!$U$2:$U$495&lt;=3)*('CASE MASTER'!$W$2:$W$495&gt;=3)*('CASE MASTER'!$V$2:$V$495&lt;=10)*('CASE MASTER'!$X$2:$X$495&gt;=10))*ROW('CASE MASTER'!$T$2:$T$495))-(ROW('CASE MASTER'!#REF!)-1))))*(INDEX('CASE MASTER'!$X$2:$X$495,(SUMPRODUCT((('CASE MASTER'!$T$2:$T$495=11)*('CASE MASTER'!$U$2:$U$495&lt;=3)*('CASE MASTER'!$W$2:$W$495&gt;=3)*('CASE MASTER'!$V$2:$V$495&lt;=10)*('CASE MASTER'!$X$2:$X$495&gt;=10))*ROW('CASE MASTER'!$T$2:$T$495))-(ROW('CASE MASTER'!#REF!)-1)))-INDEX('CASE MASTER'!$V$2:$V$495,(SUMPRODUCT((('CASE MASTER'!$T$2:$T$495=11)*('CASE MASTER'!$U$2:$U$495&lt;=3)*('CASE MASTER'!$W$2:$W$495&gt;=3)*('CASE MASTER'!$V$2:$V$495&lt;=10)*('CASE MASTER'!$X$2:$X$495&gt;=10))*ROW('CASE MASTER'!$T$2:$T$495))-(ROW('CASE MASTER'!#REF!)-1)))+1)+(10-INDEX('CASE MASTER'!$V$2:$V$495,(SUMPRODUCT((('CASE MASTER'!$T$2:$T$495=11)*('CASE MASTER'!$U$2:$U$495&lt;=3)*('CASE MASTER'!$W$2:$W$495&gt;=3)*('CASE MASTER'!$V$2:$V$495&lt;=10)*('CASE MASTER'!$X$2:$X$495&gt;=10))*ROW('CASE MASTER'!$T$2:$T$495))-(ROW('CASE MASTER'!#REF!)-1))))+1))-1)*50+1,50))&amp;"_"&amp;INDEX('CASE MASTER'!$Q$2:$Q$495,(SUMPRODUCT((('CASE MASTER'!$T$2:$T$495=11)*('CASE MASTER'!$U$2:$U$495&lt;=3)*('CASE MASTER'!$W$2:$W$495&gt;=3)*('CASE MASTER'!$V$2:$V$495&lt;=10)*('CASE MASTER'!$X$2:$X$495&gt;=10))*ROW('CASE MASTER'!$T$2:$T$495))-(ROW('CASE MASTER'!#REF!)-1))),IF(SUMPRODUCT((('CASE MASTER'!$T$2:$T$495=11)*('CASE MASTER'!$AA$2:$AA$495&lt;=3)*('CASE MASTER'!$AC$2:$AC$495&gt;=3)*('CASE MASTER'!$AB$2:$AB$495&lt;=10)*('CASE MASTER'!$AD$2:$AD$495&gt;=10))*ROW('CASE MASTER'!$T$2:$T$495))&gt;0,INDEX('CASE MASTER'!$Y$2:$Y$495,(SUMPRODUCT((('CASE MASTER'!$T$2:$T$495=11)*('CASE MASTER'!$AA$2:$AA$495&lt;=3)*('CASE MASTER'!$AC$2:$AC$495&gt;=3)*('CASE MASTER'!$AB$2:$AB$495&lt;=10)*('CASE MASTER'!$AD$2:$AD$495&gt;=10))*ROW('CASE MASTER'!$T$2:$T$495))-(ROW('CASE MASTER'!#REF!)-1)))&amp;TRIM(MID(SUBSTITUTE(SUBSTITUTE(INDEX('CASE MASTER'!$N$2:$N$495,(SUMPRODUCT((('CASE MASTER'!$T$2:$T$495=11)*('CASE MASTER'!$AA$2:$AA$495&lt;=3)*('CASE MASTER'!$AC$2:$AC$495&gt;=3)*('CASE MASTER'!$AB$2:$AB$495&lt;=10)*('CASE MASTER'!$AD$2:$AD$495&gt;=10))*ROW('CASE MASTER'!$T$2:$T$495))-(ROW('CASE MASTER'!#REF!)-1))),":",","),",",REPT(" ",50)),(((INDEX('CASE MASTER'!$Z$2:$Z$495,(SUMPRODUCT((('CASE MASTER'!$T$2:$T$495=11)*('CASE MASTER'!$AA$2:$AA$495&lt;=3)*('CASE MASTER'!$AC$2:$AC$495&gt;=3)*('CASE MASTER'!$AB$2:$AB$495&lt;=10)*('CASE MASTER'!$AD$2:$AD$495&gt;=10))*ROW('CASE MASTER'!$T$2:$T$495))-(ROW('CASE MASTER'!#REF!)-1)))+((3-INDEX('CASE MASTER'!$AA$2:$AA$495,(SUMPRODUCT((('CASE MASTER'!$T$2:$T$495=11)*('CASE MASTER'!$AA$2:$AA$495&lt;=3)*('CASE MASTER'!$AC$2:$AC$495&gt;=3)*('CASE MASTER'!$AB$2:$AB$495&lt;=10)*('CASE MASTER'!$AD$2:$AD$495&gt;=10))*ROW('CASE MASTER'!$T$2:$T$495))-(ROW('CASE MASTER'!#REF!)-1))))*(INDEX('CASE MASTER'!$AD$2:$AD$495,(SUMPRODUCT((('CASE MASTER'!$T$2:$T$495=11)*('CASE MASTER'!$AA$2:$AA$495&lt;=3)*('CASE MASTER'!$AC$2:$AC$495&gt;=3)*('CASE MASTER'!$AB$2:$AB$495&lt;=10)*('CASE MASTER'!$AD$2:$AD$495&gt;=10))*ROW('CASE MASTER'!$T$2:$T$495))-(ROW('CASE MASTER'!#REF!)-1)))-INDEX('CASE MASTER'!$AB$2:$AB$495,(SUMPRODUCT((('CASE MASTER'!$T$2:$T$495=11)*('CASE MASTER'!$AA$2:$AA$495&lt;=3)*('CASE MASTER'!$AC$2:$AC$495&gt;=3)*('CASE MASTER'!$AB$2:$AB$495&lt;=10)*('CASE MASTER'!$AD$2:$AD$495&gt;=10))*ROW('CASE MASTER'!$T$2:$T$495))-(ROW('CASE MASTER'!#REF!)-1)))+1)+(10-INDEX('CASE MASTER'!$AB$2:$AB$495,(SUMPRODUCT((('CASE MASTER'!$T$2:$T$495=11)*('CASE MASTER'!$AA$2:$AA$495&lt;=3)*('CASE MASTER'!$AC$2:$AC$495&gt;=3)*('CASE MASTER'!$AB$2:$AB$495&lt;=10)*('CASE MASTER'!$AD$2:$AD$495&gt;=10))*ROW('CASE MASTER'!$T$2:$T$495))-(ROW('CASE MASTER'!#REF!)-1))))+1)))-1)*50+1,50))&amp;"_"&amp;INDEX('CASE MASTER'!$Q$2:$Q$495,(SUMPRODUCT((('CASE MASTER'!$T$2:$T$495=11)*('CASE MASTER'!$AA$2:$AA$495&lt;=3)*('CASE MASTER'!$AC$2:$AC$495&gt;=3)*('CASE MASTER'!$AB$2:$AB$495&lt;=10)*('CASE MASTER'!$AD$2:$AD$495&gt;=10))*ROW('CASE MASTER'!$T$2:$T$495))-(ROW('CASE MASTER'!#REF!)-1))),"")),"")</f>
        <v/>
      </c>
    </row>
    <row r="146" spans="1:11" ht="15" customHeight="1" x14ac:dyDescent="0.35">
      <c r="A146" s="8" t="s">
        <v>31</v>
      </c>
      <c r="B146" s="10" t="str">
        <f>IFERROR(IF(SUMPRODUCT((('CASE MASTER'!$T$2:$T$495=11)*('CASE MASTER'!$U$2:$U$495&lt;=4)*('CASE MASTER'!$W$2:$W$495&gt;=4)*('CASE MASTER'!$V$2:$V$495&lt;=1)*('CASE MASTER'!$X$2:$X$495&gt;=1))*ROW('CASE MASTER'!$T$2:$T$495))&gt;0,INDEX('CASE MASTER'!$Y$2:$Y$495,(SUMPRODUCT((('CASE MASTER'!$T$2:$T$495=11)*('CASE MASTER'!$U$2:$U$495&lt;=4)*('CASE MASTER'!$W$2:$W$495&gt;=4)*('CASE MASTER'!$V$2:$V$495&lt;=1)*('CASE MASTER'!$X$2:$X$495&gt;=1))*ROW('CASE MASTER'!$T$2:$T$495))-(ROW('CASE MASTER'!#REF!)-1)))&amp;TRIM(MID(SUBSTITUTE(SUBSTITUTE(INDEX('CASE MASTER'!$N$2:$N$495,(SUMPRODUCT((('CASE MASTER'!$T$2:$T$495=11)*('CASE MASTER'!$U$2:$U$495&lt;=4)*('CASE MASTER'!$W$2:$W$495&gt;=4)*('CASE MASTER'!$V$2:$V$495&lt;=1)*('CASE MASTER'!$X$2:$X$495&gt;=1))*ROW('CASE MASTER'!$T$2:$T$495))-(ROW('CASE MASTER'!#REF!)-1))),":",","),",",REPT(" ",50)),((((4-INDEX('CASE MASTER'!$U$2:$U$495,(SUMPRODUCT((('CASE MASTER'!$T$2:$T$495=11)*('CASE MASTER'!$U$2:$U$495&lt;=4)*('CASE MASTER'!$W$2:$W$495&gt;=4)*('CASE MASTER'!$V$2:$V$495&lt;=1)*('CASE MASTER'!$X$2:$X$495&gt;=1))*ROW('CASE MASTER'!$T$2:$T$495))-(ROW('CASE MASTER'!#REF!)-1))))*(INDEX('CASE MASTER'!$X$2:$X$495,(SUMPRODUCT((('CASE MASTER'!$T$2:$T$495=11)*('CASE MASTER'!$U$2:$U$495&lt;=4)*('CASE MASTER'!$W$2:$W$495&gt;=4)*('CASE MASTER'!$V$2:$V$495&lt;=1)*('CASE MASTER'!$X$2:$X$495&gt;=1))*ROW('CASE MASTER'!$T$2:$T$495))-(ROW('CASE MASTER'!#REF!)-1)))-INDEX('CASE MASTER'!$V$2:$V$495,(SUMPRODUCT((('CASE MASTER'!$T$2:$T$495=11)*('CASE MASTER'!$U$2:$U$495&lt;=4)*('CASE MASTER'!$W$2:$W$495&gt;=4)*('CASE MASTER'!$V$2:$V$495&lt;=1)*('CASE MASTER'!$X$2:$X$495&gt;=1))*ROW('CASE MASTER'!$T$2:$T$495))-(ROW('CASE MASTER'!#REF!)-1)))+1)+(1-INDEX('CASE MASTER'!$V$2:$V$495,(SUMPRODUCT((('CASE MASTER'!$T$2:$T$495=11)*('CASE MASTER'!$U$2:$U$495&lt;=4)*('CASE MASTER'!$W$2:$W$495&gt;=4)*('CASE MASTER'!$V$2:$V$495&lt;=1)*('CASE MASTER'!$X$2:$X$495&gt;=1))*ROW('CASE MASTER'!$T$2:$T$495))-(ROW('CASE MASTER'!#REF!)-1))))+1))-1)*50+1,50))&amp;"_"&amp;INDEX('CASE MASTER'!$Q$2:$Q$495,(SUMPRODUCT((('CASE MASTER'!$T$2:$T$495=11)*('CASE MASTER'!$U$2:$U$495&lt;=4)*('CASE MASTER'!$W$2:$W$495&gt;=4)*('CASE MASTER'!$V$2:$V$495&lt;=1)*('CASE MASTER'!$X$2:$X$495&gt;=1))*ROW('CASE MASTER'!$T$2:$T$495))-(ROW('CASE MASTER'!#REF!)-1))),IF(SUMPRODUCT((('CASE MASTER'!$T$2:$T$495=11)*('CASE MASTER'!$AA$2:$AA$495&lt;=4)*('CASE MASTER'!$AC$2:$AC$495&gt;=4)*('CASE MASTER'!$AB$2:$AB$495&lt;=1)*('CASE MASTER'!$AD$2:$AD$495&gt;=1))*ROW('CASE MASTER'!$T$2:$T$495))&gt;0,INDEX('CASE MASTER'!$Y$2:$Y$495,(SUMPRODUCT((('CASE MASTER'!$T$2:$T$495=11)*('CASE MASTER'!$AA$2:$AA$495&lt;=4)*('CASE MASTER'!$AC$2:$AC$495&gt;=4)*('CASE MASTER'!$AB$2:$AB$495&lt;=1)*('CASE MASTER'!$AD$2:$AD$495&gt;=1))*ROW('CASE MASTER'!$T$2:$T$495))-(ROW('CASE MASTER'!#REF!)-1)))&amp;TRIM(MID(SUBSTITUTE(SUBSTITUTE(INDEX('CASE MASTER'!$N$2:$N$495,(SUMPRODUCT((('CASE MASTER'!$T$2:$T$495=11)*('CASE MASTER'!$AA$2:$AA$495&lt;=4)*('CASE MASTER'!$AC$2:$AC$495&gt;=4)*('CASE MASTER'!$AB$2:$AB$495&lt;=1)*('CASE MASTER'!$AD$2:$AD$495&gt;=1))*ROW('CASE MASTER'!$T$2:$T$495))-(ROW('CASE MASTER'!#REF!)-1))),":",","),",",REPT(" ",50)),(((INDEX('CASE MASTER'!$Z$2:$Z$495,(SUMPRODUCT((('CASE MASTER'!$T$2:$T$495=11)*('CASE MASTER'!$AA$2:$AA$495&lt;=4)*('CASE MASTER'!$AC$2:$AC$495&gt;=4)*('CASE MASTER'!$AB$2:$AB$495&lt;=1)*('CASE MASTER'!$AD$2:$AD$495&gt;=1))*ROW('CASE MASTER'!$T$2:$T$495))-(ROW('CASE MASTER'!#REF!)-1)))+((4-INDEX('CASE MASTER'!$AA$2:$AA$495,(SUMPRODUCT((('CASE MASTER'!$T$2:$T$495=11)*('CASE MASTER'!$AA$2:$AA$495&lt;=4)*('CASE MASTER'!$AC$2:$AC$495&gt;=4)*('CASE MASTER'!$AB$2:$AB$495&lt;=1)*('CASE MASTER'!$AD$2:$AD$495&gt;=1))*ROW('CASE MASTER'!$T$2:$T$495))-(ROW('CASE MASTER'!#REF!)-1))))*(INDEX('CASE MASTER'!$AD$2:$AD$495,(SUMPRODUCT((('CASE MASTER'!$T$2:$T$495=11)*('CASE MASTER'!$AA$2:$AA$495&lt;=4)*('CASE MASTER'!$AC$2:$AC$495&gt;=4)*('CASE MASTER'!$AB$2:$AB$495&lt;=1)*('CASE MASTER'!$AD$2:$AD$495&gt;=1))*ROW('CASE MASTER'!$T$2:$T$495))-(ROW('CASE MASTER'!#REF!)-1)))-INDEX('CASE MASTER'!$AB$2:$AB$495,(SUMPRODUCT((('CASE MASTER'!$T$2:$T$495=11)*('CASE MASTER'!$AA$2:$AA$495&lt;=4)*('CASE MASTER'!$AC$2:$AC$495&gt;=4)*('CASE MASTER'!$AB$2:$AB$495&lt;=1)*('CASE MASTER'!$AD$2:$AD$495&gt;=1))*ROW('CASE MASTER'!$T$2:$T$495))-(ROW('CASE MASTER'!#REF!)-1)))+1)+(1-INDEX('CASE MASTER'!$AB$2:$AB$495,(SUMPRODUCT((('CASE MASTER'!$T$2:$T$495=11)*('CASE MASTER'!$AA$2:$AA$495&lt;=4)*('CASE MASTER'!$AC$2:$AC$495&gt;=4)*('CASE MASTER'!$AB$2:$AB$495&lt;=1)*('CASE MASTER'!$AD$2:$AD$495&gt;=1))*ROW('CASE MASTER'!$T$2:$T$495))-(ROW('CASE MASTER'!#REF!)-1))))+1)))-1)*50+1,50))&amp;"_"&amp;INDEX('CASE MASTER'!$Q$2:$Q$495,(SUMPRODUCT((('CASE MASTER'!$T$2:$T$495=11)*('CASE MASTER'!$AA$2:$AA$495&lt;=4)*('CASE MASTER'!$AC$2:$AC$495&gt;=4)*('CASE MASTER'!$AB$2:$AB$495&lt;=1)*('CASE MASTER'!$AD$2:$AD$495&gt;=1))*ROW('CASE MASTER'!$T$2:$T$495))-(ROW('CASE MASTER'!#REF!)-1))),"")),"")</f>
        <v/>
      </c>
      <c r="C146" s="10" t="str">
        <f>IFERROR(IF(SUMPRODUCT((('CASE MASTER'!$T$2:$T$495=11)*('CASE MASTER'!$U$2:$U$495&lt;=4)*('CASE MASTER'!$W$2:$W$495&gt;=4)*('CASE MASTER'!$V$2:$V$495&lt;=2)*('CASE MASTER'!$X$2:$X$495&gt;=2))*ROW('CASE MASTER'!$T$2:$T$495))&gt;0,INDEX('CASE MASTER'!$Y$2:$Y$495,(SUMPRODUCT((('CASE MASTER'!$T$2:$T$495=11)*('CASE MASTER'!$U$2:$U$495&lt;=4)*('CASE MASTER'!$W$2:$W$495&gt;=4)*('CASE MASTER'!$V$2:$V$495&lt;=2)*('CASE MASTER'!$X$2:$X$495&gt;=2))*ROW('CASE MASTER'!$T$2:$T$495))-(ROW('CASE MASTER'!#REF!)-1)))&amp;TRIM(MID(SUBSTITUTE(SUBSTITUTE(INDEX('CASE MASTER'!$N$2:$N$495,(SUMPRODUCT((('CASE MASTER'!$T$2:$T$495=11)*('CASE MASTER'!$U$2:$U$495&lt;=4)*('CASE MASTER'!$W$2:$W$495&gt;=4)*('CASE MASTER'!$V$2:$V$495&lt;=2)*('CASE MASTER'!$X$2:$X$495&gt;=2))*ROW('CASE MASTER'!$T$2:$T$495))-(ROW('CASE MASTER'!#REF!)-1))),":",","),",",REPT(" ",50)),((((4-INDEX('CASE MASTER'!$U$2:$U$495,(SUMPRODUCT((('CASE MASTER'!$T$2:$T$495=11)*('CASE MASTER'!$U$2:$U$495&lt;=4)*('CASE MASTER'!$W$2:$W$495&gt;=4)*('CASE MASTER'!$V$2:$V$495&lt;=2)*('CASE MASTER'!$X$2:$X$495&gt;=2))*ROW('CASE MASTER'!$T$2:$T$495))-(ROW('CASE MASTER'!#REF!)-1))))*(INDEX('CASE MASTER'!$X$2:$X$495,(SUMPRODUCT((('CASE MASTER'!$T$2:$T$495=11)*('CASE MASTER'!$U$2:$U$495&lt;=4)*('CASE MASTER'!$W$2:$W$495&gt;=4)*('CASE MASTER'!$V$2:$V$495&lt;=2)*('CASE MASTER'!$X$2:$X$495&gt;=2))*ROW('CASE MASTER'!$T$2:$T$495))-(ROW('CASE MASTER'!#REF!)-1)))-INDEX('CASE MASTER'!$V$2:$V$495,(SUMPRODUCT((('CASE MASTER'!$T$2:$T$495=11)*('CASE MASTER'!$U$2:$U$495&lt;=4)*('CASE MASTER'!$W$2:$W$495&gt;=4)*('CASE MASTER'!$V$2:$V$495&lt;=2)*('CASE MASTER'!$X$2:$X$495&gt;=2))*ROW('CASE MASTER'!$T$2:$T$495))-(ROW('CASE MASTER'!#REF!)-1)))+1)+(2-INDEX('CASE MASTER'!$V$2:$V$495,(SUMPRODUCT((('CASE MASTER'!$T$2:$T$495=11)*('CASE MASTER'!$U$2:$U$495&lt;=4)*('CASE MASTER'!$W$2:$W$495&gt;=4)*('CASE MASTER'!$V$2:$V$495&lt;=2)*('CASE MASTER'!$X$2:$X$495&gt;=2))*ROW('CASE MASTER'!$T$2:$T$495))-(ROW('CASE MASTER'!#REF!)-1))))+1))-1)*50+1,50))&amp;"_"&amp;INDEX('CASE MASTER'!$Q$2:$Q$495,(SUMPRODUCT((('CASE MASTER'!$T$2:$T$495=11)*('CASE MASTER'!$U$2:$U$495&lt;=4)*('CASE MASTER'!$W$2:$W$495&gt;=4)*('CASE MASTER'!$V$2:$V$495&lt;=2)*('CASE MASTER'!$X$2:$X$495&gt;=2))*ROW('CASE MASTER'!$T$2:$T$495))-(ROW('CASE MASTER'!#REF!)-1))),IF(SUMPRODUCT((('CASE MASTER'!$T$2:$T$495=11)*('CASE MASTER'!$AA$2:$AA$495&lt;=4)*('CASE MASTER'!$AC$2:$AC$495&gt;=4)*('CASE MASTER'!$AB$2:$AB$495&lt;=2)*('CASE MASTER'!$AD$2:$AD$495&gt;=2))*ROW('CASE MASTER'!$T$2:$T$495))&gt;0,INDEX('CASE MASTER'!$Y$2:$Y$495,(SUMPRODUCT((('CASE MASTER'!$T$2:$T$495=11)*('CASE MASTER'!$AA$2:$AA$495&lt;=4)*('CASE MASTER'!$AC$2:$AC$495&gt;=4)*('CASE MASTER'!$AB$2:$AB$495&lt;=2)*('CASE MASTER'!$AD$2:$AD$495&gt;=2))*ROW('CASE MASTER'!$T$2:$T$495))-(ROW('CASE MASTER'!#REF!)-1)))&amp;TRIM(MID(SUBSTITUTE(SUBSTITUTE(INDEX('CASE MASTER'!$N$2:$N$495,(SUMPRODUCT((('CASE MASTER'!$T$2:$T$495=11)*('CASE MASTER'!$AA$2:$AA$495&lt;=4)*('CASE MASTER'!$AC$2:$AC$495&gt;=4)*('CASE MASTER'!$AB$2:$AB$495&lt;=2)*('CASE MASTER'!$AD$2:$AD$495&gt;=2))*ROW('CASE MASTER'!$T$2:$T$495))-(ROW('CASE MASTER'!#REF!)-1))),":",","),",",REPT(" ",50)),(((INDEX('CASE MASTER'!$Z$2:$Z$495,(SUMPRODUCT((('CASE MASTER'!$T$2:$T$495=11)*('CASE MASTER'!$AA$2:$AA$495&lt;=4)*('CASE MASTER'!$AC$2:$AC$495&gt;=4)*('CASE MASTER'!$AB$2:$AB$495&lt;=2)*('CASE MASTER'!$AD$2:$AD$495&gt;=2))*ROW('CASE MASTER'!$T$2:$T$495))-(ROW('CASE MASTER'!#REF!)-1)))+((4-INDEX('CASE MASTER'!$AA$2:$AA$495,(SUMPRODUCT((('CASE MASTER'!$T$2:$T$495=11)*('CASE MASTER'!$AA$2:$AA$495&lt;=4)*('CASE MASTER'!$AC$2:$AC$495&gt;=4)*('CASE MASTER'!$AB$2:$AB$495&lt;=2)*('CASE MASTER'!$AD$2:$AD$495&gt;=2))*ROW('CASE MASTER'!$T$2:$T$495))-(ROW('CASE MASTER'!#REF!)-1))))*(INDEX('CASE MASTER'!$AD$2:$AD$495,(SUMPRODUCT((('CASE MASTER'!$T$2:$T$495=11)*('CASE MASTER'!$AA$2:$AA$495&lt;=4)*('CASE MASTER'!$AC$2:$AC$495&gt;=4)*('CASE MASTER'!$AB$2:$AB$495&lt;=2)*('CASE MASTER'!$AD$2:$AD$495&gt;=2))*ROW('CASE MASTER'!$T$2:$T$495))-(ROW('CASE MASTER'!#REF!)-1)))-INDEX('CASE MASTER'!$AB$2:$AB$495,(SUMPRODUCT((('CASE MASTER'!$T$2:$T$495=11)*('CASE MASTER'!$AA$2:$AA$495&lt;=4)*('CASE MASTER'!$AC$2:$AC$495&gt;=4)*('CASE MASTER'!$AB$2:$AB$495&lt;=2)*('CASE MASTER'!$AD$2:$AD$495&gt;=2))*ROW('CASE MASTER'!$T$2:$T$495))-(ROW('CASE MASTER'!#REF!)-1)))+1)+(2-INDEX('CASE MASTER'!$AB$2:$AB$495,(SUMPRODUCT((('CASE MASTER'!$T$2:$T$495=11)*('CASE MASTER'!$AA$2:$AA$495&lt;=4)*('CASE MASTER'!$AC$2:$AC$495&gt;=4)*('CASE MASTER'!$AB$2:$AB$495&lt;=2)*('CASE MASTER'!$AD$2:$AD$495&gt;=2))*ROW('CASE MASTER'!$T$2:$T$495))-(ROW('CASE MASTER'!#REF!)-1))))+1)))-1)*50+1,50))&amp;"_"&amp;INDEX('CASE MASTER'!$Q$2:$Q$495,(SUMPRODUCT((('CASE MASTER'!$T$2:$T$495=11)*('CASE MASTER'!$AA$2:$AA$495&lt;=4)*('CASE MASTER'!$AC$2:$AC$495&gt;=4)*('CASE MASTER'!$AB$2:$AB$495&lt;=2)*('CASE MASTER'!$AD$2:$AD$495&gt;=2))*ROW('CASE MASTER'!$T$2:$T$495))-(ROW('CASE MASTER'!#REF!)-1))),"")),"")</f>
        <v/>
      </c>
      <c r="D146" s="10" t="str">
        <f>IFERROR(IF(SUMPRODUCT((('CASE MASTER'!$T$2:$T$495=11)*('CASE MASTER'!$U$2:$U$495&lt;=4)*('CASE MASTER'!$W$2:$W$495&gt;=4)*('CASE MASTER'!$V$2:$V$495&lt;=3)*('CASE MASTER'!$X$2:$X$495&gt;=3))*ROW('CASE MASTER'!$T$2:$T$495))&gt;0,INDEX('CASE MASTER'!$Y$2:$Y$495,(SUMPRODUCT((('CASE MASTER'!$T$2:$T$495=11)*('CASE MASTER'!$U$2:$U$495&lt;=4)*('CASE MASTER'!$W$2:$W$495&gt;=4)*('CASE MASTER'!$V$2:$V$495&lt;=3)*('CASE MASTER'!$X$2:$X$495&gt;=3))*ROW('CASE MASTER'!$T$2:$T$495))-(ROW('CASE MASTER'!#REF!)-1)))&amp;TRIM(MID(SUBSTITUTE(SUBSTITUTE(INDEX('CASE MASTER'!$N$2:$N$495,(SUMPRODUCT((('CASE MASTER'!$T$2:$T$495=11)*('CASE MASTER'!$U$2:$U$495&lt;=4)*('CASE MASTER'!$W$2:$W$495&gt;=4)*('CASE MASTER'!$V$2:$V$495&lt;=3)*('CASE MASTER'!$X$2:$X$495&gt;=3))*ROW('CASE MASTER'!$T$2:$T$495))-(ROW('CASE MASTER'!#REF!)-1))),":",","),",",REPT(" ",50)),((((4-INDEX('CASE MASTER'!$U$2:$U$495,(SUMPRODUCT((('CASE MASTER'!$T$2:$T$495=11)*('CASE MASTER'!$U$2:$U$495&lt;=4)*('CASE MASTER'!$W$2:$W$495&gt;=4)*('CASE MASTER'!$V$2:$V$495&lt;=3)*('CASE MASTER'!$X$2:$X$495&gt;=3))*ROW('CASE MASTER'!$T$2:$T$495))-(ROW('CASE MASTER'!#REF!)-1))))*(INDEX('CASE MASTER'!$X$2:$X$495,(SUMPRODUCT((('CASE MASTER'!$T$2:$T$495=11)*('CASE MASTER'!$U$2:$U$495&lt;=4)*('CASE MASTER'!$W$2:$W$495&gt;=4)*('CASE MASTER'!$V$2:$V$495&lt;=3)*('CASE MASTER'!$X$2:$X$495&gt;=3))*ROW('CASE MASTER'!$T$2:$T$495))-(ROW('CASE MASTER'!#REF!)-1)))-INDEX('CASE MASTER'!$V$2:$V$495,(SUMPRODUCT((('CASE MASTER'!$T$2:$T$495=11)*('CASE MASTER'!$U$2:$U$495&lt;=4)*('CASE MASTER'!$W$2:$W$495&gt;=4)*('CASE MASTER'!$V$2:$V$495&lt;=3)*('CASE MASTER'!$X$2:$X$495&gt;=3))*ROW('CASE MASTER'!$T$2:$T$495))-(ROW('CASE MASTER'!#REF!)-1)))+1)+(3-INDEX('CASE MASTER'!$V$2:$V$495,(SUMPRODUCT((('CASE MASTER'!$T$2:$T$495=11)*('CASE MASTER'!$U$2:$U$495&lt;=4)*('CASE MASTER'!$W$2:$W$495&gt;=4)*('CASE MASTER'!$V$2:$V$495&lt;=3)*('CASE MASTER'!$X$2:$X$495&gt;=3))*ROW('CASE MASTER'!$T$2:$T$495))-(ROW('CASE MASTER'!#REF!)-1))))+1))-1)*50+1,50))&amp;"_"&amp;INDEX('CASE MASTER'!$Q$2:$Q$495,(SUMPRODUCT((('CASE MASTER'!$T$2:$T$495=11)*('CASE MASTER'!$U$2:$U$495&lt;=4)*('CASE MASTER'!$W$2:$W$495&gt;=4)*('CASE MASTER'!$V$2:$V$495&lt;=3)*('CASE MASTER'!$X$2:$X$495&gt;=3))*ROW('CASE MASTER'!$T$2:$T$495))-(ROW('CASE MASTER'!#REF!)-1))),IF(SUMPRODUCT((('CASE MASTER'!$T$2:$T$495=11)*('CASE MASTER'!$AA$2:$AA$495&lt;=4)*('CASE MASTER'!$AC$2:$AC$495&gt;=4)*('CASE MASTER'!$AB$2:$AB$495&lt;=3)*('CASE MASTER'!$AD$2:$AD$495&gt;=3))*ROW('CASE MASTER'!$T$2:$T$495))&gt;0,INDEX('CASE MASTER'!$Y$2:$Y$495,(SUMPRODUCT((('CASE MASTER'!$T$2:$T$495=11)*('CASE MASTER'!$AA$2:$AA$495&lt;=4)*('CASE MASTER'!$AC$2:$AC$495&gt;=4)*('CASE MASTER'!$AB$2:$AB$495&lt;=3)*('CASE MASTER'!$AD$2:$AD$495&gt;=3))*ROW('CASE MASTER'!$T$2:$T$495))-(ROW('CASE MASTER'!#REF!)-1)))&amp;TRIM(MID(SUBSTITUTE(SUBSTITUTE(INDEX('CASE MASTER'!$N$2:$N$495,(SUMPRODUCT((('CASE MASTER'!$T$2:$T$495=11)*('CASE MASTER'!$AA$2:$AA$495&lt;=4)*('CASE MASTER'!$AC$2:$AC$495&gt;=4)*('CASE MASTER'!$AB$2:$AB$495&lt;=3)*('CASE MASTER'!$AD$2:$AD$495&gt;=3))*ROW('CASE MASTER'!$T$2:$T$495))-(ROW('CASE MASTER'!#REF!)-1))),":",","),",",REPT(" ",50)),(((INDEX('CASE MASTER'!$Z$2:$Z$495,(SUMPRODUCT((('CASE MASTER'!$T$2:$T$495=11)*('CASE MASTER'!$AA$2:$AA$495&lt;=4)*('CASE MASTER'!$AC$2:$AC$495&gt;=4)*('CASE MASTER'!$AB$2:$AB$495&lt;=3)*('CASE MASTER'!$AD$2:$AD$495&gt;=3))*ROW('CASE MASTER'!$T$2:$T$495))-(ROW('CASE MASTER'!#REF!)-1)))+((4-INDEX('CASE MASTER'!$AA$2:$AA$495,(SUMPRODUCT((('CASE MASTER'!$T$2:$T$495=11)*('CASE MASTER'!$AA$2:$AA$495&lt;=4)*('CASE MASTER'!$AC$2:$AC$495&gt;=4)*('CASE MASTER'!$AB$2:$AB$495&lt;=3)*('CASE MASTER'!$AD$2:$AD$495&gt;=3))*ROW('CASE MASTER'!$T$2:$T$495))-(ROW('CASE MASTER'!#REF!)-1))))*(INDEX('CASE MASTER'!$AD$2:$AD$495,(SUMPRODUCT((('CASE MASTER'!$T$2:$T$495=11)*('CASE MASTER'!$AA$2:$AA$495&lt;=4)*('CASE MASTER'!$AC$2:$AC$495&gt;=4)*('CASE MASTER'!$AB$2:$AB$495&lt;=3)*('CASE MASTER'!$AD$2:$AD$495&gt;=3))*ROW('CASE MASTER'!$T$2:$T$495))-(ROW('CASE MASTER'!#REF!)-1)))-INDEX('CASE MASTER'!$AB$2:$AB$495,(SUMPRODUCT((('CASE MASTER'!$T$2:$T$495=11)*('CASE MASTER'!$AA$2:$AA$495&lt;=4)*('CASE MASTER'!$AC$2:$AC$495&gt;=4)*('CASE MASTER'!$AB$2:$AB$495&lt;=3)*('CASE MASTER'!$AD$2:$AD$495&gt;=3))*ROW('CASE MASTER'!$T$2:$T$495))-(ROW('CASE MASTER'!#REF!)-1)))+1)+(3-INDEX('CASE MASTER'!$AB$2:$AB$495,(SUMPRODUCT((('CASE MASTER'!$T$2:$T$495=11)*('CASE MASTER'!$AA$2:$AA$495&lt;=4)*('CASE MASTER'!$AC$2:$AC$495&gt;=4)*('CASE MASTER'!$AB$2:$AB$495&lt;=3)*('CASE MASTER'!$AD$2:$AD$495&gt;=3))*ROW('CASE MASTER'!$T$2:$T$495))-(ROW('CASE MASTER'!#REF!)-1))))+1)))-1)*50+1,50))&amp;"_"&amp;INDEX('CASE MASTER'!$Q$2:$Q$495,(SUMPRODUCT((('CASE MASTER'!$T$2:$T$495=11)*('CASE MASTER'!$AA$2:$AA$495&lt;=4)*('CASE MASTER'!$AC$2:$AC$495&gt;=4)*('CASE MASTER'!$AB$2:$AB$495&lt;=3)*('CASE MASTER'!$AD$2:$AD$495&gt;=3))*ROW('CASE MASTER'!$T$2:$T$495))-(ROW('CASE MASTER'!#REF!)-1))),"")),"")</f>
        <v/>
      </c>
      <c r="E146" s="10" t="str">
        <f>IFERROR(IF(SUMPRODUCT((('CASE MASTER'!$T$2:$T$495=11)*('CASE MASTER'!$U$2:$U$495&lt;=4)*('CASE MASTER'!$W$2:$W$495&gt;=4)*('CASE MASTER'!$V$2:$V$495&lt;=4)*('CASE MASTER'!$X$2:$X$495&gt;=4))*ROW('CASE MASTER'!$T$2:$T$495))&gt;0,INDEX('CASE MASTER'!$Y$2:$Y$495,(SUMPRODUCT((('CASE MASTER'!$T$2:$T$495=11)*('CASE MASTER'!$U$2:$U$495&lt;=4)*('CASE MASTER'!$W$2:$W$495&gt;=4)*('CASE MASTER'!$V$2:$V$495&lt;=4)*('CASE MASTER'!$X$2:$X$495&gt;=4))*ROW('CASE MASTER'!$T$2:$T$495))-(ROW('CASE MASTER'!#REF!)-1)))&amp;TRIM(MID(SUBSTITUTE(SUBSTITUTE(INDEX('CASE MASTER'!$N$2:$N$495,(SUMPRODUCT((('CASE MASTER'!$T$2:$T$495=11)*('CASE MASTER'!$U$2:$U$495&lt;=4)*('CASE MASTER'!$W$2:$W$495&gt;=4)*('CASE MASTER'!$V$2:$V$495&lt;=4)*('CASE MASTER'!$X$2:$X$495&gt;=4))*ROW('CASE MASTER'!$T$2:$T$495))-(ROW('CASE MASTER'!#REF!)-1))),":",","),",",REPT(" ",50)),((((4-INDEX('CASE MASTER'!$U$2:$U$495,(SUMPRODUCT((('CASE MASTER'!$T$2:$T$495=11)*('CASE MASTER'!$U$2:$U$495&lt;=4)*('CASE MASTER'!$W$2:$W$495&gt;=4)*('CASE MASTER'!$V$2:$V$495&lt;=4)*('CASE MASTER'!$X$2:$X$495&gt;=4))*ROW('CASE MASTER'!$T$2:$T$495))-(ROW('CASE MASTER'!#REF!)-1))))*(INDEX('CASE MASTER'!$X$2:$X$495,(SUMPRODUCT((('CASE MASTER'!$T$2:$T$495=11)*('CASE MASTER'!$U$2:$U$495&lt;=4)*('CASE MASTER'!$W$2:$W$495&gt;=4)*('CASE MASTER'!$V$2:$V$495&lt;=4)*('CASE MASTER'!$X$2:$X$495&gt;=4))*ROW('CASE MASTER'!$T$2:$T$495))-(ROW('CASE MASTER'!#REF!)-1)))-INDEX('CASE MASTER'!$V$2:$V$495,(SUMPRODUCT((('CASE MASTER'!$T$2:$T$495=11)*('CASE MASTER'!$U$2:$U$495&lt;=4)*('CASE MASTER'!$W$2:$W$495&gt;=4)*('CASE MASTER'!$V$2:$V$495&lt;=4)*('CASE MASTER'!$X$2:$X$495&gt;=4))*ROW('CASE MASTER'!$T$2:$T$495))-(ROW('CASE MASTER'!#REF!)-1)))+1)+(4-INDEX('CASE MASTER'!$V$2:$V$495,(SUMPRODUCT((('CASE MASTER'!$T$2:$T$495=11)*('CASE MASTER'!$U$2:$U$495&lt;=4)*('CASE MASTER'!$W$2:$W$495&gt;=4)*('CASE MASTER'!$V$2:$V$495&lt;=4)*('CASE MASTER'!$X$2:$X$495&gt;=4))*ROW('CASE MASTER'!$T$2:$T$495))-(ROW('CASE MASTER'!#REF!)-1))))+1))-1)*50+1,50))&amp;"_"&amp;INDEX('CASE MASTER'!$Q$2:$Q$495,(SUMPRODUCT((('CASE MASTER'!$T$2:$T$495=11)*('CASE MASTER'!$U$2:$U$495&lt;=4)*('CASE MASTER'!$W$2:$W$495&gt;=4)*('CASE MASTER'!$V$2:$V$495&lt;=4)*('CASE MASTER'!$X$2:$X$495&gt;=4))*ROW('CASE MASTER'!$T$2:$T$495))-(ROW('CASE MASTER'!#REF!)-1))),IF(SUMPRODUCT((('CASE MASTER'!$T$2:$T$495=11)*('CASE MASTER'!$AA$2:$AA$495&lt;=4)*('CASE MASTER'!$AC$2:$AC$495&gt;=4)*('CASE MASTER'!$AB$2:$AB$495&lt;=4)*('CASE MASTER'!$AD$2:$AD$495&gt;=4))*ROW('CASE MASTER'!$T$2:$T$495))&gt;0,INDEX('CASE MASTER'!$Y$2:$Y$495,(SUMPRODUCT((('CASE MASTER'!$T$2:$T$495=11)*('CASE MASTER'!$AA$2:$AA$495&lt;=4)*('CASE MASTER'!$AC$2:$AC$495&gt;=4)*('CASE MASTER'!$AB$2:$AB$495&lt;=4)*('CASE MASTER'!$AD$2:$AD$495&gt;=4))*ROW('CASE MASTER'!$T$2:$T$495))-(ROW('CASE MASTER'!#REF!)-1)))&amp;TRIM(MID(SUBSTITUTE(SUBSTITUTE(INDEX('CASE MASTER'!$N$2:$N$495,(SUMPRODUCT((('CASE MASTER'!$T$2:$T$495=11)*('CASE MASTER'!$AA$2:$AA$495&lt;=4)*('CASE MASTER'!$AC$2:$AC$495&gt;=4)*('CASE MASTER'!$AB$2:$AB$495&lt;=4)*('CASE MASTER'!$AD$2:$AD$495&gt;=4))*ROW('CASE MASTER'!$T$2:$T$495))-(ROW('CASE MASTER'!#REF!)-1))),":",","),",",REPT(" ",50)),(((INDEX('CASE MASTER'!$Z$2:$Z$495,(SUMPRODUCT((('CASE MASTER'!$T$2:$T$495=11)*('CASE MASTER'!$AA$2:$AA$495&lt;=4)*('CASE MASTER'!$AC$2:$AC$495&gt;=4)*('CASE MASTER'!$AB$2:$AB$495&lt;=4)*('CASE MASTER'!$AD$2:$AD$495&gt;=4))*ROW('CASE MASTER'!$T$2:$T$495))-(ROW('CASE MASTER'!#REF!)-1)))+((4-INDEX('CASE MASTER'!$AA$2:$AA$495,(SUMPRODUCT((('CASE MASTER'!$T$2:$T$495=11)*('CASE MASTER'!$AA$2:$AA$495&lt;=4)*('CASE MASTER'!$AC$2:$AC$495&gt;=4)*('CASE MASTER'!$AB$2:$AB$495&lt;=4)*('CASE MASTER'!$AD$2:$AD$495&gt;=4))*ROW('CASE MASTER'!$T$2:$T$495))-(ROW('CASE MASTER'!#REF!)-1))))*(INDEX('CASE MASTER'!$AD$2:$AD$495,(SUMPRODUCT((('CASE MASTER'!$T$2:$T$495=11)*('CASE MASTER'!$AA$2:$AA$495&lt;=4)*('CASE MASTER'!$AC$2:$AC$495&gt;=4)*('CASE MASTER'!$AB$2:$AB$495&lt;=4)*('CASE MASTER'!$AD$2:$AD$495&gt;=4))*ROW('CASE MASTER'!$T$2:$T$495))-(ROW('CASE MASTER'!#REF!)-1)))-INDEX('CASE MASTER'!$AB$2:$AB$495,(SUMPRODUCT((('CASE MASTER'!$T$2:$T$495=11)*('CASE MASTER'!$AA$2:$AA$495&lt;=4)*('CASE MASTER'!$AC$2:$AC$495&gt;=4)*('CASE MASTER'!$AB$2:$AB$495&lt;=4)*('CASE MASTER'!$AD$2:$AD$495&gt;=4))*ROW('CASE MASTER'!$T$2:$T$495))-(ROW('CASE MASTER'!#REF!)-1)))+1)+(4-INDEX('CASE MASTER'!$AB$2:$AB$495,(SUMPRODUCT((('CASE MASTER'!$T$2:$T$495=11)*('CASE MASTER'!$AA$2:$AA$495&lt;=4)*('CASE MASTER'!$AC$2:$AC$495&gt;=4)*('CASE MASTER'!$AB$2:$AB$495&lt;=4)*('CASE MASTER'!$AD$2:$AD$495&gt;=4))*ROW('CASE MASTER'!$T$2:$T$495))-(ROW('CASE MASTER'!#REF!)-1))))+1)))-1)*50+1,50))&amp;"_"&amp;INDEX('CASE MASTER'!$Q$2:$Q$495,(SUMPRODUCT((('CASE MASTER'!$T$2:$T$495=11)*('CASE MASTER'!$AA$2:$AA$495&lt;=4)*('CASE MASTER'!$AC$2:$AC$495&gt;=4)*('CASE MASTER'!$AB$2:$AB$495&lt;=4)*('CASE MASTER'!$AD$2:$AD$495&gt;=4))*ROW('CASE MASTER'!$T$2:$T$495))-(ROW('CASE MASTER'!#REF!)-1))),"")),"")</f>
        <v/>
      </c>
      <c r="F146" s="10" t="str">
        <f>IFERROR(IF(SUMPRODUCT((('CASE MASTER'!$T$2:$T$495=11)*('CASE MASTER'!$U$2:$U$495&lt;=4)*('CASE MASTER'!$W$2:$W$495&gt;=4)*('CASE MASTER'!$V$2:$V$495&lt;=5)*('CASE MASTER'!$X$2:$X$495&gt;=5))*ROW('CASE MASTER'!$T$2:$T$495))&gt;0,INDEX('CASE MASTER'!$Y$2:$Y$495,(SUMPRODUCT((('CASE MASTER'!$T$2:$T$495=11)*('CASE MASTER'!$U$2:$U$495&lt;=4)*('CASE MASTER'!$W$2:$W$495&gt;=4)*('CASE MASTER'!$V$2:$V$495&lt;=5)*('CASE MASTER'!$X$2:$X$495&gt;=5))*ROW('CASE MASTER'!$T$2:$T$495))-(ROW('CASE MASTER'!#REF!)-1)))&amp;TRIM(MID(SUBSTITUTE(SUBSTITUTE(INDEX('CASE MASTER'!$N$2:$N$495,(SUMPRODUCT((('CASE MASTER'!$T$2:$T$495=11)*('CASE MASTER'!$U$2:$U$495&lt;=4)*('CASE MASTER'!$W$2:$W$495&gt;=4)*('CASE MASTER'!$V$2:$V$495&lt;=5)*('CASE MASTER'!$X$2:$X$495&gt;=5))*ROW('CASE MASTER'!$T$2:$T$495))-(ROW('CASE MASTER'!#REF!)-1))),":",","),",",REPT(" ",50)),((((4-INDEX('CASE MASTER'!$U$2:$U$495,(SUMPRODUCT((('CASE MASTER'!$T$2:$T$495=11)*('CASE MASTER'!$U$2:$U$495&lt;=4)*('CASE MASTER'!$W$2:$W$495&gt;=4)*('CASE MASTER'!$V$2:$V$495&lt;=5)*('CASE MASTER'!$X$2:$X$495&gt;=5))*ROW('CASE MASTER'!$T$2:$T$495))-(ROW('CASE MASTER'!#REF!)-1))))*(INDEX('CASE MASTER'!$X$2:$X$495,(SUMPRODUCT((('CASE MASTER'!$T$2:$T$495=11)*('CASE MASTER'!$U$2:$U$495&lt;=4)*('CASE MASTER'!$W$2:$W$495&gt;=4)*('CASE MASTER'!$V$2:$V$495&lt;=5)*('CASE MASTER'!$X$2:$X$495&gt;=5))*ROW('CASE MASTER'!$T$2:$T$495))-(ROW('CASE MASTER'!#REF!)-1)))-INDEX('CASE MASTER'!$V$2:$V$495,(SUMPRODUCT((('CASE MASTER'!$T$2:$T$495=11)*('CASE MASTER'!$U$2:$U$495&lt;=4)*('CASE MASTER'!$W$2:$W$495&gt;=4)*('CASE MASTER'!$V$2:$V$495&lt;=5)*('CASE MASTER'!$X$2:$X$495&gt;=5))*ROW('CASE MASTER'!$T$2:$T$495))-(ROW('CASE MASTER'!#REF!)-1)))+1)+(5-INDEX('CASE MASTER'!$V$2:$V$495,(SUMPRODUCT((('CASE MASTER'!$T$2:$T$495=11)*('CASE MASTER'!$U$2:$U$495&lt;=4)*('CASE MASTER'!$W$2:$W$495&gt;=4)*('CASE MASTER'!$V$2:$V$495&lt;=5)*('CASE MASTER'!$X$2:$X$495&gt;=5))*ROW('CASE MASTER'!$T$2:$T$495))-(ROW('CASE MASTER'!#REF!)-1))))+1))-1)*50+1,50))&amp;"_"&amp;INDEX('CASE MASTER'!$Q$2:$Q$495,(SUMPRODUCT((('CASE MASTER'!$T$2:$T$495=11)*('CASE MASTER'!$U$2:$U$495&lt;=4)*('CASE MASTER'!$W$2:$W$495&gt;=4)*('CASE MASTER'!$V$2:$V$495&lt;=5)*('CASE MASTER'!$X$2:$X$495&gt;=5))*ROW('CASE MASTER'!$T$2:$T$495))-(ROW('CASE MASTER'!#REF!)-1))),IF(SUMPRODUCT((('CASE MASTER'!$T$2:$T$495=11)*('CASE MASTER'!$AA$2:$AA$495&lt;=4)*('CASE MASTER'!$AC$2:$AC$495&gt;=4)*('CASE MASTER'!$AB$2:$AB$495&lt;=5)*('CASE MASTER'!$AD$2:$AD$495&gt;=5))*ROW('CASE MASTER'!$T$2:$T$495))&gt;0,INDEX('CASE MASTER'!$Y$2:$Y$495,(SUMPRODUCT((('CASE MASTER'!$T$2:$T$495=11)*('CASE MASTER'!$AA$2:$AA$495&lt;=4)*('CASE MASTER'!$AC$2:$AC$495&gt;=4)*('CASE MASTER'!$AB$2:$AB$495&lt;=5)*('CASE MASTER'!$AD$2:$AD$495&gt;=5))*ROW('CASE MASTER'!$T$2:$T$495))-(ROW('CASE MASTER'!#REF!)-1)))&amp;TRIM(MID(SUBSTITUTE(SUBSTITUTE(INDEX('CASE MASTER'!$N$2:$N$495,(SUMPRODUCT((('CASE MASTER'!$T$2:$T$495=11)*('CASE MASTER'!$AA$2:$AA$495&lt;=4)*('CASE MASTER'!$AC$2:$AC$495&gt;=4)*('CASE MASTER'!$AB$2:$AB$495&lt;=5)*('CASE MASTER'!$AD$2:$AD$495&gt;=5))*ROW('CASE MASTER'!$T$2:$T$495))-(ROW('CASE MASTER'!#REF!)-1))),":",","),",",REPT(" ",50)),(((INDEX('CASE MASTER'!$Z$2:$Z$495,(SUMPRODUCT((('CASE MASTER'!$T$2:$T$495=11)*('CASE MASTER'!$AA$2:$AA$495&lt;=4)*('CASE MASTER'!$AC$2:$AC$495&gt;=4)*('CASE MASTER'!$AB$2:$AB$495&lt;=5)*('CASE MASTER'!$AD$2:$AD$495&gt;=5))*ROW('CASE MASTER'!$T$2:$T$495))-(ROW('CASE MASTER'!#REF!)-1)))+((4-INDEX('CASE MASTER'!$AA$2:$AA$495,(SUMPRODUCT((('CASE MASTER'!$T$2:$T$495=11)*('CASE MASTER'!$AA$2:$AA$495&lt;=4)*('CASE MASTER'!$AC$2:$AC$495&gt;=4)*('CASE MASTER'!$AB$2:$AB$495&lt;=5)*('CASE MASTER'!$AD$2:$AD$495&gt;=5))*ROW('CASE MASTER'!$T$2:$T$495))-(ROW('CASE MASTER'!#REF!)-1))))*(INDEX('CASE MASTER'!$AD$2:$AD$495,(SUMPRODUCT((('CASE MASTER'!$T$2:$T$495=11)*('CASE MASTER'!$AA$2:$AA$495&lt;=4)*('CASE MASTER'!$AC$2:$AC$495&gt;=4)*('CASE MASTER'!$AB$2:$AB$495&lt;=5)*('CASE MASTER'!$AD$2:$AD$495&gt;=5))*ROW('CASE MASTER'!$T$2:$T$495))-(ROW('CASE MASTER'!#REF!)-1)))-INDEX('CASE MASTER'!$AB$2:$AB$495,(SUMPRODUCT((('CASE MASTER'!$T$2:$T$495=11)*('CASE MASTER'!$AA$2:$AA$495&lt;=4)*('CASE MASTER'!$AC$2:$AC$495&gt;=4)*('CASE MASTER'!$AB$2:$AB$495&lt;=5)*('CASE MASTER'!$AD$2:$AD$495&gt;=5))*ROW('CASE MASTER'!$T$2:$T$495))-(ROW('CASE MASTER'!#REF!)-1)))+1)+(5-INDEX('CASE MASTER'!$AB$2:$AB$495,(SUMPRODUCT((('CASE MASTER'!$T$2:$T$495=11)*('CASE MASTER'!$AA$2:$AA$495&lt;=4)*('CASE MASTER'!$AC$2:$AC$495&gt;=4)*('CASE MASTER'!$AB$2:$AB$495&lt;=5)*('CASE MASTER'!$AD$2:$AD$495&gt;=5))*ROW('CASE MASTER'!$T$2:$T$495))-(ROW('CASE MASTER'!#REF!)-1))))+1)))-1)*50+1,50))&amp;"_"&amp;INDEX('CASE MASTER'!$Q$2:$Q$495,(SUMPRODUCT((('CASE MASTER'!$T$2:$T$495=11)*('CASE MASTER'!$AA$2:$AA$495&lt;=4)*('CASE MASTER'!$AC$2:$AC$495&gt;=4)*('CASE MASTER'!$AB$2:$AB$495&lt;=5)*('CASE MASTER'!$AD$2:$AD$495&gt;=5))*ROW('CASE MASTER'!$T$2:$T$495))-(ROW('CASE MASTER'!#REF!)-1))),"")),"")</f>
        <v/>
      </c>
      <c r="G146" s="10" t="str">
        <f>IFERROR(IF(SUMPRODUCT((('CASE MASTER'!$T$2:$T$495=11)*('CASE MASTER'!$U$2:$U$495&lt;=4)*('CASE MASTER'!$W$2:$W$495&gt;=4)*('CASE MASTER'!$V$2:$V$495&lt;=6)*('CASE MASTER'!$X$2:$X$495&gt;=6))*ROW('CASE MASTER'!$T$2:$T$495))&gt;0,INDEX('CASE MASTER'!$Y$2:$Y$495,(SUMPRODUCT((('CASE MASTER'!$T$2:$T$495=11)*('CASE MASTER'!$U$2:$U$495&lt;=4)*('CASE MASTER'!$W$2:$W$495&gt;=4)*('CASE MASTER'!$V$2:$V$495&lt;=6)*('CASE MASTER'!$X$2:$X$495&gt;=6))*ROW('CASE MASTER'!$T$2:$T$495))-(ROW('CASE MASTER'!#REF!)-1)))&amp;TRIM(MID(SUBSTITUTE(SUBSTITUTE(INDEX('CASE MASTER'!$N$2:$N$495,(SUMPRODUCT((('CASE MASTER'!$T$2:$T$495=11)*('CASE MASTER'!$U$2:$U$495&lt;=4)*('CASE MASTER'!$W$2:$W$495&gt;=4)*('CASE MASTER'!$V$2:$V$495&lt;=6)*('CASE MASTER'!$X$2:$X$495&gt;=6))*ROW('CASE MASTER'!$T$2:$T$495))-(ROW('CASE MASTER'!#REF!)-1))),":",","),",",REPT(" ",50)),((((4-INDEX('CASE MASTER'!$U$2:$U$495,(SUMPRODUCT((('CASE MASTER'!$T$2:$T$495=11)*('CASE MASTER'!$U$2:$U$495&lt;=4)*('CASE MASTER'!$W$2:$W$495&gt;=4)*('CASE MASTER'!$V$2:$V$495&lt;=6)*('CASE MASTER'!$X$2:$X$495&gt;=6))*ROW('CASE MASTER'!$T$2:$T$495))-(ROW('CASE MASTER'!#REF!)-1))))*(INDEX('CASE MASTER'!$X$2:$X$495,(SUMPRODUCT((('CASE MASTER'!$T$2:$T$495=11)*('CASE MASTER'!$U$2:$U$495&lt;=4)*('CASE MASTER'!$W$2:$W$495&gt;=4)*('CASE MASTER'!$V$2:$V$495&lt;=6)*('CASE MASTER'!$X$2:$X$495&gt;=6))*ROW('CASE MASTER'!$T$2:$T$495))-(ROW('CASE MASTER'!#REF!)-1)))-INDEX('CASE MASTER'!$V$2:$V$495,(SUMPRODUCT((('CASE MASTER'!$T$2:$T$495=11)*('CASE MASTER'!$U$2:$U$495&lt;=4)*('CASE MASTER'!$W$2:$W$495&gt;=4)*('CASE MASTER'!$V$2:$V$495&lt;=6)*('CASE MASTER'!$X$2:$X$495&gt;=6))*ROW('CASE MASTER'!$T$2:$T$495))-(ROW('CASE MASTER'!#REF!)-1)))+1)+(6-INDEX('CASE MASTER'!$V$2:$V$495,(SUMPRODUCT((('CASE MASTER'!$T$2:$T$495=11)*('CASE MASTER'!$U$2:$U$495&lt;=4)*('CASE MASTER'!$W$2:$W$495&gt;=4)*('CASE MASTER'!$V$2:$V$495&lt;=6)*('CASE MASTER'!$X$2:$X$495&gt;=6))*ROW('CASE MASTER'!$T$2:$T$495))-(ROW('CASE MASTER'!#REF!)-1))))+1))-1)*50+1,50))&amp;"_"&amp;INDEX('CASE MASTER'!$Q$2:$Q$495,(SUMPRODUCT((('CASE MASTER'!$T$2:$T$495=11)*('CASE MASTER'!$U$2:$U$495&lt;=4)*('CASE MASTER'!$W$2:$W$495&gt;=4)*('CASE MASTER'!$V$2:$V$495&lt;=6)*('CASE MASTER'!$X$2:$X$495&gt;=6))*ROW('CASE MASTER'!$T$2:$T$495))-(ROW('CASE MASTER'!#REF!)-1))),IF(SUMPRODUCT((('CASE MASTER'!$T$2:$T$495=11)*('CASE MASTER'!$AA$2:$AA$495&lt;=4)*('CASE MASTER'!$AC$2:$AC$495&gt;=4)*('CASE MASTER'!$AB$2:$AB$495&lt;=6)*('CASE MASTER'!$AD$2:$AD$495&gt;=6))*ROW('CASE MASTER'!$T$2:$T$495))&gt;0,INDEX('CASE MASTER'!$Y$2:$Y$495,(SUMPRODUCT((('CASE MASTER'!$T$2:$T$495=11)*('CASE MASTER'!$AA$2:$AA$495&lt;=4)*('CASE MASTER'!$AC$2:$AC$495&gt;=4)*('CASE MASTER'!$AB$2:$AB$495&lt;=6)*('CASE MASTER'!$AD$2:$AD$495&gt;=6))*ROW('CASE MASTER'!$T$2:$T$495))-(ROW('CASE MASTER'!#REF!)-1)))&amp;TRIM(MID(SUBSTITUTE(SUBSTITUTE(INDEX('CASE MASTER'!$N$2:$N$495,(SUMPRODUCT((('CASE MASTER'!$T$2:$T$495=11)*('CASE MASTER'!$AA$2:$AA$495&lt;=4)*('CASE MASTER'!$AC$2:$AC$495&gt;=4)*('CASE MASTER'!$AB$2:$AB$495&lt;=6)*('CASE MASTER'!$AD$2:$AD$495&gt;=6))*ROW('CASE MASTER'!$T$2:$T$495))-(ROW('CASE MASTER'!#REF!)-1))),":",","),",",REPT(" ",50)),(((INDEX('CASE MASTER'!$Z$2:$Z$495,(SUMPRODUCT((('CASE MASTER'!$T$2:$T$495=11)*('CASE MASTER'!$AA$2:$AA$495&lt;=4)*('CASE MASTER'!$AC$2:$AC$495&gt;=4)*('CASE MASTER'!$AB$2:$AB$495&lt;=6)*('CASE MASTER'!$AD$2:$AD$495&gt;=6))*ROW('CASE MASTER'!$T$2:$T$495))-(ROW('CASE MASTER'!#REF!)-1)))+((4-INDEX('CASE MASTER'!$AA$2:$AA$495,(SUMPRODUCT((('CASE MASTER'!$T$2:$T$495=11)*('CASE MASTER'!$AA$2:$AA$495&lt;=4)*('CASE MASTER'!$AC$2:$AC$495&gt;=4)*('CASE MASTER'!$AB$2:$AB$495&lt;=6)*('CASE MASTER'!$AD$2:$AD$495&gt;=6))*ROW('CASE MASTER'!$T$2:$T$495))-(ROW('CASE MASTER'!#REF!)-1))))*(INDEX('CASE MASTER'!$AD$2:$AD$495,(SUMPRODUCT((('CASE MASTER'!$T$2:$T$495=11)*('CASE MASTER'!$AA$2:$AA$495&lt;=4)*('CASE MASTER'!$AC$2:$AC$495&gt;=4)*('CASE MASTER'!$AB$2:$AB$495&lt;=6)*('CASE MASTER'!$AD$2:$AD$495&gt;=6))*ROW('CASE MASTER'!$T$2:$T$495))-(ROW('CASE MASTER'!#REF!)-1)))-INDEX('CASE MASTER'!$AB$2:$AB$495,(SUMPRODUCT((('CASE MASTER'!$T$2:$T$495=11)*('CASE MASTER'!$AA$2:$AA$495&lt;=4)*('CASE MASTER'!$AC$2:$AC$495&gt;=4)*('CASE MASTER'!$AB$2:$AB$495&lt;=6)*('CASE MASTER'!$AD$2:$AD$495&gt;=6))*ROW('CASE MASTER'!$T$2:$T$495))-(ROW('CASE MASTER'!#REF!)-1)))+1)+(6-INDEX('CASE MASTER'!$AB$2:$AB$495,(SUMPRODUCT((('CASE MASTER'!$T$2:$T$495=11)*('CASE MASTER'!$AA$2:$AA$495&lt;=4)*('CASE MASTER'!$AC$2:$AC$495&gt;=4)*('CASE MASTER'!$AB$2:$AB$495&lt;=6)*('CASE MASTER'!$AD$2:$AD$495&gt;=6))*ROW('CASE MASTER'!$T$2:$T$495))-(ROW('CASE MASTER'!#REF!)-1))))+1)))-1)*50+1,50))&amp;"_"&amp;INDEX('CASE MASTER'!$Q$2:$Q$495,(SUMPRODUCT((('CASE MASTER'!$T$2:$T$495=11)*('CASE MASTER'!$AA$2:$AA$495&lt;=4)*('CASE MASTER'!$AC$2:$AC$495&gt;=4)*('CASE MASTER'!$AB$2:$AB$495&lt;=6)*('CASE MASTER'!$AD$2:$AD$495&gt;=6))*ROW('CASE MASTER'!$T$2:$T$495))-(ROW('CASE MASTER'!#REF!)-1))),"")),"")</f>
        <v/>
      </c>
      <c r="H146" s="10" t="str">
        <f>IFERROR(IF(SUMPRODUCT((('CASE MASTER'!$T$2:$T$495=11)*('CASE MASTER'!$U$2:$U$495&lt;=4)*('CASE MASTER'!$W$2:$W$495&gt;=4)*('CASE MASTER'!$V$2:$V$495&lt;=7)*('CASE MASTER'!$X$2:$X$495&gt;=7))*ROW('CASE MASTER'!$T$2:$T$495))&gt;0,INDEX('CASE MASTER'!$Y$2:$Y$495,(SUMPRODUCT((('CASE MASTER'!$T$2:$T$495=11)*('CASE MASTER'!$U$2:$U$495&lt;=4)*('CASE MASTER'!$W$2:$W$495&gt;=4)*('CASE MASTER'!$V$2:$V$495&lt;=7)*('CASE MASTER'!$X$2:$X$495&gt;=7))*ROW('CASE MASTER'!$T$2:$T$495))-(ROW('CASE MASTER'!#REF!)-1)))&amp;TRIM(MID(SUBSTITUTE(SUBSTITUTE(INDEX('CASE MASTER'!$N$2:$N$495,(SUMPRODUCT((('CASE MASTER'!$T$2:$T$495=11)*('CASE MASTER'!$U$2:$U$495&lt;=4)*('CASE MASTER'!$W$2:$W$495&gt;=4)*('CASE MASTER'!$V$2:$V$495&lt;=7)*('CASE MASTER'!$X$2:$X$495&gt;=7))*ROW('CASE MASTER'!$T$2:$T$495))-(ROW('CASE MASTER'!#REF!)-1))),":",","),",",REPT(" ",50)),((((4-INDEX('CASE MASTER'!$U$2:$U$495,(SUMPRODUCT((('CASE MASTER'!$T$2:$T$495=11)*('CASE MASTER'!$U$2:$U$495&lt;=4)*('CASE MASTER'!$W$2:$W$495&gt;=4)*('CASE MASTER'!$V$2:$V$495&lt;=7)*('CASE MASTER'!$X$2:$X$495&gt;=7))*ROW('CASE MASTER'!$T$2:$T$495))-(ROW('CASE MASTER'!#REF!)-1))))*(INDEX('CASE MASTER'!$X$2:$X$495,(SUMPRODUCT((('CASE MASTER'!$T$2:$T$495=11)*('CASE MASTER'!$U$2:$U$495&lt;=4)*('CASE MASTER'!$W$2:$W$495&gt;=4)*('CASE MASTER'!$V$2:$V$495&lt;=7)*('CASE MASTER'!$X$2:$X$495&gt;=7))*ROW('CASE MASTER'!$T$2:$T$495))-(ROW('CASE MASTER'!#REF!)-1)))-INDEX('CASE MASTER'!$V$2:$V$495,(SUMPRODUCT((('CASE MASTER'!$T$2:$T$495=11)*('CASE MASTER'!$U$2:$U$495&lt;=4)*('CASE MASTER'!$W$2:$W$495&gt;=4)*('CASE MASTER'!$V$2:$V$495&lt;=7)*('CASE MASTER'!$X$2:$X$495&gt;=7))*ROW('CASE MASTER'!$T$2:$T$495))-(ROW('CASE MASTER'!#REF!)-1)))+1)+(7-INDEX('CASE MASTER'!$V$2:$V$495,(SUMPRODUCT((('CASE MASTER'!$T$2:$T$495=11)*('CASE MASTER'!$U$2:$U$495&lt;=4)*('CASE MASTER'!$W$2:$W$495&gt;=4)*('CASE MASTER'!$V$2:$V$495&lt;=7)*('CASE MASTER'!$X$2:$X$495&gt;=7))*ROW('CASE MASTER'!$T$2:$T$495))-(ROW('CASE MASTER'!#REF!)-1))))+1))-1)*50+1,50))&amp;"_"&amp;INDEX('CASE MASTER'!$Q$2:$Q$495,(SUMPRODUCT((('CASE MASTER'!$T$2:$T$495=11)*('CASE MASTER'!$U$2:$U$495&lt;=4)*('CASE MASTER'!$W$2:$W$495&gt;=4)*('CASE MASTER'!$V$2:$V$495&lt;=7)*('CASE MASTER'!$X$2:$X$495&gt;=7))*ROW('CASE MASTER'!$T$2:$T$495))-(ROW('CASE MASTER'!#REF!)-1))),IF(SUMPRODUCT((('CASE MASTER'!$T$2:$T$495=11)*('CASE MASTER'!$AA$2:$AA$495&lt;=4)*('CASE MASTER'!$AC$2:$AC$495&gt;=4)*('CASE MASTER'!$AB$2:$AB$495&lt;=7)*('CASE MASTER'!$AD$2:$AD$495&gt;=7))*ROW('CASE MASTER'!$T$2:$T$495))&gt;0,INDEX('CASE MASTER'!$Y$2:$Y$495,(SUMPRODUCT((('CASE MASTER'!$T$2:$T$495=11)*('CASE MASTER'!$AA$2:$AA$495&lt;=4)*('CASE MASTER'!$AC$2:$AC$495&gt;=4)*('CASE MASTER'!$AB$2:$AB$495&lt;=7)*('CASE MASTER'!$AD$2:$AD$495&gt;=7))*ROW('CASE MASTER'!$T$2:$T$495))-(ROW('CASE MASTER'!#REF!)-1)))&amp;TRIM(MID(SUBSTITUTE(SUBSTITUTE(INDEX('CASE MASTER'!$N$2:$N$495,(SUMPRODUCT((('CASE MASTER'!$T$2:$T$495=11)*('CASE MASTER'!$AA$2:$AA$495&lt;=4)*('CASE MASTER'!$AC$2:$AC$495&gt;=4)*('CASE MASTER'!$AB$2:$AB$495&lt;=7)*('CASE MASTER'!$AD$2:$AD$495&gt;=7))*ROW('CASE MASTER'!$T$2:$T$495))-(ROW('CASE MASTER'!#REF!)-1))),":",","),",",REPT(" ",50)),(((INDEX('CASE MASTER'!$Z$2:$Z$495,(SUMPRODUCT((('CASE MASTER'!$T$2:$T$495=11)*('CASE MASTER'!$AA$2:$AA$495&lt;=4)*('CASE MASTER'!$AC$2:$AC$495&gt;=4)*('CASE MASTER'!$AB$2:$AB$495&lt;=7)*('CASE MASTER'!$AD$2:$AD$495&gt;=7))*ROW('CASE MASTER'!$T$2:$T$495))-(ROW('CASE MASTER'!#REF!)-1)))+((4-INDEX('CASE MASTER'!$AA$2:$AA$495,(SUMPRODUCT((('CASE MASTER'!$T$2:$T$495=11)*('CASE MASTER'!$AA$2:$AA$495&lt;=4)*('CASE MASTER'!$AC$2:$AC$495&gt;=4)*('CASE MASTER'!$AB$2:$AB$495&lt;=7)*('CASE MASTER'!$AD$2:$AD$495&gt;=7))*ROW('CASE MASTER'!$T$2:$T$495))-(ROW('CASE MASTER'!#REF!)-1))))*(INDEX('CASE MASTER'!$AD$2:$AD$495,(SUMPRODUCT((('CASE MASTER'!$T$2:$T$495=11)*('CASE MASTER'!$AA$2:$AA$495&lt;=4)*('CASE MASTER'!$AC$2:$AC$495&gt;=4)*('CASE MASTER'!$AB$2:$AB$495&lt;=7)*('CASE MASTER'!$AD$2:$AD$495&gt;=7))*ROW('CASE MASTER'!$T$2:$T$495))-(ROW('CASE MASTER'!#REF!)-1)))-INDEX('CASE MASTER'!$AB$2:$AB$495,(SUMPRODUCT((('CASE MASTER'!$T$2:$T$495=11)*('CASE MASTER'!$AA$2:$AA$495&lt;=4)*('CASE MASTER'!$AC$2:$AC$495&gt;=4)*('CASE MASTER'!$AB$2:$AB$495&lt;=7)*('CASE MASTER'!$AD$2:$AD$495&gt;=7))*ROW('CASE MASTER'!$T$2:$T$495))-(ROW('CASE MASTER'!#REF!)-1)))+1)+(7-INDEX('CASE MASTER'!$AB$2:$AB$495,(SUMPRODUCT((('CASE MASTER'!$T$2:$T$495=11)*('CASE MASTER'!$AA$2:$AA$495&lt;=4)*('CASE MASTER'!$AC$2:$AC$495&gt;=4)*('CASE MASTER'!$AB$2:$AB$495&lt;=7)*('CASE MASTER'!$AD$2:$AD$495&gt;=7))*ROW('CASE MASTER'!$T$2:$T$495))-(ROW('CASE MASTER'!#REF!)-1))))+1)))-1)*50+1,50))&amp;"_"&amp;INDEX('CASE MASTER'!$Q$2:$Q$495,(SUMPRODUCT((('CASE MASTER'!$T$2:$T$495=11)*('CASE MASTER'!$AA$2:$AA$495&lt;=4)*('CASE MASTER'!$AC$2:$AC$495&gt;=4)*('CASE MASTER'!$AB$2:$AB$495&lt;=7)*('CASE MASTER'!$AD$2:$AD$495&gt;=7))*ROW('CASE MASTER'!$T$2:$T$495))-(ROW('CASE MASTER'!#REF!)-1))),"")),"")</f>
        <v/>
      </c>
      <c r="I146" s="10" t="str">
        <f>IFERROR(IF(SUMPRODUCT((('CASE MASTER'!$T$2:$T$495=11)*('CASE MASTER'!$U$2:$U$495&lt;=4)*('CASE MASTER'!$W$2:$W$495&gt;=4)*('CASE MASTER'!$V$2:$V$495&lt;=8)*('CASE MASTER'!$X$2:$X$495&gt;=8))*ROW('CASE MASTER'!$T$2:$T$495))&gt;0,INDEX('CASE MASTER'!$Y$2:$Y$495,(SUMPRODUCT((('CASE MASTER'!$T$2:$T$495=11)*('CASE MASTER'!$U$2:$U$495&lt;=4)*('CASE MASTER'!$W$2:$W$495&gt;=4)*('CASE MASTER'!$V$2:$V$495&lt;=8)*('CASE MASTER'!$X$2:$X$495&gt;=8))*ROW('CASE MASTER'!$T$2:$T$495))-(ROW('CASE MASTER'!#REF!)-1)))&amp;TRIM(MID(SUBSTITUTE(SUBSTITUTE(INDEX('CASE MASTER'!$N$2:$N$495,(SUMPRODUCT((('CASE MASTER'!$T$2:$T$495=11)*('CASE MASTER'!$U$2:$U$495&lt;=4)*('CASE MASTER'!$W$2:$W$495&gt;=4)*('CASE MASTER'!$V$2:$V$495&lt;=8)*('CASE MASTER'!$X$2:$X$495&gt;=8))*ROW('CASE MASTER'!$T$2:$T$495))-(ROW('CASE MASTER'!#REF!)-1))),":",","),",",REPT(" ",50)),((((4-INDEX('CASE MASTER'!$U$2:$U$495,(SUMPRODUCT((('CASE MASTER'!$T$2:$T$495=11)*('CASE MASTER'!$U$2:$U$495&lt;=4)*('CASE MASTER'!$W$2:$W$495&gt;=4)*('CASE MASTER'!$V$2:$V$495&lt;=8)*('CASE MASTER'!$X$2:$X$495&gt;=8))*ROW('CASE MASTER'!$T$2:$T$495))-(ROW('CASE MASTER'!#REF!)-1))))*(INDEX('CASE MASTER'!$X$2:$X$495,(SUMPRODUCT((('CASE MASTER'!$T$2:$T$495=11)*('CASE MASTER'!$U$2:$U$495&lt;=4)*('CASE MASTER'!$W$2:$W$495&gt;=4)*('CASE MASTER'!$V$2:$V$495&lt;=8)*('CASE MASTER'!$X$2:$X$495&gt;=8))*ROW('CASE MASTER'!$T$2:$T$495))-(ROW('CASE MASTER'!#REF!)-1)))-INDEX('CASE MASTER'!$V$2:$V$495,(SUMPRODUCT((('CASE MASTER'!$T$2:$T$495=11)*('CASE MASTER'!$U$2:$U$495&lt;=4)*('CASE MASTER'!$W$2:$W$495&gt;=4)*('CASE MASTER'!$V$2:$V$495&lt;=8)*('CASE MASTER'!$X$2:$X$495&gt;=8))*ROW('CASE MASTER'!$T$2:$T$495))-(ROW('CASE MASTER'!#REF!)-1)))+1)+(8-INDEX('CASE MASTER'!$V$2:$V$495,(SUMPRODUCT((('CASE MASTER'!$T$2:$T$495=11)*('CASE MASTER'!$U$2:$U$495&lt;=4)*('CASE MASTER'!$W$2:$W$495&gt;=4)*('CASE MASTER'!$V$2:$V$495&lt;=8)*('CASE MASTER'!$X$2:$X$495&gt;=8))*ROW('CASE MASTER'!$T$2:$T$495))-(ROW('CASE MASTER'!#REF!)-1))))+1))-1)*50+1,50))&amp;"_"&amp;INDEX('CASE MASTER'!$Q$2:$Q$495,(SUMPRODUCT((('CASE MASTER'!$T$2:$T$495=11)*('CASE MASTER'!$U$2:$U$495&lt;=4)*('CASE MASTER'!$W$2:$W$495&gt;=4)*('CASE MASTER'!$V$2:$V$495&lt;=8)*('CASE MASTER'!$X$2:$X$495&gt;=8))*ROW('CASE MASTER'!$T$2:$T$495))-(ROW('CASE MASTER'!#REF!)-1))),IF(SUMPRODUCT((('CASE MASTER'!$T$2:$T$495=11)*('CASE MASTER'!$AA$2:$AA$495&lt;=4)*('CASE MASTER'!$AC$2:$AC$495&gt;=4)*('CASE MASTER'!$AB$2:$AB$495&lt;=8)*('CASE MASTER'!$AD$2:$AD$495&gt;=8))*ROW('CASE MASTER'!$T$2:$T$495))&gt;0,INDEX('CASE MASTER'!$Y$2:$Y$495,(SUMPRODUCT((('CASE MASTER'!$T$2:$T$495=11)*('CASE MASTER'!$AA$2:$AA$495&lt;=4)*('CASE MASTER'!$AC$2:$AC$495&gt;=4)*('CASE MASTER'!$AB$2:$AB$495&lt;=8)*('CASE MASTER'!$AD$2:$AD$495&gt;=8))*ROW('CASE MASTER'!$T$2:$T$495))-(ROW('CASE MASTER'!#REF!)-1)))&amp;TRIM(MID(SUBSTITUTE(SUBSTITUTE(INDEX('CASE MASTER'!$N$2:$N$495,(SUMPRODUCT((('CASE MASTER'!$T$2:$T$495=11)*('CASE MASTER'!$AA$2:$AA$495&lt;=4)*('CASE MASTER'!$AC$2:$AC$495&gt;=4)*('CASE MASTER'!$AB$2:$AB$495&lt;=8)*('CASE MASTER'!$AD$2:$AD$495&gt;=8))*ROW('CASE MASTER'!$T$2:$T$495))-(ROW('CASE MASTER'!#REF!)-1))),":",","),",",REPT(" ",50)),(((INDEX('CASE MASTER'!$Z$2:$Z$495,(SUMPRODUCT((('CASE MASTER'!$T$2:$T$495=11)*('CASE MASTER'!$AA$2:$AA$495&lt;=4)*('CASE MASTER'!$AC$2:$AC$495&gt;=4)*('CASE MASTER'!$AB$2:$AB$495&lt;=8)*('CASE MASTER'!$AD$2:$AD$495&gt;=8))*ROW('CASE MASTER'!$T$2:$T$495))-(ROW('CASE MASTER'!#REF!)-1)))+((4-INDEX('CASE MASTER'!$AA$2:$AA$495,(SUMPRODUCT((('CASE MASTER'!$T$2:$T$495=11)*('CASE MASTER'!$AA$2:$AA$495&lt;=4)*('CASE MASTER'!$AC$2:$AC$495&gt;=4)*('CASE MASTER'!$AB$2:$AB$495&lt;=8)*('CASE MASTER'!$AD$2:$AD$495&gt;=8))*ROW('CASE MASTER'!$T$2:$T$495))-(ROW('CASE MASTER'!#REF!)-1))))*(INDEX('CASE MASTER'!$AD$2:$AD$495,(SUMPRODUCT((('CASE MASTER'!$T$2:$T$495=11)*('CASE MASTER'!$AA$2:$AA$495&lt;=4)*('CASE MASTER'!$AC$2:$AC$495&gt;=4)*('CASE MASTER'!$AB$2:$AB$495&lt;=8)*('CASE MASTER'!$AD$2:$AD$495&gt;=8))*ROW('CASE MASTER'!$T$2:$T$495))-(ROW('CASE MASTER'!#REF!)-1)))-INDEX('CASE MASTER'!$AB$2:$AB$495,(SUMPRODUCT((('CASE MASTER'!$T$2:$T$495=11)*('CASE MASTER'!$AA$2:$AA$495&lt;=4)*('CASE MASTER'!$AC$2:$AC$495&gt;=4)*('CASE MASTER'!$AB$2:$AB$495&lt;=8)*('CASE MASTER'!$AD$2:$AD$495&gt;=8))*ROW('CASE MASTER'!$T$2:$T$495))-(ROW('CASE MASTER'!#REF!)-1)))+1)+(8-INDEX('CASE MASTER'!$AB$2:$AB$495,(SUMPRODUCT((('CASE MASTER'!$T$2:$T$495=11)*('CASE MASTER'!$AA$2:$AA$495&lt;=4)*('CASE MASTER'!$AC$2:$AC$495&gt;=4)*('CASE MASTER'!$AB$2:$AB$495&lt;=8)*('CASE MASTER'!$AD$2:$AD$495&gt;=8))*ROW('CASE MASTER'!$T$2:$T$495))-(ROW('CASE MASTER'!#REF!)-1))))+1)))-1)*50+1,50))&amp;"_"&amp;INDEX('CASE MASTER'!$Q$2:$Q$495,(SUMPRODUCT((('CASE MASTER'!$T$2:$T$495=11)*('CASE MASTER'!$AA$2:$AA$495&lt;=4)*('CASE MASTER'!$AC$2:$AC$495&gt;=4)*('CASE MASTER'!$AB$2:$AB$495&lt;=8)*('CASE MASTER'!$AD$2:$AD$495&gt;=8))*ROW('CASE MASTER'!$T$2:$T$495))-(ROW('CASE MASTER'!#REF!)-1))),"")),"")</f>
        <v/>
      </c>
      <c r="J146" s="10" t="str">
        <f>IFERROR(IF(SUMPRODUCT((('CASE MASTER'!$T$2:$T$495=11)*('CASE MASTER'!$U$2:$U$495&lt;=4)*('CASE MASTER'!$W$2:$W$495&gt;=4)*('CASE MASTER'!$V$2:$V$495&lt;=9)*('CASE MASTER'!$X$2:$X$495&gt;=9))*ROW('CASE MASTER'!$T$2:$T$495))&gt;0,INDEX('CASE MASTER'!$Y$2:$Y$495,(SUMPRODUCT((('CASE MASTER'!$T$2:$T$495=11)*('CASE MASTER'!$U$2:$U$495&lt;=4)*('CASE MASTER'!$W$2:$W$495&gt;=4)*('CASE MASTER'!$V$2:$V$495&lt;=9)*('CASE MASTER'!$X$2:$X$495&gt;=9))*ROW('CASE MASTER'!$T$2:$T$495))-(ROW('CASE MASTER'!#REF!)-1)))&amp;TRIM(MID(SUBSTITUTE(SUBSTITUTE(INDEX('CASE MASTER'!$N$2:$N$495,(SUMPRODUCT((('CASE MASTER'!$T$2:$T$495=11)*('CASE MASTER'!$U$2:$U$495&lt;=4)*('CASE MASTER'!$W$2:$W$495&gt;=4)*('CASE MASTER'!$V$2:$V$495&lt;=9)*('CASE MASTER'!$X$2:$X$495&gt;=9))*ROW('CASE MASTER'!$T$2:$T$495))-(ROW('CASE MASTER'!#REF!)-1))),":",","),",",REPT(" ",50)),((((4-INDEX('CASE MASTER'!$U$2:$U$495,(SUMPRODUCT((('CASE MASTER'!$T$2:$T$495=11)*('CASE MASTER'!$U$2:$U$495&lt;=4)*('CASE MASTER'!$W$2:$W$495&gt;=4)*('CASE MASTER'!$V$2:$V$495&lt;=9)*('CASE MASTER'!$X$2:$X$495&gt;=9))*ROW('CASE MASTER'!$T$2:$T$495))-(ROW('CASE MASTER'!#REF!)-1))))*(INDEX('CASE MASTER'!$X$2:$X$495,(SUMPRODUCT((('CASE MASTER'!$T$2:$T$495=11)*('CASE MASTER'!$U$2:$U$495&lt;=4)*('CASE MASTER'!$W$2:$W$495&gt;=4)*('CASE MASTER'!$V$2:$V$495&lt;=9)*('CASE MASTER'!$X$2:$X$495&gt;=9))*ROW('CASE MASTER'!$T$2:$T$495))-(ROW('CASE MASTER'!#REF!)-1)))-INDEX('CASE MASTER'!$V$2:$V$495,(SUMPRODUCT((('CASE MASTER'!$T$2:$T$495=11)*('CASE MASTER'!$U$2:$U$495&lt;=4)*('CASE MASTER'!$W$2:$W$495&gt;=4)*('CASE MASTER'!$V$2:$V$495&lt;=9)*('CASE MASTER'!$X$2:$X$495&gt;=9))*ROW('CASE MASTER'!$T$2:$T$495))-(ROW('CASE MASTER'!#REF!)-1)))+1)+(9-INDEX('CASE MASTER'!$V$2:$V$495,(SUMPRODUCT((('CASE MASTER'!$T$2:$T$495=11)*('CASE MASTER'!$U$2:$U$495&lt;=4)*('CASE MASTER'!$W$2:$W$495&gt;=4)*('CASE MASTER'!$V$2:$V$495&lt;=9)*('CASE MASTER'!$X$2:$X$495&gt;=9))*ROW('CASE MASTER'!$T$2:$T$495))-(ROW('CASE MASTER'!#REF!)-1))))+1))-1)*50+1,50))&amp;"_"&amp;INDEX('CASE MASTER'!$Q$2:$Q$495,(SUMPRODUCT((('CASE MASTER'!$T$2:$T$495=11)*('CASE MASTER'!$U$2:$U$495&lt;=4)*('CASE MASTER'!$W$2:$W$495&gt;=4)*('CASE MASTER'!$V$2:$V$495&lt;=9)*('CASE MASTER'!$X$2:$X$495&gt;=9))*ROW('CASE MASTER'!$T$2:$T$495))-(ROW('CASE MASTER'!#REF!)-1))),IF(SUMPRODUCT((('CASE MASTER'!$T$2:$T$495=11)*('CASE MASTER'!$AA$2:$AA$495&lt;=4)*('CASE MASTER'!$AC$2:$AC$495&gt;=4)*('CASE MASTER'!$AB$2:$AB$495&lt;=9)*('CASE MASTER'!$AD$2:$AD$495&gt;=9))*ROW('CASE MASTER'!$T$2:$T$495))&gt;0,INDEX('CASE MASTER'!$Y$2:$Y$495,(SUMPRODUCT((('CASE MASTER'!$T$2:$T$495=11)*('CASE MASTER'!$AA$2:$AA$495&lt;=4)*('CASE MASTER'!$AC$2:$AC$495&gt;=4)*('CASE MASTER'!$AB$2:$AB$495&lt;=9)*('CASE MASTER'!$AD$2:$AD$495&gt;=9))*ROW('CASE MASTER'!$T$2:$T$495))-(ROW('CASE MASTER'!#REF!)-1)))&amp;TRIM(MID(SUBSTITUTE(SUBSTITUTE(INDEX('CASE MASTER'!$N$2:$N$495,(SUMPRODUCT((('CASE MASTER'!$T$2:$T$495=11)*('CASE MASTER'!$AA$2:$AA$495&lt;=4)*('CASE MASTER'!$AC$2:$AC$495&gt;=4)*('CASE MASTER'!$AB$2:$AB$495&lt;=9)*('CASE MASTER'!$AD$2:$AD$495&gt;=9))*ROW('CASE MASTER'!$T$2:$T$495))-(ROW('CASE MASTER'!#REF!)-1))),":",","),",",REPT(" ",50)),(((INDEX('CASE MASTER'!$Z$2:$Z$495,(SUMPRODUCT((('CASE MASTER'!$T$2:$T$495=11)*('CASE MASTER'!$AA$2:$AA$495&lt;=4)*('CASE MASTER'!$AC$2:$AC$495&gt;=4)*('CASE MASTER'!$AB$2:$AB$495&lt;=9)*('CASE MASTER'!$AD$2:$AD$495&gt;=9))*ROW('CASE MASTER'!$T$2:$T$495))-(ROW('CASE MASTER'!#REF!)-1)))+((4-INDEX('CASE MASTER'!$AA$2:$AA$495,(SUMPRODUCT((('CASE MASTER'!$T$2:$T$495=11)*('CASE MASTER'!$AA$2:$AA$495&lt;=4)*('CASE MASTER'!$AC$2:$AC$495&gt;=4)*('CASE MASTER'!$AB$2:$AB$495&lt;=9)*('CASE MASTER'!$AD$2:$AD$495&gt;=9))*ROW('CASE MASTER'!$T$2:$T$495))-(ROW('CASE MASTER'!#REF!)-1))))*(INDEX('CASE MASTER'!$AD$2:$AD$495,(SUMPRODUCT((('CASE MASTER'!$T$2:$T$495=11)*('CASE MASTER'!$AA$2:$AA$495&lt;=4)*('CASE MASTER'!$AC$2:$AC$495&gt;=4)*('CASE MASTER'!$AB$2:$AB$495&lt;=9)*('CASE MASTER'!$AD$2:$AD$495&gt;=9))*ROW('CASE MASTER'!$T$2:$T$495))-(ROW('CASE MASTER'!#REF!)-1)))-INDEX('CASE MASTER'!$AB$2:$AB$495,(SUMPRODUCT((('CASE MASTER'!$T$2:$T$495=11)*('CASE MASTER'!$AA$2:$AA$495&lt;=4)*('CASE MASTER'!$AC$2:$AC$495&gt;=4)*('CASE MASTER'!$AB$2:$AB$495&lt;=9)*('CASE MASTER'!$AD$2:$AD$495&gt;=9))*ROW('CASE MASTER'!$T$2:$T$495))-(ROW('CASE MASTER'!#REF!)-1)))+1)+(9-INDEX('CASE MASTER'!$AB$2:$AB$495,(SUMPRODUCT((('CASE MASTER'!$T$2:$T$495=11)*('CASE MASTER'!$AA$2:$AA$495&lt;=4)*('CASE MASTER'!$AC$2:$AC$495&gt;=4)*('CASE MASTER'!$AB$2:$AB$495&lt;=9)*('CASE MASTER'!$AD$2:$AD$495&gt;=9))*ROW('CASE MASTER'!$T$2:$T$495))-(ROW('CASE MASTER'!#REF!)-1))))+1)))-1)*50+1,50))&amp;"_"&amp;INDEX('CASE MASTER'!$Q$2:$Q$495,(SUMPRODUCT((('CASE MASTER'!$T$2:$T$495=11)*('CASE MASTER'!$AA$2:$AA$495&lt;=4)*('CASE MASTER'!$AC$2:$AC$495&gt;=4)*('CASE MASTER'!$AB$2:$AB$495&lt;=9)*('CASE MASTER'!$AD$2:$AD$495&gt;=9))*ROW('CASE MASTER'!$T$2:$T$495))-(ROW('CASE MASTER'!#REF!)-1))),"")),"")</f>
        <v/>
      </c>
      <c r="K146" s="10" t="str">
        <f>IFERROR(IF(SUMPRODUCT((('CASE MASTER'!$T$2:$T$495=11)*('CASE MASTER'!$U$2:$U$495&lt;=4)*('CASE MASTER'!$W$2:$W$495&gt;=4)*('CASE MASTER'!$V$2:$V$495&lt;=10)*('CASE MASTER'!$X$2:$X$495&gt;=10))*ROW('CASE MASTER'!$T$2:$T$495))&gt;0,INDEX('CASE MASTER'!$Y$2:$Y$495,(SUMPRODUCT((('CASE MASTER'!$T$2:$T$495=11)*('CASE MASTER'!$U$2:$U$495&lt;=4)*('CASE MASTER'!$W$2:$W$495&gt;=4)*('CASE MASTER'!$V$2:$V$495&lt;=10)*('CASE MASTER'!$X$2:$X$495&gt;=10))*ROW('CASE MASTER'!$T$2:$T$495))-(ROW('CASE MASTER'!#REF!)-1)))&amp;TRIM(MID(SUBSTITUTE(SUBSTITUTE(INDEX('CASE MASTER'!$N$2:$N$495,(SUMPRODUCT((('CASE MASTER'!$T$2:$T$495=11)*('CASE MASTER'!$U$2:$U$495&lt;=4)*('CASE MASTER'!$W$2:$W$495&gt;=4)*('CASE MASTER'!$V$2:$V$495&lt;=10)*('CASE MASTER'!$X$2:$X$495&gt;=10))*ROW('CASE MASTER'!$T$2:$T$495))-(ROW('CASE MASTER'!#REF!)-1))),":",","),",",REPT(" ",50)),((((4-INDEX('CASE MASTER'!$U$2:$U$495,(SUMPRODUCT((('CASE MASTER'!$T$2:$T$495=11)*('CASE MASTER'!$U$2:$U$495&lt;=4)*('CASE MASTER'!$W$2:$W$495&gt;=4)*('CASE MASTER'!$V$2:$V$495&lt;=10)*('CASE MASTER'!$X$2:$X$495&gt;=10))*ROW('CASE MASTER'!$T$2:$T$495))-(ROW('CASE MASTER'!#REF!)-1))))*(INDEX('CASE MASTER'!$X$2:$X$495,(SUMPRODUCT((('CASE MASTER'!$T$2:$T$495=11)*('CASE MASTER'!$U$2:$U$495&lt;=4)*('CASE MASTER'!$W$2:$W$495&gt;=4)*('CASE MASTER'!$V$2:$V$495&lt;=10)*('CASE MASTER'!$X$2:$X$495&gt;=10))*ROW('CASE MASTER'!$T$2:$T$495))-(ROW('CASE MASTER'!#REF!)-1)))-INDEX('CASE MASTER'!$V$2:$V$495,(SUMPRODUCT((('CASE MASTER'!$T$2:$T$495=11)*('CASE MASTER'!$U$2:$U$495&lt;=4)*('CASE MASTER'!$W$2:$W$495&gt;=4)*('CASE MASTER'!$V$2:$V$495&lt;=10)*('CASE MASTER'!$X$2:$X$495&gt;=10))*ROW('CASE MASTER'!$T$2:$T$495))-(ROW('CASE MASTER'!#REF!)-1)))+1)+(10-INDEX('CASE MASTER'!$V$2:$V$495,(SUMPRODUCT((('CASE MASTER'!$T$2:$T$495=11)*('CASE MASTER'!$U$2:$U$495&lt;=4)*('CASE MASTER'!$W$2:$W$495&gt;=4)*('CASE MASTER'!$V$2:$V$495&lt;=10)*('CASE MASTER'!$X$2:$X$495&gt;=10))*ROW('CASE MASTER'!$T$2:$T$495))-(ROW('CASE MASTER'!#REF!)-1))))+1))-1)*50+1,50))&amp;"_"&amp;INDEX('CASE MASTER'!$Q$2:$Q$495,(SUMPRODUCT((('CASE MASTER'!$T$2:$T$495=11)*('CASE MASTER'!$U$2:$U$495&lt;=4)*('CASE MASTER'!$W$2:$W$495&gt;=4)*('CASE MASTER'!$V$2:$V$495&lt;=10)*('CASE MASTER'!$X$2:$X$495&gt;=10))*ROW('CASE MASTER'!$T$2:$T$495))-(ROW('CASE MASTER'!#REF!)-1))),IF(SUMPRODUCT((('CASE MASTER'!$T$2:$T$495=11)*('CASE MASTER'!$AA$2:$AA$495&lt;=4)*('CASE MASTER'!$AC$2:$AC$495&gt;=4)*('CASE MASTER'!$AB$2:$AB$495&lt;=10)*('CASE MASTER'!$AD$2:$AD$495&gt;=10))*ROW('CASE MASTER'!$T$2:$T$495))&gt;0,INDEX('CASE MASTER'!$Y$2:$Y$495,(SUMPRODUCT((('CASE MASTER'!$T$2:$T$495=11)*('CASE MASTER'!$AA$2:$AA$495&lt;=4)*('CASE MASTER'!$AC$2:$AC$495&gt;=4)*('CASE MASTER'!$AB$2:$AB$495&lt;=10)*('CASE MASTER'!$AD$2:$AD$495&gt;=10))*ROW('CASE MASTER'!$T$2:$T$495))-(ROW('CASE MASTER'!#REF!)-1)))&amp;TRIM(MID(SUBSTITUTE(SUBSTITUTE(INDEX('CASE MASTER'!$N$2:$N$495,(SUMPRODUCT((('CASE MASTER'!$T$2:$T$495=11)*('CASE MASTER'!$AA$2:$AA$495&lt;=4)*('CASE MASTER'!$AC$2:$AC$495&gt;=4)*('CASE MASTER'!$AB$2:$AB$495&lt;=10)*('CASE MASTER'!$AD$2:$AD$495&gt;=10))*ROW('CASE MASTER'!$T$2:$T$495))-(ROW('CASE MASTER'!#REF!)-1))),":",","),",",REPT(" ",50)),(((INDEX('CASE MASTER'!$Z$2:$Z$495,(SUMPRODUCT((('CASE MASTER'!$T$2:$T$495=11)*('CASE MASTER'!$AA$2:$AA$495&lt;=4)*('CASE MASTER'!$AC$2:$AC$495&gt;=4)*('CASE MASTER'!$AB$2:$AB$495&lt;=10)*('CASE MASTER'!$AD$2:$AD$495&gt;=10))*ROW('CASE MASTER'!$T$2:$T$495))-(ROW('CASE MASTER'!#REF!)-1)))+((4-INDEX('CASE MASTER'!$AA$2:$AA$495,(SUMPRODUCT((('CASE MASTER'!$T$2:$T$495=11)*('CASE MASTER'!$AA$2:$AA$495&lt;=4)*('CASE MASTER'!$AC$2:$AC$495&gt;=4)*('CASE MASTER'!$AB$2:$AB$495&lt;=10)*('CASE MASTER'!$AD$2:$AD$495&gt;=10))*ROW('CASE MASTER'!$T$2:$T$495))-(ROW('CASE MASTER'!#REF!)-1))))*(INDEX('CASE MASTER'!$AD$2:$AD$495,(SUMPRODUCT((('CASE MASTER'!$T$2:$T$495=11)*('CASE MASTER'!$AA$2:$AA$495&lt;=4)*('CASE MASTER'!$AC$2:$AC$495&gt;=4)*('CASE MASTER'!$AB$2:$AB$495&lt;=10)*('CASE MASTER'!$AD$2:$AD$495&gt;=10))*ROW('CASE MASTER'!$T$2:$T$495))-(ROW('CASE MASTER'!#REF!)-1)))-INDEX('CASE MASTER'!$AB$2:$AB$495,(SUMPRODUCT((('CASE MASTER'!$T$2:$T$495=11)*('CASE MASTER'!$AA$2:$AA$495&lt;=4)*('CASE MASTER'!$AC$2:$AC$495&gt;=4)*('CASE MASTER'!$AB$2:$AB$495&lt;=10)*('CASE MASTER'!$AD$2:$AD$495&gt;=10))*ROW('CASE MASTER'!$T$2:$T$495))-(ROW('CASE MASTER'!#REF!)-1)))+1)+(10-INDEX('CASE MASTER'!$AB$2:$AB$495,(SUMPRODUCT((('CASE MASTER'!$T$2:$T$495=11)*('CASE MASTER'!$AA$2:$AA$495&lt;=4)*('CASE MASTER'!$AC$2:$AC$495&gt;=4)*('CASE MASTER'!$AB$2:$AB$495&lt;=10)*('CASE MASTER'!$AD$2:$AD$495&gt;=10))*ROW('CASE MASTER'!$T$2:$T$495))-(ROW('CASE MASTER'!#REF!)-1))))+1)))-1)*50+1,50))&amp;"_"&amp;INDEX('CASE MASTER'!$Q$2:$Q$495,(SUMPRODUCT((('CASE MASTER'!$T$2:$T$495=11)*('CASE MASTER'!$AA$2:$AA$495&lt;=4)*('CASE MASTER'!$AC$2:$AC$495&gt;=4)*('CASE MASTER'!$AB$2:$AB$495&lt;=10)*('CASE MASTER'!$AD$2:$AD$495&gt;=10))*ROW('CASE MASTER'!$T$2:$T$495))-(ROW('CASE MASTER'!#REF!)-1))),"")),"")</f>
        <v/>
      </c>
    </row>
    <row r="147" spans="1:11" ht="15" customHeight="1" x14ac:dyDescent="0.35">
      <c r="A147" s="8" t="s">
        <v>32</v>
      </c>
      <c r="B147" s="10" t="str">
        <f>IFERROR(IF(SUMPRODUCT((('CASE MASTER'!$T$2:$T$495=11)*('CASE MASTER'!$U$2:$U$495&lt;=5)*('CASE MASTER'!$W$2:$W$495&gt;=5)*('CASE MASTER'!$V$2:$V$495&lt;=1)*('CASE MASTER'!$X$2:$X$495&gt;=1))*ROW('CASE MASTER'!$T$2:$T$495))&gt;0,INDEX('CASE MASTER'!$Y$2:$Y$495,(SUMPRODUCT((('CASE MASTER'!$T$2:$T$495=11)*('CASE MASTER'!$U$2:$U$495&lt;=5)*('CASE MASTER'!$W$2:$W$495&gt;=5)*('CASE MASTER'!$V$2:$V$495&lt;=1)*('CASE MASTER'!$X$2:$X$495&gt;=1))*ROW('CASE MASTER'!$T$2:$T$495))-(ROW('CASE MASTER'!#REF!)-1)))&amp;TRIM(MID(SUBSTITUTE(SUBSTITUTE(INDEX('CASE MASTER'!$N$2:$N$495,(SUMPRODUCT((('CASE MASTER'!$T$2:$T$495=11)*('CASE MASTER'!$U$2:$U$495&lt;=5)*('CASE MASTER'!$W$2:$W$495&gt;=5)*('CASE MASTER'!$V$2:$V$495&lt;=1)*('CASE MASTER'!$X$2:$X$495&gt;=1))*ROW('CASE MASTER'!$T$2:$T$495))-(ROW('CASE MASTER'!#REF!)-1))),":",","),",",REPT(" ",50)),((((5-INDEX('CASE MASTER'!$U$2:$U$495,(SUMPRODUCT((('CASE MASTER'!$T$2:$T$495=11)*('CASE MASTER'!$U$2:$U$495&lt;=5)*('CASE MASTER'!$W$2:$W$495&gt;=5)*('CASE MASTER'!$V$2:$V$495&lt;=1)*('CASE MASTER'!$X$2:$X$495&gt;=1))*ROW('CASE MASTER'!$T$2:$T$495))-(ROW('CASE MASTER'!#REF!)-1))))*(INDEX('CASE MASTER'!$X$2:$X$495,(SUMPRODUCT((('CASE MASTER'!$T$2:$T$495=11)*('CASE MASTER'!$U$2:$U$495&lt;=5)*('CASE MASTER'!$W$2:$W$495&gt;=5)*('CASE MASTER'!$V$2:$V$495&lt;=1)*('CASE MASTER'!$X$2:$X$495&gt;=1))*ROW('CASE MASTER'!$T$2:$T$495))-(ROW('CASE MASTER'!#REF!)-1)))-INDEX('CASE MASTER'!$V$2:$V$495,(SUMPRODUCT((('CASE MASTER'!$T$2:$T$495=11)*('CASE MASTER'!$U$2:$U$495&lt;=5)*('CASE MASTER'!$W$2:$W$495&gt;=5)*('CASE MASTER'!$V$2:$V$495&lt;=1)*('CASE MASTER'!$X$2:$X$495&gt;=1))*ROW('CASE MASTER'!$T$2:$T$495))-(ROW('CASE MASTER'!#REF!)-1)))+1)+(1-INDEX('CASE MASTER'!$V$2:$V$495,(SUMPRODUCT((('CASE MASTER'!$T$2:$T$495=11)*('CASE MASTER'!$U$2:$U$495&lt;=5)*('CASE MASTER'!$W$2:$W$495&gt;=5)*('CASE MASTER'!$V$2:$V$495&lt;=1)*('CASE MASTER'!$X$2:$X$495&gt;=1))*ROW('CASE MASTER'!$T$2:$T$495))-(ROW('CASE MASTER'!#REF!)-1))))+1))-1)*50+1,50))&amp;"_"&amp;INDEX('CASE MASTER'!$Q$2:$Q$495,(SUMPRODUCT((('CASE MASTER'!$T$2:$T$495=11)*('CASE MASTER'!$U$2:$U$495&lt;=5)*('CASE MASTER'!$W$2:$W$495&gt;=5)*('CASE MASTER'!$V$2:$V$495&lt;=1)*('CASE MASTER'!$X$2:$X$495&gt;=1))*ROW('CASE MASTER'!$T$2:$T$495))-(ROW('CASE MASTER'!#REF!)-1))),IF(SUMPRODUCT((('CASE MASTER'!$T$2:$T$495=11)*('CASE MASTER'!$AA$2:$AA$495&lt;=5)*('CASE MASTER'!$AC$2:$AC$495&gt;=5)*('CASE MASTER'!$AB$2:$AB$495&lt;=1)*('CASE MASTER'!$AD$2:$AD$495&gt;=1))*ROW('CASE MASTER'!$T$2:$T$495))&gt;0,INDEX('CASE MASTER'!$Y$2:$Y$495,(SUMPRODUCT((('CASE MASTER'!$T$2:$T$495=11)*('CASE MASTER'!$AA$2:$AA$495&lt;=5)*('CASE MASTER'!$AC$2:$AC$495&gt;=5)*('CASE MASTER'!$AB$2:$AB$495&lt;=1)*('CASE MASTER'!$AD$2:$AD$495&gt;=1))*ROW('CASE MASTER'!$T$2:$T$495))-(ROW('CASE MASTER'!#REF!)-1)))&amp;TRIM(MID(SUBSTITUTE(SUBSTITUTE(INDEX('CASE MASTER'!$N$2:$N$495,(SUMPRODUCT((('CASE MASTER'!$T$2:$T$495=11)*('CASE MASTER'!$AA$2:$AA$495&lt;=5)*('CASE MASTER'!$AC$2:$AC$495&gt;=5)*('CASE MASTER'!$AB$2:$AB$495&lt;=1)*('CASE MASTER'!$AD$2:$AD$495&gt;=1))*ROW('CASE MASTER'!$T$2:$T$495))-(ROW('CASE MASTER'!#REF!)-1))),":",","),",",REPT(" ",50)),(((INDEX('CASE MASTER'!$Z$2:$Z$495,(SUMPRODUCT((('CASE MASTER'!$T$2:$T$495=11)*('CASE MASTER'!$AA$2:$AA$495&lt;=5)*('CASE MASTER'!$AC$2:$AC$495&gt;=5)*('CASE MASTER'!$AB$2:$AB$495&lt;=1)*('CASE MASTER'!$AD$2:$AD$495&gt;=1))*ROW('CASE MASTER'!$T$2:$T$495))-(ROW('CASE MASTER'!#REF!)-1)))+((5-INDEX('CASE MASTER'!$AA$2:$AA$495,(SUMPRODUCT((('CASE MASTER'!$T$2:$T$495=11)*('CASE MASTER'!$AA$2:$AA$495&lt;=5)*('CASE MASTER'!$AC$2:$AC$495&gt;=5)*('CASE MASTER'!$AB$2:$AB$495&lt;=1)*('CASE MASTER'!$AD$2:$AD$495&gt;=1))*ROW('CASE MASTER'!$T$2:$T$495))-(ROW('CASE MASTER'!#REF!)-1))))*(INDEX('CASE MASTER'!$AD$2:$AD$495,(SUMPRODUCT((('CASE MASTER'!$T$2:$T$495=11)*('CASE MASTER'!$AA$2:$AA$495&lt;=5)*('CASE MASTER'!$AC$2:$AC$495&gt;=5)*('CASE MASTER'!$AB$2:$AB$495&lt;=1)*('CASE MASTER'!$AD$2:$AD$495&gt;=1))*ROW('CASE MASTER'!$T$2:$T$495))-(ROW('CASE MASTER'!#REF!)-1)))-INDEX('CASE MASTER'!$AB$2:$AB$495,(SUMPRODUCT((('CASE MASTER'!$T$2:$T$495=11)*('CASE MASTER'!$AA$2:$AA$495&lt;=5)*('CASE MASTER'!$AC$2:$AC$495&gt;=5)*('CASE MASTER'!$AB$2:$AB$495&lt;=1)*('CASE MASTER'!$AD$2:$AD$495&gt;=1))*ROW('CASE MASTER'!$T$2:$T$495))-(ROW('CASE MASTER'!#REF!)-1)))+1)+(1-INDEX('CASE MASTER'!$AB$2:$AB$495,(SUMPRODUCT((('CASE MASTER'!$T$2:$T$495=11)*('CASE MASTER'!$AA$2:$AA$495&lt;=5)*('CASE MASTER'!$AC$2:$AC$495&gt;=5)*('CASE MASTER'!$AB$2:$AB$495&lt;=1)*('CASE MASTER'!$AD$2:$AD$495&gt;=1))*ROW('CASE MASTER'!$T$2:$T$495))-(ROW('CASE MASTER'!#REF!)-1))))+1)))-1)*50+1,50))&amp;"_"&amp;INDEX('CASE MASTER'!$Q$2:$Q$495,(SUMPRODUCT((('CASE MASTER'!$T$2:$T$495=11)*('CASE MASTER'!$AA$2:$AA$495&lt;=5)*('CASE MASTER'!$AC$2:$AC$495&gt;=5)*('CASE MASTER'!$AB$2:$AB$495&lt;=1)*('CASE MASTER'!$AD$2:$AD$495&gt;=1))*ROW('CASE MASTER'!$T$2:$T$495))-(ROW('CASE MASTER'!#REF!)-1))),"")),"")</f>
        <v/>
      </c>
      <c r="C147" s="10" t="str">
        <f>IFERROR(IF(SUMPRODUCT((('CASE MASTER'!$T$2:$T$495=11)*('CASE MASTER'!$U$2:$U$495&lt;=5)*('CASE MASTER'!$W$2:$W$495&gt;=5)*('CASE MASTER'!$V$2:$V$495&lt;=2)*('CASE MASTER'!$X$2:$X$495&gt;=2))*ROW('CASE MASTER'!$T$2:$T$495))&gt;0,INDEX('CASE MASTER'!$Y$2:$Y$495,(SUMPRODUCT((('CASE MASTER'!$T$2:$T$495=11)*('CASE MASTER'!$U$2:$U$495&lt;=5)*('CASE MASTER'!$W$2:$W$495&gt;=5)*('CASE MASTER'!$V$2:$V$495&lt;=2)*('CASE MASTER'!$X$2:$X$495&gt;=2))*ROW('CASE MASTER'!$T$2:$T$495))-(ROW('CASE MASTER'!#REF!)-1)))&amp;TRIM(MID(SUBSTITUTE(SUBSTITUTE(INDEX('CASE MASTER'!$N$2:$N$495,(SUMPRODUCT((('CASE MASTER'!$T$2:$T$495=11)*('CASE MASTER'!$U$2:$U$495&lt;=5)*('CASE MASTER'!$W$2:$W$495&gt;=5)*('CASE MASTER'!$V$2:$V$495&lt;=2)*('CASE MASTER'!$X$2:$X$495&gt;=2))*ROW('CASE MASTER'!$T$2:$T$495))-(ROW('CASE MASTER'!#REF!)-1))),":",","),",",REPT(" ",50)),((((5-INDEX('CASE MASTER'!$U$2:$U$495,(SUMPRODUCT((('CASE MASTER'!$T$2:$T$495=11)*('CASE MASTER'!$U$2:$U$495&lt;=5)*('CASE MASTER'!$W$2:$W$495&gt;=5)*('CASE MASTER'!$V$2:$V$495&lt;=2)*('CASE MASTER'!$X$2:$X$495&gt;=2))*ROW('CASE MASTER'!$T$2:$T$495))-(ROW('CASE MASTER'!#REF!)-1))))*(INDEX('CASE MASTER'!$X$2:$X$495,(SUMPRODUCT((('CASE MASTER'!$T$2:$T$495=11)*('CASE MASTER'!$U$2:$U$495&lt;=5)*('CASE MASTER'!$W$2:$W$495&gt;=5)*('CASE MASTER'!$V$2:$V$495&lt;=2)*('CASE MASTER'!$X$2:$X$495&gt;=2))*ROW('CASE MASTER'!$T$2:$T$495))-(ROW('CASE MASTER'!#REF!)-1)))-INDEX('CASE MASTER'!$V$2:$V$495,(SUMPRODUCT((('CASE MASTER'!$T$2:$T$495=11)*('CASE MASTER'!$U$2:$U$495&lt;=5)*('CASE MASTER'!$W$2:$W$495&gt;=5)*('CASE MASTER'!$V$2:$V$495&lt;=2)*('CASE MASTER'!$X$2:$X$495&gt;=2))*ROW('CASE MASTER'!$T$2:$T$495))-(ROW('CASE MASTER'!#REF!)-1)))+1)+(2-INDEX('CASE MASTER'!$V$2:$V$495,(SUMPRODUCT((('CASE MASTER'!$T$2:$T$495=11)*('CASE MASTER'!$U$2:$U$495&lt;=5)*('CASE MASTER'!$W$2:$W$495&gt;=5)*('CASE MASTER'!$V$2:$V$495&lt;=2)*('CASE MASTER'!$X$2:$X$495&gt;=2))*ROW('CASE MASTER'!$T$2:$T$495))-(ROW('CASE MASTER'!#REF!)-1))))+1))-1)*50+1,50))&amp;"_"&amp;INDEX('CASE MASTER'!$Q$2:$Q$495,(SUMPRODUCT((('CASE MASTER'!$T$2:$T$495=11)*('CASE MASTER'!$U$2:$U$495&lt;=5)*('CASE MASTER'!$W$2:$W$495&gt;=5)*('CASE MASTER'!$V$2:$V$495&lt;=2)*('CASE MASTER'!$X$2:$X$495&gt;=2))*ROW('CASE MASTER'!$T$2:$T$495))-(ROW('CASE MASTER'!#REF!)-1))),IF(SUMPRODUCT((('CASE MASTER'!$T$2:$T$495=11)*('CASE MASTER'!$AA$2:$AA$495&lt;=5)*('CASE MASTER'!$AC$2:$AC$495&gt;=5)*('CASE MASTER'!$AB$2:$AB$495&lt;=2)*('CASE MASTER'!$AD$2:$AD$495&gt;=2))*ROW('CASE MASTER'!$T$2:$T$495))&gt;0,INDEX('CASE MASTER'!$Y$2:$Y$495,(SUMPRODUCT((('CASE MASTER'!$T$2:$T$495=11)*('CASE MASTER'!$AA$2:$AA$495&lt;=5)*('CASE MASTER'!$AC$2:$AC$495&gt;=5)*('CASE MASTER'!$AB$2:$AB$495&lt;=2)*('CASE MASTER'!$AD$2:$AD$495&gt;=2))*ROW('CASE MASTER'!$T$2:$T$495))-(ROW('CASE MASTER'!#REF!)-1)))&amp;TRIM(MID(SUBSTITUTE(SUBSTITUTE(INDEX('CASE MASTER'!$N$2:$N$495,(SUMPRODUCT((('CASE MASTER'!$T$2:$T$495=11)*('CASE MASTER'!$AA$2:$AA$495&lt;=5)*('CASE MASTER'!$AC$2:$AC$495&gt;=5)*('CASE MASTER'!$AB$2:$AB$495&lt;=2)*('CASE MASTER'!$AD$2:$AD$495&gt;=2))*ROW('CASE MASTER'!$T$2:$T$495))-(ROW('CASE MASTER'!#REF!)-1))),":",","),",",REPT(" ",50)),(((INDEX('CASE MASTER'!$Z$2:$Z$495,(SUMPRODUCT((('CASE MASTER'!$T$2:$T$495=11)*('CASE MASTER'!$AA$2:$AA$495&lt;=5)*('CASE MASTER'!$AC$2:$AC$495&gt;=5)*('CASE MASTER'!$AB$2:$AB$495&lt;=2)*('CASE MASTER'!$AD$2:$AD$495&gt;=2))*ROW('CASE MASTER'!$T$2:$T$495))-(ROW('CASE MASTER'!#REF!)-1)))+((5-INDEX('CASE MASTER'!$AA$2:$AA$495,(SUMPRODUCT((('CASE MASTER'!$T$2:$T$495=11)*('CASE MASTER'!$AA$2:$AA$495&lt;=5)*('CASE MASTER'!$AC$2:$AC$495&gt;=5)*('CASE MASTER'!$AB$2:$AB$495&lt;=2)*('CASE MASTER'!$AD$2:$AD$495&gt;=2))*ROW('CASE MASTER'!$T$2:$T$495))-(ROW('CASE MASTER'!#REF!)-1))))*(INDEX('CASE MASTER'!$AD$2:$AD$495,(SUMPRODUCT((('CASE MASTER'!$T$2:$T$495=11)*('CASE MASTER'!$AA$2:$AA$495&lt;=5)*('CASE MASTER'!$AC$2:$AC$495&gt;=5)*('CASE MASTER'!$AB$2:$AB$495&lt;=2)*('CASE MASTER'!$AD$2:$AD$495&gt;=2))*ROW('CASE MASTER'!$T$2:$T$495))-(ROW('CASE MASTER'!#REF!)-1)))-INDEX('CASE MASTER'!$AB$2:$AB$495,(SUMPRODUCT((('CASE MASTER'!$T$2:$T$495=11)*('CASE MASTER'!$AA$2:$AA$495&lt;=5)*('CASE MASTER'!$AC$2:$AC$495&gt;=5)*('CASE MASTER'!$AB$2:$AB$495&lt;=2)*('CASE MASTER'!$AD$2:$AD$495&gt;=2))*ROW('CASE MASTER'!$T$2:$T$495))-(ROW('CASE MASTER'!#REF!)-1)))+1)+(2-INDEX('CASE MASTER'!$AB$2:$AB$495,(SUMPRODUCT((('CASE MASTER'!$T$2:$T$495=11)*('CASE MASTER'!$AA$2:$AA$495&lt;=5)*('CASE MASTER'!$AC$2:$AC$495&gt;=5)*('CASE MASTER'!$AB$2:$AB$495&lt;=2)*('CASE MASTER'!$AD$2:$AD$495&gt;=2))*ROW('CASE MASTER'!$T$2:$T$495))-(ROW('CASE MASTER'!#REF!)-1))))+1)))-1)*50+1,50))&amp;"_"&amp;INDEX('CASE MASTER'!$Q$2:$Q$495,(SUMPRODUCT((('CASE MASTER'!$T$2:$T$495=11)*('CASE MASTER'!$AA$2:$AA$495&lt;=5)*('CASE MASTER'!$AC$2:$AC$495&gt;=5)*('CASE MASTER'!$AB$2:$AB$495&lt;=2)*('CASE MASTER'!$AD$2:$AD$495&gt;=2))*ROW('CASE MASTER'!$T$2:$T$495))-(ROW('CASE MASTER'!#REF!)-1))),"")),"")</f>
        <v/>
      </c>
      <c r="D147" s="10" t="str">
        <f>IFERROR(IF(SUMPRODUCT((('CASE MASTER'!$T$2:$T$495=11)*('CASE MASTER'!$U$2:$U$495&lt;=5)*('CASE MASTER'!$W$2:$W$495&gt;=5)*('CASE MASTER'!$V$2:$V$495&lt;=3)*('CASE MASTER'!$X$2:$X$495&gt;=3))*ROW('CASE MASTER'!$T$2:$T$495))&gt;0,INDEX('CASE MASTER'!$Y$2:$Y$495,(SUMPRODUCT((('CASE MASTER'!$T$2:$T$495=11)*('CASE MASTER'!$U$2:$U$495&lt;=5)*('CASE MASTER'!$W$2:$W$495&gt;=5)*('CASE MASTER'!$V$2:$V$495&lt;=3)*('CASE MASTER'!$X$2:$X$495&gt;=3))*ROW('CASE MASTER'!$T$2:$T$495))-(ROW('CASE MASTER'!#REF!)-1)))&amp;TRIM(MID(SUBSTITUTE(SUBSTITUTE(INDEX('CASE MASTER'!$N$2:$N$495,(SUMPRODUCT((('CASE MASTER'!$T$2:$T$495=11)*('CASE MASTER'!$U$2:$U$495&lt;=5)*('CASE MASTER'!$W$2:$W$495&gt;=5)*('CASE MASTER'!$V$2:$V$495&lt;=3)*('CASE MASTER'!$X$2:$X$495&gt;=3))*ROW('CASE MASTER'!$T$2:$T$495))-(ROW('CASE MASTER'!#REF!)-1))),":",","),",",REPT(" ",50)),((((5-INDEX('CASE MASTER'!$U$2:$U$495,(SUMPRODUCT((('CASE MASTER'!$T$2:$T$495=11)*('CASE MASTER'!$U$2:$U$495&lt;=5)*('CASE MASTER'!$W$2:$W$495&gt;=5)*('CASE MASTER'!$V$2:$V$495&lt;=3)*('CASE MASTER'!$X$2:$X$495&gt;=3))*ROW('CASE MASTER'!$T$2:$T$495))-(ROW('CASE MASTER'!#REF!)-1))))*(INDEX('CASE MASTER'!$X$2:$X$495,(SUMPRODUCT((('CASE MASTER'!$T$2:$T$495=11)*('CASE MASTER'!$U$2:$U$495&lt;=5)*('CASE MASTER'!$W$2:$W$495&gt;=5)*('CASE MASTER'!$V$2:$V$495&lt;=3)*('CASE MASTER'!$X$2:$X$495&gt;=3))*ROW('CASE MASTER'!$T$2:$T$495))-(ROW('CASE MASTER'!#REF!)-1)))-INDEX('CASE MASTER'!$V$2:$V$495,(SUMPRODUCT((('CASE MASTER'!$T$2:$T$495=11)*('CASE MASTER'!$U$2:$U$495&lt;=5)*('CASE MASTER'!$W$2:$W$495&gt;=5)*('CASE MASTER'!$V$2:$V$495&lt;=3)*('CASE MASTER'!$X$2:$X$495&gt;=3))*ROW('CASE MASTER'!$T$2:$T$495))-(ROW('CASE MASTER'!#REF!)-1)))+1)+(3-INDEX('CASE MASTER'!$V$2:$V$495,(SUMPRODUCT((('CASE MASTER'!$T$2:$T$495=11)*('CASE MASTER'!$U$2:$U$495&lt;=5)*('CASE MASTER'!$W$2:$W$495&gt;=5)*('CASE MASTER'!$V$2:$V$495&lt;=3)*('CASE MASTER'!$X$2:$X$495&gt;=3))*ROW('CASE MASTER'!$T$2:$T$495))-(ROW('CASE MASTER'!#REF!)-1))))+1))-1)*50+1,50))&amp;"_"&amp;INDEX('CASE MASTER'!$Q$2:$Q$495,(SUMPRODUCT((('CASE MASTER'!$T$2:$T$495=11)*('CASE MASTER'!$U$2:$U$495&lt;=5)*('CASE MASTER'!$W$2:$W$495&gt;=5)*('CASE MASTER'!$V$2:$V$495&lt;=3)*('CASE MASTER'!$X$2:$X$495&gt;=3))*ROW('CASE MASTER'!$T$2:$T$495))-(ROW('CASE MASTER'!#REF!)-1))),IF(SUMPRODUCT((('CASE MASTER'!$T$2:$T$495=11)*('CASE MASTER'!$AA$2:$AA$495&lt;=5)*('CASE MASTER'!$AC$2:$AC$495&gt;=5)*('CASE MASTER'!$AB$2:$AB$495&lt;=3)*('CASE MASTER'!$AD$2:$AD$495&gt;=3))*ROW('CASE MASTER'!$T$2:$T$495))&gt;0,INDEX('CASE MASTER'!$Y$2:$Y$495,(SUMPRODUCT((('CASE MASTER'!$T$2:$T$495=11)*('CASE MASTER'!$AA$2:$AA$495&lt;=5)*('CASE MASTER'!$AC$2:$AC$495&gt;=5)*('CASE MASTER'!$AB$2:$AB$495&lt;=3)*('CASE MASTER'!$AD$2:$AD$495&gt;=3))*ROW('CASE MASTER'!$T$2:$T$495))-(ROW('CASE MASTER'!#REF!)-1)))&amp;TRIM(MID(SUBSTITUTE(SUBSTITUTE(INDEX('CASE MASTER'!$N$2:$N$495,(SUMPRODUCT((('CASE MASTER'!$T$2:$T$495=11)*('CASE MASTER'!$AA$2:$AA$495&lt;=5)*('CASE MASTER'!$AC$2:$AC$495&gt;=5)*('CASE MASTER'!$AB$2:$AB$495&lt;=3)*('CASE MASTER'!$AD$2:$AD$495&gt;=3))*ROW('CASE MASTER'!$T$2:$T$495))-(ROW('CASE MASTER'!#REF!)-1))),":",","),",",REPT(" ",50)),(((INDEX('CASE MASTER'!$Z$2:$Z$495,(SUMPRODUCT((('CASE MASTER'!$T$2:$T$495=11)*('CASE MASTER'!$AA$2:$AA$495&lt;=5)*('CASE MASTER'!$AC$2:$AC$495&gt;=5)*('CASE MASTER'!$AB$2:$AB$495&lt;=3)*('CASE MASTER'!$AD$2:$AD$495&gt;=3))*ROW('CASE MASTER'!$T$2:$T$495))-(ROW('CASE MASTER'!#REF!)-1)))+((5-INDEX('CASE MASTER'!$AA$2:$AA$495,(SUMPRODUCT((('CASE MASTER'!$T$2:$T$495=11)*('CASE MASTER'!$AA$2:$AA$495&lt;=5)*('CASE MASTER'!$AC$2:$AC$495&gt;=5)*('CASE MASTER'!$AB$2:$AB$495&lt;=3)*('CASE MASTER'!$AD$2:$AD$495&gt;=3))*ROW('CASE MASTER'!$T$2:$T$495))-(ROW('CASE MASTER'!#REF!)-1))))*(INDEX('CASE MASTER'!$AD$2:$AD$495,(SUMPRODUCT((('CASE MASTER'!$T$2:$T$495=11)*('CASE MASTER'!$AA$2:$AA$495&lt;=5)*('CASE MASTER'!$AC$2:$AC$495&gt;=5)*('CASE MASTER'!$AB$2:$AB$495&lt;=3)*('CASE MASTER'!$AD$2:$AD$495&gt;=3))*ROW('CASE MASTER'!$T$2:$T$495))-(ROW('CASE MASTER'!#REF!)-1)))-INDEX('CASE MASTER'!$AB$2:$AB$495,(SUMPRODUCT((('CASE MASTER'!$T$2:$T$495=11)*('CASE MASTER'!$AA$2:$AA$495&lt;=5)*('CASE MASTER'!$AC$2:$AC$495&gt;=5)*('CASE MASTER'!$AB$2:$AB$495&lt;=3)*('CASE MASTER'!$AD$2:$AD$495&gt;=3))*ROW('CASE MASTER'!$T$2:$T$495))-(ROW('CASE MASTER'!#REF!)-1)))+1)+(3-INDEX('CASE MASTER'!$AB$2:$AB$495,(SUMPRODUCT((('CASE MASTER'!$T$2:$T$495=11)*('CASE MASTER'!$AA$2:$AA$495&lt;=5)*('CASE MASTER'!$AC$2:$AC$495&gt;=5)*('CASE MASTER'!$AB$2:$AB$495&lt;=3)*('CASE MASTER'!$AD$2:$AD$495&gt;=3))*ROW('CASE MASTER'!$T$2:$T$495))-(ROW('CASE MASTER'!#REF!)-1))))+1)))-1)*50+1,50))&amp;"_"&amp;INDEX('CASE MASTER'!$Q$2:$Q$495,(SUMPRODUCT((('CASE MASTER'!$T$2:$T$495=11)*('CASE MASTER'!$AA$2:$AA$495&lt;=5)*('CASE MASTER'!$AC$2:$AC$495&gt;=5)*('CASE MASTER'!$AB$2:$AB$495&lt;=3)*('CASE MASTER'!$AD$2:$AD$495&gt;=3))*ROW('CASE MASTER'!$T$2:$T$495))-(ROW('CASE MASTER'!#REF!)-1))),"")),"")</f>
        <v/>
      </c>
      <c r="E147" s="10" t="str">
        <f>IFERROR(IF(SUMPRODUCT((('CASE MASTER'!$T$2:$T$495=11)*('CASE MASTER'!$U$2:$U$495&lt;=5)*('CASE MASTER'!$W$2:$W$495&gt;=5)*('CASE MASTER'!$V$2:$V$495&lt;=4)*('CASE MASTER'!$X$2:$X$495&gt;=4))*ROW('CASE MASTER'!$T$2:$T$495))&gt;0,INDEX('CASE MASTER'!$Y$2:$Y$495,(SUMPRODUCT((('CASE MASTER'!$T$2:$T$495=11)*('CASE MASTER'!$U$2:$U$495&lt;=5)*('CASE MASTER'!$W$2:$W$495&gt;=5)*('CASE MASTER'!$V$2:$V$495&lt;=4)*('CASE MASTER'!$X$2:$X$495&gt;=4))*ROW('CASE MASTER'!$T$2:$T$495))-(ROW('CASE MASTER'!#REF!)-1)))&amp;TRIM(MID(SUBSTITUTE(SUBSTITUTE(INDEX('CASE MASTER'!$N$2:$N$495,(SUMPRODUCT((('CASE MASTER'!$T$2:$T$495=11)*('CASE MASTER'!$U$2:$U$495&lt;=5)*('CASE MASTER'!$W$2:$W$495&gt;=5)*('CASE MASTER'!$V$2:$V$495&lt;=4)*('CASE MASTER'!$X$2:$X$495&gt;=4))*ROW('CASE MASTER'!$T$2:$T$495))-(ROW('CASE MASTER'!#REF!)-1))),":",","),",",REPT(" ",50)),((((5-INDEX('CASE MASTER'!$U$2:$U$495,(SUMPRODUCT((('CASE MASTER'!$T$2:$T$495=11)*('CASE MASTER'!$U$2:$U$495&lt;=5)*('CASE MASTER'!$W$2:$W$495&gt;=5)*('CASE MASTER'!$V$2:$V$495&lt;=4)*('CASE MASTER'!$X$2:$X$495&gt;=4))*ROW('CASE MASTER'!$T$2:$T$495))-(ROW('CASE MASTER'!#REF!)-1))))*(INDEX('CASE MASTER'!$X$2:$X$495,(SUMPRODUCT((('CASE MASTER'!$T$2:$T$495=11)*('CASE MASTER'!$U$2:$U$495&lt;=5)*('CASE MASTER'!$W$2:$W$495&gt;=5)*('CASE MASTER'!$V$2:$V$495&lt;=4)*('CASE MASTER'!$X$2:$X$495&gt;=4))*ROW('CASE MASTER'!$T$2:$T$495))-(ROW('CASE MASTER'!#REF!)-1)))-INDEX('CASE MASTER'!$V$2:$V$495,(SUMPRODUCT((('CASE MASTER'!$T$2:$T$495=11)*('CASE MASTER'!$U$2:$U$495&lt;=5)*('CASE MASTER'!$W$2:$W$495&gt;=5)*('CASE MASTER'!$V$2:$V$495&lt;=4)*('CASE MASTER'!$X$2:$X$495&gt;=4))*ROW('CASE MASTER'!$T$2:$T$495))-(ROW('CASE MASTER'!#REF!)-1)))+1)+(4-INDEX('CASE MASTER'!$V$2:$V$495,(SUMPRODUCT((('CASE MASTER'!$T$2:$T$495=11)*('CASE MASTER'!$U$2:$U$495&lt;=5)*('CASE MASTER'!$W$2:$W$495&gt;=5)*('CASE MASTER'!$V$2:$V$495&lt;=4)*('CASE MASTER'!$X$2:$X$495&gt;=4))*ROW('CASE MASTER'!$T$2:$T$495))-(ROW('CASE MASTER'!#REF!)-1))))+1))-1)*50+1,50))&amp;"_"&amp;INDEX('CASE MASTER'!$Q$2:$Q$495,(SUMPRODUCT((('CASE MASTER'!$T$2:$T$495=11)*('CASE MASTER'!$U$2:$U$495&lt;=5)*('CASE MASTER'!$W$2:$W$495&gt;=5)*('CASE MASTER'!$V$2:$V$495&lt;=4)*('CASE MASTER'!$X$2:$X$495&gt;=4))*ROW('CASE MASTER'!$T$2:$T$495))-(ROW('CASE MASTER'!#REF!)-1))),IF(SUMPRODUCT((('CASE MASTER'!$T$2:$T$495=11)*('CASE MASTER'!$AA$2:$AA$495&lt;=5)*('CASE MASTER'!$AC$2:$AC$495&gt;=5)*('CASE MASTER'!$AB$2:$AB$495&lt;=4)*('CASE MASTER'!$AD$2:$AD$495&gt;=4))*ROW('CASE MASTER'!$T$2:$T$495))&gt;0,INDEX('CASE MASTER'!$Y$2:$Y$495,(SUMPRODUCT((('CASE MASTER'!$T$2:$T$495=11)*('CASE MASTER'!$AA$2:$AA$495&lt;=5)*('CASE MASTER'!$AC$2:$AC$495&gt;=5)*('CASE MASTER'!$AB$2:$AB$495&lt;=4)*('CASE MASTER'!$AD$2:$AD$495&gt;=4))*ROW('CASE MASTER'!$T$2:$T$495))-(ROW('CASE MASTER'!#REF!)-1)))&amp;TRIM(MID(SUBSTITUTE(SUBSTITUTE(INDEX('CASE MASTER'!$N$2:$N$495,(SUMPRODUCT((('CASE MASTER'!$T$2:$T$495=11)*('CASE MASTER'!$AA$2:$AA$495&lt;=5)*('CASE MASTER'!$AC$2:$AC$495&gt;=5)*('CASE MASTER'!$AB$2:$AB$495&lt;=4)*('CASE MASTER'!$AD$2:$AD$495&gt;=4))*ROW('CASE MASTER'!$T$2:$T$495))-(ROW('CASE MASTER'!#REF!)-1))),":",","),",",REPT(" ",50)),(((INDEX('CASE MASTER'!$Z$2:$Z$495,(SUMPRODUCT((('CASE MASTER'!$T$2:$T$495=11)*('CASE MASTER'!$AA$2:$AA$495&lt;=5)*('CASE MASTER'!$AC$2:$AC$495&gt;=5)*('CASE MASTER'!$AB$2:$AB$495&lt;=4)*('CASE MASTER'!$AD$2:$AD$495&gt;=4))*ROW('CASE MASTER'!$T$2:$T$495))-(ROW('CASE MASTER'!#REF!)-1)))+((5-INDEX('CASE MASTER'!$AA$2:$AA$495,(SUMPRODUCT((('CASE MASTER'!$T$2:$T$495=11)*('CASE MASTER'!$AA$2:$AA$495&lt;=5)*('CASE MASTER'!$AC$2:$AC$495&gt;=5)*('CASE MASTER'!$AB$2:$AB$495&lt;=4)*('CASE MASTER'!$AD$2:$AD$495&gt;=4))*ROW('CASE MASTER'!$T$2:$T$495))-(ROW('CASE MASTER'!#REF!)-1))))*(INDEX('CASE MASTER'!$AD$2:$AD$495,(SUMPRODUCT((('CASE MASTER'!$T$2:$T$495=11)*('CASE MASTER'!$AA$2:$AA$495&lt;=5)*('CASE MASTER'!$AC$2:$AC$495&gt;=5)*('CASE MASTER'!$AB$2:$AB$495&lt;=4)*('CASE MASTER'!$AD$2:$AD$495&gt;=4))*ROW('CASE MASTER'!$T$2:$T$495))-(ROW('CASE MASTER'!#REF!)-1)))-INDEX('CASE MASTER'!$AB$2:$AB$495,(SUMPRODUCT((('CASE MASTER'!$T$2:$T$495=11)*('CASE MASTER'!$AA$2:$AA$495&lt;=5)*('CASE MASTER'!$AC$2:$AC$495&gt;=5)*('CASE MASTER'!$AB$2:$AB$495&lt;=4)*('CASE MASTER'!$AD$2:$AD$495&gt;=4))*ROW('CASE MASTER'!$T$2:$T$495))-(ROW('CASE MASTER'!#REF!)-1)))+1)+(4-INDEX('CASE MASTER'!$AB$2:$AB$495,(SUMPRODUCT((('CASE MASTER'!$T$2:$T$495=11)*('CASE MASTER'!$AA$2:$AA$495&lt;=5)*('CASE MASTER'!$AC$2:$AC$495&gt;=5)*('CASE MASTER'!$AB$2:$AB$495&lt;=4)*('CASE MASTER'!$AD$2:$AD$495&gt;=4))*ROW('CASE MASTER'!$T$2:$T$495))-(ROW('CASE MASTER'!#REF!)-1))))+1)))-1)*50+1,50))&amp;"_"&amp;INDEX('CASE MASTER'!$Q$2:$Q$495,(SUMPRODUCT((('CASE MASTER'!$T$2:$T$495=11)*('CASE MASTER'!$AA$2:$AA$495&lt;=5)*('CASE MASTER'!$AC$2:$AC$495&gt;=5)*('CASE MASTER'!$AB$2:$AB$495&lt;=4)*('CASE MASTER'!$AD$2:$AD$495&gt;=4))*ROW('CASE MASTER'!$T$2:$T$495))-(ROW('CASE MASTER'!#REF!)-1))),"")),"")</f>
        <v/>
      </c>
      <c r="F147" s="10" t="str">
        <f>IFERROR(IF(SUMPRODUCT((('CASE MASTER'!$T$2:$T$495=11)*('CASE MASTER'!$U$2:$U$495&lt;=5)*('CASE MASTER'!$W$2:$W$495&gt;=5)*('CASE MASTER'!$V$2:$V$495&lt;=5)*('CASE MASTER'!$X$2:$X$495&gt;=5))*ROW('CASE MASTER'!$T$2:$T$495))&gt;0,INDEX('CASE MASTER'!$Y$2:$Y$495,(SUMPRODUCT((('CASE MASTER'!$T$2:$T$495=11)*('CASE MASTER'!$U$2:$U$495&lt;=5)*('CASE MASTER'!$W$2:$W$495&gt;=5)*('CASE MASTER'!$V$2:$V$495&lt;=5)*('CASE MASTER'!$X$2:$X$495&gt;=5))*ROW('CASE MASTER'!$T$2:$T$495))-(ROW('CASE MASTER'!#REF!)-1)))&amp;TRIM(MID(SUBSTITUTE(SUBSTITUTE(INDEX('CASE MASTER'!$N$2:$N$495,(SUMPRODUCT((('CASE MASTER'!$T$2:$T$495=11)*('CASE MASTER'!$U$2:$U$495&lt;=5)*('CASE MASTER'!$W$2:$W$495&gt;=5)*('CASE MASTER'!$V$2:$V$495&lt;=5)*('CASE MASTER'!$X$2:$X$495&gt;=5))*ROW('CASE MASTER'!$T$2:$T$495))-(ROW('CASE MASTER'!#REF!)-1))),":",","),",",REPT(" ",50)),((((5-INDEX('CASE MASTER'!$U$2:$U$495,(SUMPRODUCT((('CASE MASTER'!$T$2:$T$495=11)*('CASE MASTER'!$U$2:$U$495&lt;=5)*('CASE MASTER'!$W$2:$W$495&gt;=5)*('CASE MASTER'!$V$2:$V$495&lt;=5)*('CASE MASTER'!$X$2:$X$495&gt;=5))*ROW('CASE MASTER'!$T$2:$T$495))-(ROW('CASE MASTER'!#REF!)-1))))*(INDEX('CASE MASTER'!$X$2:$X$495,(SUMPRODUCT((('CASE MASTER'!$T$2:$T$495=11)*('CASE MASTER'!$U$2:$U$495&lt;=5)*('CASE MASTER'!$W$2:$W$495&gt;=5)*('CASE MASTER'!$V$2:$V$495&lt;=5)*('CASE MASTER'!$X$2:$X$495&gt;=5))*ROW('CASE MASTER'!$T$2:$T$495))-(ROW('CASE MASTER'!#REF!)-1)))-INDEX('CASE MASTER'!$V$2:$V$495,(SUMPRODUCT((('CASE MASTER'!$T$2:$T$495=11)*('CASE MASTER'!$U$2:$U$495&lt;=5)*('CASE MASTER'!$W$2:$W$495&gt;=5)*('CASE MASTER'!$V$2:$V$495&lt;=5)*('CASE MASTER'!$X$2:$X$495&gt;=5))*ROW('CASE MASTER'!$T$2:$T$495))-(ROW('CASE MASTER'!#REF!)-1)))+1)+(5-INDEX('CASE MASTER'!$V$2:$V$495,(SUMPRODUCT((('CASE MASTER'!$T$2:$T$495=11)*('CASE MASTER'!$U$2:$U$495&lt;=5)*('CASE MASTER'!$W$2:$W$495&gt;=5)*('CASE MASTER'!$V$2:$V$495&lt;=5)*('CASE MASTER'!$X$2:$X$495&gt;=5))*ROW('CASE MASTER'!$T$2:$T$495))-(ROW('CASE MASTER'!#REF!)-1))))+1))-1)*50+1,50))&amp;"_"&amp;INDEX('CASE MASTER'!$Q$2:$Q$495,(SUMPRODUCT((('CASE MASTER'!$T$2:$T$495=11)*('CASE MASTER'!$U$2:$U$495&lt;=5)*('CASE MASTER'!$W$2:$W$495&gt;=5)*('CASE MASTER'!$V$2:$V$495&lt;=5)*('CASE MASTER'!$X$2:$X$495&gt;=5))*ROW('CASE MASTER'!$T$2:$T$495))-(ROW('CASE MASTER'!#REF!)-1))),IF(SUMPRODUCT((('CASE MASTER'!$T$2:$T$495=11)*('CASE MASTER'!$AA$2:$AA$495&lt;=5)*('CASE MASTER'!$AC$2:$AC$495&gt;=5)*('CASE MASTER'!$AB$2:$AB$495&lt;=5)*('CASE MASTER'!$AD$2:$AD$495&gt;=5))*ROW('CASE MASTER'!$T$2:$T$495))&gt;0,INDEX('CASE MASTER'!$Y$2:$Y$495,(SUMPRODUCT((('CASE MASTER'!$T$2:$T$495=11)*('CASE MASTER'!$AA$2:$AA$495&lt;=5)*('CASE MASTER'!$AC$2:$AC$495&gt;=5)*('CASE MASTER'!$AB$2:$AB$495&lt;=5)*('CASE MASTER'!$AD$2:$AD$495&gt;=5))*ROW('CASE MASTER'!$T$2:$T$495))-(ROW('CASE MASTER'!#REF!)-1)))&amp;TRIM(MID(SUBSTITUTE(SUBSTITUTE(INDEX('CASE MASTER'!$N$2:$N$495,(SUMPRODUCT((('CASE MASTER'!$T$2:$T$495=11)*('CASE MASTER'!$AA$2:$AA$495&lt;=5)*('CASE MASTER'!$AC$2:$AC$495&gt;=5)*('CASE MASTER'!$AB$2:$AB$495&lt;=5)*('CASE MASTER'!$AD$2:$AD$495&gt;=5))*ROW('CASE MASTER'!$T$2:$T$495))-(ROW('CASE MASTER'!#REF!)-1))),":",","),",",REPT(" ",50)),(((INDEX('CASE MASTER'!$Z$2:$Z$495,(SUMPRODUCT((('CASE MASTER'!$T$2:$T$495=11)*('CASE MASTER'!$AA$2:$AA$495&lt;=5)*('CASE MASTER'!$AC$2:$AC$495&gt;=5)*('CASE MASTER'!$AB$2:$AB$495&lt;=5)*('CASE MASTER'!$AD$2:$AD$495&gt;=5))*ROW('CASE MASTER'!$T$2:$T$495))-(ROW('CASE MASTER'!#REF!)-1)))+((5-INDEX('CASE MASTER'!$AA$2:$AA$495,(SUMPRODUCT((('CASE MASTER'!$T$2:$T$495=11)*('CASE MASTER'!$AA$2:$AA$495&lt;=5)*('CASE MASTER'!$AC$2:$AC$495&gt;=5)*('CASE MASTER'!$AB$2:$AB$495&lt;=5)*('CASE MASTER'!$AD$2:$AD$495&gt;=5))*ROW('CASE MASTER'!$T$2:$T$495))-(ROW('CASE MASTER'!#REF!)-1))))*(INDEX('CASE MASTER'!$AD$2:$AD$495,(SUMPRODUCT((('CASE MASTER'!$T$2:$T$495=11)*('CASE MASTER'!$AA$2:$AA$495&lt;=5)*('CASE MASTER'!$AC$2:$AC$495&gt;=5)*('CASE MASTER'!$AB$2:$AB$495&lt;=5)*('CASE MASTER'!$AD$2:$AD$495&gt;=5))*ROW('CASE MASTER'!$T$2:$T$495))-(ROW('CASE MASTER'!#REF!)-1)))-INDEX('CASE MASTER'!$AB$2:$AB$495,(SUMPRODUCT((('CASE MASTER'!$T$2:$T$495=11)*('CASE MASTER'!$AA$2:$AA$495&lt;=5)*('CASE MASTER'!$AC$2:$AC$495&gt;=5)*('CASE MASTER'!$AB$2:$AB$495&lt;=5)*('CASE MASTER'!$AD$2:$AD$495&gt;=5))*ROW('CASE MASTER'!$T$2:$T$495))-(ROW('CASE MASTER'!#REF!)-1)))+1)+(5-INDEX('CASE MASTER'!$AB$2:$AB$495,(SUMPRODUCT((('CASE MASTER'!$T$2:$T$495=11)*('CASE MASTER'!$AA$2:$AA$495&lt;=5)*('CASE MASTER'!$AC$2:$AC$495&gt;=5)*('CASE MASTER'!$AB$2:$AB$495&lt;=5)*('CASE MASTER'!$AD$2:$AD$495&gt;=5))*ROW('CASE MASTER'!$T$2:$T$495))-(ROW('CASE MASTER'!#REF!)-1))))+1)))-1)*50+1,50))&amp;"_"&amp;INDEX('CASE MASTER'!$Q$2:$Q$495,(SUMPRODUCT((('CASE MASTER'!$T$2:$T$495=11)*('CASE MASTER'!$AA$2:$AA$495&lt;=5)*('CASE MASTER'!$AC$2:$AC$495&gt;=5)*('CASE MASTER'!$AB$2:$AB$495&lt;=5)*('CASE MASTER'!$AD$2:$AD$495&gt;=5))*ROW('CASE MASTER'!$T$2:$T$495))-(ROW('CASE MASTER'!#REF!)-1))),"")),"")</f>
        <v/>
      </c>
      <c r="G147" s="10" t="str">
        <f>IFERROR(IF(SUMPRODUCT((('CASE MASTER'!$T$2:$T$495=11)*('CASE MASTER'!$U$2:$U$495&lt;=5)*('CASE MASTER'!$W$2:$W$495&gt;=5)*('CASE MASTER'!$V$2:$V$495&lt;=6)*('CASE MASTER'!$X$2:$X$495&gt;=6))*ROW('CASE MASTER'!$T$2:$T$495))&gt;0,INDEX('CASE MASTER'!$Y$2:$Y$495,(SUMPRODUCT((('CASE MASTER'!$T$2:$T$495=11)*('CASE MASTER'!$U$2:$U$495&lt;=5)*('CASE MASTER'!$W$2:$W$495&gt;=5)*('CASE MASTER'!$V$2:$V$495&lt;=6)*('CASE MASTER'!$X$2:$X$495&gt;=6))*ROW('CASE MASTER'!$T$2:$T$495))-(ROW('CASE MASTER'!#REF!)-1)))&amp;TRIM(MID(SUBSTITUTE(SUBSTITUTE(INDEX('CASE MASTER'!$N$2:$N$495,(SUMPRODUCT((('CASE MASTER'!$T$2:$T$495=11)*('CASE MASTER'!$U$2:$U$495&lt;=5)*('CASE MASTER'!$W$2:$W$495&gt;=5)*('CASE MASTER'!$V$2:$V$495&lt;=6)*('CASE MASTER'!$X$2:$X$495&gt;=6))*ROW('CASE MASTER'!$T$2:$T$495))-(ROW('CASE MASTER'!#REF!)-1))),":",","),",",REPT(" ",50)),((((5-INDEX('CASE MASTER'!$U$2:$U$495,(SUMPRODUCT((('CASE MASTER'!$T$2:$T$495=11)*('CASE MASTER'!$U$2:$U$495&lt;=5)*('CASE MASTER'!$W$2:$W$495&gt;=5)*('CASE MASTER'!$V$2:$V$495&lt;=6)*('CASE MASTER'!$X$2:$X$495&gt;=6))*ROW('CASE MASTER'!$T$2:$T$495))-(ROW('CASE MASTER'!#REF!)-1))))*(INDEX('CASE MASTER'!$X$2:$X$495,(SUMPRODUCT((('CASE MASTER'!$T$2:$T$495=11)*('CASE MASTER'!$U$2:$U$495&lt;=5)*('CASE MASTER'!$W$2:$W$495&gt;=5)*('CASE MASTER'!$V$2:$V$495&lt;=6)*('CASE MASTER'!$X$2:$X$495&gt;=6))*ROW('CASE MASTER'!$T$2:$T$495))-(ROW('CASE MASTER'!#REF!)-1)))-INDEX('CASE MASTER'!$V$2:$V$495,(SUMPRODUCT((('CASE MASTER'!$T$2:$T$495=11)*('CASE MASTER'!$U$2:$U$495&lt;=5)*('CASE MASTER'!$W$2:$W$495&gt;=5)*('CASE MASTER'!$V$2:$V$495&lt;=6)*('CASE MASTER'!$X$2:$X$495&gt;=6))*ROW('CASE MASTER'!$T$2:$T$495))-(ROW('CASE MASTER'!#REF!)-1)))+1)+(6-INDEX('CASE MASTER'!$V$2:$V$495,(SUMPRODUCT((('CASE MASTER'!$T$2:$T$495=11)*('CASE MASTER'!$U$2:$U$495&lt;=5)*('CASE MASTER'!$W$2:$W$495&gt;=5)*('CASE MASTER'!$V$2:$V$495&lt;=6)*('CASE MASTER'!$X$2:$X$495&gt;=6))*ROW('CASE MASTER'!$T$2:$T$495))-(ROW('CASE MASTER'!#REF!)-1))))+1))-1)*50+1,50))&amp;"_"&amp;INDEX('CASE MASTER'!$Q$2:$Q$495,(SUMPRODUCT((('CASE MASTER'!$T$2:$T$495=11)*('CASE MASTER'!$U$2:$U$495&lt;=5)*('CASE MASTER'!$W$2:$W$495&gt;=5)*('CASE MASTER'!$V$2:$V$495&lt;=6)*('CASE MASTER'!$X$2:$X$495&gt;=6))*ROW('CASE MASTER'!$T$2:$T$495))-(ROW('CASE MASTER'!#REF!)-1))),IF(SUMPRODUCT((('CASE MASTER'!$T$2:$T$495=11)*('CASE MASTER'!$AA$2:$AA$495&lt;=5)*('CASE MASTER'!$AC$2:$AC$495&gt;=5)*('CASE MASTER'!$AB$2:$AB$495&lt;=6)*('CASE MASTER'!$AD$2:$AD$495&gt;=6))*ROW('CASE MASTER'!$T$2:$T$495))&gt;0,INDEX('CASE MASTER'!$Y$2:$Y$495,(SUMPRODUCT((('CASE MASTER'!$T$2:$T$495=11)*('CASE MASTER'!$AA$2:$AA$495&lt;=5)*('CASE MASTER'!$AC$2:$AC$495&gt;=5)*('CASE MASTER'!$AB$2:$AB$495&lt;=6)*('CASE MASTER'!$AD$2:$AD$495&gt;=6))*ROW('CASE MASTER'!$T$2:$T$495))-(ROW('CASE MASTER'!#REF!)-1)))&amp;TRIM(MID(SUBSTITUTE(SUBSTITUTE(INDEX('CASE MASTER'!$N$2:$N$495,(SUMPRODUCT((('CASE MASTER'!$T$2:$T$495=11)*('CASE MASTER'!$AA$2:$AA$495&lt;=5)*('CASE MASTER'!$AC$2:$AC$495&gt;=5)*('CASE MASTER'!$AB$2:$AB$495&lt;=6)*('CASE MASTER'!$AD$2:$AD$495&gt;=6))*ROW('CASE MASTER'!$T$2:$T$495))-(ROW('CASE MASTER'!#REF!)-1))),":",","),",",REPT(" ",50)),(((INDEX('CASE MASTER'!$Z$2:$Z$495,(SUMPRODUCT((('CASE MASTER'!$T$2:$T$495=11)*('CASE MASTER'!$AA$2:$AA$495&lt;=5)*('CASE MASTER'!$AC$2:$AC$495&gt;=5)*('CASE MASTER'!$AB$2:$AB$495&lt;=6)*('CASE MASTER'!$AD$2:$AD$495&gt;=6))*ROW('CASE MASTER'!$T$2:$T$495))-(ROW('CASE MASTER'!#REF!)-1)))+((5-INDEX('CASE MASTER'!$AA$2:$AA$495,(SUMPRODUCT((('CASE MASTER'!$T$2:$T$495=11)*('CASE MASTER'!$AA$2:$AA$495&lt;=5)*('CASE MASTER'!$AC$2:$AC$495&gt;=5)*('CASE MASTER'!$AB$2:$AB$495&lt;=6)*('CASE MASTER'!$AD$2:$AD$495&gt;=6))*ROW('CASE MASTER'!$T$2:$T$495))-(ROW('CASE MASTER'!#REF!)-1))))*(INDEX('CASE MASTER'!$AD$2:$AD$495,(SUMPRODUCT((('CASE MASTER'!$T$2:$T$495=11)*('CASE MASTER'!$AA$2:$AA$495&lt;=5)*('CASE MASTER'!$AC$2:$AC$495&gt;=5)*('CASE MASTER'!$AB$2:$AB$495&lt;=6)*('CASE MASTER'!$AD$2:$AD$495&gt;=6))*ROW('CASE MASTER'!$T$2:$T$495))-(ROW('CASE MASTER'!#REF!)-1)))-INDEX('CASE MASTER'!$AB$2:$AB$495,(SUMPRODUCT((('CASE MASTER'!$T$2:$T$495=11)*('CASE MASTER'!$AA$2:$AA$495&lt;=5)*('CASE MASTER'!$AC$2:$AC$495&gt;=5)*('CASE MASTER'!$AB$2:$AB$495&lt;=6)*('CASE MASTER'!$AD$2:$AD$495&gt;=6))*ROW('CASE MASTER'!$T$2:$T$495))-(ROW('CASE MASTER'!#REF!)-1)))+1)+(6-INDEX('CASE MASTER'!$AB$2:$AB$495,(SUMPRODUCT((('CASE MASTER'!$T$2:$T$495=11)*('CASE MASTER'!$AA$2:$AA$495&lt;=5)*('CASE MASTER'!$AC$2:$AC$495&gt;=5)*('CASE MASTER'!$AB$2:$AB$495&lt;=6)*('CASE MASTER'!$AD$2:$AD$495&gt;=6))*ROW('CASE MASTER'!$T$2:$T$495))-(ROW('CASE MASTER'!#REF!)-1))))+1)))-1)*50+1,50))&amp;"_"&amp;INDEX('CASE MASTER'!$Q$2:$Q$495,(SUMPRODUCT((('CASE MASTER'!$T$2:$T$495=11)*('CASE MASTER'!$AA$2:$AA$495&lt;=5)*('CASE MASTER'!$AC$2:$AC$495&gt;=5)*('CASE MASTER'!$AB$2:$AB$495&lt;=6)*('CASE MASTER'!$AD$2:$AD$495&gt;=6))*ROW('CASE MASTER'!$T$2:$T$495))-(ROW('CASE MASTER'!#REF!)-1))),"")),"")</f>
        <v/>
      </c>
      <c r="H147" s="10" t="str">
        <f>IFERROR(IF(SUMPRODUCT((('CASE MASTER'!$T$2:$T$495=11)*('CASE MASTER'!$U$2:$U$495&lt;=5)*('CASE MASTER'!$W$2:$W$495&gt;=5)*('CASE MASTER'!$V$2:$V$495&lt;=7)*('CASE MASTER'!$X$2:$X$495&gt;=7))*ROW('CASE MASTER'!$T$2:$T$495))&gt;0,INDEX('CASE MASTER'!$Y$2:$Y$495,(SUMPRODUCT((('CASE MASTER'!$T$2:$T$495=11)*('CASE MASTER'!$U$2:$U$495&lt;=5)*('CASE MASTER'!$W$2:$W$495&gt;=5)*('CASE MASTER'!$V$2:$V$495&lt;=7)*('CASE MASTER'!$X$2:$X$495&gt;=7))*ROW('CASE MASTER'!$T$2:$T$495))-(ROW('CASE MASTER'!#REF!)-1)))&amp;TRIM(MID(SUBSTITUTE(SUBSTITUTE(INDEX('CASE MASTER'!$N$2:$N$495,(SUMPRODUCT((('CASE MASTER'!$T$2:$T$495=11)*('CASE MASTER'!$U$2:$U$495&lt;=5)*('CASE MASTER'!$W$2:$W$495&gt;=5)*('CASE MASTER'!$V$2:$V$495&lt;=7)*('CASE MASTER'!$X$2:$X$495&gt;=7))*ROW('CASE MASTER'!$T$2:$T$495))-(ROW('CASE MASTER'!#REF!)-1))),":",","),",",REPT(" ",50)),((((5-INDEX('CASE MASTER'!$U$2:$U$495,(SUMPRODUCT((('CASE MASTER'!$T$2:$T$495=11)*('CASE MASTER'!$U$2:$U$495&lt;=5)*('CASE MASTER'!$W$2:$W$495&gt;=5)*('CASE MASTER'!$V$2:$V$495&lt;=7)*('CASE MASTER'!$X$2:$X$495&gt;=7))*ROW('CASE MASTER'!$T$2:$T$495))-(ROW('CASE MASTER'!#REF!)-1))))*(INDEX('CASE MASTER'!$X$2:$X$495,(SUMPRODUCT((('CASE MASTER'!$T$2:$T$495=11)*('CASE MASTER'!$U$2:$U$495&lt;=5)*('CASE MASTER'!$W$2:$W$495&gt;=5)*('CASE MASTER'!$V$2:$V$495&lt;=7)*('CASE MASTER'!$X$2:$X$495&gt;=7))*ROW('CASE MASTER'!$T$2:$T$495))-(ROW('CASE MASTER'!#REF!)-1)))-INDEX('CASE MASTER'!$V$2:$V$495,(SUMPRODUCT((('CASE MASTER'!$T$2:$T$495=11)*('CASE MASTER'!$U$2:$U$495&lt;=5)*('CASE MASTER'!$W$2:$W$495&gt;=5)*('CASE MASTER'!$V$2:$V$495&lt;=7)*('CASE MASTER'!$X$2:$X$495&gt;=7))*ROW('CASE MASTER'!$T$2:$T$495))-(ROW('CASE MASTER'!#REF!)-1)))+1)+(7-INDEX('CASE MASTER'!$V$2:$V$495,(SUMPRODUCT((('CASE MASTER'!$T$2:$T$495=11)*('CASE MASTER'!$U$2:$U$495&lt;=5)*('CASE MASTER'!$W$2:$W$495&gt;=5)*('CASE MASTER'!$V$2:$V$495&lt;=7)*('CASE MASTER'!$X$2:$X$495&gt;=7))*ROW('CASE MASTER'!$T$2:$T$495))-(ROW('CASE MASTER'!#REF!)-1))))+1))-1)*50+1,50))&amp;"_"&amp;INDEX('CASE MASTER'!$Q$2:$Q$495,(SUMPRODUCT((('CASE MASTER'!$T$2:$T$495=11)*('CASE MASTER'!$U$2:$U$495&lt;=5)*('CASE MASTER'!$W$2:$W$495&gt;=5)*('CASE MASTER'!$V$2:$V$495&lt;=7)*('CASE MASTER'!$X$2:$X$495&gt;=7))*ROW('CASE MASTER'!$T$2:$T$495))-(ROW('CASE MASTER'!#REF!)-1))),IF(SUMPRODUCT((('CASE MASTER'!$T$2:$T$495=11)*('CASE MASTER'!$AA$2:$AA$495&lt;=5)*('CASE MASTER'!$AC$2:$AC$495&gt;=5)*('CASE MASTER'!$AB$2:$AB$495&lt;=7)*('CASE MASTER'!$AD$2:$AD$495&gt;=7))*ROW('CASE MASTER'!$T$2:$T$495))&gt;0,INDEX('CASE MASTER'!$Y$2:$Y$495,(SUMPRODUCT((('CASE MASTER'!$T$2:$T$495=11)*('CASE MASTER'!$AA$2:$AA$495&lt;=5)*('CASE MASTER'!$AC$2:$AC$495&gt;=5)*('CASE MASTER'!$AB$2:$AB$495&lt;=7)*('CASE MASTER'!$AD$2:$AD$495&gt;=7))*ROW('CASE MASTER'!$T$2:$T$495))-(ROW('CASE MASTER'!#REF!)-1)))&amp;TRIM(MID(SUBSTITUTE(SUBSTITUTE(INDEX('CASE MASTER'!$N$2:$N$495,(SUMPRODUCT((('CASE MASTER'!$T$2:$T$495=11)*('CASE MASTER'!$AA$2:$AA$495&lt;=5)*('CASE MASTER'!$AC$2:$AC$495&gt;=5)*('CASE MASTER'!$AB$2:$AB$495&lt;=7)*('CASE MASTER'!$AD$2:$AD$495&gt;=7))*ROW('CASE MASTER'!$T$2:$T$495))-(ROW('CASE MASTER'!#REF!)-1))),":",","),",",REPT(" ",50)),(((INDEX('CASE MASTER'!$Z$2:$Z$495,(SUMPRODUCT((('CASE MASTER'!$T$2:$T$495=11)*('CASE MASTER'!$AA$2:$AA$495&lt;=5)*('CASE MASTER'!$AC$2:$AC$495&gt;=5)*('CASE MASTER'!$AB$2:$AB$495&lt;=7)*('CASE MASTER'!$AD$2:$AD$495&gt;=7))*ROW('CASE MASTER'!$T$2:$T$495))-(ROW('CASE MASTER'!#REF!)-1)))+((5-INDEX('CASE MASTER'!$AA$2:$AA$495,(SUMPRODUCT((('CASE MASTER'!$T$2:$T$495=11)*('CASE MASTER'!$AA$2:$AA$495&lt;=5)*('CASE MASTER'!$AC$2:$AC$495&gt;=5)*('CASE MASTER'!$AB$2:$AB$495&lt;=7)*('CASE MASTER'!$AD$2:$AD$495&gt;=7))*ROW('CASE MASTER'!$T$2:$T$495))-(ROW('CASE MASTER'!#REF!)-1))))*(INDEX('CASE MASTER'!$AD$2:$AD$495,(SUMPRODUCT((('CASE MASTER'!$T$2:$T$495=11)*('CASE MASTER'!$AA$2:$AA$495&lt;=5)*('CASE MASTER'!$AC$2:$AC$495&gt;=5)*('CASE MASTER'!$AB$2:$AB$495&lt;=7)*('CASE MASTER'!$AD$2:$AD$495&gt;=7))*ROW('CASE MASTER'!$T$2:$T$495))-(ROW('CASE MASTER'!#REF!)-1)))-INDEX('CASE MASTER'!$AB$2:$AB$495,(SUMPRODUCT((('CASE MASTER'!$T$2:$T$495=11)*('CASE MASTER'!$AA$2:$AA$495&lt;=5)*('CASE MASTER'!$AC$2:$AC$495&gt;=5)*('CASE MASTER'!$AB$2:$AB$495&lt;=7)*('CASE MASTER'!$AD$2:$AD$495&gt;=7))*ROW('CASE MASTER'!$T$2:$T$495))-(ROW('CASE MASTER'!#REF!)-1)))+1)+(7-INDEX('CASE MASTER'!$AB$2:$AB$495,(SUMPRODUCT((('CASE MASTER'!$T$2:$T$495=11)*('CASE MASTER'!$AA$2:$AA$495&lt;=5)*('CASE MASTER'!$AC$2:$AC$495&gt;=5)*('CASE MASTER'!$AB$2:$AB$495&lt;=7)*('CASE MASTER'!$AD$2:$AD$495&gt;=7))*ROW('CASE MASTER'!$T$2:$T$495))-(ROW('CASE MASTER'!#REF!)-1))))+1)))-1)*50+1,50))&amp;"_"&amp;INDEX('CASE MASTER'!$Q$2:$Q$495,(SUMPRODUCT((('CASE MASTER'!$T$2:$T$495=11)*('CASE MASTER'!$AA$2:$AA$495&lt;=5)*('CASE MASTER'!$AC$2:$AC$495&gt;=5)*('CASE MASTER'!$AB$2:$AB$495&lt;=7)*('CASE MASTER'!$AD$2:$AD$495&gt;=7))*ROW('CASE MASTER'!$T$2:$T$495))-(ROW('CASE MASTER'!#REF!)-1))),"")),"")</f>
        <v/>
      </c>
      <c r="I147" s="10" t="str">
        <f>IFERROR(IF(SUMPRODUCT((('CASE MASTER'!$T$2:$T$495=11)*('CASE MASTER'!$U$2:$U$495&lt;=5)*('CASE MASTER'!$W$2:$W$495&gt;=5)*('CASE MASTER'!$V$2:$V$495&lt;=8)*('CASE MASTER'!$X$2:$X$495&gt;=8))*ROW('CASE MASTER'!$T$2:$T$495))&gt;0,INDEX('CASE MASTER'!$Y$2:$Y$495,(SUMPRODUCT((('CASE MASTER'!$T$2:$T$495=11)*('CASE MASTER'!$U$2:$U$495&lt;=5)*('CASE MASTER'!$W$2:$W$495&gt;=5)*('CASE MASTER'!$V$2:$V$495&lt;=8)*('CASE MASTER'!$X$2:$X$495&gt;=8))*ROW('CASE MASTER'!$T$2:$T$495))-(ROW('CASE MASTER'!#REF!)-1)))&amp;TRIM(MID(SUBSTITUTE(SUBSTITUTE(INDEX('CASE MASTER'!$N$2:$N$495,(SUMPRODUCT((('CASE MASTER'!$T$2:$T$495=11)*('CASE MASTER'!$U$2:$U$495&lt;=5)*('CASE MASTER'!$W$2:$W$495&gt;=5)*('CASE MASTER'!$V$2:$V$495&lt;=8)*('CASE MASTER'!$X$2:$X$495&gt;=8))*ROW('CASE MASTER'!$T$2:$T$495))-(ROW('CASE MASTER'!#REF!)-1))),":",","),",",REPT(" ",50)),((((5-INDEX('CASE MASTER'!$U$2:$U$495,(SUMPRODUCT((('CASE MASTER'!$T$2:$T$495=11)*('CASE MASTER'!$U$2:$U$495&lt;=5)*('CASE MASTER'!$W$2:$W$495&gt;=5)*('CASE MASTER'!$V$2:$V$495&lt;=8)*('CASE MASTER'!$X$2:$X$495&gt;=8))*ROW('CASE MASTER'!$T$2:$T$495))-(ROW('CASE MASTER'!#REF!)-1))))*(INDEX('CASE MASTER'!$X$2:$X$495,(SUMPRODUCT((('CASE MASTER'!$T$2:$T$495=11)*('CASE MASTER'!$U$2:$U$495&lt;=5)*('CASE MASTER'!$W$2:$W$495&gt;=5)*('CASE MASTER'!$V$2:$V$495&lt;=8)*('CASE MASTER'!$X$2:$X$495&gt;=8))*ROW('CASE MASTER'!$T$2:$T$495))-(ROW('CASE MASTER'!#REF!)-1)))-INDEX('CASE MASTER'!$V$2:$V$495,(SUMPRODUCT((('CASE MASTER'!$T$2:$T$495=11)*('CASE MASTER'!$U$2:$U$495&lt;=5)*('CASE MASTER'!$W$2:$W$495&gt;=5)*('CASE MASTER'!$V$2:$V$495&lt;=8)*('CASE MASTER'!$X$2:$X$495&gt;=8))*ROW('CASE MASTER'!$T$2:$T$495))-(ROW('CASE MASTER'!#REF!)-1)))+1)+(8-INDEX('CASE MASTER'!$V$2:$V$495,(SUMPRODUCT((('CASE MASTER'!$T$2:$T$495=11)*('CASE MASTER'!$U$2:$U$495&lt;=5)*('CASE MASTER'!$W$2:$W$495&gt;=5)*('CASE MASTER'!$V$2:$V$495&lt;=8)*('CASE MASTER'!$X$2:$X$495&gt;=8))*ROW('CASE MASTER'!$T$2:$T$495))-(ROW('CASE MASTER'!#REF!)-1))))+1))-1)*50+1,50))&amp;"_"&amp;INDEX('CASE MASTER'!$Q$2:$Q$495,(SUMPRODUCT((('CASE MASTER'!$T$2:$T$495=11)*('CASE MASTER'!$U$2:$U$495&lt;=5)*('CASE MASTER'!$W$2:$W$495&gt;=5)*('CASE MASTER'!$V$2:$V$495&lt;=8)*('CASE MASTER'!$X$2:$X$495&gt;=8))*ROW('CASE MASTER'!$T$2:$T$495))-(ROW('CASE MASTER'!#REF!)-1))),IF(SUMPRODUCT((('CASE MASTER'!$T$2:$T$495=11)*('CASE MASTER'!$AA$2:$AA$495&lt;=5)*('CASE MASTER'!$AC$2:$AC$495&gt;=5)*('CASE MASTER'!$AB$2:$AB$495&lt;=8)*('CASE MASTER'!$AD$2:$AD$495&gt;=8))*ROW('CASE MASTER'!$T$2:$T$495))&gt;0,INDEX('CASE MASTER'!$Y$2:$Y$495,(SUMPRODUCT((('CASE MASTER'!$T$2:$T$495=11)*('CASE MASTER'!$AA$2:$AA$495&lt;=5)*('CASE MASTER'!$AC$2:$AC$495&gt;=5)*('CASE MASTER'!$AB$2:$AB$495&lt;=8)*('CASE MASTER'!$AD$2:$AD$495&gt;=8))*ROW('CASE MASTER'!$T$2:$T$495))-(ROW('CASE MASTER'!#REF!)-1)))&amp;TRIM(MID(SUBSTITUTE(SUBSTITUTE(INDEX('CASE MASTER'!$N$2:$N$495,(SUMPRODUCT((('CASE MASTER'!$T$2:$T$495=11)*('CASE MASTER'!$AA$2:$AA$495&lt;=5)*('CASE MASTER'!$AC$2:$AC$495&gt;=5)*('CASE MASTER'!$AB$2:$AB$495&lt;=8)*('CASE MASTER'!$AD$2:$AD$495&gt;=8))*ROW('CASE MASTER'!$T$2:$T$495))-(ROW('CASE MASTER'!#REF!)-1))),":",","),",",REPT(" ",50)),(((INDEX('CASE MASTER'!$Z$2:$Z$495,(SUMPRODUCT((('CASE MASTER'!$T$2:$T$495=11)*('CASE MASTER'!$AA$2:$AA$495&lt;=5)*('CASE MASTER'!$AC$2:$AC$495&gt;=5)*('CASE MASTER'!$AB$2:$AB$495&lt;=8)*('CASE MASTER'!$AD$2:$AD$495&gt;=8))*ROW('CASE MASTER'!$T$2:$T$495))-(ROW('CASE MASTER'!#REF!)-1)))+((5-INDEX('CASE MASTER'!$AA$2:$AA$495,(SUMPRODUCT((('CASE MASTER'!$T$2:$T$495=11)*('CASE MASTER'!$AA$2:$AA$495&lt;=5)*('CASE MASTER'!$AC$2:$AC$495&gt;=5)*('CASE MASTER'!$AB$2:$AB$495&lt;=8)*('CASE MASTER'!$AD$2:$AD$495&gt;=8))*ROW('CASE MASTER'!$T$2:$T$495))-(ROW('CASE MASTER'!#REF!)-1))))*(INDEX('CASE MASTER'!$AD$2:$AD$495,(SUMPRODUCT((('CASE MASTER'!$T$2:$T$495=11)*('CASE MASTER'!$AA$2:$AA$495&lt;=5)*('CASE MASTER'!$AC$2:$AC$495&gt;=5)*('CASE MASTER'!$AB$2:$AB$495&lt;=8)*('CASE MASTER'!$AD$2:$AD$495&gt;=8))*ROW('CASE MASTER'!$T$2:$T$495))-(ROW('CASE MASTER'!#REF!)-1)))-INDEX('CASE MASTER'!$AB$2:$AB$495,(SUMPRODUCT((('CASE MASTER'!$T$2:$T$495=11)*('CASE MASTER'!$AA$2:$AA$495&lt;=5)*('CASE MASTER'!$AC$2:$AC$495&gt;=5)*('CASE MASTER'!$AB$2:$AB$495&lt;=8)*('CASE MASTER'!$AD$2:$AD$495&gt;=8))*ROW('CASE MASTER'!$T$2:$T$495))-(ROW('CASE MASTER'!#REF!)-1)))+1)+(8-INDEX('CASE MASTER'!$AB$2:$AB$495,(SUMPRODUCT((('CASE MASTER'!$T$2:$T$495=11)*('CASE MASTER'!$AA$2:$AA$495&lt;=5)*('CASE MASTER'!$AC$2:$AC$495&gt;=5)*('CASE MASTER'!$AB$2:$AB$495&lt;=8)*('CASE MASTER'!$AD$2:$AD$495&gt;=8))*ROW('CASE MASTER'!$T$2:$T$495))-(ROW('CASE MASTER'!#REF!)-1))))+1)))-1)*50+1,50))&amp;"_"&amp;INDEX('CASE MASTER'!$Q$2:$Q$495,(SUMPRODUCT((('CASE MASTER'!$T$2:$T$495=11)*('CASE MASTER'!$AA$2:$AA$495&lt;=5)*('CASE MASTER'!$AC$2:$AC$495&gt;=5)*('CASE MASTER'!$AB$2:$AB$495&lt;=8)*('CASE MASTER'!$AD$2:$AD$495&gt;=8))*ROW('CASE MASTER'!$T$2:$T$495))-(ROW('CASE MASTER'!#REF!)-1))),"")),"")</f>
        <v/>
      </c>
      <c r="J147" s="10" t="str">
        <f>IFERROR(IF(SUMPRODUCT((('CASE MASTER'!$T$2:$T$495=11)*('CASE MASTER'!$U$2:$U$495&lt;=5)*('CASE MASTER'!$W$2:$W$495&gt;=5)*('CASE MASTER'!$V$2:$V$495&lt;=9)*('CASE MASTER'!$X$2:$X$495&gt;=9))*ROW('CASE MASTER'!$T$2:$T$495))&gt;0,INDEX('CASE MASTER'!$Y$2:$Y$495,(SUMPRODUCT((('CASE MASTER'!$T$2:$T$495=11)*('CASE MASTER'!$U$2:$U$495&lt;=5)*('CASE MASTER'!$W$2:$W$495&gt;=5)*('CASE MASTER'!$V$2:$V$495&lt;=9)*('CASE MASTER'!$X$2:$X$495&gt;=9))*ROW('CASE MASTER'!$T$2:$T$495))-(ROW('CASE MASTER'!#REF!)-1)))&amp;TRIM(MID(SUBSTITUTE(SUBSTITUTE(INDEX('CASE MASTER'!$N$2:$N$495,(SUMPRODUCT((('CASE MASTER'!$T$2:$T$495=11)*('CASE MASTER'!$U$2:$U$495&lt;=5)*('CASE MASTER'!$W$2:$W$495&gt;=5)*('CASE MASTER'!$V$2:$V$495&lt;=9)*('CASE MASTER'!$X$2:$X$495&gt;=9))*ROW('CASE MASTER'!$T$2:$T$495))-(ROW('CASE MASTER'!#REF!)-1))),":",","),",",REPT(" ",50)),((((5-INDEX('CASE MASTER'!$U$2:$U$495,(SUMPRODUCT((('CASE MASTER'!$T$2:$T$495=11)*('CASE MASTER'!$U$2:$U$495&lt;=5)*('CASE MASTER'!$W$2:$W$495&gt;=5)*('CASE MASTER'!$V$2:$V$495&lt;=9)*('CASE MASTER'!$X$2:$X$495&gt;=9))*ROW('CASE MASTER'!$T$2:$T$495))-(ROW('CASE MASTER'!#REF!)-1))))*(INDEX('CASE MASTER'!$X$2:$X$495,(SUMPRODUCT((('CASE MASTER'!$T$2:$T$495=11)*('CASE MASTER'!$U$2:$U$495&lt;=5)*('CASE MASTER'!$W$2:$W$495&gt;=5)*('CASE MASTER'!$V$2:$V$495&lt;=9)*('CASE MASTER'!$X$2:$X$495&gt;=9))*ROW('CASE MASTER'!$T$2:$T$495))-(ROW('CASE MASTER'!#REF!)-1)))-INDEX('CASE MASTER'!$V$2:$V$495,(SUMPRODUCT((('CASE MASTER'!$T$2:$T$495=11)*('CASE MASTER'!$U$2:$U$495&lt;=5)*('CASE MASTER'!$W$2:$W$495&gt;=5)*('CASE MASTER'!$V$2:$V$495&lt;=9)*('CASE MASTER'!$X$2:$X$495&gt;=9))*ROW('CASE MASTER'!$T$2:$T$495))-(ROW('CASE MASTER'!#REF!)-1)))+1)+(9-INDEX('CASE MASTER'!$V$2:$V$495,(SUMPRODUCT((('CASE MASTER'!$T$2:$T$495=11)*('CASE MASTER'!$U$2:$U$495&lt;=5)*('CASE MASTER'!$W$2:$W$495&gt;=5)*('CASE MASTER'!$V$2:$V$495&lt;=9)*('CASE MASTER'!$X$2:$X$495&gt;=9))*ROW('CASE MASTER'!$T$2:$T$495))-(ROW('CASE MASTER'!#REF!)-1))))+1))-1)*50+1,50))&amp;"_"&amp;INDEX('CASE MASTER'!$Q$2:$Q$495,(SUMPRODUCT((('CASE MASTER'!$T$2:$T$495=11)*('CASE MASTER'!$U$2:$U$495&lt;=5)*('CASE MASTER'!$W$2:$W$495&gt;=5)*('CASE MASTER'!$V$2:$V$495&lt;=9)*('CASE MASTER'!$X$2:$X$495&gt;=9))*ROW('CASE MASTER'!$T$2:$T$495))-(ROW('CASE MASTER'!#REF!)-1))),IF(SUMPRODUCT((('CASE MASTER'!$T$2:$T$495=11)*('CASE MASTER'!$AA$2:$AA$495&lt;=5)*('CASE MASTER'!$AC$2:$AC$495&gt;=5)*('CASE MASTER'!$AB$2:$AB$495&lt;=9)*('CASE MASTER'!$AD$2:$AD$495&gt;=9))*ROW('CASE MASTER'!$T$2:$T$495))&gt;0,INDEX('CASE MASTER'!$Y$2:$Y$495,(SUMPRODUCT((('CASE MASTER'!$T$2:$T$495=11)*('CASE MASTER'!$AA$2:$AA$495&lt;=5)*('CASE MASTER'!$AC$2:$AC$495&gt;=5)*('CASE MASTER'!$AB$2:$AB$495&lt;=9)*('CASE MASTER'!$AD$2:$AD$495&gt;=9))*ROW('CASE MASTER'!$T$2:$T$495))-(ROW('CASE MASTER'!#REF!)-1)))&amp;TRIM(MID(SUBSTITUTE(SUBSTITUTE(INDEX('CASE MASTER'!$N$2:$N$495,(SUMPRODUCT((('CASE MASTER'!$T$2:$T$495=11)*('CASE MASTER'!$AA$2:$AA$495&lt;=5)*('CASE MASTER'!$AC$2:$AC$495&gt;=5)*('CASE MASTER'!$AB$2:$AB$495&lt;=9)*('CASE MASTER'!$AD$2:$AD$495&gt;=9))*ROW('CASE MASTER'!$T$2:$T$495))-(ROW('CASE MASTER'!#REF!)-1))),":",","),",",REPT(" ",50)),(((INDEX('CASE MASTER'!$Z$2:$Z$495,(SUMPRODUCT((('CASE MASTER'!$T$2:$T$495=11)*('CASE MASTER'!$AA$2:$AA$495&lt;=5)*('CASE MASTER'!$AC$2:$AC$495&gt;=5)*('CASE MASTER'!$AB$2:$AB$495&lt;=9)*('CASE MASTER'!$AD$2:$AD$495&gt;=9))*ROW('CASE MASTER'!$T$2:$T$495))-(ROW('CASE MASTER'!#REF!)-1)))+((5-INDEX('CASE MASTER'!$AA$2:$AA$495,(SUMPRODUCT((('CASE MASTER'!$T$2:$T$495=11)*('CASE MASTER'!$AA$2:$AA$495&lt;=5)*('CASE MASTER'!$AC$2:$AC$495&gt;=5)*('CASE MASTER'!$AB$2:$AB$495&lt;=9)*('CASE MASTER'!$AD$2:$AD$495&gt;=9))*ROW('CASE MASTER'!$T$2:$T$495))-(ROW('CASE MASTER'!#REF!)-1))))*(INDEX('CASE MASTER'!$AD$2:$AD$495,(SUMPRODUCT((('CASE MASTER'!$T$2:$T$495=11)*('CASE MASTER'!$AA$2:$AA$495&lt;=5)*('CASE MASTER'!$AC$2:$AC$495&gt;=5)*('CASE MASTER'!$AB$2:$AB$495&lt;=9)*('CASE MASTER'!$AD$2:$AD$495&gt;=9))*ROW('CASE MASTER'!$T$2:$T$495))-(ROW('CASE MASTER'!#REF!)-1)))-INDEX('CASE MASTER'!$AB$2:$AB$495,(SUMPRODUCT((('CASE MASTER'!$T$2:$T$495=11)*('CASE MASTER'!$AA$2:$AA$495&lt;=5)*('CASE MASTER'!$AC$2:$AC$495&gt;=5)*('CASE MASTER'!$AB$2:$AB$495&lt;=9)*('CASE MASTER'!$AD$2:$AD$495&gt;=9))*ROW('CASE MASTER'!$T$2:$T$495))-(ROW('CASE MASTER'!#REF!)-1)))+1)+(9-INDEX('CASE MASTER'!$AB$2:$AB$495,(SUMPRODUCT((('CASE MASTER'!$T$2:$T$495=11)*('CASE MASTER'!$AA$2:$AA$495&lt;=5)*('CASE MASTER'!$AC$2:$AC$495&gt;=5)*('CASE MASTER'!$AB$2:$AB$495&lt;=9)*('CASE MASTER'!$AD$2:$AD$495&gt;=9))*ROW('CASE MASTER'!$T$2:$T$495))-(ROW('CASE MASTER'!#REF!)-1))))+1)))-1)*50+1,50))&amp;"_"&amp;INDEX('CASE MASTER'!$Q$2:$Q$495,(SUMPRODUCT((('CASE MASTER'!$T$2:$T$495=11)*('CASE MASTER'!$AA$2:$AA$495&lt;=5)*('CASE MASTER'!$AC$2:$AC$495&gt;=5)*('CASE MASTER'!$AB$2:$AB$495&lt;=9)*('CASE MASTER'!$AD$2:$AD$495&gt;=9))*ROW('CASE MASTER'!$T$2:$T$495))-(ROW('CASE MASTER'!#REF!)-1))),"")),"")</f>
        <v/>
      </c>
      <c r="K147" s="10" t="str">
        <f>IFERROR(IF(SUMPRODUCT((('CASE MASTER'!$T$2:$T$495=11)*('CASE MASTER'!$U$2:$U$495&lt;=5)*('CASE MASTER'!$W$2:$W$495&gt;=5)*('CASE MASTER'!$V$2:$V$495&lt;=10)*('CASE MASTER'!$X$2:$X$495&gt;=10))*ROW('CASE MASTER'!$T$2:$T$495))&gt;0,INDEX('CASE MASTER'!$Y$2:$Y$495,(SUMPRODUCT((('CASE MASTER'!$T$2:$T$495=11)*('CASE MASTER'!$U$2:$U$495&lt;=5)*('CASE MASTER'!$W$2:$W$495&gt;=5)*('CASE MASTER'!$V$2:$V$495&lt;=10)*('CASE MASTER'!$X$2:$X$495&gt;=10))*ROW('CASE MASTER'!$T$2:$T$495))-(ROW('CASE MASTER'!#REF!)-1)))&amp;TRIM(MID(SUBSTITUTE(SUBSTITUTE(INDEX('CASE MASTER'!$N$2:$N$495,(SUMPRODUCT((('CASE MASTER'!$T$2:$T$495=11)*('CASE MASTER'!$U$2:$U$495&lt;=5)*('CASE MASTER'!$W$2:$W$495&gt;=5)*('CASE MASTER'!$V$2:$V$495&lt;=10)*('CASE MASTER'!$X$2:$X$495&gt;=10))*ROW('CASE MASTER'!$T$2:$T$495))-(ROW('CASE MASTER'!#REF!)-1))),":",","),",",REPT(" ",50)),((((5-INDEX('CASE MASTER'!$U$2:$U$495,(SUMPRODUCT((('CASE MASTER'!$T$2:$T$495=11)*('CASE MASTER'!$U$2:$U$495&lt;=5)*('CASE MASTER'!$W$2:$W$495&gt;=5)*('CASE MASTER'!$V$2:$V$495&lt;=10)*('CASE MASTER'!$X$2:$X$495&gt;=10))*ROW('CASE MASTER'!$T$2:$T$495))-(ROW('CASE MASTER'!#REF!)-1))))*(INDEX('CASE MASTER'!$X$2:$X$495,(SUMPRODUCT((('CASE MASTER'!$T$2:$T$495=11)*('CASE MASTER'!$U$2:$U$495&lt;=5)*('CASE MASTER'!$W$2:$W$495&gt;=5)*('CASE MASTER'!$V$2:$V$495&lt;=10)*('CASE MASTER'!$X$2:$X$495&gt;=10))*ROW('CASE MASTER'!$T$2:$T$495))-(ROW('CASE MASTER'!#REF!)-1)))-INDEX('CASE MASTER'!$V$2:$V$495,(SUMPRODUCT((('CASE MASTER'!$T$2:$T$495=11)*('CASE MASTER'!$U$2:$U$495&lt;=5)*('CASE MASTER'!$W$2:$W$495&gt;=5)*('CASE MASTER'!$V$2:$V$495&lt;=10)*('CASE MASTER'!$X$2:$X$495&gt;=10))*ROW('CASE MASTER'!$T$2:$T$495))-(ROW('CASE MASTER'!#REF!)-1)))+1)+(10-INDEX('CASE MASTER'!$V$2:$V$495,(SUMPRODUCT((('CASE MASTER'!$T$2:$T$495=11)*('CASE MASTER'!$U$2:$U$495&lt;=5)*('CASE MASTER'!$W$2:$W$495&gt;=5)*('CASE MASTER'!$V$2:$V$495&lt;=10)*('CASE MASTER'!$X$2:$X$495&gt;=10))*ROW('CASE MASTER'!$T$2:$T$495))-(ROW('CASE MASTER'!#REF!)-1))))+1))-1)*50+1,50))&amp;"_"&amp;INDEX('CASE MASTER'!$Q$2:$Q$495,(SUMPRODUCT((('CASE MASTER'!$T$2:$T$495=11)*('CASE MASTER'!$U$2:$U$495&lt;=5)*('CASE MASTER'!$W$2:$W$495&gt;=5)*('CASE MASTER'!$V$2:$V$495&lt;=10)*('CASE MASTER'!$X$2:$X$495&gt;=10))*ROW('CASE MASTER'!$T$2:$T$495))-(ROW('CASE MASTER'!#REF!)-1))),IF(SUMPRODUCT((('CASE MASTER'!$T$2:$T$495=11)*('CASE MASTER'!$AA$2:$AA$495&lt;=5)*('CASE MASTER'!$AC$2:$AC$495&gt;=5)*('CASE MASTER'!$AB$2:$AB$495&lt;=10)*('CASE MASTER'!$AD$2:$AD$495&gt;=10))*ROW('CASE MASTER'!$T$2:$T$495))&gt;0,INDEX('CASE MASTER'!$Y$2:$Y$495,(SUMPRODUCT((('CASE MASTER'!$T$2:$T$495=11)*('CASE MASTER'!$AA$2:$AA$495&lt;=5)*('CASE MASTER'!$AC$2:$AC$495&gt;=5)*('CASE MASTER'!$AB$2:$AB$495&lt;=10)*('CASE MASTER'!$AD$2:$AD$495&gt;=10))*ROW('CASE MASTER'!$T$2:$T$495))-(ROW('CASE MASTER'!#REF!)-1)))&amp;TRIM(MID(SUBSTITUTE(SUBSTITUTE(INDEX('CASE MASTER'!$N$2:$N$495,(SUMPRODUCT((('CASE MASTER'!$T$2:$T$495=11)*('CASE MASTER'!$AA$2:$AA$495&lt;=5)*('CASE MASTER'!$AC$2:$AC$495&gt;=5)*('CASE MASTER'!$AB$2:$AB$495&lt;=10)*('CASE MASTER'!$AD$2:$AD$495&gt;=10))*ROW('CASE MASTER'!$T$2:$T$495))-(ROW('CASE MASTER'!#REF!)-1))),":",","),",",REPT(" ",50)),(((INDEX('CASE MASTER'!$Z$2:$Z$495,(SUMPRODUCT((('CASE MASTER'!$T$2:$T$495=11)*('CASE MASTER'!$AA$2:$AA$495&lt;=5)*('CASE MASTER'!$AC$2:$AC$495&gt;=5)*('CASE MASTER'!$AB$2:$AB$495&lt;=10)*('CASE MASTER'!$AD$2:$AD$495&gt;=10))*ROW('CASE MASTER'!$T$2:$T$495))-(ROW('CASE MASTER'!#REF!)-1)))+((5-INDEX('CASE MASTER'!$AA$2:$AA$495,(SUMPRODUCT((('CASE MASTER'!$T$2:$T$495=11)*('CASE MASTER'!$AA$2:$AA$495&lt;=5)*('CASE MASTER'!$AC$2:$AC$495&gt;=5)*('CASE MASTER'!$AB$2:$AB$495&lt;=10)*('CASE MASTER'!$AD$2:$AD$495&gt;=10))*ROW('CASE MASTER'!$T$2:$T$495))-(ROW('CASE MASTER'!#REF!)-1))))*(INDEX('CASE MASTER'!$AD$2:$AD$495,(SUMPRODUCT((('CASE MASTER'!$T$2:$T$495=11)*('CASE MASTER'!$AA$2:$AA$495&lt;=5)*('CASE MASTER'!$AC$2:$AC$495&gt;=5)*('CASE MASTER'!$AB$2:$AB$495&lt;=10)*('CASE MASTER'!$AD$2:$AD$495&gt;=10))*ROW('CASE MASTER'!$T$2:$T$495))-(ROW('CASE MASTER'!#REF!)-1)))-INDEX('CASE MASTER'!$AB$2:$AB$495,(SUMPRODUCT((('CASE MASTER'!$T$2:$T$495=11)*('CASE MASTER'!$AA$2:$AA$495&lt;=5)*('CASE MASTER'!$AC$2:$AC$495&gt;=5)*('CASE MASTER'!$AB$2:$AB$495&lt;=10)*('CASE MASTER'!$AD$2:$AD$495&gt;=10))*ROW('CASE MASTER'!$T$2:$T$495))-(ROW('CASE MASTER'!#REF!)-1)))+1)+(10-INDEX('CASE MASTER'!$AB$2:$AB$495,(SUMPRODUCT((('CASE MASTER'!$T$2:$T$495=11)*('CASE MASTER'!$AA$2:$AA$495&lt;=5)*('CASE MASTER'!$AC$2:$AC$495&gt;=5)*('CASE MASTER'!$AB$2:$AB$495&lt;=10)*('CASE MASTER'!$AD$2:$AD$495&gt;=10))*ROW('CASE MASTER'!$T$2:$T$495))-(ROW('CASE MASTER'!#REF!)-1))))+1)))-1)*50+1,50))&amp;"_"&amp;INDEX('CASE MASTER'!$Q$2:$Q$495,(SUMPRODUCT((('CASE MASTER'!$T$2:$T$495=11)*('CASE MASTER'!$AA$2:$AA$495&lt;=5)*('CASE MASTER'!$AC$2:$AC$495&gt;=5)*('CASE MASTER'!$AB$2:$AB$495&lt;=10)*('CASE MASTER'!$AD$2:$AD$495&gt;=10))*ROW('CASE MASTER'!$T$2:$T$495))-(ROW('CASE MASTER'!#REF!)-1))),"")),"")</f>
        <v/>
      </c>
    </row>
    <row r="148" spans="1:11" ht="15" customHeight="1" x14ac:dyDescent="0.35">
      <c r="A148" s="8" t="s">
        <v>33</v>
      </c>
      <c r="B148" s="10" t="str">
        <f>IFERROR(IF(SUMPRODUCT((('CASE MASTER'!$T$2:$T$495=11)*('CASE MASTER'!$U$2:$U$495&lt;=6)*('CASE MASTER'!$W$2:$W$495&gt;=6)*('CASE MASTER'!$V$2:$V$495&lt;=1)*('CASE MASTER'!$X$2:$X$495&gt;=1))*ROW('CASE MASTER'!$T$2:$T$495))&gt;0,INDEX('CASE MASTER'!$Y$2:$Y$495,(SUMPRODUCT((('CASE MASTER'!$T$2:$T$495=11)*('CASE MASTER'!$U$2:$U$495&lt;=6)*('CASE MASTER'!$W$2:$W$495&gt;=6)*('CASE MASTER'!$V$2:$V$495&lt;=1)*('CASE MASTER'!$X$2:$X$495&gt;=1))*ROW('CASE MASTER'!$T$2:$T$495))-(ROW('CASE MASTER'!#REF!)-1)))&amp;TRIM(MID(SUBSTITUTE(SUBSTITUTE(INDEX('CASE MASTER'!$N$2:$N$495,(SUMPRODUCT((('CASE MASTER'!$T$2:$T$495=11)*('CASE MASTER'!$U$2:$U$495&lt;=6)*('CASE MASTER'!$W$2:$W$495&gt;=6)*('CASE MASTER'!$V$2:$V$495&lt;=1)*('CASE MASTER'!$X$2:$X$495&gt;=1))*ROW('CASE MASTER'!$T$2:$T$495))-(ROW('CASE MASTER'!#REF!)-1))),":",","),",",REPT(" ",50)),((((6-INDEX('CASE MASTER'!$U$2:$U$495,(SUMPRODUCT((('CASE MASTER'!$T$2:$T$495=11)*('CASE MASTER'!$U$2:$U$495&lt;=6)*('CASE MASTER'!$W$2:$W$495&gt;=6)*('CASE MASTER'!$V$2:$V$495&lt;=1)*('CASE MASTER'!$X$2:$X$495&gt;=1))*ROW('CASE MASTER'!$T$2:$T$495))-(ROW('CASE MASTER'!#REF!)-1))))*(INDEX('CASE MASTER'!$X$2:$X$495,(SUMPRODUCT((('CASE MASTER'!$T$2:$T$495=11)*('CASE MASTER'!$U$2:$U$495&lt;=6)*('CASE MASTER'!$W$2:$W$495&gt;=6)*('CASE MASTER'!$V$2:$V$495&lt;=1)*('CASE MASTER'!$X$2:$X$495&gt;=1))*ROW('CASE MASTER'!$T$2:$T$495))-(ROW('CASE MASTER'!#REF!)-1)))-INDEX('CASE MASTER'!$V$2:$V$495,(SUMPRODUCT((('CASE MASTER'!$T$2:$T$495=11)*('CASE MASTER'!$U$2:$U$495&lt;=6)*('CASE MASTER'!$W$2:$W$495&gt;=6)*('CASE MASTER'!$V$2:$V$495&lt;=1)*('CASE MASTER'!$X$2:$X$495&gt;=1))*ROW('CASE MASTER'!$T$2:$T$495))-(ROW('CASE MASTER'!#REF!)-1)))+1)+(1-INDEX('CASE MASTER'!$V$2:$V$495,(SUMPRODUCT((('CASE MASTER'!$T$2:$T$495=11)*('CASE MASTER'!$U$2:$U$495&lt;=6)*('CASE MASTER'!$W$2:$W$495&gt;=6)*('CASE MASTER'!$V$2:$V$495&lt;=1)*('CASE MASTER'!$X$2:$X$495&gt;=1))*ROW('CASE MASTER'!$T$2:$T$495))-(ROW('CASE MASTER'!#REF!)-1))))+1))-1)*50+1,50))&amp;"_"&amp;INDEX('CASE MASTER'!$Q$2:$Q$495,(SUMPRODUCT((('CASE MASTER'!$T$2:$T$495=11)*('CASE MASTER'!$U$2:$U$495&lt;=6)*('CASE MASTER'!$W$2:$W$495&gt;=6)*('CASE MASTER'!$V$2:$V$495&lt;=1)*('CASE MASTER'!$X$2:$X$495&gt;=1))*ROW('CASE MASTER'!$T$2:$T$495))-(ROW('CASE MASTER'!#REF!)-1))),IF(SUMPRODUCT((('CASE MASTER'!$T$2:$T$495=11)*('CASE MASTER'!$AA$2:$AA$495&lt;=6)*('CASE MASTER'!$AC$2:$AC$495&gt;=6)*('CASE MASTER'!$AB$2:$AB$495&lt;=1)*('CASE MASTER'!$AD$2:$AD$495&gt;=1))*ROW('CASE MASTER'!$T$2:$T$495))&gt;0,INDEX('CASE MASTER'!$Y$2:$Y$495,(SUMPRODUCT((('CASE MASTER'!$T$2:$T$495=11)*('CASE MASTER'!$AA$2:$AA$495&lt;=6)*('CASE MASTER'!$AC$2:$AC$495&gt;=6)*('CASE MASTER'!$AB$2:$AB$495&lt;=1)*('CASE MASTER'!$AD$2:$AD$495&gt;=1))*ROW('CASE MASTER'!$T$2:$T$495))-(ROW('CASE MASTER'!#REF!)-1)))&amp;TRIM(MID(SUBSTITUTE(SUBSTITUTE(INDEX('CASE MASTER'!$N$2:$N$495,(SUMPRODUCT((('CASE MASTER'!$T$2:$T$495=11)*('CASE MASTER'!$AA$2:$AA$495&lt;=6)*('CASE MASTER'!$AC$2:$AC$495&gt;=6)*('CASE MASTER'!$AB$2:$AB$495&lt;=1)*('CASE MASTER'!$AD$2:$AD$495&gt;=1))*ROW('CASE MASTER'!$T$2:$T$495))-(ROW('CASE MASTER'!#REF!)-1))),":",","),",",REPT(" ",50)),(((INDEX('CASE MASTER'!$Z$2:$Z$495,(SUMPRODUCT((('CASE MASTER'!$T$2:$T$495=11)*('CASE MASTER'!$AA$2:$AA$495&lt;=6)*('CASE MASTER'!$AC$2:$AC$495&gt;=6)*('CASE MASTER'!$AB$2:$AB$495&lt;=1)*('CASE MASTER'!$AD$2:$AD$495&gt;=1))*ROW('CASE MASTER'!$T$2:$T$495))-(ROW('CASE MASTER'!#REF!)-1)))+((6-INDEX('CASE MASTER'!$AA$2:$AA$495,(SUMPRODUCT((('CASE MASTER'!$T$2:$T$495=11)*('CASE MASTER'!$AA$2:$AA$495&lt;=6)*('CASE MASTER'!$AC$2:$AC$495&gt;=6)*('CASE MASTER'!$AB$2:$AB$495&lt;=1)*('CASE MASTER'!$AD$2:$AD$495&gt;=1))*ROW('CASE MASTER'!$T$2:$T$495))-(ROW('CASE MASTER'!#REF!)-1))))*(INDEX('CASE MASTER'!$AD$2:$AD$495,(SUMPRODUCT((('CASE MASTER'!$T$2:$T$495=11)*('CASE MASTER'!$AA$2:$AA$495&lt;=6)*('CASE MASTER'!$AC$2:$AC$495&gt;=6)*('CASE MASTER'!$AB$2:$AB$495&lt;=1)*('CASE MASTER'!$AD$2:$AD$495&gt;=1))*ROW('CASE MASTER'!$T$2:$T$495))-(ROW('CASE MASTER'!#REF!)-1)))-INDEX('CASE MASTER'!$AB$2:$AB$495,(SUMPRODUCT((('CASE MASTER'!$T$2:$T$495=11)*('CASE MASTER'!$AA$2:$AA$495&lt;=6)*('CASE MASTER'!$AC$2:$AC$495&gt;=6)*('CASE MASTER'!$AB$2:$AB$495&lt;=1)*('CASE MASTER'!$AD$2:$AD$495&gt;=1))*ROW('CASE MASTER'!$T$2:$T$495))-(ROW('CASE MASTER'!#REF!)-1)))+1)+(1-INDEX('CASE MASTER'!$AB$2:$AB$495,(SUMPRODUCT((('CASE MASTER'!$T$2:$T$495=11)*('CASE MASTER'!$AA$2:$AA$495&lt;=6)*('CASE MASTER'!$AC$2:$AC$495&gt;=6)*('CASE MASTER'!$AB$2:$AB$495&lt;=1)*('CASE MASTER'!$AD$2:$AD$495&gt;=1))*ROW('CASE MASTER'!$T$2:$T$495))-(ROW('CASE MASTER'!#REF!)-1))))+1)))-1)*50+1,50))&amp;"_"&amp;INDEX('CASE MASTER'!$Q$2:$Q$495,(SUMPRODUCT((('CASE MASTER'!$T$2:$T$495=11)*('CASE MASTER'!$AA$2:$AA$495&lt;=6)*('CASE MASTER'!$AC$2:$AC$495&gt;=6)*('CASE MASTER'!$AB$2:$AB$495&lt;=1)*('CASE MASTER'!$AD$2:$AD$495&gt;=1))*ROW('CASE MASTER'!$T$2:$T$495))-(ROW('CASE MASTER'!#REF!)-1))),"")),"")</f>
        <v/>
      </c>
      <c r="C148" s="10" t="str">
        <f>IFERROR(IF(SUMPRODUCT((('CASE MASTER'!$T$2:$T$495=11)*('CASE MASTER'!$U$2:$U$495&lt;=6)*('CASE MASTER'!$W$2:$W$495&gt;=6)*('CASE MASTER'!$V$2:$V$495&lt;=2)*('CASE MASTER'!$X$2:$X$495&gt;=2))*ROW('CASE MASTER'!$T$2:$T$495))&gt;0,INDEX('CASE MASTER'!$Y$2:$Y$495,(SUMPRODUCT((('CASE MASTER'!$T$2:$T$495=11)*('CASE MASTER'!$U$2:$U$495&lt;=6)*('CASE MASTER'!$W$2:$W$495&gt;=6)*('CASE MASTER'!$V$2:$V$495&lt;=2)*('CASE MASTER'!$X$2:$X$495&gt;=2))*ROW('CASE MASTER'!$T$2:$T$495))-(ROW('CASE MASTER'!#REF!)-1)))&amp;TRIM(MID(SUBSTITUTE(SUBSTITUTE(INDEX('CASE MASTER'!$N$2:$N$495,(SUMPRODUCT((('CASE MASTER'!$T$2:$T$495=11)*('CASE MASTER'!$U$2:$U$495&lt;=6)*('CASE MASTER'!$W$2:$W$495&gt;=6)*('CASE MASTER'!$V$2:$V$495&lt;=2)*('CASE MASTER'!$X$2:$X$495&gt;=2))*ROW('CASE MASTER'!$T$2:$T$495))-(ROW('CASE MASTER'!#REF!)-1))),":",","),",",REPT(" ",50)),((((6-INDEX('CASE MASTER'!$U$2:$U$495,(SUMPRODUCT((('CASE MASTER'!$T$2:$T$495=11)*('CASE MASTER'!$U$2:$U$495&lt;=6)*('CASE MASTER'!$W$2:$W$495&gt;=6)*('CASE MASTER'!$V$2:$V$495&lt;=2)*('CASE MASTER'!$X$2:$X$495&gt;=2))*ROW('CASE MASTER'!$T$2:$T$495))-(ROW('CASE MASTER'!#REF!)-1))))*(INDEX('CASE MASTER'!$X$2:$X$495,(SUMPRODUCT((('CASE MASTER'!$T$2:$T$495=11)*('CASE MASTER'!$U$2:$U$495&lt;=6)*('CASE MASTER'!$W$2:$W$495&gt;=6)*('CASE MASTER'!$V$2:$V$495&lt;=2)*('CASE MASTER'!$X$2:$X$495&gt;=2))*ROW('CASE MASTER'!$T$2:$T$495))-(ROW('CASE MASTER'!#REF!)-1)))-INDEX('CASE MASTER'!$V$2:$V$495,(SUMPRODUCT((('CASE MASTER'!$T$2:$T$495=11)*('CASE MASTER'!$U$2:$U$495&lt;=6)*('CASE MASTER'!$W$2:$W$495&gt;=6)*('CASE MASTER'!$V$2:$V$495&lt;=2)*('CASE MASTER'!$X$2:$X$495&gt;=2))*ROW('CASE MASTER'!$T$2:$T$495))-(ROW('CASE MASTER'!#REF!)-1)))+1)+(2-INDEX('CASE MASTER'!$V$2:$V$495,(SUMPRODUCT((('CASE MASTER'!$T$2:$T$495=11)*('CASE MASTER'!$U$2:$U$495&lt;=6)*('CASE MASTER'!$W$2:$W$495&gt;=6)*('CASE MASTER'!$V$2:$V$495&lt;=2)*('CASE MASTER'!$X$2:$X$495&gt;=2))*ROW('CASE MASTER'!$T$2:$T$495))-(ROW('CASE MASTER'!#REF!)-1))))+1))-1)*50+1,50))&amp;"_"&amp;INDEX('CASE MASTER'!$Q$2:$Q$495,(SUMPRODUCT((('CASE MASTER'!$T$2:$T$495=11)*('CASE MASTER'!$U$2:$U$495&lt;=6)*('CASE MASTER'!$W$2:$W$495&gt;=6)*('CASE MASTER'!$V$2:$V$495&lt;=2)*('CASE MASTER'!$X$2:$X$495&gt;=2))*ROW('CASE MASTER'!$T$2:$T$495))-(ROW('CASE MASTER'!#REF!)-1))),IF(SUMPRODUCT((('CASE MASTER'!$T$2:$T$495=11)*('CASE MASTER'!$AA$2:$AA$495&lt;=6)*('CASE MASTER'!$AC$2:$AC$495&gt;=6)*('CASE MASTER'!$AB$2:$AB$495&lt;=2)*('CASE MASTER'!$AD$2:$AD$495&gt;=2))*ROW('CASE MASTER'!$T$2:$T$495))&gt;0,INDEX('CASE MASTER'!$Y$2:$Y$495,(SUMPRODUCT((('CASE MASTER'!$T$2:$T$495=11)*('CASE MASTER'!$AA$2:$AA$495&lt;=6)*('CASE MASTER'!$AC$2:$AC$495&gt;=6)*('CASE MASTER'!$AB$2:$AB$495&lt;=2)*('CASE MASTER'!$AD$2:$AD$495&gt;=2))*ROW('CASE MASTER'!$T$2:$T$495))-(ROW('CASE MASTER'!#REF!)-1)))&amp;TRIM(MID(SUBSTITUTE(SUBSTITUTE(INDEX('CASE MASTER'!$N$2:$N$495,(SUMPRODUCT((('CASE MASTER'!$T$2:$T$495=11)*('CASE MASTER'!$AA$2:$AA$495&lt;=6)*('CASE MASTER'!$AC$2:$AC$495&gt;=6)*('CASE MASTER'!$AB$2:$AB$495&lt;=2)*('CASE MASTER'!$AD$2:$AD$495&gt;=2))*ROW('CASE MASTER'!$T$2:$T$495))-(ROW('CASE MASTER'!#REF!)-1))),":",","),",",REPT(" ",50)),(((INDEX('CASE MASTER'!$Z$2:$Z$495,(SUMPRODUCT((('CASE MASTER'!$T$2:$T$495=11)*('CASE MASTER'!$AA$2:$AA$495&lt;=6)*('CASE MASTER'!$AC$2:$AC$495&gt;=6)*('CASE MASTER'!$AB$2:$AB$495&lt;=2)*('CASE MASTER'!$AD$2:$AD$495&gt;=2))*ROW('CASE MASTER'!$T$2:$T$495))-(ROW('CASE MASTER'!#REF!)-1)))+((6-INDEX('CASE MASTER'!$AA$2:$AA$495,(SUMPRODUCT((('CASE MASTER'!$T$2:$T$495=11)*('CASE MASTER'!$AA$2:$AA$495&lt;=6)*('CASE MASTER'!$AC$2:$AC$495&gt;=6)*('CASE MASTER'!$AB$2:$AB$495&lt;=2)*('CASE MASTER'!$AD$2:$AD$495&gt;=2))*ROW('CASE MASTER'!$T$2:$T$495))-(ROW('CASE MASTER'!#REF!)-1))))*(INDEX('CASE MASTER'!$AD$2:$AD$495,(SUMPRODUCT((('CASE MASTER'!$T$2:$T$495=11)*('CASE MASTER'!$AA$2:$AA$495&lt;=6)*('CASE MASTER'!$AC$2:$AC$495&gt;=6)*('CASE MASTER'!$AB$2:$AB$495&lt;=2)*('CASE MASTER'!$AD$2:$AD$495&gt;=2))*ROW('CASE MASTER'!$T$2:$T$495))-(ROW('CASE MASTER'!#REF!)-1)))-INDEX('CASE MASTER'!$AB$2:$AB$495,(SUMPRODUCT((('CASE MASTER'!$T$2:$T$495=11)*('CASE MASTER'!$AA$2:$AA$495&lt;=6)*('CASE MASTER'!$AC$2:$AC$495&gt;=6)*('CASE MASTER'!$AB$2:$AB$495&lt;=2)*('CASE MASTER'!$AD$2:$AD$495&gt;=2))*ROW('CASE MASTER'!$T$2:$T$495))-(ROW('CASE MASTER'!#REF!)-1)))+1)+(2-INDEX('CASE MASTER'!$AB$2:$AB$495,(SUMPRODUCT((('CASE MASTER'!$T$2:$T$495=11)*('CASE MASTER'!$AA$2:$AA$495&lt;=6)*('CASE MASTER'!$AC$2:$AC$495&gt;=6)*('CASE MASTER'!$AB$2:$AB$495&lt;=2)*('CASE MASTER'!$AD$2:$AD$495&gt;=2))*ROW('CASE MASTER'!$T$2:$T$495))-(ROW('CASE MASTER'!#REF!)-1))))+1)))-1)*50+1,50))&amp;"_"&amp;INDEX('CASE MASTER'!$Q$2:$Q$495,(SUMPRODUCT((('CASE MASTER'!$T$2:$T$495=11)*('CASE MASTER'!$AA$2:$AA$495&lt;=6)*('CASE MASTER'!$AC$2:$AC$495&gt;=6)*('CASE MASTER'!$AB$2:$AB$495&lt;=2)*('CASE MASTER'!$AD$2:$AD$495&gt;=2))*ROW('CASE MASTER'!$T$2:$T$495))-(ROW('CASE MASTER'!#REF!)-1))),"")),"")</f>
        <v/>
      </c>
      <c r="D148" s="10" t="str">
        <f>IFERROR(IF(SUMPRODUCT((('CASE MASTER'!$T$2:$T$495=11)*('CASE MASTER'!$U$2:$U$495&lt;=6)*('CASE MASTER'!$W$2:$W$495&gt;=6)*('CASE MASTER'!$V$2:$V$495&lt;=3)*('CASE MASTER'!$X$2:$X$495&gt;=3))*ROW('CASE MASTER'!$T$2:$T$495))&gt;0,INDEX('CASE MASTER'!$Y$2:$Y$495,(SUMPRODUCT((('CASE MASTER'!$T$2:$T$495=11)*('CASE MASTER'!$U$2:$U$495&lt;=6)*('CASE MASTER'!$W$2:$W$495&gt;=6)*('CASE MASTER'!$V$2:$V$495&lt;=3)*('CASE MASTER'!$X$2:$X$495&gt;=3))*ROW('CASE MASTER'!$T$2:$T$495))-(ROW('CASE MASTER'!#REF!)-1)))&amp;TRIM(MID(SUBSTITUTE(SUBSTITUTE(INDEX('CASE MASTER'!$N$2:$N$495,(SUMPRODUCT((('CASE MASTER'!$T$2:$T$495=11)*('CASE MASTER'!$U$2:$U$495&lt;=6)*('CASE MASTER'!$W$2:$W$495&gt;=6)*('CASE MASTER'!$V$2:$V$495&lt;=3)*('CASE MASTER'!$X$2:$X$495&gt;=3))*ROW('CASE MASTER'!$T$2:$T$495))-(ROW('CASE MASTER'!#REF!)-1))),":",","),",",REPT(" ",50)),((((6-INDEX('CASE MASTER'!$U$2:$U$495,(SUMPRODUCT((('CASE MASTER'!$T$2:$T$495=11)*('CASE MASTER'!$U$2:$U$495&lt;=6)*('CASE MASTER'!$W$2:$W$495&gt;=6)*('CASE MASTER'!$V$2:$V$495&lt;=3)*('CASE MASTER'!$X$2:$X$495&gt;=3))*ROW('CASE MASTER'!$T$2:$T$495))-(ROW('CASE MASTER'!#REF!)-1))))*(INDEX('CASE MASTER'!$X$2:$X$495,(SUMPRODUCT((('CASE MASTER'!$T$2:$T$495=11)*('CASE MASTER'!$U$2:$U$495&lt;=6)*('CASE MASTER'!$W$2:$W$495&gt;=6)*('CASE MASTER'!$V$2:$V$495&lt;=3)*('CASE MASTER'!$X$2:$X$495&gt;=3))*ROW('CASE MASTER'!$T$2:$T$495))-(ROW('CASE MASTER'!#REF!)-1)))-INDEX('CASE MASTER'!$V$2:$V$495,(SUMPRODUCT((('CASE MASTER'!$T$2:$T$495=11)*('CASE MASTER'!$U$2:$U$495&lt;=6)*('CASE MASTER'!$W$2:$W$495&gt;=6)*('CASE MASTER'!$V$2:$V$495&lt;=3)*('CASE MASTER'!$X$2:$X$495&gt;=3))*ROW('CASE MASTER'!$T$2:$T$495))-(ROW('CASE MASTER'!#REF!)-1)))+1)+(3-INDEX('CASE MASTER'!$V$2:$V$495,(SUMPRODUCT((('CASE MASTER'!$T$2:$T$495=11)*('CASE MASTER'!$U$2:$U$495&lt;=6)*('CASE MASTER'!$W$2:$W$495&gt;=6)*('CASE MASTER'!$V$2:$V$495&lt;=3)*('CASE MASTER'!$X$2:$X$495&gt;=3))*ROW('CASE MASTER'!$T$2:$T$495))-(ROW('CASE MASTER'!#REF!)-1))))+1))-1)*50+1,50))&amp;"_"&amp;INDEX('CASE MASTER'!$Q$2:$Q$495,(SUMPRODUCT((('CASE MASTER'!$T$2:$T$495=11)*('CASE MASTER'!$U$2:$U$495&lt;=6)*('CASE MASTER'!$W$2:$W$495&gt;=6)*('CASE MASTER'!$V$2:$V$495&lt;=3)*('CASE MASTER'!$X$2:$X$495&gt;=3))*ROW('CASE MASTER'!$T$2:$T$495))-(ROW('CASE MASTER'!#REF!)-1))),IF(SUMPRODUCT((('CASE MASTER'!$T$2:$T$495=11)*('CASE MASTER'!$AA$2:$AA$495&lt;=6)*('CASE MASTER'!$AC$2:$AC$495&gt;=6)*('CASE MASTER'!$AB$2:$AB$495&lt;=3)*('CASE MASTER'!$AD$2:$AD$495&gt;=3))*ROW('CASE MASTER'!$T$2:$T$495))&gt;0,INDEX('CASE MASTER'!$Y$2:$Y$495,(SUMPRODUCT((('CASE MASTER'!$T$2:$T$495=11)*('CASE MASTER'!$AA$2:$AA$495&lt;=6)*('CASE MASTER'!$AC$2:$AC$495&gt;=6)*('CASE MASTER'!$AB$2:$AB$495&lt;=3)*('CASE MASTER'!$AD$2:$AD$495&gt;=3))*ROW('CASE MASTER'!$T$2:$T$495))-(ROW('CASE MASTER'!#REF!)-1)))&amp;TRIM(MID(SUBSTITUTE(SUBSTITUTE(INDEX('CASE MASTER'!$N$2:$N$495,(SUMPRODUCT((('CASE MASTER'!$T$2:$T$495=11)*('CASE MASTER'!$AA$2:$AA$495&lt;=6)*('CASE MASTER'!$AC$2:$AC$495&gt;=6)*('CASE MASTER'!$AB$2:$AB$495&lt;=3)*('CASE MASTER'!$AD$2:$AD$495&gt;=3))*ROW('CASE MASTER'!$T$2:$T$495))-(ROW('CASE MASTER'!#REF!)-1))),":",","),",",REPT(" ",50)),(((INDEX('CASE MASTER'!$Z$2:$Z$495,(SUMPRODUCT((('CASE MASTER'!$T$2:$T$495=11)*('CASE MASTER'!$AA$2:$AA$495&lt;=6)*('CASE MASTER'!$AC$2:$AC$495&gt;=6)*('CASE MASTER'!$AB$2:$AB$495&lt;=3)*('CASE MASTER'!$AD$2:$AD$495&gt;=3))*ROW('CASE MASTER'!$T$2:$T$495))-(ROW('CASE MASTER'!#REF!)-1)))+((6-INDEX('CASE MASTER'!$AA$2:$AA$495,(SUMPRODUCT((('CASE MASTER'!$T$2:$T$495=11)*('CASE MASTER'!$AA$2:$AA$495&lt;=6)*('CASE MASTER'!$AC$2:$AC$495&gt;=6)*('CASE MASTER'!$AB$2:$AB$495&lt;=3)*('CASE MASTER'!$AD$2:$AD$495&gt;=3))*ROW('CASE MASTER'!$T$2:$T$495))-(ROW('CASE MASTER'!#REF!)-1))))*(INDEX('CASE MASTER'!$AD$2:$AD$495,(SUMPRODUCT((('CASE MASTER'!$T$2:$T$495=11)*('CASE MASTER'!$AA$2:$AA$495&lt;=6)*('CASE MASTER'!$AC$2:$AC$495&gt;=6)*('CASE MASTER'!$AB$2:$AB$495&lt;=3)*('CASE MASTER'!$AD$2:$AD$495&gt;=3))*ROW('CASE MASTER'!$T$2:$T$495))-(ROW('CASE MASTER'!#REF!)-1)))-INDEX('CASE MASTER'!$AB$2:$AB$495,(SUMPRODUCT((('CASE MASTER'!$T$2:$T$495=11)*('CASE MASTER'!$AA$2:$AA$495&lt;=6)*('CASE MASTER'!$AC$2:$AC$495&gt;=6)*('CASE MASTER'!$AB$2:$AB$495&lt;=3)*('CASE MASTER'!$AD$2:$AD$495&gt;=3))*ROW('CASE MASTER'!$T$2:$T$495))-(ROW('CASE MASTER'!#REF!)-1)))+1)+(3-INDEX('CASE MASTER'!$AB$2:$AB$495,(SUMPRODUCT((('CASE MASTER'!$T$2:$T$495=11)*('CASE MASTER'!$AA$2:$AA$495&lt;=6)*('CASE MASTER'!$AC$2:$AC$495&gt;=6)*('CASE MASTER'!$AB$2:$AB$495&lt;=3)*('CASE MASTER'!$AD$2:$AD$495&gt;=3))*ROW('CASE MASTER'!$T$2:$T$495))-(ROW('CASE MASTER'!#REF!)-1))))+1)))-1)*50+1,50))&amp;"_"&amp;INDEX('CASE MASTER'!$Q$2:$Q$495,(SUMPRODUCT((('CASE MASTER'!$T$2:$T$495=11)*('CASE MASTER'!$AA$2:$AA$495&lt;=6)*('CASE MASTER'!$AC$2:$AC$495&gt;=6)*('CASE MASTER'!$AB$2:$AB$495&lt;=3)*('CASE MASTER'!$AD$2:$AD$495&gt;=3))*ROW('CASE MASTER'!$T$2:$T$495))-(ROW('CASE MASTER'!#REF!)-1))),"")),"")</f>
        <v/>
      </c>
      <c r="E148" s="10" t="str">
        <f>IFERROR(IF(SUMPRODUCT((('CASE MASTER'!$T$2:$T$495=11)*('CASE MASTER'!$U$2:$U$495&lt;=6)*('CASE MASTER'!$W$2:$W$495&gt;=6)*('CASE MASTER'!$V$2:$V$495&lt;=4)*('CASE MASTER'!$X$2:$X$495&gt;=4))*ROW('CASE MASTER'!$T$2:$T$495))&gt;0,INDEX('CASE MASTER'!$Y$2:$Y$495,(SUMPRODUCT((('CASE MASTER'!$T$2:$T$495=11)*('CASE MASTER'!$U$2:$U$495&lt;=6)*('CASE MASTER'!$W$2:$W$495&gt;=6)*('CASE MASTER'!$V$2:$V$495&lt;=4)*('CASE MASTER'!$X$2:$X$495&gt;=4))*ROW('CASE MASTER'!$T$2:$T$495))-(ROW('CASE MASTER'!#REF!)-1)))&amp;TRIM(MID(SUBSTITUTE(SUBSTITUTE(INDEX('CASE MASTER'!$N$2:$N$495,(SUMPRODUCT((('CASE MASTER'!$T$2:$T$495=11)*('CASE MASTER'!$U$2:$U$495&lt;=6)*('CASE MASTER'!$W$2:$W$495&gt;=6)*('CASE MASTER'!$V$2:$V$495&lt;=4)*('CASE MASTER'!$X$2:$X$495&gt;=4))*ROW('CASE MASTER'!$T$2:$T$495))-(ROW('CASE MASTER'!#REF!)-1))),":",","),",",REPT(" ",50)),((((6-INDEX('CASE MASTER'!$U$2:$U$495,(SUMPRODUCT((('CASE MASTER'!$T$2:$T$495=11)*('CASE MASTER'!$U$2:$U$495&lt;=6)*('CASE MASTER'!$W$2:$W$495&gt;=6)*('CASE MASTER'!$V$2:$V$495&lt;=4)*('CASE MASTER'!$X$2:$X$495&gt;=4))*ROW('CASE MASTER'!$T$2:$T$495))-(ROW('CASE MASTER'!#REF!)-1))))*(INDEX('CASE MASTER'!$X$2:$X$495,(SUMPRODUCT((('CASE MASTER'!$T$2:$T$495=11)*('CASE MASTER'!$U$2:$U$495&lt;=6)*('CASE MASTER'!$W$2:$W$495&gt;=6)*('CASE MASTER'!$V$2:$V$495&lt;=4)*('CASE MASTER'!$X$2:$X$495&gt;=4))*ROW('CASE MASTER'!$T$2:$T$495))-(ROW('CASE MASTER'!#REF!)-1)))-INDEX('CASE MASTER'!$V$2:$V$495,(SUMPRODUCT((('CASE MASTER'!$T$2:$T$495=11)*('CASE MASTER'!$U$2:$U$495&lt;=6)*('CASE MASTER'!$W$2:$W$495&gt;=6)*('CASE MASTER'!$V$2:$V$495&lt;=4)*('CASE MASTER'!$X$2:$X$495&gt;=4))*ROW('CASE MASTER'!$T$2:$T$495))-(ROW('CASE MASTER'!#REF!)-1)))+1)+(4-INDEX('CASE MASTER'!$V$2:$V$495,(SUMPRODUCT((('CASE MASTER'!$T$2:$T$495=11)*('CASE MASTER'!$U$2:$U$495&lt;=6)*('CASE MASTER'!$W$2:$W$495&gt;=6)*('CASE MASTER'!$V$2:$V$495&lt;=4)*('CASE MASTER'!$X$2:$X$495&gt;=4))*ROW('CASE MASTER'!$T$2:$T$495))-(ROW('CASE MASTER'!#REF!)-1))))+1))-1)*50+1,50))&amp;"_"&amp;INDEX('CASE MASTER'!$Q$2:$Q$495,(SUMPRODUCT((('CASE MASTER'!$T$2:$T$495=11)*('CASE MASTER'!$U$2:$U$495&lt;=6)*('CASE MASTER'!$W$2:$W$495&gt;=6)*('CASE MASTER'!$V$2:$V$495&lt;=4)*('CASE MASTER'!$X$2:$X$495&gt;=4))*ROW('CASE MASTER'!$T$2:$T$495))-(ROW('CASE MASTER'!#REF!)-1))),IF(SUMPRODUCT((('CASE MASTER'!$T$2:$T$495=11)*('CASE MASTER'!$AA$2:$AA$495&lt;=6)*('CASE MASTER'!$AC$2:$AC$495&gt;=6)*('CASE MASTER'!$AB$2:$AB$495&lt;=4)*('CASE MASTER'!$AD$2:$AD$495&gt;=4))*ROW('CASE MASTER'!$T$2:$T$495))&gt;0,INDEX('CASE MASTER'!$Y$2:$Y$495,(SUMPRODUCT((('CASE MASTER'!$T$2:$T$495=11)*('CASE MASTER'!$AA$2:$AA$495&lt;=6)*('CASE MASTER'!$AC$2:$AC$495&gt;=6)*('CASE MASTER'!$AB$2:$AB$495&lt;=4)*('CASE MASTER'!$AD$2:$AD$495&gt;=4))*ROW('CASE MASTER'!$T$2:$T$495))-(ROW('CASE MASTER'!#REF!)-1)))&amp;TRIM(MID(SUBSTITUTE(SUBSTITUTE(INDEX('CASE MASTER'!$N$2:$N$495,(SUMPRODUCT((('CASE MASTER'!$T$2:$T$495=11)*('CASE MASTER'!$AA$2:$AA$495&lt;=6)*('CASE MASTER'!$AC$2:$AC$495&gt;=6)*('CASE MASTER'!$AB$2:$AB$495&lt;=4)*('CASE MASTER'!$AD$2:$AD$495&gt;=4))*ROW('CASE MASTER'!$T$2:$T$495))-(ROW('CASE MASTER'!#REF!)-1))),":",","),",",REPT(" ",50)),(((INDEX('CASE MASTER'!$Z$2:$Z$495,(SUMPRODUCT((('CASE MASTER'!$T$2:$T$495=11)*('CASE MASTER'!$AA$2:$AA$495&lt;=6)*('CASE MASTER'!$AC$2:$AC$495&gt;=6)*('CASE MASTER'!$AB$2:$AB$495&lt;=4)*('CASE MASTER'!$AD$2:$AD$495&gt;=4))*ROW('CASE MASTER'!$T$2:$T$495))-(ROW('CASE MASTER'!#REF!)-1)))+((6-INDEX('CASE MASTER'!$AA$2:$AA$495,(SUMPRODUCT((('CASE MASTER'!$T$2:$T$495=11)*('CASE MASTER'!$AA$2:$AA$495&lt;=6)*('CASE MASTER'!$AC$2:$AC$495&gt;=6)*('CASE MASTER'!$AB$2:$AB$495&lt;=4)*('CASE MASTER'!$AD$2:$AD$495&gt;=4))*ROW('CASE MASTER'!$T$2:$T$495))-(ROW('CASE MASTER'!#REF!)-1))))*(INDEX('CASE MASTER'!$AD$2:$AD$495,(SUMPRODUCT((('CASE MASTER'!$T$2:$T$495=11)*('CASE MASTER'!$AA$2:$AA$495&lt;=6)*('CASE MASTER'!$AC$2:$AC$495&gt;=6)*('CASE MASTER'!$AB$2:$AB$495&lt;=4)*('CASE MASTER'!$AD$2:$AD$495&gt;=4))*ROW('CASE MASTER'!$T$2:$T$495))-(ROW('CASE MASTER'!#REF!)-1)))-INDEX('CASE MASTER'!$AB$2:$AB$495,(SUMPRODUCT((('CASE MASTER'!$T$2:$T$495=11)*('CASE MASTER'!$AA$2:$AA$495&lt;=6)*('CASE MASTER'!$AC$2:$AC$495&gt;=6)*('CASE MASTER'!$AB$2:$AB$495&lt;=4)*('CASE MASTER'!$AD$2:$AD$495&gt;=4))*ROW('CASE MASTER'!$T$2:$T$495))-(ROW('CASE MASTER'!#REF!)-1)))+1)+(4-INDEX('CASE MASTER'!$AB$2:$AB$495,(SUMPRODUCT((('CASE MASTER'!$T$2:$T$495=11)*('CASE MASTER'!$AA$2:$AA$495&lt;=6)*('CASE MASTER'!$AC$2:$AC$495&gt;=6)*('CASE MASTER'!$AB$2:$AB$495&lt;=4)*('CASE MASTER'!$AD$2:$AD$495&gt;=4))*ROW('CASE MASTER'!$T$2:$T$495))-(ROW('CASE MASTER'!#REF!)-1))))+1)))-1)*50+1,50))&amp;"_"&amp;INDEX('CASE MASTER'!$Q$2:$Q$495,(SUMPRODUCT((('CASE MASTER'!$T$2:$T$495=11)*('CASE MASTER'!$AA$2:$AA$495&lt;=6)*('CASE MASTER'!$AC$2:$AC$495&gt;=6)*('CASE MASTER'!$AB$2:$AB$495&lt;=4)*('CASE MASTER'!$AD$2:$AD$495&gt;=4))*ROW('CASE MASTER'!$T$2:$T$495))-(ROW('CASE MASTER'!#REF!)-1))),"")),"")</f>
        <v/>
      </c>
      <c r="F148" s="10" t="str">
        <f>IFERROR(IF(SUMPRODUCT((('CASE MASTER'!$T$2:$T$495=11)*('CASE MASTER'!$U$2:$U$495&lt;=6)*('CASE MASTER'!$W$2:$W$495&gt;=6)*('CASE MASTER'!$V$2:$V$495&lt;=5)*('CASE MASTER'!$X$2:$X$495&gt;=5))*ROW('CASE MASTER'!$T$2:$T$495))&gt;0,INDEX('CASE MASTER'!$Y$2:$Y$495,(SUMPRODUCT((('CASE MASTER'!$T$2:$T$495=11)*('CASE MASTER'!$U$2:$U$495&lt;=6)*('CASE MASTER'!$W$2:$W$495&gt;=6)*('CASE MASTER'!$V$2:$V$495&lt;=5)*('CASE MASTER'!$X$2:$X$495&gt;=5))*ROW('CASE MASTER'!$T$2:$T$495))-(ROW('CASE MASTER'!#REF!)-1)))&amp;TRIM(MID(SUBSTITUTE(SUBSTITUTE(INDEX('CASE MASTER'!$N$2:$N$495,(SUMPRODUCT((('CASE MASTER'!$T$2:$T$495=11)*('CASE MASTER'!$U$2:$U$495&lt;=6)*('CASE MASTER'!$W$2:$W$495&gt;=6)*('CASE MASTER'!$V$2:$V$495&lt;=5)*('CASE MASTER'!$X$2:$X$495&gt;=5))*ROW('CASE MASTER'!$T$2:$T$495))-(ROW('CASE MASTER'!#REF!)-1))),":",","),",",REPT(" ",50)),((((6-INDEX('CASE MASTER'!$U$2:$U$495,(SUMPRODUCT((('CASE MASTER'!$T$2:$T$495=11)*('CASE MASTER'!$U$2:$U$495&lt;=6)*('CASE MASTER'!$W$2:$W$495&gt;=6)*('CASE MASTER'!$V$2:$V$495&lt;=5)*('CASE MASTER'!$X$2:$X$495&gt;=5))*ROW('CASE MASTER'!$T$2:$T$495))-(ROW('CASE MASTER'!#REF!)-1))))*(INDEX('CASE MASTER'!$X$2:$X$495,(SUMPRODUCT((('CASE MASTER'!$T$2:$T$495=11)*('CASE MASTER'!$U$2:$U$495&lt;=6)*('CASE MASTER'!$W$2:$W$495&gt;=6)*('CASE MASTER'!$V$2:$V$495&lt;=5)*('CASE MASTER'!$X$2:$X$495&gt;=5))*ROW('CASE MASTER'!$T$2:$T$495))-(ROW('CASE MASTER'!#REF!)-1)))-INDEX('CASE MASTER'!$V$2:$V$495,(SUMPRODUCT((('CASE MASTER'!$T$2:$T$495=11)*('CASE MASTER'!$U$2:$U$495&lt;=6)*('CASE MASTER'!$W$2:$W$495&gt;=6)*('CASE MASTER'!$V$2:$V$495&lt;=5)*('CASE MASTER'!$X$2:$X$495&gt;=5))*ROW('CASE MASTER'!$T$2:$T$495))-(ROW('CASE MASTER'!#REF!)-1)))+1)+(5-INDEX('CASE MASTER'!$V$2:$V$495,(SUMPRODUCT((('CASE MASTER'!$T$2:$T$495=11)*('CASE MASTER'!$U$2:$U$495&lt;=6)*('CASE MASTER'!$W$2:$W$495&gt;=6)*('CASE MASTER'!$V$2:$V$495&lt;=5)*('CASE MASTER'!$X$2:$X$495&gt;=5))*ROW('CASE MASTER'!$T$2:$T$495))-(ROW('CASE MASTER'!#REF!)-1))))+1))-1)*50+1,50))&amp;"_"&amp;INDEX('CASE MASTER'!$Q$2:$Q$495,(SUMPRODUCT((('CASE MASTER'!$T$2:$T$495=11)*('CASE MASTER'!$U$2:$U$495&lt;=6)*('CASE MASTER'!$W$2:$W$495&gt;=6)*('CASE MASTER'!$V$2:$V$495&lt;=5)*('CASE MASTER'!$X$2:$X$495&gt;=5))*ROW('CASE MASTER'!$T$2:$T$495))-(ROW('CASE MASTER'!#REF!)-1))),IF(SUMPRODUCT((('CASE MASTER'!$T$2:$T$495=11)*('CASE MASTER'!$AA$2:$AA$495&lt;=6)*('CASE MASTER'!$AC$2:$AC$495&gt;=6)*('CASE MASTER'!$AB$2:$AB$495&lt;=5)*('CASE MASTER'!$AD$2:$AD$495&gt;=5))*ROW('CASE MASTER'!$T$2:$T$495))&gt;0,INDEX('CASE MASTER'!$Y$2:$Y$495,(SUMPRODUCT((('CASE MASTER'!$T$2:$T$495=11)*('CASE MASTER'!$AA$2:$AA$495&lt;=6)*('CASE MASTER'!$AC$2:$AC$495&gt;=6)*('CASE MASTER'!$AB$2:$AB$495&lt;=5)*('CASE MASTER'!$AD$2:$AD$495&gt;=5))*ROW('CASE MASTER'!$T$2:$T$495))-(ROW('CASE MASTER'!#REF!)-1)))&amp;TRIM(MID(SUBSTITUTE(SUBSTITUTE(INDEX('CASE MASTER'!$N$2:$N$495,(SUMPRODUCT((('CASE MASTER'!$T$2:$T$495=11)*('CASE MASTER'!$AA$2:$AA$495&lt;=6)*('CASE MASTER'!$AC$2:$AC$495&gt;=6)*('CASE MASTER'!$AB$2:$AB$495&lt;=5)*('CASE MASTER'!$AD$2:$AD$495&gt;=5))*ROW('CASE MASTER'!$T$2:$T$495))-(ROW('CASE MASTER'!#REF!)-1))),":",","),",",REPT(" ",50)),(((INDEX('CASE MASTER'!$Z$2:$Z$495,(SUMPRODUCT((('CASE MASTER'!$T$2:$T$495=11)*('CASE MASTER'!$AA$2:$AA$495&lt;=6)*('CASE MASTER'!$AC$2:$AC$495&gt;=6)*('CASE MASTER'!$AB$2:$AB$495&lt;=5)*('CASE MASTER'!$AD$2:$AD$495&gt;=5))*ROW('CASE MASTER'!$T$2:$T$495))-(ROW('CASE MASTER'!#REF!)-1)))+((6-INDEX('CASE MASTER'!$AA$2:$AA$495,(SUMPRODUCT((('CASE MASTER'!$T$2:$T$495=11)*('CASE MASTER'!$AA$2:$AA$495&lt;=6)*('CASE MASTER'!$AC$2:$AC$495&gt;=6)*('CASE MASTER'!$AB$2:$AB$495&lt;=5)*('CASE MASTER'!$AD$2:$AD$495&gt;=5))*ROW('CASE MASTER'!$T$2:$T$495))-(ROW('CASE MASTER'!#REF!)-1))))*(INDEX('CASE MASTER'!$AD$2:$AD$495,(SUMPRODUCT((('CASE MASTER'!$T$2:$T$495=11)*('CASE MASTER'!$AA$2:$AA$495&lt;=6)*('CASE MASTER'!$AC$2:$AC$495&gt;=6)*('CASE MASTER'!$AB$2:$AB$495&lt;=5)*('CASE MASTER'!$AD$2:$AD$495&gt;=5))*ROW('CASE MASTER'!$T$2:$T$495))-(ROW('CASE MASTER'!#REF!)-1)))-INDEX('CASE MASTER'!$AB$2:$AB$495,(SUMPRODUCT((('CASE MASTER'!$T$2:$T$495=11)*('CASE MASTER'!$AA$2:$AA$495&lt;=6)*('CASE MASTER'!$AC$2:$AC$495&gt;=6)*('CASE MASTER'!$AB$2:$AB$495&lt;=5)*('CASE MASTER'!$AD$2:$AD$495&gt;=5))*ROW('CASE MASTER'!$T$2:$T$495))-(ROW('CASE MASTER'!#REF!)-1)))+1)+(5-INDEX('CASE MASTER'!$AB$2:$AB$495,(SUMPRODUCT((('CASE MASTER'!$T$2:$T$495=11)*('CASE MASTER'!$AA$2:$AA$495&lt;=6)*('CASE MASTER'!$AC$2:$AC$495&gt;=6)*('CASE MASTER'!$AB$2:$AB$495&lt;=5)*('CASE MASTER'!$AD$2:$AD$495&gt;=5))*ROW('CASE MASTER'!$T$2:$T$495))-(ROW('CASE MASTER'!#REF!)-1))))+1)))-1)*50+1,50))&amp;"_"&amp;INDEX('CASE MASTER'!$Q$2:$Q$495,(SUMPRODUCT((('CASE MASTER'!$T$2:$T$495=11)*('CASE MASTER'!$AA$2:$AA$495&lt;=6)*('CASE MASTER'!$AC$2:$AC$495&gt;=6)*('CASE MASTER'!$AB$2:$AB$495&lt;=5)*('CASE MASTER'!$AD$2:$AD$495&gt;=5))*ROW('CASE MASTER'!$T$2:$T$495))-(ROW('CASE MASTER'!#REF!)-1))),"")),"")</f>
        <v/>
      </c>
      <c r="G148" s="10" t="str">
        <f>IFERROR(IF(SUMPRODUCT((('CASE MASTER'!$T$2:$T$495=11)*('CASE MASTER'!$U$2:$U$495&lt;=6)*('CASE MASTER'!$W$2:$W$495&gt;=6)*('CASE MASTER'!$V$2:$V$495&lt;=6)*('CASE MASTER'!$X$2:$X$495&gt;=6))*ROW('CASE MASTER'!$T$2:$T$495))&gt;0,INDEX('CASE MASTER'!$Y$2:$Y$495,(SUMPRODUCT((('CASE MASTER'!$T$2:$T$495=11)*('CASE MASTER'!$U$2:$U$495&lt;=6)*('CASE MASTER'!$W$2:$W$495&gt;=6)*('CASE MASTER'!$V$2:$V$495&lt;=6)*('CASE MASTER'!$X$2:$X$495&gt;=6))*ROW('CASE MASTER'!$T$2:$T$495))-(ROW('CASE MASTER'!#REF!)-1)))&amp;TRIM(MID(SUBSTITUTE(SUBSTITUTE(INDEX('CASE MASTER'!$N$2:$N$495,(SUMPRODUCT((('CASE MASTER'!$T$2:$T$495=11)*('CASE MASTER'!$U$2:$U$495&lt;=6)*('CASE MASTER'!$W$2:$W$495&gt;=6)*('CASE MASTER'!$V$2:$V$495&lt;=6)*('CASE MASTER'!$X$2:$X$495&gt;=6))*ROW('CASE MASTER'!$T$2:$T$495))-(ROW('CASE MASTER'!#REF!)-1))),":",","),",",REPT(" ",50)),((((6-INDEX('CASE MASTER'!$U$2:$U$495,(SUMPRODUCT((('CASE MASTER'!$T$2:$T$495=11)*('CASE MASTER'!$U$2:$U$495&lt;=6)*('CASE MASTER'!$W$2:$W$495&gt;=6)*('CASE MASTER'!$V$2:$V$495&lt;=6)*('CASE MASTER'!$X$2:$X$495&gt;=6))*ROW('CASE MASTER'!$T$2:$T$495))-(ROW('CASE MASTER'!#REF!)-1))))*(INDEX('CASE MASTER'!$X$2:$X$495,(SUMPRODUCT((('CASE MASTER'!$T$2:$T$495=11)*('CASE MASTER'!$U$2:$U$495&lt;=6)*('CASE MASTER'!$W$2:$W$495&gt;=6)*('CASE MASTER'!$V$2:$V$495&lt;=6)*('CASE MASTER'!$X$2:$X$495&gt;=6))*ROW('CASE MASTER'!$T$2:$T$495))-(ROW('CASE MASTER'!#REF!)-1)))-INDEX('CASE MASTER'!$V$2:$V$495,(SUMPRODUCT((('CASE MASTER'!$T$2:$T$495=11)*('CASE MASTER'!$U$2:$U$495&lt;=6)*('CASE MASTER'!$W$2:$W$495&gt;=6)*('CASE MASTER'!$V$2:$V$495&lt;=6)*('CASE MASTER'!$X$2:$X$495&gt;=6))*ROW('CASE MASTER'!$T$2:$T$495))-(ROW('CASE MASTER'!#REF!)-1)))+1)+(6-INDEX('CASE MASTER'!$V$2:$V$495,(SUMPRODUCT((('CASE MASTER'!$T$2:$T$495=11)*('CASE MASTER'!$U$2:$U$495&lt;=6)*('CASE MASTER'!$W$2:$W$495&gt;=6)*('CASE MASTER'!$V$2:$V$495&lt;=6)*('CASE MASTER'!$X$2:$X$495&gt;=6))*ROW('CASE MASTER'!$T$2:$T$495))-(ROW('CASE MASTER'!#REF!)-1))))+1))-1)*50+1,50))&amp;"_"&amp;INDEX('CASE MASTER'!$Q$2:$Q$495,(SUMPRODUCT((('CASE MASTER'!$T$2:$T$495=11)*('CASE MASTER'!$U$2:$U$495&lt;=6)*('CASE MASTER'!$W$2:$W$495&gt;=6)*('CASE MASTER'!$V$2:$V$495&lt;=6)*('CASE MASTER'!$X$2:$X$495&gt;=6))*ROW('CASE MASTER'!$T$2:$T$495))-(ROW('CASE MASTER'!#REF!)-1))),IF(SUMPRODUCT((('CASE MASTER'!$T$2:$T$495=11)*('CASE MASTER'!$AA$2:$AA$495&lt;=6)*('CASE MASTER'!$AC$2:$AC$495&gt;=6)*('CASE MASTER'!$AB$2:$AB$495&lt;=6)*('CASE MASTER'!$AD$2:$AD$495&gt;=6))*ROW('CASE MASTER'!$T$2:$T$495))&gt;0,INDEX('CASE MASTER'!$Y$2:$Y$495,(SUMPRODUCT((('CASE MASTER'!$T$2:$T$495=11)*('CASE MASTER'!$AA$2:$AA$495&lt;=6)*('CASE MASTER'!$AC$2:$AC$495&gt;=6)*('CASE MASTER'!$AB$2:$AB$495&lt;=6)*('CASE MASTER'!$AD$2:$AD$495&gt;=6))*ROW('CASE MASTER'!$T$2:$T$495))-(ROW('CASE MASTER'!#REF!)-1)))&amp;TRIM(MID(SUBSTITUTE(SUBSTITUTE(INDEX('CASE MASTER'!$N$2:$N$495,(SUMPRODUCT((('CASE MASTER'!$T$2:$T$495=11)*('CASE MASTER'!$AA$2:$AA$495&lt;=6)*('CASE MASTER'!$AC$2:$AC$495&gt;=6)*('CASE MASTER'!$AB$2:$AB$495&lt;=6)*('CASE MASTER'!$AD$2:$AD$495&gt;=6))*ROW('CASE MASTER'!$T$2:$T$495))-(ROW('CASE MASTER'!#REF!)-1))),":",","),",",REPT(" ",50)),(((INDEX('CASE MASTER'!$Z$2:$Z$495,(SUMPRODUCT((('CASE MASTER'!$T$2:$T$495=11)*('CASE MASTER'!$AA$2:$AA$495&lt;=6)*('CASE MASTER'!$AC$2:$AC$495&gt;=6)*('CASE MASTER'!$AB$2:$AB$495&lt;=6)*('CASE MASTER'!$AD$2:$AD$495&gt;=6))*ROW('CASE MASTER'!$T$2:$T$495))-(ROW('CASE MASTER'!#REF!)-1)))+((6-INDEX('CASE MASTER'!$AA$2:$AA$495,(SUMPRODUCT((('CASE MASTER'!$T$2:$T$495=11)*('CASE MASTER'!$AA$2:$AA$495&lt;=6)*('CASE MASTER'!$AC$2:$AC$495&gt;=6)*('CASE MASTER'!$AB$2:$AB$495&lt;=6)*('CASE MASTER'!$AD$2:$AD$495&gt;=6))*ROW('CASE MASTER'!$T$2:$T$495))-(ROW('CASE MASTER'!#REF!)-1))))*(INDEX('CASE MASTER'!$AD$2:$AD$495,(SUMPRODUCT((('CASE MASTER'!$T$2:$T$495=11)*('CASE MASTER'!$AA$2:$AA$495&lt;=6)*('CASE MASTER'!$AC$2:$AC$495&gt;=6)*('CASE MASTER'!$AB$2:$AB$495&lt;=6)*('CASE MASTER'!$AD$2:$AD$495&gt;=6))*ROW('CASE MASTER'!$T$2:$T$495))-(ROW('CASE MASTER'!#REF!)-1)))-INDEX('CASE MASTER'!$AB$2:$AB$495,(SUMPRODUCT((('CASE MASTER'!$T$2:$T$495=11)*('CASE MASTER'!$AA$2:$AA$495&lt;=6)*('CASE MASTER'!$AC$2:$AC$495&gt;=6)*('CASE MASTER'!$AB$2:$AB$495&lt;=6)*('CASE MASTER'!$AD$2:$AD$495&gt;=6))*ROW('CASE MASTER'!$T$2:$T$495))-(ROW('CASE MASTER'!#REF!)-1)))+1)+(6-INDEX('CASE MASTER'!$AB$2:$AB$495,(SUMPRODUCT((('CASE MASTER'!$T$2:$T$495=11)*('CASE MASTER'!$AA$2:$AA$495&lt;=6)*('CASE MASTER'!$AC$2:$AC$495&gt;=6)*('CASE MASTER'!$AB$2:$AB$495&lt;=6)*('CASE MASTER'!$AD$2:$AD$495&gt;=6))*ROW('CASE MASTER'!$T$2:$T$495))-(ROW('CASE MASTER'!#REF!)-1))))+1)))-1)*50+1,50))&amp;"_"&amp;INDEX('CASE MASTER'!$Q$2:$Q$495,(SUMPRODUCT((('CASE MASTER'!$T$2:$T$495=11)*('CASE MASTER'!$AA$2:$AA$495&lt;=6)*('CASE MASTER'!$AC$2:$AC$495&gt;=6)*('CASE MASTER'!$AB$2:$AB$495&lt;=6)*('CASE MASTER'!$AD$2:$AD$495&gt;=6))*ROW('CASE MASTER'!$T$2:$T$495))-(ROW('CASE MASTER'!#REF!)-1))),"")),"")</f>
        <v/>
      </c>
      <c r="H148" s="10" t="str">
        <f>IFERROR(IF(SUMPRODUCT((('CASE MASTER'!$T$2:$T$495=11)*('CASE MASTER'!$U$2:$U$495&lt;=6)*('CASE MASTER'!$W$2:$W$495&gt;=6)*('CASE MASTER'!$V$2:$V$495&lt;=7)*('CASE MASTER'!$X$2:$X$495&gt;=7))*ROW('CASE MASTER'!$T$2:$T$495))&gt;0,INDEX('CASE MASTER'!$Y$2:$Y$495,(SUMPRODUCT((('CASE MASTER'!$T$2:$T$495=11)*('CASE MASTER'!$U$2:$U$495&lt;=6)*('CASE MASTER'!$W$2:$W$495&gt;=6)*('CASE MASTER'!$V$2:$V$495&lt;=7)*('CASE MASTER'!$X$2:$X$495&gt;=7))*ROW('CASE MASTER'!$T$2:$T$495))-(ROW('CASE MASTER'!#REF!)-1)))&amp;TRIM(MID(SUBSTITUTE(SUBSTITUTE(INDEX('CASE MASTER'!$N$2:$N$495,(SUMPRODUCT((('CASE MASTER'!$T$2:$T$495=11)*('CASE MASTER'!$U$2:$U$495&lt;=6)*('CASE MASTER'!$W$2:$W$495&gt;=6)*('CASE MASTER'!$V$2:$V$495&lt;=7)*('CASE MASTER'!$X$2:$X$495&gt;=7))*ROW('CASE MASTER'!$T$2:$T$495))-(ROW('CASE MASTER'!#REF!)-1))),":",","),",",REPT(" ",50)),((((6-INDEX('CASE MASTER'!$U$2:$U$495,(SUMPRODUCT((('CASE MASTER'!$T$2:$T$495=11)*('CASE MASTER'!$U$2:$U$495&lt;=6)*('CASE MASTER'!$W$2:$W$495&gt;=6)*('CASE MASTER'!$V$2:$V$495&lt;=7)*('CASE MASTER'!$X$2:$X$495&gt;=7))*ROW('CASE MASTER'!$T$2:$T$495))-(ROW('CASE MASTER'!#REF!)-1))))*(INDEX('CASE MASTER'!$X$2:$X$495,(SUMPRODUCT((('CASE MASTER'!$T$2:$T$495=11)*('CASE MASTER'!$U$2:$U$495&lt;=6)*('CASE MASTER'!$W$2:$W$495&gt;=6)*('CASE MASTER'!$V$2:$V$495&lt;=7)*('CASE MASTER'!$X$2:$X$495&gt;=7))*ROW('CASE MASTER'!$T$2:$T$495))-(ROW('CASE MASTER'!#REF!)-1)))-INDEX('CASE MASTER'!$V$2:$V$495,(SUMPRODUCT((('CASE MASTER'!$T$2:$T$495=11)*('CASE MASTER'!$U$2:$U$495&lt;=6)*('CASE MASTER'!$W$2:$W$495&gt;=6)*('CASE MASTER'!$V$2:$V$495&lt;=7)*('CASE MASTER'!$X$2:$X$495&gt;=7))*ROW('CASE MASTER'!$T$2:$T$495))-(ROW('CASE MASTER'!#REF!)-1)))+1)+(7-INDEX('CASE MASTER'!$V$2:$V$495,(SUMPRODUCT((('CASE MASTER'!$T$2:$T$495=11)*('CASE MASTER'!$U$2:$U$495&lt;=6)*('CASE MASTER'!$W$2:$W$495&gt;=6)*('CASE MASTER'!$V$2:$V$495&lt;=7)*('CASE MASTER'!$X$2:$X$495&gt;=7))*ROW('CASE MASTER'!$T$2:$T$495))-(ROW('CASE MASTER'!#REF!)-1))))+1))-1)*50+1,50))&amp;"_"&amp;INDEX('CASE MASTER'!$Q$2:$Q$495,(SUMPRODUCT((('CASE MASTER'!$T$2:$T$495=11)*('CASE MASTER'!$U$2:$U$495&lt;=6)*('CASE MASTER'!$W$2:$W$495&gt;=6)*('CASE MASTER'!$V$2:$V$495&lt;=7)*('CASE MASTER'!$X$2:$X$495&gt;=7))*ROW('CASE MASTER'!$T$2:$T$495))-(ROW('CASE MASTER'!#REF!)-1))),IF(SUMPRODUCT((('CASE MASTER'!$T$2:$T$495=11)*('CASE MASTER'!$AA$2:$AA$495&lt;=6)*('CASE MASTER'!$AC$2:$AC$495&gt;=6)*('CASE MASTER'!$AB$2:$AB$495&lt;=7)*('CASE MASTER'!$AD$2:$AD$495&gt;=7))*ROW('CASE MASTER'!$T$2:$T$495))&gt;0,INDEX('CASE MASTER'!$Y$2:$Y$495,(SUMPRODUCT((('CASE MASTER'!$T$2:$T$495=11)*('CASE MASTER'!$AA$2:$AA$495&lt;=6)*('CASE MASTER'!$AC$2:$AC$495&gt;=6)*('CASE MASTER'!$AB$2:$AB$495&lt;=7)*('CASE MASTER'!$AD$2:$AD$495&gt;=7))*ROW('CASE MASTER'!$T$2:$T$495))-(ROW('CASE MASTER'!#REF!)-1)))&amp;TRIM(MID(SUBSTITUTE(SUBSTITUTE(INDEX('CASE MASTER'!$N$2:$N$495,(SUMPRODUCT((('CASE MASTER'!$T$2:$T$495=11)*('CASE MASTER'!$AA$2:$AA$495&lt;=6)*('CASE MASTER'!$AC$2:$AC$495&gt;=6)*('CASE MASTER'!$AB$2:$AB$495&lt;=7)*('CASE MASTER'!$AD$2:$AD$495&gt;=7))*ROW('CASE MASTER'!$T$2:$T$495))-(ROW('CASE MASTER'!#REF!)-1))),":",","),",",REPT(" ",50)),(((INDEX('CASE MASTER'!$Z$2:$Z$495,(SUMPRODUCT((('CASE MASTER'!$T$2:$T$495=11)*('CASE MASTER'!$AA$2:$AA$495&lt;=6)*('CASE MASTER'!$AC$2:$AC$495&gt;=6)*('CASE MASTER'!$AB$2:$AB$495&lt;=7)*('CASE MASTER'!$AD$2:$AD$495&gt;=7))*ROW('CASE MASTER'!$T$2:$T$495))-(ROW('CASE MASTER'!#REF!)-1)))+((6-INDEX('CASE MASTER'!$AA$2:$AA$495,(SUMPRODUCT((('CASE MASTER'!$T$2:$T$495=11)*('CASE MASTER'!$AA$2:$AA$495&lt;=6)*('CASE MASTER'!$AC$2:$AC$495&gt;=6)*('CASE MASTER'!$AB$2:$AB$495&lt;=7)*('CASE MASTER'!$AD$2:$AD$495&gt;=7))*ROW('CASE MASTER'!$T$2:$T$495))-(ROW('CASE MASTER'!#REF!)-1))))*(INDEX('CASE MASTER'!$AD$2:$AD$495,(SUMPRODUCT((('CASE MASTER'!$T$2:$T$495=11)*('CASE MASTER'!$AA$2:$AA$495&lt;=6)*('CASE MASTER'!$AC$2:$AC$495&gt;=6)*('CASE MASTER'!$AB$2:$AB$495&lt;=7)*('CASE MASTER'!$AD$2:$AD$495&gt;=7))*ROW('CASE MASTER'!$T$2:$T$495))-(ROW('CASE MASTER'!#REF!)-1)))-INDEX('CASE MASTER'!$AB$2:$AB$495,(SUMPRODUCT((('CASE MASTER'!$T$2:$T$495=11)*('CASE MASTER'!$AA$2:$AA$495&lt;=6)*('CASE MASTER'!$AC$2:$AC$495&gt;=6)*('CASE MASTER'!$AB$2:$AB$495&lt;=7)*('CASE MASTER'!$AD$2:$AD$495&gt;=7))*ROW('CASE MASTER'!$T$2:$T$495))-(ROW('CASE MASTER'!#REF!)-1)))+1)+(7-INDEX('CASE MASTER'!$AB$2:$AB$495,(SUMPRODUCT((('CASE MASTER'!$T$2:$T$495=11)*('CASE MASTER'!$AA$2:$AA$495&lt;=6)*('CASE MASTER'!$AC$2:$AC$495&gt;=6)*('CASE MASTER'!$AB$2:$AB$495&lt;=7)*('CASE MASTER'!$AD$2:$AD$495&gt;=7))*ROW('CASE MASTER'!$T$2:$T$495))-(ROW('CASE MASTER'!#REF!)-1))))+1)))-1)*50+1,50))&amp;"_"&amp;INDEX('CASE MASTER'!$Q$2:$Q$495,(SUMPRODUCT((('CASE MASTER'!$T$2:$T$495=11)*('CASE MASTER'!$AA$2:$AA$495&lt;=6)*('CASE MASTER'!$AC$2:$AC$495&gt;=6)*('CASE MASTER'!$AB$2:$AB$495&lt;=7)*('CASE MASTER'!$AD$2:$AD$495&gt;=7))*ROW('CASE MASTER'!$T$2:$T$495))-(ROW('CASE MASTER'!#REF!)-1))),"")),"")</f>
        <v/>
      </c>
      <c r="I148" s="10" t="str">
        <f>IFERROR(IF(SUMPRODUCT((('CASE MASTER'!$T$2:$T$495=11)*('CASE MASTER'!$U$2:$U$495&lt;=6)*('CASE MASTER'!$W$2:$W$495&gt;=6)*('CASE MASTER'!$V$2:$V$495&lt;=8)*('CASE MASTER'!$X$2:$X$495&gt;=8))*ROW('CASE MASTER'!$T$2:$T$495))&gt;0,INDEX('CASE MASTER'!$Y$2:$Y$495,(SUMPRODUCT((('CASE MASTER'!$T$2:$T$495=11)*('CASE MASTER'!$U$2:$U$495&lt;=6)*('CASE MASTER'!$W$2:$W$495&gt;=6)*('CASE MASTER'!$V$2:$V$495&lt;=8)*('CASE MASTER'!$X$2:$X$495&gt;=8))*ROW('CASE MASTER'!$T$2:$T$495))-(ROW('CASE MASTER'!#REF!)-1)))&amp;TRIM(MID(SUBSTITUTE(SUBSTITUTE(INDEX('CASE MASTER'!$N$2:$N$495,(SUMPRODUCT((('CASE MASTER'!$T$2:$T$495=11)*('CASE MASTER'!$U$2:$U$495&lt;=6)*('CASE MASTER'!$W$2:$W$495&gt;=6)*('CASE MASTER'!$V$2:$V$495&lt;=8)*('CASE MASTER'!$X$2:$X$495&gt;=8))*ROW('CASE MASTER'!$T$2:$T$495))-(ROW('CASE MASTER'!#REF!)-1))),":",","),",",REPT(" ",50)),((((6-INDEX('CASE MASTER'!$U$2:$U$495,(SUMPRODUCT((('CASE MASTER'!$T$2:$T$495=11)*('CASE MASTER'!$U$2:$U$495&lt;=6)*('CASE MASTER'!$W$2:$W$495&gt;=6)*('CASE MASTER'!$V$2:$V$495&lt;=8)*('CASE MASTER'!$X$2:$X$495&gt;=8))*ROW('CASE MASTER'!$T$2:$T$495))-(ROW('CASE MASTER'!#REF!)-1))))*(INDEX('CASE MASTER'!$X$2:$X$495,(SUMPRODUCT((('CASE MASTER'!$T$2:$T$495=11)*('CASE MASTER'!$U$2:$U$495&lt;=6)*('CASE MASTER'!$W$2:$W$495&gt;=6)*('CASE MASTER'!$V$2:$V$495&lt;=8)*('CASE MASTER'!$X$2:$X$495&gt;=8))*ROW('CASE MASTER'!$T$2:$T$495))-(ROW('CASE MASTER'!#REF!)-1)))-INDEX('CASE MASTER'!$V$2:$V$495,(SUMPRODUCT((('CASE MASTER'!$T$2:$T$495=11)*('CASE MASTER'!$U$2:$U$495&lt;=6)*('CASE MASTER'!$W$2:$W$495&gt;=6)*('CASE MASTER'!$V$2:$V$495&lt;=8)*('CASE MASTER'!$X$2:$X$495&gt;=8))*ROW('CASE MASTER'!$T$2:$T$495))-(ROW('CASE MASTER'!#REF!)-1)))+1)+(8-INDEX('CASE MASTER'!$V$2:$V$495,(SUMPRODUCT((('CASE MASTER'!$T$2:$T$495=11)*('CASE MASTER'!$U$2:$U$495&lt;=6)*('CASE MASTER'!$W$2:$W$495&gt;=6)*('CASE MASTER'!$V$2:$V$495&lt;=8)*('CASE MASTER'!$X$2:$X$495&gt;=8))*ROW('CASE MASTER'!$T$2:$T$495))-(ROW('CASE MASTER'!#REF!)-1))))+1))-1)*50+1,50))&amp;"_"&amp;INDEX('CASE MASTER'!$Q$2:$Q$495,(SUMPRODUCT((('CASE MASTER'!$T$2:$T$495=11)*('CASE MASTER'!$U$2:$U$495&lt;=6)*('CASE MASTER'!$W$2:$W$495&gt;=6)*('CASE MASTER'!$V$2:$V$495&lt;=8)*('CASE MASTER'!$X$2:$X$495&gt;=8))*ROW('CASE MASTER'!$T$2:$T$495))-(ROW('CASE MASTER'!#REF!)-1))),IF(SUMPRODUCT((('CASE MASTER'!$T$2:$T$495=11)*('CASE MASTER'!$AA$2:$AA$495&lt;=6)*('CASE MASTER'!$AC$2:$AC$495&gt;=6)*('CASE MASTER'!$AB$2:$AB$495&lt;=8)*('CASE MASTER'!$AD$2:$AD$495&gt;=8))*ROW('CASE MASTER'!$T$2:$T$495))&gt;0,INDEX('CASE MASTER'!$Y$2:$Y$495,(SUMPRODUCT((('CASE MASTER'!$T$2:$T$495=11)*('CASE MASTER'!$AA$2:$AA$495&lt;=6)*('CASE MASTER'!$AC$2:$AC$495&gt;=6)*('CASE MASTER'!$AB$2:$AB$495&lt;=8)*('CASE MASTER'!$AD$2:$AD$495&gt;=8))*ROW('CASE MASTER'!$T$2:$T$495))-(ROW('CASE MASTER'!#REF!)-1)))&amp;TRIM(MID(SUBSTITUTE(SUBSTITUTE(INDEX('CASE MASTER'!$N$2:$N$495,(SUMPRODUCT((('CASE MASTER'!$T$2:$T$495=11)*('CASE MASTER'!$AA$2:$AA$495&lt;=6)*('CASE MASTER'!$AC$2:$AC$495&gt;=6)*('CASE MASTER'!$AB$2:$AB$495&lt;=8)*('CASE MASTER'!$AD$2:$AD$495&gt;=8))*ROW('CASE MASTER'!$T$2:$T$495))-(ROW('CASE MASTER'!#REF!)-1))),":",","),",",REPT(" ",50)),(((INDEX('CASE MASTER'!$Z$2:$Z$495,(SUMPRODUCT((('CASE MASTER'!$T$2:$T$495=11)*('CASE MASTER'!$AA$2:$AA$495&lt;=6)*('CASE MASTER'!$AC$2:$AC$495&gt;=6)*('CASE MASTER'!$AB$2:$AB$495&lt;=8)*('CASE MASTER'!$AD$2:$AD$495&gt;=8))*ROW('CASE MASTER'!$T$2:$T$495))-(ROW('CASE MASTER'!#REF!)-1)))+((6-INDEX('CASE MASTER'!$AA$2:$AA$495,(SUMPRODUCT((('CASE MASTER'!$T$2:$T$495=11)*('CASE MASTER'!$AA$2:$AA$495&lt;=6)*('CASE MASTER'!$AC$2:$AC$495&gt;=6)*('CASE MASTER'!$AB$2:$AB$495&lt;=8)*('CASE MASTER'!$AD$2:$AD$495&gt;=8))*ROW('CASE MASTER'!$T$2:$T$495))-(ROW('CASE MASTER'!#REF!)-1))))*(INDEX('CASE MASTER'!$AD$2:$AD$495,(SUMPRODUCT((('CASE MASTER'!$T$2:$T$495=11)*('CASE MASTER'!$AA$2:$AA$495&lt;=6)*('CASE MASTER'!$AC$2:$AC$495&gt;=6)*('CASE MASTER'!$AB$2:$AB$495&lt;=8)*('CASE MASTER'!$AD$2:$AD$495&gt;=8))*ROW('CASE MASTER'!$T$2:$T$495))-(ROW('CASE MASTER'!#REF!)-1)))-INDEX('CASE MASTER'!$AB$2:$AB$495,(SUMPRODUCT((('CASE MASTER'!$T$2:$T$495=11)*('CASE MASTER'!$AA$2:$AA$495&lt;=6)*('CASE MASTER'!$AC$2:$AC$495&gt;=6)*('CASE MASTER'!$AB$2:$AB$495&lt;=8)*('CASE MASTER'!$AD$2:$AD$495&gt;=8))*ROW('CASE MASTER'!$T$2:$T$495))-(ROW('CASE MASTER'!#REF!)-1)))+1)+(8-INDEX('CASE MASTER'!$AB$2:$AB$495,(SUMPRODUCT((('CASE MASTER'!$T$2:$T$495=11)*('CASE MASTER'!$AA$2:$AA$495&lt;=6)*('CASE MASTER'!$AC$2:$AC$495&gt;=6)*('CASE MASTER'!$AB$2:$AB$495&lt;=8)*('CASE MASTER'!$AD$2:$AD$495&gt;=8))*ROW('CASE MASTER'!$T$2:$T$495))-(ROW('CASE MASTER'!#REF!)-1))))+1)))-1)*50+1,50))&amp;"_"&amp;INDEX('CASE MASTER'!$Q$2:$Q$495,(SUMPRODUCT((('CASE MASTER'!$T$2:$T$495=11)*('CASE MASTER'!$AA$2:$AA$495&lt;=6)*('CASE MASTER'!$AC$2:$AC$495&gt;=6)*('CASE MASTER'!$AB$2:$AB$495&lt;=8)*('CASE MASTER'!$AD$2:$AD$495&gt;=8))*ROW('CASE MASTER'!$T$2:$T$495))-(ROW('CASE MASTER'!#REF!)-1))),"")),"")</f>
        <v/>
      </c>
      <c r="J148" s="10" t="str">
        <f>IFERROR(IF(SUMPRODUCT((('CASE MASTER'!$T$2:$T$495=11)*('CASE MASTER'!$U$2:$U$495&lt;=6)*('CASE MASTER'!$W$2:$W$495&gt;=6)*('CASE MASTER'!$V$2:$V$495&lt;=9)*('CASE MASTER'!$X$2:$X$495&gt;=9))*ROW('CASE MASTER'!$T$2:$T$495))&gt;0,INDEX('CASE MASTER'!$Y$2:$Y$495,(SUMPRODUCT((('CASE MASTER'!$T$2:$T$495=11)*('CASE MASTER'!$U$2:$U$495&lt;=6)*('CASE MASTER'!$W$2:$W$495&gt;=6)*('CASE MASTER'!$V$2:$V$495&lt;=9)*('CASE MASTER'!$X$2:$X$495&gt;=9))*ROW('CASE MASTER'!$T$2:$T$495))-(ROW('CASE MASTER'!#REF!)-1)))&amp;TRIM(MID(SUBSTITUTE(SUBSTITUTE(INDEX('CASE MASTER'!$N$2:$N$495,(SUMPRODUCT((('CASE MASTER'!$T$2:$T$495=11)*('CASE MASTER'!$U$2:$U$495&lt;=6)*('CASE MASTER'!$W$2:$W$495&gt;=6)*('CASE MASTER'!$V$2:$V$495&lt;=9)*('CASE MASTER'!$X$2:$X$495&gt;=9))*ROW('CASE MASTER'!$T$2:$T$495))-(ROW('CASE MASTER'!#REF!)-1))),":",","),",",REPT(" ",50)),((((6-INDEX('CASE MASTER'!$U$2:$U$495,(SUMPRODUCT((('CASE MASTER'!$T$2:$T$495=11)*('CASE MASTER'!$U$2:$U$495&lt;=6)*('CASE MASTER'!$W$2:$W$495&gt;=6)*('CASE MASTER'!$V$2:$V$495&lt;=9)*('CASE MASTER'!$X$2:$X$495&gt;=9))*ROW('CASE MASTER'!$T$2:$T$495))-(ROW('CASE MASTER'!#REF!)-1))))*(INDEX('CASE MASTER'!$X$2:$X$495,(SUMPRODUCT((('CASE MASTER'!$T$2:$T$495=11)*('CASE MASTER'!$U$2:$U$495&lt;=6)*('CASE MASTER'!$W$2:$W$495&gt;=6)*('CASE MASTER'!$V$2:$V$495&lt;=9)*('CASE MASTER'!$X$2:$X$495&gt;=9))*ROW('CASE MASTER'!$T$2:$T$495))-(ROW('CASE MASTER'!#REF!)-1)))-INDEX('CASE MASTER'!$V$2:$V$495,(SUMPRODUCT((('CASE MASTER'!$T$2:$T$495=11)*('CASE MASTER'!$U$2:$U$495&lt;=6)*('CASE MASTER'!$W$2:$W$495&gt;=6)*('CASE MASTER'!$V$2:$V$495&lt;=9)*('CASE MASTER'!$X$2:$X$495&gt;=9))*ROW('CASE MASTER'!$T$2:$T$495))-(ROW('CASE MASTER'!#REF!)-1)))+1)+(9-INDEX('CASE MASTER'!$V$2:$V$495,(SUMPRODUCT((('CASE MASTER'!$T$2:$T$495=11)*('CASE MASTER'!$U$2:$U$495&lt;=6)*('CASE MASTER'!$W$2:$W$495&gt;=6)*('CASE MASTER'!$V$2:$V$495&lt;=9)*('CASE MASTER'!$X$2:$X$495&gt;=9))*ROW('CASE MASTER'!$T$2:$T$495))-(ROW('CASE MASTER'!#REF!)-1))))+1))-1)*50+1,50))&amp;"_"&amp;INDEX('CASE MASTER'!$Q$2:$Q$495,(SUMPRODUCT((('CASE MASTER'!$T$2:$T$495=11)*('CASE MASTER'!$U$2:$U$495&lt;=6)*('CASE MASTER'!$W$2:$W$495&gt;=6)*('CASE MASTER'!$V$2:$V$495&lt;=9)*('CASE MASTER'!$X$2:$X$495&gt;=9))*ROW('CASE MASTER'!$T$2:$T$495))-(ROW('CASE MASTER'!#REF!)-1))),IF(SUMPRODUCT((('CASE MASTER'!$T$2:$T$495=11)*('CASE MASTER'!$AA$2:$AA$495&lt;=6)*('CASE MASTER'!$AC$2:$AC$495&gt;=6)*('CASE MASTER'!$AB$2:$AB$495&lt;=9)*('CASE MASTER'!$AD$2:$AD$495&gt;=9))*ROW('CASE MASTER'!$T$2:$T$495))&gt;0,INDEX('CASE MASTER'!$Y$2:$Y$495,(SUMPRODUCT((('CASE MASTER'!$T$2:$T$495=11)*('CASE MASTER'!$AA$2:$AA$495&lt;=6)*('CASE MASTER'!$AC$2:$AC$495&gt;=6)*('CASE MASTER'!$AB$2:$AB$495&lt;=9)*('CASE MASTER'!$AD$2:$AD$495&gt;=9))*ROW('CASE MASTER'!$T$2:$T$495))-(ROW('CASE MASTER'!#REF!)-1)))&amp;TRIM(MID(SUBSTITUTE(SUBSTITUTE(INDEX('CASE MASTER'!$N$2:$N$495,(SUMPRODUCT((('CASE MASTER'!$T$2:$T$495=11)*('CASE MASTER'!$AA$2:$AA$495&lt;=6)*('CASE MASTER'!$AC$2:$AC$495&gt;=6)*('CASE MASTER'!$AB$2:$AB$495&lt;=9)*('CASE MASTER'!$AD$2:$AD$495&gt;=9))*ROW('CASE MASTER'!$T$2:$T$495))-(ROW('CASE MASTER'!#REF!)-1))),":",","),",",REPT(" ",50)),(((INDEX('CASE MASTER'!$Z$2:$Z$495,(SUMPRODUCT((('CASE MASTER'!$T$2:$T$495=11)*('CASE MASTER'!$AA$2:$AA$495&lt;=6)*('CASE MASTER'!$AC$2:$AC$495&gt;=6)*('CASE MASTER'!$AB$2:$AB$495&lt;=9)*('CASE MASTER'!$AD$2:$AD$495&gt;=9))*ROW('CASE MASTER'!$T$2:$T$495))-(ROW('CASE MASTER'!#REF!)-1)))+((6-INDEX('CASE MASTER'!$AA$2:$AA$495,(SUMPRODUCT((('CASE MASTER'!$T$2:$T$495=11)*('CASE MASTER'!$AA$2:$AA$495&lt;=6)*('CASE MASTER'!$AC$2:$AC$495&gt;=6)*('CASE MASTER'!$AB$2:$AB$495&lt;=9)*('CASE MASTER'!$AD$2:$AD$495&gt;=9))*ROW('CASE MASTER'!$T$2:$T$495))-(ROW('CASE MASTER'!#REF!)-1))))*(INDEX('CASE MASTER'!$AD$2:$AD$495,(SUMPRODUCT((('CASE MASTER'!$T$2:$T$495=11)*('CASE MASTER'!$AA$2:$AA$495&lt;=6)*('CASE MASTER'!$AC$2:$AC$495&gt;=6)*('CASE MASTER'!$AB$2:$AB$495&lt;=9)*('CASE MASTER'!$AD$2:$AD$495&gt;=9))*ROW('CASE MASTER'!$T$2:$T$495))-(ROW('CASE MASTER'!#REF!)-1)))-INDEX('CASE MASTER'!$AB$2:$AB$495,(SUMPRODUCT((('CASE MASTER'!$T$2:$T$495=11)*('CASE MASTER'!$AA$2:$AA$495&lt;=6)*('CASE MASTER'!$AC$2:$AC$495&gt;=6)*('CASE MASTER'!$AB$2:$AB$495&lt;=9)*('CASE MASTER'!$AD$2:$AD$495&gt;=9))*ROW('CASE MASTER'!$T$2:$T$495))-(ROW('CASE MASTER'!#REF!)-1)))+1)+(9-INDEX('CASE MASTER'!$AB$2:$AB$495,(SUMPRODUCT((('CASE MASTER'!$T$2:$T$495=11)*('CASE MASTER'!$AA$2:$AA$495&lt;=6)*('CASE MASTER'!$AC$2:$AC$495&gt;=6)*('CASE MASTER'!$AB$2:$AB$495&lt;=9)*('CASE MASTER'!$AD$2:$AD$495&gt;=9))*ROW('CASE MASTER'!$T$2:$T$495))-(ROW('CASE MASTER'!#REF!)-1))))+1)))-1)*50+1,50))&amp;"_"&amp;INDEX('CASE MASTER'!$Q$2:$Q$495,(SUMPRODUCT((('CASE MASTER'!$T$2:$T$495=11)*('CASE MASTER'!$AA$2:$AA$495&lt;=6)*('CASE MASTER'!$AC$2:$AC$495&gt;=6)*('CASE MASTER'!$AB$2:$AB$495&lt;=9)*('CASE MASTER'!$AD$2:$AD$495&gt;=9))*ROW('CASE MASTER'!$T$2:$T$495))-(ROW('CASE MASTER'!#REF!)-1))),"")),"")</f>
        <v/>
      </c>
      <c r="K148" s="10" t="str">
        <f>IFERROR(IF(SUMPRODUCT((('CASE MASTER'!$T$2:$T$495=11)*('CASE MASTER'!$U$2:$U$495&lt;=6)*('CASE MASTER'!$W$2:$W$495&gt;=6)*('CASE MASTER'!$V$2:$V$495&lt;=10)*('CASE MASTER'!$X$2:$X$495&gt;=10))*ROW('CASE MASTER'!$T$2:$T$495))&gt;0,INDEX('CASE MASTER'!$Y$2:$Y$495,(SUMPRODUCT((('CASE MASTER'!$T$2:$T$495=11)*('CASE MASTER'!$U$2:$U$495&lt;=6)*('CASE MASTER'!$W$2:$W$495&gt;=6)*('CASE MASTER'!$V$2:$V$495&lt;=10)*('CASE MASTER'!$X$2:$X$495&gt;=10))*ROW('CASE MASTER'!$T$2:$T$495))-(ROW('CASE MASTER'!#REF!)-1)))&amp;TRIM(MID(SUBSTITUTE(SUBSTITUTE(INDEX('CASE MASTER'!$N$2:$N$495,(SUMPRODUCT((('CASE MASTER'!$T$2:$T$495=11)*('CASE MASTER'!$U$2:$U$495&lt;=6)*('CASE MASTER'!$W$2:$W$495&gt;=6)*('CASE MASTER'!$V$2:$V$495&lt;=10)*('CASE MASTER'!$X$2:$X$495&gt;=10))*ROW('CASE MASTER'!$T$2:$T$495))-(ROW('CASE MASTER'!#REF!)-1))),":",","),",",REPT(" ",50)),((((6-INDEX('CASE MASTER'!$U$2:$U$495,(SUMPRODUCT((('CASE MASTER'!$T$2:$T$495=11)*('CASE MASTER'!$U$2:$U$495&lt;=6)*('CASE MASTER'!$W$2:$W$495&gt;=6)*('CASE MASTER'!$V$2:$V$495&lt;=10)*('CASE MASTER'!$X$2:$X$495&gt;=10))*ROW('CASE MASTER'!$T$2:$T$495))-(ROW('CASE MASTER'!#REF!)-1))))*(INDEX('CASE MASTER'!$X$2:$X$495,(SUMPRODUCT((('CASE MASTER'!$T$2:$T$495=11)*('CASE MASTER'!$U$2:$U$495&lt;=6)*('CASE MASTER'!$W$2:$W$495&gt;=6)*('CASE MASTER'!$V$2:$V$495&lt;=10)*('CASE MASTER'!$X$2:$X$495&gt;=10))*ROW('CASE MASTER'!$T$2:$T$495))-(ROW('CASE MASTER'!#REF!)-1)))-INDEX('CASE MASTER'!$V$2:$V$495,(SUMPRODUCT((('CASE MASTER'!$T$2:$T$495=11)*('CASE MASTER'!$U$2:$U$495&lt;=6)*('CASE MASTER'!$W$2:$W$495&gt;=6)*('CASE MASTER'!$V$2:$V$495&lt;=10)*('CASE MASTER'!$X$2:$X$495&gt;=10))*ROW('CASE MASTER'!$T$2:$T$495))-(ROW('CASE MASTER'!#REF!)-1)))+1)+(10-INDEX('CASE MASTER'!$V$2:$V$495,(SUMPRODUCT((('CASE MASTER'!$T$2:$T$495=11)*('CASE MASTER'!$U$2:$U$495&lt;=6)*('CASE MASTER'!$W$2:$W$495&gt;=6)*('CASE MASTER'!$V$2:$V$495&lt;=10)*('CASE MASTER'!$X$2:$X$495&gt;=10))*ROW('CASE MASTER'!$T$2:$T$495))-(ROW('CASE MASTER'!#REF!)-1))))+1))-1)*50+1,50))&amp;"_"&amp;INDEX('CASE MASTER'!$Q$2:$Q$495,(SUMPRODUCT((('CASE MASTER'!$T$2:$T$495=11)*('CASE MASTER'!$U$2:$U$495&lt;=6)*('CASE MASTER'!$W$2:$W$495&gt;=6)*('CASE MASTER'!$V$2:$V$495&lt;=10)*('CASE MASTER'!$X$2:$X$495&gt;=10))*ROW('CASE MASTER'!$T$2:$T$495))-(ROW('CASE MASTER'!#REF!)-1))),IF(SUMPRODUCT((('CASE MASTER'!$T$2:$T$495=11)*('CASE MASTER'!$AA$2:$AA$495&lt;=6)*('CASE MASTER'!$AC$2:$AC$495&gt;=6)*('CASE MASTER'!$AB$2:$AB$495&lt;=10)*('CASE MASTER'!$AD$2:$AD$495&gt;=10))*ROW('CASE MASTER'!$T$2:$T$495))&gt;0,INDEX('CASE MASTER'!$Y$2:$Y$495,(SUMPRODUCT((('CASE MASTER'!$T$2:$T$495=11)*('CASE MASTER'!$AA$2:$AA$495&lt;=6)*('CASE MASTER'!$AC$2:$AC$495&gt;=6)*('CASE MASTER'!$AB$2:$AB$495&lt;=10)*('CASE MASTER'!$AD$2:$AD$495&gt;=10))*ROW('CASE MASTER'!$T$2:$T$495))-(ROW('CASE MASTER'!#REF!)-1)))&amp;TRIM(MID(SUBSTITUTE(SUBSTITUTE(INDEX('CASE MASTER'!$N$2:$N$495,(SUMPRODUCT((('CASE MASTER'!$T$2:$T$495=11)*('CASE MASTER'!$AA$2:$AA$495&lt;=6)*('CASE MASTER'!$AC$2:$AC$495&gt;=6)*('CASE MASTER'!$AB$2:$AB$495&lt;=10)*('CASE MASTER'!$AD$2:$AD$495&gt;=10))*ROW('CASE MASTER'!$T$2:$T$495))-(ROW('CASE MASTER'!#REF!)-1))),":",","),",",REPT(" ",50)),(((INDEX('CASE MASTER'!$Z$2:$Z$495,(SUMPRODUCT((('CASE MASTER'!$T$2:$T$495=11)*('CASE MASTER'!$AA$2:$AA$495&lt;=6)*('CASE MASTER'!$AC$2:$AC$495&gt;=6)*('CASE MASTER'!$AB$2:$AB$495&lt;=10)*('CASE MASTER'!$AD$2:$AD$495&gt;=10))*ROW('CASE MASTER'!$T$2:$T$495))-(ROW('CASE MASTER'!#REF!)-1)))+((6-INDEX('CASE MASTER'!$AA$2:$AA$495,(SUMPRODUCT((('CASE MASTER'!$T$2:$T$495=11)*('CASE MASTER'!$AA$2:$AA$495&lt;=6)*('CASE MASTER'!$AC$2:$AC$495&gt;=6)*('CASE MASTER'!$AB$2:$AB$495&lt;=10)*('CASE MASTER'!$AD$2:$AD$495&gt;=10))*ROW('CASE MASTER'!$T$2:$T$495))-(ROW('CASE MASTER'!#REF!)-1))))*(INDEX('CASE MASTER'!$AD$2:$AD$495,(SUMPRODUCT((('CASE MASTER'!$T$2:$T$495=11)*('CASE MASTER'!$AA$2:$AA$495&lt;=6)*('CASE MASTER'!$AC$2:$AC$495&gt;=6)*('CASE MASTER'!$AB$2:$AB$495&lt;=10)*('CASE MASTER'!$AD$2:$AD$495&gt;=10))*ROW('CASE MASTER'!$T$2:$T$495))-(ROW('CASE MASTER'!#REF!)-1)))-INDEX('CASE MASTER'!$AB$2:$AB$495,(SUMPRODUCT((('CASE MASTER'!$T$2:$T$495=11)*('CASE MASTER'!$AA$2:$AA$495&lt;=6)*('CASE MASTER'!$AC$2:$AC$495&gt;=6)*('CASE MASTER'!$AB$2:$AB$495&lt;=10)*('CASE MASTER'!$AD$2:$AD$495&gt;=10))*ROW('CASE MASTER'!$T$2:$T$495))-(ROW('CASE MASTER'!#REF!)-1)))+1)+(10-INDEX('CASE MASTER'!$AB$2:$AB$495,(SUMPRODUCT((('CASE MASTER'!$T$2:$T$495=11)*('CASE MASTER'!$AA$2:$AA$495&lt;=6)*('CASE MASTER'!$AC$2:$AC$495&gt;=6)*('CASE MASTER'!$AB$2:$AB$495&lt;=10)*('CASE MASTER'!$AD$2:$AD$495&gt;=10))*ROW('CASE MASTER'!$T$2:$T$495))-(ROW('CASE MASTER'!#REF!)-1))))+1)))-1)*50+1,50))&amp;"_"&amp;INDEX('CASE MASTER'!$Q$2:$Q$495,(SUMPRODUCT((('CASE MASTER'!$T$2:$T$495=11)*('CASE MASTER'!$AA$2:$AA$495&lt;=6)*('CASE MASTER'!$AC$2:$AC$495&gt;=6)*('CASE MASTER'!$AB$2:$AB$495&lt;=10)*('CASE MASTER'!$AD$2:$AD$495&gt;=10))*ROW('CASE MASTER'!$T$2:$T$495))-(ROW('CASE MASTER'!#REF!)-1))),"")),"")</f>
        <v/>
      </c>
    </row>
    <row r="149" spans="1:11" ht="15" customHeight="1" x14ac:dyDescent="0.35">
      <c r="A149" s="8" t="s">
        <v>34</v>
      </c>
      <c r="B149" s="10" t="str">
        <f>IFERROR(IF(SUMPRODUCT((('CASE MASTER'!$T$2:$T$495=11)*('CASE MASTER'!$U$2:$U$495&lt;=7)*('CASE MASTER'!$W$2:$W$495&gt;=7)*('CASE MASTER'!$V$2:$V$495&lt;=1)*('CASE MASTER'!$X$2:$X$495&gt;=1))*ROW('CASE MASTER'!$T$2:$T$495))&gt;0,INDEX('CASE MASTER'!$Y$2:$Y$495,(SUMPRODUCT((('CASE MASTER'!$T$2:$T$495=11)*('CASE MASTER'!$U$2:$U$495&lt;=7)*('CASE MASTER'!$W$2:$W$495&gt;=7)*('CASE MASTER'!$V$2:$V$495&lt;=1)*('CASE MASTER'!$X$2:$X$495&gt;=1))*ROW('CASE MASTER'!$T$2:$T$495))-(ROW('CASE MASTER'!#REF!)-1)))&amp;TRIM(MID(SUBSTITUTE(SUBSTITUTE(INDEX('CASE MASTER'!$N$2:$N$495,(SUMPRODUCT((('CASE MASTER'!$T$2:$T$495=11)*('CASE MASTER'!$U$2:$U$495&lt;=7)*('CASE MASTER'!$W$2:$W$495&gt;=7)*('CASE MASTER'!$V$2:$V$495&lt;=1)*('CASE MASTER'!$X$2:$X$495&gt;=1))*ROW('CASE MASTER'!$T$2:$T$495))-(ROW('CASE MASTER'!#REF!)-1))),":",","),",",REPT(" ",50)),((((7-INDEX('CASE MASTER'!$U$2:$U$495,(SUMPRODUCT((('CASE MASTER'!$T$2:$T$495=11)*('CASE MASTER'!$U$2:$U$495&lt;=7)*('CASE MASTER'!$W$2:$W$495&gt;=7)*('CASE MASTER'!$V$2:$V$495&lt;=1)*('CASE MASTER'!$X$2:$X$495&gt;=1))*ROW('CASE MASTER'!$T$2:$T$495))-(ROW('CASE MASTER'!#REF!)-1))))*(INDEX('CASE MASTER'!$X$2:$X$495,(SUMPRODUCT((('CASE MASTER'!$T$2:$T$495=11)*('CASE MASTER'!$U$2:$U$495&lt;=7)*('CASE MASTER'!$W$2:$W$495&gt;=7)*('CASE MASTER'!$V$2:$V$495&lt;=1)*('CASE MASTER'!$X$2:$X$495&gt;=1))*ROW('CASE MASTER'!$T$2:$T$495))-(ROW('CASE MASTER'!#REF!)-1)))-INDEX('CASE MASTER'!$V$2:$V$495,(SUMPRODUCT((('CASE MASTER'!$T$2:$T$495=11)*('CASE MASTER'!$U$2:$U$495&lt;=7)*('CASE MASTER'!$W$2:$W$495&gt;=7)*('CASE MASTER'!$V$2:$V$495&lt;=1)*('CASE MASTER'!$X$2:$X$495&gt;=1))*ROW('CASE MASTER'!$T$2:$T$495))-(ROW('CASE MASTER'!#REF!)-1)))+1)+(1-INDEX('CASE MASTER'!$V$2:$V$495,(SUMPRODUCT((('CASE MASTER'!$T$2:$T$495=11)*('CASE MASTER'!$U$2:$U$495&lt;=7)*('CASE MASTER'!$W$2:$W$495&gt;=7)*('CASE MASTER'!$V$2:$V$495&lt;=1)*('CASE MASTER'!$X$2:$X$495&gt;=1))*ROW('CASE MASTER'!$T$2:$T$495))-(ROW('CASE MASTER'!#REF!)-1))))+1))-1)*50+1,50))&amp;"_"&amp;INDEX('CASE MASTER'!$Q$2:$Q$495,(SUMPRODUCT((('CASE MASTER'!$T$2:$T$495=11)*('CASE MASTER'!$U$2:$U$495&lt;=7)*('CASE MASTER'!$W$2:$W$495&gt;=7)*('CASE MASTER'!$V$2:$V$495&lt;=1)*('CASE MASTER'!$X$2:$X$495&gt;=1))*ROW('CASE MASTER'!$T$2:$T$495))-(ROW('CASE MASTER'!#REF!)-1))),IF(SUMPRODUCT((('CASE MASTER'!$T$2:$T$495=11)*('CASE MASTER'!$AA$2:$AA$495&lt;=7)*('CASE MASTER'!$AC$2:$AC$495&gt;=7)*('CASE MASTER'!$AB$2:$AB$495&lt;=1)*('CASE MASTER'!$AD$2:$AD$495&gt;=1))*ROW('CASE MASTER'!$T$2:$T$495))&gt;0,INDEX('CASE MASTER'!$Y$2:$Y$495,(SUMPRODUCT((('CASE MASTER'!$T$2:$T$495=11)*('CASE MASTER'!$AA$2:$AA$495&lt;=7)*('CASE MASTER'!$AC$2:$AC$495&gt;=7)*('CASE MASTER'!$AB$2:$AB$495&lt;=1)*('CASE MASTER'!$AD$2:$AD$495&gt;=1))*ROW('CASE MASTER'!$T$2:$T$495))-(ROW('CASE MASTER'!#REF!)-1)))&amp;TRIM(MID(SUBSTITUTE(SUBSTITUTE(INDEX('CASE MASTER'!$N$2:$N$495,(SUMPRODUCT((('CASE MASTER'!$T$2:$T$495=11)*('CASE MASTER'!$AA$2:$AA$495&lt;=7)*('CASE MASTER'!$AC$2:$AC$495&gt;=7)*('CASE MASTER'!$AB$2:$AB$495&lt;=1)*('CASE MASTER'!$AD$2:$AD$495&gt;=1))*ROW('CASE MASTER'!$T$2:$T$495))-(ROW('CASE MASTER'!#REF!)-1))),":",","),",",REPT(" ",50)),(((INDEX('CASE MASTER'!$Z$2:$Z$495,(SUMPRODUCT((('CASE MASTER'!$T$2:$T$495=11)*('CASE MASTER'!$AA$2:$AA$495&lt;=7)*('CASE MASTER'!$AC$2:$AC$495&gt;=7)*('CASE MASTER'!$AB$2:$AB$495&lt;=1)*('CASE MASTER'!$AD$2:$AD$495&gt;=1))*ROW('CASE MASTER'!$T$2:$T$495))-(ROW('CASE MASTER'!#REF!)-1)))+((7-INDEX('CASE MASTER'!$AA$2:$AA$495,(SUMPRODUCT((('CASE MASTER'!$T$2:$T$495=11)*('CASE MASTER'!$AA$2:$AA$495&lt;=7)*('CASE MASTER'!$AC$2:$AC$495&gt;=7)*('CASE MASTER'!$AB$2:$AB$495&lt;=1)*('CASE MASTER'!$AD$2:$AD$495&gt;=1))*ROW('CASE MASTER'!$T$2:$T$495))-(ROW('CASE MASTER'!#REF!)-1))))*(INDEX('CASE MASTER'!$AD$2:$AD$495,(SUMPRODUCT((('CASE MASTER'!$T$2:$T$495=11)*('CASE MASTER'!$AA$2:$AA$495&lt;=7)*('CASE MASTER'!$AC$2:$AC$495&gt;=7)*('CASE MASTER'!$AB$2:$AB$495&lt;=1)*('CASE MASTER'!$AD$2:$AD$495&gt;=1))*ROW('CASE MASTER'!$T$2:$T$495))-(ROW('CASE MASTER'!#REF!)-1)))-INDEX('CASE MASTER'!$AB$2:$AB$495,(SUMPRODUCT((('CASE MASTER'!$T$2:$T$495=11)*('CASE MASTER'!$AA$2:$AA$495&lt;=7)*('CASE MASTER'!$AC$2:$AC$495&gt;=7)*('CASE MASTER'!$AB$2:$AB$495&lt;=1)*('CASE MASTER'!$AD$2:$AD$495&gt;=1))*ROW('CASE MASTER'!$T$2:$T$495))-(ROW('CASE MASTER'!#REF!)-1)))+1)+(1-INDEX('CASE MASTER'!$AB$2:$AB$495,(SUMPRODUCT((('CASE MASTER'!$T$2:$T$495=11)*('CASE MASTER'!$AA$2:$AA$495&lt;=7)*('CASE MASTER'!$AC$2:$AC$495&gt;=7)*('CASE MASTER'!$AB$2:$AB$495&lt;=1)*('CASE MASTER'!$AD$2:$AD$495&gt;=1))*ROW('CASE MASTER'!$T$2:$T$495))-(ROW('CASE MASTER'!#REF!)-1))))+1)))-1)*50+1,50))&amp;"_"&amp;INDEX('CASE MASTER'!$Q$2:$Q$495,(SUMPRODUCT((('CASE MASTER'!$T$2:$T$495=11)*('CASE MASTER'!$AA$2:$AA$495&lt;=7)*('CASE MASTER'!$AC$2:$AC$495&gt;=7)*('CASE MASTER'!$AB$2:$AB$495&lt;=1)*('CASE MASTER'!$AD$2:$AD$495&gt;=1))*ROW('CASE MASTER'!$T$2:$T$495))-(ROW('CASE MASTER'!#REF!)-1))),"")),"")</f>
        <v/>
      </c>
      <c r="C149" s="10" t="str">
        <f>IFERROR(IF(SUMPRODUCT((('CASE MASTER'!$T$2:$T$495=11)*('CASE MASTER'!$U$2:$U$495&lt;=7)*('CASE MASTER'!$W$2:$W$495&gt;=7)*('CASE MASTER'!$V$2:$V$495&lt;=2)*('CASE MASTER'!$X$2:$X$495&gt;=2))*ROW('CASE MASTER'!$T$2:$T$495))&gt;0,INDEX('CASE MASTER'!$Y$2:$Y$495,(SUMPRODUCT((('CASE MASTER'!$T$2:$T$495=11)*('CASE MASTER'!$U$2:$U$495&lt;=7)*('CASE MASTER'!$W$2:$W$495&gt;=7)*('CASE MASTER'!$V$2:$V$495&lt;=2)*('CASE MASTER'!$X$2:$X$495&gt;=2))*ROW('CASE MASTER'!$T$2:$T$495))-(ROW('CASE MASTER'!#REF!)-1)))&amp;TRIM(MID(SUBSTITUTE(SUBSTITUTE(INDEX('CASE MASTER'!$N$2:$N$495,(SUMPRODUCT((('CASE MASTER'!$T$2:$T$495=11)*('CASE MASTER'!$U$2:$U$495&lt;=7)*('CASE MASTER'!$W$2:$W$495&gt;=7)*('CASE MASTER'!$V$2:$V$495&lt;=2)*('CASE MASTER'!$X$2:$X$495&gt;=2))*ROW('CASE MASTER'!$T$2:$T$495))-(ROW('CASE MASTER'!#REF!)-1))),":",","),",",REPT(" ",50)),((((7-INDEX('CASE MASTER'!$U$2:$U$495,(SUMPRODUCT((('CASE MASTER'!$T$2:$T$495=11)*('CASE MASTER'!$U$2:$U$495&lt;=7)*('CASE MASTER'!$W$2:$W$495&gt;=7)*('CASE MASTER'!$V$2:$V$495&lt;=2)*('CASE MASTER'!$X$2:$X$495&gt;=2))*ROW('CASE MASTER'!$T$2:$T$495))-(ROW('CASE MASTER'!#REF!)-1))))*(INDEX('CASE MASTER'!$X$2:$X$495,(SUMPRODUCT((('CASE MASTER'!$T$2:$T$495=11)*('CASE MASTER'!$U$2:$U$495&lt;=7)*('CASE MASTER'!$W$2:$W$495&gt;=7)*('CASE MASTER'!$V$2:$V$495&lt;=2)*('CASE MASTER'!$X$2:$X$495&gt;=2))*ROW('CASE MASTER'!$T$2:$T$495))-(ROW('CASE MASTER'!#REF!)-1)))-INDEX('CASE MASTER'!$V$2:$V$495,(SUMPRODUCT((('CASE MASTER'!$T$2:$T$495=11)*('CASE MASTER'!$U$2:$U$495&lt;=7)*('CASE MASTER'!$W$2:$W$495&gt;=7)*('CASE MASTER'!$V$2:$V$495&lt;=2)*('CASE MASTER'!$X$2:$X$495&gt;=2))*ROW('CASE MASTER'!$T$2:$T$495))-(ROW('CASE MASTER'!#REF!)-1)))+1)+(2-INDEX('CASE MASTER'!$V$2:$V$495,(SUMPRODUCT((('CASE MASTER'!$T$2:$T$495=11)*('CASE MASTER'!$U$2:$U$495&lt;=7)*('CASE MASTER'!$W$2:$W$495&gt;=7)*('CASE MASTER'!$V$2:$V$495&lt;=2)*('CASE MASTER'!$X$2:$X$495&gt;=2))*ROW('CASE MASTER'!$T$2:$T$495))-(ROW('CASE MASTER'!#REF!)-1))))+1))-1)*50+1,50))&amp;"_"&amp;INDEX('CASE MASTER'!$Q$2:$Q$495,(SUMPRODUCT((('CASE MASTER'!$T$2:$T$495=11)*('CASE MASTER'!$U$2:$U$495&lt;=7)*('CASE MASTER'!$W$2:$W$495&gt;=7)*('CASE MASTER'!$V$2:$V$495&lt;=2)*('CASE MASTER'!$X$2:$X$495&gt;=2))*ROW('CASE MASTER'!$T$2:$T$495))-(ROW('CASE MASTER'!#REF!)-1))),IF(SUMPRODUCT((('CASE MASTER'!$T$2:$T$495=11)*('CASE MASTER'!$AA$2:$AA$495&lt;=7)*('CASE MASTER'!$AC$2:$AC$495&gt;=7)*('CASE MASTER'!$AB$2:$AB$495&lt;=2)*('CASE MASTER'!$AD$2:$AD$495&gt;=2))*ROW('CASE MASTER'!$T$2:$T$495))&gt;0,INDEX('CASE MASTER'!$Y$2:$Y$495,(SUMPRODUCT((('CASE MASTER'!$T$2:$T$495=11)*('CASE MASTER'!$AA$2:$AA$495&lt;=7)*('CASE MASTER'!$AC$2:$AC$495&gt;=7)*('CASE MASTER'!$AB$2:$AB$495&lt;=2)*('CASE MASTER'!$AD$2:$AD$495&gt;=2))*ROW('CASE MASTER'!$T$2:$T$495))-(ROW('CASE MASTER'!#REF!)-1)))&amp;TRIM(MID(SUBSTITUTE(SUBSTITUTE(INDEX('CASE MASTER'!$N$2:$N$495,(SUMPRODUCT((('CASE MASTER'!$T$2:$T$495=11)*('CASE MASTER'!$AA$2:$AA$495&lt;=7)*('CASE MASTER'!$AC$2:$AC$495&gt;=7)*('CASE MASTER'!$AB$2:$AB$495&lt;=2)*('CASE MASTER'!$AD$2:$AD$495&gt;=2))*ROW('CASE MASTER'!$T$2:$T$495))-(ROW('CASE MASTER'!#REF!)-1))),":",","),",",REPT(" ",50)),(((INDEX('CASE MASTER'!$Z$2:$Z$495,(SUMPRODUCT((('CASE MASTER'!$T$2:$T$495=11)*('CASE MASTER'!$AA$2:$AA$495&lt;=7)*('CASE MASTER'!$AC$2:$AC$495&gt;=7)*('CASE MASTER'!$AB$2:$AB$495&lt;=2)*('CASE MASTER'!$AD$2:$AD$495&gt;=2))*ROW('CASE MASTER'!$T$2:$T$495))-(ROW('CASE MASTER'!#REF!)-1)))+((7-INDEX('CASE MASTER'!$AA$2:$AA$495,(SUMPRODUCT((('CASE MASTER'!$T$2:$T$495=11)*('CASE MASTER'!$AA$2:$AA$495&lt;=7)*('CASE MASTER'!$AC$2:$AC$495&gt;=7)*('CASE MASTER'!$AB$2:$AB$495&lt;=2)*('CASE MASTER'!$AD$2:$AD$495&gt;=2))*ROW('CASE MASTER'!$T$2:$T$495))-(ROW('CASE MASTER'!#REF!)-1))))*(INDEX('CASE MASTER'!$AD$2:$AD$495,(SUMPRODUCT((('CASE MASTER'!$T$2:$T$495=11)*('CASE MASTER'!$AA$2:$AA$495&lt;=7)*('CASE MASTER'!$AC$2:$AC$495&gt;=7)*('CASE MASTER'!$AB$2:$AB$495&lt;=2)*('CASE MASTER'!$AD$2:$AD$495&gt;=2))*ROW('CASE MASTER'!$T$2:$T$495))-(ROW('CASE MASTER'!#REF!)-1)))-INDEX('CASE MASTER'!$AB$2:$AB$495,(SUMPRODUCT((('CASE MASTER'!$T$2:$T$495=11)*('CASE MASTER'!$AA$2:$AA$495&lt;=7)*('CASE MASTER'!$AC$2:$AC$495&gt;=7)*('CASE MASTER'!$AB$2:$AB$495&lt;=2)*('CASE MASTER'!$AD$2:$AD$495&gt;=2))*ROW('CASE MASTER'!$T$2:$T$495))-(ROW('CASE MASTER'!#REF!)-1)))+1)+(2-INDEX('CASE MASTER'!$AB$2:$AB$495,(SUMPRODUCT((('CASE MASTER'!$T$2:$T$495=11)*('CASE MASTER'!$AA$2:$AA$495&lt;=7)*('CASE MASTER'!$AC$2:$AC$495&gt;=7)*('CASE MASTER'!$AB$2:$AB$495&lt;=2)*('CASE MASTER'!$AD$2:$AD$495&gt;=2))*ROW('CASE MASTER'!$T$2:$T$495))-(ROW('CASE MASTER'!#REF!)-1))))+1)))-1)*50+1,50))&amp;"_"&amp;INDEX('CASE MASTER'!$Q$2:$Q$495,(SUMPRODUCT((('CASE MASTER'!$T$2:$T$495=11)*('CASE MASTER'!$AA$2:$AA$495&lt;=7)*('CASE MASTER'!$AC$2:$AC$495&gt;=7)*('CASE MASTER'!$AB$2:$AB$495&lt;=2)*('CASE MASTER'!$AD$2:$AD$495&gt;=2))*ROW('CASE MASTER'!$T$2:$T$495))-(ROW('CASE MASTER'!#REF!)-1))),"")),"")</f>
        <v/>
      </c>
      <c r="D149" s="10" t="str">
        <f>IFERROR(IF(SUMPRODUCT((('CASE MASTER'!$T$2:$T$495=11)*('CASE MASTER'!$U$2:$U$495&lt;=7)*('CASE MASTER'!$W$2:$W$495&gt;=7)*('CASE MASTER'!$V$2:$V$495&lt;=3)*('CASE MASTER'!$X$2:$X$495&gt;=3))*ROW('CASE MASTER'!$T$2:$T$495))&gt;0,INDEX('CASE MASTER'!$Y$2:$Y$495,(SUMPRODUCT((('CASE MASTER'!$T$2:$T$495=11)*('CASE MASTER'!$U$2:$U$495&lt;=7)*('CASE MASTER'!$W$2:$W$495&gt;=7)*('CASE MASTER'!$V$2:$V$495&lt;=3)*('CASE MASTER'!$X$2:$X$495&gt;=3))*ROW('CASE MASTER'!$T$2:$T$495))-(ROW('CASE MASTER'!#REF!)-1)))&amp;TRIM(MID(SUBSTITUTE(SUBSTITUTE(INDEX('CASE MASTER'!$N$2:$N$495,(SUMPRODUCT((('CASE MASTER'!$T$2:$T$495=11)*('CASE MASTER'!$U$2:$U$495&lt;=7)*('CASE MASTER'!$W$2:$W$495&gt;=7)*('CASE MASTER'!$V$2:$V$495&lt;=3)*('CASE MASTER'!$X$2:$X$495&gt;=3))*ROW('CASE MASTER'!$T$2:$T$495))-(ROW('CASE MASTER'!#REF!)-1))),":",","),",",REPT(" ",50)),((((7-INDEX('CASE MASTER'!$U$2:$U$495,(SUMPRODUCT((('CASE MASTER'!$T$2:$T$495=11)*('CASE MASTER'!$U$2:$U$495&lt;=7)*('CASE MASTER'!$W$2:$W$495&gt;=7)*('CASE MASTER'!$V$2:$V$495&lt;=3)*('CASE MASTER'!$X$2:$X$495&gt;=3))*ROW('CASE MASTER'!$T$2:$T$495))-(ROW('CASE MASTER'!#REF!)-1))))*(INDEX('CASE MASTER'!$X$2:$X$495,(SUMPRODUCT((('CASE MASTER'!$T$2:$T$495=11)*('CASE MASTER'!$U$2:$U$495&lt;=7)*('CASE MASTER'!$W$2:$W$495&gt;=7)*('CASE MASTER'!$V$2:$V$495&lt;=3)*('CASE MASTER'!$X$2:$X$495&gt;=3))*ROW('CASE MASTER'!$T$2:$T$495))-(ROW('CASE MASTER'!#REF!)-1)))-INDEX('CASE MASTER'!$V$2:$V$495,(SUMPRODUCT((('CASE MASTER'!$T$2:$T$495=11)*('CASE MASTER'!$U$2:$U$495&lt;=7)*('CASE MASTER'!$W$2:$W$495&gt;=7)*('CASE MASTER'!$V$2:$V$495&lt;=3)*('CASE MASTER'!$X$2:$X$495&gt;=3))*ROW('CASE MASTER'!$T$2:$T$495))-(ROW('CASE MASTER'!#REF!)-1)))+1)+(3-INDEX('CASE MASTER'!$V$2:$V$495,(SUMPRODUCT((('CASE MASTER'!$T$2:$T$495=11)*('CASE MASTER'!$U$2:$U$495&lt;=7)*('CASE MASTER'!$W$2:$W$495&gt;=7)*('CASE MASTER'!$V$2:$V$495&lt;=3)*('CASE MASTER'!$X$2:$X$495&gt;=3))*ROW('CASE MASTER'!$T$2:$T$495))-(ROW('CASE MASTER'!#REF!)-1))))+1))-1)*50+1,50))&amp;"_"&amp;INDEX('CASE MASTER'!$Q$2:$Q$495,(SUMPRODUCT((('CASE MASTER'!$T$2:$T$495=11)*('CASE MASTER'!$U$2:$U$495&lt;=7)*('CASE MASTER'!$W$2:$W$495&gt;=7)*('CASE MASTER'!$V$2:$V$495&lt;=3)*('CASE MASTER'!$X$2:$X$495&gt;=3))*ROW('CASE MASTER'!$T$2:$T$495))-(ROW('CASE MASTER'!#REF!)-1))),IF(SUMPRODUCT((('CASE MASTER'!$T$2:$T$495=11)*('CASE MASTER'!$AA$2:$AA$495&lt;=7)*('CASE MASTER'!$AC$2:$AC$495&gt;=7)*('CASE MASTER'!$AB$2:$AB$495&lt;=3)*('CASE MASTER'!$AD$2:$AD$495&gt;=3))*ROW('CASE MASTER'!$T$2:$T$495))&gt;0,INDEX('CASE MASTER'!$Y$2:$Y$495,(SUMPRODUCT((('CASE MASTER'!$T$2:$T$495=11)*('CASE MASTER'!$AA$2:$AA$495&lt;=7)*('CASE MASTER'!$AC$2:$AC$495&gt;=7)*('CASE MASTER'!$AB$2:$AB$495&lt;=3)*('CASE MASTER'!$AD$2:$AD$495&gt;=3))*ROW('CASE MASTER'!$T$2:$T$495))-(ROW('CASE MASTER'!#REF!)-1)))&amp;TRIM(MID(SUBSTITUTE(SUBSTITUTE(INDEX('CASE MASTER'!$N$2:$N$495,(SUMPRODUCT((('CASE MASTER'!$T$2:$T$495=11)*('CASE MASTER'!$AA$2:$AA$495&lt;=7)*('CASE MASTER'!$AC$2:$AC$495&gt;=7)*('CASE MASTER'!$AB$2:$AB$495&lt;=3)*('CASE MASTER'!$AD$2:$AD$495&gt;=3))*ROW('CASE MASTER'!$T$2:$T$495))-(ROW('CASE MASTER'!#REF!)-1))),":",","),",",REPT(" ",50)),(((INDEX('CASE MASTER'!$Z$2:$Z$495,(SUMPRODUCT((('CASE MASTER'!$T$2:$T$495=11)*('CASE MASTER'!$AA$2:$AA$495&lt;=7)*('CASE MASTER'!$AC$2:$AC$495&gt;=7)*('CASE MASTER'!$AB$2:$AB$495&lt;=3)*('CASE MASTER'!$AD$2:$AD$495&gt;=3))*ROW('CASE MASTER'!$T$2:$T$495))-(ROW('CASE MASTER'!#REF!)-1)))+((7-INDEX('CASE MASTER'!$AA$2:$AA$495,(SUMPRODUCT((('CASE MASTER'!$T$2:$T$495=11)*('CASE MASTER'!$AA$2:$AA$495&lt;=7)*('CASE MASTER'!$AC$2:$AC$495&gt;=7)*('CASE MASTER'!$AB$2:$AB$495&lt;=3)*('CASE MASTER'!$AD$2:$AD$495&gt;=3))*ROW('CASE MASTER'!$T$2:$T$495))-(ROW('CASE MASTER'!#REF!)-1))))*(INDEX('CASE MASTER'!$AD$2:$AD$495,(SUMPRODUCT((('CASE MASTER'!$T$2:$T$495=11)*('CASE MASTER'!$AA$2:$AA$495&lt;=7)*('CASE MASTER'!$AC$2:$AC$495&gt;=7)*('CASE MASTER'!$AB$2:$AB$495&lt;=3)*('CASE MASTER'!$AD$2:$AD$495&gt;=3))*ROW('CASE MASTER'!$T$2:$T$495))-(ROW('CASE MASTER'!#REF!)-1)))-INDEX('CASE MASTER'!$AB$2:$AB$495,(SUMPRODUCT((('CASE MASTER'!$T$2:$T$495=11)*('CASE MASTER'!$AA$2:$AA$495&lt;=7)*('CASE MASTER'!$AC$2:$AC$495&gt;=7)*('CASE MASTER'!$AB$2:$AB$495&lt;=3)*('CASE MASTER'!$AD$2:$AD$495&gt;=3))*ROW('CASE MASTER'!$T$2:$T$495))-(ROW('CASE MASTER'!#REF!)-1)))+1)+(3-INDEX('CASE MASTER'!$AB$2:$AB$495,(SUMPRODUCT((('CASE MASTER'!$T$2:$T$495=11)*('CASE MASTER'!$AA$2:$AA$495&lt;=7)*('CASE MASTER'!$AC$2:$AC$495&gt;=7)*('CASE MASTER'!$AB$2:$AB$495&lt;=3)*('CASE MASTER'!$AD$2:$AD$495&gt;=3))*ROW('CASE MASTER'!$T$2:$T$495))-(ROW('CASE MASTER'!#REF!)-1))))+1)))-1)*50+1,50))&amp;"_"&amp;INDEX('CASE MASTER'!$Q$2:$Q$495,(SUMPRODUCT((('CASE MASTER'!$T$2:$T$495=11)*('CASE MASTER'!$AA$2:$AA$495&lt;=7)*('CASE MASTER'!$AC$2:$AC$495&gt;=7)*('CASE MASTER'!$AB$2:$AB$495&lt;=3)*('CASE MASTER'!$AD$2:$AD$495&gt;=3))*ROW('CASE MASTER'!$T$2:$T$495))-(ROW('CASE MASTER'!#REF!)-1))),"")),"")</f>
        <v/>
      </c>
      <c r="E149" s="10" t="str">
        <f>IFERROR(IF(SUMPRODUCT((('CASE MASTER'!$T$2:$T$495=11)*('CASE MASTER'!$U$2:$U$495&lt;=7)*('CASE MASTER'!$W$2:$W$495&gt;=7)*('CASE MASTER'!$V$2:$V$495&lt;=4)*('CASE MASTER'!$X$2:$X$495&gt;=4))*ROW('CASE MASTER'!$T$2:$T$495))&gt;0,INDEX('CASE MASTER'!$Y$2:$Y$495,(SUMPRODUCT((('CASE MASTER'!$T$2:$T$495=11)*('CASE MASTER'!$U$2:$U$495&lt;=7)*('CASE MASTER'!$W$2:$W$495&gt;=7)*('CASE MASTER'!$V$2:$V$495&lt;=4)*('CASE MASTER'!$X$2:$X$495&gt;=4))*ROW('CASE MASTER'!$T$2:$T$495))-(ROW('CASE MASTER'!#REF!)-1)))&amp;TRIM(MID(SUBSTITUTE(SUBSTITUTE(INDEX('CASE MASTER'!$N$2:$N$495,(SUMPRODUCT((('CASE MASTER'!$T$2:$T$495=11)*('CASE MASTER'!$U$2:$U$495&lt;=7)*('CASE MASTER'!$W$2:$W$495&gt;=7)*('CASE MASTER'!$V$2:$V$495&lt;=4)*('CASE MASTER'!$X$2:$X$495&gt;=4))*ROW('CASE MASTER'!$T$2:$T$495))-(ROW('CASE MASTER'!#REF!)-1))),":",","),",",REPT(" ",50)),((((7-INDEX('CASE MASTER'!$U$2:$U$495,(SUMPRODUCT((('CASE MASTER'!$T$2:$T$495=11)*('CASE MASTER'!$U$2:$U$495&lt;=7)*('CASE MASTER'!$W$2:$W$495&gt;=7)*('CASE MASTER'!$V$2:$V$495&lt;=4)*('CASE MASTER'!$X$2:$X$495&gt;=4))*ROW('CASE MASTER'!$T$2:$T$495))-(ROW('CASE MASTER'!#REF!)-1))))*(INDEX('CASE MASTER'!$X$2:$X$495,(SUMPRODUCT((('CASE MASTER'!$T$2:$T$495=11)*('CASE MASTER'!$U$2:$U$495&lt;=7)*('CASE MASTER'!$W$2:$W$495&gt;=7)*('CASE MASTER'!$V$2:$V$495&lt;=4)*('CASE MASTER'!$X$2:$X$495&gt;=4))*ROW('CASE MASTER'!$T$2:$T$495))-(ROW('CASE MASTER'!#REF!)-1)))-INDEX('CASE MASTER'!$V$2:$V$495,(SUMPRODUCT((('CASE MASTER'!$T$2:$T$495=11)*('CASE MASTER'!$U$2:$U$495&lt;=7)*('CASE MASTER'!$W$2:$W$495&gt;=7)*('CASE MASTER'!$V$2:$V$495&lt;=4)*('CASE MASTER'!$X$2:$X$495&gt;=4))*ROW('CASE MASTER'!$T$2:$T$495))-(ROW('CASE MASTER'!#REF!)-1)))+1)+(4-INDEX('CASE MASTER'!$V$2:$V$495,(SUMPRODUCT((('CASE MASTER'!$T$2:$T$495=11)*('CASE MASTER'!$U$2:$U$495&lt;=7)*('CASE MASTER'!$W$2:$W$495&gt;=7)*('CASE MASTER'!$V$2:$V$495&lt;=4)*('CASE MASTER'!$X$2:$X$495&gt;=4))*ROW('CASE MASTER'!$T$2:$T$495))-(ROW('CASE MASTER'!#REF!)-1))))+1))-1)*50+1,50))&amp;"_"&amp;INDEX('CASE MASTER'!$Q$2:$Q$495,(SUMPRODUCT((('CASE MASTER'!$T$2:$T$495=11)*('CASE MASTER'!$U$2:$U$495&lt;=7)*('CASE MASTER'!$W$2:$W$495&gt;=7)*('CASE MASTER'!$V$2:$V$495&lt;=4)*('CASE MASTER'!$X$2:$X$495&gt;=4))*ROW('CASE MASTER'!$T$2:$T$495))-(ROW('CASE MASTER'!#REF!)-1))),IF(SUMPRODUCT((('CASE MASTER'!$T$2:$T$495=11)*('CASE MASTER'!$AA$2:$AA$495&lt;=7)*('CASE MASTER'!$AC$2:$AC$495&gt;=7)*('CASE MASTER'!$AB$2:$AB$495&lt;=4)*('CASE MASTER'!$AD$2:$AD$495&gt;=4))*ROW('CASE MASTER'!$T$2:$T$495))&gt;0,INDEX('CASE MASTER'!$Y$2:$Y$495,(SUMPRODUCT((('CASE MASTER'!$T$2:$T$495=11)*('CASE MASTER'!$AA$2:$AA$495&lt;=7)*('CASE MASTER'!$AC$2:$AC$495&gt;=7)*('CASE MASTER'!$AB$2:$AB$495&lt;=4)*('CASE MASTER'!$AD$2:$AD$495&gt;=4))*ROW('CASE MASTER'!$T$2:$T$495))-(ROW('CASE MASTER'!#REF!)-1)))&amp;TRIM(MID(SUBSTITUTE(SUBSTITUTE(INDEX('CASE MASTER'!$N$2:$N$495,(SUMPRODUCT((('CASE MASTER'!$T$2:$T$495=11)*('CASE MASTER'!$AA$2:$AA$495&lt;=7)*('CASE MASTER'!$AC$2:$AC$495&gt;=7)*('CASE MASTER'!$AB$2:$AB$495&lt;=4)*('CASE MASTER'!$AD$2:$AD$495&gt;=4))*ROW('CASE MASTER'!$T$2:$T$495))-(ROW('CASE MASTER'!#REF!)-1))),":",","),",",REPT(" ",50)),(((INDEX('CASE MASTER'!$Z$2:$Z$495,(SUMPRODUCT((('CASE MASTER'!$T$2:$T$495=11)*('CASE MASTER'!$AA$2:$AA$495&lt;=7)*('CASE MASTER'!$AC$2:$AC$495&gt;=7)*('CASE MASTER'!$AB$2:$AB$495&lt;=4)*('CASE MASTER'!$AD$2:$AD$495&gt;=4))*ROW('CASE MASTER'!$T$2:$T$495))-(ROW('CASE MASTER'!#REF!)-1)))+((7-INDEX('CASE MASTER'!$AA$2:$AA$495,(SUMPRODUCT((('CASE MASTER'!$T$2:$T$495=11)*('CASE MASTER'!$AA$2:$AA$495&lt;=7)*('CASE MASTER'!$AC$2:$AC$495&gt;=7)*('CASE MASTER'!$AB$2:$AB$495&lt;=4)*('CASE MASTER'!$AD$2:$AD$495&gt;=4))*ROW('CASE MASTER'!$T$2:$T$495))-(ROW('CASE MASTER'!#REF!)-1))))*(INDEX('CASE MASTER'!$AD$2:$AD$495,(SUMPRODUCT((('CASE MASTER'!$T$2:$T$495=11)*('CASE MASTER'!$AA$2:$AA$495&lt;=7)*('CASE MASTER'!$AC$2:$AC$495&gt;=7)*('CASE MASTER'!$AB$2:$AB$495&lt;=4)*('CASE MASTER'!$AD$2:$AD$495&gt;=4))*ROW('CASE MASTER'!$T$2:$T$495))-(ROW('CASE MASTER'!#REF!)-1)))-INDEX('CASE MASTER'!$AB$2:$AB$495,(SUMPRODUCT((('CASE MASTER'!$T$2:$T$495=11)*('CASE MASTER'!$AA$2:$AA$495&lt;=7)*('CASE MASTER'!$AC$2:$AC$495&gt;=7)*('CASE MASTER'!$AB$2:$AB$495&lt;=4)*('CASE MASTER'!$AD$2:$AD$495&gt;=4))*ROW('CASE MASTER'!$T$2:$T$495))-(ROW('CASE MASTER'!#REF!)-1)))+1)+(4-INDEX('CASE MASTER'!$AB$2:$AB$495,(SUMPRODUCT((('CASE MASTER'!$T$2:$T$495=11)*('CASE MASTER'!$AA$2:$AA$495&lt;=7)*('CASE MASTER'!$AC$2:$AC$495&gt;=7)*('CASE MASTER'!$AB$2:$AB$495&lt;=4)*('CASE MASTER'!$AD$2:$AD$495&gt;=4))*ROW('CASE MASTER'!$T$2:$T$495))-(ROW('CASE MASTER'!#REF!)-1))))+1)))-1)*50+1,50))&amp;"_"&amp;INDEX('CASE MASTER'!$Q$2:$Q$495,(SUMPRODUCT((('CASE MASTER'!$T$2:$T$495=11)*('CASE MASTER'!$AA$2:$AA$495&lt;=7)*('CASE MASTER'!$AC$2:$AC$495&gt;=7)*('CASE MASTER'!$AB$2:$AB$495&lt;=4)*('CASE MASTER'!$AD$2:$AD$495&gt;=4))*ROW('CASE MASTER'!$T$2:$T$495))-(ROW('CASE MASTER'!#REF!)-1))),"")),"")</f>
        <v/>
      </c>
      <c r="F149" s="10" t="str">
        <f>IFERROR(IF(SUMPRODUCT((('CASE MASTER'!$T$2:$T$495=11)*('CASE MASTER'!$U$2:$U$495&lt;=7)*('CASE MASTER'!$W$2:$W$495&gt;=7)*('CASE MASTER'!$V$2:$V$495&lt;=5)*('CASE MASTER'!$X$2:$X$495&gt;=5))*ROW('CASE MASTER'!$T$2:$T$495))&gt;0,INDEX('CASE MASTER'!$Y$2:$Y$495,(SUMPRODUCT((('CASE MASTER'!$T$2:$T$495=11)*('CASE MASTER'!$U$2:$U$495&lt;=7)*('CASE MASTER'!$W$2:$W$495&gt;=7)*('CASE MASTER'!$V$2:$V$495&lt;=5)*('CASE MASTER'!$X$2:$X$495&gt;=5))*ROW('CASE MASTER'!$T$2:$T$495))-(ROW('CASE MASTER'!#REF!)-1)))&amp;TRIM(MID(SUBSTITUTE(SUBSTITUTE(INDEX('CASE MASTER'!$N$2:$N$495,(SUMPRODUCT((('CASE MASTER'!$T$2:$T$495=11)*('CASE MASTER'!$U$2:$U$495&lt;=7)*('CASE MASTER'!$W$2:$W$495&gt;=7)*('CASE MASTER'!$V$2:$V$495&lt;=5)*('CASE MASTER'!$X$2:$X$495&gt;=5))*ROW('CASE MASTER'!$T$2:$T$495))-(ROW('CASE MASTER'!#REF!)-1))),":",","),",",REPT(" ",50)),((((7-INDEX('CASE MASTER'!$U$2:$U$495,(SUMPRODUCT((('CASE MASTER'!$T$2:$T$495=11)*('CASE MASTER'!$U$2:$U$495&lt;=7)*('CASE MASTER'!$W$2:$W$495&gt;=7)*('CASE MASTER'!$V$2:$V$495&lt;=5)*('CASE MASTER'!$X$2:$X$495&gt;=5))*ROW('CASE MASTER'!$T$2:$T$495))-(ROW('CASE MASTER'!#REF!)-1))))*(INDEX('CASE MASTER'!$X$2:$X$495,(SUMPRODUCT((('CASE MASTER'!$T$2:$T$495=11)*('CASE MASTER'!$U$2:$U$495&lt;=7)*('CASE MASTER'!$W$2:$W$495&gt;=7)*('CASE MASTER'!$V$2:$V$495&lt;=5)*('CASE MASTER'!$X$2:$X$495&gt;=5))*ROW('CASE MASTER'!$T$2:$T$495))-(ROW('CASE MASTER'!#REF!)-1)))-INDEX('CASE MASTER'!$V$2:$V$495,(SUMPRODUCT((('CASE MASTER'!$T$2:$T$495=11)*('CASE MASTER'!$U$2:$U$495&lt;=7)*('CASE MASTER'!$W$2:$W$495&gt;=7)*('CASE MASTER'!$V$2:$V$495&lt;=5)*('CASE MASTER'!$X$2:$X$495&gt;=5))*ROW('CASE MASTER'!$T$2:$T$495))-(ROW('CASE MASTER'!#REF!)-1)))+1)+(5-INDEX('CASE MASTER'!$V$2:$V$495,(SUMPRODUCT((('CASE MASTER'!$T$2:$T$495=11)*('CASE MASTER'!$U$2:$U$495&lt;=7)*('CASE MASTER'!$W$2:$W$495&gt;=7)*('CASE MASTER'!$V$2:$V$495&lt;=5)*('CASE MASTER'!$X$2:$X$495&gt;=5))*ROW('CASE MASTER'!$T$2:$T$495))-(ROW('CASE MASTER'!#REF!)-1))))+1))-1)*50+1,50))&amp;"_"&amp;INDEX('CASE MASTER'!$Q$2:$Q$495,(SUMPRODUCT((('CASE MASTER'!$T$2:$T$495=11)*('CASE MASTER'!$U$2:$U$495&lt;=7)*('CASE MASTER'!$W$2:$W$495&gt;=7)*('CASE MASTER'!$V$2:$V$495&lt;=5)*('CASE MASTER'!$X$2:$X$495&gt;=5))*ROW('CASE MASTER'!$T$2:$T$495))-(ROW('CASE MASTER'!#REF!)-1))),IF(SUMPRODUCT((('CASE MASTER'!$T$2:$T$495=11)*('CASE MASTER'!$AA$2:$AA$495&lt;=7)*('CASE MASTER'!$AC$2:$AC$495&gt;=7)*('CASE MASTER'!$AB$2:$AB$495&lt;=5)*('CASE MASTER'!$AD$2:$AD$495&gt;=5))*ROW('CASE MASTER'!$T$2:$T$495))&gt;0,INDEX('CASE MASTER'!$Y$2:$Y$495,(SUMPRODUCT((('CASE MASTER'!$T$2:$T$495=11)*('CASE MASTER'!$AA$2:$AA$495&lt;=7)*('CASE MASTER'!$AC$2:$AC$495&gt;=7)*('CASE MASTER'!$AB$2:$AB$495&lt;=5)*('CASE MASTER'!$AD$2:$AD$495&gt;=5))*ROW('CASE MASTER'!$T$2:$T$495))-(ROW('CASE MASTER'!#REF!)-1)))&amp;TRIM(MID(SUBSTITUTE(SUBSTITUTE(INDEX('CASE MASTER'!$N$2:$N$495,(SUMPRODUCT((('CASE MASTER'!$T$2:$T$495=11)*('CASE MASTER'!$AA$2:$AA$495&lt;=7)*('CASE MASTER'!$AC$2:$AC$495&gt;=7)*('CASE MASTER'!$AB$2:$AB$495&lt;=5)*('CASE MASTER'!$AD$2:$AD$495&gt;=5))*ROW('CASE MASTER'!$T$2:$T$495))-(ROW('CASE MASTER'!#REF!)-1))),":",","),",",REPT(" ",50)),(((INDEX('CASE MASTER'!$Z$2:$Z$495,(SUMPRODUCT((('CASE MASTER'!$T$2:$T$495=11)*('CASE MASTER'!$AA$2:$AA$495&lt;=7)*('CASE MASTER'!$AC$2:$AC$495&gt;=7)*('CASE MASTER'!$AB$2:$AB$495&lt;=5)*('CASE MASTER'!$AD$2:$AD$495&gt;=5))*ROW('CASE MASTER'!$T$2:$T$495))-(ROW('CASE MASTER'!#REF!)-1)))+((7-INDEX('CASE MASTER'!$AA$2:$AA$495,(SUMPRODUCT((('CASE MASTER'!$T$2:$T$495=11)*('CASE MASTER'!$AA$2:$AA$495&lt;=7)*('CASE MASTER'!$AC$2:$AC$495&gt;=7)*('CASE MASTER'!$AB$2:$AB$495&lt;=5)*('CASE MASTER'!$AD$2:$AD$495&gt;=5))*ROW('CASE MASTER'!$T$2:$T$495))-(ROW('CASE MASTER'!#REF!)-1))))*(INDEX('CASE MASTER'!$AD$2:$AD$495,(SUMPRODUCT((('CASE MASTER'!$T$2:$T$495=11)*('CASE MASTER'!$AA$2:$AA$495&lt;=7)*('CASE MASTER'!$AC$2:$AC$495&gt;=7)*('CASE MASTER'!$AB$2:$AB$495&lt;=5)*('CASE MASTER'!$AD$2:$AD$495&gt;=5))*ROW('CASE MASTER'!$T$2:$T$495))-(ROW('CASE MASTER'!#REF!)-1)))-INDEX('CASE MASTER'!$AB$2:$AB$495,(SUMPRODUCT((('CASE MASTER'!$T$2:$T$495=11)*('CASE MASTER'!$AA$2:$AA$495&lt;=7)*('CASE MASTER'!$AC$2:$AC$495&gt;=7)*('CASE MASTER'!$AB$2:$AB$495&lt;=5)*('CASE MASTER'!$AD$2:$AD$495&gt;=5))*ROW('CASE MASTER'!$T$2:$T$495))-(ROW('CASE MASTER'!#REF!)-1)))+1)+(5-INDEX('CASE MASTER'!$AB$2:$AB$495,(SUMPRODUCT((('CASE MASTER'!$T$2:$T$495=11)*('CASE MASTER'!$AA$2:$AA$495&lt;=7)*('CASE MASTER'!$AC$2:$AC$495&gt;=7)*('CASE MASTER'!$AB$2:$AB$495&lt;=5)*('CASE MASTER'!$AD$2:$AD$495&gt;=5))*ROW('CASE MASTER'!$T$2:$T$495))-(ROW('CASE MASTER'!#REF!)-1))))+1)))-1)*50+1,50))&amp;"_"&amp;INDEX('CASE MASTER'!$Q$2:$Q$495,(SUMPRODUCT((('CASE MASTER'!$T$2:$T$495=11)*('CASE MASTER'!$AA$2:$AA$495&lt;=7)*('CASE MASTER'!$AC$2:$AC$495&gt;=7)*('CASE MASTER'!$AB$2:$AB$495&lt;=5)*('CASE MASTER'!$AD$2:$AD$495&gt;=5))*ROW('CASE MASTER'!$T$2:$T$495))-(ROW('CASE MASTER'!#REF!)-1))),"")),"")</f>
        <v/>
      </c>
      <c r="G149" s="10" t="str">
        <f>IFERROR(IF(SUMPRODUCT((('CASE MASTER'!$T$2:$T$495=11)*('CASE MASTER'!$U$2:$U$495&lt;=7)*('CASE MASTER'!$W$2:$W$495&gt;=7)*('CASE MASTER'!$V$2:$V$495&lt;=6)*('CASE MASTER'!$X$2:$X$495&gt;=6))*ROW('CASE MASTER'!$T$2:$T$495))&gt;0,INDEX('CASE MASTER'!$Y$2:$Y$495,(SUMPRODUCT((('CASE MASTER'!$T$2:$T$495=11)*('CASE MASTER'!$U$2:$U$495&lt;=7)*('CASE MASTER'!$W$2:$W$495&gt;=7)*('CASE MASTER'!$V$2:$V$495&lt;=6)*('CASE MASTER'!$X$2:$X$495&gt;=6))*ROW('CASE MASTER'!$T$2:$T$495))-(ROW('CASE MASTER'!#REF!)-1)))&amp;TRIM(MID(SUBSTITUTE(SUBSTITUTE(INDEX('CASE MASTER'!$N$2:$N$495,(SUMPRODUCT((('CASE MASTER'!$T$2:$T$495=11)*('CASE MASTER'!$U$2:$U$495&lt;=7)*('CASE MASTER'!$W$2:$W$495&gt;=7)*('CASE MASTER'!$V$2:$V$495&lt;=6)*('CASE MASTER'!$X$2:$X$495&gt;=6))*ROW('CASE MASTER'!$T$2:$T$495))-(ROW('CASE MASTER'!#REF!)-1))),":",","),",",REPT(" ",50)),((((7-INDEX('CASE MASTER'!$U$2:$U$495,(SUMPRODUCT((('CASE MASTER'!$T$2:$T$495=11)*('CASE MASTER'!$U$2:$U$495&lt;=7)*('CASE MASTER'!$W$2:$W$495&gt;=7)*('CASE MASTER'!$V$2:$V$495&lt;=6)*('CASE MASTER'!$X$2:$X$495&gt;=6))*ROW('CASE MASTER'!$T$2:$T$495))-(ROW('CASE MASTER'!#REF!)-1))))*(INDEX('CASE MASTER'!$X$2:$X$495,(SUMPRODUCT((('CASE MASTER'!$T$2:$T$495=11)*('CASE MASTER'!$U$2:$U$495&lt;=7)*('CASE MASTER'!$W$2:$W$495&gt;=7)*('CASE MASTER'!$V$2:$V$495&lt;=6)*('CASE MASTER'!$X$2:$X$495&gt;=6))*ROW('CASE MASTER'!$T$2:$T$495))-(ROW('CASE MASTER'!#REF!)-1)))-INDEX('CASE MASTER'!$V$2:$V$495,(SUMPRODUCT((('CASE MASTER'!$T$2:$T$495=11)*('CASE MASTER'!$U$2:$U$495&lt;=7)*('CASE MASTER'!$W$2:$W$495&gt;=7)*('CASE MASTER'!$V$2:$V$495&lt;=6)*('CASE MASTER'!$X$2:$X$495&gt;=6))*ROW('CASE MASTER'!$T$2:$T$495))-(ROW('CASE MASTER'!#REF!)-1)))+1)+(6-INDEX('CASE MASTER'!$V$2:$V$495,(SUMPRODUCT((('CASE MASTER'!$T$2:$T$495=11)*('CASE MASTER'!$U$2:$U$495&lt;=7)*('CASE MASTER'!$W$2:$W$495&gt;=7)*('CASE MASTER'!$V$2:$V$495&lt;=6)*('CASE MASTER'!$X$2:$X$495&gt;=6))*ROW('CASE MASTER'!$T$2:$T$495))-(ROW('CASE MASTER'!#REF!)-1))))+1))-1)*50+1,50))&amp;"_"&amp;INDEX('CASE MASTER'!$Q$2:$Q$495,(SUMPRODUCT((('CASE MASTER'!$T$2:$T$495=11)*('CASE MASTER'!$U$2:$U$495&lt;=7)*('CASE MASTER'!$W$2:$W$495&gt;=7)*('CASE MASTER'!$V$2:$V$495&lt;=6)*('CASE MASTER'!$X$2:$X$495&gt;=6))*ROW('CASE MASTER'!$T$2:$T$495))-(ROW('CASE MASTER'!#REF!)-1))),IF(SUMPRODUCT((('CASE MASTER'!$T$2:$T$495=11)*('CASE MASTER'!$AA$2:$AA$495&lt;=7)*('CASE MASTER'!$AC$2:$AC$495&gt;=7)*('CASE MASTER'!$AB$2:$AB$495&lt;=6)*('CASE MASTER'!$AD$2:$AD$495&gt;=6))*ROW('CASE MASTER'!$T$2:$T$495))&gt;0,INDEX('CASE MASTER'!$Y$2:$Y$495,(SUMPRODUCT((('CASE MASTER'!$T$2:$T$495=11)*('CASE MASTER'!$AA$2:$AA$495&lt;=7)*('CASE MASTER'!$AC$2:$AC$495&gt;=7)*('CASE MASTER'!$AB$2:$AB$495&lt;=6)*('CASE MASTER'!$AD$2:$AD$495&gt;=6))*ROW('CASE MASTER'!$T$2:$T$495))-(ROW('CASE MASTER'!#REF!)-1)))&amp;TRIM(MID(SUBSTITUTE(SUBSTITUTE(INDEX('CASE MASTER'!$N$2:$N$495,(SUMPRODUCT((('CASE MASTER'!$T$2:$T$495=11)*('CASE MASTER'!$AA$2:$AA$495&lt;=7)*('CASE MASTER'!$AC$2:$AC$495&gt;=7)*('CASE MASTER'!$AB$2:$AB$495&lt;=6)*('CASE MASTER'!$AD$2:$AD$495&gt;=6))*ROW('CASE MASTER'!$T$2:$T$495))-(ROW('CASE MASTER'!#REF!)-1))),":",","),",",REPT(" ",50)),(((INDEX('CASE MASTER'!$Z$2:$Z$495,(SUMPRODUCT((('CASE MASTER'!$T$2:$T$495=11)*('CASE MASTER'!$AA$2:$AA$495&lt;=7)*('CASE MASTER'!$AC$2:$AC$495&gt;=7)*('CASE MASTER'!$AB$2:$AB$495&lt;=6)*('CASE MASTER'!$AD$2:$AD$495&gt;=6))*ROW('CASE MASTER'!$T$2:$T$495))-(ROW('CASE MASTER'!#REF!)-1)))+((7-INDEX('CASE MASTER'!$AA$2:$AA$495,(SUMPRODUCT((('CASE MASTER'!$T$2:$T$495=11)*('CASE MASTER'!$AA$2:$AA$495&lt;=7)*('CASE MASTER'!$AC$2:$AC$495&gt;=7)*('CASE MASTER'!$AB$2:$AB$495&lt;=6)*('CASE MASTER'!$AD$2:$AD$495&gt;=6))*ROW('CASE MASTER'!$T$2:$T$495))-(ROW('CASE MASTER'!#REF!)-1))))*(INDEX('CASE MASTER'!$AD$2:$AD$495,(SUMPRODUCT((('CASE MASTER'!$T$2:$T$495=11)*('CASE MASTER'!$AA$2:$AA$495&lt;=7)*('CASE MASTER'!$AC$2:$AC$495&gt;=7)*('CASE MASTER'!$AB$2:$AB$495&lt;=6)*('CASE MASTER'!$AD$2:$AD$495&gt;=6))*ROW('CASE MASTER'!$T$2:$T$495))-(ROW('CASE MASTER'!#REF!)-1)))-INDEX('CASE MASTER'!$AB$2:$AB$495,(SUMPRODUCT((('CASE MASTER'!$T$2:$T$495=11)*('CASE MASTER'!$AA$2:$AA$495&lt;=7)*('CASE MASTER'!$AC$2:$AC$495&gt;=7)*('CASE MASTER'!$AB$2:$AB$495&lt;=6)*('CASE MASTER'!$AD$2:$AD$495&gt;=6))*ROW('CASE MASTER'!$T$2:$T$495))-(ROW('CASE MASTER'!#REF!)-1)))+1)+(6-INDEX('CASE MASTER'!$AB$2:$AB$495,(SUMPRODUCT((('CASE MASTER'!$T$2:$T$495=11)*('CASE MASTER'!$AA$2:$AA$495&lt;=7)*('CASE MASTER'!$AC$2:$AC$495&gt;=7)*('CASE MASTER'!$AB$2:$AB$495&lt;=6)*('CASE MASTER'!$AD$2:$AD$495&gt;=6))*ROW('CASE MASTER'!$T$2:$T$495))-(ROW('CASE MASTER'!#REF!)-1))))+1)))-1)*50+1,50))&amp;"_"&amp;INDEX('CASE MASTER'!$Q$2:$Q$495,(SUMPRODUCT((('CASE MASTER'!$T$2:$T$495=11)*('CASE MASTER'!$AA$2:$AA$495&lt;=7)*('CASE MASTER'!$AC$2:$AC$495&gt;=7)*('CASE MASTER'!$AB$2:$AB$495&lt;=6)*('CASE MASTER'!$AD$2:$AD$495&gt;=6))*ROW('CASE MASTER'!$T$2:$T$495))-(ROW('CASE MASTER'!#REF!)-1))),"")),"")</f>
        <v/>
      </c>
      <c r="H149" s="10" t="str">
        <f>IFERROR(IF(SUMPRODUCT((('CASE MASTER'!$T$2:$T$495=11)*('CASE MASTER'!$U$2:$U$495&lt;=7)*('CASE MASTER'!$W$2:$W$495&gt;=7)*('CASE MASTER'!$V$2:$V$495&lt;=7)*('CASE MASTER'!$X$2:$X$495&gt;=7))*ROW('CASE MASTER'!$T$2:$T$495))&gt;0,INDEX('CASE MASTER'!$Y$2:$Y$495,(SUMPRODUCT((('CASE MASTER'!$T$2:$T$495=11)*('CASE MASTER'!$U$2:$U$495&lt;=7)*('CASE MASTER'!$W$2:$W$495&gt;=7)*('CASE MASTER'!$V$2:$V$495&lt;=7)*('CASE MASTER'!$X$2:$X$495&gt;=7))*ROW('CASE MASTER'!$T$2:$T$495))-(ROW('CASE MASTER'!#REF!)-1)))&amp;TRIM(MID(SUBSTITUTE(SUBSTITUTE(INDEX('CASE MASTER'!$N$2:$N$495,(SUMPRODUCT((('CASE MASTER'!$T$2:$T$495=11)*('CASE MASTER'!$U$2:$U$495&lt;=7)*('CASE MASTER'!$W$2:$W$495&gt;=7)*('CASE MASTER'!$V$2:$V$495&lt;=7)*('CASE MASTER'!$X$2:$X$495&gt;=7))*ROW('CASE MASTER'!$T$2:$T$495))-(ROW('CASE MASTER'!#REF!)-1))),":",","),",",REPT(" ",50)),((((7-INDEX('CASE MASTER'!$U$2:$U$495,(SUMPRODUCT((('CASE MASTER'!$T$2:$T$495=11)*('CASE MASTER'!$U$2:$U$495&lt;=7)*('CASE MASTER'!$W$2:$W$495&gt;=7)*('CASE MASTER'!$V$2:$V$495&lt;=7)*('CASE MASTER'!$X$2:$X$495&gt;=7))*ROW('CASE MASTER'!$T$2:$T$495))-(ROW('CASE MASTER'!#REF!)-1))))*(INDEX('CASE MASTER'!$X$2:$X$495,(SUMPRODUCT((('CASE MASTER'!$T$2:$T$495=11)*('CASE MASTER'!$U$2:$U$495&lt;=7)*('CASE MASTER'!$W$2:$W$495&gt;=7)*('CASE MASTER'!$V$2:$V$495&lt;=7)*('CASE MASTER'!$X$2:$X$495&gt;=7))*ROW('CASE MASTER'!$T$2:$T$495))-(ROW('CASE MASTER'!#REF!)-1)))-INDEX('CASE MASTER'!$V$2:$V$495,(SUMPRODUCT((('CASE MASTER'!$T$2:$T$495=11)*('CASE MASTER'!$U$2:$U$495&lt;=7)*('CASE MASTER'!$W$2:$W$495&gt;=7)*('CASE MASTER'!$V$2:$V$495&lt;=7)*('CASE MASTER'!$X$2:$X$495&gt;=7))*ROW('CASE MASTER'!$T$2:$T$495))-(ROW('CASE MASTER'!#REF!)-1)))+1)+(7-INDEX('CASE MASTER'!$V$2:$V$495,(SUMPRODUCT((('CASE MASTER'!$T$2:$T$495=11)*('CASE MASTER'!$U$2:$U$495&lt;=7)*('CASE MASTER'!$W$2:$W$495&gt;=7)*('CASE MASTER'!$V$2:$V$495&lt;=7)*('CASE MASTER'!$X$2:$X$495&gt;=7))*ROW('CASE MASTER'!$T$2:$T$495))-(ROW('CASE MASTER'!#REF!)-1))))+1))-1)*50+1,50))&amp;"_"&amp;INDEX('CASE MASTER'!$Q$2:$Q$495,(SUMPRODUCT((('CASE MASTER'!$T$2:$T$495=11)*('CASE MASTER'!$U$2:$U$495&lt;=7)*('CASE MASTER'!$W$2:$W$495&gt;=7)*('CASE MASTER'!$V$2:$V$495&lt;=7)*('CASE MASTER'!$X$2:$X$495&gt;=7))*ROW('CASE MASTER'!$T$2:$T$495))-(ROW('CASE MASTER'!#REF!)-1))),IF(SUMPRODUCT((('CASE MASTER'!$T$2:$T$495=11)*('CASE MASTER'!$AA$2:$AA$495&lt;=7)*('CASE MASTER'!$AC$2:$AC$495&gt;=7)*('CASE MASTER'!$AB$2:$AB$495&lt;=7)*('CASE MASTER'!$AD$2:$AD$495&gt;=7))*ROW('CASE MASTER'!$T$2:$T$495))&gt;0,INDEX('CASE MASTER'!$Y$2:$Y$495,(SUMPRODUCT((('CASE MASTER'!$T$2:$T$495=11)*('CASE MASTER'!$AA$2:$AA$495&lt;=7)*('CASE MASTER'!$AC$2:$AC$495&gt;=7)*('CASE MASTER'!$AB$2:$AB$495&lt;=7)*('CASE MASTER'!$AD$2:$AD$495&gt;=7))*ROW('CASE MASTER'!$T$2:$T$495))-(ROW('CASE MASTER'!#REF!)-1)))&amp;TRIM(MID(SUBSTITUTE(SUBSTITUTE(INDEX('CASE MASTER'!$N$2:$N$495,(SUMPRODUCT((('CASE MASTER'!$T$2:$T$495=11)*('CASE MASTER'!$AA$2:$AA$495&lt;=7)*('CASE MASTER'!$AC$2:$AC$495&gt;=7)*('CASE MASTER'!$AB$2:$AB$495&lt;=7)*('CASE MASTER'!$AD$2:$AD$495&gt;=7))*ROW('CASE MASTER'!$T$2:$T$495))-(ROW('CASE MASTER'!#REF!)-1))),":",","),",",REPT(" ",50)),(((INDEX('CASE MASTER'!$Z$2:$Z$495,(SUMPRODUCT((('CASE MASTER'!$T$2:$T$495=11)*('CASE MASTER'!$AA$2:$AA$495&lt;=7)*('CASE MASTER'!$AC$2:$AC$495&gt;=7)*('CASE MASTER'!$AB$2:$AB$495&lt;=7)*('CASE MASTER'!$AD$2:$AD$495&gt;=7))*ROW('CASE MASTER'!$T$2:$T$495))-(ROW('CASE MASTER'!#REF!)-1)))+((7-INDEX('CASE MASTER'!$AA$2:$AA$495,(SUMPRODUCT((('CASE MASTER'!$T$2:$T$495=11)*('CASE MASTER'!$AA$2:$AA$495&lt;=7)*('CASE MASTER'!$AC$2:$AC$495&gt;=7)*('CASE MASTER'!$AB$2:$AB$495&lt;=7)*('CASE MASTER'!$AD$2:$AD$495&gt;=7))*ROW('CASE MASTER'!$T$2:$T$495))-(ROW('CASE MASTER'!#REF!)-1))))*(INDEX('CASE MASTER'!$AD$2:$AD$495,(SUMPRODUCT((('CASE MASTER'!$T$2:$T$495=11)*('CASE MASTER'!$AA$2:$AA$495&lt;=7)*('CASE MASTER'!$AC$2:$AC$495&gt;=7)*('CASE MASTER'!$AB$2:$AB$495&lt;=7)*('CASE MASTER'!$AD$2:$AD$495&gt;=7))*ROW('CASE MASTER'!$T$2:$T$495))-(ROW('CASE MASTER'!#REF!)-1)))-INDEX('CASE MASTER'!$AB$2:$AB$495,(SUMPRODUCT((('CASE MASTER'!$T$2:$T$495=11)*('CASE MASTER'!$AA$2:$AA$495&lt;=7)*('CASE MASTER'!$AC$2:$AC$495&gt;=7)*('CASE MASTER'!$AB$2:$AB$495&lt;=7)*('CASE MASTER'!$AD$2:$AD$495&gt;=7))*ROW('CASE MASTER'!$T$2:$T$495))-(ROW('CASE MASTER'!#REF!)-1)))+1)+(7-INDEX('CASE MASTER'!$AB$2:$AB$495,(SUMPRODUCT((('CASE MASTER'!$T$2:$T$495=11)*('CASE MASTER'!$AA$2:$AA$495&lt;=7)*('CASE MASTER'!$AC$2:$AC$495&gt;=7)*('CASE MASTER'!$AB$2:$AB$495&lt;=7)*('CASE MASTER'!$AD$2:$AD$495&gt;=7))*ROW('CASE MASTER'!$T$2:$T$495))-(ROW('CASE MASTER'!#REF!)-1))))+1)))-1)*50+1,50))&amp;"_"&amp;INDEX('CASE MASTER'!$Q$2:$Q$495,(SUMPRODUCT((('CASE MASTER'!$T$2:$T$495=11)*('CASE MASTER'!$AA$2:$AA$495&lt;=7)*('CASE MASTER'!$AC$2:$AC$495&gt;=7)*('CASE MASTER'!$AB$2:$AB$495&lt;=7)*('CASE MASTER'!$AD$2:$AD$495&gt;=7))*ROW('CASE MASTER'!$T$2:$T$495))-(ROW('CASE MASTER'!#REF!)-1))),"")),"")</f>
        <v/>
      </c>
      <c r="I149" s="10" t="str">
        <f>IFERROR(IF(SUMPRODUCT((('CASE MASTER'!$T$2:$T$495=11)*('CASE MASTER'!$U$2:$U$495&lt;=7)*('CASE MASTER'!$W$2:$W$495&gt;=7)*('CASE MASTER'!$V$2:$V$495&lt;=8)*('CASE MASTER'!$X$2:$X$495&gt;=8))*ROW('CASE MASTER'!$T$2:$T$495))&gt;0,INDEX('CASE MASTER'!$Y$2:$Y$495,(SUMPRODUCT((('CASE MASTER'!$T$2:$T$495=11)*('CASE MASTER'!$U$2:$U$495&lt;=7)*('CASE MASTER'!$W$2:$W$495&gt;=7)*('CASE MASTER'!$V$2:$V$495&lt;=8)*('CASE MASTER'!$X$2:$X$495&gt;=8))*ROW('CASE MASTER'!$T$2:$T$495))-(ROW('CASE MASTER'!#REF!)-1)))&amp;TRIM(MID(SUBSTITUTE(SUBSTITUTE(INDEX('CASE MASTER'!$N$2:$N$495,(SUMPRODUCT((('CASE MASTER'!$T$2:$T$495=11)*('CASE MASTER'!$U$2:$U$495&lt;=7)*('CASE MASTER'!$W$2:$W$495&gt;=7)*('CASE MASTER'!$V$2:$V$495&lt;=8)*('CASE MASTER'!$X$2:$X$495&gt;=8))*ROW('CASE MASTER'!$T$2:$T$495))-(ROW('CASE MASTER'!#REF!)-1))),":",","),",",REPT(" ",50)),((((7-INDEX('CASE MASTER'!$U$2:$U$495,(SUMPRODUCT((('CASE MASTER'!$T$2:$T$495=11)*('CASE MASTER'!$U$2:$U$495&lt;=7)*('CASE MASTER'!$W$2:$W$495&gt;=7)*('CASE MASTER'!$V$2:$V$495&lt;=8)*('CASE MASTER'!$X$2:$X$495&gt;=8))*ROW('CASE MASTER'!$T$2:$T$495))-(ROW('CASE MASTER'!#REF!)-1))))*(INDEX('CASE MASTER'!$X$2:$X$495,(SUMPRODUCT((('CASE MASTER'!$T$2:$T$495=11)*('CASE MASTER'!$U$2:$U$495&lt;=7)*('CASE MASTER'!$W$2:$W$495&gt;=7)*('CASE MASTER'!$V$2:$V$495&lt;=8)*('CASE MASTER'!$X$2:$X$495&gt;=8))*ROW('CASE MASTER'!$T$2:$T$495))-(ROW('CASE MASTER'!#REF!)-1)))-INDEX('CASE MASTER'!$V$2:$V$495,(SUMPRODUCT((('CASE MASTER'!$T$2:$T$495=11)*('CASE MASTER'!$U$2:$U$495&lt;=7)*('CASE MASTER'!$W$2:$W$495&gt;=7)*('CASE MASTER'!$V$2:$V$495&lt;=8)*('CASE MASTER'!$X$2:$X$495&gt;=8))*ROW('CASE MASTER'!$T$2:$T$495))-(ROW('CASE MASTER'!#REF!)-1)))+1)+(8-INDEX('CASE MASTER'!$V$2:$V$495,(SUMPRODUCT((('CASE MASTER'!$T$2:$T$495=11)*('CASE MASTER'!$U$2:$U$495&lt;=7)*('CASE MASTER'!$W$2:$W$495&gt;=7)*('CASE MASTER'!$V$2:$V$495&lt;=8)*('CASE MASTER'!$X$2:$X$495&gt;=8))*ROW('CASE MASTER'!$T$2:$T$495))-(ROW('CASE MASTER'!#REF!)-1))))+1))-1)*50+1,50))&amp;"_"&amp;INDEX('CASE MASTER'!$Q$2:$Q$495,(SUMPRODUCT((('CASE MASTER'!$T$2:$T$495=11)*('CASE MASTER'!$U$2:$U$495&lt;=7)*('CASE MASTER'!$W$2:$W$495&gt;=7)*('CASE MASTER'!$V$2:$V$495&lt;=8)*('CASE MASTER'!$X$2:$X$495&gt;=8))*ROW('CASE MASTER'!$T$2:$T$495))-(ROW('CASE MASTER'!#REF!)-1))),IF(SUMPRODUCT((('CASE MASTER'!$T$2:$T$495=11)*('CASE MASTER'!$AA$2:$AA$495&lt;=7)*('CASE MASTER'!$AC$2:$AC$495&gt;=7)*('CASE MASTER'!$AB$2:$AB$495&lt;=8)*('CASE MASTER'!$AD$2:$AD$495&gt;=8))*ROW('CASE MASTER'!$T$2:$T$495))&gt;0,INDEX('CASE MASTER'!$Y$2:$Y$495,(SUMPRODUCT((('CASE MASTER'!$T$2:$T$495=11)*('CASE MASTER'!$AA$2:$AA$495&lt;=7)*('CASE MASTER'!$AC$2:$AC$495&gt;=7)*('CASE MASTER'!$AB$2:$AB$495&lt;=8)*('CASE MASTER'!$AD$2:$AD$495&gt;=8))*ROW('CASE MASTER'!$T$2:$T$495))-(ROW('CASE MASTER'!#REF!)-1)))&amp;TRIM(MID(SUBSTITUTE(SUBSTITUTE(INDEX('CASE MASTER'!$N$2:$N$495,(SUMPRODUCT((('CASE MASTER'!$T$2:$T$495=11)*('CASE MASTER'!$AA$2:$AA$495&lt;=7)*('CASE MASTER'!$AC$2:$AC$495&gt;=7)*('CASE MASTER'!$AB$2:$AB$495&lt;=8)*('CASE MASTER'!$AD$2:$AD$495&gt;=8))*ROW('CASE MASTER'!$T$2:$T$495))-(ROW('CASE MASTER'!#REF!)-1))),":",","),",",REPT(" ",50)),(((INDEX('CASE MASTER'!$Z$2:$Z$495,(SUMPRODUCT((('CASE MASTER'!$T$2:$T$495=11)*('CASE MASTER'!$AA$2:$AA$495&lt;=7)*('CASE MASTER'!$AC$2:$AC$495&gt;=7)*('CASE MASTER'!$AB$2:$AB$495&lt;=8)*('CASE MASTER'!$AD$2:$AD$495&gt;=8))*ROW('CASE MASTER'!$T$2:$T$495))-(ROW('CASE MASTER'!#REF!)-1)))+((7-INDEX('CASE MASTER'!$AA$2:$AA$495,(SUMPRODUCT((('CASE MASTER'!$T$2:$T$495=11)*('CASE MASTER'!$AA$2:$AA$495&lt;=7)*('CASE MASTER'!$AC$2:$AC$495&gt;=7)*('CASE MASTER'!$AB$2:$AB$495&lt;=8)*('CASE MASTER'!$AD$2:$AD$495&gt;=8))*ROW('CASE MASTER'!$T$2:$T$495))-(ROW('CASE MASTER'!#REF!)-1))))*(INDEX('CASE MASTER'!$AD$2:$AD$495,(SUMPRODUCT((('CASE MASTER'!$T$2:$T$495=11)*('CASE MASTER'!$AA$2:$AA$495&lt;=7)*('CASE MASTER'!$AC$2:$AC$495&gt;=7)*('CASE MASTER'!$AB$2:$AB$495&lt;=8)*('CASE MASTER'!$AD$2:$AD$495&gt;=8))*ROW('CASE MASTER'!$T$2:$T$495))-(ROW('CASE MASTER'!#REF!)-1)))-INDEX('CASE MASTER'!$AB$2:$AB$495,(SUMPRODUCT((('CASE MASTER'!$T$2:$T$495=11)*('CASE MASTER'!$AA$2:$AA$495&lt;=7)*('CASE MASTER'!$AC$2:$AC$495&gt;=7)*('CASE MASTER'!$AB$2:$AB$495&lt;=8)*('CASE MASTER'!$AD$2:$AD$495&gt;=8))*ROW('CASE MASTER'!$T$2:$T$495))-(ROW('CASE MASTER'!#REF!)-1)))+1)+(8-INDEX('CASE MASTER'!$AB$2:$AB$495,(SUMPRODUCT((('CASE MASTER'!$T$2:$T$495=11)*('CASE MASTER'!$AA$2:$AA$495&lt;=7)*('CASE MASTER'!$AC$2:$AC$495&gt;=7)*('CASE MASTER'!$AB$2:$AB$495&lt;=8)*('CASE MASTER'!$AD$2:$AD$495&gt;=8))*ROW('CASE MASTER'!$T$2:$T$495))-(ROW('CASE MASTER'!#REF!)-1))))+1)))-1)*50+1,50))&amp;"_"&amp;INDEX('CASE MASTER'!$Q$2:$Q$495,(SUMPRODUCT((('CASE MASTER'!$T$2:$T$495=11)*('CASE MASTER'!$AA$2:$AA$495&lt;=7)*('CASE MASTER'!$AC$2:$AC$495&gt;=7)*('CASE MASTER'!$AB$2:$AB$495&lt;=8)*('CASE MASTER'!$AD$2:$AD$495&gt;=8))*ROW('CASE MASTER'!$T$2:$T$495))-(ROW('CASE MASTER'!#REF!)-1))),"")),"")</f>
        <v/>
      </c>
      <c r="J149" s="10" t="str">
        <f>IFERROR(IF(SUMPRODUCT((('CASE MASTER'!$T$2:$T$495=11)*('CASE MASTER'!$U$2:$U$495&lt;=7)*('CASE MASTER'!$W$2:$W$495&gt;=7)*('CASE MASTER'!$V$2:$V$495&lt;=9)*('CASE MASTER'!$X$2:$X$495&gt;=9))*ROW('CASE MASTER'!$T$2:$T$495))&gt;0,INDEX('CASE MASTER'!$Y$2:$Y$495,(SUMPRODUCT((('CASE MASTER'!$T$2:$T$495=11)*('CASE MASTER'!$U$2:$U$495&lt;=7)*('CASE MASTER'!$W$2:$W$495&gt;=7)*('CASE MASTER'!$V$2:$V$495&lt;=9)*('CASE MASTER'!$X$2:$X$495&gt;=9))*ROW('CASE MASTER'!$T$2:$T$495))-(ROW('CASE MASTER'!#REF!)-1)))&amp;TRIM(MID(SUBSTITUTE(SUBSTITUTE(INDEX('CASE MASTER'!$N$2:$N$495,(SUMPRODUCT((('CASE MASTER'!$T$2:$T$495=11)*('CASE MASTER'!$U$2:$U$495&lt;=7)*('CASE MASTER'!$W$2:$W$495&gt;=7)*('CASE MASTER'!$V$2:$V$495&lt;=9)*('CASE MASTER'!$X$2:$X$495&gt;=9))*ROW('CASE MASTER'!$T$2:$T$495))-(ROW('CASE MASTER'!#REF!)-1))),":",","),",",REPT(" ",50)),((((7-INDEX('CASE MASTER'!$U$2:$U$495,(SUMPRODUCT((('CASE MASTER'!$T$2:$T$495=11)*('CASE MASTER'!$U$2:$U$495&lt;=7)*('CASE MASTER'!$W$2:$W$495&gt;=7)*('CASE MASTER'!$V$2:$V$495&lt;=9)*('CASE MASTER'!$X$2:$X$495&gt;=9))*ROW('CASE MASTER'!$T$2:$T$495))-(ROW('CASE MASTER'!#REF!)-1))))*(INDEX('CASE MASTER'!$X$2:$X$495,(SUMPRODUCT((('CASE MASTER'!$T$2:$T$495=11)*('CASE MASTER'!$U$2:$U$495&lt;=7)*('CASE MASTER'!$W$2:$W$495&gt;=7)*('CASE MASTER'!$V$2:$V$495&lt;=9)*('CASE MASTER'!$X$2:$X$495&gt;=9))*ROW('CASE MASTER'!$T$2:$T$495))-(ROW('CASE MASTER'!#REF!)-1)))-INDEX('CASE MASTER'!$V$2:$V$495,(SUMPRODUCT((('CASE MASTER'!$T$2:$T$495=11)*('CASE MASTER'!$U$2:$U$495&lt;=7)*('CASE MASTER'!$W$2:$W$495&gt;=7)*('CASE MASTER'!$V$2:$V$495&lt;=9)*('CASE MASTER'!$X$2:$X$495&gt;=9))*ROW('CASE MASTER'!$T$2:$T$495))-(ROW('CASE MASTER'!#REF!)-1)))+1)+(9-INDEX('CASE MASTER'!$V$2:$V$495,(SUMPRODUCT((('CASE MASTER'!$T$2:$T$495=11)*('CASE MASTER'!$U$2:$U$495&lt;=7)*('CASE MASTER'!$W$2:$W$495&gt;=7)*('CASE MASTER'!$V$2:$V$495&lt;=9)*('CASE MASTER'!$X$2:$X$495&gt;=9))*ROW('CASE MASTER'!$T$2:$T$495))-(ROW('CASE MASTER'!#REF!)-1))))+1))-1)*50+1,50))&amp;"_"&amp;INDEX('CASE MASTER'!$Q$2:$Q$495,(SUMPRODUCT((('CASE MASTER'!$T$2:$T$495=11)*('CASE MASTER'!$U$2:$U$495&lt;=7)*('CASE MASTER'!$W$2:$W$495&gt;=7)*('CASE MASTER'!$V$2:$V$495&lt;=9)*('CASE MASTER'!$X$2:$X$495&gt;=9))*ROW('CASE MASTER'!$T$2:$T$495))-(ROW('CASE MASTER'!#REF!)-1))),IF(SUMPRODUCT((('CASE MASTER'!$T$2:$T$495=11)*('CASE MASTER'!$AA$2:$AA$495&lt;=7)*('CASE MASTER'!$AC$2:$AC$495&gt;=7)*('CASE MASTER'!$AB$2:$AB$495&lt;=9)*('CASE MASTER'!$AD$2:$AD$495&gt;=9))*ROW('CASE MASTER'!$T$2:$T$495))&gt;0,INDEX('CASE MASTER'!$Y$2:$Y$495,(SUMPRODUCT((('CASE MASTER'!$T$2:$T$495=11)*('CASE MASTER'!$AA$2:$AA$495&lt;=7)*('CASE MASTER'!$AC$2:$AC$495&gt;=7)*('CASE MASTER'!$AB$2:$AB$495&lt;=9)*('CASE MASTER'!$AD$2:$AD$495&gt;=9))*ROW('CASE MASTER'!$T$2:$T$495))-(ROW('CASE MASTER'!#REF!)-1)))&amp;TRIM(MID(SUBSTITUTE(SUBSTITUTE(INDEX('CASE MASTER'!$N$2:$N$495,(SUMPRODUCT((('CASE MASTER'!$T$2:$T$495=11)*('CASE MASTER'!$AA$2:$AA$495&lt;=7)*('CASE MASTER'!$AC$2:$AC$495&gt;=7)*('CASE MASTER'!$AB$2:$AB$495&lt;=9)*('CASE MASTER'!$AD$2:$AD$495&gt;=9))*ROW('CASE MASTER'!$T$2:$T$495))-(ROW('CASE MASTER'!#REF!)-1))),":",","),",",REPT(" ",50)),(((INDEX('CASE MASTER'!$Z$2:$Z$495,(SUMPRODUCT((('CASE MASTER'!$T$2:$T$495=11)*('CASE MASTER'!$AA$2:$AA$495&lt;=7)*('CASE MASTER'!$AC$2:$AC$495&gt;=7)*('CASE MASTER'!$AB$2:$AB$495&lt;=9)*('CASE MASTER'!$AD$2:$AD$495&gt;=9))*ROW('CASE MASTER'!$T$2:$T$495))-(ROW('CASE MASTER'!#REF!)-1)))+((7-INDEX('CASE MASTER'!$AA$2:$AA$495,(SUMPRODUCT((('CASE MASTER'!$T$2:$T$495=11)*('CASE MASTER'!$AA$2:$AA$495&lt;=7)*('CASE MASTER'!$AC$2:$AC$495&gt;=7)*('CASE MASTER'!$AB$2:$AB$495&lt;=9)*('CASE MASTER'!$AD$2:$AD$495&gt;=9))*ROW('CASE MASTER'!$T$2:$T$495))-(ROW('CASE MASTER'!#REF!)-1))))*(INDEX('CASE MASTER'!$AD$2:$AD$495,(SUMPRODUCT((('CASE MASTER'!$T$2:$T$495=11)*('CASE MASTER'!$AA$2:$AA$495&lt;=7)*('CASE MASTER'!$AC$2:$AC$495&gt;=7)*('CASE MASTER'!$AB$2:$AB$495&lt;=9)*('CASE MASTER'!$AD$2:$AD$495&gt;=9))*ROW('CASE MASTER'!$T$2:$T$495))-(ROW('CASE MASTER'!#REF!)-1)))-INDEX('CASE MASTER'!$AB$2:$AB$495,(SUMPRODUCT((('CASE MASTER'!$T$2:$T$495=11)*('CASE MASTER'!$AA$2:$AA$495&lt;=7)*('CASE MASTER'!$AC$2:$AC$495&gt;=7)*('CASE MASTER'!$AB$2:$AB$495&lt;=9)*('CASE MASTER'!$AD$2:$AD$495&gt;=9))*ROW('CASE MASTER'!$T$2:$T$495))-(ROW('CASE MASTER'!#REF!)-1)))+1)+(9-INDEX('CASE MASTER'!$AB$2:$AB$495,(SUMPRODUCT((('CASE MASTER'!$T$2:$T$495=11)*('CASE MASTER'!$AA$2:$AA$495&lt;=7)*('CASE MASTER'!$AC$2:$AC$495&gt;=7)*('CASE MASTER'!$AB$2:$AB$495&lt;=9)*('CASE MASTER'!$AD$2:$AD$495&gt;=9))*ROW('CASE MASTER'!$T$2:$T$495))-(ROW('CASE MASTER'!#REF!)-1))))+1)))-1)*50+1,50))&amp;"_"&amp;INDEX('CASE MASTER'!$Q$2:$Q$495,(SUMPRODUCT((('CASE MASTER'!$T$2:$T$495=11)*('CASE MASTER'!$AA$2:$AA$495&lt;=7)*('CASE MASTER'!$AC$2:$AC$495&gt;=7)*('CASE MASTER'!$AB$2:$AB$495&lt;=9)*('CASE MASTER'!$AD$2:$AD$495&gt;=9))*ROW('CASE MASTER'!$T$2:$T$495))-(ROW('CASE MASTER'!#REF!)-1))),"")),"")</f>
        <v/>
      </c>
      <c r="K149" s="10" t="str">
        <f>IFERROR(IF(SUMPRODUCT((('CASE MASTER'!$T$2:$T$495=11)*('CASE MASTER'!$U$2:$U$495&lt;=7)*('CASE MASTER'!$W$2:$W$495&gt;=7)*('CASE MASTER'!$V$2:$V$495&lt;=10)*('CASE MASTER'!$X$2:$X$495&gt;=10))*ROW('CASE MASTER'!$T$2:$T$495))&gt;0,INDEX('CASE MASTER'!$Y$2:$Y$495,(SUMPRODUCT((('CASE MASTER'!$T$2:$T$495=11)*('CASE MASTER'!$U$2:$U$495&lt;=7)*('CASE MASTER'!$W$2:$W$495&gt;=7)*('CASE MASTER'!$V$2:$V$495&lt;=10)*('CASE MASTER'!$X$2:$X$495&gt;=10))*ROW('CASE MASTER'!$T$2:$T$495))-(ROW('CASE MASTER'!#REF!)-1)))&amp;TRIM(MID(SUBSTITUTE(SUBSTITUTE(INDEX('CASE MASTER'!$N$2:$N$495,(SUMPRODUCT((('CASE MASTER'!$T$2:$T$495=11)*('CASE MASTER'!$U$2:$U$495&lt;=7)*('CASE MASTER'!$W$2:$W$495&gt;=7)*('CASE MASTER'!$V$2:$V$495&lt;=10)*('CASE MASTER'!$X$2:$X$495&gt;=10))*ROW('CASE MASTER'!$T$2:$T$495))-(ROW('CASE MASTER'!#REF!)-1))),":",","),",",REPT(" ",50)),((((7-INDEX('CASE MASTER'!$U$2:$U$495,(SUMPRODUCT((('CASE MASTER'!$T$2:$T$495=11)*('CASE MASTER'!$U$2:$U$495&lt;=7)*('CASE MASTER'!$W$2:$W$495&gt;=7)*('CASE MASTER'!$V$2:$V$495&lt;=10)*('CASE MASTER'!$X$2:$X$495&gt;=10))*ROW('CASE MASTER'!$T$2:$T$495))-(ROW('CASE MASTER'!#REF!)-1))))*(INDEX('CASE MASTER'!$X$2:$X$495,(SUMPRODUCT((('CASE MASTER'!$T$2:$T$495=11)*('CASE MASTER'!$U$2:$U$495&lt;=7)*('CASE MASTER'!$W$2:$W$495&gt;=7)*('CASE MASTER'!$V$2:$V$495&lt;=10)*('CASE MASTER'!$X$2:$X$495&gt;=10))*ROW('CASE MASTER'!$T$2:$T$495))-(ROW('CASE MASTER'!#REF!)-1)))-INDEX('CASE MASTER'!$V$2:$V$495,(SUMPRODUCT((('CASE MASTER'!$T$2:$T$495=11)*('CASE MASTER'!$U$2:$U$495&lt;=7)*('CASE MASTER'!$W$2:$W$495&gt;=7)*('CASE MASTER'!$V$2:$V$495&lt;=10)*('CASE MASTER'!$X$2:$X$495&gt;=10))*ROW('CASE MASTER'!$T$2:$T$495))-(ROW('CASE MASTER'!#REF!)-1)))+1)+(10-INDEX('CASE MASTER'!$V$2:$V$495,(SUMPRODUCT((('CASE MASTER'!$T$2:$T$495=11)*('CASE MASTER'!$U$2:$U$495&lt;=7)*('CASE MASTER'!$W$2:$W$495&gt;=7)*('CASE MASTER'!$V$2:$V$495&lt;=10)*('CASE MASTER'!$X$2:$X$495&gt;=10))*ROW('CASE MASTER'!$T$2:$T$495))-(ROW('CASE MASTER'!#REF!)-1))))+1))-1)*50+1,50))&amp;"_"&amp;INDEX('CASE MASTER'!$Q$2:$Q$495,(SUMPRODUCT((('CASE MASTER'!$T$2:$T$495=11)*('CASE MASTER'!$U$2:$U$495&lt;=7)*('CASE MASTER'!$W$2:$W$495&gt;=7)*('CASE MASTER'!$V$2:$V$495&lt;=10)*('CASE MASTER'!$X$2:$X$495&gt;=10))*ROW('CASE MASTER'!$T$2:$T$495))-(ROW('CASE MASTER'!#REF!)-1))),IF(SUMPRODUCT((('CASE MASTER'!$T$2:$T$495=11)*('CASE MASTER'!$AA$2:$AA$495&lt;=7)*('CASE MASTER'!$AC$2:$AC$495&gt;=7)*('CASE MASTER'!$AB$2:$AB$495&lt;=10)*('CASE MASTER'!$AD$2:$AD$495&gt;=10))*ROW('CASE MASTER'!$T$2:$T$495))&gt;0,INDEX('CASE MASTER'!$Y$2:$Y$495,(SUMPRODUCT((('CASE MASTER'!$T$2:$T$495=11)*('CASE MASTER'!$AA$2:$AA$495&lt;=7)*('CASE MASTER'!$AC$2:$AC$495&gt;=7)*('CASE MASTER'!$AB$2:$AB$495&lt;=10)*('CASE MASTER'!$AD$2:$AD$495&gt;=10))*ROW('CASE MASTER'!$T$2:$T$495))-(ROW('CASE MASTER'!#REF!)-1)))&amp;TRIM(MID(SUBSTITUTE(SUBSTITUTE(INDEX('CASE MASTER'!$N$2:$N$495,(SUMPRODUCT((('CASE MASTER'!$T$2:$T$495=11)*('CASE MASTER'!$AA$2:$AA$495&lt;=7)*('CASE MASTER'!$AC$2:$AC$495&gt;=7)*('CASE MASTER'!$AB$2:$AB$495&lt;=10)*('CASE MASTER'!$AD$2:$AD$495&gt;=10))*ROW('CASE MASTER'!$T$2:$T$495))-(ROW('CASE MASTER'!#REF!)-1))),":",","),",",REPT(" ",50)),(((INDEX('CASE MASTER'!$Z$2:$Z$495,(SUMPRODUCT((('CASE MASTER'!$T$2:$T$495=11)*('CASE MASTER'!$AA$2:$AA$495&lt;=7)*('CASE MASTER'!$AC$2:$AC$495&gt;=7)*('CASE MASTER'!$AB$2:$AB$495&lt;=10)*('CASE MASTER'!$AD$2:$AD$495&gt;=10))*ROW('CASE MASTER'!$T$2:$T$495))-(ROW('CASE MASTER'!#REF!)-1)))+((7-INDEX('CASE MASTER'!$AA$2:$AA$495,(SUMPRODUCT((('CASE MASTER'!$T$2:$T$495=11)*('CASE MASTER'!$AA$2:$AA$495&lt;=7)*('CASE MASTER'!$AC$2:$AC$495&gt;=7)*('CASE MASTER'!$AB$2:$AB$495&lt;=10)*('CASE MASTER'!$AD$2:$AD$495&gt;=10))*ROW('CASE MASTER'!$T$2:$T$495))-(ROW('CASE MASTER'!#REF!)-1))))*(INDEX('CASE MASTER'!$AD$2:$AD$495,(SUMPRODUCT((('CASE MASTER'!$T$2:$T$495=11)*('CASE MASTER'!$AA$2:$AA$495&lt;=7)*('CASE MASTER'!$AC$2:$AC$495&gt;=7)*('CASE MASTER'!$AB$2:$AB$495&lt;=10)*('CASE MASTER'!$AD$2:$AD$495&gt;=10))*ROW('CASE MASTER'!$T$2:$T$495))-(ROW('CASE MASTER'!#REF!)-1)))-INDEX('CASE MASTER'!$AB$2:$AB$495,(SUMPRODUCT((('CASE MASTER'!$T$2:$T$495=11)*('CASE MASTER'!$AA$2:$AA$495&lt;=7)*('CASE MASTER'!$AC$2:$AC$495&gt;=7)*('CASE MASTER'!$AB$2:$AB$495&lt;=10)*('CASE MASTER'!$AD$2:$AD$495&gt;=10))*ROW('CASE MASTER'!$T$2:$T$495))-(ROW('CASE MASTER'!#REF!)-1)))+1)+(10-INDEX('CASE MASTER'!$AB$2:$AB$495,(SUMPRODUCT((('CASE MASTER'!$T$2:$T$495=11)*('CASE MASTER'!$AA$2:$AA$495&lt;=7)*('CASE MASTER'!$AC$2:$AC$495&gt;=7)*('CASE MASTER'!$AB$2:$AB$495&lt;=10)*('CASE MASTER'!$AD$2:$AD$495&gt;=10))*ROW('CASE MASTER'!$T$2:$T$495))-(ROW('CASE MASTER'!#REF!)-1))))+1)))-1)*50+1,50))&amp;"_"&amp;INDEX('CASE MASTER'!$Q$2:$Q$495,(SUMPRODUCT((('CASE MASTER'!$T$2:$T$495=11)*('CASE MASTER'!$AA$2:$AA$495&lt;=7)*('CASE MASTER'!$AC$2:$AC$495&gt;=7)*('CASE MASTER'!$AB$2:$AB$495&lt;=10)*('CASE MASTER'!$AD$2:$AD$495&gt;=10))*ROW('CASE MASTER'!$T$2:$T$495))-(ROW('CASE MASTER'!#REF!)-1))),"")),"")</f>
        <v/>
      </c>
    </row>
    <row r="150" spans="1:11" ht="15" customHeight="1" x14ac:dyDescent="0.35">
      <c r="A150" s="8" t="s">
        <v>35</v>
      </c>
      <c r="B150" s="10" t="str">
        <f>IFERROR(IF(SUMPRODUCT((('CASE MASTER'!$T$2:$T$495=11)*('CASE MASTER'!$U$2:$U$495&lt;=8)*('CASE MASTER'!$W$2:$W$495&gt;=8)*('CASE MASTER'!$V$2:$V$495&lt;=1)*('CASE MASTER'!$X$2:$X$495&gt;=1))*ROW('CASE MASTER'!$T$2:$T$495))&gt;0,INDEX('CASE MASTER'!$Y$2:$Y$495,(SUMPRODUCT((('CASE MASTER'!$T$2:$T$495=11)*('CASE MASTER'!$U$2:$U$495&lt;=8)*('CASE MASTER'!$W$2:$W$495&gt;=8)*('CASE MASTER'!$V$2:$V$495&lt;=1)*('CASE MASTER'!$X$2:$X$495&gt;=1))*ROW('CASE MASTER'!$T$2:$T$495))-(ROW('CASE MASTER'!#REF!)-1)))&amp;TRIM(MID(SUBSTITUTE(SUBSTITUTE(INDEX('CASE MASTER'!$N$2:$N$495,(SUMPRODUCT((('CASE MASTER'!$T$2:$T$495=11)*('CASE MASTER'!$U$2:$U$495&lt;=8)*('CASE MASTER'!$W$2:$W$495&gt;=8)*('CASE MASTER'!$V$2:$V$495&lt;=1)*('CASE MASTER'!$X$2:$X$495&gt;=1))*ROW('CASE MASTER'!$T$2:$T$495))-(ROW('CASE MASTER'!#REF!)-1))),":",","),",",REPT(" ",50)),((((8-INDEX('CASE MASTER'!$U$2:$U$495,(SUMPRODUCT((('CASE MASTER'!$T$2:$T$495=11)*('CASE MASTER'!$U$2:$U$495&lt;=8)*('CASE MASTER'!$W$2:$W$495&gt;=8)*('CASE MASTER'!$V$2:$V$495&lt;=1)*('CASE MASTER'!$X$2:$X$495&gt;=1))*ROW('CASE MASTER'!$T$2:$T$495))-(ROW('CASE MASTER'!#REF!)-1))))*(INDEX('CASE MASTER'!$X$2:$X$495,(SUMPRODUCT((('CASE MASTER'!$T$2:$T$495=11)*('CASE MASTER'!$U$2:$U$495&lt;=8)*('CASE MASTER'!$W$2:$W$495&gt;=8)*('CASE MASTER'!$V$2:$V$495&lt;=1)*('CASE MASTER'!$X$2:$X$495&gt;=1))*ROW('CASE MASTER'!$T$2:$T$495))-(ROW('CASE MASTER'!#REF!)-1)))-INDEX('CASE MASTER'!$V$2:$V$495,(SUMPRODUCT((('CASE MASTER'!$T$2:$T$495=11)*('CASE MASTER'!$U$2:$U$495&lt;=8)*('CASE MASTER'!$W$2:$W$495&gt;=8)*('CASE MASTER'!$V$2:$V$495&lt;=1)*('CASE MASTER'!$X$2:$X$495&gt;=1))*ROW('CASE MASTER'!$T$2:$T$495))-(ROW('CASE MASTER'!#REF!)-1)))+1)+(1-INDEX('CASE MASTER'!$V$2:$V$495,(SUMPRODUCT((('CASE MASTER'!$T$2:$T$495=11)*('CASE MASTER'!$U$2:$U$495&lt;=8)*('CASE MASTER'!$W$2:$W$495&gt;=8)*('CASE MASTER'!$V$2:$V$495&lt;=1)*('CASE MASTER'!$X$2:$X$495&gt;=1))*ROW('CASE MASTER'!$T$2:$T$495))-(ROW('CASE MASTER'!#REF!)-1))))+1))-1)*50+1,50))&amp;"_"&amp;INDEX('CASE MASTER'!$Q$2:$Q$495,(SUMPRODUCT((('CASE MASTER'!$T$2:$T$495=11)*('CASE MASTER'!$U$2:$U$495&lt;=8)*('CASE MASTER'!$W$2:$W$495&gt;=8)*('CASE MASTER'!$V$2:$V$495&lt;=1)*('CASE MASTER'!$X$2:$X$495&gt;=1))*ROW('CASE MASTER'!$T$2:$T$495))-(ROW('CASE MASTER'!#REF!)-1))),IF(SUMPRODUCT((('CASE MASTER'!$T$2:$T$495=11)*('CASE MASTER'!$AA$2:$AA$495&lt;=8)*('CASE MASTER'!$AC$2:$AC$495&gt;=8)*('CASE MASTER'!$AB$2:$AB$495&lt;=1)*('CASE MASTER'!$AD$2:$AD$495&gt;=1))*ROW('CASE MASTER'!$T$2:$T$495))&gt;0,INDEX('CASE MASTER'!$Y$2:$Y$495,(SUMPRODUCT((('CASE MASTER'!$T$2:$T$495=11)*('CASE MASTER'!$AA$2:$AA$495&lt;=8)*('CASE MASTER'!$AC$2:$AC$495&gt;=8)*('CASE MASTER'!$AB$2:$AB$495&lt;=1)*('CASE MASTER'!$AD$2:$AD$495&gt;=1))*ROW('CASE MASTER'!$T$2:$T$495))-(ROW('CASE MASTER'!#REF!)-1)))&amp;TRIM(MID(SUBSTITUTE(SUBSTITUTE(INDEX('CASE MASTER'!$N$2:$N$495,(SUMPRODUCT((('CASE MASTER'!$T$2:$T$495=11)*('CASE MASTER'!$AA$2:$AA$495&lt;=8)*('CASE MASTER'!$AC$2:$AC$495&gt;=8)*('CASE MASTER'!$AB$2:$AB$495&lt;=1)*('CASE MASTER'!$AD$2:$AD$495&gt;=1))*ROW('CASE MASTER'!$T$2:$T$495))-(ROW('CASE MASTER'!#REF!)-1))),":",","),",",REPT(" ",50)),(((INDEX('CASE MASTER'!$Z$2:$Z$495,(SUMPRODUCT((('CASE MASTER'!$T$2:$T$495=11)*('CASE MASTER'!$AA$2:$AA$495&lt;=8)*('CASE MASTER'!$AC$2:$AC$495&gt;=8)*('CASE MASTER'!$AB$2:$AB$495&lt;=1)*('CASE MASTER'!$AD$2:$AD$495&gt;=1))*ROW('CASE MASTER'!$T$2:$T$495))-(ROW('CASE MASTER'!#REF!)-1)))+((8-INDEX('CASE MASTER'!$AA$2:$AA$495,(SUMPRODUCT((('CASE MASTER'!$T$2:$T$495=11)*('CASE MASTER'!$AA$2:$AA$495&lt;=8)*('CASE MASTER'!$AC$2:$AC$495&gt;=8)*('CASE MASTER'!$AB$2:$AB$495&lt;=1)*('CASE MASTER'!$AD$2:$AD$495&gt;=1))*ROW('CASE MASTER'!$T$2:$T$495))-(ROW('CASE MASTER'!#REF!)-1))))*(INDEX('CASE MASTER'!$AD$2:$AD$495,(SUMPRODUCT((('CASE MASTER'!$T$2:$T$495=11)*('CASE MASTER'!$AA$2:$AA$495&lt;=8)*('CASE MASTER'!$AC$2:$AC$495&gt;=8)*('CASE MASTER'!$AB$2:$AB$495&lt;=1)*('CASE MASTER'!$AD$2:$AD$495&gt;=1))*ROW('CASE MASTER'!$T$2:$T$495))-(ROW('CASE MASTER'!#REF!)-1)))-INDEX('CASE MASTER'!$AB$2:$AB$495,(SUMPRODUCT((('CASE MASTER'!$T$2:$T$495=11)*('CASE MASTER'!$AA$2:$AA$495&lt;=8)*('CASE MASTER'!$AC$2:$AC$495&gt;=8)*('CASE MASTER'!$AB$2:$AB$495&lt;=1)*('CASE MASTER'!$AD$2:$AD$495&gt;=1))*ROW('CASE MASTER'!$T$2:$T$495))-(ROW('CASE MASTER'!#REF!)-1)))+1)+(1-INDEX('CASE MASTER'!$AB$2:$AB$495,(SUMPRODUCT((('CASE MASTER'!$T$2:$T$495=11)*('CASE MASTER'!$AA$2:$AA$495&lt;=8)*('CASE MASTER'!$AC$2:$AC$495&gt;=8)*('CASE MASTER'!$AB$2:$AB$495&lt;=1)*('CASE MASTER'!$AD$2:$AD$495&gt;=1))*ROW('CASE MASTER'!$T$2:$T$495))-(ROW('CASE MASTER'!#REF!)-1))))+1)))-1)*50+1,50))&amp;"_"&amp;INDEX('CASE MASTER'!$Q$2:$Q$495,(SUMPRODUCT((('CASE MASTER'!$T$2:$T$495=11)*('CASE MASTER'!$AA$2:$AA$495&lt;=8)*('CASE MASTER'!$AC$2:$AC$495&gt;=8)*('CASE MASTER'!$AB$2:$AB$495&lt;=1)*('CASE MASTER'!$AD$2:$AD$495&gt;=1))*ROW('CASE MASTER'!$T$2:$T$495))-(ROW('CASE MASTER'!#REF!)-1))),"")),"")</f>
        <v/>
      </c>
      <c r="C150" s="10" t="str">
        <f>IFERROR(IF(SUMPRODUCT((('CASE MASTER'!$T$2:$T$495=11)*('CASE MASTER'!$U$2:$U$495&lt;=8)*('CASE MASTER'!$W$2:$W$495&gt;=8)*('CASE MASTER'!$V$2:$V$495&lt;=2)*('CASE MASTER'!$X$2:$X$495&gt;=2))*ROW('CASE MASTER'!$T$2:$T$495))&gt;0,INDEX('CASE MASTER'!$Y$2:$Y$495,(SUMPRODUCT((('CASE MASTER'!$T$2:$T$495=11)*('CASE MASTER'!$U$2:$U$495&lt;=8)*('CASE MASTER'!$W$2:$W$495&gt;=8)*('CASE MASTER'!$V$2:$V$495&lt;=2)*('CASE MASTER'!$X$2:$X$495&gt;=2))*ROW('CASE MASTER'!$T$2:$T$495))-(ROW('CASE MASTER'!#REF!)-1)))&amp;TRIM(MID(SUBSTITUTE(SUBSTITUTE(INDEX('CASE MASTER'!$N$2:$N$495,(SUMPRODUCT((('CASE MASTER'!$T$2:$T$495=11)*('CASE MASTER'!$U$2:$U$495&lt;=8)*('CASE MASTER'!$W$2:$W$495&gt;=8)*('CASE MASTER'!$V$2:$V$495&lt;=2)*('CASE MASTER'!$X$2:$X$495&gt;=2))*ROW('CASE MASTER'!$T$2:$T$495))-(ROW('CASE MASTER'!#REF!)-1))),":",","),",",REPT(" ",50)),((((8-INDEX('CASE MASTER'!$U$2:$U$495,(SUMPRODUCT((('CASE MASTER'!$T$2:$T$495=11)*('CASE MASTER'!$U$2:$U$495&lt;=8)*('CASE MASTER'!$W$2:$W$495&gt;=8)*('CASE MASTER'!$V$2:$V$495&lt;=2)*('CASE MASTER'!$X$2:$X$495&gt;=2))*ROW('CASE MASTER'!$T$2:$T$495))-(ROW('CASE MASTER'!#REF!)-1))))*(INDEX('CASE MASTER'!$X$2:$X$495,(SUMPRODUCT((('CASE MASTER'!$T$2:$T$495=11)*('CASE MASTER'!$U$2:$U$495&lt;=8)*('CASE MASTER'!$W$2:$W$495&gt;=8)*('CASE MASTER'!$V$2:$V$495&lt;=2)*('CASE MASTER'!$X$2:$X$495&gt;=2))*ROW('CASE MASTER'!$T$2:$T$495))-(ROW('CASE MASTER'!#REF!)-1)))-INDEX('CASE MASTER'!$V$2:$V$495,(SUMPRODUCT((('CASE MASTER'!$T$2:$T$495=11)*('CASE MASTER'!$U$2:$U$495&lt;=8)*('CASE MASTER'!$W$2:$W$495&gt;=8)*('CASE MASTER'!$V$2:$V$495&lt;=2)*('CASE MASTER'!$X$2:$X$495&gt;=2))*ROW('CASE MASTER'!$T$2:$T$495))-(ROW('CASE MASTER'!#REF!)-1)))+1)+(2-INDEX('CASE MASTER'!$V$2:$V$495,(SUMPRODUCT((('CASE MASTER'!$T$2:$T$495=11)*('CASE MASTER'!$U$2:$U$495&lt;=8)*('CASE MASTER'!$W$2:$W$495&gt;=8)*('CASE MASTER'!$V$2:$V$495&lt;=2)*('CASE MASTER'!$X$2:$X$495&gt;=2))*ROW('CASE MASTER'!$T$2:$T$495))-(ROW('CASE MASTER'!#REF!)-1))))+1))-1)*50+1,50))&amp;"_"&amp;INDEX('CASE MASTER'!$Q$2:$Q$495,(SUMPRODUCT((('CASE MASTER'!$T$2:$T$495=11)*('CASE MASTER'!$U$2:$U$495&lt;=8)*('CASE MASTER'!$W$2:$W$495&gt;=8)*('CASE MASTER'!$V$2:$V$495&lt;=2)*('CASE MASTER'!$X$2:$X$495&gt;=2))*ROW('CASE MASTER'!$T$2:$T$495))-(ROW('CASE MASTER'!#REF!)-1))),IF(SUMPRODUCT((('CASE MASTER'!$T$2:$T$495=11)*('CASE MASTER'!$AA$2:$AA$495&lt;=8)*('CASE MASTER'!$AC$2:$AC$495&gt;=8)*('CASE MASTER'!$AB$2:$AB$495&lt;=2)*('CASE MASTER'!$AD$2:$AD$495&gt;=2))*ROW('CASE MASTER'!$T$2:$T$495))&gt;0,INDEX('CASE MASTER'!$Y$2:$Y$495,(SUMPRODUCT((('CASE MASTER'!$T$2:$T$495=11)*('CASE MASTER'!$AA$2:$AA$495&lt;=8)*('CASE MASTER'!$AC$2:$AC$495&gt;=8)*('CASE MASTER'!$AB$2:$AB$495&lt;=2)*('CASE MASTER'!$AD$2:$AD$495&gt;=2))*ROW('CASE MASTER'!$T$2:$T$495))-(ROW('CASE MASTER'!#REF!)-1)))&amp;TRIM(MID(SUBSTITUTE(SUBSTITUTE(INDEX('CASE MASTER'!$N$2:$N$495,(SUMPRODUCT((('CASE MASTER'!$T$2:$T$495=11)*('CASE MASTER'!$AA$2:$AA$495&lt;=8)*('CASE MASTER'!$AC$2:$AC$495&gt;=8)*('CASE MASTER'!$AB$2:$AB$495&lt;=2)*('CASE MASTER'!$AD$2:$AD$495&gt;=2))*ROW('CASE MASTER'!$T$2:$T$495))-(ROW('CASE MASTER'!#REF!)-1))),":",","),",",REPT(" ",50)),(((INDEX('CASE MASTER'!$Z$2:$Z$495,(SUMPRODUCT((('CASE MASTER'!$T$2:$T$495=11)*('CASE MASTER'!$AA$2:$AA$495&lt;=8)*('CASE MASTER'!$AC$2:$AC$495&gt;=8)*('CASE MASTER'!$AB$2:$AB$495&lt;=2)*('CASE MASTER'!$AD$2:$AD$495&gt;=2))*ROW('CASE MASTER'!$T$2:$T$495))-(ROW('CASE MASTER'!#REF!)-1)))+((8-INDEX('CASE MASTER'!$AA$2:$AA$495,(SUMPRODUCT((('CASE MASTER'!$T$2:$T$495=11)*('CASE MASTER'!$AA$2:$AA$495&lt;=8)*('CASE MASTER'!$AC$2:$AC$495&gt;=8)*('CASE MASTER'!$AB$2:$AB$495&lt;=2)*('CASE MASTER'!$AD$2:$AD$495&gt;=2))*ROW('CASE MASTER'!$T$2:$T$495))-(ROW('CASE MASTER'!#REF!)-1))))*(INDEX('CASE MASTER'!$AD$2:$AD$495,(SUMPRODUCT((('CASE MASTER'!$T$2:$T$495=11)*('CASE MASTER'!$AA$2:$AA$495&lt;=8)*('CASE MASTER'!$AC$2:$AC$495&gt;=8)*('CASE MASTER'!$AB$2:$AB$495&lt;=2)*('CASE MASTER'!$AD$2:$AD$495&gt;=2))*ROW('CASE MASTER'!$T$2:$T$495))-(ROW('CASE MASTER'!#REF!)-1)))-INDEX('CASE MASTER'!$AB$2:$AB$495,(SUMPRODUCT((('CASE MASTER'!$T$2:$T$495=11)*('CASE MASTER'!$AA$2:$AA$495&lt;=8)*('CASE MASTER'!$AC$2:$AC$495&gt;=8)*('CASE MASTER'!$AB$2:$AB$495&lt;=2)*('CASE MASTER'!$AD$2:$AD$495&gt;=2))*ROW('CASE MASTER'!$T$2:$T$495))-(ROW('CASE MASTER'!#REF!)-1)))+1)+(2-INDEX('CASE MASTER'!$AB$2:$AB$495,(SUMPRODUCT((('CASE MASTER'!$T$2:$T$495=11)*('CASE MASTER'!$AA$2:$AA$495&lt;=8)*('CASE MASTER'!$AC$2:$AC$495&gt;=8)*('CASE MASTER'!$AB$2:$AB$495&lt;=2)*('CASE MASTER'!$AD$2:$AD$495&gt;=2))*ROW('CASE MASTER'!$T$2:$T$495))-(ROW('CASE MASTER'!#REF!)-1))))+1)))-1)*50+1,50))&amp;"_"&amp;INDEX('CASE MASTER'!$Q$2:$Q$495,(SUMPRODUCT((('CASE MASTER'!$T$2:$T$495=11)*('CASE MASTER'!$AA$2:$AA$495&lt;=8)*('CASE MASTER'!$AC$2:$AC$495&gt;=8)*('CASE MASTER'!$AB$2:$AB$495&lt;=2)*('CASE MASTER'!$AD$2:$AD$495&gt;=2))*ROW('CASE MASTER'!$T$2:$T$495))-(ROW('CASE MASTER'!#REF!)-1))),"")),"")</f>
        <v/>
      </c>
      <c r="D150" s="10" t="str">
        <f>IFERROR(IF(SUMPRODUCT((('CASE MASTER'!$T$2:$T$495=11)*('CASE MASTER'!$U$2:$U$495&lt;=8)*('CASE MASTER'!$W$2:$W$495&gt;=8)*('CASE MASTER'!$V$2:$V$495&lt;=3)*('CASE MASTER'!$X$2:$X$495&gt;=3))*ROW('CASE MASTER'!$T$2:$T$495))&gt;0,INDEX('CASE MASTER'!$Y$2:$Y$495,(SUMPRODUCT((('CASE MASTER'!$T$2:$T$495=11)*('CASE MASTER'!$U$2:$U$495&lt;=8)*('CASE MASTER'!$W$2:$W$495&gt;=8)*('CASE MASTER'!$V$2:$V$495&lt;=3)*('CASE MASTER'!$X$2:$X$495&gt;=3))*ROW('CASE MASTER'!$T$2:$T$495))-(ROW('CASE MASTER'!#REF!)-1)))&amp;TRIM(MID(SUBSTITUTE(SUBSTITUTE(INDEX('CASE MASTER'!$N$2:$N$495,(SUMPRODUCT((('CASE MASTER'!$T$2:$T$495=11)*('CASE MASTER'!$U$2:$U$495&lt;=8)*('CASE MASTER'!$W$2:$W$495&gt;=8)*('CASE MASTER'!$V$2:$V$495&lt;=3)*('CASE MASTER'!$X$2:$X$495&gt;=3))*ROW('CASE MASTER'!$T$2:$T$495))-(ROW('CASE MASTER'!#REF!)-1))),":",","),",",REPT(" ",50)),((((8-INDEX('CASE MASTER'!$U$2:$U$495,(SUMPRODUCT((('CASE MASTER'!$T$2:$T$495=11)*('CASE MASTER'!$U$2:$U$495&lt;=8)*('CASE MASTER'!$W$2:$W$495&gt;=8)*('CASE MASTER'!$V$2:$V$495&lt;=3)*('CASE MASTER'!$X$2:$X$495&gt;=3))*ROW('CASE MASTER'!$T$2:$T$495))-(ROW('CASE MASTER'!#REF!)-1))))*(INDEX('CASE MASTER'!$X$2:$X$495,(SUMPRODUCT((('CASE MASTER'!$T$2:$T$495=11)*('CASE MASTER'!$U$2:$U$495&lt;=8)*('CASE MASTER'!$W$2:$W$495&gt;=8)*('CASE MASTER'!$V$2:$V$495&lt;=3)*('CASE MASTER'!$X$2:$X$495&gt;=3))*ROW('CASE MASTER'!$T$2:$T$495))-(ROW('CASE MASTER'!#REF!)-1)))-INDEX('CASE MASTER'!$V$2:$V$495,(SUMPRODUCT((('CASE MASTER'!$T$2:$T$495=11)*('CASE MASTER'!$U$2:$U$495&lt;=8)*('CASE MASTER'!$W$2:$W$495&gt;=8)*('CASE MASTER'!$V$2:$V$495&lt;=3)*('CASE MASTER'!$X$2:$X$495&gt;=3))*ROW('CASE MASTER'!$T$2:$T$495))-(ROW('CASE MASTER'!#REF!)-1)))+1)+(3-INDEX('CASE MASTER'!$V$2:$V$495,(SUMPRODUCT((('CASE MASTER'!$T$2:$T$495=11)*('CASE MASTER'!$U$2:$U$495&lt;=8)*('CASE MASTER'!$W$2:$W$495&gt;=8)*('CASE MASTER'!$V$2:$V$495&lt;=3)*('CASE MASTER'!$X$2:$X$495&gt;=3))*ROW('CASE MASTER'!$T$2:$T$495))-(ROW('CASE MASTER'!#REF!)-1))))+1))-1)*50+1,50))&amp;"_"&amp;INDEX('CASE MASTER'!$Q$2:$Q$495,(SUMPRODUCT((('CASE MASTER'!$T$2:$T$495=11)*('CASE MASTER'!$U$2:$U$495&lt;=8)*('CASE MASTER'!$W$2:$W$495&gt;=8)*('CASE MASTER'!$V$2:$V$495&lt;=3)*('CASE MASTER'!$X$2:$X$495&gt;=3))*ROW('CASE MASTER'!$T$2:$T$495))-(ROW('CASE MASTER'!#REF!)-1))),IF(SUMPRODUCT((('CASE MASTER'!$T$2:$T$495=11)*('CASE MASTER'!$AA$2:$AA$495&lt;=8)*('CASE MASTER'!$AC$2:$AC$495&gt;=8)*('CASE MASTER'!$AB$2:$AB$495&lt;=3)*('CASE MASTER'!$AD$2:$AD$495&gt;=3))*ROW('CASE MASTER'!$T$2:$T$495))&gt;0,INDEX('CASE MASTER'!$Y$2:$Y$495,(SUMPRODUCT((('CASE MASTER'!$T$2:$T$495=11)*('CASE MASTER'!$AA$2:$AA$495&lt;=8)*('CASE MASTER'!$AC$2:$AC$495&gt;=8)*('CASE MASTER'!$AB$2:$AB$495&lt;=3)*('CASE MASTER'!$AD$2:$AD$495&gt;=3))*ROW('CASE MASTER'!$T$2:$T$495))-(ROW('CASE MASTER'!#REF!)-1)))&amp;TRIM(MID(SUBSTITUTE(SUBSTITUTE(INDEX('CASE MASTER'!$N$2:$N$495,(SUMPRODUCT((('CASE MASTER'!$T$2:$T$495=11)*('CASE MASTER'!$AA$2:$AA$495&lt;=8)*('CASE MASTER'!$AC$2:$AC$495&gt;=8)*('CASE MASTER'!$AB$2:$AB$495&lt;=3)*('CASE MASTER'!$AD$2:$AD$495&gt;=3))*ROW('CASE MASTER'!$T$2:$T$495))-(ROW('CASE MASTER'!#REF!)-1))),":",","),",",REPT(" ",50)),(((INDEX('CASE MASTER'!$Z$2:$Z$495,(SUMPRODUCT((('CASE MASTER'!$T$2:$T$495=11)*('CASE MASTER'!$AA$2:$AA$495&lt;=8)*('CASE MASTER'!$AC$2:$AC$495&gt;=8)*('CASE MASTER'!$AB$2:$AB$495&lt;=3)*('CASE MASTER'!$AD$2:$AD$495&gt;=3))*ROW('CASE MASTER'!$T$2:$T$495))-(ROW('CASE MASTER'!#REF!)-1)))+((8-INDEX('CASE MASTER'!$AA$2:$AA$495,(SUMPRODUCT((('CASE MASTER'!$T$2:$T$495=11)*('CASE MASTER'!$AA$2:$AA$495&lt;=8)*('CASE MASTER'!$AC$2:$AC$495&gt;=8)*('CASE MASTER'!$AB$2:$AB$495&lt;=3)*('CASE MASTER'!$AD$2:$AD$495&gt;=3))*ROW('CASE MASTER'!$T$2:$T$495))-(ROW('CASE MASTER'!#REF!)-1))))*(INDEX('CASE MASTER'!$AD$2:$AD$495,(SUMPRODUCT((('CASE MASTER'!$T$2:$T$495=11)*('CASE MASTER'!$AA$2:$AA$495&lt;=8)*('CASE MASTER'!$AC$2:$AC$495&gt;=8)*('CASE MASTER'!$AB$2:$AB$495&lt;=3)*('CASE MASTER'!$AD$2:$AD$495&gt;=3))*ROW('CASE MASTER'!$T$2:$T$495))-(ROW('CASE MASTER'!#REF!)-1)))-INDEX('CASE MASTER'!$AB$2:$AB$495,(SUMPRODUCT((('CASE MASTER'!$T$2:$T$495=11)*('CASE MASTER'!$AA$2:$AA$495&lt;=8)*('CASE MASTER'!$AC$2:$AC$495&gt;=8)*('CASE MASTER'!$AB$2:$AB$495&lt;=3)*('CASE MASTER'!$AD$2:$AD$495&gt;=3))*ROW('CASE MASTER'!$T$2:$T$495))-(ROW('CASE MASTER'!#REF!)-1)))+1)+(3-INDEX('CASE MASTER'!$AB$2:$AB$495,(SUMPRODUCT((('CASE MASTER'!$T$2:$T$495=11)*('CASE MASTER'!$AA$2:$AA$495&lt;=8)*('CASE MASTER'!$AC$2:$AC$495&gt;=8)*('CASE MASTER'!$AB$2:$AB$495&lt;=3)*('CASE MASTER'!$AD$2:$AD$495&gt;=3))*ROW('CASE MASTER'!$T$2:$T$495))-(ROW('CASE MASTER'!#REF!)-1))))+1)))-1)*50+1,50))&amp;"_"&amp;INDEX('CASE MASTER'!$Q$2:$Q$495,(SUMPRODUCT((('CASE MASTER'!$T$2:$T$495=11)*('CASE MASTER'!$AA$2:$AA$495&lt;=8)*('CASE MASTER'!$AC$2:$AC$495&gt;=8)*('CASE MASTER'!$AB$2:$AB$495&lt;=3)*('CASE MASTER'!$AD$2:$AD$495&gt;=3))*ROW('CASE MASTER'!$T$2:$T$495))-(ROW('CASE MASTER'!#REF!)-1))),"")),"")</f>
        <v/>
      </c>
      <c r="E150" s="10" t="str">
        <f>IFERROR(IF(SUMPRODUCT((('CASE MASTER'!$T$2:$T$495=11)*('CASE MASTER'!$U$2:$U$495&lt;=8)*('CASE MASTER'!$W$2:$W$495&gt;=8)*('CASE MASTER'!$V$2:$V$495&lt;=4)*('CASE MASTER'!$X$2:$X$495&gt;=4))*ROW('CASE MASTER'!$T$2:$T$495))&gt;0,INDEX('CASE MASTER'!$Y$2:$Y$495,(SUMPRODUCT((('CASE MASTER'!$T$2:$T$495=11)*('CASE MASTER'!$U$2:$U$495&lt;=8)*('CASE MASTER'!$W$2:$W$495&gt;=8)*('CASE MASTER'!$V$2:$V$495&lt;=4)*('CASE MASTER'!$X$2:$X$495&gt;=4))*ROW('CASE MASTER'!$T$2:$T$495))-(ROW('CASE MASTER'!#REF!)-1)))&amp;TRIM(MID(SUBSTITUTE(SUBSTITUTE(INDEX('CASE MASTER'!$N$2:$N$495,(SUMPRODUCT((('CASE MASTER'!$T$2:$T$495=11)*('CASE MASTER'!$U$2:$U$495&lt;=8)*('CASE MASTER'!$W$2:$W$495&gt;=8)*('CASE MASTER'!$V$2:$V$495&lt;=4)*('CASE MASTER'!$X$2:$X$495&gt;=4))*ROW('CASE MASTER'!$T$2:$T$495))-(ROW('CASE MASTER'!#REF!)-1))),":",","),",",REPT(" ",50)),((((8-INDEX('CASE MASTER'!$U$2:$U$495,(SUMPRODUCT((('CASE MASTER'!$T$2:$T$495=11)*('CASE MASTER'!$U$2:$U$495&lt;=8)*('CASE MASTER'!$W$2:$W$495&gt;=8)*('CASE MASTER'!$V$2:$V$495&lt;=4)*('CASE MASTER'!$X$2:$X$495&gt;=4))*ROW('CASE MASTER'!$T$2:$T$495))-(ROW('CASE MASTER'!#REF!)-1))))*(INDEX('CASE MASTER'!$X$2:$X$495,(SUMPRODUCT((('CASE MASTER'!$T$2:$T$495=11)*('CASE MASTER'!$U$2:$U$495&lt;=8)*('CASE MASTER'!$W$2:$W$495&gt;=8)*('CASE MASTER'!$V$2:$V$495&lt;=4)*('CASE MASTER'!$X$2:$X$495&gt;=4))*ROW('CASE MASTER'!$T$2:$T$495))-(ROW('CASE MASTER'!#REF!)-1)))-INDEX('CASE MASTER'!$V$2:$V$495,(SUMPRODUCT((('CASE MASTER'!$T$2:$T$495=11)*('CASE MASTER'!$U$2:$U$495&lt;=8)*('CASE MASTER'!$W$2:$W$495&gt;=8)*('CASE MASTER'!$V$2:$V$495&lt;=4)*('CASE MASTER'!$X$2:$X$495&gt;=4))*ROW('CASE MASTER'!$T$2:$T$495))-(ROW('CASE MASTER'!#REF!)-1)))+1)+(4-INDEX('CASE MASTER'!$V$2:$V$495,(SUMPRODUCT((('CASE MASTER'!$T$2:$T$495=11)*('CASE MASTER'!$U$2:$U$495&lt;=8)*('CASE MASTER'!$W$2:$W$495&gt;=8)*('CASE MASTER'!$V$2:$V$495&lt;=4)*('CASE MASTER'!$X$2:$X$495&gt;=4))*ROW('CASE MASTER'!$T$2:$T$495))-(ROW('CASE MASTER'!#REF!)-1))))+1))-1)*50+1,50))&amp;"_"&amp;INDEX('CASE MASTER'!$Q$2:$Q$495,(SUMPRODUCT((('CASE MASTER'!$T$2:$T$495=11)*('CASE MASTER'!$U$2:$U$495&lt;=8)*('CASE MASTER'!$W$2:$W$495&gt;=8)*('CASE MASTER'!$V$2:$V$495&lt;=4)*('CASE MASTER'!$X$2:$X$495&gt;=4))*ROW('CASE MASTER'!$T$2:$T$495))-(ROW('CASE MASTER'!#REF!)-1))),IF(SUMPRODUCT((('CASE MASTER'!$T$2:$T$495=11)*('CASE MASTER'!$AA$2:$AA$495&lt;=8)*('CASE MASTER'!$AC$2:$AC$495&gt;=8)*('CASE MASTER'!$AB$2:$AB$495&lt;=4)*('CASE MASTER'!$AD$2:$AD$495&gt;=4))*ROW('CASE MASTER'!$T$2:$T$495))&gt;0,INDEX('CASE MASTER'!$Y$2:$Y$495,(SUMPRODUCT((('CASE MASTER'!$T$2:$T$495=11)*('CASE MASTER'!$AA$2:$AA$495&lt;=8)*('CASE MASTER'!$AC$2:$AC$495&gt;=8)*('CASE MASTER'!$AB$2:$AB$495&lt;=4)*('CASE MASTER'!$AD$2:$AD$495&gt;=4))*ROW('CASE MASTER'!$T$2:$T$495))-(ROW('CASE MASTER'!#REF!)-1)))&amp;TRIM(MID(SUBSTITUTE(SUBSTITUTE(INDEX('CASE MASTER'!$N$2:$N$495,(SUMPRODUCT((('CASE MASTER'!$T$2:$T$495=11)*('CASE MASTER'!$AA$2:$AA$495&lt;=8)*('CASE MASTER'!$AC$2:$AC$495&gt;=8)*('CASE MASTER'!$AB$2:$AB$495&lt;=4)*('CASE MASTER'!$AD$2:$AD$495&gt;=4))*ROW('CASE MASTER'!$T$2:$T$495))-(ROW('CASE MASTER'!#REF!)-1))),":",","),",",REPT(" ",50)),(((INDEX('CASE MASTER'!$Z$2:$Z$495,(SUMPRODUCT((('CASE MASTER'!$T$2:$T$495=11)*('CASE MASTER'!$AA$2:$AA$495&lt;=8)*('CASE MASTER'!$AC$2:$AC$495&gt;=8)*('CASE MASTER'!$AB$2:$AB$495&lt;=4)*('CASE MASTER'!$AD$2:$AD$495&gt;=4))*ROW('CASE MASTER'!$T$2:$T$495))-(ROW('CASE MASTER'!#REF!)-1)))+((8-INDEX('CASE MASTER'!$AA$2:$AA$495,(SUMPRODUCT((('CASE MASTER'!$T$2:$T$495=11)*('CASE MASTER'!$AA$2:$AA$495&lt;=8)*('CASE MASTER'!$AC$2:$AC$495&gt;=8)*('CASE MASTER'!$AB$2:$AB$495&lt;=4)*('CASE MASTER'!$AD$2:$AD$495&gt;=4))*ROW('CASE MASTER'!$T$2:$T$495))-(ROW('CASE MASTER'!#REF!)-1))))*(INDEX('CASE MASTER'!$AD$2:$AD$495,(SUMPRODUCT((('CASE MASTER'!$T$2:$T$495=11)*('CASE MASTER'!$AA$2:$AA$495&lt;=8)*('CASE MASTER'!$AC$2:$AC$495&gt;=8)*('CASE MASTER'!$AB$2:$AB$495&lt;=4)*('CASE MASTER'!$AD$2:$AD$495&gt;=4))*ROW('CASE MASTER'!$T$2:$T$495))-(ROW('CASE MASTER'!#REF!)-1)))-INDEX('CASE MASTER'!$AB$2:$AB$495,(SUMPRODUCT((('CASE MASTER'!$T$2:$T$495=11)*('CASE MASTER'!$AA$2:$AA$495&lt;=8)*('CASE MASTER'!$AC$2:$AC$495&gt;=8)*('CASE MASTER'!$AB$2:$AB$495&lt;=4)*('CASE MASTER'!$AD$2:$AD$495&gt;=4))*ROW('CASE MASTER'!$T$2:$T$495))-(ROW('CASE MASTER'!#REF!)-1)))+1)+(4-INDEX('CASE MASTER'!$AB$2:$AB$495,(SUMPRODUCT((('CASE MASTER'!$T$2:$T$495=11)*('CASE MASTER'!$AA$2:$AA$495&lt;=8)*('CASE MASTER'!$AC$2:$AC$495&gt;=8)*('CASE MASTER'!$AB$2:$AB$495&lt;=4)*('CASE MASTER'!$AD$2:$AD$495&gt;=4))*ROW('CASE MASTER'!$T$2:$T$495))-(ROW('CASE MASTER'!#REF!)-1))))+1)))-1)*50+1,50))&amp;"_"&amp;INDEX('CASE MASTER'!$Q$2:$Q$495,(SUMPRODUCT((('CASE MASTER'!$T$2:$T$495=11)*('CASE MASTER'!$AA$2:$AA$495&lt;=8)*('CASE MASTER'!$AC$2:$AC$495&gt;=8)*('CASE MASTER'!$AB$2:$AB$495&lt;=4)*('CASE MASTER'!$AD$2:$AD$495&gt;=4))*ROW('CASE MASTER'!$T$2:$T$495))-(ROW('CASE MASTER'!#REF!)-1))),"")),"")</f>
        <v/>
      </c>
      <c r="F150" s="10" t="str">
        <f>IFERROR(IF(SUMPRODUCT((('CASE MASTER'!$T$2:$T$495=11)*('CASE MASTER'!$U$2:$U$495&lt;=8)*('CASE MASTER'!$W$2:$W$495&gt;=8)*('CASE MASTER'!$V$2:$V$495&lt;=5)*('CASE MASTER'!$X$2:$X$495&gt;=5))*ROW('CASE MASTER'!$T$2:$T$495))&gt;0,INDEX('CASE MASTER'!$Y$2:$Y$495,(SUMPRODUCT((('CASE MASTER'!$T$2:$T$495=11)*('CASE MASTER'!$U$2:$U$495&lt;=8)*('CASE MASTER'!$W$2:$W$495&gt;=8)*('CASE MASTER'!$V$2:$V$495&lt;=5)*('CASE MASTER'!$X$2:$X$495&gt;=5))*ROW('CASE MASTER'!$T$2:$T$495))-(ROW('CASE MASTER'!#REF!)-1)))&amp;TRIM(MID(SUBSTITUTE(SUBSTITUTE(INDEX('CASE MASTER'!$N$2:$N$495,(SUMPRODUCT((('CASE MASTER'!$T$2:$T$495=11)*('CASE MASTER'!$U$2:$U$495&lt;=8)*('CASE MASTER'!$W$2:$W$495&gt;=8)*('CASE MASTER'!$V$2:$V$495&lt;=5)*('CASE MASTER'!$X$2:$X$495&gt;=5))*ROW('CASE MASTER'!$T$2:$T$495))-(ROW('CASE MASTER'!#REF!)-1))),":",","),",",REPT(" ",50)),((((8-INDEX('CASE MASTER'!$U$2:$U$495,(SUMPRODUCT((('CASE MASTER'!$T$2:$T$495=11)*('CASE MASTER'!$U$2:$U$495&lt;=8)*('CASE MASTER'!$W$2:$W$495&gt;=8)*('CASE MASTER'!$V$2:$V$495&lt;=5)*('CASE MASTER'!$X$2:$X$495&gt;=5))*ROW('CASE MASTER'!$T$2:$T$495))-(ROW('CASE MASTER'!#REF!)-1))))*(INDEX('CASE MASTER'!$X$2:$X$495,(SUMPRODUCT((('CASE MASTER'!$T$2:$T$495=11)*('CASE MASTER'!$U$2:$U$495&lt;=8)*('CASE MASTER'!$W$2:$W$495&gt;=8)*('CASE MASTER'!$V$2:$V$495&lt;=5)*('CASE MASTER'!$X$2:$X$495&gt;=5))*ROW('CASE MASTER'!$T$2:$T$495))-(ROW('CASE MASTER'!#REF!)-1)))-INDEX('CASE MASTER'!$V$2:$V$495,(SUMPRODUCT((('CASE MASTER'!$T$2:$T$495=11)*('CASE MASTER'!$U$2:$U$495&lt;=8)*('CASE MASTER'!$W$2:$W$495&gt;=8)*('CASE MASTER'!$V$2:$V$495&lt;=5)*('CASE MASTER'!$X$2:$X$495&gt;=5))*ROW('CASE MASTER'!$T$2:$T$495))-(ROW('CASE MASTER'!#REF!)-1)))+1)+(5-INDEX('CASE MASTER'!$V$2:$V$495,(SUMPRODUCT((('CASE MASTER'!$T$2:$T$495=11)*('CASE MASTER'!$U$2:$U$495&lt;=8)*('CASE MASTER'!$W$2:$W$495&gt;=8)*('CASE MASTER'!$V$2:$V$495&lt;=5)*('CASE MASTER'!$X$2:$X$495&gt;=5))*ROW('CASE MASTER'!$T$2:$T$495))-(ROW('CASE MASTER'!#REF!)-1))))+1))-1)*50+1,50))&amp;"_"&amp;INDEX('CASE MASTER'!$Q$2:$Q$495,(SUMPRODUCT((('CASE MASTER'!$T$2:$T$495=11)*('CASE MASTER'!$U$2:$U$495&lt;=8)*('CASE MASTER'!$W$2:$W$495&gt;=8)*('CASE MASTER'!$V$2:$V$495&lt;=5)*('CASE MASTER'!$X$2:$X$495&gt;=5))*ROW('CASE MASTER'!$T$2:$T$495))-(ROW('CASE MASTER'!#REF!)-1))),IF(SUMPRODUCT((('CASE MASTER'!$T$2:$T$495=11)*('CASE MASTER'!$AA$2:$AA$495&lt;=8)*('CASE MASTER'!$AC$2:$AC$495&gt;=8)*('CASE MASTER'!$AB$2:$AB$495&lt;=5)*('CASE MASTER'!$AD$2:$AD$495&gt;=5))*ROW('CASE MASTER'!$T$2:$T$495))&gt;0,INDEX('CASE MASTER'!$Y$2:$Y$495,(SUMPRODUCT((('CASE MASTER'!$T$2:$T$495=11)*('CASE MASTER'!$AA$2:$AA$495&lt;=8)*('CASE MASTER'!$AC$2:$AC$495&gt;=8)*('CASE MASTER'!$AB$2:$AB$495&lt;=5)*('CASE MASTER'!$AD$2:$AD$495&gt;=5))*ROW('CASE MASTER'!$T$2:$T$495))-(ROW('CASE MASTER'!#REF!)-1)))&amp;TRIM(MID(SUBSTITUTE(SUBSTITUTE(INDEX('CASE MASTER'!$N$2:$N$495,(SUMPRODUCT((('CASE MASTER'!$T$2:$T$495=11)*('CASE MASTER'!$AA$2:$AA$495&lt;=8)*('CASE MASTER'!$AC$2:$AC$495&gt;=8)*('CASE MASTER'!$AB$2:$AB$495&lt;=5)*('CASE MASTER'!$AD$2:$AD$495&gt;=5))*ROW('CASE MASTER'!$T$2:$T$495))-(ROW('CASE MASTER'!#REF!)-1))),":",","),",",REPT(" ",50)),(((INDEX('CASE MASTER'!$Z$2:$Z$495,(SUMPRODUCT((('CASE MASTER'!$T$2:$T$495=11)*('CASE MASTER'!$AA$2:$AA$495&lt;=8)*('CASE MASTER'!$AC$2:$AC$495&gt;=8)*('CASE MASTER'!$AB$2:$AB$495&lt;=5)*('CASE MASTER'!$AD$2:$AD$495&gt;=5))*ROW('CASE MASTER'!$T$2:$T$495))-(ROW('CASE MASTER'!#REF!)-1)))+((8-INDEX('CASE MASTER'!$AA$2:$AA$495,(SUMPRODUCT((('CASE MASTER'!$T$2:$T$495=11)*('CASE MASTER'!$AA$2:$AA$495&lt;=8)*('CASE MASTER'!$AC$2:$AC$495&gt;=8)*('CASE MASTER'!$AB$2:$AB$495&lt;=5)*('CASE MASTER'!$AD$2:$AD$495&gt;=5))*ROW('CASE MASTER'!$T$2:$T$495))-(ROW('CASE MASTER'!#REF!)-1))))*(INDEX('CASE MASTER'!$AD$2:$AD$495,(SUMPRODUCT((('CASE MASTER'!$T$2:$T$495=11)*('CASE MASTER'!$AA$2:$AA$495&lt;=8)*('CASE MASTER'!$AC$2:$AC$495&gt;=8)*('CASE MASTER'!$AB$2:$AB$495&lt;=5)*('CASE MASTER'!$AD$2:$AD$495&gt;=5))*ROW('CASE MASTER'!$T$2:$T$495))-(ROW('CASE MASTER'!#REF!)-1)))-INDEX('CASE MASTER'!$AB$2:$AB$495,(SUMPRODUCT((('CASE MASTER'!$T$2:$T$495=11)*('CASE MASTER'!$AA$2:$AA$495&lt;=8)*('CASE MASTER'!$AC$2:$AC$495&gt;=8)*('CASE MASTER'!$AB$2:$AB$495&lt;=5)*('CASE MASTER'!$AD$2:$AD$495&gt;=5))*ROW('CASE MASTER'!$T$2:$T$495))-(ROW('CASE MASTER'!#REF!)-1)))+1)+(5-INDEX('CASE MASTER'!$AB$2:$AB$495,(SUMPRODUCT((('CASE MASTER'!$T$2:$T$495=11)*('CASE MASTER'!$AA$2:$AA$495&lt;=8)*('CASE MASTER'!$AC$2:$AC$495&gt;=8)*('CASE MASTER'!$AB$2:$AB$495&lt;=5)*('CASE MASTER'!$AD$2:$AD$495&gt;=5))*ROW('CASE MASTER'!$T$2:$T$495))-(ROW('CASE MASTER'!#REF!)-1))))+1)))-1)*50+1,50))&amp;"_"&amp;INDEX('CASE MASTER'!$Q$2:$Q$495,(SUMPRODUCT((('CASE MASTER'!$T$2:$T$495=11)*('CASE MASTER'!$AA$2:$AA$495&lt;=8)*('CASE MASTER'!$AC$2:$AC$495&gt;=8)*('CASE MASTER'!$AB$2:$AB$495&lt;=5)*('CASE MASTER'!$AD$2:$AD$495&gt;=5))*ROW('CASE MASTER'!$T$2:$T$495))-(ROW('CASE MASTER'!#REF!)-1))),"")),"")</f>
        <v/>
      </c>
      <c r="G150" s="10" t="str">
        <f>IFERROR(IF(SUMPRODUCT((('CASE MASTER'!$T$2:$T$495=11)*('CASE MASTER'!$U$2:$U$495&lt;=8)*('CASE MASTER'!$W$2:$W$495&gt;=8)*('CASE MASTER'!$V$2:$V$495&lt;=6)*('CASE MASTER'!$X$2:$X$495&gt;=6))*ROW('CASE MASTER'!$T$2:$T$495))&gt;0,INDEX('CASE MASTER'!$Y$2:$Y$495,(SUMPRODUCT((('CASE MASTER'!$T$2:$T$495=11)*('CASE MASTER'!$U$2:$U$495&lt;=8)*('CASE MASTER'!$W$2:$W$495&gt;=8)*('CASE MASTER'!$V$2:$V$495&lt;=6)*('CASE MASTER'!$X$2:$X$495&gt;=6))*ROW('CASE MASTER'!$T$2:$T$495))-(ROW('CASE MASTER'!#REF!)-1)))&amp;TRIM(MID(SUBSTITUTE(SUBSTITUTE(INDEX('CASE MASTER'!$N$2:$N$495,(SUMPRODUCT((('CASE MASTER'!$T$2:$T$495=11)*('CASE MASTER'!$U$2:$U$495&lt;=8)*('CASE MASTER'!$W$2:$W$495&gt;=8)*('CASE MASTER'!$V$2:$V$495&lt;=6)*('CASE MASTER'!$X$2:$X$495&gt;=6))*ROW('CASE MASTER'!$T$2:$T$495))-(ROW('CASE MASTER'!#REF!)-1))),":",","),",",REPT(" ",50)),((((8-INDEX('CASE MASTER'!$U$2:$U$495,(SUMPRODUCT((('CASE MASTER'!$T$2:$T$495=11)*('CASE MASTER'!$U$2:$U$495&lt;=8)*('CASE MASTER'!$W$2:$W$495&gt;=8)*('CASE MASTER'!$V$2:$V$495&lt;=6)*('CASE MASTER'!$X$2:$X$495&gt;=6))*ROW('CASE MASTER'!$T$2:$T$495))-(ROW('CASE MASTER'!#REF!)-1))))*(INDEX('CASE MASTER'!$X$2:$X$495,(SUMPRODUCT((('CASE MASTER'!$T$2:$T$495=11)*('CASE MASTER'!$U$2:$U$495&lt;=8)*('CASE MASTER'!$W$2:$W$495&gt;=8)*('CASE MASTER'!$V$2:$V$495&lt;=6)*('CASE MASTER'!$X$2:$X$495&gt;=6))*ROW('CASE MASTER'!$T$2:$T$495))-(ROW('CASE MASTER'!#REF!)-1)))-INDEX('CASE MASTER'!$V$2:$V$495,(SUMPRODUCT((('CASE MASTER'!$T$2:$T$495=11)*('CASE MASTER'!$U$2:$U$495&lt;=8)*('CASE MASTER'!$W$2:$W$495&gt;=8)*('CASE MASTER'!$V$2:$V$495&lt;=6)*('CASE MASTER'!$X$2:$X$495&gt;=6))*ROW('CASE MASTER'!$T$2:$T$495))-(ROW('CASE MASTER'!#REF!)-1)))+1)+(6-INDEX('CASE MASTER'!$V$2:$V$495,(SUMPRODUCT((('CASE MASTER'!$T$2:$T$495=11)*('CASE MASTER'!$U$2:$U$495&lt;=8)*('CASE MASTER'!$W$2:$W$495&gt;=8)*('CASE MASTER'!$V$2:$V$495&lt;=6)*('CASE MASTER'!$X$2:$X$495&gt;=6))*ROW('CASE MASTER'!$T$2:$T$495))-(ROW('CASE MASTER'!#REF!)-1))))+1))-1)*50+1,50))&amp;"_"&amp;INDEX('CASE MASTER'!$Q$2:$Q$495,(SUMPRODUCT((('CASE MASTER'!$T$2:$T$495=11)*('CASE MASTER'!$U$2:$U$495&lt;=8)*('CASE MASTER'!$W$2:$W$495&gt;=8)*('CASE MASTER'!$V$2:$V$495&lt;=6)*('CASE MASTER'!$X$2:$X$495&gt;=6))*ROW('CASE MASTER'!$T$2:$T$495))-(ROW('CASE MASTER'!#REF!)-1))),IF(SUMPRODUCT((('CASE MASTER'!$T$2:$T$495=11)*('CASE MASTER'!$AA$2:$AA$495&lt;=8)*('CASE MASTER'!$AC$2:$AC$495&gt;=8)*('CASE MASTER'!$AB$2:$AB$495&lt;=6)*('CASE MASTER'!$AD$2:$AD$495&gt;=6))*ROW('CASE MASTER'!$T$2:$T$495))&gt;0,INDEX('CASE MASTER'!$Y$2:$Y$495,(SUMPRODUCT((('CASE MASTER'!$T$2:$T$495=11)*('CASE MASTER'!$AA$2:$AA$495&lt;=8)*('CASE MASTER'!$AC$2:$AC$495&gt;=8)*('CASE MASTER'!$AB$2:$AB$495&lt;=6)*('CASE MASTER'!$AD$2:$AD$495&gt;=6))*ROW('CASE MASTER'!$T$2:$T$495))-(ROW('CASE MASTER'!#REF!)-1)))&amp;TRIM(MID(SUBSTITUTE(SUBSTITUTE(INDEX('CASE MASTER'!$N$2:$N$495,(SUMPRODUCT((('CASE MASTER'!$T$2:$T$495=11)*('CASE MASTER'!$AA$2:$AA$495&lt;=8)*('CASE MASTER'!$AC$2:$AC$495&gt;=8)*('CASE MASTER'!$AB$2:$AB$495&lt;=6)*('CASE MASTER'!$AD$2:$AD$495&gt;=6))*ROW('CASE MASTER'!$T$2:$T$495))-(ROW('CASE MASTER'!#REF!)-1))),":",","),",",REPT(" ",50)),(((INDEX('CASE MASTER'!$Z$2:$Z$495,(SUMPRODUCT((('CASE MASTER'!$T$2:$T$495=11)*('CASE MASTER'!$AA$2:$AA$495&lt;=8)*('CASE MASTER'!$AC$2:$AC$495&gt;=8)*('CASE MASTER'!$AB$2:$AB$495&lt;=6)*('CASE MASTER'!$AD$2:$AD$495&gt;=6))*ROW('CASE MASTER'!$T$2:$T$495))-(ROW('CASE MASTER'!#REF!)-1)))+((8-INDEX('CASE MASTER'!$AA$2:$AA$495,(SUMPRODUCT((('CASE MASTER'!$T$2:$T$495=11)*('CASE MASTER'!$AA$2:$AA$495&lt;=8)*('CASE MASTER'!$AC$2:$AC$495&gt;=8)*('CASE MASTER'!$AB$2:$AB$495&lt;=6)*('CASE MASTER'!$AD$2:$AD$495&gt;=6))*ROW('CASE MASTER'!$T$2:$T$495))-(ROW('CASE MASTER'!#REF!)-1))))*(INDEX('CASE MASTER'!$AD$2:$AD$495,(SUMPRODUCT((('CASE MASTER'!$T$2:$T$495=11)*('CASE MASTER'!$AA$2:$AA$495&lt;=8)*('CASE MASTER'!$AC$2:$AC$495&gt;=8)*('CASE MASTER'!$AB$2:$AB$495&lt;=6)*('CASE MASTER'!$AD$2:$AD$495&gt;=6))*ROW('CASE MASTER'!$T$2:$T$495))-(ROW('CASE MASTER'!#REF!)-1)))-INDEX('CASE MASTER'!$AB$2:$AB$495,(SUMPRODUCT((('CASE MASTER'!$T$2:$T$495=11)*('CASE MASTER'!$AA$2:$AA$495&lt;=8)*('CASE MASTER'!$AC$2:$AC$495&gt;=8)*('CASE MASTER'!$AB$2:$AB$495&lt;=6)*('CASE MASTER'!$AD$2:$AD$495&gt;=6))*ROW('CASE MASTER'!$T$2:$T$495))-(ROW('CASE MASTER'!#REF!)-1)))+1)+(6-INDEX('CASE MASTER'!$AB$2:$AB$495,(SUMPRODUCT((('CASE MASTER'!$T$2:$T$495=11)*('CASE MASTER'!$AA$2:$AA$495&lt;=8)*('CASE MASTER'!$AC$2:$AC$495&gt;=8)*('CASE MASTER'!$AB$2:$AB$495&lt;=6)*('CASE MASTER'!$AD$2:$AD$495&gt;=6))*ROW('CASE MASTER'!$T$2:$T$495))-(ROW('CASE MASTER'!#REF!)-1))))+1)))-1)*50+1,50))&amp;"_"&amp;INDEX('CASE MASTER'!$Q$2:$Q$495,(SUMPRODUCT((('CASE MASTER'!$T$2:$T$495=11)*('CASE MASTER'!$AA$2:$AA$495&lt;=8)*('CASE MASTER'!$AC$2:$AC$495&gt;=8)*('CASE MASTER'!$AB$2:$AB$495&lt;=6)*('CASE MASTER'!$AD$2:$AD$495&gt;=6))*ROW('CASE MASTER'!$T$2:$T$495))-(ROW('CASE MASTER'!#REF!)-1))),"")),"")</f>
        <v/>
      </c>
      <c r="H150" s="10" t="str">
        <f>IFERROR(IF(SUMPRODUCT((('CASE MASTER'!$T$2:$T$495=11)*('CASE MASTER'!$U$2:$U$495&lt;=8)*('CASE MASTER'!$W$2:$W$495&gt;=8)*('CASE MASTER'!$V$2:$V$495&lt;=7)*('CASE MASTER'!$X$2:$X$495&gt;=7))*ROW('CASE MASTER'!$T$2:$T$495))&gt;0,INDEX('CASE MASTER'!$Y$2:$Y$495,(SUMPRODUCT((('CASE MASTER'!$T$2:$T$495=11)*('CASE MASTER'!$U$2:$U$495&lt;=8)*('CASE MASTER'!$W$2:$W$495&gt;=8)*('CASE MASTER'!$V$2:$V$495&lt;=7)*('CASE MASTER'!$X$2:$X$495&gt;=7))*ROW('CASE MASTER'!$T$2:$T$495))-(ROW('CASE MASTER'!#REF!)-1)))&amp;TRIM(MID(SUBSTITUTE(SUBSTITUTE(INDEX('CASE MASTER'!$N$2:$N$495,(SUMPRODUCT((('CASE MASTER'!$T$2:$T$495=11)*('CASE MASTER'!$U$2:$U$495&lt;=8)*('CASE MASTER'!$W$2:$W$495&gt;=8)*('CASE MASTER'!$V$2:$V$495&lt;=7)*('CASE MASTER'!$X$2:$X$495&gt;=7))*ROW('CASE MASTER'!$T$2:$T$495))-(ROW('CASE MASTER'!#REF!)-1))),":",","),",",REPT(" ",50)),((((8-INDEX('CASE MASTER'!$U$2:$U$495,(SUMPRODUCT((('CASE MASTER'!$T$2:$T$495=11)*('CASE MASTER'!$U$2:$U$495&lt;=8)*('CASE MASTER'!$W$2:$W$495&gt;=8)*('CASE MASTER'!$V$2:$V$495&lt;=7)*('CASE MASTER'!$X$2:$X$495&gt;=7))*ROW('CASE MASTER'!$T$2:$T$495))-(ROW('CASE MASTER'!#REF!)-1))))*(INDEX('CASE MASTER'!$X$2:$X$495,(SUMPRODUCT((('CASE MASTER'!$T$2:$T$495=11)*('CASE MASTER'!$U$2:$U$495&lt;=8)*('CASE MASTER'!$W$2:$W$495&gt;=8)*('CASE MASTER'!$V$2:$V$495&lt;=7)*('CASE MASTER'!$X$2:$X$495&gt;=7))*ROW('CASE MASTER'!$T$2:$T$495))-(ROW('CASE MASTER'!#REF!)-1)))-INDEX('CASE MASTER'!$V$2:$V$495,(SUMPRODUCT((('CASE MASTER'!$T$2:$T$495=11)*('CASE MASTER'!$U$2:$U$495&lt;=8)*('CASE MASTER'!$W$2:$W$495&gt;=8)*('CASE MASTER'!$V$2:$V$495&lt;=7)*('CASE MASTER'!$X$2:$X$495&gt;=7))*ROW('CASE MASTER'!$T$2:$T$495))-(ROW('CASE MASTER'!#REF!)-1)))+1)+(7-INDEX('CASE MASTER'!$V$2:$V$495,(SUMPRODUCT((('CASE MASTER'!$T$2:$T$495=11)*('CASE MASTER'!$U$2:$U$495&lt;=8)*('CASE MASTER'!$W$2:$W$495&gt;=8)*('CASE MASTER'!$V$2:$V$495&lt;=7)*('CASE MASTER'!$X$2:$X$495&gt;=7))*ROW('CASE MASTER'!$T$2:$T$495))-(ROW('CASE MASTER'!#REF!)-1))))+1))-1)*50+1,50))&amp;"_"&amp;INDEX('CASE MASTER'!$Q$2:$Q$495,(SUMPRODUCT((('CASE MASTER'!$T$2:$T$495=11)*('CASE MASTER'!$U$2:$U$495&lt;=8)*('CASE MASTER'!$W$2:$W$495&gt;=8)*('CASE MASTER'!$V$2:$V$495&lt;=7)*('CASE MASTER'!$X$2:$X$495&gt;=7))*ROW('CASE MASTER'!$T$2:$T$495))-(ROW('CASE MASTER'!#REF!)-1))),IF(SUMPRODUCT((('CASE MASTER'!$T$2:$T$495=11)*('CASE MASTER'!$AA$2:$AA$495&lt;=8)*('CASE MASTER'!$AC$2:$AC$495&gt;=8)*('CASE MASTER'!$AB$2:$AB$495&lt;=7)*('CASE MASTER'!$AD$2:$AD$495&gt;=7))*ROW('CASE MASTER'!$T$2:$T$495))&gt;0,INDEX('CASE MASTER'!$Y$2:$Y$495,(SUMPRODUCT((('CASE MASTER'!$T$2:$T$495=11)*('CASE MASTER'!$AA$2:$AA$495&lt;=8)*('CASE MASTER'!$AC$2:$AC$495&gt;=8)*('CASE MASTER'!$AB$2:$AB$495&lt;=7)*('CASE MASTER'!$AD$2:$AD$495&gt;=7))*ROW('CASE MASTER'!$T$2:$T$495))-(ROW('CASE MASTER'!#REF!)-1)))&amp;TRIM(MID(SUBSTITUTE(SUBSTITUTE(INDEX('CASE MASTER'!$N$2:$N$495,(SUMPRODUCT((('CASE MASTER'!$T$2:$T$495=11)*('CASE MASTER'!$AA$2:$AA$495&lt;=8)*('CASE MASTER'!$AC$2:$AC$495&gt;=8)*('CASE MASTER'!$AB$2:$AB$495&lt;=7)*('CASE MASTER'!$AD$2:$AD$495&gt;=7))*ROW('CASE MASTER'!$T$2:$T$495))-(ROW('CASE MASTER'!#REF!)-1))),":",","),",",REPT(" ",50)),(((INDEX('CASE MASTER'!$Z$2:$Z$495,(SUMPRODUCT((('CASE MASTER'!$T$2:$T$495=11)*('CASE MASTER'!$AA$2:$AA$495&lt;=8)*('CASE MASTER'!$AC$2:$AC$495&gt;=8)*('CASE MASTER'!$AB$2:$AB$495&lt;=7)*('CASE MASTER'!$AD$2:$AD$495&gt;=7))*ROW('CASE MASTER'!$T$2:$T$495))-(ROW('CASE MASTER'!#REF!)-1)))+((8-INDEX('CASE MASTER'!$AA$2:$AA$495,(SUMPRODUCT((('CASE MASTER'!$T$2:$T$495=11)*('CASE MASTER'!$AA$2:$AA$495&lt;=8)*('CASE MASTER'!$AC$2:$AC$495&gt;=8)*('CASE MASTER'!$AB$2:$AB$495&lt;=7)*('CASE MASTER'!$AD$2:$AD$495&gt;=7))*ROW('CASE MASTER'!$T$2:$T$495))-(ROW('CASE MASTER'!#REF!)-1))))*(INDEX('CASE MASTER'!$AD$2:$AD$495,(SUMPRODUCT((('CASE MASTER'!$T$2:$T$495=11)*('CASE MASTER'!$AA$2:$AA$495&lt;=8)*('CASE MASTER'!$AC$2:$AC$495&gt;=8)*('CASE MASTER'!$AB$2:$AB$495&lt;=7)*('CASE MASTER'!$AD$2:$AD$495&gt;=7))*ROW('CASE MASTER'!$T$2:$T$495))-(ROW('CASE MASTER'!#REF!)-1)))-INDEX('CASE MASTER'!$AB$2:$AB$495,(SUMPRODUCT((('CASE MASTER'!$T$2:$T$495=11)*('CASE MASTER'!$AA$2:$AA$495&lt;=8)*('CASE MASTER'!$AC$2:$AC$495&gt;=8)*('CASE MASTER'!$AB$2:$AB$495&lt;=7)*('CASE MASTER'!$AD$2:$AD$495&gt;=7))*ROW('CASE MASTER'!$T$2:$T$495))-(ROW('CASE MASTER'!#REF!)-1)))+1)+(7-INDEX('CASE MASTER'!$AB$2:$AB$495,(SUMPRODUCT((('CASE MASTER'!$T$2:$T$495=11)*('CASE MASTER'!$AA$2:$AA$495&lt;=8)*('CASE MASTER'!$AC$2:$AC$495&gt;=8)*('CASE MASTER'!$AB$2:$AB$495&lt;=7)*('CASE MASTER'!$AD$2:$AD$495&gt;=7))*ROW('CASE MASTER'!$T$2:$T$495))-(ROW('CASE MASTER'!#REF!)-1))))+1)))-1)*50+1,50))&amp;"_"&amp;INDEX('CASE MASTER'!$Q$2:$Q$495,(SUMPRODUCT((('CASE MASTER'!$T$2:$T$495=11)*('CASE MASTER'!$AA$2:$AA$495&lt;=8)*('CASE MASTER'!$AC$2:$AC$495&gt;=8)*('CASE MASTER'!$AB$2:$AB$495&lt;=7)*('CASE MASTER'!$AD$2:$AD$495&gt;=7))*ROW('CASE MASTER'!$T$2:$T$495))-(ROW('CASE MASTER'!#REF!)-1))),"")),"")</f>
        <v/>
      </c>
      <c r="I150" s="10" t="str">
        <f>IFERROR(IF(SUMPRODUCT((('CASE MASTER'!$T$2:$T$495=11)*('CASE MASTER'!$U$2:$U$495&lt;=8)*('CASE MASTER'!$W$2:$W$495&gt;=8)*('CASE MASTER'!$V$2:$V$495&lt;=8)*('CASE MASTER'!$X$2:$X$495&gt;=8))*ROW('CASE MASTER'!$T$2:$T$495))&gt;0,INDEX('CASE MASTER'!$Y$2:$Y$495,(SUMPRODUCT((('CASE MASTER'!$T$2:$T$495=11)*('CASE MASTER'!$U$2:$U$495&lt;=8)*('CASE MASTER'!$W$2:$W$495&gt;=8)*('CASE MASTER'!$V$2:$V$495&lt;=8)*('CASE MASTER'!$X$2:$X$495&gt;=8))*ROW('CASE MASTER'!$T$2:$T$495))-(ROW('CASE MASTER'!#REF!)-1)))&amp;TRIM(MID(SUBSTITUTE(SUBSTITUTE(INDEX('CASE MASTER'!$N$2:$N$495,(SUMPRODUCT((('CASE MASTER'!$T$2:$T$495=11)*('CASE MASTER'!$U$2:$U$495&lt;=8)*('CASE MASTER'!$W$2:$W$495&gt;=8)*('CASE MASTER'!$V$2:$V$495&lt;=8)*('CASE MASTER'!$X$2:$X$495&gt;=8))*ROW('CASE MASTER'!$T$2:$T$495))-(ROW('CASE MASTER'!#REF!)-1))),":",","),",",REPT(" ",50)),((((8-INDEX('CASE MASTER'!$U$2:$U$495,(SUMPRODUCT((('CASE MASTER'!$T$2:$T$495=11)*('CASE MASTER'!$U$2:$U$495&lt;=8)*('CASE MASTER'!$W$2:$W$495&gt;=8)*('CASE MASTER'!$V$2:$V$495&lt;=8)*('CASE MASTER'!$X$2:$X$495&gt;=8))*ROW('CASE MASTER'!$T$2:$T$495))-(ROW('CASE MASTER'!#REF!)-1))))*(INDEX('CASE MASTER'!$X$2:$X$495,(SUMPRODUCT((('CASE MASTER'!$T$2:$T$495=11)*('CASE MASTER'!$U$2:$U$495&lt;=8)*('CASE MASTER'!$W$2:$W$495&gt;=8)*('CASE MASTER'!$V$2:$V$495&lt;=8)*('CASE MASTER'!$X$2:$X$495&gt;=8))*ROW('CASE MASTER'!$T$2:$T$495))-(ROW('CASE MASTER'!#REF!)-1)))-INDEX('CASE MASTER'!$V$2:$V$495,(SUMPRODUCT((('CASE MASTER'!$T$2:$T$495=11)*('CASE MASTER'!$U$2:$U$495&lt;=8)*('CASE MASTER'!$W$2:$W$495&gt;=8)*('CASE MASTER'!$V$2:$V$495&lt;=8)*('CASE MASTER'!$X$2:$X$495&gt;=8))*ROW('CASE MASTER'!$T$2:$T$495))-(ROW('CASE MASTER'!#REF!)-1)))+1)+(8-INDEX('CASE MASTER'!$V$2:$V$495,(SUMPRODUCT((('CASE MASTER'!$T$2:$T$495=11)*('CASE MASTER'!$U$2:$U$495&lt;=8)*('CASE MASTER'!$W$2:$W$495&gt;=8)*('CASE MASTER'!$V$2:$V$495&lt;=8)*('CASE MASTER'!$X$2:$X$495&gt;=8))*ROW('CASE MASTER'!$T$2:$T$495))-(ROW('CASE MASTER'!#REF!)-1))))+1))-1)*50+1,50))&amp;"_"&amp;INDEX('CASE MASTER'!$Q$2:$Q$495,(SUMPRODUCT((('CASE MASTER'!$T$2:$T$495=11)*('CASE MASTER'!$U$2:$U$495&lt;=8)*('CASE MASTER'!$W$2:$W$495&gt;=8)*('CASE MASTER'!$V$2:$V$495&lt;=8)*('CASE MASTER'!$X$2:$X$495&gt;=8))*ROW('CASE MASTER'!$T$2:$T$495))-(ROW('CASE MASTER'!#REF!)-1))),IF(SUMPRODUCT((('CASE MASTER'!$T$2:$T$495=11)*('CASE MASTER'!$AA$2:$AA$495&lt;=8)*('CASE MASTER'!$AC$2:$AC$495&gt;=8)*('CASE MASTER'!$AB$2:$AB$495&lt;=8)*('CASE MASTER'!$AD$2:$AD$495&gt;=8))*ROW('CASE MASTER'!$T$2:$T$495))&gt;0,INDEX('CASE MASTER'!$Y$2:$Y$495,(SUMPRODUCT((('CASE MASTER'!$T$2:$T$495=11)*('CASE MASTER'!$AA$2:$AA$495&lt;=8)*('CASE MASTER'!$AC$2:$AC$495&gt;=8)*('CASE MASTER'!$AB$2:$AB$495&lt;=8)*('CASE MASTER'!$AD$2:$AD$495&gt;=8))*ROW('CASE MASTER'!$T$2:$T$495))-(ROW('CASE MASTER'!#REF!)-1)))&amp;TRIM(MID(SUBSTITUTE(SUBSTITUTE(INDEX('CASE MASTER'!$N$2:$N$495,(SUMPRODUCT((('CASE MASTER'!$T$2:$T$495=11)*('CASE MASTER'!$AA$2:$AA$495&lt;=8)*('CASE MASTER'!$AC$2:$AC$495&gt;=8)*('CASE MASTER'!$AB$2:$AB$495&lt;=8)*('CASE MASTER'!$AD$2:$AD$495&gt;=8))*ROW('CASE MASTER'!$T$2:$T$495))-(ROW('CASE MASTER'!#REF!)-1))),":",","),",",REPT(" ",50)),(((INDEX('CASE MASTER'!$Z$2:$Z$495,(SUMPRODUCT((('CASE MASTER'!$T$2:$T$495=11)*('CASE MASTER'!$AA$2:$AA$495&lt;=8)*('CASE MASTER'!$AC$2:$AC$495&gt;=8)*('CASE MASTER'!$AB$2:$AB$495&lt;=8)*('CASE MASTER'!$AD$2:$AD$495&gt;=8))*ROW('CASE MASTER'!$T$2:$T$495))-(ROW('CASE MASTER'!#REF!)-1)))+((8-INDEX('CASE MASTER'!$AA$2:$AA$495,(SUMPRODUCT((('CASE MASTER'!$T$2:$T$495=11)*('CASE MASTER'!$AA$2:$AA$495&lt;=8)*('CASE MASTER'!$AC$2:$AC$495&gt;=8)*('CASE MASTER'!$AB$2:$AB$495&lt;=8)*('CASE MASTER'!$AD$2:$AD$495&gt;=8))*ROW('CASE MASTER'!$T$2:$T$495))-(ROW('CASE MASTER'!#REF!)-1))))*(INDEX('CASE MASTER'!$AD$2:$AD$495,(SUMPRODUCT((('CASE MASTER'!$T$2:$T$495=11)*('CASE MASTER'!$AA$2:$AA$495&lt;=8)*('CASE MASTER'!$AC$2:$AC$495&gt;=8)*('CASE MASTER'!$AB$2:$AB$495&lt;=8)*('CASE MASTER'!$AD$2:$AD$495&gt;=8))*ROW('CASE MASTER'!$T$2:$T$495))-(ROW('CASE MASTER'!#REF!)-1)))-INDEX('CASE MASTER'!$AB$2:$AB$495,(SUMPRODUCT((('CASE MASTER'!$T$2:$T$495=11)*('CASE MASTER'!$AA$2:$AA$495&lt;=8)*('CASE MASTER'!$AC$2:$AC$495&gt;=8)*('CASE MASTER'!$AB$2:$AB$495&lt;=8)*('CASE MASTER'!$AD$2:$AD$495&gt;=8))*ROW('CASE MASTER'!$T$2:$T$495))-(ROW('CASE MASTER'!#REF!)-1)))+1)+(8-INDEX('CASE MASTER'!$AB$2:$AB$495,(SUMPRODUCT((('CASE MASTER'!$T$2:$T$495=11)*('CASE MASTER'!$AA$2:$AA$495&lt;=8)*('CASE MASTER'!$AC$2:$AC$495&gt;=8)*('CASE MASTER'!$AB$2:$AB$495&lt;=8)*('CASE MASTER'!$AD$2:$AD$495&gt;=8))*ROW('CASE MASTER'!$T$2:$T$495))-(ROW('CASE MASTER'!#REF!)-1))))+1)))-1)*50+1,50))&amp;"_"&amp;INDEX('CASE MASTER'!$Q$2:$Q$495,(SUMPRODUCT((('CASE MASTER'!$T$2:$T$495=11)*('CASE MASTER'!$AA$2:$AA$495&lt;=8)*('CASE MASTER'!$AC$2:$AC$495&gt;=8)*('CASE MASTER'!$AB$2:$AB$495&lt;=8)*('CASE MASTER'!$AD$2:$AD$495&gt;=8))*ROW('CASE MASTER'!$T$2:$T$495))-(ROW('CASE MASTER'!#REF!)-1))),"")),"")</f>
        <v/>
      </c>
      <c r="J150" s="10" t="str">
        <f>IFERROR(IF(SUMPRODUCT((('CASE MASTER'!$T$2:$T$495=11)*('CASE MASTER'!$U$2:$U$495&lt;=8)*('CASE MASTER'!$W$2:$W$495&gt;=8)*('CASE MASTER'!$V$2:$V$495&lt;=9)*('CASE MASTER'!$X$2:$X$495&gt;=9))*ROW('CASE MASTER'!$T$2:$T$495))&gt;0,INDEX('CASE MASTER'!$Y$2:$Y$495,(SUMPRODUCT((('CASE MASTER'!$T$2:$T$495=11)*('CASE MASTER'!$U$2:$U$495&lt;=8)*('CASE MASTER'!$W$2:$W$495&gt;=8)*('CASE MASTER'!$V$2:$V$495&lt;=9)*('CASE MASTER'!$X$2:$X$495&gt;=9))*ROW('CASE MASTER'!$T$2:$T$495))-(ROW('CASE MASTER'!#REF!)-1)))&amp;TRIM(MID(SUBSTITUTE(SUBSTITUTE(INDEX('CASE MASTER'!$N$2:$N$495,(SUMPRODUCT((('CASE MASTER'!$T$2:$T$495=11)*('CASE MASTER'!$U$2:$U$495&lt;=8)*('CASE MASTER'!$W$2:$W$495&gt;=8)*('CASE MASTER'!$V$2:$V$495&lt;=9)*('CASE MASTER'!$X$2:$X$495&gt;=9))*ROW('CASE MASTER'!$T$2:$T$495))-(ROW('CASE MASTER'!#REF!)-1))),":",","),",",REPT(" ",50)),((((8-INDEX('CASE MASTER'!$U$2:$U$495,(SUMPRODUCT((('CASE MASTER'!$T$2:$T$495=11)*('CASE MASTER'!$U$2:$U$495&lt;=8)*('CASE MASTER'!$W$2:$W$495&gt;=8)*('CASE MASTER'!$V$2:$V$495&lt;=9)*('CASE MASTER'!$X$2:$X$495&gt;=9))*ROW('CASE MASTER'!$T$2:$T$495))-(ROW('CASE MASTER'!#REF!)-1))))*(INDEX('CASE MASTER'!$X$2:$X$495,(SUMPRODUCT((('CASE MASTER'!$T$2:$T$495=11)*('CASE MASTER'!$U$2:$U$495&lt;=8)*('CASE MASTER'!$W$2:$W$495&gt;=8)*('CASE MASTER'!$V$2:$V$495&lt;=9)*('CASE MASTER'!$X$2:$X$495&gt;=9))*ROW('CASE MASTER'!$T$2:$T$495))-(ROW('CASE MASTER'!#REF!)-1)))-INDEX('CASE MASTER'!$V$2:$V$495,(SUMPRODUCT((('CASE MASTER'!$T$2:$T$495=11)*('CASE MASTER'!$U$2:$U$495&lt;=8)*('CASE MASTER'!$W$2:$W$495&gt;=8)*('CASE MASTER'!$V$2:$V$495&lt;=9)*('CASE MASTER'!$X$2:$X$495&gt;=9))*ROW('CASE MASTER'!$T$2:$T$495))-(ROW('CASE MASTER'!#REF!)-1)))+1)+(9-INDEX('CASE MASTER'!$V$2:$V$495,(SUMPRODUCT((('CASE MASTER'!$T$2:$T$495=11)*('CASE MASTER'!$U$2:$U$495&lt;=8)*('CASE MASTER'!$W$2:$W$495&gt;=8)*('CASE MASTER'!$V$2:$V$495&lt;=9)*('CASE MASTER'!$X$2:$X$495&gt;=9))*ROW('CASE MASTER'!$T$2:$T$495))-(ROW('CASE MASTER'!#REF!)-1))))+1))-1)*50+1,50))&amp;"_"&amp;INDEX('CASE MASTER'!$Q$2:$Q$495,(SUMPRODUCT((('CASE MASTER'!$T$2:$T$495=11)*('CASE MASTER'!$U$2:$U$495&lt;=8)*('CASE MASTER'!$W$2:$W$495&gt;=8)*('CASE MASTER'!$V$2:$V$495&lt;=9)*('CASE MASTER'!$X$2:$X$495&gt;=9))*ROW('CASE MASTER'!$T$2:$T$495))-(ROW('CASE MASTER'!#REF!)-1))),IF(SUMPRODUCT((('CASE MASTER'!$T$2:$T$495=11)*('CASE MASTER'!$AA$2:$AA$495&lt;=8)*('CASE MASTER'!$AC$2:$AC$495&gt;=8)*('CASE MASTER'!$AB$2:$AB$495&lt;=9)*('CASE MASTER'!$AD$2:$AD$495&gt;=9))*ROW('CASE MASTER'!$T$2:$T$495))&gt;0,INDEX('CASE MASTER'!$Y$2:$Y$495,(SUMPRODUCT((('CASE MASTER'!$T$2:$T$495=11)*('CASE MASTER'!$AA$2:$AA$495&lt;=8)*('CASE MASTER'!$AC$2:$AC$495&gt;=8)*('CASE MASTER'!$AB$2:$AB$495&lt;=9)*('CASE MASTER'!$AD$2:$AD$495&gt;=9))*ROW('CASE MASTER'!$T$2:$T$495))-(ROW('CASE MASTER'!#REF!)-1)))&amp;TRIM(MID(SUBSTITUTE(SUBSTITUTE(INDEX('CASE MASTER'!$N$2:$N$495,(SUMPRODUCT((('CASE MASTER'!$T$2:$T$495=11)*('CASE MASTER'!$AA$2:$AA$495&lt;=8)*('CASE MASTER'!$AC$2:$AC$495&gt;=8)*('CASE MASTER'!$AB$2:$AB$495&lt;=9)*('CASE MASTER'!$AD$2:$AD$495&gt;=9))*ROW('CASE MASTER'!$T$2:$T$495))-(ROW('CASE MASTER'!#REF!)-1))),":",","),",",REPT(" ",50)),(((INDEX('CASE MASTER'!$Z$2:$Z$495,(SUMPRODUCT((('CASE MASTER'!$T$2:$T$495=11)*('CASE MASTER'!$AA$2:$AA$495&lt;=8)*('CASE MASTER'!$AC$2:$AC$495&gt;=8)*('CASE MASTER'!$AB$2:$AB$495&lt;=9)*('CASE MASTER'!$AD$2:$AD$495&gt;=9))*ROW('CASE MASTER'!$T$2:$T$495))-(ROW('CASE MASTER'!#REF!)-1)))+((8-INDEX('CASE MASTER'!$AA$2:$AA$495,(SUMPRODUCT((('CASE MASTER'!$T$2:$T$495=11)*('CASE MASTER'!$AA$2:$AA$495&lt;=8)*('CASE MASTER'!$AC$2:$AC$495&gt;=8)*('CASE MASTER'!$AB$2:$AB$495&lt;=9)*('CASE MASTER'!$AD$2:$AD$495&gt;=9))*ROW('CASE MASTER'!$T$2:$T$495))-(ROW('CASE MASTER'!#REF!)-1))))*(INDEX('CASE MASTER'!$AD$2:$AD$495,(SUMPRODUCT((('CASE MASTER'!$T$2:$T$495=11)*('CASE MASTER'!$AA$2:$AA$495&lt;=8)*('CASE MASTER'!$AC$2:$AC$495&gt;=8)*('CASE MASTER'!$AB$2:$AB$495&lt;=9)*('CASE MASTER'!$AD$2:$AD$495&gt;=9))*ROW('CASE MASTER'!$T$2:$T$495))-(ROW('CASE MASTER'!#REF!)-1)))-INDEX('CASE MASTER'!$AB$2:$AB$495,(SUMPRODUCT((('CASE MASTER'!$T$2:$T$495=11)*('CASE MASTER'!$AA$2:$AA$495&lt;=8)*('CASE MASTER'!$AC$2:$AC$495&gt;=8)*('CASE MASTER'!$AB$2:$AB$495&lt;=9)*('CASE MASTER'!$AD$2:$AD$495&gt;=9))*ROW('CASE MASTER'!$T$2:$T$495))-(ROW('CASE MASTER'!#REF!)-1)))+1)+(9-INDEX('CASE MASTER'!$AB$2:$AB$495,(SUMPRODUCT((('CASE MASTER'!$T$2:$T$495=11)*('CASE MASTER'!$AA$2:$AA$495&lt;=8)*('CASE MASTER'!$AC$2:$AC$495&gt;=8)*('CASE MASTER'!$AB$2:$AB$495&lt;=9)*('CASE MASTER'!$AD$2:$AD$495&gt;=9))*ROW('CASE MASTER'!$T$2:$T$495))-(ROW('CASE MASTER'!#REF!)-1))))+1)))-1)*50+1,50))&amp;"_"&amp;INDEX('CASE MASTER'!$Q$2:$Q$495,(SUMPRODUCT((('CASE MASTER'!$T$2:$T$495=11)*('CASE MASTER'!$AA$2:$AA$495&lt;=8)*('CASE MASTER'!$AC$2:$AC$495&gt;=8)*('CASE MASTER'!$AB$2:$AB$495&lt;=9)*('CASE MASTER'!$AD$2:$AD$495&gt;=9))*ROW('CASE MASTER'!$T$2:$T$495))-(ROW('CASE MASTER'!#REF!)-1))),"")),"")</f>
        <v/>
      </c>
      <c r="K150" s="10" t="str">
        <f>IFERROR(IF(SUMPRODUCT((('CASE MASTER'!$T$2:$T$495=11)*('CASE MASTER'!$U$2:$U$495&lt;=8)*('CASE MASTER'!$W$2:$W$495&gt;=8)*('CASE MASTER'!$V$2:$V$495&lt;=10)*('CASE MASTER'!$X$2:$X$495&gt;=10))*ROW('CASE MASTER'!$T$2:$T$495))&gt;0,INDEX('CASE MASTER'!$Y$2:$Y$495,(SUMPRODUCT((('CASE MASTER'!$T$2:$T$495=11)*('CASE MASTER'!$U$2:$U$495&lt;=8)*('CASE MASTER'!$W$2:$W$495&gt;=8)*('CASE MASTER'!$V$2:$V$495&lt;=10)*('CASE MASTER'!$X$2:$X$495&gt;=10))*ROW('CASE MASTER'!$T$2:$T$495))-(ROW('CASE MASTER'!#REF!)-1)))&amp;TRIM(MID(SUBSTITUTE(SUBSTITUTE(INDEX('CASE MASTER'!$N$2:$N$495,(SUMPRODUCT((('CASE MASTER'!$T$2:$T$495=11)*('CASE MASTER'!$U$2:$U$495&lt;=8)*('CASE MASTER'!$W$2:$W$495&gt;=8)*('CASE MASTER'!$V$2:$V$495&lt;=10)*('CASE MASTER'!$X$2:$X$495&gt;=10))*ROW('CASE MASTER'!$T$2:$T$495))-(ROW('CASE MASTER'!#REF!)-1))),":",","),",",REPT(" ",50)),((((8-INDEX('CASE MASTER'!$U$2:$U$495,(SUMPRODUCT((('CASE MASTER'!$T$2:$T$495=11)*('CASE MASTER'!$U$2:$U$495&lt;=8)*('CASE MASTER'!$W$2:$W$495&gt;=8)*('CASE MASTER'!$V$2:$V$495&lt;=10)*('CASE MASTER'!$X$2:$X$495&gt;=10))*ROW('CASE MASTER'!$T$2:$T$495))-(ROW('CASE MASTER'!#REF!)-1))))*(INDEX('CASE MASTER'!$X$2:$X$495,(SUMPRODUCT((('CASE MASTER'!$T$2:$T$495=11)*('CASE MASTER'!$U$2:$U$495&lt;=8)*('CASE MASTER'!$W$2:$W$495&gt;=8)*('CASE MASTER'!$V$2:$V$495&lt;=10)*('CASE MASTER'!$X$2:$X$495&gt;=10))*ROW('CASE MASTER'!$T$2:$T$495))-(ROW('CASE MASTER'!#REF!)-1)))-INDEX('CASE MASTER'!$V$2:$V$495,(SUMPRODUCT((('CASE MASTER'!$T$2:$T$495=11)*('CASE MASTER'!$U$2:$U$495&lt;=8)*('CASE MASTER'!$W$2:$W$495&gt;=8)*('CASE MASTER'!$V$2:$V$495&lt;=10)*('CASE MASTER'!$X$2:$X$495&gt;=10))*ROW('CASE MASTER'!$T$2:$T$495))-(ROW('CASE MASTER'!#REF!)-1)))+1)+(10-INDEX('CASE MASTER'!$V$2:$V$495,(SUMPRODUCT((('CASE MASTER'!$T$2:$T$495=11)*('CASE MASTER'!$U$2:$U$495&lt;=8)*('CASE MASTER'!$W$2:$W$495&gt;=8)*('CASE MASTER'!$V$2:$V$495&lt;=10)*('CASE MASTER'!$X$2:$X$495&gt;=10))*ROW('CASE MASTER'!$T$2:$T$495))-(ROW('CASE MASTER'!#REF!)-1))))+1))-1)*50+1,50))&amp;"_"&amp;INDEX('CASE MASTER'!$Q$2:$Q$495,(SUMPRODUCT((('CASE MASTER'!$T$2:$T$495=11)*('CASE MASTER'!$U$2:$U$495&lt;=8)*('CASE MASTER'!$W$2:$W$495&gt;=8)*('CASE MASTER'!$V$2:$V$495&lt;=10)*('CASE MASTER'!$X$2:$X$495&gt;=10))*ROW('CASE MASTER'!$T$2:$T$495))-(ROW('CASE MASTER'!#REF!)-1))),IF(SUMPRODUCT((('CASE MASTER'!$T$2:$T$495=11)*('CASE MASTER'!$AA$2:$AA$495&lt;=8)*('CASE MASTER'!$AC$2:$AC$495&gt;=8)*('CASE MASTER'!$AB$2:$AB$495&lt;=10)*('CASE MASTER'!$AD$2:$AD$495&gt;=10))*ROW('CASE MASTER'!$T$2:$T$495))&gt;0,INDEX('CASE MASTER'!$Y$2:$Y$495,(SUMPRODUCT((('CASE MASTER'!$T$2:$T$495=11)*('CASE MASTER'!$AA$2:$AA$495&lt;=8)*('CASE MASTER'!$AC$2:$AC$495&gt;=8)*('CASE MASTER'!$AB$2:$AB$495&lt;=10)*('CASE MASTER'!$AD$2:$AD$495&gt;=10))*ROW('CASE MASTER'!$T$2:$T$495))-(ROW('CASE MASTER'!#REF!)-1)))&amp;TRIM(MID(SUBSTITUTE(SUBSTITUTE(INDEX('CASE MASTER'!$N$2:$N$495,(SUMPRODUCT((('CASE MASTER'!$T$2:$T$495=11)*('CASE MASTER'!$AA$2:$AA$495&lt;=8)*('CASE MASTER'!$AC$2:$AC$495&gt;=8)*('CASE MASTER'!$AB$2:$AB$495&lt;=10)*('CASE MASTER'!$AD$2:$AD$495&gt;=10))*ROW('CASE MASTER'!$T$2:$T$495))-(ROW('CASE MASTER'!#REF!)-1))),":",","),",",REPT(" ",50)),(((INDEX('CASE MASTER'!$Z$2:$Z$495,(SUMPRODUCT((('CASE MASTER'!$T$2:$T$495=11)*('CASE MASTER'!$AA$2:$AA$495&lt;=8)*('CASE MASTER'!$AC$2:$AC$495&gt;=8)*('CASE MASTER'!$AB$2:$AB$495&lt;=10)*('CASE MASTER'!$AD$2:$AD$495&gt;=10))*ROW('CASE MASTER'!$T$2:$T$495))-(ROW('CASE MASTER'!#REF!)-1)))+((8-INDEX('CASE MASTER'!$AA$2:$AA$495,(SUMPRODUCT((('CASE MASTER'!$T$2:$T$495=11)*('CASE MASTER'!$AA$2:$AA$495&lt;=8)*('CASE MASTER'!$AC$2:$AC$495&gt;=8)*('CASE MASTER'!$AB$2:$AB$495&lt;=10)*('CASE MASTER'!$AD$2:$AD$495&gt;=10))*ROW('CASE MASTER'!$T$2:$T$495))-(ROW('CASE MASTER'!#REF!)-1))))*(INDEX('CASE MASTER'!$AD$2:$AD$495,(SUMPRODUCT((('CASE MASTER'!$T$2:$T$495=11)*('CASE MASTER'!$AA$2:$AA$495&lt;=8)*('CASE MASTER'!$AC$2:$AC$495&gt;=8)*('CASE MASTER'!$AB$2:$AB$495&lt;=10)*('CASE MASTER'!$AD$2:$AD$495&gt;=10))*ROW('CASE MASTER'!$T$2:$T$495))-(ROW('CASE MASTER'!#REF!)-1)))-INDEX('CASE MASTER'!$AB$2:$AB$495,(SUMPRODUCT((('CASE MASTER'!$T$2:$T$495=11)*('CASE MASTER'!$AA$2:$AA$495&lt;=8)*('CASE MASTER'!$AC$2:$AC$495&gt;=8)*('CASE MASTER'!$AB$2:$AB$495&lt;=10)*('CASE MASTER'!$AD$2:$AD$495&gt;=10))*ROW('CASE MASTER'!$T$2:$T$495))-(ROW('CASE MASTER'!#REF!)-1)))+1)+(10-INDEX('CASE MASTER'!$AB$2:$AB$495,(SUMPRODUCT((('CASE MASTER'!$T$2:$T$495=11)*('CASE MASTER'!$AA$2:$AA$495&lt;=8)*('CASE MASTER'!$AC$2:$AC$495&gt;=8)*('CASE MASTER'!$AB$2:$AB$495&lt;=10)*('CASE MASTER'!$AD$2:$AD$495&gt;=10))*ROW('CASE MASTER'!$T$2:$T$495))-(ROW('CASE MASTER'!#REF!)-1))))+1)))-1)*50+1,50))&amp;"_"&amp;INDEX('CASE MASTER'!$Q$2:$Q$495,(SUMPRODUCT((('CASE MASTER'!$T$2:$T$495=11)*('CASE MASTER'!$AA$2:$AA$495&lt;=8)*('CASE MASTER'!$AC$2:$AC$495&gt;=8)*('CASE MASTER'!$AB$2:$AB$495&lt;=10)*('CASE MASTER'!$AD$2:$AD$495&gt;=10))*ROW('CASE MASTER'!$T$2:$T$495))-(ROW('CASE MASTER'!#REF!)-1))),"")),"")</f>
        <v/>
      </c>
    </row>
    <row r="151" spans="1:11" ht="15" customHeight="1" x14ac:dyDescent="0.35">
      <c r="A151" s="8" t="s">
        <v>81</v>
      </c>
      <c r="B151" s="10" t="str">
        <f>IFERROR(IF(SUMPRODUCT((('CASE MASTER'!$T$2:$T$495=11)*('CASE MASTER'!$U$2:$U$495&lt;=9)*('CASE MASTER'!$W$2:$W$495&gt;=9)*('CASE MASTER'!$V$2:$V$495&lt;=1)*('CASE MASTER'!$X$2:$X$495&gt;=1))*ROW('CASE MASTER'!$T$2:$T$495))&gt;0,INDEX('CASE MASTER'!$Y$2:$Y$495,(SUMPRODUCT((('CASE MASTER'!$T$2:$T$495=11)*('CASE MASTER'!$U$2:$U$495&lt;=9)*('CASE MASTER'!$W$2:$W$495&gt;=9)*('CASE MASTER'!$V$2:$V$495&lt;=1)*('CASE MASTER'!$X$2:$X$495&gt;=1))*ROW('CASE MASTER'!$T$2:$T$495))-(ROW('CASE MASTER'!#REF!)-1)))&amp;TRIM(MID(SUBSTITUTE(SUBSTITUTE(INDEX('CASE MASTER'!$N$2:$N$495,(SUMPRODUCT((('CASE MASTER'!$T$2:$T$495=11)*('CASE MASTER'!$U$2:$U$495&lt;=9)*('CASE MASTER'!$W$2:$W$495&gt;=9)*('CASE MASTER'!$V$2:$V$495&lt;=1)*('CASE MASTER'!$X$2:$X$495&gt;=1))*ROW('CASE MASTER'!$T$2:$T$495))-(ROW('CASE MASTER'!#REF!)-1))),":",","),",",REPT(" ",50)),((((9-INDEX('CASE MASTER'!$U$2:$U$495,(SUMPRODUCT((('CASE MASTER'!$T$2:$T$495=11)*('CASE MASTER'!$U$2:$U$495&lt;=9)*('CASE MASTER'!$W$2:$W$495&gt;=9)*('CASE MASTER'!$V$2:$V$495&lt;=1)*('CASE MASTER'!$X$2:$X$495&gt;=1))*ROW('CASE MASTER'!$T$2:$T$495))-(ROW('CASE MASTER'!#REF!)-1))))*(INDEX('CASE MASTER'!$X$2:$X$495,(SUMPRODUCT((('CASE MASTER'!$T$2:$T$495=11)*('CASE MASTER'!$U$2:$U$495&lt;=9)*('CASE MASTER'!$W$2:$W$495&gt;=9)*('CASE MASTER'!$V$2:$V$495&lt;=1)*('CASE MASTER'!$X$2:$X$495&gt;=1))*ROW('CASE MASTER'!$T$2:$T$495))-(ROW('CASE MASTER'!#REF!)-1)))-INDEX('CASE MASTER'!$V$2:$V$495,(SUMPRODUCT((('CASE MASTER'!$T$2:$T$495=11)*('CASE MASTER'!$U$2:$U$495&lt;=9)*('CASE MASTER'!$W$2:$W$495&gt;=9)*('CASE MASTER'!$V$2:$V$495&lt;=1)*('CASE MASTER'!$X$2:$X$495&gt;=1))*ROW('CASE MASTER'!$T$2:$T$495))-(ROW('CASE MASTER'!#REF!)-1)))+1)+(1-INDEX('CASE MASTER'!$V$2:$V$495,(SUMPRODUCT((('CASE MASTER'!$T$2:$T$495=11)*('CASE MASTER'!$U$2:$U$495&lt;=9)*('CASE MASTER'!$W$2:$W$495&gt;=9)*('CASE MASTER'!$V$2:$V$495&lt;=1)*('CASE MASTER'!$X$2:$X$495&gt;=1))*ROW('CASE MASTER'!$T$2:$T$495))-(ROW('CASE MASTER'!#REF!)-1))))+1))-1)*50+1,50))&amp;"_"&amp;INDEX('CASE MASTER'!$Q$2:$Q$495,(SUMPRODUCT((('CASE MASTER'!$T$2:$T$495=11)*('CASE MASTER'!$U$2:$U$495&lt;=9)*('CASE MASTER'!$W$2:$W$495&gt;=9)*('CASE MASTER'!$V$2:$V$495&lt;=1)*('CASE MASTER'!$X$2:$X$495&gt;=1))*ROW('CASE MASTER'!$T$2:$T$495))-(ROW('CASE MASTER'!#REF!)-1))),IF(SUMPRODUCT((('CASE MASTER'!$T$2:$T$495=11)*('CASE MASTER'!$AA$2:$AA$495&lt;=9)*('CASE MASTER'!$AC$2:$AC$495&gt;=9)*('CASE MASTER'!$AB$2:$AB$495&lt;=1)*('CASE MASTER'!$AD$2:$AD$495&gt;=1))*ROW('CASE MASTER'!$T$2:$T$495))&gt;0,INDEX('CASE MASTER'!$Y$2:$Y$495,(SUMPRODUCT((('CASE MASTER'!$T$2:$T$495=11)*('CASE MASTER'!$AA$2:$AA$495&lt;=9)*('CASE MASTER'!$AC$2:$AC$495&gt;=9)*('CASE MASTER'!$AB$2:$AB$495&lt;=1)*('CASE MASTER'!$AD$2:$AD$495&gt;=1))*ROW('CASE MASTER'!$T$2:$T$495))-(ROW('CASE MASTER'!#REF!)-1)))&amp;TRIM(MID(SUBSTITUTE(SUBSTITUTE(INDEX('CASE MASTER'!$N$2:$N$495,(SUMPRODUCT((('CASE MASTER'!$T$2:$T$495=11)*('CASE MASTER'!$AA$2:$AA$495&lt;=9)*('CASE MASTER'!$AC$2:$AC$495&gt;=9)*('CASE MASTER'!$AB$2:$AB$495&lt;=1)*('CASE MASTER'!$AD$2:$AD$495&gt;=1))*ROW('CASE MASTER'!$T$2:$T$495))-(ROW('CASE MASTER'!#REF!)-1))),":",","),",",REPT(" ",50)),(((INDEX('CASE MASTER'!$Z$2:$Z$495,(SUMPRODUCT((('CASE MASTER'!$T$2:$T$495=11)*('CASE MASTER'!$AA$2:$AA$495&lt;=9)*('CASE MASTER'!$AC$2:$AC$495&gt;=9)*('CASE MASTER'!$AB$2:$AB$495&lt;=1)*('CASE MASTER'!$AD$2:$AD$495&gt;=1))*ROW('CASE MASTER'!$T$2:$T$495))-(ROW('CASE MASTER'!#REF!)-1)))+((9-INDEX('CASE MASTER'!$AA$2:$AA$495,(SUMPRODUCT((('CASE MASTER'!$T$2:$T$495=11)*('CASE MASTER'!$AA$2:$AA$495&lt;=9)*('CASE MASTER'!$AC$2:$AC$495&gt;=9)*('CASE MASTER'!$AB$2:$AB$495&lt;=1)*('CASE MASTER'!$AD$2:$AD$495&gt;=1))*ROW('CASE MASTER'!$T$2:$T$495))-(ROW('CASE MASTER'!#REF!)-1))))*(INDEX('CASE MASTER'!$AD$2:$AD$495,(SUMPRODUCT((('CASE MASTER'!$T$2:$T$495=11)*('CASE MASTER'!$AA$2:$AA$495&lt;=9)*('CASE MASTER'!$AC$2:$AC$495&gt;=9)*('CASE MASTER'!$AB$2:$AB$495&lt;=1)*('CASE MASTER'!$AD$2:$AD$495&gt;=1))*ROW('CASE MASTER'!$T$2:$T$495))-(ROW('CASE MASTER'!#REF!)-1)))-INDEX('CASE MASTER'!$AB$2:$AB$495,(SUMPRODUCT((('CASE MASTER'!$T$2:$T$495=11)*('CASE MASTER'!$AA$2:$AA$495&lt;=9)*('CASE MASTER'!$AC$2:$AC$495&gt;=9)*('CASE MASTER'!$AB$2:$AB$495&lt;=1)*('CASE MASTER'!$AD$2:$AD$495&gt;=1))*ROW('CASE MASTER'!$T$2:$T$495))-(ROW('CASE MASTER'!#REF!)-1)))+1)+(1-INDEX('CASE MASTER'!$AB$2:$AB$495,(SUMPRODUCT((('CASE MASTER'!$T$2:$T$495=11)*('CASE MASTER'!$AA$2:$AA$495&lt;=9)*('CASE MASTER'!$AC$2:$AC$495&gt;=9)*('CASE MASTER'!$AB$2:$AB$495&lt;=1)*('CASE MASTER'!$AD$2:$AD$495&gt;=1))*ROW('CASE MASTER'!$T$2:$T$495))-(ROW('CASE MASTER'!#REF!)-1))))+1)))-1)*50+1,50))&amp;"_"&amp;INDEX('CASE MASTER'!$Q$2:$Q$495,(SUMPRODUCT((('CASE MASTER'!$T$2:$T$495=11)*('CASE MASTER'!$AA$2:$AA$495&lt;=9)*('CASE MASTER'!$AC$2:$AC$495&gt;=9)*('CASE MASTER'!$AB$2:$AB$495&lt;=1)*('CASE MASTER'!$AD$2:$AD$495&gt;=1))*ROW('CASE MASTER'!$T$2:$T$495))-(ROW('CASE MASTER'!#REF!)-1))),"")),"")</f>
        <v/>
      </c>
      <c r="C151" s="10" t="str">
        <f>IFERROR(IF(SUMPRODUCT((('CASE MASTER'!$T$2:$T$495=11)*('CASE MASTER'!$U$2:$U$495&lt;=9)*('CASE MASTER'!$W$2:$W$495&gt;=9)*('CASE MASTER'!$V$2:$V$495&lt;=2)*('CASE MASTER'!$X$2:$X$495&gt;=2))*ROW('CASE MASTER'!$T$2:$T$495))&gt;0,INDEX('CASE MASTER'!$Y$2:$Y$495,(SUMPRODUCT((('CASE MASTER'!$T$2:$T$495=11)*('CASE MASTER'!$U$2:$U$495&lt;=9)*('CASE MASTER'!$W$2:$W$495&gt;=9)*('CASE MASTER'!$V$2:$V$495&lt;=2)*('CASE MASTER'!$X$2:$X$495&gt;=2))*ROW('CASE MASTER'!$T$2:$T$495))-(ROW('CASE MASTER'!#REF!)-1)))&amp;TRIM(MID(SUBSTITUTE(SUBSTITUTE(INDEX('CASE MASTER'!$N$2:$N$495,(SUMPRODUCT((('CASE MASTER'!$T$2:$T$495=11)*('CASE MASTER'!$U$2:$U$495&lt;=9)*('CASE MASTER'!$W$2:$W$495&gt;=9)*('CASE MASTER'!$V$2:$V$495&lt;=2)*('CASE MASTER'!$X$2:$X$495&gt;=2))*ROW('CASE MASTER'!$T$2:$T$495))-(ROW('CASE MASTER'!#REF!)-1))),":",","),",",REPT(" ",50)),((((9-INDEX('CASE MASTER'!$U$2:$U$495,(SUMPRODUCT((('CASE MASTER'!$T$2:$T$495=11)*('CASE MASTER'!$U$2:$U$495&lt;=9)*('CASE MASTER'!$W$2:$W$495&gt;=9)*('CASE MASTER'!$V$2:$V$495&lt;=2)*('CASE MASTER'!$X$2:$X$495&gt;=2))*ROW('CASE MASTER'!$T$2:$T$495))-(ROW('CASE MASTER'!#REF!)-1))))*(INDEX('CASE MASTER'!$X$2:$X$495,(SUMPRODUCT((('CASE MASTER'!$T$2:$T$495=11)*('CASE MASTER'!$U$2:$U$495&lt;=9)*('CASE MASTER'!$W$2:$W$495&gt;=9)*('CASE MASTER'!$V$2:$V$495&lt;=2)*('CASE MASTER'!$X$2:$X$495&gt;=2))*ROW('CASE MASTER'!$T$2:$T$495))-(ROW('CASE MASTER'!#REF!)-1)))-INDEX('CASE MASTER'!$V$2:$V$495,(SUMPRODUCT((('CASE MASTER'!$T$2:$T$495=11)*('CASE MASTER'!$U$2:$U$495&lt;=9)*('CASE MASTER'!$W$2:$W$495&gt;=9)*('CASE MASTER'!$V$2:$V$495&lt;=2)*('CASE MASTER'!$X$2:$X$495&gt;=2))*ROW('CASE MASTER'!$T$2:$T$495))-(ROW('CASE MASTER'!#REF!)-1)))+1)+(2-INDEX('CASE MASTER'!$V$2:$V$495,(SUMPRODUCT((('CASE MASTER'!$T$2:$T$495=11)*('CASE MASTER'!$U$2:$U$495&lt;=9)*('CASE MASTER'!$W$2:$W$495&gt;=9)*('CASE MASTER'!$V$2:$V$495&lt;=2)*('CASE MASTER'!$X$2:$X$495&gt;=2))*ROW('CASE MASTER'!$T$2:$T$495))-(ROW('CASE MASTER'!#REF!)-1))))+1))-1)*50+1,50))&amp;"_"&amp;INDEX('CASE MASTER'!$Q$2:$Q$495,(SUMPRODUCT((('CASE MASTER'!$T$2:$T$495=11)*('CASE MASTER'!$U$2:$U$495&lt;=9)*('CASE MASTER'!$W$2:$W$495&gt;=9)*('CASE MASTER'!$V$2:$V$495&lt;=2)*('CASE MASTER'!$X$2:$X$495&gt;=2))*ROW('CASE MASTER'!$T$2:$T$495))-(ROW('CASE MASTER'!#REF!)-1))),IF(SUMPRODUCT((('CASE MASTER'!$T$2:$T$495=11)*('CASE MASTER'!$AA$2:$AA$495&lt;=9)*('CASE MASTER'!$AC$2:$AC$495&gt;=9)*('CASE MASTER'!$AB$2:$AB$495&lt;=2)*('CASE MASTER'!$AD$2:$AD$495&gt;=2))*ROW('CASE MASTER'!$T$2:$T$495))&gt;0,INDEX('CASE MASTER'!$Y$2:$Y$495,(SUMPRODUCT((('CASE MASTER'!$T$2:$T$495=11)*('CASE MASTER'!$AA$2:$AA$495&lt;=9)*('CASE MASTER'!$AC$2:$AC$495&gt;=9)*('CASE MASTER'!$AB$2:$AB$495&lt;=2)*('CASE MASTER'!$AD$2:$AD$495&gt;=2))*ROW('CASE MASTER'!$T$2:$T$495))-(ROW('CASE MASTER'!#REF!)-1)))&amp;TRIM(MID(SUBSTITUTE(SUBSTITUTE(INDEX('CASE MASTER'!$N$2:$N$495,(SUMPRODUCT((('CASE MASTER'!$T$2:$T$495=11)*('CASE MASTER'!$AA$2:$AA$495&lt;=9)*('CASE MASTER'!$AC$2:$AC$495&gt;=9)*('CASE MASTER'!$AB$2:$AB$495&lt;=2)*('CASE MASTER'!$AD$2:$AD$495&gt;=2))*ROW('CASE MASTER'!$T$2:$T$495))-(ROW('CASE MASTER'!#REF!)-1))),":",","),",",REPT(" ",50)),(((INDEX('CASE MASTER'!$Z$2:$Z$495,(SUMPRODUCT((('CASE MASTER'!$T$2:$T$495=11)*('CASE MASTER'!$AA$2:$AA$495&lt;=9)*('CASE MASTER'!$AC$2:$AC$495&gt;=9)*('CASE MASTER'!$AB$2:$AB$495&lt;=2)*('CASE MASTER'!$AD$2:$AD$495&gt;=2))*ROW('CASE MASTER'!$T$2:$T$495))-(ROW('CASE MASTER'!#REF!)-1)))+((9-INDEX('CASE MASTER'!$AA$2:$AA$495,(SUMPRODUCT((('CASE MASTER'!$T$2:$T$495=11)*('CASE MASTER'!$AA$2:$AA$495&lt;=9)*('CASE MASTER'!$AC$2:$AC$495&gt;=9)*('CASE MASTER'!$AB$2:$AB$495&lt;=2)*('CASE MASTER'!$AD$2:$AD$495&gt;=2))*ROW('CASE MASTER'!$T$2:$T$495))-(ROW('CASE MASTER'!#REF!)-1))))*(INDEX('CASE MASTER'!$AD$2:$AD$495,(SUMPRODUCT((('CASE MASTER'!$T$2:$T$495=11)*('CASE MASTER'!$AA$2:$AA$495&lt;=9)*('CASE MASTER'!$AC$2:$AC$495&gt;=9)*('CASE MASTER'!$AB$2:$AB$495&lt;=2)*('CASE MASTER'!$AD$2:$AD$495&gt;=2))*ROW('CASE MASTER'!$T$2:$T$495))-(ROW('CASE MASTER'!#REF!)-1)))-INDEX('CASE MASTER'!$AB$2:$AB$495,(SUMPRODUCT((('CASE MASTER'!$T$2:$T$495=11)*('CASE MASTER'!$AA$2:$AA$495&lt;=9)*('CASE MASTER'!$AC$2:$AC$495&gt;=9)*('CASE MASTER'!$AB$2:$AB$495&lt;=2)*('CASE MASTER'!$AD$2:$AD$495&gt;=2))*ROW('CASE MASTER'!$T$2:$T$495))-(ROW('CASE MASTER'!#REF!)-1)))+1)+(2-INDEX('CASE MASTER'!$AB$2:$AB$495,(SUMPRODUCT((('CASE MASTER'!$T$2:$T$495=11)*('CASE MASTER'!$AA$2:$AA$495&lt;=9)*('CASE MASTER'!$AC$2:$AC$495&gt;=9)*('CASE MASTER'!$AB$2:$AB$495&lt;=2)*('CASE MASTER'!$AD$2:$AD$495&gt;=2))*ROW('CASE MASTER'!$T$2:$T$495))-(ROW('CASE MASTER'!#REF!)-1))))+1)))-1)*50+1,50))&amp;"_"&amp;INDEX('CASE MASTER'!$Q$2:$Q$495,(SUMPRODUCT((('CASE MASTER'!$T$2:$T$495=11)*('CASE MASTER'!$AA$2:$AA$495&lt;=9)*('CASE MASTER'!$AC$2:$AC$495&gt;=9)*('CASE MASTER'!$AB$2:$AB$495&lt;=2)*('CASE MASTER'!$AD$2:$AD$495&gt;=2))*ROW('CASE MASTER'!$T$2:$T$495))-(ROW('CASE MASTER'!#REF!)-1))),"")),"")</f>
        <v/>
      </c>
      <c r="D151" s="10" t="str">
        <f>IFERROR(IF(SUMPRODUCT((('CASE MASTER'!$T$2:$T$495=11)*('CASE MASTER'!$U$2:$U$495&lt;=9)*('CASE MASTER'!$W$2:$W$495&gt;=9)*('CASE MASTER'!$V$2:$V$495&lt;=3)*('CASE MASTER'!$X$2:$X$495&gt;=3))*ROW('CASE MASTER'!$T$2:$T$495))&gt;0,INDEX('CASE MASTER'!$Y$2:$Y$495,(SUMPRODUCT((('CASE MASTER'!$T$2:$T$495=11)*('CASE MASTER'!$U$2:$U$495&lt;=9)*('CASE MASTER'!$W$2:$W$495&gt;=9)*('CASE MASTER'!$V$2:$V$495&lt;=3)*('CASE MASTER'!$X$2:$X$495&gt;=3))*ROW('CASE MASTER'!$T$2:$T$495))-(ROW('CASE MASTER'!#REF!)-1)))&amp;TRIM(MID(SUBSTITUTE(SUBSTITUTE(INDEX('CASE MASTER'!$N$2:$N$495,(SUMPRODUCT((('CASE MASTER'!$T$2:$T$495=11)*('CASE MASTER'!$U$2:$U$495&lt;=9)*('CASE MASTER'!$W$2:$W$495&gt;=9)*('CASE MASTER'!$V$2:$V$495&lt;=3)*('CASE MASTER'!$X$2:$X$495&gt;=3))*ROW('CASE MASTER'!$T$2:$T$495))-(ROW('CASE MASTER'!#REF!)-1))),":",","),",",REPT(" ",50)),((((9-INDEX('CASE MASTER'!$U$2:$U$495,(SUMPRODUCT((('CASE MASTER'!$T$2:$T$495=11)*('CASE MASTER'!$U$2:$U$495&lt;=9)*('CASE MASTER'!$W$2:$W$495&gt;=9)*('CASE MASTER'!$V$2:$V$495&lt;=3)*('CASE MASTER'!$X$2:$X$495&gt;=3))*ROW('CASE MASTER'!$T$2:$T$495))-(ROW('CASE MASTER'!#REF!)-1))))*(INDEX('CASE MASTER'!$X$2:$X$495,(SUMPRODUCT((('CASE MASTER'!$T$2:$T$495=11)*('CASE MASTER'!$U$2:$U$495&lt;=9)*('CASE MASTER'!$W$2:$W$495&gt;=9)*('CASE MASTER'!$V$2:$V$495&lt;=3)*('CASE MASTER'!$X$2:$X$495&gt;=3))*ROW('CASE MASTER'!$T$2:$T$495))-(ROW('CASE MASTER'!#REF!)-1)))-INDEX('CASE MASTER'!$V$2:$V$495,(SUMPRODUCT((('CASE MASTER'!$T$2:$T$495=11)*('CASE MASTER'!$U$2:$U$495&lt;=9)*('CASE MASTER'!$W$2:$W$495&gt;=9)*('CASE MASTER'!$V$2:$V$495&lt;=3)*('CASE MASTER'!$X$2:$X$495&gt;=3))*ROW('CASE MASTER'!$T$2:$T$495))-(ROW('CASE MASTER'!#REF!)-1)))+1)+(3-INDEX('CASE MASTER'!$V$2:$V$495,(SUMPRODUCT((('CASE MASTER'!$T$2:$T$495=11)*('CASE MASTER'!$U$2:$U$495&lt;=9)*('CASE MASTER'!$W$2:$W$495&gt;=9)*('CASE MASTER'!$V$2:$V$495&lt;=3)*('CASE MASTER'!$X$2:$X$495&gt;=3))*ROW('CASE MASTER'!$T$2:$T$495))-(ROW('CASE MASTER'!#REF!)-1))))+1))-1)*50+1,50))&amp;"_"&amp;INDEX('CASE MASTER'!$Q$2:$Q$495,(SUMPRODUCT((('CASE MASTER'!$T$2:$T$495=11)*('CASE MASTER'!$U$2:$U$495&lt;=9)*('CASE MASTER'!$W$2:$W$495&gt;=9)*('CASE MASTER'!$V$2:$V$495&lt;=3)*('CASE MASTER'!$X$2:$X$495&gt;=3))*ROW('CASE MASTER'!$T$2:$T$495))-(ROW('CASE MASTER'!#REF!)-1))),IF(SUMPRODUCT((('CASE MASTER'!$T$2:$T$495=11)*('CASE MASTER'!$AA$2:$AA$495&lt;=9)*('CASE MASTER'!$AC$2:$AC$495&gt;=9)*('CASE MASTER'!$AB$2:$AB$495&lt;=3)*('CASE MASTER'!$AD$2:$AD$495&gt;=3))*ROW('CASE MASTER'!$T$2:$T$495))&gt;0,INDEX('CASE MASTER'!$Y$2:$Y$495,(SUMPRODUCT((('CASE MASTER'!$T$2:$T$495=11)*('CASE MASTER'!$AA$2:$AA$495&lt;=9)*('CASE MASTER'!$AC$2:$AC$495&gt;=9)*('CASE MASTER'!$AB$2:$AB$495&lt;=3)*('CASE MASTER'!$AD$2:$AD$495&gt;=3))*ROW('CASE MASTER'!$T$2:$T$495))-(ROW('CASE MASTER'!#REF!)-1)))&amp;TRIM(MID(SUBSTITUTE(SUBSTITUTE(INDEX('CASE MASTER'!$N$2:$N$495,(SUMPRODUCT((('CASE MASTER'!$T$2:$T$495=11)*('CASE MASTER'!$AA$2:$AA$495&lt;=9)*('CASE MASTER'!$AC$2:$AC$495&gt;=9)*('CASE MASTER'!$AB$2:$AB$495&lt;=3)*('CASE MASTER'!$AD$2:$AD$495&gt;=3))*ROW('CASE MASTER'!$T$2:$T$495))-(ROW('CASE MASTER'!#REF!)-1))),":",","),",",REPT(" ",50)),(((INDEX('CASE MASTER'!$Z$2:$Z$495,(SUMPRODUCT((('CASE MASTER'!$T$2:$T$495=11)*('CASE MASTER'!$AA$2:$AA$495&lt;=9)*('CASE MASTER'!$AC$2:$AC$495&gt;=9)*('CASE MASTER'!$AB$2:$AB$495&lt;=3)*('CASE MASTER'!$AD$2:$AD$495&gt;=3))*ROW('CASE MASTER'!$T$2:$T$495))-(ROW('CASE MASTER'!#REF!)-1)))+((9-INDEX('CASE MASTER'!$AA$2:$AA$495,(SUMPRODUCT((('CASE MASTER'!$T$2:$T$495=11)*('CASE MASTER'!$AA$2:$AA$495&lt;=9)*('CASE MASTER'!$AC$2:$AC$495&gt;=9)*('CASE MASTER'!$AB$2:$AB$495&lt;=3)*('CASE MASTER'!$AD$2:$AD$495&gt;=3))*ROW('CASE MASTER'!$T$2:$T$495))-(ROW('CASE MASTER'!#REF!)-1))))*(INDEX('CASE MASTER'!$AD$2:$AD$495,(SUMPRODUCT((('CASE MASTER'!$T$2:$T$495=11)*('CASE MASTER'!$AA$2:$AA$495&lt;=9)*('CASE MASTER'!$AC$2:$AC$495&gt;=9)*('CASE MASTER'!$AB$2:$AB$495&lt;=3)*('CASE MASTER'!$AD$2:$AD$495&gt;=3))*ROW('CASE MASTER'!$T$2:$T$495))-(ROW('CASE MASTER'!#REF!)-1)))-INDEX('CASE MASTER'!$AB$2:$AB$495,(SUMPRODUCT((('CASE MASTER'!$T$2:$T$495=11)*('CASE MASTER'!$AA$2:$AA$495&lt;=9)*('CASE MASTER'!$AC$2:$AC$495&gt;=9)*('CASE MASTER'!$AB$2:$AB$495&lt;=3)*('CASE MASTER'!$AD$2:$AD$495&gt;=3))*ROW('CASE MASTER'!$T$2:$T$495))-(ROW('CASE MASTER'!#REF!)-1)))+1)+(3-INDEX('CASE MASTER'!$AB$2:$AB$495,(SUMPRODUCT((('CASE MASTER'!$T$2:$T$495=11)*('CASE MASTER'!$AA$2:$AA$495&lt;=9)*('CASE MASTER'!$AC$2:$AC$495&gt;=9)*('CASE MASTER'!$AB$2:$AB$495&lt;=3)*('CASE MASTER'!$AD$2:$AD$495&gt;=3))*ROW('CASE MASTER'!$T$2:$T$495))-(ROW('CASE MASTER'!#REF!)-1))))+1)))-1)*50+1,50))&amp;"_"&amp;INDEX('CASE MASTER'!$Q$2:$Q$495,(SUMPRODUCT((('CASE MASTER'!$T$2:$T$495=11)*('CASE MASTER'!$AA$2:$AA$495&lt;=9)*('CASE MASTER'!$AC$2:$AC$495&gt;=9)*('CASE MASTER'!$AB$2:$AB$495&lt;=3)*('CASE MASTER'!$AD$2:$AD$495&gt;=3))*ROW('CASE MASTER'!$T$2:$T$495))-(ROW('CASE MASTER'!#REF!)-1))),"")),"")</f>
        <v/>
      </c>
      <c r="E151" s="10" t="str">
        <f>IFERROR(IF(SUMPRODUCT((('CASE MASTER'!$T$2:$T$495=11)*('CASE MASTER'!$U$2:$U$495&lt;=9)*('CASE MASTER'!$W$2:$W$495&gt;=9)*('CASE MASTER'!$V$2:$V$495&lt;=4)*('CASE MASTER'!$X$2:$X$495&gt;=4))*ROW('CASE MASTER'!$T$2:$T$495))&gt;0,INDEX('CASE MASTER'!$Y$2:$Y$495,(SUMPRODUCT((('CASE MASTER'!$T$2:$T$495=11)*('CASE MASTER'!$U$2:$U$495&lt;=9)*('CASE MASTER'!$W$2:$W$495&gt;=9)*('CASE MASTER'!$V$2:$V$495&lt;=4)*('CASE MASTER'!$X$2:$X$495&gt;=4))*ROW('CASE MASTER'!$T$2:$T$495))-(ROW('CASE MASTER'!#REF!)-1)))&amp;TRIM(MID(SUBSTITUTE(SUBSTITUTE(INDEX('CASE MASTER'!$N$2:$N$495,(SUMPRODUCT((('CASE MASTER'!$T$2:$T$495=11)*('CASE MASTER'!$U$2:$U$495&lt;=9)*('CASE MASTER'!$W$2:$W$495&gt;=9)*('CASE MASTER'!$V$2:$V$495&lt;=4)*('CASE MASTER'!$X$2:$X$495&gt;=4))*ROW('CASE MASTER'!$T$2:$T$495))-(ROW('CASE MASTER'!#REF!)-1))),":",","),",",REPT(" ",50)),((((9-INDEX('CASE MASTER'!$U$2:$U$495,(SUMPRODUCT((('CASE MASTER'!$T$2:$T$495=11)*('CASE MASTER'!$U$2:$U$495&lt;=9)*('CASE MASTER'!$W$2:$W$495&gt;=9)*('CASE MASTER'!$V$2:$V$495&lt;=4)*('CASE MASTER'!$X$2:$X$495&gt;=4))*ROW('CASE MASTER'!$T$2:$T$495))-(ROW('CASE MASTER'!#REF!)-1))))*(INDEX('CASE MASTER'!$X$2:$X$495,(SUMPRODUCT((('CASE MASTER'!$T$2:$T$495=11)*('CASE MASTER'!$U$2:$U$495&lt;=9)*('CASE MASTER'!$W$2:$W$495&gt;=9)*('CASE MASTER'!$V$2:$V$495&lt;=4)*('CASE MASTER'!$X$2:$X$495&gt;=4))*ROW('CASE MASTER'!$T$2:$T$495))-(ROW('CASE MASTER'!#REF!)-1)))-INDEX('CASE MASTER'!$V$2:$V$495,(SUMPRODUCT((('CASE MASTER'!$T$2:$T$495=11)*('CASE MASTER'!$U$2:$U$495&lt;=9)*('CASE MASTER'!$W$2:$W$495&gt;=9)*('CASE MASTER'!$V$2:$V$495&lt;=4)*('CASE MASTER'!$X$2:$X$495&gt;=4))*ROW('CASE MASTER'!$T$2:$T$495))-(ROW('CASE MASTER'!#REF!)-1)))+1)+(4-INDEX('CASE MASTER'!$V$2:$V$495,(SUMPRODUCT((('CASE MASTER'!$T$2:$T$495=11)*('CASE MASTER'!$U$2:$U$495&lt;=9)*('CASE MASTER'!$W$2:$W$495&gt;=9)*('CASE MASTER'!$V$2:$V$495&lt;=4)*('CASE MASTER'!$X$2:$X$495&gt;=4))*ROW('CASE MASTER'!$T$2:$T$495))-(ROW('CASE MASTER'!#REF!)-1))))+1))-1)*50+1,50))&amp;"_"&amp;INDEX('CASE MASTER'!$Q$2:$Q$495,(SUMPRODUCT((('CASE MASTER'!$T$2:$T$495=11)*('CASE MASTER'!$U$2:$U$495&lt;=9)*('CASE MASTER'!$W$2:$W$495&gt;=9)*('CASE MASTER'!$V$2:$V$495&lt;=4)*('CASE MASTER'!$X$2:$X$495&gt;=4))*ROW('CASE MASTER'!$T$2:$T$495))-(ROW('CASE MASTER'!#REF!)-1))),IF(SUMPRODUCT((('CASE MASTER'!$T$2:$T$495=11)*('CASE MASTER'!$AA$2:$AA$495&lt;=9)*('CASE MASTER'!$AC$2:$AC$495&gt;=9)*('CASE MASTER'!$AB$2:$AB$495&lt;=4)*('CASE MASTER'!$AD$2:$AD$495&gt;=4))*ROW('CASE MASTER'!$T$2:$T$495))&gt;0,INDEX('CASE MASTER'!$Y$2:$Y$495,(SUMPRODUCT((('CASE MASTER'!$T$2:$T$495=11)*('CASE MASTER'!$AA$2:$AA$495&lt;=9)*('CASE MASTER'!$AC$2:$AC$495&gt;=9)*('CASE MASTER'!$AB$2:$AB$495&lt;=4)*('CASE MASTER'!$AD$2:$AD$495&gt;=4))*ROW('CASE MASTER'!$T$2:$T$495))-(ROW('CASE MASTER'!#REF!)-1)))&amp;TRIM(MID(SUBSTITUTE(SUBSTITUTE(INDEX('CASE MASTER'!$N$2:$N$495,(SUMPRODUCT((('CASE MASTER'!$T$2:$T$495=11)*('CASE MASTER'!$AA$2:$AA$495&lt;=9)*('CASE MASTER'!$AC$2:$AC$495&gt;=9)*('CASE MASTER'!$AB$2:$AB$495&lt;=4)*('CASE MASTER'!$AD$2:$AD$495&gt;=4))*ROW('CASE MASTER'!$T$2:$T$495))-(ROW('CASE MASTER'!#REF!)-1))),":",","),",",REPT(" ",50)),(((INDEX('CASE MASTER'!$Z$2:$Z$495,(SUMPRODUCT((('CASE MASTER'!$T$2:$T$495=11)*('CASE MASTER'!$AA$2:$AA$495&lt;=9)*('CASE MASTER'!$AC$2:$AC$495&gt;=9)*('CASE MASTER'!$AB$2:$AB$495&lt;=4)*('CASE MASTER'!$AD$2:$AD$495&gt;=4))*ROW('CASE MASTER'!$T$2:$T$495))-(ROW('CASE MASTER'!#REF!)-1)))+((9-INDEX('CASE MASTER'!$AA$2:$AA$495,(SUMPRODUCT((('CASE MASTER'!$T$2:$T$495=11)*('CASE MASTER'!$AA$2:$AA$495&lt;=9)*('CASE MASTER'!$AC$2:$AC$495&gt;=9)*('CASE MASTER'!$AB$2:$AB$495&lt;=4)*('CASE MASTER'!$AD$2:$AD$495&gt;=4))*ROW('CASE MASTER'!$T$2:$T$495))-(ROW('CASE MASTER'!#REF!)-1))))*(INDEX('CASE MASTER'!$AD$2:$AD$495,(SUMPRODUCT((('CASE MASTER'!$T$2:$T$495=11)*('CASE MASTER'!$AA$2:$AA$495&lt;=9)*('CASE MASTER'!$AC$2:$AC$495&gt;=9)*('CASE MASTER'!$AB$2:$AB$495&lt;=4)*('CASE MASTER'!$AD$2:$AD$495&gt;=4))*ROW('CASE MASTER'!$T$2:$T$495))-(ROW('CASE MASTER'!#REF!)-1)))-INDEX('CASE MASTER'!$AB$2:$AB$495,(SUMPRODUCT((('CASE MASTER'!$T$2:$T$495=11)*('CASE MASTER'!$AA$2:$AA$495&lt;=9)*('CASE MASTER'!$AC$2:$AC$495&gt;=9)*('CASE MASTER'!$AB$2:$AB$495&lt;=4)*('CASE MASTER'!$AD$2:$AD$495&gt;=4))*ROW('CASE MASTER'!$T$2:$T$495))-(ROW('CASE MASTER'!#REF!)-1)))+1)+(4-INDEX('CASE MASTER'!$AB$2:$AB$495,(SUMPRODUCT((('CASE MASTER'!$T$2:$T$495=11)*('CASE MASTER'!$AA$2:$AA$495&lt;=9)*('CASE MASTER'!$AC$2:$AC$495&gt;=9)*('CASE MASTER'!$AB$2:$AB$495&lt;=4)*('CASE MASTER'!$AD$2:$AD$495&gt;=4))*ROW('CASE MASTER'!$T$2:$T$495))-(ROW('CASE MASTER'!#REF!)-1))))+1)))-1)*50+1,50))&amp;"_"&amp;INDEX('CASE MASTER'!$Q$2:$Q$495,(SUMPRODUCT((('CASE MASTER'!$T$2:$T$495=11)*('CASE MASTER'!$AA$2:$AA$495&lt;=9)*('CASE MASTER'!$AC$2:$AC$495&gt;=9)*('CASE MASTER'!$AB$2:$AB$495&lt;=4)*('CASE MASTER'!$AD$2:$AD$495&gt;=4))*ROW('CASE MASTER'!$T$2:$T$495))-(ROW('CASE MASTER'!#REF!)-1))),"")),"")</f>
        <v/>
      </c>
      <c r="F151" s="10" t="str">
        <f>IFERROR(IF(SUMPRODUCT((('CASE MASTER'!$T$2:$T$495=11)*('CASE MASTER'!$U$2:$U$495&lt;=9)*('CASE MASTER'!$W$2:$W$495&gt;=9)*('CASE MASTER'!$V$2:$V$495&lt;=5)*('CASE MASTER'!$X$2:$X$495&gt;=5))*ROW('CASE MASTER'!$T$2:$T$495))&gt;0,INDEX('CASE MASTER'!$Y$2:$Y$495,(SUMPRODUCT((('CASE MASTER'!$T$2:$T$495=11)*('CASE MASTER'!$U$2:$U$495&lt;=9)*('CASE MASTER'!$W$2:$W$495&gt;=9)*('CASE MASTER'!$V$2:$V$495&lt;=5)*('CASE MASTER'!$X$2:$X$495&gt;=5))*ROW('CASE MASTER'!$T$2:$T$495))-(ROW('CASE MASTER'!#REF!)-1)))&amp;TRIM(MID(SUBSTITUTE(SUBSTITUTE(INDEX('CASE MASTER'!$N$2:$N$495,(SUMPRODUCT((('CASE MASTER'!$T$2:$T$495=11)*('CASE MASTER'!$U$2:$U$495&lt;=9)*('CASE MASTER'!$W$2:$W$495&gt;=9)*('CASE MASTER'!$V$2:$V$495&lt;=5)*('CASE MASTER'!$X$2:$X$495&gt;=5))*ROW('CASE MASTER'!$T$2:$T$495))-(ROW('CASE MASTER'!#REF!)-1))),":",","),",",REPT(" ",50)),((((9-INDEX('CASE MASTER'!$U$2:$U$495,(SUMPRODUCT((('CASE MASTER'!$T$2:$T$495=11)*('CASE MASTER'!$U$2:$U$495&lt;=9)*('CASE MASTER'!$W$2:$W$495&gt;=9)*('CASE MASTER'!$V$2:$V$495&lt;=5)*('CASE MASTER'!$X$2:$X$495&gt;=5))*ROW('CASE MASTER'!$T$2:$T$495))-(ROW('CASE MASTER'!#REF!)-1))))*(INDEX('CASE MASTER'!$X$2:$X$495,(SUMPRODUCT((('CASE MASTER'!$T$2:$T$495=11)*('CASE MASTER'!$U$2:$U$495&lt;=9)*('CASE MASTER'!$W$2:$W$495&gt;=9)*('CASE MASTER'!$V$2:$V$495&lt;=5)*('CASE MASTER'!$X$2:$X$495&gt;=5))*ROW('CASE MASTER'!$T$2:$T$495))-(ROW('CASE MASTER'!#REF!)-1)))-INDEX('CASE MASTER'!$V$2:$V$495,(SUMPRODUCT((('CASE MASTER'!$T$2:$T$495=11)*('CASE MASTER'!$U$2:$U$495&lt;=9)*('CASE MASTER'!$W$2:$W$495&gt;=9)*('CASE MASTER'!$V$2:$V$495&lt;=5)*('CASE MASTER'!$X$2:$X$495&gt;=5))*ROW('CASE MASTER'!$T$2:$T$495))-(ROW('CASE MASTER'!#REF!)-1)))+1)+(5-INDEX('CASE MASTER'!$V$2:$V$495,(SUMPRODUCT((('CASE MASTER'!$T$2:$T$495=11)*('CASE MASTER'!$U$2:$U$495&lt;=9)*('CASE MASTER'!$W$2:$W$495&gt;=9)*('CASE MASTER'!$V$2:$V$495&lt;=5)*('CASE MASTER'!$X$2:$X$495&gt;=5))*ROW('CASE MASTER'!$T$2:$T$495))-(ROW('CASE MASTER'!#REF!)-1))))+1))-1)*50+1,50))&amp;"_"&amp;INDEX('CASE MASTER'!$Q$2:$Q$495,(SUMPRODUCT((('CASE MASTER'!$T$2:$T$495=11)*('CASE MASTER'!$U$2:$U$495&lt;=9)*('CASE MASTER'!$W$2:$W$495&gt;=9)*('CASE MASTER'!$V$2:$V$495&lt;=5)*('CASE MASTER'!$X$2:$X$495&gt;=5))*ROW('CASE MASTER'!$T$2:$T$495))-(ROW('CASE MASTER'!#REF!)-1))),IF(SUMPRODUCT((('CASE MASTER'!$T$2:$T$495=11)*('CASE MASTER'!$AA$2:$AA$495&lt;=9)*('CASE MASTER'!$AC$2:$AC$495&gt;=9)*('CASE MASTER'!$AB$2:$AB$495&lt;=5)*('CASE MASTER'!$AD$2:$AD$495&gt;=5))*ROW('CASE MASTER'!$T$2:$T$495))&gt;0,INDEX('CASE MASTER'!$Y$2:$Y$495,(SUMPRODUCT((('CASE MASTER'!$T$2:$T$495=11)*('CASE MASTER'!$AA$2:$AA$495&lt;=9)*('CASE MASTER'!$AC$2:$AC$495&gt;=9)*('CASE MASTER'!$AB$2:$AB$495&lt;=5)*('CASE MASTER'!$AD$2:$AD$495&gt;=5))*ROW('CASE MASTER'!$T$2:$T$495))-(ROW('CASE MASTER'!#REF!)-1)))&amp;TRIM(MID(SUBSTITUTE(SUBSTITUTE(INDEX('CASE MASTER'!$N$2:$N$495,(SUMPRODUCT((('CASE MASTER'!$T$2:$T$495=11)*('CASE MASTER'!$AA$2:$AA$495&lt;=9)*('CASE MASTER'!$AC$2:$AC$495&gt;=9)*('CASE MASTER'!$AB$2:$AB$495&lt;=5)*('CASE MASTER'!$AD$2:$AD$495&gt;=5))*ROW('CASE MASTER'!$T$2:$T$495))-(ROW('CASE MASTER'!#REF!)-1))),":",","),",",REPT(" ",50)),(((INDEX('CASE MASTER'!$Z$2:$Z$495,(SUMPRODUCT((('CASE MASTER'!$T$2:$T$495=11)*('CASE MASTER'!$AA$2:$AA$495&lt;=9)*('CASE MASTER'!$AC$2:$AC$495&gt;=9)*('CASE MASTER'!$AB$2:$AB$495&lt;=5)*('CASE MASTER'!$AD$2:$AD$495&gt;=5))*ROW('CASE MASTER'!$T$2:$T$495))-(ROW('CASE MASTER'!#REF!)-1)))+((9-INDEX('CASE MASTER'!$AA$2:$AA$495,(SUMPRODUCT((('CASE MASTER'!$T$2:$T$495=11)*('CASE MASTER'!$AA$2:$AA$495&lt;=9)*('CASE MASTER'!$AC$2:$AC$495&gt;=9)*('CASE MASTER'!$AB$2:$AB$495&lt;=5)*('CASE MASTER'!$AD$2:$AD$495&gt;=5))*ROW('CASE MASTER'!$T$2:$T$495))-(ROW('CASE MASTER'!#REF!)-1))))*(INDEX('CASE MASTER'!$AD$2:$AD$495,(SUMPRODUCT((('CASE MASTER'!$T$2:$T$495=11)*('CASE MASTER'!$AA$2:$AA$495&lt;=9)*('CASE MASTER'!$AC$2:$AC$495&gt;=9)*('CASE MASTER'!$AB$2:$AB$495&lt;=5)*('CASE MASTER'!$AD$2:$AD$495&gt;=5))*ROW('CASE MASTER'!$T$2:$T$495))-(ROW('CASE MASTER'!#REF!)-1)))-INDEX('CASE MASTER'!$AB$2:$AB$495,(SUMPRODUCT((('CASE MASTER'!$T$2:$T$495=11)*('CASE MASTER'!$AA$2:$AA$495&lt;=9)*('CASE MASTER'!$AC$2:$AC$495&gt;=9)*('CASE MASTER'!$AB$2:$AB$495&lt;=5)*('CASE MASTER'!$AD$2:$AD$495&gt;=5))*ROW('CASE MASTER'!$T$2:$T$495))-(ROW('CASE MASTER'!#REF!)-1)))+1)+(5-INDEX('CASE MASTER'!$AB$2:$AB$495,(SUMPRODUCT((('CASE MASTER'!$T$2:$T$495=11)*('CASE MASTER'!$AA$2:$AA$495&lt;=9)*('CASE MASTER'!$AC$2:$AC$495&gt;=9)*('CASE MASTER'!$AB$2:$AB$495&lt;=5)*('CASE MASTER'!$AD$2:$AD$495&gt;=5))*ROW('CASE MASTER'!$T$2:$T$495))-(ROW('CASE MASTER'!#REF!)-1))))+1)))-1)*50+1,50))&amp;"_"&amp;INDEX('CASE MASTER'!$Q$2:$Q$495,(SUMPRODUCT((('CASE MASTER'!$T$2:$T$495=11)*('CASE MASTER'!$AA$2:$AA$495&lt;=9)*('CASE MASTER'!$AC$2:$AC$495&gt;=9)*('CASE MASTER'!$AB$2:$AB$495&lt;=5)*('CASE MASTER'!$AD$2:$AD$495&gt;=5))*ROW('CASE MASTER'!$T$2:$T$495))-(ROW('CASE MASTER'!#REF!)-1))),"")),"")</f>
        <v/>
      </c>
      <c r="G151" s="10" t="str">
        <f>IFERROR(IF(SUMPRODUCT((('CASE MASTER'!$T$2:$T$495=11)*('CASE MASTER'!$U$2:$U$495&lt;=9)*('CASE MASTER'!$W$2:$W$495&gt;=9)*('CASE MASTER'!$V$2:$V$495&lt;=6)*('CASE MASTER'!$X$2:$X$495&gt;=6))*ROW('CASE MASTER'!$T$2:$T$495))&gt;0,INDEX('CASE MASTER'!$Y$2:$Y$495,(SUMPRODUCT((('CASE MASTER'!$T$2:$T$495=11)*('CASE MASTER'!$U$2:$U$495&lt;=9)*('CASE MASTER'!$W$2:$W$495&gt;=9)*('CASE MASTER'!$V$2:$V$495&lt;=6)*('CASE MASTER'!$X$2:$X$495&gt;=6))*ROW('CASE MASTER'!$T$2:$T$495))-(ROW('CASE MASTER'!#REF!)-1)))&amp;TRIM(MID(SUBSTITUTE(SUBSTITUTE(INDEX('CASE MASTER'!$N$2:$N$495,(SUMPRODUCT((('CASE MASTER'!$T$2:$T$495=11)*('CASE MASTER'!$U$2:$U$495&lt;=9)*('CASE MASTER'!$W$2:$W$495&gt;=9)*('CASE MASTER'!$V$2:$V$495&lt;=6)*('CASE MASTER'!$X$2:$X$495&gt;=6))*ROW('CASE MASTER'!$T$2:$T$495))-(ROW('CASE MASTER'!#REF!)-1))),":",","),",",REPT(" ",50)),((((9-INDEX('CASE MASTER'!$U$2:$U$495,(SUMPRODUCT((('CASE MASTER'!$T$2:$T$495=11)*('CASE MASTER'!$U$2:$U$495&lt;=9)*('CASE MASTER'!$W$2:$W$495&gt;=9)*('CASE MASTER'!$V$2:$V$495&lt;=6)*('CASE MASTER'!$X$2:$X$495&gt;=6))*ROW('CASE MASTER'!$T$2:$T$495))-(ROW('CASE MASTER'!#REF!)-1))))*(INDEX('CASE MASTER'!$X$2:$X$495,(SUMPRODUCT((('CASE MASTER'!$T$2:$T$495=11)*('CASE MASTER'!$U$2:$U$495&lt;=9)*('CASE MASTER'!$W$2:$W$495&gt;=9)*('CASE MASTER'!$V$2:$V$495&lt;=6)*('CASE MASTER'!$X$2:$X$495&gt;=6))*ROW('CASE MASTER'!$T$2:$T$495))-(ROW('CASE MASTER'!#REF!)-1)))-INDEX('CASE MASTER'!$V$2:$V$495,(SUMPRODUCT((('CASE MASTER'!$T$2:$T$495=11)*('CASE MASTER'!$U$2:$U$495&lt;=9)*('CASE MASTER'!$W$2:$W$495&gt;=9)*('CASE MASTER'!$V$2:$V$495&lt;=6)*('CASE MASTER'!$X$2:$X$495&gt;=6))*ROW('CASE MASTER'!$T$2:$T$495))-(ROW('CASE MASTER'!#REF!)-1)))+1)+(6-INDEX('CASE MASTER'!$V$2:$V$495,(SUMPRODUCT((('CASE MASTER'!$T$2:$T$495=11)*('CASE MASTER'!$U$2:$U$495&lt;=9)*('CASE MASTER'!$W$2:$W$495&gt;=9)*('CASE MASTER'!$V$2:$V$495&lt;=6)*('CASE MASTER'!$X$2:$X$495&gt;=6))*ROW('CASE MASTER'!$T$2:$T$495))-(ROW('CASE MASTER'!#REF!)-1))))+1))-1)*50+1,50))&amp;"_"&amp;INDEX('CASE MASTER'!$Q$2:$Q$495,(SUMPRODUCT((('CASE MASTER'!$T$2:$T$495=11)*('CASE MASTER'!$U$2:$U$495&lt;=9)*('CASE MASTER'!$W$2:$W$495&gt;=9)*('CASE MASTER'!$V$2:$V$495&lt;=6)*('CASE MASTER'!$X$2:$X$495&gt;=6))*ROW('CASE MASTER'!$T$2:$T$495))-(ROW('CASE MASTER'!#REF!)-1))),IF(SUMPRODUCT((('CASE MASTER'!$T$2:$T$495=11)*('CASE MASTER'!$AA$2:$AA$495&lt;=9)*('CASE MASTER'!$AC$2:$AC$495&gt;=9)*('CASE MASTER'!$AB$2:$AB$495&lt;=6)*('CASE MASTER'!$AD$2:$AD$495&gt;=6))*ROW('CASE MASTER'!$T$2:$T$495))&gt;0,INDEX('CASE MASTER'!$Y$2:$Y$495,(SUMPRODUCT((('CASE MASTER'!$T$2:$T$495=11)*('CASE MASTER'!$AA$2:$AA$495&lt;=9)*('CASE MASTER'!$AC$2:$AC$495&gt;=9)*('CASE MASTER'!$AB$2:$AB$495&lt;=6)*('CASE MASTER'!$AD$2:$AD$495&gt;=6))*ROW('CASE MASTER'!$T$2:$T$495))-(ROW('CASE MASTER'!#REF!)-1)))&amp;TRIM(MID(SUBSTITUTE(SUBSTITUTE(INDEX('CASE MASTER'!$N$2:$N$495,(SUMPRODUCT((('CASE MASTER'!$T$2:$T$495=11)*('CASE MASTER'!$AA$2:$AA$495&lt;=9)*('CASE MASTER'!$AC$2:$AC$495&gt;=9)*('CASE MASTER'!$AB$2:$AB$495&lt;=6)*('CASE MASTER'!$AD$2:$AD$495&gt;=6))*ROW('CASE MASTER'!$T$2:$T$495))-(ROW('CASE MASTER'!#REF!)-1))),":",","),",",REPT(" ",50)),(((INDEX('CASE MASTER'!$Z$2:$Z$495,(SUMPRODUCT((('CASE MASTER'!$T$2:$T$495=11)*('CASE MASTER'!$AA$2:$AA$495&lt;=9)*('CASE MASTER'!$AC$2:$AC$495&gt;=9)*('CASE MASTER'!$AB$2:$AB$495&lt;=6)*('CASE MASTER'!$AD$2:$AD$495&gt;=6))*ROW('CASE MASTER'!$T$2:$T$495))-(ROW('CASE MASTER'!#REF!)-1)))+((9-INDEX('CASE MASTER'!$AA$2:$AA$495,(SUMPRODUCT((('CASE MASTER'!$T$2:$T$495=11)*('CASE MASTER'!$AA$2:$AA$495&lt;=9)*('CASE MASTER'!$AC$2:$AC$495&gt;=9)*('CASE MASTER'!$AB$2:$AB$495&lt;=6)*('CASE MASTER'!$AD$2:$AD$495&gt;=6))*ROW('CASE MASTER'!$T$2:$T$495))-(ROW('CASE MASTER'!#REF!)-1))))*(INDEX('CASE MASTER'!$AD$2:$AD$495,(SUMPRODUCT((('CASE MASTER'!$T$2:$T$495=11)*('CASE MASTER'!$AA$2:$AA$495&lt;=9)*('CASE MASTER'!$AC$2:$AC$495&gt;=9)*('CASE MASTER'!$AB$2:$AB$495&lt;=6)*('CASE MASTER'!$AD$2:$AD$495&gt;=6))*ROW('CASE MASTER'!$T$2:$T$495))-(ROW('CASE MASTER'!#REF!)-1)))-INDEX('CASE MASTER'!$AB$2:$AB$495,(SUMPRODUCT((('CASE MASTER'!$T$2:$T$495=11)*('CASE MASTER'!$AA$2:$AA$495&lt;=9)*('CASE MASTER'!$AC$2:$AC$495&gt;=9)*('CASE MASTER'!$AB$2:$AB$495&lt;=6)*('CASE MASTER'!$AD$2:$AD$495&gt;=6))*ROW('CASE MASTER'!$T$2:$T$495))-(ROW('CASE MASTER'!#REF!)-1)))+1)+(6-INDEX('CASE MASTER'!$AB$2:$AB$495,(SUMPRODUCT((('CASE MASTER'!$T$2:$T$495=11)*('CASE MASTER'!$AA$2:$AA$495&lt;=9)*('CASE MASTER'!$AC$2:$AC$495&gt;=9)*('CASE MASTER'!$AB$2:$AB$495&lt;=6)*('CASE MASTER'!$AD$2:$AD$495&gt;=6))*ROW('CASE MASTER'!$T$2:$T$495))-(ROW('CASE MASTER'!#REF!)-1))))+1)))-1)*50+1,50))&amp;"_"&amp;INDEX('CASE MASTER'!$Q$2:$Q$495,(SUMPRODUCT((('CASE MASTER'!$T$2:$T$495=11)*('CASE MASTER'!$AA$2:$AA$495&lt;=9)*('CASE MASTER'!$AC$2:$AC$495&gt;=9)*('CASE MASTER'!$AB$2:$AB$495&lt;=6)*('CASE MASTER'!$AD$2:$AD$495&gt;=6))*ROW('CASE MASTER'!$T$2:$T$495))-(ROW('CASE MASTER'!#REF!)-1))),"")),"")</f>
        <v/>
      </c>
      <c r="H151" s="10" t="str">
        <f>IFERROR(IF(SUMPRODUCT((('CASE MASTER'!$T$2:$T$495=11)*('CASE MASTER'!$U$2:$U$495&lt;=9)*('CASE MASTER'!$W$2:$W$495&gt;=9)*('CASE MASTER'!$V$2:$V$495&lt;=7)*('CASE MASTER'!$X$2:$X$495&gt;=7))*ROW('CASE MASTER'!$T$2:$T$495))&gt;0,INDEX('CASE MASTER'!$Y$2:$Y$495,(SUMPRODUCT((('CASE MASTER'!$T$2:$T$495=11)*('CASE MASTER'!$U$2:$U$495&lt;=9)*('CASE MASTER'!$W$2:$W$495&gt;=9)*('CASE MASTER'!$V$2:$V$495&lt;=7)*('CASE MASTER'!$X$2:$X$495&gt;=7))*ROW('CASE MASTER'!$T$2:$T$495))-(ROW('CASE MASTER'!#REF!)-1)))&amp;TRIM(MID(SUBSTITUTE(SUBSTITUTE(INDEX('CASE MASTER'!$N$2:$N$495,(SUMPRODUCT((('CASE MASTER'!$T$2:$T$495=11)*('CASE MASTER'!$U$2:$U$495&lt;=9)*('CASE MASTER'!$W$2:$W$495&gt;=9)*('CASE MASTER'!$V$2:$V$495&lt;=7)*('CASE MASTER'!$X$2:$X$495&gt;=7))*ROW('CASE MASTER'!$T$2:$T$495))-(ROW('CASE MASTER'!#REF!)-1))),":",","),",",REPT(" ",50)),((((9-INDEX('CASE MASTER'!$U$2:$U$495,(SUMPRODUCT((('CASE MASTER'!$T$2:$T$495=11)*('CASE MASTER'!$U$2:$U$495&lt;=9)*('CASE MASTER'!$W$2:$W$495&gt;=9)*('CASE MASTER'!$V$2:$V$495&lt;=7)*('CASE MASTER'!$X$2:$X$495&gt;=7))*ROW('CASE MASTER'!$T$2:$T$495))-(ROW('CASE MASTER'!#REF!)-1))))*(INDEX('CASE MASTER'!$X$2:$X$495,(SUMPRODUCT((('CASE MASTER'!$T$2:$T$495=11)*('CASE MASTER'!$U$2:$U$495&lt;=9)*('CASE MASTER'!$W$2:$W$495&gt;=9)*('CASE MASTER'!$V$2:$V$495&lt;=7)*('CASE MASTER'!$X$2:$X$495&gt;=7))*ROW('CASE MASTER'!$T$2:$T$495))-(ROW('CASE MASTER'!#REF!)-1)))-INDEX('CASE MASTER'!$V$2:$V$495,(SUMPRODUCT((('CASE MASTER'!$T$2:$T$495=11)*('CASE MASTER'!$U$2:$U$495&lt;=9)*('CASE MASTER'!$W$2:$W$495&gt;=9)*('CASE MASTER'!$V$2:$V$495&lt;=7)*('CASE MASTER'!$X$2:$X$495&gt;=7))*ROW('CASE MASTER'!$T$2:$T$495))-(ROW('CASE MASTER'!#REF!)-1)))+1)+(7-INDEX('CASE MASTER'!$V$2:$V$495,(SUMPRODUCT((('CASE MASTER'!$T$2:$T$495=11)*('CASE MASTER'!$U$2:$U$495&lt;=9)*('CASE MASTER'!$W$2:$W$495&gt;=9)*('CASE MASTER'!$V$2:$V$495&lt;=7)*('CASE MASTER'!$X$2:$X$495&gt;=7))*ROW('CASE MASTER'!$T$2:$T$495))-(ROW('CASE MASTER'!#REF!)-1))))+1))-1)*50+1,50))&amp;"_"&amp;INDEX('CASE MASTER'!$Q$2:$Q$495,(SUMPRODUCT((('CASE MASTER'!$T$2:$T$495=11)*('CASE MASTER'!$U$2:$U$495&lt;=9)*('CASE MASTER'!$W$2:$W$495&gt;=9)*('CASE MASTER'!$V$2:$V$495&lt;=7)*('CASE MASTER'!$X$2:$X$495&gt;=7))*ROW('CASE MASTER'!$T$2:$T$495))-(ROW('CASE MASTER'!#REF!)-1))),IF(SUMPRODUCT((('CASE MASTER'!$T$2:$T$495=11)*('CASE MASTER'!$AA$2:$AA$495&lt;=9)*('CASE MASTER'!$AC$2:$AC$495&gt;=9)*('CASE MASTER'!$AB$2:$AB$495&lt;=7)*('CASE MASTER'!$AD$2:$AD$495&gt;=7))*ROW('CASE MASTER'!$T$2:$T$495))&gt;0,INDEX('CASE MASTER'!$Y$2:$Y$495,(SUMPRODUCT((('CASE MASTER'!$T$2:$T$495=11)*('CASE MASTER'!$AA$2:$AA$495&lt;=9)*('CASE MASTER'!$AC$2:$AC$495&gt;=9)*('CASE MASTER'!$AB$2:$AB$495&lt;=7)*('CASE MASTER'!$AD$2:$AD$495&gt;=7))*ROW('CASE MASTER'!$T$2:$T$495))-(ROW('CASE MASTER'!#REF!)-1)))&amp;TRIM(MID(SUBSTITUTE(SUBSTITUTE(INDEX('CASE MASTER'!$N$2:$N$495,(SUMPRODUCT((('CASE MASTER'!$T$2:$T$495=11)*('CASE MASTER'!$AA$2:$AA$495&lt;=9)*('CASE MASTER'!$AC$2:$AC$495&gt;=9)*('CASE MASTER'!$AB$2:$AB$495&lt;=7)*('CASE MASTER'!$AD$2:$AD$495&gt;=7))*ROW('CASE MASTER'!$T$2:$T$495))-(ROW('CASE MASTER'!#REF!)-1))),":",","),",",REPT(" ",50)),(((INDEX('CASE MASTER'!$Z$2:$Z$495,(SUMPRODUCT((('CASE MASTER'!$T$2:$T$495=11)*('CASE MASTER'!$AA$2:$AA$495&lt;=9)*('CASE MASTER'!$AC$2:$AC$495&gt;=9)*('CASE MASTER'!$AB$2:$AB$495&lt;=7)*('CASE MASTER'!$AD$2:$AD$495&gt;=7))*ROW('CASE MASTER'!$T$2:$T$495))-(ROW('CASE MASTER'!#REF!)-1)))+((9-INDEX('CASE MASTER'!$AA$2:$AA$495,(SUMPRODUCT((('CASE MASTER'!$T$2:$T$495=11)*('CASE MASTER'!$AA$2:$AA$495&lt;=9)*('CASE MASTER'!$AC$2:$AC$495&gt;=9)*('CASE MASTER'!$AB$2:$AB$495&lt;=7)*('CASE MASTER'!$AD$2:$AD$495&gt;=7))*ROW('CASE MASTER'!$T$2:$T$495))-(ROW('CASE MASTER'!#REF!)-1))))*(INDEX('CASE MASTER'!$AD$2:$AD$495,(SUMPRODUCT((('CASE MASTER'!$T$2:$T$495=11)*('CASE MASTER'!$AA$2:$AA$495&lt;=9)*('CASE MASTER'!$AC$2:$AC$495&gt;=9)*('CASE MASTER'!$AB$2:$AB$495&lt;=7)*('CASE MASTER'!$AD$2:$AD$495&gt;=7))*ROW('CASE MASTER'!$T$2:$T$495))-(ROW('CASE MASTER'!#REF!)-1)))-INDEX('CASE MASTER'!$AB$2:$AB$495,(SUMPRODUCT((('CASE MASTER'!$T$2:$T$495=11)*('CASE MASTER'!$AA$2:$AA$495&lt;=9)*('CASE MASTER'!$AC$2:$AC$495&gt;=9)*('CASE MASTER'!$AB$2:$AB$495&lt;=7)*('CASE MASTER'!$AD$2:$AD$495&gt;=7))*ROW('CASE MASTER'!$T$2:$T$495))-(ROW('CASE MASTER'!#REF!)-1)))+1)+(7-INDEX('CASE MASTER'!$AB$2:$AB$495,(SUMPRODUCT((('CASE MASTER'!$T$2:$T$495=11)*('CASE MASTER'!$AA$2:$AA$495&lt;=9)*('CASE MASTER'!$AC$2:$AC$495&gt;=9)*('CASE MASTER'!$AB$2:$AB$495&lt;=7)*('CASE MASTER'!$AD$2:$AD$495&gt;=7))*ROW('CASE MASTER'!$T$2:$T$495))-(ROW('CASE MASTER'!#REF!)-1))))+1)))-1)*50+1,50))&amp;"_"&amp;INDEX('CASE MASTER'!$Q$2:$Q$495,(SUMPRODUCT((('CASE MASTER'!$T$2:$T$495=11)*('CASE MASTER'!$AA$2:$AA$495&lt;=9)*('CASE MASTER'!$AC$2:$AC$495&gt;=9)*('CASE MASTER'!$AB$2:$AB$495&lt;=7)*('CASE MASTER'!$AD$2:$AD$495&gt;=7))*ROW('CASE MASTER'!$T$2:$T$495))-(ROW('CASE MASTER'!#REF!)-1))),"")),"")</f>
        <v/>
      </c>
      <c r="I151" s="10" t="str">
        <f>IFERROR(IF(SUMPRODUCT((('CASE MASTER'!$T$2:$T$495=11)*('CASE MASTER'!$U$2:$U$495&lt;=9)*('CASE MASTER'!$W$2:$W$495&gt;=9)*('CASE MASTER'!$V$2:$V$495&lt;=8)*('CASE MASTER'!$X$2:$X$495&gt;=8))*ROW('CASE MASTER'!$T$2:$T$495))&gt;0,INDEX('CASE MASTER'!$Y$2:$Y$495,(SUMPRODUCT((('CASE MASTER'!$T$2:$T$495=11)*('CASE MASTER'!$U$2:$U$495&lt;=9)*('CASE MASTER'!$W$2:$W$495&gt;=9)*('CASE MASTER'!$V$2:$V$495&lt;=8)*('CASE MASTER'!$X$2:$X$495&gt;=8))*ROW('CASE MASTER'!$T$2:$T$495))-(ROW('CASE MASTER'!#REF!)-1)))&amp;TRIM(MID(SUBSTITUTE(SUBSTITUTE(INDEX('CASE MASTER'!$N$2:$N$495,(SUMPRODUCT((('CASE MASTER'!$T$2:$T$495=11)*('CASE MASTER'!$U$2:$U$495&lt;=9)*('CASE MASTER'!$W$2:$W$495&gt;=9)*('CASE MASTER'!$V$2:$V$495&lt;=8)*('CASE MASTER'!$X$2:$X$495&gt;=8))*ROW('CASE MASTER'!$T$2:$T$495))-(ROW('CASE MASTER'!#REF!)-1))),":",","),",",REPT(" ",50)),((((9-INDEX('CASE MASTER'!$U$2:$U$495,(SUMPRODUCT((('CASE MASTER'!$T$2:$T$495=11)*('CASE MASTER'!$U$2:$U$495&lt;=9)*('CASE MASTER'!$W$2:$W$495&gt;=9)*('CASE MASTER'!$V$2:$V$495&lt;=8)*('CASE MASTER'!$X$2:$X$495&gt;=8))*ROW('CASE MASTER'!$T$2:$T$495))-(ROW('CASE MASTER'!#REF!)-1))))*(INDEX('CASE MASTER'!$X$2:$X$495,(SUMPRODUCT((('CASE MASTER'!$T$2:$T$495=11)*('CASE MASTER'!$U$2:$U$495&lt;=9)*('CASE MASTER'!$W$2:$W$495&gt;=9)*('CASE MASTER'!$V$2:$V$495&lt;=8)*('CASE MASTER'!$X$2:$X$495&gt;=8))*ROW('CASE MASTER'!$T$2:$T$495))-(ROW('CASE MASTER'!#REF!)-1)))-INDEX('CASE MASTER'!$V$2:$V$495,(SUMPRODUCT((('CASE MASTER'!$T$2:$T$495=11)*('CASE MASTER'!$U$2:$U$495&lt;=9)*('CASE MASTER'!$W$2:$W$495&gt;=9)*('CASE MASTER'!$V$2:$V$495&lt;=8)*('CASE MASTER'!$X$2:$X$495&gt;=8))*ROW('CASE MASTER'!$T$2:$T$495))-(ROW('CASE MASTER'!#REF!)-1)))+1)+(8-INDEX('CASE MASTER'!$V$2:$V$495,(SUMPRODUCT((('CASE MASTER'!$T$2:$T$495=11)*('CASE MASTER'!$U$2:$U$495&lt;=9)*('CASE MASTER'!$W$2:$W$495&gt;=9)*('CASE MASTER'!$V$2:$V$495&lt;=8)*('CASE MASTER'!$X$2:$X$495&gt;=8))*ROW('CASE MASTER'!$T$2:$T$495))-(ROW('CASE MASTER'!#REF!)-1))))+1))-1)*50+1,50))&amp;"_"&amp;INDEX('CASE MASTER'!$Q$2:$Q$495,(SUMPRODUCT((('CASE MASTER'!$T$2:$T$495=11)*('CASE MASTER'!$U$2:$U$495&lt;=9)*('CASE MASTER'!$W$2:$W$495&gt;=9)*('CASE MASTER'!$V$2:$V$495&lt;=8)*('CASE MASTER'!$X$2:$X$495&gt;=8))*ROW('CASE MASTER'!$T$2:$T$495))-(ROW('CASE MASTER'!#REF!)-1))),IF(SUMPRODUCT((('CASE MASTER'!$T$2:$T$495=11)*('CASE MASTER'!$AA$2:$AA$495&lt;=9)*('CASE MASTER'!$AC$2:$AC$495&gt;=9)*('CASE MASTER'!$AB$2:$AB$495&lt;=8)*('CASE MASTER'!$AD$2:$AD$495&gt;=8))*ROW('CASE MASTER'!$T$2:$T$495))&gt;0,INDEX('CASE MASTER'!$Y$2:$Y$495,(SUMPRODUCT((('CASE MASTER'!$T$2:$T$495=11)*('CASE MASTER'!$AA$2:$AA$495&lt;=9)*('CASE MASTER'!$AC$2:$AC$495&gt;=9)*('CASE MASTER'!$AB$2:$AB$495&lt;=8)*('CASE MASTER'!$AD$2:$AD$495&gt;=8))*ROW('CASE MASTER'!$T$2:$T$495))-(ROW('CASE MASTER'!#REF!)-1)))&amp;TRIM(MID(SUBSTITUTE(SUBSTITUTE(INDEX('CASE MASTER'!$N$2:$N$495,(SUMPRODUCT((('CASE MASTER'!$T$2:$T$495=11)*('CASE MASTER'!$AA$2:$AA$495&lt;=9)*('CASE MASTER'!$AC$2:$AC$495&gt;=9)*('CASE MASTER'!$AB$2:$AB$495&lt;=8)*('CASE MASTER'!$AD$2:$AD$495&gt;=8))*ROW('CASE MASTER'!$T$2:$T$495))-(ROW('CASE MASTER'!#REF!)-1))),":",","),",",REPT(" ",50)),(((INDEX('CASE MASTER'!$Z$2:$Z$495,(SUMPRODUCT((('CASE MASTER'!$T$2:$T$495=11)*('CASE MASTER'!$AA$2:$AA$495&lt;=9)*('CASE MASTER'!$AC$2:$AC$495&gt;=9)*('CASE MASTER'!$AB$2:$AB$495&lt;=8)*('CASE MASTER'!$AD$2:$AD$495&gt;=8))*ROW('CASE MASTER'!$T$2:$T$495))-(ROW('CASE MASTER'!#REF!)-1)))+((9-INDEX('CASE MASTER'!$AA$2:$AA$495,(SUMPRODUCT((('CASE MASTER'!$T$2:$T$495=11)*('CASE MASTER'!$AA$2:$AA$495&lt;=9)*('CASE MASTER'!$AC$2:$AC$495&gt;=9)*('CASE MASTER'!$AB$2:$AB$495&lt;=8)*('CASE MASTER'!$AD$2:$AD$495&gt;=8))*ROW('CASE MASTER'!$T$2:$T$495))-(ROW('CASE MASTER'!#REF!)-1))))*(INDEX('CASE MASTER'!$AD$2:$AD$495,(SUMPRODUCT((('CASE MASTER'!$T$2:$T$495=11)*('CASE MASTER'!$AA$2:$AA$495&lt;=9)*('CASE MASTER'!$AC$2:$AC$495&gt;=9)*('CASE MASTER'!$AB$2:$AB$495&lt;=8)*('CASE MASTER'!$AD$2:$AD$495&gt;=8))*ROW('CASE MASTER'!$T$2:$T$495))-(ROW('CASE MASTER'!#REF!)-1)))-INDEX('CASE MASTER'!$AB$2:$AB$495,(SUMPRODUCT((('CASE MASTER'!$T$2:$T$495=11)*('CASE MASTER'!$AA$2:$AA$495&lt;=9)*('CASE MASTER'!$AC$2:$AC$495&gt;=9)*('CASE MASTER'!$AB$2:$AB$495&lt;=8)*('CASE MASTER'!$AD$2:$AD$495&gt;=8))*ROW('CASE MASTER'!$T$2:$T$495))-(ROW('CASE MASTER'!#REF!)-1)))+1)+(8-INDEX('CASE MASTER'!$AB$2:$AB$495,(SUMPRODUCT((('CASE MASTER'!$T$2:$T$495=11)*('CASE MASTER'!$AA$2:$AA$495&lt;=9)*('CASE MASTER'!$AC$2:$AC$495&gt;=9)*('CASE MASTER'!$AB$2:$AB$495&lt;=8)*('CASE MASTER'!$AD$2:$AD$495&gt;=8))*ROW('CASE MASTER'!$T$2:$T$495))-(ROW('CASE MASTER'!#REF!)-1))))+1)))-1)*50+1,50))&amp;"_"&amp;INDEX('CASE MASTER'!$Q$2:$Q$495,(SUMPRODUCT((('CASE MASTER'!$T$2:$T$495=11)*('CASE MASTER'!$AA$2:$AA$495&lt;=9)*('CASE MASTER'!$AC$2:$AC$495&gt;=9)*('CASE MASTER'!$AB$2:$AB$495&lt;=8)*('CASE MASTER'!$AD$2:$AD$495&gt;=8))*ROW('CASE MASTER'!$T$2:$T$495))-(ROW('CASE MASTER'!#REF!)-1))),"")),"")</f>
        <v/>
      </c>
      <c r="J151" s="10" t="str">
        <f>IFERROR(IF(SUMPRODUCT((('CASE MASTER'!$T$2:$T$495=11)*('CASE MASTER'!$U$2:$U$495&lt;=9)*('CASE MASTER'!$W$2:$W$495&gt;=9)*('CASE MASTER'!$V$2:$V$495&lt;=9)*('CASE MASTER'!$X$2:$X$495&gt;=9))*ROW('CASE MASTER'!$T$2:$T$495))&gt;0,INDEX('CASE MASTER'!$Y$2:$Y$495,(SUMPRODUCT((('CASE MASTER'!$T$2:$T$495=11)*('CASE MASTER'!$U$2:$U$495&lt;=9)*('CASE MASTER'!$W$2:$W$495&gt;=9)*('CASE MASTER'!$V$2:$V$495&lt;=9)*('CASE MASTER'!$X$2:$X$495&gt;=9))*ROW('CASE MASTER'!$T$2:$T$495))-(ROW('CASE MASTER'!#REF!)-1)))&amp;TRIM(MID(SUBSTITUTE(SUBSTITUTE(INDEX('CASE MASTER'!$N$2:$N$495,(SUMPRODUCT((('CASE MASTER'!$T$2:$T$495=11)*('CASE MASTER'!$U$2:$U$495&lt;=9)*('CASE MASTER'!$W$2:$W$495&gt;=9)*('CASE MASTER'!$V$2:$V$495&lt;=9)*('CASE MASTER'!$X$2:$X$495&gt;=9))*ROW('CASE MASTER'!$T$2:$T$495))-(ROW('CASE MASTER'!#REF!)-1))),":",","),",",REPT(" ",50)),((((9-INDEX('CASE MASTER'!$U$2:$U$495,(SUMPRODUCT((('CASE MASTER'!$T$2:$T$495=11)*('CASE MASTER'!$U$2:$U$495&lt;=9)*('CASE MASTER'!$W$2:$W$495&gt;=9)*('CASE MASTER'!$V$2:$V$495&lt;=9)*('CASE MASTER'!$X$2:$X$495&gt;=9))*ROW('CASE MASTER'!$T$2:$T$495))-(ROW('CASE MASTER'!#REF!)-1))))*(INDEX('CASE MASTER'!$X$2:$X$495,(SUMPRODUCT((('CASE MASTER'!$T$2:$T$495=11)*('CASE MASTER'!$U$2:$U$495&lt;=9)*('CASE MASTER'!$W$2:$W$495&gt;=9)*('CASE MASTER'!$V$2:$V$495&lt;=9)*('CASE MASTER'!$X$2:$X$495&gt;=9))*ROW('CASE MASTER'!$T$2:$T$495))-(ROW('CASE MASTER'!#REF!)-1)))-INDEX('CASE MASTER'!$V$2:$V$495,(SUMPRODUCT((('CASE MASTER'!$T$2:$T$495=11)*('CASE MASTER'!$U$2:$U$495&lt;=9)*('CASE MASTER'!$W$2:$W$495&gt;=9)*('CASE MASTER'!$V$2:$V$495&lt;=9)*('CASE MASTER'!$X$2:$X$495&gt;=9))*ROW('CASE MASTER'!$T$2:$T$495))-(ROW('CASE MASTER'!#REF!)-1)))+1)+(9-INDEX('CASE MASTER'!$V$2:$V$495,(SUMPRODUCT((('CASE MASTER'!$T$2:$T$495=11)*('CASE MASTER'!$U$2:$U$495&lt;=9)*('CASE MASTER'!$W$2:$W$495&gt;=9)*('CASE MASTER'!$V$2:$V$495&lt;=9)*('CASE MASTER'!$X$2:$X$495&gt;=9))*ROW('CASE MASTER'!$T$2:$T$495))-(ROW('CASE MASTER'!#REF!)-1))))+1))-1)*50+1,50))&amp;"_"&amp;INDEX('CASE MASTER'!$Q$2:$Q$495,(SUMPRODUCT((('CASE MASTER'!$T$2:$T$495=11)*('CASE MASTER'!$U$2:$U$495&lt;=9)*('CASE MASTER'!$W$2:$W$495&gt;=9)*('CASE MASTER'!$V$2:$V$495&lt;=9)*('CASE MASTER'!$X$2:$X$495&gt;=9))*ROW('CASE MASTER'!$T$2:$T$495))-(ROW('CASE MASTER'!#REF!)-1))),IF(SUMPRODUCT((('CASE MASTER'!$T$2:$T$495=11)*('CASE MASTER'!$AA$2:$AA$495&lt;=9)*('CASE MASTER'!$AC$2:$AC$495&gt;=9)*('CASE MASTER'!$AB$2:$AB$495&lt;=9)*('CASE MASTER'!$AD$2:$AD$495&gt;=9))*ROW('CASE MASTER'!$T$2:$T$495))&gt;0,INDEX('CASE MASTER'!$Y$2:$Y$495,(SUMPRODUCT((('CASE MASTER'!$T$2:$T$495=11)*('CASE MASTER'!$AA$2:$AA$495&lt;=9)*('CASE MASTER'!$AC$2:$AC$495&gt;=9)*('CASE MASTER'!$AB$2:$AB$495&lt;=9)*('CASE MASTER'!$AD$2:$AD$495&gt;=9))*ROW('CASE MASTER'!$T$2:$T$495))-(ROW('CASE MASTER'!#REF!)-1)))&amp;TRIM(MID(SUBSTITUTE(SUBSTITUTE(INDEX('CASE MASTER'!$N$2:$N$495,(SUMPRODUCT((('CASE MASTER'!$T$2:$T$495=11)*('CASE MASTER'!$AA$2:$AA$495&lt;=9)*('CASE MASTER'!$AC$2:$AC$495&gt;=9)*('CASE MASTER'!$AB$2:$AB$495&lt;=9)*('CASE MASTER'!$AD$2:$AD$495&gt;=9))*ROW('CASE MASTER'!$T$2:$T$495))-(ROW('CASE MASTER'!#REF!)-1))),":",","),",",REPT(" ",50)),(((INDEX('CASE MASTER'!$Z$2:$Z$495,(SUMPRODUCT((('CASE MASTER'!$T$2:$T$495=11)*('CASE MASTER'!$AA$2:$AA$495&lt;=9)*('CASE MASTER'!$AC$2:$AC$495&gt;=9)*('CASE MASTER'!$AB$2:$AB$495&lt;=9)*('CASE MASTER'!$AD$2:$AD$495&gt;=9))*ROW('CASE MASTER'!$T$2:$T$495))-(ROW('CASE MASTER'!#REF!)-1)))+((9-INDEX('CASE MASTER'!$AA$2:$AA$495,(SUMPRODUCT((('CASE MASTER'!$T$2:$T$495=11)*('CASE MASTER'!$AA$2:$AA$495&lt;=9)*('CASE MASTER'!$AC$2:$AC$495&gt;=9)*('CASE MASTER'!$AB$2:$AB$495&lt;=9)*('CASE MASTER'!$AD$2:$AD$495&gt;=9))*ROW('CASE MASTER'!$T$2:$T$495))-(ROW('CASE MASTER'!#REF!)-1))))*(INDEX('CASE MASTER'!$AD$2:$AD$495,(SUMPRODUCT((('CASE MASTER'!$T$2:$T$495=11)*('CASE MASTER'!$AA$2:$AA$495&lt;=9)*('CASE MASTER'!$AC$2:$AC$495&gt;=9)*('CASE MASTER'!$AB$2:$AB$495&lt;=9)*('CASE MASTER'!$AD$2:$AD$495&gt;=9))*ROW('CASE MASTER'!$T$2:$T$495))-(ROW('CASE MASTER'!#REF!)-1)))-INDEX('CASE MASTER'!$AB$2:$AB$495,(SUMPRODUCT((('CASE MASTER'!$T$2:$T$495=11)*('CASE MASTER'!$AA$2:$AA$495&lt;=9)*('CASE MASTER'!$AC$2:$AC$495&gt;=9)*('CASE MASTER'!$AB$2:$AB$495&lt;=9)*('CASE MASTER'!$AD$2:$AD$495&gt;=9))*ROW('CASE MASTER'!$T$2:$T$495))-(ROW('CASE MASTER'!#REF!)-1)))+1)+(9-INDEX('CASE MASTER'!$AB$2:$AB$495,(SUMPRODUCT((('CASE MASTER'!$T$2:$T$495=11)*('CASE MASTER'!$AA$2:$AA$495&lt;=9)*('CASE MASTER'!$AC$2:$AC$495&gt;=9)*('CASE MASTER'!$AB$2:$AB$495&lt;=9)*('CASE MASTER'!$AD$2:$AD$495&gt;=9))*ROW('CASE MASTER'!$T$2:$T$495))-(ROW('CASE MASTER'!#REF!)-1))))+1)))-1)*50+1,50))&amp;"_"&amp;INDEX('CASE MASTER'!$Q$2:$Q$495,(SUMPRODUCT((('CASE MASTER'!$T$2:$T$495=11)*('CASE MASTER'!$AA$2:$AA$495&lt;=9)*('CASE MASTER'!$AC$2:$AC$495&gt;=9)*('CASE MASTER'!$AB$2:$AB$495&lt;=9)*('CASE MASTER'!$AD$2:$AD$495&gt;=9))*ROW('CASE MASTER'!$T$2:$T$495))-(ROW('CASE MASTER'!#REF!)-1))),"")),"")</f>
        <v/>
      </c>
      <c r="K151" s="10" t="str">
        <f>IFERROR(IF(SUMPRODUCT((('CASE MASTER'!$T$2:$T$495=11)*('CASE MASTER'!$U$2:$U$495&lt;=9)*('CASE MASTER'!$W$2:$W$495&gt;=9)*('CASE MASTER'!$V$2:$V$495&lt;=10)*('CASE MASTER'!$X$2:$X$495&gt;=10))*ROW('CASE MASTER'!$T$2:$T$495))&gt;0,INDEX('CASE MASTER'!$Y$2:$Y$495,(SUMPRODUCT((('CASE MASTER'!$T$2:$T$495=11)*('CASE MASTER'!$U$2:$U$495&lt;=9)*('CASE MASTER'!$W$2:$W$495&gt;=9)*('CASE MASTER'!$V$2:$V$495&lt;=10)*('CASE MASTER'!$X$2:$X$495&gt;=10))*ROW('CASE MASTER'!$T$2:$T$495))-(ROW('CASE MASTER'!#REF!)-1)))&amp;TRIM(MID(SUBSTITUTE(SUBSTITUTE(INDEX('CASE MASTER'!$N$2:$N$495,(SUMPRODUCT((('CASE MASTER'!$T$2:$T$495=11)*('CASE MASTER'!$U$2:$U$495&lt;=9)*('CASE MASTER'!$W$2:$W$495&gt;=9)*('CASE MASTER'!$V$2:$V$495&lt;=10)*('CASE MASTER'!$X$2:$X$495&gt;=10))*ROW('CASE MASTER'!$T$2:$T$495))-(ROW('CASE MASTER'!#REF!)-1))),":",","),",",REPT(" ",50)),((((9-INDEX('CASE MASTER'!$U$2:$U$495,(SUMPRODUCT((('CASE MASTER'!$T$2:$T$495=11)*('CASE MASTER'!$U$2:$U$495&lt;=9)*('CASE MASTER'!$W$2:$W$495&gt;=9)*('CASE MASTER'!$V$2:$V$495&lt;=10)*('CASE MASTER'!$X$2:$X$495&gt;=10))*ROW('CASE MASTER'!$T$2:$T$495))-(ROW('CASE MASTER'!#REF!)-1))))*(INDEX('CASE MASTER'!$X$2:$X$495,(SUMPRODUCT((('CASE MASTER'!$T$2:$T$495=11)*('CASE MASTER'!$U$2:$U$495&lt;=9)*('CASE MASTER'!$W$2:$W$495&gt;=9)*('CASE MASTER'!$V$2:$V$495&lt;=10)*('CASE MASTER'!$X$2:$X$495&gt;=10))*ROW('CASE MASTER'!$T$2:$T$495))-(ROW('CASE MASTER'!#REF!)-1)))-INDEX('CASE MASTER'!$V$2:$V$495,(SUMPRODUCT((('CASE MASTER'!$T$2:$T$495=11)*('CASE MASTER'!$U$2:$U$495&lt;=9)*('CASE MASTER'!$W$2:$W$495&gt;=9)*('CASE MASTER'!$V$2:$V$495&lt;=10)*('CASE MASTER'!$X$2:$X$495&gt;=10))*ROW('CASE MASTER'!$T$2:$T$495))-(ROW('CASE MASTER'!#REF!)-1)))+1)+(10-INDEX('CASE MASTER'!$V$2:$V$495,(SUMPRODUCT((('CASE MASTER'!$T$2:$T$495=11)*('CASE MASTER'!$U$2:$U$495&lt;=9)*('CASE MASTER'!$W$2:$W$495&gt;=9)*('CASE MASTER'!$V$2:$V$495&lt;=10)*('CASE MASTER'!$X$2:$X$495&gt;=10))*ROW('CASE MASTER'!$T$2:$T$495))-(ROW('CASE MASTER'!#REF!)-1))))+1))-1)*50+1,50))&amp;"_"&amp;INDEX('CASE MASTER'!$Q$2:$Q$495,(SUMPRODUCT((('CASE MASTER'!$T$2:$T$495=11)*('CASE MASTER'!$U$2:$U$495&lt;=9)*('CASE MASTER'!$W$2:$W$495&gt;=9)*('CASE MASTER'!$V$2:$V$495&lt;=10)*('CASE MASTER'!$X$2:$X$495&gt;=10))*ROW('CASE MASTER'!$T$2:$T$495))-(ROW('CASE MASTER'!#REF!)-1))),IF(SUMPRODUCT((('CASE MASTER'!$T$2:$T$495=11)*('CASE MASTER'!$AA$2:$AA$495&lt;=9)*('CASE MASTER'!$AC$2:$AC$495&gt;=9)*('CASE MASTER'!$AB$2:$AB$495&lt;=10)*('CASE MASTER'!$AD$2:$AD$495&gt;=10))*ROW('CASE MASTER'!$T$2:$T$495))&gt;0,INDEX('CASE MASTER'!$Y$2:$Y$495,(SUMPRODUCT((('CASE MASTER'!$T$2:$T$495=11)*('CASE MASTER'!$AA$2:$AA$495&lt;=9)*('CASE MASTER'!$AC$2:$AC$495&gt;=9)*('CASE MASTER'!$AB$2:$AB$495&lt;=10)*('CASE MASTER'!$AD$2:$AD$495&gt;=10))*ROW('CASE MASTER'!$T$2:$T$495))-(ROW('CASE MASTER'!#REF!)-1)))&amp;TRIM(MID(SUBSTITUTE(SUBSTITUTE(INDEX('CASE MASTER'!$N$2:$N$495,(SUMPRODUCT((('CASE MASTER'!$T$2:$T$495=11)*('CASE MASTER'!$AA$2:$AA$495&lt;=9)*('CASE MASTER'!$AC$2:$AC$495&gt;=9)*('CASE MASTER'!$AB$2:$AB$495&lt;=10)*('CASE MASTER'!$AD$2:$AD$495&gt;=10))*ROW('CASE MASTER'!$T$2:$T$495))-(ROW('CASE MASTER'!#REF!)-1))),":",","),",",REPT(" ",50)),(((INDEX('CASE MASTER'!$Z$2:$Z$495,(SUMPRODUCT((('CASE MASTER'!$T$2:$T$495=11)*('CASE MASTER'!$AA$2:$AA$495&lt;=9)*('CASE MASTER'!$AC$2:$AC$495&gt;=9)*('CASE MASTER'!$AB$2:$AB$495&lt;=10)*('CASE MASTER'!$AD$2:$AD$495&gt;=10))*ROW('CASE MASTER'!$T$2:$T$495))-(ROW('CASE MASTER'!#REF!)-1)))+((9-INDEX('CASE MASTER'!$AA$2:$AA$495,(SUMPRODUCT((('CASE MASTER'!$T$2:$T$495=11)*('CASE MASTER'!$AA$2:$AA$495&lt;=9)*('CASE MASTER'!$AC$2:$AC$495&gt;=9)*('CASE MASTER'!$AB$2:$AB$495&lt;=10)*('CASE MASTER'!$AD$2:$AD$495&gt;=10))*ROW('CASE MASTER'!$T$2:$T$495))-(ROW('CASE MASTER'!#REF!)-1))))*(INDEX('CASE MASTER'!$AD$2:$AD$495,(SUMPRODUCT((('CASE MASTER'!$T$2:$T$495=11)*('CASE MASTER'!$AA$2:$AA$495&lt;=9)*('CASE MASTER'!$AC$2:$AC$495&gt;=9)*('CASE MASTER'!$AB$2:$AB$495&lt;=10)*('CASE MASTER'!$AD$2:$AD$495&gt;=10))*ROW('CASE MASTER'!$T$2:$T$495))-(ROW('CASE MASTER'!#REF!)-1)))-INDEX('CASE MASTER'!$AB$2:$AB$495,(SUMPRODUCT((('CASE MASTER'!$T$2:$T$495=11)*('CASE MASTER'!$AA$2:$AA$495&lt;=9)*('CASE MASTER'!$AC$2:$AC$495&gt;=9)*('CASE MASTER'!$AB$2:$AB$495&lt;=10)*('CASE MASTER'!$AD$2:$AD$495&gt;=10))*ROW('CASE MASTER'!$T$2:$T$495))-(ROW('CASE MASTER'!#REF!)-1)))+1)+(10-INDEX('CASE MASTER'!$AB$2:$AB$495,(SUMPRODUCT((('CASE MASTER'!$T$2:$T$495=11)*('CASE MASTER'!$AA$2:$AA$495&lt;=9)*('CASE MASTER'!$AC$2:$AC$495&gt;=9)*('CASE MASTER'!$AB$2:$AB$495&lt;=10)*('CASE MASTER'!$AD$2:$AD$495&gt;=10))*ROW('CASE MASTER'!$T$2:$T$495))-(ROW('CASE MASTER'!#REF!)-1))))+1)))-1)*50+1,50))&amp;"_"&amp;INDEX('CASE MASTER'!$Q$2:$Q$495,(SUMPRODUCT((('CASE MASTER'!$T$2:$T$495=11)*('CASE MASTER'!$AA$2:$AA$495&lt;=9)*('CASE MASTER'!$AC$2:$AC$495&gt;=9)*('CASE MASTER'!$AB$2:$AB$495&lt;=10)*('CASE MASTER'!$AD$2:$AD$495&gt;=10))*ROW('CASE MASTER'!$T$2:$T$495))-(ROW('CASE MASTER'!#REF!)-1))),"")),"")</f>
        <v/>
      </c>
    </row>
    <row r="152" spans="1:11" ht="15" customHeight="1" x14ac:dyDescent="0.35">
      <c r="A152" s="8" t="s">
        <v>82</v>
      </c>
      <c r="B152" s="10" t="str">
        <f>IFERROR(IF(SUMPRODUCT((('CASE MASTER'!$T$2:$T$495=11)*('CASE MASTER'!$U$2:$U$495&lt;=10)*('CASE MASTER'!$W$2:$W$495&gt;=10)*('CASE MASTER'!$V$2:$V$495&lt;=1)*('CASE MASTER'!$X$2:$X$495&gt;=1))*ROW('CASE MASTER'!$T$2:$T$495))&gt;0,INDEX('CASE MASTER'!$Y$2:$Y$495,(SUMPRODUCT((('CASE MASTER'!$T$2:$T$495=11)*('CASE MASTER'!$U$2:$U$495&lt;=10)*('CASE MASTER'!$W$2:$W$495&gt;=10)*('CASE MASTER'!$V$2:$V$495&lt;=1)*('CASE MASTER'!$X$2:$X$495&gt;=1))*ROW('CASE MASTER'!$T$2:$T$495))-(ROW('CASE MASTER'!#REF!)-1)))&amp;TRIM(MID(SUBSTITUTE(SUBSTITUTE(INDEX('CASE MASTER'!$N$2:$N$495,(SUMPRODUCT((('CASE MASTER'!$T$2:$T$495=11)*('CASE MASTER'!$U$2:$U$495&lt;=10)*('CASE MASTER'!$W$2:$W$495&gt;=10)*('CASE MASTER'!$V$2:$V$495&lt;=1)*('CASE MASTER'!$X$2:$X$495&gt;=1))*ROW('CASE MASTER'!$T$2:$T$495))-(ROW('CASE MASTER'!#REF!)-1))),":",","),",",REPT(" ",50)),((((10-INDEX('CASE MASTER'!$U$2:$U$495,(SUMPRODUCT((('CASE MASTER'!$T$2:$T$495=11)*('CASE MASTER'!$U$2:$U$495&lt;=10)*('CASE MASTER'!$W$2:$W$495&gt;=10)*('CASE MASTER'!$V$2:$V$495&lt;=1)*('CASE MASTER'!$X$2:$X$495&gt;=1))*ROW('CASE MASTER'!$T$2:$T$495))-(ROW('CASE MASTER'!#REF!)-1))))*(INDEX('CASE MASTER'!$X$2:$X$495,(SUMPRODUCT((('CASE MASTER'!$T$2:$T$495=11)*('CASE MASTER'!$U$2:$U$495&lt;=10)*('CASE MASTER'!$W$2:$W$495&gt;=10)*('CASE MASTER'!$V$2:$V$495&lt;=1)*('CASE MASTER'!$X$2:$X$495&gt;=1))*ROW('CASE MASTER'!$T$2:$T$495))-(ROW('CASE MASTER'!#REF!)-1)))-INDEX('CASE MASTER'!$V$2:$V$495,(SUMPRODUCT((('CASE MASTER'!$T$2:$T$495=11)*('CASE MASTER'!$U$2:$U$495&lt;=10)*('CASE MASTER'!$W$2:$W$495&gt;=10)*('CASE MASTER'!$V$2:$V$495&lt;=1)*('CASE MASTER'!$X$2:$X$495&gt;=1))*ROW('CASE MASTER'!$T$2:$T$495))-(ROW('CASE MASTER'!#REF!)-1)))+1)+(1-INDEX('CASE MASTER'!$V$2:$V$495,(SUMPRODUCT((('CASE MASTER'!$T$2:$T$495=11)*('CASE MASTER'!$U$2:$U$495&lt;=10)*('CASE MASTER'!$W$2:$W$495&gt;=10)*('CASE MASTER'!$V$2:$V$495&lt;=1)*('CASE MASTER'!$X$2:$X$495&gt;=1))*ROW('CASE MASTER'!$T$2:$T$495))-(ROW('CASE MASTER'!#REF!)-1))))+1))-1)*50+1,50))&amp;"_"&amp;INDEX('CASE MASTER'!$Q$2:$Q$495,(SUMPRODUCT((('CASE MASTER'!$T$2:$T$495=11)*('CASE MASTER'!$U$2:$U$495&lt;=10)*('CASE MASTER'!$W$2:$W$495&gt;=10)*('CASE MASTER'!$V$2:$V$495&lt;=1)*('CASE MASTER'!$X$2:$X$495&gt;=1))*ROW('CASE MASTER'!$T$2:$T$495))-(ROW('CASE MASTER'!#REF!)-1))),IF(SUMPRODUCT((('CASE MASTER'!$T$2:$T$495=11)*('CASE MASTER'!$AA$2:$AA$495&lt;=10)*('CASE MASTER'!$AC$2:$AC$495&gt;=10)*('CASE MASTER'!$AB$2:$AB$495&lt;=1)*('CASE MASTER'!$AD$2:$AD$495&gt;=1))*ROW('CASE MASTER'!$T$2:$T$495))&gt;0,INDEX('CASE MASTER'!$Y$2:$Y$495,(SUMPRODUCT((('CASE MASTER'!$T$2:$T$495=11)*('CASE MASTER'!$AA$2:$AA$495&lt;=10)*('CASE MASTER'!$AC$2:$AC$495&gt;=10)*('CASE MASTER'!$AB$2:$AB$495&lt;=1)*('CASE MASTER'!$AD$2:$AD$495&gt;=1))*ROW('CASE MASTER'!$T$2:$T$495))-(ROW('CASE MASTER'!#REF!)-1)))&amp;TRIM(MID(SUBSTITUTE(SUBSTITUTE(INDEX('CASE MASTER'!$N$2:$N$495,(SUMPRODUCT((('CASE MASTER'!$T$2:$T$495=11)*('CASE MASTER'!$AA$2:$AA$495&lt;=10)*('CASE MASTER'!$AC$2:$AC$495&gt;=10)*('CASE MASTER'!$AB$2:$AB$495&lt;=1)*('CASE MASTER'!$AD$2:$AD$495&gt;=1))*ROW('CASE MASTER'!$T$2:$T$495))-(ROW('CASE MASTER'!#REF!)-1))),":",","),",",REPT(" ",50)),(((INDEX('CASE MASTER'!$Z$2:$Z$495,(SUMPRODUCT((('CASE MASTER'!$T$2:$T$495=11)*('CASE MASTER'!$AA$2:$AA$495&lt;=10)*('CASE MASTER'!$AC$2:$AC$495&gt;=10)*('CASE MASTER'!$AB$2:$AB$495&lt;=1)*('CASE MASTER'!$AD$2:$AD$495&gt;=1))*ROW('CASE MASTER'!$T$2:$T$495))-(ROW('CASE MASTER'!#REF!)-1)))+((10-INDEX('CASE MASTER'!$AA$2:$AA$495,(SUMPRODUCT((('CASE MASTER'!$T$2:$T$495=11)*('CASE MASTER'!$AA$2:$AA$495&lt;=10)*('CASE MASTER'!$AC$2:$AC$495&gt;=10)*('CASE MASTER'!$AB$2:$AB$495&lt;=1)*('CASE MASTER'!$AD$2:$AD$495&gt;=1))*ROW('CASE MASTER'!$T$2:$T$495))-(ROW('CASE MASTER'!#REF!)-1))))*(INDEX('CASE MASTER'!$AD$2:$AD$495,(SUMPRODUCT((('CASE MASTER'!$T$2:$T$495=11)*('CASE MASTER'!$AA$2:$AA$495&lt;=10)*('CASE MASTER'!$AC$2:$AC$495&gt;=10)*('CASE MASTER'!$AB$2:$AB$495&lt;=1)*('CASE MASTER'!$AD$2:$AD$495&gt;=1))*ROW('CASE MASTER'!$T$2:$T$495))-(ROW('CASE MASTER'!#REF!)-1)))-INDEX('CASE MASTER'!$AB$2:$AB$495,(SUMPRODUCT((('CASE MASTER'!$T$2:$T$495=11)*('CASE MASTER'!$AA$2:$AA$495&lt;=10)*('CASE MASTER'!$AC$2:$AC$495&gt;=10)*('CASE MASTER'!$AB$2:$AB$495&lt;=1)*('CASE MASTER'!$AD$2:$AD$495&gt;=1))*ROW('CASE MASTER'!$T$2:$T$495))-(ROW('CASE MASTER'!#REF!)-1)))+1)+(1-INDEX('CASE MASTER'!$AB$2:$AB$495,(SUMPRODUCT((('CASE MASTER'!$T$2:$T$495=11)*('CASE MASTER'!$AA$2:$AA$495&lt;=10)*('CASE MASTER'!$AC$2:$AC$495&gt;=10)*('CASE MASTER'!$AB$2:$AB$495&lt;=1)*('CASE MASTER'!$AD$2:$AD$495&gt;=1))*ROW('CASE MASTER'!$T$2:$T$495))-(ROW('CASE MASTER'!#REF!)-1))))+1)))-1)*50+1,50))&amp;"_"&amp;INDEX('CASE MASTER'!$Q$2:$Q$495,(SUMPRODUCT((('CASE MASTER'!$T$2:$T$495=11)*('CASE MASTER'!$AA$2:$AA$495&lt;=10)*('CASE MASTER'!$AC$2:$AC$495&gt;=10)*('CASE MASTER'!$AB$2:$AB$495&lt;=1)*('CASE MASTER'!$AD$2:$AD$495&gt;=1))*ROW('CASE MASTER'!$T$2:$T$495))-(ROW('CASE MASTER'!#REF!)-1))),"")),"")</f>
        <v/>
      </c>
      <c r="C152" s="10" t="str">
        <f>IFERROR(IF(SUMPRODUCT((('CASE MASTER'!$T$2:$T$495=11)*('CASE MASTER'!$U$2:$U$495&lt;=10)*('CASE MASTER'!$W$2:$W$495&gt;=10)*('CASE MASTER'!$V$2:$V$495&lt;=2)*('CASE MASTER'!$X$2:$X$495&gt;=2))*ROW('CASE MASTER'!$T$2:$T$495))&gt;0,INDEX('CASE MASTER'!$Y$2:$Y$495,(SUMPRODUCT((('CASE MASTER'!$T$2:$T$495=11)*('CASE MASTER'!$U$2:$U$495&lt;=10)*('CASE MASTER'!$W$2:$W$495&gt;=10)*('CASE MASTER'!$V$2:$V$495&lt;=2)*('CASE MASTER'!$X$2:$X$495&gt;=2))*ROW('CASE MASTER'!$T$2:$T$495))-(ROW('CASE MASTER'!#REF!)-1)))&amp;TRIM(MID(SUBSTITUTE(SUBSTITUTE(INDEX('CASE MASTER'!$N$2:$N$495,(SUMPRODUCT((('CASE MASTER'!$T$2:$T$495=11)*('CASE MASTER'!$U$2:$U$495&lt;=10)*('CASE MASTER'!$W$2:$W$495&gt;=10)*('CASE MASTER'!$V$2:$V$495&lt;=2)*('CASE MASTER'!$X$2:$X$495&gt;=2))*ROW('CASE MASTER'!$T$2:$T$495))-(ROW('CASE MASTER'!#REF!)-1))),":",","),",",REPT(" ",50)),((((10-INDEX('CASE MASTER'!$U$2:$U$495,(SUMPRODUCT((('CASE MASTER'!$T$2:$T$495=11)*('CASE MASTER'!$U$2:$U$495&lt;=10)*('CASE MASTER'!$W$2:$W$495&gt;=10)*('CASE MASTER'!$V$2:$V$495&lt;=2)*('CASE MASTER'!$X$2:$X$495&gt;=2))*ROW('CASE MASTER'!$T$2:$T$495))-(ROW('CASE MASTER'!#REF!)-1))))*(INDEX('CASE MASTER'!$X$2:$X$495,(SUMPRODUCT((('CASE MASTER'!$T$2:$T$495=11)*('CASE MASTER'!$U$2:$U$495&lt;=10)*('CASE MASTER'!$W$2:$W$495&gt;=10)*('CASE MASTER'!$V$2:$V$495&lt;=2)*('CASE MASTER'!$X$2:$X$495&gt;=2))*ROW('CASE MASTER'!$T$2:$T$495))-(ROW('CASE MASTER'!#REF!)-1)))-INDEX('CASE MASTER'!$V$2:$V$495,(SUMPRODUCT((('CASE MASTER'!$T$2:$T$495=11)*('CASE MASTER'!$U$2:$U$495&lt;=10)*('CASE MASTER'!$W$2:$W$495&gt;=10)*('CASE MASTER'!$V$2:$V$495&lt;=2)*('CASE MASTER'!$X$2:$X$495&gt;=2))*ROW('CASE MASTER'!$T$2:$T$495))-(ROW('CASE MASTER'!#REF!)-1)))+1)+(2-INDEX('CASE MASTER'!$V$2:$V$495,(SUMPRODUCT((('CASE MASTER'!$T$2:$T$495=11)*('CASE MASTER'!$U$2:$U$495&lt;=10)*('CASE MASTER'!$W$2:$W$495&gt;=10)*('CASE MASTER'!$V$2:$V$495&lt;=2)*('CASE MASTER'!$X$2:$X$495&gt;=2))*ROW('CASE MASTER'!$T$2:$T$495))-(ROW('CASE MASTER'!#REF!)-1))))+1))-1)*50+1,50))&amp;"_"&amp;INDEX('CASE MASTER'!$Q$2:$Q$495,(SUMPRODUCT((('CASE MASTER'!$T$2:$T$495=11)*('CASE MASTER'!$U$2:$U$495&lt;=10)*('CASE MASTER'!$W$2:$W$495&gt;=10)*('CASE MASTER'!$V$2:$V$495&lt;=2)*('CASE MASTER'!$X$2:$X$495&gt;=2))*ROW('CASE MASTER'!$T$2:$T$495))-(ROW('CASE MASTER'!#REF!)-1))),IF(SUMPRODUCT((('CASE MASTER'!$T$2:$T$495=11)*('CASE MASTER'!$AA$2:$AA$495&lt;=10)*('CASE MASTER'!$AC$2:$AC$495&gt;=10)*('CASE MASTER'!$AB$2:$AB$495&lt;=2)*('CASE MASTER'!$AD$2:$AD$495&gt;=2))*ROW('CASE MASTER'!$T$2:$T$495))&gt;0,INDEX('CASE MASTER'!$Y$2:$Y$495,(SUMPRODUCT((('CASE MASTER'!$T$2:$T$495=11)*('CASE MASTER'!$AA$2:$AA$495&lt;=10)*('CASE MASTER'!$AC$2:$AC$495&gt;=10)*('CASE MASTER'!$AB$2:$AB$495&lt;=2)*('CASE MASTER'!$AD$2:$AD$495&gt;=2))*ROW('CASE MASTER'!$T$2:$T$495))-(ROW('CASE MASTER'!#REF!)-1)))&amp;TRIM(MID(SUBSTITUTE(SUBSTITUTE(INDEX('CASE MASTER'!$N$2:$N$495,(SUMPRODUCT((('CASE MASTER'!$T$2:$T$495=11)*('CASE MASTER'!$AA$2:$AA$495&lt;=10)*('CASE MASTER'!$AC$2:$AC$495&gt;=10)*('CASE MASTER'!$AB$2:$AB$495&lt;=2)*('CASE MASTER'!$AD$2:$AD$495&gt;=2))*ROW('CASE MASTER'!$T$2:$T$495))-(ROW('CASE MASTER'!#REF!)-1))),":",","),",",REPT(" ",50)),(((INDEX('CASE MASTER'!$Z$2:$Z$495,(SUMPRODUCT((('CASE MASTER'!$T$2:$T$495=11)*('CASE MASTER'!$AA$2:$AA$495&lt;=10)*('CASE MASTER'!$AC$2:$AC$495&gt;=10)*('CASE MASTER'!$AB$2:$AB$495&lt;=2)*('CASE MASTER'!$AD$2:$AD$495&gt;=2))*ROW('CASE MASTER'!$T$2:$T$495))-(ROW('CASE MASTER'!#REF!)-1)))+((10-INDEX('CASE MASTER'!$AA$2:$AA$495,(SUMPRODUCT((('CASE MASTER'!$T$2:$T$495=11)*('CASE MASTER'!$AA$2:$AA$495&lt;=10)*('CASE MASTER'!$AC$2:$AC$495&gt;=10)*('CASE MASTER'!$AB$2:$AB$495&lt;=2)*('CASE MASTER'!$AD$2:$AD$495&gt;=2))*ROW('CASE MASTER'!$T$2:$T$495))-(ROW('CASE MASTER'!#REF!)-1))))*(INDEX('CASE MASTER'!$AD$2:$AD$495,(SUMPRODUCT((('CASE MASTER'!$T$2:$T$495=11)*('CASE MASTER'!$AA$2:$AA$495&lt;=10)*('CASE MASTER'!$AC$2:$AC$495&gt;=10)*('CASE MASTER'!$AB$2:$AB$495&lt;=2)*('CASE MASTER'!$AD$2:$AD$495&gt;=2))*ROW('CASE MASTER'!$T$2:$T$495))-(ROW('CASE MASTER'!#REF!)-1)))-INDEX('CASE MASTER'!$AB$2:$AB$495,(SUMPRODUCT((('CASE MASTER'!$T$2:$T$495=11)*('CASE MASTER'!$AA$2:$AA$495&lt;=10)*('CASE MASTER'!$AC$2:$AC$495&gt;=10)*('CASE MASTER'!$AB$2:$AB$495&lt;=2)*('CASE MASTER'!$AD$2:$AD$495&gt;=2))*ROW('CASE MASTER'!$T$2:$T$495))-(ROW('CASE MASTER'!#REF!)-1)))+1)+(2-INDEX('CASE MASTER'!$AB$2:$AB$495,(SUMPRODUCT((('CASE MASTER'!$T$2:$T$495=11)*('CASE MASTER'!$AA$2:$AA$495&lt;=10)*('CASE MASTER'!$AC$2:$AC$495&gt;=10)*('CASE MASTER'!$AB$2:$AB$495&lt;=2)*('CASE MASTER'!$AD$2:$AD$495&gt;=2))*ROW('CASE MASTER'!$T$2:$T$495))-(ROW('CASE MASTER'!#REF!)-1))))+1)))-1)*50+1,50))&amp;"_"&amp;INDEX('CASE MASTER'!$Q$2:$Q$495,(SUMPRODUCT((('CASE MASTER'!$T$2:$T$495=11)*('CASE MASTER'!$AA$2:$AA$495&lt;=10)*('CASE MASTER'!$AC$2:$AC$495&gt;=10)*('CASE MASTER'!$AB$2:$AB$495&lt;=2)*('CASE MASTER'!$AD$2:$AD$495&gt;=2))*ROW('CASE MASTER'!$T$2:$T$495))-(ROW('CASE MASTER'!#REF!)-1))),"")),"")</f>
        <v/>
      </c>
      <c r="D152" s="10" t="str">
        <f>IFERROR(IF(SUMPRODUCT((('CASE MASTER'!$T$2:$T$495=11)*('CASE MASTER'!$U$2:$U$495&lt;=10)*('CASE MASTER'!$W$2:$W$495&gt;=10)*('CASE MASTER'!$V$2:$V$495&lt;=3)*('CASE MASTER'!$X$2:$X$495&gt;=3))*ROW('CASE MASTER'!$T$2:$T$495))&gt;0,INDEX('CASE MASTER'!$Y$2:$Y$495,(SUMPRODUCT((('CASE MASTER'!$T$2:$T$495=11)*('CASE MASTER'!$U$2:$U$495&lt;=10)*('CASE MASTER'!$W$2:$W$495&gt;=10)*('CASE MASTER'!$V$2:$V$495&lt;=3)*('CASE MASTER'!$X$2:$X$495&gt;=3))*ROW('CASE MASTER'!$T$2:$T$495))-(ROW('CASE MASTER'!#REF!)-1)))&amp;TRIM(MID(SUBSTITUTE(SUBSTITUTE(INDEX('CASE MASTER'!$N$2:$N$495,(SUMPRODUCT((('CASE MASTER'!$T$2:$T$495=11)*('CASE MASTER'!$U$2:$U$495&lt;=10)*('CASE MASTER'!$W$2:$W$495&gt;=10)*('CASE MASTER'!$V$2:$V$495&lt;=3)*('CASE MASTER'!$X$2:$X$495&gt;=3))*ROW('CASE MASTER'!$T$2:$T$495))-(ROW('CASE MASTER'!#REF!)-1))),":",","),",",REPT(" ",50)),((((10-INDEX('CASE MASTER'!$U$2:$U$495,(SUMPRODUCT((('CASE MASTER'!$T$2:$T$495=11)*('CASE MASTER'!$U$2:$U$495&lt;=10)*('CASE MASTER'!$W$2:$W$495&gt;=10)*('CASE MASTER'!$V$2:$V$495&lt;=3)*('CASE MASTER'!$X$2:$X$495&gt;=3))*ROW('CASE MASTER'!$T$2:$T$495))-(ROW('CASE MASTER'!#REF!)-1))))*(INDEX('CASE MASTER'!$X$2:$X$495,(SUMPRODUCT((('CASE MASTER'!$T$2:$T$495=11)*('CASE MASTER'!$U$2:$U$495&lt;=10)*('CASE MASTER'!$W$2:$W$495&gt;=10)*('CASE MASTER'!$V$2:$V$495&lt;=3)*('CASE MASTER'!$X$2:$X$495&gt;=3))*ROW('CASE MASTER'!$T$2:$T$495))-(ROW('CASE MASTER'!#REF!)-1)))-INDEX('CASE MASTER'!$V$2:$V$495,(SUMPRODUCT((('CASE MASTER'!$T$2:$T$495=11)*('CASE MASTER'!$U$2:$U$495&lt;=10)*('CASE MASTER'!$W$2:$W$495&gt;=10)*('CASE MASTER'!$V$2:$V$495&lt;=3)*('CASE MASTER'!$X$2:$X$495&gt;=3))*ROW('CASE MASTER'!$T$2:$T$495))-(ROW('CASE MASTER'!#REF!)-1)))+1)+(3-INDEX('CASE MASTER'!$V$2:$V$495,(SUMPRODUCT((('CASE MASTER'!$T$2:$T$495=11)*('CASE MASTER'!$U$2:$U$495&lt;=10)*('CASE MASTER'!$W$2:$W$495&gt;=10)*('CASE MASTER'!$V$2:$V$495&lt;=3)*('CASE MASTER'!$X$2:$X$495&gt;=3))*ROW('CASE MASTER'!$T$2:$T$495))-(ROW('CASE MASTER'!#REF!)-1))))+1))-1)*50+1,50))&amp;"_"&amp;INDEX('CASE MASTER'!$Q$2:$Q$495,(SUMPRODUCT((('CASE MASTER'!$T$2:$T$495=11)*('CASE MASTER'!$U$2:$U$495&lt;=10)*('CASE MASTER'!$W$2:$W$495&gt;=10)*('CASE MASTER'!$V$2:$V$495&lt;=3)*('CASE MASTER'!$X$2:$X$495&gt;=3))*ROW('CASE MASTER'!$T$2:$T$495))-(ROW('CASE MASTER'!#REF!)-1))),IF(SUMPRODUCT((('CASE MASTER'!$T$2:$T$495=11)*('CASE MASTER'!$AA$2:$AA$495&lt;=10)*('CASE MASTER'!$AC$2:$AC$495&gt;=10)*('CASE MASTER'!$AB$2:$AB$495&lt;=3)*('CASE MASTER'!$AD$2:$AD$495&gt;=3))*ROW('CASE MASTER'!$T$2:$T$495))&gt;0,INDEX('CASE MASTER'!$Y$2:$Y$495,(SUMPRODUCT((('CASE MASTER'!$T$2:$T$495=11)*('CASE MASTER'!$AA$2:$AA$495&lt;=10)*('CASE MASTER'!$AC$2:$AC$495&gt;=10)*('CASE MASTER'!$AB$2:$AB$495&lt;=3)*('CASE MASTER'!$AD$2:$AD$495&gt;=3))*ROW('CASE MASTER'!$T$2:$T$495))-(ROW('CASE MASTER'!#REF!)-1)))&amp;TRIM(MID(SUBSTITUTE(SUBSTITUTE(INDEX('CASE MASTER'!$N$2:$N$495,(SUMPRODUCT((('CASE MASTER'!$T$2:$T$495=11)*('CASE MASTER'!$AA$2:$AA$495&lt;=10)*('CASE MASTER'!$AC$2:$AC$495&gt;=10)*('CASE MASTER'!$AB$2:$AB$495&lt;=3)*('CASE MASTER'!$AD$2:$AD$495&gt;=3))*ROW('CASE MASTER'!$T$2:$T$495))-(ROW('CASE MASTER'!#REF!)-1))),":",","),",",REPT(" ",50)),(((INDEX('CASE MASTER'!$Z$2:$Z$495,(SUMPRODUCT((('CASE MASTER'!$T$2:$T$495=11)*('CASE MASTER'!$AA$2:$AA$495&lt;=10)*('CASE MASTER'!$AC$2:$AC$495&gt;=10)*('CASE MASTER'!$AB$2:$AB$495&lt;=3)*('CASE MASTER'!$AD$2:$AD$495&gt;=3))*ROW('CASE MASTER'!$T$2:$T$495))-(ROW('CASE MASTER'!#REF!)-1)))+((10-INDEX('CASE MASTER'!$AA$2:$AA$495,(SUMPRODUCT((('CASE MASTER'!$T$2:$T$495=11)*('CASE MASTER'!$AA$2:$AA$495&lt;=10)*('CASE MASTER'!$AC$2:$AC$495&gt;=10)*('CASE MASTER'!$AB$2:$AB$495&lt;=3)*('CASE MASTER'!$AD$2:$AD$495&gt;=3))*ROW('CASE MASTER'!$T$2:$T$495))-(ROW('CASE MASTER'!#REF!)-1))))*(INDEX('CASE MASTER'!$AD$2:$AD$495,(SUMPRODUCT((('CASE MASTER'!$T$2:$T$495=11)*('CASE MASTER'!$AA$2:$AA$495&lt;=10)*('CASE MASTER'!$AC$2:$AC$495&gt;=10)*('CASE MASTER'!$AB$2:$AB$495&lt;=3)*('CASE MASTER'!$AD$2:$AD$495&gt;=3))*ROW('CASE MASTER'!$T$2:$T$495))-(ROW('CASE MASTER'!#REF!)-1)))-INDEX('CASE MASTER'!$AB$2:$AB$495,(SUMPRODUCT((('CASE MASTER'!$T$2:$T$495=11)*('CASE MASTER'!$AA$2:$AA$495&lt;=10)*('CASE MASTER'!$AC$2:$AC$495&gt;=10)*('CASE MASTER'!$AB$2:$AB$495&lt;=3)*('CASE MASTER'!$AD$2:$AD$495&gt;=3))*ROW('CASE MASTER'!$T$2:$T$495))-(ROW('CASE MASTER'!#REF!)-1)))+1)+(3-INDEX('CASE MASTER'!$AB$2:$AB$495,(SUMPRODUCT((('CASE MASTER'!$T$2:$T$495=11)*('CASE MASTER'!$AA$2:$AA$495&lt;=10)*('CASE MASTER'!$AC$2:$AC$495&gt;=10)*('CASE MASTER'!$AB$2:$AB$495&lt;=3)*('CASE MASTER'!$AD$2:$AD$495&gt;=3))*ROW('CASE MASTER'!$T$2:$T$495))-(ROW('CASE MASTER'!#REF!)-1))))+1)))-1)*50+1,50))&amp;"_"&amp;INDEX('CASE MASTER'!$Q$2:$Q$495,(SUMPRODUCT((('CASE MASTER'!$T$2:$T$495=11)*('CASE MASTER'!$AA$2:$AA$495&lt;=10)*('CASE MASTER'!$AC$2:$AC$495&gt;=10)*('CASE MASTER'!$AB$2:$AB$495&lt;=3)*('CASE MASTER'!$AD$2:$AD$495&gt;=3))*ROW('CASE MASTER'!$T$2:$T$495))-(ROW('CASE MASTER'!#REF!)-1))),"")),"")</f>
        <v/>
      </c>
      <c r="E152" s="10" t="str">
        <f>IFERROR(IF(SUMPRODUCT((('CASE MASTER'!$T$2:$T$495=11)*('CASE MASTER'!$U$2:$U$495&lt;=10)*('CASE MASTER'!$W$2:$W$495&gt;=10)*('CASE MASTER'!$V$2:$V$495&lt;=4)*('CASE MASTER'!$X$2:$X$495&gt;=4))*ROW('CASE MASTER'!$T$2:$T$495))&gt;0,INDEX('CASE MASTER'!$Y$2:$Y$495,(SUMPRODUCT((('CASE MASTER'!$T$2:$T$495=11)*('CASE MASTER'!$U$2:$U$495&lt;=10)*('CASE MASTER'!$W$2:$W$495&gt;=10)*('CASE MASTER'!$V$2:$V$495&lt;=4)*('CASE MASTER'!$X$2:$X$495&gt;=4))*ROW('CASE MASTER'!$T$2:$T$495))-(ROW('CASE MASTER'!#REF!)-1)))&amp;TRIM(MID(SUBSTITUTE(SUBSTITUTE(INDEX('CASE MASTER'!$N$2:$N$495,(SUMPRODUCT((('CASE MASTER'!$T$2:$T$495=11)*('CASE MASTER'!$U$2:$U$495&lt;=10)*('CASE MASTER'!$W$2:$W$495&gt;=10)*('CASE MASTER'!$V$2:$V$495&lt;=4)*('CASE MASTER'!$X$2:$X$495&gt;=4))*ROW('CASE MASTER'!$T$2:$T$495))-(ROW('CASE MASTER'!#REF!)-1))),":",","),",",REPT(" ",50)),((((10-INDEX('CASE MASTER'!$U$2:$U$495,(SUMPRODUCT((('CASE MASTER'!$T$2:$T$495=11)*('CASE MASTER'!$U$2:$U$495&lt;=10)*('CASE MASTER'!$W$2:$W$495&gt;=10)*('CASE MASTER'!$V$2:$V$495&lt;=4)*('CASE MASTER'!$X$2:$X$495&gt;=4))*ROW('CASE MASTER'!$T$2:$T$495))-(ROW('CASE MASTER'!#REF!)-1))))*(INDEX('CASE MASTER'!$X$2:$X$495,(SUMPRODUCT((('CASE MASTER'!$T$2:$T$495=11)*('CASE MASTER'!$U$2:$U$495&lt;=10)*('CASE MASTER'!$W$2:$W$495&gt;=10)*('CASE MASTER'!$V$2:$V$495&lt;=4)*('CASE MASTER'!$X$2:$X$495&gt;=4))*ROW('CASE MASTER'!$T$2:$T$495))-(ROW('CASE MASTER'!#REF!)-1)))-INDEX('CASE MASTER'!$V$2:$V$495,(SUMPRODUCT((('CASE MASTER'!$T$2:$T$495=11)*('CASE MASTER'!$U$2:$U$495&lt;=10)*('CASE MASTER'!$W$2:$W$495&gt;=10)*('CASE MASTER'!$V$2:$V$495&lt;=4)*('CASE MASTER'!$X$2:$X$495&gt;=4))*ROW('CASE MASTER'!$T$2:$T$495))-(ROW('CASE MASTER'!#REF!)-1)))+1)+(4-INDEX('CASE MASTER'!$V$2:$V$495,(SUMPRODUCT((('CASE MASTER'!$T$2:$T$495=11)*('CASE MASTER'!$U$2:$U$495&lt;=10)*('CASE MASTER'!$W$2:$W$495&gt;=10)*('CASE MASTER'!$V$2:$V$495&lt;=4)*('CASE MASTER'!$X$2:$X$495&gt;=4))*ROW('CASE MASTER'!$T$2:$T$495))-(ROW('CASE MASTER'!#REF!)-1))))+1))-1)*50+1,50))&amp;"_"&amp;INDEX('CASE MASTER'!$Q$2:$Q$495,(SUMPRODUCT((('CASE MASTER'!$T$2:$T$495=11)*('CASE MASTER'!$U$2:$U$495&lt;=10)*('CASE MASTER'!$W$2:$W$495&gt;=10)*('CASE MASTER'!$V$2:$V$495&lt;=4)*('CASE MASTER'!$X$2:$X$495&gt;=4))*ROW('CASE MASTER'!$T$2:$T$495))-(ROW('CASE MASTER'!#REF!)-1))),IF(SUMPRODUCT((('CASE MASTER'!$T$2:$T$495=11)*('CASE MASTER'!$AA$2:$AA$495&lt;=10)*('CASE MASTER'!$AC$2:$AC$495&gt;=10)*('CASE MASTER'!$AB$2:$AB$495&lt;=4)*('CASE MASTER'!$AD$2:$AD$495&gt;=4))*ROW('CASE MASTER'!$T$2:$T$495))&gt;0,INDEX('CASE MASTER'!$Y$2:$Y$495,(SUMPRODUCT((('CASE MASTER'!$T$2:$T$495=11)*('CASE MASTER'!$AA$2:$AA$495&lt;=10)*('CASE MASTER'!$AC$2:$AC$495&gt;=10)*('CASE MASTER'!$AB$2:$AB$495&lt;=4)*('CASE MASTER'!$AD$2:$AD$495&gt;=4))*ROW('CASE MASTER'!$T$2:$T$495))-(ROW('CASE MASTER'!#REF!)-1)))&amp;TRIM(MID(SUBSTITUTE(SUBSTITUTE(INDEX('CASE MASTER'!$N$2:$N$495,(SUMPRODUCT((('CASE MASTER'!$T$2:$T$495=11)*('CASE MASTER'!$AA$2:$AA$495&lt;=10)*('CASE MASTER'!$AC$2:$AC$495&gt;=10)*('CASE MASTER'!$AB$2:$AB$495&lt;=4)*('CASE MASTER'!$AD$2:$AD$495&gt;=4))*ROW('CASE MASTER'!$T$2:$T$495))-(ROW('CASE MASTER'!#REF!)-1))),":",","),",",REPT(" ",50)),(((INDEX('CASE MASTER'!$Z$2:$Z$495,(SUMPRODUCT((('CASE MASTER'!$T$2:$T$495=11)*('CASE MASTER'!$AA$2:$AA$495&lt;=10)*('CASE MASTER'!$AC$2:$AC$495&gt;=10)*('CASE MASTER'!$AB$2:$AB$495&lt;=4)*('CASE MASTER'!$AD$2:$AD$495&gt;=4))*ROW('CASE MASTER'!$T$2:$T$495))-(ROW('CASE MASTER'!#REF!)-1)))+((10-INDEX('CASE MASTER'!$AA$2:$AA$495,(SUMPRODUCT((('CASE MASTER'!$T$2:$T$495=11)*('CASE MASTER'!$AA$2:$AA$495&lt;=10)*('CASE MASTER'!$AC$2:$AC$495&gt;=10)*('CASE MASTER'!$AB$2:$AB$495&lt;=4)*('CASE MASTER'!$AD$2:$AD$495&gt;=4))*ROW('CASE MASTER'!$T$2:$T$495))-(ROW('CASE MASTER'!#REF!)-1))))*(INDEX('CASE MASTER'!$AD$2:$AD$495,(SUMPRODUCT((('CASE MASTER'!$T$2:$T$495=11)*('CASE MASTER'!$AA$2:$AA$495&lt;=10)*('CASE MASTER'!$AC$2:$AC$495&gt;=10)*('CASE MASTER'!$AB$2:$AB$495&lt;=4)*('CASE MASTER'!$AD$2:$AD$495&gt;=4))*ROW('CASE MASTER'!$T$2:$T$495))-(ROW('CASE MASTER'!#REF!)-1)))-INDEX('CASE MASTER'!$AB$2:$AB$495,(SUMPRODUCT((('CASE MASTER'!$T$2:$T$495=11)*('CASE MASTER'!$AA$2:$AA$495&lt;=10)*('CASE MASTER'!$AC$2:$AC$495&gt;=10)*('CASE MASTER'!$AB$2:$AB$495&lt;=4)*('CASE MASTER'!$AD$2:$AD$495&gt;=4))*ROW('CASE MASTER'!$T$2:$T$495))-(ROW('CASE MASTER'!#REF!)-1)))+1)+(4-INDEX('CASE MASTER'!$AB$2:$AB$495,(SUMPRODUCT((('CASE MASTER'!$T$2:$T$495=11)*('CASE MASTER'!$AA$2:$AA$495&lt;=10)*('CASE MASTER'!$AC$2:$AC$495&gt;=10)*('CASE MASTER'!$AB$2:$AB$495&lt;=4)*('CASE MASTER'!$AD$2:$AD$495&gt;=4))*ROW('CASE MASTER'!$T$2:$T$495))-(ROW('CASE MASTER'!#REF!)-1))))+1)))-1)*50+1,50))&amp;"_"&amp;INDEX('CASE MASTER'!$Q$2:$Q$495,(SUMPRODUCT((('CASE MASTER'!$T$2:$T$495=11)*('CASE MASTER'!$AA$2:$AA$495&lt;=10)*('CASE MASTER'!$AC$2:$AC$495&gt;=10)*('CASE MASTER'!$AB$2:$AB$495&lt;=4)*('CASE MASTER'!$AD$2:$AD$495&gt;=4))*ROW('CASE MASTER'!$T$2:$T$495))-(ROW('CASE MASTER'!#REF!)-1))),"")),"")</f>
        <v/>
      </c>
      <c r="F152" s="10" t="str">
        <f>IFERROR(IF(SUMPRODUCT((('CASE MASTER'!$T$2:$T$495=11)*('CASE MASTER'!$U$2:$U$495&lt;=10)*('CASE MASTER'!$W$2:$W$495&gt;=10)*('CASE MASTER'!$V$2:$V$495&lt;=5)*('CASE MASTER'!$X$2:$X$495&gt;=5))*ROW('CASE MASTER'!$T$2:$T$495))&gt;0,INDEX('CASE MASTER'!$Y$2:$Y$495,(SUMPRODUCT((('CASE MASTER'!$T$2:$T$495=11)*('CASE MASTER'!$U$2:$U$495&lt;=10)*('CASE MASTER'!$W$2:$W$495&gt;=10)*('CASE MASTER'!$V$2:$V$495&lt;=5)*('CASE MASTER'!$X$2:$X$495&gt;=5))*ROW('CASE MASTER'!$T$2:$T$495))-(ROW('CASE MASTER'!#REF!)-1)))&amp;TRIM(MID(SUBSTITUTE(SUBSTITUTE(INDEX('CASE MASTER'!$N$2:$N$495,(SUMPRODUCT((('CASE MASTER'!$T$2:$T$495=11)*('CASE MASTER'!$U$2:$U$495&lt;=10)*('CASE MASTER'!$W$2:$W$495&gt;=10)*('CASE MASTER'!$V$2:$V$495&lt;=5)*('CASE MASTER'!$X$2:$X$495&gt;=5))*ROW('CASE MASTER'!$T$2:$T$495))-(ROW('CASE MASTER'!#REF!)-1))),":",","),",",REPT(" ",50)),((((10-INDEX('CASE MASTER'!$U$2:$U$495,(SUMPRODUCT((('CASE MASTER'!$T$2:$T$495=11)*('CASE MASTER'!$U$2:$U$495&lt;=10)*('CASE MASTER'!$W$2:$W$495&gt;=10)*('CASE MASTER'!$V$2:$V$495&lt;=5)*('CASE MASTER'!$X$2:$X$495&gt;=5))*ROW('CASE MASTER'!$T$2:$T$495))-(ROW('CASE MASTER'!#REF!)-1))))*(INDEX('CASE MASTER'!$X$2:$X$495,(SUMPRODUCT((('CASE MASTER'!$T$2:$T$495=11)*('CASE MASTER'!$U$2:$U$495&lt;=10)*('CASE MASTER'!$W$2:$W$495&gt;=10)*('CASE MASTER'!$V$2:$V$495&lt;=5)*('CASE MASTER'!$X$2:$X$495&gt;=5))*ROW('CASE MASTER'!$T$2:$T$495))-(ROW('CASE MASTER'!#REF!)-1)))-INDEX('CASE MASTER'!$V$2:$V$495,(SUMPRODUCT((('CASE MASTER'!$T$2:$T$495=11)*('CASE MASTER'!$U$2:$U$495&lt;=10)*('CASE MASTER'!$W$2:$W$495&gt;=10)*('CASE MASTER'!$V$2:$V$495&lt;=5)*('CASE MASTER'!$X$2:$X$495&gt;=5))*ROW('CASE MASTER'!$T$2:$T$495))-(ROW('CASE MASTER'!#REF!)-1)))+1)+(5-INDEX('CASE MASTER'!$V$2:$V$495,(SUMPRODUCT((('CASE MASTER'!$T$2:$T$495=11)*('CASE MASTER'!$U$2:$U$495&lt;=10)*('CASE MASTER'!$W$2:$W$495&gt;=10)*('CASE MASTER'!$V$2:$V$495&lt;=5)*('CASE MASTER'!$X$2:$X$495&gt;=5))*ROW('CASE MASTER'!$T$2:$T$495))-(ROW('CASE MASTER'!#REF!)-1))))+1))-1)*50+1,50))&amp;"_"&amp;INDEX('CASE MASTER'!$Q$2:$Q$495,(SUMPRODUCT((('CASE MASTER'!$T$2:$T$495=11)*('CASE MASTER'!$U$2:$U$495&lt;=10)*('CASE MASTER'!$W$2:$W$495&gt;=10)*('CASE MASTER'!$V$2:$V$495&lt;=5)*('CASE MASTER'!$X$2:$X$495&gt;=5))*ROW('CASE MASTER'!$T$2:$T$495))-(ROW('CASE MASTER'!#REF!)-1))),IF(SUMPRODUCT((('CASE MASTER'!$T$2:$T$495=11)*('CASE MASTER'!$AA$2:$AA$495&lt;=10)*('CASE MASTER'!$AC$2:$AC$495&gt;=10)*('CASE MASTER'!$AB$2:$AB$495&lt;=5)*('CASE MASTER'!$AD$2:$AD$495&gt;=5))*ROW('CASE MASTER'!$T$2:$T$495))&gt;0,INDEX('CASE MASTER'!$Y$2:$Y$495,(SUMPRODUCT((('CASE MASTER'!$T$2:$T$495=11)*('CASE MASTER'!$AA$2:$AA$495&lt;=10)*('CASE MASTER'!$AC$2:$AC$495&gt;=10)*('CASE MASTER'!$AB$2:$AB$495&lt;=5)*('CASE MASTER'!$AD$2:$AD$495&gt;=5))*ROW('CASE MASTER'!$T$2:$T$495))-(ROW('CASE MASTER'!#REF!)-1)))&amp;TRIM(MID(SUBSTITUTE(SUBSTITUTE(INDEX('CASE MASTER'!$N$2:$N$495,(SUMPRODUCT((('CASE MASTER'!$T$2:$T$495=11)*('CASE MASTER'!$AA$2:$AA$495&lt;=10)*('CASE MASTER'!$AC$2:$AC$495&gt;=10)*('CASE MASTER'!$AB$2:$AB$495&lt;=5)*('CASE MASTER'!$AD$2:$AD$495&gt;=5))*ROW('CASE MASTER'!$T$2:$T$495))-(ROW('CASE MASTER'!#REF!)-1))),":",","),",",REPT(" ",50)),(((INDEX('CASE MASTER'!$Z$2:$Z$495,(SUMPRODUCT((('CASE MASTER'!$T$2:$T$495=11)*('CASE MASTER'!$AA$2:$AA$495&lt;=10)*('CASE MASTER'!$AC$2:$AC$495&gt;=10)*('CASE MASTER'!$AB$2:$AB$495&lt;=5)*('CASE MASTER'!$AD$2:$AD$495&gt;=5))*ROW('CASE MASTER'!$T$2:$T$495))-(ROW('CASE MASTER'!#REF!)-1)))+((10-INDEX('CASE MASTER'!$AA$2:$AA$495,(SUMPRODUCT((('CASE MASTER'!$T$2:$T$495=11)*('CASE MASTER'!$AA$2:$AA$495&lt;=10)*('CASE MASTER'!$AC$2:$AC$495&gt;=10)*('CASE MASTER'!$AB$2:$AB$495&lt;=5)*('CASE MASTER'!$AD$2:$AD$495&gt;=5))*ROW('CASE MASTER'!$T$2:$T$495))-(ROW('CASE MASTER'!#REF!)-1))))*(INDEX('CASE MASTER'!$AD$2:$AD$495,(SUMPRODUCT((('CASE MASTER'!$T$2:$T$495=11)*('CASE MASTER'!$AA$2:$AA$495&lt;=10)*('CASE MASTER'!$AC$2:$AC$495&gt;=10)*('CASE MASTER'!$AB$2:$AB$495&lt;=5)*('CASE MASTER'!$AD$2:$AD$495&gt;=5))*ROW('CASE MASTER'!$T$2:$T$495))-(ROW('CASE MASTER'!#REF!)-1)))-INDEX('CASE MASTER'!$AB$2:$AB$495,(SUMPRODUCT((('CASE MASTER'!$T$2:$T$495=11)*('CASE MASTER'!$AA$2:$AA$495&lt;=10)*('CASE MASTER'!$AC$2:$AC$495&gt;=10)*('CASE MASTER'!$AB$2:$AB$495&lt;=5)*('CASE MASTER'!$AD$2:$AD$495&gt;=5))*ROW('CASE MASTER'!$T$2:$T$495))-(ROW('CASE MASTER'!#REF!)-1)))+1)+(5-INDEX('CASE MASTER'!$AB$2:$AB$495,(SUMPRODUCT((('CASE MASTER'!$T$2:$T$495=11)*('CASE MASTER'!$AA$2:$AA$495&lt;=10)*('CASE MASTER'!$AC$2:$AC$495&gt;=10)*('CASE MASTER'!$AB$2:$AB$495&lt;=5)*('CASE MASTER'!$AD$2:$AD$495&gt;=5))*ROW('CASE MASTER'!$T$2:$T$495))-(ROW('CASE MASTER'!#REF!)-1))))+1)))-1)*50+1,50))&amp;"_"&amp;INDEX('CASE MASTER'!$Q$2:$Q$495,(SUMPRODUCT((('CASE MASTER'!$T$2:$T$495=11)*('CASE MASTER'!$AA$2:$AA$495&lt;=10)*('CASE MASTER'!$AC$2:$AC$495&gt;=10)*('CASE MASTER'!$AB$2:$AB$495&lt;=5)*('CASE MASTER'!$AD$2:$AD$495&gt;=5))*ROW('CASE MASTER'!$T$2:$T$495))-(ROW('CASE MASTER'!#REF!)-1))),"")),"")</f>
        <v/>
      </c>
      <c r="G152" s="10" t="str">
        <f>IFERROR(IF(SUMPRODUCT((('CASE MASTER'!$T$2:$T$495=11)*('CASE MASTER'!$U$2:$U$495&lt;=10)*('CASE MASTER'!$W$2:$W$495&gt;=10)*('CASE MASTER'!$V$2:$V$495&lt;=6)*('CASE MASTER'!$X$2:$X$495&gt;=6))*ROW('CASE MASTER'!$T$2:$T$495))&gt;0,INDEX('CASE MASTER'!$Y$2:$Y$495,(SUMPRODUCT((('CASE MASTER'!$T$2:$T$495=11)*('CASE MASTER'!$U$2:$U$495&lt;=10)*('CASE MASTER'!$W$2:$W$495&gt;=10)*('CASE MASTER'!$V$2:$V$495&lt;=6)*('CASE MASTER'!$X$2:$X$495&gt;=6))*ROW('CASE MASTER'!$T$2:$T$495))-(ROW('CASE MASTER'!#REF!)-1)))&amp;TRIM(MID(SUBSTITUTE(SUBSTITUTE(INDEX('CASE MASTER'!$N$2:$N$495,(SUMPRODUCT((('CASE MASTER'!$T$2:$T$495=11)*('CASE MASTER'!$U$2:$U$495&lt;=10)*('CASE MASTER'!$W$2:$W$495&gt;=10)*('CASE MASTER'!$V$2:$V$495&lt;=6)*('CASE MASTER'!$X$2:$X$495&gt;=6))*ROW('CASE MASTER'!$T$2:$T$495))-(ROW('CASE MASTER'!#REF!)-1))),":",","),",",REPT(" ",50)),((((10-INDEX('CASE MASTER'!$U$2:$U$495,(SUMPRODUCT((('CASE MASTER'!$T$2:$T$495=11)*('CASE MASTER'!$U$2:$U$495&lt;=10)*('CASE MASTER'!$W$2:$W$495&gt;=10)*('CASE MASTER'!$V$2:$V$495&lt;=6)*('CASE MASTER'!$X$2:$X$495&gt;=6))*ROW('CASE MASTER'!$T$2:$T$495))-(ROW('CASE MASTER'!#REF!)-1))))*(INDEX('CASE MASTER'!$X$2:$X$495,(SUMPRODUCT((('CASE MASTER'!$T$2:$T$495=11)*('CASE MASTER'!$U$2:$U$495&lt;=10)*('CASE MASTER'!$W$2:$W$495&gt;=10)*('CASE MASTER'!$V$2:$V$495&lt;=6)*('CASE MASTER'!$X$2:$X$495&gt;=6))*ROW('CASE MASTER'!$T$2:$T$495))-(ROW('CASE MASTER'!#REF!)-1)))-INDEX('CASE MASTER'!$V$2:$V$495,(SUMPRODUCT((('CASE MASTER'!$T$2:$T$495=11)*('CASE MASTER'!$U$2:$U$495&lt;=10)*('CASE MASTER'!$W$2:$W$495&gt;=10)*('CASE MASTER'!$V$2:$V$495&lt;=6)*('CASE MASTER'!$X$2:$X$495&gt;=6))*ROW('CASE MASTER'!$T$2:$T$495))-(ROW('CASE MASTER'!#REF!)-1)))+1)+(6-INDEX('CASE MASTER'!$V$2:$V$495,(SUMPRODUCT((('CASE MASTER'!$T$2:$T$495=11)*('CASE MASTER'!$U$2:$U$495&lt;=10)*('CASE MASTER'!$W$2:$W$495&gt;=10)*('CASE MASTER'!$V$2:$V$495&lt;=6)*('CASE MASTER'!$X$2:$X$495&gt;=6))*ROW('CASE MASTER'!$T$2:$T$495))-(ROW('CASE MASTER'!#REF!)-1))))+1))-1)*50+1,50))&amp;"_"&amp;INDEX('CASE MASTER'!$Q$2:$Q$495,(SUMPRODUCT((('CASE MASTER'!$T$2:$T$495=11)*('CASE MASTER'!$U$2:$U$495&lt;=10)*('CASE MASTER'!$W$2:$W$495&gt;=10)*('CASE MASTER'!$V$2:$V$495&lt;=6)*('CASE MASTER'!$X$2:$X$495&gt;=6))*ROW('CASE MASTER'!$T$2:$T$495))-(ROW('CASE MASTER'!#REF!)-1))),IF(SUMPRODUCT((('CASE MASTER'!$T$2:$T$495=11)*('CASE MASTER'!$AA$2:$AA$495&lt;=10)*('CASE MASTER'!$AC$2:$AC$495&gt;=10)*('CASE MASTER'!$AB$2:$AB$495&lt;=6)*('CASE MASTER'!$AD$2:$AD$495&gt;=6))*ROW('CASE MASTER'!$T$2:$T$495))&gt;0,INDEX('CASE MASTER'!$Y$2:$Y$495,(SUMPRODUCT((('CASE MASTER'!$T$2:$T$495=11)*('CASE MASTER'!$AA$2:$AA$495&lt;=10)*('CASE MASTER'!$AC$2:$AC$495&gt;=10)*('CASE MASTER'!$AB$2:$AB$495&lt;=6)*('CASE MASTER'!$AD$2:$AD$495&gt;=6))*ROW('CASE MASTER'!$T$2:$T$495))-(ROW('CASE MASTER'!#REF!)-1)))&amp;TRIM(MID(SUBSTITUTE(SUBSTITUTE(INDEX('CASE MASTER'!$N$2:$N$495,(SUMPRODUCT((('CASE MASTER'!$T$2:$T$495=11)*('CASE MASTER'!$AA$2:$AA$495&lt;=10)*('CASE MASTER'!$AC$2:$AC$495&gt;=10)*('CASE MASTER'!$AB$2:$AB$495&lt;=6)*('CASE MASTER'!$AD$2:$AD$495&gt;=6))*ROW('CASE MASTER'!$T$2:$T$495))-(ROW('CASE MASTER'!#REF!)-1))),":",","),",",REPT(" ",50)),(((INDEX('CASE MASTER'!$Z$2:$Z$495,(SUMPRODUCT((('CASE MASTER'!$T$2:$T$495=11)*('CASE MASTER'!$AA$2:$AA$495&lt;=10)*('CASE MASTER'!$AC$2:$AC$495&gt;=10)*('CASE MASTER'!$AB$2:$AB$495&lt;=6)*('CASE MASTER'!$AD$2:$AD$495&gt;=6))*ROW('CASE MASTER'!$T$2:$T$495))-(ROW('CASE MASTER'!#REF!)-1)))+((10-INDEX('CASE MASTER'!$AA$2:$AA$495,(SUMPRODUCT((('CASE MASTER'!$T$2:$T$495=11)*('CASE MASTER'!$AA$2:$AA$495&lt;=10)*('CASE MASTER'!$AC$2:$AC$495&gt;=10)*('CASE MASTER'!$AB$2:$AB$495&lt;=6)*('CASE MASTER'!$AD$2:$AD$495&gt;=6))*ROW('CASE MASTER'!$T$2:$T$495))-(ROW('CASE MASTER'!#REF!)-1))))*(INDEX('CASE MASTER'!$AD$2:$AD$495,(SUMPRODUCT((('CASE MASTER'!$T$2:$T$495=11)*('CASE MASTER'!$AA$2:$AA$495&lt;=10)*('CASE MASTER'!$AC$2:$AC$495&gt;=10)*('CASE MASTER'!$AB$2:$AB$495&lt;=6)*('CASE MASTER'!$AD$2:$AD$495&gt;=6))*ROW('CASE MASTER'!$T$2:$T$495))-(ROW('CASE MASTER'!#REF!)-1)))-INDEX('CASE MASTER'!$AB$2:$AB$495,(SUMPRODUCT((('CASE MASTER'!$T$2:$T$495=11)*('CASE MASTER'!$AA$2:$AA$495&lt;=10)*('CASE MASTER'!$AC$2:$AC$495&gt;=10)*('CASE MASTER'!$AB$2:$AB$495&lt;=6)*('CASE MASTER'!$AD$2:$AD$495&gt;=6))*ROW('CASE MASTER'!$T$2:$T$495))-(ROW('CASE MASTER'!#REF!)-1)))+1)+(6-INDEX('CASE MASTER'!$AB$2:$AB$495,(SUMPRODUCT((('CASE MASTER'!$T$2:$T$495=11)*('CASE MASTER'!$AA$2:$AA$495&lt;=10)*('CASE MASTER'!$AC$2:$AC$495&gt;=10)*('CASE MASTER'!$AB$2:$AB$495&lt;=6)*('CASE MASTER'!$AD$2:$AD$495&gt;=6))*ROW('CASE MASTER'!$T$2:$T$495))-(ROW('CASE MASTER'!#REF!)-1))))+1)))-1)*50+1,50))&amp;"_"&amp;INDEX('CASE MASTER'!$Q$2:$Q$495,(SUMPRODUCT((('CASE MASTER'!$T$2:$T$495=11)*('CASE MASTER'!$AA$2:$AA$495&lt;=10)*('CASE MASTER'!$AC$2:$AC$495&gt;=10)*('CASE MASTER'!$AB$2:$AB$495&lt;=6)*('CASE MASTER'!$AD$2:$AD$495&gt;=6))*ROW('CASE MASTER'!$T$2:$T$495))-(ROW('CASE MASTER'!#REF!)-1))),"")),"")</f>
        <v/>
      </c>
      <c r="H152" s="10" t="str">
        <f>IFERROR(IF(SUMPRODUCT((('CASE MASTER'!$T$2:$T$495=11)*('CASE MASTER'!$U$2:$U$495&lt;=10)*('CASE MASTER'!$W$2:$W$495&gt;=10)*('CASE MASTER'!$V$2:$V$495&lt;=7)*('CASE MASTER'!$X$2:$X$495&gt;=7))*ROW('CASE MASTER'!$T$2:$T$495))&gt;0,INDEX('CASE MASTER'!$Y$2:$Y$495,(SUMPRODUCT((('CASE MASTER'!$T$2:$T$495=11)*('CASE MASTER'!$U$2:$U$495&lt;=10)*('CASE MASTER'!$W$2:$W$495&gt;=10)*('CASE MASTER'!$V$2:$V$495&lt;=7)*('CASE MASTER'!$X$2:$X$495&gt;=7))*ROW('CASE MASTER'!$T$2:$T$495))-(ROW('CASE MASTER'!#REF!)-1)))&amp;TRIM(MID(SUBSTITUTE(SUBSTITUTE(INDEX('CASE MASTER'!$N$2:$N$495,(SUMPRODUCT((('CASE MASTER'!$T$2:$T$495=11)*('CASE MASTER'!$U$2:$U$495&lt;=10)*('CASE MASTER'!$W$2:$W$495&gt;=10)*('CASE MASTER'!$V$2:$V$495&lt;=7)*('CASE MASTER'!$X$2:$X$495&gt;=7))*ROW('CASE MASTER'!$T$2:$T$495))-(ROW('CASE MASTER'!#REF!)-1))),":",","),",",REPT(" ",50)),((((10-INDEX('CASE MASTER'!$U$2:$U$495,(SUMPRODUCT((('CASE MASTER'!$T$2:$T$495=11)*('CASE MASTER'!$U$2:$U$495&lt;=10)*('CASE MASTER'!$W$2:$W$495&gt;=10)*('CASE MASTER'!$V$2:$V$495&lt;=7)*('CASE MASTER'!$X$2:$X$495&gt;=7))*ROW('CASE MASTER'!$T$2:$T$495))-(ROW('CASE MASTER'!#REF!)-1))))*(INDEX('CASE MASTER'!$X$2:$X$495,(SUMPRODUCT((('CASE MASTER'!$T$2:$T$495=11)*('CASE MASTER'!$U$2:$U$495&lt;=10)*('CASE MASTER'!$W$2:$W$495&gt;=10)*('CASE MASTER'!$V$2:$V$495&lt;=7)*('CASE MASTER'!$X$2:$X$495&gt;=7))*ROW('CASE MASTER'!$T$2:$T$495))-(ROW('CASE MASTER'!#REF!)-1)))-INDEX('CASE MASTER'!$V$2:$V$495,(SUMPRODUCT((('CASE MASTER'!$T$2:$T$495=11)*('CASE MASTER'!$U$2:$U$495&lt;=10)*('CASE MASTER'!$W$2:$W$495&gt;=10)*('CASE MASTER'!$V$2:$V$495&lt;=7)*('CASE MASTER'!$X$2:$X$495&gt;=7))*ROW('CASE MASTER'!$T$2:$T$495))-(ROW('CASE MASTER'!#REF!)-1)))+1)+(7-INDEX('CASE MASTER'!$V$2:$V$495,(SUMPRODUCT((('CASE MASTER'!$T$2:$T$495=11)*('CASE MASTER'!$U$2:$U$495&lt;=10)*('CASE MASTER'!$W$2:$W$495&gt;=10)*('CASE MASTER'!$V$2:$V$495&lt;=7)*('CASE MASTER'!$X$2:$X$495&gt;=7))*ROW('CASE MASTER'!$T$2:$T$495))-(ROW('CASE MASTER'!#REF!)-1))))+1))-1)*50+1,50))&amp;"_"&amp;INDEX('CASE MASTER'!$Q$2:$Q$495,(SUMPRODUCT((('CASE MASTER'!$T$2:$T$495=11)*('CASE MASTER'!$U$2:$U$495&lt;=10)*('CASE MASTER'!$W$2:$W$495&gt;=10)*('CASE MASTER'!$V$2:$V$495&lt;=7)*('CASE MASTER'!$X$2:$X$495&gt;=7))*ROW('CASE MASTER'!$T$2:$T$495))-(ROW('CASE MASTER'!#REF!)-1))),IF(SUMPRODUCT((('CASE MASTER'!$T$2:$T$495=11)*('CASE MASTER'!$AA$2:$AA$495&lt;=10)*('CASE MASTER'!$AC$2:$AC$495&gt;=10)*('CASE MASTER'!$AB$2:$AB$495&lt;=7)*('CASE MASTER'!$AD$2:$AD$495&gt;=7))*ROW('CASE MASTER'!$T$2:$T$495))&gt;0,INDEX('CASE MASTER'!$Y$2:$Y$495,(SUMPRODUCT((('CASE MASTER'!$T$2:$T$495=11)*('CASE MASTER'!$AA$2:$AA$495&lt;=10)*('CASE MASTER'!$AC$2:$AC$495&gt;=10)*('CASE MASTER'!$AB$2:$AB$495&lt;=7)*('CASE MASTER'!$AD$2:$AD$495&gt;=7))*ROW('CASE MASTER'!$T$2:$T$495))-(ROW('CASE MASTER'!#REF!)-1)))&amp;TRIM(MID(SUBSTITUTE(SUBSTITUTE(INDEX('CASE MASTER'!$N$2:$N$495,(SUMPRODUCT((('CASE MASTER'!$T$2:$T$495=11)*('CASE MASTER'!$AA$2:$AA$495&lt;=10)*('CASE MASTER'!$AC$2:$AC$495&gt;=10)*('CASE MASTER'!$AB$2:$AB$495&lt;=7)*('CASE MASTER'!$AD$2:$AD$495&gt;=7))*ROW('CASE MASTER'!$T$2:$T$495))-(ROW('CASE MASTER'!#REF!)-1))),":",","),",",REPT(" ",50)),(((INDEX('CASE MASTER'!$Z$2:$Z$495,(SUMPRODUCT((('CASE MASTER'!$T$2:$T$495=11)*('CASE MASTER'!$AA$2:$AA$495&lt;=10)*('CASE MASTER'!$AC$2:$AC$495&gt;=10)*('CASE MASTER'!$AB$2:$AB$495&lt;=7)*('CASE MASTER'!$AD$2:$AD$495&gt;=7))*ROW('CASE MASTER'!$T$2:$T$495))-(ROW('CASE MASTER'!#REF!)-1)))+((10-INDEX('CASE MASTER'!$AA$2:$AA$495,(SUMPRODUCT((('CASE MASTER'!$T$2:$T$495=11)*('CASE MASTER'!$AA$2:$AA$495&lt;=10)*('CASE MASTER'!$AC$2:$AC$495&gt;=10)*('CASE MASTER'!$AB$2:$AB$495&lt;=7)*('CASE MASTER'!$AD$2:$AD$495&gt;=7))*ROW('CASE MASTER'!$T$2:$T$495))-(ROW('CASE MASTER'!#REF!)-1))))*(INDEX('CASE MASTER'!$AD$2:$AD$495,(SUMPRODUCT((('CASE MASTER'!$T$2:$T$495=11)*('CASE MASTER'!$AA$2:$AA$495&lt;=10)*('CASE MASTER'!$AC$2:$AC$495&gt;=10)*('CASE MASTER'!$AB$2:$AB$495&lt;=7)*('CASE MASTER'!$AD$2:$AD$495&gt;=7))*ROW('CASE MASTER'!$T$2:$T$495))-(ROW('CASE MASTER'!#REF!)-1)))-INDEX('CASE MASTER'!$AB$2:$AB$495,(SUMPRODUCT((('CASE MASTER'!$T$2:$T$495=11)*('CASE MASTER'!$AA$2:$AA$495&lt;=10)*('CASE MASTER'!$AC$2:$AC$495&gt;=10)*('CASE MASTER'!$AB$2:$AB$495&lt;=7)*('CASE MASTER'!$AD$2:$AD$495&gt;=7))*ROW('CASE MASTER'!$T$2:$T$495))-(ROW('CASE MASTER'!#REF!)-1)))+1)+(7-INDEX('CASE MASTER'!$AB$2:$AB$495,(SUMPRODUCT((('CASE MASTER'!$T$2:$T$495=11)*('CASE MASTER'!$AA$2:$AA$495&lt;=10)*('CASE MASTER'!$AC$2:$AC$495&gt;=10)*('CASE MASTER'!$AB$2:$AB$495&lt;=7)*('CASE MASTER'!$AD$2:$AD$495&gt;=7))*ROW('CASE MASTER'!$T$2:$T$495))-(ROW('CASE MASTER'!#REF!)-1))))+1)))-1)*50+1,50))&amp;"_"&amp;INDEX('CASE MASTER'!$Q$2:$Q$495,(SUMPRODUCT((('CASE MASTER'!$T$2:$T$495=11)*('CASE MASTER'!$AA$2:$AA$495&lt;=10)*('CASE MASTER'!$AC$2:$AC$495&gt;=10)*('CASE MASTER'!$AB$2:$AB$495&lt;=7)*('CASE MASTER'!$AD$2:$AD$495&gt;=7))*ROW('CASE MASTER'!$T$2:$T$495))-(ROW('CASE MASTER'!#REF!)-1))),"")),"")</f>
        <v/>
      </c>
      <c r="I152" s="10" t="str">
        <f>IFERROR(IF(SUMPRODUCT((('CASE MASTER'!$T$2:$T$495=11)*('CASE MASTER'!$U$2:$U$495&lt;=10)*('CASE MASTER'!$W$2:$W$495&gt;=10)*('CASE MASTER'!$V$2:$V$495&lt;=8)*('CASE MASTER'!$X$2:$X$495&gt;=8))*ROW('CASE MASTER'!$T$2:$T$495))&gt;0,INDEX('CASE MASTER'!$Y$2:$Y$495,(SUMPRODUCT((('CASE MASTER'!$T$2:$T$495=11)*('CASE MASTER'!$U$2:$U$495&lt;=10)*('CASE MASTER'!$W$2:$W$495&gt;=10)*('CASE MASTER'!$V$2:$V$495&lt;=8)*('CASE MASTER'!$X$2:$X$495&gt;=8))*ROW('CASE MASTER'!$T$2:$T$495))-(ROW('CASE MASTER'!#REF!)-1)))&amp;TRIM(MID(SUBSTITUTE(SUBSTITUTE(INDEX('CASE MASTER'!$N$2:$N$495,(SUMPRODUCT((('CASE MASTER'!$T$2:$T$495=11)*('CASE MASTER'!$U$2:$U$495&lt;=10)*('CASE MASTER'!$W$2:$W$495&gt;=10)*('CASE MASTER'!$V$2:$V$495&lt;=8)*('CASE MASTER'!$X$2:$X$495&gt;=8))*ROW('CASE MASTER'!$T$2:$T$495))-(ROW('CASE MASTER'!#REF!)-1))),":",","),",",REPT(" ",50)),((((10-INDEX('CASE MASTER'!$U$2:$U$495,(SUMPRODUCT((('CASE MASTER'!$T$2:$T$495=11)*('CASE MASTER'!$U$2:$U$495&lt;=10)*('CASE MASTER'!$W$2:$W$495&gt;=10)*('CASE MASTER'!$V$2:$V$495&lt;=8)*('CASE MASTER'!$X$2:$X$495&gt;=8))*ROW('CASE MASTER'!$T$2:$T$495))-(ROW('CASE MASTER'!#REF!)-1))))*(INDEX('CASE MASTER'!$X$2:$X$495,(SUMPRODUCT((('CASE MASTER'!$T$2:$T$495=11)*('CASE MASTER'!$U$2:$U$495&lt;=10)*('CASE MASTER'!$W$2:$W$495&gt;=10)*('CASE MASTER'!$V$2:$V$495&lt;=8)*('CASE MASTER'!$X$2:$X$495&gt;=8))*ROW('CASE MASTER'!$T$2:$T$495))-(ROW('CASE MASTER'!#REF!)-1)))-INDEX('CASE MASTER'!$V$2:$V$495,(SUMPRODUCT((('CASE MASTER'!$T$2:$T$495=11)*('CASE MASTER'!$U$2:$U$495&lt;=10)*('CASE MASTER'!$W$2:$W$495&gt;=10)*('CASE MASTER'!$V$2:$V$495&lt;=8)*('CASE MASTER'!$X$2:$X$495&gt;=8))*ROW('CASE MASTER'!$T$2:$T$495))-(ROW('CASE MASTER'!#REF!)-1)))+1)+(8-INDEX('CASE MASTER'!$V$2:$V$495,(SUMPRODUCT((('CASE MASTER'!$T$2:$T$495=11)*('CASE MASTER'!$U$2:$U$495&lt;=10)*('CASE MASTER'!$W$2:$W$495&gt;=10)*('CASE MASTER'!$V$2:$V$495&lt;=8)*('CASE MASTER'!$X$2:$X$495&gt;=8))*ROW('CASE MASTER'!$T$2:$T$495))-(ROW('CASE MASTER'!#REF!)-1))))+1))-1)*50+1,50))&amp;"_"&amp;INDEX('CASE MASTER'!$Q$2:$Q$495,(SUMPRODUCT((('CASE MASTER'!$T$2:$T$495=11)*('CASE MASTER'!$U$2:$U$495&lt;=10)*('CASE MASTER'!$W$2:$W$495&gt;=10)*('CASE MASTER'!$V$2:$V$495&lt;=8)*('CASE MASTER'!$X$2:$X$495&gt;=8))*ROW('CASE MASTER'!$T$2:$T$495))-(ROW('CASE MASTER'!#REF!)-1))),IF(SUMPRODUCT((('CASE MASTER'!$T$2:$T$495=11)*('CASE MASTER'!$AA$2:$AA$495&lt;=10)*('CASE MASTER'!$AC$2:$AC$495&gt;=10)*('CASE MASTER'!$AB$2:$AB$495&lt;=8)*('CASE MASTER'!$AD$2:$AD$495&gt;=8))*ROW('CASE MASTER'!$T$2:$T$495))&gt;0,INDEX('CASE MASTER'!$Y$2:$Y$495,(SUMPRODUCT((('CASE MASTER'!$T$2:$T$495=11)*('CASE MASTER'!$AA$2:$AA$495&lt;=10)*('CASE MASTER'!$AC$2:$AC$495&gt;=10)*('CASE MASTER'!$AB$2:$AB$495&lt;=8)*('CASE MASTER'!$AD$2:$AD$495&gt;=8))*ROW('CASE MASTER'!$T$2:$T$495))-(ROW('CASE MASTER'!#REF!)-1)))&amp;TRIM(MID(SUBSTITUTE(SUBSTITUTE(INDEX('CASE MASTER'!$N$2:$N$495,(SUMPRODUCT((('CASE MASTER'!$T$2:$T$495=11)*('CASE MASTER'!$AA$2:$AA$495&lt;=10)*('CASE MASTER'!$AC$2:$AC$495&gt;=10)*('CASE MASTER'!$AB$2:$AB$495&lt;=8)*('CASE MASTER'!$AD$2:$AD$495&gt;=8))*ROW('CASE MASTER'!$T$2:$T$495))-(ROW('CASE MASTER'!#REF!)-1))),":",","),",",REPT(" ",50)),(((INDEX('CASE MASTER'!$Z$2:$Z$495,(SUMPRODUCT((('CASE MASTER'!$T$2:$T$495=11)*('CASE MASTER'!$AA$2:$AA$495&lt;=10)*('CASE MASTER'!$AC$2:$AC$495&gt;=10)*('CASE MASTER'!$AB$2:$AB$495&lt;=8)*('CASE MASTER'!$AD$2:$AD$495&gt;=8))*ROW('CASE MASTER'!$T$2:$T$495))-(ROW('CASE MASTER'!#REF!)-1)))+((10-INDEX('CASE MASTER'!$AA$2:$AA$495,(SUMPRODUCT((('CASE MASTER'!$T$2:$T$495=11)*('CASE MASTER'!$AA$2:$AA$495&lt;=10)*('CASE MASTER'!$AC$2:$AC$495&gt;=10)*('CASE MASTER'!$AB$2:$AB$495&lt;=8)*('CASE MASTER'!$AD$2:$AD$495&gt;=8))*ROW('CASE MASTER'!$T$2:$T$495))-(ROW('CASE MASTER'!#REF!)-1))))*(INDEX('CASE MASTER'!$AD$2:$AD$495,(SUMPRODUCT((('CASE MASTER'!$T$2:$T$495=11)*('CASE MASTER'!$AA$2:$AA$495&lt;=10)*('CASE MASTER'!$AC$2:$AC$495&gt;=10)*('CASE MASTER'!$AB$2:$AB$495&lt;=8)*('CASE MASTER'!$AD$2:$AD$495&gt;=8))*ROW('CASE MASTER'!$T$2:$T$495))-(ROW('CASE MASTER'!#REF!)-1)))-INDEX('CASE MASTER'!$AB$2:$AB$495,(SUMPRODUCT((('CASE MASTER'!$T$2:$T$495=11)*('CASE MASTER'!$AA$2:$AA$495&lt;=10)*('CASE MASTER'!$AC$2:$AC$495&gt;=10)*('CASE MASTER'!$AB$2:$AB$495&lt;=8)*('CASE MASTER'!$AD$2:$AD$495&gt;=8))*ROW('CASE MASTER'!$T$2:$T$495))-(ROW('CASE MASTER'!#REF!)-1)))+1)+(8-INDEX('CASE MASTER'!$AB$2:$AB$495,(SUMPRODUCT((('CASE MASTER'!$T$2:$T$495=11)*('CASE MASTER'!$AA$2:$AA$495&lt;=10)*('CASE MASTER'!$AC$2:$AC$495&gt;=10)*('CASE MASTER'!$AB$2:$AB$495&lt;=8)*('CASE MASTER'!$AD$2:$AD$495&gt;=8))*ROW('CASE MASTER'!$T$2:$T$495))-(ROW('CASE MASTER'!#REF!)-1))))+1)))-1)*50+1,50))&amp;"_"&amp;INDEX('CASE MASTER'!$Q$2:$Q$495,(SUMPRODUCT((('CASE MASTER'!$T$2:$T$495=11)*('CASE MASTER'!$AA$2:$AA$495&lt;=10)*('CASE MASTER'!$AC$2:$AC$495&gt;=10)*('CASE MASTER'!$AB$2:$AB$495&lt;=8)*('CASE MASTER'!$AD$2:$AD$495&gt;=8))*ROW('CASE MASTER'!$T$2:$T$495))-(ROW('CASE MASTER'!#REF!)-1))),"")),"")</f>
        <v/>
      </c>
      <c r="J152" s="10" t="str">
        <f>IFERROR(IF(SUMPRODUCT((('CASE MASTER'!$T$2:$T$495=11)*('CASE MASTER'!$U$2:$U$495&lt;=10)*('CASE MASTER'!$W$2:$W$495&gt;=10)*('CASE MASTER'!$V$2:$V$495&lt;=9)*('CASE MASTER'!$X$2:$X$495&gt;=9))*ROW('CASE MASTER'!$T$2:$T$495))&gt;0,INDEX('CASE MASTER'!$Y$2:$Y$495,(SUMPRODUCT((('CASE MASTER'!$T$2:$T$495=11)*('CASE MASTER'!$U$2:$U$495&lt;=10)*('CASE MASTER'!$W$2:$W$495&gt;=10)*('CASE MASTER'!$V$2:$V$495&lt;=9)*('CASE MASTER'!$X$2:$X$495&gt;=9))*ROW('CASE MASTER'!$T$2:$T$495))-(ROW('CASE MASTER'!#REF!)-1)))&amp;TRIM(MID(SUBSTITUTE(SUBSTITUTE(INDEX('CASE MASTER'!$N$2:$N$495,(SUMPRODUCT((('CASE MASTER'!$T$2:$T$495=11)*('CASE MASTER'!$U$2:$U$495&lt;=10)*('CASE MASTER'!$W$2:$W$495&gt;=10)*('CASE MASTER'!$V$2:$V$495&lt;=9)*('CASE MASTER'!$X$2:$X$495&gt;=9))*ROW('CASE MASTER'!$T$2:$T$495))-(ROW('CASE MASTER'!#REF!)-1))),":",","),",",REPT(" ",50)),((((10-INDEX('CASE MASTER'!$U$2:$U$495,(SUMPRODUCT((('CASE MASTER'!$T$2:$T$495=11)*('CASE MASTER'!$U$2:$U$495&lt;=10)*('CASE MASTER'!$W$2:$W$495&gt;=10)*('CASE MASTER'!$V$2:$V$495&lt;=9)*('CASE MASTER'!$X$2:$X$495&gt;=9))*ROW('CASE MASTER'!$T$2:$T$495))-(ROW('CASE MASTER'!#REF!)-1))))*(INDEX('CASE MASTER'!$X$2:$X$495,(SUMPRODUCT((('CASE MASTER'!$T$2:$T$495=11)*('CASE MASTER'!$U$2:$U$495&lt;=10)*('CASE MASTER'!$W$2:$W$495&gt;=10)*('CASE MASTER'!$V$2:$V$495&lt;=9)*('CASE MASTER'!$X$2:$X$495&gt;=9))*ROW('CASE MASTER'!$T$2:$T$495))-(ROW('CASE MASTER'!#REF!)-1)))-INDEX('CASE MASTER'!$V$2:$V$495,(SUMPRODUCT((('CASE MASTER'!$T$2:$T$495=11)*('CASE MASTER'!$U$2:$U$495&lt;=10)*('CASE MASTER'!$W$2:$W$495&gt;=10)*('CASE MASTER'!$V$2:$V$495&lt;=9)*('CASE MASTER'!$X$2:$X$495&gt;=9))*ROW('CASE MASTER'!$T$2:$T$495))-(ROW('CASE MASTER'!#REF!)-1)))+1)+(9-INDEX('CASE MASTER'!$V$2:$V$495,(SUMPRODUCT((('CASE MASTER'!$T$2:$T$495=11)*('CASE MASTER'!$U$2:$U$495&lt;=10)*('CASE MASTER'!$W$2:$W$495&gt;=10)*('CASE MASTER'!$V$2:$V$495&lt;=9)*('CASE MASTER'!$X$2:$X$495&gt;=9))*ROW('CASE MASTER'!$T$2:$T$495))-(ROW('CASE MASTER'!#REF!)-1))))+1))-1)*50+1,50))&amp;"_"&amp;INDEX('CASE MASTER'!$Q$2:$Q$495,(SUMPRODUCT((('CASE MASTER'!$T$2:$T$495=11)*('CASE MASTER'!$U$2:$U$495&lt;=10)*('CASE MASTER'!$W$2:$W$495&gt;=10)*('CASE MASTER'!$V$2:$V$495&lt;=9)*('CASE MASTER'!$X$2:$X$495&gt;=9))*ROW('CASE MASTER'!$T$2:$T$495))-(ROW('CASE MASTER'!#REF!)-1))),IF(SUMPRODUCT((('CASE MASTER'!$T$2:$T$495=11)*('CASE MASTER'!$AA$2:$AA$495&lt;=10)*('CASE MASTER'!$AC$2:$AC$495&gt;=10)*('CASE MASTER'!$AB$2:$AB$495&lt;=9)*('CASE MASTER'!$AD$2:$AD$495&gt;=9))*ROW('CASE MASTER'!$T$2:$T$495))&gt;0,INDEX('CASE MASTER'!$Y$2:$Y$495,(SUMPRODUCT((('CASE MASTER'!$T$2:$T$495=11)*('CASE MASTER'!$AA$2:$AA$495&lt;=10)*('CASE MASTER'!$AC$2:$AC$495&gt;=10)*('CASE MASTER'!$AB$2:$AB$495&lt;=9)*('CASE MASTER'!$AD$2:$AD$495&gt;=9))*ROW('CASE MASTER'!$T$2:$T$495))-(ROW('CASE MASTER'!#REF!)-1)))&amp;TRIM(MID(SUBSTITUTE(SUBSTITUTE(INDEX('CASE MASTER'!$N$2:$N$495,(SUMPRODUCT((('CASE MASTER'!$T$2:$T$495=11)*('CASE MASTER'!$AA$2:$AA$495&lt;=10)*('CASE MASTER'!$AC$2:$AC$495&gt;=10)*('CASE MASTER'!$AB$2:$AB$495&lt;=9)*('CASE MASTER'!$AD$2:$AD$495&gt;=9))*ROW('CASE MASTER'!$T$2:$T$495))-(ROW('CASE MASTER'!#REF!)-1))),":",","),",",REPT(" ",50)),(((INDEX('CASE MASTER'!$Z$2:$Z$495,(SUMPRODUCT((('CASE MASTER'!$T$2:$T$495=11)*('CASE MASTER'!$AA$2:$AA$495&lt;=10)*('CASE MASTER'!$AC$2:$AC$495&gt;=10)*('CASE MASTER'!$AB$2:$AB$495&lt;=9)*('CASE MASTER'!$AD$2:$AD$495&gt;=9))*ROW('CASE MASTER'!$T$2:$T$495))-(ROW('CASE MASTER'!#REF!)-1)))+((10-INDEX('CASE MASTER'!$AA$2:$AA$495,(SUMPRODUCT((('CASE MASTER'!$T$2:$T$495=11)*('CASE MASTER'!$AA$2:$AA$495&lt;=10)*('CASE MASTER'!$AC$2:$AC$495&gt;=10)*('CASE MASTER'!$AB$2:$AB$495&lt;=9)*('CASE MASTER'!$AD$2:$AD$495&gt;=9))*ROW('CASE MASTER'!$T$2:$T$495))-(ROW('CASE MASTER'!#REF!)-1))))*(INDEX('CASE MASTER'!$AD$2:$AD$495,(SUMPRODUCT((('CASE MASTER'!$T$2:$T$495=11)*('CASE MASTER'!$AA$2:$AA$495&lt;=10)*('CASE MASTER'!$AC$2:$AC$495&gt;=10)*('CASE MASTER'!$AB$2:$AB$495&lt;=9)*('CASE MASTER'!$AD$2:$AD$495&gt;=9))*ROW('CASE MASTER'!$T$2:$T$495))-(ROW('CASE MASTER'!#REF!)-1)))-INDEX('CASE MASTER'!$AB$2:$AB$495,(SUMPRODUCT((('CASE MASTER'!$T$2:$T$495=11)*('CASE MASTER'!$AA$2:$AA$495&lt;=10)*('CASE MASTER'!$AC$2:$AC$495&gt;=10)*('CASE MASTER'!$AB$2:$AB$495&lt;=9)*('CASE MASTER'!$AD$2:$AD$495&gt;=9))*ROW('CASE MASTER'!$T$2:$T$495))-(ROW('CASE MASTER'!#REF!)-1)))+1)+(9-INDEX('CASE MASTER'!$AB$2:$AB$495,(SUMPRODUCT((('CASE MASTER'!$T$2:$T$495=11)*('CASE MASTER'!$AA$2:$AA$495&lt;=10)*('CASE MASTER'!$AC$2:$AC$495&gt;=10)*('CASE MASTER'!$AB$2:$AB$495&lt;=9)*('CASE MASTER'!$AD$2:$AD$495&gt;=9))*ROW('CASE MASTER'!$T$2:$T$495))-(ROW('CASE MASTER'!#REF!)-1))))+1)))-1)*50+1,50))&amp;"_"&amp;INDEX('CASE MASTER'!$Q$2:$Q$495,(SUMPRODUCT((('CASE MASTER'!$T$2:$T$495=11)*('CASE MASTER'!$AA$2:$AA$495&lt;=10)*('CASE MASTER'!$AC$2:$AC$495&gt;=10)*('CASE MASTER'!$AB$2:$AB$495&lt;=9)*('CASE MASTER'!$AD$2:$AD$495&gt;=9))*ROW('CASE MASTER'!$T$2:$T$495))-(ROW('CASE MASTER'!#REF!)-1))),"")),"")</f>
        <v/>
      </c>
      <c r="K152" s="10" t="str">
        <f>IFERROR(IF(SUMPRODUCT((('CASE MASTER'!$T$2:$T$495=11)*('CASE MASTER'!$U$2:$U$495&lt;=10)*('CASE MASTER'!$W$2:$W$495&gt;=10)*('CASE MASTER'!$V$2:$V$495&lt;=10)*('CASE MASTER'!$X$2:$X$495&gt;=10))*ROW('CASE MASTER'!$T$2:$T$495))&gt;0,INDEX('CASE MASTER'!$Y$2:$Y$495,(SUMPRODUCT((('CASE MASTER'!$T$2:$T$495=11)*('CASE MASTER'!$U$2:$U$495&lt;=10)*('CASE MASTER'!$W$2:$W$495&gt;=10)*('CASE MASTER'!$V$2:$V$495&lt;=10)*('CASE MASTER'!$X$2:$X$495&gt;=10))*ROW('CASE MASTER'!$T$2:$T$495))-(ROW('CASE MASTER'!#REF!)-1)))&amp;TRIM(MID(SUBSTITUTE(SUBSTITUTE(INDEX('CASE MASTER'!$N$2:$N$495,(SUMPRODUCT((('CASE MASTER'!$T$2:$T$495=11)*('CASE MASTER'!$U$2:$U$495&lt;=10)*('CASE MASTER'!$W$2:$W$495&gt;=10)*('CASE MASTER'!$V$2:$V$495&lt;=10)*('CASE MASTER'!$X$2:$X$495&gt;=10))*ROW('CASE MASTER'!$T$2:$T$495))-(ROW('CASE MASTER'!#REF!)-1))),":",","),",",REPT(" ",50)),((((10-INDEX('CASE MASTER'!$U$2:$U$495,(SUMPRODUCT((('CASE MASTER'!$T$2:$T$495=11)*('CASE MASTER'!$U$2:$U$495&lt;=10)*('CASE MASTER'!$W$2:$W$495&gt;=10)*('CASE MASTER'!$V$2:$V$495&lt;=10)*('CASE MASTER'!$X$2:$X$495&gt;=10))*ROW('CASE MASTER'!$T$2:$T$495))-(ROW('CASE MASTER'!#REF!)-1))))*(INDEX('CASE MASTER'!$X$2:$X$495,(SUMPRODUCT((('CASE MASTER'!$T$2:$T$495=11)*('CASE MASTER'!$U$2:$U$495&lt;=10)*('CASE MASTER'!$W$2:$W$495&gt;=10)*('CASE MASTER'!$V$2:$V$495&lt;=10)*('CASE MASTER'!$X$2:$X$495&gt;=10))*ROW('CASE MASTER'!$T$2:$T$495))-(ROW('CASE MASTER'!#REF!)-1)))-INDEX('CASE MASTER'!$V$2:$V$495,(SUMPRODUCT((('CASE MASTER'!$T$2:$T$495=11)*('CASE MASTER'!$U$2:$U$495&lt;=10)*('CASE MASTER'!$W$2:$W$495&gt;=10)*('CASE MASTER'!$V$2:$V$495&lt;=10)*('CASE MASTER'!$X$2:$X$495&gt;=10))*ROW('CASE MASTER'!$T$2:$T$495))-(ROW('CASE MASTER'!#REF!)-1)))+1)+(10-INDEX('CASE MASTER'!$V$2:$V$495,(SUMPRODUCT((('CASE MASTER'!$T$2:$T$495=11)*('CASE MASTER'!$U$2:$U$495&lt;=10)*('CASE MASTER'!$W$2:$W$495&gt;=10)*('CASE MASTER'!$V$2:$V$495&lt;=10)*('CASE MASTER'!$X$2:$X$495&gt;=10))*ROW('CASE MASTER'!$T$2:$T$495))-(ROW('CASE MASTER'!#REF!)-1))))+1))-1)*50+1,50))&amp;"_"&amp;INDEX('CASE MASTER'!$Q$2:$Q$495,(SUMPRODUCT((('CASE MASTER'!$T$2:$T$495=11)*('CASE MASTER'!$U$2:$U$495&lt;=10)*('CASE MASTER'!$W$2:$W$495&gt;=10)*('CASE MASTER'!$V$2:$V$495&lt;=10)*('CASE MASTER'!$X$2:$X$495&gt;=10))*ROW('CASE MASTER'!$T$2:$T$495))-(ROW('CASE MASTER'!#REF!)-1))),IF(SUMPRODUCT((('CASE MASTER'!$T$2:$T$495=11)*('CASE MASTER'!$AA$2:$AA$495&lt;=10)*('CASE MASTER'!$AC$2:$AC$495&gt;=10)*('CASE MASTER'!$AB$2:$AB$495&lt;=10)*('CASE MASTER'!$AD$2:$AD$495&gt;=10))*ROW('CASE MASTER'!$T$2:$T$495))&gt;0,INDEX('CASE MASTER'!$Y$2:$Y$495,(SUMPRODUCT((('CASE MASTER'!$T$2:$T$495=11)*('CASE MASTER'!$AA$2:$AA$495&lt;=10)*('CASE MASTER'!$AC$2:$AC$495&gt;=10)*('CASE MASTER'!$AB$2:$AB$495&lt;=10)*('CASE MASTER'!$AD$2:$AD$495&gt;=10))*ROW('CASE MASTER'!$T$2:$T$495))-(ROW('CASE MASTER'!#REF!)-1)))&amp;TRIM(MID(SUBSTITUTE(SUBSTITUTE(INDEX('CASE MASTER'!$N$2:$N$495,(SUMPRODUCT((('CASE MASTER'!$T$2:$T$495=11)*('CASE MASTER'!$AA$2:$AA$495&lt;=10)*('CASE MASTER'!$AC$2:$AC$495&gt;=10)*('CASE MASTER'!$AB$2:$AB$495&lt;=10)*('CASE MASTER'!$AD$2:$AD$495&gt;=10))*ROW('CASE MASTER'!$T$2:$T$495))-(ROW('CASE MASTER'!#REF!)-1))),":",","),",",REPT(" ",50)),(((INDEX('CASE MASTER'!$Z$2:$Z$495,(SUMPRODUCT((('CASE MASTER'!$T$2:$T$495=11)*('CASE MASTER'!$AA$2:$AA$495&lt;=10)*('CASE MASTER'!$AC$2:$AC$495&gt;=10)*('CASE MASTER'!$AB$2:$AB$495&lt;=10)*('CASE MASTER'!$AD$2:$AD$495&gt;=10))*ROW('CASE MASTER'!$T$2:$T$495))-(ROW('CASE MASTER'!#REF!)-1)))+((10-INDEX('CASE MASTER'!$AA$2:$AA$495,(SUMPRODUCT((('CASE MASTER'!$T$2:$T$495=11)*('CASE MASTER'!$AA$2:$AA$495&lt;=10)*('CASE MASTER'!$AC$2:$AC$495&gt;=10)*('CASE MASTER'!$AB$2:$AB$495&lt;=10)*('CASE MASTER'!$AD$2:$AD$495&gt;=10))*ROW('CASE MASTER'!$T$2:$T$495))-(ROW('CASE MASTER'!#REF!)-1))))*(INDEX('CASE MASTER'!$AD$2:$AD$495,(SUMPRODUCT((('CASE MASTER'!$T$2:$T$495=11)*('CASE MASTER'!$AA$2:$AA$495&lt;=10)*('CASE MASTER'!$AC$2:$AC$495&gt;=10)*('CASE MASTER'!$AB$2:$AB$495&lt;=10)*('CASE MASTER'!$AD$2:$AD$495&gt;=10))*ROW('CASE MASTER'!$T$2:$T$495))-(ROW('CASE MASTER'!#REF!)-1)))-INDEX('CASE MASTER'!$AB$2:$AB$495,(SUMPRODUCT((('CASE MASTER'!$T$2:$T$495=11)*('CASE MASTER'!$AA$2:$AA$495&lt;=10)*('CASE MASTER'!$AC$2:$AC$495&gt;=10)*('CASE MASTER'!$AB$2:$AB$495&lt;=10)*('CASE MASTER'!$AD$2:$AD$495&gt;=10))*ROW('CASE MASTER'!$T$2:$T$495))-(ROW('CASE MASTER'!#REF!)-1)))+1)+(10-INDEX('CASE MASTER'!$AB$2:$AB$495,(SUMPRODUCT((('CASE MASTER'!$T$2:$T$495=11)*('CASE MASTER'!$AA$2:$AA$495&lt;=10)*('CASE MASTER'!$AC$2:$AC$495&gt;=10)*('CASE MASTER'!$AB$2:$AB$495&lt;=10)*('CASE MASTER'!$AD$2:$AD$495&gt;=10))*ROW('CASE MASTER'!$T$2:$T$495))-(ROW('CASE MASTER'!#REF!)-1))))+1)))-1)*50+1,50))&amp;"_"&amp;INDEX('CASE MASTER'!$Q$2:$Q$495,(SUMPRODUCT((('CASE MASTER'!$T$2:$T$495=11)*('CASE MASTER'!$AA$2:$AA$495&lt;=10)*('CASE MASTER'!$AC$2:$AC$495&gt;=10)*('CASE MASTER'!$AB$2:$AB$495&lt;=10)*('CASE MASTER'!$AD$2:$AD$495&gt;=10))*ROW('CASE MASTER'!$T$2:$T$495))-(ROW('CASE MASTER'!#REF!)-1))),"")),"")</f>
        <v/>
      </c>
    </row>
    <row r="155" spans="1:11" ht="15" customHeight="1" x14ac:dyDescent="0.35">
      <c r="A155" s="12" t="s">
        <v>93</v>
      </c>
      <c r="B155" s="13"/>
      <c r="C155" s="13"/>
      <c r="D155" s="13"/>
      <c r="E155" s="13"/>
      <c r="F155" s="13"/>
      <c r="G155" s="13"/>
      <c r="H155" s="13"/>
      <c r="I155" s="13"/>
      <c r="J155" s="13"/>
      <c r="K155" s="13"/>
    </row>
    <row r="156" spans="1:11" ht="15" customHeight="1" x14ac:dyDescent="0.35">
      <c r="B156" s="8">
        <v>1</v>
      </c>
      <c r="C156" s="8">
        <v>2</v>
      </c>
      <c r="D156" s="8">
        <v>3</v>
      </c>
      <c r="E156" s="8">
        <v>4</v>
      </c>
      <c r="F156" s="8">
        <v>5</v>
      </c>
      <c r="G156" s="8">
        <v>6</v>
      </c>
      <c r="H156" s="8">
        <v>7</v>
      </c>
      <c r="I156" s="8">
        <v>8</v>
      </c>
      <c r="J156" s="8">
        <v>9</v>
      </c>
      <c r="K156" s="8">
        <v>10</v>
      </c>
    </row>
    <row r="157" spans="1:11" ht="15" customHeight="1" x14ac:dyDescent="0.35">
      <c r="A157" s="8" t="s">
        <v>28</v>
      </c>
      <c r="B157" s="10" t="str">
        <f>IFERROR(IF(SUMPRODUCT((('CASE MASTER'!$T$2:$T$495=12)*('CASE MASTER'!$U$2:$U$495&lt;=1)*('CASE MASTER'!$W$2:$W$495&gt;=1)*('CASE MASTER'!$V$2:$V$495&lt;=1)*('CASE MASTER'!$X$2:$X$495&gt;=1))*ROW('CASE MASTER'!$T$2:$T$495))&gt;0,INDEX('CASE MASTER'!$Y$2:$Y$495,(SUMPRODUCT((('CASE MASTER'!$T$2:$T$495=12)*('CASE MASTER'!$U$2:$U$495&lt;=1)*('CASE MASTER'!$W$2:$W$495&gt;=1)*('CASE MASTER'!$V$2:$V$495&lt;=1)*('CASE MASTER'!$X$2:$X$495&gt;=1))*ROW('CASE MASTER'!$T$2:$T$495))-(ROW('CASE MASTER'!#REF!)-1)))&amp;TRIM(MID(SUBSTITUTE(SUBSTITUTE(INDEX('CASE MASTER'!$N$2:$N$495,(SUMPRODUCT((('CASE MASTER'!$T$2:$T$495=12)*('CASE MASTER'!$U$2:$U$495&lt;=1)*('CASE MASTER'!$W$2:$W$495&gt;=1)*('CASE MASTER'!$V$2:$V$495&lt;=1)*('CASE MASTER'!$X$2:$X$495&gt;=1))*ROW('CASE MASTER'!$T$2:$T$495))-(ROW('CASE MASTER'!#REF!)-1))),":",","),",",REPT(" ",50)),((((1-INDEX('CASE MASTER'!$U$2:$U$495,(SUMPRODUCT((('CASE MASTER'!$T$2:$T$495=12)*('CASE MASTER'!$U$2:$U$495&lt;=1)*('CASE MASTER'!$W$2:$W$495&gt;=1)*('CASE MASTER'!$V$2:$V$495&lt;=1)*('CASE MASTER'!$X$2:$X$495&gt;=1))*ROW('CASE MASTER'!$T$2:$T$495))-(ROW('CASE MASTER'!#REF!)-1))))*(INDEX('CASE MASTER'!$X$2:$X$495,(SUMPRODUCT((('CASE MASTER'!$T$2:$T$495=12)*('CASE MASTER'!$U$2:$U$495&lt;=1)*('CASE MASTER'!$W$2:$W$495&gt;=1)*('CASE MASTER'!$V$2:$V$495&lt;=1)*('CASE MASTER'!$X$2:$X$495&gt;=1))*ROW('CASE MASTER'!$T$2:$T$495))-(ROW('CASE MASTER'!#REF!)-1)))-INDEX('CASE MASTER'!$V$2:$V$495,(SUMPRODUCT((('CASE MASTER'!$T$2:$T$495=12)*('CASE MASTER'!$U$2:$U$495&lt;=1)*('CASE MASTER'!$W$2:$W$495&gt;=1)*('CASE MASTER'!$V$2:$V$495&lt;=1)*('CASE MASTER'!$X$2:$X$495&gt;=1))*ROW('CASE MASTER'!$T$2:$T$495))-(ROW('CASE MASTER'!#REF!)-1)))+1)+(1-INDEX('CASE MASTER'!$V$2:$V$495,(SUMPRODUCT((('CASE MASTER'!$T$2:$T$495=12)*('CASE MASTER'!$U$2:$U$495&lt;=1)*('CASE MASTER'!$W$2:$W$495&gt;=1)*('CASE MASTER'!$V$2:$V$495&lt;=1)*('CASE MASTER'!$X$2:$X$495&gt;=1))*ROW('CASE MASTER'!$T$2:$T$495))-(ROW('CASE MASTER'!#REF!)-1))))+1))-1)*50+1,50))&amp;"_"&amp;INDEX('CASE MASTER'!$Q$2:$Q$495,(SUMPRODUCT((('CASE MASTER'!$T$2:$T$495=12)*('CASE MASTER'!$U$2:$U$495&lt;=1)*('CASE MASTER'!$W$2:$W$495&gt;=1)*('CASE MASTER'!$V$2:$V$495&lt;=1)*('CASE MASTER'!$X$2:$X$495&gt;=1))*ROW('CASE MASTER'!$T$2:$T$495))-(ROW('CASE MASTER'!#REF!)-1))),IF(SUMPRODUCT((('CASE MASTER'!$T$2:$T$495=12)*('CASE MASTER'!$AA$2:$AA$495&lt;=1)*('CASE MASTER'!$AC$2:$AC$495&gt;=1)*('CASE MASTER'!$AB$2:$AB$495&lt;=1)*('CASE MASTER'!$AD$2:$AD$495&gt;=1))*ROW('CASE MASTER'!$T$2:$T$495))&gt;0,INDEX('CASE MASTER'!$Y$2:$Y$495,(SUMPRODUCT((('CASE MASTER'!$T$2:$T$495=12)*('CASE MASTER'!$AA$2:$AA$495&lt;=1)*('CASE MASTER'!$AC$2:$AC$495&gt;=1)*('CASE MASTER'!$AB$2:$AB$495&lt;=1)*('CASE MASTER'!$AD$2:$AD$495&gt;=1))*ROW('CASE MASTER'!$T$2:$T$495))-(ROW('CASE MASTER'!#REF!)-1)))&amp;TRIM(MID(SUBSTITUTE(SUBSTITUTE(INDEX('CASE MASTER'!$N$2:$N$495,(SUMPRODUCT((('CASE MASTER'!$T$2:$T$495=12)*('CASE MASTER'!$AA$2:$AA$495&lt;=1)*('CASE MASTER'!$AC$2:$AC$495&gt;=1)*('CASE MASTER'!$AB$2:$AB$495&lt;=1)*('CASE MASTER'!$AD$2:$AD$495&gt;=1))*ROW('CASE MASTER'!$T$2:$T$495))-(ROW('CASE MASTER'!#REF!)-1))),":",","),",",REPT(" ",50)),(((INDEX('CASE MASTER'!$Z$2:$Z$495,(SUMPRODUCT((('CASE MASTER'!$T$2:$T$495=12)*('CASE MASTER'!$AA$2:$AA$495&lt;=1)*('CASE MASTER'!$AC$2:$AC$495&gt;=1)*('CASE MASTER'!$AB$2:$AB$495&lt;=1)*('CASE MASTER'!$AD$2:$AD$495&gt;=1))*ROW('CASE MASTER'!$T$2:$T$495))-(ROW('CASE MASTER'!#REF!)-1)))+((1-INDEX('CASE MASTER'!$AA$2:$AA$495,(SUMPRODUCT((('CASE MASTER'!$T$2:$T$495=12)*('CASE MASTER'!$AA$2:$AA$495&lt;=1)*('CASE MASTER'!$AC$2:$AC$495&gt;=1)*('CASE MASTER'!$AB$2:$AB$495&lt;=1)*('CASE MASTER'!$AD$2:$AD$495&gt;=1))*ROW('CASE MASTER'!$T$2:$T$495))-(ROW('CASE MASTER'!#REF!)-1))))*(INDEX('CASE MASTER'!$AD$2:$AD$495,(SUMPRODUCT((('CASE MASTER'!$T$2:$T$495=12)*('CASE MASTER'!$AA$2:$AA$495&lt;=1)*('CASE MASTER'!$AC$2:$AC$495&gt;=1)*('CASE MASTER'!$AB$2:$AB$495&lt;=1)*('CASE MASTER'!$AD$2:$AD$495&gt;=1))*ROW('CASE MASTER'!$T$2:$T$495))-(ROW('CASE MASTER'!#REF!)-1)))-INDEX('CASE MASTER'!$AB$2:$AB$495,(SUMPRODUCT((('CASE MASTER'!$T$2:$T$495=12)*('CASE MASTER'!$AA$2:$AA$495&lt;=1)*('CASE MASTER'!$AC$2:$AC$495&gt;=1)*('CASE MASTER'!$AB$2:$AB$495&lt;=1)*('CASE MASTER'!$AD$2:$AD$495&gt;=1))*ROW('CASE MASTER'!$T$2:$T$495))-(ROW('CASE MASTER'!#REF!)-1)))+1)+(1-INDEX('CASE MASTER'!$AB$2:$AB$495,(SUMPRODUCT((('CASE MASTER'!$T$2:$T$495=12)*('CASE MASTER'!$AA$2:$AA$495&lt;=1)*('CASE MASTER'!$AC$2:$AC$495&gt;=1)*('CASE MASTER'!$AB$2:$AB$495&lt;=1)*('CASE MASTER'!$AD$2:$AD$495&gt;=1))*ROW('CASE MASTER'!$T$2:$T$495))-(ROW('CASE MASTER'!#REF!)-1))))+1)))-1)*50+1,50))&amp;"_"&amp;INDEX('CASE MASTER'!$Q$2:$Q$495,(SUMPRODUCT((('CASE MASTER'!$T$2:$T$495=12)*('CASE MASTER'!$AA$2:$AA$495&lt;=1)*('CASE MASTER'!$AC$2:$AC$495&gt;=1)*('CASE MASTER'!$AB$2:$AB$495&lt;=1)*('CASE MASTER'!$AD$2:$AD$495&gt;=1))*ROW('CASE MASTER'!$T$2:$T$495))-(ROW('CASE MASTER'!#REF!)-1))),"")),"")</f>
        <v/>
      </c>
      <c r="C157" s="10" t="str">
        <f>IFERROR(IF(SUMPRODUCT((('CASE MASTER'!$T$2:$T$495=12)*('CASE MASTER'!$U$2:$U$495&lt;=1)*('CASE MASTER'!$W$2:$W$495&gt;=1)*('CASE MASTER'!$V$2:$V$495&lt;=2)*('CASE MASTER'!$X$2:$X$495&gt;=2))*ROW('CASE MASTER'!$T$2:$T$495))&gt;0,INDEX('CASE MASTER'!$Y$2:$Y$495,(SUMPRODUCT((('CASE MASTER'!$T$2:$T$495=12)*('CASE MASTER'!$U$2:$U$495&lt;=1)*('CASE MASTER'!$W$2:$W$495&gt;=1)*('CASE MASTER'!$V$2:$V$495&lt;=2)*('CASE MASTER'!$X$2:$X$495&gt;=2))*ROW('CASE MASTER'!$T$2:$T$495))-(ROW('CASE MASTER'!#REF!)-1)))&amp;TRIM(MID(SUBSTITUTE(SUBSTITUTE(INDEX('CASE MASTER'!$N$2:$N$495,(SUMPRODUCT((('CASE MASTER'!$T$2:$T$495=12)*('CASE MASTER'!$U$2:$U$495&lt;=1)*('CASE MASTER'!$W$2:$W$495&gt;=1)*('CASE MASTER'!$V$2:$V$495&lt;=2)*('CASE MASTER'!$X$2:$X$495&gt;=2))*ROW('CASE MASTER'!$T$2:$T$495))-(ROW('CASE MASTER'!#REF!)-1))),":",","),",",REPT(" ",50)),((((1-INDEX('CASE MASTER'!$U$2:$U$495,(SUMPRODUCT((('CASE MASTER'!$T$2:$T$495=12)*('CASE MASTER'!$U$2:$U$495&lt;=1)*('CASE MASTER'!$W$2:$W$495&gt;=1)*('CASE MASTER'!$V$2:$V$495&lt;=2)*('CASE MASTER'!$X$2:$X$495&gt;=2))*ROW('CASE MASTER'!$T$2:$T$495))-(ROW('CASE MASTER'!#REF!)-1))))*(INDEX('CASE MASTER'!$X$2:$X$495,(SUMPRODUCT((('CASE MASTER'!$T$2:$T$495=12)*('CASE MASTER'!$U$2:$U$495&lt;=1)*('CASE MASTER'!$W$2:$W$495&gt;=1)*('CASE MASTER'!$V$2:$V$495&lt;=2)*('CASE MASTER'!$X$2:$X$495&gt;=2))*ROW('CASE MASTER'!$T$2:$T$495))-(ROW('CASE MASTER'!#REF!)-1)))-INDEX('CASE MASTER'!$V$2:$V$495,(SUMPRODUCT((('CASE MASTER'!$T$2:$T$495=12)*('CASE MASTER'!$U$2:$U$495&lt;=1)*('CASE MASTER'!$W$2:$W$495&gt;=1)*('CASE MASTER'!$V$2:$V$495&lt;=2)*('CASE MASTER'!$X$2:$X$495&gt;=2))*ROW('CASE MASTER'!$T$2:$T$495))-(ROW('CASE MASTER'!#REF!)-1)))+1)+(2-INDEX('CASE MASTER'!$V$2:$V$495,(SUMPRODUCT((('CASE MASTER'!$T$2:$T$495=12)*('CASE MASTER'!$U$2:$U$495&lt;=1)*('CASE MASTER'!$W$2:$W$495&gt;=1)*('CASE MASTER'!$V$2:$V$495&lt;=2)*('CASE MASTER'!$X$2:$X$495&gt;=2))*ROW('CASE MASTER'!$T$2:$T$495))-(ROW('CASE MASTER'!#REF!)-1))))+1))-1)*50+1,50))&amp;"_"&amp;INDEX('CASE MASTER'!$Q$2:$Q$495,(SUMPRODUCT((('CASE MASTER'!$T$2:$T$495=12)*('CASE MASTER'!$U$2:$U$495&lt;=1)*('CASE MASTER'!$W$2:$W$495&gt;=1)*('CASE MASTER'!$V$2:$V$495&lt;=2)*('CASE MASTER'!$X$2:$X$495&gt;=2))*ROW('CASE MASTER'!$T$2:$T$495))-(ROW('CASE MASTER'!#REF!)-1))),IF(SUMPRODUCT((('CASE MASTER'!$T$2:$T$495=12)*('CASE MASTER'!$AA$2:$AA$495&lt;=1)*('CASE MASTER'!$AC$2:$AC$495&gt;=1)*('CASE MASTER'!$AB$2:$AB$495&lt;=2)*('CASE MASTER'!$AD$2:$AD$495&gt;=2))*ROW('CASE MASTER'!$T$2:$T$495))&gt;0,INDEX('CASE MASTER'!$Y$2:$Y$495,(SUMPRODUCT((('CASE MASTER'!$T$2:$T$495=12)*('CASE MASTER'!$AA$2:$AA$495&lt;=1)*('CASE MASTER'!$AC$2:$AC$495&gt;=1)*('CASE MASTER'!$AB$2:$AB$495&lt;=2)*('CASE MASTER'!$AD$2:$AD$495&gt;=2))*ROW('CASE MASTER'!$T$2:$T$495))-(ROW('CASE MASTER'!#REF!)-1)))&amp;TRIM(MID(SUBSTITUTE(SUBSTITUTE(INDEX('CASE MASTER'!$N$2:$N$495,(SUMPRODUCT((('CASE MASTER'!$T$2:$T$495=12)*('CASE MASTER'!$AA$2:$AA$495&lt;=1)*('CASE MASTER'!$AC$2:$AC$495&gt;=1)*('CASE MASTER'!$AB$2:$AB$495&lt;=2)*('CASE MASTER'!$AD$2:$AD$495&gt;=2))*ROW('CASE MASTER'!$T$2:$T$495))-(ROW('CASE MASTER'!#REF!)-1))),":",","),",",REPT(" ",50)),(((INDEX('CASE MASTER'!$Z$2:$Z$495,(SUMPRODUCT((('CASE MASTER'!$T$2:$T$495=12)*('CASE MASTER'!$AA$2:$AA$495&lt;=1)*('CASE MASTER'!$AC$2:$AC$495&gt;=1)*('CASE MASTER'!$AB$2:$AB$495&lt;=2)*('CASE MASTER'!$AD$2:$AD$495&gt;=2))*ROW('CASE MASTER'!$T$2:$T$495))-(ROW('CASE MASTER'!#REF!)-1)))+((1-INDEX('CASE MASTER'!$AA$2:$AA$495,(SUMPRODUCT((('CASE MASTER'!$T$2:$T$495=12)*('CASE MASTER'!$AA$2:$AA$495&lt;=1)*('CASE MASTER'!$AC$2:$AC$495&gt;=1)*('CASE MASTER'!$AB$2:$AB$495&lt;=2)*('CASE MASTER'!$AD$2:$AD$495&gt;=2))*ROW('CASE MASTER'!$T$2:$T$495))-(ROW('CASE MASTER'!#REF!)-1))))*(INDEX('CASE MASTER'!$AD$2:$AD$495,(SUMPRODUCT((('CASE MASTER'!$T$2:$T$495=12)*('CASE MASTER'!$AA$2:$AA$495&lt;=1)*('CASE MASTER'!$AC$2:$AC$495&gt;=1)*('CASE MASTER'!$AB$2:$AB$495&lt;=2)*('CASE MASTER'!$AD$2:$AD$495&gt;=2))*ROW('CASE MASTER'!$T$2:$T$495))-(ROW('CASE MASTER'!#REF!)-1)))-INDEX('CASE MASTER'!$AB$2:$AB$495,(SUMPRODUCT((('CASE MASTER'!$T$2:$T$495=12)*('CASE MASTER'!$AA$2:$AA$495&lt;=1)*('CASE MASTER'!$AC$2:$AC$495&gt;=1)*('CASE MASTER'!$AB$2:$AB$495&lt;=2)*('CASE MASTER'!$AD$2:$AD$495&gt;=2))*ROW('CASE MASTER'!$T$2:$T$495))-(ROW('CASE MASTER'!#REF!)-1)))+1)+(2-INDEX('CASE MASTER'!$AB$2:$AB$495,(SUMPRODUCT((('CASE MASTER'!$T$2:$T$495=12)*('CASE MASTER'!$AA$2:$AA$495&lt;=1)*('CASE MASTER'!$AC$2:$AC$495&gt;=1)*('CASE MASTER'!$AB$2:$AB$495&lt;=2)*('CASE MASTER'!$AD$2:$AD$495&gt;=2))*ROW('CASE MASTER'!$T$2:$T$495))-(ROW('CASE MASTER'!#REF!)-1))))+1)))-1)*50+1,50))&amp;"_"&amp;INDEX('CASE MASTER'!$Q$2:$Q$495,(SUMPRODUCT((('CASE MASTER'!$T$2:$T$495=12)*('CASE MASTER'!$AA$2:$AA$495&lt;=1)*('CASE MASTER'!$AC$2:$AC$495&gt;=1)*('CASE MASTER'!$AB$2:$AB$495&lt;=2)*('CASE MASTER'!$AD$2:$AD$495&gt;=2))*ROW('CASE MASTER'!$T$2:$T$495))-(ROW('CASE MASTER'!#REF!)-1))),"")),"")</f>
        <v/>
      </c>
      <c r="D157" s="10" t="str">
        <f>IFERROR(IF(SUMPRODUCT((('CASE MASTER'!$T$2:$T$495=12)*('CASE MASTER'!$U$2:$U$495&lt;=1)*('CASE MASTER'!$W$2:$W$495&gt;=1)*('CASE MASTER'!$V$2:$V$495&lt;=3)*('CASE MASTER'!$X$2:$X$495&gt;=3))*ROW('CASE MASTER'!$T$2:$T$495))&gt;0,INDEX('CASE MASTER'!$Y$2:$Y$495,(SUMPRODUCT((('CASE MASTER'!$T$2:$T$495=12)*('CASE MASTER'!$U$2:$U$495&lt;=1)*('CASE MASTER'!$W$2:$W$495&gt;=1)*('CASE MASTER'!$V$2:$V$495&lt;=3)*('CASE MASTER'!$X$2:$X$495&gt;=3))*ROW('CASE MASTER'!$T$2:$T$495))-(ROW('CASE MASTER'!#REF!)-1)))&amp;TRIM(MID(SUBSTITUTE(SUBSTITUTE(INDEX('CASE MASTER'!$N$2:$N$495,(SUMPRODUCT((('CASE MASTER'!$T$2:$T$495=12)*('CASE MASTER'!$U$2:$U$495&lt;=1)*('CASE MASTER'!$W$2:$W$495&gt;=1)*('CASE MASTER'!$V$2:$V$495&lt;=3)*('CASE MASTER'!$X$2:$X$495&gt;=3))*ROW('CASE MASTER'!$T$2:$T$495))-(ROW('CASE MASTER'!#REF!)-1))),":",","),",",REPT(" ",50)),((((1-INDEX('CASE MASTER'!$U$2:$U$495,(SUMPRODUCT((('CASE MASTER'!$T$2:$T$495=12)*('CASE MASTER'!$U$2:$U$495&lt;=1)*('CASE MASTER'!$W$2:$W$495&gt;=1)*('CASE MASTER'!$V$2:$V$495&lt;=3)*('CASE MASTER'!$X$2:$X$495&gt;=3))*ROW('CASE MASTER'!$T$2:$T$495))-(ROW('CASE MASTER'!#REF!)-1))))*(INDEX('CASE MASTER'!$X$2:$X$495,(SUMPRODUCT((('CASE MASTER'!$T$2:$T$495=12)*('CASE MASTER'!$U$2:$U$495&lt;=1)*('CASE MASTER'!$W$2:$W$495&gt;=1)*('CASE MASTER'!$V$2:$V$495&lt;=3)*('CASE MASTER'!$X$2:$X$495&gt;=3))*ROW('CASE MASTER'!$T$2:$T$495))-(ROW('CASE MASTER'!#REF!)-1)))-INDEX('CASE MASTER'!$V$2:$V$495,(SUMPRODUCT((('CASE MASTER'!$T$2:$T$495=12)*('CASE MASTER'!$U$2:$U$495&lt;=1)*('CASE MASTER'!$W$2:$W$495&gt;=1)*('CASE MASTER'!$V$2:$V$495&lt;=3)*('CASE MASTER'!$X$2:$X$495&gt;=3))*ROW('CASE MASTER'!$T$2:$T$495))-(ROW('CASE MASTER'!#REF!)-1)))+1)+(3-INDEX('CASE MASTER'!$V$2:$V$495,(SUMPRODUCT((('CASE MASTER'!$T$2:$T$495=12)*('CASE MASTER'!$U$2:$U$495&lt;=1)*('CASE MASTER'!$W$2:$W$495&gt;=1)*('CASE MASTER'!$V$2:$V$495&lt;=3)*('CASE MASTER'!$X$2:$X$495&gt;=3))*ROW('CASE MASTER'!$T$2:$T$495))-(ROW('CASE MASTER'!#REF!)-1))))+1))-1)*50+1,50))&amp;"_"&amp;INDEX('CASE MASTER'!$Q$2:$Q$495,(SUMPRODUCT((('CASE MASTER'!$T$2:$T$495=12)*('CASE MASTER'!$U$2:$U$495&lt;=1)*('CASE MASTER'!$W$2:$W$495&gt;=1)*('CASE MASTER'!$V$2:$V$495&lt;=3)*('CASE MASTER'!$X$2:$X$495&gt;=3))*ROW('CASE MASTER'!$T$2:$T$495))-(ROW('CASE MASTER'!#REF!)-1))),IF(SUMPRODUCT((('CASE MASTER'!$T$2:$T$495=12)*('CASE MASTER'!$AA$2:$AA$495&lt;=1)*('CASE MASTER'!$AC$2:$AC$495&gt;=1)*('CASE MASTER'!$AB$2:$AB$495&lt;=3)*('CASE MASTER'!$AD$2:$AD$495&gt;=3))*ROW('CASE MASTER'!$T$2:$T$495))&gt;0,INDEX('CASE MASTER'!$Y$2:$Y$495,(SUMPRODUCT((('CASE MASTER'!$T$2:$T$495=12)*('CASE MASTER'!$AA$2:$AA$495&lt;=1)*('CASE MASTER'!$AC$2:$AC$495&gt;=1)*('CASE MASTER'!$AB$2:$AB$495&lt;=3)*('CASE MASTER'!$AD$2:$AD$495&gt;=3))*ROW('CASE MASTER'!$T$2:$T$495))-(ROW('CASE MASTER'!#REF!)-1)))&amp;TRIM(MID(SUBSTITUTE(SUBSTITUTE(INDEX('CASE MASTER'!$N$2:$N$495,(SUMPRODUCT((('CASE MASTER'!$T$2:$T$495=12)*('CASE MASTER'!$AA$2:$AA$495&lt;=1)*('CASE MASTER'!$AC$2:$AC$495&gt;=1)*('CASE MASTER'!$AB$2:$AB$495&lt;=3)*('CASE MASTER'!$AD$2:$AD$495&gt;=3))*ROW('CASE MASTER'!$T$2:$T$495))-(ROW('CASE MASTER'!#REF!)-1))),":",","),",",REPT(" ",50)),(((INDEX('CASE MASTER'!$Z$2:$Z$495,(SUMPRODUCT((('CASE MASTER'!$T$2:$T$495=12)*('CASE MASTER'!$AA$2:$AA$495&lt;=1)*('CASE MASTER'!$AC$2:$AC$495&gt;=1)*('CASE MASTER'!$AB$2:$AB$495&lt;=3)*('CASE MASTER'!$AD$2:$AD$495&gt;=3))*ROW('CASE MASTER'!$T$2:$T$495))-(ROW('CASE MASTER'!#REF!)-1)))+((1-INDEX('CASE MASTER'!$AA$2:$AA$495,(SUMPRODUCT((('CASE MASTER'!$T$2:$T$495=12)*('CASE MASTER'!$AA$2:$AA$495&lt;=1)*('CASE MASTER'!$AC$2:$AC$495&gt;=1)*('CASE MASTER'!$AB$2:$AB$495&lt;=3)*('CASE MASTER'!$AD$2:$AD$495&gt;=3))*ROW('CASE MASTER'!$T$2:$T$495))-(ROW('CASE MASTER'!#REF!)-1))))*(INDEX('CASE MASTER'!$AD$2:$AD$495,(SUMPRODUCT((('CASE MASTER'!$T$2:$T$495=12)*('CASE MASTER'!$AA$2:$AA$495&lt;=1)*('CASE MASTER'!$AC$2:$AC$495&gt;=1)*('CASE MASTER'!$AB$2:$AB$495&lt;=3)*('CASE MASTER'!$AD$2:$AD$495&gt;=3))*ROW('CASE MASTER'!$T$2:$T$495))-(ROW('CASE MASTER'!#REF!)-1)))-INDEX('CASE MASTER'!$AB$2:$AB$495,(SUMPRODUCT((('CASE MASTER'!$T$2:$T$495=12)*('CASE MASTER'!$AA$2:$AA$495&lt;=1)*('CASE MASTER'!$AC$2:$AC$495&gt;=1)*('CASE MASTER'!$AB$2:$AB$495&lt;=3)*('CASE MASTER'!$AD$2:$AD$495&gt;=3))*ROW('CASE MASTER'!$T$2:$T$495))-(ROW('CASE MASTER'!#REF!)-1)))+1)+(3-INDEX('CASE MASTER'!$AB$2:$AB$495,(SUMPRODUCT((('CASE MASTER'!$T$2:$T$495=12)*('CASE MASTER'!$AA$2:$AA$495&lt;=1)*('CASE MASTER'!$AC$2:$AC$495&gt;=1)*('CASE MASTER'!$AB$2:$AB$495&lt;=3)*('CASE MASTER'!$AD$2:$AD$495&gt;=3))*ROW('CASE MASTER'!$T$2:$T$495))-(ROW('CASE MASTER'!#REF!)-1))))+1)))-1)*50+1,50))&amp;"_"&amp;INDEX('CASE MASTER'!$Q$2:$Q$495,(SUMPRODUCT((('CASE MASTER'!$T$2:$T$495=12)*('CASE MASTER'!$AA$2:$AA$495&lt;=1)*('CASE MASTER'!$AC$2:$AC$495&gt;=1)*('CASE MASTER'!$AB$2:$AB$495&lt;=3)*('CASE MASTER'!$AD$2:$AD$495&gt;=3))*ROW('CASE MASTER'!$T$2:$T$495))-(ROW('CASE MASTER'!#REF!)-1))),"")),"")</f>
        <v/>
      </c>
      <c r="E157" s="10" t="str">
        <f>IFERROR(IF(SUMPRODUCT((('CASE MASTER'!$T$2:$T$495=12)*('CASE MASTER'!$U$2:$U$495&lt;=1)*('CASE MASTER'!$W$2:$W$495&gt;=1)*('CASE MASTER'!$V$2:$V$495&lt;=4)*('CASE MASTER'!$X$2:$X$495&gt;=4))*ROW('CASE MASTER'!$T$2:$T$495))&gt;0,INDEX('CASE MASTER'!$Y$2:$Y$495,(SUMPRODUCT((('CASE MASTER'!$T$2:$T$495=12)*('CASE MASTER'!$U$2:$U$495&lt;=1)*('CASE MASTER'!$W$2:$W$495&gt;=1)*('CASE MASTER'!$V$2:$V$495&lt;=4)*('CASE MASTER'!$X$2:$X$495&gt;=4))*ROW('CASE MASTER'!$T$2:$T$495))-(ROW('CASE MASTER'!#REF!)-1)))&amp;TRIM(MID(SUBSTITUTE(SUBSTITUTE(INDEX('CASE MASTER'!$N$2:$N$495,(SUMPRODUCT((('CASE MASTER'!$T$2:$T$495=12)*('CASE MASTER'!$U$2:$U$495&lt;=1)*('CASE MASTER'!$W$2:$W$495&gt;=1)*('CASE MASTER'!$V$2:$V$495&lt;=4)*('CASE MASTER'!$X$2:$X$495&gt;=4))*ROW('CASE MASTER'!$T$2:$T$495))-(ROW('CASE MASTER'!#REF!)-1))),":",","),",",REPT(" ",50)),((((1-INDEX('CASE MASTER'!$U$2:$U$495,(SUMPRODUCT((('CASE MASTER'!$T$2:$T$495=12)*('CASE MASTER'!$U$2:$U$495&lt;=1)*('CASE MASTER'!$W$2:$W$495&gt;=1)*('CASE MASTER'!$V$2:$V$495&lt;=4)*('CASE MASTER'!$X$2:$X$495&gt;=4))*ROW('CASE MASTER'!$T$2:$T$495))-(ROW('CASE MASTER'!#REF!)-1))))*(INDEX('CASE MASTER'!$X$2:$X$495,(SUMPRODUCT((('CASE MASTER'!$T$2:$T$495=12)*('CASE MASTER'!$U$2:$U$495&lt;=1)*('CASE MASTER'!$W$2:$W$495&gt;=1)*('CASE MASTER'!$V$2:$V$495&lt;=4)*('CASE MASTER'!$X$2:$X$495&gt;=4))*ROW('CASE MASTER'!$T$2:$T$495))-(ROW('CASE MASTER'!#REF!)-1)))-INDEX('CASE MASTER'!$V$2:$V$495,(SUMPRODUCT((('CASE MASTER'!$T$2:$T$495=12)*('CASE MASTER'!$U$2:$U$495&lt;=1)*('CASE MASTER'!$W$2:$W$495&gt;=1)*('CASE MASTER'!$V$2:$V$495&lt;=4)*('CASE MASTER'!$X$2:$X$495&gt;=4))*ROW('CASE MASTER'!$T$2:$T$495))-(ROW('CASE MASTER'!#REF!)-1)))+1)+(4-INDEX('CASE MASTER'!$V$2:$V$495,(SUMPRODUCT((('CASE MASTER'!$T$2:$T$495=12)*('CASE MASTER'!$U$2:$U$495&lt;=1)*('CASE MASTER'!$W$2:$W$495&gt;=1)*('CASE MASTER'!$V$2:$V$495&lt;=4)*('CASE MASTER'!$X$2:$X$495&gt;=4))*ROW('CASE MASTER'!$T$2:$T$495))-(ROW('CASE MASTER'!#REF!)-1))))+1))-1)*50+1,50))&amp;"_"&amp;INDEX('CASE MASTER'!$Q$2:$Q$495,(SUMPRODUCT((('CASE MASTER'!$T$2:$T$495=12)*('CASE MASTER'!$U$2:$U$495&lt;=1)*('CASE MASTER'!$W$2:$W$495&gt;=1)*('CASE MASTER'!$V$2:$V$495&lt;=4)*('CASE MASTER'!$X$2:$X$495&gt;=4))*ROW('CASE MASTER'!$T$2:$T$495))-(ROW('CASE MASTER'!#REF!)-1))),IF(SUMPRODUCT((('CASE MASTER'!$T$2:$T$495=12)*('CASE MASTER'!$AA$2:$AA$495&lt;=1)*('CASE MASTER'!$AC$2:$AC$495&gt;=1)*('CASE MASTER'!$AB$2:$AB$495&lt;=4)*('CASE MASTER'!$AD$2:$AD$495&gt;=4))*ROW('CASE MASTER'!$T$2:$T$495))&gt;0,INDEX('CASE MASTER'!$Y$2:$Y$495,(SUMPRODUCT((('CASE MASTER'!$T$2:$T$495=12)*('CASE MASTER'!$AA$2:$AA$495&lt;=1)*('CASE MASTER'!$AC$2:$AC$495&gt;=1)*('CASE MASTER'!$AB$2:$AB$495&lt;=4)*('CASE MASTER'!$AD$2:$AD$495&gt;=4))*ROW('CASE MASTER'!$T$2:$T$495))-(ROW('CASE MASTER'!#REF!)-1)))&amp;TRIM(MID(SUBSTITUTE(SUBSTITUTE(INDEX('CASE MASTER'!$N$2:$N$495,(SUMPRODUCT((('CASE MASTER'!$T$2:$T$495=12)*('CASE MASTER'!$AA$2:$AA$495&lt;=1)*('CASE MASTER'!$AC$2:$AC$495&gt;=1)*('CASE MASTER'!$AB$2:$AB$495&lt;=4)*('CASE MASTER'!$AD$2:$AD$495&gt;=4))*ROW('CASE MASTER'!$T$2:$T$495))-(ROW('CASE MASTER'!#REF!)-1))),":",","),",",REPT(" ",50)),(((INDEX('CASE MASTER'!$Z$2:$Z$495,(SUMPRODUCT((('CASE MASTER'!$T$2:$T$495=12)*('CASE MASTER'!$AA$2:$AA$495&lt;=1)*('CASE MASTER'!$AC$2:$AC$495&gt;=1)*('CASE MASTER'!$AB$2:$AB$495&lt;=4)*('CASE MASTER'!$AD$2:$AD$495&gt;=4))*ROW('CASE MASTER'!$T$2:$T$495))-(ROW('CASE MASTER'!#REF!)-1)))+((1-INDEX('CASE MASTER'!$AA$2:$AA$495,(SUMPRODUCT((('CASE MASTER'!$T$2:$T$495=12)*('CASE MASTER'!$AA$2:$AA$495&lt;=1)*('CASE MASTER'!$AC$2:$AC$495&gt;=1)*('CASE MASTER'!$AB$2:$AB$495&lt;=4)*('CASE MASTER'!$AD$2:$AD$495&gt;=4))*ROW('CASE MASTER'!$T$2:$T$495))-(ROW('CASE MASTER'!#REF!)-1))))*(INDEX('CASE MASTER'!$AD$2:$AD$495,(SUMPRODUCT((('CASE MASTER'!$T$2:$T$495=12)*('CASE MASTER'!$AA$2:$AA$495&lt;=1)*('CASE MASTER'!$AC$2:$AC$495&gt;=1)*('CASE MASTER'!$AB$2:$AB$495&lt;=4)*('CASE MASTER'!$AD$2:$AD$495&gt;=4))*ROW('CASE MASTER'!$T$2:$T$495))-(ROW('CASE MASTER'!#REF!)-1)))-INDEX('CASE MASTER'!$AB$2:$AB$495,(SUMPRODUCT((('CASE MASTER'!$T$2:$T$495=12)*('CASE MASTER'!$AA$2:$AA$495&lt;=1)*('CASE MASTER'!$AC$2:$AC$495&gt;=1)*('CASE MASTER'!$AB$2:$AB$495&lt;=4)*('CASE MASTER'!$AD$2:$AD$495&gt;=4))*ROW('CASE MASTER'!$T$2:$T$495))-(ROW('CASE MASTER'!#REF!)-1)))+1)+(4-INDEX('CASE MASTER'!$AB$2:$AB$495,(SUMPRODUCT((('CASE MASTER'!$T$2:$T$495=12)*('CASE MASTER'!$AA$2:$AA$495&lt;=1)*('CASE MASTER'!$AC$2:$AC$495&gt;=1)*('CASE MASTER'!$AB$2:$AB$495&lt;=4)*('CASE MASTER'!$AD$2:$AD$495&gt;=4))*ROW('CASE MASTER'!$T$2:$T$495))-(ROW('CASE MASTER'!#REF!)-1))))+1)))-1)*50+1,50))&amp;"_"&amp;INDEX('CASE MASTER'!$Q$2:$Q$495,(SUMPRODUCT((('CASE MASTER'!$T$2:$T$495=12)*('CASE MASTER'!$AA$2:$AA$495&lt;=1)*('CASE MASTER'!$AC$2:$AC$495&gt;=1)*('CASE MASTER'!$AB$2:$AB$495&lt;=4)*('CASE MASTER'!$AD$2:$AD$495&gt;=4))*ROW('CASE MASTER'!$T$2:$T$495))-(ROW('CASE MASTER'!#REF!)-1))),"")),"")</f>
        <v/>
      </c>
      <c r="F157" s="10" t="str">
        <f>IFERROR(IF(SUMPRODUCT((('CASE MASTER'!$T$2:$T$495=12)*('CASE MASTER'!$U$2:$U$495&lt;=1)*('CASE MASTER'!$W$2:$W$495&gt;=1)*('CASE MASTER'!$V$2:$V$495&lt;=5)*('CASE MASTER'!$X$2:$X$495&gt;=5))*ROW('CASE MASTER'!$T$2:$T$495))&gt;0,INDEX('CASE MASTER'!$Y$2:$Y$495,(SUMPRODUCT((('CASE MASTER'!$T$2:$T$495=12)*('CASE MASTER'!$U$2:$U$495&lt;=1)*('CASE MASTER'!$W$2:$W$495&gt;=1)*('CASE MASTER'!$V$2:$V$495&lt;=5)*('CASE MASTER'!$X$2:$X$495&gt;=5))*ROW('CASE MASTER'!$T$2:$T$495))-(ROW('CASE MASTER'!#REF!)-1)))&amp;TRIM(MID(SUBSTITUTE(SUBSTITUTE(INDEX('CASE MASTER'!$N$2:$N$495,(SUMPRODUCT((('CASE MASTER'!$T$2:$T$495=12)*('CASE MASTER'!$U$2:$U$495&lt;=1)*('CASE MASTER'!$W$2:$W$495&gt;=1)*('CASE MASTER'!$V$2:$V$495&lt;=5)*('CASE MASTER'!$X$2:$X$495&gt;=5))*ROW('CASE MASTER'!$T$2:$T$495))-(ROW('CASE MASTER'!#REF!)-1))),":",","),",",REPT(" ",50)),((((1-INDEX('CASE MASTER'!$U$2:$U$495,(SUMPRODUCT((('CASE MASTER'!$T$2:$T$495=12)*('CASE MASTER'!$U$2:$U$495&lt;=1)*('CASE MASTER'!$W$2:$W$495&gt;=1)*('CASE MASTER'!$V$2:$V$495&lt;=5)*('CASE MASTER'!$X$2:$X$495&gt;=5))*ROW('CASE MASTER'!$T$2:$T$495))-(ROW('CASE MASTER'!#REF!)-1))))*(INDEX('CASE MASTER'!$X$2:$X$495,(SUMPRODUCT((('CASE MASTER'!$T$2:$T$495=12)*('CASE MASTER'!$U$2:$U$495&lt;=1)*('CASE MASTER'!$W$2:$W$495&gt;=1)*('CASE MASTER'!$V$2:$V$495&lt;=5)*('CASE MASTER'!$X$2:$X$495&gt;=5))*ROW('CASE MASTER'!$T$2:$T$495))-(ROW('CASE MASTER'!#REF!)-1)))-INDEX('CASE MASTER'!$V$2:$V$495,(SUMPRODUCT((('CASE MASTER'!$T$2:$T$495=12)*('CASE MASTER'!$U$2:$U$495&lt;=1)*('CASE MASTER'!$W$2:$W$495&gt;=1)*('CASE MASTER'!$V$2:$V$495&lt;=5)*('CASE MASTER'!$X$2:$X$495&gt;=5))*ROW('CASE MASTER'!$T$2:$T$495))-(ROW('CASE MASTER'!#REF!)-1)))+1)+(5-INDEX('CASE MASTER'!$V$2:$V$495,(SUMPRODUCT((('CASE MASTER'!$T$2:$T$495=12)*('CASE MASTER'!$U$2:$U$495&lt;=1)*('CASE MASTER'!$W$2:$W$495&gt;=1)*('CASE MASTER'!$V$2:$V$495&lt;=5)*('CASE MASTER'!$X$2:$X$495&gt;=5))*ROW('CASE MASTER'!$T$2:$T$495))-(ROW('CASE MASTER'!#REF!)-1))))+1))-1)*50+1,50))&amp;"_"&amp;INDEX('CASE MASTER'!$Q$2:$Q$495,(SUMPRODUCT((('CASE MASTER'!$T$2:$T$495=12)*('CASE MASTER'!$U$2:$U$495&lt;=1)*('CASE MASTER'!$W$2:$W$495&gt;=1)*('CASE MASTER'!$V$2:$V$495&lt;=5)*('CASE MASTER'!$X$2:$X$495&gt;=5))*ROW('CASE MASTER'!$T$2:$T$495))-(ROW('CASE MASTER'!#REF!)-1))),IF(SUMPRODUCT((('CASE MASTER'!$T$2:$T$495=12)*('CASE MASTER'!$AA$2:$AA$495&lt;=1)*('CASE MASTER'!$AC$2:$AC$495&gt;=1)*('CASE MASTER'!$AB$2:$AB$495&lt;=5)*('CASE MASTER'!$AD$2:$AD$495&gt;=5))*ROW('CASE MASTER'!$T$2:$T$495))&gt;0,INDEX('CASE MASTER'!$Y$2:$Y$495,(SUMPRODUCT((('CASE MASTER'!$T$2:$T$495=12)*('CASE MASTER'!$AA$2:$AA$495&lt;=1)*('CASE MASTER'!$AC$2:$AC$495&gt;=1)*('CASE MASTER'!$AB$2:$AB$495&lt;=5)*('CASE MASTER'!$AD$2:$AD$495&gt;=5))*ROW('CASE MASTER'!$T$2:$T$495))-(ROW('CASE MASTER'!#REF!)-1)))&amp;TRIM(MID(SUBSTITUTE(SUBSTITUTE(INDEX('CASE MASTER'!$N$2:$N$495,(SUMPRODUCT((('CASE MASTER'!$T$2:$T$495=12)*('CASE MASTER'!$AA$2:$AA$495&lt;=1)*('CASE MASTER'!$AC$2:$AC$495&gt;=1)*('CASE MASTER'!$AB$2:$AB$495&lt;=5)*('CASE MASTER'!$AD$2:$AD$495&gt;=5))*ROW('CASE MASTER'!$T$2:$T$495))-(ROW('CASE MASTER'!#REF!)-1))),":",","),",",REPT(" ",50)),(((INDEX('CASE MASTER'!$Z$2:$Z$495,(SUMPRODUCT((('CASE MASTER'!$T$2:$T$495=12)*('CASE MASTER'!$AA$2:$AA$495&lt;=1)*('CASE MASTER'!$AC$2:$AC$495&gt;=1)*('CASE MASTER'!$AB$2:$AB$495&lt;=5)*('CASE MASTER'!$AD$2:$AD$495&gt;=5))*ROW('CASE MASTER'!$T$2:$T$495))-(ROW('CASE MASTER'!#REF!)-1)))+((1-INDEX('CASE MASTER'!$AA$2:$AA$495,(SUMPRODUCT((('CASE MASTER'!$T$2:$T$495=12)*('CASE MASTER'!$AA$2:$AA$495&lt;=1)*('CASE MASTER'!$AC$2:$AC$495&gt;=1)*('CASE MASTER'!$AB$2:$AB$495&lt;=5)*('CASE MASTER'!$AD$2:$AD$495&gt;=5))*ROW('CASE MASTER'!$T$2:$T$495))-(ROW('CASE MASTER'!#REF!)-1))))*(INDEX('CASE MASTER'!$AD$2:$AD$495,(SUMPRODUCT((('CASE MASTER'!$T$2:$T$495=12)*('CASE MASTER'!$AA$2:$AA$495&lt;=1)*('CASE MASTER'!$AC$2:$AC$495&gt;=1)*('CASE MASTER'!$AB$2:$AB$495&lt;=5)*('CASE MASTER'!$AD$2:$AD$495&gt;=5))*ROW('CASE MASTER'!$T$2:$T$495))-(ROW('CASE MASTER'!#REF!)-1)))-INDEX('CASE MASTER'!$AB$2:$AB$495,(SUMPRODUCT((('CASE MASTER'!$T$2:$T$495=12)*('CASE MASTER'!$AA$2:$AA$495&lt;=1)*('CASE MASTER'!$AC$2:$AC$495&gt;=1)*('CASE MASTER'!$AB$2:$AB$495&lt;=5)*('CASE MASTER'!$AD$2:$AD$495&gt;=5))*ROW('CASE MASTER'!$T$2:$T$495))-(ROW('CASE MASTER'!#REF!)-1)))+1)+(5-INDEX('CASE MASTER'!$AB$2:$AB$495,(SUMPRODUCT((('CASE MASTER'!$T$2:$T$495=12)*('CASE MASTER'!$AA$2:$AA$495&lt;=1)*('CASE MASTER'!$AC$2:$AC$495&gt;=1)*('CASE MASTER'!$AB$2:$AB$495&lt;=5)*('CASE MASTER'!$AD$2:$AD$495&gt;=5))*ROW('CASE MASTER'!$T$2:$T$495))-(ROW('CASE MASTER'!#REF!)-1))))+1)))-1)*50+1,50))&amp;"_"&amp;INDEX('CASE MASTER'!$Q$2:$Q$495,(SUMPRODUCT((('CASE MASTER'!$T$2:$T$495=12)*('CASE MASTER'!$AA$2:$AA$495&lt;=1)*('CASE MASTER'!$AC$2:$AC$495&gt;=1)*('CASE MASTER'!$AB$2:$AB$495&lt;=5)*('CASE MASTER'!$AD$2:$AD$495&gt;=5))*ROW('CASE MASTER'!$T$2:$T$495))-(ROW('CASE MASTER'!#REF!)-1))),"")),"")</f>
        <v/>
      </c>
      <c r="G157" s="10" t="str">
        <f>IFERROR(IF(SUMPRODUCT((('CASE MASTER'!$T$2:$T$495=12)*('CASE MASTER'!$U$2:$U$495&lt;=1)*('CASE MASTER'!$W$2:$W$495&gt;=1)*('CASE MASTER'!$V$2:$V$495&lt;=6)*('CASE MASTER'!$X$2:$X$495&gt;=6))*ROW('CASE MASTER'!$T$2:$T$495))&gt;0,INDEX('CASE MASTER'!$Y$2:$Y$495,(SUMPRODUCT((('CASE MASTER'!$T$2:$T$495=12)*('CASE MASTER'!$U$2:$U$495&lt;=1)*('CASE MASTER'!$W$2:$W$495&gt;=1)*('CASE MASTER'!$V$2:$V$495&lt;=6)*('CASE MASTER'!$X$2:$X$495&gt;=6))*ROW('CASE MASTER'!$T$2:$T$495))-(ROW('CASE MASTER'!#REF!)-1)))&amp;TRIM(MID(SUBSTITUTE(SUBSTITUTE(INDEX('CASE MASTER'!$N$2:$N$495,(SUMPRODUCT((('CASE MASTER'!$T$2:$T$495=12)*('CASE MASTER'!$U$2:$U$495&lt;=1)*('CASE MASTER'!$W$2:$W$495&gt;=1)*('CASE MASTER'!$V$2:$V$495&lt;=6)*('CASE MASTER'!$X$2:$X$495&gt;=6))*ROW('CASE MASTER'!$T$2:$T$495))-(ROW('CASE MASTER'!#REF!)-1))),":",","),",",REPT(" ",50)),((((1-INDEX('CASE MASTER'!$U$2:$U$495,(SUMPRODUCT((('CASE MASTER'!$T$2:$T$495=12)*('CASE MASTER'!$U$2:$U$495&lt;=1)*('CASE MASTER'!$W$2:$W$495&gt;=1)*('CASE MASTER'!$V$2:$V$495&lt;=6)*('CASE MASTER'!$X$2:$X$495&gt;=6))*ROW('CASE MASTER'!$T$2:$T$495))-(ROW('CASE MASTER'!#REF!)-1))))*(INDEX('CASE MASTER'!$X$2:$X$495,(SUMPRODUCT((('CASE MASTER'!$T$2:$T$495=12)*('CASE MASTER'!$U$2:$U$495&lt;=1)*('CASE MASTER'!$W$2:$W$495&gt;=1)*('CASE MASTER'!$V$2:$V$495&lt;=6)*('CASE MASTER'!$X$2:$X$495&gt;=6))*ROW('CASE MASTER'!$T$2:$T$495))-(ROW('CASE MASTER'!#REF!)-1)))-INDEX('CASE MASTER'!$V$2:$V$495,(SUMPRODUCT((('CASE MASTER'!$T$2:$T$495=12)*('CASE MASTER'!$U$2:$U$495&lt;=1)*('CASE MASTER'!$W$2:$W$495&gt;=1)*('CASE MASTER'!$V$2:$V$495&lt;=6)*('CASE MASTER'!$X$2:$X$495&gt;=6))*ROW('CASE MASTER'!$T$2:$T$495))-(ROW('CASE MASTER'!#REF!)-1)))+1)+(6-INDEX('CASE MASTER'!$V$2:$V$495,(SUMPRODUCT((('CASE MASTER'!$T$2:$T$495=12)*('CASE MASTER'!$U$2:$U$495&lt;=1)*('CASE MASTER'!$W$2:$W$495&gt;=1)*('CASE MASTER'!$V$2:$V$495&lt;=6)*('CASE MASTER'!$X$2:$X$495&gt;=6))*ROW('CASE MASTER'!$T$2:$T$495))-(ROW('CASE MASTER'!#REF!)-1))))+1))-1)*50+1,50))&amp;"_"&amp;INDEX('CASE MASTER'!$Q$2:$Q$495,(SUMPRODUCT((('CASE MASTER'!$T$2:$T$495=12)*('CASE MASTER'!$U$2:$U$495&lt;=1)*('CASE MASTER'!$W$2:$W$495&gt;=1)*('CASE MASTER'!$V$2:$V$495&lt;=6)*('CASE MASTER'!$X$2:$X$495&gt;=6))*ROW('CASE MASTER'!$T$2:$T$495))-(ROW('CASE MASTER'!#REF!)-1))),IF(SUMPRODUCT((('CASE MASTER'!$T$2:$T$495=12)*('CASE MASTER'!$AA$2:$AA$495&lt;=1)*('CASE MASTER'!$AC$2:$AC$495&gt;=1)*('CASE MASTER'!$AB$2:$AB$495&lt;=6)*('CASE MASTER'!$AD$2:$AD$495&gt;=6))*ROW('CASE MASTER'!$T$2:$T$495))&gt;0,INDEX('CASE MASTER'!$Y$2:$Y$495,(SUMPRODUCT((('CASE MASTER'!$T$2:$T$495=12)*('CASE MASTER'!$AA$2:$AA$495&lt;=1)*('CASE MASTER'!$AC$2:$AC$495&gt;=1)*('CASE MASTER'!$AB$2:$AB$495&lt;=6)*('CASE MASTER'!$AD$2:$AD$495&gt;=6))*ROW('CASE MASTER'!$T$2:$T$495))-(ROW('CASE MASTER'!#REF!)-1)))&amp;TRIM(MID(SUBSTITUTE(SUBSTITUTE(INDEX('CASE MASTER'!$N$2:$N$495,(SUMPRODUCT((('CASE MASTER'!$T$2:$T$495=12)*('CASE MASTER'!$AA$2:$AA$495&lt;=1)*('CASE MASTER'!$AC$2:$AC$495&gt;=1)*('CASE MASTER'!$AB$2:$AB$495&lt;=6)*('CASE MASTER'!$AD$2:$AD$495&gt;=6))*ROW('CASE MASTER'!$T$2:$T$495))-(ROW('CASE MASTER'!#REF!)-1))),":",","),",",REPT(" ",50)),(((INDEX('CASE MASTER'!$Z$2:$Z$495,(SUMPRODUCT((('CASE MASTER'!$T$2:$T$495=12)*('CASE MASTER'!$AA$2:$AA$495&lt;=1)*('CASE MASTER'!$AC$2:$AC$495&gt;=1)*('CASE MASTER'!$AB$2:$AB$495&lt;=6)*('CASE MASTER'!$AD$2:$AD$495&gt;=6))*ROW('CASE MASTER'!$T$2:$T$495))-(ROW('CASE MASTER'!#REF!)-1)))+((1-INDEX('CASE MASTER'!$AA$2:$AA$495,(SUMPRODUCT((('CASE MASTER'!$T$2:$T$495=12)*('CASE MASTER'!$AA$2:$AA$495&lt;=1)*('CASE MASTER'!$AC$2:$AC$495&gt;=1)*('CASE MASTER'!$AB$2:$AB$495&lt;=6)*('CASE MASTER'!$AD$2:$AD$495&gt;=6))*ROW('CASE MASTER'!$T$2:$T$495))-(ROW('CASE MASTER'!#REF!)-1))))*(INDEX('CASE MASTER'!$AD$2:$AD$495,(SUMPRODUCT((('CASE MASTER'!$T$2:$T$495=12)*('CASE MASTER'!$AA$2:$AA$495&lt;=1)*('CASE MASTER'!$AC$2:$AC$495&gt;=1)*('CASE MASTER'!$AB$2:$AB$495&lt;=6)*('CASE MASTER'!$AD$2:$AD$495&gt;=6))*ROW('CASE MASTER'!$T$2:$T$495))-(ROW('CASE MASTER'!#REF!)-1)))-INDEX('CASE MASTER'!$AB$2:$AB$495,(SUMPRODUCT((('CASE MASTER'!$T$2:$T$495=12)*('CASE MASTER'!$AA$2:$AA$495&lt;=1)*('CASE MASTER'!$AC$2:$AC$495&gt;=1)*('CASE MASTER'!$AB$2:$AB$495&lt;=6)*('CASE MASTER'!$AD$2:$AD$495&gt;=6))*ROW('CASE MASTER'!$T$2:$T$495))-(ROW('CASE MASTER'!#REF!)-1)))+1)+(6-INDEX('CASE MASTER'!$AB$2:$AB$495,(SUMPRODUCT((('CASE MASTER'!$T$2:$T$495=12)*('CASE MASTER'!$AA$2:$AA$495&lt;=1)*('CASE MASTER'!$AC$2:$AC$495&gt;=1)*('CASE MASTER'!$AB$2:$AB$495&lt;=6)*('CASE MASTER'!$AD$2:$AD$495&gt;=6))*ROW('CASE MASTER'!$T$2:$T$495))-(ROW('CASE MASTER'!#REF!)-1))))+1)))-1)*50+1,50))&amp;"_"&amp;INDEX('CASE MASTER'!$Q$2:$Q$495,(SUMPRODUCT((('CASE MASTER'!$T$2:$T$495=12)*('CASE MASTER'!$AA$2:$AA$495&lt;=1)*('CASE MASTER'!$AC$2:$AC$495&gt;=1)*('CASE MASTER'!$AB$2:$AB$495&lt;=6)*('CASE MASTER'!$AD$2:$AD$495&gt;=6))*ROW('CASE MASTER'!$T$2:$T$495))-(ROW('CASE MASTER'!#REF!)-1))),"")),"")</f>
        <v/>
      </c>
      <c r="H157" s="10" t="str">
        <f>IFERROR(IF(SUMPRODUCT((('CASE MASTER'!$T$2:$T$495=12)*('CASE MASTER'!$U$2:$U$495&lt;=1)*('CASE MASTER'!$W$2:$W$495&gt;=1)*('CASE MASTER'!$V$2:$V$495&lt;=7)*('CASE MASTER'!$X$2:$X$495&gt;=7))*ROW('CASE MASTER'!$T$2:$T$495))&gt;0,INDEX('CASE MASTER'!$Y$2:$Y$495,(SUMPRODUCT((('CASE MASTER'!$T$2:$T$495=12)*('CASE MASTER'!$U$2:$U$495&lt;=1)*('CASE MASTER'!$W$2:$W$495&gt;=1)*('CASE MASTER'!$V$2:$V$495&lt;=7)*('CASE MASTER'!$X$2:$X$495&gt;=7))*ROW('CASE MASTER'!$T$2:$T$495))-(ROW('CASE MASTER'!#REF!)-1)))&amp;TRIM(MID(SUBSTITUTE(SUBSTITUTE(INDEX('CASE MASTER'!$N$2:$N$495,(SUMPRODUCT((('CASE MASTER'!$T$2:$T$495=12)*('CASE MASTER'!$U$2:$U$495&lt;=1)*('CASE MASTER'!$W$2:$W$495&gt;=1)*('CASE MASTER'!$V$2:$V$495&lt;=7)*('CASE MASTER'!$X$2:$X$495&gt;=7))*ROW('CASE MASTER'!$T$2:$T$495))-(ROW('CASE MASTER'!#REF!)-1))),":",","),",",REPT(" ",50)),((((1-INDEX('CASE MASTER'!$U$2:$U$495,(SUMPRODUCT((('CASE MASTER'!$T$2:$T$495=12)*('CASE MASTER'!$U$2:$U$495&lt;=1)*('CASE MASTER'!$W$2:$W$495&gt;=1)*('CASE MASTER'!$V$2:$V$495&lt;=7)*('CASE MASTER'!$X$2:$X$495&gt;=7))*ROW('CASE MASTER'!$T$2:$T$495))-(ROW('CASE MASTER'!#REF!)-1))))*(INDEX('CASE MASTER'!$X$2:$X$495,(SUMPRODUCT((('CASE MASTER'!$T$2:$T$495=12)*('CASE MASTER'!$U$2:$U$495&lt;=1)*('CASE MASTER'!$W$2:$W$495&gt;=1)*('CASE MASTER'!$V$2:$V$495&lt;=7)*('CASE MASTER'!$X$2:$X$495&gt;=7))*ROW('CASE MASTER'!$T$2:$T$495))-(ROW('CASE MASTER'!#REF!)-1)))-INDEX('CASE MASTER'!$V$2:$V$495,(SUMPRODUCT((('CASE MASTER'!$T$2:$T$495=12)*('CASE MASTER'!$U$2:$U$495&lt;=1)*('CASE MASTER'!$W$2:$W$495&gt;=1)*('CASE MASTER'!$V$2:$V$495&lt;=7)*('CASE MASTER'!$X$2:$X$495&gt;=7))*ROW('CASE MASTER'!$T$2:$T$495))-(ROW('CASE MASTER'!#REF!)-1)))+1)+(7-INDEX('CASE MASTER'!$V$2:$V$495,(SUMPRODUCT((('CASE MASTER'!$T$2:$T$495=12)*('CASE MASTER'!$U$2:$U$495&lt;=1)*('CASE MASTER'!$W$2:$W$495&gt;=1)*('CASE MASTER'!$V$2:$V$495&lt;=7)*('CASE MASTER'!$X$2:$X$495&gt;=7))*ROW('CASE MASTER'!$T$2:$T$495))-(ROW('CASE MASTER'!#REF!)-1))))+1))-1)*50+1,50))&amp;"_"&amp;INDEX('CASE MASTER'!$Q$2:$Q$495,(SUMPRODUCT((('CASE MASTER'!$T$2:$T$495=12)*('CASE MASTER'!$U$2:$U$495&lt;=1)*('CASE MASTER'!$W$2:$W$495&gt;=1)*('CASE MASTER'!$V$2:$V$495&lt;=7)*('CASE MASTER'!$X$2:$X$495&gt;=7))*ROW('CASE MASTER'!$T$2:$T$495))-(ROW('CASE MASTER'!#REF!)-1))),IF(SUMPRODUCT((('CASE MASTER'!$T$2:$T$495=12)*('CASE MASTER'!$AA$2:$AA$495&lt;=1)*('CASE MASTER'!$AC$2:$AC$495&gt;=1)*('CASE MASTER'!$AB$2:$AB$495&lt;=7)*('CASE MASTER'!$AD$2:$AD$495&gt;=7))*ROW('CASE MASTER'!$T$2:$T$495))&gt;0,INDEX('CASE MASTER'!$Y$2:$Y$495,(SUMPRODUCT((('CASE MASTER'!$T$2:$T$495=12)*('CASE MASTER'!$AA$2:$AA$495&lt;=1)*('CASE MASTER'!$AC$2:$AC$495&gt;=1)*('CASE MASTER'!$AB$2:$AB$495&lt;=7)*('CASE MASTER'!$AD$2:$AD$495&gt;=7))*ROW('CASE MASTER'!$T$2:$T$495))-(ROW('CASE MASTER'!#REF!)-1)))&amp;TRIM(MID(SUBSTITUTE(SUBSTITUTE(INDEX('CASE MASTER'!$N$2:$N$495,(SUMPRODUCT((('CASE MASTER'!$T$2:$T$495=12)*('CASE MASTER'!$AA$2:$AA$495&lt;=1)*('CASE MASTER'!$AC$2:$AC$495&gt;=1)*('CASE MASTER'!$AB$2:$AB$495&lt;=7)*('CASE MASTER'!$AD$2:$AD$495&gt;=7))*ROW('CASE MASTER'!$T$2:$T$495))-(ROW('CASE MASTER'!#REF!)-1))),":",","),",",REPT(" ",50)),(((INDEX('CASE MASTER'!$Z$2:$Z$495,(SUMPRODUCT((('CASE MASTER'!$T$2:$T$495=12)*('CASE MASTER'!$AA$2:$AA$495&lt;=1)*('CASE MASTER'!$AC$2:$AC$495&gt;=1)*('CASE MASTER'!$AB$2:$AB$495&lt;=7)*('CASE MASTER'!$AD$2:$AD$495&gt;=7))*ROW('CASE MASTER'!$T$2:$T$495))-(ROW('CASE MASTER'!#REF!)-1)))+((1-INDEX('CASE MASTER'!$AA$2:$AA$495,(SUMPRODUCT((('CASE MASTER'!$T$2:$T$495=12)*('CASE MASTER'!$AA$2:$AA$495&lt;=1)*('CASE MASTER'!$AC$2:$AC$495&gt;=1)*('CASE MASTER'!$AB$2:$AB$495&lt;=7)*('CASE MASTER'!$AD$2:$AD$495&gt;=7))*ROW('CASE MASTER'!$T$2:$T$495))-(ROW('CASE MASTER'!#REF!)-1))))*(INDEX('CASE MASTER'!$AD$2:$AD$495,(SUMPRODUCT((('CASE MASTER'!$T$2:$T$495=12)*('CASE MASTER'!$AA$2:$AA$495&lt;=1)*('CASE MASTER'!$AC$2:$AC$495&gt;=1)*('CASE MASTER'!$AB$2:$AB$495&lt;=7)*('CASE MASTER'!$AD$2:$AD$495&gt;=7))*ROW('CASE MASTER'!$T$2:$T$495))-(ROW('CASE MASTER'!#REF!)-1)))-INDEX('CASE MASTER'!$AB$2:$AB$495,(SUMPRODUCT((('CASE MASTER'!$T$2:$T$495=12)*('CASE MASTER'!$AA$2:$AA$495&lt;=1)*('CASE MASTER'!$AC$2:$AC$495&gt;=1)*('CASE MASTER'!$AB$2:$AB$495&lt;=7)*('CASE MASTER'!$AD$2:$AD$495&gt;=7))*ROW('CASE MASTER'!$T$2:$T$495))-(ROW('CASE MASTER'!#REF!)-1)))+1)+(7-INDEX('CASE MASTER'!$AB$2:$AB$495,(SUMPRODUCT((('CASE MASTER'!$T$2:$T$495=12)*('CASE MASTER'!$AA$2:$AA$495&lt;=1)*('CASE MASTER'!$AC$2:$AC$495&gt;=1)*('CASE MASTER'!$AB$2:$AB$495&lt;=7)*('CASE MASTER'!$AD$2:$AD$495&gt;=7))*ROW('CASE MASTER'!$T$2:$T$495))-(ROW('CASE MASTER'!#REF!)-1))))+1)))-1)*50+1,50))&amp;"_"&amp;INDEX('CASE MASTER'!$Q$2:$Q$495,(SUMPRODUCT((('CASE MASTER'!$T$2:$T$495=12)*('CASE MASTER'!$AA$2:$AA$495&lt;=1)*('CASE MASTER'!$AC$2:$AC$495&gt;=1)*('CASE MASTER'!$AB$2:$AB$495&lt;=7)*('CASE MASTER'!$AD$2:$AD$495&gt;=7))*ROW('CASE MASTER'!$T$2:$T$495))-(ROW('CASE MASTER'!#REF!)-1))),"")),"")</f>
        <v/>
      </c>
      <c r="I157" s="10" t="str">
        <f>IFERROR(IF(SUMPRODUCT((('CASE MASTER'!$T$2:$T$495=12)*('CASE MASTER'!$U$2:$U$495&lt;=1)*('CASE MASTER'!$W$2:$W$495&gt;=1)*('CASE MASTER'!$V$2:$V$495&lt;=8)*('CASE MASTER'!$X$2:$X$495&gt;=8))*ROW('CASE MASTER'!$T$2:$T$495))&gt;0,INDEX('CASE MASTER'!$Y$2:$Y$495,(SUMPRODUCT((('CASE MASTER'!$T$2:$T$495=12)*('CASE MASTER'!$U$2:$U$495&lt;=1)*('CASE MASTER'!$W$2:$W$495&gt;=1)*('CASE MASTER'!$V$2:$V$495&lt;=8)*('CASE MASTER'!$X$2:$X$495&gt;=8))*ROW('CASE MASTER'!$T$2:$T$495))-(ROW('CASE MASTER'!#REF!)-1)))&amp;TRIM(MID(SUBSTITUTE(SUBSTITUTE(INDEX('CASE MASTER'!$N$2:$N$495,(SUMPRODUCT((('CASE MASTER'!$T$2:$T$495=12)*('CASE MASTER'!$U$2:$U$495&lt;=1)*('CASE MASTER'!$W$2:$W$495&gt;=1)*('CASE MASTER'!$V$2:$V$495&lt;=8)*('CASE MASTER'!$X$2:$X$495&gt;=8))*ROW('CASE MASTER'!$T$2:$T$495))-(ROW('CASE MASTER'!#REF!)-1))),":",","),",",REPT(" ",50)),((((1-INDEX('CASE MASTER'!$U$2:$U$495,(SUMPRODUCT((('CASE MASTER'!$T$2:$T$495=12)*('CASE MASTER'!$U$2:$U$495&lt;=1)*('CASE MASTER'!$W$2:$W$495&gt;=1)*('CASE MASTER'!$V$2:$V$495&lt;=8)*('CASE MASTER'!$X$2:$X$495&gt;=8))*ROW('CASE MASTER'!$T$2:$T$495))-(ROW('CASE MASTER'!#REF!)-1))))*(INDEX('CASE MASTER'!$X$2:$X$495,(SUMPRODUCT((('CASE MASTER'!$T$2:$T$495=12)*('CASE MASTER'!$U$2:$U$495&lt;=1)*('CASE MASTER'!$W$2:$W$495&gt;=1)*('CASE MASTER'!$V$2:$V$495&lt;=8)*('CASE MASTER'!$X$2:$X$495&gt;=8))*ROW('CASE MASTER'!$T$2:$T$495))-(ROW('CASE MASTER'!#REF!)-1)))-INDEX('CASE MASTER'!$V$2:$V$495,(SUMPRODUCT((('CASE MASTER'!$T$2:$T$495=12)*('CASE MASTER'!$U$2:$U$495&lt;=1)*('CASE MASTER'!$W$2:$W$495&gt;=1)*('CASE MASTER'!$V$2:$V$495&lt;=8)*('CASE MASTER'!$X$2:$X$495&gt;=8))*ROW('CASE MASTER'!$T$2:$T$495))-(ROW('CASE MASTER'!#REF!)-1)))+1)+(8-INDEX('CASE MASTER'!$V$2:$V$495,(SUMPRODUCT((('CASE MASTER'!$T$2:$T$495=12)*('CASE MASTER'!$U$2:$U$495&lt;=1)*('CASE MASTER'!$W$2:$W$495&gt;=1)*('CASE MASTER'!$V$2:$V$495&lt;=8)*('CASE MASTER'!$X$2:$X$495&gt;=8))*ROW('CASE MASTER'!$T$2:$T$495))-(ROW('CASE MASTER'!#REF!)-1))))+1))-1)*50+1,50))&amp;"_"&amp;INDEX('CASE MASTER'!$Q$2:$Q$495,(SUMPRODUCT((('CASE MASTER'!$T$2:$T$495=12)*('CASE MASTER'!$U$2:$U$495&lt;=1)*('CASE MASTER'!$W$2:$W$495&gt;=1)*('CASE MASTER'!$V$2:$V$495&lt;=8)*('CASE MASTER'!$X$2:$X$495&gt;=8))*ROW('CASE MASTER'!$T$2:$T$495))-(ROW('CASE MASTER'!#REF!)-1))),IF(SUMPRODUCT((('CASE MASTER'!$T$2:$T$495=12)*('CASE MASTER'!$AA$2:$AA$495&lt;=1)*('CASE MASTER'!$AC$2:$AC$495&gt;=1)*('CASE MASTER'!$AB$2:$AB$495&lt;=8)*('CASE MASTER'!$AD$2:$AD$495&gt;=8))*ROW('CASE MASTER'!$T$2:$T$495))&gt;0,INDEX('CASE MASTER'!$Y$2:$Y$495,(SUMPRODUCT((('CASE MASTER'!$T$2:$T$495=12)*('CASE MASTER'!$AA$2:$AA$495&lt;=1)*('CASE MASTER'!$AC$2:$AC$495&gt;=1)*('CASE MASTER'!$AB$2:$AB$495&lt;=8)*('CASE MASTER'!$AD$2:$AD$495&gt;=8))*ROW('CASE MASTER'!$T$2:$T$495))-(ROW('CASE MASTER'!#REF!)-1)))&amp;TRIM(MID(SUBSTITUTE(SUBSTITUTE(INDEX('CASE MASTER'!$N$2:$N$495,(SUMPRODUCT((('CASE MASTER'!$T$2:$T$495=12)*('CASE MASTER'!$AA$2:$AA$495&lt;=1)*('CASE MASTER'!$AC$2:$AC$495&gt;=1)*('CASE MASTER'!$AB$2:$AB$495&lt;=8)*('CASE MASTER'!$AD$2:$AD$495&gt;=8))*ROW('CASE MASTER'!$T$2:$T$495))-(ROW('CASE MASTER'!#REF!)-1))),":",","),",",REPT(" ",50)),(((INDEX('CASE MASTER'!$Z$2:$Z$495,(SUMPRODUCT((('CASE MASTER'!$T$2:$T$495=12)*('CASE MASTER'!$AA$2:$AA$495&lt;=1)*('CASE MASTER'!$AC$2:$AC$495&gt;=1)*('CASE MASTER'!$AB$2:$AB$495&lt;=8)*('CASE MASTER'!$AD$2:$AD$495&gt;=8))*ROW('CASE MASTER'!$T$2:$T$495))-(ROW('CASE MASTER'!#REF!)-1)))+((1-INDEX('CASE MASTER'!$AA$2:$AA$495,(SUMPRODUCT((('CASE MASTER'!$T$2:$T$495=12)*('CASE MASTER'!$AA$2:$AA$495&lt;=1)*('CASE MASTER'!$AC$2:$AC$495&gt;=1)*('CASE MASTER'!$AB$2:$AB$495&lt;=8)*('CASE MASTER'!$AD$2:$AD$495&gt;=8))*ROW('CASE MASTER'!$T$2:$T$495))-(ROW('CASE MASTER'!#REF!)-1))))*(INDEX('CASE MASTER'!$AD$2:$AD$495,(SUMPRODUCT((('CASE MASTER'!$T$2:$T$495=12)*('CASE MASTER'!$AA$2:$AA$495&lt;=1)*('CASE MASTER'!$AC$2:$AC$495&gt;=1)*('CASE MASTER'!$AB$2:$AB$495&lt;=8)*('CASE MASTER'!$AD$2:$AD$495&gt;=8))*ROW('CASE MASTER'!$T$2:$T$495))-(ROW('CASE MASTER'!#REF!)-1)))-INDEX('CASE MASTER'!$AB$2:$AB$495,(SUMPRODUCT((('CASE MASTER'!$T$2:$T$495=12)*('CASE MASTER'!$AA$2:$AA$495&lt;=1)*('CASE MASTER'!$AC$2:$AC$495&gt;=1)*('CASE MASTER'!$AB$2:$AB$495&lt;=8)*('CASE MASTER'!$AD$2:$AD$495&gt;=8))*ROW('CASE MASTER'!$T$2:$T$495))-(ROW('CASE MASTER'!#REF!)-1)))+1)+(8-INDEX('CASE MASTER'!$AB$2:$AB$495,(SUMPRODUCT((('CASE MASTER'!$T$2:$T$495=12)*('CASE MASTER'!$AA$2:$AA$495&lt;=1)*('CASE MASTER'!$AC$2:$AC$495&gt;=1)*('CASE MASTER'!$AB$2:$AB$495&lt;=8)*('CASE MASTER'!$AD$2:$AD$495&gt;=8))*ROW('CASE MASTER'!$T$2:$T$495))-(ROW('CASE MASTER'!#REF!)-1))))+1)))-1)*50+1,50))&amp;"_"&amp;INDEX('CASE MASTER'!$Q$2:$Q$495,(SUMPRODUCT((('CASE MASTER'!$T$2:$T$495=12)*('CASE MASTER'!$AA$2:$AA$495&lt;=1)*('CASE MASTER'!$AC$2:$AC$495&gt;=1)*('CASE MASTER'!$AB$2:$AB$495&lt;=8)*('CASE MASTER'!$AD$2:$AD$495&gt;=8))*ROW('CASE MASTER'!$T$2:$T$495))-(ROW('CASE MASTER'!#REF!)-1))),"")),"")</f>
        <v/>
      </c>
      <c r="J157" s="10" t="str">
        <f>IFERROR(IF(SUMPRODUCT((('CASE MASTER'!$T$2:$T$495=12)*('CASE MASTER'!$U$2:$U$495&lt;=1)*('CASE MASTER'!$W$2:$W$495&gt;=1)*('CASE MASTER'!$V$2:$V$495&lt;=9)*('CASE MASTER'!$X$2:$X$495&gt;=9))*ROW('CASE MASTER'!$T$2:$T$495))&gt;0,INDEX('CASE MASTER'!$Y$2:$Y$495,(SUMPRODUCT((('CASE MASTER'!$T$2:$T$495=12)*('CASE MASTER'!$U$2:$U$495&lt;=1)*('CASE MASTER'!$W$2:$W$495&gt;=1)*('CASE MASTER'!$V$2:$V$495&lt;=9)*('CASE MASTER'!$X$2:$X$495&gt;=9))*ROW('CASE MASTER'!$T$2:$T$495))-(ROW('CASE MASTER'!#REF!)-1)))&amp;TRIM(MID(SUBSTITUTE(SUBSTITUTE(INDEX('CASE MASTER'!$N$2:$N$495,(SUMPRODUCT((('CASE MASTER'!$T$2:$T$495=12)*('CASE MASTER'!$U$2:$U$495&lt;=1)*('CASE MASTER'!$W$2:$W$495&gt;=1)*('CASE MASTER'!$V$2:$V$495&lt;=9)*('CASE MASTER'!$X$2:$X$495&gt;=9))*ROW('CASE MASTER'!$T$2:$T$495))-(ROW('CASE MASTER'!#REF!)-1))),":",","),",",REPT(" ",50)),((((1-INDEX('CASE MASTER'!$U$2:$U$495,(SUMPRODUCT((('CASE MASTER'!$T$2:$T$495=12)*('CASE MASTER'!$U$2:$U$495&lt;=1)*('CASE MASTER'!$W$2:$W$495&gt;=1)*('CASE MASTER'!$V$2:$V$495&lt;=9)*('CASE MASTER'!$X$2:$X$495&gt;=9))*ROW('CASE MASTER'!$T$2:$T$495))-(ROW('CASE MASTER'!#REF!)-1))))*(INDEX('CASE MASTER'!$X$2:$X$495,(SUMPRODUCT((('CASE MASTER'!$T$2:$T$495=12)*('CASE MASTER'!$U$2:$U$495&lt;=1)*('CASE MASTER'!$W$2:$W$495&gt;=1)*('CASE MASTER'!$V$2:$V$495&lt;=9)*('CASE MASTER'!$X$2:$X$495&gt;=9))*ROW('CASE MASTER'!$T$2:$T$495))-(ROW('CASE MASTER'!#REF!)-1)))-INDEX('CASE MASTER'!$V$2:$V$495,(SUMPRODUCT((('CASE MASTER'!$T$2:$T$495=12)*('CASE MASTER'!$U$2:$U$495&lt;=1)*('CASE MASTER'!$W$2:$W$495&gt;=1)*('CASE MASTER'!$V$2:$V$495&lt;=9)*('CASE MASTER'!$X$2:$X$495&gt;=9))*ROW('CASE MASTER'!$T$2:$T$495))-(ROW('CASE MASTER'!#REF!)-1)))+1)+(9-INDEX('CASE MASTER'!$V$2:$V$495,(SUMPRODUCT((('CASE MASTER'!$T$2:$T$495=12)*('CASE MASTER'!$U$2:$U$495&lt;=1)*('CASE MASTER'!$W$2:$W$495&gt;=1)*('CASE MASTER'!$V$2:$V$495&lt;=9)*('CASE MASTER'!$X$2:$X$495&gt;=9))*ROW('CASE MASTER'!$T$2:$T$495))-(ROW('CASE MASTER'!#REF!)-1))))+1))-1)*50+1,50))&amp;"_"&amp;INDEX('CASE MASTER'!$Q$2:$Q$495,(SUMPRODUCT((('CASE MASTER'!$T$2:$T$495=12)*('CASE MASTER'!$U$2:$U$495&lt;=1)*('CASE MASTER'!$W$2:$W$495&gt;=1)*('CASE MASTER'!$V$2:$V$495&lt;=9)*('CASE MASTER'!$X$2:$X$495&gt;=9))*ROW('CASE MASTER'!$T$2:$T$495))-(ROW('CASE MASTER'!#REF!)-1))),IF(SUMPRODUCT((('CASE MASTER'!$T$2:$T$495=12)*('CASE MASTER'!$AA$2:$AA$495&lt;=1)*('CASE MASTER'!$AC$2:$AC$495&gt;=1)*('CASE MASTER'!$AB$2:$AB$495&lt;=9)*('CASE MASTER'!$AD$2:$AD$495&gt;=9))*ROW('CASE MASTER'!$T$2:$T$495))&gt;0,INDEX('CASE MASTER'!$Y$2:$Y$495,(SUMPRODUCT((('CASE MASTER'!$T$2:$T$495=12)*('CASE MASTER'!$AA$2:$AA$495&lt;=1)*('CASE MASTER'!$AC$2:$AC$495&gt;=1)*('CASE MASTER'!$AB$2:$AB$495&lt;=9)*('CASE MASTER'!$AD$2:$AD$495&gt;=9))*ROW('CASE MASTER'!$T$2:$T$495))-(ROW('CASE MASTER'!#REF!)-1)))&amp;TRIM(MID(SUBSTITUTE(SUBSTITUTE(INDEX('CASE MASTER'!$N$2:$N$495,(SUMPRODUCT((('CASE MASTER'!$T$2:$T$495=12)*('CASE MASTER'!$AA$2:$AA$495&lt;=1)*('CASE MASTER'!$AC$2:$AC$495&gt;=1)*('CASE MASTER'!$AB$2:$AB$495&lt;=9)*('CASE MASTER'!$AD$2:$AD$495&gt;=9))*ROW('CASE MASTER'!$T$2:$T$495))-(ROW('CASE MASTER'!#REF!)-1))),":",","),",",REPT(" ",50)),(((INDEX('CASE MASTER'!$Z$2:$Z$495,(SUMPRODUCT((('CASE MASTER'!$T$2:$T$495=12)*('CASE MASTER'!$AA$2:$AA$495&lt;=1)*('CASE MASTER'!$AC$2:$AC$495&gt;=1)*('CASE MASTER'!$AB$2:$AB$495&lt;=9)*('CASE MASTER'!$AD$2:$AD$495&gt;=9))*ROW('CASE MASTER'!$T$2:$T$495))-(ROW('CASE MASTER'!#REF!)-1)))+((1-INDEX('CASE MASTER'!$AA$2:$AA$495,(SUMPRODUCT((('CASE MASTER'!$T$2:$T$495=12)*('CASE MASTER'!$AA$2:$AA$495&lt;=1)*('CASE MASTER'!$AC$2:$AC$495&gt;=1)*('CASE MASTER'!$AB$2:$AB$495&lt;=9)*('CASE MASTER'!$AD$2:$AD$495&gt;=9))*ROW('CASE MASTER'!$T$2:$T$495))-(ROW('CASE MASTER'!#REF!)-1))))*(INDEX('CASE MASTER'!$AD$2:$AD$495,(SUMPRODUCT((('CASE MASTER'!$T$2:$T$495=12)*('CASE MASTER'!$AA$2:$AA$495&lt;=1)*('CASE MASTER'!$AC$2:$AC$495&gt;=1)*('CASE MASTER'!$AB$2:$AB$495&lt;=9)*('CASE MASTER'!$AD$2:$AD$495&gt;=9))*ROW('CASE MASTER'!$T$2:$T$495))-(ROW('CASE MASTER'!#REF!)-1)))-INDEX('CASE MASTER'!$AB$2:$AB$495,(SUMPRODUCT((('CASE MASTER'!$T$2:$T$495=12)*('CASE MASTER'!$AA$2:$AA$495&lt;=1)*('CASE MASTER'!$AC$2:$AC$495&gt;=1)*('CASE MASTER'!$AB$2:$AB$495&lt;=9)*('CASE MASTER'!$AD$2:$AD$495&gt;=9))*ROW('CASE MASTER'!$T$2:$T$495))-(ROW('CASE MASTER'!#REF!)-1)))+1)+(9-INDEX('CASE MASTER'!$AB$2:$AB$495,(SUMPRODUCT((('CASE MASTER'!$T$2:$T$495=12)*('CASE MASTER'!$AA$2:$AA$495&lt;=1)*('CASE MASTER'!$AC$2:$AC$495&gt;=1)*('CASE MASTER'!$AB$2:$AB$495&lt;=9)*('CASE MASTER'!$AD$2:$AD$495&gt;=9))*ROW('CASE MASTER'!$T$2:$T$495))-(ROW('CASE MASTER'!#REF!)-1))))+1)))-1)*50+1,50))&amp;"_"&amp;INDEX('CASE MASTER'!$Q$2:$Q$495,(SUMPRODUCT((('CASE MASTER'!$T$2:$T$495=12)*('CASE MASTER'!$AA$2:$AA$495&lt;=1)*('CASE MASTER'!$AC$2:$AC$495&gt;=1)*('CASE MASTER'!$AB$2:$AB$495&lt;=9)*('CASE MASTER'!$AD$2:$AD$495&gt;=9))*ROW('CASE MASTER'!$T$2:$T$495))-(ROW('CASE MASTER'!#REF!)-1))),"")),"")</f>
        <v/>
      </c>
      <c r="K157" s="10" t="str">
        <f>IFERROR(IF(SUMPRODUCT((('CASE MASTER'!$T$2:$T$495=12)*('CASE MASTER'!$U$2:$U$495&lt;=1)*('CASE MASTER'!$W$2:$W$495&gt;=1)*('CASE MASTER'!$V$2:$V$495&lt;=10)*('CASE MASTER'!$X$2:$X$495&gt;=10))*ROW('CASE MASTER'!$T$2:$T$495))&gt;0,INDEX('CASE MASTER'!$Y$2:$Y$495,(SUMPRODUCT((('CASE MASTER'!$T$2:$T$495=12)*('CASE MASTER'!$U$2:$U$495&lt;=1)*('CASE MASTER'!$W$2:$W$495&gt;=1)*('CASE MASTER'!$V$2:$V$495&lt;=10)*('CASE MASTER'!$X$2:$X$495&gt;=10))*ROW('CASE MASTER'!$T$2:$T$495))-(ROW('CASE MASTER'!#REF!)-1)))&amp;TRIM(MID(SUBSTITUTE(SUBSTITUTE(INDEX('CASE MASTER'!$N$2:$N$495,(SUMPRODUCT((('CASE MASTER'!$T$2:$T$495=12)*('CASE MASTER'!$U$2:$U$495&lt;=1)*('CASE MASTER'!$W$2:$W$495&gt;=1)*('CASE MASTER'!$V$2:$V$495&lt;=10)*('CASE MASTER'!$X$2:$X$495&gt;=10))*ROW('CASE MASTER'!$T$2:$T$495))-(ROW('CASE MASTER'!#REF!)-1))),":",","),",",REPT(" ",50)),((((1-INDEX('CASE MASTER'!$U$2:$U$495,(SUMPRODUCT((('CASE MASTER'!$T$2:$T$495=12)*('CASE MASTER'!$U$2:$U$495&lt;=1)*('CASE MASTER'!$W$2:$W$495&gt;=1)*('CASE MASTER'!$V$2:$V$495&lt;=10)*('CASE MASTER'!$X$2:$X$495&gt;=10))*ROW('CASE MASTER'!$T$2:$T$495))-(ROW('CASE MASTER'!#REF!)-1))))*(INDEX('CASE MASTER'!$X$2:$X$495,(SUMPRODUCT((('CASE MASTER'!$T$2:$T$495=12)*('CASE MASTER'!$U$2:$U$495&lt;=1)*('CASE MASTER'!$W$2:$W$495&gt;=1)*('CASE MASTER'!$V$2:$V$495&lt;=10)*('CASE MASTER'!$X$2:$X$495&gt;=10))*ROW('CASE MASTER'!$T$2:$T$495))-(ROW('CASE MASTER'!#REF!)-1)))-INDEX('CASE MASTER'!$V$2:$V$495,(SUMPRODUCT((('CASE MASTER'!$T$2:$T$495=12)*('CASE MASTER'!$U$2:$U$495&lt;=1)*('CASE MASTER'!$W$2:$W$495&gt;=1)*('CASE MASTER'!$V$2:$V$495&lt;=10)*('CASE MASTER'!$X$2:$X$495&gt;=10))*ROW('CASE MASTER'!$T$2:$T$495))-(ROW('CASE MASTER'!#REF!)-1)))+1)+(10-INDEX('CASE MASTER'!$V$2:$V$495,(SUMPRODUCT((('CASE MASTER'!$T$2:$T$495=12)*('CASE MASTER'!$U$2:$U$495&lt;=1)*('CASE MASTER'!$W$2:$W$495&gt;=1)*('CASE MASTER'!$V$2:$V$495&lt;=10)*('CASE MASTER'!$X$2:$X$495&gt;=10))*ROW('CASE MASTER'!$T$2:$T$495))-(ROW('CASE MASTER'!#REF!)-1))))+1))-1)*50+1,50))&amp;"_"&amp;INDEX('CASE MASTER'!$Q$2:$Q$495,(SUMPRODUCT((('CASE MASTER'!$T$2:$T$495=12)*('CASE MASTER'!$U$2:$U$495&lt;=1)*('CASE MASTER'!$W$2:$W$495&gt;=1)*('CASE MASTER'!$V$2:$V$495&lt;=10)*('CASE MASTER'!$X$2:$X$495&gt;=10))*ROW('CASE MASTER'!$T$2:$T$495))-(ROW('CASE MASTER'!#REF!)-1))),IF(SUMPRODUCT((('CASE MASTER'!$T$2:$T$495=12)*('CASE MASTER'!$AA$2:$AA$495&lt;=1)*('CASE MASTER'!$AC$2:$AC$495&gt;=1)*('CASE MASTER'!$AB$2:$AB$495&lt;=10)*('CASE MASTER'!$AD$2:$AD$495&gt;=10))*ROW('CASE MASTER'!$T$2:$T$495))&gt;0,INDEX('CASE MASTER'!$Y$2:$Y$495,(SUMPRODUCT((('CASE MASTER'!$T$2:$T$495=12)*('CASE MASTER'!$AA$2:$AA$495&lt;=1)*('CASE MASTER'!$AC$2:$AC$495&gt;=1)*('CASE MASTER'!$AB$2:$AB$495&lt;=10)*('CASE MASTER'!$AD$2:$AD$495&gt;=10))*ROW('CASE MASTER'!$T$2:$T$495))-(ROW('CASE MASTER'!#REF!)-1)))&amp;TRIM(MID(SUBSTITUTE(SUBSTITUTE(INDEX('CASE MASTER'!$N$2:$N$495,(SUMPRODUCT((('CASE MASTER'!$T$2:$T$495=12)*('CASE MASTER'!$AA$2:$AA$495&lt;=1)*('CASE MASTER'!$AC$2:$AC$495&gt;=1)*('CASE MASTER'!$AB$2:$AB$495&lt;=10)*('CASE MASTER'!$AD$2:$AD$495&gt;=10))*ROW('CASE MASTER'!$T$2:$T$495))-(ROW('CASE MASTER'!#REF!)-1))),":",","),",",REPT(" ",50)),(((INDEX('CASE MASTER'!$Z$2:$Z$495,(SUMPRODUCT((('CASE MASTER'!$T$2:$T$495=12)*('CASE MASTER'!$AA$2:$AA$495&lt;=1)*('CASE MASTER'!$AC$2:$AC$495&gt;=1)*('CASE MASTER'!$AB$2:$AB$495&lt;=10)*('CASE MASTER'!$AD$2:$AD$495&gt;=10))*ROW('CASE MASTER'!$T$2:$T$495))-(ROW('CASE MASTER'!#REF!)-1)))+((1-INDEX('CASE MASTER'!$AA$2:$AA$495,(SUMPRODUCT((('CASE MASTER'!$T$2:$T$495=12)*('CASE MASTER'!$AA$2:$AA$495&lt;=1)*('CASE MASTER'!$AC$2:$AC$495&gt;=1)*('CASE MASTER'!$AB$2:$AB$495&lt;=10)*('CASE MASTER'!$AD$2:$AD$495&gt;=10))*ROW('CASE MASTER'!$T$2:$T$495))-(ROW('CASE MASTER'!#REF!)-1))))*(INDEX('CASE MASTER'!$AD$2:$AD$495,(SUMPRODUCT((('CASE MASTER'!$T$2:$T$495=12)*('CASE MASTER'!$AA$2:$AA$495&lt;=1)*('CASE MASTER'!$AC$2:$AC$495&gt;=1)*('CASE MASTER'!$AB$2:$AB$495&lt;=10)*('CASE MASTER'!$AD$2:$AD$495&gt;=10))*ROW('CASE MASTER'!$T$2:$T$495))-(ROW('CASE MASTER'!#REF!)-1)))-INDEX('CASE MASTER'!$AB$2:$AB$495,(SUMPRODUCT((('CASE MASTER'!$T$2:$T$495=12)*('CASE MASTER'!$AA$2:$AA$495&lt;=1)*('CASE MASTER'!$AC$2:$AC$495&gt;=1)*('CASE MASTER'!$AB$2:$AB$495&lt;=10)*('CASE MASTER'!$AD$2:$AD$495&gt;=10))*ROW('CASE MASTER'!$T$2:$T$495))-(ROW('CASE MASTER'!#REF!)-1)))+1)+(10-INDEX('CASE MASTER'!$AB$2:$AB$495,(SUMPRODUCT((('CASE MASTER'!$T$2:$T$495=12)*('CASE MASTER'!$AA$2:$AA$495&lt;=1)*('CASE MASTER'!$AC$2:$AC$495&gt;=1)*('CASE MASTER'!$AB$2:$AB$495&lt;=10)*('CASE MASTER'!$AD$2:$AD$495&gt;=10))*ROW('CASE MASTER'!$T$2:$T$495))-(ROW('CASE MASTER'!#REF!)-1))))+1)))-1)*50+1,50))&amp;"_"&amp;INDEX('CASE MASTER'!$Q$2:$Q$495,(SUMPRODUCT((('CASE MASTER'!$T$2:$T$495=12)*('CASE MASTER'!$AA$2:$AA$495&lt;=1)*('CASE MASTER'!$AC$2:$AC$495&gt;=1)*('CASE MASTER'!$AB$2:$AB$495&lt;=10)*('CASE MASTER'!$AD$2:$AD$495&gt;=10))*ROW('CASE MASTER'!$T$2:$T$495))-(ROW('CASE MASTER'!#REF!)-1))),"")),"")</f>
        <v/>
      </c>
    </row>
    <row r="158" spans="1:11" ht="15" customHeight="1" x14ac:dyDescent="0.35">
      <c r="A158" s="8" t="s">
        <v>29</v>
      </c>
      <c r="B158" s="10" t="str">
        <f>IFERROR(IF(SUMPRODUCT((('CASE MASTER'!$T$2:$T$495=12)*('CASE MASTER'!$U$2:$U$495&lt;=2)*('CASE MASTER'!$W$2:$W$495&gt;=2)*('CASE MASTER'!$V$2:$V$495&lt;=1)*('CASE MASTER'!$X$2:$X$495&gt;=1))*ROW('CASE MASTER'!$T$2:$T$495))&gt;0,INDEX('CASE MASTER'!$Y$2:$Y$495,(SUMPRODUCT((('CASE MASTER'!$T$2:$T$495=12)*('CASE MASTER'!$U$2:$U$495&lt;=2)*('CASE MASTER'!$W$2:$W$495&gt;=2)*('CASE MASTER'!$V$2:$V$495&lt;=1)*('CASE MASTER'!$X$2:$X$495&gt;=1))*ROW('CASE MASTER'!$T$2:$T$495))-(ROW('CASE MASTER'!#REF!)-1)))&amp;TRIM(MID(SUBSTITUTE(SUBSTITUTE(INDEX('CASE MASTER'!$N$2:$N$495,(SUMPRODUCT((('CASE MASTER'!$T$2:$T$495=12)*('CASE MASTER'!$U$2:$U$495&lt;=2)*('CASE MASTER'!$W$2:$W$495&gt;=2)*('CASE MASTER'!$V$2:$V$495&lt;=1)*('CASE MASTER'!$X$2:$X$495&gt;=1))*ROW('CASE MASTER'!$T$2:$T$495))-(ROW('CASE MASTER'!#REF!)-1))),":",","),",",REPT(" ",50)),((((2-INDEX('CASE MASTER'!$U$2:$U$495,(SUMPRODUCT((('CASE MASTER'!$T$2:$T$495=12)*('CASE MASTER'!$U$2:$U$495&lt;=2)*('CASE MASTER'!$W$2:$W$495&gt;=2)*('CASE MASTER'!$V$2:$V$495&lt;=1)*('CASE MASTER'!$X$2:$X$495&gt;=1))*ROW('CASE MASTER'!$T$2:$T$495))-(ROW('CASE MASTER'!#REF!)-1))))*(INDEX('CASE MASTER'!$X$2:$X$495,(SUMPRODUCT((('CASE MASTER'!$T$2:$T$495=12)*('CASE MASTER'!$U$2:$U$495&lt;=2)*('CASE MASTER'!$W$2:$W$495&gt;=2)*('CASE MASTER'!$V$2:$V$495&lt;=1)*('CASE MASTER'!$X$2:$X$495&gt;=1))*ROW('CASE MASTER'!$T$2:$T$495))-(ROW('CASE MASTER'!#REF!)-1)))-INDEX('CASE MASTER'!$V$2:$V$495,(SUMPRODUCT((('CASE MASTER'!$T$2:$T$495=12)*('CASE MASTER'!$U$2:$U$495&lt;=2)*('CASE MASTER'!$W$2:$W$495&gt;=2)*('CASE MASTER'!$V$2:$V$495&lt;=1)*('CASE MASTER'!$X$2:$X$495&gt;=1))*ROW('CASE MASTER'!$T$2:$T$495))-(ROW('CASE MASTER'!#REF!)-1)))+1)+(1-INDEX('CASE MASTER'!$V$2:$V$495,(SUMPRODUCT((('CASE MASTER'!$T$2:$T$495=12)*('CASE MASTER'!$U$2:$U$495&lt;=2)*('CASE MASTER'!$W$2:$W$495&gt;=2)*('CASE MASTER'!$V$2:$V$495&lt;=1)*('CASE MASTER'!$X$2:$X$495&gt;=1))*ROW('CASE MASTER'!$T$2:$T$495))-(ROW('CASE MASTER'!#REF!)-1))))+1))-1)*50+1,50))&amp;"_"&amp;INDEX('CASE MASTER'!$Q$2:$Q$495,(SUMPRODUCT((('CASE MASTER'!$T$2:$T$495=12)*('CASE MASTER'!$U$2:$U$495&lt;=2)*('CASE MASTER'!$W$2:$W$495&gt;=2)*('CASE MASTER'!$V$2:$V$495&lt;=1)*('CASE MASTER'!$X$2:$X$495&gt;=1))*ROW('CASE MASTER'!$T$2:$T$495))-(ROW('CASE MASTER'!#REF!)-1))),IF(SUMPRODUCT((('CASE MASTER'!$T$2:$T$495=12)*('CASE MASTER'!$AA$2:$AA$495&lt;=2)*('CASE MASTER'!$AC$2:$AC$495&gt;=2)*('CASE MASTER'!$AB$2:$AB$495&lt;=1)*('CASE MASTER'!$AD$2:$AD$495&gt;=1))*ROW('CASE MASTER'!$T$2:$T$495))&gt;0,INDEX('CASE MASTER'!$Y$2:$Y$495,(SUMPRODUCT((('CASE MASTER'!$T$2:$T$495=12)*('CASE MASTER'!$AA$2:$AA$495&lt;=2)*('CASE MASTER'!$AC$2:$AC$495&gt;=2)*('CASE MASTER'!$AB$2:$AB$495&lt;=1)*('CASE MASTER'!$AD$2:$AD$495&gt;=1))*ROW('CASE MASTER'!$T$2:$T$495))-(ROW('CASE MASTER'!#REF!)-1)))&amp;TRIM(MID(SUBSTITUTE(SUBSTITUTE(INDEX('CASE MASTER'!$N$2:$N$495,(SUMPRODUCT((('CASE MASTER'!$T$2:$T$495=12)*('CASE MASTER'!$AA$2:$AA$495&lt;=2)*('CASE MASTER'!$AC$2:$AC$495&gt;=2)*('CASE MASTER'!$AB$2:$AB$495&lt;=1)*('CASE MASTER'!$AD$2:$AD$495&gt;=1))*ROW('CASE MASTER'!$T$2:$T$495))-(ROW('CASE MASTER'!#REF!)-1))),":",","),",",REPT(" ",50)),(((INDEX('CASE MASTER'!$Z$2:$Z$495,(SUMPRODUCT((('CASE MASTER'!$T$2:$T$495=12)*('CASE MASTER'!$AA$2:$AA$495&lt;=2)*('CASE MASTER'!$AC$2:$AC$495&gt;=2)*('CASE MASTER'!$AB$2:$AB$495&lt;=1)*('CASE MASTER'!$AD$2:$AD$495&gt;=1))*ROW('CASE MASTER'!$T$2:$T$495))-(ROW('CASE MASTER'!#REF!)-1)))+((2-INDEX('CASE MASTER'!$AA$2:$AA$495,(SUMPRODUCT((('CASE MASTER'!$T$2:$T$495=12)*('CASE MASTER'!$AA$2:$AA$495&lt;=2)*('CASE MASTER'!$AC$2:$AC$495&gt;=2)*('CASE MASTER'!$AB$2:$AB$495&lt;=1)*('CASE MASTER'!$AD$2:$AD$495&gt;=1))*ROW('CASE MASTER'!$T$2:$T$495))-(ROW('CASE MASTER'!#REF!)-1))))*(INDEX('CASE MASTER'!$AD$2:$AD$495,(SUMPRODUCT((('CASE MASTER'!$T$2:$T$495=12)*('CASE MASTER'!$AA$2:$AA$495&lt;=2)*('CASE MASTER'!$AC$2:$AC$495&gt;=2)*('CASE MASTER'!$AB$2:$AB$495&lt;=1)*('CASE MASTER'!$AD$2:$AD$495&gt;=1))*ROW('CASE MASTER'!$T$2:$T$495))-(ROW('CASE MASTER'!#REF!)-1)))-INDEX('CASE MASTER'!$AB$2:$AB$495,(SUMPRODUCT((('CASE MASTER'!$T$2:$T$495=12)*('CASE MASTER'!$AA$2:$AA$495&lt;=2)*('CASE MASTER'!$AC$2:$AC$495&gt;=2)*('CASE MASTER'!$AB$2:$AB$495&lt;=1)*('CASE MASTER'!$AD$2:$AD$495&gt;=1))*ROW('CASE MASTER'!$T$2:$T$495))-(ROW('CASE MASTER'!#REF!)-1)))+1)+(1-INDEX('CASE MASTER'!$AB$2:$AB$495,(SUMPRODUCT((('CASE MASTER'!$T$2:$T$495=12)*('CASE MASTER'!$AA$2:$AA$495&lt;=2)*('CASE MASTER'!$AC$2:$AC$495&gt;=2)*('CASE MASTER'!$AB$2:$AB$495&lt;=1)*('CASE MASTER'!$AD$2:$AD$495&gt;=1))*ROW('CASE MASTER'!$T$2:$T$495))-(ROW('CASE MASTER'!#REF!)-1))))+1)))-1)*50+1,50))&amp;"_"&amp;INDEX('CASE MASTER'!$Q$2:$Q$495,(SUMPRODUCT((('CASE MASTER'!$T$2:$T$495=12)*('CASE MASTER'!$AA$2:$AA$495&lt;=2)*('CASE MASTER'!$AC$2:$AC$495&gt;=2)*('CASE MASTER'!$AB$2:$AB$495&lt;=1)*('CASE MASTER'!$AD$2:$AD$495&gt;=1))*ROW('CASE MASTER'!$T$2:$T$495))-(ROW('CASE MASTER'!#REF!)-1))),"")),"")</f>
        <v/>
      </c>
      <c r="C158" s="10" t="str">
        <f>IFERROR(IF(SUMPRODUCT((('CASE MASTER'!$T$2:$T$495=12)*('CASE MASTER'!$U$2:$U$495&lt;=2)*('CASE MASTER'!$W$2:$W$495&gt;=2)*('CASE MASTER'!$V$2:$V$495&lt;=2)*('CASE MASTER'!$X$2:$X$495&gt;=2))*ROW('CASE MASTER'!$T$2:$T$495))&gt;0,INDEX('CASE MASTER'!$Y$2:$Y$495,(SUMPRODUCT((('CASE MASTER'!$T$2:$T$495=12)*('CASE MASTER'!$U$2:$U$495&lt;=2)*('CASE MASTER'!$W$2:$W$495&gt;=2)*('CASE MASTER'!$V$2:$V$495&lt;=2)*('CASE MASTER'!$X$2:$X$495&gt;=2))*ROW('CASE MASTER'!$T$2:$T$495))-(ROW('CASE MASTER'!#REF!)-1)))&amp;TRIM(MID(SUBSTITUTE(SUBSTITUTE(INDEX('CASE MASTER'!$N$2:$N$495,(SUMPRODUCT((('CASE MASTER'!$T$2:$T$495=12)*('CASE MASTER'!$U$2:$U$495&lt;=2)*('CASE MASTER'!$W$2:$W$495&gt;=2)*('CASE MASTER'!$V$2:$V$495&lt;=2)*('CASE MASTER'!$X$2:$X$495&gt;=2))*ROW('CASE MASTER'!$T$2:$T$495))-(ROW('CASE MASTER'!#REF!)-1))),":",","),",",REPT(" ",50)),((((2-INDEX('CASE MASTER'!$U$2:$U$495,(SUMPRODUCT((('CASE MASTER'!$T$2:$T$495=12)*('CASE MASTER'!$U$2:$U$495&lt;=2)*('CASE MASTER'!$W$2:$W$495&gt;=2)*('CASE MASTER'!$V$2:$V$495&lt;=2)*('CASE MASTER'!$X$2:$X$495&gt;=2))*ROW('CASE MASTER'!$T$2:$T$495))-(ROW('CASE MASTER'!#REF!)-1))))*(INDEX('CASE MASTER'!$X$2:$X$495,(SUMPRODUCT((('CASE MASTER'!$T$2:$T$495=12)*('CASE MASTER'!$U$2:$U$495&lt;=2)*('CASE MASTER'!$W$2:$W$495&gt;=2)*('CASE MASTER'!$V$2:$V$495&lt;=2)*('CASE MASTER'!$X$2:$X$495&gt;=2))*ROW('CASE MASTER'!$T$2:$T$495))-(ROW('CASE MASTER'!#REF!)-1)))-INDEX('CASE MASTER'!$V$2:$V$495,(SUMPRODUCT((('CASE MASTER'!$T$2:$T$495=12)*('CASE MASTER'!$U$2:$U$495&lt;=2)*('CASE MASTER'!$W$2:$W$495&gt;=2)*('CASE MASTER'!$V$2:$V$495&lt;=2)*('CASE MASTER'!$X$2:$X$495&gt;=2))*ROW('CASE MASTER'!$T$2:$T$495))-(ROW('CASE MASTER'!#REF!)-1)))+1)+(2-INDEX('CASE MASTER'!$V$2:$V$495,(SUMPRODUCT((('CASE MASTER'!$T$2:$T$495=12)*('CASE MASTER'!$U$2:$U$495&lt;=2)*('CASE MASTER'!$W$2:$W$495&gt;=2)*('CASE MASTER'!$V$2:$V$495&lt;=2)*('CASE MASTER'!$X$2:$X$495&gt;=2))*ROW('CASE MASTER'!$T$2:$T$495))-(ROW('CASE MASTER'!#REF!)-1))))+1))-1)*50+1,50))&amp;"_"&amp;INDEX('CASE MASTER'!$Q$2:$Q$495,(SUMPRODUCT((('CASE MASTER'!$T$2:$T$495=12)*('CASE MASTER'!$U$2:$U$495&lt;=2)*('CASE MASTER'!$W$2:$W$495&gt;=2)*('CASE MASTER'!$V$2:$V$495&lt;=2)*('CASE MASTER'!$X$2:$X$495&gt;=2))*ROW('CASE MASTER'!$T$2:$T$495))-(ROW('CASE MASTER'!#REF!)-1))),IF(SUMPRODUCT((('CASE MASTER'!$T$2:$T$495=12)*('CASE MASTER'!$AA$2:$AA$495&lt;=2)*('CASE MASTER'!$AC$2:$AC$495&gt;=2)*('CASE MASTER'!$AB$2:$AB$495&lt;=2)*('CASE MASTER'!$AD$2:$AD$495&gt;=2))*ROW('CASE MASTER'!$T$2:$T$495))&gt;0,INDEX('CASE MASTER'!$Y$2:$Y$495,(SUMPRODUCT((('CASE MASTER'!$T$2:$T$495=12)*('CASE MASTER'!$AA$2:$AA$495&lt;=2)*('CASE MASTER'!$AC$2:$AC$495&gt;=2)*('CASE MASTER'!$AB$2:$AB$495&lt;=2)*('CASE MASTER'!$AD$2:$AD$495&gt;=2))*ROW('CASE MASTER'!$T$2:$T$495))-(ROW('CASE MASTER'!#REF!)-1)))&amp;TRIM(MID(SUBSTITUTE(SUBSTITUTE(INDEX('CASE MASTER'!$N$2:$N$495,(SUMPRODUCT((('CASE MASTER'!$T$2:$T$495=12)*('CASE MASTER'!$AA$2:$AA$495&lt;=2)*('CASE MASTER'!$AC$2:$AC$495&gt;=2)*('CASE MASTER'!$AB$2:$AB$495&lt;=2)*('CASE MASTER'!$AD$2:$AD$495&gt;=2))*ROW('CASE MASTER'!$T$2:$T$495))-(ROW('CASE MASTER'!#REF!)-1))),":",","),",",REPT(" ",50)),(((INDEX('CASE MASTER'!$Z$2:$Z$495,(SUMPRODUCT((('CASE MASTER'!$T$2:$T$495=12)*('CASE MASTER'!$AA$2:$AA$495&lt;=2)*('CASE MASTER'!$AC$2:$AC$495&gt;=2)*('CASE MASTER'!$AB$2:$AB$495&lt;=2)*('CASE MASTER'!$AD$2:$AD$495&gt;=2))*ROW('CASE MASTER'!$T$2:$T$495))-(ROW('CASE MASTER'!#REF!)-1)))+((2-INDEX('CASE MASTER'!$AA$2:$AA$495,(SUMPRODUCT((('CASE MASTER'!$T$2:$T$495=12)*('CASE MASTER'!$AA$2:$AA$495&lt;=2)*('CASE MASTER'!$AC$2:$AC$495&gt;=2)*('CASE MASTER'!$AB$2:$AB$495&lt;=2)*('CASE MASTER'!$AD$2:$AD$495&gt;=2))*ROW('CASE MASTER'!$T$2:$T$495))-(ROW('CASE MASTER'!#REF!)-1))))*(INDEX('CASE MASTER'!$AD$2:$AD$495,(SUMPRODUCT((('CASE MASTER'!$T$2:$T$495=12)*('CASE MASTER'!$AA$2:$AA$495&lt;=2)*('CASE MASTER'!$AC$2:$AC$495&gt;=2)*('CASE MASTER'!$AB$2:$AB$495&lt;=2)*('CASE MASTER'!$AD$2:$AD$495&gt;=2))*ROW('CASE MASTER'!$T$2:$T$495))-(ROW('CASE MASTER'!#REF!)-1)))-INDEX('CASE MASTER'!$AB$2:$AB$495,(SUMPRODUCT((('CASE MASTER'!$T$2:$T$495=12)*('CASE MASTER'!$AA$2:$AA$495&lt;=2)*('CASE MASTER'!$AC$2:$AC$495&gt;=2)*('CASE MASTER'!$AB$2:$AB$495&lt;=2)*('CASE MASTER'!$AD$2:$AD$495&gt;=2))*ROW('CASE MASTER'!$T$2:$T$495))-(ROW('CASE MASTER'!#REF!)-1)))+1)+(2-INDEX('CASE MASTER'!$AB$2:$AB$495,(SUMPRODUCT((('CASE MASTER'!$T$2:$T$495=12)*('CASE MASTER'!$AA$2:$AA$495&lt;=2)*('CASE MASTER'!$AC$2:$AC$495&gt;=2)*('CASE MASTER'!$AB$2:$AB$495&lt;=2)*('CASE MASTER'!$AD$2:$AD$495&gt;=2))*ROW('CASE MASTER'!$T$2:$T$495))-(ROW('CASE MASTER'!#REF!)-1))))+1)))-1)*50+1,50))&amp;"_"&amp;INDEX('CASE MASTER'!$Q$2:$Q$495,(SUMPRODUCT((('CASE MASTER'!$T$2:$T$495=12)*('CASE MASTER'!$AA$2:$AA$495&lt;=2)*('CASE MASTER'!$AC$2:$AC$495&gt;=2)*('CASE MASTER'!$AB$2:$AB$495&lt;=2)*('CASE MASTER'!$AD$2:$AD$495&gt;=2))*ROW('CASE MASTER'!$T$2:$T$495))-(ROW('CASE MASTER'!#REF!)-1))),"")),"")</f>
        <v/>
      </c>
      <c r="D158" s="10" t="str">
        <f>IFERROR(IF(SUMPRODUCT((('CASE MASTER'!$T$2:$T$495=12)*('CASE MASTER'!$U$2:$U$495&lt;=2)*('CASE MASTER'!$W$2:$W$495&gt;=2)*('CASE MASTER'!$V$2:$V$495&lt;=3)*('CASE MASTER'!$X$2:$X$495&gt;=3))*ROW('CASE MASTER'!$T$2:$T$495))&gt;0,INDEX('CASE MASTER'!$Y$2:$Y$495,(SUMPRODUCT((('CASE MASTER'!$T$2:$T$495=12)*('CASE MASTER'!$U$2:$U$495&lt;=2)*('CASE MASTER'!$W$2:$W$495&gt;=2)*('CASE MASTER'!$V$2:$V$495&lt;=3)*('CASE MASTER'!$X$2:$X$495&gt;=3))*ROW('CASE MASTER'!$T$2:$T$495))-(ROW('CASE MASTER'!#REF!)-1)))&amp;TRIM(MID(SUBSTITUTE(SUBSTITUTE(INDEX('CASE MASTER'!$N$2:$N$495,(SUMPRODUCT((('CASE MASTER'!$T$2:$T$495=12)*('CASE MASTER'!$U$2:$U$495&lt;=2)*('CASE MASTER'!$W$2:$W$495&gt;=2)*('CASE MASTER'!$V$2:$V$495&lt;=3)*('CASE MASTER'!$X$2:$X$495&gt;=3))*ROW('CASE MASTER'!$T$2:$T$495))-(ROW('CASE MASTER'!#REF!)-1))),":",","),",",REPT(" ",50)),((((2-INDEX('CASE MASTER'!$U$2:$U$495,(SUMPRODUCT((('CASE MASTER'!$T$2:$T$495=12)*('CASE MASTER'!$U$2:$U$495&lt;=2)*('CASE MASTER'!$W$2:$W$495&gt;=2)*('CASE MASTER'!$V$2:$V$495&lt;=3)*('CASE MASTER'!$X$2:$X$495&gt;=3))*ROW('CASE MASTER'!$T$2:$T$495))-(ROW('CASE MASTER'!#REF!)-1))))*(INDEX('CASE MASTER'!$X$2:$X$495,(SUMPRODUCT((('CASE MASTER'!$T$2:$T$495=12)*('CASE MASTER'!$U$2:$U$495&lt;=2)*('CASE MASTER'!$W$2:$W$495&gt;=2)*('CASE MASTER'!$V$2:$V$495&lt;=3)*('CASE MASTER'!$X$2:$X$495&gt;=3))*ROW('CASE MASTER'!$T$2:$T$495))-(ROW('CASE MASTER'!#REF!)-1)))-INDEX('CASE MASTER'!$V$2:$V$495,(SUMPRODUCT((('CASE MASTER'!$T$2:$T$495=12)*('CASE MASTER'!$U$2:$U$495&lt;=2)*('CASE MASTER'!$W$2:$W$495&gt;=2)*('CASE MASTER'!$V$2:$V$495&lt;=3)*('CASE MASTER'!$X$2:$X$495&gt;=3))*ROW('CASE MASTER'!$T$2:$T$495))-(ROW('CASE MASTER'!#REF!)-1)))+1)+(3-INDEX('CASE MASTER'!$V$2:$V$495,(SUMPRODUCT((('CASE MASTER'!$T$2:$T$495=12)*('CASE MASTER'!$U$2:$U$495&lt;=2)*('CASE MASTER'!$W$2:$W$495&gt;=2)*('CASE MASTER'!$V$2:$V$495&lt;=3)*('CASE MASTER'!$X$2:$X$495&gt;=3))*ROW('CASE MASTER'!$T$2:$T$495))-(ROW('CASE MASTER'!#REF!)-1))))+1))-1)*50+1,50))&amp;"_"&amp;INDEX('CASE MASTER'!$Q$2:$Q$495,(SUMPRODUCT((('CASE MASTER'!$T$2:$T$495=12)*('CASE MASTER'!$U$2:$U$495&lt;=2)*('CASE MASTER'!$W$2:$W$495&gt;=2)*('CASE MASTER'!$V$2:$V$495&lt;=3)*('CASE MASTER'!$X$2:$X$495&gt;=3))*ROW('CASE MASTER'!$T$2:$T$495))-(ROW('CASE MASTER'!#REF!)-1))),IF(SUMPRODUCT((('CASE MASTER'!$T$2:$T$495=12)*('CASE MASTER'!$AA$2:$AA$495&lt;=2)*('CASE MASTER'!$AC$2:$AC$495&gt;=2)*('CASE MASTER'!$AB$2:$AB$495&lt;=3)*('CASE MASTER'!$AD$2:$AD$495&gt;=3))*ROW('CASE MASTER'!$T$2:$T$495))&gt;0,INDEX('CASE MASTER'!$Y$2:$Y$495,(SUMPRODUCT((('CASE MASTER'!$T$2:$T$495=12)*('CASE MASTER'!$AA$2:$AA$495&lt;=2)*('CASE MASTER'!$AC$2:$AC$495&gt;=2)*('CASE MASTER'!$AB$2:$AB$495&lt;=3)*('CASE MASTER'!$AD$2:$AD$495&gt;=3))*ROW('CASE MASTER'!$T$2:$T$495))-(ROW('CASE MASTER'!#REF!)-1)))&amp;TRIM(MID(SUBSTITUTE(SUBSTITUTE(INDEX('CASE MASTER'!$N$2:$N$495,(SUMPRODUCT((('CASE MASTER'!$T$2:$T$495=12)*('CASE MASTER'!$AA$2:$AA$495&lt;=2)*('CASE MASTER'!$AC$2:$AC$495&gt;=2)*('CASE MASTER'!$AB$2:$AB$495&lt;=3)*('CASE MASTER'!$AD$2:$AD$495&gt;=3))*ROW('CASE MASTER'!$T$2:$T$495))-(ROW('CASE MASTER'!#REF!)-1))),":",","),",",REPT(" ",50)),(((INDEX('CASE MASTER'!$Z$2:$Z$495,(SUMPRODUCT((('CASE MASTER'!$T$2:$T$495=12)*('CASE MASTER'!$AA$2:$AA$495&lt;=2)*('CASE MASTER'!$AC$2:$AC$495&gt;=2)*('CASE MASTER'!$AB$2:$AB$495&lt;=3)*('CASE MASTER'!$AD$2:$AD$495&gt;=3))*ROW('CASE MASTER'!$T$2:$T$495))-(ROW('CASE MASTER'!#REF!)-1)))+((2-INDEX('CASE MASTER'!$AA$2:$AA$495,(SUMPRODUCT((('CASE MASTER'!$T$2:$T$495=12)*('CASE MASTER'!$AA$2:$AA$495&lt;=2)*('CASE MASTER'!$AC$2:$AC$495&gt;=2)*('CASE MASTER'!$AB$2:$AB$495&lt;=3)*('CASE MASTER'!$AD$2:$AD$495&gt;=3))*ROW('CASE MASTER'!$T$2:$T$495))-(ROW('CASE MASTER'!#REF!)-1))))*(INDEX('CASE MASTER'!$AD$2:$AD$495,(SUMPRODUCT((('CASE MASTER'!$T$2:$T$495=12)*('CASE MASTER'!$AA$2:$AA$495&lt;=2)*('CASE MASTER'!$AC$2:$AC$495&gt;=2)*('CASE MASTER'!$AB$2:$AB$495&lt;=3)*('CASE MASTER'!$AD$2:$AD$495&gt;=3))*ROW('CASE MASTER'!$T$2:$T$495))-(ROW('CASE MASTER'!#REF!)-1)))-INDEX('CASE MASTER'!$AB$2:$AB$495,(SUMPRODUCT((('CASE MASTER'!$T$2:$T$495=12)*('CASE MASTER'!$AA$2:$AA$495&lt;=2)*('CASE MASTER'!$AC$2:$AC$495&gt;=2)*('CASE MASTER'!$AB$2:$AB$495&lt;=3)*('CASE MASTER'!$AD$2:$AD$495&gt;=3))*ROW('CASE MASTER'!$T$2:$T$495))-(ROW('CASE MASTER'!#REF!)-1)))+1)+(3-INDEX('CASE MASTER'!$AB$2:$AB$495,(SUMPRODUCT((('CASE MASTER'!$T$2:$T$495=12)*('CASE MASTER'!$AA$2:$AA$495&lt;=2)*('CASE MASTER'!$AC$2:$AC$495&gt;=2)*('CASE MASTER'!$AB$2:$AB$495&lt;=3)*('CASE MASTER'!$AD$2:$AD$495&gt;=3))*ROW('CASE MASTER'!$T$2:$T$495))-(ROW('CASE MASTER'!#REF!)-1))))+1)))-1)*50+1,50))&amp;"_"&amp;INDEX('CASE MASTER'!$Q$2:$Q$495,(SUMPRODUCT((('CASE MASTER'!$T$2:$T$495=12)*('CASE MASTER'!$AA$2:$AA$495&lt;=2)*('CASE MASTER'!$AC$2:$AC$495&gt;=2)*('CASE MASTER'!$AB$2:$AB$495&lt;=3)*('CASE MASTER'!$AD$2:$AD$495&gt;=3))*ROW('CASE MASTER'!$T$2:$T$495))-(ROW('CASE MASTER'!#REF!)-1))),"")),"")</f>
        <v/>
      </c>
      <c r="E158" s="10" t="str">
        <f>IFERROR(IF(SUMPRODUCT((('CASE MASTER'!$T$2:$T$495=12)*('CASE MASTER'!$U$2:$U$495&lt;=2)*('CASE MASTER'!$W$2:$W$495&gt;=2)*('CASE MASTER'!$V$2:$V$495&lt;=4)*('CASE MASTER'!$X$2:$X$495&gt;=4))*ROW('CASE MASTER'!$T$2:$T$495))&gt;0,INDEX('CASE MASTER'!$Y$2:$Y$495,(SUMPRODUCT((('CASE MASTER'!$T$2:$T$495=12)*('CASE MASTER'!$U$2:$U$495&lt;=2)*('CASE MASTER'!$W$2:$W$495&gt;=2)*('CASE MASTER'!$V$2:$V$495&lt;=4)*('CASE MASTER'!$X$2:$X$495&gt;=4))*ROW('CASE MASTER'!$T$2:$T$495))-(ROW('CASE MASTER'!#REF!)-1)))&amp;TRIM(MID(SUBSTITUTE(SUBSTITUTE(INDEX('CASE MASTER'!$N$2:$N$495,(SUMPRODUCT((('CASE MASTER'!$T$2:$T$495=12)*('CASE MASTER'!$U$2:$U$495&lt;=2)*('CASE MASTER'!$W$2:$W$495&gt;=2)*('CASE MASTER'!$V$2:$V$495&lt;=4)*('CASE MASTER'!$X$2:$X$495&gt;=4))*ROW('CASE MASTER'!$T$2:$T$495))-(ROW('CASE MASTER'!#REF!)-1))),":",","),",",REPT(" ",50)),((((2-INDEX('CASE MASTER'!$U$2:$U$495,(SUMPRODUCT((('CASE MASTER'!$T$2:$T$495=12)*('CASE MASTER'!$U$2:$U$495&lt;=2)*('CASE MASTER'!$W$2:$W$495&gt;=2)*('CASE MASTER'!$V$2:$V$495&lt;=4)*('CASE MASTER'!$X$2:$X$495&gt;=4))*ROW('CASE MASTER'!$T$2:$T$495))-(ROW('CASE MASTER'!#REF!)-1))))*(INDEX('CASE MASTER'!$X$2:$X$495,(SUMPRODUCT((('CASE MASTER'!$T$2:$T$495=12)*('CASE MASTER'!$U$2:$U$495&lt;=2)*('CASE MASTER'!$W$2:$W$495&gt;=2)*('CASE MASTER'!$V$2:$V$495&lt;=4)*('CASE MASTER'!$X$2:$X$495&gt;=4))*ROW('CASE MASTER'!$T$2:$T$495))-(ROW('CASE MASTER'!#REF!)-1)))-INDEX('CASE MASTER'!$V$2:$V$495,(SUMPRODUCT((('CASE MASTER'!$T$2:$T$495=12)*('CASE MASTER'!$U$2:$U$495&lt;=2)*('CASE MASTER'!$W$2:$W$495&gt;=2)*('CASE MASTER'!$V$2:$V$495&lt;=4)*('CASE MASTER'!$X$2:$X$495&gt;=4))*ROW('CASE MASTER'!$T$2:$T$495))-(ROW('CASE MASTER'!#REF!)-1)))+1)+(4-INDEX('CASE MASTER'!$V$2:$V$495,(SUMPRODUCT((('CASE MASTER'!$T$2:$T$495=12)*('CASE MASTER'!$U$2:$U$495&lt;=2)*('CASE MASTER'!$W$2:$W$495&gt;=2)*('CASE MASTER'!$V$2:$V$495&lt;=4)*('CASE MASTER'!$X$2:$X$495&gt;=4))*ROW('CASE MASTER'!$T$2:$T$495))-(ROW('CASE MASTER'!#REF!)-1))))+1))-1)*50+1,50))&amp;"_"&amp;INDEX('CASE MASTER'!$Q$2:$Q$495,(SUMPRODUCT((('CASE MASTER'!$T$2:$T$495=12)*('CASE MASTER'!$U$2:$U$495&lt;=2)*('CASE MASTER'!$W$2:$W$495&gt;=2)*('CASE MASTER'!$V$2:$V$495&lt;=4)*('CASE MASTER'!$X$2:$X$495&gt;=4))*ROW('CASE MASTER'!$T$2:$T$495))-(ROW('CASE MASTER'!#REF!)-1))),IF(SUMPRODUCT((('CASE MASTER'!$T$2:$T$495=12)*('CASE MASTER'!$AA$2:$AA$495&lt;=2)*('CASE MASTER'!$AC$2:$AC$495&gt;=2)*('CASE MASTER'!$AB$2:$AB$495&lt;=4)*('CASE MASTER'!$AD$2:$AD$495&gt;=4))*ROW('CASE MASTER'!$T$2:$T$495))&gt;0,INDEX('CASE MASTER'!$Y$2:$Y$495,(SUMPRODUCT((('CASE MASTER'!$T$2:$T$495=12)*('CASE MASTER'!$AA$2:$AA$495&lt;=2)*('CASE MASTER'!$AC$2:$AC$495&gt;=2)*('CASE MASTER'!$AB$2:$AB$495&lt;=4)*('CASE MASTER'!$AD$2:$AD$495&gt;=4))*ROW('CASE MASTER'!$T$2:$T$495))-(ROW('CASE MASTER'!#REF!)-1)))&amp;TRIM(MID(SUBSTITUTE(SUBSTITUTE(INDEX('CASE MASTER'!$N$2:$N$495,(SUMPRODUCT((('CASE MASTER'!$T$2:$T$495=12)*('CASE MASTER'!$AA$2:$AA$495&lt;=2)*('CASE MASTER'!$AC$2:$AC$495&gt;=2)*('CASE MASTER'!$AB$2:$AB$495&lt;=4)*('CASE MASTER'!$AD$2:$AD$495&gt;=4))*ROW('CASE MASTER'!$T$2:$T$495))-(ROW('CASE MASTER'!#REF!)-1))),":",","),",",REPT(" ",50)),(((INDEX('CASE MASTER'!$Z$2:$Z$495,(SUMPRODUCT((('CASE MASTER'!$T$2:$T$495=12)*('CASE MASTER'!$AA$2:$AA$495&lt;=2)*('CASE MASTER'!$AC$2:$AC$495&gt;=2)*('CASE MASTER'!$AB$2:$AB$495&lt;=4)*('CASE MASTER'!$AD$2:$AD$495&gt;=4))*ROW('CASE MASTER'!$T$2:$T$495))-(ROW('CASE MASTER'!#REF!)-1)))+((2-INDEX('CASE MASTER'!$AA$2:$AA$495,(SUMPRODUCT((('CASE MASTER'!$T$2:$T$495=12)*('CASE MASTER'!$AA$2:$AA$495&lt;=2)*('CASE MASTER'!$AC$2:$AC$495&gt;=2)*('CASE MASTER'!$AB$2:$AB$495&lt;=4)*('CASE MASTER'!$AD$2:$AD$495&gt;=4))*ROW('CASE MASTER'!$T$2:$T$495))-(ROW('CASE MASTER'!#REF!)-1))))*(INDEX('CASE MASTER'!$AD$2:$AD$495,(SUMPRODUCT((('CASE MASTER'!$T$2:$T$495=12)*('CASE MASTER'!$AA$2:$AA$495&lt;=2)*('CASE MASTER'!$AC$2:$AC$495&gt;=2)*('CASE MASTER'!$AB$2:$AB$495&lt;=4)*('CASE MASTER'!$AD$2:$AD$495&gt;=4))*ROW('CASE MASTER'!$T$2:$T$495))-(ROW('CASE MASTER'!#REF!)-1)))-INDEX('CASE MASTER'!$AB$2:$AB$495,(SUMPRODUCT((('CASE MASTER'!$T$2:$T$495=12)*('CASE MASTER'!$AA$2:$AA$495&lt;=2)*('CASE MASTER'!$AC$2:$AC$495&gt;=2)*('CASE MASTER'!$AB$2:$AB$495&lt;=4)*('CASE MASTER'!$AD$2:$AD$495&gt;=4))*ROW('CASE MASTER'!$T$2:$T$495))-(ROW('CASE MASTER'!#REF!)-1)))+1)+(4-INDEX('CASE MASTER'!$AB$2:$AB$495,(SUMPRODUCT((('CASE MASTER'!$T$2:$T$495=12)*('CASE MASTER'!$AA$2:$AA$495&lt;=2)*('CASE MASTER'!$AC$2:$AC$495&gt;=2)*('CASE MASTER'!$AB$2:$AB$495&lt;=4)*('CASE MASTER'!$AD$2:$AD$495&gt;=4))*ROW('CASE MASTER'!$T$2:$T$495))-(ROW('CASE MASTER'!#REF!)-1))))+1)))-1)*50+1,50))&amp;"_"&amp;INDEX('CASE MASTER'!$Q$2:$Q$495,(SUMPRODUCT((('CASE MASTER'!$T$2:$T$495=12)*('CASE MASTER'!$AA$2:$AA$495&lt;=2)*('CASE MASTER'!$AC$2:$AC$495&gt;=2)*('CASE MASTER'!$AB$2:$AB$495&lt;=4)*('CASE MASTER'!$AD$2:$AD$495&gt;=4))*ROW('CASE MASTER'!$T$2:$T$495))-(ROW('CASE MASTER'!#REF!)-1))),"")),"")</f>
        <v/>
      </c>
      <c r="F158" s="10" t="str">
        <f>IFERROR(IF(SUMPRODUCT((('CASE MASTER'!$T$2:$T$495=12)*('CASE MASTER'!$U$2:$U$495&lt;=2)*('CASE MASTER'!$W$2:$W$495&gt;=2)*('CASE MASTER'!$V$2:$V$495&lt;=5)*('CASE MASTER'!$X$2:$X$495&gt;=5))*ROW('CASE MASTER'!$T$2:$T$495))&gt;0,INDEX('CASE MASTER'!$Y$2:$Y$495,(SUMPRODUCT((('CASE MASTER'!$T$2:$T$495=12)*('CASE MASTER'!$U$2:$U$495&lt;=2)*('CASE MASTER'!$W$2:$W$495&gt;=2)*('CASE MASTER'!$V$2:$V$495&lt;=5)*('CASE MASTER'!$X$2:$X$495&gt;=5))*ROW('CASE MASTER'!$T$2:$T$495))-(ROW('CASE MASTER'!#REF!)-1)))&amp;TRIM(MID(SUBSTITUTE(SUBSTITUTE(INDEX('CASE MASTER'!$N$2:$N$495,(SUMPRODUCT((('CASE MASTER'!$T$2:$T$495=12)*('CASE MASTER'!$U$2:$U$495&lt;=2)*('CASE MASTER'!$W$2:$W$495&gt;=2)*('CASE MASTER'!$V$2:$V$495&lt;=5)*('CASE MASTER'!$X$2:$X$495&gt;=5))*ROW('CASE MASTER'!$T$2:$T$495))-(ROW('CASE MASTER'!#REF!)-1))),":",","),",",REPT(" ",50)),((((2-INDEX('CASE MASTER'!$U$2:$U$495,(SUMPRODUCT((('CASE MASTER'!$T$2:$T$495=12)*('CASE MASTER'!$U$2:$U$495&lt;=2)*('CASE MASTER'!$W$2:$W$495&gt;=2)*('CASE MASTER'!$V$2:$V$495&lt;=5)*('CASE MASTER'!$X$2:$X$495&gt;=5))*ROW('CASE MASTER'!$T$2:$T$495))-(ROW('CASE MASTER'!#REF!)-1))))*(INDEX('CASE MASTER'!$X$2:$X$495,(SUMPRODUCT((('CASE MASTER'!$T$2:$T$495=12)*('CASE MASTER'!$U$2:$U$495&lt;=2)*('CASE MASTER'!$W$2:$W$495&gt;=2)*('CASE MASTER'!$V$2:$V$495&lt;=5)*('CASE MASTER'!$X$2:$X$495&gt;=5))*ROW('CASE MASTER'!$T$2:$T$495))-(ROW('CASE MASTER'!#REF!)-1)))-INDEX('CASE MASTER'!$V$2:$V$495,(SUMPRODUCT((('CASE MASTER'!$T$2:$T$495=12)*('CASE MASTER'!$U$2:$U$495&lt;=2)*('CASE MASTER'!$W$2:$W$495&gt;=2)*('CASE MASTER'!$V$2:$V$495&lt;=5)*('CASE MASTER'!$X$2:$X$495&gt;=5))*ROW('CASE MASTER'!$T$2:$T$495))-(ROW('CASE MASTER'!#REF!)-1)))+1)+(5-INDEX('CASE MASTER'!$V$2:$V$495,(SUMPRODUCT((('CASE MASTER'!$T$2:$T$495=12)*('CASE MASTER'!$U$2:$U$495&lt;=2)*('CASE MASTER'!$W$2:$W$495&gt;=2)*('CASE MASTER'!$V$2:$V$495&lt;=5)*('CASE MASTER'!$X$2:$X$495&gt;=5))*ROW('CASE MASTER'!$T$2:$T$495))-(ROW('CASE MASTER'!#REF!)-1))))+1))-1)*50+1,50))&amp;"_"&amp;INDEX('CASE MASTER'!$Q$2:$Q$495,(SUMPRODUCT((('CASE MASTER'!$T$2:$T$495=12)*('CASE MASTER'!$U$2:$U$495&lt;=2)*('CASE MASTER'!$W$2:$W$495&gt;=2)*('CASE MASTER'!$V$2:$V$495&lt;=5)*('CASE MASTER'!$X$2:$X$495&gt;=5))*ROW('CASE MASTER'!$T$2:$T$495))-(ROW('CASE MASTER'!#REF!)-1))),IF(SUMPRODUCT((('CASE MASTER'!$T$2:$T$495=12)*('CASE MASTER'!$AA$2:$AA$495&lt;=2)*('CASE MASTER'!$AC$2:$AC$495&gt;=2)*('CASE MASTER'!$AB$2:$AB$495&lt;=5)*('CASE MASTER'!$AD$2:$AD$495&gt;=5))*ROW('CASE MASTER'!$T$2:$T$495))&gt;0,INDEX('CASE MASTER'!$Y$2:$Y$495,(SUMPRODUCT((('CASE MASTER'!$T$2:$T$495=12)*('CASE MASTER'!$AA$2:$AA$495&lt;=2)*('CASE MASTER'!$AC$2:$AC$495&gt;=2)*('CASE MASTER'!$AB$2:$AB$495&lt;=5)*('CASE MASTER'!$AD$2:$AD$495&gt;=5))*ROW('CASE MASTER'!$T$2:$T$495))-(ROW('CASE MASTER'!#REF!)-1)))&amp;TRIM(MID(SUBSTITUTE(SUBSTITUTE(INDEX('CASE MASTER'!$N$2:$N$495,(SUMPRODUCT((('CASE MASTER'!$T$2:$T$495=12)*('CASE MASTER'!$AA$2:$AA$495&lt;=2)*('CASE MASTER'!$AC$2:$AC$495&gt;=2)*('CASE MASTER'!$AB$2:$AB$495&lt;=5)*('CASE MASTER'!$AD$2:$AD$495&gt;=5))*ROW('CASE MASTER'!$T$2:$T$495))-(ROW('CASE MASTER'!#REF!)-1))),":",","),",",REPT(" ",50)),(((INDEX('CASE MASTER'!$Z$2:$Z$495,(SUMPRODUCT((('CASE MASTER'!$T$2:$T$495=12)*('CASE MASTER'!$AA$2:$AA$495&lt;=2)*('CASE MASTER'!$AC$2:$AC$495&gt;=2)*('CASE MASTER'!$AB$2:$AB$495&lt;=5)*('CASE MASTER'!$AD$2:$AD$495&gt;=5))*ROW('CASE MASTER'!$T$2:$T$495))-(ROW('CASE MASTER'!#REF!)-1)))+((2-INDEX('CASE MASTER'!$AA$2:$AA$495,(SUMPRODUCT((('CASE MASTER'!$T$2:$T$495=12)*('CASE MASTER'!$AA$2:$AA$495&lt;=2)*('CASE MASTER'!$AC$2:$AC$495&gt;=2)*('CASE MASTER'!$AB$2:$AB$495&lt;=5)*('CASE MASTER'!$AD$2:$AD$495&gt;=5))*ROW('CASE MASTER'!$T$2:$T$495))-(ROW('CASE MASTER'!#REF!)-1))))*(INDEX('CASE MASTER'!$AD$2:$AD$495,(SUMPRODUCT((('CASE MASTER'!$T$2:$T$495=12)*('CASE MASTER'!$AA$2:$AA$495&lt;=2)*('CASE MASTER'!$AC$2:$AC$495&gt;=2)*('CASE MASTER'!$AB$2:$AB$495&lt;=5)*('CASE MASTER'!$AD$2:$AD$495&gt;=5))*ROW('CASE MASTER'!$T$2:$T$495))-(ROW('CASE MASTER'!#REF!)-1)))-INDEX('CASE MASTER'!$AB$2:$AB$495,(SUMPRODUCT((('CASE MASTER'!$T$2:$T$495=12)*('CASE MASTER'!$AA$2:$AA$495&lt;=2)*('CASE MASTER'!$AC$2:$AC$495&gt;=2)*('CASE MASTER'!$AB$2:$AB$495&lt;=5)*('CASE MASTER'!$AD$2:$AD$495&gt;=5))*ROW('CASE MASTER'!$T$2:$T$495))-(ROW('CASE MASTER'!#REF!)-1)))+1)+(5-INDEX('CASE MASTER'!$AB$2:$AB$495,(SUMPRODUCT((('CASE MASTER'!$T$2:$T$495=12)*('CASE MASTER'!$AA$2:$AA$495&lt;=2)*('CASE MASTER'!$AC$2:$AC$495&gt;=2)*('CASE MASTER'!$AB$2:$AB$495&lt;=5)*('CASE MASTER'!$AD$2:$AD$495&gt;=5))*ROW('CASE MASTER'!$T$2:$T$495))-(ROW('CASE MASTER'!#REF!)-1))))+1)))-1)*50+1,50))&amp;"_"&amp;INDEX('CASE MASTER'!$Q$2:$Q$495,(SUMPRODUCT((('CASE MASTER'!$T$2:$T$495=12)*('CASE MASTER'!$AA$2:$AA$495&lt;=2)*('CASE MASTER'!$AC$2:$AC$495&gt;=2)*('CASE MASTER'!$AB$2:$AB$495&lt;=5)*('CASE MASTER'!$AD$2:$AD$495&gt;=5))*ROW('CASE MASTER'!$T$2:$T$495))-(ROW('CASE MASTER'!#REF!)-1))),"")),"")</f>
        <v/>
      </c>
      <c r="G158" s="10" t="str">
        <f>IFERROR(IF(SUMPRODUCT((('CASE MASTER'!$T$2:$T$495=12)*('CASE MASTER'!$U$2:$U$495&lt;=2)*('CASE MASTER'!$W$2:$W$495&gt;=2)*('CASE MASTER'!$V$2:$V$495&lt;=6)*('CASE MASTER'!$X$2:$X$495&gt;=6))*ROW('CASE MASTER'!$T$2:$T$495))&gt;0,INDEX('CASE MASTER'!$Y$2:$Y$495,(SUMPRODUCT((('CASE MASTER'!$T$2:$T$495=12)*('CASE MASTER'!$U$2:$U$495&lt;=2)*('CASE MASTER'!$W$2:$W$495&gt;=2)*('CASE MASTER'!$V$2:$V$495&lt;=6)*('CASE MASTER'!$X$2:$X$495&gt;=6))*ROW('CASE MASTER'!$T$2:$T$495))-(ROW('CASE MASTER'!#REF!)-1)))&amp;TRIM(MID(SUBSTITUTE(SUBSTITUTE(INDEX('CASE MASTER'!$N$2:$N$495,(SUMPRODUCT((('CASE MASTER'!$T$2:$T$495=12)*('CASE MASTER'!$U$2:$U$495&lt;=2)*('CASE MASTER'!$W$2:$W$495&gt;=2)*('CASE MASTER'!$V$2:$V$495&lt;=6)*('CASE MASTER'!$X$2:$X$495&gt;=6))*ROW('CASE MASTER'!$T$2:$T$495))-(ROW('CASE MASTER'!#REF!)-1))),":",","),",",REPT(" ",50)),((((2-INDEX('CASE MASTER'!$U$2:$U$495,(SUMPRODUCT((('CASE MASTER'!$T$2:$T$495=12)*('CASE MASTER'!$U$2:$U$495&lt;=2)*('CASE MASTER'!$W$2:$W$495&gt;=2)*('CASE MASTER'!$V$2:$V$495&lt;=6)*('CASE MASTER'!$X$2:$X$495&gt;=6))*ROW('CASE MASTER'!$T$2:$T$495))-(ROW('CASE MASTER'!#REF!)-1))))*(INDEX('CASE MASTER'!$X$2:$X$495,(SUMPRODUCT((('CASE MASTER'!$T$2:$T$495=12)*('CASE MASTER'!$U$2:$U$495&lt;=2)*('CASE MASTER'!$W$2:$W$495&gt;=2)*('CASE MASTER'!$V$2:$V$495&lt;=6)*('CASE MASTER'!$X$2:$X$495&gt;=6))*ROW('CASE MASTER'!$T$2:$T$495))-(ROW('CASE MASTER'!#REF!)-1)))-INDEX('CASE MASTER'!$V$2:$V$495,(SUMPRODUCT((('CASE MASTER'!$T$2:$T$495=12)*('CASE MASTER'!$U$2:$U$495&lt;=2)*('CASE MASTER'!$W$2:$W$495&gt;=2)*('CASE MASTER'!$V$2:$V$495&lt;=6)*('CASE MASTER'!$X$2:$X$495&gt;=6))*ROW('CASE MASTER'!$T$2:$T$495))-(ROW('CASE MASTER'!#REF!)-1)))+1)+(6-INDEX('CASE MASTER'!$V$2:$V$495,(SUMPRODUCT((('CASE MASTER'!$T$2:$T$495=12)*('CASE MASTER'!$U$2:$U$495&lt;=2)*('CASE MASTER'!$W$2:$W$495&gt;=2)*('CASE MASTER'!$V$2:$V$495&lt;=6)*('CASE MASTER'!$X$2:$X$495&gt;=6))*ROW('CASE MASTER'!$T$2:$T$495))-(ROW('CASE MASTER'!#REF!)-1))))+1))-1)*50+1,50))&amp;"_"&amp;INDEX('CASE MASTER'!$Q$2:$Q$495,(SUMPRODUCT((('CASE MASTER'!$T$2:$T$495=12)*('CASE MASTER'!$U$2:$U$495&lt;=2)*('CASE MASTER'!$W$2:$W$495&gt;=2)*('CASE MASTER'!$V$2:$V$495&lt;=6)*('CASE MASTER'!$X$2:$X$495&gt;=6))*ROW('CASE MASTER'!$T$2:$T$495))-(ROW('CASE MASTER'!#REF!)-1))),IF(SUMPRODUCT((('CASE MASTER'!$T$2:$T$495=12)*('CASE MASTER'!$AA$2:$AA$495&lt;=2)*('CASE MASTER'!$AC$2:$AC$495&gt;=2)*('CASE MASTER'!$AB$2:$AB$495&lt;=6)*('CASE MASTER'!$AD$2:$AD$495&gt;=6))*ROW('CASE MASTER'!$T$2:$T$495))&gt;0,INDEX('CASE MASTER'!$Y$2:$Y$495,(SUMPRODUCT((('CASE MASTER'!$T$2:$T$495=12)*('CASE MASTER'!$AA$2:$AA$495&lt;=2)*('CASE MASTER'!$AC$2:$AC$495&gt;=2)*('CASE MASTER'!$AB$2:$AB$495&lt;=6)*('CASE MASTER'!$AD$2:$AD$495&gt;=6))*ROW('CASE MASTER'!$T$2:$T$495))-(ROW('CASE MASTER'!#REF!)-1)))&amp;TRIM(MID(SUBSTITUTE(SUBSTITUTE(INDEX('CASE MASTER'!$N$2:$N$495,(SUMPRODUCT((('CASE MASTER'!$T$2:$T$495=12)*('CASE MASTER'!$AA$2:$AA$495&lt;=2)*('CASE MASTER'!$AC$2:$AC$495&gt;=2)*('CASE MASTER'!$AB$2:$AB$495&lt;=6)*('CASE MASTER'!$AD$2:$AD$495&gt;=6))*ROW('CASE MASTER'!$T$2:$T$495))-(ROW('CASE MASTER'!#REF!)-1))),":",","),",",REPT(" ",50)),(((INDEX('CASE MASTER'!$Z$2:$Z$495,(SUMPRODUCT((('CASE MASTER'!$T$2:$T$495=12)*('CASE MASTER'!$AA$2:$AA$495&lt;=2)*('CASE MASTER'!$AC$2:$AC$495&gt;=2)*('CASE MASTER'!$AB$2:$AB$495&lt;=6)*('CASE MASTER'!$AD$2:$AD$495&gt;=6))*ROW('CASE MASTER'!$T$2:$T$495))-(ROW('CASE MASTER'!#REF!)-1)))+((2-INDEX('CASE MASTER'!$AA$2:$AA$495,(SUMPRODUCT((('CASE MASTER'!$T$2:$T$495=12)*('CASE MASTER'!$AA$2:$AA$495&lt;=2)*('CASE MASTER'!$AC$2:$AC$495&gt;=2)*('CASE MASTER'!$AB$2:$AB$495&lt;=6)*('CASE MASTER'!$AD$2:$AD$495&gt;=6))*ROW('CASE MASTER'!$T$2:$T$495))-(ROW('CASE MASTER'!#REF!)-1))))*(INDEX('CASE MASTER'!$AD$2:$AD$495,(SUMPRODUCT((('CASE MASTER'!$T$2:$T$495=12)*('CASE MASTER'!$AA$2:$AA$495&lt;=2)*('CASE MASTER'!$AC$2:$AC$495&gt;=2)*('CASE MASTER'!$AB$2:$AB$495&lt;=6)*('CASE MASTER'!$AD$2:$AD$495&gt;=6))*ROW('CASE MASTER'!$T$2:$T$495))-(ROW('CASE MASTER'!#REF!)-1)))-INDEX('CASE MASTER'!$AB$2:$AB$495,(SUMPRODUCT((('CASE MASTER'!$T$2:$T$495=12)*('CASE MASTER'!$AA$2:$AA$495&lt;=2)*('CASE MASTER'!$AC$2:$AC$495&gt;=2)*('CASE MASTER'!$AB$2:$AB$495&lt;=6)*('CASE MASTER'!$AD$2:$AD$495&gt;=6))*ROW('CASE MASTER'!$T$2:$T$495))-(ROW('CASE MASTER'!#REF!)-1)))+1)+(6-INDEX('CASE MASTER'!$AB$2:$AB$495,(SUMPRODUCT((('CASE MASTER'!$T$2:$T$495=12)*('CASE MASTER'!$AA$2:$AA$495&lt;=2)*('CASE MASTER'!$AC$2:$AC$495&gt;=2)*('CASE MASTER'!$AB$2:$AB$495&lt;=6)*('CASE MASTER'!$AD$2:$AD$495&gt;=6))*ROW('CASE MASTER'!$T$2:$T$495))-(ROW('CASE MASTER'!#REF!)-1))))+1)))-1)*50+1,50))&amp;"_"&amp;INDEX('CASE MASTER'!$Q$2:$Q$495,(SUMPRODUCT((('CASE MASTER'!$T$2:$T$495=12)*('CASE MASTER'!$AA$2:$AA$495&lt;=2)*('CASE MASTER'!$AC$2:$AC$495&gt;=2)*('CASE MASTER'!$AB$2:$AB$495&lt;=6)*('CASE MASTER'!$AD$2:$AD$495&gt;=6))*ROW('CASE MASTER'!$T$2:$T$495))-(ROW('CASE MASTER'!#REF!)-1))),"")),"")</f>
        <v/>
      </c>
      <c r="H158" s="10" t="str">
        <f>IFERROR(IF(SUMPRODUCT((('CASE MASTER'!$T$2:$T$495=12)*('CASE MASTER'!$U$2:$U$495&lt;=2)*('CASE MASTER'!$W$2:$W$495&gt;=2)*('CASE MASTER'!$V$2:$V$495&lt;=7)*('CASE MASTER'!$X$2:$X$495&gt;=7))*ROW('CASE MASTER'!$T$2:$T$495))&gt;0,INDEX('CASE MASTER'!$Y$2:$Y$495,(SUMPRODUCT((('CASE MASTER'!$T$2:$T$495=12)*('CASE MASTER'!$U$2:$U$495&lt;=2)*('CASE MASTER'!$W$2:$W$495&gt;=2)*('CASE MASTER'!$V$2:$V$495&lt;=7)*('CASE MASTER'!$X$2:$X$495&gt;=7))*ROW('CASE MASTER'!$T$2:$T$495))-(ROW('CASE MASTER'!#REF!)-1)))&amp;TRIM(MID(SUBSTITUTE(SUBSTITUTE(INDEX('CASE MASTER'!$N$2:$N$495,(SUMPRODUCT((('CASE MASTER'!$T$2:$T$495=12)*('CASE MASTER'!$U$2:$U$495&lt;=2)*('CASE MASTER'!$W$2:$W$495&gt;=2)*('CASE MASTER'!$V$2:$V$495&lt;=7)*('CASE MASTER'!$X$2:$X$495&gt;=7))*ROW('CASE MASTER'!$T$2:$T$495))-(ROW('CASE MASTER'!#REF!)-1))),":",","),",",REPT(" ",50)),((((2-INDEX('CASE MASTER'!$U$2:$U$495,(SUMPRODUCT((('CASE MASTER'!$T$2:$T$495=12)*('CASE MASTER'!$U$2:$U$495&lt;=2)*('CASE MASTER'!$W$2:$W$495&gt;=2)*('CASE MASTER'!$V$2:$V$495&lt;=7)*('CASE MASTER'!$X$2:$X$495&gt;=7))*ROW('CASE MASTER'!$T$2:$T$495))-(ROW('CASE MASTER'!#REF!)-1))))*(INDEX('CASE MASTER'!$X$2:$X$495,(SUMPRODUCT((('CASE MASTER'!$T$2:$T$495=12)*('CASE MASTER'!$U$2:$U$495&lt;=2)*('CASE MASTER'!$W$2:$W$495&gt;=2)*('CASE MASTER'!$V$2:$V$495&lt;=7)*('CASE MASTER'!$X$2:$X$495&gt;=7))*ROW('CASE MASTER'!$T$2:$T$495))-(ROW('CASE MASTER'!#REF!)-1)))-INDEX('CASE MASTER'!$V$2:$V$495,(SUMPRODUCT((('CASE MASTER'!$T$2:$T$495=12)*('CASE MASTER'!$U$2:$U$495&lt;=2)*('CASE MASTER'!$W$2:$W$495&gt;=2)*('CASE MASTER'!$V$2:$V$495&lt;=7)*('CASE MASTER'!$X$2:$X$495&gt;=7))*ROW('CASE MASTER'!$T$2:$T$495))-(ROW('CASE MASTER'!#REF!)-1)))+1)+(7-INDEX('CASE MASTER'!$V$2:$V$495,(SUMPRODUCT((('CASE MASTER'!$T$2:$T$495=12)*('CASE MASTER'!$U$2:$U$495&lt;=2)*('CASE MASTER'!$W$2:$W$495&gt;=2)*('CASE MASTER'!$V$2:$V$495&lt;=7)*('CASE MASTER'!$X$2:$X$495&gt;=7))*ROW('CASE MASTER'!$T$2:$T$495))-(ROW('CASE MASTER'!#REF!)-1))))+1))-1)*50+1,50))&amp;"_"&amp;INDEX('CASE MASTER'!$Q$2:$Q$495,(SUMPRODUCT((('CASE MASTER'!$T$2:$T$495=12)*('CASE MASTER'!$U$2:$U$495&lt;=2)*('CASE MASTER'!$W$2:$W$495&gt;=2)*('CASE MASTER'!$V$2:$V$495&lt;=7)*('CASE MASTER'!$X$2:$X$495&gt;=7))*ROW('CASE MASTER'!$T$2:$T$495))-(ROW('CASE MASTER'!#REF!)-1))),IF(SUMPRODUCT((('CASE MASTER'!$T$2:$T$495=12)*('CASE MASTER'!$AA$2:$AA$495&lt;=2)*('CASE MASTER'!$AC$2:$AC$495&gt;=2)*('CASE MASTER'!$AB$2:$AB$495&lt;=7)*('CASE MASTER'!$AD$2:$AD$495&gt;=7))*ROW('CASE MASTER'!$T$2:$T$495))&gt;0,INDEX('CASE MASTER'!$Y$2:$Y$495,(SUMPRODUCT((('CASE MASTER'!$T$2:$T$495=12)*('CASE MASTER'!$AA$2:$AA$495&lt;=2)*('CASE MASTER'!$AC$2:$AC$495&gt;=2)*('CASE MASTER'!$AB$2:$AB$495&lt;=7)*('CASE MASTER'!$AD$2:$AD$495&gt;=7))*ROW('CASE MASTER'!$T$2:$T$495))-(ROW('CASE MASTER'!#REF!)-1)))&amp;TRIM(MID(SUBSTITUTE(SUBSTITUTE(INDEX('CASE MASTER'!$N$2:$N$495,(SUMPRODUCT((('CASE MASTER'!$T$2:$T$495=12)*('CASE MASTER'!$AA$2:$AA$495&lt;=2)*('CASE MASTER'!$AC$2:$AC$495&gt;=2)*('CASE MASTER'!$AB$2:$AB$495&lt;=7)*('CASE MASTER'!$AD$2:$AD$495&gt;=7))*ROW('CASE MASTER'!$T$2:$T$495))-(ROW('CASE MASTER'!#REF!)-1))),":",","),",",REPT(" ",50)),(((INDEX('CASE MASTER'!$Z$2:$Z$495,(SUMPRODUCT((('CASE MASTER'!$T$2:$T$495=12)*('CASE MASTER'!$AA$2:$AA$495&lt;=2)*('CASE MASTER'!$AC$2:$AC$495&gt;=2)*('CASE MASTER'!$AB$2:$AB$495&lt;=7)*('CASE MASTER'!$AD$2:$AD$495&gt;=7))*ROW('CASE MASTER'!$T$2:$T$495))-(ROW('CASE MASTER'!#REF!)-1)))+((2-INDEX('CASE MASTER'!$AA$2:$AA$495,(SUMPRODUCT((('CASE MASTER'!$T$2:$T$495=12)*('CASE MASTER'!$AA$2:$AA$495&lt;=2)*('CASE MASTER'!$AC$2:$AC$495&gt;=2)*('CASE MASTER'!$AB$2:$AB$495&lt;=7)*('CASE MASTER'!$AD$2:$AD$495&gt;=7))*ROW('CASE MASTER'!$T$2:$T$495))-(ROW('CASE MASTER'!#REF!)-1))))*(INDEX('CASE MASTER'!$AD$2:$AD$495,(SUMPRODUCT((('CASE MASTER'!$T$2:$T$495=12)*('CASE MASTER'!$AA$2:$AA$495&lt;=2)*('CASE MASTER'!$AC$2:$AC$495&gt;=2)*('CASE MASTER'!$AB$2:$AB$495&lt;=7)*('CASE MASTER'!$AD$2:$AD$495&gt;=7))*ROW('CASE MASTER'!$T$2:$T$495))-(ROW('CASE MASTER'!#REF!)-1)))-INDEX('CASE MASTER'!$AB$2:$AB$495,(SUMPRODUCT((('CASE MASTER'!$T$2:$T$495=12)*('CASE MASTER'!$AA$2:$AA$495&lt;=2)*('CASE MASTER'!$AC$2:$AC$495&gt;=2)*('CASE MASTER'!$AB$2:$AB$495&lt;=7)*('CASE MASTER'!$AD$2:$AD$495&gt;=7))*ROW('CASE MASTER'!$T$2:$T$495))-(ROW('CASE MASTER'!#REF!)-1)))+1)+(7-INDEX('CASE MASTER'!$AB$2:$AB$495,(SUMPRODUCT((('CASE MASTER'!$T$2:$T$495=12)*('CASE MASTER'!$AA$2:$AA$495&lt;=2)*('CASE MASTER'!$AC$2:$AC$495&gt;=2)*('CASE MASTER'!$AB$2:$AB$495&lt;=7)*('CASE MASTER'!$AD$2:$AD$495&gt;=7))*ROW('CASE MASTER'!$T$2:$T$495))-(ROW('CASE MASTER'!#REF!)-1))))+1)))-1)*50+1,50))&amp;"_"&amp;INDEX('CASE MASTER'!$Q$2:$Q$495,(SUMPRODUCT((('CASE MASTER'!$T$2:$T$495=12)*('CASE MASTER'!$AA$2:$AA$495&lt;=2)*('CASE MASTER'!$AC$2:$AC$495&gt;=2)*('CASE MASTER'!$AB$2:$AB$495&lt;=7)*('CASE MASTER'!$AD$2:$AD$495&gt;=7))*ROW('CASE MASTER'!$T$2:$T$495))-(ROW('CASE MASTER'!#REF!)-1))),"")),"")</f>
        <v/>
      </c>
      <c r="I158" s="10" t="str">
        <f>IFERROR(IF(SUMPRODUCT((('CASE MASTER'!$T$2:$T$495=12)*('CASE MASTER'!$U$2:$U$495&lt;=2)*('CASE MASTER'!$W$2:$W$495&gt;=2)*('CASE MASTER'!$V$2:$V$495&lt;=8)*('CASE MASTER'!$X$2:$X$495&gt;=8))*ROW('CASE MASTER'!$T$2:$T$495))&gt;0,INDEX('CASE MASTER'!$Y$2:$Y$495,(SUMPRODUCT((('CASE MASTER'!$T$2:$T$495=12)*('CASE MASTER'!$U$2:$U$495&lt;=2)*('CASE MASTER'!$W$2:$W$495&gt;=2)*('CASE MASTER'!$V$2:$V$495&lt;=8)*('CASE MASTER'!$X$2:$X$495&gt;=8))*ROW('CASE MASTER'!$T$2:$T$495))-(ROW('CASE MASTER'!#REF!)-1)))&amp;TRIM(MID(SUBSTITUTE(SUBSTITUTE(INDEX('CASE MASTER'!$N$2:$N$495,(SUMPRODUCT((('CASE MASTER'!$T$2:$T$495=12)*('CASE MASTER'!$U$2:$U$495&lt;=2)*('CASE MASTER'!$W$2:$W$495&gt;=2)*('CASE MASTER'!$V$2:$V$495&lt;=8)*('CASE MASTER'!$X$2:$X$495&gt;=8))*ROW('CASE MASTER'!$T$2:$T$495))-(ROW('CASE MASTER'!#REF!)-1))),":",","),",",REPT(" ",50)),((((2-INDEX('CASE MASTER'!$U$2:$U$495,(SUMPRODUCT((('CASE MASTER'!$T$2:$T$495=12)*('CASE MASTER'!$U$2:$U$495&lt;=2)*('CASE MASTER'!$W$2:$W$495&gt;=2)*('CASE MASTER'!$V$2:$V$495&lt;=8)*('CASE MASTER'!$X$2:$X$495&gt;=8))*ROW('CASE MASTER'!$T$2:$T$495))-(ROW('CASE MASTER'!#REF!)-1))))*(INDEX('CASE MASTER'!$X$2:$X$495,(SUMPRODUCT((('CASE MASTER'!$T$2:$T$495=12)*('CASE MASTER'!$U$2:$U$495&lt;=2)*('CASE MASTER'!$W$2:$W$495&gt;=2)*('CASE MASTER'!$V$2:$V$495&lt;=8)*('CASE MASTER'!$X$2:$X$495&gt;=8))*ROW('CASE MASTER'!$T$2:$T$495))-(ROW('CASE MASTER'!#REF!)-1)))-INDEX('CASE MASTER'!$V$2:$V$495,(SUMPRODUCT((('CASE MASTER'!$T$2:$T$495=12)*('CASE MASTER'!$U$2:$U$495&lt;=2)*('CASE MASTER'!$W$2:$W$495&gt;=2)*('CASE MASTER'!$V$2:$V$495&lt;=8)*('CASE MASTER'!$X$2:$X$495&gt;=8))*ROW('CASE MASTER'!$T$2:$T$495))-(ROW('CASE MASTER'!#REF!)-1)))+1)+(8-INDEX('CASE MASTER'!$V$2:$V$495,(SUMPRODUCT((('CASE MASTER'!$T$2:$T$495=12)*('CASE MASTER'!$U$2:$U$495&lt;=2)*('CASE MASTER'!$W$2:$W$495&gt;=2)*('CASE MASTER'!$V$2:$V$495&lt;=8)*('CASE MASTER'!$X$2:$X$495&gt;=8))*ROW('CASE MASTER'!$T$2:$T$495))-(ROW('CASE MASTER'!#REF!)-1))))+1))-1)*50+1,50))&amp;"_"&amp;INDEX('CASE MASTER'!$Q$2:$Q$495,(SUMPRODUCT((('CASE MASTER'!$T$2:$T$495=12)*('CASE MASTER'!$U$2:$U$495&lt;=2)*('CASE MASTER'!$W$2:$W$495&gt;=2)*('CASE MASTER'!$V$2:$V$495&lt;=8)*('CASE MASTER'!$X$2:$X$495&gt;=8))*ROW('CASE MASTER'!$T$2:$T$495))-(ROW('CASE MASTER'!#REF!)-1))),IF(SUMPRODUCT((('CASE MASTER'!$T$2:$T$495=12)*('CASE MASTER'!$AA$2:$AA$495&lt;=2)*('CASE MASTER'!$AC$2:$AC$495&gt;=2)*('CASE MASTER'!$AB$2:$AB$495&lt;=8)*('CASE MASTER'!$AD$2:$AD$495&gt;=8))*ROW('CASE MASTER'!$T$2:$T$495))&gt;0,INDEX('CASE MASTER'!$Y$2:$Y$495,(SUMPRODUCT((('CASE MASTER'!$T$2:$T$495=12)*('CASE MASTER'!$AA$2:$AA$495&lt;=2)*('CASE MASTER'!$AC$2:$AC$495&gt;=2)*('CASE MASTER'!$AB$2:$AB$495&lt;=8)*('CASE MASTER'!$AD$2:$AD$495&gt;=8))*ROW('CASE MASTER'!$T$2:$T$495))-(ROW('CASE MASTER'!#REF!)-1)))&amp;TRIM(MID(SUBSTITUTE(SUBSTITUTE(INDEX('CASE MASTER'!$N$2:$N$495,(SUMPRODUCT((('CASE MASTER'!$T$2:$T$495=12)*('CASE MASTER'!$AA$2:$AA$495&lt;=2)*('CASE MASTER'!$AC$2:$AC$495&gt;=2)*('CASE MASTER'!$AB$2:$AB$495&lt;=8)*('CASE MASTER'!$AD$2:$AD$495&gt;=8))*ROW('CASE MASTER'!$T$2:$T$495))-(ROW('CASE MASTER'!#REF!)-1))),":",","),",",REPT(" ",50)),(((INDEX('CASE MASTER'!$Z$2:$Z$495,(SUMPRODUCT((('CASE MASTER'!$T$2:$T$495=12)*('CASE MASTER'!$AA$2:$AA$495&lt;=2)*('CASE MASTER'!$AC$2:$AC$495&gt;=2)*('CASE MASTER'!$AB$2:$AB$495&lt;=8)*('CASE MASTER'!$AD$2:$AD$495&gt;=8))*ROW('CASE MASTER'!$T$2:$T$495))-(ROW('CASE MASTER'!#REF!)-1)))+((2-INDEX('CASE MASTER'!$AA$2:$AA$495,(SUMPRODUCT((('CASE MASTER'!$T$2:$T$495=12)*('CASE MASTER'!$AA$2:$AA$495&lt;=2)*('CASE MASTER'!$AC$2:$AC$495&gt;=2)*('CASE MASTER'!$AB$2:$AB$495&lt;=8)*('CASE MASTER'!$AD$2:$AD$495&gt;=8))*ROW('CASE MASTER'!$T$2:$T$495))-(ROW('CASE MASTER'!#REF!)-1))))*(INDEX('CASE MASTER'!$AD$2:$AD$495,(SUMPRODUCT((('CASE MASTER'!$T$2:$T$495=12)*('CASE MASTER'!$AA$2:$AA$495&lt;=2)*('CASE MASTER'!$AC$2:$AC$495&gt;=2)*('CASE MASTER'!$AB$2:$AB$495&lt;=8)*('CASE MASTER'!$AD$2:$AD$495&gt;=8))*ROW('CASE MASTER'!$T$2:$T$495))-(ROW('CASE MASTER'!#REF!)-1)))-INDEX('CASE MASTER'!$AB$2:$AB$495,(SUMPRODUCT((('CASE MASTER'!$T$2:$T$495=12)*('CASE MASTER'!$AA$2:$AA$495&lt;=2)*('CASE MASTER'!$AC$2:$AC$495&gt;=2)*('CASE MASTER'!$AB$2:$AB$495&lt;=8)*('CASE MASTER'!$AD$2:$AD$495&gt;=8))*ROW('CASE MASTER'!$T$2:$T$495))-(ROW('CASE MASTER'!#REF!)-1)))+1)+(8-INDEX('CASE MASTER'!$AB$2:$AB$495,(SUMPRODUCT((('CASE MASTER'!$T$2:$T$495=12)*('CASE MASTER'!$AA$2:$AA$495&lt;=2)*('CASE MASTER'!$AC$2:$AC$495&gt;=2)*('CASE MASTER'!$AB$2:$AB$495&lt;=8)*('CASE MASTER'!$AD$2:$AD$495&gt;=8))*ROW('CASE MASTER'!$T$2:$T$495))-(ROW('CASE MASTER'!#REF!)-1))))+1)))-1)*50+1,50))&amp;"_"&amp;INDEX('CASE MASTER'!$Q$2:$Q$495,(SUMPRODUCT((('CASE MASTER'!$T$2:$T$495=12)*('CASE MASTER'!$AA$2:$AA$495&lt;=2)*('CASE MASTER'!$AC$2:$AC$495&gt;=2)*('CASE MASTER'!$AB$2:$AB$495&lt;=8)*('CASE MASTER'!$AD$2:$AD$495&gt;=8))*ROW('CASE MASTER'!$T$2:$T$495))-(ROW('CASE MASTER'!#REF!)-1))),"")),"")</f>
        <v/>
      </c>
      <c r="J158" s="10" t="str">
        <f>IFERROR(IF(SUMPRODUCT((('CASE MASTER'!$T$2:$T$495=12)*('CASE MASTER'!$U$2:$U$495&lt;=2)*('CASE MASTER'!$W$2:$W$495&gt;=2)*('CASE MASTER'!$V$2:$V$495&lt;=9)*('CASE MASTER'!$X$2:$X$495&gt;=9))*ROW('CASE MASTER'!$T$2:$T$495))&gt;0,INDEX('CASE MASTER'!$Y$2:$Y$495,(SUMPRODUCT((('CASE MASTER'!$T$2:$T$495=12)*('CASE MASTER'!$U$2:$U$495&lt;=2)*('CASE MASTER'!$W$2:$W$495&gt;=2)*('CASE MASTER'!$V$2:$V$495&lt;=9)*('CASE MASTER'!$X$2:$X$495&gt;=9))*ROW('CASE MASTER'!$T$2:$T$495))-(ROW('CASE MASTER'!#REF!)-1)))&amp;TRIM(MID(SUBSTITUTE(SUBSTITUTE(INDEX('CASE MASTER'!$N$2:$N$495,(SUMPRODUCT((('CASE MASTER'!$T$2:$T$495=12)*('CASE MASTER'!$U$2:$U$495&lt;=2)*('CASE MASTER'!$W$2:$W$495&gt;=2)*('CASE MASTER'!$V$2:$V$495&lt;=9)*('CASE MASTER'!$X$2:$X$495&gt;=9))*ROW('CASE MASTER'!$T$2:$T$495))-(ROW('CASE MASTER'!#REF!)-1))),":",","),",",REPT(" ",50)),((((2-INDEX('CASE MASTER'!$U$2:$U$495,(SUMPRODUCT((('CASE MASTER'!$T$2:$T$495=12)*('CASE MASTER'!$U$2:$U$495&lt;=2)*('CASE MASTER'!$W$2:$W$495&gt;=2)*('CASE MASTER'!$V$2:$V$495&lt;=9)*('CASE MASTER'!$X$2:$X$495&gt;=9))*ROW('CASE MASTER'!$T$2:$T$495))-(ROW('CASE MASTER'!#REF!)-1))))*(INDEX('CASE MASTER'!$X$2:$X$495,(SUMPRODUCT((('CASE MASTER'!$T$2:$T$495=12)*('CASE MASTER'!$U$2:$U$495&lt;=2)*('CASE MASTER'!$W$2:$W$495&gt;=2)*('CASE MASTER'!$V$2:$V$495&lt;=9)*('CASE MASTER'!$X$2:$X$495&gt;=9))*ROW('CASE MASTER'!$T$2:$T$495))-(ROW('CASE MASTER'!#REF!)-1)))-INDEX('CASE MASTER'!$V$2:$V$495,(SUMPRODUCT((('CASE MASTER'!$T$2:$T$495=12)*('CASE MASTER'!$U$2:$U$495&lt;=2)*('CASE MASTER'!$W$2:$W$495&gt;=2)*('CASE MASTER'!$V$2:$V$495&lt;=9)*('CASE MASTER'!$X$2:$X$495&gt;=9))*ROW('CASE MASTER'!$T$2:$T$495))-(ROW('CASE MASTER'!#REF!)-1)))+1)+(9-INDEX('CASE MASTER'!$V$2:$V$495,(SUMPRODUCT((('CASE MASTER'!$T$2:$T$495=12)*('CASE MASTER'!$U$2:$U$495&lt;=2)*('CASE MASTER'!$W$2:$W$495&gt;=2)*('CASE MASTER'!$V$2:$V$495&lt;=9)*('CASE MASTER'!$X$2:$X$495&gt;=9))*ROW('CASE MASTER'!$T$2:$T$495))-(ROW('CASE MASTER'!#REF!)-1))))+1))-1)*50+1,50))&amp;"_"&amp;INDEX('CASE MASTER'!$Q$2:$Q$495,(SUMPRODUCT((('CASE MASTER'!$T$2:$T$495=12)*('CASE MASTER'!$U$2:$U$495&lt;=2)*('CASE MASTER'!$W$2:$W$495&gt;=2)*('CASE MASTER'!$V$2:$V$495&lt;=9)*('CASE MASTER'!$X$2:$X$495&gt;=9))*ROW('CASE MASTER'!$T$2:$T$495))-(ROW('CASE MASTER'!#REF!)-1))),IF(SUMPRODUCT((('CASE MASTER'!$T$2:$T$495=12)*('CASE MASTER'!$AA$2:$AA$495&lt;=2)*('CASE MASTER'!$AC$2:$AC$495&gt;=2)*('CASE MASTER'!$AB$2:$AB$495&lt;=9)*('CASE MASTER'!$AD$2:$AD$495&gt;=9))*ROW('CASE MASTER'!$T$2:$T$495))&gt;0,INDEX('CASE MASTER'!$Y$2:$Y$495,(SUMPRODUCT((('CASE MASTER'!$T$2:$T$495=12)*('CASE MASTER'!$AA$2:$AA$495&lt;=2)*('CASE MASTER'!$AC$2:$AC$495&gt;=2)*('CASE MASTER'!$AB$2:$AB$495&lt;=9)*('CASE MASTER'!$AD$2:$AD$495&gt;=9))*ROW('CASE MASTER'!$T$2:$T$495))-(ROW('CASE MASTER'!#REF!)-1)))&amp;TRIM(MID(SUBSTITUTE(SUBSTITUTE(INDEX('CASE MASTER'!$N$2:$N$495,(SUMPRODUCT((('CASE MASTER'!$T$2:$T$495=12)*('CASE MASTER'!$AA$2:$AA$495&lt;=2)*('CASE MASTER'!$AC$2:$AC$495&gt;=2)*('CASE MASTER'!$AB$2:$AB$495&lt;=9)*('CASE MASTER'!$AD$2:$AD$495&gt;=9))*ROW('CASE MASTER'!$T$2:$T$495))-(ROW('CASE MASTER'!#REF!)-1))),":",","),",",REPT(" ",50)),(((INDEX('CASE MASTER'!$Z$2:$Z$495,(SUMPRODUCT((('CASE MASTER'!$T$2:$T$495=12)*('CASE MASTER'!$AA$2:$AA$495&lt;=2)*('CASE MASTER'!$AC$2:$AC$495&gt;=2)*('CASE MASTER'!$AB$2:$AB$495&lt;=9)*('CASE MASTER'!$AD$2:$AD$495&gt;=9))*ROW('CASE MASTER'!$T$2:$T$495))-(ROW('CASE MASTER'!#REF!)-1)))+((2-INDEX('CASE MASTER'!$AA$2:$AA$495,(SUMPRODUCT((('CASE MASTER'!$T$2:$T$495=12)*('CASE MASTER'!$AA$2:$AA$495&lt;=2)*('CASE MASTER'!$AC$2:$AC$495&gt;=2)*('CASE MASTER'!$AB$2:$AB$495&lt;=9)*('CASE MASTER'!$AD$2:$AD$495&gt;=9))*ROW('CASE MASTER'!$T$2:$T$495))-(ROW('CASE MASTER'!#REF!)-1))))*(INDEX('CASE MASTER'!$AD$2:$AD$495,(SUMPRODUCT((('CASE MASTER'!$T$2:$T$495=12)*('CASE MASTER'!$AA$2:$AA$495&lt;=2)*('CASE MASTER'!$AC$2:$AC$495&gt;=2)*('CASE MASTER'!$AB$2:$AB$495&lt;=9)*('CASE MASTER'!$AD$2:$AD$495&gt;=9))*ROW('CASE MASTER'!$T$2:$T$495))-(ROW('CASE MASTER'!#REF!)-1)))-INDEX('CASE MASTER'!$AB$2:$AB$495,(SUMPRODUCT((('CASE MASTER'!$T$2:$T$495=12)*('CASE MASTER'!$AA$2:$AA$495&lt;=2)*('CASE MASTER'!$AC$2:$AC$495&gt;=2)*('CASE MASTER'!$AB$2:$AB$495&lt;=9)*('CASE MASTER'!$AD$2:$AD$495&gt;=9))*ROW('CASE MASTER'!$T$2:$T$495))-(ROW('CASE MASTER'!#REF!)-1)))+1)+(9-INDEX('CASE MASTER'!$AB$2:$AB$495,(SUMPRODUCT((('CASE MASTER'!$T$2:$T$495=12)*('CASE MASTER'!$AA$2:$AA$495&lt;=2)*('CASE MASTER'!$AC$2:$AC$495&gt;=2)*('CASE MASTER'!$AB$2:$AB$495&lt;=9)*('CASE MASTER'!$AD$2:$AD$495&gt;=9))*ROW('CASE MASTER'!$T$2:$T$495))-(ROW('CASE MASTER'!#REF!)-1))))+1)))-1)*50+1,50))&amp;"_"&amp;INDEX('CASE MASTER'!$Q$2:$Q$495,(SUMPRODUCT((('CASE MASTER'!$T$2:$T$495=12)*('CASE MASTER'!$AA$2:$AA$495&lt;=2)*('CASE MASTER'!$AC$2:$AC$495&gt;=2)*('CASE MASTER'!$AB$2:$AB$495&lt;=9)*('CASE MASTER'!$AD$2:$AD$495&gt;=9))*ROW('CASE MASTER'!$T$2:$T$495))-(ROW('CASE MASTER'!#REF!)-1))),"")),"")</f>
        <v/>
      </c>
      <c r="K158" s="10" t="str">
        <f>IFERROR(IF(SUMPRODUCT((('CASE MASTER'!$T$2:$T$495=12)*('CASE MASTER'!$U$2:$U$495&lt;=2)*('CASE MASTER'!$W$2:$W$495&gt;=2)*('CASE MASTER'!$V$2:$V$495&lt;=10)*('CASE MASTER'!$X$2:$X$495&gt;=10))*ROW('CASE MASTER'!$T$2:$T$495))&gt;0,INDEX('CASE MASTER'!$Y$2:$Y$495,(SUMPRODUCT((('CASE MASTER'!$T$2:$T$495=12)*('CASE MASTER'!$U$2:$U$495&lt;=2)*('CASE MASTER'!$W$2:$W$495&gt;=2)*('CASE MASTER'!$V$2:$V$495&lt;=10)*('CASE MASTER'!$X$2:$X$495&gt;=10))*ROW('CASE MASTER'!$T$2:$T$495))-(ROW('CASE MASTER'!#REF!)-1)))&amp;TRIM(MID(SUBSTITUTE(SUBSTITUTE(INDEX('CASE MASTER'!$N$2:$N$495,(SUMPRODUCT((('CASE MASTER'!$T$2:$T$495=12)*('CASE MASTER'!$U$2:$U$495&lt;=2)*('CASE MASTER'!$W$2:$W$495&gt;=2)*('CASE MASTER'!$V$2:$V$495&lt;=10)*('CASE MASTER'!$X$2:$X$495&gt;=10))*ROW('CASE MASTER'!$T$2:$T$495))-(ROW('CASE MASTER'!#REF!)-1))),":",","),",",REPT(" ",50)),((((2-INDEX('CASE MASTER'!$U$2:$U$495,(SUMPRODUCT((('CASE MASTER'!$T$2:$T$495=12)*('CASE MASTER'!$U$2:$U$495&lt;=2)*('CASE MASTER'!$W$2:$W$495&gt;=2)*('CASE MASTER'!$V$2:$V$495&lt;=10)*('CASE MASTER'!$X$2:$X$495&gt;=10))*ROW('CASE MASTER'!$T$2:$T$495))-(ROW('CASE MASTER'!#REF!)-1))))*(INDEX('CASE MASTER'!$X$2:$X$495,(SUMPRODUCT((('CASE MASTER'!$T$2:$T$495=12)*('CASE MASTER'!$U$2:$U$495&lt;=2)*('CASE MASTER'!$W$2:$W$495&gt;=2)*('CASE MASTER'!$V$2:$V$495&lt;=10)*('CASE MASTER'!$X$2:$X$495&gt;=10))*ROW('CASE MASTER'!$T$2:$T$495))-(ROW('CASE MASTER'!#REF!)-1)))-INDEX('CASE MASTER'!$V$2:$V$495,(SUMPRODUCT((('CASE MASTER'!$T$2:$T$495=12)*('CASE MASTER'!$U$2:$U$495&lt;=2)*('CASE MASTER'!$W$2:$W$495&gt;=2)*('CASE MASTER'!$V$2:$V$495&lt;=10)*('CASE MASTER'!$X$2:$X$495&gt;=10))*ROW('CASE MASTER'!$T$2:$T$495))-(ROW('CASE MASTER'!#REF!)-1)))+1)+(10-INDEX('CASE MASTER'!$V$2:$V$495,(SUMPRODUCT((('CASE MASTER'!$T$2:$T$495=12)*('CASE MASTER'!$U$2:$U$495&lt;=2)*('CASE MASTER'!$W$2:$W$495&gt;=2)*('CASE MASTER'!$V$2:$V$495&lt;=10)*('CASE MASTER'!$X$2:$X$495&gt;=10))*ROW('CASE MASTER'!$T$2:$T$495))-(ROW('CASE MASTER'!#REF!)-1))))+1))-1)*50+1,50))&amp;"_"&amp;INDEX('CASE MASTER'!$Q$2:$Q$495,(SUMPRODUCT((('CASE MASTER'!$T$2:$T$495=12)*('CASE MASTER'!$U$2:$U$495&lt;=2)*('CASE MASTER'!$W$2:$W$495&gt;=2)*('CASE MASTER'!$V$2:$V$495&lt;=10)*('CASE MASTER'!$X$2:$X$495&gt;=10))*ROW('CASE MASTER'!$T$2:$T$495))-(ROW('CASE MASTER'!#REF!)-1))),IF(SUMPRODUCT((('CASE MASTER'!$T$2:$T$495=12)*('CASE MASTER'!$AA$2:$AA$495&lt;=2)*('CASE MASTER'!$AC$2:$AC$495&gt;=2)*('CASE MASTER'!$AB$2:$AB$495&lt;=10)*('CASE MASTER'!$AD$2:$AD$495&gt;=10))*ROW('CASE MASTER'!$T$2:$T$495))&gt;0,INDEX('CASE MASTER'!$Y$2:$Y$495,(SUMPRODUCT((('CASE MASTER'!$T$2:$T$495=12)*('CASE MASTER'!$AA$2:$AA$495&lt;=2)*('CASE MASTER'!$AC$2:$AC$495&gt;=2)*('CASE MASTER'!$AB$2:$AB$495&lt;=10)*('CASE MASTER'!$AD$2:$AD$495&gt;=10))*ROW('CASE MASTER'!$T$2:$T$495))-(ROW('CASE MASTER'!#REF!)-1)))&amp;TRIM(MID(SUBSTITUTE(SUBSTITUTE(INDEX('CASE MASTER'!$N$2:$N$495,(SUMPRODUCT((('CASE MASTER'!$T$2:$T$495=12)*('CASE MASTER'!$AA$2:$AA$495&lt;=2)*('CASE MASTER'!$AC$2:$AC$495&gt;=2)*('CASE MASTER'!$AB$2:$AB$495&lt;=10)*('CASE MASTER'!$AD$2:$AD$495&gt;=10))*ROW('CASE MASTER'!$T$2:$T$495))-(ROW('CASE MASTER'!#REF!)-1))),":",","),",",REPT(" ",50)),(((INDEX('CASE MASTER'!$Z$2:$Z$495,(SUMPRODUCT((('CASE MASTER'!$T$2:$T$495=12)*('CASE MASTER'!$AA$2:$AA$495&lt;=2)*('CASE MASTER'!$AC$2:$AC$495&gt;=2)*('CASE MASTER'!$AB$2:$AB$495&lt;=10)*('CASE MASTER'!$AD$2:$AD$495&gt;=10))*ROW('CASE MASTER'!$T$2:$T$495))-(ROW('CASE MASTER'!#REF!)-1)))+((2-INDEX('CASE MASTER'!$AA$2:$AA$495,(SUMPRODUCT((('CASE MASTER'!$T$2:$T$495=12)*('CASE MASTER'!$AA$2:$AA$495&lt;=2)*('CASE MASTER'!$AC$2:$AC$495&gt;=2)*('CASE MASTER'!$AB$2:$AB$495&lt;=10)*('CASE MASTER'!$AD$2:$AD$495&gt;=10))*ROW('CASE MASTER'!$T$2:$T$495))-(ROW('CASE MASTER'!#REF!)-1))))*(INDEX('CASE MASTER'!$AD$2:$AD$495,(SUMPRODUCT((('CASE MASTER'!$T$2:$T$495=12)*('CASE MASTER'!$AA$2:$AA$495&lt;=2)*('CASE MASTER'!$AC$2:$AC$495&gt;=2)*('CASE MASTER'!$AB$2:$AB$495&lt;=10)*('CASE MASTER'!$AD$2:$AD$495&gt;=10))*ROW('CASE MASTER'!$T$2:$T$495))-(ROW('CASE MASTER'!#REF!)-1)))-INDEX('CASE MASTER'!$AB$2:$AB$495,(SUMPRODUCT((('CASE MASTER'!$T$2:$T$495=12)*('CASE MASTER'!$AA$2:$AA$495&lt;=2)*('CASE MASTER'!$AC$2:$AC$495&gt;=2)*('CASE MASTER'!$AB$2:$AB$495&lt;=10)*('CASE MASTER'!$AD$2:$AD$495&gt;=10))*ROW('CASE MASTER'!$T$2:$T$495))-(ROW('CASE MASTER'!#REF!)-1)))+1)+(10-INDEX('CASE MASTER'!$AB$2:$AB$495,(SUMPRODUCT((('CASE MASTER'!$T$2:$T$495=12)*('CASE MASTER'!$AA$2:$AA$495&lt;=2)*('CASE MASTER'!$AC$2:$AC$495&gt;=2)*('CASE MASTER'!$AB$2:$AB$495&lt;=10)*('CASE MASTER'!$AD$2:$AD$495&gt;=10))*ROW('CASE MASTER'!$T$2:$T$495))-(ROW('CASE MASTER'!#REF!)-1))))+1)))-1)*50+1,50))&amp;"_"&amp;INDEX('CASE MASTER'!$Q$2:$Q$495,(SUMPRODUCT((('CASE MASTER'!$T$2:$T$495=12)*('CASE MASTER'!$AA$2:$AA$495&lt;=2)*('CASE MASTER'!$AC$2:$AC$495&gt;=2)*('CASE MASTER'!$AB$2:$AB$495&lt;=10)*('CASE MASTER'!$AD$2:$AD$495&gt;=10))*ROW('CASE MASTER'!$T$2:$T$495))-(ROW('CASE MASTER'!#REF!)-1))),"")),"")</f>
        <v/>
      </c>
    </row>
    <row r="159" spans="1:11" ht="15" customHeight="1" x14ac:dyDescent="0.35">
      <c r="A159" s="8" t="s">
        <v>30</v>
      </c>
      <c r="B159" s="10" t="str">
        <f>IFERROR(IF(SUMPRODUCT((('CASE MASTER'!$T$2:$T$495=12)*('CASE MASTER'!$U$2:$U$495&lt;=3)*('CASE MASTER'!$W$2:$W$495&gt;=3)*('CASE MASTER'!$V$2:$V$495&lt;=1)*('CASE MASTER'!$X$2:$X$495&gt;=1))*ROW('CASE MASTER'!$T$2:$T$495))&gt;0,INDEX('CASE MASTER'!$Y$2:$Y$495,(SUMPRODUCT((('CASE MASTER'!$T$2:$T$495=12)*('CASE MASTER'!$U$2:$U$495&lt;=3)*('CASE MASTER'!$W$2:$W$495&gt;=3)*('CASE MASTER'!$V$2:$V$495&lt;=1)*('CASE MASTER'!$X$2:$X$495&gt;=1))*ROW('CASE MASTER'!$T$2:$T$495))-(ROW('CASE MASTER'!#REF!)-1)))&amp;TRIM(MID(SUBSTITUTE(SUBSTITUTE(INDEX('CASE MASTER'!$N$2:$N$495,(SUMPRODUCT((('CASE MASTER'!$T$2:$T$495=12)*('CASE MASTER'!$U$2:$U$495&lt;=3)*('CASE MASTER'!$W$2:$W$495&gt;=3)*('CASE MASTER'!$V$2:$V$495&lt;=1)*('CASE MASTER'!$X$2:$X$495&gt;=1))*ROW('CASE MASTER'!$T$2:$T$495))-(ROW('CASE MASTER'!#REF!)-1))),":",","),",",REPT(" ",50)),((((3-INDEX('CASE MASTER'!$U$2:$U$495,(SUMPRODUCT((('CASE MASTER'!$T$2:$T$495=12)*('CASE MASTER'!$U$2:$U$495&lt;=3)*('CASE MASTER'!$W$2:$W$495&gt;=3)*('CASE MASTER'!$V$2:$V$495&lt;=1)*('CASE MASTER'!$X$2:$X$495&gt;=1))*ROW('CASE MASTER'!$T$2:$T$495))-(ROW('CASE MASTER'!#REF!)-1))))*(INDEX('CASE MASTER'!$X$2:$X$495,(SUMPRODUCT((('CASE MASTER'!$T$2:$T$495=12)*('CASE MASTER'!$U$2:$U$495&lt;=3)*('CASE MASTER'!$W$2:$W$495&gt;=3)*('CASE MASTER'!$V$2:$V$495&lt;=1)*('CASE MASTER'!$X$2:$X$495&gt;=1))*ROW('CASE MASTER'!$T$2:$T$495))-(ROW('CASE MASTER'!#REF!)-1)))-INDEX('CASE MASTER'!$V$2:$V$495,(SUMPRODUCT((('CASE MASTER'!$T$2:$T$495=12)*('CASE MASTER'!$U$2:$U$495&lt;=3)*('CASE MASTER'!$W$2:$W$495&gt;=3)*('CASE MASTER'!$V$2:$V$495&lt;=1)*('CASE MASTER'!$X$2:$X$495&gt;=1))*ROW('CASE MASTER'!$T$2:$T$495))-(ROW('CASE MASTER'!#REF!)-1)))+1)+(1-INDEX('CASE MASTER'!$V$2:$V$495,(SUMPRODUCT((('CASE MASTER'!$T$2:$T$495=12)*('CASE MASTER'!$U$2:$U$495&lt;=3)*('CASE MASTER'!$W$2:$W$495&gt;=3)*('CASE MASTER'!$V$2:$V$495&lt;=1)*('CASE MASTER'!$X$2:$X$495&gt;=1))*ROW('CASE MASTER'!$T$2:$T$495))-(ROW('CASE MASTER'!#REF!)-1))))+1))-1)*50+1,50))&amp;"_"&amp;INDEX('CASE MASTER'!$Q$2:$Q$495,(SUMPRODUCT((('CASE MASTER'!$T$2:$T$495=12)*('CASE MASTER'!$U$2:$U$495&lt;=3)*('CASE MASTER'!$W$2:$W$495&gt;=3)*('CASE MASTER'!$V$2:$V$495&lt;=1)*('CASE MASTER'!$X$2:$X$495&gt;=1))*ROW('CASE MASTER'!$T$2:$T$495))-(ROW('CASE MASTER'!#REF!)-1))),IF(SUMPRODUCT((('CASE MASTER'!$T$2:$T$495=12)*('CASE MASTER'!$AA$2:$AA$495&lt;=3)*('CASE MASTER'!$AC$2:$AC$495&gt;=3)*('CASE MASTER'!$AB$2:$AB$495&lt;=1)*('CASE MASTER'!$AD$2:$AD$495&gt;=1))*ROW('CASE MASTER'!$T$2:$T$495))&gt;0,INDEX('CASE MASTER'!$Y$2:$Y$495,(SUMPRODUCT((('CASE MASTER'!$T$2:$T$495=12)*('CASE MASTER'!$AA$2:$AA$495&lt;=3)*('CASE MASTER'!$AC$2:$AC$495&gt;=3)*('CASE MASTER'!$AB$2:$AB$495&lt;=1)*('CASE MASTER'!$AD$2:$AD$495&gt;=1))*ROW('CASE MASTER'!$T$2:$T$495))-(ROW('CASE MASTER'!#REF!)-1)))&amp;TRIM(MID(SUBSTITUTE(SUBSTITUTE(INDEX('CASE MASTER'!$N$2:$N$495,(SUMPRODUCT((('CASE MASTER'!$T$2:$T$495=12)*('CASE MASTER'!$AA$2:$AA$495&lt;=3)*('CASE MASTER'!$AC$2:$AC$495&gt;=3)*('CASE MASTER'!$AB$2:$AB$495&lt;=1)*('CASE MASTER'!$AD$2:$AD$495&gt;=1))*ROW('CASE MASTER'!$T$2:$T$495))-(ROW('CASE MASTER'!#REF!)-1))),":",","),",",REPT(" ",50)),(((INDEX('CASE MASTER'!$Z$2:$Z$495,(SUMPRODUCT((('CASE MASTER'!$T$2:$T$495=12)*('CASE MASTER'!$AA$2:$AA$495&lt;=3)*('CASE MASTER'!$AC$2:$AC$495&gt;=3)*('CASE MASTER'!$AB$2:$AB$495&lt;=1)*('CASE MASTER'!$AD$2:$AD$495&gt;=1))*ROW('CASE MASTER'!$T$2:$T$495))-(ROW('CASE MASTER'!#REF!)-1)))+((3-INDEX('CASE MASTER'!$AA$2:$AA$495,(SUMPRODUCT((('CASE MASTER'!$T$2:$T$495=12)*('CASE MASTER'!$AA$2:$AA$495&lt;=3)*('CASE MASTER'!$AC$2:$AC$495&gt;=3)*('CASE MASTER'!$AB$2:$AB$495&lt;=1)*('CASE MASTER'!$AD$2:$AD$495&gt;=1))*ROW('CASE MASTER'!$T$2:$T$495))-(ROW('CASE MASTER'!#REF!)-1))))*(INDEX('CASE MASTER'!$AD$2:$AD$495,(SUMPRODUCT((('CASE MASTER'!$T$2:$T$495=12)*('CASE MASTER'!$AA$2:$AA$495&lt;=3)*('CASE MASTER'!$AC$2:$AC$495&gt;=3)*('CASE MASTER'!$AB$2:$AB$495&lt;=1)*('CASE MASTER'!$AD$2:$AD$495&gt;=1))*ROW('CASE MASTER'!$T$2:$T$495))-(ROW('CASE MASTER'!#REF!)-1)))-INDEX('CASE MASTER'!$AB$2:$AB$495,(SUMPRODUCT((('CASE MASTER'!$T$2:$T$495=12)*('CASE MASTER'!$AA$2:$AA$495&lt;=3)*('CASE MASTER'!$AC$2:$AC$495&gt;=3)*('CASE MASTER'!$AB$2:$AB$495&lt;=1)*('CASE MASTER'!$AD$2:$AD$495&gt;=1))*ROW('CASE MASTER'!$T$2:$T$495))-(ROW('CASE MASTER'!#REF!)-1)))+1)+(1-INDEX('CASE MASTER'!$AB$2:$AB$495,(SUMPRODUCT((('CASE MASTER'!$T$2:$T$495=12)*('CASE MASTER'!$AA$2:$AA$495&lt;=3)*('CASE MASTER'!$AC$2:$AC$495&gt;=3)*('CASE MASTER'!$AB$2:$AB$495&lt;=1)*('CASE MASTER'!$AD$2:$AD$495&gt;=1))*ROW('CASE MASTER'!$T$2:$T$495))-(ROW('CASE MASTER'!#REF!)-1))))+1)))-1)*50+1,50))&amp;"_"&amp;INDEX('CASE MASTER'!$Q$2:$Q$495,(SUMPRODUCT((('CASE MASTER'!$T$2:$T$495=12)*('CASE MASTER'!$AA$2:$AA$495&lt;=3)*('CASE MASTER'!$AC$2:$AC$495&gt;=3)*('CASE MASTER'!$AB$2:$AB$495&lt;=1)*('CASE MASTER'!$AD$2:$AD$495&gt;=1))*ROW('CASE MASTER'!$T$2:$T$495))-(ROW('CASE MASTER'!#REF!)-1))),"")),"")</f>
        <v/>
      </c>
      <c r="C159" s="10" t="str">
        <f>IFERROR(IF(SUMPRODUCT((('CASE MASTER'!$T$2:$T$495=12)*('CASE MASTER'!$U$2:$U$495&lt;=3)*('CASE MASTER'!$W$2:$W$495&gt;=3)*('CASE MASTER'!$V$2:$V$495&lt;=2)*('CASE MASTER'!$X$2:$X$495&gt;=2))*ROW('CASE MASTER'!$T$2:$T$495))&gt;0,INDEX('CASE MASTER'!$Y$2:$Y$495,(SUMPRODUCT((('CASE MASTER'!$T$2:$T$495=12)*('CASE MASTER'!$U$2:$U$495&lt;=3)*('CASE MASTER'!$W$2:$W$495&gt;=3)*('CASE MASTER'!$V$2:$V$495&lt;=2)*('CASE MASTER'!$X$2:$X$495&gt;=2))*ROW('CASE MASTER'!$T$2:$T$495))-(ROW('CASE MASTER'!#REF!)-1)))&amp;TRIM(MID(SUBSTITUTE(SUBSTITUTE(INDEX('CASE MASTER'!$N$2:$N$495,(SUMPRODUCT((('CASE MASTER'!$T$2:$T$495=12)*('CASE MASTER'!$U$2:$U$495&lt;=3)*('CASE MASTER'!$W$2:$W$495&gt;=3)*('CASE MASTER'!$V$2:$V$495&lt;=2)*('CASE MASTER'!$X$2:$X$495&gt;=2))*ROW('CASE MASTER'!$T$2:$T$495))-(ROW('CASE MASTER'!#REF!)-1))),":",","),",",REPT(" ",50)),((((3-INDEX('CASE MASTER'!$U$2:$U$495,(SUMPRODUCT((('CASE MASTER'!$T$2:$T$495=12)*('CASE MASTER'!$U$2:$U$495&lt;=3)*('CASE MASTER'!$W$2:$W$495&gt;=3)*('CASE MASTER'!$V$2:$V$495&lt;=2)*('CASE MASTER'!$X$2:$X$495&gt;=2))*ROW('CASE MASTER'!$T$2:$T$495))-(ROW('CASE MASTER'!#REF!)-1))))*(INDEX('CASE MASTER'!$X$2:$X$495,(SUMPRODUCT((('CASE MASTER'!$T$2:$T$495=12)*('CASE MASTER'!$U$2:$U$495&lt;=3)*('CASE MASTER'!$W$2:$W$495&gt;=3)*('CASE MASTER'!$V$2:$V$495&lt;=2)*('CASE MASTER'!$X$2:$X$495&gt;=2))*ROW('CASE MASTER'!$T$2:$T$495))-(ROW('CASE MASTER'!#REF!)-1)))-INDEX('CASE MASTER'!$V$2:$V$495,(SUMPRODUCT((('CASE MASTER'!$T$2:$T$495=12)*('CASE MASTER'!$U$2:$U$495&lt;=3)*('CASE MASTER'!$W$2:$W$495&gt;=3)*('CASE MASTER'!$V$2:$V$495&lt;=2)*('CASE MASTER'!$X$2:$X$495&gt;=2))*ROW('CASE MASTER'!$T$2:$T$495))-(ROW('CASE MASTER'!#REF!)-1)))+1)+(2-INDEX('CASE MASTER'!$V$2:$V$495,(SUMPRODUCT((('CASE MASTER'!$T$2:$T$495=12)*('CASE MASTER'!$U$2:$U$495&lt;=3)*('CASE MASTER'!$W$2:$W$495&gt;=3)*('CASE MASTER'!$V$2:$V$495&lt;=2)*('CASE MASTER'!$X$2:$X$495&gt;=2))*ROW('CASE MASTER'!$T$2:$T$495))-(ROW('CASE MASTER'!#REF!)-1))))+1))-1)*50+1,50))&amp;"_"&amp;INDEX('CASE MASTER'!$Q$2:$Q$495,(SUMPRODUCT((('CASE MASTER'!$T$2:$T$495=12)*('CASE MASTER'!$U$2:$U$495&lt;=3)*('CASE MASTER'!$W$2:$W$495&gt;=3)*('CASE MASTER'!$V$2:$V$495&lt;=2)*('CASE MASTER'!$X$2:$X$495&gt;=2))*ROW('CASE MASTER'!$T$2:$T$495))-(ROW('CASE MASTER'!#REF!)-1))),IF(SUMPRODUCT((('CASE MASTER'!$T$2:$T$495=12)*('CASE MASTER'!$AA$2:$AA$495&lt;=3)*('CASE MASTER'!$AC$2:$AC$495&gt;=3)*('CASE MASTER'!$AB$2:$AB$495&lt;=2)*('CASE MASTER'!$AD$2:$AD$495&gt;=2))*ROW('CASE MASTER'!$T$2:$T$495))&gt;0,INDEX('CASE MASTER'!$Y$2:$Y$495,(SUMPRODUCT((('CASE MASTER'!$T$2:$T$495=12)*('CASE MASTER'!$AA$2:$AA$495&lt;=3)*('CASE MASTER'!$AC$2:$AC$495&gt;=3)*('CASE MASTER'!$AB$2:$AB$495&lt;=2)*('CASE MASTER'!$AD$2:$AD$495&gt;=2))*ROW('CASE MASTER'!$T$2:$T$495))-(ROW('CASE MASTER'!#REF!)-1)))&amp;TRIM(MID(SUBSTITUTE(SUBSTITUTE(INDEX('CASE MASTER'!$N$2:$N$495,(SUMPRODUCT((('CASE MASTER'!$T$2:$T$495=12)*('CASE MASTER'!$AA$2:$AA$495&lt;=3)*('CASE MASTER'!$AC$2:$AC$495&gt;=3)*('CASE MASTER'!$AB$2:$AB$495&lt;=2)*('CASE MASTER'!$AD$2:$AD$495&gt;=2))*ROW('CASE MASTER'!$T$2:$T$495))-(ROW('CASE MASTER'!#REF!)-1))),":",","),",",REPT(" ",50)),(((INDEX('CASE MASTER'!$Z$2:$Z$495,(SUMPRODUCT((('CASE MASTER'!$T$2:$T$495=12)*('CASE MASTER'!$AA$2:$AA$495&lt;=3)*('CASE MASTER'!$AC$2:$AC$495&gt;=3)*('CASE MASTER'!$AB$2:$AB$495&lt;=2)*('CASE MASTER'!$AD$2:$AD$495&gt;=2))*ROW('CASE MASTER'!$T$2:$T$495))-(ROW('CASE MASTER'!#REF!)-1)))+((3-INDEX('CASE MASTER'!$AA$2:$AA$495,(SUMPRODUCT((('CASE MASTER'!$T$2:$T$495=12)*('CASE MASTER'!$AA$2:$AA$495&lt;=3)*('CASE MASTER'!$AC$2:$AC$495&gt;=3)*('CASE MASTER'!$AB$2:$AB$495&lt;=2)*('CASE MASTER'!$AD$2:$AD$495&gt;=2))*ROW('CASE MASTER'!$T$2:$T$495))-(ROW('CASE MASTER'!#REF!)-1))))*(INDEX('CASE MASTER'!$AD$2:$AD$495,(SUMPRODUCT((('CASE MASTER'!$T$2:$T$495=12)*('CASE MASTER'!$AA$2:$AA$495&lt;=3)*('CASE MASTER'!$AC$2:$AC$495&gt;=3)*('CASE MASTER'!$AB$2:$AB$495&lt;=2)*('CASE MASTER'!$AD$2:$AD$495&gt;=2))*ROW('CASE MASTER'!$T$2:$T$495))-(ROW('CASE MASTER'!#REF!)-1)))-INDEX('CASE MASTER'!$AB$2:$AB$495,(SUMPRODUCT((('CASE MASTER'!$T$2:$T$495=12)*('CASE MASTER'!$AA$2:$AA$495&lt;=3)*('CASE MASTER'!$AC$2:$AC$495&gt;=3)*('CASE MASTER'!$AB$2:$AB$495&lt;=2)*('CASE MASTER'!$AD$2:$AD$495&gt;=2))*ROW('CASE MASTER'!$T$2:$T$495))-(ROW('CASE MASTER'!#REF!)-1)))+1)+(2-INDEX('CASE MASTER'!$AB$2:$AB$495,(SUMPRODUCT((('CASE MASTER'!$T$2:$T$495=12)*('CASE MASTER'!$AA$2:$AA$495&lt;=3)*('CASE MASTER'!$AC$2:$AC$495&gt;=3)*('CASE MASTER'!$AB$2:$AB$495&lt;=2)*('CASE MASTER'!$AD$2:$AD$495&gt;=2))*ROW('CASE MASTER'!$T$2:$T$495))-(ROW('CASE MASTER'!#REF!)-1))))+1)))-1)*50+1,50))&amp;"_"&amp;INDEX('CASE MASTER'!$Q$2:$Q$495,(SUMPRODUCT((('CASE MASTER'!$T$2:$T$495=12)*('CASE MASTER'!$AA$2:$AA$495&lt;=3)*('CASE MASTER'!$AC$2:$AC$495&gt;=3)*('CASE MASTER'!$AB$2:$AB$495&lt;=2)*('CASE MASTER'!$AD$2:$AD$495&gt;=2))*ROW('CASE MASTER'!$T$2:$T$495))-(ROW('CASE MASTER'!#REF!)-1))),"")),"")</f>
        <v/>
      </c>
      <c r="D159" s="10" t="str">
        <f>IFERROR(IF(SUMPRODUCT((('CASE MASTER'!$T$2:$T$495=12)*('CASE MASTER'!$U$2:$U$495&lt;=3)*('CASE MASTER'!$W$2:$W$495&gt;=3)*('CASE MASTER'!$V$2:$V$495&lt;=3)*('CASE MASTER'!$X$2:$X$495&gt;=3))*ROW('CASE MASTER'!$T$2:$T$495))&gt;0,INDEX('CASE MASTER'!$Y$2:$Y$495,(SUMPRODUCT((('CASE MASTER'!$T$2:$T$495=12)*('CASE MASTER'!$U$2:$U$495&lt;=3)*('CASE MASTER'!$W$2:$W$495&gt;=3)*('CASE MASTER'!$V$2:$V$495&lt;=3)*('CASE MASTER'!$X$2:$X$495&gt;=3))*ROW('CASE MASTER'!$T$2:$T$495))-(ROW('CASE MASTER'!#REF!)-1)))&amp;TRIM(MID(SUBSTITUTE(SUBSTITUTE(INDEX('CASE MASTER'!$N$2:$N$495,(SUMPRODUCT((('CASE MASTER'!$T$2:$T$495=12)*('CASE MASTER'!$U$2:$U$495&lt;=3)*('CASE MASTER'!$W$2:$W$495&gt;=3)*('CASE MASTER'!$V$2:$V$495&lt;=3)*('CASE MASTER'!$X$2:$X$495&gt;=3))*ROW('CASE MASTER'!$T$2:$T$495))-(ROW('CASE MASTER'!#REF!)-1))),":",","),",",REPT(" ",50)),((((3-INDEX('CASE MASTER'!$U$2:$U$495,(SUMPRODUCT((('CASE MASTER'!$T$2:$T$495=12)*('CASE MASTER'!$U$2:$U$495&lt;=3)*('CASE MASTER'!$W$2:$W$495&gt;=3)*('CASE MASTER'!$V$2:$V$495&lt;=3)*('CASE MASTER'!$X$2:$X$495&gt;=3))*ROW('CASE MASTER'!$T$2:$T$495))-(ROW('CASE MASTER'!#REF!)-1))))*(INDEX('CASE MASTER'!$X$2:$X$495,(SUMPRODUCT((('CASE MASTER'!$T$2:$T$495=12)*('CASE MASTER'!$U$2:$U$495&lt;=3)*('CASE MASTER'!$W$2:$W$495&gt;=3)*('CASE MASTER'!$V$2:$V$495&lt;=3)*('CASE MASTER'!$X$2:$X$495&gt;=3))*ROW('CASE MASTER'!$T$2:$T$495))-(ROW('CASE MASTER'!#REF!)-1)))-INDEX('CASE MASTER'!$V$2:$V$495,(SUMPRODUCT((('CASE MASTER'!$T$2:$T$495=12)*('CASE MASTER'!$U$2:$U$495&lt;=3)*('CASE MASTER'!$W$2:$W$495&gt;=3)*('CASE MASTER'!$V$2:$V$495&lt;=3)*('CASE MASTER'!$X$2:$X$495&gt;=3))*ROW('CASE MASTER'!$T$2:$T$495))-(ROW('CASE MASTER'!#REF!)-1)))+1)+(3-INDEX('CASE MASTER'!$V$2:$V$495,(SUMPRODUCT((('CASE MASTER'!$T$2:$T$495=12)*('CASE MASTER'!$U$2:$U$495&lt;=3)*('CASE MASTER'!$W$2:$W$495&gt;=3)*('CASE MASTER'!$V$2:$V$495&lt;=3)*('CASE MASTER'!$X$2:$X$495&gt;=3))*ROW('CASE MASTER'!$T$2:$T$495))-(ROW('CASE MASTER'!#REF!)-1))))+1))-1)*50+1,50))&amp;"_"&amp;INDEX('CASE MASTER'!$Q$2:$Q$495,(SUMPRODUCT((('CASE MASTER'!$T$2:$T$495=12)*('CASE MASTER'!$U$2:$U$495&lt;=3)*('CASE MASTER'!$W$2:$W$495&gt;=3)*('CASE MASTER'!$V$2:$V$495&lt;=3)*('CASE MASTER'!$X$2:$X$495&gt;=3))*ROW('CASE MASTER'!$T$2:$T$495))-(ROW('CASE MASTER'!#REF!)-1))),IF(SUMPRODUCT((('CASE MASTER'!$T$2:$T$495=12)*('CASE MASTER'!$AA$2:$AA$495&lt;=3)*('CASE MASTER'!$AC$2:$AC$495&gt;=3)*('CASE MASTER'!$AB$2:$AB$495&lt;=3)*('CASE MASTER'!$AD$2:$AD$495&gt;=3))*ROW('CASE MASTER'!$T$2:$T$495))&gt;0,INDEX('CASE MASTER'!$Y$2:$Y$495,(SUMPRODUCT((('CASE MASTER'!$T$2:$T$495=12)*('CASE MASTER'!$AA$2:$AA$495&lt;=3)*('CASE MASTER'!$AC$2:$AC$495&gt;=3)*('CASE MASTER'!$AB$2:$AB$495&lt;=3)*('CASE MASTER'!$AD$2:$AD$495&gt;=3))*ROW('CASE MASTER'!$T$2:$T$495))-(ROW('CASE MASTER'!#REF!)-1)))&amp;TRIM(MID(SUBSTITUTE(SUBSTITUTE(INDEX('CASE MASTER'!$N$2:$N$495,(SUMPRODUCT((('CASE MASTER'!$T$2:$T$495=12)*('CASE MASTER'!$AA$2:$AA$495&lt;=3)*('CASE MASTER'!$AC$2:$AC$495&gt;=3)*('CASE MASTER'!$AB$2:$AB$495&lt;=3)*('CASE MASTER'!$AD$2:$AD$495&gt;=3))*ROW('CASE MASTER'!$T$2:$T$495))-(ROW('CASE MASTER'!#REF!)-1))),":",","),",",REPT(" ",50)),(((INDEX('CASE MASTER'!$Z$2:$Z$495,(SUMPRODUCT((('CASE MASTER'!$T$2:$T$495=12)*('CASE MASTER'!$AA$2:$AA$495&lt;=3)*('CASE MASTER'!$AC$2:$AC$495&gt;=3)*('CASE MASTER'!$AB$2:$AB$495&lt;=3)*('CASE MASTER'!$AD$2:$AD$495&gt;=3))*ROW('CASE MASTER'!$T$2:$T$495))-(ROW('CASE MASTER'!#REF!)-1)))+((3-INDEX('CASE MASTER'!$AA$2:$AA$495,(SUMPRODUCT((('CASE MASTER'!$T$2:$T$495=12)*('CASE MASTER'!$AA$2:$AA$495&lt;=3)*('CASE MASTER'!$AC$2:$AC$495&gt;=3)*('CASE MASTER'!$AB$2:$AB$495&lt;=3)*('CASE MASTER'!$AD$2:$AD$495&gt;=3))*ROW('CASE MASTER'!$T$2:$T$495))-(ROW('CASE MASTER'!#REF!)-1))))*(INDEX('CASE MASTER'!$AD$2:$AD$495,(SUMPRODUCT((('CASE MASTER'!$T$2:$T$495=12)*('CASE MASTER'!$AA$2:$AA$495&lt;=3)*('CASE MASTER'!$AC$2:$AC$495&gt;=3)*('CASE MASTER'!$AB$2:$AB$495&lt;=3)*('CASE MASTER'!$AD$2:$AD$495&gt;=3))*ROW('CASE MASTER'!$T$2:$T$495))-(ROW('CASE MASTER'!#REF!)-1)))-INDEX('CASE MASTER'!$AB$2:$AB$495,(SUMPRODUCT((('CASE MASTER'!$T$2:$T$495=12)*('CASE MASTER'!$AA$2:$AA$495&lt;=3)*('CASE MASTER'!$AC$2:$AC$495&gt;=3)*('CASE MASTER'!$AB$2:$AB$495&lt;=3)*('CASE MASTER'!$AD$2:$AD$495&gt;=3))*ROW('CASE MASTER'!$T$2:$T$495))-(ROW('CASE MASTER'!#REF!)-1)))+1)+(3-INDEX('CASE MASTER'!$AB$2:$AB$495,(SUMPRODUCT((('CASE MASTER'!$T$2:$T$495=12)*('CASE MASTER'!$AA$2:$AA$495&lt;=3)*('CASE MASTER'!$AC$2:$AC$495&gt;=3)*('CASE MASTER'!$AB$2:$AB$495&lt;=3)*('CASE MASTER'!$AD$2:$AD$495&gt;=3))*ROW('CASE MASTER'!$T$2:$T$495))-(ROW('CASE MASTER'!#REF!)-1))))+1)))-1)*50+1,50))&amp;"_"&amp;INDEX('CASE MASTER'!$Q$2:$Q$495,(SUMPRODUCT((('CASE MASTER'!$T$2:$T$495=12)*('CASE MASTER'!$AA$2:$AA$495&lt;=3)*('CASE MASTER'!$AC$2:$AC$495&gt;=3)*('CASE MASTER'!$AB$2:$AB$495&lt;=3)*('CASE MASTER'!$AD$2:$AD$495&gt;=3))*ROW('CASE MASTER'!$T$2:$T$495))-(ROW('CASE MASTER'!#REF!)-1))),"")),"")</f>
        <v/>
      </c>
      <c r="E159" s="10" t="str">
        <f>IFERROR(IF(SUMPRODUCT((('CASE MASTER'!$T$2:$T$495=12)*('CASE MASTER'!$U$2:$U$495&lt;=3)*('CASE MASTER'!$W$2:$W$495&gt;=3)*('CASE MASTER'!$V$2:$V$495&lt;=4)*('CASE MASTER'!$X$2:$X$495&gt;=4))*ROW('CASE MASTER'!$T$2:$T$495))&gt;0,INDEX('CASE MASTER'!$Y$2:$Y$495,(SUMPRODUCT((('CASE MASTER'!$T$2:$T$495=12)*('CASE MASTER'!$U$2:$U$495&lt;=3)*('CASE MASTER'!$W$2:$W$495&gt;=3)*('CASE MASTER'!$V$2:$V$495&lt;=4)*('CASE MASTER'!$X$2:$X$495&gt;=4))*ROW('CASE MASTER'!$T$2:$T$495))-(ROW('CASE MASTER'!#REF!)-1)))&amp;TRIM(MID(SUBSTITUTE(SUBSTITUTE(INDEX('CASE MASTER'!$N$2:$N$495,(SUMPRODUCT((('CASE MASTER'!$T$2:$T$495=12)*('CASE MASTER'!$U$2:$U$495&lt;=3)*('CASE MASTER'!$W$2:$W$495&gt;=3)*('CASE MASTER'!$V$2:$V$495&lt;=4)*('CASE MASTER'!$X$2:$X$495&gt;=4))*ROW('CASE MASTER'!$T$2:$T$495))-(ROW('CASE MASTER'!#REF!)-1))),":",","),",",REPT(" ",50)),((((3-INDEX('CASE MASTER'!$U$2:$U$495,(SUMPRODUCT((('CASE MASTER'!$T$2:$T$495=12)*('CASE MASTER'!$U$2:$U$495&lt;=3)*('CASE MASTER'!$W$2:$W$495&gt;=3)*('CASE MASTER'!$V$2:$V$495&lt;=4)*('CASE MASTER'!$X$2:$X$495&gt;=4))*ROW('CASE MASTER'!$T$2:$T$495))-(ROW('CASE MASTER'!#REF!)-1))))*(INDEX('CASE MASTER'!$X$2:$X$495,(SUMPRODUCT((('CASE MASTER'!$T$2:$T$495=12)*('CASE MASTER'!$U$2:$U$495&lt;=3)*('CASE MASTER'!$W$2:$W$495&gt;=3)*('CASE MASTER'!$V$2:$V$495&lt;=4)*('CASE MASTER'!$X$2:$X$495&gt;=4))*ROW('CASE MASTER'!$T$2:$T$495))-(ROW('CASE MASTER'!#REF!)-1)))-INDEX('CASE MASTER'!$V$2:$V$495,(SUMPRODUCT((('CASE MASTER'!$T$2:$T$495=12)*('CASE MASTER'!$U$2:$U$495&lt;=3)*('CASE MASTER'!$W$2:$W$495&gt;=3)*('CASE MASTER'!$V$2:$V$495&lt;=4)*('CASE MASTER'!$X$2:$X$495&gt;=4))*ROW('CASE MASTER'!$T$2:$T$495))-(ROW('CASE MASTER'!#REF!)-1)))+1)+(4-INDEX('CASE MASTER'!$V$2:$V$495,(SUMPRODUCT((('CASE MASTER'!$T$2:$T$495=12)*('CASE MASTER'!$U$2:$U$495&lt;=3)*('CASE MASTER'!$W$2:$W$495&gt;=3)*('CASE MASTER'!$V$2:$V$495&lt;=4)*('CASE MASTER'!$X$2:$X$495&gt;=4))*ROW('CASE MASTER'!$T$2:$T$495))-(ROW('CASE MASTER'!#REF!)-1))))+1))-1)*50+1,50))&amp;"_"&amp;INDEX('CASE MASTER'!$Q$2:$Q$495,(SUMPRODUCT((('CASE MASTER'!$T$2:$T$495=12)*('CASE MASTER'!$U$2:$U$495&lt;=3)*('CASE MASTER'!$W$2:$W$495&gt;=3)*('CASE MASTER'!$V$2:$V$495&lt;=4)*('CASE MASTER'!$X$2:$X$495&gt;=4))*ROW('CASE MASTER'!$T$2:$T$495))-(ROW('CASE MASTER'!#REF!)-1))),IF(SUMPRODUCT((('CASE MASTER'!$T$2:$T$495=12)*('CASE MASTER'!$AA$2:$AA$495&lt;=3)*('CASE MASTER'!$AC$2:$AC$495&gt;=3)*('CASE MASTER'!$AB$2:$AB$495&lt;=4)*('CASE MASTER'!$AD$2:$AD$495&gt;=4))*ROW('CASE MASTER'!$T$2:$T$495))&gt;0,INDEX('CASE MASTER'!$Y$2:$Y$495,(SUMPRODUCT((('CASE MASTER'!$T$2:$T$495=12)*('CASE MASTER'!$AA$2:$AA$495&lt;=3)*('CASE MASTER'!$AC$2:$AC$495&gt;=3)*('CASE MASTER'!$AB$2:$AB$495&lt;=4)*('CASE MASTER'!$AD$2:$AD$495&gt;=4))*ROW('CASE MASTER'!$T$2:$T$495))-(ROW('CASE MASTER'!#REF!)-1)))&amp;TRIM(MID(SUBSTITUTE(SUBSTITUTE(INDEX('CASE MASTER'!$N$2:$N$495,(SUMPRODUCT((('CASE MASTER'!$T$2:$T$495=12)*('CASE MASTER'!$AA$2:$AA$495&lt;=3)*('CASE MASTER'!$AC$2:$AC$495&gt;=3)*('CASE MASTER'!$AB$2:$AB$495&lt;=4)*('CASE MASTER'!$AD$2:$AD$495&gt;=4))*ROW('CASE MASTER'!$T$2:$T$495))-(ROW('CASE MASTER'!#REF!)-1))),":",","),",",REPT(" ",50)),(((INDEX('CASE MASTER'!$Z$2:$Z$495,(SUMPRODUCT((('CASE MASTER'!$T$2:$T$495=12)*('CASE MASTER'!$AA$2:$AA$495&lt;=3)*('CASE MASTER'!$AC$2:$AC$495&gt;=3)*('CASE MASTER'!$AB$2:$AB$495&lt;=4)*('CASE MASTER'!$AD$2:$AD$495&gt;=4))*ROW('CASE MASTER'!$T$2:$T$495))-(ROW('CASE MASTER'!#REF!)-1)))+((3-INDEX('CASE MASTER'!$AA$2:$AA$495,(SUMPRODUCT((('CASE MASTER'!$T$2:$T$495=12)*('CASE MASTER'!$AA$2:$AA$495&lt;=3)*('CASE MASTER'!$AC$2:$AC$495&gt;=3)*('CASE MASTER'!$AB$2:$AB$495&lt;=4)*('CASE MASTER'!$AD$2:$AD$495&gt;=4))*ROW('CASE MASTER'!$T$2:$T$495))-(ROW('CASE MASTER'!#REF!)-1))))*(INDEX('CASE MASTER'!$AD$2:$AD$495,(SUMPRODUCT((('CASE MASTER'!$T$2:$T$495=12)*('CASE MASTER'!$AA$2:$AA$495&lt;=3)*('CASE MASTER'!$AC$2:$AC$495&gt;=3)*('CASE MASTER'!$AB$2:$AB$495&lt;=4)*('CASE MASTER'!$AD$2:$AD$495&gt;=4))*ROW('CASE MASTER'!$T$2:$T$495))-(ROW('CASE MASTER'!#REF!)-1)))-INDEX('CASE MASTER'!$AB$2:$AB$495,(SUMPRODUCT((('CASE MASTER'!$T$2:$T$495=12)*('CASE MASTER'!$AA$2:$AA$495&lt;=3)*('CASE MASTER'!$AC$2:$AC$495&gt;=3)*('CASE MASTER'!$AB$2:$AB$495&lt;=4)*('CASE MASTER'!$AD$2:$AD$495&gt;=4))*ROW('CASE MASTER'!$T$2:$T$495))-(ROW('CASE MASTER'!#REF!)-1)))+1)+(4-INDEX('CASE MASTER'!$AB$2:$AB$495,(SUMPRODUCT((('CASE MASTER'!$T$2:$T$495=12)*('CASE MASTER'!$AA$2:$AA$495&lt;=3)*('CASE MASTER'!$AC$2:$AC$495&gt;=3)*('CASE MASTER'!$AB$2:$AB$495&lt;=4)*('CASE MASTER'!$AD$2:$AD$495&gt;=4))*ROW('CASE MASTER'!$T$2:$T$495))-(ROW('CASE MASTER'!#REF!)-1))))+1)))-1)*50+1,50))&amp;"_"&amp;INDEX('CASE MASTER'!$Q$2:$Q$495,(SUMPRODUCT((('CASE MASTER'!$T$2:$T$495=12)*('CASE MASTER'!$AA$2:$AA$495&lt;=3)*('CASE MASTER'!$AC$2:$AC$495&gt;=3)*('CASE MASTER'!$AB$2:$AB$495&lt;=4)*('CASE MASTER'!$AD$2:$AD$495&gt;=4))*ROW('CASE MASTER'!$T$2:$T$495))-(ROW('CASE MASTER'!#REF!)-1))),"")),"")</f>
        <v/>
      </c>
      <c r="F159" s="10" t="str">
        <f>IFERROR(IF(SUMPRODUCT((('CASE MASTER'!$T$2:$T$495=12)*('CASE MASTER'!$U$2:$U$495&lt;=3)*('CASE MASTER'!$W$2:$W$495&gt;=3)*('CASE MASTER'!$V$2:$V$495&lt;=5)*('CASE MASTER'!$X$2:$X$495&gt;=5))*ROW('CASE MASTER'!$T$2:$T$495))&gt;0,INDEX('CASE MASTER'!$Y$2:$Y$495,(SUMPRODUCT((('CASE MASTER'!$T$2:$T$495=12)*('CASE MASTER'!$U$2:$U$495&lt;=3)*('CASE MASTER'!$W$2:$W$495&gt;=3)*('CASE MASTER'!$V$2:$V$495&lt;=5)*('CASE MASTER'!$X$2:$X$495&gt;=5))*ROW('CASE MASTER'!$T$2:$T$495))-(ROW('CASE MASTER'!#REF!)-1)))&amp;TRIM(MID(SUBSTITUTE(SUBSTITUTE(INDEX('CASE MASTER'!$N$2:$N$495,(SUMPRODUCT((('CASE MASTER'!$T$2:$T$495=12)*('CASE MASTER'!$U$2:$U$495&lt;=3)*('CASE MASTER'!$W$2:$W$495&gt;=3)*('CASE MASTER'!$V$2:$V$495&lt;=5)*('CASE MASTER'!$X$2:$X$495&gt;=5))*ROW('CASE MASTER'!$T$2:$T$495))-(ROW('CASE MASTER'!#REF!)-1))),":",","),",",REPT(" ",50)),((((3-INDEX('CASE MASTER'!$U$2:$U$495,(SUMPRODUCT((('CASE MASTER'!$T$2:$T$495=12)*('CASE MASTER'!$U$2:$U$495&lt;=3)*('CASE MASTER'!$W$2:$W$495&gt;=3)*('CASE MASTER'!$V$2:$V$495&lt;=5)*('CASE MASTER'!$X$2:$X$495&gt;=5))*ROW('CASE MASTER'!$T$2:$T$495))-(ROW('CASE MASTER'!#REF!)-1))))*(INDEX('CASE MASTER'!$X$2:$X$495,(SUMPRODUCT((('CASE MASTER'!$T$2:$T$495=12)*('CASE MASTER'!$U$2:$U$495&lt;=3)*('CASE MASTER'!$W$2:$W$495&gt;=3)*('CASE MASTER'!$V$2:$V$495&lt;=5)*('CASE MASTER'!$X$2:$X$495&gt;=5))*ROW('CASE MASTER'!$T$2:$T$495))-(ROW('CASE MASTER'!#REF!)-1)))-INDEX('CASE MASTER'!$V$2:$V$495,(SUMPRODUCT((('CASE MASTER'!$T$2:$T$495=12)*('CASE MASTER'!$U$2:$U$495&lt;=3)*('CASE MASTER'!$W$2:$W$495&gt;=3)*('CASE MASTER'!$V$2:$V$495&lt;=5)*('CASE MASTER'!$X$2:$X$495&gt;=5))*ROW('CASE MASTER'!$T$2:$T$495))-(ROW('CASE MASTER'!#REF!)-1)))+1)+(5-INDEX('CASE MASTER'!$V$2:$V$495,(SUMPRODUCT((('CASE MASTER'!$T$2:$T$495=12)*('CASE MASTER'!$U$2:$U$495&lt;=3)*('CASE MASTER'!$W$2:$W$495&gt;=3)*('CASE MASTER'!$V$2:$V$495&lt;=5)*('CASE MASTER'!$X$2:$X$495&gt;=5))*ROW('CASE MASTER'!$T$2:$T$495))-(ROW('CASE MASTER'!#REF!)-1))))+1))-1)*50+1,50))&amp;"_"&amp;INDEX('CASE MASTER'!$Q$2:$Q$495,(SUMPRODUCT((('CASE MASTER'!$T$2:$T$495=12)*('CASE MASTER'!$U$2:$U$495&lt;=3)*('CASE MASTER'!$W$2:$W$495&gt;=3)*('CASE MASTER'!$V$2:$V$495&lt;=5)*('CASE MASTER'!$X$2:$X$495&gt;=5))*ROW('CASE MASTER'!$T$2:$T$495))-(ROW('CASE MASTER'!#REF!)-1))),IF(SUMPRODUCT((('CASE MASTER'!$T$2:$T$495=12)*('CASE MASTER'!$AA$2:$AA$495&lt;=3)*('CASE MASTER'!$AC$2:$AC$495&gt;=3)*('CASE MASTER'!$AB$2:$AB$495&lt;=5)*('CASE MASTER'!$AD$2:$AD$495&gt;=5))*ROW('CASE MASTER'!$T$2:$T$495))&gt;0,INDEX('CASE MASTER'!$Y$2:$Y$495,(SUMPRODUCT((('CASE MASTER'!$T$2:$T$495=12)*('CASE MASTER'!$AA$2:$AA$495&lt;=3)*('CASE MASTER'!$AC$2:$AC$495&gt;=3)*('CASE MASTER'!$AB$2:$AB$495&lt;=5)*('CASE MASTER'!$AD$2:$AD$495&gt;=5))*ROW('CASE MASTER'!$T$2:$T$495))-(ROW('CASE MASTER'!#REF!)-1)))&amp;TRIM(MID(SUBSTITUTE(SUBSTITUTE(INDEX('CASE MASTER'!$N$2:$N$495,(SUMPRODUCT((('CASE MASTER'!$T$2:$T$495=12)*('CASE MASTER'!$AA$2:$AA$495&lt;=3)*('CASE MASTER'!$AC$2:$AC$495&gt;=3)*('CASE MASTER'!$AB$2:$AB$495&lt;=5)*('CASE MASTER'!$AD$2:$AD$495&gt;=5))*ROW('CASE MASTER'!$T$2:$T$495))-(ROW('CASE MASTER'!#REF!)-1))),":",","),",",REPT(" ",50)),(((INDEX('CASE MASTER'!$Z$2:$Z$495,(SUMPRODUCT((('CASE MASTER'!$T$2:$T$495=12)*('CASE MASTER'!$AA$2:$AA$495&lt;=3)*('CASE MASTER'!$AC$2:$AC$495&gt;=3)*('CASE MASTER'!$AB$2:$AB$495&lt;=5)*('CASE MASTER'!$AD$2:$AD$495&gt;=5))*ROW('CASE MASTER'!$T$2:$T$495))-(ROW('CASE MASTER'!#REF!)-1)))+((3-INDEX('CASE MASTER'!$AA$2:$AA$495,(SUMPRODUCT((('CASE MASTER'!$T$2:$T$495=12)*('CASE MASTER'!$AA$2:$AA$495&lt;=3)*('CASE MASTER'!$AC$2:$AC$495&gt;=3)*('CASE MASTER'!$AB$2:$AB$495&lt;=5)*('CASE MASTER'!$AD$2:$AD$495&gt;=5))*ROW('CASE MASTER'!$T$2:$T$495))-(ROW('CASE MASTER'!#REF!)-1))))*(INDEX('CASE MASTER'!$AD$2:$AD$495,(SUMPRODUCT((('CASE MASTER'!$T$2:$T$495=12)*('CASE MASTER'!$AA$2:$AA$495&lt;=3)*('CASE MASTER'!$AC$2:$AC$495&gt;=3)*('CASE MASTER'!$AB$2:$AB$495&lt;=5)*('CASE MASTER'!$AD$2:$AD$495&gt;=5))*ROW('CASE MASTER'!$T$2:$T$495))-(ROW('CASE MASTER'!#REF!)-1)))-INDEX('CASE MASTER'!$AB$2:$AB$495,(SUMPRODUCT((('CASE MASTER'!$T$2:$T$495=12)*('CASE MASTER'!$AA$2:$AA$495&lt;=3)*('CASE MASTER'!$AC$2:$AC$495&gt;=3)*('CASE MASTER'!$AB$2:$AB$495&lt;=5)*('CASE MASTER'!$AD$2:$AD$495&gt;=5))*ROW('CASE MASTER'!$T$2:$T$495))-(ROW('CASE MASTER'!#REF!)-1)))+1)+(5-INDEX('CASE MASTER'!$AB$2:$AB$495,(SUMPRODUCT((('CASE MASTER'!$T$2:$T$495=12)*('CASE MASTER'!$AA$2:$AA$495&lt;=3)*('CASE MASTER'!$AC$2:$AC$495&gt;=3)*('CASE MASTER'!$AB$2:$AB$495&lt;=5)*('CASE MASTER'!$AD$2:$AD$495&gt;=5))*ROW('CASE MASTER'!$T$2:$T$495))-(ROW('CASE MASTER'!#REF!)-1))))+1)))-1)*50+1,50))&amp;"_"&amp;INDEX('CASE MASTER'!$Q$2:$Q$495,(SUMPRODUCT((('CASE MASTER'!$T$2:$T$495=12)*('CASE MASTER'!$AA$2:$AA$495&lt;=3)*('CASE MASTER'!$AC$2:$AC$495&gt;=3)*('CASE MASTER'!$AB$2:$AB$495&lt;=5)*('CASE MASTER'!$AD$2:$AD$495&gt;=5))*ROW('CASE MASTER'!$T$2:$T$495))-(ROW('CASE MASTER'!#REF!)-1))),"")),"")</f>
        <v/>
      </c>
      <c r="G159" s="10" t="str">
        <f>IFERROR(IF(SUMPRODUCT((('CASE MASTER'!$T$2:$T$495=12)*('CASE MASTER'!$U$2:$U$495&lt;=3)*('CASE MASTER'!$W$2:$W$495&gt;=3)*('CASE MASTER'!$V$2:$V$495&lt;=6)*('CASE MASTER'!$X$2:$X$495&gt;=6))*ROW('CASE MASTER'!$T$2:$T$495))&gt;0,INDEX('CASE MASTER'!$Y$2:$Y$495,(SUMPRODUCT((('CASE MASTER'!$T$2:$T$495=12)*('CASE MASTER'!$U$2:$U$495&lt;=3)*('CASE MASTER'!$W$2:$W$495&gt;=3)*('CASE MASTER'!$V$2:$V$495&lt;=6)*('CASE MASTER'!$X$2:$X$495&gt;=6))*ROW('CASE MASTER'!$T$2:$T$495))-(ROW('CASE MASTER'!#REF!)-1)))&amp;TRIM(MID(SUBSTITUTE(SUBSTITUTE(INDEX('CASE MASTER'!$N$2:$N$495,(SUMPRODUCT((('CASE MASTER'!$T$2:$T$495=12)*('CASE MASTER'!$U$2:$U$495&lt;=3)*('CASE MASTER'!$W$2:$W$495&gt;=3)*('CASE MASTER'!$V$2:$V$495&lt;=6)*('CASE MASTER'!$X$2:$X$495&gt;=6))*ROW('CASE MASTER'!$T$2:$T$495))-(ROW('CASE MASTER'!#REF!)-1))),":",","),",",REPT(" ",50)),((((3-INDEX('CASE MASTER'!$U$2:$U$495,(SUMPRODUCT((('CASE MASTER'!$T$2:$T$495=12)*('CASE MASTER'!$U$2:$U$495&lt;=3)*('CASE MASTER'!$W$2:$W$495&gt;=3)*('CASE MASTER'!$V$2:$V$495&lt;=6)*('CASE MASTER'!$X$2:$X$495&gt;=6))*ROW('CASE MASTER'!$T$2:$T$495))-(ROW('CASE MASTER'!#REF!)-1))))*(INDEX('CASE MASTER'!$X$2:$X$495,(SUMPRODUCT((('CASE MASTER'!$T$2:$T$495=12)*('CASE MASTER'!$U$2:$U$495&lt;=3)*('CASE MASTER'!$W$2:$W$495&gt;=3)*('CASE MASTER'!$V$2:$V$495&lt;=6)*('CASE MASTER'!$X$2:$X$495&gt;=6))*ROW('CASE MASTER'!$T$2:$T$495))-(ROW('CASE MASTER'!#REF!)-1)))-INDEX('CASE MASTER'!$V$2:$V$495,(SUMPRODUCT((('CASE MASTER'!$T$2:$T$495=12)*('CASE MASTER'!$U$2:$U$495&lt;=3)*('CASE MASTER'!$W$2:$W$495&gt;=3)*('CASE MASTER'!$V$2:$V$495&lt;=6)*('CASE MASTER'!$X$2:$X$495&gt;=6))*ROW('CASE MASTER'!$T$2:$T$495))-(ROW('CASE MASTER'!#REF!)-1)))+1)+(6-INDEX('CASE MASTER'!$V$2:$V$495,(SUMPRODUCT((('CASE MASTER'!$T$2:$T$495=12)*('CASE MASTER'!$U$2:$U$495&lt;=3)*('CASE MASTER'!$W$2:$W$495&gt;=3)*('CASE MASTER'!$V$2:$V$495&lt;=6)*('CASE MASTER'!$X$2:$X$495&gt;=6))*ROW('CASE MASTER'!$T$2:$T$495))-(ROW('CASE MASTER'!#REF!)-1))))+1))-1)*50+1,50))&amp;"_"&amp;INDEX('CASE MASTER'!$Q$2:$Q$495,(SUMPRODUCT((('CASE MASTER'!$T$2:$T$495=12)*('CASE MASTER'!$U$2:$U$495&lt;=3)*('CASE MASTER'!$W$2:$W$495&gt;=3)*('CASE MASTER'!$V$2:$V$495&lt;=6)*('CASE MASTER'!$X$2:$X$495&gt;=6))*ROW('CASE MASTER'!$T$2:$T$495))-(ROW('CASE MASTER'!#REF!)-1))),IF(SUMPRODUCT((('CASE MASTER'!$T$2:$T$495=12)*('CASE MASTER'!$AA$2:$AA$495&lt;=3)*('CASE MASTER'!$AC$2:$AC$495&gt;=3)*('CASE MASTER'!$AB$2:$AB$495&lt;=6)*('CASE MASTER'!$AD$2:$AD$495&gt;=6))*ROW('CASE MASTER'!$T$2:$T$495))&gt;0,INDEX('CASE MASTER'!$Y$2:$Y$495,(SUMPRODUCT((('CASE MASTER'!$T$2:$T$495=12)*('CASE MASTER'!$AA$2:$AA$495&lt;=3)*('CASE MASTER'!$AC$2:$AC$495&gt;=3)*('CASE MASTER'!$AB$2:$AB$495&lt;=6)*('CASE MASTER'!$AD$2:$AD$495&gt;=6))*ROW('CASE MASTER'!$T$2:$T$495))-(ROW('CASE MASTER'!#REF!)-1)))&amp;TRIM(MID(SUBSTITUTE(SUBSTITUTE(INDEX('CASE MASTER'!$N$2:$N$495,(SUMPRODUCT((('CASE MASTER'!$T$2:$T$495=12)*('CASE MASTER'!$AA$2:$AA$495&lt;=3)*('CASE MASTER'!$AC$2:$AC$495&gt;=3)*('CASE MASTER'!$AB$2:$AB$495&lt;=6)*('CASE MASTER'!$AD$2:$AD$495&gt;=6))*ROW('CASE MASTER'!$T$2:$T$495))-(ROW('CASE MASTER'!#REF!)-1))),":",","),",",REPT(" ",50)),(((INDEX('CASE MASTER'!$Z$2:$Z$495,(SUMPRODUCT((('CASE MASTER'!$T$2:$T$495=12)*('CASE MASTER'!$AA$2:$AA$495&lt;=3)*('CASE MASTER'!$AC$2:$AC$495&gt;=3)*('CASE MASTER'!$AB$2:$AB$495&lt;=6)*('CASE MASTER'!$AD$2:$AD$495&gt;=6))*ROW('CASE MASTER'!$T$2:$T$495))-(ROW('CASE MASTER'!#REF!)-1)))+((3-INDEX('CASE MASTER'!$AA$2:$AA$495,(SUMPRODUCT((('CASE MASTER'!$T$2:$T$495=12)*('CASE MASTER'!$AA$2:$AA$495&lt;=3)*('CASE MASTER'!$AC$2:$AC$495&gt;=3)*('CASE MASTER'!$AB$2:$AB$495&lt;=6)*('CASE MASTER'!$AD$2:$AD$495&gt;=6))*ROW('CASE MASTER'!$T$2:$T$495))-(ROW('CASE MASTER'!#REF!)-1))))*(INDEX('CASE MASTER'!$AD$2:$AD$495,(SUMPRODUCT((('CASE MASTER'!$T$2:$T$495=12)*('CASE MASTER'!$AA$2:$AA$495&lt;=3)*('CASE MASTER'!$AC$2:$AC$495&gt;=3)*('CASE MASTER'!$AB$2:$AB$495&lt;=6)*('CASE MASTER'!$AD$2:$AD$495&gt;=6))*ROW('CASE MASTER'!$T$2:$T$495))-(ROW('CASE MASTER'!#REF!)-1)))-INDEX('CASE MASTER'!$AB$2:$AB$495,(SUMPRODUCT((('CASE MASTER'!$T$2:$T$495=12)*('CASE MASTER'!$AA$2:$AA$495&lt;=3)*('CASE MASTER'!$AC$2:$AC$495&gt;=3)*('CASE MASTER'!$AB$2:$AB$495&lt;=6)*('CASE MASTER'!$AD$2:$AD$495&gt;=6))*ROW('CASE MASTER'!$T$2:$T$495))-(ROW('CASE MASTER'!#REF!)-1)))+1)+(6-INDEX('CASE MASTER'!$AB$2:$AB$495,(SUMPRODUCT((('CASE MASTER'!$T$2:$T$495=12)*('CASE MASTER'!$AA$2:$AA$495&lt;=3)*('CASE MASTER'!$AC$2:$AC$495&gt;=3)*('CASE MASTER'!$AB$2:$AB$495&lt;=6)*('CASE MASTER'!$AD$2:$AD$495&gt;=6))*ROW('CASE MASTER'!$T$2:$T$495))-(ROW('CASE MASTER'!#REF!)-1))))+1)))-1)*50+1,50))&amp;"_"&amp;INDEX('CASE MASTER'!$Q$2:$Q$495,(SUMPRODUCT((('CASE MASTER'!$T$2:$T$495=12)*('CASE MASTER'!$AA$2:$AA$495&lt;=3)*('CASE MASTER'!$AC$2:$AC$495&gt;=3)*('CASE MASTER'!$AB$2:$AB$495&lt;=6)*('CASE MASTER'!$AD$2:$AD$495&gt;=6))*ROW('CASE MASTER'!$T$2:$T$495))-(ROW('CASE MASTER'!#REF!)-1))),"")),"")</f>
        <v/>
      </c>
      <c r="H159" s="10" t="str">
        <f>IFERROR(IF(SUMPRODUCT((('CASE MASTER'!$T$2:$T$495=12)*('CASE MASTER'!$U$2:$U$495&lt;=3)*('CASE MASTER'!$W$2:$W$495&gt;=3)*('CASE MASTER'!$V$2:$V$495&lt;=7)*('CASE MASTER'!$X$2:$X$495&gt;=7))*ROW('CASE MASTER'!$T$2:$T$495))&gt;0,INDEX('CASE MASTER'!$Y$2:$Y$495,(SUMPRODUCT((('CASE MASTER'!$T$2:$T$495=12)*('CASE MASTER'!$U$2:$U$495&lt;=3)*('CASE MASTER'!$W$2:$W$495&gt;=3)*('CASE MASTER'!$V$2:$V$495&lt;=7)*('CASE MASTER'!$X$2:$X$495&gt;=7))*ROW('CASE MASTER'!$T$2:$T$495))-(ROW('CASE MASTER'!#REF!)-1)))&amp;TRIM(MID(SUBSTITUTE(SUBSTITUTE(INDEX('CASE MASTER'!$N$2:$N$495,(SUMPRODUCT((('CASE MASTER'!$T$2:$T$495=12)*('CASE MASTER'!$U$2:$U$495&lt;=3)*('CASE MASTER'!$W$2:$W$495&gt;=3)*('CASE MASTER'!$V$2:$V$495&lt;=7)*('CASE MASTER'!$X$2:$X$495&gt;=7))*ROW('CASE MASTER'!$T$2:$T$495))-(ROW('CASE MASTER'!#REF!)-1))),":",","),",",REPT(" ",50)),((((3-INDEX('CASE MASTER'!$U$2:$U$495,(SUMPRODUCT((('CASE MASTER'!$T$2:$T$495=12)*('CASE MASTER'!$U$2:$U$495&lt;=3)*('CASE MASTER'!$W$2:$W$495&gt;=3)*('CASE MASTER'!$V$2:$V$495&lt;=7)*('CASE MASTER'!$X$2:$X$495&gt;=7))*ROW('CASE MASTER'!$T$2:$T$495))-(ROW('CASE MASTER'!#REF!)-1))))*(INDEX('CASE MASTER'!$X$2:$X$495,(SUMPRODUCT((('CASE MASTER'!$T$2:$T$495=12)*('CASE MASTER'!$U$2:$U$495&lt;=3)*('CASE MASTER'!$W$2:$W$495&gt;=3)*('CASE MASTER'!$V$2:$V$495&lt;=7)*('CASE MASTER'!$X$2:$X$495&gt;=7))*ROW('CASE MASTER'!$T$2:$T$495))-(ROW('CASE MASTER'!#REF!)-1)))-INDEX('CASE MASTER'!$V$2:$V$495,(SUMPRODUCT((('CASE MASTER'!$T$2:$T$495=12)*('CASE MASTER'!$U$2:$U$495&lt;=3)*('CASE MASTER'!$W$2:$W$495&gt;=3)*('CASE MASTER'!$V$2:$V$495&lt;=7)*('CASE MASTER'!$X$2:$X$495&gt;=7))*ROW('CASE MASTER'!$T$2:$T$495))-(ROW('CASE MASTER'!#REF!)-1)))+1)+(7-INDEX('CASE MASTER'!$V$2:$V$495,(SUMPRODUCT((('CASE MASTER'!$T$2:$T$495=12)*('CASE MASTER'!$U$2:$U$495&lt;=3)*('CASE MASTER'!$W$2:$W$495&gt;=3)*('CASE MASTER'!$V$2:$V$495&lt;=7)*('CASE MASTER'!$X$2:$X$495&gt;=7))*ROW('CASE MASTER'!$T$2:$T$495))-(ROW('CASE MASTER'!#REF!)-1))))+1))-1)*50+1,50))&amp;"_"&amp;INDEX('CASE MASTER'!$Q$2:$Q$495,(SUMPRODUCT((('CASE MASTER'!$T$2:$T$495=12)*('CASE MASTER'!$U$2:$U$495&lt;=3)*('CASE MASTER'!$W$2:$W$495&gt;=3)*('CASE MASTER'!$V$2:$V$495&lt;=7)*('CASE MASTER'!$X$2:$X$495&gt;=7))*ROW('CASE MASTER'!$T$2:$T$495))-(ROW('CASE MASTER'!#REF!)-1))),IF(SUMPRODUCT((('CASE MASTER'!$T$2:$T$495=12)*('CASE MASTER'!$AA$2:$AA$495&lt;=3)*('CASE MASTER'!$AC$2:$AC$495&gt;=3)*('CASE MASTER'!$AB$2:$AB$495&lt;=7)*('CASE MASTER'!$AD$2:$AD$495&gt;=7))*ROW('CASE MASTER'!$T$2:$T$495))&gt;0,INDEX('CASE MASTER'!$Y$2:$Y$495,(SUMPRODUCT((('CASE MASTER'!$T$2:$T$495=12)*('CASE MASTER'!$AA$2:$AA$495&lt;=3)*('CASE MASTER'!$AC$2:$AC$495&gt;=3)*('CASE MASTER'!$AB$2:$AB$495&lt;=7)*('CASE MASTER'!$AD$2:$AD$495&gt;=7))*ROW('CASE MASTER'!$T$2:$T$495))-(ROW('CASE MASTER'!#REF!)-1)))&amp;TRIM(MID(SUBSTITUTE(SUBSTITUTE(INDEX('CASE MASTER'!$N$2:$N$495,(SUMPRODUCT((('CASE MASTER'!$T$2:$T$495=12)*('CASE MASTER'!$AA$2:$AA$495&lt;=3)*('CASE MASTER'!$AC$2:$AC$495&gt;=3)*('CASE MASTER'!$AB$2:$AB$495&lt;=7)*('CASE MASTER'!$AD$2:$AD$495&gt;=7))*ROW('CASE MASTER'!$T$2:$T$495))-(ROW('CASE MASTER'!#REF!)-1))),":",","),",",REPT(" ",50)),(((INDEX('CASE MASTER'!$Z$2:$Z$495,(SUMPRODUCT((('CASE MASTER'!$T$2:$T$495=12)*('CASE MASTER'!$AA$2:$AA$495&lt;=3)*('CASE MASTER'!$AC$2:$AC$495&gt;=3)*('CASE MASTER'!$AB$2:$AB$495&lt;=7)*('CASE MASTER'!$AD$2:$AD$495&gt;=7))*ROW('CASE MASTER'!$T$2:$T$495))-(ROW('CASE MASTER'!#REF!)-1)))+((3-INDEX('CASE MASTER'!$AA$2:$AA$495,(SUMPRODUCT((('CASE MASTER'!$T$2:$T$495=12)*('CASE MASTER'!$AA$2:$AA$495&lt;=3)*('CASE MASTER'!$AC$2:$AC$495&gt;=3)*('CASE MASTER'!$AB$2:$AB$495&lt;=7)*('CASE MASTER'!$AD$2:$AD$495&gt;=7))*ROW('CASE MASTER'!$T$2:$T$495))-(ROW('CASE MASTER'!#REF!)-1))))*(INDEX('CASE MASTER'!$AD$2:$AD$495,(SUMPRODUCT((('CASE MASTER'!$T$2:$T$495=12)*('CASE MASTER'!$AA$2:$AA$495&lt;=3)*('CASE MASTER'!$AC$2:$AC$495&gt;=3)*('CASE MASTER'!$AB$2:$AB$495&lt;=7)*('CASE MASTER'!$AD$2:$AD$495&gt;=7))*ROW('CASE MASTER'!$T$2:$T$495))-(ROW('CASE MASTER'!#REF!)-1)))-INDEX('CASE MASTER'!$AB$2:$AB$495,(SUMPRODUCT((('CASE MASTER'!$T$2:$T$495=12)*('CASE MASTER'!$AA$2:$AA$495&lt;=3)*('CASE MASTER'!$AC$2:$AC$495&gt;=3)*('CASE MASTER'!$AB$2:$AB$495&lt;=7)*('CASE MASTER'!$AD$2:$AD$495&gt;=7))*ROW('CASE MASTER'!$T$2:$T$495))-(ROW('CASE MASTER'!#REF!)-1)))+1)+(7-INDEX('CASE MASTER'!$AB$2:$AB$495,(SUMPRODUCT((('CASE MASTER'!$T$2:$T$495=12)*('CASE MASTER'!$AA$2:$AA$495&lt;=3)*('CASE MASTER'!$AC$2:$AC$495&gt;=3)*('CASE MASTER'!$AB$2:$AB$495&lt;=7)*('CASE MASTER'!$AD$2:$AD$495&gt;=7))*ROW('CASE MASTER'!$T$2:$T$495))-(ROW('CASE MASTER'!#REF!)-1))))+1)))-1)*50+1,50))&amp;"_"&amp;INDEX('CASE MASTER'!$Q$2:$Q$495,(SUMPRODUCT((('CASE MASTER'!$T$2:$T$495=12)*('CASE MASTER'!$AA$2:$AA$495&lt;=3)*('CASE MASTER'!$AC$2:$AC$495&gt;=3)*('CASE MASTER'!$AB$2:$AB$495&lt;=7)*('CASE MASTER'!$AD$2:$AD$495&gt;=7))*ROW('CASE MASTER'!$T$2:$T$495))-(ROW('CASE MASTER'!#REF!)-1))),"")),"")</f>
        <v/>
      </c>
      <c r="I159" s="10" t="str">
        <f>IFERROR(IF(SUMPRODUCT((('CASE MASTER'!$T$2:$T$495=12)*('CASE MASTER'!$U$2:$U$495&lt;=3)*('CASE MASTER'!$W$2:$W$495&gt;=3)*('CASE MASTER'!$V$2:$V$495&lt;=8)*('CASE MASTER'!$X$2:$X$495&gt;=8))*ROW('CASE MASTER'!$T$2:$T$495))&gt;0,INDEX('CASE MASTER'!$Y$2:$Y$495,(SUMPRODUCT((('CASE MASTER'!$T$2:$T$495=12)*('CASE MASTER'!$U$2:$U$495&lt;=3)*('CASE MASTER'!$W$2:$W$495&gt;=3)*('CASE MASTER'!$V$2:$V$495&lt;=8)*('CASE MASTER'!$X$2:$X$495&gt;=8))*ROW('CASE MASTER'!$T$2:$T$495))-(ROW('CASE MASTER'!#REF!)-1)))&amp;TRIM(MID(SUBSTITUTE(SUBSTITUTE(INDEX('CASE MASTER'!$N$2:$N$495,(SUMPRODUCT((('CASE MASTER'!$T$2:$T$495=12)*('CASE MASTER'!$U$2:$U$495&lt;=3)*('CASE MASTER'!$W$2:$W$495&gt;=3)*('CASE MASTER'!$V$2:$V$495&lt;=8)*('CASE MASTER'!$X$2:$X$495&gt;=8))*ROW('CASE MASTER'!$T$2:$T$495))-(ROW('CASE MASTER'!#REF!)-1))),":",","),",",REPT(" ",50)),((((3-INDEX('CASE MASTER'!$U$2:$U$495,(SUMPRODUCT((('CASE MASTER'!$T$2:$T$495=12)*('CASE MASTER'!$U$2:$U$495&lt;=3)*('CASE MASTER'!$W$2:$W$495&gt;=3)*('CASE MASTER'!$V$2:$V$495&lt;=8)*('CASE MASTER'!$X$2:$X$495&gt;=8))*ROW('CASE MASTER'!$T$2:$T$495))-(ROW('CASE MASTER'!#REF!)-1))))*(INDEX('CASE MASTER'!$X$2:$X$495,(SUMPRODUCT((('CASE MASTER'!$T$2:$T$495=12)*('CASE MASTER'!$U$2:$U$495&lt;=3)*('CASE MASTER'!$W$2:$W$495&gt;=3)*('CASE MASTER'!$V$2:$V$495&lt;=8)*('CASE MASTER'!$X$2:$X$495&gt;=8))*ROW('CASE MASTER'!$T$2:$T$495))-(ROW('CASE MASTER'!#REF!)-1)))-INDEX('CASE MASTER'!$V$2:$V$495,(SUMPRODUCT((('CASE MASTER'!$T$2:$T$495=12)*('CASE MASTER'!$U$2:$U$495&lt;=3)*('CASE MASTER'!$W$2:$W$495&gt;=3)*('CASE MASTER'!$V$2:$V$495&lt;=8)*('CASE MASTER'!$X$2:$X$495&gt;=8))*ROW('CASE MASTER'!$T$2:$T$495))-(ROW('CASE MASTER'!#REF!)-1)))+1)+(8-INDEX('CASE MASTER'!$V$2:$V$495,(SUMPRODUCT((('CASE MASTER'!$T$2:$T$495=12)*('CASE MASTER'!$U$2:$U$495&lt;=3)*('CASE MASTER'!$W$2:$W$495&gt;=3)*('CASE MASTER'!$V$2:$V$495&lt;=8)*('CASE MASTER'!$X$2:$X$495&gt;=8))*ROW('CASE MASTER'!$T$2:$T$495))-(ROW('CASE MASTER'!#REF!)-1))))+1))-1)*50+1,50))&amp;"_"&amp;INDEX('CASE MASTER'!$Q$2:$Q$495,(SUMPRODUCT((('CASE MASTER'!$T$2:$T$495=12)*('CASE MASTER'!$U$2:$U$495&lt;=3)*('CASE MASTER'!$W$2:$W$495&gt;=3)*('CASE MASTER'!$V$2:$V$495&lt;=8)*('CASE MASTER'!$X$2:$X$495&gt;=8))*ROW('CASE MASTER'!$T$2:$T$495))-(ROW('CASE MASTER'!#REF!)-1))),IF(SUMPRODUCT((('CASE MASTER'!$T$2:$T$495=12)*('CASE MASTER'!$AA$2:$AA$495&lt;=3)*('CASE MASTER'!$AC$2:$AC$495&gt;=3)*('CASE MASTER'!$AB$2:$AB$495&lt;=8)*('CASE MASTER'!$AD$2:$AD$495&gt;=8))*ROW('CASE MASTER'!$T$2:$T$495))&gt;0,INDEX('CASE MASTER'!$Y$2:$Y$495,(SUMPRODUCT((('CASE MASTER'!$T$2:$T$495=12)*('CASE MASTER'!$AA$2:$AA$495&lt;=3)*('CASE MASTER'!$AC$2:$AC$495&gt;=3)*('CASE MASTER'!$AB$2:$AB$495&lt;=8)*('CASE MASTER'!$AD$2:$AD$495&gt;=8))*ROW('CASE MASTER'!$T$2:$T$495))-(ROW('CASE MASTER'!#REF!)-1)))&amp;TRIM(MID(SUBSTITUTE(SUBSTITUTE(INDEX('CASE MASTER'!$N$2:$N$495,(SUMPRODUCT((('CASE MASTER'!$T$2:$T$495=12)*('CASE MASTER'!$AA$2:$AA$495&lt;=3)*('CASE MASTER'!$AC$2:$AC$495&gt;=3)*('CASE MASTER'!$AB$2:$AB$495&lt;=8)*('CASE MASTER'!$AD$2:$AD$495&gt;=8))*ROW('CASE MASTER'!$T$2:$T$495))-(ROW('CASE MASTER'!#REF!)-1))),":",","),",",REPT(" ",50)),(((INDEX('CASE MASTER'!$Z$2:$Z$495,(SUMPRODUCT((('CASE MASTER'!$T$2:$T$495=12)*('CASE MASTER'!$AA$2:$AA$495&lt;=3)*('CASE MASTER'!$AC$2:$AC$495&gt;=3)*('CASE MASTER'!$AB$2:$AB$495&lt;=8)*('CASE MASTER'!$AD$2:$AD$495&gt;=8))*ROW('CASE MASTER'!$T$2:$T$495))-(ROW('CASE MASTER'!#REF!)-1)))+((3-INDEX('CASE MASTER'!$AA$2:$AA$495,(SUMPRODUCT((('CASE MASTER'!$T$2:$T$495=12)*('CASE MASTER'!$AA$2:$AA$495&lt;=3)*('CASE MASTER'!$AC$2:$AC$495&gt;=3)*('CASE MASTER'!$AB$2:$AB$495&lt;=8)*('CASE MASTER'!$AD$2:$AD$495&gt;=8))*ROW('CASE MASTER'!$T$2:$T$495))-(ROW('CASE MASTER'!#REF!)-1))))*(INDEX('CASE MASTER'!$AD$2:$AD$495,(SUMPRODUCT((('CASE MASTER'!$T$2:$T$495=12)*('CASE MASTER'!$AA$2:$AA$495&lt;=3)*('CASE MASTER'!$AC$2:$AC$495&gt;=3)*('CASE MASTER'!$AB$2:$AB$495&lt;=8)*('CASE MASTER'!$AD$2:$AD$495&gt;=8))*ROW('CASE MASTER'!$T$2:$T$495))-(ROW('CASE MASTER'!#REF!)-1)))-INDEX('CASE MASTER'!$AB$2:$AB$495,(SUMPRODUCT((('CASE MASTER'!$T$2:$T$495=12)*('CASE MASTER'!$AA$2:$AA$495&lt;=3)*('CASE MASTER'!$AC$2:$AC$495&gt;=3)*('CASE MASTER'!$AB$2:$AB$495&lt;=8)*('CASE MASTER'!$AD$2:$AD$495&gt;=8))*ROW('CASE MASTER'!$T$2:$T$495))-(ROW('CASE MASTER'!#REF!)-1)))+1)+(8-INDEX('CASE MASTER'!$AB$2:$AB$495,(SUMPRODUCT((('CASE MASTER'!$T$2:$T$495=12)*('CASE MASTER'!$AA$2:$AA$495&lt;=3)*('CASE MASTER'!$AC$2:$AC$495&gt;=3)*('CASE MASTER'!$AB$2:$AB$495&lt;=8)*('CASE MASTER'!$AD$2:$AD$495&gt;=8))*ROW('CASE MASTER'!$T$2:$T$495))-(ROW('CASE MASTER'!#REF!)-1))))+1)))-1)*50+1,50))&amp;"_"&amp;INDEX('CASE MASTER'!$Q$2:$Q$495,(SUMPRODUCT((('CASE MASTER'!$T$2:$T$495=12)*('CASE MASTER'!$AA$2:$AA$495&lt;=3)*('CASE MASTER'!$AC$2:$AC$495&gt;=3)*('CASE MASTER'!$AB$2:$AB$495&lt;=8)*('CASE MASTER'!$AD$2:$AD$495&gt;=8))*ROW('CASE MASTER'!$T$2:$T$495))-(ROW('CASE MASTER'!#REF!)-1))),"")),"")</f>
        <v/>
      </c>
      <c r="J159" s="10" t="str">
        <f>IFERROR(IF(SUMPRODUCT((('CASE MASTER'!$T$2:$T$495=12)*('CASE MASTER'!$U$2:$U$495&lt;=3)*('CASE MASTER'!$W$2:$W$495&gt;=3)*('CASE MASTER'!$V$2:$V$495&lt;=9)*('CASE MASTER'!$X$2:$X$495&gt;=9))*ROW('CASE MASTER'!$T$2:$T$495))&gt;0,INDEX('CASE MASTER'!$Y$2:$Y$495,(SUMPRODUCT((('CASE MASTER'!$T$2:$T$495=12)*('CASE MASTER'!$U$2:$U$495&lt;=3)*('CASE MASTER'!$W$2:$W$495&gt;=3)*('CASE MASTER'!$V$2:$V$495&lt;=9)*('CASE MASTER'!$X$2:$X$495&gt;=9))*ROW('CASE MASTER'!$T$2:$T$495))-(ROW('CASE MASTER'!#REF!)-1)))&amp;TRIM(MID(SUBSTITUTE(SUBSTITUTE(INDEX('CASE MASTER'!$N$2:$N$495,(SUMPRODUCT((('CASE MASTER'!$T$2:$T$495=12)*('CASE MASTER'!$U$2:$U$495&lt;=3)*('CASE MASTER'!$W$2:$W$495&gt;=3)*('CASE MASTER'!$V$2:$V$495&lt;=9)*('CASE MASTER'!$X$2:$X$495&gt;=9))*ROW('CASE MASTER'!$T$2:$T$495))-(ROW('CASE MASTER'!#REF!)-1))),":",","),",",REPT(" ",50)),((((3-INDEX('CASE MASTER'!$U$2:$U$495,(SUMPRODUCT((('CASE MASTER'!$T$2:$T$495=12)*('CASE MASTER'!$U$2:$U$495&lt;=3)*('CASE MASTER'!$W$2:$W$495&gt;=3)*('CASE MASTER'!$V$2:$V$495&lt;=9)*('CASE MASTER'!$X$2:$X$495&gt;=9))*ROW('CASE MASTER'!$T$2:$T$495))-(ROW('CASE MASTER'!#REF!)-1))))*(INDEX('CASE MASTER'!$X$2:$X$495,(SUMPRODUCT((('CASE MASTER'!$T$2:$T$495=12)*('CASE MASTER'!$U$2:$U$495&lt;=3)*('CASE MASTER'!$W$2:$W$495&gt;=3)*('CASE MASTER'!$V$2:$V$495&lt;=9)*('CASE MASTER'!$X$2:$X$495&gt;=9))*ROW('CASE MASTER'!$T$2:$T$495))-(ROW('CASE MASTER'!#REF!)-1)))-INDEX('CASE MASTER'!$V$2:$V$495,(SUMPRODUCT((('CASE MASTER'!$T$2:$T$495=12)*('CASE MASTER'!$U$2:$U$495&lt;=3)*('CASE MASTER'!$W$2:$W$495&gt;=3)*('CASE MASTER'!$V$2:$V$495&lt;=9)*('CASE MASTER'!$X$2:$X$495&gt;=9))*ROW('CASE MASTER'!$T$2:$T$495))-(ROW('CASE MASTER'!#REF!)-1)))+1)+(9-INDEX('CASE MASTER'!$V$2:$V$495,(SUMPRODUCT((('CASE MASTER'!$T$2:$T$495=12)*('CASE MASTER'!$U$2:$U$495&lt;=3)*('CASE MASTER'!$W$2:$W$495&gt;=3)*('CASE MASTER'!$V$2:$V$495&lt;=9)*('CASE MASTER'!$X$2:$X$495&gt;=9))*ROW('CASE MASTER'!$T$2:$T$495))-(ROW('CASE MASTER'!#REF!)-1))))+1))-1)*50+1,50))&amp;"_"&amp;INDEX('CASE MASTER'!$Q$2:$Q$495,(SUMPRODUCT((('CASE MASTER'!$T$2:$T$495=12)*('CASE MASTER'!$U$2:$U$495&lt;=3)*('CASE MASTER'!$W$2:$W$495&gt;=3)*('CASE MASTER'!$V$2:$V$495&lt;=9)*('CASE MASTER'!$X$2:$X$495&gt;=9))*ROW('CASE MASTER'!$T$2:$T$495))-(ROW('CASE MASTER'!#REF!)-1))),IF(SUMPRODUCT((('CASE MASTER'!$T$2:$T$495=12)*('CASE MASTER'!$AA$2:$AA$495&lt;=3)*('CASE MASTER'!$AC$2:$AC$495&gt;=3)*('CASE MASTER'!$AB$2:$AB$495&lt;=9)*('CASE MASTER'!$AD$2:$AD$495&gt;=9))*ROW('CASE MASTER'!$T$2:$T$495))&gt;0,INDEX('CASE MASTER'!$Y$2:$Y$495,(SUMPRODUCT((('CASE MASTER'!$T$2:$T$495=12)*('CASE MASTER'!$AA$2:$AA$495&lt;=3)*('CASE MASTER'!$AC$2:$AC$495&gt;=3)*('CASE MASTER'!$AB$2:$AB$495&lt;=9)*('CASE MASTER'!$AD$2:$AD$495&gt;=9))*ROW('CASE MASTER'!$T$2:$T$495))-(ROW('CASE MASTER'!#REF!)-1)))&amp;TRIM(MID(SUBSTITUTE(SUBSTITUTE(INDEX('CASE MASTER'!$N$2:$N$495,(SUMPRODUCT((('CASE MASTER'!$T$2:$T$495=12)*('CASE MASTER'!$AA$2:$AA$495&lt;=3)*('CASE MASTER'!$AC$2:$AC$495&gt;=3)*('CASE MASTER'!$AB$2:$AB$495&lt;=9)*('CASE MASTER'!$AD$2:$AD$495&gt;=9))*ROW('CASE MASTER'!$T$2:$T$495))-(ROW('CASE MASTER'!#REF!)-1))),":",","),",",REPT(" ",50)),(((INDEX('CASE MASTER'!$Z$2:$Z$495,(SUMPRODUCT((('CASE MASTER'!$T$2:$T$495=12)*('CASE MASTER'!$AA$2:$AA$495&lt;=3)*('CASE MASTER'!$AC$2:$AC$495&gt;=3)*('CASE MASTER'!$AB$2:$AB$495&lt;=9)*('CASE MASTER'!$AD$2:$AD$495&gt;=9))*ROW('CASE MASTER'!$T$2:$T$495))-(ROW('CASE MASTER'!#REF!)-1)))+((3-INDEX('CASE MASTER'!$AA$2:$AA$495,(SUMPRODUCT((('CASE MASTER'!$T$2:$T$495=12)*('CASE MASTER'!$AA$2:$AA$495&lt;=3)*('CASE MASTER'!$AC$2:$AC$495&gt;=3)*('CASE MASTER'!$AB$2:$AB$495&lt;=9)*('CASE MASTER'!$AD$2:$AD$495&gt;=9))*ROW('CASE MASTER'!$T$2:$T$495))-(ROW('CASE MASTER'!#REF!)-1))))*(INDEX('CASE MASTER'!$AD$2:$AD$495,(SUMPRODUCT((('CASE MASTER'!$T$2:$T$495=12)*('CASE MASTER'!$AA$2:$AA$495&lt;=3)*('CASE MASTER'!$AC$2:$AC$495&gt;=3)*('CASE MASTER'!$AB$2:$AB$495&lt;=9)*('CASE MASTER'!$AD$2:$AD$495&gt;=9))*ROW('CASE MASTER'!$T$2:$T$495))-(ROW('CASE MASTER'!#REF!)-1)))-INDEX('CASE MASTER'!$AB$2:$AB$495,(SUMPRODUCT((('CASE MASTER'!$T$2:$T$495=12)*('CASE MASTER'!$AA$2:$AA$495&lt;=3)*('CASE MASTER'!$AC$2:$AC$495&gt;=3)*('CASE MASTER'!$AB$2:$AB$495&lt;=9)*('CASE MASTER'!$AD$2:$AD$495&gt;=9))*ROW('CASE MASTER'!$T$2:$T$495))-(ROW('CASE MASTER'!#REF!)-1)))+1)+(9-INDEX('CASE MASTER'!$AB$2:$AB$495,(SUMPRODUCT((('CASE MASTER'!$T$2:$T$495=12)*('CASE MASTER'!$AA$2:$AA$495&lt;=3)*('CASE MASTER'!$AC$2:$AC$495&gt;=3)*('CASE MASTER'!$AB$2:$AB$495&lt;=9)*('CASE MASTER'!$AD$2:$AD$495&gt;=9))*ROW('CASE MASTER'!$T$2:$T$495))-(ROW('CASE MASTER'!#REF!)-1))))+1)))-1)*50+1,50))&amp;"_"&amp;INDEX('CASE MASTER'!$Q$2:$Q$495,(SUMPRODUCT((('CASE MASTER'!$T$2:$T$495=12)*('CASE MASTER'!$AA$2:$AA$495&lt;=3)*('CASE MASTER'!$AC$2:$AC$495&gt;=3)*('CASE MASTER'!$AB$2:$AB$495&lt;=9)*('CASE MASTER'!$AD$2:$AD$495&gt;=9))*ROW('CASE MASTER'!$T$2:$T$495))-(ROW('CASE MASTER'!#REF!)-1))),"")),"")</f>
        <v/>
      </c>
      <c r="K159" s="10" t="str">
        <f>IFERROR(IF(SUMPRODUCT((('CASE MASTER'!$T$2:$T$495=12)*('CASE MASTER'!$U$2:$U$495&lt;=3)*('CASE MASTER'!$W$2:$W$495&gt;=3)*('CASE MASTER'!$V$2:$V$495&lt;=10)*('CASE MASTER'!$X$2:$X$495&gt;=10))*ROW('CASE MASTER'!$T$2:$T$495))&gt;0,INDEX('CASE MASTER'!$Y$2:$Y$495,(SUMPRODUCT((('CASE MASTER'!$T$2:$T$495=12)*('CASE MASTER'!$U$2:$U$495&lt;=3)*('CASE MASTER'!$W$2:$W$495&gt;=3)*('CASE MASTER'!$V$2:$V$495&lt;=10)*('CASE MASTER'!$X$2:$X$495&gt;=10))*ROW('CASE MASTER'!$T$2:$T$495))-(ROW('CASE MASTER'!#REF!)-1)))&amp;TRIM(MID(SUBSTITUTE(SUBSTITUTE(INDEX('CASE MASTER'!$N$2:$N$495,(SUMPRODUCT((('CASE MASTER'!$T$2:$T$495=12)*('CASE MASTER'!$U$2:$U$495&lt;=3)*('CASE MASTER'!$W$2:$W$495&gt;=3)*('CASE MASTER'!$V$2:$V$495&lt;=10)*('CASE MASTER'!$X$2:$X$495&gt;=10))*ROW('CASE MASTER'!$T$2:$T$495))-(ROW('CASE MASTER'!#REF!)-1))),":",","),",",REPT(" ",50)),((((3-INDEX('CASE MASTER'!$U$2:$U$495,(SUMPRODUCT((('CASE MASTER'!$T$2:$T$495=12)*('CASE MASTER'!$U$2:$U$495&lt;=3)*('CASE MASTER'!$W$2:$W$495&gt;=3)*('CASE MASTER'!$V$2:$V$495&lt;=10)*('CASE MASTER'!$X$2:$X$495&gt;=10))*ROW('CASE MASTER'!$T$2:$T$495))-(ROW('CASE MASTER'!#REF!)-1))))*(INDEX('CASE MASTER'!$X$2:$X$495,(SUMPRODUCT((('CASE MASTER'!$T$2:$T$495=12)*('CASE MASTER'!$U$2:$U$495&lt;=3)*('CASE MASTER'!$W$2:$W$495&gt;=3)*('CASE MASTER'!$V$2:$V$495&lt;=10)*('CASE MASTER'!$X$2:$X$495&gt;=10))*ROW('CASE MASTER'!$T$2:$T$495))-(ROW('CASE MASTER'!#REF!)-1)))-INDEX('CASE MASTER'!$V$2:$V$495,(SUMPRODUCT((('CASE MASTER'!$T$2:$T$495=12)*('CASE MASTER'!$U$2:$U$495&lt;=3)*('CASE MASTER'!$W$2:$W$495&gt;=3)*('CASE MASTER'!$V$2:$V$495&lt;=10)*('CASE MASTER'!$X$2:$X$495&gt;=10))*ROW('CASE MASTER'!$T$2:$T$495))-(ROW('CASE MASTER'!#REF!)-1)))+1)+(10-INDEX('CASE MASTER'!$V$2:$V$495,(SUMPRODUCT((('CASE MASTER'!$T$2:$T$495=12)*('CASE MASTER'!$U$2:$U$495&lt;=3)*('CASE MASTER'!$W$2:$W$495&gt;=3)*('CASE MASTER'!$V$2:$V$495&lt;=10)*('CASE MASTER'!$X$2:$X$495&gt;=10))*ROW('CASE MASTER'!$T$2:$T$495))-(ROW('CASE MASTER'!#REF!)-1))))+1))-1)*50+1,50))&amp;"_"&amp;INDEX('CASE MASTER'!$Q$2:$Q$495,(SUMPRODUCT((('CASE MASTER'!$T$2:$T$495=12)*('CASE MASTER'!$U$2:$U$495&lt;=3)*('CASE MASTER'!$W$2:$W$495&gt;=3)*('CASE MASTER'!$V$2:$V$495&lt;=10)*('CASE MASTER'!$X$2:$X$495&gt;=10))*ROW('CASE MASTER'!$T$2:$T$495))-(ROW('CASE MASTER'!#REF!)-1))),IF(SUMPRODUCT((('CASE MASTER'!$T$2:$T$495=12)*('CASE MASTER'!$AA$2:$AA$495&lt;=3)*('CASE MASTER'!$AC$2:$AC$495&gt;=3)*('CASE MASTER'!$AB$2:$AB$495&lt;=10)*('CASE MASTER'!$AD$2:$AD$495&gt;=10))*ROW('CASE MASTER'!$T$2:$T$495))&gt;0,INDEX('CASE MASTER'!$Y$2:$Y$495,(SUMPRODUCT((('CASE MASTER'!$T$2:$T$495=12)*('CASE MASTER'!$AA$2:$AA$495&lt;=3)*('CASE MASTER'!$AC$2:$AC$495&gt;=3)*('CASE MASTER'!$AB$2:$AB$495&lt;=10)*('CASE MASTER'!$AD$2:$AD$495&gt;=10))*ROW('CASE MASTER'!$T$2:$T$495))-(ROW('CASE MASTER'!#REF!)-1)))&amp;TRIM(MID(SUBSTITUTE(SUBSTITUTE(INDEX('CASE MASTER'!$N$2:$N$495,(SUMPRODUCT((('CASE MASTER'!$T$2:$T$495=12)*('CASE MASTER'!$AA$2:$AA$495&lt;=3)*('CASE MASTER'!$AC$2:$AC$495&gt;=3)*('CASE MASTER'!$AB$2:$AB$495&lt;=10)*('CASE MASTER'!$AD$2:$AD$495&gt;=10))*ROW('CASE MASTER'!$T$2:$T$495))-(ROW('CASE MASTER'!#REF!)-1))),":",","),",",REPT(" ",50)),(((INDEX('CASE MASTER'!$Z$2:$Z$495,(SUMPRODUCT((('CASE MASTER'!$T$2:$T$495=12)*('CASE MASTER'!$AA$2:$AA$495&lt;=3)*('CASE MASTER'!$AC$2:$AC$495&gt;=3)*('CASE MASTER'!$AB$2:$AB$495&lt;=10)*('CASE MASTER'!$AD$2:$AD$495&gt;=10))*ROW('CASE MASTER'!$T$2:$T$495))-(ROW('CASE MASTER'!#REF!)-1)))+((3-INDEX('CASE MASTER'!$AA$2:$AA$495,(SUMPRODUCT((('CASE MASTER'!$T$2:$T$495=12)*('CASE MASTER'!$AA$2:$AA$495&lt;=3)*('CASE MASTER'!$AC$2:$AC$495&gt;=3)*('CASE MASTER'!$AB$2:$AB$495&lt;=10)*('CASE MASTER'!$AD$2:$AD$495&gt;=10))*ROW('CASE MASTER'!$T$2:$T$495))-(ROW('CASE MASTER'!#REF!)-1))))*(INDEX('CASE MASTER'!$AD$2:$AD$495,(SUMPRODUCT((('CASE MASTER'!$T$2:$T$495=12)*('CASE MASTER'!$AA$2:$AA$495&lt;=3)*('CASE MASTER'!$AC$2:$AC$495&gt;=3)*('CASE MASTER'!$AB$2:$AB$495&lt;=10)*('CASE MASTER'!$AD$2:$AD$495&gt;=10))*ROW('CASE MASTER'!$T$2:$T$495))-(ROW('CASE MASTER'!#REF!)-1)))-INDEX('CASE MASTER'!$AB$2:$AB$495,(SUMPRODUCT((('CASE MASTER'!$T$2:$T$495=12)*('CASE MASTER'!$AA$2:$AA$495&lt;=3)*('CASE MASTER'!$AC$2:$AC$495&gt;=3)*('CASE MASTER'!$AB$2:$AB$495&lt;=10)*('CASE MASTER'!$AD$2:$AD$495&gt;=10))*ROW('CASE MASTER'!$T$2:$T$495))-(ROW('CASE MASTER'!#REF!)-1)))+1)+(10-INDEX('CASE MASTER'!$AB$2:$AB$495,(SUMPRODUCT((('CASE MASTER'!$T$2:$T$495=12)*('CASE MASTER'!$AA$2:$AA$495&lt;=3)*('CASE MASTER'!$AC$2:$AC$495&gt;=3)*('CASE MASTER'!$AB$2:$AB$495&lt;=10)*('CASE MASTER'!$AD$2:$AD$495&gt;=10))*ROW('CASE MASTER'!$T$2:$T$495))-(ROW('CASE MASTER'!#REF!)-1))))+1)))-1)*50+1,50))&amp;"_"&amp;INDEX('CASE MASTER'!$Q$2:$Q$495,(SUMPRODUCT((('CASE MASTER'!$T$2:$T$495=12)*('CASE MASTER'!$AA$2:$AA$495&lt;=3)*('CASE MASTER'!$AC$2:$AC$495&gt;=3)*('CASE MASTER'!$AB$2:$AB$495&lt;=10)*('CASE MASTER'!$AD$2:$AD$495&gt;=10))*ROW('CASE MASTER'!$T$2:$T$495))-(ROW('CASE MASTER'!#REF!)-1))),"")),"")</f>
        <v/>
      </c>
    </row>
    <row r="160" spans="1:11" ht="15" customHeight="1" x14ac:dyDescent="0.35">
      <c r="A160" s="8" t="s">
        <v>31</v>
      </c>
      <c r="B160" s="10" t="str">
        <f>IFERROR(IF(SUMPRODUCT((('CASE MASTER'!$T$2:$T$495=12)*('CASE MASTER'!$U$2:$U$495&lt;=4)*('CASE MASTER'!$W$2:$W$495&gt;=4)*('CASE MASTER'!$V$2:$V$495&lt;=1)*('CASE MASTER'!$X$2:$X$495&gt;=1))*ROW('CASE MASTER'!$T$2:$T$495))&gt;0,INDEX('CASE MASTER'!$Y$2:$Y$495,(SUMPRODUCT((('CASE MASTER'!$T$2:$T$495=12)*('CASE MASTER'!$U$2:$U$495&lt;=4)*('CASE MASTER'!$W$2:$W$495&gt;=4)*('CASE MASTER'!$V$2:$V$495&lt;=1)*('CASE MASTER'!$X$2:$X$495&gt;=1))*ROW('CASE MASTER'!$T$2:$T$495))-(ROW('CASE MASTER'!#REF!)-1)))&amp;TRIM(MID(SUBSTITUTE(SUBSTITUTE(INDEX('CASE MASTER'!$N$2:$N$495,(SUMPRODUCT((('CASE MASTER'!$T$2:$T$495=12)*('CASE MASTER'!$U$2:$U$495&lt;=4)*('CASE MASTER'!$W$2:$W$495&gt;=4)*('CASE MASTER'!$V$2:$V$495&lt;=1)*('CASE MASTER'!$X$2:$X$495&gt;=1))*ROW('CASE MASTER'!$T$2:$T$495))-(ROW('CASE MASTER'!#REF!)-1))),":",","),",",REPT(" ",50)),((((4-INDEX('CASE MASTER'!$U$2:$U$495,(SUMPRODUCT((('CASE MASTER'!$T$2:$T$495=12)*('CASE MASTER'!$U$2:$U$495&lt;=4)*('CASE MASTER'!$W$2:$W$495&gt;=4)*('CASE MASTER'!$V$2:$V$495&lt;=1)*('CASE MASTER'!$X$2:$X$495&gt;=1))*ROW('CASE MASTER'!$T$2:$T$495))-(ROW('CASE MASTER'!#REF!)-1))))*(INDEX('CASE MASTER'!$X$2:$X$495,(SUMPRODUCT((('CASE MASTER'!$T$2:$T$495=12)*('CASE MASTER'!$U$2:$U$495&lt;=4)*('CASE MASTER'!$W$2:$W$495&gt;=4)*('CASE MASTER'!$V$2:$V$495&lt;=1)*('CASE MASTER'!$X$2:$X$495&gt;=1))*ROW('CASE MASTER'!$T$2:$T$495))-(ROW('CASE MASTER'!#REF!)-1)))-INDEX('CASE MASTER'!$V$2:$V$495,(SUMPRODUCT((('CASE MASTER'!$T$2:$T$495=12)*('CASE MASTER'!$U$2:$U$495&lt;=4)*('CASE MASTER'!$W$2:$W$495&gt;=4)*('CASE MASTER'!$V$2:$V$495&lt;=1)*('CASE MASTER'!$X$2:$X$495&gt;=1))*ROW('CASE MASTER'!$T$2:$T$495))-(ROW('CASE MASTER'!#REF!)-1)))+1)+(1-INDEX('CASE MASTER'!$V$2:$V$495,(SUMPRODUCT((('CASE MASTER'!$T$2:$T$495=12)*('CASE MASTER'!$U$2:$U$495&lt;=4)*('CASE MASTER'!$W$2:$W$495&gt;=4)*('CASE MASTER'!$V$2:$V$495&lt;=1)*('CASE MASTER'!$X$2:$X$495&gt;=1))*ROW('CASE MASTER'!$T$2:$T$495))-(ROW('CASE MASTER'!#REF!)-1))))+1))-1)*50+1,50))&amp;"_"&amp;INDEX('CASE MASTER'!$Q$2:$Q$495,(SUMPRODUCT((('CASE MASTER'!$T$2:$T$495=12)*('CASE MASTER'!$U$2:$U$495&lt;=4)*('CASE MASTER'!$W$2:$W$495&gt;=4)*('CASE MASTER'!$V$2:$V$495&lt;=1)*('CASE MASTER'!$X$2:$X$495&gt;=1))*ROW('CASE MASTER'!$T$2:$T$495))-(ROW('CASE MASTER'!#REF!)-1))),IF(SUMPRODUCT((('CASE MASTER'!$T$2:$T$495=12)*('CASE MASTER'!$AA$2:$AA$495&lt;=4)*('CASE MASTER'!$AC$2:$AC$495&gt;=4)*('CASE MASTER'!$AB$2:$AB$495&lt;=1)*('CASE MASTER'!$AD$2:$AD$495&gt;=1))*ROW('CASE MASTER'!$T$2:$T$495))&gt;0,INDEX('CASE MASTER'!$Y$2:$Y$495,(SUMPRODUCT((('CASE MASTER'!$T$2:$T$495=12)*('CASE MASTER'!$AA$2:$AA$495&lt;=4)*('CASE MASTER'!$AC$2:$AC$495&gt;=4)*('CASE MASTER'!$AB$2:$AB$495&lt;=1)*('CASE MASTER'!$AD$2:$AD$495&gt;=1))*ROW('CASE MASTER'!$T$2:$T$495))-(ROW('CASE MASTER'!#REF!)-1)))&amp;TRIM(MID(SUBSTITUTE(SUBSTITUTE(INDEX('CASE MASTER'!$N$2:$N$495,(SUMPRODUCT((('CASE MASTER'!$T$2:$T$495=12)*('CASE MASTER'!$AA$2:$AA$495&lt;=4)*('CASE MASTER'!$AC$2:$AC$495&gt;=4)*('CASE MASTER'!$AB$2:$AB$495&lt;=1)*('CASE MASTER'!$AD$2:$AD$495&gt;=1))*ROW('CASE MASTER'!$T$2:$T$495))-(ROW('CASE MASTER'!#REF!)-1))),":",","),",",REPT(" ",50)),(((INDEX('CASE MASTER'!$Z$2:$Z$495,(SUMPRODUCT((('CASE MASTER'!$T$2:$T$495=12)*('CASE MASTER'!$AA$2:$AA$495&lt;=4)*('CASE MASTER'!$AC$2:$AC$495&gt;=4)*('CASE MASTER'!$AB$2:$AB$495&lt;=1)*('CASE MASTER'!$AD$2:$AD$495&gt;=1))*ROW('CASE MASTER'!$T$2:$T$495))-(ROW('CASE MASTER'!#REF!)-1)))+((4-INDEX('CASE MASTER'!$AA$2:$AA$495,(SUMPRODUCT((('CASE MASTER'!$T$2:$T$495=12)*('CASE MASTER'!$AA$2:$AA$495&lt;=4)*('CASE MASTER'!$AC$2:$AC$495&gt;=4)*('CASE MASTER'!$AB$2:$AB$495&lt;=1)*('CASE MASTER'!$AD$2:$AD$495&gt;=1))*ROW('CASE MASTER'!$T$2:$T$495))-(ROW('CASE MASTER'!#REF!)-1))))*(INDEX('CASE MASTER'!$AD$2:$AD$495,(SUMPRODUCT((('CASE MASTER'!$T$2:$T$495=12)*('CASE MASTER'!$AA$2:$AA$495&lt;=4)*('CASE MASTER'!$AC$2:$AC$495&gt;=4)*('CASE MASTER'!$AB$2:$AB$495&lt;=1)*('CASE MASTER'!$AD$2:$AD$495&gt;=1))*ROW('CASE MASTER'!$T$2:$T$495))-(ROW('CASE MASTER'!#REF!)-1)))-INDEX('CASE MASTER'!$AB$2:$AB$495,(SUMPRODUCT((('CASE MASTER'!$T$2:$T$495=12)*('CASE MASTER'!$AA$2:$AA$495&lt;=4)*('CASE MASTER'!$AC$2:$AC$495&gt;=4)*('CASE MASTER'!$AB$2:$AB$495&lt;=1)*('CASE MASTER'!$AD$2:$AD$495&gt;=1))*ROW('CASE MASTER'!$T$2:$T$495))-(ROW('CASE MASTER'!#REF!)-1)))+1)+(1-INDEX('CASE MASTER'!$AB$2:$AB$495,(SUMPRODUCT((('CASE MASTER'!$T$2:$T$495=12)*('CASE MASTER'!$AA$2:$AA$495&lt;=4)*('CASE MASTER'!$AC$2:$AC$495&gt;=4)*('CASE MASTER'!$AB$2:$AB$495&lt;=1)*('CASE MASTER'!$AD$2:$AD$495&gt;=1))*ROW('CASE MASTER'!$T$2:$T$495))-(ROW('CASE MASTER'!#REF!)-1))))+1)))-1)*50+1,50))&amp;"_"&amp;INDEX('CASE MASTER'!$Q$2:$Q$495,(SUMPRODUCT((('CASE MASTER'!$T$2:$T$495=12)*('CASE MASTER'!$AA$2:$AA$495&lt;=4)*('CASE MASTER'!$AC$2:$AC$495&gt;=4)*('CASE MASTER'!$AB$2:$AB$495&lt;=1)*('CASE MASTER'!$AD$2:$AD$495&gt;=1))*ROW('CASE MASTER'!$T$2:$T$495))-(ROW('CASE MASTER'!#REF!)-1))),"")),"")</f>
        <v/>
      </c>
      <c r="C160" s="10" t="str">
        <f>IFERROR(IF(SUMPRODUCT((('CASE MASTER'!$T$2:$T$495=12)*('CASE MASTER'!$U$2:$U$495&lt;=4)*('CASE MASTER'!$W$2:$W$495&gt;=4)*('CASE MASTER'!$V$2:$V$495&lt;=2)*('CASE MASTER'!$X$2:$X$495&gt;=2))*ROW('CASE MASTER'!$T$2:$T$495))&gt;0,INDEX('CASE MASTER'!$Y$2:$Y$495,(SUMPRODUCT((('CASE MASTER'!$T$2:$T$495=12)*('CASE MASTER'!$U$2:$U$495&lt;=4)*('CASE MASTER'!$W$2:$W$495&gt;=4)*('CASE MASTER'!$V$2:$V$495&lt;=2)*('CASE MASTER'!$X$2:$X$495&gt;=2))*ROW('CASE MASTER'!$T$2:$T$495))-(ROW('CASE MASTER'!#REF!)-1)))&amp;TRIM(MID(SUBSTITUTE(SUBSTITUTE(INDEX('CASE MASTER'!$N$2:$N$495,(SUMPRODUCT((('CASE MASTER'!$T$2:$T$495=12)*('CASE MASTER'!$U$2:$U$495&lt;=4)*('CASE MASTER'!$W$2:$W$495&gt;=4)*('CASE MASTER'!$V$2:$V$495&lt;=2)*('CASE MASTER'!$X$2:$X$495&gt;=2))*ROW('CASE MASTER'!$T$2:$T$495))-(ROW('CASE MASTER'!#REF!)-1))),":",","),",",REPT(" ",50)),((((4-INDEX('CASE MASTER'!$U$2:$U$495,(SUMPRODUCT((('CASE MASTER'!$T$2:$T$495=12)*('CASE MASTER'!$U$2:$U$495&lt;=4)*('CASE MASTER'!$W$2:$W$495&gt;=4)*('CASE MASTER'!$V$2:$V$495&lt;=2)*('CASE MASTER'!$X$2:$X$495&gt;=2))*ROW('CASE MASTER'!$T$2:$T$495))-(ROW('CASE MASTER'!#REF!)-1))))*(INDEX('CASE MASTER'!$X$2:$X$495,(SUMPRODUCT((('CASE MASTER'!$T$2:$T$495=12)*('CASE MASTER'!$U$2:$U$495&lt;=4)*('CASE MASTER'!$W$2:$W$495&gt;=4)*('CASE MASTER'!$V$2:$V$495&lt;=2)*('CASE MASTER'!$X$2:$X$495&gt;=2))*ROW('CASE MASTER'!$T$2:$T$495))-(ROW('CASE MASTER'!#REF!)-1)))-INDEX('CASE MASTER'!$V$2:$V$495,(SUMPRODUCT((('CASE MASTER'!$T$2:$T$495=12)*('CASE MASTER'!$U$2:$U$495&lt;=4)*('CASE MASTER'!$W$2:$W$495&gt;=4)*('CASE MASTER'!$V$2:$V$495&lt;=2)*('CASE MASTER'!$X$2:$X$495&gt;=2))*ROW('CASE MASTER'!$T$2:$T$495))-(ROW('CASE MASTER'!#REF!)-1)))+1)+(2-INDEX('CASE MASTER'!$V$2:$V$495,(SUMPRODUCT((('CASE MASTER'!$T$2:$T$495=12)*('CASE MASTER'!$U$2:$U$495&lt;=4)*('CASE MASTER'!$W$2:$W$495&gt;=4)*('CASE MASTER'!$V$2:$V$495&lt;=2)*('CASE MASTER'!$X$2:$X$495&gt;=2))*ROW('CASE MASTER'!$T$2:$T$495))-(ROW('CASE MASTER'!#REF!)-1))))+1))-1)*50+1,50))&amp;"_"&amp;INDEX('CASE MASTER'!$Q$2:$Q$495,(SUMPRODUCT((('CASE MASTER'!$T$2:$T$495=12)*('CASE MASTER'!$U$2:$U$495&lt;=4)*('CASE MASTER'!$W$2:$W$495&gt;=4)*('CASE MASTER'!$V$2:$V$495&lt;=2)*('CASE MASTER'!$X$2:$X$495&gt;=2))*ROW('CASE MASTER'!$T$2:$T$495))-(ROW('CASE MASTER'!#REF!)-1))),IF(SUMPRODUCT((('CASE MASTER'!$T$2:$T$495=12)*('CASE MASTER'!$AA$2:$AA$495&lt;=4)*('CASE MASTER'!$AC$2:$AC$495&gt;=4)*('CASE MASTER'!$AB$2:$AB$495&lt;=2)*('CASE MASTER'!$AD$2:$AD$495&gt;=2))*ROW('CASE MASTER'!$T$2:$T$495))&gt;0,INDEX('CASE MASTER'!$Y$2:$Y$495,(SUMPRODUCT((('CASE MASTER'!$T$2:$T$495=12)*('CASE MASTER'!$AA$2:$AA$495&lt;=4)*('CASE MASTER'!$AC$2:$AC$495&gt;=4)*('CASE MASTER'!$AB$2:$AB$495&lt;=2)*('CASE MASTER'!$AD$2:$AD$495&gt;=2))*ROW('CASE MASTER'!$T$2:$T$495))-(ROW('CASE MASTER'!#REF!)-1)))&amp;TRIM(MID(SUBSTITUTE(SUBSTITUTE(INDEX('CASE MASTER'!$N$2:$N$495,(SUMPRODUCT((('CASE MASTER'!$T$2:$T$495=12)*('CASE MASTER'!$AA$2:$AA$495&lt;=4)*('CASE MASTER'!$AC$2:$AC$495&gt;=4)*('CASE MASTER'!$AB$2:$AB$495&lt;=2)*('CASE MASTER'!$AD$2:$AD$495&gt;=2))*ROW('CASE MASTER'!$T$2:$T$495))-(ROW('CASE MASTER'!#REF!)-1))),":",","),",",REPT(" ",50)),(((INDEX('CASE MASTER'!$Z$2:$Z$495,(SUMPRODUCT((('CASE MASTER'!$T$2:$T$495=12)*('CASE MASTER'!$AA$2:$AA$495&lt;=4)*('CASE MASTER'!$AC$2:$AC$495&gt;=4)*('CASE MASTER'!$AB$2:$AB$495&lt;=2)*('CASE MASTER'!$AD$2:$AD$495&gt;=2))*ROW('CASE MASTER'!$T$2:$T$495))-(ROW('CASE MASTER'!#REF!)-1)))+((4-INDEX('CASE MASTER'!$AA$2:$AA$495,(SUMPRODUCT((('CASE MASTER'!$T$2:$T$495=12)*('CASE MASTER'!$AA$2:$AA$495&lt;=4)*('CASE MASTER'!$AC$2:$AC$495&gt;=4)*('CASE MASTER'!$AB$2:$AB$495&lt;=2)*('CASE MASTER'!$AD$2:$AD$495&gt;=2))*ROW('CASE MASTER'!$T$2:$T$495))-(ROW('CASE MASTER'!#REF!)-1))))*(INDEX('CASE MASTER'!$AD$2:$AD$495,(SUMPRODUCT((('CASE MASTER'!$T$2:$T$495=12)*('CASE MASTER'!$AA$2:$AA$495&lt;=4)*('CASE MASTER'!$AC$2:$AC$495&gt;=4)*('CASE MASTER'!$AB$2:$AB$495&lt;=2)*('CASE MASTER'!$AD$2:$AD$495&gt;=2))*ROW('CASE MASTER'!$T$2:$T$495))-(ROW('CASE MASTER'!#REF!)-1)))-INDEX('CASE MASTER'!$AB$2:$AB$495,(SUMPRODUCT((('CASE MASTER'!$T$2:$T$495=12)*('CASE MASTER'!$AA$2:$AA$495&lt;=4)*('CASE MASTER'!$AC$2:$AC$495&gt;=4)*('CASE MASTER'!$AB$2:$AB$495&lt;=2)*('CASE MASTER'!$AD$2:$AD$495&gt;=2))*ROW('CASE MASTER'!$T$2:$T$495))-(ROW('CASE MASTER'!#REF!)-1)))+1)+(2-INDEX('CASE MASTER'!$AB$2:$AB$495,(SUMPRODUCT((('CASE MASTER'!$T$2:$T$495=12)*('CASE MASTER'!$AA$2:$AA$495&lt;=4)*('CASE MASTER'!$AC$2:$AC$495&gt;=4)*('CASE MASTER'!$AB$2:$AB$495&lt;=2)*('CASE MASTER'!$AD$2:$AD$495&gt;=2))*ROW('CASE MASTER'!$T$2:$T$495))-(ROW('CASE MASTER'!#REF!)-1))))+1)))-1)*50+1,50))&amp;"_"&amp;INDEX('CASE MASTER'!$Q$2:$Q$495,(SUMPRODUCT((('CASE MASTER'!$T$2:$T$495=12)*('CASE MASTER'!$AA$2:$AA$495&lt;=4)*('CASE MASTER'!$AC$2:$AC$495&gt;=4)*('CASE MASTER'!$AB$2:$AB$495&lt;=2)*('CASE MASTER'!$AD$2:$AD$495&gt;=2))*ROW('CASE MASTER'!$T$2:$T$495))-(ROW('CASE MASTER'!#REF!)-1))),"")),"")</f>
        <v/>
      </c>
      <c r="D160" s="10" t="str">
        <f>IFERROR(IF(SUMPRODUCT((('CASE MASTER'!$T$2:$T$495=12)*('CASE MASTER'!$U$2:$U$495&lt;=4)*('CASE MASTER'!$W$2:$W$495&gt;=4)*('CASE MASTER'!$V$2:$V$495&lt;=3)*('CASE MASTER'!$X$2:$X$495&gt;=3))*ROW('CASE MASTER'!$T$2:$T$495))&gt;0,INDEX('CASE MASTER'!$Y$2:$Y$495,(SUMPRODUCT((('CASE MASTER'!$T$2:$T$495=12)*('CASE MASTER'!$U$2:$U$495&lt;=4)*('CASE MASTER'!$W$2:$W$495&gt;=4)*('CASE MASTER'!$V$2:$V$495&lt;=3)*('CASE MASTER'!$X$2:$X$495&gt;=3))*ROW('CASE MASTER'!$T$2:$T$495))-(ROW('CASE MASTER'!#REF!)-1)))&amp;TRIM(MID(SUBSTITUTE(SUBSTITUTE(INDEX('CASE MASTER'!$N$2:$N$495,(SUMPRODUCT((('CASE MASTER'!$T$2:$T$495=12)*('CASE MASTER'!$U$2:$U$495&lt;=4)*('CASE MASTER'!$W$2:$W$495&gt;=4)*('CASE MASTER'!$V$2:$V$495&lt;=3)*('CASE MASTER'!$X$2:$X$495&gt;=3))*ROW('CASE MASTER'!$T$2:$T$495))-(ROW('CASE MASTER'!#REF!)-1))),":",","),",",REPT(" ",50)),((((4-INDEX('CASE MASTER'!$U$2:$U$495,(SUMPRODUCT((('CASE MASTER'!$T$2:$T$495=12)*('CASE MASTER'!$U$2:$U$495&lt;=4)*('CASE MASTER'!$W$2:$W$495&gt;=4)*('CASE MASTER'!$V$2:$V$495&lt;=3)*('CASE MASTER'!$X$2:$X$495&gt;=3))*ROW('CASE MASTER'!$T$2:$T$495))-(ROW('CASE MASTER'!#REF!)-1))))*(INDEX('CASE MASTER'!$X$2:$X$495,(SUMPRODUCT((('CASE MASTER'!$T$2:$T$495=12)*('CASE MASTER'!$U$2:$U$495&lt;=4)*('CASE MASTER'!$W$2:$W$495&gt;=4)*('CASE MASTER'!$V$2:$V$495&lt;=3)*('CASE MASTER'!$X$2:$X$495&gt;=3))*ROW('CASE MASTER'!$T$2:$T$495))-(ROW('CASE MASTER'!#REF!)-1)))-INDEX('CASE MASTER'!$V$2:$V$495,(SUMPRODUCT((('CASE MASTER'!$T$2:$T$495=12)*('CASE MASTER'!$U$2:$U$495&lt;=4)*('CASE MASTER'!$W$2:$W$495&gt;=4)*('CASE MASTER'!$V$2:$V$495&lt;=3)*('CASE MASTER'!$X$2:$X$495&gt;=3))*ROW('CASE MASTER'!$T$2:$T$495))-(ROW('CASE MASTER'!#REF!)-1)))+1)+(3-INDEX('CASE MASTER'!$V$2:$V$495,(SUMPRODUCT((('CASE MASTER'!$T$2:$T$495=12)*('CASE MASTER'!$U$2:$U$495&lt;=4)*('CASE MASTER'!$W$2:$W$495&gt;=4)*('CASE MASTER'!$V$2:$V$495&lt;=3)*('CASE MASTER'!$X$2:$X$495&gt;=3))*ROW('CASE MASTER'!$T$2:$T$495))-(ROW('CASE MASTER'!#REF!)-1))))+1))-1)*50+1,50))&amp;"_"&amp;INDEX('CASE MASTER'!$Q$2:$Q$495,(SUMPRODUCT((('CASE MASTER'!$T$2:$T$495=12)*('CASE MASTER'!$U$2:$U$495&lt;=4)*('CASE MASTER'!$W$2:$W$495&gt;=4)*('CASE MASTER'!$V$2:$V$495&lt;=3)*('CASE MASTER'!$X$2:$X$495&gt;=3))*ROW('CASE MASTER'!$T$2:$T$495))-(ROW('CASE MASTER'!#REF!)-1))),IF(SUMPRODUCT((('CASE MASTER'!$T$2:$T$495=12)*('CASE MASTER'!$AA$2:$AA$495&lt;=4)*('CASE MASTER'!$AC$2:$AC$495&gt;=4)*('CASE MASTER'!$AB$2:$AB$495&lt;=3)*('CASE MASTER'!$AD$2:$AD$495&gt;=3))*ROW('CASE MASTER'!$T$2:$T$495))&gt;0,INDEX('CASE MASTER'!$Y$2:$Y$495,(SUMPRODUCT((('CASE MASTER'!$T$2:$T$495=12)*('CASE MASTER'!$AA$2:$AA$495&lt;=4)*('CASE MASTER'!$AC$2:$AC$495&gt;=4)*('CASE MASTER'!$AB$2:$AB$495&lt;=3)*('CASE MASTER'!$AD$2:$AD$495&gt;=3))*ROW('CASE MASTER'!$T$2:$T$495))-(ROW('CASE MASTER'!#REF!)-1)))&amp;TRIM(MID(SUBSTITUTE(SUBSTITUTE(INDEX('CASE MASTER'!$N$2:$N$495,(SUMPRODUCT((('CASE MASTER'!$T$2:$T$495=12)*('CASE MASTER'!$AA$2:$AA$495&lt;=4)*('CASE MASTER'!$AC$2:$AC$495&gt;=4)*('CASE MASTER'!$AB$2:$AB$495&lt;=3)*('CASE MASTER'!$AD$2:$AD$495&gt;=3))*ROW('CASE MASTER'!$T$2:$T$495))-(ROW('CASE MASTER'!#REF!)-1))),":",","),",",REPT(" ",50)),(((INDEX('CASE MASTER'!$Z$2:$Z$495,(SUMPRODUCT((('CASE MASTER'!$T$2:$T$495=12)*('CASE MASTER'!$AA$2:$AA$495&lt;=4)*('CASE MASTER'!$AC$2:$AC$495&gt;=4)*('CASE MASTER'!$AB$2:$AB$495&lt;=3)*('CASE MASTER'!$AD$2:$AD$495&gt;=3))*ROW('CASE MASTER'!$T$2:$T$495))-(ROW('CASE MASTER'!#REF!)-1)))+((4-INDEX('CASE MASTER'!$AA$2:$AA$495,(SUMPRODUCT((('CASE MASTER'!$T$2:$T$495=12)*('CASE MASTER'!$AA$2:$AA$495&lt;=4)*('CASE MASTER'!$AC$2:$AC$495&gt;=4)*('CASE MASTER'!$AB$2:$AB$495&lt;=3)*('CASE MASTER'!$AD$2:$AD$495&gt;=3))*ROW('CASE MASTER'!$T$2:$T$495))-(ROW('CASE MASTER'!#REF!)-1))))*(INDEX('CASE MASTER'!$AD$2:$AD$495,(SUMPRODUCT((('CASE MASTER'!$T$2:$T$495=12)*('CASE MASTER'!$AA$2:$AA$495&lt;=4)*('CASE MASTER'!$AC$2:$AC$495&gt;=4)*('CASE MASTER'!$AB$2:$AB$495&lt;=3)*('CASE MASTER'!$AD$2:$AD$495&gt;=3))*ROW('CASE MASTER'!$T$2:$T$495))-(ROW('CASE MASTER'!#REF!)-1)))-INDEX('CASE MASTER'!$AB$2:$AB$495,(SUMPRODUCT((('CASE MASTER'!$T$2:$T$495=12)*('CASE MASTER'!$AA$2:$AA$495&lt;=4)*('CASE MASTER'!$AC$2:$AC$495&gt;=4)*('CASE MASTER'!$AB$2:$AB$495&lt;=3)*('CASE MASTER'!$AD$2:$AD$495&gt;=3))*ROW('CASE MASTER'!$T$2:$T$495))-(ROW('CASE MASTER'!#REF!)-1)))+1)+(3-INDEX('CASE MASTER'!$AB$2:$AB$495,(SUMPRODUCT((('CASE MASTER'!$T$2:$T$495=12)*('CASE MASTER'!$AA$2:$AA$495&lt;=4)*('CASE MASTER'!$AC$2:$AC$495&gt;=4)*('CASE MASTER'!$AB$2:$AB$495&lt;=3)*('CASE MASTER'!$AD$2:$AD$495&gt;=3))*ROW('CASE MASTER'!$T$2:$T$495))-(ROW('CASE MASTER'!#REF!)-1))))+1)))-1)*50+1,50))&amp;"_"&amp;INDEX('CASE MASTER'!$Q$2:$Q$495,(SUMPRODUCT((('CASE MASTER'!$T$2:$T$495=12)*('CASE MASTER'!$AA$2:$AA$495&lt;=4)*('CASE MASTER'!$AC$2:$AC$495&gt;=4)*('CASE MASTER'!$AB$2:$AB$495&lt;=3)*('CASE MASTER'!$AD$2:$AD$495&gt;=3))*ROW('CASE MASTER'!$T$2:$T$495))-(ROW('CASE MASTER'!#REF!)-1))),"")),"")</f>
        <v/>
      </c>
      <c r="E160" s="10" t="str">
        <f>IFERROR(IF(SUMPRODUCT((('CASE MASTER'!$T$2:$T$495=12)*('CASE MASTER'!$U$2:$U$495&lt;=4)*('CASE MASTER'!$W$2:$W$495&gt;=4)*('CASE MASTER'!$V$2:$V$495&lt;=4)*('CASE MASTER'!$X$2:$X$495&gt;=4))*ROW('CASE MASTER'!$T$2:$T$495))&gt;0,INDEX('CASE MASTER'!$Y$2:$Y$495,(SUMPRODUCT((('CASE MASTER'!$T$2:$T$495=12)*('CASE MASTER'!$U$2:$U$495&lt;=4)*('CASE MASTER'!$W$2:$W$495&gt;=4)*('CASE MASTER'!$V$2:$V$495&lt;=4)*('CASE MASTER'!$X$2:$X$495&gt;=4))*ROW('CASE MASTER'!$T$2:$T$495))-(ROW('CASE MASTER'!#REF!)-1)))&amp;TRIM(MID(SUBSTITUTE(SUBSTITUTE(INDEX('CASE MASTER'!$N$2:$N$495,(SUMPRODUCT((('CASE MASTER'!$T$2:$T$495=12)*('CASE MASTER'!$U$2:$U$495&lt;=4)*('CASE MASTER'!$W$2:$W$495&gt;=4)*('CASE MASTER'!$V$2:$V$495&lt;=4)*('CASE MASTER'!$X$2:$X$495&gt;=4))*ROW('CASE MASTER'!$T$2:$T$495))-(ROW('CASE MASTER'!#REF!)-1))),":",","),",",REPT(" ",50)),((((4-INDEX('CASE MASTER'!$U$2:$U$495,(SUMPRODUCT((('CASE MASTER'!$T$2:$T$495=12)*('CASE MASTER'!$U$2:$U$495&lt;=4)*('CASE MASTER'!$W$2:$W$495&gt;=4)*('CASE MASTER'!$V$2:$V$495&lt;=4)*('CASE MASTER'!$X$2:$X$495&gt;=4))*ROW('CASE MASTER'!$T$2:$T$495))-(ROW('CASE MASTER'!#REF!)-1))))*(INDEX('CASE MASTER'!$X$2:$X$495,(SUMPRODUCT((('CASE MASTER'!$T$2:$T$495=12)*('CASE MASTER'!$U$2:$U$495&lt;=4)*('CASE MASTER'!$W$2:$W$495&gt;=4)*('CASE MASTER'!$V$2:$V$495&lt;=4)*('CASE MASTER'!$X$2:$X$495&gt;=4))*ROW('CASE MASTER'!$T$2:$T$495))-(ROW('CASE MASTER'!#REF!)-1)))-INDEX('CASE MASTER'!$V$2:$V$495,(SUMPRODUCT((('CASE MASTER'!$T$2:$T$495=12)*('CASE MASTER'!$U$2:$U$495&lt;=4)*('CASE MASTER'!$W$2:$W$495&gt;=4)*('CASE MASTER'!$V$2:$V$495&lt;=4)*('CASE MASTER'!$X$2:$X$495&gt;=4))*ROW('CASE MASTER'!$T$2:$T$495))-(ROW('CASE MASTER'!#REF!)-1)))+1)+(4-INDEX('CASE MASTER'!$V$2:$V$495,(SUMPRODUCT((('CASE MASTER'!$T$2:$T$495=12)*('CASE MASTER'!$U$2:$U$495&lt;=4)*('CASE MASTER'!$W$2:$W$495&gt;=4)*('CASE MASTER'!$V$2:$V$495&lt;=4)*('CASE MASTER'!$X$2:$X$495&gt;=4))*ROW('CASE MASTER'!$T$2:$T$495))-(ROW('CASE MASTER'!#REF!)-1))))+1))-1)*50+1,50))&amp;"_"&amp;INDEX('CASE MASTER'!$Q$2:$Q$495,(SUMPRODUCT((('CASE MASTER'!$T$2:$T$495=12)*('CASE MASTER'!$U$2:$U$495&lt;=4)*('CASE MASTER'!$W$2:$W$495&gt;=4)*('CASE MASTER'!$V$2:$V$495&lt;=4)*('CASE MASTER'!$X$2:$X$495&gt;=4))*ROW('CASE MASTER'!$T$2:$T$495))-(ROW('CASE MASTER'!#REF!)-1))),IF(SUMPRODUCT((('CASE MASTER'!$T$2:$T$495=12)*('CASE MASTER'!$AA$2:$AA$495&lt;=4)*('CASE MASTER'!$AC$2:$AC$495&gt;=4)*('CASE MASTER'!$AB$2:$AB$495&lt;=4)*('CASE MASTER'!$AD$2:$AD$495&gt;=4))*ROW('CASE MASTER'!$T$2:$T$495))&gt;0,INDEX('CASE MASTER'!$Y$2:$Y$495,(SUMPRODUCT((('CASE MASTER'!$T$2:$T$495=12)*('CASE MASTER'!$AA$2:$AA$495&lt;=4)*('CASE MASTER'!$AC$2:$AC$495&gt;=4)*('CASE MASTER'!$AB$2:$AB$495&lt;=4)*('CASE MASTER'!$AD$2:$AD$495&gt;=4))*ROW('CASE MASTER'!$T$2:$T$495))-(ROW('CASE MASTER'!#REF!)-1)))&amp;TRIM(MID(SUBSTITUTE(SUBSTITUTE(INDEX('CASE MASTER'!$N$2:$N$495,(SUMPRODUCT((('CASE MASTER'!$T$2:$T$495=12)*('CASE MASTER'!$AA$2:$AA$495&lt;=4)*('CASE MASTER'!$AC$2:$AC$495&gt;=4)*('CASE MASTER'!$AB$2:$AB$495&lt;=4)*('CASE MASTER'!$AD$2:$AD$495&gt;=4))*ROW('CASE MASTER'!$T$2:$T$495))-(ROW('CASE MASTER'!#REF!)-1))),":",","),",",REPT(" ",50)),(((INDEX('CASE MASTER'!$Z$2:$Z$495,(SUMPRODUCT((('CASE MASTER'!$T$2:$T$495=12)*('CASE MASTER'!$AA$2:$AA$495&lt;=4)*('CASE MASTER'!$AC$2:$AC$495&gt;=4)*('CASE MASTER'!$AB$2:$AB$495&lt;=4)*('CASE MASTER'!$AD$2:$AD$495&gt;=4))*ROW('CASE MASTER'!$T$2:$T$495))-(ROW('CASE MASTER'!#REF!)-1)))+((4-INDEX('CASE MASTER'!$AA$2:$AA$495,(SUMPRODUCT((('CASE MASTER'!$T$2:$T$495=12)*('CASE MASTER'!$AA$2:$AA$495&lt;=4)*('CASE MASTER'!$AC$2:$AC$495&gt;=4)*('CASE MASTER'!$AB$2:$AB$495&lt;=4)*('CASE MASTER'!$AD$2:$AD$495&gt;=4))*ROW('CASE MASTER'!$T$2:$T$495))-(ROW('CASE MASTER'!#REF!)-1))))*(INDEX('CASE MASTER'!$AD$2:$AD$495,(SUMPRODUCT((('CASE MASTER'!$T$2:$T$495=12)*('CASE MASTER'!$AA$2:$AA$495&lt;=4)*('CASE MASTER'!$AC$2:$AC$495&gt;=4)*('CASE MASTER'!$AB$2:$AB$495&lt;=4)*('CASE MASTER'!$AD$2:$AD$495&gt;=4))*ROW('CASE MASTER'!$T$2:$T$495))-(ROW('CASE MASTER'!#REF!)-1)))-INDEX('CASE MASTER'!$AB$2:$AB$495,(SUMPRODUCT((('CASE MASTER'!$T$2:$T$495=12)*('CASE MASTER'!$AA$2:$AA$495&lt;=4)*('CASE MASTER'!$AC$2:$AC$495&gt;=4)*('CASE MASTER'!$AB$2:$AB$495&lt;=4)*('CASE MASTER'!$AD$2:$AD$495&gt;=4))*ROW('CASE MASTER'!$T$2:$T$495))-(ROW('CASE MASTER'!#REF!)-1)))+1)+(4-INDEX('CASE MASTER'!$AB$2:$AB$495,(SUMPRODUCT((('CASE MASTER'!$T$2:$T$495=12)*('CASE MASTER'!$AA$2:$AA$495&lt;=4)*('CASE MASTER'!$AC$2:$AC$495&gt;=4)*('CASE MASTER'!$AB$2:$AB$495&lt;=4)*('CASE MASTER'!$AD$2:$AD$495&gt;=4))*ROW('CASE MASTER'!$T$2:$T$495))-(ROW('CASE MASTER'!#REF!)-1))))+1)))-1)*50+1,50))&amp;"_"&amp;INDEX('CASE MASTER'!$Q$2:$Q$495,(SUMPRODUCT((('CASE MASTER'!$T$2:$T$495=12)*('CASE MASTER'!$AA$2:$AA$495&lt;=4)*('CASE MASTER'!$AC$2:$AC$495&gt;=4)*('CASE MASTER'!$AB$2:$AB$495&lt;=4)*('CASE MASTER'!$AD$2:$AD$495&gt;=4))*ROW('CASE MASTER'!$T$2:$T$495))-(ROW('CASE MASTER'!#REF!)-1))),"")),"")</f>
        <v/>
      </c>
      <c r="F160" s="10" t="str">
        <f>IFERROR(IF(SUMPRODUCT((('CASE MASTER'!$T$2:$T$495=12)*('CASE MASTER'!$U$2:$U$495&lt;=4)*('CASE MASTER'!$W$2:$W$495&gt;=4)*('CASE MASTER'!$V$2:$V$495&lt;=5)*('CASE MASTER'!$X$2:$X$495&gt;=5))*ROW('CASE MASTER'!$T$2:$T$495))&gt;0,INDEX('CASE MASTER'!$Y$2:$Y$495,(SUMPRODUCT((('CASE MASTER'!$T$2:$T$495=12)*('CASE MASTER'!$U$2:$U$495&lt;=4)*('CASE MASTER'!$W$2:$W$495&gt;=4)*('CASE MASTER'!$V$2:$V$495&lt;=5)*('CASE MASTER'!$X$2:$X$495&gt;=5))*ROW('CASE MASTER'!$T$2:$T$495))-(ROW('CASE MASTER'!#REF!)-1)))&amp;TRIM(MID(SUBSTITUTE(SUBSTITUTE(INDEX('CASE MASTER'!$N$2:$N$495,(SUMPRODUCT((('CASE MASTER'!$T$2:$T$495=12)*('CASE MASTER'!$U$2:$U$495&lt;=4)*('CASE MASTER'!$W$2:$W$495&gt;=4)*('CASE MASTER'!$V$2:$V$495&lt;=5)*('CASE MASTER'!$X$2:$X$495&gt;=5))*ROW('CASE MASTER'!$T$2:$T$495))-(ROW('CASE MASTER'!#REF!)-1))),":",","),",",REPT(" ",50)),((((4-INDEX('CASE MASTER'!$U$2:$U$495,(SUMPRODUCT((('CASE MASTER'!$T$2:$T$495=12)*('CASE MASTER'!$U$2:$U$495&lt;=4)*('CASE MASTER'!$W$2:$W$495&gt;=4)*('CASE MASTER'!$V$2:$V$495&lt;=5)*('CASE MASTER'!$X$2:$X$495&gt;=5))*ROW('CASE MASTER'!$T$2:$T$495))-(ROW('CASE MASTER'!#REF!)-1))))*(INDEX('CASE MASTER'!$X$2:$X$495,(SUMPRODUCT((('CASE MASTER'!$T$2:$T$495=12)*('CASE MASTER'!$U$2:$U$495&lt;=4)*('CASE MASTER'!$W$2:$W$495&gt;=4)*('CASE MASTER'!$V$2:$V$495&lt;=5)*('CASE MASTER'!$X$2:$X$495&gt;=5))*ROW('CASE MASTER'!$T$2:$T$495))-(ROW('CASE MASTER'!#REF!)-1)))-INDEX('CASE MASTER'!$V$2:$V$495,(SUMPRODUCT((('CASE MASTER'!$T$2:$T$495=12)*('CASE MASTER'!$U$2:$U$495&lt;=4)*('CASE MASTER'!$W$2:$W$495&gt;=4)*('CASE MASTER'!$V$2:$V$495&lt;=5)*('CASE MASTER'!$X$2:$X$495&gt;=5))*ROW('CASE MASTER'!$T$2:$T$495))-(ROW('CASE MASTER'!#REF!)-1)))+1)+(5-INDEX('CASE MASTER'!$V$2:$V$495,(SUMPRODUCT((('CASE MASTER'!$T$2:$T$495=12)*('CASE MASTER'!$U$2:$U$495&lt;=4)*('CASE MASTER'!$W$2:$W$495&gt;=4)*('CASE MASTER'!$V$2:$V$495&lt;=5)*('CASE MASTER'!$X$2:$X$495&gt;=5))*ROW('CASE MASTER'!$T$2:$T$495))-(ROW('CASE MASTER'!#REF!)-1))))+1))-1)*50+1,50))&amp;"_"&amp;INDEX('CASE MASTER'!$Q$2:$Q$495,(SUMPRODUCT((('CASE MASTER'!$T$2:$T$495=12)*('CASE MASTER'!$U$2:$U$495&lt;=4)*('CASE MASTER'!$W$2:$W$495&gt;=4)*('CASE MASTER'!$V$2:$V$495&lt;=5)*('CASE MASTER'!$X$2:$X$495&gt;=5))*ROW('CASE MASTER'!$T$2:$T$495))-(ROW('CASE MASTER'!#REF!)-1))),IF(SUMPRODUCT((('CASE MASTER'!$T$2:$T$495=12)*('CASE MASTER'!$AA$2:$AA$495&lt;=4)*('CASE MASTER'!$AC$2:$AC$495&gt;=4)*('CASE MASTER'!$AB$2:$AB$495&lt;=5)*('CASE MASTER'!$AD$2:$AD$495&gt;=5))*ROW('CASE MASTER'!$T$2:$T$495))&gt;0,INDEX('CASE MASTER'!$Y$2:$Y$495,(SUMPRODUCT((('CASE MASTER'!$T$2:$T$495=12)*('CASE MASTER'!$AA$2:$AA$495&lt;=4)*('CASE MASTER'!$AC$2:$AC$495&gt;=4)*('CASE MASTER'!$AB$2:$AB$495&lt;=5)*('CASE MASTER'!$AD$2:$AD$495&gt;=5))*ROW('CASE MASTER'!$T$2:$T$495))-(ROW('CASE MASTER'!#REF!)-1)))&amp;TRIM(MID(SUBSTITUTE(SUBSTITUTE(INDEX('CASE MASTER'!$N$2:$N$495,(SUMPRODUCT((('CASE MASTER'!$T$2:$T$495=12)*('CASE MASTER'!$AA$2:$AA$495&lt;=4)*('CASE MASTER'!$AC$2:$AC$495&gt;=4)*('CASE MASTER'!$AB$2:$AB$495&lt;=5)*('CASE MASTER'!$AD$2:$AD$495&gt;=5))*ROW('CASE MASTER'!$T$2:$T$495))-(ROW('CASE MASTER'!#REF!)-1))),":",","),",",REPT(" ",50)),(((INDEX('CASE MASTER'!$Z$2:$Z$495,(SUMPRODUCT((('CASE MASTER'!$T$2:$T$495=12)*('CASE MASTER'!$AA$2:$AA$495&lt;=4)*('CASE MASTER'!$AC$2:$AC$495&gt;=4)*('CASE MASTER'!$AB$2:$AB$495&lt;=5)*('CASE MASTER'!$AD$2:$AD$495&gt;=5))*ROW('CASE MASTER'!$T$2:$T$495))-(ROW('CASE MASTER'!#REF!)-1)))+((4-INDEX('CASE MASTER'!$AA$2:$AA$495,(SUMPRODUCT((('CASE MASTER'!$T$2:$T$495=12)*('CASE MASTER'!$AA$2:$AA$495&lt;=4)*('CASE MASTER'!$AC$2:$AC$495&gt;=4)*('CASE MASTER'!$AB$2:$AB$495&lt;=5)*('CASE MASTER'!$AD$2:$AD$495&gt;=5))*ROW('CASE MASTER'!$T$2:$T$495))-(ROW('CASE MASTER'!#REF!)-1))))*(INDEX('CASE MASTER'!$AD$2:$AD$495,(SUMPRODUCT((('CASE MASTER'!$T$2:$T$495=12)*('CASE MASTER'!$AA$2:$AA$495&lt;=4)*('CASE MASTER'!$AC$2:$AC$495&gt;=4)*('CASE MASTER'!$AB$2:$AB$495&lt;=5)*('CASE MASTER'!$AD$2:$AD$495&gt;=5))*ROW('CASE MASTER'!$T$2:$T$495))-(ROW('CASE MASTER'!#REF!)-1)))-INDEX('CASE MASTER'!$AB$2:$AB$495,(SUMPRODUCT((('CASE MASTER'!$T$2:$T$495=12)*('CASE MASTER'!$AA$2:$AA$495&lt;=4)*('CASE MASTER'!$AC$2:$AC$495&gt;=4)*('CASE MASTER'!$AB$2:$AB$495&lt;=5)*('CASE MASTER'!$AD$2:$AD$495&gt;=5))*ROW('CASE MASTER'!$T$2:$T$495))-(ROW('CASE MASTER'!#REF!)-1)))+1)+(5-INDEX('CASE MASTER'!$AB$2:$AB$495,(SUMPRODUCT((('CASE MASTER'!$T$2:$T$495=12)*('CASE MASTER'!$AA$2:$AA$495&lt;=4)*('CASE MASTER'!$AC$2:$AC$495&gt;=4)*('CASE MASTER'!$AB$2:$AB$495&lt;=5)*('CASE MASTER'!$AD$2:$AD$495&gt;=5))*ROW('CASE MASTER'!$T$2:$T$495))-(ROW('CASE MASTER'!#REF!)-1))))+1)))-1)*50+1,50))&amp;"_"&amp;INDEX('CASE MASTER'!$Q$2:$Q$495,(SUMPRODUCT((('CASE MASTER'!$T$2:$T$495=12)*('CASE MASTER'!$AA$2:$AA$495&lt;=4)*('CASE MASTER'!$AC$2:$AC$495&gt;=4)*('CASE MASTER'!$AB$2:$AB$495&lt;=5)*('CASE MASTER'!$AD$2:$AD$495&gt;=5))*ROW('CASE MASTER'!$T$2:$T$495))-(ROW('CASE MASTER'!#REF!)-1))),"")),"")</f>
        <v/>
      </c>
      <c r="G160" s="10" t="str">
        <f>IFERROR(IF(SUMPRODUCT((('CASE MASTER'!$T$2:$T$495=12)*('CASE MASTER'!$U$2:$U$495&lt;=4)*('CASE MASTER'!$W$2:$W$495&gt;=4)*('CASE MASTER'!$V$2:$V$495&lt;=6)*('CASE MASTER'!$X$2:$X$495&gt;=6))*ROW('CASE MASTER'!$T$2:$T$495))&gt;0,INDEX('CASE MASTER'!$Y$2:$Y$495,(SUMPRODUCT((('CASE MASTER'!$T$2:$T$495=12)*('CASE MASTER'!$U$2:$U$495&lt;=4)*('CASE MASTER'!$W$2:$W$495&gt;=4)*('CASE MASTER'!$V$2:$V$495&lt;=6)*('CASE MASTER'!$X$2:$X$495&gt;=6))*ROW('CASE MASTER'!$T$2:$T$495))-(ROW('CASE MASTER'!#REF!)-1)))&amp;TRIM(MID(SUBSTITUTE(SUBSTITUTE(INDEX('CASE MASTER'!$N$2:$N$495,(SUMPRODUCT((('CASE MASTER'!$T$2:$T$495=12)*('CASE MASTER'!$U$2:$U$495&lt;=4)*('CASE MASTER'!$W$2:$W$495&gt;=4)*('CASE MASTER'!$V$2:$V$495&lt;=6)*('CASE MASTER'!$X$2:$X$495&gt;=6))*ROW('CASE MASTER'!$T$2:$T$495))-(ROW('CASE MASTER'!#REF!)-1))),":",","),",",REPT(" ",50)),((((4-INDEX('CASE MASTER'!$U$2:$U$495,(SUMPRODUCT((('CASE MASTER'!$T$2:$T$495=12)*('CASE MASTER'!$U$2:$U$495&lt;=4)*('CASE MASTER'!$W$2:$W$495&gt;=4)*('CASE MASTER'!$V$2:$V$495&lt;=6)*('CASE MASTER'!$X$2:$X$495&gt;=6))*ROW('CASE MASTER'!$T$2:$T$495))-(ROW('CASE MASTER'!#REF!)-1))))*(INDEX('CASE MASTER'!$X$2:$X$495,(SUMPRODUCT((('CASE MASTER'!$T$2:$T$495=12)*('CASE MASTER'!$U$2:$U$495&lt;=4)*('CASE MASTER'!$W$2:$W$495&gt;=4)*('CASE MASTER'!$V$2:$V$495&lt;=6)*('CASE MASTER'!$X$2:$X$495&gt;=6))*ROW('CASE MASTER'!$T$2:$T$495))-(ROW('CASE MASTER'!#REF!)-1)))-INDEX('CASE MASTER'!$V$2:$V$495,(SUMPRODUCT((('CASE MASTER'!$T$2:$T$495=12)*('CASE MASTER'!$U$2:$U$495&lt;=4)*('CASE MASTER'!$W$2:$W$495&gt;=4)*('CASE MASTER'!$V$2:$V$495&lt;=6)*('CASE MASTER'!$X$2:$X$495&gt;=6))*ROW('CASE MASTER'!$T$2:$T$495))-(ROW('CASE MASTER'!#REF!)-1)))+1)+(6-INDEX('CASE MASTER'!$V$2:$V$495,(SUMPRODUCT((('CASE MASTER'!$T$2:$T$495=12)*('CASE MASTER'!$U$2:$U$495&lt;=4)*('CASE MASTER'!$W$2:$W$495&gt;=4)*('CASE MASTER'!$V$2:$V$495&lt;=6)*('CASE MASTER'!$X$2:$X$495&gt;=6))*ROW('CASE MASTER'!$T$2:$T$495))-(ROW('CASE MASTER'!#REF!)-1))))+1))-1)*50+1,50))&amp;"_"&amp;INDEX('CASE MASTER'!$Q$2:$Q$495,(SUMPRODUCT((('CASE MASTER'!$T$2:$T$495=12)*('CASE MASTER'!$U$2:$U$495&lt;=4)*('CASE MASTER'!$W$2:$W$495&gt;=4)*('CASE MASTER'!$V$2:$V$495&lt;=6)*('CASE MASTER'!$X$2:$X$495&gt;=6))*ROW('CASE MASTER'!$T$2:$T$495))-(ROW('CASE MASTER'!#REF!)-1))),IF(SUMPRODUCT((('CASE MASTER'!$T$2:$T$495=12)*('CASE MASTER'!$AA$2:$AA$495&lt;=4)*('CASE MASTER'!$AC$2:$AC$495&gt;=4)*('CASE MASTER'!$AB$2:$AB$495&lt;=6)*('CASE MASTER'!$AD$2:$AD$495&gt;=6))*ROW('CASE MASTER'!$T$2:$T$495))&gt;0,INDEX('CASE MASTER'!$Y$2:$Y$495,(SUMPRODUCT((('CASE MASTER'!$T$2:$T$495=12)*('CASE MASTER'!$AA$2:$AA$495&lt;=4)*('CASE MASTER'!$AC$2:$AC$495&gt;=4)*('CASE MASTER'!$AB$2:$AB$495&lt;=6)*('CASE MASTER'!$AD$2:$AD$495&gt;=6))*ROW('CASE MASTER'!$T$2:$T$495))-(ROW('CASE MASTER'!#REF!)-1)))&amp;TRIM(MID(SUBSTITUTE(SUBSTITUTE(INDEX('CASE MASTER'!$N$2:$N$495,(SUMPRODUCT((('CASE MASTER'!$T$2:$T$495=12)*('CASE MASTER'!$AA$2:$AA$495&lt;=4)*('CASE MASTER'!$AC$2:$AC$495&gt;=4)*('CASE MASTER'!$AB$2:$AB$495&lt;=6)*('CASE MASTER'!$AD$2:$AD$495&gt;=6))*ROW('CASE MASTER'!$T$2:$T$495))-(ROW('CASE MASTER'!#REF!)-1))),":",","),",",REPT(" ",50)),(((INDEX('CASE MASTER'!$Z$2:$Z$495,(SUMPRODUCT((('CASE MASTER'!$T$2:$T$495=12)*('CASE MASTER'!$AA$2:$AA$495&lt;=4)*('CASE MASTER'!$AC$2:$AC$495&gt;=4)*('CASE MASTER'!$AB$2:$AB$495&lt;=6)*('CASE MASTER'!$AD$2:$AD$495&gt;=6))*ROW('CASE MASTER'!$T$2:$T$495))-(ROW('CASE MASTER'!#REF!)-1)))+((4-INDEX('CASE MASTER'!$AA$2:$AA$495,(SUMPRODUCT((('CASE MASTER'!$T$2:$T$495=12)*('CASE MASTER'!$AA$2:$AA$495&lt;=4)*('CASE MASTER'!$AC$2:$AC$495&gt;=4)*('CASE MASTER'!$AB$2:$AB$495&lt;=6)*('CASE MASTER'!$AD$2:$AD$495&gt;=6))*ROW('CASE MASTER'!$T$2:$T$495))-(ROW('CASE MASTER'!#REF!)-1))))*(INDEX('CASE MASTER'!$AD$2:$AD$495,(SUMPRODUCT((('CASE MASTER'!$T$2:$T$495=12)*('CASE MASTER'!$AA$2:$AA$495&lt;=4)*('CASE MASTER'!$AC$2:$AC$495&gt;=4)*('CASE MASTER'!$AB$2:$AB$495&lt;=6)*('CASE MASTER'!$AD$2:$AD$495&gt;=6))*ROW('CASE MASTER'!$T$2:$T$495))-(ROW('CASE MASTER'!#REF!)-1)))-INDEX('CASE MASTER'!$AB$2:$AB$495,(SUMPRODUCT((('CASE MASTER'!$T$2:$T$495=12)*('CASE MASTER'!$AA$2:$AA$495&lt;=4)*('CASE MASTER'!$AC$2:$AC$495&gt;=4)*('CASE MASTER'!$AB$2:$AB$495&lt;=6)*('CASE MASTER'!$AD$2:$AD$495&gt;=6))*ROW('CASE MASTER'!$T$2:$T$495))-(ROW('CASE MASTER'!#REF!)-1)))+1)+(6-INDEX('CASE MASTER'!$AB$2:$AB$495,(SUMPRODUCT((('CASE MASTER'!$T$2:$T$495=12)*('CASE MASTER'!$AA$2:$AA$495&lt;=4)*('CASE MASTER'!$AC$2:$AC$495&gt;=4)*('CASE MASTER'!$AB$2:$AB$495&lt;=6)*('CASE MASTER'!$AD$2:$AD$495&gt;=6))*ROW('CASE MASTER'!$T$2:$T$495))-(ROW('CASE MASTER'!#REF!)-1))))+1)))-1)*50+1,50))&amp;"_"&amp;INDEX('CASE MASTER'!$Q$2:$Q$495,(SUMPRODUCT((('CASE MASTER'!$T$2:$T$495=12)*('CASE MASTER'!$AA$2:$AA$495&lt;=4)*('CASE MASTER'!$AC$2:$AC$495&gt;=4)*('CASE MASTER'!$AB$2:$AB$495&lt;=6)*('CASE MASTER'!$AD$2:$AD$495&gt;=6))*ROW('CASE MASTER'!$T$2:$T$495))-(ROW('CASE MASTER'!#REF!)-1))),"")),"")</f>
        <v/>
      </c>
      <c r="H160" s="10" t="str">
        <f>IFERROR(IF(SUMPRODUCT((('CASE MASTER'!$T$2:$T$495=12)*('CASE MASTER'!$U$2:$U$495&lt;=4)*('CASE MASTER'!$W$2:$W$495&gt;=4)*('CASE MASTER'!$V$2:$V$495&lt;=7)*('CASE MASTER'!$X$2:$X$495&gt;=7))*ROW('CASE MASTER'!$T$2:$T$495))&gt;0,INDEX('CASE MASTER'!$Y$2:$Y$495,(SUMPRODUCT((('CASE MASTER'!$T$2:$T$495=12)*('CASE MASTER'!$U$2:$U$495&lt;=4)*('CASE MASTER'!$W$2:$W$495&gt;=4)*('CASE MASTER'!$V$2:$V$495&lt;=7)*('CASE MASTER'!$X$2:$X$495&gt;=7))*ROW('CASE MASTER'!$T$2:$T$495))-(ROW('CASE MASTER'!#REF!)-1)))&amp;TRIM(MID(SUBSTITUTE(SUBSTITUTE(INDEX('CASE MASTER'!$N$2:$N$495,(SUMPRODUCT((('CASE MASTER'!$T$2:$T$495=12)*('CASE MASTER'!$U$2:$U$495&lt;=4)*('CASE MASTER'!$W$2:$W$495&gt;=4)*('CASE MASTER'!$V$2:$V$495&lt;=7)*('CASE MASTER'!$X$2:$X$495&gt;=7))*ROW('CASE MASTER'!$T$2:$T$495))-(ROW('CASE MASTER'!#REF!)-1))),":",","),",",REPT(" ",50)),((((4-INDEX('CASE MASTER'!$U$2:$U$495,(SUMPRODUCT((('CASE MASTER'!$T$2:$T$495=12)*('CASE MASTER'!$U$2:$U$495&lt;=4)*('CASE MASTER'!$W$2:$W$495&gt;=4)*('CASE MASTER'!$V$2:$V$495&lt;=7)*('CASE MASTER'!$X$2:$X$495&gt;=7))*ROW('CASE MASTER'!$T$2:$T$495))-(ROW('CASE MASTER'!#REF!)-1))))*(INDEX('CASE MASTER'!$X$2:$X$495,(SUMPRODUCT((('CASE MASTER'!$T$2:$T$495=12)*('CASE MASTER'!$U$2:$U$495&lt;=4)*('CASE MASTER'!$W$2:$W$495&gt;=4)*('CASE MASTER'!$V$2:$V$495&lt;=7)*('CASE MASTER'!$X$2:$X$495&gt;=7))*ROW('CASE MASTER'!$T$2:$T$495))-(ROW('CASE MASTER'!#REF!)-1)))-INDEX('CASE MASTER'!$V$2:$V$495,(SUMPRODUCT((('CASE MASTER'!$T$2:$T$495=12)*('CASE MASTER'!$U$2:$U$495&lt;=4)*('CASE MASTER'!$W$2:$W$495&gt;=4)*('CASE MASTER'!$V$2:$V$495&lt;=7)*('CASE MASTER'!$X$2:$X$495&gt;=7))*ROW('CASE MASTER'!$T$2:$T$495))-(ROW('CASE MASTER'!#REF!)-1)))+1)+(7-INDEX('CASE MASTER'!$V$2:$V$495,(SUMPRODUCT((('CASE MASTER'!$T$2:$T$495=12)*('CASE MASTER'!$U$2:$U$495&lt;=4)*('CASE MASTER'!$W$2:$W$495&gt;=4)*('CASE MASTER'!$V$2:$V$495&lt;=7)*('CASE MASTER'!$X$2:$X$495&gt;=7))*ROW('CASE MASTER'!$T$2:$T$495))-(ROW('CASE MASTER'!#REF!)-1))))+1))-1)*50+1,50))&amp;"_"&amp;INDEX('CASE MASTER'!$Q$2:$Q$495,(SUMPRODUCT((('CASE MASTER'!$T$2:$T$495=12)*('CASE MASTER'!$U$2:$U$495&lt;=4)*('CASE MASTER'!$W$2:$W$495&gt;=4)*('CASE MASTER'!$V$2:$V$495&lt;=7)*('CASE MASTER'!$X$2:$X$495&gt;=7))*ROW('CASE MASTER'!$T$2:$T$495))-(ROW('CASE MASTER'!#REF!)-1))),IF(SUMPRODUCT((('CASE MASTER'!$T$2:$T$495=12)*('CASE MASTER'!$AA$2:$AA$495&lt;=4)*('CASE MASTER'!$AC$2:$AC$495&gt;=4)*('CASE MASTER'!$AB$2:$AB$495&lt;=7)*('CASE MASTER'!$AD$2:$AD$495&gt;=7))*ROW('CASE MASTER'!$T$2:$T$495))&gt;0,INDEX('CASE MASTER'!$Y$2:$Y$495,(SUMPRODUCT((('CASE MASTER'!$T$2:$T$495=12)*('CASE MASTER'!$AA$2:$AA$495&lt;=4)*('CASE MASTER'!$AC$2:$AC$495&gt;=4)*('CASE MASTER'!$AB$2:$AB$495&lt;=7)*('CASE MASTER'!$AD$2:$AD$495&gt;=7))*ROW('CASE MASTER'!$T$2:$T$495))-(ROW('CASE MASTER'!#REF!)-1)))&amp;TRIM(MID(SUBSTITUTE(SUBSTITUTE(INDEX('CASE MASTER'!$N$2:$N$495,(SUMPRODUCT((('CASE MASTER'!$T$2:$T$495=12)*('CASE MASTER'!$AA$2:$AA$495&lt;=4)*('CASE MASTER'!$AC$2:$AC$495&gt;=4)*('CASE MASTER'!$AB$2:$AB$495&lt;=7)*('CASE MASTER'!$AD$2:$AD$495&gt;=7))*ROW('CASE MASTER'!$T$2:$T$495))-(ROW('CASE MASTER'!#REF!)-1))),":",","),",",REPT(" ",50)),(((INDEX('CASE MASTER'!$Z$2:$Z$495,(SUMPRODUCT((('CASE MASTER'!$T$2:$T$495=12)*('CASE MASTER'!$AA$2:$AA$495&lt;=4)*('CASE MASTER'!$AC$2:$AC$495&gt;=4)*('CASE MASTER'!$AB$2:$AB$495&lt;=7)*('CASE MASTER'!$AD$2:$AD$495&gt;=7))*ROW('CASE MASTER'!$T$2:$T$495))-(ROW('CASE MASTER'!#REF!)-1)))+((4-INDEX('CASE MASTER'!$AA$2:$AA$495,(SUMPRODUCT((('CASE MASTER'!$T$2:$T$495=12)*('CASE MASTER'!$AA$2:$AA$495&lt;=4)*('CASE MASTER'!$AC$2:$AC$495&gt;=4)*('CASE MASTER'!$AB$2:$AB$495&lt;=7)*('CASE MASTER'!$AD$2:$AD$495&gt;=7))*ROW('CASE MASTER'!$T$2:$T$495))-(ROW('CASE MASTER'!#REF!)-1))))*(INDEX('CASE MASTER'!$AD$2:$AD$495,(SUMPRODUCT((('CASE MASTER'!$T$2:$T$495=12)*('CASE MASTER'!$AA$2:$AA$495&lt;=4)*('CASE MASTER'!$AC$2:$AC$495&gt;=4)*('CASE MASTER'!$AB$2:$AB$495&lt;=7)*('CASE MASTER'!$AD$2:$AD$495&gt;=7))*ROW('CASE MASTER'!$T$2:$T$495))-(ROW('CASE MASTER'!#REF!)-1)))-INDEX('CASE MASTER'!$AB$2:$AB$495,(SUMPRODUCT((('CASE MASTER'!$T$2:$T$495=12)*('CASE MASTER'!$AA$2:$AA$495&lt;=4)*('CASE MASTER'!$AC$2:$AC$495&gt;=4)*('CASE MASTER'!$AB$2:$AB$495&lt;=7)*('CASE MASTER'!$AD$2:$AD$495&gt;=7))*ROW('CASE MASTER'!$T$2:$T$495))-(ROW('CASE MASTER'!#REF!)-1)))+1)+(7-INDEX('CASE MASTER'!$AB$2:$AB$495,(SUMPRODUCT((('CASE MASTER'!$T$2:$T$495=12)*('CASE MASTER'!$AA$2:$AA$495&lt;=4)*('CASE MASTER'!$AC$2:$AC$495&gt;=4)*('CASE MASTER'!$AB$2:$AB$495&lt;=7)*('CASE MASTER'!$AD$2:$AD$495&gt;=7))*ROW('CASE MASTER'!$T$2:$T$495))-(ROW('CASE MASTER'!#REF!)-1))))+1)))-1)*50+1,50))&amp;"_"&amp;INDEX('CASE MASTER'!$Q$2:$Q$495,(SUMPRODUCT((('CASE MASTER'!$T$2:$T$495=12)*('CASE MASTER'!$AA$2:$AA$495&lt;=4)*('CASE MASTER'!$AC$2:$AC$495&gt;=4)*('CASE MASTER'!$AB$2:$AB$495&lt;=7)*('CASE MASTER'!$AD$2:$AD$495&gt;=7))*ROW('CASE MASTER'!$T$2:$T$495))-(ROW('CASE MASTER'!#REF!)-1))),"")),"")</f>
        <v/>
      </c>
      <c r="I160" s="10" t="str">
        <f>IFERROR(IF(SUMPRODUCT((('CASE MASTER'!$T$2:$T$495=12)*('CASE MASTER'!$U$2:$U$495&lt;=4)*('CASE MASTER'!$W$2:$W$495&gt;=4)*('CASE MASTER'!$V$2:$V$495&lt;=8)*('CASE MASTER'!$X$2:$X$495&gt;=8))*ROW('CASE MASTER'!$T$2:$T$495))&gt;0,INDEX('CASE MASTER'!$Y$2:$Y$495,(SUMPRODUCT((('CASE MASTER'!$T$2:$T$495=12)*('CASE MASTER'!$U$2:$U$495&lt;=4)*('CASE MASTER'!$W$2:$W$495&gt;=4)*('CASE MASTER'!$V$2:$V$495&lt;=8)*('CASE MASTER'!$X$2:$X$495&gt;=8))*ROW('CASE MASTER'!$T$2:$T$495))-(ROW('CASE MASTER'!#REF!)-1)))&amp;TRIM(MID(SUBSTITUTE(SUBSTITUTE(INDEX('CASE MASTER'!$N$2:$N$495,(SUMPRODUCT((('CASE MASTER'!$T$2:$T$495=12)*('CASE MASTER'!$U$2:$U$495&lt;=4)*('CASE MASTER'!$W$2:$W$495&gt;=4)*('CASE MASTER'!$V$2:$V$495&lt;=8)*('CASE MASTER'!$X$2:$X$495&gt;=8))*ROW('CASE MASTER'!$T$2:$T$495))-(ROW('CASE MASTER'!#REF!)-1))),":",","),",",REPT(" ",50)),((((4-INDEX('CASE MASTER'!$U$2:$U$495,(SUMPRODUCT((('CASE MASTER'!$T$2:$T$495=12)*('CASE MASTER'!$U$2:$U$495&lt;=4)*('CASE MASTER'!$W$2:$W$495&gt;=4)*('CASE MASTER'!$V$2:$V$495&lt;=8)*('CASE MASTER'!$X$2:$X$495&gt;=8))*ROW('CASE MASTER'!$T$2:$T$495))-(ROW('CASE MASTER'!#REF!)-1))))*(INDEX('CASE MASTER'!$X$2:$X$495,(SUMPRODUCT((('CASE MASTER'!$T$2:$T$495=12)*('CASE MASTER'!$U$2:$U$495&lt;=4)*('CASE MASTER'!$W$2:$W$495&gt;=4)*('CASE MASTER'!$V$2:$V$495&lt;=8)*('CASE MASTER'!$X$2:$X$495&gt;=8))*ROW('CASE MASTER'!$T$2:$T$495))-(ROW('CASE MASTER'!#REF!)-1)))-INDEX('CASE MASTER'!$V$2:$V$495,(SUMPRODUCT((('CASE MASTER'!$T$2:$T$495=12)*('CASE MASTER'!$U$2:$U$495&lt;=4)*('CASE MASTER'!$W$2:$W$495&gt;=4)*('CASE MASTER'!$V$2:$V$495&lt;=8)*('CASE MASTER'!$X$2:$X$495&gt;=8))*ROW('CASE MASTER'!$T$2:$T$495))-(ROW('CASE MASTER'!#REF!)-1)))+1)+(8-INDEX('CASE MASTER'!$V$2:$V$495,(SUMPRODUCT((('CASE MASTER'!$T$2:$T$495=12)*('CASE MASTER'!$U$2:$U$495&lt;=4)*('CASE MASTER'!$W$2:$W$495&gt;=4)*('CASE MASTER'!$V$2:$V$495&lt;=8)*('CASE MASTER'!$X$2:$X$495&gt;=8))*ROW('CASE MASTER'!$T$2:$T$495))-(ROW('CASE MASTER'!#REF!)-1))))+1))-1)*50+1,50))&amp;"_"&amp;INDEX('CASE MASTER'!$Q$2:$Q$495,(SUMPRODUCT((('CASE MASTER'!$T$2:$T$495=12)*('CASE MASTER'!$U$2:$U$495&lt;=4)*('CASE MASTER'!$W$2:$W$495&gt;=4)*('CASE MASTER'!$V$2:$V$495&lt;=8)*('CASE MASTER'!$X$2:$X$495&gt;=8))*ROW('CASE MASTER'!$T$2:$T$495))-(ROW('CASE MASTER'!#REF!)-1))),IF(SUMPRODUCT((('CASE MASTER'!$T$2:$T$495=12)*('CASE MASTER'!$AA$2:$AA$495&lt;=4)*('CASE MASTER'!$AC$2:$AC$495&gt;=4)*('CASE MASTER'!$AB$2:$AB$495&lt;=8)*('CASE MASTER'!$AD$2:$AD$495&gt;=8))*ROW('CASE MASTER'!$T$2:$T$495))&gt;0,INDEX('CASE MASTER'!$Y$2:$Y$495,(SUMPRODUCT((('CASE MASTER'!$T$2:$T$495=12)*('CASE MASTER'!$AA$2:$AA$495&lt;=4)*('CASE MASTER'!$AC$2:$AC$495&gt;=4)*('CASE MASTER'!$AB$2:$AB$495&lt;=8)*('CASE MASTER'!$AD$2:$AD$495&gt;=8))*ROW('CASE MASTER'!$T$2:$T$495))-(ROW('CASE MASTER'!#REF!)-1)))&amp;TRIM(MID(SUBSTITUTE(SUBSTITUTE(INDEX('CASE MASTER'!$N$2:$N$495,(SUMPRODUCT((('CASE MASTER'!$T$2:$T$495=12)*('CASE MASTER'!$AA$2:$AA$495&lt;=4)*('CASE MASTER'!$AC$2:$AC$495&gt;=4)*('CASE MASTER'!$AB$2:$AB$495&lt;=8)*('CASE MASTER'!$AD$2:$AD$495&gt;=8))*ROW('CASE MASTER'!$T$2:$T$495))-(ROW('CASE MASTER'!#REF!)-1))),":",","),",",REPT(" ",50)),(((INDEX('CASE MASTER'!$Z$2:$Z$495,(SUMPRODUCT((('CASE MASTER'!$T$2:$T$495=12)*('CASE MASTER'!$AA$2:$AA$495&lt;=4)*('CASE MASTER'!$AC$2:$AC$495&gt;=4)*('CASE MASTER'!$AB$2:$AB$495&lt;=8)*('CASE MASTER'!$AD$2:$AD$495&gt;=8))*ROW('CASE MASTER'!$T$2:$T$495))-(ROW('CASE MASTER'!#REF!)-1)))+((4-INDEX('CASE MASTER'!$AA$2:$AA$495,(SUMPRODUCT((('CASE MASTER'!$T$2:$T$495=12)*('CASE MASTER'!$AA$2:$AA$495&lt;=4)*('CASE MASTER'!$AC$2:$AC$495&gt;=4)*('CASE MASTER'!$AB$2:$AB$495&lt;=8)*('CASE MASTER'!$AD$2:$AD$495&gt;=8))*ROW('CASE MASTER'!$T$2:$T$495))-(ROW('CASE MASTER'!#REF!)-1))))*(INDEX('CASE MASTER'!$AD$2:$AD$495,(SUMPRODUCT((('CASE MASTER'!$T$2:$T$495=12)*('CASE MASTER'!$AA$2:$AA$495&lt;=4)*('CASE MASTER'!$AC$2:$AC$495&gt;=4)*('CASE MASTER'!$AB$2:$AB$495&lt;=8)*('CASE MASTER'!$AD$2:$AD$495&gt;=8))*ROW('CASE MASTER'!$T$2:$T$495))-(ROW('CASE MASTER'!#REF!)-1)))-INDEX('CASE MASTER'!$AB$2:$AB$495,(SUMPRODUCT((('CASE MASTER'!$T$2:$T$495=12)*('CASE MASTER'!$AA$2:$AA$495&lt;=4)*('CASE MASTER'!$AC$2:$AC$495&gt;=4)*('CASE MASTER'!$AB$2:$AB$495&lt;=8)*('CASE MASTER'!$AD$2:$AD$495&gt;=8))*ROW('CASE MASTER'!$T$2:$T$495))-(ROW('CASE MASTER'!#REF!)-1)))+1)+(8-INDEX('CASE MASTER'!$AB$2:$AB$495,(SUMPRODUCT((('CASE MASTER'!$T$2:$T$495=12)*('CASE MASTER'!$AA$2:$AA$495&lt;=4)*('CASE MASTER'!$AC$2:$AC$495&gt;=4)*('CASE MASTER'!$AB$2:$AB$495&lt;=8)*('CASE MASTER'!$AD$2:$AD$495&gt;=8))*ROW('CASE MASTER'!$T$2:$T$495))-(ROW('CASE MASTER'!#REF!)-1))))+1)))-1)*50+1,50))&amp;"_"&amp;INDEX('CASE MASTER'!$Q$2:$Q$495,(SUMPRODUCT((('CASE MASTER'!$T$2:$T$495=12)*('CASE MASTER'!$AA$2:$AA$495&lt;=4)*('CASE MASTER'!$AC$2:$AC$495&gt;=4)*('CASE MASTER'!$AB$2:$AB$495&lt;=8)*('CASE MASTER'!$AD$2:$AD$495&gt;=8))*ROW('CASE MASTER'!$T$2:$T$495))-(ROW('CASE MASTER'!#REF!)-1))),"")),"")</f>
        <v/>
      </c>
      <c r="J160" s="10" t="str">
        <f>IFERROR(IF(SUMPRODUCT((('CASE MASTER'!$T$2:$T$495=12)*('CASE MASTER'!$U$2:$U$495&lt;=4)*('CASE MASTER'!$W$2:$W$495&gt;=4)*('CASE MASTER'!$V$2:$V$495&lt;=9)*('CASE MASTER'!$X$2:$X$495&gt;=9))*ROW('CASE MASTER'!$T$2:$T$495))&gt;0,INDEX('CASE MASTER'!$Y$2:$Y$495,(SUMPRODUCT((('CASE MASTER'!$T$2:$T$495=12)*('CASE MASTER'!$U$2:$U$495&lt;=4)*('CASE MASTER'!$W$2:$W$495&gt;=4)*('CASE MASTER'!$V$2:$V$495&lt;=9)*('CASE MASTER'!$X$2:$X$495&gt;=9))*ROW('CASE MASTER'!$T$2:$T$495))-(ROW('CASE MASTER'!#REF!)-1)))&amp;TRIM(MID(SUBSTITUTE(SUBSTITUTE(INDEX('CASE MASTER'!$N$2:$N$495,(SUMPRODUCT((('CASE MASTER'!$T$2:$T$495=12)*('CASE MASTER'!$U$2:$U$495&lt;=4)*('CASE MASTER'!$W$2:$W$495&gt;=4)*('CASE MASTER'!$V$2:$V$495&lt;=9)*('CASE MASTER'!$X$2:$X$495&gt;=9))*ROW('CASE MASTER'!$T$2:$T$495))-(ROW('CASE MASTER'!#REF!)-1))),":",","),",",REPT(" ",50)),((((4-INDEX('CASE MASTER'!$U$2:$U$495,(SUMPRODUCT((('CASE MASTER'!$T$2:$T$495=12)*('CASE MASTER'!$U$2:$U$495&lt;=4)*('CASE MASTER'!$W$2:$W$495&gt;=4)*('CASE MASTER'!$V$2:$V$495&lt;=9)*('CASE MASTER'!$X$2:$X$495&gt;=9))*ROW('CASE MASTER'!$T$2:$T$495))-(ROW('CASE MASTER'!#REF!)-1))))*(INDEX('CASE MASTER'!$X$2:$X$495,(SUMPRODUCT((('CASE MASTER'!$T$2:$T$495=12)*('CASE MASTER'!$U$2:$U$495&lt;=4)*('CASE MASTER'!$W$2:$W$495&gt;=4)*('CASE MASTER'!$V$2:$V$495&lt;=9)*('CASE MASTER'!$X$2:$X$495&gt;=9))*ROW('CASE MASTER'!$T$2:$T$495))-(ROW('CASE MASTER'!#REF!)-1)))-INDEX('CASE MASTER'!$V$2:$V$495,(SUMPRODUCT((('CASE MASTER'!$T$2:$T$495=12)*('CASE MASTER'!$U$2:$U$495&lt;=4)*('CASE MASTER'!$W$2:$W$495&gt;=4)*('CASE MASTER'!$V$2:$V$495&lt;=9)*('CASE MASTER'!$X$2:$X$495&gt;=9))*ROW('CASE MASTER'!$T$2:$T$495))-(ROW('CASE MASTER'!#REF!)-1)))+1)+(9-INDEX('CASE MASTER'!$V$2:$V$495,(SUMPRODUCT((('CASE MASTER'!$T$2:$T$495=12)*('CASE MASTER'!$U$2:$U$495&lt;=4)*('CASE MASTER'!$W$2:$W$495&gt;=4)*('CASE MASTER'!$V$2:$V$495&lt;=9)*('CASE MASTER'!$X$2:$X$495&gt;=9))*ROW('CASE MASTER'!$T$2:$T$495))-(ROW('CASE MASTER'!#REF!)-1))))+1))-1)*50+1,50))&amp;"_"&amp;INDEX('CASE MASTER'!$Q$2:$Q$495,(SUMPRODUCT((('CASE MASTER'!$T$2:$T$495=12)*('CASE MASTER'!$U$2:$U$495&lt;=4)*('CASE MASTER'!$W$2:$W$495&gt;=4)*('CASE MASTER'!$V$2:$V$495&lt;=9)*('CASE MASTER'!$X$2:$X$495&gt;=9))*ROW('CASE MASTER'!$T$2:$T$495))-(ROW('CASE MASTER'!#REF!)-1))),IF(SUMPRODUCT((('CASE MASTER'!$T$2:$T$495=12)*('CASE MASTER'!$AA$2:$AA$495&lt;=4)*('CASE MASTER'!$AC$2:$AC$495&gt;=4)*('CASE MASTER'!$AB$2:$AB$495&lt;=9)*('CASE MASTER'!$AD$2:$AD$495&gt;=9))*ROW('CASE MASTER'!$T$2:$T$495))&gt;0,INDEX('CASE MASTER'!$Y$2:$Y$495,(SUMPRODUCT((('CASE MASTER'!$T$2:$T$495=12)*('CASE MASTER'!$AA$2:$AA$495&lt;=4)*('CASE MASTER'!$AC$2:$AC$495&gt;=4)*('CASE MASTER'!$AB$2:$AB$495&lt;=9)*('CASE MASTER'!$AD$2:$AD$495&gt;=9))*ROW('CASE MASTER'!$T$2:$T$495))-(ROW('CASE MASTER'!#REF!)-1)))&amp;TRIM(MID(SUBSTITUTE(SUBSTITUTE(INDEX('CASE MASTER'!$N$2:$N$495,(SUMPRODUCT((('CASE MASTER'!$T$2:$T$495=12)*('CASE MASTER'!$AA$2:$AA$495&lt;=4)*('CASE MASTER'!$AC$2:$AC$495&gt;=4)*('CASE MASTER'!$AB$2:$AB$495&lt;=9)*('CASE MASTER'!$AD$2:$AD$495&gt;=9))*ROW('CASE MASTER'!$T$2:$T$495))-(ROW('CASE MASTER'!#REF!)-1))),":",","),",",REPT(" ",50)),(((INDEX('CASE MASTER'!$Z$2:$Z$495,(SUMPRODUCT((('CASE MASTER'!$T$2:$T$495=12)*('CASE MASTER'!$AA$2:$AA$495&lt;=4)*('CASE MASTER'!$AC$2:$AC$495&gt;=4)*('CASE MASTER'!$AB$2:$AB$495&lt;=9)*('CASE MASTER'!$AD$2:$AD$495&gt;=9))*ROW('CASE MASTER'!$T$2:$T$495))-(ROW('CASE MASTER'!#REF!)-1)))+((4-INDEX('CASE MASTER'!$AA$2:$AA$495,(SUMPRODUCT((('CASE MASTER'!$T$2:$T$495=12)*('CASE MASTER'!$AA$2:$AA$495&lt;=4)*('CASE MASTER'!$AC$2:$AC$495&gt;=4)*('CASE MASTER'!$AB$2:$AB$495&lt;=9)*('CASE MASTER'!$AD$2:$AD$495&gt;=9))*ROW('CASE MASTER'!$T$2:$T$495))-(ROW('CASE MASTER'!#REF!)-1))))*(INDEX('CASE MASTER'!$AD$2:$AD$495,(SUMPRODUCT((('CASE MASTER'!$T$2:$T$495=12)*('CASE MASTER'!$AA$2:$AA$495&lt;=4)*('CASE MASTER'!$AC$2:$AC$495&gt;=4)*('CASE MASTER'!$AB$2:$AB$495&lt;=9)*('CASE MASTER'!$AD$2:$AD$495&gt;=9))*ROW('CASE MASTER'!$T$2:$T$495))-(ROW('CASE MASTER'!#REF!)-1)))-INDEX('CASE MASTER'!$AB$2:$AB$495,(SUMPRODUCT((('CASE MASTER'!$T$2:$T$495=12)*('CASE MASTER'!$AA$2:$AA$495&lt;=4)*('CASE MASTER'!$AC$2:$AC$495&gt;=4)*('CASE MASTER'!$AB$2:$AB$495&lt;=9)*('CASE MASTER'!$AD$2:$AD$495&gt;=9))*ROW('CASE MASTER'!$T$2:$T$495))-(ROW('CASE MASTER'!#REF!)-1)))+1)+(9-INDEX('CASE MASTER'!$AB$2:$AB$495,(SUMPRODUCT((('CASE MASTER'!$T$2:$T$495=12)*('CASE MASTER'!$AA$2:$AA$495&lt;=4)*('CASE MASTER'!$AC$2:$AC$495&gt;=4)*('CASE MASTER'!$AB$2:$AB$495&lt;=9)*('CASE MASTER'!$AD$2:$AD$495&gt;=9))*ROW('CASE MASTER'!$T$2:$T$495))-(ROW('CASE MASTER'!#REF!)-1))))+1)))-1)*50+1,50))&amp;"_"&amp;INDEX('CASE MASTER'!$Q$2:$Q$495,(SUMPRODUCT((('CASE MASTER'!$T$2:$T$495=12)*('CASE MASTER'!$AA$2:$AA$495&lt;=4)*('CASE MASTER'!$AC$2:$AC$495&gt;=4)*('CASE MASTER'!$AB$2:$AB$495&lt;=9)*('CASE MASTER'!$AD$2:$AD$495&gt;=9))*ROW('CASE MASTER'!$T$2:$T$495))-(ROW('CASE MASTER'!#REF!)-1))),"")),"")</f>
        <v/>
      </c>
      <c r="K160" s="10" t="str">
        <f>IFERROR(IF(SUMPRODUCT((('CASE MASTER'!$T$2:$T$495=12)*('CASE MASTER'!$U$2:$U$495&lt;=4)*('CASE MASTER'!$W$2:$W$495&gt;=4)*('CASE MASTER'!$V$2:$V$495&lt;=10)*('CASE MASTER'!$X$2:$X$495&gt;=10))*ROW('CASE MASTER'!$T$2:$T$495))&gt;0,INDEX('CASE MASTER'!$Y$2:$Y$495,(SUMPRODUCT((('CASE MASTER'!$T$2:$T$495=12)*('CASE MASTER'!$U$2:$U$495&lt;=4)*('CASE MASTER'!$W$2:$W$495&gt;=4)*('CASE MASTER'!$V$2:$V$495&lt;=10)*('CASE MASTER'!$X$2:$X$495&gt;=10))*ROW('CASE MASTER'!$T$2:$T$495))-(ROW('CASE MASTER'!#REF!)-1)))&amp;TRIM(MID(SUBSTITUTE(SUBSTITUTE(INDEX('CASE MASTER'!$N$2:$N$495,(SUMPRODUCT((('CASE MASTER'!$T$2:$T$495=12)*('CASE MASTER'!$U$2:$U$495&lt;=4)*('CASE MASTER'!$W$2:$W$495&gt;=4)*('CASE MASTER'!$V$2:$V$495&lt;=10)*('CASE MASTER'!$X$2:$X$495&gt;=10))*ROW('CASE MASTER'!$T$2:$T$495))-(ROW('CASE MASTER'!#REF!)-1))),":",","),",",REPT(" ",50)),((((4-INDEX('CASE MASTER'!$U$2:$U$495,(SUMPRODUCT((('CASE MASTER'!$T$2:$T$495=12)*('CASE MASTER'!$U$2:$U$495&lt;=4)*('CASE MASTER'!$W$2:$W$495&gt;=4)*('CASE MASTER'!$V$2:$V$495&lt;=10)*('CASE MASTER'!$X$2:$X$495&gt;=10))*ROW('CASE MASTER'!$T$2:$T$495))-(ROW('CASE MASTER'!#REF!)-1))))*(INDEX('CASE MASTER'!$X$2:$X$495,(SUMPRODUCT((('CASE MASTER'!$T$2:$T$495=12)*('CASE MASTER'!$U$2:$U$495&lt;=4)*('CASE MASTER'!$W$2:$W$495&gt;=4)*('CASE MASTER'!$V$2:$V$495&lt;=10)*('CASE MASTER'!$X$2:$X$495&gt;=10))*ROW('CASE MASTER'!$T$2:$T$495))-(ROW('CASE MASTER'!#REF!)-1)))-INDEX('CASE MASTER'!$V$2:$V$495,(SUMPRODUCT((('CASE MASTER'!$T$2:$T$495=12)*('CASE MASTER'!$U$2:$U$495&lt;=4)*('CASE MASTER'!$W$2:$W$495&gt;=4)*('CASE MASTER'!$V$2:$V$495&lt;=10)*('CASE MASTER'!$X$2:$X$495&gt;=10))*ROW('CASE MASTER'!$T$2:$T$495))-(ROW('CASE MASTER'!#REF!)-1)))+1)+(10-INDEX('CASE MASTER'!$V$2:$V$495,(SUMPRODUCT((('CASE MASTER'!$T$2:$T$495=12)*('CASE MASTER'!$U$2:$U$495&lt;=4)*('CASE MASTER'!$W$2:$W$495&gt;=4)*('CASE MASTER'!$V$2:$V$495&lt;=10)*('CASE MASTER'!$X$2:$X$495&gt;=10))*ROW('CASE MASTER'!$T$2:$T$495))-(ROW('CASE MASTER'!#REF!)-1))))+1))-1)*50+1,50))&amp;"_"&amp;INDEX('CASE MASTER'!$Q$2:$Q$495,(SUMPRODUCT((('CASE MASTER'!$T$2:$T$495=12)*('CASE MASTER'!$U$2:$U$495&lt;=4)*('CASE MASTER'!$W$2:$W$495&gt;=4)*('CASE MASTER'!$V$2:$V$495&lt;=10)*('CASE MASTER'!$X$2:$X$495&gt;=10))*ROW('CASE MASTER'!$T$2:$T$495))-(ROW('CASE MASTER'!#REF!)-1))),IF(SUMPRODUCT((('CASE MASTER'!$T$2:$T$495=12)*('CASE MASTER'!$AA$2:$AA$495&lt;=4)*('CASE MASTER'!$AC$2:$AC$495&gt;=4)*('CASE MASTER'!$AB$2:$AB$495&lt;=10)*('CASE MASTER'!$AD$2:$AD$495&gt;=10))*ROW('CASE MASTER'!$T$2:$T$495))&gt;0,INDEX('CASE MASTER'!$Y$2:$Y$495,(SUMPRODUCT((('CASE MASTER'!$T$2:$T$495=12)*('CASE MASTER'!$AA$2:$AA$495&lt;=4)*('CASE MASTER'!$AC$2:$AC$495&gt;=4)*('CASE MASTER'!$AB$2:$AB$495&lt;=10)*('CASE MASTER'!$AD$2:$AD$495&gt;=10))*ROW('CASE MASTER'!$T$2:$T$495))-(ROW('CASE MASTER'!#REF!)-1)))&amp;TRIM(MID(SUBSTITUTE(SUBSTITUTE(INDEX('CASE MASTER'!$N$2:$N$495,(SUMPRODUCT((('CASE MASTER'!$T$2:$T$495=12)*('CASE MASTER'!$AA$2:$AA$495&lt;=4)*('CASE MASTER'!$AC$2:$AC$495&gt;=4)*('CASE MASTER'!$AB$2:$AB$495&lt;=10)*('CASE MASTER'!$AD$2:$AD$495&gt;=10))*ROW('CASE MASTER'!$T$2:$T$495))-(ROW('CASE MASTER'!#REF!)-1))),":",","),",",REPT(" ",50)),(((INDEX('CASE MASTER'!$Z$2:$Z$495,(SUMPRODUCT((('CASE MASTER'!$T$2:$T$495=12)*('CASE MASTER'!$AA$2:$AA$495&lt;=4)*('CASE MASTER'!$AC$2:$AC$495&gt;=4)*('CASE MASTER'!$AB$2:$AB$495&lt;=10)*('CASE MASTER'!$AD$2:$AD$495&gt;=10))*ROW('CASE MASTER'!$T$2:$T$495))-(ROW('CASE MASTER'!#REF!)-1)))+((4-INDEX('CASE MASTER'!$AA$2:$AA$495,(SUMPRODUCT((('CASE MASTER'!$T$2:$T$495=12)*('CASE MASTER'!$AA$2:$AA$495&lt;=4)*('CASE MASTER'!$AC$2:$AC$495&gt;=4)*('CASE MASTER'!$AB$2:$AB$495&lt;=10)*('CASE MASTER'!$AD$2:$AD$495&gt;=10))*ROW('CASE MASTER'!$T$2:$T$495))-(ROW('CASE MASTER'!#REF!)-1))))*(INDEX('CASE MASTER'!$AD$2:$AD$495,(SUMPRODUCT((('CASE MASTER'!$T$2:$T$495=12)*('CASE MASTER'!$AA$2:$AA$495&lt;=4)*('CASE MASTER'!$AC$2:$AC$495&gt;=4)*('CASE MASTER'!$AB$2:$AB$495&lt;=10)*('CASE MASTER'!$AD$2:$AD$495&gt;=10))*ROW('CASE MASTER'!$T$2:$T$495))-(ROW('CASE MASTER'!#REF!)-1)))-INDEX('CASE MASTER'!$AB$2:$AB$495,(SUMPRODUCT((('CASE MASTER'!$T$2:$T$495=12)*('CASE MASTER'!$AA$2:$AA$495&lt;=4)*('CASE MASTER'!$AC$2:$AC$495&gt;=4)*('CASE MASTER'!$AB$2:$AB$495&lt;=10)*('CASE MASTER'!$AD$2:$AD$495&gt;=10))*ROW('CASE MASTER'!$T$2:$T$495))-(ROW('CASE MASTER'!#REF!)-1)))+1)+(10-INDEX('CASE MASTER'!$AB$2:$AB$495,(SUMPRODUCT((('CASE MASTER'!$T$2:$T$495=12)*('CASE MASTER'!$AA$2:$AA$495&lt;=4)*('CASE MASTER'!$AC$2:$AC$495&gt;=4)*('CASE MASTER'!$AB$2:$AB$495&lt;=10)*('CASE MASTER'!$AD$2:$AD$495&gt;=10))*ROW('CASE MASTER'!$T$2:$T$495))-(ROW('CASE MASTER'!#REF!)-1))))+1)))-1)*50+1,50))&amp;"_"&amp;INDEX('CASE MASTER'!$Q$2:$Q$495,(SUMPRODUCT((('CASE MASTER'!$T$2:$T$495=12)*('CASE MASTER'!$AA$2:$AA$495&lt;=4)*('CASE MASTER'!$AC$2:$AC$495&gt;=4)*('CASE MASTER'!$AB$2:$AB$495&lt;=10)*('CASE MASTER'!$AD$2:$AD$495&gt;=10))*ROW('CASE MASTER'!$T$2:$T$495))-(ROW('CASE MASTER'!#REF!)-1))),"")),"")</f>
        <v/>
      </c>
    </row>
    <row r="161" spans="1:11" ht="15" customHeight="1" x14ac:dyDescent="0.35">
      <c r="A161" s="8" t="s">
        <v>32</v>
      </c>
      <c r="B161" s="10" t="str">
        <f>IFERROR(IF(SUMPRODUCT((('CASE MASTER'!$T$2:$T$495=12)*('CASE MASTER'!$U$2:$U$495&lt;=5)*('CASE MASTER'!$W$2:$W$495&gt;=5)*('CASE MASTER'!$V$2:$V$495&lt;=1)*('CASE MASTER'!$X$2:$X$495&gt;=1))*ROW('CASE MASTER'!$T$2:$T$495))&gt;0,INDEX('CASE MASTER'!$Y$2:$Y$495,(SUMPRODUCT((('CASE MASTER'!$T$2:$T$495=12)*('CASE MASTER'!$U$2:$U$495&lt;=5)*('CASE MASTER'!$W$2:$W$495&gt;=5)*('CASE MASTER'!$V$2:$V$495&lt;=1)*('CASE MASTER'!$X$2:$X$495&gt;=1))*ROW('CASE MASTER'!$T$2:$T$495))-(ROW('CASE MASTER'!#REF!)-1)))&amp;TRIM(MID(SUBSTITUTE(SUBSTITUTE(INDEX('CASE MASTER'!$N$2:$N$495,(SUMPRODUCT((('CASE MASTER'!$T$2:$T$495=12)*('CASE MASTER'!$U$2:$U$495&lt;=5)*('CASE MASTER'!$W$2:$W$495&gt;=5)*('CASE MASTER'!$V$2:$V$495&lt;=1)*('CASE MASTER'!$X$2:$X$495&gt;=1))*ROW('CASE MASTER'!$T$2:$T$495))-(ROW('CASE MASTER'!#REF!)-1))),":",","),",",REPT(" ",50)),((((5-INDEX('CASE MASTER'!$U$2:$U$495,(SUMPRODUCT((('CASE MASTER'!$T$2:$T$495=12)*('CASE MASTER'!$U$2:$U$495&lt;=5)*('CASE MASTER'!$W$2:$W$495&gt;=5)*('CASE MASTER'!$V$2:$V$495&lt;=1)*('CASE MASTER'!$X$2:$X$495&gt;=1))*ROW('CASE MASTER'!$T$2:$T$495))-(ROW('CASE MASTER'!#REF!)-1))))*(INDEX('CASE MASTER'!$X$2:$X$495,(SUMPRODUCT((('CASE MASTER'!$T$2:$T$495=12)*('CASE MASTER'!$U$2:$U$495&lt;=5)*('CASE MASTER'!$W$2:$W$495&gt;=5)*('CASE MASTER'!$V$2:$V$495&lt;=1)*('CASE MASTER'!$X$2:$X$495&gt;=1))*ROW('CASE MASTER'!$T$2:$T$495))-(ROW('CASE MASTER'!#REF!)-1)))-INDEX('CASE MASTER'!$V$2:$V$495,(SUMPRODUCT((('CASE MASTER'!$T$2:$T$495=12)*('CASE MASTER'!$U$2:$U$495&lt;=5)*('CASE MASTER'!$W$2:$W$495&gt;=5)*('CASE MASTER'!$V$2:$V$495&lt;=1)*('CASE MASTER'!$X$2:$X$495&gt;=1))*ROW('CASE MASTER'!$T$2:$T$495))-(ROW('CASE MASTER'!#REF!)-1)))+1)+(1-INDEX('CASE MASTER'!$V$2:$V$495,(SUMPRODUCT((('CASE MASTER'!$T$2:$T$495=12)*('CASE MASTER'!$U$2:$U$495&lt;=5)*('CASE MASTER'!$W$2:$W$495&gt;=5)*('CASE MASTER'!$V$2:$V$495&lt;=1)*('CASE MASTER'!$X$2:$X$495&gt;=1))*ROW('CASE MASTER'!$T$2:$T$495))-(ROW('CASE MASTER'!#REF!)-1))))+1))-1)*50+1,50))&amp;"_"&amp;INDEX('CASE MASTER'!$Q$2:$Q$495,(SUMPRODUCT((('CASE MASTER'!$T$2:$T$495=12)*('CASE MASTER'!$U$2:$U$495&lt;=5)*('CASE MASTER'!$W$2:$W$495&gt;=5)*('CASE MASTER'!$V$2:$V$495&lt;=1)*('CASE MASTER'!$X$2:$X$495&gt;=1))*ROW('CASE MASTER'!$T$2:$T$495))-(ROW('CASE MASTER'!#REF!)-1))),IF(SUMPRODUCT((('CASE MASTER'!$T$2:$T$495=12)*('CASE MASTER'!$AA$2:$AA$495&lt;=5)*('CASE MASTER'!$AC$2:$AC$495&gt;=5)*('CASE MASTER'!$AB$2:$AB$495&lt;=1)*('CASE MASTER'!$AD$2:$AD$495&gt;=1))*ROW('CASE MASTER'!$T$2:$T$495))&gt;0,INDEX('CASE MASTER'!$Y$2:$Y$495,(SUMPRODUCT((('CASE MASTER'!$T$2:$T$495=12)*('CASE MASTER'!$AA$2:$AA$495&lt;=5)*('CASE MASTER'!$AC$2:$AC$495&gt;=5)*('CASE MASTER'!$AB$2:$AB$495&lt;=1)*('CASE MASTER'!$AD$2:$AD$495&gt;=1))*ROW('CASE MASTER'!$T$2:$T$495))-(ROW('CASE MASTER'!#REF!)-1)))&amp;TRIM(MID(SUBSTITUTE(SUBSTITUTE(INDEX('CASE MASTER'!$N$2:$N$495,(SUMPRODUCT((('CASE MASTER'!$T$2:$T$495=12)*('CASE MASTER'!$AA$2:$AA$495&lt;=5)*('CASE MASTER'!$AC$2:$AC$495&gt;=5)*('CASE MASTER'!$AB$2:$AB$495&lt;=1)*('CASE MASTER'!$AD$2:$AD$495&gt;=1))*ROW('CASE MASTER'!$T$2:$T$495))-(ROW('CASE MASTER'!#REF!)-1))),":",","),",",REPT(" ",50)),(((INDEX('CASE MASTER'!$Z$2:$Z$495,(SUMPRODUCT((('CASE MASTER'!$T$2:$T$495=12)*('CASE MASTER'!$AA$2:$AA$495&lt;=5)*('CASE MASTER'!$AC$2:$AC$495&gt;=5)*('CASE MASTER'!$AB$2:$AB$495&lt;=1)*('CASE MASTER'!$AD$2:$AD$495&gt;=1))*ROW('CASE MASTER'!$T$2:$T$495))-(ROW('CASE MASTER'!#REF!)-1)))+((5-INDEX('CASE MASTER'!$AA$2:$AA$495,(SUMPRODUCT((('CASE MASTER'!$T$2:$T$495=12)*('CASE MASTER'!$AA$2:$AA$495&lt;=5)*('CASE MASTER'!$AC$2:$AC$495&gt;=5)*('CASE MASTER'!$AB$2:$AB$495&lt;=1)*('CASE MASTER'!$AD$2:$AD$495&gt;=1))*ROW('CASE MASTER'!$T$2:$T$495))-(ROW('CASE MASTER'!#REF!)-1))))*(INDEX('CASE MASTER'!$AD$2:$AD$495,(SUMPRODUCT((('CASE MASTER'!$T$2:$T$495=12)*('CASE MASTER'!$AA$2:$AA$495&lt;=5)*('CASE MASTER'!$AC$2:$AC$495&gt;=5)*('CASE MASTER'!$AB$2:$AB$495&lt;=1)*('CASE MASTER'!$AD$2:$AD$495&gt;=1))*ROW('CASE MASTER'!$T$2:$T$495))-(ROW('CASE MASTER'!#REF!)-1)))-INDEX('CASE MASTER'!$AB$2:$AB$495,(SUMPRODUCT((('CASE MASTER'!$T$2:$T$495=12)*('CASE MASTER'!$AA$2:$AA$495&lt;=5)*('CASE MASTER'!$AC$2:$AC$495&gt;=5)*('CASE MASTER'!$AB$2:$AB$495&lt;=1)*('CASE MASTER'!$AD$2:$AD$495&gt;=1))*ROW('CASE MASTER'!$T$2:$T$495))-(ROW('CASE MASTER'!#REF!)-1)))+1)+(1-INDEX('CASE MASTER'!$AB$2:$AB$495,(SUMPRODUCT((('CASE MASTER'!$T$2:$T$495=12)*('CASE MASTER'!$AA$2:$AA$495&lt;=5)*('CASE MASTER'!$AC$2:$AC$495&gt;=5)*('CASE MASTER'!$AB$2:$AB$495&lt;=1)*('CASE MASTER'!$AD$2:$AD$495&gt;=1))*ROW('CASE MASTER'!$T$2:$T$495))-(ROW('CASE MASTER'!#REF!)-1))))+1)))-1)*50+1,50))&amp;"_"&amp;INDEX('CASE MASTER'!$Q$2:$Q$495,(SUMPRODUCT((('CASE MASTER'!$T$2:$T$495=12)*('CASE MASTER'!$AA$2:$AA$495&lt;=5)*('CASE MASTER'!$AC$2:$AC$495&gt;=5)*('CASE MASTER'!$AB$2:$AB$495&lt;=1)*('CASE MASTER'!$AD$2:$AD$495&gt;=1))*ROW('CASE MASTER'!$T$2:$T$495))-(ROW('CASE MASTER'!#REF!)-1))),"")),"")</f>
        <v/>
      </c>
      <c r="C161" s="10" t="str">
        <f>IFERROR(IF(SUMPRODUCT((('CASE MASTER'!$T$2:$T$495=12)*('CASE MASTER'!$U$2:$U$495&lt;=5)*('CASE MASTER'!$W$2:$W$495&gt;=5)*('CASE MASTER'!$V$2:$V$495&lt;=2)*('CASE MASTER'!$X$2:$X$495&gt;=2))*ROW('CASE MASTER'!$T$2:$T$495))&gt;0,INDEX('CASE MASTER'!$Y$2:$Y$495,(SUMPRODUCT((('CASE MASTER'!$T$2:$T$495=12)*('CASE MASTER'!$U$2:$U$495&lt;=5)*('CASE MASTER'!$W$2:$W$495&gt;=5)*('CASE MASTER'!$V$2:$V$495&lt;=2)*('CASE MASTER'!$X$2:$X$495&gt;=2))*ROW('CASE MASTER'!$T$2:$T$495))-(ROW('CASE MASTER'!#REF!)-1)))&amp;TRIM(MID(SUBSTITUTE(SUBSTITUTE(INDEX('CASE MASTER'!$N$2:$N$495,(SUMPRODUCT((('CASE MASTER'!$T$2:$T$495=12)*('CASE MASTER'!$U$2:$U$495&lt;=5)*('CASE MASTER'!$W$2:$W$495&gt;=5)*('CASE MASTER'!$V$2:$V$495&lt;=2)*('CASE MASTER'!$X$2:$X$495&gt;=2))*ROW('CASE MASTER'!$T$2:$T$495))-(ROW('CASE MASTER'!#REF!)-1))),":",","),",",REPT(" ",50)),((((5-INDEX('CASE MASTER'!$U$2:$U$495,(SUMPRODUCT((('CASE MASTER'!$T$2:$T$495=12)*('CASE MASTER'!$U$2:$U$495&lt;=5)*('CASE MASTER'!$W$2:$W$495&gt;=5)*('CASE MASTER'!$V$2:$V$495&lt;=2)*('CASE MASTER'!$X$2:$X$495&gt;=2))*ROW('CASE MASTER'!$T$2:$T$495))-(ROW('CASE MASTER'!#REF!)-1))))*(INDEX('CASE MASTER'!$X$2:$X$495,(SUMPRODUCT((('CASE MASTER'!$T$2:$T$495=12)*('CASE MASTER'!$U$2:$U$495&lt;=5)*('CASE MASTER'!$W$2:$W$495&gt;=5)*('CASE MASTER'!$V$2:$V$495&lt;=2)*('CASE MASTER'!$X$2:$X$495&gt;=2))*ROW('CASE MASTER'!$T$2:$T$495))-(ROW('CASE MASTER'!#REF!)-1)))-INDEX('CASE MASTER'!$V$2:$V$495,(SUMPRODUCT((('CASE MASTER'!$T$2:$T$495=12)*('CASE MASTER'!$U$2:$U$495&lt;=5)*('CASE MASTER'!$W$2:$W$495&gt;=5)*('CASE MASTER'!$V$2:$V$495&lt;=2)*('CASE MASTER'!$X$2:$X$495&gt;=2))*ROW('CASE MASTER'!$T$2:$T$495))-(ROW('CASE MASTER'!#REF!)-1)))+1)+(2-INDEX('CASE MASTER'!$V$2:$V$495,(SUMPRODUCT((('CASE MASTER'!$T$2:$T$495=12)*('CASE MASTER'!$U$2:$U$495&lt;=5)*('CASE MASTER'!$W$2:$W$495&gt;=5)*('CASE MASTER'!$V$2:$V$495&lt;=2)*('CASE MASTER'!$X$2:$X$495&gt;=2))*ROW('CASE MASTER'!$T$2:$T$495))-(ROW('CASE MASTER'!#REF!)-1))))+1))-1)*50+1,50))&amp;"_"&amp;INDEX('CASE MASTER'!$Q$2:$Q$495,(SUMPRODUCT((('CASE MASTER'!$T$2:$T$495=12)*('CASE MASTER'!$U$2:$U$495&lt;=5)*('CASE MASTER'!$W$2:$W$495&gt;=5)*('CASE MASTER'!$V$2:$V$495&lt;=2)*('CASE MASTER'!$X$2:$X$495&gt;=2))*ROW('CASE MASTER'!$T$2:$T$495))-(ROW('CASE MASTER'!#REF!)-1))),IF(SUMPRODUCT((('CASE MASTER'!$T$2:$T$495=12)*('CASE MASTER'!$AA$2:$AA$495&lt;=5)*('CASE MASTER'!$AC$2:$AC$495&gt;=5)*('CASE MASTER'!$AB$2:$AB$495&lt;=2)*('CASE MASTER'!$AD$2:$AD$495&gt;=2))*ROW('CASE MASTER'!$T$2:$T$495))&gt;0,INDEX('CASE MASTER'!$Y$2:$Y$495,(SUMPRODUCT((('CASE MASTER'!$T$2:$T$495=12)*('CASE MASTER'!$AA$2:$AA$495&lt;=5)*('CASE MASTER'!$AC$2:$AC$495&gt;=5)*('CASE MASTER'!$AB$2:$AB$495&lt;=2)*('CASE MASTER'!$AD$2:$AD$495&gt;=2))*ROW('CASE MASTER'!$T$2:$T$495))-(ROW('CASE MASTER'!#REF!)-1)))&amp;TRIM(MID(SUBSTITUTE(SUBSTITUTE(INDEX('CASE MASTER'!$N$2:$N$495,(SUMPRODUCT((('CASE MASTER'!$T$2:$T$495=12)*('CASE MASTER'!$AA$2:$AA$495&lt;=5)*('CASE MASTER'!$AC$2:$AC$495&gt;=5)*('CASE MASTER'!$AB$2:$AB$495&lt;=2)*('CASE MASTER'!$AD$2:$AD$495&gt;=2))*ROW('CASE MASTER'!$T$2:$T$495))-(ROW('CASE MASTER'!#REF!)-1))),":",","),",",REPT(" ",50)),(((INDEX('CASE MASTER'!$Z$2:$Z$495,(SUMPRODUCT((('CASE MASTER'!$T$2:$T$495=12)*('CASE MASTER'!$AA$2:$AA$495&lt;=5)*('CASE MASTER'!$AC$2:$AC$495&gt;=5)*('CASE MASTER'!$AB$2:$AB$495&lt;=2)*('CASE MASTER'!$AD$2:$AD$495&gt;=2))*ROW('CASE MASTER'!$T$2:$T$495))-(ROW('CASE MASTER'!#REF!)-1)))+((5-INDEX('CASE MASTER'!$AA$2:$AA$495,(SUMPRODUCT((('CASE MASTER'!$T$2:$T$495=12)*('CASE MASTER'!$AA$2:$AA$495&lt;=5)*('CASE MASTER'!$AC$2:$AC$495&gt;=5)*('CASE MASTER'!$AB$2:$AB$495&lt;=2)*('CASE MASTER'!$AD$2:$AD$495&gt;=2))*ROW('CASE MASTER'!$T$2:$T$495))-(ROW('CASE MASTER'!#REF!)-1))))*(INDEX('CASE MASTER'!$AD$2:$AD$495,(SUMPRODUCT((('CASE MASTER'!$T$2:$T$495=12)*('CASE MASTER'!$AA$2:$AA$495&lt;=5)*('CASE MASTER'!$AC$2:$AC$495&gt;=5)*('CASE MASTER'!$AB$2:$AB$495&lt;=2)*('CASE MASTER'!$AD$2:$AD$495&gt;=2))*ROW('CASE MASTER'!$T$2:$T$495))-(ROW('CASE MASTER'!#REF!)-1)))-INDEX('CASE MASTER'!$AB$2:$AB$495,(SUMPRODUCT((('CASE MASTER'!$T$2:$T$495=12)*('CASE MASTER'!$AA$2:$AA$495&lt;=5)*('CASE MASTER'!$AC$2:$AC$495&gt;=5)*('CASE MASTER'!$AB$2:$AB$495&lt;=2)*('CASE MASTER'!$AD$2:$AD$495&gt;=2))*ROW('CASE MASTER'!$T$2:$T$495))-(ROW('CASE MASTER'!#REF!)-1)))+1)+(2-INDEX('CASE MASTER'!$AB$2:$AB$495,(SUMPRODUCT((('CASE MASTER'!$T$2:$T$495=12)*('CASE MASTER'!$AA$2:$AA$495&lt;=5)*('CASE MASTER'!$AC$2:$AC$495&gt;=5)*('CASE MASTER'!$AB$2:$AB$495&lt;=2)*('CASE MASTER'!$AD$2:$AD$495&gt;=2))*ROW('CASE MASTER'!$T$2:$T$495))-(ROW('CASE MASTER'!#REF!)-1))))+1)))-1)*50+1,50))&amp;"_"&amp;INDEX('CASE MASTER'!$Q$2:$Q$495,(SUMPRODUCT((('CASE MASTER'!$T$2:$T$495=12)*('CASE MASTER'!$AA$2:$AA$495&lt;=5)*('CASE MASTER'!$AC$2:$AC$495&gt;=5)*('CASE MASTER'!$AB$2:$AB$495&lt;=2)*('CASE MASTER'!$AD$2:$AD$495&gt;=2))*ROW('CASE MASTER'!$T$2:$T$495))-(ROW('CASE MASTER'!#REF!)-1))),"")),"")</f>
        <v/>
      </c>
      <c r="D161" s="10" t="str">
        <f>IFERROR(IF(SUMPRODUCT((('CASE MASTER'!$T$2:$T$495=12)*('CASE MASTER'!$U$2:$U$495&lt;=5)*('CASE MASTER'!$W$2:$W$495&gt;=5)*('CASE MASTER'!$V$2:$V$495&lt;=3)*('CASE MASTER'!$X$2:$X$495&gt;=3))*ROW('CASE MASTER'!$T$2:$T$495))&gt;0,INDEX('CASE MASTER'!$Y$2:$Y$495,(SUMPRODUCT((('CASE MASTER'!$T$2:$T$495=12)*('CASE MASTER'!$U$2:$U$495&lt;=5)*('CASE MASTER'!$W$2:$W$495&gt;=5)*('CASE MASTER'!$V$2:$V$495&lt;=3)*('CASE MASTER'!$X$2:$X$495&gt;=3))*ROW('CASE MASTER'!$T$2:$T$495))-(ROW('CASE MASTER'!#REF!)-1)))&amp;TRIM(MID(SUBSTITUTE(SUBSTITUTE(INDEX('CASE MASTER'!$N$2:$N$495,(SUMPRODUCT((('CASE MASTER'!$T$2:$T$495=12)*('CASE MASTER'!$U$2:$U$495&lt;=5)*('CASE MASTER'!$W$2:$W$495&gt;=5)*('CASE MASTER'!$V$2:$V$495&lt;=3)*('CASE MASTER'!$X$2:$X$495&gt;=3))*ROW('CASE MASTER'!$T$2:$T$495))-(ROW('CASE MASTER'!#REF!)-1))),":",","),",",REPT(" ",50)),((((5-INDEX('CASE MASTER'!$U$2:$U$495,(SUMPRODUCT((('CASE MASTER'!$T$2:$T$495=12)*('CASE MASTER'!$U$2:$U$495&lt;=5)*('CASE MASTER'!$W$2:$W$495&gt;=5)*('CASE MASTER'!$V$2:$V$495&lt;=3)*('CASE MASTER'!$X$2:$X$495&gt;=3))*ROW('CASE MASTER'!$T$2:$T$495))-(ROW('CASE MASTER'!#REF!)-1))))*(INDEX('CASE MASTER'!$X$2:$X$495,(SUMPRODUCT((('CASE MASTER'!$T$2:$T$495=12)*('CASE MASTER'!$U$2:$U$495&lt;=5)*('CASE MASTER'!$W$2:$W$495&gt;=5)*('CASE MASTER'!$V$2:$V$495&lt;=3)*('CASE MASTER'!$X$2:$X$495&gt;=3))*ROW('CASE MASTER'!$T$2:$T$495))-(ROW('CASE MASTER'!#REF!)-1)))-INDEX('CASE MASTER'!$V$2:$V$495,(SUMPRODUCT((('CASE MASTER'!$T$2:$T$495=12)*('CASE MASTER'!$U$2:$U$495&lt;=5)*('CASE MASTER'!$W$2:$W$495&gt;=5)*('CASE MASTER'!$V$2:$V$495&lt;=3)*('CASE MASTER'!$X$2:$X$495&gt;=3))*ROW('CASE MASTER'!$T$2:$T$495))-(ROW('CASE MASTER'!#REF!)-1)))+1)+(3-INDEX('CASE MASTER'!$V$2:$V$495,(SUMPRODUCT((('CASE MASTER'!$T$2:$T$495=12)*('CASE MASTER'!$U$2:$U$495&lt;=5)*('CASE MASTER'!$W$2:$W$495&gt;=5)*('CASE MASTER'!$V$2:$V$495&lt;=3)*('CASE MASTER'!$X$2:$X$495&gt;=3))*ROW('CASE MASTER'!$T$2:$T$495))-(ROW('CASE MASTER'!#REF!)-1))))+1))-1)*50+1,50))&amp;"_"&amp;INDEX('CASE MASTER'!$Q$2:$Q$495,(SUMPRODUCT((('CASE MASTER'!$T$2:$T$495=12)*('CASE MASTER'!$U$2:$U$495&lt;=5)*('CASE MASTER'!$W$2:$W$495&gt;=5)*('CASE MASTER'!$V$2:$V$495&lt;=3)*('CASE MASTER'!$X$2:$X$495&gt;=3))*ROW('CASE MASTER'!$T$2:$T$495))-(ROW('CASE MASTER'!#REF!)-1))),IF(SUMPRODUCT((('CASE MASTER'!$T$2:$T$495=12)*('CASE MASTER'!$AA$2:$AA$495&lt;=5)*('CASE MASTER'!$AC$2:$AC$495&gt;=5)*('CASE MASTER'!$AB$2:$AB$495&lt;=3)*('CASE MASTER'!$AD$2:$AD$495&gt;=3))*ROW('CASE MASTER'!$T$2:$T$495))&gt;0,INDEX('CASE MASTER'!$Y$2:$Y$495,(SUMPRODUCT((('CASE MASTER'!$T$2:$T$495=12)*('CASE MASTER'!$AA$2:$AA$495&lt;=5)*('CASE MASTER'!$AC$2:$AC$495&gt;=5)*('CASE MASTER'!$AB$2:$AB$495&lt;=3)*('CASE MASTER'!$AD$2:$AD$495&gt;=3))*ROW('CASE MASTER'!$T$2:$T$495))-(ROW('CASE MASTER'!#REF!)-1)))&amp;TRIM(MID(SUBSTITUTE(SUBSTITUTE(INDEX('CASE MASTER'!$N$2:$N$495,(SUMPRODUCT((('CASE MASTER'!$T$2:$T$495=12)*('CASE MASTER'!$AA$2:$AA$495&lt;=5)*('CASE MASTER'!$AC$2:$AC$495&gt;=5)*('CASE MASTER'!$AB$2:$AB$495&lt;=3)*('CASE MASTER'!$AD$2:$AD$495&gt;=3))*ROW('CASE MASTER'!$T$2:$T$495))-(ROW('CASE MASTER'!#REF!)-1))),":",","),",",REPT(" ",50)),(((INDEX('CASE MASTER'!$Z$2:$Z$495,(SUMPRODUCT((('CASE MASTER'!$T$2:$T$495=12)*('CASE MASTER'!$AA$2:$AA$495&lt;=5)*('CASE MASTER'!$AC$2:$AC$495&gt;=5)*('CASE MASTER'!$AB$2:$AB$495&lt;=3)*('CASE MASTER'!$AD$2:$AD$495&gt;=3))*ROW('CASE MASTER'!$T$2:$T$495))-(ROW('CASE MASTER'!#REF!)-1)))+((5-INDEX('CASE MASTER'!$AA$2:$AA$495,(SUMPRODUCT((('CASE MASTER'!$T$2:$T$495=12)*('CASE MASTER'!$AA$2:$AA$495&lt;=5)*('CASE MASTER'!$AC$2:$AC$495&gt;=5)*('CASE MASTER'!$AB$2:$AB$495&lt;=3)*('CASE MASTER'!$AD$2:$AD$495&gt;=3))*ROW('CASE MASTER'!$T$2:$T$495))-(ROW('CASE MASTER'!#REF!)-1))))*(INDEX('CASE MASTER'!$AD$2:$AD$495,(SUMPRODUCT((('CASE MASTER'!$T$2:$T$495=12)*('CASE MASTER'!$AA$2:$AA$495&lt;=5)*('CASE MASTER'!$AC$2:$AC$495&gt;=5)*('CASE MASTER'!$AB$2:$AB$495&lt;=3)*('CASE MASTER'!$AD$2:$AD$495&gt;=3))*ROW('CASE MASTER'!$T$2:$T$495))-(ROW('CASE MASTER'!#REF!)-1)))-INDEX('CASE MASTER'!$AB$2:$AB$495,(SUMPRODUCT((('CASE MASTER'!$T$2:$T$495=12)*('CASE MASTER'!$AA$2:$AA$495&lt;=5)*('CASE MASTER'!$AC$2:$AC$495&gt;=5)*('CASE MASTER'!$AB$2:$AB$495&lt;=3)*('CASE MASTER'!$AD$2:$AD$495&gt;=3))*ROW('CASE MASTER'!$T$2:$T$495))-(ROW('CASE MASTER'!#REF!)-1)))+1)+(3-INDEX('CASE MASTER'!$AB$2:$AB$495,(SUMPRODUCT((('CASE MASTER'!$T$2:$T$495=12)*('CASE MASTER'!$AA$2:$AA$495&lt;=5)*('CASE MASTER'!$AC$2:$AC$495&gt;=5)*('CASE MASTER'!$AB$2:$AB$495&lt;=3)*('CASE MASTER'!$AD$2:$AD$495&gt;=3))*ROW('CASE MASTER'!$T$2:$T$495))-(ROW('CASE MASTER'!#REF!)-1))))+1)))-1)*50+1,50))&amp;"_"&amp;INDEX('CASE MASTER'!$Q$2:$Q$495,(SUMPRODUCT((('CASE MASTER'!$T$2:$T$495=12)*('CASE MASTER'!$AA$2:$AA$495&lt;=5)*('CASE MASTER'!$AC$2:$AC$495&gt;=5)*('CASE MASTER'!$AB$2:$AB$495&lt;=3)*('CASE MASTER'!$AD$2:$AD$495&gt;=3))*ROW('CASE MASTER'!$T$2:$T$495))-(ROW('CASE MASTER'!#REF!)-1))),"")),"")</f>
        <v/>
      </c>
      <c r="E161" s="10" t="str">
        <f>IFERROR(IF(SUMPRODUCT((('CASE MASTER'!$T$2:$T$495=12)*('CASE MASTER'!$U$2:$U$495&lt;=5)*('CASE MASTER'!$W$2:$W$495&gt;=5)*('CASE MASTER'!$V$2:$V$495&lt;=4)*('CASE MASTER'!$X$2:$X$495&gt;=4))*ROW('CASE MASTER'!$T$2:$T$495))&gt;0,INDEX('CASE MASTER'!$Y$2:$Y$495,(SUMPRODUCT((('CASE MASTER'!$T$2:$T$495=12)*('CASE MASTER'!$U$2:$U$495&lt;=5)*('CASE MASTER'!$W$2:$W$495&gt;=5)*('CASE MASTER'!$V$2:$V$495&lt;=4)*('CASE MASTER'!$X$2:$X$495&gt;=4))*ROW('CASE MASTER'!$T$2:$T$495))-(ROW('CASE MASTER'!#REF!)-1)))&amp;TRIM(MID(SUBSTITUTE(SUBSTITUTE(INDEX('CASE MASTER'!$N$2:$N$495,(SUMPRODUCT((('CASE MASTER'!$T$2:$T$495=12)*('CASE MASTER'!$U$2:$U$495&lt;=5)*('CASE MASTER'!$W$2:$W$495&gt;=5)*('CASE MASTER'!$V$2:$V$495&lt;=4)*('CASE MASTER'!$X$2:$X$495&gt;=4))*ROW('CASE MASTER'!$T$2:$T$495))-(ROW('CASE MASTER'!#REF!)-1))),":",","),",",REPT(" ",50)),((((5-INDEX('CASE MASTER'!$U$2:$U$495,(SUMPRODUCT((('CASE MASTER'!$T$2:$T$495=12)*('CASE MASTER'!$U$2:$U$495&lt;=5)*('CASE MASTER'!$W$2:$W$495&gt;=5)*('CASE MASTER'!$V$2:$V$495&lt;=4)*('CASE MASTER'!$X$2:$X$495&gt;=4))*ROW('CASE MASTER'!$T$2:$T$495))-(ROW('CASE MASTER'!#REF!)-1))))*(INDEX('CASE MASTER'!$X$2:$X$495,(SUMPRODUCT((('CASE MASTER'!$T$2:$T$495=12)*('CASE MASTER'!$U$2:$U$495&lt;=5)*('CASE MASTER'!$W$2:$W$495&gt;=5)*('CASE MASTER'!$V$2:$V$495&lt;=4)*('CASE MASTER'!$X$2:$X$495&gt;=4))*ROW('CASE MASTER'!$T$2:$T$495))-(ROW('CASE MASTER'!#REF!)-1)))-INDEX('CASE MASTER'!$V$2:$V$495,(SUMPRODUCT((('CASE MASTER'!$T$2:$T$495=12)*('CASE MASTER'!$U$2:$U$495&lt;=5)*('CASE MASTER'!$W$2:$W$495&gt;=5)*('CASE MASTER'!$V$2:$V$495&lt;=4)*('CASE MASTER'!$X$2:$X$495&gt;=4))*ROW('CASE MASTER'!$T$2:$T$495))-(ROW('CASE MASTER'!#REF!)-1)))+1)+(4-INDEX('CASE MASTER'!$V$2:$V$495,(SUMPRODUCT((('CASE MASTER'!$T$2:$T$495=12)*('CASE MASTER'!$U$2:$U$495&lt;=5)*('CASE MASTER'!$W$2:$W$495&gt;=5)*('CASE MASTER'!$V$2:$V$495&lt;=4)*('CASE MASTER'!$X$2:$X$495&gt;=4))*ROW('CASE MASTER'!$T$2:$T$495))-(ROW('CASE MASTER'!#REF!)-1))))+1))-1)*50+1,50))&amp;"_"&amp;INDEX('CASE MASTER'!$Q$2:$Q$495,(SUMPRODUCT((('CASE MASTER'!$T$2:$T$495=12)*('CASE MASTER'!$U$2:$U$495&lt;=5)*('CASE MASTER'!$W$2:$W$495&gt;=5)*('CASE MASTER'!$V$2:$V$495&lt;=4)*('CASE MASTER'!$X$2:$X$495&gt;=4))*ROW('CASE MASTER'!$T$2:$T$495))-(ROW('CASE MASTER'!#REF!)-1))),IF(SUMPRODUCT((('CASE MASTER'!$T$2:$T$495=12)*('CASE MASTER'!$AA$2:$AA$495&lt;=5)*('CASE MASTER'!$AC$2:$AC$495&gt;=5)*('CASE MASTER'!$AB$2:$AB$495&lt;=4)*('CASE MASTER'!$AD$2:$AD$495&gt;=4))*ROW('CASE MASTER'!$T$2:$T$495))&gt;0,INDEX('CASE MASTER'!$Y$2:$Y$495,(SUMPRODUCT((('CASE MASTER'!$T$2:$T$495=12)*('CASE MASTER'!$AA$2:$AA$495&lt;=5)*('CASE MASTER'!$AC$2:$AC$495&gt;=5)*('CASE MASTER'!$AB$2:$AB$495&lt;=4)*('CASE MASTER'!$AD$2:$AD$495&gt;=4))*ROW('CASE MASTER'!$T$2:$T$495))-(ROW('CASE MASTER'!#REF!)-1)))&amp;TRIM(MID(SUBSTITUTE(SUBSTITUTE(INDEX('CASE MASTER'!$N$2:$N$495,(SUMPRODUCT((('CASE MASTER'!$T$2:$T$495=12)*('CASE MASTER'!$AA$2:$AA$495&lt;=5)*('CASE MASTER'!$AC$2:$AC$495&gt;=5)*('CASE MASTER'!$AB$2:$AB$495&lt;=4)*('CASE MASTER'!$AD$2:$AD$495&gt;=4))*ROW('CASE MASTER'!$T$2:$T$495))-(ROW('CASE MASTER'!#REF!)-1))),":",","),",",REPT(" ",50)),(((INDEX('CASE MASTER'!$Z$2:$Z$495,(SUMPRODUCT((('CASE MASTER'!$T$2:$T$495=12)*('CASE MASTER'!$AA$2:$AA$495&lt;=5)*('CASE MASTER'!$AC$2:$AC$495&gt;=5)*('CASE MASTER'!$AB$2:$AB$495&lt;=4)*('CASE MASTER'!$AD$2:$AD$495&gt;=4))*ROW('CASE MASTER'!$T$2:$T$495))-(ROW('CASE MASTER'!#REF!)-1)))+((5-INDEX('CASE MASTER'!$AA$2:$AA$495,(SUMPRODUCT((('CASE MASTER'!$T$2:$T$495=12)*('CASE MASTER'!$AA$2:$AA$495&lt;=5)*('CASE MASTER'!$AC$2:$AC$495&gt;=5)*('CASE MASTER'!$AB$2:$AB$495&lt;=4)*('CASE MASTER'!$AD$2:$AD$495&gt;=4))*ROW('CASE MASTER'!$T$2:$T$495))-(ROW('CASE MASTER'!#REF!)-1))))*(INDEX('CASE MASTER'!$AD$2:$AD$495,(SUMPRODUCT((('CASE MASTER'!$T$2:$T$495=12)*('CASE MASTER'!$AA$2:$AA$495&lt;=5)*('CASE MASTER'!$AC$2:$AC$495&gt;=5)*('CASE MASTER'!$AB$2:$AB$495&lt;=4)*('CASE MASTER'!$AD$2:$AD$495&gt;=4))*ROW('CASE MASTER'!$T$2:$T$495))-(ROW('CASE MASTER'!#REF!)-1)))-INDEX('CASE MASTER'!$AB$2:$AB$495,(SUMPRODUCT((('CASE MASTER'!$T$2:$T$495=12)*('CASE MASTER'!$AA$2:$AA$495&lt;=5)*('CASE MASTER'!$AC$2:$AC$495&gt;=5)*('CASE MASTER'!$AB$2:$AB$495&lt;=4)*('CASE MASTER'!$AD$2:$AD$495&gt;=4))*ROW('CASE MASTER'!$T$2:$T$495))-(ROW('CASE MASTER'!#REF!)-1)))+1)+(4-INDEX('CASE MASTER'!$AB$2:$AB$495,(SUMPRODUCT((('CASE MASTER'!$T$2:$T$495=12)*('CASE MASTER'!$AA$2:$AA$495&lt;=5)*('CASE MASTER'!$AC$2:$AC$495&gt;=5)*('CASE MASTER'!$AB$2:$AB$495&lt;=4)*('CASE MASTER'!$AD$2:$AD$495&gt;=4))*ROW('CASE MASTER'!$T$2:$T$495))-(ROW('CASE MASTER'!#REF!)-1))))+1)))-1)*50+1,50))&amp;"_"&amp;INDEX('CASE MASTER'!$Q$2:$Q$495,(SUMPRODUCT((('CASE MASTER'!$T$2:$T$495=12)*('CASE MASTER'!$AA$2:$AA$495&lt;=5)*('CASE MASTER'!$AC$2:$AC$495&gt;=5)*('CASE MASTER'!$AB$2:$AB$495&lt;=4)*('CASE MASTER'!$AD$2:$AD$495&gt;=4))*ROW('CASE MASTER'!$T$2:$T$495))-(ROW('CASE MASTER'!#REF!)-1))),"")),"")</f>
        <v/>
      </c>
      <c r="F161" s="10" t="str">
        <f>IFERROR(IF(SUMPRODUCT((('CASE MASTER'!$T$2:$T$495=12)*('CASE MASTER'!$U$2:$U$495&lt;=5)*('CASE MASTER'!$W$2:$W$495&gt;=5)*('CASE MASTER'!$V$2:$V$495&lt;=5)*('CASE MASTER'!$X$2:$X$495&gt;=5))*ROW('CASE MASTER'!$T$2:$T$495))&gt;0,INDEX('CASE MASTER'!$Y$2:$Y$495,(SUMPRODUCT((('CASE MASTER'!$T$2:$T$495=12)*('CASE MASTER'!$U$2:$U$495&lt;=5)*('CASE MASTER'!$W$2:$W$495&gt;=5)*('CASE MASTER'!$V$2:$V$495&lt;=5)*('CASE MASTER'!$X$2:$X$495&gt;=5))*ROW('CASE MASTER'!$T$2:$T$495))-(ROW('CASE MASTER'!#REF!)-1)))&amp;TRIM(MID(SUBSTITUTE(SUBSTITUTE(INDEX('CASE MASTER'!$N$2:$N$495,(SUMPRODUCT((('CASE MASTER'!$T$2:$T$495=12)*('CASE MASTER'!$U$2:$U$495&lt;=5)*('CASE MASTER'!$W$2:$W$495&gt;=5)*('CASE MASTER'!$V$2:$V$495&lt;=5)*('CASE MASTER'!$X$2:$X$495&gt;=5))*ROW('CASE MASTER'!$T$2:$T$495))-(ROW('CASE MASTER'!#REF!)-1))),":",","),",",REPT(" ",50)),((((5-INDEX('CASE MASTER'!$U$2:$U$495,(SUMPRODUCT((('CASE MASTER'!$T$2:$T$495=12)*('CASE MASTER'!$U$2:$U$495&lt;=5)*('CASE MASTER'!$W$2:$W$495&gt;=5)*('CASE MASTER'!$V$2:$V$495&lt;=5)*('CASE MASTER'!$X$2:$X$495&gt;=5))*ROW('CASE MASTER'!$T$2:$T$495))-(ROW('CASE MASTER'!#REF!)-1))))*(INDEX('CASE MASTER'!$X$2:$X$495,(SUMPRODUCT((('CASE MASTER'!$T$2:$T$495=12)*('CASE MASTER'!$U$2:$U$495&lt;=5)*('CASE MASTER'!$W$2:$W$495&gt;=5)*('CASE MASTER'!$V$2:$V$495&lt;=5)*('CASE MASTER'!$X$2:$X$495&gt;=5))*ROW('CASE MASTER'!$T$2:$T$495))-(ROW('CASE MASTER'!#REF!)-1)))-INDEX('CASE MASTER'!$V$2:$V$495,(SUMPRODUCT((('CASE MASTER'!$T$2:$T$495=12)*('CASE MASTER'!$U$2:$U$495&lt;=5)*('CASE MASTER'!$W$2:$W$495&gt;=5)*('CASE MASTER'!$V$2:$V$495&lt;=5)*('CASE MASTER'!$X$2:$X$495&gt;=5))*ROW('CASE MASTER'!$T$2:$T$495))-(ROW('CASE MASTER'!#REF!)-1)))+1)+(5-INDEX('CASE MASTER'!$V$2:$V$495,(SUMPRODUCT((('CASE MASTER'!$T$2:$T$495=12)*('CASE MASTER'!$U$2:$U$495&lt;=5)*('CASE MASTER'!$W$2:$W$495&gt;=5)*('CASE MASTER'!$V$2:$V$495&lt;=5)*('CASE MASTER'!$X$2:$X$495&gt;=5))*ROW('CASE MASTER'!$T$2:$T$495))-(ROW('CASE MASTER'!#REF!)-1))))+1))-1)*50+1,50))&amp;"_"&amp;INDEX('CASE MASTER'!$Q$2:$Q$495,(SUMPRODUCT((('CASE MASTER'!$T$2:$T$495=12)*('CASE MASTER'!$U$2:$U$495&lt;=5)*('CASE MASTER'!$W$2:$W$495&gt;=5)*('CASE MASTER'!$V$2:$V$495&lt;=5)*('CASE MASTER'!$X$2:$X$495&gt;=5))*ROW('CASE MASTER'!$T$2:$T$495))-(ROW('CASE MASTER'!#REF!)-1))),IF(SUMPRODUCT((('CASE MASTER'!$T$2:$T$495=12)*('CASE MASTER'!$AA$2:$AA$495&lt;=5)*('CASE MASTER'!$AC$2:$AC$495&gt;=5)*('CASE MASTER'!$AB$2:$AB$495&lt;=5)*('CASE MASTER'!$AD$2:$AD$495&gt;=5))*ROW('CASE MASTER'!$T$2:$T$495))&gt;0,INDEX('CASE MASTER'!$Y$2:$Y$495,(SUMPRODUCT((('CASE MASTER'!$T$2:$T$495=12)*('CASE MASTER'!$AA$2:$AA$495&lt;=5)*('CASE MASTER'!$AC$2:$AC$495&gt;=5)*('CASE MASTER'!$AB$2:$AB$495&lt;=5)*('CASE MASTER'!$AD$2:$AD$495&gt;=5))*ROW('CASE MASTER'!$T$2:$T$495))-(ROW('CASE MASTER'!#REF!)-1)))&amp;TRIM(MID(SUBSTITUTE(SUBSTITUTE(INDEX('CASE MASTER'!$N$2:$N$495,(SUMPRODUCT((('CASE MASTER'!$T$2:$T$495=12)*('CASE MASTER'!$AA$2:$AA$495&lt;=5)*('CASE MASTER'!$AC$2:$AC$495&gt;=5)*('CASE MASTER'!$AB$2:$AB$495&lt;=5)*('CASE MASTER'!$AD$2:$AD$495&gt;=5))*ROW('CASE MASTER'!$T$2:$T$495))-(ROW('CASE MASTER'!#REF!)-1))),":",","),",",REPT(" ",50)),(((INDEX('CASE MASTER'!$Z$2:$Z$495,(SUMPRODUCT((('CASE MASTER'!$T$2:$T$495=12)*('CASE MASTER'!$AA$2:$AA$495&lt;=5)*('CASE MASTER'!$AC$2:$AC$495&gt;=5)*('CASE MASTER'!$AB$2:$AB$495&lt;=5)*('CASE MASTER'!$AD$2:$AD$495&gt;=5))*ROW('CASE MASTER'!$T$2:$T$495))-(ROW('CASE MASTER'!#REF!)-1)))+((5-INDEX('CASE MASTER'!$AA$2:$AA$495,(SUMPRODUCT((('CASE MASTER'!$T$2:$T$495=12)*('CASE MASTER'!$AA$2:$AA$495&lt;=5)*('CASE MASTER'!$AC$2:$AC$495&gt;=5)*('CASE MASTER'!$AB$2:$AB$495&lt;=5)*('CASE MASTER'!$AD$2:$AD$495&gt;=5))*ROW('CASE MASTER'!$T$2:$T$495))-(ROW('CASE MASTER'!#REF!)-1))))*(INDEX('CASE MASTER'!$AD$2:$AD$495,(SUMPRODUCT((('CASE MASTER'!$T$2:$T$495=12)*('CASE MASTER'!$AA$2:$AA$495&lt;=5)*('CASE MASTER'!$AC$2:$AC$495&gt;=5)*('CASE MASTER'!$AB$2:$AB$495&lt;=5)*('CASE MASTER'!$AD$2:$AD$495&gt;=5))*ROW('CASE MASTER'!$T$2:$T$495))-(ROW('CASE MASTER'!#REF!)-1)))-INDEX('CASE MASTER'!$AB$2:$AB$495,(SUMPRODUCT((('CASE MASTER'!$T$2:$T$495=12)*('CASE MASTER'!$AA$2:$AA$495&lt;=5)*('CASE MASTER'!$AC$2:$AC$495&gt;=5)*('CASE MASTER'!$AB$2:$AB$495&lt;=5)*('CASE MASTER'!$AD$2:$AD$495&gt;=5))*ROW('CASE MASTER'!$T$2:$T$495))-(ROW('CASE MASTER'!#REF!)-1)))+1)+(5-INDEX('CASE MASTER'!$AB$2:$AB$495,(SUMPRODUCT((('CASE MASTER'!$T$2:$T$495=12)*('CASE MASTER'!$AA$2:$AA$495&lt;=5)*('CASE MASTER'!$AC$2:$AC$495&gt;=5)*('CASE MASTER'!$AB$2:$AB$495&lt;=5)*('CASE MASTER'!$AD$2:$AD$495&gt;=5))*ROW('CASE MASTER'!$T$2:$T$495))-(ROW('CASE MASTER'!#REF!)-1))))+1)))-1)*50+1,50))&amp;"_"&amp;INDEX('CASE MASTER'!$Q$2:$Q$495,(SUMPRODUCT((('CASE MASTER'!$T$2:$T$495=12)*('CASE MASTER'!$AA$2:$AA$495&lt;=5)*('CASE MASTER'!$AC$2:$AC$495&gt;=5)*('CASE MASTER'!$AB$2:$AB$495&lt;=5)*('CASE MASTER'!$AD$2:$AD$495&gt;=5))*ROW('CASE MASTER'!$T$2:$T$495))-(ROW('CASE MASTER'!#REF!)-1))),"")),"")</f>
        <v/>
      </c>
      <c r="G161" s="10" t="str">
        <f>IFERROR(IF(SUMPRODUCT((('CASE MASTER'!$T$2:$T$495=12)*('CASE MASTER'!$U$2:$U$495&lt;=5)*('CASE MASTER'!$W$2:$W$495&gt;=5)*('CASE MASTER'!$V$2:$V$495&lt;=6)*('CASE MASTER'!$X$2:$X$495&gt;=6))*ROW('CASE MASTER'!$T$2:$T$495))&gt;0,INDEX('CASE MASTER'!$Y$2:$Y$495,(SUMPRODUCT((('CASE MASTER'!$T$2:$T$495=12)*('CASE MASTER'!$U$2:$U$495&lt;=5)*('CASE MASTER'!$W$2:$W$495&gt;=5)*('CASE MASTER'!$V$2:$V$495&lt;=6)*('CASE MASTER'!$X$2:$X$495&gt;=6))*ROW('CASE MASTER'!$T$2:$T$495))-(ROW('CASE MASTER'!#REF!)-1)))&amp;TRIM(MID(SUBSTITUTE(SUBSTITUTE(INDEX('CASE MASTER'!$N$2:$N$495,(SUMPRODUCT((('CASE MASTER'!$T$2:$T$495=12)*('CASE MASTER'!$U$2:$U$495&lt;=5)*('CASE MASTER'!$W$2:$W$495&gt;=5)*('CASE MASTER'!$V$2:$V$495&lt;=6)*('CASE MASTER'!$X$2:$X$495&gt;=6))*ROW('CASE MASTER'!$T$2:$T$495))-(ROW('CASE MASTER'!#REF!)-1))),":",","),",",REPT(" ",50)),((((5-INDEX('CASE MASTER'!$U$2:$U$495,(SUMPRODUCT((('CASE MASTER'!$T$2:$T$495=12)*('CASE MASTER'!$U$2:$U$495&lt;=5)*('CASE MASTER'!$W$2:$W$495&gt;=5)*('CASE MASTER'!$V$2:$V$495&lt;=6)*('CASE MASTER'!$X$2:$X$495&gt;=6))*ROW('CASE MASTER'!$T$2:$T$495))-(ROW('CASE MASTER'!#REF!)-1))))*(INDEX('CASE MASTER'!$X$2:$X$495,(SUMPRODUCT((('CASE MASTER'!$T$2:$T$495=12)*('CASE MASTER'!$U$2:$U$495&lt;=5)*('CASE MASTER'!$W$2:$W$495&gt;=5)*('CASE MASTER'!$V$2:$V$495&lt;=6)*('CASE MASTER'!$X$2:$X$495&gt;=6))*ROW('CASE MASTER'!$T$2:$T$495))-(ROW('CASE MASTER'!#REF!)-1)))-INDEX('CASE MASTER'!$V$2:$V$495,(SUMPRODUCT((('CASE MASTER'!$T$2:$T$495=12)*('CASE MASTER'!$U$2:$U$495&lt;=5)*('CASE MASTER'!$W$2:$W$495&gt;=5)*('CASE MASTER'!$V$2:$V$495&lt;=6)*('CASE MASTER'!$X$2:$X$495&gt;=6))*ROW('CASE MASTER'!$T$2:$T$495))-(ROW('CASE MASTER'!#REF!)-1)))+1)+(6-INDEX('CASE MASTER'!$V$2:$V$495,(SUMPRODUCT((('CASE MASTER'!$T$2:$T$495=12)*('CASE MASTER'!$U$2:$U$495&lt;=5)*('CASE MASTER'!$W$2:$W$495&gt;=5)*('CASE MASTER'!$V$2:$V$495&lt;=6)*('CASE MASTER'!$X$2:$X$495&gt;=6))*ROW('CASE MASTER'!$T$2:$T$495))-(ROW('CASE MASTER'!#REF!)-1))))+1))-1)*50+1,50))&amp;"_"&amp;INDEX('CASE MASTER'!$Q$2:$Q$495,(SUMPRODUCT((('CASE MASTER'!$T$2:$T$495=12)*('CASE MASTER'!$U$2:$U$495&lt;=5)*('CASE MASTER'!$W$2:$W$495&gt;=5)*('CASE MASTER'!$V$2:$V$495&lt;=6)*('CASE MASTER'!$X$2:$X$495&gt;=6))*ROW('CASE MASTER'!$T$2:$T$495))-(ROW('CASE MASTER'!#REF!)-1))),IF(SUMPRODUCT((('CASE MASTER'!$T$2:$T$495=12)*('CASE MASTER'!$AA$2:$AA$495&lt;=5)*('CASE MASTER'!$AC$2:$AC$495&gt;=5)*('CASE MASTER'!$AB$2:$AB$495&lt;=6)*('CASE MASTER'!$AD$2:$AD$495&gt;=6))*ROW('CASE MASTER'!$T$2:$T$495))&gt;0,INDEX('CASE MASTER'!$Y$2:$Y$495,(SUMPRODUCT((('CASE MASTER'!$T$2:$T$495=12)*('CASE MASTER'!$AA$2:$AA$495&lt;=5)*('CASE MASTER'!$AC$2:$AC$495&gt;=5)*('CASE MASTER'!$AB$2:$AB$495&lt;=6)*('CASE MASTER'!$AD$2:$AD$495&gt;=6))*ROW('CASE MASTER'!$T$2:$T$495))-(ROW('CASE MASTER'!#REF!)-1)))&amp;TRIM(MID(SUBSTITUTE(SUBSTITUTE(INDEX('CASE MASTER'!$N$2:$N$495,(SUMPRODUCT((('CASE MASTER'!$T$2:$T$495=12)*('CASE MASTER'!$AA$2:$AA$495&lt;=5)*('CASE MASTER'!$AC$2:$AC$495&gt;=5)*('CASE MASTER'!$AB$2:$AB$495&lt;=6)*('CASE MASTER'!$AD$2:$AD$495&gt;=6))*ROW('CASE MASTER'!$T$2:$T$495))-(ROW('CASE MASTER'!#REF!)-1))),":",","),",",REPT(" ",50)),(((INDEX('CASE MASTER'!$Z$2:$Z$495,(SUMPRODUCT((('CASE MASTER'!$T$2:$T$495=12)*('CASE MASTER'!$AA$2:$AA$495&lt;=5)*('CASE MASTER'!$AC$2:$AC$495&gt;=5)*('CASE MASTER'!$AB$2:$AB$495&lt;=6)*('CASE MASTER'!$AD$2:$AD$495&gt;=6))*ROW('CASE MASTER'!$T$2:$T$495))-(ROW('CASE MASTER'!#REF!)-1)))+((5-INDEX('CASE MASTER'!$AA$2:$AA$495,(SUMPRODUCT((('CASE MASTER'!$T$2:$T$495=12)*('CASE MASTER'!$AA$2:$AA$495&lt;=5)*('CASE MASTER'!$AC$2:$AC$495&gt;=5)*('CASE MASTER'!$AB$2:$AB$495&lt;=6)*('CASE MASTER'!$AD$2:$AD$495&gt;=6))*ROW('CASE MASTER'!$T$2:$T$495))-(ROW('CASE MASTER'!#REF!)-1))))*(INDEX('CASE MASTER'!$AD$2:$AD$495,(SUMPRODUCT((('CASE MASTER'!$T$2:$T$495=12)*('CASE MASTER'!$AA$2:$AA$495&lt;=5)*('CASE MASTER'!$AC$2:$AC$495&gt;=5)*('CASE MASTER'!$AB$2:$AB$495&lt;=6)*('CASE MASTER'!$AD$2:$AD$495&gt;=6))*ROW('CASE MASTER'!$T$2:$T$495))-(ROW('CASE MASTER'!#REF!)-1)))-INDEX('CASE MASTER'!$AB$2:$AB$495,(SUMPRODUCT((('CASE MASTER'!$T$2:$T$495=12)*('CASE MASTER'!$AA$2:$AA$495&lt;=5)*('CASE MASTER'!$AC$2:$AC$495&gt;=5)*('CASE MASTER'!$AB$2:$AB$495&lt;=6)*('CASE MASTER'!$AD$2:$AD$495&gt;=6))*ROW('CASE MASTER'!$T$2:$T$495))-(ROW('CASE MASTER'!#REF!)-1)))+1)+(6-INDEX('CASE MASTER'!$AB$2:$AB$495,(SUMPRODUCT((('CASE MASTER'!$T$2:$T$495=12)*('CASE MASTER'!$AA$2:$AA$495&lt;=5)*('CASE MASTER'!$AC$2:$AC$495&gt;=5)*('CASE MASTER'!$AB$2:$AB$495&lt;=6)*('CASE MASTER'!$AD$2:$AD$495&gt;=6))*ROW('CASE MASTER'!$T$2:$T$495))-(ROW('CASE MASTER'!#REF!)-1))))+1)))-1)*50+1,50))&amp;"_"&amp;INDEX('CASE MASTER'!$Q$2:$Q$495,(SUMPRODUCT((('CASE MASTER'!$T$2:$T$495=12)*('CASE MASTER'!$AA$2:$AA$495&lt;=5)*('CASE MASTER'!$AC$2:$AC$495&gt;=5)*('CASE MASTER'!$AB$2:$AB$495&lt;=6)*('CASE MASTER'!$AD$2:$AD$495&gt;=6))*ROW('CASE MASTER'!$T$2:$T$495))-(ROW('CASE MASTER'!#REF!)-1))),"")),"")</f>
        <v/>
      </c>
      <c r="H161" s="10" t="str">
        <f>IFERROR(IF(SUMPRODUCT((('CASE MASTER'!$T$2:$T$495=12)*('CASE MASTER'!$U$2:$U$495&lt;=5)*('CASE MASTER'!$W$2:$W$495&gt;=5)*('CASE MASTER'!$V$2:$V$495&lt;=7)*('CASE MASTER'!$X$2:$X$495&gt;=7))*ROW('CASE MASTER'!$T$2:$T$495))&gt;0,INDEX('CASE MASTER'!$Y$2:$Y$495,(SUMPRODUCT((('CASE MASTER'!$T$2:$T$495=12)*('CASE MASTER'!$U$2:$U$495&lt;=5)*('CASE MASTER'!$W$2:$W$495&gt;=5)*('CASE MASTER'!$V$2:$V$495&lt;=7)*('CASE MASTER'!$X$2:$X$495&gt;=7))*ROW('CASE MASTER'!$T$2:$T$495))-(ROW('CASE MASTER'!#REF!)-1)))&amp;TRIM(MID(SUBSTITUTE(SUBSTITUTE(INDEX('CASE MASTER'!$N$2:$N$495,(SUMPRODUCT((('CASE MASTER'!$T$2:$T$495=12)*('CASE MASTER'!$U$2:$U$495&lt;=5)*('CASE MASTER'!$W$2:$W$495&gt;=5)*('CASE MASTER'!$V$2:$V$495&lt;=7)*('CASE MASTER'!$X$2:$X$495&gt;=7))*ROW('CASE MASTER'!$T$2:$T$495))-(ROW('CASE MASTER'!#REF!)-1))),":",","),",",REPT(" ",50)),((((5-INDEX('CASE MASTER'!$U$2:$U$495,(SUMPRODUCT((('CASE MASTER'!$T$2:$T$495=12)*('CASE MASTER'!$U$2:$U$495&lt;=5)*('CASE MASTER'!$W$2:$W$495&gt;=5)*('CASE MASTER'!$V$2:$V$495&lt;=7)*('CASE MASTER'!$X$2:$X$495&gt;=7))*ROW('CASE MASTER'!$T$2:$T$495))-(ROW('CASE MASTER'!#REF!)-1))))*(INDEX('CASE MASTER'!$X$2:$X$495,(SUMPRODUCT((('CASE MASTER'!$T$2:$T$495=12)*('CASE MASTER'!$U$2:$U$495&lt;=5)*('CASE MASTER'!$W$2:$W$495&gt;=5)*('CASE MASTER'!$V$2:$V$495&lt;=7)*('CASE MASTER'!$X$2:$X$495&gt;=7))*ROW('CASE MASTER'!$T$2:$T$495))-(ROW('CASE MASTER'!#REF!)-1)))-INDEX('CASE MASTER'!$V$2:$V$495,(SUMPRODUCT((('CASE MASTER'!$T$2:$T$495=12)*('CASE MASTER'!$U$2:$U$495&lt;=5)*('CASE MASTER'!$W$2:$W$495&gt;=5)*('CASE MASTER'!$V$2:$V$495&lt;=7)*('CASE MASTER'!$X$2:$X$495&gt;=7))*ROW('CASE MASTER'!$T$2:$T$495))-(ROW('CASE MASTER'!#REF!)-1)))+1)+(7-INDEX('CASE MASTER'!$V$2:$V$495,(SUMPRODUCT((('CASE MASTER'!$T$2:$T$495=12)*('CASE MASTER'!$U$2:$U$495&lt;=5)*('CASE MASTER'!$W$2:$W$495&gt;=5)*('CASE MASTER'!$V$2:$V$495&lt;=7)*('CASE MASTER'!$X$2:$X$495&gt;=7))*ROW('CASE MASTER'!$T$2:$T$495))-(ROW('CASE MASTER'!#REF!)-1))))+1))-1)*50+1,50))&amp;"_"&amp;INDEX('CASE MASTER'!$Q$2:$Q$495,(SUMPRODUCT((('CASE MASTER'!$T$2:$T$495=12)*('CASE MASTER'!$U$2:$U$495&lt;=5)*('CASE MASTER'!$W$2:$W$495&gt;=5)*('CASE MASTER'!$V$2:$V$495&lt;=7)*('CASE MASTER'!$X$2:$X$495&gt;=7))*ROW('CASE MASTER'!$T$2:$T$495))-(ROW('CASE MASTER'!#REF!)-1))),IF(SUMPRODUCT((('CASE MASTER'!$T$2:$T$495=12)*('CASE MASTER'!$AA$2:$AA$495&lt;=5)*('CASE MASTER'!$AC$2:$AC$495&gt;=5)*('CASE MASTER'!$AB$2:$AB$495&lt;=7)*('CASE MASTER'!$AD$2:$AD$495&gt;=7))*ROW('CASE MASTER'!$T$2:$T$495))&gt;0,INDEX('CASE MASTER'!$Y$2:$Y$495,(SUMPRODUCT((('CASE MASTER'!$T$2:$T$495=12)*('CASE MASTER'!$AA$2:$AA$495&lt;=5)*('CASE MASTER'!$AC$2:$AC$495&gt;=5)*('CASE MASTER'!$AB$2:$AB$495&lt;=7)*('CASE MASTER'!$AD$2:$AD$495&gt;=7))*ROW('CASE MASTER'!$T$2:$T$495))-(ROW('CASE MASTER'!#REF!)-1)))&amp;TRIM(MID(SUBSTITUTE(SUBSTITUTE(INDEX('CASE MASTER'!$N$2:$N$495,(SUMPRODUCT((('CASE MASTER'!$T$2:$T$495=12)*('CASE MASTER'!$AA$2:$AA$495&lt;=5)*('CASE MASTER'!$AC$2:$AC$495&gt;=5)*('CASE MASTER'!$AB$2:$AB$495&lt;=7)*('CASE MASTER'!$AD$2:$AD$495&gt;=7))*ROW('CASE MASTER'!$T$2:$T$495))-(ROW('CASE MASTER'!#REF!)-1))),":",","),",",REPT(" ",50)),(((INDEX('CASE MASTER'!$Z$2:$Z$495,(SUMPRODUCT((('CASE MASTER'!$T$2:$T$495=12)*('CASE MASTER'!$AA$2:$AA$495&lt;=5)*('CASE MASTER'!$AC$2:$AC$495&gt;=5)*('CASE MASTER'!$AB$2:$AB$495&lt;=7)*('CASE MASTER'!$AD$2:$AD$495&gt;=7))*ROW('CASE MASTER'!$T$2:$T$495))-(ROW('CASE MASTER'!#REF!)-1)))+((5-INDEX('CASE MASTER'!$AA$2:$AA$495,(SUMPRODUCT((('CASE MASTER'!$T$2:$T$495=12)*('CASE MASTER'!$AA$2:$AA$495&lt;=5)*('CASE MASTER'!$AC$2:$AC$495&gt;=5)*('CASE MASTER'!$AB$2:$AB$495&lt;=7)*('CASE MASTER'!$AD$2:$AD$495&gt;=7))*ROW('CASE MASTER'!$T$2:$T$495))-(ROW('CASE MASTER'!#REF!)-1))))*(INDEX('CASE MASTER'!$AD$2:$AD$495,(SUMPRODUCT((('CASE MASTER'!$T$2:$T$495=12)*('CASE MASTER'!$AA$2:$AA$495&lt;=5)*('CASE MASTER'!$AC$2:$AC$495&gt;=5)*('CASE MASTER'!$AB$2:$AB$495&lt;=7)*('CASE MASTER'!$AD$2:$AD$495&gt;=7))*ROW('CASE MASTER'!$T$2:$T$495))-(ROW('CASE MASTER'!#REF!)-1)))-INDEX('CASE MASTER'!$AB$2:$AB$495,(SUMPRODUCT((('CASE MASTER'!$T$2:$T$495=12)*('CASE MASTER'!$AA$2:$AA$495&lt;=5)*('CASE MASTER'!$AC$2:$AC$495&gt;=5)*('CASE MASTER'!$AB$2:$AB$495&lt;=7)*('CASE MASTER'!$AD$2:$AD$495&gt;=7))*ROW('CASE MASTER'!$T$2:$T$495))-(ROW('CASE MASTER'!#REF!)-1)))+1)+(7-INDEX('CASE MASTER'!$AB$2:$AB$495,(SUMPRODUCT((('CASE MASTER'!$T$2:$T$495=12)*('CASE MASTER'!$AA$2:$AA$495&lt;=5)*('CASE MASTER'!$AC$2:$AC$495&gt;=5)*('CASE MASTER'!$AB$2:$AB$495&lt;=7)*('CASE MASTER'!$AD$2:$AD$495&gt;=7))*ROW('CASE MASTER'!$T$2:$T$495))-(ROW('CASE MASTER'!#REF!)-1))))+1)))-1)*50+1,50))&amp;"_"&amp;INDEX('CASE MASTER'!$Q$2:$Q$495,(SUMPRODUCT((('CASE MASTER'!$T$2:$T$495=12)*('CASE MASTER'!$AA$2:$AA$495&lt;=5)*('CASE MASTER'!$AC$2:$AC$495&gt;=5)*('CASE MASTER'!$AB$2:$AB$495&lt;=7)*('CASE MASTER'!$AD$2:$AD$495&gt;=7))*ROW('CASE MASTER'!$T$2:$T$495))-(ROW('CASE MASTER'!#REF!)-1))),"")),"")</f>
        <v/>
      </c>
      <c r="I161" s="10" t="str">
        <f>IFERROR(IF(SUMPRODUCT((('CASE MASTER'!$T$2:$T$495=12)*('CASE MASTER'!$U$2:$U$495&lt;=5)*('CASE MASTER'!$W$2:$W$495&gt;=5)*('CASE MASTER'!$V$2:$V$495&lt;=8)*('CASE MASTER'!$X$2:$X$495&gt;=8))*ROW('CASE MASTER'!$T$2:$T$495))&gt;0,INDEX('CASE MASTER'!$Y$2:$Y$495,(SUMPRODUCT((('CASE MASTER'!$T$2:$T$495=12)*('CASE MASTER'!$U$2:$U$495&lt;=5)*('CASE MASTER'!$W$2:$W$495&gt;=5)*('CASE MASTER'!$V$2:$V$495&lt;=8)*('CASE MASTER'!$X$2:$X$495&gt;=8))*ROW('CASE MASTER'!$T$2:$T$495))-(ROW('CASE MASTER'!#REF!)-1)))&amp;TRIM(MID(SUBSTITUTE(SUBSTITUTE(INDEX('CASE MASTER'!$N$2:$N$495,(SUMPRODUCT((('CASE MASTER'!$T$2:$T$495=12)*('CASE MASTER'!$U$2:$U$495&lt;=5)*('CASE MASTER'!$W$2:$W$495&gt;=5)*('CASE MASTER'!$V$2:$V$495&lt;=8)*('CASE MASTER'!$X$2:$X$495&gt;=8))*ROW('CASE MASTER'!$T$2:$T$495))-(ROW('CASE MASTER'!#REF!)-1))),":",","),",",REPT(" ",50)),((((5-INDEX('CASE MASTER'!$U$2:$U$495,(SUMPRODUCT((('CASE MASTER'!$T$2:$T$495=12)*('CASE MASTER'!$U$2:$U$495&lt;=5)*('CASE MASTER'!$W$2:$W$495&gt;=5)*('CASE MASTER'!$V$2:$V$495&lt;=8)*('CASE MASTER'!$X$2:$X$495&gt;=8))*ROW('CASE MASTER'!$T$2:$T$495))-(ROW('CASE MASTER'!#REF!)-1))))*(INDEX('CASE MASTER'!$X$2:$X$495,(SUMPRODUCT((('CASE MASTER'!$T$2:$T$495=12)*('CASE MASTER'!$U$2:$U$495&lt;=5)*('CASE MASTER'!$W$2:$W$495&gt;=5)*('CASE MASTER'!$V$2:$V$495&lt;=8)*('CASE MASTER'!$X$2:$X$495&gt;=8))*ROW('CASE MASTER'!$T$2:$T$495))-(ROW('CASE MASTER'!#REF!)-1)))-INDEX('CASE MASTER'!$V$2:$V$495,(SUMPRODUCT((('CASE MASTER'!$T$2:$T$495=12)*('CASE MASTER'!$U$2:$U$495&lt;=5)*('CASE MASTER'!$W$2:$W$495&gt;=5)*('CASE MASTER'!$V$2:$V$495&lt;=8)*('CASE MASTER'!$X$2:$X$495&gt;=8))*ROW('CASE MASTER'!$T$2:$T$495))-(ROW('CASE MASTER'!#REF!)-1)))+1)+(8-INDEX('CASE MASTER'!$V$2:$V$495,(SUMPRODUCT((('CASE MASTER'!$T$2:$T$495=12)*('CASE MASTER'!$U$2:$U$495&lt;=5)*('CASE MASTER'!$W$2:$W$495&gt;=5)*('CASE MASTER'!$V$2:$V$495&lt;=8)*('CASE MASTER'!$X$2:$X$495&gt;=8))*ROW('CASE MASTER'!$T$2:$T$495))-(ROW('CASE MASTER'!#REF!)-1))))+1))-1)*50+1,50))&amp;"_"&amp;INDEX('CASE MASTER'!$Q$2:$Q$495,(SUMPRODUCT((('CASE MASTER'!$T$2:$T$495=12)*('CASE MASTER'!$U$2:$U$495&lt;=5)*('CASE MASTER'!$W$2:$W$495&gt;=5)*('CASE MASTER'!$V$2:$V$495&lt;=8)*('CASE MASTER'!$X$2:$X$495&gt;=8))*ROW('CASE MASTER'!$T$2:$T$495))-(ROW('CASE MASTER'!#REF!)-1))),IF(SUMPRODUCT((('CASE MASTER'!$T$2:$T$495=12)*('CASE MASTER'!$AA$2:$AA$495&lt;=5)*('CASE MASTER'!$AC$2:$AC$495&gt;=5)*('CASE MASTER'!$AB$2:$AB$495&lt;=8)*('CASE MASTER'!$AD$2:$AD$495&gt;=8))*ROW('CASE MASTER'!$T$2:$T$495))&gt;0,INDEX('CASE MASTER'!$Y$2:$Y$495,(SUMPRODUCT((('CASE MASTER'!$T$2:$T$495=12)*('CASE MASTER'!$AA$2:$AA$495&lt;=5)*('CASE MASTER'!$AC$2:$AC$495&gt;=5)*('CASE MASTER'!$AB$2:$AB$495&lt;=8)*('CASE MASTER'!$AD$2:$AD$495&gt;=8))*ROW('CASE MASTER'!$T$2:$T$495))-(ROW('CASE MASTER'!#REF!)-1)))&amp;TRIM(MID(SUBSTITUTE(SUBSTITUTE(INDEX('CASE MASTER'!$N$2:$N$495,(SUMPRODUCT((('CASE MASTER'!$T$2:$T$495=12)*('CASE MASTER'!$AA$2:$AA$495&lt;=5)*('CASE MASTER'!$AC$2:$AC$495&gt;=5)*('CASE MASTER'!$AB$2:$AB$495&lt;=8)*('CASE MASTER'!$AD$2:$AD$495&gt;=8))*ROW('CASE MASTER'!$T$2:$T$495))-(ROW('CASE MASTER'!#REF!)-1))),":",","),",",REPT(" ",50)),(((INDEX('CASE MASTER'!$Z$2:$Z$495,(SUMPRODUCT((('CASE MASTER'!$T$2:$T$495=12)*('CASE MASTER'!$AA$2:$AA$495&lt;=5)*('CASE MASTER'!$AC$2:$AC$495&gt;=5)*('CASE MASTER'!$AB$2:$AB$495&lt;=8)*('CASE MASTER'!$AD$2:$AD$495&gt;=8))*ROW('CASE MASTER'!$T$2:$T$495))-(ROW('CASE MASTER'!#REF!)-1)))+((5-INDEX('CASE MASTER'!$AA$2:$AA$495,(SUMPRODUCT((('CASE MASTER'!$T$2:$T$495=12)*('CASE MASTER'!$AA$2:$AA$495&lt;=5)*('CASE MASTER'!$AC$2:$AC$495&gt;=5)*('CASE MASTER'!$AB$2:$AB$495&lt;=8)*('CASE MASTER'!$AD$2:$AD$495&gt;=8))*ROW('CASE MASTER'!$T$2:$T$495))-(ROW('CASE MASTER'!#REF!)-1))))*(INDEX('CASE MASTER'!$AD$2:$AD$495,(SUMPRODUCT((('CASE MASTER'!$T$2:$T$495=12)*('CASE MASTER'!$AA$2:$AA$495&lt;=5)*('CASE MASTER'!$AC$2:$AC$495&gt;=5)*('CASE MASTER'!$AB$2:$AB$495&lt;=8)*('CASE MASTER'!$AD$2:$AD$495&gt;=8))*ROW('CASE MASTER'!$T$2:$T$495))-(ROW('CASE MASTER'!#REF!)-1)))-INDEX('CASE MASTER'!$AB$2:$AB$495,(SUMPRODUCT((('CASE MASTER'!$T$2:$T$495=12)*('CASE MASTER'!$AA$2:$AA$495&lt;=5)*('CASE MASTER'!$AC$2:$AC$495&gt;=5)*('CASE MASTER'!$AB$2:$AB$495&lt;=8)*('CASE MASTER'!$AD$2:$AD$495&gt;=8))*ROW('CASE MASTER'!$T$2:$T$495))-(ROW('CASE MASTER'!#REF!)-1)))+1)+(8-INDEX('CASE MASTER'!$AB$2:$AB$495,(SUMPRODUCT((('CASE MASTER'!$T$2:$T$495=12)*('CASE MASTER'!$AA$2:$AA$495&lt;=5)*('CASE MASTER'!$AC$2:$AC$495&gt;=5)*('CASE MASTER'!$AB$2:$AB$495&lt;=8)*('CASE MASTER'!$AD$2:$AD$495&gt;=8))*ROW('CASE MASTER'!$T$2:$T$495))-(ROW('CASE MASTER'!#REF!)-1))))+1)))-1)*50+1,50))&amp;"_"&amp;INDEX('CASE MASTER'!$Q$2:$Q$495,(SUMPRODUCT((('CASE MASTER'!$T$2:$T$495=12)*('CASE MASTER'!$AA$2:$AA$495&lt;=5)*('CASE MASTER'!$AC$2:$AC$495&gt;=5)*('CASE MASTER'!$AB$2:$AB$495&lt;=8)*('CASE MASTER'!$AD$2:$AD$495&gt;=8))*ROW('CASE MASTER'!$T$2:$T$495))-(ROW('CASE MASTER'!#REF!)-1))),"")),"")</f>
        <v/>
      </c>
      <c r="J161" s="10" t="str">
        <f>IFERROR(IF(SUMPRODUCT((('CASE MASTER'!$T$2:$T$495=12)*('CASE MASTER'!$U$2:$U$495&lt;=5)*('CASE MASTER'!$W$2:$W$495&gt;=5)*('CASE MASTER'!$V$2:$V$495&lt;=9)*('CASE MASTER'!$X$2:$X$495&gt;=9))*ROW('CASE MASTER'!$T$2:$T$495))&gt;0,INDEX('CASE MASTER'!$Y$2:$Y$495,(SUMPRODUCT((('CASE MASTER'!$T$2:$T$495=12)*('CASE MASTER'!$U$2:$U$495&lt;=5)*('CASE MASTER'!$W$2:$W$495&gt;=5)*('CASE MASTER'!$V$2:$V$495&lt;=9)*('CASE MASTER'!$X$2:$X$495&gt;=9))*ROW('CASE MASTER'!$T$2:$T$495))-(ROW('CASE MASTER'!#REF!)-1)))&amp;TRIM(MID(SUBSTITUTE(SUBSTITUTE(INDEX('CASE MASTER'!$N$2:$N$495,(SUMPRODUCT((('CASE MASTER'!$T$2:$T$495=12)*('CASE MASTER'!$U$2:$U$495&lt;=5)*('CASE MASTER'!$W$2:$W$495&gt;=5)*('CASE MASTER'!$V$2:$V$495&lt;=9)*('CASE MASTER'!$X$2:$X$495&gt;=9))*ROW('CASE MASTER'!$T$2:$T$495))-(ROW('CASE MASTER'!#REF!)-1))),":",","),",",REPT(" ",50)),((((5-INDEX('CASE MASTER'!$U$2:$U$495,(SUMPRODUCT((('CASE MASTER'!$T$2:$T$495=12)*('CASE MASTER'!$U$2:$U$495&lt;=5)*('CASE MASTER'!$W$2:$W$495&gt;=5)*('CASE MASTER'!$V$2:$V$495&lt;=9)*('CASE MASTER'!$X$2:$X$495&gt;=9))*ROW('CASE MASTER'!$T$2:$T$495))-(ROW('CASE MASTER'!#REF!)-1))))*(INDEX('CASE MASTER'!$X$2:$X$495,(SUMPRODUCT((('CASE MASTER'!$T$2:$T$495=12)*('CASE MASTER'!$U$2:$U$495&lt;=5)*('CASE MASTER'!$W$2:$W$495&gt;=5)*('CASE MASTER'!$V$2:$V$495&lt;=9)*('CASE MASTER'!$X$2:$X$495&gt;=9))*ROW('CASE MASTER'!$T$2:$T$495))-(ROW('CASE MASTER'!#REF!)-1)))-INDEX('CASE MASTER'!$V$2:$V$495,(SUMPRODUCT((('CASE MASTER'!$T$2:$T$495=12)*('CASE MASTER'!$U$2:$U$495&lt;=5)*('CASE MASTER'!$W$2:$W$495&gt;=5)*('CASE MASTER'!$V$2:$V$495&lt;=9)*('CASE MASTER'!$X$2:$X$495&gt;=9))*ROW('CASE MASTER'!$T$2:$T$495))-(ROW('CASE MASTER'!#REF!)-1)))+1)+(9-INDEX('CASE MASTER'!$V$2:$V$495,(SUMPRODUCT((('CASE MASTER'!$T$2:$T$495=12)*('CASE MASTER'!$U$2:$U$495&lt;=5)*('CASE MASTER'!$W$2:$W$495&gt;=5)*('CASE MASTER'!$V$2:$V$495&lt;=9)*('CASE MASTER'!$X$2:$X$495&gt;=9))*ROW('CASE MASTER'!$T$2:$T$495))-(ROW('CASE MASTER'!#REF!)-1))))+1))-1)*50+1,50))&amp;"_"&amp;INDEX('CASE MASTER'!$Q$2:$Q$495,(SUMPRODUCT((('CASE MASTER'!$T$2:$T$495=12)*('CASE MASTER'!$U$2:$U$495&lt;=5)*('CASE MASTER'!$W$2:$W$495&gt;=5)*('CASE MASTER'!$V$2:$V$495&lt;=9)*('CASE MASTER'!$X$2:$X$495&gt;=9))*ROW('CASE MASTER'!$T$2:$T$495))-(ROW('CASE MASTER'!#REF!)-1))),IF(SUMPRODUCT((('CASE MASTER'!$T$2:$T$495=12)*('CASE MASTER'!$AA$2:$AA$495&lt;=5)*('CASE MASTER'!$AC$2:$AC$495&gt;=5)*('CASE MASTER'!$AB$2:$AB$495&lt;=9)*('CASE MASTER'!$AD$2:$AD$495&gt;=9))*ROW('CASE MASTER'!$T$2:$T$495))&gt;0,INDEX('CASE MASTER'!$Y$2:$Y$495,(SUMPRODUCT((('CASE MASTER'!$T$2:$T$495=12)*('CASE MASTER'!$AA$2:$AA$495&lt;=5)*('CASE MASTER'!$AC$2:$AC$495&gt;=5)*('CASE MASTER'!$AB$2:$AB$495&lt;=9)*('CASE MASTER'!$AD$2:$AD$495&gt;=9))*ROW('CASE MASTER'!$T$2:$T$495))-(ROW('CASE MASTER'!#REF!)-1)))&amp;TRIM(MID(SUBSTITUTE(SUBSTITUTE(INDEX('CASE MASTER'!$N$2:$N$495,(SUMPRODUCT((('CASE MASTER'!$T$2:$T$495=12)*('CASE MASTER'!$AA$2:$AA$495&lt;=5)*('CASE MASTER'!$AC$2:$AC$495&gt;=5)*('CASE MASTER'!$AB$2:$AB$495&lt;=9)*('CASE MASTER'!$AD$2:$AD$495&gt;=9))*ROW('CASE MASTER'!$T$2:$T$495))-(ROW('CASE MASTER'!#REF!)-1))),":",","),",",REPT(" ",50)),(((INDEX('CASE MASTER'!$Z$2:$Z$495,(SUMPRODUCT((('CASE MASTER'!$T$2:$T$495=12)*('CASE MASTER'!$AA$2:$AA$495&lt;=5)*('CASE MASTER'!$AC$2:$AC$495&gt;=5)*('CASE MASTER'!$AB$2:$AB$495&lt;=9)*('CASE MASTER'!$AD$2:$AD$495&gt;=9))*ROW('CASE MASTER'!$T$2:$T$495))-(ROW('CASE MASTER'!#REF!)-1)))+((5-INDEX('CASE MASTER'!$AA$2:$AA$495,(SUMPRODUCT((('CASE MASTER'!$T$2:$T$495=12)*('CASE MASTER'!$AA$2:$AA$495&lt;=5)*('CASE MASTER'!$AC$2:$AC$495&gt;=5)*('CASE MASTER'!$AB$2:$AB$495&lt;=9)*('CASE MASTER'!$AD$2:$AD$495&gt;=9))*ROW('CASE MASTER'!$T$2:$T$495))-(ROW('CASE MASTER'!#REF!)-1))))*(INDEX('CASE MASTER'!$AD$2:$AD$495,(SUMPRODUCT((('CASE MASTER'!$T$2:$T$495=12)*('CASE MASTER'!$AA$2:$AA$495&lt;=5)*('CASE MASTER'!$AC$2:$AC$495&gt;=5)*('CASE MASTER'!$AB$2:$AB$495&lt;=9)*('CASE MASTER'!$AD$2:$AD$495&gt;=9))*ROW('CASE MASTER'!$T$2:$T$495))-(ROW('CASE MASTER'!#REF!)-1)))-INDEX('CASE MASTER'!$AB$2:$AB$495,(SUMPRODUCT((('CASE MASTER'!$T$2:$T$495=12)*('CASE MASTER'!$AA$2:$AA$495&lt;=5)*('CASE MASTER'!$AC$2:$AC$495&gt;=5)*('CASE MASTER'!$AB$2:$AB$495&lt;=9)*('CASE MASTER'!$AD$2:$AD$495&gt;=9))*ROW('CASE MASTER'!$T$2:$T$495))-(ROW('CASE MASTER'!#REF!)-1)))+1)+(9-INDEX('CASE MASTER'!$AB$2:$AB$495,(SUMPRODUCT((('CASE MASTER'!$T$2:$T$495=12)*('CASE MASTER'!$AA$2:$AA$495&lt;=5)*('CASE MASTER'!$AC$2:$AC$495&gt;=5)*('CASE MASTER'!$AB$2:$AB$495&lt;=9)*('CASE MASTER'!$AD$2:$AD$495&gt;=9))*ROW('CASE MASTER'!$T$2:$T$495))-(ROW('CASE MASTER'!#REF!)-1))))+1)))-1)*50+1,50))&amp;"_"&amp;INDEX('CASE MASTER'!$Q$2:$Q$495,(SUMPRODUCT((('CASE MASTER'!$T$2:$T$495=12)*('CASE MASTER'!$AA$2:$AA$495&lt;=5)*('CASE MASTER'!$AC$2:$AC$495&gt;=5)*('CASE MASTER'!$AB$2:$AB$495&lt;=9)*('CASE MASTER'!$AD$2:$AD$495&gt;=9))*ROW('CASE MASTER'!$T$2:$T$495))-(ROW('CASE MASTER'!#REF!)-1))),"")),"")</f>
        <v/>
      </c>
      <c r="K161" s="10" t="str">
        <f>IFERROR(IF(SUMPRODUCT((('CASE MASTER'!$T$2:$T$495=12)*('CASE MASTER'!$U$2:$U$495&lt;=5)*('CASE MASTER'!$W$2:$W$495&gt;=5)*('CASE MASTER'!$V$2:$V$495&lt;=10)*('CASE MASTER'!$X$2:$X$495&gt;=10))*ROW('CASE MASTER'!$T$2:$T$495))&gt;0,INDEX('CASE MASTER'!$Y$2:$Y$495,(SUMPRODUCT((('CASE MASTER'!$T$2:$T$495=12)*('CASE MASTER'!$U$2:$U$495&lt;=5)*('CASE MASTER'!$W$2:$W$495&gt;=5)*('CASE MASTER'!$V$2:$V$495&lt;=10)*('CASE MASTER'!$X$2:$X$495&gt;=10))*ROW('CASE MASTER'!$T$2:$T$495))-(ROW('CASE MASTER'!#REF!)-1)))&amp;TRIM(MID(SUBSTITUTE(SUBSTITUTE(INDEX('CASE MASTER'!$N$2:$N$495,(SUMPRODUCT((('CASE MASTER'!$T$2:$T$495=12)*('CASE MASTER'!$U$2:$U$495&lt;=5)*('CASE MASTER'!$W$2:$W$495&gt;=5)*('CASE MASTER'!$V$2:$V$495&lt;=10)*('CASE MASTER'!$X$2:$X$495&gt;=10))*ROW('CASE MASTER'!$T$2:$T$495))-(ROW('CASE MASTER'!#REF!)-1))),":",","),",",REPT(" ",50)),((((5-INDEX('CASE MASTER'!$U$2:$U$495,(SUMPRODUCT((('CASE MASTER'!$T$2:$T$495=12)*('CASE MASTER'!$U$2:$U$495&lt;=5)*('CASE MASTER'!$W$2:$W$495&gt;=5)*('CASE MASTER'!$V$2:$V$495&lt;=10)*('CASE MASTER'!$X$2:$X$495&gt;=10))*ROW('CASE MASTER'!$T$2:$T$495))-(ROW('CASE MASTER'!#REF!)-1))))*(INDEX('CASE MASTER'!$X$2:$X$495,(SUMPRODUCT((('CASE MASTER'!$T$2:$T$495=12)*('CASE MASTER'!$U$2:$U$495&lt;=5)*('CASE MASTER'!$W$2:$W$495&gt;=5)*('CASE MASTER'!$V$2:$V$495&lt;=10)*('CASE MASTER'!$X$2:$X$495&gt;=10))*ROW('CASE MASTER'!$T$2:$T$495))-(ROW('CASE MASTER'!#REF!)-1)))-INDEX('CASE MASTER'!$V$2:$V$495,(SUMPRODUCT((('CASE MASTER'!$T$2:$T$495=12)*('CASE MASTER'!$U$2:$U$495&lt;=5)*('CASE MASTER'!$W$2:$W$495&gt;=5)*('CASE MASTER'!$V$2:$V$495&lt;=10)*('CASE MASTER'!$X$2:$X$495&gt;=10))*ROW('CASE MASTER'!$T$2:$T$495))-(ROW('CASE MASTER'!#REF!)-1)))+1)+(10-INDEX('CASE MASTER'!$V$2:$V$495,(SUMPRODUCT((('CASE MASTER'!$T$2:$T$495=12)*('CASE MASTER'!$U$2:$U$495&lt;=5)*('CASE MASTER'!$W$2:$W$495&gt;=5)*('CASE MASTER'!$V$2:$V$495&lt;=10)*('CASE MASTER'!$X$2:$X$495&gt;=10))*ROW('CASE MASTER'!$T$2:$T$495))-(ROW('CASE MASTER'!#REF!)-1))))+1))-1)*50+1,50))&amp;"_"&amp;INDEX('CASE MASTER'!$Q$2:$Q$495,(SUMPRODUCT((('CASE MASTER'!$T$2:$T$495=12)*('CASE MASTER'!$U$2:$U$495&lt;=5)*('CASE MASTER'!$W$2:$W$495&gt;=5)*('CASE MASTER'!$V$2:$V$495&lt;=10)*('CASE MASTER'!$X$2:$X$495&gt;=10))*ROW('CASE MASTER'!$T$2:$T$495))-(ROW('CASE MASTER'!#REF!)-1))),IF(SUMPRODUCT((('CASE MASTER'!$T$2:$T$495=12)*('CASE MASTER'!$AA$2:$AA$495&lt;=5)*('CASE MASTER'!$AC$2:$AC$495&gt;=5)*('CASE MASTER'!$AB$2:$AB$495&lt;=10)*('CASE MASTER'!$AD$2:$AD$495&gt;=10))*ROW('CASE MASTER'!$T$2:$T$495))&gt;0,INDEX('CASE MASTER'!$Y$2:$Y$495,(SUMPRODUCT((('CASE MASTER'!$T$2:$T$495=12)*('CASE MASTER'!$AA$2:$AA$495&lt;=5)*('CASE MASTER'!$AC$2:$AC$495&gt;=5)*('CASE MASTER'!$AB$2:$AB$495&lt;=10)*('CASE MASTER'!$AD$2:$AD$495&gt;=10))*ROW('CASE MASTER'!$T$2:$T$495))-(ROW('CASE MASTER'!#REF!)-1)))&amp;TRIM(MID(SUBSTITUTE(SUBSTITUTE(INDEX('CASE MASTER'!$N$2:$N$495,(SUMPRODUCT((('CASE MASTER'!$T$2:$T$495=12)*('CASE MASTER'!$AA$2:$AA$495&lt;=5)*('CASE MASTER'!$AC$2:$AC$495&gt;=5)*('CASE MASTER'!$AB$2:$AB$495&lt;=10)*('CASE MASTER'!$AD$2:$AD$495&gt;=10))*ROW('CASE MASTER'!$T$2:$T$495))-(ROW('CASE MASTER'!#REF!)-1))),":",","),",",REPT(" ",50)),(((INDEX('CASE MASTER'!$Z$2:$Z$495,(SUMPRODUCT((('CASE MASTER'!$T$2:$T$495=12)*('CASE MASTER'!$AA$2:$AA$495&lt;=5)*('CASE MASTER'!$AC$2:$AC$495&gt;=5)*('CASE MASTER'!$AB$2:$AB$495&lt;=10)*('CASE MASTER'!$AD$2:$AD$495&gt;=10))*ROW('CASE MASTER'!$T$2:$T$495))-(ROW('CASE MASTER'!#REF!)-1)))+((5-INDEX('CASE MASTER'!$AA$2:$AA$495,(SUMPRODUCT((('CASE MASTER'!$T$2:$T$495=12)*('CASE MASTER'!$AA$2:$AA$495&lt;=5)*('CASE MASTER'!$AC$2:$AC$495&gt;=5)*('CASE MASTER'!$AB$2:$AB$495&lt;=10)*('CASE MASTER'!$AD$2:$AD$495&gt;=10))*ROW('CASE MASTER'!$T$2:$T$495))-(ROW('CASE MASTER'!#REF!)-1))))*(INDEX('CASE MASTER'!$AD$2:$AD$495,(SUMPRODUCT((('CASE MASTER'!$T$2:$T$495=12)*('CASE MASTER'!$AA$2:$AA$495&lt;=5)*('CASE MASTER'!$AC$2:$AC$495&gt;=5)*('CASE MASTER'!$AB$2:$AB$495&lt;=10)*('CASE MASTER'!$AD$2:$AD$495&gt;=10))*ROW('CASE MASTER'!$T$2:$T$495))-(ROW('CASE MASTER'!#REF!)-1)))-INDEX('CASE MASTER'!$AB$2:$AB$495,(SUMPRODUCT((('CASE MASTER'!$T$2:$T$495=12)*('CASE MASTER'!$AA$2:$AA$495&lt;=5)*('CASE MASTER'!$AC$2:$AC$495&gt;=5)*('CASE MASTER'!$AB$2:$AB$495&lt;=10)*('CASE MASTER'!$AD$2:$AD$495&gt;=10))*ROW('CASE MASTER'!$T$2:$T$495))-(ROW('CASE MASTER'!#REF!)-1)))+1)+(10-INDEX('CASE MASTER'!$AB$2:$AB$495,(SUMPRODUCT((('CASE MASTER'!$T$2:$T$495=12)*('CASE MASTER'!$AA$2:$AA$495&lt;=5)*('CASE MASTER'!$AC$2:$AC$495&gt;=5)*('CASE MASTER'!$AB$2:$AB$495&lt;=10)*('CASE MASTER'!$AD$2:$AD$495&gt;=10))*ROW('CASE MASTER'!$T$2:$T$495))-(ROW('CASE MASTER'!#REF!)-1))))+1)))-1)*50+1,50))&amp;"_"&amp;INDEX('CASE MASTER'!$Q$2:$Q$495,(SUMPRODUCT((('CASE MASTER'!$T$2:$T$495=12)*('CASE MASTER'!$AA$2:$AA$495&lt;=5)*('CASE MASTER'!$AC$2:$AC$495&gt;=5)*('CASE MASTER'!$AB$2:$AB$495&lt;=10)*('CASE MASTER'!$AD$2:$AD$495&gt;=10))*ROW('CASE MASTER'!$T$2:$T$495))-(ROW('CASE MASTER'!#REF!)-1))),"")),"")</f>
        <v/>
      </c>
    </row>
    <row r="162" spans="1:11" ht="15" customHeight="1" x14ac:dyDescent="0.35">
      <c r="A162" s="8" t="s">
        <v>33</v>
      </c>
      <c r="B162" s="10" t="str">
        <f>IFERROR(IF(SUMPRODUCT((('CASE MASTER'!$T$2:$T$495=12)*('CASE MASTER'!$U$2:$U$495&lt;=6)*('CASE MASTER'!$W$2:$W$495&gt;=6)*('CASE MASTER'!$V$2:$V$495&lt;=1)*('CASE MASTER'!$X$2:$X$495&gt;=1))*ROW('CASE MASTER'!$T$2:$T$495))&gt;0,INDEX('CASE MASTER'!$Y$2:$Y$495,(SUMPRODUCT((('CASE MASTER'!$T$2:$T$495=12)*('CASE MASTER'!$U$2:$U$495&lt;=6)*('CASE MASTER'!$W$2:$W$495&gt;=6)*('CASE MASTER'!$V$2:$V$495&lt;=1)*('CASE MASTER'!$X$2:$X$495&gt;=1))*ROW('CASE MASTER'!$T$2:$T$495))-(ROW('CASE MASTER'!#REF!)-1)))&amp;TRIM(MID(SUBSTITUTE(SUBSTITUTE(INDEX('CASE MASTER'!$N$2:$N$495,(SUMPRODUCT((('CASE MASTER'!$T$2:$T$495=12)*('CASE MASTER'!$U$2:$U$495&lt;=6)*('CASE MASTER'!$W$2:$W$495&gt;=6)*('CASE MASTER'!$V$2:$V$495&lt;=1)*('CASE MASTER'!$X$2:$X$495&gt;=1))*ROW('CASE MASTER'!$T$2:$T$495))-(ROW('CASE MASTER'!#REF!)-1))),":",","),",",REPT(" ",50)),((((6-INDEX('CASE MASTER'!$U$2:$U$495,(SUMPRODUCT((('CASE MASTER'!$T$2:$T$495=12)*('CASE MASTER'!$U$2:$U$495&lt;=6)*('CASE MASTER'!$W$2:$W$495&gt;=6)*('CASE MASTER'!$V$2:$V$495&lt;=1)*('CASE MASTER'!$X$2:$X$495&gt;=1))*ROW('CASE MASTER'!$T$2:$T$495))-(ROW('CASE MASTER'!#REF!)-1))))*(INDEX('CASE MASTER'!$X$2:$X$495,(SUMPRODUCT((('CASE MASTER'!$T$2:$T$495=12)*('CASE MASTER'!$U$2:$U$495&lt;=6)*('CASE MASTER'!$W$2:$W$495&gt;=6)*('CASE MASTER'!$V$2:$V$495&lt;=1)*('CASE MASTER'!$X$2:$X$495&gt;=1))*ROW('CASE MASTER'!$T$2:$T$495))-(ROW('CASE MASTER'!#REF!)-1)))-INDEX('CASE MASTER'!$V$2:$V$495,(SUMPRODUCT((('CASE MASTER'!$T$2:$T$495=12)*('CASE MASTER'!$U$2:$U$495&lt;=6)*('CASE MASTER'!$W$2:$W$495&gt;=6)*('CASE MASTER'!$V$2:$V$495&lt;=1)*('CASE MASTER'!$X$2:$X$495&gt;=1))*ROW('CASE MASTER'!$T$2:$T$495))-(ROW('CASE MASTER'!#REF!)-1)))+1)+(1-INDEX('CASE MASTER'!$V$2:$V$495,(SUMPRODUCT((('CASE MASTER'!$T$2:$T$495=12)*('CASE MASTER'!$U$2:$U$495&lt;=6)*('CASE MASTER'!$W$2:$W$495&gt;=6)*('CASE MASTER'!$V$2:$V$495&lt;=1)*('CASE MASTER'!$X$2:$X$495&gt;=1))*ROW('CASE MASTER'!$T$2:$T$495))-(ROW('CASE MASTER'!#REF!)-1))))+1))-1)*50+1,50))&amp;"_"&amp;INDEX('CASE MASTER'!$Q$2:$Q$495,(SUMPRODUCT((('CASE MASTER'!$T$2:$T$495=12)*('CASE MASTER'!$U$2:$U$495&lt;=6)*('CASE MASTER'!$W$2:$W$495&gt;=6)*('CASE MASTER'!$V$2:$V$495&lt;=1)*('CASE MASTER'!$X$2:$X$495&gt;=1))*ROW('CASE MASTER'!$T$2:$T$495))-(ROW('CASE MASTER'!#REF!)-1))),IF(SUMPRODUCT((('CASE MASTER'!$T$2:$T$495=12)*('CASE MASTER'!$AA$2:$AA$495&lt;=6)*('CASE MASTER'!$AC$2:$AC$495&gt;=6)*('CASE MASTER'!$AB$2:$AB$495&lt;=1)*('CASE MASTER'!$AD$2:$AD$495&gt;=1))*ROW('CASE MASTER'!$T$2:$T$495))&gt;0,INDEX('CASE MASTER'!$Y$2:$Y$495,(SUMPRODUCT((('CASE MASTER'!$T$2:$T$495=12)*('CASE MASTER'!$AA$2:$AA$495&lt;=6)*('CASE MASTER'!$AC$2:$AC$495&gt;=6)*('CASE MASTER'!$AB$2:$AB$495&lt;=1)*('CASE MASTER'!$AD$2:$AD$495&gt;=1))*ROW('CASE MASTER'!$T$2:$T$495))-(ROW('CASE MASTER'!#REF!)-1)))&amp;TRIM(MID(SUBSTITUTE(SUBSTITUTE(INDEX('CASE MASTER'!$N$2:$N$495,(SUMPRODUCT((('CASE MASTER'!$T$2:$T$495=12)*('CASE MASTER'!$AA$2:$AA$495&lt;=6)*('CASE MASTER'!$AC$2:$AC$495&gt;=6)*('CASE MASTER'!$AB$2:$AB$495&lt;=1)*('CASE MASTER'!$AD$2:$AD$495&gt;=1))*ROW('CASE MASTER'!$T$2:$T$495))-(ROW('CASE MASTER'!#REF!)-1))),":",","),",",REPT(" ",50)),(((INDEX('CASE MASTER'!$Z$2:$Z$495,(SUMPRODUCT((('CASE MASTER'!$T$2:$T$495=12)*('CASE MASTER'!$AA$2:$AA$495&lt;=6)*('CASE MASTER'!$AC$2:$AC$495&gt;=6)*('CASE MASTER'!$AB$2:$AB$495&lt;=1)*('CASE MASTER'!$AD$2:$AD$495&gt;=1))*ROW('CASE MASTER'!$T$2:$T$495))-(ROW('CASE MASTER'!#REF!)-1)))+((6-INDEX('CASE MASTER'!$AA$2:$AA$495,(SUMPRODUCT((('CASE MASTER'!$T$2:$T$495=12)*('CASE MASTER'!$AA$2:$AA$495&lt;=6)*('CASE MASTER'!$AC$2:$AC$495&gt;=6)*('CASE MASTER'!$AB$2:$AB$495&lt;=1)*('CASE MASTER'!$AD$2:$AD$495&gt;=1))*ROW('CASE MASTER'!$T$2:$T$495))-(ROW('CASE MASTER'!#REF!)-1))))*(INDEX('CASE MASTER'!$AD$2:$AD$495,(SUMPRODUCT((('CASE MASTER'!$T$2:$T$495=12)*('CASE MASTER'!$AA$2:$AA$495&lt;=6)*('CASE MASTER'!$AC$2:$AC$495&gt;=6)*('CASE MASTER'!$AB$2:$AB$495&lt;=1)*('CASE MASTER'!$AD$2:$AD$495&gt;=1))*ROW('CASE MASTER'!$T$2:$T$495))-(ROW('CASE MASTER'!#REF!)-1)))-INDEX('CASE MASTER'!$AB$2:$AB$495,(SUMPRODUCT((('CASE MASTER'!$T$2:$T$495=12)*('CASE MASTER'!$AA$2:$AA$495&lt;=6)*('CASE MASTER'!$AC$2:$AC$495&gt;=6)*('CASE MASTER'!$AB$2:$AB$495&lt;=1)*('CASE MASTER'!$AD$2:$AD$495&gt;=1))*ROW('CASE MASTER'!$T$2:$T$495))-(ROW('CASE MASTER'!#REF!)-1)))+1)+(1-INDEX('CASE MASTER'!$AB$2:$AB$495,(SUMPRODUCT((('CASE MASTER'!$T$2:$T$495=12)*('CASE MASTER'!$AA$2:$AA$495&lt;=6)*('CASE MASTER'!$AC$2:$AC$495&gt;=6)*('CASE MASTER'!$AB$2:$AB$495&lt;=1)*('CASE MASTER'!$AD$2:$AD$495&gt;=1))*ROW('CASE MASTER'!$T$2:$T$495))-(ROW('CASE MASTER'!#REF!)-1))))+1)))-1)*50+1,50))&amp;"_"&amp;INDEX('CASE MASTER'!$Q$2:$Q$495,(SUMPRODUCT((('CASE MASTER'!$T$2:$T$495=12)*('CASE MASTER'!$AA$2:$AA$495&lt;=6)*('CASE MASTER'!$AC$2:$AC$495&gt;=6)*('CASE MASTER'!$AB$2:$AB$495&lt;=1)*('CASE MASTER'!$AD$2:$AD$495&gt;=1))*ROW('CASE MASTER'!$T$2:$T$495))-(ROW('CASE MASTER'!#REF!)-1))),"")),"")</f>
        <v/>
      </c>
      <c r="C162" s="10" t="str">
        <f>IFERROR(IF(SUMPRODUCT((('CASE MASTER'!$T$2:$T$495=12)*('CASE MASTER'!$U$2:$U$495&lt;=6)*('CASE MASTER'!$W$2:$W$495&gt;=6)*('CASE MASTER'!$V$2:$V$495&lt;=2)*('CASE MASTER'!$X$2:$X$495&gt;=2))*ROW('CASE MASTER'!$T$2:$T$495))&gt;0,INDEX('CASE MASTER'!$Y$2:$Y$495,(SUMPRODUCT((('CASE MASTER'!$T$2:$T$495=12)*('CASE MASTER'!$U$2:$U$495&lt;=6)*('CASE MASTER'!$W$2:$W$495&gt;=6)*('CASE MASTER'!$V$2:$V$495&lt;=2)*('CASE MASTER'!$X$2:$X$495&gt;=2))*ROW('CASE MASTER'!$T$2:$T$495))-(ROW('CASE MASTER'!#REF!)-1)))&amp;TRIM(MID(SUBSTITUTE(SUBSTITUTE(INDEX('CASE MASTER'!$N$2:$N$495,(SUMPRODUCT((('CASE MASTER'!$T$2:$T$495=12)*('CASE MASTER'!$U$2:$U$495&lt;=6)*('CASE MASTER'!$W$2:$W$495&gt;=6)*('CASE MASTER'!$V$2:$V$495&lt;=2)*('CASE MASTER'!$X$2:$X$495&gt;=2))*ROW('CASE MASTER'!$T$2:$T$495))-(ROW('CASE MASTER'!#REF!)-1))),":",","),",",REPT(" ",50)),((((6-INDEX('CASE MASTER'!$U$2:$U$495,(SUMPRODUCT((('CASE MASTER'!$T$2:$T$495=12)*('CASE MASTER'!$U$2:$U$495&lt;=6)*('CASE MASTER'!$W$2:$W$495&gt;=6)*('CASE MASTER'!$V$2:$V$495&lt;=2)*('CASE MASTER'!$X$2:$X$495&gt;=2))*ROW('CASE MASTER'!$T$2:$T$495))-(ROW('CASE MASTER'!#REF!)-1))))*(INDEX('CASE MASTER'!$X$2:$X$495,(SUMPRODUCT((('CASE MASTER'!$T$2:$T$495=12)*('CASE MASTER'!$U$2:$U$495&lt;=6)*('CASE MASTER'!$W$2:$W$495&gt;=6)*('CASE MASTER'!$V$2:$V$495&lt;=2)*('CASE MASTER'!$X$2:$X$495&gt;=2))*ROW('CASE MASTER'!$T$2:$T$495))-(ROW('CASE MASTER'!#REF!)-1)))-INDEX('CASE MASTER'!$V$2:$V$495,(SUMPRODUCT((('CASE MASTER'!$T$2:$T$495=12)*('CASE MASTER'!$U$2:$U$495&lt;=6)*('CASE MASTER'!$W$2:$W$495&gt;=6)*('CASE MASTER'!$V$2:$V$495&lt;=2)*('CASE MASTER'!$X$2:$X$495&gt;=2))*ROW('CASE MASTER'!$T$2:$T$495))-(ROW('CASE MASTER'!#REF!)-1)))+1)+(2-INDEX('CASE MASTER'!$V$2:$V$495,(SUMPRODUCT((('CASE MASTER'!$T$2:$T$495=12)*('CASE MASTER'!$U$2:$U$495&lt;=6)*('CASE MASTER'!$W$2:$W$495&gt;=6)*('CASE MASTER'!$V$2:$V$495&lt;=2)*('CASE MASTER'!$X$2:$X$495&gt;=2))*ROW('CASE MASTER'!$T$2:$T$495))-(ROW('CASE MASTER'!#REF!)-1))))+1))-1)*50+1,50))&amp;"_"&amp;INDEX('CASE MASTER'!$Q$2:$Q$495,(SUMPRODUCT((('CASE MASTER'!$T$2:$T$495=12)*('CASE MASTER'!$U$2:$U$495&lt;=6)*('CASE MASTER'!$W$2:$W$495&gt;=6)*('CASE MASTER'!$V$2:$V$495&lt;=2)*('CASE MASTER'!$X$2:$X$495&gt;=2))*ROW('CASE MASTER'!$T$2:$T$495))-(ROW('CASE MASTER'!#REF!)-1))),IF(SUMPRODUCT((('CASE MASTER'!$T$2:$T$495=12)*('CASE MASTER'!$AA$2:$AA$495&lt;=6)*('CASE MASTER'!$AC$2:$AC$495&gt;=6)*('CASE MASTER'!$AB$2:$AB$495&lt;=2)*('CASE MASTER'!$AD$2:$AD$495&gt;=2))*ROW('CASE MASTER'!$T$2:$T$495))&gt;0,INDEX('CASE MASTER'!$Y$2:$Y$495,(SUMPRODUCT((('CASE MASTER'!$T$2:$T$495=12)*('CASE MASTER'!$AA$2:$AA$495&lt;=6)*('CASE MASTER'!$AC$2:$AC$495&gt;=6)*('CASE MASTER'!$AB$2:$AB$495&lt;=2)*('CASE MASTER'!$AD$2:$AD$495&gt;=2))*ROW('CASE MASTER'!$T$2:$T$495))-(ROW('CASE MASTER'!#REF!)-1)))&amp;TRIM(MID(SUBSTITUTE(SUBSTITUTE(INDEX('CASE MASTER'!$N$2:$N$495,(SUMPRODUCT((('CASE MASTER'!$T$2:$T$495=12)*('CASE MASTER'!$AA$2:$AA$495&lt;=6)*('CASE MASTER'!$AC$2:$AC$495&gt;=6)*('CASE MASTER'!$AB$2:$AB$495&lt;=2)*('CASE MASTER'!$AD$2:$AD$495&gt;=2))*ROW('CASE MASTER'!$T$2:$T$495))-(ROW('CASE MASTER'!#REF!)-1))),":",","),",",REPT(" ",50)),(((INDEX('CASE MASTER'!$Z$2:$Z$495,(SUMPRODUCT((('CASE MASTER'!$T$2:$T$495=12)*('CASE MASTER'!$AA$2:$AA$495&lt;=6)*('CASE MASTER'!$AC$2:$AC$495&gt;=6)*('CASE MASTER'!$AB$2:$AB$495&lt;=2)*('CASE MASTER'!$AD$2:$AD$495&gt;=2))*ROW('CASE MASTER'!$T$2:$T$495))-(ROW('CASE MASTER'!#REF!)-1)))+((6-INDEX('CASE MASTER'!$AA$2:$AA$495,(SUMPRODUCT((('CASE MASTER'!$T$2:$T$495=12)*('CASE MASTER'!$AA$2:$AA$495&lt;=6)*('CASE MASTER'!$AC$2:$AC$495&gt;=6)*('CASE MASTER'!$AB$2:$AB$495&lt;=2)*('CASE MASTER'!$AD$2:$AD$495&gt;=2))*ROW('CASE MASTER'!$T$2:$T$495))-(ROW('CASE MASTER'!#REF!)-1))))*(INDEX('CASE MASTER'!$AD$2:$AD$495,(SUMPRODUCT((('CASE MASTER'!$T$2:$T$495=12)*('CASE MASTER'!$AA$2:$AA$495&lt;=6)*('CASE MASTER'!$AC$2:$AC$495&gt;=6)*('CASE MASTER'!$AB$2:$AB$495&lt;=2)*('CASE MASTER'!$AD$2:$AD$495&gt;=2))*ROW('CASE MASTER'!$T$2:$T$495))-(ROW('CASE MASTER'!#REF!)-1)))-INDEX('CASE MASTER'!$AB$2:$AB$495,(SUMPRODUCT((('CASE MASTER'!$T$2:$T$495=12)*('CASE MASTER'!$AA$2:$AA$495&lt;=6)*('CASE MASTER'!$AC$2:$AC$495&gt;=6)*('CASE MASTER'!$AB$2:$AB$495&lt;=2)*('CASE MASTER'!$AD$2:$AD$495&gt;=2))*ROW('CASE MASTER'!$T$2:$T$495))-(ROW('CASE MASTER'!#REF!)-1)))+1)+(2-INDEX('CASE MASTER'!$AB$2:$AB$495,(SUMPRODUCT((('CASE MASTER'!$T$2:$T$495=12)*('CASE MASTER'!$AA$2:$AA$495&lt;=6)*('CASE MASTER'!$AC$2:$AC$495&gt;=6)*('CASE MASTER'!$AB$2:$AB$495&lt;=2)*('CASE MASTER'!$AD$2:$AD$495&gt;=2))*ROW('CASE MASTER'!$T$2:$T$495))-(ROW('CASE MASTER'!#REF!)-1))))+1)))-1)*50+1,50))&amp;"_"&amp;INDEX('CASE MASTER'!$Q$2:$Q$495,(SUMPRODUCT((('CASE MASTER'!$T$2:$T$495=12)*('CASE MASTER'!$AA$2:$AA$495&lt;=6)*('CASE MASTER'!$AC$2:$AC$495&gt;=6)*('CASE MASTER'!$AB$2:$AB$495&lt;=2)*('CASE MASTER'!$AD$2:$AD$495&gt;=2))*ROW('CASE MASTER'!$T$2:$T$495))-(ROW('CASE MASTER'!#REF!)-1))),"")),"")</f>
        <v/>
      </c>
      <c r="D162" s="10" t="str">
        <f>IFERROR(IF(SUMPRODUCT((('CASE MASTER'!$T$2:$T$495=12)*('CASE MASTER'!$U$2:$U$495&lt;=6)*('CASE MASTER'!$W$2:$W$495&gt;=6)*('CASE MASTER'!$V$2:$V$495&lt;=3)*('CASE MASTER'!$X$2:$X$495&gt;=3))*ROW('CASE MASTER'!$T$2:$T$495))&gt;0,INDEX('CASE MASTER'!$Y$2:$Y$495,(SUMPRODUCT((('CASE MASTER'!$T$2:$T$495=12)*('CASE MASTER'!$U$2:$U$495&lt;=6)*('CASE MASTER'!$W$2:$W$495&gt;=6)*('CASE MASTER'!$V$2:$V$495&lt;=3)*('CASE MASTER'!$X$2:$X$495&gt;=3))*ROW('CASE MASTER'!$T$2:$T$495))-(ROW('CASE MASTER'!#REF!)-1)))&amp;TRIM(MID(SUBSTITUTE(SUBSTITUTE(INDEX('CASE MASTER'!$N$2:$N$495,(SUMPRODUCT((('CASE MASTER'!$T$2:$T$495=12)*('CASE MASTER'!$U$2:$U$495&lt;=6)*('CASE MASTER'!$W$2:$W$495&gt;=6)*('CASE MASTER'!$V$2:$V$495&lt;=3)*('CASE MASTER'!$X$2:$X$495&gt;=3))*ROW('CASE MASTER'!$T$2:$T$495))-(ROW('CASE MASTER'!#REF!)-1))),":",","),",",REPT(" ",50)),((((6-INDEX('CASE MASTER'!$U$2:$U$495,(SUMPRODUCT((('CASE MASTER'!$T$2:$T$495=12)*('CASE MASTER'!$U$2:$U$495&lt;=6)*('CASE MASTER'!$W$2:$W$495&gt;=6)*('CASE MASTER'!$V$2:$V$495&lt;=3)*('CASE MASTER'!$X$2:$X$495&gt;=3))*ROW('CASE MASTER'!$T$2:$T$495))-(ROW('CASE MASTER'!#REF!)-1))))*(INDEX('CASE MASTER'!$X$2:$X$495,(SUMPRODUCT((('CASE MASTER'!$T$2:$T$495=12)*('CASE MASTER'!$U$2:$U$495&lt;=6)*('CASE MASTER'!$W$2:$W$495&gt;=6)*('CASE MASTER'!$V$2:$V$495&lt;=3)*('CASE MASTER'!$X$2:$X$495&gt;=3))*ROW('CASE MASTER'!$T$2:$T$495))-(ROW('CASE MASTER'!#REF!)-1)))-INDEX('CASE MASTER'!$V$2:$V$495,(SUMPRODUCT((('CASE MASTER'!$T$2:$T$495=12)*('CASE MASTER'!$U$2:$U$495&lt;=6)*('CASE MASTER'!$W$2:$W$495&gt;=6)*('CASE MASTER'!$V$2:$V$495&lt;=3)*('CASE MASTER'!$X$2:$X$495&gt;=3))*ROW('CASE MASTER'!$T$2:$T$495))-(ROW('CASE MASTER'!#REF!)-1)))+1)+(3-INDEX('CASE MASTER'!$V$2:$V$495,(SUMPRODUCT((('CASE MASTER'!$T$2:$T$495=12)*('CASE MASTER'!$U$2:$U$495&lt;=6)*('CASE MASTER'!$W$2:$W$495&gt;=6)*('CASE MASTER'!$V$2:$V$495&lt;=3)*('CASE MASTER'!$X$2:$X$495&gt;=3))*ROW('CASE MASTER'!$T$2:$T$495))-(ROW('CASE MASTER'!#REF!)-1))))+1))-1)*50+1,50))&amp;"_"&amp;INDEX('CASE MASTER'!$Q$2:$Q$495,(SUMPRODUCT((('CASE MASTER'!$T$2:$T$495=12)*('CASE MASTER'!$U$2:$U$495&lt;=6)*('CASE MASTER'!$W$2:$W$495&gt;=6)*('CASE MASTER'!$V$2:$V$495&lt;=3)*('CASE MASTER'!$X$2:$X$495&gt;=3))*ROW('CASE MASTER'!$T$2:$T$495))-(ROW('CASE MASTER'!#REF!)-1))),IF(SUMPRODUCT((('CASE MASTER'!$T$2:$T$495=12)*('CASE MASTER'!$AA$2:$AA$495&lt;=6)*('CASE MASTER'!$AC$2:$AC$495&gt;=6)*('CASE MASTER'!$AB$2:$AB$495&lt;=3)*('CASE MASTER'!$AD$2:$AD$495&gt;=3))*ROW('CASE MASTER'!$T$2:$T$495))&gt;0,INDEX('CASE MASTER'!$Y$2:$Y$495,(SUMPRODUCT((('CASE MASTER'!$T$2:$T$495=12)*('CASE MASTER'!$AA$2:$AA$495&lt;=6)*('CASE MASTER'!$AC$2:$AC$495&gt;=6)*('CASE MASTER'!$AB$2:$AB$495&lt;=3)*('CASE MASTER'!$AD$2:$AD$495&gt;=3))*ROW('CASE MASTER'!$T$2:$T$495))-(ROW('CASE MASTER'!#REF!)-1)))&amp;TRIM(MID(SUBSTITUTE(SUBSTITUTE(INDEX('CASE MASTER'!$N$2:$N$495,(SUMPRODUCT((('CASE MASTER'!$T$2:$T$495=12)*('CASE MASTER'!$AA$2:$AA$495&lt;=6)*('CASE MASTER'!$AC$2:$AC$495&gt;=6)*('CASE MASTER'!$AB$2:$AB$495&lt;=3)*('CASE MASTER'!$AD$2:$AD$495&gt;=3))*ROW('CASE MASTER'!$T$2:$T$495))-(ROW('CASE MASTER'!#REF!)-1))),":",","),",",REPT(" ",50)),(((INDEX('CASE MASTER'!$Z$2:$Z$495,(SUMPRODUCT((('CASE MASTER'!$T$2:$T$495=12)*('CASE MASTER'!$AA$2:$AA$495&lt;=6)*('CASE MASTER'!$AC$2:$AC$495&gt;=6)*('CASE MASTER'!$AB$2:$AB$495&lt;=3)*('CASE MASTER'!$AD$2:$AD$495&gt;=3))*ROW('CASE MASTER'!$T$2:$T$495))-(ROW('CASE MASTER'!#REF!)-1)))+((6-INDEX('CASE MASTER'!$AA$2:$AA$495,(SUMPRODUCT((('CASE MASTER'!$T$2:$T$495=12)*('CASE MASTER'!$AA$2:$AA$495&lt;=6)*('CASE MASTER'!$AC$2:$AC$495&gt;=6)*('CASE MASTER'!$AB$2:$AB$495&lt;=3)*('CASE MASTER'!$AD$2:$AD$495&gt;=3))*ROW('CASE MASTER'!$T$2:$T$495))-(ROW('CASE MASTER'!#REF!)-1))))*(INDEX('CASE MASTER'!$AD$2:$AD$495,(SUMPRODUCT((('CASE MASTER'!$T$2:$T$495=12)*('CASE MASTER'!$AA$2:$AA$495&lt;=6)*('CASE MASTER'!$AC$2:$AC$495&gt;=6)*('CASE MASTER'!$AB$2:$AB$495&lt;=3)*('CASE MASTER'!$AD$2:$AD$495&gt;=3))*ROW('CASE MASTER'!$T$2:$T$495))-(ROW('CASE MASTER'!#REF!)-1)))-INDEX('CASE MASTER'!$AB$2:$AB$495,(SUMPRODUCT((('CASE MASTER'!$T$2:$T$495=12)*('CASE MASTER'!$AA$2:$AA$495&lt;=6)*('CASE MASTER'!$AC$2:$AC$495&gt;=6)*('CASE MASTER'!$AB$2:$AB$495&lt;=3)*('CASE MASTER'!$AD$2:$AD$495&gt;=3))*ROW('CASE MASTER'!$T$2:$T$495))-(ROW('CASE MASTER'!#REF!)-1)))+1)+(3-INDEX('CASE MASTER'!$AB$2:$AB$495,(SUMPRODUCT((('CASE MASTER'!$T$2:$T$495=12)*('CASE MASTER'!$AA$2:$AA$495&lt;=6)*('CASE MASTER'!$AC$2:$AC$495&gt;=6)*('CASE MASTER'!$AB$2:$AB$495&lt;=3)*('CASE MASTER'!$AD$2:$AD$495&gt;=3))*ROW('CASE MASTER'!$T$2:$T$495))-(ROW('CASE MASTER'!#REF!)-1))))+1)))-1)*50+1,50))&amp;"_"&amp;INDEX('CASE MASTER'!$Q$2:$Q$495,(SUMPRODUCT((('CASE MASTER'!$T$2:$T$495=12)*('CASE MASTER'!$AA$2:$AA$495&lt;=6)*('CASE MASTER'!$AC$2:$AC$495&gt;=6)*('CASE MASTER'!$AB$2:$AB$495&lt;=3)*('CASE MASTER'!$AD$2:$AD$495&gt;=3))*ROW('CASE MASTER'!$T$2:$T$495))-(ROW('CASE MASTER'!#REF!)-1))),"")),"")</f>
        <v/>
      </c>
      <c r="E162" s="10" t="str">
        <f>IFERROR(IF(SUMPRODUCT((('CASE MASTER'!$T$2:$T$495=12)*('CASE MASTER'!$U$2:$U$495&lt;=6)*('CASE MASTER'!$W$2:$W$495&gt;=6)*('CASE MASTER'!$V$2:$V$495&lt;=4)*('CASE MASTER'!$X$2:$X$495&gt;=4))*ROW('CASE MASTER'!$T$2:$T$495))&gt;0,INDEX('CASE MASTER'!$Y$2:$Y$495,(SUMPRODUCT((('CASE MASTER'!$T$2:$T$495=12)*('CASE MASTER'!$U$2:$U$495&lt;=6)*('CASE MASTER'!$W$2:$W$495&gt;=6)*('CASE MASTER'!$V$2:$V$495&lt;=4)*('CASE MASTER'!$X$2:$X$495&gt;=4))*ROW('CASE MASTER'!$T$2:$T$495))-(ROW('CASE MASTER'!#REF!)-1)))&amp;TRIM(MID(SUBSTITUTE(SUBSTITUTE(INDEX('CASE MASTER'!$N$2:$N$495,(SUMPRODUCT((('CASE MASTER'!$T$2:$T$495=12)*('CASE MASTER'!$U$2:$U$495&lt;=6)*('CASE MASTER'!$W$2:$W$495&gt;=6)*('CASE MASTER'!$V$2:$V$495&lt;=4)*('CASE MASTER'!$X$2:$X$495&gt;=4))*ROW('CASE MASTER'!$T$2:$T$495))-(ROW('CASE MASTER'!#REF!)-1))),":",","),",",REPT(" ",50)),((((6-INDEX('CASE MASTER'!$U$2:$U$495,(SUMPRODUCT((('CASE MASTER'!$T$2:$T$495=12)*('CASE MASTER'!$U$2:$U$495&lt;=6)*('CASE MASTER'!$W$2:$W$495&gt;=6)*('CASE MASTER'!$V$2:$V$495&lt;=4)*('CASE MASTER'!$X$2:$X$495&gt;=4))*ROW('CASE MASTER'!$T$2:$T$495))-(ROW('CASE MASTER'!#REF!)-1))))*(INDEX('CASE MASTER'!$X$2:$X$495,(SUMPRODUCT((('CASE MASTER'!$T$2:$T$495=12)*('CASE MASTER'!$U$2:$U$495&lt;=6)*('CASE MASTER'!$W$2:$W$495&gt;=6)*('CASE MASTER'!$V$2:$V$495&lt;=4)*('CASE MASTER'!$X$2:$X$495&gt;=4))*ROW('CASE MASTER'!$T$2:$T$495))-(ROW('CASE MASTER'!#REF!)-1)))-INDEX('CASE MASTER'!$V$2:$V$495,(SUMPRODUCT((('CASE MASTER'!$T$2:$T$495=12)*('CASE MASTER'!$U$2:$U$495&lt;=6)*('CASE MASTER'!$W$2:$W$495&gt;=6)*('CASE MASTER'!$V$2:$V$495&lt;=4)*('CASE MASTER'!$X$2:$X$495&gt;=4))*ROW('CASE MASTER'!$T$2:$T$495))-(ROW('CASE MASTER'!#REF!)-1)))+1)+(4-INDEX('CASE MASTER'!$V$2:$V$495,(SUMPRODUCT((('CASE MASTER'!$T$2:$T$495=12)*('CASE MASTER'!$U$2:$U$495&lt;=6)*('CASE MASTER'!$W$2:$W$495&gt;=6)*('CASE MASTER'!$V$2:$V$495&lt;=4)*('CASE MASTER'!$X$2:$X$495&gt;=4))*ROW('CASE MASTER'!$T$2:$T$495))-(ROW('CASE MASTER'!#REF!)-1))))+1))-1)*50+1,50))&amp;"_"&amp;INDEX('CASE MASTER'!$Q$2:$Q$495,(SUMPRODUCT((('CASE MASTER'!$T$2:$T$495=12)*('CASE MASTER'!$U$2:$U$495&lt;=6)*('CASE MASTER'!$W$2:$W$495&gt;=6)*('CASE MASTER'!$V$2:$V$495&lt;=4)*('CASE MASTER'!$X$2:$X$495&gt;=4))*ROW('CASE MASTER'!$T$2:$T$495))-(ROW('CASE MASTER'!#REF!)-1))),IF(SUMPRODUCT((('CASE MASTER'!$T$2:$T$495=12)*('CASE MASTER'!$AA$2:$AA$495&lt;=6)*('CASE MASTER'!$AC$2:$AC$495&gt;=6)*('CASE MASTER'!$AB$2:$AB$495&lt;=4)*('CASE MASTER'!$AD$2:$AD$495&gt;=4))*ROW('CASE MASTER'!$T$2:$T$495))&gt;0,INDEX('CASE MASTER'!$Y$2:$Y$495,(SUMPRODUCT((('CASE MASTER'!$T$2:$T$495=12)*('CASE MASTER'!$AA$2:$AA$495&lt;=6)*('CASE MASTER'!$AC$2:$AC$495&gt;=6)*('CASE MASTER'!$AB$2:$AB$495&lt;=4)*('CASE MASTER'!$AD$2:$AD$495&gt;=4))*ROW('CASE MASTER'!$T$2:$T$495))-(ROW('CASE MASTER'!#REF!)-1)))&amp;TRIM(MID(SUBSTITUTE(SUBSTITUTE(INDEX('CASE MASTER'!$N$2:$N$495,(SUMPRODUCT((('CASE MASTER'!$T$2:$T$495=12)*('CASE MASTER'!$AA$2:$AA$495&lt;=6)*('CASE MASTER'!$AC$2:$AC$495&gt;=6)*('CASE MASTER'!$AB$2:$AB$495&lt;=4)*('CASE MASTER'!$AD$2:$AD$495&gt;=4))*ROW('CASE MASTER'!$T$2:$T$495))-(ROW('CASE MASTER'!#REF!)-1))),":",","),",",REPT(" ",50)),(((INDEX('CASE MASTER'!$Z$2:$Z$495,(SUMPRODUCT((('CASE MASTER'!$T$2:$T$495=12)*('CASE MASTER'!$AA$2:$AA$495&lt;=6)*('CASE MASTER'!$AC$2:$AC$495&gt;=6)*('CASE MASTER'!$AB$2:$AB$495&lt;=4)*('CASE MASTER'!$AD$2:$AD$495&gt;=4))*ROW('CASE MASTER'!$T$2:$T$495))-(ROW('CASE MASTER'!#REF!)-1)))+((6-INDEX('CASE MASTER'!$AA$2:$AA$495,(SUMPRODUCT((('CASE MASTER'!$T$2:$T$495=12)*('CASE MASTER'!$AA$2:$AA$495&lt;=6)*('CASE MASTER'!$AC$2:$AC$495&gt;=6)*('CASE MASTER'!$AB$2:$AB$495&lt;=4)*('CASE MASTER'!$AD$2:$AD$495&gt;=4))*ROW('CASE MASTER'!$T$2:$T$495))-(ROW('CASE MASTER'!#REF!)-1))))*(INDEX('CASE MASTER'!$AD$2:$AD$495,(SUMPRODUCT((('CASE MASTER'!$T$2:$T$495=12)*('CASE MASTER'!$AA$2:$AA$495&lt;=6)*('CASE MASTER'!$AC$2:$AC$495&gt;=6)*('CASE MASTER'!$AB$2:$AB$495&lt;=4)*('CASE MASTER'!$AD$2:$AD$495&gt;=4))*ROW('CASE MASTER'!$T$2:$T$495))-(ROW('CASE MASTER'!#REF!)-1)))-INDEX('CASE MASTER'!$AB$2:$AB$495,(SUMPRODUCT((('CASE MASTER'!$T$2:$T$495=12)*('CASE MASTER'!$AA$2:$AA$495&lt;=6)*('CASE MASTER'!$AC$2:$AC$495&gt;=6)*('CASE MASTER'!$AB$2:$AB$495&lt;=4)*('CASE MASTER'!$AD$2:$AD$495&gt;=4))*ROW('CASE MASTER'!$T$2:$T$495))-(ROW('CASE MASTER'!#REF!)-1)))+1)+(4-INDEX('CASE MASTER'!$AB$2:$AB$495,(SUMPRODUCT((('CASE MASTER'!$T$2:$T$495=12)*('CASE MASTER'!$AA$2:$AA$495&lt;=6)*('CASE MASTER'!$AC$2:$AC$495&gt;=6)*('CASE MASTER'!$AB$2:$AB$495&lt;=4)*('CASE MASTER'!$AD$2:$AD$495&gt;=4))*ROW('CASE MASTER'!$T$2:$T$495))-(ROW('CASE MASTER'!#REF!)-1))))+1)))-1)*50+1,50))&amp;"_"&amp;INDEX('CASE MASTER'!$Q$2:$Q$495,(SUMPRODUCT((('CASE MASTER'!$T$2:$T$495=12)*('CASE MASTER'!$AA$2:$AA$495&lt;=6)*('CASE MASTER'!$AC$2:$AC$495&gt;=6)*('CASE MASTER'!$AB$2:$AB$495&lt;=4)*('CASE MASTER'!$AD$2:$AD$495&gt;=4))*ROW('CASE MASTER'!$T$2:$T$495))-(ROW('CASE MASTER'!#REF!)-1))),"")),"")</f>
        <v/>
      </c>
      <c r="F162" s="10" t="str">
        <f>IFERROR(IF(SUMPRODUCT((('CASE MASTER'!$T$2:$T$495=12)*('CASE MASTER'!$U$2:$U$495&lt;=6)*('CASE MASTER'!$W$2:$W$495&gt;=6)*('CASE MASTER'!$V$2:$V$495&lt;=5)*('CASE MASTER'!$X$2:$X$495&gt;=5))*ROW('CASE MASTER'!$T$2:$T$495))&gt;0,INDEX('CASE MASTER'!$Y$2:$Y$495,(SUMPRODUCT((('CASE MASTER'!$T$2:$T$495=12)*('CASE MASTER'!$U$2:$U$495&lt;=6)*('CASE MASTER'!$W$2:$W$495&gt;=6)*('CASE MASTER'!$V$2:$V$495&lt;=5)*('CASE MASTER'!$X$2:$X$495&gt;=5))*ROW('CASE MASTER'!$T$2:$T$495))-(ROW('CASE MASTER'!#REF!)-1)))&amp;TRIM(MID(SUBSTITUTE(SUBSTITUTE(INDEX('CASE MASTER'!$N$2:$N$495,(SUMPRODUCT((('CASE MASTER'!$T$2:$T$495=12)*('CASE MASTER'!$U$2:$U$495&lt;=6)*('CASE MASTER'!$W$2:$W$495&gt;=6)*('CASE MASTER'!$V$2:$V$495&lt;=5)*('CASE MASTER'!$X$2:$X$495&gt;=5))*ROW('CASE MASTER'!$T$2:$T$495))-(ROW('CASE MASTER'!#REF!)-1))),":",","),",",REPT(" ",50)),((((6-INDEX('CASE MASTER'!$U$2:$U$495,(SUMPRODUCT((('CASE MASTER'!$T$2:$T$495=12)*('CASE MASTER'!$U$2:$U$495&lt;=6)*('CASE MASTER'!$W$2:$W$495&gt;=6)*('CASE MASTER'!$V$2:$V$495&lt;=5)*('CASE MASTER'!$X$2:$X$495&gt;=5))*ROW('CASE MASTER'!$T$2:$T$495))-(ROW('CASE MASTER'!#REF!)-1))))*(INDEX('CASE MASTER'!$X$2:$X$495,(SUMPRODUCT((('CASE MASTER'!$T$2:$T$495=12)*('CASE MASTER'!$U$2:$U$495&lt;=6)*('CASE MASTER'!$W$2:$W$495&gt;=6)*('CASE MASTER'!$V$2:$V$495&lt;=5)*('CASE MASTER'!$X$2:$X$495&gt;=5))*ROW('CASE MASTER'!$T$2:$T$495))-(ROW('CASE MASTER'!#REF!)-1)))-INDEX('CASE MASTER'!$V$2:$V$495,(SUMPRODUCT((('CASE MASTER'!$T$2:$T$495=12)*('CASE MASTER'!$U$2:$U$495&lt;=6)*('CASE MASTER'!$W$2:$W$495&gt;=6)*('CASE MASTER'!$V$2:$V$495&lt;=5)*('CASE MASTER'!$X$2:$X$495&gt;=5))*ROW('CASE MASTER'!$T$2:$T$495))-(ROW('CASE MASTER'!#REF!)-1)))+1)+(5-INDEX('CASE MASTER'!$V$2:$V$495,(SUMPRODUCT((('CASE MASTER'!$T$2:$T$495=12)*('CASE MASTER'!$U$2:$U$495&lt;=6)*('CASE MASTER'!$W$2:$W$495&gt;=6)*('CASE MASTER'!$V$2:$V$495&lt;=5)*('CASE MASTER'!$X$2:$X$495&gt;=5))*ROW('CASE MASTER'!$T$2:$T$495))-(ROW('CASE MASTER'!#REF!)-1))))+1))-1)*50+1,50))&amp;"_"&amp;INDEX('CASE MASTER'!$Q$2:$Q$495,(SUMPRODUCT((('CASE MASTER'!$T$2:$T$495=12)*('CASE MASTER'!$U$2:$U$495&lt;=6)*('CASE MASTER'!$W$2:$W$495&gt;=6)*('CASE MASTER'!$V$2:$V$495&lt;=5)*('CASE MASTER'!$X$2:$X$495&gt;=5))*ROW('CASE MASTER'!$T$2:$T$495))-(ROW('CASE MASTER'!#REF!)-1))),IF(SUMPRODUCT((('CASE MASTER'!$T$2:$T$495=12)*('CASE MASTER'!$AA$2:$AA$495&lt;=6)*('CASE MASTER'!$AC$2:$AC$495&gt;=6)*('CASE MASTER'!$AB$2:$AB$495&lt;=5)*('CASE MASTER'!$AD$2:$AD$495&gt;=5))*ROW('CASE MASTER'!$T$2:$T$495))&gt;0,INDEX('CASE MASTER'!$Y$2:$Y$495,(SUMPRODUCT((('CASE MASTER'!$T$2:$T$495=12)*('CASE MASTER'!$AA$2:$AA$495&lt;=6)*('CASE MASTER'!$AC$2:$AC$495&gt;=6)*('CASE MASTER'!$AB$2:$AB$495&lt;=5)*('CASE MASTER'!$AD$2:$AD$495&gt;=5))*ROW('CASE MASTER'!$T$2:$T$495))-(ROW('CASE MASTER'!#REF!)-1)))&amp;TRIM(MID(SUBSTITUTE(SUBSTITUTE(INDEX('CASE MASTER'!$N$2:$N$495,(SUMPRODUCT((('CASE MASTER'!$T$2:$T$495=12)*('CASE MASTER'!$AA$2:$AA$495&lt;=6)*('CASE MASTER'!$AC$2:$AC$495&gt;=6)*('CASE MASTER'!$AB$2:$AB$495&lt;=5)*('CASE MASTER'!$AD$2:$AD$495&gt;=5))*ROW('CASE MASTER'!$T$2:$T$495))-(ROW('CASE MASTER'!#REF!)-1))),":",","),",",REPT(" ",50)),(((INDEX('CASE MASTER'!$Z$2:$Z$495,(SUMPRODUCT((('CASE MASTER'!$T$2:$T$495=12)*('CASE MASTER'!$AA$2:$AA$495&lt;=6)*('CASE MASTER'!$AC$2:$AC$495&gt;=6)*('CASE MASTER'!$AB$2:$AB$495&lt;=5)*('CASE MASTER'!$AD$2:$AD$495&gt;=5))*ROW('CASE MASTER'!$T$2:$T$495))-(ROW('CASE MASTER'!#REF!)-1)))+((6-INDEX('CASE MASTER'!$AA$2:$AA$495,(SUMPRODUCT((('CASE MASTER'!$T$2:$T$495=12)*('CASE MASTER'!$AA$2:$AA$495&lt;=6)*('CASE MASTER'!$AC$2:$AC$495&gt;=6)*('CASE MASTER'!$AB$2:$AB$495&lt;=5)*('CASE MASTER'!$AD$2:$AD$495&gt;=5))*ROW('CASE MASTER'!$T$2:$T$495))-(ROW('CASE MASTER'!#REF!)-1))))*(INDEX('CASE MASTER'!$AD$2:$AD$495,(SUMPRODUCT((('CASE MASTER'!$T$2:$T$495=12)*('CASE MASTER'!$AA$2:$AA$495&lt;=6)*('CASE MASTER'!$AC$2:$AC$495&gt;=6)*('CASE MASTER'!$AB$2:$AB$495&lt;=5)*('CASE MASTER'!$AD$2:$AD$495&gt;=5))*ROW('CASE MASTER'!$T$2:$T$495))-(ROW('CASE MASTER'!#REF!)-1)))-INDEX('CASE MASTER'!$AB$2:$AB$495,(SUMPRODUCT((('CASE MASTER'!$T$2:$T$495=12)*('CASE MASTER'!$AA$2:$AA$495&lt;=6)*('CASE MASTER'!$AC$2:$AC$495&gt;=6)*('CASE MASTER'!$AB$2:$AB$495&lt;=5)*('CASE MASTER'!$AD$2:$AD$495&gt;=5))*ROW('CASE MASTER'!$T$2:$T$495))-(ROW('CASE MASTER'!#REF!)-1)))+1)+(5-INDEX('CASE MASTER'!$AB$2:$AB$495,(SUMPRODUCT((('CASE MASTER'!$T$2:$T$495=12)*('CASE MASTER'!$AA$2:$AA$495&lt;=6)*('CASE MASTER'!$AC$2:$AC$495&gt;=6)*('CASE MASTER'!$AB$2:$AB$495&lt;=5)*('CASE MASTER'!$AD$2:$AD$495&gt;=5))*ROW('CASE MASTER'!$T$2:$T$495))-(ROW('CASE MASTER'!#REF!)-1))))+1)))-1)*50+1,50))&amp;"_"&amp;INDEX('CASE MASTER'!$Q$2:$Q$495,(SUMPRODUCT((('CASE MASTER'!$T$2:$T$495=12)*('CASE MASTER'!$AA$2:$AA$495&lt;=6)*('CASE MASTER'!$AC$2:$AC$495&gt;=6)*('CASE MASTER'!$AB$2:$AB$495&lt;=5)*('CASE MASTER'!$AD$2:$AD$495&gt;=5))*ROW('CASE MASTER'!$T$2:$T$495))-(ROW('CASE MASTER'!#REF!)-1))),"")),"")</f>
        <v/>
      </c>
      <c r="G162" s="10" t="str">
        <f>IFERROR(IF(SUMPRODUCT((('CASE MASTER'!$T$2:$T$495=12)*('CASE MASTER'!$U$2:$U$495&lt;=6)*('CASE MASTER'!$W$2:$W$495&gt;=6)*('CASE MASTER'!$V$2:$V$495&lt;=6)*('CASE MASTER'!$X$2:$X$495&gt;=6))*ROW('CASE MASTER'!$T$2:$T$495))&gt;0,INDEX('CASE MASTER'!$Y$2:$Y$495,(SUMPRODUCT((('CASE MASTER'!$T$2:$T$495=12)*('CASE MASTER'!$U$2:$U$495&lt;=6)*('CASE MASTER'!$W$2:$W$495&gt;=6)*('CASE MASTER'!$V$2:$V$495&lt;=6)*('CASE MASTER'!$X$2:$X$495&gt;=6))*ROW('CASE MASTER'!$T$2:$T$495))-(ROW('CASE MASTER'!#REF!)-1)))&amp;TRIM(MID(SUBSTITUTE(SUBSTITUTE(INDEX('CASE MASTER'!$N$2:$N$495,(SUMPRODUCT((('CASE MASTER'!$T$2:$T$495=12)*('CASE MASTER'!$U$2:$U$495&lt;=6)*('CASE MASTER'!$W$2:$W$495&gt;=6)*('CASE MASTER'!$V$2:$V$495&lt;=6)*('CASE MASTER'!$X$2:$X$495&gt;=6))*ROW('CASE MASTER'!$T$2:$T$495))-(ROW('CASE MASTER'!#REF!)-1))),":",","),",",REPT(" ",50)),((((6-INDEX('CASE MASTER'!$U$2:$U$495,(SUMPRODUCT((('CASE MASTER'!$T$2:$T$495=12)*('CASE MASTER'!$U$2:$U$495&lt;=6)*('CASE MASTER'!$W$2:$W$495&gt;=6)*('CASE MASTER'!$V$2:$V$495&lt;=6)*('CASE MASTER'!$X$2:$X$495&gt;=6))*ROW('CASE MASTER'!$T$2:$T$495))-(ROW('CASE MASTER'!#REF!)-1))))*(INDEX('CASE MASTER'!$X$2:$X$495,(SUMPRODUCT((('CASE MASTER'!$T$2:$T$495=12)*('CASE MASTER'!$U$2:$U$495&lt;=6)*('CASE MASTER'!$W$2:$W$495&gt;=6)*('CASE MASTER'!$V$2:$V$495&lt;=6)*('CASE MASTER'!$X$2:$X$495&gt;=6))*ROW('CASE MASTER'!$T$2:$T$495))-(ROW('CASE MASTER'!#REF!)-1)))-INDEX('CASE MASTER'!$V$2:$V$495,(SUMPRODUCT((('CASE MASTER'!$T$2:$T$495=12)*('CASE MASTER'!$U$2:$U$495&lt;=6)*('CASE MASTER'!$W$2:$W$495&gt;=6)*('CASE MASTER'!$V$2:$V$495&lt;=6)*('CASE MASTER'!$X$2:$X$495&gt;=6))*ROW('CASE MASTER'!$T$2:$T$495))-(ROW('CASE MASTER'!#REF!)-1)))+1)+(6-INDEX('CASE MASTER'!$V$2:$V$495,(SUMPRODUCT((('CASE MASTER'!$T$2:$T$495=12)*('CASE MASTER'!$U$2:$U$495&lt;=6)*('CASE MASTER'!$W$2:$W$495&gt;=6)*('CASE MASTER'!$V$2:$V$495&lt;=6)*('CASE MASTER'!$X$2:$X$495&gt;=6))*ROW('CASE MASTER'!$T$2:$T$495))-(ROW('CASE MASTER'!#REF!)-1))))+1))-1)*50+1,50))&amp;"_"&amp;INDEX('CASE MASTER'!$Q$2:$Q$495,(SUMPRODUCT((('CASE MASTER'!$T$2:$T$495=12)*('CASE MASTER'!$U$2:$U$495&lt;=6)*('CASE MASTER'!$W$2:$W$495&gt;=6)*('CASE MASTER'!$V$2:$V$495&lt;=6)*('CASE MASTER'!$X$2:$X$495&gt;=6))*ROW('CASE MASTER'!$T$2:$T$495))-(ROW('CASE MASTER'!#REF!)-1))),IF(SUMPRODUCT((('CASE MASTER'!$T$2:$T$495=12)*('CASE MASTER'!$AA$2:$AA$495&lt;=6)*('CASE MASTER'!$AC$2:$AC$495&gt;=6)*('CASE MASTER'!$AB$2:$AB$495&lt;=6)*('CASE MASTER'!$AD$2:$AD$495&gt;=6))*ROW('CASE MASTER'!$T$2:$T$495))&gt;0,INDEX('CASE MASTER'!$Y$2:$Y$495,(SUMPRODUCT((('CASE MASTER'!$T$2:$T$495=12)*('CASE MASTER'!$AA$2:$AA$495&lt;=6)*('CASE MASTER'!$AC$2:$AC$495&gt;=6)*('CASE MASTER'!$AB$2:$AB$495&lt;=6)*('CASE MASTER'!$AD$2:$AD$495&gt;=6))*ROW('CASE MASTER'!$T$2:$T$495))-(ROW('CASE MASTER'!#REF!)-1)))&amp;TRIM(MID(SUBSTITUTE(SUBSTITUTE(INDEX('CASE MASTER'!$N$2:$N$495,(SUMPRODUCT((('CASE MASTER'!$T$2:$T$495=12)*('CASE MASTER'!$AA$2:$AA$495&lt;=6)*('CASE MASTER'!$AC$2:$AC$495&gt;=6)*('CASE MASTER'!$AB$2:$AB$495&lt;=6)*('CASE MASTER'!$AD$2:$AD$495&gt;=6))*ROW('CASE MASTER'!$T$2:$T$495))-(ROW('CASE MASTER'!#REF!)-1))),":",","),",",REPT(" ",50)),(((INDEX('CASE MASTER'!$Z$2:$Z$495,(SUMPRODUCT((('CASE MASTER'!$T$2:$T$495=12)*('CASE MASTER'!$AA$2:$AA$495&lt;=6)*('CASE MASTER'!$AC$2:$AC$495&gt;=6)*('CASE MASTER'!$AB$2:$AB$495&lt;=6)*('CASE MASTER'!$AD$2:$AD$495&gt;=6))*ROW('CASE MASTER'!$T$2:$T$495))-(ROW('CASE MASTER'!#REF!)-1)))+((6-INDEX('CASE MASTER'!$AA$2:$AA$495,(SUMPRODUCT((('CASE MASTER'!$T$2:$T$495=12)*('CASE MASTER'!$AA$2:$AA$495&lt;=6)*('CASE MASTER'!$AC$2:$AC$495&gt;=6)*('CASE MASTER'!$AB$2:$AB$495&lt;=6)*('CASE MASTER'!$AD$2:$AD$495&gt;=6))*ROW('CASE MASTER'!$T$2:$T$495))-(ROW('CASE MASTER'!#REF!)-1))))*(INDEX('CASE MASTER'!$AD$2:$AD$495,(SUMPRODUCT((('CASE MASTER'!$T$2:$T$495=12)*('CASE MASTER'!$AA$2:$AA$495&lt;=6)*('CASE MASTER'!$AC$2:$AC$495&gt;=6)*('CASE MASTER'!$AB$2:$AB$495&lt;=6)*('CASE MASTER'!$AD$2:$AD$495&gt;=6))*ROW('CASE MASTER'!$T$2:$T$495))-(ROW('CASE MASTER'!#REF!)-1)))-INDEX('CASE MASTER'!$AB$2:$AB$495,(SUMPRODUCT((('CASE MASTER'!$T$2:$T$495=12)*('CASE MASTER'!$AA$2:$AA$495&lt;=6)*('CASE MASTER'!$AC$2:$AC$495&gt;=6)*('CASE MASTER'!$AB$2:$AB$495&lt;=6)*('CASE MASTER'!$AD$2:$AD$495&gt;=6))*ROW('CASE MASTER'!$T$2:$T$495))-(ROW('CASE MASTER'!#REF!)-1)))+1)+(6-INDEX('CASE MASTER'!$AB$2:$AB$495,(SUMPRODUCT((('CASE MASTER'!$T$2:$T$495=12)*('CASE MASTER'!$AA$2:$AA$495&lt;=6)*('CASE MASTER'!$AC$2:$AC$495&gt;=6)*('CASE MASTER'!$AB$2:$AB$495&lt;=6)*('CASE MASTER'!$AD$2:$AD$495&gt;=6))*ROW('CASE MASTER'!$T$2:$T$495))-(ROW('CASE MASTER'!#REF!)-1))))+1)))-1)*50+1,50))&amp;"_"&amp;INDEX('CASE MASTER'!$Q$2:$Q$495,(SUMPRODUCT((('CASE MASTER'!$T$2:$T$495=12)*('CASE MASTER'!$AA$2:$AA$495&lt;=6)*('CASE MASTER'!$AC$2:$AC$495&gt;=6)*('CASE MASTER'!$AB$2:$AB$495&lt;=6)*('CASE MASTER'!$AD$2:$AD$495&gt;=6))*ROW('CASE MASTER'!$T$2:$T$495))-(ROW('CASE MASTER'!#REF!)-1))),"")),"")</f>
        <v/>
      </c>
      <c r="H162" s="10" t="str">
        <f>IFERROR(IF(SUMPRODUCT((('CASE MASTER'!$T$2:$T$495=12)*('CASE MASTER'!$U$2:$U$495&lt;=6)*('CASE MASTER'!$W$2:$W$495&gt;=6)*('CASE MASTER'!$V$2:$V$495&lt;=7)*('CASE MASTER'!$X$2:$X$495&gt;=7))*ROW('CASE MASTER'!$T$2:$T$495))&gt;0,INDEX('CASE MASTER'!$Y$2:$Y$495,(SUMPRODUCT((('CASE MASTER'!$T$2:$T$495=12)*('CASE MASTER'!$U$2:$U$495&lt;=6)*('CASE MASTER'!$W$2:$W$495&gt;=6)*('CASE MASTER'!$V$2:$V$495&lt;=7)*('CASE MASTER'!$X$2:$X$495&gt;=7))*ROW('CASE MASTER'!$T$2:$T$495))-(ROW('CASE MASTER'!#REF!)-1)))&amp;TRIM(MID(SUBSTITUTE(SUBSTITUTE(INDEX('CASE MASTER'!$N$2:$N$495,(SUMPRODUCT((('CASE MASTER'!$T$2:$T$495=12)*('CASE MASTER'!$U$2:$U$495&lt;=6)*('CASE MASTER'!$W$2:$W$495&gt;=6)*('CASE MASTER'!$V$2:$V$495&lt;=7)*('CASE MASTER'!$X$2:$X$495&gt;=7))*ROW('CASE MASTER'!$T$2:$T$495))-(ROW('CASE MASTER'!#REF!)-1))),":",","),",",REPT(" ",50)),((((6-INDEX('CASE MASTER'!$U$2:$U$495,(SUMPRODUCT((('CASE MASTER'!$T$2:$T$495=12)*('CASE MASTER'!$U$2:$U$495&lt;=6)*('CASE MASTER'!$W$2:$W$495&gt;=6)*('CASE MASTER'!$V$2:$V$495&lt;=7)*('CASE MASTER'!$X$2:$X$495&gt;=7))*ROW('CASE MASTER'!$T$2:$T$495))-(ROW('CASE MASTER'!#REF!)-1))))*(INDEX('CASE MASTER'!$X$2:$X$495,(SUMPRODUCT((('CASE MASTER'!$T$2:$T$495=12)*('CASE MASTER'!$U$2:$U$495&lt;=6)*('CASE MASTER'!$W$2:$W$495&gt;=6)*('CASE MASTER'!$V$2:$V$495&lt;=7)*('CASE MASTER'!$X$2:$X$495&gt;=7))*ROW('CASE MASTER'!$T$2:$T$495))-(ROW('CASE MASTER'!#REF!)-1)))-INDEX('CASE MASTER'!$V$2:$V$495,(SUMPRODUCT((('CASE MASTER'!$T$2:$T$495=12)*('CASE MASTER'!$U$2:$U$495&lt;=6)*('CASE MASTER'!$W$2:$W$495&gt;=6)*('CASE MASTER'!$V$2:$V$495&lt;=7)*('CASE MASTER'!$X$2:$X$495&gt;=7))*ROW('CASE MASTER'!$T$2:$T$495))-(ROW('CASE MASTER'!#REF!)-1)))+1)+(7-INDEX('CASE MASTER'!$V$2:$V$495,(SUMPRODUCT((('CASE MASTER'!$T$2:$T$495=12)*('CASE MASTER'!$U$2:$U$495&lt;=6)*('CASE MASTER'!$W$2:$W$495&gt;=6)*('CASE MASTER'!$V$2:$V$495&lt;=7)*('CASE MASTER'!$X$2:$X$495&gt;=7))*ROW('CASE MASTER'!$T$2:$T$495))-(ROW('CASE MASTER'!#REF!)-1))))+1))-1)*50+1,50))&amp;"_"&amp;INDEX('CASE MASTER'!$Q$2:$Q$495,(SUMPRODUCT((('CASE MASTER'!$T$2:$T$495=12)*('CASE MASTER'!$U$2:$U$495&lt;=6)*('CASE MASTER'!$W$2:$W$495&gt;=6)*('CASE MASTER'!$V$2:$V$495&lt;=7)*('CASE MASTER'!$X$2:$X$495&gt;=7))*ROW('CASE MASTER'!$T$2:$T$495))-(ROW('CASE MASTER'!#REF!)-1))),IF(SUMPRODUCT((('CASE MASTER'!$T$2:$T$495=12)*('CASE MASTER'!$AA$2:$AA$495&lt;=6)*('CASE MASTER'!$AC$2:$AC$495&gt;=6)*('CASE MASTER'!$AB$2:$AB$495&lt;=7)*('CASE MASTER'!$AD$2:$AD$495&gt;=7))*ROW('CASE MASTER'!$T$2:$T$495))&gt;0,INDEX('CASE MASTER'!$Y$2:$Y$495,(SUMPRODUCT((('CASE MASTER'!$T$2:$T$495=12)*('CASE MASTER'!$AA$2:$AA$495&lt;=6)*('CASE MASTER'!$AC$2:$AC$495&gt;=6)*('CASE MASTER'!$AB$2:$AB$495&lt;=7)*('CASE MASTER'!$AD$2:$AD$495&gt;=7))*ROW('CASE MASTER'!$T$2:$T$495))-(ROW('CASE MASTER'!#REF!)-1)))&amp;TRIM(MID(SUBSTITUTE(SUBSTITUTE(INDEX('CASE MASTER'!$N$2:$N$495,(SUMPRODUCT((('CASE MASTER'!$T$2:$T$495=12)*('CASE MASTER'!$AA$2:$AA$495&lt;=6)*('CASE MASTER'!$AC$2:$AC$495&gt;=6)*('CASE MASTER'!$AB$2:$AB$495&lt;=7)*('CASE MASTER'!$AD$2:$AD$495&gt;=7))*ROW('CASE MASTER'!$T$2:$T$495))-(ROW('CASE MASTER'!#REF!)-1))),":",","),",",REPT(" ",50)),(((INDEX('CASE MASTER'!$Z$2:$Z$495,(SUMPRODUCT((('CASE MASTER'!$T$2:$T$495=12)*('CASE MASTER'!$AA$2:$AA$495&lt;=6)*('CASE MASTER'!$AC$2:$AC$495&gt;=6)*('CASE MASTER'!$AB$2:$AB$495&lt;=7)*('CASE MASTER'!$AD$2:$AD$495&gt;=7))*ROW('CASE MASTER'!$T$2:$T$495))-(ROW('CASE MASTER'!#REF!)-1)))+((6-INDEX('CASE MASTER'!$AA$2:$AA$495,(SUMPRODUCT((('CASE MASTER'!$T$2:$T$495=12)*('CASE MASTER'!$AA$2:$AA$495&lt;=6)*('CASE MASTER'!$AC$2:$AC$495&gt;=6)*('CASE MASTER'!$AB$2:$AB$495&lt;=7)*('CASE MASTER'!$AD$2:$AD$495&gt;=7))*ROW('CASE MASTER'!$T$2:$T$495))-(ROW('CASE MASTER'!#REF!)-1))))*(INDEX('CASE MASTER'!$AD$2:$AD$495,(SUMPRODUCT((('CASE MASTER'!$T$2:$T$495=12)*('CASE MASTER'!$AA$2:$AA$495&lt;=6)*('CASE MASTER'!$AC$2:$AC$495&gt;=6)*('CASE MASTER'!$AB$2:$AB$495&lt;=7)*('CASE MASTER'!$AD$2:$AD$495&gt;=7))*ROW('CASE MASTER'!$T$2:$T$495))-(ROW('CASE MASTER'!#REF!)-1)))-INDEX('CASE MASTER'!$AB$2:$AB$495,(SUMPRODUCT((('CASE MASTER'!$T$2:$T$495=12)*('CASE MASTER'!$AA$2:$AA$495&lt;=6)*('CASE MASTER'!$AC$2:$AC$495&gt;=6)*('CASE MASTER'!$AB$2:$AB$495&lt;=7)*('CASE MASTER'!$AD$2:$AD$495&gt;=7))*ROW('CASE MASTER'!$T$2:$T$495))-(ROW('CASE MASTER'!#REF!)-1)))+1)+(7-INDEX('CASE MASTER'!$AB$2:$AB$495,(SUMPRODUCT((('CASE MASTER'!$T$2:$T$495=12)*('CASE MASTER'!$AA$2:$AA$495&lt;=6)*('CASE MASTER'!$AC$2:$AC$495&gt;=6)*('CASE MASTER'!$AB$2:$AB$495&lt;=7)*('CASE MASTER'!$AD$2:$AD$495&gt;=7))*ROW('CASE MASTER'!$T$2:$T$495))-(ROW('CASE MASTER'!#REF!)-1))))+1)))-1)*50+1,50))&amp;"_"&amp;INDEX('CASE MASTER'!$Q$2:$Q$495,(SUMPRODUCT((('CASE MASTER'!$T$2:$T$495=12)*('CASE MASTER'!$AA$2:$AA$495&lt;=6)*('CASE MASTER'!$AC$2:$AC$495&gt;=6)*('CASE MASTER'!$AB$2:$AB$495&lt;=7)*('CASE MASTER'!$AD$2:$AD$495&gt;=7))*ROW('CASE MASTER'!$T$2:$T$495))-(ROW('CASE MASTER'!#REF!)-1))),"")),"")</f>
        <v/>
      </c>
      <c r="I162" s="10" t="str">
        <f>IFERROR(IF(SUMPRODUCT((('CASE MASTER'!$T$2:$T$495=12)*('CASE MASTER'!$U$2:$U$495&lt;=6)*('CASE MASTER'!$W$2:$W$495&gt;=6)*('CASE MASTER'!$V$2:$V$495&lt;=8)*('CASE MASTER'!$X$2:$X$495&gt;=8))*ROW('CASE MASTER'!$T$2:$T$495))&gt;0,INDEX('CASE MASTER'!$Y$2:$Y$495,(SUMPRODUCT((('CASE MASTER'!$T$2:$T$495=12)*('CASE MASTER'!$U$2:$U$495&lt;=6)*('CASE MASTER'!$W$2:$W$495&gt;=6)*('CASE MASTER'!$V$2:$V$495&lt;=8)*('CASE MASTER'!$X$2:$X$495&gt;=8))*ROW('CASE MASTER'!$T$2:$T$495))-(ROW('CASE MASTER'!#REF!)-1)))&amp;TRIM(MID(SUBSTITUTE(SUBSTITUTE(INDEX('CASE MASTER'!$N$2:$N$495,(SUMPRODUCT((('CASE MASTER'!$T$2:$T$495=12)*('CASE MASTER'!$U$2:$U$495&lt;=6)*('CASE MASTER'!$W$2:$W$495&gt;=6)*('CASE MASTER'!$V$2:$V$495&lt;=8)*('CASE MASTER'!$X$2:$X$495&gt;=8))*ROW('CASE MASTER'!$T$2:$T$495))-(ROW('CASE MASTER'!#REF!)-1))),":",","),",",REPT(" ",50)),((((6-INDEX('CASE MASTER'!$U$2:$U$495,(SUMPRODUCT((('CASE MASTER'!$T$2:$T$495=12)*('CASE MASTER'!$U$2:$U$495&lt;=6)*('CASE MASTER'!$W$2:$W$495&gt;=6)*('CASE MASTER'!$V$2:$V$495&lt;=8)*('CASE MASTER'!$X$2:$X$495&gt;=8))*ROW('CASE MASTER'!$T$2:$T$495))-(ROW('CASE MASTER'!#REF!)-1))))*(INDEX('CASE MASTER'!$X$2:$X$495,(SUMPRODUCT((('CASE MASTER'!$T$2:$T$495=12)*('CASE MASTER'!$U$2:$U$495&lt;=6)*('CASE MASTER'!$W$2:$W$495&gt;=6)*('CASE MASTER'!$V$2:$V$495&lt;=8)*('CASE MASTER'!$X$2:$X$495&gt;=8))*ROW('CASE MASTER'!$T$2:$T$495))-(ROW('CASE MASTER'!#REF!)-1)))-INDEX('CASE MASTER'!$V$2:$V$495,(SUMPRODUCT((('CASE MASTER'!$T$2:$T$495=12)*('CASE MASTER'!$U$2:$U$495&lt;=6)*('CASE MASTER'!$W$2:$W$495&gt;=6)*('CASE MASTER'!$V$2:$V$495&lt;=8)*('CASE MASTER'!$X$2:$X$495&gt;=8))*ROW('CASE MASTER'!$T$2:$T$495))-(ROW('CASE MASTER'!#REF!)-1)))+1)+(8-INDEX('CASE MASTER'!$V$2:$V$495,(SUMPRODUCT((('CASE MASTER'!$T$2:$T$495=12)*('CASE MASTER'!$U$2:$U$495&lt;=6)*('CASE MASTER'!$W$2:$W$495&gt;=6)*('CASE MASTER'!$V$2:$V$495&lt;=8)*('CASE MASTER'!$X$2:$X$495&gt;=8))*ROW('CASE MASTER'!$T$2:$T$495))-(ROW('CASE MASTER'!#REF!)-1))))+1))-1)*50+1,50))&amp;"_"&amp;INDEX('CASE MASTER'!$Q$2:$Q$495,(SUMPRODUCT((('CASE MASTER'!$T$2:$T$495=12)*('CASE MASTER'!$U$2:$U$495&lt;=6)*('CASE MASTER'!$W$2:$W$495&gt;=6)*('CASE MASTER'!$V$2:$V$495&lt;=8)*('CASE MASTER'!$X$2:$X$495&gt;=8))*ROW('CASE MASTER'!$T$2:$T$495))-(ROW('CASE MASTER'!#REF!)-1))),IF(SUMPRODUCT((('CASE MASTER'!$T$2:$T$495=12)*('CASE MASTER'!$AA$2:$AA$495&lt;=6)*('CASE MASTER'!$AC$2:$AC$495&gt;=6)*('CASE MASTER'!$AB$2:$AB$495&lt;=8)*('CASE MASTER'!$AD$2:$AD$495&gt;=8))*ROW('CASE MASTER'!$T$2:$T$495))&gt;0,INDEX('CASE MASTER'!$Y$2:$Y$495,(SUMPRODUCT((('CASE MASTER'!$T$2:$T$495=12)*('CASE MASTER'!$AA$2:$AA$495&lt;=6)*('CASE MASTER'!$AC$2:$AC$495&gt;=6)*('CASE MASTER'!$AB$2:$AB$495&lt;=8)*('CASE MASTER'!$AD$2:$AD$495&gt;=8))*ROW('CASE MASTER'!$T$2:$T$495))-(ROW('CASE MASTER'!#REF!)-1)))&amp;TRIM(MID(SUBSTITUTE(SUBSTITUTE(INDEX('CASE MASTER'!$N$2:$N$495,(SUMPRODUCT((('CASE MASTER'!$T$2:$T$495=12)*('CASE MASTER'!$AA$2:$AA$495&lt;=6)*('CASE MASTER'!$AC$2:$AC$495&gt;=6)*('CASE MASTER'!$AB$2:$AB$495&lt;=8)*('CASE MASTER'!$AD$2:$AD$495&gt;=8))*ROW('CASE MASTER'!$T$2:$T$495))-(ROW('CASE MASTER'!#REF!)-1))),":",","),",",REPT(" ",50)),(((INDEX('CASE MASTER'!$Z$2:$Z$495,(SUMPRODUCT((('CASE MASTER'!$T$2:$T$495=12)*('CASE MASTER'!$AA$2:$AA$495&lt;=6)*('CASE MASTER'!$AC$2:$AC$495&gt;=6)*('CASE MASTER'!$AB$2:$AB$495&lt;=8)*('CASE MASTER'!$AD$2:$AD$495&gt;=8))*ROW('CASE MASTER'!$T$2:$T$495))-(ROW('CASE MASTER'!#REF!)-1)))+((6-INDEX('CASE MASTER'!$AA$2:$AA$495,(SUMPRODUCT((('CASE MASTER'!$T$2:$T$495=12)*('CASE MASTER'!$AA$2:$AA$495&lt;=6)*('CASE MASTER'!$AC$2:$AC$495&gt;=6)*('CASE MASTER'!$AB$2:$AB$495&lt;=8)*('CASE MASTER'!$AD$2:$AD$495&gt;=8))*ROW('CASE MASTER'!$T$2:$T$495))-(ROW('CASE MASTER'!#REF!)-1))))*(INDEX('CASE MASTER'!$AD$2:$AD$495,(SUMPRODUCT((('CASE MASTER'!$T$2:$T$495=12)*('CASE MASTER'!$AA$2:$AA$495&lt;=6)*('CASE MASTER'!$AC$2:$AC$495&gt;=6)*('CASE MASTER'!$AB$2:$AB$495&lt;=8)*('CASE MASTER'!$AD$2:$AD$495&gt;=8))*ROW('CASE MASTER'!$T$2:$T$495))-(ROW('CASE MASTER'!#REF!)-1)))-INDEX('CASE MASTER'!$AB$2:$AB$495,(SUMPRODUCT((('CASE MASTER'!$T$2:$T$495=12)*('CASE MASTER'!$AA$2:$AA$495&lt;=6)*('CASE MASTER'!$AC$2:$AC$495&gt;=6)*('CASE MASTER'!$AB$2:$AB$495&lt;=8)*('CASE MASTER'!$AD$2:$AD$495&gt;=8))*ROW('CASE MASTER'!$T$2:$T$495))-(ROW('CASE MASTER'!#REF!)-1)))+1)+(8-INDEX('CASE MASTER'!$AB$2:$AB$495,(SUMPRODUCT((('CASE MASTER'!$T$2:$T$495=12)*('CASE MASTER'!$AA$2:$AA$495&lt;=6)*('CASE MASTER'!$AC$2:$AC$495&gt;=6)*('CASE MASTER'!$AB$2:$AB$495&lt;=8)*('CASE MASTER'!$AD$2:$AD$495&gt;=8))*ROW('CASE MASTER'!$T$2:$T$495))-(ROW('CASE MASTER'!#REF!)-1))))+1)))-1)*50+1,50))&amp;"_"&amp;INDEX('CASE MASTER'!$Q$2:$Q$495,(SUMPRODUCT((('CASE MASTER'!$T$2:$T$495=12)*('CASE MASTER'!$AA$2:$AA$495&lt;=6)*('CASE MASTER'!$AC$2:$AC$495&gt;=6)*('CASE MASTER'!$AB$2:$AB$495&lt;=8)*('CASE MASTER'!$AD$2:$AD$495&gt;=8))*ROW('CASE MASTER'!$T$2:$T$495))-(ROW('CASE MASTER'!#REF!)-1))),"")),"")</f>
        <v/>
      </c>
      <c r="J162" s="10" t="str">
        <f>IFERROR(IF(SUMPRODUCT((('CASE MASTER'!$T$2:$T$495=12)*('CASE MASTER'!$U$2:$U$495&lt;=6)*('CASE MASTER'!$W$2:$W$495&gt;=6)*('CASE MASTER'!$V$2:$V$495&lt;=9)*('CASE MASTER'!$X$2:$X$495&gt;=9))*ROW('CASE MASTER'!$T$2:$T$495))&gt;0,INDEX('CASE MASTER'!$Y$2:$Y$495,(SUMPRODUCT((('CASE MASTER'!$T$2:$T$495=12)*('CASE MASTER'!$U$2:$U$495&lt;=6)*('CASE MASTER'!$W$2:$W$495&gt;=6)*('CASE MASTER'!$V$2:$V$495&lt;=9)*('CASE MASTER'!$X$2:$X$495&gt;=9))*ROW('CASE MASTER'!$T$2:$T$495))-(ROW('CASE MASTER'!#REF!)-1)))&amp;TRIM(MID(SUBSTITUTE(SUBSTITUTE(INDEX('CASE MASTER'!$N$2:$N$495,(SUMPRODUCT((('CASE MASTER'!$T$2:$T$495=12)*('CASE MASTER'!$U$2:$U$495&lt;=6)*('CASE MASTER'!$W$2:$W$495&gt;=6)*('CASE MASTER'!$V$2:$V$495&lt;=9)*('CASE MASTER'!$X$2:$X$495&gt;=9))*ROW('CASE MASTER'!$T$2:$T$495))-(ROW('CASE MASTER'!#REF!)-1))),":",","),",",REPT(" ",50)),((((6-INDEX('CASE MASTER'!$U$2:$U$495,(SUMPRODUCT((('CASE MASTER'!$T$2:$T$495=12)*('CASE MASTER'!$U$2:$U$495&lt;=6)*('CASE MASTER'!$W$2:$W$495&gt;=6)*('CASE MASTER'!$V$2:$V$495&lt;=9)*('CASE MASTER'!$X$2:$X$495&gt;=9))*ROW('CASE MASTER'!$T$2:$T$495))-(ROW('CASE MASTER'!#REF!)-1))))*(INDEX('CASE MASTER'!$X$2:$X$495,(SUMPRODUCT((('CASE MASTER'!$T$2:$T$495=12)*('CASE MASTER'!$U$2:$U$495&lt;=6)*('CASE MASTER'!$W$2:$W$495&gt;=6)*('CASE MASTER'!$V$2:$V$495&lt;=9)*('CASE MASTER'!$X$2:$X$495&gt;=9))*ROW('CASE MASTER'!$T$2:$T$495))-(ROW('CASE MASTER'!#REF!)-1)))-INDEX('CASE MASTER'!$V$2:$V$495,(SUMPRODUCT((('CASE MASTER'!$T$2:$T$495=12)*('CASE MASTER'!$U$2:$U$495&lt;=6)*('CASE MASTER'!$W$2:$W$495&gt;=6)*('CASE MASTER'!$V$2:$V$495&lt;=9)*('CASE MASTER'!$X$2:$X$495&gt;=9))*ROW('CASE MASTER'!$T$2:$T$495))-(ROW('CASE MASTER'!#REF!)-1)))+1)+(9-INDEX('CASE MASTER'!$V$2:$V$495,(SUMPRODUCT((('CASE MASTER'!$T$2:$T$495=12)*('CASE MASTER'!$U$2:$U$495&lt;=6)*('CASE MASTER'!$W$2:$W$495&gt;=6)*('CASE MASTER'!$V$2:$V$495&lt;=9)*('CASE MASTER'!$X$2:$X$495&gt;=9))*ROW('CASE MASTER'!$T$2:$T$495))-(ROW('CASE MASTER'!#REF!)-1))))+1))-1)*50+1,50))&amp;"_"&amp;INDEX('CASE MASTER'!$Q$2:$Q$495,(SUMPRODUCT((('CASE MASTER'!$T$2:$T$495=12)*('CASE MASTER'!$U$2:$U$495&lt;=6)*('CASE MASTER'!$W$2:$W$495&gt;=6)*('CASE MASTER'!$V$2:$V$495&lt;=9)*('CASE MASTER'!$X$2:$X$495&gt;=9))*ROW('CASE MASTER'!$T$2:$T$495))-(ROW('CASE MASTER'!#REF!)-1))),IF(SUMPRODUCT((('CASE MASTER'!$T$2:$T$495=12)*('CASE MASTER'!$AA$2:$AA$495&lt;=6)*('CASE MASTER'!$AC$2:$AC$495&gt;=6)*('CASE MASTER'!$AB$2:$AB$495&lt;=9)*('CASE MASTER'!$AD$2:$AD$495&gt;=9))*ROW('CASE MASTER'!$T$2:$T$495))&gt;0,INDEX('CASE MASTER'!$Y$2:$Y$495,(SUMPRODUCT((('CASE MASTER'!$T$2:$T$495=12)*('CASE MASTER'!$AA$2:$AA$495&lt;=6)*('CASE MASTER'!$AC$2:$AC$495&gt;=6)*('CASE MASTER'!$AB$2:$AB$495&lt;=9)*('CASE MASTER'!$AD$2:$AD$495&gt;=9))*ROW('CASE MASTER'!$T$2:$T$495))-(ROW('CASE MASTER'!#REF!)-1)))&amp;TRIM(MID(SUBSTITUTE(SUBSTITUTE(INDEX('CASE MASTER'!$N$2:$N$495,(SUMPRODUCT((('CASE MASTER'!$T$2:$T$495=12)*('CASE MASTER'!$AA$2:$AA$495&lt;=6)*('CASE MASTER'!$AC$2:$AC$495&gt;=6)*('CASE MASTER'!$AB$2:$AB$495&lt;=9)*('CASE MASTER'!$AD$2:$AD$495&gt;=9))*ROW('CASE MASTER'!$T$2:$T$495))-(ROW('CASE MASTER'!#REF!)-1))),":",","),",",REPT(" ",50)),(((INDEX('CASE MASTER'!$Z$2:$Z$495,(SUMPRODUCT((('CASE MASTER'!$T$2:$T$495=12)*('CASE MASTER'!$AA$2:$AA$495&lt;=6)*('CASE MASTER'!$AC$2:$AC$495&gt;=6)*('CASE MASTER'!$AB$2:$AB$495&lt;=9)*('CASE MASTER'!$AD$2:$AD$495&gt;=9))*ROW('CASE MASTER'!$T$2:$T$495))-(ROW('CASE MASTER'!#REF!)-1)))+((6-INDEX('CASE MASTER'!$AA$2:$AA$495,(SUMPRODUCT((('CASE MASTER'!$T$2:$T$495=12)*('CASE MASTER'!$AA$2:$AA$495&lt;=6)*('CASE MASTER'!$AC$2:$AC$495&gt;=6)*('CASE MASTER'!$AB$2:$AB$495&lt;=9)*('CASE MASTER'!$AD$2:$AD$495&gt;=9))*ROW('CASE MASTER'!$T$2:$T$495))-(ROW('CASE MASTER'!#REF!)-1))))*(INDEX('CASE MASTER'!$AD$2:$AD$495,(SUMPRODUCT((('CASE MASTER'!$T$2:$T$495=12)*('CASE MASTER'!$AA$2:$AA$495&lt;=6)*('CASE MASTER'!$AC$2:$AC$495&gt;=6)*('CASE MASTER'!$AB$2:$AB$495&lt;=9)*('CASE MASTER'!$AD$2:$AD$495&gt;=9))*ROW('CASE MASTER'!$T$2:$T$495))-(ROW('CASE MASTER'!#REF!)-1)))-INDEX('CASE MASTER'!$AB$2:$AB$495,(SUMPRODUCT((('CASE MASTER'!$T$2:$T$495=12)*('CASE MASTER'!$AA$2:$AA$495&lt;=6)*('CASE MASTER'!$AC$2:$AC$495&gt;=6)*('CASE MASTER'!$AB$2:$AB$495&lt;=9)*('CASE MASTER'!$AD$2:$AD$495&gt;=9))*ROW('CASE MASTER'!$T$2:$T$495))-(ROW('CASE MASTER'!#REF!)-1)))+1)+(9-INDEX('CASE MASTER'!$AB$2:$AB$495,(SUMPRODUCT((('CASE MASTER'!$T$2:$T$495=12)*('CASE MASTER'!$AA$2:$AA$495&lt;=6)*('CASE MASTER'!$AC$2:$AC$495&gt;=6)*('CASE MASTER'!$AB$2:$AB$495&lt;=9)*('CASE MASTER'!$AD$2:$AD$495&gt;=9))*ROW('CASE MASTER'!$T$2:$T$495))-(ROW('CASE MASTER'!#REF!)-1))))+1)))-1)*50+1,50))&amp;"_"&amp;INDEX('CASE MASTER'!$Q$2:$Q$495,(SUMPRODUCT((('CASE MASTER'!$T$2:$T$495=12)*('CASE MASTER'!$AA$2:$AA$495&lt;=6)*('CASE MASTER'!$AC$2:$AC$495&gt;=6)*('CASE MASTER'!$AB$2:$AB$495&lt;=9)*('CASE MASTER'!$AD$2:$AD$495&gt;=9))*ROW('CASE MASTER'!$T$2:$T$495))-(ROW('CASE MASTER'!#REF!)-1))),"")),"")</f>
        <v/>
      </c>
      <c r="K162" s="10" t="str">
        <f>IFERROR(IF(SUMPRODUCT((('CASE MASTER'!$T$2:$T$495=12)*('CASE MASTER'!$U$2:$U$495&lt;=6)*('CASE MASTER'!$W$2:$W$495&gt;=6)*('CASE MASTER'!$V$2:$V$495&lt;=10)*('CASE MASTER'!$X$2:$X$495&gt;=10))*ROW('CASE MASTER'!$T$2:$T$495))&gt;0,INDEX('CASE MASTER'!$Y$2:$Y$495,(SUMPRODUCT((('CASE MASTER'!$T$2:$T$495=12)*('CASE MASTER'!$U$2:$U$495&lt;=6)*('CASE MASTER'!$W$2:$W$495&gt;=6)*('CASE MASTER'!$V$2:$V$495&lt;=10)*('CASE MASTER'!$X$2:$X$495&gt;=10))*ROW('CASE MASTER'!$T$2:$T$495))-(ROW('CASE MASTER'!#REF!)-1)))&amp;TRIM(MID(SUBSTITUTE(SUBSTITUTE(INDEX('CASE MASTER'!$N$2:$N$495,(SUMPRODUCT((('CASE MASTER'!$T$2:$T$495=12)*('CASE MASTER'!$U$2:$U$495&lt;=6)*('CASE MASTER'!$W$2:$W$495&gt;=6)*('CASE MASTER'!$V$2:$V$495&lt;=10)*('CASE MASTER'!$X$2:$X$495&gt;=10))*ROW('CASE MASTER'!$T$2:$T$495))-(ROW('CASE MASTER'!#REF!)-1))),":",","),",",REPT(" ",50)),((((6-INDEX('CASE MASTER'!$U$2:$U$495,(SUMPRODUCT((('CASE MASTER'!$T$2:$T$495=12)*('CASE MASTER'!$U$2:$U$495&lt;=6)*('CASE MASTER'!$W$2:$W$495&gt;=6)*('CASE MASTER'!$V$2:$V$495&lt;=10)*('CASE MASTER'!$X$2:$X$495&gt;=10))*ROW('CASE MASTER'!$T$2:$T$495))-(ROW('CASE MASTER'!#REF!)-1))))*(INDEX('CASE MASTER'!$X$2:$X$495,(SUMPRODUCT((('CASE MASTER'!$T$2:$T$495=12)*('CASE MASTER'!$U$2:$U$495&lt;=6)*('CASE MASTER'!$W$2:$W$495&gt;=6)*('CASE MASTER'!$V$2:$V$495&lt;=10)*('CASE MASTER'!$X$2:$X$495&gt;=10))*ROW('CASE MASTER'!$T$2:$T$495))-(ROW('CASE MASTER'!#REF!)-1)))-INDEX('CASE MASTER'!$V$2:$V$495,(SUMPRODUCT((('CASE MASTER'!$T$2:$T$495=12)*('CASE MASTER'!$U$2:$U$495&lt;=6)*('CASE MASTER'!$W$2:$W$495&gt;=6)*('CASE MASTER'!$V$2:$V$495&lt;=10)*('CASE MASTER'!$X$2:$X$495&gt;=10))*ROW('CASE MASTER'!$T$2:$T$495))-(ROW('CASE MASTER'!#REF!)-1)))+1)+(10-INDEX('CASE MASTER'!$V$2:$V$495,(SUMPRODUCT((('CASE MASTER'!$T$2:$T$495=12)*('CASE MASTER'!$U$2:$U$495&lt;=6)*('CASE MASTER'!$W$2:$W$495&gt;=6)*('CASE MASTER'!$V$2:$V$495&lt;=10)*('CASE MASTER'!$X$2:$X$495&gt;=10))*ROW('CASE MASTER'!$T$2:$T$495))-(ROW('CASE MASTER'!#REF!)-1))))+1))-1)*50+1,50))&amp;"_"&amp;INDEX('CASE MASTER'!$Q$2:$Q$495,(SUMPRODUCT((('CASE MASTER'!$T$2:$T$495=12)*('CASE MASTER'!$U$2:$U$495&lt;=6)*('CASE MASTER'!$W$2:$W$495&gt;=6)*('CASE MASTER'!$V$2:$V$495&lt;=10)*('CASE MASTER'!$X$2:$X$495&gt;=10))*ROW('CASE MASTER'!$T$2:$T$495))-(ROW('CASE MASTER'!#REF!)-1))),IF(SUMPRODUCT((('CASE MASTER'!$T$2:$T$495=12)*('CASE MASTER'!$AA$2:$AA$495&lt;=6)*('CASE MASTER'!$AC$2:$AC$495&gt;=6)*('CASE MASTER'!$AB$2:$AB$495&lt;=10)*('CASE MASTER'!$AD$2:$AD$495&gt;=10))*ROW('CASE MASTER'!$T$2:$T$495))&gt;0,INDEX('CASE MASTER'!$Y$2:$Y$495,(SUMPRODUCT((('CASE MASTER'!$T$2:$T$495=12)*('CASE MASTER'!$AA$2:$AA$495&lt;=6)*('CASE MASTER'!$AC$2:$AC$495&gt;=6)*('CASE MASTER'!$AB$2:$AB$495&lt;=10)*('CASE MASTER'!$AD$2:$AD$495&gt;=10))*ROW('CASE MASTER'!$T$2:$T$495))-(ROW('CASE MASTER'!#REF!)-1)))&amp;TRIM(MID(SUBSTITUTE(SUBSTITUTE(INDEX('CASE MASTER'!$N$2:$N$495,(SUMPRODUCT((('CASE MASTER'!$T$2:$T$495=12)*('CASE MASTER'!$AA$2:$AA$495&lt;=6)*('CASE MASTER'!$AC$2:$AC$495&gt;=6)*('CASE MASTER'!$AB$2:$AB$495&lt;=10)*('CASE MASTER'!$AD$2:$AD$495&gt;=10))*ROW('CASE MASTER'!$T$2:$T$495))-(ROW('CASE MASTER'!#REF!)-1))),":",","),",",REPT(" ",50)),(((INDEX('CASE MASTER'!$Z$2:$Z$495,(SUMPRODUCT((('CASE MASTER'!$T$2:$T$495=12)*('CASE MASTER'!$AA$2:$AA$495&lt;=6)*('CASE MASTER'!$AC$2:$AC$495&gt;=6)*('CASE MASTER'!$AB$2:$AB$495&lt;=10)*('CASE MASTER'!$AD$2:$AD$495&gt;=10))*ROW('CASE MASTER'!$T$2:$T$495))-(ROW('CASE MASTER'!#REF!)-1)))+((6-INDEX('CASE MASTER'!$AA$2:$AA$495,(SUMPRODUCT((('CASE MASTER'!$T$2:$T$495=12)*('CASE MASTER'!$AA$2:$AA$495&lt;=6)*('CASE MASTER'!$AC$2:$AC$495&gt;=6)*('CASE MASTER'!$AB$2:$AB$495&lt;=10)*('CASE MASTER'!$AD$2:$AD$495&gt;=10))*ROW('CASE MASTER'!$T$2:$T$495))-(ROW('CASE MASTER'!#REF!)-1))))*(INDEX('CASE MASTER'!$AD$2:$AD$495,(SUMPRODUCT((('CASE MASTER'!$T$2:$T$495=12)*('CASE MASTER'!$AA$2:$AA$495&lt;=6)*('CASE MASTER'!$AC$2:$AC$495&gt;=6)*('CASE MASTER'!$AB$2:$AB$495&lt;=10)*('CASE MASTER'!$AD$2:$AD$495&gt;=10))*ROW('CASE MASTER'!$T$2:$T$495))-(ROW('CASE MASTER'!#REF!)-1)))-INDEX('CASE MASTER'!$AB$2:$AB$495,(SUMPRODUCT((('CASE MASTER'!$T$2:$T$495=12)*('CASE MASTER'!$AA$2:$AA$495&lt;=6)*('CASE MASTER'!$AC$2:$AC$495&gt;=6)*('CASE MASTER'!$AB$2:$AB$495&lt;=10)*('CASE MASTER'!$AD$2:$AD$495&gt;=10))*ROW('CASE MASTER'!$T$2:$T$495))-(ROW('CASE MASTER'!#REF!)-1)))+1)+(10-INDEX('CASE MASTER'!$AB$2:$AB$495,(SUMPRODUCT((('CASE MASTER'!$T$2:$T$495=12)*('CASE MASTER'!$AA$2:$AA$495&lt;=6)*('CASE MASTER'!$AC$2:$AC$495&gt;=6)*('CASE MASTER'!$AB$2:$AB$495&lt;=10)*('CASE MASTER'!$AD$2:$AD$495&gt;=10))*ROW('CASE MASTER'!$T$2:$T$495))-(ROW('CASE MASTER'!#REF!)-1))))+1)))-1)*50+1,50))&amp;"_"&amp;INDEX('CASE MASTER'!$Q$2:$Q$495,(SUMPRODUCT((('CASE MASTER'!$T$2:$T$495=12)*('CASE MASTER'!$AA$2:$AA$495&lt;=6)*('CASE MASTER'!$AC$2:$AC$495&gt;=6)*('CASE MASTER'!$AB$2:$AB$495&lt;=10)*('CASE MASTER'!$AD$2:$AD$495&gt;=10))*ROW('CASE MASTER'!$T$2:$T$495))-(ROW('CASE MASTER'!#REF!)-1))),"")),"")</f>
        <v/>
      </c>
    </row>
    <row r="163" spans="1:11" ht="15" customHeight="1" x14ac:dyDescent="0.35">
      <c r="A163" s="8" t="s">
        <v>34</v>
      </c>
      <c r="B163" s="10" t="str">
        <f>IFERROR(IF(SUMPRODUCT((('CASE MASTER'!$T$2:$T$495=12)*('CASE MASTER'!$U$2:$U$495&lt;=7)*('CASE MASTER'!$W$2:$W$495&gt;=7)*('CASE MASTER'!$V$2:$V$495&lt;=1)*('CASE MASTER'!$X$2:$X$495&gt;=1))*ROW('CASE MASTER'!$T$2:$T$495))&gt;0,INDEX('CASE MASTER'!$Y$2:$Y$495,(SUMPRODUCT((('CASE MASTER'!$T$2:$T$495=12)*('CASE MASTER'!$U$2:$U$495&lt;=7)*('CASE MASTER'!$W$2:$W$495&gt;=7)*('CASE MASTER'!$V$2:$V$495&lt;=1)*('CASE MASTER'!$X$2:$X$495&gt;=1))*ROW('CASE MASTER'!$T$2:$T$495))-(ROW('CASE MASTER'!#REF!)-1)))&amp;TRIM(MID(SUBSTITUTE(SUBSTITUTE(INDEX('CASE MASTER'!$N$2:$N$495,(SUMPRODUCT((('CASE MASTER'!$T$2:$T$495=12)*('CASE MASTER'!$U$2:$U$495&lt;=7)*('CASE MASTER'!$W$2:$W$495&gt;=7)*('CASE MASTER'!$V$2:$V$495&lt;=1)*('CASE MASTER'!$X$2:$X$495&gt;=1))*ROW('CASE MASTER'!$T$2:$T$495))-(ROW('CASE MASTER'!#REF!)-1))),":",","),",",REPT(" ",50)),((((7-INDEX('CASE MASTER'!$U$2:$U$495,(SUMPRODUCT((('CASE MASTER'!$T$2:$T$495=12)*('CASE MASTER'!$U$2:$U$495&lt;=7)*('CASE MASTER'!$W$2:$W$495&gt;=7)*('CASE MASTER'!$V$2:$V$495&lt;=1)*('CASE MASTER'!$X$2:$X$495&gt;=1))*ROW('CASE MASTER'!$T$2:$T$495))-(ROW('CASE MASTER'!#REF!)-1))))*(INDEX('CASE MASTER'!$X$2:$X$495,(SUMPRODUCT((('CASE MASTER'!$T$2:$T$495=12)*('CASE MASTER'!$U$2:$U$495&lt;=7)*('CASE MASTER'!$W$2:$W$495&gt;=7)*('CASE MASTER'!$V$2:$V$495&lt;=1)*('CASE MASTER'!$X$2:$X$495&gt;=1))*ROW('CASE MASTER'!$T$2:$T$495))-(ROW('CASE MASTER'!#REF!)-1)))-INDEX('CASE MASTER'!$V$2:$V$495,(SUMPRODUCT((('CASE MASTER'!$T$2:$T$495=12)*('CASE MASTER'!$U$2:$U$495&lt;=7)*('CASE MASTER'!$W$2:$W$495&gt;=7)*('CASE MASTER'!$V$2:$V$495&lt;=1)*('CASE MASTER'!$X$2:$X$495&gt;=1))*ROW('CASE MASTER'!$T$2:$T$495))-(ROW('CASE MASTER'!#REF!)-1)))+1)+(1-INDEX('CASE MASTER'!$V$2:$V$495,(SUMPRODUCT((('CASE MASTER'!$T$2:$T$495=12)*('CASE MASTER'!$U$2:$U$495&lt;=7)*('CASE MASTER'!$W$2:$W$495&gt;=7)*('CASE MASTER'!$V$2:$V$495&lt;=1)*('CASE MASTER'!$X$2:$X$495&gt;=1))*ROW('CASE MASTER'!$T$2:$T$495))-(ROW('CASE MASTER'!#REF!)-1))))+1))-1)*50+1,50))&amp;"_"&amp;INDEX('CASE MASTER'!$Q$2:$Q$495,(SUMPRODUCT((('CASE MASTER'!$T$2:$T$495=12)*('CASE MASTER'!$U$2:$U$495&lt;=7)*('CASE MASTER'!$W$2:$W$495&gt;=7)*('CASE MASTER'!$V$2:$V$495&lt;=1)*('CASE MASTER'!$X$2:$X$495&gt;=1))*ROW('CASE MASTER'!$T$2:$T$495))-(ROW('CASE MASTER'!#REF!)-1))),IF(SUMPRODUCT((('CASE MASTER'!$T$2:$T$495=12)*('CASE MASTER'!$AA$2:$AA$495&lt;=7)*('CASE MASTER'!$AC$2:$AC$495&gt;=7)*('CASE MASTER'!$AB$2:$AB$495&lt;=1)*('CASE MASTER'!$AD$2:$AD$495&gt;=1))*ROW('CASE MASTER'!$T$2:$T$495))&gt;0,INDEX('CASE MASTER'!$Y$2:$Y$495,(SUMPRODUCT((('CASE MASTER'!$T$2:$T$495=12)*('CASE MASTER'!$AA$2:$AA$495&lt;=7)*('CASE MASTER'!$AC$2:$AC$495&gt;=7)*('CASE MASTER'!$AB$2:$AB$495&lt;=1)*('CASE MASTER'!$AD$2:$AD$495&gt;=1))*ROW('CASE MASTER'!$T$2:$T$495))-(ROW('CASE MASTER'!#REF!)-1)))&amp;TRIM(MID(SUBSTITUTE(SUBSTITUTE(INDEX('CASE MASTER'!$N$2:$N$495,(SUMPRODUCT((('CASE MASTER'!$T$2:$T$495=12)*('CASE MASTER'!$AA$2:$AA$495&lt;=7)*('CASE MASTER'!$AC$2:$AC$495&gt;=7)*('CASE MASTER'!$AB$2:$AB$495&lt;=1)*('CASE MASTER'!$AD$2:$AD$495&gt;=1))*ROW('CASE MASTER'!$T$2:$T$495))-(ROW('CASE MASTER'!#REF!)-1))),":",","),",",REPT(" ",50)),(((INDEX('CASE MASTER'!$Z$2:$Z$495,(SUMPRODUCT((('CASE MASTER'!$T$2:$T$495=12)*('CASE MASTER'!$AA$2:$AA$495&lt;=7)*('CASE MASTER'!$AC$2:$AC$495&gt;=7)*('CASE MASTER'!$AB$2:$AB$495&lt;=1)*('CASE MASTER'!$AD$2:$AD$495&gt;=1))*ROW('CASE MASTER'!$T$2:$T$495))-(ROW('CASE MASTER'!#REF!)-1)))+((7-INDEX('CASE MASTER'!$AA$2:$AA$495,(SUMPRODUCT((('CASE MASTER'!$T$2:$T$495=12)*('CASE MASTER'!$AA$2:$AA$495&lt;=7)*('CASE MASTER'!$AC$2:$AC$495&gt;=7)*('CASE MASTER'!$AB$2:$AB$495&lt;=1)*('CASE MASTER'!$AD$2:$AD$495&gt;=1))*ROW('CASE MASTER'!$T$2:$T$495))-(ROW('CASE MASTER'!#REF!)-1))))*(INDEX('CASE MASTER'!$AD$2:$AD$495,(SUMPRODUCT((('CASE MASTER'!$T$2:$T$495=12)*('CASE MASTER'!$AA$2:$AA$495&lt;=7)*('CASE MASTER'!$AC$2:$AC$495&gt;=7)*('CASE MASTER'!$AB$2:$AB$495&lt;=1)*('CASE MASTER'!$AD$2:$AD$495&gt;=1))*ROW('CASE MASTER'!$T$2:$T$495))-(ROW('CASE MASTER'!#REF!)-1)))-INDEX('CASE MASTER'!$AB$2:$AB$495,(SUMPRODUCT((('CASE MASTER'!$T$2:$T$495=12)*('CASE MASTER'!$AA$2:$AA$495&lt;=7)*('CASE MASTER'!$AC$2:$AC$495&gt;=7)*('CASE MASTER'!$AB$2:$AB$495&lt;=1)*('CASE MASTER'!$AD$2:$AD$495&gt;=1))*ROW('CASE MASTER'!$T$2:$T$495))-(ROW('CASE MASTER'!#REF!)-1)))+1)+(1-INDEX('CASE MASTER'!$AB$2:$AB$495,(SUMPRODUCT((('CASE MASTER'!$T$2:$T$495=12)*('CASE MASTER'!$AA$2:$AA$495&lt;=7)*('CASE MASTER'!$AC$2:$AC$495&gt;=7)*('CASE MASTER'!$AB$2:$AB$495&lt;=1)*('CASE MASTER'!$AD$2:$AD$495&gt;=1))*ROW('CASE MASTER'!$T$2:$T$495))-(ROW('CASE MASTER'!#REF!)-1))))+1)))-1)*50+1,50))&amp;"_"&amp;INDEX('CASE MASTER'!$Q$2:$Q$495,(SUMPRODUCT((('CASE MASTER'!$T$2:$T$495=12)*('CASE MASTER'!$AA$2:$AA$495&lt;=7)*('CASE MASTER'!$AC$2:$AC$495&gt;=7)*('CASE MASTER'!$AB$2:$AB$495&lt;=1)*('CASE MASTER'!$AD$2:$AD$495&gt;=1))*ROW('CASE MASTER'!$T$2:$T$495))-(ROW('CASE MASTER'!#REF!)-1))),"")),"")</f>
        <v/>
      </c>
      <c r="C163" s="10" t="str">
        <f>IFERROR(IF(SUMPRODUCT((('CASE MASTER'!$T$2:$T$495=12)*('CASE MASTER'!$U$2:$U$495&lt;=7)*('CASE MASTER'!$W$2:$W$495&gt;=7)*('CASE MASTER'!$V$2:$V$495&lt;=2)*('CASE MASTER'!$X$2:$X$495&gt;=2))*ROW('CASE MASTER'!$T$2:$T$495))&gt;0,INDEX('CASE MASTER'!$Y$2:$Y$495,(SUMPRODUCT((('CASE MASTER'!$T$2:$T$495=12)*('CASE MASTER'!$U$2:$U$495&lt;=7)*('CASE MASTER'!$W$2:$W$495&gt;=7)*('CASE MASTER'!$V$2:$V$495&lt;=2)*('CASE MASTER'!$X$2:$X$495&gt;=2))*ROW('CASE MASTER'!$T$2:$T$495))-(ROW('CASE MASTER'!#REF!)-1)))&amp;TRIM(MID(SUBSTITUTE(SUBSTITUTE(INDEX('CASE MASTER'!$N$2:$N$495,(SUMPRODUCT((('CASE MASTER'!$T$2:$T$495=12)*('CASE MASTER'!$U$2:$U$495&lt;=7)*('CASE MASTER'!$W$2:$W$495&gt;=7)*('CASE MASTER'!$V$2:$V$495&lt;=2)*('CASE MASTER'!$X$2:$X$495&gt;=2))*ROW('CASE MASTER'!$T$2:$T$495))-(ROW('CASE MASTER'!#REF!)-1))),":",","),",",REPT(" ",50)),((((7-INDEX('CASE MASTER'!$U$2:$U$495,(SUMPRODUCT((('CASE MASTER'!$T$2:$T$495=12)*('CASE MASTER'!$U$2:$U$495&lt;=7)*('CASE MASTER'!$W$2:$W$495&gt;=7)*('CASE MASTER'!$V$2:$V$495&lt;=2)*('CASE MASTER'!$X$2:$X$495&gt;=2))*ROW('CASE MASTER'!$T$2:$T$495))-(ROW('CASE MASTER'!#REF!)-1))))*(INDEX('CASE MASTER'!$X$2:$X$495,(SUMPRODUCT((('CASE MASTER'!$T$2:$T$495=12)*('CASE MASTER'!$U$2:$U$495&lt;=7)*('CASE MASTER'!$W$2:$W$495&gt;=7)*('CASE MASTER'!$V$2:$V$495&lt;=2)*('CASE MASTER'!$X$2:$X$495&gt;=2))*ROW('CASE MASTER'!$T$2:$T$495))-(ROW('CASE MASTER'!#REF!)-1)))-INDEX('CASE MASTER'!$V$2:$V$495,(SUMPRODUCT((('CASE MASTER'!$T$2:$T$495=12)*('CASE MASTER'!$U$2:$U$495&lt;=7)*('CASE MASTER'!$W$2:$W$495&gt;=7)*('CASE MASTER'!$V$2:$V$495&lt;=2)*('CASE MASTER'!$X$2:$X$495&gt;=2))*ROW('CASE MASTER'!$T$2:$T$495))-(ROW('CASE MASTER'!#REF!)-1)))+1)+(2-INDEX('CASE MASTER'!$V$2:$V$495,(SUMPRODUCT((('CASE MASTER'!$T$2:$T$495=12)*('CASE MASTER'!$U$2:$U$495&lt;=7)*('CASE MASTER'!$W$2:$W$495&gt;=7)*('CASE MASTER'!$V$2:$V$495&lt;=2)*('CASE MASTER'!$X$2:$X$495&gt;=2))*ROW('CASE MASTER'!$T$2:$T$495))-(ROW('CASE MASTER'!#REF!)-1))))+1))-1)*50+1,50))&amp;"_"&amp;INDEX('CASE MASTER'!$Q$2:$Q$495,(SUMPRODUCT((('CASE MASTER'!$T$2:$T$495=12)*('CASE MASTER'!$U$2:$U$495&lt;=7)*('CASE MASTER'!$W$2:$W$495&gt;=7)*('CASE MASTER'!$V$2:$V$495&lt;=2)*('CASE MASTER'!$X$2:$X$495&gt;=2))*ROW('CASE MASTER'!$T$2:$T$495))-(ROW('CASE MASTER'!#REF!)-1))),IF(SUMPRODUCT((('CASE MASTER'!$T$2:$T$495=12)*('CASE MASTER'!$AA$2:$AA$495&lt;=7)*('CASE MASTER'!$AC$2:$AC$495&gt;=7)*('CASE MASTER'!$AB$2:$AB$495&lt;=2)*('CASE MASTER'!$AD$2:$AD$495&gt;=2))*ROW('CASE MASTER'!$T$2:$T$495))&gt;0,INDEX('CASE MASTER'!$Y$2:$Y$495,(SUMPRODUCT((('CASE MASTER'!$T$2:$T$495=12)*('CASE MASTER'!$AA$2:$AA$495&lt;=7)*('CASE MASTER'!$AC$2:$AC$495&gt;=7)*('CASE MASTER'!$AB$2:$AB$495&lt;=2)*('CASE MASTER'!$AD$2:$AD$495&gt;=2))*ROW('CASE MASTER'!$T$2:$T$495))-(ROW('CASE MASTER'!#REF!)-1)))&amp;TRIM(MID(SUBSTITUTE(SUBSTITUTE(INDEX('CASE MASTER'!$N$2:$N$495,(SUMPRODUCT((('CASE MASTER'!$T$2:$T$495=12)*('CASE MASTER'!$AA$2:$AA$495&lt;=7)*('CASE MASTER'!$AC$2:$AC$495&gt;=7)*('CASE MASTER'!$AB$2:$AB$495&lt;=2)*('CASE MASTER'!$AD$2:$AD$495&gt;=2))*ROW('CASE MASTER'!$T$2:$T$495))-(ROW('CASE MASTER'!#REF!)-1))),":",","),",",REPT(" ",50)),(((INDEX('CASE MASTER'!$Z$2:$Z$495,(SUMPRODUCT((('CASE MASTER'!$T$2:$T$495=12)*('CASE MASTER'!$AA$2:$AA$495&lt;=7)*('CASE MASTER'!$AC$2:$AC$495&gt;=7)*('CASE MASTER'!$AB$2:$AB$495&lt;=2)*('CASE MASTER'!$AD$2:$AD$495&gt;=2))*ROW('CASE MASTER'!$T$2:$T$495))-(ROW('CASE MASTER'!#REF!)-1)))+((7-INDEX('CASE MASTER'!$AA$2:$AA$495,(SUMPRODUCT((('CASE MASTER'!$T$2:$T$495=12)*('CASE MASTER'!$AA$2:$AA$495&lt;=7)*('CASE MASTER'!$AC$2:$AC$495&gt;=7)*('CASE MASTER'!$AB$2:$AB$495&lt;=2)*('CASE MASTER'!$AD$2:$AD$495&gt;=2))*ROW('CASE MASTER'!$T$2:$T$495))-(ROW('CASE MASTER'!#REF!)-1))))*(INDEX('CASE MASTER'!$AD$2:$AD$495,(SUMPRODUCT((('CASE MASTER'!$T$2:$T$495=12)*('CASE MASTER'!$AA$2:$AA$495&lt;=7)*('CASE MASTER'!$AC$2:$AC$495&gt;=7)*('CASE MASTER'!$AB$2:$AB$495&lt;=2)*('CASE MASTER'!$AD$2:$AD$495&gt;=2))*ROW('CASE MASTER'!$T$2:$T$495))-(ROW('CASE MASTER'!#REF!)-1)))-INDEX('CASE MASTER'!$AB$2:$AB$495,(SUMPRODUCT((('CASE MASTER'!$T$2:$T$495=12)*('CASE MASTER'!$AA$2:$AA$495&lt;=7)*('CASE MASTER'!$AC$2:$AC$495&gt;=7)*('CASE MASTER'!$AB$2:$AB$495&lt;=2)*('CASE MASTER'!$AD$2:$AD$495&gt;=2))*ROW('CASE MASTER'!$T$2:$T$495))-(ROW('CASE MASTER'!#REF!)-1)))+1)+(2-INDEX('CASE MASTER'!$AB$2:$AB$495,(SUMPRODUCT((('CASE MASTER'!$T$2:$T$495=12)*('CASE MASTER'!$AA$2:$AA$495&lt;=7)*('CASE MASTER'!$AC$2:$AC$495&gt;=7)*('CASE MASTER'!$AB$2:$AB$495&lt;=2)*('CASE MASTER'!$AD$2:$AD$495&gt;=2))*ROW('CASE MASTER'!$T$2:$T$495))-(ROW('CASE MASTER'!#REF!)-1))))+1)))-1)*50+1,50))&amp;"_"&amp;INDEX('CASE MASTER'!$Q$2:$Q$495,(SUMPRODUCT((('CASE MASTER'!$T$2:$T$495=12)*('CASE MASTER'!$AA$2:$AA$495&lt;=7)*('CASE MASTER'!$AC$2:$AC$495&gt;=7)*('CASE MASTER'!$AB$2:$AB$495&lt;=2)*('CASE MASTER'!$AD$2:$AD$495&gt;=2))*ROW('CASE MASTER'!$T$2:$T$495))-(ROW('CASE MASTER'!#REF!)-1))),"")),"")</f>
        <v/>
      </c>
      <c r="D163" s="10" t="str">
        <f>IFERROR(IF(SUMPRODUCT((('CASE MASTER'!$T$2:$T$495=12)*('CASE MASTER'!$U$2:$U$495&lt;=7)*('CASE MASTER'!$W$2:$W$495&gt;=7)*('CASE MASTER'!$V$2:$V$495&lt;=3)*('CASE MASTER'!$X$2:$X$495&gt;=3))*ROW('CASE MASTER'!$T$2:$T$495))&gt;0,INDEX('CASE MASTER'!$Y$2:$Y$495,(SUMPRODUCT((('CASE MASTER'!$T$2:$T$495=12)*('CASE MASTER'!$U$2:$U$495&lt;=7)*('CASE MASTER'!$W$2:$W$495&gt;=7)*('CASE MASTER'!$V$2:$V$495&lt;=3)*('CASE MASTER'!$X$2:$X$495&gt;=3))*ROW('CASE MASTER'!$T$2:$T$495))-(ROW('CASE MASTER'!#REF!)-1)))&amp;TRIM(MID(SUBSTITUTE(SUBSTITUTE(INDEX('CASE MASTER'!$N$2:$N$495,(SUMPRODUCT((('CASE MASTER'!$T$2:$T$495=12)*('CASE MASTER'!$U$2:$U$495&lt;=7)*('CASE MASTER'!$W$2:$W$495&gt;=7)*('CASE MASTER'!$V$2:$V$495&lt;=3)*('CASE MASTER'!$X$2:$X$495&gt;=3))*ROW('CASE MASTER'!$T$2:$T$495))-(ROW('CASE MASTER'!#REF!)-1))),":",","),",",REPT(" ",50)),((((7-INDEX('CASE MASTER'!$U$2:$U$495,(SUMPRODUCT((('CASE MASTER'!$T$2:$T$495=12)*('CASE MASTER'!$U$2:$U$495&lt;=7)*('CASE MASTER'!$W$2:$W$495&gt;=7)*('CASE MASTER'!$V$2:$V$495&lt;=3)*('CASE MASTER'!$X$2:$X$495&gt;=3))*ROW('CASE MASTER'!$T$2:$T$495))-(ROW('CASE MASTER'!#REF!)-1))))*(INDEX('CASE MASTER'!$X$2:$X$495,(SUMPRODUCT((('CASE MASTER'!$T$2:$T$495=12)*('CASE MASTER'!$U$2:$U$495&lt;=7)*('CASE MASTER'!$W$2:$W$495&gt;=7)*('CASE MASTER'!$V$2:$V$495&lt;=3)*('CASE MASTER'!$X$2:$X$495&gt;=3))*ROW('CASE MASTER'!$T$2:$T$495))-(ROW('CASE MASTER'!#REF!)-1)))-INDEX('CASE MASTER'!$V$2:$V$495,(SUMPRODUCT((('CASE MASTER'!$T$2:$T$495=12)*('CASE MASTER'!$U$2:$U$495&lt;=7)*('CASE MASTER'!$W$2:$W$495&gt;=7)*('CASE MASTER'!$V$2:$V$495&lt;=3)*('CASE MASTER'!$X$2:$X$495&gt;=3))*ROW('CASE MASTER'!$T$2:$T$495))-(ROW('CASE MASTER'!#REF!)-1)))+1)+(3-INDEX('CASE MASTER'!$V$2:$V$495,(SUMPRODUCT((('CASE MASTER'!$T$2:$T$495=12)*('CASE MASTER'!$U$2:$U$495&lt;=7)*('CASE MASTER'!$W$2:$W$495&gt;=7)*('CASE MASTER'!$V$2:$V$495&lt;=3)*('CASE MASTER'!$X$2:$X$495&gt;=3))*ROW('CASE MASTER'!$T$2:$T$495))-(ROW('CASE MASTER'!#REF!)-1))))+1))-1)*50+1,50))&amp;"_"&amp;INDEX('CASE MASTER'!$Q$2:$Q$495,(SUMPRODUCT((('CASE MASTER'!$T$2:$T$495=12)*('CASE MASTER'!$U$2:$U$495&lt;=7)*('CASE MASTER'!$W$2:$W$495&gt;=7)*('CASE MASTER'!$V$2:$V$495&lt;=3)*('CASE MASTER'!$X$2:$X$495&gt;=3))*ROW('CASE MASTER'!$T$2:$T$495))-(ROW('CASE MASTER'!#REF!)-1))),IF(SUMPRODUCT((('CASE MASTER'!$T$2:$T$495=12)*('CASE MASTER'!$AA$2:$AA$495&lt;=7)*('CASE MASTER'!$AC$2:$AC$495&gt;=7)*('CASE MASTER'!$AB$2:$AB$495&lt;=3)*('CASE MASTER'!$AD$2:$AD$495&gt;=3))*ROW('CASE MASTER'!$T$2:$T$495))&gt;0,INDEX('CASE MASTER'!$Y$2:$Y$495,(SUMPRODUCT((('CASE MASTER'!$T$2:$T$495=12)*('CASE MASTER'!$AA$2:$AA$495&lt;=7)*('CASE MASTER'!$AC$2:$AC$495&gt;=7)*('CASE MASTER'!$AB$2:$AB$495&lt;=3)*('CASE MASTER'!$AD$2:$AD$495&gt;=3))*ROW('CASE MASTER'!$T$2:$T$495))-(ROW('CASE MASTER'!#REF!)-1)))&amp;TRIM(MID(SUBSTITUTE(SUBSTITUTE(INDEX('CASE MASTER'!$N$2:$N$495,(SUMPRODUCT((('CASE MASTER'!$T$2:$T$495=12)*('CASE MASTER'!$AA$2:$AA$495&lt;=7)*('CASE MASTER'!$AC$2:$AC$495&gt;=7)*('CASE MASTER'!$AB$2:$AB$495&lt;=3)*('CASE MASTER'!$AD$2:$AD$495&gt;=3))*ROW('CASE MASTER'!$T$2:$T$495))-(ROW('CASE MASTER'!#REF!)-1))),":",","),",",REPT(" ",50)),(((INDEX('CASE MASTER'!$Z$2:$Z$495,(SUMPRODUCT((('CASE MASTER'!$T$2:$T$495=12)*('CASE MASTER'!$AA$2:$AA$495&lt;=7)*('CASE MASTER'!$AC$2:$AC$495&gt;=7)*('CASE MASTER'!$AB$2:$AB$495&lt;=3)*('CASE MASTER'!$AD$2:$AD$495&gt;=3))*ROW('CASE MASTER'!$T$2:$T$495))-(ROW('CASE MASTER'!#REF!)-1)))+((7-INDEX('CASE MASTER'!$AA$2:$AA$495,(SUMPRODUCT((('CASE MASTER'!$T$2:$T$495=12)*('CASE MASTER'!$AA$2:$AA$495&lt;=7)*('CASE MASTER'!$AC$2:$AC$495&gt;=7)*('CASE MASTER'!$AB$2:$AB$495&lt;=3)*('CASE MASTER'!$AD$2:$AD$495&gt;=3))*ROW('CASE MASTER'!$T$2:$T$495))-(ROW('CASE MASTER'!#REF!)-1))))*(INDEX('CASE MASTER'!$AD$2:$AD$495,(SUMPRODUCT((('CASE MASTER'!$T$2:$T$495=12)*('CASE MASTER'!$AA$2:$AA$495&lt;=7)*('CASE MASTER'!$AC$2:$AC$495&gt;=7)*('CASE MASTER'!$AB$2:$AB$495&lt;=3)*('CASE MASTER'!$AD$2:$AD$495&gt;=3))*ROW('CASE MASTER'!$T$2:$T$495))-(ROW('CASE MASTER'!#REF!)-1)))-INDEX('CASE MASTER'!$AB$2:$AB$495,(SUMPRODUCT((('CASE MASTER'!$T$2:$T$495=12)*('CASE MASTER'!$AA$2:$AA$495&lt;=7)*('CASE MASTER'!$AC$2:$AC$495&gt;=7)*('CASE MASTER'!$AB$2:$AB$495&lt;=3)*('CASE MASTER'!$AD$2:$AD$495&gt;=3))*ROW('CASE MASTER'!$T$2:$T$495))-(ROW('CASE MASTER'!#REF!)-1)))+1)+(3-INDEX('CASE MASTER'!$AB$2:$AB$495,(SUMPRODUCT((('CASE MASTER'!$T$2:$T$495=12)*('CASE MASTER'!$AA$2:$AA$495&lt;=7)*('CASE MASTER'!$AC$2:$AC$495&gt;=7)*('CASE MASTER'!$AB$2:$AB$495&lt;=3)*('CASE MASTER'!$AD$2:$AD$495&gt;=3))*ROW('CASE MASTER'!$T$2:$T$495))-(ROW('CASE MASTER'!#REF!)-1))))+1)))-1)*50+1,50))&amp;"_"&amp;INDEX('CASE MASTER'!$Q$2:$Q$495,(SUMPRODUCT((('CASE MASTER'!$T$2:$T$495=12)*('CASE MASTER'!$AA$2:$AA$495&lt;=7)*('CASE MASTER'!$AC$2:$AC$495&gt;=7)*('CASE MASTER'!$AB$2:$AB$495&lt;=3)*('CASE MASTER'!$AD$2:$AD$495&gt;=3))*ROW('CASE MASTER'!$T$2:$T$495))-(ROW('CASE MASTER'!#REF!)-1))),"")),"")</f>
        <v/>
      </c>
      <c r="E163" s="10" t="str">
        <f>IFERROR(IF(SUMPRODUCT((('CASE MASTER'!$T$2:$T$495=12)*('CASE MASTER'!$U$2:$U$495&lt;=7)*('CASE MASTER'!$W$2:$W$495&gt;=7)*('CASE MASTER'!$V$2:$V$495&lt;=4)*('CASE MASTER'!$X$2:$X$495&gt;=4))*ROW('CASE MASTER'!$T$2:$T$495))&gt;0,INDEX('CASE MASTER'!$Y$2:$Y$495,(SUMPRODUCT((('CASE MASTER'!$T$2:$T$495=12)*('CASE MASTER'!$U$2:$U$495&lt;=7)*('CASE MASTER'!$W$2:$W$495&gt;=7)*('CASE MASTER'!$V$2:$V$495&lt;=4)*('CASE MASTER'!$X$2:$X$495&gt;=4))*ROW('CASE MASTER'!$T$2:$T$495))-(ROW('CASE MASTER'!#REF!)-1)))&amp;TRIM(MID(SUBSTITUTE(SUBSTITUTE(INDEX('CASE MASTER'!$N$2:$N$495,(SUMPRODUCT((('CASE MASTER'!$T$2:$T$495=12)*('CASE MASTER'!$U$2:$U$495&lt;=7)*('CASE MASTER'!$W$2:$W$495&gt;=7)*('CASE MASTER'!$V$2:$V$495&lt;=4)*('CASE MASTER'!$X$2:$X$495&gt;=4))*ROW('CASE MASTER'!$T$2:$T$495))-(ROW('CASE MASTER'!#REF!)-1))),":",","),",",REPT(" ",50)),((((7-INDEX('CASE MASTER'!$U$2:$U$495,(SUMPRODUCT((('CASE MASTER'!$T$2:$T$495=12)*('CASE MASTER'!$U$2:$U$495&lt;=7)*('CASE MASTER'!$W$2:$W$495&gt;=7)*('CASE MASTER'!$V$2:$V$495&lt;=4)*('CASE MASTER'!$X$2:$X$495&gt;=4))*ROW('CASE MASTER'!$T$2:$T$495))-(ROW('CASE MASTER'!#REF!)-1))))*(INDEX('CASE MASTER'!$X$2:$X$495,(SUMPRODUCT((('CASE MASTER'!$T$2:$T$495=12)*('CASE MASTER'!$U$2:$U$495&lt;=7)*('CASE MASTER'!$W$2:$W$495&gt;=7)*('CASE MASTER'!$V$2:$V$495&lt;=4)*('CASE MASTER'!$X$2:$X$495&gt;=4))*ROW('CASE MASTER'!$T$2:$T$495))-(ROW('CASE MASTER'!#REF!)-1)))-INDEX('CASE MASTER'!$V$2:$V$495,(SUMPRODUCT((('CASE MASTER'!$T$2:$T$495=12)*('CASE MASTER'!$U$2:$U$495&lt;=7)*('CASE MASTER'!$W$2:$W$495&gt;=7)*('CASE MASTER'!$V$2:$V$495&lt;=4)*('CASE MASTER'!$X$2:$X$495&gt;=4))*ROW('CASE MASTER'!$T$2:$T$495))-(ROW('CASE MASTER'!#REF!)-1)))+1)+(4-INDEX('CASE MASTER'!$V$2:$V$495,(SUMPRODUCT((('CASE MASTER'!$T$2:$T$495=12)*('CASE MASTER'!$U$2:$U$495&lt;=7)*('CASE MASTER'!$W$2:$W$495&gt;=7)*('CASE MASTER'!$V$2:$V$495&lt;=4)*('CASE MASTER'!$X$2:$X$495&gt;=4))*ROW('CASE MASTER'!$T$2:$T$495))-(ROW('CASE MASTER'!#REF!)-1))))+1))-1)*50+1,50))&amp;"_"&amp;INDEX('CASE MASTER'!$Q$2:$Q$495,(SUMPRODUCT((('CASE MASTER'!$T$2:$T$495=12)*('CASE MASTER'!$U$2:$U$495&lt;=7)*('CASE MASTER'!$W$2:$W$495&gt;=7)*('CASE MASTER'!$V$2:$V$495&lt;=4)*('CASE MASTER'!$X$2:$X$495&gt;=4))*ROW('CASE MASTER'!$T$2:$T$495))-(ROW('CASE MASTER'!#REF!)-1))),IF(SUMPRODUCT((('CASE MASTER'!$T$2:$T$495=12)*('CASE MASTER'!$AA$2:$AA$495&lt;=7)*('CASE MASTER'!$AC$2:$AC$495&gt;=7)*('CASE MASTER'!$AB$2:$AB$495&lt;=4)*('CASE MASTER'!$AD$2:$AD$495&gt;=4))*ROW('CASE MASTER'!$T$2:$T$495))&gt;0,INDEX('CASE MASTER'!$Y$2:$Y$495,(SUMPRODUCT((('CASE MASTER'!$T$2:$T$495=12)*('CASE MASTER'!$AA$2:$AA$495&lt;=7)*('CASE MASTER'!$AC$2:$AC$495&gt;=7)*('CASE MASTER'!$AB$2:$AB$495&lt;=4)*('CASE MASTER'!$AD$2:$AD$495&gt;=4))*ROW('CASE MASTER'!$T$2:$T$495))-(ROW('CASE MASTER'!#REF!)-1)))&amp;TRIM(MID(SUBSTITUTE(SUBSTITUTE(INDEX('CASE MASTER'!$N$2:$N$495,(SUMPRODUCT((('CASE MASTER'!$T$2:$T$495=12)*('CASE MASTER'!$AA$2:$AA$495&lt;=7)*('CASE MASTER'!$AC$2:$AC$495&gt;=7)*('CASE MASTER'!$AB$2:$AB$495&lt;=4)*('CASE MASTER'!$AD$2:$AD$495&gt;=4))*ROW('CASE MASTER'!$T$2:$T$495))-(ROW('CASE MASTER'!#REF!)-1))),":",","),",",REPT(" ",50)),(((INDEX('CASE MASTER'!$Z$2:$Z$495,(SUMPRODUCT((('CASE MASTER'!$T$2:$T$495=12)*('CASE MASTER'!$AA$2:$AA$495&lt;=7)*('CASE MASTER'!$AC$2:$AC$495&gt;=7)*('CASE MASTER'!$AB$2:$AB$495&lt;=4)*('CASE MASTER'!$AD$2:$AD$495&gt;=4))*ROW('CASE MASTER'!$T$2:$T$495))-(ROW('CASE MASTER'!#REF!)-1)))+((7-INDEX('CASE MASTER'!$AA$2:$AA$495,(SUMPRODUCT((('CASE MASTER'!$T$2:$T$495=12)*('CASE MASTER'!$AA$2:$AA$495&lt;=7)*('CASE MASTER'!$AC$2:$AC$495&gt;=7)*('CASE MASTER'!$AB$2:$AB$495&lt;=4)*('CASE MASTER'!$AD$2:$AD$495&gt;=4))*ROW('CASE MASTER'!$T$2:$T$495))-(ROW('CASE MASTER'!#REF!)-1))))*(INDEX('CASE MASTER'!$AD$2:$AD$495,(SUMPRODUCT((('CASE MASTER'!$T$2:$T$495=12)*('CASE MASTER'!$AA$2:$AA$495&lt;=7)*('CASE MASTER'!$AC$2:$AC$495&gt;=7)*('CASE MASTER'!$AB$2:$AB$495&lt;=4)*('CASE MASTER'!$AD$2:$AD$495&gt;=4))*ROW('CASE MASTER'!$T$2:$T$495))-(ROW('CASE MASTER'!#REF!)-1)))-INDEX('CASE MASTER'!$AB$2:$AB$495,(SUMPRODUCT((('CASE MASTER'!$T$2:$T$495=12)*('CASE MASTER'!$AA$2:$AA$495&lt;=7)*('CASE MASTER'!$AC$2:$AC$495&gt;=7)*('CASE MASTER'!$AB$2:$AB$495&lt;=4)*('CASE MASTER'!$AD$2:$AD$495&gt;=4))*ROW('CASE MASTER'!$T$2:$T$495))-(ROW('CASE MASTER'!#REF!)-1)))+1)+(4-INDEX('CASE MASTER'!$AB$2:$AB$495,(SUMPRODUCT((('CASE MASTER'!$T$2:$T$495=12)*('CASE MASTER'!$AA$2:$AA$495&lt;=7)*('CASE MASTER'!$AC$2:$AC$495&gt;=7)*('CASE MASTER'!$AB$2:$AB$495&lt;=4)*('CASE MASTER'!$AD$2:$AD$495&gt;=4))*ROW('CASE MASTER'!$T$2:$T$495))-(ROW('CASE MASTER'!#REF!)-1))))+1)))-1)*50+1,50))&amp;"_"&amp;INDEX('CASE MASTER'!$Q$2:$Q$495,(SUMPRODUCT((('CASE MASTER'!$T$2:$T$495=12)*('CASE MASTER'!$AA$2:$AA$495&lt;=7)*('CASE MASTER'!$AC$2:$AC$495&gt;=7)*('CASE MASTER'!$AB$2:$AB$495&lt;=4)*('CASE MASTER'!$AD$2:$AD$495&gt;=4))*ROW('CASE MASTER'!$T$2:$T$495))-(ROW('CASE MASTER'!#REF!)-1))),"")),"")</f>
        <v/>
      </c>
      <c r="F163" s="10" t="str">
        <f>IFERROR(IF(SUMPRODUCT((('CASE MASTER'!$T$2:$T$495=12)*('CASE MASTER'!$U$2:$U$495&lt;=7)*('CASE MASTER'!$W$2:$W$495&gt;=7)*('CASE MASTER'!$V$2:$V$495&lt;=5)*('CASE MASTER'!$X$2:$X$495&gt;=5))*ROW('CASE MASTER'!$T$2:$T$495))&gt;0,INDEX('CASE MASTER'!$Y$2:$Y$495,(SUMPRODUCT((('CASE MASTER'!$T$2:$T$495=12)*('CASE MASTER'!$U$2:$U$495&lt;=7)*('CASE MASTER'!$W$2:$W$495&gt;=7)*('CASE MASTER'!$V$2:$V$495&lt;=5)*('CASE MASTER'!$X$2:$X$495&gt;=5))*ROW('CASE MASTER'!$T$2:$T$495))-(ROW('CASE MASTER'!#REF!)-1)))&amp;TRIM(MID(SUBSTITUTE(SUBSTITUTE(INDEX('CASE MASTER'!$N$2:$N$495,(SUMPRODUCT((('CASE MASTER'!$T$2:$T$495=12)*('CASE MASTER'!$U$2:$U$495&lt;=7)*('CASE MASTER'!$W$2:$W$495&gt;=7)*('CASE MASTER'!$V$2:$V$495&lt;=5)*('CASE MASTER'!$X$2:$X$495&gt;=5))*ROW('CASE MASTER'!$T$2:$T$495))-(ROW('CASE MASTER'!#REF!)-1))),":",","),",",REPT(" ",50)),((((7-INDEX('CASE MASTER'!$U$2:$U$495,(SUMPRODUCT((('CASE MASTER'!$T$2:$T$495=12)*('CASE MASTER'!$U$2:$U$495&lt;=7)*('CASE MASTER'!$W$2:$W$495&gt;=7)*('CASE MASTER'!$V$2:$V$495&lt;=5)*('CASE MASTER'!$X$2:$X$495&gt;=5))*ROW('CASE MASTER'!$T$2:$T$495))-(ROW('CASE MASTER'!#REF!)-1))))*(INDEX('CASE MASTER'!$X$2:$X$495,(SUMPRODUCT((('CASE MASTER'!$T$2:$T$495=12)*('CASE MASTER'!$U$2:$U$495&lt;=7)*('CASE MASTER'!$W$2:$W$495&gt;=7)*('CASE MASTER'!$V$2:$V$495&lt;=5)*('CASE MASTER'!$X$2:$X$495&gt;=5))*ROW('CASE MASTER'!$T$2:$T$495))-(ROW('CASE MASTER'!#REF!)-1)))-INDEX('CASE MASTER'!$V$2:$V$495,(SUMPRODUCT((('CASE MASTER'!$T$2:$T$495=12)*('CASE MASTER'!$U$2:$U$495&lt;=7)*('CASE MASTER'!$W$2:$W$495&gt;=7)*('CASE MASTER'!$V$2:$V$495&lt;=5)*('CASE MASTER'!$X$2:$X$495&gt;=5))*ROW('CASE MASTER'!$T$2:$T$495))-(ROW('CASE MASTER'!#REF!)-1)))+1)+(5-INDEX('CASE MASTER'!$V$2:$V$495,(SUMPRODUCT((('CASE MASTER'!$T$2:$T$495=12)*('CASE MASTER'!$U$2:$U$495&lt;=7)*('CASE MASTER'!$W$2:$W$495&gt;=7)*('CASE MASTER'!$V$2:$V$495&lt;=5)*('CASE MASTER'!$X$2:$X$495&gt;=5))*ROW('CASE MASTER'!$T$2:$T$495))-(ROW('CASE MASTER'!#REF!)-1))))+1))-1)*50+1,50))&amp;"_"&amp;INDEX('CASE MASTER'!$Q$2:$Q$495,(SUMPRODUCT((('CASE MASTER'!$T$2:$T$495=12)*('CASE MASTER'!$U$2:$U$495&lt;=7)*('CASE MASTER'!$W$2:$W$495&gt;=7)*('CASE MASTER'!$V$2:$V$495&lt;=5)*('CASE MASTER'!$X$2:$X$495&gt;=5))*ROW('CASE MASTER'!$T$2:$T$495))-(ROW('CASE MASTER'!#REF!)-1))),IF(SUMPRODUCT((('CASE MASTER'!$T$2:$T$495=12)*('CASE MASTER'!$AA$2:$AA$495&lt;=7)*('CASE MASTER'!$AC$2:$AC$495&gt;=7)*('CASE MASTER'!$AB$2:$AB$495&lt;=5)*('CASE MASTER'!$AD$2:$AD$495&gt;=5))*ROW('CASE MASTER'!$T$2:$T$495))&gt;0,INDEX('CASE MASTER'!$Y$2:$Y$495,(SUMPRODUCT((('CASE MASTER'!$T$2:$T$495=12)*('CASE MASTER'!$AA$2:$AA$495&lt;=7)*('CASE MASTER'!$AC$2:$AC$495&gt;=7)*('CASE MASTER'!$AB$2:$AB$495&lt;=5)*('CASE MASTER'!$AD$2:$AD$495&gt;=5))*ROW('CASE MASTER'!$T$2:$T$495))-(ROW('CASE MASTER'!#REF!)-1)))&amp;TRIM(MID(SUBSTITUTE(SUBSTITUTE(INDEX('CASE MASTER'!$N$2:$N$495,(SUMPRODUCT((('CASE MASTER'!$T$2:$T$495=12)*('CASE MASTER'!$AA$2:$AA$495&lt;=7)*('CASE MASTER'!$AC$2:$AC$495&gt;=7)*('CASE MASTER'!$AB$2:$AB$495&lt;=5)*('CASE MASTER'!$AD$2:$AD$495&gt;=5))*ROW('CASE MASTER'!$T$2:$T$495))-(ROW('CASE MASTER'!#REF!)-1))),":",","),",",REPT(" ",50)),(((INDEX('CASE MASTER'!$Z$2:$Z$495,(SUMPRODUCT((('CASE MASTER'!$T$2:$T$495=12)*('CASE MASTER'!$AA$2:$AA$495&lt;=7)*('CASE MASTER'!$AC$2:$AC$495&gt;=7)*('CASE MASTER'!$AB$2:$AB$495&lt;=5)*('CASE MASTER'!$AD$2:$AD$495&gt;=5))*ROW('CASE MASTER'!$T$2:$T$495))-(ROW('CASE MASTER'!#REF!)-1)))+((7-INDEX('CASE MASTER'!$AA$2:$AA$495,(SUMPRODUCT((('CASE MASTER'!$T$2:$T$495=12)*('CASE MASTER'!$AA$2:$AA$495&lt;=7)*('CASE MASTER'!$AC$2:$AC$495&gt;=7)*('CASE MASTER'!$AB$2:$AB$495&lt;=5)*('CASE MASTER'!$AD$2:$AD$495&gt;=5))*ROW('CASE MASTER'!$T$2:$T$495))-(ROW('CASE MASTER'!#REF!)-1))))*(INDEX('CASE MASTER'!$AD$2:$AD$495,(SUMPRODUCT((('CASE MASTER'!$T$2:$T$495=12)*('CASE MASTER'!$AA$2:$AA$495&lt;=7)*('CASE MASTER'!$AC$2:$AC$495&gt;=7)*('CASE MASTER'!$AB$2:$AB$495&lt;=5)*('CASE MASTER'!$AD$2:$AD$495&gt;=5))*ROW('CASE MASTER'!$T$2:$T$495))-(ROW('CASE MASTER'!#REF!)-1)))-INDEX('CASE MASTER'!$AB$2:$AB$495,(SUMPRODUCT((('CASE MASTER'!$T$2:$T$495=12)*('CASE MASTER'!$AA$2:$AA$495&lt;=7)*('CASE MASTER'!$AC$2:$AC$495&gt;=7)*('CASE MASTER'!$AB$2:$AB$495&lt;=5)*('CASE MASTER'!$AD$2:$AD$495&gt;=5))*ROW('CASE MASTER'!$T$2:$T$495))-(ROW('CASE MASTER'!#REF!)-1)))+1)+(5-INDEX('CASE MASTER'!$AB$2:$AB$495,(SUMPRODUCT((('CASE MASTER'!$T$2:$T$495=12)*('CASE MASTER'!$AA$2:$AA$495&lt;=7)*('CASE MASTER'!$AC$2:$AC$495&gt;=7)*('CASE MASTER'!$AB$2:$AB$495&lt;=5)*('CASE MASTER'!$AD$2:$AD$495&gt;=5))*ROW('CASE MASTER'!$T$2:$T$495))-(ROW('CASE MASTER'!#REF!)-1))))+1)))-1)*50+1,50))&amp;"_"&amp;INDEX('CASE MASTER'!$Q$2:$Q$495,(SUMPRODUCT((('CASE MASTER'!$T$2:$T$495=12)*('CASE MASTER'!$AA$2:$AA$495&lt;=7)*('CASE MASTER'!$AC$2:$AC$495&gt;=7)*('CASE MASTER'!$AB$2:$AB$495&lt;=5)*('CASE MASTER'!$AD$2:$AD$495&gt;=5))*ROW('CASE MASTER'!$T$2:$T$495))-(ROW('CASE MASTER'!#REF!)-1))),"")),"")</f>
        <v/>
      </c>
      <c r="G163" s="10" t="str">
        <f>IFERROR(IF(SUMPRODUCT((('CASE MASTER'!$T$2:$T$495=12)*('CASE MASTER'!$U$2:$U$495&lt;=7)*('CASE MASTER'!$W$2:$W$495&gt;=7)*('CASE MASTER'!$V$2:$V$495&lt;=6)*('CASE MASTER'!$X$2:$X$495&gt;=6))*ROW('CASE MASTER'!$T$2:$T$495))&gt;0,INDEX('CASE MASTER'!$Y$2:$Y$495,(SUMPRODUCT((('CASE MASTER'!$T$2:$T$495=12)*('CASE MASTER'!$U$2:$U$495&lt;=7)*('CASE MASTER'!$W$2:$W$495&gt;=7)*('CASE MASTER'!$V$2:$V$495&lt;=6)*('CASE MASTER'!$X$2:$X$495&gt;=6))*ROW('CASE MASTER'!$T$2:$T$495))-(ROW('CASE MASTER'!#REF!)-1)))&amp;TRIM(MID(SUBSTITUTE(SUBSTITUTE(INDEX('CASE MASTER'!$N$2:$N$495,(SUMPRODUCT((('CASE MASTER'!$T$2:$T$495=12)*('CASE MASTER'!$U$2:$U$495&lt;=7)*('CASE MASTER'!$W$2:$W$495&gt;=7)*('CASE MASTER'!$V$2:$V$495&lt;=6)*('CASE MASTER'!$X$2:$X$495&gt;=6))*ROW('CASE MASTER'!$T$2:$T$495))-(ROW('CASE MASTER'!#REF!)-1))),":",","),",",REPT(" ",50)),((((7-INDEX('CASE MASTER'!$U$2:$U$495,(SUMPRODUCT((('CASE MASTER'!$T$2:$T$495=12)*('CASE MASTER'!$U$2:$U$495&lt;=7)*('CASE MASTER'!$W$2:$W$495&gt;=7)*('CASE MASTER'!$V$2:$V$495&lt;=6)*('CASE MASTER'!$X$2:$X$495&gt;=6))*ROW('CASE MASTER'!$T$2:$T$495))-(ROW('CASE MASTER'!#REF!)-1))))*(INDEX('CASE MASTER'!$X$2:$X$495,(SUMPRODUCT((('CASE MASTER'!$T$2:$T$495=12)*('CASE MASTER'!$U$2:$U$495&lt;=7)*('CASE MASTER'!$W$2:$W$495&gt;=7)*('CASE MASTER'!$V$2:$V$495&lt;=6)*('CASE MASTER'!$X$2:$X$495&gt;=6))*ROW('CASE MASTER'!$T$2:$T$495))-(ROW('CASE MASTER'!#REF!)-1)))-INDEX('CASE MASTER'!$V$2:$V$495,(SUMPRODUCT((('CASE MASTER'!$T$2:$T$495=12)*('CASE MASTER'!$U$2:$U$495&lt;=7)*('CASE MASTER'!$W$2:$W$495&gt;=7)*('CASE MASTER'!$V$2:$V$495&lt;=6)*('CASE MASTER'!$X$2:$X$495&gt;=6))*ROW('CASE MASTER'!$T$2:$T$495))-(ROW('CASE MASTER'!#REF!)-1)))+1)+(6-INDEX('CASE MASTER'!$V$2:$V$495,(SUMPRODUCT((('CASE MASTER'!$T$2:$T$495=12)*('CASE MASTER'!$U$2:$U$495&lt;=7)*('CASE MASTER'!$W$2:$W$495&gt;=7)*('CASE MASTER'!$V$2:$V$495&lt;=6)*('CASE MASTER'!$X$2:$X$495&gt;=6))*ROW('CASE MASTER'!$T$2:$T$495))-(ROW('CASE MASTER'!#REF!)-1))))+1))-1)*50+1,50))&amp;"_"&amp;INDEX('CASE MASTER'!$Q$2:$Q$495,(SUMPRODUCT((('CASE MASTER'!$T$2:$T$495=12)*('CASE MASTER'!$U$2:$U$495&lt;=7)*('CASE MASTER'!$W$2:$W$495&gt;=7)*('CASE MASTER'!$V$2:$V$495&lt;=6)*('CASE MASTER'!$X$2:$X$495&gt;=6))*ROW('CASE MASTER'!$T$2:$T$495))-(ROW('CASE MASTER'!#REF!)-1))),IF(SUMPRODUCT((('CASE MASTER'!$T$2:$T$495=12)*('CASE MASTER'!$AA$2:$AA$495&lt;=7)*('CASE MASTER'!$AC$2:$AC$495&gt;=7)*('CASE MASTER'!$AB$2:$AB$495&lt;=6)*('CASE MASTER'!$AD$2:$AD$495&gt;=6))*ROW('CASE MASTER'!$T$2:$T$495))&gt;0,INDEX('CASE MASTER'!$Y$2:$Y$495,(SUMPRODUCT((('CASE MASTER'!$T$2:$T$495=12)*('CASE MASTER'!$AA$2:$AA$495&lt;=7)*('CASE MASTER'!$AC$2:$AC$495&gt;=7)*('CASE MASTER'!$AB$2:$AB$495&lt;=6)*('CASE MASTER'!$AD$2:$AD$495&gt;=6))*ROW('CASE MASTER'!$T$2:$T$495))-(ROW('CASE MASTER'!#REF!)-1)))&amp;TRIM(MID(SUBSTITUTE(SUBSTITUTE(INDEX('CASE MASTER'!$N$2:$N$495,(SUMPRODUCT((('CASE MASTER'!$T$2:$T$495=12)*('CASE MASTER'!$AA$2:$AA$495&lt;=7)*('CASE MASTER'!$AC$2:$AC$495&gt;=7)*('CASE MASTER'!$AB$2:$AB$495&lt;=6)*('CASE MASTER'!$AD$2:$AD$495&gt;=6))*ROW('CASE MASTER'!$T$2:$T$495))-(ROW('CASE MASTER'!#REF!)-1))),":",","),",",REPT(" ",50)),(((INDEX('CASE MASTER'!$Z$2:$Z$495,(SUMPRODUCT((('CASE MASTER'!$T$2:$T$495=12)*('CASE MASTER'!$AA$2:$AA$495&lt;=7)*('CASE MASTER'!$AC$2:$AC$495&gt;=7)*('CASE MASTER'!$AB$2:$AB$495&lt;=6)*('CASE MASTER'!$AD$2:$AD$495&gt;=6))*ROW('CASE MASTER'!$T$2:$T$495))-(ROW('CASE MASTER'!#REF!)-1)))+((7-INDEX('CASE MASTER'!$AA$2:$AA$495,(SUMPRODUCT((('CASE MASTER'!$T$2:$T$495=12)*('CASE MASTER'!$AA$2:$AA$495&lt;=7)*('CASE MASTER'!$AC$2:$AC$495&gt;=7)*('CASE MASTER'!$AB$2:$AB$495&lt;=6)*('CASE MASTER'!$AD$2:$AD$495&gt;=6))*ROW('CASE MASTER'!$T$2:$T$495))-(ROW('CASE MASTER'!#REF!)-1))))*(INDEX('CASE MASTER'!$AD$2:$AD$495,(SUMPRODUCT((('CASE MASTER'!$T$2:$T$495=12)*('CASE MASTER'!$AA$2:$AA$495&lt;=7)*('CASE MASTER'!$AC$2:$AC$495&gt;=7)*('CASE MASTER'!$AB$2:$AB$495&lt;=6)*('CASE MASTER'!$AD$2:$AD$495&gt;=6))*ROW('CASE MASTER'!$T$2:$T$495))-(ROW('CASE MASTER'!#REF!)-1)))-INDEX('CASE MASTER'!$AB$2:$AB$495,(SUMPRODUCT((('CASE MASTER'!$T$2:$T$495=12)*('CASE MASTER'!$AA$2:$AA$495&lt;=7)*('CASE MASTER'!$AC$2:$AC$495&gt;=7)*('CASE MASTER'!$AB$2:$AB$495&lt;=6)*('CASE MASTER'!$AD$2:$AD$495&gt;=6))*ROW('CASE MASTER'!$T$2:$T$495))-(ROW('CASE MASTER'!#REF!)-1)))+1)+(6-INDEX('CASE MASTER'!$AB$2:$AB$495,(SUMPRODUCT((('CASE MASTER'!$T$2:$T$495=12)*('CASE MASTER'!$AA$2:$AA$495&lt;=7)*('CASE MASTER'!$AC$2:$AC$495&gt;=7)*('CASE MASTER'!$AB$2:$AB$495&lt;=6)*('CASE MASTER'!$AD$2:$AD$495&gt;=6))*ROW('CASE MASTER'!$T$2:$T$495))-(ROW('CASE MASTER'!#REF!)-1))))+1)))-1)*50+1,50))&amp;"_"&amp;INDEX('CASE MASTER'!$Q$2:$Q$495,(SUMPRODUCT((('CASE MASTER'!$T$2:$T$495=12)*('CASE MASTER'!$AA$2:$AA$495&lt;=7)*('CASE MASTER'!$AC$2:$AC$495&gt;=7)*('CASE MASTER'!$AB$2:$AB$495&lt;=6)*('CASE MASTER'!$AD$2:$AD$495&gt;=6))*ROW('CASE MASTER'!$T$2:$T$495))-(ROW('CASE MASTER'!#REF!)-1))),"")),"")</f>
        <v/>
      </c>
      <c r="H163" s="10" t="str">
        <f>IFERROR(IF(SUMPRODUCT((('CASE MASTER'!$T$2:$T$495=12)*('CASE MASTER'!$U$2:$U$495&lt;=7)*('CASE MASTER'!$W$2:$W$495&gt;=7)*('CASE MASTER'!$V$2:$V$495&lt;=7)*('CASE MASTER'!$X$2:$X$495&gt;=7))*ROW('CASE MASTER'!$T$2:$T$495))&gt;0,INDEX('CASE MASTER'!$Y$2:$Y$495,(SUMPRODUCT((('CASE MASTER'!$T$2:$T$495=12)*('CASE MASTER'!$U$2:$U$495&lt;=7)*('CASE MASTER'!$W$2:$W$495&gt;=7)*('CASE MASTER'!$V$2:$V$495&lt;=7)*('CASE MASTER'!$X$2:$X$495&gt;=7))*ROW('CASE MASTER'!$T$2:$T$495))-(ROW('CASE MASTER'!#REF!)-1)))&amp;TRIM(MID(SUBSTITUTE(SUBSTITUTE(INDEX('CASE MASTER'!$N$2:$N$495,(SUMPRODUCT((('CASE MASTER'!$T$2:$T$495=12)*('CASE MASTER'!$U$2:$U$495&lt;=7)*('CASE MASTER'!$W$2:$W$495&gt;=7)*('CASE MASTER'!$V$2:$V$495&lt;=7)*('CASE MASTER'!$X$2:$X$495&gt;=7))*ROW('CASE MASTER'!$T$2:$T$495))-(ROW('CASE MASTER'!#REF!)-1))),":",","),",",REPT(" ",50)),((((7-INDEX('CASE MASTER'!$U$2:$U$495,(SUMPRODUCT((('CASE MASTER'!$T$2:$T$495=12)*('CASE MASTER'!$U$2:$U$495&lt;=7)*('CASE MASTER'!$W$2:$W$495&gt;=7)*('CASE MASTER'!$V$2:$V$495&lt;=7)*('CASE MASTER'!$X$2:$X$495&gt;=7))*ROW('CASE MASTER'!$T$2:$T$495))-(ROW('CASE MASTER'!#REF!)-1))))*(INDEX('CASE MASTER'!$X$2:$X$495,(SUMPRODUCT((('CASE MASTER'!$T$2:$T$495=12)*('CASE MASTER'!$U$2:$U$495&lt;=7)*('CASE MASTER'!$W$2:$W$495&gt;=7)*('CASE MASTER'!$V$2:$V$495&lt;=7)*('CASE MASTER'!$X$2:$X$495&gt;=7))*ROW('CASE MASTER'!$T$2:$T$495))-(ROW('CASE MASTER'!#REF!)-1)))-INDEX('CASE MASTER'!$V$2:$V$495,(SUMPRODUCT((('CASE MASTER'!$T$2:$T$495=12)*('CASE MASTER'!$U$2:$U$495&lt;=7)*('CASE MASTER'!$W$2:$W$495&gt;=7)*('CASE MASTER'!$V$2:$V$495&lt;=7)*('CASE MASTER'!$X$2:$X$495&gt;=7))*ROW('CASE MASTER'!$T$2:$T$495))-(ROW('CASE MASTER'!#REF!)-1)))+1)+(7-INDEX('CASE MASTER'!$V$2:$V$495,(SUMPRODUCT((('CASE MASTER'!$T$2:$T$495=12)*('CASE MASTER'!$U$2:$U$495&lt;=7)*('CASE MASTER'!$W$2:$W$495&gt;=7)*('CASE MASTER'!$V$2:$V$495&lt;=7)*('CASE MASTER'!$X$2:$X$495&gt;=7))*ROW('CASE MASTER'!$T$2:$T$495))-(ROW('CASE MASTER'!#REF!)-1))))+1))-1)*50+1,50))&amp;"_"&amp;INDEX('CASE MASTER'!$Q$2:$Q$495,(SUMPRODUCT((('CASE MASTER'!$T$2:$T$495=12)*('CASE MASTER'!$U$2:$U$495&lt;=7)*('CASE MASTER'!$W$2:$W$495&gt;=7)*('CASE MASTER'!$V$2:$V$495&lt;=7)*('CASE MASTER'!$X$2:$X$495&gt;=7))*ROW('CASE MASTER'!$T$2:$T$495))-(ROW('CASE MASTER'!#REF!)-1))),IF(SUMPRODUCT((('CASE MASTER'!$T$2:$T$495=12)*('CASE MASTER'!$AA$2:$AA$495&lt;=7)*('CASE MASTER'!$AC$2:$AC$495&gt;=7)*('CASE MASTER'!$AB$2:$AB$495&lt;=7)*('CASE MASTER'!$AD$2:$AD$495&gt;=7))*ROW('CASE MASTER'!$T$2:$T$495))&gt;0,INDEX('CASE MASTER'!$Y$2:$Y$495,(SUMPRODUCT((('CASE MASTER'!$T$2:$T$495=12)*('CASE MASTER'!$AA$2:$AA$495&lt;=7)*('CASE MASTER'!$AC$2:$AC$495&gt;=7)*('CASE MASTER'!$AB$2:$AB$495&lt;=7)*('CASE MASTER'!$AD$2:$AD$495&gt;=7))*ROW('CASE MASTER'!$T$2:$T$495))-(ROW('CASE MASTER'!#REF!)-1)))&amp;TRIM(MID(SUBSTITUTE(SUBSTITUTE(INDEX('CASE MASTER'!$N$2:$N$495,(SUMPRODUCT((('CASE MASTER'!$T$2:$T$495=12)*('CASE MASTER'!$AA$2:$AA$495&lt;=7)*('CASE MASTER'!$AC$2:$AC$495&gt;=7)*('CASE MASTER'!$AB$2:$AB$495&lt;=7)*('CASE MASTER'!$AD$2:$AD$495&gt;=7))*ROW('CASE MASTER'!$T$2:$T$495))-(ROW('CASE MASTER'!#REF!)-1))),":",","),",",REPT(" ",50)),(((INDEX('CASE MASTER'!$Z$2:$Z$495,(SUMPRODUCT((('CASE MASTER'!$T$2:$T$495=12)*('CASE MASTER'!$AA$2:$AA$495&lt;=7)*('CASE MASTER'!$AC$2:$AC$495&gt;=7)*('CASE MASTER'!$AB$2:$AB$495&lt;=7)*('CASE MASTER'!$AD$2:$AD$495&gt;=7))*ROW('CASE MASTER'!$T$2:$T$495))-(ROW('CASE MASTER'!#REF!)-1)))+((7-INDEX('CASE MASTER'!$AA$2:$AA$495,(SUMPRODUCT((('CASE MASTER'!$T$2:$T$495=12)*('CASE MASTER'!$AA$2:$AA$495&lt;=7)*('CASE MASTER'!$AC$2:$AC$495&gt;=7)*('CASE MASTER'!$AB$2:$AB$495&lt;=7)*('CASE MASTER'!$AD$2:$AD$495&gt;=7))*ROW('CASE MASTER'!$T$2:$T$495))-(ROW('CASE MASTER'!#REF!)-1))))*(INDEX('CASE MASTER'!$AD$2:$AD$495,(SUMPRODUCT((('CASE MASTER'!$T$2:$T$495=12)*('CASE MASTER'!$AA$2:$AA$495&lt;=7)*('CASE MASTER'!$AC$2:$AC$495&gt;=7)*('CASE MASTER'!$AB$2:$AB$495&lt;=7)*('CASE MASTER'!$AD$2:$AD$495&gt;=7))*ROW('CASE MASTER'!$T$2:$T$495))-(ROW('CASE MASTER'!#REF!)-1)))-INDEX('CASE MASTER'!$AB$2:$AB$495,(SUMPRODUCT((('CASE MASTER'!$T$2:$T$495=12)*('CASE MASTER'!$AA$2:$AA$495&lt;=7)*('CASE MASTER'!$AC$2:$AC$495&gt;=7)*('CASE MASTER'!$AB$2:$AB$495&lt;=7)*('CASE MASTER'!$AD$2:$AD$495&gt;=7))*ROW('CASE MASTER'!$T$2:$T$495))-(ROW('CASE MASTER'!#REF!)-1)))+1)+(7-INDEX('CASE MASTER'!$AB$2:$AB$495,(SUMPRODUCT((('CASE MASTER'!$T$2:$T$495=12)*('CASE MASTER'!$AA$2:$AA$495&lt;=7)*('CASE MASTER'!$AC$2:$AC$495&gt;=7)*('CASE MASTER'!$AB$2:$AB$495&lt;=7)*('CASE MASTER'!$AD$2:$AD$495&gt;=7))*ROW('CASE MASTER'!$T$2:$T$495))-(ROW('CASE MASTER'!#REF!)-1))))+1)))-1)*50+1,50))&amp;"_"&amp;INDEX('CASE MASTER'!$Q$2:$Q$495,(SUMPRODUCT((('CASE MASTER'!$T$2:$T$495=12)*('CASE MASTER'!$AA$2:$AA$495&lt;=7)*('CASE MASTER'!$AC$2:$AC$495&gt;=7)*('CASE MASTER'!$AB$2:$AB$495&lt;=7)*('CASE MASTER'!$AD$2:$AD$495&gt;=7))*ROW('CASE MASTER'!$T$2:$T$495))-(ROW('CASE MASTER'!#REF!)-1))),"")),"")</f>
        <v/>
      </c>
      <c r="I163" s="10" t="str">
        <f>IFERROR(IF(SUMPRODUCT((('CASE MASTER'!$T$2:$T$495=12)*('CASE MASTER'!$U$2:$U$495&lt;=7)*('CASE MASTER'!$W$2:$W$495&gt;=7)*('CASE MASTER'!$V$2:$V$495&lt;=8)*('CASE MASTER'!$X$2:$X$495&gt;=8))*ROW('CASE MASTER'!$T$2:$T$495))&gt;0,INDEX('CASE MASTER'!$Y$2:$Y$495,(SUMPRODUCT((('CASE MASTER'!$T$2:$T$495=12)*('CASE MASTER'!$U$2:$U$495&lt;=7)*('CASE MASTER'!$W$2:$W$495&gt;=7)*('CASE MASTER'!$V$2:$V$495&lt;=8)*('CASE MASTER'!$X$2:$X$495&gt;=8))*ROW('CASE MASTER'!$T$2:$T$495))-(ROW('CASE MASTER'!#REF!)-1)))&amp;TRIM(MID(SUBSTITUTE(SUBSTITUTE(INDEX('CASE MASTER'!$N$2:$N$495,(SUMPRODUCT((('CASE MASTER'!$T$2:$T$495=12)*('CASE MASTER'!$U$2:$U$495&lt;=7)*('CASE MASTER'!$W$2:$W$495&gt;=7)*('CASE MASTER'!$V$2:$V$495&lt;=8)*('CASE MASTER'!$X$2:$X$495&gt;=8))*ROW('CASE MASTER'!$T$2:$T$495))-(ROW('CASE MASTER'!#REF!)-1))),":",","),",",REPT(" ",50)),((((7-INDEX('CASE MASTER'!$U$2:$U$495,(SUMPRODUCT((('CASE MASTER'!$T$2:$T$495=12)*('CASE MASTER'!$U$2:$U$495&lt;=7)*('CASE MASTER'!$W$2:$W$495&gt;=7)*('CASE MASTER'!$V$2:$V$495&lt;=8)*('CASE MASTER'!$X$2:$X$495&gt;=8))*ROW('CASE MASTER'!$T$2:$T$495))-(ROW('CASE MASTER'!#REF!)-1))))*(INDEX('CASE MASTER'!$X$2:$X$495,(SUMPRODUCT((('CASE MASTER'!$T$2:$T$495=12)*('CASE MASTER'!$U$2:$U$495&lt;=7)*('CASE MASTER'!$W$2:$W$495&gt;=7)*('CASE MASTER'!$V$2:$V$495&lt;=8)*('CASE MASTER'!$X$2:$X$495&gt;=8))*ROW('CASE MASTER'!$T$2:$T$495))-(ROW('CASE MASTER'!#REF!)-1)))-INDEX('CASE MASTER'!$V$2:$V$495,(SUMPRODUCT((('CASE MASTER'!$T$2:$T$495=12)*('CASE MASTER'!$U$2:$U$495&lt;=7)*('CASE MASTER'!$W$2:$W$495&gt;=7)*('CASE MASTER'!$V$2:$V$495&lt;=8)*('CASE MASTER'!$X$2:$X$495&gt;=8))*ROW('CASE MASTER'!$T$2:$T$495))-(ROW('CASE MASTER'!#REF!)-1)))+1)+(8-INDEX('CASE MASTER'!$V$2:$V$495,(SUMPRODUCT((('CASE MASTER'!$T$2:$T$495=12)*('CASE MASTER'!$U$2:$U$495&lt;=7)*('CASE MASTER'!$W$2:$W$495&gt;=7)*('CASE MASTER'!$V$2:$V$495&lt;=8)*('CASE MASTER'!$X$2:$X$495&gt;=8))*ROW('CASE MASTER'!$T$2:$T$495))-(ROW('CASE MASTER'!#REF!)-1))))+1))-1)*50+1,50))&amp;"_"&amp;INDEX('CASE MASTER'!$Q$2:$Q$495,(SUMPRODUCT((('CASE MASTER'!$T$2:$T$495=12)*('CASE MASTER'!$U$2:$U$495&lt;=7)*('CASE MASTER'!$W$2:$W$495&gt;=7)*('CASE MASTER'!$V$2:$V$495&lt;=8)*('CASE MASTER'!$X$2:$X$495&gt;=8))*ROW('CASE MASTER'!$T$2:$T$495))-(ROW('CASE MASTER'!#REF!)-1))),IF(SUMPRODUCT((('CASE MASTER'!$T$2:$T$495=12)*('CASE MASTER'!$AA$2:$AA$495&lt;=7)*('CASE MASTER'!$AC$2:$AC$495&gt;=7)*('CASE MASTER'!$AB$2:$AB$495&lt;=8)*('CASE MASTER'!$AD$2:$AD$495&gt;=8))*ROW('CASE MASTER'!$T$2:$T$495))&gt;0,INDEX('CASE MASTER'!$Y$2:$Y$495,(SUMPRODUCT((('CASE MASTER'!$T$2:$T$495=12)*('CASE MASTER'!$AA$2:$AA$495&lt;=7)*('CASE MASTER'!$AC$2:$AC$495&gt;=7)*('CASE MASTER'!$AB$2:$AB$495&lt;=8)*('CASE MASTER'!$AD$2:$AD$495&gt;=8))*ROW('CASE MASTER'!$T$2:$T$495))-(ROW('CASE MASTER'!#REF!)-1)))&amp;TRIM(MID(SUBSTITUTE(SUBSTITUTE(INDEX('CASE MASTER'!$N$2:$N$495,(SUMPRODUCT((('CASE MASTER'!$T$2:$T$495=12)*('CASE MASTER'!$AA$2:$AA$495&lt;=7)*('CASE MASTER'!$AC$2:$AC$495&gt;=7)*('CASE MASTER'!$AB$2:$AB$495&lt;=8)*('CASE MASTER'!$AD$2:$AD$495&gt;=8))*ROW('CASE MASTER'!$T$2:$T$495))-(ROW('CASE MASTER'!#REF!)-1))),":",","),",",REPT(" ",50)),(((INDEX('CASE MASTER'!$Z$2:$Z$495,(SUMPRODUCT((('CASE MASTER'!$T$2:$T$495=12)*('CASE MASTER'!$AA$2:$AA$495&lt;=7)*('CASE MASTER'!$AC$2:$AC$495&gt;=7)*('CASE MASTER'!$AB$2:$AB$495&lt;=8)*('CASE MASTER'!$AD$2:$AD$495&gt;=8))*ROW('CASE MASTER'!$T$2:$T$495))-(ROW('CASE MASTER'!#REF!)-1)))+((7-INDEX('CASE MASTER'!$AA$2:$AA$495,(SUMPRODUCT((('CASE MASTER'!$T$2:$T$495=12)*('CASE MASTER'!$AA$2:$AA$495&lt;=7)*('CASE MASTER'!$AC$2:$AC$495&gt;=7)*('CASE MASTER'!$AB$2:$AB$495&lt;=8)*('CASE MASTER'!$AD$2:$AD$495&gt;=8))*ROW('CASE MASTER'!$T$2:$T$495))-(ROW('CASE MASTER'!#REF!)-1))))*(INDEX('CASE MASTER'!$AD$2:$AD$495,(SUMPRODUCT((('CASE MASTER'!$T$2:$T$495=12)*('CASE MASTER'!$AA$2:$AA$495&lt;=7)*('CASE MASTER'!$AC$2:$AC$495&gt;=7)*('CASE MASTER'!$AB$2:$AB$495&lt;=8)*('CASE MASTER'!$AD$2:$AD$495&gt;=8))*ROW('CASE MASTER'!$T$2:$T$495))-(ROW('CASE MASTER'!#REF!)-1)))-INDEX('CASE MASTER'!$AB$2:$AB$495,(SUMPRODUCT((('CASE MASTER'!$T$2:$T$495=12)*('CASE MASTER'!$AA$2:$AA$495&lt;=7)*('CASE MASTER'!$AC$2:$AC$495&gt;=7)*('CASE MASTER'!$AB$2:$AB$495&lt;=8)*('CASE MASTER'!$AD$2:$AD$495&gt;=8))*ROW('CASE MASTER'!$T$2:$T$495))-(ROW('CASE MASTER'!#REF!)-1)))+1)+(8-INDEX('CASE MASTER'!$AB$2:$AB$495,(SUMPRODUCT((('CASE MASTER'!$T$2:$T$495=12)*('CASE MASTER'!$AA$2:$AA$495&lt;=7)*('CASE MASTER'!$AC$2:$AC$495&gt;=7)*('CASE MASTER'!$AB$2:$AB$495&lt;=8)*('CASE MASTER'!$AD$2:$AD$495&gt;=8))*ROW('CASE MASTER'!$T$2:$T$495))-(ROW('CASE MASTER'!#REF!)-1))))+1)))-1)*50+1,50))&amp;"_"&amp;INDEX('CASE MASTER'!$Q$2:$Q$495,(SUMPRODUCT((('CASE MASTER'!$T$2:$T$495=12)*('CASE MASTER'!$AA$2:$AA$495&lt;=7)*('CASE MASTER'!$AC$2:$AC$495&gt;=7)*('CASE MASTER'!$AB$2:$AB$495&lt;=8)*('CASE MASTER'!$AD$2:$AD$495&gt;=8))*ROW('CASE MASTER'!$T$2:$T$495))-(ROW('CASE MASTER'!#REF!)-1))),"")),"")</f>
        <v/>
      </c>
      <c r="J163" s="10" t="str">
        <f>IFERROR(IF(SUMPRODUCT((('CASE MASTER'!$T$2:$T$495=12)*('CASE MASTER'!$U$2:$U$495&lt;=7)*('CASE MASTER'!$W$2:$W$495&gt;=7)*('CASE MASTER'!$V$2:$V$495&lt;=9)*('CASE MASTER'!$X$2:$X$495&gt;=9))*ROW('CASE MASTER'!$T$2:$T$495))&gt;0,INDEX('CASE MASTER'!$Y$2:$Y$495,(SUMPRODUCT((('CASE MASTER'!$T$2:$T$495=12)*('CASE MASTER'!$U$2:$U$495&lt;=7)*('CASE MASTER'!$W$2:$W$495&gt;=7)*('CASE MASTER'!$V$2:$V$495&lt;=9)*('CASE MASTER'!$X$2:$X$495&gt;=9))*ROW('CASE MASTER'!$T$2:$T$495))-(ROW('CASE MASTER'!#REF!)-1)))&amp;TRIM(MID(SUBSTITUTE(SUBSTITUTE(INDEX('CASE MASTER'!$N$2:$N$495,(SUMPRODUCT((('CASE MASTER'!$T$2:$T$495=12)*('CASE MASTER'!$U$2:$U$495&lt;=7)*('CASE MASTER'!$W$2:$W$495&gt;=7)*('CASE MASTER'!$V$2:$V$495&lt;=9)*('CASE MASTER'!$X$2:$X$495&gt;=9))*ROW('CASE MASTER'!$T$2:$T$495))-(ROW('CASE MASTER'!#REF!)-1))),":",","),",",REPT(" ",50)),((((7-INDEX('CASE MASTER'!$U$2:$U$495,(SUMPRODUCT((('CASE MASTER'!$T$2:$T$495=12)*('CASE MASTER'!$U$2:$U$495&lt;=7)*('CASE MASTER'!$W$2:$W$495&gt;=7)*('CASE MASTER'!$V$2:$V$495&lt;=9)*('CASE MASTER'!$X$2:$X$495&gt;=9))*ROW('CASE MASTER'!$T$2:$T$495))-(ROW('CASE MASTER'!#REF!)-1))))*(INDEX('CASE MASTER'!$X$2:$X$495,(SUMPRODUCT((('CASE MASTER'!$T$2:$T$495=12)*('CASE MASTER'!$U$2:$U$495&lt;=7)*('CASE MASTER'!$W$2:$W$495&gt;=7)*('CASE MASTER'!$V$2:$V$495&lt;=9)*('CASE MASTER'!$X$2:$X$495&gt;=9))*ROW('CASE MASTER'!$T$2:$T$495))-(ROW('CASE MASTER'!#REF!)-1)))-INDEX('CASE MASTER'!$V$2:$V$495,(SUMPRODUCT((('CASE MASTER'!$T$2:$T$495=12)*('CASE MASTER'!$U$2:$U$495&lt;=7)*('CASE MASTER'!$W$2:$W$495&gt;=7)*('CASE MASTER'!$V$2:$V$495&lt;=9)*('CASE MASTER'!$X$2:$X$495&gt;=9))*ROW('CASE MASTER'!$T$2:$T$495))-(ROW('CASE MASTER'!#REF!)-1)))+1)+(9-INDEX('CASE MASTER'!$V$2:$V$495,(SUMPRODUCT((('CASE MASTER'!$T$2:$T$495=12)*('CASE MASTER'!$U$2:$U$495&lt;=7)*('CASE MASTER'!$W$2:$W$495&gt;=7)*('CASE MASTER'!$V$2:$V$495&lt;=9)*('CASE MASTER'!$X$2:$X$495&gt;=9))*ROW('CASE MASTER'!$T$2:$T$495))-(ROW('CASE MASTER'!#REF!)-1))))+1))-1)*50+1,50))&amp;"_"&amp;INDEX('CASE MASTER'!$Q$2:$Q$495,(SUMPRODUCT((('CASE MASTER'!$T$2:$T$495=12)*('CASE MASTER'!$U$2:$U$495&lt;=7)*('CASE MASTER'!$W$2:$W$495&gt;=7)*('CASE MASTER'!$V$2:$V$495&lt;=9)*('CASE MASTER'!$X$2:$X$495&gt;=9))*ROW('CASE MASTER'!$T$2:$T$495))-(ROW('CASE MASTER'!#REF!)-1))),IF(SUMPRODUCT((('CASE MASTER'!$T$2:$T$495=12)*('CASE MASTER'!$AA$2:$AA$495&lt;=7)*('CASE MASTER'!$AC$2:$AC$495&gt;=7)*('CASE MASTER'!$AB$2:$AB$495&lt;=9)*('CASE MASTER'!$AD$2:$AD$495&gt;=9))*ROW('CASE MASTER'!$T$2:$T$495))&gt;0,INDEX('CASE MASTER'!$Y$2:$Y$495,(SUMPRODUCT((('CASE MASTER'!$T$2:$T$495=12)*('CASE MASTER'!$AA$2:$AA$495&lt;=7)*('CASE MASTER'!$AC$2:$AC$495&gt;=7)*('CASE MASTER'!$AB$2:$AB$495&lt;=9)*('CASE MASTER'!$AD$2:$AD$495&gt;=9))*ROW('CASE MASTER'!$T$2:$T$495))-(ROW('CASE MASTER'!#REF!)-1)))&amp;TRIM(MID(SUBSTITUTE(SUBSTITUTE(INDEX('CASE MASTER'!$N$2:$N$495,(SUMPRODUCT((('CASE MASTER'!$T$2:$T$495=12)*('CASE MASTER'!$AA$2:$AA$495&lt;=7)*('CASE MASTER'!$AC$2:$AC$495&gt;=7)*('CASE MASTER'!$AB$2:$AB$495&lt;=9)*('CASE MASTER'!$AD$2:$AD$495&gt;=9))*ROW('CASE MASTER'!$T$2:$T$495))-(ROW('CASE MASTER'!#REF!)-1))),":",","),",",REPT(" ",50)),(((INDEX('CASE MASTER'!$Z$2:$Z$495,(SUMPRODUCT((('CASE MASTER'!$T$2:$T$495=12)*('CASE MASTER'!$AA$2:$AA$495&lt;=7)*('CASE MASTER'!$AC$2:$AC$495&gt;=7)*('CASE MASTER'!$AB$2:$AB$495&lt;=9)*('CASE MASTER'!$AD$2:$AD$495&gt;=9))*ROW('CASE MASTER'!$T$2:$T$495))-(ROW('CASE MASTER'!#REF!)-1)))+((7-INDEX('CASE MASTER'!$AA$2:$AA$495,(SUMPRODUCT((('CASE MASTER'!$T$2:$T$495=12)*('CASE MASTER'!$AA$2:$AA$495&lt;=7)*('CASE MASTER'!$AC$2:$AC$495&gt;=7)*('CASE MASTER'!$AB$2:$AB$495&lt;=9)*('CASE MASTER'!$AD$2:$AD$495&gt;=9))*ROW('CASE MASTER'!$T$2:$T$495))-(ROW('CASE MASTER'!#REF!)-1))))*(INDEX('CASE MASTER'!$AD$2:$AD$495,(SUMPRODUCT((('CASE MASTER'!$T$2:$T$495=12)*('CASE MASTER'!$AA$2:$AA$495&lt;=7)*('CASE MASTER'!$AC$2:$AC$495&gt;=7)*('CASE MASTER'!$AB$2:$AB$495&lt;=9)*('CASE MASTER'!$AD$2:$AD$495&gt;=9))*ROW('CASE MASTER'!$T$2:$T$495))-(ROW('CASE MASTER'!#REF!)-1)))-INDEX('CASE MASTER'!$AB$2:$AB$495,(SUMPRODUCT((('CASE MASTER'!$T$2:$T$495=12)*('CASE MASTER'!$AA$2:$AA$495&lt;=7)*('CASE MASTER'!$AC$2:$AC$495&gt;=7)*('CASE MASTER'!$AB$2:$AB$495&lt;=9)*('CASE MASTER'!$AD$2:$AD$495&gt;=9))*ROW('CASE MASTER'!$T$2:$T$495))-(ROW('CASE MASTER'!#REF!)-1)))+1)+(9-INDEX('CASE MASTER'!$AB$2:$AB$495,(SUMPRODUCT((('CASE MASTER'!$T$2:$T$495=12)*('CASE MASTER'!$AA$2:$AA$495&lt;=7)*('CASE MASTER'!$AC$2:$AC$495&gt;=7)*('CASE MASTER'!$AB$2:$AB$495&lt;=9)*('CASE MASTER'!$AD$2:$AD$495&gt;=9))*ROW('CASE MASTER'!$T$2:$T$495))-(ROW('CASE MASTER'!#REF!)-1))))+1)))-1)*50+1,50))&amp;"_"&amp;INDEX('CASE MASTER'!$Q$2:$Q$495,(SUMPRODUCT((('CASE MASTER'!$T$2:$T$495=12)*('CASE MASTER'!$AA$2:$AA$495&lt;=7)*('CASE MASTER'!$AC$2:$AC$495&gt;=7)*('CASE MASTER'!$AB$2:$AB$495&lt;=9)*('CASE MASTER'!$AD$2:$AD$495&gt;=9))*ROW('CASE MASTER'!$T$2:$T$495))-(ROW('CASE MASTER'!#REF!)-1))),"")),"")</f>
        <v/>
      </c>
      <c r="K163" s="10" t="str">
        <f>IFERROR(IF(SUMPRODUCT((('CASE MASTER'!$T$2:$T$495=12)*('CASE MASTER'!$U$2:$U$495&lt;=7)*('CASE MASTER'!$W$2:$W$495&gt;=7)*('CASE MASTER'!$V$2:$V$495&lt;=10)*('CASE MASTER'!$X$2:$X$495&gt;=10))*ROW('CASE MASTER'!$T$2:$T$495))&gt;0,INDEX('CASE MASTER'!$Y$2:$Y$495,(SUMPRODUCT((('CASE MASTER'!$T$2:$T$495=12)*('CASE MASTER'!$U$2:$U$495&lt;=7)*('CASE MASTER'!$W$2:$W$495&gt;=7)*('CASE MASTER'!$V$2:$V$495&lt;=10)*('CASE MASTER'!$X$2:$X$495&gt;=10))*ROW('CASE MASTER'!$T$2:$T$495))-(ROW('CASE MASTER'!#REF!)-1)))&amp;TRIM(MID(SUBSTITUTE(SUBSTITUTE(INDEX('CASE MASTER'!$N$2:$N$495,(SUMPRODUCT((('CASE MASTER'!$T$2:$T$495=12)*('CASE MASTER'!$U$2:$U$495&lt;=7)*('CASE MASTER'!$W$2:$W$495&gt;=7)*('CASE MASTER'!$V$2:$V$495&lt;=10)*('CASE MASTER'!$X$2:$X$495&gt;=10))*ROW('CASE MASTER'!$T$2:$T$495))-(ROW('CASE MASTER'!#REF!)-1))),":",","),",",REPT(" ",50)),((((7-INDEX('CASE MASTER'!$U$2:$U$495,(SUMPRODUCT((('CASE MASTER'!$T$2:$T$495=12)*('CASE MASTER'!$U$2:$U$495&lt;=7)*('CASE MASTER'!$W$2:$W$495&gt;=7)*('CASE MASTER'!$V$2:$V$495&lt;=10)*('CASE MASTER'!$X$2:$X$495&gt;=10))*ROW('CASE MASTER'!$T$2:$T$495))-(ROW('CASE MASTER'!#REF!)-1))))*(INDEX('CASE MASTER'!$X$2:$X$495,(SUMPRODUCT((('CASE MASTER'!$T$2:$T$495=12)*('CASE MASTER'!$U$2:$U$495&lt;=7)*('CASE MASTER'!$W$2:$W$495&gt;=7)*('CASE MASTER'!$V$2:$V$495&lt;=10)*('CASE MASTER'!$X$2:$X$495&gt;=10))*ROW('CASE MASTER'!$T$2:$T$495))-(ROW('CASE MASTER'!#REF!)-1)))-INDEX('CASE MASTER'!$V$2:$V$495,(SUMPRODUCT((('CASE MASTER'!$T$2:$T$495=12)*('CASE MASTER'!$U$2:$U$495&lt;=7)*('CASE MASTER'!$W$2:$W$495&gt;=7)*('CASE MASTER'!$V$2:$V$495&lt;=10)*('CASE MASTER'!$X$2:$X$495&gt;=10))*ROW('CASE MASTER'!$T$2:$T$495))-(ROW('CASE MASTER'!#REF!)-1)))+1)+(10-INDEX('CASE MASTER'!$V$2:$V$495,(SUMPRODUCT((('CASE MASTER'!$T$2:$T$495=12)*('CASE MASTER'!$U$2:$U$495&lt;=7)*('CASE MASTER'!$W$2:$W$495&gt;=7)*('CASE MASTER'!$V$2:$V$495&lt;=10)*('CASE MASTER'!$X$2:$X$495&gt;=10))*ROW('CASE MASTER'!$T$2:$T$495))-(ROW('CASE MASTER'!#REF!)-1))))+1))-1)*50+1,50))&amp;"_"&amp;INDEX('CASE MASTER'!$Q$2:$Q$495,(SUMPRODUCT((('CASE MASTER'!$T$2:$T$495=12)*('CASE MASTER'!$U$2:$U$495&lt;=7)*('CASE MASTER'!$W$2:$W$495&gt;=7)*('CASE MASTER'!$V$2:$V$495&lt;=10)*('CASE MASTER'!$X$2:$X$495&gt;=10))*ROW('CASE MASTER'!$T$2:$T$495))-(ROW('CASE MASTER'!#REF!)-1))),IF(SUMPRODUCT((('CASE MASTER'!$T$2:$T$495=12)*('CASE MASTER'!$AA$2:$AA$495&lt;=7)*('CASE MASTER'!$AC$2:$AC$495&gt;=7)*('CASE MASTER'!$AB$2:$AB$495&lt;=10)*('CASE MASTER'!$AD$2:$AD$495&gt;=10))*ROW('CASE MASTER'!$T$2:$T$495))&gt;0,INDEX('CASE MASTER'!$Y$2:$Y$495,(SUMPRODUCT((('CASE MASTER'!$T$2:$T$495=12)*('CASE MASTER'!$AA$2:$AA$495&lt;=7)*('CASE MASTER'!$AC$2:$AC$495&gt;=7)*('CASE MASTER'!$AB$2:$AB$495&lt;=10)*('CASE MASTER'!$AD$2:$AD$495&gt;=10))*ROW('CASE MASTER'!$T$2:$T$495))-(ROW('CASE MASTER'!#REF!)-1)))&amp;TRIM(MID(SUBSTITUTE(SUBSTITUTE(INDEX('CASE MASTER'!$N$2:$N$495,(SUMPRODUCT((('CASE MASTER'!$T$2:$T$495=12)*('CASE MASTER'!$AA$2:$AA$495&lt;=7)*('CASE MASTER'!$AC$2:$AC$495&gt;=7)*('CASE MASTER'!$AB$2:$AB$495&lt;=10)*('CASE MASTER'!$AD$2:$AD$495&gt;=10))*ROW('CASE MASTER'!$T$2:$T$495))-(ROW('CASE MASTER'!#REF!)-1))),":",","),",",REPT(" ",50)),(((INDEX('CASE MASTER'!$Z$2:$Z$495,(SUMPRODUCT((('CASE MASTER'!$T$2:$T$495=12)*('CASE MASTER'!$AA$2:$AA$495&lt;=7)*('CASE MASTER'!$AC$2:$AC$495&gt;=7)*('CASE MASTER'!$AB$2:$AB$495&lt;=10)*('CASE MASTER'!$AD$2:$AD$495&gt;=10))*ROW('CASE MASTER'!$T$2:$T$495))-(ROW('CASE MASTER'!#REF!)-1)))+((7-INDEX('CASE MASTER'!$AA$2:$AA$495,(SUMPRODUCT((('CASE MASTER'!$T$2:$T$495=12)*('CASE MASTER'!$AA$2:$AA$495&lt;=7)*('CASE MASTER'!$AC$2:$AC$495&gt;=7)*('CASE MASTER'!$AB$2:$AB$495&lt;=10)*('CASE MASTER'!$AD$2:$AD$495&gt;=10))*ROW('CASE MASTER'!$T$2:$T$495))-(ROW('CASE MASTER'!#REF!)-1))))*(INDEX('CASE MASTER'!$AD$2:$AD$495,(SUMPRODUCT((('CASE MASTER'!$T$2:$T$495=12)*('CASE MASTER'!$AA$2:$AA$495&lt;=7)*('CASE MASTER'!$AC$2:$AC$495&gt;=7)*('CASE MASTER'!$AB$2:$AB$495&lt;=10)*('CASE MASTER'!$AD$2:$AD$495&gt;=10))*ROW('CASE MASTER'!$T$2:$T$495))-(ROW('CASE MASTER'!#REF!)-1)))-INDEX('CASE MASTER'!$AB$2:$AB$495,(SUMPRODUCT((('CASE MASTER'!$T$2:$T$495=12)*('CASE MASTER'!$AA$2:$AA$495&lt;=7)*('CASE MASTER'!$AC$2:$AC$495&gt;=7)*('CASE MASTER'!$AB$2:$AB$495&lt;=10)*('CASE MASTER'!$AD$2:$AD$495&gt;=10))*ROW('CASE MASTER'!$T$2:$T$495))-(ROW('CASE MASTER'!#REF!)-1)))+1)+(10-INDEX('CASE MASTER'!$AB$2:$AB$495,(SUMPRODUCT((('CASE MASTER'!$T$2:$T$495=12)*('CASE MASTER'!$AA$2:$AA$495&lt;=7)*('CASE MASTER'!$AC$2:$AC$495&gt;=7)*('CASE MASTER'!$AB$2:$AB$495&lt;=10)*('CASE MASTER'!$AD$2:$AD$495&gt;=10))*ROW('CASE MASTER'!$T$2:$T$495))-(ROW('CASE MASTER'!#REF!)-1))))+1)))-1)*50+1,50))&amp;"_"&amp;INDEX('CASE MASTER'!$Q$2:$Q$495,(SUMPRODUCT((('CASE MASTER'!$T$2:$T$495=12)*('CASE MASTER'!$AA$2:$AA$495&lt;=7)*('CASE MASTER'!$AC$2:$AC$495&gt;=7)*('CASE MASTER'!$AB$2:$AB$495&lt;=10)*('CASE MASTER'!$AD$2:$AD$495&gt;=10))*ROW('CASE MASTER'!$T$2:$T$495))-(ROW('CASE MASTER'!#REF!)-1))),"")),"")</f>
        <v/>
      </c>
    </row>
    <row r="164" spans="1:11" ht="15" customHeight="1" x14ac:dyDescent="0.35">
      <c r="A164" s="8" t="s">
        <v>35</v>
      </c>
      <c r="B164" s="10" t="str">
        <f>IFERROR(IF(SUMPRODUCT((('CASE MASTER'!$T$2:$T$495=12)*('CASE MASTER'!$U$2:$U$495&lt;=8)*('CASE MASTER'!$W$2:$W$495&gt;=8)*('CASE MASTER'!$V$2:$V$495&lt;=1)*('CASE MASTER'!$X$2:$X$495&gt;=1))*ROW('CASE MASTER'!$T$2:$T$495))&gt;0,INDEX('CASE MASTER'!$Y$2:$Y$495,(SUMPRODUCT((('CASE MASTER'!$T$2:$T$495=12)*('CASE MASTER'!$U$2:$U$495&lt;=8)*('CASE MASTER'!$W$2:$W$495&gt;=8)*('CASE MASTER'!$V$2:$V$495&lt;=1)*('CASE MASTER'!$X$2:$X$495&gt;=1))*ROW('CASE MASTER'!$T$2:$T$495))-(ROW('CASE MASTER'!#REF!)-1)))&amp;TRIM(MID(SUBSTITUTE(SUBSTITUTE(INDEX('CASE MASTER'!$N$2:$N$495,(SUMPRODUCT((('CASE MASTER'!$T$2:$T$495=12)*('CASE MASTER'!$U$2:$U$495&lt;=8)*('CASE MASTER'!$W$2:$W$495&gt;=8)*('CASE MASTER'!$V$2:$V$495&lt;=1)*('CASE MASTER'!$X$2:$X$495&gt;=1))*ROW('CASE MASTER'!$T$2:$T$495))-(ROW('CASE MASTER'!#REF!)-1))),":",","),",",REPT(" ",50)),((((8-INDEX('CASE MASTER'!$U$2:$U$495,(SUMPRODUCT((('CASE MASTER'!$T$2:$T$495=12)*('CASE MASTER'!$U$2:$U$495&lt;=8)*('CASE MASTER'!$W$2:$W$495&gt;=8)*('CASE MASTER'!$V$2:$V$495&lt;=1)*('CASE MASTER'!$X$2:$X$495&gt;=1))*ROW('CASE MASTER'!$T$2:$T$495))-(ROW('CASE MASTER'!#REF!)-1))))*(INDEX('CASE MASTER'!$X$2:$X$495,(SUMPRODUCT((('CASE MASTER'!$T$2:$T$495=12)*('CASE MASTER'!$U$2:$U$495&lt;=8)*('CASE MASTER'!$W$2:$W$495&gt;=8)*('CASE MASTER'!$V$2:$V$495&lt;=1)*('CASE MASTER'!$X$2:$X$495&gt;=1))*ROW('CASE MASTER'!$T$2:$T$495))-(ROW('CASE MASTER'!#REF!)-1)))-INDEX('CASE MASTER'!$V$2:$V$495,(SUMPRODUCT((('CASE MASTER'!$T$2:$T$495=12)*('CASE MASTER'!$U$2:$U$495&lt;=8)*('CASE MASTER'!$W$2:$W$495&gt;=8)*('CASE MASTER'!$V$2:$V$495&lt;=1)*('CASE MASTER'!$X$2:$X$495&gt;=1))*ROW('CASE MASTER'!$T$2:$T$495))-(ROW('CASE MASTER'!#REF!)-1)))+1)+(1-INDEX('CASE MASTER'!$V$2:$V$495,(SUMPRODUCT((('CASE MASTER'!$T$2:$T$495=12)*('CASE MASTER'!$U$2:$U$495&lt;=8)*('CASE MASTER'!$W$2:$W$495&gt;=8)*('CASE MASTER'!$V$2:$V$495&lt;=1)*('CASE MASTER'!$X$2:$X$495&gt;=1))*ROW('CASE MASTER'!$T$2:$T$495))-(ROW('CASE MASTER'!#REF!)-1))))+1))-1)*50+1,50))&amp;"_"&amp;INDEX('CASE MASTER'!$Q$2:$Q$495,(SUMPRODUCT((('CASE MASTER'!$T$2:$T$495=12)*('CASE MASTER'!$U$2:$U$495&lt;=8)*('CASE MASTER'!$W$2:$W$495&gt;=8)*('CASE MASTER'!$V$2:$V$495&lt;=1)*('CASE MASTER'!$X$2:$X$495&gt;=1))*ROW('CASE MASTER'!$T$2:$T$495))-(ROW('CASE MASTER'!#REF!)-1))),IF(SUMPRODUCT((('CASE MASTER'!$T$2:$T$495=12)*('CASE MASTER'!$AA$2:$AA$495&lt;=8)*('CASE MASTER'!$AC$2:$AC$495&gt;=8)*('CASE MASTER'!$AB$2:$AB$495&lt;=1)*('CASE MASTER'!$AD$2:$AD$495&gt;=1))*ROW('CASE MASTER'!$T$2:$T$495))&gt;0,INDEX('CASE MASTER'!$Y$2:$Y$495,(SUMPRODUCT((('CASE MASTER'!$T$2:$T$495=12)*('CASE MASTER'!$AA$2:$AA$495&lt;=8)*('CASE MASTER'!$AC$2:$AC$495&gt;=8)*('CASE MASTER'!$AB$2:$AB$495&lt;=1)*('CASE MASTER'!$AD$2:$AD$495&gt;=1))*ROW('CASE MASTER'!$T$2:$T$495))-(ROW('CASE MASTER'!#REF!)-1)))&amp;TRIM(MID(SUBSTITUTE(SUBSTITUTE(INDEX('CASE MASTER'!$N$2:$N$495,(SUMPRODUCT((('CASE MASTER'!$T$2:$T$495=12)*('CASE MASTER'!$AA$2:$AA$495&lt;=8)*('CASE MASTER'!$AC$2:$AC$495&gt;=8)*('CASE MASTER'!$AB$2:$AB$495&lt;=1)*('CASE MASTER'!$AD$2:$AD$495&gt;=1))*ROW('CASE MASTER'!$T$2:$T$495))-(ROW('CASE MASTER'!#REF!)-1))),":",","),",",REPT(" ",50)),(((INDEX('CASE MASTER'!$Z$2:$Z$495,(SUMPRODUCT((('CASE MASTER'!$T$2:$T$495=12)*('CASE MASTER'!$AA$2:$AA$495&lt;=8)*('CASE MASTER'!$AC$2:$AC$495&gt;=8)*('CASE MASTER'!$AB$2:$AB$495&lt;=1)*('CASE MASTER'!$AD$2:$AD$495&gt;=1))*ROW('CASE MASTER'!$T$2:$T$495))-(ROW('CASE MASTER'!#REF!)-1)))+((8-INDEX('CASE MASTER'!$AA$2:$AA$495,(SUMPRODUCT((('CASE MASTER'!$T$2:$T$495=12)*('CASE MASTER'!$AA$2:$AA$495&lt;=8)*('CASE MASTER'!$AC$2:$AC$495&gt;=8)*('CASE MASTER'!$AB$2:$AB$495&lt;=1)*('CASE MASTER'!$AD$2:$AD$495&gt;=1))*ROW('CASE MASTER'!$T$2:$T$495))-(ROW('CASE MASTER'!#REF!)-1))))*(INDEX('CASE MASTER'!$AD$2:$AD$495,(SUMPRODUCT((('CASE MASTER'!$T$2:$T$495=12)*('CASE MASTER'!$AA$2:$AA$495&lt;=8)*('CASE MASTER'!$AC$2:$AC$495&gt;=8)*('CASE MASTER'!$AB$2:$AB$495&lt;=1)*('CASE MASTER'!$AD$2:$AD$495&gt;=1))*ROW('CASE MASTER'!$T$2:$T$495))-(ROW('CASE MASTER'!#REF!)-1)))-INDEX('CASE MASTER'!$AB$2:$AB$495,(SUMPRODUCT((('CASE MASTER'!$T$2:$T$495=12)*('CASE MASTER'!$AA$2:$AA$495&lt;=8)*('CASE MASTER'!$AC$2:$AC$495&gt;=8)*('CASE MASTER'!$AB$2:$AB$495&lt;=1)*('CASE MASTER'!$AD$2:$AD$495&gt;=1))*ROW('CASE MASTER'!$T$2:$T$495))-(ROW('CASE MASTER'!#REF!)-1)))+1)+(1-INDEX('CASE MASTER'!$AB$2:$AB$495,(SUMPRODUCT((('CASE MASTER'!$T$2:$T$495=12)*('CASE MASTER'!$AA$2:$AA$495&lt;=8)*('CASE MASTER'!$AC$2:$AC$495&gt;=8)*('CASE MASTER'!$AB$2:$AB$495&lt;=1)*('CASE MASTER'!$AD$2:$AD$495&gt;=1))*ROW('CASE MASTER'!$T$2:$T$495))-(ROW('CASE MASTER'!#REF!)-1))))+1)))-1)*50+1,50))&amp;"_"&amp;INDEX('CASE MASTER'!$Q$2:$Q$495,(SUMPRODUCT((('CASE MASTER'!$T$2:$T$495=12)*('CASE MASTER'!$AA$2:$AA$495&lt;=8)*('CASE MASTER'!$AC$2:$AC$495&gt;=8)*('CASE MASTER'!$AB$2:$AB$495&lt;=1)*('CASE MASTER'!$AD$2:$AD$495&gt;=1))*ROW('CASE MASTER'!$T$2:$T$495))-(ROW('CASE MASTER'!#REF!)-1))),"")),"")</f>
        <v/>
      </c>
      <c r="C164" s="10" t="str">
        <f>IFERROR(IF(SUMPRODUCT((('CASE MASTER'!$T$2:$T$495=12)*('CASE MASTER'!$U$2:$U$495&lt;=8)*('CASE MASTER'!$W$2:$W$495&gt;=8)*('CASE MASTER'!$V$2:$V$495&lt;=2)*('CASE MASTER'!$X$2:$X$495&gt;=2))*ROW('CASE MASTER'!$T$2:$T$495))&gt;0,INDEX('CASE MASTER'!$Y$2:$Y$495,(SUMPRODUCT((('CASE MASTER'!$T$2:$T$495=12)*('CASE MASTER'!$U$2:$U$495&lt;=8)*('CASE MASTER'!$W$2:$W$495&gt;=8)*('CASE MASTER'!$V$2:$V$495&lt;=2)*('CASE MASTER'!$X$2:$X$495&gt;=2))*ROW('CASE MASTER'!$T$2:$T$495))-(ROW('CASE MASTER'!#REF!)-1)))&amp;TRIM(MID(SUBSTITUTE(SUBSTITUTE(INDEX('CASE MASTER'!$N$2:$N$495,(SUMPRODUCT((('CASE MASTER'!$T$2:$T$495=12)*('CASE MASTER'!$U$2:$U$495&lt;=8)*('CASE MASTER'!$W$2:$W$495&gt;=8)*('CASE MASTER'!$V$2:$V$495&lt;=2)*('CASE MASTER'!$X$2:$X$495&gt;=2))*ROW('CASE MASTER'!$T$2:$T$495))-(ROW('CASE MASTER'!#REF!)-1))),":",","),",",REPT(" ",50)),((((8-INDEX('CASE MASTER'!$U$2:$U$495,(SUMPRODUCT((('CASE MASTER'!$T$2:$T$495=12)*('CASE MASTER'!$U$2:$U$495&lt;=8)*('CASE MASTER'!$W$2:$W$495&gt;=8)*('CASE MASTER'!$V$2:$V$495&lt;=2)*('CASE MASTER'!$X$2:$X$495&gt;=2))*ROW('CASE MASTER'!$T$2:$T$495))-(ROW('CASE MASTER'!#REF!)-1))))*(INDEX('CASE MASTER'!$X$2:$X$495,(SUMPRODUCT((('CASE MASTER'!$T$2:$T$495=12)*('CASE MASTER'!$U$2:$U$495&lt;=8)*('CASE MASTER'!$W$2:$W$495&gt;=8)*('CASE MASTER'!$V$2:$V$495&lt;=2)*('CASE MASTER'!$X$2:$X$495&gt;=2))*ROW('CASE MASTER'!$T$2:$T$495))-(ROW('CASE MASTER'!#REF!)-1)))-INDEX('CASE MASTER'!$V$2:$V$495,(SUMPRODUCT((('CASE MASTER'!$T$2:$T$495=12)*('CASE MASTER'!$U$2:$U$495&lt;=8)*('CASE MASTER'!$W$2:$W$495&gt;=8)*('CASE MASTER'!$V$2:$V$495&lt;=2)*('CASE MASTER'!$X$2:$X$495&gt;=2))*ROW('CASE MASTER'!$T$2:$T$495))-(ROW('CASE MASTER'!#REF!)-1)))+1)+(2-INDEX('CASE MASTER'!$V$2:$V$495,(SUMPRODUCT((('CASE MASTER'!$T$2:$T$495=12)*('CASE MASTER'!$U$2:$U$495&lt;=8)*('CASE MASTER'!$W$2:$W$495&gt;=8)*('CASE MASTER'!$V$2:$V$495&lt;=2)*('CASE MASTER'!$X$2:$X$495&gt;=2))*ROW('CASE MASTER'!$T$2:$T$495))-(ROW('CASE MASTER'!#REF!)-1))))+1))-1)*50+1,50))&amp;"_"&amp;INDEX('CASE MASTER'!$Q$2:$Q$495,(SUMPRODUCT((('CASE MASTER'!$T$2:$T$495=12)*('CASE MASTER'!$U$2:$U$495&lt;=8)*('CASE MASTER'!$W$2:$W$495&gt;=8)*('CASE MASTER'!$V$2:$V$495&lt;=2)*('CASE MASTER'!$X$2:$X$495&gt;=2))*ROW('CASE MASTER'!$T$2:$T$495))-(ROW('CASE MASTER'!#REF!)-1))),IF(SUMPRODUCT((('CASE MASTER'!$T$2:$T$495=12)*('CASE MASTER'!$AA$2:$AA$495&lt;=8)*('CASE MASTER'!$AC$2:$AC$495&gt;=8)*('CASE MASTER'!$AB$2:$AB$495&lt;=2)*('CASE MASTER'!$AD$2:$AD$495&gt;=2))*ROW('CASE MASTER'!$T$2:$T$495))&gt;0,INDEX('CASE MASTER'!$Y$2:$Y$495,(SUMPRODUCT((('CASE MASTER'!$T$2:$T$495=12)*('CASE MASTER'!$AA$2:$AA$495&lt;=8)*('CASE MASTER'!$AC$2:$AC$495&gt;=8)*('CASE MASTER'!$AB$2:$AB$495&lt;=2)*('CASE MASTER'!$AD$2:$AD$495&gt;=2))*ROW('CASE MASTER'!$T$2:$T$495))-(ROW('CASE MASTER'!#REF!)-1)))&amp;TRIM(MID(SUBSTITUTE(SUBSTITUTE(INDEX('CASE MASTER'!$N$2:$N$495,(SUMPRODUCT((('CASE MASTER'!$T$2:$T$495=12)*('CASE MASTER'!$AA$2:$AA$495&lt;=8)*('CASE MASTER'!$AC$2:$AC$495&gt;=8)*('CASE MASTER'!$AB$2:$AB$495&lt;=2)*('CASE MASTER'!$AD$2:$AD$495&gt;=2))*ROW('CASE MASTER'!$T$2:$T$495))-(ROW('CASE MASTER'!#REF!)-1))),":",","),",",REPT(" ",50)),(((INDEX('CASE MASTER'!$Z$2:$Z$495,(SUMPRODUCT((('CASE MASTER'!$T$2:$T$495=12)*('CASE MASTER'!$AA$2:$AA$495&lt;=8)*('CASE MASTER'!$AC$2:$AC$495&gt;=8)*('CASE MASTER'!$AB$2:$AB$495&lt;=2)*('CASE MASTER'!$AD$2:$AD$495&gt;=2))*ROW('CASE MASTER'!$T$2:$T$495))-(ROW('CASE MASTER'!#REF!)-1)))+((8-INDEX('CASE MASTER'!$AA$2:$AA$495,(SUMPRODUCT((('CASE MASTER'!$T$2:$T$495=12)*('CASE MASTER'!$AA$2:$AA$495&lt;=8)*('CASE MASTER'!$AC$2:$AC$495&gt;=8)*('CASE MASTER'!$AB$2:$AB$495&lt;=2)*('CASE MASTER'!$AD$2:$AD$495&gt;=2))*ROW('CASE MASTER'!$T$2:$T$495))-(ROW('CASE MASTER'!#REF!)-1))))*(INDEX('CASE MASTER'!$AD$2:$AD$495,(SUMPRODUCT((('CASE MASTER'!$T$2:$T$495=12)*('CASE MASTER'!$AA$2:$AA$495&lt;=8)*('CASE MASTER'!$AC$2:$AC$495&gt;=8)*('CASE MASTER'!$AB$2:$AB$495&lt;=2)*('CASE MASTER'!$AD$2:$AD$495&gt;=2))*ROW('CASE MASTER'!$T$2:$T$495))-(ROW('CASE MASTER'!#REF!)-1)))-INDEX('CASE MASTER'!$AB$2:$AB$495,(SUMPRODUCT((('CASE MASTER'!$T$2:$T$495=12)*('CASE MASTER'!$AA$2:$AA$495&lt;=8)*('CASE MASTER'!$AC$2:$AC$495&gt;=8)*('CASE MASTER'!$AB$2:$AB$495&lt;=2)*('CASE MASTER'!$AD$2:$AD$495&gt;=2))*ROW('CASE MASTER'!$T$2:$T$495))-(ROW('CASE MASTER'!#REF!)-1)))+1)+(2-INDEX('CASE MASTER'!$AB$2:$AB$495,(SUMPRODUCT((('CASE MASTER'!$T$2:$T$495=12)*('CASE MASTER'!$AA$2:$AA$495&lt;=8)*('CASE MASTER'!$AC$2:$AC$495&gt;=8)*('CASE MASTER'!$AB$2:$AB$495&lt;=2)*('CASE MASTER'!$AD$2:$AD$495&gt;=2))*ROW('CASE MASTER'!$T$2:$T$495))-(ROW('CASE MASTER'!#REF!)-1))))+1)))-1)*50+1,50))&amp;"_"&amp;INDEX('CASE MASTER'!$Q$2:$Q$495,(SUMPRODUCT((('CASE MASTER'!$T$2:$T$495=12)*('CASE MASTER'!$AA$2:$AA$495&lt;=8)*('CASE MASTER'!$AC$2:$AC$495&gt;=8)*('CASE MASTER'!$AB$2:$AB$495&lt;=2)*('CASE MASTER'!$AD$2:$AD$495&gt;=2))*ROW('CASE MASTER'!$T$2:$T$495))-(ROW('CASE MASTER'!#REF!)-1))),"")),"")</f>
        <v/>
      </c>
      <c r="D164" s="10" t="str">
        <f>IFERROR(IF(SUMPRODUCT((('CASE MASTER'!$T$2:$T$495=12)*('CASE MASTER'!$U$2:$U$495&lt;=8)*('CASE MASTER'!$W$2:$W$495&gt;=8)*('CASE MASTER'!$V$2:$V$495&lt;=3)*('CASE MASTER'!$X$2:$X$495&gt;=3))*ROW('CASE MASTER'!$T$2:$T$495))&gt;0,INDEX('CASE MASTER'!$Y$2:$Y$495,(SUMPRODUCT((('CASE MASTER'!$T$2:$T$495=12)*('CASE MASTER'!$U$2:$U$495&lt;=8)*('CASE MASTER'!$W$2:$W$495&gt;=8)*('CASE MASTER'!$V$2:$V$495&lt;=3)*('CASE MASTER'!$X$2:$X$495&gt;=3))*ROW('CASE MASTER'!$T$2:$T$495))-(ROW('CASE MASTER'!#REF!)-1)))&amp;TRIM(MID(SUBSTITUTE(SUBSTITUTE(INDEX('CASE MASTER'!$N$2:$N$495,(SUMPRODUCT((('CASE MASTER'!$T$2:$T$495=12)*('CASE MASTER'!$U$2:$U$495&lt;=8)*('CASE MASTER'!$W$2:$W$495&gt;=8)*('CASE MASTER'!$V$2:$V$495&lt;=3)*('CASE MASTER'!$X$2:$X$495&gt;=3))*ROW('CASE MASTER'!$T$2:$T$495))-(ROW('CASE MASTER'!#REF!)-1))),":",","),",",REPT(" ",50)),((((8-INDEX('CASE MASTER'!$U$2:$U$495,(SUMPRODUCT((('CASE MASTER'!$T$2:$T$495=12)*('CASE MASTER'!$U$2:$U$495&lt;=8)*('CASE MASTER'!$W$2:$W$495&gt;=8)*('CASE MASTER'!$V$2:$V$495&lt;=3)*('CASE MASTER'!$X$2:$X$495&gt;=3))*ROW('CASE MASTER'!$T$2:$T$495))-(ROW('CASE MASTER'!#REF!)-1))))*(INDEX('CASE MASTER'!$X$2:$X$495,(SUMPRODUCT((('CASE MASTER'!$T$2:$T$495=12)*('CASE MASTER'!$U$2:$U$495&lt;=8)*('CASE MASTER'!$W$2:$W$495&gt;=8)*('CASE MASTER'!$V$2:$V$495&lt;=3)*('CASE MASTER'!$X$2:$X$495&gt;=3))*ROW('CASE MASTER'!$T$2:$T$495))-(ROW('CASE MASTER'!#REF!)-1)))-INDEX('CASE MASTER'!$V$2:$V$495,(SUMPRODUCT((('CASE MASTER'!$T$2:$T$495=12)*('CASE MASTER'!$U$2:$U$495&lt;=8)*('CASE MASTER'!$W$2:$W$495&gt;=8)*('CASE MASTER'!$V$2:$V$495&lt;=3)*('CASE MASTER'!$X$2:$X$495&gt;=3))*ROW('CASE MASTER'!$T$2:$T$495))-(ROW('CASE MASTER'!#REF!)-1)))+1)+(3-INDEX('CASE MASTER'!$V$2:$V$495,(SUMPRODUCT((('CASE MASTER'!$T$2:$T$495=12)*('CASE MASTER'!$U$2:$U$495&lt;=8)*('CASE MASTER'!$W$2:$W$495&gt;=8)*('CASE MASTER'!$V$2:$V$495&lt;=3)*('CASE MASTER'!$X$2:$X$495&gt;=3))*ROW('CASE MASTER'!$T$2:$T$495))-(ROW('CASE MASTER'!#REF!)-1))))+1))-1)*50+1,50))&amp;"_"&amp;INDEX('CASE MASTER'!$Q$2:$Q$495,(SUMPRODUCT((('CASE MASTER'!$T$2:$T$495=12)*('CASE MASTER'!$U$2:$U$495&lt;=8)*('CASE MASTER'!$W$2:$W$495&gt;=8)*('CASE MASTER'!$V$2:$V$495&lt;=3)*('CASE MASTER'!$X$2:$X$495&gt;=3))*ROW('CASE MASTER'!$T$2:$T$495))-(ROW('CASE MASTER'!#REF!)-1))),IF(SUMPRODUCT((('CASE MASTER'!$T$2:$T$495=12)*('CASE MASTER'!$AA$2:$AA$495&lt;=8)*('CASE MASTER'!$AC$2:$AC$495&gt;=8)*('CASE MASTER'!$AB$2:$AB$495&lt;=3)*('CASE MASTER'!$AD$2:$AD$495&gt;=3))*ROW('CASE MASTER'!$T$2:$T$495))&gt;0,INDEX('CASE MASTER'!$Y$2:$Y$495,(SUMPRODUCT((('CASE MASTER'!$T$2:$T$495=12)*('CASE MASTER'!$AA$2:$AA$495&lt;=8)*('CASE MASTER'!$AC$2:$AC$495&gt;=8)*('CASE MASTER'!$AB$2:$AB$495&lt;=3)*('CASE MASTER'!$AD$2:$AD$495&gt;=3))*ROW('CASE MASTER'!$T$2:$T$495))-(ROW('CASE MASTER'!#REF!)-1)))&amp;TRIM(MID(SUBSTITUTE(SUBSTITUTE(INDEX('CASE MASTER'!$N$2:$N$495,(SUMPRODUCT((('CASE MASTER'!$T$2:$T$495=12)*('CASE MASTER'!$AA$2:$AA$495&lt;=8)*('CASE MASTER'!$AC$2:$AC$495&gt;=8)*('CASE MASTER'!$AB$2:$AB$495&lt;=3)*('CASE MASTER'!$AD$2:$AD$495&gt;=3))*ROW('CASE MASTER'!$T$2:$T$495))-(ROW('CASE MASTER'!#REF!)-1))),":",","),",",REPT(" ",50)),(((INDEX('CASE MASTER'!$Z$2:$Z$495,(SUMPRODUCT((('CASE MASTER'!$T$2:$T$495=12)*('CASE MASTER'!$AA$2:$AA$495&lt;=8)*('CASE MASTER'!$AC$2:$AC$495&gt;=8)*('CASE MASTER'!$AB$2:$AB$495&lt;=3)*('CASE MASTER'!$AD$2:$AD$495&gt;=3))*ROW('CASE MASTER'!$T$2:$T$495))-(ROW('CASE MASTER'!#REF!)-1)))+((8-INDEX('CASE MASTER'!$AA$2:$AA$495,(SUMPRODUCT((('CASE MASTER'!$T$2:$T$495=12)*('CASE MASTER'!$AA$2:$AA$495&lt;=8)*('CASE MASTER'!$AC$2:$AC$495&gt;=8)*('CASE MASTER'!$AB$2:$AB$495&lt;=3)*('CASE MASTER'!$AD$2:$AD$495&gt;=3))*ROW('CASE MASTER'!$T$2:$T$495))-(ROW('CASE MASTER'!#REF!)-1))))*(INDEX('CASE MASTER'!$AD$2:$AD$495,(SUMPRODUCT((('CASE MASTER'!$T$2:$T$495=12)*('CASE MASTER'!$AA$2:$AA$495&lt;=8)*('CASE MASTER'!$AC$2:$AC$495&gt;=8)*('CASE MASTER'!$AB$2:$AB$495&lt;=3)*('CASE MASTER'!$AD$2:$AD$495&gt;=3))*ROW('CASE MASTER'!$T$2:$T$495))-(ROW('CASE MASTER'!#REF!)-1)))-INDEX('CASE MASTER'!$AB$2:$AB$495,(SUMPRODUCT((('CASE MASTER'!$T$2:$T$495=12)*('CASE MASTER'!$AA$2:$AA$495&lt;=8)*('CASE MASTER'!$AC$2:$AC$495&gt;=8)*('CASE MASTER'!$AB$2:$AB$495&lt;=3)*('CASE MASTER'!$AD$2:$AD$495&gt;=3))*ROW('CASE MASTER'!$T$2:$T$495))-(ROW('CASE MASTER'!#REF!)-1)))+1)+(3-INDEX('CASE MASTER'!$AB$2:$AB$495,(SUMPRODUCT((('CASE MASTER'!$T$2:$T$495=12)*('CASE MASTER'!$AA$2:$AA$495&lt;=8)*('CASE MASTER'!$AC$2:$AC$495&gt;=8)*('CASE MASTER'!$AB$2:$AB$495&lt;=3)*('CASE MASTER'!$AD$2:$AD$495&gt;=3))*ROW('CASE MASTER'!$T$2:$T$495))-(ROW('CASE MASTER'!#REF!)-1))))+1)))-1)*50+1,50))&amp;"_"&amp;INDEX('CASE MASTER'!$Q$2:$Q$495,(SUMPRODUCT((('CASE MASTER'!$T$2:$T$495=12)*('CASE MASTER'!$AA$2:$AA$495&lt;=8)*('CASE MASTER'!$AC$2:$AC$495&gt;=8)*('CASE MASTER'!$AB$2:$AB$495&lt;=3)*('CASE MASTER'!$AD$2:$AD$495&gt;=3))*ROW('CASE MASTER'!$T$2:$T$495))-(ROW('CASE MASTER'!#REF!)-1))),"")),"")</f>
        <v/>
      </c>
      <c r="E164" s="10" t="str">
        <f>IFERROR(IF(SUMPRODUCT((('CASE MASTER'!$T$2:$T$495=12)*('CASE MASTER'!$U$2:$U$495&lt;=8)*('CASE MASTER'!$W$2:$W$495&gt;=8)*('CASE MASTER'!$V$2:$V$495&lt;=4)*('CASE MASTER'!$X$2:$X$495&gt;=4))*ROW('CASE MASTER'!$T$2:$T$495))&gt;0,INDEX('CASE MASTER'!$Y$2:$Y$495,(SUMPRODUCT((('CASE MASTER'!$T$2:$T$495=12)*('CASE MASTER'!$U$2:$U$495&lt;=8)*('CASE MASTER'!$W$2:$W$495&gt;=8)*('CASE MASTER'!$V$2:$V$495&lt;=4)*('CASE MASTER'!$X$2:$X$495&gt;=4))*ROW('CASE MASTER'!$T$2:$T$495))-(ROW('CASE MASTER'!#REF!)-1)))&amp;TRIM(MID(SUBSTITUTE(SUBSTITUTE(INDEX('CASE MASTER'!$N$2:$N$495,(SUMPRODUCT((('CASE MASTER'!$T$2:$T$495=12)*('CASE MASTER'!$U$2:$U$495&lt;=8)*('CASE MASTER'!$W$2:$W$495&gt;=8)*('CASE MASTER'!$V$2:$V$495&lt;=4)*('CASE MASTER'!$X$2:$X$495&gt;=4))*ROW('CASE MASTER'!$T$2:$T$495))-(ROW('CASE MASTER'!#REF!)-1))),":",","),",",REPT(" ",50)),((((8-INDEX('CASE MASTER'!$U$2:$U$495,(SUMPRODUCT((('CASE MASTER'!$T$2:$T$495=12)*('CASE MASTER'!$U$2:$U$495&lt;=8)*('CASE MASTER'!$W$2:$W$495&gt;=8)*('CASE MASTER'!$V$2:$V$495&lt;=4)*('CASE MASTER'!$X$2:$X$495&gt;=4))*ROW('CASE MASTER'!$T$2:$T$495))-(ROW('CASE MASTER'!#REF!)-1))))*(INDEX('CASE MASTER'!$X$2:$X$495,(SUMPRODUCT((('CASE MASTER'!$T$2:$T$495=12)*('CASE MASTER'!$U$2:$U$495&lt;=8)*('CASE MASTER'!$W$2:$W$495&gt;=8)*('CASE MASTER'!$V$2:$V$495&lt;=4)*('CASE MASTER'!$X$2:$X$495&gt;=4))*ROW('CASE MASTER'!$T$2:$T$495))-(ROW('CASE MASTER'!#REF!)-1)))-INDEX('CASE MASTER'!$V$2:$V$495,(SUMPRODUCT((('CASE MASTER'!$T$2:$T$495=12)*('CASE MASTER'!$U$2:$U$495&lt;=8)*('CASE MASTER'!$W$2:$W$495&gt;=8)*('CASE MASTER'!$V$2:$V$495&lt;=4)*('CASE MASTER'!$X$2:$X$495&gt;=4))*ROW('CASE MASTER'!$T$2:$T$495))-(ROW('CASE MASTER'!#REF!)-1)))+1)+(4-INDEX('CASE MASTER'!$V$2:$V$495,(SUMPRODUCT((('CASE MASTER'!$T$2:$T$495=12)*('CASE MASTER'!$U$2:$U$495&lt;=8)*('CASE MASTER'!$W$2:$W$495&gt;=8)*('CASE MASTER'!$V$2:$V$495&lt;=4)*('CASE MASTER'!$X$2:$X$495&gt;=4))*ROW('CASE MASTER'!$T$2:$T$495))-(ROW('CASE MASTER'!#REF!)-1))))+1))-1)*50+1,50))&amp;"_"&amp;INDEX('CASE MASTER'!$Q$2:$Q$495,(SUMPRODUCT((('CASE MASTER'!$T$2:$T$495=12)*('CASE MASTER'!$U$2:$U$495&lt;=8)*('CASE MASTER'!$W$2:$W$495&gt;=8)*('CASE MASTER'!$V$2:$V$495&lt;=4)*('CASE MASTER'!$X$2:$X$495&gt;=4))*ROW('CASE MASTER'!$T$2:$T$495))-(ROW('CASE MASTER'!#REF!)-1))),IF(SUMPRODUCT((('CASE MASTER'!$T$2:$T$495=12)*('CASE MASTER'!$AA$2:$AA$495&lt;=8)*('CASE MASTER'!$AC$2:$AC$495&gt;=8)*('CASE MASTER'!$AB$2:$AB$495&lt;=4)*('CASE MASTER'!$AD$2:$AD$495&gt;=4))*ROW('CASE MASTER'!$T$2:$T$495))&gt;0,INDEX('CASE MASTER'!$Y$2:$Y$495,(SUMPRODUCT((('CASE MASTER'!$T$2:$T$495=12)*('CASE MASTER'!$AA$2:$AA$495&lt;=8)*('CASE MASTER'!$AC$2:$AC$495&gt;=8)*('CASE MASTER'!$AB$2:$AB$495&lt;=4)*('CASE MASTER'!$AD$2:$AD$495&gt;=4))*ROW('CASE MASTER'!$T$2:$T$495))-(ROW('CASE MASTER'!#REF!)-1)))&amp;TRIM(MID(SUBSTITUTE(SUBSTITUTE(INDEX('CASE MASTER'!$N$2:$N$495,(SUMPRODUCT((('CASE MASTER'!$T$2:$T$495=12)*('CASE MASTER'!$AA$2:$AA$495&lt;=8)*('CASE MASTER'!$AC$2:$AC$495&gt;=8)*('CASE MASTER'!$AB$2:$AB$495&lt;=4)*('CASE MASTER'!$AD$2:$AD$495&gt;=4))*ROW('CASE MASTER'!$T$2:$T$495))-(ROW('CASE MASTER'!#REF!)-1))),":",","),",",REPT(" ",50)),(((INDEX('CASE MASTER'!$Z$2:$Z$495,(SUMPRODUCT((('CASE MASTER'!$T$2:$T$495=12)*('CASE MASTER'!$AA$2:$AA$495&lt;=8)*('CASE MASTER'!$AC$2:$AC$495&gt;=8)*('CASE MASTER'!$AB$2:$AB$495&lt;=4)*('CASE MASTER'!$AD$2:$AD$495&gt;=4))*ROW('CASE MASTER'!$T$2:$T$495))-(ROW('CASE MASTER'!#REF!)-1)))+((8-INDEX('CASE MASTER'!$AA$2:$AA$495,(SUMPRODUCT((('CASE MASTER'!$T$2:$T$495=12)*('CASE MASTER'!$AA$2:$AA$495&lt;=8)*('CASE MASTER'!$AC$2:$AC$495&gt;=8)*('CASE MASTER'!$AB$2:$AB$495&lt;=4)*('CASE MASTER'!$AD$2:$AD$495&gt;=4))*ROW('CASE MASTER'!$T$2:$T$495))-(ROW('CASE MASTER'!#REF!)-1))))*(INDEX('CASE MASTER'!$AD$2:$AD$495,(SUMPRODUCT((('CASE MASTER'!$T$2:$T$495=12)*('CASE MASTER'!$AA$2:$AA$495&lt;=8)*('CASE MASTER'!$AC$2:$AC$495&gt;=8)*('CASE MASTER'!$AB$2:$AB$495&lt;=4)*('CASE MASTER'!$AD$2:$AD$495&gt;=4))*ROW('CASE MASTER'!$T$2:$T$495))-(ROW('CASE MASTER'!#REF!)-1)))-INDEX('CASE MASTER'!$AB$2:$AB$495,(SUMPRODUCT((('CASE MASTER'!$T$2:$T$495=12)*('CASE MASTER'!$AA$2:$AA$495&lt;=8)*('CASE MASTER'!$AC$2:$AC$495&gt;=8)*('CASE MASTER'!$AB$2:$AB$495&lt;=4)*('CASE MASTER'!$AD$2:$AD$495&gt;=4))*ROW('CASE MASTER'!$T$2:$T$495))-(ROW('CASE MASTER'!#REF!)-1)))+1)+(4-INDEX('CASE MASTER'!$AB$2:$AB$495,(SUMPRODUCT((('CASE MASTER'!$T$2:$T$495=12)*('CASE MASTER'!$AA$2:$AA$495&lt;=8)*('CASE MASTER'!$AC$2:$AC$495&gt;=8)*('CASE MASTER'!$AB$2:$AB$495&lt;=4)*('CASE MASTER'!$AD$2:$AD$495&gt;=4))*ROW('CASE MASTER'!$T$2:$T$495))-(ROW('CASE MASTER'!#REF!)-1))))+1)))-1)*50+1,50))&amp;"_"&amp;INDEX('CASE MASTER'!$Q$2:$Q$495,(SUMPRODUCT((('CASE MASTER'!$T$2:$T$495=12)*('CASE MASTER'!$AA$2:$AA$495&lt;=8)*('CASE MASTER'!$AC$2:$AC$495&gt;=8)*('CASE MASTER'!$AB$2:$AB$495&lt;=4)*('CASE MASTER'!$AD$2:$AD$495&gt;=4))*ROW('CASE MASTER'!$T$2:$T$495))-(ROW('CASE MASTER'!#REF!)-1))),"")),"")</f>
        <v/>
      </c>
      <c r="F164" s="10" t="str">
        <f>IFERROR(IF(SUMPRODUCT((('CASE MASTER'!$T$2:$T$495=12)*('CASE MASTER'!$U$2:$U$495&lt;=8)*('CASE MASTER'!$W$2:$W$495&gt;=8)*('CASE MASTER'!$V$2:$V$495&lt;=5)*('CASE MASTER'!$X$2:$X$495&gt;=5))*ROW('CASE MASTER'!$T$2:$T$495))&gt;0,INDEX('CASE MASTER'!$Y$2:$Y$495,(SUMPRODUCT((('CASE MASTER'!$T$2:$T$495=12)*('CASE MASTER'!$U$2:$U$495&lt;=8)*('CASE MASTER'!$W$2:$W$495&gt;=8)*('CASE MASTER'!$V$2:$V$495&lt;=5)*('CASE MASTER'!$X$2:$X$495&gt;=5))*ROW('CASE MASTER'!$T$2:$T$495))-(ROW('CASE MASTER'!#REF!)-1)))&amp;TRIM(MID(SUBSTITUTE(SUBSTITUTE(INDEX('CASE MASTER'!$N$2:$N$495,(SUMPRODUCT((('CASE MASTER'!$T$2:$T$495=12)*('CASE MASTER'!$U$2:$U$495&lt;=8)*('CASE MASTER'!$W$2:$W$495&gt;=8)*('CASE MASTER'!$V$2:$V$495&lt;=5)*('CASE MASTER'!$X$2:$X$495&gt;=5))*ROW('CASE MASTER'!$T$2:$T$495))-(ROW('CASE MASTER'!#REF!)-1))),":",","),",",REPT(" ",50)),((((8-INDEX('CASE MASTER'!$U$2:$U$495,(SUMPRODUCT((('CASE MASTER'!$T$2:$T$495=12)*('CASE MASTER'!$U$2:$U$495&lt;=8)*('CASE MASTER'!$W$2:$W$495&gt;=8)*('CASE MASTER'!$V$2:$V$495&lt;=5)*('CASE MASTER'!$X$2:$X$495&gt;=5))*ROW('CASE MASTER'!$T$2:$T$495))-(ROW('CASE MASTER'!#REF!)-1))))*(INDEX('CASE MASTER'!$X$2:$X$495,(SUMPRODUCT((('CASE MASTER'!$T$2:$T$495=12)*('CASE MASTER'!$U$2:$U$495&lt;=8)*('CASE MASTER'!$W$2:$W$495&gt;=8)*('CASE MASTER'!$V$2:$V$495&lt;=5)*('CASE MASTER'!$X$2:$X$495&gt;=5))*ROW('CASE MASTER'!$T$2:$T$495))-(ROW('CASE MASTER'!#REF!)-1)))-INDEX('CASE MASTER'!$V$2:$V$495,(SUMPRODUCT((('CASE MASTER'!$T$2:$T$495=12)*('CASE MASTER'!$U$2:$U$495&lt;=8)*('CASE MASTER'!$W$2:$W$495&gt;=8)*('CASE MASTER'!$V$2:$V$495&lt;=5)*('CASE MASTER'!$X$2:$X$495&gt;=5))*ROW('CASE MASTER'!$T$2:$T$495))-(ROW('CASE MASTER'!#REF!)-1)))+1)+(5-INDEX('CASE MASTER'!$V$2:$V$495,(SUMPRODUCT((('CASE MASTER'!$T$2:$T$495=12)*('CASE MASTER'!$U$2:$U$495&lt;=8)*('CASE MASTER'!$W$2:$W$495&gt;=8)*('CASE MASTER'!$V$2:$V$495&lt;=5)*('CASE MASTER'!$X$2:$X$495&gt;=5))*ROW('CASE MASTER'!$T$2:$T$495))-(ROW('CASE MASTER'!#REF!)-1))))+1))-1)*50+1,50))&amp;"_"&amp;INDEX('CASE MASTER'!$Q$2:$Q$495,(SUMPRODUCT((('CASE MASTER'!$T$2:$T$495=12)*('CASE MASTER'!$U$2:$U$495&lt;=8)*('CASE MASTER'!$W$2:$W$495&gt;=8)*('CASE MASTER'!$V$2:$V$495&lt;=5)*('CASE MASTER'!$X$2:$X$495&gt;=5))*ROW('CASE MASTER'!$T$2:$T$495))-(ROW('CASE MASTER'!#REF!)-1))),IF(SUMPRODUCT((('CASE MASTER'!$T$2:$T$495=12)*('CASE MASTER'!$AA$2:$AA$495&lt;=8)*('CASE MASTER'!$AC$2:$AC$495&gt;=8)*('CASE MASTER'!$AB$2:$AB$495&lt;=5)*('CASE MASTER'!$AD$2:$AD$495&gt;=5))*ROW('CASE MASTER'!$T$2:$T$495))&gt;0,INDEX('CASE MASTER'!$Y$2:$Y$495,(SUMPRODUCT((('CASE MASTER'!$T$2:$T$495=12)*('CASE MASTER'!$AA$2:$AA$495&lt;=8)*('CASE MASTER'!$AC$2:$AC$495&gt;=8)*('CASE MASTER'!$AB$2:$AB$495&lt;=5)*('CASE MASTER'!$AD$2:$AD$495&gt;=5))*ROW('CASE MASTER'!$T$2:$T$495))-(ROW('CASE MASTER'!#REF!)-1)))&amp;TRIM(MID(SUBSTITUTE(SUBSTITUTE(INDEX('CASE MASTER'!$N$2:$N$495,(SUMPRODUCT((('CASE MASTER'!$T$2:$T$495=12)*('CASE MASTER'!$AA$2:$AA$495&lt;=8)*('CASE MASTER'!$AC$2:$AC$495&gt;=8)*('CASE MASTER'!$AB$2:$AB$495&lt;=5)*('CASE MASTER'!$AD$2:$AD$495&gt;=5))*ROW('CASE MASTER'!$T$2:$T$495))-(ROW('CASE MASTER'!#REF!)-1))),":",","),",",REPT(" ",50)),(((INDEX('CASE MASTER'!$Z$2:$Z$495,(SUMPRODUCT((('CASE MASTER'!$T$2:$T$495=12)*('CASE MASTER'!$AA$2:$AA$495&lt;=8)*('CASE MASTER'!$AC$2:$AC$495&gt;=8)*('CASE MASTER'!$AB$2:$AB$495&lt;=5)*('CASE MASTER'!$AD$2:$AD$495&gt;=5))*ROW('CASE MASTER'!$T$2:$T$495))-(ROW('CASE MASTER'!#REF!)-1)))+((8-INDEX('CASE MASTER'!$AA$2:$AA$495,(SUMPRODUCT((('CASE MASTER'!$T$2:$T$495=12)*('CASE MASTER'!$AA$2:$AA$495&lt;=8)*('CASE MASTER'!$AC$2:$AC$495&gt;=8)*('CASE MASTER'!$AB$2:$AB$495&lt;=5)*('CASE MASTER'!$AD$2:$AD$495&gt;=5))*ROW('CASE MASTER'!$T$2:$T$495))-(ROW('CASE MASTER'!#REF!)-1))))*(INDEX('CASE MASTER'!$AD$2:$AD$495,(SUMPRODUCT((('CASE MASTER'!$T$2:$T$495=12)*('CASE MASTER'!$AA$2:$AA$495&lt;=8)*('CASE MASTER'!$AC$2:$AC$495&gt;=8)*('CASE MASTER'!$AB$2:$AB$495&lt;=5)*('CASE MASTER'!$AD$2:$AD$495&gt;=5))*ROW('CASE MASTER'!$T$2:$T$495))-(ROW('CASE MASTER'!#REF!)-1)))-INDEX('CASE MASTER'!$AB$2:$AB$495,(SUMPRODUCT((('CASE MASTER'!$T$2:$T$495=12)*('CASE MASTER'!$AA$2:$AA$495&lt;=8)*('CASE MASTER'!$AC$2:$AC$495&gt;=8)*('CASE MASTER'!$AB$2:$AB$495&lt;=5)*('CASE MASTER'!$AD$2:$AD$495&gt;=5))*ROW('CASE MASTER'!$T$2:$T$495))-(ROW('CASE MASTER'!#REF!)-1)))+1)+(5-INDEX('CASE MASTER'!$AB$2:$AB$495,(SUMPRODUCT((('CASE MASTER'!$T$2:$T$495=12)*('CASE MASTER'!$AA$2:$AA$495&lt;=8)*('CASE MASTER'!$AC$2:$AC$495&gt;=8)*('CASE MASTER'!$AB$2:$AB$495&lt;=5)*('CASE MASTER'!$AD$2:$AD$495&gt;=5))*ROW('CASE MASTER'!$T$2:$T$495))-(ROW('CASE MASTER'!#REF!)-1))))+1)))-1)*50+1,50))&amp;"_"&amp;INDEX('CASE MASTER'!$Q$2:$Q$495,(SUMPRODUCT((('CASE MASTER'!$T$2:$T$495=12)*('CASE MASTER'!$AA$2:$AA$495&lt;=8)*('CASE MASTER'!$AC$2:$AC$495&gt;=8)*('CASE MASTER'!$AB$2:$AB$495&lt;=5)*('CASE MASTER'!$AD$2:$AD$495&gt;=5))*ROW('CASE MASTER'!$T$2:$T$495))-(ROW('CASE MASTER'!#REF!)-1))),"")),"")</f>
        <v/>
      </c>
      <c r="G164" s="10" t="str">
        <f>IFERROR(IF(SUMPRODUCT((('CASE MASTER'!$T$2:$T$495=12)*('CASE MASTER'!$U$2:$U$495&lt;=8)*('CASE MASTER'!$W$2:$W$495&gt;=8)*('CASE MASTER'!$V$2:$V$495&lt;=6)*('CASE MASTER'!$X$2:$X$495&gt;=6))*ROW('CASE MASTER'!$T$2:$T$495))&gt;0,INDEX('CASE MASTER'!$Y$2:$Y$495,(SUMPRODUCT((('CASE MASTER'!$T$2:$T$495=12)*('CASE MASTER'!$U$2:$U$495&lt;=8)*('CASE MASTER'!$W$2:$W$495&gt;=8)*('CASE MASTER'!$V$2:$V$495&lt;=6)*('CASE MASTER'!$X$2:$X$495&gt;=6))*ROW('CASE MASTER'!$T$2:$T$495))-(ROW('CASE MASTER'!#REF!)-1)))&amp;TRIM(MID(SUBSTITUTE(SUBSTITUTE(INDEX('CASE MASTER'!$N$2:$N$495,(SUMPRODUCT((('CASE MASTER'!$T$2:$T$495=12)*('CASE MASTER'!$U$2:$U$495&lt;=8)*('CASE MASTER'!$W$2:$W$495&gt;=8)*('CASE MASTER'!$V$2:$V$495&lt;=6)*('CASE MASTER'!$X$2:$X$495&gt;=6))*ROW('CASE MASTER'!$T$2:$T$495))-(ROW('CASE MASTER'!#REF!)-1))),":",","),",",REPT(" ",50)),((((8-INDEX('CASE MASTER'!$U$2:$U$495,(SUMPRODUCT((('CASE MASTER'!$T$2:$T$495=12)*('CASE MASTER'!$U$2:$U$495&lt;=8)*('CASE MASTER'!$W$2:$W$495&gt;=8)*('CASE MASTER'!$V$2:$V$495&lt;=6)*('CASE MASTER'!$X$2:$X$495&gt;=6))*ROW('CASE MASTER'!$T$2:$T$495))-(ROW('CASE MASTER'!#REF!)-1))))*(INDEX('CASE MASTER'!$X$2:$X$495,(SUMPRODUCT((('CASE MASTER'!$T$2:$T$495=12)*('CASE MASTER'!$U$2:$U$495&lt;=8)*('CASE MASTER'!$W$2:$W$495&gt;=8)*('CASE MASTER'!$V$2:$V$495&lt;=6)*('CASE MASTER'!$X$2:$X$495&gt;=6))*ROW('CASE MASTER'!$T$2:$T$495))-(ROW('CASE MASTER'!#REF!)-1)))-INDEX('CASE MASTER'!$V$2:$V$495,(SUMPRODUCT((('CASE MASTER'!$T$2:$T$495=12)*('CASE MASTER'!$U$2:$U$495&lt;=8)*('CASE MASTER'!$W$2:$W$495&gt;=8)*('CASE MASTER'!$V$2:$V$495&lt;=6)*('CASE MASTER'!$X$2:$X$495&gt;=6))*ROW('CASE MASTER'!$T$2:$T$495))-(ROW('CASE MASTER'!#REF!)-1)))+1)+(6-INDEX('CASE MASTER'!$V$2:$V$495,(SUMPRODUCT((('CASE MASTER'!$T$2:$T$495=12)*('CASE MASTER'!$U$2:$U$495&lt;=8)*('CASE MASTER'!$W$2:$W$495&gt;=8)*('CASE MASTER'!$V$2:$V$495&lt;=6)*('CASE MASTER'!$X$2:$X$495&gt;=6))*ROW('CASE MASTER'!$T$2:$T$495))-(ROW('CASE MASTER'!#REF!)-1))))+1))-1)*50+1,50))&amp;"_"&amp;INDEX('CASE MASTER'!$Q$2:$Q$495,(SUMPRODUCT((('CASE MASTER'!$T$2:$T$495=12)*('CASE MASTER'!$U$2:$U$495&lt;=8)*('CASE MASTER'!$W$2:$W$495&gt;=8)*('CASE MASTER'!$V$2:$V$495&lt;=6)*('CASE MASTER'!$X$2:$X$495&gt;=6))*ROW('CASE MASTER'!$T$2:$T$495))-(ROW('CASE MASTER'!#REF!)-1))),IF(SUMPRODUCT((('CASE MASTER'!$T$2:$T$495=12)*('CASE MASTER'!$AA$2:$AA$495&lt;=8)*('CASE MASTER'!$AC$2:$AC$495&gt;=8)*('CASE MASTER'!$AB$2:$AB$495&lt;=6)*('CASE MASTER'!$AD$2:$AD$495&gt;=6))*ROW('CASE MASTER'!$T$2:$T$495))&gt;0,INDEX('CASE MASTER'!$Y$2:$Y$495,(SUMPRODUCT((('CASE MASTER'!$T$2:$T$495=12)*('CASE MASTER'!$AA$2:$AA$495&lt;=8)*('CASE MASTER'!$AC$2:$AC$495&gt;=8)*('CASE MASTER'!$AB$2:$AB$495&lt;=6)*('CASE MASTER'!$AD$2:$AD$495&gt;=6))*ROW('CASE MASTER'!$T$2:$T$495))-(ROW('CASE MASTER'!#REF!)-1)))&amp;TRIM(MID(SUBSTITUTE(SUBSTITUTE(INDEX('CASE MASTER'!$N$2:$N$495,(SUMPRODUCT((('CASE MASTER'!$T$2:$T$495=12)*('CASE MASTER'!$AA$2:$AA$495&lt;=8)*('CASE MASTER'!$AC$2:$AC$495&gt;=8)*('CASE MASTER'!$AB$2:$AB$495&lt;=6)*('CASE MASTER'!$AD$2:$AD$495&gt;=6))*ROW('CASE MASTER'!$T$2:$T$495))-(ROW('CASE MASTER'!#REF!)-1))),":",","),",",REPT(" ",50)),(((INDEX('CASE MASTER'!$Z$2:$Z$495,(SUMPRODUCT((('CASE MASTER'!$T$2:$T$495=12)*('CASE MASTER'!$AA$2:$AA$495&lt;=8)*('CASE MASTER'!$AC$2:$AC$495&gt;=8)*('CASE MASTER'!$AB$2:$AB$495&lt;=6)*('CASE MASTER'!$AD$2:$AD$495&gt;=6))*ROW('CASE MASTER'!$T$2:$T$495))-(ROW('CASE MASTER'!#REF!)-1)))+((8-INDEX('CASE MASTER'!$AA$2:$AA$495,(SUMPRODUCT((('CASE MASTER'!$T$2:$T$495=12)*('CASE MASTER'!$AA$2:$AA$495&lt;=8)*('CASE MASTER'!$AC$2:$AC$495&gt;=8)*('CASE MASTER'!$AB$2:$AB$495&lt;=6)*('CASE MASTER'!$AD$2:$AD$495&gt;=6))*ROW('CASE MASTER'!$T$2:$T$495))-(ROW('CASE MASTER'!#REF!)-1))))*(INDEX('CASE MASTER'!$AD$2:$AD$495,(SUMPRODUCT((('CASE MASTER'!$T$2:$T$495=12)*('CASE MASTER'!$AA$2:$AA$495&lt;=8)*('CASE MASTER'!$AC$2:$AC$495&gt;=8)*('CASE MASTER'!$AB$2:$AB$495&lt;=6)*('CASE MASTER'!$AD$2:$AD$495&gt;=6))*ROW('CASE MASTER'!$T$2:$T$495))-(ROW('CASE MASTER'!#REF!)-1)))-INDEX('CASE MASTER'!$AB$2:$AB$495,(SUMPRODUCT((('CASE MASTER'!$T$2:$T$495=12)*('CASE MASTER'!$AA$2:$AA$495&lt;=8)*('CASE MASTER'!$AC$2:$AC$495&gt;=8)*('CASE MASTER'!$AB$2:$AB$495&lt;=6)*('CASE MASTER'!$AD$2:$AD$495&gt;=6))*ROW('CASE MASTER'!$T$2:$T$495))-(ROW('CASE MASTER'!#REF!)-1)))+1)+(6-INDEX('CASE MASTER'!$AB$2:$AB$495,(SUMPRODUCT((('CASE MASTER'!$T$2:$T$495=12)*('CASE MASTER'!$AA$2:$AA$495&lt;=8)*('CASE MASTER'!$AC$2:$AC$495&gt;=8)*('CASE MASTER'!$AB$2:$AB$495&lt;=6)*('CASE MASTER'!$AD$2:$AD$495&gt;=6))*ROW('CASE MASTER'!$T$2:$T$495))-(ROW('CASE MASTER'!#REF!)-1))))+1)))-1)*50+1,50))&amp;"_"&amp;INDEX('CASE MASTER'!$Q$2:$Q$495,(SUMPRODUCT((('CASE MASTER'!$T$2:$T$495=12)*('CASE MASTER'!$AA$2:$AA$495&lt;=8)*('CASE MASTER'!$AC$2:$AC$495&gt;=8)*('CASE MASTER'!$AB$2:$AB$495&lt;=6)*('CASE MASTER'!$AD$2:$AD$495&gt;=6))*ROW('CASE MASTER'!$T$2:$T$495))-(ROW('CASE MASTER'!#REF!)-1))),"")),"")</f>
        <v/>
      </c>
      <c r="H164" s="10" t="str">
        <f>IFERROR(IF(SUMPRODUCT((('CASE MASTER'!$T$2:$T$495=12)*('CASE MASTER'!$U$2:$U$495&lt;=8)*('CASE MASTER'!$W$2:$W$495&gt;=8)*('CASE MASTER'!$V$2:$V$495&lt;=7)*('CASE MASTER'!$X$2:$X$495&gt;=7))*ROW('CASE MASTER'!$T$2:$T$495))&gt;0,INDEX('CASE MASTER'!$Y$2:$Y$495,(SUMPRODUCT((('CASE MASTER'!$T$2:$T$495=12)*('CASE MASTER'!$U$2:$U$495&lt;=8)*('CASE MASTER'!$W$2:$W$495&gt;=8)*('CASE MASTER'!$V$2:$V$495&lt;=7)*('CASE MASTER'!$X$2:$X$495&gt;=7))*ROW('CASE MASTER'!$T$2:$T$495))-(ROW('CASE MASTER'!#REF!)-1)))&amp;TRIM(MID(SUBSTITUTE(SUBSTITUTE(INDEX('CASE MASTER'!$N$2:$N$495,(SUMPRODUCT((('CASE MASTER'!$T$2:$T$495=12)*('CASE MASTER'!$U$2:$U$495&lt;=8)*('CASE MASTER'!$W$2:$W$495&gt;=8)*('CASE MASTER'!$V$2:$V$495&lt;=7)*('CASE MASTER'!$X$2:$X$495&gt;=7))*ROW('CASE MASTER'!$T$2:$T$495))-(ROW('CASE MASTER'!#REF!)-1))),":",","),",",REPT(" ",50)),((((8-INDEX('CASE MASTER'!$U$2:$U$495,(SUMPRODUCT((('CASE MASTER'!$T$2:$T$495=12)*('CASE MASTER'!$U$2:$U$495&lt;=8)*('CASE MASTER'!$W$2:$W$495&gt;=8)*('CASE MASTER'!$V$2:$V$495&lt;=7)*('CASE MASTER'!$X$2:$X$495&gt;=7))*ROW('CASE MASTER'!$T$2:$T$495))-(ROW('CASE MASTER'!#REF!)-1))))*(INDEX('CASE MASTER'!$X$2:$X$495,(SUMPRODUCT((('CASE MASTER'!$T$2:$T$495=12)*('CASE MASTER'!$U$2:$U$495&lt;=8)*('CASE MASTER'!$W$2:$W$495&gt;=8)*('CASE MASTER'!$V$2:$V$495&lt;=7)*('CASE MASTER'!$X$2:$X$495&gt;=7))*ROW('CASE MASTER'!$T$2:$T$495))-(ROW('CASE MASTER'!#REF!)-1)))-INDEX('CASE MASTER'!$V$2:$V$495,(SUMPRODUCT((('CASE MASTER'!$T$2:$T$495=12)*('CASE MASTER'!$U$2:$U$495&lt;=8)*('CASE MASTER'!$W$2:$W$495&gt;=8)*('CASE MASTER'!$V$2:$V$495&lt;=7)*('CASE MASTER'!$X$2:$X$495&gt;=7))*ROW('CASE MASTER'!$T$2:$T$495))-(ROW('CASE MASTER'!#REF!)-1)))+1)+(7-INDEX('CASE MASTER'!$V$2:$V$495,(SUMPRODUCT((('CASE MASTER'!$T$2:$T$495=12)*('CASE MASTER'!$U$2:$U$495&lt;=8)*('CASE MASTER'!$W$2:$W$495&gt;=8)*('CASE MASTER'!$V$2:$V$495&lt;=7)*('CASE MASTER'!$X$2:$X$495&gt;=7))*ROW('CASE MASTER'!$T$2:$T$495))-(ROW('CASE MASTER'!#REF!)-1))))+1))-1)*50+1,50))&amp;"_"&amp;INDEX('CASE MASTER'!$Q$2:$Q$495,(SUMPRODUCT((('CASE MASTER'!$T$2:$T$495=12)*('CASE MASTER'!$U$2:$U$495&lt;=8)*('CASE MASTER'!$W$2:$W$495&gt;=8)*('CASE MASTER'!$V$2:$V$495&lt;=7)*('CASE MASTER'!$X$2:$X$495&gt;=7))*ROW('CASE MASTER'!$T$2:$T$495))-(ROW('CASE MASTER'!#REF!)-1))),IF(SUMPRODUCT((('CASE MASTER'!$T$2:$T$495=12)*('CASE MASTER'!$AA$2:$AA$495&lt;=8)*('CASE MASTER'!$AC$2:$AC$495&gt;=8)*('CASE MASTER'!$AB$2:$AB$495&lt;=7)*('CASE MASTER'!$AD$2:$AD$495&gt;=7))*ROW('CASE MASTER'!$T$2:$T$495))&gt;0,INDEX('CASE MASTER'!$Y$2:$Y$495,(SUMPRODUCT((('CASE MASTER'!$T$2:$T$495=12)*('CASE MASTER'!$AA$2:$AA$495&lt;=8)*('CASE MASTER'!$AC$2:$AC$495&gt;=8)*('CASE MASTER'!$AB$2:$AB$495&lt;=7)*('CASE MASTER'!$AD$2:$AD$495&gt;=7))*ROW('CASE MASTER'!$T$2:$T$495))-(ROW('CASE MASTER'!#REF!)-1)))&amp;TRIM(MID(SUBSTITUTE(SUBSTITUTE(INDEX('CASE MASTER'!$N$2:$N$495,(SUMPRODUCT((('CASE MASTER'!$T$2:$T$495=12)*('CASE MASTER'!$AA$2:$AA$495&lt;=8)*('CASE MASTER'!$AC$2:$AC$495&gt;=8)*('CASE MASTER'!$AB$2:$AB$495&lt;=7)*('CASE MASTER'!$AD$2:$AD$495&gt;=7))*ROW('CASE MASTER'!$T$2:$T$495))-(ROW('CASE MASTER'!#REF!)-1))),":",","),",",REPT(" ",50)),(((INDEX('CASE MASTER'!$Z$2:$Z$495,(SUMPRODUCT((('CASE MASTER'!$T$2:$T$495=12)*('CASE MASTER'!$AA$2:$AA$495&lt;=8)*('CASE MASTER'!$AC$2:$AC$495&gt;=8)*('CASE MASTER'!$AB$2:$AB$495&lt;=7)*('CASE MASTER'!$AD$2:$AD$495&gt;=7))*ROW('CASE MASTER'!$T$2:$T$495))-(ROW('CASE MASTER'!#REF!)-1)))+((8-INDEX('CASE MASTER'!$AA$2:$AA$495,(SUMPRODUCT((('CASE MASTER'!$T$2:$T$495=12)*('CASE MASTER'!$AA$2:$AA$495&lt;=8)*('CASE MASTER'!$AC$2:$AC$495&gt;=8)*('CASE MASTER'!$AB$2:$AB$495&lt;=7)*('CASE MASTER'!$AD$2:$AD$495&gt;=7))*ROW('CASE MASTER'!$T$2:$T$495))-(ROW('CASE MASTER'!#REF!)-1))))*(INDEX('CASE MASTER'!$AD$2:$AD$495,(SUMPRODUCT((('CASE MASTER'!$T$2:$T$495=12)*('CASE MASTER'!$AA$2:$AA$495&lt;=8)*('CASE MASTER'!$AC$2:$AC$495&gt;=8)*('CASE MASTER'!$AB$2:$AB$495&lt;=7)*('CASE MASTER'!$AD$2:$AD$495&gt;=7))*ROW('CASE MASTER'!$T$2:$T$495))-(ROW('CASE MASTER'!#REF!)-1)))-INDEX('CASE MASTER'!$AB$2:$AB$495,(SUMPRODUCT((('CASE MASTER'!$T$2:$T$495=12)*('CASE MASTER'!$AA$2:$AA$495&lt;=8)*('CASE MASTER'!$AC$2:$AC$495&gt;=8)*('CASE MASTER'!$AB$2:$AB$495&lt;=7)*('CASE MASTER'!$AD$2:$AD$495&gt;=7))*ROW('CASE MASTER'!$T$2:$T$495))-(ROW('CASE MASTER'!#REF!)-1)))+1)+(7-INDEX('CASE MASTER'!$AB$2:$AB$495,(SUMPRODUCT((('CASE MASTER'!$T$2:$T$495=12)*('CASE MASTER'!$AA$2:$AA$495&lt;=8)*('CASE MASTER'!$AC$2:$AC$495&gt;=8)*('CASE MASTER'!$AB$2:$AB$495&lt;=7)*('CASE MASTER'!$AD$2:$AD$495&gt;=7))*ROW('CASE MASTER'!$T$2:$T$495))-(ROW('CASE MASTER'!#REF!)-1))))+1)))-1)*50+1,50))&amp;"_"&amp;INDEX('CASE MASTER'!$Q$2:$Q$495,(SUMPRODUCT((('CASE MASTER'!$T$2:$T$495=12)*('CASE MASTER'!$AA$2:$AA$495&lt;=8)*('CASE MASTER'!$AC$2:$AC$495&gt;=8)*('CASE MASTER'!$AB$2:$AB$495&lt;=7)*('CASE MASTER'!$AD$2:$AD$495&gt;=7))*ROW('CASE MASTER'!$T$2:$T$495))-(ROW('CASE MASTER'!#REF!)-1))),"")),"")</f>
        <v/>
      </c>
      <c r="I164" s="10" t="str">
        <f>IFERROR(IF(SUMPRODUCT((('CASE MASTER'!$T$2:$T$495=12)*('CASE MASTER'!$U$2:$U$495&lt;=8)*('CASE MASTER'!$W$2:$W$495&gt;=8)*('CASE MASTER'!$V$2:$V$495&lt;=8)*('CASE MASTER'!$X$2:$X$495&gt;=8))*ROW('CASE MASTER'!$T$2:$T$495))&gt;0,INDEX('CASE MASTER'!$Y$2:$Y$495,(SUMPRODUCT((('CASE MASTER'!$T$2:$T$495=12)*('CASE MASTER'!$U$2:$U$495&lt;=8)*('CASE MASTER'!$W$2:$W$495&gt;=8)*('CASE MASTER'!$V$2:$V$495&lt;=8)*('CASE MASTER'!$X$2:$X$495&gt;=8))*ROW('CASE MASTER'!$T$2:$T$495))-(ROW('CASE MASTER'!#REF!)-1)))&amp;TRIM(MID(SUBSTITUTE(SUBSTITUTE(INDEX('CASE MASTER'!$N$2:$N$495,(SUMPRODUCT((('CASE MASTER'!$T$2:$T$495=12)*('CASE MASTER'!$U$2:$U$495&lt;=8)*('CASE MASTER'!$W$2:$W$495&gt;=8)*('CASE MASTER'!$V$2:$V$495&lt;=8)*('CASE MASTER'!$X$2:$X$495&gt;=8))*ROW('CASE MASTER'!$T$2:$T$495))-(ROW('CASE MASTER'!#REF!)-1))),":",","),",",REPT(" ",50)),((((8-INDEX('CASE MASTER'!$U$2:$U$495,(SUMPRODUCT((('CASE MASTER'!$T$2:$T$495=12)*('CASE MASTER'!$U$2:$U$495&lt;=8)*('CASE MASTER'!$W$2:$W$495&gt;=8)*('CASE MASTER'!$V$2:$V$495&lt;=8)*('CASE MASTER'!$X$2:$X$495&gt;=8))*ROW('CASE MASTER'!$T$2:$T$495))-(ROW('CASE MASTER'!#REF!)-1))))*(INDEX('CASE MASTER'!$X$2:$X$495,(SUMPRODUCT((('CASE MASTER'!$T$2:$T$495=12)*('CASE MASTER'!$U$2:$U$495&lt;=8)*('CASE MASTER'!$W$2:$W$495&gt;=8)*('CASE MASTER'!$V$2:$V$495&lt;=8)*('CASE MASTER'!$X$2:$X$495&gt;=8))*ROW('CASE MASTER'!$T$2:$T$495))-(ROW('CASE MASTER'!#REF!)-1)))-INDEX('CASE MASTER'!$V$2:$V$495,(SUMPRODUCT((('CASE MASTER'!$T$2:$T$495=12)*('CASE MASTER'!$U$2:$U$495&lt;=8)*('CASE MASTER'!$W$2:$W$495&gt;=8)*('CASE MASTER'!$V$2:$V$495&lt;=8)*('CASE MASTER'!$X$2:$X$495&gt;=8))*ROW('CASE MASTER'!$T$2:$T$495))-(ROW('CASE MASTER'!#REF!)-1)))+1)+(8-INDEX('CASE MASTER'!$V$2:$V$495,(SUMPRODUCT((('CASE MASTER'!$T$2:$T$495=12)*('CASE MASTER'!$U$2:$U$495&lt;=8)*('CASE MASTER'!$W$2:$W$495&gt;=8)*('CASE MASTER'!$V$2:$V$495&lt;=8)*('CASE MASTER'!$X$2:$X$495&gt;=8))*ROW('CASE MASTER'!$T$2:$T$495))-(ROW('CASE MASTER'!#REF!)-1))))+1))-1)*50+1,50))&amp;"_"&amp;INDEX('CASE MASTER'!$Q$2:$Q$495,(SUMPRODUCT((('CASE MASTER'!$T$2:$T$495=12)*('CASE MASTER'!$U$2:$U$495&lt;=8)*('CASE MASTER'!$W$2:$W$495&gt;=8)*('CASE MASTER'!$V$2:$V$495&lt;=8)*('CASE MASTER'!$X$2:$X$495&gt;=8))*ROW('CASE MASTER'!$T$2:$T$495))-(ROW('CASE MASTER'!#REF!)-1))),IF(SUMPRODUCT((('CASE MASTER'!$T$2:$T$495=12)*('CASE MASTER'!$AA$2:$AA$495&lt;=8)*('CASE MASTER'!$AC$2:$AC$495&gt;=8)*('CASE MASTER'!$AB$2:$AB$495&lt;=8)*('CASE MASTER'!$AD$2:$AD$495&gt;=8))*ROW('CASE MASTER'!$T$2:$T$495))&gt;0,INDEX('CASE MASTER'!$Y$2:$Y$495,(SUMPRODUCT((('CASE MASTER'!$T$2:$T$495=12)*('CASE MASTER'!$AA$2:$AA$495&lt;=8)*('CASE MASTER'!$AC$2:$AC$495&gt;=8)*('CASE MASTER'!$AB$2:$AB$495&lt;=8)*('CASE MASTER'!$AD$2:$AD$495&gt;=8))*ROW('CASE MASTER'!$T$2:$T$495))-(ROW('CASE MASTER'!#REF!)-1)))&amp;TRIM(MID(SUBSTITUTE(SUBSTITUTE(INDEX('CASE MASTER'!$N$2:$N$495,(SUMPRODUCT((('CASE MASTER'!$T$2:$T$495=12)*('CASE MASTER'!$AA$2:$AA$495&lt;=8)*('CASE MASTER'!$AC$2:$AC$495&gt;=8)*('CASE MASTER'!$AB$2:$AB$495&lt;=8)*('CASE MASTER'!$AD$2:$AD$495&gt;=8))*ROW('CASE MASTER'!$T$2:$T$495))-(ROW('CASE MASTER'!#REF!)-1))),":",","),",",REPT(" ",50)),(((INDEX('CASE MASTER'!$Z$2:$Z$495,(SUMPRODUCT((('CASE MASTER'!$T$2:$T$495=12)*('CASE MASTER'!$AA$2:$AA$495&lt;=8)*('CASE MASTER'!$AC$2:$AC$495&gt;=8)*('CASE MASTER'!$AB$2:$AB$495&lt;=8)*('CASE MASTER'!$AD$2:$AD$495&gt;=8))*ROW('CASE MASTER'!$T$2:$T$495))-(ROW('CASE MASTER'!#REF!)-1)))+((8-INDEX('CASE MASTER'!$AA$2:$AA$495,(SUMPRODUCT((('CASE MASTER'!$T$2:$T$495=12)*('CASE MASTER'!$AA$2:$AA$495&lt;=8)*('CASE MASTER'!$AC$2:$AC$495&gt;=8)*('CASE MASTER'!$AB$2:$AB$495&lt;=8)*('CASE MASTER'!$AD$2:$AD$495&gt;=8))*ROW('CASE MASTER'!$T$2:$T$495))-(ROW('CASE MASTER'!#REF!)-1))))*(INDEX('CASE MASTER'!$AD$2:$AD$495,(SUMPRODUCT((('CASE MASTER'!$T$2:$T$495=12)*('CASE MASTER'!$AA$2:$AA$495&lt;=8)*('CASE MASTER'!$AC$2:$AC$495&gt;=8)*('CASE MASTER'!$AB$2:$AB$495&lt;=8)*('CASE MASTER'!$AD$2:$AD$495&gt;=8))*ROW('CASE MASTER'!$T$2:$T$495))-(ROW('CASE MASTER'!#REF!)-1)))-INDEX('CASE MASTER'!$AB$2:$AB$495,(SUMPRODUCT((('CASE MASTER'!$T$2:$T$495=12)*('CASE MASTER'!$AA$2:$AA$495&lt;=8)*('CASE MASTER'!$AC$2:$AC$495&gt;=8)*('CASE MASTER'!$AB$2:$AB$495&lt;=8)*('CASE MASTER'!$AD$2:$AD$495&gt;=8))*ROW('CASE MASTER'!$T$2:$T$495))-(ROW('CASE MASTER'!#REF!)-1)))+1)+(8-INDEX('CASE MASTER'!$AB$2:$AB$495,(SUMPRODUCT((('CASE MASTER'!$T$2:$T$495=12)*('CASE MASTER'!$AA$2:$AA$495&lt;=8)*('CASE MASTER'!$AC$2:$AC$495&gt;=8)*('CASE MASTER'!$AB$2:$AB$495&lt;=8)*('CASE MASTER'!$AD$2:$AD$495&gt;=8))*ROW('CASE MASTER'!$T$2:$T$495))-(ROW('CASE MASTER'!#REF!)-1))))+1)))-1)*50+1,50))&amp;"_"&amp;INDEX('CASE MASTER'!$Q$2:$Q$495,(SUMPRODUCT((('CASE MASTER'!$T$2:$T$495=12)*('CASE MASTER'!$AA$2:$AA$495&lt;=8)*('CASE MASTER'!$AC$2:$AC$495&gt;=8)*('CASE MASTER'!$AB$2:$AB$495&lt;=8)*('CASE MASTER'!$AD$2:$AD$495&gt;=8))*ROW('CASE MASTER'!$T$2:$T$495))-(ROW('CASE MASTER'!#REF!)-1))),"")),"")</f>
        <v/>
      </c>
      <c r="J164" s="10" t="str">
        <f>IFERROR(IF(SUMPRODUCT((('CASE MASTER'!$T$2:$T$495=12)*('CASE MASTER'!$U$2:$U$495&lt;=8)*('CASE MASTER'!$W$2:$W$495&gt;=8)*('CASE MASTER'!$V$2:$V$495&lt;=9)*('CASE MASTER'!$X$2:$X$495&gt;=9))*ROW('CASE MASTER'!$T$2:$T$495))&gt;0,INDEX('CASE MASTER'!$Y$2:$Y$495,(SUMPRODUCT((('CASE MASTER'!$T$2:$T$495=12)*('CASE MASTER'!$U$2:$U$495&lt;=8)*('CASE MASTER'!$W$2:$W$495&gt;=8)*('CASE MASTER'!$V$2:$V$495&lt;=9)*('CASE MASTER'!$X$2:$X$495&gt;=9))*ROW('CASE MASTER'!$T$2:$T$495))-(ROW('CASE MASTER'!#REF!)-1)))&amp;TRIM(MID(SUBSTITUTE(SUBSTITUTE(INDEX('CASE MASTER'!$N$2:$N$495,(SUMPRODUCT((('CASE MASTER'!$T$2:$T$495=12)*('CASE MASTER'!$U$2:$U$495&lt;=8)*('CASE MASTER'!$W$2:$W$495&gt;=8)*('CASE MASTER'!$V$2:$V$495&lt;=9)*('CASE MASTER'!$X$2:$X$495&gt;=9))*ROW('CASE MASTER'!$T$2:$T$495))-(ROW('CASE MASTER'!#REF!)-1))),":",","),",",REPT(" ",50)),((((8-INDEX('CASE MASTER'!$U$2:$U$495,(SUMPRODUCT((('CASE MASTER'!$T$2:$T$495=12)*('CASE MASTER'!$U$2:$U$495&lt;=8)*('CASE MASTER'!$W$2:$W$495&gt;=8)*('CASE MASTER'!$V$2:$V$495&lt;=9)*('CASE MASTER'!$X$2:$X$495&gt;=9))*ROW('CASE MASTER'!$T$2:$T$495))-(ROW('CASE MASTER'!#REF!)-1))))*(INDEX('CASE MASTER'!$X$2:$X$495,(SUMPRODUCT((('CASE MASTER'!$T$2:$T$495=12)*('CASE MASTER'!$U$2:$U$495&lt;=8)*('CASE MASTER'!$W$2:$W$495&gt;=8)*('CASE MASTER'!$V$2:$V$495&lt;=9)*('CASE MASTER'!$X$2:$X$495&gt;=9))*ROW('CASE MASTER'!$T$2:$T$495))-(ROW('CASE MASTER'!#REF!)-1)))-INDEX('CASE MASTER'!$V$2:$V$495,(SUMPRODUCT((('CASE MASTER'!$T$2:$T$495=12)*('CASE MASTER'!$U$2:$U$495&lt;=8)*('CASE MASTER'!$W$2:$W$495&gt;=8)*('CASE MASTER'!$V$2:$V$495&lt;=9)*('CASE MASTER'!$X$2:$X$495&gt;=9))*ROW('CASE MASTER'!$T$2:$T$495))-(ROW('CASE MASTER'!#REF!)-1)))+1)+(9-INDEX('CASE MASTER'!$V$2:$V$495,(SUMPRODUCT((('CASE MASTER'!$T$2:$T$495=12)*('CASE MASTER'!$U$2:$U$495&lt;=8)*('CASE MASTER'!$W$2:$W$495&gt;=8)*('CASE MASTER'!$V$2:$V$495&lt;=9)*('CASE MASTER'!$X$2:$X$495&gt;=9))*ROW('CASE MASTER'!$T$2:$T$495))-(ROW('CASE MASTER'!#REF!)-1))))+1))-1)*50+1,50))&amp;"_"&amp;INDEX('CASE MASTER'!$Q$2:$Q$495,(SUMPRODUCT((('CASE MASTER'!$T$2:$T$495=12)*('CASE MASTER'!$U$2:$U$495&lt;=8)*('CASE MASTER'!$W$2:$W$495&gt;=8)*('CASE MASTER'!$V$2:$V$495&lt;=9)*('CASE MASTER'!$X$2:$X$495&gt;=9))*ROW('CASE MASTER'!$T$2:$T$495))-(ROW('CASE MASTER'!#REF!)-1))),IF(SUMPRODUCT((('CASE MASTER'!$T$2:$T$495=12)*('CASE MASTER'!$AA$2:$AA$495&lt;=8)*('CASE MASTER'!$AC$2:$AC$495&gt;=8)*('CASE MASTER'!$AB$2:$AB$495&lt;=9)*('CASE MASTER'!$AD$2:$AD$495&gt;=9))*ROW('CASE MASTER'!$T$2:$T$495))&gt;0,INDEX('CASE MASTER'!$Y$2:$Y$495,(SUMPRODUCT((('CASE MASTER'!$T$2:$T$495=12)*('CASE MASTER'!$AA$2:$AA$495&lt;=8)*('CASE MASTER'!$AC$2:$AC$495&gt;=8)*('CASE MASTER'!$AB$2:$AB$495&lt;=9)*('CASE MASTER'!$AD$2:$AD$495&gt;=9))*ROW('CASE MASTER'!$T$2:$T$495))-(ROW('CASE MASTER'!#REF!)-1)))&amp;TRIM(MID(SUBSTITUTE(SUBSTITUTE(INDEX('CASE MASTER'!$N$2:$N$495,(SUMPRODUCT((('CASE MASTER'!$T$2:$T$495=12)*('CASE MASTER'!$AA$2:$AA$495&lt;=8)*('CASE MASTER'!$AC$2:$AC$495&gt;=8)*('CASE MASTER'!$AB$2:$AB$495&lt;=9)*('CASE MASTER'!$AD$2:$AD$495&gt;=9))*ROW('CASE MASTER'!$T$2:$T$495))-(ROW('CASE MASTER'!#REF!)-1))),":",","),",",REPT(" ",50)),(((INDEX('CASE MASTER'!$Z$2:$Z$495,(SUMPRODUCT((('CASE MASTER'!$T$2:$T$495=12)*('CASE MASTER'!$AA$2:$AA$495&lt;=8)*('CASE MASTER'!$AC$2:$AC$495&gt;=8)*('CASE MASTER'!$AB$2:$AB$495&lt;=9)*('CASE MASTER'!$AD$2:$AD$495&gt;=9))*ROW('CASE MASTER'!$T$2:$T$495))-(ROW('CASE MASTER'!#REF!)-1)))+((8-INDEX('CASE MASTER'!$AA$2:$AA$495,(SUMPRODUCT((('CASE MASTER'!$T$2:$T$495=12)*('CASE MASTER'!$AA$2:$AA$495&lt;=8)*('CASE MASTER'!$AC$2:$AC$495&gt;=8)*('CASE MASTER'!$AB$2:$AB$495&lt;=9)*('CASE MASTER'!$AD$2:$AD$495&gt;=9))*ROW('CASE MASTER'!$T$2:$T$495))-(ROW('CASE MASTER'!#REF!)-1))))*(INDEX('CASE MASTER'!$AD$2:$AD$495,(SUMPRODUCT((('CASE MASTER'!$T$2:$T$495=12)*('CASE MASTER'!$AA$2:$AA$495&lt;=8)*('CASE MASTER'!$AC$2:$AC$495&gt;=8)*('CASE MASTER'!$AB$2:$AB$495&lt;=9)*('CASE MASTER'!$AD$2:$AD$495&gt;=9))*ROW('CASE MASTER'!$T$2:$T$495))-(ROW('CASE MASTER'!#REF!)-1)))-INDEX('CASE MASTER'!$AB$2:$AB$495,(SUMPRODUCT((('CASE MASTER'!$T$2:$T$495=12)*('CASE MASTER'!$AA$2:$AA$495&lt;=8)*('CASE MASTER'!$AC$2:$AC$495&gt;=8)*('CASE MASTER'!$AB$2:$AB$495&lt;=9)*('CASE MASTER'!$AD$2:$AD$495&gt;=9))*ROW('CASE MASTER'!$T$2:$T$495))-(ROW('CASE MASTER'!#REF!)-1)))+1)+(9-INDEX('CASE MASTER'!$AB$2:$AB$495,(SUMPRODUCT((('CASE MASTER'!$T$2:$T$495=12)*('CASE MASTER'!$AA$2:$AA$495&lt;=8)*('CASE MASTER'!$AC$2:$AC$495&gt;=8)*('CASE MASTER'!$AB$2:$AB$495&lt;=9)*('CASE MASTER'!$AD$2:$AD$495&gt;=9))*ROW('CASE MASTER'!$T$2:$T$495))-(ROW('CASE MASTER'!#REF!)-1))))+1)))-1)*50+1,50))&amp;"_"&amp;INDEX('CASE MASTER'!$Q$2:$Q$495,(SUMPRODUCT((('CASE MASTER'!$T$2:$T$495=12)*('CASE MASTER'!$AA$2:$AA$495&lt;=8)*('CASE MASTER'!$AC$2:$AC$495&gt;=8)*('CASE MASTER'!$AB$2:$AB$495&lt;=9)*('CASE MASTER'!$AD$2:$AD$495&gt;=9))*ROW('CASE MASTER'!$T$2:$T$495))-(ROW('CASE MASTER'!#REF!)-1))),"")),"")</f>
        <v/>
      </c>
      <c r="K164" s="10" t="str">
        <f>IFERROR(IF(SUMPRODUCT((('CASE MASTER'!$T$2:$T$495=12)*('CASE MASTER'!$U$2:$U$495&lt;=8)*('CASE MASTER'!$W$2:$W$495&gt;=8)*('CASE MASTER'!$V$2:$V$495&lt;=10)*('CASE MASTER'!$X$2:$X$495&gt;=10))*ROW('CASE MASTER'!$T$2:$T$495))&gt;0,INDEX('CASE MASTER'!$Y$2:$Y$495,(SUMPRODUCT((('CASE MASTER'!$T$2:$T$495=12)*('CASE MASTER'!$U$2:$U$495&lt;=8)*('CASE MASTER'!$W$2:$W$495&gt;=8)*('CASE MASTER'!$V$2:$V$495&lt;=10)*('CASE MASTER'!$X$2:$X$495&gt;=10))*ROW('CASE MASTER'!$T$2:$T$495))-(ROW('CASE MASTER'!#REF!)-1)))&amp;TRIM(MID(SUBSTITUTE(SUBSTITUTE(INDEX('CASE MASTER'!$N$2:$N$495,(SUMPRODUCT((('CASE MASTER'!$T$2:$T$495=12)*('CASE MASTER'!$U$2:$U$495&lt;=8)*('CASE MASTER'!$W$2:$W$495&gt;=8)*('CASE MASTER'!$V$2:$V$495&lt;=10)*('CASE MASTER'!$X$2:$X$495&gt;=10))*ROW('CASE MASTER'!$T$2:$T$495))-(ROW('CASE MASTER'!#REF!)-1))),":",","),",",REPT(" ",50)),((((8-INDEX('CASE MASTER'!$U$2:$U$495,(SUMPRODUCT((('CASE MASTER'!$T$2:$T$495=12)*('CASE MASTER'!$U$2:$U$495&lt;=8)*('CASE MASTER'!$W$2:$W$495&gt;=8)*('CASE MASTER'!$V$2:$V$495&lt;=10)*('CASE MASTER'!$X$2:$X$495&gt;=10))*ROW('CASE MASTER'!$T$2:$T$495))-(ROW('CASE MASTER'!#REF!)-1))))*(INDEX('CASE MASTER'!$X$2:$X$495,(SUMPRODUCT((('CASE MASTER'!$T$2:$T$495=12)*('CASE MASTER'!$U$2:$U$495&lt;=8)*('CASE MASTER'!$W$2:$W$495&gt;=8)*('CASE MASTER'!$V$2:$V$495&lt;=10)*('CASE MASTER'!$X$2:$X$495&gt;=10))*ROW('CASE MASTER'!$T$2:$T$495))-(ROW('CASE MASTER'!#REF!)-1)))-INDEX('CASE MASTER'!$V$2:$V$495,(SUMPRODUCT((('CASE MASTER'!$T$2:$T$495=12)*('CASE MASTER'!$U$2:$U$495&lt;=8)*('CASE MASTER'!$W$2:$W$495&gt;=8)*('CASE MASTER'!$V$2:$V$495&lt;=10)*('CASE MASTER'!$X$2:$X$495&gt;=10))*ROW('CASE MASTER'!$T$2:$T$495))-(ROW('CASE MASTER'!#REF!)-1)))+1)+(10-INDEX('CASE MASTER'!$V$2:$V$495,(SUMPRODUCT((('CASE MASTER'!$T$2:$T$495=12)*('CASE MASTER'!$U$2:$U$495&lt;=8)*('CASE MASTER'!$W$2:$W$495&gt;=8)*('CASE MASTER'!$V$2:$V$495&lt;=10)*('CASE MASTER'!$X$2:$X$495&gt;=10))*ROW('CASE MASTER'!$T$2:$T$495))-(ROW('CASE MASTER'!#REF!)-1))))+1))-1)*50+1,50))&amp;"_"&amp;INDEX('CASE MASTER'!$Q$2:$Q$495,(SUMPRODUCT((('CASE MASTER'!$T$2:$T$495=12)*('CASE MASTER'!$U$2:$U$495&lt;=8)*('CASE MASTER'!$W$2:$W$495&gt;=8)*('CASE MASTER'!$V$2:$V$495&lt;=10)*('CASE MASTER'!$X$2:$X$495&gt;=10))*ROW('CASE MASTER'!$T$2:$T$495))-(ROW('CASE MASTER'!#REF!)-1))),IF(SUMPRODUCT((('CASE MASTER'!$T$2:$T$495=12)*('CASE MASTER'!$AA$2:$AA$495&lt;=8)*('CASE MASTER'!$AC$2:$AC$495&gt;=8)*('CASE MASTER'!$AB$2:$AB$495&lt;=10)*('CASE MASTER'!$AD$2:$AD$495&gt;=10))*ROW('CASE MASTER'!$T$2:$T$495))&gt;0,INDEX('CASE MASTER'!$Y$2:$Y$495,(SUMPRODUCT((('CASE MASTER'!$T$2:$T$495=12)*('CASE MASTER'!$AA$2:$AA$495&lt;=8)*('CASE MASTER'!$AC$2:$AC$495&gt;=8)*('CASE MASTER'!$AB$2:$AB$495&lt;=10)*('CASE MASTER'!$AD$2:$AD$495&gt;=10))*ROW('CASE MASTER'!$T$2:$T$495))-(ROW('CASE MASTER'!#REF!)-1)))&amp;TRIM(MID(SUBSTITUTE(SUBSTITUTE(INDEX('CASE MASTER'!$N$2:$N$495,(SUMPRODUCT((('CASE MASTER'!$T$2:$T$495=12)*('CASE MASTER'!$AA$2:$AA$495&lt;=8)*('CASE MASTER'!$AC$2:$AC$495&gt;=8)*('CASE MASTER'!$AB$2:$AB$495&lt;=10)*('CASE MASTER'!$AD$2:$AD$495&gt;=10))*ROW('CASE MASTER'!$T$2:$T$495))-(ROW('CASE MASTER'!#REF!)-1))),":",","),",",REPT(" ",50)),(((INDEX('CASE MASTER'!$Z$2:$Z$495,(SUMPRODUCT((('CASE MASTER'!$T$2:$T$495=12)*('CASE MASTER'!$AA$2:$AA$495&lt;=8)*('CASE MASTER'!$AC$2:$AC$495&gt;=8)*('CASE MASTER'!$AB$2:$AB$495&lt;=10)*('CASE MASTER'!$AD$2:$AD$495&gt;=10))*ROW('CASE MASTER'!$T$2:$T$495))-(ROW('CASE MASTER'!#REF!)-1)))+((8-INDEX('CASE MASTER'!$AA$2:$AA$495,(SUMPRODUCT((('CASE MASTER'!$T$2:$T$495=12)*('CASE MASTER'!$AA$2:$AA$495&lt;=8)*('CASE MASTER'!$AC$2:$AC$495&gt;=8)*('CASE MASTER'!$AB$2:$AB$495&lt;=10)*('CASE MASTER'!$AD$2:$AD$495&gt;=10))*ROW('CASE MASTER'!$T$2:$T$495))-(ROW('CASE MASTER'!#REF!)-1))))*(INDEX('CASE MASTER'!$AD$2:$AD$495,(SUMPRODUCT((('CASE MASTER'!$T$2:$T$495=12)*('CASE MASTER'!$AA$2:$AA$495&lt;=8)*('CASE MASTER'!$AC$2:$AC$495&gt;=8)*('CASE MASTER'!$AB$2:$AB$495&lt;=10)*('CASE MASTER'!$AD$2:$AD$495&gt;=10))*ROW('CASE MASTER'!$T$2:$T$495))-(ROW('CASE MASTER'!#REF!)-1)))-INDEX('CASE MASTER'!$AB$2:$AB$495,(SUMPRODUCT((('CASE MASTER'!$T$2:$T$495=12)*('CASE MASTER'!$AA$2:$AA$495&lt;=8)*('CASE MASTER'!$AC$2:$AC$495&gt;=8)*('CASE MASTER'!$AB$2:$AB$495&lt;=10)*('CASE MASTER'!$AD$2:$AD$495&gt;=10))*ROW('CASE MASTER'!$T$2:$T$495))-(ROW('CASE MASTER'!#REF!)-1)))+1)+(10-INDEX('CASE MASTER'!$AB$2:$AB$495,(SUMPRODUCT((('CASE MASTER'!$T$2:$T$495=12)*('CASE MASTER'!$AA$2:$AA$495&lt;=8)*('CASE MASTER'!$AC$2:$AC$495&gt;=8)*('CASE MASTER'!$AB$2:$AB$495&lt;=10)*('CASE MASTER'!$AD$2:$AD$495&gt;=10))*ROW('CASE MASTER'!$T$2:$T$495))-(ROW('CASE MASTER'!#REF!)-1))))+1)))-1)*50+1,50))&amp;"_"&amp;INDEX('CASE MASTER'!$Q$2:$Q$495,(SUMPRODUCT((('CASE MASTER'!$T$2:$T$495=12)*('CASE MASTER'!$AA$2:$AA$495&lt;=8)*('CASE MASTER'!$AC$2:$AC$495&gt;=8)*('CASE MASTER'!$AB$2:$AB$495&lt;=10)*('CASE MASTER'!$AD$2:$AD$495&gt;=10))*ROW('CASE MASTER'!$T$2:$T$495))-(ROW('CASE MASTER'!#REF!)-1))),"")),"")</f>
        <v/>
      </c>
    </row>
    <row r="165" spans="1:11" ht="15" customHeight="1" x14ac:dyDescent="0.35">
      <c r="A165" s="8" t="s">
        <v>81</v>
      </c>
      <c r="B165" s="10" t="str">
        <f>IFERROR(IF(SUMPRODUCT((('CASE MASTER'!$T$2:$T$495=12)*('CASE MASTER'!$U$2:$U$495&lt;=9)*('CASE MASTER'!$W$2:$W$495&gt;=9)*('CASE MASTER'!$V$2:$V$495&lt;=1)*('CASE MASTER'!$X$2:$X$495&gt;=1))*ROW('CASE MASTER'!$T$2:$T$495))&gt;0,INDEX('CASE MASTER'!$Y$2:$Y$495,(SUMPRODUCT((('CASE MASTER'!$T$2:$T$495=12)*('CASE MASTER'!$U$2:$U$495&lt;=9)*('CASE MASTER'!$W$2:$W$495&gt;=9)*('CASE MASTER'!$V$2:$V$495&lt;=1)*('CASE MASTER'!$X$2:$X$495&gt;=1))*ROW('CASE MASTER'!$T$2:$T$495))-(ROW('CASE MASTER'!#REF!)-1)))&amp;TRIM(MID(SUBSTITUTE(SUBSTITUTE(INDEX('CASE MASTER'!$N$2:$N$495,(SUMPRODUCT((('CASE MASTER'!$T$2:$T$495=12)*('CASE MASTER'!$U$2:$U$495&lt;=9)*('CASE MASTER'!$W$2:$W$495&gt;=9)*('CASE MASTER'!$V$2:$V$495&lt;=1)*('CASE MASTER'!$X$2:$X$495&gt;=1))*ROW('CASE MASTER'!$T$2:$T$495))-(ROW('CASE MASTER'!#REF!)-1))),":",","),",",REPT(" ",50)),((((9-INDEX('CASE MASTER'!$U$2:$U$495,(SUMPRODUCT((('CASE MASTER'!$T$2:$T$495=12)*('CASE MASTER'!$U$2:$U$495&lt;=9)*('CASE MASTER'!$W$2:$W$495&gt;=9)*('CASE MASTER'!$V$2:$V$495&lt;=1)*('CASE MASTER'!$X$2:$X$495&gt;=1))*ROW('CASE MASTER'!$T$2:$T$495))-(ROW('CASE MASTER'!#REF!)-1))))*(INDEX('CASE MASTER'!$X$2:$X$495,(SUMPRODUCT((('CASE MASTER'!$T$2:$T$495=12)*('CASE MASTER'!$U$2:$U$495&lt;=9)*('CASE MASTER'!$W$2:$W$495&gt;=9)*('CASE MASTER'!$V$2:$V$495&lt;=1)*('CASE MASTER'!$X$2:$X$495&gt;=1))*ROW('CASE MASTER'!$T$2:$T$495))-(ROW('CASE MASTER'!#REF!)-1)))-INDEX('CASE MASTER'!$V$2:$V$495,(SUMPRODUCT((('CASE MASTER'!$T$2:$T$495=12)*('CASE MASTER'!$U$2:$U$495&lt;=9)*('CASE MASTER'!$W$2:$W$495&gt;=9)*('CASE MASTER'!$V$2:$V$495&lt;=1)*('CASE MASTER'!$X$2:$X$495&gt;=1))*ROW('CASE MASTER'!$T$2:$T$495))-(ROW('CASE MASTER'!#REF!)-1)))+1)+(1-INDEX('CASE MASTER'!$V$2:$V$495,(SUMPRODUCT((('CASE MASTER'!$T$2:$T$495=12)*('CASE MASTER'!$U$2:$U$495&lt;=9)*('CASE MASTER'!$W$2:$W$495&gt;=9)*('CASE MASTER'!$V$2:$V$495&lt;=1)*('CASE MASTER'!$X$2:$X$495&gt;=1))*ROW('CASE MASTER'!$T$2:$T$495))-(ROW('CASE MASTER'!#REF!)-1))))+1))-1)*50+1,50))&amp;"_"&amp;INDEX('CASE MASTER'!$Q$2:$Q$495,(SUMPRODUCT((('CASE MASTER'!$T$2:$T$495=12)*('CASE MASTER'!$U$2:$U$495&lt;=9)*('CASE MASTER'!$W$2:$W$495&gt;=9)*('CASE MASTER'!$V$2:$V$495&lt;=1)*('CASE MASTER'!$X$2:$X$495&gt;=1))*ROW('CASE MASTER'!$T$2:$T$495))-(ROW('CASE MASTER'!#REF!)-1))),IF(SUMPRODUCT((('CASE MASTER'!$T$2:$T$495=12)*('CASE MASTER'!$AA$2:$AA$495&lt;=9)*('CASE MASTER'!$AC$2:$AC$495&gt;=9)*('CASE MASTER'!$AB$2:$AB$495&lt;=1)*('CASE MASTER'!$AD$2:$AD$495&gt;=1))*ROW('CASE MASTER'!$T$2:$T$495))&gt;0,INDEX('CASE MASTER'!$Y$2:$Y$495,(SUMPRODUCT((('CASE MASTER'!$T$2:$T$495=12)*('CASE MASTER'!$AA$2:$AA$495&lt;=9)*('CASE MASTER'!$AC$2:$AC$495&gt;=9)*('CASE MASTER'!$AB$2:$AB$495&lt;=1)*('CASE MASTER'!$AD$2:$AD$495&gt;=1))*ROW('CASE MASTER'!$T$2:$T$495))-(ROW('CASE MASTER'!#REF!)-1)))&amp;TRIM(MID(SUBSTITUTE(SUBSTITUTE(INDEX('CASE MASTER'!$N$2:$N$495,(SUMPRODUCT((('CASE MASTER'!$T$2:$T$495=12)*('CASE MASTER'!$AA$2:$AA$495&lt;=9)*('CASE MASTER'!$AC$2:$AC$495&gt;=9)*('CASE MASTER'!$AB$2:$AB$495&lt;=1)*('CASE MASTER'!$AD$2:$AD$495&gt;=1))*ROW('CASE MASTER'!$T$2:$T$495))-(ROW('CASE MASTER'!#REF!)-1))),":",","),",",REPT(" ",50)),(((INDEX('CASE MASTER'!$Z$2:$Z$495,(SUMPRODUCT((('CASE MASTER'!$T$2:$T$495=12)*('CASE MASTER'!$AA$2:$AA$495&lt;=9)*('CASE MASTER'!$AC$2:$AC$495&gt;=9)*('CASE MASTER'!$AB$2:$AB$495&lt;=1)*('CASE MASTER'!$AD$2:$AD$495&gt;=1))*ROW('CASE MASTER'!$T$2:$T$495))-(ROW('CASE MASTER'!#REF!)-1)))+((9-INDEX('CASE MASTER'!$AA$2:$AA$495,(SUMPRODUCT((('CASE MASTER'!$T$2:$T$495=12)*('CASE MASTER'!$AA$2:$AA$495&lt;=9)*('CASE MASTER'!$AC$2:$AC$495&gt;=9)*('CASE MASTER'!$AB$2:$AB$495&lt;=1)*('CASE MASTER'!$AD$2:$AD$495&gt;=1))*ROW('CASE MASTER'!$T$2:$T$495))-(ROW('CASE MASTER'!#REF!)-1))))*(INDEX('CASE MASTER'!$AD$2:$AD$495,(SUMPRODUCT((('CASE MASTER'!$T$2:$T$495=12)*('CASE MASTER'!$AA$2:$AA$495&lt;=9)*('CASE MASTER'!$AC$2:$AC$495&gt;=9)*('CASE MASTER'!$AB$2:$AB$495&lt;=1)*('CASE MASTER'!$AD$2:$AD$495&gt;=1))*ROW('CASE MASTER'!$T$2:$T$495))-(ROW('CASE MASTER'!#REF!)-1)))-INDEX('CASE MASTER'!$AB$2:$AB$495,(SUMPRODUCT((('CASE MASTER'!$T$2:$T$495=12)*('CASE MASTER'!$AA$2:$AA$495&lt;=9)*('CASE MASTER'!$AC$2:$AC$495&gt;=9)*('CASE MASTER'!$AB$2:$AB$495&lt;=1)*('CASE MASTER'!$AD$2:$AD$495&gt;=1))*ROW('CASE MASTER'!$T$2:$T$495))-(ROW('CASE MASTER'!#REF!)-1)))+1)+(1-INDEX('CASE MASTER'!$AB$2:$AB$495,(SUMPRODUCT((('CASE MASTER'!$T$2:$T$495=12)*('CASE MASTER'!$AA$2:$AA$495&lt;=9)*('CASE MASTER'!$AC$2:$AC$495&gt;=9)*('CASE MASTER'!$AB$2:$AB$495&lt;=1)*('CASE MASTER'!$AD$2:$AD$495&gt;=1))*ROW('CASE MASTER'!$T$2:$T$495))-(ROW('CASE MASTER'!#REF!)-1))))+1)))-1)*50+1,50))&amp;"_"&amp;INDEX('CASE MASTER'!$Q$2:$Q$495,(SUMPRODUCT((('CASE MASTER'!$T$2:$T$495=12)*('CASE MASTER'!$AA$2:$AA$495&lt;=9)*('CASE MASTER'!$AC$2:$AC$495&gt;=9)*('CASE MASTER'!$AB$2:$AB$495&lt;=1)*('CASE MASTER'!$AD$2:$AD$495&gt;=1))*ROW('CASE MASTER'!$T$2:$T$495))-(ROW('CASE MASTER'!#REF!)-1))),"")),"")</f>
        <v/>
      </c>
      <c r="C165" s="10" t="str">
        <f>IFERROR(IF(SUMPRODUCT((('CASE MASTER'!$T$2:$T$495=12)*('CASE MASTER'!$U$2:$U$495&lt;=9)*('CASE MASTER'!$W$2:$W$495&gt;=9)*('CASE MASTER'!$V$2:$V$495&lt;=2)*('CASE MASTER'!$X$2:$X$495&gt;=2))*ROW('CASE MASTER'!$T$2:$T$495))&gt;0,INDEX('CASE MASTER'!$Y$2:$Y$495,(SUMPRODUCT((('CASE MASTER'!$T$2:$T$495=12)*('CASE MASTER'!$U$2:$U$495&lt;=9)*('CASE MASTER'!$W$2:$W$495&gt;=9)*('CASE MASTER'!$V$2:$V$495&lt;=2)*('CASE MASTER'!$X$2:$X$495&gt;=2))*ROW('CASE MASTER'!$T$2:$T$495))-(ROW('CASE MASTER'!#REF!)-1)))&amp;TRIM(MID(SUBSTITUTE(SUBSTITUTE(INDEX('CASE MASTER'!$N$2:$N$495,(SUMPRODUCT((('CASE MASTER'!$T$2:$T$495=12)*('CASE MASTER'!$U$2:$U$495&lt;=9)*('CASE MASTER'!$W$2:$W$495&gt;=9)*('CASE MASTER'!$V$2:$V$495&lt;=2)*('CASE MASTER'!$X$2:$X$495&gt;=2))*ROW('CASE MASTER'!$T$2:$T$495))-(ROW('CASE MASTER'!#REF!)-1))),":",","),",",REPT(" ",50)),((((9-INDEX('CASE MASTER'!$U$2:$U$495,(SUMPRODUCT((('CASE MASTER'!$T$2:$T$495=12)*('CASE MASTER'!$U$2:$U$495&lt;=9)*('CASE MASTER'!$W$2:$W$495&gt;=9)*('CASE MASTER'!$V$2:$V$495&lt;=2)*('CASE MASTER'!$X$2:$X$495&gt;=2))*ROW('CASE MASTER'!$T$2:$T$495))-(ROW('CASE MASTER'!#REF!)-1))))*(INDEX('CASE MASTER'!$X$2:$X$495,(SUMPRODUCT((('CASE MASTER'!$T$2:$T$495=12)*('CASE MASTER'!$U$2:$U$495&lt;=9)*('CASE MASTER'!$W$2:$W$495&gt;=9)*('CASE MASTER'!$V$2:$V$495&lt;=2)*('CASE MASTER'!$X$2:$X$495&gt;=2))*ROW('CASE MASTER'!$T$2:$T$495))-(ROW('CASE MASTER'!#REF!)-1)))-INDEX('CASE MASTER'!$V$2:$V$495,(SUMPRODUCT((('CASE MASTER'!$T$2:$T$495=12)*('CASE MASTER'!$U$2:$U$495&lt;=9)*('CASE MASTER'!$W$2:$W$495&gt;=9)*('CASE MASTER'!$V$2:$V$495&lt;=2)*('CASE MASTER'!$X$2:$X$495&gt;=2))*ROW('CASE MASTER'!$T$2:$T$495))-(ROW('CASE MASTER'!#REF!)-1)))+1)+(2-INDEX('CASE MASTER'!$V$2:$V$495,(SUMPRODUCT((('CASE MASTER'!$T$2:$T$495=12)*('CASE MASTER'!$U$2:$U$495&lt;=9)*('CASE MASTER'!$W$2:$W$495&gt;=9)*('CASE MASTER'!$V$2:$V$495&lt;=2)*('CASE MASTER'!$X$2:$X$495&gt;=2))*ROW('CASE MASTER'!$T$2:$T$495))-(ROW('CASE MASTER'!#REF!)-1))))+1))-1)*50+1,50))&amp;"_"&amp;INDEX('CASE MASTER'!$Q$2:$Q$495,(SUMPRODUCT((('CASE MASTER'!$T$2:$T$495=12)*('CASE MASTER'!$U$2:$U$495&lt;=9)*('CASE MASTER'!$W$2:$W$495&gt;=9)*('CASE MASTER'!$V$2:$V$495&lt;=2)*('CASE MASTER'!$X$2:$X$495&gt;=2))*ROW('CASE MASTER'!$T$2:$T$495))-(ROW('CASE MASTER'!#REF!)-1))),IF(SUMPRODUCT((('CASE MASTER'!$T$2:$T$495=12)*('CASE MASTER'!$AA$2:$AA$495&lt;=9)*('CASE MASTER'!$AC$2:$AC$495&gt;=9)*('CASE MASTER'!$AB$2:$AB$495&lt;=2)*('CASE MASTER'!$AD$2:$AD$495&gt;=2))*ROW('CASE MASTER'!$T$2:$T$495))&gt;0,INDEX('CASE MASTER'!$Y$2:$Y$495,(SUMPRODUCT((('CASE MASTER'!$T$2:$T$495=12)*('CASE MASTER'!$AA$2:$AA$495&lt;=9)*('CASE MASTER'!$AC$2:$AC$495&gt;=9)*('CASE MASTER'!$AB$2:$AB$495&lt;=2)*('CASE MASTER'!$AD$2:$AD$495&gt;=2))*ROW('CASE MASTER'!$T$2:$T$495))-(ROW('CASE MASTER'!#REF!)-1)))&amp;TRIM(MID(SUBSTITUTE(SUBSTITUTE(INDEX('CASE MASTER'!$N$2:$N$495,(SUMPRODUCT((('CASE MASTER'!$T$2:$T$495=12)*('CASE MASTER'!$AA$2:$AA$495&lt;=9)*('CASE MASTER'!$AC$2:$AC$495&gt;=9)*('CASE MASTER'!$AB$2:$AB$495&lt;=2)*('CASE MASTER'!$AD$2:$AD$495&gt;=2))*ROW('CASE MASTER'!$T$2:$T$495))-(ROW('CASE MASTER'!#REF!)-1))),":",","),",",REPT(" ",50)),(((INDEX('CASE MASTER'!$Z$2:$Z$495,(SUMPRODUCT((('CASE MASTER'!$T$2:$T$495=12)*('CASE MASTER'!$AA$2:$AA$495&lt;=9)*('CASE MASTER'!$AC$2:$AC$495&gt;=9)*('CASE MASTER'!$AB$2:$AB$495&lt;=2)*('CASE MASTER'!$AD$2:$AD$495&gt;=2))*ROW('CASE MASTER'!$T$2:$T$495))-(ROW('CASE MASTER'!#REF!)-1)))+((9-INDEX('CASE MASTER'!$AA$2:$AA$495,(SUMPRODUCT((('CASE MASTER'!$T$2:$T$495=12)*('CASE MASTER'!$AA$2:$AA$495&lt;=9)*('CASE MASTER'!$AC$2:$AC$495&gt;=9)*('CASE MASTER'!$AB$2:$AB$495&lt;=2)*('CASE MASTER'!$AD$2:$AD$495&gt;=2))*ROW('CASE MASTER'!$T$2:$T$495))-(ROW('CASE MASTER'!#REF!)-1))))*(INDEX('CASE MASTER'!$AD$2:$AD$495,(SUMPRODUCT((('CASE MASTER'!$T$2:$T$495=12)*('CASE MASTER'!$AA$2:$AA$495&lt;=9)*('CASE MASTER'!$AC$2:$AC$495&gt;=9)*('CASE MASTER'!$AB$2:$AB$495&lt;=2)*('CASE MASTER'!$AD$2:$AD$495&gt;=2))*ROW('CASE MASTER'!$T$2:$T$495))-(ROW('CASE MASTER'!#REF!)-1)))-INDEX('CASE MASTER'!$AB$2:$AB$495,(SUMPRODUCT((('CASE MASTER'!$T$2:$T$495=12)*('CASE MASTER'!$AA$2:$AA$495&lt;=9)*('CASE MASTER'!$AC$2:$AC$495&gt;=9)*('CASE MASTER'!$AB$2:$AB$495&lt;=2)*('CASE MASTER'!$AD$2:$AD$495&gt;=2))*ROW('CASE MASTER'!$T$2:$T$495))-(ROW('CASE MASTER'!#REF!)-1)))+1)+(2-INDEX('CASE MASTER'!$AB$2:$AB$495,(SUMPRODUCT((('CASE MASTER'!$T$2:$T$495=12)*('CASE MASTER'!$AA$2:$AA$495&lt;=9)*('CASE MASTER'!$AC$2:$AC$495&gt;=9)*('CASE MASTER'!$AB$2:$AB$495&lt;=2)*('CASE MASTER'!$AD$2:$AD$495&gt;=2))*ROW('CASE MASTER'!$T$2:$T$495))-(ROW('CASE MASTER'!#REF!)-1))))+1)))-1)*50+1,50))&amp;"_"&amp;INDEX('CASE MASTER'!$Q$2:$Q$495,(SUMPRODUCT((('CASE MASTER'!$T$2:$T$495=12)*('CASE MASTER'!$AA$2:$AA$495&lt;=9)*('CASE MASTER'!$AC$2:$AC$495&gt;=9)*('CASE MASTER'!$AB$2:$AB$495&lt;=2)*('CASE MASTER'!$AD$2:$AD$495&gt;=2))*ROW('CASE MASTER'!$T$2:$T$495))-(ROW('CASE MASTER'!#REF!)-1))),"")),"")</f>
        <v/>
      </c>
      <c r="D165" s="10" t="str">
        <f>IFERROR(IF(SUMPRODUCT((('CASE MASTER'!$T$2:$T$495=12)*('CASE MASTER'!$U$2:$U$495&lt;=9)*('CASE MASTER'!$W$2:$W$495&gt;=9)*('CASE MASTER'!$V$2:$V$495&lt;=3)*('CASE MASTER'!$X$2:$X$495&gt;=3))*ROW('CASE MASTER'!$T$2:$T$495))&gt;0,INDEX('CASE MASTER'!$Y$2:$Y$495,(SUMPRODUCT((('CASE MASTER'!$T$2:$T$495=12)*('CASE MASTER'!$U$2:$U$495&lt;=9)*('CASE MASTER'!$W$2:$W$495&gt;=9)*('CASE MASTER'!$V$2:$V$495&lt;=3)*('CASE MASTER'!$X$2:$X$495&gt;=3))*ROW('CASE MASTER'!$T$2:$T$495))-(ROW('CASE MASTER'!#REF!)-1)))&amp;TRIM(MID(SUBSTITUTE(SUBSTITUTE(INDEX('CASE MASTER'!$N$2:$N$495,(SUMPRODUCT((('CASE MASTER'!$T$2:$T$495=12)*('CASE MASTER'!$U$2:$U$495&lt;=9)*('CASE MASTER'!$W$2:$W$495&gt;=9)*('CASE MASTER'!$V$2:$V$495&lt;=3)*('CASE MASTER'!$X$2:$X$495&gt;=3))*ROW('CASE MASTER'!$T$2:$T$495))-(ROW('CASE MASTER'!#REF!)-1))),":",","),",",REPT(" ",50)),((((9-INDEX('CASE MASTER'!$U$2:$U$495,(SUMPRODUCT((('CASE MASTER'!$T$2:$T$495=12)*('CASE MASTER'!$U$2:$U$495&lt;=9)*('CASE MASTER'!$W$2:$W$495&gt;=9)*('CASE MASTER'!$V$2:$V$495&lt;=3)*('CASE MASTER'!$X$2:$X$495&gt;=3))*ROW('CASE MASTER'!$T$2:$T$495))-(ROW('CASE MASTER'!#REF!)-1))))*(INDEX('CASE MASTER'!$X$2:$X$495,(SUMPRODUCT((('CASE MASTER'!$T$2:$T$495=12)*('CASE MASTER'!$U$2:$U$495&lt;=9)*('CASE MASTER'!$W$2:$W$495&gt;=9)*('CASE MASTER'!$V$2:$V$495&lt;=3)*('CASE MASTER'!$X$2:$X$495&gt;=3))*ROW('CASE MASTER'!$T$2:$T$495))-(ROW('CASE MASTER'!#REF!)-1)))-INDEX('CASE MASTER'!$V$2:$V$495,(SUMPRODUCT((('CASE MASTER'!$T$2:$T$495=12)*('CASE MASTER'!$U$2:$U$495&lt;=9)*('CASE MASTER'!$W$2:$W$495&gt;=9)*('CASE MASTER'!$V$2:$V$495&lt;=3)*('CASE MASTER'!$X$2:$X$495&gt;=3))*ROW('CASE MASTER'!$T$2:$T$495))-(ROW('CASE MASTER'!#REF!)-1)))+1)+(3-INDEX('CASE MASTER'!$V$2:$V$495,(SUMPRODUCT((('CASE MASTER'!$T$2:$T$495=12)*('CASE MASTER'!$U$2:$U$495&lt;=9)*('CASE MASTER'!$W$2:$W$495&gt;=9)*('CASE MASTER'!$V$2:$V$495&lt;=3)*('CASE MASTER'!$X$2:$X$495&gt;=3))*ROW('CASE MASTER'!$T$2:$T$495))-(ROW('CASE MASTER'!#REF!)-1))))+1))-1)*50+1,50))&amp;"_"&amp;INDEX('CASE MASTER'!$Q$2:$Q$495,(SUMPRODUCT((('CASE MASTER'!$T$2:$T$495=12)*('CASE MASTER'!$U$2:$U$495&lt;=9)*('CASE MASTER'!$W$2:$W$495&gt;=9)*('CASE MASTER'!$V$2:$V$495&lt;=3)*('CASE MASTER'!$X$2:$X$495&gt;=3))*ROW('CASE MASTER'!$T$2:$T$495))-(ROW('CASE MASTER'!#REF!)-1))),IF(SUMPRODUCT((('CASE MASTER'!$T$2:$T$495=12)*('CASE MASTER'!$AA$2:$AA$495&lt;=9)*('CASE MASTER'!$AC$2:$AC$495&gt;=9)*('CASE MASTER'!$AB$2:$AB$495&lt;=3)*('CASE MASTER'!$AD$2:$AD$495&gt;=3))*ROW('CASE MASTER'!$T$2:$T$495))&gt;0,INDEX('CASE MASTER'!$Y$2:$Y$495,(SUMPRODUCT((('CASE MASTER'!$T$2:$T$495=12)*('CASE MASTER'!$AA$2:$AA$495&lt;=9)*('CASE MASTER'!$AC$2:$AC$495&gt;=9)*('CASE MASTER'!$AB$2:$AB$495&lt;=3)*('CASE MASTER'!$AD$2:$AD$495&gt;=3))*ROW('CASE MASTER'!$T$2:$T$495))-(ROW('CASE MASTER'!#REF!)-1)))&amp;TRIM(MID(SUBSTITUTE(SUBSTITUTE(INDEX('CASE MASTER'!$N$2:$N$495,(SUMPRODUCT((('CASE MASTER'!$T$2:$T$495=12)*('CASE MASTER'!$AA$2:$AA$495&lt;=9)*('CASE MASTER'!$AC$2:$AC$495&gt;=9)*('CASE MASTER'!$AB$2:$AB$495&lt;=3)*('CASE MASTER'!$AD$2:$AD$495&gt;=3))*ROW('CASE MASTER'!$T$2:$T$495))-(ROW('CASE MASTER'!#REF!)-1))),":",","),",",REPT(" ",50)),(((INDEX('CASE MASTER'!$Z$2:$Z$495,(SUMPRODUCT((('CASE MASTER'!$T$2:$T$495=12)*('CASE MASTER'!$AA$2:$AA$495&lt;=9)*('CASE MASTER'!$AC$2:$AC$495&gt;=9)*('CASE MASTER'!$AB$2:$AB$495&lt;=3)*('CASE MASTER'!$AD$2:$AD$495&gt;=3))*ROW('CASE MASTER'!$T$2:$T$495))-(ROW('CASE MASTER'!#REF!)-1)))+((9-INDEX('CASE MASTER'!$AA$2:$AA$495,(SUMPRODUCT((('CASE MASTER'!$T$2:$T$495=12)*('CASE MASTER'!$AA$2:$AA$495&lt;=9)*('CASE MASTER'!$AC$2:$AC$495&gt;=9)*('CASE MASTER'!$AB$2:$AB$495&lt;=3)*('CASE MASTER'!$AD$2:$AD$495&gt;=3))*ROW('CASE MASTER'!$T$2:$T$495))-(ROW('CASE MASTER'!#REF!)-1))))*(INDEX('CASE MASTER'!$AD$2:$AD$495,(SUMPRODUCT((('CASE MASTER'!$T$2:$T$495=12)*('CASE MASTER'!$AA$2:$AA$495&lt;=9)*('CASE MASTER'!$AC$2:$AC$495&gt;=9)*('CASE MASTER'!$AB$2:$AB$495&lt;=3)*('CASE MASTER'!$AD$2:$AD$495&gt;=3))*ROW('CASE MASTER'!$T$2:$T$495))-(ROW('CASE MASTER'!#REF!)-1)))-INDEX('CASE MASTER'!$AB$2:$AB$495,(SUMPRODUCT((('CASE MASTER'!$T$2:$T$495=12)*('CASE MASTER'!$AA$2:$AA$495&lt;=9)*('CASE MASTER'!$AC$2:$AC$495&gt;=9)*('CASE MASTER'!$AB$2:$AB$495&lt;=3)*('CASE MASTER'!$AD$2:$AD$495&gt;=3))*ROW('CASE MASTER'!$T$2:$T$495))-(ROW('CASE MASTER'!#REF!)-1)))+1)+(3-INDEX('CASE MASTER'!$AB$2:$AB$495,(SUMPRODUCT((('CASE MASTER'!$T$2:$T$495=12)*('CASE MASTER'!$AA$2:$AA$495&lt;=9)*('CASE MASTER'!$AC$2:$AC$495&gt;=9)*('CASE MASTER'!$AB$2:$AB$495&lt;=3)*('CASE MASTER'!$AD$2:$AD$495&gt;=3))*ROW('CASE MASTER'!$T$2:$T$495))-(ROW('CASE MASTER'!#REF!)-1))))+1)))-1)*50+1,50))&amp;"_"&amp;INDEX('CASE MASTER'!$Q$2:$Q$495,(SUMPRODUCT((('CASE MASTER'!$T$2:$T$495=12)*('CASE MASTER'!$AA$2:$AA$495&lt;=9)*('CASE MASTER'!$AC$2:$AC$495&gt;=9)*('CASE MASTER'!$AB$2:$AB$495&lt;=3)*('CASE MASTER'!$AD$2:$AD$495&gt;=3))*ROW('CASE MASTER'!$T$2:$T$495))-(ROW('CASE MASTER'!#REF!)-1))),"")),"")</f>
        <v/>
      </c>
      <c r="E165" s="10" t="str">
        <f>IFERROR(IF(SUMPRODUCT((('CASE MASTER'!$T$2:$T$495=12)*('CASE MASTER'!$U$2:$U$495&lt;=9)*('CASE MASTER'!$W$2:$W$495&gt;=9)*('CASE MASTER'!$V$2:$V$495&lt;=4)*('CASE MASTER'!$X$2:$X$495&gt;=4))*ROW('CASE MASTER'!$T$2:$T$495))&gt;0,INDEX('CASE MASTER'!$Y$2:$Y$495,(SUMPRODUCT((('CASE MASTER'!$T$2:$T$495=12)*('CASE MASTER'!$U$2:$U$495&lt;=9)*('CASE MASTER'!$W$2:$W$495&gt;=9)*('CASE MASTER'!$V$2:$V$495&lt;=4)*('CASE MASTER'!$X$2:$X$495&gt;=4))*ROW('CASE MASTER'!$T$2:$T$495))-(ROW('CASE MASTER'!#REF!)-1)))&amp;TRIM(MID(SUBSTITUTE(SUBSTITUTE(INDEX('CASE MASTER'!$N$2:$N$495,(SUMPRODUCT((('CASE MASTER'!$T$2:$T$495=12)*('CASE MASTER'!$U$2:$U$495&lt;=9)*('CASE MASTER'!$W$2:$W$495&gt;=9)*('CASE MASTER'!$V$2:$V$495&lt;=4)*('CASE MASTER'!$X$2:$X$495&gt;=4))*ROW('CASE MASTER'!$T$2:$T$495))-(ROW('CASE MASTER'!#REF!)-1))),":",","),",",REPT(" ",50)),((((9-INDEX('CASE MASTER'!$U$2:$U$495,(SUMPRODUCT((('CASE MASTER'!$T$2:$T$495=12)*('CASE MASTER'!$U$2:$U$495&lt;=9)*('CASE MASTER'!$W$2:$W$495&gt;=9)*('CASE MASTER'!$V$2:$V$495&lt;=4)*('CASE MASTER'!$X$2:$X$495&gt;=4))*ROW('CASE MASTER'!$T$2:$T$495))-(ROW('CASE MASTER'!#REF!)-1))))*(INDEX('CASE MASTER'!$X$2:$X$495,(SUMPRODUCT((('CASE MASTER'!$T$2:$T$495=12)*('CASE MASTER'!$U$2:$U$495&lt;=9)*('CASE MASTER'!$W$2:$W$495&gt;=9)*('CASE MASTER'!$V$2:$V$495&lt;=4)*('CASE MASTER'!$X$2:$X$495&gt;=4))*ROW('CASE MASTER'!$T$2:$T$495))-(ROW('CASE MASTER'!#REF!)-1)))-INDEX('CASE MASTER'!$V$2:$V$495,(SUMPRODUCT((('CASE MASTER'!$T$2:$T$495=12)*('CASE MASTER'!$U$2:$U$495&lt;=9)*('CASE MASTER'!$W$2:$W$495&gt;=9)*('CASE MASTER'!$V$2:$V$495&lt;=4)*('CASE MASTER'!$X$2:$X$495&gt;=4))*ROW('CASE MASTER'!$T$2:$T$495))-(ROW('CASE MASTER'!#REF!)-1)))+1)+(4-INDEX('CASE MASTER'!$V$2:$V$495,(SUMPRODUCT((('CASE MASTER'!$T$2:$T$495=12)*('CASE MASTER'!$U$2:$U$495&lt;=9)*('CASE MASTER'!$W$2:$W$495&gt;=9)*('CASE MASTER'!$V$2:$V$495&lt;=4)*('CASE MASTER'!$X$2:$X$495&gt;=4))*ROW('CASE MASTER'!$T$2:$T$495))-(ROW('CASE MASTER'!#REF!)-1))))+1))-1)*50+1,50))&amp;"_"&amp;INDEX('CASE MASTER'!$Q$2:$Q$495,(SUMPRODUCT((('CASE MASTER'!$T$2:$T$495=12)*('CASE MASTER'!$U$2:$U$495&lt;=9)*('CASE MASTER'!$W$2:$W$495&gt;=9)*('CASE MASTER'!$V$2:$V$495&lt;=4)*('CASE MASTER'!$X$2:$X$495&gt;=4))*ROW('CASE MASTER'!$T$2:$T$495))-(ROW('CASE MASTER'!#REF!)-1))),IF(SUMPRODUCT((('CASE MASTER'!$T$2:$T$495=12)*('CASE MASTER'!$AA$2:$AA$495&lt;=9)*('CASE MASTER'!$AC$2:$AC$495&gt;=9)*('CASE MASTER'!$AB$2:$AB$495&lt;=4)*('CASE MASTER'!$AD$2:$AD$495&gt;=4))*ROW('CASE MASTER'!$T$2:$T$495))&gt;0,INDEX('CASE MASTER'!$Y$2:$Y$495,(SUMPRODUCT((('CASE MASTER'!$T$2:$T$495=12)*('CASE MASTER'!$AA$2:$AA$495&lt;=9)*('CASE MASTER'!$AC$2:$AC$495&gt;=9)*('CASE MASTER'!$AB$2:$AB$495&lt;=4)*('CASE MASTER'!$AD$2:$AD$495&gt;=4))*ROW('CASE MASTER'!$T$2:$T$495))-(ROW('CASE MASTER'!#REF!)-1)))&amp;TRIM(MID(SUBSTITUTE(SUBSTITUTE(INDEX('CASE MASTER'!$N$2:$N$495,(SUMPRODUCT((('CASE MASTER'!$T$2:$T$495=12)*('CASE MASTER'!$AA$2:$AA$495&lt;=9)*('CASE MASTER'!$AC$2:$AC$495&gt;=9)*('CASE MASTER'!$AB$2:$AB$495&lt;=4)*('CASE MASTER'!$AD$2:$AD$495&gt;=4))*ROW('CASE MASTER'!$T$2:$T$495))-(ROW('CASE MASTER'!#REF!)-1))),":",","),",",REPT(" ",50)),(((INDEX('CASE MASTER'!$Z$2:$Z$495,(SUMPRODUCT((('CASE MASTER'!$T$2:$T$495=12)*('CASE MASTER'!$AA$2:$AA$495&lt;=9)*('CASE MASTER'!$AC$2:$AC$495&gt;=9)*('CASE MASTER'!$AB$2:$AB$495&lt;=4)*('CASE MASTER'!$AD$2:$AD$495&gt;=4))*ROW('CASE MASTER'!$T$2:$T$495))-(ROW('CASE MASTER'!#REF!)-1)))+((9-INDEX('CASE MASTER'!$AA$2:$AA$495,(SUMPRODUCT((('CASE MASTER'!$T$2:$T$495=12)*('CASE MASTER'!$AA$2:$AA$495&lt;=9)*('CASE MASTER'!$AC$2:$AC$495&gt;=9)*('CASE MASTER'!$AB$2:$AB$495&lt;=4)*('CASE MASTER'!$AD$2:$AD$495&gt;=4))*ROW('CASE MASTER'!$T$2:$T$495))-(ROW('CASE MASTER'!#REF!)-1))))*(INDEX('CASE MASTER'!$AD$2:$AD$495,(SUMPRODUCT((('CASE MASTER'!$T$2:$T$495=12)*('CASE MASTER'!$AA$2:$AA$495&lt;=9)*('CASE MASTER'!$AC$2:$AC$495&gt;=9)*('CASE MASTER'!$AB$2:$AB$495&lt;=4)*('CASE MASTER'!$AD$2:$AD$495&gt;=4))*ROW('CASE MASTER'!$T$2:$T$495))-(ROW('CASE MASTER'!#REF!)-1)))-INDEX('CASE MASTER'!$AB$2:$AB$495,(SUMPRODUCT((('CASE MASTER'!$T$2:$T$495=12)*('CASE MASTER'!$AA$2:$AA$495&lt;=9)*('CASE MASTER'!$AC$2:$AC$495&gt;=9)*('CASE MASTER'!$AB$2:$AB$495&lt;=4)*('CASE MASTER'!$AD$2:$AD$495&gt;=4))*ROW('CASE MASTER'!$T$2:$T$495))-(ROW('CASE MASTER'!#REF!)-1)))+1)+(4-INDEX('CASE MASTER'!$AB$2:$AB$495,(SUMPRODUCT((('CASE MASTER'!$T$2:$T$495=12)*('CASE MASTER'!$AA$2:$AA$495&lt;=9)*('CASE MASTER'!$AC$2:$AC$495&gt;=9)*('CASE MASTER'!$AB$2:$AB$495&lt;=4)*('CASE MASTER'!$AD$2:$AD$495&gt;=4))*ROW('CASE MASTER'!$T$2:$T$495))-(ROW('CASE MASTER'!#REF!)-1))))+1)))-1)*50+1,50))&amp;"_"&amp;INDEX('CASE MASTER'!$Q$2:$Q$495,(SUMPRODUCT((('CASE MASTER'!$T$2:$T$495=12)*('CASE MASTER'!$AA$2:$AA$495&lt;=9)*('CASE MASTER'!$AC$2:$AC$495&gt;=9)*('CASE MASTER'!$AB$2:$AB$495&lt;=4)*('CASE MASTER'!$AD$2:$AD$495&gt;=4))*ROW('CASE MASTER'!$T$2:$T$495))-(ROW('CASE MASTER'!#REF!)-1))),"")),"")</f>
        <v/>
      </c>
      <c r="F165" s="10" t="str">
        <f>IFERROR(IF(SUMPRODUCT((('CASE MASTER'!$T$2:$T$495=12)*('CASE MASTER'!$U$2:$U$495&lt;=9)*('CASE MASTER'!$W$2:$W$495&gt;=9)*('CASE MASTER'!$V$2:$V$495&lt;=5)*('CASE MASTER'!$X$2:$X$495&gt;=5))*ROW('CASE MASTER'!$T$2:$T$495))&gt;0,INDEX('CASE MASTER'!$Y$2:$Y$495,(SUMPRODUCT((('CASE MASTER'!$T$2:$T$495=12)*('CASE MASTER'!$U$2:$U$495&lt;=9)*('CASE MASTER'!$W$2:$W$495&gt;=9)*('CASE MASTER'!$V$2:$V$495&lt;=5)*('CASE MASTER'!$X$2:$X$495&gt;=5))*ROW('CASE MASTER'!$T$2:$T$495))-(ROW('CASE MASTER'!#REF!)-1)))&amp;TRIM(MID(SUBSTITUTE(SUBSTITUTE(INDEX('CASE MASTER'!$N$2:$N$495,(SUMPRODUCT((('CASE MASTER'!$T$2:$T$495=12)*('CASE MASTER'!$U$2:$U$495&lt;=9)*('CASE MASTER'!$W$2:$W$495&gt;=9)*('CASE MASTER'!$V$2:$V$495&lt;=5)*('CASE MASTER'!$X$2:$X$495&gt;=5))*ROW('CASE MASTER'!$T$2:$T$495))-(ROW('CASE MASTER'!#REF!)-1))),":",","),",",REPT(" ",50)),((((9-INDEX('CASE MASTER'!$U$2:$U$495,(SUMPRODUCT((('CASE MASTER'!$T$2:$T$495=12)*('CASE MASTER'!$U$2:$U$495&lt;=9)*('CASE MASTER'!$W$2:$W$495&gt;=9)*('CASE MASTER'!$V$2:$V$495&lt;=5)*('CASE MASTER'!$X$2:$X$495&gt;=5))*ROW('CASE MASTER'!$T$2:$T$495))-(ROW('CASE MASTER'!#REF!)-1))))*(INDEX('CASE MASTER'!$X$2:$X$495,(SUMPRODUCT((('CASE MASTER'!$T$2:$T$495=12)*('CASE MASTER'!$U$2:$U$495&lt;=9)*('CASE MASTER'!$W$2:$W$495&gt;=9)*('CASE MASTER'!$V$2:$V$495&lt;=5)*('CASE MASTER'!$X$2:$X$495&gt;=5))*ROW('CASE MASTER'!$T$2:$T$495))-(ROW('CASE MASTER'!#REF!)-1)))-INDEX('CASE MASTER'!$V$2:$V$495,(SUMPRODUCT((('CASE MASTER'!$T$2:$T$495=12)*('CASE MASTER'!$U$2:$U$495&lt;=9)*('CASE MASTER'!$W$2:$W$495&gt;=9)*('CASE MASTER'!$V$2:$V$495&lt;=5)*('CASE MASTER'!$X$2:$X$495&gt;=5))*ROW('CASE MASTER'!$T$2:$T$495))-(ROW('CASE MASTER'!#REF!)-1)))+1)+(5-INDEX('CASE MASTER'!$V$2:$V$495,(SUMPRODUCT((('CASE MASTER'!$T$2:$T$495=12)*('CASE MASTER'!$U$2:$U$495&lt;=9)*('CASE MASTER'!$W$2:$W$495&gt;=9)*('CASE MASTER'!$V$2:$V$495&lt;=5)*('CASE MASTER'!$X$2:$X$495&gt;=5))*ROW('CASE MASTER'!$T$2:$T$495))-(ROW('CASE MASTER'!#REF!)-1))))+1))-1)*50+1,50))&amp;"_"&amp;INDEX('CASE MASTER'!$Q$2:$Q$495,(SUMPRODUCT((('CASE MASTER'!$T$2:$T$495=12)*('CASE MASTER'!$U$2:$U$495&lt;=9)*('CASE MASTER'!$W$2:$W$495&gt;=9)*('CASE MASTER'!$V$2:$V$495&lt;=5)*('CASE MASTER'!$X$2:$X$495&gt;=5))*ROW('CASE MASTER'!$T$2:$T$495))-(ROW('CASE MASTER'!#REF!)-1))),IF(SUMPRODUCT((('CASE MASTER'!$T$2:$T$495=12)*('CASE MASTER'!$AA$2:$AA$495&lt;=9)*('CASE MASTER'!$AC$2:$AC$495&gt;=9)*('CASE MASTER'!$AB$2:$AB$495&lt;=5)*('CASE MASTER'!$AD$2:$AD$495&gt;=5))*ROW('CASE MASTER'!$T$2:$T$495))&gt;0,INDEX('CASE MASTER'!$Y$2:$Y$495,(SUMPRODUCT((('CASE MASTER'!$T$2:$T$495=12)*('CASE MASTER'!$AA$2:$AA$495&lt;=9)*('CASE MASTER'!$AC$2:$AC$495&gt;=9)*('CASE MASTER'!$AB$2:$AB$495&lt;=5)*('CASE MASTER'!$AD$2:$AD$495&gt;=5))*ROW('CASE MASTER'!$T$2:$T$495))-(ROW('CASE MASTER'!#REF!)-1)))&amp;TRIM(MID(SUBSTITUTE(SUBSTITUTE(INDEX('CASE MASTER'!$N$2:$N$495,(SUMPRODUCT((('CASE MASTER'!$T$2:$T$495=12)*('CASE MASTER'!$AA$2:$AA$495&lt;=9)*('CASE MASTER'!$AC$2:$AC$495&gt;=9)*('CASE MASTER'!$AB$2:$AB$495&lt;=5)*('CASE MASTER'!$AD$2:$AD$495&gt;=5))*ROW('CASE MASTER'!$T$2:$T$495))-(ROW('CASE MASTER'!#REF!)-1))),":",","),",",REPT(" ",50)),(((INDEX('CASE MASTER'!$Z$2:$Z$495,(SUMPRODUCT((('CASE MASTER'!$T$2:$T$495=12)*('CASE MASTER'!$AA$2:$AA$495&lt;=9)*('CASE MASTER'!$AC$2:$AC$495&gt;=9)*('CASE MASTER'!$AB$2:$AB$495&lt;=5)*('CASE MASTER'!$AD$2:$AD$495&gt;=5))*ROW('CASE MASTER'!$T$2:$T$495))-(ROW('CASE MASTER'!#REF!)-1)))+((9-INDEX('CASE MASTER'!$AA$2:$AA$495,(SUMPRODUCT((('CASE MASTER'!$T$2:$T$495=12)*('CASE MASTER'!$AA$2:$AA$495&lt;=9)*('CASE MASTER'!$AC$2:$AC$495&gt;=9)*('CASE MASTER'!$AB$2:$AB$495&lt;=5)*('CASE MASTER'!$AD$2:$AD$495&gt;=5))*ROW('CASE MASTER'!$T$2:$T$495))-(ROW('CASE MASTER'!#REF!)-1))))*(INDEX('CASE MASTER'!$AD$2:$AD$495,(SUMPRODUCT((('CASE MASTER'!$T$2:$T$495=12)*('CASE MASTER'!$AA$2:$AA$495&lt;=9)*('CASE MASTER'!$AC$2:$AC$495&gt;=9)*('CASE MASTER'!$AB$2:$AB$495&lt;=5)*('CASE MASTER'!$AD$2:$AD$495&gt;=5))*ROW('CASE MASTER'!$T$2:$T$495))-(ROW('CASE MASTER'!#REF!)-1)))-INDEX('CASE MASTER'!$AB$2:$AB$495,(SUMPRODUCT((('CASE MASTER'!$T$2:$T$495=12)*('CASE MASTER'!$AA$2:$AA$495&lt;=9)*('CASE MASTER'!$AC$2:$AC$495&gt;=9)*('CASE MASTER'!$AB$2:$AB$495&lt;=5)*('CASE MASTER'!$AD$2:$AD$495&gt;=5))*ROW('CASE MASTER'!$T$2:$T$495))-(ROW('CASE MASTER'!#REF!)-1)))+1)+(5-INDEX('CASE MASTER'!$AB$2:$AB$495,(SUMPRODUCT((('CASE MASTER'!$T$2:$T$495=12)*('CASE MASTER'!$AA$2:$AA$495&lt;=9)*('CASE MASTER'!$AC$2:$AC$495&gt;=9)*('CASE MASTER'!$AB$2:$AB$495&lt;=5)*('CASE MASTER'!$AD$2:$AD$495&gt;=5))*ROW('CASE MASTER'!$T$2:$T$495))-(ROW('CASE MASTER'!#REF!)-1))))+1)))-1)*50+1,50))&amp;"_"&amp;INDEX('CASE MASTER'!$Q$2:$Q$495,(SUMPRODUCT((('CASE MASTER'!$T$2:$T$495=12)*('CASE MASTER'!$AA$2:$AA$495&lt;=9)*('CASE MASTER'!$AC$2:$AC$495&gt;=9)*('CASE MASTER'!$AB$2:$AB$495&lt;=5)*('CASE MASTER'!$AD$2:$AD$495&gt;=5))*ROW('CASE MASTER'!$T$2:$T$495))-(ROW('CASE MASTER'!#REF!)-1))),"")),"")</f>
        <v/>
      </c>
      <c r="G165" s="10" t="str">
        <f>IFERROR(IF(SUMPRODUCT((('CASE MASTER'!$T$2:$T$495=12)*('CASE MASTER'!$U$2:$U$495&lt;=9)*('CASE MASTER'!$W$2:$W$495&gt;=9)*('CASE MASTER'!$V$2:$V$495&lt;=6)*('CASE MASTER'!$X$2:$X$495&gt;=6))*ROW('CASE MASTER'!$T$2:$T$495))&gt;0,INDEX('CASE MASTER'!$Y$2:$Y$495,(SUMPRODUCT((('CASE MASTER'!$T$2:$T$495=12)*('CASE MASTER'!$U$2:$U$495&lt;=9)*('CASE MASTER'!$W$2:$W$495&gt;=9)*('CASE MASTER'!$V$2:$V$495&lt;=6)*('CASE MASTER'!$X$2:$X$495&gt;=6))*ROW('CASE MASTER'!$T$2:$T$495))-(ROW('CASE MASTER'!#REF!)-1)))&amp;TRIM(MID(SUBSTITUTE(SUBSTITUTE(INDEX('CASE MASTER'!$N$2:$N$495,(SUMPRODUCT((('CASE MASTER'!$T$2:$T$495=12)*('CASE MASTER'!$U$2:$U$495&lt;=9)*('CASE MASTER'!$W$2:$W$495&gt;=9)*('CASE MASTER'!$V$2:$V$495&lt;=6)*('CASE MASTER'!$X$2:$X$495&gt;=6))*ROW('CASE MASTER'!$T$2:$T$495))-(ROW('CASE MASTER'!#REF!)-1))),":",","),",",REPT(" ",50)),((((9-INDEX('CASE MASTER'!$U$2:$U$495,(SUMPRODUCT((('CASE MASTER'!$T$2:$T$495=12)*('CASE MASTER'!$U$2:$U$495&lt;=9)*('CASE MASTER'!$W$2:$W$495&gt;=9)*('CASE MASTER'!$V$2:$V$495&lt;=6)*('CASE MASTER'!$X$2:$X$495&gt;=6))*ROW('CASE MASTER'!$T$2:$T$495))-(ROW('CASE MASTER'!#REF!)-1))))*(INDEX('CASE MASTER'!$X$2:$X$495,(SUMPRODUCT((('CASE MASTER'!$T$2:$T$495=12)*('CASE MASTER'!$U$2:$U$495&lt;=9)*('CASE MASTER'!$W$2:$W$495&gt;=9)*('CASE MASTER'!$V$2:$V$495&lt;=6)*('CASE MASTER'!$X$2:$X$495&gt;=6))*ROW('CASE MASTER'!$T$2:$T$495))-(ROW('CASE MASTER'!#REF!)-1)))-INDEX('CASE MASTER'!$V$2:$V$495,(SUMPRODUCT((('CASE MASTER'!$T$2:$T$495=12)*('CASE MASTER'!$U$2:$U$495&lt;=9)*('CASE MASTER'!$W$2:$W$495&gt;=9)*('CASE MASTER'!$V$2:$V$495&lt;=6)*('CASE MASTER'!$X$2:$X$495&gt;=6))*ROW('CASE MASTER'!$T$2:$T$495))-(ROW('CASE MASTER'!#REF!)-1)))+1)+(6-INDEX('CASE MASTER'!$V$2:$V$495,(SUMPRODUCT((('CASE MASTER'!$T$2:$T$495=12)*('CASE MASTER'!$U$2:$U$495&lt;=9)*('CASE MASTER'!$W$2:$W$495&gt;=9)*('CASE MASTER'!$V$2:$V$495&lt;=6)*('CASE MASTER'!$X$2:$X$495&gt;=6))*ROW('CASE MASTER'!$T$2:$T$495))-(ROW('CASE MASTER'!#REF!)-1))))+1))-1)*50+1,50))&amp;"_"&amp;INDEX('CASE MASTER'!$Q$2:$Q$495,(SUMPRODUCT((('CASE MASTER'!$T$2:$T$495=12)*('CASE MASTER'!$U$2:$U$495&lt;=9)*('CASE MASTER'!$W$2:$W$495&gt;=9)*('CASE MASTER'!$V$2:$V$495&lt;=6)*('CASE MASTER'!$X$2:$X$495&gt;=6))*ROW('CASE MASTER'!$T$2:$T$495))-(ROW('CASE MASTER'!#REF!)-1))),IF(SUMPRODUCT((('CASE MASTER'!$T$2:$T$495=12)*('CASE MASTER'!$AA$2:$AA$495&lt;=9)*('CASE MASTER'!$AC$2:$AC$495&gt;=9)*('CASE MASTER'!$AB$2:$AB$495&lt;=6)*('CASE MASTER'!$AD$2:$AD$495&gt;=6))*ROW('CASE MASTER'!$T$2:$T$495))&gt;0,INDEX('CASE MASTER'!$Y$2:$Y$495,(SUMPRODUCT((('CASE MASTER'!$T$2:$T$495=12)*('CASE MASTER'!$AA$2:$AA$495&lt;=9)*('CASE MASTER'!$AC$2:$AC$495&gt;=9)*('CASE MASTER'!$AB$2:$AB$495&lt;=6)*('CASE MASTER'!$AD$2:$AD$495&gt;=6))*ROW('CASE MASTER'!$T$2:$T$495))-(ROW('CASE MASTER'!#REF!)-1)))&amp;TRIM(MID(SUBSTITUTE(SUBSTITUTE(INDEX('CASE MASTER'!$N$2:$N$495,(SUMPRODUCT((('CASE MASTER'!$T$2:$T$495=12)*('CASE MASTER'!$AA$2:$AA$495&lt;=9)*('CASE MASTER'!$AC$2:$AC$495&gt;=9)*('CASE MASTER'!$AB$2:$AB$495&lt;=6)*('CASE MASTER'!$AD$2:$AD$495&gt;=6))*ROW('CASE MASTER'!$T$2:$T$495))-(ROW('CASE MASTER'!#REF!)-1))),":",","),",",REPT(" ",50)),(((INDEX('CASE MASTER'!$Z$2:$Z$495,(SUMPRODUCT((('CASE MASTER'!$T$2:$T$495=12)*('CASE MASTER'!$AA$2:$AA$495&lt;=9)*('CASE MASTER'!$AC$2:$AC$495&gt;=9)*('CASE MASTER'!$AB$2:$AB$495&lt;=6)*('CASE MASTER'!$AD$2:$AD$495&gt;=6))*ROW('CASE MASTER'!$T$2:$T$495))-(ROW('CASE MASTER'!#REF!)-1)))+((9-INDEX('CASE MASTER'!$AA$2:$AA$495,(SUMPRODUCT((('CASE MASTER'!$T$2:$T$495=12)*('CASE MASTER'!$AA$2:$AA$495&lt;=9)*('CASE MASTER'!$AC$2:$AC$495&gt;=9)*('CASE MASTER'!$AB$2:$AB$495&lt;=6)*('CASE MASTER'!$AD$2:$AD$495&gt;=6))*ROW('CASE MASTER'!$T$2:$T$495))-(ROW('CASE MASTER'!#REF!)-1))))*(INDEX('CASE MASTER'!$AD$2:$AD$495,(SUMPRODUCT((('CASE MASTER'!$T$2:$T$495=12)*('CASE MASTER'!$AA$2:$AA$495&lt;=9)*('CASE MASTER'!$AC$2:$AC$495&gt;=9)*('CASE MASTER'!$AB$2:$AB$495&lt;=6)*('CASE MASTER'!$AD$2:$AD$495&gt;=6))*ROW('CASE MASTER'!$T$2:$T$495))-(ROW('CASE MASTER'!#REF!)-1)))-INDEX('CASE MASTER'!$AB$2:$AB$495,(SUMPRODUCT((('CASE MASTER'!$T$2:$T$495=12)*('CASE MASTER'!$AA$2:$AA$495&lt;=9)*('CASE MASTER'!$AC$2:$AC$495&gt;=9)*('CASE MASTER'!$AB$2:$AB$495&lt;=6)*('CASE MASTER'!$AD$2:$AD$495&gt;=6))*ROW('CASE MASTER'!$T$2:$T$495))-(ROW('CASE MASTER'!#REF!)-1)))+1)+(6-INDEX('CASE MASTER'!$AB$2:$AB$495,(SUMPRODUCT((('CASE MASTER'!$T$2:$T$495=12)*('CASE MASTER'!$AA$2:$AA$495&lt;=9)*('CASE MASTER'!$AC$2:$AC$495&gt;=9)*('CASE MASTER'!$AB$2:$AB$495&lt;=6)*('CASE MASTER'!$AD$2:$AD$495&gt;=6))*ROW('CASE MASTER'!$T$2:$T$495))-(ROW('CASE MASTER'!#REF!)-1))))+1)))-1)*50+1,50))&amp;"_"&amp;INDEX('CASE MASTER'!$Q$2:$Q$495,(SUMPRODUCT((('CASE MASTER'!$T$2:$T$495=12)*('CASE MASTER'!$AA$2:$AA$495&lt;=9)*('CASE MASTER'!$AC$2:$AC$495&gt;=9)*('CASE MASTER'!$AB$2:$AB$495&lt;=6)*('CASE MASTER'!$AD$2:$AD$495&gt;=6))*ROW('CASE MASTER'!$T$2:$T$495))-(ROW('CASE MASTER'!#REF!)-1))),"")),"")</f>
        <v/>
      </c>
      <c r="H165" s="10" t="str">
        <f>IFERROR(IF(SUMPRODUCT((('CASE MASTER'!$T$2:$T$495=12)*('CASE MASTER'!$U$2:$U$495&lt;=9)*('CASE MASTER'!$W$2:$W$495&gt;=9)*('CASE MASTER'!$V$2:$V$495&lt;=7)*('CASE MASTER'!$X$2:$X$495&gt;=7))*ROW('CASE MASTER'!$T$2:$T$495))&gt;0,INDEX('CASE MASTER'!$Y$2:$Y$495,(SUMPRODUCT((('CASE MASTER'!$T$2:$T$495=12)*('CASE MASTER'!$U$2:$U$495&lt;=9)*('CASE MASTER'!$W$2:$W$495&gt;=9)*('CASE MASTER'!$V$2:$V$495&lt;=7)*('CASE MASTER'!$X$2:$X$495&gt;=7))*ROW('CASE MASTER'!$T$2:$T$495))-(ROW('CASE MASTER'!#REF!)-1)))&amp;TRIM(MID(SUBSTITUTE(SUBSTITUTE(INDEX('CASE MASTER'!$N$2:$N$495,(SUMPRODUCT((('CASE MASTER'!$T$2:$T$495=12)*('CASE MASTER'!$U$2:$U$495&lt;=9)*('CASE MASTER'!$W$2:$W$495&gt;=9)*('CASE MASTER'!$V$2:$V$495&lt;=7)*('CASE MASTER'!$X$2:$X$495&gt;=7))*ROW('CASE MASTER'!$T$2:$T$495))-(ROW('CASE MASTER'!#REF!)-1))),":",","),",",REPT(" ",50)),((((9-INDEX('CASE MASTER'!$U$2:$U$495,(SUMPRODUCT((('CASE MASTER'!$T$2:$T$495=12)*('CASE MASTER'!$U$2:$U$495&lt;=9)*('CASE MASTER'!$W$2:$W$495&gt;=9)*('CASE MASTER'!$V$2:$V$495&lt;=7)*('CASE MASTER'!$X$2:$X$495&gt;=7))*ROW('CASE MASTER'!$T$2:$T$495))-(ROW('CASE MASTER'!#REF!)-1))))*(INDEX('CASE MASTER'!$X$2:$X$495,(SUMPRODUCT((('CASE MASTER'!$T$2:$T$495=12)*('CASE MASTER'!$U$2:$U$495&lt;=9)*('CASE MASTER'!$W$2:$W$495&gt;=9)*('CASE MASTER'!$V$2:$V$495&lt;=7)*('CASE MASTER'!$X$2:$X$495&gt;=7))*ROW('CASE MASTER'!$T$2:$T$495))-(ROW('CASE MASTER'!#REF!)-1)))-INDEX('CASE MASTER'!$V$2:$V$495,(SUMPRODUCT((('CASE MASTER'!$T$2:$T$495=12)*('CASE MASTER'!$U$2:$U$495&lt;=9)*('CASE MASTER'!$W$2:$W$495&gt;=9)*('CASE MASTER'!$V$2:$V$495&lt;=7)*('CASE MASTER'!$X$2:$X$495&gt;=7))*ROW('CASE MASTER'!$T$2:$T$495))-(ROW('CASE MASTER'!#REF!)-1)))+1)+(7-INDEX('CASE MASTER'!$V$2:$V$495,(SUMPRODUCT((('CASE MASTER'!$T$2:$T$495=12)*('CASE MASTER'!$U$2:$U$495&lt;=9)*('CASE MASTER'!$W$2:$W$495&gt;=9)*('CASE MASTER'!$V$2:$V$495&lt;=7)*('CASE MASTER'!$X$2:$X$495&gt;=7))*ROW('CASE MASTER'!$T$2:$T$495))-(ROW('CASE MASTER'!#REF!)-1))))+1))-1)*50+1,50))&amp;"_"&amp;INDEX('CASE MASTER'!$Q$2:$Q$495,(SUMPRODUCT((('CASE MASTER'!$T$2:$T$495=12)*('CASE MASTER'!$U$2:$U$495&lt;=9)*('CASE MASTER'!$W$2:$W$495&gt;=9)*('CASE MASTER'!$V$2:$V$495&lt;=7)*('CASE MASTER'!$X$2:$X$495&gt;=7))*ROW('CASE MASTER'!$T$2:$T$495))-(ROW('CASE MASTER'!#REF!)-1))),IF(SUMPRODUCT((('CASE MASTER'!$T$2:$T$495=12)*('CASE MASTER'!$AA$2:$AA$495&lt;=9)*('CASE MASTER'!$AC$2:$AC$495&gt;=9)*('CASE MASTER'!$AB$2:$AB$495&lt;=7)*('CASE MASTER'!$AD$2:$AD$495&gt;=7))*ROW('CASE MASTER'!$T$2:$T$495))&gt;0,INDEX('CASE MASTER'!$Y$2:$Y$495,(SUMPRODUCT((('CASE MASTER'!$T$2:$T$495=12)*('CASE MASTER'!$AA$2:$AA$495&lt;=9)*('CASE MASTER'!$AC$2:$AC$495&gt;=9)*('CASE MASTER'!$AB$2:$AB$495&lt;=7)*('CASE MASTER'!$AD$2:$AD$495&gt;=7))*ROW('CASE MASTER'!$T$2:$T$495))-(ROW('CASE MASTER'!#REF!)-1)))&amp;TRIM(MID(SUBSTITUTE(SUBSTITUTE(INDEX('CASE MASTER'!$N$2:$N$495,(SUMPRODUCT((('CASE MASTER'!$T$2:$T$495=12)*('CASE MASTER'!$AA$2:$AA$495&lt;=9)*('CASE MASTER'!$AC$2:$AC$495&gt;=9)*('CASE MASTER'!$AB$2:$AB$495&lt;=7)*('CASE MASTER'!$AD$2:$AD$495&gt;=7))*ROW('CASE MASTER'!$T$2:$T$495))-(ROW('CASE MASTER'!#REF!)-1))),":",","),",",REPT(" ",50)),(((INDEX('CASE MASTER'!$Z$2:$Z$495,(SUMPRODUCT((('CASE MASTER'!$T$2:$T$495=12)*('CASE MASTER'!$AA$2:$AA$495&lt;=9)*('CASE MASTER'!$AC$2:$AC$495&gt;=9)*('CASE MASTER'!$AB$2:$AB$495&lt;=7)*('CASE MASTER'!$AD$2:$AD$495&gt;=7))*ROW('CASE MASTER'!$T$2:$T$495))-(ROW('CASE MASTER'!#REF!)-1)))+((9-INDEX('CASE MASTER'!$AA$2:$AA$495,(SUMPRODUCT((('CASE MASTER'!$T$2:$T$495=12)*('CASE MASTER'!$AA$2:$AA$495&lt;=9)*('CASE MASTER'!$AC$2:$AC$495&gt;=9)*('CASE MASTER'!$AB$2:$AB$495&lt;=7)*('CASE MASTER'!$AD$2:$AD$495&gt;=7))*ROW('CASE MASTER'!$T$2:$T$495))-(ROW('CASE MASTER'!#REF!)-1))))*(INDEX('CASE MASTER'!$AD$2:$AD$495,(SUMPRODUCT((('CASE MASTER'!$T$2:$T$495=12)*('CASE MASTER'!$AA$2:$AA$495&lt;=9)*('CASE MASTER'!$AC$2:$AC$495&gt;=9)*('CASE MASTER'!$AB$2:$AB$495&lt;=7)*('CASE MASTER'!$AD$2:$AD$495&gt;=7))*ROW('CASE MASTER'!$T$2:$T$495))-(ROW('CASE MASTER'!#REF!)-1)))-INDEX('CASE MASTER'!$AB$2:$AB$495,(SUMPRODUCT((('CASE MASTER'!$T$2:$T$495=12)*('CASE MASTER'!$AA$2:$AA$495&lt;=9)*('CASE MASTER'!$AC$2:$AC$495&gt;=9)*('CASE MASTER'!$AB$2:$AB$495&lt;=7)*('CASE MASTER'!$AD$2:$AD$495&gt;=7))*ROW('CASE MASTER'!$T$2:$T$495))-(ROW('CASE MASTER'!#REF!)-1)))+1)+(7-INDEX('CASE MASTER'!$AB$2:$AB$495,(SUMPRODUCT((('CASE MASTER'!$T$2:$T$495=12)*('CASE MASTER'!$AA$2:$AA$495&lt;=9)*('CASE MASTER'!$AC$2:$AC$495&gt;=9)*('CASE MASTER'!$AB$2:$AB$495&lt;=7)*('CASE MASTER'!$AD$2:$AD$495&gt;=7))*ROW('CASE MASTER'!$T$2:$T$495))-(ROW('CASE MASTER'!#REF!)-1))))+1)))-1)*50+1,50))&amp;"_"&amp;INDEX('CASE MASTER'!$Q$2:$Q$495,(SUMPRODUCT((('CASE MASTER'!$T$2:$T$495=12)*('CASE MASTER'!$AA$2:$AA$495&lt;=9)*('CASE MASTER'!$AC$2:$AC$495&gt;=9)*('CASE MASTER'!$AB$2:$AB$495&lt;=7)*('CASE MASTER'!$AD$2:$AD$495&gt;=7))*ROW('CASE MASTER'!$T$2:$T$495))-(ROW('CASE MASTER'!#REF!)-1))),"")),"")</f>
        <v/>
      </c>
      <c r="I165" s="10" t="str">
        <f>IFERROR(IF(SUMPRODUCT((('CASE MASTER'!$T$2:$T$495=12)*('CASE MASTER'!$U$2:$U$495&lt;=9)*('CASE MASTER'!$W$2:$W$495&gt;=9)*('CASE MASTER'!$V$2:$V$495&lt;=8)*('CASE MASTER'!$X$2:$X$495&gt;=8))*ROW('CASE MASTER'!$T$2:$T$495))&gt;0,INDEX('CASE MASTER'!$Y$2:$Y$495,(SUMPRODUCT((('CASE MASTER'!$T$2:$T$495=12)*('CASE MASTER'!$U$2:$U$495&lt;=9)*('CASE MASTER'!$W$2:$W$495&gt;=9)*('CASE MASTER'!$V$2:$V$495&lt;=8)*('CASE MASTER'!$X$2:$X$495&gt;=8))*ROW('CASE MASTER'!$T$2:$T$495))-(ROW('CASE MASTER'!#REF!)-1)))&amp;TRIM(MID(SUBSTITUTE(SUBSTITUTE(INDEX('CASE MASTER'!$N$2:$N$495,(SUMPRODUCT((('CASE MASTER'!$T$2:$T$495=12)*('CASE MASTER'!$U$2:$U$495&lt;=9)*('CASE MASTER'!$W$2:$W$495&gt;=9)*('CASE MASTER'!$V$2:$V$495&lt;=8)*('CASE MASTER'!$X$2:$X$495&gt;=8))*ROW('CASE MASTER'!$T$2:$T$495))-(ROW('CASE MASTER'!#REF!)-1))),":",","),",",REPT(" ",50)),((((9-INDEX('CASE MASTER'!$U$2:$U$495,(SUMPRODUCT((('CASE MASTER'!$T$2:$T$495=12)*('CASE MASTER'!$U$2:$U$495&lt;=9)*('CASE MASTER'!$W$2:$W$495&gt;=9)*('CASE MASTER'!$V$2:$V$495&lt;=8)*('CASE MASTER'!$X$2:$X$495&gt;=8))*ROW('CASE MASTER'!$T$2:$T$495))-(ROW('CASE MASTER'!#REF!)-1))))*(INDEX('CASE MASTER'!$X$2:$X$495,(SUMPRODUCT((('CASE MASTER'!$T$2:$T$495=12)*('CASE MASTER'!$U$2:$U$495&lt;=9)*('CASE MASTER'!$W$2:$W$495&gt;=9)*('CASE MASTER'!$V$2:$V$495&lt;=8)*('CASE MASTER'!$X$2:$X$495&gt;=8))*ROW('CASE MASTER'!$T$2:$T$495))-(ROW('CASE MASTER'!#REF!)-1)))-INDEX('CASE MASTER'!$V$2:$V$495,(SUMPRODUCT((('CASE MASTER'!$T$2:$T$495=12)*('CASE MASTER'!$U$2:$U$495&lt;=9)*('CASE MASTER'!$W$2:$W$495&gt;=9)*('CASE MASTER'!$V$2:$V$495&lt;=8)*('CASE MASTER'!$X$2:$X$495&gt;=8))*ROW('CASE MASTER'!$T$2:$T$495))-(ROW('CASE MASTER'!#REF!)-1)))+1)+(8-INDEX('CASE MASTER'!$V$2:$V$495,(SUMPRODUCT((('CASE MASTER'!$T$2:$T$495=12)*('CASE MASTER'!$U$2:$U$495&lt;=9)*('CASE MASTER'!$W$2:$W$495&gt;=9)*('CASE MASTER'!$V$2:$V$495&lt;=8)*('CASE MASTER'!$X$2:$X$495&gt;=8))*ROW('CASE MASTER'!$T$2:$T$495))-(ROW('CASE MASTER'!#REF!)-1))))+1))-1)*50+1,50))&amp;"_"&amp;INDEX('CASE MASTER'!$Q$2:$Q$495,(SUMPRODUCT((('CASE MASTER'!$T$2:$T$495=12)*('CASE MASTER'!$U$2:$U$495&lt;=9)*('CASE MASTER'!$W$2:$W$495&gt;=9)*('CASE MASTER'!$V$2:$V$495&lt;=8)*('CASE MASTER'!$X$2:$X$495&gt;=8))*ROW('CASE MASTER'!$T$2:$T$495))-(ROW('CASE MASTER'!#REF!)-1))),IF(SUMPRODUCT((('CASE MASTER'!$T$2:$T$495=12)*('CASE MASTER'!$AA$2:$AA$495&lt;=9)*('CASE MASTER'!$AC$2:$AC$495&gt;=9)*('CASE MASTER'!$AB$2:$AB$495&lt;=8)*('CASE MASTER'!$AD$2:$AD$495&gt;=8))*ROW('CASE MASTER'!$T$2:$T$495))&gt;0,INDEX('CASE MASTER'!$Y$2:$Y$495,(SUMPRODUCT((('CASE MASTER'!$T$2:$T$495=12)*('CASE MASTER'!$AA$2:$AA$495&lt;=9)*('CASE MASTER'!$AC$2:$AC$495&gt;=9)*('CASE MASTER'!$AB$2:$AB$495&lt;=8)*('CASE MASTER'!$AD$2:$AD$495&gt;=8))*ROW('CASE MASTER'!$T$2:$T$495))-(ROW('CASE MASTER'!#REF!)-1)))&amp;TRIM(MID(SUBSTITUTE(SUBSTITUTE(INDEX('CASE MASTER'!$N$2:$N$495,(SUMPRODUCT((('CASE MASTER'!$T$2:$T$495=12)*('CASE MASTER'!$AA$2:$AA$495&lt;=9)*('CASE MASTER'!$AC$2:$AC$495&gt;=9)*('CASE MASTER'!$AB$2:$AB$495&lt;=8)*('CASE MASTER'!$AD$2:$AD$495&gt;=8))*ROW('CASE MASTER'!$T$2:$T$495))-(ROW('CASE MASTER'!#REF!)-1))),":",","),",",REPT(" ",50)),(((INDEX('CASE MASTER'!$Z$2:$Z$495,(SUMPRODUCT((('CASE MASTER'!$T$2:$T$495=12)*('CASE MASTER'!$AA$2:$AA$495&lt;=9)*('CASE MASTER'!$AC$2:$AC$495&gt;=9)*('CASE MASTER'!$AB$2:$AB$495&lt;=8)*('CASE MASTER'!$AD$2:$AD$495&gt;=8))*ROW('CASE MASTER'!$T$2:$T$495))-(ROW('CASE MASTER'!#REF!)-1)))+((9-INDEX('CASE MASTER'!$AA$2:$AA$495,(SUMPRODUCT((('CASE MASTER'!$T$2:$T$495=12)*('CASE MASTER'!$AA$2:$AA$495&lt;=9)*('CASE MASTER'!$AC$2:$AC$495&gt;=9)*('CASE MASTER'!$AB$2:$AB$495&lt;=8)*('CASE MASTER'!$AD$2:$AD$495&gt;=8))*ROW('CASE MASTER'!$T$2:$T$495))-(ROW('CASE MASTER'!#REF!)-1))))*(INDEX('CASE MASTER'!$AD$2:$AD$495,(SUMPRODUCT((('CASE MASTER'!$T$2:$T$495=12)*('CASE MASTER'!$AA$2:$AA$495&lt;=9)*('CASE MASTER'!$AC$2:$AC$495&gt;=9)*('CASE MASTER'!$AB$2:$AB$495&lt;=8)*('CASE MASTER'!$AD$2:$AD$495&gt;=8))*ROW('CASE MASTER'!$T$2:$T$495))-(ROW('CASE MASTER'!#REF!)-1)))-INDEX('CASE MASTER'!$AB$2:$AB$495,(SUMPRODUCT((('CASE MASTER'!$T$2:$T$495=12)*('CASE MASTER'!$AA$2:$AA$495&lt;=9)*('CASE MASTER'!$AC$2:$AC$495&gt;=9)*('CASE MASTER'!$AB$2:$AB$495&lt;=8)*('CASE MASTER'!$AD$2:$AD$495&gt;=8))*ROW('CASE MASTER'!$T$2:$T$495))-(ROW('CASE MASTER'!#REF!)-1)))+1)+(8-INDEX('CASE MASTER'!$AB$2:$AB$495,(SUMPRODUCT((('CASE MASTER'!$T$2:$T$495=12)*('CASE MASTER'!$AA$2:$AA$495&lt;=9)*('CASE MASTER'!$AC$2:$AC$495&gt;=9)*('CASE MASTER'!$AB$2:$AB$495&lt;=8)*('CASE MASTER'!$AD$2:$AD$495&gt;=8))*ROW('CASE MASTER'!$T$2:$T$495))-(ROW('CASE MASTER'!#REF!)-1))))+1)))-1)*50+1,50))&amp;"_"&amp;INDEX('CASE MASTER'!$Q$2:$Q$495,(SUMPRODUCT((('CASE MASTER'!$T$2:$T$495=12)*('CASE MASTER'!$AA$2:$AA$495&lt;=9)*('CASE MASTER'!$AC$2:$AC$495&gt;=9)*('CASE MASTER'!$AB$2:$AB$495&lt;=8)*('CASE MASTER'!$AD$2:$AD$495&gt;=8))*ROW('CASE MASTER'!$T$2:$T$495))-(ROW('CASE MASTER'!#REF!)-1))),"")),"")</f>
        <v/>
      </c>
      <c r="J165" s="10" t="str">
        <f>IFERROR(IF(SUMPRODUCT((('CASE MASTER'!$T$2:$T$495=12)*('CASE MASTER'!$U$2:$U$495&lt;=9)*('CASE MASTER'!$W$2:$W$495&gt;=9)*('CASE MASTER'!$V$2:$V$495&lt;=9)*('CASE MASTER'!$X$2:$X$495&gt;=9))*ROW('CASE MASTER'!$T$2:$T$495))&gt;0,INDEX('CASE MASTER'!$Y$2:$Y$495,(SUMPRODUCT((('CASE MASTER'!$T$2:$T$495=12)*('CASE MASTER'!$U$2:$U$495&lt;=9)*('CASE MASTER'!$W$2:$W$495&gt;=9)*('CASE MASTER'!$V$2:$V$495&lt;=9)*('CASE MASTER'!$X$2:$X$495&gt;=9))*ROW('CASE MASTER'!$T$2:$T$495))-(ROW('CASE MASTER'!#REF!)-1)))&amp;TRIM(MID(SUBSTITUTE(SUBSTITUTE(INDEX('CASE MASTER'!$N$2:$N$495,(SUMPRODUCT((('CASE MASTER'!$T$2:$T$495=12)*('CASE MASTER'!$U$2:$U$495&lt;=9)*('CASE MASTER'!$W$2:$W$495&gt;=9)*('CASE MASTER'!$V$2:$V$495&lt;=9)*('CASE MASTER'!$X$2:$X$495&gt;=9))*ROW('CASE MASTER'!$T$2:$T$495))-(ROW('CASE MASTER'!#REF!)-1))),":",","),",",REPT(" ",50)),((((9-INDEX('CASE MASTER'!$U$2:$U$495,(SUMPRODUCT((('CASE MASTER'!$T$2:$T$495=12)*('CASE MASTER'!$U$2:$U$495&lt;=9)*('CASE MASTER'!$W$2:$W$495&gt;=9)*('CASE MASTER'!$V$2:$V$495&lt;=9)*('CASE MASTER'!$X$2:$X$495&gt;=9))*ROW('CASE MASTER'!$T$2:$T$495))-(ROW('CASE MASTER'!#REF!)-1))))*(INDEX('CASE MASTER'!$X$2:$X$495,(SUMPRODUCT((('CASE MASTER'!$T$2:$T$495=12)*('CASE MASTER'!$U$2:$U$495&lt;=9)*('CASE MASTER'!$W$2:$W$495&gt;=9)*('CASE MASTER'!$V$2:$V$495&lt;=9)*('CASE MASTER'!$X$2:$X$495&gt;=9))*ROW('CASE MASTER'!$T$2:$T$495))-(ROW('CASE MASTER'!#REF!)-1)))-INDEX('CASE MASTER'!$V$2:$V$495,(SUMPRODUCT((('CASE MASTER'!$T$2:$T$495=12)*('CASE MASTER'!$U$2:$U$495&lt;=9)*('CASE MASTER'!$W$2:$W$495&gt;=9)*('CASE MASTER'!$V$2:$V$495&lt;=9)*('CASE MASTER'!$X$2:$X$495&gt;=9))*ROW('CASE MASTER'!$T$2:$T$495))-(ROW('CASE MASTER'!#REF!)-1)))+1)+(9-INDEX('CASE MASTER'!$V$2:$V$495,(SUMPRODUCT((('CASE MASTER'!$T$2:$T$495=12)*('CASE MASTER'!$U$2:$U$495&lt;=9)*('CASE MASTER'!$W$2:$W$495&gt;=9)*('CASE MASTER'!$V$2:$V$495&lt;=9)*('CASE MASTER'!$X$2:$X$495&gt;=9))*ROW('CASE MASTER'!$T$2:$T$495))-(ROW('CASE MASTER'!#REF!)-1))))+1))-1)*50+1,50))&amp;"_"&amp;INDEX('CASE MASTER'!$Q$2:$Q$495,(SUMPRODUCT((('CASE MASTER'!$T$2:$T$495=12)*('CASE MASTER'!$U$2:$U$495&lt;=9)*('CASE MASTER'!$W$2:$W$495&gt;=9)*('CASE MASTER'!$V$2:$V$495&lt;=9)*('CASE MASTER'!$X$2:$X$495&gt;=9))*ROW('CASE MASTER'!$T$2:$T$495))-(ROW('CASE MASTER'!#REF!)-1))),IF(SUMPRODUCT((('CASE MASTER'!$T$2:$T$495=12)*('CASE MASTER'!$AA$2:$AA$495&lt;=9)*('CASE MASTER'!$AC$2:$AC$495&gt;=9)*('CASE MASTER'!$AB$2:$AB$495&lt;=9)*('CASE MASTER'!$AD$2:$AD$495&gt;=9))*ROW('CASE MASTER'!$T$2:$T$495))&gt;0,INDEX('CASE MASTER'!$Y$2:$Y$495,(SUMPRODUCT((('CASE MASTER'!$T$2:$T$495=12)*('CASE MASTER'!$AA$2:$AA$495&lt;=9)*('CASE MASTER'!$AC$2:$AC$495&gt;=9)*('CASE MASTER'!$AB$2:$AB$495&lt;=9)*('CASE MASTER'!$AD$2:$AD$495&gt;=9))*ROW('CASE MASTER'!$T$2:$T$495))-(ROW('CASE MASTER'!#REF!)-1)))&amp;TRIM(MID(SUBSTITUTE(SUBSTITUTE(INDEX('CASE MASTER'!$N$2:$N$495,(SUMPRODUCT((('CASE MASTER'!$T$2:$T$495=12)*('CASE MASTER'!$AA$2:$AA$495&lt;=9)*('CASE MASTER'!$AC$2:$AC$495&gt;=9)*('CASE MASTER'!$AB$2:$AB$495&lt;=9)*('CASE MASTER'!$AD$2:$AD$495&gt;=9))*ROW('CASE MASTER'!$T$2:$T$495))-(ROW('CASE MASTER'!#REF!)-1))),":",","),",",REPT(" ",50)),(((INDEX('CASE MASTER'!$Z$2:$Z$495,(SUMPRODUCT((('CASE MASTER'!$T$2:$T$495=12)*('CASE MASTER'!$AA$2:$AA$495&lt;=9)*('CASE MASTER'!$AC$2:$AC$495&gt;=9)*('CASE MASTER'!$AB$2:$AB$495&lt;=9)*('CASE MASTER'!$AD$2:$AD$495&gt;=9))*ROW('CASE MASTER'!$T$2:$T$495))-(ROW('CASE MASTER'!#REF!)-1)))+((9-INDEX('CASE MASTER'!$AA$2:$AA$495,(SUMPRODUCT((('CASE MASTER'!$T$2:$T$495=12)*('CASE MASTER'!$AA$2:$AA$495&lt;=9)*('CASE MASTER'!$AC$2:$AC$495&gt;=9)*('CASE MASTER'!$AB$2:$AB$495&lt;=9)*('CASE MASTER'!$AD$2:$AD$495&gt;=9))*ROW('CASE MASTER'!$T$2:$T$495))-(ROW('CASE MASTER'!#REF!)-1))))*(INDEX('CASE MASTER'!$AD$2:$AD$495,(SUMPRODUCT((('CASE MASTER'!$T$2:$T$495=12)*('CASE MASTER'!$AA$2:$AA$495&lt;=9)*('CASE MASTER'!$AC$2:$AC$495&gt;=9)*('CASE MASTER'!$AB$2:$AB$495&lt;=9)*('CASE MASTER'!$AD$2:$AD$495&gt;=9))*ROW('CASE MASTER'!$T$2:$T$495))-(ROW('CASE MASTER'!#REF!)-1)))-INDEX('CASE MASTER'!$AB$2:$AB$495,(SUMPRODUCT((('CASE MASTER'!$T$2:$T$495=12)*('CASE MASTER'!$AA$2:$AA$495&lt;=9)*('CASE MASTER'!$AC$2:$AC$495&gt;=9)*('CASE MASTER'!$AB$2:$AB$495&lt;=9)*('CASE MASTER'!$AD$2:$AD$495&gt;=9))*ROW('CASE MASTER'!$T$2:$T$495))-(ROW('CASE MASTER'!#REF!)-1)))+1)+(9-INDEX('CASE MASTER'!$AB$2:$AB$495,(SUMPRODUCT((('CASE MASTER'!$T$2:$T$495=12)*('CASE MASTER'!$AA$2:$AA$495&lt;=9)*('CASE MASTER'!$AC$2:$AC$495&gt;=9)*('CASE MASTER'!$AB$2:$AB$495&lt;=9)*('CASE MASTER'!$AD$2:$AD$495&gt;=9))*ROW('CASE MASTER'!$T$2:$T$495))-(ROW('CASE MASTER'!#REF!)-1))))+1)))-1)*50+1,50))&amp;"_"&amp;INDEX('CASE MASTER'!$Q$2:$Q$495,(SUMPRODUCT((('CASE MASTER'!$T$2:$T$495=12)*('CASE MASTER'!$AA$2:$AA$495&lt;=9)*('CASE MASTER'!$AC$2:$AC$495&gt;=9)*('CASE MASTER'!$AB$2:$AB$495&lt;=9)*('CASE MASTER'!$AD$2:$AD$495&gt;=9))*ROW('CASE MASTER'!$T$2:$T$495))-(ROW('CASE MASTER'!#REF!)-1))),"")),"")</f>
        <v/>
      </c>
      <c r="K165" s="10" t="str">
        <f>IFERROR(IF(SUMPRODUCT((('CASE MASTER'!$T$2:$T$495=12)*('CASE MASTER'!$U$2:$U$495&lt;=9)*('CASE MASTER'!$W$2:$W$495&gt;=9)*('CASE MASTER'!$V$2:$V$495&lt;=10)*('CASE MASTER'!$X$2:$X$495&gt;=10))*ROW('CASE MASTER'!$T$2:$T$495))&gt;0,INDEX('CASE MASTER'!$Y$2:$Y$495,(SUMPRODUCT((('CASE MASTER'!$T$2:$T$495=12)*('CASE MASTER'!$U$2:$U$495&lt;=9)*('CASE MASTER'!$W$2:$W$495&gt;=9)*('CASE MASTER'!$V$2:$V$495&lt;=10)*('CASE MASTER'!$X$2:$X$495&gt;=10))*ROW('CASE MASTER'!$T$2:$T$495))-(ROW('CASE MASTER'!#REF!)-1)))&amp;TRIM(MID(SUBSTITUTE(SUBSTITUTE(INDEX('CASE MASTER'!$N$2:$N$495,(SUMPRODUCT((('CASE MASTER'!$T$2:$T$495=12)*('CASE MASTER'!$U$2:$U$495&lt;=9)*('CASE MASTER'!$W$2:$W$495&gt;=9)*('CASE MASTER'!$V$2:$V$495&lt;=10)*('CASE MASTER'!$X$2:$X$495&gt;=10))*ROW('CASE MASTER'!$T$2:$T$495))-(ROW('CASE MASTER'!#REF!)-1))),":",","),",",REPT(" ",50)),((((9-INDEX('CASE MASTER'!$U$2:$U$495,(SUMPRODUCT((('CASE MASTER'!$T$2:$T$495=12)*('CASE MASTER'!$U$2:$U$495&lt;=9)*('CASE MASTER'!$W$2:$W$495&gt;=9)*('CASE MASTER'!$V$2:$V$495&lt;=10)*('CASE MASTER'!$X$2:$X$495&gt;=10))*ROW('CASE MASTER'!$T$2:$T$495))-(ROW('CASE MASTER'!#REF!)-1))))*(INDEX('CASE MASTER'!$X$2:$X$495,(SUMPRODUCT((('CASE MASTER'!$T$2:$T$495=12)*('CASE MASTER'!$U$2:$U$495&lt;=9)*('CASE MASTER'!$W$2:$W$495&gt;=9)*('CASE MASTER'!$V$2:$V$495&lt;=10)*('CASE MASTER'!$X$2:$X$495&gt;=10))*ROW('CASE MASTER'!$T$2:$T$495))-(ROW('CASE MASTER'!#REF!)-1)))-INDEX('CASE MASTER'!$V$2:$V$495,(SUMPRODUCT((('CASE MASTER'!$T$2:$T$495=12)*('CASE MASTER'!$U$2:$U$495&lt;=9)*('CASE MASTER'!$W$2:$W$495&gt;=9)*('CASE MASTER'!$V$2:$V$495&lt;=10)*('CASE MASTER'!$X$2:$X$495&gt;=10))*ROW('CASE MASTER'!$T$2:$T$495))-(ROW('CASE MASTER'!#REF!)-1)))+1)+(10-INDEX('CASE MASTER'!$V$2:$V$495,(SUMPRODUCT((('CASE MASTER'!$T$2:$T$495=12)*('CASE MASTER'!$U$2:$U$495&lt;=9)*('CASE MASTER'!$W$2:$W$495&gt;=9)*('CASE MASTER'!$V$2:$V$495&lt;=10)*('CASE MASTER'!$X$2:$X$495&gt;=10))*ROW('CASE MASTER'!$T$2:$T$495))-(ROW('CASE MASTER'!#REF!)-1))))+1))-1)*50+1,50))&amp;"_"&amp;INDEX('CASE MASTER'!$Q$2:$Q$495,(SUMPRODUCT((('CASE MASTER'!$T$2:$T$495=12)*('CASE MASTER'!$U$2:$U$495&lt;=9)*('CASE MASTER'!$W$2:$W$495&gt;=9)*('CASE MASTER'!$V$2:$V$495&lt;=10)*('CASE MASTER'!$X$2:$X$495&gt;=10))*ROW('CASE MASTER'!$T$2:$T$495))-(ROW('CASE MASTER'!#REF!)-1))),IF(SUMPRODUCT((('CASE MASTER'!$T$2:$T$495=12)*('CASE MASTER'!$AA$2:$AA$495&lt;=9)*('CASE MASTER'!$AC$2:$AC$495&gt;=9)*('CASE MASTER'!$AB$2:$AB$495&lt;=10)*('CASE MASTER'!$AD$2:$AD$495&gt;=10))*ROW('CASE MASTER'!$T$2:$T$495))&gt;0,INDEX('CASE MASTER'!$Y$2:$Y$495,(SUMPRODUCT((('CASE MASTER'!$T$2:$T$495=12)*('CASE MASTER'!$AA$2:$AA$495&lt;=9)*('CASE MASTER'!$AC$2:$AC$495&gt;=9)*('CASE MASTER'!$AB$2:$AB$495&lt;=10)*('CASE MASTER'!$AD$2:$AD$495&gt;=10))*ROW('CASE MASTER'!$T$2:$T$495))-(ROW('CASE MASTER'!#REF!)-1)))&amp;TRIM(MID(SUBSTITUTE(SUBSTITUTE(INDEX('CASE MASTER'!$N$2:$N$495,(SUMPRODUCT((('CASE MASTER'!$T$2:$T$495=12)*('CASE MASTER'!$AA$2:$AA$495&lt;=9)*('CASE MASTER'!$AC$2:$AC$495&gt;=9)*('CASE MASTER'!$AB$2:$AB$495&lt;=10)*('CASE MASTER'!$AD$2:$AD$495&gt;=10))*ROW('CASE MASTER'!$T$2:$T$495))-(ROW('CASE MASTER'!#REF!)-1))),":",","),",",REPT(" ",50)),(((INDEX('CASE MASTER'!$Z$2:$Z$495,(SUMPRODUCT((('CASE MASTER'!$T$2:$T$495=12)*('CASE MASTER'!$AA$2:$AA$495&lt;=9)*('CASE MASTER'!$AC$2:$AC$495&gt;=9)*('CASE MASTER'!$AB$2:$AB$495&lt;=10)*('CASE MASTER'!$AD$2:$AD$495&gt;=10))*ROW('CASE MASTER'!$T$2:$T$495))-(ROW('CASE MASTER'!#REF!)-1)))+((9-INDEX('CASE MASTER'!$AA$2:$AA$495,(SUMPRODUCT((('CASE MASTER'!$T$2:$T$495=12)*('CASE MASTER'!$AA$2:$AA$495&lt;=9)*('CASE MASTER'!$AC$2:$AC$495&gt;=9)*('CASE MASTER'!$AB$2:$AB$495&lt;=10)*('CASE MASTER'!$AD$2:$AD$495&gt;=10))*ROW('CASE MASTER'!$T$2:$T$495))-(ROW('CASE MASTER'!#REF!)-1))))*(INDEX('CASE MASTER'!$AD$2:$AD$495,(SUMPRODUCT((('CASE MASTER'!$T$2:$T$495=12)*('CASE MASTER'!$AA$2:$AA$495&lt;=9)*('CASE MASTER'!$AC$2:$AC$495&gt;=9)*('CASE MASTER'!$AB$2:$AB$495&lt;=10)*('CASE MASTER'!$AD$2:$AD$495&gt;=10))*ROW('CASE MASTER'!$T$2:$T$495))-(ROW('CASE MASTER'!#REF!)-1)))-INDEX('CASE MASTER'!$AB$2:$AB$495,(SUMPRODUCT((('CASE MASTER'!$T$2:$T$495=12)*('CASE MASTER'!$AA$2:$AA$495&lt;=9)*('CASE MASTER'!$AC$2:$AC$495&gt;=9)*('CASE MASTER'!$AB$2:$AB$495&lt;=10)*('CASE MASTER'!$AD$2:$AD$495&gt;=10))*ROW('CASE MASTER'!$T$2:$T$495))-(ROW('CASE MASTER'!#REF!)-1)))+1)+(10-INDEX('CASE MASTER'!$AB$2:$AB$495,(SUMPRODUCT((('CASE MASTER'!$T$2:$T$495=12)*('CASE MASTER'!$AA$2:$AA$495&lt;=9)*('CASE MASTER'!$AC$2:$AC$495&gt;=9)*('CASE MASTER'!$AB$2:$AB$495&lt;=10)*('CASE MASTER'!$AD$2:$AD$495&gt;=10))*ROW('CASE MASTER'!$T$2:$T$495))-(ROW('CASE MASTER'!#REF!)-1))))+1)))-1)*50+1,50))&amp;"_"&amp;INDEX('CASE MASTER'!$Q$2:$Q$495,(SUMPRODUCT((('CASE MASTER'!$T$2:$T$495=12)*('CASE MASTER'!$AA$2:$AA$495&lt;=9)*('CASE MASTER'!$AC$2:$AC$495&gt;=9)*('CASE MASTER'!$AB$2:$AB$495&lt;=10)*('CASE MASTER'!$AD$2:$AD$495&gt;=10))*ROW('CASE MASTER'!$T$2:$T$495))-(ROW('CASE MASTER'!#REF!)-1))),"")),"")</f>
        <v/>
      </c>
    </row>
    <row r="166" spans="1:11" ht="15" customHeight="1" x14ac:dyDescent="0.35">
      <c r="A166" s="8" t="s">
        <v>82</v>
      </c>
      <c r="B166" s="10" t="str">
        <f>IFERROR(IF(SUMPRODUCT((('CASE MASTER'!$T$2:$T$495=12)*('CASE MASTER'!$U$2:$U$495&lt;=10)*('CASE MASTER'!$W$2:$W$495&gt;=10)*('CASE MASTER'!$V$2:$V$495&lt;=1)*('CASE MASTER'!$X$2:$X$495&gt;=1))*ROW('CASE MASTER'!$T$2:$T$495))&gt;0,INDEX('CASE MASTER'!$Y$2:$Y$495,(SUMPRODUCT((('CASE MASTER'!$T$2:$T$495=12)*('CASE MASTER'!$U$2:$U$495&lt;=10)*('CASE MASTER'!$W$2:$W$495&gt;=10)*('CASE MASTER'!$V$2:$V$495&lt;=1)*('CASE MASTER'!$X$2:$X$495&gt;=1))*ROW('CASE MASTER'!$T$2:$T$495))-(ROW('CASE MASTER'!#REF!)-1)))&amp;TRIM(MID(SUBSTITUTE(SUBSTITUTE(INDEX('CASE MASTER'!$N$2:$N$495,(SUMPRODUCT((('CASE MASTER'!$T$2:$T$495=12)*('CASE MASTER'!$U$2:$U$495&lt;=10)*('CASE MASTER'!$W$2:$W$495&gt;=10)*('CASE MASTER'!$V$2:$V$495&lt;=1)*('CASE MASTER'!$X$2:$X$495&gt;=1))*ROW('CASE MASTER'!$T$2:$T$495))-(ROW('CASE MASTER'!#REF!)-1))),":",","),",",REPT(" ",50)),((((10-INDEX('CASE MASTER'!$U$2:$U$495,(SUMPRODUCT((('CASE MASTER'!$T$2:$T$495=12)*('CASE MASTER'!$U$2:$U$495&lt;=10)*('CASE MASTER'!$W$2:$W$495&gt;=10)*('CASE MASTER'!$V$2:$V$495&lt;=1)*('CASE MASTER'!$X$2:$X$495&gt;=1))*ROW('CASE MASTER'!$T$2:$T$495))-(ROW('CASE MASTER'!#REF!)-1))))*(INDEX('CASE MASTER'!$X$2:$X$495,(SUMPRODUCT((('CASE MASTER'!$T$2:$T$495=12)*('CASE MASTER'!$U$2:$U$495&lt;=10)*('CASE MASTER'!$W$2:$W$495&gt;=10)*('CASE MASTER'!$V$2:$V$495&lt;=1)*('CASE MASTER'!$X$2:$X$495&gt;=1))*ROW('CASE MASTER'!$T$2:$T$495))-(ROW('CASE MASTER'!#REF!)-1)))-INDEX('CASE MASTER'!$V$2:$V$495,(SUMPRODUCT((('CASE MASTER'!$T$2:$T$495=12)*('CASE MASTER'!$U$2:$U$495&lt;=10)*('CASE MASTER'!$W$2:$W$495&gt;=10)*('CASE MASTER'!$V$2:$V$495&lt;=1)*('CASE MASTER'!$X$2:$X$495&gt;=1))*ROW('CASE MASTER'!$T$2:$T$495))-(ROW('CASE MASTER'!#REF!)-1)))+1)+(1-INDEX('CASE MASTER'!$V$2:$V$495,(SUMPRODUCT((('CASE MASTER'!$T$2:$T$495=12)*('CASE MASTER'!$U$2:$U$495&lt;=10)*('CASE MASTER'!$W$2:$W$495&gt;=10)*('CASE MASTER'!$V$2:$V$495&lt;=1)*('CASE MASTER'!$X$2:$X$495&gt;=1))*ROW('CASE MASTER'!$T$2:$T$495))-(ROW('CASE MASTER'!#REF!)-1))))+1))-1)*50+1,50))&amp;"_"&amp;INDEX('CASE MASTER'!$Q$2:$Q$495,(SUMPRODUCT((('CASE MASTER'!$T$2:$T$495=12)*('CASE MASTER'!$U$2:$U$495&lt;=10)*('CASE MASTER'!$W$2:$W$495&gt;=10)*('CASE MASTER'!$V$2:$V$495&lt;=1)*('CASE MASTER'!$X$2:$X$495&gt;=1))*ROW('CASE MASTER'!$T$2:$T$495))-(ROW('CASE MASTER'!#REF!)-1))),IF(SUMPRODUCT((('CASE MASTER'!$T$2:$T$495=12)*('CASE MASTER'!$AA$2:$AA$495&lt;=10)*('CASE MASTER'!$AC$2:$AC$495&gt;=10)*('CASE MASTER'!$AB$2:$AB$495&lt;=1)*('CASE MASTER'!$AD$2:$AD$495&gt;=1))*ROW('CASE MASTER'!$T$2:$T$495))&gt;0,INDEX('CASE MASTER'!$Y$2:$Y$495,(SUMPRODUCT((('CASE MASTER'!$T$2:$T$495=12)*('CASE MASTER'!$AA$2:$AA$495&lt;=10)*('CASE MASTER'!$AC$2:$AC$495&gt;=10)*('CASE MASTER'!$AB$2:$AB$495&lt;=1)*('CASE MASTER'!$AD$2:$AD$495&gt;=1))*ROW('CASE MASTER'!$T$2:$T$495))-(ROW('CASE MASTER'!#REF!)-1)))&amp;TRIM(MID(SUBSTITUTE(SUBSTITUTE(INDEX('CASE MASTER'!$N$2:$N$495,(SUMPRODUCT((('CASE MASTER'!$T$2:$T$495=12)*('CASE MASTER'!$AA$2:$AA$495&lt;=10)*('CASE MASTER'!$AC$2:$AC$495&gt;=10)*('CASE MASTER'!$AB$2:$AB$495&lt;=1)*('CASE MASTER'!$AD$2:$AD$495&gt;=1))*ROW('CASE MASTER'!$T$2:$T$495))-(ROW('CASE MASTER'!#REF!)-1))),":",","),",",REPT(" ",50)),(((INDEX('CASE MASTER'!$Z$2:$Z$495,(SUMPRODUCT((('CASE MASTER'!$T$2:$T$495=12)*('CASE MASTER'!$AA$2:$AA$495&lt;=10)*('CASE MASTER'!$AC$2:$AC$495&gt;=10)*('CASE MASTER'!$AB$2:$AB$495&lt;=1)*('CASE MASTER'!$AD$2:$AD$495&gt;=1))*ROW('CASE MASTER'!$T$2:$T$495))-(ROW('CASE MASTER'!#REF!)-1)))+((10-INDEX('CASE MASTER'!$AA$2:$AA$495,(SUMPRODUCT((('CASE MASTER'!$T$2:$T$495=12)*('CASE MASTER'!$AA$2:$AA$495&lt;=10)*('CASE MASTER'!$AC$2:$AC$495&gt;=10)*('CASE MASTER'!$AB$2:$AB$495&lt;=1)*('CASE MASTER'!$AD$2:$AD$495&gt;=1))*ROW('CASE MASTER'!$T$2:$T$495))-(ROW('CASE MASTER'!#REF!)-1))))*(INDEX('CASE MASTER'!$AD$2:$AD$495,(SUMPRODUCT((('CASE MASTER'!$T$2:$T$495=12)*('CASE MASTER'!$AA$2:$AA$495&lt;=10)*('CASE MASTER'!$AC$2:$AC$495&gt;=10)*('CASE MASTER'!$AB$2:$AB$495&lt;=1)*('CASE MASTER'!$AD$2:$AD$495&gt;=1))*ROW('CASE MASTER'!$T$2:$T$495))-(ROW('CASE MASTER'!#REF!)-1)))-INDEX('CASE MASTER'!$AB$2:$AB$495,(SUMPRODUCT((('CASE MASTER'!$T$2:$T$495=12)*('CASE MASTER'!$AA$2:$AA$495&lt;=10)*('CASE MASTER'!$AC$2:$AC$495&gt;=10)*('CASE MASTER'!$AB$2:$AB$495&lt;=1)*('CASE MASTER'!$AD$2:$AD$495&gt;=1))*ROW('CASE MASTER'!$T$2:$T$495))-(ROW('CASE MASTER'!#REF!)-1)))+1)+(1-INDEX('CASE MASTER'!$AB$2:$AB$495,(SUMPRODUCT((('CASE MASTER'!$T$2:$T$495=12)*('CASE MASTER'!$AA$2:$AA$495&lt;=10)*('CASE MASTER'!$AC$2:$AC$495&gt;=10)*('CASE MASTER'!$AB$2:$AB$495&lt;=1)*('CASE MASTER'!$AD$2:$AD$495&gt;=1))*ROW('CASE MASTER'!$T$2:$T$495))-(ROW('CASE MASTER'!#REF!)-1))))+1)))-1)*50+1,50))&amp;"_"&amp;INDEX('CASE MASTER'!$Q$2:$Q$495,(SUMPRODUCT((('CASE MASTER'!$T$2:$T$495=12)*('CASE MASTER'!$AA$2:$AA$495&lt;=10)*('CASE MASTER'!$AC$2:$AC$495&gt;=10)*('CASE MASTER'!$AB$2:$AB$495&lt;=1)*('CASE MASTER'!$AD$2:$AD$495&gt;=1))*ROW('CASE MASTER'!$T$2:$T$495))-(ROW('CASE MASTER'!#REF!)-1))),"")),"")</f>
        <v/>
      </c>
      <c r="C166" s="10" t="str">
        <f>IFERROR(IF(SUMPRODUCT((('CASE MASTER'!$T$2:$T$495=12)*('CASE MASTER'!$U$2:$U$495&lt;=10)*('CASE MASTER'!$W$2:$W$495&gt;=10)*('CASE MASTER'!$V$2:$V$495&lt;=2)*('CASE MASTER'!$X$2:$X$495&gt;=2))*ROW('CASE MASTER'!$T$2:$T$495))&gt;0,INDEX('CASE MASTER'!$Y$2:$Y$495,(SUMPRODUCT((('CASE MASTER'!$T$2:$T$495=12)*('CASE MASTER'!$U$2:$U$495&lt;=10)*('CASE MASTER'!$W$2:$W$495&gt;=10)*('CASE MASTER'!$V$2:$V$495&lt;=2)*('CASE MASTER'!$X$2:$X$495&gt;=2))*ROW('CASE MASTER'!$T$2:$T$495))-(ROW('CASE MASTER'!#REF!)-1)))&amp;TRIM(MID(SUBSTITUTE(SUBSTITUTE(INDEX('CASE MASTER'!$N$2:$N$495,(SUMPRODUCT((('CASE MASTER'!$T$2:$T$495=12)*('CASE MASTER'!$U$2:$U$495&lt;=10)*('CASE MASTER'!$W$2:$W$495&gt;=10)*('CASE MASTER'!$V$2:$V$495&lt;=2)*('CASE MASTER'!$X$2:$X$495&gt;=2))*ROW('CASE MASTER'!$T$2:$T$495))-(ROW('CASE MASTER'!#REF!)-1))),":",","),",",REPT(" ",50)),((((10-INDEX('CASE MASTER'!$U$2:$U$495,(SUMPRODUCT((('CASE MASTER'!$T$2:$T$495=12)*('CASE MASTER'!$U$2:$U$495&lt;=10)*('CASE MASTER'!$W$2:$W$495&gt;=10)*('CASE MASTER'!$V$2:$V$495&lt;=2)*('CASE MASTER'!$X$2:$X$495&gt;=2))*ROW('CASE MASTER'!$T$2:$T$495))-(ROW('CASE MASTER'!#REF!)-1))))*(INDEX('CASE MASTER'!$X$2:$X$495,(SUMPRODUCT((('CASE MASTER'!$T$2:$T$495=12)*('CASE MASTER'!$U$2:$U$495&lt;=10)*('CASE MASTER'!$W$2:$W$495&gt;=10)*('CASE MASTER'!$V$2:$V$495&lt;=2)*('CASE MASTER'!$X$2:$X$495&gt;=2))*ROW('CASE MASTER'!$T$2:$T$495))-(ROW('CASE MASTER'!#REF!)-1)))-INDEX('CASE MASTER'!$V$2:$V$495,(SUMPRODUCT((('CASE MASTER'!$T$2:$T$495=12)*('CASE MASTER'!$U$2:$U$495&lt;=10)*('CASE MASTER'!$W$2:$W$495&gt;=10)*('CASE MASTER'!$V$2:$V$495&lt;=2)*('CASE MASTER'!$X$2:$X$495&gt;=2))*ROW('CASE MASTER'!$T$2:$T$495))-(ROW('CASE MASTER'!#REF!)-1)))+1)+(2-INDEX('CASE MASTER'!$V$2:$V$495,(SUMPRODUCT((('CASE MASTER'!$T$2:$T$495=12)*('CASE MASTER'!$U$2:$U$495&lt;=10)*('CASE MASTER'!$W$2:$W$495&gt;=10)*('CASE MASTER'!$V$2:$V$495&lt;=2)*('CASE MASTER'!$X$2:$X$495&gt;=2))*ROW('CASE MASTER'!$T$2:$T$495))-(ROW('CASE MASTER'!#REF!)-1))))+1))-1)*50+1,50))&amp;"_"&amp;INDEX('CASE MASTER'!$Q$2:$Q$495,(SUMPRODUCT((('CASE MASTER'!$T$2:$T$495=12)*('CASE MASTER'!$U$2:$U$495&lt;=10)*('CASE MASTER'!$W$2:$W$495&gt;=10)*('CASE MASTER'!$V$2:$V$495&lt;=2)*('CASE MASTER'!$X$2:$X$495&gt;=2))*ROW('CASE MASTER'!$T$2:$T$495))-(ROW('CASE MASTER'!#REF!)-1))),IF(SUMPRODUCT((('CASE MASTER'!$T$2:$T$495=12)*('CASE MASTER'!$AA$2:$AA$495&lt;=10)*('CASE MASTER'!$AC$2:$AC$495&gt;=10)*('CASE MASTER'!$AB$2:$AB$495&lt;=2)*('CASE MASTER'!$AD$2:$AD$495&gt;=2))*ROW('CASE MASTER'!$T$2:$T$495))&gt;0,INDEX('CASE MASTER'!$Y$2:$Y$495,(SUMPRODUCT((('CASE MASTER'!$T$2:$T$495=12)*('CASE MASTER'!$AA$2:$AA$495&lt;=10)*('CASE MASTER'!$AC$2:$AC$495&gt;=10)*('CASE MASTER'!$AB$2:$AB$495&lt;=2)*('CASE MASTER'!$AD$2:$AD$495&gt;=2))*ROW('CASE MASTER'!$T$2:$T$495))-(ROW('CASE MASTER'!#REF!)-1)))&amp;TRIM(MID(SUBSTITUTE(SUBSTITUTE(INDEX('CASE MASTER'!$N$2:$N$495,(SUMPRODUCT((('CASE MASTER'!$T$2:$T$495=12)*('CASE MASTER'!$AA$2:$AA$495&lt;=10)*('CASE MASTER'!$AC$2:$AC$495&gt;=10)*('CASE MASTER'!$AB$2:$AB$495&lt;=2)*('CASE MASTER'!$AD$2:$AD$495&gt;=2))*ROW('CASE MASTER'!$T$2:$T$495))-(ROW('CASE MASTER'!#REF!)-1))),":",","),",",REPT(" ",50)),(((INDEX('CASE MASTER'!$Z$2:$Z$495,(SUMPRODUCT((('CASE MASTER'!$T$2:$T$495=12)*('CASE MASTER'!$AA$2:$AA$495&lt;=10)*('CASE MASTER'!$AC$2:$AC$495&gt;=10)*('CASE MASTER'!$AB$2:$AB$495&lt;=2)*('CASE MASTER'!$AD$2:$AD$495&gt;=2))*ROW('CASE MASTER'!$T$2:$T$495))-(ROW('CASE MASTER'!#REF!)-1)))+((10-INDEX('CASE MASTER'!$AA$2:$AA$495,(SUMPRODUCT((('CASE MASTER'!$T$2:$T$495=12)*('CASE MASTER'!$AA$2:$AA$495&lt;=10)*('CASE MASTER'!$AC$2:$AC$495&gt;=10)*('CASE MASTER'!$AB$2:$AB$495&lt;=2)*('CASE MASTER'!$AD$2:$AD$495&gt;=2))*ROW('CASE MASTER'!$T$2:$T$495))-(ROW('CASE MASTER'!#REF!)-1))))*(INDEX('CASE MASTER'!$AD$2:$AD$495,(SUMPRODUCT((('CASE MASTER'!$T$2:$T$495=12)*('CASE MASTER'!$AA$2:$AA$495&lt;=10)*('CASE MASTER'!$AC$2:$AC$495&gt;=10)*('CASE MASTER'!$AB$2:$AB$495&lt;=2)*('CASE MASTER'!$AD$2:$AD$495&gt;=2))*ROW('CASE MASTER'!$T$2:$T$495))-(ROW('CASE MASTER'!#REF!)-1)))-INDEX('CASE MASTER'!$AB$2:$AB$495,(SUMPRODUCT((('CASE MASTER'!$T$2:$T$495=12)*('CASE MASTER'!$AA$2:$AA$495&lt;=10)*('CASE MASTER'!$AC$2:$AC$495&gt;=10)*('CASE MASTER'!$AB$2:$AB$495&lt;=2)*('CASE MASTER'!$AD$2:$AD$495&gt;=2))*ROW('CASE MASTER'!$T$2:$T$495))-(ROW('CASE MASTER'!#REF!)-1)))+1)+(2-INDEX('CASE MASTER'!$AB$2:$AB$495,(SUMPRODUCT((('CASE MASTER'!$T$2:$T$495=12)*('CASE MASTER'!$AA$2:$AA$495&lt;=10)*('CASE MASTER'!$AC$2:$AC$495&gt;=10)*('CASE MASTER'!$AB$2:$AB$495&lt;=2)*('CASE MASTER'!$AD$2:$AD$495&gt;=2))*ROW('CASE MASTER'!$T$2:$T$495))-(ROW('CASE MASTER'!#REF!)-1))))+1)))-1)*50+1,50))&amp;"_"&amp;INDEX('CASE MASTER'!$Q$2:$Q$495,(SUMPRODUCT((('CASE MASTER'!$T$2:$T$495=12)*('CASE MASTER'!$AA$2:$AA$495&lt;=10)*('CASE MASTER'!$AC$2:$AC$495&gt;=10)*('CASE MASTER'!$AB$2:$AB$495&lt;=2)*('CASE MASTER'!$AD$2:$AD$495&gt;=2))*ROW('CASE MASTER'!$T$2:$T$495))-(ROW('CASE MASTER'!#REF!)-1))),"")),"")</f>
        <v/>
      </c>
      <c r="D166" s="10" t="str">
        <f>IFERROR(IF(SUMPRODUCT((('CASE MASTER'!$T$2:$T$495=12)*('CASE MASTER'!$U$2:$U$495&lt;=10)*('CASE MASTER'!$W$2:$W$495&gt;=10)*('CASE MASTER'!$V$2:$V$495&lt;=3)*('CASE MASTER'!$X$2:$X$495&gt;=3))*ROW('CASE MASTER'!$T$2:$T$495))&gt;0,INDEX('CASE MASTER'!$Y$2:$Y$495,(SUMPRODUCT((('CASE MASTER'!$T$2:$T$495=12)*('CASE MASTER'!$U$2:$U$495&lt;=10)*('CASE MASTER'!$W$2:$W$495&gt;=10)*('CASE MASTER'!$V$2:$V$495&lt;=3)*('CASE MASTER'!$X$2:$X$495&gt;=3))*ROW('CASE MASTER'!$T$2:$T$495))-(ROW('CASE MASTER'!#REF!)-1)))&amp;TRIM(MID(SUBSTITUTE(SUBSTITUTE(INDEX('CASE MASTER'!$N$2:$N$495,(SUMPRODUCT((('CASE MASTER'!$T$2:$T$495=12)*('CASE MASTER'!$U$2:$U$495&lt;=10)*('CASE MASTER'!$W$2:$W$495&gt;=10)*('CASE MASTER'!$V$2:$V$495&lt;=3)*('CASE MASTER'!$X$2:$X$495&gt;=3))*ROW('CASE MASTER'!$T$2:$T$495))-(ROW('CASE MASTER'!#REF!)-1))),":",","),",",REPT(" ",50)),((((10-INDEX('CASE MASTER'!$U$2:$U$495,(SUMPRODUCT((('CASE MASTER'!$T$2:$T$495=12)*('CASE MASTER'!$U$2:$U$495&lt;=10)*('CASE MASTER'!$W$2:$W$495&gt;=10)*('CASE MASTER'!$V$2:$V$495&lt;=3)*('CASE MASTER'!$X$2:$X$495&gt;=3))*ROW('CASE MASTER'!$T$2:$T$495))-(ROW('CASE MASTER'!#REF!)-1))))*(INDEX('CASE MASTER'!$X$2:$X$495,(SUMPRODUCT((('CASE MASTER'!$T$2:$T$495=12)*('CASE MASTER'!$U$2:$U$495&lt;=10)*('CASE MASTER'!$W$2:$W$495&gt;=10)*('CASE MASTER'!$V$2:$V$495&lt;=3)*('CASE MASTER'!$X$2:$X$495&gt;=3))*ROW('CASE MASTER'!$T$2:$T$495))-(ROW('CASE MASTER'!#REF!)-1)))-INDEX('CASE MASTER'!$V$2:$V$495,(SUMPRODUCT((('CASE MASTER'!$T$2:$T$495=12)*('CASE MASTER'!$U$2:$U$495&lt;=10)*('CASE MASTER'!$W$2:$W$495&gt;=10)*('CASE MASTER'!$V$2:$V$495&lt;=3)*('CASE MASTER'!$X$2:$X$495&gt;=3))*ROW('CASE MASTER'!$T$2:$T$495))-(ROW('CASE MASTER'!#REF!)-1)))+1)+(3-INDEX('CASE MASTER'!$V$2:$V$495,(SUMPRODUCT((('CASE MASTER'!$T$2:$T$495=12)*('CASE MASTER'!$U$2:$U$495&lt;=10)*('CASE MASTER'!$W$2:$W$495&gt;=10)*('CASE MASTER'!$V$2:$V$495&lt;=3)*('CASE MASTER'!$X$2:$X$495&gt;=3))*ROW('CASE MASTER'!$T$2:$T$495))-(ROW('CASE MASTER'!#REF!)-1))))+1))-1)*50+1,50))&amp;"_"&amp;INDEX('CASE MASTER'!$Q$2:$Q$495,(SUMPRODUCT((('CASE MASTER'!$T$2:$T$495=12)*('CASE MASTER'!$U$2:$U$495&lt;=10)*('CASE MASTER'!$W$2:$W$495&gt;=10)*('CASE MASTER'!$V$2:$V$495&lt;=3)*('CASE MASTER'!$X$2:$X$495&gt;=3))*ROW('CASE MASTER'!$T$2:$T$495))-(ROW('CASE MASTER'!#REF!)-1))),IF(SUMPRODUCT((('CASE MASTER'!$T$2:$T$495=12)*('CASE MASTER'!$AA$2:$AA$495&lt;=10)*('CASE MASTER'!$AC$2:$AC$495&gt;=10)*('CASE MASTER'!$AB$2:$AB$495&lt;=3)*('CASE MASTER'!$AD$2:$AD$495&gt;=3))*ROW('CASE MASTER'!$T$2:$T$495))&gt;0,INDEX('CASE MASTER'!$Y$2:$Y$495,(SUMPRODUCT((('CASE MASTER'!$T$2:$T$495=12)*('CASE MASTER'!$AA$2:$AA$495&lt;=10)*('CASE MASTER'!$AC$2:$AC$495&gt;=10)*('CASE MASTER'!$AB$2:$AB$495&lt;=3)*('CASE MASTER'!$AD$2:$AD$495&gt;=3))*ROW('CASE MASTER'!$T$2:$T$495))-(ROW('CASE MASTER'!#REF!)-1)))&amp;TRIM(MID(SUBSTITUTE(SUBSTITUTE(INDEX('CASE MASTER'!$N$2:$N$495,(SUMPRODUCT((('CASE MASTER'!$T$2:$T$495=12)*('CASE MASTER'!$AA$2:$AA$495&lt;=10)*('CASE MASTER'!$AC$2:$AC$495&gt;=10)*('CASE MASTER'!$AB$2:$AB$495&lt;=3)*('CASE MASTER'!$AD$2:$AD$495&gt;=3))*ROW('CASE MASTER'!$T$2:$T$495))-(ROW('CASE MASTER'!#REF!)-1))),":",","),",",REPT(" ",50)),(((INDEX('CASE MASTER'!$Z$2:$Z$495,(SUMPRODUCT((('CASE MASTER'!$T$2:$T$495=12)*('CASE MASTER'!$AA$2:$AA$495&lt;=10)*('CASE MASTER'!$AC$2:$AC$495&gt;=10)*('CASE MASTER'!$AB$2:$AB$495&lt;=3)*('CASE MASTER'!$AD$2:$AD$495&gt;=3))*ROW('CASE MASTER'!$T$2:$T$495))-(ROW('CASE MASTER'!#REF!)-1)))+((10-INDEX('CASE MASTER'!$AA$2:$AA$495,(SUMPRODUCT((('CASE MASTER'!$T$2:$T$495=12)*('CASE MASTER'!$AA$2:$AA$495&lt;=10)*('CASE MASTER'!$AC$2:$AC$495&gt;=10)*('CASE MASTER'!$AB$2:$AB$495&lt;=3)*('CASE MASTER'!$AD$2:$AD$495&gt;=3))*ROW('CASE MASTER'!$T$2:$T$495))-(ROW('CASE MASTER'!#REF!)-1))))*(INDEX('CASE MASTER'!$AD$2:$AD$495,(SUMPRODUCT((('CASE MASTER'!$T$2:$T$495=12)*('CASE MASTER'!$AA$2:$AA$495&lt;=10)*('CASE MASTER'!$AC$2:$AC$495&gt;=10)*('CASE MASTER'!$AB$2:$AB$495&lt;=3)*('CASE MASTER'!$AD$2:$AD$495&gt;=3))*ROW('CASE MASTER'!$T$2:$T$495))-(ROW('CASE MASTER'!#REF!)-1)))-INDEX('CASE MASTER'!$AB$2:$AB$495,(SUMPRODUCT((('CASE MASTER'!$T$2:$T$495=12)*('CASE MASTER'!$AA$2:$AA$495&lt;=10)*('CASE MASTER'!$AC$2:$AC$495&gt;=10)*('CASE MASTER'!$AB$2:$AB$495&lt;=3)*('CASE MASTER'!$AD$2:$AD$495&gt;=3))*ROW('CASE MASTER'!$T$2:$T$495))-(ROW('CASE MASTER'!#REF!)-1)))+1)+(3-INDEX('CASE MASTER'!$AB$2:$AB$495,(SUMPRODUCT((('CASE MASTER'!$T$2:$T$495=12)*('CASE MASTER'!$AA$2:$AA$495&lt;=10)*('CASE MASTER'!$AC$2:$AC$495&gt;=10)*('CASE MASTER'!$AB$2:$AB$495&lt;=3)*('CASE MASTER'!$AD$2:$AD$495&gt;=3))*ROW('CASE MASTER'!$T$2:$T$495))-(ROW('CASE MASTER'!#REF!)-1))))+1)))-1)*50+1,50))&amp;"_"&amp;INDEX('CASE MASTER'!$Q$2:$Q$495,(SUMPRODUCT((('CASE MASTER'!$T$2:$T$495=12)*('CASE MASTER'!$AA$2:$AA$495&lt;=10)*('CASE MASTER'!$AC$2:$AC$495&gt;=10)*('CASE MASTER'!$AB$2:$AB$495&lt;=3)*('CASE MASTER'!$AD$2:$AD$495&gt;=3))*ROW('CASE MASTER'!$T$2:$T$495))-(ROW('CASE MASTER'!#REF!)-1))),"")),"")</f>
        <v/>
      </c>
      <c r="E166" s="10" t="str">
        <f>IFERROR(IF(SUMPRODUCT((('CASE MASTER'!$T$2:$T$495=12)*('CASE MASTER'!$U$2:$U$495&lt;=10)*('CASE MASTER'!$W$2:$W$495&gt;=10)*('CASE MASTER'!$V$2:$V$495&lt;=4)*('CASE MASTER'!$X$2:$X$495&gt;=4))*ROW('CASE MASTER'!$T$2:$T$495))&gt;0,INDEX('CASE MASTER'!$Y$2:$Y$495,(SUMPRODUCT((('CASE MASTER'!$T$2:$T$495=12)*('CASE MASTER'!$U$2:$U$495&lt;=10)*('CASE MASTER'!$W$2:$W$495&gt;=10)*('CASE MASTER'!$V$2:$V$495&lt;=4)*('CASE MASTER'!$X$2:$X$495&gt;=4))*ROW('CASE MASTER'!$T$2:$T$495))-(ROW('CASE MASTER'!#REF!)-1)))&amp;TRIM(MID(SUBSTITUTE(SUBSTITUTE(INDEX('CASE MASTER'!$N$2:$N$495,(SUMPRODUCT((('CASE MASTER'!$T$2:$T$495=12)*('CASE MASTER'!$U$2:$U$495&lt;=10)*('CASE MASTER'!$W$2:$W$495&gt;=10)*('CASE MASTER'!$V$2:$V$495&lt;=4)*('CASE MASTER'!$X$2:$X$495&gt;=4))*ROW('CASE MASTER'!$T$2:$T$495))-(ROW('CASE MASTER'!#REF!)-1))),":",","),",",REPT(" ",50)),((((10-INDEX('CASE MASTER'!$U$2:$U$495,(SUMPRODUCT((('CASE MASTER'!$T$2:$T$495=12)*('CASE MASTER'!$U$2:$U$495&lt;=10)*('CASE MASTER'!$W$2:$W$495&gt;=10)*('CASE MASTER'!$V$2:$V$495&lt;=4)*('CASE MASTER'!$X$2:$X$495&gt;=4))*ROW('CASE MASTER'!$T$2:$T$495))-(ROW('CASE MASTER'!#REF!)-1))))*(INDEX('CASE MASTER'!$X$2:$X$495,(SUMPRODUCT((('CASE MASTER'!$T$2:$T$495=12)*('CASE MASTER'!$U$2:$U$495&lt;=10)*('CASE MASTER'!$W$2:$W$495&gt;=10)*('CASE MASTER'!$V$2:$V$495&lt;=4)*('CASE MASTER'!$X$2:$X$495&gt;=4))*ROW('CASE MASTER'!$T$2:$T$495))-(ROW('CASE MASTER'!#REF!)-1)))-INDEX('CASE MASTER'!$V$2:$V$495,(SUMPRODUCT((('CASE MASTER'!$T$2:$T$495=12)*('CASE MASTER'!$U$2:$U$495&lt;=10)*('CASE MASTER'!$W$2:$W$495&gt;=10)*('CASE MASTER'!$V$2:$V$495&lt;=4)*('CASE MASTER'!$X$2:$X$495&gt;=4))*ROW('CASE MASTER'!$T$2:$T$495))-(ROW('CASE MASTER'!#REF!)-1)))+1)+(4-INDEX('CASE MASTER'!$V$2:$V$495,(SUMPRODUCT((('CASE MASTER'!$T$2:$T$495=12)*('CASE MASTER'!$U$2:$U$495&lt;=10)*('CASE MASTER'!$W$2:$W$495&gt;=10)*('CASE MASTER'!$V$2:$V$495&lt;=4)*('CASE MASTER'!$X$2:$X$495&gt;=4))*ROW('CASE MASTER'!$T$2:$T$495))-(ROW('CASE MASTER'!#REF!)-1))))+1))-1)*50+1,50))&amp;"_"&amp;INDEX('CASE MASTER'!$Q$2:$Q$495,(SUMPRODUCT((('CASE MASTER'!$T$2:$T$495=12)*('CASE MASTER'!$U$2:$U$495&lt;=10)*('CASE MASTER'!$W$2:$W$495&gt;=10)*('CASE MASTER'!$V$2:$V$495&lt;=4)*('CASE MASTER'!$X$2:$X$495&gt;=4))*ROW('CASE MASTER'!$T$2:$T$495))-(ROW('CASE MASTER'!#REF!)-1))),IF(SUMPRODUCT((('CASE MASTER'!$T$2:$T$495=12)*('CASE MASTER'!$AA$2:$AA$495&lt;=10)*('CASE MASTER'!$AC$2:$AC$495&gt;=10)*('CASE MASTER'!$AB$2:$AB$495&lt;=4)*('CASE MASTER'!$AD$2:$AD$495&gt;=4))*ROW('CASE MASTER'!$T$2:$T$495))&gt;0,INDEX('CASE MASTER'!$Y$2:$Y$495,(SUMPRODUCT((('CASE MASTER'!$T$2:$T$495=12)*('CASE MASTER'!$AA$2:$AA$495&lt;=10)*('CASE MASTER'!$AC$2:$AC$495&gt;=10)*('CASE MASTER'!$AB$2:$AB$495&lt;=4)*('CASE MASTER'!$AD$2:$AD$495&gt;=4))*ROW('CASE MASTER'!$T$2:$T$495))-(ROW('CASE MASTER'!#REF!)-1)))&amp;TRIM(MID(SUBSTITUTE(SUBSTITUTE(INDEX('CASE MASTER'!$N$2:$N$495,(SUMPRODUCT((('CASE MASTER'!$T$2:$T$495=12)*('CASE MASTER'!$AA$2:$AA$495&lt;=10)*('CASE MASTER'!$AC$2:$AC$495&gt;=10)*('CASE MASTER'!$AB$2:$AB$495&lt;=4)*('CASE MASTER'!$AD$2:$AD$495&gt;=4))*ROW('CASE MASTER'!$T$2:$T$495))-(ROW('CASE MASTER'!#REF!)-1))),":",","),",",REPT(" ",50)),(((INDEX('CASE MASTER'!$Z$2:$Z$495,(SUMPRODUCT((('CASE MASTER'!$T$2:$T$495=12)*('CASE MASTER'!$AA$2:$AA$495&lt;=10)*('CASE MASTER'!$AC$2:$AC$495&gt;=10)*('CASE MASTER'!$AB$2:$AB$495&lt;=4)*('CASE MASTER'!$AD$2:$AD$495&gt;=4))*ROW('CASE MASTER'!$T$2:$T$495))-(ROW('CASE MASTER'!#REF!)-1)))+((10-INDEX('CASE MASTER'!$AA$2:$AA$495,(SUMPRODUCT((('CASE MASTER'!$T$2:$T$495=12)*('CASE MASTER'!$AA$2:$AA$495&lt;=10)*('CASE MASTER'!$AC$2:$AC$495&gt;=10)*('CASE MASTER'!$AB$2:$AB$495&lt;=4)*('CASE MASTER'!$AD$2:$AD$495&gt;=4))*ROW('CASE MASTER'!$T$2:$T$495))-(ROW('CASE MASTER'!#REF!)-1))))*(INDEX('CASE MASTER'!$AD$2:$AD$495,(SUMPRODUCT((('CASE MASTER'!$T$2:$T$495=12)*('CASE MASTER'!$AA$2:$AA$495&lt;=10)*('CASE MASTER'!$AC$2:$AC$495&gt;=10)*('CASE MASTER'!$AB$2:$AB$495&lt;=4)*('CASE MASTER'!$AD$2:$AD$495&gt;=4))*ROW('CASE MASTER'!$T$2:$T$495))-(ROW('CASE MASTER'!#REF!)-1)))-INDEX('CASE MASTER'!$AB$2:$AB$495,(SUMPRODUCT((('CASE MASTER'!$T$2:$T$495=12)*('CASE MASTER'!$AA$2:$AA$495&lt;=10)*('CASE MASTER'!$AC$2:$AC$495&gt;=10)*('CASE MASTER'!$AB$2:$AB$495&lt;=4)*('CASE MASTER'!$AD$2:$AD$495&gt;=4))*ROW('CASE MASTER'!$T$2:$T$495))-(ROW('CASE MASTER'!#REF!)-1)))+1)+(4-INDEX('CASE MASTER'!$AB$2:$AB$495,(SUMPRODUCT((('CASE MASTER'!$T$2:$T$495=12)*('CASE MASTER'!$AA$2:$AA$495&lt;=10)*('CASE MASTER'!$AC$2:$AC$495&gt;=10)*('CASE MASTER'!$AB$2:$AB$495&lt;=4)*('CASE MASTER'!$AD$2:$AD$495&gt;=4))*ROW('CASE MASTER'!$T$2:$T$495))-(ROW('CASE MASTER'!#REF!)-1))))+1)))-1)*50+1,50))&amp;"_"&amp;INDEX('CASE MASTER'!$Q$2:$Q$495,(SUMPRODUCT((('CASE MASTER'!$T$2:$T$495=12)*('CASE MASTER'!$AA$2:$AA$495&lt;=10)*('CASE MASTER'!$AC$2:$AC$495&gt;=10)*('CASE MASTER'!$AB$2:$AB$495&lt;=4)*('CASE MASTER'!$AD$2:$AD$495&gt;=4))*ROW('CASE MASTER'!$T$2:$T$495))-(ROW('CASE MASTER'!#REF!)-1))),"")),"")</f>
        <v/>
      </c>
      <c r="F166" s="10" t="str">
        <f>IFERROR(IF(SUMPRODUCT((('CASE MASTER'!$T$2:$T$495=12)*('CASE MASTER'!$U$2:$U$495&lt;=10)*('CASE MASTER'!$W$2:$W$495&gt;=10)*('CASE MASTER'!$V$2:$V$495&lt;=5)*('CASE MASTER'!$X$2:$X$495&gt;=5))*ROW('CASE MASTER'!$T$2:$T$495))&gt;0,INDEX('CASE MASTER'!$Y$2:$Y$495,(SUMPRODUCT((('CASE MASTER'!$T$2:$T$495=12)*('CASE MASTER'!$U$2:$U$495&lt;=10)*('CASE MASTER'!$W$2:$W$495&gt;=10)*('CASE MASTER'!$V$2:$V$495&lt;=5)*('CASE MASTER'!$X$2:$X$495&gt;=5))*ROW('CASE MASTER'!$T$2:$T$495))-(ROW('CASE MASTER'!#REF!)-1)))&amp;TRIM(MID(SUBSTITUTE(SUBSTITUTE(INDEX('CASE MASTER'!$N$2:$N$495,(SUMPRODUCT((('CASE MASTER'!$T$2:$T$495=12)*('CASE MASTER'!$U$2:$U$495&lt;=10)*('CASE MASTER'!$W$2:$W$495&gt;=10)*('CASE MASTER'!$V$2:$V$495&lt;=5)*('CASE MASTER'!$X$2:$X$495&gt;=5))*ROW('CASE MASTER'!$T$2:$T$495))-(ROW('CASE MASTER'!#REF!)-1))),":",","),",",REPT(" ",50)),((((10-INDEX('CASE MASTER'!$U$2:$U$495,(SUMPRODUCT((('CASE MASTER'!$T$2:$T$495=12)*('CASE MASTER'!$U$2:$U$495&lt;=10)*('CASE MASTER'!$W$2:$W$495&gt;=10)*('CASE MASTER'!$V$2:$V$495&lt;=5)*('CASE MASTER'!$X$2:$X$495&gt;=5))*ROW('CASE MASTER'!$T$2:$T$495))-(ROW('CASE MASTER'!#REF!)-1))))*(INDEX('CASE MASTER'!$X$2:$X$495,(SUMPRODUCT((('CASE MASTER'!$T$2:$T$495=12)*('CASE MASTER'!$U$2:$U$495&lt;=10)*('CASE MASTER'!$W$2:$W$495&gt;=10)*('CASE MASTER'!$V$2:$V$495&lt;=5)*('CASE MASTER'!$X$2:$X$495&gt;=5))*ROW('CASE MASTER'!$T$2:$T$495))-(ROW('CASE MASTER'!#REF!)-1)))-INDEX('CASE MASTER'!$V$2:$V$495,(SUMPRODUCT((('CASE MASTER'!$T$2:$T$495=12)*('CASE MASTER'!$U$2:$U$495&lt;=10)*('CASE MASTER'!$W$2:$W$495&gt;=10)*('CASE MASTER'!$V$2:$V$495&lt;=5)*('CASE MASTER'!$X$2:$X$495&gt;=5))*ROW('CASE MASTER'!$T$2:$T$495))-(ROW('CASE MASTER'!#REF!)-1)))+1)+(5-INDEX('CASE MASTER'!$V$2:$V$495,(SUMPRODUCT((('CASE MASTER'!$T$2:$T$495=12)*('CASE MASTER'!$U$2:$U$495&lt;=10)*('CASE MASTER'!$W$2:$W$495&gt;=10)*('CASE MASTER'!$V$2:$V$495&lt;=5)*('CASE MASTER'!$X$2:$X$495&gt;=5))*ROW('CASE MASTER'!$T$2:$T$495))-(ROW('CASE MASTER'!#REF!)-1))))+1))-1)*50+1,50))&amp;"_"&amp;INDEX('CASE MASTER'!$Q$2:$Q$495,(SUMPRODUCT((('CASE MASTER'!$T$2:$T$495=12)*('CASE MASTER'!$U$2:$U$495&lt;=10)*('CASE MASTER'!$W$2:$W$495&gt;=10)*('CASE MASTER'!$V$2:$V$495&lt;=5)*('CASE MASTER'!$X$2:$X$495&gt;=5))*ROW('CASE MASTER'!$T$2:$T$495))-(ROW('CASE MASTER'!#REF!)-1))),IF(SUMPRODUCT((('CASE MASTER'!$T$2:$T$495=12)*('CASE MASTER'!$AA$2:$AA$495&lt;=10)*('CASE MASTER'!$AC$2:$AC$495&gt;=10)*('CASE MASTER'!$AB$2:$AB$495&lt;=5)*('CASE MASTER'!$AD$2:$AD$495&gt;=5))*ROW('CASE MASTER'!$T$2:$T$495))&gt;0,INDEX('CASE MASTER'!$Y$2:$Y$495,(SUMPRODUCT((('CASE MASTER'!$T$2:$T$495=12)*('CASE MASTER'!$AA$2:$AA$495&lt;=10)*('CASE MASTER'!$AC$2:$AC$495&gt;=10)*('CASE MASTER'!$AB$2:$AB$495&lt;=5)*('CASE MASTER'!$AD$2:$AD$495&gt;=5))*ROW('CASE MASTER'!$T$2:$T$495))-(ROW('CASE MASTER'!#REF!)-1)))&amp;TRIM(MID(SUBSTITUTE(SUBSTITUTE(INDEX('CASE MASTER'!$N$2:$N$495,(SUMPRODUCT((('CASE MASTER'!$T$2:$T$495=12)*('CASE MASTER'!$AA$2:$AA$495&lt;=10)*('CASE MASTER'!$AC$2:$AC$495&gt;=10)*('CASE MASTER'!$AB$2:$AB$495&lt;=5)*('CASE MASTER'!$AD$2:$AD$495&gt;=5))*ROW('CASE MASTER'!$T$2:$T$495))-(ROW('CASE MASTER'!#REF!)-1))),":",","),",",REPT(" ",50)),(((INDEX('CASE MASTER'!$Z$2:$Z$495,(SUMPRODUCT((('CASE MASTER'!$T$2:$T$495=12)*('CASE MASTER'!$AA$2:$AA$495&lt;=10)*('CASE MASTER'!$AC$2:$AC$495&gt;=10)*('CASE MASTER'!$AB$2:$AB$495&lt;=5)*('CASE MASTER'!$AD$2:$AD$495&gt;=5))*ROW('CASE MASTER'!$T$2:$T$495))-(ROW('CASE MASTER'!#REF!)-1)))+((10-INDEX('CASE MASTER'!$AA$2:$AA$495,(SUMPRODUCT((('CASE MASTER'!$T$2:$T$495=12)*('CASE MASTER'!$AA$2:$AA$495&lt;=10)*('CASE MASTER'!$AC$2:$AC$495&gt;=10)*('CASE MASTER'!$AB$2:$AB$495&lt;=5)*('CASE MASTER'!$AD$2:$AD$495&gt;=5))*ROW('CASE MASTER'!$T$2:$T$495))-(ROW('CASE MASTER'!#REF!)-1))))*(INDEX('CASE MASTER'!$AD$2:$AD$495,(SUMPRODUCT((('CASE MASTER'!$T$2:$T$495=12)*('CASE MASTER'!$AA$2:$AA$495&lt;=10)*('CASE MASTER'!$AC$2:$AC$495&gt;=10)*('CASE MASTER'!$AB$2:$AB$495&lt;=5)*('CASE MASTER'!$AD$2:$AD$495&gt;=5))*ROW('CASE MASTER'!$T$2:$T$495))-(ROW('CASE MASTER'!#REF!)-1)))-INDEX('CASE MASTER'!$AB$2:$AB$495,(SUMPRODUCT((('CASE MASTER'!$T$2:$T$495=12)*('CASE MASTER'!$AA$2:$AA$495&lt;=10)*('CASE MASTER'!$AC$2:$AC$495&gt;=10)*('CASE MASTER'!$AB$2:$AB$495&lt;=5)*('CASE MASTER'!$AD$2:$AD$495&gt;=5))*ROW('CASE MASTER'!$T$2:$T$495))-(ROW('CASE MASTER'!#REF!)-1)))+1)+(5-INDEX('CASE MASTER'!$AB$2:$AB$495,(SUMPRODUCT((('CASE MASTER'!$T$2:$T$495=12)*('CASE MASTER'!$AA$2:$AA$495&lt;=10)*('CASE MASTER'!$AC$2:$AC$495&gt;=10)*('CASE MASTER'!$AB$2:$AB$495&lt;=5)*('CASE MASTER'!$AD$2:$AD$495&gt;=5))*ROW('CASE MASTER'!$T$2:$T$495))-(ROW('CASE MASTER'!#REF!)-1))))+1)))-1)*50+1,50))&amp;"_"&amp;INDEX('CASE MASTER'!$Q$2:$Q$495,(SUMPRODUCT((('CASE MASTER'!$T$2:$T$495=12)*('CASE MASTER'!$AA$2:$AA$495&lt;=10)*('CASE MASTER'!$AC$2:$AC$495&gt;=10)*('CASE MASTER'!$AB$2:$AB$495&lt;=5)*('CASE MASTER'!$AD$2:$AD$495&gt;=5))*ROW('CASE MASTER'!$T$2:$T$495))-(ROW('CASE MASTER'!#REF!)-1))),"")),"")</f>
        <v/>
      </c>
      <c r="G166" s="10" t="str">
        <f>IFERROR(IF(SUMPRODUCT((('CASE MASTER'!$T$2:$T$495=12)*('CASE MASTER'!$U$2:$U$495&lt;=10)*('CASE MASTER'!$W$2:$W$495&gt;=10)*('CASE MASTER'!$V$2:$V$495&lt;=6)*('CASE MASTER'!$X$2:$X$495&gt;=6))*ROW('CASE MASTER'!$T$2:$T$495))&gt;0,INDEX('CASE MASTER'!$Y$2:$Y$495,(SUMPRODUCT((('CASE MASTER'!$T$2:$T$495=12)*('CASE MASTER'!$U$2:$U$495&lt;=10)*('CASE MASTER'!$W$2:$W$495&gt;=10)*('CASE MASTER'!$V$2:$V$495&lt;=6)*('CASE MASTER'!$X$2:$X$495&gt;=6))*ROW('CASE MASTER'!$T$2:$T$495))-(ROW('CASE MASTER'!#REF!)-1)))&amp;TRIM(MID(SUBSTITUTE(SUBSTITUTE(INDEX('CASE MASTER'!$N$2:$N$495,(SUMPRODUCT((('CASE MASTER'!$T$2:$T$495=12)*('CASE MASTER'!$U$2:$U$495&lt;=10)*('CASE MASTER'!$W$2:$W$495&gt;=10)*('CASE MASTER'!$V$2:$V$495&lt;=6)*('CASE MASTER'!$X$2:$X$495&gt;=6))*ROW('CASE MASTER'!$T$2:$T$495))-(ROW('CASE MASTER'!#REF!)-1))),":",","),",",REPT(" ",50)),((((10-INDEX('CASE MASTER'!$U$2:$U$495,(SUMPRODUCT((('CASE MASTER'!$T$2:$T$495=12)*('CASE MASTER'!$U$2:$U$495&lt;=10)*('CASE MASTER'!$W$2:$W$495&gt;=10)*('CASE MASTER'!$V$2:$V$495&lt;=6)*('CASE MASTER'!$X$2:$X$495&gt;=6))*ROW('CASE MASTER'!$T$2:$T$495))-(ROW('CASE MASTER'!#REF!)-1))))*(INDEX('CASE MASTER'!$X$2:$X$495,(SUMPRODUCT((('CASE MASTER'!$T$2:$T$495=12)*('CASE MASTER'!$U$2:$U$495&lt;=10)*('CASE MASTER'!$W$2:$W$495&gt;=10)*('CASE MASTER'!$V$2:$V$495&lt;=6)*('CASE MASTER'!$X$2:$X$495&gt;=6))*ROW('CASE MASTER'!$T$2:$T$495))-(ROW('CASE MASTER'!#REF!)-1)))-INDEX('CASE MASTER'!$V$2:$V$495,(SUMPRODUCT((('CASE MASTER'!$T$2:$T$495=12)*('CASE MASTER'!$U$2:$U$495&lt;=10)*('CASE MASTER'!$W$2:$W$495&gt;=10)*('CASE MASTER'!$V$2:$V$495&lt;=6)*('CASE MASTER'!$X$2:$X$495&gt;=6))*ROW('CASE MASTER'!$T$2:$T$495))-(ROW('CASE MASTER'!#REF!)-1)))+1)+(6-INDEX('CASE MASTER'!$V$2:$V$495,(SUMPRODUCT((('CASE MASTER'!$T$2:$T$495=12)*('CASE MASTER'!$U$2:$U$495&lt;=10)*('CASE MASTER'!$W$2:$W$495&gt;=10)*('CASE MASTER'!$V$2:$V$495&lt;=6)*('CASE MASTER'!$X$2:$X$495&gt;=6))*ROW('CASE MASTER'!$T$2:$T$495))-(ROW('CASE MASTER'!#REF!)-1))))+1))-1)*50+1,50))&amp;"_"&amp;INDEX('CASE MASTER'!$Q$2:$Q$495,(SUMPRODUCT((('CASE MASTER'!$T$2:$T$495=12)*('CASE MASTER'!$U$2:$U$495&lt;=10)*('CASE MASTER'!$W$2:$W$495&gt;=10)*('CASE MASTER'!$V$2:$V$495&lt;=6)*('CASE MASTER'!$X$2:$X$495&gt;=6))*ROW('CASE MASTER'!$T$2:$T$495))-(ROW('CASE MASTER'!#REF!)-1))),IF(SUMPRODUCT((('CASE MASTER'!$T$2:$T$495=12)*('CASE MASTER'!$AA$2:$AA$495&lt;=10)*('CASE MASTER'!$AC$2:$AC$495&gt;=10)*('CASE MASTER'!$AB$2:$AB$495&lt;=6)*('CASE MASTER'!$AD$2:$AD$495&gt;=6))*ROW('CASE MASTER'!$T$2:$T$495))&gt;0,INDEX('CASE MASTER'!$Y$2:$Y$495,(SUMPRODUCT((('CASE MASTER'!$T$2:$T$495=12)*('CASE MASTER'!$AA$2:$AA$495&lt;=10)*('CASE MASTER'!$AC$2:$AC$495&gt;=10)*('CASE MASTER'!$AB$2:$AB$495&lt;=6)*('CASE MASTER'!$AD$2:$AD$495&gt;=6))*ROW('CASE MASTER'!$T$2:$T$495))-(ROW('CASE MASTER'!#REF!)-1)))&amp;TRIM(MID(SUBSTITUTE(SUBSTITUTE(INDEX('CASE MASTER'!$N$2:$N$495,(SUMPRODUCT((('CASE MASTER'!$T$2:$T$495=12)*('CASE MASTER'!$AA$2:$AA$495&lt;=10)*('CASE MASTER'!$AC$2:$AC$495&gt;=10)*('CASE MASTER'!$AB$2:$AB$495&lt;=6)*('CASE MASTER'!$AD$2:$AD$495&gt;=6))*ROW('CASE MASTER'!$T$2:$T$495))-(ROW('CASE MASTER'!#REF!)-1))),":",","),",",REPT(" ",50)),(((INDEX('CASE MASTER'!$Z$2:$Z$495,(SUMPRODUCT((('CASE MASTER'!$T$2:$T$495=12)*('CASE MASTER'!$AA$2:$AA$495&lt;=10)*('CASE MASTER'!$AC$2:$AC$495&gt;=10)*('CASE MASTER'!$AB$2:$AB$495&lt;=6)*('CASE MASTER'!$AD$2:$AD$495&gt;=6))*ROW('CASE MASTER'!$T$2:$T$495))-(ROW('CASE MASTER'!#REF!)-1)))+((10-INDEX('CASE MASTER'!$AA$2:$AA$495,(SUMPRODUCT((('CASE MASTER'!$T$2:$T$495=12)*('CASE MASTER'!$AA$2:$AA$495&lt;=10)*('CASE MASTER'!$AC$2:$AC$495&gt;=10)*('CASE MASTER'!$AB$2:$AB$495&lt;=6)*('CASE MASTER'!$AD$2:$AD$495&gt;=6))*ROW('CASE MASTER'!$T$2:$T$495))-(ROW('CASE MASTER'!#REF!)-1))))*(INDEX('CASE MASTER'!$AD$2:$AD$495,(SUMPRODUCT((('CASE MASTER'!$T$2:$T$495=12)*('CASE MASTER'!$AA$2:$AA$495&lt;=10)*('CASE MASTER'!$AC$2:$AC$495&gt;=10)*('CASE MASTER'!$AB$2:$AB$495&lt;=6)*('CASE MASTER'!$AD$2:$AD$495&gt;=6))*ROW('CASE MASTER'!$T$2:$T$495))-(ROW('CASE MASTER'!#REF!)-1)))-INDEX('CASE MASTER'!$AB$2:$AB$495,(SUMPRODUCT((('CASE MASTER'!$T$2:$T$495=12)*('CASE MASTER'!$AA$2:$AA$495&lt;=10)*('CASE MASTER'!$AC$2:$AC$495&gt;=10)*('CASE MASTER'!$AB$2:$AB$495&lt;=6)*('CASE MASTER'!$AD$2:$AD$495&gt;=6))*ROW('CASE MASTER'!$T$2:$T$495))-(ROW('CASE MASTER'!#REF!)-1)))+1)+(6-INDEX('CASE MASTER'!$AB$2:$AB$495,(SUMPRODUCT((('CASE MASTER'!$T$2:$T$495=12)*('CASE MASTER'!$AA$2:$AA$495&lt;=10)*('CASE MASTER'!$AC$2:$AC$495&gt;=10)*('CASE MASTER'!$AB$2:$AB$495&lt;=6)*('CASE MASTER'!$AD$2:$AD$495&gt;=6))*ROW('CASE MASTER'!$T$2:$T$495))-(ROW('CASE MASTER'!#REF!)-1))))+1)))-1)*50+1,50))&amp;"_"&amp;INDEX('CASE MASTER'!$Q$2:$Q$495,(SUMPRODUCT((('CASE MASTER'!$T$2:$T$495=12)*('CASE MASTER'!$AA$2:$AA$495&lt;=10)*('CASE MASTER'!$AC$2:$AC$495&gt;=10)*('CASE MASTER'!$AB$2:$AB$495&lt;=6)*('CASE MASTER'!$AD$2:$AD$495&gt;=6))*ROW('CASE MASTER'!$T$2:$T$495))-(ROW('CASE MASTER'!#REF!)-1))),"")),"")</f>
        <v/>
      </c>
      <c r="H166" s="10" t="str">
        <f>IFERROR(IF(SUMPRODUCT((('CASE MASTER'!$T$2:$T$495=12)*('CASE MASTER'!$U$2:$U$495&lt;=10)*('CASE MASTER'!$W$2:$W$495&gt;=10)*('CASE MASTER'!$V$2:$V$495&lt;=7)*('CASE MASTER'!$X$2:$X$495&gt;=7))*ROW('CASE MASTER'!$T$2:$T$495))&gt;0,INDEX('CASE MASTER'!$Y$2:$Y$495,(SUMPRODUCT((('CASE MASTER'!$T$2:$T$495=12)*('CASE MASTER'!$U$2:$U$495&lt;=10)*('CASE MASTER'!$W$2:$W$495&gt;=10)*('CASE MASTER'!$V$2:$V$495&lt;=7)*('CASE MASTER'!$X$2:$X$495&gt;=7))*ROW('CASE MASTER'!$T$2:$T$495))-(ROW('CASE MASTER'!#REF!)-1)))&amp;TRIM(MID(SUBSTITUTE(SUBSTITUTE(INDEX('CASE MASTER'!$N$2:$N$495,(SUMPRODUCT((('CASE MASTER'!$T$2:$T$495=12)*('CASE MASTER'!$U$2:$U$495&lt;=10)*('CASE MASTER'!$W$2:$W$495&gt;=10)*('CASE MASTER'!$V$2:$V$495&lt;=7)*('CASE MASTER'!$X$2:$X$495&gt;=7))*ROW('CASE MASTER'!$T$2:$T$495))-(ROW('CASE MASTER'!#REF!)-1))),":",","),",",REPT(" ",50)),((((10-INDEX('CASE MASTER'!$U$2:$U$495,(SUMPRODUCT((('CASE MASTER'!$T$2:$T$495=12)*('CASE MASTER'!$U$2:$U$495&lt;=10)*('CASE MASTER'!$W$2:$W$495&gt;=10)*('CASE MASTER'!$V$2:$V$495&lt;=7)*('CASE MASTER'!$X$2:$X$495&gt;=7))*ROW('CASE MASTER'!$T$2:$T$495))-(ROW('CASE MASTER'!#REF!)-1))))*(INDEX('CASE MASTER'!$X$2:$X$495,(SUMPRODUCT((('CASE MASTER'!$T$2:$T$495=12)*('CASE MASTER'!$U$2:$U$495&lt;=10)*('CASE MASTER'!$W$2:$W$495&gt;=10)*('CASE MASTER'!$V$2:$V$495&lt;=7)*('CASE MASTER'!$X$2:$X$495&gt;=7))*ROW('CASE MASTER'!$T$2:$T$495))-(ROW('CASE MASTER'!#REF!)-1)))-INDEX('CASE MASTER'!$V$2:$V$495,(SUMPRODUCT((('CASE MASTER'!$T$2:$T$495=12)*('CASE MASTER'!$U$2:$U$495&lt;=10)*('CASE MASTER'!$W$2:$W$495&gt;=10)*('CASE MASTER'!$V$2:$V$495&lt;=7)*('CASE MASTER'!$X$2:$X$495&gt;=7))*ROW('CASE MASTER'!$T$2:$T$495))-(ROW('CASE MASTER'!#REF!)-1)))+1)+(7-INDEX('CASE MASTER'!$V$2:$V$495,(SUMPRODUCT((('CASE MASTER'!$T$2:$T$495=12)*('CASE MASTER'!$U$2:$U$495&lt;=10)*('CASE MASTER'!$W$2:$W$495&gt;=10)*('CASE MASTER'!$V$2:$V$495&lt;=7)*('CASE MASTER'!$X$2:$X$495&gt;=7))*ROW('CASE MASTER'!$T$2:$T$495))-(ROW('CASE MASTER'!#REF!)-1))))+1))-1)*50+1,50))&amp;"_"&amp;INDEX('CASE MASTER'!$Q$2:$Q$495,(SUMPRODUCT((('CASE MASTER'!$T$2:$T$495=12)*('CASE MASTER'!$U$2:$U$495&lt;=10)*('CASE MASTER'!$W$2:$W$495&gt;=10)*('CASE MASTER'!$V$2:$V$495&lt;=7)*('CASE MASTER'!$X$2:$X$495&gt;=7))*ROW('CASE MASTER'!$T$2:$T$495))-(ROW('CASE MASTER'!#REF!)-1))),IF(SUMPRODUCT((('CASE MASTER'!$T$2:$T$495=12)*('CASE MASTER'!$AA$2:$AA$495&lt;=10)*('CASE MASTER'!$AC$2:$AC$495&gt;=10)*('CASE MASTER'!$AB$2:$AB$495&lt;=7)*('CASE MASTER'!$AD$2:$AD$495&gt;=7))*ROW('CASE MASTER'!$T$2:$T$495))&gt;0,INDEX('CASE MASTER'!$Y$2:$Y$495,(SUMPRODUCT((('CASE MASTER'!$T$2:$T$495=12)*('CASE MASTER'!$AA$2:$AA$495&lt;=10)*('CASE MASTER'!$AC$2:$AC$495&gt;=10)*('CASE MASTER'!$AB$2:$AB$495&lt;=7)*('CASE MASTER'!$AD$2:$AD$495&gt;=7))*ROW('CASE MASTER'!$T$2:$T$495))-(ROW('CASE MASTER'!#REF!)-1)))&amp;TRIM(MID(SUBSTITUTE(SUBSTITUTE(INDEX('CASE MASTER'!$N$2:$N$495,(SUMPRODUCT((('CASE MASTER'!$T$2:$T$495=12)*('CASE MASTER'!$AA$2:$AA$495&lt;=10)*('CASE MASTER'!$AC$2:$AC$495&gt;=10)*('CASE MASTER'!$AB$2:$AB$495&lt;=7)*('CASE MASTER'!$AD$2:$AD$495&gt;=7))*ROW('CASE MASTER'!$T$2:$T$495))-(ROW('CASE MASTER'!#REF!)-1))),":",","),",",REPT(" ",50)),(((INDEX('CASE MASTER'!$Z$2:$Z$495,(SUMPRODUCT((('CASE MASTER'!$T$2:$T$495=12)*('CASE MASTER'!$AA$2:$AA$495&lt;=10)*('CASE MASTER'!$AC$2:$AC$495&gt;=10)*('CASE MASTER'!$AB$2:$AB$495&lt;=7)*('CASE MASTER'!$AD$2:$AD$495&gt;=7))*ROW('CASE MASTER'!$T$2:$T$495))-(ROW('CASE MASTER'!#REF!)-1)))+((10-INDEX('CASE MASTER'!$AA$2:$AA$495,(SUMPRODUCT((('CASE MASTER'!$T$2:$T$495=12)*('CASE MASTER'!$AA$2:$AA$495&lt;=10)*('CASE MASTER'!$AC$2:$AC$495&gt;=10)*('CASE MASTER'!$AB$2:$AB$495&lt;=7)*('CASE MASTER'!$AD$2:$AD$495&gt;=7))*ROW('CASE MASTER'!$T$2:$T$495))-(ROW('CASE MASTER'!#REF!)-1))))*(INDEX('CASE MASTER'!$AD$2:$AD$495,(SUMPRODUCT((('CASE MASTER'!$T$2:$T$495=12)*('CASE MASTER'!$AA$2:$AA$495&lt;=10)*('CASE MASTER'!$AC$2:$AC$495&gt;=10)*('CASE MASTER'!$AB$2:$AB$495&lt;=7)*('CASE MASTER'!$AD$2:$AD$495&gt;=7))*ROW('CASE MASTER'!$T$2:$T$495))-(ROW('CASE MASTER'!#REF!)-1)))-INDEX('CASE MASTER'!$AB$2:$AB$495,(SUMPRODUCT((('CASE MASTER'!$T$2:$T$495=12)*('CASE MASTER'!$AA$2:$AA$495&lt;=10)*('CASE MASTER'!$AC$2:$AC$495&gt;=10)*('CASE MASTER'!$AB$2:$AB$495&lt;=7)*('CASE MASTER'!$AD$2:$AD$495&gt;=7))*ROW('CASE MASTER'!$T$2:$T$495))-(ROW('CASE MASTER'!#REF!)-1)))+1)+(7-INDEX('CASE MASTER'!$AB$2:$AB$495,(SUMPRODUCT((('CASE MASTER'!$T$2:$T$495=12)*('CASE MASTER'!$AA$2:$AA$495&lt;=10)*('CASE MASTER'!$AC$2:$AC$495&gt;=10)*('CASE MASTER'!$AB$2:$AB$495&lt;=7)*('CASE MASTER'!$AD$2:$AD$495&gt;=7))*ROW('CASE MASTER'!$T$2:$T$495))-(ROW('CASE MASTER'!#REF!)-1))))+1)))-1)*50+1,50))&amp;"_"&amp;INDEX('CASE MASTER'!$Q$2:$Q$495,(SUMPRODUCT((('CASE MASTER'!$T$2:$T$495=12)*('CASE MASTER'!$AA$2:$AA$495&lt;=10)*('CASE MASTER'!$AC$2:$AC$495&gt;=10)*('CASE MASTER'!$AB$2:$AB$495&lt;=7)*('CASE MASTER'!$AD$2:$AD$495&gt;=7))*ROW('CASE MASTER'!$T$2:$T$495))-(ROW('CASE MASTER'!#REF!)-1))),"")),"")</f>
        <v/>
      </c>
      <c r="I166" s="10" t="str">
        <f>IFERROR(IF(SUMPRODUCT((('CASE MASTER'!$T$2:$T$495=12)*('CASE MASTER'!$U$2:$U$495&lt;=10)*('CASE MASTER'!$W$2:$W$495&gt;=10)*('CASE MASTER'!$V$2:$V$495&lt;=8)*('CASE MASTER'!$X$2:$X$495&gt;=8))*ROW('CASE MASTER'!$T$2:$T$495))&gt;0,INDEX('CASE MASTER'!$Y$2:$Y$495,(SUMPRODUCT((('CASE MASTER'!$T$2:$T$495=12)*('CASE MASTER'!$U$2:$U$495&lt;=10)*('CASE MASTER'!$W$2:$W$495&gt;=10)*('CASE MASTER'!$V$2:$V$495&lt;=8)*('CASE MASTER'!$X$2:$X$495&gt;=8))*ROW('CASE MASTER'!$T$2:$T$495))-(ROW('CASE MASTER'!#REF!)-1)))&amp;TRIM(MID(SUBSTITUTE(SUBSTITUTE(INDEX('CASE MASTER'!$N$2:$N$495,(SUMPRODUCT((('CASE MASTER'!$T$2:$T$495=12)*('CASE MASTER'!$U$2:$U$495&lt;=10)*('CASE MASTER'!$W$2:$W$495&gt;=10)*('CASE MASTER'!$V$2:$V$495&lt;=8)*('CASE MASTER'!$X$2:$X$495&gt;=8))*ROW('CASE MASTER'!$T$2:$T$495))-(ROW('CASE MASTER'!#REF!)-1))),":",","),",",REPT(" ",50)),((((10-INDEX('CASE MASTER'!$U$2:$U$495,(SUMPRODUCT((('CASE MASTER'!$T$2:$T$495=12)*('CASE MASTER'!$U$2:$U$495&lt;=10)*('CASE MASTER'!$W$2:$W$495&gt;=10)*('CASE MASTER'!$V$2:$V$495&lt;=8)*('CASE MASTER'!$X$2:$X$495&gt;=8))*ROW('CASE MASTER'!$T$2:$T$495))-(ROW('CASE MASTER'!#REF!)-1))))*(INDEX('CASE MASTER'!$X$2:$X$495,(SUMPRODUCT((('CASE MASTER'!$T$2:$T$495=12)*('CASE MASTER'!$U$2:$U$495&lt;=10)*('CASE MASTER'!$W$2:$W$495&gt;=10)*('CASE MASTER'!$V$2:$V$495&lt;=8)*('CASE MASTER'!$X$2:$X$495&gt;=8))*ROW('CASE MASTER'!$T$2:$T$495))-(ROW('CASE MASTER'!#REF!)-1)))-INDEX('CASE MASTER'!$V$2:$V$495,(SUMPRODUCT((('CASE MASTER'!$T$2:$T$495=12)*('CASE MASTER'!$U$2:$U$495&lt;=10)*('CASE MASTER'!$W$2:$W$495&gt;=10)*('CASE MASTER'!$V$2:$V$495&lt;=8)*('CASE MASTER'!$X$2:$X$495&gt;=8))*ROW('CASE MASTER'!$T$2:$T$495))-(ROW('CASE MASTER'!#REF!)-1)))+1)+(8-INDEX('CASE MASTER'!$V$2:$V$495,(SUMPRODUCT((('CASE MASTER'!$T$2:$T$495=12)*('CASE MASTER'!$U$2:$U$495&lt;=10)*('CASE MASTER'!$W$2:$W$495&gt;=10)*('CASE MASTER'!$V$2:$V$495&lt;=8)*('CASE MASTER'!$X$2:$X$495&gt;=8))*ROW('CASE MASTER'!$T$2:$T$495))-(ROW('CASE MASTER'!#REF!)-1))))+1))-1)*50+1,50))&amp;"_"&amp;INDEX('CASE MASTER'!$Q$2:$Q$495,(SUMPRODUCT((('CASE MASTER'!$T$2:$T$495=12)*('CASE MASTER'!$U$2:$U$495&lt;=10)*('CASE MASTER'!$W$2:$W$495&gt;=10)*('CASE MASTER'!$V$2:$V$495&lt;=8)*('CASE MASTER'!$X$2:$X$495&gt;=8))*ROW('CASE MASTER'!$T$2:$T$495))-(ROW('CASE MASTER'!#REF!)-1))),IF(SUMPRODUCT((('CASE MASTER'!$T$2:$T$495=12)*('CASE MASTER'!$AA$2:$AA$495&lt;=10)*('CASE MASTER'!$AC$2:$AC$495&gt;=10)*('CASE MASTER'!$AB$2:$AB$495&lt;=8)*('CASE MASTER'!$AD$2:$AD$495&gt;=8))*ROW('CASE MASTER'!$T$2:$T$495))&gt;0,INDEX('CASE MASTER'!$Y$2:$Y$495,(SUMPRODUCT((('CASE MASTER'!$T$2:$T$495=12)*('CASE MASTER'!$AA$2:$AA$495&lt;=10)*('CASE MASTER'!$AC$2:$AC$495&gt;=10)*('CASE MASTER'!$AB$2:$AB$495&lt;=8)*('CASE MASTER'!$AD$2:$AD$495&gt;=8))*ROW('CASE MASTER'!$T$2:$T$495))-(ROW('CASE MASTER'!#REF!)-1)))&amp;TRIM(MID(SUBSTITUTE(SUBSTITUTE(INDEX('CASE MASTER'!$N$2:$N$495,(SUMPRODUCT((('CASE MASTER'!$T$2:$T$495=12)*('CASE MASTER'!$AA$2:$AA$495&lt;=10)*('CASE MASTER'!$AC$2:$AC$495&gt;=10)*('CASE MASTER'!$AB$2:$AB$495&lt;=8)*('CASE MASTER'!$AD$2:$AD$495&gt;=8))*ROW('CASE MASTER'!$T$2:$T$495))-(ROW('CASE MASTER'!#REF!)-1))),":",","),",",REPT(" ",50)),(((INDEX('CASE MASTER'!$Z$2:$Z$495,(SUMPRODUCT((('CASE MASTER'!$T$2:$T$495=12)*('CASE MASTER'!$AA$2:$AA$495&lt;=10)*('CASE MASTER'!$AC$2:$AC$495&gt;=10)*('CASE MASTER'!$AB$2:$AB$495&lt;=8)*('CASE MASTER'!$AD$2:$AD$495&gt;=8))*ROW('CASE MASTER'!$T$2:$T$495))-(ROW('CASE MASTER'!#REF!)-1)))+((10-INDEX('CASE MASTER'!$AA$2:$AA$495,(SUMPRODUCT((('CASE MASTER'!$T$2:$T$495=12)*('CASE MASTER'!$AA$2:$AA$495&lt;=10)*('CASE MASTER'!$AC$2:$AC$495&gt;=10)*('CASE MASTER'!$AB$2:$AB$495&lt;=8)*('CASE MASTER'!$AD$2:$AD$495&gt;=8))*ROW('CASE MASTER'!$T$2:$T$495))-(ROW('CASE MASTER'!#REF!)-1))))*(INDEX('CASE MASTER'!$AD$2:$AD$495,(SUMPRODUCT((('CASE MASTER'!$T$2:$T$495=12)*('CASE MASTER'!$AA$2:$AA$495&lt;=10)*('CASE MASTER'!$AC$2:$AC$495&gt;=10)*('CASE MASTER'!$AB$2:$AB$495&lt;=8)*('CASE MASTER'!$AD$2:$AD$495&gt;=8))*ROW('CASE MASTER'!$T$2:$T$495))-(ROW('CASE MASTER'!#REF!)-1)))-INDEX('CASE MASTER'!$AB$2:$AB$495,(SUMPRODUCT((('CASE MASTER'!$T$2:$T$495=12)*('CASE MASTER'!$AA$2:$AA$495&lt;=10)*('CASE MASTER'!$AC$2:$AC$495&gt;=10)*('CASE MASTER'!$AB$2:$AB$495&lt;=8)*('CASE MASTER'!$AD$2:$AD$495&gt;=8))*ROW('CASE MASTER'!$T$2:$T$495))-(ROW('CASE MASTER'!#REF!)-1)))+1)+(8-INDEX('CASE MASTER'!$AB$2:$AB$495,(SUMPRODUCT((('CASE MASTER'!$T$2:$T$495=12)*('CASE MASTER'!$AA$2:$AA$495&lt;=10)*('CASE MASTER'!$AC$2:$AC$495&gt;=10)*('CASE MASTER'!$AB$2:$AB$495&lt;=8)*('CASE MASTER'!$AD$2:$AD$495&gt;=8))*ROW('CASE MASTER'!$T$2:$T$495))-(ROW('CASE MASTER'!#REF!)-1))))+1)))-1)*50+1,50))&amp;"_"&amp;INDEX('CASE MASTER'!$Q$2:$Q$495,(SUMPRODUCT((('CASE MASTER'!$T$2:$T$495=12)*('CASE MASTER'!$AA$2:$AA$495&lt;=10)*('CASE MASTER'!$AC$2:$AC$495&gt;=10)*('CASE MASTER'!$AB$2:$AB$495&lt;=8)*('CASE MASTER'!$AD$2:$AD$495&gt;=8))*ROW('CASE MASTER'!$T$2:$T$495))-(ROW('CASE MASTER'!#REF!)-1))),"")),"")</f>
        <v/>
      </c>
      <c r="J166" s="10" t="str">
        <f>IFERROR(IF(SUMPRODUCT((('CASE MASTER'!$T$2:$T$495=12)*('CASE MASTER'!$U$2:$U$495&lt;=10)*('CASE MASTER'!$W$2:$W$495&gt;=10)*('CASE MASTER'!$V$2:$V$495&lt;=9)*('CASE MASTER'!$X$2:$X$495&gt;=9))*ROW('CASE MASTER'!$T$2:$T$495))&gt;0,INDEX('CASE MASTER'!$Y$2:$Y$495,(SUMPRODUCT((('CASE MASTER'!$T$2:$T$495=12)*('CASE MASTER'!$U$2:$U$495&lt;=10)*('CASE MASTER'!$W$2:$W$495&gt;=10)*('CASE MASTER'!$V$2:$V$495&lt;=9)*('CASE MASTER'!$X$2:$X$495&gt;=9))*ROW('CASE MASTER'!$T$2:$T$495))-(ROW('CASE MASTER'!#REF!)-1)))&amp;TRIM(MID(SUBSTITUTE(SUBSTITUTE(INDEX('CASE MASTER'!$N$2:$N$495,(SUMPRODUCT((('CASE MASTER'!$T$2:$T$495=12)*('CASE MASTER'!$U$2:$U$495&lt;=10)*('CASE MASTER'!$W$2:$W$495&gt;=10)*('CASE MASTER'!$V$2:$V$495&lt;=9)*('CASE MASTER'!$X$2:$X$495&gt;=9))*ROW('CASE MASTER'!$T$2:$T$495))-(ROW('CASE MASTER'!#REF!)-1))),":",","),",",REPT(" ",50)),((((10-INDEX('CASE MASTER'!$U$2:$U$495,(SUMPRODUCT((('CASE MASTER'!$T$2:$T$495=12)*('CASE MASTER'!$U$2:$U$495&lt;=10)*('CASE MASTER'!$W$2:$W$495&gt;=10)*('CASE MASTER'!$V$2:$V$495&lt;=9)*('CASE MASTER'!$X$2:$X$495&gt;=9))*ROW('CASE MASTER'!$T$2:$T$495))-(ROW('CASE MASTER'!#REF!)-1))))*(INDEX('CASE MASTER'!$X$2:$X$495,(SUMPRODUCT((('CASE MASTER'!$T$2:$T$495=12)*('CASE MASTER'!$U$2:$U$495&lt;=10)*('CASE MASTER'!$W$2:$W$495&gt;=10)*('CASE MASTER'!$V$2:$V$495&lt;=9)*('CASE MASTER'!$X$2:$X$495&gt;=9))*ROW('CASE MASTER'!$T$2:$T$495))-(ROW('CASE MASTER'!#REF!)-1)))-INDEX('CASE MASTER'!$V$2:$V$495,(SUMPRODUCT((('CASE MASTER'!$T$2:$T$495=12)*('CASE MASTER'!$U$2:$U$495&lt;=10)*('CASE MASTER'!$W$2:$W$495&gt;=10)*('CASE MASTER'!$V$2:$V$495&lt;=9)*('CASE MASTER'!$X$2:$X$495&gt;=9))*ROW('CASE MASTER'!$T$2:$T$495))-(ROW('CASE MASTER'!#REF!)-1)))+1)+(9-INDEX('CASE MASTER'!$V$2:$V$495,(SUMPRODUCT((('CASE MASTER'!$T$2:$T$495=12)*('CASE MASTER'!$U$2:$U$495&lt;=10)*('CASE MASTER'!$W$2:$W$495&gt;=10)*('CASE MASTER'!$V$2:$V$495&lt;=9)*('CASE MASTER'!$X$2:$X$495&gt;=9))*ROW('CASE MASTER'!$T$2:$T$495))-(ROW('CASE MASTER'!#REF!)-1))))+1))-1)*50+1,50))&amp;"_"&amp;INDEX('CASE MASTER'!$Q$2:$Q$495,(SUMPRODUCT((('CASE MASTER'!$T$2:$T$495=12)*('CASE MASTER'!$U$2:$U$495&lt;=10)*('CASE MASTER'!$W$2:$W$495&gt;=10)*('CASE MASTER'!$V$2:$V$495&lt;=9)*('CASE MASTER'!$X$2:$X$495&gt;=9))*ROW('CASE MASTER'!$T$2:$T$495))-(ROW('CASE MASTER'!#REF!)-1))),IF(SUMPRODUCT((('CASE MASTER'!$T$2:$T$495=12)*('CASE MASTER'!$AA$2:$AA$495&lt;=10)*('CASE MASTER'!$AC$2:$AC$495&gt;=10)*('CASE MASTER'!$AB$2:$AB$495&lt;=9)*('CASE MASTER'!$AD$2:$AD$495&gt;=9))*ROW('CASE MASTER'!$T$2:$T$495))&gt;0,INDEX('CASE MASTER'!$Y$2:$Y$495,(SUMPRODUCT((('CASE MASTER'!$T$2:$T$495=12)*('CASE MASTER'!$AA$2:$AA$495&lt;=10)*('CASE MASTER'!$AC$2:$AC$495&gt;=10)*('CASE MASTER'!$AB$2:$AB$495&lt;=9)*('CASE MASTER'!$AD$2:$AD$495&gt;=9))*ROW('CASE MASTER'!$T$2:$T$495))-(ROW('CASE MASTER'!#REF!)-1)))&amp;TRIM(MID(SUBSTITUTE(SUBSTITUTE(INDEX('CASE MASTER'!$N$2:$N$495,(SUMPRODUCT((('CASE MASTER'!$T$2:$T$495=12)*('CASE MASTER'!$AA$2:$AA$495&lt;=10)*('CASE MASTER'!$AC$2:$AC$495&gt;=10)*('CASE MASTER'!$AB$2:$AB$495&lt;=9)*('CASE MASTER'!$AD$2:$AD$495&gt;=9))*ROW('CASE MASTER'!$T$2:$T$495))-(ROW('CASE MASTER'!#REF!)-1))),":",","),",",REPT(" ",50)),(((INDEX('CASE MASTER'!$Z$2:$Z$495,(SUMPRODUCT((('CASE MASTER'!$T$2:$T$495=12)*('CASE MASTER'!$AA$2:$AA$495&lt;=10)*('CASE MASTER'!$AC$2:$AC$495&gt;=10)*('CASE MASTER'!$AB$2:$AB$495&lt;=9)*('CASE MASTER'!$AD$2:$AD$495&gt;=9))*ROW('CASE MASTER'!$T$2:$T$495))-(ROW('CASE MASTER'!#REF!)-1)))+((10-INDEX('CASE MASTER'!$AA$2:$AA$495,(SUMPRODUCT((('CASE MASTER'!$T$2:$T$495=12)*('CASE MASTER'!$AA$2:$AA$495&lt;=10)*('CASE MASTER'!$AC$2:$AC$495&gt;=10)*('CASE MASTER'!$AB$2:$AB$495&lt;=9)*('CASE MASTER'!$AD$2:$AD$495&gt;=9))*ROW('CASE MASTER'!$T$2:$T$495))-(ROW('CASE MASTER'!#REF!)-1))))*(INDEX('CASE MASTER'!$AD$2:$AD$495,(SUMPRODUCT((('CASE MASTER'!$T$2:$T$495=12)*('CASE MASTER'!$AA$2:$AA$495&lt;=10)*('CASE MASTER'!$AC$2:$AC$495&gt;=10)*('CASE MASTER'!$AB$2:$AB$495&lt;=9)*('CASE MASTER'!$AD$2:$AD$495&gt;=9))*ROW('CASE MASTER'!$T$2:$T$495))-(ROW('CASE MASTER'!#REF!)-1)))-INDEX('CASE MASTER'!$AB$2:$AB$495,(SUMPRODUCT((('CASE MASTER'!$T$2:$T$495=12)*('CASE MASTER'!$AA$2:$AA$495&lt;=10)*('CASE MASTER'!$AC$2:$AC$495&gt;=10)*('CASE MASTER'!$AB$2:$AB$495&lt;=9)*('CASE MASTER'!$AD$2:$AD$495&gt;=9))*ROW('CASE MASTER'!$T$2:$T$495))-(ROW('CASE MASTER'!#REF!)-1)))+1)+(9-INDEX('CASE MASTER'!$AB$2:$AB$495,(SUMPRODUCT((('CASE MASTER'!$T$2:$T$495=12)*('CASE MASTER'!$AA$2:$AA$495&lt;=10)*('CASE MASTER'!$AC$2:$AC$495&gt;=10)*('CASE MASTER'!$AB$2:$AB$495&lt;=9)*('CASE MASTER'!$AD$2:$AD$495&gt;=9))*ROW('CASE MASTER'!$T$2:$T$495))-(ROW('CASE MASTER'!#REF!)-1))))+1)))-1)*50+1,50))&amp;"_"&amp;INDEX('CASE MASTER'!$Q$2:$Q$495,(SUMPRODUCT((('CASE MASTER'!$T$2:$T$495=12)*('CASE MASTER'!$AA$2:$AA$495&lt;=10)*('CASE MASTER'!$AC$2:$AC$495&gt;=10)*('CASE MASTER'!$AB$2:$AB$495&lt;=9)*('CASE MASTER'!$AD$2:$AD$495&gt;=9))*ROW('CASE MASTER'!$T$2:$T$495))-(ROW('CASE MASTER'!#REF!)-1))),"")),"")</f>
        <v/>
      </c>
      <c r="K166" s="10" t="str">
        <f>IFERROR(IF(SUMPRODUCT((('CASE MASTER'!$T$2:$T$495=12)*('CASE MASTER'!$U$2:$U$495&lt;=10)*('CASE MASTER'!$W$2:$W$495&gt;=10)*('CASE MASTER'!$V$2:$V$495&lt;=10)*('CASE MASTER'!$X$2:$X$495&gt;=10))*ROW('CASE MASTER'!$T$2:$T$495))&gt;0,INDEX('CASE MASTER'!$Y$2:$Y$495,(SUMPRODUCT((('CASE MASTER'!$T$2:$T$495=12)*('CASE MASTER'!$U$2:$U$495&lt;=10)*('CASE MASTER'!$W$2:$W$495&gt;=10)*('CASE MASTER'!$V$2:$V$495&lt;=10)*('CASE MASTER'!$X$2:$X$495&gt;=10))*ROW('CASE MASTER'!$T$2:$T$495))-(ROW('CASE MASTER'!#REF!)-1)))&amp;TRIM(MID(SUBSTITUTE(SUBSTITUTE(INDEX('CASE MASTER'!$N$2:$N$495,(SUMPRODUCT((('CASE MASTER'!$T$2:$T$495=12)*('CASE MASTER'!$U$2:$U$495&lt;=10)*('CASE MASTER'!$W$2:$W$495&gt;=10)*('CASE MASTER'!$V$2:$V$495&lt;=10)*('CASE MASTER'!$X$2:$X$495&gt;=10))*ROW('CASE MASTER'!$T$2:$T$495))-(ROW('CASE MASTER'!#REF!)-1))),":",","),",",REPT(" ",50)),((((10-INDEX('CASE MASTER'!$U$2:$U$495,(SUMPRODUCT((('CASE MASTER'!$T$2:$T$495=12)*('CASE MASTER'!$U$2:$U$495&lt;=10)*('CASE MASTER'!$W$2:$W$495&gt;=10)*('CASE MASTER'!$V$2:$V$495&lt;=10)*('CASE MASTER'!$X$2:$X$495&gt;=10))*ROW('CASE MASTER'!$T$2:$T$495))-(ROW('CASE MASTER'!#REF!)-1))))*(INDEX('CASE MASTER'!$X$2:$X$495,(SUMPRODUCT((('CASE MASTER'!$T$2:$T$495=12)*('CASE MASTER'!$U$2:$U$495&lt;=10)*('CASE MASTER'!$W$2:$W$495&gt;=10)*('CASE MASTER'!$V$2:$V$495&lt;=10)*('CASE MASTER'!$X$2:$X$495&gt;=10))*ROW('CASE MASTER'!$T$2:$T$495))-(ROW('CASE MASTER'!#REF!)-1)))-INDEX('CASE MASTER'!$V$2:$V$495,(SUMPRODUCT((('CASE MASTER'!$T$2:$T$495=12)*('CASE MASTER'!$U$2:$U$495&lt;=10)*('CASE MASTER'!$W$2:$W$495&gt;=10)*('CASE MASTER'!$V$2:$V$495&lt;=10)*('CASE MASTER'!$X$2:$X$495&gt;=10))*ROW('CASE MASTER'!$T$2:$T$495))-(ROW('CASE MASTER'!#REF!)-1)))+1)+(10-INDEX('CASE MASTER'!$V$2:$V$495,(SUMPRODUCT((('CASE MASTER'!$T$2:$T$495=12)*('CASE MASTER'!$U$2:$U$495&lt;=10)*('CASE MASTER'!$W$2:$W$495&gt;=10)*('CASE MASTER'!$V$2:$V$495&lt;=10)*('CASE MASTER'!$X$2:$X$495&gt;=10))*ROW('CASE MASTER'!$T$2:$T$495))-(ROW('CASE MASTER'!#REF!)-1))))+1))-1)*50+1,50))&amp;"_"&amp;INDEX('CASE MASTER'!$Q$2:$Q$495,(SUMPRODUCT((('CASE MASTER'!$T$2:$T$495=12)*('CASE MASTER'!$U$2:$U$495&lt;=10)*('CASE MASTER'!$W$2:$W$495&gt;=10)*('CASE MASTER'!$V$2:$V$495&lt;=10)*('CASE MASTER'!$X$2:$X$495&gt;=10))*ROW('CASE MASTER'!$T$2:$T$495))-(ROW('CASE MASTER'!#REF!)-1))),IF(SUMPRODUCT((('CASE MASTER'!$T$2:$T$495=12)*('CASE MASTER'!$AA$2:$AA$495&lt;=10)*('CASE MASTER'!$AC$2:$AC$495&gt;=10)*('CASE MASTER'!$AB$2:$AB$495&lt;=10)*('CASE MASTER'!$AD$2:$AD$495&gt;=10))*ROW('CASE MASTER'!$T$2:$T$495))&gt;0,INDEX('CASE MASTER'!$Y$2:$Y$495,(SUMPRODUCT((('CASE MASTER'!$T$2:$T$495=12)*('CASE MASTER'!$AA$2:$AA$495&lt;=10)*('CASE MASTER'!$AC$2:$AC$495&gt;=10)*('CASE MASTER'!$AB$2:$AB$495&lt;=10)*('CASE MASTER'!$AD$2:$AD$495&gt;=10))*ROW('CASE MASTER'!$T$2:$T$495))-(ROW('CASE MASTER'!#REF!)-1)))&amp;TRIM(MID(SUBSTITUTE(SUBSTITUTE(INDEX('CASE MASTER'!$N$2:$N$495,(SUMPRODUCT((('CASE MASTER'!$T$2:$T$495=12)*('CASE MASTER'!$AA$2:$AA$495&lt;=10)*('CASE MASTER'!$AC$2:$AC$495&gt;=10)*('CASE MASTER'!$AB$2:$AB$495&lt;=10)*('CASE MASTER'!$AD$2:$AD$495&gt;=10))*ROW('CASE MASTER'!$T$2:$T$495))-(ROW('CASE MASTER'!#REF!)-1))),":",","),",",REPT(" ",50)),(((INDEX('CASE MASTER'!$Z$2:$Z$495,(SUMPRODUCT((('CASE MASTER'!$T$2:$T$495=12)*('CASE MASTER'!$AA$2:$AA$495&lt;=10)*('CASE MASTER'!$AC$2:$AC$495&gt;=10)*('CASE MASTER'!$AB$2:$AB$495&lt;=10)*('CASE MASTER'!$AD$2:$AD$495&gt;=10))*ROW('CASE MASTER'!$T$2:$T$495))-(ROW('CASE MASTER'!#REF!)-1)))+((10-INDEX('CASE MASTER'!$AA$2:$AA$495,(SUMPRODUCT((('CASE MASTER'!$T$2:$T$495=12)*('CASE MASTER'!$AA$2:$AA$495&lt;=10)*('CASE MASTER'!$AC$2:$AC$495&gt;=10)*('CASE MASTER'!$AB$2:$AB$495&lt;=10)*('CASE MASTER'!$AD$2:$AD$495&gt;=10))*ROW('CASE MASTER'!$T$2:$T$495))-(ROW('CASE MASTER'!#REF!)-1))))*(INDEX('CASE MASTER'!$AD$2:$AD$495,(SUMPRODUCT((('CASE MASTER'!$T$2:$T$495=12)*('CASE MASTER'!$AA$2:$AA$495&lt;=10)*('CASE MASTER'!$AC$2:$AC$495&gt;=10)*('CASE MASTER'!$AB$2:$AB$495&lt;=10)*('CASE MASTER'!$AD$2:$AD$495&gt;=10))*ROW('CASE MASTER'!$T$2:$T$495))-(ROW('CASE MASTER'!#REF!)-1)))-INDEX('CASE MASTER'!$AB$2:$AB$495,(SUMPRODUCT((('CASE MASTER'!$T$2:$T$495=12)*('CASE MASTER'!$AA$2:$AA$495&lt;=10)*('CASE MASTER'!$AC$2:$AC$495&gt;=10)*('CASE MASTER'!$AB$2:$AB$495&lt;=10)*('CASE MASTER'!$AD$2:$AD$495&gt;=10))*ROW('CASE MASTER'!$T$2:$T$495))-(ROW('CASE MASTER'!#REF!)-1)))+1)+(10-INDEX('CASE MASTER'!$AB$2:$AB$495,(SUMPRODUCT((('CASE MASTER'!$T$2:$T$495=12)*('CASE MASTER'!$AA$2:$AA$495&lt;=10)*('CASE MASTER'!$AC$2:$AC$495&gt;=10)*('CASE MASTER'!$AB$2:$AB$495&lt;=10)*('CASE MASTER'!$AD$2:$AD$495&gt;=10))*ROW('CASE MASTER'!$T$2:$T$495))-(ROW('CASE MASTER'!#REF!)-1))))+1)))-1)*50+1,50))&amp;"_"&amp;INDEX('CASE MASTER'!$Q$2:$Q$495,(SUMPRODUCT((('CASE MASTER'!$T$2:$T$495=12)*('CASE MASTER'!$AA$2:$AA$495&lt;=10)*('CASE MASTER'!$AC$2:$AC$495&gt;=10)*('CASE MASTER'!$AB$2:$AB$495&lt;=10)*('CASE MASTER'!$AD$2:$AD$495&gt;=10))*ROW('CASE MASTER'!$T$2:$T$495))-(ROW('CASE MASTER'!#REF!)-1))),"")),"")</f>
        <v/>
      </c>
    </row>
    <row r="169" spans="1:11" ht="15" customHeight="1" x14ac:dyDescent="0.35">
      <c r="A169" s="12" t="s">
        <v>94</v>
      </c>
      <c r="B169" s="13"/>
      <c r="C169" s="13"/>
      <c r="D169" s="13"/>
      <c r="E169" s="13"/>
      <c r="F169" s="13"/>
      <c r="G169" s="13"/>
      <c r="H169" s="13"/>
      <c r="I169" s="13"/>
      <c r="J169" s="13"/>
      <c r="K169" s="13"/>
    </row>
    <row r="170" spans="1:11" ht="15" customHeight="1" x14ac:dyDescent="0.35">
      <c r="B170" s="8">
        <v>1</v>
      </c>
      <c r="C170" s="8">
        <v>2</v>
      </c>
      <c r="D170" s="8">
        <v>3</v>
      </c>
      <c r="E170" s="8">
        <v>4</v>
      </c>
      <c r="F170" s="8">
        <v>5</v>
      </c>
      <c r="G170" s="8">
        <v>6</v>
      </c>
      <c r="H170" s="8">
        <v>7</v>
      </c>
      <c r="I170" s="8">
        <v>8</v>
      </c>
      <c r="J170" s="8">
        <v>9</v>
      </c>
      <c r="K170" s="8">
        <v>10</v>
      </c>
    </row>
    <row r="171" spans="1:11" ht="15" customHeight="1" x14ac:dyDescent="0.35">
      <c r="A171" s="8" t="s">
        <v>28</v>
      </c>
      <c r="B171" s="10" t="str">
        <f>IFERROR(IF(SUMPRODUCT((('CASE MASTER'!$T$2:$T$495=13)*('CASE MASTER'!$U$2:$U$495&lt;=1)*('CASE MASTER'!$W$2:$W$495&gt;=1)*('CASE MASTER'!$V$2:$V$495&lt;=1)*('CASE MASTER'!$X$2:$X$495&gt;=1))*ROW('CASE MASTER'!$T$2:$T$495))&gt;0,INDEX('CASE MASTER'!$Y$2:$Y$495,(SUMPRODUCT((('CASE MASTER'!$T$2:$T$495=13)*('CASE MASTER'!$U$2:$U$495&lt;=1)*('CASE MASTER'!$W$2:$W$495&gt;=1)*('CASE MASTER'!$V$2:$V$495&lt;=1)*('CASE MASTER'!$X$2:$X$495&gt;=1))*ROW('CASE MASTER'!$T$2:$T$495))-(ROW('CASE MASTER'!#REF!)-1)))&amp;TRIM(MID(SUBSTITUTE(SUBSTITUTE(INDEX('CASE MASTER'!$N$2:$N$495,(SUMPRODUCT((('CASE MASTER'!$T$2:$T$495=13)*('CASE MASTER'!$U$2:$U$495&lt;=1)*('CASE MASTER'!$W$2:$W$495&gt;=1)*('CASE MASTER'!$V$2:$V$495&lt;=1)*('CASE MASTER'!$X$2:$X$495&gt;=1))*ROW('CASE MASTER'!$T$2:$T$495))-(ROW('CASE MASTER'!#REF!)-1))),":",","),",",REPT(" ",50)),((((1-INDEX('CASE MASTER'!$U$2:$U$495,(SUMPRODUCT((('CASE MASTER'!$T$2:$T$495=13)*('CASE MASTER'!$U$2:$U$495&lt;=1)*('CASE MASTER'!$W$2:$W$495&gt;=1)*('CASE MASTER'!$V$2:$V$495&lt;=1)*('CASE MASTER'!$X$2:$X$495&gt;=1))*ROW('CASE MASTER'!$T$2:$T$495))-(ROW('CASE MASTER'!#REF!)-1))))*(INDEX('CASE MASTER'!$X$2:$X$495,(SUMPRODUCT((('CASE MASTER'!$T$2:$T$495=13)*('CASE MASTER'!$U$2:$U$495&lt;=1)*('CASE MASTER'!$W$2:$W$495&gt;=1)*('CASE MASTER'!$V$2:$V$495&lt;=1)*('CASE MASTER'!$X$2:$X$495&gt;=1))*ROW('CASE MASTER'!$T$2:$T$495))-(ROW('CASE MASTER'!#REF!)-1)))-INDEX('CASE MASTER'!$V$2:$V$495,(SUMPRODUCT((('CASE MASTER'!$T$2:$T$495=13)*('CASE MASTER'!$U$2:$U$495&lt;=1)*('CASE MASTER'!$W$2:$W$495&gt;=1)*('CASE MASTER'!$V$2:$V$495&lt;=1)*('CASE MASTER'!$X$2:$X$495&gt;=1))*ROW('CASE MASTER'!$T$2:$T$495))-(ROW('CASE MASTER'!#REF!)-1)))+1)+(1-INDEX('CASE MASTER'!$V$2:$V$495,(SUMPRODUCT((('CASE MASTER'!$T$2:$T$495=13)*('CASE MASTER'!$U$2:$U$495&lt;=1)*('CASE MASTER'!$W$2:$W$495&gt;=1)*('CASE MASTER'!$V$2:$V$495&lt;=1)*('CASE MASTER'!$X$2:$X$495&gt;=1))*ROW('CASE MASTER'!$T$2:$T$495))-(ROW('CASE MASTER'!#REF!)-1))))+1))-1)*50+1,50))&amp;"_"&amp;INDEX('CASE MASTER'!$Q$2:$Q$495,(SUMPRODUCT((('CASE MASTER'!$T$2:$T$495=13)*('CASE MASTER'!$U$2:$U$495&lt;=1)*('CASE MASTER'!$W$2:$W$495&gt;=1)*('CASE MASTER'!$V$2:$V$495&lt;=1)*('CASE MASTER'!$X$2:$X$495&gt;=1))*ROW('CASE MASTER'!$T$2:$T$495))-(ROW('CASE MASTER'!#REF!)-1))),IF(SUMPRODUCT((('CASE MASTER'!$T$2:$T$495=13)*('CASE MASTER'!$AA$2:$AA$495&lt;=1)*('CASE MASTER'!$AC$2:$AC$495&gt;=1)*('CASE MASTER'!$AB$2:$AB$495&lt;=1)*('CASE MASTER'!$AD$2:$AD$495&gt;=1))*ROW('CASE MASTER'!$T$2:$T$495))&gt;0,INDEX('CASE MASTER'!$Y$2:$Y$495,(SUMPRODUCT((('CASE MASTER'!$T$2:$T$495=13)*('CASE MASTER'!$AA$2:$AA$495&lt;=1)*('CASE MASTER'!$AC$2:$AC$495&gt;=1)*('CASE MASTER'!$AB$2:$AB$495&lt;=1)*('CASE MASTER'!$AD$2:$AD$495&gt;=1))*ROW('CASE MASTER'!$T$2:$T$495))-(ROW('CASE MASTER'!#REF!)-1)))&amp;TRIM(MID(SUBSTITUTE(SUBSTITUTE(INDEX('CASE MASTER'!$N$2:$N$495,(SUMPRODUCT((('CASE MASTER'!$T$2:$T$495=13)*('CASE MASTER'!$AA$2:$AA$495&lt;=1)*('CASE MASTER'!$AC$2:$AC$495&gt;=1)*('CASE MASTER'!$AB$2:$AB$495&lt;=1)*('CASE MASTER'!$AD$2:$AD$495&gt;=1))*ROW('CASE MASTER'!$T$2:$T$495))-(ROW('CASE MASTER'!#REF!)-1))),":",","),",",REPT(" ",50)),(((INDEX('CASE MASTER'!$Z$2:$Z$495,(SUMPRODUCT((('CASE MASTER'!$T$2:$T$495=13)*('CASE MASTER'!$AA$2:$AA$495&lt;=1)*('CASE MASTER'!$AC$2:$AC$495&gt;=1)*('CASE MASTER'!$AB$2:$AB$495&lt;=1)*('CASE MASTER'!$AD$2:$AD$495&gt;=1))*ROW('CASE MASTER'!$T$2:$T$495))-(ROW('CASE MASTER'!#REF!)-1)))+((1-INDEX('CASE MASTER'!$AA$2:$AA$495,(SUMPRODUCT((('CASE MASTER'!$T$2:$T$495=13)*('CASE MASTER'!$AA$2:$AA$495&lt;=1)*('CASE MASTER'!$AC$2:$AC$495&gt;=1)*('CASE MASTER'!$AB$2:$AB$495&lt;=1)*('CASE MASTER'!$AD$2:$AD$495&gt;=1))*ROW('CASE MASTER'!$T$2:$T$495))-(ROW('CASE MASTER'!#REF!)-1))))*(INDEX('CASE MASTER'!$AD$2:$AD$495,(SUMPRODUCT((('CASE MASTER'!$T$2:$T$495=13)*('CASE MASTER'!$AA$2:$AA$495&lt;=1)*('CASE MASTER'!$AC$2:$AC$495&gt;=1)*('CASE MASTER'!$AB$2:$AB$495&lt;=1)*('CASE MASTER'!$AD$2:$AD$495&gt;=1))*ROW('CASE MASTER'!$T$2:$T$495))-(ROW('CASE MASTER'!#REF!)-1)))-INDEX('CASE MASTER'!$AB$2:$AB$495,(SUMPRODUCT((('CASE MASTER'!$T$2:$T$495=13)*('CASE MASTER'!$AA$2:$AA$495&lt;=1)*('CASE MASTER'!$AC$2:$AC$495&gt;=1)*('CASE MASTER'!$AB$2:$AB$495&lt;=1)*('CASE MASTER'!$AD$2:$AD$495&gt;=1))*ROW('CASE MASTER'!$T$2:$T$495))-(ROW('CASE MASTER'!#REF!)-1)))+1)+(1-INDEX('CASE MASTER'!$AB$2:$AB$495,(SUMPRODUCT((('CASE MASTER'!$T$2:$T$495=13)*('CASE MASTER'!$AA$2:$AA$495&lt;=1)*('CASE MASTER'!$AC$2:$AC$495&gt;=1)*('CASE MASTER'!$AB$2:$AB$495&lt;=1)*('CASE MASTER'!$AD$2:$AD$495&gt;=1))*ROW('CASE MASTER'!$T$2:$T$495))-(ROW('CASE MASTER'!#REF!)-1))))+1)))-1)*50+1,50))&amp;"_"&amp;INDEX('CASE MASTER'!$Q$2:$Q$495,(SUMPRODUCT((('CASE MASTER'!$T$2:$T$495=13)*('CASE MASTER'!$AA$2:$AA$495&lt;=1)*('CASE MASTER'!$AC$2:$AC$495&gt;=1)*('CASE MASTER'!$AB$2:$AB$495&lt;=1)*('CASE MASTER'!$AD$2:$AD$495&gt;=1))*ROW('CASE MASTER'!$T$2:$T$495))-(ROW('CASE MASTER'!#REF!)-1))),"")),"")</f>
        <v/>
      </c>
      <c r="C171" s="10" t="str">
        <f>IFERROR(IF(SUMPRODUCT((('CASE MASTER'!$T$2:$T$495=13)*('CASE MASTER'!$U$2:$U$495&lt;=1)*('CASE MASTER'!$W$2:$W$495&gt;=1)*('CASE MASTER'!$V$2:$V$495&lt;=2)*('CASE MASTER'!$X$2:$X$495&gt;=2))*ROW('CASE MASTER'!$T$2:$T$495))&gt;0,INDEX('CASE MASTER'!$Y$2:$Y$495,(SUMPRODUCT((('CASE MASTER'!$T$2:$T$495=13)*('CASE MASTER'!$U$2:$U$495&lt;=1)*('CASE MASTER'!$W$2:$W$495&gt;=1)*('CASE MASTER'!$V$2:$V$495&lt;=2)*('CASE MASTER'!$X$2:$X$495&gt;=2))*ROW('CASE MASTER'!$T$2:$T$495))-(ROW('CASE MASTER'!#REF!)-1)))&amp;TRIM(MID(SUBSTITUTE(SUBSTITUTE(INDEX('CASE MASTER'!$N$2:$N$495,(SUMPRODUCT((('CASE MASTER'!$T$2:$T$495=13)*('CASE MASTER'!$U$2:$U$495&lt;=1)*('CASE MASTER'!$W$2:$W$495&gt;=1)*('CASE MASTER'!$V$2:$V$495&lt;=2)*('CASE MASTER'!$X$2:$X$495&gt;=2))*ROW('CASE MASTER'!$T$2:$T$495))-(ROW('CASE MASTER'!#REF!)-1))),":",","),",",REPT(" ",50)),((((1-INDEX('CASE MASTER'!$U$2:$U$495,(SUMPRODUCT((('CASE MASTER'!$T$2:$T$495=13)*('CASE MASTER'!$U$2:$U$495&lt;=1)*('CASE MASTER'!$W$2:$W$495&gt;=1)*('CASE MASTER'!$V$2:$V$495&lt;=2)*('CASE MASTER'!$X$2:$X$495&gt;=2))*ROW('CASE MASTER'!$T$2:$T$495))-(ROW('CASE MASTER'!#REF!)-1))))*(INDEX('CASE MASTER'!$X$2:$X$495,(SUMPRODUCT((('CASE MASTER'!$T$2:$T$495=13)*('CASE MASTER'!$U$2:$U$495&lt;=1)*('CASE MASTER'!$W$2:$W$495&gt;=1)*('CASE MASTER'!$V$2:$V$495&lt;=2)*('CASE MASTER'!$X$2:$X$495&gt;=2))*ROW('CASE MASTER'!$T$2:$T$495))-(ROW('CASE MASTER'!#REF!)-1)))-INDEX('CASE MASTER'!$V$2:$V$495,(SUMPRODUCT((('CASE MASTER'!$T$2:$T$495=13)*('CASE MASTER'!$U$2:$U$495&lt;=1)*('CASE MASTER'!$W$2:$W$495&gt;=1)*('CASE MASTER'!$V$2:$V$495&lt;=2)*('CASE MASTER'!$X$2:$X$495&gt;=2))*ROW('CASE MASTER'!$T$2:$T$495))-(ROW('CASE MASTER'!#REF!)-1)))+1)+(2-INDEX('CASE MASTER'!$V$2:$V$495,(SUMPRODUCT((('CASE MASTER'!$T$2:$T$495=13)*('CASE MASTER'!$U$2:$U$495&lt;=1)*('CASE MASTER'!$W$2:$W$495&gt;=1)*('CASE MASTER'!$V$2:$V$495&lt;=2)*('CASE MASTER'!$X$2:$X$495&gt;=2))*ROW('CASE MASTER'!$T$2:$T$495))-(ROW('CASE MASTER'!#REF!)-1))))+1))-1)*50+1,50))&amp;"_"&amp;INDEX('CASE MASTER'!$Q$2:$Q$495,(SUMPRODUCT((('CASE MASTER'!$T$2:$T$495=13)*('CASE MASTER'!$U$2:$U$495&lt;=1)*('CASE MASTER'!$W$2:$W$495&gt;=1)*('CASE MASTER'!$V$2:$V$495&lt;=2)*('CASE MASTER'!$X$2:$X$495&gt;=2))*ROW('CASE MASTER'!$T$2:$T$495))-(ROW('CASE MASTER'!#REF!)-1))),IF(SUMPRODUCT((('CASE MASTER'!$T$2:$T$495=13)*('CASE MASTER'!$AA$2:$AA$495&lt;=1)*('CASE MASTER'!$AC$2:$AC$495&gt;=1)*('CASE MASTER'!$AB$2:$AB$495&lt;=2)*('CASE MASTER'!$AD$2:$AD$495&gt;=2))*ROW('CASE MASTER'!$T$2:$T$495))&gt;0,INDEX('CASE MASTER'!$Y$2:$Y$495,(SUMPRODUCT((('CASE MASTER'!$T$2:$T$495=13)*('CASE MASTER'!$AA$2:$AA$495&lt;=1)*('CASE MASTER'!$AC$2:$AC$495&gt;=1)*('CASE MASTER'!$AB$2:$AB$495&lt;=2)*('CASE MASTER'!$AD$2:$AD$495&gt;=2))*ROW('CASE MASTER'!$T$2:$T$495))-(ROW('CASE MASTER'!#REF!)-1)))&amp;TRIM(MID(SUBSTITUTE(SUBSTITUTE(INDEX('CASE MASTER'!$N$2:$N$495,(SUMPRODUCT((('CASE MASTER'!$T$2:$T$495=13)*('CASE MASTER'!$AA$2:$AA$495&lt;=1)*('CASE MASTER'!$AC$2:$AC$495&gt;=1)*('CASE MASTER'!$AB$2:$AB$495&lt;=2)*('CASE MASTER'!$AD$2:$AD$495&gt;=2))*ROW('CASE MASTER'!$T$2:$T$495))-(ROW('CASE MASTER'!#REF!)-1))),":",","),",",REPT(" ",50)),(((INDEX('CASE MASTER'!$Z$2:$Z$495,(SUMPRODUCT((('CASE MASTER'!$T$2:$T$495=13)*('CASE MASTER'!$AA$2:$AA$495&lt;=1)*('CASE MASTER'!$AC$2:$AC$495&gt;=1)*('CASE MASTER'!$AB$2:$AB$495&lt;=2)*('CASE MASTER'!$AD$2:$AD$495&gt;=2))*ROW('CASE MASTER'!$T$2:$T$495))-(ROW('CASE MASTER'!#REF!)-1)))+((1-INDEX('CASE MASTER'!$AA$2:$AA$495,(SUMPRODUCT((('CASE MASTER'!$T$2:$T$495=13)*('CASE MASTER'!$AA$2:$AA$495&lt;=1)*('CASE MASTER'!$AC$2:$AC$495&gt;=1)*('CASE MASTER'!$AB$2:$AB$495&lt;=2)*('CASE MASTER'!$AD$2:$AD$495&gt;=2))*ROW('CASE MASTER'!$T$2:$T$495))-(ROW('CASE MASTER'!#REF!)-1))))*(INDEX('CASE MASTER'!$AD$2:$AD$495,(SUMPRODUCT((('CASE MASTER'!$T$2:$T$495=13)*('CASE MASTER'!$AA$2:$AA$495&lt;=1)*('CASE MASTER'!$AC$2:$AC$495&gt;=1)*('CASE MASTER'!$AB$2:$AB$495&lt;=2)*('CASE MASTER'!$AD$2:$AD$495&gt;=2))*ROW('CASE MASTER'!$T$2:$T$495))-(ROW('CASE MASTER'!#REF!)-1)))-INDEX('CASE MASTER'!$AB$2:$AB$495,(SUMPRODUCT((('CASE MASTER'!$T$2:$T$495=13)*('CASE MASTER'!$AA$2:$AA$495&lt;=1)*('CASE MASTER'!$AC$2:$AC$495&gt;=1)*('CASE MASTER'!$AB$2:$AB$495&lt;=2)*('CASE MASTER'!$AD$2:$AD$495&gt;=2))*ROW('CASE MASTER'!$T$2:$T$495))-(ROW('CASE MASTER'!#REF!)-1)))+1)+(2-INDEX('CASE MASTER'!$AB$2:$AB$495,(SUMPRODUCT((('CASE MASTER'!$T$2:$T$495=13)*('CASE MASTER'!$AA$2:$AA$495&lt;=1)*('CASE MASTER'!$AC$2:$AC$495&gt;=1)*('CASE MASTER'!$AB$2:$AB$495&lt;=2)*('CASE MASTER'!$AD$2:$AD$495&gt;=2))*ROW('CASE MASTER'!$T$2:$T$495))-(ROW('CASE MASTER'!#REF!)-1))))+1)))-1)*50+1,50))&amp;"_"&amp;INDEX('CASE MASTER'!$Q$2:$Q$495,(SUMPRODUCT((('CASE MASTER'!$T$2:$T$495=13)*('CASE MASTER'!$AA$2:$AA$495&lt;=1)*('CASE MASTER'!$AC$2:$AC$495&gt;=1)*('CASE MASTER'!$AB$2:$AB$495&lt;=2)*('CASE MASTER'!$AD$2:$AD$495&gt;=2))*ROW('CASE MASTER'!$T$2:$T$495))-(ROW('CASE MASTER'!#REF!)-1))),"")),"")</f>
        <v/>
      </c>
      <c r="D171" s="10" t="str">
        <f>IFERROR(IF(SUMPRODUCT((('CASE MASTER'!$T$2:$T$495=13)*('CASE MASTER'!$U$2:$U$495&lt;=1)*('CASE MASTER'!$W$2:$W$495&gt;=1)*('CASE MASTER'!$V$2:$V$495&lt;=3)*('CASE MASTER'!$X$2:$X$495&gt;=3))*ROW('CASE MASTER'!$T$2:$T$495))&gt;0,INDEX('CASE MASTER'!$Y$2:$Y$495,(SUMPRODUCT((('CASE MASTER'!$T$2:$T$495=13)*('CASE MASTER'!$U$2:$U$495&lt;=1)*('CASE MASTER'!$W$2:$W$495&gt;=1)*('CASE MASTER'!$V$2:$V$495&lt;=3)*('CASE MASTER'!$X$2:$X$495&gt;=3))*ROW('CASE MASTER'!$T$2:$T$495))-(ROW('CASE MASTER'!#REF!)-1)))&amp;TRIM(MID(SUBSTITUTE(SUBSTITUTE(INDEX('CASE MASTER'!$N$2:$N$495,(SUMPRODUCT((('CASE MASTER'!$T$2:$T$495=13)*('CASE MASTER'!$U$2:$U$495&lt;=1)*('CASE MASTER'!$W$2:$W$495&gt;=1)*('CASE MASTER'!$V$2:$V$495&lt;=3)*('CASE MASTER'!$X$2:$X$495&gt;=3))*ROW('CASE MASTER'!$T$2:$T$495))-(ROW('CASE MASTER'!#REF!)-1))),":",","),",",REPT(" ",50)),((((1-INDEX('CASE MASTER'!$U$2:$U$495,(SUMPRODUCT((('CASE MASTER'!$T$2:$T$495=13)*('CASE MASTER'!$U$2:$U$495&lt;=1)*('CASE MASTER'!$W$2:$W$495&gt;=1)*('CASE MASTER'!$V$2:$V$495&lt;=3)*('CASE MASTER'!$X$2:$X$495&gt;=3))*ROW('CASE MASTER'!$T$2:$T$495))-(ROW('CASE MASTER'!#REF!)-1))))*(INDEX('CASE MASTER'!$X$2:$X$495,(SUMPRODUCT((('CASE MASTER'!$T$2:$T$495=13)*('CASE MASTER'!$U$2:$U$495&lt;=1)*('CASE MASTER'!$W$2:$W$495&gt;=1)*('CASE MASTER'!$V$2:$V$495&lt;=3)*('CASE MASTER'!$X$2:$X$495&gt;=3))*ROW('CASE MASTER'!$T$2:$T$495))-(ROW('CASE MASTER'!#REF!)-1)))-INDEX('CASE MASTER'!$V$2:$V$495,(SUMPRODUCT((('CASE MASTER'!$T$2:$T$495=13)*('CASE MASTER'!$U$2:$U$495&lt;=1)*('CASE MASTER'!$W$2:$W$495&gt;=1)*('CASE MASTER'!$V$2:$V$495&lt;=3)*('CASE MASTER'!$X$2:$X$495&gt;=3))*ROW('CASE MASTER'!$T$2:$T$495))-(ROW('CASE MASTER'!#REF!)-1)))+1)+(3-INDEX('CASE MASTER'!$V$2:$V$495,(SUMPRODUCT((('CASE MASTER'!$T$2:$T$495=13)*('CASE MASTER'!$U$2:$U$495&lt;=1)*('CASE MASTER'!$W$2:$W$495&gt;=1)*('CASE MASTER'!$V$2:$V$495&lt;=3)*('CASE MASTER'!$X$2:$X$495&gt;=3))*ROW('CASE MASTER'!$T$2:$T$495))-(ROW('CASE MASTER'!#REF!)-1))))+1))-1)*50+1,50))&amp;"_"&amp;INDEX('CASE MASTER'!$Q$2:$Q$495,(SUMPRODUCT((('CASE MASTER'!$T$2:$T$495=13)*('CASE MASTER'!$U$2:$U$495&lt;=1)*('CASE MASTER'!$W$2:$W$495&gt;=1)*('CASE MASTER'!$V$2:$V$495&lt;=3)*('CASE MASTER'!$X$2:$X$495&gt;=3))*ROW('CASE MASTER'!$T$2:$T$495))-(ROW('CASE MASTER'!#REF!)-1))),IF(SUMPRODUCT((('CASE MASTER'!$T$2:$T$495=13)*('CASE MASTER'!$AA$2:$AA$495&lt;=1)*('CASE MASTER'!$AC$2:$AC$495&gt;=1)*('CASE MASTER'!$AB$2:$AB$495&lt;=3)*('CASE MASTER'!$AD$2:$AD$495&gt;=3))*ROW('CASE MASTER'!$T$2:$T$495))&gt;0,INDEX('CASE MASTER'!$Y$2:$Y$495,(SUMPRODUCT((('CASE MASTER'!$T$2:$T$495=13)*('CASE MASTER'!$AA$2:$AA$495&lt;=1)*('CASE MASTER'!$AC$2:$AC$495&gt;=1)*('CASE MASTER'!$AB$2:$AB$495&lt;=3)*('CASE MASTER'!$AD$2:$AD$495&gt;=3))*ROW('CASE MASTER'!$T$2:$T$495))-(ROW('CASE MASTER'!#REF!)-1)))&amp;TRIM(MID(SUBSTITUTE(SUBSTITUTE(INDEX('CASE MASTER'!$N$2:$N$495,(SUMPRODUCT((('CASE MASTER'!$T$2:$T$495=13)*('CASE MASTER'!$AA$2:$AA$495&lt;=1)*('CASE MASTER'!$AC$2:$AC$495&gt;=1)*('CASE MASTER'!$AB$2:$AB$495&lt;=3)*('CASE MASTER'!$AD$2:$AD$495&gt;=3))*ROW('CASE MASTER'!$T$2:$T$495))-(ROW('CASE MASTER'!#REF!)-1))),":",","),",",REPT(" ",50)),(((INDEX('CASE MASTER'!$Z$2:$Z$495,(SUMPRODUCT((('CASE MASTER'!$T$2:$T$495=13)*('CASE MASTER'!$AA$2:$AA$495&lt;=1)*('CASE MASTER'!$AC$2:$AC$495&gt;=1)*('CASE MASTER'!$AB$2:$AB$495&lt;=3)*('CASE MASTER'!$AD$2:$AD$495&gt;=3))*ROW('CASE MASTER'!$T$2:$T$495))-(ROW('CASE MASTER'!#REF!)-1)))+((1-INDEX('CASE MASTER'!$AA$2:$AA$495,(SUMPRODUCT((('CASE MASTER'!$T$2:$T$495=13)*('CASE MASTER'!$AA$2:$AA$495&lt;=1)*('CASE MASTER'!$AC$2:$AC$495&gt;=1)*('CASE MASTER'!$AB$2:$AB$495&lt;=3)*('CASE MASTER'!$AD$2:$AD$495&gt;=3))*ROW('CASE MASTER'!$T$2:$T$495))-(ROW('CASE MASTER'!#REF!)-1))))*(INDEX('CASE MASTER'!$AD$2:$AD$495,(SUMPRODUCT((('CASE MASTER'!$T$2:$T$495=13)*('CASE MASTER'!$AA$2:$AA$495&lt;=1)*('CASE MASTER'!$AC$2:$AC$495&gt;=1)*('CASE MASTER'!$AB$2:$AB$495&lt;=3)*('CASE MASTER'!$AD$2:$AD$495&gt;=3))*ROW('CASE MASTER'!$T$2:$T$495))-(ROW('CASE MASTER'!#REF!)-1)))-INDEX('CASE MASTER'!$AB$2:$AB$495,(SUMPRODUCT((('CASE MASTER'!$T$2:$T$495=13)*('CASE MASTER'!$AA$2:$AA$495&lt;=1)*('CASE MASTER'!$AC$2:$AC$495&gt;=1)*('CASE MASTER'!$AB$2:$AB$495&lt;=3)*('CASE MASTER'!$AD$2:$AD$495&gt;=3))*ROW('CASE MASTER'!$T$2:$T$495))-(ROW('CASE MASTER'!#REF!)-1)))+1)+(3-INDEX('CASE MASTER'!$AB$2:$AB$495,(SUMPRODUCT((('CASE MASTER'!$T$2:$T$495=13)*('CASE MASTER'!$AA$2:$AA$495&lt;=1)*('CASE MASTER'!$AC$2:$AC$495&gt;=1)*('CASE MASTER'!$AB$2:$AB$495&lt;=3)*('CASE MASTER'!$AD$2:$AD$495&gt;=3))*ROW('CASE MASTER'!$T$2:$T$495))-(ROW('CASE MASTER'!#REF!)-1))))+1)))-1)*50+1,50))&amp;"_"&amp;INDEX('CASE MASTER'!$Q$2:$Q$495,(SUMPRODUCT((('CASE MASTER'!$T$2:$T$495=13)*('CASE MASTER'!$AA$2:$AA$495&lt;=1)*('CASE MASTER'!$AC$2:$AC$495&gt;=1)*('CASE MASTER'!$AB$2:$AB$495&lt;=3)*('CASE MASTER'!$AD$2:$AD$495&gt;=3))*ROW('CASE MASTER'!$T$2:$T$495))-(ROW('CASE MASTER'!#REF!)-1))),"")),"")</f>
        <v/>
      </c>
      <c r="E171" s="10" t="str">
        <f>IFERROR(IF(SUMPRODUCT((('CASE MASTER'!$T$2:$T$495=13)*('CASE MASTER'!$U$2:$U$495&lt;=1)*('CASE MASTER'!$W$2:$W$495&gt;=1)*('CASE MASTER'!$V$2:$V$495&lt;=4)*('CASE MASTER'!$X$2:$X$495&gt;=4))*ROW('CASE MASTER'!$T$2:$T$495))&gt;0,INDEX('CASE MASTER'!$Y$2:$Y$495,(SUMPRODUCT((('CASE MASTER'!$T$2:$T$495=13)*('CASE MASTER'!$U$2:$U$495&lt;=1)*('CASE MASTER'!$W$2:$W$495&gt;=1)*('CASE MASTER'!$V$2:$V$495&lt;=4)*('CASE MASTER'!$X$2:$X$495&gt;=4))*ROW('CASE MASTER'!$T$2:$T$495))-(ROW('CASE MASTER'!#REF!)-1)))&amp;TRIM(MID(SUBSTITUTE(SUBSTITUTE(INDEX('CASE MASTER'!$N$2:$N$495,(SUMPRODUCT((('CASE MASTER'!$T$2:$T$495=13)*('CASE MASTER'!$U$2:$U$495&lt;=1)*('CASE MASTER'!$W$2:$W$495&gt;=1)*('CASE MASTER'!$V$2:$V$495&lt;=4)*('CASE MASTER'!$X$2:$X$495&gt;=4))*ROW('CASE MASTER'!$T$2:$T$495))-(ROW('CASE MASTER'!#REF!)-1))),":",","),",",REPT(" ",50)),((((1-INDEX('CASE MASTER'!$U$2:$U$495,(SUMPRODUCT((('CASE MASTER'!$T$2:$T$495=13)*('CASE MASTER'!$U$2:$U$495&lt;=1)*('CASE MASTER'!$W$2:$W$495&gt;=1)*('CASE MASTER'!$V$2:$V$495&lt;=4)*('CASE MASTER'!$X$2:$X$495&gt;=4))*ROW('CASE MASTER'!$T$2:$T$495))-(ROW('CASE MASTER'!#REF!)-1))))*(INDEX('CASE MASTER'!$X$2:$X$495,(SUMPRODUCT((('CASE MASTER'!$T$2:$T$495=13)*('CASE MASTER'!$U$2:$U$495&lt;=1)*('CASE MASTER'!$W$2:$W$495&gt;=1)*('CASE MASTER'!$V$2:$V$495&lt;=4)*('CASE MASTER'!$X$2:$X$495&gt;=4))*ROW('CASE MASTER'!$T$2:$T$495))-(ROW('CASE MASTER'!#REF!)-1)))-INDEX('CASE MASTER'!$V$2:$V$495,(SUMPRODUCT((('CASE MASTER'!$T$2:$T$495=13)*('CASE MASTER'!$U$2:$U$495&lt;=1)*('CASE MASTER'!$W$2:$W$495&gt;=1)*('CASE MASTER'!$V$2:$V$495&lt;=4)*('CASE MASTER'!$X$2:$X$495&gt;=4))*ROW('CASE MASTER'!$T$2:$T$495))-(ROW('CASE MASTER'!#REF!)-1)))+1)+(4-INDEX('CASE MASTER'!$V$2:$V$495,(SUMPRODUCT((('CASE MASTER'!$T$2:$T$495=13)*('CASE MASTER'!$U$2:$U$495&lt;=1)*('CASE MASTER'!$W$2:$W$495&gt;=1)*('CASE MASTER'!$V$2:$V$495&lt;=4)*('CASE MASTER'!$X$2:$X$495&gt;=4))*ROW('CASE MASTER'!$T$2:$T$495))-(ROW('CASE MASTER'!#REF!)-1))))+1))-1)*50+1,50))&amp;"_"&amp;INDEX('CASE MASTER'!$Q$2:$Q$495,(SUMPRODUCT((('CASE MASTER'!$T$2:$T$495=13)*('CASE MASTER'!$U$2:$U$495&lt;=1)*('CASE MASTER'!$W$2:$W$495&gt;=1)*('CASE MASTER'!$V$2:$V$495&lt;=4)*('CASE MASTER'!$X$2:$X$495&gt;=4))*ROW('CASE MASTER'!$T$2:$T$495))-(ROW('CASE MASTER'!#REF!)-1))),IF(SUMPRODUCT((('CASE MASTER'!$T$2:$T$495=13)*('CASE MASTER'!$AA$2:$AA$495&lt;=1)*('CASE MASTER'!$AC$2:$AC$495&gt;=1)*('CASE MASTER'!$AB$2:$AB$495&lt;=4)*('CASE MASTER'!$AD$2:$AD$495&gt;=4))*ROW('CASE MASTER'!$T$2:$T$495))&gt;0,INDEX('CASE MASTER'!$Y$2:$Y$495,(SUMPRODUCT((('CASE MASTER'!$T$2:$T$495=13)*('CASE MASTER'!$AA$2:$AA$495&lt;=1)*('CASE MASTER'!$AC$2:$AC$495&gt;=1)*('CASE MASTER'!$AB$2:$AB$495&lt;=4)*('CASE MASTER'!$AD$2:$AD$495&gt;=4))*ROW('CASE MASTER'!$T$2:$T$495))-(ROW('CASE MASTER'!#REF!)-1)))&amp;TRIM(MID(SUBSTITUTE(SUBSTITUTE(INDEX('CASE MASTER'!$N$2:$N$495,(SUMPRODUCT((('CASE MASTER'!$T$2:$T$495=13)*('CASE MASTER'!$AA$2:$AA$495&lt;=1)*('CASE MASTER'!$AC$2:$AC$495&gt;=1)*('CASE MASTER'!$AB$2:$AB$495&lt;=4)*('CASE MASTER'!$AD$2:$AD$495&gt;=4))*ROW('CASE MASTER'!$T$2:$T$495))-(ROW('CASE MASTER'!#REF!)-1))),":",","),",",REPT(" ",50)),(((INDEX('CASE MASTER'!$Z$2:$Z$495,(SUMPRODUCT((('CASE MASTER'!$T$2:$T$495=13)*('CASE MASTER'!$AA$2:$AA$495&lt;=1)*('CASE MASTER'!$AC$2:$AC$495&gt;=1)*('CASE MASTER'!$AB$2:$AB$495&lt;=4)*('CASE MASTER'!$AD$2:$AD$495&gt;=4))*ROW('CASE MASTER'!$T$2:$T$495))-(ROW('CASE MASTER'!#REF!)-1)))+((1-INDEX('CASE MASTER'!$AA$2:$AA$495,(SUMPRODUCT((('CASE MASTER'!$T$2:$T$495=13)*('CASE MASTER'!$AA$2:$AA$495&lt;=1)*('CASE MASTER'!$AC$2:$AC$495&gt;=1)*('CASE MASTER'!$AB$2:$AB$495&lt;=4)*('CASE MASTER'!$AD$2:$AD$495&gt;=4))*ROW('CASE MASTER'!$T$2:$T$495))-(ROW('CASE MASTER'!#REF!)-1))))*(INDEX('CASE MASTER'!$AD$2:$AD$495,(SUMPRODUCT((('CASE MASTER'!$T$2:$T$495=13)*('CASE MASTER'!$AA$2:$AA$495&lt;=1)*('CASE MASTER'!$AC$2:$AC$495&gt;=1)*('CASE MASTER'!$AB$2:$AB$495&lt;=4)*('CASE MASTER'!$AD$2:$AD$495&gt;=4))*ROW('CASE MASTER'!$T$2:$T$495))-(ROW('CASE MASTER'!#REF!)-1)))-INDEX('CASE MASTER'!$AB$2:$AB$495,(SUMPRODUCT((('CASE MASTER'!$T$2:$T$495=13)*('CASE MASTER'!$AA$2:$AA$495&lt;=1)*('CASE MASTER'!$AC$2:$AC$495&gt;=1)*('CASE MASTER'!$AB$2:$AB$495&lt;=4)*('CASE MASTER'!$AD$2:$AD$495&gt;=4))*ROW('CASE MASTER'!$T$2:$T$495))-(ROW('CASE MASTER'!#REF!)-1)))+1)+(4-INDEX('CASE MASTER'!$AB$2:$AB$495,(SUMPRODUCT((('CASE MASTER'!$T$2:$T$495=13)*('CASE MASTER'!$AA$2:$AA$495&lt;=1)*('CASE MASTER'!$AC$2:$AC$495&gt;=1)*('CASE MASTER'!$AB$2:$AB$495&lt;=4)*('CASE MASTER'!$AD$2:$AD$495&gt;=4))*ROW('CASE MASTER'!$T$2:$T$495))-(ROW('CASE MASTER'!#REF!)-1))))+1)))-1)*50+1,50))&amp;"_"&amp;INDEX('CASE MASTER'!$Q$2:$Q$495,(SUMPRODUCT((('CASE MASTER'!$T$2:$T$495=13)*('CASE MASTER'!$AA$2:$AA$495&lt;=1)*('CASE MASTER'!$AC$2:$AC$495&gt;=1)*('CASE MASTER'!$AB$2:$AB$495&lt;=4)*('CASE MASTER'!$AD$2:$AD$495&gt;=4))*ROW('CASE MASTER'!$T$2:$T$495))-(ROW('CASE MASTER'!#REF!)-1))),"")),"")</f>
        <v/>
      </c>
      <c r="F171" s="10" t="str">
        <f>IFERROR(IF(SUMPRODUCT((('CASE MASTER'!$T$2:$T$495=13)*('CASE MASTER'!$U$2:$U$495&lt;=1)*('CASE MASTER'!$W$2:$W$495&gt;=1)*('CASE MASTER'!$V$2:$V$495&lt;=5)*('CASE MASTER'!$X$2:$X$495&gt;=5))*ROW('CASE MASTER'!$T$2:$T$495))&gt;0,INDEX('CASE MASTER'!$Y$2:$Y$495,(SUMPRODUCT((('CASE MASTER'!$T$2:$T$495=13)*('CASE MASTER'!$U$2:$U$495&lt;=1)*('CASE MASTER'!$W$2:$W$495&gt;=1)*('CASE MASTER'!$V$2:$V$495&lt;=5)*('CASE MASTER'!$X$2:$X$495&gt;=5))*ROW('CASE MASTER'!$T$2:$T$495))-(ROW('CASE MASTER'!#REF!)-1)))&amp;TRIM(MID(SUBSTITUTE(SUBSTITUTE(INDEX('CASE MASTER'!$N$2:$N$495,(SUMPRODUCT((('CASE MASTER'!$T$2:$T$495=13)*('CASE MASTER'!$U$2:$U$495&lt;=1)*('CASE MASTER'!$W$2:$W$495&gt;=1)*('CASE MASTER'!$V$2:$V$495&lt;=5)*('CASE MASTER'!$X$2:$X$495&gt;=5))*ROW('CASE MASTER'!$T$2:$T$495))-(ROW('CASE MASTER'!#REF!)-1))),":",","),",",REPT(" ",50)),((((1-INDEX('CASE MASTER'!$U$2:$U$495,(SUMPRODUCT((('CASE MASTER'!$T$2:$T$495=13)*('CASE MASTER'!$U$2:$U$495&lt;=1)*('CASE MASTER'!$W$2:$W$495&gt;=1)*('CASE MASTER'!$V$2:$V$495&lt;=5)*('CASE MASTER'!$X$2:$X$495&gt;=5))*ROW('CASE MASTER'!$T$2:$T$495))-(ROW('CASE MASTER'!#REF!)-1))))*(INDEX('CASE MASTER'!$X$2:$X$495,(SUMPRODUCT((('CASE MASTER'!$T$2:$T$495=13)*('CASE MASTER'!$U$2:$U$495&lt;=1)*('CASE MASTER'!$W$2:$W$495&gt;=1)*('CASE MASTER'!$V$2:$V$495&lt;=5)*('CASE MASTER'!$X$2:$X$495&gt;=5))*ROW('CASE MASTER'!$T$2:$T$495))-(ROW('CASE MASTER'!#REF!)-1)))-INDEX('CASE MASTER'!$V$2:$V$495,(SUMPRODUCT((('CASE MASTER'!$T$2:$T$495=13)*('CASE MASTER'!$U$2:$U$495&lt;=1)*('CASE MASTER'!$W$2:$W$495&gt;=1)*('CASE MASTER'!$V$2:$V$495&lt;=5)*('CASE MASTER'!$X$2:$X$495&gt;=5))*ROW('CASE MASTER'!$T$2:$T$495))-(ROW('CASE MASTER'!#REF!)-1)))+1)+(5-INDEX('CASE MASTER'!$V$2:$V$495,(SUMPRODUCT((('CASE MASTER'!$T$2:$T$495=13)*('CASE MASTER'!$U$2:$U$495&lt;=1)*('CASE MASTER'!$W$2:$W$495&gt;=1)*('CASE MASTER'!$V$2:$V$495&lt;=5)*('CASE MASTER'!$X$2:$X$495&gt;=5))*ROW('CASE MASTER'!$T$2:$T$495))-(ROW('CASE MASTER'!#REF!)-1))))+1))-1)*50+1,50))&amp;"_"&amp;INDEX('CASE MASTER'!$Q$2:$Q$495,(SUMPRODUCT((('CASE MASTER'!$T$2:$T$495=13)*('CASE MASTER'!$U$2:$U$495&lt;=1)*('CASE MASTER'!$W$2:$W$495&gt;=1)*('CASE MASTER'!$V$2:$V$495&lt;=5)*('CASE MASTER'!$X$2:$X$495&gt;=5))*ROW('CASE MASTER'!$T$2:$T$495))-(ROW('CASE MASTER'!#REF!)-1))),IF(SUMPRODUCT((('CASE MASTER'!$T$2:$T$495=13)*('CASE MASTER'!$AA$2:$AA$495&lt;=1)*('CASE MASTER'!$AC$2:$AC$495&gt;=1)*('CASE MASTER'!$AB$2:$AB$495&lt;=5)*('CASE MASTER'!$AD$2:$AD$495&gt;=5))*ROW('CASE MASTER'!$T$2:$T$495))&gt;0,INDEX('CASE MASTER'!$Y$2:$Y$495,(SUMPRODUCT((('CASE MASTER'!$T$2:$T$495=13)*('CASE MASTER'!$AA$2:$AA$495&lt;=1)*('CASE MASTER'!$AC$2:$AC$495&gt;=1)*('CASE MASTER'!$AB$2:$AB$495&lt;=5)*('CASE MASTER'!$AD$2:$AD$495&gt;=5))*ROW('CASE MASTER'!$T$2:$T$495))-(ROW('CASE MASTER'!#REF!)-1)))&amp;TRIM(MID(SUBSTITUTE(SUBSTITUTE(INDEX('CASE MASTER'!$N$2:$N$495,(SUMPRODUCT((('CASE MASTER'!$T$2:$T$495=13)*('CASE MASTER'!$AA$2:$AA$495&lt;=1)*('CASE MASTER'!$AC$2:$AC$495&gt;=1)*('CASE MASTER'!$AB$2:$AB$495&lt;=5)*('CASE MASTER'!$AD$2:$AD$495&gt;=5))*ROW('CASE MASTER'!$T$2:$T$495))-(ROW('CASE MASTER'!#REF!)-1))),":",","),",",REPT(" ",50)),(((INDEX('CASE MASTER'!$Z$2:$Z$495,(SUMPRODUCT((('CASE MASTER'!$T$2:$T$495=13)*('CASE MASTER'!$AA$2:$AA$495&lt;=1)*('CASE MASTER'!$AC$2:$AC$495&gt;=1)*('CASE MASTER'!$AB$2:$AB$495&lt;=5)*('CASE MASTER'!$AD$2:$AD$495&gt;=5))*ROW('CASE MASTER'!$T$2:$T$495))-(ROW('CASE MASTER'!#REF!)-1)))+((1-INDEX('CASE MASTER'!$AA$2:$AA$495,(SUMPRODUCT((('CASE MASTER'!$T$2:$T$495=13)*('CASE MASTER'!$AA$2:$AA$495&lt;=1)*('CASE MASTER'!$AC$2:$AC$495&gt;=1)*('CASE MASTER'!$AB$2:$AB$495&lt;=5)*('CASE MASTER'!$AD$2:$AD$495&gt;=5))*ROW('CASE MASTER'!$T$2:$T$495))-(ROW('CASE MASTER'!#REF!)-1))))*(INDEX('CASE MASTER'!$AD$2:$AD$495,(SUMPRODUCT((('CASE MASTER'!$T$2:$T$495=13)*('CASE MASTER'!$AA$2:$AA$495&lt;=1)*('CASE MASTER'!$AC$2:$AC$495&gt;=1)*('CASE MASTER'!$AB$2:$AB$495&lt;=5)*('CASE MASTER'!$AD$2:$AD$495&gt;=5))*ROW('CASE MASTER'!$T$2:$T$495))-(ROW('CASE MASTER'!#REF!)-1)))-INDEX('CASE MASTER'!$AB$2:$AB$495,(SUMPRODUCT((('CASE MASTER'!$T$2:$T$495=13)*('CASE MASTER'!$AA$2:$AA$495&lt;=1)*('CASE MASTER'!$AC$2:$AC$495&gt;=1)*('CASE MASTER'!$AB$2:$AB$495&lt;=5)*('CASE MASTER'!$AD$2:$AD$495&gt;=5))*ROW('CASE MASTER'!$T$2:$T$495))-(ROW('CASE MASTER'!#REF!)-1)))+1)+(5-INDEX('CASE MASTER'!$AB$2:$AB$495,(SUMPRODUCT((('CASE MASTER'!$T$2:$T$495=13)*('CASE MASTER'!$AA$2:$AA$495&lt;=1)*('CASE MASTER'!$AC$2:$AC$495&gt;=1)*('CASE MASTER'!$AB$2:$AB$495&lt;=5)*('CASE MASTER'!$AD$2:$AD$495&gt;=5))*ROW('CASE MASTER'!$T$2:$T$495))-(ROW('CASE MASTER'!#REF!)-1))))+1)))-1)*50+1,50))&amp;"_"&amp;INDEX('CASE MASTER'!$Q$2:$Q$495,(SUMPRODUCT((('CASE MASTER'!$T$2:$T$495=13)*('CASE MASTER'!$AA$2:$AA$495&lt;=1)*('CASE MASTER'!$AC$2:$AC$495&gt;=1)*('CASE MASTER'!$AB$2:$AB$495&lt;=5)*('CASE MASTER'!$AD$2:$AD$495&gt;=5))*ROW('CASE MASTER'!$T$2:$T$495))-(ROW('CASE MASTER'!#REF!)-1))),"")),"")</f>
        <v/>
      </c>
      <c r="G171" s="10" t="str">
        <f>IFERROR(IF(SUMPRODUCT((('CASE MASTER'!$T$2:$T$495=13)*('CASE MASTER'!$U$2:$U$495&lt;=1)*('CASE MASTER'!$W$2:$W$495&gt;=1)*('CASE MASTER'!$V$2:$V$495&lt;=6)*('CASE MASTER'!$X$2:$X$495&gt;=6))*ROW('CASE MASTER'!$T$2:$T$495))&gt;0,INDEX('CASE MASTER'!$Y$2:$Y$495,(SUMPRODUCT((('CASE MASTER'!$T$2:$T$495=13)*('CASE MASTER'!$U$2:$U$495&lt;=1)*('CASE MASTER'!$W$2:$W$495&gt;=1)*('CASE MASTER'!$V$2:$V$495&lt;=6)*('CASE MASTER'!$X$2:$X$495&gt;=6))*ROW('CASE MASTER'!$T$2:$T$495))-(ROW('CASE MASTER'!#REF!)-1)))&amp;TRIM(MID(SUBSTITUTE(SUBSTITUTE(INDEX('CASE MASTER'!$N$2:$N$495,(SUMPRODUCT((('CASE MASTER'!$T$2:$T$495=13)*('CASE MASTER'!$U$2:$U$495&lt;=1)*('CASE MASTER'!$W$2:$W$495&gt;=1)*('CASE MASTER'!$V$2:$V$495&lt;=6)*('CASE MASTER'!$X$2:$X$495&gt;=6))*ROW('CASE MASTER'!$T$2:$T$495))-(ROW('CASE MASTER'!#REF!)-1))),":",","),",",REPT(" ",50)),((((1-INDEX('CASE MASTER'!$U$2:$U$495,(SUMPRODUCT((('CASE MASTER'!$T$2:$T$495=13)*('CASE MASTER'!$U$2:$U$495&lt;=1)*('CASE MASTER'!$W$2:$W$495&gt;=1)*('CASE MASTER'!$V$2:$V$495&lt;=6)*('CASE MASTER'!$X$2:$X$495&gt;=6))*ROW('CASE MASTER'!$T$2:$T$495))-(ROW('CASE MASTER'!#REF!)-1))))*(INDEX('CASE MASTER'!$X$2:$X$495,(SUMPRODUCT((('CASE MASTER'!$T$2:$T$495=13)*('CASE MASTER'!$U$2:$U$495&lt;=1)*('CASE MASTER'!$W$2:$W$495&gt;=1)*('CASE MASTER'!$V$2:$V$495&lt;=6)*('CASE MASTER'!$X$2:$X$495&gt;=6))*ROW('CASE MASTER'!$T$2:$T$495))-(ROW('CASE MASTER'!#REF!)-1)))-INDEX('CASE MASTER'!$V$2:$V$495,(SUMPRODUCT((('CASE MASTER'!$T$2:$T$495=13)*('CASE MASTER'!$U$2:$U$495&lt;=1)*('CASE MASTER'!$W$2:$W$495&gt;=1)*('CASE MASTER'!$V$2:$V$495&lt;=6)*('CASE MASTER'!$X$2:$X$495&gt;=6))*ROW('CASE MASTER'!$T$2:$T$495))-(ROW('CASE MASTER'!#REF!)-1)))+1)+(6-INDEX('CASE MASTER'!$V$2:$V$495,(SUMPRODUCT((('CASE MASTER'!$T$2:$T$495=13)*('CASE MASTER'!$U$2:$U$495&lt;=1)*('CASE MASTER'!$W$2:$W$495&gt;=1)*('CASE MASTER'!$V$2:$V$495&lt;=6)*('CASE MASTER'!$X$2:$X$495&gt;=6))*ROW('CASE MASTER'!$T$2:$T$495))-(ROW('CASE MASTER'!#REF!)-1))))+1))-1)*50+1,50))&amp;"_"&amp;INDEX('CASE MASTER'!$Q$2:$Q$495,(SUMPRODUCT((('CASE MASTER'!$T$2:$T$495=13)*('CASE MASTER'!$U$2:$U$495&lt;=1)*('CASE MASTER'!$W$2:$W$495&gt;=1)*('CASE MASTER'!$V$2:$V$495&lt;=6)*('CASE MASTER'!$X$2:$X$495&gt;=6))*ROW('CASE MASTER'!$T$2:$T$495))-(ROW('CASE MASTER'!#REF!)-1))),IF(SUMPRODUCT((('CASE MASTER'!$T$2:$T$495=13)*('CASE MASTER'!$AA$2:$AA$495&lt;=1)*('CASE MASTER'!$AC$2:$AC$495&gt;=1)*('CASE MASTER'!$AB$2:$AB$495&lt;=6)*('CASE MASTER'!$AD$2:$AD$495&gt;=6))*ROW('CASE MASTER'!$T$2:$T$495))&gt;0,INDEX('CASE MASTER'!$Y$2:$Y$495,(SUMPRODUCT((('CASE MASTER'!$T$2:$T$495=13)*('CASE MASTER'!$AA$2:$AA$495&lt;=1)*('CASE MASTER'!$AC$2:$AC$495&gt;=1)*('CASE MASTER'!$AB$2:$AB$495&lt;=6)*('CASE MASTER'!$AD$2:$AD$495&gt;=6))*ROW('CASE MASTER'!$T$2:$T$495))-(ROW('CASE MASTER'!#REF!)-1)))&amp;TRIM(MID(SUBSTITUTE(SUBSTITUTE(INDEX('CASE MASTER'!$N$2:$N$495,(SUMPRODUCT((('CASE MASTER'!$T$2:$T$495=13)*('CASE MASTER'!$AA$2:$AA$495&lt;=1)*('CASE MASTER'!$AC$2:$AC$495&gt;=1)*('CASE MASTER'!$AB$2:$AB$495&lt;=6)*('CASE MASTER'!$AD$2:$AD$495&gt;=6))*ROW('CASE MASTER'!$T$2:$T$495))-(ROW('CASE MASTER'!#REF!)-1))),":",","),",",REPT(" ",50)),(((INDEX('CASE MASTER'!$Z$2:$Z$495,(SUMPRODUCT((('CASE MASTER'!$T$2:$T$495=13)*('CASE MASTER'!$AA$2:$AA$495&lt;=1)*('CASE MASTER'!$AC$2:$AC$495&gt;=1)*('CASE MASTER'!$AB$2:$AB$495&lt;=6)*('CASE MASTER'!$AD$2:$AD$495&gt;=6))*ROW('CASE MASTER'!$T$2:$T$495))-(ROW('CASE MASTER'!#REF!)-1)))+((1-INDEX('CASE MASTER'!$AA$2:$AA$495,(SUMPRODUCT((('CASE MASTER'!$T$2:$T$495=13)*('CASE MASTER'!$AA$2:$AA$495&lt;=1)*('CASE MASTER'!$AC$2:$AC$495&gt;=1)*('CASE MASTER'!$AB$2:$AB$495&lt;=6)*('CASE MASTER'!$AD$2:$AD$495&gt;=6))*ROW('CASE MASTER'!$T$2:$T$495))-(ROW('CASE MASTER'!#REF!)-1))))*(INDEX('CASE MASTER'!$AD$2:$AD$495,(SUMPRODUCT((('CASE MASTER'!$T$2:$T$495=13)*('CASE MASTER'!$AA$2:$AA$495&lt;=1)*('CASE MASTER'!$AC$2:$AC$495&gt;=1)*('CASE MASTER'!$AB$2:$AB$495&lt;=6)*('CASE MASTER'!$AD$2:$AD$495&gt;=6))*ROW('CASE MASTER'!$T$2:$T$495))-(ROW('CASE MASTER'!#REF!)-1)))-INDEX('CASE MASTER'!$AB$2:$AB$495,(SUMPRODUCT((('CASE MASTER'!$T$2:$T$495=13)*('CASE MASTER'!$AA$2:$AA$495&lt;=1)*('CASE MASTER'!$AC$2:$AC$495&gt;=1)*('CASE MASTER'!$AB$2:$AB$495&lt;=6)*('CASE MASTER'!$AD$2:$AD$495&gt;=6))*ROW('CASE MASTER'!$T$2:$T$495))-(ROW('CASE MASTER'!#REF!)-1)))+1)+(6-INDEX('CASE MASTER'!$AB$2:$AB$495,(SUMPRODUCT((('CASE MASTER'!$T$2:$T$495=13)*('CASE MASTER'!$AA$2:$AA$495&lt;=1)*('CASE MASTER'!$AC$2:$AC$495&gt;=1)*('CASE MASTER'!$AB$2:$AB$495&lt;=6)*('CASE MASTER'!$AD$2:$AD$495&gt;=6))*ROW('CASE MASTER'!$T$2:$T$495))-(ROW('CASE MASTER'!#REF!)-1))))+1)))-1)*50+1,50))&amp;"_"&amp;INDEX('CASE MASTER'!$Q$2:$Q$495,(SUMPRODUCT((('CASE MASTER'!$T$2:$T$495=13)*('CASE MASTER'!$AA$2:$AA$495&lt;=1)*('CASE MASTER'!$AC$2:$AC$495&gt;=1)*('CASE MASTER'!$AB$2:$AB$495&lt;=6)*('CASE MASTER'!$AD$2:$AD$495&gt;=6))*ROW('CASE MASTER'!$T$2:$T$495))-(ROW('CASE MASTER'!#REF!)-1))),"")),"")</f>
        <v/>
      </c>
      <c r="H171" s="10" t="str">
        <f>IFERROR(IF(SUMPRODUCT((('CASE MASTER'!$T$2:$T$495=13)*('CASE MASTER'!$U$2:$U$495&lt;=1)*('CASE MASTER'!$W$2:$W$495&gt;=1)*('CASE MASTER'!$V$2:$V$495&lt;=7)*('CASE MASTER'!$X$2:$X$495&gt;=7))*ROW('CASE MASTER'!$T$2:$T$495))&gt;0,INDEX('CASE MASTER'!$Y$2:$Y$495,(SUMPRODUCT((('CASE MASTER'!$T$2:$T$495=13)*('CASE MASTER'!$U$2:$U$495&lt;=1)*('CASE MASTER'!$W$2:$W$495&gt;=1)*('CASE MASTER'!$V$2:$V$495&lt;=7)*('CASE MASTER'!$X$2:$X$495&gt;=7))*ROW('CASE MASTER'!$T$2:$T$495))-(ROW('CASE MASTER'!#REF!)-1)))&amp;TRIM(MID(SUBSTITUTE(SUBSTITUTE(INDEX('CASE MASTER'!$N$2:$N$495,(SUMPRODUCT((('CASE MASTER'!$T$2:$T$495=13)*('CASE MASTER'!$U$2:$U$495&lt;=1)*('CASE MASTER'!$W$2:$W$495&gt;=1)*('CASE MASTER'!$V$2:$V$495&lt;=7)*('CASE MASTER'!$X$2:$X$495&gt;=7))*ROW('CASE MASTER'!$T$2:$T$495))-(ROW('CASE MASTER'!#REF!)-1))),":",","),",",REPT(" ",50)),((((1-INDEX('CASE MASTER'!$U$2:$U$495,(SUMPRODUCT((('CASE MASTER'!$T$2:$T$495=13)*('CASE MASTER'!$U$2:$U$495&lt;=1)*('CASE MASTER'!$W$2:$W$495&gt;=1)*('CASE MASTER'!$V$2:$V$495&lt;=7)*('CASE MASTER'!$X$2:$X$495&gt;=7))*ROW('CASE MASTER'!$T$2:$T$495))-(ROW('CASE MASTER'!#REF!)-1))))*(INDEX('CASE MASTER'!$X$2:$X$495,(SUMPRODUCT((('CASE MASTER'!$T$2:$T$495=13)*('CASE MASTER'!$U$2:$U$495&lt;=1)*('CASE MASTER'!$W$2:$W$495&gt;=1)*('CASE MASTER'!$V$2:$V$495&lt;=7)*('CASE MASTER'!$X$2:$X$495&gt;=7))*ROW('CASE MASTER'!$T$2:$T$495))-(ROW('CASE MASTER'!#REF!)-1)))-INDEX('CASE MASTER'!$V$2:$V$495,(SUMPRODUCT((('CASE MASTER'!$T$2:$T$495=13)*('CASE MASTER'!$U$2:$U$495&lt;=1)*('CASE MASTER'!$W$2:$W$495&gt;=1)*('CASE MASTER'!$V$2:$V$495&lt;=7)*('CASE MASTER'!$X$2:$X$495&gt;=7))*ROW('CASE MASTER'!$T$2:$T$495))-(ROW('CASE MASTER'!#REF!)-1)))+1)+(7-INDEX('CASE MASTER'!$V$2:$V$495,(SUMPRODUCT((('CASE MASTER'!$T$2:$T$495=13)*('CASE MASTER'!$U$2:$U$495&lt;=1)*('CASE MASTER'!$W$2:$W$495&gt;=1)*('CASE MASTER'!$V$2:$V$495&lt;=7)*('CASE MASTER'!$X$2:$X$495&gt;=7))*ROW('CASE MASTER'!$T$2:$T$495))-(ROW('CASE MASTER'!#REF!)-1))))+1))-1)*50+1,50))&amp;"_"&amp;INDEX('CASE MASTER'!$Q$2:$Q$495,(SUMPRODUCT((('CASE MASTER'!$T$2:$T$495=13)*('CASE MASTER'!$U$2:$U$495&lt;=1)*('CASE MASTER'!$W$2:$W$495&gt;=1)*('CASE MASTER'!$V$2:$V$495&lt;=7)*('CASE MASTER'!$X$2:$X$495&gt;=7))*ROW('CASE MASTER'!$T$2:$T$495))-(ROW('CASE MASTER'!#REF!)-1))),IF(SUMPRODUCT((('CASE MASTER'!$T$2:$T$495=13)*('CASE MASTER'!$AA$2:$AA$495&lt;=1)*('CASE MASTER'!$AC$2:$AC$495&gt;=1)*('CASE MASTER'!$AB$2:$AB$495&lt;=7)*('CASE MASTER'!$AD$2:$AD$495&gt;=7))*ROW('CASE MASTER'!$T$2:$T$495))&gt;0,INDEX('CASE MASTER'!$Y$2:$Y$495,(SUMPRODUCT((('CASE MASTER'!$T$2:$T$495=13)*('CASE MASTER'!$AA$2:$AA$495&lt;=1)*('CASE MASTER'!$AC$2:$AC$495&gt;=1)*('CASE MASTER'!$AB$2:$AB$495&lt;=7)*('CASE MASTER'!$AD$2:$AD$495&gt;=7))*ROW('CASE MASTER'!$T$2:$T$495))-(ROW('CASE MASTER'!#REF!)-1)))&amp;TRIM(MID(SUBSTITUTE(SUBSTITUTE(INDEX('CASE MASTER'!$N$2:$N$495,(SUMPRODUCT((('CASE MASTER'!$T$2:$T$495=13)*('CASE MASTER'!$AA$2:$AA$495&lt;=1)*('CASE MASTER'!$AC$2:$AC$495&gt;=1)*('CASE MASTER'!$AB$2:$AB$495&lt;=7)*('CASE MASTER'!$AD$2:$AD$495&gt;=7))*ROW('CASE MASTER'!$T$2:$T$495))-(ROW('CASE MASTER'!#REF!)-1))),":",","),",",REPT(" ",50)),(((INDEX('CASE MASTER'!$Z$2:$Z$495,(SUMPRODUCT((('CASE MASTER'!$T$2:$T$495=13)*('CASE MASTER'!$AA$2:$AA$495&lt;=1)*('CASE MASTER'!$AC$2:$AC$495&gt;=1)*('CASE MASTER'!$AB$2:$AB$495&lt;=7)*('CASE MASTER'!$AD$2:$AD$495&gt;=7))*ROW('CASE MASTER'!$T$2:$T$495))-(ROW('CASE MASTER'!#REF!)-1)))+((1-INDEX('CASE MASTER'!$AA$2:$AA$495,(SUMPRODUCT((('CASE MASTER'!$T$2:$T$495=13)*('CASE MASTER'!$AA$2:$AA$495&lt;=1)*('CASE MASTER'!$AC$2:$AC$495&gt;=1)*('CASE MASTER'!$AB$2:$AB$495&lt;=7)*('CASE MASTER'!$AD$2:$AD$495&gt;=7))*ROW('CASE MASTER'!$T$2:$T$495))-(ROW('CASE MASTER'!#REF!)-1))))*(INDEX('CASE MASTER'!$AD$2:$AD$495,(SUMPRODUCT((('CASE MASTER'!$T$2:$T$495=13)*('CASE MASTER'!$AA$2:$AA$495&lt;=1)*('CASE MASTER'!$AC$2:$AC$495&gt;=1)*('CASE MASTER'!$AB$2:$AB$495&lt;=7)*('CASE MASTER'!$AD$2:$AD$495&gt;=7))*ROW('CASE MASTER'!$T$2:$T$495))-(ROW('CASE MASTER'!#REF!)-1)))-INDEX('CASE MASTER'!$AB$2:$AB$495,(SUMPRODUCT((('CASE MASTER'!$T$2:$T$495=13)*('CASE MASTER'!$AA$2:$AA$495&lt;=1)*('CASE MASTER'!$AC$2:$AC$495&gt;=1)*('CASE MASTER'!$AB$2:$AB$495&lt;=7)*('CASE MASTER'!$AD$2:$AD$495&gt;=7))*ROW('CASE MASTER'!$T$2:$T$495))-(ROW('CASE MASTER'!#REF!)-1)))+1)+(7-INDEX('CASE MASTER'!$AB$2:$AB$495,(SUMPRODUCT((('CASE MASTER'!$T$2:$T$495=13)*('CASE MASTER'!$AA$2:$AA$495&lt;=1)*('CASE MASTER'!$AC$2:$AC$495&gt;=1)*('CASE MASTER'!$AB$2:$AB$495&lt;=7)*('CASE MASTER'!$AD$2:$AD$495&gt;=7))*ROW('CASE MASTER'!$T$2:$T$495))-(ROW('CASE MASTER'!#REF!)-1))))+1)))-1)*50+1,50))&amp;"_"&amp;INDEX('CASE MASTER'!$Q$2:$Q$495,(SUMPRODUCT((('CASE MASTER'!$T$2:$T$495=13)*('CASE MASTER'!$AA$2:$AA$495&lt;=1)*('CASE MASTER'!$AC$2:$AC$495&gt;=1)*('CASE MASTER'!$AB$2:$AB$495&lt;=7)*('CASE MASTER'!$AD$2:$AD$495&gt;=7))*ROW('CASE MASTER'!$T$2:$T$495))-(ROW('CASE MASTER'!#REF!)-1))),"")),"")</f>
        <v/>
      </c>
      <c r="I171" s="10" t="str">
        <f>IFERROR(IF(SUMPRODUCT((('CASE MASTER'!$T$2:$T$495=13)*('CASE MASTER'!$U$2:$U$495&lt;=1)*('CASE MASTER'!$W$2:$W$495&gt;=1)*('CASE MASTER'!$V$2:$V$495&lt;=8)*('CASE MASTER'!$X$2:$X$495&gt;=8))*ROW('CASE MASTER'!$T$2:$T$495))&gt;0,INDEX('CASE MASTER'!$Y$2:$Y$495,(SUMPRODUCT((('CASE MASTER'!$T$2:$T$495=13)*('CASE MASTER'!$U$2:$U$495&lt;=1)*('CASE MASTER'!$W$2:$W$495&gt;=1)*('CASE MASTER'!$V$2:$V$495&lt;=8)*('CASE MASTER'!$X$2:$X$495&gt;=8))*ROW('CASE MASTER'!$T$2:$T$495))-(ROW('CASE MASTER'!#REF!)-1)))&amp;TRIM(MID(SUBSTITUTE(SUBSTITUTE(INDEX('CASE MASTER'!$N$2:$N$495,(SUMPRODUCT((('CASE MASTER'!$T$2:$T$495=13)*('CASE MASTER'!$U$2:$U$495&lt;=1)*('CASE MASTER'!$W$2:$W$495&gt;=1)*('CASE MASTER'!$V$2:$V$495&lt;=8)*('CASE MASTER'!$X$2:$X$495&gt;=8))*ROW('CASE MASTER'!$T$2:$T$495))-(ROW('CASE MASTER'!#REF!)-1))),":",","),",",REPT(" ",50)),((((1-INDEX('CASE MASTER'!$U$2:$U$495,(SUMPRODUCT((('CASE MASTER'!$T$2:$T$495=13)*('CASE MASTER'!$U$2:$U$495&lt;=1)*('CASE MASTER'!$W$2:$W$495&gt;=1)*('CASE MASTER'!$V$2:$V$495&lt;=8)*('CASE MASTER'!$X$2:$X$495&gt;=8))*ROW('CASE MASTER'!$T$2:$T$495))-(ROW('CASE MASTER'!#REF!)-1))))*(INDEX('CASE MASTER'!$X$2:$X$495,(SUMPRODUCT((('CASE MASTER'!$T$2:$T$495=13)*('CASE MASTER'!$U$2:$U$495&lt;=1)*('CASE MASTER'!$W$2:$W$495&gt;=1)*('CASE MASTER'!$V$2:$V$495&lt;=8)*('CASE MASTER'!$X$2:$X$495&gt;=8))*ROW('CASE MASTER'!$T$2:$T$495))-(ROW('CASE MASTER'!#REF!)-1)))-INDEX('CASE MASTER'!$V$2:$V$495,(SUMPRODUCT((('CASE MASTER'!$T$2:$T$495=13)*('CASE MASTER'!$U$2:$U$495&lt;=1)*('CASE MASTER'!$W$2:$W$495&gt;=1)*('CASE MASTER'!$V$2:$V$495&lt;=8)*('CASE MASTER'!$X$2:$X$495&gt;=8))*ROW('CASE MASTER'!$T$2:$T$495))-(ROW('CASE MASTER'!#REF!)-1)))+1)+(8-INDEX('CASE MASTER'!$V$2:$V$495,(SUMPRODUCT((('CASE MASTER'!$T$2:$T$495=13)*('CASE MASTER'!$U$2:$U$495&lt;=1)*('CASE MASTER'!$W$2:$W$495&gt;=1)*('CASE MASTER'!$V$2:$V$495&lt;=8)*('CASE MASTER'!$X$2:$X$495&gt;=8))*ROW('CASE MASTER'!$T$2:$T$495))-(ROW('CASE MASTER'!#REF!)-1))))+1))-1)*50+1,50))&amp;"_"&amp;INDEX('CASE MASTER'!$Q$2:$Q$495,(SUMPRODUCT((('CASE MASTER'!$T$2:$T$495=13)*('CASE MASTER'!$U$2:$U$495&lt;=1)*('CASE MASTER'!$W$2:$W$495&gt;=1)*('CASE MASTER'!$V$2:$V$495&lt;=8)*('CASE MASTER'!$X$2:$X$495&gt;=8))*ROW('CASE MASTER'!$T$2:$T$495))-(ROW('CASE MASTER'!#REF!)-1))),IF(SUMPRODUCT((('CASE MASTER'!$T$2:$T$495=13)*('CASE MASTER'!$AA$2:$AA$495&lt;=1)*('CASE MASTER'!$AC$2:$AC$495&gt;=1)*('CASE MASTER'!$AB$2:$AB$495&lt;=8)*('CASE MASTER'!$AD$2:$AD$495&gt;=8))*ROW('CASE MASTER'!$T$2:$T$495))&gt;0,INDEX('CASE MASTER'!$Y$2:$Y$495,(SUMPRODUCT((('CASE MASTER'!$T$2:$T$495=13)*('CASE MASTER'!$AA$2:$AA$495&lt;=1)*('CASE MASTER'!$AC$2:$AC$495&gt;=1)*('CASE MASTER'!$AB$2:$AB$495&lt;=8)*('CASE MASTER'!$AD$2:$AD$495&gt;=8))*ROW('CASE MASTER'!$T$2:$T$495))-(ROW('CASE MASTER'!#REF!)-1)))&amp;TRIM(MID(SUBSTITUTE(SUBSTITUTE(INDEX('CASE MASTER'!$N$2:$N$495,(SUMPRODUCT((('CASE MASTER'!$T$2:$T$495=13)*('CASE MASTER'!$AA$2:$AA$495&lt;=1)*('CASE MASTER'!$AC$2:$AC$495&gt;=1)*('CASE MASTER'!$AB$2:$AB$495&lt;=8)*('CASE MASTER'!$AD$2:$AD$495&gt;=8))*ROW('CASE MASTER'!$T$2:$T$495))-(ROW('CASE MASTER'!#REF!)-1))),":",","),",",REPT(" ",50)),(((INDEX('CASE MASTER'!$Z$2:$Z$495,(SUMPRODUCT((('CASE MASTER'!$T$2:$T$495=13)*('CASE MASTER'!$AA$2:$AA$495&lt;=1)*('CASE MASTER'!$AC$2:$AC$495&gt;=1)*('CASE MASTER'!$AB$2:$AB$495&lt;=8)*('CASE MASTER'!$AD$2:$AD$495&gt;=8))*ROW('CASE MASTER'!$T$2:$T$495))-(ROW('CASE MASTER'!#REF!)-1)))+((1-INDEX('CASE MASTER'!$AA$2:$AA$495,(SUMPRODUCT((('CASE MASTER'!$T$2:$T$495=13)*('CASE MASTER'!$AA$2:$AA$495&lt;=1)*('CASE MASTER'!$AC$2:$AC$495&gt;=1)*('CASE MASTER'!$AB$2:$AB$495&lt;=8)*('CASE MASTER'!$AD$2:$AD$495&gt;=8))*ROW('CASE MASTER'!$T$2:$T$495))-(ROW('CASE MASTER'!#REF!)-1))))*(INDEX('CASE MASTER'!$AD$2:$AD$495,(SUMPRODUCT((('CASE MASTER'!$T$2:$T$495=13)*('CASE MASTER'!$AA$2:$AA$495&lt;=1)*('CASE MASTER'!$AC$2:$AC$495&gt;=1)*('CASE MASTER'!$AB$2:$AB$495&lt;=8)*('CASE MASTER'!$AD$2:$AD$495&gt;=8))*ROW('CASE MASTER'!$T$2:$T$495))-(ROW('CASE MASTER'!#REF!)-1)))-INDEX('CASE MASTER'!$AB$2:$AB$495,(SUMPRODUCT((('CASE MASTER'!$T$2:$T$495=13)*('CASE MASTER'!$AA$2:$AA$495&lt;=1)*('CASE MASTER'!$AC$2:$AC$495&gt;=1)*('CASE MASTER'!$AB$2:$AB$495&lt;=8)*('CASE MASTER'!$AD$2:$AD$495&gt;=8))*ROW('CASE MASTER'!$T$2:$T$495))-(ROW('CASE MASTER'!#REF!)-1)))+1)+(8-INDEX('CASE MASTER'!$AB$2:$AB$495,(SUMPRODUCT((('CASE MASTER'!$T$2:$T$495=13)*('CASE MASTER'!$AA$2:$AA$495&lt;=1)*('CASE MASTER'!$AC$2:$AC$495&gt;=1)*('CASE MASTER'!$AB$2:$AB$495&lt;=8)*('CASE MASTER'!$AD$2:$AD$495&gt;=8))*ROW('CASE MASTER'!$T$2:$T$495))-(ROW('CASE MASTER'!#REF!)-1))))+1)))-1)*50+1,50))&amp;"_"&amp;INDEX('CASE MASTER'!$Q$2:$Q$495,(SUMPRODUCT((('CASE MASTER'!$T$2:$T$495=13)*('CASE MASTER'!$AA$2:$AA$495&lt;=1)*('CASE MASTER'!$AC$2:$AC$495&gt;=1)*('CASE MASTER'!$AB$2:$AB$495&lt;=8)*('CASE MASTER'!$AD$2:$AD$495&gt;=8))*ROW('CASE MASTER'!$T$2:$T$495))-(ROW('CASE MASTER'!#REF!)-1))),"")),"")</f>
        <v/>
      </c>
      <c r="J171" s="10" t="str">
        <f>IFERROR(IF(SUMPRODUCT((('CASE MASTER'!$T$2:$T$495=13)*('CASE MASTER'!$U$2:$U$495&lt;=1)*('CASE MASTER'!$W$2:$W$495&gt;=1)*('CASE MASTER'!$V$2:$V$495&lt;=9)*('CASE MASTER'!$X$2:$X$495&gt;=9))*ROW('CASE MASTER'!$T$2:$T$495))&gt;0,INDEX('CASE MASTER'!$Y$2:$Y$495,(SUMPRODUCT((('CASE MASTER'!$T$2:$T$495=13)*('CASE MASTER'!$U$2:$U$495&lt;=1)*('CASE MASTER'!$W$2:$W$495&gt;=1)*('CASE MASTER'!$V$2:$V$495&lt;=9)*('CASE MASTER'!$X$2:$X$495&gt;=9))*ROW('CASE MASTER'!$T$2:$T$495))-(ROW('CASE MASTER'!#REF!)-1)))&amp;TRIM(MID(SUBSTITUTE(SUBSTITUTE(INDEX('CASE MASTER'!$N$2:$N$495,(SUMPRODUCT((('CASE MASTER'!$T$2:$T$495=13)*('CASE MASTER'!$U$2:$U$495&lt;=1)*('CASE MASTER'!$W$2:$W$495&gt;=1)*('CASE MASTER'!$V$2:$V$495&lt;=9)*('CASE MASTER'!$X$2:$X$495&gt;=9))*ROW('CASE MASTER'!$T$2:$T$495))-(ROW('CASE MASTER'!#REF!)-1))),":",","),",",REPT(" ",50)),((((1-INDEX('CASE MASTER'!$U$2:$U$495,(SUMPRODUCT((('CASE MASTER'!$T$2:$T$495=13)*('CASE MASTER'!$U$2:$U$495&lt;=1)*('CASE MASTER'!$W$2:$W$495&gt;=1)*('CASE MASTER'!$V$2:$V$495&lt;=9)*('CASE MASTER'!$X$2:$X$495&gt;=9))*ROW('CASE MASTER'!$T$2:$T$495))-(ROW('CASE MASTER'!#REF!)-1))))*(INDEX('CASE MASTER'!$X$2:$X$495,(SUMPRODUCT((('CASE MASTER'!$T$2:$T$495=13)*('CASE MASTER'!$U$2:$U$495&lt;=1)*('CASE MASTER'!$W$2:$W$495&gt;=1)*('CASE MASTER'!$V$2:$V$495&lt;=9)*('CASE MASTER'!$X$2:$X$495&gt;=9))*ROW('CASE MASTER'!$T$2:$T$495))-(ROW('CASE MASTER'!#REF!)-1)))-INDEX('CASE MASTER'!$V$2:$V$495,(SUMPRODUCT((('CASE MASTER'!$T$2:$T$495=13)*('CASE MASTER'!$U$2:$U$495&lt;=1)*('CASE MASTER'!$W$2:$W$495&gt;=1)*('CASE MASTER'!$V$2:$V$495&lt;=9)*('CASE MASTER'!$X$2:$X$495&gt;=9))*ROW('CASE MASTER'!$T$2:$T$495))-(ROW('CASE MASTER'!#REF!)-1)))+1)+(9-INDEX('CASE MASTER'!$V$2:$V$495,(SUMPRODUCT((('CASE MASTER'!$T$2:$T$495=13)*('CASE MASTER'!$U$2:$U$495&lt;=1)*('CASE MASTER'!$W$2:$W$495&gt;=1)*('CASE MASTER'!$V$2:$V$495&lt;=9)*('CASE MASTER'!$X$2:$X$495&gt;=9))*ROW('CASE MASTER'!$T$2:$T$495))-(ROW('CASE MASTER'!#REF!)-1))))+1))-1)*50+1,50))&amp;"_"&amp;INDEX('CASE MASTER'!$Q$2:$Q$495,(SUMPRODUCT((('CASE MASTER'!$T$2:$T$495=13)*('CASE MASTER'!$U$2:$U$495&lt;=1)*('CASE MASTER'!$W$2:$W$495&gt;=1)*('CASE MASTER'!$V$2:$V$495&lt;=9)*('CASE MASTER'!$X$2:$X$495&gt;=9))*ROW('CASE MASTER'!$T$2:$T$495))-(ROW('CASE MASTER'!#REF!)-1))),IF(SUMPRODUCT((('CASE MASTER'!$T$2:$T$495=13)*('CASE MASTER'!$AA$2:$AA$495&lt;=1)*('CASE MASTER'!$AC$2:$AC$495&gt;=1)*('CASE MASTER'!$AB$2:$AB$495&lt;=9)*('CASE MASTER'!$AD$2:$AD$495&gt;=9))*ROW('CASE MASTER'!$T$2:$T$495))&gt;0,INDEX('CASE MASTER'!$Y$2:$Y$495,(SUMPRODUCT((('CASE MASTER'!$T$2:$T$495=13)*('CASE MASTER'!$AA$2:$AA$495&lt;=1)*('CASE MASTER'!$AC$2:$AC$495&gt;=1)*('CASE MASTER'!$AB$2:$AB$495&lt;=9)*('CASE MASTER'!$AD$2:$AD$495&gt;=9))*ROW('CASE MASTER'!$T$2:$T$495))-(ROW('CASE MASTER'!#REF!)-1)))&amp;TRIM(MID(SUBSTITUTE(SUBSTITUTE(INDEX('CASE MASTER'!$N$2:$N$495,(SUMPRODUCT((('CASE MASTER'!$T$2:$T$495=13)*('CASE MASTER'!$AA$2:$AA$495&lt;=1)*('CASE MASTER'!$AC$2:$AC$495&gt;=1)*('CASE MASTER'!$AB$2:$AB$495&lt;=9)*('CASE MASTER'!$AD$2:$AD$495&gt;=9))*ROW('CASE MASTER'!$T$2:$T$495))-(ROW('CASE MASTER'!#REF!)-1))),":",","),",",REPT(" ",50)),(((INDEX('CASE MASTER'!$Z$2:$Z$495,(SUMPRODUCT((('CASE MASTER'!$T$2:$T$495=13)*('CASE MASTER'!$AA$2:$AA$495&lt;=1)*('CASE MASTER'!$AC$2:$AC$495&gt;=1)*('CASE MASTER'!$AB$2:$AB$495&lt;=9)*('CASE MASTER'!$AD$2:$AD$495&gt;=9))*ROW('CASE MASTER'!$T$2:$T$495))-(ROW('CASE MASTER'!#REF!)-1)))+((1-INDEX('CASE MASTER'!$AA$2:$AA$495,(SUMPRODUCT((('CASE MASTER'!$T$2:$T$495=13)*('CASE MASTER'!$AA$2:$AA$495&lt;=1)*('CASE MASTER'!$AC$2:$AC$495&gt;=1)*('CASE MASTER'!$AB$2:$AB$495&lt;=9)*('CASE MASTER'!$AD$2:$AD$495&gt;=9))*ROW('CASE MASTER'!$T$2:$T$495))-(ROW('CASE MASTER'!#REF!)-1))))*(INDEX('CASE MASTER'!$AD$2:$AD$495,(SUMPRODUCT((('CASE MASTER'!$T$2:$T$495=13)*('CASE MASTER'!$AA$2:$AA$495&lt;=1)*('CASE MASTER'!$AC$2:$AC$495&gt;=1)*('CASE MASTER'!$AB$2:$AB$495&lt;=9)*('CASE MASTER'!$AD$2:$AD$495&gt;=9))*ROW('CASE MASTER'!$T$2:$T$495))-(ROW('CASE MASTER'!#REF!)-1)))-INDEX('CASE MASTER'!$AB$2:$AB$495,(SUMPRODUCT((('CASE MASTER'!$T$2:$T$495=13)*('CASE MASTER'!$AA$2:$AA$495&lt;=1)*('CASE MASTER'!$AC$2:$AC$495&gt;=1)*('CASE MASTER'!$AB$2:$AB$495&lt;=9)*('CASE MASTER'!$AD$2:$AD$495&gt;=9))*ROW('CASE MASTER'!$T$2:$T$495))-(ROW('CASE MASTER'!#REF!)-1)))+1)+(9-INDEX('CASE MASTER'!$AB$2:$AB$495,(SUMPRODUCT((('CASE MASTER'!$T$2:$T$495=13)*('CASE MASTER'!$AA$2:$AA$495&lt;=1)*('CASE MASTER'!$AC$2:$AC$495&gt;=1)*('CASE MASTER'!$AB$2:$AB$495&lt;=9)*('CASE MASTER'!$AD$2:$AD$495&gt;=9))*ROW('CASE MASTER'!$T$2:$T$495))-(ROW('CASE MASTER'!#REF!)-1))))+1)))-1)*50+1,50))&amp;"_"&amp;INDEX('CASE MASTER'!$Q$2:$Q$495,(SUMPRODUCT((('CASE MASTER'!$T$2:$T$495=13)*('CASE MASTER'!$AA$2:$AA$495&lt;=1)*('CASE MASTER'!$AC$2:$AC$495&gt;=1)*('CASE MASTER'!$AB$2:$AB$495&lt;=9)*('CASE MASTER'!$AD$2:$AD$495&gt;=9))*ROW('CASE MASTER'!$T$2:$T$495))-(ROW('CASE MASTER'!#REF!)-1))),"")),"")</f>
        <v/>
      </c>
      <c r="K171" s="10" t="str">
        <f>IFERROR(IF(SUMPRODUCT((('CASE MASTER'!$T$2:$T$495=13)*('CASE MASTER'!$U$2:$U$495&lt;=1)*('CASE MASTER'!$W$2:$W$495&gt;=1)*('CASE MASTER'!$V$2:$V$495&lt;=10)*('CASE MASTER'!$X$2:$X$495&gt;=10))*ROW('CASE MASTER'!$T$2:$T$495))&gt;0,INDEX('CASE MASTER'!$Y$2:$Y$495,(SUMPRODUCT((('CASE MASTER'!$T$2:$T$495=13)*('CASE MASTER'!$U$2:$U$495&lt;=1)*('CASE MASTER'!$W$2:$W$495&gt;=1)*('CASE MASTER'!$V$2:$V$495&lt;=10)*('CASE MASTER'!$X$2:$X$495&gt;=10))*ROW('CASE MASTER'!$T$2:$T$495))-(ROW('CASE MASTER'!#REF!)-1)))&amp;TRIM(MID(SUBSTITUTE(SUBSTITUTE(INDEX('CASE MASTER'!$N$2:$N$495,(SUMPRODUCT((('CASE MASTER'!$T$2:$T$495=13)*('CASE MASTER'!$U$2:$U$495&lt;=1)*('CASE MASTER'!$W$2:$W$495&gt;=1)*('CASE MASTER'!$V$2:$V$495&lt;=10)*('CASE MASTER'!$X$2:$X$495&gt;=10))*ROW('CASE MASTER'!$T$2:$T$495))-(ROW('CASE MASTER'!#REF!)-1))),":",","),",",REPT(" ",50)),((((1-INDEX('CASE MASTER'!$U$2:$U$495,(SUMPRODUCT((('CASE MASTER'!$T$2:$T$495=13)*('CASE MASTER'!$U$2:$U$495&lt;=1)*('CASE MASTER'!$W$2:$W$495&gt;=1)*('CASE MASTER'!$V$2:$V$495&lt;=10)*('CASE MASTER'!$X$2:$X$495&gt;=10))*ROW('CASE MASTER'!$T$2:$T$495))-(ROW('CASE MASTER'!#REF!)-1))))*(INDEX('CASE MASTER'!$X$2:$X$495,(SUMPRODUCT((('CASE MASTER'!$T$2:$T$495=13)*('CASE MASTER'!$U$2:$U$495&lt;=1)*('CASE MASTER'!$W$2:$W$495&gt;=1)*('CASE MASTER'!$V$2:$V$495&lt;=10)*('CASE MASTER'!$X$2:$X$495&gt;=10))*ROW('CASE MASTER'!$T$2:$T$495))-(ROW('CASE MASTER'!#REF!)-1)))-INDEX('CASE MASTER'!$V$2:$V$495,(SUMPRODUCT((('CASE MASTER'!$T$2:$T$495=13)*('CASE MASTER'!$U$2:$U$495&lt;=1)*('CASE MASTER'!$W$2:$W$495&gt;=1)*('CASE MASTER'!$V$2:$V$495&lt;=10)*('CASE MASTER'!$X$2:$X$495&gt;=10))*ROW('CASE MASTER'!$T$2:$T$495))-(ROW('CASE MASTER'!#REF!)-1)))+1)+(10-INDEX('CASE MASTER'!$V$2:$V$495,(SUMPRODUCT((('CASE MASTER'!$T$2:$T$495=13)*('CASE MASTER'!$U$2:$U$495&lt;=1)*('CASE MASTER'!$W$2:$W$495&gt;=1)*('CASE MASTER'!$V$2:$V$495&lt;=10)*('CASE MASTER'!$X$2:$X$495&gt;=10))*ROW('CASE MASTER'!$T$2:$T$495))-(ROW('CASE MASTER'!#REF!)-1))))+1))-1)*50+1,50))&amp;"_"&amp;INDEX('CASE MASTER'!$Q$2:$Q$495,(SUMPRODUCT((('CASE MASTER'!$T$2:$T$495=13)*('CASE MASTER'!$U$2:$U$495&lt;=1)*('CASE MASTER'!$W$2:$W$495&gt;=1)*('CASE MASTER'!$V$2:$V$495&lt;=10)*('CASE MASTER'!$X$2:$X$495&gt;=10))*ROW('CASE MASTER'!$T$2:$T$495))-(ROW('CASE MASTER'!#REF!)-1))),IF(SUMPRODUCT((('CASE MASTER'!$T$2:$T$495=13)*('CASE MASTER'!$AA$2:$AA$495&lt;=1)*('CASE MASTER'!$AC$2:$AC$495&gt;=1)*('CASE MASTER'!$AB$2:$AB$495&lt;=10)*('CASE MASTER'!$AD$2:$AD$495&gt;=10))*ROW('CASE MASTER'!$T$2:$T$495))&gt;0,INDEX('CASE MASTER'!$Y$2:$Y$495,(SUMPRODUCT((('CASE MASTER'!$T$2:$T$495=13)*('CASE MASTER'!$AA$2:$AA$495&lt;=1)*('CASE MASTER'!$AC$2:$AC$495&gt;=1)*('CASE MASTER'!$AB$2:$AB$495&lt;=10)*('CASE MASTER'!$AD$2:$AD$495&gt;=10))*ROW('CASE MASTER'!$T$2:$T$495))-(ROW('CASE MASTER'!#REF!)-1)))&amp;TRIM(MID(SUBSTITUTE(SUBSTITUTE(INDEX('CASE MASTER'!$N$2:$N$495,(SUMPRODUCT((('CASE MASTER'!$T$2:$T$495=13)*('CASE MASTER'!$AA$2:$AA$495&lt;=1)*('CASE MASTER'!$AC$2:$AC$495&gt;=1)*('CASE MASTER'!$AB$2:$AB$495&lt;=10)*('CASE MASTER'!$AD$2:$AD$495&gt;=10))*ROW('CASE MASTER'!$T$2:$T$495))-(ROW('CASE MASTER'!#REF!)-1))),":",","),",",REPT(" ",50)),(((INDEX('CASE MASTER'!$Z$2:$Z$495,(SUMPRODUCT((('CASE MASTER'!$T$2:$T$495=13)*('CASE MASTER'!$AA$2:$AA$495&lt;=1)*('CASE MASTER'!$AC$2:$AC$495&gt;=1)*('CASE MASTER'!$AB$2:$AB$495&lt;=10)*('CASE MASTER'!$AD$2:$AD$495&gt;=10))*ROW('CASE MASTER'!$T$2:$T$495))-(ROW('CASE MASTER'!#REF!)-1)))+((1-INDEX('CASE MASTER'!$AA$2:$AA$495,(SUMPRODUCT((('CASE MASTER'!$T$2:$T$495=13)*('CASE MASTER'!$AA$2:$AA$495&lt;=1)*('CASE MASTER'!$AC$2:$AC$495&gt;=1)*('CASE MASTER'!$AB$2:$AB$495&lt;=10)*('CASE MASTER'!$AD$2:$AD$495&gt;=10))*ROW('CASE MASTER'!$T$2:$T$495))-(ROW('CASE MASTER'!#REF!)-1))))*(INDEX('CASE MASTER'!$AD$2:$AD$495,(SUMPRODUCT((('CASE MASTER'!$T$2:$T$495=13)*('CASE MASTER'!$AA$2:$AA$495&lt;=1)*('CASE MASTER'!$AC$2:$AC$495&gt;=1)*('CASE MASTER'!$AB$2:$AB$495&lt;=10)*('CASE MASTER'!$AD$2:$AD$495&gt;=10))*ROW('CASE MASTER'!$T$2:$T$495))-(ROW('CASE MASTER'!#REF!)-1)))-INDEX('CASE MASTER'!$AB$2:$AB$495,(SUMPRODUCT((('CASE MASTER'!$T$2:$T$495=13)*('CASE MASTER'!$AA$2:$AA$495&lt;=1)*('CASE MASTER'!$AC$2:$AC$495&gt;=1)*('CASE MASTER'!$AB$2:$AB$495&lt;=10)*('CASE MASTER'!$AD$2:$AD$495&gt;=10))*ROW('CASE MASTER'!$T$2:$T$495))-(ROW('CASE MASTER'!#REF!)-1)))+1)+(10-INDEX('CASE MASTER'!$AB$2:$AB$495,(SUMPRODUCT((('CASE MASTER'!$T$2:$T$495=13)*('CASE MASTER'!$AA$2:$AA$495&lt;=1)*('CASE MASTER'!$AC$2:$AC$495&gt;=1)*('CASE MASTER'!$AB$2:$AB$495&lt;=10)*('CASE MASTER'!$AD$2:$AD$495&gt;=10))*ROW('CASE MASTER'!$T$2:$T$495))-(ROW('CASE MASTER'!#REF!)-1))))+1)))-1)*50+1,50))&amp;"_"&amp;INDEX('CASE MASTER'!$Q$2:$Q$495,(SUMPRODUCT((('CASE MASTER'!$T$2:$T$495=13)*('CASE MASTER'!$AA$2:$AA$495&lt;=1)*('CASE MASTER'!$AC$2:$AC$495&gt;=1)*('CASE MASTER'!$AB$2:$AB$495&lt;=10)*('CASE MASTER'!$AD$2:$AD$495&gt;=10))*ROW('CASE MASTER'!$T$2:$T$495))-(ROW('CASE MASTER'!#REF!)-1))),"")),"")</f>
        <v/>
      </c>
    </row>
    <row r="172" spans="1:11" ht="15" customHeight="1" x14ac:dyDescent="0.35">
      <c r="A172" s="8" t="s">
        <v>29</v>
      </c>
      <c r="B172" s="10" t="str">
        <f>IFERROR(IF(SUMPRODUCT((('CASE MASTER'!$T$2:$T$495=13)*('CASE MASTER'!$U$2:$U$495&lt;=2)*('CASE MASTER'!$W$2:$W$495&gt;=2)*('CASE MASTER'!$V$2:$V$495&lt;=1)*('CASE MASTER'!$X$2:$X$495&gt;=1))*ROW('CASE MASTER'!$T$2:$T$495))&gt;0,INDEX('CASE MASTER'!$Y$2:$Y$495,(SUMPRODUCT((('CASE MASTER'!$T$2:$T$495=13)*('CASE MASTER'!$U$2:$U$495&lt;=2)*('CASE MASTER'!$W$2:$W$495&gt;=2)*('CASE MASTER'!$V$2:$V$495&lt;=1)*('CASE MASTER'!$X$2:$X$495&gt;=1))*ROW('CASE MASTER'!$T$2:$T$495))-(ROW('CASE MASTER'!#REF!)-1)))&amp;TRIM(MID(SUBSTITUTE(SUBSTITUTE(INDEX('CASE MASTER'!$N$2:$N$495,(SUMPRODUCT((('CASE MASTER'!$T$2:$T$495=13)*('CASE MASTER'!$U$2:$U$495&lt;=2)*('CASE MASTER'!$W$2:$W$495&gt;=2)*('CASE MASTER'!$V$2:$V$495&lt;=1)*('CASE MASTER'!$X$2:$X$495&gt;=1))*ROW('CASE MASTER'!$T$2:$T$495))-(ROW('CASE MASTER'!#REF!)-1))),":",","),",",REPT(" ",50)),((((2-INDEX('CASE MASTER'!$U$2:$U$495,(SUMPRODUCT((('CASE MASTER'!$T$2:$T$495=13)*('CASE MASTER'!$U$2:$U$495&lt;=2)*('CASE MASTER'!$W$2:$W$495&gt;=2)*('CASE MASTER'!$V$2:$V$495&lt;=1)*('CASE MASTER'!$X$2:$X$495&gt;=1))*ROW('CASE MASTER'!$T$2:$T$495))-(ROW('CASE MASTER'!#REF!)-1))))*(INDEX('CASE MASTER'!$X$2:$X$495,(SUMPRODUCT((('CASE MASTER'!$T$2:$T$495=13)*('CASE MASTER'!$U$2:$U$495&lt;=2)*('CASE MASTER'!$W$2:$W$495&gt;=2)*('CASE MASTER'!$V$2:$V$495&lt;=1)*('CASE MASTER'!$X$2:$X$495&gt;=1))*ROW('CASE MASTER'!$T$2:$T$495))-(ROW('CASE MASTER'!#REF!)-1)))-INDEX('CASE MASTER'!$V$2:$V$495,(SUMPRODUCT((('CASE MASTER'!$T$2:$T$495=13)*('CASE MASTER'!$U$2:$U$495&lt;=2)*('CASE MASTER'!$W$2:$W$495&gt;=2)*('CASE MASTER'!$V$2:$V$495&lt;=1)*('CASE MASTER'!$X$2:$X$495&gt;=1))*ROW('CASE MASTER'!$T$2:$T$495))-(ROW('CASE MASTER'!#REF!)-1)))+1)+(1-INDEX('CASE MASTER'!$V$2:$V$495,(SUMPRODUCT((('CASE MASTER'!$T$2:$T$495=13)*('CASE MASTER'!$U$2:$U$495&lt;=2)*('CASE MASTER'!$W$2:$W$495&gt;=2)*('CASE MASTER'!$V$2:$V$495&lt;=1)*('CASE MASTER'!$X$2:$X$495&gt;=1))*ROW('CASE MASTER'!$T$2:$T$495))-(ROW('CASE MASTER'!#REF!)-1))))+1))-1)*50+1,50))&amp;"_"&amp;INDEX('CASE MASTER'!$Q$2:$Q$495,(SUMPRODUCT((('CASE MASTER'!$T$2:$T$495=13)*('CASE MASTER'!$U$2:$U$495&lt;=2)*('CASE MASTER'!$W$2:$W$495&gt;=2)*('CASE MASTER'!$V$2:$V$495&lt;=1)*('CASE MASTER'!$X$2:$X$495&gt;=1))*ROW('CASE MASTER'!$T$2:$T$495))-(ROW('CASE MASTER'!#REF!)-1))),IF(SUMPRODUCT((('CASE MASTER'!$T$2:$T$495=13)*('CASE MASTER'!$AA$2:$AA$495&lt;=2)*('CASE MASTER'!$AC$2:$AC$495&gt;=2)*('CASE MASTER'!$AB$2:$AB$495&lt;=1)*('CASE MASTER'!$AD$2:$AD$495&gt;=1))*ROW('CASE MASTER'!$T$2:$T$495))&gt;0,INDEX('CASE MASTER'!$Y$2:$Y$495,(SUMPRODUCT((('CASE MASTER'!$T$2:$T$495=13)*('CASE MASTER'!$AA$2:$AA$495&lt;=2)*('CASE MASTER'!$AC$2:$AC$495&gt;=2)*('CASE MASTER'!$AB$2:$AB$495&lt;=1)*('CASE MASTER'!$AD$2:$AD$495&gt;=1))*ROW('CASE MASTER'!$T$2:$T$495))-(ROW('CASE MASTER'!#REF!)-1)))&amp;TRIM(MID(SUBSTITUTE(SUBSTITUTE(INDEX('CASE MASTER'!$N$2:$N$495,(SUMPRODUCT((('CASE MASTER'!$T$2:$T$495=13)*('CASE MASTER'!$AA$2:$AA$495&lt;=2)*('CASE MASTER'!$AC$2:$AC$495&gt;=2)*('CASE MASTER'!$AB$2:$AB$495&lt;=1)*('CASE MASTER'!$AD$2:$AD$495&gt;=1))*ROW('CASE MASTER'!$T$2:$T$495))-(ROW('CASE MASTER'!#REF!)-1))),":",","),",",REPT(" ",50)),(((INDEX('CASE MASTER'!$Z$2:$Z$495,(SUMPRODUCT((('CASE MASTER'!$T$2:$T$495=13)*('CASE MASTER'!$AA$2:$AA$495&lt;=2)*('CASE MASTER'!$AC$2:$AC$495&gt;=2)*('CASE MASTER'!$AB$2:$AB$495&lt;=1)*('CASE MASTER'!$AD$2:$AD$495&gt;=1))*ROW('CASE MASTER'!$T$2:$T$495))-(ROW('CASE MASTER'!#REF!)-1)))+((2-INDEX('CASE MASTER'!$AA$2:$AA$495,(SUMPRODUCT((('CASE MASTER'!$T$2:$T$495=13)*('CASE MASTER'!$AA$2:$AA$495&lt;=2)*('CASE MASTER'!$AC$2:$AC$495&gt;=2)*('CASE MASTER'!$AB$2:$AB$495&lt;=1)*('CASE MASTER'!$AD$2:$AD$495&gt;=1))*ROW('CASE MASTER'!$T$2:$T$495))-(ROW('CASE MASTER'!#REF!)-1))))*(INDEX('CASE MASTER'!$AD$2:$AD$495,(SUMPRODUCT((('CASE MASTER'!$T$2:$T$495=13)*('CASE MASTER'!$AA$2:$AA$495&lt;=2)*('CASE MASTER'!$AC$2:$AC$495&gt;=2)*('CASE MASTER'!$AB$2:$AB$495&lt;=1)*('CASE MASTER'!$AD$2:$AD$495&gt;=1))*ROW('CASE MASTER'!$T$2:$T$495))-(ROW('CASE MASTER'!#REF!)-1)))-INDEX('CASE MASTER'!$AB$2:$AB$495,(SUMPRODUCT((('CASE MASTER'!$T$2:$T$495=13)*('CASE MASTER'!$AA$2:$AA$495&lt;=2)*('CASE MASTER'!$AC$2:$AC$495&gt;=2)*('CASE MASTER'!$AB$2:$AB$495&lt;=1)*('CASE MASTER'!$AD$2:$AD$495&gt;=1))*ROW('CASE MASTER'!$T$2:$T$495))-(ROW('CASE MASTER'!#REF!)-1)))+1)+(1-INDEX('CASE MASTER'!$AB$2:$AB$495,(SUMPRODUCT((('CASE MASTER'!$T$2:$T$495=13)*('CASE MASTER'!$AA$2:$AA$495&lt;=2)*('CASE MASTER'!$AC$2:$AC$495&gt;=2)*('CASE MASTER'!$AB$2:$AB$495&lt;=1)*('CASE MASTER'!$AD$2:$AD$495&gt;=1))*ROW('CASE MASTER'!$T$2:$T$495))-(ROW('CASE MASTER'!#REF!)-1))))+1)))-1)*50+1,50))&amp;"_"&amp;INDEX('CASE MASTER'!$Q$2:$Q$495,(SUMPRODUCT((('CASE MASTER'!$T$2:$T$495=13)*('CASE MASTER'!$AA$2:$AA$495&lt;=2)*('CASE MASTER'!$AC$2:$AC$495&gt;=2)*('CASE MASTER'!$AB$2:$AB$495&lt;=1)*('CASE MASTER'!$AD$2:$AD$495&gt;=1))*ROW('CASE MASTER'!$T$2:$T$495))-(ROW('CASE MASTER'!#REF!)-1))),"")),"")</f>
        <v/>
      </c>
      <c r="C172" s="10" t="str">
        <f>IFERROR(IF(SUMPRODUCT((('CASE MASTER'!$T$2:$T$495=13)*('CASE MASTER'!$U$2:$U$495&lt;=2)*('CASE MASTER'!$W$2:$W$495&gt;=2)*('CASE MASTER'!$V$2:$V$495&lt;=2)*('CASE MASTER'!$X$2:$X$495&gt;=2))*ROW('CASE MASTER'!$T$2:$T$495))&gt;0,INDEX('CASE MASTER'!$Y$2:$Y$495,(SUMPRODUCT((('CASE MASTER'!$T$2:$T$495=13)*('CASE MASTER'!$U$2:$U$495&lt;=2)*('CASE MASTER'!$W$2:$W$495&gt;=2)*('CASE MASTER'!$V$2:$V$495&lt;=2)*('CASE MASTER'!$X$2:$X$495&gt;=2))*ROW('CASE MASTER'!$T$2:$T$495))-(ROW('CASE MASTER'!#REF!)-1)))&amp;TRIM(MID(SUBSTITUTE(SUBSTITUTE(INDEX('CASE MASTER'!$N$2:$N$495,(SUMPRODUCT((('CASE MASTER'!$T$2:$T$495=13)*('CASE MASTER'!$U$2:$U$495&lt;=2)*('CASE MASTER'!$W$2:$W$495&gt;=2)*('CASE MASTER'!$V$2:$V$495&lt;=2)*('CASE MASTER'!$X$2:$X$495&gt;=2))*ROW('CASE MASTER'!$T$2:$T$495))-(ROW('CASE MASTER'!#REF!)-1))),":",","),",",REPT(" ",50)),((((2-INDEX('CASE MASTER'!$U$2:$U$495,(SUMPRODUCT((('CASE MASTER'!$T$2:$T$495=13)*('CASE MASTER'!$U$2:$U$495&lt;=2)*('CASE MASTER'!$W$2:$W$495&gt;=2)*('CASE MASTER'!$V$2:$V$495&lt;=2)*('CASE MASTER'!$X$2:$X$495&gt;=2))*ROW('CASE MASTER'!$T$2:$T$495))-(ROW('CASE MASTER'!#REF!)-1))))*(INDEX('CASE MASTER'!$X$2:$X$495,(SUMPRODUCT((('CASE MASTER'!$T$2:$T$495=13)*('CASE MASTER'!$U$2:$U$495&lt;=2)*('CASE MASTER'!$W$2:$W$495&gt;=2)*('CASE MASTER'!$V$2:$V$495&lt;=2)*('CASE MASTER'!$X$2:$X$495&gt;=2))*ROW('CASE MASTER'!$T$2:$T$495))-(ROW('CASE MASTER'!#REF!)-1)))-INDEX('CASE MASTER'!$V$2:$V$495,(SUMPRODUCT((('CASE MASTER'!$T$2:$T$495=13)*('CASE MASTER'!$U$2:$U$495&lt;=2)*('CASE MASTER'!$W$2:$W$495&gt;=2)*('CASE MASTER'!$V$2:$V$495&lt;=2)*('CASE MASTER'!$X$2:$X$495&gt;=2))*ROW('CASE MASTER'!$T$2:$T$495))-(ROW('CASE MASTER'!#REF!)-1)))+1)+(2-INDEX('CASE MASTER'!$V$2:$V$495,(SUMPRODUCT((('CASE MASTER'!$T$2:$T$495=13)*('CASE MASTER'!$U$2:$U$495&lt;=2)*('CASE MASTER'!$W$2:$W$495&gt;=2)*('CASE MASTER'!$V$2:$V$495&lt;=2)*('CASE MASTER'!$X$2:$X$495&gt;=2))*ROW('CASE MASTER'!$T$2:$T$495))-(ROW('CASE MASTER'!#REF!)-1))))+1))-1)*50+1,50))&amp;"_"&amp;INDEX('CASE MASTER'!$Q$2:$Q$495,(SUMPRODUCT((('CASE MASTER'!$T$2:$T$495=13)*('CASE MASTER'!$U$2:$U$495&lt;=2)*('CASE MASTER'!$W$2:$W$495&gt;=2)*('CASE MASTER'!$V$2:$V$495&lt;=2)*('CASE MASTER'!$X$2:$X$495&gt;=2))*ROW('CASE MASTER'!$T$2:$T$495))-(ROW('CASE MASTER'!#REF!)-1))),IF(SUMPRODUCT((('CASE MASTER'!$T$2:$T$495=13)*('CASE MASTER'!$AA$2:$AA$495&lt;=2)*('CASE MASTER'!$AC$2:$AC$495&gt;=2)*('CASE MASTER'!$AB$2:$AB$495&lt;=2)*('CASE MASTER'!$AD$2:$AD$495&gt;=2))*ROW('CASE MASTER'!$T$2:$T$495))&gt;0,INDEX('CASE MASTER'!$Y$2:$Y$495,(SUMPRODUCT((('CASE MASTER'!$T$2:$T$495=13)*('CASE MASTER'!$AA$2:$AA$495&lt;=2)*('CASE MASTER'!$AC$2:$AC$495&gt;=2)*('CASE MASTER'!$AB$2:$AB$495&lt;=2)*('CASE MASTER'!$AD$2:$AD$495&gt;=2))*ROW('CASE MASTER'!$T$2:$T$495))-(ROW('CASE MASTER'!#REF!)-1)))&amp;TRIM(MID(SUBSTITUTE(SUBSTITUTE(INDEX('CASE MASTER'!$N$2:$N$495,(SUMPRODUCT((('CASE MASTER'!$T$2:$T$495=13)*('CASE MASTER'!$AA$2:$AA$495&lt;=2)*('CASE MASTER'!$AC$2:$AC$495&gt;=2)*('CASE MASTER'!$AB$2:$AB$495&lt;=2)*('CASE MASTER'!$AD$2:$AD$495&gt;=2))*ROW('CASE MASTER'!$T$2:$T$495))-(ROW('CASE MASTER'!#REF!)-1))),":",","),",",REPT(" ",50)),(((INDEX('CASE MASTER'!$Z$2:$Z$495,(SUMPRODUCT((('CASE MASTER'!$T$2:$T$495=13)*('CASE MASTER'!$AA$2:$AA$495&lt;=2)*('CASE MASTER'!$AC$2:$AC$495&gt;=2)*('CASE MASTER'!$AB$2:$AB$495&lt;=2)*('CASE MASTER'!$AD$2:$AD$495&gt;=2))*ROW('CASE MASTER'!$T$2:$T$495))-(ROW('CASE MASTER'!#REF!)-1)))+((2-INDEX('CASE MASTER'!$AA$2:$AA$495,(SUMPRODUCT((('CASE MASTER'!$T$2:$T$495=13)*('CASE MASTER'!$AA$2:$AA$495&lt;=2)*('CASE MASTER'!$AC$2:$AC$495&gt;=2)*('CASE MASTER'!$AB$2:$AB$495&lt;=2)*('CASE MASTER'!$AD$2:$AD$495&gt;=2))*ROW('CASE MASTER'!$T$2:$T$495))-(ROW('CASE MASTER'!#REF!)-1))))*(INDEX('CASE MASTER'!$AD$2:$AD$495,(SUMPRODUCT((('CASE MASTER'!$T$2:$T$495=13)*('CASE MASTER'!$AA$2:$AA$495&lt;=2)*('CASE MASTER'!$AC$2:$AC$495&gt;=2)*('CASE MASTER'!$AB$2:$AB$495&lt;=2)*('CASE MASTER'!$AD$2:$AD$495&gt;=2))*ROW('CASE MASTER'!$T$2:$T$495))-(ROW('CASE MASTER'!#REF!)-1)))-INDEX('CASE MASTER'!$AB$2:$AB$495,(SUMPRODUCT((('CASE MASTER'!$T$2:$T$495=13)*('CASE MASTER'!$AA$2:$AA$495&lt;=2)*('CASE MASTER'!$AC$2:$AC$495&gt;=2)*('CASE MASTER'!$AB$2:$AB$495&lt;=2)*('CASE MASTER'!$AD$2:$AD$495&gt;=2))*ROW('CASE MASTER'!$T$2:$T$495))-(ROW('CASE MASTER'!#REF!)-1)))+1)+(2-INDEX('CASE MASTER'!$AB$2:$AB$495,(SUMPRODUCT((('CASE MASTER'!$T$2:$T$495=13)*('CASE MASTER'!$AA$2:$AA$495&lt;=2)*('CASE MASTER'!$AC$2:$AC$495&gt;=2)*('CASE MASTER'!$AB$2:$AB$495&lt;=2)*('CASE MASTER'!$AD$2:$AD$495&gt;=2))*ROW('CASE MASTER'!$T$2:$T$495))-(ROW('CASE MASTER'!#REF!)-1))))+1)))-1)*50+1,50))&amp;"_"&amp;INDEX('CASE MASTER'!$Q$2:$Q$495,(SUMPRODUCT((('CASE MASTER'!$T$2:$T$495=13)*('CASE MASTER'!$AA$2:$AA$495&lt;=2)*('CASE MASTER'!$AC$2:$AC$495&gt;=2)*('CASE MASTER'!$AB$2:$AB$495&lt;=2)*('CASE MASTER'!$AD$2:$AD$495&gt;=2))*ROW('CASE MASTER'!$T$2:$T$495))-(ROW('CASE MASTER'!#REF!)-1))),"")),"")</f>
        <v/>
      </c>
      <c r="D172" s="10" t="str">
        <f>IFERROR(IF(SUMPRODUCT((('CASE MASTER'!$T$2:$T$495=13)*('CASE MASTER'!$U$2:$U$495&lt;=2)*('CASE MASTER'!$W$2:$W$495&gt;=2)*('CASE MASTER'!$V$2:$V$495&lt;=3)*('CASE MASTER'!$X$2:$X$495&gt;=3))*ROW('CASE MASTER'!$T$2:$T$495))&gt;0,INDEX('CASE MASTER'!$Y$2:$Y$495,(SUMPRODUCT((('CASE MASTER'!$T$2:$T$495=13)*('CASE MASTER'!$U$2:$U$495&lt;=2)*('CASE MASTER'!$W$2:$W$495&gt;=2)*('CASE MASTER'!$V$2:$V$495&lt;=3)*('CASE MASTER'!$X$2:$X$495&gt;=3))*ROW('CASE MASTER'!$T$2:$T$495))-(ROW('CASE MASTER'!#REF!)-1)))&amp;TRIM(MID(SUBSTITUTE(SUBSTITUTE(INDEX('CASE MASTER'!$N$2:$N$495,(SUMPRODUCT((('CASE MASTER'!$T$2:$T$495=13)*('CASE MASTER'!$U$2:$U$495&lt;=2)*('CASE MASTER'!$W$2:$W$495&gt;=2)*('CASE MASTER'!$V$2:$V$495&lt;=3)*('CASE MASTER'!$X$2:$X$495&gt;=3))*ROW('CASE MASTER'!$T$2:$T$495))-(ROW('CASE MASTER'!#REF!)-1))),":",","),",",REPT(" ",50)),((((2-INDEX('CASE MASTER'!$U$2:$U$495,(SUMPRODUCT((('CASE MASTER'!$T$2:$T$495=13)*('CASE MASTER'!$U$2:$U$495&lt;=2)*('CASE MASTER'!$W$2:$W$495&gt;=2)*('CASE MASTER'!$V$2:$V$495&lt;=3)*('CASE MASTER'!$X$2:$X$495&gt;=3))*ROW('CASE MASTER'!$T$2:$T$495))-(ROW('CASE MASTER'!#REF!)-1))))*(INDEX('CASE MASTER'!$X$2:$X$495,(SUMPRODUCT((('CASE MASTER'!$T$2:$T$495=13)*('CASE MASTER'!$U$2:$U$495&lt;=2)*('CASE MASTER'!$W$2:$W$495&gt;=2)*('CASE MASTER'!$V$2:$V$495&lt;=3)*('CASE MASTER'!$X$2:$X$495&gt;=3))*ROW('CASE MASTER'!$T$2:$T$495))-(ROW('CASE MASTER'!#REF!)-1)))-INDEX('CASE MASTER'!$V$2:$V$495,(SUMPRODUCT((('CASE MASTER'!$T$2:$T$495=13)*('CASE MASTER'!$U$2:$U$495&lt;=2)*('CASE MASTER'!$W$2:$W$495&gt;=2)*('CASE MASTER'!$V$2:$V$495&lt;=3)*('CASE MASTER'!$X$2:$X$495&gt;=3))*ROW('CASE MASTER'!$T$2:$T$495))-(ROW('CASE MASTER'!#REF!)-1)))+1)+(3-INDEX('CASE MASTER'!$V$2:$V$495,(SUMPRODUCT((('CASE MASTER'!$T$2:$T$495=13)*('CASE MASTER'!$U$2:$U$495&lt;=2)*('CASE MASTER'!$W$2:$W$495&gt;=2)*('CASE MASTER'!$V$2:$V$495&lt;=3)*('CASE MASTER'!$X$2:$X$495&gt;=3))*ROW('CASE MASTER'!$T$2:$T$495))-(ROW('CASE MASTER'!#REF!)-1))))+1))-1)*50+1,50))&amp;"_"&amp;INDEX('CASE MASTER'!$Q$2:$Q$495,(SUMPRODUCT((('CASE MASTER'!$T$2:$T$495=13)*('CASE MASTER'!$U$2:$U$495&lt;=2)*('CASE MASTER'!$W$2:$W$495&gt;=2)*('CASE MASTER'!$V$2:$V$495&lt;=3)*('CASE MASTER'!$X$2:$X$495&gt;=3))*ROW('CASE MASTER'!$T$2:$T$495))-(ROW('CASE MASTER'!#REF!)-1))),IF(SUMPRODUCT((('CASE MASTER'!$T$2:$T$495=13)*('CASE MASTER'!$AA$2:$AA$495&lt;=2)*('CASE MASTER'!$AC$2:$AC$495&gt;=2)*('CASE MASTER'!$AB$2:$AB$495&lt;=3)*('CASE MASTER'!$AD$2:$AD$495&gt;=3))*ROW('CASE MASTER'!$T$2:$T$495))&gt;0,INDEX('CASE MASTER'!$Y$2:$Y$495,(SUMPRODUCT((('CASE MASTER'!$T$2:$T$495=13)*('CASE MASTER'!$AA$2:$AA$495&lt;=2)*('CASE MASTER'!$AC$2:$AC$495&gt;=2)*('CASE MASTER'!$AB$2:$AB$495&lt;=3)*('CASE MASTER'!$AD$2:$AD$495&gt;=3))*ROW('CASE MASTER'!$T$2:$T$495))-(ROW('CASE MASTER'!#REF!)-1)))&amp;TRIM(MID(SUBSTITUTE(SUBSTITUTE(INDEX('CASE MASTER'!$N$2:$N$495,(SUMPRODUCT((('CASE MASTER'!$T$2:$T$495=13)*('CASE MASTER'!$AA$2:$AA$495&lt;=2)*('CASE MASTER'!$AC$2:$AC$495&gt;=2)*('CASE MASTER'!$AB$2:$AB$495&lt;=3)*('CASE MASTER'!$AD$2:$AD$495&gt;=3))*ROW('CASE MASTER'!$T$2:$T$495))-(ROW('CASE MASTER'!#REF!)-1))),":",","),",",REPT(" ",50)),(((INDEX('CASE MASTER'!$Z$2:$Z$495,(SUMPRODUCT((('CASE MASTER'!$T$2:$T$495=13)*('CASE MASTER'!$AA$2:$AA$495&lt;=2)*('CASE MASTER'!$AC$2:$AC$495&gt;=2)*('CASE MASTER'!$AB$2:$AB$495&lt;=3)*('CASE MASTER'!$AD$2:$AD$495&gt;=3))*ROW('CASE MASTER'!$T$2:$T$495))-(ROW('CASE MASTER'!#REF!)-1)))+((2-INDEX('CASE MASTER'!$AA$2:$AA$495,(SUMPRODUCT((('CASE MASTER'!$T$2:$T$495=13)*('CASE MASTER'!$AA$2:$AA$495&lt;=2)*('CASE MASTER'!$AC$2:$AC$495&gt;=2)*('CASE MASTER'!$AB$2:$AB$495&lt;=3)*('CASE MASTER'!$AD$2:$AD$495&gt;=3))*ROW('CASE MASTER'!$T$2:$T$495))-(ROW('CASE MASTER'!#REF!)-1))))*(INDEX('CASE MASTER'!$AD$2:$AD$495,(SUMPRODUCT((('CASE MASTER'!$T$2:$T$495=13)*('CASE MASTER'!$AA$2:$AA$495&lt;=2)*('CASE MASTER'!$AC$2:$AC$495&gt;=2)*('CASE MASTER'!$AB$2:$AB$495&lt;=3)*('CASE MASTER'!$AD$2:$AD$495&gt;=3))*ROW('CASE MASTER'!$T$2:$T$495))-(ROW('CASE MASTER'!#REF!)-1)))-INDEX('CASE MASTER'!$AB$2:$AB$495,(SUMPRODUCT((('CASE MASTER'!$T$2:$T$495=13)*('CASE MASTER'!$AA$2:$AA$495&lt;=2)*('CASE MASTER'!$AC$2:$AC$495&gt;=2)*('CASE MASTER'!$AB$2:$AB$495&lt;=3)*('CASE MASTER'!$AD$2:$AD$495&gt;=3))*ROW('CASE MASTER'!$T$2:$T$495))-(ROW('CASE MASTER'!#REF!)-1)))+1)+(3-INDEX('CASE MASTER'!$AB$2:$AB$495,(SUMPRODUCT((('CASE MASTER'!$T$2:$T$495=13)*('CASE MASTER'!$AA$2:$AA$495&lt;=2)*('CASE MASTER'!$AC$2:$AC$495&gt;=2)*('CASE MASTER'!$AB$2:$AB$495&lt;=3)*('CASE MASTER'!$AD$2:$AD$495&gt;=3))*ROW('CASE MASTER'!$T$2:$T$495))-(ROW('CASE MASTER'!#REF!)-1))))+1)))-1)*50+1,50))&amp;"_"&amp;INDEX('CASE MASTER'!$Q$2:$Q$495,(SUMPRODUCT((('CASE MASTER'!$T$2:$T$495=13)*('CASE MASTER'!$AA$2:$AA$495&lt;=2)*('CASE MASTER'!$AC$2:$AC$495&gt;=2)*('CASE MASTER'!$AB$2:$AB$495&lt;=3)*('CASE MASTER'!$AD$2:$AD$495&gt;=3))*ROW('CASE MASTER'!$T$2:$T$495))-(ROW('CASE MASTER'!#REF!)-1))),"")),"")</f>
        <v/>
      </c>
      <c r="E172" s="10" t="str">
        <f>IFERROR(IF(SUMPRODUCT((('CASE MASTER'!$T$2:$T$495=13)*('CASE MASTER'!$U$2:$U$495&lt;=2)*('CASE MASTER'!$W$2:$W$495&gt;=2)*('CASE MASTER'!$V$2:$V$495&lt;=4)*('CASE MASTER'!$X$2:$X$495&gt;=4))*ROW('CASE MASTER'!$T$2:$T$495))&gt;0,INDEX('CASE MASTER'!$Y$2:$Y$495,(SUMPRODUCT((('CASE MASTER'!$T$2:$T$495=13)*('CASE MASTER'!$U$2:$U$495&lt;=2)*('CASE MASTER'!$W$2:$W$495&gt;=2)*('CASE MASTER'!$V$2:$V$495&lt;=4)*('CASE MASTER'!$X$2:$X$495&gt;=4))*ROW('CASE MASTER'!$T$2:$T$495))-(ROW('CASE MASTER'!#REF!)-1)))&amp;TRIM(MID(SUBSTITUTE(SUBSTITUTE(INDEX('CASE MASTER'!$N$2:$N$495,(SUMPRODUCT((('CASE MASTER'!$T$2:$T$495=13)*('CASE MASTER'!$U$2:$U$495&lt;=2)*('CASE MASTER'!$W$2:$W$495&gt;=2)*('CASE MASTER'!$V$2:$V$495&lt;=4)*('CASE MASTER'!$X$2:$X$495&gt;=4))*ROW('CASE MASTER'!$T$2:$T$495))-(ROW('CASE MASTER'!#REF!)-1))),":",","),",",REPT(" ",50)),((((2-INDEX('CASE MASTER'!$U$2:$U$495,(SUMPRODUCT((('CASE MASTER'!$T$2:$T$495=13)*('CASE MASTER'!$U$2:$U$495&lt;=2)*('CASE MASTER'!$W$2:$W$495&gt;=2)*('CASE MASTER'!$V$2:$V$495&lt;=4)*('CASE MASTER'!$X$2:$X$495&gt;=4))*ROW('CASE MASTER'!$T$2:$T$495))-(ROW('CASE MASTER'!#REF!)-1))))*(INDEX('CASE MASTER'!$X$2:$X$495,(SUMPRODUCT((('CASE MASTER'!$T$2:$T$495=13)*('CASE MASTER'!$U$2:$U$495&lt;=2)*('CASE MASTER'!$W$2:$W$495&gt;=2)*('CASE MASTER'!$V$2:$V$495&lt;=4)*('CASE MASTER'!$X$2:$X$495&gt;=4))*ROW('CASE MASTER'!$T$2:$T$495))-(ROW('CASE MASTER'!#REF!)-1)))-INDEX('CASE MASTER'!$V$2:$V$495,(SUMPRODUCT((('CASE MASTER'!$T$2:$T$495=13)*('CASE MASTER'!$U$2:$U$495&lt;=2)*('CASE MASTER'!$W$2:$W$495&gt;=2)*('CASE MASTER'!$V$2:$V$495&lt;=4)*('CASE MASTER'!$X$2:$X$495&gt;=4))*ROW('CASE MASTER'!$T$2:$T$495))-(ROW('CASE MASTER'!#REF!)-1)))+1)+(4-INDEX('CASE MASTER'!$V$2:$V$495,(SUMPRODUCT((('CASE MASTER'!$T$2:$T$495=13)*('CASE MASTER'!$U$2:$U$495&lt;=2)*('CASE MASTER'!$W$2:$W$495&gt;=2)*('CASE MASTER'!$V$2:$V$495&lt;=4)*('CASE MASTER'!$X$2:$X$495&gt;=4))*ROW('CASE MASTER'!$T$2:$T$495))-(ROW('CASE MASTER'!#REF!)-1))))+1))-1)*50+1,50))&amp;"_"&amp;INDEX('CASE MASTER'!$Q$2:$Q$495,(SUMPRODUCT((('CASE MASTER'!$T$2:$T$495=13)*('CASE MASTER'!$U$2:$U$495&lt;=2)*('CASE MASTER'!$W$2:$W$495&gt;=2)*('CASE MASTER'!$V$2:$V$495&lt;=4)*('CASE MASTER'!$X$2:$X$495&gt;=4))*ROW('CASE MASTER'!$T$2:$T$495))-(ROW('CASE MASTER'!#REF!)-1))),IF(SUMPRODUCT((('CASE MASTER'!$T$2:$T$495=13)*('CASE MASTER'!$AA$2:$AA$495&lt;=2)*('CASE MASTER'!$AC$2:$AC$495&gt;=2)*('CASE MASTER'!$AB$2:$AB$495&lt;=4)*('CASE MASTER'!$AD$2:$AD$495&gt;=4))*ROW('CASE MASTER'!$T$2:$T$495))&gt;0,INDEX('CASE MASTER'!$Y$2:$Y$495,(SUMPRODUCT((('CASE MASTER'!$T$2:$T$495=13)*('CASE MASTER'!$AA$2:$AA$495&lt;=2)*('CASE MASTER'!$AC$2:$AC$495&gt;=2)*('CASE MASTER'!$AB$2:$AB$495&lt;=4)*('CASE MASTER'!$AD$2:$AD$495&gt;=4))*ROW('CASE MASTER'!$T$2:$T$495))-(ROW('CASE MASTER'!#REF!)-1)))&amp;TRIM(MID(SUBSTITUTE(SUBSTITUTE(INDEX('CASE MASTER'!$N$2:$N$495,(SUMPRODUCT((('CASE MASTER'!$T$2:$T$495=13)*('CASE MASTER'!$AA$2:$AA$495&lt;=2)*('CASE MASTER'!$AC$2:$AC$495&gt;=2)*('CASE MASTER'!$AB$2:$AB$495&lt;=4)*('CASE MASTER'!$AD$2:$AD$495&gt;=4))*ROW('CASE MASTER'!$T$2:$T$495))-(ROW('CASE MASTER'!#REF!)-1))),":",","),",",REPT(" ",50)),(((INDEX('CASE MASTER'!$Z$2:$Z$495,(SUMPRODUCT((('CASE MASTER'!$T$2:$T$495=13)*('CASE MASTER'!$AA$2:$AA$495&lt;=2)*('CASE MASTER'!$AC$2:$AC$495&gt;=2)*('CASE MASTER'!$AB$2:$AB$495&lt;=4)*('CASE MASTER'!$AD$2:$AD$495&gt;=4))*ROW('CASE MASTER'!$T$2:$T$495))-(ROW('CASE MASTER'!#REF!)-1)))+((2-INDEX('CASE MASTER'!$AA$2:$AA$495,(SUMPRODUCT((('CASE MASTER'!$T$2:$T$495=13)*('CASE MASTER'!$AA$2:$AA$495&lt;=2)*('CASE MASTER'!$AC$2:$AC$495&gt;=2)*('CASE MASTER'!$AB$2:$AB$495&lt;=4)*('CASE MASTER'!$AD$2:$AD$495&gt;=4))*ROW('CASE MASTER'!$T$2:$T$495))-(ROW('CASE MASTER'!#REF!)-1))))*(INDEX('CASE MASTER'!$AD$2:$AD$495,(SUMPRODUCT((('CASE MASTER'!$T$2:$T$495=13)*('CASE MASTER'!$AA$2:$AA$495&lt;=2)*('CASE MASTER'!$AC$2:$AC$495&gt;=2)*('CASE MASTER'!$AB$2:$AB$495&lt;=4)*('CASE MASTER'!$AD$2:$AD$495&gt;=4))*ROW('CASE MASTER'!$T$2:$T$495))-(ROW('CASE MASTER'!#REF!)-1)))-INDEX('CASE MASTER'!$AB$2:$AB$495,(SUMPRODUCT((('CASE MASTER'!$T$2:$T$495=13)*('CASE MASTER'!$AA$2:$AA$495&lt;=2)*('CASE MASTER'!$AC$2:$AC$495&gt;=2)*('CASE MASTER'!$AB$2:$AB$495&lt;=4)*('CASE MASTER'!$AD$2:$AD$495&gt;=4))*ROW('CASE MASTER'!$T$2:$T$495))-(ROW('CASE MASTER'!#REF!)-1)))+1)+(4-INDEX('CASE MASTER'!$AB$2:$AB$495,(SUMPRODUCT((('CASE MASTER'!$T$2:$T$495=13)*('CASE MASTER'!$AA$2:$AA$495&lt;=2)*('CASE MASTER'!$AC$2:$AC$495&gt;=2)*('CASE MASTER'!$AB$2:$AB$495&lt;=4)*('CASE MASTER'!$AD$2:$AD$495&gt;=4))*ROW('CASE MASTER'!$T$2:$T$495))-(ROW('CASE MASTER'!#REF!)-1))))+1)))-1)*50+1,50))&amp;"_"&amp;INDEX('CASE MASTER'!$Q$2:$Q$495,(SUMPRODUCT((('CASE MASTER'!$T$2:$T$495=13)*('CASE MASTER'!$AA$2:$AA$495&lt;=2)*('CASE MASTER'!$AC$2:$AC$495&gt;=2)*('CASE MASTER'!$AB$2:$AB$495&lt;=4)*('CASE MASTER'!$AD$2:$AD$495&gt;=4))*ROW('CASE MASTER'!$T$2:$T$495))-(ROW('CASE MASTER'!#REF!)-1))),"")),"")</f>
        <v/>
      </c>
      <c r="F172" s="10" t="str">
        <f>IFERROR(IF(SUMPRODUCT((('CASE MASTER'!$T$2:$T$495=13)*('CASE MASTER'!$U$2:$U$495&lt;=2)*('CASE MASTER'!$W$2:$W$495&gt;=2)*('CASE MASTER'!$V$2:$V$495&lt;=5)*('CASE MASTER'!$X$2:$X$495&gt;=5))*ROW('CASE MASTER'!$T$2:$T$495))&gt;0,INDEX('CASE MASTER'!$Y$2:$Y$495,(SUMPRODUCT((('CASE MASTER'!$T$2:$T$495=13)*('CASE MASTER'!$U$2:$U$495&lt;=2)*('CASE MASTER'!$W$2:$W$495&gt;=2)*('CASE MASTER'!$V$2:$V$495&lt;=5)*('CASE MASTER'!$X$2:$X$495&gt;=5))*ROW('CASE MASTER'!$T$2:$T$495))-(ROW('CASE MASTER'!#REF!)-1)))&amp;TRIM(MID(SUBSTITUTE(SUBSTITUTE(INDEX('CASE MASTER'!$N$2:$N$495,(SUMPRODUCT((('CASE MASTER'!$T$2:$T$495=13)*('CASE MASTER'!$U$2:$U$495&lt;=2)*('CASE MASTER'!$W$2:$W$495&gt;=2)*('CASE MASTER'!$V$2:$V$495&lt;=5)*('CASE MASTER'!$X$2:$X$495&gt;=5))*ROW('CASE MASTER'!$T$2:$T$495))-(ROW('CASE MASTER'!#REF!)-1))),":",","),",",REPT(" ",50)),((((2-INDEX('CASE MASTER'!$U$2:$U$495,(SUMPRODUCT((('CASE MASTER'!$T$2:$T$495=13)*('CASE MASTER'!$U$2:$U$495&lt;=2)*('CASE MASTER'!$W$2:$W$495&gt;=2)*('CASE MASTER'!$V$2:$V$495&lt;=5)*('CASE MASTER'!$X$2:$X$495&gt;=5))*ROW('CASE MASTER'!$T$2:$T$495))-(ROW('CASE MASTER'!#REF!)-1))))*(INDEX('CASE MASTER'!$X$2:$X$495,(SUMPRODUCT((('CASE MASTER'!$T$2:$T$495=13)*('CASE MASTER'!$U$2:$U$495&lt;=2)*('CASE MASTER'!$W$2:$W$495&gt;=2)*('CASE MASTER'!$V$2:$V$495&lt;=5)*('CASE MASTER'!$X$2:$X$495&gt;=5))*ROW('CASE MASTER'!$T$2:$T$495))-(ROW('CASE MASTER'!#REF!)-1)))-INDEX('CASE MASTER'!$V$2:$V$495,(SUMPRODUCT((('CASE MASTER'!$T$2:$T$495=13)*('CASE MASTER'!$U$2:$U$495&lt;=2)*('CASE MASTER'!$W$2:$W$495&gt;=2)*('CASE MASTER'!$V$2:$V$495&lt;=5)*('CASE MASTER'!$X$2:$X$495&gt;=5))*ROW('CASE MASTER'!$T$2:$T$495))-(ROW('CASE MASTER'!#REF!)-1)))+1)+(5-INDEX('CASE MASTER'!$V$2:$V$495,(SUMPRODUCT((('CASE MASTER'!$T$2:$T$495=13)*('CASE MASTER'!$U$2:$U$495&lt;=2)*('CASE MASTER'!$W$2:$W$495&gt;=2)*('CASE MASTER'!$V$2:$V$495&lt;=5)*('CASE MASTER'!$X$2:$X$495&gt;=5))*ROW('CASE MASTER'!$T$2:$T$495))-(ROW('CASE MASTER'!#REF!)-1))))+1))-1)*50+1,50))&amp;"_"&amp;INDEX('CASE MASTER'!$Q$2:$Q$495,(SUMPRODUCT((('CASE MASTER'!$T$2:$T$495=13)*('CASE MASTER'!$U$2:$U$495&lt;=2)*('CASE MASTER'!$W$2:$W$495&gt;=2)*('CASE MASTER'!$V$2:$V$495&lt;=5)*('CASE MASTER'!$X$2:$X$495&gt;=5))*ROW('CASE MASTER'!$T$2:$T$495))-(ROW('CASE MASTER'!#REF!)-1))),IF(SUMPRODUCT((('CASE MASTER'!$T$2:$T$495=13)*('CASE MASTER'!$AA$2:$AA$495&lt;=2)*('CASE MASTER'!$AC$2:$AC$495&gt;=2)*('CASE MASTER'!$AB$2:$AB$495&lt;=5)*('CASE MASTER'!$AD$2:$AD$495&gt;=5))*ROW('CASE MASTER'!$T$2:$T$495))&gt;0,INDEX('CASE MASTER'!$Y$2:$Y$495,(SUMPRODUCT((('CASE MASTER'!$T$2:$T$495=13)*('CASE MASTER'!$AA$2:$AA$495&lt;=2)*('CASE MASTER'!$AC$2:$AC$495&gt;=2)*('CASE MASTER'!$AB$2:$AB$495&lt;=5)*('CASE MASTER'!$AD$2:$AD$495&gt;=5))*ROW('CASE MASTER'!$T$2:$T$495))-(ROW('CASE MASTER'!#REF!)-1)))&amp;TRIM(MID(SUBSTITUTE(SUBSTITUTE(INDEX('CASE MASTER'!$N$2:$N$495,(SUMPRODUCT((('CASE MASTER'!$T$2:$T$495=13)*('CASE MASTER'!$AA$2:$AA$495&lt;=2)*('CASE MASTER'!$AC$2:$AC$495&gt;=2)*('CASE MASTER'!$AB$2:$AB$495&lt;=5)*('CASE MASTER'!$AD$2:$AD$495&gt;=5))*ROW('CASE MASTER'!$T$2:$T$495))-(ROW('CASE MASTER'!#REF!)-1))),":",","),",",REPT(" ",50)),(((INDEX('CASE MASTER'!$Z$2:$Z$495,(SUMPRODUCT((('CASE MASTER'!$T$2:$T$495=13)*('CASE MASTER'!$AA$2:$AA$495&lt;=2)*('CASE MASTER'!$AC$2:$AC$495&gt;=2)*('CASE MASTER'!$AB$2:$AB$495&lt;=5)*('CASE MASTER'!$AD$2:$AD$495&gt;=5))*ROW('CASE MASTER'!$T$2:$T$495))-(ROW('CASE MASTER'!#REF!)-1)))+((2-INDEX('CASE MASTER'!$AA$2:$AA$495,(SUMPRODUCT((('CASE MASTER'!$T$2:$T$495=13)*('CASE MASTER'!$AA$2:$AA$495&lt;=2)*('CASE MASTER'!$AC$2:$AC$495&gt;=2)*('CASE MASTER'!$AB$2:$AB$495&lt;=5)*('CASE MASTER'!$AD$2:$AD$495&gt;=5))*ROW('CASE MASTER'!$T$2:$T$495))-(ROW('CASE MASTER'!#REF!)-1))))*(INDEX('CASE MASTER'!$AD$2:$AD$495,(SUMPRODUCT((('CASE MASTER'!$T$2:$T$495=13)*('CASE MASTER'!$AA$2:$AA$495&lt;=2)*('CASE MASTER'!$AC$2:$AC$495&gt;=2)*('CASE MASTER'!$AB$2:$AB$495&lt;=5)*('CASE MASTER'!$AD$2:$AD$495&gt;=5))*ROW('CASE MASTER'!$T$2:$T$495))-(ROW('CASE MASTER'!#REF!)-1)))-INDEX('CASE MASTER'!$AB$2:$AB$495,(SUMPRODUCT((('CASE MASTER'!$T$2:$T$495=13)*('CASE MASTER'!$AA$2:$AA$495&lt;=2)*('CASE MASTER'!$AC$2:$AC$495&gt;=2)*('CASE MASTER'!$AB$2:$AB$495&lt;=5)*('CASE MASTER'!$AD$2:$AD$495&gt;=5))*ROW('CASE MASTER'!$T$2:$T$495))-(ROW('CASE MASTER'!#REF!)-1)))+1)+(5-INDEX('CASE MASTER'!$AB$2:$AB$495,(SUMPRODUCT((('CASE MASTER'!$T$2:$T$495=13)*('CASE MASTER'!$AA$2:$AA$495&lt;=2)*('CASE MASTER'!$AC$2:$AC$495&gt;=2)*('CASE MASTER'!$AB$2:$AB$495&lt;=5)*('CASE MASTER'!$AD$2:$AD$495&gt;=5))*ROW('CASE MASTER'!$T$2:$T$495))-(ROW('CASE MASTER'!#REF!)-1))))+1)))-1)*50+1,50))&amp;"_"&amp;INDEX('CASE MASTER'!$Q$2:$Q$495,(SUMPRODUCT((('CASE MASTER'!$T$2:$T$495=13)*('CASE MASTER'!$AA$2:$AA$495&lt;=2)*('CASE MASTER'!$AC$2:$AC$495&gt;=2)*('CASE MASTER'!$AB$2:$AB$495&lt;=5)*('CASE MASTER'!$AD$2:$AD$495&gt;=5))*ROW('CASE MASTER'!$T$2:$T$495))-(ROW('CASE MASTER'!#REF!)-1))),"")),"")</f>
        <v/>
      </c>
      <c r="G172" s="10" t="str">
        <f>IFERROR(IF(SUMPRODUCT((('CASE MASTER'!$T$2:$T$495=13)*('CASE MASTER'!$U$2:$U$495&lt;=2)*('CASE MASTER'!$W$2:$W$495&gt;=2)*('CASE MASTER'!$V$2:$V$495&lt;=6)*('CASE MASTER'!$X$2:$X$495&gt;=6))*ROW('CASE MASTER'!$T$2:$T$495))&gt;0,INDEX('CASE MASTER'!$Y$2:$Y$495,(SUMPRODUCT((('CASE MASTER'!$T$2:$T$495=13)*('CASE MASTER'!$U$2:$U$495&lt;=2)*('CASE MASTER'!$W$2:$W$495&gt;=2)*('CASE MASTER'!$V$2:$V$495&lt;=6)*('CASE MASTER'!$X$2:$X$495&gt;=6))*ROW('CASE MASTER'!$T$2:$T$495))-(ROW('CASE MASTER'!#REF!)-1)))&amp;TRIM(MID(SUBSTITUTE(SUBSTITUTE(INDEX('CASE MASTER'!$N$2:$N$495,(SUMPRODUCT((('CASE MASTER'!$T$2:$T$495=13)*('CASE MASTER'!$U$2:$U$495&lt;=2)*('CASE MASTER'!$W$2:$W$495&gt;=2)*('CASE MASTER'!$V$2:$V$495&lt;=6)*('CASE MASTER'!$X$2:$X$495&gt;=6))*ROW('CASE MASTER'!$T$2:$T$495))-(ROW('CASE MASTER'!#REF!)-1))),":",","),",",REPT(" ",50)),((((2-INDEX('CASE MASTER'!$U$2:$U$495,(SUMPRODUCT((('CASE MASTER'!$T$2:$T$495=13)*('CASE MASTER'!$U$2:$U$495&lt;=2)*('CASE MASTER'!$W$2:$W$495&gt;=2)*('CASE MASTER'!$V$2:$V$495&lt;=6)*('CASE MASTER'!$X$2:$X$495&gt;=6))*ROW('CASE MASTER'!$T$2:$T$495))-(ROW('CASE MASTER'!#REF!)-1))))*(INDEX('CASE MASTER'!$X$2:$X$495,(SUMPRODUCT((('CASE MASTER'!$T$2:$T$495=13)*('CASE MASTER'!$U$2:$U$495&lt;=2)*('CASE MASTER'!$W$2:$W$495&gt;=2)*('CASE MASTER'!$V$2:$V$495&lt;=6)*('CASE MASTER'!$X$2:$X$495&gt;=6))*ROW('CASE MASTER'!$T$2:$T$495))-(ROW('CASE MASTER'!#REF!)-1)))-INDEX('CASE MASTER'!$V$2:$V$495,(SUMPRODUCT((('CASE MASTER'!$T$2:$T$495=13)*('CASE MASTER'!$U$2:$U$495&lt;=2)*('CASE MASTER'!$W$2:$W$495&gt;=2)*('CASE MASTER'!$V$2:$V$495&lt;=6)*('CASE MASTER'!$X$2:$X$495&gt;=6))*ROW('CASE MASTER'!$T$2:$T$495))-(ROW('CASE MASTER'!#REF!)-1)))+1)+(6-INDEX('CASE MASTER'!$V$2:$V$495,(SUMPRODUCT((('CASE MASTER'!$T$2:$T$495=13)*('CASE MASTER'!$U$2:$U$495&lt;=2)*('CASE MASTER'!$W$2:$W$495&gt;=2)*('CASE MASTER'!$V$2:$V$495&lt;=6)*('CASE MASTER'!$X$2:$X$495&gt;=6))*ROW('CASE MASTER'!$T$2:$T$495))-(ROW('CASE MASTER'!#REF!)-1))))+1))-1)*50+1,50))&amp;"_"&amp;INDEX('CASE MASTER'!$Q$2:$Q$495,(SUMPRODUCT((('CASE MASTER'!$T$2:$T$495=13)*('CASE MASTER'!$U$2:$U$495&lt;=2)*('CASE MASTER'!$W$2:$W$495&gt;=2)*('CASE MASTER'!$V$2:$V$495&lt;=6)*('CASE MASTER'!$X$2:$X$495&gt;=6))*ROW('CASE MASTER'!$T$2:$T$495))-(ROW('CASE MASTER'!#REF!)-1))),IF(SUMPRODUCT((('CASE MASTER'!$T$2:$T$495=13)*('CASE MASTER'!$AA$2:$AA$495&lt;=2)*('CASE MASTER'!$AC$2:$AC$495&gt;=2)*('CASE MASTER'!$AB$2:$AB$495&lt;=6)*('CASE MASTER'!$AD$2:$AD$495&gt;=6))*ROW('CASE MASTER'!$T$2:$T$495))&gt;0,INDEX('CASE MASTER'!$Y$2:$Y$495,(SUMPRODUCT((('CASE MASTER'!$T$2:$T$495=13)*('CASE MASTER'!$AA$2:$AA$495&lt;=2)*('CASE MASTER'!$AC$2:$AC$495&gt;=2)*('CASE MASTER'!$AB$2:$AB$495&lt;=6)*('CASE MASTER'!$AD$2:$AD$495&gt;=6))*ROW('CASE MASTER'!$T$2:$T$495))-(ROW('CASE MASTER'!#REF!)-1)))&amp;TRIM(MID(SUBSTITUTE(SUBSTITUTE(INDEX('CASE MASTER'!$N$2:$N$495,(SUMPRODUCT((('CASE MASTER'!$T$2:$T$495=13)*('CASE MASTER'!$AA$2:$AA$495&lt;=2)*('CASE MASTER'!$AC$2:$AC$495&gt;=2)*('CASE MASTER'!$AB$2:$AB$495&lt;=6)*('CASE MASTER'!$AD$2:$AD$495&gt;=6))*ROW('CASE MASTER'!$T$2:$T$495))-(ROW('CASE MASTER'!#REF!)-1))),":",","),",",REPT(" ",50)),(((INDEX('CASE MASTER'!$Z$2:$Z$495,(SUMPRODUCT((('CASE MASTER'!$T$2:$T$495=13)*('CASE MASTER'!$AA$2:$AA$495&lt;=2)*('CASE MASTER'!$AC$2:$AC$495&gt;=2)*('CASE MASTER'!$AB$2:$AB$495&lt;=6)*('CASE MASTER'!$AD$2:$AD$495&gt;=6))*ROW('CASE MASTER'!$T$2:$T$495))-(ROW('CASE MASTER'!#REF!)-1)))+((2-INDEX('CASE MASTER'!$AA$2:$AA$495,(SUMPRODUCT((('CASE MASTER'!$T$2:$T$495=13)*('CASE MASTER'!$AA$2:$AA$495&lt;=2)*('CASE MASTER'!$AC$2:$AC$495&gt;=2)*('CASE MASTER'!$AB$2:$AB$495&lt;=6)*('CASE MASTER'!$AD$2:$AD$495&gt;=6))*ROW('CASE MASTER'!$T$2:$T$495))-(ROW('CASE MASTER'!#REF!)-1))))*(INDEX('CASE MASTER'!$AD$2:$AD$495,(SUMPRODUCT((('CASE MASTER'!$T$2:$T$495=13)*('CASE MASTER'!$AA$2:$AA$495&lt;=2)*('CASE MASTER'!$AC$2:$AC$495&gt;=2)*('CASE MASTER'!$AB$2:$AB$495&lt;=6)*('CASE MASTER'!$AD$2:$AD$495&gt;=6))*ROW('CASE MASTER'!$T$2:$T$495))-(ROW('CASE MASTER'!#REF!)-1)))-INDEX('CASE MASTER'!$AB$2:$AB$495,(SUMPRODUCT((('CASE MASTER'!$T$2:$T$495=13)*('CASE MASTER'!$AA$2:$AA$495&lt;=2)*('CASE MASTER'!$AC$2:$AC$495&gt;=2)*('CASE MASTER'!$AB$2:$AB$495&lt;=6)*('CASE MASTER'!$AD$2:$AD$495&gt;=6))*ROW('CASE MASTER'!$T$2:$T$495))-(ROW('CASE MASTER'!#REF!)-1)))+1)+(6-INDEX('CASE MASTER'!$AB$2:$AB$495,(SUMPRODUCT((('CASE MASTER'!$T$2:$T$495=13)*('CASE MASTER'!$AA$2:$AA$495&lt;=2)*('CASE MASTER'!$AC$2:$AC$495&gt;=2)*('CASE MASTER'!$AB$2:$AB$495&lt;=6)*('CASE MASTER'!$AD$2:$AD$495&gt;=6))*ROW('CASE MASTER'!$T$2:$T$495))-(ROW('CASE MASTER'!#REF!)-1))))+1)))-1)*50+1,50))&amp;"_"&amp;INDEX('CASE MASTER'!$Q$2:$Q$495,(SUMPRODUCT((('CASE MASTER'!$T$2:$T$495=13)*('CASE MASTER'!$AA$2:$AA$495&lt;=2)*('CASE MASTER'!$AC$2:$AC$495&gt;=2)*('CASE MASTER'!$AB$2:$AB$495&lt;=6)*('CASE MASTER'!$AD$2:$AD$495&gt;=6))*ROW('CASE MASTER'!$T$2:$T$495))-(ROW('CASE MASTER'!#REF!)-1))),"")),"")</f>
        <v/>
      </c>
      <c r="H172" s="10" t="str">
        <f>IFERROR(IF(SUMPRODUCT((('CASE MASTER'!$T$2:$T$495=13)*('CASE MASTER'!$U$2:$U$495&lt;=2)*('CASE MASTER'!$W$2:$W$495&gt;=2)*('CASE MASTER'!$V$2:$V$495&lt;=7)*('CASE MASTER'!$X$2:$X$495&gt;=7))*ROW('CASE MASTER'!$T$2:$T$495))&gt;0,INDEX('CASE MASTER'!$Y$2:$Y$495,(SUMPRODUCT((('CASE MASTER'!$T$2:$T$495=13)*('CASE MASTER'!$U$2:$U$495&lt;=2)*('CASE MASTER'!$W$2:$W$495&gt;=2)*('CASE MASTER'!$V$2:$V$495&lt;=7)*('CASE MASTER'!$X$2:$X$495&gt;=7))*ROW('CASE MASTER'!$T$2:$T$495))-(ROW('CASE MASTER'!#REF!)-1)))&amp;TRIM(MID(SUBSTITUTE(SUBSTITUTE(INDEX('CASE MASTER'!$N$2:$N$495,(SUMPRODUCT((('CASE MASTER'!$T$2:$T$495=13)*('CASE MASTER'!$U$2:$U$495&lt;=2)*('CASE MASTER'!$W$2:$W$495&gt;=2)*('CASE MASTER'!$V$2:$V$495&lt;=7)*('CASE MASTER'!$X$2:$X$495&gt;=7))*ROW('CASE MASTER'!$T$2:$T$495))-(ROW('CASE MASTER'!#REF!)-1))),":",","),",",REPT(" ",50)),((((2-INDEX('CASE MASTER'!$U$2:$U$495,(SUMPRODUCT((('CASE MASTER'!$T$2:$T$495=13)*('CASE MASTER'!$U$2:$U$495&lt;=2)*('CASE MASTER'!$W$2:$W$495&gt;=2)*('CASE MASTER'!$V$2:$V$495&lt;=7)*('CASE MASTER'!$X$2:$X$495&gt;=7))*ROW('CASE MASTER'!$T$2:$T$495))-(ROW('CASE MASTER'!#REF!)-1))))*(INDEX('CASE MASTER'!$X$2:$X$495,(SUMPRODUCT((('CASE MASTER'!$T$2:$T$495=13)*('CASE MASTER'!$U$2:$U$495&lt;=2)*('CASE MASTER'!$W$2:$W$495&gt;=2)*('CASE MASTER'!$V$2:$V$495&lt;=7)*('CASE MASTER'!$X$2:$X$495&gt;=7))*ROW('CASE MASTER'!$T$2:$T$495))-(ROW('CASE MASTER'!#REF!)-1)))-INDEX('CASE MASTER'!$V$2:$V$495,(SUMPRODUCT((('CASE MASTER'!$T$2:$T$495=13)*('CASE MASTER'!$U$2:$U$495&lt;=2)*('CASE MASTER'!$W$2:$W$495&gt;=2)*('CASE MASTER'!$V$2:$V$495&lt;=7)*('CASE MASTER'!$X$2:$X$495&gt;=7))*ROW('CASE MASTER'!$T$2:$T$495))-(ROW('CASE MASTER'!#REF!)-1)))+1)+(7-INDEX('CASE MASTER'!$V$2:$V$495,(SUMPRODUCT((('CASE MASTER'!$T$2:$T$495=13)*('CASE MASTER'!$U$2:$U$495&lt;=2)*('CASE MASTER'!$W$2:$W$495&gt;=2)*('CASE MASTER'!$V$2:$V$495&lt;=7)*('CASE MASTER'!$X$2:$X$495&gt;=7))*ROW('CASE MASTER'!$T$2:$T$495))-(ROW('CASE MASTER'!#REF!)-1))))+1))-1)*50+1,50))&amp;"_"&amp;INDEX('CASE MASTER'!$Q$2:$Q$495,(SUMPRODUCT((('CASE MASTER'!$T$2:$T$495=13)*('CASE MASTER'!$U$2:$U$495&lt;=2)*('CASE MASTER'!$W$2:$W$495&gt;=2)*('CASE MASTER'!$V$2:$V$495&lt;=7)*('CASE MASTER'!$X$2:$X$495&gt;=7))*ROW('CASE MASTER'!$T$2:$T$495))-(ROW('CASE MASTER'!#REF!)-1))),IF(SUMPRODUCT((('CASE MASTER'!$T$2:$T$495=13)*('CASE MASTER'!$AA$2:$AA$495&lt;=2)*('CASE MASTER'!$AC$2:$AC$495&gt;=2)*('CASE MASTER'!$AB$2:$AB$495&lt;=7)*('CASE MASTER'!$AD$2:$AD$495&gt;=7))*ROW('CASE MASTER'!$T$2:$T$495))&gt;0,INDEX('CASE MASTER'!$Y$2:$Y$495,(SUMPRODUCT((('CASE MASTER'!$T$2:$T$495=13)*('CASE MASTER'!$AA$2:$AA$495&lt;=2)*('CASE MASTER'!$AC$2:$AC$495&gt;=2)*('CASE MASTER'!$AB$2:$AB$495&lt;=7)*('CASE MASTER'!$AD$2:$AD$495&gt;=7))*ROW('CASE MASTER'!$T$2:$T$495))-(ROW('CASE MASTER'!#REF!)-1)))&amp;TRIM(MID(SUBSTITUTE(SUBSTITUTE(INDEX('CASE MASTER'!$N$2:$N$495,(SUMPRODUCT((('CASE MASTER'!$T$2:$T$495=13)*('CASE MASTER'!$AA$2:$AA$495&lt;=2)*('CASE MASTER'!$AC$2:$AC$495&gt;=2)*('CASE MASTER'!$AB$2:$AB$495&lt;=7)*('CASE MASTER'!$AD$2:$AD$495&gt;=7))*ROW('CASE MASTER'!$T$2:$T$495))-(ROW('CASE MASTER'!#REF!)-1))),":",","),",",REPT(" ",50)),(((INDEX('CASE MASTER'!$Z$2:$Z$495,(SUMPRODUCT((('CASE MASTER'!$T$2:$T$495=13)*('CASE MASTER'!$AA$2:$AA$495&lt;=2)*('CASE MASTER'!$AC$2:$AC$495&gt;=2)*('CASE MASTER'!$AB$2:$AB$495&lt;=7)*('CASE MASTER'!$AD$2:$AD$495&gt;=7))*ROW('CASE MASTER'!$T$2:$T$495))-(ROW('CASE MASTER'!#REF!)-1)))+((2-INDEX('CASE MASTER'!$AA$2:$AA$495,(SUMPRODUCT((('CASE MASTER'!$T$2:$T$495=13)*('CASE MASTER'!$AA$2:$AA$495&lt;=2)*('CASE MASTER'!$AC$2:$AC$495&gt;=2)*('CASE MASTER'!$AB$2:$AB$495&lt;=7)*('CASE MASTER'!$AD$2:$AD$495&gt;=7))*ROW('CASE MASTER'!$T$2:$T$495))-(ROW('CASE MASTER'!#REF!)-1))))*(INDEX('CASE MASTER'!$AD$2:$AD$495,(SUMPRODUCT((('CASE MASTER'!$T$2:$T$495=13)*('CASE MASTER'!$AA$2:$AA$495&lt;=2)*('CASE MASTER'!$AC$2:$AC$495&gt;=2)*('CASE MASTER'!$AB$2:$AB$495&lt;=7)*('CASE MASTER'!$AD$2:$AD$495&gt;=7))*ROW('CASE MASTER'!$T$2:$T$495))-(ROW('CASE MASTER'!#REF!)-1)))-INDEX('CASE MASTER'!$AB$2:$AB$495,(SUMPRODUCT((('CASE MASTER'!$T$2:$T$495=13)*('CASE MASTER'!$AA$2:$AA$495&lt;=2)*('CASE MASTER'!$AC$2:$AC$495&gt;=2)*('CASE MASTER'!$AB$2:$AB$495&lt;=7)*('CASE MASTER'!$AD$2:$AD$495&gt;=7))*ROW('CASE MASTER'!$T$2:$T$495))-(ROW('CASE MASTER'!#REF!)-1)))+1)+(7-INDEX('CASE MASTER'!$AB$2:$AB$495,(SUMPRODUCT((('CASE MASTER'!$T$2:$T$495=13)*('CASE MASTER'!$AA$2:$AA$495&lt;=2)*('CASE MASTER'!$AC$2:$AC$495&gt;=2)*('CASE MASTER'!$AB$2:$AB$495&lt;=7)*('CASE MASTER'!$AD$2:$AD$495&gt;=7))*ROW('CASE MASTER'!$T$2:$T$495))-(ROW('CASE MASTER'!#REF!)-1))))+1)))-1)*50+1,50))&amp;"_"&amp;INDEX('CASE MASTER'!$Q$2:$Q$495,(SUMPRODUCT((('CASE MASTER'!$T$2:$T$495=13)*('CASE MASTER'!$AA$2:$AA$495&lt;=2)*('CASE MASTER'!$AC$2:$AC$495&gt;=2)*('CASE MASTER'!$AB$2:$AB$495&lt;=7)*('CASE MASTER'!$AD$2:$AD$495&gt;=7))*ROW('CASE MASTER'!$T$2:$T$495))-(ROW('CASE MASTER'!#REF!)-1))),"")),"")</f>
        <v/>
      </c>
      <c r="I172" s="10" t="str">
        <f>IFERROR(IF(SUMPRODUCT((('CASE MASTER'!$T$2:$T$495=13)*('CASE MASTER'!$U$2:$U$495&lt;=2)*('CASE MASTER'!$W$2:$W$495&gt;=2)*('CASE MASTER'!$V$2:$V$495&lt;=8)*('CASE MASTER'!$X$2:$X$495&gt;=8))*ROW('CASE MASTER'!$T$2:$T$495))&gt;0,INDEX('CASE MASTER'!$Y$2:$Y$495,(SUMPRODUCT((('CASE MASTER'!$T$2:$T$495=13)*('CASE MASTER'!$U$2:$U$495&lt;=2)*('CASE MASTER'!$W$2:$W$495&gt;=2)*('CASE MASTER'!$V$2:$V$495&lt;=8)*('CASE MASTER'!$X$2:$X$495&gt;=8))*ROW('CASE MASTER'!$T$2:$T$495))-(ROW('CASE MASTER'!#REF!)-1)))&amp;TRIM(MID(SUBSTITUTE(SUBSTITUTE(INDEX('CASE MASTER'!$N$2:$N$495,(SUMPRODUCT((('CASE MASTER'!$T$2:$T$495=13)*('CASE MASTER'!$U$2:$U$495&lt;=2)*('CASE MASTER'!$W$2:$W$495&gt;=2)*('CASE MASTER'!$V$2:$V$495&lt;=8)*('CASE MASTER'!$X$2:$X$495&gt;=8))*ROW('CASE MASTER'!$T$2:$T$495))-(ROW('CASE MASTER'!#REF!)-1))),":",","),",",REPT(" ",50)),((((2-INDEX('CASE MASTER'!$U$2:$U$495,(SUMPRODUCT((('CASE MASTER'!$T$2:$T$495=13)*('CASE MASTER'!$U$2:$U$495&lt;=2)*('CASE MASTER'!$W$2:$W$495&gt;=2)*('CASE MASTER'!$V$2:$V$495&lt;=8)*('CASE MASTER'!$X$2:$X$495&gt;=8))*ROW('CASE MASTER'!$T$2:$T$495))-(ROW('CASE MASTER'!#REF!)-1))))*(INDEX('CASE MASTER'!$X$2:$X$495,(SUMPRODUCT((('CASE MASTER'!$T$2:$T$495=13)*('CASE MASTER'!$U$2:$U$495&lt;=2)*('CASE MASTER'!$W$2:$W$495&gt;=2)*('CASE MASTER'!$V$2:$V$495&lt;=8)*('CASE MASTER'!$X$2:$X$495&gt;=8))*ROW('CASE MASTER'!$T$2:$T$495))-(ROW('CASE MASTER'!#REF!)-1)))-INDEX('CASE MASTER'!$V$2:$V$495,(SUMPRODUCT((('CASE MASTER'!$T$2:$T$495=13)*('CASE MASTER'!$U$2:$U$495&lt;=2)*('CASE MASTER'!$W$2:$W$495&gt;=2)*('CASE MASTER'!$V$2:$V$495&lt;=8)*('CASE MASTER'!$X$2:$X$495&gt;=8))*ROW('CASE MASTER'!$T$2:$T$495))-(ROW('CASE MASTER'!#REF!)-1)))+1)+(8-INDEX('CASE MASTER'!$V$2:$V$495,(SUMPRODUCT((('CASE MASTER'!$T$2:$T$495=13)*('CASE MASTER'!$U$2:$U$495&lt;=2)*('CASE MASTER'!$W$2:$W$495&gt;=2)*('CASE MASTER'!$V$2:$V$495&lt;=8)*('CASE MASTER'!$X$2:$X$495&gt;=8))*ROW('CASE MASTER'!$T$2:$T$495))-(ROW('CASE MASTER'!#REF!)-1))))+1))-1)*50+1,50))&amp;"_"&amp;INDEX('CASE MASTER'!$Q$2:$Q$495,(SUMPRODUCT((('CASE MASTER'!$T$2:$T$495=13)*('CASE MASTER'!$U$2:$U$495&lt;=2)*('CASE MASTER'!$W$2:$W$495&gt;=2)*('CASE MASTER'!$V$2:$V$495&lt;=8)*('CASE MASTER'!$X$2:$X$495&gt;=8))*ROW('CASE MASTER'!$T$2:$T$495))-(ROW('CASE MASTER'!#REF!)-1))),IF(SUMPRODUCT((('CASE MASTER'!$T$2:$T$495=13)*('CASE MASTER'!$AA$2:$AA$495&lt;=2)*('CASE MASTER'!$AC$2:$AC$495&gt;=2)*('CASE MASTER'!$AB$2:$AB$495&lt;=8)*('CASE MASTER'!$AD$2:$AD$495&gt;=8))*ROW('CASE MASTER'!$T$2:$T$495))&gt;0,INDEX('CASE MASTER'!$Y$2:$Y$495,(SUMPRODUCT((('CASE MASTER'!$T$2:$T$495=13)*('CASE MASTER'!$AA$2:$AA$495&lt;=2)*('CASE MASTER'!$AC$2:$AC$495&gt;=2)*('CASE MASTER'!$AB$2:$AB$495&lt;=8)*('CASE MASTER'!$AD$2:$AD$495&gt;=8))*ROW('CASE MASTER'!$T$2:$T$495))-(ROW('CASE MASTER'!#REF!)-1)))&amp;TRIM(MID(SUBSTITUTE(SUBSTITUTE(INDEX('CASE MASTER'!$N$2:$N$495,(SUMPRODUCT((('CASE MASTER'!$T$2:$T$495=13)*('CASE MASTER'!$AA$2:$AA$495&lt;=2)*('CASE MASTER'!$AC$2:$AC$495&gt;=2)*('CASE MASTER'!$AB$2:$AB$495&lt;=8)*('CASE MASTER'!$AD$2:$AD$495&gt;=8))*ROW('CASE MASTER'!$T$2:$T$495))-(ROW('CASE MASTER'!#REF!)-1))),":",","),",",REPT(" ",50)),(((INDEX('CASE MASTER'!$Z$2:$Z$495,(SUMPRODUCT((('CASE MASTER'!$T$2:$T$495=13)*('CASE MASTER'!$AA$2:$AA$495&lt;=2)*('CASE MASTER'!$AC$2:$AC$495&gt;=2)*('CASE MASTER'!$AB$2:$AB$495&lt;=8)*('CASE MASTER'!$AD$2:$AD$495&gt;=8))*ROW('CASE MASTER'!$T$2:$T$495))-(ROW('CASE MASTER'!#REF!)-1)))+((2-INDEX('CASE MASTER'!$AA$2:$AA$495,(SUMPRODUCT((('CASE MASTER'!$T$2:$T$495=13)*('CASE MASTER'!$AA$2:$AA$495&lt;=2)*('CASE MASTER'!$AC$2:$AC$495&gt;=2)*('CASE MASTER'!$AB$2:$AB$495&lt;=8)*('CASE MASTER'!$AD$2:$AD$495&gt;=8))*ROW('CASE MASTER'!$T$2:$T$495))-(ROW('CASE MASTER'!#REF!)-1))))*(INDEX('CASE MASTER'!$AD$2:$AD$495,(SUMPRODUCT((('CASE MASTER'!$T$2:$T$495=13)*('CASE MASTER'!$AA$2:$AA$495&lt;=2)*('CASE MASTER'!$AC$2:$AC$495&gt;=2)*('CASE MASTER'!$AB$2:$AB$495&lt;=8)*('CASE MASTER'!$AD$2:$AD$495&gt;=8))*ROW('CASE MASTER'!$T$2:$T$495))-(ROW('CASE MASTER'!#REF!)-1)))-INDEX('CASE MASTER'!$AB$2:$AB$495,(SUMPRODUCT((('CASE MASTER'!$T$2:$T$495=13)*('CASE MASTER'!$AA$2:$AA$495&lt;=2)*('CASE MASTER'!$AC$2:$AC$495&gt;=2)*('CASE MASTER'!$AB$2:$AB$495&lt;=8)*('CASE MASTER'!$AD$2:$AD$495&gt;=8))*ROW('CASE MASTER'!$T$2:$T$495))-(ROW('CASE MASTER'!#REF!)-1)))+1)+(8-INDEX('CASE MASTER'!$AB$2:$AB$495,(SUMPRODUCT((('CASE MASTER'!$T$2:$T$495=13)*('CASE MASTER'!$AA$2:$AA$495&lt;=2)*('CASE MASTER'!$AC$2:$AC$495&gt;=2)*('CASE MASTER'!$AB$2:$AB$495&lt;=8)*('CASE MASTER'!$AD$2:$AD$495&gt;=8))*ROW('CASE MASTER'!$T$2:$T$495))-(ROW('CASE MASTER'!#REF!)-1))))+1)))-1)*50+1,50))&amp;"_"&amp;INDEX('CASE MASTER'!$Q$2:$Q$495,(SUMPRODUCT((('CASE MASTER'!$T$2:$T$495=13)*('CASE MASTER'!$AA$2:$AA$495&lt;=2)*('CASE MASTER'!$AC$2:$AC$495&gt;=2)*('CASE MASTER'!$AB$2:$AB$495&lt;=8)*('CASE MASTER'!$AD$2:$AD$495&gt;=8))*ROW('CASE MASTER'!$T$2:$T$495))-(ROW('CASE MASTER'!#REF!)-1))),"")),"")</f>
        <v/>
      </c>
      <c r="J172" s="10" t="str">
        <f>IFERROR(IF(SUMPRODUCT((('CASE MASTER'!$T$2:$T$495=13)*('CASE MASTER'!$U$2:$U$495&lt;=2)*('CASE MASTER'!$W$2:$W$495&gt;=2)*('CASE MASTER'!$V$2:$V$495&lt;=9)*('CASE MASTER'!$X$2:$X$495&gt;=9))*ROW('CASE MASTER'!$T$2:$T$495))&gt;0,INDEX('CASE MASTER'!$Y$2:$Y$495,(SUMPRODUCT((('CASE MASTER'!$T$2:$T$495=13)*('CASE MASTER'!$U$2:$U$495&lt;=2)*('CASE MASTER'!$W$2:$W$495&gt;=2)*('CASE MASTER'!$V$2:$V$495&lt;=9)*('CASE MASTER'!$X$2:$X$495&gt;=9))*ROW('CASE MASTER'!$T$2:$T$495))-(ROW('CASE MASTER'!#REF!)-1)))&amp;TRIM(MID(SUBSTITUTE(SUBSTITUTE(INDEX('CASE MASTER'!$N$2:$N$495,(SUMPRODUCT((('CASE MASTER'!$T$2:$T$495=13)*('CASE MASTER'!$U$2:$U$495&lt;=2)*('CASE MASTER'!$W$2:$W$495&gt;=2)*('CASE MASTER'!$V$2:$V$495&lt;=9)*('CASE MASTER'!$X$2:$X$495&gt;=9))*ROW('CASE MASTER'!$T$2:$T$495))-(ROW('CASE MASTER'!#REF!)-1))),":",","),",",REPT(" ",50)),((((2-INDEX('CASE MASTER'!$U$2:$U$495,(SUMPRODUCT((('CASE MASTER'!$T$2:$T$495=13)*('CASE MASTER'!$U$2:$U$495&lt;=2)*('CASE MASTER'!$W$2:$W$495&gt;=2)*('CASE MASTER'!$V$2:$V$495&lt;=9)*('CASE MASTER'!$X$2:$X$495&gt;=9))*ROW('CASE MASTER'!$T$2:$T$495))-(ROW('CASE MASTER'!#REF!)-1))))*(INDEX('CASE MASTER'!$X$2:$X$495,(SUMPRODUCT((('CASE MASTER'!$T$2:$T$495=13)*('CASE MASTER'!$U$2:$U$495&lt;=2)*('CASE MASTER'!$W$2:$W$495&gt;=2)*('CASE MASTER'!$V$2:$V$495&lt;=9)*('CASE MASTER'!$X$2:$X$495&gt;=9))*ROW('CASE MASTER'!$T$2:$T$495))-(ROW('CASE MASTER'!#REF!)-1)))-INDEX('CASE MASTER'!$V$2:$V$495,(SUMPRODUCT((('CASE MASTER'!$T$2:$T$495=13)*('CASE MASTER'!$U$2:$U$495&lt;=2)*('CASE MASTER'!$W$2:$W$495&gt;=2)*('CASE MASTER'!$V$2:$V$495&lt;=9)*('CASE MASTER'!$X$2:$X$495&gt;=9))*ROW('CASE MASTER'!$T$2:$T$495))-(ROW('CASE MASTER'!#REF!)-1)))+1)+(9-INDEX('CASE MASTER'!$V$2:$V$495,(SUMPRODUCT((('CASE MASTER'!$T$2:$T$495=13)*('CASE MASTER'!$U$2:$U$495&lt;=2)*('CASE MASTER'!$W$2:$W$495&gt;=2)*('CASE MASTER'!$V$2:$V$495&lt;=9)*('CASE MASTER'!$X$2:$X$495&gt;=9))*ROW('CASE MASTER'!$T$2:$T$495))-(ROW('CASE MASTER'!#REF!)-1))))+1))-1)*50+1,50))&amp;"_"&amp;INDEX('CASE MASTER'!$Q$2:$Q$495,(SUMPRODUCT((('CASE MASTER'!$T$2:$T$495=13)*('CASE MASTER'!$U$2:$U$495&lt;=2)*('CASE MASTER'!$W$2:$W$495&gt;=2)*('CASE MASTER'!$V$2:$V$495&lt;=9)*('CASE MASTER'!$X$2:$X$495&gt;=9))*ROW('CASE MASTER'!$T$2:$T$495))-(ROW('CASE MASTER'!#REF!)-1))),IF(SUMPRODUCT((('CASE MASTER'!$T$2:$T$495=13)*('CASE MASTER'!$AA$2:$AA$495&lt;=2)*('CASE MASTER'!$AC$2:$AC$495&gt;=2)*('CASE MASTER'!$AB$2:$AB$495&lt;=9)*('CASE MASTER'!$AD$2:$AD$495&gt;=9))*ROW('CASE MASTER'!$T$2:$T$495))&gt;0,INDEX('CASE MASTER'!$Y$2:$Y$495,(SUMPRODUCT((('CASE MASTER'!$T$2:$T$495=13)*('CASE MASTER'!$AA$2:$AA$495&lt;=2)*('CASE MASTER'!$AC$2:$AC$495&gt;=2)*('CASE MASTER'!$AB$2:$AB$495&lt;=9)*('CASE MASTER'!$AD$2:$AD$495&gt;=9))*ROW('CASE MASTER'!$T$2:$T$495))-(ROW('CASE MASTER'!#REF!)-1)))&amp;TRIM(MID(SUBSTITUTE(SUBSTITUTE(INDEX('CASE MASTER'!$N$2:$N$495,(SUMPRODUCT((('CASE MASTER'!$T$2:$T$495=13)*('CASE MASTER'!$AA$2:$AA$495&lt;=2)*('CASE MASTER'!$AC$2:$AC$495&gt;=2)*('CASE MASTER'!$AB$2:$AB$495&lt;=9)*('CASE MASTER'!$AD$2:$AD$495&gt;=9))*ROW('CASE MASTER'!$T$2:$T$495))-(ROW('CASE MASTER'!#REF!)-1))),":",","),",",REPT(" ",50)),(((INDEX('CASE MASTER'!$Z$2:$Z$495,(SUMPRODUCT((('CASE MASTER'!$T$2:$T$495=13)*('CASE MASTER'!$AA$2:$AA$495&lt;=2)*('CASE MASTER'!$AC$2:$AC$495&gt;=2)*('CASE MASTER'!$AB$2:$AB$495&lt;=9)*('CASE MASTER'!$AD$2:$AD$495&gt;=9))*ROW('CASE MASTER'!$T$2:$T$495))-(ROW('CASE MASTER'!#REF!)-1)))+((2-INDEX('CASE MASTER'!$AA$2:$AA$495,(SUMPRODUCT((('CASE MASTER'!$T$2:$T$495=13)*('CASE MASTER'!$AA$2:$AA$495&lt;=2)*('CASE MASTER'!$AC$2:$AC$495&gt;=2)*('CASE MASTER'!$AB$2:$AB$495&lt;=9)*('CASE MASTER'!$AD$2:$AD$495&gt;=9))*ROW('CASE MASTER'!$T$2:$T$495))-(ROW('CASE MASTER'!#REF!)-1))))*(INDEX('CASE MASTER'!$AD$2:$AD$495,(SUMPRODUCT((('CASE MASTER'!$T$2:$T$495=13)*('CASE MASTER'!$AA$2:$AA$495&lt;=2)*('CASE MASTER'!$AC$2:$AC$495&gt;=2)*('CASE MASTER'!$AB$2:$AB$495&lt;=9)*('CASE MASTER'!$AD$2:$AD$495&gt;=9))*ROW('CASE MASTER'!$T$2:$T$495))-(ROW('CASE MASTER'!#REF!)-1)))-INDEX('CASE MASTER'!$AB$2:$AB$495,(SUMPRODUCT((('CASE MASTER'!$T$2:$T$495=13)*('CASE MASTER'!$AA$2:$AA$495&lt;=2)*('CASE MASTER'!$AC$2:$AC$495&gt;=2)*('CASE MASTER'!$AB$2:$AB$495&lt;=9)*('CASE MASTER'!$AD$2:$AD$495&gt;=9))*ROW('CASE MASTER'!$T$2:$T$495))-(ROW('CASE MASTER'!#REF!)-1)))+1)+(9-INDEX('CASE MASTER'!$AB$2:$AB$495,(SUMPRODUCT((('CASE MASTER'!$T$2:$T$495=13)*('CASE MASTER'!$AA$2:$AA$495&lt;=2)*('CASE MASTER'!$AC$2:$AC$495&gt;=2)*('CASE MASTER'!$AB$2:$AB$495&lt;=9)*('CASE MASTER'!$AD$2:$AD$495&gt;=9))*ROW('CASE MASTER'!$T$2:$T$495))-(ROW('CASE MASTER'!#REF!)-1))))+1)))-1)*50+1,50))&amp;"_"&amp;INDEX('CASE MASTER'!$Q$2:$Q$495,(SUMPRODUCT((('CASE MASTER'!$T$2:$T$495=13)*('CASE MASTER'!$AA$2:$AA$495&lt;=2)*('CASE MASTER'!$AC$2:$AC$495&gt;=2)*('CASE MASTER'!$AB$2:$AB$495&lt;=9)*('CASE MASTER'!$AD$2:$AD$495&gt;=9))*ROW('CASE MASTER'!$T$2:$T$495))-(ROW('CASE MASTER'!#REF!)-1))),"")),"")</f>
        <v/>
      </c>
      <c r="K172" s="10" t="str">
        <f>IFERROR(IF(SUMPRODUCT((('CASE MASTER'!$T$2:$T$495=13)*('CASE MASTER'!$U$2:$U$495&lt;=2)*('CASE MASTER'!$W$2:$W$495&gt;=2)*('CASE MASTER'!$V$2:$V$495&lt;=10)*('CASE MASTER'!$X$2:$X$495&gt;=10))*ROW('CASE MASTER'!$T$2:$T$495))&gt;0,INDEX('CASE MASTER'!$Y$2:$Y$495,(SUMPRODUCT((('CASE MASTER'!$T$2:$T$495=13)*('CASE MASTER'!$U$2:$U$495&lt;=2)*('CASE MASTER'!$W$2:$W$495&gt;=2)*('CASE MASTER'!$V$2:$V$495&lt;=10)*('CASE MASTER'!$X$2:$X$495&gt;=10))*ROW('CASE MASTER'!$T$2:$T$495))-(ROW('CASE MASTER'!#REF!)-1)))&amp;TRIM(MID(SUBSTITUTE(SUBSTITUTE(INDEX('CASE MASTER'!$N$2:$N$495,(SUMPRODUCT((('CASE MASTER'!$T$2:$T$495=13)*('CASE MASTER'!$U$2:$U$495&lt;=2)*('CASE MASTER'!$W$2:$W$495&gt;=2)*('CASE MASTER'!$V$2:$V$495&lt;=10)*('CASE MASTER'!$X$2:$X$495&gt;=10))*ROW('CASE MASTER'!$T$2:$T$495))-(ROW('CASE MASTER'!#REF!)-1))),":",","),",",REPT(" ",50)),((((2-INDEX('CASE MASTER'!$U$2:$U$495,(SUMPRODUCT((('CASE MASTER'!$T$2:$T$495=13)*('CASE MASTER'!$U$2:$U$495&lt;=2)*('CASE MASTER'!$W$2:$W$495&gt;=2)*('CASE MASTER'!$V$2:$V$495&lt;=10)*('CASE MASTER'!$X$2:$X$495&gt;=10))*ROW('CASE MASTER'!$T$2:$T$495))-(ROW('CASE MASTER'!#REF!)-1))))*(INDEX('CASE MASTER'!$X$2:$X$495,(SUMPRODUCT((('CASE MASTER'!$T$2:$T$495=13)*('CASE MASTER'!$U$2:$U$495&lt;=2)*('CASE MASTER'!$W$2:$W$495&gt;=2)*('CASE MASTER'!$V$2:$V$495&lt;=10)*('CASE MASTER'!$X$2:$X$495&gt;=10))*ROW('CASE MASTER'!$T$2:$T$495))-(ROW('CASE MASTER'!#REF!)-1)))-INDEX('CASE MASTER'!$V$2:$V$495,(SUMPRODUCT((('CASE MASTER'!$T$2:$T$495=13)*('CASE MASTER'!$U$2:$U$495&lt;=2)*('CASE MASTER'!$W$2:$W$495&gt;=2)*('CASE MASTER'!$V$2:$V$495&lt;=10)*('CASE MASTER'!$X$2:$X$495&gt;=10))*ROW('CASE MASTER'!$T$2:$T$495))-(ROW('CASE MASTER'!#REF!)-1)))+1)+(10-INDEX('CASE MASTER'!$V$2:$V$495,(SUMPRODUCT((('CASE MASTER'!$T$2:$T$495=13)*('CASE MASTER'!$U$2:$U$495&lt;=2)*('CASE MASTER'!$W$2:$W$495&gt;=2)*('CASE MASTER'!$V$2:$V$495&lt;=10)*('CASE MASTER'!$X$2:$X$495&gt;=10))*ROW('CASE MASTER'!$T$2:$T$495))-(ROW('CASE MASTER'!#REF!)-1))))+1))-1)*50+1,50))&amp;"_"&amp;INDEX('CASE MASTER'!$Q$2:$Q$495,(SUMPRODUCT((('CASE MASTER'!$T$2:$T$495=13)*('CASE MASTER'!$U$2:$U$495&lt;=2)*('CASE MASTER'!$W$2:$W$495&gt;=2)*('CASE MASTER'!$V$2:$V$495&lt;=10)*('CASE MASTER'!$X$2:$X$495&gt;=10))*ROW('CASE MASTER'!$T$2:$T$495))-(ROW('CASE MASTER'!#REF!)-1))),IF(SUMPRODUCT((('CASE MASTER'!$T$2:$T$495=13)*('CASE MASTER'!$AA$2:$AA$495&lt;=2)*('CASE MASTER'!$AC$2:$AC$495&gt;=2)*('CASE MASTER'!$AB$2:$AB$495&lt;=10)*('CASE MASTER'!$AD$2:$AD$495&gt;=10))*ROW('CASE MASTER'!$T$2:$T$495))&gt;0,INDEX('CASE MASTER'!$Y$2:$Y$495,(SUMPRODUCT((('CASE MASTER'!$T$2:$T$495=13)*('CASE MASTER'!$AA$2:$AA$495&lt;=2)*('CASE MASTER'!$AC$2:$AC$495&gt;=2)*('CASE MASTER'!$AB$2:$AB$495&lt;=10)*('CASE MASTER'!$AD$2:$AD$495&gt;=10))*ROW('CASE MASTER'!$T$2:$T$495))-(ROW('CASE MASTER'!#REF!)-1)))&amp;TRIM(MID(SUBSTITUTE(SUBSTITUTE(INDEX('CASE MASTER'!$N$2:$N$495,(SUMPRODUCT((('CASE MASTER'!$T$2:$T$495=13)*('CASE MASTER'!$AA$2:$AA$495&lt;=2)*('CASE MASTER'!$AC$2:$AC$495&gt;=2)*('CASE MASTER'!$AB$2:$AB$495&lt;=10)*('CASE MASTER'!$AD$2:$AD$495&gt;=10))*ROW('CASE MASTER'!$T$2:$T$495))-(ROW('CASE MASTER'!#REF!)-1))),":",","),",",REPT(" ",50)),(((INDEX('CASE MASTER'!$Z$2:$Z$495,(SUMPRODUCT((('CASE MASTER'!$T$2:$T$495=13)*('CASE MASTER'!$AA$2:$AA$495&lt;=2)*('CASE MASTER'!$AC$2:$AC$495&gt;=2)*('CASE MASTER'!$AB$2:$AB$495&lt;=10)*('CASE MASTER'!$AD$2:$AD$495&gt;=10))*ROW('CASE MASTER'!$T$2:$T$495))-(ROW('CASE MASTER'!#REF!)-1)))+((2-INDEX('CASE MASTER'!$AA$2:$AA$495,(SUMPRODUCT((('CASE MASTER'!$T$2:$T$495=13)*('CASE MASTER'!$AA$2:$AA$495&lt;=2)*('CASE MASTER'!$AC$2:$AC$495&gt;=2)*('CASE MASTER'!$AB$2:$AB$495&lt;=10)*('CASE MASTER'!$AD$2:$AD$495&gt;=10))*ROW('CASE MASTER'!$T$2:$T$495))-(ROW('CASE MASTER'!#REF!)-1))))*(INDEX('CASE MASTER'!$AD$2:$AD$495,(SUMPRODUCT((('CASE MASTER'!$T$2:$T$495=13)*('CASE MASTER'!$AA$2:$AA$495&lt;=2)*('CASE MASTER'!$AC$2:$AC$495&gt;=2)*('CASE MASTER'!$AB$2:$AB$495&lt;=10)*('CASE MASTER'!$AD$2:$AD$495&gt;=10))*ROW('CASE MASTER'!$T$2:$T$495))-(ROW('CASE MASTER'!#REF!)-1)))-INDEX('CASE MASTER'!$AB$2:$AB$495,(SUMPRODUCT((('CASE MASTER'!$T$2:$T$495=13)*('CASE MASTER'!$AA$2:$AA$495&lt;=2)*('CASE MASTER'!$AC$2:$AC$495&gt;=2)*('CASE MASTER'!$AB$2:$AB$495&lt;=10)*('CASE MASTER'!$AD$2:$AD$495&gt;=10))*ROW('CASE MASTER'!$T$2:$T$495))-(ROW('CASE MASTER'!#REF!)-1)))+1)+(10-INDEX('CASE MASTER'!$AB$2:$AB$495,(SUMPRODUCT((('CASE MASTER'!$T$2:$T$495=13)*('CASE MASTER'!$AA$2:$AA$495&lt;=2)*('CASE MASTER'!$AC$2:$AC$495&gt;=2)*('CASE MASTER'!$AB$2:$AB$495&lt;=10)*('CASE MASTER'!$AD$2:$AD$495&gt;=10))*ROW('CASE MASTER'!$T$2:$T$495))-(ROW('CASE MASTER'!#REF!)-1))))+1)))-1)*50+1,50))&amp;"_"&amp;INDEX('CASE MASTER'!$Q$2:$Q$495,(SUMPRODUCT((('CASE MASTER'!$T$2:$T$495=13)*('CASE MASTER'!$AA$2:$AA$495&lt;=2)*('CASE MASTER'!$AC$2:$AC$495&gt;=2)*('CASE MASTER'!$AB$2:$AB$495&lt;=10)*('CASE MASTER'!$AD$2:$AD$495&gt;=10))*ROW('CASE MASTER'!$T$2:$T$495))-(ROW('CASE MASTER'!#REF!)-1))),"")),"")</f>
        <v/>
      </c>
    </row>
    <row r="173" spans="1:11" ht="15" customHeight="1" x14ac:dyDescent="0.35">
      <c r="A173" s="8" t="s">
        <v>30</v>
      </c>
      <c r="B173" s="10" t="str">
        <f>IFERROR(IF(SUMPRODUCT((('CASE MASTER'!$T$2:$T$495=13)*('CASE MASTER'!$U$2:$U$495&lt;=3)*('CASE MASTER'!$W$2:$W$495&gt;=3)*('CASE MASTER'!$V$2:$V$495&lt;=1)*('CASE MASTER'!$X$2:$X$495&gt;=1))*ROW('CASE MASTER'!$T$2:$T$495))&gt;0,INDEX('CASE MASTER'!$Y$2:$Y$495,(SUMPRODUCT((('CASE MASTER'!$T$2:$T$495=13)*('CASE MASTER'!$U$2:$U$495&lt;=3)*('CASE MASTER'!$W$2:$W$495&gt;=3)*('CASE MASTER'!$V$2:$V$495&lt;=1)*('CASE MASTER'!$X$2:$X$495&gt;=1))*ROW('CASE MASTER'!$T$2:$T$495))-(ROW('CASE MASTER'!#REF!)-1)))&amp;TRIM(MID(SUBSTITUTE(SUBSTITUTE(INDEX('CASE MASTER'!$N$2:$N$495,(SUMPRODUCT((('CASE MASTER'!$T$2:$T$495=13)*('CASE MASTER'!$U$2:$U$495&lt;=3)*('CASE MASTER'!$W$2:$W$495&gt;=3)*('CASE MASTER'!$V$2:$V$495&lt;=1)*('CASE MASTER'!$X$2:$X$495&gt;=1))*ROW('CASE MASTER'!$T$2:$T$495))-(ROW('CASE MASTER'!#REF!)-1))),":",","),",",REPT(" ",50)),((((3-INDEX('CASE MASTER'!$U$2:$U$495,(SUMPRODUCT((('CASE MASTER'!$T$2:$T$495=13)*('CASE MASTER'!$U$2:$U$495&lt;=3)*('CASE MASTER'!$W$2:$W$495&gt;=3)*('CASE MASTER'!$V$2:$V$495&lt;=1)*('CASE MASTER'!$X$2:$X$495&gt;=1))*ROW('CASE MASTER'!$T$2:$T$495))-(ROW('CASE MASTER'!#REF!)-1))))*(INDEX('CASE MASTER'!$X$2:$X$495,(SUMPRODUCT((('CASE MASTER'!$T$2:$T$495=13)*('CASE MASTER'!$U$2:$U$495&lt;=3)*('CASE MASTER'!$W$2:$W$495&gt;=3)*('CASE MASTER'!$V$2:$V$495&lt;=1)*('CASE MASTER'!$X$2:$X$495&gt;=1))*ROW('CASE MASTER'!$T$2:$T$495))-(ROW('CASE MASTER'!#REF!)-1)))-INDEX('CASE MASTER'!$V$2:$V$495,(SUMPRODUCT((('CASE MASTER'!$T$2:$T$495=13)*('CASE MASTER'!$U$2:$U$495&lt;=3)*('CASE MASTER'!$W$2:$W$495&gt;=3)*('CASE MASTER'!$V$2:$V$495&lt;=1)*('CASE MASTER'!$X$2:$X$495&gt;=1))*ROW('CASE MASTER'!$T$2:$T$495))-(ROW('CASE MASTER'!#REF!)-1)))+1)+(1-INDEX('CASE MASTER'!$V$2:$V$495,(SUMPRODUCT((('CASE MASTER'!$T$2:$T$495=13)*('CASE MASTER'!$U$2:$U$495&lt;=3)*('CASE MASTER'!$W$2:$W$495&gt;=3)*('CASE MASTER'!$V$2:$V$495&lt;=1)*('CASE MASTER'!$X$2:$X$495&gt;=1))*ROW('CASE MASTER'!$T$2:$T$495))-(ROW('CASE MASTER'!#REF!)-1))))+1))-1)*50+1,50))&amp;"_"&amp;INDEX('CASE MASTER'!$Q$2:$Q$495,(SUMPRODUCT((('CASE MASTER'!$T$2:$T$495=13)*('CASE MASTER'!$U$2:$U$495&lt;=3)*('CASE MASTER'!$W$2:$W$495&gt;=3)*('CASE MASTER'!$V$2:$V$495&lt;=1)*('CASE MASTER'!$X$2:$X$495&gt;=1))*ROW('CASE MASTER'!$T$2:$T$495))-(ROW('CASE MASTER'!#REF!)-1))),IF(SUMPRODUCT((('CASE MASTER'!$T$2:$T$495=13)*('CASE MASTER'!$AA$2:$AA$495&lt;=3)*('CASE MASTER'!$AC$2:$AC$495&gt;=3)*('CASE MASTER'!$AB$2:$AB$495&lt;=1)*('CASE MASTER'!$AD$2:$AD$495&gt;=1))*ROW('CASE MASTER'!$T$2:$T$495))&gt;0,INDEX('CASE MASTER'!$Y$2:$Y$495,(SUMPRODUCT((('CASE MASTER'!$T$2:$T$495=13)*('CASE MASTER'!$AA$2:$AA$495&lt;=3)*('CASE MASTER'!$AC$2:$AC$495&gt;=3)*('CASE MASTER'!$AB$2:$AB$495&lt;=1)*('CASE MASTER'!$AD$2:$AD$495&gt;=1))*ROW('CASE MASTER'!$T$2:$T$495))-(ROW('CASE MASTER'!#REF!)-1)))&amp;TRIM(MID(SUBSTITUTE(SUBSTITUTE(INDEX('CASE MASTER'!$N$2:$N$495,(SUMPRODUCT((('CASE MASTER'!$T$2:$T$495=13)*('CASE MASTER'!$AA$2:$AA$495&lt;=3)*('CASE MASTER'!$AC$2:$AC$495&gt;=3)*('CASE MASTER'!$AB$2:$AB$495&lt;=1)*('CASE MASTER'!$AD$2:$AD$495&gt;=1))*ROW('CASE MASTER'!$T$2:$T$495))-(ROW('CASE MASTER'!#REF!)-1))),":",","),",",REPT(" ",50)),(((INDEX('CASE MASTER'!$Z$2:$Z$495,(SUMPRODUCT((('CASE MASTER'!$T$2:$T$495=13)*('CASE MASTER'!$AA$2:$AA$495&lt;=3)*('CASE MASTER'!$AC$2:$AC$495&gt;=3)*('CASE MASTER'!$AB$2:$AB$495&lt;=1)*('CASE MASTER'!$AD$2:$AD$495&gt;=1))*ROW('CASE MASTER'!$T$2:$T$495))-(ROW('CASE MASTER'!#REF!)-1)))+((3-INDEX('CASE MASTER'!$AA$2:$AA$495,(SUMPRODUCT((('CASE MASTER'!$T$2:$T$495=13)*('CASE MASTER'!$AA$2:$AA$495&lt;=3)*('CASE MASTER'!$AC$2:$AC$495&gt;=3)*('CASE MASTER'!$AB$2:$AB$495&lt;=1)*('CASE MASTER'!$AD$2:$AD$495&gt;=1))*ROW('CASE MASTER'!$T$2:$T$495))-(ROW('CASE MASTER'!#REF!)-1))))*(INDEX('CASE MASTER'!$AD$2:$AD$495,(SUMPRODUCT((('CASE MASTER'!$T$2:$T$495=13)*('CASE MASTER'!$AA$2:$AA$495&lt;=3)*('CASE MASTER'!$AC$2:$AC$495&gt;=3)*('CASE MASTER'!$AB$2:$AB$495&lt;=1)*('CASE MASTER'!$AD$2:$AD$495&gt;=1))*ROW('CASE MASTER'!$T$2:$T$495))-(ROW('CASE MASTER'!#REF!)-1)))-INDEX('CASE MASTER'!$AB$2:$AB$495,(SUMPRODUCT((('CASE MASTER'!$T$2:$T$495=13)*('CASE MASTER'!$AA$2:$AA$495&lt;=3)*('CASE MASTER'!$AC$2:$AC$495&gt;=3)*('CASE MASTER'!$AB$2:$AB$495&lt;=1)*('CASE MASTER'!$AD$2:$AD$495&gt;=1))*ROW('CASE MASTER'!$T$2:$T$495))-(ROW('CASE MASTER'!#REF!)-1)))+1)+(1-INDEX('CASE MASTER'!$AB$2:$AB$495,(SUMPRODUCT((('CASE MASTER'!$T$2:$T$495=13)*('CASE MASTER'!$AA$2:$AA$495&lt;=3)*('CASE MASTER'!$AC$2:$AC$495&gt;=3)*('CASE MASTER'!$AB$2:$AB$495&lt;=1)*('CASE MASTER'!$AD$2:$AD$495&gt;=1))*ROW('CASE MASTER'!$T$2:$T$495))-(ROW('CASE MASTER'!#REF!)-1))))+1)))-1)*50+1,50))&amp;"_"&amp;INDEX('CASE MASTER'!$Q$2:$Q$495,(SUMPRODUCT((('CASE MASTER'!$T$2:$T$495=13)*('CASE MASTER'!$AA$2:$AA$495&lt;=3)*('CASE MASTER'!$AC$2:$AC$495&gt;=3)*('CASE MASTER'!$AB$2:$AB$495&lt;=1)*('CASE MASTER'!$AD$2:$AD$495&gt;=1))*ROW('CASE MASTER'!$T$2:$T$495))-(ROW('CASE MASTER'!#REF!)-1))),"")),"")</f>
        <v/>
      </c>
      <c r="C173" s="10" t="str">
        <f>IFERROR(IF(SUMPRODUCT((('CASE MASTER'!$T$2:$T$495=13)*('CASE MASTER'!$U$2:$U$495&lt;=3)*('CASE MASTER'!$W$2:$W$495&gt;=3)*('CASE MASTER'!$V$2:$V$495&lt;=2)*('CASE MASTER'!$X$2:$X$495&gt;=2))*ROW('CASE MASTER'!$T$2:$T$495))&gt;0,INDEX('CASE MASTER'!$Y$2:$Y$495,(SUMPRODUCT((('CASE MASTER'!$T$2:$T$495=13)*('CASE MASTER'!$U$2:$U$495&lt;=3)*('CASE MASTER'!$W$2:$W$495&gt;=3)*('CASE MASTER'!$V$2:$V$495&lt;=2)*('CASE MASTER'!$X$2:$X$495&gt;=2))*ROW('CASE MASTER'!$T$2:$T$495))-(ROW('CASE MASTER'!#REF!)-1)))&amp;TRIM(MID(SUBSTITUTE(SUBSTITUTE(INDEX('CASE MASTER'!$N$2:$N$495,(SUMPRODUCT((('CASE MASTER'!$T$2:$T$495=13)*('CASE MASTER'!$U$2:$U$495&lt;=3)*('CASE MASTER'!$W$2:$W$495&gt;=3)*('CASE MASTER'!$V$2:$V$495&lt;=2)*('CASE MASTER'!$X$2:$X$495&gt;=2))*ROW('CASE MASTER'!$T$2:$T$495))-(ROW('CASE MASTER'!#REF!)-1))),":",","),",",REPT(" ",50)),((((3-INDEX('CASE MASTER'!$U$2:$U$495,(SUMPRODUCT((('CASE MASTER'!$T$2:$T$495=13)*('CASE MASTER'!$U$2:$U$495&lt;=3)*('CASE MASTER'!$W$2:$W$495&gt;=3)*('CASE MASTER'!$V$2:$V$495&lt;=2)*('CASE MASTER'!$X$2:$X$495&gt;=2))*ROW('CASE MASTER'!$T$2:$T$495))-(ROW('CASE MASTER'!#REF!)-1))))*(INDEX('CASE MASTER'!$X$2:$X$495,(SUMPRODUCT((('CASE MASTER'!$T$2:$T$495=13)*('CASE MASTER'!$U$2:$U$495&lt;=3)*('CASE MASTER'!$W$2:$W$495&gt;=3)*('CASE MASTER'!$V$2:$V$495&lt;=2)*('CASE MASTER'!$X$2:$X$495&gt;=2))*ROW('CASE MASTER'!$T$2:$T$495))-(ROW('CASE MASTER'!#REF!)-1)))-INDEX('CASE MASTER'!$V$2:$V$495,(SUMPRODUCT((('CASE MASTER'!$T$2:$T$495=13)*('CASE MASTER'!$U$2:$U$495&lt;=3)*('CASE MASTER'!$W$2:$W$495&gt;=3)*('CASE MASTER'!$V$2:$V$495&lt;=2)*('CASE MASTER'!$X$2:$X$495&gt;=2))*ROW('CASE MASTER'!$T$2:$T$495))-(ROW('CASE MASTER'!#REF!)-1)))+1)+(2-INDEX('CASE MASTER'!$V$2:$V$495,(SUMPRODUCT((('CASE MASTER'!$T$2:$T$495=13)*('CASE MASTER'!$U$2:$U$495&lt;=3)*('CASE MASTER'!$W$2:$W$495&gt;=3)*('CASE MASTER'!$V$2:$V$495&lt;=2)*('CASE MASTER'!$X$2:$X$495&gt;=2))*ROW('CASE MASTER'!$T$2:$T$495))-(ROW('CASE MASTER'!#REF!)-1))))+1))-1)*50+1,50))&amp;"_"&amp;INDEX('CASE MASTER'!$Q$2:$Q$495,(SUMPRODUCT((('CASE MASTER'!$T$2:$T$495=13)*('CASE MASTER'!$U$2:$U$495&lt;=3)*('CASE MASTER'!$W$2:$W$495&gt;=3)*('CASE MASTER'!$V$2:$V$495&lt;=2)*('CASE MASTER'!$X$2:$X$495&gt;=2))*ROW('CASE MASTER'!$T$2:$T$495))-(ROW('CASE MASTER'!#REF!)-1))),IF(SUMPRODUCT((('CASE MASTER'!$T$2:$T$495=13)*('CASE MASTER'!$AA$2:$AA$495&lt;=3)*('CASE MASTER'!$AC$2:$AC$495&gt;=3)*('CASE MASTER'!$AB$2:$AB$495&lt;=2)*('CASE MASTER'!$AD$2:$AD$495&gt;=2))*ROW('CASE MASTER'!$T$2:$T$495))&gt;0,INDEX('CASE MASTER'!$Y$2:$Y$495,(SUMPRODUCT((('CASE MASTER'!$T$2:$T$495=13)*('CASE MASTER'!$AA$2:$AA$495&lt;=3)*('CASE MASTER'!$AC$2:$AC$495&gt;=3)*('CASE MASTER'!$AB$2:$AB$495&lt;=2)*('CASE MASTER'!$AD$2:$AD$495&gt;=2))*ROW('CASE MASTER'!$T$2:$T$495))-(ROW('CASE MASTER'!#REF!)-1)))&amp;TRIM(MID(SUBSTITUTE(SUBSTITUTE(INDEX('CASE MASTER'!$N$2:$N$495,(SUMPRODUCT((('CASE MASTER'!$T$2:$T$495=13)*('CASE MASTER'!$AA$2:$AA$495&lt;=3)*('CASE MASTER'!$AC$2:$AC$495&gt;=3)*('CASE MASTER'!$AB$2:$AB$495&lt;=2)*('CASE MASTER'!$AD$2:$AD$495&gt;=2))*ROW('CASE MASTER'!$T$2:$T$495))-(ROW('CASE MASTER'!#REF!)-1))),":",","),",",REPT(" ",50)),(((INDEX('CASE MASTER'!$Z$2:$Z$495,(SUMPRODUCT((('CASE MASTER'!$T$2:$T$495=13)*('CASE MASTER'!$AA$2:$AA$495&lt;=3)*('CASE MASTER'!$AC$2:$AC$495&gt;=3)*('CASE MASTER'!$AB$2:$AB$495&lt;=2)*('CASE MASTER'!$AD$2:$AD$495&gt;=2))*ROW('CASE MASTER'!$T$2:$T$495))-(ROW('CASE MASTER'!#REF!)-1)))+((3-INDEX('CASE MASTER'!$AA$2:$AA$495,(SUMPRODUCT((('CASE MASTER'!$T$2:$T$495=13)*('CASE MASTER'!$AA$2:$AA$495&lt;=3)*('CASE MASTER'!$AC$2:$AC$495&gt;=3)*('CASE MASTER'!$AB$2:$AB$495&lt;=2)*('CASE MASTER'!$AD$2:$AD$495&gt;=2))*ROW('CASE MASTER'!$T$2:$T$495))-(ROW('CASE MASTER'!#REF!)-1))))*(INDEX('CASE MASTER'!$AD$2:$AD$495,(SUMPRODUCT((('CASE MASTER'!$T$2:$T$495=13)*('CASE MASTER'!$AA$2:$AA$495&lt;=3)*('CASE MASTER'!$AC$2:$AC$495&gt;=3)*('CASE MASTER'!$AB$2:$AB$495&lt;=2)*('CASE MASTER'!$AD$2:$AD$495&gt;=2))*ROW('CASE MASTER'!$T$2:$T$495))-(ROW('CASE MASTER'!#REF!)-1)))-INDEX('CASE MASTER'!$AB$2:$AB$495,(SUMPRODUCT((('CASE MASTER'!$T$2:$T$495=13)*('CASE MASTER'!$AA$2:$AA$495&lt;=3)*('CASE MASTER'!$AC$2:$AC$495&gt;=3)*('CASE MASTER'!$AB$2:$AB$495&lt;=2)*('CASE MASTER'!$AD$2:$AD$495&gt;=2))*ROW('CASE MASTER'!$T$2:$T$495))-(ROW('CASE MASTER'!#REF!)-1)))+1)+(2-INDEX('CASE MASTER'!$AB$2:$AB$495,(SUMPRODUCT((('CASE MASTER'!$T$2:$T$495=13)*('CASE MASTER'!$AA$2:$AA$495&lt;=3)*('CASE MASTER'!$AC$2:$AC$495&gt;=3)*('CASE MASTER'!$AB$2:$AB$495&lt;=2)*('CASE MASTER'!$AD$2:$AD$495&gt;=2))*ROW('CASE MASTER'!$T$2:$T$495))-(ROW('CASE MASTER'!#REF!)-1))))+1)))-1)*50+1,50))&amp;"_"&amp;INDEX('CASE MASTER'!$Q$2:$Q$495,(SUMPRODUCT((('CASE MASTER'!$T$2:$T$495=13)*('CASE MASTER'!$AA$2:$AA$495&lt;=3)*('CASE MASTER'!$AC$2:$AC$495&gt;=3)*('CASE MASTER'!$AB$2:$AB$495&lt;=2)*('CASE MASTER'!$AD$2:$AD$495&gt;=2))*ROW('CASE MASTER'!$T$2:$T$495))-(ROW('CASE MASTER'!#REF!)-1))),"")),"")</f>
        <v/>
      </c>
      <c r="D173" s="10" t="str">
        <f>IFERROR(IF(SUMPRODUCT((('CASE MASTER'!$T$2:$T$495=13)*('CASE MASTER'!$U$2:$U$495&lt;=3)*('CASE MASTER'!$W$2:$W$495&gt;=3)*('CASE MASTER'!$V$2:$V$495&lt;=3)*('CASE MASTER'!$X$2:$X$495&gt;=3))*ROW('CASE MASTER'!$T$2:$T$495))&gt;0,INDEX('CASE MASTER'!$Y$2:$Y$495,(SUMPRODUCT((('CASE MASTER'!$T$2:$T$495=13)*('CASE MASTER'!$U$2:$U$495&lt;=3)*('CASE MASTER'!$W$2:$W$495&gt;=3)*('CASE MASTER'!$V$2:$V$495&lt;=3)*('CASE MASTER'!$X$2:$X$495&gt;=3))*ROW('CASE MASTER'!$T$2:$T$495))-(ROW('CASE MASTER'!#REF!)-1)))&amp;TRIM(MID(SUBSTITUTE(SUBSTITUTE(INDEX('CASE MASTER'!$N$2:$N$495,(SUMPRODUCT((('CASE MASTER'!$T$2:$T$495=13)*('CASE MASTER'!$U$2:$U$495&lt;=3)*('CASE MASTER'!$W$2:$W$495&gt;=3)*('CASE MASTER'!$V$2:$V$495&lt;=3)*('CASE MASTER'!$X$2:$X$495&gt;=3))*ROW('CASE MASTER'!$T$2:$T$495))-(ROW('CASE MASTER'!#REF!)-1))),":",","),",",REPT(" ",50)),((((3-INDEX('CASE MASTER'!$U$2:$U$495,(SUMPRODUCT((('CASE MASTER'!$T$2:$T$495=13)*('CASE MASTER'!$U$2:$U$495&lt;=3)*('CASE MASTER'!$W$2:$W$495&gt;=3)*('CASE MASTER'!$V$2:$V$495&lt;=3)*('CASE MASTER'!$X$2:$X$495&gt;=3))*ROW('CASE MASTER'!$T$2:$T$495))-(ROW('CASE MASTER'!#REF!)-1))))*(INDEX('CASE MASTER'!$X$2:$X$495,(SUMPRODUCT((('CASE MASTER'!$T$2:$T$495=13)*('CASE MASTER'!$U$2:$U$495&lt;=3)*('CASE MASTER'!$W$2:$W$495&gt;=3)*('CASE MASTER'!$V$2:$V$495&lt;=3)*('CASE MASTER'!$X$2:$X$495&gt;=3))*ROW('CASE MASTER'!$T$2:$T$495))-(ROW('CASE MASTER'!#REF!)-1)))-INDEX('CASE MASTER'!$V$2:$V$495,(SUMPRODUCT((('CASE MASTER'!$T$2:$T$495=13)*('CASE MASTER'!$U$2:$U$495&lt;=3)*('CASE MASTER'!$W$2:$W$495&gt;=3)*('CASE MASTER'!$V$2:$V$495&lt;=3)*('CASE MASTER'!$X$2:$X$495&gt;=3))*ROW('CASE MASTER'!$T$2:$T$495))-(ROW('CASE MASTER'!#REF!)-1)))+1)+(3-INDEX('CASE MASTER'!$V$2:$V$495,(SUMPRODUCT((('CASE MASTER'!$T$2:$T$495=13)*('CASE MASTER'!$U$2:$U$495&lt;=3)*('CASE MASTER'!$W$2:$W$495&gt;=3)*('CASE MASTER'!$V$2:$V$495&lt;=3)*('CASE MASTER'!$X$2:$X$495&gt;=3))*ROW('CASE MASTER'!$T$2:$T$495))-(ROW('CASE MASTER'!#REF!)-1))))+1))-1)*50+1,50))&amp;"_"&amp;INDEX('CASE MASTER'!$Q$2:$Q$495,(SUMPRODUCT((('CASE MASTER'!$T$2:$T$495=13)*('CASE MASTER'!$U$2:$U$495&lt;=3)*('CASE MASTER'!$W$2:$W$495&gt;=3)*('CASE MASTER'!$V$2:$V$495&lt;=3)*('CASE MASTER'!$X$2:$X$495&gt;=3))*ROW('CASE MASTER'!$T$2:$T$495))-(ROW('CASE MASTER'!#REF!)-1))),IF(SUMPRODUCT((('CASE MASTER'!$T$2:$T$495=13)*('CASE MASTER'!$AA$2:$AA$495&lt;=3)*('CASE MASTER'!$AC$2:$AC$495&gt;=3)*('CASE MASTER'!$AB$2:$AB$495&lt;=3)*('CASE MASTER'!$AD$2:$AD$495&gt;=3))*ROW('CASE MASTER'!$T$2:$T$495))&gt;0,INDEX('CASE MASTER'!$Y$2:$Y$495,(SUMPRODUCT((('CASE MASTER'!$T$2:$T$495=13)*('CASE MASTER'!$AA$2:$AA$495&lt;=3)*('CASE MASTER'!$AC$2:$AC$495&gt;=3)*('CASE MASTER'!$AB$2:$AB$495&lt;=3)*('CASE MASTER'!$AD$2:$AD$495&gt;=3))*ROW('CASE MASTER'!$T$2:$T$495))-(ROW('CASE MASTER'!#REF!)-1)))&amp;TRIM(MID(SUBSTITUTE(SUBSTITUTE(INDEX('CASE MASTER'!$N$2:$N$495,(SUMPRODUCT((('CASE MASTER'!$T$2:$T$495=13)*('CASE MASTER'!$AA$2:$AA$495&lt;=3)*('CASE MASTER'!$AC$2:$AC$495&gt;=3)*('CASE MASTER'!$AB$2:$AB$495&lt;=3)*('CASE MASTER'!$AD$2:$AD$495&gt;=3))*ROW('CASE MASTER'!$T$2:$T$495))-(ROW('CASE MASTER'!#REF!)-1))),":",","),",",REPT(" ",50)),(((INDEX('CASE MASTER'!$Z$2:$Z$495,(SUMPRODUCT((('CASE MASTER'!$T$2:$T$495=13)*('CASE MASTER'!$AA$2:$AA$495&lt;=3)*('CASE MASTER'!$AC$2:$AC$495&gt;=3)*('CASE MASTER'!$AB$2:$AB$495&lt;=3)*('CASE MASTER'!$AD$2:$AD$495&gt;=3))*ROW('CASE MASTER'!$T$2:$T$495))-(ROW('CASE MASTER'!#REF!)-1)))+((3-INDEX('CASE MASTER'!$AA$2:$AA$495,(SUMPRODUCT((('CASE MASTER'!$T$2:$T$495=13)*('CASE MASTER'!$AA$2:$AA$495&lt;=3)*('CASE MASTER'!$AC$2:$AC$495&gt;=3)*('CASE MASTER'!$AB$2:$AB$495&lt;=3)*('CASE MASTER'!$AD$2:$AD$495&gt;=3))*ROW('CASE MASTER'!$T$2:$T$495))-(ROW('CASE MASTER'!#REF!)-1))))*(INDEX('CASE MASTER'!$AD$2:$AD$495,(SUMPRODUCT((('CASE MASTER'!$T$2:$T$495=13)*('CASE MASTER'!$AA$2:$AA$495&lt;=3)*('CASE MASTER'!$AC$2:$AC$495&gt;=3)*('CASE MASTER'!$AB$2:$AB$495&lt;=3)*('CASE MASTER'!$AD$2:$AD$495&gt;=3))*ROW('CASE MASTER'!$T$2:$T$495))-(ROW('CASE MASTER'!#REF!)-1)))-INDEX('CASE MASTER'!$AB$2:$AB$495,(SUMPRODUCT((('CASE MASTER'!$T$2:$T$495=13)*('CASE MASTER'!$AA$2:$AA$495&lt;=3)*('CASE MASTER'!$AC$2:$AC$495&gt;=3)*('CASE MASTER'!$AB$2:$AB$495&lt;=3)*('CASE MASTER'!$AD$2:$AD$495&gt;=3))*ROW('CASE MASTER'!$T$2:$T$495))-(ROW('CASE MASTER'!#REF!)-1)))+1)+(3-INDEX('CASE MASTER'!$AB$2:$AB$495,(SUMPRODUCT((('CASE MASTER'!$T$2:$T$495=13)*('CASE MASTER'!$AA$2:$AA$495&lt;=3)*('CASE MASTER'!$AC$2:$AC$495&gt;=3)*('CASE MASTER'!$AB$2:$AB$495&lt;=3)*('CASE MASTER'!$AD$2:$AD$495&gt;=3))*ROW('CASE MASTER'!$T$2:$T$495))-(ROW('CASE MASTER'!#REF!)-1))))+1)))-1)*50+1,50))&amp;"_"&amp;INDEX('CASE MASTER'!$Q$2:$Q$495,(SUMPRODUCT((('CASE MASTER'!$T$2:$T$495=13)*('CASE MASTER'!$AA$2:$AA$495&lt;=3)*('CASE MASTER'!$AC$2:$AC$495&gt;=3)*('CASE MASTER'!$AB$2:$AB$495&lt;=3)*('CASE MASTER'!$AD$2:$AD$495&gt;=3))*ROW('CASE MASTER'!$T$2:$T$495))-(ROW('CASE MASTER'!#REF!)-1))),"")),"")</f>
        <v/>
      </c>
      <c r="E173" s="10" t="str">
        <f>IFERROR(IF(SUMPRODUCT((('CASE MASTER'!$T$2:$T$495=13)*('CASE MASTER'!$U$2:$U$495&lt;=3)*('CASE MASTER'!$W$2:$W$495&gt;=3)*('CASE MASTER'!$V$2:$V$495&lt;=4)*('CASE MASTER'!$X$2:$X$495&gt;=4))*ROW('CASE MASTER'!$T$2:$T$495))&gt;0,INDEX('CASE MASTER'!$Y$2:$Y$495,(SUMPRODUCT((('CASE MASTER'!$T$2:$T$495=13)*('CASE MASTER'!$U$2:$U$495&lt;=3)*('CASE MASTER'!$W$2:$W$495&gt;=3)*('CASE MASTER'!$V$2:$V$495&lt;=4)*('CASE MASTER'!$X$2:$X$495&gt;=4))*ROW('CASE MASTER'!$T$2:$T$495))-(ROW('CASE MASTER'!#REF!)-1)))&amp;TRIM(MID(SUBSTITUTE(SUBSTITUTE(INDEX('CASE MASTER'!$N$2:$N$495,(SUMPRODUCT((('CASE MASTER'!$T$2:$T$495=13)*('CASE MASTER'!$U$2:$U$495&lt;=3)*('CASE MASTER'!$W$2:$W$495&gt;=3)*('CASE MASTER'!$V$2:$V$495&lt;=4)*('CASE MASTER'!$X$2:$X$495&gt;=4))*ROW('CASE MASTER'!$T$2:$T$495))-(ROW('CASE MASTER'!#REF!)-1))),":",","),",",REPT(" ",50)),((((3-INDEX('CASE MASTER'!$U$2:$U$495,(SUMPRODUCT((('CASE MASTER'!$T$2:$T$495=13)*('CASE MASTER'!$U$2:$U$495&lt;=3)*('CASE MASTER'!$W$2:$W$495&gt;=3)*('CASE MASTER'!$V$2:$V$495&lt;=4)*('CASE MASTER'!$X$2:$X$495&gt;=4))*ROW('CASE MASTER'!$T$2:$T$495))-(ROW('CASE MASTER'!#REF!)-1))))*(INDEX('CASE MASTER'!$X$2:$X$495,(SUMPRODUCT((('CASE MASTER'!$T$2:$T$495=13)*('CASE MASTER'!$U$2:$U$495&lt;=3)*('CASE MASTER'!$W$2:$W$495&gt;=3)*('CASE MASTER'!$V$2:$V$495&lt;=4)*('CASE MASTER'!$X$2:$X$495&gt;=4))*ROW('CASE MASTER'!$T$2:$T$495))-(ROW('CASE MASTER'!#REF!)-1)))-INDEX('CASE MASTER'!$V$2:$V$495,(SUMPRODUCT((('CASE MASTER'!$T$2:$T$495=13)*('CASE MASTER'!$U$2:$U$495&lt;=3)*('CASE MASTER'!$W$2:$W$495&gt;=3)*('CASE MASTER'!$V$2:$V$495&lt;=4)*('CASE MASTER'!$X$2:$X$495&gt;=4))*ROW('CASE MASTER'!$T$2:$T$495))-(ROW('CASE MASTER'!#REF!)-1)))+1)+(4-INDEX('CASE MASTER'!$V$2:$V$495,(SUMPRODUCT((('CASE MASTER'!$T$2:$T$495=13)*('CASE MASTER'!$U$2:$U$495&lt;=3)*('CASE MASTER'!$W$2:$W$495&gt;=3)*('CASE MASTER'!$V$2:$V$495&lt;=4)*('CASE MASTER'!$X$2:$X$495&gt;=4))*ROW('CASE MASTER'!$T$2:$T$495))-(ROW('CASE MASTER'!#REF!)-1))))+1))-1)*50+1,50))&amp;"_"&amp;INDEX('CASE MASTER'!$Q$2:$Q$495,(SUMPRODUCT((('CASE MASTER'!$T$2:$T$495=13)*('CASE MASTER'!$U$2:$U$495&lt;=3)*('CASE MASTER'!$W$2:$W$495&gt;=3)*('CASE MASTER'!$V$2:$V$495&lt;=4)*('CASE MASTER'!$X$2:$X$495&gt;=4))*ROW('CASE MASTER'!$T$2:$T$495))-(ROW('CASE MASTER'!#REF!)-1))),IF(SUMPRODUCT((('CASE MASTER'!$T$2:$T$495=13)*('CASE MASTER'!$AA$2:$AA$495&lt;=3)*('CASE MASTER'!$AC$2:$AC$495&gt;=3)*('CASE MASTER'!$AB$2:$AB$495&lt;=4)*('CASE MASTER'!$AD$2:$AD$495&gt;=4))*ROW('CASE MASTER'!$T$2:$T$495))&gt;0,INDEX('CASE MASTER'!$Y$2:$Y$495,(SUMPRODUCT((('CASE MASTER'!$T$2:$T$495=13)*('CASE MASTER'!$AA$2:$AA$495&lt;=3)*('CASE MASTER'!$AC$2:$AC$495&gt;=3)*('CASE MASTER'!$AB$2:$AB$495&lt;=4)*('CASE MASTER'!$AD$2:$AD$495&gt;=4))*ROW('CASE MASTER'!$T$2:$T$495))-(ROW('CASE MASTER'!#REF!)-1)))&amp;TRIM(MID(SUBSTITUTE(SUBSTITUTE(INDEX('CASE MASTER'!$N$2:$N$495,(SUMPRODUCT((('CASE MASTER'!$T$2:$T$495=13)*('CASE MASTER'!$AA$2:$AA$495&lt;=3)*('CASE MASTER'!$AC$2:$AC$495&gt;=3)*('CASE MASTER'!$AB$2:$AB$495&lt;=4)*('CASE MASTER'!$AD$2:$AD$495&gt;=4))*ROW('CASE MASTER'!$T$2:$T$495))-(ROW('CASE MASTER'!#REF!)-1))),":",","),",",REPT(" ",50)),(((INDEX('CASE MASTER'!$Z$2:$Z$495,(SUMPRODUCT((('CASE MASTER'!$T$2:$T$495=13)*('CASE MASTER'!$AA$2:$AA$495&lt;=3)*('CASE MASTER'!$AC$2:$AC$495&gt;=3)*('CASE MASTER'!$AB$2:$AB$495&lt;=4)*('CASE MASTER'!$AD$2:$AD$495&gt;=4))*ROW('CASE MASTER'!$T$2:$T$495))-(ROW('CASE MASTER'!#REF!)-1)))+((3-INDEX('CASE MASTER'!$AA$2:$AA$495,(SUMPRODUCT((('CASE MASTER'!$T$2:$T$495=13)*('CASE MASTER'!$AA$2:$AA$495&lt;=3)*('CASE MASTER'!$AC$2:$AC$495&gt;=3)*('CASE MASTER'!$AB$2:$AB$495&lt;=4)*('CASE MASTER'!$AD$2:$AD$495&gt;=4))*ROW('CASE MASTER'!$T$2:$T$495))-(ROW('CASE MASTER'!#REF!)-1))))*(INDEX('CASE MASTER'!$AD$2:$AD$495,(SUMPRODUCT((('CASE MASTER'!$T$2:$T$495=13)*('CASE MASTER'!$AA$2:$AA$495&lt;=3)*('CASE MASTER'!$AC$2:$AC$495&gt;=3)*('CASE MASTER'!$AB$2:$AB$495&lt;=4)*('CASE MASTER'!$AD$2:$AD$495&gt;=4))*ROW('CASE MASTER'!$T$2:$T$495))-(ROW('CASE MASTER'!#REF!)-1)))-INDEX('CASE MASTER'!$AB$2:$AB$495,(SUMPRODUCT((('CASE MASTER'!$T$2:$T$495=13)*('CASE MASTER'!$AA$2:$AA$495&lt;=3)*('CASE MASTER'!$AC$2:$AC$495&gt;=3)*('CASE MASTER'!$AB$2:$AB$495&lt;=4)*('CASE MASTER'!$AD$2:$AD$495&gt;=4))*ROW('CASE MASTER'!$T$2:$T$495))-(ROW('CASE MASTER'!#REF!)-1)))+1)+(4-INDEX('CASE MASTER'!$AB$2:$AB$495,(SUMPRODUCT((('CASE MASTER'!$T$2:$T$495=13)*('CASE MASTER'!$AA$2:$AA$495&lt;=3)*('CASE MASTER'!$AC$2:$AC$495&gt;=3)*('CASE MASTER'!$AB$2:$AB$495&lt;=4)*('CASE MASTER'!$AD$2:$AD$495&gt;=4))*ROW('CASE MASTER'!$T$2:$T$495))-(ROW('CASE MASTER'!#REF!)-1))))+1)))-1)*50+1,50))&amp;"_"&amp;INDEX('CASE MASTER'!$Q$2:$Q$495,(SUMPRODUCT((('CASE MASTER'!$T$2:$T$495=13)*('CASE MASTER'!$AA$2:$AA$495&lt;=3)*('CASE MASTER'!$AC$2:$AC$495&gt;=3)*('CASE MASTER'!$AB$2:$AB$495&lt;=4)*('CASE MASTER'!$AD$2:$AD$495&gt;=4))*ROW('CASE MASTER'!$T$2:$T$495))-(ROW('CASE MASTER'!#REF!)-1))),"")),"")</f>
        <v/>
      </c>
      <c r="F173" s="10" t="str">
        <f>IFERROR(IF(SUMPRODUCT((('CASE MASTER'!$T$2:$T$495=13)*('CASE MASTER'!$U$2:$U$495&lt;=3)*('CASE MASTER'!$W$2:$W$495&gt;=3)*('CASE MASTER'!$V$2:$V$495&lt;=5)*('CASE MASTER'!$X$2:$X$495&gt;=5))*ROW('CASE MASTER'!$T$2:$T$495))&gt;0,INDEX('CASE MASTER'!$Y$2:$Y$495,(SUMPRODUCT((('CASE MASTER'!$T$2:$T$495=13)*('CASE MASTER'!$U$2:$U$495&lt;=3)*('CASE MASTER'!$W$2:$W$495&gt;=3)*('CASE MASTER'!$V$2:$V$495&lt;=5)*('CASE MASTER'!$X$2:$X$495&gt;=5))*ROW('CASE MASTER'!$T$2:$T$495))-(ROW('CASE MASTER'!#REF!)-1)))&amp;TRIM(MID(SUBSTITUTE(SUBSTITUTE(INDEX('CASE MASTER'!$N$2:$N$495,(SUMPRODUCT((('CASE MASTER'!$T$2:$T$495=13)*('CASE MASTER'!$U$2:$U$495&lt;=3)*('CASE MASTER'!$W$2:$W$495&gt;=3)*('CASE MASTER'!$V$2:$V$495&lt;=5)*('CASE MASTER'!$X$2:$X$495&gt;=5))*ROW('CASE MASTER'!$T$2:$T$495))-(ROW('CASE MASTER'!#REF!)-1))),":",","),",",REPT(" ",50)),((((3-INDEX('CASE MASTER'!$U$2:$U$495,(SUMPRODUCT((('CASE MASTER'!$T$2:$T$495=13)*('CASE MASTER'!$U$2:$U$495&lt;=3)*('CASE MASTER'!$W$2:$W$495&gt;=3)*('CASE MASTER'!$V$2:$V$495&lt;=5)*('CASE MASTER'!$X$2:$X$495&gt;=5))*ROW('CASE MASTER'!$T$2:$T$495))-(ROW('CASE MASTER'!#REF!)-1))))*(INDEX('CASE MASTER'!$X$2:$X$495,(SUMPRODUCT((('CASE MASTER'!$T$2:$T$495=13)*('CASE MASTER'!$U$2:$U$495&lt;=3)*('CASE MASTER'!$W$2:$W$495&gt;=3)*('CASE MASTER'!$V$2:$V$495&lt;=5)*('CASE MASTER'!$X$2:$X$495&gt;=5))*ROW('CASE MASTER'!$T$2:$T$495))-(ROW('CASE MASTER'!#REF!)-1)))-INDEX('CASE MASTER'!$V$2:$V$495,(SUMPRODUCT((('CASE MASTER'!$T$2:$T$495=13)*('CASE MASTER'!$U$2:$U$495&lt;=3)*('CASE MASTER'!$W$2:$W$495&gt;=3)*('CASE MASTER'!$V$2:$V$495&lt;=5)*('CASE MASTER'!$X$2:$X$495&gt;=5))*ROW('CASE MASTER'!$T$2:$T$495))-(ROW('CASE MASTER'!#REF!)-1)))+1)+(5-INDEX('CASE MASTER'!$V$2:$V$495,(SUMPRODUCT((('CASE MASTER'!$T$2:$T$495=13)*('CASE MASTER'!$U$2:$U$495&lt;=3)*('CASE MASTER'!$W$2:$W$495&gt;=3)*('CASE MASTER'!$V$2:$V$495&lt;=5)*('CASE MASTER'!$X$2:$X$495&gt;=5))*ROW('CASE MASTER'!$T$2:$T$495))-(ROW('CASE MASTER'!#REF!)-1))))+1))-1)*50+1,50))&amp;"_"&amp;INDEX('CASE MASTER'!$Q$2:$Q$495,(SUMPRODUCT((('CASE MASTER'!$T$2:$T$495=13)*('CASE MASTER'!$U$2:$U$495&lt;=3)*('CASE MASTER'!$W$2:$W$495&gt;=3)*('CASE MASTER'!$V$2:$V$495&lt;=5)*('CASE MASTER'!$X$2:$X$495&gt;=5))*ROW('CASE MASTER'!$T$2:$T$495))-(ROW('CASE MASTER'!#REF!)-1))),IF(SUMPRODUCT((('CASE MASTER'!$T$2:$T$495=13)*('CASE MASTER'!$AA$2:$AA$495&lt;=3)*('CASE MASTER'!$AC$2:$AC$495&gt;=3)*('CASE MASTER'!$AB$2:$AB$495&lt;=5)*('CASE MASTER'!$AD$2:$AD$495&gt;=5))*ROW('CASE MASTER'!$T$2:$T$495))&gt;0,INDEX('CASE MASTER'!$Y$2:$Y$495,(SUMPRODUCT((('CASE MASTER'!$T$2:$T$495=13)*('CASE MASTER'!$AA$2:$AA$495&lt;=3)*('CASE MASTER'!$AC$2:$AC$495&gt;=3)*('CASE MASTER'!$AB$2:$AB$495&lt;=5)*('CASE MASTER'!$AD$2:$AD$495&gt;=5))*ROW('CASE MASTER'!$T$2:$T$495))-(ROW('CASE MASTER'!#REF!)-1)))&amp;TRIM(MID(SUBSTITUTE(SUBSTITUTE(INDEX('CASE MASTER'!$N$2:$N$495,(SUMPRODUCT((('CASE MASTER'!$T$2:$T$495=13)*('CASE MASTER'!$AA$2:$AA$495&lt;=3)*('CASE MASTER'!$AC$2:$AC$495&gt;=3)*('CASE MASTER'!$AB$2:$AB$495&lt;=5)*('CASE MASTER'!$AD$2:$AD$495&gt;=5))*ROW('CASE MASTER'!$T$2:$T$495))-(ROW('CASE MASTER'!#REF!)-1))),":",","),",",REPT(" ",50)),(((INDEX('CASE MASTER'!$Z$2:$Z$495,(SUMPRODUCT((('CASE MASTER'!$T$2:$T$495=13)*('CASE MASTER'!$AA$2:$AA$495&lt;=3)*('CASE MASTER'!$AC$2:$AC$495&gt;=3)*('CASE MASTER'!$AB$2:$AB$495&lt;=5)*('CASE MASTER'!$AD$2:$AD$495&gt;=5))*ROW('CASE MASTER'!$T$2:$T$495))-(ROW('CASE MASTER'!#REF!)-1)))+((3-INDEX('CASE MASTER'!$AA$2:$AA$495,(SUMPRODUCT((('CASE MASTER'!$T$2:$T$495=13)*('CASE MASTER'!$AA$2:$AA$495&lt;=3)*('CASE MASTER'!$AC$2:$AC$495&gt;=3)*('CASE MASTER'!$AB$2:$AB$495&lt;=5)*('CASE MASTER'!$AD$2:$AD$495&gt;=5))*ROW('CASE MASTER'!$T$2:$T$495))-(ROW('CASE MASTER'!#REF!)-1))))*(INDEX('CASE MASTER'!$AD$2:$AD$495,(SUMPRODUCT((('CASE MASTER'!$T$2:$T$495=13)*('CASE MASTER'!$AA$2:$AA$495&lt;=3)*('CASE MASTER'!$AC$2:$AC$495&gt;=3)*('CASE MASTER'!$AB$2:$AB$495&lt;=5)*('CASE MASTER'!$AD$2:$AD$495&gt;=5))*ROW('CASE MASTER'!$T$2:$T$495))-(ROW('CASE MASTER'!#REF!)-1)))-INDEX('CASE MASTER'!$AB$2:$AB$495,(SUMPRODUCT((('CASE MASTER'!$T$2:$T$495=13)*('CASE MASTER'!$AA$2:$AA$495&lt;=3)*('CASE MASTER'!$AC$2:$AC$495&gt;=3)*('CASE MASTER'!$AB$2:$AB$495&lt;=5)*('CASE MASTER'!$AD$2:$AD$495&gt;=5))*ROW('CASE MASTER'!$T$2:$T$495))-(ROW('CASE MASTER'!#REF!)-1)))+1)+(5-INDEX('CASE MASTER'!$AB$2:$AB$495,(SUMPRODUCT((('CASE MASTER'!$T$2:$T$495=13)*('CASE MASTER'!$AA$2:$AA$495&lt;=3)*('CASE MASTER'!$AC$2:$AC$495&gt;=3)*('CASE MASTER'!$AB$2:$AB$495&lt;=5)*('CASE MASTER'!$AD$2:$AD$495&gt;=5))*ROW('CASE MASTER'!$T$2:$T$495))-(ROW('CASE MASTER'!#REF!)-1))))+1)))-1)*50+1,50))&amp;"_"&amp;INDEX('CASE MASTER'!$Q$2:$Q$495,(SUMPRODUCT((('CASE MASTER'!$T$2:$T$495=13)*('CASE MASTER'!$AA$2:$AA$495&lt;=3)*('CASE MASTER'!$AC$2:$AC$495&gt;=3)*('CASE MASTER'!$AB$2:$AB$495&lt;=5)*('CASE MASTER'!$AD$2:$AD$495&gt;=5))*ROW('CASE MASTER'!$T$2:$T$495))-(ROW('CASE MASTER'!#REF!)-1))),"")),"")</f>
        <v/>
      </c>
      <c r="G173" s="10" t="str">
        <f>IFERROR(IF(SUMPRODUCT((('CASE MASTER'!$T$2:$T$495=13)*('CASE MASTER'!$U$2:$U$495&lt;=3)*('CASE MASTER'!$W$2:$W$495&gt;=3)*('CASE MASTER'!$V$2:$V$495&lt;=6)*('CASE MASTER'!$X$2:$X$495&gt;=6))*ROW('CASE MASTER'!$T$2:$T$495))&gt;0,INDEX('CASE MASTER'!$Y$2:$Y$495,(SUMPRODUCT((('CASE MASTER'!$T$2:$T$495=13)*('CASE MASTER'!$U$2:$U$495&lt;=3)*('CASE MASTER'!$W$2:$W$495&gt;=3)*('CASE MASTER'!$V$2:$V$495&lt;=6)*('CASE MASTER'!$X$2:$X$495&gt;=6))*ROW('CASE MASTER'!$T$2:$T$495))-(ROW('CASE MASTER'!#REF!)-1)))&amp;TRIM(MID(SUBSTITUTE(SUBSTITUTE(INDEX('CASE MASTER'!$N$2:$N$495,(SUMPRODUCT((('CASE MASTER'!$T$2:$T$495=13)*('CASE MASTER'!$U$2:$U$495&lt;=3)*('CASE MASTER'!$W$2:$W$495&gt;=3)*('CASE MASTER'!$V$2:$V$495&lt;=6)*('CASE MASTER'!$X$2:$X$495&gt;=6))*ROW('CASE MASTER'!$T$2:$T$495))-(ROW('CASE MASTER'!#REF!)-1))),":",","),",",REPT(" ",50)),((((3-INDEX('CASE MASTER'!$U$2:$U$495,(SUMPRODUCT((('CASE MASTER'!$T$2:$T$495=13)*('CASE MASTER'!$U$2:$U$495&lt;=3)*('CASE MASTER'!$W$2:$W$495&gt;=3)*('CASE MASTER'!$V$2:$V$495&lt;=6)*('CASE MASTER'!$X$2:$X$495&gt;=6))*ROW('CASE MASTER'!$T$2:$T$495))-(ROW('CASE MASTER'!#REF!)-1))))*(INDEX('CASE MASTER'!$X$2:$X$495,(SUMPRODUCT((('CASE MASTER'!$T$2:$T$495=13)*('CASE MASTER'!$U$2:$U$495&lt;=3)*('CASE MASTER'!$W$2:$W$495&gt;=3)*('CASE MASTER'!$V$2:$V$495&lt;=6)*('CASE MASTER'!$X$2:$X$495&gt;=6))*ROW('CASE MASTER'!$T$2:$T$495))-(ROW('CASE MASTER'!#REF!)-1)))-INDEX('CASE MASTER'!$V$2:$V$495,(SUMPRODUCT((('CASE MASTER'!$T$2:$T$495=13)*('CASE MASTER'!$U$2:$U$495&lt;=3)*('CASE MASTER'!$W$2:$W$495&gt;=3)*('CASE MASTER'!$V$2:$V$495&lt;=6)*('CASE MASTER'!$X$2:$X$495&gt;=6))*ROW('CASE MASTER'!$T$2:$T$495))-(ROW('CASE MASTER'!#REF!)-1)))+1)+(6-INDEX('CASE MASTER'!$V$2:$V$495,(SUMPRODUCT((('CASE MASTER'!$T$2:$T$495=13)*('CASE MASTER'!$U$2:$U$495&lt;=3)*('CASE MASTER'!$W$2:$W$495&gt;=3)*('CASE MASTER'!$V$2:$V$495&lt;=6)*('CASE MASTER'!$X$2:$X$495&gt;=6))*ROW('CASE MASTER'!$T$2:$T$495))-(ROW('CASE MASTER'!#REF!)-1))))+1))-1)*50+1,50))&amp;"_"&amp;INDEX('CASE MASTER'!$Q$2:$Q$495,(SUMPRODUCT((('CASE MASTER'!$T$2:$T$495=13)*('CASE MASTER'!$U$2:$U$495&lt;=3)*('CASE MASTER'!$W$2:$W$495&gt;=3)*('CASE MASTER'!$V$2:$V$495&lt;=6)*('CASE MASTER'!$X$2:$X$495&gt;=6))*ROW('CASE MASTER'!$T$2:$T$495))-(ROW('CASE MASTER'!#REF!)-1))),IF(SUMPRODUCT((('CASE MASTER'!$T$2:$T$495=13)*('CASE MASTER'!$AA$2:$AA$495&lt;=3)*('CASE MASTER'!$AC$2:$AC$495&gt;=3)*('CASE MASTER'!$AB$2:$AB$495&lt;=6)*('CASE MASTER'!$AD$2:$AD$495&gt;=6))*ROW('CASE MASTER'!$T$2:$T$495))&gt;0,INDEX('CASE MASTER'!$Y$2:$Y$495,(SUMPRODUCT((('CASE MASTER'!$T$2:$T$495=13)*('CASE MASTER'!$AA$2:$AA$495&lt;=3)*('CASE MASTER'!$AC$2:$AC$495&gt;=3)*('CASE MASTER'!$AB$2:$AB$495&lt;=6)*('CASE MASTER'!$AD$2:$AD$495&gt;=6))*ROW('CASE MASTER'!$T$2:$T$495))-(ROW('CASE MASTER'!#REF!)-1)))&amp;TRIM(MID(SUBSTITUTE(SUBSTITUTE(INDEX('CASE MASTER'!$N$2:$N$495,(SUMPRODUCT((('CASE MASTER'!$T$2:$T$495=13)*('CASE MASTER'!$AA$2:$AA$495&lt;=3)*('CASE MASTER'!$AC$2:$AC$495&gt;=3)*('CASE MASTER'!$AB$2:$AB$495&lt;=6)*('CASE MASTER'!$AD$2:$AD$495&gt;=6))*ROW('CASE MASTER'!$T$2:$T$495))-(ROW('CASE MASTER'!#REF!)-1))),":",","),",",REPT(" ",50)),(((INDEX('CASE MASTER'!$Z$2:$Z$495,(SUMPRODUCT((('CASE MASTER'!$T$2:$T$495=13)*('CASE MASTER'!$AA$2:$AA$495&lt;=3)*('CASE MASTER'!$AC$2:$AC$495&gt;=3)*('CASE MASTER'!$AB$2:$AB$495&lt;=6)*('CASE MASTER'!$AD$2:$AD$495&gt;=6))*ROW('CASE MASTER'!$T$2:$T$495))-(ROW('CASE MASTER'!#REF!)-1)))+((3-INDEX('CASE MASTER'!$AA$2:$AA$495,(SUMPRODUCT((('CASE MASTER'!$T$2:$T$495=13)*('CASE MASTER'!$AA$2:$AA$495&lt;=3)*('CASE MASTER'!$AC$2:$AC$495&gt;=3)*('CASE MASTER'!$AB$2:$AB$495&lt;=6)*('CASE MASTER'!$AD$2:$AD$495&gt;=6))*ROW('CASE MASTER'!$T$2:$T$495))-(ROW('CASE MASTER'!#REF!)-1))))*(INDEX('CASE MASTER'!$AD$2:$AD$495,(SUMPRODUCT((('CASE MASTER'!$T$2:$T$495=13)*('CASE MASTER'!$AA$2:$AA$495&lt;=3)*('CASE MASTER'!$AC$2:$AC$495&gt;=3)*('CASE MASTER'!$AB$2:$AB$495&lt;=6)*('CASE MASTER'!$AD$2:$AD$495&gt;=6))*ROW('CASE MASTER'!$T$2:$T$495))-(ROW('CASE MASTER'!#REF!)-1)))-INDEX('CASE MASTER'!$AB$2:$AB$495,(SUMPRODUCT((('CASE MASTER'!$T$2:$T$495=13)*('CASE MASTER'!$AA$2:$AA$495&lt;=3)*('CASE MASTER'!$AC$2:$AC$495&gt;=3)*('CASE MASTER'!$AB$2:$AB$495&lt;=6)*('CASE MASTER'!$AD$2:$AD$495&gt;=6))*ROW('CASE MASTER'!$T$2:$T$495))-(ROW('CASE MASTER'!#REF!)-1)))+1)+(6-INDEX('CASE MASTER'!$AB$2:$AB$495,(SUMPRODUCT((('CASE MASTER'!$T$2:$T$495=13)*('CASE MASTER'!$AA$2:$AA$495&lt;=3)*('CASE MASTER'!$AC$2:$AC$495&gt;=3)*('CASE MASTER'!$AB$2:$AB$495&lt;=6)*('CASE MASTER'!$AD$2:$AD$495&gt;=6))*ROW('CASE MASTER'!$T$2:$T$495))-(ROW('CASE MASTER'!#REF!)-1))))+1)))-1)*50+1,50))&amp;"_"&amp;INDEX('CASE MASTER'!$Q$2:$Q$495,(SUMPRODUCT((('CASE MASTER'!$T$2:$T$495=13)*('CASE MASTER'!$AA$2:$AA$495&lt;=3)*('CASE MASTER'!$AC$2:$AC$495&gt;=3)*('CASE MASTER'!$AB$2:$AB$495&lt;=6)*('CASE MASTER'!$AD$2:$AD$495&gt;=6))*ROW('CASE MASTER'!$T$2:$T$495))-(ROW('CASE MASTER'!#REF!)-1))),"")),"")</f>
        <v/>
      </c>
      <c r="H173" s="10" t="str">
        <f>IFERROR(IF(SUMPRODUCT((('CASE MASTER'!$T$2:$T$495=13)*('CASE MASTER'!$U$2:$U$495&lt;=3)*('CASE MASTER'!$W$2:$W$495&gt;=3)*('CASE MASTER'!$V$2:$V$495&lt;=7)*('CASE MASTER'!$X$2:$X$495&gt;=7))*ROW('CASE MASTER'!$T$2:$T$495))&gt;0,INDEX('CASE MASTER'!$Y$2:$Y$495,(SUMPRODUCT((('CASE MASTER'!$T$2:$T$495=13)*('CASE MASTER'!$U$2:$U$495&lt;=3)*('CASE MASTER'!$W$2:$W$495&gt;=3)*('CASE MASTER'!$V$2:$V$495&lt;=7)*('CASE MASTER'!$X$2:$X$495&gt;=7))*ROW('CASE MASTER'!$T$2:$T$495))-(ROW('CASE MASTER'!#REF!)-1)))&amp;TRIM(MID(SUBSTITUTE(SUBSTITUTE(INDEX('CASE MASTER'!$N$2:$N$495,(SUMPRODUCT((('CASE MASTER'!$T$2:$T$495=13)*('CASE MASTER'!$U$2:$U$495&lt;=3)*('CASE MASTER'!$W$2:$W$495&gt;=3)*('CASE MASTER'!$V$2:$V$495&lt;=7)*('CASE MASTER'!$X$2:$X$495&gt;=7))*ROW('CASE MASTER'!$T$2:$T$495))-(ROW('CASE MASTER'!#REF!)-1))),":",","),",",REPT(" ",50)),((((3-INDEX('CASE MASTER'!$U$2:$U$495,(SUMPRODUCT((('CASE MASTER'!$T$2:$T$495=13)*('CASE MASTER'!$U$2:$U$495&lt;=3)*('CASE MASTER'!$W$2:$W$495&gt;=3)*('CASE MASTER'!$V$2:$V$495&lt;=7)*('CASE MASTER'!$X$2:$X$495&gt;=7))*ROW('CASE MASTER'!$T$2:$T$495))-(ROW('CASE MASTER'!#REF!)-1))))*(INDEX('CASE MASTER'!$X$2:$X$495,(SUMPRODUCT((('CASE MASTER'!$T$2:$T$495=13)*('CASE MASTER'!$U$2:$U$495&lt;=3)*('CASE MASTER'!$W$2:$W$495&gt;=3)*('CASE MASTER'!$V$2:$V$495&lt;=7)*('CASE MASTER'!$X$2:$X$495&gt;=7))*ROW('CASE MASTER'!$T$2:$T$495))-(ROW('CASE MASTER'!#REF!)-1)))-INDEX('CASE MASTER'!$V$2:$V$495,(SUMPRODUCT((('CASE MASTER'!$T$2:$T$495=13)*('CASE MASTER'!$U$2:$U$495&lt;=3)*('CASE MASTER'!$W$2:$W$495&gt;=3)*('CASE MASTER'!$V$2:$V$495&lt;=7)*('CASE MASTER'!$X$2:$X$495&gt;=7))*ROW('CASE MASTER'!$T$2:$T$495))-(ROW('CASE MASTER'!#REF!)-1)))+1)+(7-INDEX('CASE MASTER'!$V$2:$V$495,(SUMPRODUCT((('CASE MASTER'!$T$2:$T$495=13)*('CASE MASTER'!$U$2:$U$495&lt;=3)*('CASE MASTER'!$W$2:$W$495&gt;=3)*('CASE MASTER'!$V$2:$V$495&lt;=7)*('CASE MASTER'!$X$2:$X$495&gt;=7))*ROW('CASE MASTER'!$T$2:$T$495))-(ROW('CASE MASTER'!#REF!)-1))))+1))-1)*50+1,50))&amp;"_"&amp;INDEX('CASE MASTER'!$Q$2:$Q$495,(SUMPRODUCT((('CASE MASTER'!$T$2:$T$495=13)*('CASE MASTER'!$U$2:$U$495&lt;=3)*('CASE MASTER'!$W$2:$W$495&gt;=3)*('CASE MASTER'!$V$2:$V$495&lt;=7)*('CASE MASTER'!$X$2:$X$495&gt;=7))*ROW('CASE MASTER'!$T$2:$T$495))-(ROW('CASE MASTER'!#REF!)-1))),IF(SUMPRODUCT((('CASE MASTER'!$T$2:$T$495=13)*('CASE MASTER'!$AA$2:$AA$495&lt;=3)*('CASE MASTER'!$AC$2:$AC$495&gt;=3)*('CASE MASTER'!$AB$2:$AB$495&lt;=7)*('CASE MASTER'!$AD$2:$AD$495&gt;=7))*ROW('CASE MASTER'!$T$2:$T$495))&gt;0,INDEX('CASE MASTER'!$Y$2:$Y$495,(SUMPRODUCT((('CASE MASTER'!$T$2:$T$495=13)*('CASE MASTER'!$AA$2:$AA$495&lt;=3)*('CASE MASTER'!$AC$2:$AC$495&gt;=3)*('CASE MASTER'!$AB$2:$AB$495&lt;=7)*('CASE MASTER'!$AD$2:$AD$495&gt;=7))*ROW('CASE MASTER'!$T$2:$T$495))-(ROW('CASE MASTER'!#REF!)-1)))&amp;TRIM(MID(SUBSTITUTE(SUBSTITUTE(INDEX('CASE MASTER'!$N$2:$N$495,(SUMPRODUCT((('CASE MASTER'!$T$2:$T$495=13)*('CASE MASTER'!$AA$2:$AA$495&lt;=3)*('CASE MASTER'!$AC$2:$AC$495&gt;=3)*('CASE MASTER'!$AB$2:$AB$495&lt;=7)*('CASE MASTER'!$AD$2:$AD$495&gt;=7))*ROW('CASE MASTER'!$T$2:$T$495))-(ROW('CASE MASTER'!#REF!)-1))),":",","),",",REPT(" ",50)),(((INDEX('CASE MASTER'!$Z$2:$Z$495,(SUMPRODUCT((('CASE MASTER'!$T$2:$T$495=13)*('CASE MASTER'!$AA$2:$AA$495&lt;=3)*('CASE MASTER'!$AC$2:$AC$495&gt;=3)*('CASE MASTER'!$AB$2:$AB$495&lt;=7)*('CASE MASTER'!$AD$2:$AD$495&gt;=7))*ROW('CASE MASTER'!$T$2:$T$495))-(ROW('CASE MASTER'!#REF!)-1)))+((3-INDEX('CASE MASTER'!$AA$2:$AA$495,(SUMPRODUCT((('CASE MASTER'!$T$2:$T$495=13)*('CASE MASTER'!$AA$2:$AA$495&lt;=3)*('CASE MASTER'!$AC$2:$AC$495&gt;=3)*('CASE MASTER'!$AB$2:$AB$495&lt;=7)*('CASE MASTER'!$AD$2:$AD$495&gt;=7))*ROW('CASE MASTER'!$T$2:$T$495))-(ROW('CASE MASTER'!#REF!)-1))))*(INDEX('CASE MASTER'!$AD$2:$AD$495,(SUMPRODUCT((('CASE MASTER'!$T$2:$T$495=13)*('CASE MASTER'!$AA$2:$AA$495&lt;=3)*('CASE MASTER'!$AC$2:$AC$495&gt;=3)*('CASE MASTER'!$AB$2:$AB$495&lt;=7)*('CASE MASTER'!$AD$2:$AD$495&gt;=7))*ROW('CASE MASTER'!$T$2:$T$495))-(ROW('CASE MASTER'!#REF!)-1)))-INDEX('CASE MASTER'!$AB$2:$AB$495,(SUMPRODUCT((('CASE MASTER'!$T$2:$T$495=13)*('CASE MASTER'!$AA$2:$AA$495&lt;=3)*('CASE MASTER'!$AC$2:$AC$495&gt;=3)*('CASE MASTER'!$AB$2:$AB$495&lt;=7)*('CASE MASTER'!$AD$2:$AD$495&gt;=7))*ROW('CASE MASTER'!$T$2:$T$495))-(ROW('CASE MASTER'!#REF!)-1)))+1)+(7-INDEX('CASE MASTER'!$AB$2:$AB$495,(SUMPRODUCT((('CASE MASTER'!$T$2:$T$495=13)*('CASE MASTER'!$AA$2:$AA$495&lt;=3)*('CASE MASTER'!$AC$2:$AC$495&gt;=3)*('CASE MASTER'!$AB$2:$AB$495&lt;=7)*('CASE MASTER'!$AD$2:$AD$495&gt;=7))*ROW('CASE MASTER'!$T$2:$T$495))-(ROW('CASE MASTER'!#REF!)-1))))+1)))-1)*50+1,50))&amp;"_"&amp;INDEX('CASE MASTER'!$Q$2:$Q$495,(SUMPRODUCT((('CASE MASTER'!$T$2:$T$495=13)*('CASE MASTER'!$AA$2:$AA$495&lt;=3)*('CASE MASTER'!$AC$2:$AC$495&gt;=3)*('CASE MASTER'!$AB$2:$AB$495&lt;=7)*('CASE MASTER'!$AD$2:$AD$495&gt;=7))*ROW('CASE MASTER'!$T$2:$T$495))-(ROW('CASE MASTER'!#REF!)-1))),"")),"")</f>
        <v/>
      </c>
      <c r="I173" s="10" t="str">
        <f>IFERROR(IF(SUMPRODUCT((('CASE MASTER'!$T$2:$T$495=13)*('CASE MASTER'!$U$2:$U$495&lt;=3)*('CASE MASTER'!$W$2:$W$495&gt;=3)*('CASE MASTER'!$V$2:$V$495&lt;=8)*('CASE MASTER'!$X$2:$X$495&gt;=8))*ROW('CASE MASTER'!$T$2:$T$495))&gt;0,INDEX('CASE MASTER'!$Y$2:$Y$495,(SUMPRODUCT((('CASE MASTER'!$T$2:$T$495=13)*('CASE MASTER'!$U$2:$U$495&lt;=3)*('CASE MASTER'!$W$2:$W$495&gt;=3)*('CASE MASTER'!$V$2:$V$495&lt;=8)*('CASE MASTER'!$X$2:$X$495&gt;=8))*ROW('CASE MASTER'!$T$2:$T$495))-(ROW('CASE MASTER'!#REF!)-1)))&amp;TRIM(MID(SUBSTITUTE(SUBSTITUTE(INDEX('CASE MASTER'!$N$2:$N$495,(SUMPRODUCT((('CASE MASTER'!$T$2:$T$495=13)*('CASE MASTER'!$U$2:$U$495&lt;=3)*('CASE MASTER'!$W$2:$W$495&gt;=3)*('CASE MASTER'!$V$2:$V$495&lt;=8)*('CASE MASTER'!$X$2:$X$495&gt;=8))*ROW('CASE MASTER'!$T$2:$T$495))-(ROW('CASE MASTER'!#REF!)-1))),":",","),",",REPT(" ",50)),((((3-INDEX('CASE MASTER'!$U$2:$U$495,(SUMPRODUCT((('CASE MASTER'!$T$2:$T$495=13)*('CASE MASTER'!$U$2:$U$495&lt;=3)*('CASE MASTER'!$W$2:$W$495&gt;=3)*('CASE MASTER'!$V$2:$V$495&lt;=8)*('CASE MASTER'!$X$2:$X$495&gt;=8))*ROW('CASE MASTER'!$T$2:$T$495))-(ROW('CASE MASTER'!#REF!)-1))))*(INDEX('CASE MASTER'!$X$2:$X$495,(SUMPRODUCT((('CASE MASTER'!$T$2:$T$495=13)*('CASE MASTER'!$U$2:$U$495&lt;=3)*('CASE MASTER'!$W$2:$W$495&gt;=3)*('CASE MASTER'!$V$2:$V$495&lt;=8)*('CASE MASTER'!$X$2:$X$495&gt;=8))*ROW('CASE MASTER'!$T$2:$T$495))-(ROW('CASE MASTER'!#REF!)-1)))-INDEX('CASE MASTER'!$V$2:$V$495,(SUMPRODUCT((('CASE MASTER'!$T$2:$T$495=13)*('CASE MASTER'!$U$2:$U$495&lt;=3)*('CASE MASTER'!$W$2:$W$495&gt;=3)*('CASE MASTER'!$V$2:$V$495&lt;=8)*('CASE MASTER'!$X$2:$X$495&gt;=8))*ROW('CASE MASTER'!$T$2:$T$495))-(ROW('CASE MASTER'!#REF!)-1)))+1)+(8-INDEX('CASE MASTER'!$V$2:$V$495,(SUMPRODUCT((('CASE MASTER'!$T$2:$T$495=13)*('CASE MASTER'!$U$2:$U$495&lt;=3)*('CASE MASTER'!$W$2:$W$495&gt;=3)*('CASE MASTER'!$V$2:$V$495&lt;=8)*('CASE MASTER'!$X$2:$X$495&gt;=8))*ROW('CASE MASTER'!$T$2:$T$495))-(ROW('CASE MASTER'!#REF!)-1))))+1))-1)*50+1,50))&amp;"_"&amp;INDEX('CASE MASTER'!$Q$2:$Q$495,(SUMPRODUCT((('CASE MASTER'!$T$2:$T$495=13)*('CASE MASTER'!$U$2:$U$495&lt;=3)*('CASE MASTER'!$W$2:$W$495&gt;=3)*('CASE MASTER'!$V$2:$V$495&lt;=8)*('CASE MASTER'!$X$2:$X$495&gt;=8))*ROW('CASE MASTER'!$T$2:$T$495))-(ROW('CASE MASTER'!#REF!)-1))),IF(SUMPRODUCT((('CASE MASTER'!$T$2:$T$495=13)*('CASE MASTER'!$AA$2:$AA$495&lt;=3)*('CASE MASTER'!$AC$2:$AC$495&gt;=3)*('CASE MASTER'!$AB$2:$AB$495&lt;=8)*('CASE MASTER'!$AD$2:$AD$495&gt;=8))*ROW('CASE MASTER'!$T$2:$T$495))&gt;0,INDEX('CASE MASTER'!$Y$2:$Y$495,(SUMPRODUCT((('CASE MASTER'!$T$2:$T$495=13)*('CASE MASTER'!$AA$2:$AA$495&lt;=3)*('CASE MASTER'!$AC$2:$AC$495&gt;=3)*('CASE MASTER'!$AB$2:$AB$495&lt;=8)*('CASE MASTER'!$AD$2:$AD$495&gt;=8))*ROW('CASE MASTER'!$T$2:$T$495))-(ROW('CASE MASTER'!#REF!)-1)))&amp;TRIM(MID(SUBSTITUTE(SUBSTITUTE(INDEX('CASE MASTER'!$N$2:$N$495,(SUMPRODUCT((('CASE MASTER'!$T$2:$T$495=13)*('CASE MASTER'!$AA$2:$AA$495&lt;=3)*('CASE MASTER'!$AC$2:$AC$495&gt;=3)*('CASE MASTER'!$AB$2:$AB$495&lt;=8)*('CASE MASTER'!$AD$2:$AD$495&gt;=8))*ROW('CASE MASTER'!$T$2:$T$495))-(ROW('CASE MASTER'!#REF!)-1))),":",","),",",REPT(" ",50)),(((INDEX('CASE MASTER'!$Z$2:$Z$495,(SUMPRODUCT((('CASE MASTER'!$T$2:$T$495=13)*('CASE MASTER'!$AA$2:$AA$495&lt;=3)*('CASE MASTER'!$AC$2:$AC$495&gt;=3)*('CASE MASTER'!$AB$2:$AB$495&lt;=8)*('CASE MASTER'!$AD$2:$AD$495&gt;=8))*ROW('CASE MASTER'!$T$2:$T$495))-(ROW('CASE MASTER'!#REF!)-1)))+((3-INDEX('CASE MASTER'!$AA$2:$AA$495,(SUMPRODUCT((('CASE MASTER'!$T$2:$T$495=13)*('CASE MASTER'!$AA$2:$AA$495&lt;=3)*('CASE MASTER'!$AC$2:$AC$495&gt;=3)*('CASE MASTER'!$AB$2:$AB$495&lt;=8)*('CASE MASTER'!$AD$2:$AD$495&gt;=8))*ROW('CASE MASTER'!$T$2:$T$495))-(ROW('CASE MASTER'!#REF!)-1))))*(INDEX('CASE MASTER'!$AD$2:$AD$495,(SUMPRODUCT((('CASE MASTER'!$T$2:$T$495=13)*('CASE MASTER'!$AA$2:$AA$495&lt;=3)*('CASE MASTER'!$AC$2:$AC$495&gt;=3)*('CASE MASTER'!$AB$2:$AB$495&lt;=8)*('CASE MASTER'!$AD$2:$AD$495&gt;=8))*ROW('CASE MASTER'!$T$2:$T$495))-(ROW('CASE MASTER'!#REF!)-1)))-INDEX('CASE MASTER'!$AB$2:$AB$495,(SUMPRODUCT((('CASE MASTER'!$T$2:$T$495=13)*('CASE MASTER'!$AA$2:$AA$495&lt;=3)*('CASE MASTER'!$AC$2:$AC$495&gt;=3)*('CASE MASTER'!$AB$2:$AB$495&lt;=8)*('CASE MASTER'!$AD$2:$AD$495&gt;=8))*ROW('CASE MASTER'!$T$2:$T$495))-(ROW('CASE MASTER'!#REF!)-1)))+1)+(8-INDEX('CASE MASTER'!$AB$2:$AB$495,(SUMPRODUCT((('CASE MASTER'!$T$2:$T$495=13)*('CASE MASTER'!$AA$2:$AA$495&lt;=3)*('CASE MASTER'!$AC$2:$AC$495&gt;=3)*('CASE MASTER'!$AB$2:$AB$495&lt;=8)*('CASE MASTER'!$AD$2:$AD$495&gt;=8))*ROW('CASE MASTER'!$T$2:$T$495))-(ROW('CASE MASTER'!#REF!)-1))))+1)))-1)*50+1,50))&amp;"_"&amp;INDEX('CASE MASTER'!$Q$2:$Q$495,(SUMPRODUCT((('CASE MASTER'!$T$2:$T$495=13)*('CASE MASTER'!$AA$2:$AA$495&lt;=3)*('CASE MASTER'!$AC$2:$AC$495&gt;=3)*('CASE MASTER'!$AB$2:$AB$495&lt;=8)*('CASE MASTER'!$AD$2:$AD$495&gt;=8))*ROW('CASE MASTER'!$T$2:$T$495))-(ROW('CASE MASTER'!#REF!)-1))),"")),"")</f>
        <v/>
      </c>
      <c r="J173" s="10" t="str">
        <f>IFERROR(IF(SUMPRODUCT((('CASE MASTER'!$T$2:$T$495=13)*('CASE MASTER'!$U$2:$U$495&lt;=3)*('CASE MASTER'!$W$2:$W$495&gt;=3)*('CASE MASTER'!$V$2:$V$495&lt;=9)*('CASE MASTER'!$X$2:$X$495&gt;=9))*ROW('CASE MASTER'!$T$2:$T$495))&gt;0,INDEX('CASE MASTER'!$Y$2:$Y$495,(SUMPRODUCT((('CASE MASTER'!$T$2:$T$495=13)*('CASE MASTER'!$U$2:$U$495&lt;=3)*('CASE MASTER'!$W$2:$W$495&gt;=3)*('CASE MASTER'!$V$2:$V$495&lt;=9)*('CASE MASTER'!$X$2:$X$495&gt;=9))*ROW('CASE MASTER'!$T$2:$T$495))-(ROW('CASE MASTER'!#REF!)-1)))&amp;TRIM(MID(SUBSTITUTE(SUBSTITUTE(INDEX('CASE MASTER'!$N$2:$N$495,(SUMPRODUCT((('CASE MASTER'!$T$2:$T$495=13)*('CASE MASTER'!$U$2:$U$495&lt;=3)*('CASE MASTER'!$W$2:$W$495&gt;=3)*('CASE MASTER'!$V$2:$V$495&lt;=9)*('CASE MASTER'!$X$2:$X$495&gt;=9))*ROW('CASE MASTER'!$T$2:$T$495))-(ROW('CASE MASTER'!#REF!)-1))),":",","),",",REPT(" ",50)),((((3-INDEX('CASE MASTER'!$U$2:$U$495,(SUMPRODUCT((('CASE MASTER'!$T$2:$T$495=13)*('CASE MASTER'!$U$2:$U$495&lt;=3)*('CASE MASTER'!$W$2:$W$495&gt;=3)*('CASE MASTER'!$V$2:$V$495&lt;=9)*('CASE MASTER'!$X$2:$X$495&gt;=9))*ROW('CASE MASTER'!$T$2:$T$495))-(ROW('CASE MASTER'!#REF!)-1))))*(INDEX('CASE MASTER'!$X$2:$X$495,(SUMPRODUCT((('CASE MASTER'!$T$2:$T$495=13)*('CASE MASTER'!$U$2:$U$495&lt;=3)*('CASE MASTER'!$W$2:$W$495&gt;=3)*('CASE MASTER'!$V$2:$V$495&lt;=9)*('CASE MASTER'!$X$2:$X$495&gt;=9))*ROW('CASE MASTER'!$T$2:$T$495))-(ROW('CASE MASTER'!#REF!)-1)))-INDEX('CASE MASTER'!$V$2:$V$495,(SUMPRODUCT((('CASE MASTER'!$T$2:$T$495=13)*('CASE MASTER'!$U$2:$U$495&lt;=3)*('CASE MASTER'!$W$2:$W$495&gt;=3)*('CASE MASTER'!$V$2:$V$495&lt;=9)*('CASE MASTER'!$X$2:$X$495&gt;=9))*ROW('CASE MASTER'!$T$2:$T$495))-(ROW('CASE MASTER'!#REF!)-1)))+1)+(9-INDEX('CASE MASTER'!$V$2:$V$495,(SUMPRODUCT((('CASE MASTER'!$T$2:$T$495=13)*('CASE MASTER'!$U$2:$U$495&lt;=3)*('CASE MASTER'!$W$2:$W$495&gt;=3)*('CASE MASTER'!$V$2:$V$495&lt;=9)*('CASE MASTER'!$X$2:$X$495&gt;=9))*ROW('CASE MASTER'!$T$2:$T$495))-(ROW('CASE MASTER'!#REF!)-1))))+1))-1)*50+1,50))&amp;"_"&amp;INDEX('CASE MASTER'!$Q$2:$Q$495,(SUMPRODUCT((('CASE MASTER'!$T$2:$T$495=13)*('CASE MASTER'!$U$2:$U$495&lt;=3)*('CASE MASTER'!$W$2:$W$495&gt;=3)*('CASE MASTER'!$V$2:$V$495&lt;=9)*('CASE MASTER'!$X$2:$X$495&gt;=9))*ROW('CASE MASTER'!$T$2:$T$495))-(ROW('CASE MASTER'!#REF!)-1))),IF(SUMPRODUCT((('CASE MASTER'!$T$2:$T$495=13)*('CASE MASTER'!$AA$2:$AA$495&lt;=3)*('CASE MASTER'!$AC$2:$AC$495&gt;=3)*('CASE MASTER'!$AB$2:$AB$495&lt;=9)*('CASE MASTER'!$AD$2:$AD$495&gt;=9))*ROW('CASE MASTER'!$T$2:$T$495))&gt;0,INDEX('CASE MASTER'!$Y$2:$Y$495,(SUMPRODUCT((('CASE MASTER'!$T$2:$T$495=13)*('CASE MASTER'!$AA$2:$AA$495&lt;=3)*('CASE MASTER'!$AC$2:$AC$495&gt;=3)*('CASE MASTER'!$AB$2:$AB$495&lt;=9)*('CASE MASTER'!$AD$2:$AD$495&gt;=9))*ROW('CASE MASTER'!$T$2:$T$495))-(ROW('CASE MASTER'!#REF!)-1)))&amp;TRIM(MID(SUBSTITUTE(SUBSTITUTE(INDEX('CASE MASTER'!$N$2:$N$495,(SUMPRODUCT((('CASE MASTER'!$T$2:$T$495=13)*('CASE MASTER'!$AA$2:$AA$495&lt;=3)*('CASE MASTER'!$AC$2:$AC$495&gt;=3)*('CASE MASTER'!$AB$2:$AB$495&lt;=9)*('CASE MASTER'!$AD$2:$AD$495&gt;=9))*ROW('CASE MASTER'!$T$2:$T$495))-(ROW('CASE MASTER'!#REF!)-1))),":",","),",",REPT(" ",50)),(((INDEX('CASE MASTER'!$Z$2:$Z$495,(SUMPRODUCT((('CASE MASTER'!$T$2:$T$495=13)*('CASE MASTER'!$AA$2:$AA$495&lt;=3)*('CASE MASTER'!$AC$2:$AC$495&gt;=3)*('CASE MASTER'!$AB$2:$AB$495&lt;=9)*('CASE MASTER'!$AD$2:$AD$495&gt;=9))*ROW('CASE MASTER'!$T$2:$T$495))-(ROW('CASE MASTER'!#REF!)-1)))+((3-INDEX('CASE MASTER'!$AA$2:$AA$495,(SUMPRODUCT((('CASE MASTER'!$T$2:$T$495=13)*('CASE MASTER'!$AA$2:$AA$495&lt;=3)*('CASE MASTER'!$AC$2:$AC$495&gt;=3)*('CASE MASTER'!$AB$2:$AB$495&lt;=9)*('CASE MASTER'!$AD$2:$AD$495&gt;=9))*ROW('CASE MASTER'!$T$2:$T$495))-(ROW('CASE MASTER'!#REF!)-1))))*(INDEX('CASE MASTER'!$AD$2:$AD$495,(SUMPRODUCT((('CASE MASTER'!$T$2:$T$495=13)*('CASE MASTER'!$AA$2:$AA$495&lt;=3)*('CASE MASTER'!$AC$2:$AC$495&gt;=3)*('CASE MASTER'!$AB$2:$AB$495&lt;=9)*('CASE MASTER'!$AD$2:$AD$495&gt;=9))*ROW('CASE MASTER'!$T$2:$T$495))-(ROW('CASE MASTER'!#REF!)-1)))-INDEX('CASE MASTER'!$AB$2:$AB$495,(SUMPRODUCT((('CASE MASTER'!$T$2:$T$495=13)*('CASE MASTER'!$AA$2:$AA$495&lt;=3)*('CASE MASTER'!$AC$2:$AC$495&gt;=3)*('CASE MASTER'!$AB$2:$AB$495&lt;=9)*('CASE MASTER'!$AD$2:$AD$495&gt;=9))*ROW('CASE MASTER'!$T$2:$T$495))-(ROW('CASE MASTER'!#REF!)-1)))+1)+(9-INDEX('CASE MASTER'!$AB$2:$AB$495,(SUMPRODUCT((('CASE MASTER'!$T$2:$T$495=13)*('CASE MASTER'!$AA$2:$AA$495&lt;=3)*('CASE MASTER'!$AC$2:$AC$495&gt;=3)*('CASE MASTER'!$AB$2:$AB$495&lt;=9)*('CASE MASTER'!$AD$2:$AD$495&gt;=9))*ROW('CASE MASTER'!$T$2:$T$495))-(ROW('CASE MASTER'!#REF!)-1))))+1)))-1)*50+1,50))&amp;"_"&amp;INDEX('CASE MASTER'!$Q$2:$Q$495,(SUMPRODUCT((('CASE MASTER'!$T$2:$T$495=13)*('CASE MASTER'!$AA$2:$AA$495&lt;=3)*('CASE MASTER'!$AC$2:$AC$495&gt;=3)*('CASE MASTER'!$AB$2:$AB$495&lt;=9)*('CASE MASTER'!$AD$2:$AD$495&gt;=9))*ROW('CASE MASTER'!$T$2:$T$495))-(ROW('CASE MASTER'!#REF!)-1))),"")),"")</f>
        <v/>
      </c>
      <c r="K173" s="10" t="str">
        <f>IFERROR(IF(SUMPRODUCT((('CASE MASTER'!$T$2:$T$495=13)*('CASE MASTER'!$U$2:$U$495&lt;=3)*('CASE MASTER'!$W$2:$W$495&gt;=3)*('CASE MASTER'!$V$2:$V$495&lt;=10)*('CASE MASTER'!$X$2:$X$495&gt;=10))*ROW('CASE MASTER'!$T$2:$T$495))&gt;0,INDEX('CASE MASTER'!$Y$2:$Y$495,(SUMPRODUCT((('CASE MASTER'!$T$2:$T$495=13)*('CASE MASTER'!$U$2:$U$495&lt;=3)*('CASE MASTER'!$W$2:$W$495&gt;=3)*('CASE MASTER'!$V$2:$V$495&lt;=10)*('CASE MASTER'!$X$2:$X$495&gt;=10))*ROW('CASE MASTER'!$T$2:$T$495))-(ROW('CASE MASTER'!#REF!)-1)))&amp;TRIM(MID(SUBSTITUTE(SUBSTITUTE(INDEX('CASE MASTER'!$N$2:$N$495,(SUMPRODUCT((('CASE MASTER'!$T$2:$T$495=13)*('CASE MASTER'!$U$2:$U$495&lt;=3)*('CASE MASTER'!$W$2:$W$495&gt;=3)*('CASE MASTER'!$V$2:$V$495&lt;=10)*('CASE MASTER'!$X$2:$X$495&gt;=10))*ROW('CASE MASTER'!$T$2:$T$495))-(ROW('CASE MASTER'!#REF!)-1))),":",","),",",REPT(" ",50)),((((3-INDEX('CASE MASTER'!$U$2:$U$495,(SUMPRODUCT((('CASE MASTER'!$T$2:$T$495=13)*('CASE MASTER'!$U$2:$U$495&lt;=3)*('CASE MASTER'!$W$2:$W$495&gt;=3)*('CASE MASTER'!$V$2:$V$495&lt;=10)*('CASE MASTER'!$X$2:$X$495&gt;=10))*ROW('CASE MASTER'!$T$2:$T$495))-(ROW('CASE MASTER'!#REF!)-1))))*(INDEX('CASE MASTER'!$X$2:$X$495,(SUMPRODUCT((('CASE MASTER'!$T$2:$T$495=13)*('CASE MASTER'!$U$2:$U$495&lt;=3)*('CASE MASTER'!$W$2:$W$495&gt;=3)*('CASE MASTER'!$V$2:$V$495&lt;=10)*('CASE MASTER'!$X$2:$X$495&gt;=10))*ROW('CASE MASTER'!$T$2:$T$495))-(ROW('CASE MASTER'!#REF!)-1)))-INDEX('CASE MASTER'!$V$2:$V$495,(SUMPRODUCT((('CASE MASTER'!$T$2:$T$495=13)*('CASE MASTER'!$U$2:$U$495&lt;=3)*('CASE MASTER'!$W$2:$W$495&gt;=3)*('CASE MASTER'!$V$2:$V$495&lt;=10)*('CASE MASTER'!$X$2:$X$495&gt;=10))*ROW('CASE MASTER'!$T$2:$T$495))-(ROW('CASE MASTER'!#REF!)-1)))+1)+(10-INDEX('CASE MASTER'!$V$2:$V$495,(SUMPRODUCT((('CASE MASTER'!$T$2:$T$495=13)*('CASE MASTER'!$U$2:$U$495&lt;=3)*('CASE MASTER'!$W$2:$W$495&gt;=3)*('CASE MASTER'!$V$2:$V$495&lt;=10)*('CASE MASTER'!$X$2:$X$495&gt;=10))*ROW('CASE MASTER'!$T$2:$T$495))-(ROW('CASE MASTER'!#REF!)-1))))+1))-1)*50+1,50))&amp;"_"&amp;INDEX('CASE MASTER'!$Q$2:$Q$495,(SUMPRODUCT((('CASE MASTER'!$T$2:$T$495=13)*('CASE MASTER'!$U$2:$U$495&lt;=3)*('CASE MASTER'!$W$2:$W$495&gt;=3)*('CASE MASTER'!$V$2:$V$495&lt;=10)*('CASE MASTER'!$X$2:$X$495&gt;=10))*ROW('CASE MASTER'!$T$2:$T$495))-(ROW('CASE MASTER'!#REF!)-1))),IF(SUMPRODUCT((('CASE MASTER'!$T$2:$T$495=13)*('CASE MASTER'!$AA$2:$AA$495&lt;=3)*('CASE MASTER'!$AC$2:$AC$495&gt;=3)*('CASE MASTER'!$AB$2:$AB$495&lt;=10)*('CASE MASTER'!$AD$2:$AD$495&gt;=10))*ROW('CASE MASTER'!$T$2:$T$495))&gt;0,INDEX('CASE MASTER'!$Y$2:$Y$495,(SUMPRODUCT((('CASE MASTER'!$T$2:$T$495=13)*('CASE MASTER'!$AA$2:$AA$495&lt;=3)*('CASE MASTER'!$AC$2:$AC$495&gt;=3)*('CASE MASTER'!$AB$2:$AB$495&lt;=10)*('CASE MASTER'!$AD$2:$AD$495&gt;=10))*ROW('CASE MASTER'!$T$2:$T$495))-(ROW('CASE MASTER'!#REF!)-1)))&amp;TRIM(MID(SUBSTITUTE(SUBSTITUTE(INDEX('CASE MASTER'!$N$2:$N$495,(SUMPRODUCT((('CASE MASTER'!$T$2:$T$495=13)*('CASE MASTER'!$AA$2:$AA$495&lt;=3)*('CASE MASTER'!$AC$2:$AC$495&gt;=3)*('CASE MASTER'!$AB$2:$AB$495&lt;=10)*('CASE MASTER'!$AD$2:$AD$495&gt;=10))*ROW('CASE MASTER'!$T$2:$T$495))-(ROW('CASE MASTER'!#REF!)-1))),":",","),",",REPT(" ",50)),(((INDEX('CASE MASTER'!$Z$2:$Z$495,(SUMPRODUCT((('CASE MASTER'!$T$2:$T$495=13)*('CASE MASTER'!$AA$2:$AA$495&lt;=3)*('CASE MASTER'!$AC$2:$AC$495&gt;=3)*('CASE MASTER'!$AB$2:$AB$495&lt;=10)*('CASE MASTER'!$AD$2:$AD$495&gt;=10))*ROW('CASE MASTER'!$T$2:$T$495))-(ROW('CASE MASTER'!#REF!)-1)))+((3-INDEX('CASE MASTER'!$AA$2:$AA$495,(SUMPRODUCT((('CASE MASTER'!$T$2:$T$495=13)*('CASE MASTER'!$AA$2:$AA$495&lt;=3)*('CASE MASTER'!$AC$2:$AC$495&gt;=3)*('CASE MASTER'!$AB$2:$AB$495&lt;=10)*('CASE MASTER'!$AD$2:$AD$495&gt;=10))*ROW('CASE MASTER'!$T$2:$T$495))-(ROW('CASE MASTER'!#REF!)-1))))*(INDEX('CASE MASTER'!$AD$2:$AD$495,(SUMPRODUCT((('CASE MASTER'!$T$2:$T$495=13)*('CASE MASTER'!$AA$2:$AA$495&lt;=3)*('CASE MASTER'!$AC$2:$AC$495&gt;=3)*('CASE MASTER'!$AB$2:$AB$495&lt;=10)*('CASE MASTER'!$AD$2:$AD$495&gt;=10))*ROW('CASE MASTER'!$T$2:$T$495))-(ROW('CASE MASTER'!#REF!)-1)))-INDEX('CASE MASTER'!$AB$2:$AB$495,(SUMPRODUCT((('CASE MASTER'!$T$2:$T$495=13)*('CASE MASTER'!$AA$2:$AA$495&lt;=3)*('CASE MASTER'!$AC$2:$AC$495&gt;=3)*('CASE MASTER'!$AB$2:$AB$495&lt;=10)*('CASE MASTER'!$AD$2:$AD$495&gt;=10))*ROW('CASE MASTER'!$T$2:$T$495))-(ROW('CASE MASTER'!#REF!)-1)))+1)+(10-INDEX('CASE MASTER'!$AB$2:$AB$495,(SUMPRODUCT((('CASE MASTER'!$T$2:$T$495=13)*('CASE MASTER'!$AA$2:$AA$495&lt;=3)*('CASE MASTER'!$AC$2:$AC$495&gt;=3)*('CASE MASTER'!$AB$2:$AB$495&lt;=10)*('CASE MASTER'!$AD$2:$AD$495&gt;=10))*ROW('CASE MASTER'!$T$2:$T$495))-(ROW('CASE MASTER'!#REF!)-1))))+1)))-1)*50+1,50))&amp;"_"&amp;INDEX('CASE MASTER'!$Q$2:$Q$495,(SUMPRODUCT((('CASE MASTER'!$T$2:$T$495=13)*('CASE MASTER'!$AA$2:$AA$495&lt;=3)*('CASE MASTER'!$AC$2:$AC$495&gt;=3)*('CASE MASTER'!$AB$2:$AB$495&lt;=10)*('CASE MASTER'!$AD$2:$AD$495&gt;=10))*ROW('CASE MASTER'!$T$2:$T$495))-(ROW('CASE MASTER'!#REF!)-1))),"")),"")</f>
        <v/>
      </c>
    </row>
    <row r="174" spans="1:11" ht="15" customHeight="1" x14ac:dyDescent="0.35">
      <c r="A174" s="8" t="s">
        <v>31</v>
      </c>
      <c r="B174" s="10" t="str">
        <f>IFERROR(IF(SUMPRODUCT((('CASE MASTER'!$T$2:$T$495=13)*('CASE MASTER'!$U$2:$U$495&lt;=4)*('CASE MASTER'!$W$2:$W$495&gt;=4)*('CASE MASTER'!$V$2:$V$495&lt;=1)*('CASE MASTER'!$X$2:$X$495&gt;=1))*ROW('CASE MASTER'!$T$2:$T$495))&gt;0,INDEX('CASE MASTER'!$Y$2:$Y$495,(SUMPRODUCT((('CASE MASTER'!$T$2:$T$495=13)*('CASE MASTER'!$U$2:$U$495&lt;=4)*('CASE MASTER'!$W$2:$W$495&gt;=4)*('CASE MASTER'!$V$2:$V$495&lt;=1)*('CASE MASTER'!$X$2:$X$495&gt;=1))*ROW('CASE MASTER'!$T$2:$T$495))-(ROW('CASE MASTER'!#REF!)-1)))&amp;TRIM(MID(SUBSTITUTE(SUBSTITUTE(INDEX('CASE MASTER'!$N$2:$N$495,(SUMPRODUCT((('CASE MASTER'!$T$2:$T$495=13)*('CASE MASTER'!$U$2:$U$495&lt;=4)*('CASE MASTER'!$W$2:$W$495&gt;=4)*('CASE MASTER'!$V$2:$V$495&lt;=1)*('CASE MASTER'!$X$2:$X$495&gt;=1))*ROW('CASE MASTER'!$T$2:$T$495))-(ROW('CASE MASTER'!#REF!)-1))),":",","),",",REPT(" ",50)),((((4-INDEX('CASE MASTER'!$U$2:$U$495,(SUMPRODUCT((('CASE MASTER'!$T$2:$T$495=13)*('CASE MASTER'!$U$2:$U$495&lt;=4)*('CASE MASTER'!$W$2:$W$495&gt;=4)*('CASE MASTER'!$V$2:$V$495&lt;=1)*('CASE MASTER'!$X$2:$X$495&gt;=1))*ROW('CASE MASTER'!$T$2:$T$495))-(ROW('CASE MASTER'!#REF!)-1))))*(INDEX('CASE MASTER'!$X$2:$X$495,(SUMPRODUCT((('CASE MASTER'!$T$2:$T$495=13)*('CASE MASTER'!$U$2:$U$495&lt;=4)*('CASE MASTER'!$W$2:$W$495&gt;=4)*('CASE MASTER'!$V$2:$V$495&lt;=1)*('CASE MASTER'!$X$2:$X$495&gt;=1))*ROW('CASE MASTER'!$T$2:$T$495))-(ROW('CASE MASTER'!#REF!)-1)))-INDEX('CASE MASTER'!$V$2:$V$495,(SUMPRODUCT((('CASE MASTER'!$T$2:$T$495=13)*('CASE MASTER'!$U$2:$U$495&lt;=4)*('CASE MASTER'!$W$2:$W$495&gt;=4)*('CASE MASTER'!$V$2:$V$495&lt;=1)*('CASE MASTER'!$X$2:$X$495&gt;=1))*ROW('CASE MASTER'!$T$2:$T$495))-(ROW('CASE MASTER'!#REF!)-1)))+1)+(1-INDEX('CASE MASTER'!$V$2:$V$495,(SUMPRODUCT((('CASE MASTER'!$T$2:$T$495=13)*('CASE MASTER'!$U$2:$U$495&lt;=4)*('CASE MASTER'!$W$2:$W$495&gt;=4)*('CASE MASTER'!$V$2:$V$495&lt;=1)*('CASE MASTER'!$X$2:$X$495&gt;=1))*ROW('CASE MASTER'!$T$2:$T$495))-(ROW('CASE MASTER'!#REF!)-1))))+1))-1)*50+1,50))&amp;"_"&amp;INDEX('CASE MASTER'!$Q$2:$Q$495,(SUMPRODUCT((('CASE MASTER'!$T$2:$T$495=13)*('CASE MASTER'!$U$2:$U$495&lt;=4)*('CASE MASTER'!$W$2:$W$495&gt;=4)*('CASE MASTER'!$V$2:$V$495&lt;=1)*('CASE MASTER'!$X$2:$X$495&gt;=1))*ROW('CASE MASTER'!$T$2:$T$495))-(ROW('CASE MASTER'!#REF!)-1))),IF(SUMPRODUCT((('CASE MASTER'!$T$2:$T$495=13)*('CASE MASTER'!$AA$2:$AA$495&lt;=4)*('CASE MASTER'!$AC$2:$AC$495&gt;=4)*('CASE MASTER'!$AB$2:$AB$495&lt;=1)*('CASE MASTER'!$AD$2:$AD$495&gt;=1))*ROW('CASE MASTER'!$T$2:$T$495))&gt;0,INDEX('CASE MASTER'!$Y$2:$Y$495,(SUMPRODUCT((('CASE MASTER'!$T$2:$T$495=13)*('CASE MASTER'!$AA$2:$AA$495&lt;=4)*('CASE MASTER'!$AC$2:$AC$495&gt;=4)*('CASE MASTER'!$AB$2:$AB$495&lt;=1)*('CASE MASTER'!$AD$2:$AD$495&gt;=1))*ROW('CASE MASTER'!$T$2:$T$495))-(ROW('CASE MASTER'!#REF!)-1)))&amp;TRIM(MID(SUBSTITUTE(SUBSTITUTE(INDEX('CASE MASTER'!$N$2:$N$495,(SUMPRODUCT((('CASE MASTER'!$T$2:$T$495=13)*('CASE MASTER'!$AA$2:$AA$495&lt;=4)*('CASE MASTER'!$AC$2:$AC$495&gt;=4)*('CASE MASTER'!$AB$2:$AB$495&lt;=1)*('CASE MASTER'!$AD$2:$AD$495&gt;=1))*ROW('CASE MASTER'!$T$2:$T$495))-(ROW('CASE MASTER'!#REF!)-1))),":",","),",",REPT(" ",50)),(((INDEX('CASE MASTER'!$Z$2:$Z$495,(SUMPRODUCT((('CASE MASTER'!$T$2:$T$495=13)*('CASE MASTER'!$AA$2:$AA$495&lt;=4)*('CASE MASTER'!$AC$2:$AC$495&gt;=4)*('CASE MASTER'!$AB$2:$AB$495&lt;=1)*('CASE MASTER'!$AD$2:$AD$495&gt;=1))*ROW('CASE MASTER'!$T$2:$T$495))-(ROW('CASE MASTER'!#REF!)-1)))+((4-INDEX('CASE MASTER'!$AA$2:$AA$495,(SUMPRODUCT((('CASE MASTER'!$T$2:$T$495=13)*('CASE MASTER'!$AA$2:$AA$495&lt;=4)*('CASE MASTER'!$AC$2:$AC$495&gt;=4)*('CASE MASTER'!$AB$2:$AB$495&lt;=1)*('CASE MASTER'!$AD$2:$AD$495&gt;=1))*ROW('CASE MASTER'!$T$2:$T$495))-(ROW('CASE MASTER'!#REF!)-1))))*(INDEX('CASE MASTER'!$AD$2:$AD$495,(SUMPRODUCT((('CASE MASTER'!$T$2:$T$495=13)*('CASE MASTER'!$AA$2:$AA$495&lt;=4)*('CASE MASTER'!$AC$2:$AC$495&gt;=4)*('CASE MASTER'!$AB$2:$AB$495&lt;=1)*('CASE MASTER'!$AD$2:$AD$495&gt;=1))*ROW('CASE MASTER'!$T$2:$T$495))-(ROW('CASE MASTER'!#REF!)-1)))-INDEX('CASE MASTER'!$AB$2:$AB$495,(SUMPRODUCT((('CASE MASTER'!$T$2:$T$495=13)*('CASE MASTER'!$AA$2:$AA$495&lt;=4)*('CASE MASTER'!$AC$2:$AC$495&gt;=4)*('CASE MASTER'!$AB$2:$AB$495&lt;=1)*('CASE MASTER'!$AD$2:$AD$495&gt;=1))*ROW('CASE MASTER'!$T$2:$T$495))-(ROW('CASE MASTER'!#REF!)-1)))+1)+(1-INDEX('CASE MASTER'!$AB$2:$AB$495,(SUMPRODUCT((('CASE MASTER'!$T$2:$T$495=13)*('CASE MASTER'!$AA$2:$AA$495&lt;=4)*('CASE MASTER'!$AC$2:$AC$495&gt;=4)*('CASE MASTER'!$AB$2:$AB$495&lt;=1)*('CASE MASTER'!$AD$2:$AD$495&gt;=1))*ROW('CASE MASTER'!$T$2:$T$495))-(ROW('CASE MASTER'!#REF!)-1))))+1)))-1)*50+1,50))&amp;"_"&amp;INDEX('CASE MASTER'!$Q$2:$Q$495,(SUMPRODUCT((('CASE MASTER'!$T$2:$T$495=13)*('CASE MASTER'!$AA$2:$AA$495&lt;=4)*('CASE MASTER'!$AC$2:$AC$495&gt;=4)*('CASE MASTER'!$AB$2:$AB$495&lt;=1)*('CASE MASTER'!$AD$2:$AD$495&gt;=1))*ROW('CASE MASTER'!$T$2:$T$495))-(ROW('CASE MASTER'!#REF!)-1))),"")),"")</f>
        <v/>
      </c>
      <c r="C174" s="10" t="str">
        <f>IFERROR(IF(SUMPRODUCT((('CASE MASTER'!$T$2:$T$495=13)*('CASE MASTER'!$U$2:$U$495&lt;=4)*('CASE MASTER'!$W$2:$W$495&gt;=4)*('CASE MASTER'!$V$2:$V$495&lt;=2)*('CASE MASTER'!$X$2:$X$495&gt;=2))*ROW('CASE MASTER'!$T$2:$T$495))&gt;0,INDEX('CASE MASTER'!$Y$2:$Y$495,(SUMPRODUCT((('CASE MASTER'!$T$2:$T$495=13)*('CASE MASTER'!$U$2:$U$495&lt;=4)*('CASE MASTER'!$W$2:$W$495&gt;=4)*('CASE MASTER'!$V$2:$V$495&lt;=2)*('CASE MASTER'!$X$2:$X$495&gt;=2))*ROW('CASE MASTER'!$T$2:$T$495))-(ROW('CASE MASTER'!#REF!)-1)))&amp;TRIM(MID(SUBSTITUTE(SUBSTITUTE(INDEX('CASE MASTER'!$N$2:$N$495,(SUMPRODUCT((('CASE MASTER'!$T$2:$T$495=13)*('CASE MASTER'!$U$2:$U$495&lt;=4)*('CASE MASTER'!$W$2:$W$495&gt;=4)*('CASE MASTER'!$V$2:$V$495&lt;=2)*('CASE MASTER'!$X$2:$X$495&gt;=2))*ROW('CASE MASTER'!$T$2:$T$495))-(ROW('CASE MASTER'!#REF!)-1))),":",","),",",REPT(" ",50)),((((4-INDEX('CASE MASTER'!$U$2:$U$495,(SUMPRODUCT((('CASE MASTER'!$T$2:$T$495=13)*('CASE MASTER'!$U$2:$U$495&lt;=4)*('CASE MASTER'!$W$2:$W$495&gt;=4)*('CASE MASTER'!$V$2:$V$495&lt;=2)*('CASE MASTER'!$X$2:$X$495&gt;=2))*ROW('CASE MASTER'!$T$2:$T$495))-(ROW('CASE MASTER'!#REF!)-1))))*(INDEX('CASE MASTER'!$X$2:$X$495,(SUMPRODUCT((('CASE MASTER'!$T$2:$T$495=13)*('CASE MASTER'!$U$2:$U$495&lt;=4)*('CASE MASTER'!$W$2:$W$495&gt;=4)*('CASE MASTER'!$V$2:$V$495&lt;=2)*('CASE MASTER'!$X$2:$X$495&gt;=2))*ROW('CASE MASTER'!$T$2:$T$495))-(ROW('CASE MASTER'!#REF!)-1)))-INDEX('CASE MASTER'!$V$2:$V$495,(SUMPRODUCT((('CASE MASTER'!$T$2:$T$495=13)*('CASE MASTER'!$U$2:$U$495&lt;=4)*('CASE MASTER'!$W$2:$W$495&gt;=4)*('CASE MASTER'!$V$2:$V$495&lt;=2)*('CASE MASTER'!$X$2:$X$495&gt;=2))*ROW('CASE MASTER'!$T$2:$T$495))-(ROW('CASE MASTER'!#REF!)-1)))+1)+(2-INDEX('CASE MASTER'!$V$2:$V$495,(SUMPRODUCT((('CASE MASTER'!$T$2:$T$495=13)*('CASE MASTER'!$U$2:$U$495&lt;=4)*('CASE MASTER'!$W$2:$W$495&gt;=4)*('CASE MASTER'!$V$2:$V$495&lt;=2)*('CASE MASTER'!$X$2:$X$495&gt;=2))*ROW('CASE MASTER'!$T$2:$T$495))-(ROW('CASE MASTER'!#REF!)-1))))+1))-1)*50+1,50))&amp;"_"&amp;INDEX('CASE MASTER'!$Q$2:$Q$495,(SUMPRODUCT((('CASE MASTER'!$T$2:$T$495=13)*('CASE MASTER'!$U$2:$U$495&lt;=4)*('CASE MASTER'!$W$2:$W$495&gt;=4)*('CASE MASTER'!$V$2:$V$495&lt;=2)*('CASE MASTER'!$X$2:$X$495&gt;=2))*ROW('CASE MASTER'!$T$2:$T$495))-(ROW('CASE MASTER'!#REF!)-1))),IF(SUMPRODUCT((('CASE MASTER'!$T$2:$T$495=13)*('CASE MASTER'!$AA$2:$AA$495&lt;=4)*('CASE MASTER'!$AC$2:$AC$495&gt;=4)*('CASE MASTER'!$AB$2:$AB$495&lt;=2)*('CASE MASTER'!$AD$2:$AD$495&gt;=2))*ROW('CASE MASTER'!$T$2:$T$495))&gt;0,INDEX('CASE MASTER'!$Y$2:$Y$495,(SUMPRODUCT((('CASE MASTER'!$T$2:$T$495=13)*('CASE MASTER'!$AA$2:$AA$495&lt;=4)*('CASE MASTER'!$AC$2:$AC$495&gt;=4)*('CASE MASTER'!$AB$2:$AB$495&lt;=2)*('CASE MASTER'!$AD$2:$AD$495&gt;=2))*ROW('CASE MASTER'!$T$2:$T$495))-(ROW('CASE MASTER'!#REF!)-1)))&amp;TRIM(MID(SUBSTITUTE(SUBSTITUTE(INDEX('CASE MASTER'!$N$2:$N$495,(SUMPRODUCT((('CASE MASTER'!$T$2:$T$495=13)*('CASE MASTER'!$AA$2:$AA$495&lt;=4)*('CASE MASTER'!$AC$2:$AC$495&gt;=4)*('CASE MASTER'!$AB$2:$AB$495&lt;=2)*('CASE MASTER'!$AD$2:$AD$495&gt;=2))*ROW('CASE MASTER'!$T$2:$T$495))-(ROW('CASE MASTER'!#REF!)-1))),":",","),",",REPT(" ",50)),(((INDEX('CASE MASTER'!$Z$2:$Z$495,(SUMPRODUCT((('CASE MASTER'!$T$2:$T$495=13)*('CASE MASTER'!$AA$2:$AA$495&lt;=4)*('CASE MASTER'!$AC$2:$AC$495&gt;=4)*('CASE MASTER'!$AB$2:$AB$495&lt;=2)*('CASE MASTER'!$AD$2:$AD$495&gt;=2))*ROW('CASE MASTER'!$T$2:$T$495))-(ROW('CASE MASTER'!#REF!)-1)))+((4-INDEX('CASE MASTER'!$AA$2:$AA$495,(SUMPRODUCT((('CASE MASTER'!$T$2:$T$495=13)*('CASE MASTER'!$AA$2:$AA$495&lt;=4)*('CASE MASTER'!$AC$2:$AC$495&gt;=4)*('CASE MASTER'!$AB$2:$AB$495&lt;=2)*('CASE MASTER'!$AD$2:$AD$495&gt;=2))*ROW('CASE MASTER'!$T$2:$T$495))-(ROW('CASE MASTER'!#REF!)-1))))*(INDEX('CASE MASTER'!$AD$2:$AD$495,(SUMPRODUCT((('CASE MASTER'!$T$2:$T$495=13)*('CASE MASTER'!$AA$2:$AA$495&lt;=4)*('CASE MASTER'!$AC$2:$AC$495&gt;=4)*('CASE MASTER'!$AB$2:$AB$495&lt;=2)*('CASE MASTER'!$AD$2:$AD$495&gt;=2))*ROW('CASE MASTER'!$T$2:$T$495))-(ROW('CASE MASTER'!#REF!)-1)))-INDEX('CASE MASTER'!$AB$2:$AB$495,(SUMPRODUCT((('CASE MASTER'!$T$2:$T$495=13)*('CASE MASTER'!$AA$2:$AA$495&lt;=4)*('CASE MASTER'!$AC$2:$AC$495&gt;=4)*('CASE MASTER'!$AB$2:$AB$495&lt;=2)*('CASE MASTER'!$AD$2:$AD$495&gt;=2))*ROW('CASE MASTER'!$T$2:$T$495))-(ROW('CASE MASTER'!#REF!)-1)))+1)+(2-INDEX('CASE MASTER'!$AB$2:$AB$495,(SUMPRODUCT((('CASE MASTER'!$T$2:$T$495=13)*('CASE MASTER'!$AA$2:$AA$495&lt;=4)*('CASE MASTER'!$AC$2:$AC$495&gt;=4)*('CASE MASTER'!$AB$2:$AB$495&lt;=2)*('CASE MASTER'!$AD$2:$AD$495&gt;=2))*ROW('CASE MASTER'!$T$2:$T$495))-(ROW('CASE MASTER'!#REF!)-1))))+1)))-1)*50+1,50))&amp;"_"&amp;INDEX('CASE MASTER'!$Q$2:$Q$495,(SUMPRODUCT((('CASE MASTER'!$T$2:$T$495=13)*('CASE MASTER'!$AA$2:$AA$495&lt;=4)*('CASE MASTER'!$AC$2:$AC$495&gt;=4)*('CASE MASTER'!$AB$2:$AB$495&lt;=2)*('CASE MASTER'!$AD$2:$AD$495&gt;=2))*ROW('CASE MASTER'!$T$2:$T$495))-(ROW('CASE MASTER'!#REF!)-1))),"")),"")</f>
        <v/>
      </c>
      <c r="D174" s="10" t="str">
        <f>IFERROR(IF(SUMPRODUCT((('CASE MASTER'!$T$2:$T$495=13)*('CASE MASTER'!$U$2:$U$495&lt;=4)*('CASE MASTER'!$W$2:$W$495&gt;=4)*('CASE MASTER'!$V$2:$V$495&lt;=3)*('CASE MASTER'!$X$2:$X$495&gt;=3))*ROW('CASE MASTER'!$T$2:$T$495))&gt;0,INDEX('CASE MASTER'!$Y$2:$Y$495,(SUMPRODUCT((('CASE MASTER'!$T$2:$T$495=13)*('CASE MASTER'!$U$2:$U$495&lt;=4)*('CASE MASTER'!$W$2:$W$495&gt;=4)*('CASE MASTER'!$V$2:$V$495&lt;=3)*('CASE MASTER'!$X$2:$X$495&gt;=3))*ROW('CASE MASTER'!$T$2:$T$495))-(ROW('CASE MASTER'!#REF!)-1)))&amp;TRIM(MID(SUBSTITUTE(SUBSTITUTE(INDEX('CASE MASTER'!$N$2:$N$495,(SUMPRODUCT((('CASE MASTER'!$T$2:$T$495=13)*('CASE MASTER'!$U$2:$U$495&lt;=4)*('CASE MASTER'!$W$2:$W$495&gt;=4)*('CASE MASTER'!$V$2:$V$495&lt;=3)*('CASE MASTER'!$X$2:$X$495&gt;=3))*ROW('CASE MASTER'!$T$2:$T$495))-(ROW('CASE MASTER'!#REF!)-1))),":",","),",",REPT(" ",50)),((((4-INDEX('CASE MASTER'!$U$2:$U$495,(SUMPRODUCT((('CASE MASTER'!$T$2:$T$495=13)*('CASE MASTER'!$U$2:$U$495&lt;=4)*('CASE MASTER'!$W$2:$W$495&gt;=4)*('CASE MASTER'!$V$2:$V$495&lt;=3)*('CASE MASTER'!$X$2:$X$495&gt;=3))*ROW('CASE MASTER'!$T$2:$T$495))-(ROW('CASE MASTER'!#REF!)-1))))*(INDEX('CASE MASTER'!$X$2:$X$495,(SUMPRODUCT((('CASE MASTER'!$T$2:$T$495=13)*('CASE MASTER'!$U$2:$U$495&lt;=4)*('CASE MASTER'!$W$2:$W$495&gt;=4)*('CASE MASTER'!$V$2:$V$495&lt;=3)*('CASE MASTER'!$X$2:$X$495&gt;=3))*ROW('CASE MASTER'!$T$2:$T$495))-(ROW('CASE MASTER'!#REF!)-1)))-INDEX('CASE MASTER'!$V$2:$V$495,(SUMPRODUCT((('CASE MASTER'!$T$2:$T$495=13)*('CASE MASTER'!$U$2:$U$495&lt;=4)*('CASE MASTER'!$W$2:$W$495&gt;=4)*('CASE MASTER'!$V$2:$V$495&lt;=3)*('CASE MASTER'!$X$2:$X$495&gt;=3))*ROW('CASE MASTER'!$T$2:$T$495))-(ROW('CASE MASTER'!#REF!)-1)))+1)+(3-INDEX('CASE MASTER'!$V$2:$V$495,(SUMPRODUCT((('CASE MASTER'!$T$2:$T$495=13)*('CASE MASTER'!$U$2:$U$495&lt;=4)*('CASE MASTER'!$W$2:$W$495&gt;=4)*('CASE MASTER'!$V$2:$V$495&lt;=3)*('CASE MASTER'!$X$2:$X$495&gt;=3))*ROW('CASE MASTER'!$T$2:$T$495))-(ROW('CASE MASTER'!#REF!)-1))))+1))-1)*50+1,50))&amp;"_"&amp;INDEX('CASE MASTER'!$Q$2:$Q$495,(SUMPRODUCT((('CASE MASTER'!$T$2:$T$495=13)*('CASE MASTER'!$U$2:$U$495&lt;=4)*('CASE MASTER'!$W$2:$W$495&gt;=4)*('CASE MASTER'!$V$2:$V$495&lt;=3)*('CASE MASTER'!$X$2:$X$495&gt;=3))*ROW('CASE MASTER'!$T$2:$T$495))-(ROW('CASE MASTER'!#REF!)-1))),IF(SUMPRODUCT((('CASE MASTER'!$T$2:$T$495=13)*('CASE MASTER'!$AA$2:$AA$495&lt;=4)*('CASE MASTER'!$AC$2:$AC$495&gt;=4)*('CASE MASTER'!$AB$2:$AB$495&lt;=3)*('CASE MASTER'!$AD$2:$AD$495&gt;=3))*ROW('CASE MASTER'!$T$2:$T$495))&gt;0,INDEX('CASE MASTER'!$Y$2:$Y$495,(SUMPRODUCT((('CASE MASTER'!$T$2:$T$495=13)*('CASE MASTER'!$AA$2:$AA$495&lt;=4)*('CASE MASTER'!$AC$2:$AC$495&gt;=4)*('CASE MASTER'!$AB$2:$AB$495&lt;=3)*('CASE MASTER'!$AD$2:$AD$495&gt;=3))*ROW('CASE MASTER'!$T$2:$T$495))-(ROW('CASE MASTER'!#REF!)-1)))&amp;TRIM(MID(SUBSTITUTE(SUBSTITUTE(INDEX('CASE MASTER'!$N$2:$N$495,(SUMPRODUCT((('CASE MASTER'!$T$2:$T$495=13)*('CASE MASTER'!$AA$2:$AA$495&lt;=4)*('CASE MASTER'!$AC$2:$AC$495&gt;=4)*('CASE MASTER'!$AB$2:$AB$495&lt;=3)*('CASE MASTER'!$AD$2:$AD$495&gt;=3))*ROW('CASE MASTER'!$T$2:$T$495))-(ROW('CASE MASTER'!#REF!)-1))),":",","),",",REPT(" ",50)),(((INDEX('CASE MASTER'!$Z$2:$Z$495,(SUMPRODUCT((('CASE MASTER'!$T$2:$T$495=13)*('CASE MASTER'!$AA$2:$AA$495&lt;=4)*('CASE MASTER'!$AC$2:$AC$495&gt;=4)*('CASE MASTER'!$AB$2:$AB$495&lt;=3)*('CASE MASTER'!$AD$2:$AD$495&gt;=3))*ROW('CASE MASTER'!$T$2:$T$495))-(ROW('CASE MASTER'!#REF!)-1)))+((4-INDEX('CASE MASTER'!$AA$2:$AA$495,(SUMPRODUCT((('CASE MASTER'!$T$2:$T$495=13)*('CASE MASTER'!$AA$2:$AA$495&lt;=4)*('CASE MASTER'!$AC$2:$AC$495&gt;=4)*('CASE MASTER'!$AB$2:$AB$495&lt;=3)*('CASE MASTER'!$AD$2:$AD$495&gt;=3))*ROW('CASE MASTER'!$T$2:$T$495))-(ROW('CASE MASTER'!#REF!)-1))))*(INDEX('CASE MASTER'!$AD$2:$AD$495,(SUMPRODUCT((('CASE MASTER'!$T$2:$T$495=13)*('CASE MASTER'!$AA$2:$AA$495&lt;=4)*('CASE MASTER'!$AC$2:$AC$495&gt;=4)*('CASE MASTER'!$AB$2:$AB$495&lt;=3)*('CASE MASTER'!$AD$2:$AD$495&gt;=3))*ROW('CASE MASTER'!$T$2:$T$495))-(ROW('CASE MASTER'!#REF!)-1)))-INDEX('CASE MASTER'!$AB$2:$AB$495,(SUMPRODUCT((('CASE MASTER'!$T$2:$T$495=13)*('CASE MASTER'!$AA$2:$AA$495&lt;=4)*('CASE MASTER'!$AC$2:$AC$495&gt;=4)*('CASE MASTER'!$AB$2:$AB$495&lt;=3)*('CASE MASTER'!$AD$2:$AD$495&gt;=3))*ROW('CASE MASTER'!$T$2:$T$495))-(ROW('CASE MASTER'!#REF!)-1)))+1)+(3-INDEX('CASE MASTER'!$AB$2:$AB$495,(SUMPRODUCT((('CASE MASTER'!$T$2:$T$495=13)*('CASE MASTER'!$AA$2:$AA$495&lt;=4)*('CASE MASTER'!$AC$2:$AC$495&gt;=4)*('CASE MASTER'!$AB$2:$AB$495&lt;=3)*('CASE MASTER'!$AD$2:$AD$495&gt;=3))*ROW('CASE MASTER'!$T$2:$T$495))-(ROW('CASE MASTER'!#REF!)-1))))+1)))-1)*50+1,50))&amp;"_"&amp;INDEX('CASE MASTER'!$Q$2:$Q$495,(SUMPRODUCT((('CASE MASTER'!$T$2:$T$495=13)*('CASE MASTER'!$AA$2:$AA$495&lt;=4)*('CASE MASTER'!$AC$2:$AC$495&gt;=4)*('CASE MASTER'!$AB$2:$AB$495&lt;=3)*('CASE MASTER'!$AD$2:$AD$495&gt;=3))*ROW('CASE MASTER'!$T$2:$T$495))-(ROW('CASE MASTER'!#REF!)-1))),"")),"")</f>
        <v/>
      </c>
      <c r="E174" s="10" t="str">
        <f>IFERROR(IF(SUMPRODUCT((('CASE MASTER'!$T$2:$T$495=13)*('CASE MASTER'!$U$2:$U$495&lt;=4)*('CASE MASTER'!$W$2:$W$495&gt;=4)*('CASE MASTER'!$V$2:$V$495&lt;=4)*('CASE MASTER'!$X$2:$X$495&gt;=4))*ROW('CASE MASTER'!$T$2:$T$495))&gt;0,INDEX('CASE MASTER'!$Y$2:$Y$495,(SUMPRODUCT((('CASE MASTER'!$T$2:$T$495=13)*('CASE MASTER'!$U$2:$U$495&lt;=4)*('CASE MASTER'!$W$2:$W$495&gt;=4)*('CASE MASTER'!$V$2:$V$495&lt;=4)*('CASE MASTER'!$X$2:$X$495&gt;=4))*ROW('CASE MASTER'!$T$2:$T$495))-(ROW('CASE MASTER'!#REF!)-1)))&amp;TRIM(MID(SUBSTITUTE(SUBSTITUTE(INDEX('CASE MASTER'!$N$2:$N$495,(SUMPRODUCT((('CASE MASTER'!$T$2:$T$495=13)*('CASE MASTER'!$U$2:$U$495&lt;=4)*('CASE MASTER'!$W$2:$W$495&gt;=4)*('CASE MASTER'!$V$2:$V$495&lt;=4)*('CASE MASTER'!$X$2:$X$495&gt;=4))*ROW('CASE MASTER'!$T$2:$T$495))-(ROW('CASE MASTER'!#REF!)-1))),":",","),",",REPT(" ",50)),((((4-INDEX('CASE MASTER'!$U$2:$U$495,(SUMPRODUCT((('CASE MASTER'!$T$2:$T$495=13)*('CASE MASTER'!$U$2:$U$495&lt;=4)*('CASE MASTER'!$W$2:$W$495&gt;=4)*('CASE MASTER'!$V$2:$V$495&lt;=4)*('CASE MASTER'!$X$2:$X$495&gt;=4))*ROW('CASE MASTER'!$T$2:$T$495))-(ROW('CASE MASTER'!#REF!)-1))))*(INDEX('CASE MASTER'!$X$2:$X$495,(SUMPRODUCT((('CASE MASTER'!$T$2:$T$495=13)*('CASE MASTER'!$U$2:$U$495&lt;=4)*('CASE MASTER'!$W$2:$W$495&gt;=4)*('CASE MASTER'!$V$2:$V$495&lt;=4)*('CASE MASTER'!$X$2:$X$495&gt;=4))*ROW('CASE MASTER'!$T$2:$T$495))-(ROW('CASE MASTER'!#REF!)-1)))-INDEX('CASE MASTER'!$V$2:$V$495,(SUMPRODUCT((('CASE MASTER'!$T$2:$T$495=13)*('CASE MASTER'!$U$2:$U$495&lt;=4)*('CASE MASTER'!$W$2:$W$495&gt;=4)*('CASE MASTER'!$V$2:$V$495&lt;=4)*('CASE MASTER'!$X$2:$X$495&gt;=4))*ROW('CASE MASTER'!$T$2:$T$495))-(ROW('CASE MASTER'!#REF!)-1)))+1)+(4-INDEX('CASE MASTER'!$V$2:$V$495,(SUMPRODUCT((('CASE MASTER'!$T$2:$T$495=13)*('CASE MASTER'!$U$2:$U$495&lt;=4)*('CASE MASTER'!$W$2:$W$495&gt;=4)*('CASE MASTER'!$V$2:$V$495&lt;=4)*('CASE MASTER'!$X$2:$X$495&gt;=4))*ROW('CASE MASTER'!$T$2:$T$495))-(ROW('CASE MASTER'!#REF!)-1))))+1))-1)*50+1,50))&amp;"_"&amp;INDEX('CASE MASTER'!$Q$2:$Q$495,(SUMPRODUCT((('CASE MASTER'!$T$2:$T$495=13)*('CASE MASTER'!$U$2:$U$495&lt;=4)*('CASE MASTER'!$W$2:$W$495&gt;=4)*('CASE MASTER'!$V$2:$V$495&lt;=4)*('CASE MASTER'!$X$2:$X$495&gt;=4))*ROW('CASE MASTER'!$T$2:$T$495))-(ROW('CASE MASTER'!#REF!)-1))),IF(SUMPRODUCT((('CASE MASTER'!$T$2:$T$495=13)*('CASE MASTER'!$AA$2:$AA$495&lt;=4)*('CASE MASTER'!$AC$2:$AC$495&gt;=4)*('CASE MASTER'!$AB$2:$AB$495&lt;=4)*('CASE MASTER'!$AD$2:$AD$495&gt;=4))*ROW('CASE MASTER'!$T$2:$T$495))&gt;0,INDEX('CASE MASTER'!$Y$2:$Y$495,(SUMPRODUCT((('CASE MASTER'!$T$2:$T$495=13)*('CASE MASTER'!$AA$2:$AA$495&lt;=4)*('CASE MASTER'!$AC$2:$AC$495&gt;=4)*('CASE MASTER'!$AB$2:$AB$495&lt;=4)*('CASE MASTER'!$AD$2:$AD$495&gt;=4))*ROW('CASE MASTER'!$T$2:$T$495))-(ROW('CASE MASTER'!#REF!)-1)))&amp;TRIM(MID(SUBSTITUTE(SUBSTITUTE(INDEX('CASE MASTER'!$N$2:$N$495,(SUMPRODUCT((('CASE MASTER'!$T$2:$T$495=13)*('CASE MASTER'!$AA$2:$AA$495&lt;=4)*('CASE MASTER'!$AC$2:$AC$495&gt;=4)*('CASE MASTER'!$AB$2:$AB$495&lt;=4)*('CASE MASTER'!$AD$2:$AD$495&gt;=4))*ROW('CASE MASTER'!$T$2:$T$495))-(ROW('CASE MASTER'!#REF!)-1))),":",","),",",REPT(" ",50)),(((INDEX('CASE MASTER'!$Z$2:$Z$495,(SUMPRODUCT((('CASE MASTER'!$T$2:$T$495=13)*('CASE MASTER'!$AA$2:$AA$495&lt;=4)*('CASE MASTER'!$AC$2:$AC$495&gt;=4)*('CASE MASTER'!$AB$2:$AB$495&lt;=4)*('CASE MASTER'!$AD$2:$AD$495&gt;=4))*ROW('CASE MASTER'!$T$2:$T$495))-(ROW('CASE MASTER'!#REF!)-1)))+((4-INDEX('CASE MASTER'!$AA$2:$AA$495,(SUMPRODUCT((('CASE MASTER'!$T$2:$T$495=13)*('CASE MASTER'!$AA$2:$AA$495&lt;=4)*('CASE MASTER'!$AC$2:$AC$495&gt;=4)*('CASE MASTER'!$AB$2:$AB$495&lt;=4)*('CASE MASTER'!$AD$2:$AD$495&gt;=4))*ROW('CASE MASTER'!$T$2:$T$495))-(ROW('CASE MASTER'!#REF!)-1))))*(INDEX('CASE MASTER'!$AD$2:$AD$495,(SUMPRODUCT((('CASE MASTER'!$T$2:$T$495=13)*('CASE MASTER'!$AA$2:$AA$495&lt;=4)*('CASE MASTER'!$AC$2:$AC$495&gt;=4)*('CASE MASTER'!$AB$2:$AB$495&lt;=4)*('CASE MASTER'!$AD$2:$AD$495&gt;=4))*ROW('CASE MASTER'!$T$2:$T$495))-(ROW('CASE MASTER'!#REF!)-1)))-INDEX('CASE MASTER'!$AB$2:$AB$495,(SUMPRODUCT((('CASE MASTER'!$T$2:$T$495=13)*('CASE MASTER'!$AA$2:$AA$495&lt;=4)*('CASE MASTER'!$AC$2:$AC$495&gt;=4)*('CASE MASTER'!$AB$2:$AB$495&lt;=4)*('CASE MASTER'!$AD$2:$AD$495&gt;=4))*ROW('CASE MASTER'!$T$2:$T$495))-(ROW('CASE MASTER'!#REF!)-1)))+1)+(4-INDEX('CASE MASTER'!$AB$2:$AB$495,(SUMPRODUCT((('CASE MASTER'!$T$2:$T$495=13)*('CASE MASTER'!$AA$2:$AA$495&lt;=4)*('CASE MASTER'!$AC$2:$AC$495&gt;=4)*('CASE MASTER'!$AB$2:$AB$495&lt;=4)*('CASE MASTER'!$AD$2:$AD$495&gt;=4))*ROW('CASE MASTER'!$T$2:$T$495))-(ROW('CASE MASTER'!#REF!)-1))))+1)))-1)*50+1,50))&amp;"_"&amp;INDEX('CASE MASTER'!$Q$2:$Q$495,(SUMPRODUCT((('CASE MASTER'!$T$2:$T$495=13)*('CASE MASTER'!$AA$2:$AA$495&lt;=4)*('CASE MASTER'!$AC$2:$AC$495&gt;=4)*('CASE MASTER'!$AB$2:$AB$495&lt;=4)*('CASE MASTER'!$AD$2:$AD$495&gt;=4))*ROW('CASE MASTER'!$T$2:$T$495))-(ROW('CASE MASTER'!#REF!)-1))),"")),"")</f>
        <v/>
      </c>
      <c r="F174" s="10" t="str">
        <f>IFERROR(IF(SUMPRODUCT((('CASE MASTER'!$T$2:$T$495=13)*('CASE MASTER'!$U$2:$U$495&lt;=4)*('CASE MASTER'!$W$2:$W$495&gt;=4)*('CASE MASTER'!$V$2:$V$495&lt;=5)*('CASE MASTER'!$X$2:$X$495&gt;=5))*ROW('CASE MASTER'!$T$2:$T$495))&gt;0,INDEX('CASE MASTER'!$Y$2:$Y$495,(SUMPRODUCT((('CASE MASTER'!$T$2:$T$495=13)*('CASE MASTER'!$U$2:$U$495&lt;=4)*('CASE MASTER'!$W$2:$W$495&gt;=4)*('CASE MASTER'!$V$2:$V$495&lt;=5)*('CASE MASTER'!$X$2:$X$495&gt;=5))*ROW('CASE MASTER'!$T$2:$T$495))-(ROW('CASE MASTER'!#REF!)-1)))&amp;TRIM(MID(SUBSTITUTE(SUBSTITUTE(INDEX('CASE MASTER'!$N$2:$N$495,(SUMPRODUCT((('CASE MASTER'!$T$2:$T$495=13)*('CASE MASTER'!$U$2:$U$495&lt;=4)*('CASE MASTER'!$W$2:$W$495&gt;=4)*('CASE MASTER'!$V$2:$V$495&lt;=5)*('CASE MASTER'!$X$2:$X$495&gt;=5))*ROW('CASE MASTER'!$T$2:$T$495))-(ROW('CASE MASTER'!#REF!)-1))),":",","),",",REPT(" ",50)),((((4-INDEX('CASE MASTER'!$U$2:$U$495,(SUMPRODUCT((('CASE MASTER'!$T$2:$T$495=13)*('CASE MASTER'!$U$2:$U$495&lt;=4)*('CASE MASTER'!$W$2:$W$495&gt;=4)*('CASE MASTER'!$V$2:$V$495&lt;=5)*('CASE MASTER'!$X$2:$X$495&gt;=5))*ROW('CASE MASTER'!$T$2:$T$495))-(ROW('CASE MASTER'!#REF!)-1))))*(INDEX('CASE MASTER'!$X$2:$X$495,(SUMPRODUCT((('CASE MASTER'!$T$2:$T$495=13)*('CASE MASTER'!$U$2:$U$495&lt;=4)*('CASE MASTER'!$W$2:$W$495&gt;=4)*('CASE MASTER'!$V$2:$V$495&lt;=5)*('CASE MASTER'!$X$2:$X$495&gt;=5))*ROW('CASE MASTER'!$T$2:$T$495))-(ROW('CASE MASTER'!#REF!)-1)))-INDEX('CASE MASTER'!$V$2:$V$495,(SUMPRODUCT((('CASE MASTER'!$T$2:$T$495=13)*('CASE MASTER'!$U$2:$U$495&lt;=4)*('CASE MASTER'!$W$2:$W$495&gt;=4)*('CASE MASTER'!$V$2:$V$495&lt;=5)*('CASE MASTER'!$X$2:$X$495&gt;=5))*ROW('CASE MASTER'!$T$2:$T$495))-(ROW('CASE MASTER'!#REF!)-1)))+1)+(5-INDEX('CASE MASTER'!$V$2:$V$495,(SUMPRODUCT((('CASE MASTER'!$T$2:$T$495=13)*('CASE MASTER'!$U$2:$U$495&lt;=4)*('CASE MASTER'!$W$2:$W$495&gt;=4)*('CASE MASTER'!$V$2:$V$495&lt;=5)*('CASE MASTER'!$X$2:$X$495&gt;=5))*ROW('CASE MASTER'!$T$2:$T$495))-(ROW('CASE MASTER'!#REF!)-1))))+1))-1)*50+1,50))&amp;"_"&amp;INDEX('CASE MASTER'!$Q$2:$Q$495,(SUMPRODUCT((('CASE MASTER'!$T$2:$T$495=13)*('CASE MASTER'!$U$2:$U$495&lt;=4)*('CASE MASTER'!$W$2:$W$495&gt;=4)*('CASE MASTER'!$V$2:$V$495&lt;=5)*('CASE MASTER'!$X$2:$X$495&gt;=5))*ROW('CASE MASTER'!$T$2:$T$495))-(ROW('CASE MASTER'!#REF!)-1))),IF(SUMPRODUCT((('CASE MASTER'!$T$2:$T$495=13)*('CASE MASTER'!$AA$2:$AA$495&lt;=4)*('CASE MASTER'!$AC$2:$AC$495&gt;=4)*('CASE MASTER'!$AB$2:$AB$495&lt;=5)*('CASE MASTER'!$AD$2:$AD$495&gt;=5))*ROW('CASE MASTER'!$T$2:$T$495))&gt;0,INDEX('CASE MASTER'!$Y$2:$Y$495,(SUMPRODUCT((('CASE MASTER'!$T$2:$T$495=13)*('CASE MASTER'!$AA$2:$AA$495&lt;=4)*('CASE MASTER'!$AC$2:$AC$495&gt;=4)*('CASE MASTER'!$AB$2:$AB$495&lt;=5)*('CASE MASTER'!$AD$2:$AD$495&gt;=5))*ROW('CASE MASTER'!$T$2:$T$495))-(ROW('CASE MASTER'!#REF!)-1)))&amp;TRIM(MID(SUBSTITUTE(SUBSTITUTE(INDEX('CASE MASTER'!$N$2:$N$495,(SUMPRODUCT((('CASE MASTER'!$T$2:$T$495=13)*('CASE MASTER'!$AA$2:$AA$495&lt;=4)*('CASE MASTER'!$AC$2:$AC$495&gt;=4)*('CASE MASTER'!$AB$2:$AB$495&lt;=5)*('CASE MASTER'!$AD$2:$AD$495&gt;=5))*ROW('CASE MASTER'!$T$2:$T$495))-(ROW('CASE MASTER'!#REF!)-1))),":",","),",",REPT(" ",50)),(((INDEX('CASE MASTER'!$Z$2:$Z$495,(SUMPRODUCT((('CASE MASTER'!$T$2:$T$495=13)*('CASE MASTER'!$AA$2:$AA$495&lt;=4)*('CASE MASTER'!$AC$2:$AC$495&gt;=4)*('CASE MASTER'!$AB$2:$AB$495&lt;=5)*('CASE MASTER'!$AD$2:$AD$495&gt;=5))*ROW('CASE MASTER'!$T$2:$T$495))-(ROW('CASE MASTER'!#REF!)-1)))+((4-INDEX('CASE MASTER'!$AA$2:$AA$495,(SUMPRODUCT((('CASE MASTER'!$T$2:$T$495=13)*('CASE MASTER'!$AA$2:$AA$495&lt;=4)*('CASE MASTER'!$AC$2:$AC$495&gt;=4)*('CASE MASTER'!$AB$2:$AB$495&lt;=5)*('CASE MASTER'!$AD$2:$AD$495&gt;=5))*ROW('CASE MASTER'!$T$2:$T$495))-(ROW('CASE MASTER'!#REF!)-1))))*(INDEX('CASE MASTER'!$AD$2:$AD$495,(SUMPRODUCT((('CASE MASTER'!$T$2:$T$495=13)*('CASE MASTER'!$AA$2:$AA$495&lt;=4)*('CASE MASTER'!$AC$2:$AC$495&gt;=4)*('CASE MASTER'!$AB$2:$AB$495&lt;=5)*('CASE MASTER'!$AD$2:$AD$495&gt;=5))*ROW('CASE MASTER'!$T$2:$T$495))-(ROW('CASE MASTER'!#REF!)-1)))-INDEX('CASE MASTER'!$AB$2:$AB$495,(SUMPRODUCT((('CASE MASTER'!$T$2:$T$495=13)*('CASE MASTER'!$AA$2:$AA$495&lt;=4)*('CASE MASTER'!$AC$2:$AC$495&gt;=4)*('CASE MASTER'!$AB$2:$AB$495&lt;=5)*('CASE MASTER'!$AD$2:$AD$495&gt;=5))*ROW('CASE MASTER'!$T$2:$T$495))-(ROW('CASE MASTER'!#REF!)-1)))+1)+(5-INDEX('CASE MASTER'!$AB$2:$AB$495,(SUMPRODUCT((('CASE MASTER'!$T$2:$T$495=13)*('CASE MASTER'!$AA$2:$AA$495&lt;=4)*('CASE MASTER'!$AC$2:$AC$495&gt;=4)*('CASE MASTER'!$AB$2:$AB$495&lt;=5)*('CASE MASTER'!$AD$2:$AD$495&gt;=5))*ROW('CASE MASTER'!$T$2:$T$495))-(ROW('CASE MASTER'!#REF!)-1))))+1)))-1)*50+1,50))&amp;"_"&amp;INDEX('CASE MASTER'!$Q$2:$Q$495,(SUMPRODUCT((('CASE MASTER'!$T$2:$T$495=13)*('CASE MASTER'!$AA$2:$AA$495&lt;=4)*('CASE MASTER'!$AC$2:$AC$495&gt;=4)*('CASE MASTER'!$AB$2:$AB$495&lt;=5)*('CASE MASTER'!$AD$2:$AD$495&gt;=5))*ROW('CASE MASTER'!$T$2:$T$495))-(ROW('CASE MASTER'!#REF!)-1))),"")),"")</f>
        <v/>
      </c>
      <c r="G174" s="10" t="str">
        <f>IFERROR(IF(SUMPRODUCT((('CASE MASTER'!$T$2:$T$495=13)*('CASE MASTER'!$U$2:$U$495&lt;=4)*('CASE MASTER'!$W$2:$W$495&gt;=4)*('CASE MASTER'!$V$2:$V$495&lt;=6)*('CASE MASTER'!$X$2:$X$495&gt;=6))*ROW('CASE MASTER'!$T$2:$T$495))&gt;0,INDEX('CASE MASTER'!$Y$2:$Y$495,(SUMPRODUCT((('CASE MASTER'!$T$2:$T$495=13)*('CASE MASTER'!$U$2:$U$495&lt;=4)*('CASE MASTER'!$W$2:$W$495&gt;=4)*('CASE MASTER'!$V$2:$V$495&lt;=6)*('CASE MASTER'!$X$2:$X$495&gt;=6))*ROW('CASE MASTER'!$T$2:$T$495))-(ROW('CASE MASTER'!#REF!)-1)))&amp;TRIM(MID(SUBSTITUTE(SUBSTITUTE(INDEX('CASE MASTER'!$N$2:$N$495,(SUMPRODUCT((('CASE MASTER'!$T$2:$T$495=13)*('CASE MASTER'!$U$2:$U$495&lt;=4)*('CASE MASTER'!$W$2:$W$495&gt;=4)*('CASE MASTER'!$V$2:$V$495&lt;=6)*('CASE MASTER'!$X$2:$X$495&gt;=6))*ROW('CASE MASTER'!$T$2:$T$495))-(ROW('CASE MASTER'!#REF!)-1))),":",","),",",REPT(" ",50)),((((4-INDEX('CASE MASTER'!$U$2:$U$495,(SUMPRODUCT((('CASE MASTER'!$T$2:$T$495=13)*('CASE MASTER'!$U$2:$U$495&lt;=4)*('CASE MASTER'!$W$2:$W$495&gt;=4)*('CASE MASTER'!$V$2:$V$495&lt;=6)*('CASE MASTER'!$X$2:$X$495&gt;=6))*ROW('CASE MASTER'!$T$2:$T$495))-(ROW('CASE MASTER'!#REF!)-1))))*(INDEX('CASE MASTER'!$X$2:$X$495,(SUMPRODUCT((('CASE MASTER'!$T$2:$T$495=13)*('CASE MASTER'!$U$2:$U$495&lt;=4)*('CASE MASTER'!$W$2:$W$495&gt;=4)*('CASE MASTER'!$V$2:$V$495&lt;=6)*('CASE MASTER'!$X$2:$X$495&gt;=6))*ROW('CASE MASTER'!$T$2:$T$495))-(ROW('CASE MASTER'!#REF!)-1)))-INDEX('CASE MASTER'!$V$2:$V$495,(SUMPRODUCT((('CASE MASTER'!$T$2:$T$495=13)*('CASE MASTER'!$U$2:$U$495&lt;=4)*('CASE MASTER'!$W$2:$W$495&gt;=4)*('CASE MASTER'!$V$2:$V$495&lt;=6)*('CASE MASTER'!$X$2:$X$495&gt;=6))*ROW('CASE MASTER'!$T$2:$T$495))-(ROW('CASE MASTER'!#REF!)-1)))+1)+(6-INDEX('CASE MASTER'!$V$2:$V$495,(SUMPRODUCT((('CASE MASTER'!$T$2:$T$495=13)*('CASE MASTER'!$U$2:$U$495&lt;=4)*('CASE MASTER'!$W$2:$W$495&gt;=4)*('CASE MASTER'!$V$2:$V$495&lt;=6)*('CASE MASTER'!$X$2:$X$495&gt;=6))*ROW('CASE MASTER'!$T$2:$T$495))-(ROW('CASE MASTER'!#REF!)-1))))+1))-1)*50+1,50))&amp;"_"&amp;INDEX('CASE MASTER'!$Q$2:$Q$495,(SUMPRODUCT((('CASE MASTER'!$T$2:$T$495=13)*('CASE MASTER'!$U$2:$U$495&lt;=4)*('CASE MASTER'!$W$2:$W$495&gt;=4)*('CASE MASTER'!$V$2:$V$495&lt;=6)*('CASE MASTER'!$X$2:$X$495&gt;=6))*ROW('CASE MASTER'!$T$2:$T$495))-(ROW('CASE MASTER'!#REF!)-1))),IF(SUMPRODUCT((('CASE MASTER'!$T$2:$T$495=13)*('CASE MASTER'!$AA$2:$AA$495&lt;=4)*('CASE MASTER'!$AC$2:$AC$495&gt;=4)*('CASE MASTER'!$AB$2:$AB$495&lt;=6)*('CASE MASTER'!$AD$2:$AD$495&gt;=6))*ROW('CASE MASTER'!$T$2:$T$495))&gt;0,INDEX('CASE MASTER'!$Y$2:$Y$495,(SUMPRODUCT((('CASE MASTER'!$T$2:$T$495=13)*('CASE MASTER'!$AA$2:$AA$495&lt;=4)*('CASE MASTER'!$AC$2:$AC$495&gt;=4)*('CASE MASTER'!$AB$2:$AB$495&lt;=6)*('CASE MASTER'!$AD$2:$AD$495&gt;=6))*ROW('CASE MASTER'!$T$2:$T$495))-(ROW('CASE MASTER'!#REF!)-1)))&amp;TRIM(MID(SUBSTITUTE(SUBSTITUTE(INDEX('CASE MASTER'!$N$2:$N$495,(SUMPRODUCT((('CASE MASTER'!$T$2:$T$495=13)*('CASE MASTER'!$AA$2:$AA$495&lt;=4)*('CASE MASTER'!$AC$2:$AC$495&gt;=4)*('CASE MASTER'!$AB$2:$AB$495&lt;=6)*('CASE MASTER'!$AD$2:$AD$495&gt;=6))*ROW('CASE MASTER'!$T$2:$T$495))-(ROW('CASE MASTER'!#REF!)-1))),":",","),",",REPT(" ",50)),(((INDEX('CASE MASTER'!$Z$2:$Z$495,(SUMPRODUCT((('CASE MASTER'!$T$2:$T$495=13)*('CASE MASTER'!$AA$2:$AA$495&lt;=4)*('CASE MASTER'!$AC$2:$AC$495&gt;=4)*('CASE MASTER'!$AB$2:$AB$495&lt;=6)*('CASE MASTER'!$AD$2:$AD$495&gt;=6))*ROW('CASE MASTER'!$T$2:$T$495))-(ROW('CASE MASTER'!#REF!)-1)))+((4-INDEX('CASE MASTER'!$AA$2:$AA$495,(SUMPRODUCT((('CASE MASTER'!$T$2:$T$495=13)*('CASE MASTER'!$AA$2:$AA$495&lt;=4)*('CASE MASTER'!$AC$2:$AC$495&gt;=4)*('CASE MASTER'!$AB$2:$AB$495&lt;=6)*('CASE MASTER'!$AD$2:$AD$495&gt;=6))*ROW('CASE MASTER'!$T$2:$T$495))-(ROW('CASE MASTER'!#REF!)-1))))*(INDEX('CASE MASTER'!$AD$2:$AD$495,(SUMPRODUCT((('CASE MASTER'!$T$2:$T$495=13)*('CASE MASTER'!$AA$2:$AA$495&lt;=4)*('CASE MASTER'!$AC$2:$AC$495&gt;=4)*('CASE MASTER'!$AB$2:$AB$495&lt;=6)*('CASE MASTER'!$AD$2:$AD$495&gt;=6))*ROW('CASE MASTER'!$T$2:$T$495))-(ROW('CASE MASTER'!#REF!)-1)))-INDEX('CASE MASTER'!$AB$2:$AB$495,(SUMPRODUCT((('CASE MASTER'!$T$2:$T$495=13)*('CASE MASTER'!$AA$2:$AA$495&lt;=4)*('CASE MASTER'!$AC$2:$AC$495&gt;=4)*('CASE MASTER'!$AB$2:$AB$495&lt;=6)*('CASE MASTER'!$AD$2:$AD$495&gt;=6))*ROW('CASE MASTER'!$T$2:$T$495))-(ROW('CASE MASTER'!#REF!)-1)))+1)+(6-INDEX('CASE MASTER'!$AB$2:$AB$495,(SUMPRODUCT((('CASE MASTER'!$T$2:$T$495=13)*('CASE MASTER'!$AA$2:$AA$495&lt;=4)*('CASE MASTER'!$AC$2:$AC$495&gt;=4)*('CASE MASTER'!$AB$2:$AB$495&lt;=6)*('CASE MASTER'!$AD$2:$AD$495&gt;=6))*ROW('CASE MASTER'!$T$2:$T$495))-(ROW('CASE MASTER'!#REF!)-1))))+1)))-1)*50+1,50))&amp;"_"&amp;INDEX('CASE MASTER'!$Q$2:$Q$495,(SUMPRODUCT((('CASE MASTER'!$T$2:$T$495=13)*('CASE MASTER'!$AA$2:$AA$495&lt;=4)*('CASE MASTER'!$AC$2:$AC$495&gt;=4)*('CASE MASTER'!$AB$2:$AB$495&lt;=6)*('CASE MASTER'!$AD$2:$AD$495&gt;=6))*ROW('CASE MASTER'!$T$2:$T$495))-(ROW('CASE MASTER'!#REF!)-1))),"")),"")</f>
        <v/>
      </c>
      <c r="H174" s="10" t="str">
        <f>IFERROR(IF(SUMPRODUCT((('CASE MASTER'!$T$2:$T$495=13)*('CASE MASTER'!$U$2:$U$495&lt;=4)*('CASE MASTER'!$W$2:$W$495&gt;=4)*('CASE MASTER'!$V$2:$V$495&lt;=7)*('CASE MASTER'!$X$2:$X$495&gt;=7))*ROW('CASE MASTER'!$T$2:$T$495))&gt;0,INDEX('CASE MASTER'!$Y$2:$Y$495,(SUMPRODUCT((('CASE MASTER'!$T$2:$T$495=13)*('CASE MASTER'!$U$2:$U$495&lt;=4)*('CASE MASTER'!$W$2:$W$495&gt;=4)*('CASE MASTER'!$V$2:$V$495&lt;=7)*('CASE MASTER'!$X$2:$X$495&gt;=7))*ROW('CASE MASTER'!$T$2:$T$495))-(ROW('CASE MASTER'!#REF!)-1)))&amp;TRIM(MID(SUBSTITUTE(SUBSTITUTE(INDEX('CASE MASTER'!$N$2:$N$495,(SUMPRODUCT((('CASE MASTER'!$T$2:$T$495=13)*('CASE MASTER'!$U$2:$U$495&lt;=4)*('CASE MASTER'!$W$2:$W$495&gt;=4)*('CASE MASTER'!$V$2:$V$495&lt;=7)*('CASE MASTER'!$X$2:$X$495&gt;=7))*ROW('CASE MASTER'!$T$2:$T$495))-(ROW('CASE MASTER'!#REF!)-1))),":",","),",",REPT(" ",50)),((((4-INDEX('CASE MASTER'!$U$2:$U$495,(SUMPRODUCT((('CASE MASTER'!$T$2:$T$495=13)*('CASE MASTER'!$U$2:$U$495&lt;=4)*('CASE MASTER'!$W$2:$W$495&gt;=4)*('CASE MASTER'!$V$2:$V$495&lt;=7)*('CASE MASTER'!$X$2:$X$495&gt;=7))*ROW('CASE MASTER'!$T$2:$T$495))-(ROW('CASE MASTER'!#REF!)-1))))*(INDEX('CASE MASTER'!$X$2:$X$495,(SUMPRODUCT((('CASE MASTER'!$T$2:$T$495=13)*('CASE MASTER'!$U$2:$U$495&lt;=4)*('CASE MASTER'!$W$2:$W$495&gt;=4)*('CASE MASTER'!$V$2:$V$495&lt;=7)*('CASE MASTER'!$X$2:$X$495&gt;=7))*ROW('CASE MASTER'!$T$2:$T$495))-(ROW('CASE MASTER'!#REF!)-1)))-INDEX('CASE MASTER'!$V$2:$V$495,(SUMPRODUCT((('CASE MASTER'!$T$2:$T$495=13)*('CASE MASTER'!$U$2:$U$495&lt;=4)*('CASE MASTER'!$W$2:$W$495&gt;=4)*('CASE MASTER'!$V$2:$V$495&lt;=7)*('CASE MASTER'!$X$2:$X$495&gt;=7))*ROW('CASE MASTER'!$T$2:$T$495))-(ROW('CASE MASTER'!#REF!)-1)))+1)+(7-INDEX('CASE MASTER'!$V$2:$V$495,(SUMPRODUCT((('CASE MASTER'!$T$2:$T$495=13)*('CASE MASTER'!$U$2:$U$495&lt;=4)*('CASE MASTER'!$W$2:$W$495&gt;=4)*('CASE MASTER'!$V$2:$V$495&lt;=7)*('CASE MASTER'!$X$2:$X$495&gt;=7))*ROW('CASE MASTER'!$T$2:$T$495))-(ROW('CASE MASTER'!#REF!)-1))))+1))-1)*50+1,50))&amp;"_"&amp;INDEX('CASE MASTER'!$Q$2:$Q$495,(SUMPRODUCT((('CASE MASTER'!$T$2:$T$495=13)*('CASE MASTER'!$U$2:$U$495&lt;=4)*('CASE MASTER'!$W$2:$W$495&gt;=4)*('CASE MASTER'!$V$2:$V$495&lt;=7)*('CASE MASTER'!$X$2:$X$495&gt;=7))*ROW('CASE MASTER'!$T$2:$T$495))-(ROW('CASE MASTER'!#REF!)-1))),IF(SUMPRODUCT((('CASE MASTER'!$T$2:$T$495=13)*('CASE MASTER'!$AA$2:$AA$495&lt;=4)*('CASE MASTER'!$AC$2:$AC$495&gt;=4)*('CASE MASTER'!$AB$2:$AB$495&lt;=7)*('CASE MASTER'!$AD$2:$AD$495&gt;=7))*ROW('CASE MASTER'!$T$2:$T$495))&gt;0,INDEX('CASE MASTER'!$Y$2:$Y$495,(SUMPRODUCT((('CASE MASTER'!$T$2:$T$495=13)*('CASE MASTER'!$AA$2:$AA$495&lt;=4)*('CASE MASTER'!$AC$2:$AC$495&gt;=4)*('CASE MASTER'!$AB$2:$AB$495&lt;=7)*('CASE MASTER'!$AD$2:$AD$495&gt;=7))*ROW('CASE MASTER'!$T$2:$T$495))-(ROW('CASE MASTER'!#REF!)-1)))&amp;TRIM(MID(SUBSTITUTE(SUBSTITUTE(INDEX('CASE MASTER'!$N$2:$N$495,(SUMPRODUCT((('CASE MASTER'!$T$2:$T$495=13)*('CASE MASTER'!$AA$2:$AA$495&lt;=4)*('CASE MASTER'!$AC$2:$AC$495&gt;=4)*('CASE MASTER'!$AB$2:$AB$495&lt;=7)*('CASE MASTER'!$AD$2:$AD$495&gt;=7))*ROW('CASE MASTER'!$T$2:$T$495))-(ROW('CASE MASTER'!#REF!)-1))),":",","),",",REPT(" ",50)),(((INDEX('CASE MASTER'!$Z$2:$Z$495,(SUMPRODUCT((('CASE MASTER'!$T$2:$T$495=13)*('CASE MASTER'!$AA$2:$AA$495&lt;=4)*('CASE MASTER'!$AC$2:$AC$495&gt;=4)*('CASE MASTER'!$AB$2:$AB$495&lt;=7)*('CASE MASTER'!$AD$2:$AD$495&gt;=7))*ROW('CASE MASTER'!$T$2:$T$495))-(ROW('CASE MASTER'!#REF!)-1)))+((4-INDEX('CASE MASTER'!$AA$2:$AA$495,(SUMPRODUCT((('CASE MASTER'!$T$2:$T$495=13)*('CASE MASTER'!$AA$2:$AA$495&lt;=4)*('CASE MASTER'!$AC$2:$AC$495&gt;=4)*('CASE MASTER'!$AB$2:$AB$495&lt;=7)*('CASE MASTER'!$AD$2:$AD$495&gt;=7))*ROW('CASE MASTER'!$T$2:$T$495))-(ROW('CASE MASTER'!#REF!)-1))))*(INDEX('CASE MASTER'!$AD$2:$AD$495,(SUMPRODUCT((('CASE MASTER'!$T$2:$T$495=13)*('CASE MASTER'!$AA$2:$AA$495&lt;=4)*('CASE MASTER'!$AC$2:$AC$495&gt;=4)*('CASE MASTER'!$AB$2:$AB$495&lt;=7)*('CASE MASTER'!$AD$2:$AD$495&gt;=7))*ROW('CASE MASTER'!$T$2:$T$495))-(ROW('CASE MASTER'!#REF!)-1)))-INDEX('CASE MASTER'!$AB$2:$AB$495,(SUMPRODUCT((('CASE MASTER'!$T$2:$T$495=13)*('CASE MASTER'!$AA$2:$AA$495&lt;=4)*('CASE MASTER'!$AC$2:$AC$495&gt;=4)*('CASE MASTER'!$AB$2:$AB$495&lt;=7)*('CASE MASTER'!$AD$2:$AD$495&gt;=7))*ROW('CASE MASTER'!$T$2:$T$495))-(ROW('CASE MASTER'!#REF!)-1)))+1)+(7-INDEX('CASE MASTER'!$AB$2:$AB$495,(SUMPRODUCT((('CASE MASTER'!$T$2:$T$495=13)*('CASE MASTER'!$AA$2:$AA$495&lt;=4)*('CASE MASTER'!$AC$2:$AC$495&gt;=4)*('CASE MASTER'!$AB$2:$AB$495&lt;=7)*('CASE MASTER'!$AD$2:$AD$495&gt;=7))*ROW('CASE MASTER'!$T$2:$T$495))-(ROW('CASE MASTER'!#REF!)-1))))+1)))-1)*50+1,50))&amp;"_"&amp;INDEX('CASE MASTER'!$Q$2:$Q$495,(SUMPRODUCT((('CASE MASTER'!$T$2:$T$495=13)*('CASE MASTER'!$AA$2:$AA$495&lt;=4)*('CASE MASTER'!$AC$2:$AC$495&gt;=4)*('CASE MASTER'!$AB$2:$AB$495&lt;=7)*('CASE MASTER'!$AD$2:$AD$495&gt;=7))*ROW('CASE MASTER'!$T$2:$T$495))-(ROW('CASE MASTER'!#REF!)-1))),"")),"")</f>
        <v/>
      </c>
      <c r="I174" s="10" t="str">
        <f>IFERROR(IF(SUMPRODUCT((('CASE MASTER'!$T$2:$T$495=13)*('CASE MASTER'!$U$2:$U$495&lt;=4)*('CASE MASTER'!$W$2:$W$495&gt;=4)*('CASE MASTER'!$V$2:$V$495&lt;=8)*('CASE MASTER'!$X$2:$X$495&gt;=8))*ROW('CASE MASTER'!$T$2:$T$495))&gt;0,INDEX('CASE MASTER'!$Y$2:$Y$495,(SUMPRODUCT((('CASE MASTER'!$T$2:$T$495=13)*('CASE MASTER'!$U$2:$U$495&lt;=4)*('CASE MASTER'!$W$2:$W$495&gt;=4)*('CASE MASTER'!$V$2:$V$495&lt;=8)*('CASE MASTER'!$X$2:$X$495&gt;=8))*ROW('CASE MASTER'!$T$2:$T$495))-(ROW('CASE MASTER'!#REF!)-1)))&amp;TRIM(MID(SUBSTITUTE(SUBSTITUTE(INDEX('CASE MASTER'!$N$2:$N$495,(SUMPRODUCT((('CASE MASTER'!$T$2:$T$495=13)*('CASE MASTER'!$U$2:$U$495&lt;=4)*('CASE MASTER'!$W$2:$W$495&gt;=4)*('CASE MASTER'!$V$2:$V$495&lt;=8)*('CASE MASTER'!$X$2:$X$495&gt;=8))*ROW('CASE MASTER'!$T$2:$T$495))-(ROW('CASE MASTER'!#REF!)-1))),":",","),",",REPT(" ",50)),((((4-INDEX('CASE MASTER'!$U$2:$U$495,(SUMPRODUCT((('CASE MASTER'!$T$2:$T$495=13)*('CASE MASTER'!$U$2:$U$495&lt;=4)*('CASE MASTER'!$W$2:$W$495&gt;=4)*('CASE MASTER'!$V$2:$V$495&lt;=8)*('CASE MASTER'!$X$2:$X$495&gt;=8))*ROW('CASE MASTER'!$T$2:$T$495))-(ROW('CASE MASTER'!#REF!)-1))))*(INDEX('CASE MASTER'!$X$2:$X$495,(SUMPRODUCT((('CASE MASTER'!$T$2:$T$495=13)*('CASE MASTER'!$U$2:$U$495&lt;=4)*('CASE MASTER'!$W$2:$W$495&gt;=4)*('CASE MASTER'!$V$2:$V$495&lt;=8)*('CASE MASTER'!$X$2:$X$495&gt;=8))*ROW('CASE MASTER'!$T$2:$T$495))-(ROW('CASE MASTER'!#REF!)-1)))-INDEX('CASE MASTER'!$V$2:$V$495,(SUMPRODUCT((('CASE MASTER'!$T$2:$T$495=13)*('CASE MASTER'!$U$2:$U$495&lt;=4)*('CASE MASTER'!$W$2:$W$495&gt;=4)*('CASE MASTER'!$V$2:$V$495&lt;=8)*('CASE MASTER'!$X$2:$X$495&gt;=8))*ROW('CASE MASTER'!$T$2:$T$495))-(ROW('CASE MASTER'!#REF!)-1)))+1)+(8-INDEX('CASE MASTER'!$V$2:$V$495,(SUMPRODUCT((('CASE MASTER'!$T$2:$T$495=13)*('CASE MASTER'!$U$2:$U$495&lt;=4)*('CASE MASTER'!$W$2:$W$495&gt;=4)*('CASE MASTER'!$V$2:$V$495&lt;=8)*('CASE MASTER'!$X$2:$X$495&gt;=8))*ROW('CASE MASTER'!$T$2:$T$495))-(ROW('CASE MASTER'!#REF!)-1))))+1))-1)*50+1,50))&amp;"_"&amp;INDEX('CASE MASTER'!$Q$2:$Q$495,(SUMPRODUCT((('CASE MASTER'!$T$2:$T$495=13)*('CASE MASTER'!$U$2:$U$495&lt;=4)*('CASE MASTER'!$W$2:$W$495&gt;=4)*('CASE MASTER'!$V$2:$V$495&lt;=8)*('CASE MASTER'!$X$2:$X$495&gt;=8))*ROW('CASE MASTER'!$T$2:$T$495))-(ROW('CASE MASTER'!#REF!)-1))),IF(SUMPRODUCT((('CASE MASTER'!$T$2:$T$495=13)*('CASE MASTER'!$AA$2:$AA$495&lt;=4)*('CASE MASTER'!$AC$2:$AC$495&gt;=4)*('CASE MASTER'!$AB$2:$AB$495&lt;=8)*('CASE MASTER'!$AD$2:$AD$495&gt;=8))*ROW('CASE MASTER'!$T$2:$T$495))&gt;0,INDEX('CASE MASTER'!$Y$2:$Y$495,(SUMPRODUCT((('CASE MASTER'!$T$2:$T$495=13)*('CASE MASTER'!$AA$2:$AA$495&lt;=4)*('CASE MASTER'!$AC$2:$AC$495&gt;=4)*('CASE MASTER'!$AB$2:$AB$495&lt;=8)*('CASE MASTER'!$AD$2:$AD$495&gt;=8))*ROW('CASE MASTER'!$T$2:$T$495))-(ROW('CASE MASTER'!#REF!)-1)))&amp;TRIM(MID(SUBSTITUTE(SUBSTITUTE(INDEX('CASE MASTER'!$N$2:$N$495,(SUMPRODUCT((('CASE MASTER'!$T$2:$T$495=13)*('CASE MASTER'!$AA$2:$AA$495&lt;=4)*('CASE MASTER'!$AC$2:$AC$495&gt;=4)*('CASE MASTER'!$AB$2:$AB$495&lt;=8)*('CASE MASTER'!$AD$2:$AD$495&gt;=8))*ROW('CASE MASTER'!$T$2:$T$495))-(ROW('CASE MASTER'!#REF!)-1))),":",","),",",REPT(" ",50)),(((INDEX('CASE MASTER'!$Z$2:$Z$495,(SUMPRODUCT((('CASE MASTER'!$T$2:$T$495=13)*('CASE MASTER'!$AA$2:$AA$495&lt;=4)*('CASE MASTER'!$AC$2:$AC$495&gt;=4)*('CASE MASTER'!$AB$2:$AB$495&lt;=8)*('CASE MASTER'!$AD$2:$AD$495&gt;=8))*ROW('CASE MASTER'!$T$2:$T$495))-(ROW('CASE MASTER'!#REF!)-1)))+((4-INDEX('CASE MASTER'!$AA$2:$AA$495,(SUMPRODUCT((('CASE MASTER'!$T$2:$T$495=13)*('CASE MASTER'!$AA$2:$AA$495&lt;=4)*('CASE MASTER'!$AC$2:$AC$495&gt;=4)*('CASE MASTER'!$AB$2:$AB$495&lt;=8)*('CASE MASTER'!$AD$2:$AD$495&gt;=8))*ROW('CASE MASTER'!$T$2:$T$495))-(ROW('CASE MASTER'!#REF!)-1))))*(INDEX('CASE MASTER'!$AD$2:$AD$495,(SUMPRODUCT((('CASE MASTER'!$T$2:$T$495=13)*('CASE MASTER'!$AA$2:$AA$495&lt;=4)*('CASE MASTER'!$AC$2:$AC$495&gt;=4)*('CASE MASTER'!$AB$2:$AB$495&lt;=8)*('CASE MASTER'!$AD$2:$AD$495&gt;=8))*ROW('CASE MASTER'!$T$2:$T$495))-(ROW('CASE MASTER'!#REF!)-1)))-INDEX('CASE MASTER'!$AB$2:$AB$495,(SUMPRODUCT((('CASE MASTER'!$T$2:$T$495=13)*('CASE MASTER'!$AA$2:$AA$495&lt;=4)*('CASE MASTER'!$AC$2:$AC$495&gt;=4)*('CASE MASTER'!$AB$2:$AB$495&lt;=8)*('CASE MASTER'!$AD$2:$AD$495&gt;=8))*ROW('CASE MASTER'!$T$2:$T$495))-(ROW('CASE MASTER'!#REF!)-1)))+1)+(8-INDEX('CASE MASTER'!$AB$2:$AB$495,(SUMPRODUCT((('CASE MASTER'!$T$2:$T$495=13)*('CASE MASTER'!$AA$2:$AA$495&lt;=4)*('CASE MASTER'!$AC$2:$AC$495&gt;=4)*('CASE MASTER'!$AB$2:$AB$495&lt;=8)*('CASE MASTER'!$AD$2:$AD$495&gt;=8))*ROW('CASE MASTER'!$T$2:$T$495))-(ROW('CASE MASTER'!#REF!)-1))))+1)))-1)*50+1,50))&amp;"_"&amp;INDEX('CASE MASTER'!$Q$2:$Q$495,(SUMPRODUCT((('CASE MASTER'!$T$2:$T$495=13)*('CASE MASTER'!$AA$2:$AA$495&lt;=4)*('CASE MASTER'!$AC$2:$AC$495&gt;=4)*('CASE MASTER'!$AB$2:$AB$495&lt;=8)*('CASE MASTER'!$AD$2:$AD$495&gt;=8))*ROW('CASE MASTER'!$T$2:$T$495))-(ROW('CASE MASTER'!#REF!)-1))),"")),"")</f>
        <v/>
      </c>
      <c r="J174" s="10" t="str">
        <f>IFERROR(IF(SUMPRODUCT((('CASE MASTER'!$T$2:$T$495=13)*('CASE MASTER'!$U$2:$U$495&lt;=4)*('CASE MASTER'!$W$2:$W$495&gt;=4)*('CASE MASTER'!$V$2:$V$495&lt;=9)*('CASE MASTER'!$X$2:$X$495&gt;=9))*ROW('CASE MASTER'!$T$2:$T$495))&gt;0,INDEX('CASE MASTER'!$Y$2:$Y$495,(SUMPRODUCT((('CASE MASTER'!$T$2:$T$495=13)*('CASE MASTER'!$U$2:$U$495&lt;=4)*('CASE MASTER'!$W$2:$W$495&gt;=4)*('CASE MASTER'!$V$2:$V$495&lt;=9)*('CASE MASTER'!$X$2:$X$495&gt;=9))*ROW('CASE MASTER'!$T$2:$T$495))-(ROW('CASE MASTER'!#REF!)-1)))&amp;TRIM(MID(SUBSTITUTE(SUBSTITUTE(INDEX('CASE MASTER'!$N$2:$N$495,(SUMPRODUCT((('CASE MASTER'!$T$2:$T$495=13)*('CASE MASTER'!$U$2:$U$495&lt;=4)*('CASE MASTER'!$W$2:$W$495&gt;=4)*('CASE MASTER'!$V$2:$V$495&lt;=9)*('CASE MASTER'!$X$2:$X$495&gt;=9))*ROW('CASE MASTER'!$T$2:$T$495))-(ROW('CASE MASTER'!#REF!)-1))),":",","),",",REPT(" ",50)),((((4-INDEX('CASE MASTER'!$U$2:$U$495,(SUMPRODUCT((('CASE MASTER'!$T$2:$T$495=13)*('CASE MASTER'!$U$2:$U$495&lt;=4)*('CASE MASTER'!$W$2:$W$495&gt;=4)*('CASE MASTER'!$V$2:$V$495&lt;=9)*('CASE MASTER'!$X$2:$X$495&gt;=9))*ROW('CASE MASTER'!$T$2:$T$495))-(ROW('CASE MASTER'!#REF!)-1))))*(INDEX('CASE MASTER'!$X$2:$X$495,(SUMPRODUCT((('CASE MASTER'!$T$2:$T$495=13)*('CASE MASTER'!$U$2:$U$495&lt;=4)*('CASE MASTER'!$W$2:$W$495&gt;=4)*('CASE MASTER'!$V$2:$V$495&lt;=9)*('CASE MASTER'!$X$2:$X$495&gt;=9))*ROW('CASE MASTER'!$T$2:$T$495))-(ROW('CASE MASTER'!#REF!)-1)))-INDEX('CASE MASTER'!$V$2:$V$495,(SUMPRODUCT((('CASE MASTER'!$T$2:$T$495=13)*('CASE MASTER'!$U$2:$U$495&lt;=4)*('CASE MASTER'!$W$2:$W$495&gt;=4)*('CASE MASTER'!$V$2:$V$495&lt;=9)*('CASE MASTER'!$X$2:$X$495&gt;=9))*ROW('CASE MASTER'!$T$2:$T$495))-(ROW('CASE MASTER'!#REF!)-1)))+1)+(9-INDEX('CASE MASTER'!$V$2:$V$495,(SUMPRODUCT((('CASE MASTER'!$T$2:$T$495=13)*('CASE MASTER'!$U$2:$U$495&lt;=4)*('CASE MASTER'!$W$2:$W$495&gt;=4)*('CASE MASTER'!$V$2:$V$495&lt;=9)*('CASE MASTER'!$X$2:$X$495&gt;=9))*ROW('CASE MASTER'!$T$2:$T$495))-(ROW('CASE MASTER'!#REF!)-1))))+1))-1)*50+1,50))&amp;"_"&amp;INDEX('CASE MASTER'!$Q$2:$Q$495,(SUMPRODUCT((('CASE MASTER'!$T$2:$T$495=13)*('CASE MASTER'!$U$2:$U$495&lt;=4)*('CASE MASTER'!$W$2:$W$495&gt;=4)*('CASE MASTER'!$V$2:$V$495&lt;=9)*('CASE MASTER'!$X$2:$X$495&gt;=9))*ROW('CASE MASTER'!$T$2:$T$495))-(ROW('CASE MASTER'!#REF!)-1))),IF(SUMPRODUCT((('CASE MASTER'!$T$2:$T$495=13)*('CASE MASTER'!$AA$2:$AA$495&lt;=4)*('CASE MASTER'!$AC$2:$AC$495&gt;=4)*('CASE MASTER'!$AB$2:$AB$495&lt;=9)*('CASE MASTER'!$AD$2:$AD$495&gt;=9))*ROW('CASE MASTER'!$T$2:$T$495))&gt;0,INDEX('CASE MASTER'!$Y$2:$Y$495,(SUMPRODUCT((('CASE MASTER'!$T$2:$T$495=13)*('CASE MASTER'!$AA$2:$AA$495&lt;=4)*('CASE MASTER'!$AC$2:$AC$495&gt;=4)*('CASE MASTER'!$AB$2:$AB$495&lt;=9)*('CASE MASTER'!$AD$2:$AD$495&gt;=9))*ROW('CASE MASTER'!$T$2:$T$495))-(ROW('CASE MASTER'!#REF!)-1)))&amp;TRIM(MID(SUBSTITUTE(SUBSTITUTE(INDEX('CASE MASTER'!$N$2:$N$495,(SUMPRODUCT((('CASE MASTER'!$T$2:$T$495=13)*('CASE MASTER'!$AA$2:$AA$495&lt;=4)*('CASE MASTER'!$AC$2:$AC$495&gt;=4)*('CASE MASTER'!$AB$2:$AB$495&lt;=9)*('CASE MASTER'!$AD$2:$AD$495&gt;=9))*ROW('CASE MASTER'!$T$2:$T$495))-(ROW('CASE MASTER'!#REF!)-1))),":",","),",",REPT(" ",50)),(((INDEX('CASE MASTER'!$Z$2:$Z$495,(SUMPRODUCT((('CASE MASTER'!$T$2:$T$495=13)*('CASE MASTER'!$AA$2:$AA$495&lt;=4)*('CASE MASTER'!$AC$2:$AC$495&gt;=4)*('CASE MASTER'!$AB$2:$AB$495&lt;=9)*('CASE MASTER'!$AD$2:$AD$495&gt;=9))*ROW('CASE MASTER'!$T$2:$T$495))-(ROW('CASE MASTER'!#REF!)-1)))+((4-INDEX('CASE MASTER'!$AA$2:$AA$495,(SUMPRODUCT((('CASE MASTER'!$T$2:$T$495=13)*('CASE MASTER'!$AA$2:$AA$495&lt;=4)*('CASE MASTER'!$AC$2:$AC$495&gt;=4)*('CASE MASTER'!$AB$2:$AB$495&lt;=9)*('CASE MASTER'!$AD$2:$AD$495&gt;=9))*ROW('CASE MASTER'!$T$2:$T$495))-(ROW('CASE MASTER'!#REF!)-1))))*(INDEX('CASE MASTER'!$AD$2:$AD$495,(SUMPRODUCT((('CASE MASTER'!$T$2:$T$495=13)*('CASE MASTER'!$AA$2:$AA$495&lt;=4)*('CASE MASTER'!$AC$2:$AC$495&gt;=4)*('CASE MASTER'!$AB$2:$AB$495&lt;=9)*('CASE MASTER'!$AD$2:$AD$495&gt;=9))*ROW('CASE MASTER'!$T$2:$T$495))-(ROW('CASE MASTER'!#REF!)-1)))-INDEX('CASE MASTER'!$AB$2:$AB$495,(SUMPRODUCT((('CASE MASTER'!$T$2:$T$495=13)*('CASE MASTER'!$AA$2:$AA$495&lt;=4)*('CASE MASTER'!$AC$2:$AC$495&gt;=4)*('CASE MASTER'!$AB$2:$AB$495&lt;=9)*('CASE MASTER'!$AD$2:$AD$495&gt;=9))*ROW('CASE MASTER'!$T$2:$T$495))-(ROW('CASE MASTER'!#REF!)-1)))+1)+(9-INDEX('CASE MASTER'!$AB$2:$AB$495,(SUMPRODUCT((('CASE MASTER'!$T$2:$T$495=13)*('CASE MASTER'!$AA$2:$AA$495&lt;=4)*('CASE MASTER'!$AC$2:$AC$495&gt;=4)*('CASE MASTER'!$AB$2:$AB$495&lt;=9)*('CASE MASTER'!$AD$2:$AD$495&gt;=9))*ROW('CASE MASTER'!$T$2:$T$495))-(ROW('CASE MASTER'!#REF!)-1))))+1)))-1)*50+1,50))&amp;"_"&amp;INDEX('CASE MASTER'!$Q$2:$Q$495,(SUMPRODUCT((('CASE MASTER'!$T$2:$T$495=13)*('CASE MASTER'!$AA$2:$AA$495&lt;=4)*('CASE MASTER'!$AC$2:$AC$495&gt;=4)*('CASE MASTER'!$AB$2:$AB$495&lt;=9)*('CASE MASTER'!$AD$2:$AD$495&gt;=9))*ROW('CASE MASTER'!$T$2:$T$495))-(ROW('CASE MASTER'!#REF!)-1))),"")),"")</f>
        <v/>
      </c>
      <c r="K174" s="10" t="str">
        <f>IFERROR(IF(SUMPRODUCT((('CASE MASTER'!$T$2:$T$495=13)*('CASE MASTER'!$U$2:$U$495&lt;=4)*('CASE MASTER'!$W$2:$W$495&gt;=4)*('CASE MASTER'!$V$2:$V$495&lt;=10)*('CASE MASTER'!$X$2:$X$495&gt;=10))*ROW('CASE MASTER'!$T$2:$T$495))&gt;0,INDEX('CASE MASTER'!$Y$2:$Y$495,(SUMPRODUCT((('CASE MASTER'!$T$2:$T$495=13)*('CASE MASTER'!$U$2:$U$495&lt;=4)*('CASE MASTER'!$W$2:$W$495&gt;=4)*('CASE MASTER'!$V$2:$V$495&lt;=10)*('CASE MASTER'!$X$2:$X$495&gt;=10))*ROW('CASE MASTER'!$T$2:$T$495))-(ROW('CASE MASTER'!#REF!)-1)))&amp;TRIM(MID(SUBSTITUTE(SUBSTITUTE(INDEX('CASE MASTER'!$N$2:$N$495,(SUMPRODUCT((('CASE MASTER'!$T$2:$T$495=13)*('CASE MASTER'!$U$2:$U$495&lt;=4)*('CASE MASTER'!$W$2:$W$495&gt;=4)*('CASE MASTER'!$V$2:$V$495&lt;=10)*('CASE MASTER'!$X$2:$X$495&gt;=10))*ROW('CASE MASTER'!$T$2:$T$495))-(ROW('CASE MASTER'!#REF!)-1))),":",","),",",REPT(" ",50)),((((4-INDEX('CASE MASTER'!$U$2:$U$495,(SUMPRODUCT((('CASE MASTER'!$T$2:$T$495=13)*('CASE MASTER'!$U$2:$U$495&lt;=4)*('CASE MASTER'!$W$2:$W$495&gt;=4)*('CASE MASTER'!$V$2:$V$495&lt;=10)*('CASE MASTER'!$X$2:$X$495&gt;=10))*ROW('CASE MASTER'!$T$2:$T$495))-(ROW('CASE MASTER'!#REF!)-1))))*(INDEX('CASE MASTER'!$X$2:$X$495,(SUMPRODUCT((('CASE MASTER'!$T$2:$T$495=13)*('CASE MASTER'!$U$2:$U$495&lt;=4)*('CASE MASTER'!$W$2:$W$495&gt;=4)*('CASE MASTER'!$V$2:$V$495&lt;=10)*('CASE MASTER'!$X$2:$X$495&gt;=10))*ROW('CASE MASTER'!$T$2:$T$495))-(ROW('CASE MASTER'!#REF!)-1)))-INDEX('CASE MASTER'!$V$2:$V$495,(SUMPRODUCT((('CASE MASTER'!$T$2:$T$495=13)*('CASE MASTER'!$U$2:$U$495&lt;=4)*('CASE MASTER'!$W$2:$W$495&gt;=4)*('CASE MASTER'!$V$2:$V$495&lt;=10)*('CASE MASTER'!$X$2:$X$495&gt;=10))*ROW('CASE MASTER'!$T$2:$T$495))-(ROW('CASE MASTER'!#REF!)-1)))+1)+(10-INDEX('CASE MASTER'!$V$2:$V$495,(SUMPRODUCT((('CASE MASTER'!$T$2:$T$495=13)*('CASE MASTER'!$U$2:$U$495&lt;=4)*('CASE MASTER'!$W$2:$W$495&gt;=4)*('CASE MASTER'!$V$2:$V$495&lt;=10)*('CASE MASTER'!$X$2:$X$495&gt;=10))*ROW('CASE MASTER'!$T$2:$T$495))-(ROW('CASE MASTER'!#REF!)-1))))+1))-1)*50+1,50))&amp;"_"&amp;INDEX('CASE MASTER'!$Q$2:$Q$495,(SUMPRODUCT((('CASE MASTER'!$T$2:$T$495=13)*('CASE MASTER'!$U$2:$U$495&lt;=4)*('CASE MASTER'!$W$2:$W$495&gt;=4)*('CASE MASTER'!$V$2:$V$495&lt;=10)*('CASE MASTER'!$X$2:$X$495&gt;=10))*ROW('CASE MASTER'!$T$2:$T$495))-(ROW('CASE MASTER'!#REF!)-1))),IF(SUMPRODUCT((('CASE MASTER'!$T$2:$T$495=13)*('CASE MASTER'!$AA$2:$AA$495&lt;=4)*('CASE MASTER'!$AC$2:$AC$495&gt;=4)*('CASE MASTER'!$AB$2:$AB$495&lt;=10)*('CASE MASTER'!$AD$2:$AD$495&gt;=10))*ROW('CASE MASTER'!$T$2:$T$495))&gt;0,INDEX('CASE MASTER'!$Y$2:$Y$495,(SUMPRODUCT((('CASE MASTER'!$T$2:$T$495=13)*('CASE MASTER'!$AA$2:$AA$495&lt;=4)*('CASE MASTER'!$AC$2:$AC$495&gt;=4)*('CASE MASTER'!$AB$2:$AB$495&lt;=10)*('CASE MASTER'!$AD$2:$AD$495&gt;=10))*ROW('CASE MASTER'!$T$2:$T$495))-(ROW('CASE MASTER'!#REF!)-1)))&amp;TRIM(MID(SUBSTITUTE(SUBSTITUTE(INDEX('CASE MASTER'!$N$2:$N$495,(SUMPRODUCT((('CASE MASTER'!$T$2:$T$495=13)*('CASE MASTER'!$AA$2:$AA$495&lt;=4)*('CASE MASTER'!$AC$2:$AC$495&gt;=4)*('CASE MASTER'!$AB$2:$AB$495&lt;=10)*('CASE MASTER'!$AD$2:$AD$495&gt;=10))*ROW('CASE MASTER'!$T$2:$T$495))-(ROW('CASE MASTER'!#REF!)-1))),":",","),",",REPT(" ",50)),(((INDEX('CASE MASTER'!$Z$2:$Z$495,(SUMPRODUCT((('CASE MASTER'!$T$2:$T$495=13)*('CASE MASTER'!$AA$2:$AA$495&lt;=4)*('CASE MASTER'!$AC$2:$AC$495&gt;=4)*('CASE MASTER'!$AB$2:$AB$495&lt;=10)*('CASE MASTER'!$AD$2:$AD$495&gt;=10))*ROW('CASE MASTER'!$T$2:$T$495))-(ROW('CASE MASTER'!#REF!)-1)))+((4-INDEX('CASE MASTER'!$AA$2:$AA$495,(SUMPRODUCT((('CASE MASTER'!$T$2:$T$495=13)*('CASE MASTER'!$AA$2:$AA$495&lt;=4)*('CASE MASTER'!$AC$2:$AC$495&gt;=4)*('CASE MASTER'!$AB$2:$AB$495&lt;=10)*('CASE MASTER'!$AD$2:$AD$495&gt;=10))*ROW('CASE MASTER'!$T$2:$T$495))-(ROW('CASE MASTER'!#REF!)-1))))*(INDEX('CASE MASTER'!$AD$2:$AD$495,(SUMPRODUCT((('CASE MASTER'!$T$2:$T$495=13)*('CASE MASTER'!$AA$2:$AA$495&lt;=4)*('CASE MASTER'!$AC$2:$AC$495&gt;=4)*('CASE MASTER'!$AB$2:$AB$495&lt;=10)*('CASE MASTER'!$AD$2:$AD$495&gt;=10))*ROW('CASE MASTER'!$T$2:$T$495))-(ROW('CASE MASTER'!#REF!)-1)))-INDEX('CASE MASTER'!$AB$2:$AB$495,(SUMPRODUCT((('CASE MASTER'!$T$2:$T$495=13)*('CASE MASTER'!$AA$2:$AA$495&lt;=4)*('CASE MASTER'!$AC$2:$AC$495&gt;=4)*('CASE MASTER'!$AB$2:$AB$495&lt;=10)*('CASE MASTER'!$AD$2:$AD$495&gt;=10))*ROW('CASE MASTER'!$T$2:$T$495))-(ROW('CASE MASTER'!#REF!)-1)))+1)+(10-INDEX('CASE MASTER'!$AB$2:$AB$495,(SUMPRODUCT((('CASE MASTER'!$T$2:$T$495=13)*('CASE MASTER'!$AA$2:$AA$495&lt;=4)*('CASE MASTER'!$AC$2:$AC$495&gt;=4)*('CASE MASTER'!$AB$2:$AB$495&lt;=10)*('CASE MASTER'!$AD$2:$AD$495&gt;=10))*ROW('CASE MASTER'!$T$2:$T$495))-(ROW('CASE MASTER'!#REF!)-1))))+1)))-1)*50+1,50))&amp;"_"&amp;INDEX('CASE MASTER'!$Q$2:$Q$495,(SUMPRODUCT((('CASE MASTER'!$T$2:$T$495=13)*('CASE MASTER'!$AA$2:$AA$495&lt;=4)*('CASE MASTER'!$AC$2:$AC$495&gt;=4)*('CASE MASTER'!$AB$2:$AB$495&lt;=10)*('CASE MASTER'!$AD$2:$AD$495&gt;=10))*ROW('CASE MASTER'!$T$2:$T$495))-(ROW('CASE MASTER'!#REF!)-1))),"")),"")</f>
        <v/>
      </c>
    </row>
    <row r="175" spans="1:11" ht="15" customHeight="1" x14ac:dyDescent="0.35">
      <c r="A175" s="8" t="s">
        <v>32</v>
      </c>
      <c r="B175" s="10" t="str">
        <f>IFERROR(IF(SUMPRODUCT((('CASE MASTER'!$T$2:$T$495=13)*('CASE MASTER'!$U$2:$U$495&lt;=5)*('CASE MASTER'!$W$2:$W$495&gt;=5)*('CASE MASTER'!$V$2:$V$495&lt;=1)*('CASE MASTER'!$X$2:$X$495&gt;=1))*ROW('CASE MASTER'!$T$2:$T$495))&gt;0,INDEX('CASE MASTER'!$Y$2:$Y$495,(SUMPRODUCT((('CASE MASTER'!$T$2:$T$495=13)*('CASE MASTER'!$U$2:$U$495&lt;=5)*('CASE MASTER'!$W$2:$W$495&gt;=5)*('CASE MASTER'!$V$2:$V$495&lt;=1)*('CASE MASTER'!$X$2:$X$495&gt;=1))*ROW('CASE MASTER'!$T$2:$T$495))-(ROW('CASE MASTER'!#REF!)-1)))&amp;TRIM(MID(SUBSTITUTE(SUBSTITUTE(INDEX('CASE MASTER'!$N$2:$N$495,(SUMPRODUCT((('CASE MASTER'!$T$2:$T$495=13)*('CASE MASTER'!$U$2:$U$495&lt;=5)*('CASE MASTER'!$W$2:$W$495&gt;=5)*('CASE MASTER'!$V$2:$V$495&lt;=1)*('CASE MASTER'!$X$2:$X$495&gt;=1))*ROW('CASE MASTER'!$T$2:$T$495))-(ROW('CASE MASTER'!#REF!)-1))),":",","),",",REPT(" ",50)),((((5-INDEX('CASE MASTER'!$U$2:$U$495,(SUMPRODUCT((('CASE MASTER'!$T$2:$T$495=13)*('CASE MASTER'!$U$2:$U$495&lt;=5)*('CASE MASTER'!$W$2:$W$495&gt;=5)*('CASE MASTER'!$V$2:$V$495&lt;=1)*('CASE MASTER'!$X$2:$X$495&gt;=1))*ROW('CASE MASTER'!$T$2:$T$495))-(ROW('CASE MASTER'!#REF!)-1))))*(INDEX('CASE MASTER'!$X$2:$X$495,(SUMPRODUCT((('CASE MASTER'!$T$2:$T$495=13)*('CASE MASTER'!$U$2:$U$495&lt;=5)*('CASE MASTER'!$W$2:$W$495&gt;=5)*('CASE MASTER'!$V$2:$V$495&lt;=1)*('CASE MASTER'!$X$2:$X$495&gt;=1))*ROW('CASE MASTER'!$T$2:$T$495))-(ROW('CASE MASTER'!#REF!)-1)))-INDEX('CASE MASTER'!$V$2:$V$495,(SUMPRODUCT((('CASE MASTER'!$T$2:$T$495=13)*('CASE MASTER'!$U$2:$U$495&lt;=5)*('CASE MASTER'!$W$2:$W$495&gt;=5)*('CASE MASTER'!$V$2:$V$495&lt;=1)*('CASE MASTER'!$X$2:$X$495&gt;=1))*ROW('CASE MASTER'!$T$2:$T$495))-(ROW('CASE MASTER'!#REF!)-1)))+1)+(1-INDEX('CASE MASTER'!$V$2:$V$495,(SUMPRODUCT((('CASE MASTER'!$T$2:$T$495=13)*('CASE MASTER'!$U$2:$U$495&lt;=5)*('CASE MASTER'!$W$2:$W$495&gt;=5)*('CASE MASTER'!$V$2:$V$495&lt;=1)*('CASE MASTER'!$X$2:$X$495&gt;=1))*ROW('CASE MASTER'!$T$2:$T$495))-(ROW('CASE MASTER'!#REF!)-1))))+1))-1)*50+1,50))&amp;"_"&amp;INDEX('CASE MASTER'!$Q$2:$Q$495,(SUMPRODUCT((('CASE MASTER'!$T$2:$T$495=13)*('CASE MASTER'!$U$2:$U$495&lt;=5)*('CASE MASTER'!$W$2:$W$495&gt;=5)*('CASE MASTER'!$V$2:$V$495&lt;=1)*('CASE MASTER'!$X$2:$X$495&gt;=1))*ROW('CASE MASTER'!$T$2:$T$495))-(ROW('CASE MASTER'!#REF!)-1))),IF(SUMPRODUCT((('CASE MASTER'!$T$2:$T$495=13)*('CASE MASTER'!$AA$2:$AA$495&lt;=5)*('CASE MASTER'!$AC$2:$AC$495&gt;=5)*('CASE MASTER'!$AB$2:$AB$495&lt;=1)*('CASE MASTER'!$AD$2:$AD$495&gt;=1))*ROW('CASE MASTER'!$T$2:$T$495))&gt;0,INDEX('CASE MASTER'!$Y$2:$Y$495,(SUMPRODUCT((('CASE MASTER'!$T$2:$T$495=13)*('CASE MASTER'!$AA$2:$AA$495&lt;=5)*('CASE MASTER'!$AC$2:$AC$495&gt;=5)*('CASE MASTER'!$AB$2:$AB$495&lt;=1)*('CASE MASTER'!$AD$2:$AD$495&gt;=1))*ROW('CASE MASTER'!$T$2:$T$495))-(ROW('CASE MASTER'!#REF!)-1)))&amp;TRIM(MID(SUBSTITUTE(SUBSTITUTE(INDEX('CASE MASTER'!$N$2:$N$495,(SUMPRODUCT((('CASE MASTER'!$T$2:$T$495=13)*('CASE MASTER'!$AA$2:$AA$495&lt;=5)*('CASE MASTER'!$AC$2:$AC$495&gt;=5)*('CASE MASTER'!$AB$2:$AB$495&lt;=1)*('CASE MASTER'!$AD$2:$AD$495&gt;=1))*ROW('CASE MASTER'!$T$2:$T$495))-(ROW('CASE MASTER'!#REF!)-1))),":",","),",",REPT(" ",50)),(((INDEX('CASE MASTER'!$Z$2:$Z$495,(SUMPRODUCT((('CASE MASTER'!$T$2:$T$495=13)*('CASE MASTER'!$AA$2:$AA$495&lt;=5)*('CASE MASTER'!$AC$2:$AC$495&gt;=5)*('CASE MASTER'!$AB$2:$AB$495&lt;=1)*('CASE MASTER'!$AD$2:$AD$495&gt;=1))*ROW('CASE MASTER'!$T$2:$T$495))-(ROW('CASE MASTER'!#REF!)-1)))+((5-INDEX('CASE MASTER'!$AA$2:$AA$495,(SUMPRODUCT((('CASE MASTER'!$T$2:$T$495=13)*('CASE MASTER'!$AA$2:$AA$495&lt;=5)*('CASE MASTER'!$AC$2:$AC$495&gt;=5)*('CASE MASTER'!$AB$2:$AB$495&lt;=1)*('CASE MASTER'!$AD$2:$AD$495&gt;=1))*ROW('CASE MASTER'!$T$2:$T$495))-(ROW('CASE MASTER'!#REF!)-1))))*(INDEX('CASE MASTER'!$AD$2:$AD$495,(SUMPRODUCT((('CASE MASTER'!$T$2:$T$495=13)*('CASE MASTER'!$AA$2:$AA$495&lt;=5)*('CASE MASTER'!$AC$2:$AC$495&gt;=5)*('CASE MASTER'!$AB$2:$AB$495&lt;=1)*('CASE MASTER'!$AD$2:$AD$495&gt;=1))*ROW('CASE MASTER'!$T$2:$T$495))-(ROW('CASE MASTER'!#REF!)-1)))-INDEX('CASE MASTER'!$AB$2:$AB$495,(SUMPRODUCT((('CASE MASTER'!$T$2:$T$495=13)*('CASE MASTER'!$AA$2:$AA$495&lt;=5)*('CASE MASTER'!$AC$2:$AC$495&gt;=5)*('CASE MASTER'!$AB$2:$AB$495&lt;=1)*('CASE MASTER'!$AD$2:$AD$495&gt;=1))*ROW('CASE MASTER'!$T$2:$T$495))-(ROW('CASE MASTER'!#REF!)-1)))+1)+(1-INDEX('CASE MASTER'!$AB$2:$AB$495,(SUMPRODUCT((('CASE MASTER'!$T$2:$T$495=13)*('CASE MASTER'!$AA$2:$AA$495&lt;=5)*('CASE MASTER'!$AC$2:$AC$495&gt;=5)*('CASE MASTER'!$AB$2:$AB$495&lt;=1)*('CASE MASTER'!$AD$2:$AD$495&gt;=1))*ROW('CASE MASTER'!$T$2:$T$495))-(ROW('CASE MASTER'!#REF!)-1))))+1)))-1)*50+1,50))&amp;"_"&amp;INDEX('CASE MASTER'!$Q$2:$Q$495,(SUMPRODUCT((('CASE MASTER'!$T$2:$T$495=13)*('CASE MASTER'!$AA$2:$AA$495&lt;=5)*('CASE MASTER'!$AC$2:$AC$495&gt;=5)*('CASE MASTER'!$AB$2:$AB$495&lt;=1)*('CASE MASTER'!$AD$2:$AD$495&gt;=1))*ROW('CASE MASTER'!$T$2:$T$495))-(ROW('CASE MASTER'!#REF!)-1))),"")),"")</f>
        <v/>
      </c>
      <c r="C175" s="10" t="str">
        <f>IFERROR(IF(SUMPRODUCT((('CASE MASTER'!$T$2:$T$495=13)*('CASE MASTER'!$U$2:$U$495&lt;=5)*('CASE MASTER'!$W$2:$W$495&gt;=5)*('CASE MASTER'!$V$2:$V$495&lt;=2)*('CASE MASTER'!$X$2:$X$495&gt;=2))*ROW('CASE MASTER'!$T$2:$T$495))&gt;0,INDEX('CASE MASTER'!$Y$2:$Y$495,(SUMPRODUCT((('CASE MASTER'!$T$2:$T$495=13)*('CASE MASTER'!$U$2:$U$495&lt;=5)*('CASE MASTER'!$W$2:$W$495&gt;=5)*('CASE MASTER'!$V$2:$V$495&lt;=2)*('CASE MASTER'!$X$2:$X$495&gt;=2))*ROW('CASE MASTER'!$T$2:$T$495))-(ROW('CASE MASTER'!#REF!)-1)))&amp;TRIM(MID(SUBSTITUTE(SUBSTITUTE(INDEX('CASE MASTER'!$N$2:$N$495,(SUMPRODUCT((('CASE MASTER'!$T$2:$T$495=13)*('CASE MASTER'!$U$2:$U$495&lt;=5)*('CASE MASTER'!$W$2:$W$495&gt;=5)*('CASE MASTER'!$V$2:$V$495&lt;=2)*('CASE MASTER'!$X$2:$X$495&gt;=2))*ROW('CASE MASTER'!$T$2:$T$495))-(ROW('CASE MASTER'!#REF!)-1))),":",","),",",REPT(" ",50)),((((5-INDEX('CASE MASTER'!$U$2:$U$495,(SUMPRODUCT((('CASE MASTER'!$T$2:$T$495=13)*('CASE MASTER'!$U$2:$U$495&lt;=5)*('CASE MASTER'!$W$2:$W$495&gt;=5)*('CASE MASTER'!$V$2:$V$495&lt;=2)*('CASE MASTER'!$X$2:$X$495&gt;=2))*ROW('CASE MASTER'!$T$2:$T$495))-(ROW('CASE MASTER'!#REF!)-1))))*(INDEX('CASE MASTER'!$X$2:$X$495,(SUMPRODUCT((('CASE MASTER'!$T$2:$T$495=13)*('CASE MASTER'!$U$2:$U$495&lt;=5)*('CASE MASTER'!$W$2:$W$495&gt;=5)*('CASE MASTER'!$V$2:$V$495&lt;=2)*('CASE MASTER'!$X$2:$X$495&gt;=2))*ROW('CASE MASTER'!$T$2:$T$495))-(ROW('CASE MASTER'!#REF!)-1)))-INDEX('CASE MASTER'!$V$2:$V$495,(SUMPRODUCT((('CASE MASTER'!$T$2:$T$495=13)*('CASE MASTER'!$U$2:$U$495&lt;=5)*('CASE MASTER'!$W$2:$W$495&gt;=5)*('CASE MASTER'!$V$2:$V$495&lt;=2)*('CASE MASTER'!$X$2:$X$495&gt;=2))*ROW('CASE MASTER'!$T$2:$T$495))-(ROW('CASE MASTER'!#REF!)-1)))+1)+(2-INDEX('CASE MASTER'!$V$2:$V$495,(SUMPRODUCT((('CASE MASTER'!$T$2:$T$495=13)*('CASE MASTER'!$U$2:$U$495&lt;=5)*('CASE MASTER'!$W$2:$W$495&gt;=5)*('CASE MASTER'!$V$2:$V$495&lt;=2)*('CASE MASTER'!$X$2:$X$495&gt;=2))*ROW('CASE MASTER'!$T$2:$T$495))-(ROW('CASE MASTER'!#REF!)-1))))+1))-1)*50+1,50))&amp;"_"&amp;INDEX('CASE MASTER'!$Q$2:$Q$495,(SUMPRODUCT((('CASE MASTER'!$T$2:$T$495=13)*('CASE MASTER'!$U$2:$U$495&lt;=5)*('CASE MASTER'!$W$2:$W$495&gt;=5)*('CASE MASTER'!$V$2:$V$495&lt;=2)*('CASE MASTER'!$X$2:$X$495&gt;=2))*ROW('CASE MASTER'!$T$2:$T$495))-(ROW('CASE MASTER'!#REF!)-1))),IF(SUMPRODUCT((('CASE MASTER'!$T$2:$T$495=13)*('CASE MASTER'!$AA$2:$AA$495&lt;=5)*('CASE MASTER'!$AC$2:$AC$495&gt;=5)*('CASE MASTER'!$AB$2:$AB$495&lt;=2)*('CASE MASTER'!$AD$2:$AD$495&gt;=2))*ROW('CASE MASTER'!$T$2:$T$495))&gt;0,INDEX('CASE MASTER'!$Y$2:$Y$495,(SUMPRODUCT((('CASE MASTER'!$T$2:$T$495=13)*('CASE MASTER'!$AA$2:$AA$495&lt;=5)*('CASE MASTER'!$AC$2:$AC$495&gt;=5)*('CASE MASTER'!$AB$2:$AB$495&lt;=2)*('CASE MASTER'!$AD$2:$AD$495&gt;=2))*ROW('CASE MASTER'!$T$2:$T$495))-(ROW('CASE MASTER'!#REF!)-1)))&amp;TRIM(MID(SUBSTITUTE(SUBSTITUTE(INDEX('CASE MASTER'!$N$2:$N$495,(SUMPRODUCT((('CASE MASTER'!$T$2:$T$495=13)*('CASE MASTER'!$AA$2:$AA$495&lt;=5)*('CASE MASTER'!$AC$2:$AC$495&gt;=5)*('CASE MASTER'!$AB$2:$AB$495&lt;=2)*('CASE MASTER'!$AD$2:$AD$495&gt;=2))*ROW('CASE MASTER'!$T$2:$T$495))-(ROW('CASE MASTER'!#REF!)-1))),":",","),",",REPT(" ",50)),(((INDEX('CASE MASTER'!$Z$2:$Z$495,(SUMPRODUCT((('CASE MASTER'!$T$2:$T$495=13)*('CASE MASTER'!$AA$2:$AA$495&lt;=5)*('CASE MASTER'!$AC$2:$AC$495&gt;=5)*('CASE MASTER'!$AB$2:$AB$495&lt;=2)*('CASE MASTER'!$AD$2:$AD$495&gt;=2))*ROW('CASE MASTER'!$T$2:$T$495))-(ROW('CASE MASTER'!#REF!)-1)))+((5-INDEX('CASE MASTER'!$AA$2:$AA$495,(SUMPRODUCT((('CASE MASTER'!$T$2:$T$495=13)*('CASE MASTER'!$AA$2:$AA$495&lt;=5)*('CASE MASTER'!$AC$2:$AC$495&gt;=5)*('CASE MASTER'!$AB$2:$AB$495&lt;=2)*('CASE MASTER'!$AD$2:$AD$495&gt;=2))*ROW('CASE MASTER'!$T$2:$T$495))-(ROW('CASE MASTER'!#REF!)-1))))*(INDEX('CASE MASTER'!$AD$2:$AD$495,(SUMPRODUCT((('CASE MASTER'!$T$2:$T$495=13)*('CASE MASTER'!$AA$2:$AA$495&lt;=5)*('CASE MASTER'!$AC$2:$AC$495&gt;=5)*('CASE MASTER'!$AB$2:$AB$495&lt;=2)*('CASE MASTER'!$AD$2:$AD$495&gt;=2))*ROW('CASE MASTER'!$T$2:$T$495))-(ROW('CASE MASTER'!#REF!)-1)))-INDEX('CASE MASTER'!$AB$2:$AB$495,(SUMPRODUCT((('CASE MASTER'!$T$2:$T$495=13)*('CASE MASTER'!$AA$2:$AA$495&lt;=5)*('CASE MASTER'!$AC$2:$AC$495&gt;=5)*('CASE MASTER'!$AB$2:$AB$495&lt;=2)*('CASE MASTER'!$AD$2:$AD$495&gt;=2))*ROW('CASE MASTER'!$T$2:$T$495))-(ROW('CASE MASTER'!#REF!)-1)))+1)+(2-INDEX('CASE MASTER'!$AB$2:$AB$495,(SUMPRODUCT((('CASE MASTER'!$T$2:$T$495=13)*('CASE MASTER'!$AA$2:$AA$495&lt;=5)*('CASE MASTER'!$AC$2:$AC$495&gt;=5)*('CASE MASTER'!$AB$2:$AB$495&lt;=2)*('CASE MASTER'!$AD$2:$AD$495&gt;=2))*ROW('CASE MASTER'!$T$2:$T$495))-(ROW('CASE MASTER'!#REF!)-1))))+1)))-1)*50+1,50))&amp;"_"&amp;INDEX('CASE MASTER'!$Q$2:$Q$495,(SUMPRODUCT((('CASE MASTER'!$T$2:$T$495=13)*('CASE MASTER'!$AA$2:$AA$495&lt;=5)*('CASE MASTER'!$AC$2:$AC$495&gt;=5)*('CASE MASTER'!$AB$2:$AB$495&lt;=2)*('CASE MASTER'!$AD$2:$AD$495&gt;=2))*ROW('CASE MASTER'!$T$2:$T$495))-(ROW('CASE MASTER'!#REF!)-1))),"")),"")</f>
        <v/>
      </c>
      <c r="D175" s="10" t="str">
        <f>IFERROR(IF(SUMPRODUCT((('CASE MASTER'!$T$2:$T$495=13)*('CASE MASTER'!$U$2:$U$495&lt;=5)*('CASE MASTER'!$W$2:$W$495&gt;=5)*('CASE MASTER'!$V$2:$V$495&lt;=3)*('CASE MASTER'!$X$2:$X$495&gt;=3))*ROW('CASE MASTER'!$T$2:$T$495))&gt;0,INDEX('CASE MASTER'!$Y$2:$Y$495,(SUMPRODUCT((('CASE MASTER'!$T$2:$T$495=13)*('CASE MASTER'!$U$2:$U$495&lt;=5)*('CASE MASTER'!$W$2:$W$495&gt;=5)*('CASE MASTER'!$V$2:$V$495&lt;=3)*('CASE MASTER'!$X$2:$X$495&gt;=3))*ROW('CASE MASTER'!$T$2:$T$495))-(ROW('CASE MASTER'!#REF!)-1)))&amp;TRIM(MID(SUBSTITUTE(SUBSTITUTE(INDEX('CASE MASTER'!$N$2:$N$495,(SUMPRODUCT((('CASE MASTER'!$T$2:$T$495=13)*('CASE MASTER'!$U$2:$U$495&lt;=5)*('CASE MASTER'!$W$2:$W$495&gt;=5)*('CASE MASTER'!$V$2:$V$495&lt;=3)*('CASE MASTER'!$X$2:$X$495&gt;=3))*ROW('CASE MASTER'!$T$2:$T$495))-(ROW('CASE MASTER'!#REF!)-1))),":",","),",",REPT(" ",50)),((((5-INDEX('CASE MASTER'!$U$2:$U$495,(SUMPRODUCT((('CASE MASTER'!$T$2:$T$495=13)*('CASE MASTER'!$U$2:$U$495&lt;=5)*('CASE MASTER'!$W$2:$W$495&gt;=5)*('CASE MASTER'!$V$2:$V$495&lt;=3)*('CASE MASTER'!$X$2:$X$495&gt;=3))*ROW('CASE MASTER'!$T$2:$T$495))-(ROW('CASE MASTER'!#REF!)-1))))*(INDEX('CASE MASTER'!$X$2:$X$495,(SUMPRODUCT((('CASE MASTER'!$T$2:$T$495=13)*('CASE MASTER'!$U$2:$U$495&lt;=5)*('CASE MASTER'!$W$2:$W$495&gt;=5)*('CASE MASTER'!$V$2:$V$495&lt;=3)*('CASE MASTER'!$X$2:$X$495&gt;=3))*ROW('CASE MASTER'!$T$2:$T$495))-(ROW('CASE MASTER'!#REF!)-1)))-INDEX('CASE MASTER'!$V$2:$V$495,(SUMPRODUCT((('CASE MASTER'!$T$2:$T$495=13)*('CASE MASTER'!$U$2:$U$495&lt;=5)*('CASE MASTER'!$W$2:$W$495&gt;=5)*('CASE MASTER'!$V$2:$V$495&lt;=3)*('CASE MASTER'!$X$2:$X$495&gt;=3))*ROW('CASE MASTER'!$T$2:$T$495))-(ROW('CASE MASTER'!#REF!)-1)))+1)+(3-INDEX('CASE MASTER'!$V$2:$V$495,(SUMPRODUCT((('CASE MASTER'!$T$2:$T$495=13)*('CASE MASTER'!$U$2:$U$495&lt;=5)*('CASE MASTER'!$W$2:$W$495&gt;=5)*('CASE MASTER'!$V$2:$V$495&lt;=3)*('CASE MASTER'!$X$2:$X$495&gt;=3))*ROW('CASE MASTER'!$T$2:$T$495))-(ROW('CASE MASTER'!#REF!)-1))))+1))-1)*50+1,50))&amp;"_"&amp;INDEX('CASE MASTER'!$Q$2:$Q$495,(SUMPRODUCT((('CASE MASTER'!$T$2:$T$495=13)*('CASE MASTER'!$U$2:$U$495&lt;=5)*('CASE MASTER'!$W$2:$W$495&gt;=5)*('CASE MASTER'!$V$2:$V$495&lt;=3)*('CASE MASTER'!$X$2:$X$495&gt;=3))*ROW('CASE MASTER'!$T$2:$T$495))-(ROW('CASE MASTER'!#REF!)-1))),IF(SUMPRODUCT((('CASE MASTER'!$T$2:$T$495=13)*('CASE MASTER'!$AA$2:$AA$495&lt;=5)*('CASE MASTER'!$AC$2:$AC$495&gt;=5)*('CASE MASTER'!$AB$2:$AB$495&lt;=3)*('CASE MASTER'!$AD$2:$AD$495&gt;=3))*ROW('CASE MASTER'!$T$2:$T$495))&gt;0,INDEX('CASE MASTER'!$Y$2:$Y$495,(SUMPRODUCT((('CASE MASTER'!$T$2:$T$495=13)*('CASE MASTER'!$AA$2:$AA$495&lt;=5)*('CASE MASTER'!$AC$2:$AC$495&gt;=5)*('CASE MASTER'!$AB$2:$AB$495&lt;=3)*('CASE MASTER'!$AD$2:$AD$495&gt;=3))*ROW('CASE MASTER'!$T$2:$T$495))-(ROW('CASE MASTER'!#REF!)-1)))&amp;TRIM(MID(SUBSTITUTE(SUBSTITUTE(INDEX('CASE MASTER'!$N$2:$N$495,(SUMPRODUCT((('CASE MASTER'!$T$2:$T$495=13)*('CASE MASTER'!$AA$2:$AA$495&lt;=5)*('CASE MASTER'!$AC$2:$AC$495&gt;=5)*('CASE MASTER'!$AB$2:$AB$495&lt;=3)*('CASE MASTER'!$AD$2:$AD$495&gt;=3))*ROW('CASE MASTER'!$T$2:$T$495))-(ROW('CASE MASTER'!#REF!)-1))),":",","),",",REPT(" ",50)),(((INDEX('CASE MASTER'!$Z$2:$Z$495,(SUMPRODUCT((('CASE MASTER'!$T$2:$T$495=13)*('CASE MASTER'!$AA$2:$AA$495&lt;=5)*('CASE MASTER'!$AC$2:$AC$495&gt;=5)*('CASE MASTER'!$AB$2:$AB$495&lt;=3)*('CASE MASTER'!$AD$2:$AD$495&gt;=3))*ROW('CASE MASTER'!$T$2:$T$495))-(ROW('CASE MASTER'!#REF!)-1)))+((5-INDEX('CASE MASTER'!$AA$2:$AA$495,(SUMPRODUCT((('CASE MASTER'!$T$2:$T$495=13)*('CASE MASTER'!$AA$2:$AA$495&lt;=5)*('CASE MASTER'!$AC$2:$AC$495&gt;=5)*('CASE MASTER'!$AB$2:$AB$495&lt;=3)*('CASE MASTER'!$AD$2:$AD$495&gt;=3))*ROW('CASE MASTER'!$T$2:$T$495))-(ROW('CASE MASTER'!#REF!)-1))))*(INDEX('CASE MASTER'!$AD$2:$AD$495,(SUMPRODUCT((('CASE MASTER'!$T$2:$T$495=13)*('CASE MASTER'!$AA$2:$AA$495&lt;=5)*('CASE MASTER'!$AC$2:$AC$495&gt;=5)*('CASE MASTER'!$AB$2:$AB$495&lt;=3)*('CASE MASTER'!$AD$2:$AD$495&gt;=3))*ROW('CASE MASTER'!$T$2:$T$495))-(ROW('CASE MASTER'!#REF!)-1)))-INDEX('CASE MASTER'!$AB$2:$AB$495,(SUMPRODUCT((('CASE MASTER'!$T$2:$T$495=13)*('CASE MASTER'!$AA$2:$AA$495&lt;=5)*('CASE MASTER'!$AC$2:$AC$495&gt;=5)*('CASE MASTER'!$AB$2:$AB$495&lt;=3)*('CASE MASTER'!$AD$2:$AD$495&gt;=3))*ROW('CASE MASTER'!$T$2:$T$495))-(ROW('CASE MASTER'!#REF!)-1)))+1)+(3-INDEX('CASE MASTER'!$AB$2:$AB$495,(SUMPRODUCT((('CASE MASTER'!$T$2:$T$495=13)*('CASE MASTER'!$AA$2:$AA$495&lt;=5)*('CASE MASTER'!$AC$2:$AC$495&gt;=5)*('CASE MASTER'!$AB$2:$AB$495&lt;=3)*('CASE MASTER'!$AD$2:$AD$495&gt;=3))*ROW('CASE MASTER'!$T$2:$T$495))-(ROW('CASE MASTER'!#REF!)-1))))+1)))-1)*50+1,50))&amp;"_"&amp;INDEX('CASE MASTER'!$Q$2:$Q$495,(SUMPRODUCT((('CASE MASTER'!$T$2:$T$495=13)*('CASE MASTER'!$AA$2:$AA$495&lt;=5)*('CASE MASTER'!$AC$2:$AC$495&gt;=5)*('CASE MASTER'!$AB$2:$AB$495&lt;=3)*('CASE MASTER'!$AD$2:$AD$495&gt;=3))*ROW('CASE MASTER'!$T$2:$T$495))-(ROW('CASE MASTER'!#REF!)-1))),"")),"")</f>
        <v/>
      </c>
      <c r="E175" s="10" t="str">
        <f>IFERROR(IF(SUMPRODUCT((('CASE MASTER'!$T$2:$T$495=13)*('CASE MASTER'!$U$2:$U$495&lt;=5)*('CASE MASTER'!$W$2:$W$495&gt;=5)*('CASE MASTER'!$V$2:$V$495&lt;=4)*('CASE MASTER'!$X$2:$X$495&gt;=4))*ROW('CASE MASTER'!$T$2:$T$495))&gt;0,INDEX('CASE MASTER'!$Y$2:$Y$495,(SUMPRODUCT((('CASE MASTER'!$T$2:$T$495=13)*('CASE MASTER'!$U$2:$U$495&lt;=5)*('CASE MASTER'!$W$2:$W$495&gt;=5)*('CASE MASTER'!$V$2:$V$495&lt;=4)*('CASE MASTER'!$X$2:$X$495&gt;=4))*ROW('CASE MASTER'!$T$2:$T$495))-(ROW('CASE MASTER'!#REF!)-1)))&amp;TRIM(MID(SUBSTITUTE(SUBSTITUTE(INDEX('CASE MASTER'!$N$2:$N$495,(SUMPRODUCT((('CASE MASTER'!$T$2:$T$495=13)*('CASE MASTER'!$U$2:$U$495&lt;=5)*('CASE MASTER'!$W$2:$W$495&gt;=5)*('CASE MASTER'!$V$2:$V$495&lt;=4)*('CASE MASTER'!$X$2:$X$495&gt;=4))*ROW('CASE MASTER'!$T$2:$T$495))-(ROW('CASE MASTER'!#REF!)-1))),":",","),",",REPT(" ",50)),((((5-INDEX('CASE MASTER'!$U$2:$U$495,(SUMPRODUCT((('CASE MASTER'!$T$2:$T$495=13)*('CASE MASTER'!$U$2:$U$495&lt;=5)*('CASE MASTER'!$W$2:$W$495&gt;=5)*('CASE MASTER'!$V$2:$V$495&lt;=4)*('CASE MASTER'!$X$2:$X$495&gt;=4))*ROW('CASE MASTER'!$T$2:$T$495))-(ROW('CASE MASTER'!#REF!)-1))))*(INDEX('CASE MASTER'!$X$2:$X$495,(SUMPRODUCT((('CASE MASTER'!$T$2:$T$495=13)*('CASE MASTER'!$U$2:$U$495&lt;=5)*('CASE MASTER'!$W$2:$W$495&gt;=5)*('CASE MASTER'!$V$2:$V$495&lt;=4)*('CASE MASTER'!$X$2:$X$495&gt;=4))*ROW('CASE MASTER'!$T$2:$T$495))-(ROW('CASE MASTER'!#REF!)-1)))-INDEX('CASE MASTER'!$V$2:$V$495,(SUMPRODUCT((('CASE MASTER'!$T$2:$T$495=13)*('CASE MASTER'!$U$2:$U$495&lt;=5)*('CASE MASTER'!$W$2:$W$495&gt;=5)*('CASE MASTER'!$V$2:$V$495&lt;=4)*('CASE MASTER'!$X$2:$X$495&gt;=4))*ROW('CASE MASTER'!$T$2:$T$495))-(ROW('CASE MASTER'!#REF!)-1)))+1)+(4-INDEX('CASE MASTER'!$V$2:$V$495,(SUMPRODUCT((('CASE MASTER'!$T$2:$T$495=13)*('CASE MASTER'!$U$2:$U$495&lt;=5)*('CASE MASTER'!$W$2:$W$495&gt;=5)*('CASE MASTER'!$V$2:$V$495&lt;=4)*('CASE MASTER'!$X$2:$X$495&gt;=4))*ROW('CASE MASTER'!$T$2:$T$495))-(ROW('CASE MASTER'!#REF!)-1))))+1))-1)*50+1,50))&amp;"_"&amp;INDEX('CASE MASTER'!$Q$2:$Q$495,(SUMPRODUCT((('CASE MASTER'!$T$2:$T$495=13)*('CASE MASTER'!$U$2:$U$495&lt;=5)*('CASE MASTER'!$W$2:$W$495&gt;=5)*('CASE MASTER'!$V$2:$V$495&lt;=4)*('CASE MASTER'!$X$2:$X$495&gt;=4))*ROW('CASE MASTER'!$T$2:$T$495))-(ROW('CASE MASTER'!#REF!)-1))),IF(SUMPRODUCT((('CASE MASTER'!$T$2:$T$495=13)*('CASE MASTER'!$AA$2:$AA$495&lt;=5)*('CASE MASTER'!$AC$2:$AC$495&gt;=5)*('CASE MASTER'!$AB$2:$AB$495&lt;=4)*('CASE MASTER'!$AD$2:$AD$495&gt;=4))*ROW('CASE MASTER'!$T$2:$T$495))&gt;0,INDEX('CASE MASTER'!$Y$2:$Y$495,(SUMPRODUCT((('CASE MASTER'!$T$2:$T$495=13)*('CASE MASTER'!$AA$2:$AA$495&lt;=5)*('CASE MASTER'!$AC$2:$AC$495&gt;=5)*('CASE MASTER'!$AB$2:$AB$495&lt;=4)*('CASE MASTER'!$AD$2:$AD$495&gt;=4))*ROW('CASE MASTER'!$T$2:$T$495))-(ROW('CASE MASTER'!#REF!)-1)))&amp;TRIM(MID(SUBSTITUTE(SUBSTITUTE(INDEX('CASE MASTER'!$N$2:$N$495,(SUMPRODUCT((('CASE MASTER'!$T$2:$T$495=13)*('CASE MASTER'!$AA$2:$AA$495&lt;=5)*('CASE MASTER'!$AC$2:$AC$495&gt;=5)*('CASE MASTER'!$AB$2:$AB$495&lt;=4)*('CASE MASTER'!$AD$2:$AD$495&gt;=4))*ROW('CASE MASTER'!$T$2:$T$495))-(ROW('CASE MASTER'!#REF!)-1))),":",","),",",REPT(" ",50)),(((INDEX('CASE MASTER'!$Z$2:$Z$495,(SUMPRODUCT((('CASE MASTER'!$T$2:$T$495=13)*('CASE MASTER'!$AA$2:$AA$495&lt;=5)*('CASE MASTER'!$AC$2:$AC$495&gt;=5)*('CASE MASTER'!$AB$2:$AB$495&lt;=4)*('CASE MASTER'!$AD$2:$AD$495&gt;=4))*ROW('CASE MASTER'!$T$2:$T$495))-(ROW('CASE MASTER'!#REF!)-1)))+((5-INDEX('CASE MASTER'!$AA$2:$AA$495,(SUMPRODUCT((('CASE MASTER'!$T$2:$T$495=13)*('CASE MASTER'!$AA$2:$AA$495&lt;=5)*('CASE MASTER'!$AC$2:$AC$495&gt;=5)*('CASE MASTER'!$AB$2:$AB$495&lt;=4)*('CASE MASTER'!$AD$2:$AD$495&gt;=4))*ROW('CASE MASTER'!$T$2:$T$495))-(ROW('CASE MASTER'!#REF!)-1))))*(INDEX('CASE MASTER'!$AD$2:$AD$495,(SUMPRODUCT((('CASE MASTER'!$T$2:$T$495=13)*('CASE MASTER'!$AA$2:$AA$495&lt;=5)*('CASE MASTER'!$AC$2:$AC$495&gt;=5)*('CASE MASTER'!$AB$2:$AB$495&lt;=4)*('CASE MASTER'!$AD$2:$AD$495&gt;=4))*ROW('CASE MASTER'!$T$2:$T$495))-(ROW('CASE MASTER'!#REF!)-1)))-INDEX('CASE MASTER'!$AB$2:$AB$495,(SUMPRODUCT((('CASE MASTER'!$T$2:$T$495=13)*('CASE MASTER'!$AA$2:$AA$495&lt;=5)*('CASE MASTER'!$AC$2:$AC$495&gt;=5)*('CASE MASTER'!$AB$2:$AB$495&lt;=4)*('CASE MASTER'!$AD$2:$AD$495&gt;=4))*ROW('CASE MASTER'!$T$2:$T$495))-(ROW('CASE MASTER'!#REF!)-1)))+1)+(4-INDEX('CASE MASTER'!$AB$2:$AB$495,(SUMPRODUCT((('CASE MASTER'!$T$2:$T$495=13)*('CASE MASTER'!$AA$2:$AA$495&lt;=5)*('CASE MASTER'!$AC$2:$AC$495&gt;=5)*('CASE MASTER'!$AB$2:$AB$495&lt;=4)*('CASE MASTER'!$AD$2:$AD$495&gt;=4))*ROW('CASE MASTER'!$T$2:$T$495))-(ROW('CASE MASTER'!#REF!)-1))))+1)))-1)*50+1,50))&amp;"_"&amp;INDEX('CASE MASTER'!$Q$2:$Q$495,(SUMPRODUCT((('CASE MASTER'!$T$2:$T$495=13)*('CASE MASTER'!$AA$2:$AA$495&lt;=5)*('CASE MASTER'!$AC$2:$AC$495&gt;=5)*('CASE MASTER'!$AB$2:$AB$495&lt;=4)*('CASE MASTER'!$AD$2:$AD$495&gt;=4))*ROW('CASE MASTER'!$T$2:$T$495))-(ROW('CASE MASTER'!#REF!)-1))),"")),"")</f>
        <v/>
      </c>
      <c r="F175" s="10" t="str">
        <f>IFERROR(IF(SUMPRODUCT((('CASE MASTER'!$T$2:$T$495=13)*('CASE MASTER'!$U$2:$U$495&lt;=5)*('CASE MASTER'!$W$2:$W$495&gt;=5)*('CASE MASTER'!$V$2:$V$495&lt;=5)*('CASE MASTER'!$X$2:$X$495&gt;=5))*ROW('CASE MASTER'!$T$2:$T$495))&gt;0,INDEX('CASE MASTER'!$Y$2:$Y$495,(SUMPRODUCT((('CASE MASTER'!$T$2:$T$495=13)*('CASE MASTER'!$U$2:$U$495&lt;=5)*('CASE MASTER'!$W$2:$W$495&gt;=5)*('CASE MASTER'!$V$2:$V$495&lt;=5)*('CASE MASTER'!$X$2:$X$495&gt;=5))*ROW('CASE MASTER'!$T$2:$T$495))-(ROW('CASE MASTER'!#REF!)-1)))&amp;TRIM(MID(SUBSTITUTE(SUBSTITUTE(INDEX('CASE MASTER'!$N$2:$N$495,(SUMPRODUCT((('CASE MASTER'!$T$2:$T$495=13)*('CASE MASTER'!$U$2:$U$495&lt;=5)*('CASE MASTER'!$W$2:$W$495&gt;=5)*('CASE MASTER'!$V$2:$V$495&lt;=5)*('CASE MASTER'!$X$2:$X$495&gt;=5))*ROW('CASE MASTER'!$T$2:$T$495))-(ROW('CASE MASTER'!#REF!)-1))),":",","),",",REPT(" ",50)),((((5-INDEX('CASE MASTER'!$U$2:$U$495,(SUMPRODUCT((('CASE MASTER'!$T$2:$T$495=13)*('CASE MASTER'!$U$2:$U$495&lt;=5)*('CASE MASTER'!$W$2:$W$495&gt;=5)*('CASE MASTER'!$V$2:$V$495&lt;=5)*('CASE MASTER'!$X$2:$X$495&gt;=5))*ROW('CASE MASTER'!$T$2:$T$495))-(ROW('CASE MASTER'!#REF!)-1))))*(INDEX('CASE MASTER'!$X$2:$X$495,(SUMPRODUCT((('CASE MASTER'!$T$2:$T$495=13)*('CASE MASTER'!$U$2:$U$495&lt;=5)*('CASE MASTER'!$W$2:$W$495&gt;=5)*('CASE MASTER'!$V$2:$V$495&lt;=5)*('CASE MASTER'!$X$2:$X$495&gt;=5))*ROW('CASE MASTER'!$T$2:$T$495))-(ROW('CASE MASTER'!#REF!)-1)))-INDEX('CASE MASTER'!$V$2:$V$495,(SUMPRODUCT((('CASE MASTER'!$T$2:$T$495=13)*('CASE MASTER'!$U$2:$U$495&lt;=5)*('CASE MASTER'!$W$2:$W$495&gt;=5)*('CASE MASTER'!$V$2:$V$495&lt;=5)*('CASE MASTER'!$X$2:$X$495&gt;=5))*ROW('CASE MASTER'!$T$2:$T$495))-(ROW('CASE MASTER'!#REF!)-1)))+1)+(5-INDEX('CASE MASTER'!$V$2:$V$495,(SUMPRODUCT((('CASE MASTER'!$T$2:$T$495=13)*('CASE MASTER'!$U$2:$U$495&lt;=5)*('CASE MASTER'!$W$2:$W$495&gt;=5)*('CASE MASTER'!$V$2:$V$495&lt;=5)*('CASE MASTER'!$X$2:$X$495&gt;=5))*ROW('CASE MASTER'!$T$2:$T$495))-(ROW('CASE MASTER'!#REF!)-1))))+1))-1)*50+1,50))&amp;"_"&amp;INDEX('CASE MASTER'!$Q$2:$Q$495,(SUMPRODUCT((('CASE MASTER'!$T$2:$T$495=13)*('CASE MASTER'!$U$2:$U$495&lt;=5)*('CASE MASTER'!$W$2:$W$495&gt;=5)*('CASE MASTER'!$V$2:$V$495&lt;=5)*('CASE MASTER'!$X$2:$X$495&gt;=5))*ROW('CASE MASTER'!$T$2:$T$495))-(ROW('CASE MASTER'!#REF!)-1))),IF(SUMPRODUCT((('CASE MASTER'!$T$2:$T$495=13)*('CASE MASTER'!$AA$2:$AA$495&lt;=5)*('CASE MASTER'!$AC$2:$AC$495&gt;=5)*('CASE MASTER'!$AB$2:$AB$495&lt;=5)*('CASE MASTER'!$AD$2:$AD$495&gt;=5))*ROW('CASE MASTER'!$T$2:$T$495))&gt;0,INDEX('CASE MASTER'!$Y$2:$Y$495,(SUMPRODUCT((('CASE MASTER'!$T$2:$T$495=13)*('CASE MASTER'!$AA$2:$AA$495&lt;=5)*('CASE MASTER'!$AC$2:$AC$495&gt;=5)*('CASE MASTER'!$AB$2:$AB$495&lt;=5)*('CASE MASTER'!$AD$2:$AD$495&gt;=5))*ROW('CASE MASTER'!$T$2:$T$495))-(ROW('CASE MASTER'!#REF!)-1)))&amp;TRIM(MID(SUBSTITUTE(SUBSTITUTE(INDEX('CASE MASTER'!$N$2:$N$495,(SUMPRODUCT((('CASE MASTER'!$T$2:$T$495=13)*('CASE MASTER'!$AA$2:$AA$495&lt;=5)*('CASE MASTER'!$AC$2:$AC$495&gt;=5)*('CASE MASTER'!$AB$2:$AB$495&lt;=5)*('CASE MASTER'!$AD$2:$AD$495&gt;=5))*ROW('CASE MASTER'!$T$2:$T$495))-(ROW('CASE MASTER'!#REF!)-1))),":",","),",",REPT(" ",50)),(((INDEX('CASE MASTER'!$Z$2:$Z$495,(SUMPRODUCT((('CASE MASTER'!$T$2:$T$495=13)*('CASE MASTER'!$AA$2:$AA$495&lt;=5)*('CASE MASTER'!$AC$2:$AC$495&gt;=5)*('CASE MASTER'!$AB$2:$AB$495&lt;=5)*('CASE MASTER'!$AD$2:$AD$495&gt;=5))*ROW('CASE MASTER'!$T$2:$T$495))-(ROW('CASE MASTER'!#REF!)-1)))+((5-INDEX('CASE MASTER'!$AA$2:$AA$495,(SUMPRODUCT((('CASE MASTER'!$T$2:$T$495=13)*('CASE MASTER'!$AA$2:$AA$495&lt;=5)*('CASE MASTER'!$AC$2:$AC$495&gt;=5)*('CASE MASTER'!$AB$2:$AB$495&lt;=5)*('CASE MASTER'!$AD$2:$AD$495&gt;=5))*ROW('CASE MASTER'!$T$2:$T$495))-(ROW('CASE MASTER'!#REF!)-1))))*(INDEX('CASE MASTER'!$AD$2:$AD$495,(SUMPRODUCT((('CASE MASTER'!$T$2:$T$495=13)*('CASE MASTER'!$AA$2:$AA$495&lt;=5)*('CASE MASTER'!$AC$2:$AC$495&gt;=5)*('CASE MASTER'!$AB$2:$AB$495&lt;=5)*('CASE MASTER'!$AD$2:$AD$495&gt;=5))*ROW('CASE MASTER'!$T$2:$T$495))-(ROW('CASE MASTER'!#REF!)-1)))-INDEX('CASE MASTER'!$AB$2:$AB$495,(SUMPRODUCT((('CASE MASTER'!$T$2:$T$495=13)*('CASE MASTER'!$AA$2:$AA$495&lt;=5)*('CASE MASTER'!$AC$2:$AC$495&gt;=5)*('CASE MASTER'!$AB$2:$AB$495&lt;=5)*('CASE MASTER'!$AD$2:$AD$495&gt;=5))*ROW('CASE MASTER'!$T$2:$T$495))-(ROW('CASE MASTER'!#REF!)-1)))+1)+(5-INDEX('CASE MASTER'!$AB$2:$AB$495,(SUMPRODUCT((('CASE MASTER'!$T$2:$T$495=13)*('CASE MASTER'!$AA$2:$AA$495&lt;=5)*('CASE MASTER'!$AC$2:$AC$495&gt;=5)*('CASE MASTER'!$AB$2:$AB$495&lt;=5)*('CASE MASTER'!$AD$2:$AD$495&gt;=5))*ROW('CASE MASTER'!$T$2:$T$495))-(ROW('CASE MASTER'!#REF!)-1))))+1)))-1)*50+1,50))&amp;"_"&amp;INDEX('CASE MASTER'!$Q$2:$Q$495,(SUMPRODUCT((('CASE MASTER'!$T$2:$T$495=13)*('CASE MASTER'!$AA$2:$AA$495&lt;=5)*('CASE MASTER'!$AC$2:$AC$495&gt;=5)*('CASE MASTER'!$AB$2:$AB$495&lt;=5)*('CASE MASTER'!$AD$2:$AD$495&gt;=5))*ROW('CASE MASTER'!$T$2:$T$495))-(ROW('CASE MASTER'!#REF!)-1))),"")),"")</f>
        <v/>
      </c>
      <c r="G175" s="10" t="str">
        <f>IFERROR(IF(SUMPRODUCT((('CASE MASTER'!$T$2:$T$495=13)*('CASE MASTER'!$U$2:$U$495&lt;=5)*('CASE MASTER'!$W$2:$W$495&gt;=5)*('CASE MASTER'!$V$2:$V$495&lt;=6)*('CASE MASTER'!$X$2:$X$495&gt;=6))*ROW('CASE MASTER'!$T$2:$T$495))&gt;0,INDEX('CASE MASTER'!$Y$2:$Y$495,(SUMPRODUCT((('CASE MASTER'!$T$2:$T$495=13)*('CASE MASTER'!$U$2:$U$495&lt;=5)*('CASE MASTER'!$W$2:$W$495&gt;=5)*('CASE MASTER'!$V$2:$V$495&lt;=6)*('CASE MASTER'!$X$2:$X$495&gt;=6))*ROW('CASE MASTER'!$T$2:$T$495))-(ROW('CASE MASTER'!#REF!)-1)))&amp;TRIM(MID(SUBSTITUTE(SUBSTITUTE(INDEX('CASE MASTER'!$N$2:$N$495,(SUMPRODUCT((('CASE MASTER'!$T$2:$T$495=13)*('CASE MASTER'!$U$2:$U$495&lt;=5)*('CASE MASTER'!$W$2:$W$495&gt;=5)*('CASE MASTER'!$V$2:$V$495&lt;=6)*('CASE MASTER'!$X$2:$X$495&gt;=6))*ROW('CASE MASTER'!$T$2:$T$495))-(ROW('CASE MASTER'!#REF!)-1))),":",","),",",REPT(" ",50)),((((5-INDEX('CASE MASTER'!$U$2:$U$495,(SUMPRODUCT((('CASE MASTER'!$T$2:$T$495=13)*('CASE MASTER'!$U$2:$U$495&lt;=5)*('CASE MASTER'!$W$2:$W$495&gt;=5)*('CASE MASTER'!$V$2:$V$495&lt;=6)*('CASE MASTER'!$X$2:$X$495&gt;=6))*ROW('CASE MASTER'!$T$2:$T$495))-(ROW('CASE MASTER'!#REF!)-1))))*(INDEX('CASE MASTER'!$X$2:$X$495,(SUMPRODUCT((('CASE MASTER'!$T$2:$T$495=13)*('CASE MASTER'!$U$2:$U$495&lt;=5)*('CASE MASTER'!$W$2:$W$495&gt;=5)*('CASE MASTER'!$V$2:$V$495&lt;=6)*('CASE MASTER'!$X$2:$X$495&gt;=6))*ROW('CASE MASTER'!$T$2:$T$495))-(ROW('CASE MASTER'!#REF!)-1)))-INDEX('CASE MASTER'!$V$2:$V$495,(SUMPRODUCT((('CASE MASTER'!$T$2:$T$495=13)*('CASE MASTER'!$U$2:$U$495&lt;=5)*('CASE MASTER'!$W$2:$W$495&gt;=5)*('CASE MASTER'!$V$2:$V$495&lt;=6)*('CASE MASTER'!$X$2:$X$495&gt;=6))*ROW('CASE MASTER'!$T$2:$T$495))-(ROW('CASE MASTER'!#REF!)-1)))+1)+(6-INDEX('CASE MASTER'!$V$2:$V$495,(SUMPRODUCT((('CASE MASTER'!$T$2:$T$495=13)*('CASE MASTER'!$U$2:$U$495&lt;=5)*('CASE MASTER'!$W$2:$W$495&gt;=5)*('CASE MASTER'!$V$2:$V$495&lt;=6)*('CASE MASTER'!$X$2:$X$495&gt;=6))*ROW('CASE MASTER'!$T$2:$T$495))-(ROW('CASE MASTER'!#REF!)-1))))+1))-1)*50+1,50))&amp;"_"&amp;INDEX('CASE MASTER'!$Q$2:$Q$495,(SUMPRODUCT((('CASE MASTER'!$T$2:$T$495=13)*('CASE MASTER'!$U$2:$U$495&lt;=5)*('CASE MASTER'!$W$2:$W$495&gt;=5)*('CASE MASTER'!$V$2:$V$495&lt;=6)*('CASE MASTER'!$X$2:$X$495&gt;=6))*ROW('CASE MASTER'!$T$2:$T$495))-(ROW('CASE MASTER'!#REF!)-1))),IF(SUMPRODUCT((('CASE MASTER'!$T$2:$T$495=13)*('CASE MASTER'!$AA$2:$AA$495&lt;=5)*('CASE MASTER'!$AC$2:$AC$495&gt;=5)*('CASE MASTER'!$AB$2:$AB$495&lt;=6)*('CASE MASTER'!$AD$2:$AD$495&gt;=6))*ROW('CASE MASTER'!$T$2:$T$495))&gt;0,INDEX('CASE MASTER'!$Y$2:$Y$495,(SUMPRODUCT((('CASE MASTER'!$T$2:$T$495=13)*('CASE MASTER'!$AA$2:$AA$495&lt;=5)*('CASE MASTER'!$AC$2:$AC$495&gt;=5)*('CASE MASTER'!$AB$2:$AB$495&lt;=6)*('CASE MASTER'!$AD$2:$AD$495&gt;=6))*ROW('CASE MASTER'!$T$2:$T$495))-(ROW('CASE MASTER'!#REF!)-1)))&amp;TRIM(MID(SUBSTITUTE(SUBSTITUTE(INDEX('CASE MASTER'!$N$2:$N$495,(SUMPRODUCT((('CASE MASTER'!$T$2:$T$495=13)*('CASE MASTER'!$AA$2:$AA$495&lt;=5)*('CASE MASTER'!$AC$2:$AC$495&gt;=5)*('CASE MASTER'!$AB$2:$AB$495&lt;=6)*('CASE MASTER'!$AD$2:$AD$495&gt;=6))*ROW('CASE MASTER'!$T$2:$T$495))-(ROW('CASE MASTER'!#REF!)-1))),":",","),",",REPT(" ",50)),(((INDEX('CASE MASTER'!$Z$2:$Z$495,(SUMPRODUCT((('CASE MASTER'!$T$2:$T$495=13)*('CASE MASTER'!$AA$2:$AA$495&lt;=5)*('CASE MASTER'!$AC$2:$AC$495&gt;=5)*('CASE MASTER'!$AB$2:$AB$495&lt;=6)*('CASE MASTER'!$AD$2:$AD$495&gt;=6))*ROW('CASE MASTER'!$T$2:$T$495))-(ROW('CASE MASTER'!#REF!)-1)))+((5-INDEX('CASE MASTER'!$AA$2:$AA$495,(SUMPRODUCT((('CASE MASTER'!$T$2:$T$495=13)*('CASE MASTER'!$AA$2:$AA$495&lt;=5)*('CASE MASTER'!$AC$2:$AC$495&gt;=5)*('CASE MASTER'!$AB$2:$AB$495&lt;=6)*('CASE MASTER'!$AD$2:$AD$495&gt;=6))*ROW('CASE MASTER'!$T$2:$T$495))-(ROW('CASE MASTER'!#REF!)-1))))*(INDEX('CASE MASTER'!$AD$2:$AD$495,(SUMPRODUCT((('CASE MASTER'!$T$2:$T$495=13)*('CASE MASTER'!$AA$2:$AA$495&lt;=5)*('CASE MASTER'!$AC$2:$AC$495&gt;=5)*('CASE MASTER'!$AB$2:$AB$495&lt;=6)*('CASE MASTER'!$AD$2:$AD$495&gt;=6))*ROW('CASE MASTER'!$T$2:$T$495))-(ROW('CASE MASTER'!#REF!)-1)))-INDEX('CASE MASTER'!$AB$2:$AB$495,(SUMPRODUCT((('CASE MASTER'!$T$2:$T$495=13)*('CASE MASTER'!$AA$2:$AA$495&lt;=5)*('CASE MASTER'!$AC$2:$AC$495&gt;=5)*('CASE MASTER'!$AB$2:$AB$495&lt;=6)*('CASE MASTER'!$AD$2:$AD$495&gt;=6))*ROW('CASE MASTER'!$T$2:$T$495))-(ROW('CASE MASTER'!#REF!)-1)))+1)+(6-INDEX('CASE MASTER'!$AB$2:$AB$495,(SUMPRODUCT((('CASE MASTER'!$T$2:$T$495=13)*('CASE MASTER'!$AA$2:$AA$495&lt;=5)*('CASE MASTER'!$AC$2:$AC$495&gt;=5)*('CASE MASTER'!$AB$2:$AB$495&lt;=6)*('CASE MASTER'!$AD$2:$AD$495&gt;=6))*ROW('CASE MASTER'!$T$2:$T$495))-(ROW('CASE MASTER'!#REF!)-1))))+1)))-1)*50+1,50))&amp;"_"&amp;INDEX('CASE MASTER'!$Q$2:$Q$495,(SUMPRODUCT((('CASE MASTER'!$T$2:$T$495=13)*('CASE MASTER'!$AA$2:$AA$495&lt;=5)*('CASE MASTER'!$AC$2:$AC$495&gt;=5)*('CASE MASTER'!$AB$2:$AB$495&lt;=6)*('CASE MASTER'!$AD$2:$AD$495&gt;=6))*ROW('CASE MASTER'!$T$2:$T$495))-(ROW('CASE MASTER'!#REF!)-1))),"")),"")</f>
        <v/>
      </c>
      <c r="H175" s="10" t="str">
        <f>IFERROR(IF(SUMPRODUCT((('CASE MASTER'!$T$2:$T$495=13)*('CASE MASTER'!$U$2:$U$495&lt;=5)*('CASE MASTER'!$W$2:$W$495&gt;=5)*('CASE MASTER'!$V$2:$V$495&lt;=7)*('CASE MASTER'!$X$2:$X$495&gt;=7))*ROW('CASE MASTER'!$T$2:$T$495))&gt;0,INDEX('CASE MASTER'!$Y$2:$Y$495,(SUMPRODUCT((('CASE MASTER'!$T$2:$T$495=13)*('CASE MASTER'!$U$2:$U$495&lt;=5)*('CASE MASTER'!$W$2:$W$495&gt;=5)*('CASE MASTER'!$V$2:$V$495&lt;=7)*('CASE MASTER'!$X$2:$X$495&gt;=7))*ROW('CASE MASTER'!$T$2:$T$495))-(ROW('CASE MASTER'!#REF!)-1)))&amp;TRIM(MID(SUBSTITUTE(SUBSTITUTE(INDEX('CASE MASTER'!$N$2:$N$495,(SUMPRODUCT((('CASE MASTER'!$T$2:$T$495=13)*('CASE MASTER'!$U$2:$U$495&lt;=5)*('CASE MASTER'!$W$2:$W$495&gt;=5)*('CASE MASTER'!$V$2:$V$495&lt;=7)*('CASE MASTER'!$X$2:$X$495&gt;=7))*ROW('CASE MASTER'!$T$2:$T$495))-(ROW('CASE MASTER'!#REF!)-1))),":",","),",",REPT(" ",50)),((((5-INDEX('CASE MASTER'!$U$2:$U$495,(SUMPRODUCT((('CASE MASTER'!$T$2:$T$495=13)*('CASE MASTER'!$U$2:$U$495&lt;=5)*('CASE MASTER'!$W$2:$W$495&gt;=5)*('CASE MASTER'!$V$2:$V$495&lt;=7)*('CASE MASTER'!$X$2:$X$495&gt;=7))*ROW('CASE MASTER'!$T$2:$T$495))-(ROW('CASE MASTER'!#REF!)-1))))*(INDEX('CASE MASTER'!$X$2:$X$495,(SUMPRODUCT((('CASE MASTER'!$T$2:$T$495=13)*('CASE MASTER'!$U$2:$U$495&lt;=5)*('CASE MASTER'!$W$2:$W$495&gt;=5)*('CASE MASTER'!$V$2:$V$495&lt;=7)*('CASE MASTER'!$X$2:$X$495&gt;=7))*ROW('CASE MASTER'!$T$2:$T$495))-(ROW('CASE MASTER'!#REF!)-1)))-INDEX('CASE MASTER'!$V$2:$V$495,(SUMPRODUCT((('CASE MASTER'!$T$2:$T$495=13)*('CASE MASTER'!$U$2:$U$495&lt;=5)*('CASE MASTER'!$W$2:$W$495&gt;=5)*('CASE MASTER'!$V$2:$V$495&lt;=7)*('CASE MASTER'!$X$2:$X$495&gt;=7))*ROW('CASE MASTER'!$T$2:$T$495))-(ROW('CASE MASTER'!#REF!)-1)))+1)+(7-INDEX('CASE MASTER'!$V$2:$V$495,(SUMPRODUCT((('CASE MASTER'!$T$2:$T$495=13)*('CASE MASTER'!$U$2:$U$495&lt;=5)*('CASE MASTER'!$W$2:$W$495&gt;=5)*('CASE MASTER'!$V$2:$V$495&lt;=7)*('CASE MASTER'!$X$2:$X$495&gt;=7))*ROW('CASE MASTER'!$T$2:$T$495))-(ROW('CASE MASTER'!#REF!)-1))))+1))-1)*50+1,50))&amp;"_"&amp;INDEX('CASE MASTER'!$Q$2:$Q$495,(SUMPRODUCT((('CASE MASTER'!$T$2:$T$495=13)*('CASE MASTER'!$U$2:$U$495&lt;=5)*('CASE MASTER'!$W$2:$W$495&gt;=5)*('CASE MASTER'!$V$2:$V$495&lt;=7)*('CASE MASTER'!$X$2:$X$495&gt;=7))*ROW('CASE MASTER'!$T$2:$T$495))-(ROW('CASE MASTER'!#REF!)-1))),IF(SUMPRODUCT((('CASE MASTER'!$T$2:$T$495=13)*('CASE MASTER'!$AA$2:$AA$495&lt;=5)*('CASE MASTER'!$AC$2:$AC$495&gt;=5)*('CASE MASTER'!$AB$2:$AB$495&lt;=7)*('CASE MASTER'!$AD$2:$AD$495&gt;=7))*ROW('CASE MASTER'!$T$2:$T$495))&gt;0,INDEX('CASE MASTER'!$Y$2:$Y$495,(SUMPRODUCT((('CASE MASTER'!$T$2:$T$495=13)*('CASE MASTER'!$AA$2:$AA$495&lt;=5)*('CASE MASTER'!$AC$2:$AC$495&gt;=5)*('CASE MASTER'!$AB$2:$AB$495&lt;=7)*('CASE MASTER'!$AD$2:$AD$495&gt;=7))*ROW('CASE MASTER'!$T$2:$T$495))-(ROW('CASE MASTER'!#REF!)-1)))&amp;TRIM(MID(SUBSTITUTE(SUBSTITUTE(INDEX('CASE MASTER'!$N$2:$N$495,(SUMPRODUCT((('CASE MASTER'!$T$2:$T$495=13)*('CASE MASTER'!$AA$2:$AA$495&lt;=5)*('CASE MASTER'!$AC$2:$AC$495&gt;=5)*('CASE MASTER'!$AB$2:$AB$495&lt;=7)*('CASE MASTER'!$AD$2:$AD$495&gt;=7))*ROW('CASE MASTER'!$T$2:$T$495))-(ROW('CASE MASTER'!#REF!)-1))),":",","),",",REPT(" ",50)),(((INDEX('CASE MASTER'!$Z$2:$Z$495,(SUMPRODUCT((('CASE MASTER'!$T$2:$T$495=13)*('CASE MASTER'!$AA$2:$AA$495&lt;=5)*('CASE MASTER'!$AC$2:$AC$495&gt;=5)*('CASE MASTER'!$AB$2:$AB$495&lt;=7)*('CASE MASTER'!$AD$2:$AD$495&gt;=7))*ROW('CASE MASTER'!$T$2:$T$495))-(ROW('CASE MASTER'!#REF!)-1)))+((5-INDEX('CASE MASTER'!$AA$2:$AA$495,(SUMPRODUCT((('CASE MASTER'!$T$2:$T$495=13)*('CASE MASTER'!$AA$2:$AA$495&lt;=5)*('CASE MASTER'!$AC$2:$AC$495&gt;=5)*('CASE MASTER'!$AB$2:$AB$495&lt;=7)*('CASE MASTER'!$AD$2:$AD$495&gt;=7))*ROW('CASE MASTER'!$T$2:$T$495))-(ROW('CASE MASTER'!#REF!)-1))))*(INDEX('CASE MASTER'!$AD$2:$AD$495,(SUMPRODUCT((('CASE MASTER'!$T$2:$T$495=13)*('CASE MASTER'!$AA$2:$AA$495&lt;=5)*('CASE MASTER'!$AC$2:$AC$495&gt;=5)*('CASE MASTER'!$AB$2:$AB$495&lt;=7)*('CASE MASTER'!$AD$2:$AD$495&gt;=7))*ROW('CASE MASTER'!$T$2:$T$495))-(ROW('CASE MASTER'!#REF!)-1)))-INDEX('CASE MASTER'!$AB$2:$AB$495,(SUMPRODUCT((('CASE MASTER'!$T$2:$T$495=13)*('CASE MASTER'!$AA$2:$AA$495&lt;=5)*('CASE MASTER'!$AC$2:$AC$495&gt;=5)*('CASE MASTER'!$AB$2:$AB$495&lt;=7)*('CASE MASTER'!$AD$2:$AD$495&gt;=7))*ROW('CASE MASTER'!$T$2:$T$495))-(ROW('CASE MASTER'!#REF!)-1)))+1)+(7-INDEX('CASE MASTER'!$AB$2:$AB$495,(SUMPRODUCT((('CASE MASTER'!$T$2:$T$495=13)*('CASE MASTER'!$AA$2:$AA$495&lt;=5)*('CASE MASTER'!$AC$2:$AC$495&gt;=5)*('CASE MASTER'!$AB$2:$AB$495&lt;=7)*('CASE MASTER'!$AD$2:$AD$495&gt;=7))*ROW('CASE MASTER'!$T$2:$T$495))-(ROW('CASE MASTER'!#REF!)-1))))+1)))-1)*50+1,50))&amp;"_"&amp;INDEX('CASE MASTER'!$Q$2:$Q$495,(SUMPRODUCT((('CASE MASTER'!$T$2:$T$495=13)*('CASE MASTER'!$AA$2:$AA$495&lt;=5)*('CASE MASTER'!$AC$2:$AC$495&gt;=5)*('CASE MASTER'!$AB$2:$AB$495&lt;=7)*('CASE MASTER'!$AD$2:$AD$495&gt;=7))*ROW('CASE MASTER'!$T$2:$T$495))-(ROW('CASE MASTER'!#REF!)-1))),"")),"")</f>
        <v/>
      </c>
      <c r="I175" s="10" t="str">
        <f>IFERROR(IF(SUMPRODUCT((('CASE MASTER'!$T$2:$T$495=13)*('CASE MASTER'!$U$2:$U$495&lt;=5)*('CASE MASTER'!$W$2:$W$495&gt;=5)*('CASE MASTER'!$V$2:$V$495&lt;=8)*('CASE MASTER'!$X$2:$X$495&gt;=8))*ROW('CASE MASTER'!$T$2:$T$495))&gt;0,INDEX('CASE MASTER'!$Y$2:$Y$495,(SUMPRODUCT((('CASE MASTER'!$T$2:$T$495=13)*('CASE MASTER'!$U$2:$U$495&lt;=5)*('CASE MASTER'!$W$2:$W$495&gt;=5)*('CASE MASTER'!$V$2:$V$495&lt;=8)*('CASE MASTER'!$X$2:$X$495&gt;=8))*ROW('CASE MASTER'!$T$2:$T$495))-(ROW('CASE MASTER'!#REF!)-1)))&amp;TRIM(MID(SUBSTITUTE(SUBSTITUTE(INDEX('CASE MASTER'!$N$2:$N$495,(SUMPRODUCT((('CASE MASTER'!$T$2:$T$495=13)*('CASE MASTER'!$U$2:$U$495&lt;=5)*('CASE MASTER'!$W$2:$W$495&gt;=5)*('CASE MASTER'!$V$2:$V$495&lt;=8)*('CASE MASTER'!$X$2:$X$495&gt;=8))*ROW('CASE MASTER'!$T$2:$T$495))-(ROW('CASE MASTER'!#REF!)-1))),":",","),",",REPT(" ",50)),((((5-INDEX('CASE MASTER'!$U$2:$U$495,(SUMPRODUCT((('CASE MASTER'!$T$2:$T$495=13)*('CASE MASTER'!$U$2:$U$495&lt;=5)*('CASE MASTER'!$W$2:$W$495&gt;=5)*('CASE MASTER'!$V$2:$V$495&lt;=8)*('CASE MASTER'!$X$2:$X$495&gt;=8))*ROW('CASE MASTER'!$T$2:$T$495))-(ROW('CASE MASTER'!#REF!)-1))))*(INDEX('CASE MASTER'!$X$2:$X$495,(SUMPRODUCT((('CASE MASTER'!$T$2:$T$495=13)*('CASE MASTER'!$U$2:$U$495&lt;=5)*('CASE MASTER'!$W$2:$W$495&gt;=5)*('CASE MASTER'!$V$2:$V$495&lt;=8)*('CASE MASTER'!$X$2:$X$495&gt;=8))*ROW('CASE MASTER'!$T$2:$T$495))-(ROW('CASE MASTER'!#REF!)-1)))-INDEX('CASE MASTER'!$V$2:$V$495,(SUMPRODUCT((('CASE MASTER'!$T$2:$T$495=13)*('CASE MASTER'!$U$2:$U$495&lt;=5)*('CASE MASTER'!$W$2:$W$495&gt;=5)*('CASE MASTER'!$V$2:$V$495&lt;=8)*('CASE MASTER'!$X$2:$X$495&gt;=8))*ROW('CASE MASTER'!$T$2:$T$495))-(ROW('CASE MASTER'!#REF!)-1)))+1)+(8-INDEX('CASE MASTER'!$V$2:$V$495,(SUMPRODUCT((('CASE MASTER'!$T$2:$T$495=13)*('CASE MASTER'!$U$2:$U$495&lt;=5)*('CASE MASTER'!$W$2:$W$495&gt;=5)*('CASE MASTER'!$V$2:$V$495&lt;=8)*('CASE MASTER'!$X$2:$X$495&gt;=8))*ROW('CASE MASTER'!$T$2:$T$495))-(ROW('CASE MASTER'!#REF!)-1))))+1))-1)*50+1,50))&amp;"_"&amp;INDEX('CASE MASTER'!$Q$2:$Q$495,(SUMPRODUCT((('CASE MASTER'!$T$2:$T$495=13)*('CASE MASTER'!$U$2:$U$495&lt;=5)*('CASE MASTER'!$W$2:$W$495&gt;=5)*('CASE MASTER'!$V$2:$V$495&lt;=8)*('CASE MASTER'!$X$2:$X$495&gt;=8))*ROW('CASE MASTER'!$T$2:$T$495))-(ROW('CASE MASTER'!#REF!)-1))),IF(SUMPRODUCT((('CASE MASTER'!$T$2:$T$495=13)*('CASE MASTER'!$AA$2:$AA$495&lt;=5)*('CASE MASTER'!$AC$2:$AC$495&gt;=5)*('CASE MASTER'!$AB$2:$AB$495&lt;=8)*('CASE MASTER'!$AD$2:$AD$495&gt;=8))*ROW('CASE MASTER'!$T$2:$T$495))&gt;0,INDEX('CASE MASTER'!$Y$2:$Y$495,(SUMPRODUCT((('CASE MASTER'!$T$2:$T$495=13)*('CASE MASTER'!$AA$2:$AA$495&lt;=5)*('CASE MASTER'!$AC$2:$AC$495&gt;=5)*('CASE MASTER'!$AB$2:$AB$495&lt;=8)*('CASE MASTER'!$AD$2:$AD$495&gt;=8))*ROW('CASE MASTER'!$T$2:$T$495))-(ROW('CASE MASTER'!#REF!)-1)))&amp;TRIM(MID(SUBSTITUTE(SUBSTITUTE(INDEX('CASE MASTER'!$N$2:$N$495,(SUMPRODUCT((('CASE MASTER'!$T$2:$T$495=13)*('CASE MASTER'!$AA$2:$AA$495&lt;=5)*('CASE MASTER'!$AC$2:$AC$495&gt;=5)*('CASE MASTER'!$AB$2:$AB$495&lt;=8)*('CASE MASTER'!$AD$2:$AD$495&gt;=8))*ROW('CASE MASTER'!$T$2:$T$495))-(ROW('CASE MASTER'!#REF!)-1))),":",","),",",REPT(" ",50)),(((INDEX('CASE MASTER'!$Z$2:$Z$495,(SUMPRODUCT((('CASE MASTER'!$T$2:$T$495=13)*('CASE MASTER'!$AA$2:$AA$495&lt;=5)*('CASE MASTER'!$AC$2:$AC$495&gt;=5)*('CASE MASTER'!$AB$2:$AB$495&lt;=8)*('CASE MASTER'!$AD$2:$AD$495&gt;=8))*ROW('CASE MASTER'!$T$2:$T$495))-(ROW('CASE MASTER'!#REF!)-1)))+((5-INDEX('CASE MASTER'!$AA$2:$AA$495,(SUMPRODUCT((('CASE MASTER'!$T$2:$T$495=13)*('CASE MASTER'!$AA$2:$AA$495&lt;=5)*('CASE MASTER'!$AC$2:$AC$495&gt;=5)*('CASE MASTER'!$AB$2:$AB$495&lt;=8)*('CASE MASTER'!$AD$2:$AD$495&gt;=8))*ROW('CASE MASTER'!$T$2:$T$495))-(ROW('CASE MASTER'!#REF!)-1))))*(INDEX('CASE MASTER'!$AD$2:$AD$495,(SUMPRODUCT((('CASE MASTER'!$T$2:$T$495=13)*('CASE MASTER'!$AA$2:$AA$495&lt;=5)*('CASE MASTER'!$AC$2:$AC$495&gt;=5)*('CASE MASTER'!$AB$2:$AB$495&lt;=8)*('CASE MASTER'!$AD$2:$AD$495&gt;=8))*ROW('CASE MASTER'!$T$2:$T$495))-(ROW('CASE MASTER'!#REF!)-1)))-INDEX('CASE MASTER'!$AB$2:$AB$495,(SUMPRODUCT((('CASE MASTER'!$T$2:$T$495=13)*('CASE MASTER'!$AA$2:$AA$495&lt;=5)*('CASE MASTER'!$AC$2:$AC$495&gt;=5)*('CASE MASTER'!$AB$2:$AB$495&lt;=8)*('CASE MASTER'!$AD$2:$AD$495&gt;=8))*ROW('CASE MASTER'!$T$2:$T$495))-(ROW('CASE MASTER'!#REF!)-1)))+1)+(8-INDEX('CASE MASTER'!$AB$2:$AB$495,(SUMPRODUCT((('CASE MASTER'!$T$2:$T$495=13)*('CASE MASTER'!$AA$2:$AA$495&lt;=5)*('CASE MASTER'!$AC$2:$AC$495&gt;=5)*('CASE MASTER'!$AB$2:$AB$495&lt;=8)*('CASE MASTER'!$AD$2:$AD$495&gt;=8))*ROW('CASE MASTER'!$T$2:$T$495))-(ROW('CASE MASTER'!#REF!)-1))))+1)))-1)*50+1,50))&amp;"_"&amp;INDEX('CASE MASTER'!$Q$2:$Q$495,(SUMPRODUCT((('CASE MASTER'!$T$2:$T$495=13)*('CASE MASTER'!$AA$2:$AA$495&lt;=5)*('CASE MASTER'!$AC$2:$AC$495&gt;=5)*('CASE MASTER'!$AB$2:$AB$495&lt;=8)*('CASE MASTER'!$AD$2:$AD$495&gt;=8))*ROW('CASE MASTER'!$T$2:$T$495))-(ROW('CASE MASTER'!#REF!)-1))),"")),"")</f>
        <v/>
      </c>
      <c r="J175" s="10" t="str">
        <f>IFERROR(IF(SUMPRODUCT((('CASE MASTER'!$T$2:$T$495=13)*('CASE MASTER'!$U$2:$U$495&lt;=5)*('CASE MASTER'!$W$2:$W$495&gt;=5)*('CASE MASTER'!$V$2:$V$495&lt;=9)*('CASE MASTER'!$X$2:$X$495&gt;=9))*ROW('CASE MASTER'!$T$2:$T$495))&gt;0,INDEX('CASE MASTER'!$Y$2:$Y$495,(SUMPRODUCT((('CASE MASTER'!$T$2:$T$495=13)*('CASE MASTER'!$U$2:$U$495&lt;=5)*('CASE MASTER'!$W$2:$W$495&gt;=5)*('CASE MASTER'!$V$2:$V$495&lt;=9)*('CASE MASTER'!$X$2:$X$495&gt;=9))*ROW('CASE MASTER'!$T$2:$T$495))-(ROW('CASE MASTER'!#REF!)-1)))&amp;TRIM(MID(SUBSTITUTE(SUBSTITUTE(INDEX('CASE MASTER'!$N$2:$N$495,(SUMPRODUCT((('CASE MASTER'!$T$2:$T$495=13)*('CASE MASTER'!$U$2:$U$495&lt;=5)*('CASE MASTER'!$W$2:$W$495&gt;=5)*('CASE MASTER'!$V$2:$V$495&lt;=9)*('CASE MASTER'!$X$2:$X$495&gt;=9))*ROW('CASE MASTER'!$T$2:$T$495))-(ROW('CASE MASTER'!#REF!)-1))),":",","),",",REPT(" ",50)),((((5-INDEX('CASE MASTER'!$U$2:$U$495,(SUMPRODUCT((('CASE MASTER'!$T$2:$T$495=13)*('CASE MASTER'!$U$2:$U$495&lt;=5)*('CASE MASTER'!$W$2:$W$495&gt;=5)*('CASE MASTER'!$V$2:$V$495&lt;=9)*('CASE MASTER'!$X$2:$X$495&gt;=9))*ROW('CASE MASTER'!$T$2:$T$495))-(ROW('CASE MASTER'!#REF!)-1))))*(INDEX('CASE MASTER'!$X$2:$X$495,(SUMPRODUCT((('CASE MASTER'!$T$2:$T$495=13)*('CASE MASTER'!$U$2:$U$495&lt;=5)*('CASE MASTER'!$W$2:$W$495&gt;=5)*('CASE MASTER'!$V$2:$V$495&lt;=9)*('CASE MASTER'!$X$2:$X$495&gt;=9))*ROW('CASE MASTER'!$T$2:$T$495))-(ROW('CASE MASTER'!#REF!)-1)))-INDEX('CASE MASTER'!$V$2:$V$495,(SUMPRODUCT((('CASE MASTER'!$T$2:$T$495=13)*('CASE MASTER'!$U$2:$U$495&lt;=5)*('CASE MASTER'!$W$2:$W$495&gt;=5)*('CASE MASTER'!$V$2:$V$495&lt;=9)*('CASE MASTER'!$X$2:$X$495&gt;=9))*ROW('CASE MASTER'!$T$2:$T$495))-(ROW('CASE MASTER'!#REF!)-1)))+1)+(9-INDEX('CASE MASTER'!$V$2:$V$495,(SUMPRODUCT((('CASE MASTER'!$T$2:$T$495=13)*('CASE MASTER'!$U$2:$U$495&lt;=5)*('CASE MASTER'!$W$2:$W$495&gt;=5)*('CASE MASTER'!$V$2:$V$495&lt;=9)*('CASE MASTER'!$X$2:$X$495&gt;=9))*ROW('CASE MASTER'!$T$2:$T$495))-(ROW('CASE MASTER'!#REF!)-1))))+1))-1)*50+1,50))&amp;"_"&amp;INDEX('CASE MASTER'!$Q$2:$Q$495,(SUMPRODUCT((('CASE MASTER'!$T$2:$T$495=13)*('CASE MASTER'!$U$2:$U$495&lt;=5)*('CASE MASTER'!$W$2:$W$495&gt;=5)*('CASE MASTER'!$V$2:$V$495&lt;=9)*('CASE MASTER'!$X$2:$X$495&gt;=9))*ROW('CASE MASTER'!$T$2:$T$495))-(ROW('CASE MASTER'!#REF!)-1))),IF(SUMPRODUCT((('CASE MASTER'!$T$2:$T$495=13)*('CASE MASTER'!$AA$2:$AA$495&lt;=5)*('CASE MASTER'!$AC$2:$AC$495&gt;=5)*('CASE MASTER'!$AB$2:$AB$495&lt;=9)*('CASE MASTER'!$AD$2:$AD$495&gt;=9))*ROW('CASE MASTER'!$T$2:$T$495))&gt;0,INDEX('CASE MASTER'!$Y$2:$Y$495,(SUMPRODUCT((('CASE MASTER'!$T$2:$T$495=13)*('CASE MASTER'!$AA$2:$AA$495&lt;=5)*('CASE MASTER'!$AC$2:$AC$495&gt;=5)*('CASE MASTER'!$AB$2:$AB$495&lt;=9)*('CASE MASTER'!$AD$2:$AD$495&gt;=9))*ROW('CASE MASTER'!$T$2:$T$495))-(ROW('CASE MASTER'!#REF!)-1)))&amp;TRIM(MID(SUBSTITUTE(SUBSTITUTE(INDEX('CASE MASTER'!$N$2:$N$495,(SUMPRODUCT((('CASE MASTER'!$T$2:$T$495=13)*('CASE MASTER'!$AA$2:$AA$495&lt;=5)*('CASE MASTER'!$AC$2:$AC$495&gt;=5)*('CASE MASTER'!$AB$2:$AB$495&lt;=9)*('CASE MASTER'!$AD$2:$AD$495&gt;=9))*ROW('CASE MASTER'!$T$2:$T$495))-(ROW('CASE MASTER'!#REF!)-1))),":",","),",",REPT(" ",50)),(((INDEX('CASE MASTER'!$Z$2:$Z$495,(SUMPRODUCT((('CASE MASTER'!$T$2:$T$495=13)*('CASE MASTER'!$AA$2:$AA$495&lt;=5)*('CASE MASTER'!$AC$2:$AC$495&gt;=5)*('CASE MASTER'!$AB$2:$AB$495&lt;=9)*('CASE MASTER'!$AD$2:$AD$495&gt;=9))*ROW('CASE MASTER'!$T$2:$T$495))-(ROW('CASE MASTER'!#REF!)-1)))+((5-INDEX('CASE MASTER'!$AA$2:$AA$495,(SUMPRODUCT((('CASE MASTER'!$T$2:$T$495=13)*('CASE MASTER'!$AA$2:$AA$495&lt;=5)*('CASE MASTER'!$AC$2:$AC$495&gt;=5)*('CASE MASTER'!$AB$2:$AB$495&lt;=9)*('CASE MASTER'!$AD$2:$AD$495&gt;=9))*ROW('CASE MASTER'!$T$2:$T$495))-(ROW('CASE MASTER'!#REF!)-1))))*(INDEX('CASE MASTER'!$AD$2:$AD$495,(SUMPRODUCT((('CASE MASTER'!$T$2:$T$495=13)*('CASE MASTER'!$AA$2:$AA$495&lt;=5)*('CASE MASTER'!$AC$2:$AC$495&gt;=5)*('CASE MASTER'!$AB$2:$AB$495&lt;=9)*('CASE MASTER'!$AD$2:$AD$495&gt;=9))*ROW('CASE MASTER'!$T$2:$T$495))-(ROW('CASE MASTER'!#REF!)-1)))-INDEX('CASE MASTER'!$AB$2:$AB$495,(SUMPRODUCT((('CASE MASTER'!$T$2:$T$495=13)*('CASE MASTER'!$AA$2:$AA$495&lt;=5)*('CASE MASTER'!$AC$2:$AC$495&gt;=5)*('CASE MASTER'!$AB$2:$AB$495&lt;=9)*('CASE MASTER'!$AD$2:$AD$495&gt;=9))*ROW('CASE MASTER'!$T$2:$T$495))-(ROW('CASE MASTER'!#REF!)-1)))+1)+(9-INDEX('CASE MASTER'!$AB$2:$AB$495,(SUMPRODUCT((('CASE MASTER'!$T$2:$T$495=13)*('CASE MASTER'!$AA$2:$AA$495&lt;=5)*('CASE MASTER'!$AC$2:$AC$495&gt;=5)*('CASE MASTER'!$AB$2:$AB$495&lt;=9)*('CASE MASTER'!$AD$2:$AD$495&gt;=9))*ROW('CASE MASTER'!$T$2:$T$495))-(ROW('CASE MASTER'!#REF!)-1))))+1)))-1)*50+1,50))&amp;"_"&amp;INDEX('CASE MASTER'!$Q$2:$Q$495,(SUMPRODUCT((('CASE MASTER'!$T$2:$T$495=13)*('CASE MASTER'!$AA$2:$AA$495&lt;=5)*('CASE MASTER'!$AC$2:$AC$495&gt;=5)*('CASE MASTER'!$AB$2:$AB$495&lt;=9)*('CASE MASTER'!$AD$2:$AD$495&gt;=9))*ROW('CASE MASTER'!$T$2:$T$495))-(ROW('CASE MASTER'!#REF!)-1))),"")),"")</f>
        <v/>
      </c>
      <c r="K175" s="10" t="str">
        <f>IFERROR(IF(SUMPRODUCT((('CASE MASTER'!$T$2:$T$495=13)*('CASE MASTER'!$U$2:$U$495&lt;=5)*('CASE MASTER'!$W$2:$W$495&gt;=5)*('CASE MASTER'!$V$2:$V$495&lt;=10)*('CASE MASTER'!$X$2:$X$495&gt;=10))*ROW('CASE MASTER'!$T$2:$T$495))&gt;0,INDEX('CASE MASTER'!$Y$2:$Y$495,(SUMPRODUCT((('CASE MASTER'!$T$2:$T$495=13)*('CASE MASTER'!$U$2:$U$495&lt;=5)*('CASE MASTER'!$W$2:$W$495&gt;=5)*('CASE MASTER'!$V$2:$V$495&lt;=10)*('CASE MASTER'!$X$2:$X$495&gt;=10))*ROW('CASE MASTER'!$T$2:$T$495))-(ROW('CASE MASTER'!#REF!)-1)))&amp;TRIM(MID(SUBSTITUTE(SUBSTITUTE(INDEX('CASE MASTER'!$N$2:$N$495,(SUMPRODUCT((('CASE MASTER'!$T$2:$T$495=13)*('CASE MASTER'!$U$2:$U$495&lt;=5)*('CASE MASTER'!$W$2:$W$495&gt;=5)*('CASE MASTER'!$V$2:$V$495&lt;=10)*('CASE MASTER'!$X$2:$X$495&gt;=10))*ROW('CASE MASTER'!$T$2:$T$495))-(ROW('CASE MASTER'!#REF!)-1))),":",","),",",REPT(" ",50)),((((5-INDEX('CASE MASTER'!$U$2:$U$495,(SUMPRODUCT((('CASE MASTER'!$T$2:$T$495=13)*('CASE MASTER'!$U$2:$U$495&lt;=5)*('CASE MASTER'!$W$2:$W$495&gt;=5)*('CASE MASTER'!$V$2:$V$495&lt;=10)*('CASE MASTER'!$X$2:$X$495&gt;=10))*ROW('CASE MASTER'!$T$2:$T$495))-(ROW('CASE MASTER'!#REF!)-1))))*(INDEX('CASE MASTER'!$X$2:$X$495,(SUMPRODUCT((('CASE MASTER'!$T$2:$T$495=13)*('CASE MASTER'!$U$2:$U$495&lt;=5)*('CASE MASTER'!$W$2:$W$495&gt;=5)*('CASE MASTER'!$V$2:$V$495&lt;=10)*('CASE MASTER'!$X$2:$X$495&gt;=10))*ROW('CASE MASTER'!$T$2:$T$495))-(ROW('CASE MASTER'!#REF!)-1)))-INDEX('CASE MASTER'!$V$2:$V$495,(SUMPRODUCT((('CASE MASTER'!$T$2:$T$495=13)*('CASE MASTER'!$U$2:$U$495&lt;=5)*('CASE MASTER'!$W$2:$W$495&gt;=5)*('CASE MASTER'!$V$2:$V$495&lt;=10)*('CASE MASTER'!$X$2:$X$495&gt;=10))*ROW('CASE MASTER'!$T$2:$T$495))-(ROW('CASE MASTER'!#REF!)-1)))+1)+(10-INDEX('CASE MASTER'!$V$2:$V$495,(SUMPRODUCT((('CASE MASTER'!$T$2:$T$495=13)*('CASE MASTER'!$U$2:$U$495&lt;=5)*('CASE MASTER'!$W$2:$W$495&gt;=5)*('CASE MASTER'!$V$2:$V$495&lt;=10)*('CASE MASTER'!$X$2:$X$495&gt;=10))*ROW('CASE MASTER'!$T$2:$T$495))-(ROW('CASE MASTER'!#REF!)-1))))+1))-1)*50+1,50))&amp;"_"&amp;INDEX('CASE MASTER'!$Q$2:$Q$495,(SUMPRODUCT((('CASE MASTER'!$T$2:$T$495=13)*('CASE MASTER'!$U$2:$U$495&lt;=5)*('CASE MASTER'!$W$2:$W$495&gt;=5)*('CASE MASTER'!$V$2:$V$495&lt;=10)*('CASE MASTER'!$X$2:$X$495&gt;=10))*ROW('CASE MASTER'!$T$2:$T$495))-(ROW('CASE MASTER'!#REF!)-1))),IF(SUMPRODUCT((('CASE MASTER'!$T$2:$T$495=13)*('CASE MASTER'!$AA$2:$AA$495&lt;=5)*('CASE MASTER'!$AC$2:$AC$495&gt;=5)*('CASE MASTER'!$AB$2:$AB$495&lt;=10)*('CASE MASTER'!$AD$2:$AD$495&gt;=10))*ROW('CASE MASTER'!$T$2:$T$495))&gt;0,INDEX('CASE MASTER'!$Y$2:$Y$495,(SUMPRODUCT((('CASE MASTER'!$T$2:$T$495=13)*('CASE MASTER'!$AA$2:$AA$495&lt;=5)*('CASE MASTER'!$AC$2:$AC$495&gt;=5)*('CASE MASTER'!$AB$2:$AB$495&lt;=10)*('CASE MASTER'!$AD$2:$AD$495&gt;=10))*ROW('CASE MASTER'!$T$2:$T$495))-(ROW('CASE MASTER'!#REF!)-1)))&amp;TRIM(MID(SUBSTITUTE(SUBSTITUTE(INDEX('CASE MASTER'!$N$2:$N$495,(SUMPRODUCT((('CASE MASTER'!$T$2:$T$495=13)*('CASE MASTER'!$AA$2:$AA$495&lt;=5)*('CASE MASTER'!$AC$2:$AC$495&gt;=5)*('CASE MASTER'!$AB$2:$AB$495&lt;=10)*('CASE MASTER'!$AD$2:$AD$495&gt;=10))*ROW('CASE MASTER'!$T$2:$T$495))-(ROW('CASE MASTER'!#REF!)-1))),":",","),",",REPT(" ",50)),(((INDEX('CASE MASTER'!$Z$2:$Z$495,(SUMPRODUCT((('CASE MASTER'!$T$2:$T$495=13)*('CASE MASTER'!$AA$2:$AA$495&lt;=5)*('CASE MASTER'!$AC$2:$AC$495&gt;=5)*('CASE MASTER'!$AB$2:$AB$495&lt;=10)*('CASE MASTER'!$AD$2:$AD$495&gt;=10))*ROW('CASE MASTER'!$T$2:$T$495))-(ROW('CASE MASTER'!#REF!)-1)))+((5-INDEX('CASE MASTER'!$AA$2:$AA$495,(SUMPRODUCT((('CASE MASTER'!$T$2:$T$495=13)*('CASE MASTER'!$AA$2:$AA$495&lt;=5)*('CASE MASTER'!$AC$2:$AC$495&gt;=5)*('CASE MASTER'!$AB$2:$AB$495&lt;=10)*('CASE MASTER'!$AD$2:$AD$495&gt;=10))*ROW('CASE MASTER'!$T$2:$T$495))-(ROW('CASE MASTER'!#REF!)-1))))*(INDEX('CASE MASTER'!$AD$2:$AD$495,(SUMPRODUCT((('CASE MASTER'!$T$2:$T$495=13)*('CASE MASTER'!$AA$2:$AA$495&lt;=5)*('CASE MASTER'!$AC$2:$AC$495&gt;=5)*('CASE MASTER'!$AB$2:$AB$495&lt;=10)*('CASE MASTER'!$AD$2:$AD$495&gt;=10))*ROW('CASE MASTER'!$T$2:$T$495))-(ROW('CASE MASTER'!#REF!)-1)))-INDEX('CASE MASTER'!$AB$2:$AB$495,(SUMPRODUCT((('CASE MASTER'!$T$2:$T$495=13)*('CASE MASTER'!$AA$2:$AA$495&lt;=5)*('CASE MASTER'!$AC$2:$AC$495&gt;=5)*('CASE MASTER'!$AB$2:$AB$495&lt;=10)*('CASE MASTER'!$AD$2:$AD$495&gt;=10))*ROW('CASE MASTER'!$T$2:$T$495))-(ROW('CASE MASTER'!#REF!)-1)))+1)+(10-INDEX('CASE MASTER'!$AB$2:$AB$495,(SUMPRODUCT((('CASE MASTER'!$T$2:$T$495=13)*('CASE MASTER'!$AA$2:$AA$495&lt;=5)*('CASE MASTER'!$AC$2:$AC$495&gt;=5)*('CASE MASTER'!$AB$2:$AB$495&lt;=10)*('CASE MASTER'!$AD$2:$AD$495&gt;=10))*ROW('CASE MASTER'!$T$2:$T$495))-(ROW('CASE MASTER'!#REF!)-1))))+1)))-1)*50+1,50))&amp;"_"&amp;INDEX('CASE MASTER'!$Q$2:$Q$495,(SUMPRODUCT((('CASE MASTER'!$T$2:$T$495=13)*('CASE MASTER'!$AA$2:$AA$495&lt;=5)*('CASE MASTER'!$AC$2:$AC$495&gt;=5)*('CASE MASTER'!$AB$2:$AB$495&lt;=10)*('CASE MASTER'!$AD$2:$AD$495&gt;=10))*ROW('CASE MASTER'!$T$2:$T$495))-(ROW('CASE MASTER'!#REF!)-1))),"")),"")</f>
        <v/>
      </c>
    </row>
    <row r="176" spans="1:11" ht="15" customHeight="1" x14ac:dyDescent="0.35">
      <c r="A176" s="8" t="s">
        <v>33</v>
      </c>
      <c r="B176" s="10" t="str">
        <f>IFERROR(IF(SUMPRODUCT((('CASE MASTER'!$T$2:$T$495=13)*('CASE MASTER'!$U$2:$U$495&lt;=6)*('CASE MASTER'!$W$2:$W$495&gt;=6)*('CASE MASTER'!$V$2:$V$495&lt;=1)*('CASE MASTER'!$X$2:$X$495&gt;=1))*ROW('CASE MASTER'!$T$2:$T$495))&gt;0,INDEX('CASE MASTER'!$Y$2:$Y$495,(SUMPRODUCT((('CASE MASTER'!$T$2:$T$495=13)*('CASE MASTER'!$U$2:$U$495&lt;=6)*('CASE MASTER'!$W$2:$W$495&gt;=6)*('CASE MASTER'!$V$2:$V$495&lt;=1)*('CASE MASTER'!$X$2:$X$495&gt;=1))*ROW('CASE MASTER'!$T$2:$T$495))-(ROW('CASE MASTER'!#REF!)-1)))&amp;TRIM(MID(SUBSTITUTE(SUBSTITUTE(INDEX('CASE MASTER'!$N$2:$N$495,(SUMPRODUCT((('CASE MASTER'!$T$2:$T$495=13)*('CASE MASTER'!$U$2:$U$495&lt;=6)*('CASE MASTER'!$W$2:$W$495&gt;=6)*('CASE MASTER'!$V$2:$V$495&lt;=1)*('CASE MASTER'!$X$2:$X$495&gt;=1))*ROW('CASE MASTER'!$T$2:$T$495))-(ROW('CASE MASTER'!#REF!)-1))),":",","),",",REPT(" ",50)),((((6-INDEX('CASE MASTER'!$U$2:$U$495,(SUMPRODUCT((('CASE MASTER'!$T$2:$T$495=13)*('CASE MASTER'!$U$2:$U$495&lt;=6)*('CASE MASTER'!$W$2:$W$495&gt;=6)*('CASE MASTER'!$V$2:$V$495&lt;=1)*('CASE MASTER'!$X$2:$X$495&gt;=1))*ROW('CASE MASTER'!$T$2:$T$495))-(ROW('CASE MASTER'!#REF!)-1))))*(INDEX('CASE MASTER'!$X$2:$X$495,(SUMPRODUCT((('CASE MASTER'!$T$2:$T$495=13)*('CASE MASTER'!$U$2:$U$495&lt;=6)*('CASE MASTER'!$W$2:$W$495&gt;=6)*('CASE MASTER'!$V$2:$V$495&lt;=1)*('CASE MASTER'!$X$2:$X$495&gt;=1))*ROW('CASE MASTER'!$T$2:$T$495))-(ROW('CASE MASTER'!#REF!)-1)))-INDEX('CASE MASTER'!$V$2:$V$495,(SUMPRODUCT((('CASE MASTER'!$T$2:$T$495=13)*('CASE MASTER'!$U$2:$U$495&lt;=6)*('CASE MASTER'!$W$2:$W$495&gt;=6)*('CASE MASTER'!$V$2:$V$495&lt;=1)*('CASE MASTER'!$X$2:$X$495&gt;=1))*ROW('CASE MASTER'!$T$2:$T$495))-(ROW('CASE MASTER'!#REF!)-1)))+1)+(1-INDEX('CASE MASTER'!$V$2:$V$495,(SUMPRODUCT((('CASE MASTER'!$T$2:$T$495=13)*('CASE MASTER'!$U$2:$U$495&lt;=6)*('CASE MASTER'!$W$2:$W$495&gt;=6)*('CASE MASTER'!$V$2:$V$495&lt;=1)*('CASE MASTER'!$X$2:$X$495&gt;=1))*ROW('CASE MASTER'!$T$2:$T$495))-(ROW('CASE MASTER'!#REF!)-1))))+1))-1)*50+1,50))&amp;"_"&amp;INDEX('CASE MASTER'!$Q$2:$Q$495,(SUMPRODUCT((('CASE MASTER'!$T$2:$T$495=13)*('CASE MASTER'!$U$2:$U$495&lt;=6)*('CASE MASTER'!$W$2:$W$495&gt;=6)*('CASE MASTER'!$V$2:$V$495&lt;=1)*('CASE MASTER'!$X$2:$X$495&gt;=1))*ROW('CASE MASTER'!$T$2:$T$495))-(ROW('CASE MASTER'!#REF!)-1))),IF(SUMPRODUCT((('CASE MASTER'!$T$2:$T$495=13)*('CASE MASTER'!$AA$2:$AA$495&lt;=6)*('CASE MASTER'!$AC$2:$AC$495&gt;=6)*('CASE MASTER'!$AB$2:$AB$495&lt;=1)*('CASE MASTER'!$AD$2:$AD$495&gt;=1))*ROW('CASE MASTER'!$T$2:$T$495))&gt;0,INDEX('CASE MASTER'!$Y$2:$Y$495,(SUMPRODUCT((('CASE MASTER'!$T$2:$T$495=13)*('CASE MASTER'!$AA$2:$AA$495&lt;=6)*('CASE MASTER'!$AC$2:$AC$495&gt;=6)*('CASE MASTER'!$AB$2:$AB$495&lt;=1)*('CASE MASTER'!$AD$2:$AD$495&gt;=1))*ROW('CASE MASTER'!$T$2:$T$495))-(ROW('CASE MASTER'!#REF!)-1)))&amp;TRIM(MID(SUBSTITUTE(SUBSTITUTE(INDEX('CASE MASTER'!$N$2:$N$495,(SUMPRODUCT((('CASE MASTER'!$T$2:$T$495=13)*('CASE MASTER'!$AA$2:$AA$495&lt;=6)*('CASE MASTER'!$AC$2:$AC$495&gt;=6)*('CASE MASTER'!$AB$2:$AB$495&lt;=1)*('CASE MASTER'!$AD$2:$AD$495&gt;=1))*ROW('CASE MASTER'!$T$2:$T$495))-(ROW('CASE MASTER'!#REF!)-1))),":",","),",",REPT(" ",50)),(((INDEX('CASE MASTER'!$Z$2:$Z$495,(SUMPRODUCT((('CASE MASTER'!$T$2:$T$495=13)*('CASE MASTER'!$AA$2:$AA$495&lt;=6)*('CASE MASTER'!$AC$2:$AC$495&gt;=6)*('CASE MASTER'!$AB$2:$AB$495&lt;=1)*('CASE MASTER'!$AD$2:$AD$495&gt;=1))*ROW('CASE MASTER'!$T$2:$T$495))-(ROW('CASE MASTER'!#REF!)-1)))+((6-INDEX('CASE MASTER'!$AA$2:$AA$495,(SUMPRODUCT((('CASE MASTER'!$T$2:$T$495=13)*('CASE MASTER'!$AA$2:$AA$495&lt;=6)*('CASE MASTER'!$AC$2:$AC$495&gt;=6)*('CASE MASTER'!$AB$2:$AB$495&lt;=1)*('CASE MASTER'!$AD$2:$AD$495&gt;=1))*ROW('CASE MASTER'!$T$2:$T$495))-(ROW('CASE MASTER'!#REF!)-1))))*(INDEX('CASE MASTER'!$AD$2:$AD$495,(SUMPRODUCT((('CASE MASTER'!$T$2:$T$495=13)*('CASE MASTER'!$AA$2:$AA$495&lt;=6)*('CASE MASTER'!$AC$2:$AC$495&gt;=6)*('CASE MASTER'!$AB$2:$AB$495&lt;=1)*('CASE MASTER'!$AD$2:$AD$495&gt;=1))*ROW('CASE MASTER'!$T$2:$T$495))-(ROW('CASE MASTER'!#REF!)-1)))-INDEX('CASE MASTER'!$AB$2:$AB$495,(SUMPRODUCT((('CASE MASTER'!$T$2:$T$495=13)*('CASE MASTER'!$AA$2:$AA$495&lt;=6)*('CASE MASTER'!$AC$2:$AC$495&gt;=6)*('CASE MASTER'!$AB$2:$AB$495&lt;=1)*('CASE MASTER'!$AD$2:$AD$495&gt;=1))*ROW('CASE MASTER'!$T$2:$T$495))-(ROW('CASE MASTER'!#REF!)-1)))+1)+(1-INDEX('CASE MASTER'!$AB$2:$AB$495,(SUMPRODUCT((('CASE MASTER'!$T$2:$T$495=13)*('CASE MASTER'!$AA$2:$AA$495&lt;=6)*('CASE MASTER'!$AC$2:$AC$495&gt;=6)*('CASE MASTER'!$AB$2:$AB$495&lt;=1)*('CASE MASTER'!$AD$2:$AD$495&gt;=1))*ROW('CASE MASTER'!$T$2:$T$495))-(ROW('CASE MASTER'!#REF!)-1))))+1)))-1)*50+1,50))&amp;"_"&amp;INDEX('CASE MASTER'!$Q$2:$Q$495,(SUMPRODUCT((('CASE MASTER'!$T$2:$T$495=13)*('CASE MASTER'!$AA$2:$AA$495&lt;=6)*('CASE MASTER'!$AC$2:$AC$495&gt;=6)*('CASE MASTER'!$AB$2:$AB$495&lt;=1)*('CASE MASTER'!$AD$2:$AD$495&gt;=1))*ROW('CASE MASTER'!$T$2:$T$495))-(ROW('CASE MASTER'!#REF!)-1))),"")),"")</f>
        <v/>
      </c>
      <c r="C176" s="10" t="str">
        <f>IFERROR(IF(SUMPRODUCT((('CASE MASTER'!$T$2:$T$495=13)*('CASE MASTER'!$U$2:$U$495&lt;=6)*('CASE MASTER'!$W$2:$W$495&gt;=6)*('CASE MASTER'!$V$2:$V$495&lt;=2)*('CASE MASTER'!$X$2:$X$495&gt;=2))*ROW('CASE MASTER'!$T$2:$T$495))&gt;0,INDEX('CASE MASTER'!$Y$2:$Y$495,(SUMPRODUCT((('CASE MASTER'!$T$2:$T$495=13)*('CASE MASTER'!$U$2:$U$495&lt;=6)*('CASE MASTER'!$W$2:$W$495&gt;=6)*('CASE MASTER'!$V$2:$V$495&lt;=2)*('CASE MASTER'!$X$2:$X$495&gt;=2))*ROW('CASE MASTER'!$T$2:$T$495))-(ROW('CASE MASTER'!#REF!)-1)))&amp;TRIM(MID(SUBSTITUTE(SUBSTITUTE(INDEX('CASE MASTER'!$N$2:$N$495,(SUMPRODUCT((('CASE MASTER'!$T$2:$T$495=13)*('CASE MASTER'!$U$2:$U$495&lt;=6)*('CASE MASTER'!$W$2:$W$495&gt;=6)*('CASE MASTER'!$V$2:$V$495&lt;=2)*('CASE MASTER'!$X$2:$X$495&gt;=2))*ROW('CASE MASTER'!$T$2:$T$495))-(ROW('CASE MASTER'!#REF!)-1))),":",","),",",REPT(" ",50)),((((6-INDEX('CASE MASTER'!$U$2:$U$495,(SUMPRODUCT((('CASE MASTER'!$T$2:$T$495=13)*('CASE MASTER'!$U$2:$U$495&lt;=6)*('CASE MASTER'!$W$2:$W$495&gt;=6)*('CASE MASTER'!$V$2:$V$495&lt;=2)*('CASE MASTER'!$X$2:$X$495&gt;=2))*ROW('CASE MASTER'!$T$2:$T$495))-(ROW('CASE MASTER'!#REF!)-1))))*(INDEX('CASE MASTER'!$X$2:$X$495,(SUMPRODUCT((('CASE MASTER'!$T$2:$T$495=13)*('CASE MASTER'!$U$2:$U$495&lt;=6)*('CASE MASTER'!$W$2:$W$495&gt;=6)*('CASE MASTER'!$V$2:$V$495&lt;=2)*('CASE MASTER'!$X$2:$X$495&gt;=2))*ROW('CASE MASTER'!$T$2:$T$495))-(ROW('CASE MASTER'!#REF!)-1)))-INDEX('CASE MASTER'!$V$2:$V$495,(SUMPRODUCT((('CASE MASTER'!$T$2:$T$495=13)*('CASE MASTER'!$U$2:$U$495&lt;=6)*('CASE MASTER'!$W$2:$W$495&gt;=6)*('CASE MASTER'!$V$2:$V$495&lt;=2)*('CASE MASTER'!$X$2:$X$495&gt;=2))*ROW('CASE MASTER'!$T$2:$T$495))-(ROW('CASE MASTER'!#REF!)-1)))+1)+(2-INDEX('CASE MASTER'!$V$2:$V$495,(SUMPRODUCT((('CASE MASTER'!$T$2:$T$495=13)*('CASE MASTER'!$U$2:$U$495&lt;=6)*('CASE MASTER'!$W$2:$W$495&gt;=6)*('CASE MASTER'!$V$2:$V$495&lt;=2)*('CASE MASTER'!$X$2:$X$495&gt;=2))*ROW('CASE MASTER'!$T$2:$T$495))-(ROW('CASE MASTER'!#REF!)-1))))+1))-1)*50+1,50))&amp;"_"&amp;INDEX('CASE MASTER'!$Q$2:$Q$495,(SUMPRODUCT((('CASE MASTER'!$T$2:$T$495=13)*('CASE MASTER'!$U$2:$U$495&lt;=6)*('CASE MASTER'!$W$2:$W$495&gt;=6)*('CASE MASTER'!$V$2:$V$495&lt;=2)*('CASE MASTER'!$X$2:$X$495&gt;=2))*ROW('CASE MASTER'!$T$2:$T$495))-(ROW('CASE MASTER'!#REF!)-1))),IF(SUMPRODUCT((('CASE MASTER'!$T$2:$T$495=13)*('CASE MASTER'!$AA$2:$AA$495&lt;=6)*('CASE MASTER'!$AC$2:$AC$495&gt;=6)*('CASE MASTER'!$AB$2:$AB$495&lt;=2)*('CASE MASTER'!$AD$2:$AD$495&gt;=2))*ROW('CASE MASTER'!$T$2:$T$495))&gt;0,INDEX('CASE MASTER'!$Y$2:$Y$495,(SUMPRODUCT((('CASE MASTER'!$T$2:$T$495=13)*('CASE MASTER'!$AA$2:$AA$495&lt;=6)*('CASE MASTER'!$AC$2:$AC$495&gt;=6)*('CASE MASTER'!$AB$2:$AB$495&lt;=2)*('CASE MASTER'!$AD$2:$AD$495&gt;=2))*ROW('CASE MASTER'!$T$2:$T$495))-(ROW('CASE MASTER'!#REF!)-1)))&amp;TRIM(MID(SUBSTITUTE(SUBSTITUTE(INDEX('CASE MASTER'!$N$2:$N$495,(SUMPRODUCT((('CASE MASTER'!$T$2:$T$495=13)*('CASE MASTER'!$AA$2:$AA$495&lt;=6)*('CASE MASTER'!$AC$2:$AC$495&gt;=6)*('CASE MASTER'!$AB$2:$AB$495&lt;=2)*('CASE MASTER'!$AD$2:$AD$495&gt;=2))*ROW('CASE MASTER'!$T$2:$T$495))-(ROW('CASE MASTER'!#REF!)-1))),":",","),",",REPT(" ",50)),(((INDEX('CASE MASTER'!$Z$2:$Z$495,(SUMPRODUCT((('CASE MASTER'!$T$2:$T$495=13)*('CASE MASTER'!$AA$2:$AA$495&lt;=6)*('CASE MASTER'!$AC$2:$AC$495&gt;=6)*('CASE MASTER'!$AB$2:$AB$495&lt;=2)*('CASE MASTER'!$AD$2:$AD$495&gt;=2))*ROW('CASE MASTER'!$T$2:$T$495))-(ROW('CASE MASTER'!#REF!)-1)))+((6-INDEX('CASE MASTER'!$AA$2:$AA$495,(SUMPRODUCT((('CASE MASTER'!$T$2:$T$495=13)*('CASE MASTER'!$AA$2:$AA$495&lt;=6)*('CASE MASTER'!$AC$2:$AC$495&gt;=6)*('CASE MASTER'!$AB$2:$AB$495&lt;=2)*('CASE MASTER'!$AD$2:$AD$495&gt;=2))*ROW('CASE MASTER'!$T$2:$T$495))-(ROW('CASE MASTER'!#REF!)-1))))*(INDEX('CASE MASTER'!$AD$2:$AD$495,(SUMPRODUCT((('CASE MASTER'!$T$2:$T$495=13)*('CASE MASTER'!$AA$2:$AA$495&lt;=6)*('CASE MASTER'!$AC$2:$AC$495&gt;=6)*('CASE MASTER'!$AB$2:$AB$495&lt;=2)*('CASE MASTER'!$AD$2:$AD$495&gt;=2))*ROW('CASE MASTER'!$T$2:$T$495))-(ROW('CASE MASTER'!#REF!)-1)))-INDEX('CASE MASTER'!$AB$2:$AB$495,(SUMPRODUCT((('CASE MASTER'!$T$2:$T$495=13)*('CASE MASTER'!$AA$2:$AA$495&lt;=6)*('CASE MASTER'!$AC$2:$AC$495&gt;=6)*('CASE MASTER'!$AB$2:$AB$495&lt;=2)*('CASE MASTER'!$AD$2:$AD$495&gt;=2))*ROW('CASE MASTER'!$T$2:$T$495))-(ROW('CASE MASTER'!#REF!)-1)))+1)+(2-INDEX('CASE MASTER'!$AB$2:$AB$495,(SUMPRODUCT((('CASE MASTER'!$T$2:$T$495=13)*('CASE MASTER'!$AA$2:$AA$495&lt;=6)*('CASE MASTER'!$AC$2:$AC$495&gt;=6)*('CASE MASTER'!$AB$2:$AB$495&lt;=2)*('CASE MASTER'!$AD$2:$AD$495&gt;=2))*ROW('CASE MASTER'!$T$2:$T$495))-(ROW('CASE MASTER'!#REF!)-1))))+1)))-1)*50+1,50))&amp;"_"&amp;INDEX('CASE MASTER'!$Q$2:$Q$495,(SUMPRODUCT((('CASE MASTER'!$T$2:$T$495=13)*('CASE MASTER'!$AA$2:$AA$495&lt;=6)*('CASE MASTER'!$AC$2:$AC$495&gt;=6)*('CASE MASTER'!$AB$2:$AB$495&lt;=2)*('CASE MASTER'!$AD$2:$AD$495&gt;=2))*ROW('CASE MASTER'!$T$2:$T$495))-(ROW('CASE MASTER'!#REF!)-1))),"")),"")</f>
        <v/>
      </c>
      <c r="D176" s="10" t="str">
        <f>IFERROR(IF(SUMPRODUCT((('CASE MASTER'!$T$2:$T$495=13)*('CASE MASTER'!$U$2:$U$495&lt;=6)*('CASE MASTER'!$W$2:$W$495&gt;=6)*('CASE MASTER'!$V$2:$V$495&lt;=3)*('CASE MASTER'!$X$2:$X$495&gt;=3))*ROW('CASE MASTER'!$T$2:$T$495))&gt;0,INDEX('CASE MASTER'!$Y$2:$Y$495,(SUMPRODUCT((('CASE MASTER'!$T$2:$T$495=13)*('CASE MASTER'!$U$2:$U$495&lt;=6)*('CASE MASTER'!$W$2:$W$495&gt;=6)*('CASE MASTER'!$V$2:$V$495&lt;=3)*('CASE MASTER'!$X$2:$X$495&gt;=3))*ROW('CASE MASTER'!$T$2:$T$495))-(ROW('CASE MASTER'!#REF!)-1)))&amp;TRIM(MID(SUBSTITUTE(SUBSTITUTE(INDEX('CASE MASTER'!$N$2:$N$495,(SUMPRODUCT((('CASE MASTER'!$T$2:$T$495=13)*('CASE MASTER'!$U$2:$U$495&lt;=6)*('CASE MASTER'!$W$2:$W$495&gt;=6)*('CASE MASTER'!$V$2:$V$495&lt;=3)*('CASE MASTER'!$X$2:$X$495&gt;=3))*ROW('CASE MASTER'!$T$2:$T$495))-(ROW('CASE MASTER'!#REF!)-1))),":",","),",",REPT(" ",50)),((((6-INDEX('CASE MASTER'!$U$2:$U$495,(SUMPRODUCT((('CASE MASTER'!$T$2:$T$495=13)*('CASE MASTER'!$U$2:$U$495&lt;=6)*('CASE MASTER'!$W$2:$W$495&gt;=6)*('CASE MASTER'!$V$2:$V$495&lt;=3)*('CASE MASTER'!$X$2:$X$495&gt;=3))*ROW('CASE MASTER'!$T$2:$T$495))-(ROW('CASE MASTER'!#REF!)-1))))*(INDEX('CASE MASTER'!$X$2:$X$495,(SUMPRODUCT((('CASE MASTER'!$T$2:$T$495=13)*('CASE MASTER'!$U$2:$U$495&lt;=6)*('CASE MASTER'!$W$2:$W$495&gt;=6)*('CASE MASTER'!$V$2:$V$495&lt;=3)*('CASE MASTER'!$X$2:$X$495&gt;=3))*ROW('CASE MASTER'!$T$2:$T$495))-(ROW('CASE MASTER'!#REF!)-1)))-INDEX('CASE MASTER'!$V$2:$V$495,(SUMPRODUCT((('CASE MASTER'!$T$2:$T$495=13)*('CASE MASTER'!$U$2:$U$495&lt;=6)*('CASE MASTER'!$W$2:$W$495&gt;=6)*('CASE MASTER'!$V$2:$V$495&lt;=3)*('CASE MASTER'!$X$2:$X$495&gt;=3))*ROW('CASE MASTER'!$T$2:$T$495))-(ROW('CASE MASTER'!#REF!)-1)))+1)+(3-INDEX('CASE MASTER'!$V$2:$V$495,(SUMPRODUCT((('CASE MASTER'!$T$2:$T$495=13)*('CASE MASTER'!$U$2:$U$495&lt;=6)*('CASE MASTER'!$W$2:$W$495&gt;=6)*('CASE MASTER'!$V$2:$V$495&lt;=3)*('CASE MASTER'!$X$2:$X$495&gt;=3))*ROW('CASE MASTER'!$T$2:$T$495))-(ROW('CASE MASTER'!#REF!)-1))))+1))-1)*50+1,50))&amp;"_"&amp;INDEX('CASE MASTER'!$Q$2:$Q$495,(SUMPRODUCT((('CASE MASTER'!$T$2:$T$495=13)*('CASE MASTER'!$U$2:$U$495&lt;=6)*('CASE MASTER'!$W$2:$W$495&gt;=6)*('CASE MASTER'!$V$2:$V$495&lt;=3)*('CASE MASTER'!$X$2:$X$495&gt;=3))*ROW('CASE MASTER'!$T$2:$T$495))-(ROW('CASE MASTER'!#REF!)-1))),IF(SUMPRODUCT((('CASE MASTER'!$T$2:$T$495=13)*('CASE MASTER'!$AA$2:$AA$495&lt;=6)*('CASE MASTER'!$AC$2:$AC$495&gt;=6)*('CASE MASTER'!$AB$2:$AB$495&lt;=3)*('CASE MASTER'!$AD$2:$AD$495&gt;=3))*ROW('CASE MASTER'!$T$2:$T$495))&gt;0,INDEX('CASE MASTER'!$Y$2:$Y$495,(SUMPRODUCT((('CASE MASTER'!$T$2:$T$495=13)*('CASE MASTER'!$AA$2:$AA$495&lt;=6)*('CASE MASTER'!$AC$2:$AC$495&gt;=6)*('CASE MASTER'!$AB$2:$AB$495&lt;=3)*('CASE MASTER'!$AD$2:$AD$495&gt;=3))*ROW('CASE MASTER'!$T$2:$T$495))-(ROW('CASE MASTER'!#REF!)-1)))&amp;TRIM(MID(SUBSTITUTE(SUBSTITUTE(INDEX('CASE MASTER'!$N$2:$N$495,(SUMPRODUCT((('CASE MASTER'!$T$2:$T$495=13)*('CASE MASTER'!$AA$2:$AA$495&lt;=6)*('CASE MASTER'!$AC$2:$AC$495&gt;=6)*('CASE MASTER'!$AB$2:$AB$495&lt;=3)*('CASE MASTER'!$AD$2:$AD$495&gt;=3))*ROW('CASE MASTER'!$T$2:$T$495))-(ROW('CASE MASTER'!#REF!)-1))),":",","),",",REPT(" ",50)),(((INDEX('CASE MASTER'!$Z$2:$Z$495,(SUMPRODUCT((('CASE MASTER'!$T$2:$T$495=13)*('CASE MASTER'!$AA$2:$AA$495&lt;=6)*('CASE MASTER'!$AC$2:$AC$495&gt;=6)*('CASE MASTER'!$AB$2:$AB$495&lt;=3)*('CASE MASTER'!$AD$2:$AD$495&gt;=3))*ROW('CASE MASTER'!$T$2:$T$495))-(ROW('CASE MASTER'!#REF!)-1)))+((6-INDEX('CASE MASTER'!$AA$2:$AA$495,(SUMPRODUCT((('CASE MASTER'!$T$2:$T$495=13)*('CASE MASTER'!$AA$2:$AA$495&lt;=6)*('CASE MASTER'!$AC$2:$AC$495&gt;=6)*('CASE MASTER'!$AB$2:$AB$495&lt;=3)*('CASE MASTER'!$AD$2:$AD$495&gt;=3))*ROW('CASE MASTER'!$T$2:$T$495))-(ROW('CASE MASTER'!#REF!)-1))))*(INDEX('CASE MASTER'!$AD$2:$AD$495,(SUMPRODUCT((('CASE MASTER'!$T$2:$T$495=13)*('CASE MASTER'!$AA$2:$AA$495&lt;=6)*('CASE MASTER'!$AC$2:$AC$495&gt;=6)*('CASE MASTER'!$AB$2:$AB$495&lt;=3)*('CASE MASTER'!$AD$2:$AD$495&gt;=3))*ROW('CASE MASTER'!$T$2:$T$495))-(ROW('CASE MASTER'!#REF!)-1)))-INDEX('CASE MASTER'!$AB$2:$AB$495,(SUMPRODUCT((('CASE MASTER'!$T$2:$T$495=13)*('CASE MASTER'!$AA$2:$AA$495&lt;=6)*('CASE MASTER'!$AC$2:$AC$495&gt;=6)*('CASE MASTER'!$AB$2:$AB$495&lt;=3)*('CASE MASTER'!$AD$2:$AD$495&gt;=3))*ROW('CASE MASTER'!$T$2:$T$495))-(ROW('CASE MASTER'!#REF!)-1)))+1)+(3-INDEX('CASE MASTER'!$AB$2:$AB$495,(SUMPRODUCT((('CASE MASTER'!$T$2:$T$495=13)*('CASE MASTER'!$AA$2:$AA$495&lt;=6)*('CASE MASTER'!$AC$2:$AC$495&gt;=6)*('CASE MASTER'!$AB$2:$AB$495&lt;=3)*('CASE MASTER'!$AD$2:$AD$495&gt;=3))*ROW('CASE MASTER'!$T$2:$T$495))-(ROW('CASE MASTER'!#REF!)-1))))+1)))-1)*50+1,50))&amp;"_"&amp;INDEX('CASE MASTER'!$Q$2:$Q$495,(SUMPRODUCT((('CASE MASTER'!$T$2:$T$495=13)*('CASE MASTER'!$AA$2:$AA$495&lt;=6)*('CASE MASTER'!$AC$2:$AC$495&gt;=6)*('CASE MASTER'!$AB$2:$AB$495&lt;=3)*('CASE MASTER'!$AD$2:$AD$495&gt;=3))*ROW('CASE MASTER'!$T$2:$T$495))-(ROW('CASE MASTER'!#REF!)-1))),"")),"")</f>
        <v/>
      </c>
      <c r="E176" s="10" t="str">
        <f>IFERROR(IF(SUMPRODUCT((('CASE MASTER'!$T$2:$T$495=13)*('CASE MASTER'!$U$2:$U$495&lt;=6)*('CASE MASTER'!$W$2:$W$495&gt;=6)*('CASE MASTER'!$V$2:$V$495&lt;=4)*('CASE MASTER'!$X$2:$X$495&gt;=4))*ROW('CASE MASTER'!$T$2:$T$495))&gt;0,INDEX('CASE MASTER'!$Y$2:$Y$495,(SUMPRODUCT((('CASE MASTER'!$T$2:$T$495=13)*('CASE MASTER'!$U$2:$U$495&lt;=6)*('CASE MASTER'!$W$2:$W$495&gt;=6)*('CASE MASTER'!$V$2:$V$495&lt;=4)*('CASE MASTER'!$X$2:$X$495&gt;=4))*ROW('CASE MASTER'!$T$2:$T$495))-(ROW('CASE MASTER'!#REF!)-1)))&amp;TRIM(MID(SUBSTITUTE(SUBSTITUTE(INDEX('CASE MASTER'!$N$2:$N$495,(SUMPRODUCT((('CASE MASTER'!$T$2:$T$495=13)*('CASE MASTER'!$U$2:$U$495&lt;=6)*('CASE MASTER'!$W$2:$W$495&gt;=6)*('CASE MASTER'!$V$2:$V$495&lt;=4)*('CASE MASTER'!$X$2:$X$495&gt;=4))*ROW('CASE MASTER'!$T$2:$T$495))-(ROW('CASE MASTER'!#REF!)-1))),":",","),",",REPT(" ",50)),((((6-INDEX('CASE MASTER'!$U$2:$U$495,(SUMPRODUCT((('CASE MASTER'!$T$2:$T$495=13)*('CASE MASTER'!$U$2:$U$495&lt;=6)*('CASE MASTER'!$W$2:$W$495&gt;=6)*('CASE MASTER'!$V$2:$V$495&lt;=4)*('CASE MASTER'!$X$2:$X$495&gt;=4))*ROW('CASE MASTER'!$T$2:$T$495))-(ROW('CASE MASTER'!#REF!)-1))))*(INDEX('CASE MASTER'!$X$2:$X$495,(SUMPRODUCT((('CASE MASTER'!$T$2:$T$495=13)*('CASE MASTER'!$U$2:$U$495&lt;=6)*('CASE MASTER'!$W$2:$W$495&gt;=6)*('CASE MASTER'!$V$2:$V$495&lt;=4)*('CASE MASTER'!$X$2:$X$495&gt;=4))*ROW('CASE MASTER'!$T$2:$T$495))-(ROW('CASE MASTER'!#REF!)-1)))-INDEX('CASE MASTER'!$V$2:$V$495,(SUMPRODUCT((('CASE MASTER'!$T$2:$T$495=13)*('CASE MASTER'!$U$2:$U$495&lt;=6)*('CASE MASTER'!$W$2:$W$495&gt;=6)*('CASE MASTER'!$V$2:$V$495&lt;=4)*('CASE MASTER'!$X$2:$X$495&gt;=4))*ROW('CASE MASTER'!$T$2:$T$495))-(ROW('CASE MASTER'!#REF!)-1)))+1)+(4-INDEX('CASE MASTER'!$V$2:$V$495,(SUMPRODUCT((('CASE MASTER'!$T$2:$T$495=13)*('CASE MASTER'!$U$2:$U$495&lt;=6)*('CASE MASTER'!$W$2:$W$495&gt;=6)*('CASE MASTER'!$V$2:$V$495&lt;=4)*('CASE MASTER'!$X$2:$X$495&gt;=4))*ROW('CASE MASTER'!$T$2:$T$495))-(ROW('CASE MASTER'!#REF!)-1))))+1))-1)*50+1,50))&amp;"_"&amp;INDEX('CASE MASTER'!$Q$2:$Q$495,(SUMPRODUCT((('CASE MASTER'!$T$2:$T$495=13)*('CASE MASTER'!$U$2:$U$495&lt;=6)*('CASE MASTER'!$W$2:$W$495&gt;=6)*('CASE MASTER'!$V$2:$V$495&lt;=4)*('CASE MASTER'!$X$2:$X$495&gt;=4))*ROW('CASE MASTER'!$T$2:$T$495))-(ROW('CASE MASTER'!#REF!)-1))),IF(SUMPRODUCT((('CASE MASTER'!$T$2:$T$495=13)*('CASE MASTER'!$AA$2:$AA$495&lt;=6)*('CASE MASTER'!$AC$2:$AC$495&gt;=6)*('CASE MASTER'!$AB$2:$AB$495&lt;=4)*('CASE MASTER'!$AD$2:$AD$495&gt;=4))*ROW('CASE MASTER'!$T$2:$T$495))&gt;0,INDEX('CASE MASTER'!$Y$2:$Y$495,(SUMPRODUCT((('CASE MASTER'!$T$2:$T$495=13)*('CASE MASTER'!$AA$2:$AA$495&lt;=6)*('CASE MASTER'!$AC$2:$AC$495&gt;=6)*('CASE MASTER'!$AB$2:$AB$495&lt;=4)*('CASE MASTER'!$AD$2:$AD$495&gt;=4))*ROW('CASE MASTER'!$T$2:$T$495))-(ROW('CASE MASTER'!#REF!)-1)))&amp;TRIM(MID(SUBSTITUTE(SUBSTITUTE(INDEX('CASE MASTER'!$N$2:$N$495,(SUMPRODUCT((('CASE MASTER'!$T$2:$T$495=13)*('CASE MASTER'!$AA$2:$AA$495&lt;=6)*('CASE MASTER'!$AC$2:$AC$495&gt;=6)*('CASE MASTER'!$AB$2:$AB$495&lt;=4)*('CASE MASTER'!$AD$2:$AD$495&gt;=4))*ROW('CASE MASTER'!$T$2:$T$495))-(ROW('CASE MASTER'!#REF!)-1))),":",","),",",REPT(" ",50)),(((INDEX('CASE MASTER'!$Z$2:$Z$495,(SUMPRODUCT((('CASE MASTER'!$T$2:$T$495=13)*('CASE MASTER'!$AA$2:$AA$495&lt;=6)*('CASE MASTER'!$AC$2:$AC$495&gt;=6)*('CASE MASTER'!$AB$2:$AB$495&lt;=4)*('CASE MASTER'!$AD$2:$AD$495&gt;=4))*ROW('CASE MASTER'!$T$2:$T$495))-(ROW('CASE MASTER'!#REF!)-1)))+((6-INDEX('CASE MASTER'!$AA$2:$AA$495,(SUMPRODUCT((('CASE MASTER'!$T$2:$T$495=13)*('CASE MASTER'!$AA$2:$AA$495&lt;=6)*('CASE MASTER'!$AC$2:$AC$495&gt;=6)*('CASE MASTER'!$AB$2:$AB$495&lt;=4)*('CASE MASTER'!$AD$2:$AD$495&gt;=4))*ROW('CASE MASTER'!$T$2:$T$495))-(ROW('CASE MASTER'!#REF!)-1))))*(INDEX('CASE MASTER'!$AD$2:$AD$495,(SUMPRODUCT((('CASE MASTER'!$T$2:$T$495=13)*('CASE MASTER'!$AA$2:$AA$495&lt;=6)*('CASE MASTER'!$AC$2:$AC$495&gt;=6)*('CASE MASTER'!$AB$2:$AB$495&lt;=4)*('CASE MASTER'!$AD$2:$AD$495&gt;=4))*ROW('CASE MASTER'!$T$2:$T$495))-(ROW('CASE MASTER'!#REF!)-1)))-INDEX('CASE MASTER'!$AB$2:$AB$495,(SUMPRODUCT((('CASE MASTER'!$T$2:$T$495=13)*('CASE MASTER'!$AA$2:$AA$495&lt;=6)*('CASE MASTER'!$AC$2:$AC$495&gt;=6)*('CASE MASTER'!$AB$2:$AB$495&lt;=4)*('CASE MASTER'!$AD$2:$AD$495&gt;=4))*ROW('CASE MASTER'!$T$2:$T$495))-(ROW('CASE MASTER'!#REF!)-1)))+1)+(4-INDEX('CASE MASTER'!$AB$2:$AB$495,(SUMPRODUCT((('CASE MASTER'!$T$2:$T$495=13)*('CASE MASTER'!$AA$2:$AA$495&lt;=6)*('CASE MASTER'!$AC$2:$AC$495&gt;=6)*('CASE MASTER'!$AB$2:$AB$495&lt;=4)*('CASE MASTER'!$AD$2:$AD$495&gt;=4))*ROW('CASE MASTER'!$T$2:$T$495))-(ROW('CASE MASTER'!#REF!)-1))))+1)))-1)*50+1,50))&amp;"_"&amp;INDEX('CASE MASTER'!$Q$2:$Q$495,(SUMPRODUCT((('CASE MASTER'!$T$2:$T$495=13)*('CASE MASTER'!$AA$2:$AA$495&lt;=6)*('CASE MASTER'!$AC$2:$AC$495&gt;=6)*('CASE MASTER'!$AB$2:$AB$495&lt;=4)*('CASE MASTER'!$AD$2:$AD$495&gt;=4))*ROW('CASE MASTER'!$T$2:$T$495))-(ROW('CASE MASTER'!#REF!)-1))),"")),"")</f>
        <v/>
      </c>
      <c r="F176" s="10" t="str">
        <f>IFERROR(IF(SUMPRODUCT((('CASE MASTER'!$T$2:$T$495=13)*('CASE MASTER'!$U$2:$U$495&lt;=6)*('CASE MASTER'!$W$2:$W$495&gt;=6)*('CASE MASTER'!$V$2:$V$495&lt;=5)*('CASE MASTER'!$X$2:$X$495&gt;=5))*ROW('CASE MASTER'!$T$2:$T$495))&gt;0,INDEX('CASE MASTER'!$Y$2:$Y$495,(SUMPRODUCT((('CASE MASTER'!$T$2:$T$495=13)*('CASE MASTER'!$U$2:$U$495&lt;=6)*('CASE MASTER'!$W$2:$W$495&gt;=6)*('CASE MASTER'!$V$2:$V$495&lt;=5)*('CASE MASTER'!$X$2:$X$495&gt;=5))*ROW('CASE MASTER'!$T$2:$T$495))-(ROW('CASE MASTER'!#REF!)-1)))&amp;TRIM(MID(SUBSTITUTE(SUBSTITUTE(INDEX('CASE MASTER'!$N$2:$N$495,(SUMPRODUCT((('CASE MASTER'!$T$2:$T$495=13)*('CASE MASTER'!$U$2:$U$495&lt;=6)*('CASE MASTER'!$W$2:$W$495&gt;=6)*('CASE MASTER'!$V$2:$V$495&lt;=5)*('CASE MASTER'!$X$2:$X$495&gt;=5))*ROW('CASE MASTER'!$T$2:$T$495))-(ROW('CASE MASTER'!#REF!)-1))),":",","),",",REPT(" ",50)),((((6-INDEX('CASE MASTER'!$U$2:$U$495,(SUMPRODUCT((('CASE MASTER'!$T$2:$T$495=13)*('CASE MASTER'!$U$2:$U$495&lt;=6)*('CASE MASTER'!$W$2:$W$495&gt;=6)*('CASE MASTER'!$V$2:$V$495&lt;=5)*('CASE MASTER'!$X$2:$X$495&gt;=5))*ROW('CASE MASTER'!$T$2:$T$495))-(ROW('CASE MASTER'!#REF!)-1))))*(INDEX('CASE MASTER'!$X$2:$X$495,(SUMPRODUCT((('CASE MASTER'!$T$2:$T$495=13)*('CASE MASTER'!$U$2:$U$495&lt;=6)*('CASE MASTER'!$W$2:$W$495&gt;=6)*('CASE MASTER'!$V$2:$V$495&lt;=5)*('CASE MASTER'!$X$2:$X$495&gt;=5))*ROW('CASE MASTER'!$T$2:$T$495))-(ROW('CASE MASTER'!#REF!)-1)))-INDEX('CASE MASTER'!$V$2:$V$495,(SUMPRODUCT((('CASE MASTER'!$T$2:$T$495=13)*('CASE MASTER'!$U$2:$U$495&lt;=6)*('CASE MASTER'!$W$2:$W$495&gt;=6)*('CASE MASTER'!$V$2:$V$495&lt;=5)*('CASE MASTER'!$X$2:$X$495&gt;=5))*ROW('CASE MASTER'!$T$2:$T$495))-(ROW('CASE MASTER'!#REF!)-1)))+1)+(5-INDEX('CASE MASTER'!$V$2:$V$495,(SUMPRODUCT((('CASE MASTER'!$T$2:$T$495=13)*('CASE MASTER'!$U$2:$U$495&lt;=6)*('CASE MASTER'!$W$2:$W$495&gt;=6)*('CASE MASTER'!$V$2:$V$495&lt;=5)*('CASE MASTER'!$X$2:$X$495&gt;=5))*ROW('CASE MASTER'!$T$2:$T$495))-(ROW('CASE MASTER'!#REF!)-1))))+1))-1)*50+1,50))&amp;"_"&amp;INDEX('CASE MASTER'!$Q$2:$Q$495,(SUMPRODUCT((('CASE MASTER'!$T$2:$T$495=13)*('CASE MASTER'!$U$2:$U$495&lt;=6)*('CASE MASTER'!$W$2:$W$495&gt;=6)*('CASE MASTER'!$V$2:$V$495&lt;=5)*('CASE MASTER'!$X$2:$X$495&gt;=5))*ROW('CASE MASTER'!$T$2:$T$495))-(ROW('CASE MASTER'!#REF!)-1))),IF(SUMPRODUCT((('CASE MASTER'!$T$2:$T$495=13)*('CASE MASTER'!$AA$2:$AA$495&lt;=6)*('CASE MASTER'!$AC$2:$AC$495&gt;=6)*('CASE MASTER'!$AB$2:$AB$495&lt;=5)*('CASE MASTER'!$AD$2:$AD$495&gt;=5))*ROW('CASE MASTER'!$T$2:$T$495))&gt;0,INDEX('CASE MASTER'!$Y$2:$Y$495,(SUMPRODUCT((('CASE MASTER'!$T$2:$T$495=13)*('CASE MASTER'!$AA$2:$AA$495&lt;=6)*('CASE MASTER'!$AC$2:$AC$495&gt;=6)*('CASE MASTER'!$AB$2:$AB$495&lt;=5)*('CASE MASTER'!$AD$2:$AD$495&gt;=5))*ROW('CASE MASTER'!$T$2:$T$495))-(ROW('CASE MASTER'!#REF!)-1)))&amp;TRIM(MID(SUBSTITUTE(SUBSTITUTE(INDEX('CASE MASTER'!$N$2:$N$495,(SUMPRODUCT((('CASE MASTER'!$T$2:$T$495=13)*('CASE MASTER'!$AA$2:$AA$495&lt;=6)*('CASE MASTER'!$AC$2:$AC$495&gt;=6)*('CASE MASTER'!$AB$2:$AB$495&lt;=5)*('CASE MASTER'!$AD$2:$AD$495&gt;=5))*ROW('CASE MASTER'!$T$2:$T$495))-(ROW('CASE MASTER'!#REF!)-1))),":",","),",",REPT(" ",50)),(((INDEX('CASE MASTER'!$Z$2:$Z$495,(SUMPRODUCT((('CASE MASTER'!$T$2:$T$495=13)*('CASE MASTER'!$AA$2:$AA$495&lt;=6)*('CASE MASTER'!$AC$2:$AC$495&gt;=6)*('CASE MASTER'!$AB$2:$AB$495&lt;=5)*('CASE MASTER'!$AD$2:$AD$495&gt;=5))*ROW('CASE MASTER'!$T$2:$T$495))-(ROW('CASE MASTER'!#REF!)-1)))+((6-INDEX('CASE MASTER'!$AA$2:$AA$495,(SUMPRODUCT((('CASE MASTER'!$T$2:$T$495=13)*('CASE MASTER'!$AA$2:$AA$495&lt;=6)*('CASE MASTER'!$AC$2:$AC$495&gt;=6)*('CASE MASTER'!$AB$2:$AB$495&lt;=5)*('CASE MASTER'!$AD$2:$AD$495&gt;=5))*ROW('CASE MASTER'!$T$2:$T$495))-(ROW('CASE MASTER'!#REF!)-1))))*(INDEX('CASE MASTER'!$AD$2:$AD$495,(SUMPRODUCT((('CASE MASTER'!$T$2:$T$495=13)*('CASE MASTER'!$AA$2:$AA$495&lt;=6)*('CASE MASTER'!$AC$2:$AC$495&gt;=6)*('CASE MASTER'!$AB$2:$AB$495&lt;=5)*('CASE MASTER'!$AD$2:$AD$495&gt;=5))*ROW('CASE MASTER'!$T$2:$T$495))-(ROW('CASE MASTER'!#REF!)-1)))-INDEX('CASE MASTER'!$AB$2:$AB$495,(SUMPRODUCT((('CASE MASTER'!$T$2:$T$495=13)*('CASE MASTER'!$AA$2:$AA$495&lt;=6)*('CASE MASTER'!$AC$2:$AC$495&gt;=6)*('CASE MASTER'!$AB$2:$AB$495&lt;=5)*('CASE MASTER'!$AD$2:$AD$495&gt;=5))*ROW('CASE MASTER'!$T$2:$T$495))-(ROW('CASE MASTER'!#REF!)-1)))+1)+(5-INDEX('CASE MASTER'!$AB$2:$AB$495,(SUMPRODUCT((('CASE MASTER'!$T$2:$T$495=13)*('CASE MASTER'!$AA$2:$AA$495&lt;=6)*('CASE MASTER'!$AC$2:$AC$495&gt;=6)*('CASE MASTER'!$AB$2:$AB$495&lt;=5)*('CASE MASTER'!$AD$2:$AD$495&gt;=5))*ROW('CASE MASTER'!$T$2:$T$495))-(ROW('CASE MASTER'!#REF!)-1))))+1)))-1)*50+1,50))&amp;"_"&amp;INDEX('CASE MASTER'!$Q$2:$Q$495,(SUMPRODUCT((('CASE MASTER'!$T$2:$T$495=13)*('CASE MASTER'!$AA$2:$AA$495&lt;=6)*('CASE MASTER'!$AC$2:$AC$495&gt;=6)*('CASE MASTER'!$AB$2:$AB$495&lt;=5)*('CASE MASTER'!$AD$2:$AD$495&gt;=5))*ROW('CASE MASTER'!$T$2:$T$495))-(ROW('CASE MASTER'!#REF!)-1))),"")),"")</f>
        <v/>
      </c>
      <c r="G176" s="10" t="str">
        <f>IFERROR(IF(SUMPRODUCT((('CASE MASTER'!$T$2:$T$495=13)*('CASE MASTER'!$U$2:$U$495&lt;=6)*('CASE MASTER'!$W$2:$W$495&gt;=6)*('CASE MASTER'!$V$2:$V$495&lt;=6)*('CASE MASTER'!$X$2:$X$495&gt;=6))*ROW('CASE MASTER'!$T$2:$T$495))&gt;0,INDEX('CASE MASTER'!$Y$2:$Y$495,(SUMPRODUCT((('CASE MASTER'!$T$2:$T$495=13)*('CASE MASTER'!$U$2:$U$495&lt;=6)*('CASE MASTER'!$W$2:$W$495&gt;=6)*('CASE MASTER'!$V$2:$V$495&lt;=6)*('CASE MASTER'!$X$2:$X$495&gt;=6))*ROW('CASE MASTER'!$T$2:$T$495))-(ROW('CASE MASTER'!#REF!)-1)))&amp;TRIM(MID(SUBSTITUTE(SUBSTITUTE(INDEX('CASE MASTER'!$N$2:$N$495,(SUMPRODUCT((('CASE MASTER'!$T$2:$T$495=13)*('CASE MASTER'!$U$2:$U$495&lt;=6)*('CASE MASTER'!$W$2:$W$495&gt;=6)*('CASE MASTER'!$V$2:$V$495&lt;=6)*('CASE MASTER'!$X$2:$X$495&gt;=6))*ROW('CASE MASTER'!$T$2:$T$495))-(ROW('CASE MASTER'!#REF!)-1))),":",","),",",REPT(" ",50)),((((6-INDEX('CASE MASTER'!$U$2:$U$495,(SUMPRODUCT((('CASE MASTER'!$T$2:$T$495=13)*('CASE MASTER'!$U$2:$U$495&lt;=6)*('CASE MASTER'!$W$2:$W$495&gt;=6)*('CASE MASTER'!$V$2:$V$495&lt;=6)*('CASE MASTER'!$X$2:$X$495&gt;=6))*ROW('CASE MASTER'!$T$2:$T$495))-(ROW('CASE MASTER'!#REF!)-1))))*(INDEX('CASE MASTER'!$X$2:$X$495,(SUMPRODUCT((('CASE MASTER'!$T$2:$T$495=13)*('CASE MASTER'!$U$2:$U$495&lt;=6)*('CASE MASTER'!$W$2:$W$495&gt;=6)*('CASE MASTER'!$V$2:$V$495&lt;=6)*('CASE MASTER'!$X$2:$X$495&gt;=6))*ROW('CASE MASTER'!$T$2:$T$495))-(ROW('CASE MASTER'!#REF!)-1)))-INDEX('CASE MASTER'!$V$2:$V$495,(SUMPRODUCT((('CASE MASTER'!$T$2:$T$495=13)*('CASE MASTER'!$U$2:$U$495&lt;=6)*('CASE MASTER'!$W$2:$W$495&gt;=6)*('CASE MASTER'!$V$2:$V$495&lt;=6)*('CASE MASTER'!$X$2:$X$495&gt;=6))*ROW('CASE MASTER'!$T$2:$T$495))-(ROW('CASE MASTER'!#REF!)-1)))+1)+(6-INDEX('CASE MASTER'!$V$2:$V$495,(SUMPRODUCT((('CASE MASTER'!$T$2:$T$495=13)*('CASE MASTER'!$U$2:$U$495&lt;=6)*('CASE MASTER'!$W$2:$W$495&gt;=6)*('CASE MASTER'!$V$2:$V$495&lt;=6)*('CASE MASTER'!$X$2:$X$495&gt;=6))*ROW('CASE MASTER'!$T$2:$T$495))-(ROW('CASE MASTER'!#REF!)-1))))+1))-1)*50+1,50))&amp;"_"&amp;INDEX('CASE MASTER'!$Q$2:$Q$495,(SUMPRODUCT((('CASE MASTER'!$T$2:$T$495=13)*('CASE MASTER'!$U$2:$U$495&lt;=6)*('CASE MASTER'!$W$2:$W$495&gt;=6)*('CASE MASTER'!$V$2:$V$495&lt;=6)*('CASE MASTER'!$X$2:$X$495&gt;=6))*ROW('CASE MASTER'!$T$2:$T$495))-(ROW('CASE MASTER'!#REF!)-1))),IF(SUMPRODUCT((('CASE MASTER'!$T$2:$T$495=13)*('CASE MASTER'!$AA$2:$AA$495&lt;=6)*('CASE MASTER'!$AC$2:$AC$495&gt;=6)*('CASE MASTER'!$AB$2:$AB$495&lt;=6)*('CASE MASTER'!$AD$2:$AD$495&gt;=6))*ROW('CASE MASTER'!$T$2:$T$495))&gt;0,INDEX('CASE MASTER'!$Y$2:$Y$495,(SUMPRODUCT((('CASE MASTER'!$T$2:$T$495=13)*('CASE MASTER'!$AA$2:$AA$495&lt;=6)*('CASE MASTER'!$AC$2:$AC$495&gt;=6)*('CASE MASTER'!$AB$2:$AB$495&lt;=6)*('CASE MASTER'!$AD$2:$AD$495&gt;=6))*ROW('CASE MASTER'!$T$2:$T$495))-(ROW('CASE MASTER'!#REF!)-1)))&amp;TRIM(MID(SUBSTITUTE(SUBSTITUTE(INDEX('CASE MASTER'!$N$2:$N$495,(SUMPRODUCT((('CASE MASTER'!$T$2:$T$495=13)*('CASE MASTER'!$AA$2:$AA$495&lt;=6)*('CASE MASTER'!$AC$2:$AC$495&gt;=6)*('CASE MASTER'!$AB$2:$AB$495&lt;=6)*('CASE MASTER'!$AD$2:$AD$495&gt;=6))*ROW('CASE MASTER'!$T$2:$T$495))-(ROW('CASE MASTER'!#REF!)-1))),":",","),",",REPT(" ",50)),(((INDEX('CASE MASTER'!$Z$2:$Z$495,(SUMPRODUCT((('CASE MASTER'!$T$2:$T$495=13)*('CASE MASTER'!$AA$2:$AA$495&lt;=6)*('CASE MASTER'!$AC$2:$AC$495&gt;=6)*('CASE MASTER'!$AB$2:$AB$495&lt;=6)*('CASE MASTER'!$AD$2:$AD$495&gt;=6))*ROW('CASE MASTER'!$T$2:$T$495))-(ROW('CASE MASTER'!#REF!)-1)))+((6-INDEX('CASE MASTER'!$AA$2:$AA$495,(SUMPRODUCT((('CASE MASTER'!$T$2:$T$495=13)*('CASE MASTER'!$AA$2:$AA$495&lt;=6)*('CASE MASTER'!$AC$2:$AC$495&gt;=6)*('CASE MASTER'!$AB$2:$AB$495&lt;=6)*('CASE MASTER'!$AD$2:$AD$495&gt;=6))*ROW('CASE MASTER'!$T$2:$T$495))-(ROW('CASE MASTER'!#REF!)-1))))*(INDEX('CASE MASTER'!$AD$2:$AD$495,(SUMPRODUCT((('CASE MASTER'!$T$2:$T$495=13)*('CASE MASTER'!$AA$2:$AA$495&lt;=6)*('CASE MASTER'!$AC$2:$AC$495&gt;=6)*('CASE MASTER'!$AB$2:$AB$495&lt;=6)*('CASE MASTER'!$AD$2:$AD$495&gt;=6))*ROW('CASE MASTER'!$T$2:$T$495))-(ROW('CASE MASTER'!#REF!)-1)))-INDEX('CASE MASTER'!$AB$2:$AB$495,(SUMPRODUCT((('CASE MASTER'!$T$2:$T$495=13)*('CASE MASTER'!$AA$2:$AA$495&lt;=6)*('CASE MASTER'!$AC$2:$AC$495&gt;=6)*('CASE MASTER'!$AB$2:$AB$495&lt;=6)*('CASE MASTER'!$AD$2:$AD$495&gt;=6))*ROW('CASE MASTER'!$T$2:$T$495))-(ROW('CASE MASTER'!#REF!)-1)))+1)+(6-INDEX('CASE MASTER'!$AB$2:$AB$495,(SUMPRODUCT((('CASE MASTER'!$T$2:$T$495=13)*('CASE MASTER'!$AA$2:$AA$495&lt;=6)*('CASE MASTER'!$AC$2:$AC$495&gt;=6)*('CASE MASTER'!$AB$2:$AB$495&lt;=6)*('CASE MASTER'!$AD$2:$AD$495&gt;=6))*ROW('CASE MASTER'!$T$2:$T$495))-(ROW('CASE MASTER'!#REF!)-1))))+1)))-1)*50+1,50))&amp;"_"&amp;INDEX('CASE MASTER'!$Q$2:$Q$495,(SUMPRODUCT((('CASE MASTER'!$T$2:$T$495=13)*('CASE MASTER'!$AA$2:$AA$495&lt;=6)*('CASE MASTER'!$AC$2:$AC$495&gt;=6)*('CASE MASTER'!$AB$2:$AB$495&lt;=6)*('CASE MASTER'!$AD$2:$AD$495&gt;=6))*ROW('CASE MASTER'!$T$2:$T$495))-(ROW('CASE MASTER'!#REF!)-1))),"")),"")</f>
        <v/>
      </c>
      <c r="H176" s="10" t="str">
        <f>IFERROR(IF(SUMPRODUCT((('CASE MASTER'!$T$2:$T$495=13)*('CASE MASTER'!$U$2:$U$495&lt;=6)*('CASE MASTER'!$W$2:$W$495&gt;=6)*('CASE MASTER'!$V$2:$V$495&lt;=7)*('CASE MASTER'!$X$2:$X$495&gt;=7))*ROW('CASE MASTER'!$T$2:$T$495))&gt;0,INDEX('CASE MASTER'!$Y$2:$Y$495,(SUMPRODUCT((('CASE MASTER'!$T$2:$T$495=13)*('CASE MASTER'!$U$2:$U$495&lt;=6)*('CASE MASTER'!$W$2:$W$495&gt;=6)*('CASE MASTER'!$V$2:$V$495&lt;=7)*('CASE MASTER'!$X$2:$X$495&gt;=7))*ROW('CASE MASTER'!$T$2:$T$495))-(ROW('CASE MASTER'!#REF!)-1)))&amp;TRIM(MID(SUBSTITUTE(SUBSTITUTE(INDEX('CASE MASTER'!$N$2:$N$495,(SUMPRODUCT((('CASE MASTER'!$T$2:$T$495=13)*('CASE MASTER'!$U$2:$U$495&lt;=6)*('CASE MASTER'!$W$2:$W$495&gt;=6)*('CASE MASTER'!$V$2:$V$495&lt;=7)*('CASE MASTER'!$X$2:$X$495&gt;=7))*ROW('CASE MASTER'!$T$2:$T$495))-(ROW('CASE MASTER'!#REF!)-1))),":",","),",",REPT(" ",50)),((((6-INDEX('CASE MASTER'!$U$2:$U$495,(SUMPRODUCT((('CASE MASTER'!$T$2:$T$495=13)*('CASE MASTER'!$U$2:$U$495&lt;=6)*('CASE MASTER'!$W$2:$W$495&gt;=6)*('CASE MASTER'!$V$2:$V$495&lt;=7)*('CASE MASTER'!$X$2:$X$495&gt;=7))*ROW('CASE MASTER'!$T$2:$T$495))-(ROW('CASE MASTER'!#REF!)-1))))*(INDEX('CASE MASTER'!$X$2:$X$495,(SUMPRODUCT((('CASE MASTER'!$T$2:$T$495=13)*('CASE MASTER'!$U$2:$U$495&lt;=6)*('CASE MASTER'!$W$2:$W$495&gt;=6)*('CASE MASTER'!$V$2:$V$495&lt;=7)*('CASE MASTER'!$X$2:$X$495&gt;=7))*ROW('CASE MASTER'!$T$2:$T$495))-(ROW('CASE MASTER'!#REF!)-1)))-INDEX('CASE MASTER'!$V$2:$V$495,(SUMPRODUCT((('CASE MASTER'!$T$2:$T$495=13)*('CASE MASTER'!$U$2:$U$495&lt;=6)*('CASE MASTER'!$W$2:$W$495&gt;=6)*('CASE MASTER'!$V$2:$V$495&lt;=7)*('CASE MASTER'!$X$2:$X$495&gt;=7))*ROW('CASE MASTER'!$T$2:$T$495))-(ROW('CASE MASTER'!#REF!)-1)))+1)+(7-INDEX('CASE MASTER'!$V$2:$V$495,(SUMPRODUCT((('CASE MASTER'!$T$2:$T$495=13)*('CASE MASTER'!$U$2:$U$495&lt;=6)*('CASE MASTER'!$W$2:$W$495&gt;=6)*('CASE MASTER'!$V$2:$V$495&lt;=7)*('CASE MASTER'!$X$2:$X$495&gt;=7))*ROW('CASE MASTER'!$T$2:$T$495))-(ROW('CASE MASTER'!#REF!)-1))))+1))-1)*50+1,50))&amp;"_"&amp;INDEX('CASE MASTER'!$Q$2:$Q$495,(SUMPRODUCT((('CASE MASTER'!$T$2:$T$495=13)*('CASE MASTER'!$U$2:$U$495&lt;=6)*('CASE MASTER'!$W$2:$W$495&gt;=6)*('CASE MASTER'!$V$2:$V$495&lt;=7)*('CASE MASTER'!$X$2:$X$495&gt;=7))*ROW('CASE MASTER'!$T$2:$T$495))-(ROW('CASE MASTER'!#REF!)-1))),IF(SUMPRODUCT((('CASE MASTER'!$T$2:$T$495=13)*('CASE MASTER'!$AA$2:$AA$495&lt;=6)*('CASE MASTER'!$AC$2:$AC$495&gt;=6)*('CASE MASTER'!$AB$2:$AB$495&lt;=7)*('CASE MASTER'!$AD$2:$AD$495&gt;=7))*ROW('CASE MASTER'!$T$2:$T$495))&gt;0,INDEX('CASE MASTER'!$Y$2:$Y$495,(SUMPRODUCT((('CASE MASTER'!$T$2:$T$495=13)*('CASE MASTER'!$AA$2:$AA$495&lt;=6)*('CASE MASTER'!$AC$2:$AC$495&gt;=6)*('CASE MASTER'!$AB$2:$AB$495&lt;=7)*('CASE MASTER'!$AD$2:$AD$495&gt;=7))*ROW('CASE MASTER'!$T$2:$T$495))-(ROW('CASE MASTER'!#REF!)-1)))&amp;TRIM(MID(SUBSTITUTE(SUBSTITUTE(INDEX('CASE MASTER'!$N$2:$N$495,(SUMPRODUCT((('CASE MASTER'!$T$2:$T$495=13)*('CASE MASTER'!$AA$2:$AA$495&lt;=6)*('CASE MASTER'!$AC$2:$AC$495&gt;=6)*('CASE MASTER'!$AB$2:$AB$495&lt;=7)*('CASE MASTER'!$AD$2:$AD$495&gt;=7))*ROW('CASE MASTER'!$T$2:$T$495))-(ROW('CASE MASTER'!#REF!)-1))),":",","),",",REPT(" ",50)),(((INDEX('CASE MASTER'!$Z$2:$Z$495,(SUMPRODUCT((('CASE MASTER'!$T$2:$T$495=13)*('CASE MASTER'!$AA$2:$AA$495&lt;=6)*('CASE MASTER'!$AC$2:$AC$495&gt;=6)*('CASE MASTER'!$AB$2:$AB$495&lt;=7)*('CASE MASTER'!$AD$2:$AD$495&gt;=7))*ROW('CASE MASTER'!$T$2:$T$495))-(ROW('CASE MASTER'!#REF!)-1)))+((6-INDEX('CASE MASTER'!$AA$2:$AA$495,(SUMPRODUCT((('CASE MASTER'!$T$2:$T$495=13)*('CASE MASTER'!$AA$2:$AA$495&lt;=6)*('CASE MASTER'!$AC$2:$AC$495&gt;=6)*('CASE MASTER'!$AB$2:$AB$495&lt;=7)*('CASE MASTER'!$AD$2:$AD$495&gt;=7))*ROW('CASE MASTER'!$T$2:$T$495))-(ROW('CASE MASTER'!#REF!)-1))))*(INDEX('CASE MASTER'!$AD$2:$AD$495,(SUMPRODUCT((('CASE MASTER'!$T$2:$T$495=13)*('CASE MASTER'!$AA$2:$AA$495&lt;=6)*('CASE MASTER'!$AC$2:$AC$495&gt;=6)*('CASE MASTER'!$AB$2:$AB$495&lt;=7)*('CASE MASTER'!$AD$2:$AD$495&gt;=7))*ROW('CASE MASTER'!$T$2:$T$495))-(ROW('CASE MASTER'!#REF!)-1)))-INDEX('CASE MASTER'!$AB$2:$AB$495,(SUMPRODUCT((('CASE MASTER'!$T$2:$T$495=13)*('CASE MASTER'!$AA$2:$AA$495&lt;=6)*('CASE MASTER'!$AC$2:$AC$495&gt;=6)*('CASE MASTER'!$AB$2:$AB$495&lt;=7)*('CASE MASTER'!$AD$2:$AD$495&gt;=7))*ROW('CASE MASTER'!$T$2:$T$495))-(ROW('CASE MASTER'!#REF!)-1)))+1)+(7-INDEX('CASE MASTER'!$AB$2:$AB$495,(SUMPRODUCT((('CASE MASTER'!$T$2:$T$495=13)*('CASE MASTER'!$AA$2:$AA$495&lt;=6)*('CASE MASTER'!$AC$2:$AC$495&gt;=6)*('CASE MASTER'!$AB$2:$AB$495&lt;=7)*('CASE MASTER'!$AD$2:$AD$495&gt;=7))*ROW('CASE MASTER'!$T$2:$T$495))-(ROW('CASE MASTER'!#REF!)-1))))+1)))-1)*50+1,50))&amp;"_"&amp;INDEX('CASE MASTER'!$Q$2:$Q$495,(SUMPRODUCT((('CASE MASTER'!$T$2:$T$495=13)*('CASE MASTER'!$AA$2:$AA$495&lt;=6)*('CASE MASTER'!$AC$2:$AC$495&gt;=6)*('CASE MASTER'!$AB$2:$AB$495&lt;=7)*('CASE MASTER'!$AD$2:$AD$495&gt;=7))*ROW('CASE MASTER'!$T$2:$T$495))-(ROW('CASE MASTER'!#REF!)-1))),"")),"")</f>
        <v/>
      </c>
      <c r="I176" s="10" t="str">
        <f>IFERROR(IF(SUMPRODUCT((('CASE MASTER'!$T$2:$T$495=13)*('CASE MASTER'!$U$2:$U$495&lt;=6)*('CASE MASTER'!$W$2:$W$495&gt;=6)*('CASE MASTER'!$V$2:$V$495&lt;=8)*('CASE MASTER'!$X$2:$X$495&gt;=8))*ROW('CASE MASTER'!$T$2:$T$495))&gt;0,INDEX('CASE MASTER'!$Y$2:$Y$495,(SUMPRODUCT((('CASE MASTER'!$T$2:$T$495=13)*('CASE MASTER'!$U$2:$U$495&lt;=6)*('CASE MASTER'!$W$2:$W$495&gt;=6)*('CASE MASTER'!$V$2:$V$495&lt;=8)*('CASE MASTER'!$X$2:$X$495&gt;=8))*ROW('CASE MASTER'!$T$2:$T$495))-(ROW('CASE MASTER'!#REF!)-1)))&amp;TRIM(MID(SUBSTITUTE(SUBSTITUTE(INDEX('CASE MASTER'!$N$2:$N$495,(SUMPRODUCT((('CASE MASTER'!$T$2:$T$495=13)*('CASE MASTER'!$U$2:$U$495&lt;=6)*('CASE MASTER'!$W$2:$W$495&gt;=6)*('CASE MASTER'!$V$2:$V$495&lt;=8)*('CASE MASTER'!$X$2:$X$495&gt;=8))*ROW('CASE MASTER'!$T$2:$T$495))-(ROW('CASE MASTER'!#REF!)-1))),":",","),",",REPT(" ",50)),((((6-INDEX('CASE MASTER'!$U$2:$U$495,(SUMPRODUCT((('CASE MASTER'!$T$2:$T$495=13)*('CASE MASTER'!$U$2:$U$495&lt;=6)*('CASE MASTER'!$W$2:$W$495&gt;=6)*('CASE MASTER'!$V$2:$V$495&lt;=8)*('CASE MASTER'!$X$2:$X$495&gt;=8))*ROW('CASE MASTER'!$T$2:$T$495))-(ROW('CASE MASTER'!#REF!)-1))))*(INDEX('CASE MASTER'!$X$2:$X$495,(SUMPRODUCT((('CASE MASTER'!$T$2:$T$495=13)*('CASE MASTER'!$U$2:$U$495&lt;=6)*('CASE MASTER'!$W$2:$W$495&gt;=6)*('CASE MASTER'!$V$2:$V$495&lt;=8)*('CASE MASTER'!$X$2:$X$495&gt;=8))*ROW('CASE MASTER'!$T$2:$T$495))-(ROW('CASE MASTER'!#REF!)-1)))-INDEX('CASE MASTER'!$V$2:$V$495,(SUMPRODUCT((('CASE MASTER'!$T$2:$T$495=13)*('CASE MASTER'!$U$2:$U$495&lt;=6)*('CASE MASTER'!$W$2:$W$495&gt;=6)*('CASE MASTER'!$V$2:$V$495&lt;=8)*('CASE MASTER'!$X$2:$X$495&gt;=8))*ROW('CASE MASTER'!$T$2:$T$495))-(ROW('CASE MASTER'!#REF!)-1)))+1)+(8-INDEX('CASE MASTER'!$V$2:$V$495,(SUMPRODUCT((('CASE MASTER'!$T$2:$T$495=13)*('CASE MASTER'!$U$2:$U$495&lt;=6)*('CASE MASTER'!$W$2:$W$495&gt;=6)*('CASE MASTER'!$V$2:$V$495&lt;=8)*('CASE MASTER'!$X$2:$X$495&gt;=8))*ROW('CASE MASTER'!$T$2:$T$495))-(ROW('CASE MASTER'!#REF!)-1))))+1))-1)*50+1,50))&amp;"_"&amp;INDEX('CASE MASTER'!$Q$2:$Q$495,(SUMPRODUCT((('CASE MASTER'!$T$2:$T$495=13)*('CASE MASTER'!$U$2:$U$495&lt;=6)*('CASE MASTER'!$W$2:$W$495&gt;=6)*('CASE MASTER'!$V$2:$V$495&lt;=8)*('CASE MASTER'!$X$2:$X$495&gt;=8))*ROW('CASE MASTER'!$T$2:$T$495))-(ROW('CASE MASTER'!#REF!)-1))),IF(SUMPRODUCT((('CASE MASTER'!$T$2:$T$495=13)*('CASE MASTER'!$AA$2:$AA$495&lt;=6)*('CASE MASTER'!$AC$2:$AC$495&gt;=6)*('CASE MASTER'!$AB$2:$AB$495&lt;=8)*('CASE MASTER'!$AD$2:$AD$495&gt;=8))*ROW('CASE MASTER'!$T$2:$T$495))&gt;0,INDEX('CASE MASTER'!$Y$2:$Y$495,(SUMPRODUCT((('CASE MASTER'!$T$2:$T$495=13)*('CASE MASTER'!$AA$2:$AA$495&lt;=6)*('CASE MASTER'!$AC$2:$AC$495&gt;=6)*('CASE MASTER'!$AB$2:$AB$495&lt;=8)*('CASE MASTER'!$AD$2:$AD$495&gt;=8))*ROW('CASE MASTER'!$T$2:$T$495))-(ROW('CASE MASTER'!#REF!)-1)))&amp;TRIM(MID(SUBSTITUTE(SUBSTITUTE(INDEX('CASE MASTER'!$N$2:$N$495,(SUMPRODUCT((('CASE MASTER'!$T$2:$T$495=13)*('CASE MASTER'!$AA$2:$AA$495&lt;=6)*('CASE MASTER'!$AC$2:$AC$495&gt;=6)*('CASE MASTER'!$AB$2:$AB$495&lt;=8)*('CASE MASTER'!$AD$2:$AD$495&gt;=8))*ROW('CASE MASTER'!$T$2:$T$495))-(ROW('CASE MASTER'!#REF!)-1))),":",","),",",REPT(" ",50)),(((INDEX('CASE MASTER'!$Z$2:$Z$495,(SUMPRODUCT((('CASE MASTER'!$T$2:$T$495=13)*('CASE MASTER'!$AA$2:$AA$495&lt;=6)*('CASE MASTER'!$AC$2:$AC$495&gt;=6)*('CASE MASTER'!$AB$2:$AB$495&lt;=8)*('CASE MASTER'!$AD$2:$AD$495&gt;=8))*ROW('CASE MASTER'!$T$2:$T$495))-(ROW('CASE MASTER'!#REF!)-1)))+((6-INDEX('CASE MASTER'!$AA$2:$AA$495,(SUMPRODUCT((('CASE MASTER'!$T$2:$T$495=13)*('CASE MASTER'!$AA$2:$AA$495&lt;=6)*('CASE MASTER'!$AC$2:$AC$495&gt;=6)*('CASE MASTER'!$AB$2:$AB$495&lt;=8)*('CASE MASTER'!$AD$2:$AD$495&gt;=8))*ROW('CASE MASTER'!$T$2:$T$495))-(ROW('CASE MASTER'!#REF!)-1))))*(INDEX('CASE MASTER'!$AD$2:$AD$495,(SUMPRODUCT((('CASE MASTER'!$T$2:$T$495=13)*('CASE MASTER'!$AA$2:$AA$495&lt;=6)*('CASE MASTER'!$AC$2:$AC$495&gt;=6)*('CASE MASTER'!$AB$2:$AB$495&lt;=8)*('CASE MASTER'!$AD$2:$AD$495&gt;=8))*ROW('CASE MASTER'!$T$2:$T$495))-(ROW('CASE MASTER'!#REF!)-1)))-INDEX('CASE MASTER'!$AB$2:$AB$495,(SUMPRODUCT((('CASE MASTER'!$T$2:$T$495=13)*('CASE MASTER'!$AA$2:$AA$495&lt;=6)*('CASE MASTER'!$AC$2:$AC$495&gt;=6)*('CASE MASTER'!$AB$2:$AB$495&lt;=8)*('CASE MASTER'!$AD$2:$AD$495&gt;=8))*ROW('CASE MASTER'!$T$2:$T$495))-(ROW('CASE MASTER'!#REF!)-1)))+1)+(8-INDEX('CASE MASTER'!$AB$2:$AB$495,(SUMPRODUCT((('CASE MASTER'!$T$2:$T$495=13)*('CASE MASTER'!$AA$2:$AA$495&lt;=6)*('CASE MASTER'!$AC$2:$AC$495&gt;=6)*('CASE MASTER'!$AB$2:$AB$495&lt;=8)*('CASE MASTER'!$AD$2:$AD$495&gt;=8))*ROW('CASE MASTER'!$T$2:$T$495))-(ROW('CASE MASTER'!#REF!)-1))))+1)))-1)*50+1,50))&amp;"_"&amp;INDEX('CASE MASTER'!$Q$2:$Q$495,(SUMPRODUCT((('CASE MASTER'!$T$2:$T$495=13)*('CASE MASTER'!$AA$2:$AA$495&lt;=6)*('CASE MASTER'!$AC$2:$AC$495&gt;=6)*('CASE MASTER'!$AB$2:$AB$495&lt;=8)*('CASE MASTER'!$AD$2:$AD$495&gt;=8))*ROW('CASE MASTER'!$T$2:$T$495))-(ROW('CASE MASTER'!#REF!)-1))),"")),"")</f>
        <v/>
      </c>
      <c r="J176" s="10" t="str">
        <f>IFERROR(IF(SUMPRODUCT((('CASE MASTER'!$T$2:$T$495=13)*('CASE MASTER'!$U$2:$U$495&lt;=6)*('CASE MASTER'!$W$2:$W$495&gt;=6)*('CASE MASTER'!$V$2:$V$495&lt;=9)*('CASE MASTER'!$X$2:$X$495&gt;=9))*ROW('CASE MASTER'!$T$2:$T$495))&gt;0,INDEX('CASE MASTER'!$Y$2:$Y$495,(SUMPRODUCT((('CASE MASTER'!$T$2:$T$495=13)*('CASE MASTER'!$U$2:$U$495&lt;=6)*('CASE MASTER'!$W$2:$W$495&gt;=6)*('CASE MASTER'!$V$2:$V$495&lt;=9)*('CASE MASTER'!$X$2:$X$495&gt;=9))*ROW('CASE MASTER'!$T$2:$T$495))-(ROW('CASE MASTER'!#REF!)-1)))&amp;TRIM(MID(SUBSTITUTE(SUBSTITUTE(INDEX('CASE MASTER'!$N$2:$N$495,(SUMPRODUCT((('CASE MASTER'!$T$2:$T$495=13)*('CASE MASTER'!$U$2:$U$495&lt;=6)*('CASE MASTER'!$W$2:$W$495&gt;=6)*('CASE MASTER'!$V$2:$V$495&lt;=9)*('CASE MASTER'!$X$2:$X$495&gt;=9))*ROW('CASE MASTER'!$T$2:$T$495))-(ROW('CASE MASTER'!#REF!)-1))),":",","),",",REPT(" ",50)),((((6-INDEX('CASE MASTER'!$U$2:$U$495,(SUMPRODUCT((('CASE MASTER'!$T$2:$T$495=13)*('CASE MASTER'!$U$2:$U$495&lt;=6)*('CASE MASTER'!$W$2:$W$495&gt;=6)*('CASE MASTER'!$V$2:$V$495&lt;=9)*('CASE MASTER'!$X$2:$X$495&gt;=9))*ROW('CASE MASTER'!$T$2:$T$495))-(ROW('CASE MASTER'!#REF!)-1))))*(INDEX('CASE MASTER'!$X$2:$X$495,(SUMPRODUCT((('CASE MASTER'!$T$2:$T$495=13)*('CASE MASTER'!$U$2:$U$495&lt;=6)*('CASE MASTER'!$W$2:$W$495&gt;=6)*('CASE MASTER'!$V$2:$V$495&lt;=9)*('CASE MASTER'!$X$2:$X$495&gt;=9))*ROW('CASE MASTER'!$T$2:$T$495))-(ROW('CASE MASTER'!#REF!)-1)))-INDEX('CASE MASTER'!$V$2:$V$495,(SUMPRODUCT((('CASE MASTER'!$T$2:$T$495=13)*('CASE MASTER'!$U$2:$U$495&lt;=6)*('CASE MASTER'!$W$2:$W$495&gt;=6)*('CASE MASTER'!$V$2:$V$495&lt;=9)*('CASE MASTER'!$X$2:$X$495&gt;=9))*ROW('CASE MASTER'!$T$2:$T$495))-(ROW('CASE MASTER'!#REF!)-1)))+1)+(9-INDEX('CASE MASTER'!$V$2:$V$495,(SUMPRODUCT((('CASE MASTER'!$T$2:$T$495=13)*('CASE MASTER'!$U$2:$U$495&lt;=6)*('CASE MASTER'!$W$2:$W$495&gt;=6)*('CASE MASTER'!$V$2:$V$495&lt;=9)*('CASE MASTER'!$X$2:$X$495&gt;=9))*ROW('CASE MASTER'!$T$2:$T$495))-(ROW('CASE MASTER'!#REF!)-1))))+1))-1)*50+1,50))&amp;"_"&amp;INDEX('CASE MASTER'!$Q$2:$Q$495,(SUMPRODUCT((('CASE MASTER'!$T$2:$T$495=13)*('CASE MASTER'!$U$2:$U$495&lt;=6)*('CASE MASTER'!$W$2:$W$495&gt;=6)*('CASE MASTER'!$V$2:$V$495&lt;=9)*('CASE MASTER'!$X$2:$X$495&gt;=9))*ROW('CASE MASTER'!$T$2:$T$495))-(ROW('CASE MASTER'!#REF!)-1))),IF(SUMPRODUCT((('CASE MASTER'!$T$2:$T$495=13)*('CASE MASTER'!$AA$2:$AA$495&lt;=6)*('CASE MASTER'!$AC$2:$AC$495&gt;=6)*('CASE MASTER'!$AB$2:$AB$495&lt;=9)*('CASE MASTER'!$AD$2:$AD$495&gt;=9))*ROW('CASE MASTER'!$T$2:$T$495))&gt;0,INDEX('CASE MASTER'!$Y$2:$Y$495,(SUMPRODUCT((('CASE MASTER'!$T$2:$T$495=13)*('CASE MASTER'!$AA$2:$AA$495&lt;=6)*('CASE MASTER'!$AC$2:$AC$495&gt;=6)*('CASE MASTER'!$AB$2:$AB$495&lt;=9)*('CASE MASTER'!$AD$2:$AD$495&gt;=9))*ROW('CASE MASTER'!$T$2:$T$495))-(ROW('CASE MASTER'!#REF!)-1)))&amp;TRIM(MID(SUBSTITUTE(SUBSTITUTE(INDEX('CASE MASTER'!$N$2:$N$495,(SUMPRODUCT((('CASE MASTER'!$T$2:$T$495=13)*('CASE MASTER'!$AA$2:$AA$495&lt;=6)*('CASE MASTER'!$AC$2:$AC$495&gt;=6)*('CASE MASTER'!$AB$2:$AB$495&lt;=9)*('CASE MASTER'!$AD$2:$AD$495&gt;=9))*ROW('CASE MASTER'!$T$2:$T$495))-(ROW('CASE MASTER'!#REF!)-1))),":",","),",",REPT(" ",50)),(((INDEX('CASE MASTER'!$Z$2:$Z$495,(SUMPRODUCT((('CASE MASTER'!$T$2:$T$495=13)*('CASE MASTER'!$AA$2:$AA$495&lt;=6)*('CASE MASTER'!$AC$2:$AC$495&gt;=6)*('CASE MASTER'!$AB$2:$AB$495&lt;=9)*('CASE MASTER'!$AD$2:$AD$495&gt;=9))*ROW('CASE MASTER'!$T$2:$T$495))-(ROW('CASE MASTER'!#REF!)-1)))+((6-INDEX('CASE MASTER'!$AA$2:$AA$495,(SUMPRODUCT((('CASE MASTER'!$T$2:$T$495=13)*('CASE MASTER'!$AA$2:$AA$495&lt;=6)*('CASE MASTER'!$AC$2:$AC$495&gt;=6)*('CASE MASTER'!$AB$2:$AB$495&lt;=9)*('CASE MASTER'!$AD$2:$AD$495&gt;=9))*ROW('CASE MASTER'!$T$2:$T$495))-(ROW('CASE MASTER'!#REF!)-1))))*(INDEX('CASE MASTER'!$AD$2:$AD$495,(SUMPRODUCT((('CASE MASTER'!$T$2:$T$495=13)*('CASE MASTER'!$AA$2:$AA$495&lt;=6)*('CASE MASTER'!$AC$2:$AC$495&gt;=6)*('CASE MASTER'!$AB$2:$AB$495&lt;=9)*('CASE MASTER'!$AD$2:$AD$495&gt;=9))*ROW('CASE MASTER'!$T$2:$T$495))-(ROW('CASE MASTER'!#REF!)-1)))-INDEX('CASE MASTER'!$AB$2:$AB$495,(SUMPRODUCT((('CASE MASTER'!$T$2:$T$495=13)*('CASE MASTER'!$AA$2:$AA$495&lt;=6)*('CASE MASTER'!$AC$2:$AC$495&gt;=6)*('CASE MASTER'!$AB$2:$AB$495&lt;=9)*('CASE MASTER'!$AD$2:$AD$495&gt;=9))*ROW('CASE MASTER'!$T$2:$T$495))-(ROW('CASE MASTER'!#REF!)-1)))+1)+(9-INDEX('CASE MASTER'!$AB$2:$AB$495,(SUMPRODUCT((('CASE MASTER'!$T$2:$T$495=13)*('CASE MASTER'!$AA$2:$AA$495&lt;=6)*('CASE MASTER'!$AC$2:$AC$495&gt;=6)*('CASE MASTER'!$AB$2:$AB$495&lt;=9)*('CASE MASTER'!$AD$2:$AD$495&gt;=9))*ROW('CASE MASTER'!$T$2:$T$495))-(ROW('CASE MASTER'!#REF!)-1))))+1)))-1)*50+1,50))&amp;"_"&amp;INDEX('CASE MASTER'!$Q$2:$Q$495,(SUMPRODUCT((('CASE MASTER'!$T$2:$T$495=13)*('CASE MASTER'!$AA$2:$AA$495&lt;=6)*('CASE MASTER'!$AC$2:$AC$495&gt;=6)*('CASE MASTER'!$AB$2:$AB$495&lt;=9)*('CASE MASTER'!$AD$2:$AD$495&gt;=9))*ROW('CASE MASTER'!$T$2:$T$495))-(ROW('CASE MASTER'!#REF!)-1))),"")),"")</f>
        <v/>
      </c>
      <c r="K176" s="10" t="str">
        <f>IFERROR(IF(SUMPRODUCT((('CASE MASTER'!$T$2:$T$495=13)*('CASE MASTER'!$U$2:$U$495&lt;=6)*('CASE MASTER'!$W$2:$W$495&gt;=6)*('CASE MASTER'!$V$2:$V$495&lt;=10)*('CASE MASTER'!$X$2:$X$495&gt;=10))*ROW('CASE MASTER'!$T$2:$T$495))&gt;0,INDEX('CASE MASTER'!$Y$2:$Y$495,(SUMPRODUCT((('CASE MASTER'!$T$2:$T$495=13)*('CASE MASTER'!$U$2:$U$495&lt;=6)*('CASE MASTER'!$W$2:$W$495&gt;=6)*('CASE MASTER'!$V$2:$V$495&lt;=10)*('CASE MASTER'!$X$2:$X$495&gt;=10))*ROW('CASE MASTER'!$T$2:$T$495))-(ROW('CASE MASTER'!#REF!)-1)))&amp;TRIM(MID(SUBSTITUTE(SUBSTITUTE(INDEX('CASE MASTER'!$N$2:$N$495,(SUMPRODUCT((('CASE MASTER'!$T$2:$T$495=13)*('CASE MASTER'!$U$2:$U$495&lt;=6)*('CASE MASTER'!$W$2:$W$495&gt;=6)*('CASE MASTER'!$V$2:$V$495&lt;=10)*('CASE MASTER'!$X$2:$X$495&gt;=10))*ROW('CASE MASTER'!$T$2:$T$495))-(ROW('CASE MASTER'!#REF!)-1))),":",","),",",REPT(" ",50)),((((6-INDEX('CASE MASTER'!$U$2:$U$495,(SUMPRODUCT((('CASE MASTER'!$T$2:$T$495=13)*('CASE MASTER'!$U$2:$U$495&lt;=6)*('CASE MASTER'!$W$2:$W$495&gt;=6)*('CASE MASTER'!$V$2:$V$495&lt;=10)*('CASE MASTER'!$X$2:$X$495&gt;=10))*ROW('CASE MASTER'!$T$2:$T$495))-(ROW('CASE MASTER'!#REF!)-1))))*(INDEX('CASE MASTER'!$X$2:$X$495,(SUMPRODUCT((('CASE MASTER'!$T$2:$T$495=13)*('CASE MASTER'!$U$2:$U$495&lt;=6)*('CASE MASTER'!$W$2:$W$495&gt;=6)*('CASE MASTER'!$V$2:$V$495&lt;=10)*('CASE MASTER'!$X$2:$X$495&gt;=10))*ROW('CASE MASTER'!$T$2:$T$495))-(ROW('CASE MASTER'!#REF!)-1)))-INDEX('CASE MASTER'!$V$2:$V$495,(SUMPRODUCT((('CASE MASTER'!$T$2:$T$495=13)*('CASE MASTER'!$U$2:$U$495&lt;=6)*('CASE MASTER'!$W$2:$W$495&gt;=6)*('CASE MASTER'!$V$2:$V$495&lt;=10)*('CASE MASTER'!$X$2:$X$495&gt;=10))*ROW('CASE MASTER'!$T$2:$T$495))-(ROW('CASE MASTER'!#REF!)-1)))+1)+(10-INDEX('CASE MASTER'!$V$2:$V$495,(SUMPRODUCT((('CASE MASTER'!$T$2:$T$495=13)*('CASE MASTER'!$U$2:$U$495&lt;=6)*('CASE MASTER'!$W$2:$W$495&gt;=6)*('CASE MASTER'!$V$2:$V$495&lt;=10)*('CASE MASTER'!$X$2:$X$495&gt;=10))*ROW('CASE MASTER'!$T$2:$T$495))-(ROW('CASE MASTER'!#REF!)-1))))+1))-1)*50+1,50))&amp;"_"&amp;INDEX('CASE MASTER'!$Q$2:$Q$495,(SUMPRODUCT((('CASE MASTER'!$T$2:$T$495=13)*('CASE MASTER'!$U$2:$U$495&lt;=6)*('CASE MASTER'!$W$2:$W$495&gt;=6)*('CASE MASTER'!$V$2:$V$495&lt;=10)*('CASE MASTER'!$X$2:$X$495&gt;=10))*ROW('CASE MASTER'!$T$2:$T$495))-(ROW('CASE MASTER'!#REF!)-1))),IF(SUMPRODUCT((('CASE MASTER'!$T$2:$T$495=13)*('CASE MASTER'!$AA$2:$AA$495&lt;=6)*('CASE MASTER'!$AC$2:$AC$495&gt;=6)*('CASE MASTER'!$AB$2:$AB$495&lt;=10)*('CASE MASTER'!$AD$2:$AD$495&gt;=10))*ROW('CASE MASTER'!$T$2:$T$495))&gt;0,INDEX('CASE MASTER'!$Y$2:$Y$495,(SUMPRODUCT((('CASE MASTER'!$T$2:$T$495=13)*('CASE MASTER'!$AA$2:$AA$495&lt;=6)*('CASE MASTER'!$AC$2:$AC$495&gt;=6)*('CASE MASTER'!$AB$2:$AB$495&lt;=10)*('CASE MASTER'!$AD$2:$AD$495&gt;=10))*ROW('CASE MASTER'!$T$2:$T$495))-(ROW('CASE MASTER'!#REF!)-1)))&amp;TRIM(MID(SUBSTITUTE(SUBSTITUTE(INDEX('CASE MASTER'!$N$2:$N$495,(SUMPRODUCT((('CASE MASTER'!$T$2:$T$495=13)*('CASE MASTER'!$AA$2:$AA$495&lt;=6)*('CASE MASTER'!$AC$2:$AC$495&gt;=6)*('CASE MASTER'!$AB$2:$AB$495&lt;=10)*('CASE MASTER'!$AD$2:$AD$495&gt;=10))*ROW('CASE MASTER'!$T$2:$T$495))-(ROW('CASE MASTER'!#REF!)-1))),":",","),",",REPT(" ",50)),(((INDEX('CASE MASTER'!$Z$2:$Z$495,(SUMPRODUCT((('CASE MASTER'!$T$2:$T$495=13)*('CASE MASTER'!$AA$2:$AA$495&lt;=6)*('CASE MASTER'!$AC$2:$AC$495&gt;=6)*('CASE MASTER'!$AB$2:$AB$495&lt;=10)*('CASE MASTER'!$AD$2:$AD$495&gt;=10))*ROW('CASE MASTER'!$T$2:$T$495))-(ROW('CASE MASTER'!#REF!)-1)))+((6-INDEX('CASE MASTER'!$AA$2:$AA$495,(SUMPRODUCT((('CASE MASTER'!$T$2:$T$495=13)*('CASE MASTER'!$AA$2:$AA$495&lt;=6)*('CASE MASTER'!$AC$2:$AC$495&gt;=6)*('CASE MASTER'!$AB$2:$AB$495&lt;=10)*('CASE MASTER'!$AD$2:$AD$495&gt;=10))*ROW('CASE MASTER'!$T$2:$T$495))-(ROW('CASE MASTER'!#REF!)-1))))*(INDEX('CASE MASTER'!$AD$2:$AD$495,(SUMPRODUCT((('CASE MASTER'!$T$2:$T$495=13)*('CASE MASTER'!$AA$2:$AA$495&lt;=6)*('CASE MASTER'!$AC$2:$AC$495&gt;=6)*('CASE MASTER'!$AB$2:$AB$495&lt;=10)*('CASE MASTER'!$AD$2:$AD$495&gt;=10))*ROW('CASE MASTER'!$T$2:$T$495))-(ROW('CASE MASTER'!#REF!)-1)))-INDEX('CASE MASTER'!$AB$2:$AB$495,(SUMPRODUCT((('CASE MASTER'!$T$2:$T$495=13)*('CASE MASTER'!$AA$2:$AA$495&lt;=6)*('CASE MASTER'!$AC$2:$AC$495&gt;=6)*('CASE MASTER'!$AB$2:$AB$495&lt;=10)*('CASE MASTER'!$AD$2:$AD$495&gt;=10))*ROW('CASE MASTER'!$T$2:$T$495))-(ROW('CASE MASTER'!#REF!)-1)))+1)+(10-INDEX('CASE MASTER'!$AB$2:$AB$495,(SUMPRODUCT((('CASE MASTER'!$T$2:$T$495=13)*('CASE MASTER'!$AA$2:$AA$495&lt;=6)*('CASE MASTER'!$AC$2:$AC$495&gt;=6)*('CASE MASTER'!$AB$2:$AB$495&lt;=10)*('CASE MASTER'!$AD$2:$AD$495&gt;=10))*ROW('CASE MASTER'!$T$2:$T$495))-(ROW('CASE MASTER'!#REF!)-1))))+1)))-1)*50+1,50))&amp;"_"&amp;INDEX('CASE MASTER'!$Q$2:$Q$495,(SUMPRODUCT((('CASE MASTER'!$T$2:$T$495=13)*('CASE MASTER'!$AA$2:$AA$495&lt;=6)*('CASE MASTER'!$AC$2:$AC$495&gt;=6)*('CASE MASTER'!$AB$2:$AB$495&lt;=10)*('CASE MASTER'!$AD$2:$AD$495&gt;=10))*ROW('CASE MASTER'!$T$2:$T$495))-(ROW('CASE MASTER'!#REF!)-1))),"")),"")</f>
        <v/>
      </c>
    </row>
    <row r="177" spans="1:11" ht="15" customHeight="1" x14ac:dyDescent="0.35">
      <c r="A177" s="8" t="s">
        <v>34</v>
      </c>
      <c r="B177" s="10" t="str">
        <f>IFERROR(IF(SUMPRODUCT((('CASE MASTER'!$T$2:$T$495=13)*('CASE MASTER'!$U$2:$U$495&lt;=7)*('CASE MASTER'!$W$2:$W$495&gt;=7)*('CASE MASTER'!$V$2:$V$495&lt;=1)*('CASE MASTER'!$X$2:$X$495&gt;=1))*ROW('CASE MASTER'!$T$2:$T$495))&gt;0,INDEX('CASE MASTER'!$Y$2:$Y$495,(SUMPRODUCT((('CASE MASTER'!$T$2:$T$495=13)*('CASE MASTER'!$U$2:$U$495&lt;=7)*('CASE MASTER'!$W$2:$W$495&gt;=7)*('CASE MASTER'!$V$2:$V$495&lt;=1)*('CASE MASTER'!$X$2:$X$495&gt;=1))*ROW('CASE MASTER'!$T$2:$T$495))-(ROW('CASE MASTER'!#REF!)-1)))&amp;TRIM(MID(SUBSTITUTE(SUBSTITUTE(INDEX('CASE MASTER'!$N$2:$N$495,(SUMPRODUCT((('CASE MASTER'!$T$2:$T$495=13)*('CASE MASTER'!$U$2:$U$495&lt;=7)*('CASE MASTER'!$W$2:$W$495&gt;=7)*('CASE MASTER'!$V$2:$V$495&lt;=1)*('CASE MASTER'!$X$2:$X$495&gt;=1))*ROW('CASE MASTER'!$T$2:$T$495))-(ROW('CASE MASTER'!#REF!)-1))),":",","),",",REPT(" ",50)),((((7-INDEX('CASE MASTER'!$U$2:$U$495,(SUMPRODUCT((('CASE MASTER'!$T$2:$T$495=13)*('CASE MASTER'!$U$2:$U$495&lt;=7)*('CASE MASTER'!$W$2:$W$495&gt;=7)*('CASE MASTER'!$V$2:$V$495&lt;=1)*('CASE MASTER'!$X$2:$X$495&gt;=1))*ROW('CASE MASTER'!$T$2:$T$495))-(ROW('CASE MASTER'!#REF!)-1))))*(INDEX('CASE MASTER'!$X$2:$X$495,(SUMPRODUCT((('CASE MASTER'!$T$2:$T$495=13)*('CASE MASTER'!$U$2:$U$495&lt;=7)*('CASE MASTER'!$W$2:$W$495&gt;=7)*('CASE MASTER'!$V$2:$V$495&lt;=1)*('CASE MASTER'!$X$2:$X$495&gt;=1))*ROW('CASE MASTER'!$T$2:$T$495))-(ROW('CASE MASTER'!#REF!)-1)))-INDEX('CASE MASTER'!$V$2:$V$495,(SUMPRODUCT((('CASE MASTER'!$T$2:$T$495=13)*('CASE MASTER'!$U$2:$U$495&lt;=7)*('CASE MASTER'!$W$2:$W$495&gt;=7)*('CASE MASTER'!$V$2:$V$495&lt;=1)*('CASE MASTER'!$X$2:$X$495&gt;=1))*ROW('CASE MASTER'!$T$2:$T$495))-(ROW('CASE MASTER'!#REF!)-1)))+1)+(1-INDEX('CASE MASTER'!$V$2:$V$495,(SUMPRODUCT((('CASE MASTER'!$T$2:$T$495=13)*('CASE MASTER'!$U$2:$U$495&lt;=7)*('CASE MASTER'!$W$2:$W$495&gt;=7)*('CASE MASTER'!$V$2:$V$495&lt;=1)*('CASE MASTER'!$X$2:$X$495&gt;=1))*ROW('CASE MASTER'!$T$2:$T$495))-(ROW('CASE MASTER'!#REF!)-1))))+1))-1)*50+1,50))&amp;"_"&amp;INDEX('CASE MASTER'!$Q$2:$Q$495,(SUMPRODUCT((('CASE MASTER'!$T$2:$T$495=13)*('CASE MASTER'!$U$2:$U$495&lt;=7)*('CASE MASTER'!$W$2:$W$495&gt;=7)*('CASE MASTER'!$V$2:$V$495&lt;=1)*('CASE MASTER'!$X$2:$X$495&gt;=1))*ROW('CASE MASTER'!$T$2:$T$495))-(ROW('CASE MASTER'!#REF!)-1))),IF(SUMPRODUCT((('CASE MASTER'!$T$2:$T$495=13)*('CASE MASTER'!$AA$2:$AA$495&lt;=7)*('CASE MASTER'!$AC$2:$AC$495&gt;=7)*('CASE MASTER'!$AB$2:$AB$495&lt;=1)*('CASE MASTER'!$AD$2:$AD$495&gt;=1))*ROW('CASE MASTER'!$T$2:$T$495))&gt;0,INDEX('CASE MASTER'!$Y$2:$Y$495,(SUMPRODUCT((('CASE MASTER'!$T$2:$T$495=13)*('CASE MASTER'!$AA$2:$AA$495&lt;=7)*('CASE MASTER'!$AC$2:$AC$495&gt;=7)*('CASE MASTER'!$AB$2:$AB$495&lt;=1)*('CASE MASTER'!$AD$2:$AD$495&gt;=1))*ROW('CASE MASTER'!$T$2:$T$495))-(ROW('CASE MASTER'!#REF!)-1)))&amp;TRIM(MID(SUBSTITUTE(SUBSTITUTE(INDEX('CASE MASTER'!$N$2:$N$495,(SUMPRODUCT((('CASE MASTER'!$T$2:$T$495=13)*('CASE MASTER'!$AA$2:$AA$495&lt;=7)*('CASE MASTER'!$AC$2:$AC$495&gt;=7)*('CASE MASTER'!$AB$2:$AB$495&lt;=1)*('CASE MASTER'!$AD$2:$AD$495&gt;=1))*ROW('CASE MASTER'!$T$2:$T$495))-(ROW('CASE MASTER'!#REF!)-1))),":",","),",",REPT(" ",50)),(((INDEX('CASE MASTER'!$Z$2:$Z$495,(SUMPRODUCT((('CASE MASTER'!$T$2:$T$495=13)*('CASE MASTER'!$AA$2:$AA$495&lt;=7)*('CASE MASTER'!$AC$2:$AC$495&gt;=7)*('CASE MASTER'!$AB$2:$AB$495&lt;=1)*('CASE MASTER'!$AD$2:$AD$495&gt;=1))*ROW('CASE MASTER'!$T$2:$T$495))-(ROW('CASE MASTER'!#REF!)-1)))+((7-INDEX('CASE MASTER'!$AA$2:$AA$495,(SUMPRODUCT((('CASE MASTER'!$T$2:$T$495=13)*('CASE MASTER'!$AA$2:$AA$495&lt;=7)*('CASE MASTER'!$AC$2:$AC$495&gt;=7)*('CASE MASTER'!$AB$2:$AB$495&lt;=1)*('CASE MASTER'!$AD$2:$AD$495&gt;=1))*ROW('CASE MASTER'!$T$2:$T$495))-(ROW('CASE MASTER'!#REF!)-1))))*(INDEX('CASE MASTER'!$AD$2:$AD$495,(SUMPRODUCT((('CASE MASTER'!$T$2:$T$495=13)*('CASE MASTER'!$AA$2:$AA$495&lt;=7)*('CASE MASTER'!$AC$2:$AC$495&gt;=7)*('CASE MASTER'!$AB$2:$AB$495&lt;=1)*('CASE MASTER'!$AD$2:$AD$495&gt;=1))*ROW('CASE MASTER'!$T$2:$T$495))-(ROW('CASE MASTER'!#REF!)-1)))-INDEX('CASE MASTER'!$AB$2:$AB$495,(SUMPRODUCT((('CASE MASTER'!$T$2:$T$495=13)*('CASE MASTER'!$AA$2:$AA$495&lt;=7)*('CASE MASTER'!$AC$2:$AC$495&gt;=7)*('CASE MASTER'!$AB$2:$AB$495&lt;=1)*('CASE MASTER'!$AD$2:$AD$495&gt;=1))*ROW('CASE MASTER'!$T$2:$T$495))-(ROW('CASE MASTER'!#REF!)-1)))+1)+(1-INDEX('CASE MASTER'!$AB$2:$AB$495,(SUMPRODUCT((('CASE MASTER'!$T$2:$T$495=13)*('CASE MASTER'!$AA$2:$AA$495&lt;=7)*('CASE MASTER'!$AC$2:$AC$495&gt;=7)*('CASE MASTER'!$AB$2:$AB$495&lt;=1)*('CASE MASTER'!$AD$2:$AD$495&gt;=1))*ROW('CASE MASTER'!$T$2:$T$495))-(ROW('CASE MASTER'!#REF!)-1))))+1)))-1)*50+1,50))&amp;"_"&amp;INDEX('CASE MASTER'!$Q$2:$Q$495,(SUMPRODUCT((('CASE MASTER'!$T$2:$T$495=13)*('CASE MASTER'!$AA$2:$AA$495&lt;=7)*('CASE MASTER'!$AC$2:$AC$495&gt;=7)*('CASE MASTER'!$AB$2:$AB$495&lt;=1)*('CASE MASTER'!$AD$2:$AD$495&gt;=1))*ROW('CASE MASTER'!$T$2:$T$495))-(ROW('CASE MASTER'!#REF!)-1))),"")),"")</f>
        <v/>
      </c>
      <c r="C177" s="10" t="str">
        <f>IFERROR(IF(SUMPRODUCT((('CASE MASTER'!$T$2:$T$495=13)*('CASE MASTER'!$U$2:$U$495&lt;=7)*('CASE MASTER'!$W$2:$W$495&gt;=7)*('CASE MASTER'!$V$2:$V$495&lt;=2)*('CASE MASTER'!$X$2:$X$495&gt;=2))*ROW('CASE MASTER'!$T$2:$T$495))&gt;0,INDEX('CASE MASTER'!$Y$2:$Y$495,(SUMPRODUCT((('CASE MASTER'!$T$2:$T$495=13)*('CASE MASTER'!$U$2:$U$495&lt;=7)*('CASE MASTER'!$W$2:$W$495&gt;=7)*('CASE MASTER'!$V$2:$V$495&lt;=2)*('CASE MASTER'!$X$2:$X$495&gt;=2))*ROW('CASE MASTER'!$T$2:$T$495))-(ROW('CASE MASTER'!#REF!)-1)))&amp;TRIM(MID(SUBSTITUTE(SUBSTITUTE(INDEX('CASE MASTER'!$N$2:$N$495,(SUMPRODUCT((('CASE MASTER'!$T$2:$T$495=13)*('CASE MASTER'!$U$2:$U$495&lt;=7)*('CASE MASTER'!$W$2:$W$495&gt;=7)*('CASE MASTER'!$V$2:$V$495&lt;=2)*('CASE MASTER'!$X$2:$X$495&gt;=2))*ROW('CASE MASTER'!$T$2:$T$495))-(ROW('CASE MASTER'!#REF!)-1))),":",","),",",REPT(" ",50)),((((7-INDEX('CASE MASTER'!$U$2:$U$495,(SUMPRODUCT((('CASE MASTER'!$T$2:$T$495=13)*('CASE MASTER'!$U$2:$U$495&lt;=7)*('CASE MASTER'!$W$2:$W$495&gt;=7)*('CASE MASTER'!$V$2:$V$495&lt;=2)*('CASE MASTER'!$X$2:$X$495&gt;=2))*ROW('CASE MASTER'!$T$2:$T$495))-(ROW('CASE MASTER'!#REF!)-1))))*(INDEX('CASE MASTER'!$X$2:$X$495,(SUMPRODUCT((('CASE MASTER'!$T$2:$T$495=13)*('CASE MASTER'!$U$2:$U$495&lt;=7)*('CASE MASTER'!$W$2:$W$495&gt;=7)*('CASE MASTER'!$V$2:$V$495&lt;=2)*('CASE MASTER'!$X$2:$X$495&gt;=2))*ROW('CASE MASTER'!$T$2:$T$495))-(ROW('CASE MASTER'!#REF!)-1)))-INDEX('CASE MASTER'!$V$2:$V$495,(SUMPRODUCT((('CASE MASTER'!$T$2:$T$495=13)*('CASE MASTER'!$U$2:$U$495&lt;=7)*('CASE MASTER'!$W$2:$W$495&gt;=7)*('CASE MASTER'!$V$2:$V$495&lt;=2)*('CASE MASTER'!$X$2:$X$495&gt;=2))*ROW('CASE MASTER'!$T$2:$T$495))-(ROW('CASE MASTER'!#REF!)-1)))+1)+(2-INDEX('CASE MASTER'!$V$2:$V$495,(SUMPRODUCT((('CASE MASTER'!$T$2:$T$495=13)*('CASE MASTER'!$U$2:$U$495&lt;=7)*('CASE MASTER'!$W$2:$W$495&gt;=7)*('CASE MASTER'!$V$2:$V$495&lt;=2)*('CASE MASTER'!$X$2:$X$495&gt;=2))*ROW('CASE MASTER'!$T$2:$T$495))-(ROW('CASE MASTER'!#REF!)-1))))+1))-1)*50+1,50))&amp;"_"&amp;INDEX('CASE MASTER'!$Q$2:$Q$495,(SUMPRODUCT((('CASE MASTER'!$T$2:$T$495=13)*('CASE MASTER'!$U$2:$U$495&lt;=7)*('CASE MASTER'!$W$2:$W$495&gt;=7)*('CASE MASTER'!$V$2:$V$495&lt;=2)*('CASE MASTER'!$X$2:$X$495&gt;=2))*ROW('CASE MASTER'!$T$2:$T$495))-(ROW('CASE MASTER'!#REF!)-1))),IF(SUMPRODUCT((('CASE MASTER'!$T$2:$T$495=13)*('CASE MASTER'!$AA$2:$AA$495&lt;=7)*('CASE MASTER'!$AC$2:$AC$495&gt;=7)*('CASE MASTER'!$AB$2:$AB$495&lt;=2)*('CASE MASTER'!$AD$2:$AD$495&gt;=2))*ROW('CASE MASTER'!$T$2:$T$495))&gt;0,INDEX('CASE MASTER'!$Y$2:$Y$495,(SUMPRODUCT((('CASE MASTER'!$T$2:$T$495=13)*('CASE MASTER'!$AA$2:$AA$495&lt;=7)*('CASE MASTER'!$AC$2:$AC$495&gt;=7)*('CASE MASTER'!$AB$2:$AB$495&lt;=2)*('CASE MASTER'!$AD$2:$AD$495&gt;=2))*ROW('CASE MASTER'!$T$2:$T$495))-(ROW('CASE MASTER'!#REF!)-1)))&amp;TRIM(MID(SUBSTITUTE(SUBSTITUTE(INDEX('CASE MASTER'!$N$2:$N$495,(SUMPRODUCT((('CASE MASTER'!$T$2:$T$495=13)*('CASE MASTER'!$AA$2:$AA$495&lt;=7)*('CASE MASTER'!$AC$2:$AC$495&gt;=7)*('CASE MASTER'!$AB$2:$AB$495&lt;=2)*('CASE MASTER'!$AD$2:$AD$495&gt;=2))*ROW('CASE MASTER'!$T$2:$T$495))-(ROW('CASE MASTER'!#REF!)-1))),":",","),",",REPT(" ",50)),(((INDEX('CASE MASTER'!$Z$2:$Z$495,(SUMPRODUCT((('CASE MASTER'!$T$2:$T$495=13)*('CASE MASTER'!$AA$2:$AA$495&lt;=7)*('CASE MASTER'!$AC$2:$AC$495&gt;=7)*('CASE MASTER'!$AB$2:$AB$495&lt;=2)*('CASE MASTER'!$AD$2:$AD$495&gt;=2))*ROW('CASE MASTER'!$T$2:$T$495))-(ROW('CASE MASTER'!#REF!)-1)))+((7-INDEX('CASE MASTER'!$AA$2:$AA$495,(SUMPRODUCT((('CASE MASTER'!$T$2:$T$495=13)*('CASE MASTER'!$AA$2:$AA$495&lt;=7)*('CASE MASTER'!$AC$2:$AC$495&gt;=7)*('CASE MASTER'!$AB$2:$AB$495&lt;=2)*('CASE MASTER'!$AD$2:$AD$495&gt;=2))*ROW('CASE MASTER'!$T$2:$T$495))-(ROW('CASE MASTER'!#REF!)-1))))*(INDEX('CASE MASTER'!$AD$2:$AD$495,(SUMPRODUCT((('CASE MASTER'!$T$2:$T$495=13)*('CASE MASTER'!$AA$2:$AA$495&lt;=7)*('CASE MASTER'!$AC$2:$AC$495&gt;=7)*('CASE MASTER'!$AB$2:$AB$495&lt;=2)*('CASE MASTER'!$AD$2:$AD$495&gt;=2))*ROW('CASE MASTER'!$T$2:$T$495))-(ROW('CASE MASTER'!#REF!)-1)))-INDEX('CASE MASTER'!$AB$2:$AB$495,(SUMPRODUCT((('CASE MASTER'!$T$2:$T$495=13)*('CASE MASTER'!$AA$2:$AA$495&lt;=7)*('CASE MASTER'!$AC$2:$AC$495&gt;=7)*('CASE MASTER'!$AB$2:$AB$495&lt;=2)*('CASE MASTER'!$AD$2:$AD$495&gt;=2))*ROW('CASE MASTER'!$T$2:$T$495))-(ROW('CASE MASTER'!#REF!)-1)))+1)+(2-INDEX('CASE MASTER'!$AB$2:$AB$495,(SUMPRODUCT((('CASE MASTER'!$T$2:$T$495=13)*('CASE MASTER'!$AA$2:$AA$495&lt;=7)*('CASE MASTER'!$AC$2:$AC$495&gt;=7)*('CASE MASTER'!$AB$2:$AB$495&lt;=2)*('CASE MASTER'!$AD$2:$AD$495&gt;=2))*ROW('CASE MASTER'!$T$2:$T$495))-(ROW('CASE MASTER'!#REF!)-1))))+1)))-1)*50+1,50))&amp;"_"&amp;INDEX('CASE MASTER'!$Q$2:$Q$495,(SUMPRODUCT((('CASE MASTER'!$T$2:$T$495=13)*('CASE MASTER'!$AA$2:$AA$495&lt;=7)*('CASE MASTER'!$AC$2:$AC$495&gt;=7)*('CASE MASTER'!$AB$2:$AB$495&lt;=2)*('CASE MASTER'!$AD$2:$AD$495&gt;=2))*ROW('CASE MASTER'!$T$2:$T$495))-(ROW('CASE MASTER'!#REF!)-1))),"")),"")</f>
        <v/>
      </c>
      <c r="D177" s="10" t="str">
        <f>IFERROR(IF(SUMPRODUCT((('CASE MASTER'!$T$2:$T$495=13)*('CASE MASTER'!$U$2:$U$495&lt;=7)*('CASE MASTER'!$W$2:$W$495&gt;=7)*('CASE MASTER'!$V$2:$V$495&lt;=3)*('CASE MASTER'!$X$2:$X$495&gt;=3))*ROW('CASE MASTER'!$T$2:$T$495))&gt;0,INDEX('CASE MASTER'!$Y$2:$Y$495,(SUMPRODUCT((('CASE MASTER'!$T$2:$T$495=13)*('CASE MASTER'!$U$2:$U$495&lt;=7)*('CASE MASTER'!$W$2:$W$495&gt;=7)*('CASE MASTER'!$V$2:$V$495&lt;=3)*('CASE MASTER'!$X$2:$X$495&gt;=3))*ROW('CASE MASTER'!$T$2:$T$495))-(ROW('CASE MASTER'!#REF!)-1)))&amp;TRIM(MID(SUBSTITUTE(SUBSTITUTE(INDEX('CASE MASTER'!$N$2:$N$495,(SUMPRODUCT((('CASE MASTER'!$T$2:$T$495=13)*('CASE MASTER'!$U$2:$U$495&lt;=7)*('CASE MASTER'!$W$2:$W$495&gt;=7)*('CASE MASTER'!$V$2:$V$495&lt;=3)*('CASE MASTER'!$X$2:$X$495&gt;=3))*ROW('CASE MASTER'!$T$2:$T$495))-(ROW('CASE MASTER'!#REF!)-1))),":",","),",",REPT(" ",50)),((((7-INDEX('CASE MASTER'!$U$2:$U$495,(SUMPRODUCT((('CASE MASTER'!$T$2:$T$495=13)*('CASE MASTER'!$U$2:$U$495&lt;=7)*('CASE MASTER'!$W$2:$W$495&gt;=7)*('CASE MASTER'!$V$2:$V$495&lt;=3)*('CASE MASTER'!$X$2:$X$495&gt;=3))*ROW('CASE MASTER'!$T$2:$T$495))-(ROW('CASE MASTER'!#REF!)-1))))*(INDEX('CASE MASTER'!$X$2:$X$495,(SUMPRODUCT((('CASE MASTER'!$T$2:$T$495=13)*('CASE MASTER'!$U$2:$U$495&lt;=7)*('CASE MASTER'!$W$2:$W$495&gt;=7)*('CASE MASTER'!$V$2:$V$495&lt;=3)*('CASE MASTER'!$X$2:$X$495&gt;=3))*ROW('CASE MASTER'!$T$2:$T$495))-(ROW('CASE MASTER'!#REF!)-1)))-INDEX('CASE MASTER'!$V$2:$V$495,(SUMPRODUCT((('CASE MASTER'!$T$2:$T$495=13)*('CASE MASTER'!$U$2:$U$495&lt;=7)*('CASE MASTER'!$W$2:$W$495&gt;=7)*('CASE MASTER'!$V$2:$V$495&lt;=3)*('CASE MASTER'!$X$2:$X$495&gt;=3))*ROW('CASE MASTER'!$T$2:$T$495))-(ROW('CASE MASTER'!#REF!)-1)))+1)+(3-INDEX('CASE MASTER'!$V$2:$V$495,(SUMPRODUCT((('CASE MASTER'!$T$2:$T$495=13)*('CASE MASTER'!$U$2:$U$495&lt;=7)*('CASE MASTER'!$W$2:$W$495&gt;=7)*('CASE MASTER'!$V$2:$V$495&lt;=3)*('CASE MASTER'!$X$2:$X$495&gt;=3))*ROW('CASE MASTER'!$T$2:$T$495))-(ROW('CASE MASTER'!#REF!)-1))))+1))-1)*50+1,50))&amp;"_"&amp;INDEX('CASE MASTER'!$Q$2:$Q$495,(SUMPRODUCT((('CASE MASTER'!$T$2:$T$495=13)*('CASE MASTER'!$U$2:$U$495&lt;=7)*('CASE MASTER'!$W$2:$W$495&gt;=7)*('CASE MASTER'!$V$2:$V$495&lt;=3)*('CASE MASTER'!$X$2:$X$495&gt;=3))*ROW('CASE MASTER'!$T$2:$T$495))-(ROW('CASE MASTER'!#REF!)-1))),IF(SUMPRODUCT((('CASE MASTER'!$T$2:$T$495=13)*('CASE MASTER'!$AA$2:$AA$495&lt;=7)*('CASE MASTER'!$AC$2:$AC$495&gt;=7)*('CASE MASTER'!$AB$2:$AB$495&lt;=3)*('CASE MASTER'!$AD$2:$AD$495&gt;=3))*ROW('CASE MASTER'!$T$2:$T$495))&gt;0,INDEX('CASE MASTER'!$Y$2:$Y$495,(SUMPRODUCT((('CASE MASTER'!$T$2:$T$495=13)*('CASE MASTER'!$AA$2:$AA$495&lt;=7)*('CASE MASTER'!$AC$2:$AC$495&gt;=7)*('CASE MASTER'!$AB$2:$AB$495&lt;=3)*('CASE MASTER'!$AD$2:$AD$495&gt;=3))*ROW('CASE MASTER'!$T$2:$T$495))-(ROW('CASE MASTER'!#REF!)-1)))&amp;TRIM(MID(SUBSTITUTE(SUBSTITUTE(INDEX('CASE MASTER'!$N$2:$N$495,(SUMPRODUCT((('CASE MASTER'!$T$2:$T$495=13)*('CASE MASTER'!$AA$2:$AA$495&lt;=7)*('CASE MASTER'!$AC$2:$AC$495&gt;=7)*('CASE MASTER'!$AB$2:$AB$495&lt;=3)*('CASE MASTER'!$AD$2:$AD$495&gt;=3))*ROW('CASE MASTER'!$T$2:$T$495))-(ROW('CASE MASTER'!#REF!)-1))),":",","),",",REPT(" ",50)),(((INDEX('CASE MASTER'!$Z$2:$Z$495,(SUMPRODUCT((('CASE MASTER'!$T$2:$T$495=13)*('CASE MASTER'!$AA$2:$AA$495&lt;=7)*('CASE MASTER'!$AC$2:$AC$495&gt;=7)*('CASE MASTER'!$AB$2:$AB$495&lt;=3)*('CASE MASTER'!$AD$2:$AD$495&gt;=3))*ROW('CASE MASTER'!$T$2:$T$495))-(ROW('CASE MASTER'!#REF!)-1)))+((7-INDEX('CASE MASTER'!$AA$2:$AA$495,(SUMPRODUCT((('CASE MASTER'!$T$2:$T$495=13)*('CASE MASTER'!$AA$2:$AA$495&lt;=7)*('CASE MASTER'!$AC$2:$AC$495&gt;=7)*('CASE MASTER'!$AB$2:$AB$495&lt;=3)*('CASE MASTER'!$AD$2:$AD$495&gt;=3))*ROW('CASE MASTER'!$T$2:$T$495))-(ROW('CASE MASTER'!#REF!)-1))))*(INDEX('CASE MASTER'!$AD$2:$AD$495,(SUMPRODUCT((('CASE MASTER'!$T$2:$T$495=13)*('CASE MASTER'!$AA$2:$AA$495&lt;=7)*('CASE MASTER'!$AC$2:$AC$495&gt;=7)*('CASE MASTER'!$AB$2:$AB$495&lt;=3)*('CASE MASTER'!$AD$2:$AD$495&gt;=3))*ROW('CASE MASTER'!$T$2:$T$495))-(ROW('CASE MASTER'!#REF!)-1)))-INDEX('CASE MASTER'!$AB$2:$AB$495,(SUMPRODUCT((('CASE MASTER'!$T$2:$T$495=13)*('CASE MASTER'!$AA$2:$AA$495&lt;=7)*('CASE MASTER'!$AC$2:$AC$495&gt;=7)*('CASE MASTER'!$AB$2:$AB$495&lt;=3)*('CASE MASTER'!$AD$2:$AD$495&gt;=3))*ROW('CASE MASTER'!$T$2:$T$495))-(ROW('CASE MASTER'!#REF!)-1)))+1)+(3-INDEX('CASE MASTER'!$AB$2:$AB$495,(SUMPRODUCT((('CASE MASTER'!$T$2:$T$495=13)*('CASE MASTER'!$AA$2:$AA$495&lt;=7)*('CASE MASTER'!$AC$2:$AC$495&gt;=7)*('CASE MASTER'!$AB$2:$AB$495&lt;=3)*('CASE MASTER'!$AD$2:$AD$495&gt;=3))*ROW('CASE MASTER'!$T$2:$T$495))-(ROW('CASE MASTER'!#REF!)-1))))+1)))-1)*50+1,50))&amp;"_"&amp;INDEX('CASE MASTER'!$Q$2:$Q$495,(SUMPRODUCT((('CASE MASTER'!$T$2:$T$495=13)*('CASE MASTER'!$AA$2:$AA$495&lt;=7)*('CASE MASTER'!$AC$2:$AC$495&gt;=7)*('CASE MASTER'!$AB$2:$AB$495&lt;=3)*('CASE MASTER'!$AD$2:$AD$495&gt;=3))*ROW('CASE MASTER'!$T$2:$T$495))-(ROW('CASE MASTER'!#REF!)-1))),"")),"")</f>
        <v/>
      </c>
      <c r="E177" s="10" t="str">
        <f>IFERROR(IF(SUMPRODUCT((('CASE MASTER'!$T$2:$T$495=13)*('CASE MASTER'!$U$2:$U$495&lt;=7)*('CASE MASTER'!$W$2:$W$495&gt;=7)*('CASE MASTER'!$V$2:$V$495&lt;=4)*('CASE MASTER'!$X$2:$X$495&gt;=4))*ROW('CASE MASTER'!$T$2:$T$495))&gt;0,INDEX('CASE MASTER'!$Y$2:$Y$495,(SUMPRODUCT((('CASE MASTER'!$T$2:$T$495=13)*('CASE MASTER'!$U$2:$U$495&lt;=7)*('CASE MASTER'!$W$2:$W$495&gt;=7)*('CASE MASTER'!$V$2:$V$495&lt;=4)*('CASE MASTER'!$X$2:$X$495&gt;=4))*ROW('CASE MASTER'!$T$2:$T$495))-(ROW('CASE MASTER'!#REF!)-1)))&amp;TRIM(MID(SUBSTITUTE(SUBSTITUTE(INDEX('CASE MASTER'!$N$2:$N$495,(SUMPRODUCT((('CASE MASTER'!$T$2:$T$495=13)*('CASE MASTER'!$U$2:$U$495&lt;=7)*('CASE MASTER'!$W$2:$W$495&gt;=7)*('CASE MASTER'!$V$2:$V$495&lt;=4)*('CASE MASTER'!$X$2:$X$495&gt;=4))*ROW('CASE MASTER'!$T$2:$T$495))-(ROW('CASE MASTER'!#REF!)-1))),":",","),",",REPT(" ",50)),((((7-INDEX('CASE MASTER'!$U$2:$U$495,(SUMPRODUCT((('CASE MASTER'!$T$2:$T$495=13)*('CASE MASTER'!$U$2:$U$495&lt;=7)*('CASE MASTER'!$W$2:$W$495&gt;=7)*('CASE MASTER'!$V$2:$V$495&lt;=4)*('CASE MASTER'!$X$2:$X$495&gt;=4))*ROW('CASE MASTER'!$T$2:$T$495))-(ROW('CASE MASTER'!#REF!)-1))))*(INDEX('CASE MASTER'!$X$2:$X$495,(SUMPRODUCT((('CASE MASTER'!$T$2:$T$495=13)*('CASE MASTER'!$U$2:$U$495&lt;=7)*('CASE MASTER'!$W$2:$W$495&gt;=7)*('CASE MASTER'!$V$2:$V$495&lt;=4)*('CASE MASTER'!$X$2:$X$495&gt;=4))*ROW('CASE MASTER'!$T$2:$T$495))-(ROW('CASE MASTER'!#REF!)-1)))-INDEX('CASE MASTER'!$V$2:$V$495,(SUMPRODUCT((('CASE MASTER'!$T$2:$T$495=13)*('CASE MASTER'!$U$2:$U$495&lt;=7)*('CASE MASTER'!$W$2:$W$495&gt;=7)*('CASE MASTER'!$V$2:$V$495&lt;=4)*('CASE MASTER'!$X$2:$X$495&gt;=4))*ROW('CASE MASTER'!$T$2:$T$495))-(ROW('CASE MASTER'!#REF!)-1)))+1)+(4-INDEX('CASE MASTER'!$V$2:$V$495,(SUMPRODUCT((('CASE MASTER'!$T$2:$T$495=13)*('CASE MASTER'!$U$2:$U$495&lt;=7)*('CASE MASTER'!$W$2:$W$495&gt;=7)*('CASE MASTER'!$V$2:$V$495&lt;=4)*('CASE MASTER'!$X$2:$X$495&gt;=4))*ROW('CASE MASTER'!$T$2:$T$495))-(ROW('CASE MASTER'!#REF!)-1))))+1))-1)*50+1,50))&amp;"_"&amp;INDEX('CASE MASTER'!$Q$2:$Q$495,(SUMPRODUCT((('CASE MASTER'!$T$2:$T$495=13)*('CASE MASTER'!$U$2:$U$495&lt;=7)*('CASE MASTER'!$W$2:$W$495&gt;=7)*('CASE MASTER'!$V$2:$V$495&lt;=4)*('CASE MASTER'!$X$2:$X$495&gt;=4))*ROW('CASE MASTER'!$T$2:$T$495))-(ROW('CASE MASTER'!#REF!)-1))),IF(SUMPRODUCT((('CASE MASTER'!$T$2:$T$495=13)*('CASE MASTER'!$AA$2:$AA$495&lt;=7)*('CASE MASTER'!$AC$2:$AC$495&gt;=7)*('CASE MASTER'!$AB$2:$AB$495&lt;=4)*('CASE MASTER'!$AD$2:$AD$495&gt;=4))*ROW('CASE MASTER'!$T$2:$T$495))&gt;0,INDEX('CASE MASTER'!$Y$2:$Y$495,(SUMPRODUCT((('CASE MASTER'!$T$2:$T$495=13)*('CASE MASTER'!$AA$2:$AA$495&lt;=7)*('CASE MASTER'!$AC$2:$AC$495&gt;=7)*('CASE MASTER'!$AB$2:$AB$495&lt;=4)*('CASE MASTER'!$AD$2:$AD$495&gt;=4))*ROW('CASE MASTER'!$T$2:$T$495))-(ROW('CASE MASTER'!#REF!)-1)))&amp;TRIM(MID(SUBSTITUTE(SUBSTITUTE(INDEX('CASE MASTER'!$N$2:$N$495,(SUMPRODUCT((('CASE MASTER'!$T$2:$T$495=13)*('CASE MASTER'!$AA$2:$AA$495&lt;=7)*('CASE MASTER'!$AC$2:$AC$495&gt;=7)*('CASE MASTER'!$AB$2:$AB$495&lt;=4)*('CASE MASTER'!$AD$2:$AD$495&gt;=4))*ROW('CASE MASTER'!$T$2:$T$495))-(ROW('CASE MASTER'!#REF!)-1))),":",","),",",REPT(" ",50)),(((INDEX('CASE MASTER'!$Z$2:$Z$495,(SUMPRODUCT((('CASE MASTER'!$T$2:$T$495=13)*('CASE MASTER'!$AA$2:$AA$495&lt;=7)*('CASE MASTER'!$AC$2:$AC$495&gt;=7)*('CASE MASTER'!$AB$2:$AB$495&lt;=4)*('CASE MASTER'!$AD$2:$AD$495&gt;=4))*ROW('CASE MASTER'!$T$2:$T$495))-(ROW('CASE MASTER'!#REF!)-1)))+((7-INDEX('CASE MASTER'!$AA$2:$AA$495,(SUMPRODUCT((('CASE MASTER'!$T$2:$T$495=13)*('CASE MASTER'!$AA$2:$AA$495&lt;=7)*('CASE MASTER'!$AC$2:$AC$495&gt;=7)*('CASE MASTER'!$AB$2:$AB$495&lt;=4)*('CASE MASTER'!$AD$2:$AD$495&gt;=4))*ROW('CASE MASTER'!$T$2:$T$495))-(ROW('CASE MASTER'!#REF!)-1))))*(INDEX('CASE MASTER'!$AD$2:$AD$495,(SUMPRODUCT((('CASE MASTER'!$T$2:$T$495=13)*('CASE MASTER'!$AA$2:$AA$495&lt;=7)*('CASE MASTER'!$AC$2:$AC$495&gt;=7)*('CASE MASTER'!$AB$2:$AB$495&lt;=4)*('CASE MASTER'!$AD$2:$AD$495&gt;=4))*ROW('CASE MASTER'!$T$2:$T$495))-(ROW('CASE MASTER'!#REF!)-1)))-INDEX('CASE MASTER'!$AB$2:$AB$495,(SUMPRODUCT((('CASE MASTER'!$T$2:$T$495=13)*('CASE MASTER'!$AA$2:$AA$495&lt;=7)*('CASE MASTER'!$AC$2:$AC$495&gt;=7)*('CASE MASTER'!$AB$2:$AB$495&lt;=4)*('CASE MASTER'!$AD$2:$AD$495&gt;=4))*ROW('CASE MASTER'!$T$2:$T$495))-(ROW('CASE MASTER'!#REF!)-1)))+1)+(4-INDEX('CASE MASTER'!$AB$2:$AB$495,(SUMPRODUCT((('CASE MASTER'!$T$2:$T$495=13)*('CASE MASTER'!$AA$2:$AA$495&lt;=7)*('CASE MASTER'!$AC$2:$AC$495&gt;=7)*('CASE MASTER'!$AB$2:$AB$495&lt;=4)*('CASE MASTER'!$AD$2:$AD$495&gt;=4))*ROW('CASE MASTER'!$T$2:$T$495))-(ROW('CASE MASTER'!#REF!)-1))))+1)))-1)*50+1,50))&amp;"_"&amp;INDEX('CASE MASTER'!$Q$2:$Q$495,(SUMPRODUCT((('CASE MASTER'!$T$2:$T$495=13)*('CASE MASTER'!$AA$2:$AA$495&lt;=7)*('CASE MASTER'!$AC$2:$AC$495&gt;=7)*('CASE MASTER'!$AB$2:$AB$495&lt;=4)*('CASE MASTER'!$AD$2:$AD$495&gt;=4))*ROW('CASE MASTER'!$T$2:$T$495))-(ROW('CASE MASTER'!#REF!)-1))),"")),"")</f>
        <v/>
      </c>
      <c r="F177" s="10" t="str">
        <f>IFERROR(IF(SUMPRODUCT((('CASE MASTER'!$T$2:$T$495=13)*('CASE MASTER'!$U$2:$U$495&lt;=7)*('CASE MASTER'!$W$2:$W$495&gt;=7)*('CASE MASTER'!$V$2:$V$495&lt;=5)*('CASE MASTER'!$X$2:$X$495&gt;=5))*ROW('CASE MASTER'!$T$2:$T$495))&gt;0,INDEX('CASE MASTER'!$Y$2:$Y$495,(SUMPRODUCT((('CASE MASTER'!$T$2:$T$495=13)*('CASE MASTER'!$U$2:$U$495&lt;=7)*('CASE MASTER'!$W$2:$W$495&gt;=7)*('CASE MASTER'!$V$2:$V$495&lt;=5)*('CASE MASTER'!$X$2:$X$495&gt;=5))*ROW('CASE MASTER'!$T$2:$T$495))-(ROW('CASE MASTER'!#REF!)-1)))&amp;TRIM(MID(SUBSTITUTE(SUBSTITUTE(INDEX('CASE MASTER'!$N$2:$N$495,(SUMPRODUCT((('CASE MASTER'!$T$2:$T$495=13)*('CASE MASTER'!$U$2:$U$495&lt;=7)*('CASE MASTER'!$W$2:$W$495&gt;=7)*('CASE MASTER'!$V$2:$V$495&lt;=5)*('CASE MASTER'!$X$2:$X$495&gt;=5))*ROW('CASE MASTER'!$T$2:$T$495))-(ROW('CASE MASTER'!#REF!)-1))),":",","),",",REPT(" ",50)),((((7-INDEX('CASE MASTER'!$U$2:$U$495,(SUMPRODUCT((('CASE MASTER'!$T$2:$T$495=13)*('CASE MASTER'!$U$2:$U$495&lt;=7)*('CASE MASTER'!$W$2:$W$495&gt;=7)*('CASE MASTER'!$V$2:$V$495&lt;=5)*('CASE MASTER'!$X$2:$X$495&gt;=5))*ROW('CASE MASTER'!$T$2:$T$495))-(ROW('CASE MASTER'!#REF!)-1))))*(INDEX('CASE MASTER'!$X$2:$X$495,(SUMPRODUCT((('CASE MASTER'!$T$2:$T$495=13)*('CASE MASTER'!$U$2:$U$495&lt;=7)*('CASE MASTER'!$W$2:$W$495&gt;=7)*('CASE MASTER'!$V$2:$V$495&lt;=5)*('CASE MASTER'!$X$2:$X$495&gt;=5))*ROW('CASE MASTER'!$T$2:$T$495))-(ROW('CASE MASTER'!#REF!)-1)))-INDEX('CASE MASTER'!$V$2:$V$495,(SUMPRODUCT((('CASE MASTER'!$T$2:$T$495=13)*('CASE MASTER'!$U$2:$U$495&lt;=7)*('CASE MASTER'!$W$2:$W$495&gt;=7)*('CASE MASTER'!$V$2:$V$495&lt;=5)*('CASE MASTER'!$X$2:$X$495&gt;=5))*ROW('CASE MASTER'!$T$2:$T$495))-(ROW('CASE MASTER'!#REF!)-1)))+1)+(5-INDEX('CASE MASTER'!$V$2:$V$495,(SUMPRODUCT((('CASE MASTER'!$T$2:$T$495=13)*('CASE MASTER'!$U$2:$U$495&lt;=7)*('CASE MASTER'!$W$2:$W$495&gt;=7)*('CASE MASTER'!$V$2:$V$495&lt;=5)*('CASE MASTER'!$X$2:$X$495&gt;=5))*ROW('CASE MASTER'!$T$2:$T$495))-(ROW('CASE MASTER'!#REF!)-1))))+1))-1)*50+1,50))&amp;"_"&amp;INDEX('CASE MASTER'!$Q$2:$Q$495,(SUMPRODUCT((('CASE MASTER'!$T$2:$T$495=13)*('CASE MASTER'!$U$2:$U$495&lt;=7)*('CASE MASTER'!$W$2:$W$495&gt;=7)*('CASE MASTER'!$V$2:$V$495&lt;=5)*('CASE MASTER'!$X$2:$X$495&gt;=5))*ROW('CASE MASTER'!$T$2:$T$495))-(ROW('CASE MASTER'!#REF!)-1))),IF(SUMPRODUCT((('CASE MASTER'!$T$2:$T$495=13)*('CASE MASTER'!$AA$2:$AA$495&lt;=7)*('CASE MASTER'!$AC$2:$AC$495&gt;=7)*('CASE MASTER'!$AB$2:$AB$495&lt;=5)*('CASE MASTER'!$AD$2:$AD$495&gt;=5))*ROW('CASE MASTER'!$T$2:$T$495))&gt;0,INDEX('CASE MASTER'!$Y$2:$Y$495,(SUMPRODUCT((('CASE MASTER'!$T$2:$T$495=13)*('CASE MASTER'!$AA$2:$AA$495&lt;=7)*('CASE MASTER'!$AC$2:$AC$495&gt;=7)*('CASE MASTER'!$AB$2:$AB$495&lt;=5)*('CASE MASTER'!$AD$2:$AD$495&gt;=5))*ROW('CASE MASTER'!$T$2:$T$495))-(ROW('CASE MASTER'!#REF!)-1)))&amp;TRIM(MID(SUBSTITUTE(SUBSTITUTE(INDEX('CASE MASTER'!$N$2:$N$495,(SUMPRODUCT((('CASE MASTER'!$T$2:$T$495=13)*('CASE MASTER'!$AA$2:$AA$495&lt;=7)*('CASE MASTER'!$AC$2:$AC$495&gt;=7)*('CASE MASTER'!$AB$2:$AB$495&lt;=5)*('CASE MASTER'!$AD$2:$AD$495&gt;=5))*ROW('CASE MASTER'!$T$2:$T$495))-(ROW('CASE MASTER'!#REF!)-1))),":",","),",",REPT(" ",50)),(((INDEX('CASE MASTER'!$Z$2:$Z$495,(SUMPRODUCT((('CASE MASTER'!$T$2:$T$495=13)*('CASE MASTER'!$AA$2:$AA$495&lt;=7)*('CASE MASTER'!$AC$2:$AC$495&gt;=7)*('CASE MASTER'!$AB$2:$AB$495&lt;=5)*('CASE MASTER'!$AD$2:$AD$495&gt;=5))*ROW('CASE MASTER'!$T$2:$T$495))-(ROW('CASE MASTER'!#REF!)-1)))+((7-INDEX('CASE MASTER'!$AA$2:$AA$495,(SUMPRODUCT((('CASE MASTER'!$T$2:$T$495=13)*('CASE MASTER'!$AA$2:$AA$495&lt;=7)*('CASE MASTER'!$AC$2:$AC$495&gt;=7)*('CASE MASTER'!$AB$2:$AB$495&lt;=5)*('CASE MASTER'!$AD$2:$AD$495&gt;=5))*ROW('CASE MASTER'!$T$2:$T$495))-(ROW('CASE MASTER'!#REF!)-1))))*(INDEX('CASE MASTER'!$AD$2:$AD$495,(SUMPRODUCT((('CASE MASTER'!$T$2:$T$495=13)*('CASE MASTER'!$AA$2:$AA$495&lt;=7)*('CASE MASTER'!$AC$2:$AC$495&gt;=7)*('CASE MASTER'!$AB$2:$AB$495&lt;=5)*('CASE MASTER'!$AD$2:$AD$495&gt;=5))*ROW('CASE MASTER'!$T$2:$T$495))-(ROW('CASE MASTER'!#REF!)-1)))-INDEX('CASE MASTER'!$AB$2:$AB$495,(SUMPRODUCT((('CASE MASTER'!$T$2:$T$495=13)*('CASE MASTER'!$AA$2:$AA$495&lt;=7)*('CASE MASTER'!$AC$2:$AC$495&gt;=7)*('CASE MASTER'!$AB$2:$AB$495&lt;=5)*('CASE MASTER'!$AD$2:$AD$495&gt;=5))*ROW('CASE MASTER'!$T$2:$T$495))-(ROW('CASE MASTER'!#REF!)-1)))+1)+(5-INDEX('CASE MASTER'!$AB$2:$AB$495,(SUMPRODUCT((('CASE MASTER'!$T$2:$T$495=13)*('CASE MASTER'!$AA$2:$AA$495&lt;=7)*('CASE MASTER'!$AC$2:$AC$495&gt;=7)*('CASE MASTER'!$AB$2:$AB$495&lt;=5)*('CASE MASTER'!$AD$2:$AD$495&gt;=5))*ROW('CASE MASTER'!$T$2:$T$495))-(ROW('CASE MASTER'!#REF!)-1))))+1)))-1)*50+1,50))&amp;"_"&amp;INDEX('CASE MASTER'!$Q$2:$Q$495,(SUMPRODUCT((('CASE MASTER'!$T$2:$T$495=13)*('CASE MASTER'!$AA$2:$AA$495&lt;=7)*('CASE MASTER'!$AC$2:$AC$495&gt;=7)*('CASE MASTER'!$AB$2:$AB$495&lt;=5)*('CASE MASTER'!$AD$2:$AD$495&gt;=5))*ROW('CASE MASTER'!$T$2:$T$495))-(ROW('CASE MASTER'!#REF!)-1))),"")),"")</f>
        <v/>
      </c>
      <c r="G177" s="10" t="str">
        <f>IFERROR(IF(SUMPRODUCT((('CASE MASTER'!$T$2:$T$495=13)*('CASE MASTER'!$U$2:$U$495&lt;=7)*('CASE MASTER'!$W$2:$W$495&gt;=7)*('CASE MASTER'!$V$2:$V$495&lt;=6)*('CASE MASTER'!$X$2:$X$495&gt;=6))*ROW('CASE MASTER'!$T$2:$T$495))&gt;0,INDEX('CASE MASTER'!$Y$2:$Y$495,(SUMPRODUCT((('CASE MASTER'!$T$2:$T$495=13)*('CASE MASTER'!$U$2:$U$495&lt;=7)*('CASE MASTER'!$W$2:$W$495&gt;=7)*('CASE MASTER'!$V$2:$V$495&lt;=6)*('CASE MASTER'!$X$2:$X$495&gt;=6))*ROW('CASE MASTER'!$T$2:$T$495))-(ROW('CASE MASTER'!#REF!)-1)))&amp;TRIM(MID(SUBSTITUTE(SUBSTITUTE(INDEX('CASE MASTER'!$N$2:$N$495,(SUMPRODUCT((('CASE MASTER'!$T$2:$T$495=13)*('CASE MASTER'!$U$2:$U$495&lt;=7)*('CASE MASTER'!$W$2:$W$495&gt;=7)*('CASE MASTER'!$V$2:$V$495&lt;=6)*('CASE MASTER'!$X$2:$X$495&gt;=6))*ROW('CASE MASTER'!$T$2:$T$495))-(ROW('CASE MASTER'!#REF!)-1))),":",","),",",REPT(" ",50)),((((7-INDEX('CASE MASTER'!$U$2:$U$495,(SUMPRODUCT((('CASE MASTER'!$T$2:$T$495=13)*('CASE MASTER'!$U$2:$U$495&lt;=7)*('CASE MASTER'!$W$2:$W$495&gt;=7)*('CASE MASTER'!$V$2:$V$495&lt;=6)*('CASE MASTER'!$X$2:$X$495&gt;=6))*ROW('CASE MASTER'!$T$2:$T$495))-(ROW('CASE MASTER'!#REF!)-1))))*(INDEX('CASE MASTER'!$X$2:$X$495,(SUMPRODUCT((('CASE MASTER'!$T$2:$T$495=13)*('CASE MASTER'!$U$2:$U$495&lt;=7)*('CASE MASTER'!$W$2:$W$495&gt;=7)*('CASE MASTER'!$V$2:$V$495&lt;=6)*('CASE MASTER'!$X$2:$X$495&gt;=6))*ROW('CASE MASTER'!$T$2:$T$495))-(ROW('CASE MASTER'!#REF!)-1)))-INDEX('CASE MASTER'!$V$2:$V$495,(SUMPRODUCT((('CASE MASTER'!$T$2:$T$495=13)*('CASE MASTER'!$U$2:$U$495&lt;=7)*('CASE MASTER'!$W$2:$W$495&gt;=7)*('CASE MASTER'!$V$2:$V$495&lt;=6)*('CASE MASTER'!$X$2:$X$495&gt;=6))*ROW('CASE MASTER'!$T$2:$T$495))-(ROW('CASE MASTER'!#REF!)-1)))+1)+(6-INDEX('CASE MASTER'!$V$2:$V$495,(SUMPRODUCT((('CASE MASTER'!$T$2:$T$495=13)*('CASE MASTER'!$U$2:$U$495&lt;=7)*('CASE MASTER'!$W$2:$W$495&gt;=7)*('CASE MASTER'!$V$2:$V$495&lt;=6)*('CASE MASTER'!$X$2:$X$495&gt;=6))*ROW('CASE MASTER'!$T$2:$T$495))-(ROW('CASE MASTER'!#REF!)-1))))+1))-1)*50+1,50))&amp;"_"&amp;INDEX('CASE MASTER'!$Q$2:$Q$495,(SUMPRODUCT((('CASE MASTER'!$T$2:$T$495=13)*('CASE MASTER'!$U$2:$U$495&lt;=7)*('CASE MASTER'!$W$2:$W$495&gt;=7)*('CASE MASTER'!$V$2:$V$495&lt;=6)*('CASE MASTER'!$X$2:$X$495&gt;=6))*ROW('CASE MASTER'!$T$2:$T$495))-(ROW('CASE MASTER'!#REF!)-1))),IF(SUMPRODUCT((('CASE MASTER'!$T$2:$T$495=13)*('CASE MASTER'!$AA$2:$AA$495&lt;=7)*('CASE MASTER'!$AC$2:$AC$495&gt;=7)*('CASE MASTER'!$AB$2:$AB$495&lt;=6)*('CASE MASTER'!$AD$2:$AD$495&gt;=6))*ROW('CASE MASTER'!$T$2:$T$495))&gt;0,INDEX('CASE MASTER'!$Y$2:$Y$495,(SUMPRODUCT((('CASE MASTER'!$T$2:$T$495=13)*('CASE MASTER'!$AA$2:$AA$495&lt;=7)*('CASE MASTER'!$AC$2:$AC$495&gt;=7)*('CASE MASTER'!$AB$2:$AB$495&lt;=6)*('CASE MASTER'!$AD$2:$AD$495&gt;=6))*ROW('CASE MASTER'!$T$2:$T$495))-(ROW('CASE MASTER'!#REF!)-1)))&amp;TRIM(MID(SUBSTITUTE(SUBSTITUTE(INDEX('CASE MASTER'!$N$2:$N$495,(SUMPRODUCT((('CASE MASTER'!$T$2:$T$495=13)*('CASE MASTER'!$AA$2:$AA$495&lt;=7)*('CASE MASTER'!$AC$2:$AC$495&gt;=7)*('CASE MASTER'!$AB$2:$AB$495&lt;=6)*('CASE MASTER'!$AD$2:$AD$495&gt;=6))*ROW('CASE MASTER'!$T$2:$T$495))-(ROW('CASE MASTER'!#REF!)-1))),":",","),",",REPT(" ",50)),(((INDEX('CASE MASTER'!$Z$2:$Z$495,(SUMPRODUCT((('CASE MASTER'!$T$2:$T$495=13)*('CASE MASTER'!$AA$2:$AA$495&lt;=7)*('CASE MASTER'!$AC$2:$AC$495&gt;=7)*('CASE MASTER'!$AB$2:$AB$495&lt;=6)*('CASE MASTER'!$AD$2:$AD$495&gt;=6))*ROW('CASE MASTER'!$T$2:$T$495))-(ROW('CASE MASTER'!#REF!)-1)))+((7-INDEX('CASE MASTER'!$AA$2:$AA$495,(SUMPRODUCT((('CASE MASTER'!$T$2:$T$495=13)*('CASE MASTER'!$AA$2:$AA$495&lt;=7)*('CASE MASTER'!$AC$2:$AC$495&gt;=7)*('CASE MASTER'!$AB$2:$AB$495&lt;=6)*('CASE MASTER'!$AD$2:$AD$495&gt;=6))*ROW('CASE MASTER'!$T$2:$T$495))-(ROW('CASE MASTER'!#REF!)-1))))*(INDEX('CASE MASTER'!$AD$2:$AD$495,(SUMPRODUCT((('CASE MASTER'!$T$2:$T$495=13)*('CASE MASTER'!$AA$2:$AA$495&lt;=7)*('CASE MASTER'!$AC$2:$AC$495&gt;=7)*('CASE MASTER'!$AB$2:$AB$495&lt;=6)*('CASE MASTER'!$AD$2:$AD$495&gt;=6))*ROW('CASE MASTER'!$T$2:$T$495))-(ROW('CASE MASTER'!#REF!)-1)))-INDEX('CASE MASTER'!$AB$2:$AB$495,(SUMPRODUCT((('CASE MASTER'!$T$2:$T$495=13)*('CASE MASTER'!$AA$2:$AA$495&lt;=7)*('CASE MASTER'!$AC$2:$AC$495&gt;=7)*('CASE MASTER'!$AB$2:$AB$495&lt;=6)*('CASE MASTER'!$AD$2:$AD$495&gt;=6))*ROW('CASE MASTER'!$T$2:$T$495))-(ROW('CASE MASTER'!#REF!)-1)))+1)+(6-INDEX('CASE MASTER'!$AB$2:$AB$495,(SUMPRODUCT((('CASE MASTER'!$T$2:$T$495=13)*('CASE MASTER'!$AA$2:$AA$495&lt;=7)*('CASE MASTER'!$AC$2:$AC$495&gt;=7)*('CASE MASTER'!$AB$2:$AB$495&lt;=6)*('CASE MASTER'!$AD$2:$AD$495&gt;=6))*ROW('CASE MASTER'!$T$2:$T$495))-(ROW('CASE MASTER'!#REF!)-1))))+1)))-1)*50+1,50))&amp;"_"&amp;INDEX('CASE MASTER'!$Q$2:$Q$495,(SUMPRODUCT((('CASE MASTER'!$T$2:$T$495=13)*('CASE MASTER'!$AA$2:$AA$495&lt;=7)*('CASE MASTER'!$AC$2:$AC$495&gt;=7)*('CASE MASTER'!$AB$2:$AB$495&lt;=6)*('CASE MASTER'!$AD$2:$AD$495&gt;=6))*ROW('CASE MASTER'!$T$2:$T$495))-(ROW('CASE MASTER'!#REF!)-1))),"")),"")</f>
        <v/>
      </c>
      <c r="H177" s="10" t="str">
        <f>IFERROR(IF(SUMPRODUCT((('CASE MASTER'!$T$2:$T$495=13)*('CASE MASTER'!$U$2:$U$495&lt;=7)*('CASE MASTER'!$W$2:$W$495&gt;=7)*('CASE MASTER'!$V$2:$V$495&lt;=7)*('CASE MASTER'!$X$2:$X$495&gt;=7))*ROW('CASE MASTER'!$T$2:$T$495))&gt;0,INDEX('CASE MASTER'!$Y$2:$Y$495,(SUMPRODUCT((('CASE MASTER'!$T$2:$T$495=13)*('CASE MASTER'!$U$2:$U$495&lt;=7)*('CASE MASTER'!$W$2:$W$495&gt;=7)*('CASE MASTER'!$V$2:$V$495&lt;=7)*('CASE MASTER'!$X$2:$X$495&gt;=7))*ROW('CASE MASTER'!$T$2:$T$495))-(ROW('CASE MASTER'!#REF!)-1)))&amp;TRIM(MID(SUBSTITUTE(SUBSTITUTE(INDEX('CASE MASTER'!$N$2:$N$495,(SUMPRODUCT((('CASE MASTER'!$T$2:$T$495=13)*('CASE MASTER'!$U$2:$U$495&lt;=7)*('CASE MASTER'!$W$2:$W$495&gt;=7)*('CASE MASTER'!$V$2:$V$495&lt;=7)*('CASE MASTER'!$X$2:$X$495&gt;=7))*ROW('CASE MASTER'!$T$2:$T$495))-(ROW('CASE MASTER'!#REF!)-1))),":",","),",",REPT(" ",50)),((((7-INDEX('CASE MASTER'!$U$2:$U$495,(SUMPRODUCT((('CASE MASTER'!$T$2:$T$495=13)*('CASE MASTER'!$U$2:$U$495&lt;=7)*('CASE MASTER'!$W$2:$W$495&gt;=7)*('CASE MASTER'!$V$2:$V$495&lt;=7)*('CASE MASTER'!$X$2:$X$495&gt;=7))*ROW('CASE MASTER'!$T$2:$T$495))-(ROW('CASE MASTER'!#REF!)-1))))*(INDEX('CASE MASTER'!$X$2:$X$495,(SUMPRODUCT((('CASE MASTER'!$T$2:$T$495=13)*('CASE MASTER'!$U$2:$U$495&lt;=7)*('CASE MASTER'!$W$2:$W$495&gt;=7)*('CASE MASTER'!$V$2:$V$495&lt;=7)*('CASE MASTER'!$X$2:$X$495&gt;=7))*ROW('CASE MASTER'!$T$2:$T$495))-(ROW('CASE MASTER'!#REF!)-1)))-INDEX('CASE MASTER'!$V$2:$V$495,(SUMPRODUCT((('CASE MASTER'!$T$2:$T$495=13)*('CASE MASTER'!$U$2:$U$495&lt;=7)*('CASE MASTER'!$W$2:$W$495&gt;=7)*('CASE MASTER'!$V$2:$V$495&lt;=7)*('CASE MASTER'!$X$2:$X$495&gt;=7))*ROW('CASE MASTER'!$T$2:$T$495))-(ROW('CASE MASTER'!#REF!)-1)))+1)+(7-INDEX('CASE MASTER'!$V$2:$V$495,(SUMPRODUCT((('CASE MASTER'!$T$2:$T$495=13)*('CASE MASTER'!$U$2:$U$495&lt;=7)*('CASE MASTER'!$W$2:$W$495&gt;=7)*('CASE MASTER'!$V$2:$V$495&lt;=7)*('CASE MASTER'!$X$2:$X$495&gt;=7))*ROW('CASE MASTER'!$T$2:$T$495))-(ROW('CASE MASTER'!#REF!)-1))))+1))-1)*50+1,50))&amp;"_"&amp;INDEX('CASE MASTER'!$Q$2:$Q$495,(SUMPRODUCT((('CASE MASTER'!$T$2:$T$495=13)*('CASE MASTER'!$U$2:$U$495&lt;=7)*('CASE MASTER'!$W$2:$W$495&gt;=7)*('CASE MASTER'!$V$2:$V$495&lt;=7)*('CASE MASTER'!$X$2:$X$495&gt;=7))*ROW('CASE MASTER'!$T$2:$T$495))-(ROW('CASE MASTER'!#REF!)-1))),IF(SUMPRODUCT((('CASE MASTER'!$T$2:$T$495=13)*('CASE MASTER'!$AA$2:$AA$495&lt;=7)*('CASE MASTER'!$AC$2:$AC$495&gt;=7)*('CASE MASTER'!$AB$2:$AB$495&lt;=7)*('CASE MASTER'!$AD$2:$AD$495&gt;=7))*ROW('CASE MASTER'!$T$2:$T$495))&gt;0,INDEX('CASE MASTER'!$Y$2:$Y$495,(SUMPRODUCT((('CASE MASTER'!$T$2:$T$495=13)*('CASE MASTER'!$AA$2:$AA$495&lt;=7)*('CASE MASTER'!$AC$2:$AC$495&gt;=7)*('CASE MASTER'!$AB$2:$AB$495&lt;=7)*('CASE MASTER'!$AD$2:$AD$495&gt;=7))*ROW('CASE MASTER'!$T$2:$T$495))-(ROW('CASE MASTER'!#REF!)-1)))&amp;TRIM(MID(SUBSTITUTE(SUBSTITUTE(INDEX('CASE MASTER'!$N$2:$N$495,(SUMPRODUCT((('CASE MASTER'!$T$2:$T$495=13)*('CASE MASTER'!$AA$2:$AA$495&lt;=7)*('CASE MASTER'!$AC$2:$AC$495&gt;=7)*('CASE MASTER'!$AB$2:$AB$495&lt;=7)*('CASE MASTER'!$AD$2:$AD$495&gt;=7))*ROW('CASE MASTER'!$T$2:$T$495))-(ROW('CASE MASTER'!#REF!)-1))),":",","),",",REPT(" ",50)),(((INDEX('CASE MASTER'!$Z$2:$Z$495,(SUMPRODUCT((('CASE MASTER'!$T$2:$T$495=13)*('CASE MASTER'!$AA$2:$AA$495&lt;=7)*('CASE MASTER'!$AC$2:$AC$495&gt;=7)*('CASE MASTER'!$AB$2:$AB$495&lt;=7)*('CASE MASTER'!$AD$2:$AD$495&gt;=7))*ROW('CASE MASTER'!$T$2:$T$495))-(ROW('CASE MASTER'!#REF!)-1)))+((7-INDEX('CASE MASTER'!$AA$2:$AA$495,(SUMPRODUCT((('CASE MASTER'!$T$2:$T$495=13)*('CASE MASTER'!$AA$2:$AA$495&lt;=7)*('CASE MASTER'!$AC$2:$AC$495&gt;=7)*('CASE MASTER'!$AB$2:$AB$495&lt;=7)*('CASE MASTER'!$AD$2:$AD$495&gt;=7))*ROW('CASE MASTER'!$T$2:$T$495))-(ROW('CASE MASTER'!#REF!)-1))))*(INDEX('CASE MASTER'!$AD$2:$AD$495,(SUMPRODUCT((('CASE MASTER'!$T$2:$T$495=13)*('CASE MASTER'!$AA$2:$AA$495&lt;=7)*('CASE MASTER'!$AC$2:$AC$495&gt;=7)*('CASE MASTER'!$AB$2:$AB$495&lt;=7)*('CASE MASTER'!$AD$2:$AD$495&gt;=7))*ROW('CASE MASTER'!$T$2:$T$495))-(ROW('CASE MASTER'!#REF!)-1)))-INDEX('CASE MASTER'!$AB$2:$AB$495,(SUMPRODUCT((('CASE MASTER'!$T$2:$T$495=13)*('CASE MASTER'!$AA$2:$AA$495&lt;=7)*('CASE MASTER'!$AC$2:$AC$495&gt;=7)*('CASE MASTER'!$AB$2:$AB$495&lt;=7)*('CASE MASTER'!$AD$2:$AD$495&gt;=7))*ROW('CASE MASTER'!$T$2:$T$495))-(ROW('CASE MASTER'!#REF!)-1)))+1)+(7-INDEX('CASE MASTER'!$AB$2:$AB$495,(SUMPRODUCT((('CASE MASTER'!$T$2:$T$495=13)*('CASE MASTER'!$AA$2:$AA$495&lt;=7)*('CASE MASTER'!$AC$2:$AC$495&gt;=7)*('CASE MASTER'!$AB$2:$AB$495&lt;=7)*('CASE MASTER'!$AD$2:$AD$495&gt;=7))*ROW('CASE MASTER'!$T$2:$T$495))-(ROW('CASE MASTER'!#REF!)-1))))+1)))-1)*50+1,50))&amp;"_"&amp;INDEX('CASE MASTER'!$Q$2:$Q$495,(SUMPRODUCT((('CASE MASTER'!$T$2:$T$495=13)*('CASE MASTER'!$AA$2:$AA$495&lt;=7)*('CASE MASTER'!$AC$2:$AC$495&gt;=7)*('CASE MASTER'!$AB$2:$AB$495&lt;=7)*('CASE MASTER'!$AD$2:$AD$495&gt;=7))*ROW('CASE MASTER'!$T$2:$T$495))-(ROW('CASE MASTER'!#REF!)-1))),"")),"")</f>
        <v/>
      </c>
      <c r="I177" s="10" t="str">
        <f>IFERROR(IF(SUMPRODUCT((('CASE MASTER'!$T$2:$T$495=13)*('CASE MASTER'!$U$2:$U$495&lt;=7)*('CASE MASTER'!$W$2:$W$495&gt;=7)*('CASE MASTER'!$V$2:$V$495&lt;=8)*('CASE MASTER'!$X$2:$X$495&gt;=8))*ROW('CASE MASTER'!$T$2:$T$495))&gt;0,INDEX('CASE MASTER'!$Y$2:$Y$495,(SUMPRODUCT((('CASE MASTER'!$T$2:$T$495=13)*('CASE MASTER'!$U$2:$U$495&lt;=7)*('CASE MASTER'!$W$2:$W$495&gt;=7)*('CASE MASTER'!$V$2:$V$495&lt;=8)*('CASE MASTER'!$X$2:$X$495&gt;=8))*ROW('CASE MASTER'!$T$2:$T$495))-(ROW('CASE MASTER'!#REF!)-1)))&amp;TRIM(MID(SUBSTITUTE(SUBSTITUTE(INDEX('CASE MASTER'!$N$2:$N$495,(SUMPRODUCT((('CASE MASTER'!$T$2:$T$495=13)*('CASE MASTER'!$U$2:$U$495&lt;=7)*('CASE MASTER'!$W$2:$W$495&gt;=7)*('CASE MASTER'!$V$2:$V$495&lt;=8)*('CASE MASTER'!$X$2:$X$495&gt;=8))*ROW('CASE MASTER'!$T$2:$T$495))-(ROW('CASE MASTER'!#REF!)-1))),":",","),",",REPT(" ",50)),((((7-INDEX('CASE MASTER'!$U$2:$U$495,(SUMPRODUCT((('CASE MASTER'!$T$2:$T$495=13)*('CASE MASTER'!$U$2:$U$495&lt;=7)*('CASE MASTER'!$W$2:$W$495&gt;=7)*('CASE MASTER'!$V$2:$V$495&lt;=8)*('CASE MASTER'!$X$2:$X$495&gt;=8))*ROW('CASE MASTER'!$T$2:$T$495))-(ROW('CASE MASTER'!#REF!)-1))))*(INDEX('CASE MASTER'!$X$2:$X$495,(SUMPRODUCT((('CASE MASTER'!$T$2:$T$495=13)*('CASE MASTER'!$U$2:$U$495&lt;=7)*('CASE MASTER'!$W$2:$W$495&gt;=7)*('CASE MASTER'!$V$2:$V$495&lt;=8)*('CASE MASTER'!$X$2:$X$495&gt;=8))*ROW('CASE MASTER'!$T$2:$T$495))-(ROW('CASE MASTER'!#REF!)-1)))-INDEX('CASE MASTER'!$V$2:$V$495,(SUMPRODUCT((('CASE MASTER'!$T$2:$T$495=13)*('CASE MASTER'!$U$2:$U$495&lt;=7)*('CASE MASTER'!$W$2:$W$495&gt;=7)*('CASE MASTER'!$V$2:$V$495&lt;=8)*('CASE MASTER'!$X$2:$X$495&gt;=8))*ROW('CASE MASTER'!$T$2:$T$495))-(ROW('CASE MASTER'!#REF!)-1)))+1)+(8-INDEX('CASE MASTER'!$V$2:$V$495,(SUMPRODUCT((('CASE MASTER'!$T$2:$T$495=13)*('CASE MASTER'!$U$2:$U$495&lt;=7)*('CASE MASTER'!$W$2:$W$495&gt;=7)*('CASE MASTER'!$V$2:$V$495&lt;=8)*('CASE MASTER'!$X$2:$X$495&gt;=8))*ROW('CASE MASTER'!$T$2:$T$495))-(ROW('CASE MASTER'!#REF!)-1))))+1))-1)*50+1,50))&amp;"_"&amp;INDEX('CASE MASTER'!$Q$2:$Q$495,(SUMPRODUCT((('CASE MASTER'!$T$2:$T$495=13)*('CASE MASTER'!$U$2:$U$495&lt;=7)*('CASE MASTER'!$W$2:$W$495&gt;=7)*('CASE MASTER'!$V$2:$V$495&lt;=8)*('CASE MASTER'!$X$2:$X$495&gt;=8))*ROW('CASE MASTER'!$T$2:$T$495))-(ROW('CASE MASTER'!#REF!)-1))),IF(SUMPRODUCT((('CASE MASTER'!$T$2:$T$495=13)*('CASE MASTER'!$AA$2:$AA$495&lt;=7)*('CASE MASTER'!$AC$2:$AC$495&gt;=7)*('CASE MASTER'!$AB$2:$AB$495&lt;=8)*('CASE MASTER'!$AD$2:$AD$495&gt;=8))*ROW('CASE MASTER'!$T$2:$T$495))&gt;0,INDEX('CASE MASTER'!$Y$2:$Y$495,(SUMPRODUCT((('CASE MASTER'!$T$2:$T$495=13)*('CASE MASTER'!$AA$2:$AA$495&lt;=7)*('CASE MASTER'!$AC$2:$AC$495&gt;=7)*('CASE MASTER'!$AB$2:$AB$495&lt;=8)*('CASE MASTER'!$AD$2:$AD$495&gt;=8))*ROW('CASE MASTER'!$T$2:$T$495))-(ROW('CASE MASTER'!#REF!)-1)))&amp;TRIM(MID(SUBSTITUTE(SUBSTITUTE(INDEX('CASE MASTER'!$N$2:$N$495,(SUMPRODUCT((('CASE MASTER'!$T$2:$T$495=13)*('CASE MASTER'!$AA$2:$AA$495&lt;=7)*('CASE MASTER'!$AC$2:$AC$495&gt;=7)*('CASE MASTER'!$AB$2:$AB$495&lt;=8)*('CASE MASTER'!$AD$2:$AD$495&gt;=8))*ROW('CASE MASTER'!$T$2:$T$495))-(ROW('CASE MASTER'!#REF!)-1))),":",","),",",REPT(" ",50)),(((INDEX('CASE MASTER'!$Z$2:$Z$495,(SUMPRODUCT((('CASE MASTER'!$T$2:$T$495=13)*('CASE MASTER'!$AA$2:$AA$495&lt;=7)*('CASE MASTER'!$AC$2:$AC$495&gt;=7)*('CASE MASTER'!$AB$2:$AB$495&lt;=8)*('CASE MASTER'!$AD$2:$AD$495&gt;=8))*ROW('CASE MASTER'!$T$2:$T$495))-(ROW('CASE MASTER'!#REF!)-1)))+((7-INDEX('CASE MASTER'!$AA$2:$AA$495,(SUMPRODUCT((('CASE MASTER'!$T$2:$T$495=13)*('CASE MASTER'!$AA$2:$AA$495&lt;=7)*('CASE MASTER'!$AC$2:$AC$495&gt;=7)*('CASE MASTER'!$AB$2:$AB$495&lt;=8)*('CASE MASTER'!$AD$2:$AD$495&gt;=8))*ROW('CASE MASTER'!$T$2:$T$495))-(ROW('CASE MASTER'!#REF!)-1))))*(INDEX('CASE MASTER'!$AD$2:$AD$495,(SUMPRODUCT((('CASE MASTER'!$T$2:$T$495=13)*('CASE MASTER'!$AA$2:$AA$495&lt;=7)*('CASE MASTER'!$AC$2:$AC$495&gt;=7)*('CASE MASTER'!$AB$2:$AB$495&lt;=8)*('CASE MASTER'!$AD$2:$AD$495&gt;=8))*ROW('CASE MASTER'!$T$2:$T$495))-(ROW('CASE MASTER'!#REF!)-1)))-INDEX('CASE MASTER'!$AB$2:$AB$495,(SUMPRODUCT((('CASE MASTER'!$T$2:$T$495=13)*('CASE MASTER'!$AA$2:$AA$495&lt;=7)*('CASE MASTER'!$AC$2:$AC$495&gt;=7)*('CASE MASTER'!$AB$2:$AB$495&lt;=8)*('CASE MASTER'!$AD$2:$AD$495&gt;=8))*ROW('CASE MASTER'!$T$2:$T$495))-(ROW('CASE MASTER'!#REF!)-1)))+1)+(8-INDEX('CASE MASTER'!$AB$2:$AB$495,(SUMPRODUCT((('CASE MASTER'!$T$2:$T$495=13)*('CASE MASTER'!$AA$2:$AA$495&lt;=7)*('CASE MASTER'!$AC$2:$AC$495&gt;=7)*('CASE MASTER'!$AB$2:$AB$495&lt;=8)*('CASE MASTER'!$AD$2:$AD$495&gt;=8))*ROW('CASE MASTER'!$T$2:$T$495))-(ROW('CASE MASTER'!#REF!)-1))))+1)))-1)*50+1,50))&amp;"_"&amp;INDEX('CASE MASTER'!$Q$2:$Q$495,(SUMPRODUCT((('CASE MASTER'!$T$2:$T$495=13)*('CASE MASTER'!$AA$2:$AA$495&lt;=7)*('CASE MASTER'!$AC$2:$AC$495&gt;=7)*('CASE MASTER'!$AB$2:$AB$495&lt;=8)*('CASE MASTER'!$AD$2:$AD$495&gt;=8))*ROW('CASE MASTER'!$T$2:$T$495))-(ROW('CASE MASTER'!#REF!)-1))),"")),"")</f>
        <v/>
      </c>
      <c r="J177" s="10" t="str">
        <f>IFERROR(IF(SUMPRODUCT((('CASE MASTER'!$T$2:$T$495=13)*('CASE MASTER'!$U$2:$U$495&lt;=7)*('CASE MASTER'!$W$2:$W$495&gt;=7)*('CASE MASTER'!$V$2:$V$495&lt;=9)*('CASE MASTER'!$X$2:$X$495&gt;=9))*ROW('CASE MASTER'!$T$2:$T$495))&gt;0,INDEX('CASE MASTER'!$Y$2:$Y$495,(SUMPRODUCT((('CASE MASTER'!$T$2:$T$495=13)*('CASE MASTER'!$U$2:$U$495&lt;=7)*('CASE MASTER'!$W$2:$W$495&gt;=7)*('CASE MASTER'!$V$2:$V$495&lt;=9)*('CASE MASTER'!$X$2:$X$495&gt;=9))*ROW('CASE MASTER'!$T$2:$T$495))-(ROW('CASE MASTER'!#REF!)-1)))&amp;TRIM(MID(SUBSTITUTE(SUBSTITUTE(INDEX('CASE MASTER'!$N$2:$N$495,(SUMPRODUCT((('CASE MASTER'!$T$2:$T$495=13)*('CASE MASTER'!$U$2:$U$495&lt;=7)*('CASE MASTER'!$W$2:$W$495&gt;=7)*('CASE MASTER'!$V$2:$V$495&lt;=9)*('CASE MASTER'!$X$2:$X$495&gt;=9))*ROW('CASE MASTER'!$T$2:$T$495))-(ROW('CASE MASTER'!#REF!)-1))),":",","),",",REPT(" ",50)),((((7-INDEX('CASE MASTER'!$U$2:$U$495,(SUMPRODUCT((('CASE MASTER'!$T$2:$T$495=13)*('CASE MASTER'!$U$2:$U$495&lt;=7)*('CASE MASTER'!$W$2:$W$495&gt;=7)*('CASE MASTER'!$V$2:$V$495&lt;=9)*('CASE MASTER'!$X$2:$X$495&gt;=9))*ROW('CASE MASTER'!$T$2:$T$495))-(ROW('CASE MASTER'!#REF!)-1))))*(INDEX('CASE MASTER'!$X$2:$X$495,(SUMPRODUCT((('CASE MASTER'!$T$2:$T$495=13)*('CASE MASTER'!$U$2:$U$495&lt;=7)*('CASE MASTER'!$W$2:$W$495&gt;=7)*('CASE MASTER'!$V$2:$V$495&lt;=9)*('CASE MASTER'!$X$2:$X$495&gt;=9))*ROW('CASE MASTER'!$T$2:$T$495))-(ROW('CASE MASTER'!#REF!)-1)))-INDEX('CASE MASTER'!$V$2:$V$495,(SUMPRODUCT((('CASE MASTER'!$T$2:$T$495=13)*('CASE MASTER'!$U$2:$U$495&lt;=7)*('CASE MASTER'!$W$2:$W$495&gt;=7)*('CASE MASTER'!$V$2:$V$495&lt;=9)*('CASE MASTER'!$X$2:$X$495&gt;=9))*ROW('CASE MASTER'!$T$2:$T$495))-(ROW('CASE MASTER'!#REF!)-1)))+1)+(9-INDEX('CASE MASTER'!$V$2:$V$495,(SUMPRODUCT((('CASE MASTER'!$T$2:$T$495=13)*('CASE MASTER'!$U$2:$U$495&lt;=7)*('CASE MASTER'!$W$2:$W$495&gt;=7)*('CASE MASTER'!$V$2:$V$495&lt;=9)*('CASE MASTER'!$X$2:$X$495&gt;=9))*ROW('CASE MASTER'!$T$2:$T$495))-(ROW('CASE MASTER'!#REF!)-1))))+1))-1)*50+1,50))&amp;"_"&amp;INDEX('CASE MASTER'!$Q$2:$Q$495,(SUMPRODUCT((('CASE MASTER'!$T$2:$T$495=13)*('CASE MASTER'!$U$2:$U$495&lt;=7)*('CASE MASTER'!$W$2:$W$495&gt;=7)*('CASE MASTER'!$V$2:$V$495&lt;=9)*('CASE MASTER'!$X$2:$X$495&gt;=9))*ROW('CASE MASTER'!$T$2:$T$495))-(ROW('CASE MASTER'!#REF!)-1))),IF(SUMPRODUCT((('CASE MASTER'!$T$2:$T$495=13)*('CASE MASTER'!$AA$2:$AA$495&lt;=7)*('CASE MASTER'!$AC$2:$AC$495&gt;=7)*('CASE MASTER'!$AB$2:$AB$495&lt;=9)*('CASE MASTER'!$AD$2:$AD$495&gt;=9))*ROW('CASE MASTER'!$T$2:$T$495))&gt;0,INDEX('CASE MASTER'!$Y$2:$Y$495,(SUMPRODUCT((('CASE MASTER'!$T$2:$T$495=13)*('CASE MASTER'!$AA$2:$AA$495&lt;=7)*('CASE MASTER'!$AC$2:$AC$495&gt;=7)*('CASE MASTER'!$AB$2:$AB$495&lt;=9)*('CASE MASTER'!$AD$2:$AD$495&gt;=9))*ROW('CASE MASTER'!$T$2:$T$495))-(ROW('CASE MASTER'!#REF!)-1)))&amp;TRIM(MID(SUBSTITUTE(SUBSTITUTE(INDEX('CASE MASTER'!$N$2:$N$495,(SUMPRODUCT((('CASE MASTER'!$T$2:$T$495=13)*('CASE MASTER'!$AA$2:$AA$495&lt;=7)*('CASE MASTER'!$AC$2:$AC$495&gt;=7)*('CASE MASTER'!$AB$2:$AB$495&lt;=9)*('CASE MASTER'!$AD$2:$AD$495&gt;=9))*ROW('CASE MASTER'!$T$2:$T$495))-(ROW('CASE MASTER'!#REF!)-1))),":",","),",",REPT(" ",50)),(((INDEX('CASE MASTER'!$Z$2:$Z$495,(SUMPRODUCT((('CASE MASTER'!$T$2:$T$495=13)*('CASE MASTER'!$AA$2:$AA$495&lt;=7)*('CASE MASTER'!$AC$2:$AC$495&gt;=7)*('CASE MASTER'!$AB$2:$AB$495&lt;=9)*('CASE MASTER'!$AD$2:$AD$495&gt;=9))*ROW('CASE MASTER'!$T$2:$T$495))-(ROW('CASE MASTER'!#REF!)-1)))+((7-INDEX('CASE MASTER'!$AA$2:$AA$495,(SUMPRODUCT((('CASE MASTER'!$T$2:$T$495=13)*('CASE MASTER'!$AA$2:$AA$495&lt;=7)*('CASE MASTER'!$AC$2:$AC$495&gt;=7)*('CASE MASTER'!$AB$2:$AB$495&lt;=9)*('CASE MASTER'!$AD$2:$AD$495&gt;=9))*ROW('CASE MASTER'!$T$2:$T$495))-(ROW('CASE MASTER'!#REF!)-1))))*(INDEX('CASE MASTER'!$AD$2:$AD$495,(SUMPRODUCT((('CASE MASTER'!$T$2:$T$495=13)*('CASE MASTER'!$AA$2:$AA$495&lt;=7)*('CASE MASTER'!$AC$2:$AC$495&gt;=7)*('CASE MASTER'!$AB$2:$AB$495&lt;=9)*('CASE MASTER'!$AD$2:$AD$495&gt;=9))*ROW('CASE MASTER'!$T$2:$T$495))-(ROW('CASE MASTER'!#REF!)-1)))-INDEX('CASE MASTER'!$AB$2:$AB$495,(SUMPRODUCT((('CASE MASTER'!$T$2:$T$495=13)*('CASE MASTER'!$AA$2:$AA$495&lt;=7)*('CASE MASTER'!$AC$2:$AC$495&gt;=7)*('CASE MASTER'!$AB$2:$AB$495&lt;=9)*('CASE MASTER'!$AD$2:$AD$495&gt;=9))*ROW('CASE MASTER'!$T$2:$T$495))-(ROW('CASE MASTER'!#REF!)-1)))+1)+(9-INDEX('CASE MASTER'!$AB$2:$AB$495,(SUMPRODUCT((('CASE MASTER'!$T$2:$T$495=13)*('CASE MASTER'!$AA$2:$AA$495&lt;=7)*('CASE MASTER'!$AC$2:$AC$495&gt;=7)*('CASE MASTER'!$AB$2:$AB$495&lt;=9)*('CASE MASTER'!$AD$2:$AD$495&gt;=9))*ROW('CASE MASTER'!$T$2:$T$495))-(ROW('CASE MASTER'!#REF!)-1))))+1)))-1)*50+1,50))&amp;"_"&amp;INDEX('CASE MASTER'!$Q$2:$Q$495,(SUMPRODUCT((('CASE MASTER'!$T$2:$T$495=13)*('CASE MASTER'!$AA$2:$AA$495&lt;=7)*('CASE MASTER'!$AC$2:$AC$495&gt;=7)*('CASE MASTER'!$AB$2:$AB$495&lt;=9)*('CASE MASTER'!$AD$2:$AD$495&gt;=9))*ROW('CASE MASTER'!$T$2:$T$495))-(ROW('CASE MASTER'!#REF!)-1))),"")),"")</f>
        <v/>
      </c>
      <c r="K177" s="10" t="str">
        <f>IFERROR(IF(SUMPRODUCT((('CASE MASTER'!$T$2:$T$495=13)*('CASE MASTER'!$U$2:$U$495&lt;=7)*('CASE MASTER'!$W$2:$W$495&gt;=7)*('CASE MASTER'!$V$2:$V$495&lt;=10)*('CASE MASTER'!$X$2:$X$495&gt;=10))*ROW('CASE MASTER'!$T$2:$T$495))&gt;0,INDEX('CASE MASTER'!$Y$2:$Y$495,(SUMPRODUCT((('CASE MASTER'!$T$2:$T$495=13)*('CASE MASTER'!$U$2:$U$495&lt;=7)*('CASE MASTER'!$W$2:$W$495&gt;=7)*('CASE MASTER'!$V$2:$V$495&lt;=10)*('CASE MASTER'!$X$2:$X$495&gt;=10))*ROW('CASE MASTER'!$T$2:$T$495))-(ROW('CASE MASTER'!#REF!)-1)))&amp;TRIM(MID(SUBSTITUTE(SUBSTITUTE(INDEX('CASE MASTER'!$N$2:$N$495,(SUMPRODUCT((('CASE MASTER'!$T$2:$T$495=13)*('CASE MASTER'!$U$2:$U$495&lt;=7)*('CASE MASTER'!$W$2:$W$495&gt;=7)*('CASE MASTER'!$V$2:$V$495&lt;=10)*('CASE MASTER'!$X$2:$X$495&gt;=10))*ROW('CASE MASTER'!$T$2:$T$495))-(ROW('CASE MASTER'!#REF!)-1))),":",","),",",REPT(" ",50)),((((7-INDEX('CASE MASTER'!$U$2:$U$495,(SUMPRODUCT((('CASE MASTER'!$T$2:$T$495=13)*('CASE MASTER'!$U$2:$U$495&lt;=7)*('CASE MASTER'!$W$2:$W$495&gt;=7)*('CASE MASTER'!$V$2:$V$495&lt;=10)*('CASE MASTER'!$X$2:$X$495&gt;=10))*ROW('CASE MASTER'!$T$2:$T$495))-(ROW('CASE MASTER'!#REF!)-1))))*(INDEX('CASE MASTER'!$X$2:$X$495,(SUMPRODUCT((('CASE MASTER'!$T$2:$T$495=13)*('CASE MASTER'!$U$2:$U$495&lt;=7)*('CASE MASTER'!$W$2:$W$495&gt;=7)*('CASE MASTER'!$V$2:$V$495&lt;=10)*('CASE MASTER'!$X$2:$X$495&gt;=10))*ROW('CASE MASTER'!$T$2:$T$495))-(ROW('CASE MASTER'!#REF!)-1)))-INDEX('CASE MASTER'!$V$2:$V$495,(SUMPRODUCT((('CASE MASTER'!$T$2:$T$495=13)*('CASE MASTER'!$U$2:$U$495&lt;=7)*('CASE MASTER'!$W$2:$W$495&gt;=7)*('CASE MASTER'!$V$2:$V$495&lt;=10)*('CASE MASTER'!$X$2:$X$495&gt;=10))*ROW('CASE MASTER'!$T$2:$T$495))-(ROW('CASE MASTER'!#REF!)-1)))+1)+(10-INDEX('CASE MASTER'!$V$2:$V$495,(SUMPRODUCT((('CASE MASTER'!$T$2:$T$495=13)*('CASE MASTER'!$U$2:$U$495&lt;=7)*('CASE MASTER'!$W$2:$W$495&gt;=7)*('CASE MASTER'!$V$2:$V$495&lt;=10)*('CASE MASTER'!$X$2:$X$495&gt;=10))*ROW('CASE MASTER'!$T$2:$T$495))-(ROW('CASE MASTER'!#REF!)-1))))+1))-1)*50+1,50))&amp;"_"&amp;INDEX('CASE MASTER'!$Q$2:$Q$495,(SUMPRODUCT((('CASE MASTER'!$T$2:$T$495=13)*('CASE MASTER'!$U$2:$U$495&lt;=7)*('CASE MASTER'!$W$2:$W$495&gt;=7)*('CASE MASTER'!$V$2:$V$495&lt;=10)*('CASE MASTER'!$X$2:$X$495&gt;=10))*ROW('CASE MASTER'!$T$2:$T$495))-(ROW('CASE MASTER'!#REF!)-1))),IF(SUMPRODUCT((('CASE MASTER'!$T$2:$T$495=13)*('CASE MASTER'!$AA$2:$AA$495&lt;=7)*('CASE MASTER'!$AC$2:$AC$495&gt;=7)*('CASE MASTER'!$AB$2:$AB$495&lt;=10)*('CASE MASTER'!$AD$2:$AD$495&gt;=10))*ROW('CASE MASTER'!$T$2:$T$495))&gt;0,INDEX('CASE MASTER'!$Y$2:$Y$495,(SUMPRODUCT((('CASE MASTER'!$T$2:$T$495=13)*('CASE MASTER'!$AA$2:$AA$495&lt;=7)*('CASE MASTER'!$AC$2:$AC$495&gt;=7)*('CASE MASTER'!$AB$2:$AB$495&lt;=10)*('CASE MASTER'!$AD$2:$AD$495&gt;=10))*ROW('CASE MASTER'!$T$2:$T$495))-(ROW('CASE MASTER'!#REF!)-1)))&amp;TRIM(MID(SUBSTITUTE(SUBSTITUTE(INDEX('CASE MASTER'!$N$2:$N$495,(SUMPRODUCT((('CASE MASTER'!$T$2:$T$495=13)*('CASE MASTER'!$AA$2:$AA$495&lt;=7)*('CASE MASTER'!$AC$2:$AC$495&gt;=7)*('CASE MASTER'!$AB$2:$AB$495&lt;=10)*('CASE MASTER'!$AD$2:$AD$495&gt;=10))*ROW('CASE MASTER'!$T$2:$T$495))-(ROW('CASE MASTER'!#REF!)-1))),":",","),",",REPT(" ",50)),(((INDEX('CASE MASTER'!$Z$2:$Z$495,(SUMPRODUCT((('CASE MASTER'!$T$2:$T$495=13)*('CASE MASTER'!$AA$2:$AA$495&lt;=7)*('CASE MASTER'!$AC$2:$AC$495&gt;=7)*('CASE MASTER'!$AB$2:$AB$495&lt;=10)*('CASE MASTER'!$AD$2:$AD$495&gt;=10))*ROW('CASE MASTER'!$T$2:$T$495))-(ROW('CASE MASTER'!#REF!)-1)))+((7-INDEX('CASE MASTER'!$AA$2:$AA$495,(SUMPRODUCT((('CASE MASTER'!$T$2:$T$495=13)*('CASE MASTER'!$AA$2:$AA$495&lt;=7)*('CASE MASTER'!$AC$2:$AC$495&gt;=7)*('CASE MASTER'!$AB$2:$AB$495&lt;=10)*('CASE MASTER'!$AD$2:$AD$495&gt;=10))*ROW('CASE MASTER'!$T$2:$T$495))-(ROW('CASE MASTER'!#REF!)-1))))*(INDEX('CASE MASTER'!$AD$2:$AD$495,(SUMPRODUCT((('CASE MASTER'!$T$2:$T$495=13)*('CASE MASTER'!$AA$2:$AA$495&lt;=7)*('CASE MASTER'!$AC$2:$AC$495&gt;=7)*('CASE MASTER'!$AB$2:$AB$495&lt;=10)*('CASE MASTER'!$AD$2:$AD$495&gt;=10))*ROW('CASE MASTER'!$T$2:$T$495))-(ROW('CASE MASTER'!#REF!)-1)))-INDEX('CASE MASTER'!$AB$2:$AB$495,(SUMPRODUCT((('CASE MASTER'!$T$2:$T$495=13)*('CASE MASTER'!$AA$2:$AA$495&lt;=7)*('CASE MASTER'!$AC$2:$AC$495&gt;=7)*('CASE MASTER'!$AB$2:$AB$495&lt;=10)*('CASE MASTER'!$AD$2:$AD$495&gt;=10))*ROW('CASE MASTER'!$T$2:$T$495))-(ROW('CASE MASTER'!#REF!)-1)))+1)+(10-INDEX('CASE MASTER'!$AB$2:$AB$495,(SUMPRODUCT((('CASE MASTER'!$T$2:$T$495=13)*('CASE MASTER'!$AA$2:$AA$495&lt;=7)*('CASE MASTER'!$AC$2:$AC$495&gt;=7)*('CASE MASTER'!$AB$2:$AB$495&lt;=10)*('CASE MASTER'!$AD$2:$AD$495&gt;=10))*ROW('CASE MASTER'!$T$2:$T$495))-(ROW('CASE MASTER'!#REF!)-1))))+1)))-1)*50+1,50))&amp;"_"&amp;INDEX('CASE MASTER'!$Q$2:$Q$495,(SUMPRODUCT((('CASE MASTER'!$T$2:$T$495=13)*('CASE MASTER'!$AA$2:$AA$495&lt;=7)*('CASE MASTER'!$AC$2:$AC$495&gt;=7)*('CASE MASTER'!$AB$2:$AB$495&lt;=10)*('CASE MASTER'!$AD$2:$AD$495&gt;=10))*ROW('CASE MASTER'!$T$2:$T$495))-(ROW('CASE MASTER'!#REF!)-1))),"")),"")</f>
        <v/>
      </c>
    </row>
    <row r="178" spans="1:11" ht="15" customHeight="1" x14ac:dyDescent="0.35">
      <c r="A178" s="8" t="s">
        <v>35</v>
      </c>
      <c r="B178" s="10" t="str">
        <f>IFERROR(IF(SUMPRODUCT((('CASE MASTER'!$T$2:$T$495=13)*('CASE MASTER'!$U$2:$U$495&lt;=8)*('CASE MASTER'!$W$2:$W$495&gt;=8)*('CASE MASTER'!$V$2:$V$495&lt;=1)*('CASE MASTER'!$X$2:$X$495&gt;=1))*ROW('CASE MASTER'!$T$2:$T$495))&gt;0,INDEX('CASE MASTER'!$Y$2:$Y$495,(SUMPRODUCT((('CASE MASTER'!$T$2:$T$495=13)*('CASE MASTER'!$U$2:$U$495&lt;=8)*('CASE MASTER'!$W$2:$W$495&gt;=8)*('CASE MASTER'!$V$2:$V$495&lt;=1)*('CASE MASTER'!$X$2:$X$495&gt;=1))*ROW('CASE MASTER'!$T$2:$T$495))-(ROW('CASE MASTER'!#REF!)-1)))&amp;TRIM(MID(SUBSTITUTE(SUBSTITUTE(INDEX('CASE MASTER'!$N$2:$N$495,(SUMPRODUCT((('CASE MASTER'!$T$2:$T$495=13)*('CASE MASTER'!$U$2:$U$495&lt;=8)*('CASE MASTER'!$W$2:$W$495&gt;=8)*('CASE MASTER'!$V$2:$V$495&lt;=1)*('CASE MASTER'!$X$2:$X$495&gt;=1))*ROW('CASE MASTER'!$T$2:$T$495))-(ROW('CASE MASTER'!#REF!)-1))),":",","),",",REPT(" ",50)),((((8-INDEX('CASE MASTER'!$U$2:$U$495,(SUMPRODUCT((('CASE MASTER'!$T$2:$T$495=13)*('CASE MASTER'!$U$2:$U$495&lt;=8)*('CASE MASTER'!$W$2:$W$495&gt;=8)*('CASE MASTER'!$V$2:$V$495&lt;=1)*('CASE MASTER'!$X$2:$X$495&gt;=1))*ROW('CASE MASTER'!$T$2:$T$495))-(ROW('CASE MASTER'!#REF!)-1))))*(INDEX('CASE MASTER'!$X$2:$X$495,(SUMPRODUCT((('CASE MASTER'!$T$2:$T$495=13)*('CASE MASTER'!$U$2:$U$495&lt;=8)*('CASE MASTER'!$W$2:$W$495&gt;=8)*('CASE MASTER'!$V$2:$V$495&lt;=1)*('CASE MASTER'!$X$2:$X$495&gt;=1))*ROW('CASE MASTER'!$T$2:$T$495))-(ROW('CASE MASTER'!#REF!)-1)))-INDEX('CASE MASTER'!$V$2:$V$495,(SUMPRODUCT((('CASE MASTER'!$T$2:$T$495=13)*('CASE MASTER'!$U$2:$U$495&lt;=8)*('CASE MASTER'!$W$2:$W$495&gt;=8)*('CASE MASTER'!$V$2:$V$495&lt;=1)*('CASE MASTER'!$X$2:$X$495&gt;=1))*ROW('CASE MASTER'!$T$2:$T$495))-(ROW('CASE MASTER'!#REF!)-1)))+1)+(1-INDEX('CASE MASTER'!$V$2:$V$495,(SUMPRODUCT((('CASE MASTER'!$T$2:$T$495=13)*('CASE MASTER'!$U$2:$U$495&lt;=8)*('CASE MASTER'!$W$2:$W$495&gt;=8)*('CASE MASTER'!$V$2:$V$495&lt;=1)*('CASE MASTER'!$X$2:$X$495&gt;=1))*ROW('CASE MASTER'!$T$2:$T$495))-(ROW('CASE MASTER'!#REF!)-1))))+1))-1)*50+1,50))&amp;"_"&amp;INDEX('CASE MASTER'!$Q$2:$Q$495,(SUMPRODUCT((('CASE MASTER'!$T$2:$T$495=13)*('CASE MASTER'!$U$2:$U$495&lt;=8)*('CASE MASTER'!$W$2:$W$495&gt;=8)*('CASE MASTER'!$V$2:$V$495&lt;=1)*('CASE MASTER'!$X$2:$X$495&gt;=1))*ROW('CASE MASTER'!$T$2:$T$495))-(ROW('CASE MASTER'!#REF!)-1))),IF(SUMPRODUCT((('CASE MASTER'!$T$2:$T$495=13)*('CASE MASTER'!$AA$2:$AA$495&lt;=8)*('CASE MASTER'!$AC$2:$AC$495&gt;=8)*('CASE MASTER'!$AB$2:$AB$495&lt;=1)*('CASE MASTER'!$AD$2:$AD$495&gt;=1))*ROW('CASE MASTER'!$T$2:$T$495))&gt;0,INDEX('CASE MASTER'!$Y$2:$Y$495,(SUMPRODUCT((('CASE MASTER'!$T$2:$T$495=13)*('CASE MASTER'!$AA$2:$AA$495&lt;=8)*('CASE MASTER'!$AC$2:$AC$495&gt;=8)*('CASE MASTER'!$AB$2:$AB$495&lt;=1)*('CASE MASTER'!$AD$2:$AD$495&gt;=1))*ROW('CASE MASTER'!$T$2:$T$495))-(ROW('CASE MASTER'!#REF!)-1)))&amp;TRIM(MID(SUBSTITUTE(SUBSTITUTE(INDEX('CASE MASTER'!$N$2:$N$495,(SUMPRODUCT((('CASE MASTER'!$T$2:$T$495=13)*('CASE MASTER'!$AA$2:$AA$495&lt;=8)*('CASE MASTER'!$AC$2:$AC$495&gt;=8)*('CASE MASTER'!$AB$2:$AB$495&lt;=1)*('CASE MASTER'!$AD$2:$AD$495&gt;=1))*ROW('CASE MASTER'!$T$2:$T$495))-(ROW('CASE MASTER'!#REF!)-1))),":",","),",",REPT(" ",50)),(((INDEX('CASE MASTER'!$Z$2:$Z$495,(SUMPRODUCT((('CASE MASTER'!$T$2:$T$495=13)*('CASE MASTER'!$AA$2:$AA$495&lt;=8)*('CASE MASTER'!$AC$2:$AC$495&gt;=8)*('CASE MASTER'!$AB$2:$AB$495&lt;=1)*('CASE MASTER'!$AD$2:$AD$495&gt;=1))*ROW('CASE MASTER'!$T$2:$T$495))-(ROW('CASE MASTER'!#REF!)-1)))+((8-INDEX('CASE MASTER'!$AA$2:$AA$495,(SUMPRODUCT((('CASE MASTER'!$T$2:$T$495=13)*('CASE MASTER'!$AA$2:$AA$495&lt;=8)*('CASE MASTER'!$AC$2:$AC$495&gt;=8)*('CASE MASTER'!$AB$2:$AB$495&lt;=1)*('CASE MASTER'!$AD$2:$AD$495&gt;=1))*ROW('CASE MASTER'!$T$2:$T$495))-(ROW('CASE MASTER'!#REF!)-1))))*(INDEX('CASE MASTER'!$AD$2:$AD$495,(SUMPRODUCT((('CASE MASTER'!$T$2:$T$495=13)*('CASE MASTER'!$AA$2:$AA$495&lt;=8)*('CASE MASTER'!$AC$2:$AC$495&gt;=8)*('CASE MASTER'!$AB$2:$AB$495&lt;=1)*('CASE MASTER'!$AD$2:$AD$495&gt;=1))*ROW('CASE MASTER'!$T$2:$T$495))-(ROW('CASE MASTER'!#REF!)-1)))-INDEX('CASE MASTER'!$AB$2:$AB$495,(SUMPRODUCT((('CASE MASTER'!$T$2:$T$495=13)*('CASE MASTER'!$AA$2:$AA$495&lt;=8)*('CASE MASTER'!$AC$2:$AC$495&gt;=8)*('CASE MASTER'!$AB$2:$AB$495&lt;=1)*('CASE MASTER'!$AD$2:$AD$495&gt;=1))*ROW('CASE MASTER'!$T$2:$T$495))-(ROW('CASE MASTER'!#REF!)-1)))+1)+(1-INDEX('CASE MASTER'!$AB$2:$AB$495,(SUMPRODUCT((('CASE MASTER'!$T$2:$T$495=13)*('CASE MASTER'!$AA$2:$AA$495&lt;=8)*('CASE MASTER'!$AC$2:$AC$495&gt;=8)*('CASE MASTER'!$AB$2:$AB$495&lt;=1)*('CASE MASTER'!$AD$2:$AD$495&gt;=1))*ROW('CASE MASTER'!$T$2:$T$495))-(ROW('CASE MASTER'!#REF!)-1))))+1)))-1)*50+1,50))&amp;"_"&amp;INDEX('CASE MASTER'!$Q$2:$Q$495,(SUMPRODUCT((('CASE MASTER'!$T$2:$T$495=13)*('CASE MASTER'!$AA$2:$AA$495&lt;=8)*('CASE MASTER'!$AC$2:$AC$495&gt;=8)*('CASE MASTER'!$AB$2:$AB$495&lt;=1)*('CASE MASTER'!$AD$2:$AD$495&gt;=1))*ROW('CASE MASTER'!$T$2:$T$495))-(ROW('CASE MASTER'!#REF!)-1))),"")),"")</f>
        <v/>
      </c>
      <c r="C178" s="10" t="str">
        <f>IFERROR(IF(SUMPRODUCT((('CASE MASTER'!$T$2:$T$495=13)*('CASE MASTER'!$U$2:$U$495&lt;=8)*('CASE MASTER'!$W$2:$W$495&gt;=8)*('CASE MASTER'!$V$2:$V$495&lt;=2)*('CASE MASTER'!$X$2:$X$495&gt;=2))*ROW('CASE MASTER'!$T$2:$T$495))&gt;0,INDEX('CASE MASTER'!$Y$2:$Y$495,(SUMPRODUCT((('CASE MASTER'!$T$2:$T$495=13)*('CASE MASTER'!$U$2:$U$495&lt;=8)*('CASE MASTER'!$W$2:$W$495&gt;=8)*('CASE MASTER'!$V$2:$V$495&lt;=2)*('CASE MASTER'!$X$2:$X$495&gt;=2))*ROW('CASE MASTER'!$T$2:$T$495))-(ROW('CASE MASTER'!#REF!)-1)))&amp;TRIM(MID(SUBSTITUTE(SUBSTITUTE(INDEX('CASE MASTER'!$N$2:$N$495,(SUMPRODUCT((('CASE MASTER'!$T$2:$T$495=13)*('CASE MASTER'!$U$2:$U$495&lt;=8)*('CASE MASTER'!$W$2:$W$495&gt;=8)*('CASE MASTER'!$V$2:$V$495&lt;=2)*('CASE MASTER'!$X$2:$X$495&gt;=2))*ROW('CASE MASTER'!$T$2:$T$495))-(ROW('CASE MASTER'!#REF!)-1))),":",","),",",REPT(" ",50)),((((8-INDEX('CASE MASTER'!$U$2:$U$495,(SUMPRODUCT((('CASE MASTER'!$T$2:$T$495=13)*('CASE MASTER'!$U$2:$U$495&lt;=8)*('CASE MASTER'!$W$2:$W$495&gt;=8)*('CASE MASTER'!$V$2:$V$495&lt;=2)*('CASE MASTER'!$X$2:$X$495&gt;=2))*ROW('CASE MASTER'!$T$2:$T$495))-(ROW('CASE MASTER'!#REF!)-1))))*(INDEX('CASE MASTER'!$X$2:$X$495,(SUMPRODUCT((('CASE MASTER'!$T$2:$T$495=13)*('CASE MASTER'!$U$2:$U$495&lt;=8)*('CASE MASTER'!$W$2:$W$495&gt;=8)*('CASE MASTER'!$V$2:$V$495&lt;=2)*('CASE MASTER'!$X$2:$X$495&gt;=2))*ROW('CASE MASTER'!$T$2:$T$495))-(ROW('CASE MASTER'!#REF!)-1)))-INDEX('CASE MASTER'!$V$2:$V$495,(SUMPRODUCT((('CASE MASTER'!$T$2:$T$495=13)*('CASE MASTER'!$U$2:$U$495&lt;=8)*('CASE MASTER'!$W$2:$W$495&gt;=8)*('CASE MASTER'!$V$2:$V$495&lt;=2)*('CASE MASTER'!$X$2:$X$495&gt;=2))*ROW('CASE MASTER'!$T$2:$T$495))-(ROW('CASE MASTER'!#REF!)-1)))+1)+(2-INDEX('CASE MASTER'!$V$2:$V$495,(SUMPRODUCT((('CASE MASTER'!$T$2:$T$495=13)*('CASE MASTER'!$U$2:$U$495&lt;=8)*('CASE MASTER'!$W$2:$W$495&gt;=8)*('CASE MASTER'!$V$2:$V$495&lt;=2)*('CASE MASTER'!$X$2:$X$495&gt;=2))*ROW('CASE MASTER'!$T$2:$T$495))-(ROW('CASE MASTER'!#REF!)-1))))+1))-1)*50+1,50))&amp;"_"&amp;INDEX('CASE MASTER'!$Q$2:$Q$495,(SUMPRODUCT((('CASE MASTER'!$T$2:$T$495=13)*('CASE MASTER'!$U$2:$U$495&lt;=8)*('CASE MASTER'!$W$2:$W$495&gt;=8)*('CASE MASTER'!$V$2:$V$495&lt;=2)*('CASE MASTER'!$X$2:$X$495&gt;=2))*ROW('CASE MASTER'!$T$2:$T$495))-(ROW('CASE MASTER'!#REF!)-1))),IF(SUMPRODUCT((('CASE MASTER'!$T$2:$T$495=13)*('CASE MASTER'!$AA$2:$AA$495&lt;=8)*('CASE MASTER'!$AC$2:$AC$495&gt;=8)*('CASE MASTER'!$AB$2:$AB$495&lt;=2)*('CASE MASTER'!$AD$2:$AD$495&gt;=2))*ROW('CASE MASTER'!$T$2:$T$495))&gt;0,INDEX('CASE MASTER'!$Y$2:$Y$495,(SUMPRODUCT((('CASE MASTER'!$T$2:$T$495=13)*('CASE MASTER'!$AA$2:$AA$495&lt;=8)*('CASE MASTER'!$AC$2:$AC$495&gt;=8)*('CASE MASTER'!$AB$2:$AB$495&lt;=2)*('CASE MASTER'!$AD$2:$AD$495&gt;=2))*ROW('CASE MASTER'!$T$2:$T$495))-(ROW('CASE MASTER'!#REF!)-1)))&amp;TRIM(MID(SUBSTITUTE(SUBSTITUTE(INDEX('CASE MASTER'!$N$2:$N$495,(SUMPRODUCT((('CASE MASTER'!$T$2:$T$495=13)*('CASE MASTER'!$AA$2:$AA$495&lt;=8)*('CASE MASTER'!$AC$2:$AC$495&gt;=8)*('CASE MASTER'!$AB$2:$AB$495&lt;=2)*('CASE MASTER'!$AD$2:$AD$495&gt;=2))*ROW('CASE MASTER'!$T$2:$T$495))-(ROW('CASE MASTER'!#REF!)-1))),":",","),",",REPT(" ",50)),(((INDEX('CASE MASTER'!$Z$2:$Z$495,(SUMPRODUCT((('CASE MASTER'!$T$2:$T$495=13)*('CASE MASTER'!$AA$2:$AA$495&lt;=8)*('CASE MASTER'!$AC$2:$AC$495&gt;=8)*('CASE MASTER'!$AB$2:$AB$495&lt;=2)*('CASE MASTER'!$AD$2:$AD$495&gt;=2))*ROW('CASE MASTER'!$T$2:$T$495))-(ROW('CASE MASTER'!#REF!)-1)))+((8-INDEX('CASE MASTER'!$AA$2:$AA$495,(SUMPRODUCT((('CASE MASTER'!$T$2:$T$495=13)*('CASE MASTER'!$AA$2:$AA$495&lt;=8)*('CASE MASTER'!$AC$2:$AC$495&gt;=8)*('CASE MASTER'!$AB$2:$AB$495&lt;=2)*('CASE MASTER'!$AD$2:$AD$495&gt;=2))*ROW('CASE MASTER'!$T$2:$T$495))-(ROW('CASE MASTER'!#REF!)-1))))*(INDEX('CASE MASTER'!$AD$2:$AD$495,(SUMPRODUCT((('CASE MASTER'!$T$2:$T$495=13)*('CASE MASTER'!$AA$2:$AA$495&lt;=8)*('CASE MASTER'!$AC$2:$AC$495&gt;=8)*('CASE MASTER'!$AB$2:$AB$495&lt;=2)*('CASE MASTER'!$AD$2:$AD$495&gt;=2))*ROW('CASE MASTER'!$T$2:$T$495))-(ROW('CASE MASTER'!#REF!)-1)))-INDEX('CASE MASTER'!$AB$2:$AB$495,(SUMPRODUCT((('CASE MASTER'!$T$2:$T$495=13)*('CASE MASTER'!$AA$2:$AA$495&lt;=8)*('CASE MASTER'!$AC$2:$AC$495&gt;=8)*('CASE MASTER'!$AB$2:$AB$495&lt;=2)*('CASE MASTER'!$AD$2:$AD$495&gt;=2))*ROW('CASE MASTER'!$T$2:$T$495))-(ROW('CASE MASTER'!#REF!)-1)))+1)+(2-INDEX('CASE MASTER'!$AB$2:$AB$495,(SUMPRODUCT((('CASE MASTER'!$T$2:$T$495=13)*('CASE MASTER'!$AA$2:$AA$495&lt;=8)*('CASE MASTER'!$AC$2:$AC$495&gt;=8)*('CASE MASTER'!$AB$2:$AB$495&lt;=2)*('CASE MASTER'!$AD$2:$AD$495&gt;=2))*ROW('CASE MASTER'!$T$2:$T$495))-(ROW('CASE MASTER'!#REF!)-1))))+1)))-1)*50+1,50))&amp;"_"&amp;INDEX('CASE MASTER'!$Q$2:$Q$495,(SUMPRODUCT((('CASE MASTER'!$T$2:$T$495=13)*('CASE MASTER'!$AA$2:$AA$495&lt;=8)*('CASE MASTER'!$AC$2:$AC$495&gt;=8)*('CASE MASTER'!$AB$2:$AB$495&lt;=2)*('CASE MASTER'!$AD$2:$AD$495&gt;=2))*ROW('CASE MASTER'!$T$2:$T$495))-(ROW('CASE MASTER'!#REF!)-1))),"")),"")</f>
        <v/>
      </c>
      <c r="D178" s="10" t="str">
        <f>IFERROR(IF(SUMPRODUCT((('CASE MASTER'!$T$2:$T$495=13)*('CASE MASTER'!$U$2:$U$495&lt;=8)*('CASE MASTER'!$W$2:$W$495&gt;=8)*('CASE MASTER'!$V$2:$V$495&lt;=3)*('CASE MASTER'!$X$2:$X$495&gt;=3))*ROW('CASE MASTER'!$T$2:$T$495))&gt;0,INDEX('CASE MASTER'!$Y$2:$Y$495,(SUMPRODUCT((('CASE MASTER'!$T$2:$T$495=13)*('CASE MASTER'!$U$2:$U$495&lt;=8)*('CASE MASTER'!$W$2:$W$495&gt;=8)*('CASE MASTER'!$V$2:$V$495&lt;=3)*('CASE MASTER'!$X$2:$X$495&gt;=3))*ROW('CASE MASTER'!$T$2:$T$495))-(ROW('CASE MASTER'!#REF!)-1)))&amp;TRIM(MID(SUBSTITUTE(SUBSTITUTE(INDEX('CASE MASTER'!$N$2:$N$495,(SUMPRODUCT((('CASE MASTER'!$T$2:$T$495=13)*('CASE MASTER'!$U$2:$U$495&lt;=8)*('CASE MASTER'!$W$2:$W$495&gt;=8)*('CASE MASTER'!$V$2:$V$495&lt;=3)*('CASE MASTER'!$X$2:$X$495&gt;=3))*ROW('CASE MASTER'!$T$2:$T$495))-(ROW('CASE MASTER'!#REF!)-1))),":",","),",",REPT(" ",50)),((((8-INDEX('CASE MASTER'!$U$2:$U$495,(SUMPRODUCT((('CASE MASTER'!$T$2:$T$495=13)*('CASE MASTER'!$U$2:$U$495&lt;=8)*('CASE MASTER'!$W$2:$W$495&gt;=8)*('CASE MASTER'!$V$2:$V$495&lt;=3)*('CASE MASTER'!$X$2:$X$495&gt;=3))*ROW('CASE MASTER'!$T$2:$T$495))-(ROW('CASE MASTER'!#REF!)-1))))*(INDEX('CASE MASTER'!$X$2:$X$495,(SUMPRODUCT((('CASE MASTER'!$T$2:$T$495=13)*('CASE MASTER'!$U$2:$U$495&lt;=8)*('CASE MASTER'!$W$2:$W$495&gt;=8)*('CASE MASTER'!$V$2:$V$495&lt;=3)*('CASE MASTER'!$X$2:$X$495&gt;=3))*ROW('CASE MASTER'!$T$2:$T$495))-(ROW('CASE MASTER'!#REF!)-1)))-INDEX('CASE MASTER'!$V$2:$V$495,(SUMPRODUCT((('CASE MASTER'!$T$2:$T$495=13)*('CASE MASTER'!$U$2:$U$495&lt;=8)*('CASE MASTER'!$W$2:$W$495&gt;=8)*('CASE MASTER'!$V$2:$V$495&lt;=3)*('CASE MASTER'!$X$2:$X$495&gt;=3))*ROW('CASE MASTER'!$T$2:$T$495))-(ROW('CASE MASTER'!#REF!)-1)))+1)+(3-INDEX('CASE MASTER'!$V$2:$V$495,(SUMPRODUCT((('CASE MASTER'!$T$2:$T$495=13)*('CASE MASTER'!$U$2:$U$495&lt;=8)*('CASE MASTER'!$W$2:$W$495&gt;=8)*('CASE MASTER'!$V$2:$V$495&lt;=3)*('CASE MASTER'!$X$2:$X$495&gt;=3))*ROW('CASE MASTER'!$T$2:$T$495))-(ROW('CASE MASTER'!#REF!)-1))))+1))-1)*50+1,50))&amp;"_"&amp;INDEX('CASE MASTER'!$Q$2:$Q$495,(SUMPRODUCT((('CASE MASTER'!$T$2:$T$495=13)*('CASE MASTER'!$U$2:$U$495&lt;=8)*('CASE MASTER'!$W$2:$W$495&gt;=8)*('CASE MASTER'!$V$2:$V$495&lt;=3)*('CASE MASTER'!$X$2:$X$495&gt;=3))*ROW('CASE MASTER'!$T$2:$T$495))-(ROW('CASE MASTER'!#REF!)-1))),IF(SUMPRODUCT((('CASE MASTER'!$T$2:$T$495=13)*('CASE MASTER'!$AA$2:$AA$495&lt;=8)*('CASE MASTER'!$AC$2:$AC$495&gt;=8)*('CASE MASTER'!$AB$2:$AB$495&lt;=3)*('CASE MASTER'!$AD$2:$AD$495&gt;=3))*ROW('CASE MASTER'!$T$2:$T$495))&gt;0,INDEX('CASE MASTER'!$Y$2:$Y$495,(SUMPRODUCT((('CASE MASTER'!$T$2:$T$495=13)*('CASE MASTER'!$AA$2:$AA$495&lt;=8)*('CASE MASTER'!$AC$2:$AC$495&gt;=8)*('CASE MASTER'!$AB$2:$AB$495&lt;=3)*('CASE MASTER'!$AD$2:$AD$495&gt;=3))*ROW('CASE MASTER'!$T$2:$T$495))-(ROW('CASE MASTER'!#REF!)-1)))&amp;TRIM(MID(SUBSTITUTE(SUBSTITUTE(INDEX('CASE MASTER'!$N$2:$N$495,(SUMPRODUCT((('CASE MASTER'!$T$2:$T$495=13)*('CASE MASTER'!$AA$2:$AA$495&lt;=8)*('CASE MASTER'!$AC$2:$AC$495&gt;=8)*('CASE MASTER'!$AB$2:$AB$495&lt;=3)*('CASE MASTER'!$AD$2:$AD$495&gt;=3))*ROW('CASE MASTER'!$T$2:$T$495))-(ROW('CASE MASTER'!#REF!)-1))),":",","),",",REPT(" ",50)),(((INDEX('CASE MASTER'!$Z$2:$Z$495,(SUMPRODUCT((('CASE MASTER'!$T$2:$T$495=13)*('CASE MASTER'!$AA$2:$AA$495&lt;=8)*('CASE MASTER'!$AC$2:$AC$495&gt;=8)*('CASE MASTER'!$AB$2:$AB$495&lt;=3)*('CASE MASTER'!$AD$2:$AD$495&gt;=3))*ROW('CASE MASTER'!$T$2:$T$495))-(ROW('CASE MASTER'!#REF!)-1)))+((8-INDEX('CASE MASTER'!$AA$2:$AA$495,(SUMPRODUCT((('CASE MASTER'!$T$2:$T$495=13)*('CASE MASTER'!$AA$2:$AA$495&lt;=8)*('CASE MASTER'!$AC$2:$AC$495&gt;=8)*('CASE MASTER'!$AB$2:$AB$495&lt;=3)*('CASE MASTER'!$AD$2:$AD$495&gt;=3))*ROW('CASE MASTER'!$T$2:$T$495))-(ROW('CASE MASTER'!#REF!)-1))))*(INDEX('CASE MASTER'!$AD$2:$AD$495,(SUMPRODUCT((('CASE MASTER'!$T$2:$T$495=13)*('CASE MASTER'!$AA$2:$AA$495&lt;=8)*('CASE MASTER'!$AC$2:$AC$495&gt;=8)*('CASE MASTER'!$AB$2:$AB$495&lt;=3)*('CASE MASTER'!$AD$2:$AD$495&gt;=3))*ROW('CASE MASTER'!$T$2:$T$495))-(ROW('CASE MASTER'!#REF!)-1)))-INDEX('CASE MASTER'!$AB$2:$AB$495,(SUMPRODUCT((('CASE MASTER'!$T$2:$T$495=13)*('CASE MASTER'!$AA$2:$AA$495&lt;=8)*('CASE MASTER'!$AC$2:$AC$495&gt;=8)*('CASE MASTER'!$AB$2:$AB$495&lt;=3)*('CASE MASTER'!$AD$2:$AD$495&gt;=3))*ROW('CASE MASTER'!$T$2:$T$495))-(ROW('CASE MASTER'!#REF!)-1)))+1)+(3-INDEX('CASE MASTER'!$AB$2:$AB$495,(SUMPRODUCT((('CASE MASTER'!$T$2:$T$495=13)*('CASE MASTER'!$AA$2:$AA$495&lt;=8)*('CASE MASTER'!$AC$2:$AC$495&gt;=8)*('CASE MASTER'!$AB$2:$AB$495&lt;=3)*('CASE MASTER'!$AD$2:$AD$495&gt;=3))*ROW('CASE MASTER'!$T$2:$T$495))-(ROW('CASE MASTER'!#REF!)-1))))+1)))-1)*50+1,50))&amp;"_"&amp;INDEX('CASE MASTER'!$Q$2:$Q$495,(SUMPRODUCT((('CASE MASTER'!$T$2:$T$495=13)*('CASE MASTER'!$AA$2:$AA$495&lt;=8)*('CASE MASTER'!$AC$2:$AC$495&gt;=8)*('CASE MASTER'!$AB$2:$AB$495&lt;=3)*('CASE MASTER'!$AD$2:$AD$495&gt;=3))*ROW('CASE MASTER'!$T$2:$T$495))-(ROW('CASE MASTER'!#REF!)-1))),"")),"")</f>
        <v/>
      </c>
      <c r="E178" s="10" t="str">
        <f>IFERROR(IF(SUMPRODUCT((('CASE MASTER'!$T$2:$T$495=13)*('CASE MASTER'!$U$2:$U$495&lt;=8)*('CASE MASTER'!$W$2:$W$495&gt;=8)*('CASE MASTER'!$V$2:$V$495&lt;=4)*('CASE MASTER'!$X$2:$X$495&gt;=4))*ROW('CASE MASTER'!$T$2:$T$495))&gt;0,INDEX('CASE MASTER'!$Y$2:$Y$495,(SUMPRODUCT((('CASE MASTER'!$T$2:$T$495=13)*('CASE MASTER'!$U$2:$U$495&lt;=8)*('CASE MASTER'!$W$2:$W$495&gt;=8)*('CASE MASTER'!$V$2:$V$495&lt;=4)*('CASE MASTER'!$X$2:$X$495&gt;=4))*ROW('CASE MASTER'!$T$2:$T$495))-(ROW('CASE MASTER'!#REF!)-1)))&amp;TRIM(MID(SUBSTITUTE(SUBSTITUTE(INDEX('CASE MASTER'!$N$2:$N$495,(SUMPRODUCT((('CASE MASTER'!$T$2:$T$495=13)*('CASE MASTER'!$U$2:$U$495&lt;=8)*('CASE MASTER'!$W$2:$W$495&gt;=8)*('CASE MASTER'!$V$2:$V$495&lt;=4)*('CASE MASTER'!$X$2:$X$495&gt;=4))*ROW('CASE MASTER'!$T$2:$T$495))-(ROW('CASE MASTER'!#REF!)-1))),":",","),",",REPT(" ",50)),((((8-INDEX('CASE MASTER'!$U$2:$U$495,(SUMPRODUCT((('CASE MASTER'!$T$2:$T$495=13)*('CASE MASTER'!$U$2:$U$495&lt;=8)*('CASE MASTER'!$W$2:$W$495&gt;=8)*('CASE MASTER'!$V$2:$V$495&lt;=4)*('CASE MASTER'!$X$2:$X$495&gt;=4))*ROW('CASE MASTER'!$T$2:$T$495))-(ROW('CASE MASTER'!#REF!)-1))))*(INDEX('CASE MASTER'!$X$2:$X$495,(SUMPRODUCT((('CASE MASTER'!$T$2:$T$495=13)*('CASE MASTER'!$U$2:$U$495&lt;=8)*('CASE MASTER'!$W$2:$W$495&gt;=8)*('CASE MASTER'!$V$2:$V$495&lt;=4)*('CASE MASTER'!$X$2:$X$495&gt;=4))*ROW('CASE MASTER'!$T$2:$T$495))-(ROW('CASE MASTER'!#REF!)-1)))-INDEX('CASE MASTER'!$V$2:$V$495,(SUMPRODUCT((('CASE MASTER'!$T$2:$T$495=13)*('CASE MASTER'!$U$2:$U$495&lt;=8)*('CASE MASTER'!$W$2:$W$495&gt;=8)*('CASE MASTER'!$V$2:$V$495&lt;=4)*('CASE MASTER'!$X$2:$X$495&gt;=4))*ROW('CASE MASTER'!$T$2:$T$495))-(ROW('CASE MASTER'!#REF!)-1)))+1)+(4-INDEX('CASE MASTER'!$V$2:$V$495,(SUMPRODUCT((('CASE MASTER'!$T$2:$T$495=13)*('CASE MASTER'!$U$2:$U$495&lt;=8)*('CASE MASTER'!$W$2:$W$495&gt;=8)*('CASE MASTER'!$V$2:$V$495&lt;=4)*('CASE MASTER'!$X$2:$X$495&gt;=4))*ROW('CASE MASTER'!$T$2:$T$495))-(ROW('CASE MASTER'!#REF!)-1))))+1))-1)*50+1,50))&amp;"_"&amp;INDEX('CASE MASTER'!$Q$2:$Q$495,(SUMPRODUCT((('CASE MASTER'!$T$2:$T$495=13)*('CASE MASTER'!$U$2:$U$495&lt;=8)*('CASE MASTER'!$W$2:$W$495&gt;=8)*('CASE MASTER'!$V$2:$V$495&lt;=4)*('CASE MASTER'!$X$2:$X$495&gt;=4))*ROW('CASE MASTER'!$T$2:$T$495))-(ROW('CASE MASTER'!#REF!)-1))),IF(SUMPRODUCT((('CASE MASTER'!$T$2:$T$495=13)*('CASE MASTER'!$AA$2:$AA$495&lt;=8)*('CASE MASTER'!$AC$2:$AC$495&gt;=8)*('CASE MASTER'!$AB$2:$AB$495&lt;=4)*('CASE MASTER'!$AD$2:$AD$495&gt;=4))*ROW('CASE MASTER'!$T$2:$T$495))&gt;0,INDEX('CASE MASTER'!$Y$2:$Y$495,(SUMPRODUCT((('CASE MASTER'!$T$2:$T$495=13)*('CASE MASTER'!$AA$2:$AA$495&lt;=8)*('CASE MASTER'!$AC$2:$AC$495&gt;=8)*('CASE MASTER'!$AB$2:$AB$495&lt;=4)*('CASE MASTER'!$AD$2:$AD$495&gt;=4))*ROW('CASE MASTER'!$T$2:$T$495))-(ROW('CASE MASTER'!#REF!)-1)))&amp;TRIM(MID(SUBSTITUTE(SUBSTITUTE(INDEX('CASE MASTER'!$N$2:$N$495,(SUMPRODUCT((('CASE MASTER'!$T$2:$T$495=13)*('CASE MASTER'!$AA$2:$AA$495&lt;=8)*('CASE MASTER'!$AC$2:$AC$495&gt;=8)*('CASE MASTER'!$AB$2:$AB$495&lt;=4)*('CASE MASTER'!$AD$2:$AD$495&gt;=4))*ROW('CASE MASTER'!$T$2:$T$495))-(ROW('CASE MASTER'!#REF!)-1))),":",","),",",REPT(" ",50)),(((INDEX('CASE MASTER'!$Z$2:$Z$495,(SUMPRODUCT((('CASE MASTER'!$T$2:$T$495=13)*('CASE MASTER'!$AA$2:$AA$495&lt;=8)*('CASE MASTER'!$AC$2:$AC$495&gt;=8)*('CASE MASTER'!$AB$2:$AB$495&lt;=4)*('CASE MASTER'!$AD$2:$AD$495&gt;=4))*ROW('CASE MASTER'!$T$2:$T$495))-(ROW('CASE MASTER'!#REF!)-1)))+((8-INDEX('CASE MASTER'!$AA$2:$AA$495,(SUMPRODUCT((('CASE MASTER'!$T$2:$T$495=13)*('CASE MASTER'!$AA$2:$AA$495&lt;=8)*('CASE MASTER'!$AC$2:$AC$495&gt;=8)*('CASE MASTER'!$AB$2:$AB$495&lt;=4)*('CASE MASTER'!$AD$2:$AD$495&gt;=4))*ROW('CASE MASTER'!$T$2:$T$495))-(ROW('CASE MASTER'!#REF!)-1))))*(INDEX('CASE MASTER'!$AD$2:$AD$495,(SUMPRODUCT((('CASE MASTER'!$T$2:$T$495=13)*('CASE MASTER'!$AA$2:$AA$495&lt;=8)*('CASE MASTER'!$AC$2:$AC$495&gt;=8)*('CASE MASTER'!$AB$2:$AB$495&lt;=4)*('CASE MASTER'!$AD$2:$AD$495&gt;=4))*ROW('CASE MASTER'!$T$2:$T$495))-(ROW('CASE MASTER'!#REF!)-1)))-INDEX('CASE MASTER'!$AB$2:$AB$495,(SUMPRODUCT((('CASE MASTER'!$T$2:$T$495=13)*('CASE MASTER'!$AA$2:$AA$495&lt;=8)*('CASE MASTER'!$AC$2:$AC$495&gt;=8)*('CASE MASTER'!$AB$2:$AB$495&lt;=4)*('CASE MASTER'!$AD$2:$AD$495&gt;=4))*ROW('CASE MASTER'!$T$2:$T$495))-(ROW('CASE MASTER'!#REF!)-1)))+1)+(4-INDEX('CASE MASTER'!$AB$2:$AB$495,(SUMPRODUCT((('CASE MASTER'!$T$2:$T$495=13)*('CASE MASTER'!$AA$2:$AA$495&lt;=8)*('CASE MASTER'!$AC$2:$AC$495&gt;=8)*('CASE MASTER'!$AB$2:$AB$495&lt;=4)*('CASE MASTER'!$AD$2:$AD$495&gt;=4))*ROW('CASE MASTER'!$T$2:$T$495))-(ROW('CASE MASTER'!#REF!)-1))))+1)))-1)*50+1,50))&amp;"_"&amp;INDEX('CASE MASTER'!$Q$2:$Q$495,(SUMPRODUCT((('CASE MASTER'!$T$2:$T$495=13)*('CASE MASTER'!$AA$2:$AA$495&lt;=8)*('CASE MASTER'!$AC$2:$AC$495&gt;=8)*('CASE MASTER'!$AB$2:$AB$495&lt;=4)*('CASE MASTER'!$AD$2:$AD$495&gt;=4))*ROW('CASE MASTER'!$T$2:$T$495))-(ROW('CASE MASTER'!#REF!)-1))),"")),"")</f>
        <v/>
      </c>
      <c r="F178" s="10" t="str">
        <f>IFERROR(IF(SUMPRODUCT((('CASE MASTER'!$T$2:$T$495=13)*('CASE MASTER'!$U$2:$U$495&lt;=8)*('CASE MASTER'!$W$2:$W$495&gt;=8)*('CASE MASTER'!$V$2:$V$495&lt;=5)*('CASE MASTER'!$X$2:$X$495&gt;=5))*ROW('CASE MASTER'!$T$2:$T$495))&gt;0,INDEX('CASE MASTER'!$Y$2:$Y$495,(SUMPRODUCT((('CASE MASTER'!$T$2:$T$495=13)*('CASE MASTER'!$U$2:$U$495&lt;=8)*('CASE MASTER'!$W$2:$W$495&gt;=8)*('CASE MASTER'!$V$2:$V$495&lt;=5)*('CASE MASTER'!$X$2:$X$495&gt;=5))*ROW('CASE MASTER'!$T$2:$T$495))-(ROW('CASE MASTER'!#REF!)-1)))&amp;TRIM(MID(SUBSTITUTE(SUBSTITUTE(INDEX('CASE MASTER'!$N$2:$N$495,(SUMPRODUCT((('CASE MASTER'!$T$2:$T$495=13)*('CASE MASTER'!$U$2:$U$495&lt;=8)*('CASE MASTER'!$W$2:$W$495&gt;=8)*('CASE MASTER'!$V$2:$V$495&lt;=5)*('CASE MASTER'!$X$2:$X$495&gt;=5))*ROW('CASE MASTER'!$T$2:$T$495))-(ROW('CASE MASTER'!#REF!)-1))),":",","),",",REPT(" ",50)),((((8-INDEX('CASE MASTER'!$U$2:$U$495,(SUMPRODUCT((('CASE MASTER'!$T$2:$T$495=13)*('CASE MASTER'!$U$2:$U$495&lt;=8)*('CASE MASTER'!$W$2:$W$495&gt;=8)*('CASE MASTER'!$V$2:$V$495&lt;=5)*('CASE MASTER'!$X$2:$X$495&gt;=5))*ROW('CASE MASTER'!$T$2:$T$495))-(ROW('CASE MASTER'!#REF!)-1))))*(INDEX('CASE MASTER'!$X$2:$X$495,(SUMPRODUCT((('CASE MASTER'!$T$2:$T$495=13)*('CASE MASTER'!$U$2:$U$495&lt;=8)*('CASE MASTER'!$W$2:$W$495&gt;=8)*('CASE MASTER'!$V$2:$V$495&lt;=5)*('CASE MASTER'!$X$2:$X$495&gt;=5))*ROW('CASE MASTER'!$T$2:$T$495))-(ROW('CASE MASTER'!#REF!)-1)))-INDEX('CASE MASTER'!$V$2:$V$495,(SUMPRODUCT((('CASE MASTER'!$T$2:$T$495=13)*('CASE MASTER'!$U$2:$U$495&lt;=8)*('CASE MASTER'!$W$2:$W$495&gt;=8)*('CASE MASTER'!$V$2:$V$495&lt;=5)*('CASE MASTER'!$X$2:$X$495&gt;=5))*ROW('CASE MASTER'!$T$2:$T$495))-(ROW('CASE MASTER'!#REF!)-1)))+1)+(5-INDEX('CASE MASTER'!$V$2:$V$495,(SUMPRODUCT((('CASE MASTER'!$T$2:$T$495=13)*('CASE MASTER'!$U$2:$U$495&lt;=8)*('CASE MASTER'!$W$2:$W$495&gt;=8)*('CASE MASTER'!$V$2:$V$495&lt;=5)*('CASE MASTER'!$X$2:$X$495&gt;=5))*ROW('CASE MASTER'!$T$2:$T$495))-(ROW('CASE MASTER'!#REF!)-1))))+1))-1)*50+1,50))&amp;"_"&amp;INDEX('CASE MASTER'!$Q$2:$Q$495,(SUMPRODUCT((('CASE MASTER'!$T$2:$T$495=13)*('CASE MASTER'!$U$2:$U$495&lt;=8)*('CASE MASTER'!$W$2:$W$495&gt;=8)*('CASE MASTER'!$V$2:$V$495&lt;=5)*('CASE MASTER'!$X$2:$X$495&gt;=5))*ROW('CASE MASTER'!$T$2:$T$495))-(ROW('CASE MASTER'!#REF!)-1))),IF(SUMPRODUCT((('CASE MASTER'!$T$2:$T$495=13)*('CASE MASTER'!$AA$2:$AA$495&lt;=8)*('CASE MASTER'!$AC$2:$AC$495&gt;=8)*('CASE MASTER'!$AB$2:$AB$495&lt;=5)*('CASE MASTER'!$AD$2:$AD$495&gt;=5))*ROW('CASE MASTER'!$T$2:$T$495))&gt;0,INDEX('CASE MASTER'!$Y$2:$Y$495,(SUMPRODUCT((('CASE MASTER'!$T$2:$T$495=13)*('CASE MASTER'!$AA$2:$AA$495&lt;=8)*('CASE MASTER'!$AC$2:$AC$495&gt;=8)*('CASE MASTER'!$AB$2:$AB$495&lt;=5)*('CASE MASTER'!$AD$2:$AD$495&gt;=5))*ROW('CASE MASTER'!$T$2:$T$495))-(ROW('CASE MASTER'!#REF!)-1)))&amp;TRIM(MID(SUBSTITUTE(SUBSTITUTE(INDEX('CASE MASTER'!$N$2:$N$495,(SUMPRODUCT((('CASE MASTER'!$T$2:$T$495=13)*('CASE MASTER'!$AA$2:$AA$495&lt;=8)*('CASE MASTER'!$AC$2:$AC$495&gt;=8)*('CASE MASTER'!$AB$2:$AB$495&lt;=5)*('CASE MASTER'!$AD$2:$AD$495&gt;=5))*ROW('CASE MASTER'!$T$2:$T$495))-(ROW('CASE MASTER'!#REF!)-1))),":",","),",",REPT(" ",50)),(((INDEX('CASE MASTER'!$Z$2:$Z$495,(SUMPRODUCT((('CASE MASTER'!$T$2:$T$495=13)*('CASE MASTER'!$AA$2:$AA$495&lt;=8)*('CASE MASTER'!$AC$2:$AC$495&gt;=8)*('CASE MASTER'!$AB$2:$AB$495&lt;=5)*('CASE MASTER'!$AD$2:$AD$495&gt;=5))*ROW('CASE MASTER'!$T$2:$T$495))-(ROW('CASE MASTER'!#REF!)-1)))+((8-INDEX('CASE MASTER'!$AA$2:$AA$495,(SUMPRODUCT((('CASE MASTER'!$T$2:$T$495=13)*('CASE MASTER'!$AA$2:$AA$495&lt;=8)*('CASE MASTER'!$AC$2:$AC$495&gt;=8)*('CASE MASTER'!$AB$2:$AB$495&lt;=5)*('CASE MASTER'!$AD$2:$AD$495&gt;=5))*ROW('CASE MASTER'!$T$2:$T$495))-(ROW('CASE MASTER'!#REF!)-1))))*(INDEX('CASE MASTER'!$AD$2:$AD$495,(SUMPRODUCT((('CASE MASTER'!$T$2:$T$495=13)*('CASE MASTER'!$AA$2:$AA$495&lt;=8)*('CASE MASTER'!$AC$2:$AC$495&gt;=8)*('CASE MASTER'!$AB$2:$AB$495&lt;=5)*('CASE MASTER'!$AD$2:$AD$495&gt;=5))*ROW('CASE MASTER'!$T$2:$T$495))-(ROW('CASE MASTER'!#REF!)-1)))-INDEX('CASE MASTER'!$AB$2:$AB$495,(SUMPRODUCT((('CASE MASTER'!$T$2:$T$495=13)*('CASE MASTER'!$AA$2:$AA$495&lt;=8)*('CASE MASTER'!$AC$2:$AC$495&gt;=8)*('CASE MASTER'!$AB$2:$AB$495&lt;=5)*('CASE MASTER'!$AD$2:$AD$495&gt;=5))*ROW('CASE MASTER'!$T$2:$T$495))-(ROW('CASE MASTER'!#REF!)-1)))+1)+(5-INDEX('CASE MASTER'!$AB$2:$AB$495,(SUMPRODUCT((('CASE MASTER'!$T$2:$T$495=13)*('CASE MASTER'!$AA$2:$AA$495&lt;=8)*('CASE MASTER'!$AC$2:$AC$495&gt;=8)*('CASE MASTER'!$AB$2:$AB$495&lt;=5)*('CASE MASTER'!$AD$2:$AD$495&gt;=5))*ROW('CASE MASTER'!$T$2:$T$495))-(ROW('CASE MASTER'!#REF!)-1))))+1)))-1)*50+1,50))&amp;"_"&amp;INDEX('CASE MASTER'!$Q$2:$Q$495,(SUMPRODUCT((('CASE MASTER'!$T$2:$T$495=13)*('CASE MASTER'!$AA$2:$AA$495&lt;=8)*('CASE MASTER'!$AC$2:$AC$495&gt;=8)*('CASE MASTER'!$AB$2:$AB$495&lt;=5)*('CASE MASTER'!$AD$2:$AD$495&gt;=5))*ROW('CASE MASTER'!$T$2:$T$495))-(ROW('CASE MASTER'!#REF!)-1))),"")),"")</f>
        <v/>
      </c>
      <c r="G178" s="10" t="str">
        <f>IFERROR(IF(SUMPRODUCT((('CASE MASTER'!$T$2:$T$495=13)*('CASE MASTER'!$U$2:$U$495&lt;=8)*('CASE MASTER'!$W$2:$W$495&gt;=8)*('CASE MASTER'!$V$2:$V$495&lt;=6)*('CASE MASTER'!$X$2:$X$495&gt;=6))*ROW('CASE MASTER'!$T$2:$T$495))&gt;0,INDEX('CASE MASTER'!$Y$2:$Y$495,(SUMPRODUCT((('CASE MASTER'!$T$2:$T$495=13)*('CASE MASTER'!$U$2:$U$495&lt;=8)*('CASE MASTER'!$W$2:$W$495&gt;=8)*('CASE MASTER'!$V$2:$V$495&lt;=6)*('CASE MASTER'!$X$2:$X$495&gt;=6))*ROW('CASE MASTER'!$T$2:$T$495))-(ROW('CASE MASTER'!#REF!)-1)))&amp;TRIM(MID(SUBSTITUTE(SUBSTITUTE(INDEX('CASE MASTER'!$N$2:$N$495,(SUMPRODUCT((('CASE MASTER'!$T$2:$T$495=13)*('CASE MASTER'!$U$2:$U$495&lt;=8)*('CASE MASTER'!$W$2:$W$495&gt;=8)*('CASE MASTER'!$V$2:$V$495&lt;=6)*('CASE MASTER'!$X$2:$X$495&gt;=6))*ROW('CASE MASTER'!$T$2:$T$495))-(ROW('CASE MASTER'!#REF!)-1))),":",","),",",REPT(" ",50)),((((8-INDEX('CASE MASTER'!$U$2:$U$495,(SUMPRODUCT((('CASE MASTER'!$T$2:$T$495=13)*('CASE MASTER'!$U$2:$U$495&lt;=8)*('CASE MASTER'!$W$2:$W$495&gt;=8)*('CASE MASTER'!$V$2:$V$495&lt;=6)*('CASE MASTER'!$X$2:$X$495&gt;=6))*ROW('CASE MASTER'!$T$2:$T$495))-(ROW('CASE MASTER'!#REF!)-1))))*(INDEX('CASE MASTER'!$X$2:$X$495,(SUMPRODUCT((('CASE MASTER'!$T$2:$T$495=13)*('CASE MASTER'!$U$2:$U$495&lt;=8)*('CASE MASTER'!$W$2:$W$495&gt;=8)*('CASE MASTER'!$V$2:$V$495&lt;=6)*('CASE MASTER'!$X$2:$X$495&gt;=6))*ROW('CASE MASTER'!$T$2:$T$495))-(ROW('CASE MASTER'!#REF!)-1)))-INDEX('CASE MASTER'!$V$2:$V$495,(SUMPRODUCT((('CASE MASTER'!$T$2:$T$495=13)*('CASE MASTER'!$U$2:$U$495&lt;=8)*('CASE MASTER'!$W$2:$W$495&gt;=8)*('CASE MASTER'!$V$2:$V$495&lt;=6)*('CASE MASTER'!$X$2:$X$495&gt;=6))*ROW('CASE MASTER'!$T$2:$T$495))-(ROW('CASE MASTER'!#REF!)-1)))+1)+(6-INDEX('CASE MASTER'!$V$2:$V$495,(SUMPRODUCT((('CASE MASTER'!$T$2:$T$495=13)*('CASE MASTER'!$U$2:$U$495&lt;=8)*('CASE MASTER'!$W$2:$W$495&gt;=8)*('CASE MASTER'!$V$2:$V$495&lt;=6)*('CASE MASTER'!$X$2:$X$495&gt;=6))*ROW('CASE MASTER'!$T$2:$T$495))-(ROW('CASE MASTER'!#REF!)-1))))+1))-1)*50+1,50))&amp;"_"&amp;INDEX('CASE MASTER'!$Q$2:$Q$495,(SUMPRODUCT((('CASE MASTER'!$T$2:$T$495=13)*('CASE MASTER'!$U$2:$U$495&lt;=8)*('CASE MASTER'!$W$2:$W$495&gt;=8)*('CASE MASTER'!$V$2:$V$495&lt;=6)*('CASE MASTER'!$X$2:$X$495&gt;=6))*ROW('CASE MASTER'!$T$2:$T$495))-(ROW('CASE MASTER'!#REF!)-1))),IF(SUMPRODUCT((('CASE MASTER'!$T$2:$T$495=13)*('CASE MASTER'!$AA$2:$AA$495&lt;=8)*('CASE MASTER'!$AC$2:$AC$495&gt;=8)*('CASE MASTER'!$AB$2:$AB$495&lt;=6)*('CASE MASTER'!$AD$2:$AD$495&gt;=6))*ROW('CASE MASTER'!$T$2:$T$495))&gt;0,INDEX('CASE MASTER'!$Y$2:$Y$495,(SUMPRODUCT((('CASE MASTER'!$T$2:$T$495=13)*('CASE MASTER'!$AA$2:$AA$495&lt;=8)*('CASE MASTER'!$AC$2:$AC$495&gt;=8)*('CASE MASTER'!$AB$2:$AB$495&lt;=6)*('CASE MASTER'!$AD$2:$AD$495&gt;=6))*ROW('CASE MASTER'!$T$2:$T$495))-(ROW('CASE MASTER'!#REF!)-1)))&amp;TRIM(MID(SUBSTITUTE(SUBSTITUTE(INDEX('CASE MASTER'!$N$2:$N$495,(SUMPRODUCT((('CASE MASTER'!$T$2:$T$495=13)*('CASE MASTER'!$AA$2:$AA$495&lt;=8)*('CASE MASTER'!$AC$2:$AC$495&gt;=8)*('CASE MASTER'!$AB$2:$AB$495&lt;=6)*('CASE MASTER'!$AD$2:$AD$495&gt;=6))*ROW('CASE MASTER'!$T$2:$T$495))-(ROW('CASE MASTER'!#REF!)-1))),":",","),",",REPT(" ",50)),(((INDEX('CASE MASTER'!$Z$2:$Z$495,(SUMPRODUCT((('CASE MASTER'!$T$2:$T$495=13)*('CASE MASTER'!$AA$2:$AA$495&lt;=8)*('CASE MASTER'!$AC$2:$AC$495&gt;=8)*('CASE MASTER'!$AB$2:$AB$495&lt;=6)*('CASE MASTER'!$AD$2:$AD$495&gt;=6))*ROW('CASE MASTER'!$T$2:$T$495))-(ROW('CASE MASTER'!#REF!)-1)))+((8-INDEX('CASE MASTER'!$AA$2:$AA$495,(SUMPRODUCT((('CASE MASTER'!$T$2:$T$495=13)*('CASE MASTER'!$AA$2:$AA$495&lt;=8)*('CASE MASTER'!$AC$2:$AC$495&gt;=8)*('CASE MASTER'!$AB$2:$AB$495&lt;=6)*('CASE MASTER'!$AD$2:$AD$495&gt;=6))*ROW('CASE MASTER'!$T$2:$T$495))-(ROW('CASE MASTER'!#REF!)-1))))*(INDEX('CASE MASTER'!$AD$2:$AD$495,(SUMPRODUCT((('CASE MASTER'!$T$2:$T$495=13)*('CASE MASTER'!$AA$2:$AA$495&lt;=8)*('CASE MASTER'!$AC$2:$AC$495&gt;=8)*('CASE MASTER'!$AB$2:$AB$495&lt;=6)*('CASE MASTER'!$AD$2:$AD$495&gt;=6))*ROW('CASE MASTER'!$T$2:$T$495))-(ROW('CASE MASTER'!#REF!)-1)))-INDEX('CASE MASTER'!$AB$2:$AB$495,(SUMPRODUCT((('CASE MASTER'!$T$2:$T$495=13)*('CASE MASTER'!$AA$2:$AA$495&lt;=8)*('CASE MASTER'!$AC$2:$AC$495&gt;=8)*('CASE MASTER'!$AB$2:$AB$495&lt;=6)*('CASE MASTER'!$AD$2:$AD$495&gt;=6))*ROW('CASE MASTER'!$T$2:$T$495))-(ROW('CASE MASTER'!#REF!)-1)))+1)+(6-INDEX('CASE MASTER'!$AB$2:$AB$495,(SUMPRODUCT((('CASE MASTER'!$T$2:$T$495=13)*('CASE MASTER'!$AA$2:$AA$495&lt;=8)*('CASE MASTER'!$AC$2:$AC$495&gt;=8)*('CASE MASTER'!$AB$2:$AB$495&lt;=6)*('CASE MASTER'!$AD$2:$AD$495&gt;=6))*ROW('CASE MASTER'!$T$2:$T$495))-(ROW('CASE MASTER'!#REF!)-1))))+1)))-1)*50+1,50))&amp;"_"&amp;INDEX('CASE MASTER'!$Q$2:$Q$495,(SUMPRODUCT((('CASE MASTER'!$T$2:$T$495=13)*('CASE MASTER'!$AA$2:$AA$495&lt;=8)*('CASE MASTER'!$AC$2:$AC$495&gt;=8)*('CASE MASTER'!$AB$2:$AB$495&lt;=6)*('CASE MASTER'!$AD$2:$AD$495&gt;=6))*ROW('CASE MASTER'!$T$2:$T$495))-(ROW('CASE MASTER'!#REF!)-1))),"")),"")</f>
        <v/>
      </c>
      <c r="H178" s="10" t="str">
        <f>IFERROR(IF(SUMPRODUCT((('CASE MASTER'!$T$2:$T$495=13)*('CASE MASTER'!$U$2:$U$495&lt;=8)*('CASE MASTER'!$W$2:$W$495&gt;=8)*('CASE MASTER'!$V$2:$V$495&lt;=7)*('CASE MASTER'!$X$2:$X$495&gt;=7))*ROW('CASE MASTER'!$T$2:$T$495))&gt;0,INDEX('CASE MASTER'!$Y$2:$Y$495,(SUMPRODUCT((('CASE MASTER'!$T$2:$T$495=13)*('CASE MASTER'!$U$2:$U$495&lt;=8)*('CASE MASTER'!$W$2:$W$495&gt;=8)*('CASE MASTER'!$V$2:$V$495&lt;=7)*('CASE MASTER'!$X$2:$X$495&gt;=7))*ROW('CASE MASTER'!$T$2:$T$495))-(ROW('CASE MASTER'!#REF!)-1)))&amp;TRIM(MID(SUBSTITUTE(SUBSTITUTE(INDEX('CASE MASTER'!$N$2:$N$495,(SUMPRODUCT((('CASE MASTER'!$T$2:$T$495=13)*('CASE MASTER'!$U$2:$U$495&lt;=8)*('CASE MASTER'!$W$2:$W$495&gt;=8)*('CASE MASTER'!$V$2:$V$495&lt;=7)*('CASE MASTER'!$X$2:$X$495&gt;=7))*ROW('CASE MASTER'!$T$2:$T$495))-(ROW('CASE MASTER'!#REF!)-1))),":",","),",",REPT(" ",50)),((((8-INDEX('CASE MASTER'!$U$2:$U$495,(SUMPRODUCT((('CASE MASTER'!$T$2:$T$495=13)*('CASE MASTER'!$U$2:$U$495&lt;=8)*('CASE MASTER'!$W$2:$W$495&gt;=8)*('CASE MASTER'!$V$2:$V$495&lt;=7)*('CASE MASTER'!$X$2:$X$495&gt;=7))*ROW('CASE MASTER'!$T$2:$T$495))-(ROW('CASE MASTER'!#REF!)-1))))*(INDEX('CASE MASTER'!$X$2:$X$495,(SUMPRODUCT((('CASE MASTER'!$T$2:$T$495=13)*('CASE MASTER'!$U$2:$U$495&lt;=8)*('CASE MASTER'!$W$2:$W$495&gt;=8)*('CASE MASTER'!$V$2:$V$495&lt;=7)*('CASE MASTER'!$X$2:$X$495&gt;=7))*ROW('CASE MASTER'!$T$2:$T$495))-(ROW('CASE MASTER'!#REF!)-1)))-INDEX('CASE MASTER'!$V$2:$V$495,(SUMPRODUCT((('CASE MASTER'!$T$2:$T$495=13)*('CASE MASTER'!$U$2:$U$495&lt;=8)*('CASE MASTER'!$W$2:$W$495&gt;=8)*('CASE MASTER'!$V$2:$V$495&lt;=7)*('CASE MASTER'!$X$2:$X$495&gt;=7))*ROW('CASE MASTER'!$T$2:$T$495))-(ROW('CASE MASTER'!#REF!)-1)))+1)+(7-INDEX('CASE MASTER'!$V$2:$V$495,(SUMPRODUCT((('CASE MASTER'!$T$2:$T$495=13)*('CASE MASTER'!$U$2:$U$495&lt;=8)*('CASE MASTER'!$W$2:$W$495&gt;=8)*('CASE MASTER'!$V$2:$V$495&lt;=7)*('CASE MASTER'!$X$2:$X$495&gt;=7))*ROW('CASE MASTER'!$T$2:$T$495))-(ROW('CASE MASTER'!#REF!)-1))))+1))-1)*50+1,50))&amp;"_"&amp;INDEX('CASE MASTER'!$Q$2:$Q$495,(SUMPRODUCT((('CASE MASTER'!$T$2:$T$495=13)*('CASE MASTER'!$U$2:$U$495&lt;=8)*('CASE MASTER'!$W$2:$W$495&gt;=8)*('CASE MASTER'!$V$2:$V$495&lt;=7)*('CASE MASTER'!$X$2:$X$495&gt;=7))*ROW('CASE MASTER'!$T$2:$T$495))-(ROW('CASE MASTER'!#REF!)-1))),IF(SUMPRODUCT((('CASE MASTER'!$T$2:$T$495=13)*('CASE MASTER'!$AA$2:$AA$495&lt;=8)*('CASE MASTER'!$AC$2:$AC$495&gt;=8)*('CASE MASTER'!$AB$2:$AB$495&lt;=7)*('CASE MASTER'!$AD$2:$AD$495&gt;=7))*ROW('CASE MASTER'!$T$2:$T$495))&gt;0,INDEX('CASE MASTER'!$Y$2:$Y$495,(SUMPRODUCT((('CASE MASTER'!$T$2:$T$495=13)*('CASE MASTER'!$AA$2:$AA$495&lt;=8)*('CASE MASTER'!$AC$2:$AC$495&gt;=8)*('CASE MASTER'!$AB$2:$AB$495&lt;=7)*('CASE MASTER'!$AD$2:$AD$495&gt;=7))*ROW('CASE MASTER'!$T$2:$T$495))-(ROW('CASE MASTER'!#REF!)-1)))&amp;TRIM(MID(SUBSTITUTE(SUBSTITUTE(INDEX('CASE MASTER'!$N$2:$N$495,(SUMPRODUCT((('CASE MASTER'!$T$2:$T$495=13)*('CASE MASTER'!$AA$2:$AA$495&lt;=8)*('CASE MASTER'!$AC$2:$AC$495&gt;=8)*('CASE MASTER'!$AB$2:$AB$495&lt;=7)*('CASE MASTER'!$AD$2:$AD$495&gt;=7))*ROW('CASE MASTER'!$T$2:$T$495))-(ROW('CASE MASTER'!#REF!)-1))),":",","),",",REPT(" ",50)),(((INDEX('CASE MASTER'!$Z$2:$Z$495,(SUMPRODUCT((('CASE MASTER'!$T$2:$T$495=13)*('CASE MASTER'!$AA$2:$AA$495&lt;=8)*('CASE MASTER'!$AC$2:$AC$495&gt;=8)*('CASE MASTER'!$AB$2:$AB$495&lt;=7)*('CASE MASTER'!$AD$2:$AD$495&gt;=7))*ROW('CASE MASTER'!$T$2:$T$495))-(ROW('CASE MASTER'!#REF!)-1)))+((8-INDEX('CASE MASTER'!$AA$2:$AA$495,(SUMPRODUCT((('CASE MASTER'!$T$2:$T$495=13)*('CASE MASTER'!$AA$2:$AA$495&lt;=8)*('CASE MASTER'!$AC$2:$AC$495&gt;=8)*('CASE MASTER'!$AB$2:$AB$495&lt;=7)*('CASE MASTER'!$AD$2:$AD$495&gt;=7))*ROW('CASE MASTER'!$T$2:$T$495))-(ROW('CASE MASTER'!#REF!)-1))))*(INDEX('CASE MASTER'!$AD$2:$AD$495,(SUMPRODUCT((('CASE MASTER'!$T$2:$T$495=13)*('CASE MASTER'!$AA$2:$AA$495&lt;=8)*('CASE MASTER'!$AC$2:$AC$495&gt;=8)*('CASE MASTER'!$AB$2:$AB$495&lt;=7)*('CASE MASTER'!$AD$2:$AD$495&gt;=7))*ROW('CASE MASTER'!$T$2:$T$495))-(ROW('CASE MASTER'!#REF!)-1)))-INDEX('CASE MASTER'!$AB$2:$AB$495,(SUMPRODUCT((('CASE MASTER'!$T$2:$T$495=13)*('CASE MASTER'!$AA$2:$AA$495&lt;=8)*('CASE MASTER'!$AC$2:$AC$495&gt;=8)*('CASE MASTER'!$AB$2:$AB$495&lt;=7)*('CASE MASTER'!$AD$2:$AD$495&gt;=7))*ROW('CASE MASTER'!$T$2:$T$495))-(ROW('CASE MASTER'!#REF!)-1)))+1)+(7-INDEX('CASE MASTER'!$AB$2:$AB$495,(SUMPRODUCT((('CASE MASTER'!$T$2:$T$495=13)*('CASE MASTER'!$AA$2:$AA$495&lt;=8)*('CASE MASTER'!$AC$2:$AC$495&gt;=8)*('CASE MASTER'!$AB$2:$AB$495&lt;=7)*('CASE MASTER'!$AD$2:$AD$495&gt;=7))*ROW('CASE MASTER'!$T$2:$T$495))-(ROW('CASE MASTER'!#REF!)-1))))+1)))-1)*50+1,50))&amp;"_"&amp;INDEX('CASE MASTER'!$Q$2:$Q$495,(SUMPRODUCT((('CASE MASTER'!$T$2:$T$495=13)*('CASE MASTER'!$AA$2:$AA$495&lt;=8)*('CASE MASTER'!$AC$2:$AC$495&gt;=8)*('CASE MASTER'!$AB$2:$AB$495&lt;=7)*('CASE MASTER'!$AD$2:$AD$495&gt;=7))*ROW('CASE MASTER'!$T$2:$T$495))-(ROW('CASE MASTER'!#REF!)-1))),"")),"")</f>
        <v/>
      </c>
      <c r="I178" s="10" t="str">
        <f>IFERROR(IF(SUMPRODUCT((('CASE MASTER'!$T$2:$T$495=13)*('CASE MASTER'!$U$2:$U$495&lt;=8)*('CASE MASTER'!$W$2:$W$495&gt;=8)*('CASE MASTER'!$V$2:$V$495&lt;=8)*('CASE MASTER'!$X$2:$X$495&gt;=8))*ROW('CASE MASTER'!$T$2:$T$495))&gt;0,INDEX('CASE MASTER'!$Y$2:$Y$495,(SUMPRODUCT((('CASE MASTER'!$T$2:$T$495=13)*('CASE MASTER'!$U$2:$U$495&lt;=8)*('CASE MASTER'!$W$2:$W$495&gt;=8)*('CASE MASTER'!$V$2:$V$495&lt;=8)*('CASE MASTER'!$X$2:$X$495&gt;=8))*ROW('CASE MASTER'!$T$2:$T$495))-(ROW('CASE MASTER'!#REF!)-1)))&amp;TRIM(MID(SUBSTITUTE(SUBSTITUTE(INDEX('CASE MASTER'!$N$2:$N$495,(SUMPRODUCT((('CASE MASTER'!$T$2:$T$495=13)*('CASE MASTER'!$U$2:$U$495&lt;=8)*('CASE MASTER'!$W$2:$W$495&gt;=8)*('CASE MASTER'!$V$2:$V$495&lt;=8)*('CASE MASTER'!$X$2:$X$495&gt;=8))*ROW('CASE MASTER'!$T$2:$T$495))-(ROW('CASE MASTER'!#REF!)-1))),":",","),",",REPT(" ",50)),((((8-INDEX('CASE MASTER'!$U$2:$U$495,(SUMPRODUCT((('CASE MASTER'!$T$2:$T$495=13)*('CASE MASTER'!$U$2:$U$495&lt;=8)*('CASE MASTER'!$W$2:$W$495&gt;=8)*('CASE MASTER'!$V$2:$V$495&lt;=8)*('CASE MASTER'!$X$2:$X$495&gt;=8))*ROW('CASE MASTER'!$T$2:$T$495))-(ROW('CASE MASTER'!#REF!)-1))))*(INDEX('CASE MASTER'!$X$2:$X$495,(SUMPRODUCT((('CASE MASTER'!$T$2:$T$495=13)*('CASE MASTER'!$U$2:$U$495&lt;=8)*('CASE MASTER'!$W$2:$W$495&gt;=8)*('CASE MASTER'!$V$2:$V$495&lt;=8)*('CASE MASTER'!$X$2:$X$495&gt;=8))*ROW('CASE MASTER'!$T$2:$T$495))-(ROW('CASE MASTER'!#REF!)-1)))-INDEX('CASE MASTER'!$V$2:$V$495,(SUMPRODUCT((('CASE MASTER'!$T$2:$T$495=13)*('CASE MASTER'!$U$2:$U$495&lt;=8)*('CASE MASTER'!$W$2:$W$495&gt;=8)*('CASE MASTER'!$V$2:$V$495&lt;=8)*('CASE MASTER'!$X$2:$X$495&gt;=8))*ROW('CASE MASTER'!$T$2:$T$495))-(ROW('CASE MASTER'!#REF!)-1)))+1)+(8-INDEX('CASE MASTER'!$V$2:$V$495,(SUMPRODUCT((('CASE MASTER'!$T$2:$T$495=13)*('CASE MASTER'!$U$2:$U$495&lt;=8)*('CASE MASTER'!$W$2:$W$495&gt;=8)*('CASE MASTER'!$V$2:$V$495&lt;=8)*('CASE MASTER'!$X$2:$X$495&gt;=8))*ROW('CASE MASTER'!$T$2:$T$495))-(ROW('CASE MASTER'!#REF!)-1))))+1))-1)*50+1,50))&amp;"_"&amp;INDEX('CASE MASTER'!$Q$2:$Q$495,(SUMPRODUCT((('CASE MASTER'!$T$2:$T$495=13)*('CASE MASTER'!$U$2:$U$495&lt;=8)*('CASE MASTER'!$W$2:$W$495&gt;=8)*('CASE MASTER'!$V$2:$V$495&lt;=8)*('CASE MASTER'!$X$2:$X$495&gt;=8))*ROW('CASE MASTER'!$T$2:$T$495))-(ROW('CASE MASTER'!#REF!)-1))),IF(SUMPRODUCT((('CASE MASTER'!$T$2:$T$495=13)*('CASE MASTER'!$AA$2:$AA$495&lt;=8)*('CASE MASTER'!$AC$2:$AC$495&gt;=8)*('CASE MASTER'!$AB$2:$AB$495&lt;=8)*('CASE MASTER'!$AD$2:$AD$495&gt;=8))*ROW('CASE MASTER'!$T$2:$T$495))&gt;0,INDEX('CASE MASTER'!$Y$2:$Y$495,(SUMPRODUCT((('CASE MASTER'!$T$2:$T$495=13)*('CASE MASTER'!$AA$2:$AA$495&lt;=8)*('CASE MASTER'!$AC$2:$AC$495&gt;=8)*('CASE MASTER'!$AB$2:$AB$495&lt;=8)*('CASE MASTER'!$AD$2:$AD$495&gt;=8))*ROW('CASE MASTER'!$T$2:$T$495))-(ROW('CASE MASTER'!#REF!)-1)))&amp;TRIM(MID(SUBSTITUTE(SUBSTITUTE(INDEX('CASE MASTER'!$N$2:$N$495,(SUMPRODUCT((('CASE MASTER'!$T$2:$T$495=13)*('CASE MASTER'!$AA$2:$AA$495&lt;=8)*('CASE MASTER'!$AC$2:$AC$495&gt;=8)*('CASE MASTER'!$AB$2:$AB$495&lt;=8)*('CASE MASTER'!$AD$2:$AD$495&gt;=8))*ROW('CASE MASTER'!$T$2:$T$495))-(ROW('CASE MASTER'!#REF!)-1))),":",","),",",REPT(" ",50)),(((INDEX('CASE MASTER'!$Z$2:$Z$495,(SUMPRODUCT((('CASE MASTER'!$T$2:$T$495=13)*('CASE MASTER'!$AA$2:$AA$495&lt;=8)*('CASE MASTER'!$AC$2:$AC$495&gt;=8)*('CASE MASTER'!$AB$2:$AB$495&lt;=8)*('CASE MASTER'!$AD$2:$AD$495&gt;=8))*ROW('CASE MASTER'!$T$2:$T$495))-(ROW('CASE MASTER'!#REF!)-1)))+((8-INDEX('CASE MASTER'!$AA$2:$AA$495,(SUMPRODUCT((('CASE MASTER'!$T$2:$T$495=13)*('CASE MASTER'!$AA$2:$AA$495&lt;=8)*('CASE MASTER'!$AC$2:$AC$495&gt;=8)*('CASE MASTER'!$AB$2:$AB$495&lt;=8)*('CASE MASTER'!$AD$2:$AD$495&gt;=8))*ROW('CASE MASTER'!$T$2:$T$495))-(ROW('CASE MASTER'!#REF!)-1))))*(INDEX('CASE MASTER'!$AD$2:$AD$495,(SUMPRODUCT((('CASE MASTER'!$T$2:$T$495=13)*('CASE MASTER'!$AA$2:$AA$495&lt;=8)*('CASE MASTER'!$AC$2:$AC$495&gt;=8)*('CASE MASTER'!$AB$2:$AB$495&lt;=8)*('CASE MASTER'!$AD$2:$AD$495&gt;=8))*ROW('CASE MASTER'!$T$2:$T$495))-(ROW('CASE MASTER'!#REF!)-1)))-INDEX('CASE MASTER'!$AB$2:$AB$495,(SUMPRODUCT((('CASE MASTER'!$T$2:$T$495=13)*('CASE MASTER'!$AA$2:$AA$495&lt;=8)*('CASE MASTER'!$AC$2:$AC$495&gt;=8)*('CASE MASTER'!$AB$2:$AB$495&lt;=8)*('CASE MASTER'!$AD$2:$AD$495&gt;=8))*ROW('CASE MASTER'!$T$2:$T$495))-(ROW('CASE MASTER'!#REF!)-1)))+1)+(8-INDEX('CASE MASTER'!$AB$2:$AB$495,(SUMPRODUCT((('CASE MASTER'!$T$2:$T$495=13)*('CASE MASTER'!$AA$2:$AA$495&lt;=8)*('CASE MASTER'!$AC$2:$AC$495&gt;=8)*('CASE MASTER'!$AB$2:$AB$495&lt;=8)*('CASE MASTER'!$AD$2:$AD$495&gt;=8))*ROW('CASE MASTER'!$T$2:$T$495))-(ROW('CASE MASTER'!#REF!)-1))))+1)))-1)*50+1,50))&amp;"_"&amp;INDEX('CASE MASTER'!$Q$2:$Q$495,(SUMPRODUCT((('CASE MASTER'!$T$2:$T$495=13)*('CASE MASTER'!$AA$2:$AA$495&lt;=8)*('CASE MASTER'!$AC$2:$AC$495&gt;=8)*('CASE MASTER'!$AB$2:$AB$495&lt;=8)*('CASE MASTER'!$AD$2:$AD$495&gt;=8))*ROW('CASE MASTER'!$T$2:$T$495))-(ROW('CASE MASTER'!#REF!)-1))),"")),"")</f>
        <v/>
      </c>
      <c r="J178" s="10" t="str">
        <f>IFERROR(IF(SUMPRODUCT((('CASE MASTER'!$T$2:$T$495=13)*('CASE MASTER'!$U$2:$U$495&lt;=8)*('CASE MASTER'!$W$2:$W$495&gt;=8)*('CASE MASTER'!$V$2:$V$495&lt;=9)*('CASE MASTER'!$X$2:$X$495&gt;=9))*ROW('CASE MASTER'!$T$2:$T$495))&gt;0,INDEX('CASE MASTER'!$Y$2:$Y$495,(SUMPRODUCT((('CASE MASTER'!$T$2:$T$495=13)*('CASE MASTER'!$U$2:$U$495&lt;=8)*('CASE MASTER'!$W$2:$W$495&gt;=8)*('CASE MASTER'!$V$2:$V$495&lt;=9)*('CASE MASTER'!$X$2:$X$495&gt;=9))*ROW('CASE MASTER'!$T$2:$T$495))-(ROW('CASE MASTER'!#REF!)-1)))&amp;TRIM(MID(SUBSTITUTE(SUBSTITUTE(INDEX('CASE MASTER'!$N$2:$N$495,(SUMPRODUCT((('CASE MASTER'!$T$2:$T$495=13)*('CASE MASTER'!$U$2:$U$495&lt;=8)*('CASE MASTER'!$W$2:$W$495&gt;=8)*('CASE MASTER'!$V$2:$V$495&lt;=9)*('CASE MASTER'!$X$2:$X$495&gt;=9))*ROW('CASE MASTER'!$T$2:$T$495))-(ROW('CASE MASTER'!#REF!)-1))),":",","),",",REPT(" ",50)),((((8-INDEX('CASE MASTER'!$U$2:$U$495,(SUMPRODUCT((('CASE MASTER'!$T$2:$T$495=13)*('CASE MASTER'!$U$2:$U$495&lt;=8)*('CASE MASTER'!$W$2:$W$495&gt;=8)*('CASE MASTER'!$V$2:$V$495&lt;=9)*('CASE MASTER'!$X$2:$X$495&gt;=9))*ROW('CASE MASTER'!$T$2:$T$495))-(ROW('CASE MASTER'!#REF!)-1))))*(INDEX('CASE MASTER'!$X$2:$X$495,(SUMPRODUCT((('CASE MASTER'!$T$2:$T$495=13)*('CASE MASTER'!$U$2:$U$495&lt;=8)*('CASE MASTER'!$W$2:$W$495&gt;=8)*('CASE MASTER'!$V$2:$V$495&lt;=9)*('CASE MASTER'!$X$2:$X$495&gt;=9))*ROW('CASE MASTER'!$T$2:$T$495))-(ROW('CASE MASTER'!#REF!)-1)))-INDEX('CASE MASTER'!$V$2:$V$495,(SUMPRODUCT((('CASE MASTER'!$T$2:$T$495=13)*('CASE MASTER'!$U$2:$U$495&lt;=8)*('CASE MASTER'!$W$2:$W$495&gt;=8)*('CASE MASTER'!$V$2:$V$495&lt;=9)*('CASE MASTER'!$X$2:$X$495&gt;=9))*ROW('CASE MASTER'!$T$2:$T$495))-(ROW('CASE MASTER'!#REF!)-1)))+1)+(9-INDEX('CASE MASTER'!$V$2:$V$495,(SUMPRODUCT((('CASE MASTER'!$T$2:$T$495=13)*('CASE MASTER'!$U$2:$U$495&lt;=8)*('CASE MASTER'!$W$2:$W$495&gt;=8)*('CASE MASTER'!$V$2:$V$495&lt;=9)*('CASE MASTER'!$X$2:$X$495&gt;=9))*ROW('CASE MASTER'!$T$2:$T$495))-(ROW('CASE MASTER'!#REF!)-1))))+1))-1)*50+1,50))&amp;"_"&amp;INDEX('CASE MASTER'!$Q$2:$Q$495,(SUMPRODUCT((('CASE MASTER'!$T$2:$T$495=13)*('CASE MASTER'!$U$2:$U$495&lt;=8)*('CASE MASTER'!$W$2:$W$495&gt;=8)*('CASE MASTER'!$V$2:$V$495&lt;=9)*('CASE MASTER'!$X$2:$X$495&gt;=9))*ROW('CASE MASTER'!$T$2:$T$495))-(ROW('CASE MASTER'!#REF!)-1))),IF(SUMPRODUCT((('CASE MASTER'!$T$2:$T$495=13)*('CASE MASTER'!$AA$2:$AA$495&lt;=8)*('CASE MASTER'!$AC$2:$AC$495&gt;=8)*('CASE MASTER'!$AB$2:$AB$495&lt;=9)*('CASE MASTER'!$AD$2:$AD$495&gt;=9))*ROW('CASE MASTER'!$T$2:$T$495))&gt;0,INDEX('CASE MASTER'!$Y$2:$Y$495,(SUMPRODUCT((('CASE MASTER'!$T$2:$T$495=13)*('CASE MASTER'!$AA$2:$AA$495&lt;=8)*('CASE MASTER'!$AC$2:$AC$495&gt;=8)*('CASE MASTER'!$AB$2:$AB$495&lt;=9)*('CASE MASTER'!$AD$2:$AD$495&gt;=9))*ROW('CASE MASTER'!$T$2:$T$495))-(ROW('CASE MASTER'!#REF!)-1)))&amp;TRIM(MID(SUBSTITUTE(SUBSTITUTE(INDEX('CASE MASTER'!$N$2:$N$495,(SUMPRODUCT((('CASE MASTER'!$T$2:$T$495=13)*('CASE MASTER'!$AA$2:$AA$495&lt;=8)*('CASE MASTER'!$AC$2:$AC$495&gt;=8)*('CASE MASTER'!$AB$2:$AB$495&lt;=9)*('CASE MASTER'!$AD$2:$AD$495&gt;=9))*ROW('CASE MASTER'!$T$2:$T$495))-(ROW('CASE MASTER'!#REF!)-1))),":",","),",",REPT(" ",50)),(((INDEX('CASE MASTER'!$Z$2:$Z$495,(SUMPRODUCT((('CASE MASTER'!$T$2:$T$495=13)*('CASE MASTER'!$AA$2:$AA$495&lt;=8)*('CASE MASTER'!$AC$2:$AC$495&gt;=8)*('CASE MASTER'!$AB$2:$AB$495&lt;=9)*('CASE MASTER'!$AD$2:$AD$495&gt;=9))*ROW('CASE MASTER'!$T$2:$T$495))-(ROW('CASE MASTER'!#REF!)-1)))+((8-INDEX('CASE MASTER'!$AA$2:$AA$495,(SUMPRODUCT((('CASE MASTER'!$T$2:$T$495=13)*('CASE MASTER'!$AA$2:$AA$495&lt;=8)*('CASE MASTER'!$AC$2:$AC$495&gt;=8)*('CASE MASTER'!$AB$2:$AB$495&lt;=9)*('CASE MASTER'!$AD$2:$AD$495&gt;=9))*ROW('CASE MASTER'!$T$2:$T$495))-(ROW('CASE MASTER'!#REF!)-1))))*(INDEX('CASE MASTER'!$AD$2:$AD$495,(SUMPRODUCT((('CASE MASTER'!$T$2:$T$495=13)*('CASE MASTER'!$AA$2:$AA$495&lt;=8)*('CASE MASTER'!$AC$2:$AC$495&gt;=8)*('CASE MASTER'!$AB$2:$AB$495&lt;=9)*('CASE MASTER'!$AD$2:$AD$495&gt;=9))*ROW('CASE MASTER'!$T$2:$T$495))-(ROW('CASE MASTER'!#REF!)-1)))-INDEX('CASE MASTER'!$AB$2:$AB$495,(SUMPRODUCT((('CASE MASTER'!$T$2:$T$495=13)*('CASE MASTER'!$AA$2:$AA$495&lt;=8)*('CASE MASTER'!$AC$2:$AC$495&gt;=8)*('CASE MASTER'!$AB$2:$AB$495&lt;=9)*('CASE MASTER'!$AD$2:$AD$495&gt;=9))*ROW('CASE MASTER'!$T$2:$T$495))-(ROW('CASE MASTER'!#REF!)-1)))+1)+(9-INDEX('CASE MASTER'!$AB$2:$AB$495,(SUMPRODUCT((('CASE MASTER'!$T$2:$T$495=13)*('CASE MASTER'!$AA$2:$AA$495&lt;=8)*('CASE MASTER'!$AC$2:$AC$495&gt;=8)*('CASE MASTER'!$AB$2:$AB$495&lt;=9)*('CASE MASTER'!$AD$2:$AD$495&gt;=9))*ROW('CASE MASTER'!$T$2:$T$495))-(ROW('CASE MASTER'!#REF!)-1))))+1)))-1)*50+1,50))&amp;"_"&amp;INDEX('CASE MASTER'!$Q$2:$Q$495,(SUMPRODUCT((('CASE MASTER'!$T$2:$T$495=13)*('CASE MASTER'!$AA$2:$AA$495&lt;=8)*('CASE MASTER'!$AC$2:$AC$495&gt;=8)*('CASE MASTER'!$AB$2:$AB$495&lt;=9)*('CASE MASTER'!$AD$2:$AD$495&gt;=9))*ROW('CASE MASTER'!$T$2:$T$495))-(ROW('CASE MASTER'!#REF!)-1))),"")),"")</f>
        <v/>
      </c>
      <c r="K178" s="10" t="str">
        <f>IFERROR(IF(SUMPRODUCT((('CASE MASTER'!$T$2:$T$495=13)*('CASE MASTER'!$U$2:$U$495&lt;=8)*('CASE MASTER'!$W$2:$W$495&gt;=8)*('CASE MASTER'!$V$2:$V$495&lt;=10)*('CASE MASTER'!$X$2:$X$495&gt;=10))*ROW('CASE MASTER'!$T$2:$T$495))&gt;0,INDEX('CASE MASTER'!$Y$2:$Y$495,(SUMPRODUCT((('CASE MASTER'!$T$2:$T$495=13)*('CASE MASTER'!$U$2:$U$495&lt;=8)*('CASE MASTER'!$W$2:$W$495&gt;=8)*('CASE MASTER'!$V$2:$V$495&lt;=10)*('CASE MASTER'!$X$2:$X$495&gt;=10))*ROW('CASE MASTER'!$T$2:$T$495))-(ROW('CASE MASTER'!#REF!)-1)))&amp;TRIM(MID(SUBSTITUTE(SUBSTITUTE(INDEX('CASE MASTER'!$N$2:$N$495,(SUMPRODUCT((('CASE MASTER'!$T$2:$T$495=13)*('CASE MASTER'!$U$2:$U$495&lt;=8)*('CASE MASTER'!$W$2:$W$495&gt;=8)*('CASE MASTER'!$V$2:$V$495&lt;=10)*('CASE MASTER'!$X$2:$X$495&gt;=10))*ROW('CASE MASTER'!$T$2:$T$495))-(ROW('CASE MASTER'!#REF!)-1))),":",","),",",REPT(" ",50)),((((8-INDEX('CASE MASTER'!$U$2:$U$495,(SUMPRODUCT((('CASE MASTER'!$T$2:$T$495=13)*('CASE MASTER'!$U$2:$U$495&lt;=8)*('CASE MASTER'!$W$2:$W$495&gt;=8)*('CASE MASTER'!$V$2:$V$495&lt;=10)*('CASE MASTER'!$X$2:$X$495&gt;=10))*ROW('CASE MASTER'!$T$2:$T$495))-(ROW('CASE MASTER'!#REF!)-1))))*(INDEX('CASE MASTER'!$X$2:$X$495,(SUMPRODUCT((('CASE MASTER'!$T$2:$T$495=13)*('CASE MASTER'!$U$2:$U$495&lt;=8)*('CASE MASTER'!$W$2:$W$495&gt;=8)*('CASE MASTER'!$V$2:$V$495&lt;=10)*('CASE MASTER'!$X$2:$X$495&gt;=10))*ROW('CASE MASTER'!$T$2:$T$495))-(ROW('CASE MASTER'!#REF!)-1)))-INDEX('CASE MASTER'!$V$2:$V$495,(SUMPRODUCT((('CASE MASTER'!$T$2:$T$495=13)*('CASE MASTER'!$U$2:$U$495&lt;=8)*('CASE MASTER'!$W$2:$W$495&gt;=8)*('CASE MASTER'!$V$2:$V$495&lt;=10)*('CASE MASTER'!$X$2:$X$495&gt;=10))*ROW('CASE MASTER'!$T$2:$T$495))-(ROW('CASE MASTER'!#REF!)-1)))+1)+(10-INDEX('CASE MASTER'!$V$2:$V$495,(SUMPRODUCT((('CASE MASTER'!$T$2:$T$495=13)*('CASE MASTER'!$U$2:$U$495&lt;=8)*('CASE MASTER'!$W$2:$W$495&gt;=8)*('CASE MASTER'!$V$2:$V$495&lt;=10)*('CASE MASTER'!$X$2:$X$495&gt;=10))*ROW('CASE MASTER'!$T$2:$T$495))-(ROW('CASE MASTER'!#REF!)-1))))+1))-1)*50+1,50))&amp;"_"&amp;INDEX('CASE MASTER'!$Q$2:$Q$495,(SUMPRODUCT((('CASE MASTER'!$T$2:$T$495=13)*('CASE MASTER'!$U$2:$U$495&lt;=8)*('CASE MASTER'!$W$2:$W$495&gt;=8)*('CASE MASTER'!$V$2:$V$495&lt;=10)*('CASE MASTER'!$X$2:$X$495&gt;=10))*ROW('CASE MASTER'!$T$2:$T$495))-(ROW('CASE MASTER'!#REF!)-1))),IF(SUMPRODUCT((('CASE MASTER'!$T$2:$T$495=13)*('CASE MASTER'!$AA$2:$AA$495&lt;=8)*('CASE MASTER'!$AC$2:$AC$495&gt;=8)*('CASE MASTER'!$AB$2:$AB$495&lt;=10)*('CASE MASTER'!$AD$2:$AD$495&gt;=10))*ROW('CASE MASTER'!$T$2:$T$495))&gt;0,INDEX('CASE MASTER'!$Y$2:$Y$495,(SUMPRODUCT((('CASE MASTER'!$T$2:$T$495=13)*('CASE MASTER'!$AA$2:$AA$495&lt;=8)*('CASE MASTER'!$AC$2:$AC$495&gt;=8)*('CASE MASTER'!$AB$2:$AB$495&lt;=10)*('CASE MASTER'!$AD$2:$AD$495&gt;=10))*ROW('CASE MASTER'!$T$2:$T$495))-(ROW('CASE MASTER'!#REF!)-1)))&amp;TRIM(MID(SUBSTITUTE(SUBSTITUTE(INDEX('CASE MASTER'!$N$2:$N$495,(SUMPRODUCT((('CASE MASTER'!$T$2:$T$495=13)*('CASE MASTER'!$AA$2:$AA$495&lt;=8)*('CASE MASTER'!$AC$2:$AC$495&gt;=8)*('CASE MASTER'!$AB$2:$AB$495&lt;=10)*('CASE MASTER'!$AD$2:$AD$495&gt;=10))*ROW('CASE MASTER'!$T$2:$T$495))-(ROW('CASE MASTER'!#REF!)-1))),":",","),",",REPT(" ",50)),(((INDEX('CASE MASTER'!$Z$2:$Z$495,(SUMPRODUCT((('CASE MASTER'!$T$2:$T$495=13)*('CASE MASTER'!$AA$2:$AA$495&lt;=8)*('CASE MASTER'!$AC$2:$AC$495&gt;=8)*('CASE MASTER'!$AB$2:$AB$495&lt;=10)*('CASE MASTER'!$AD$2:$AD$495&gt;=10))*ROW('CASE MASTER'!$T$2:$T$495))-(ROW('CASE MASTER'!#REF!)-1)))+((8-INDEX('CASE MASTER'!$AA$2:$AA$495,(SUMPRODUCT((('CASE MASTER'!$T$2:$T$495=13)*('CASE MASTER'!$AA$2:$AA$495&lt;=8)*('CASE MASTER'!$AC$2:$AC$495&gt;=8)*('CASE MASTER'!$AB$2:$AB$495&lt;=10)*('CASE MASTER'!$AD$2:$AD$495&gt;=10))*ROW('CASE MASTER'!$T$2:$T$495))-(ROW('CASE MASTER'!#REF!)-1))))*(INDEX('CASE MASTER'!$AD$2:$AD$495,(SUMPRODUCT((('CASE MASTER'!$T$2:$T$495=13)*('CASE MASTER'!$AA$2:$AA$495&lt;=8)*('CASE MASTER'!$AC$2:$AC$495&gt;=8)*('CASE MASTER'!$AB$2:$AB$495&lt;=10)*('CASE MASTER'!$AD$2:$AD$495&gt;=10))*ROW('CASE MASTER'!$T$2:$T$495))-(ROW('CASE MASTER'!#REF!)-1)))-INDEX('CASE MASTER'!$AB$2:$AB$495,(SUMPRODUCT((('CASE MASTER'!$T$2:$T$495=13)*('CASE MASTER'!$AA$2:$AA$495&lt;=8)*('CASE MASTER'!$AC$2:$AC$495&gt;=8)*('CASE MASTER'!$AB$2:$AB$495&lt;=10)*('CASE MASTER'!$AD$2:$AD$495&gt;=10))*ROW('CASE MASTER'!$T$2:$T$495))-(ROW('CASE MASTER'!#REF!)-1)))+1)+(10-INDEX('CASE MASTER'!$AB$2:$AB$495,(SUMPRODUCT((('CASE MASTER'!$T$2:$T$495=13)*('CASE MASTER'!$AA$2:$AA$495&lt;=8)*('CASE MASTER'!$AC$2:$AC$495&gt;=8)*('CASE MASTER'!$AB$2:$AB$495&lt;=10)*('CASE MASTER'!$AD$2:$AD$495&gt;=10))*ROW('CASE MASTER'!$T$2:$T$495))-(ROW('CASE MASTER'!#REF!)-1))))+1)))-1)*50+1,50))&amp;"_"&amp;INDEX('CASE MASTER'!$Q$2:$Q$495,(SUMPRODUCT((('CASE MASTER'!$T$2:$T$495=13)*('CASE MASTER'!$AA$2:$AA$495&lt;=8)*('CASE MASTER'!$AC$2:$AC$495&gt;=8)*('CASE MASTER'!$AB$2:$AB$495&lt;=10)*('CASE MASTER'!$AD$2:$AD$495&gt;=10))*ROW('CASE MASTER'!$T$2:$T$495))-(ROW('CASE MASTER'!#REF!)-1))),"")),"")</f>
        <v/>
      </c>
    </row>
    <row r="179" spans="1:11" ht="15" customHeight="1" x14ac:dyDescent="0.35">
      <c r="A179" s="8" t="s">
        <v>81</v>
      </c>
      <c r="B179" s="10" t="str">
        <f>IFERROR(IF(SUMPRODUCT((('CASE MASTER'!$T$2:$T$495=13)*('CASE MASTER'!$U$2:$U$495&lt;=9)*('CASE MASTER'!$W$2:$W$495&gt;=9)*('CASE MASTER'!$V$2:$V$495&lt;=1)*('CASE MASTER'!$X$2:$X$495&gt;=1))*ROW('CASE MASTER'!$T$2:$T$495))&gt;0,INDEX('CASE MASTER'!$Y$2:$Y$495,(SUMPRODUCT((('CASE MASTER'!$T$2:$T$495=13)*('CASE MASTER'!$U$2:$U$495&lt;=9)*('CASE MASTER'!$W$2:$W$495&gt;=9)*('CASE MASTER'!$V$2:$V$495&lt;=1)*('CASE MASTER'!$X$2:$X$495&gt;=1))*ROW('CASE MASTER'!$T$2:$T$495))-(ROW('CASE MASTER'!#REF!)-1)))&amp;TRIM(MID(SUBSTITUTE(SUBSTITUTE(INDEX('CASE MASTER'!$N$2:$N$495,(SUMPRODUCT((('CASE MASTER'!$T$2:$T$495=13)*('CASE MASTER'!$U$2:$U$495&lt;=9)*('CASE MASTER'!$W$2:$W$495&gt;=9)*('CASE MASTER'!$V$2:$V$495&lt;=1)*('CASE MASTER'!$X$2:$X$495&gt;=1))*ROW('CASE MASTER'!$T$2:$T$495))-(ROW('CASE MASTER'!#REF!)-1))),":",","),",",REPT(" ",50)),((((9-INDEX('CASE MASTER'!$U$2:$U$495,(SUMPRODUCT((('CASE MASTER'!$T$2:$T$495=13)*('CASE MASTER'!$U$2:$U$495&lt;=9)*('CASE MASTER'!$W$2:$W$495&gt;=9)*('CASE MASTER'!$V$2:$V$495&lt;=1)*('CASE MASTER'!$X$2:$X$495&gt;=1))*ROW('CASE MASTER'!$T$2:$T$495))-(ROW('CASE MASTER'!#REF!)-1))))*(INDEX('CASE MASTER'!$X$2:$X$495,(SUMPRODUCT((('CASE MASTER'!$T$2:$T$495=13)*('CASE MASTER'!$U$2:$U$495&lt;=9)*('CASE MASTER'!$W$2:$W$495&gt;=9)*('CASE MASTER'!$V$2:$V$495&lt;=1)*('CASE MASTER'!$X$2:$X$495&gt;=1))*ROW('CASE MASTER'!$T$2:$T$495))-(ROW('CASE MASTER'!#REF!)-1)))-INDEX('CASE MASTER'!$V$2:$V$495,(SUMPRODUCT((('CASE MASTER'!$T$2:$T$495=13)*('CASE MASTER'!$U$2:$U$495&lt;=9)*('CASE MASTER'!$W$2:$W$495&gt;=9)*('CASE MASTER'!$V$2:$V$495&lt;=1)*('CASE MASTER'!$X$2:$X$495&gt;=1))*ROW('CASE MASTER'!$T$2:$T$495))-(ROW('CASE MASTER'!#REF!)-1)))+1)+(1-INDEX('CASE MASTER'!$V$2:$V$495,(SUMPRODUCT((('CASE MASTER'!$T$2:$T$495=13)*('CASE MASTER'!$U$2:$U$495&lt;=9)*('CASE MASTER'!$W$2:$W$495&gt;=9)*('CASE MASTER'!$V$2:$V$495&lt;=1)*('CASE MASTER'!$X$2:$X$495&gt;=1))*ROW('CASE MASTER'!$T$2:$T$495))-(ROW('CASE MASTER'!#REF!)-1))))+1))-1)*50+1,50))&amp;"_"&amp;INDEX('CASE MASTER'!$Q$2:$Q$495,(SUMPRODUCT((('CASE MASTER'!$T$2:$T$495=13)*('CASE MASTER'!$U$2:$U$495&lt;=9)*('CASE MASTER'!$W$2:$W$495&gt;=9)*('CASE MASTER'!$V$2:$V$495&lt;=1)*('CASE MASTER'!$X$2:$X$495&gt;=1))*ROW('CASE MASTER'!$T$2:$T$495))-(ROW('CASE MASTER'!#REF!)-1))),IF(SUMPRODUCT((('CASE MASTER'!$T$2:$T$495=13)*('CASE MASTER'!$AA$2:$AA$495&lt;=9)*('CASE MASTER'!$AC$2:$AC$495&gt;=9)*('CASE MASTER'!$AB$2:$AB$495&lt;=1)*('CASE MASTER'!$AD$2:$AD$495&gt;=1))*ROW('CASE MASTER'!$T$2:$T$495))&gt;0,INDEX('CASE MASTER'!$Y$2:$Y$495,(SUMPRODUCT((('CASE MASTER'!$T$2:$T$495=13)*('CASE MASTER'!$AA$2:$AA$495&lt;=9)*('CASE MASTER'!$AC$2:$AC$495&gt;=9)*('CASE MASTER'!$AB$2:$AB$495&lt;=1)*('CASE MASTER'!$AD$2:$AD$495&gt;=1))*ROW('CASE MASTER'!$T$2:$T$495))-(ROW('CASE MASTER'!#REF!)-1)))&amp;TRIM(MID(SUBSTITUTE(SUBSTITUTE(INDEX('CASE MASTER'!$N$2:$N$495,(SUMPRODUCT((('CASE MASTER'!$T$2:$T$495=13)*('CASE MASTER'!$AA$2:$AA$495&lt;=9)*('CASE MASTER'!$AC$2:$AC$495&gt;=9)*('CASE MASTER'!$AB$2:$AB$495&lt;=1)*('CASE MASTER'!$AD$2:$AD$495&gt;=1))*ROW('CASE MASTER'!$T$2:$T$495))-(ROW('CASE MASTER'!#REF!)-1))),":",","),",",REPT(" ",50)),(((INDEX('CASE MASTER'!$Z$2:$Z$495,(SUMPRODUCT((('CASE MASTER'!$T$2:$T$495=13)*('CASE MASTER'!$AA$2:$AA$495&lt;=9)*('CASE MASTER'!$AC$2:$AC$495&gt;=9)*('CASE MASTER'!$AB$2:$AB$495&lt;=1)*('CASE MASTER'!$AD$2:$AD$495&gt;=1))*ROW('CASE MASTER'!$T$2:$T$495))-(ROW('CASE MASTER'!#REF!)-1)))+((9-INDEX('CASE MASTER'!$AA$2:$AA$495,(SUMPRODUCT((('CASE MASTER'!$T$2:$T$495=13)*('CASE MASTER'!$AA$2:$AA$495&lt;=9)*('CASE MASTER'!$AC$2:$AC$495&gt;=9)*('CASE MASTER'!$AB$2:$AB$495&lt;=1)*('CASE MASTER'!$AD$2:$AD$495&gt;=1))*ROW('CASE MASTER'!$T$2:$T$495))-(ROW('CASE MASTER'!#REF!)-1))))*(INDEX('CASE MASTER'!$AD$2:$AD$495,(SUMPRODUCT((('CASE MASTER'!$T$2:$T$495=13)*('CASE MASTER'!$AA$2:$AA$495&lt;=9)*('CASE MASTER'!$AC$2:$AC$495&gt;=9)*('CASE MASTER'!$AB$2:$AB$495&lt;=1)*('CASE MASTER'!$AD$2:$AD$495&gt;=1))*ROW('CASE MASTER'!$T$2:$T$495))-(ROW('CASE MASTER'!#REF!)-1)))-INDEX('CASE MASTER'!$AB$2:$AB$495,(SUMPRODUCT((('CASE MASTER'!$T$2:$T$495=13)*('CASE MASTER'!$AA$2:$AA$495&lt;=9)*('CASE MASTER'!$AC$2:$AC$495&gt;=9)*('CASE MASTER'!$AB$2:$AB$495&lt;=1)*('CASE MASTER'!$AD$2:$AD$495&gt;=1))*ROW('CASE MASTER'!$T$2:$T$495))-(ROW('CASE MASTER'!#REF!)-1)))+1)+(1-INDEX('CASE MASTER'!$AB$2:$AB$495,(SUMPRODUCT((('CASE MASTER'!$T$2:$T$495=13)*('CASE MASTER'!$AA$2:$AA$495&lt;=9)*('CASE MASTER'!$AC$2:$AC$495&gt;=9)*('CASE MASTER'!$AB$2:$AB$495&lt;=1)*('CASE MASTER'!$AD$2:$AD$495&gt;=1))*ROW('CASE MASTER'!$T$2:$T$495))-(ROW('CASE MASTER'!#REF!)-1))))+1)))-1)*50+1,50))&amp;"_"&amp;INDEX('CASE MASTER'!$Q$2:$Q$495,(SUMPRODUCT((('CASE MASTER'!$T$2:$T$495=13)*('CASE MASTER'!$AA$2:$AA$495&lt;=9)*('CASE MASTER'!$AC$2:$AC$495&gt;=9)*('CASE MASTER'!$AB$2:$AB$495&lt;=1)*('CASE MASTER'!$AD$2:$AD$495&gt;=1))*ROW('CASE MASTER'!$T$2:$T$495))-(ROW('CASE MASTER'!#REF!)-1))),"")),"")</f>
        <v/>
      </c>
      <c r="C179" s="10" t="str">
        <f>IFERROR(IF(SUMPRODUCT((('CASE MASTER'!$T$2:$T$495=13)*('CASE MASTER'!$U$2:$U$495&lt;=9)*('CASE MASTER'!$W$2:$W$495&gt;=9)*('CASE MASTER'!$V$2:$V$495&lt;=2)*('CASE MASTER'!$X$2:$X$495&gt;=2))*ROW('CASE MASTER'!$T$2:$T$495))&gt;0,INDEX('CASE MASTER'!$Y$2:$Y$495,(SUMPRODUCT((('CASE MASTER'!$T$2:$T$495=13)*('CASE MASTER'!$U$2:$U$495&lt;=9)*('CASE MASTER'!$W$2:$W$495&gt;=9)*('CASE MASTER'!$V$2:$V$495&lt;=2)*('CASE MASTER'!$X$2:$X$495&gt;=2))*ROW('CASE MASTER'!$T$2:$T$495))-(ROW('CASE MASTER'!#REF!)-1)))&amp;TRIM(MID(SUBSTITUTE(SUBSTITUTE(INDEX('CASE MASTER'!$N$2:$N$495,(SUMPRODUCT((('CASE MASTER'!$T$2:$T$495=13)*('CASE MASTER'!$U$2:$U$495&lt;=9)*('CASE MASTER'!$W$2:$W$495&gt;=9)*('CASE MASTER'!$V$2:$V$495&lt;=2)*('CASE MASTER'!$X$2:$X$495&gt;=2))*ROW('CASE MASTER'!$T$2:$T$495))-(ROW('CASE MASTER'!#REF!)-1))),":",","),",",REPT(" ",50)),((((9-INDEX('CASE MASTER'!$U$2:$U$495,(SUMPRODUCT((('CASE MASTER'!$T$2:$T$495=13)*('CASE MASTER'!$U$2:$U$495&lt;=9)*('CASE MASTER'!$W$2:$W$495&gt;=9)*('CASE MASTER'!$V$2:$V$495&lt;=2)*('CASE MASTER'!$X$2:$X$495&gt;=2))*ROW('CASE MASTER'!$T$2:$T$495))-(ROW('CASE MASTER'!#REF!)-1))))*(INDEX('CASE MASTER'!$X$2:$X$495,(SUMPRODUCT((('CASE MASTER'!$T$2:$T$495=13)*('CASE MASTER'!$U$2:$U$495&lt;=9)*('CASE MASTER'!$W$2:$W$495&gt;=9)*('CASE MASTER'!$V$2:$V$495&lt;=2)*('CASE MASTER'!$X$2:$X$495&gt;=2))*ROW('CASE MASTER'!$T$2:$T$495))-(ROW('CASE MASTER'!#REF!)-1)))-INDEX('CASE MASTER'!$V$2:$V$495,(SUMPRODUCT((('CASE MASTER'!$T$2:$T$495=13)*('CASE MASTER'!$U$2:$U$495&lt;=9)*('CASE MASTER'!$W$2:$W$495&gt;=9)*('CASE MASTER'!$V$2:$V$495&lt;=2)*('CASE MASTER'!$X$2:$X$495&gt;=2))*ROW('CASE MASTER'!$T$2:$T$495))-(ROW('CASE MASTER'!#REF!)-1)))+1)+(2-INDEX('CASE MASTER'!$V$2:$V$495,(SUMPRODUCT((('CASE MASTER'!$T$2:$T$495=13)*('CASE MASTER'!$U$2:$U$495&lt;=9)*('CASE MASTER'!$W$2:$W$495&gt;=9)*('CASE MASTER'!$V$2:$V$495&lt;=2)*('CASE MASTER'!$X$2:$X$495&gt;=2))*ROW('CASE MASTER'!$T$2:$T$495))-(ROW('CASE MASTER'!#REF!)-1))))+1))-1)*50+1,50))&amp;"_"&amp;INDEX('CASE MASTER'!$Q$2:$Q$495,(SUMPRODUCT((('CASE MASTER'!$T$2:$T$495=13)*('CASE MASTER'!$U$2:$U$495&lt;=9)*('CASE MASTER'!$W$2:$W$495&gt;=9)*('CASE MASTER'!$V$2:$V$495&lt;=2)*('CASE MASTER'!$X$2:$X$495&gt;=2))*ROW('CASE MASTER'!$T$2:$T$495))-(ROW('CASE MASTER'!#REF!)-1))),IF(SUMPRODUCT((('CASE MASTER'!$T$2:$T$495=13)*('CASE MASTER'!$AA$2:$AA$495&lt;=9)*('CASE MASTER'!$AC$2:$AC$495&gt;=9)*('CASE MASTER'!$AB$2:$AB$495&lt;=2)*('CASE MASTER'!$AD$2:$AD$495&gt;=2))*ROW('CASE MASTER'!$T$2:$T$495))&gt;0,INDEX('CASE MASTER'!$Y$2:$Y$495,(SUMPRODUCT((('CASE MASTER'!$T$2:$T$495=13)*('CASE MASTER'!$AA$2:$AA$495&lt;=9)*('CASE MASTER'!$AC$2:$AC$495&gt;=9)*('CASE MASTER'!$AB$2:$AB$495&lt;=2)*('CASE MASTER'!$AD$2:$AD$495&gt;=2))*ROW('CASE MASTER'!$T$2:$T$495))-(ROW('CASE MASTER'!#REF!)-1)))&amp;TRIM(MID(SUBSTITUTE(SUBSTITUTE(INDEX('CASE MASTER'!$N$2:$N$495,(SUMPRODUCT((('CASE MASTER'!$T$2:$T$495=13)*('CASE MASTER'!$AA$2:$AA$495&lt;=9)*('CASE MASTER'!$AC$2:$AC$495&gt;=9)*('CASE MASTER'!$AB$2:$AB$495&lt;=2)*('CASE MASTER'!$AD$2:$AD$495&gt;=2))*ROW('CASE MASTER'!$T$2:$T$495))-(ROW('CASE MASTER'!#REF!)-1))),":",","),",",REPT(" ",50)),(((INDEX('CASE MASTER'!$Z$2:$Z$495,(SUMPRODUCT((('CASE MASTER'!$T$2:$T$495=13)*('CASE MASTER'!$AA$2:$AA$495&lt;=9)*('CASE MASTER'!$AC$2:$AC$495&gt;=9)*('CASE MASTER'!$AB$2:$AB$495&lt;=2)*('CASE MASTER'!$AD$2:$AD$495&gt;=2))*ROW('CASE MASTER'!$T$2:$T$495))-(ROW('CASE MASTER'!#REF!)-1)))+((9-INDEX('CASE MASTER'!$AA$2:$AA$495,(SUMPRODUCT((('CASE MASTER'!$T$2:$T$495=13)*('CASE MASTER'!$AA$2:$AA$495&lt;=9)*('CASE MASTER'!$AC$2:$AC$495&gt;=9)*('CASE MASTER'!$AB$2:$AB$495&lt;=2)*('CASE MASTER'!$AD$2:$AD$495&gt;=2))*ROW('CASE MASTER'!$T$2:$T$495))-(ROW('CASE MASTER'!#REF!)-1))))*(INDEX('CASE MASTER'!$AD$2:$AD$495,(SUMPRODUCT((('CASE MASTER'!$T$2:$T$495=13)*('CASE MASTER'!$AA$2:$AA$495&lt;=9)*('CASE MASTER'!$AC$2:$AC$495&gt;=9)*('CASE MASTER'!$AB$2:$AB$495&lt;=2)*('CASE MASTER'!$AD$2:$AD$495&gt;=2))*ROW('CASE MASTER'!$T$2:$T$495))-(ROW('CASE MASTER'!#REF!)-1)))-INDEX('CASE MASTER'!$AB$2:$AB$495,(SUMPRODUCT((('CASE MASTER'!$T$2:$T$495=13)*('CASE MASTER'!$AA$2:$AA$495&lt;=9)*('CASE MASTER'!$AC$2:$AC$495&gt;=9)*('CASE MASTER'!$AB$2:$AB$495&lt;=2)*('CASE MASTER'!$AD$2:$AD$495&gt;=2))*ROW('CASE MASTER'!$T$2:$T$495))-(ROW('CASE MASTER'!#REF!)-1)))+1)+(2-INDEX('CASE MASTER'!$AB$2:$AB$495,(SUMPRODUCT((('CASE MASTER'!$T$2:$T$495=13)*('CASE MASTER'!$AA$2:$AA$495&lt;=9)*('CASE MASTER'!$AC$2:$AC$495&gt;=9)*('CASE MASTER'!$AB$2:$AB$495&lt;=2)*('CASE MASTER'!$AD$2:$AD$495&gt;=2))*ROW('CASE MASTER'!$T$2:$T$495))-(ROW('CASE MASTER'!#REF!)-1))))+1)))-1)*50+1,50))&amp;"_"&amp;INDEX('CASE MASTER'!$Q$2:$Q$495,(SUMPRODUCT((('CASE MASTER'!$T$2:$T$495=13)*('CASE MASTER'!$AA$2:$AA$495&lt;=9)*('CASE MASTER'!$AC$2:$AC$495&gt;=9)*('CASE MASTER'!$AB$2:$AB$495&lt;=2)*('CASE MASTER'!$AD$2:$AD$495&gt;=2))*ROW('CASE MASTER'!$T$2:$T$495))-(ROW('CASE MASTER'!#REF!)-1))),"")),"")</f>
        <v/>
      </c>
      <c r="D179" s="10" t="str">
        <f>IFERROR(IF(SUMPRODUCT((('CASE MASTER'!$T$2:$T$495=13)*('CASE MASTER'!$U$2:$U$495&lt;=9)*('CASE MASTER'!$W$2:$W$495&gt;=9)*('CASE MASTER'!$V$2:$V$495&lt;=3)*('CASE MASTER'!$X$2:$X$495&gt;=3))*ROW('CASE MASTER'!$T$2:$T$495))&gt;0,INDEX('CASE MASTER'!$Y$2:$Y$495,(SUMPRODUCT((('CASE MASTER'!$T$2:$T$495=13)*('CASE MASTER'!$U$2:$U$495&lt;=9)*('CASE MASTER'!$W$2:$W$495&gt;=9)*('CASE MASTER'!$V$2:$V$495&lt;=3)*('CASE MASTER'!$X$2:$X$495&gt;=3))*ROW('CASE MASTER'!$T$2:$T$495))-(ROW('CASE MASTER'!#REF!)-1)))&amp;TRIM(MID(SUBSTITUTE(SUBSTITUTE(INDEX('CASE MASTER'!$N$2:$N$495,(SUMPRODUCT((('CASE MASTER'!$T$2:$T$495=13)*('CASE MASTER'!$U$2:$U$495&lt;=9)*('CASE MASTER'!$W$2:$W$495&gt;=9)*('CASE MASTER'!$V$2:$V$495&lt;=3)*('CASE MASTER'!$X$2:$X$495&gt;=3))*ROW('CASE MASTER'!$T$2:$T$495))-(ROW('CASE MASTER'!#REF!)-1))),":",","),",",REPT(" ",50)),((((9-INDEX('CASE MASTER'!$U$2:$U$495,(SUMPRODUCT((('CASE MASTER'!$T$2:$T$495=13)*('CASE MASTER'!$U$2:$U$495&lt;=9)*('CASE MASTER'!$W$2:$W$495&gt;=9)*('CASE MASTER'!$V$2:$V$495&lt;=3)*('CASE MASTER'!$X$2:$X$495&gt;=3))*ROW('CASE MASTER'!$T$2:$T$495))-(ROW('CASE MASTER'!#REF!)-1))))*(INDEX('CASE MASTER'!$X$2:$X$495,(SUMPRODUCT((('CASE MASTER'!$T$2:$T$495=13)*('CASE MASTER'!$U$2:$U$495&lt;=9)*('CASE MASTER'!$W$2:$W$495&gt;=9)*('CASE MASTER'!$V$2:$V$495&lt;=3)*('CASE MASTER'!$X$2:$X$495&gt;=3))*ROW('CASE MASTER'!$T$2:$T$495))-(ROW('CASE MASTER'!#REF!)-1)))-INDEX('CASE MASTER'!$V$2:$V$495,(SUMPRODUCT((('CASE MASTER'!$T$2:$T$495=13)*('CASE MASTER'!$U$2:$U$495&lt;=9)*('CASE MASTER'!$W$2:$W$495&gt;=9)*('CASE MASTER'!$V$2:$V$495&lt;=3)*('CASE MASTER'!$X$2:$X$495&gt;=3))*ROW('CASE MASTER'!$T$2:$T$495))-(ROW('CASE MASTER'!#REF!)-1)))+1)+(3-INDEX('CASE MASTER'!$V$2:$V$495,(SUMPRODUCT((('CASE MASTER'!$T$2:$T$495=13)*('CASE MASTER'!$U$2:$U$495&lt;=9)*('CASE MASTER'!$W$2:$W$495&gt;=9)*('CASE MASTER'!$V$2:$V$495&lt;=3)*('CASE MASTER'!$X$2:$X$495&gt;=3))*ROW('CASE MASTER'!$T$2:$T$495))-(ROW('CASE MASTER'!#REF!)-1))))+1))-1)*50+1,50))&amp;"_"&amp;INDEX('CASE MASTER'!$Q$2:$Q$495,(SUMPRODUCT((('CASE MASTER'!$T$2:$T$495=13)*('CASE MASTER'!$U$2:$U$495&lt;=9)*('CASE MASTER'!$W$2:$W$495&gt;=9)*('CASE MASTER'!$V$2:$V$495&lt;=3)*('CASE MASTER'!$X$2:$X$495&gt;=3))*ROW('CASE MASTER'!$T$2:$T$495))-(ROW('CASE MASTER'!#REF!)-1))),IF(SUMPRODUCT((('CASE MASTER'!$T$2:$T$495=13)*('CASE MASTER'!$AA$2:$AA$495&lt;=9)*('CASE MASTER'!$AC$2:$AC$495&gt;=9)*('CASE MASTER'!$AB$2:$AB$495&lt;=3)*('CASE MASTER'!$AD$2:$AD$495&gt;=3))*ROW('CASE MASTER'!$T$2:$T$495))&gt;0,INDEX('CASE MASTER'!$Y$2:$Y$495,(SUMPRODUCT((('CASE MASTER'!$T$2:$T$495=13)*('CASE MASTER'!$AA$2:$AA$495&lt;=9)*('CASE MASTER'!$AC$2:$AC$495&gt;=9)*('CASE MASTER'!$AB$2:$AB$495&lt;=3)*('CASE MASTER'!$AD$2:$AD$495&gt;=3))*ROW('CASE MASTER'!$T$2:$T$495))-(ROW('CASE MASTER'!#REF!)-1)))&amp;TRIM(MID(SUBSTITUTE(SUBSTITUTE(INDEX('CASE MASTER'!$N$2:$N$495,(SUMPRODUCT((('CASE MASTER'!$T$2:$T$495=13)*('CASE MASTER'!$AA$2:$AA$495&lt;=9)*('CASE MASTER'!$AC$2:$AC$495&gt;=9)*('CASE MASTER'!$AB$2:$AB$495&lt;=3)*('CASE MASTER'!$AD$2:$AD$495&gt;=3))*ROW('CASE MASTER'!$T$2:$T$495))-(ROW('CASE MASTER'!#REF!)-1))),":",","),",",REPT(" ",50)),(((INDEX('CASE MASTER'!$Z$2:$Z$495,(SUMPRODUCT((('CASE MASTER'!$T$2:$T$495=13)*('CASE MASTER'!$AA$2:$AA$495&lt;=9)*('CASE MASTER'!$AC$2:$AC$495&gt;=9)*('CASE MASTER'!$AB$2:$AB$495&lt;=3)*('CASE MASTER'!$AD$2:$AD$495&gt;=3))*ROW('CASE MASTER'!$T$2:$T$495))-(ROW('CASE MASTER'!#REF!)-1)))+((9-INDEX('CASE MASTER'!$AA$2:$AA$495,(SUMPRODUCT((('CASE MASTER'!$T$2:$T$495=13)*('CASE MASTER'!$AA$2:$AA$495&lt;=9)*('CASE MASTER'!$AC$2:$AC$495&gt;=9)*('CASE MASTER'!$AB$2:$AB$495&lt;=3)*('CASE MASTER'!$AD$2:$AD$495&gt;=3))*ROW('CASE MASTER'!$T$2:$T$495))-(ROW('CASE MASTER'!#REF!)-1))))*(INDEX('CASE MASTER'!$AD$2:$AD$495,(SUMPRODUCT((('CASE MASTER'!$T$2:$T$495=13)*('CASE MASTER'!$AA$2:$AA$495&lt;=9)*('CASE MASTER'!$AC$2:$AC$495&gt;=9)*('CASE MASTER'!$AB$2:$AB$495&lt;=3)*('CASE MASTER'!$AD$2:$AD$495&gt;=3))*ROW('CASE MASTER'!$T$2:$T$495))-(ROW('CASE MASTER'!#REF!)-1)))-INDEX('CASE MASTER'!$AB$2:$AB$495,(SUMPRODUCT((('CASE MASTER'!$T$2:$T$495=13)*('CASE MASTER'!$AA$2:$AA$495&lt;=9)*('CASE MASTER'!$AC$2:$AC$495&gt;=9)*('CASE MASTER'!$AB$2:$AB$495&lt;=3)*('CASE MASTER'!$AD$2:$AD$495&gt;=3))*ROW('CASE MASTER'!$T$2:$T$495))-(ROW('CASE MASTER'!#REF!)-1)))+1)+(3-INDEX('CASE MASTER'!$AB$2:$AB$495,(SUMPRODUCT((('CASE MASTER'!$T$2:$T$495=13)*('CASE MASTER'!$AA$2:$AA$495&lt;=9)*('CASE MASTER'!$AC$2:$AC$495&gt;=9)*('CASE MASTER'!$AB$2:$AB$495&lt;=3)*('CASE MASTER'!$AD$2:$AD$495&gt;=3))*ROW('CASE MASTER'!$T$2:$T$495))-(ROW('CASE MASTER'!#REF!)-1))))+1)))-1)*50+1,50))&amp;"_"&amp;INDEX('CASE MASTER'!$Q$2:$Q$495,(SUMPRODUCT((('CASE MASTER'!$T$2:$T$495=13)*('CASE MASTER'!$AA$2:$AA$495&lt;=9)*('CASE MASTER'!$AC$2:$AC$495&gt;=9)*('CASE MASTER'!$AB$2:$AB$495&lt;=3)*('CASE MASTER'!$AD$2:$AD$495&gt;=3))*ROW('CASE MASTER'!$T$2:$T$495))-(ROW('CASE MASTER'!#REF!)-1))),"")),"")</f>
        <v/>
      </c>
      <c r="E179" s="10" t="str">
        <f>IFERROR(IF(SUMPRODUCT((('CASE MASTER'!$T$2:$T$495=13)*('CASE MASTER'!$U$2:$U$495&lt;=9)*('CASE MASTER'!$W$2:$W$495&gt;=9)*('CASE MASTER'!$V$2:$V$495&lt;=4)*('CASE MASTER'!$X$2:$X$495&gt;=4))*ROW('CASE MASTER'!$T$2:$T$495))&gt;0,INDEX('CASE MASTER'!$Y$2:$Y$495,(SUMPRODUCT((('CASE MASTER'!$T$2:$T$495=13)*('CASE MASTER'!$U$2:$U$495&lt;=9)*('CASE MASTER'!$W$2:$W$495&gt;=9)*('CASE MASTER'!$V$2:$V$495&lt;=4)*('CASE MASTER'!$X$2:$X$495&gt;=4))*ROW('CASE MASTER'!$T$2:$T$495))-(ROW('CASE MASTER'!#REF!)-1)))&amp;TRIM(MID(SUBSTITUTE(SUBSTITUTE(INDEX('CASE MASTER'!$N$2:$N$495,(SUMPRODUCT((('CASE MASTER'!$T$2:$T$495=13)*('CASE MASTER'!$U$2:$U$495&lt;=9)*('CASE MASTER'!$W$2:$W$495&gt;=9)*('CASE MASTER'!$V$2:$V$495&lt;=4)*('CASE MASTER'!$X$2:$X$495&gt;=4))*ROW('CASE MASTER'!$T$2:$T$495))-(ROW('CASE MASTER'!#REF!)-1))),":",","),",",REPT(" ",50)),((((9-INDEX('CASE MASTER'!$U$2:$U$495,(SUMPRODUCT((('CASE MASTER'!$T$2:$T$495=13)*('CASE MASTER'!$U$2:$U$495&lt;=9)*('CASE MASTER'!$W$2:$W$495&gt;=9)*('CASE MASTER'!$V$2:$V$495&lt;=4)*('CASE MASTER'!$X$2:$X$495&gt;=4))*ROW('CASE MASTER'!$T$2:$T$495))-(ROW('CASE MASTER'!#REF!)-1))))*(INDEX('CASE MASTER'!$X$2:$X$495,(SUMPRODUCT((('CASE MASTER'!$T$2:$T$495=13)*('CASE MASTER'!$U$2:$U$495&lt;=9)*('CASE MASTER'!$W$2:$W$495&gt;=9)*('CASE MASTER'!$V$2:$V$495&lt;=4)*('CASE MASTER'!$X$2:$X$495&gt;=4))*ROW('CASE MASTER'!$T$2:$T$495))-(ROW('CASE MASTER'!#REF!)-1)))-INDEX('CASE MASTER'!$V$2:$V$495,(SUMPRODUCT((('CASE MASTER'!$T$2:$T$495=13)*('CASE MASTER'!$U$2:$U$495&lt;=9)*('CASE MASTER'!$W$2:$W$495&gt;=9)*('CASE MASTER'!$V$2:$V$495&lt;=4)*('CASE MASTER'!$X$2:$X$495&gt;=4))*ROW('CASE MASTER'!$T$2:$T$495))-(ROW('CASE MASTER'!#REF!)-1)))+1)+(4-INDEX('CASE MASTER'!$V$2:$V$495,(SUMPRODUCT((('CASE MASTER'!$T$2:$T$495=13)*('CASE MASTER'!$U$2:$U$495&lt;=9)*('CASE MASTER'!$W$2:$W$495&gt;=9)*('CASE MASTER'!$V$2:$V$495&lt;=4)*('CASE MASTER'!$X$2:$X$495&gt;=4))*ROW('CASE MASTER'!$T$2:$T$495))-(ROW('CASE MASTER'!#REF!)-1))))+1))-1)*50+1,50))&amp;"_"&amp;INDEX('CASE MASTER'!$Q$2:$Q$495,(SUMPRODUCT((('CASE MASTER'!$T$2:$T$495=13)*('CASE MASTER'!$U$2:$U$495&lt;=9)*('CASE MASTER'!$W$2:$W$495&gt;=9)*('CASE MASTER'!$V$2:$V$495&lt;=4)*('CASE MASTER'!$X$2:$X$495&gt;=4))*ROW('CASE MASTER'!$T$2:$T$495))-(ROW('CASE MASTER'!#REF!)-1))),IF(SUMPRODUCT((('CASE MASTER'!$T$2:$T$495=13)*('CASE MASTER'!$AA$2:$AA$495&lt;=9)*('CASE MASTER'!$AC$2:$AC$495&gt;=9)*('CASE MASTER'!$AB$2:$AB$495&lt;=4)*('CASE MASTER'!$AD$2:$AD$495&gt;=4))*ROW('CASE MASTER'!$T$2:$T$495))&gt;0,INDEX('CASE MASTER'!$Y$2:$Y$495,(SUMPRODUCT((('CASE MASTER'!$T$2:$T$495=13)*('CASE MASTER'!$AA$2:$AA$495&lt;=9)*('CASE MASTER'!$AC$2:$AC$495&gt;=9)*('CASE MASTER'!$AB$2:$AB$495&lt;=4)*('CASE MASTER'!$AD$2:$AD$495&gt;=4))*ROW('CASE MASTER'!$T$2:$T$495))-(ROW('CASE MASTER'!#REF!)-1)))&amp;TRIM(MID(SUBSTITUTE(SUBSTITUTE(INDEX('CASE MASTER'!$N$2:$N$495,(SUMPRODUCT((('CASE MASTER'!$T$2:$T$495=13)*('CASE MASTER'!$AA$2:$AA$495&lt;=9)*('CASE MASTER'!$AC$2:$AC$495&gt;=9)*('CASE MASTER'!$AB$2:$AB$495&lt;=4)*('CASE MASTER'!$AD$2:$AD$495&gt;=4))*ROW('CASE MASTER'!$T$2:$T$495))-(ROW('CASE MASTER'!#REF!)-1))),":",","),",",REPT(" ",50)),(((INDEX('CASE MASTER'!$Z$2:$Z$495,(SUMPRODUCT((('CASE MASTER'!$T$2:$T$495=13)*('CASE MASTER'!$AA$2:$AA$495&lt;=9)*('CASE MASTER'!$AC$2:$AC$495&gt;=9)*('CASE MASTER'!$AB$2:$AB$495&lt;=4)*('CASE MASTER'!$AD$2:$AD$495&gt;=4))*ROW('CASE MASTER'!$T$2:$T$495))-(ROW('CASE MASTER'!#REF!)-1)))+((9-INDEX('CASE MASTER'!$AA$2:$AA$495,(SUMPRODUCT((('CASE MASTER'!$T$2:$T$495=13)*('CASE MASTER'!$AA$2:$AA$495&lt;=9)*('CASE MASTER'!$AC$2:$AC$495&gt;=9)*('CASE MASTER'!$AB$2:$AB$495&lt;=4)*('CASE MASTER'!$AD$2:$AD$495&gt;=4))*ROW('CASE MASTER'!$T$2:$T$495))-(ROW('CASE MASTER'!#REF!)-1))))*(INDEX('CASE MASTER'!$AD$2:$AD$495,(SUMPRODUCT((('CASE MASTER'!$T$2:$T$495=13)*('CASE MASTER'!$AA$2:$AA$495&lt;=9)*('CASE MASTER'!$AC$2:$AC$495&gt;=9)*('CASE MASTER'!$AB$2:$AB$495&lt;=4)*('CASE MASTER'!$AD$2:$AD$495&gt;=4))*ROW('CASE MASTER'!$T$2:$T$495))-(ROW('CASE MASTER'!#REF!)-1)))-INDEX('CASE MASTER'!$AB$2:$AB$495,(SUMPRODUCT((('CASE MASTER'!$T$2:$T$495=13)*('CASE MASTER'!$AA$2:$AA$495&lt;=9)*('CASE MASTER'!$AC$2:$AC$495&gt;=9)*('CASE MASTER'!$AB$2:$AB$495&lt;=4)*('CASE MASTER'!$AD$2:$AD$495&gt;=4))*ROW('CASE MASTER'!$T$2:$T$495))-(ROW('CASE MASTER'!#REF!)-1)))+1)+(4-INDEX('CASE MASTER'!$AB$2:$AB$495,(SUMPRODUCT((('CASE MASTER'!$T$2:$T$495=13)*('CASE MASTER'!$AA$2:$AA$495&lt;=9)*('CASE MASTER'!$AC$2:$AC$495&gt;=9)*('CASE MASTER'!$AB$2:$AB$495&lt;=4)*('CASE MASTER'!$AD$2:$AD$495&gt;=4))*ROW('CASE MASTER'!$T$2:$T$495))-(ROW('CASE MASTER'!#REF!)-1))))+1)))-1)*50+1,50))&amp;"_"&amp;INDEX('CASE MASTER'!$Q$2:$Q$495,(SUMPRODUCT((('CASE MASTER'!$T$2:$T$495=13)*('CASE MASTER'!$AA$2:$AA$495&lt;=9)*('CASE MASTER'!$AC$2:$AC$495&gt;=9)*('CASE MASTER'!$AB$2:$AB$495&lt;=4)*('CASE MASTER'!$AD$2:$AD$495&gt;=4))*ROW('CASE MASTER'!$T$2:$T$495))-(ROW('CASE MASTER'!#REF!)-1))),"")),"")</f>
        <v/>
      </c>
      <c r="F179" s="10" t="str">
        <f>IFERROR(IF(SUMPRODUCT((('CASE MASTER'!$T$2:$T$495=13)*('CASE MASTER'!$U$2:$U$495&lt;=9)*('CASE MASTER'!$W$2:$W$495&gt;=9)*('CASE MASTER'!$V$2:$V$495&lt;=5)*('CASE MASTER'!$X$2:$X$495&gt;=5))*ROW('CASE MASTER'!$T$2:$T$495))&gt;0,INDEX('CASE MASTER'!$Y$2:$Y$495,(SUMPRODUCT((('CASE MASTER'!$T$2:$T$495=13)*('CASE MASTER'!$U$2:$U$495&lt;=9)*('CASE MASTER'!$W$2:$W$495&gt;=9)*('CASE MASTER'!$V$2:$V$495&lt;=5)*('CASE MASTER'!$X$2:$X$495&gt;=5))*ROW('CASE MASTER'!$T$2:$T$495))-(ROW('CASE MASTER'!#REF!)-1)))&amp;TRIM(MID(SUBSTITUTE(SUBSTITUTE(INDEX('CASE MASTER'!$N$2:$N$495,(SUMPRODUCT((('CASE MASTER'!$T$2:$T$495=13)*('CASE MASTER'!$U$2:$U$495&lt;=9)*('CASE MASTER'!$W$2:$W$495&gt;=9)*('CASE MASTER'!$V$2:$V$495&lt;=5)*('CASE MASTER'!$X$2:$X$495&gt;=5))*ROW('CASE MASTER'!$T$2:$T$495))-(ROW('CASE MASTER'!#REF!)-1))),":",","),",",REPT(" ",50)),((((9-INDEX('CASE MASTER'!$U$2:$U$495,(SUMPRODUCT((('CASE MASTER'!$T$2:$T$495=13)*('CASE MASTER'!$U$2:$U$495&lt;=9)*('CASE MASTER'!$W$2:$W$495&gt;=9)*('CASE MASTER'!$V$2:$V$495&lt;=5)*('CASE MASTER'!$X$2:$X$495&gt;=5))*ROW('CASE MASTER'!$T$2:$T$495))-(ROW('CASE MASTER'!#REF!)-1))))*(INDEX('CASE MASTER'!$X$2:$X$495,(SUMPRODUCT((('CASE MASTER'!$T$2:$T$495=13)*('CASE MASTER'!$U$2:$U$495&lt;=9)*('CASE MASTER'!$W$2:$W$495&gt;=9)*('CASE MASTER'!$V$2:$V$495&lt;=5)*('CASE MASTER'!$X$2:$X$495&gt;=5))*ROW('CASE MASTER'!$T$2:$T$495))-(ROW('CASE MASTER'!#REF!)-1)))-INDEX('CASE MASTER'!$V$2:$V$495,(SUMPRODUCT((('CASE MASTER'!$T$2:$T$495=13)*('CASE MASTER'!$U$2:$U$495&lt;=9)*('CASE MASTER'!$W$2:$W$495&gt;=9)*('CASE MASTER'!$V$2:$V$495&lt;=5)*('CASE MASTER'!$X$2:$X$495&gt;=5))*ROW('CASE MASTER'!$T$2:$T$495))-(ROW('CASE MASTER'!#REF!)-1)))+1)+(5-INDEX('CASE MASTER'!$V$2:$V$495,(SUMPRODUCT((('CASE MASTER'!$T$2:$T$495=13)*('CASE MASTER'!$U$2:$U$495&lt;=9)*('CASE MASTER'!$W$2:$W$495&gt;=9)*('CASE MASTER'!$V$2:$V$495&lt;=5)*('CASE MASTER'!$X$2:$X$495&gt;=5))*ROW('CASE MASTER'!$T$2:$T$495))-(ROW('CASE MASTER'!#REF!)-1))))+1))-1)*50+1,50))&amp;"_"&amp;INDEX('CASE MASTER'!$Q$2:$Q$495,(SUMPRODUCT((('CASE MASTER'!$T$2:$T$495=13)*('CASE MASTER'!$U$2:$U$495&lt;=9)*('CASE MASTER'!$W$2:$W$495&gt;=9)*('CASE MASTER'!$V$2:$V$495&lt;=5)*('CASE MASTER'!$X$2:$X$495&gt;=5))*ROW('CASE MASTER'!$T$2:$T$495))-(ROW('CASE MASTER'!#REF!)-1))),IF(SUMPRODUCT((('CASE MASTER'!$T$2:$T$495=13)*('CASE MASTER'!$AA$2:$AA$495&lt;=9)*('CASE MASTER'!$AC$2:$AC$495&gt;=9)*('CASE MASTER'!$AB$2:$AB$495&lt;=5)*('CASE MASTER'!$AD$2:$AD$495&gt;=5))*ROW('CASE MASTER'!$T$2:$T$495))&gt;0,INDEX('CASE MASTER'!$Y$2:$Y$495,(SUMPRODUCT((('CASE MASTER'!$T$2:$T$495=13)*('CASE MASTER'!$AA$2:$AA$495&lt;=9)*('CASE MASTER'!$AC$2:$AC$495&gt;=9)*('CASE MASTER'!$AB$2:$AB$495&lt;=5)*('CASE MASTER'!$AD$2:$AD$495&gt;=5))*ROW('CASE MASTER'!$T$2:$T$495))-(ROW('CASE MASTER'!#REF!)-1)))&amp;TRIM(MID(SUBSTITUTE(SUBSTITUTE(INDEX('CASE MASTER'!$N$2:$N$495,(SUMPRODUCT((('CASE MASTER'!$T$2:$T$495=13)*('CASE MASTER'!$AA$2:$AA$495&lt;=9)*('CASE MASTER'!$AC$2:$AC$495&gt;=9)*('CASE MASTER'!$AB$2:$AB$495&lt;=5)*('CASE MASTER'!$AD$2:$AD$495&gt;=5))*ROW('CASE MASTER'!$T$2:$T$495))-(ROW('CASE MASTER'!#REF!)-1))),":",","),",",REPT(" ",50)),(((INDEX('CASE MASTER'!$Z$2:$Z$495,(SUMPRODUCT((('CASE MASTER'!$T$2:$T$495=13)*('CASE MASTER'!$AA$2:$AA$495&lt;=9)*('CASE MASTER'!$AC$2:$AC$495&gt;=9)*('CASE MASTER'!$AB$2:$AB$495&lt;=5)*('CASE MASTER'!$AD$2:$AD$495&gt;=5))*ROW('CASE MASTER'!$T$2:$T$495))-(ROW('CASE MASTER'!#REF!)-1)))+((9-INDEX('CASE MASTER'!$AA$2:$AA$495,(SUMPRODUCT((('CASE MASTER'!$T$2:$T$495=13)*('CASE MASTER'!$AA$2:$AA$495&lt;=9)*('CASE MASTER'!$AC$2:$AC$495&gt;=9)*('CASE MASTER'!$AB$2:$AB$495&lt;=5)*('CASE MASTER'!$AD$2:$AD$495&gt;=5))*ROW('CASE MASTER'!$T$2:$T$495))-(ROW('CASE MASTER'!#REF!)-1))))*(INDEX('CASE MASTER'!$AD$2:$AD$495,(SUMPRODUCT((('CASE MASTER'!$T$2:$T$495=13)*('CASE MASTER'!$AA$2:$AA$495&lt;=9)*('CASE MASTER'!$AC$2:$AC$495&gt;=9)*('CASE MASTER'!$AB$2:$AB$495&lt;=5)*('CASE MASTER'!$AD$2:$AD$495&gt;=5))*ROW('CASE MASTER'!$T$2:$T$495))-(ROW('CASE MASTER'!#REF!)-1)))-INDEX('CASE MASTER'!$AB$2:$AB$495,(SUMPRODUCT((('CASE MASTER'!$T$2:$T$495=13)*('CASE MASTER'!$AA$2:$AA$495&lt;=9)*('CASE MASTER'!$AC$2:$AC$495&gt;=9)*('CASE MASTER'!$AB$2:$AB$495&lt;=5)*('CASE MASTER'!$AD$2:$AD$495&gt;=5))*ROW('CASE MASTER'!$T$2:$T$495))-(ROW('CASE MASTER'!#REF!)-1)))+1)+(5-INDEX('CASE MASTER'!$AB$2:$AB$495,(SUMPRODUCT((('CASE MASTER'!$T$2:$T$495=13)*('CASE MASTER'!$AA$2:$AA$495&lt;=9)*('CASE MASTER'!$AC$2:$AC$495&gt;=9)*('CASE MASTER'!$AB$2:$AB$495&lt;=5)*('CASE MASTER'!$AD$2:$AD$495&gt;=5))*ROW('CASE MASTER'!$T$2:$T$495))-(ROW('CASE MASTER'!#REF!)-1))))+1)))-1)*50+1,50))&amp;"_"&amp;INDEX('CASE MASTER'!$Q$2:$Q$495,(SUMPRODUCT((('CASE MASTER'!$T$2:$T$495=13)*('CASE MASTER'!$AA$2:$AA$495&lt;=9)*('CASE MASTER'!$AC$2:$AC$495&gt;=9)*('CASE MASTER'!$AB$2:$AB$495&lt;=5)*('CASE MASTER'!$AD$2:$AD$495&gt;=5))*ROW('CASE MASTER'!$T$2:$T$495))-(ROW('CASE MASTER'!#REF!)-1))),"")),"")</f>
        <v/>
      </c>
      <c r="G179" s="10" t="str">
        <f>IFERROR(IF(SUMPRODUCT((('CASE MASTER'!$T$2:$T$495=13)*('CASE MASTER'!$U$2:$U$495&lt;=9)*('CASE MASTER'!$W$2:$W$495&gt;=9)*('CASE MASTER'!$V$2:$V$495&lt;=6)*('CASE MASTER'!$X$2:$X$495&gt;=6))*ROW('CASE MASTER'!$T$2:$T$495))&gt;0,INDEX('CASE MASTER'!$Y$2:$Y$495,(SUMPRODUCT((('CASE MASTER'!$T$2:$T$495=13)*('CASE MASTER'!$U$2:$U$495&lt;=9)*('CASE MASTER'!$W$2:$W$495&gt;=9)*('CASE MASTER'!$V$2:$V$495&lt;=6)*('CASE MASTER'!$X$2:$X$495&gt;=6))*ROW('CASE MASTER'!$T$2:$T$495))-(ROW('CASE MASTER'!#REF!)-1)))&amp;TRIM(MID(SUBSTITUTE(SUBSTITUTE(INDEX('CASE MASTER'!$N$2:$N$495,(SUMPRODUCT((('CASE MASTER'!$T$2:$T$495=13)*('CASE MASTER'!$U$2:$U$495&lt;=9)*('CASE MASTER'!$W$2:$W$495&gt;=9)*('CASE MASTER'!$V$2:$V$495&lt;=6)*('CASE MASTER'!$X$2:$X$495&gt;=6))*ROW('CASE MASTER'!$T$2:$T$495))-(ROW('CASE MASTER'!#REF!)-1))),":",","),",",REPT(" ",50)),((((9-INDEX('CASE MASTER'!$U$2:$U$495,(SUMPRODUCT((('CASE MASTER'!$T$2:$T$495=13)*('CASE MASTER'!$U$2:$U$495&lt;=9)*('CASE MASTER'!$W$2:$W$495&gt;=9)*('CASE MASTER'!$V$2:$V$495&lt;=6)*('CASE MASTER'!$X$2:$X$495&gt;=6))*ROW('CASE MASTER'!$T$2:$T$495))-(ROW('CASE MASTER'!#REF!)-1))))*(INDEX('CASE MASTER'!$X$2:$X$495,(SUMPRODUCT((('CASE MASTER'!$T$2:$T$495=13)*('CASE MASTER'!$U$2:$U$495&lt;=9)*('CASE MASTER'!$W$2:$W$495&gt;=9)*('CASE MASTER'!$V$2:$V$495&lt;=6)*('CASE MASTER'!$X$2:$X$495&gt;=6))*ROW('CASE MASTER'!$T$2:$T$495))-(ROW('CASE MASTER'!#REF!)-1)))-INDEX('CASE MASTER'!$V$2:$V$495,(SUMPRODUCT((('CASE MASTER'!$T$2:$T$495=13)*('CASE MASTER'!$U$2:$U$495&lt;=9)*('CASE MASTER'!$W$2:$W$495&gt;=9)*('CASE MASTER'!$V$2:$V$495&lt;=6)*('CASE MASTER'!$X$2:$X$495&gt;=6))*ROW('CASE MASTER'!$T$2:$T$495))-(ROW('CASE MASTER'!#REF!)-1)))+1)+(6-INDEX('CASE MASTER'!$V$2:$V$495,(SUMPRODUCT((('CASE MASTER'!$T$2:$T$495=13)*('CASE MASTER'!$U$2:$U$495&lt;=9)*('CASE MASTER'!$W$2:$W$495&gt;=9)*('CASE MASTER'!$V$2:$V$495&lt;=6)*('CASE MASTER'!$X$2:$X$495&gt;=6))*ROW('CASE MASTER'!$T$2:$T$495))-(ROW('CASE MASTER'!#REF!)-1))))+1))-1)*50+1,50))&amp;"_"&amp;INDEX('CASE MASTER'!$Q$2:$Q$495,(SUMPRODUCT((('CASE MASTER'!$T$2:$T$495=13)*('CASE MASTER'!$U$2:$U$495&lt;=9)*('CASE MASTER'!$W$2:$W$495&gt;=9)*('CASE MASTER'!$V$2:$V$495&lt;=6)*('CASE MASTER'!$X$2:$X$495&gt;=6))*ROW('CASE MASTER'!$T$2:$T$495))-(ROW('CASE MASTER'!#REF!)-1))),IF(SUMPRODUCT((('CASE MASTER'!$T$2:$T$495=13)*('CASE MASTER'!$AA$2:$AA$495&lt;=9)*('CASE MASTER'!$AC$2:$AC$495&gt;=9)*('CASE MASTER'!$AB$2:$AB$495&lt;=6)*('CASE MASTER'!$AD$2:$AD$495&gt;=6))*ROW('CASE MASTER'!$T$2:$T$495))&gt;0,INDEX('CASE MASTER'!$Y$2:$Y$495,(SUMPRODUCT((('CASE MASTER'!$T$2:$T$495=13)*('CASE MASTER'!$AA$2:$AA$495&lt;=9)*('CASE MASTER'!$AC$2:$AC$495&gt;=9)*('CASE MASTER'!$AB$2:$AB$495&lt;=6)*('CASE MASTER'!$AD$2:$AD$495&gt;=6))*ROW('CASE MASTER'!$T$2:$T$495))-(ROW('CASE MASTER'!#REF!)-1)))&amp;TRIM(MID(SUBSTITUTE(SUBSTITUTE(INDEX('CASE MASTER'!$N$2:$N$495,(SUMPRODUCT((('CASE MASTER'!$T$2:$T$495=13)*('CASE MASTER'!$AA$2:$AA$495&lt;=9)*('CASE MASTER'!$AC$2:$AC$495&gt;=9)*('CASE MASTER'!$AB$2:$AB$495&lt;=6)*('CASE MASTER'!$AD$2:$AD$495&gt;=6))*ROW('CASE MASTER'!$T$2:$T$495))-(ROW('CASE MASTER'!#REF!)-1))),":",","),",",REPT(" ",50)),(((INDEX('CASE MASTER'!$Z$2:$Z$495,(SUMPRODUCT((('CASE MASTER'!$T$2:$T$495=13)*('CASE MASTER'!$AA$2:$AA$495&lt;=9)*('CASE MASTER'!$AC$2:$AC$495&gt;=9)*('CASE MASTER'!$AB$2:$AB$495&lt;=6)*('CASE MASTER'!$AD$2:$AD$495&gt;=6))*ROW('CASE MASTER'!$T$2:$T$495))-(ROW('CASE MASTER'!#REF!)-1)))+((9-INDEX('CASE MASTER'!$AA$2:$AA$495,(SUMPRODUCT((('CASE MASTER'!$T$2:$T$495=13)*('CASE MASTER'!$AA$2:$AA$495&lt;=9)*('CASE MASTER'!$AC$2:$AC$495&gt;=9)*('CASE MASTER'!$AB$2:$AB$495&lt;=6)*('CASE MASTER'!$AD$2:$AD$495&gt;=6))*ROW('CASE MASTER'!$T$2:$T$495))-(ROW('CASE MASTER'!#REF!)-1))))*(INDEX('CASE MASTER'!$AD$2:$AD$495,(SUMPRODUCT((('CASE MASTER'!$T$2:$T$495=13)*('CASE MASTER'!$AA$2:$AA$495&lt;=9)*('CASE MASTER'!$AC$2:$AC$495&gt;=9)*('CASE MASTER'!$AB$2:$AB$495&lt;=6)*('CASE MASTER'!$AD$2:$AD$495&gt;=6))*ROW('CASE MASTER'!$T$2:$T$495))-(ROW('CASE MASTER'!#REF!)-1)))-INDEX('CASE MASTER'!$AB$2:$AB$495,(SUMPRODUCT((('CASE MASTER'!$T$2:$T$495=13)*('CASE MASTER'!$AA$2:$AA$495&lt;=9)*('CASE MASTER'!$AC$2:$AC$495&gt;=9)*('CASE MASTER'!$AB$2:$AB$495&lt;=6)*('CASE MASTER'!$AD$2:$AD$495&gt;=6))*ROW('CASE MASTER'!$T$2:$T$495))-(ROW('CASE MASTER'!#REF!)-1)))+1)+(6-INDEX('CASE MASTER'!$AB$2:$AB$495,(SUMPRODUCT((('CASE MASTER'!$T$2:$T$495=13)*('CASE MASTER'!$AA$2:$AA$495&lt;=9)*('CASE MASTER'!$AC$2:$AC$495&gt;=9)*('CASE MASTER'!$AB$2:$AB$495&lt;=6)*('CASE MASTER'!$AD$2:$AD$495&gt;=6))*ROW('CASE MASTER'!$T$2:$T$495))-(ROW('CASE MASTER'!#REF!)-1))))+1)))-1)*50+1,50))&amp;"_"&amp;INDEX('CASE MASTER'!$Q$2:$Q$495,(SUMPRODUCT((('CASE MASTER'!$T$2:$T$495=13)*('CASE MASTER'!$AA$2:$AA$495&lt;=9)*('CASE MASTER'!$AC$2:$AC$495&gt;=9)*('CASE MASTER'!$AB$2:$AB$495&lt;=6)*('CASE MASTER'!$AD$2:$AD$495&gt;=6))*ROW('CASE MASTER'!$T$2:$T$495))-(ROW('CASE MASTER'!#REF!)-1))),"")),"")</f>
        <v/>
      </c>
      <c r="H179" s="10" t="str">
        <f>IFERROR(IF(SUMPRODUCT((('CASE MASTER'!$T$2:$T$495=13)*('CASE MASTER'!$U$2:$U$495&lt;=9)*('CASE MASTER'!$W$2:$W$495&gt;=9)*('CASE MASTER'!$V$2:$V$495&lt;=7)*('CASE MASTER'!$X$2:$X$495&gt;=7))*ROW('CASE MASTER'!$T$2:$T$495))&gt;0,INDEX('CASE MASTER'!$Y$2:$Y$495,(SUMPRODUCT((('CASE MASTER'!$T$2:$T$495=13)*('CASE MASTER'!$U$2:$U$495&lt;=9)*('CASE MASTER'!$W$2:$W$495&gt;=9)*('CASE MASTER'!$V$2:$V$495&lt;=7)*('CASE MASTER'!$X$2:$X$495&gt;=7))*ROW('CASE MASTER'!$T$2:$T$495))-(ROW('CASE MASTER'!#REF!)-1)))&amp;TRIM(MID(SUBSTITUTE(SUBSTITUTE(INDEX('CASE MASTER'!$N$2:$N$495,(SUMPRODUCT((('CASE MASTER'!$T$2:$T$495=13)*('CASE MASTER'!$U$2:$U$495&lt;=9)*('CASE MASTER'!$W$2:$W$495&gt;=9)*('CASE MASTER'!$V$2:$V$495&lt;=7)*('CASE MASTER'!$X$2:$X$495&gt;=7))*ROW('CASE MASTER'!$T$2:$T$495))-(ROW('CASE MASTER'!#REF!)-1))),":",","),",",REPT(" ",50)),((((9-INDEX('CASE MASTER'!$U$2:$U$495,(SUMPRODUCT((('CASE MASTER'!$T$2:$T$495=13)*('CASE MASTER'!$U$2:$U$495&lt;=9)*('CASE MASTER'!$W$2:$W$495&gt;=9)*('CASE MASTER'!$V$2:$V$495&lt;=7)*('CASE MASTER'!$X$2:$X$495&gt;=7))*ROW('CASE MASTER'!$T$2:$T$495))-(ROW('CASE MASTER'!#REF!)-1))))*(INDEX('CASE MASTER'!$X$2:$X$495,(SUMPRODUCT((('CASE MASTER'!$T$2:$T$495=13)*('CASE MASTER'!$U$2:$U$495&lt;=9)*('CASE MASTER'!$W$2:$W$495&gt;=9)*('CASE MASTER'!$V$2:$V$495&lt;=7)*('CASE MASTER'!$X$2:$X$495&gt;=7))*ROW('CASE MASTER'!$T$2:$T$495))-(ROW('CASE MASTER'!#REF!)-1)))-INDEX('CASE MASTER'!$V$2:$V$495,(SUMPRODUCT((('CASE MASTER'!$T$2:$T$495=13)*('CASE MASTER'!$U$2:$U$495&lt;=9)*('CASE MASTER'!$W$2:$W$495&gt;=9)*('CASE MASTER'!$V$2:$V$495&lt;=7)*('CASE MASTER'!$X$2:$X$495&gt;=7))*ROW('CASE MASTER'!$T$2:$T$495))-(ROW('CASE MASTER'!#REF!)-1)))+1)+(7-INDEX('CASE MASTER'!$V$2:$V$495,(SUMPRODUCT((('CASE MASTER'!$T$2:$T$495=13)*('CASE MASTER'!$U$2:$U$495&lt;=9)*('CASE MASTER'!$W$2:$W$495&gt;=9)*('CASE MASTER'!$V$2:$V$495&lt;=7)*('CASE MASTER'!$X$2:$X$495&gt;=7))*ROW('CASE MASTER'!$T$2:$T$495))-(ROW('CASE MASTER'!#REF!)-1))))+1))-1)*50+1,50))&amp;"_"&amp;INDEX('CASE MASTER'!$Q$2:$Q$495,(SUMPRODUCT((('CASE MASTER'!$T$2:$T$495=13)*('CASE MASTER'!$U$2:$U$495&lt;=9)*('CASE MASTER'!$W$2:$W$495&gt;=9)*('CASE MASTER'!$V$2:$V$495&lt;=7)*('CASE MASTER'!$X$2:$X$495&gt;=7))*ROW('CASE MASTER'!$T$2:$T$495))-(ROW('CASE MASTER'!#REF!)-1))),IF(SUMPRODUCT((('CASE MASTER'!$T$2:$T$495=13)*('CASE MASTER'!$AA$2:$AA$495&lt;=9)*('CASE MASTER'!$AC$2:$AC$495&gt;=9)*('CASE MASTER'!$AB$2:$AB$495&lt;=7)*('CASE MASTER'!$AD$2:$AD$495&gt;=7))*ROW('CASE MASTER'!$T$2:$T$495))&gt;0,INDEX('CASE MASTER'!$Y$2:$Y$495,(SUMPRODUCT((('CASE MASTER'!$T$2:$T$495=13)*('CASE MASTER'!$AA$2:$AA$495&lt;=9)*('CASE MASTER'!$AC$2:$AC$495&gt;=9)*('CASE MASTER'!$AB$2:$AB$495&lt;=7)*('CASE MASTER'!$AD$2:$AD$495&gt;=7))*ROW('CASE MASTER'!$T$2:$T$495))-(ROW('CASE MASTER'!#REF!)-1)))&amp;TRIM(MID(SUBSTITUTE(SUBSTITUTE(INDEX('CASE MASTER'!$N$2:$N$495,(SUMPRODUCT((('CASE MASTER'!$T$2:$T$495=13)*('CASE MASTER'!$AA$2:$AA$495&lt;=9)*('CASE MASTER'!$AC$2:$AC$495&gt;=9)*('CASE MASTER'!$AB$2:$AB$495&lt;=7)*('CASE MASTER'!$AD$2:$AD$495&gt;=7))*ROW('CASE MASTER'!$T$2:$T$495))-(ROW('CASE MASTER'!#REF!)-1))),":",","),",",REPT(" ",50)),(((INDEX('CASE MASTER'!$Z$2:$Z$495,(SUMPRODUCT((('CASE MASTER'!$T$2:$T$495=13)*('CASE MASTER'!$AA$2:$AA$495&lt;=9)*('CASE MASTER'!$AC$2:$AC$495&gt;=9)*('CASE MASTER'!$AB$2:$AB$495&lt;=7)*('CASE MASTER'!$AD$2:$AD$495&gt;=7))*ROW('CASE MASTER'!$T$2:$T$495))-(ROW('CASE MASTER'!#REF!)-1)))+((9-INDEX('CASE MASTER'!$AA$2:$AA$495,(SUMPRODUCT((('CASE MASTER'!$T$2:$T$495=13)*('CASE MASTER'!$AA$2:$AA$495&lt;=9)*('CASE MASTER'!$AC$2:$AC$495&gt;=9)*('CASE MASTER'!$AB$2:$AB$495&lt;=7)*('CASE MASTER'!$AD$2:$AD$495&gt;=7))*ROW('CASE MASTER'!$T$2:$T$495))-(ROW('CASE MASTER'!#REF!)-1))))*(INDEX('CASE MASTER'!$AD$2:$AD$495,(SUMPRODUCT((('CASE MASTER'!$T$2:$T$495=13)*('CASE MASTER'!$AA$2:$AA$495&lt;=9)*('CASE MASTER'!$AC$2:$AC$495&gt;=9)*('CASE MASTER'!$AB$2:$AB$495&lt;=7)*('CASE MASTER'!$AD$2:$AD$495&gt;=7))*ROW('CASE MASTER'!$T$2:$T$495))-(ROW('CASE MASTER'!#REF!)-1)))-INDEX('CASE MASTER'!$AB$2:$AB$495,(SUMPRODUCT((('CASE MASTER'!$T$2:$T$495=13)*('CASE MASTER'!$AA$2:$AA$495&lt;=9)*('CASE MASTER'!$AC$2:$AC$495&gt;=9)*('CASE MASTER'!$AB$2:$AB$495&lt;=7)*('CASE MASTER'!$AD$2:$AD$495&gt;=7))*ROW('CASE MASTER'!$T$2:$T$495))-(ROW('CASE MASTER'!#REF!)-1)))+1)+(7-INDEX('CASE MASTER'!$AB$2:$AB$495,(SUMPRODUCT((('CASE MASTER'!$T$2:$T$495=13)*('CASE MASTER'!$AA$2:$AA$495&lt;=9)*('CASE MASTER'!$AC$2:$AC$495&gt;=9)*('CASE MASTER'!$AB$2:$AB$495&lt;=7)*('CASE MASTER'!$AD$2:$AD$495&gt;=7))*ROW('CASE MASTER'!$T$2:$T$495))-(ROW('CASE MASTER'!#REF!)-1))))+1)))-1)*50+1,50))&amp;"_"&amp;INDEX('CASE MASTER'!$Q$2:$Q$495,(SUMPRODUCT((('CASE MASTER'!$T$2:$T$495=13)*('CASE MASTER'!$AA$2:$AA$495&lt;=9)*('CASE MASTER'!$AC$2:$AC$495&gt;=9)*('CASE MASTER'!$AB$2:$AB$495&lt;=7)*('CASE MASTER'!$AD$2:$AD$495&gt;=7))*ROW('CASE MASTER'!$T$2:$T$495))-(ROW('CASE MASTER'!#REF!)-1))),"")),"")</f>
        <v/>
      </c>
      <c r="I179" s="10" t="str">
        <f>IFERROR(IF(SUMPRODUCT((('CASE MASTER'!$T$2:$T$495=13)*('CASE MASTER'!$U$2:$U$495&lt;=9)*('CASE MASTER'!$W$2:$W$495&gt;=9)*('CASE MASTER'!$V$2:$V$495&lt;=8)*('CASE MASTER'!$X$2:$X$495&gt;=8))*ROW('CASE MASTER'!$T$2:$T$495))&gt;0,INDEX('CASE MASTER'!$Y$2:$Y$495,(SUMPRODUCT((('CASE MASTER'!$T$2:$T$495=13)*('CASE MASTER'!$U$2:$U$495&lt;=9)*('CASE MASTER'!$W$2:$W$495&gt;=9)*('CASE MASTER'!$V$2:$V$495&lt;=8)*('CASE MASTER'!$X$2:$X$495&gt;=8))*ROW('CASE MASTER'!$T$2:$T$495))-(ROW('CASE MASTER'!#REF!)-1)))&amp;TRIM(MID(SUBSTITUTE(SUBSTITUTE(INDEX('CASE MASTER'!$N$2:$N$495,(SUMPRODUCT((('CASE MASTER'!$T$2:$T$495=13)*('CASE MASTER'!$U$2:$U$495&lt;=9)*('CASE MASTER'!$W$2:$W$495&gt;=9)*('CASE MASTER'!$V$2:$V$495&lt;=8)*('CASE MASTER'!$X$2:$X$495&gt;=8))*ROW('CASE MASTER'!$T$2:$T$495))-(ROW('CASE MASTER'!#REF!)-1))),":",","),",",REPT(" ",50)),((((9-INDEX('CASE MASTER'!$U$2:$U$495,(SUMPRODUCT((('CASE MASTER'!$T$2:$T$495=13)*('CASE MASTER'!$U$2:$U$495&lt;=9)*('CASE MASTER'!$W$2:$W$495&gt;=9)*('CASE MASTER'!$V$2:$V$495&lt;=8)*('CASE MASTER'!$X$2:$X$495&gt;=8))*ROW('CASE MASTER'!$T$2:$T$495))-(ROW('CASE MASTER'!#REF!)-1))))*(INDEX('CASE MASTER'!$X$2:$X$495,(SUMPRODUCT((('CASE MASTER'!$T$2:$T$495=13)*('CASE MASTER'!$U$2:$U$495&lt;=9)*('CASE MASTER'!$W$2:$W$495&gt;=9)*('CASE MASTER'!$V$2:$V$495&lt;=8)*('CASE MASTER'!$X$2:$X$495&gt;=8))*ROW('CASE MASTER'!$T$2:$T$495))-(ROW('CASE MASTER'!#REF!)-1)))-INDEX('CASE MASTER'!$V$2:$V$495,(SUMPRODUCT((('CASE MASTER'!$T$2:$T$495=13)*('CASE MASTER'!$U$2:$U$495&lt;=9)*('CASE MASTER'!$W$2:$W$495&gt;=9)*('CASE MASTER'!$V$2:$V$495&lt;=8)*('CASE MASTER'!$X$2:$X$495&gt;=8))*ROW('CASE MASTER'!$T$2:$T$495))-(ROW('CASE MASTER'!#REF!)-1)))+1)+(8-INDEX('CASE MASTER'!$V$2:$V$495,(SUMPRODUCT((('CASE MASTER'!$T$2:$T$495=13)*('CASE MASTER'!$U$2:$U$495&lt;=9)*('CASE MASTER'!$W$2:$W$495&gt;=9)*('CASE MASTER'!$V$2:$V$495&lt;=8)*('CASE MASTER'!$X$2:$X$495&gt;=8))*ROW('CASE MASTER'!$T$2:$T$495))-(ROW('CASE MASTER'!#REF!)-1))))+1))-1)*50+1,50))&amp;"_"&amp;INDEX('CASE MASTER'!$Q$2:$Q$495,(SUMPRODUCT((('CASE MASTER'!$T$2:$T$495=13)*('CASE MASTER'!$U$2:$U$495&lt;=9)*('CASE MASTER'!$W$2:$W$495&gt;=9)*('CASE MASTER'!$V$2:$V$495&lt;=8)*('CASE MASTER'!$X$2:$X$495&gt;=8))*ROW('CASE MASTER'!$T$2:$T$495))-(ROW('CASE MASTER'!#REF!)-1))),IF(SUMPRODUCT((('CASE MASTER'!$T$2:$T$495=13)*('CASE MASTER'!$AA$2:$AA$495&lt;=9)*('CASE MASTER'!$AC$2:$AC$495&gt;=9)*('CASE MASTER'!$AB$2:$AB$495&lt;=8)*('CASE MASTER'!$AD$2:$AD$495&gt;=8))*ROW('CASE MASTER'!$T$2:$T$495))&gt;0,INDEX('CASE MASTER'!$Y$2:$Y$495,(SUMPRODUCT((('CASE MASTER'!$T$2:$T$495=13)*('CASE MASTER'!$AA$2:$AA$495&lt;=9)*('CASE MASTER'!$AC$2:$AC$495&gt;=9)*('CASE MASTER'!$AB$2:$AB$495&lt;=8)*('CASE MASTER'!$AD$2:$AD$495&gt;=8))*ROW('CASE MASTER'!$T$2:$T$495))-(ROW('CASE MASTER'!#REF!)-1)))&amp;TRIM(MID(SUBSTITUTE(SUBSTITUTE(INDEX('CASE MASTER'!$N$2:$N$495,(SUMPRODUCT((('CASE MASTER'!$T$2:$T$495=13)*('CASE MASTER'!$AA$2:$AA$495&lt;=9)*('CASE MASTER'!$AC$2:$AC$495&gt;=9)*('CASE MASTER'!$AB$2:$AB$495&lt;=8)*('CASE MASTER'!$AD$2:$AD$495&gt;=8))*ROW('CASE MASTER'!$T$2:$T$495))-(ROW('CASE MASTER'!#REF!)-1))),":",","),",",REPT(" ",50)),(((INDEX('CASE MASTER'!$Z$2:$Z$495,(SUMPRODUCT((('CASE MASTER'!$T$2:$T$495=13)*('CASE MASTER'!$AA$2:$AA$495&lt;=9)*('CASE MASTER'!$AC$2:$AC$495&gt;=9)*('CASE MASTER'!$AB$2:$AB$495&lt;=8)*('CASE MASTER'!$AD$2:$AD$495&gt;=8))*ROW('CASE MASTER'!$T$2:$T$495))-(ROW('CASE MASTER'!#REF!)-1)))+((9-INDEX('CASE MASTER'!$AA$2:$AA$495,(SUMPRODUCT((('CASE MASTER'!$T$2:$T$495=13)*('CASE MASTER'!$AA$2:$AA$495&lt;=9)*('CASE MASTER'!$AC$2:$AC$495&gt;=9)*('CASE MASTER'!$AB$2:$AB$495&lt;=8)*('CASE MASTER'!$AD$2:$AD$495&gt;=8))*ROW('CASE MASTER'!$T$2:$T$495))-(ROW('CASE MASTER'!#REF!)-1))))*(INDEX('CASE MASTER'!$AD$2:$AD$495,(SUMPRODUCT((('CASE MASTER'!$T$2:$T$495=13)*('CASE MASTER'!$AA$2:$AA$495&lt;=9)*('CASE MASTER'!$AC$2:$AC$495&gt;=9)*('CASE MASTER'!$AB$2:$AB$495&lt;=8)*('CASE MASTER'!$AD$2:$AD$495&gt;=8))*ROW('CASE MASTER'!$T$2:$T$495))-(ROW('CASE MASTER'!#REF!)-1)))-INDEX('CASE MASTER'!$AB$2:$AB$495,(SUMPRODUCT((('CASE MASTER'!$T$2:$T$495=13)*('CASE MASTER'!$AA$2:$AA$495&lt;=9)*('CASE MASTER'!$AC$2:$AC$495&gt;=9)*('CASE MASTER'!$AB$2:$AB$495&lt;=8)*('CASE MASTER'!$AD$2:$AD$495&gt;=8))*ROW('CASE MASTER'!$T$2:$T$495))-(ROW('CASE MASTER'!#REF!)-1)))+1)+(8-INDEX('CASE MASTER'!$AB$2:$AB$495,(SUMPRODUCT((('CASE MASTER'!$T$2:$T$495=13)*('CASE MASTER'!$AA$2:$AA$495&lt;=9)*('CASE MASTER'!$AC$2:$AC$495&gt;=9)*('CASE MASTER'!$AB$2:$AB$495&lt;=8)*('CASE MASTER'!$AD$2:$AD$495&gt;=8))*ROW('CASE MASTER'!$T$2:$T$495))-(ROW('CASE MASTER'!#REF!)-1))))+1)))-1)*50+1,50))&amp;"_"&amp;INDEX('CASE MASTER'!$Q$2:$Q$495,(SUMPRODUCT((('CASE MASTER'!$T$2:$T$495=13)*('CASE MASTER'!$AA$2:$AA$495&lt;=9)*('CASE MASTER'!$AC$2:$AC$495&gt;=9)*('CASE MASTER'!$AB$2:$AB$495&lt;=8)*('CASE MASTER'!$AD$2:$AD$495&gt;=8))*ROW('CASE MASTER'!$T$2:$T$495))-(ROW('CASE MASTER'!#REF!)-1))),"")),"")</f>
        <v/>
      </c>
      <c r="J179" s="10" t="str">
        <f>IFERROR(IF(SUMPRODUCT((('CASE MASTER'!$T$2:$T$495=13)*('CASE MASTER'!$U$2:$U$495&lt;=9)*('CASE MASTER'!$W$2:$W$495&gt;=9)*('CASE MASTER'!$V$2:$V$495&lt;=9)*('CASE MASTER'!$X$2:$X$495&gt;=9))*ROW('CASE MASTER'!$T$2:$T$495))&gt;0,INDEX('CASE MASTER'!$Y$2:$Y$495,(SUMPRODUCT((('CASE MASTER'!$T$2:$T$495=13)*('CASE MASTER'!$U$2:$U$495&lt;=9)*('CASE MASTER'!$W$2:$W$495&gt;=9)*('CASE MASTER'!$V$2:$V$495&lt;=9)*('CASE MASTER'!$X$2:$X$495&gt;=9))*ROW('CASE MASTER'!$T$2:$T$495))-(ROW('CASE MASTER'!#REF!)-1)))&amp;TRIM(MID(SUBSTITUTE(SUBSTITUTE(INDEX('CASE MASTER'!$N$2:$N$495,(SUMPRODUCT((('CASE MASTER'!$T$2:$T$495=13)*('CASE MASTER'!$U$2:$U$495&lt;=9)*('CASE MASTER'!$W$2:$W$495&gt;=9)*('CASE MASTER'!$V$2:$V$495&lt;=9)*('CASE MASTER'!$X$2:$X$495&gt;=9))*ROW('CASE MASTER'!$T$2:$T$495))-(ROW('CASE MASTER'!#REF!)-1))),":",","),",",REPT(" ",50)),((((9-INDEX('CASE MASTER'!$U$2:$U$495,(SUMPRODUCT((('CASE MASTER'!$T$2:$T$495=13)*('CASE MASTER'!$U$2:$U$495&lt;=9)*('CASE MASTER'!$W$2:$W$495&gt;=9)*('CASE MASTER'!$V$2:$V$495&lt;=9)*('CASE MASTER'!$X$2:$X$495&gt;=9))*ROW('CASE MASTER'!$T$2:$T$495))-(ROW('CASE MASTER'!#REF!)-1))))*(INDEX('CASE MASTER'!$X$2:$X$495,(SUMPRODUCT((('CASE MASTER'!$T$2:$T$495=13)*('CASE MASTER'!$U$2:$U$495&lt;=9)*('CASE MASTER'!$W$2:$W$495&gt;=9)*('CASE MASTER'!$V$2:$V$495&lt;=9)*('CASE MASTER'!$X$2:$X$495&gt;=9))*ROW('CASE MASTER'!$T$2:$T$495))-(ROW('CASE MASTER'!#REF!)-1)))-INDEX('CASE MASTER'!$V$2:$V$495,(SUMPRODUCT((('CASE MASTER'!$T$2:$T$495=13)*('CASE MASTER'!$U$2:$U$495&lt;=9)*('CASE MASTER'!$W$2:$W$495&gt;=9)*('CASE MASTER'!$V$2:$V$495&lt;=9)*('CASE MASTER'!$X$2:$X$495&gt;=9))*ROW('CASE MASTER'!$T$2:$T$495))-(ROW('CASE MASTER'!#REF!)-1)))+1)+(9-INDEX('CASE MASTER'!$V$2:$V$495,(SUMPRODUCT((('CASE MASTER'!$T$2:$T$495=13)*('CASE MASTER'!$U$2:$U$495&lt;=9)*('CASE MASTER'!$W$2:$W$495&gt;=9)*('CASE MASTER'!$V$2:$V$495&lt;=9)*('CASE MASTER'!$X$2:$X$495&gt;=9))*ROW('CASE MASTER'!$T$2:$T$495))-(ROW('CASE MASTER'!#REF!)-1))))+1))-1)*50+1,50))&amp;"_"&amp;INDEX('CASE MASTER'!$Q$2:$Q$495,(SUMPRODUCT((('CASE MASTER'!$T$2:$T$495=13)*('CASE MASTER'!$U$2:$U$495&lt;=9)*('CASE MASTER'!$W$2:$W$495&gt;=9)*('CASE MASTER'!$V$2:$V$495&lt;=9)*('CASE MASTER'!$X$2:$X$495&gt;=9))*ROW('CASE MASTER'!$T$2:$T$495))-(ROW('CASE MASTER'!#REF!)-1))),IF(SUMPRODUCT((('CASE MASTER'!$T$2:$T$495=13)*('CASE MASTER'!$AA$2:$AA$495&lt;=9)*('CASE MASTER'!$AC$2:$AC$495&gt;=9)*('CASE MASTER'!$AB$2:$AB$495&lt;=9)*('CASE MASTER'!$AD$2:$AD$495&gt;=9))*ROW('CASE MASTER'!$T$2:$T$495))&gt;0,INDEX('CASE MASTER'!$Y$2:$Y$495,(SUMPRODUCT((('CASE MASTER'!$T$2:$T$495=13)*('CASE MASTER'!$AA$2:$AA$495&lt;=9)*('CASE MASTER'!$AC$2:$AC$495&gt;=9)*('CASE MASTER'!$AB$2:$AB$495&lt;=9)*('CASE MASTER'!$AD$2:$AD$495&gt;=9))*ROW('CASE MASTER'!$T$2:$T$495))-(ROW('CASE MASTER'!#REF!)-1)))&amp;TRIM(MID(SUBSTITUTE(SUBSTITUTE(INDEX('CASE MASTER'!$N$2:$N$495,(SUMPRODUCT((('CASE MASTER'!$T$2:$T$495=13)*('CASE MASTER'!$AA$2:$AA$495&lt;=9)*('CASE MASTER'!$AC$2:$AC$495&gt;=9)*('CASE MASTER'!$AB$2:$AB$495&lt;=9)*('CASE MASTER'!$AD$2:$AD$495&gt;=9))*ROW('CASE MASTER'!$T$2:$T$495))-(ROW('CASE MASTER'!#REF!)-1))),":",","),",",REPT(" ",50)),(((INDEX('CASE MASTER'!$Z$2:$Z$495,(SUMPRODUCT((('CASE MASTER'!$T$2:$T$495=13)*('CASE MASTER'!$AA$2:$AA$495&lt;=9)*('CASE MASTER'!$AC$2:$AC$495&gt;=9)*('CASE MASTER'!$AB$2:$AB$495&lt;=9)*('CASE MASTER'!$AD$2:$AD$495&gt;=9))*ROW('CASE MASTER'!$T$2:$T$495))-(ROW('CASE MASTER'!#REF!)-1)))+((9-INDEX('CASE MASTER'!$AA$2:$AA$495,(SUMPRODUCT((('CASE MASTER'!$T$2:$T$495=13)*('CASE MASTER'!$AA$2:$AA$495&lt;=9)*('CASE MASTER'!$AC$2:$AC$495&gt;=9)*('CASE MASTER'!$AB$2:$AB$495&lt;=9)*('CASE MASTER'!$AD$2:$AD$495&gt;=9))*ROW('CASE MASTER'!$T$2:$T$495))-(ROW('CASE MASTER'!#REF!)-1))))*(INDEX('CASE MASTER'!$AD$2:$AD$495,(SUMPRODUCT((('CASE MASTER'!$T$2:$T$495=13)*('CASE MASTER'!$AA$2:$AA$495&lt;=9)*('CASE MASTER'!$AC$2:$AC$495&gt;=9)*('CASE MASTER'!$AB$2:$AB$495&lt;=9)*('CASE MASTER'!$AD$2:$AD$495&gt;=9))*ROW('CASE MASTER'!$T$2:$T$495))-(ROW('CASE MASTER'!#REF!)-1)))-INDEX('CASE MASTER'!$AB$2:$AB$495,(SUMPRODUCT((('CASE MASTER'!$T$2:$T$495=13)*('CASE MASTER'!$AA$2:$AA$495&lt;=9)*('CASE MASTER'!$AC$2:$AC$495&gt;=9)*('CASE MASTER'!$AB$2:$AB$495&lt;=9)*('CASE MASTER'!$AD$2:$AD$495&gt;=9))*ROW('CASE MASTER'!$T$2:$T$495))-(ROW('CASE MASTER'!#REF!)-1)))+1)+(9-INDEX('CASE MASTER'!$AB$2:$AB$495,(SUMPRODUCT((('CASE MASTER'!$T$2:$T$495=13)*('CASE MASTER'!$AA$2:$AA$495&lt;=9)*('CASE MASTER'!$AC$2:$AC$495&gt;=9)*('CASE MASTER'!$AB$2:$AB$495&lt;=9)*('CASE MASTER'!$AD$2:$AD$495&gt;=9))*ROW('CASE MASTER'!$T$2:$T$495))-(ROW('CASE MASTER'!#REF!)-1))))+1)))-1)*50+1,50))&amp;"_"&amp;INDEX('CASE MASTER'!$Q$2:$Q$495,(SUMPRODUCT((('CASE MASTER'!$T$2:$T$495=13)*('CASE MASTER'!$AA$2:$AA$495&lt;=9)*('CASE MASTER'!$AC$2:$AC$495&gt;=9)*('CASE MASTER'!$AB$2:$AB$495&lt;=9)*('CASE MASTER'!$AD$2:$AD$495&gt;=9))*ROW('CASE MASTER'!$T$2:$T$495))-(ROW('CASE MASTER'!#REF!)-1))),"")),"")</f>
        <v/>
      </c>
      <c r="K179" s="10" t="str">
        <f>IFERROR(IF(SUMPRODUCT((('CASE MASTER'!$T$2:$T$495=13)*('CASE MASTER'!$U$2:$U$495&lt;=9)*('CASE MASTER'!$W$2:$W$495&gt;=9)*('CASE MASTER'!$V$2:$V$495&lt;=10)*('CASE MASTER'!$X$2:$X$495&gt;=10))*ROW('CASE MASTER'!$T$2:$T$495))&gt;0,INDEX('CASE MASTER'!$Y$2:$Y$495,(SUMPRODUCT((('CASE MASTER'!$T$2:$T$495=13)*('CASE MASTER'!$U$2:$U$495&lt;=9)*('CASE MASTER'!$W$2:$W$495&gt;=9)*('CASE MASTER'!$V$2:$V$495&lt;=10)*('CASE MASTER'!$X$2:$X$495&gt;=10))*ROW('CASE MASTER'!$T$2:$T$495))-(ROW('CASE MASTER'!#REF!)-1)))&amp;TRIM(MID(SUBSTITUTE(SUBSTITUTE(INDEX('CASE MASTER'!$N$2:$N$495,(SUMPRODUCT((('CASE MASTER'!$T$2:$T$495=13)*('CASE MASTER'!$U$2:$U$495&lt;=9)*('CASE MASTER'!$W$2:$W$495&gt;=9)*('CASE MASTER'!$V$2:$V$495&lt;=10)*('CASE MASTER'!$X$2:$X$495&gt;=10))*ROW('CASE MASTER'!$T$2:$T$495))-(ROW('CASE MASTER'!#REF!)-1))),":",","),",",REPT(" ",50)),((((9-INDEX('CASE MASTER'!$U$2:$U$495,(SUMPRODUCT((('CASE MASTER'!$T$2:$T$495=13)*('CASE MASTER'!$U$2:$U$495&lt;=9)*('CASE MASTER'!$W$2:$W$495&gt;=9)*('CASE MASTER'!$V$2:$V$495&lt;=10)*('CASE MASTER'!$X$2:$X$495&gt;=10))*ROW('CASE MASTER'!$T$2:$T$495))-(ROW('CASE MASTER'!#REF!)-1))))*(INDEX('CASE MASTER'!$X$2:$X$495,(SUMPRODUCT((('CASE MASTER'!$T$2:$T$495=13)*('CASE MASTER'!$U$2:$U$495&lt;=9)*('CASE MASTER'!$W$2:$W$495&gt;=9)*('CASE MASTER'!$V$2:$V$495&lt;=10)*('CASE MASTER'!$X$2:$X$495&gt;=10))*ROW('CASE MASTER'!$T$2:$T$495))-(ROW('CASE MASTER'!#REF!)-1)))-INDEX('CASE MASTER'!$V$2:$V$495,(SUMPRODUCT((('CASE MASTER'!$T$2:$T$495=13)*('CASE MASTER'!$U$2:$U$495&lt;=9)*('CASE MASTER'!$W$2:$W$495&gt;=9)*('CASE MASTER'!$V$2:$V$495&lt;=10)*('CASE MASTER'!$X$2:$X$495&gt;=10))*ROW('CASE MASTER'!$T$2:$T$495))-(ROW('CASE MASTER'!#REF!)-1)))+1)+(10-INDEX('CASE MASTER'!$V$2:$V$495,(SUMPRODUCT((('CASE MASTER'!$T$2:$T$495=13)*('CASE MASTER'!$U$2:$U$495&lt;=9)*('CASE MASTER'!$W$2:$W$495&gt;=9)*('CASE MASTER'!$V$2:$V$495&lt;=10)*('CASE MASTER'!$X$2:$X$495&gt;=10))*ROW('CASE MASTER'!$T$2:$T$495))-(ROW('CASE MASTER'!#REF!)-1))))+1))-1)*50+1,50))&amp;"_"&amp;INDEX('CASE MASTER'!$Q$2:$Q$495,(SUMPRODUCT((('CASE MASTER'!$T$2:$T$495=13)*('CASE MASTER'!$U$2:$U$495&lt;=9)*('CASE MASTER'!$W$2:$W$495&gt;=9)*('CASE MASTER'!$V$2:$V$495&lt;=10)*('CASE MASTER'!$X$2:$X$495&gt;=10))*ROW('CASE MASTER'!$T$2:$T$495))-(ROW('CASE MASTER'!#REF!)-1))),IF(SUMPRODUCT((('CASE MASTER'!$T$2:$T$495=13)*('CASE MASTER'!$AA$2:$AA$495&lt;=9)*('CASE MASTER'!$AC$2:$AC$495&gt;=9)*('CASE MASTER'!$AB$2:$AB$495&lt;=10)*('CASE MASTER'!$AD$2:$AD$495&gt;=10))*ROW('CASE MASTER'!$T$2:$T$495))&gt;0,INDEX('CASE MASTER'!$Y$2:$Y$495,(SUMPRODUCT((('CASE MASTER'!$T$2:$T$495=13)*('CASE MASTER'!$AA$2:$AA$495&lt;=9)*('CASE MASTER'!$AC$2:$AC$495&gt;=9)*('CASE MASTER'!$AB$2:$AB$495&lt;=10)*('CASE MASTER'!$AD$2:$AD$495&gt;=10))*ROW('CASE MASTER'!$T$2:$T$495))-(ROW('CASE MASTER'!#REF!)-1)))&amp;TRIM(MID(SUBSTITUTE(SUBSTITUTE(INDEX('CASE MASTER'!$N$2:$N$495,(SUMPRODUCT((('CASE MASTER'!$T$2:$T$495=13)*('CASE MASTER'!$AA$2:$AA$495&lt;=9)*('CASE MASTER'!$AC$2:$AC$495&gt;=9)*('CASE MASTER'!$AB$2:$AB$495&lt;=10)*('CASE MASTER'!$AD$2:$AD$495&gt;=10))*ROW('CASE MASTER'!$T$2:$T$495))-(ROW('CASE MASTER'!#REF!)-1))),":",","),",",REPT(" ",50)),(((INDEX('CASE MASTER'!$Z$2:$Z$495,(SUMPRODUCT((('CASE MASTER'!$T$2:$T$495=13)*('CASE MASTER'!$AA$2:$AA$495&lt;=9)*('CASE MASTER'!$AC$2:$AC$495&gt;=9)*('CASE MASTER'!$AB$2:$AB$495&lt;=10)*('CASE MASTER'!$AD$2:$AD$495&gt;=10))*ROW('CASE MASTER'!$T$2:$T$495))-(ROW('CASE MASTER'!#REF!)-1)))+((9-INDEX('CASE MASTER'!$AA$2:$AA$495,(SUMPRODUCT((('CASE MASTER'!$T$2:$T$495=13)*('CASE MASTER'!$AA$2:$AA$495&lt;=9)*('CASE MASTER'!$AC$2:$AC$495&gt;=9)*('CASE MASTER'!$AB$2:$AB$495&lt;=10)*('CASE MASTER'!$AD$2:$AD$495&gt;=10))*ROW('CASE MASTER'!$T$2:$T$495))-(ROW('CASE MASTER'!#REF!)-1))))*(INDEX('CASE MASTER'!$AD$2:$AD$495,(SUMPRODUCT((('CASE MASTER'!$T$2:$T$495=13)*('CASE MASTER'!$AA$2:$AA$495&lt;=9)*('CASE MASTER'!$AC$2:$AC$495&gt;=9)*('CASE MASTER'!$AB$2:$AB$495&lt;=10)*('CASE MASTER'!$AD$2:$AD$495&gt;=10))*ROW('CASE MASTER'!$T$2:$T$495))-(ROW('CASE MASTER'!#REF!)-1)))-INDEX('CASE MASTER'!$AB$2:$AB$495,(SUMPRODUCT((('CASE MASTER'!$T$2:$T$495=13)*('CASE MASTER'!$AA$2:$AA$495&lt;=9)*('CASE MASTER'!$AC$2:$AC$495&gt;=9)*('CASE MASTER'!$AB$2:$AB$495&lt;=10)*('CASE MASTER'!$AD$2:$AD$495&gt;=10))*ROW('CASE MASTER'!$T$2:$T$495))-(ROW('CASE MASTER'!#REF!)-1)))+1)+(10-INDEX('CASE MASTER'!$AB$2:$AB$495,(SUMPRODUCT((('CASE MASTER'!$T$2:$T$495=13)*('CASE MASTER'!$AA$2:$AA$495&lt;=9)*('CASE MASTER'!$AC$2:$AC$495&gt;=9)*('CASE MASTER'!$AB$2:$AB$495&lt;=10)*('CASE MASTER'!$AD$2:$AD$495&gt;=10))*ROW('CASE MASTER'!$T$2:$T$495))-(ROW('CASE MASTER'!#REF!)-1))))+1)))-1)*50+1,50))&amp;"_"&amp;INDEX('CASE MASTER'!$Q$2:$Q$495,(SUMPRODUCT((('CASE MASTER'!$T$2:$T$495=13)*('CASE MASTER'!$AA$2:$AA$495&lt;=9)*('CASE MASTER'!$AC$2:$AC$495&gt;=9)*('CASE MASTER'!$AB$2:$AB$495&lt;=10)*('CASE MASTER'!$AD$2:$AD$495&gt;=10))*ROW('CASE MASTER'!$T$2:$T$495))-(ROW('CASE MASTER'!#REF!)-1))),"")),"")</f>
        <v/>
      </c>
    </row>
    <row r="180" spans="1:11" ht="15" customHeight="1" x14ac:dyDescent="0.35">
      <c r="A180" s="8" t="s">
        <v>82</v>
      </c>
      <c r="B180" s="10" t="str">
        <f>IFERROR(IF(SUMPRODUCT((('CASE MASTER'!$T$2:$T$495=13)*('CASE MASTER'!$U$2:$U$495&lt;=10)*('CASE MASTER'!$W$2:$W$495&gt;=10)*('CASE MASTER'!$V$2:$V$495&lt;=1)*('CASE MASTER'!$X$2:$X$495&gt;=1))*ROW('CASE MASTER'!$T$2:$T$495))&gt;0,INDEX('CASE MASTER'!$Y$2:$Y$495,(SUMPRODUCT((('CASE MASTER'!$T$2:$T$495=13)*('CASE MASTER'!$U$2:$U$495&lt;=10)*('CASE MASTER'!$W$2:$W$495&gt;=10)*('CASE MASTER'!$V$2:$V$495&lt;=1)*('CASE MASTER'!$X$2:$X$495&gt;=1))*ROW('CASE MASTER'!$T$2:$T$495))-(ROW('CASE MASTER'!#REF!)-1)))&amp;TRIM(MID(SUBSTITUTE(SUBSTITUTE(INDEX('CASE MASTER'!$N$2:$N$495,(SUMPRODUCT((('CASE MASTER'!$T$2:$T$495=13)*('CASE MASTER'!$U$2:$U$495&lt;=10)*('CASE MASTER'!$W$2:$W$495&gt;=10)*('CASE MASTER'!$V$2:$V$495&lt;=1)*('CASE MASTER'!$X$2:$X$495&gt;=1))*ROW('CASE MASTER'!$T$2:$T$495))-(ROW('CASE MASTER'!#REF!)-1))),":",","),",",REPT(" ",50)),((((10-INDEX('CASE MASTER'!$U$2:$U$495,(SUMPRODUCT((('CASE MASTER'!$T$2:$T$495=13)*('CASE MASTER'!$U$2:$U$495&lt;=10)*('CASE MASTER'!$W$2:$W$495&gt;=10)*('CASE MASTER'!$V$2:$V$495&lt;=1)*('CASE MASTER'!$X$2:$X$495&gt;=1))*ROW('CASE MASTER'!$T$2:$T$495))-(ROW('CASE MASTER'!#REF!)-1))))*(INDEX('CASE MASTER'!$X$2:$X$495,(SUMPRODUCT((('CASE MASTER'!$T$2:$T$495=13)*('CASE MASTER'!$U$2:$U$495&lt;=10)*('CASE MASTER'!$W$2:$W$495&gt;=10)*('CASE MASTER'!$V$2:$V$495&lt;=1)*('CASE MASTER'!$X$2:$X$495&gt;=1))*ROW('CASE MASTER'!$T$2:$T$495))-(ROW('CASE MASTER'!#REF!)-1)))-INDEX('CASE MASTER'!$V$2:$V$495,(SUMPRODUCT((('CASE MASTER'!$T$2:$T$495=13)*('CASE MASTER'!$U$2:$U$495&lt;=10)*('CASE MASTER'!$W$2:$W$495&gt;=10)*('CASE MASTER'!$V$2:$V$495&lt;=1)*('CASE MASTER'!$X$2:$X$495&gt;=1))*ROW('CASE MASTER'!$T$2:$T$495))-(ROW('CASE MASTER'!#REF!)-1)))+1)+(1-INDEX('CASE MASTER'!$V$2:$V$495,(SUMPRODUCT((('CASE MASTER'!$T$2:$T$495=13)*('CASE MASTER'!$U$2:$U$495&lt;=10)*('CASE MASTER'!$W$2:$W$495&gt;=10)*('CASE MASTER'!$V$2:$V$495&lt;=1)*('CASE MASTER'!$X$2:$X$495&gt;=1))*ROW('CASE MASTER'!$T$2:$T$495))-(ROW('CASE MASTER'!#REF!)-1))))+1))-1)*50+1,50))&amp;"_"&amp;INDEX('CASE MASTER'!$Q$2:$Q$495,(SUMPRODUCT((('CASE MASTER'!$T$2:$T$495=13)*('CASE MASTER'!$U$2:$U$495&lt;=10)*('CASE MASTER'!$W$2:$W$495&gt;=10)*('CASE MASTER'!$V$2:$V$495&lt;=1)*('CASE MASTER'!$X$2:$X$495&gt;=1))*ROW('CASE MASTER'!$T$2:$T$495))-(ROW('CASE MASTER'!#REF!)-1))),IF(SUMPRODUCT((('CASE MASTER'!$T$2:$T$495=13)*('CASE MASTER'!$AA$2:$AA$495&lt;=10)*('CASE MASTER'!$AC$2:$AC$495&gt;=10)*('CASE MASTER'!$AB$2:$AB$495&lt;=1)*('CASE MASTER'!$AD$2:$AD$495&gt;=1))*ROW('CASE MASTER'!$T$2:$T$495))&gt;0,INDEX('CASE MASTER'!$Y$2:$Y$495,(SUMPRODUCT((('CASE MASTER'!$T$2:$T$495=13)*('CASE MASTER'!$AA$2:$AA$495&lt;=10)*('CASE MASTER'!$AC$2:$AC$495&gt;=10)*('CASE MASTER'!$AB$2:$AB$495&lt;=1)*('CASE MASTER'!$AD$2:$AD$495&gt;=1))*ROW('CASE MASTER'!$T$2:$T$495))-(ROW('CASE MASTER'!#REF!)-1)))&amp;TRIM(MID(SUBSTITUTE(SUBSTITUTE(INDEX('CASE MASTER'!$N$2:$N$495,(SUMPRODUCT((('CASE MASTER'!$T$2:$T$495=13)*('CASE MASTER'!$AA$2:$AA$495&lt;=10)*('CASE MASTER'!$AC$2:$AC$495&gt;=10)*('CASE MASTER'!$AB$2:$AB$495&lt;=1)*('CASE MASTER'!$AD$2:$AD$495&gt;=1))*ROW('CASE MASTER'!$T$2:$T$495))-(ROW('CASE MASTER'!#REF!)-1))),":",","),",",REPT(" ",50)),(((INDEX('CASE MASTER'!$Z$2:$Z$495,(SUMPRODUCT((('CASE MASTER'!$T$2:$T$495=13)*('CASE MASTER'!$AA$2:$AA$495&lt;=10)*('CASE MASTER'!$AC$2:$AC$495&gt;=10)*('CASE MASTER'!$AB$2:$AB$495&lt;=1)*('CASE MASTER'!$AD$2:$AD$495&gt;=1))*ROW('CASE MASTER'!$T$2:$T$495))-(ROW('CASE MASTER'!#REF!)-1)))+((10-INDEX('CASE MASTER'!$AA$2:$AA$495,(SUMPRODUCT((('CASE MASTER'!$T$2:$T$495=13)*('CASE MASTER'!$AA$2:$AA$495&lt;=10)*('CASE MASTER'!$AC$2:$AC$495&gt;=10)*('CASE MASTER'!$AB$2:$AB$495&lt;=1)*('CASE MASTER'!$AD$2:$AD$495&gt;=1))*ROW('CASE MASTER'!$T$2:$T$495))-(ROW('CASE MASTER'!#REF!)-1))))*(INDEX('CASE MASTER'!$AD$2:$AD$495,(SUMPRODUCT((('CASE MASTER'!$T$2:$T$495=13)*('CASE MASTER'!$AA$2:$AA$495&lt;=10)*('CASE MASTER'!$AC$2:$AC$495&gt;=10)*('CASE MASTER'!$AB$2:$AB$495&lt;=1)*('CASE MASTER'!$AD$2:$AD$495&gt;=1))*ROW('CASE MASTER'!$T$2:$T$495))-(ROW('CASE MASTER'!#REF!)-1)))-INDEX('CASE MASTER'!$AB$2:$AB$495,(SUMPRODUCT((('CASE MASTER'!$T$2:$T$495=13)*('CASE MASTER'!$AA$2:$AA$495&lt;=10)*('CASE MASTER'!$AC$2:$AC$495&gt;=10)*('CASE MASTER'!$AB$2:$AB$495&lt;=1)*('CASE MASTER'!$AD$2:$AD$495&gt;=1))*ROW('CASE MASTER'!$T$2:$T$495))-(ROW('CASE MASTER'!#REF!)-1)))+1)+(1-INDEX('CASE MASTER'!$AB$2:$AB$495,(SUMPRODUCT((('CASE MASTER'!$T$2:$T$495=13)*('CASE MASTER'!$AA$2:$AA$495&lt;=10)*('CASE MASTER'!$AC$2:$AC$495&gt;=10)*('CASE MASTER'!$AB$2:$AB$495&lt;=1)*('CASE MASTER'!$AD$2:$AD$495&gt;=1))*ROW('CASE MASTER'!$T$2:$T$495))-(ROW('CASE MASTER'!#REF!)-1))))+1)))-1)*50+1,50))&amp;"_"&amp;INDEX('CASE MASTER'!$Q$2:$Q$495,(SUMPRODUCT((('CASE MASTER'!$T$2:$T$495=13)*('CASE MASTER'!$AA$2:$AA$495&lt;=10)*('CASE MASTER'!$AC$2:$AC$495&gt;=10)*('CASE MASTER'!$AB$2:$AB$495&lt;=1)*('CASE MASTER'!$AD$2:$AD$495&gt;=1))*ROW('CASE MASTER'!$T$2:$T$495))-(ROW('CASE MASTER'!#REF!)-1))),"")),"")</f>
        <v/>
      </c>
      <c r="C180" s="10" t="str">
        <f>IFERROR(IF(SUMPRODUCT((('CASE MASTER'!$T$2:$T$495=13)*('CASE MASTER'!$U$2:$U$495&lt;=10)*('CASE MASTER'!$W$2:$W$495&gt;=10)*('CASE MASTER'!$V$2:$V$495&lt;=2)*('CASE MASTER'!$X$2:$X$495&gt;=2))*ROW('CASE MASTER'!$T$2:$T$495))&gt;0,INDEX('CASE MASTER'!$Y$2:$Y$495,(SUMPRODUCT((('CASE MASTER'!$T$2:$T$495=13)*('CASE MASTER'!$U$2:$U$495&lt;=10)*('CASE MASTER'!$W$2:$W$495&gt;=10)*('CASE MASTER'!$V$2:$V$495&lt;=2)*('CASE MASTER'!$X$2:$X$495&gt;=2))*ROW('CASE MASTER'!$T$2:$T$495))-(ROW('CASE MASTER'!#REF!)-1)))&amp;TRIM(MID(SUBSTITUTE(SUBSTITUTE(INDEX('CASE MASTER'!$N$2:$N$495,(SUMPRODUCT((('CASE MASTER'!$T$2:$T$495=13)*('CASE MASTER'!$U$2:$U$495&lt;=10)*('CASE MASTER'!$W$2:$W$495&gt;=10)*('CASE MASTER'!$V$2:$V$495&lt;=2)*('CASE MASTER'!$X$2:$X$495&gt;=2))*ROW('CASE MASTER'!$T$2:$T$495))-(ROW('CASE MASTER'!#REF!)-1))),":",","),",",REPT(" ",50)),((((10-INDEX('CASE MASTER'!$U$2:$U$495,(SUMPRODUCT((('CASE MASTER'!$T$2:$T$495=13)*('CASE MASTER'!$U$2:$U$495&lt;=10)*('CASE MASTER'!$W$2:$W$495&gt;=10)*('CASE MASTER'!$V$2:$V$495&lt;=2)*('CASE MASTER'!$X$2:$X$495&gt;=2))*ROW('CASE MASTER'!$T$2:$T$495))-(ROW('CASE MASTER'!#REF!)-1))))*(INDEX('CASE MASTER'!$X$2:$X$495,(SUMPRODUCT((('CASE MASTER'!$T$2:$T$495=13)*('CASE MASTER'!$U$2:$U$495&lt;=10)*('CASE MASTER'!$W$2:$W$495&gt;=10)*('CASE MASTER'!$V$2:$V$495&lt;=2)*('CASE MASTER'!$X$2:$X$495&gt;=2))*ROW('CASE MASTER'!$T$2:$T$495))-(ROW('CASE MASTER'!#REF!)-1)))-INDEX('CASE MASTER'!$V$2:$V$495,(SUMPRODUCT((('CASE MASTER'!$T$2:$T$495=13)*('CASE MASTER'!$U$2:$U$495&lt;=10)*('CASE MASTER'!$W$2:$W$495&gt;=10)*('CASE MASTER'!$V$2:$V$495&lt;=2)*('CASE MASTER'!$X$2:$X$495&gt;=2))*ROW('CASE MASTER'!$T$2:$T$495))-(ROW('CASE MASTER'!#REF!)-1)))+1)+(2-INDEX('CASE MASTER'!$V$2:$V$495,(SUMPRODUCT((('CASE MASTER'!$T$2:$T$495=13)*('CASE MASTER'!$U$2:$U$495&lt;=10)*('CASE MASTER'!$W$2:$W$495&gt;=10)*('CASE MASTER'!$V$2:$V$495&lt;=2)*('CASE MASTER'!$X$2:$X$495&gt;=2))*ROW('CASE MASTER'!$T$2:$T$495))-(ROW('CASE MASTER'!#REF!)-1))))+1))-1)*50+1,50))&amp;"_"&amp;INDEX('CASE MASTER'!$Q$2:$Q$495,(SUMPRODUCT((('CASE MASTER'!$T$2:$T$495=13)*('CASE MASTER'!$U$2:$U$495&lt;=10)*('CASE MASTER'!$W$2:$W$495&gt;=10)*('CASE MASTER'!$V$2:$V$495&lt;=2)*('CASE MASTER'!$X$2:$X$495&gt;=2))*ROW('CASE MASTER'!$T$2:$T$495))-(ROW('CASE MASTER'!#REF!)-1))),IF(SUMPRODUCT((('CASE MASTER'!$T$2:$T$495=13)*('CASE MASTER'!$AA$2:$AA$495&lt;=10)*('CASE MASTER'!$AC$2:$AC$495&gt;=10)*('CASE MASTER'!$AB$2:$AB$495&lt;=2)*('CASE MASTER'!$AD$2:$AD$495&gt;=2))*ROW('CASE MASTER'!$T$2:$T$495))&gt;0,INDEX('CASE MASTER'!$Y$2:$Y$495,(SUMPRODUCT((('CASE MASTER'!$T$2:$T$495=13)*('CASE MASTER'!$AA$2:$AA$495&lt;=10)*('CASE MASTER'!$AC$2:$AC$495&gt;=10)*('CASE MASTER'!$AB$2:$AB$495&lt;=2)*('CASE MASTER'!$AD$2:$AD$495&gt;=2))*ROW('CASE MASTER'!$T$2:$T$495))-(ROW('CASE MASTER'!#REF!)-1)))&amp;TRIM(MID(SUBSTITUTE(SUBSTITUTE(INDEX('CASE MASTER'!$N$2:$N$495,(SUMPRODUCT((('CASE MASTER'!$T$2:$T$495=13)*('CASE MASTER'!$AA$2:$AA$495&lt;=10)*('CASE MASTER'!$AC$2:$AC$495&gt;=10)*('CASE MASTER'!$AB$2:$AB$495&lt;=2)*('CASE MASTER'!$AD$2:$AD$495&gt;=2))*ROW('CASE MASTER'!$T$2:$T$495))-(ROW('CASE MASTER'!#REF!)-1))),":",","),",",REPT(" ",50)),(((INDEX('CASE MASTER'!$Z$2:$Z$495,(SUMPRODUCT((('CASE MASTER'!$T$2:$T$495=13)*('CASE MASTER'!$AA$2:$AA$495&lt;=10)*('CASE MASTER'!$AC$2:$AC$495&gt;=10)*('CASE MASTER'!$AB$2:$AB$495&lt;=2)*('CASE MASTER'!$AD$2:$AD$495&gt;=2))*ROW('CASE MASTER'!$T$2:$T$495))-(ROW('CASE MASTER'!#REF!)-1)))+((10-INDEX('CASE MASTER'!$AA$2:$AA$495,(SUMPRODUCT((('CASE MASTER'!$T$2:$T$495=13)*('CASE MASTER'!$AA$2:$AA$495&lt;=10)*('CASE MASTER'!$AC$2:$AC$495&gt;=10)*('CASE MASTER'!$AB$2:$AB$495&lt;=2)*('CASE MASTER'!$AD$2:$AD$495&gt;=2))*ROW('CASE MASTER'!$T$2:$T$495))-(ROW('CASE MASTER'!#REF!)-1))))*(INDEX('CASE MASTER'!$AD$2:$AD$495,(SUMPRODUCT((('CASE MASTER'!$T$2:$T$495=13)*('CASE MASTER'!$AA$2:$AA$495&lt;=10)*('CASE MASTER'!$AC$2:$AC$495&gt;=10)*('CASE MASTER'!$AB$2:$AB$495&lt;=2)*('CASE MASTER'!$AD$2:$AD$495&gt;=2))*ROW('CASE MASTER'!$T$2:$T$495))-(ROW('CASE MASTER'!#REF!)-1)))-INDEX('CASE MASTER'!$AB$2:$AB$495,(SUMPRODUCT((('CASE MASTER'!$T$2:$T$495=13)*('CASE MASTER'!$AA$2:$AA$495&lt;=10)*('CASE MASTER'!$AC$2:$AC$495&gt;=10)*('CASE MASTER'!$AB$2:$AB$495&lt;=2)*('CASE MASTER'!$AD$2:$AD$495&gt;=2))*ROW('CASE MASTER'!$T$2:$T$495))-(ROW('CASE MASTER'!#REF!)-1)))+1)+(2-INDEX('CASE MASTER'!$AB$2:$AB$495,(SUMPRODUCT((('CASE MASTER'!$T$2:$T$495=13)*('CASE MASTER'!$AA$2:$AA$495&lt;=10)*('CASE MASTER'!$AC$2:$AC$495&gt;=10)*('CASE MASTER'!$AB$2:$AB$495&lt;=2)*('CASE MASTER'!$AD$2:$AD$495&gt;=2))*ROW('CASE MASTER'!$T$2:$T$495))-(ROW('CASE MASTER'!#REF!)-1))))+1)))-1)*50+1,50))&amp;"_"&amp;INDEX('CASE MASTER'!$Q$2:$Q$495,(SUMPRODUCT((('CASE MASTER'!$T$2:$T$495=13)*('CASE MASTER'!$AA$2:$AA$495&lt;=10)*('CASE MASTER'!$AC$2:$AC$495&gt;=10)*('CASE MASTER'!$AB$2:$AB$495&lt;=2)*('CASE MASTER'!$AD$2:$AD$495&gt;=2))*ROW('CASE MASTER'!$T$2:$T$495))-(ROW('CASE MASTER'!#REF!)-1))),"")),"")</f>
        <v/>
      </c>
      <c r="D180" s="10" t="str">
        <f>IFERROR(IF(SUMPRODUCT((('CASE MASTER'!$T$2:$T$495=13)*('CASE MASTER'!$U$2:$U$495&lt;=10)*('CASE MASTER'!$W$2:$W$495&gt;=10)*('CASE MASTER'!$V$2:$V$495&lt;=3)*('CASE MASTER'!$X$2:$X$495&gt;=3))*ROW('CASE MASTER'!$T$2:$T$495))&gt;0,INDEX('CASE MASTER'!$Y$2:$Y$495,(SUMPRODUCT((('CASE MASTER'!$T$2:$T$495=13)*('CASE MASTER'!$U$2:$U$495&lt;=10)*('CASE MASTER'!$W$2:$W$495&gt;=10)*('CASE MASTER'!$V$2:$V$495&lt;=3)*('CASE MASTER'!$X$2:$X$495&gt;=3))*ROW('CASE MASTER'!$T$2:$T$495))-(ROW('CASE MASTER'!#REF!)-1)))&amp;TRIM(MID(SUBSTITUTE(SUBSTITUTE(INDEX('CASE MASTER'!$N$2:$N$495,(SUMPRODUCT((('CASE MASTER'!$T$2:$T$495=13)*('CASE MASTER'!$U$2:$U$495&lt;=10)*('CASE MASTER'!$W$2:$W$495&gt;=10)*('CASE MASTER'!$V$2:$V$495&lt;=3)*('CASE MASTER'!$X$2:$X$495&gt;=3))*ROW('CASE MASTER'!$T$2:$T$495))-(ROW('CASE MASTER'!#REF!)-1))),":",","),",",REPT(" ",50)),((((10-INDEX('CASE MASTER'!$U$2:$U$495,(SUMPRODUCT((('CASE MASTER'!$T$2:$T$495=13)*('CASE MASTER'!$U$2:$U$495&lt;=10)*('CASE MASTER'!$W$2:$W$495&gt;=10)*('CASE MASTER'!$V$2:$V$495&lt;=3)*('CASE MASTER'!$X$2:$X$495&gt;=3))*ROW('CASE MASTER'!$T$2:$T$495))-(ROW('CASE MASTER'!#REF!)-1))))*(INDEX('CASE MASTER'!$X$2:$X$495,(SUMPRODUCT((('CASE MASTER'!$T$2:$T$495=13)*('CASE MASTER'!$U$2:$U$495&lt;=10)*('CASE MASTER'!$W$2:$W$495&gt;=10)*('CASE MASTER'!$V$2:$V$495&lt;=3)*('CASE MASTER'!$X$2:$X$495&gt;=3))*ROW('CASE MASTER'!$T$2:$T$495))-(ROW('CASE MASTER'!#REF!)-1)))-INDEX('CASE MASTER'!$V$2:$V$495,(SUMPRODUCT((('CASE MASTER'!$T$2:$T$495=13)*('CASE MASTER'!$U$2:$U$495&lt;=10)*('CASE MASTER'!$W$2:$W$495&gt;=10)*('CASE MASTER'!$V$2:$V$495&lt;=3)*('CASE MASTER'!$X$2:$X$495&gt;=3))*ROW('CASE MASTER'!$T$2:$T$495))-(ROW('CASE MASTER'!#REF!)-1)))+1)+(3-INDEX('CASE MASTER'!$V$2:$V$495,(SUMPRODUCT((('CASE MASTER'!$T$2:$T$495=13)*('CASE MASTER'!$U$2:$U$495&lt;=10)*('CASE MASTER'!$W$2:$W$495&gt;=10)*('CASE MASTER'!$V$2:$V$495&lt;=3)*('CASE MASTER'!$X$2:$X$495&gt;=3))*ROW('CASE MASTER'!$T$2:$T$495))-(ROW('CASE MASTER'!#REF!)-1))))+1))-1)*50+1,50))&amp;"_"&amp;INDEX('CASE MASTER'!$Q$2:$Q$495,(SUMPRODUCT((('CASE MASTER'!$T$2:$T$495=13)*('CASE MASTER'!$U$2:$U$495&lt;=10)*('CASE MASTER'!$W$2:$W$495&gt;=10)*('CASE MASTER'!$V$2:$V$495&lt;=3)*('CASE MASTER'!$X$2:$X$495&gt;=3))*ROW('CASE MASTER'!$T$2:$T$495))-(ROW('CASE MASTER'!#REF!)-1))),IF(SUMPRODUCT((('CASE MASTER'!$T$2:$T$495=13)*('CASE MASTER'!$AA$2:$AA$495&lt;=10)*('CASE MASTER'!$AC$2:$AC$495&gt;=10)*('CASE MASTER'!$AB$2:$AB$495&lt;=3)*('CASE MASTER'!$AD$2:$AD$495&gt;=3))*ROW('CASE MASTER'!$T$2:$T$495))&gt;0,INDEX('CASE MASTER'!$Y$2:$Y$495,(SUMPRODUCT((('CASE MASTER'!$T$2:$T$495=13)*('CASE MASTER'!$AA$2:$AA$495&lt;=10)*('CASE MASTER'!$AC$2:$AC$495&gt;=10)*('CASE MASTER'!$AB$2:$AB$495&lt;=3)*('CASE MASTER'!$AD$2:$AD$495&gt;=3))*ROW('CASE MASTER'!$T$2:$T$495))-(ROW('CASE MASTER'!#REF!)-1)))&amp;TRIM(MID(SUBSTITUTE(SUBSTITUTE(INDEX('CASE MASTER'!$N$2:$N$495,(SUMPRODUCT((('CASE MASTER'!$T$2:$T$495=13)*('CASE MASTER'!$AA$2:$AA$495&lt;=10)*('CASE MASTER'!$AC$2:$AC$495&gt;=10)*('CASE MASTER'!$AB$2:$AB$495&lt;=3)*('CASE MASTER'!$AD$2:$AD$495&gt;=3))*ROW('CASE MASTER'!$T$2:$T$495))-(ROW('CASE MASTER'!#REF!)-1))),":",","),",",REPT(" ",50)),(((INDEX('CASE MASTER'!$Z$2:$Z$495,(SUMPRODUCT((('CASE MASTER'!$T$2:$T$495=13)*('CASE MASTER'!$AA$2:$AA$495&lt;=10)*('CASE MASTER'!$AC$2:$AC$495&gt;=10)*('CASE MASTER'!$AB$2:$AB$495&lt;=3)*('CASE MASTER'!$AD$2:$AD$495&gt;=3))*ROW('CASE MASTER'!$T$2:$T$495))-(ROW('CASE MASTER'!#REF!)-1)))+((10-INDEX('CASE MASTER'!$AA$2:$AA$495,(SUMPRODUCT((('CASE MASTER'!$T$2:$T$495=13)*('CASE MASTER'!$AA$2:$AA$495&lt;=10)*('CASE MASTER'!$AC$2:$AC$495&gt;=10)*('CASE MASTER'!$AB$2:$AB$495&lt;=3)*('CASE MASTER'!$AD$2:$AD$495&gt;=3))*ROW('CASE MASTER'!$T$2:$T$495))-(ROW('CASE MASTER'!#REF!)-1))))*(INDEX('CASE MASTER'!$AD$2:$AD$495,(SUMPRODUCT((('CASE MASTER'!$T$2:$T$495=13)*('CASE MASTER'!$AA$2:$AA$495&lt;=10)*('CASE MASTER'!$AC$2:$AC$495&gt;=10)*('CASE MASTER'!$AB$2:$AB$495&lt;=3)*('CASE MASTER'!$AD$2:$AD$495&gt;=3))*ROW('CASE MASTER'!$T$2:$T$495))-(ROW('CASE MASTER'!#REF!)-1)))-INDEX('CASE MASTER'!$AB$2:$AB$495,(SUMPRODUCT((('CASE MASTER'!$T$2:$T$495=13)*('CASE MASTER'!$AA$2:$AA$495&lt;=10)*('CASE MASTER'!$AC$2:$AC$495&gt;=10)*('CASE MASTER'!$AB$2:$AB$495&lt;=3)*('CASE MASTER'!$AD$2:$AD$495&gt;=3))*ROW('CASE MASTER'!$T$2:$T$495))-(ROW('CASE MASTER'!#REF!)-1)))+1)+(3-INDEX('CASE MASTER'!$AB$2:$AB$495,(SUMPRODUCT((('CASE MASTER'!$T$2:$T$495=13)*('CASE MASTER'!$AA$2:$AA$495&lt;=10)*('CASE MASTER'!$AC$2:$AC$495&gt;=10)*('CASE MASTER'!$AB$2:$AB$495&lt;=3)*('CASE MASTER'!$AD$2:$AD$495&gt;=3))*ROW('CASE MASTER'!$T$2:$T$495))-(ROW('CASE MASTER'!#REF!)-1))))+1)))-1)*50+1,50))&amp;"_"&amp;INDEX('CASE MASTER'!$Q$2:$Q$495,(SUMPRODUCT((('CASE MASTER'!$T$2:$T$495=13)*('CASE MASTER'!$AA$2:$AA$495&lt;=10)*('CASE MASTER'!$AC$2:$AC$495&gt;=10)*('CASE MASTER'!$AB$2:$AB$495&lt;=3)*('CASE MASTER'!$AD$2:$AD$495&gt;=3))*ROW('CASE MASTER'!$T$2:$T$495))-(ROW('CASE MASTER'!#REF!)-1))),"")),"")</f>
        <v/>
      </c>
      <c r="E180" s="10" t="str">
        <f>IFERROR(IF(SUMPRODUCT((('CASE MASTER'!$T$2:$T$495=13)*('CASE MASTER'!$U$2:$U$495&lt;=10)*('CASE MASTER'!$W$2:$W$495&gt;=10)*('CASE MASTER'!$V$2:$V$495&lt;=4)*('CASE MASTER'!$X$2:$X$495&gt;=4))*ROW('CASE MASTER'!$T$2:$T$495))&gt;0,INDEX('CASE MASTER'!$Y$2:$Y$495,(SUMPRODUCT((('CASE MASTER'!$T$2:$T$495=13)*('CASE MASTER'!$U$2:$U$495&lt;=10)*('CASE MASTER'!$W$2:$W$495&gt;=10)*('CASE MASTER'!$V$2:$V$495&lt;=4)*('CASE MASTER'!$X$2:$X$495&gt;=4))*ROW('CASE MASTER'!$T$2:$T$495))-(ROW('CASE MASTER'!#REF!)-1)))&amp;TRIM(MID(SUBSTITUTE(SUBSTITUTE(INDEX('CASE MASTER'!$N$2:$N$495,(SUMPRODUCT((('CASE MASTER'!$T$2:$T$495=13)*('CASE MASTER'!$U$2:$U$495&lt;=10)*('CASE MASTER'!$W$2:$W$495&gt;=10)*('CASE MASTER'!$V$2:$V$495&lt;=4)*('CASE MASTER'!$X$2:$X$495&gt;=4))*ROW('CASE MASTER'!$T$2:$T$495))-(ROW('CASE MASTER'!#REF!)-1))),":",","),",",REPT(" ",50)),((((10-INDEX('CASE MASTER'!$U$2:$U$495,(SUMPRODUCT((('CASE MASTER'!$T$2:$T$495=13)*('CASE MASTER'!$U$2:$U$495&lt;=10)*('CASE MASTER'!$W$2:$W$495&gt;=10)*('CASE MASTER'!$V$2:$V$495&lt;=4)*('CASE MASTER'!$X$2:$X$495&gt;=4))*ROW('CASE MASTER'!$T$2:$T$495))-(ROW('CASE MASTER'!#REF!)-1))))*(INDEX('CASE MASTER'!$X$2:$X$495,(SUMPRODUCT((('CASE MASTER'!$T$2:$T$495=13)*('CASE MASTER'!$U$2:$U$495&lt;=10)*('CASE MASTER'!$W$2:$W$495&gt;=10)*('CASE MASTER'!$V$2:$V$495&lt;=4)*('CASE MASTER'!$X$2:$X$495&gt;=4))*ROW('CASE MASTER'!$T$2:$T$495))-(ROW('CASE MASTER'!#REF!)-1)))-INDEX('CASE MASTER'!$V$2:$V$495,(SUMPRODUCT((('CASE MASTER'!$T$2:$T$495=13)*('CASE MASTER'!$U$2:$U$495&lt;=10)*('CASE MASTER'!$W$2:$W$495&gt;=10)*('CASE MASTER'!$V$2:$V$495&lt;=4)*('CASE MASTER'!$X$2:$X$495&gt;=4))*ROW('CASE MASTER'!$T$2:$T$495))-(ROW('CASE MASTER'!#REF!)-1)))+1)+(4-INDEX('CASE MASTER'!$V$2:$V$495,(SUMPRODUCT((('CASE MASTER'!$T$2:$T$495=13)*('CASE MASTER'!$U$2:$U$495&lt;=10)*('CASE MASTER'!$W$2:$W$495&gt;=10)*('CASE MASTER'!$V$2:$V$495&lt;=4)*('CASE MASTER'!$X$2:$X$495&gt;=4))*ROW('CASE MASTER'!$T$2:$T$495))-(ROW('CASE MASTER'!#REF!)-1))))+1))-1)*50+1,50))&amp;"_"&amp;INDEX('CASE MASTER'!$Q$2:$Q$495,(SUMPRODUCT((('CASE MASTER'!$T$2:$T$495=13)*('CASE MASTER'!$U$2:$U$495&lt;=10)*('CASE MASTER'!$W$2:$W$495&gt;=10)*('CASE MASTER'!$V$2:$V$495&lt;=4)*('CASE MASTER'!$X$2:$X$495&gt;=4))*ROW('CASE MASTER'!$T$2:$T$495))-(ROW('CASE MASTER'!#REF!)-1))),IF(SUMPRODUCT((('CASE MASTER'!$T$2:$T$495=13)*('CASE MASTER'!$AA$2:$AA$495&lt;=10)*('CASE MASTER'!$AC$2:$AC$495&gt;=10)*('CASE MASTER'!$AB$2:$AB$495&lt;=4)*('CASE MASTER'!$AD$2:$AD$495&gt;=4))*ROW('CASE MASTER'!$T$2:$T$495))&gt;0,INDEX('CASE MASTER'!$Y$2:$Y$495,(SUMPRODUCT((('CASE MASTER'!$T$2:$T$495=13)*('CASE MASTER'!$AA$2:$AA$495&lt;=10)*('CASE MASTER'!$AC$2:$AC$495&gt;=10)*('CASE MASTER'!$AB$2:$AB$495&lt;=4)*('CASE MASTER'!$AD$2:$AD$495&gt;=4))*ROW('CASE MASTER'!$T$2:$T$495))-(ROW('CASE MASTER'!#REF!)-1)))&amp;TRIM(MID(SUBSTITUTE(SUBSTITUTE(INDEX('CASE MASTER'!$N$2:$N$495,(SUMPRODUCT((('CASE MASTER'!$T$2:$T$495=13)*('CASE MASTER'!$AA$2:$AA$495&lt;=10)*('CASE MASTER'!$AC$2:$AC$495&gt;=10)*('CASE MASTER'!$AB$2:$AB$495&lt;=4)*('CASE MASTER'!$AD$2:$AD$495&gt;=4))*ROW('CASE MASTER'!$T$2:$T$495))-(ROW('CASE MASTER'!#REF!)-1))),":",","),",",REPT(" ",50)),(((INDEX('CASE MASTER'!$Z$2:$Z$495,(SUMPRODUCT((('CASE MASTER'!$T$2:$T$495=13)*('CASE MASTER'!$AA$2:$AA$495&lt;=10)*('CASE MASTER'!$AC$2:$AC$495&gt;=10)*('CASE MASTER'!$AB$2:$AB$495&lt;=4)*('CASE MASTER'!$AD$2:$AD$495&gt;=4))*ROW('CASE MASTER'!$T$2:$T$495))-(ROW('CASE MASTER'!#REF!)-1)))+((10-INDEX('CASE MASTER'!$AA$2:$AA$495,(SUMPRODUCT((('CASE MASTER'!$T$2:$T$495=13)*('CASE MASTER'!$AA$2:$AA$495&lt;=10)*('CASE MASTER'!$AC$2:$AC$495&gt;=10)*('CASE MASTER'!$AB$2:$AB$495&lt;=4)*('CASE MASTER'!$AD$2:$AD$495&gt;=4))*ROW('CASE MASTER'!$T$2:$T$495))-(ROW('CASE MASTER'!#REF!)-1))))*(INDEX('CASE MASTER'!$AD$2:$AD$495,(SUMPRODUCT((('CASE MASTER'!$T$2:$T$495=13)*('CASE MASTER'!$AA$2:$AA$495&lt;=10)*('CASE MASTER'!$AC$2:$AC$495&gt;=10)*('CASE MASTER'!$AB$2:$AB$495&lt;=4)*('CASE MASTER'!$AD$2:$AD$495&gt;=4))*ROW('CASE MASTER'!$T$2:$T$495))-(ROW('CASE MASTER'!#REF!)-1)))-INDEX('CASE MASTER'!$AB$2:$AB$495,(SUMPRODUCT((('CASE MASTER'!$T$2:$T$495=13)*('CASE MASTER'!$AA$2:$AA$495&lt;=10)*('CASE MASTER'!$AC$2:$AC$495&gt;=10)*('CASE MASTER'!$AB$2:$AB$495&lt;=4)*('CASE MASTER'!$AD$2:$AD$495&gt;=4))*ROW('CASE MASTER'!$T$2:$T$495))-(ROW('CASE MASTER'!#REF!)-1)))+1)+(4-INDEX('CASE MASTER'!$AB$2:$AB$495,(SUMPRODUCT((('CASE MASTER'!$T$2:$T$495=13)*('CASE MASTER'!$AA$2:$AA$495&lt;=10)*('CASE MASTER'!$AC$2:$AC$495&gt;=10)*('CASE MASTER'!$AB$2:$AB$495&lt;=4)*('CASE MASTER'!$AD$2:$AD$495&gt;=4))*ROW('CASE MASTER'!$T$2:$T$495))-(ROW('CASE MASTER'!#REF!)-1))))+1)))-1)*50+1,50))&amp;"_"&amp;INDEX('CASE MASTER'!$Q$2:$Q$495,(SUMPRODUCT((('CASE MASTER'!$T$2:$T$495=13)*('CASE MASTER'!$AA$2:$AA$495&lt;=10)*('CASE MASTER'!$AC$2:$AC$495&gt;=10)*('CASE MASTER'!$AB$2:$AB$495&lt;=4)*('CASE MASTER'!$AD$2:$AD$495&gt;=4))*ROW('CASE MASTER'!$T$2:$T$495))-(ROW('CASE MASTER'!#REF!)-1))),"")),"")</f>
        <v/>
      </c>
      <c r="F180" s="10" t="str">
        <f>IFERROR(IF(SUMPRODUCT((('CASE MASTER'!$T$2:$T$495=13)*('CASE MASTER'!$U$2:$U$495&lt;=10)*('CASE MASTER'!$W$2:$W$495&gt;=10)*('CASE MASTER'!$V$2:$V$495&lt;=5)*('CASE MASTER'!$X$2:$X$495&gt;=5))*ROW('CASE MASTER'!$T$2:$T$495))&gt;0,INDEX('CASE MASTER'!$Y$2:$Y$495,(SUMPRODUCT((('CASE MASTER'!$T$2:$T$495=13)*('CASE MASTER'!$U$2:$U$495&lt;=10)*('CASE MASTER'!$W$2:$W$495&gt;=10)*('CASE MASTER'!$V$2:$V$495&lt;=5)*('CASE MASTER'!$X$2:$X$495&gt;=5))*ROW('CASE MASTER'!$T$2:$T$495))-(ROW('CASE MASTER'!#REF!)-1)))&amp;TRIM(MID(SUBSTITUTE(SUBSTITUTE(INDEX('CASE MASTER'!$N$2:$N$495,(SUMPRODUCT((('CASE MASTER'!$T$2:$T$495=13)*('CASE MASTER'!$U$2:$U$495&lt;=10)*('CASE MASTER'!$W$2:$W$495&gt;=10)*('CASE MASTER'!$V$2:$V$495&lt;=5)*('CASE MASTER'!$X$2:$X$495&gt;=5))*ROW('CASE MASTER'!$T$2:$T$495))-(ROW('CASE MASTER'!#REF!)-1))),":",","),",",REPT(" ",50)),((((10-INDEX('CASE MASTER'!$U$2:$U$495,(SUMPRODUCT((('CASE MASTER'!$T$2:$T$495=13)*('CASE MASTER'!$U$2:$U$495&lt;=10)*('CASE MASTER'!$W$2:$W$495&gt;=10)*('CASE MASTER'!$V$2:$V$495&lt;=5)*('CASE MASTER'!$X$2:$X$495&gt;=5))*ROW('CASE MASTER'!$T$2:$T$495))-(ROW('CASE MASTER'!#REF!)-1))))*(INDEX('CASE MASTER'!$X$2:$X$495,(SUMPRODUCT((('CASE MASTER'!$T$2:$T$495=13)*('CASE MASTER'!$U$2:$U$495&lt;=10)*('CASE MASTER'!$W$2:$W$495&gt;=10)*('CASE MASTER'!$V$2:$V$495&lt;=5)*('CASE MASTER'!$X$2:$X$495&gt;=5))*ROW('CASE MASTER'!$T$2:$T$495))-(ROW('CASE MASTER'!#REF!)-1)))-INDEX('CASE MASTER'!$V$2:$V$495,(SUMPRODUCT((('CASE MASTER'!$T$2:$T$495=13)*('CASE MASTER'!$U$2:$U$495&lt;=10)*('CASE MASTER'!$W$2:$W$495&gt;=10)*('CASE MASTER'!$V$2:$V$495&lt;=5)*('CASE MASTER'!$X$2:$X$495&gt;=5))*ROW('CASE MASTER'!$T$2:$T$495))-(ROW('CASE MASTER'!#REF!)-1)))+1)+(5-INDEX('CASE MASTER'!$V$2:$V$495,(SUMPRODUCT((('CASE MASTER'!$T$2:$T$495=13)*('CASE MASTER'!$U$2:$U$495&lt;=10)*('CASE MASTER'!$W$2:$W$495&gt;=10)*('CASE MASTER'!$V$2:$V$495&lt;=5)*('CASE MASTER'!$X$2:$X$495&gt;=5))*ROW('CASE MASTER'!$T$2:$T$495))-(ROW('CASE MASTER'!#REF!)-1))))+1))-1)*50+1,50))&amp;"_"&amp;INDEX('CASE MASTER'!$Q$2:$Q$495,(SUMPRODUCT((('CASE MASTER'!$T$2:$T$495=13)*('CASE MASTER'!$U$2:$U$495&lt;=10)*('CASE MASTER'!$W$2:$W$495&gt;=10)*('CASE MASTER'!$V$2:$V$495&lt;=5)*('CASE MASTER'!$X$2:$X$495&gt;=5))*ROW('CASE MASTER'!$T$2:$T$495))-(ROW('CASE MASTER'!#REF!)-1))),IF(SUMPRODUCT((('CASE MASTER'!$T$2:$T$495=13)*('CASE MASTER'!$AA$2:$AA$495&lt;=10)*('CASE MASTER'!$AC$2:$AC$495&gt;=10)*('CASE MASTER'!$AB$2:$AB$495&lt;=5)*('CASE MASTER'!$AD$2:$AD$495&gt;=5))*ROW('CASE MASTER'!$T$2:$T$495))&gt;0,INDEX('CASE MASTER'!$Y$2:$Y$495,(SUMPRODUCT((('CASE MASTER'!$T$2:$T$495=13)*('CASE MASTER'!$AA$2:$AA$495&lt;=10)*('CASE MASTER'!$AC$2:$AC$495&gt;=10)*('CASE MASTER'!$AB$2:$AB$495&lt;=5)*('CASE MASTER'!$AD$2:$AD$495&gt;=5))*ROW('CASE MASTER'!$T$2:$T$495))-(ROW('CASE MASTER'!#REF!)-1)))&amp;TRIM(MID(SUBSTITUTE(SUBSTITUTE(INDEX('CASE MASTER'!$N$2:$N$495,(SUMPRODUCT((('CASE MASTER'!$T$2:$T$495=13)*('CASE MASTER'!$AA$2:$AA$495&lt;=10)*('CASE MASTER'!$AC$2:$AC$495&gt;=10)*('CASE MASTER'!$AB$2:$AB$495&lt;=5)*('CASE MASTER'!$AD$2:$AD$495&gt;=5))*ROW('CASE MASTER'!$T$2:$T$495))-(ROW('CASE MASTER'!#REF!)-1))),":",","),",",REPT(" ",50)),(((INDEX('CASE MASTER'!$Z$2:$Z$495,(SUMPRODUCT((('CASE MASTER'!$T$2:$T$495=13)*('CASE MASTER'!$AA$2:$AA$495&lt;=10)*('CASE MASTER'!$AC$2:$AC$495&gt;=10)*('CASE MASTER'!$AB$2:$AB$495&lt;=5)*('CASE MASTER'!$AD$2:$AD$495&gt;=5))*ROW('CASE MASTER'!$T$2:$T$495))-(ROW('CASE MASTER'!#REF!)-1)))+((10-INDEX('CASE MASTER'!$AA$2:$AA$495,(SUMPRODUCT((('CASE MASTER'!$T$2:$T$495=13)*('CASE MASTER'!$AA$2:$AA$495&lt;=10)*('CASE MASTER'!$AC$2:$AC$495&gt;=10)*('CASE MASTER'!$AB$2:$AB$495&lt;=5)*('CASE MASTER'!$AD$2:$AD$495&gt;=5))*ROW('CASE MASTER'!$T$2:$T$495))-(ROW('CASE MASTER'!#REF!)-1))))*(INDEX('CASE MASTER'!$AD$2:$AD$495,(SUMPRODUCT((('CASE MASTER'!$T$2:$T$495=13)*('CASE MASTER'!$AA$2:$AA$495&lt;=10)*('CASE MASTER'!$AC$2:$AC$495&gt;=10)*('CASE MASTER'!$AB$2:$AB$495&lt;=5)*('CASE MASTER'!$AD$2:$AD$495&gt;=5))*ROW('CASE MASTER'!$T$2:$T$495))-(ROW('CASE MASTER'!#REF!)-1)))-INDEX('CASE MASTER'!$AB$2:$AB$495,(SUMPRODUCT((('CASE MASTER'!$T$2:$T$495=13)*('CASE MASTER'!$AA$2:$AA$495&lt;=10)*('CASE MASTER'!$AC$2:$AC$495&gt;=10)*('CASE MASTER'!$AB$2:$AB$495&lt;=5)*('CASE MASTER'!$AD$2:$AD$495&gt;=5))*ROW('CASE MASTER'!$T$2:$T$495))-(ROW('CASE MASTER'!#REF!)-1)))+1)+(5-INDEX('CASE MASTER'!$AB$2:$AB$495,(SUMPRODUCT((('CASE MASTER'!$T$2:$T$495=13)*('CASE MASTER'!$AA$2:$AA$495&lt;=10)*('CASE MASTER'!$AC$2:$AC$495&gt;=10)*('CASE MASTER'!$AB$2:$AB$495&lt;=5)*('CASE MASTER'!$AD$2:$AD$495&gt;=5))*ROW('CASE MASTER'!$T$2:$T$495))-(ROW('CASE MASTER'!#REF!)-1))))+1)))-1)*50+1,50))&amp;"_"&amp;INDEX('CASE MASTER'!$Q$2:$Q$495,(SUMPRODUCT((('CASE MASTER'!$T$2:$T$495=13)*('CASE MASTER'!$AA$2:$AA$495&lt;=10)*('CASE MASTER'!$AC$2:$AC$495&gt;=10)*('CASE MASTER'!$AB$2:$AB$495&lt;=5)*('CASE MASTER'!$AD$2:$AD$495&gt;=5))*ROW('CASE MASTER'!$T$2:$T$495))-(ROW('CASE MASTER'!#REF!)-1))),"")),"")</f>
        <v/>
      </c>
      <c r="G180" s="10" t="str">
        <f>IFERROR(IF(SUMPRODUCT((('CASE MASTER'!$T$2:$T$495=13)*('CASE MASTER'!$U$2:$U$495&lt;=10)*('CASE MASTER'!$W$2:$W$495&gt;=10)*('CASE MASTER'!$V$2:$V$495&lt;=6)*('CASE MASTER'!$X$2:$X$495&gt;=6))*ROW('CASE MASTER'!$T$2:$T$495))&gt;0,INDEX('CASE MASTER'!$Y$2:$Y$495,(SUMPRODUCT((('CASE MASTER'!$T$2:$T$495=13)*('CASE MASTER'!$U$2:$U$495&lt;=10)*('CASE MASTER'!$W$2:$W$495&gt;=10)*('CASE MASTER'!$V$2:$V$495&lt;=6)*('CASE MASTER'!$X$2:$X$495&gt;=6))*ROW('CASE MASTER'!$T$2:$T$495))-(ROW('CASE MASTER'!#REF!)-1)))&amp;TRIM(MID(SUBSTITUTE(SUBSTITUTE(INDEX('CASE MASTER'!$N$2:$N$495,(SUMPRODUCT((('CASE MASTER'!$T$2:$T$495=13)*('CASE MASTER'!$U$2:$U$495&lt;=10)*('CASE MASTER'!$W$2:$W$495&gt;=10)*('CASE MASTER'!$V$2:$V$495&lt;=6)*('CASE MASTER'!$X$2:$X$495&gt;=6))*ROW('CASE MASTER'!$T$2:$T$495))-(ROW('CASE MASTER'!#REF!)-1))),":",","),",",REPT(" ",50)),((((10-INDEX('CASE MASTER'!$U$2:$U$495,(SUMPRODUCT((('CASE MASTER'!$T$2:$T$495=13)*('CASE MASTER'!$U$2:$U$495&lt;=10)*('CASE MASTER'!$W$2:$W$495&gt;=10)*('CASE MASTER'!$V$2:$V$495&lt;=6)*('CASE MASTER'!$X$2:$X$495&gt;=6))*ROW('CASE MASTER'!$T$2:$T$495))-(ROW('CASE MASTER'!#REF!)-1))))*(INDEX('CASE MASTER'!$X$2:$X$495,(SUMPRODUCT((('CASE MASTER'!$T$2:$T$495=13)*('CASE MASTER'!$U$2:$U$495&lt;=10)*('CASE MASTER'!$W$2:$W$495&gt;=10)*('CASE MASTER'!$V$2:$V$495&lt;=6)*('CASE MASTER'!$X$2:$X$495&gt;=6))*ROW('CASE MASTER'!$T$2:$T$495))-(ROW('CASE MASTER'!#REF!)-1)))-INDEX('CASE MASTER'!$V$2:$V$495,(SUMPRODUCT((('CASE MASTER'!$T$2:$T$495=13)*('CASE MASTER'!$U$2:$U$495&lt;=10)*('CASE MASTER'!$W$2:$W$495&gt;=10)*('CASE MASTER'!$V$2:$V$495&lt;=6)*('CASE MASTER'!$X$2:$X$495&gt;=6))*ROW('CASE MASTER'!$T$2:$T$495))-(ROW('CASE MASTER'!#REF!)-1)))+1)+(6-INDEX('CASE MASTER'!$V$2:$V$495,(SUMPRODUCT((('CASE MASTER'!$T$2:$T$495=13)*('CASE MASTER'!$U$2:$U$495&lt;=10)*('CASE MASTER'!$W$2:$W$495&gt;=10)*('CASE MASTER'!$V$2:$V$495&lt;=6)*('CASE MASTER'!$X$2:$X$495&gt;=6))*ROW('CASE MASTER'!$T$2:$T$495))-(ROW('CASE MASTER'!#REF!)-1))))+1))-1)*50+1,50))&amp;"_"&amp;INDEX('CASE MASTER'!$Q$2:$Q$495,(SUMPRODUCT((('CASE MASTER'!$T$2:$T$495=13)*('CASE MASTER'!$U$2:$U$495&lt;=10)*('CASE MASTER'!$W$2:$W$495&gt;=10)*('CASE MASTER'!$V$2:$V$495&lt;=6)*('CASE MASTER'!$X$2:$X$495&gt;=6))*ROW('CASE MASTER'!$T$2:$T$495))-(ROW('CASE MASTER'!#REF!)-1))),IF(SUMPRODUCT((('CASE MASTER'!$T$2:$T$495=13)*('CASE MASTER'!$AA$2:$AA$495&lt;=10)*('CASE MASTER'!$AC$2:$AC$495&gt;=10)*('CASE MASTER'!$AB$2:$AB$495&lt;=6)*('CASE MASTER'!$AD$2:$AD$495&gt;=6))*ROW('CASE MASTER'!$T$2:$T$495))&gt;0,INDEX('CASE MASTER'!$Y$2:$Y$495,(SUMPRODUCT((('CASE MASTER'!$T$2:$T$495=13)*('CASE MASTER'!$AA$2:$AA$495&lt;=10)*('CASE MASTER'!$AC$2:$AC$495&gt;=10)*('CASE MASTER'!$AB$2:$AB$495&lt;=6)*('CASE MASTER'!$AD$2:$AD$495&gt;=6))*ROW('CASE MASTER'!$T$2:$T$495))-(ROW('CASE MASTER'!#REF!)-1)))&amp;TRIM(MID(SUBSTITUTE(SUBSTITUTE(INDEX('CASE MASTER'!$N$2:$N$495,(SUMPRODUCT((('CASE MASTER'!$T$2:$T$495=13)*('CASE MASTER'!$AA$2:$AA$495&lt;=10)*('CASE MASTER'!$AC$2:$AC$495&gt;=10)*('CASE MASTER'!$AB$2:$AB$495&lt;=6)*('CASE MASTER'!$AD$2:$AD$495&gt;=6))*ROW('CASE MASTER'!$T$2:$T$495))-(ROW('CASE MASTER'!#REF!)-1))),":",","),",",REPT(" ",50)),(((INDEX('CASE MASTER'!$Z$2:$Z$495,(SUMPRODUCT((('CASE MASTER'!$T$2:$T$495=13)*('CASE MASTER'!$AA$2:$AA$495&lt;=10)*('CASE MASTER'!$AC$2:$AC$495&gt;=10)*('CASE MASTER'!$AB$2:$AB$495&lt;=6)*('CASE MASTER'!$AD$2:$AD$495&gt;=6))*ROW('CASE MASTER'!$T$2:$T$495))-(ROW('CASE MASTER'!#REF!)-1)))+((10-INDEX('CASE MASTER'!$AA$2:$AA$495,(SUMPRODUCT((('CASE MASTER'!$T$2:$T$495=13)*('CASE MASTER'!$AA$2:$AA$495&lt;=10)*('CASE MASTER'!$AC$2:$AC$495&gt;=10)*('CASE MASTER'!$AB$2:$AB$495&lt;=6)*('CASE MASTER'!$AD$2:$AD$495&gt;=6))*ROW('CASE MASTER'!$T$2:$T$495))-(ROW('CASE MASTER'!#REF!)-1))))*(INDEX('CASE MASTER'!$AD$2:$AD$495,(SUMPRODUCT((('CASE MASTER'!$T$2:$T$495=13)*('CASE MASTER'!$AA$2:$AA$495&lt;=10)*('CASE MASTER'!$AC$2:$AC$495&gt;=10)*('CASE MASTER'!$AB$2:$AB$495&lt;=6)*('CASE MASTER'!$AD$2:$AD$495&gt;=6))*ROW('CASE MASTER'!$T$2:$T$495))-(ROW('CASE MASTER'!#REF!)-1)))-INDEX('CASE MASTER'!$AB$2:$AB$495,(SUMPRODUCT((('CASE MASTER'!$T$2:$T$495=13)*('CASE MASTER'!$AA$2:$AA$495&lt;=10)*('CASE MASTER'!$AC$2:$AC$495&gt;=10)*('CASE MASTER'!$AB$2:$AB$495&lt;=6)*('CASE MASTER'!$AD$2:$AD$495&gt;=6))*ROW('CASE MASTER'!$T$2:$T$495))-(ROW('CASE MASTER'!#REF!)-1)))+1)+(6-INDEX('CASE MASTER'!$AB$2:$AB$495,(SUMPRODUCT((('CASE MASTER'!$T$2:$T$495=13)*('CASE MASTER'!$AA$2:$AA$495&lt;=10)*('CASE MASTER'!$AC$2:$AC$495&gt;=10)*('CASE MASTER'!$AB$2:$AB$495&lt;=6)*('CASE MASTER'!$AD$2:$AD$495&gt;=6))*ROW('CASE MASTER'!$T$2:$T$495))-(ROW('CASE MASTER'!#REF!)-1))))+1)))-1)*50+1,50))&amp;"_"&amp;INDEX('CASE MASTER'!$Q$2:$Q$495,(SUMPRODUCT((('CASE MASTER'!$T$2:$T$495=13)*('CASE MASTER'!$AA$2:$AA$495&lt;=10)*('CASE MASTER'!$AC$2:$AC$495&gt;=10)*('CASE MASTER'!$AB$2:$AB$495&lt;=6)*('CASE MASTER'!$AD$2:$AD$495&gt;=6))*ROW('CASE MASTER'!$T$2:$T$495))-(ROW('CASE MASTER'!#REF!)-1))),"")),"")</f>
        <v/>
      </c>
      <c r="H180" s="10" t="str">
        <f>IFERROR(IF(SUMPRODUCT((('CASE MASTER'!$T$2:$T$495=13)*('CASE MASTER'!$U$2:$U$495&lt;=10)*('CASE MASTER'!$W$2:$W$495&gt;=10)*('CASE MASTER'!$V$2:$V$495&lt;=7)*('CASE MASTER'!$X$2:$X$495&gt;=7))*ROW('CASE MASTER'!$T$2:$T$495))&gt;0,INDEX('CASE MASTER'!$Y$2:$Y$495,(SUMPRODUCT((('CASE MASTER'!$T$2:$T$495=13)*('CASE MASTER'!$U$2:$U$495&lt;=10)*('CASE MASTER'!$W$2:$W$495&gt;=10)*('CASE MASTER'!$V$2:$V$495&lt;=7)*('CASE MASTER'!$X$2:$X$495&gt;=7))*ROW('CASE MASTER'!$T$2:$T$495))-(ROW('CASE MASTER'!#REF!)-1)))&amp;TRIM(MID(SUBSTITUTE(SUBSTITUTE(INDEX('CASE MASTER'!$N$2:$N$495,(SUMPRODUCT((('CASE MASTER'!$T$2:$T$495=13)*('CASE MASTER'!$U$2:$U$495&lt;=10)*('CASE MASTER'!$W$2:$W$495&gt;=10)*('CASE MASTER'!$V$2:$V$495&lt;=7)*('CASE MASTER'!$X$2:$X$495&gt;=7))*ROW('CASE MASTER'!$T$2:$T$495))-(ROW('CASE MASTER'!#REF!)-1))),":",","),",",REPT(" ",50)),((((10-INDEX('CASE MASTER'!$U$2:$U$495,(SUMPRODUCT((('CASE MASTER'!$T$2:$T$495=13)*('CASE MASTER'!$U$2:$U$495&lt;=10)*('CASE MASTER'!$W$2:$W$495&gt;=10)*('CASE MASTER'!$V$2:$V$495&lt;=7)*('CASE MASTER'!$X$2:$X$495&gt;=7))*ROW('CASE MASTER'!$T$2:$T$495))-(ROW('CASE MASTER'!#REF!)-1))))*(INDEX('CASE MASTER'!$X$2:$X$495,(SUMPRODUCT((('CASE MASTER'!$T$2:$T$495=13)*('CASE MASTER'!$U$2:$U$495&lt;=10)*('CASE MASTER'!$W$2:$W$495&gt;=10)*('CASE MASTER'!$V$2:$V$495&lt;=7)*('CASE MASTER'!$X$2:$X$495&gt;=7))*ROW('CASE MASTER'!$T$2:$T$495))-(ROW('CASE MASTER'!#REF!)-1)))-INDEX('CASE MASTER'!$V$2:$V$495,(SUMPRODUCT((('CASE MASTER'!$T$2:$T$495=13)*('CASE MASTER'!$U$2:$U$495&lt;=10)*('CASE MASTER'!$W$2:$W$495&gt;=10)*('CASE MASTER'!$V$2:$V$495&lt;=7)*('CASE MASTER'!$X$2:$X$495&gt;=7))*ROW('CASE MASTER'!$T$2:$T$495))-(ROW('CASE MASTER'!#REF!)-1)))+1)+(7-INDEX('CASE MASTER'!$V$2:$V$495,(SUMPRODUCT((('CASE MASTER'!$T$2:$T$495=13)*('CASE MASTER'!$U$2:$U$495&lt;=10)*('CASE MASTER'!$W$2:$W$495&gt;=10)*('CASE MASTER'!$V$2:$V$495&lt;=7)*('CASE MASTER'!$X$2:$X$495&gt;=7))*ROW('CASE MASTER'!$T$2:$T$495))-(ROW('CASE MASTER'!#REF!)-1))))+1))-1)*50+1,50))&amp;"_"&amp;INDEX('CASE MASTER'!$Q$2:$Q$495,(SUMPRODUCT((('CASE MASTER'!$T$2:$T$495=13)*('CASE MASTER'!$U$2:$U$495&lt;=10)*('CASE MASTER'!$W$2:$W$495&gt;=10)*('CASE MASTER'!$V$2:$V$495&lt;=7)*('CASE MASTER'!$X$2:$X$495&gt;=7))*ROW('CASE MASTER'!$T$2:$T$495))-(ROW('CASE MASTER'!#REF!)-1))),IF(SUMPRODUCT((('CASE MASTER'!$T$2:$T$495=13)*('CASE MASTER'!$AA$2:$AA$495&lt;=10)*('CASE MASTER'!$AC$2:$AC$495&gt;=10)*('CASE MASTER'!$AB$2:$AB$495&lt;=7)*('CASE MASTER'!$AD$2:$AD$495&gt;=7))*ROW('CASE MASTER'!$T$2:$T$495))&gt;0,INDEX('CASE MASTER'!$Y$2:$Y$495,(SUMPRODUCT((('CASE MASTER'!$T$2:$T$495=13)*('CASE MASTER'!$AA$2:$AA$495&lt;=10)*('CASE MASTER'!$AC$2:$AC$495&gt;=10)*('CASE MASTER'!$AB$2:$AB$495&lt;=7)*('CASE MASTER'!$AD$2:$AD$495&gt;=7))*ROW('CASE MASTER'!$T$2:$T$495))-(ROW('CASE MASTER'!#REF!)-1)))&amp;TRIM(MID(SUBSTITUTE(SUBSTITUTE(INDEX('CASE MASTER'!$N$2:$N$495,(SUMPRODUCT((('CASE MASTER'!$T$2:$T$495=13)*('CASE MASTER'!$AA$2:$AA$495&lt;=10)*('CASE MASTER'!$AC$2:$AC$495&gt;=10)*('CASE MASTER'!$AB$2:$AB$495&lt;=7)*('CASE MASTER'!$AD$2:$AD$495&gt;=7))*ROW('CASE MASTER'!$T$2:$T$495))-(ROW('CASE MASTER'!#REF!)-1))),":",","),",",REPT(" ",50)),(((INDEX('CASE MASTER'!$Z$2:$Z$495,(SUMPRODUCT((('CASE MASTER'!$T$2:$T$495=13)*('CASE MASTER'!$AA$2:$AA$495&lt;=10)*('CASE MASTER'!$AC$2:$AC$495&gt;=10)*('CASE MASTER'!$AB$2:$AB$495&lt;=7)*('CASE MASTER'!$AD$2:$AD$495&gt;=7))*ROW('CASE MASTER'!$T$2:$T$495))-(ROW('CASE MASTER'!#REF!)-1)))+((10-INDEX('CASE MASTER'!$AA$2:$AA$495,(SUMPRODUCT((('CASE MASTER'!$T$2:$T$495=13)*('CASE MASTER'!$AA$2:$AA$495&lt;=10)*('CASE MASTER'!$AC$2:$AC$495&gt;=10)*('CASE MASTER'!$AB$2:$AB$495&lt;=7)*('CASE MASTER'!$AD$2:$AD$495&gt;=7))*ROW('CASE MASTER'!$T$2:$T$495))-(ROW('CASE MASTER'!#REF!)-1))))*(INDEX('CASE MASTER'!$AD$2:$AD$495,(SUMPRODUCT((('CASE MASTER'!$T$2:$T$495=13)*('CASE MASTER'!$AA$2:$AA$495&lt;=10)*('CASE MASTER'!$AC$2:$AC$495&gt;=10)*('CASE MASTER'!$AB$2:$AB$495&lt;=7)*('CASE MASTER'!$AD$2:$AD$495&gt;=7))*ROW('CASE MASTER'!$T$2:$T$495))-(ROW('CASE MASTER'!#REF!)-1)))-INDEX('CASE MASTER'!$AB$2:$AB$495,(SUMPRODUCT((('CASE MASTER'!$T$2:$T$495=13)*('CASE MASTER'!$AA$2:$AA$495&lt;=10)*('CASE MASTER'!$AC$2:$AC$495&gt;=10)*('CASE MASTER'!$AB$2:$AB$495&lt;=7)*('CASE MASTER'!$AD$2:$AD$495&gt;=7))*ROW('CASE MASTER'!$T$2:$T$495))-(ROW('CASE MASTER'!#REF!)-1)))+1)+(7-INDEX('CASE MASTER'!$AB$2:$AB$495,(SUMPRODUCT((('CASE MASTER'!$T$2:$T$495=13)*('CASE MASTER'!$AA$2:$AA$495&lt;=10)*('CASE MASTER'!$AC$2:$AC$495&gt;=10)*('CASE MASTER'!$AB$2:$AB$495&lt;=7)*('CASE MASTER'!$AD$2:$AD$495&gt;=7))*ROW('CASE MASTER'!$T$2:$T$495))-(ROW('CASE MASTER'!#REF!)-1))))+1)))-1)*50+1,50))&amp;"_"&amp;INDEX('CASE MASTER'!$Q$2:$Q$495,(SUMPRODUCT((('CASE MASTER'!$T$2:$T$495=13)*('CASE MASTER'!$AA$2:$AA$495&lt;=10)*('CASE MASTER'!$AC$2:$AC$495&gt;=10)*('CASE MASTER'!$AB$2:$AB$495&lt;=7)*('CASE MASTER'!$AD$2:$AD$495&gt;=7))*ROW('CASE MASTER'!$T$2:$T$495))-(ROW('CASE MASTER'!#REF!)-1))),"")),"")</f>
        <v/>
      </c>
      <c r="I180" s="10" t="str">
        <f>IFERROR(IF(SUMPRODUCT((('CASE MASTER'!$T$2:$T$495=13)*('CASE MASTER'!$U$2:$U$495&lt;=10)*('CASE MASTER'!$W$2:$W$495&gt;=10)*('CASE MASTER'!$V$2:$V$495&lt;=8)*('CASE MASTER'!$X$2:$X$495&gt;=8))*ROW('CASE MASTER'!$T$2:$T$495))&gt;0,INDEX('CASE MASTER'!$Y$2:$Y$495,(SUMPRODUCT((('CASE MASTER'!$T$2:$T$495=13)*('CASE MASTER'!$U$2:$U$495&lt;=10)*('CASE MASTER'!$W$2:$W$495&gt;=10)*('CASE MASTER'!$V$2:$V$495&lt;=8)*('CASE MASTER'!$X$2:$X$495&gt;=8))*ROW('CASE MASTER'!$T$2:$T$495))-(ROW('CASE MASTER'!#REF!)-1)))&amp;TRIM(MID(SUBSTITUTE(SUBSTITUTE(INDEX('CASE MASTER'!$N$2:$N$495,(SUMPRODUCT((('CASE MASTER'!$T$2:$T$495=13)*('CASE MASTER'!$U$2:$U$495&lt;=10)*('CASE MASTER'!$W$2:$W$495&gt;=10)*('CASE MASTER'!$V$2:$V$495&lt;=8)*('CASE MASTER'!$X$2:$X$495&gt;=8))*ROW('CASE MASTER'!$T$2:$T$495))-(ROW('CASE MASTER'!#REF!)-1))),":",","),",",REPT(" ",50)),((((10-INDEX('CASE MASTER'!$U$2:$U$495,(SUMPRODUCT((('CASE MASTER'!$T$2:$T$495=13)*('CASE MASTER'!$U$2:$U$495&lt;=10)*('CASE MASTER'!$W$2:$W$495&gt;=10)*('CASE MASTER'!$V$2:$V$495&lt;=8)*('CASE MASTER'!$X$2:$X$495&gt;=8))*ROW('CASE MASTER'!$T$2:$T$495))-(ROW('CASE MASTER'!#REF!)-1))))*(INDEX('CASE MASTER'!$X$2:$X$495,(SUMPRODUCT((('CASE MASTER'!$T$2:$T$495=13)*('CASE MASTER'!$U$2:$U$495&lt;=10)*('CASE MASTER'!$W$2:$W$495&gt;=10)*('CASE MASTER'!$V$2:$V$495&lt;=8)*('CASE MASTER'!$X$2:$X$495&gt;=8))*ROW('CASE MASTER'!$T$2:$T$495))-(ROW('CASE MASTER'!#REF!)-1)))-INDEX('CASE MASTER'!$V$2:$V$495,(SUMPRODUCT((('CASE MASTER'!$T$2:$T$495=13)*('CASE MASTER'!$U$2:$U$495&lt;=10)*('CASE MASTER'!$W$2:$W$495&gt;=10)*('CASE MASTER'!$V$2:$V$495&lt;=8)*('CASE MASTER'!$X$2:$X$495&gt;=8))*ROW('CASE MASTER'!$T$2:$T$495))-(ROW('CASE MASTER'!#REF!)-1)))+1)+(8-INDEX('CASE MASTER'!$V$2:$V$495,(SUMPRODUCT((('CASE MASTER'!$T$2:$T$495=13)*('CASE MASTER'!$U$2:$U$495&lt;=10)*('CASE MASTER'!$W$2:$W$495&gt;=10)*('CASE MASTER'!$V$2:$V$495&lt;=8)*('CASE MASTER'!$X$2:$X$495&gt;=8))*ROW('CASE MASTER'!$T$2:$T$495))-(ROW('CASE MASTER'!#REF!)-1))))+1))-1)*50+1,50))&amp;"_"&amp;INDEX('CASE MASTER'!$Q$2:$Q$495,(SUMPRODUCT((('CASE MASTER'!$T$2:$T$495=13)*('CASE MASTER'!$U$2:$U$495&lt;=10)*('CASE MASTER'!$W$2:$W$495&gt;=10)*('CASE MASTER'!$V$2:$V$495&lt;=8)*('CASE MASTER'!$X$2:$X$495&gt;=8))*ROW('CASE MASTER'!$T$2:$T$495))-(ROW('CASE MASTER'!#REF!)-1))),IF(SUMPRODUCT((('CASE MASTER'!$T$2:$T$495=13)*('CASE MASTER'!$AA$2:$AA$495&lt;=10)*('CASE MASTER'!$AC$2:$AC$495&gt;=10)*('CASE MASTER'!$AB$2:$AB$495&lt;=8)*('CASE MASTER'!$AD$2:$AD$495&gt;=8))*ROW('CASE MASTER'!$T$2:$T$495))&gt;0,INDEX('CASE MASTER'!$Y$2:$Y$495,(SUMPRODUCT((('CASE MASTER'!$T$2:$T$495=13)*('CASE MASTER'!$AA$2:$AA$495&lt;=10)*('CASE MASTER'!$AC$2:$AC$495&gt;=10)*('CASE MASTER'!$AB$2:$AB$495&lt;=8)*('CASE MASTER'!$AD$2:$AD$495&gt;=8))*ROW('CASE MASTER'!$T$2:$T$495))-(ROW('CASE MASTER'!#REF!)-1)))&amp;TRIM(MID(SUBSTITUTE(SUBSTITUTE(INDEX('CASE MASTER'!$N$2:$N$495,(SUMPRODUCT((('CASE MASTER'!$T$2:$T$495=13)*('CASE MASTER'!$AA$2:$AA$495&lt;=10)*('CASE MASTER'!$AC$2:$AC$495&gt;=10)*('CASE MASTER'!$AB$2:$AB$495&lt;=8)*('CASE MASTER'!$AD$2:$AD$495&gt;=8))*ROW('CASE MASTER'!$T$2:$T$495))-(ROW('CASE MASTER'!#REF!)-1))),":",","),",",REPT(" ",50)),(((INDEX('CASE MASTER'!$Z$2:$Z$495,(SUMPRODUCT((('CASE MASTER'!$T$2:$T$495=13)*('CASE MASTER'!$AA$2:$AA$495&lt;=10)*('CASE MASTER'!$AC$2:$AC$495&gt;=10)*('CASE MASTER'!$AB$2:$AB$495&lt;=8)*('CASE MASTER'!$AD$2:$AD$495&gt;=8))*ROW('CASE MASTER'!$T$2:$T$495))-(ROW('CASE MASTER'!#REF!)-1)))+((10-INDEX('CASE MASTER'!$AA$2:$AA$495,(SUMPRODUCT((('CASE MASTER'!$T$2:$T$495=13)*('CASE MASTER'!$AA$2:$AA$495&lt;=10)*('CASE MASTER'!$AC$2:$AC$495&gt;=10)*('CASE MASTER'!$AB$2:$AB$495&lt;=8)*('CASE MASTER'!$AD$2:$AD$495&gt;=8))*ROW('CASE MASTER'!$T$2:$T$495))-(ROW('CASE MASTER'!#REF!)-1))))*(INDEX('CASE MASTER'!$AD$2:$AD$495,(SUMPRODUCT((('CASE MASTER'!$T$2:$T$495=13)*('CASE MASTER'!$AA$2:$AA$495&lt;=10)*('CASE MASTER'!$AC$2:$AC$495&gt;=10)*('CASE MASTER'!$AB$2:$AB$495&lt;=8)*('CASE MASTER'!$AD$2:$AD$495&gt;=8))*ROW('CASE MASTER'!$T$2:$T$495))-(ROW('CASE MASTER'!#REF!)-1)))-INDEX('CASE MASTER'!$AB$2:$AB$495,(SUMPRODUCT((('CASE MASTER'!$T$2:$T$495=13)*('CASE MASTER'!$AA$2:$AA$495&lt;=10)*('CASE MASTER'!$AC$2:$AC$495&gt;=10)*('CASE MASTER'!$AB$2:$AB$495&lt;=8)*('CASE MASTER'!$AD$2:$AD$495&gt;=8))*ROW('CASE MASTER'!$T$2:$T$495))-(ROW('CASE MASTER'!#REF!)-1)))+1)+(8-INDEX('CASE MASTER'!$AB$2:$AB$495,(SUMPRODUCT((('CASE MASTER'!$T$2:$T$495=13)*('CASE MASTER'!$AA$2:$AA$495&lt;=10)*('CASE MASTER'!$AC$2:$AC$495&gt;=10)*('CASE MASTER'!$AB$2:$AB$495&lt;=8)*('CASE MASTER'!$AD$2:$AD$495&gt;=8))*ROW('CASE MASTER'!$T$2:$T$495))-(ROW('CASE MASTER'!#REF!)-1))))+1)))-1)*50+1,50))&amp;"_"&amp;INDEX('CASE MASTER'!$Q$2:$Q$495,(SUMPRODUCT((('CASE MASTER'!$T$2:$T$495=13)*('CASE MASTER'!$AA$2:$AA$495&lt;=10)*('CASE MASTER'!$AC$2:$AC$495&gt;=10)*('CASE MASTER'!$AB$2:$AB$495&lt;=8)*('CASE MASTER'!$AD$2:$AD$495&gt;=8))*ROW('CASE MASTER'!$T$2:$T$495))-(ROW('CASE MASTER'!#REF!)-1))),"")),"")</f>
        <v/>
      </c>
      <c r="J180" s="10" t="str">
        <f>IFERROR(IF(SUMPRODUCT((('CASE MASTER'!$T$2:$T$495=13)*('CASE MASTER'!$U$2:$U$495&lt;=10)*('CASE MASTER'!$W$2:$W$495&gt;=10)*('CASE MASTER'!$V$2:$V$495&lt;=9)*('CASE MASTER'!$X$2:$X$495&gt;=9))*ROW('CASE MASTER'!$T$2:$T$495))&gt;0,INDEX('CASE MASTER'!$Y$2:$Y$495,(SUMPRODUCT((('CASE MASTER'!$T$2:$T$495=13)*('CASE MASTER'!$U$2:$U$495&lt;=10)*('CASE MASTER'!$W$2:$W$495&gt;=10)*('CASE MASTER'!$V$2:$V$495&lt;=9)*('CASE MASTER'!$X$2:$X$495&gt;=9))*ROW('CASE MASTER'!$T$2:$T$495))-(ROW('CASE MASTER'!#REF!)-1)))&amp;TRIM(MID(SUBSTITUTE(SUBSTITUTE(INDEX('CASE MASTER'!$N$2:$N$495,(SUMPRODUCT((('CASE MASTER'!$T$2:$T$495=13)*('CASE MASTER'!$U$2:$U$495&lt;=10)*('CASE MASTER'!$W$2:$W$495&gt;=10)*('CASE MASTER'!$V$2:$V$495&lt;=9)*('CASE MASTER'!$X$2:$X$495&gt;=9))*ROW('CASE MASTER'!$T$2:$T$495))-(ROW('CASE MASTER'!#REF!)-1))),":",","),",",REPT(" ",50)),((((10-INDEX('CASE MASTER'!$U$2:$U$495,(SUMPRODUCT((('CASE MASTER'!$T$2:$T$495=13)*('CASE MASTER'!$U$2:$U$495&lt;=10)*('CASE MASTER'!$W$2:$W$495&gt;=10)*('CASE MASTER'!$V$2:$V$495&lt;=9)*('CASE MASTER'!$X$2:$X$495&gt;=9))*ROW('CASE MASTER'!$T$2:$T$495))-(ROW('CASE MASTER'!#REF!)-1))))*(INDEX('CASE MASTER'!$X$2:$X$495,(SUMPRODUCT((('CASE MASTER'!$T$2:$T$495=13)*('CASE MASTER'!$U$2:$U$495&lt;=10)*('CASE MASTER'!$W$2:$W$495&gt;=10)*('CASE MASTER'!$V$2:$V$495&lt;=9)*('CASE MASTER'!$X$2:$X$495&gt;=9))*ROW('CASE MASTER'!$T$2:$T$495))-(ROW('CASE MASTER'!#REF!)-1)))-INDEX('CASE MASTER'!$V$2:$V$495,(SUMPRODUCT((('CASE MASTER'!$T$2:$T$495=13)*('CASE MASTER'!$U$2:$U$495&lt;=10)*('CASE MASTER'!$W$2:$W$495&gt;=10)*('CASE MASTER'!$V$2:$V$495&lt;=9)*('CASE MASTER'!$X$2:$X$495&gt;=9))*ROW('CASE MASTER'!$T$2:$T$495))-(ROW('CASE MASTER'!#REF!)-1)))+1)+(9-INDEX('CASE MASTER'!$V$2:$V$495,(SUMPRODUCT((('CASE MASTER'!$T$2:$T$495=13)*('CASE MASTER'!$U$2:$U$495&lt;=10)*('CASE MASTER'!$W$2:$W$495&gt;=10)*('CASE MASTER'!$V$2:$V$495&lt;=9)*('CASE MASTER'!$X$2:$X$495&gt;=9))*ROW('CASE MASTER'!$T$2:$T$495))-(ROW('CASE MASTER'!#REF!)-1))))+1))-1)*50+1,50))&amp;"_"&amp;INDEX('CASE MASTER'!$Q$2:$Q$495,(SUMPRODUCT((('CASE MASTER'!$T$2:$T$495=13)*('CASE MASTER'!$U$2:$U$495&lt;=10)*('CASE MASTER'!$W$2:$W$495&gt;=10)*('CASE MASTER'!$V$2:$V$495&lt;=9)*('CASE MASTER'!$X$2:$X$495&gt;=9))*ROW('CASE MASTER'!$T$2:$T$495))-(ROW('CASE MASTER'!#REF!)-1))),IF(SUMPRODUCT((('CASE MASTER'!$T$2:$T$495=13)*('CASE MASTER'!$AA$2:$AA$495&lt;=10)*('CASE MASTER'!$AC$2:$AC$495&gt;=10)*('CASE MASTER'!$AB$2:$AB$495&lt;=9)*('CASE MASTER'!$AD$2:$AD$495&gt;=9))*ROW('CASE MASTER'!$T$2:$T$495))&gt;0,INDEX('CASE MASTER'!$Y$2:$Y$495,(SUMPRODUCT((('CASE MASTER'!$T$2:$T$495=13)*('CASE MASTER'!$AA$2:$AA$495&lt;=10)*('CASE MASTER'!$AC$2:$AC$495&gt;=10)*('CASE MASTER'!$AB$2:$AB$495&lt;=9)*('CASE MASTER'!$AD$2:$AD$495&gt;=9))*ROW('CASE MASTER'!$T$2:$T$495))-(ROW('CASE MASTER'!#REF!)-1)))&amp;TRIM(MID(SUBSTITUTE(SUBSTITUTE(INDEX('CASE MASTER'!$N$2:$N$495,(SUMPRODUCT((('CASE MASTER'!$T$2:$T$495=13)*('CASE MASTER'!$AA$2:$AA$495&lt;=10)*('CASE MASTER'!$AC$2:$AC$495&gt;=10)*('CASE MASTER'!$AB$2:$AB$495&lt;=9)*('CASE MASTER'!$AD$2:$AD$495&gt;=9))*ROW('CASE MASTER'!$T$2:$T$495))-(ROW('CASE MASTER'!#REF!)-1))),":",","),",",REPT(" ",50)),(((INDEX('CASE MASTER'!$Z$2:$Z$495,(SUMPRODUCT((('CASE MASTER'!$T$2:$T$495=13)*('CASE MASTER'!$AA$2:$AA$495&lt;=10)*('CASE MASTER'!$AC$2:$AC$495&gt;=10)*('CASE MASTER'!$AB$2:$AB$495&lt;=9)*('CASE MASTER'!$AD$2:$AD$495&gt;=9))*ROW('CASE MASTER'!$T$2:$T$495))-(ROW('CASE MASTER'!#REF!)-1)))+((10-INDEX('CASE MASTER'!$AA$2:$AA$495,(SUMPRODUCT((('CASE MASTER'!$T$2:$T$495=13)*('CASE MASTER'!$AA$2:$AA$495&lt;=10)*('CASE MASTER'!$AC$2:$AC$495&gt;=10)*('CASE MASTER'!$AB$2:$AB$495&lt;=9)*('CASE MASTER'!$AD$2:$AD$495&gt;=9))*ROW('CASE MASTER'!$T$2:$T$495))-(ROW('CASE MASTER'!#REF!)-1))))*(INDEX('CASE MASTER'!$AD$2:$AD$495,(SUMPRODUCT((('CASE MASTER'!$T$2:$T$495=13)*('CASE MASTER'!$AA$2:$AA$495&lt;=10)*('CASE MASTER'!$AC$2:$AC$495&gt;=10)*('CASE MASTER'!$AB$2:$AB$495&lt;=9)*('CASE MASTER'!$AD$2:$AD$495&gt;=9))*ROW('CASE MASTER'!$T$2:$T$495))-(ROW('CASE MASTER'!#REF!)-1)))-INDEX('CASE MASTER'!$AB$2:$AB$495,(SUMPRODUCT((('CASE MASTER'!$T$2:$T$495=13)*('CASE MASTER'!$AA$2:$AA$495&lt;=10)*('CASE MASTER'!$AC$2:$AC$495&gt;=10)*('CASE MASTER'!$AB$2:$AB$495&lt;=9)*('CASE MASTER'!$AD$2:$AD$495&gt;=9))*ROW('CASE MASTER'!$T$2:$T$495))-(ROW('CASE MASTER'!#REF!)-1)))+1)+(9-INDEX('CASE MASTER'!$AB$2:$AB$495,(SUMPRODUCT((('CASE MASTER'!$T$2:$T$495=13)*('CASE MASTER'!$AA$2:$AA$495&lt;=10)*('CASE MASTER'!$AC$2:$AC$495&gt;=10)*('CASE MASTER'!$AB$2:$AB$495&lt;=9)*('CASE MASTER'!$AD$2:$AD$495&gt;=9))*ROW('CASE MASTER'!$T$2:$T$495))-(ROW('CASE MASTER'!#REF!)-1))))+1)))-1)*50+1,50))&amp;"_"&amp;INDEX('CASE MASTER'!$Q$2:$Q$495,(SUMPRODUCT((('CASE MASTER'!$T$2:$T$495=13)*('CASE MASTER'!$AA$2:$AA$495&lt;=10)*('CASE MASTER'!$AC$2:$AC$495&gt;=10)*('CASE MASTER'!$AB$2:$AB$495&lt;=9)*('CASE MASTER'!$AD$2:$AD$495&gt;=9))*ROW('CASE MASTER'!$T$2:$T$495))-(ROW('CASE MASTER'!#REF!)-1))),"")),"")</f>
        <v/>
      </c>
      <c r="K180" s="10" t="str">
        <f>IFERROR(IF(SUMPRODUCT((('CASE MASTER'!$T$2:$T$495=13)*('CASE MASTER'!$U$2:$U$495&lt;=10)*('CASE MASTER'!$W$2:$W$495&gt;=10)*('CASE MASTER'!$V$2:$V$495&lt;=10)*('CASE MASTER'!$X$2:$X$495&gt;=10))*ROW('CASE MASTER'!$T$2:$T$495))&gt;0,INDEX('CASE MASTER'!$Y$2:$Y$495,(SUMPRODUCT((('CASE MASTER'!$T$2:$T$495=13)*('CASE MASTER'!$U$2:$U$495&lt;=10)*('CASE MASTER'!$W$2:$W$495&gt;=10)*('CASE MASTER'!$V$2:$V$495&lt;=10)*('CASE MASTER'!$X$2:$X$495&gt;=10))*ROW('CASE MASTER'!$T$2:$T$495))-(ROW('CASE MASTER'!#REF!)-1)))&amp;TRIM(MID(SUBSTITUTE(SUBSTITUTE(INDEX('CASE MASTER'!$N$2:$N$495,(SUMPRODUCT((('CASE MASTER'!$T$2:$T$495=13)*('CASE MASTER'!$U$2:$U$495&lt;=10)*('CASE MASTER'!$W$2:$W$495&gt;=10)*('CASE MASTER'!$V$2:$V$495&lt;=10)*('CASE MASTER'!$X$2:$X$495&gt;=10))*ROW('CASE MASTER'!$T$2:$T$495))-(ROW('CASE MASTER'!#REF!)-1))),":",","),",",REPT(" ",50)),((((10-INDEX('CASE MASTER'!$U$2:$U$495,(SUMPRODUCT((('CASE MASTER'!$T$2:$T$495=13)*('CASE MASTER'!$U$2:$U$495&lt;=10)*('CASE MASTER'!$W$2:$W$495&gt;=10)*('CASE MASTER'!$V$2:$V$495&lt;=10)*('CASE MASTER'!$X$2:$X$495&gt;=10))*ROW('CASE MASTER'!$T$2:$T$495))-(ROW('CASE MASTER'!#REF!)-1))))*(INDEX('CASE MASTER'!$X$2:$X$495,(SUMPRODUCT((('CASE MASTER'!$T$2:$T$495=13)*('CASE MASTER'!$U$2:$U$495&lt;=10)*('CASE MASTER'!$W$2:$W$495&gt;=10)*('CASE MASTER'!$V$2:$V$495&lt;=10)*('CASE MASTER'!$X$2:$X$495&gt;=10))*ROW('CASE MASTER'!$T$2:$T$495))-(ROW('CASE MASTER'!#REF!)-1)))-INDEX('CASE MASTER'!$V$2:$V$495,(SUMPRODUCT((('CASE MASTER'!$T$2:$T$495=13)*('CASE MASTER'!$U$2:$U$495&lt;=10)*('CASE MASTER'!$W$2:$W$495&gt;=10)*('CASE MASTER'!$V$2:$V$495&lt;=10)*('CASE MASTER'!$X$2:$X$495&gt;=10))*ROW('CASE MASTER'!$T$2:$T$495))-(ROW('CASE MASTER'!#REF!)-1)))+1)+(10-INDEX('CASE MASTER'!$V$2:$V$495,(SUMPRODUCT((('CASE MASTER'!$T$2:$T$495=13)*('CASE MASTER'!$U$2:$U$495&lt;=10)*('CASE MASTER'!$W$2:$W$495&gt;=10)*('CASE MASTER'!$V$2:$V$495&lt;=10)*('CASE MASTER'!$X$2:$X$495&gt;=10))*ROW('CASE MASTER'!$T$2:$T$495))-(ROW('CASE MASTER'!#REF!)-1))))+1))-1)*50+1,50))&amp;"_"&amp;INDEX('CASE MASTER'!$Q$2:$Q$495,(SUMPRODUCT((('CASE MASTER'!$T$2:$T$495=13)*('CASE MASTER'!$U$2:$U$495&lt;=10)*('CASE MASTER'!$W$2:$W$495&gt;=10)*('CASE MASTER'!$V$2:$V$495&lt;=10)*('CASE MASTER'!$X$2:$X$495&gt;=10))*ROW('CASE MASTER'!$T$2:$T$495))-(ROW('CASE MASTER'!#REF!)-1))),IF(SUMPRODUCT((('CASE MASTER'!$T$2:$T$495=13)*('CASE MASTER'!$AA$2:$AA$495&lt;=10)*('CASE MASTER'!$AC$2:$AC$495&gt;=10)*('CASE MASTER'!$AB$2:$AB$495&lt;=10)*('CASE MASTER'!$AD$2:$AD$495&gt;=10))*ROW('CASE MASTER'!$T$2:$T$495))&gt;0,INDEX('CASE MASTER'!$Y$2:$Y$495,(SUMPRODUCT((('CASE MASTER'!$T$2:$T$495=13)*('CASE MASTER'!$AA$2:$AA$495&lt;=10)*('CASE MASTER'!$AC$2:$AC$495&gt;=10)*('CASE MASTER'!$AB$2:$AB$495&lt;=10)*('CASE MASTER'!$AD$2:$AD$495&gt;=10))*ROW('CASE MASTER'!$T$2:$T$495))-(ROW('CASE MASTER'!#REF!)-1)))&amp;TRIM(MID(SUBSTITUTE(SUBSTITUTE(INDEX('CASE MASTER'!$N$2:$N$495,(SUMPRODUCT((('CASE MASTER'!$T$2:$T$495=13)*('CASE MASTER'!$AA$2:$AA$495&lt;=10)*('CASE MASTER'!$AC$2:$AC$495&gt;=10)*('CASE MASTER'!$AB$2:$AB$495&lt;=10)*('CASE MASTER'!$AD$2:$AD$495&gt;=10))*ROW('CASE MASTER'!$T$2:$T$495))-(ROW('CASE MASTER'!#REF!)-1))),":",","),",",REPT(" ",50)),(((INDEX('CASE MASTER'!$Z$2:$Z$495,(SUMPRODUCT((('CASE MASTER'!$T$2:$T$495=13)*('CASE MASTER'!$AA$2:$AA$495&lt;=10)*('CASE MASTER'!$AC$2:$AC$495&gt;=10)*('CASE MASTER'!$AB$2:$AB$495&lt;=10)*('CASE MASTER'!$AD$2:$AD$495&gt;=10))*ROW('CASE MASTER'!$T$2:$T$495))-(ROW('CASE MASTER'!#REF!)-1)))+((10-INDEX('CASE MASTER'!$AA$2:$AA$495,(SUMPRODUCT((('CASE MASTER'!$T$2:$T$495=13)*('CASE MASTER'!$AA$2:$AA$495&lt;=10)*('CASE MASTER'!$AC$2:$AC$495&gt;=10)*('CASE MASTER'!$AB$2:$AB$495&lt;=10)*('CASE MASTER'!$AD$2:$AD$495&gt;=10))*ROW('CASE MASTER'!$T$2:$T$495))-(ROW('CASE MASTER'!#REF!)-1))))*(INDEX('CASE MASTER'!$AD$2:$AD$495,(SUMPRODUCT((('CASE MASTER'!$T$2:$T$495=13)*('CASE MASTER'!$AA$2:$AA$495&lt;=10)*('CASE MASTER'!$AC$2:$AC$495&gt;=10)*('CASE MASTER'!$AB$2:$AB$495&lt;=10)*('CASE MASTER'!$AD$2:$AD$495&gt;=10))*ROW('CASE MASTER'!$T$2:$T$495))-(ROW('CASE MASTER'!#REF!)-1)))-INDEX('CASE MASTER'!$AB$2:$AB$495,(SUMPRODUCT((('CASE MASTER'!$T$2:$T$495=13)*('CASE MASTER'!$AA$2:$AA$495&lt;=10)*('CASE MASTER'!$AC$2:$AC$495&gt;=10)*('CASE MASTER'!$AB$2:$AB$495&lt;=10)*('CASE MASTER'!$AD$2:$AD$495&gt;=10))*ROW('CASE MASTER'!$T$2:$T$495))-(ROW('CASE MASTER'!#REF!)-1)))+1)+(10-INDEX('CASE MASTER'!$AB$2:$AB$495,(SUMPRODUCT((('CASE MASTER'!$T$2:$T$495=13)*('CASE MASTER'!$AA$2:$AA$495&lt;=10)*('CASE MASTER'!$AC$2:$AC$495&gt;=10)*('CASE MASTER'!$AB$2:$AB$495&lt;=10)*('CASE MASTER'!$AD$2:$AD$495&gt;=10))*ROW('CASE MASTER'!$T$2:$T$495))-(ROW('CASE MASTER'!#REF!)-1))))+1)))-1)*50+1,50))&amp;"_"&amp;INDEX('CASE MASTER'!$Q$2:$Q$495,(SUMPRODUCT((('CASE MASTER'!$T$2:$T$495=13)*('CASE MASTER'!$AA$2:$AA$495&lt;=10)*('CASE MASTER'!$AC$2:$AC$495&gt;=10)*('CASE MASTER'!$AB$2:$AB$495&lt;=10)*('CASE MASTER'!$AD$2:$AD$495&gt;=10))*ROW('CASE MASTER'!$T$2:$T$495))-(ROW('CASE MASTER'!#REF!)-1))),"")),"")</f>
        <v/>
      </c>
    </row>
    <row r="183" spans="1:11" ht="15" customHeight="1" x14ac:dyDescent="0.35">
      <c r="A183" s="12" t="s">
        <v>95</v>
      </c>
      <c r="B183" s="13"/>
      <c r="C183" s="13"/>
      <c r="D183" s="13"/>
      <c r="E183" s="13"/>
      <c r="F183" s="13"/>
      <c r="G183" s="13"/>
      <c r="H183" s="13"/>
      <c r="I183" s="13"/>
      <c r="J183" s="13"/>
      <c r="K183" s="13"/>
    </row>
    <row r="184" spans="1:11" ht="15" customHeight="1" x14ac:dyDescent="0.35">
      <c r="B184" s="8">
        <v>1</v>
      </c>
      <c r="C184" s="8">
        <v>2</v>
      </c>
      <c r="D184" s="8">
        <v>3</v>
      </c>
      <c r="E184" s="8">
        <v>4</v>
      </c>
      <c r="F184" s="8">
        <v>5</v>
      </c>
      <c r="G184" s="8">
        <v>6</v>
      </c>
      <c r="H184" s="8">
        <v>7</v>
      </c>
      <c r="I184" s="8">
        <v>8</v>
      </c>
      <c r="J184" s="8">
        <v>9</v>
      </c>
      <c r="K184" s="8">
        <v>10</v>
      </c>
    </row>
    <row r="185" spans="1:11" ht="15" customHeight="1" x14ac:dyDescent="0.35">
      <c r="A185" s="8" t="s">
        <v>28</v>
      </c>
      <c r="B185" s="10" t="str">
        <f>IFERROR(IF(SUMPRODUCT((('CASE MASTER'!$T$2:$T$495=14)*('CASE MASTER'!$U$2:$U$495&lt;=1)*('CASE MASTER'!$W$2:$W$495&gt;=1)*('CASE MASTER'!$V$2:$V$495&lt;=1)*('CASE MASTER'!$X$2:$X$495&gt;=1))*ROW('CASE MASTER'!$T$2:$T$495))&gt;0,INDEX('CASE MASTER'!$Y$2:$Y$495,(SUMPRODUCT((('CASE MASTER'!$T$2:$T$495=14)*('CASE MASTER'!$U$2:$U$495&lt;=1)*('CASE MASTER'!$W$2:$W$495&gt;=1)*('CASE MASTER'!$V$2:$V$495&lt;=1)*('CASE MASTER'!$X$2:$X$495&gt;=1))*ROW('CASE MASTER'!$T$2:$T$495))-(ROW('CASE MASTER'!#REF!)-1)))&amp;TRIM(MID(SUBSTITUTE(SUBSTITUTE(INDEX('CASE MASTER'!$N$2:$N$495,(SUMPRODUCT((('CASE MASTER'!$T$2:$T$495=14)*('CASE MASTER'!$U$2:$U$495&lt;=1)*('CASE MASTER'!$W$2:$W$495&gt;=1)*('CASE MASTER'!$V$2:$V$495&lt;=1)*('CASE MASTER'!$X$2:$X$495&gt;=1))*ROW('CASE MASTER'!$T$2:$T$495))-(ROW('CASE MASTER'!#REF!)-1))),":",","),",",REPT(" ",50)),((((1-INDEX('CASE MASTER'!$U$2:$U$495,(SUMPRODUCT((('CASE MASTER'!$T$2:$T$495=14)*('CASE MASTER'!$U$2:$U$495&lt;=1)*('CASE MASTER'!$W$2:$W$495&gt;=1)*('CASE MASTER'!$V$2:$V$495&lt;=1)*('CASE MASTER'!$X$2:$X$495&gt;=1))*ROW('CASE MASTER'!$T$2:$T$495))-(ROW('CASE MASTER'!#REF!)-1))))*(INDEX('CASE MASTER'!$X$2:$X$495,(SUMPRODUCT((('CASE MASTER'!$T$2:$T$495=14)*('CASE MASTER'!$U$2:$U$495&lt;=1)*('CASE MASTER'!$W$2:$W$495&gt;=1)*('CASE MASTER'!$V$2:$V$495&lt;=1)*('CASE MASTER'!$X$2:$X$495&gt;=1))*ROW('CASE MASTER'!$T$2:$T$495))-(ROW('CASE MASTER'!#REF!)-1)))-INDEX('CASE MASTER'!$V$2:$V$495,(SUMPRODUCT((('CASE MASTER'!$T$2:$T$495=14)*('CASE MASTER'!$U$2:$U$495&lt;=1)*('CASE MASTER'!$W$2:$W$495&gt;=1)*('CASE MASTER'!$V$2:$V$495&lt;=1)*('CASE MASTER'!$X$2:$X$495&gt;=1))*ROW('CASE MASTER'!$T$2:$T$495))-(ROW('CASE MASTER'!#REF!)-1)))+1)+(1-INDEX('CASE MASTER'!$V$2:$V$495,(SUMPRODUCT((('CASE MASTER'!$T$2:$T$495=14)*('CASE MASTER'!$U$2:$U$495&lt;=1)*('CASE MASTER'!$W$2:$W$495&gt;=1)*('CASE MASTER'!$V$2:$V$495&lt;=1)*('CASE MASTER'!$X$2:$X$495&gt;=1))*ROW('CASE MASTER'!$T$2:$T$495))-(ROW('CASE MASTER'!#REF!)-1))))+1))-1)*50+1,50))&amp;"_"&amp;INDEX('CASE MASTER'!$Q$2:$Q$495,(SUMPRODUCT((('CASE MASTER'!$T$2:$T$495=14)*('CASE MASTER'!$U$2:$U$495&lt;=1)*('CASE MASTER'!$W$2:$W$495&gt;=1)*('CASE MASTER'!$V$2:$V$495&lt;=1)*('CASE MASTER'!$X$2:$X$495&gt;=1))*ROW('CASE MASTER'!$T$2:$T$495))-(ROW('CASE MASTER'!#REF!)-1))),IF(SUMPRODUCT((('CASE MASTER'!$T$2:$T$495=14)*('CASE MASTER'!$AA$2:$AA$495&lt;=1)*('CASE MASTER'!$AC$2:$AC$495&gt;=1)*('CASE MASTER'!$AB$2:$AB$495&lt;=1)*('CASE MASTER'!$AD$2:$AD$495&gt;=1))*ROW('CASE MASTER'!$T$2:$T$495))&gt;0,INDEX('CASE MASTER'!$Y$2:$Y$495,(SUMPRODUCT((('CASE MASTER'!$T$2:$T$495=14)*('CASE MASTER'!$AA$2:$AA$495&lt;=1)*('CASE MASTER'!$AC$2:$AC$495&gt;=1)*('CASE MASTER'!$AB$2:$AB$495&lt;=1)*('CASE MASTER'!$AD$2:$AD$495&gt;=1))*ROW('CASE MASTER'!$T$2:$T$495))-(ROW('CASE MASTER'!#REF!)-1)))&amp;TRIM(MID(SUBSTITUTE(SUBSTITUTE(INDEX('CASE MASTER'!$N$2:$N$495,(SUMPRODUCT((('CASE MASTER'!$T$2:$T$495=14)*('CASE MASTER'!$AA$2:$AA$495&lt;=1)*('CASE MASTER'!$AC$2:$AC$495&gt;=1)*('CASE MASTER'!$AB$2:$AB$495&lt;=1)*('CASE MASTER'!$AD$2:$AD$495&gt;=1))*ROW('CASE MASTER'!$T$2:$T$495))-(ROW('CASE MASTER'!#REF!)-1))),":",","),",",REPT(" ",50)),(((INDEX('CASE MASTER'!$Z$2:$Z$495,(SUMPRODUCT((('CASE MASTER'!$T$2:$T$495=14)*('CASE MASTER'!$AA$2:$AA$495&lt;=1)*('CASE MASTER'!$AC$2:$AC$495&gt;=1)*('CASE MASTER'!$AB$2:$AB$495&lt;=1)*('CASE MASTER'!$AD$2:$AD$495&gt;=1))*ROW('CASE MASTER'!$T$2:$T$495))-(ROW('CASE MASTER'!#REF!)-1)))+((1-INDEX('CASE MASTER'!$AA$2:$AA$495,(SUMPRODUCT((('CASE MASTER'!$T$2:$T$495=14)*('CASE MASTER'!$AA$2:$AA$495&lt;=1)*('CASE MASTER'!$AC$2:$AC$495&gt;=1)*('CASE MASTER'!$AB$2:$AB$495&lt;=1)*('CASE MASTER'!$AD$2:$AD$495&gt;=1))*ROW('CASE MASTER'!$T$2:$T$495))-(ROW('CASE MASTER'!#REF!)-1))))*(INDEX('CASE MASTER'!$AD$2:$AD$495,(SUMPRODUCT((('CASE MASTER'!$T$2:$T$495=14)*('CASE MASTER'!$AA$2:$AA$495&lt;=1)*('CASE MASTER'!$AC$2:$AC$495&gt;=1)*('CASE MASTER'!$AB$2:$AB$495&lt;=1)*('CASE MASTER'!$AD$2:$AD$495&gt;=1))*ROW('CASE MASTER'!$T$2:$T$495))-(ROW('CASE MASTER'!#REF!)-1)))-INDEX('CASE MASTER'!$AB$2:$AB$495,(SUMPRODUCT((('CASE MASTER'!$T$2:$T$495=14)*('CASE MASTER'!$AA$2:$AA$495&lt;=1)*('CASE MASTER'!$AC$2:$AC$495&gt;=1)*('CASE MASTER'!$AB$2:$AB$495&lt;=1)*('CASE MASTER'!$AD$2:$AD$495&gt;=1))*ROW('CASE MASTER'!$T$2:$T$495))-(ROW('CASE MASTER'!#REF!)-1)))+1)+(1-INDEX('CASE MASTER'!$AB$2:$AB$495,(SUMPRODUCT((('CASE MASTER'!$T$2:$T$495=14)*('CASE MASTER'!$AA$2:$AA$495&lt;=1)*('CASE MASTER'!$AC$2:$AC$495&gt;=1)*('CASE MASTER'!$AB$2:$AB$495&lt;=1)*('CASE MASTER'!$AD$2:$AD$495&gt;=1))*ROW('CASE MASTER'!$T$2:$T$495))-(ROW('CASE MASTER'!#REF!)-1))))+1)))-1)*50+1,50))&amp;"_"&amp;INDEX('CASE MASTER'!$Q$2:$Q$495,(SUMPRODUCT((('CASE MASTER'!$T$2:$T$495=14)*('CASE MASTER'!$AA$2:$AA$495&lt;=1)*('CASE MASTER'!$AC$2:$AC$495&gt;=1)*('CASE MASTER'!$AB$2:$AB$495&lt;=1)*('CASE MASTER'!$AD$2:$AD$495&gt;=1))*ROW('CASE MASTER'!$T$2:$T$495))-(ROW('CASE MASTER'!#REF!)-1))),"")),"")</f>
        <v/>
      </c>
      <c r="C185" s="10" t="str">
        <f>IFERROR(IF(SUMPRODUCT((('CASE MASTER'!$T$2:$T$495=14)*('CASE MASTER'!$U$2:$U$495&lt;=1)*('CASE MASTER'!$W$2:$W$495&gt;=1)*('CASE MASTER'!$V$2:$V$495&lt;=2)*('CASE MASTER'!$X$2:$X$495&gt;=2))*ROW('CASE MASTER'!$T$2:$T$495))&gt;0,INDEX('CASE MASTER'!$Y$2:$Y$495,(SUMPRODUCT((('CASE MASTER'!$T$2:$T$495=14)*('CASE MASTER'!$U$2:$U$495&lt;=1)*('CASE MASTER'!$W$2:$W$495&gt;=1)*('CASE MASTER'!$V$2:$V$495&lt;=2)*('CASE MASTER'!$X$2:$X$495&gt;=2))*ROW('CASE MASTER'!$T$2:$T$495))-(ROW('CASE MASTER'!#REF!)-1)))&amp;TRIM(MID(SUBSTITUTE(SUBSTITUTE(INDEX('CASE MASTER'!$N$2:$N$495,(SUMPRODUCT((('CASE MASTER'!$T$2:$T$495=14)*('CASE MASTER'!$U$2:$U$495&lt;=1)*('CASE MASTER'!$W$2:$W$495&gt;=1)*('CASE MASTER'!$V$2:$V$495&lt;=2)*('CASE MASTER'!$X$2:$X$495&gt;=2))*ROW('CASE MASTER'!$T$2:$T$495))-(ROW('CASE MASTER'!#REF!)-1))),":",","),",",REPT(" ",50)),((((1-INDEX('CASE MASTER'!$U$2:$U$495,(SUMPRODUCT((('CASE MASTER'!$T$2:$T$495=14)*('CASE MASTER'!$U$2:$U$495&lt;=1)*('CASE MASTER'!$W$2:$W$495&gt;=1)*('CASE MASTER'!$V$2:$V$495&lt;=2)*('CASE MASTER'!$X$2:$X$495&gt;=2))*ROW('CASE MASTER'!$T$2:$T$495))-(ROW('CASE MASTER'!#REF!)-1))))*(INDEX('CASE MASTER'!$X$2:$X$495,(SUMPRODUCT((('CASE MASTER'!$T$2:$T$495=14)*('CASE MASTER'!$U$2:$U$495&lt;=1)*('CASE MASTER'!$W$2:$W$495&gt;=1)*('CASE MASTER'!$V$2:$V$495&lt;=2)*('CASE MASTER'!$X$2:$X$495&gt;=2))*ROW('CASE MASTER'!$T$2:$T$495))-(ROW('CASE MASTER'!#REF!)-1)))-INDEX('CASE MASTER'!$V$2:$V$495,(SUMPRODUCT((('CASE MASTER'!$T$2:$T$495=14)*('CASE MASTER'!$U$2:$U$495&lt;=1)*('CASE MASTER'!$W$2:$W$495&gt;=1)*('CASE MASTER'!$V$2:$V$495&lt;=2)*('CASE MASTER'!$X$2:$X$495&gt;=2))*ROW('CASE MASTER'!$T$2:$T$495))-(ROW('CASE MASTER'!#REF!)-1)))+1)+(2-INDEX('CASE MASTER'!$V$2:$V$495,(SUMPRODUCT((('CASE MASTER'!$T$2:$T$495=14)*('CASE MASTER'!$U$2:$U$495&lt;=1)*('CASE MASTER'!$W$2:$W$495&gt;=1)*('CASE MASTER'!$V$2:$V$495&lt;=2)*('CASE MASTER'!$X$2:$X$495&gt;=2))*ROW('CASE MASTER'!$T$2:$T$495))-(ROW('CASE MASTER'!#REF!)-1))))+1))-1)*50+1,50))&amp;"_"&amp;INDEX('CASE MASTER'!$Q$2:$Q$495,(SUMPRODUCT((('CASE MASTER'!$T$2:$T$495=14)*('CASE MASTER'!$U$2:$U$495&lt;=1)*('CASE MASTER'!$W$2:$W$495&gt;=1)*('CASE MASTER'!$V$2:$V$495&lt;=2)*('CASE MASTER'!$X$2:$X$495&gt;=2))*ROW('CASE MASTER'!$T$2:$T$495))-(ROW('CASE MASTER'!#REF!)-1))),IF(SUMPRODUCT((('CASE MASTER'!$T$2:$T$495=14)*('CASE MASTER'!$AA$2:$AA$495&lt;=1)*('CASE MASTER'!$AC$2:$AC$495&gt;=1)*('CASE MASTER'!$AB$2:$AB$495&lt;=2)*('CASE MASTER'!$AD$2:$AD$495&gt;=2))*ROW('CASE MASTER'!$T$2:$T$495))&gt;0,INDEX('CASE MASTER'!$Y$2:$Y$495,(SUMPRODUCT((('CASE MASTER'!$T$2:$T$495=14)*('CASE MASTER'!$AA$2:$AA$495&lt;=1)*('CASE MASTER'!$AC$2:$AC$495&gt;=1)*('CASE MASTER'!$AB$2:$AB$495&lt;=2)*('CASE MASTER'!$AD$2:$AD$495&gt;=2))*ROW('CASE MASTER'!$T$2:$T$495))-(ROW('CASE MASTER'!#REF!)-1)))&amp;TRIM(MID(SUBSTITUTE(SUBSTITUTE(INDEX('CASE MASTER'!$N$2:$N$495,(SUMPRODUCT((('CASE MASTER'!$T$2:$T$495=14)*('CASE MASTER'!$AA$2:$AA$495&lt;=1)*('CASE MASTER'!$AC$2:$AC$495&gt;=1)*('CASE MASTER'!$AB$2:$AB$495&lt;=2)*('CASE MASTER'!$AD$2:$AD$495&gt;=2))*ROW('CASE MASTER'!$T$2:$T$495))-(ROW('CASE MASTER'!#REF!)-1))),":",","),",",REPT(" ",50)),(((INDEX('CASE MASTER'!$Z$2:$Z$495,(SUMPRODUCT((('CASE MASTER'!$T$2:$T$495=14)*('CASE MASTER'!$AA$2:$AA$495&lt;=1)*('CASE MASTER'!$AC$2:$AC$495&gt;=1)*('CASE MASTER'!$AB$2:$AB$495&lt;=2)*('CASE MASTER'!$AD$2:$AD$495&gt;=2))*ROW('CASE MASTER'!$T$2:$T$495))-(ROW('CASE MASTER'!#REF!)-1)))+((1-INDEX('CASE MASTER'!$AA$2:$AA$495,(SUMPRODUCT((('CASE MASTER'!$T$2:$T$495=14)*('CASE MASTER'!$AA$2:$AA$495&lt;=1)*('CASE MASTER'!$AC$2:$AC$495&gt;=1)*('CASE MASTER'!$AB$2:$AB$495&lt;=2)*('CASE MASTER'!$AD$2:$AD$495&gt;=2))*ROW('CASE MASTER'!$T$2:$T$495))-(ROW('CASE MASTER'!#REF!)-1))))*(INDEX('CASE MASTER'!$AD$2:$AD$495,(SUMPRODUCT((('CASE MASTER'!$T$2:$T$495=14)*('CASE MASTER'!$AA$2:$AA$495&lt;=1)*('CASE MASTER'!$AC$2:$AC$495&gt;=1)*('CASE MASTER'!$AB$2:$AB$495&lt;=2)*('CASE MASTER'!$AD$2:$AD$495&gt;=2))*ROW('CASE MASTER'!$T$2:$T$495))-(ROW('CASE MASTER'!#REF!)-1)))-INDEX('CASE MASTER'!$AB$2:$AB$495,(SUMPRODUCT((('CASE MASTER'!$T$2:$T$495=14)*('CASE MASTER'!$AA$2:$AA$495&lt;=1)*('CASE MASTER'!$AC$2:$AC$495&gt;=1)*('CASE MASTER'!$AB$2:$AB$495&lt;=2)*('CASE MASTER'!$AD$2:$AD$495&gt;=2))*ROW('CASE MASTER'!$T$2:$T$495))-(ROW('CASE MASTER'!#REF!)-1)))+1)+(2-INDEX('CASE MASTER'!$AB$2:$AB$495,(SUMPRODUCT((('CASE MASTER'!$T$2:$T$495=14)*('CASE MASTER'!$AA$2:$AA$495&lt;=1)*('CASE MASTER'!$AC$2:$AC$495&gt;=1)*('CASE MASTER'!$AB$2:$AB$495&lt;=2)*('CASE MASTER'!$AD$2:$AD$495&gt;=2))*ROW('CASE MASTER'!$T$2:$T$495))-(ROW('CASE MASTER'!#REF!)-1))))+1)))-1)*50+1,50))&amp;"_"&amp;INDEX('CASE MASTER'!$Q$2:$Q$495,(SUMPRODUCT((('CASE MASTER'!$T$2:$T$495=14)*('CASE MASTER'!$AA$2:$AA$495&lt;=1)*('CASE MASTER'!$AC$2:$AC$495&gt;=1)*('CASE MASTER'!$AB$2:$AB$495&lt;=2)*('CASE MASTER'!$AD$2:$AD$495&gt;=2))*ROW('CASE MASTER'!$T$2:$T$495))-(ROW('CASE MASTER'!#REF!)-1))),"")),"")</f>
        <v/>
      </c>
      <c r="D185" s="10" t="str">
        <f>IFERROR(IF(SUMPRODUCT((('CASE MASTER'!$T$2:$T$495=14)*('CASE MASTER'!$U$2:$U$495&lt;=1)*('CASE MASTER'!$W$2:$W$495&gt;=1)*('CASE MASTER'!$V$2:$V$495&lt;=3)*('CASE MASTER'!$X$2:$X$495&gt;=3))*ROW('CASE MASTER'!$T$2:$T$495))&gt;0,INDEX('CASE MASTER'!$Y$2:$Y$495,(SUMPRODUCT((('CASE MASTER'!$T$2:$T$495=14)*('CASE MASTER'!$U$2:$U$495&lt;=1)*('CASE MASTER'!$W$2:$W$495&gt;=1)*('CASE MASTER'!$V$2:$V$495&lt;=3)*('CASE MASTER'!$X$2:$X$495&gt;=3))*ROW('CASE MASTER'!$T$2:$T$495))-(ROW('CASE MASTER'!#REF!)-1)))&amp;TRIM(MID(SUBSTITUTE(SUBSTITUTE(INDEX('CASE MASTER'!$N$2:$N$495,(SUMPRODUCT((('CASE MASTER'!$T$2:$T$495=14)*('CASE MASTER'!$U$2:$U$495&lt;=1)*('CASE MASTER'!$W$2:$W$495&gt;=1)*('CASE MASTER'!$V$2:$V$495&lt;=3)*('CASE MASTER'!$X$2:$X$495&gt;=3))*ROW('CASE MASTER'!$T$2:$T$495))-(ROW('CASE MASTER'!#REF!)-1))),":",","),",",REPT(" ",50)),((((1-INDEX('CASE MASTER'!$U$2:$U$495,(SUMPRODUCT((('CASE MASTER'!$T$2:$T$495=14)*('CASE MASTER'!$U$2:$U$495&lt;=1)*('CASE MASTER'!$W$2:$W$495&gt;=1)*('CASE MASTER'!$V$2:$V$495&lt;=3)*('CASE MASTER'!$X$2:$X$495&gt;=3))*ROW('CASE MASTER'!$T$2:$T$495))-(ROW('CASE MASTER'!#REF!)-1))))*(INDEX('CASE MASTER'!$X$2:$X$495,(SUMPRODUCT((('CASE MASTER'!$T$2:$T$495=14)*('CASE MASTER'!$U$2:$U$495&lt;=1)*('CASE MASTER'!$W$2:$W$495&gt;=1)*('CASE MASTER'!$V$2:$V$495&lt;=3)*('CASE MASTER'!$X$2:$X$495&gt;=3))*ROW('CASE MASTER'!$T$2:$T$495))-(ROW('CASE MASTER'!#REF!)-1)))-INDEX('CASE MASTER'!$V$2:$V$495,(SUMPRODUCT((('CASE MASTER'!$T$2:$T$495=14)*('CASE MASTER'!$U$2:$U$495&lt;=1)*('CASE MASTER'!$W$2:$W$495&gt;=1)*('CASE MASTER'!$V$2:$V$495&lt;=3)*('CASE MASTER'!$X$2:$X$495&gt;=3))*ROW('CASE MASTER'!$T$2:$T$495))-(ROW('CASE MASTER'!#REF!)-1)))+1)+(3-INDEX('CASE MASTER'!$V$2:$V$495,(SUMPRODUCT((('CASE MASTER'!$T$2:$T$495=14)*('CASE MASTER'!$U$2:$U$495&lt;=1)*('CASE MASTER'!$W$2:$W$495&gt;=1)*('CASE MASTER'!$V$2:$V$495&lt;=3)*('CASE MASTER'!$X$2:$X$495&gt;=3))*ROW('CASE MASTER'!$T$2:$T$495))-(ROW('CASE MASTER'!#REF!)-1))))+1))-1)*50+1,50))&amp;"_"&amp;INDEX('CASE MASTER'!$Q$2:$Q$495,(SUMPRODUCT((('CASE MASTER'!$T$2:$T$495=14)*('CASE MASTER'!$U$2:$U$495&lt;=1)*('CASE MASTER'!$W$2:$W$495&gt;=1)*('CASE MASTER'!$V$2:$V$495&lt;=3)*('CASE MASTER'!$X$2:$X$495&gt;=3))*ROW('CASE MASTER'!$T$2:$T$495))-(ROW('CASE MASTER'!#REF!)-1))),IF(SUMPRODUCT((('CASE MASTER'!$T$2:$T$495=14)*('CASE MASTER'!$AA$2:$AA$495&lt;=1)*('CASE MASTER'!$AC$2:$AC$495&gt;=1)*('CASE MASTER'!$AB$2:$AB$495&lt;=3)*('CASE MASTER'!$AD$2:$AD$495&gt;=3))*ROW('CASE MASTER'!$T$2:$T$495))&gt;0,INDEX('CASE MASTER'!$Y$2:$Y$495,(SUMPRODUCT((('CASE MASTER'!$T$2:$T$495=14)*('CASE MASTER'!$AA$2:$AA$495&lt;=1)*('CASE MASTER'!$AC$2:$AC$495&gt;=1)*('CASE MASTER'!$AB$2:$AB$495&lt;=3)*('CASE MASTER'!$AD$2:$AD$495&gt;=3))*ROW('CASE MASTER'!$T$2:$T$495))-(ROW('CASE MASTER'!#REF!)-1)))&amp;TRIM(MID(SUBSTITUTE(SUBSTITUTE(INDEX('CASE MASTER'!$N$2:$N$495,(SUMPRODUCT((('CASE MASTER'!$T$2:$T$495=14)*('CASE MASTER'!$AA$2:$AA$495&lt;=1)*('CASE MASTER'!$AC$2:$AC$495&gt;=1)*('CASE MASTER'!$AB$2:$AB$495&lt;=3)*('CASE MASTER'!$AD$2:$AD$495&gt;=3))*ROW('CASE MASTER'!$T$2:$T$495))-(ROW('CASE MASTER'!#REF!)-1))),":",","),",",REPT(" ",50)),(((INDEX('CASE MASTER'!$Z$2:$Z$495,(SUMPRODUCT((('CASE MASTER'!$T$2:$T$495=14)*('CASE MASTER'!$AA$2:$AA$495&lt;=1)*('CASE MASTER'!$AC$2:$AC$495&gt;=1)*('CASE MASTER'!$AB$2:$AB$495&lt;=3)*('CASE MASTER'!$AD$2:$AD$495&gt;=3))*ROW('CASE MASTER'!$T$2:$T$495))-(ROW('CASE MASTER'!#REF!)-1)))+((1-INDEX('CASE MASTER'!$AA$2:$AA$495,(SUMPRODUCT((('CASE MASTER'!$T$2:$T$495=14)*('CASE MASTER'!$AA$2:$AA$495&lt;=1)*('CASE MASTER'!$AC$2:$AC$495&gt;=1)*('CASE MASTER'!$AB$2:$AB$495&lt;=3)*('CASE MASTER'!$AD$2:$AD$495&gt;=3))*ROW('CASE MASTER'!$T$2:$T$495))-(ROW('CASE MASTER'!#REF!)-1))))*(INDEX('CASE MASTER'!$AD$2:$AD$495,(SUMPRODUCT((('CASE MASTER'!$T$2:$T$495=14)*('CASE MASTER'!$AA$2:$AA$495&lt;=1)*('CASE MASTER'!$AC$2:$AC$495&gt;=1)*('CASE MASTER'!$AB$2:$AB$495&lt;=3)*('CASE MASTER'!$AD$2:$AD$495&gt;=3))*ROW('CASE MASTER'!$T$2:$T$495))-(ROW('CASE MASTER'!#REF!)-1)))-INDEX('CASE MASTER'!$AB$2:$AB$495,(SUMPRODUCT((('CASE MASTER'!$T$2:$T$495=14)*('CASE MASTER'!$AA$2:$AA$495&lt;=1)*('CASE MASTER'!$AC$2:$AC$495&gt;=1)*('CASE MASTER'!$AB$2:$AB$495&lt;=3)*('CASE MASTER'!$AD$2:$AD$495&gt;=3))*ROW('CASE MASTER'!$T$2:$T$495))-(ROW('CASE MASTER'!#REF!)-1)))+1)+(3-INDEX('CASE MASTER'!$AB$2:$AB$495,(SUMPRODUCT((('CASE MASTER'!$T$2:$T$495=14)*('CASE MASTER'!$AA$2:$AA$495&lt;=1)*('CASE MASTER'!$AC$2:$AC$495&gt;=1)*('CASE MASTER'!$AB$2:$AB$495&lt;=3)*('CASE MASTER'!$AD$2:$AD$495&gt;=3))*ROW('CASE MASTER'!$T$2:$T$495))-(ROW('CASE MASTER'!#REF!)-1))))+1)))-1)*50+1,50))&amp;"_"&amp;INDEX('CASE MASTER'!$Q$2:$Q$495,(SUMPRODUCT((('CASE MASTER'!$T$2:$T$495=14)*('CASE MASTER'!$AA$2:$AA$495&lt;=1)*('CASE MASTER'!$AC$2:$AC$495&gt;=1)*('CASE MASTER'!$AB$2:$AB$495&lt;=3)*('CASE MASTER'!$AD$2:$AD$495&gt;=3))*ROW('CASE MASTER'!$T$2:$T$495))-(ROW('CASE MASTER'!#REF!)-1))),"")),"")</f>
        <v/>
      </c>
      <c r="E185" s="10" t="str">
        <f>IFERROR(IF(SUMPRODUCT((('CASE MASTER'!$T$2:$T$495=14)*('CASE MASTER'!$U$2:$U$495&lt;=1)*('CASE MASTER'!$W$2:$W$495&gt;=1)*('CASE MASTER'!$V$2:$V$495&lt;=4)*('CASE MASTER'!$X$2:$X$495&gt;=4))*ROW('CASE MASTER'!$T$2:$T$495))&gt;0,INDEX('CASE MASTER'!$Y$2:$Y$495,(SUMPRODUCT((('CASE MASTER'!$T$2:$T$495=14)*('CASE MASTER'!$U$2:$U$495&lt;=1)*('CASE MASTER'!$W$2:$W$495&gt;=1)*('CASE MASTER'!$V$2:$V$495&lt;=4)*('CASE MASTER'!$X$2:$X$495&gt;=4))*ROW('CASE MASTER'!$T$2:$T$495))-(ROW('CASE MASTER'!#REF!)-1)))&amp;TRIM(MID(SUBSTITUTE(SUBSTITUTE(INDEX('CASE MASTER'!$N$2:$N$495,(SUMPRODUCT((('CASE MASTER'!$T$2:$T$495=14)*('CASE MASTER'!$U$2:$U$495&lt;=1)*('CASE MASTER'!$W$2:$W$495&gt;=1)*('CASE MASTER'!$V$2:$V$495&lt;=4)*('CASE MASTER'!$X$2:$X$495&gt;=4))*ROW('CASE MASTER'!$T$2:$T$495))-(ROW('CASE MASTER'!#REF!)-1))),":",","),",",REPT(" ",50)),((((1-INDEX('CASE MASTER'!$U$2:$U$495,(SUMPRODUCT((('CASE MASTER'!$T$2:$T$495=14)*('CASE MASTER'!$U$2:$U$495&lt;=1)*('CASE MASTER'!$W$2:$W$495&gt;=1)*('CASE MASTER'!$V$2:$V$495&lt;=4)*('CASE MASTER'!$X$2:$X$495&gt;=4))*ROW('CASE MASTER'!$T$2:$T$495))-(ROW('CASE MASTER'!#REF!)-1))))*(INDEX('CASE MASTER'!$X$2:$X$495,(SUMPRODUCT((('CASE MASTER'!$T$2:$T$495=14)*('CASE MASTER'!$U$2:$U$495&lt;=1)*('CASE MASTER'!$W$2:$W$495&gt;=1)*('CASE MASTER'!$V$2:$V$495&lt;=4)*('CASE MASTER'!$X$2:$X$495&gt;=4))*ROW('CASE MASTER'!$T$2:$T$495))-(ROW('CASE MASTER'!#REF!)-1)))-INDEX('CASE MASTER'!$V$2:$V$495,(SUMPRODUCT((('CASE MASTER'!$T$2:$T$495=14)*('CASE MASTER'!$U$2:$U$495&lt;=1)*('CASE MASTER'!$W$2:$W$495&gt;=1)*('CASE MASTER'!$V$2:$V$495&lt;=4)*('CASE MASTER'!$X$2:$X$495&gt;=4))*ROW('CASE MASTER'!$T$2:$T$495))-(ROW('CASE MASTER'!#REF!)-1)))+1)+(4-INDEX('CASE MASTER'!$V$2:$V$495,(SUMPRODUCT((('CASE MASTER'!$T$2:$T$495=14)*('CASE MASTER'!$U$2:$U$495&lt;=1)*('CASE MASTER'!$W$2:$W$495&gt;=1)*('CASE MASTER'!$V$2:$V$495&lt;=4)*('CASE MASTER'!$X$2:$X$495&gt;=4))*ROW('CASE MASTER'!$T$2:$T$495))-(ROW('CASE MASTER'!#REF!)-1))))+1))-1)*50+1,50))&amp;"_"&amp;INDEX('CASE MASTER'!$Q$2:$Q$495,(SUMPRODUCT((('CASE MASTER'!$T$2:$T$495=14)*('CASE MASTER'!$U$2:$U$495&lt;=1)*('CASE MASTER'!$W$2:$W$495&gt;=1)*('CASE MASTER'!$V$2:$V$495&lt;=4)*('CASE MASTER'!$X$2:$X$495&gt;=4))*ROW('CASE MASTER'!$T$2:$T$495))-(ROW('CASE MASTER'!#REF!)-1))),IF(SUMPRODUCT((('CASE MASTER'!$T$2:$T$495=14)*('CASE MASTER'!$AA$2:$AA$495&lt;=1)*('CASE MASTER'!$AC$2:$AC$495&gt;=1)*('CASE MASTER'!$AB$2:$AB$495&lt;=4)*('CASE MASTER'!$AD$2:$AD$495&gt;=4))*ROW('CASE MASTER'!$T$2:$T$495))&gt;0,INDEX('CASE MASTER'!$Y$2:$Y$495,(SUMPRODUCT((('CASE MASTER'!$T$2:$T$495=14)*('CASE MASTER'!$AA$2:$AA$495&lt;=1)*('CASE MASTER'!$AC$2:$AC$495&gt;=1)*('CASE MASTER'!$AB$2:$AB$495&lt;=4)*('CASE MASTER'!$AD$2:$AD$495&gt;=4))*ROW('CASE MASTER'!$T$2:$T$495))-(ROW('CASE MASTER'!#REF!)-1)))&amp;TRIM(MID(SUBSTITUTE(SUBSTITUTE(INDEX('CASE MASTER'!$N$2:$N$495,(SUMPRODUCT((('CASE MASTER'!$T$2:$T$495=14)*('CASE MASTER'!$AA$2:$AA$495&lt;=1)*('CASE MASTER'!$AC$2:$AC$495&gt;=1)*('CASE MASTER'!$AB$2:$AB$495&lt;=4)*('CASE MASTER'!$AD$2:$AD$495&gt;=4))*ROW('CASE MASTER'!$T$2:$T$495))-(ROW('CASE MASTER'!#REF!)-1))),":",","),",",REPT(" ",50)),(((INDEX('CASE MASTER'!$Z$2:$Z$495,(SUMPRODUCT((('CASE MASTER'!$T$2:$T$495=14)*('CASE MASTER'!$AA$2:$AA$495&lt;=1)*('CASE MASTER'!$AC$2:$AC$495&gt;=1)*('CASE MASTER'!$AB$2:$AB$495&lt;=4)*('CASE MASTER'!$AD$2:$AD$495&gt;=4))*ROW('CASE MASTER'!$T$2:$T$495))-(ROW('CASE MASTER'!#REF!)-1)))+((1-INDEX('CASE MASTER'!$AA$2:$AA$495,(SUMPRODUCT((('CASE MASTER'!$T$2:$T$495=14)*('CASE MASTER'!$AA$2:$AA$495&lt;=1)*('CASE MASTER'!$AC$2:$AC$495&gt;=1)*('CASE MASTER'!$AB$2:$AB$495&lt;=4)*('CASE MASTER'!$AD$2:$AD$495&gt;=4))*ROW('CASE MASTER'!$T$2:$T$495))-(ROW('CASE MASTER'!#REF!)-1))))*(INDEX('CASE MASTER'!$AD$2:$AD$495,(SUMPRODUCT((('CASE MASTER'!$T$2:$T$495=14)*('CASE MASTER'!$AA$2:$AA$495&lt;=1)*('CASE MASTER'!$AC$2:$AC$495&gt;=1)*('CASE MASTER'!$AB$2:$AB$495&lt;=4)*('CASE MASTER'!$AD$2:$AD$495&gt;=4))*ROW('CASE MASTER'!$T$2:$T$495))-(ROW('CASE MASTER'!#REF!)-1)))-INDEX('CASE MASTER'!$AB$2:$AB$495,(SUMPRODUCT((('CASE MASTER'!$T$2:$T$495=14)*('CASE MASTER'!$AA$2:$AA$495&lt;=1)*('CASE MASTER'!$AC$2:$AC$495&gt;=1)*('CASE MASTER'!$AB$2:$AB$495&lt;=4)*('CASE MASTER'!$AD$2:$AD$495&gt;=4))*ROW('CASE MASTER'!$T$2:$T$495))-(ROW('CASE MASTER'!#REF!)-1)))+1)+(4-INDEX('CASE MASTER'!$AB$2:$AB$495,(SUMPRODUCT((('CASE MASTER'!$T$2:$T$495=14)*('CASE MASTER'!$AA$2:$AA$495&lt;=1)*('CASE MASTER'!$AC$2:$AC$495&gt;=1)*('CASE MASTER'!$AB$2:$AB$495&lt;=4)*('CASE MASTER'!$AD$2:$AD$495&gt;=4))*ROW('CASE MASTER'!$T$2:$T$495))-(ROW('CASE MASTER'!#REF!)-1))))+1)))-1)*50+1,50))&amp;"_"&amp;INDEX('CASE MASTER'!$Q$2:$Q$495,(SUMPRODUCT((('CASE MASTER'!$T$2:$T$495=14)*('CASE MASTER'!$AA$2:$AA$495&lt;=1)*('CASE MASTER'!$AC$2:$AC$495&gt;=1)*('CASE MASTER'!$AB$2:$AB$495&lt;=4)*('CASE MASTER'!$AD$2:$AD$495&gt;=4))*ROW('CASE MASTER'!$T$2:$T$495))-(ROW('CASE MASTER'!#REF!)-1))),"")),"")</f>
        <v/>
      </c>
      <c r="F185" s="10" t="str">
        <f>IFERROR(IF(SUMPRODUCT((('CASE MASTER'!$T$2:$T$495=14)*('CASE MASTER'!$U$2:$U$495&lt;=1)*('CASE MASTER'!$W$2:$W$495&gt;=1)*('CASE MASTER'!$V$2:$V$495&lt;=5)*('CASE MASTER'!$X$2:$X$495&gt;=5))*ROW('CASE MASTER'!$T$2:$T$495))&gt;0,INDEX('CASE MASTER'!$Y$2:$Y$495,(SUMPRODUCT((('CASE MASTER'!$T$2:$T$495=14)*('CASE MASTER'!$U$2:$U$495&lt;=1)*('CASE MASTER'!$W$2:$W$495&gt;=1)*('CASE MASTER'!$V$2:$V$495&lt;=5)*('CASE MASTER'!$X$2:$X$495&gt;=5))*ROW('CASE MASTER'!$T$2:$T$495))-(ROW('CASE MASTER'!#REF!)-1)))&amp;TRIM(MID(SUBSTITUTE(SUBSTITUTE(INDEX('CASE MASTER'!$N$2:$N$495,(SUMPRODUCT((('CASE MASTER'!$T$2:$T$495=14)*('CASE MASTER'!$U$2:$U$495&lt;=1)*('CASE MASTER'!$W$2:$W$495&gt;=1)*('CASE MASTER'!$V$2:$V$495&lt;=5)*('CASE MASTER'!$X$2:$X$495&gt;=5))*ROW('CASE MASTER'!$T$2:$T$495))-(ROW('CASE MASTER'!#REF!)-1))),":",","),",",REPT(" ",50)),((((1-INDEX('CASE MASTER'!$U$2:$U$495,(SUMPRODUCT((('CASE MASTER'!$T$2:$T$495=14)*('CASE MASTER'!$U$2:$U$495&lt;=1)*('CASE MASTER'!$W$2:$W$495&gt;=1)*('CASE MASTER'!$V$2:$V$495&lt;=5)*('CASE MASTER'!$X$2:$X$495&gt;=5))*ROW('CASE MASTER'!$T$2:$T$495))-(ROW('CASE MASTER'!#REF!)-1))))*(INDEX('CASE MASTER'!$X$2:$X$495,(SUMPRODUCT((('CASE MASTER'!$T$2:$T$495=14)*('CASE MASTER'!$U$2:$U$495&lt;=1)*('CASE MASTER'!$W$2:$W$495&gt;=1)*('CASE MASTER'!$V$2:$V$495&lt;=5)*('CASE MASTER'!$X$2:$X$495&gt;=5))*ROW('CASE MASTER'!$T$2:$T$495))-(ROW('CASE MASTER'!#REF!)-1)))-INDEX('CASE MASTER'!$V$2:$V$495,(SUMPRODUCT((('CASE MASTER'!$T$2:$T$495=14)*('CASE MASTER'!$U$2:$U$495&lt;=1)*('CASE MASTER'!$W$2:$W$495&gt;=1)*('CASE MASTER'!$V$2:$V$495&lt;=5)*('CASE MASTER'!$X$2:$X$495&gt;=5))*ROW('CASE MASTER'!$T$2:$T$495))-(ROW('CASE MASTER'!#REF!)-1)))+1)+(5-INDEX('CASE MASTER'!$V$2:$V$495,(SUMPRODUCT((('CASE MASTER'!$T$2:$T$495=14)*('CASE MASTER'!$U$2:$U$495&lt;=1)*('CASE MASTER'!$W$2:$W$495&gt;=1)*('CASE MASTER'!$V$2:$V$495&lt;=5)*('CASE MASTER'!$X$2:$X$495&gt;=5))*ROW('CASE MASTER'!$T$2:$T$495))-(ROW('CASE MASTER'!#REF!)-1))))+1))-1)*50+1,50))&amp;"_"&amp;INDEX('CASE MASTER'!$Q$2:$Q$495,(SUMPRODUCT((('CASE MASTER'!$T$2:$T$495=14)*('CASE MASTER'!$U$2:$U$495&lt;=1)*('CASE MASTER'!$W$2:$W$495&gt;=1)*('CASE MASTER'!$V$2:$V$495&lt;=5)*('CASE MASTER'!$X$2:$X$495&gt;=5))*ROW('CASE MASTER'!$T$2:$T$495))-(ROW('CASE MASTER'!#REF!)-1))),IF(SUMPRODUCT((('CASE MASTER'!$T$2:$T$495=14)*('CASE MASTER'!$AA$2:$AA$495&lt;=1)*('CASE MASTER'!$AC$2:$AC$495&gt;=1)*('CASE MASTER'!$AB$2:$AB$495&lt;=5)*('CASE MASTER'!$AD$2:$AD$495&gt;=5))*ROW('CASE MASTER'!$T$2:$T$495))&gt;0,INDEX('CASE MASTER'!$Y$2:$Y$495,(SUMPRODUCT((('CASE MASTER'!$T$2:$T$495=14)*('CASE MASTER'!$AA$2:$AA$495&lt;=1)*('CASE MASTER'!$AC$2:$AC$495&gt;=1)*('CASE MASTER'!$AB$2:$AB$495&lt;=5)*('CASE MASTER'!$AD$2:$AD$495&gt;=5))*ROW('CASE MASTER'!$T$2:$T$495))-(ROW('CASE MASTER'!#REF!)-1)))&amp;TRIM(MID(SUBSTITUTE(SUBSTITUTE(INDEX('CASE MASTER'!$N$2:$N$495,(SUMPRODUCT((('CASE MASTER'!$T$2:$T$495=14)*('CASE MASTER'!$AA$2:$AA$495&lt;=1)*('CASE MASTER'!$AC$2:$AC$495&gt;=1)*('CASE MASTER'!$AB$2:$AB$495&lt;=5)*('CASE MASTER'!$AD$2:$AD$495&gt;=5))*ROW('CASE MASTER'!$T$2:$T$495))-(ROW('CASE MASTER'!#REF!)-1))),":",","),",",REPT(" ",50)),(((INDEX('CASE MASTER'!$Z$2:$Z$495,(SUMPRODUCT((('CASE MASTER'!$T$2:$T$495=14)*('CASE MASTER'!$AA$2:$AA$495&lt;=1)*('CASE MASTER'!$AC$2:$AC$495&gt;=1)*('CASE MASTER'!$AB$2:$AB$495&lt;=5)*('CASE MASTER'!$AD$2:$AD$495&gt;=5))*ROW('CASE MASTER'!$T$2:$T$495))-(ROW('CASE MASTER'!#REF!)-1)))+((1-INDEX('CASE MASTER'!$AA$2:$AA$495,(SUMPRODUCT((('CASE MASTER'!$T$2:$T$495=14)*('CASE MASTER'!$AA$2:$AA$495&lt;=1)*('CASE MASTER'!$AC$2:$AC$495&gt;=1)*('CASE MASTER'!$AB$2:$AB$495&lt;=5)*('CASE MASTER'!$AD$2:$AD$495&gt;=5))*ROW('CASE MASTER'!$T$2:$T$495))-(ROW('CASE MASTER'!#REF!)-1))))*(INDEX('CASE MASTER'!$AD$2:$AD$495,(SUMPRODUCT((('CASE MASTER'!$T$2:$T$495=14)*('CASE MASTER'!$AA$2:$AA$495&lt;=1)*('CASE MASTER'!$AC$2:$AC$495&gt;=1)*('CASE MASTER'!$AB$2:$AB$495&lt;=5)*('CASE MASTER'!$AD$2:$AD$495&gt;=5))*ROW('CASE MASTER'!$T$2:$T$495))-(ROW('CASE MASTER'!#REF!)-1)))-INDEX('CASE MASTER'!$AB$2:$AB$495,(SUMPRODUCT((('CASE MASTER'!$T$2:$T$495=14)*('CASE MASTER'!$AA$2:$AA$495&lt;=1)*('CASE MASTER'!$AC$2:$AC$495&gt;=1)*('CASE MASTER'!$AB$2:$AB$495&lt;=5)*('CASE MASTER'!$AD$2:$AD$495&gt;=5))*ROW('CASE MASTER'!$T$2:$T$495))-(ROW('CASE MASTER'!#REF!)-1)))+1)+(5-INDEX('CASE MASTER'!$AB$2:$AB$495,(SUMPRODUCT((('CASE MASTER'!$T$2:$T$495=14)*('CASE MASTER'!$AA$2:$AA$495&lt;=1)*('CASE MASTER'!$AC$2:$AC$495&gt;=1)*('CASE MASTER'!$AB$2:$AB$495&lt;=5)*('CASE MASTER'!$AD$2:$AD$495&gt;=5))*ROW('CASE MASTER'!$T$2:$T$495))-(ROW('CASE MASTER'!#REF!)-1))))+1)))-1)*50+1,50))&amp;"_"&amp;INDEX('CASE MASTER'!$Q$2:$Q$495,(SUMPRODUCT((('CASE MASTER'!$T$2:$T$495=14)*('CASE MASTER'!$AA$2:$AA$495&lt;=1)*('CASE MASTER'!$AC$2:$AC$495&gt;=1)*('CASE MASTER'!$AB$2:$AB$495&lt;=5)*('CASE MASTER'!$AD$2:$AD$495&gt;=5))*ROW('CASE MASTER'!$T$2:$T$495))-(ROW('CASE MASTER'!#REF!)-1))),"")),"")</f>
        <v/>
      </c>
      <c r="G185" s="10" t="str">
        <f>IFERROR(IF(SUMPRODUCT((('CASE MASTER'!$T$2:$T$495=14)*('CASE MASTER'!$U$2:$U$495&lt;=1)*('CASE MASTER'!$W$2:$W$495&gt;=1)*('CASE MASTER'!$V$2:$V$495&lt;=6)*('CASE MASTER'!$X$2:$X$495&gt;=6))*ROW('CASE MASTER'!$T$2:$T$495))&gt;0,INDEX('CASE MASTER'!$Y$2:$Y$495,(SUMPRODUCT((('CASE MASTER'!$T$2:$T$495=14)*('CASE MASTER'!$U$2:$U$495&lt;=1)*('CASE MASTER'!$W$2:$W$495&gt;=1)*('CASE MASTER'!$V$2:$V$495&lt;=6)*('CASE MASTER'!$X$2:$X$495&gt;=6))*ROW('CASE MASTER'!$T$2:$T$495))-(ROW('CASE MASTER'!#REF!)-1)))&amp;TRIM(MID(SUBSTITUTE(SUBSTITUTE(INDEX('CASE MASTER'!$N$2:$N$495,(SUMPRODUCT((('CASE MASTER'!$T$2:$T$495=14)*('CASE MASTER'!$U$2:$U$495&lt;=1)*('CASE MASTER'!$W$2:$W$495&gt;=1)*('CASE MASTER'!$V$2:$V$495&lt;=6)*('CASE MASTER'!$X$2:$X$495&gt;=6))*ROW('CASE MASTER'!$T$2:$T$495))-(ROW('CASE MASTER'!#REF!)-1))),":",","),",",REPT(" ",50)),((((1-INDEX('CASE MASTER'!$U$2:$U$495,(SUMPRODUCT((('CASE MASTER'!$T$2:$T$495=14)*('CASE MASTER'!$U$2:$U$495&lt;=1)*('CASE MASTER'!$W$2:$W$495&gt;=1)*('CASE MASTER'!$V$2:$V$495&lt;=6)*('CASE MASTER'!$X$2:$X$495&gt;=6))*ROW('CASE MASTER'!$T$2:$T$495))-(ROW('CASE MASTER'!#REF!)-1))))*(INDEX('CASE MASTER'!$X$2:$X$495,(SUMPRODUCT((('CASE MASTER'!$T$2:$T$495=14)*('CASE MASTER'!$U$2:$U$495&lt;=1)*('CASE MASTER'!$W$2:$W$495&gt;=1)*('CASE MASTER'!$V$2:$V$495&lt;=6)*('CASE MASTER'!$X$2:$X$495&gt;=6))*ROW('CASE MASTER'!$T$2:$T$495))-(ROW('CASE MASTER'!#REF!)-1)))-INDEX('CASE MASTER'!$V$2:$V$495,(SUMPRODUCT((('CASE MASTER'!$T$2:$T$495=14)*('CASE MASTER'!$U$2:$U$495&lt;=1)*('CASE MASTER'!$W$2:$W$495&gt;=1)*('CASE MASTER'!$V$2:$V$495&lt;=6)*('CASE MASTER'!$X$2:$X$495&gt;=6))*ROW('CASE MASTER'!$T$2:$T$495))-(ROW('CASE MASTER'!#REF!)-1)))+1)+(6-INDEX('CASE MASTER'!$V$2:$V$495,(SUMPRODUCT((('CASE MASTER'!$T$2:$T$495=14)*('CASE MASTER'!$U$2:$U$495&lt;=1)*('CASE MASTER'!$W$2:$W$495&gt;=1)*('CASE MASTER'!$V$2:$V$495&lt;=6)*('CASE MASTER'!$X$2:$X$495&gt;=6))*ROW('CASE MASTER'!$T$2:$T$495))-(ROW('CASE MASTER'!#REF!)-1))))+1))-1)*50+1,50))&amp;"_"&amp;INDEX('CASE MASTER'!$Q$2:$Q$495,(SUMPRODUCT((('CASE MASTER'!$T$2:$T$495=14)*('CASE MASTER'!$U$2:$U$495&lt;=1)*('CASE MASTER'!$W$2:$W$495&gt;=1)*('CASE MASTER'!$V$2:$V$495&lt;=6)*('CASE MASTER'!$X$2:$X$495&gt;=6))*ROW('CASE MASTER'!$T$2:$T$495))-(ROW('CASE MASTER'!#REF!)-1))),IF(SUMPRODUCT((('CASE MASTER'!$T$2:$T$495=14)*('CASE MASTER'!$AA$2:$AA$495&lt;=1)*('CASE MASTER'!$AC$2:$AC$495&gt;=1)*('CASE MASTER'!$AB$2:$AB$495&lt;=6)*('CASE MASTER'!$AD$2:$AD$495&gt;=6))*ROW('CASE MASTER'!$T$2:$T$495))&gt;0,INDEX('CASE MASTER'!$Y$2:$Y$495,(SUMPRODUCT((('CASE MASTER'!$T$2:$T$495=14)*('CASE MASTER'!$AA$2:$AA$495&lt;=1)*('CASE MASTER'!$AC$2:$AC$495&gt;=1)*('CASE MASTER'!$AB$2:$AB$495&lt;=6)*('CASE MASTER'!$AD$2:$AD$495&gt;=6))*ROW('CASE MASTER'!$T$2:$T$495))-(ROW('CASE MASTER'!#REF!)-1)))&amp;TRIM(MID(SUBSTITUTE(SUBSTITUTE(INDEX('CASE MASTER'!$N$2:$N$495,(SUMPRODUCT((('CASE MASTER'!$T$2:$T$495=14)*('CASE MASTER'!$AA$2:$AA$495&lt;=1)*('CASE MASTER'!$AC$2:$AC$495&gt;=1)*('CASE MASTER'!$AB$2:$AB$495&lt;=6)*('CASE MASTER'!$AD$2:$AD$495&gt;=6))*ROW('CASE MASTER'!$T$2:$T$495))-(ROW('CASE MASTER'!#REF!)-1))),":",","),",",REPT(" ",50)),(((INDEX('CASE MASTER'!$Z$2:$Z$495,(SUMPRODUCT((('CASE MASTER'!$T$2:$T$495=14)*('CASE MASTER'!$AA$2:$AA$495&lt;=1)*('CASE MASTER'!$AC$2:$AC$495&gt;=1)*('CASE MASTER'!$AB$2:$AB$495&lt;=6)*('CASE MASTER'!$AD$2:$AD$495&gt;=6))*ROW('CASE MASTER'!$T$2:$T$495))-(ROW('CASE MASTER'!#REF!)-1)))+((1-INDEX('CASE MASTER'!$AA$2:$AA$495,(SUMPRODUCT((('CASE MASTER'!$T$2:$T$495=14)*('CASE MASTER'!$AA$2:$AA$495&lt;=1)*('CASE MASTER'!$AC$2:$AC$495&gt;=1)*('CASE MASTER'!$AB$2:$AB$495&lt;=6)*('CASE MASTER'!$AD$2:$AD$495&gt;=6))*ROW('CASE MASTER'!$T$2:$T$495))-(ROW('CASE MASTER'!#REF!)-1))))*(INDEX('CASE MASTER'!$AD$2:$AD$495,(SUMPRODUCT((('CASE MASTER'!$T$2:$T$495=14)*('CASE MASTER'!$AA$2:$AA$495&lt;=1)*('CASE MASTER'!$AC$2:$AC$495&gt;=1)*('CASE MASTER'!$AB$2:$AB$495&lt;=6)*('CASE MASTER'!$AD$2:$AD$495&gt;=6))*ROW('CASE MASTER'!$T$2:$T$495))-(ROW('CASE MASTER'!#REF!)-1)))-INDEX('CASE MASTER'!$AB$2:$AB$495,(SUMPRODUCT((('CASE MASTER'!$T$2:$T$495=14)*('CASE MASTER'!$AA$2:$AA$495&lt;=1)*('CASE MASTER'!$AC$2:$AC$495&gt;=1)*('CASE MASTER'!$AB$2:$AB$495&lt;=6)*('CASE MASTER'!$AD$2:$AD$495&gt;=6))*ROW('CASE MASTER'!$T$2:$T$495))-(ROW('CASE MASTER'!#REF!)-1)))+1)+(6-INDEX('CASE MASTER'!$AB$2:$AB$495,(SUMPRODUCT((('CASE MASTER'!$T$2:$T$495=14)*('CASE MASTER'!$AA$2:$AA$495&lt;=1)*('CASE MASTER'!$AC$2:$AC$495&gt;=1)*('CASE MASTER'!$AB$2:$AB$495&lt;=6)*('CASE MASTER'!$AD$2:$AD$495&gt;=6))*ROW('CASE MASTER'!$T$2:$T$495))-(ROW('CASE MASTER'!#REF!)-1))))+1)))-1)*50+1,50))&amp;"_"&amp;INDEX('CASE MASTER'!$Q$2:$Q$495,(SUMPRODUCT((('CASE MASTER'!$T$2:$T$495=14)*('CASE MASTER'!$AA$2:$AA$495&lt;=1)*('CASE MASTER'!$AC$2:$AC$495&gt;=1)*('CASE MASTER'!$AB$2:$AB$495&lt;=6)*('CASE MASTER'!$AD$2:$AD$495&gt;=6))*ROW('CASE MASTER'!$T$2:$T$495))-(ROW('CASE MASTER'!#REF!)-1))),"")),"")</f>
        <v/>
      </c>
      <c r="H185" s="10" t="str">
        <f>IFERROR(IF(SUMPRODUCT((('CASE MASTER'!$T$2:$T$495=14)*('CASE MASTER'!$U$2:$U$495&lt;=1)*('CASE MASTER'!$W$2:$W$495&gt;=1)*('CASE MASTER'!$V$2:$V$495&lt;=7)*('CASE MASTER'!$X$2:$X$495&gt;=7))*ROW('CASE MASTER'!$T$2:$T$495))&gt;0,INDEX('CASE MASTER'!$Y$2:$Y$495,(SUMPRODUCT((('CASE MASTER'!$T$2:$T$495=14)*('CASE MASTER'!$U$2:$U$495&lt;=1)*('CASE MASTER'!$W$2:$W$495&gt;=1)*('CASE MASTER'!$V$2:$V$495&lt;=7)*('CASE MASTER'!$X$2:$X$495&gt;=7))*ROW('CASE MASTER'!$T$2:$T$495))-(ROW('CASE MASTER'!#REF!)-1)))&amp;TRIM(MID(SUBSTITUTE(SUBSTITUTE(INDEX('CASE MASTER'!$N$2:$N$495,(SUMPRODUCT((('CASE MASTER'!$T$2:$T$495=14)*('CASE MASTER'!$U$2:$U$495&lt;=1)*('CASE MASTER'!$W$2:$W$495&gt;=1)*('CASE MASTER'!$V$2:$V$495&lt;=7)*('CASE MASTER'!$X$2:$X$495&gt;=7))*ROW('CASE MASTER'!$T$2:$T$495))-(ROW('CASE MASTER'!#REF!)-1))),":",","),",",REPT(" ",50)),((((1-INDEX('CASE MASTER'!$U$2:$U$495,(SUMPRODUCT((('CASE MASTER'!$T$2:$T$495=14)*('CASE MASTER'!$U$2:$U$495&lt;=1)*('CASE MASTER'!$W$2:$W$495&gt;=1)*('CASE MASTER'!$V$2:$V$495&lt;=7)*('CASE MASTER'!$X$2:$X$495&gt;=7))*ROW('CASE MASTER'!$T$2:$T$495))-(ROW('CASE MASTER'!#REF!)-1))))*(INDEX('CASE MASTER'!$X$2:$X$495,(SUMPRODUCT((('CASE MASTER'!$T$2:$T$495=14)*('CASE MASTER'!$U$2:$U$495&lt;=1)*('CASE MASTER'!$W$2:$W$495&gt;=1)*('CASE MASTER'!$V$2:$V$495&lt;=7)*('CASE MASTER'!$X$2:$X$495&gt;=7))*ROW('CASE MASTER'!$T$2:$T$495))-(ROW('CASE MASTER'!#REF!)-1)))-INDEX('CASE MASTER'!$V$2:$V$495,(SUMPRODUCT((('CASE MASTER'!$T$2:$T$495=14)*('CASE MASTER'!$U$2:$U$495&lt;=1)*('CASE MASTER'!$W$2:$W$495&gt;=1)*('CASE MASTER'!$V$2:$V$495&lt;=7)*('CASE MASTER'!$X$2:$X$495&gt;=7))*ROW('CASE MASTER'!$T$2:$T$495))-(ROW('CASE MASTER'!#REF!)-1)))+1)+(7-INDEX('CASE MASTER'!$V$2:$V$495,(SUMPRODUCT((('CASE MASTER'!$T$2:$T$495=14)*('CASE MASTER'!$U$2:$U$495&lt;=1)*('CASE MASTER'!$W$2:$W$495&gt;=1)*('CASE MASTER'!$V$2:$V$495&lt;=7)*('CASE MASTER'!$X$2:$X$495&gt;=7))*ROW('CASE MASTER'!$T$2:$T$495))-(ROW('CASE MASTER'!#REF!)-1))))+1))-1)*50+1,50))&amp;"_"&amp;INDEX('CASE MASTER'!$Q$2:$Q$495,(SUMPRODUCT((('CASE MASTER'!$T$2:$T$495=14)*('CASE MASTER'!$U$2:$U$495&lt;=1)*('CASE MASTER'!$W$2:$W$495&gt;=1)*('CASE MASTER'!$V$2:$V$495&lt;=7)*('CASE MASTER'!$X$2:$X$495&gt;=7))*ROW('CASE MASTER'!$T$2:$T$495))-(ROW('CASE MASTER'!#REF!)-1))),IF(SUMPRODUCT((('CASE MASTER'!$T$2:$T$495=14)*('CASE MASTER'!$AA$2:$AA$495&lt;=1)*('CASE MASTER'!$AC$2:$AC$495&gt;=1)*('CASE MASTER'!$AB$2:$AB$495&lt;=7)*('CASE MASTER'!$AD$2:$AD$495&gt;=7))*ROW('CASE MASTER'!$T$2:$T$495))&gt;0,INDEX('CASE MASTER'!$Y$2:$Y$495,(SUMPRODUCT((('CASE MASTER'!$T$2:$T$495=14)*('CASE MASTER'!$AA$2:$AA$495&lt;=1)*('CASE MASTER'!$AC$2:$AC$495&gt;=1)*('CASE MASTER'!$AB$2:$AB$495&lt;=7)*('CASE MASTER'!$AD$2:$AD$495&gt;=7))*ROW('CASE MASTER'!$T$2:$T$495))-(ROW('CASE MASTER'!#REF!)-1)))&amp;TRIM(MID(SUBSTITUTE(SUBSTITUTE(INDEX('CASE MASTER'!$N$2:$N$495,(SUMPRODUCT((('CASE MASTER'!$T$2:$T$495=14)*('CASE MASTER'!$AA$2:$AA$495&lt;=1)*('CASE MASTER'!$AC$2:$AC$495&gt;=1)*('CASE MASTER'!$AB$2:$AB$495&lt;=7)*('CASE MASTER'!$AD$2:$AD$495&gt;=7))*ROW('CASE MASTER'!$T$2:$T$495))-(ROW('CASE MASTER'!#REF!)-1))),":",","),",",REPT(" ",50)),(((INDEX('CASE MASTER'!$Z$2:$Z$495,(SUMPRODUCT((('CASE MASTER'!$T$2:$T$495=14)*('CASE MASTER'!$AA$2:$AA$495&lt;=1)*('CASE MASTER'!$AC$2:$AC$495&gt;=1)*('CASE MASTER'!$AB$2:$AB$495&lt;=7)*('CASE MASTER'!$AD$2:$AD$495&gt;=7))*ROW('CASE MASTER'!$T$2:$T$495))-(ROW('CASE MASTER'!#REF!)-1)))+((1-INDEX('CASE MASTER'!$AA$2:$AA$495,(SUMPRODUCT((('CASE MASTER'!$T$2:$T$495=14)*('CASE MASTER'!$AA$2:$AA$495&lt;=1)*('CASE MASTER'!$AC$2:$AC$495&gt;=1)*('CASE MASTER'!$AB$2:$AB$495&lt;=7)*('CASE MASTER'!$AD$2:$AD$495&gt;=7))*ROW('CASE MASTER'!$T$2:$T$495))-(ROW('CASE MASTER'!#REF!)-1))))*(INDEX('CASE MASTER'!$AD$2:$AD$495,(SUMPRODUCT((('CASE MASTER'!$T$2:$T$495=14)*('CASE MASTER'!$AA$2:$AA$495&lt;=1)*('CASE MASTER'!$AC$2:$AC$495&gt;=1)*('CASE MASTER'!$AB$2:$AB$495&lt;=7)*('CASE MASTER'!$AD$2:$AD$495&gt;=7))*ROW('CASE MASTER'!$T$2:$T$495))-(ROW('CASE MASTER'!#REF!)-1)))-INDEX('CASE MASTER'!$AB$2:$AB$495,(SUMPRODUCT((('CASE MASTER'!$T$2:$T$495=14)*('CASE MASTER'!$AA$2:$AA$495&lt;=1)*('CASE MASTER'!$AC$2:$AC$495&gt;=1)*('CASE MASTER'!$AB$2:$AB$495&lt;=7)*('CASE MASTER'!$AD$2:$AD$495&gt;=7))*ROW('CASE MASTER'!$T$2:$T$495))-(ROW('CASE MASTER'!#REF!)-1)))+1)+(7-INDEX('CASE MASTER'!$AB$2:$AB$495,(SUMPRODUCT((('CASE MASTER'!$T$2:$T$495=14)*('CASE MASTER'!$AA$2:$AA$495&lt;=1)*('CASE MASTER'!$AC$2:$AC$495&gt;=1)*('CASE MASTER'!$AB$2:$AB$495&lt;=7)*('CASE MASTER'!$AD$2:$AD$495&gt;=7))*ROW('CASE MASTER'!$T$2:$T$495))-(ROW('CASE MASTER'!#REF!)-1))))+1)))-1)*50+1,50))&amp;"_"&amp;INDEX('CASE MASTER'!$Q$2:$Q$495,(SUMPRODUCT((('CASE MASTER'!$T$2:$T$495=14)*('CASE MASTER'!$AA$2:$AA$495&lt;=1)*('CASE MASTER'!$AC$2:$AC$495&gt;=1)*('CASE MASTER'!$AB$2:$AB$495&lt;=7)*('CASE MASTER'!$AD$2:$AD$495&gt;=7))*ROW('CASE MASTER'!$T$2:$T$495))-(ROW('CASE MASTER'!#REF!)-1))),"")),"")</f>
        <v/>
      </c>
      <c r="I185" s="10" t="str">
        <f>IFERROR(IF(SUMPRODUCT((('CASE MASTER'!$T$2:$T$495=14)*('CASE MASTER'!$U$2:$U$495&lt;=1)*('CASE MASTER'!$W$2:$W$495&gt;=1)*('CASE MASTER'!$V$2:$V$495&lt;=8)*('CASE MASTER'!$X$2:$X$495&gt;=8))*ROW('CASE MASTER'!$T$2:$T$495))&gt;0,INDEX('CASE MASTER'!$Y$2:$Y$495,(SUMPRODUCT((('CASE MASTER'!$T$2:$T$495=14)*('CASE MASTER'!$U$2:$U$495&lt;=1)*('CASE MASTER'!$W$2:$W$495&gt;=1)*('CASE MASTER'!$V$2:$V$495&lt;=8)*('CASE MASTER'!$X$2:$X$495&gt;=8))*ROW('CASE MASTER'!$T$2:$T$495))-(ROW('CASE MASTER'!#REF!)-1)))&amp;TRIM(MID(SUBSTITUTE(SUBSTITUTE(INDEX('CASE MASTER'!$N$2:$N$495,(SUMPRODUCT((('CASE MASTER'!$T$2:$T$495=14)*('CASE MASTER'!$U$2:$U$495&lt;=1)*('CASE MASTER'!$W$2:$W$495&gt;=1)*('CASE MASTER'!$V$2:$V$495&lt;=8)*('CASE MASTER'!$X$2:$X$495&gt;=8))*ROW('CASE MASTER'!$T$2:$T$495))-(ROW('CASE MASTER'!#REF!)-1))),":",","),",",REPT(" ",50)),((((1-INDEX('CASE MASTER'!$U$2:$U$495,(SUMPRODUCT((('CASE MASTER'!$T$2:$T$495=14)*('CASE MASTER'!$U$2:$U$495&lt;=1)*('CASE MASTER'!$W$2:$W$495&gt;=1)*('CASE MASTER'!$V$2:$V$495&lt;=8)*('CASE MASTER'!$X$2:$X$495&gt;=8))*ROW('CASE MASTER'!$T$2:$T$495))-(ROW('CASE MASTER'!#REF!)-1))))*(INDEX('CASE MASTER'!$X$2:$X$495,(SUMPRODUCT((('CASE MASTER'!$T$2:$T$495=14)*('CASE MASTER'!$U$2:$U$495&lt;=1)*('CASE MASTER'!$W$2:$W$495&gt;=1)*('CASE MASTER'!$V$2:$V$495&lt;=8)*('CASE MASTER'!$X$2:$X$495&gt;=8))*ROW('CASE MASTER'!$T$2:$T$495))-(ROW('CASE MASTER'!#REF!)-1)))-INDEX('CASE MASTER'!$V$2:$V$495,(SUMPRODUCT((('CASE MASTER'!$T$2:$T$495=14)*('CASE MASTER'!$U$2:$U$495&lt;=1)*('CASE MASTER'!$W$2:$W$495&gt;=1)*('CASE MASTER'!$V$2:$V$495&lt;=8)*('CASE MASTER'!$X$2:$X$495&gt;=8))*ROW('CASE MASTER'!$T$2:$T$495))-(ROW('CASE MASTER'!#REF!)-1)))+1)+(8-INDEX('CASE MASTER'!$V$2:$V$495,(SUMPRODUCT((('CASE MASTER'!$T$2:$T$495=14)*('CASE MASTER'!$U$2:$U$495&lt;=1)*('CASE MASTER'!$W$2:$W$495&gt;=1)*('CASE MASTER'!$V$2:$V$495&lt;=8)*('CASE MASTER'!$X$2:$X$495&gt;=8))*ROW('CASE MASTER'!$T$2:$T$495))-(ROW('CASE MASTER'!#REF!)-1))))+1))-1)*50+1,50))&amp;"_"&amp;INDEX('CASE MASTER'!$Q$2:$Q$495,(SUMPRODUCT((('CASE MASTER'!$T$2:$T$495=14)*('CASE MASTER'!$U$2:$U$495&lt;=1)*('CASE MASTER'!$W$2:$W$495&gt;=1)*('CASE MASTER'!$V$2:$V$495&lt;=8)*('CASE MASTER'!$X$2:$X$495&gt;=8))*ROW('CASE MASTER'!$T$2:$T$495))-(ROW('CASE MASTER'!#REF!)-1))),IF(SUMPRODUCT((('CASE MASTER'!$T$2:$T$495=14)*('CASE MASTER'!$AA$2:$AA$495&lt;=1)*('CASE MASTER'!$AC$2:$AC$495&gt;=1)*('CASE MASTER'!$AB$2:$AB$495&lt;=8)*('CASE MASTER'!$AD$2:$AD$495&gt;=8))*ROW('CASE MASTER'!$T$2:$T$495))&gt;0,INDEX('CASE MASTER'!$Y$2:$Y$495,(SUMPRODUCT((('CASE MASTER'!$T$2:$T$495=14)*('CASE MASTER'!$AA$2:$AA$495&lt;=1)*('CASE MASTER'!$AC$2:$AC$495&gt;=1)*('CASE MASTER'!$AB$2:$AB$495&lt;=8)*('CASE MASTER'!$AD$2:$AD$495&gt;=8))*ROW('CASE MASTER'!$T$2:$T$495))-(ROW('CASE MASTER'!#REF!)-1)))&amp;TRIM(MID(SUBSTITUTE(SUBSTITUTE(INDEX('CASE MASTER'!$N$2:$N$495,(SUMPRODUCT((('CASE MASTER'!$T$2:$T$495=14)*('CASE MASTER'!$AA$2:$AA$495&lt;=1)*('CASE MASTER'!$AC$2:$AC$495&gt;=1)*('CASE MASTER'!$AB$2:$AB$495&lt;=8)*('CASE MASTER'!$AD$2:$AD$495&gt;=8))*ROW('CASE MASTER'!$T$2:$T$495))-(ROW('CASE MASTER'!#REF!)-1))),":",","),",",REPT(" ",50)),(((INDEX('CASE MASTER'!$Z$2:$Z$495,(SUMPRODUCT((('CASE MASTER'!$T$2:$T$495=14)*('CASE MASTER'!$AA$2:$AA$495&lt;=1)*('CASE MASTER'!$AC$2:$AC$495&gt;=1)*('CASE MASTER'!$AB$2:$AB$495&lt;=8)*('CASE MASTER'!$AD$2:$AD$495&gt;=8))*ROW('CASE MASTER'!$T$2:$T$495))-(ROW('CASE MASTER'!#REF!)-1)))+((1-INDEX('CASE MASTER'!$AA$2:$AA$495,(SUMPRODUCT((('CASE MASTER'!$T$2:$T$495=14)*('CASE MASTER'!$AA$2:$AA$495&lt;=1)*('CASE MASTER'!$AC$2:$AC$495&gt;=1)*('CASE MASTER'!$AB$2:$AB$495&lt;=8)*('CASE MASTER'!$AD$2:$AD$495&gt;=8))*ROW('CASE MASTER'!$T$2:$T$495))-(ROW('CASE MASTER'!#REF!)-1))))*(INDEX('CASE MASTER'!$AD$2:$AD$495,(SUMPRODUCT((('CASE MASTER'!$T$2:$T$495=14)*('CASE MASTER'!$AA$2:$AA$495&lt;=1)*('CASE MASTER'!$AC$2:$AC$495&gt;=1)*('CASE MASTER'!$AB$2:$AB$495&lt;=8)*('CASE MASTER'!$AD$2:$AD$495&gt;=8))*ROW('CASE MASTER'!$T$2:$T$495))-(ROW('CASE MASTER'!#REF!)-1)))-INDEX('CASE MASTER'!$AB$2:$AB$495,(SUMPRODUCT((('CASE MASTER'!$T$2:$T$495=14)*('CASE MASTER'!$AA$2:$AA$495&lt;=1)*('CASE MASTER'!$AC$2:$AC$495&gt;=1)*('CASE MASTER'!$AB$2:$AB$495&lt;=8)*('CASE MASTER'!$AD$2:$AD$495&gt;=8))*ROW('CASE MASTER'!$T$2:$T$495))-(ROW('CASE MASTER'!#REF!)-1)))+1)+(8-INDEX('CASE MASTER'!$AB$2:$AB$495,(SUMPRODUCT((('CASE MASTER'!$T$2:$T$495=14)*('CASE MASTER'!$AA$2:$AA$495&lt;=1)*('CASE MASTER'!$AC$2:$AC$495&gt;=1)*('CASE MASTER'!$AB$2:$AB$495&lt;=8)*('CASE MASTER'!$AD$2:$AD$495&gt;=8))*ROW('CASE MASTER'!$T$2:$T$495))-(ROW('CASE MASTER'!#REF!)-1))))+1)))-1)*50+1,50))&amp;"_"&amp;INDEX('CASE MASTER'!$Q$2:$Q$495,(SUMPRODUCT((('CASE MASTER'!$T$2:$T$495=14)*('CASE MASTER'!$AA$2:$AA$495&lt;=1)*('CASE MASTER'!$AC$2:$AC$495&gt;=1)*('CASE MASTER'!$AB$2:$AB$495&lt;=8)*('CASE MASTER'!$AD$2:$AD$495&gt;=8))*ROW('CASE MASTER'!$T$2:$T$495))-(ROW('CASE MASTER'!#REF!)-1))),"")),"")</f>
        <v/>
      </c>
      <c r="J185" s="10" t="str">
        <f>IFERROR(IF(SUMPRODUCT((('CASE MASTER'!$T$2:$T$495=14)*('CASE MASTER'!$U$2:$U$495&lt;=1)*('CASE MASTER'!$W$2:$W$495&gt;=1)*('CASE MASTER'!$V$2:$V$495&lt;=9)*('CASE MASTER'!$X$2:$X$495&gt;=9))*ROW('CASE MASTER'!$T$2:$T$495))&gt;0,INDEX('CASE MASTER'!$Y$2:$Y$495,(SUMPRODUCT((('CASE MASTER'!$T$2:$T$495=14)*('CASE MASTER'!$U$2:$U$495&lt;=1)*('CASE MASTER'!$W$2:$W$495&gt;=1)*('CASE MASTER'!$V$2:$V$495&lt;=9)*('CASE MASTER'!$X$2:$X$495&gt;=9))*ROW('CASE MASTER'!$T$2:$T$495))-(ROW('CASE MASTER'!#REF!)-1)))&amp;TRIM(MID(SUBSTITUTE(SUBSTITUTE(INDEX('CASE MASTER'!$N$2:$N$495,(SUMPRODUCT((('CASE MASTER'!$T$2:$T$495=14)*('CASE MASTER'!$U$2:$U$495&lt;=1)*('CASE MASTER'!$W$2:$W$495&gt;=1)*('CASE MASTER'!$V$2:$V$495&lt;=9)*('CASE MASTER'!$X$2:$X$495&gt;=9))*ROW('CASE MASTER'!$T$2:$T$495))-(ROW('CASE MASTER'!#REF!)-1))),":",","),",",REPT(" ",50)),((((1-INDEX('CASE MASTER'!$U$2:$U$495,(SUMPRODUCT((('CASE MASTER'!$T$2:$T$495=14)*('CASE MASTER'!$U$2:$U$495&lt;=1)*('CASE MASTER'!$W$2:$W$495&gt;=1)*('CASE MASTER'!$V$2:$V$495&lt;=9)*('CASE MASTER'!$X$2:$X$495&gt;=9))*ROW('CASE MASTER'!$T$2:$T$495))-(ROW('CASE MASTER'!#REF!)-1))))*(INDEX('CASE MASTER'!$X$2:$X$495,(SUMPRODUCT((('CASE MASTER'!$T$2:$T$495=14)*('CASE MASTER'!$U$2:$U$495&lt;=1)*('CASE MASTER'!$W$2:$W$495&gt;=1)*('CASE MASTER'!$V$2:$V$495&lt;=9)*('CASE MASTER'!$X$2:$X$495&gt;=9))*ROW('CASE MASTER'!$T$2:$T$495))-(ROW('CASE MASTER'!#REF!)-1)))-INDEX('CASE MASTER'!$V$2:$V$495,(SUMPRODUCT((('CASE MASTER'!$T$2:$T$495=14)*('CASE MASTER'!$U$2:$U$495&lt;=1)*('CASE MASTER'!$W$2:$W$495&gt;=1)*('CASE MASTER'!$V$2:$V$495&lt;=9)*('CASE MASTER'!$X$2:$X$495&gt;=9))*ROW('CASE MASTER'!$T$2:$T$495))-(ROW('CASE MASTER'!#REF!)-1)))+1)+(9-INDEX('CASE MASTER'!$V$2:$V$495,(SUMPRODUCT((('CASE MASTER'!$T$2:$T$495=14)*('CASE MASTER'!$U$2:$U$495&lt;=1)*('CASE MASTER'!$W$2:$W$495&gt;=1)*('CASE MASTER'!$V$2:$V$495&lt;=9)*('CASE MASTER'!$X$2:$X$495&gt;=9))*ROW('CASE MASTER'!$T$2:$T$495))-(ROW('CASE MASTER'!#REF!)-1))))+1))-1)*50+1,50))&amp;"_"&amp;INDEX('CASE MASTER'!$Q$2:$Q$495,(SUMPRODUCT((('CASE MASTER'!$T$2:$T$495=14)*('CASE MASTER'!$U$2:$U$495&lt;=1)*('CASE MASTER'!$W$2:$W$495&gt;=1)*('CASE MASTER'!$V$2:$V$495&lt;=9)*('CASE MASTER'!$X$2:$X$495&gt;=9))*ROW('CASE MASTER'!$T$2:$T$495))-(ROW('CASE MASTER'!#REF!)-1))),IF(SUMPRODUCT((('CASE MASTER'!$T$2:$T$495=14)*('CASE MASTER'!$AA$2:$AA$495&lt;=1)*('CASE MASTER'!$AC$2:$AC$495&gt;=1)*('CASE MASTER'!$AB$2:$AB$495&lt;=9)*('CASE MASTER'!$AD$2:$AD$495&gt;=9))*ROW('CASE MASTER'!$T$2:$T$495))&gt;0,INDEX('CASE MASTER'!$Y$2:$Y$495,(SUMPRODUCT((('CASE MASTER'!$T$2:$T$495=14)*('CASE MASTER'!$AA$2:$AA$495&lt;=1)*('CASE MASTER'!$AC$2:$AC$495&gt;=1)*('CASE MASTER'!$AB$2:$AB$495&lt;=9)*('CASE MASTER'!$AD$2:$AD$495&gt;=9))*ROW('CASE MASTER'!$T$2:$T$495))-(ROW('CASE MASTER'!#REF!)-1)))&amp;TRIM(MID(SUBSTITUTE(SUBSTITUTE(INDEX('CASE MASTER'!$N$2:$N$495,(SUMPRODUCT((('CASE MASTER'!$T$2:$T$495=14)*('CASE MASTER'!$AA$2:$AA$495&lt;=1)*('CASE MASTER'!$AC$2:$AC$495&gt;=1)*('CASE MASTER'!$AB$2:$AB$495&lt;=9)*('CASE MASTER'!$AD$2:$AD$495&gt;=9))*ROW('CASE MASTER'!$T$2:$T$495))-(ROW('CASE MASTER'!#REF!)-1))),":",","),",",REPT(" ",50)),(((INDEX('CASE MASTER'!$Z$2:$Z$495,(SUMPRODUCT((('CASE MASTER'!$T$2:$T$495=14)*('CASE MASTER'!$AA$2:$AA$495&lt;=1)*('CASE MASTER'!$AC$2:$AC$495&gt;=1)*('CASE MASTER'!$AB$2:$AB$495&lt;=9)*('CASE MASTER'!$AD$2:$AD$495&gt;=9))*ROW('CASE MASTER'!$T$2:$T$495))-(ROW('CASE MASTER'!#REF!)-1)))+((1-INDEX('CASE MASTER'!$AA$2:$AA$495,(SUMPRODUCT((('CASE MASTER'!$T$2:$T$495=14)*('CASE MASTER'!$AA$2:$AA$495&lt;=1)*('CASE MASTER'!$AC$2:$AC$495&gt;=1)*('CASE MASTER'!$AB$2:$AB$495&lt;=9)*('CASE MASTER'!$AD$2:$AD$495&gt;=9))*ROW('CASE MASTER'!$T$2:$T$495))-(ROW('CASE MASTER'!#REF!)-1))))*(INDEX('CASE MASTER'!$AD$2:$AD$495,(SUMPRODUCT((('CASE MASTER'!$T$2:$T$495=14)*('CASE MASTER'!$AA$2:$AA$495&lt;=1)*('CASE MASTER'!$AC$2:$AC$495&gt;=1)*('CASE MASTER'!$AB$2:$AB$495&lt;=9)*('CASE MASTER'!$AD$2:$AD$495&gt;=9))*ROW('CASE MASTER'!$T$2:$T$495))-(ROW('CASE MASTER'!#REF!)-1)))-INDEX('CASE MASTER'!$AB$2:$AB$495,(SUMPRODUCT((('CASE MASTER'!$T$2:$T$495=14)*('CASE MASTER'!$AA$2:$AA$495&lt;=1)*('CASE MASTER'!$AC$2:$AC$495&gt;=1)*('CASE MASTER'!$AB$2:$AB$495&lt;=9)*('CASE MASTER'!$AD$2:$AD$495&gt;=9))*ROW('CASE MASTER'!$T$2:$T$495))-(ROW('CASE MASTER'!#REF!)-1)))+1)+(9-INDEX('CASE MASTER'!$AB$2:$AB$495,(SUMPRODUCT((('CASE MASTER'!$T$2:$T$495=14)*('CASE MASTER'!$AA$2:$AA$495&lt;=1)*('CASE MASTER'!$AC$2:$AC$495&gt;=1)*('CASE MASTER'!$AB$2:$AB$495&lt;=9)*('CASE MASTER'!$AD$2:$AD$495&gt;=9))*ROW('CASE MASTER'!$T$2:$T$495))-(ROW('CASE MASTER'!#REF!)-1))))+1)))-1)*50+1,50))&amp;"_"&amp;INDEX('CASE MASTER'!$Q$2:$Q$495,(SUMPRODUCT((('CASE MASTER'!$T$2:$T$495=14)*('CASE MASTER'!$AA$2:$AA$495&lt;=1)*('CASE MASTER'!$AC$2:$AC$495&gt;=1)*('CASE MASTER'!$AB$2:$AB$495&lt;=9)*('CASE MASTER'!$AD$2:$AD$495&gt;=9))*ROW('CASE MASTER'!$T$2:$T$495))-(ROW('CASE MASTER'!#REF!)-1))),"")),"")</f>
        <v/>
      </c>
      <c r="K185" s="10" t="str">
        <f>IFERROR(IF(SUMPRODUCT((('CASE MASTER'!$T$2:$T$495=14)*('CASE MASTER'!$U$2:$U$495&lt;=1)*('CASE MASTER'!$W$2:$W$495&gt;=1)*('CASE MASTER'!$V$2:$V$495&lt;=10)*('CASE MASTER'!$X$2:$X$495&gt;=10))*ROW('CASE MASTER'!$T$2:$T$495))&gt;0,INDEX('CASE MASTER'!$Y$2:$Y$495,(SUMPRODUCT((('CASE MASTER'!$T$2:$T$495=14)*('CASE MASTER'!$U$2:$U$495&lt;=1)*('CASE MASTER'!$W$2:$W$495&gt;=1)*('CASE MASTER'!$V$2:$V$495&lt;=10)*('CASE MASTER'!$X$2:$X$495&gt;=10))*ROW('CASE MASTER'!$T$2:$T$495))-(ROW('CASE MASTER'!#REF!)-1)))&amp;TRIM(MID(SUBSTITUTE(SUBSTITUTE(INDEX('CASE MASTER'!$N$2:$N$495,(SUMPRODUCT((('CASE MASTER'!$T$2:$T$495=14)*('CASE MASTER'!$U$2:$U$495&lt;=1)*('CASE MASTER'!$W$2:$W$495&gt;=1)*('CASE MASTER'!$V$2:$V$495&lt;=10)*('CASE MASTER'!$X$2:$X$495&gt;=10))*ROW('CASE MASTER'!$T$2:$T$495))-(ROW('CASE MASTER'!#REF!)-1))),":",","),",",REPT(" ",50)),((((1-INDEX('CASE MASTER'!$U$2:$U$495,(SUMPRODUCT((('CASE MASTER'!$T$2:$T$495=14)*('CASE MASTER'!$U$2:$U$495&lt;=1)*('CASE MASTER'!$W$2:$W$495&gt;=1)*('CASE MASTER'!$V$2:$V$495&lt;=10)*('CASE MASTER'!$X$2:$X$495&gt;=10))*ROW('CASE MASTER'!$T$2:$T$495))-(ROW('CASE MASTER'!#REF!)-1))))*(INDEX('CASE MASTER'!$X$2:$X$495,(SUMPRODUCT((('CASE MASTER'!$T$2:$T$495=14)*('CASE MASTER'!$U$2:$U$495&lt;=1)*('CASE MASTER'!$W$2:$W$495&gt;=1)*('CASE MASTER'!$V$2:$V$495&lt;=10)*('CASE MASTER'!$X$2:$X$495&gt;=10))*ROW('CASE MASTER'!$T$2:$T$495))-(ROW('CASE MASTER'!#REF!)-1)))-INDEX('CASE MASTER'!$V$2:$V$495,(SUMPRODUCT((('CASE MASTER'!$T$2:$T$495=14)*('CASE MASTER'!$U$2:$U$495&lt;=1)*('CASE MASTER'!$W$2:$W$495&gt;=1)*('CASE MASTER'!$V$2:$V$495&lt;=10)*('CASE MASTER'!$X$2:$X$495&gt;=10))*ROW('CASE MASTER'!$T$2:$T$495))-(ROW('CASE MASTER'!#REF!)-1)))+1)+(10-INDEX('CASE MASTER'!$V$2:$V$495,(SUMPRODUCT((('CASE MASTER'!$T$2:$T$495=14)*('CASE MASTER'!$U$2:$U$495&lt;=1)*('CASE MASTER'!$W$2:$W$495&gt;=1)*('CASE MASTER'!$V$2:$V$495&lt;=10)*('CASE MASTER'!$X$2:$X$495&gt;=10))*ROW('CASE MASTER'!$T$2:$T$495))-(ROW('CASE MASTER'!#REF!)-1))))+1))-1)*50+1,50))&amp;"_"&amp;INDEX('CASE MASTER'!$Q$2:$Q$495,(SUMPRODUCT((('CASE MASTER'!$T$2:$T$495=14)*('CASE MASTER'!$U$2:$U$495&lt;=1)*('CASE MASTER'!$W$2:$W$495&gt;=1)*('CASE MASTER'!$V$2:$V$495&lt;=10)*('CASE MASTER'!$X$2:$X$495&gt;=10))*ROW('CASE MASTER'!$T$2:$T$495))-(ROW('CASE MASTER'!#REF!)-1))),IF(SUMPRODUCT((('CASE MASTER'!$T$2:$T$495=14)*('CASE MASTER'!$AA$2:$AA$495&lt;=1)*('CASE MASTER'!$AC$2:$AC$495&gt;=1)*('CASE MASTER'!$AB$2:$AB$495&lt;=10)*('CASE MASTER'!$AD$2:$AD$495&gt;=10))*ROW('CASE MASTER'!$T$2:$T$495))&gt;0,INDEX('CASE MASTER'!$Y$2:$Y$495,(SUMPRODUCT((('CASE MASTER'!$T$2:$T$495=14)*('CASE MASTER'!$AA$2:$AA$495&lt;=1)*('CASE MASTER'!$AC$2:$AC$495&gt;=1)*('CASE MASTER'!$AB$2:$AB$495&lt;=10)*('CASE MASTER'!$AD$2:$AD$495&gt;=10))*ROW('CASE MASTER'!$T$2:$T$495))-(ROW('CASE MASTER'!#REF!)-1)))&amp;TRIM(MID(SUBSTITUTE(SUBSTITUTE(INDEX('CASE MASTER'!$N$2:$N$495,(SUMPRODUCT((('CASE MASTER'!$T$2:$T$495=14)*('CASE MASTER'!$AA$2:$AA$495&lt;=1)*('CASE MASTER'!$AC$2:$AC$495&gt;=1)*('CASE MASTER'!$AB$2:$AB$495&lt;=10)*('CASE MASTER'!$AD$2:$AD$495&gt;=10))*ROW('CASE MASTER'!$T$2:$T$495))-(ROW('CASE MASTER'!#REF!)-1))),":",","),",",REPT(" ",50)),(((INDEX('CASE MASTER'!$Z$2:$Z$495,(SUMPRODUCT((('CASE MASTER'!$T$2:$T$495=14)*('CASE MASTER'!$AA$2:$AA$495&lt;=1)*('CASE MASTER'!$AC$2:$AC$495&gt;=1)*('CASE MASTER'!$AB$2:$AB$495&lt;=10)*('CASE MASTER'!$AD$2:$AD$495&gt;=10))*ROW('CASE MASTER'!$T$2:$T$495))-(ROW('CASE MASTER'!#REF!)-1)))+((1-INDEX('CASE MASTER'!$AA$2:$AA$495,(SUMPRODUCT((('CASE MASTER'!$T$2:$T$495=14)*('CASE MASTER'!$AA$2:$AA$495&lt;=1)*('CASE MASTER'!$AC$2:$AC$495&gt;=1)*('CASE MASTER'!$AB$2:$AB$495&lt;=10)*('CASE MASTER'!$AD$2:$AD$495&gt;=10))*ROW('CASE MASTER'!$T$2:$T$495))-(ROW('CASE MASTER'!#REF!)-1))))*(INDEX('CASE MASTER'!$AD$2:$AD$495,(SUMPRODUCT((('CASE MASTER'!$T$2:$T$495=14)*('CASE MASTER'!$AA$2:$AA$495&lt;=1)*('CASE MASTER'!$AC$2:$AC$495&gt;=1)*('CASE MASTER'!$AB$2:$AB$495&lt;=10)*('CASE MASTER'!$AD$2:$AD$495&gt;=10))*ROW('CASE MASTER'!$T$2:$T$495))-(ROW('CASE MASTER'!#REF!)-1)))-INDEX('CASE MASTER'!$AB$2:$AB$495,(SUMPRODUCT((('CASE MASTER'!$T$2:$T$495=14)*('CASE MASTER'!$AA$2:$AA$495&lt;=1)*('CASE MASTER'!$AC$2:$AC$495&gt;=1)*('CASE MASTER'!$AB$2:$AB$495&lt;=10)*('CASE MASTER'!$AD$2:$AD$495&gt;=10))*ROW('CASE MASTER'!$T$2:$T$495))-(ROW('CASE MASTER'!#REF!)-1)))+1)+(10-INDEX('CASE MASTER'!$AB$2:$AB$495,(SUMPRODUCT((('CASE MASTER'!$T$2:$T$495=14)*('CASE MASTER'!$AA$2:$AA$495&lt;=1)*('CASE MASTER'!$AC$2:$AC$495&gt;=1)*('CASE MASTER'!$AB$2:$AB$495&lt;=10)*('CASE MASTER'!$AD$2:$AD$495&gt;=10))*ROW('CASE MASTER'!$T$2:$T$495))-(ROW('CASE MASTER'!#REF!)-1))))+1)))-1)*50+1,50))&amp;"_"&amp;INDEX('CASE MASTER'!$Q$2:$Q$495,(SUMPRODUCT((('CASE MASTER'!$T$2:$T$495=14)*('CASE MASTER'!$AA$2:$AA$495&lt;=1)*('CASE MASTER'!$AC$2:$AC$495&gt;=1)*('CASE MASTER'!$AB$2:$AB$495&lt;=10)*('CASE MASTER'!$AD$2:$AD$495&gt;=10))*ROW('CASE MASTER'!$T$2:$T$495))-(ROW('CASE MASTER'!#REF!)-1))),"")),"")</f>
        <v/>
      </c>
    </row>
    <row r="186" spans="1:11" ht="15" customHeight="1" x14ac:dyDescent="0.35">
      <c r="A186" s="8" t="s">
        <v>29</v>
      </c>
      <c r="B186" s="10" t="str">
        <f>IFERROR(IF(SUMPRODUCT((('CASE MASTER'!$T$2:$T$495=14)*('CASE MASTER'!$U$2:$U$495&lt;=2)*('CASE MASTER'!$W$2:$W$495&gt;=2)*('CASE MASTER'!$V$2:$V$495&lt;=1)*('CASE MASTER'!$X$2:$X$495&gt;=1))*ROW('CASE MASTER'!$T$2:$T$495))&gt;0,INDEX('CASE MASTER'!$Y$2:$Y$495,(SUMPRODUCT((('CASE MASTER'!$T$2:$T$495=14)*('CASE MASTER'!$U$2:$U$495&lt;=2)*('CASE MASTER'!$W$2:$W$495&gt;=2)*('CASE MASTER'!$V$2:$V$495&lt;=1)*('CASE MASTER'!$X$2:$X$495&gt;=1))*ROW('CASE MASTER'!$T$2:$T$495))-(ROW('CASE MASTER'!#REF!)-1)))&amp;TRIM(MID(SUBSTITUTE(SUBSTITUTE(INDEX('CASE MASTER'!$N$2:$N$495,(SUMPRODUCT((('CASE MASTER'!$T$2:$T$495=14)*('CASE MASTER'!$U$2:$U$495&lt;=2)*('CASE MASTER'!$W$2:$W$495&gt;=2)*('CASE MASTER'!$V$2:$V$495&lt;=1)*('CASE MASTER'!$X$2:$X$495&gt;=1))*ROW('CASE MASTER'!$T$2:$T$495))-(ROW('CASE MASTER'!#REF!)-1))),":",","),",",REPT(" ",50)),((((2-INDEX('CASE MASTER'!$U$2:$U$495,(SUMPRODUCT((('CASE MASTER'!$T$2:$T$495=14)*('CASE MASTER'!$U$2:$U$495&lt;=2)*('CASE MASTER'!$W$2:$W$495&gt;=2)*('CASE MASTER'!$V$2:$V$495&lt;=1)*('CASE MASTER'!$X$2:$X$495&gt;=1))*ROW('CASE MASTER'!$T$2:$T$495))-(ROW('CASE MASTER'!#REF!)-1))))*(INDEX('CASE MASTER'!$X$2:$X$495,(SUMPRODUCT((('CASE MASTER'!$T$2:$T$495=14)*('CASE MASTER'!$U$2:$U$495&lt;=2)*('CASE MASTER'!$W$2:$W$495&gt;=2)*('CASE MASTER'!$V$2:$V$495&lt;=1)*('CASE MASTER'!$X$2:$X$495&gt;=1))*ROW('CASE MASTER'!$T$2:$T$495))-(ROW('CASE MASTER'!#REF!)-1)))-INDEX('CASE MASTER'!$V$2:$V$495,(SUMPRODUCT((('CASE MASTER'!$T$2:$T$495=14)*('CASE MASTER'!$U$2:$U$495&lt;=2)*('CASE MASTER'!$W$2:$W$495&gt;=2)*('CASE MASTER'!$V$2:$V$495&lt;=1)*('CASE MASTER'!$X$2:$X$495&gt;=1))*ROW('CASE MASTER'!$T$2:$T$495))-(ROW('CASE MASTER'!#REF!)-1)))+1)+(1-INDEX('CASE MASTER'!$V$2:$V$495,(SUMPRODUCT((('CASE MASTER'!$T$2:$T$495=14)*('CASE MASTER'!$U$2:$U$495&lt;=2)*('CASE MASTER'!$W$2:$W$495&gt;=2)*('CASE MASTER'!$V$2:$V$495&lt;=1)*('CASE MASTER'!$X$2:$X$495&gt;=1))*ROW('CASE MASTER'!$T$2:$T$495))-(ROW('CASE MASTER'!#REF!)-1))))+1))-1)*50+1,50))&amp;"_"&amp;INDEX('CASE MASTER'!$Q$2:$Q$495,(SUMPRODUCT((('CASE MASTER'!$T$2:$T$495=14)*('CASE MASTER'!$U$2:$U$495&lt;=2)*('CASE MASTER'!$W$2:$W$495&gt;=2)*('CASE MASTER'!$V$2:$V$495&lt;=1)*('CASE MASTER'!$X$2:$X$495&gt;=1))*ROW('CASE MASTER'!$T$2:$T$495))-(ROW('CASE MASTER'!#REF!)-1))),IF(SUMPRODUCT((('CASE MASTER'!$T$2:$T$495=14)*('CASE MASTER'!$AA$2:$AA$495&lt;=2)*('CASE MASTER'!$AC$2:$AC$495&gt;=2)*('CASE MASTER'!$AB$2:$AB$495&lt;=1)*('CASE MASTER'!$AD$2:$AD$495&gt;=1))*ROW('CASE MASTER'!$T$2:$T$495))&gt;0,INDEX('CASE MASTER'!$Y$2:$Y$495,(SUMPRODUCT((('CASE MASTER'!$T$2:$T$495=14)*('CASE MASTER'!$AA$2:$AA$495&lt;=2)*('CASE MASTER'!$AC$2:$AC$495&gt;=2)*('CASE MASTER'!$AB$2:$AB$495&lt;=1)*('CASE MASTER'!$AD$2:$AD$495&gt;=1))*ROW('CASE MASTER'!$T$2:$T$495))-(ROW('CASE MASTER'!#REF!)-1)))&amp;TRIM(MID(SUBSTITUTE(SUBSTITUTE(INDEX('CASE MASTER'!$N$2:$N$495,(SUMPRODUCT((('CASE MASTER'!$T$2:$T$495=14)*('CASE MASTER'!$AA$2:$AA$495&lt;=2)*('CASE MASTER'!$AC$2:$AC$495&gt;=2)*('CASE MASTER'!$AB$2:$AB$495&lt;=1)*('CASE MASTER'!$AD$2:$AD$495&gt;=1))*ROW('CASE MASTER'!$T$2:$T$495))-(ROW('CASE MASTER'!#REF!)-1))),":",","),",",REPT(" ",50)),(((INDEX('CASE MASTER'!$Z$2:$Z$495,(SUMPRODUCT((('CASE MASTER'!$T$2:$T$495=14)*('CASE MASTER'!$AA$2:$AA$495&lt;=2)*('CASE MASTER'!$AC$2:$AC$495&gt;=2)*('CASE MASTER'!$AB$2:$AB$495&lt;=1)*('CASE MASTER'!$AD$2:$AD$495&gt;=1))*ROW('CASE MASTER'!$T$2:$T$495))-(ROW('CASE MASTER'!#REF!)-1)))+((2-INDEX('CASE MASTER'!$AA$2:$AA$495,(SUMPRODUCT((('CASE MASTER'!$T$2:$T$495=14)*('CASE MASTER'!$AA$2:$AA$495&lt;=2)*('CASE MASTER'!$AC$2:$AC$495&gt;=2)*('CASE MASTER'!$AB$2:$AB$495&lt;=1)*('CASE MASTER'!$AD$2:$AD$495&gt;=1))*ROW('CASE MASTER'!$T$2:$T$495))-(ROW('CASE MASTER'!#REF!)-1))))*(INDEX('CASE MASTER'!$AD$2:$AD$495,(SUMPRODUCT((('CASE MASTER'!$T$2:$T$495=14)*('CASE MASTER'!$AA$2:$AA$495&lt;=2)*('CASE MASTER'!$AC$2:$AC$495&gt;=2)*('CASE MASTER'!$AB$2:$AB$495&lt;=1)*('CASE MASTER'!$AD$2:$AD$495&gt;=1))*ROW('CASE MASTER'!$T$2:$T$495))-(ROW('CASE MASTER'!#REF!)-1)))-INDEX('CASE MASTER'!$AB$2:$AB$495,(SUMPRODUCT((('CASE MASTER'!$T$2:$T$495=14)*('CASE MASTER'!$AA$2:$AA$495&lt;=2)*('CASE MASTER'!$AC$2:$AC$495&gt;=2)*('CASE MASTER'!$AB$2:$AB$495&lt;=1)*('CASE MASTER'!$AD$2:$AD$495&gt;=1))*ROW('CASE MASTER'!$T$2:$T$495))-(ROW('CASE MASTER'!#REF!)-1)))+1)+(1-INDEX('CASE MASTER'!$AB$2:$AB$495,(SUMPRODUCT((('CASE MASTER'!$T$2:$T$495=14)*('CASE MASTER'!$AA$2:$AA$495&lt;=2)*('CASE MASTER'!$AC$2:$AC$495&gt;=2)*('CASE MASTER'!$AB$2:$AB$495&lt;=1)*('CASE MASTER'!$AD$2:$AD$495&gt;=1))*ROW('CASE MASTER'!$T$2:$T$495))-(ROW('CASE MASTER'!#REF!)-1))))+1)))-1)*50+1,50))&amp;"_"&amp;INDEX('CASE MASTER'!$Q$2:$Q$495,(SUMPRODUCT((('CASE MASTER'!$T$2:$T$495=14)*('CASE MASTER'!$AA$2:$AA$495&lt;=2)*('CASE MASTER'!$AC$2:$AC$495&gt;=2)*('CASE MASTER'!$AB$2:$AB$495&lt;=1)*('CASE MASTER'!$AD$2:$AD$495&gt;=1))*ROW('CASE MASTER'!$T$2:$T$495))-(ROW('CASE MASTER'!#REF!)-1))),"")),"")</f>
        <v/>
      </c>
      <c r="C186" s="10" t="str">
        <f>IFERROR(IF(SUMPRODUCT((('CASE MASTER'!$T$2:$T$495=14)*('CASE MASTER'!$U$2:$U$495&lt;=2)*('CASE MASTER'!$W$2:$W$495&gt;=2)*('CASE MASTER'!$V$2:$V$495&lt;=2)*('CASE MASTER'!$X$2:$X$495&gt;=2))*ROW('CASE MASTER'!$T$2:$T$495))&gt;0,INDEX('CASE MASTER'!$Y$2:$Y$495,(SUMPRODUCT((('CASE MASTER'!$T$2:$T$495=14)*('CASE MASTER'!$U$2:$U$495&lt;=2)*('CASE MASTER'!$W$2:$W$495&gt;=2)*('CASE MASTER'!$V$2:$V$495&lt;=2)*('CASE MASTER'!$X$2:$X$495&gt;=2))*ROW('CASE MASTER'!$T$2:$T$495))-(ROW('CASE MASTER'!#REF!)-1)))&amp;TRIM(MID(SUBSTITUTE(SUBSTITUTE(INDEX('CASE MASTER'!$N$2:$N$495,(SUMPRODUCT((('CASE MASTER'!$T$2:$T$495=14)*('CASE MASTER'!$U$2:$U$495&lt;=2)*('CASE MASTER'!$W$2:$W$495&gt;=2)*('CASE MASTER'!$V$2:$V$495&lt;=2)*('CASE MASTER'!$X$2:$X$495&gt;=2))*ROW('CASE MASTER'!$T$2:$T$495))-(ROW('CASE MASTER'!#REF!)-1))),":",","),",",REPT(" ",50)),((((2-INDEX('CASE MASTER'!$U$2:$U$495,(SUMPRODUCT((('CASE MASTER'!$T$2:$T$495=14)*('CASE MASTER'!$U$2:$U$495&lt;=2)*('CASE MASTER'!$W$2:$W$495&gt;=2)*('CASE MASTER'!$V$2:$V$495&lt;=2)*('CASE MASTER'!$X$2:$X$495&gt;=2))*ROW('CASE MASTER'!$T$2:$T$495))-(ROW('CASE MASTER'!#REF!)-1))))*(INDEX('CASE MASTER'!$X$2:$X$495,(SUMPRODUCT((('CASE MASTER'!$T$2:$T$495=14)*('CASE MASTER'!$U$2:$U$495&lt;=2)*('CASE MASTER'!$W$2:$W$495&gt;=2)*('CASE MASTER'!$V$2:$V$495&lt;=2)*('CASE MASTER'!$X$2:$X$495&gt;=2))*ROW('CASE MASTER'!$T$2:$T$495))-(ROW('CASE MASTER'!#REF!)-1)))-INDEX('CASE MASTER'!$V$2:$V$495,(SUMPRODUCT((('CASE MASTER'!$T$2:$T$495=14)*('CASE MASTER'!$U$2:$U$495&lt;=2)*('CASE MASTER'!$W$2:$W$495&gt;=2)*('CASE MASTER'!$V$2:$V$495&lt;=2)*('CASE MASTER'!$X$2:$X$495&gt;=2))*ROW('CASE MASTER'!$T$2:$T$495))-(ROW('CASE MASTER'!#REF!)-1)))+1)+(2-INDEX('CASE MASTER'!$V$2:$V$495,(SUMPRODUCT((('CASE MASTER'!$T$2:$T$495=14)*('CASE MASTER'!$U$2:$U$495&lt;=2)*('CASE MASTER'!$W$2:$W$495&gt;=2)*('CASE MASTER'!$V$2:$V$495&lt;=2)*('CASE MASTER'!$X$2:$X$495&gt;=2))*ROW('CASE MASTER'!$T$2:$T$495))-(ROW('CASE MASTER'!#REF!)-1))))+1))-1)*50+1,50))&amp;"_"&amp;INDEX('CASE MASTER'!$Q$2:$Q$495,(SUMPRODUCT((('CASE MASTER'!$T$2:$T$495=14)*('CASE MASTER'!$U$2:$U$495&lt;=2)*('CASE MASTER'!$W$2:$W$495&gt;=2)*('CASE MASTER'!$V$2:$V$495&lt;=2)*('CASE MASTER'!$X$2:$X$495&gt;=2))*ROW('CASE MASTER'!$T$2:$T$495))-(ROW('CASE MASTER'!#REF!)-1))),IF(SUMPRODUCT((('CASE MASTER'!$T$2:$T$495=14)*('CASE MASTER'!$AA$2:$AA$495&lt;=2)*('CASE MASTER'!$AC$2:$AC$495&gt;=2)*('CASE MASTER'!$AB$2:$AB$495&lt;=2)*('CASE MASTER'!$AD$2:$AD$495&gt;=2))*ROW('CASE MASTER'!$T$2:$T$495))&gt;0,INDEX('CASE MASTER'!$Y$2:$Y$495,(SUMPRODUCT((('CASE MASTER'!$T$2:$T$495=14)*('CASE MASTER'!$AA$2:$AA$495&lt;=2)*('CASE MASTER'!$AC$2:$AC$495&gt;=2)*('CASE MASTER'!$AB$2:$AB$495&lt;=2)*('CASE MASTER'!$AD$2:$AD$495&gt;=2))*ROW('CASE MASTER'!$T$2:$T$495))-(ROW('CASE MASTER'!#REF!)-1)))&amp;TRIM(MID(SUBSTITUTE(SUBSTITUTE(INDEX('CASE MASTER'!$N$2:$N$495,(SUMPRODUCT((('CASE MASTER'!$T$2:$T$495=14)*('CASE MASTER'!$AA$2:$AA$495&lt;=2)*('CASE MASTER'!$AC$2:$AC$495&gt;=2)*('CASE MASTER'!$AB$2:$AB$495&lt;=2)*('CASE MASTER'!$AD$2:$AD$495&gt;=2))*ROW('CASE MASTER'!$T$2:$T$495))-(ROW('CASE MASTER'!#REF!)-1))),":",","),",",REPT(" ",50)),(((INDEX('CASE MASTER'!$Z$2:$Z$495,(SUMPRODUCT((('CASE MASTER'!$T$2:$T$495=14)*('CASE MASTER'!$AA$2:$AA$495&lt;=2)*('CASE MASTER'!$AC$2:$AC$495&gt;=2)*('CASE MASTER'!$AB$2:$AB$495&lt;=2)*('CASE MASTER'!$AD$2:$AD$495&gt;=2))*ROW('CASE MASTER'!$T$2:$T$495))-(ROW('CASE MASTER'!#REF!)-1)))+((2-INDEX('CASE MASTER'!$AA$2:$AA$495,(SUMPRODUCT((('CASE MASTER'!$T$2:$T$495=14)*('CASE MASTER'!$AA$2:$AA$495&lt;=2)*('CASE MASTER'!$AC$2:$AC$495&gt;=2)*('CASE MASTER'!$AB$2:$AB$495&lt;=2)*('CASE MASTER'!$AD$2:$AD$495&gt;=2))*ROW('CASE MASTER'!$T$2:$T$495))-(ROW('CASE MASTER'!#REF!)-1))))*(INDEX('CASE MASTER'!$AD$2:$AD$495,(SUMPRODUCT((('CASE MASTER'!$T$2:$T$495=14)*('CASE MASTER'!$AA$2:$AA$495&lt;=2)*('CASE MASTER'!$AC$2:$AC$495&gt;=2)*('CASE MASTER'!$AB$2:$AB$495&lt;=2)*('CASE MASTER'!$AD$2:$AD$495&gt;=2))*ROW('CASE MASTER'!$T$2:$T$495))-(ROW('CASE MASTER'!#REF!)-1)))-INDEX('CASE MASTER'!$AB$2:$AB$495,(SUMPRODUCT((('CASE MASTER'!$T$2:$T$495=14)*('CASE MASTER'!$AA$2:$AA$495&lt;=2)*('CASE MASTER'!$AC$2:$AC$495&gt;=2)*('CASE MASTER'!$AB$2:$AB$495&lt;=2)*('CASE MASTER'!$AD$2:$AD$495&gt;=2))*ROW('CASE MASTER'!$T$2:$T$495))-(ROW('CASE MASTER'!#REF!)-1)))+1)+(2-INDEX('CASE MASTER'!$AB$2:$AB$495,(SUMPRODUCT((('CASE MASTER'!$T$2:$T$495=14)*('CASE MASTER'!$AA$2:$AA$495&lt;=2)*('CASE MASTER'!$AC$2:$AC$495&gt;=2)*('CASE MASTER'!$AB$2:$AB$495&lt;=2)*('CASE MASTER'!$AD$2:$AD$495&gt;=2))*ROW('CASE MASTER'!$T$2:$T$495))-(ROW('CASE MASTER'!#REF!)-1))))+1)))-1)*50+1,50))&amp;"_"&amp;INDEX('CASE MASTER'!$Q$2:$Q$495,(SUMPRODUCT((('CASE MASTER'!$T$2:$T$495=14)*('CASE MASTER'!$AA$2:$AA$495&lt;=2)*('CASE MASTER'!$AC$2:$AC$495&gt;=2)*('CASE MASTER'!$AB$2:$AB$495&lt;=2)*('CASE MASTER'!$AD$2:$AD$495&gt;=2))*ROW('CASE MASTER'!$T$2:$T$495))-(ROW('CASE MASTER'!#REF!)-1))),"")),"")</f>
        <v/>
      </c>
      <c r="D186" s="10" t="str">
        <f>IFERROR(IF(SUMPRODUCT((('CASE MASTER'!$T$2:$T$495=14)*('CASE MASTER'!$U$2:$U$495&lt;=2)*('CASE MASTER'!$W$2:$W$495&gt;=2)*('CASE MASTER'!$V$2:$V$495&lt;=3)*('CASE MASTER'!$X$2:$X$495&gt;=3))*ROW('CASE MASTER'!$T$2:$T$495))&gt;0,INDEX('CASE MASTER'!$Y$2:$Y$495,(SUMPRODUCT((('CASE MASTER'!$T$2:$T$495=14)*('CASE MASTER'!$U$2:$U$495&lt;=2)*('CASE MASTER'!$W$2:$W$495&gt;=2)*('CASE MASTER'!$V$2:$V$495&lt;=3)*('CASE MASTER'!$X$2:$X$495&gt;=3))*ROW('CASE MASTER'!$T$2:$T$495))-(ROW('CASE MASTER'!#REF!)-1)))&amp;TRIM(MID(SUBSTITUTE(SUBSTITUTE(INDEX('CASE MASTER'!$N$2:$N$495,(SUMPRODUCT((('CASE MASTER'!$T$2:$T$495=14)*('CASE MASTER'!$U$2:$U$495&lt;=2)*('CASE MASTER'!$W$2:$W$495&gt;=2)*('CASE MASTER'!$V$2:$V$495&lt;=3)*('CASE MASTER'!$X$2:$X$495&gt;=3))*ROW('CASE MASTER'!$T$2:$T$495))-(ROW('CASE MASTER'!#REF!)-1))),":",","),",",REPT(" ",50)),((((2-INDEX('CASE MASTER'!$U$2:$U$495,(SUMPRODUCT((('CASE MASTER'!$T$2:$T$495=14)*('CASE MASTER'!$U$2:$U$495&lt;=2)*('CASE MASTER'!$W$2:$W$495&gt;=2)*('CASE MASTER'!$V$2:$V$495&lt;=3)*('CASE MASTER'!$X$2:$X$495&gt;=3))*ROW('CASE MASTER'!$T$2:$T$495))-(ROW('CASE MASTER'!#REF!)-1))))*(INDEX('CASE MASTER'!$X$2:$X$495,(SUMPRODUCT((('CASE MASTER'!$T$2:$T$495=14)*('CASE MASTER'!$U$2:$U$495&lt;=2)*('CASE MASTER'!$W$2:$W$495&gt;=2)*('CASE MASTER'!$V$2:$V$495&lt;=3)*('CASE MASTER'!$X$2:$X$495&gt;=3))*ROW('CASE MASTER'!$T$2:$T$495))-(ROW('CASE MASTER'!#REF!)-1)))-INDEX('CASE MASTER'!$V$2:$V$495,(SUMPRODUCT((('CASE MASTER'!$T$2:$T$495=14)*('CASE MASTER'!$U$2:$U$495&lt;=2)*('CASE MASTER'!$W$2:$W$495&gt;=2)*('CASE MASTER'!$V$2:$V$495&lt;=3)*('CASE MASTER'!$X$2:$X$495&gt;=3))*ROW('CASE MASTER'!$T$2:$T$495))-(ROW('CASE MASTER'!#REF!)-1)))+1)+(3-INDEX('CASE MASTER'!$V$2:$V$495,(SUMPRODUCT((('CASE MASTER'!$T$2:$T$495=14)*('CASE MASTER'!$U$2:$U$495&lt;=2)*('CASE MASTER'!$W$2:$W$495&gt;=2)*('CASE MASTER'!$V$2:$V$495&lt;=3)*('CASE MASTER'!$X$2:$X$495&gt;=3))*ROW('CASE MASTER'!$T$2:$T$495))-(ROW('CASE MASTER'!#REF!)-1))))+1))-1)*50+1,50))&amp;"_"&amp;INDEX('CASE MASTER'!$Q$2:$Q$495,(SUMPRODUCT((('CASE MASTER'!$T$2:$T$495=14)*('CASE MASTER'!$U$2:$U$495&lt;=2)*('CASE MASTER'!$W$2:$W$495&gt;=2)*('CASE MASTER'!$V$2:$V$495&lt;=3)*('CASE MASTER'!$X$2:$X$495&gt;=3))*ROW('CASE MASTER'!$T$2:$T$495))-(ROW('CASE MASTER'!#REF!)-1))),IF(SUMPRODUCT((('CASE MASTER'!$T$2:$T$495=14)*('CASE MASTER'!$AA$2:$AA$495&lt;=2)*('CASE MASTER'!$AC$2:$AC$495&gt;=2)*('CASE MASTER'!$AB$2:$AB$495&lt;=3)*('CASE MASTER'!$AD$2:$AD$495&gt;=3))*ROW('CASE MASTER'!$T$2:$T$495))&gt;0,INDEX('CASE MASTER'!$Y$2:$Y$495,(SUMPRODUCT((('CASE MASTER'!$T$2:$T$495=14)*('CASE MASTER'!$AA$2:$AA$495&lt;=2)*('CASE MASTER'!$AC$2:$AC$495&gt;=2)*('CASE MASTER'!$AB$2:$AB$495&lt;=3)*('CASE MASTER'!$AD$2:$AD$495&gt;=3))*ROW('CASE MASTER'!$T$2:$T$495))-(ROW('CASE MASTER'!#REF!)-1)))&amp;TRIM(MID(SUBSTITUTE(SUBSTITUTE(INDEX('CASE MASTER'!$N$2:$N$495,(SUMPRODUCT((('CASE MASTER'!$T$2:$T$495=14)*('CASE MASTER'!$AA$2:$AA$495&lt;=2)*('CASE MASTER'!$AC$2:$AC$495&gt;=2)*('CASE MASTER'!$AB$2:$AB$495&lt;=3)*('CASE MASTER'!$AD$2:$AD$495&gt;=3))*ROW('CASE MASTER'!$T$2:$T$495))-(ROW('CASE MASTER'!#REF!)-1))),":",","),",",REPT(" ",50)),(((INDEX('CASE MASTER'!$Z$2:$Z$495,(SUMPRODUCT((('CASE MASTER'!$T$2:$T$495=14)*('CASE MASTER'!$AA$2:$AA$495&lt;=2)*('CASE MASTER'!$AC$2:$AC$495&gt;=2)*('CASE MASTER'!$AB$2:$AB$495&lt;=3)*('CASE MASTER'!$AD$2:$AD$495&gt;=3))*ROW('CASE MASTER'!$T$2:$T$495))-(ROW('CASE MASTER'!#REF!)-1)))+((2-INDEX('CASE MASTER'!$AA$2:$AA$495,(SUMPRODUCT((('CASE MASTER'!$T$2:$T$495=14)*('CASE MASTER'!$AA$2:$AA$495&lt;=2)*('CASE MASTER'!$AC$2:$AC$495&gt;=2)*('CASE MASTER'!$AB$2:$AB$495&lt;=3)*('CASE MASTER'!$AD$2:$AD$495&gt;=3))*ROW('CASE MASTER'!$T$2:$T$495))-(ROW('CASE MASTER'!#REF!)-1))))*(INDEX('CASE MASTER'!$AD$2:$AD$495,(SUMPRODUCT((('CASE MASTER'!$T$2:$T$495=14)*('CASE MASTER'!$AA$2:$AA$495&lt;=2)*('CASE MASTER'!$AC$2:$AC$495&gt;=2)*('CASE MASTER'!$AB$2:$AB$495&lt;=3)*('CASE MASTER'!$AD$2:$AD$495&gt;=3))*ROW('CASE MASTER'!$T$2:$T$495))-(ROW('CASE MASTER'!#REF!)-1)))-INDEX('CASE MASTER'!$AB$2:$AB$495,(SUMPRODUCT((('CASE MASTER'!$T$2:$T$495=14)*('CASE MASTER'!$AA$2:$AA$495&lt;=2)*('CASE MASTER'!$AC$2:$AC$495&gt;=2)*('CASE MASTER'!$AB$2:$AB$495&lt;=3)*('CASE MASTER'!$AD$2:$AD$495&gt;=3))*ROW('CASE MASTER'!$T$2:$T$495))-(ROW('CASE MASTER'!#REF!)-1)))+1)+(3-INDEX('CASE MASTER'!$AB$2:$AB$495,(SUMPRODUCT((('CASE MASTER'!$T$2:$T$495=14)*('CASE MASTER'!$AA$2:$AA$495&lt;=2)*('CASE MASTER'!$AC$2:$AC$495&gt;=2)*('CASE MASTER'!$AB$2:$AB$495&lt;=3)*('CASE MASTER'!$AD$2:$AD$495&gt;=3))*ROW('CASE MASTER'!$T$2:$T$495))-(ROW('CASE MASTER'!#REF!)-1))))+1)))-1)*50+1,50))&amp;"_"&amp;INDEX('CASE MASTER'!$Q$2:$Q$495,(SUMPRODUCT((('CASE MASTER'!$T$2:$T$495=14)*('CASE MASTER'!$AA$2:$AA$495&lt;=2)*('CASE MASTER'!$AC$2:$AC$495&gt;=2)*('CASE MASTER'!$AB$2:$AB$495&lt;=3)*('CASE MASTER'!$AD$2:$AD$495&gt;=3))*ROW('CASE MASTER'!$T$2:$T$495))-(ROW('CASE MASTER'!#REF!)-1))),"")),"")</f>
        <v/>
      </c>
      <c r="E186" s="10" t="str">
        <f>IFERROR(IF(SUMPRODUCT((('CASE MASTER'!$T$2:$T$495=14)*('CASE MASTER'!$U$2:$U$495&lt;=2)*('CASE MASTER'!$W$2:$W$495&gt;=2)*('CASE MASTER'!$V$2:$V$495&lt;=4)*('CASE MASTER'!$X$2:$X$495&gt;=4))*ROW('CASE MASTER'!$T$2:$T$495))&gt;0,INDEX('CASE MASTER'!$Y$2:$Y$495,(SUMPRODUCT((('CASE MASTER'!$T$2:$T$495=14)*('CASE MASTER'!$U$2:$U$495&lt;=2)*('CASE MASTER'!$W$2:$W$495&gt;=2)*('CASE MASTER'!$V$2:$V$495&lt;=4)*('CASE MASTER'!$X$2:$X$495&gt;=4))*ROW('CASE MASTER'!$T$2:$T$495))-(ROW('CASE MASTER'!#REF!)-1)))&amp;TRIM(MID(SUBSTITUTE(SUBSTITUTE(INDEX('CASE MASTER'!$N$2:$N$495,(SUMPRODUCT((('CASE MASTER'!$T$2:$T$495=14)*('CASE MASTER'!$U$2:$U$495&lt;=2)*('CASE MASTER'!$W$2:$W$495&gt;=2)*('CASE MASTER'!$V$2:$V$495&lt;=4)*('CASE MASTER'!$X$2:$X$495&gt;=4))*ROW('CASE MASTER'!$T$2:$T$495))-(ROW('CASE MASTER'!#REF!)-1))),":",","),",",REPT(" ",50)),((((2-INDEX('CASE MASTER'!$U$2:$U$495,(SUMPRODUCT((('CASE MASTER'!$T$2:$T$495=14)*('CASE MASTER'!$U$2:$U$495&lt;=2)*('CASE MASTER'!$W$2:$W$495&gt;=2)*('CASE MASTER'!$V$2:$V$495&lt;=4)*('CASE MASTER'!$X$2:$X$495&gt;=4))*ROW('CASE MASTER'!$T$2:$T$495))-(ROW('CASE MASTER'!#REF!)-1))))*(INDEX('CASE MASTER'!$X$2:$X$495,(SUMPRODUCT((('CASE MASTER'!$T$2:$T$495=14)*('CASE MASTER'!$U$2:$U$495&lt;=2)*('CASE MASTER'!$W$2:$W$495&gt;=2)*('CASE MASTER'!$V$2:$V$495&lt;=4)*('CASE MASTER'!$X$2:$X$495&gt;=4))*ROW('CASE MASTER'!$T$2:$T$495))-(ROW('CASE MASTER'!#REF!)-1)))-INDEX('CASE MASTER'!$V$2:$V$495,(SUMPRODUCT((('CASE MASTER'!$T$2:$T$495=14)*('CASE MASTER'!$U$2:$U$495&lt;=2)*('CASE MASTER'!$W$2:$W$495&gt;=2)*('CASE MASTER'!$V$2:$V$495&lt;=4)*('CASE MASTER'!$X$2:$X$495&gt;=4))*ROW('CASE MASTER'!$T$2:$T$495))-(ROW('CASE MASTER'!#REF!)-1)))+1)+(4-INDEX('CASE MASTER'!$V$2:$V$495,(SUMPRODUCT((('CASE MASTER'!$T$2:$T$495=14)*('CASE MASTER'!$U$2:$U$495&lt;=2)*('CASE MASTER'!$W$2:$W$495&gt;=2)*('CASE MASTER'!$V$2:$V$495&lt;=4)*('CASE MASTER'!$X$2:$X$495&gt;=4))*ROW('CASE MASTER'!$T$2:$T$495))-(ROW('CASE MASTER'!#REF!)-1))))+1))-1)*50+1,50))&amp;"_"&amp;INDEX('CASE MASTER'!$Q$2:$Q$495,(SUMPRODUCT((('CASE MASTER'!$T$2:$T$495=14)*('CASE MASTER'!$U$2:$U$495&lt;=2)*('CASE MASTER'!$W$2:$W$495&gt;=2)*('CASE MASTER'!$V$2:$V$495&lt;=4)*('CASE MASTER'!$X$2:$X$495&gt;=4))*ROW('CASE MASTER'!$T$2:$T$495))-(ROW('CASE MASTER'!#REF!)-1))),IF(SUMPRODUCT((('CASE MASTER'!$T$2:$T$495=14)*('CASE MASTER'!$AA$2:$AA$495&lt;=2)*('CASE MASTER'!$AC$2:$AC$495&gt;=2)*('CASE MASTER'!$AB$2:$AB$495&lt;=4)*('CASE MASTER'!$AD$2:$AD$495&gt;=4))*ROW('CASE MASTER'!$T$2:$T$495))&gt;0,INDEX('CASE MASTER'!$Y$2:$Y$495,(SUMPRODUCT((('CASE MASTER'!$T$2:$T$495=14)*('CASE MASTER'!$AA$2:$AA$495&lt;=2)*('CASE MASTER'!$AC$2:$AC$495&gt;=2)*('CASE MASTER'!$AB$2:$AB$495&lt;=4)*('CASE MASTER'!$AD$2:$AD$495&gt;=4))*ROW('CASE MASTER'!$T$2:$T$495))-(ROW('CASE MASTER'!#REF!)-1)))&amp;TRIM(MID(SUBSTITUTE(SUBSTITUTE(INDEX('CASE MASTER'!$N$2:$N$495,(SUMPRODUCT((('CASE MASTER'!$T$2:$T$495=14)*('CASE MASTER'!$AA$2:$AA$495&lt;=2)*('CASE MASTER'!$AC$2:$AC$495&gt;=2)*('CASE MASTER'!$AB$2:$AB$495&lt;=4)*('CASE MASTER'!$AD$2:$AD$495&gt;=4))*ROW('CASE MASTER'!$T$2:$T$495))-(ROW('CASE MASTER'!#REF!)-1))),":",","),",",REPT(" ",50)),(((INDEX('CASE MASTER'!$Z$2:$Z$495,(SUMPRODUCT((('CASE MASTER'!$T$2:$T$495=14)*('CASE MASTER'!$AA$2:$AA$495&lt;=2)*('CASE MASTER'!$AC$2:$AC$495&gt;=2)*('CASE MASTER'!$AB$2:$AB$495&lt;=4)*('CASE MASTER'!$AD$2:$AD$495&gt;=4))*ROW('CASE MASTER'!$T$2:$T$495))-(ROW('CASE MASTER'!#REF!)-1)))+((2-INDEX('CASE MASTER'!$AA$2:$AA$495,(SUMPRODUCT((('CASE MASTER'!$T$2:$T$495=14)*('CASE MASTER'!$AA$2:$AA$495&lt;=2)*('CASE MASTER'!$AC$2:$AC$495&gt;=2)*('CASE MASTER'!$AB$2:$AB$495&lt;=4)*('CASE MASTER'!$AD$2:$AD$495&gt;=4))*ROW('CASE MASTER'!$T$2:$T$495))-(ROW('CASE MASTER'!#REF!)-1))))*(INDEX('CASE MASTER'!$AD$2:$AD$495,(SUMPRODUCT((('CASE MASTER'!$T$2:$T$495=14)*('CASE MASTER'!$AA$2:$AA$495&lt;=2)*('CASE MASTER'!$AC$2:$AC$495&gt;=2)*('CASE MASTER'!$AB$2:$AB$495&lt;=4)*('CASE MASTER'!$AD$2:$AD$495&gt;=4))*ROW('CASE MASTER'!$T$2:$T$495))-(ROW('CASE MASTER'!#REF!)-1)))-INDEX('CASE MASTER'!$AB$2:$AB$495,(SUMPRODUCT((('CASE MASTER'!$T$2:$T$495=14)*('CASE MASTER'!$AA$2:$AA$495&lt;=2)*('CASE MASTER'!$AC$2:$AC$495&gt;=2)*('CASE MASTER'!$AB$2:$AB$495&lt;=4)*('CASE MASTER'!$AD$2:$AD$495&gt;=4))*ROW('CASE MASTER'!$T$2:$T$495))-(ROW('CASE MASTER'!#REF!)-1)))+1)+(4-INDEX('CASE MASTER'!$AB$2:$AB$495,(SUMPRODUCT((('CASE MASTER'!$T$2:$T$495=14)*('CASE MASTER'!$AA$2:$AA$495&lt;=2)*('CASE MASTER'!$AC$2:$AC$495&gt;=2)*('CASE MASTER'!$AB$2:$AB$495&lt;=4)*('CASE MASTER'!$AD$2:$AD$495&gt;=4))*ROW('CASE MASTER'!$T$2:$T$495))-(ROW('CASE MASTER'!#REF!)-1))))+1)))-1)*50+1,50))&amp;"_"&amp;INDEX('CASE MASTER'!$Q$2:$Q$495,(SUMPRODUCT((('CASE MASTER'!$T$2:$T$495=14)*('CASE MASTER'!$AA$2:$AA$495&lt;=2)*('CASE MASTER'!$AC$2:$AC$495&gt;=2)*('CASE MASTER'!$AB$2:$AB$495&lt;=4)*('CASE MASTER'!$AD$2:$AD$495&gt;=4))*ROW('CASE MASTER'!$T$2:$T$495))-(ROW('CASE MASTER'!#REF!)-1))),"")),"")</f>
        <v/>
      </c>
      <c r="F186" s="10" t="str">
        <f>IFERROR(IF(SUMPRODUCT((('CASE MASTER'!$T$2:$T$495=14)*('CASE MASTER'!$U$2:$U$495&lt;=2)*('CASE MASTER'!$W$2:$W$495&gt;=2)*('CASE MASTER'!$V$2:$V$495&lt;=5)*('CASE MASTER'!$X$2:$X$495&gt;=5))*ROW('CASE MASTER'!$T$2:$T$495))&gt;0,INDEX('CASE MASTER'!$Y$2:$Y$495,(SUMPRODUCT((('CASE MASTER'!$T$2:$T$495=14)*('CASE MASTER'!$U$2:$U$495&lt;=2)*('CASE MASTER'!$W$2:$W$495&gt;=2)*('CASE MASTER'!$V$2:$V$495&lt;=5)*('CASE MASTER'!$X$2:$X$495&gt;=5))*ROW('CASE MASTER'!$T$2:$T$495))-(ROW('CASE MASTER'!#REF!)-1)))&amp;TRIM(MID(SUBSTITUTE(SUBSTITUTE(INDEX('CASE MASTER'!$N$2:$N$495,(SUMPRODUCT((('CASE MASTER'!$T$2:$T$495=14)*('CASE MASTER'!$U$2:$U$495&lt;=2)*('CASE MASTER'!$W$2:$W$495&gt;=2)*('CASE MASTER'!$V$2:$V$495&lt;=5)*('CASE MASTER'!$X$2:$X$495&gt;=5))*ROW('CASE MASTER'!$T$2:$T$495))-(ROW('CASE MASTER'!#REF!)-1))),":",","),",",REPT(" ",50)),((((2-INDEX('CASE MASTER'!$U$2:$U$495,(SUMPRODUCT((('CASE MASTER'!$T$2:$T$495=14)*('CASE MASTER'!$U$2:$U$495&lt;=2)*('CASE MASTER'!$W$2:$W$495&gt;=2)*('CASE MASTER'!$V$2:$V$495&lt;=5)*('CASE MASTER'!$X$2:$X$495&gt;=5))*ROW('CASE MASTER'!$T$2:$T$495))-(ROW('CASE MASTER'!#REF!)-1))))*(INDEX('CASE MASTER'!$X$2:$X$495,(SUMPRODUCT((('CASE MASTER'!$T$2:$T$495=14)*('CASE MASTER'!$U$2:$U$495&lt;=2)*('CASE MASTER'!$W$2:$W$495&gt;=2)*('CASE MASTER'!$V$2:$V$495&lt;=5)*('CASE MASTER'!$X$2:$X$495&gt;=5))*ROW('CASE MASTER'!$T$2:$T$495))-(ROW('CASE MASTER'!#REF!)-1)))-INDEX('CASE MASTER'!$V$2:$V$495,(SUMPRODUCT((('CASE MASTER'!$T$2:$T$495=14)*('CASE MASTER'!$U$2:$U$495&lt;=2)*('CASE MASTER'!$W$2:$W$495&gt;=2)*('CASE MASTER'!$V$2:$V$495&lt;=5)*('CASE MASTER'!$X$2:$X$495&gt;=5))*ROW('CASE MASTER'!$T$2:$T$495))-(ROW('CASE MASTER'!#REF!)-1)))+1)+(5-INDEX('CASE MASTER'!$V$2:$V$495,(SUMPRODUCT((('CASE MASTER'!$T$2:$T$495=14)*('CASE MASTER'!$U$2:$U$495&lt;=2)*('CASE MASTER'!$W$2:$W$495&gt;=2)*('CASE MASTER'!$V$2:$V$495&lt;=5)*('CASE MASTER'!$X$2:$X$495&gt;=5))*ROW('CASE MASTER'!$T$2:$T$495))-(ROW('CASE MASTER'!#REF!)-1))))+1))-1)*50+1,50))&amp;"_"&amp;INDEX('CASE MASTER'!$Q$2:$Q$495,(SUMPRODUCT((('CASE MASTER'!$T$2:$T$495=14)*('CASE MASTER'!$U$2:$U$495&lt;=2)*('CASE MASTER'!$W$2:$W$495&gt;=2)*('CASE MASTER'!$V$2:$V$495&lt;=5)*('CASE MASTER'!$X$2:$X$495&gt;=5))*ROW('CASE MASTER'!$T$2:$T$495))-(ROW('CASE MASTER'!#REF!)-1))),IF(SUMPRODUCT((('CASE MASTER'!$T$2:$T$495=14)*('CASE MASTER'!$AA$2:$AA$495&lt;=2)*('CASE MASTER'!$AC$2:$AC$495&gt;=2)*('CASE MASTER'!$AB$2:$AB$495&lt;=5)*('CASE MASTER'!$AD$2:$AD$495&gt;=5))*ROW('CASE MASTER'!$T$2:$T$495))&gt;0,INDEX('CASE MASTER'!$Y$2:$Y$495,(SUMPRODUCT((('CASE MASTER'!$T$2:$T$495=14)*('CASE MASTER'!$AA$2:$AA$495&lt;=2)*('CASE MASTER'!$AC$2:$AC$495&gt;=2)*('CASE MASTER'!$AB$2:$AB$495&lt;=5)*('CASE MASTER'!$AD$2:$AD$495&gt;=5))*ROW('CASE MASTER'!$T$2:$T$495))-(ROW('CASE MASTER'!#REF!)-1)))&amp;TRIM(MID(SUBSTITUTE(SUBSTITUTE(INDEX('CASE MASTER'!$N$2:$N$495,(SUMPRODUCT((('CASE MASTER'!$T$2:$T$495=14)*('CASE MASTER'!$AA$2:$AA$495&lt;=2)*('CASE MASTER'!$AC$2:$AC$495&gt;=2)*('CASE MASTER'!$AB$2:$AB$495&lt;=5)*('CASE MASTER'!$AD$2:$AD$495&gt;=5))*ROW('CASE MASTER'!$T$2:$T$495))-(ROW('CASE MASTER'!#REF!)-1))),":",","),",",REPT(" ",50)),(((INDEX('CASE MASTER'!$Z$2:$Z$495,(SUMPRODUCT((('CASE MASTER'!$T$2:$T$495=14)*('CASE MASTER'!$AA$2:$AA$495&lt;=2)*('CASE MASTER'!$AC$2:$AC$495&gt;=2)*('CASE MASTER'!$AB$2:$AB$495&lt;=5)*('CASE MASTER'!$AD$2:$AD$495&gt;=5))*ROW('CASE MASTER'!$T$2:$T$495))-(ROW('CASE MASTER'!#REF!)-1)))+((2-INDEX('CASE MASTER'!$AA$2:$AA$495,(SUMPRODUCT((('CASE MASTER'!$T$2:$T$495=14)*('CASE MASTER'!$AA$2:$AA$495&lt;=2)*('CASE MASTER'!$AC$2:$AC$495&gt;=2)*('CASE MASTER'!$AB$2:$AB$495&lt;=5)*('CASE MASTER'!$AD$2:$AD$495&gt;=5))*ROW('CASE MASTER'!$T$2:$T$495))-(ROW('CASE MASTER'!#REF!)-1))))*(INDEX('CASE MASTER'!$AD$2:$AD$495,(SUMPRODUCT((('CASE MASTER'!$T$2:$T$495=14)*('CASE MASTER'!$AA$2:$AA$495&lt;=2)*('CASE MASTER'!$AC$2:$AC$495&gt;=2)*('CASE MASTER'!$AB$2:$AB$495&lt;=5)*('CASE MASTER'!$AD$2:$AD$495&gt;=5))*ROW('CASE MASTER'!$T$2:$T$495))-(ROW('CASE MASTER'!#REF!)-1)))-INDEX('CASE MASTER'!$AB$2:$AB$495,(SUMPRODUCT((('CASE MASTER'!$T$2:$T$495=14)*('CASE MASTER'!$AA$2:$AA$495&lt;=2)*('CASE MASTER'!$AC$2:$AC$495&gt;=2)*('CASE MASTER'!$AB$2:$AB$495&lt;=5)*('CASE MASTER'!$AD$2:$AD$495&gt;=5))*ROW('CASE MASTER'!$T$2:$T$495))-(ROW('CASE MASTER'!#REF!)-1)))+1)+(5-INDEX('CASE MASTER'!$AB$2:$AB$495,(SUMPRODUCT((('CASE MASTER'!$T$2:$T$495=14)*('CASE MASTER'!$AA$2:$AA$495&lt;=2)*('CASE MASTER'!$AC$2:$AC$495&gt;=2)*('CASE MASTER'!$AB$2:$AB$495&lt;=5)*('CASE MASTER'!$AD$2:$AD$495&gt;=5))*ROW('CASE MASTER'!$T$2:$T$495))-(ROW('CASE MASTER'!#REF!)-1))))+1)))-1)*50+1,50))&amp;"_"&amp;INDEX('CASE MASTER'!$Q$2:$Q$495,(SUMPRODUCT((('CASE MASTER'!$T$2:$T$495=14)*('CASE MASTER'!$AA$2:$AA$495&lt;=2)*('CASE MASTER'!$AC$2:$AC$495&gt;=2)*('CASE MASTER'!$AB$2:$AB$495&lt;=5)*('CASE MASTER'!$AD$2:$AD$495&gt;=5))*ROW('CASE MASTER'!$T$2:$T$495))-(ROW('CASE MASTER'!#REF!)-1))),"")),"")</f>
        <v/>
      </c>
      <c r="G186" s="10" t="str">
        <f>IFERROR(IF(SUMPRODUCT((('CASE MASTER'!$T$2:$T$495=14)*('CASE MASTER'!$U$2:$U$495&lt;=2)*('CASE MASTER'!$W$2:$W$495&gt;=2)*('CASE MASTER'!$V$2:$V$495&lt;=6)*('CASE MASTER'!$X$2:$X$495&gt;=6))*ROW('CASE MASTER'!$T$2:$T$495))&gt;0,INDEX('CASE MASTER'!$Y$2:$Y$495,(SUMPRODUCT((('CASE MASTER'!$T$2:$T$495=14)*('CASE MASTER'!$U$2:$U$495&lt;=2)*('CASE MASTER'!$W$2:$W$495&gt;=2)*('CASE MASTER'!$V$2:$V$495&lt;=6)*('CASE MASTER'!$X$2:$X$495&gt;=6))*ROW('CASE MASTER'!$T$2:$T$495))-(ROW('CASE MASTER'!#REF!)-1)))&amp;TRIM(MID(SUBSTITUTE(SUBSTITUTE(INDEX('CASE MASTER'!$N$2:$N$495,(SUMPRODUCT((('CASE MASTER'!$T$2:$T$495=14)*('CASE MASTER'!$U$2:$U$495&lt;=2)*('CASE MASTER'!$W$2:$W$495&gt;=2)*('CASE MASTER'!$V$2:$V$495&lt;=6)*('CASE MASTER'!$X$2:$X$495&gt;=6))*ROW('CASE MASTER'!$T$2:$T$495))-(ROW('CASE MASTER'!#REF!)-1))),":",","),",",REPT(" ",50)),((((2-INDEX('CASE MASTER'!$U$2:$U$495,(SUMPRODUCT((('CASE MASTER'!$T$2:$T$495=14)*('CASE MASTER'!$U$2:$U$495&lt;=2)*('CASE MASTER'!$W$2:$W$495&gt;=2)*('CASE MASTER'!$V$2:$V$495&lt;=6)*('CASE MASTER'!$X$2:$X$495&gt;=6))*ROW('CASE MASTER'!$T$2:$T$495))-(ROW('CASE MASTER'!#REF!)-1))))*(INDEX('CASE MASTER'!$X$2:$X$495,(SUMPRODUCT((('CASE MASTER'!$T$2:$T$495=14)*('CASE MASTER'!$U$2:$U$495&lt;=2)*('CASE MASTER'!$W$2:$W$495&gt;=2)*('CASE MASTER'!$V$2:$V$495&lt;=6)*('CASE MASTER'!$X$2:$X$495&gt;=6))*ROW('CASE MASTER'!$T$2:$T$495))-(ROW('CASE MASTER'!#REF!)-1)))-INDEX('CASE MASTER'!$V$2:$V$495,(SUMPRODUCT((('CASE MASTER'!$T$2:$T$495=14)*('CASE MASTER'!$U$2:$U$495&lt;=2)*('CASE MASTER'!$W$2:$W$495&gt;=2)*('CASE MASTER'!$V$2:$V$495&lt;=6)*('CASE MASTER'!$X$2:$X$495&gt;=6))*ROW('CASE MASTER'!$T$2:$T$495))-(ROW('CASE MASTER'!#REF!)-1)))+1)+(6-INDEX('CASE MASTER'!$V$2:$V$495,(SUMPRODUCT((('CASE MASTER'!$T$2:$T$495=14)*('CASE MASTER'!$U$2:$U$495&lt;=2)*('CASE MASTER'!$W$2:$W$495&gt;=2)*('CASE MASTER'!$V$2:$V$495&lt;=6)*('CASE MASTER'!$X$2:$X$495&gt;=6))*ROW('CASE MASTER'!$T$2:$T$495))-(ROW('CASE MASTER'!#REF!)-1))))+1))-1)*50+1,50))&amp;"_"&amp;INDEX('CASE MASTER'!$Q$2:$Q$495,(SUMPRODUCT((('CASE MASTER'!$T$2:$T$495=14)*('CASE MASTER'!$U$2:$U$495&lt;=2)*('CASE MASTER'!$W$2:$W$495&gt;=2)*('CASE MASTER'!$V$2:$V$495&lt;=6)*('CASE MASTER'!$X$2:$X$495&gt;=6))*ROW('CASE MASTER'!$T$2:$T$495))-(ROW('CASE MASTER'!#REF!)-1))),IF(SUMPRODUCT((('CASE MASTER'!$T$2:$T$495=14)*('CASE MASTER'!$AA$2:$AA$495&lt;=2)*('CASE MASTER'!$AC$2:$AC$495&gt;=2)*('CASE MASTER'!$AB$2:$AB$495&lt;=6)*('CASE MASTER'!$AD$2:$AD$495&gt;=6))*ROW('CASE MASTER'!$T$2:$T$495))&gt;0,INDEX('CASE MASTER'!$Y$2:$Y$495,(SUMPRODUCT((('CASE MASTER'!$T$2:$T$495=14)*('CASE MASTER'!$AA$2:$AA$495&lt;=2)*('CASE MASTER'!$AC$2:$AC$495&gt;=2)*('CASE MASTER'!$AB$2:$AB$495&lt;=6)*('CASE MASTER'!$AD$2:$AD$495&gt;=6))*ROW('CASE MASTER'!$T$2:$T$495))-(ROW('CASE MASTER'!#REF!)-1)))&amp;TRIM(MID(SUBSTITUTE(SUBSTITUTE(INDEX('CASE MASTER'!$N$2:$N$495,(SUMPRODUCT((('CASE MASTER'!$T$2:$T$495=14)*('CASE MASTER'!$AA$2:$AA$495&lt;=2)*('CASE MASTER'!$AC$2:$AC$495&gt;=2)*('CASE MASTER'!$AB$2:$AB$495&lt;=6)*('CASE MASTER'!$AD$2:$AD$495&gt;=6))*ROW('CASE MASTER'!$T$2:$T$495))-(ROW('CASE MASTER'!#REF!)-1))),":",","),",",REPT(" ",50)),(((INDEX('CASE MASTER'!$Z$2:$Z$495,(SUMPRODUCT((('CASE MASTER'!$T$2:$T$495=14)*('CASE MASTER'!$AA$2:$AA$495&lt;=2)*('CASE MASTER'!$AC$2:$AC$495&gt;=2)*('CASE MASTER'!$AB$2:$AB$495&lt;=6)*('CASE MASTER'!$AD$2:$AD$495&gt;=6))*ROW('CASE MASTER'!$T$2:$T$495))-(ROW('CASE MASTER'!#REF!)-1)))+((2-INDEX('CASE MASTER'!$AA$2:$AA$495,(SUMPRODUCT((('CASE MASTER'!$T$2:$T$495=14)*('CASE MASTER'!$AA$2:$AA$495&lt;=2)*('CASE MASTER'!$AC$2:$AC$495&gt;=2)*('CASE MASTER'!$AB$2:$AB$495&lt;=6)*('CASE MASTER'!$AD$2:$AD$495&gt;=6))*ROW('CASE MASTER'!$T$2:$T$495))-(ROW('CASE MASTER'!#REF!)-1))))*(INDEX('CASE MASTER'!$AD$2:$AD$495,(SUMPRODUCT((('CASE MASTER'!$T$2:$T$495=14)*('CASE MASTER'!$AA$2:$AA$495&lt;=2)*('CASE MASTER'!$AC$2:$AC$495&gt;=2)*('CASE MASTER'!$AB$2:$AB$495&lt;=6)*('CASE MASTER'!$AD$2:$AD$495&gt;=6))*ROW('CASE MASTER'!$T$2:$T$495))-(ROW('CASE MASTER'!#REF!)-1)))-INDEX('CASE MASTER'!$AB$2:$AB$495,(SUMPRODUCT((('CASE MASTER'!$T$2:$T$495=14)*('CASE MASTER'!$AA$2:$AA$495&lt;=2)*('CASE MASTER'!$AC$2:$AC$495&gt;=2)*('CASE MASTER'!$AB$2:$AB$495&lt;=6)*('CASE MASTER'!$AD$2:$AD$495&gt;=6))*ROW('CASE MASTER'!$T$2:$T$495))-(ROW('CASE MASTER'!#REF!)-1)))+1)+(6-INDEX('CASE MASTER'!$AB$2:$AB$495,(SUMPRODUCT((('CASE MASTER'!$T$2:$T$495=14)*('CASE MASTER'!$AA$2:$AA$495&lt;=2)*('CASE MASTER'!$AC$2:$AC$495&gt;=2)*('CASE MASTER'!$AB$2:$AB$495&lt;=6)*('CASE MASTER'!$AD$2:$AD$495&gt;=6))*ROW('CASE MASTER'!$T$2:$T$495))-(ROW('CASE MASTER'!#REF!)-1))))+1)))-1)*50+1,50))&amp;"_"&amp;INDEX('CASE MASTER'!$Q$2:$Q$495,(SUMPRODUCT((('CASE MASTER'!$T$2:$T$495=14)*('CASE MASTER'!$AA$2:$AA$495&lt;=2)*('CASE MASTER'!$AC$2:$AC$495&gt;=2)*('CASE MASTER'!$AB$2:$AB$495&lt;=6)*('CASE MASTER'!$AD$2:$AD$495&gt;=6))*ROW('CASE MASTER'!$T$2:$T$495))-(ROW('CASE MASTER'!#REF!)-1))),"")),"")</f>
        <v/>
      </c>
      <c r="H186" s="10" t="str">
        <f>IFERROR(IF(SUMPRODUCT((('CASE MASTER'!$T$2:$T$495=14)*('CASE MASTER'!$U$2:$U$495&lt;=2)*('CASE MASTER'!$W$2:$W$495&gt;=2)*('CASE MASTER'!$V$2:$V$495&lt;=7)*('CASE MASTER'!$X$2:$X$495&gt;=7))*ROW('CASE MASTER'!$T$2:$T$495))&gt;0,INDEX('CASE MASTER'!$Y$2:$Y$495,(SUMPRODUCT((('CASE MASTER'!$T$2:$T$495=14)*('CASE MASTER'!$U$2:$U$495&lt;=2)*('CASE MASTER'!$W$2:$W$495&gt;=2)*('CASE MASTER'!$V$2:$V$495&lt;=7)*('CASE MASTER'!$X$2:$X$495&gt;=7))*ROW('CASE MASTER'!$T$2:$T$495))-(ROW('CASE MASTER'!#REF!)-1)))&amp;TRIM(MID(SUBSTITUTE(SUBSTITUTE(INDEX('CASE MASTER'!$N$2:$N$495,(SUMPRODUCT((('CASE MASTER'!$T$2:$T$495=14)*('CASE MASTER'!$U$2:$U$495&lt;=2)*('CASE MASTER'!$W$2:$W$495&gt;=2)*('CASE MASTER'!$V$2:$V$495&lt;=7)*('CASE MASTER'!$X$2:$X$495&gt;=7))*ROW('CASE MASTER'!$T$2:$T$495))-(ROW('CASE MASTER'!#REF!)-1))),":",","),",",REPT(" ",50)),((((2-INDEX('CASE MASTER'!$U$2:$U$495,(SUMPRODUCT((('CASE MASTER'!$T$2:$T$495=14)*('CASE MASTER'!$U$2:$U$495&lt;=2)*('CASE MASTER'!$W$2:$W$495&gt;=2)*('CASE MASTER'!$V$2:$V$495&lt;=7)*('CASE MASTER'!$X$2:$X$495&gt;=7))*ROW('CASE MASTER'!$T$2:$T$495))-(ROW('CASE MASTER'!#REF!)-1))))*(INDEX('CASE MASTER'!$X$2:$X$495,(SUMPRODUCT((('CASE MASTER'!$T$2:$T$495=14)*('CASE MASTER'!$U$2:$U$495&lt;=2)*('CASE MASTER'!$W$2:$W$495&gt;=2)*('CASE MASTER'!$V$2:$V$495&lt;=7)*('CASE MASTER'!$X$2:$X$495&gt;=7))*ROW('CASE MASTER'!$T$2:$T$495))-(ROW('CASE MASTER'!#REF!)-1)))-INDEX('CASE MASTER'!$V$2:$V$495,(SUMPRODUCT((('CASE MASTER'!$T$2:$T$495=14)*('CASE MASTER'!$U$2:$U$495&lt;=2)*('CASE MASTER'!$W$2:$W$495&gt;=2)*('CASE MASTER'!$V$2:$V$495&lt;=7)*('CASE MASTER'!$X$2:$X$495&gt;=7))*ROW('CASE MASTER'!$T$2:$T$495))-(ROW('CASE MASTER'!#REF!)-1)))+1)+(7-INDEX('CASE MASTER'!$V$2:$V$495,(SUMPRODUCT((('CASE MASTER'!$T$2:$T$495=14)*('CASE MASTER'!$U$2:$U$495&lt;=2)*('CASE MASTER'!$W$2:$W$495&gt;=2)*('CASE MASTER'!$V$2:$V$495&lt;=7)*('CASE MASTER'!$X$2:$X$495&gt;=7))*ROW('CASE MASTER'!$T$2:$T$495))-(ROW('CASE MASTER'!#REF!)-1))))+1))-1)*50+1,50))&amp;"_"&amp;INDEX('CASE MASTER'!$Q$2:$Q$495,(SUMPRODUCT((('CASE MASTER'!$T$2:$T$495=14)*('CASE MASTER'!$U$2:$U$495&lt;=2)*('CASE MASTER'!$W$2:$W$495&gt;=2)*('CASE MASTER'!$V$2:$V$495&lt;=7)*('CASE MASTER'!$X$2:$X$495&gt;=7))*ROW('CASE MASTER'!$T$2:$T$495))-(ROW('CASE MASTER'!#REF!)-1))),IF(SUMPRODUCT((('CASE MASTER'!$T$2:$T$495=14)*('CASE MASTER'!$AA$2:$AA$495&lt;=2)*('CASE MASTER'!$AC$2:$AC$495&gt;=2)*('CASE MASTER'!$AB$2:$AB$495&lt;=7)*('CASE MASTER'!$AD$2:$AD$495&gt;=7))*ROW('CASE MASTER'!$T$2:$T$495))&gt;0,INDEX('CASE MASTER'!$Y$2:$Y$495,(SUMPRODUCT((('CASE MASTER'!$T$2:$T$495=14)*('CASE MASTER'!$AA$2:$AA$495&lt;=2)*('CASE MASTER'!$AC$2:$AC$495&gt;=2)*('CASE MASTER'!$AB$2:$AB$495&lt;=7)*('CASE MASTER'!$AD$2:$AD$495&gt;=7))*ROW('CASE MASTER'!$T$2:$T$495))-(ROW('CASE MASTER'!#REF!)-1)))&amp;TRIM(MID(SUBSTITUTE(SUBSTITUTE(INDEX('CASE MASTER'!$N$2:$N$495,(SUMPRODUCT((('CASE MASTER'!$T$2:$T$495=14)*('CASE MASTER'!$AA$2:$AA$495&lt;=2)*('CASE MASTER'!$AC$2:$AC$495&gt;=2)*('CASE MASTER'!$AB$2:$AB$495&lt;=7)*('CASE MASTER'!$AD$2:$AD$495&gt;=7))*ROW('CASE MASTER'!$T$2:$T$495))-(ROW('CASE MASTER'!#REF!)-1))),":",","),",",REPT(" ",50)),(((INDEX('CASE MASTER'!$Z$2:$Z$495,(SUMPRODUCT((('CASE MASTER'!$T$2:$T$495=14)*('CASE MASTER'!$AA$2:$AA$495&lt;=2)*('CASE MASTER'!$AC$2:$AC$495&gt;=2)*('CASE MASTER'!$AB$2:$AB$495&lt;=7)*('CASE MASTER'!$AD$2:$AD$495&gt;=7))*ROW('CASE MASTER'!$T$2:$T$495))-(ROW('CASE MASTER'!#REF!)-1)))+((2-INDEX('CASE MASTER'!$AA$2:$AA$495,(SUMPRODUCT((('CASE MASTER'!$T$2:$T$495=14)*('CASE MASTER'!$AA$2:$AA$495&lt;=2)*('CASE MASTER'!$AC$2:$AC$495&gt;=2)*('CASE MASTER'!$AB$2:$AB$495&lt;=7)*('CASE MASTER'!$AD$2:$AD$495&gt;=7))*ROW('CASE MASTER'!$T$2:$T$495))-(ROW('CASE MASTER'!#REF!)-1))))*(INDEX('CASE MASTER'!$AD$2:$AD$495,(SUMPRODUCT((('CASE MASTER'!$T$2:$T$495=14)*('CASE MASTER'!$AA$2:$AA$495&lt;=2)*('CASE MASTER'!$AC$2:$AC$495&gt;=2)*('CASE MASTER'!$AB$2:$AB$495&lt;=7)*('CASE MASTER'!$AD$2:$AD$495&gt;=7))*ROW('CASE MASTER'!$T$2:$T$495))-(ROW('CASE MASTER'!#REF!)-1)))-INDEX('CASE MASTER'!$AB$2:$AB$495,(SUMPRODUCT((('CASE MASTER'!$T$2:$T$495=14)*('CASE MASTER'!$AA$2:$AA$495&lt;=2)*('CASE MASTER'!$AC$2:$AC$495&gt;=2)*('CASE MASTER'!$AB$2:$AB$495&lt;=7)*('CASE MASTER'!$AD$2:$AD$495&gt;=7))*ROW('CASE MASTER'!$T$2:$T$495))-(ROW('CASE MASTER'!#REF!)-1)))+1)+(7-INDEX('CASE MASTER'!$AB$2:$AB$495,(SUMPRODUCT((('CASE MASTER'!$T$2:$T$495=14)*('CASE MASTER'!$AA$2:$AA$495&lt;=2)*('CASE MASTER'!$AC$2:$AC$495&gt;=2)*('CASE MASTER'!$AB$2:$AB$495&lt;=7)*('CASE MASTER'!$AD$2:$AD$495&gt;=7))*ROW('CASE MASTER'!$T$2:$T$495))-(ROW('CASE MASTER'!#REF!)-1))))+1)))-1)*50+1,50))&amp;"_"&amp;INDEX('CASE MASTER'!$Q$2:$Q$495,(SUMPRODUCT((('CASE MASTER'!$T$2:$T$495=14)*('CASE MASTER'!$AA$2:$AA$495&lt;=2)*('CASE MASTER'!$AC$2:$AC$495&gt;=2)*('CASE MASTER'!$AB$2:$AB$495&lt;=7)*('CASE MASTER'!$AD$2:$AD$495&gt;=7))*ROW('CASE MASTER'!$T$2:$T$495))-(ROW('CASE MASTER'!#REF!)-1))),"")),"")</f>
        <v/>
      </c>
      <c r="I186" s="10" t="str">
        <f>IFERROR(IF(SUMPRODUCT((('CASE MASTER'!$T$2:$T$495=14)*('CASE MASTER'!$U$2:$U$495&lt;=2)*('CASE MASTER'!$W$2:$W$495&gt;=2)*('CASE MASTER'!$V$2:$V$495&lt;=8)*('CASE MASTER'!$X$2:$X$495&gt;=8))*ROW('CASE MASTER'!$T$2:$T$495))&gt;0,INDEX('CASE MASTER'!$Y$2:$Y$495,(SUMPRODUCT((('CASE MASTER'!$T$2:$T$495=14)*('CASE MASTER'!$U$2:$U$495&lt;=2)*('CASE MASTER'!$W$2:$W$495&gt;=2)*('CASE MASTER'!$V$2:$V$495&lt;=8)*('CASE MASTER'!$X$2:$X$495&gt;=8))*ROW('CASE MASTER'!$T$2:$T$495))-(ROW('CASE MASTER'!#REF!)-1)))&amp;TRIM(MID(SUBSTITUTE(SUBSTITUTE(INDEX('CASE MASTER'!$N$2:$N$495,(SUMPRODUCT((('CASE MASTER'!$T$2:$T$495=14)*('CASE MASTER'!$U$2:$U$495&lt;=2)*('CASE MASTER'!$W$2:$W$495&gt;=2)*('CASE MASTER'!$V$2:$V$495&lt;=8)*('CASE MASTER'!$X$2:$X$495&gt;=8))*ROW('CASE MASTER'!$T$2:$T$495))-(ROW('CASE MASTER'!#REF!)-1))),":",","),",",REPT(" ",50)),((((2-INDEX('CASE MASTER'!$U$2:$U$495,(SUMPRODUCT((('CASE MASTER'!$T$2:$T$495=14)*('CASE MASTER'!$U$2:$U$495&lt;=2)*('CASE MASTER'!$W$2:$W$495&gt;=2)*('CASE MASTER'!$V$2:$V$495&lt;=8)*('CASE MASTER'!$X$2:$X$495&gt;=8))*ROW('CASE MASTER'!$T$2:$T$495))-(ROW('CASE MASTER'!#REF!)-1))))*(INDEX('CASE MASTER'!$X$2:$X$495,(SUMPRODUCT((('CASE MASTER'!$T$2:$T$495=14)*('CASE MASTER'!$U$2:$U$495&lt;=2)*('CASE MASTER'!$W$2:$W$495&gt;=2)*('CASE MASTER'!$V$2:$V$495&lt;=8)*('CASE MASTER'!$X$2:$X$495&gt;=8))*ROW('CASE MASTER'!$T$2:$T$495))-(ROW('CASE MASTER'!#REF!)-1)))-INDEX('CASE MASTER'!$V$2:$V$495,(SUMPRODUCT((('CASE MASTER'!$T$2:$T$495=14)*('CASE MASTER'!$U$2:$U$495&lt;=2)*('CASE MASTER'!$W$2:$W$495&gt;=2)*('CASE MASTER'!$V$2:$V$495&lt;=8)*('CASE MASTER'!$X$2:$X$495&gt;=8))*ROW('CASE MASTER'!$T$2:$T$495))-(ROW('CASE MASTER'!#REF!)-1)))+1)+(8-INDEX('CASE MASTER'!$V$2:$V$495,(SUMPRODUCT((('CASE MASTER'!$T$2:$T$495=14)*('CASE MASTER'!$U$2:$U$495&lt;=2)*('CASE MASTER'!$W$2:$W$495&gt;=2)*('CASE MASTER'!$V$2:$V$495&lt;=8)*('CASE MASTER'!$X$2:$X$495&gt;=8))*ROW('CASE MASTER'!$T$2:$T$495))-(ROW('CASE MASTER'!#REF!)-1))))+1))-1)*50+1,50))&amp;"_"&amp;INDEX('CASE MASTER'!$Q$2:$Q$495,(SUMPRODUCT((('CASE MASTER'!$T$2:$T$495=14)*('CASE MASTER'!$U$2:$U$495&lt;=2)*('CASE MASTER'!$W$2:$W$495&gt;=2)*('CASE MASTER'!$V$2:$V$495&lt;=8)*('CASE MASTER'!$X$2:$X$495&gt;=8))*ROW('CASE MASTER'!$T$2:$T$495))-(ROW('CASE MASTER'!#REF!)-1))),IF(SUMPRODUCT((('CASE MASTER'!$T$2:$T$495=14)*('CASE MASTER'!$AA$2:$AA$495&lt;=2)*('CASE MASTER'!$AC$2:$AC$495&gt;=2)*('CASE MASTER'!$AB$2:$AB$495&lt;=8)*('CASE MASTER'!$AD$2:$AD$495&gt;=8))*ROW('CASE MASTER'!$T$2:$T$495))&gt;0,INDEX('CASE MASTER'!$Y$2:$Y$495,(SUMPRODUCT((('CASE MASTER'!$T$2:$T$495=14)*('CASE MASTER'!$AA$2:$AA$495&lt;=2)*('CASE MASTER'!$AC$2:$AC$495&gt;=2)*('CASE MASTER'!$AB$2:$AB$495&lt;=8)*('CASE MASTER'!$AD$2:$AD$495&gt;=8))*ROW('CASE MASTER'!$T$2:$T$495))-(ROW('CASE MASTER'!#REF!)-1)))&amp;TRIM(MID(SUBSTITUTE(SUBSTITUTE(INDEX('CASE MASTER'!$N$2:$N$495,(SUMPRODUCT((('CASE MASTER'!$T$2:$T$495=14)*('CASE MASTER'!$AA$2:$AA$495&lt;=2)*('CASE MASTER'!$AC$2:$AC$495&gt;=2)*('CASE MASTER'!$AB$2:$AB$495&lt;=8)*('CASE MASTER'!$AD$2:$AD$495&gt;=8))*ROW('CASE MASTER'!$T$2:$T$495))-(ROW('CASE MASTER'!#REF!)-1))),":",","),",",REPT(" ",50)),(((INDEX('CASE MASTER'!$Z$2:$Z$495,(SUMPRODUCT((('CASE MASTER'!$T$2:$T$495=14)*('CASE MASTER'!$AA$2:$AA$495&lt;=2)*('CASE MASTER'!$AC$2:$AC$495&gt;=2)*('CASE MASTER'!$AB$2:$AB$495&lt;=8)*('CASE MASTER'!$AD$2:$AD$495&gt;=8))*ROW('CASE MASTER'!$T$2:$T$495))-(ROW('CASE MASTER'!#REF!)-1)))+((2-INDEX('CASE MASTER'!$AA$2:$AA$495,(SUMPRODUCT((('CASE MASTER'!$T$2:$T$495=14)*('CASE MASTER'!$AA$2:$AA$495&lt;=2)*('CASE MASTER'!$AC$2:$AC$495&gt;=2)*('CASE MASTER'!$AB$2:$AB$495&lt;=8)*('CASE MASTER'!$AD$2:$AD$495&gt;=8))*ROW('CASE MASTER'!$T$2:$T$495))-(ROW('CASE MASTER'!#REF!)-1))))*(INDEX('CASE MASTER'!$AD$2:$AD$495,(SUMPRODUCT((('CASE MASTER'!$T$2:$T$495=14)*('CASE MASTER'!$AA$2:$AA$495&lt;=2)*('CASE MASTER'!$AC$2:$AC$495&gt;=2)*('CASE MASTER'!$AB$2:$AB$495&lt;=8)*('CASE MASTER'!$AD$2:$AD$495&gt;=8))*ROW('CASE MASTER'!$T$2:$T$495))-(ROW('CASE MASTER'!#REF!)-1)))-INDEX('CASE MASTER'!$AB$2:$AB$495,(SUMPRODUCT((('CASE MASTER'!$T$2:$T$495=14)*('CASE MASTER'!$AA$2:$AA$495&lt;=2)*('CASE MASTER'!$AC$2:$AC$495&gt;=2)*('CASE MASTER'!$AB$2:$AB$495&lt;=8)*('CASE MASTER'!$AD$2:$AD$495&gt;=8))*ROW('CASE MASTER'!$T$2:$T$495))-(ROW('CASE MASTER'!#REF!)-1)))+1)+(8-INDEX('CASE MASTER'!$AB$2:$AB$495,(SUMPRODUCT((('CASE MASTER'!$T$2:$T$495=14)*('CASE MASTER'!$AA$2:$AA$495&lt;=2)*('CASE MASTER'!$AC$2:$AC$495&gt;=2)*('CASE MASTER'!$AB$2:$AB$495&lt;=8)*('CASE MASTER'!$AD$2:$AD$495&gt;=8))*ROW('CASE MASTER'!$T$2:$T$495))-(ROW('CASE MASTER'!#REF!)-1))))+1)))-1)*50+1,50))&amp;"_"&amp;INDEX('CASE MASTER'!$Q$2:$Q$495,(SUMPRODUCT((('CASE MASTER'!$T$2:$T$495=14)*('CASE MASTER'!$AA$2:$AA$495&lt;=2)*('CASE MASTER'!$AC$2:$AC$495&gt;=2)*('CASE MASTER'!$AB$2:$AB$495&lt;=8)*('CASE MASTER'!$AD$2:$AD$495&gt;=8))*ROW('CASE MASTER'!$T$2:$T$495))-(ROW('CASE MASTER'!#REF!)-1))),"")),"")</f>
        <v/>
      </c>
      <c r="J186" s="10" t="str">
        <f>IFERROR(IF(SUMPRODUCT((('CASE MASTER'!$T$2:$T$495=14)*('CASE MASTER'!$U$2:$U$495&lt;=2)*('CASE MASTER'!$W$2:$W$495&gt;=2)*('CASE MASTER'!$V$2:$V$495&lt;=9)*('CASE MASTER'!$X$2:$X$495&gt;=9))*ROW('CASE MASTER'!$T$2:$T$495))&gt;0,INDEX('CASE MASTER'!$Y$2:$Y$495,(SUMPRODUCT((('CASE MASTER'!$T$2:$T$495=14)*('CASE MASTER'!$U$2:$U$495&lt;=2)*('CASE MASTER'!$W$2:$W$495&gt;=2)*('CASE MASTER'!$V$2:$V$495&lt;=9)*('CASE MASTER'!$X$2:$X$495&gt;=9))*ROW('CASE MASTER'!$T$2:$T$495))-(ROW('CASE MASTER'!#REF!)-1)))&amp;TRIM(MID(SUBSTITUTE(SUBSTITUTE(INDEX('CASE MASTER'!$N$2:$N$495,(SUMPRODUCT((('CASE MASTER'!$T$2:$T$495=14)*('CASE MASTER'!$U$2:$U$495&lt;=2)*('CASE MASTER'!$W$2:$W$495&gt;=2)*('CASE MASTER'!$V$2:$V$495&lt;=9)*('CASE MASTER'!$X$2:$X$495&gt;=9))*ROW('CASE MASTER'!$T$2:$T$495))-(ROW('CASE MASTER'!#REF!)-1))),":",","),",",REPT(" ",50)),((((2-INDEX('CASE MASTER'!$U$2:$U$495,(SUMPRODUCT((('CASE MASTER'!$T$2:$T$495=14)*('CASE MASTER'!$U$2:$U$495&lt;=2)*('CASE MASTER'!$W$2:$W$495&gt;=2)*('CASE MASTER'!$V$2:$V$495&lt;=9)*('CASE MASTER'!$X$2:$X$495&gt;=9))*ROW('CASE MASTER'!$T$2:$T$495))-(ROW('CASE MASTER'!#REF!)-1))))*(INDEX('CASE MASTER'!$X$2:$X$495,(SUMPRODUCT((('CASE MASTER'!$T$2:$T$495=14)*('CASE MASTER'!$U$2:$U$495&lt;=2)*('CASE MASTER'!$W$2:$W$495&gt;=2)*('CASE MASTER'!$V$2:$V$495&lt;=9)*('CASE MASTER'!$X$2:$X$495&gt;=9))*ROW('CASE MASTER'!$T$2:$T$495))-(ROW('CASE MASTER'!#REF!)-1)))-INDEX('CASE MASTER'!$V$2:$V$495,(SUMPRODUCT((('CASE MASTER'!$T$2:$T$495=14)*('CASE MASTER'!$U$2:$U$495&lt;=2)*('CASE MASTER'!$W$2:$W$495&gt;=2)*('CASE MASTER'!$V$2:$V$495&lt;=9)*('CASE MASTER'!$X$2:$X$495&gt;=9))*ROW('CASE MASTER'!$T$2:$T$495))-(ROW('CASE MASTER'!#REF!)-1)))+1)+(9-INDEX('CASE MASTER'!$V$2:$V$495,(SUMPRODUCT((('CASE MASTER'!$T$2:$T$495=14)*('CASE MASTER'!$U$2:$U$495&lt;=2)*('CASE MASTER'!$W$2:$W$495&gt;=2)*('CASE MASTER'!$V$2:$V$495&lt;=9)*('CASE MASTER'!$X$2:$X$495&gt;=9))*ROW('CASE MASTER'!$T$2:$T$495))-(ROW('CASE MASTER'!#REF!)-1))))+1))-1)*50+1,50))&amp;"_"&amp;INDEX('CASE MASTER'!$Q$2:$Q$495,(SUMPRODUCT((('CASE MASTER'!$T$2:$T$495=14)*('CASE MASTER'!$U$2:$U$495&lt;=2)*('CASE MASTER'!$W$2:$W$495&gt;=2)*('CASE MASTER'!$V$2:$V$495&lt;=9)*('CASE MASTER'!$X$2:$X$495&gt;=9))*ROW('CASE MASTER'!$T$2:$T$495))-(ROW('CASE MASTER'!#REF!)-1))),IF(SUMPRODUCT((('CASE MASTER'!$T$2:$T$495=14)*('CASE MASTER'!$AA$2:$AA$495&lt;=2)*('CASE MASTER'!$AC$2:$AC$495&gt;=2)*('CASE MASTER'!$AB$2:$AB$495&lt;=9)*('CASE MASTER'!$AD$2:$AD$495&gt;=9))*ROW('CASE MASTER'!$T$2:$T$495))&gt;0,INDEX('CASE MASTER'!$Y$2:$Y$495,(SUMPRODUCT((('CASE MASTER'!$T$2:$T$495=14)*('CASE MASTER'!$AA$2:$AA$495&lt;=2)*('CASE MASTER'!$AC$2:$AC$495&gt;=2)*('CASE MASTER'!$AB$2:$AB$495&lt;=9)*('CASE MASTER'!$AD$2:$AD$495&gt;=9))*ROW('CASE MASTER'!$T$2:$T$495))-(ROW('CASE MASTER'!#REF!)-1)))&amp;TRIM(MID(SUBSTITUTE(SUBSTITUTE(INDEX('CASE MASTER'!$N$2:$N$495,(SUMPRODUCT((('CASE MASTER'!$T$2:$T$495=14)*('CASE MASTER'!$AA$2:$AA$495&lt;=2)*('CASE MASTER'!$AC$2:$AC$495&gt;=2)*('CASE MASTER'!$AB$2:$AB$495&lt;=9)*('CASE MASTER'!$AD$2:$AD$495&gt;=9))*ROW('CASE MASTER'!$T$2:$T$495))-(ROW('CASE MASTER'!#REF!)-1))),":",","),",",REPT(" ",50)),(((INDEX('CASE MASTER'!$Z$2:$Z$495,(SUMPRODUCT((('CASE MASTER'!$T$2:$T$495=14)*('CASE MASTER'!$AA$2:$AA$495&lt;=2)*('CASE MASTER'!$AC$2:$AC$495&gt;=2)*('CASE MASTER'!$AB$2:$AB$495&lt;=9)*('CASE MASTER'!$AD$2:$AD$495&gt;=9))*ROW('CASE MASTER'!$T$2:$T$495))-(ROW('CASE MASTER'!#REF!)-1)))+((2-INDEX('CASE MASTER'!$AA$2:$AA$495,(SUMPRODUCT((('CASE MASTER'!$T$2:$T$495=14)*('CASE MASTER'!$AA$2:$AA$495&lt;=2)*('CASE MASTER'!$AC$2:$AC$495&gt;=2)*('CASE MASTER'!$AB$2:$AB$495&lt;=9)*('CASE MASTER'!$AD$2:$AD$495&gt;=9))*ROW('CASE MASTER'!$T$2:$T$495))-(ROW('CASE MASTER'!#REF!)-1))))*(INDEX('CASE MASTER'!$AD$2:$AD$495,(SUMPRODUCT((('CASE MASTER'!$T$2:$T$495=14)*('CASE MASTER'!$AA$2:$AA$495&lt;=2)*('CASE MASTER'!$AC$2:$AC$495&gt;=2)*('CASE MASTER'!$AB$2:$AB$495&lt;=9)*('CASE MASTER'!$AD$2:$AD$495&gt;=9))*ROW('CASE MASTER'!$T$2:$T$495))-(ROW('CASE MASTER'!#REF!)-1)))-INDEX('CASE MASTER'!$AB$2:$AB$495,(SUMPRODUCT((('CASE MASTER'!$T$2:$T$495=14)*('CASE MASTER'!$AA$2:$AA$495&lt;=2)*('CASE MASTER'!$AC$2:$AC$495&gt;=2)*('CASE MASTER'!$AB$2:$AB$495&lt;=9)*('CASE MASTER'!$AD$2:$AD$495&gt;=9))*ROW('CASE MASTER'!$T$2:$T$495))-(ROW('CASE MASTER'!#REF!)-1)))+1)+(9-INDEX('CASE MASTER'!$AB$2:$AB$495,(SUMPRODUCT((('CASE MASTER'!$T$2:$T$495=14)*('CASE MASTER'!$AA$2:$AA$495&lt;=2)*('CASE MASTER'!$AC$2:$AC$495&gt;=2)*('CASE MASTER'!$AB$2:$AB$495&lt;=9)*('CASE MASTER'!$AD$2:$AD$495&gt;=9))*ROW('CASE MASTER'!$T$2:$T$495))-(ROW('CASE MASTER'!#REF!)-1))))+1)))-1)*50+1,50))&amp;"_"&amp;INDEX('CASE MASTER'!$Q$2:$Q$495,(SUMPRODUCT((('CASE MASTER'!$T$2:$T$495=14)*('CASE MASTER'!$AA$2:$AA$495&lt;=2)*('CASE MASTER'!$AC$2:$AC$495&gt;=2)*('CASE MASTER'!$AB$2:$AB$495&lt;=9)*('CASE MASTER'!$AD$2:$AD$495&gt;=9))*ROW('CASE MASTER'!$T$2:$T$495))-(ROW('CASE MASTER'!#REF!)-1))),"")),"")</f>
        <v/>
      </c>
      <c r="K186" s="10" t="str">
        <f>IFERROR(IF(SUMPRODUCT((('CASE MASTER'!$T$2:$T$495=14)*('CASE MASTER'!$U$2:$U$495&lt;=2)*('CASE MASTER'!$W$2:$W$495&gt;=2)*('CASE MASTER'!$V$2:$V$495&lt;=10)*('CASE MASTER'!$X$2:$X$495&gt;=10))*ROW('CASE MASTER'!$T$2:$T$495))&gt;0,INDEX('CASE MASTER'!$Y$2:$Y$495,(SUMPRODUCT((('CASE MASTER'!$T$2:$T$495=14)*('CASE MASTER'!$U$2:$U$495&lt;=2)*('CASE MASTER'!$W$2:$W$495&gt;=2)*('CASE MASTER'!$V$2:$V$495&lt;=10)*('CASE MASTER'!$X$2:$X$495&gt;=10))*ROW('CASE MASTER'!$T$2:$T$495))-(ROW('CASE MASTER'!#REF!)-1)))&amp;TRIM(MID(SUBSTITUTE(SUBSTITUTE(INDEX('CASE MASTER'!$N$2:$N$495,(SUMPRODUCT((('CASE MASTER'!$T$2:$T$495=14)*('CASE MASTER'!$U$2:$U$495&lt;=2)*('CASE MASTER'!$W$2:$W$495&gt;=2)*('CASE MASTER'!$V$2:$V$495&lt;=10)*('CASE MASTER'!$X$2:$X$495&gt;=10))*ROW('CASE MASTER'!$T$2:$T$495))-(ROW('CASE MASTER'!#REF!)-1))),":",","),",",REPT(" ",50)),((((2-INDEX('CASE MASTER'!$U$2:$U$495,(SUMPRODUCT((('CASE MASTER'!$T$2:$T$495=14)*('CASE MASTER'!$U$2:$U$495&lt;=2)*('CASE MASTER'!$W$2:$W$495&gt;=2)*('CASE MASTER'!$V$2:$V$495&lt;=10)*('CASE MASTER'!$X$2:$X$495&gt;=10))*ROW('CASE MASTER'!$T$2:$T$495))-(ROW('CASE MASTER'!#REF!)-1))))*(INDEX('CASE MASTER'!$X$2:$X$495,(SUMPRODUCT((('CASE MASTER'!$T$2:$T$495=14)*('CASE MASTER'!$U$2:$U$495&lt;=2)*('CASE MASTER'!$W$2:$W$495&gt;=2)*('CASE MASTER'!$V$2:$V$495&lt;=10)*('CASE MASTER'!$X$2:$X$495&gt;=10))*ROW('CASE MASTER'!$T$2:$T$495))-(ROW('CASE MASTER'!#REF!)-1)))-INDEX('CASE MASTER'!$V$2:$V$495,(SUMPRODUCT((('CASE MASTER'!$T$2:$T$495=14)*('CASE MASTER'!$U$2:$U$495&lt;=2)*('CASE MASTER'!$W$2:$W$495&gt;=2)*('CASE MASTER'!$V$2:$V$495&lt;=10)*('CASE MASTER'!$X$2:$X$495&gt;=10))*ROW('CASE MASTER'!$T$2:$T$495))-(ROW('CASE MASTER'!#REF!)-1)))+1)+(10-INDEX('CASE MASTER'!$V$2:$V$495,(SUMPRODUCT((('CASE MASTER'!$T$2:$T$495=14)*('CASE MASTER'!$U$2:$U$495&lt;=2)*('CASE MASTER'!$W$2:$W$495&gt;=2)*('CASE MASTER'!$V$2:$V$495&lt;=10)*('CASE MASTER'!$X$2:$X$495&gt;=10))*ROW('CASE MASTER'!$T$2:$T$495))-(ROW('CASE MASTER'!#REF!)-1))))+1))-1)*50+1,50))&amp;"_"&amp;INDEX('CASE MASTER'!$Q$2:$Q$495,(SUMPRODUCT((('CASE MASTER'!$T$2:$T$495=14)*('CASE MASTER'!$U$2:$U$495&lt;=2)*('CASE MASTER'!$W$2:$W$495&gt;=2)*('CASE MASTER'!$V$2:$V$495&lt;=10)*('CASE MASTER'!$X$2:$X$495&gt;=10))*ROW('CASE MASTER'!$T$2:$T$495))-(ROW('CASE MASTER'!#REF!)-1))),IF(SUMPRODUCT((('CASE MASTER'!$T$2:$T$495=14)*('CASE MASTER'!$AA$2:$AA$495&lt;=2)*('CASE MASTER'!$AC$2:$AC$495&gt;=2)*('CASE MASTER'!$AB$2:$AB$495&lt;=10)*('CASE MASTER'!$AD$2:$AD$495&gt;=10))*ROW('CASE MASTER'!$T$2:$T$495))&gt;0,INDEX('CASE MASTER'!$Y$2:$Y$495,(SUMPRODUCT((('CASE MASTER'!$T$2:$T$495=14)*('CASE MASTER'!$AA$2:$AA$495&lt;=2)*('CASE MASTER'!$AC$2:$AC$495&gt;=2)*('CASE MASTER'!$AB$2:$AB$495&lt;=10)*('CASE MASTER'!$AD$2:$AD$495&gt;=10))*ROW('CASE MASTER'!$T$2:$T$495))-(ROW('CASE MASTER'!#REF!)-1)))&amp;TRIM(MID(SUBSTITUTE(SUBSTITUTE(INDEX('CASE MASTER'!$N$2:$N$495,(SUMPRODUCT((('CASE MASTER'!$T$2:$T$495=14)*('CASE MASTER'!$AA$2:$AA$495&lt;=2)*('CASE MASTER'!$AC$2:$AC$495&gt;=2)*('CASE MASTER'!$AB$2:$AB$495&lt;=10)*('CASE MASTER'!$AD$2:$AD$495&gt;=10))*ROW('CASE MASTER'!$T$2:$T$495))-(ROW('CASE MASTER'!#REF!)-1))),":",","),",",REPT(" ",50)),(((INDEX('CASE MASTER'!$Z$2:$Z$495,(SUMPRODUCT((('CASE MASTER'!$T$2:$T$495=14)*('CASE MASTER'!$AA$2:$AA$495&lt;=2)*('CASE MASTER'!$AC$2:$AC$495&gt;=2)*('CASE MASTER'!$AB$2:$AB$495&lt;=10)*('CASE MASTER'!$AD$2:$AD$495&gt;=10))*ROW('CASE MASTER'!$T$2:$T$495))-(ROW('CASE MASTER'!#REF!)-1)))+((2-INDEX('CASE MASTER'!$AA$2:$AA$495,(SUMPRODUCT((('CASE MASTER'!$T$2:$T$495=14)*('CASE MASTER'!$AA$2:$AA$495&lt;=2)*('CASE MASTER'!$AC$2:$AC$495&gt;=2)*('CASE MASTER'!$AB$2:$AB$495&lt;=10)*('CASE MASTER'!$AD$2:$AD$495&gt;=10))*ROW('CASE MASTER'!$T$2:$T$495))-(ROW('CASE MASTER'!#REF!)-1))))*(INDEX('CASE MASTER'!$AD$2:$AD$495,(SUMPRODUCT((('CASE MASTER'!$T$2:$T$495=14)*('CASE MASTER'!$AA$2:$AA$495&lt;=2)*('CASE MASTER'!$AC$2:$AC$495&gt;=2)*('CASE MASTER'!$AB$2:$AB$495&lt;=10)*('CASE MASTER'!$AD$2:$AD$495&gt;=10))*ROW('CASE MASTER'!$T$2:$T$495))-(ROW('CASE MASTER'!#REF!)-1)))-INDEX('CASE MASTER'!$AB$2:$AB$495,(SUMPRODUCT((('CASE MASTER'!$T$2:$T$495=14)*('CASE MASTER'!$AA$2:$AA$495&lt;=2)*('CASE MASTER'!$AC$2:$AC$495&gt;=2)*('CASE MASTER'!$AB$2:$AB$495&lt;=10)*('CASE MASTER'!$AD$2:$AD$495&gt;=10))*ROW('CASE MASTER'!$T$2:$T$495))-(ROW('CASE MASTER'!#REF!)-1)))+1)+(10-INDEX('CASE MASTER'!$AB$2:$AB$495,(SUMPRODUCT((('CASE MASTER'!$T$2:$T$495=14)*('CASE MASTER'!$AA$2:$AA$495&lt;=2)*('CASE MASTER'!$AC$2:$AC$495&gt;=2)*('CASE MASTER'!$AB$2:$AB$495&lt;=10)*('CASE MASTER'!$AD$2:$AD$495&gt;=10))*ROW('CASE MASTER'!$T$2:$T$495))-(ROW('CASE MASTER'!#REF!)-1))))+1)))-1)*50+1,50))&amp;"_"&amp;INDEX('CASE MASTER'!$Q$2:$Q$495,(SUMPRODUCT((('CASE MASTER'!$T$2:$T$495=14)*('CASE MASTER'!$AA$2:$AA$495&lt;=2)*('CASE MASTER'!$AC$2:$AC$495&gt;=2)*('CASE MASTER'!$AB$2:$AB$495&lt;=10)*('CASE MASTER'!$AD$2:$AD$495&gt;=10))*ROW('CASE MASTER'!$T$2:$T$495))-(ROW('CASE MASTER'!#REF!)-1))),"")),"")</f>
        <v/>
      </c>
    </row>
    <row r="187" spans="1:11" ht="15" customHeight="1" x14ac:dyDescent="0.35">
      <c r="A187" s="8" t="s">
        <v>30</v>
      </c>
      <c r="B187" s="10" t="str">
        <f>IFERROR(IF(SUMPRODUCT((('CASE MASTER'!$T$2:$T$495=14)*('CASE MASTER'!$U$2:$U$495&lt;=3)*('CASE MASTER'!$W$2:$W$495&gt;=3)*('CASE MASTER'!$V$2:$V$495&lt;=1)*('CASE MASTER'!$X$2:$X$495&gt;=1))*ROW('CASE MASTER'!$T$2:$T$495))&gt;0,INDEX('CASE MASTER'!$Y$2:$Y$495,(SUMPRODUCT((('CASE MASTER'!$T$2:$T$495=14)*('CASE MASTER'!$U$2:$U$495&lt;=3)*('CASE MASTER'!$W$2:$W$495&gt;=3)*('CASE MASTER'!$V$2:$V$495&lt;=1)*('CASE MASTER'!$X$2:$X$495&gt;=1))*ROW('CASE MASTER'!$T$2:$T$495))-(ROW('CASE MASTER'!#REF!)-1)))&amp;TRIM(MID(SUBSTITUTE(SUBSTITUTE(INDEX('CASE MASTER'!$N$2:$N$495,(SUMPRODUCT((('CASE MASTER'!$T$2:$T$495=14)*('CASE MASTER'!$U$2:$U$495&lt;=3)*('CASE MASTER'!$W$2:$W$495&gt;=3)*('CASE MASTER'!$V$2:$V$495&lt;=1)*('CASE MASTER'!$X$2:$X$495&gt;=1))*ROW('CASE MASTER'!$T$2:$T$495))-(ROW('CASE MASTER'!#REF!)-1))),":",","),",",REPT(" ",50)),((((3-INDEX('CASE MASTER'!$U$2:$U$495,(SUMPRODUCT((('CASE MASTER'!$T$2:$T$495=14)*('CASE MASTER'!$U$2:$U$495&lt;=3)*('CASE MASTER'!$W$2:$W$495&gt;=3)*('CASE MASTER'!$V$2:$V$495&lt;=1)*('CASE MASTER'!$X$2:$X$495&gt;=1))*ROW('CASE MASTER'!$T$2:$T$495))-(ROW('CASE MASTER'!#REF!)-1))))*(INDEX('CASE MASTER'!$X$2:$X$495,(SUMPRODUCT((('CASE MASTER'!$T$2:$T$495=14)*('CASE MASTER'!$U$2:$U$495&lt;=3)*('CASE MASTER'!$W$2:$W$495&gt;=3)*('CASE MASTER'!$V$2:$V$495&lt;=1)*('CASE MASTER'!$X$2:$X$495&gt;=1))*ROW('CASE MASTER'!$T$2:$T$495))-(ROW('CASE MASTER'!#REF!)-1)))-INDEX('CASE MASTER'!$V$2:$V$495,(SUMPRODUCT((('CASE MASTER'!$T$2:$T$495=14)*('CASE MASTER'!$U$2:$U$495&lt;=3)*('CASE MASTER'!$W$2:$W$495&gt;=3)*('CASE MASTER'!$V$2:$V$495&lt;=1)*('CASE MASTER'!$X$2:$X$495&gt;=1))*ROW('CASE MASTER'!$T$2:$T$495))-(ROW('CASE MASTER'!#REF!)-1)))+1)+(1-INDEX('CASE MASTER'!$V$2:$V$495,(SUMPRODUCT((('CASE MASTER'!$T$2:$T$495=14)*('CASE MASTER'!$U$2:$U$495&lt;=3)*('CASE MASTER'!$W$2:$W$495&gt;=3)*('CASE MASTER'!$V$2:$V$495&lt;=1)*('CASE MASTER'!$X$2:$X$495&gt;=1))*ROW('CASE MASTER'!$T$2:$T$495))-(ROW('CASE MASTER'!#REF!)-1))))+1))-1)*50+1,50))&amp;"_"&amp;INDEX('CASE MASTER'!$Q$2:$Q$495,(SUMPRODUCT((('CASE MASTER'!$T$2:$T$495=14)*('CASE MASTER'!$U$2:$U$495&lt;=3)*('CASE MASTER'!$W$2:$W$495&gt;=3)*('CASE MASTER'!$V$2:$V$495&lt;=1)*('CASE MASTER'!$X$2:$X$495&gt;=1))*ROW('CASE MASTER'!$T$2:$T$495))-(ROW('CASE MASTER'!#REF!)-1))),IF(SUMPRODUCT((('CASE MASTER'!$T$2:$T$495=14)*('CASE MASTER'!$AA$2:$AA$495&lt;=3)*('CASE MASTER'!$AC$2:$AC$495&gt;=3)*('CASE MASTER'!$AB$2:$AB$495&lt;=1)*('CASE MASTER'!$AD$2:$AD$495&gt;=1))*ROW('CASE MASTER'!$T$2:$T$495))&gt;0,INDEX('CASE MASTER'!$Y$2:$Y$495,(SUMPRODUCT((('CASE MASTER'!$T$2:$T$495=14)*('CASE MASTER'!$AA$2:$AA$495&lt;=3)*('CASE MASTER'!$AC$2:$AC$495&gt;=3)*('CASE MASTER'!$AB$2:$AB$495&lt;=1)*('CASE MASTER'!$AD$2:$AD$495&gt;=1))*ROW('CASE MASTER'!$T$2:$T$495))-(ROW('CASE MASTER'!#REF!)-1)))&amp;TRIM(MID(SUBSTITUTE(SUBSTITUTE(INDEX('CASE MASTER'!$N$2:$N$495,(SUMPRODUCT((('CASE MASTER'!$T$2:$T$495=14)*('CASE MASTER'!$AA$2:$AA$495&lt;=3)*('CASE MASTER'!$AC$2:$AC$495&gt;=3)*('CASE MASTER'!$AB$2:$AB$495&lt;=1)*('CASE MASTER'!$AD$2:$AD$495&gt;=1))*ROW('CASE MASTER'!$T$2:$T$495))-(ROW('CASE MASTER'!#REF!)-1))),":",","),",",REPT(" ",50)),(((INDEX('CASE MASTER'!$Z$2:$Z$495,(SUMPRODUCT((('CASE MASTER'!$T$2:$T$495=14)*('CASE MASTER'!$AA$2:$AA$495&lt;=3)*('CASE MASTER'!$AC$2:$AC$495&gt;=3)*('CASE MASTER'!$AB$2:$AB$495&lt;=1)*('CASE MASTER'!$AD$2:$AD$495&gt;=1))*ROW('CASE MASTER'!$T$2:$T$495))-(ROW('CASE MASTER'!#REF!)-1)))+((3-INDEX('CASE MASTER'!$AA$2:$AA$495,(SUMPRODUCT((('CASE MASTER'!$T$2:$T$495=14)*('CASE MASTER'!$AA$2:$AA$495&lt;=3)*('CASE MASTER'!$AC$2:$AC$495&gt;=3)*('CASE MASTER'!$AB$2:$AB$495&lt;=1)*('CASE MASTER'!$AD$2:$AD$495&gt;=1))*ROW('CASE MASTER'!$T$2:$T$495))-(ROW('CASE MASTER'!#REF!)-1))))*(INDEX('CASE MASTER'!$AD$2:$AD$495,(SUMPRODUCT((('CASE MASTER'!$T$2:$T$495=14)*('CASE MASTER'!$AA$2:$AA$495&lt;=3)*('CASE MASTER'!$AC$2:$AC$495&gt;=3)*('CASE MASTER'!$AB$2:$AB$495&lt;=1)*('CASE MASTER'!$AD$2:$AD$495&gt;=1))*ROW('CASE MASTER'!$T$2:$T$495))-(ROW('CASE MASTER'!#REF!)-1)))-INDEX('CASE MASTER'!$AB$2:$AB$495,(SUMPRODUCT((('CASE MASTER'!$T$2:$T$495=14)*('CASE MASTER'!$AA$2:$AA$495&lt;=3)*('CASE MASTER'!$AC$2:$AC$495&gt;=3)*('CASE MASTER'!$AB$2:$AB$495&lt;=1)*('CASE MASTER'!$AD$2:$AD$495&gt;=1))*ROW('CASE MASTER'!$T$2:$T$495))-(ROW('CASE MASTER'!#REF!)-1)))+1)+(1-INDEX('CASE MASTER'!$AB$2:$AB$495,(SUMPRODUCT((('CASE MASTER'!$T$2:$T$495=14)*('CASE MASTER'!$AA$2:$AA$495&lt;=3)*('CASE MASTER'!$AC$2:$AC$495&gt;=3)*('CASE MASTER'!$AB$2:$AB$495&lt;=1)*('CASE MASTER'!$AD$2:$AD$495&gt;=1))*ROW('CASE MASTER'!$T$2:$T$495))-(ROW('CASE MASTER'!#REF!)-1))))+1)))-1)*50+1,50))&amp;"_"&amp;INDEX('CASE MASTER'!$Q$2:$Q$495,(SUMPRODUCT((('CASE MASTER'!$T$2:$T$495=14)*('CASE MASTER'!$AA$2:$AA$495&lt;=3)*('CASE MASTER'!$AC$2:$AC$495&gt;=3)*('CASE MASTER'!$AB$2:$AB$495&lt;=1)*('CASE MASTER'!$AD$2:$AD$495&gt;=1))*ROW('CASE MASTER'!$T$2:$T$495))-(ROW('CASE MASTER'!#REF!)-1))),"")),"")</f>
        <v/>
      </c>
      <c r="C187" s="10" t="str">
        <f>IFERROR(IF(SUMPRODUCT((('CASE MASTER'!$T$2:$T$495=14)*('CASE MASTER'!$U$2:$U$495&lt;=3)*('CASE MASTER'!$W$2:$W$495&gt;=3)*('CASE MASTER'!$V$2:$V$495&lt;=2)*('CASE MASTER'!$X$2:$X$495&gt;=2))*ROW('CASE MASTER'!$T$2:$T$495))&gt;0,INDEX('CASE MASTER'!$Y$2:$Y$495,(SUMPRODUCT((('CASE MASTER'!$T$2:$T$495=14)*('CASE MASTER'!$U$2:$U$495&lt;=3)*('CASE MASTER'!$W$2:$W$495&gt;=3)*('CASE MASTER'!$V$2:$V$495&lt;=2)*('CASE MASTER'!$X$2:$X$495&gt;=2))*ROW('CASE MASTER'!$T$2:$T$495))-(ROW('CASE MASTER'!#REF!)-1)))&amp;TRIM(MID(SUBSTITUTE(SUBSTITUTE(INDEX('CASE MASTER'!$N$2:$N$495,(SUMPRODUCT((('CASE MASTER'!$T$2:$T$495=14)*('CASE MASTER'!$U$2:$U$495&lt;=3)*('CASE MASTER'!$W$2:$W$495&gt;=3)*('CASE MASTER'!$V$2:$V$495&lt;=2)*('CASE MASTER'!$X$2:$X$495&gt;=2))*ROW('CASE MASTER'!$T$2:$T$495))-(ROW('CASE MASTER'!#REF!)-1))),":",","),",",REPT(" ",50)),((((3-INDEX('CASE MASTER'!$U$2:$U$495,(SUMPRODUCT((('CASE MASTER'!$T$2:$T$495=14)*('CASE MASTER'!$U$2:$U$495&lt;=3)*('CASE MASTER'!$W$2:$W$495&gt;=3)*('CASE MASTER'!$V$2:$V$495&lt;=2)*('CASE MASTER'!$X$2:$X$495&gt;=2))*ROW('CASE MASTER'!$T$2:$T$495))-(ROW('CASE MASTER'!#REF!)-1))))*(INDEX('CASE MASTER'!$X$2:$X$495,(SUMPRODUCT((('CASE MASTER'!$T$2:$T$495=14)*('CASE MASTER'!$U$2:$U$495&lt;=3)*('CASE MASTER'!$W$2:$W$495&gt;=3)*('CASE MASTER'!$V$2:$V$495&lt;=2)*('CASE MASTER'!$X$2:$X$495&gt;=2))*ROW('CASE MASTER'!$T$2:$T$495))-(ROW('CASE MASTER'!#REF!)-1)))-INDEX('CASE MASTER'!$V$2:$V$495,(SUMPRODUCT((('CASE MASTER'!$T$2:$T$495=14)*('CASE MASTER'!$U$2:$U$495&lt;=3)*('CASE MASTER'!$W$2:$W$495&gt;=3)*('CASE MASTER'!$V$2:$V$495&lt;=2)*('CASE MASTER'!$X$2:$X$495&gt;=2))*ROW('CASE MASTER'!$T$2:$T$495))-(ROW('CASE MASTER'!#REF!)-1)))+1)+(2-INDEX('CASE MASTER'!$V$2:$V$495,(SUMPRODUCT((('CASE MASTER'!$T$2:$T$495=14)*('CASE MASTER'!$U$2:$U$495&lt;=3)*('CASE MASTER'!$W$2:$W$495&gt;=3)*('CASE MASTER'!$V$2:$V$495&lt;=2)*('CASE MASTER'!$X$2:$X$495&gt;=2))*ROW('CASE MASTER'!$T$2:$T$495))-(ROW('CASE MASTER'!#REF!)-1))))+1))-1)*50+1,50))&amp;"_"&amp;INDEX('CASE MASTER'!$Q$2:$Q$495,(SUMPRODUCT((('CASE MASTER'!$T$2:$T$495=14)*('CASE MASTER'!$U$2:$U$495&lt;=3)*('CASE MASTER'!$W$2:$W$495&gt;=3)*('CASE MASTER'!$V$2:$V$495&lt;=2)*('CASE MASTER'!$X$2:$X$495&gt;=2))*ROW('CASE MASTER'!$T$2:$T$495))-(ROW('CASE MASTER'!#REF!)-1))),IF(SUMPRODUCT((('CASE MASTER'!$T$2:$T$495=14)*('CASE MASTER'!$AA$2:$AA$495&lt;=3)*('CASE MASTER'!$AC$2:$AC$495&gt;=3)*('CASE MASTER'!$AB$2:$AB$495&lt;=2)*('CASE MASTER'!$AD$2:$AD$495&gt;=2))*ROW('CASE MASTER'!$T$2:$T$495))&gt;0,INDEX('CASE MASTER'!$Y$2:$Y$495,(SUMPRODUCT((('CASE MASTER'!$T$2:$T$495=14)*('CASE MASTER'!$AA$2:$AA$495&lt;=3)*('CASE MASTER'!$AC$2:$AC$495&gt;=3)*('CASE MASTER'!$AB$2:$AB$495&lt;=2)*('CASE MASTER'!$AD$2:$AD$495&gt;=2))*ROW('CASE MASTER'!$T$2:$T$495))-(ROW('CASE MASTER'!#REF!)-1)))&amp;TRIM(MID(SUBSTITUTE(SUBSTITUTE(INDEX('CASE MASTER'!$N$2:$N$495,(SUMPRODUCT((('CASE MASTER'!$T$2:$T$495=14)*('CASE MASTER'!$AA$2:$AA$495&lt;=3)*('CASE MASTER'!$AC$2:$AC$495&gt;=3)*('CASE MASTER'!$AB$2:$AB$495&lt;=2)*('CASE MASTER'!$AD$2:$AD$495&gt;=2))*ROW('CASE MASTER'!$T$2:$T$495))-(ROW('CASE MASTER'!#REF!)-1))),":",","),",",REPT(" ",50)),(((INDEX('CASE MASTER'!$Z$2:$Z$495,(SUMPRODUCT((('CASE MASTER'!$T$2:$T$495=14)*('CASE MASTER'!$AA$2:$AA$495&lt;=3)*('CASE MASTER'!$AC$2:$AC$495&gt;=3)*('CASE MASTER'!$AB$2:$AB$495&lt;=2)*('CASE MASTER'!$AD$2:$AD$495&gt;=2))*ROW('CASE MASTER'!$T$2:$T$495))-(ROW('CASE MASTER'!#REF!)-1)))+((3-INDEX('CASE MASTER'!$AA$2:$AA$495,(SUMPRODUCT((('CASE MASTER'!$T$2:$T$495=14)*('CASE MASTER'!$AA$2:$AA$495&lt;=3)*('CASE MASTER'!$AC$2:$AC$495&gt;=3)*('CASE MASTER'!$AB$2:$AB$495&lt;=2)*('CASE MASTER'!$AD$2:$AD$495&gt;=2))*ROW('CASE MASTER'!$T$2:$T$495))-(ROW('CASE MASTER'!#REF!)-1))))*(INDEX('CASE MASTER'!$AD$2:$AD$495,(SUMPRODUCT((('CASE MASTER'!$T$2:$T$495=14)*('CASE MASTER'!$AA$2:$AA$495&lt;=3)*('CASE MASTER'!$AC$2:$AC$495&gt;=3)*('CASE MASTER'!$AB$2:$AB$495&lt;=2)*('CASE MASTER'!$AD$2:$AD$495&gt;=2))*ROW('CASE MASTER'!$T$2:$T$495))-(ROW('CASE MASTER'!#REF!)-1)))-INDEX('CASE MASTER'!$AB$2:$AB$495,(SUMPRODUCT((('CASE MASTER'!$T$2:$T$495=14)*('CASE MASTER'!$AA$2:$AA$495&lt;=3)*('CASE MASTER'!$AC$2:$AC$495&gt;=3)*('CASE MASTER'!$AB$2:$AB$495&lt;=2)*('CASE MASTER'!$AD$2:$AD$495&gt;=2))*ROW('CASE MASTER'!$T$2:$T$495))-(ROW('CASE MASTER'!#REF!)-1)))+1)+(2-INDEX('CASE MASTER'!$AB$2:$AB$495,(SUMPRODUCT((('CASE MASTER'!$T$2:$T$495=14)*('CASE MASTER'!$AA$2:$AA$495&lt;=3)*('CASE MASTER'!$AC$2:$AC$495&gt;=3)*('CASE MASTER'!$AB$2:$AB$495&lt;=2)*('CASE MASTER'!$AD$2:$AD$495&gt;=2))*ROW('CASE MASTER'!$T$2:$T$495))-(ROW('CASE MASTER'!#REF!)-1))))+1)))-1)*50+1,50))&amp;"_"&amp;INDEX('CASE MASTER'!$Q$2:$Q$495,(SUMPRODUCT((('CASE MASTER'!$T$2:$T$495=14)*('CASE MASTER'!$AA$2:$AA$495&lt;=3)*('CASE MASTER'!$AC$2:$AC$495&gt;=3)*('CASE MASTER'!$AB$2:$AB$495&lt;=2)*('CASE MASTER'!$AD$2:$AD$495&gt;=2))*ROW('CASE MASTER'!$T$2:$T$495))-(ROW('CASE MASTER'!#REF!)-1))),"")),"")</f>
        <v/>
      </c>
      <c r="D187" s="10" t="str">
        <f>IFERROR(IF(SUMPRODUCT((('CASE MASTER'!$T$2:$T$495=14)*('CASE MASTER'!$U$2:$U$495&lt;=3)*('CASE MASTER'!$W$2:$W$495&gt;=3)*('CASE MASTER'!$V$2:$V$495&lt;=3)*('CASE MASTER'!$X$2:$X$495&gt;=3))*ROW('CASE MASTER'!$T$2:$T$495))&gt;0,INDEX('CASE MASTER'!$Y$2:$Y$495,(SUMPRODUCT((('CASE MASTER'!$T$2:$T$495=14)*('CASE MASTER'!$U$2:$U$495&lt;=3)*('CASE MASTER'!$W$2:$W$495&gt;=3)*('CASE MASTER'!$V$2:$V$495&lt;=3)*('CASE MASTER'!$X$2:$X$495&gt;=3))*ROW('CASE MASTER'!$T$2:$T$495))-(ROW('CASE MASTER'!#REF!)-1)))&amp;TRIM(MID(SUBSTITUTE(SUBSTITUTE(INDEX('CASE MASTER'!$N$2:$N$495,(SUMPRODUCT((('CASE MASTER'!$T$2:$T$495=14)*('CASE MASTER'!$U$2:$U$495&lt;=3)*('CASE MASTER'!$W$2:$W$495&gt;=3)*('CASE MASTER'!$V$2:$V$495&lt;=3)*('CASE MASTER'!$X$2:$X$495&gt;=3))*ROW('CASE MASTER'!$T$2:$T$495))-(ROW('CASE MASTER'!#REF!)-1))),":",","),",",REPT(" ",50)),((((3-INDEX('CASE MASTER'!$U$2:$U$495,(SUMPRODUCT((('CASE MASTER'!$T$2:$T$495=14)*('CASE MASTER'!$U$2:$U$495&lt;=3)*('CASE MASTER'!$W$2:$W$495&gt;=3)*('CASE MASTER'!$V$2:$V$495&lt;=3)*('CASE MASTER'!$X$2:$X$495&gt;=3))*ROW('CASE MASTER'!$T$2:$T$495))-(ROW('CASE MASTER'!#REF!)-1))))*(INDEX('CASE MASTER'!$X$2:$X$495,(SUMPRODUCT((('CASE MASTER'!$T$2:$T$495=14)*('CASE MASTER'!$U$2:$U$495&lt;=3)*('CASE MASTER'!$W$2:$W$495&gt;=3)*('CASE MASTER'!$V$2:$V$495&lt;=3)*('CASE MASTER'!$X$2:$X$495&gt;=3))*ROW('CASE MASTER'!$T$2:$T$495))-(ROW('CASE MASTER'!#REF!)-1)))-INDEX('CASE MASTER'!$V$2:$V$495,(SUMPRODUCT((('CASE MASTER'!$T$2:$T$495=14)*('CASE MASTER'!$U$2:$U$495&lt;=3)*('CASE MASTER'!$W$2:$W$495&gt;=3)*('CASE MASTER'!$V$2:$V$495&lt;=3)*('CASE MASTER'!$X$2:$X$495&gt;=3))*ROW('CASE MASTER'!$T$2:$T$495))-(ROW('CASE MASTER'!#REF!)-1)))+1)+(3-INDEX('CASE MASTER'!$V$2:$V$495,(SUMPRODUCT((('CASE MASTER'!$T$2:$T$495=14)*('CASE MASTER'!$U$2:$U$495&lt;=3)*('CASE MASTER'!$W$2:$W$495&gt;=3)*('CASE MASTER'!$V$2:$V$495&lt;=3)*('CASE MASTER'!$X$2:$X$495&gt;=3))*ROW('CASE MASTER'!$T$2:$T$495))-(ROW('CASE MASTER'!#REF!)-1))))+1))-1)*50+1,50))&amp;"_"&amp;INDEX('CASE MASTER'!$Q$2:$Q$495,(SUMPRODUCT((('CASE MASTER'!$T$2:$T$495=14)*('CASE MASTER'!$U$2:$U$495&lt;=3)*('CASE MASTER'!$W$2:$W$495&gt;=3)*('CASE MASTER'!$V$2:$V$495&lt;=3)*('CASE MASTER'!$X$2:$X$495&gt;=3))*ROW('CASE MASTER'!$T$2:$T$495))-(ROW('CASE MASTER'!#REF!)-1))),IF(SUMPRODUCT((('CASE MASTER'!$T$2:$T$495=14)*('CASE MASTER'!$AA$2:$AA$495&lt;=3)*('CASE MASTER'!$AC$2:$AC$495&gt;=3)*('CASE MASTER'!$AB$2:$AB$495&lt;=3)*('CASE MASTER'!$AD$2:$AD$495&gt;=3))*ROW('CASE MASTER'!$T$2:$T$495))&gt;0,INDEX('CASE MASTER'!$Y$2:$Y$495,(SUMPRODUCT((('CASE MASTER'!$T$2:$T$495=14)*('CASE MASTER'!$AA$2:$AA$495&lt;=3)*('CASE MASTER'!$AC$2:$AC$495&gt;=3)*('CASE MASTER'!$AB$2:$AB$495&lt;=3)*('CASE MASTER'!$AD$2:$AD$495&gt;=3))*ROW('CASE MASTER'!$T$2:$T$495))-(ROW('CASE MASTER'!#REF!)-1)))&amp;TRIM(MID(SUBSTITUTE(SUBSTITUTE(INDEX('CASE MASTER'!$N$2:$N$495,(SUMPRODUCT((('CASE MASTER'!$T$2:$T$495=14)*('CASE MASTER'!$AA$2:$AA$495&lt;=3)*('CASE MASTER'!$AC$2:$AC$495&gt;=3)*('CASE MASTER'!$AB$2:$AB$495&lt;=3)*('CASE MASTER'!$AD$2:$AD$495&gt;=3))*ROW('CASE MASTER'!$T$2:$T$495))-(ROW('CASE MASTER'!#REF!)-1))),":",","),",",REPT(" ",50)),(((INDEX('CASE MASTER'!$Z$2:$Z$495,(SUMPRODUCT((('CASE MASTER'!$T$2:$T$495=14)*('CASE MASTER'!$AA$2:$AA$495&lt;=3)*('CASE MASTER'!$AC$2:$AC$495&gt;=3)*('CASE MASTER'!$AB$2:$AB$495&lt;=3)*('CASE MASTER'!$AD$2:$AD$495&gt;=3))*ROW('CASE MASTER'!$T$2:$T$495))-(ROW('CASE MASTER'!#REF!)-1)))+((3-INDEX('CASE MASTER'!$AA$2:$AA$495,(SUMPRODUCT((('CASE MASTER'!$T$2:$T$495=14)*('CASE MASTER'!$AA$2:$AA$495&lt;=3)*('CASE MASTER'!$AC$2:$AC$495&gt;=3)*('CASE MASTER'!$AB$2:$AB$495&lt;=3)*('CASE MASTER'!$AD$2:$AD$495&gt;=3))*ROW('CASE MASTER'!$T$2:$T$495))-(ROW('CASE MASTER'!#REF!)-1))))*(INDEX('CASE MASTER'!$AD$2:$AD$495,(SUMPRODUCT((('CASE MASTER'!$T$2:$T$495=14)*('CASE MASTER'!$AA$2:$AA$495&lt;=3)*('CASE MASTER'!$AC$2:$AC$495&gt;=3)*('CASE MASTER'!$AB$2:$AB$495&lt;=3)*('CASE MASTER'!$AD$2:$AD$495&gt;=3))*ROW('CASE MASTER'!$T$2:$T$495))-(ROW('CASE MASTER'!#REF!)-1)))-INDEX('CASE MASTER'!$AB$2:$AB$495,(SUMPRODUCT((('CASE MASTER'!$T$2:$T$495=14)*('CASE MASTER'!$AA$2:$AA$495&lt;=3)*('CASE MASTER'!$AC$2:$AC$495&gt;=3)*('CASE MASTER'!$AB$2:$AB$495&lt;=3)*('CASE MASTER'!$AD$2:$AD$495&gt;=3))*ROW('CASE MASTER'!$T$2:$T$495))-(ROW('CASE MASTER'!#REF!)-1)))+1)+(3-INDEX('CASE MASTER'!$AB$2:$AB$495,(SUMPRODUCT((('CASE MASTER'!$T$2:$T$495=14)*('CASE MASTER'!$AA$2:$AA$495&lt;=3)*('CASE MASTER'!$AC$2:$AC$495&gt;=3)*('CASE MASTER'!$AB$2:$AB$495&lt;=3)*('CASE MASTER'!$AD$2:$AD$495&gt;=3))*ROW('CASE MASTER'!$T$2:$T$495))-(ROW('CASE MASTER'!#REF!)-1))))+1)))-1)*50+1,50))&amp;"_"&amp;INDEX('CASE MASTER'!$Q$2:$Q$495,(SUMPRODUCT((('CASE MASTER'!$T$2:$T$495=14)*('CASE MASTER'!$AA$2:$AA$495&lt;=3)*('CASE MASTER'!$AC$2:$AC$495&gt;=3)*('CASE MASTER'!$AB$2:$AB$495&lt;=3)*('CASE MASTER'!$AD$2:$AD$495&gt;=3))*ROW('CASE MASTER'!$T$2:$T$495))-(ROW('CASE MASTER'!#REF!)-1))),"")),"")</f>
        <v/>
      </c>
      <c r="E187" s="10" t="str">
        <f>IFERROR(IF(SUMPRODUCT((('CASE MASTER'!$T$2:$T$495=14)*('CASE MASTER'!$U$2:$U$495&lt;=3)*('CASE MASTER'!$W$2:$W$495&gt;=3)*('CASE MASTER'!$V$2:$V$495&lt;=4)*('CASE MASTER'!$X$2:$X$495&gt;=4))*ROW('CASE MASTER'!$T$2:$T$495))&gt;0,INDEX('CASE MASTER'!$Y$2:$Y$495,(SUMPRODUCT((('CASE MASTER'!$T$2:$T$495=14)*('CASE MASTER'!$U$2:$U$495&lt;=3)*('CASE MASTER'!$W$2:$W$495&gt;=3)*('CASE MASTER'!$V$2:$V$495&lt;=4)*('CASE MASTER'!$X$2:$X$495&gt;=4))*ROW('CASE MASTER'!$T$2:$T$495))-(ROW('CASE MASTER'!#REF!)-1)))&amp;TRIM(MID(SUBSTITUTE(SUBSTITUTE(INDEX('CASE MASTER'!$N$2:$N$495,(SUMPRODUCT((('CASE MASTER'!$T$2:$T$495=14)*('CASE MASTER'!$U$2:$U$495&lt;=3)*('CASE MASTER'!$W$2:$W$495&gt;=3)*('CASE MASTER'!$V$2:$V$495&lt;=4)*('CASE MASTER'!$X$2:$X$495&gt;=4))*ROW('CASE MASTER'!$T$2:$T$495))-(ROW('CASE MASTER'!#REF!)-1))),":",","),",",REPT(" ",50)),((((3-INDEX('CASE MASTER'!$U$2:$U$495,(SUMPRODUCT((('CASE MASTER'!$T$2:$T$495=14)*('CASE MASTER'!$U$2:$U$495&lt;=3)*('CASE MASTER'!$W$2:$W$495&gt;=3)*('CASE MASTER'!$V$2:$V$495&lt;=4)*('CASE MASTER'!$X$2:$X$495&gt;=4))*ROW('CASE MASTER'!$T$2:$T$495))-(ROW('CASE MASTER'!#REF!)-1))))*(INDEX('CASE MASTER'!$X$2:$X$495,(SUMPRODUCT((('CASE MASTER'!$T$2:$T$495=14)*('CASE MASTER'!$U$2:$U$495&lt;=3)*('CASE MASTER'!$W$2:$W$495&gt;=3)*('CASE MASTER'!$V$2:$V$495&lt;=4)*('CASE MASTER'!$X$2:$X$495&gt;=4))*ROW('CASE MASTER'!$T$2:$T$495))-(ROW('CASE MASTER'!#REF!)-1)))-INDEX('CASE MASTER'!$V$2:$V$495,(SUMPRODUCT((('CASE MASTER'!$T$2:$T$495=14)*('CASE MASTER'!$U$2:$U$495&lt;=3)*('CASE MASTER'!$W$2:$W$495&gt;=3)*('CASE MASTER'!$V$2:$V$495&lt;=4)*('CASE MASTER'!$X$2:$X$495&gt;=4))*ROW('CASE MASTER'!$T$2:$T$495))-(ROW('CASE MASTER'!#REF!)-1)))+1)+(4-INDEX('CASE MASTER'!$V$2:$V$495,(SUMPRODUCT((('CASE MASTER'!$T$2:$T$495=14)*('CASE MASTER'!$U$2:$U$495&lt;=3)*('CASE MASTER'!$W$2:$W$495&gt;=3)*('CASE MASTER'!$V$2:$V$495&lt;=4)*('CASE MASTER'!$X$2:$X$495&gt;=4))*ROW('CASE MASTER'!$T$2:$T$495))-(ROW('CASE MASTER'!#REF!)-1))))+1))-1)*50+1,50))&amp;"_"&amp;INDEX('CASE MASTER'!$Q$2:$Q$495,(SUMPRODUCT((('CASE MASTER'!$T$2:$T$495=14)*('CASE MASTER'!$U$2:$U$495&lt;=3)*('CASE MASTER'!$W$2:$W$495&gt;=3)*('CASE MASTER'!$V$2:$V$495&lt;=4)*('CASE MASTER'!$X$2:$X$495&gt;=4))*ROW('CASE MASTER'!$T$2:$T$495))-(ROW('CASE MASTER'!#REF!)-1))),IF(SUMPRODUCT((('CASE MASTER'!$T$2:$T$495=14)*('CASE MASTER'!$AA$2:$AA$495&lt;=3)*('CASE MASTER'!$AC$2:$AC$495&gt;=3)*('CASE MASTER'!$AB$2:$AB$495&lt;=4)*('CASE MASTER'!$AD$2:$AD$495&gt;=4))*ROW('CASE MASTER'!$T$2:$T$495))&gt;0,INDEX('CASE MASTER'!$Y$2:$Y$495,(SUMPRODUCT((('CASE MASTER'!$T$2:$T$495=14)*('CASE MASTER'!$AA$2:$AA$495&lt;=3)*('CASE MASTER'!$AC$2:$AC$495&gt;=3)*('CASE MASTER'!$AB$2:$AB$495&lt;=4)*('CASE MASTER'!$AD$2:$AD$495&gt;=4))*ROW('CASE MASTER'!$T$2:$T$495))-(ROW('CASE MASTER'!#REF!)-1)))&amp;TRIM(MID(SUBSTITUTE(SUBSTITUTE(INDEX('CASE MASTER'!$N$2:$N$495,(SUMPRODUCT((('CASE MASTER'!$T$2:$T$495=14)*('CASE MASTER'!$AA$2:$AA$495&lt;=3)*('CASE MASTER'!$AC$2:$AC$495&gt;=3)*('CASE MASTER'!$AB$2:$AB$495&lt;=4)*('CASE MASTER'!$AD$2:$AD$495&gt;=4))*ROW('CASE MASTER'!$T$2:$T$495))-(ROW('CASE MASTER'!#REF!)-1))),":",","),",",REPT(" ",50)),(((INDEX('CASE MASTER'!$Z$2:$Z$495,(SUMPRODUCT((('CASE MASTER'!$T$2:$T$495=14)*('CASE MASTER'!$AA$2:$AA$495&lt;=3)*('CASE MASTER'!$AC$2:$AC$495&gt;=3)*('CASE MASTER'!$AB$2:$AB$495&lt;=4)*('CASE MASTER'!$AD$2:$AD$495&gt;=4))*ROW('CASE MASTER'!$T$2:$T$495))-(ROW('CASE MASTER'!#REF!)-1)))+((3-INDEX('CASE MASTER'!$AA$2:$AA$495,(SUMPRODUCT((('CASE MASTER'!$T$2:$T$495=14)*('CASE MASTER'!$AA$2:$AA$495&lt;=3)*('CASE MASTER'!$AC$2:$AC$495&gt;=3)*('CASE MASTER'!$AB$2:$AB$495&lt;=4)*('CASE MASTER'!$AD$2:$AD$495&gt;=4))*ROW('CASE MASTER'!$T$2:$T$495))-(ROW('CASE MASTER'!#REF!)-1))))*(INDEX('CASE MASTER'!$AD$2:$AD$495,(SUMPRODUCT((('CASE MASTER'!$T$2:$T$495=14)*('CASE MASTER'!$AA$2:$AA$495&lt;=3)*('CASE MASTER'!$AC$2:$AC$495&gt;=3)*('CASE MASTER'!$AB$2:$AB$495&lt;=4)*('CASE MASTER'!$AD$2:$AD$495&gt;=4))*ROW('CASE MASTER'!$T$2:$T$495))-(ROW('CASE MASTER'!#REF!)-1)))-INDEX('CASE MASTER'!$AB$2:$AB$495,(SUMPRODUCT((('CASE MASTER'!$T$2:$T$495=14)*('CASE MASTER'!$AA$2:$AA$495&lt;=3)*('CASE MASTER'!$AC$2:$AC$495&gt;=3)*('CASE MASTER'!$AB$2:$AB$495&lt;=4)*('CASE MASTER'!$AD$2:$AD$495&gt;=4))*ROW('CASE MASTER'!$T$2:$T$495))-(ROW('CASE MASTER'!#REF!)-1)))+1)+(4-INDEX('CASE MASTER'!$AB$2:$AB$495,(SUMPRODUCT((('CASE MASTER'!$T$2:$T$495=14)*('CASE MASTER'!$AA$2:$AA$495&lt;=3)*('CASE MASTER'!$AC$2:$AC$495&gt;=3)*('CASE MASTER'!$AB$2:$AB$495&lt;=4)*('CASE MASTER'!$AD$2:$AD$495&gt;=4))*ROW('CASE MASTER'!$T$2:$T$495))-(ROW('CASE MASTER'!#REF!)-1))))+1)))-1)*50+1,50))&amp;"_"&amp;INDEX('CASE MASTER'!$Q$2:$Q$495,(SUMPRODUCT((('CASE MASTER'!$T$2:$T$495=14)*('CASE MASTER'!$AA$2:$AA$495&lt;=3)*('CASE MASTER'!$AC$2:$AC$495&gt;=3)*('CASE MASTER'!$AB$2:$AB$495&lt;=4)*('CASE MASTER'!$AD$2:$AD$495&gt;=4))*ROW('CASE MASTER'!$T$2:$T$495))-(ROW('CASE MASTER'!#REF!)-1))),"")),"")</f>
        <v/>
      </c>
      <c r="F187" s="10" t="str">
        <f>IFERROR(IF(SUMPRODUCT((('CASE MASTER'!$T$2:$T$495=14)*('CASE MASTER'!$U$2:$U$495&lt;=3)*('CASE MASTER'!$W$2:$W$495&gt;=3)*('CASE MASTER'!$V$2:$V$495&lt;=5)*('CASE MASTER'!$X$2:$X$495&gt;=5))*ROW('CASE MASTER'!$T$2:$T$495))&gt;0,INDEX('CASE MASTER'!$Y$2:$Y$495,(SUMPRODUCT((('CASE MASTER'!$T$2:$T$495=14)*('CASE MASTER'!$U$2:$U$495&lt;=3)*('CASE MASTER'!$W$2:$W$495&gt;=3)*('CASE MASTER'!$V$2:$V$495&lt;=5)*('CASE MASTER'!$X$2:$X$495&gt;=5))*ROW('CASE MASTER'!$T$2:$T$495))-(ROW('CASE MASTER'!#REF!)-1)))&amp;TRIM(MID(SUBSTITUTE(SUBSTITUTE(INDEX('CASE MASTER'!$N$2:$N$495,(SUMPRODUCT((('CASE MASTER'!$T$2:$T$495=14)*('CASE MASTER'!$U$2:$U$495&lt;=3)*('CASE MASTER'!$W$2:$W$495&gt;=3)*('CASE MASTER'!$V$2:$V$495&lt;=5)*('CASE MASTER'!$X$2:$X$495&gt;=5))*ROW('CASE MASTER'!$T$2:$T$495))-(ROW('CASE MASTER'!#REF!)-1))),":",","),",",REPT(" ",50)),((((3-INDEX('CASE MASTER'!$U$2:$U$495,(SUMPRODUCT((('CASE MASTER'!$T$2:$T$495=14)*('CASE MASTER'!$U$2:$U$495&lt;=3)*('CASE MASTER'!$W$2:$W$495&gt;=3)*('CASE MASTER'!$V$2:$V$495&lt;=5)*('CASE MASTER'!$X$2:$X$495&gt;=5))*ROW('CASE MASTER'!$T$2:$T$495))-(ROW('CASE MASTER'!#REF!)-1))))*(INDEX('CASE MASTER'!$X$2:$X$495,(SUMPRODUCT((('CASE MASTER'!$T$2:$T$495=14)*('CASE MASTER'!$U$2:$U$495&lt;=3)*('CASE MASTER'!$W$2:$W$495&gt;=3)*('CASE MASTER'!$V$2:$V$495&lt;=5)*('CASE MASTER'!$X$2:$X$495&gt;=5))*ROW('CASE MASTER'!$T$2:$T$495))-(ROW('CASE MASTER'!#REF!)-1)))-INDEX('CASE MASTER'!$V$2:$V$495,(SUMPRODUCT((('CASE MASTER'!$T$2:$T$495=14)*('CASE MASTER'!$U$2:$U$495&lt;=3)*('CASE MASTER'!$W$2:$W$495&gt;=3)*('CASE MASTER'!$V$2:$V$495&lt;=5)*('CASE MASTER'!$X$2:$X$495&gt;=5))*ROW('CASE MASTER'!$T$2:$T$495))-(ROW('CASE MASTER'!#REF!)-1)))+1)+(5-INDEX('CASE MASTER'!$V$2:$V$495,(SUMPRODUCT((('CASE MASTER'!$T$2:$T$495=14)*('CASE MASTER'!$U$2:$U$495&lt;=3)*('CASE MASTER'!$W$2:$W$495&gt;=3)*('CASE MASTER'!$V$2:$V$495&lt;=5)*('CASE MASTER'!$X$2:$X$495&gt;=5))*ROW('CASE MASTER'!$T$2:$T$495))-(ROW('CASE MASTER'!#REF!)-1))))+1))-1)*50+1,50))&amp;"_"&amp;INDEX('CASE MASTER'!$Q$2:$Q$495,(SUMPRODUCT((('CASE MASTER'!$T$2:$T$495=14)*('CASE MASTER'!$U$2:$U$495&lt;=3)*('CASE MASTER'!$W$2:$W$495&gt;=3)*('CASE MASTER'!$V$2:$V$495&lt;=5)*('CASE MASTER'!$X$2:$X$495&gt;=5))*ROW('CASE MASTER'!$T$2:$T$495))-(ROW('CASE MASTER'!#REF!)-1))),IF(SUMPRODUCT((('CASE MASTER'!$T$2:$T$495=14)*('CASE MASTER'!$AA$2:$AA$495&lt;=3)*('CASE MASTER'!$AC$2:$AC$495&gt;=3)*('CASE MASTER'!$AB$2:$AB$495&lt;=5)*('CASE MASTER'!$AD$2:$AD$495&gt;=5))*ROW('CASE MASTER'!$T$2:$T$495))&gt;0,INDEX('CASE MASTER'!$Y$2:$Y$495,(SUMPRODUCT((('CASE MASTER'!$T$2:$T$495=14)*('CASE MASTER'!$AA$2:$AA$495&lt;=3)*('CASE MASTER'!$AC$2:$AC$495&gt;=3)*('CASE MASTER'!$AB$2:$AB$495&lt;=5)*('CASE MASTER'!$AD$2:$AD$495&gt;=5))*ROW('CASE MASTER'!$T$2:$T$495))-(ROW('CASE MASTER'!#REF!)-1)))&amp;TRIM(MID(SUBSTITUTE(SUBSTITUTE(INDEX('CASE MASTER'!$N$2:$N$495,(SUMPRODUCT((('CASE MASTER'!$T$2:$T$495=14)*('CASE MASTER'!$AA$2:$AA$495&lt;=3)*('CASE MASTER'!$AC$2:$AC$495&gt;=3)*('CASE MASTER'!$AB$2:$AB$495&lt;=5)*('CASE MASTER'!$AD$2:$AD$495&gt;=5))*ROW('CASE MASTER'!$T$2:$T$495))-(ROW('CASE MASTER'!#REF!)-1))),":",","),",",REPT(" ",50)),(((INDEX('CASE MASTER'!$Z$2:$Z$495,(SUMPRODUCT((('CASE MASTER'!$T$2:$T$495=14)*('CASE MASTER'!$AA$2:$AA$495&lt;=3)*('CASE MASTER'!$AC$2:$AC$495&gt;=3)*('CASE MASTER'!$AB$2:$AB$495&lt;=5)*('CASE MASTER'!$AD$2:$AD$495&gt;=5))*ROW('CASE MASTER'!$T$2:$T$495))-(ROW('CASE MASTER'!#REF!)-1)))+((3-INDEX('CASE MASTER'!$AA$2:$AA$495,(SUMPRODUCT((('CASE MASTER'!$T$2:$T$495=14)*('CASE MASTER'!$AA$2:$AA$495&lt;=3)*('CASE MASTER'!$AC$2:$AC$495&gt;=3)*('CASE MASTER'!$AB$2:$AB$495&lt;=5)*('CASE MASTER'!$AD$2:$AD$495&gt;=5))*ROW('CASE MASTER'!$T$2:$T$495))-(ROW('CASE MASTER'!#REF!)-1))))*(INDEX('CASE MASTER'!$AD$2:$AD$495,(SUMPRODUCT((('CASE MASTER'!$T$2:$T$495=14)*('CASE MASTER'!$AA$2:$AA$495&lt;=3)*('CASE MASTER'!$AC$2:$AC$495&gt;=3)*('CASE MASTER'!$AB$2:$AB$495&lt;=5)*('CASE MASTER'!$AD$2:$AD$495&gt;=5))*ROW('CASE MASTER'!$T$2:$T$495))-(ROW('CASE MASTER'!#REF!)-1)))-INDEX('CASE MASTER'!$AB$2:$AB$495,(SUMPRODUCT((('CASE MASTER'!$T$2:$T$495=14)*('CASE MASTER'!$AA$2:$AA$495&lt;=3)*('CASE MASTER'!$AC$2:$AC$495&gt;=3)*('CASE MASTER'!$AB$2:$AB$495&lt;=5)*('CASE MASTER'!$AD$2:$AD$495&gt;=5))*ROW('CASE MASTER'!$T$2:$T$495))-(ROW('CASE MASTER'!#REF!)-1)))+1)+(5-INDEX('CASE MASTER'!$AB$2:$AB$495,(SUMPRODUCT((('CASE MASTER'!$T$2:$T$495=14)*('CASE MASTER'!$AA$2:$AA$495&lt;=3)*('CASE MASTER'!$AC$2:$AC$495&gt;=3)*('CASE MASTER'!$AB$2:$AB$495&lt;=5)*('CASE MASTER'!$AD$2:$AD$495&gt;=5))*ROW('CASE MASTER'!$T$2:$T$495))-(ROW('CASE MASTER'!#REF!)-1))))+1)))-1)*50+1,50))&amp;"_"&amp;INDEX('CASE MASTER'!$Q$2:$Q$495,(SUMPRODUCT((('CASE MASTER'!$T$2:$T$495=14)*('CASE MASTER'!$AA$2:$AA$495&lt;=3)*('CASE MASTER'!$AC$2:$AC$495&gt;=3)*('CASE MASTER'!$AB$2:$AB$495&lt;=5)*('CASE MASTER'!$AD$2:$AD$495&gt;=5))*ROW('CASE MASTER'!$T$2:$T$495))-(ROW('CASE MASTER'!#REF!)-1))),"")),"")</f>
        <v/>
      </c>
      <c r="G187" s="10" t="str">
        <f>IFERROR(IF(SUMPRODUCT((('CASE MASTER'!$T$2:$T$495=14)*('CASE MASTER'!$U$2:$U$495&lt;=3)*('CASE MASTER'!$W$2:$W$495&gt;=3)*('CASE MASTER'!$V$2:$V$495&lt;=6)*('CASE MASTER'!$X$2:$X$495&gt;=6))*ROW('CASE MASTER'!$T$2:$T$495))&gt;0,INDEX('CASE MASTER'!$Y$2:$Y$495,(SUMPRODUCT((('CASE MASTER'!$T$2:$T$495=14)*('CASE MASTER'!$U$2:$U$495&lt;=3)*('CASE MASTER'!$W$2:$W$495&gt;=3)*('CASE MASTER'!$V$2:$V$495&lt;=6)*('CASE MASTER'!$X$2:$X$495&gt;=6))*ROW('CASE MASTER'!$T$2:$T$495))-(ROW('CASE MASTER'!#REF!)-1)))&amp;TRIM(MID(SUBSTITUTE(SUBSTITUTE(INDEX('CASE MASTER'!$N$2:$N$495,(SUMPRODUCT((('CASE MASTER'!$T$2:$T$495=14)*('CASE MASTER'!$U$2:$U$495&lt;=3)*('CASE MASTER'!$W$2:$W$495&gt;=3)*('CASE MASTER'!$V$2:$V$495&lt;=6)*('CASE MASTER'!$X$2:$X$495&gt;=6))*ROW('CASE MASTER'!$T$2:$T$495))-(ROW('CASE MASTER'!#REF!)-1))),":",","),",",REPT(" ",50)),((((3-INDEX('CASE MASTER'!$U$2:$U$495,(SUMPRODUCT((('CASE MASTER'!$T$2:$T$495=14)*('CASE MASTER'!$U$2:$U$495&lt;=3)*('CASE MASTER'!$W$2:$W$495&gt;=3)*('CASE MASTER'!$V$2:$V$495&lt;=6)*('CASE MASTER'!$X$2:$X$495&gt;=6))*ROW('CASE MASTER'!$T$2:$T$495))-(ROW('CASE MASTER'!#REF!)-1))))*(INDEX('CASE MASTER'!$X$2:$X$495,(SUMPRODUCT((('CASE MASTER'!$T$2:$T$495=14)*('CASE MASTER'!$U$2:$U$495&lt;=3)*('CASE MASTER'!$W$2:$W$495&gt;=3)*('CASE MASTER'!$V$2:$V$495&lt;=6)*('CASE MASTER'!$X$2:$X$495&gt;=6))*ROW('CASE MASTER'!$T$2:$T$495))-(ROW('CASE MASTER'!#REF!)-1)))-INDEX('CASE MASTER'!$V$2:$V$495,(SUMPRODUCT((('CASE MASTER'!$T$2:$T$495=14)*('CASE MASTER'!$U$2:$U$495&lt;=3)*('CASE MASTER'!$W$2:$W$495&gt;=3)*('CASE MASTER'!$V$2:$V$495&lt;=6)*('CASE MASTER'!$X$2:$X$495&gt;=6))*ROW('CASE MASTER'!$T$2:$T$495))-(ROW('CASE MASTER'!#REF!)-1)))+1)+(6-INDEX('CASE MASTER'!$V$2:$V$495,(SUMPRODUCT((('CASE MASTER'!$T$2:$T$495=14)*('CASE MASTER'!$U$2:$U$495&lt;=3)*('CASE MASTER'!$W$2:$W$495&gt;=3)*('CASE MASTER'!$V$2:$V$495&lt;=6)*('CASE MASTER'!$X$2:$X$495&gt;=6))*ROW('CASE MASTER'!$T$2:$T$495))-(ROW('CASE MASTER'!#REF!)-1))))+1))-1)*50+1,50))&amp;"_"&amp;INDEX('CASE MASTER'!$Q$2:$Q$495,(SUMPRODUCT((('CASE MASTER'!$T$2:$T$495=14)*('CASE MASTER'!$U$2:$U$495&lt;=3)*('CASE MASTER'!$W$2:$W$495&gt;=3)*('CASE MASTER'!$V$2:$V$495&lt;=6)*('CASE MASTER'!$X$2:$X$495&gt;=6))*ROW('CASE MASTER'!$T$2:$T$495))-(ROW('CASE MASTER'!#REF!)-1))),IF(SUMPRODUCT((('CASE MASTER'!$T$2:$T$495=14)*('CASE MASTER'!$AA$2:$AA$495&lt;=3)*('CASE MASTER'!$AC$2:$AC$495&gt;=3)*('CASE MASTER'!$AB$2:$AB$495&lt;=6)*('CASE MASTER'!$AD$2:$AD$495&gt;=6))*ROW('CASE MASTER'!$T$2:$T$495))&gt;0,INDEX('CASE MASTER'!$Y$2:$Y$495,(SUMPRODUCT((('CASE MASTER'!$T$2:$T$495=14)*('CASE MASTER'!$AA$2:$AA$495&lt;=3)*('CASE MASTER'!$AC$2:$AC$495&gt;=3)*('CASE MASTER'!$AB$2:$AB$495&lt;=6)*('CASE MASTER'!$AD$2:$AD$495&gt;=6))*ROW('CASE MASTER'!$T$2:$T$495))-(ROW('CASE MASTER'!#REF!)-1)))&amp;TRIM(MID(SUBSTITUTE(SUBSTITUTE(INDEX('CASE MASTER'!$N$2:$N$495,(SUMPRODUCT((('CASE MASTER'!$T$2:$T$495=14)*('CASE MASTER'!$AA$2:$AA$495&lt;=3)*('CASE MASTER'!$AC$2:$AC$495&gt;=3)*('CASE MASTER'!$AB$2:$AB$495&lt;=6)*('CASE MASTER'!$AD$2:$AD$495&gt;=6))*ROW('CASE MASTER'!$T$2:$T$495))-(ROW('CASE MASTER'!#REF!)-1))),":",","),",",REPT(" ",50)),(((INDEX('CASE MASTER'!$Z$2:$Z$495,(SUMPRODUCT((('CASE MASTER'!$T$2:$T$495=14)*('CASE MASTER'!$AA$2:$AA$495&lt;=3)*('CASE MASTER'!$AC$2:$AC$495&gt;=3)*('CASE MASTER'!$AB$2:$AB$495&lt;=6)*('CASE MASTER'!$AD$2:$AD$495&gt;=6))*ROW('CASE MASTER'!$T$2:$T$495))-(ROW('CASE MASTER'!#REF!)-1)))+((3-INDEX('CASE MASTER'!$AA$2:$AA$495,(SUMPRODUCT((('CASE MASTER'!$T$2:$T$495=14)*('CASE MASTER'!$AA$2:$AA$495&lt;=3)*('CASE MASTER'!$AC$2:$AC$495&gt;=3)*('CASE MASTER'!$AB$2:$AB$495&lt;=6)*('CASE MASTER'!$AD$2:$AD$495&gt;=6))*ROW('CASE MASTER'!$T$2:$T$495))-(ROW('CASE MASTER'!#REF!)-1))))*(INDEX('CASE MASTER'!$AD$2:$AD$495,(SUMPRODUCT((('CASE MASTER'!$T$2:$T$495=14)*('CASE MASTER'!$AA$2:$AA$495&lt;=3)*('CASE MASTER'!$AC$2:$AC$495&gt;=3)*('CASE MASTER'!$AB$2:$AB$495&lt;=6)*('CASE MASTER'!$AD$2:$AD$495&gt;=6))*ROW('CASE MASTER'!$T$2:$T$495))-(ROW('CASE MASTER'!#REF!)-1)))-INDEX('CASE MASTER'!$AB$2:$AB$495,(SUMPRODUCT((('CASE MASTER'!$T$2:$T$495=14)*('CASE MASTER'!$AA$2:$AA$495&lt;=3)*('CASE MASTER'!$AC$2:$AC$495&gt;=3)*('CASE MASTER'!$AB$2:$AB$495&lt;=6)*('CASE MASTER'!$AD$2:$AD$495&gt;=6))*ROW('CASE MASTER'!$T$2:$T$495))-(ROW('CASE MASTER'!#REF!)-1)))+1)+(6-INDEX('CASE MASTER'!$AB$2:$AB$495,(SUMPRODUCT((('CASE MASTER'!$T$2:$T$495=14)*('CASE MASTER'!$AA$2:$AA$495&lt;=3)*('CASE MASTER'!$AC$2:$AC$495&gt;=3)*('CASE MASTER'!$AB$2:$AB$495&lt;=6)*('CASE MASTER'!$AD$2:$AD$495&gt;=6))*ROW('CASE MASTER'!$T$2:$T$495))-(ROW('CASE MASTER'!#REF!)-1))))+1)))-1)*50+1,50))&amp;"_"&amp;INDEX('CASE MASTER'!$Q$2:$Q$495,(SUMPRODUCT((('CASE MASTER'!$T$2:$T$495=14)*('CASE MASTER'!$AA$2:$AA$495&lt;=3)*('CASE MASTER'!$AC$2:$AC$495&gt;=3)*('CASE MASTER'!$AB$2:$AB$495&lt;=6)*('CASE MASTER'!$AD$2:$AD$495&gt;=6))*ROW('CASE MASTER'!$T$2:$T$495))-(ROW('CASE MASTER'!#REF!)-1))),"")),"")</f>
        <v/>
      </c>
      <c r="H187" s="10" t="str">
        <f>IFERROR(IF(SUMPRODUCT((('CASE MASTER'!$T$2:$T$495=14)*('CASE MASTER'!$U$2:$U$495&lt;=3)*('CASE MASTER'!$W$2:$W$495&gt;=3)*('CASE MASTER'!$V$2:$V$495&lt;=7)*('CASE MASTER'!$X$2:$X$495&gt;=7))*ROW('CASE MASTER'!$T$2:$T$495))&gt;0,INDEX('CASE MASTER'!$Y$2:$Y$495,(SUMPRODUCT((('CASE MASTER'!$T$2:$T$495=14)*('CASE MASTER'!$U$2:$U$495&lt;=3)*('CASE MASTER'!$W$2:$W$495&gt;=3)*('CASE MASTER'!$V$2:$V$495&lt;=7)*('CASE MASTER'!$X$2:$X$495&gt;=7))*ROW('CASE MASTER'!$T$2:$T$495))-(ROW('CASE MASTER'!#REF!)-1)))&amp;TRIM(MID(SUBSTITUTE(SUBSTITUTE(INDEX('CASE MASTER'!$N$2:$N$495,(SUMPRODUCT((('CASE MASTER'!$T$2:$T$495=14)*('CASE MASTER'!$U$2:$U$495&lt;=3)*('CASE MASTER'!$W$2:$W$495&gt;=3)*('CASE MASTER'!$V$2:$V$495&lt;=7)*('CASE MASTER'!$X$2:$X$495&gt;=7))*ROW('CASE MASTER'!$T$2:$T$495))-(ROW('CASE MASTER'!#REF!)-1))),":",","),",",REPT(" ",50)),((((3-INDEX('CASE MASTER'!$U$2:$U$495,(SUMPRODUCT((('CASE MASTER'!$T$2:$T$495=14)*('CASE MASTER'!$U$2:$U$495&lt;=3)*('CASE MASTER'!$W$2:$W$495&gt;=3)*('CASE MASTER'!$V$2:$V$495&lt;=7)*('CASE MASTER'!$X$2:$X$495&gt;=7))*ROW('CASE MASTER'!$T$2:$T$495))-(ROW('CASE MASTER'!#REF!)-1))))*(INDEX('CASE MASTER'!$X$2:$X$495,(SUMPRODUCT((('CASE MASTER'!$T$2:$T$495=14)*('CASE MASTER'!$U$2:$U$495&lt;=3)*('CASE MASTER'!$W$2:$W$495&gt;=3)*('CASE MASTER'!$V$2:$V$495&lt;=7)*('CASE MASTER'!$X$2:$X$495&gt;=7))*ROW('CASE MASTER'!$T$2:$T$495))-(ROW('CASE MASTER'!#REF!)-1)))-INDEX('CASE MASTER'!$V$2:$V$495,(SUMPRODUCT((('CASE MASTER'!$T$2:$T$495=14)*('CASE MASTER'!$U$2:$U$495&lt;=3)*('CASE MASTER'!$W$2:$W$495&gt;=3)*('CASE MASTER'!$V$2:$V$495&lt;=7)*('CASE MASTER'!$X$2:$X$495&gt;=7))*ROW('CASE MASTER'!$T$2:$T$495))-(ROW('CASE MASTER'!#REF!)-1)))+1)+(7-INDEX('CASE MASTER'!$V$2:$V$495,(SUMPRODUCT((('CASE MASTER'!$T$2:$T$495=14)*('CASE MASTER'!$U$2:$U$495&lt;=3)*('CASE MASTER'!$W$2:$W$495&gt;=3)*('CASE MASTER'!$V$2:$V$495&lt;=7)*('CASE MASTER'!$X$2:$X$495&gt;=7))*ROW('CASE MASTER'!$T$2:$T$495))-(ROW('CASE MASTER'!#REF!)-1))))+1))-1)*50+1,50))&amp;"_"&amp;INDEX('CASE MASTER'!$Q$2:$Q$495,(SUMPRODUCT((('CASE MASTER'!$T$2:$T$495=14)*('CASE MASTER'!$U$2:$U$495&lt;=3)*('CASE MASTER'!$W$2:$W$495&gt;=3)*('CASE MASTER'!$V$2:$V$495&lt;=7)*('CASE MASTER'!$X$2:$X$495&gt;=7))*ROW('CASE MASTER'!$T$2:$T$495))-(ROW('CASE MASTER'!#REF!)-1))),IF(SUMPRODUCT((('CASE MASTER'!$T$2:$T$495=14)*('CASE MASTER'!$AA$2:$AA$495&lt;=3)*('CASE MASTER'!$AC$2:$AC$495&gt;=3)*('CASE MASTER'!$AB$2:$AB$495&lt;=7)*('CASE MASTER'!$AD$2:$AD$495&gt;=7))*ROW('CASE MASTER'!$T$2:$T$495))&gt;0,INDEX('CASE MASTER'!$Y$2:$Y$495,(SUMPRODUCT((('CASE MASTER'!$T$2:$T$495=14)*('CASE MASTER'!$AA$2:$AA$495&lt;=3)*('CASE MASTER'!$AC$2:$AC$495&gt;=3)*('CASE MASTER'!$AB$2:$AB$495&lt;=7)*('CASE MASTER'!$AD$2:$AD$495&gt;=7))*ROW('CASE MASTER'!$T$2:$T$495))-(ROW('CASE MASTER'!#REF!)-1)))&amp;TRIM(MID(SUBSTITUTE(SUBSTITUTE(INDEX('CASE MASTER'!$N$2:$N$495,(SUMPRODUCT((('CASE MASTER'!$T$2:$T$495=14)*('CASE MASTER'!$AA$2:$AA$495&lt;=3)*('CASE MASTER'!$AC$2:$AC$495&gt;=3)*('CASE MASTER'!$AB$2:$AB$495&lt;=7)*('CASE MASTER'!$AD$2:$AD$495&gt;=7))*ROW('CASE MASTER'!$T$2:$T$495))-(ROW('CASE MASTER'!#REF!)-1))),":",","),",",REPT(" ",50)),(((INDEX('CASE MASTER'!$Z$2:$Z$495,(SUMPRODUCT((('CASE MASTER'!$T$2:$T$495=14)*('CASE MASTER'!$AA$2:$AA$495&lt;=3)*('CASE MASTER'!$AC$2:$AC$495&gt;=3)*('CASE MASTER'!$AB$2:$AB$495&lt;=7)*('CASE MASTER'!$AD$2:$AD$495&gt;=7))*ROW('CASE MASTER'!$T$2:$T$495))-(ROW('CASE MASTER'!#REF!)-1)))+((3-INDEX('CASE MASTER'!$AA$2:$AA$495,(SUMPRODUCT((('CASE MASTER'!$T$2:$T$495=14)*('CASE MASTER'!$AA$2:$AA$495&lt;=3)*('CASE MASTER'!$AC$2:$AC$495&gt;=3)*('CASE MASTER'!$AB$2:$AB$495&lt;=7)*('CASE MASTER'!$AD$2:$AD$495&gt;=7))*ROW('CASE MASTER'!$T$2:$T$495))-(ROW('CASE MASTER'!#REF!)-1))))*(INDEX('CASE MASTER'!$AD$2:$AD$495,(SUMPRODUCT((('CASE MASTER'!$T$2:$T$495=14)*('CASE MASTER'!$AA$2:$AA$495&lt;=3)*('CASE MASTER'!$AC$2:$AC$495&gt;=3)*('CASE MASTER'!$AB$2:$AB$495&lt;=7)*('CASE MASTER'!$AD$2:$AD$495&gt;=7))*ROW('CASE MASTER'!$T$2:$T$495))-(ROW('CASE MASTER'!#REF!)-1)))-INDEX('CASE MASTER'!$AB$2:$AB$495,(SUMPRODUCT((('CASE MASTER'!$T$2:$T$495=14)*('CASE MASTER'!$AA$2:$AA$495&lt;=3)*('CASE MASTER'!$AC$2:$AC$495&gt;=3)*('CASE MASTER'!$AB$2:$AB$495&lt;=7)*('CASE MASTER'!$AD$2:$AD$495&gt;=7))*ROW('CASE MASTER'!$T$2:$T$495))-(ROW('CASE MASTER'!#REF!)-1)))+1)+(7-INDEX('CASE MASTER'!$AB$2:$AB$495,(SUMPRODUCT((('CASE MASTER'!$T$2:$T$495=14)*('CASE MASTER'!$AA$2:$AA$495&lt;=3)*('CASE MASTER'!$AC$2:$AC$495&gt;=3)*('CASE MASTER'!$AB$2:$AB$495&lt;=7)*('CASE MASTER'!$AD$2:$AD$495&gt;=7))*ROW('CASE MASTER'!$T$2:$T$495))-(ROW('CASE MASTER'!#REF!)-1))))+1)))-1)*50+1,50))&amp;"_"&amp;INDEX('CASE MASTER'!$Q$2:$Q$495,(SUMPRODUCT((('CASE MASTER'!$T$2:$T$495=14)*('CASE MASTER'!$AA$2:$AA$495&lt;=3)*('CASE MASTER'!$AC$2:$AC$495&gt;=3)*('CASE MASTER'!$AB$2:$AB$495&lt;=7)*('CASE MASTER'!$AD$2:$AD$495&gt;=7))*ROW('CASE MASTER'!$T$2:$T$495))-(ROW('CASE MASTER'!#REF!)-1))),"")),"")</f>
        <v/>
      </c>
      <c r="I187" s="10" t="str">
        <f>IFERROR(IF(SUMPRODUCT((('CASE MASTER'!$T$2:$T$495=14)*('CASE MASTER'!$U$2:$U$495&lt;=3)*('CASE MASTER'!$W$2:$W$495&gt;=3)*('CASE MASTER'!$V$2:$V$495&lt;=8)*('CASE MASTER'!$X$2:$X$495&gt;=8))*ROW('CASE MASTER'!$T$2:$T$495))&gt;0,INDEX('CASE MASTER'!$Y$2:$Y$495,(SUMPRODUCT((('CASE MASTER'!$T$2:$T$495=14)*('CASE MASTER'!$U$2:$U$495&lt;=3)*('CASE MASTER'!$W$2:$W$495&gt;=3)*('CASE MASTER'!$V$2:$V$495&lt;=8)*('CASE MASTER'!$X$2:$X$495&gt;=8))*ROW('CASE MASTER'!$T$2:$T$495))-(ROW('CASE MASTER'!#REF!)-1)))&amp;TRIM(MID(SUBSTITUTE(SUBSTITUTE(INDEX('CASE MASTER'!$N$2:$N$495,(SUMPRODUCT((('CASE MASTER'!$T$2:$T$495=14)*('CASE MASTER'!$U$2:$U$495&lt;=3)*('CASE MASTER'!$W$2:$W$495&gt;=3)*('CASE MASTER'!$V$2:$V$495&lt;=8)*('CASE MASTER'!$X$2:$X$495&gt;=8))*ROW('CASE MASTER'!$T$2:$T$495))-(ROW('CASE MASTER'!#REF!)-1))),":",","),",",REPT(" ",50)),((((3-INDEX('CASE MASTER'!$U$2:$U$495,(SUMPRODUCT((('CASE MASTER'!$T$2:$T$495=14)*('CASE MASTER'!$U$2:$U$495&lt;=3)*('CASE MASTER'!$W$2:$W$495&gt;=3)*('CASE MASTER'!$V$2:$V$495&lt;=8)*('CASE MASTER'!$X$2:$X$495&gt;=8))*ROW('CASE MASTER'!$T$2:$T$495))-(ROW('CASE MASTER'!#REF!)-1))))*(INDEX('CASE MASTER'!$X$2:$X$495,(SUMPRODUCT((('CASE MASTER'!$T$2:$T$495=14)*('CASE MASTER'!$U$2:$U$495&lt;=3)*('CASE MASTER'!$W$2:$W$495&gt;=3)*('CASE MASTER'!$V$2:$V$495&lt;=8)*('CASE MASTER'!$X$2:$X$495&gt;=8))*ROW('CASE MASTER'!$T$2:$T$495))-(ROW('CASE MASTER'!#REF!)-1)))-INDEX('CASE MASTER'!$V$2:$V$495,(SUMPRODUCT((('CASE MASTER'!$T$2:$T$495=14)*('CASE MASTER'!$U$2:$U$495&lt;=3)*('CASE MASTER'!$W$2:$W$495&gt;=3)*('CASE MASTER'!$V$2:$V$495&lt;=8)*('CASE MASTER'!$X$2:$X$495&gt;=8))*ROW('CASE MASTER'!$T$2:$T$495))-(ROW('CASE MASTER'!#REF!)-1)))+1)+(8-INDEX('CASE MASTER'!$V$2:$V$495,(SUMPRODUCT((('CASE MASTER'!$T$2:$T$495=14)*('CASE MASTER'!$U$2:$U$495&lt;=3)*('CASE MASTER'!$W$2:$W$495&gt;=3)*('CASE MASTER'!$V$2:$V$495&lt;=8)*('CASE MASTER'!$X$2:$X$495&gt;=8))*ROW('CASE MASTER'!$T$2:$T$495))-(ROW('CASE MASTER'!#REF!)-1))))+1))-1)*50+1,50))&amp;"_"&amp;INDEX('CASE MASTER'!$Q$2:$Q$495,(SUMPRODUCT((('CASE MASTER'!$T$2:$T$495=14)*('CASE MASTER'!$U$2:$U$495&lt;=3)*('CASE MASTER'!$W$2:$W$495&gt;=3)*('CASE MASTER'!$V$2:$V$495&lt;=8)*('CASE MASTER'!$X$2:$X$495&gt;=8))*ROW('CASE MASTER'!$T$2:$T$495))-(ROW('CASE MASTER'!#REF!)-1))),IF(SUMPRODUCT((('CASE MASTER'!$T$2:$T$495=14)*('CASE MASTER'!$AA$2:$AA$495&lt;=3)*('CASE MASTER'!$AC$2:$AC$495&gt;=3)*('CASE MASTER'!$AB$2:$AB$495&lt;=8)*('CASE MASTER'!$AD$2:$AD$495&gt;=8))*ROW('CASE MASTER'!$T$2:$T$495))&gt;0,INDEX('CASE MASTER'!$Y$2:$Y$495,(SUMPRODUCT((('CASE MASTER'!$T$2:$T$495=14)*('CASE MASTER'!$AA$2:$AA$495&lt;=3)*('CASE MASTER'!$AC$2:$AC$495&gt;=3)*('CASE MASTER'!$AB$2:$AB$495&lt;=8)*('CASE MASTER'!$AD$2:$AD$495&gt;=8))*ROW('CASE MASTER'!$T$2:$T$495))-(ROW('CASE MASTER'!#REF!)-1)))&amp;TRIM(MID(SUBSTITUTE(SUBSTITUTE(INDEX('CASE MASTER'!$N$2:$N$495,(SUMPRODUCT((('CASE MASTER'!$T$2:$T$495=14)*('CASE MASTER'!$AA$2:$AA$495&lt;=3)*('CASE MASTER'!$AC$2:$AC$495&gt;=3)*('CASE MASTER'!$AB$2:$AB$495&lt;=8)*('CASE MASTER'!$AD$2:$AD$495&gt;=8))*ROW('CASE MASTER'!$T$2:$T$495))-(ROW('CASE MASTER'!#REF!)-1))),":",","),",",REPT(" ",50)),(((INDEX('CASE MASTER'!$Z$2:$Z$495,(SUMPRODUCT((('CASE MASTER'!$T$2:$T$495=14)*('CASE MASTER'!$AA$2:$AA$495&lt;=3)*('CASE MASTER'!$AC$2:$AC$495&gt;=3)*('CASE MASTER'!$AB$2:$AB$495&lt;=8)*('CASE MASTER'!$AD$2:$AD$495&gt;=8))*ROW('CASE MASTER'!$T$2:$T$495))-(ROW('CASE MASTER'!#REF!)-1)))+((3-INDEX('CASE MASTER'!$AA$2:$AA$495,(SUMPRODUCT((('CASE MASTER'!$T$2:$T$495=14)*('CASE MASTER'!$AA$2:$AA$495&lt;=3)*('CASE MASTER'!$AC$2:$AC$495&gt;=3)*('CASE MASTER'!$AB$2:$AB$495&lt;=8)*('CASE MASTER'!$AD$2:$AD$495&gt;=8))*ROW('CASE MASTER'!$T$2:$T$495))-(ROW('CASE MASTER'!#REF!)-1))))*(INDEX('CASE MASTER'!$AD$2:$AD$495,(SUMPRODUCT((('CASE MASTER'!$T$2:$T$495=14)*('CASE MASTER'!$AA$2:$AA$495&lt;=3)*('CASE MASTER'!$AC$2:$AC$495&gt;=3)*('CASE MASTER'!$AB$2:$AB$495&lt;=8)*('CASE MASTER'!$AD$2:$AD$495&gt;=8))*ROW('CASE MASTER'!$T$2:$T$495))-(ROW('CASE MASTER'!#REF!)-1)))-INDEX('CASE MASTER'!$AB$2:$AB$495,(SUMPRODUCT((('CASE MASTER'!$T$2:$T$495=14)*('CASE MASTER'!$AA$2:$AA$495&lt;=3)*('CASE MASTER'!$AC$2:$AC$495&gt;=3)*('CASE MASTER'!$AB$2:$AB$495&lt;=8)*('CASE MASTER'!$AD$2:$AD$495&gt;=8))*ROW('CASE MASTER'!$T$2:$T$495))-(ROW('CASE MASTER'!#REF!)-1)))+1)+(8-INDEX('CASE MASTER'!$AB$2:$AB$495,(SUMPRODUCT((('CASE MASTER'!$T$2:$T$495=14)*('CASE MASTER'!$AA$2:$AA$495&lt;=3)*('CASE MASTER'!$AC$2:$AC$495&gt;=3)*('CASE MASTER'!$AB$2:$AB$495&lt;=8)*('CASE MASTER'!$AD$2:$AD$495&gt;=8))*ROW('CASE MASTER'!$T$2:$T$495))-(ROW('CASE MASTER'!#REF!)-1))))+1)))-1)*50+1,50))&amp;"_"&amp;INDEX('CASE MASTER'!$Q$2:$Q$495,(SUMPRODUCT((('CASE MASTER'!$T$2:$T$495=14)*('CASE MASTER'!$AA$2:$AA$495&lt;=3)*('CASE MASTER'!$AC$2:$AC$495&gt;=3)*('CASE MASTER'!$AB$2:$AB$495&lt;=8)*('CASE MASTER'!$AD$2:$AD$495&gt;=8))*ROW('CASE MASTER'!$T$2:$T$495))-(ROW('CASE MASTER'!#REF!)-1))),"")),"")</f>
        <v/>
      </c>
      <c r="J187" s="10" t="str">
        <f>IFERROR(IF(SUMPRODUCT((('CASE MASTER'!$T$2:$T$495=14)*('CASE MASTER'!$U$2:$U$495&lt;=3)*('CASE MASTER'!$W$2:$W$495&gt;=3)*('CASE MASTER'!$V$2:$V$495&lt;=9)*('CASE MASTER'!$X$2:$X$495&gt;=9))*ROW('CASE MASTER'!$T$2:$T$495))&gt;0,INDEX('CASE MASTER'!$Y$2:$Y$495,(SUMPRODUCT((('CASE MASTER'!$T$2:$T$495=14)*('CASE MASTER'!$U$2:$U$495&lt;=3)*('CASE MASTER'!$W$2:$W$495&gt;=3)*('CASE MASTER'!$V$2:$V$495&lt;=9)*('CASE MASTER'!$X$2:$X$495&gt;=9))*ROW('CASE MASTER'!$T$2:$T$495))-(ROW('CASE MASTER'!#REF!)-1)))&amp;TRIM(MID(SUBSTITUTE(SUBSTITUTE(INDEX('CASE MASTER'!$N$2:$N$495,(SUMPRODUCT((('CASE MASTER'!$T$2:$T$495=14)*('CASE MASTER'!$U$2:$U$495&lt;=3)*('CASE MASTER'!$W$2:$W$495&gt;=3)*('CASE MASTER'!$V$2:$V$495&lt;=9)*('CASE MASTER'!$X$2:$X$495&gt;=9))*ROW('CASE MASTER'!$T$2:$T$495))-(ROW('CASE MASTER'!#REF!)-1))),":",","),",",REPT(" ",50)),((((3-INDEX('CASE MASTER'!$U$2:$U$495,(SUMPRODUCT((('CASE MASTER'!$T$2:$T$495=14)*('CASE MASTER'!$U$2:$U$495&lt;=3)*('CASE MASTER'!$W$2:$W$495&gt;=3)*('CASE MASTER'!$V$2:$V$495&lt;=9)*('CASE MASTER'!$X$2:$X$495&gt;=9))*ROW('CASE MASTER'!$T$2:$T$495))-(ROW('CASE MASTER'!#REF!)-1))))*(INDEX('CASE MASTER'!$X$2:$X$495,(SUMPRODUCT((('CASE MASTER'!$T$2:$T$495=14)*('CASE MASTER'!$U$2:$U$495&lt;=3)*('CASE MASTER'!$W$2:$W$495&gt;=3)*('CASE MASTER'!$V$2:$V$495&lt;=9)*('CASE MASTER'!$X$2:$X$495&gt;=9))*ROW('CASE MASTER'!$T$2:$T$495))-(ROW('CASE MASTER'!#REF!)-1)))-INDEX('CASE MASTER'!$V$2:$V$495,(SUMPRODUCT((('CASE MASTER'!$T$2:$T$495=14)*('CASE MASTER'!$U$2:$U$495&lt;=3)*('CASE MASTER'!$W$2:$W$495&gt;=3)*('CASE MASTER'!$V$2:$V$495&lt;=9)*('CASE MASTER'!$X$2:$X$495&gt;=9))*ROW('CASE MASTER'!$T$2:$T$495))-(ROW('CASE MASTER'!#REF!)-1)))+1)+(9-INDEX('CASE MASTER'!$V$2:$V$495,(SUMPRODUCT((('CASE MASTER'!$T$2:$T$495=14)*('CASE MASTER'!$U$2:$U$495&lt;=3)*('CASE MASTER'!$W$2:$W$495&gt;=3)*('CASE MASTER'!$V$2:$V$495&lt;=9)*('CASE MASTER'!$X$2:$X$495&gt;=9))*ROW('CASE MASTER'!$T$2:$T$495))-(ROW('CASE MASTER'!#REF!)-1))))+1))-1)*50+1,50))&amp;"_"&amp;INDEX('CASE MASTER'!$Q$2:$Q$495,(SUMPRODUCT((('CASE MASTER'!$T$2:$T$495=14)*('CASE MASTER'!$U$2:$U$495&lt;=3)*('CASE MASTER'!$W$2:$W$495&gt;=3)*('CASE MASTER'!$V$2:$V$495&lt;=9)*('CASE MASTER'!$X$2:$X$495&gt;=9))*ROW('CASE MASTER'!$T$2:$T$495))-(ROW('CASE MASTER'!#REF!)-1))),IF(SUMPRODUCT((('CASE MASTER'!$T$2:$T$495=14)*('CASE MASTER'!$AA$2:$AA$495&lt;=3)*('CASE MASTER'!$AC$2:$AC$495&gt;=3)*('CASE MASTER'!$AB$2:$AB$495&lt;=9)*('CASE MASTER'!$AD$2:$AD$495&gt;=9))*ROW('CASE MASTER'!$T$2:$T$495))&gt;0,INDEX('CASE MASTER'!$Y$2:$Y$495,(SUMPRODUCT((('CASE MASTER'!$T$2:$T$495=14)*('CASE MASTER'!$AA$2:$AA$495&lt;=3)*('CASE MASTER'!$AC$2:$AC$495&gt;=3)*('CASE MASTER'!$AB$2:$AB$495&lt;=9)*('CASE MASTER'!$AD$2:$AD$495&gt;=9))*ROW('CASE MASTER'!$T$2:$T$495))-(ROW('CASE MASTER'!#REF!)-1)))&amp;TRIM(MID(SUBSTITUTE(SUBSTITUTE(INDEX('CASE MASTER'!$N$2:$N$495,(SUMPRODUCT((('CASE MASTER'!$T$2:$T$495=14)*('CASE MASTER'!$AA$2:$AA$495&lt;=3)*('CASE MASTER'!$AC$2:$AC$495&gt;=3)*('CASE MASTER'!$AB$2:$AB$495&lt;=9)*('CASE MASTER'!$AD$2:$AD$495&gt;=9))*ROW('CASE MASTER'!$T$2:$T$495))-(ROW('CASE MASTER'!#REF!)-1))),":",","),",",REPT(" ",50)),(((INDEX('CASE MASTER'!$Z$2:$Z$495,(SUMPRODUCT((('CASE MASTER'!$T$2:$T$495=14)*('CASE MASTER'!$AA$2:$AA$495&lt;=3)*('CASE MASTER'!$AC$2:$AC$495&gt;=3)*('CASE MASTER'!$AB$2:$AB$495&lt;=9)*('CASE MASTER'!$AD$2:$AD$495&gt;=9))*ROW('CASE MASTER'!$T$2:$T$495))-(ROW('CASE MASTER'!#REF!)-1)))+((3-INDEX('CASE MASTER'!$AA$2:$AA$495,(SUMPRODUCT((('CASE MASTER'!$T$2:$T$495=14)*('CASE MASTER'!$AA$2:$AA$495&lt;=3)*('CASE MASTER'!$AC$2:$AC$495&gt;=3)*('CASE MASTER'!$AB$2:$AB$495&lt;=9)*('CASE MASTER'!$AD$2:$AD$495&gt;=9))*ROW('CASE MASTER'!$T$2:$T$495))-(ROW('CASE MASTER'!#REF!)-1))))*(INDEX('CASE MASTER'!$AD$2:$AD$495,(SUMPRODUCT((('CASE MASTER'!$T$2:$T$495=14)*('CASE MASTER'!$AA$2:$AA$495&lt;=3)*('CASE MASTER'!$AC$2:$AC$495&gt;=3)*('CASE MASTER'!$AB$2:$AB$495&lt;=9)*('CASE MASTER'!$AD$2:$AD$495&gt;=9))*ROW('CASE MASTER'!$T$2:$T$495))-(ROW('CASE MASTER'!#REF!)-1)))-INDEX('CASE MASTER'!$AB$2:$AB$495,(SUMPRODUCT((('CASE MASTER'!$T$2:$T$495=14)*('CASE MASTER'!$AA$2:$AA$495&lt;=3)*('CASE MASTER'!$AC$2:$AC$495&gt;=3)*('CASE MASTER'!$AB$2:$AB$495&lt;=9)*('CASE MASTER'!$AD$2:$AD$495&gt;=9))*ROW('CASE MASTER'!$T$2:$T$495))-(ROW('CASE MASTER'!#REF!)-1)))+1)+(9-INDEX('CASE MASTER'!$AB$2:$AB$495,(SUMPRODUCT((('CASE MASTER'!$T$2:$T$495=14)*('CASE MASTER'!$AA$2:$AA$495&lt;=3)*('CASE MASTER'!$AC$2:$AC$495&gt;=3)*('CASE MASTER'!$AB$2:$AB$495&lt;=9)*('CASE MASTER'!$AD$2:$AD$495&gt;=9))*ROW('CASE MASTER'!$T$2:$T$495))-(ROW('CASE MASTER'!#REF!)-1))))+1)))-1)*50+1,50))&amp;"_"&amp;INDEX('CASE MASTER'!$Q$2:$Q$495,(SUMPRODUCT((('CASE MASTER'!$T$2:$T$495=14)*('CASE MASTER'!$AA$2:$AA$495&lt;=3)*('CASE MASTER'!$AC$2:$AC$495&gt;=3)*('CASE MASTER'!$AB$2:$AB$495&lt;=9)*('CASE MASTER'!$AD$2:$AD$495&gt;=9))*ROW('CASE MASTER'!$T$2:$T$495))-(ROW('CASE MASTER'!#REF!)-1))),"")),"")</f>
        <v/>
      </c>
      <c r="K187" s="10" t="str">
        <f>IFERROR(IF(SUMPRODUCT((('CASE MASTER'!$T$2:$T$495=14)*('CASE MASTER'!$U$2:$U$495&lt;=3)*('CASE MASTER'!$W$2:$W$495&gt;=3)*('CASE MASTER'!$V$2:$V$495&lt;=10)*('CASE MASTER'!$X$2:$X$495&gt;=10))*ROW('CASE MASTER'!$T$2:$T$495))&gt;0,INDEX('CASE MASTER'!$Y$2:$Y$495,(SUMPRODUCT((('CASE MASTER'!$T$2:$T$495=14)*('CASE MASTER'!$U$2:$U$495&lt;=3)*('CASE MASTER'!$W$2:$W$495&gt;=3)*('CASE MASTER'!$V$2:$V$495&lt;=10)*('CASE MASTER'!$X$2:$X$495&gt;=10))*ROW('CASE MASTER'!$T$2:$T$495))-(ROW('CASE MASTER'!#REF!)-1)))&amp;TRIM(MID(SUBSTITUTE(SUBSTITUTE(INDEX('CASE MASTER'!$N$2:$N$495,(SUMPRODUCT((('CASE MASTER'!$T$2:$T$495=14)*('CASE MASTER'!$U$2:$U$495&lt;=3)*('CASE MASTER'!$W$2:$W$495&gt;=3)*('CASE MASTER'!$V$2:$V$495&lt;=10)*('CASE MASTER'!$X$2:$X$495&gt;=10))*ROW('CASE MASTER'!$T$2:$T$495))-(ROW('CASE MASTER'!#REF!)-1))),":",","),",",REPT(" ",50)),((((3-INDEX('CASE MASTER'!$U$2:$U$495,(SUMPRODUCT((('CASE MASTER'!$T$2:$T$495=14)*('CASE MASTER'!$U$2:$U$495&lt;=3)*('CASE MASTER'!$W$2:$W$495&gt;=3)*('CASE MASTER'!$V$2:$V$495&lt;=10)*('CASE MASTER'!$X$2:$X$495&gt;=10))*ROW('CASE MASTER'!$T$2:$T$495))-(ROW('CASE MASTER'!#REF!)-1))))*(INDEX('CASE MASTER'!$X$2:$X$495,(SUMPRODUCT((('CASE MASTER'!$T$2:$T$495=14)*('CASE MASTER'!$U$2:$U$495&lt;=3)*('CASE MASTER'!$W$2:$W$495&gt;=3)*('CASE MASTER'!$V$2:$V$495&lt;=10)*('CASE MASTER'!$X$2:$X$495&gt;=10))*ROW('CASE MASTER'!$T$2:$T$495))-(ROW('CASE MASTER'!#REF!)-1)))-INDEX('CASE MASTER'!$V$2:$V$495,(SUMPRODUCT((('CASE MASTER'!$T$2:$T$495=14)*('CASE MASTER'!$U$2:$U$495&lt;=3)*('CASE MASTER'!$W$2:$W$495&gt;=3)*('CASE MASTER'!$V$2:$V$495&lt;=10)*('CASE MASTER'!$X$2:$X$495&gt;=10))*ROW('CASE MASTER'!$T$2:$T$495))-(ROW('CASE MASTER'!#REF!)-1)))+1)+(10-INDEX('CASE MASTER'!$V$2:$V$495,(SUMPRODUCT((('CASE MASTER'!$T$2:$T$495=14)*('CASE MASTER'!$U$2:$U$495&lt;=3)*('CASE MASTER'!$W$2:$W$495&gt;=3)*('CASE MASTER'!$V$2:$V$495&lt;=10)*('CASE MASTER'!$X$2:$X$495&gt;=10))*ROW('CASE MASTER'!$T$2:$T$495))-(ROW('CASE MASTER'!#REF!)-1))))+1))-1)*50+1,50))&amp;"_"&amp;INDEX('CASE MASTER'!$Q$2:$Q$495,(SUMPRODUCT((('CASE MASTER'!$T$2:$T$495=14)*('CASE MASTER'!$U$2:$U$495&lt;=3)*('CASE MASTER'!$W$2:$W$495&gt;=3)*('CASE MASTER'!$V$2:$V$495&lt;=10)*('CASE MASTER'!$X$2:$X$495&gt;=10))*ROW('CASE MASTER'!$T$2:$T$495))-(ROW('CASE MASTER'!#REF!)-1))),IF(SUMPRODUCT((('CASE MASTER'!$T$2:$T$495=14)*('CASE MASTER'!$AA$2:$AA$495&lt;=3)*('CASE MASTER'!$AC$2:$AC$495&gt;=3)*('CASE MASTER'!$AB$2:$AB$495&lt;=10)*('CASE MASTER'!$AD$2:$AD$495&gt;=10))*ROW('CASE MASTER'!$T$2:$T$495))&gt;0,INDEX('CASE MASTER'!$Y$2:$Y$495,(SUMPRODUCT((('CASE MASTER'!$T$2:$T$495=14)*('CASE MASTER'!$AA$2:$AA$495&lt;=3)*('CASE MASTER'!$AC$2:$AC$495&gt;=3)*('CASE MASTER'!$AB$2:$AB$495&lt;=10)*('CASE MASTER'!$AD$2:$AD$495&gt;=10))*ROW('CASE MASTER'!$T$2:$T$495))-(ROW('CASE MASTER'!#REF!)-1)))&amp;TRIM(MID(SUBSTITUTE(SUBSTITUTE(INDEX('CASE MASTER'!$N$2:$N$495,(SUMPRODUCT((('CASE MASTER'!$T$2:$T$495=14)*('CASE MASTER'!$AA$2:$AA$495&lt;=3)*('CASE MASTER'!$AC$2:$AC$495&gt;=3)*('CASE MASTER'!$AB$2:$AB$495&lt;=10)*('CASE MASTER'!$AD$2:$AD$495&gt;=10))*ROW('CASE MASTER'!$T$2:$T$495))-(ROW('CASE MASTER'!#REF!)-1))),":",","),",",REPT(" ",50)),(((INDEX('CASE MASTER'!$Z$2:$Z$495,(SUMPRODUCT((('CASE MASTER'!$T$2:$T$495=14)*('CASE MASTER'!$AA$2:$AA$495&lt;=3)*('CASE MASTER'!$AC$2:$AC$495&gt;=3)*('CASE MASTER'!$AB$2:$AB$495&lt;=10)*('CASE MASTER'!$AD$2:$AD$495&gt;=10))*ROW('CASE MASTER'!$T$2:$T$495))-(ROW('CASE MASTER'!#REF!)-1)))+((3-INDEX('CASE MASTER'!$AA$2:$AA$495,(SUMPRODUCT((('CASE MASTER'!$T$2:$T$495=14)*('CASE MASTER'!$AA$2:$AA$495&lt;=3)*('CASE MASTER'!$AC$2:$AC$495&gt;=3)*('CASE MASTER'!$AB$2:$AB$495&lt;=10)*('CASE MASTER'!$AD$2:$AD$495&gt;=10))*ROW('CASE MASTER'!$T$2:$T$495))-(ROW('CASE MASTER'!#REF!)-1))))*(INDEX('CASE MASTER'!$AD$2:$AD$495,(SUMPRODUCT((('CASE MASTER'!$T$2:$T$495=14)*('CASE MASTER'!$AA$2:$AA$495&lt;=3)*('CASE MASTER'!$AC$2:$AC$495&gt;=3)*('CASE MASTER'!$AB$2:$AB$495&lt;=10)*('CASE MASTER'!$AD$2:$AD$495&gt;=10))*ROW('CASE MASTER'!$T$2:$T$495))-(ROW('CASE MASTER'!#REF!)-1)))-INDEX('CASE MASTER'!$AB$2:$AB$495,(SUMPRODUCT((('CASE MASTER'!$T$2:$T$495=14)*('CASE MASTER'!$AA$2:$AA$495&lt;=3)*('CASE MASTER'!$AC$2:$AC$495&gt;=3)*('CASE MASTER'!$AB$2:$AB$495&lt;=10)*('CASE MASTER'!$AD$2:$AD$495&gt;=10))*ROW('CASE MASTER'!$T$2:$T$495))-(ROW('CASE MASTER'!#REF!)-1)))+1)+(10-INDEX('CASE MASTER'!$AB$2:$AB$495,(SUMPRODUCT((('CASE MASTER'!$T$2:$T$495=14)*('CASE MASTER'!$AA$2:$AA$495&lt;=3)*('CASE MASTER'!$AC$2:$AC$495&gt;=3)*('CASE MASTER'!$AB$2:$AB$495&lt;=10)*('CASE MASTER'!$AD$2:$AD$495&gt;=10))*ROW('CASE MASTER'!$T$2:$T$495))-(ROW('CASE MASTER'!#REF!)-1))))+1)))-1)*50+1,50))&amp;"_"&amp;INDEX('CASE MASTER'!$Q$2:$Q$495,(SUMPRODUCT((('CASE MASTER'!$T$2:$T$495=14)*('CASE MASTER'!$AA$2:$AA$495&lt;=3)*('CASE MASTER'!$AC$2:$AC$495&gt;=3)*('CASE MASTER'!$AB$2:$AB$495&lt;=10)*('CASE MASTER'!$AD$2:$AD$495&gt;=10))*ROW('CASE MASTER'!$T$2:$T$495))-(ROW('CASE MASTER'!#REF!)-1))),"")),"")</f>
        <v/>
      </c>
    </row>
    <row r="188" spans="1:11" ht="15" customHeight="1" x14ac:dyDescent="0.35">
      <c r="A188" s="8" t="s">
        <v>31</v>
      </c>
      <c r="B188" s="10" t="str">
        <f>IFERROR(IF(SUMPRODUCT((('CASE MASTER'!$T$2:$T$495=14)*('CASE MASTER'!$U$2:$U$495&lt;=4)*('CASE MASTER'!$W$2:$W$495&gt;=4)*('CASE MASTER'!$V$2:$V$495&lt;=1)*('CASE MASTER'!$X$2:$X$495&gt;=1))*ROW('CASE MASTER'!$T$2:$T$495))&gt;0,INDEX('CASE MASTER'!$Y$2:$Y$495,(SUMPRODUCT((('CASE MASTER'!$T$2:$T$495=14)*('CASE MASTER'!$U$2:$U$495&lt;=4)*('CASE MASTER'!$W$2:$W$495&gt;=4)*('CASE MASTER'!$V$2:$V$495&lt;=1)*('CASE MASTER'!$X$2:$X$495&gt;=1))*ROW('CASE MASTER'!$T$2:$T$495))-(ROW('CASE MASTER'!#REF!)-1)))&amp;TRIM(MID(SUBSTITUTE(SUBSTITUTE(INDEX('CASE MASTER'!$N$2:$N$495,(SUMPRODUCT((('CASE MASTER'!$T$2:$T$495=14)*('CASE MASTER'!$U$2:$U$495&lt;=4)*('CASE MASTER'!$W$2:$W$495&gt;=4)*('CASE MASTER'!$V$2:$V$495&lt;=1)*('CASE MASTER'!$X$2:$X$495&gt;=1))*ROW('CASE MASTER'!$T$2:$T$495))-(ROW('CASE MASTER'!#REF!)-1))),":",","),",",REPT(" ",50)),((((4-INDEX('CASE MASTER'!$U$2:$U$495,(SUMPRODUCT((('CASE MASTER'!$T$2:$T$495=14)*('CASE MASTER'!$U$2:$U$495&lt;=4)*('CASE MASTER'!$W$2:$W$495&gt;=4)*('CASE MASTER'!$V$2:$V$495&lt;=1)*('CASE MASTER'!$X$2:$X$495&gt;=1))*ROW('CASE MASTER'!$T$2:$T$495))-(ROW('CASE MASTER'!#REF!)-1))))*(INDEX('CASE MASTER'!$X$2:$X$495,(SUMPRODUCT((('CASE MASTER'!$T$2:$T$495=14)*('CASE MASTER'!$U$2:$U$495&lt;=4)*('CASE MASTER'!$W$2:$W$495&gt;=4)*('CASE MASTER'!$V$2:$V$495&lt;=1)*('CASE MASTER'!$X$2:$X$495&gt;=1))*ROW('CASE MASTER'!$T$2:$T$495))-(ROW('CASE MASTER'!#REF!)-1)))-INDEX('CASE MASTER'!$V$2:$V$495,(SUMPRODUCT((('CASE MASTER'!$T$2:$T$495=14)*('CASE MASTER'!$U$2:$U$495&lt;=4)*('CASE MASTER'!$W$2:$W$495&gt;=4)*('CASE MASTER'!$V$2:$V$495&lt;=1)*('CASE MASTER'!$X$2:$X$495&gt;=1))*ROW('CASE MASTER'!$T$2:$T$495))-(ROW('CASE MASTER'!#REF!)-1)))+1)+(1-INDEX('CASE MASTER'!$V$2:$V$495,(SUMPRODUCT((('CASE MASTER'!$T$2:$T$495=14)*('CASE MASTER'!$U$2:$U$495&lt;=4)*('CASE MASTER'!$W$2:$W$495&gt;=4)*('CASE MASTER'!$V$2:$V$495&lt;=1)*('CASE MASTER'!$X$2:$X$495&gt;=1))*ROW('CASE MASTER'!$T$2:$T$495))-(ROW('CASE MASTER'!#REF!)-1))))+1))-1)*50+1,50))&amp;"_"&amp;INDEX('CASE MASTER'!$Q$2:$Q$495,(SUMPRODUCT((('CASE MASTER'!$T$2:$T$495=14)*('CASE MASTER'!$U$2:$U$495&lt;=4)*('CASE MASTER'!$W$2:$W$495&gt;=4)*('CASE MASTER'!$V$2:$V$495&lt;=1)*('CASE MASTER'!$X$2:$X$495&gt;=1))*ROW('CASE MASTER'!$T$2:$T$495))-(ROW('CASE MASTER'!#REF!)-1))),IF(SUMPRODUCT((('CASE MASTER'!$T$2:$T$495=14)*('CASE MASTER'!$AA$2:$AA$495&lt;=4)*('CASE MASTER'!$AC$2:$AC$495&gt;=4)*('CASE MASTER'!$AB$2:$AB$495&lt;=1)*('CASE MASTER'!$AD$2:$AD$495&gt;=1))*ROW('CASE MASTER'!$T$2:$T$495))&gt;0,INDEX('CASE MASTER'!$Y$2:$Y$495,(SUMPRODUCT((('CASE MASTER'!$T$2:$T$495=14)*('CASE MASTER'!$AA$2:$AA$495&lt;=4)*('CASE MASTER'!$AC$2:$AC$495&gt;=4)*('CASE MASTER'!$AB$2:$AB$495&lt;=1)*('CASE MASTER'!$AD$2:$AD$495&gt;=1))*ROW('CASE MASTER'!$T$2:$T$495))-(ROW('CASE MASTER'!#REF!)-1)))&amp;TRIM(MID(SUBSTITUTE(SUBSTITUTE(INDEX('CASE MASTER'!$N$2:$N$495,(SUMPRODUCT((('CASE MASTER'!$T$2:$T$495=14)*('CASE MASTER'!$AA$2:$AA$495&lt;=4)*('CASE MASTER'!$AC$2:$AC$495&gt;=4)*('CASE MASTER'!$AB$2:$AB$495&lt;=1)*('CASE MASTER'!$AD$2:$AD$495&gt;=1))*ROW('CASE MASTER'!$T$2:$T$495))-(ROW('CASE MASTER'!#REF!)-1))),":",","),",",REPT(" ",50)),(((INDEX('CASE MASTER'!$Z$2:$Z$495,(SUMPRODUCT((('CASE MASTER'!$T$2:$T$495=14)*('CASE MASTER'!$AA$2:$AA$495&lt;=4)*('CASE MASTER'!$AC$2:$AC$495&gt;=4)*('CASE MASTER'!$AB$2:$AB$495&lt;=1)*('CASE MASTER'!$AD$2:$AD$495&gt;=1))*ROW('CASE MASTER'!$T$2:$T$495))-(ROW('CASE MASTER'!#REF!)-1)))+((4-INDEX('CASE MASTER'!$AA$2:$AA$495,(SUMPRODUCT((('CASE MASTER'!$T$2:$T$495=14)*('CASE MASTER'!$AA$2:$AA$495&lt;=4)*('CASE MASTER'!$AC$2:$AC$495&gt;=4)*('CASE MASTER'!$AB$2:$AB$495&lt;=1)*('CASE MASTER'!$AD$2:$AD$495&gt;=1))*ROW('CASE MASTER'!$T$2:$T$495))-(ROW('CASE MASTER'!#REF!)-1))))*(INDEX('CASE MASTER'!$AD$2:$AD$495,(SUMPRODUCT((('CASE MASTER'!$T$2:$T$495=14)*('CASE MASTER'!$AA$2:$AA$495&lt;=4)*('CASE MASTER'!$AC$2:$AC$495&gt;=4)*('CASE MASTER'!$AB$2:$AB$495&lt;=1)*('CASE MASTER'!$AD$2:$AD$495&gt;=1))*ROW('CASE MASTER'!$T$2:$T$495))-(ROW('CASE MASTER'!#REF!)-1)))-INDEX('CASE MASTER'!$AB$2:$AB$495,(SUMPRODUCT((('CASE MASTER'!$T$2:$T$495=14)*('CASE MASTER'!$AA$2:$AA$495&lt;=4)*('CASE MASTER'!$AC$2:$AC$495&gt;=4)*('CASE MASTER'!$AB$2:$AB$495&lt;=1)*('CASE MASTER'!$AD$2:$AD$495&gt;=1))*ROW('CASE MASTER'!$T$2:$T$495))-(ROW('CASE MASTER'!#REF!)-1)))+1)+(1-INDEX('CASE MASTER'!$AB$2:$AB$495,(SUMPRODUCT((('CASE MASTER'!$T$2:$T$495=14)*('CASE MASTER'!$AA$2:$AA$495&lt;=4)*('CASE MASTER'!$AC$2:$AC$495&gt;=4)*('CASE MASTER'!$AB$2:$AB$495&lt;=1)*('CASE MASTER'!$AD$2:$AD$495&gt;=1))*ROW('CASE MASTER'!$T$2:$T$495))-(ROW('CASE MASTER'!#REF!)-1))))+1)))-1)*50+1,50))&amp;"_"&amp;INDEX('CASE MASTER'!$Q$2:$Q$495,(SUMPRODUCT((('CASE MASTER'!$T$2:$T$495=14)*('CASE MASTER'!$AA$2:$AA$495&lt;=4)*('CASE MASTER'!$AC$2:$AC$495&gt;=4)*('CASE MASTER'!$AB$2:$AB$495&lt;=1)*('CASE MASTER'!$AD$2:$AD$495&gt;=1))*ROW('CASE MASTER'!$T$2:$T$495))-(ROW('CASE MASTER'!#REF!)-1))),"")),"")</f>
        <v/>
      </c>
      <c r="C188" s="10" t="str">
        <f>IFERROR(IF(SUMPRODUCT((('CASE MASTER'!$T$2:$T$495=14)*('CASE MASTER'!$U$2:$U$495&lt;=4)*('CASE MASTER'!$W$2:$W$495&gt;=4)*('CASE MASTER'!$V$2:$V$495&lt;=2)*('CASE MASTER'!$X$2:$X$495&gt;=2))*ROW('CASE MASTER'!$T$2:$T$495))&gt;0,INDEX('CASE MASTER'!$Y$2:$Y$495,(SUMPRODUCT((('CASE MASTER'!$T$2:$T$495=14)*('CASE MASTER'!$U$2:$U$495&lt;=4)*('CASE MASTER'!$W$2:$W$495&gt;=4)*('CASE MASTER'!$V$2:$V$495&lt;=2)*('CASE MASTER'!$X$2:$X$495&gt;=2))*ROW('CASE MASTER'!$T$2:$T$495))-(ROW('CASE MASTER'!#REF!)-1)))&amp;TRIM(MID(SUBSTITUTE(SUBSTITUTE(INDEX('CASE MASTER'!$N$2:$N$495,(SUMPRODUCT((('CASE MASTER'!$T$2:$T$495=14)*('CASE MASTER'!$U$2:$U$495&lt;=4)*('CASE MASTER'!$W$2:$W$495&gt;=4)*('CASE MASTER'!$V$2:$V$495&lt;=2)*('CASE MASTER'!$X$2:$X$495&gt;=2))*ROW('CASE MASTER'!$T$2:$T$495))-(ROW('CASE MASTER'!#REF!)-1))),":",","),",",REPT(" ",50)),((((4-INDEX('CASE MASTER'!$U$2:$U$495,(SUMPRODUCT((('CASE MASTER'!$T$2:$T$495=14)*('CASE MASTER'!$U$2:$U$495&lt;=4)*('CASE MASTER'!$W$2:$W$495&gt;=4)*('CASE MASTER'!$V$2:$V$495&lt;=2)*('CASE MASTER'!$X$2:$X$495&gt;=2))*ROW('CASE MASTER'!$T$2:$T$495))-(ROW('CASE MASTER'!#REF!)-1))))*(INDEX('CASE MASTER'!$X$2:$X$495,(SUMPRODUCT((('CASE MASTER'!$T$2:$T$495=14)*('CASE MASTER'!$U$2:$U$495&lt;=4)*('CASE MASTER'!$W$2:$W$495&gt;=4)*('CASE MASTER'!$V$2:$V$495&lt;=2)*('CASE MASTER'!$X$2:$X$495&gt;=2))*ROW('CASE MASTER'!$T$2:$T$495))-(ROW('CASE MASTER'!#REF!)-1)))-INDEX('CASE MASTER'!$V$2:$V$495,(SUMPRODUCT((('CASE MASTER'!$T$2:$T$495=14)*('CASE MASTER'!$U$2:$U$495&lt;=4)*('CASE MASTER'!$W$2:$W$495&gt;=4)*('CASE MASTER'!$V$2:$V$495&lt;=2)*('CASE MASTER'!$X$2:$X$495&gt;=2))*ROW('CASE MASTER'!$T$2:$T$495))-(ROW('CASE MASTER'!#REF!)-1)))+1)+(2-INDEX('CASE MASTER'!$V$2:$V$495,(SUMPRODUCT((('CASE MASTER'!$T$2:$T$495=14)*('CASE MASTER'!$U$2:$U$495&lt;=4)*('CASE MASTER'!$W$2:$W$495&gt;=4)*('CASE MASTER'!$V$2:$V$495&lt;=2)*('CASE MASTER'!$X$2:$X$495&gt;=2))*ROW('CASE MASTER'!$T$2:$T$495))-(ROW('CASE MASTER'!#REF!)-1))))+1))-1)*50+1,50))&amp;"_"&amp;INDEX('CASE MASTER'!$Q$2:$Q$495,(SUMPRODUCT((('CASE MASTER'!$T$2:$T$495=14)*('CASE MASTER'!$U$2:$U$495&lt;=4)*('CASE MASTER'!$W$2:$W$495&gt;=4)*('CASE MASTER'!$V$2:$V$495&lt;=2)*('CASE MASTER'!$X$2:$X$495&gt;=2))*ROW('CASE MASTER'!$T$2:$T$495))-(ROW('CASE MASTER'!#REF!)-1))),IF(SUMPRODUCT((('CASE MASTER'!$T$2:$T$495=14)*('CASE MASTER'!$AA$2:$AA$495&lt;=4)*('CASE MASTER'!$AC$2:$AC$495&gt;=4)*('CASE MASTER'!$AB$2:$AB$495&lt;=2)*('CASE MASTER'!$AD$2:$AD$495&gt;=2))*ROW('CASE MASTER'!$T$2:$T$495))&gt;0,INDEX('CASE MASTER'!$Y$2:$Y$495,(SUMPRODUCT((('CASE MASTER'!$T$2:$T$495=14)*('CASE MASTER'!$AA$2:$AA$495&lt;=4)*('CASE MASTER'!$AC$2:$AC$495&gt;=4)*('CASE MASTER'!$AB$2:$AB$495&lt;=2)*('CASE MASTER'!$AD$2:$AD$495&gt;=2))*ROW('CASE MASTER'!$T$2:$T$495))-(ROW('CASE MASTER'!#REF!)-1)))&amp;TRIM(MID(SUBSTITUTE(SUBSTITUTE(INDEX('CASE MASTER'!$N$2:$N$495,(SUMPRODUCT((('CASE MASTER'!$T$2:$T$495=14)*('CASE MASTER'!$AA$2:$AA$495&lt;=4)*('CASE MASTER'!$AC$2:$AC$495&gt;=4)*('CASE MASTER'!$AB$2:$AB$495&lt;=2)*('CASE MASTER'!$AD$2:$AD$495&gt;=2))*ROW('CASE MASTER'!$T$2:$T$495))-(ROW('CASE MASTER'!#REF!)-1))),":",","),",",REPT(" ",50)),(((INDEX('CASE MASTER'!$Z$2:$Z$495,(SUMPRODUCT((('CASE MASTER'!$T$2:$T$495=14)*('CASE MASTER'!$AA$2:$AA$495&lt;=4)*('CASE MASTER'!$AC$2:$AC$495&gt;=4)*('CASE MASTER'!$AB$2:$AB$495&lt;=2)*('CASE MASTER'!$AD$2:$AD$495&gt;=2))*ROW('CASE MASTER'!$T$2:$T$495))-(ROW('CASE MASTER'!#REF!)-1)))+((4-INDEX('CASE MASTER'!$AA$2:$AA$495,(SUMPRODUCT((('CASE MASTER'!$T$2:$T$495=14)*('CASE MASTER'!$AA$2:$AA$495&lt;=4)*('CASE MASTER'!$AC$2:$AC$495&gt;=4)*('CASE MASTER'!$AB$2:$AB$495&lt;=2)*('CASE MASTER'!$AD$2:$AD$495&gt;=2))*ROW('CASE MASTER'!$T$2:$T$495))-(ROW('CASE MASTER'!#REF!)-1))))*(INDEX('CASE MASTER'!$AD$2:$AD$495,(SUMPRODUCT((('CASE MASTER'!$T$2:$T$495=14)*('CASE MASTER'!$AA$2:$AA$495&lt;=4)*('CASE MASTER'!$AC$2:$AC$495&gt;=4)*('CASE MASTER'!$AB$2:$AB$495&lt;=2)*('CASE MASTER'!$AD$2:$AD$495&gt;=2))*ROW('CASE MASTER'!$T$2:$T$495))-(ROW('CASE MASTER'!#REF!)-1)))-INDEX('CASE MASTER'!$AB$2:$AB$495,(SUMPRODUCT((('CASE MASTER'!$T$2:$T$495=14)*('CASE MASTER'!$AA$2:$AA$495&lt;=4)*('CASE MASTER'!$AC$2:$AC$495&gt;=4)*('CASE MASTER'!$AB$2:$AB$495&lt;=2)*('CASE MASTER'!$AD$2:$AD$495&gt;=2))*ROW('CASE MASTER'!$T$2:$T$495))-(ROW('CASE MASTER'!#REF!)-1)))+1)+(2-INDEX('CASE MASTER'!$AB$2:$AB$495,(SUMPRODUCT((('CASE MASTER'!$T$2:$T$495=14)*('CASE MASTER'!$AA$2:$AA$495&lt;=4)*('CASE MASTER'!$AC$2:$AC$495&gt;=4)*('CASE MASTER'!$AB$2:$AB$495&lt;=2)*('CASE MASTER'!$AD$2:$AD$495&gt;=2))*ROW('CASE MASTER'!$T$2:$T$495))-(ROW('CASE MASTER'!#REF!)-1))))+1)))-1)*50+1,50))&amp;"_"&amp;INDEX('CASE MASTER'!$Q$2:$Q$495,(SUMPRODUCT((('CASE MASTER'!$T$2:$T$495=14)*('CASE MASTER'!$AA$2:$AA$495&lt;=4)*('CASE MASTER'!$AC$2:$AC$495&gt;=4)*('CASE MASTER'!$AB$2:$AB$495&lt;=2)*('CASE MASTER'!$AD$2:$AD$495&gt;=2))*ROW('CASE MASTER'!$T$2:$T$495))-(ROW('CASE MASTER'!#REF!)-1))),"")),"")</f>
        <v/>
      </c>
      <c r="D188" s="10" t="str">
        <f>IFERROR(IF(SUMPRODUCT((('CASE MASTER'!$T$2:$T$495=14)*('CASE MASTER'!$U$2:$U$495&lt;=4)*('CASE MASTER'!$W$2:$W$495&gt;=4)*('CASE MASTER'!$V$2:$V$495&lt;=3)*('CASE MASTER'!$X$2:$X$495&gt;=3))*ROW('CASE MASTER'!$T$2:$T$495))&gt;0,INDEX('CASE MASTER'!$Y$2:$Y$495,(SUMPRODUCT((('CASE MASTER'!$T$2:$T$495=14)*('CASE MASTER'!$U$2:$U$495&lt;=4)*('CASE MASTER'!$W$2:$W$495&gt;=4)*('CASE MASTER'!$V$2:$V$495&lt;=3)*('CASE MASTER'!$X$2:$X$495&gt;=3))*ROW('CASE MASTER'!$T$2:$T$495))-(ROW('CASE MASTER'!#REF!)-1)))&amp;TRIM(MID(SUBSTITUTE(SUBSTITUTE(INDEX('CASE MASTER'!$N$2:$N$495,(SUMPRODUCT((('CASE MASTER'!$T$2:$T$495=14)*('CASE MASTER'!$U$2:$U$495&lt;=4)*('CASE MASTER'!$W$2:$W$495&gt;=4)*('CASE MASTER'!$V$2:$V$495&lt;=3)*('CASE MASTER'!$X$2:$X$495&gt;=3))*ROW('CASE MASTER'!$T$2:$T$495))-(ROW('CASE MASTER'!#REF!)-1))),":",","),",",REPT(" ",50)),((((4-INDEX('CASE MASTER'!$U$2:$U$495,(SUMPRODUCT((('CASE MASTER'!$T$2:$T$495=14)*('CASE MASTER'!$U$2:$U$495&lt;=4)*('CASE MASTER'!$W$2:$W$495&gt;=4)*('CASE MASTER'!$V$2:$V$495&lt;=3)*('CASE MASTER'!$X$2:$X$495&gt;=3))*ROW('CASE MASTER'!$T$2:$T$495))-(ROW('CASE MASTER'!#REF!)-1))))*(INDEX('CASE MASTER'!$X$2:$X$495,(SUMPRODUCT((('CASE MASTER'!$T$2:$T$495=14)*('CASE MASTER'!$U$2:$U$495&lt;=4)*('CASE MASTER'!$W$2:$W$495&gt;=4)*('CASE MASTER'!$V$2:$V$495&lt;=3)*('CASE MASTER'!$X$2:$X$495&gt;=3))*ROW('CASE MASTER'!$T$2:$T$495))-(ROW('CASE MASTER'!#REF!)-1)))-INDEX('CASE MASTER'!$V$2:$V$495,(SUMPRODUCT((('CASE MASTER'!$T$2:$T$495=14)*('CASE MASTER'!$U$2:$U$495&lt;=4)*('CASE MASTER'!$W$2:$W$495&gt;=4)*('CASE MASTER'!$V$2:$V$495&lt;=3)*('CASE MASTER'!$X$2:$X$495&gt;=3))*ROW('CASE MASTER'!$T$2:$T$495))-(ROW('CASE MASTER'!#REF!)-1)))+1)+(3-INDEX('CASE MASTER'!$V$2:$V$495,(SUMPRODUCT((('CASE MASTER'!$T$2:$T$495=14)*('CASE MASTER'!$U$2:$U$495&lt;=4)*('CASE MASTER'!$W$2:$W$495&gt;=4)*('CASE MASTER'!$V$2:$V$495&lt;=3)*('CASE MASTER'!$X$2:$X$495&gt;=3))*ROW('CASE MASTER'!$T$2:$T$495))-(ROW('CASE MASTER'!#REF!)-1))))+1))-1)*50+1,50))&amp;"_"&amp;INDEX('CASE MASTER'!$Q$2:$Q$495,(SUMPRODUCT((('CASE MASTER'!$T$2:$T$495=14)*('CASE MASTER'!$U$2:$U$495&lt;=4)*('CASE MASTER'!$W$2:$W$495&gt;=4)*('CASE MASTER'!$V$2:$V$495&lt;=3)*('CASE MASTER'!$X$2:$X$495&gt;=3))*ROW('CASE MASTER'!$T$2:$T$495))-(ROW('CASE MASTER'!#REF!)-1))),IF(SUMPRODUCT((('CASE MASTER'!$T$2:$T$495=14)*('CASE MASTER'!$AA$2:$AA$495&lt;=4)*('CASE MASTER'!$AC$2:$AC$495&gt;=4)*('CASE MASTER'!$AB$2:$AB$495&lt;=3)*('CASE MASTER'!$AD$2:$AD$495&gt;=3))*ROW('CASE MASTER'!$T$2:$T$495))&gt;0,INDEX('CASE MASTER'!$Y$2:$Y$495,(SUMPRODUCT((('CASE MASTER'!$T$2:$T$495=14)*('CASE MASTER'!$AA$2:$AA$495&lt;=4)*('CASE MASTER'!$AC$2:$AC$495&gt;=4)*('CASE MASTER'!$AB$2:$AB$495&lt;=3)*('CASE MASTER'!$AD$2:$AD$495&gt;=3))*ROW('CASE MASTER'!$T$2:$T$495))-(ROW('CASE MASTER'!#REF!)-1)))&amp;TRIM(MID(SUBSTITUTE(SUBSTITUTE(INDEX('CASE MASTER'!$N$2:$N$495,(SUMPRODUCT((('CASE MASTER'!$T$2:$T$495=14)*('CASE MASTER'!$AA$2:$AA$495&lt;=4)*('CASE MASTER'!$AC$2:$AC$495&gt;=4)*('CASE MASTER'!$AB$2:$AB$495&lt;=3)*('CASE MASTER'!$AD$2:$AD$495&gt;=3))*ROW('CASE MASTER'!$T$2:$T$495))-(ROW('CASE MASTER'!#REF!)-1))),":",","),",",REPT(" ",50)),(((INDEX('CASE MASTER'!$Z$2:$Z$495,(SUMPRODUCT((('CASE MASTER'!$T$2:$T$495=14)*('CASE MASTER'!$AA$2:$AA$495&lt;=4)*('CASE MASTER'!$AC$2:$AC$495&gt;=4)*('CASE MASTER'!$AB$2:$AB$495&lt;=3)*('CASE MASTER'!$AD$2:$AD$495&gt;=3))*ROW('CASE MASTER'!$T$2:$T$495))-(ROW('CASE MASTER'!#REF!)-1)))+((4-INDEX('CASE MASTER'!$AA$2:$AA$495,(SUMPRODUCT((('CASE MASTER'!$T$2:$T$495=14)*('CASE MASTER'!$AA$2:$AA$495&lt;=4)*('CASE MASTER'!$AC$2:$AC$495&gt;=4)*('CASE MASTER'!$AB$2:$AB$495&lt;=3)*('CASE MASTER'!$AD$2:$AD$495&gt;=3))*ROW('CASE MASTER'!$T$2:$T$495))-(ROW('CASE MASTER'!#REF!)-1))))*(INDEX('CASE MASTER'!$AD$2:$AD$495,(SUMPRODUCT((('CASE MASTER'!$T$2:$T$495=14)*('CASE MASTER'!$AA$2:$AA$495&lt;=4)*('CASE MASTER'!$AC$2:$AC$495&gt;=4)*('CASE MASTER'!$AB$2:$AB$495&lt;=3)*('CASE MASTER'!$AD$2:$AD$495&gt;=3))*ROW('CASE MASTER'!$T$2:$T$495))-(ROW('CASE MASTER'!#REF!)-1)))-INDEX('CASE MASTER'!$AB$2:$AB$495,(SUMPRODUCT((('CASE MASTER'!$T$2:$T$495=14)*('CASE MASTER'!$AA$2:$AA$495&lt;=4)*('CASE MASTER'!$AC$2:$AC$495&gt;=4)*('CASE MASTER'!$AB$2:$AB$495&lt;=3)*('CASE MASTER'!$AD$2:$AD$495&gt;=3))*ROW('CASE MASTER'!$T$2:$T$495))-(ROW('CASE MASTER'!#REF!)-1)))+1)+(3-INDEX('CASE MASTER'!$AB$2:$AB$495,(SUMPRODUCT((('CASE MASTER'!$T$2:$T$495=14)*('CASE MASTER'!$AA$2:$AA$495&lt;=4)*('CASE MASTER'!$AC$2:$AC$495&gt;=4)*('CASE MASTER'!$AB$2:$AB$495&lt;=3)*('CASE MASTER'!$AD$2:$AD$495&gt;=3))*ROW('CASE MASTER'!$T$2:$T$495))-(ROW('CASE MASTER'!#REF!)-1))))+1)))-1)*50+1,50))&amp;"_"&amp;INDEX('CASE MASTER'!$Q$2:$Q$495,(SUMPRODUCT((('CASE MASTER'!$T$2:$T$495=14)*('CASE MASTER'!$AA$2:$AA$495&lt;=4)*('CASE MASTER'!$AC$2:$AC$495&gt;=4)*('CASE MASTER'!$AB$2:$AB$495&lt;=3)*('CASE MASTER'!$AD$2:$AD$495&gt;=3))*ROW('CASE MASTER'!$T$2:$T$495))-(ROW('CASE MASTER'!#REF!)-1))),"")),"")</f>
        <v/>
      </c>
      <c r="E188" s="10" t="str">
        <f>IFERROR(IF(SUMPRODUCT((('CASE MASTER'!$T$2:$T$495=14)*('CASE MASTER'!$U$2:$U$495&lt;=4)*('CASE MASTER'!$W$2:$W$495&gt;=4)*('CASE MASTER'!$V$2:$V$495&lt;=4)*('CASE MASTER'!$X$2:$X$495&gt;=4))*ROW('CASE MASTER'!$T$2:$T$495))&gt;0,INDEX('CASE MASTER'!$Y$2:$Y$495,(SUMPRODUCT((('CASE MASTER'!$T$2:$T$495=14)*('CASE MASTER'!$U$2:$U$495&lt;=4)*('CASE MASTER'!$W$2:$W$495&gt;=4)*('CASE MASTER'!$V$2:$V$495&lt;=4)*('CASE MASTER'!$X$2:$X$495&gt;=4))*ROW('CASE MASTER'!$T$2:$T$495))-(ROW('CASE MASTER'!#REF!)-1)))&amp;TRIM(MID(SUBSTITUTE(SUBSTITUTE(INDEX('CASE MASTER'!$N$2:$N$495,(SUMPRODUCT((('CASE MASTER'!$T$2:$T$495=14)*('CASE MASTER'!$U$2:$U$495&lt;=4)*('CASE MASTER'!$W$2:$W$495&gt;=4)*('CASE MASTER'!$V$2:$V$495&lt;=4)*('CASE MASTER'!$X$2:$X$495&gt;=4))*ROW('CASE MASTER'!$T$2:$T$495))-(ROW('CASE MASTER'!#REF!)-1))),":",","),",",REPT(" ",50)),((((4-INDEX('CASE MASTER'!$U$2:$U$495,(SUMPRODUCT((('CASE MASTER'!$T$2:$T$495=14)*('CASE MASTER'!$U$2:$U$495&lt;=4)*('CASE MASTER'!$W$2:$W$495&gt;=4)*('CASE MASTER'!$V$2:$V$495&lt;=4)*('CASE MASTER'!$X$2:$X$495&gt;=4))*ROW('CASE MASTER'!$T$2:$T$495))-(ROW('CASE MASTER'!#REF!)-1))))*(INDEX('CASE MASTER'!$X$2:$X$495,(SUMPRODUCT((('CASE MASTER'!$T$2:$T$495=14)*('CASE MASTER'!$U$2:$U$495&lt;=4)*('CASE MASTER'!$W$2:$W$495&gt;=4)*('CASE MASTER'!$V$2:$V$495&lt;=4)*('CASE MASTER'!$X$2:$X$495&gt;=4))*ROW('CASE MASTER'!$T$2:$T$495))-(ROW('CASE MASTER'!#REF!)-1)))-INDEX('CASE MASTER'!$V$2:$V$495,(SUMPRODUCT((('CASE MASTER'!$T$2:$T$495=14)*('CASE MASTER'!$U$2:$U$495&lt;=4)*('CASE MASTER'!$W$2:$W$495&gt;=4)*('CASE MASTER'!$V$2:$V$495&lt;=4)*('CASE MASTER'!$X$2:$X$495&gt;=4))*ROW('CASE MASTER'!$T$2:$T$495))-(ROW('CASE MASTER'!#REF!)-1)))+1)+(4-INDEX('CASE MASTER'!$V$2:$V$495,(SUMPRODUCT((('CASE MASTER'!$T$2:$T$495=14)*('CASE MASTER'!$U$2:$U$495&lt;=4)*('CASE MASTER'!$W$2:$W$495&gt;=4)*('CASE MASTER'!$V$2:$V$495&lt;=4)*('CASE MASTER'!$X$2:$X$495&gt;=4))*ROW('CASE MASTER'!$T$2:$T$495))-(ROW('CASE MASTER'!#REF!)-1))))+1))-1)*50+1,50))&amp;"_"&amp;INDEX('CASE MASTER'!$Q$2:$Q$495,(SUMPRODUCT((('CASE MASTER'!$T$2:$T$495=14)*('CASE MASTER'!$U$2:$U$495&lt;=4)*('CASE MASTER'!$W$2:$W$495&gt;=4)*('CASE MASTER'!$V$2:$V$495&lt;=4)*('CASE MASTER'!$X$2:$X$495&gt;=4))*ROW('CASE MASTER'!$T$2:$T$495))-(ROW('CASE MASTER'!#REF!)-1))),IF(SUMPRODUCT((('CASE MASTER'!$T$2:$T$495=14)*('CASE MASTER'!$AA$2:$AA$495&lt;=4)*('CASE MASTER'!$AC$2:$AC$495&gt;=4)*('CASE MASTER'!$AB$2:$AB$495&lt;=4)*('CASE MASTER'!$AD$2:$AD$495&gt;=4))*ROW('CASE MASTER'!$T$2:$T$495))&gt;0,INDEX('CASE MASTER'!$Y$2:$Y$495,(SUMPRODUCT((('CASE MASTER'!$T$2:$T$495=14)*('CASE MASTER'!$AA$2:$AA$495&lt;=4)*('CASE MASTER'!$AC$2:$AC$495&gt;=4)*('CASE MASTER'!$AB$2:$AB$495&lt;=4)*('CASE MASTER'!$AD$2:$AD$495&gt;=4))*ROW('CASE MASTER'!$T$2:$T$495))-(ROW('CASE MASTER'!#REF!)-1)))&amp;TRIM(MID(SUBSTITUTE(SUBSTITUTE(INDEX('CASE MASTER'!$N$2:$N$495,(SUMPRODUCT((('CASE MASTER'!$T$2:$T$495=14)*('CASE MASTER'!$AA$2:$AA$495&lt;=4)*('CASE MASTER'!$AC$2:$AC$495&gt;=4)*('CASE MASTER'!$AB$2:$AB$495&lt;=4)*('CASE MASTER'!$AD$2:$AD$495&gt;=4))*ROW('CASE MASTER'!$T$2:$T$495))-(ROW('CASE MASTER'!#REF!)-1))),":",","),",",REPT(" ",50)),(((INDEX('CASE MASTER'!$Z$2:$Z$495,(SUMPRODUCT((('CASE MASTER'!$T$2:$T$495=14)*('CASE MASTER'!$AA$2:$AA$495&lt;=4)*('CASE MASTER'!$AC$2:$AC$495&gt;=4)*('CASE MASTER'!$AB$2:$AB$495&lt;=4)*('CASE MASTER'!$AD$2:$AD$495&gt;=4))*ROW('CASE MASTER'!$T$2:$T$495))-(ROW('CASE MASTER'!#REF!)-1)))+((4-INDEX('CASE MASTER'!$AA$2:$AA$495,(SUMPRODUCT((('CASE MASTER'!$T$2:$T$495=14)*('CASE MASTER'!$AA$2:$AA$495&lt;=4)*('CASE MASTER'!$AC$2:$AC$495&gt;=4)*('CASE MASTER'!$AB$2:$AB$495&lt;=4)*('CASE MASTER'!$AD$2:$AD$495&gt;=4))*ROW('CASE MASTER'!$T$2:$T$495))-(ROW('CASE MASTER'!#REF!)-1))))*(INDEX('CASE MASTER'!$AD$2:$AD$495,(SUMPRODUCT((('CASE MASTER'!$T$2:$T$495=14)*('CASE MASTER'!$AA$2:$AA$495&lt;=4)*('CASE MASTER'!$AC$2:$AC$495&gt;=4)*('CASE MASTER'!$AB$2:$AB$495&lt;=4)*('CASE MASTER'!$AD$2:$AD$495&gt;=4))*ROW('CASE MASTER'!$T$2:$T$495))-(ROW('CASE MASTER'!#REF!)-1)))-INDEX('CASE MASTER'!$AB$2:$AB$495,(SUMPRODUCT((('CASE MASTER'!$T$2:$T$495=14)*('CASE MASTER'!$AA$2:$AA$495&lt;=4)*('CASE MASTER'!$AC$2:$AC$495&gt;=4)*('CASE MASTER'!$AB$2:$AB$495&lt;=4)*('CASE MASTER'!$AD$2:$AD$495&gt;=4))*ROW('CASE MASTER'!$T$2:$T$495))-(ROW('CASE MASTER'!#REF!)-1)))+1)+(4-INDEX('CASE MASTER'!$AB$2:$AB$495,(SUMPRODUCT((('CASE MASTER'!$T$2:$T$495=14)*('CASE MASTER'!$AA$2:$AA$495&lt;=4)*('CASE MASTER'!$AC$2:$AC$495&gt;=4)*('CASE MASTER'!$AB$2:$AB$495&lt;=4)*('CASE MASTER'!$AD$2:$AD$495&gt;=4))*ROW('CASE MASTER'!$T$2:$T$495))-(ROW('CASE MASTER'!#REF!)-1))))+1)))-1)*50+1,50))&amp;"_"&amp;INDEX('CASE MASTER'!$Q$2:$Q$495,(SUMPRODUCT((('CASE MASTER'!$T$2:$T$495=14)*('CASE MASTER'!$AA$2:$AA$495&lt;=4)*('CASE MASTER'!$AC$2:$AC$495&gt;=4)*('CASE MASTER'!$AB$2:$AB$495&lt;=4)*('CASE MASTER'!$AD$2:$AD$495&gt;=4))*ROW('CASE MASTER'!$T$2:$T$495))-(ROW('CASE MASTER'!#REF!)-1))),"")),"")</f>
        <v/>
      </c>
      <c r="F188" s="10" t="str">
        <f>IFERROR(IF(SUMPRODUCT((('CASE MASTER'!$T$2:$T$495=14)*('CASE MASTER'!$U$2:$U$495&lt;=4)*('CASE MASTER'!$W$2:$W$495&gt;=4)*('CASE MASTER'!$V$2:$V$495&lt;=5)*('CASE MASTER'!$X$2:$X$495&gt;=5))*ROW('CASE MASTER'!$T$2:$T$495))&gt;0,INDEX('CASE MASTER'!$Y$2:$Y$495,(SUMPRODUCT((('CASE MASTER'!$T$2:$T$495=14)*('CASE MASTER'!$U$2:$U$495&lt;=4)*('CASE MASTER'!$W$2:$W$495&gt;=4)*('CASE MASTER'!$V$2:$V$495&lt;=5)*('CASE MASTER'!$X$2:$X$495&gt;=5))*ROW('CASE MASTER'!$T$2:$T$495))-(ROW('CASE MASTER'!#REF!)-1)))&amp;TRIM(MID(SUBSTITUTE(SUBSTITUTE(INDEX('CASE MASTER'!$N$2:$N$495,(SUMPRODUCT((('CASE MASTER'!$T$2:$T$495=14)*('CASE MASTER'!$U$2:$U$495&lt;=4)*('CASE MASTER'!$W$2:$W$495&gt;=4)*('CASE MASTER'!$V$2:$V$495&lt;=5)*('CASE MASTER'!$X$2:$X$495&gt;=5))*ROW('CASE MASTER'!$T$2:$T$495))-(ROW('CASE MASTER'!#REF!)-1))),":",","),",",REPT(" ",50)),((((4-INDEX('CASE MASTER'!$U$2:$U$495,(SUMPRODUCT((('CASE MASTER'!$T$2:$T$495=14)*('CASE MASTER'!$U$2:$U$495&lt;=4)*('CASE MASTER'!$W$2:$W$495&gt;=4)*('CASE MASTER'!$V$2:$V$495&lt;=5)*('CASE MASTER'!$X$2:$X$495&gt;=5))*ROW('CASE MASTER'!$T$2:$T$495))-(ROW('CASE MASTER'!#REF!)-1))))*(INDEX('CASE MASTER'!$X$2:$X$495,(SUMPRODUCT((('CASE MASTER'!$T$2:$T$495=14)*('CASE MASTER'!$U$2:$U$495&lt;=4)*('CASE MASTER'!$W$2:$W$495&gt;=4)*('CASE MASTER'!$V$2:$V$495&lt;=5)*('CASE MASTER'!$X$2:$X$495&gt;=5))*ROW('CASE MASTER'!$T$2:$T$495))-(ROW('CASE MASTER'!#REF!)-1)))-INDEX('CASE MASTER'!$V$2:$V$495,(SUMPRODUCT((('CASE MASTER'!$T$2:$T$495=14)*('CASE MASTER'!$U$2:$U$495&lt;=4)*('CASE MASTER'!$W$2:$W$495&gt;=4)*('CASE MASTER'!$V$2:$V$495&lt;=5)*('CASE MASTER'!$X$2:$X$495&gt;=5))*ROW('CASE MASTER'!$T$2:$T$495))-(ROW('CASE MASTER'!#REF!)-1)))+1)+(5-INDEX('CASE MASTER'!$V$2:$V$495,(SUMPRODUCT((('CASE MASTER'!$T$2:$T$495=14)*('CASE MASTER'!$U$2:$U$495&lt;=4)*('CASE MASTER'!$W$2:$W$495&gt;=4)*('CASE MASTER'!$V$2:$V$495&lt;=5)*('CASE MASTER'!$X$2:$X$495&gt;=5))*ROW('CASE MASTER'!$T$2:$T$495))-(ROW('CASE MASTER'!#REF!)-1))))+1))-1)*50+1,50))&amp;"_"&amp;INDEX('CASE MASTER'!$Q$2:$Q$495,(SUMPRODUCT((('CASE MASTER'!$T$2:$T$495=14)*('CASE MASTER'!$U$2:$U$495&lt;=4)*('CASE MASTER'!$W$2:$W$495&gt;=4)*('CASE MASTER'!$V$2:$V$495&lt;=5)*('CASE MASTER'!$X$2:$X$495&gt;=5))*ROW('CASE MASTER'!$T$2:$T$495))-(ROW('CASE MASTER'!#REF!)-1))),IF(SUMPRODUCT((('CASE MASTER'!$T$2:$T$495=14)*('CASE MASTER'!$AA$2:$AA$495&lt;=4)*('CASE MASTER'!$AC$2:$AC$495&gt;=4)*('CASE MASTER'!$AB$2:$AB$495&lt;=5)*('CASE MASTER'!$AD$2:$AD$495&gt;=5))*ROW('CASE MASTER'!$T$2:$T$495))&gt;0,INDEX('CASE MASTER'!$Y$2:$Y$495,(SUMPRODUCT((('CASE MASTER'!$T$2:$T$495=14)*('CASE MASTER'!$AA$2:$AA$495&lt;=4)*('CASE MASTER'!$AC$2:$AC$495&gt;=4)*('CASE MASTER'!$AB$2:$AB$495&lt;=5)*('CASE MASTER'!$AD$2:$AD$495&gt;=5))*ROW('CASE MASTER'!$T$2:$T$495))-(ROW('CASE MASTER'!#REF!)-1)))&amp;TRIM(MID(SUBSTITUTE(SUBSTITUTE(INDEX('CASE MASTER'!$N$2:$N$495,(SUMPRODUCT((('CASE MASTER'!$T$2:$T$495=14)*('CASE MASTER'!$AA$2:$AA$495&lt;=4)*('CASE MASTER'!$AC$2:$AC$495&gt;=4)*('CASE MASTER'!$AB$2:$AB$495&lt;=5)*('CASE MASTER'!$AD$2:$AD$495&gt;=5))*ROW('CASE MASTER'!$T$2:$T$495))-(ROW('CASE MASTER'!#REF!)-1))),":",","),",",REPT(" ",50)),(((INDEX('CASE MASTER'!$Z$2:$Z$495,(SUMPRODUCT((('CASE MASTER'!$T$2:$T$495=14)*('CASE MASTER'!$AA$2:$AA$495&lt;=4)*('CASE MASTER'!$AC$2:$AC$495&gt;=4)*('CASE MASTER'!$AB$2:$AB$495&lt;=5)*('CASE MASTER'!$AD$2:$AD$495&gt;=5))*ROW('CASE MASTER'!$T$2:$T$495))-(ROW('CASE MASTER'!#REF!)-1)))+((4-INDEX('CASE MASTER'!$AA$2:$AA$495,(SUMPRODUCT((('CASE MASTER'!$T$2:$T$495=14)*('CASE MASTER'!$AA$2:$AA$495&lt;=4)*('CASE MASTER'!$AC$2:$AC$495&gt;=4)*('CASE MASTER'!$AB$2:$AB$495&lt;=5)*('CASE MASTER'!$AD$2:$AD$495&gt;=5))*ROW('CASE MASTER'!$T$2:$T$495))-(ROW('CASE MASTER'!#REF!)-1))))*(INDEX('CASE MASTER'!$AD$2:$AD$495,(SUMPRODUCT((('CASE MASTER'!$T$2:$T$495=14)*('CASE MASTER'!$AA$2:$AA$495&lt;=4)*('CASE MASTER'!$AC$2:$AC$495&gt;=4)*('CASE MASTER'!$AB$2:$AB$495&lt;=5)*('CASE MASTER'!$AD$2:$AD$495&gt;=5))*ROW('CASE MASTER'!$T$2:$T$495))-(ROW('CASE MASTER'!#REF!)-1)))-INDEX('CASE MASTER'!$AB$2:$AB$495,(SUMPRODUCT((('CASE MASTER'!$T$2:$T$495=14)*('CASE MASTER'!$AA$2:$AA$495&lt;=4)*('CASE MASTER'!$AC$2:$AC$495&gt;=4)*('CASE MASTER'!$AB$2:$AB$495&lt;=5)*('CASE MASTER'!$AD$2:$AD$495&gt;=5))*ROW('CASE MASTER'!$T$2:$T$495))-(ROW('CASE MASTER'!#REF!)-1)))+1)+(5-INDEX('CASE MASTER'!$AB$2:$AB$495,(SUMPRODUCT((('CASE MASTER'!$T$2:$T$495=14)*('CASE MASTER'!$AA$2:$AA$495&lt;=4)*('CASE MASTER'!$AC$2:$AC$495&gt;=4)*('CASE MASTER'!$AB$2:$AB$495&lt;=5)*('CASE MASTER'!$AD$2:$AD$495&gt;=5))*ROW('CASE MASTER'!$T$2:$T$495))-(ROW('CASE MASTER'!#REF!)-1))))+1)))-1)*50+1,50))&amp;"_"&amp;INDEX('CASE MASTER'!$Q$2:$Q$495,(SUMPRODUCT((('CASE MASTER'!$T$2:$T$495=14)*('CASE MASTER'!$AA$2:$AA$495&lt;=4)*('CASE MASTER'!$AC$2:$AC$495&gt;=4)*('CASE MASTER'!$AB$2:$AB$495&lt;=5)*('CASE MASTER'!$AD$2:$AD$495&gt;=5))*ROW('CASE MASTER'!$T$2:$T$495))-(ROW('CASE MASTER'!#REF!)-1))),"")),"")</f>
        <v/>
      </c>
      <c r="G188" s="10" t="str">
        <f>IFERROR(IF(SUMPRODUCT((('CASE MASTER'!$T$2:$T$495=14)*('CASE MASTER'!$U$2:$U$495&lt;=4)*('CASE MASTER'!$W$2:$W$495&gt;=4)*('CASE MASTER'!$V$2:$V$495&lt;=6)*('CASE MASTER'!$X$2:$X$495&gt;=6))*ROW('CASE MASTER'!$T$2:$T$495))&gt;0,INDEX('CASE MASTER'!$Y$2:$Y$495,(SUMPRODUCT((('CASE MASTER'!$T$2:$T$495=14)*('CASE MASTER'!$U$2:$U$495&lt;=4)*('CASE MASTER'!$W$2:$W$495&gt;=4)*('CASE MASTER'!$V$2:$V$495&lt;=6)*('CASE MASTER'!$X$2:$X$495&gt;=6))*ROW('CASE MASTER'!$T$2:$T$495))-(ROW('CASE MASTER'!#REF!)-1)))&amp;TRIM(MID(SUBSTITUTE(SUBSTITUTE(INDEX('CASE MASTER'!$N$2:$N$495,(SUMPRODUCT((('CASE MASTER'!$T$2:$T$495=14)*('CASE MASTER'!$U$2:$U$495&lt;=4)*('CASE MASTER'!$W$2:$W$495&gt;=4)*('CASE MASTER'!$V$2:$V$495&lt;=6)*('CASE MASTER'!$X$2:$X$495&gt;=6))*ROW('CASE MASTER'!$T$2:$T$495))-(ROW('CASE MASTER'!#REF!)-1))),":",","),",",REPT(" ",50)),((((4-INDEX('CASE MASTER'!$U$2:$U$495,(SUMPRODUCT((('CASE MASTER'!$T$2:$T$495=14)*('CASE MASTER'!$U$2:$U$495&lt;=4)*('CASE MASTER'!$W$2:$W$495&gt;=4)*('CASE MASTER'!$V$2:$V$495&lt;=6)*('CASE MASTER'!$X$2:$X$495&gt;=6))*ROW('CASE MASTER'!$T$2:$T$495))-(ROW('CASE MASTER'!#REF!)-1))))*(INDEX('CASE MASTER'!$X$2:$X$495,(SUMPRODUCT((('CASE MASTER'!$T$2:$T$495=14)*('CASE MASTER'!$U$2:$U$495&lt;=4)*('CASE MASTER'!$W$2:$W$495&gt;=4)*('CASE MASTER'!$V$2:$V$495&lt;=6)*('CASE MASTER'!$X$2:$X$495&gt;=6))*ROW('CASE MASTER'!$T$2:$T$495))-(ROW('CASE MASTER'!#REF!)-1)))-INDEX('CASE MASTER'!$V$2:$V$495,(SUMPRODUCT((('CASE MASTER'!$T$2:$T$495=14)*('CASE MASTER'!$U$2:$U$495&lt;=4)*('CASE MASTER'!$W$2:$W$495&gt;=4)*('CASE MASTER'!$V$2:$V$495&lt;=6)*('CASE MASTER'!$X$2:$X$495&gt;=6))*ROW('CASE MASTER'!$T$2:$T$495))-(ROW('CASE MASTER'!#REF!)-1)))+1)+(6-INDEX('CASE MASTER'!$V$2:$V$495,(SUMPRODUCT((('CASE MASTER'!$T$2:$T$495=14)*('CASE MASTER'!$U$2:$U$495&lt;=4)*('CASE MASTER'!$W$2:$W$495&gt;=4)*('CASE MASTER'!$V$2:$V$495&lt;=6)*('CASE MASTER'!$X$2:$X$495&gt;=6))*ROW('CASE MASTER'!$T$2:$T$495))-(ROW('CASE MASTER'!#REF!)-1))))+1))-1)*50+1,50))&amp;"_"&amp;INDEX('CASE MASTER'!$Q$2:$Q$495,(SUMPRODUCT((('CASE MASTER'!$T$2:$T$495=14)*('CASE MASTER'!$U$2:$U$495&lt;=4)*('CASE MASTER'!$W$2:$W$495&gt;=4)*('CASE MASTER'!$V$2:$V$495&lt;=6)*('CASE MASTER'!$X$2:$X$495&gt;=6))*ROW('CASE MASTER'!$T$2:$T$495))-(ROW('CASE MASTER'!#REF!)-1))),IF(SUMPRODUCT((('CASE MASTER'!$T$2:$T$495=14)*('CASE MASTER'!$AA$2:$AA$495&lt;=4)*('CASE MASTER'!$AC$2:$AC$495&gt;=4)*('CASE MASTER'!$AB$2:$AB$495&lt;=6)*('CASE MASTER'!$AD$2:$AD$495&gt;=6))*ROW('CASE MASTER'!$T$2:$T$495))&gt;0,INDEX('CASE MASTER'!$Y$2:$Y$495,(SUMPRODUCT((('CASE MASTER'!$T$2:$T$495=14)*('CASE MASTER'!$AA$2:$AA$495&lt;=4)*('CASE MASTER'!$AC$2:$AC$495&gt;=4)*('CASE MASTER'!$AB$2:$AB$495&lt;=6)*('CASE MASTER'!$AD$2:$AD$495&gt;=6))*ROW('CASE MASTER'!$T$2:$T$495))-(ROW('CASE MASTER'!#REF!)-1)))&amp;TRIM(MID(SUBSTITUTE(SUBSTITUTE(INDEX('CASE MASTER'!$N$2:$N$495,(SUMPRODUCT((('CASE MASTER'!$T$2:$T$495=14)*('CASE MASTER'!$AA$2:$AA$495&lt;=4)*('CASE MASTER'!$AC$2:$AC$495&gt;=4)*('CASE MASTER'!$AB$2:$AB$495&lt;=6)*('CASE MASTER'!$AD$2:$AD$495&gt;=6))*ROW('CASE MASTER'!$T$2:$T$495))-(ROW('CASE MASTER'!#REF!)-1))),":",","),",",REPT(" ",50)),(((INDEX('CASE MASTER'!$Z$2:$Z$495,(SUMPRODUCT((('CASE MASTER'!$T$2:$T$495=14)*('CASE MASTER'!$AA$2:$AA$495&lt;=4)*('CASE MASTER'!$AC$2:$AC$495&gt;=4)*('CASE MASTER'!$AB$2:$AB$495&lt;=6)*('CASE MASTER'!$AD$2:$AD$495&gt;=6))*ROW('CASE MASTER'!$T$2:$T$495))-(ROW('CASE MASTER'!#REF!)-1)))+((4-INDEX('CASE MASTER'!$AA$2:$AA$495,(SUMPRODUCT((('CASE MASTER'!$T$2:$T$495=14)*('CASE MASTER'!$AA$2:$AA$495&lt;=4)*('CASE MASTER'!$AC$2:$AC$495&gt;=4)*('CASE MASTER'!$AB$2:$AB$495&lt;=6)*('CASE MASTER'!$AD$2:$AD$495&gt;=6))*ROW('CASE MASTER'!$T$2:$T$495))-(ROW('CASE MASTER'!#REF!)-1))))*(INDEX('CASE MASTER'!$AD$2:$AD$495,(SUMPRODUCT((('CASE MASTER'!$T$2:$T$495=14)*('CASE MASTER'!$AA$2:$AA$495&lt;=4)*('CASE MASTER'!$AC$2:$AC$495&gt;=4)*('CASE MASTER'!$AB$2:$AB$495&lt;=6)*('CASE MASTER'!$AD$2:$AD$495&gt;=6))*ROW('CASE MASTER'!$T$2:$T$495))-(ROW('CASE MASTER'!#REF!)-1)))-INDEX('CASE MASTER'!$AB$2:$AB$495,(SUMPRODUCT((('CASE MASTER'!$T$2:$T$495=14)*('CASE MASTER'!$AA$2:$AA$495&lt;=4)*('CASE MASTER'!$AC$2:$AC$495&gt;=4)*('CASE MASTER'!$AB$2:$AB$495&lt;=6)*('CASE MASTER'!$AD$2:$AD$495&gt;=6))*ROW('CASE MASTER'!$T$2:$T$495))-(ROW('CASE MASTER'!#REF!)-1)))+1)+(6-INDEX('CASE MASTER'!$AB$2:$AB$495,(SUMPRODUCT((('CASE MASTER'!$T$2:$T$495=14)*('CASE MASTER'!$AA$2:$AA$495&lt;=4)*('CASE MASTER'!$AC$2:$AC$495&gt;=4)*('CASE MASTER'!$AB$2:$AB$495&lt;=6)*('CASE MASTER'!$AD$2:$AD$495&gt;=6))*ROW('CASE MASTER'!$T$2:$T$495))-(ROW('CASE MASTER'!#REF!)-1))))+1)))-1)*50+1,50))&amp;"_"&amp;INDEX('CASE MASTER'!$Q$2:$Q$495,(SUMPRODUCT((('CASE MASTER'!$T$2:$T$495=14)*('CASE MASTER'!$AA$2:$AA$495&lt;=4)*('CASE MASTER'!$AC$2:$AC$495&gt;=4)*('CASE MASTER'!$AB$2:$AB$495&lt;=6)*('CASE MASTER'!$AD$2:$AD$495&gt;=6))*ROW('CASE MASTER'!$T$2:$T$495))-(ROW('CASE MASTER'!#REF!)-1))),"")),"")</f>
        <v/>
      </c>
      <c r="H188" s="10" t="str">
        <f>IFERROR(IF(SUMPRODUCT((('CASE MASTER'!$T$2:$T$495=14)*('CASE MASTER'!$U$2:$U$495&lt;=4)*('CASE MASTER'!$W$2:$W$495&gt;=4)*('CASE MASTER'!$V$2:$V$495&lt;=7)*('CASE MASTER'!$X$2:$X$495&gt;=7))*ROW('CASE MASTER'!$T$2:$T$495))&gt;0,INDEX('CASE MASTER'!$Y$2:$Y$495,(SUMPRODUCT((('CASE MASTER'!$T$2:$T$495=14)*('CASE MASTER'!$U$2:$U$495&lt;=4)*('CASE MASTER'!$W$2:$W$495&gt;=4)*('CASE MASTER'!$V$2:$V$495&lt;=7)*('CASE MASTER'!$X$2:$X$495&gt;=7))*ROW('CASE MASTER'!$T$2:$T$495))-(ROW('CASE MASTER'!#REF!)-1)))&amp;TRIM(MID(SUBSTITUTE(SUBSTITUTE(INDEX('CASE MASTER'!$N$2:$N$495,(SUMPRODUCT((('CASE MASTER'!$T$2:$T$495=14)*('CASE MASTER'!$U$2:$U$495&lt;=4)*('CASE MASTER'!$W$2:$W$495&gt;=4)*('CASE MASTER'!$V$2:$V$495&lt;=7)*('CASE MASTER'!$X$2:$X$495&gt;=7))*ROW('CASE MASTER'!$T$2:$T$495))-(ROW('CASE MASTER'!#REF!)-1))),":",","),",",REPT(" ",50)),((((4-INDEX('CASE MASTER'!$U$2:$U$495,(SUMPRODUCT((('CASE MASTER'!$T$2:$T$495=14)*('CASE MASTER'!$U$2:$U$495&lt;=4)*('CASE MASTER'!$W$2:$W$495&gt;=4)*('CASE MASTER'!$V$2:$V$495&lt;=7)*('CASE MASTER'!$X$2:$X$495&gt;=7))*ROW('CASE MASTER'!$T$2:$T$495))-(ROW('CASE MASTER'!#REF!)-1))))*(INDEX('CASE MASTER'!$X$2:$X$495,(SUMPRODUCT((('CASE MASTER'!$T$2:$T$495=14)*('CASE MASTER'!$U$2:$U$495&lt;=4)*('CASE MASTER'!$W$2:$W$495&gt;=4)*('CASE MASTER'!$V$2:$V$495&lt;=7)*('CASE MASTER'!$X$2:$X$495&gt;=7))*ROW('CASE MASTER'!$T$2:$T$495))-(ROW('CASE MASTER'!#REF!)-1)))-INDEX('CASE MASTER'!$V$2:$V$495,(SUMPRODUCT((('CASE MASTER'!$T$2:$T$495=14)*('CASE MASTER'!$U$2:$U$495&lt;=4)*('CASE MASTER'!$W$2:$W$495&gt;=4)*('CASE MASTER'!$V$2:$V$495&lt;=7)*('CASE MASTER'!$X$2:$X$495&gt;=7))*ROW('CASE MASTER'!$T$2:$T$495))-(ROW('CASE MASTER'!#REF!)-1)))+1)+(7-INDEX('CASE MASTER'!$V$2:$V$495,(SUMPRODUCT((('CASE MASTER'!$T$2:$T$495=14)*('CASE MASTER'!$U$2:$U$495&lt;=4)*('CASE MASTER'!$W$2:$W$495&gt;=4)*('CASE MASTER'!$V$2:$V$495&lt;=7)*('CASE MASTER'!$X$2:$X$495&gt;=7))*ROW('CASE MASTER'!$T$2:$T$495))-(ROW('CASE MASTER'!#REF!)-1))))+1))-1)*50+1,50))&amp;"_"&amp;INDEX('CASE MASTER'!$Q$2:$Q$495,(SUMPRODUCT((('CASE MASTER'!$T$2:$T$495=14)*('CASE MASTER'!$U$2:$U$495&lt;=4)*('CASE MASTER'!$W$2:$W$495&gt;=4)*('CASE MASTER'!$V$2:$V$495&lt;=7)*('CASE MASTER'!$X$2:$X$495&gt;=7))*ROW('CASE MASTER'!$T$2:$T$495))-(ROW('CASE MASTER'!#REF!)-1))),IF(SUMPRODUCT((('CASE MASTER'!$T$2:$T$495=14)*('CASE MASTER'!$AA$2:$AA$495&lt;=4)*('CASE MASTER'!$AC$2:$AC$495&gt;=4)*('CASE MASTER'!$AB$2:$AB$495&lt;=7)*('CASE MASTER'!$AD$2:$AD$495&gt;=7))*ROW('CASE MASTER'!$T$2:$T$495))&gt;0,INDEX('CASE MASTER'!$Y$2:$Y$495,(SUMPRODUCT((('CASE MASTER'!$T$2:$T$495=14)*('CASE MASTER'!$AA$2:$AA$495&lt;=4)*('CASE MASTER'!$AC$2:$AC$495&gt;=4)*('CASE MASTER'!$AB$2:$AB$495&lt;=7)*('CASE MASTER'!$AD$2:$AD$495&gt;=7))*ROW('CASE MASTER'!$T$2:$T$495))-(ROW('CASE MASTER'!#REF!)-1)))&amp;TRIM(MID(SUBSTITUTE(SUBSTITUTE(INDEX('CASE MASTER'!$N$2:$N$495,(SUMPRODUCT((('CASE MASTER'!$T$2:$T$495=14)*('CASE MASTER'!$AA$2:$AA$495&lt;=4)*('CASE MASTER'!$AC$2:$AC$495&gt;=4)*('CASE MASTER'!$AB$2:$AB$495&lt;=7)*('CASE MASTER'!$AD$2:$AD$495&gt;=7))*ROW('CASE MASTER'!$T$2:$T$495))-(ROW('CASE MASTER'!#REF!)-1))),":",","),",",REPT(" ",50)),(((INDEX('CASE MASTER'!$Z$2:$Z$495,(SUMPRODUCT((('CASE MASTER'!$T$2:$T$495=14)*('CASE MASTER'!$AA$2:$AA$495&lt;=4)*('CASE MASTER'!$AC$2:$AC$495&gt;=4)*('CASE MASTER'!$AB$2:$AB$495&lt;=7)*('CASE MASTER'!$AD$2:$AD$495&gt;=7))*ROW('CASE MASTER'!$T$2:$T$495))-(ROW('CASE MASTER'!#REF!)-1)))+((4-INDEX('CASE MASTER'!$AA$2:$AA$495,(SUMPRODUCT((('CASE MASTER'!$T$2:$T$495=14)*('CASE MASTER'!$AA$2:$AA$495&lt;=4)*('CASE MASTER'!$AC$2:$AC$495&gt;=4)*('CASE MASTER'!$AB$2:$AB$495&lt;=7)*('CASE MASTER'!$AD$2:$AD$495&gt;=7))*ROW('CASE MASTER'!$T$2:$T$495))-(ROW('CASE MASTER'!#REF!)-1))))*(INDEX('CASE MASTER'!$AD$2:$AD$495,(SUMPRODUCT((('CASE MASTER'!$T$2:$T$495=14)*('CASE MASTER'!$AA$2:$AA$495&lt;=4)*('CASE MASTER'!$AC$2:$AC$495&gt;=4)*('CASE MASTER'!$AB$2:$AB$495&lt;=7)*('CASE MASTER'!$AD$2:$AD$495&gt;=7))*ROW('CASE MASTER'!$T$2:$T$495))-(ROW('CASE MASTER'!#REF!)-1)))-INDEX('CASE MASTER'!$AB$2:$AB$495,(SUMPRODUCT((('CASE MASTER'!$T$2:$T$495=14)*('CASE MASTER'!$AA$2:$AA$495&lt;=4)*('CASE MASTER'!$AC$2:$AC$495&gt;=4)*('CASE MASTER'!$AB$2:$AB$495&lt;=7)*('CASE MASTER'!$AD$2:$AD$495&gt;=7))*ROW('CASE MASTER'!$T$2:$T$495))-(ROW('CASE MASTER'!#REF!)-1)))+1)+(7-INDEX('CASE MASTER'!$AB$2:$AB$495,(SUMPRODUCT((('CASE MASTER'!$T$2:$T$495=14)*('CASE MASTER'!$AA$2:$AA$495&lt;=4)*('CASE MASTER'!$AC$2:$AC$495&gt;=4)*('CASE MASTER'!$AB$2:$AB$495&lt;=7)*('CASE MASTER'!$AD$2:$AD$495&gt;=7))*ROW('CASE MASTER'!$T$2:$T$495))-(ROW('CASE MASTER'!#REF!)-1))))+1)))-1)*50+1,50))&amp;"_"&amp;INDEX('CASE MASTER'!$Q$2:$Q$495,(SUMPRODUCT((('CASE MASTER'!$T$2:$T$495=14)*('CASE MASTER'!$AA$2:$AA$495&lt;=4)*('CASE MASTER'!$AC$2:$AC$495&gt;=4)*('CASE MASTER'!$AB$2:$AB$495&lt;=7)*('CASE MASTER'!$AD$2:$AD$495&gt;=7))*ROW('CASE MASTER'!$T$2:$T$495))-(ROW('CASE MASTER'!#REF!)-1))),"")),"")</f>
        <v/>
      </c>
      <c r="I188" s="10" t="str">
        <f>IFERROR(IF(SUMPRODUCT((('CASE MASTER'!$T$2:$T$495=14)*('CASE MASTER'!$U$2:$U$495&lt;=4)*('CASE MASTER'!$W$2:$W$495&gt;=4)*('CASE MASTER'!$V$2:$V$495&lt;=8)*('CASE MASTER'!$X$2:$X$495&gt;=8))*ROW('CASE MASTER'!$T$2:$T$495))&gt;0,INDEX('CASE MASTER'!$Y$2:$Y$495,(SUMPRODUCT((('CASE MASTER'!$T$2:$T$495=14)*('CASE MASTER'!$U$2:$U$495&lt;=4)*('CASE MASTER'!$W$2:$W$495&gt;=4)*('CASE MASTER'!$V$2:$V$495&lt;=8)*('CASE MASTER'!$X$2:$X$495&gt;=8))*ROW('CASE MASTER'!$T$2:$T$495))-(ROW('CASE MASTER'!#REF!)-1)))&amp;TRIM(MID(SUBSTITUTE(SUBSTITUTE(INDEX('CASE MASTER'!$N$2:$N$495,(SUMPRODUCT((('CASE MASTER'!$T$2:$T$495=14)*('CASE MASTER'!$U$2:$U$495&lt;=4)*('CASE MASTER'!$W$2:$W$495&gt;=4)*('CASE MASTER'!$V$2:$V$495&lt;=8)*('CASE MASTER'!$X$2:$X$495&gt;=8))*ROW('CASE MASTER'!$T$2:$T$495))-(ROW('CASE MASTER'!#REF!)-1))),":",","),",",REPT(" ",50)),((((4-INDEX('CASE MASTER'!$U$2:$U$495,(SUMPRODUCT((('CASE MASTER'!$T$2:$T$495=14)*('CASE MASTER'!$U$2:$U$495&lt;=4)*('CASE MASTER'!$W$2:$W$495&gt;=4)*('CASE MASTER'!$V$2:$V$495&lt;=8)*('CASE MASTER'!$X$2:$X$495&gt;=8))*ROW('CASE MASTER'!$T$2:$T$495))-(ROW('CASE MASTER'!#REF!)-1))))*(INDEX('CASE MASTER'!$X$2:$X$495,(SUMPRODUCT((('CASE MASTER'!$T$2:$T$495=14)*('CASE MASTER'!$U$2:$U$495&lt;=4)*('CASE MASTER'!$W$2:$W$495&gt;=4)*('CASE MASTER'!$V$2:$V$495&lt;=8)*('CASE MASTER'!$X$2:$X$495&gt;=8))*ROW('CASE MASTER'!$T$2:$T$495))-(ROW('CASE MASTER'!#REF!)-1)))-INDEX('CASE MASTER'!$V$2:$V$495,(SUMPRODUCT((('CASE MASTER'!$T$2:$T$495=14)*('CASE MASTER'!$U$2:$U$495&lt;=4)*('CASE MASTER'!$W$2:$W$495&gt;=4)*('CASE MASTER'!$V$2:$V$495&lt;=8)*('CASE MASTER'!$X$2:$X$495&gt;=8))*ROW('CASE MASTER'!$T$2:$T$495))-(ROW('CASE MASTER'!#REF!)-1)))+1)+(8-INDEX('CASE MASTER'!$V$2:$V$495,(SUMPRODUCT((('CASE MASTER'!$T$2:$T$495=14)*('CASE MASTER'!$U$2:$U$495&lt;=4)*('CASE MASTER'!$W$2:$W$495&gt;=4)*('CASE MASTER'!$V$2:$V$495&lt;=8)*('CASE MASTER'!$X$2:$X$495&gt;=8))*ROW('CASE MASTER'!$T$2:$T$495))-(ROW('CASE MASTER'!#REF!)-1))))+1))-1)*50+1,50))&amp;"_"&amp;INDEX('CASE MASTER'!$Q$2:$Q$495,(SUMPRODUCT((('CASE MASTER'!$T$2:$T$495=14)*('CASE MASTER'!$U$2:$U$495&lt;=4)*('CASE MASTER'!$W$2:$W$495&gt;=4)*('CASE MASTER'!$V$2:$V$495&lt;=8)*('CASE MASTER'!$X$2:$X$495&gt;=8))*ROW('CASE MASTER'!$T$2:$T$495))-(ROW('CASE MASTER'!#REF!)-1))),IF(SUMPRODUCT((('CASE MASTER'!$T$2:$T$495=14)*('CASE MASTER'!$AA$2:$AA$495&lt;=4)*('CASE MASTER'!$AC$2:$AC$495&gt;=4)*('CASE MASTER'!$AB$2:$AB$495&lt;=8)*('CASE MASTER'!$AD$2:$AD$495&gt;=8))*ROW('CASE MASTER'!$T$2:$T$495))&gt;0,INDEX('CASE MASTER'!$Y$2:$Y$495,(SUMPRODUCT((('CASE MASTER'!$T$2:$T$495=14)*('CASE MASTER'!$AA$2:$AA$495&lt;=4)*('CASE MASTER'!$AC$2:$AC$495&gt;=4)*('CASE MASTER'!$AB$2:$AB$495&lt;=8)*('CASE MASTER'!$AD$2:$AD$495&gt;=8))*ROW('CASE MASTER'!$T$2:$T$495))-(ROW('CASE MASTER'!#REF!)-1)))&amp;TRIM(MID(SUBSTITUTE(SUBSTITUTE(INDEX('CASE MASTER'!$N$2:$N$495,(SUMPRODUCT((('CASE MASTER'!$T$2:$T$495=14)*('CASE MASTER'!$AA$2:$AA$495&lt;=4)*('CASE MASTER'!$AC$2:$AC$495&gt;=4)*('CASE MASTER'!$AB$2:$AB$495&lt;=8)*('CASE MASTER'!$AD$2:$AD$495&gt;=8))*ROW('CASE MASTER'!$T$2:$T$495))-(ROW('CASE MASTER'!#REF!)-1))),":",","),",",REPT(" ",50)),(((INDEX('CASE MASTER'!$Z$2:$Z$495,(SUMPRODUCT((('CASE MASTER'!$T$2:$T$495=14)*('CASE MASTER'!$AA$2:$AA$495&lt;=4)*('CASE MASTER'!$AC$2:$AC$495&gt;=4)*('CASE MASTER'!$AB$2:$AB$495&lt;=8)*('CASE MASTER'!$AD$2:$AD$495&gt;=8))*ROW('CASE MASTER'!$T$2:$T$495))-(ROW('CASE MASTER'!#REF!)-1)))+((4-INDEX('CASE MASTER'!$AA$2:$AA$495,(SUMPRODUCT((('CASE MASTER'!$T$2:$T$495=14)*('CASE MASTER'!$AA$2:$AA$495&lt;=4)*('CASE MASTER'!$AC$2:$AC$495&gt;=4)*('CASE MASTER'!$AB$2:$AB$495&lt;=8)*('CASE MASTER'!$AD$2:$AD$495&gt;=8))*ROW('CASE MASTER'!$T$2:$T$495))-(ROW('CASE MASTER'!#REF!)-1))))*(INDEX('CASE MASTER'!$AD$2:$AD$495,(SUMPRODUCT((('CASE MASTER'!$T$2:$T$495=14)*('CASE MASTER'!$AA$2:$AA$495&lt;=4)*('CASE MASTER'!$AC$2:$AC$495&gt;=4)*('CASE MASTER'!$AB$2:$AB$495&lt;=8)*('CASE MASTER'!$AD$2:$AD$495&gt;=8))*ROW('CASE MASTER'!$T$2:$T$495))-(ROW('CASE MASTER'!#REF!)-1)))-INDEX('CASE MASTER'!$AB$2:$AB$495,(SUMPRODUCT((('CASE MASTER'!$T$2:$T$495=14)*('CASE MASTER'!$AA$2:$AA$495&lt;=4)*('CASE MASTER'!$AC$2:$AC$495&gt;=4)*('CASE MASTER'!$AB$2:$AB$495&lt;=8)*('CASE MASTER'!$AD$2:$AD$495&gt;=8))*ROW('CASE MASTER'!$T$2:$T$495))-(ROW('CASE MASTER'!#REF!)-1)))+1)+(8-INDEX('CASE MASTER'!$AB$2:$AB$495,(SUMPRODUCT((('CASE MASTER'!$T$2:$T$495=14)*('CASE MASTER'!$AA$2:$AA$495&lt;=4)*('CASE MASTER'!$AC$2:$AC$495&gt;=4)*('CASE MASTER'!$AB$2:$AB$495&lt;=8)*('CASE MASTER'!$AD$2:$AD$495&gt;=8))*ROW('CASE MASTER'!$T$2:$T$495))-(ROW('CASE MASTER'!#REF!)-1))))+1)))-1)*50+1,50))&amp;"_"&amp;INDEX('CASE MASTER'!$Q$2:$Q$495,(SUMPRODUCT((('CASE MASTER'!$T$2:$T$495=14)*('CASE MASTER'!$AA$2:$AA$495&lt;=4)*('CASE MASTER'!$AC$2:$AC$495&gt;=4)*('CASE MASTER'!$AB$2:$AB$495&lt;=8)*('CASE MASTER'!$AD$2:$AD$495&gt;=8))*ROW('CASE MASTER'!$T$2:$T$495))-(ROW('CASE MASTER'!#REF!)-1))),"")),"")</f>
        <v/>
      </c>
      <c r="J188" s="10" t="str">
        <f>IFERROR(IF(SUMPRODUCT((('CASE MASTER'!$T$2:$T$495=14)*('CASE MASTER'!$U$2:$U$495&lt;=4)*('CASE MASTER'!$W$2:$W$495&gt;=4)*('CASE MASTER'!$V$2:$V$495&lt;=9)*('CASE MASTER'!$X$2:$X$495&gt;=9))*ROW('CASE MASTER'!$T$2:$T$495))&gt;0,INDEX('CASE MASTER'!$Y$2:$Y$495,(SUMPRODUCT((('CASE MASTER'!$T$2:$T$495=14)*('CASE MASTER'!$U$2:$U$495&lt;=4)*('CASE MASTER'!$W$2:$W$495&gt;=4)*('CASE MASTER'!$V$2:$V$495&lt;=9)*('CASE MASTER'!$X$2:$X$495&gt;=9))*ROW('CASE MASTER'!$T$2:$T$495))-(ROW('CASE MASTER'!#REF!)-1)))&amp;TRIM(MID(SUBSTITUTE(SUBSTITUTE(INDEX('CASE MASTER'!$N$2:$N$495,(SUMPRODUCT((('CASE MASTER'!$T$2:$T$495=14)*('CASE MASTER'!$U$2:$U$495&lt;=4)*('CASE MASTER'!$W$2:$W$495&gt;=4)*('CASE MASTER'!$V$2:$V$495&lt;=9)*('CASE MASTER'!$X$2:$X$495&gt;=9))*ROW('CASE MASTER'!$T$2:$T$495))-(ROW('CASE MASTER'!#REF!)-1))),":",","),",",REPT(" ",50)),((((4-INDEX('CASE MASTER'!$U$2:$U$495,(SUMPRODUCT((('CASE MASTER'!$T$2:$T$495=14)*('CASE MASTER'!$U$2:$U$495&lt;=4)*('CASE MASTER'!$W$2:$W$495&gt;=4)*('CASE MASTER'!$V$2:$V$495&lt;=9)*('CASE MASTER'!$X$2:$X$495&gt;=9))*ROW('CASE MASTER'!$T$2:$T$495))-(ROW('CASE MASTER'!#REF!)-1))))*(INDEX('CASE MASTER'!$X$2:$X$495,(SUMPRODUCT((('CASE MASTER'!$T$2:$T$495=14)*('CASE MASTER'!$U$2:$U$495&lt;=4)*('CASE MASTER'!$W$2:$W$495&gt;=4)*('CASE MASTER'!$V$2:$V$495&lt;=9)*('CASE MASTER'!$X$2:$X$495&gt;=9))*ROW('CASE MASTER'!$T$2:$T$495))-(ROW('CASE MASTER'!#REF!)-1)))-INDEX('CASE MASTER'!$V$2:$V$495,(SUMPRODUCT((('CASE MASTER'!$T$2:$T$495=14)*('CASE MASTER'!$U$2:$U$495&lt;=4)*('CASE MASTER'!$W$2:$W$495&gt;=4)*('CASE MASTER'!$V$2:$V$495&lt;=9)*('CASE MASTER'!$X$2:$X$495&gt;=9))*ROW('CASE MASTER'!$T$2:$T$495))-(ROW('CASE MASTER'!#REF!)-1)))+1)+(9-INDEX('CASE MASTER'!$V$2:$V$495,(SUMPRODUCT((('CASE MASTER'!$T$2:$T$495=14)*('CASE MASTER'!$U$2:$U$495&lt;=4)*('CASE MASTER'!$W$2:$W$495&gt;=4)*('CASE MASTER'!$V$2:$V$495&lt;=9)*('CASE MASTER'!$X$2:$X$495&gt;=9))*ROW('CASE MASTER'!$T$2:$T$495))-(ROW('CASE MASTER'!#REF!)-1))))+1))-1)*50+1,50))&amp;"_"&amp;INDEX('CASE MASTER'!$Q$2:$Q$495,(SUMPRODUCT((('CASE MASTER'!$T$2:$T$495=14)*('CASE MASTER'!$U$2:$U$495&lt;=4)*('CASE MASTER'!$W$2:$W$495&gt;=4)*('CASE MASTER'!$V$2:$V$495&lt;=9)*('CASE MASTER'!$X$2:$X$495&gt;=9))*ROW('CASE MASTER'!$T$2:$T$495))-(ROW('CASE MASTER'!#REF!)-1))),IF(SUMPRODUCT((('CASE MASTER'!$T$2:$T$495=14)*('CASE MASTER'!$AA$2:$AA$495&lt;=4)*('CASE MASTER'!$AC$2:$AC$495&gt;=4)*('CASE MASTER'!$AB$2:$AB$495&lt;=9)*('CASE MASTER'!$AD$2:$AD$495&gt;=9))*ROW('CASE MASTER'!$T$2:$T$495))&gt;0,INDEX('CASE MASTER'!$Y$2:$Y$495,(SUMPRODUCT((('CASE MASTER'!$T$2:$T$495=14)*('CASE MASTER'!$AA$2:$AA$495&lt;=4)*('CASE MASTER'!$AC$2:$AC$495&gt;=4)*('CASE MASTER'!$AB$2:$AB$495&lt;=9)*('CASE MASTER'!$AD$2:$AD$495&gt;=9))*ROW('CASE MASTER'!$T$2:$T$495))-(ROW('CASE MASTER'!#REF!)-1)))&amp;TRIM(MID(SUBSTITUTE(SUBSTITUTE(INDEX('CASE MASTER'!$N$2:$N$495,(SUMPRODUCT((('CASE MASTER'!$T$2:$T$495=14)*('CASE MASTER'!$AA$2:$AA$495&lt;=4)*('CASE MASTER'!$AC$2:$AC$495&gt;=4)*('CASE MASTER'!$AB$2:$AB$495&lt;=9)*('CASE MASTER'!$AD$2:$AD$495&gt;=9))*ROW('CASE MASTER'!$T$2:$T$495))-(ROW('CASE MASTER'!#REF!)-1))),":",","),",",REPT(" ",50)),(((INDEX('CASE MASTER'!$Z$2:$Z$495,(SUMPRODUCT((('CASE MASTER'!$T$2:$T$495=14)*('CASE MASTER'!$AA$2:$AA$495&lt;=4)*('CASE MASTER'!$AC$2:$AC$495&gt;=4)*('CASE MASTER'!$AB$2:$AB$495&lt;=9)*('CASE MASTER'!$AD$2:$AD$495&gt;=9))*ROW('CASE MASTER'!$T$2:$T$495))-(ROW('CASE MASTER'!#REF!)-1)))+((4-INDEX('CASE MASTER'!$AA$2:$AA$495,(SUMPRODUCT((('CASE MASTER'!$T$2:$T$495=14)*('CASE MASTER'!$AA$2:$AA$495&lt;=4)*('CASE MASTER'!$AC$2:$AC$495&gt;=4)*('CASE MASTER'!$AB$2:$AB$495&lt;=9)*('CASE MASTER'!$AD$2:$AD$495&gt;=9))*ROW('CASE MASTER'!$T$2:$T$495))-(ROW('CASE MASTER'!#REF!)-1))))*(INDEX('CASE MASTER'!$AD$2:$AD$495,(SUMPRODUCT((('CASE MASTER'!$T$2:$T$495=14)*('CASE MASTER'!$AA$2:$AA$495&lt;=4)*('CASE MASTER'!$AC$2:$AC$495&gt;=4)*('CASE MASTER'!$AB$2:$AB$495&lt;=9)*('CASE MASTER'!$AD$2:$AD$495&gt;=9))*ROW('CASE MASTER'!$T$2:$T$495))-(ROW('CASE MASTER'!#REF!)-1)))-INDEX('CASE MASTER'!$AB$2:$AB$495,(SUMPRODUCT((('CASE MASTER'!$T$2:$T$495=14)*('CASE MASTER'!$AA$2:$AA$495&lt;=4)*('CASE MASTER'!$AC$2:$AC$495&gt;=4)*('CASE MASTER'!$AB$2:$AB$495&lt;=9)*('CASE MASTER'!$AD$2:$AD$495&gt;=9))*ROW('CASE MASTER'!$T$2:$T$495))-(ROW('CASE MASTER'!#REF!)-1)))+1)+(9-INDEX('CASE MASTER'!$AB$2:$AB$495,(SUMPRODUCT((('CASE MASTER'!$T$2:$T$495=14)*('CASE MASTER'!$AA$2:$AA$495&lt;=4)*('CASE MASTER'!$AC$2:$AC$495&gt;=4)*('CASE MASTER'!$AB$2:$AB$495&lt;=9)*('CASE MASTER'!$AD$2:$AD$495&gt;=9))*ROW('CASE MASTER'!$T$2:$T$495))-(ROW('CASE MASTER'!#REF!)-1))))+1)))-1)*50+1,50))&amp;"_"&amp;INDEX('CASE MASTER'!$Q$2:$Q$495,(SUMPRODUCT((('CASE MASTER'!$T$2:$T$495=14)*('CASE MASTER'!$AA$2:$AA$495&lt;=4)*('CASE MASTER'!$AC$2:$AC$495&gt;=4)*('CASE MASTER'!$AB$2:$AB$495&lt;=9)*('CASE MASTER'!$AD$2:$AD$495&gt;=9))*ROW('CASE MASTER'!$T$2:$T$495))-(ROW('CASE MASTER'!#REF!)-1))),"")),"")</f>
        <v/>
      </c>
      <c r="K188" s="10" t="str">
        <f>IFERROR(IF(SUMPRODUCT((('CASE MASTER'!$T$2:$T$495=14)*('CASE MASTER'!$U$2:$U$495&lt;=4)*('CASE MASTER'!$W$2:$W$495&gt;=4)*('CASE MASTER'!$V$2:$V$495&lt;=10)*('CASE MASTER'!$X$2:$X$495&gt;=10))*ROW('CASE MASTER'!$T$2:$T$495))&gt;0,INDEX('CASE MASTER'!$Y$2:$Y$495,(SUMPRODUCT((('CASE MASTER'!$T$2:$T$495=14)*('CASE MASTER'!$U$2:$U$495&lt;=4)*('CASE MASTER'!$W$2:$W$495&gt;=4)*('CASE MASTER'!$V$2:$V$495&lt;=10)*('CASE MASTER'!$X$2:$X$495&gt;=10))*ROW('CASE MASTER'!$T$2:$T$495))-(ROW('CASE MASTER'!#REF!)-1)))&amp;TRIM(MID(SUBSTITUTE(SUBSTITUTE(INDEX('CASE MASTER'!$N$2:$N$495,(SUMPRODUCT((('CASE MASTER'!$T$2:$T$495=14)*('CASE MASTER'!$U$2:$U$495&lt;=4)*('CASE MASTER'!$W$2:$W$495&gt;=4)*('CASE MASTER'!$V$2:$V$495&lt;=10)*('CASE MASTER'!$X$2:$X$495&gt;=10))*ROW('CASE MASTER'!$T$2:$T$495))-(ROW('CASE MASTER'!#REF!)-1))),":",","),",",REPT(" ",50)),((((4-INDEX('CASE MASTER'!$U$2:$U$495,(SUMPRODUCT((('CASE MASTER'!$T$2:$T$495=14)*('CASE MASTER'!$U$2:$U$495&lt;=4)*('CASE MASTER'!$W$2:$W$495&gt;=4)*('CASE MASTER'!$V$2:$V$495&lt;=10)*('CASE MASTER'!$X$2:$X$495&gt;=10))*ROW('CASE MASTER'!$T$2:$T$495))-(ROW('CASE MASTER'!#REF!)-1))))*(INDEX('CASE MASTER'!$X$2:$X$495,(SUMPRODUCT((('CASE MASTER'!$T$2:$T$495=14)*('CASE MASTER'!$U$2:$U$495&lt;=4)*('CASE MASTER'!$W$2:$W$495&gt;=4)*('CASE MASTER'!$V$2:$V$495&lt;=10)*('CASE MASTER'!$X$2:$X$495&gt;=10))*ROW('CASE MASTER'!$T$2:$T$495))-(ROW('CASE MASTER'!#REF!)-1)))-INDEX('CASE MASTER'!$V$2:$V$495,(SUMPRODUCT((('CASE MASTER'!$T$2:$T$495=14)*('CASE MASTER'!$U$2:$U$495&lt;=4)*('CASE MASTER'!$W$2:$W$495&gt;=4)*('CASE MASTER'!$V$2:$V$495&lt;=10)*('CASE MASTER'!$X$2:$X$495&gt;=10))*ROW('CASE MASTER'!$T$2:$T$495))-(ROW('CASE MASTER'!#REF!)-1)))+1)+(10-INDEX('CASE MASTER'!$V$2:$V$495,(SUMPRODUCT((('CASE MASTER'!$T$2:$T$495=14)*('CASE MASTER'!$U$2:$U$495&lt;=4)*('CASE MASTER'!$W$2:$W$495&gt;=4)*('CASE MASTER'!$V$2:$V$495&lt;=10)*('CASE MASTER'!$X$2:$X$495&gt;=10))*ROW('CASE MASTER'!$T$2:$T$495))-(ROW('CASE MASTER'!#REF!)-1))))+1))-1)*50+1,50))&amp;"_"&amp;INDEX('CASE MASTER'!$Q$2:$Q$495,(SUMPRODUCT((('CASE MASTER'!$T$2:$T$495=14)*('CASE MASTER'!$U$2:$U$495&lt;=4)*('CASE MASTER'!$W$2:$W$495&gt;=4)*('CASE MASTER'!$V$2:$V$495&lt;=10)*('CASE MASTER'!$X$2:$X$495&gt;=10))*ROW('CASE MASTER'!$T$2:$T$495))-(ROW('CASE MASTER'!#REF!)-1))),IF(SUMPRODUCT((('CASE MASTER'!$T$2:$T$495=14)*('CASE MASTER'!$AA$2:$AA$495&lt;=4)*('CASE MASTER'!$AC$2:$AC$495&gt;=4)*('CASE MASTER'!$AB$2:$AB$495&lt;=10)*('CASE MASTER'!$AD$2:$AD$495&gt;=10))*ROW('CASE MASTER'!$T$2:$T$495))&gt;0,INDEX('CASE MASTER'!$Y$2:$Y$495,(SUMPRODUCT((('CASE MASTER'!$T$2:$T$495=14)*('CASE MASTER'!$AA$2:$AA$495&lt;=4)*('CASE MASTER'!$AC$2:$AC$495&gt;=4)*('CASE MASTER'!$AB$2:$AB$495&lt;=10)*('CASE MASTER'!$AD$2:$AD$495&gt;=10))*ROW('CASE MASTER'!$T$2:$T$495))-(ROW('CASE MASTER'!#REF!)-1)))&amp;TRIM(MID(SUBSTITUTE(SUBSTITUTE(INDEX('CASE MASTER'!$N$2:$N$495,(SUMPRODUCT((('CASE MASTER'!$T$2:$T$495=14)*('CASE MASTER'!$AA$2:$AA$495&lt;=4)*('CASE MASTER'!$AC$2:$AC$495&gt;=4)*('CASE MASTER'!$AB$2:$AB$495&lt;=10)*('CASE MASTER'!$AD$2:$AD$495&gt;=10))*ROW('CASE MASTER'!$T$2:$T$495))-(ROW('CASE MASTER'!#REF!)-1))),":",","),",",REPT(" ",50)),(((INDEX('CASE MASTER'!$Z$2:$Z$495,(SUMPRODUCT((('CASE MASTER'!$T$2:$T$495=14)*('CASE MASTER'!$AA$2:$AA$495&lt;=4)*('CASE MASTER'!$AC$2:$AC$495&gt;=4)*('CASE MASTER'!$AB$2:$AB$495&lt;=10)*('CASE MASTER'!$AD$2:$AD$495&gt;=10))*ROW('CASE MASTER'!$T$2:$T$495))-(ROW('CASE MASTER'!#REF!)-1)))+((4-INDEX('CASE MASTER'!$AA$2:$AA$495,(SUMPRODUCT((('CASE MASTER'!$T$2:$T$495=14)*('CASE MASTER'!$AA$2:$AA$495&lt;=4)*('CASE MASTER'!$AC$2:$AC$495&gt;=4)*('CASE MASTER'!$AB$2:$AB$495&lt;=10)*('CASE MASTER'!$AD$2:$AD$495&gt;=10))*ROW('CASE MASTER'!$T$2:$T$495))-(ROW('CASE MASTER'!#REF!)-1))))*(INDEX('CASE MASTER'!$AD$2:$AD$495,(SUMPRODUCT((('CASE MASTER'!$T$2:$T$495=14)*('CASE MASTER'!$AA$2:$AA$495&lt;=4)*('CASE MASTER'!$AC$2:$AC$495&gt;=4)*('CASE MASTER'!$AB$2:$AB$495&lt;=10)*('CASE MASTER'!$AD$2:$AD$495&gt;=10))*ROW('CASE MASTER'!$T$2:$T$495))-(ROW('CASE MASTER'!#REF!)-1)))-INDEX('CASE MASTER'!$AB$2:$AB$495,(SUMPRODUCT((('CASE MASTER'!$T$2:$T$495=14)*('CASE MASTER'!$AA$2:$AA$495&lt;=4)*('CASE MASTER'!$AC$2:$AC$495&gt;=4)*('CASE MASTER'!$AB$2:$AB$495&lt;=10)*('CASE MASTER'!$AD$2:$AD$495&gt;=10))*ROW('CASE MASTER'!$T$2:$T$495))-(ROW('CASE MASTER'!#REF!)-1)))+1)+(10-INDEX('CASE MASTER'!$AB$2:$AB$495,(SUMPRODUCT((('CASE MASTER'!$T$2:$T$495=14)*('CASE MASTER'!$AA$2:$AA$495&lt;=4)*('CASE MASTER'!$AC$2:$AC$495&gt;=4)*('CASE MASTER'!$AB$2:$AB$495&lt;=10)*('CASE MASTER'!$AD$2:$AD$495&gt;=10))*ROW('CASE MASTER'!$T$2:$T$495))-(ROW('CASE MASTER'!#REF!)-1))))+1)))-1)*50+1,50))&amp;"_"&amp;INDEX('CASE MASTER'!$Q$2:$Q$495,(SUMPRODUCT((('CASE MASTER'!$T$2:$T$495=14)*('CASE MASTER'!$AA$2:$AA$495&lt;=4)*('CASE MASTER'!$AC$2:$AC$495&gt;=4)*('CASE MASTER'!$AB$2:$AB$495&lt;=10)*('CASE MASTER'!$AD$2:$AD$495&gt;=10))*ROW('CASE MASTER'!$T$2:$T$495))-(ROW('CASE MASTER'!#REF!)-1))),"")),"")</f>
        <v/>
      </c>
    </row>
    <row r="189" spans="1:11" ht="15" customHeight="1" x14ac:dyDescent="0.35">
      <c r="A189" s="8" t="s">
        <v>32</v>
      </c>
      <c r="B189" s="10" t="str">
        <f>IFERROR(IF(SUMPRODUCT((('CASE MASTER'!$T$2:$T$495=14)*('CASE MASTER'!$U$2:$U$495&lt;=5)*('CASE MASTER'!$W$2:$W$495&gt;=5)*('CASE MASTER'!$V$2:$V$495&lt;=1)*('CASE MASTER'!$X$2:$X$495&gt;=1))*ROW('CASE MASTER'!$T$2:$T$495))&gt;0,INDEX('CASE MASTER'!$Y$2:$Y$495,(SUMPRODUCT((('CASE MASTER'!$T$2:$T$495=14)*('CASE MASTER'!$U$2:$U$495&lt;=5)*('CASE MASTER'!$W$2:$W$495&gt;=5)*('CASE MASTER'!$V$2:$V$495&lt;=1)*('CASE MASTER'!$X$2:$X$495&gt;=1))*ROW('CASE MASTER'!$T$2:$T$495))-(ROW('CASE MASTER'!#REF!)-1)))&amp;TRIM(MID(SUBSTITUTE(SUBSTITUTE(INDEX('CASE MASTER'!$N$2:$N$495,(SUMPRODUCT((('CASE MASTER'!$T$2:$T$495=14)*('CASE MASTER'!$U$2:$U$495&lt;=5)*('CASE MASTER'!$W$2:$W$495&gt;=5)*('CASE MASTER'!$V$2:$V$495&lt;=1)*('CASE MASTER'!$X$2:$X$495&gt;=1))*ROW('CASE MASTER'!$T$2:$T$495))-(ROW('CASE MASTER'!#REF!)-1))),":",","),",",REPT(" ",50)),((((5-INDEX('CASE MASTER'!$U$2:$U$495,(SUMPRODUCT((('CASE MASTER'!$T$2:$T$495=14)*('CASE MASTER'!$U$2:$U$495&lt;=5)*('CASE MASTER'!$W$2:$W$495&gt;=5)*('CASE MASTER'!$V$2:$V$495&lt;=1)*('CASE MASTER'!$X$2:$X$495&gt;=1))*ROW('CASE MASTER'!$T$2:$T$495))-(ROW('CASE MASTER'!#REF!)-1))))*(INDEX('CASE MASTER'!$X$2:$X$495,(SUMPRODUCT((('CASE MASTER'!$T$2:$T$495=14)*('CASE MASTER'!$U$2:$U$495&lt;=5)*('CASE MASTER'!$W$2:$W$495&gt;=5)*('CASE MASTER'!$V$2:$V$495&lt;=1)*('CASE MASTER'!$X$2:$X$495&gt;=1))*ROW('CASE MASTER'!$T$2:$T$495))-(ROW('CASE MASTER'!#REF!)-1)))-INDEX('CASE MASTER'!$V$2:$V$495,(SUMPRODUCT((('CASE MASTER'!$T$2:$T$495=14)*('CASE MASTER'!$U$2:$U$495&lt;=5)*('CASE MASTER'!$W$2:$W$495&gt;=5)*('CASE MASTER'!$V$2:$V$495&lt;=1)*('CASE MASTER'!$X$2:$X$495&gt;=1))*ROW('CASE MASTER'!$T$2:$T$495))-(ROW('CASE MASTER'!#REF!)-1)))+1)+(1-INDEX('CASE MASTER'!$V$2:$V$495,(SUMPRODUCT((('CASE MASTER'!$T$2:$T$495=14)*('CASE MASTER'!$U$2:$U$495&lt;=5)*('CASE MASTER'!$W$2:$W$495&gt;=5)*('CASE MASTER'!$V$2:$V$495&lt;=1)*('CASE MASTER'!$X$2:$X$495&gt;=1))*ROW('CASE MASTER'!$T$2:$T$495))-(ROW('CASE MASTER'!#REF!)-1))))+1))-1)*50+1,50))&amp;"_"&amp;INDEX('CASE MASTER'!$Q$2:$Q$495,(SUMPRODUCT((('CASE MASTER'!$T$2:$T$495=14)*('CASE MASTER'!$U$2:$U$495&lt;=5)*('CASE MASTER'!$W$2:$W$495&gt;=5)*('CASE MASTER'!$V$2:$V$495&lt;=1)*('CASE MASTER'!$X$2:$X$495&gt;=1))*ROW('CASE MASTER'!$T$2:$T$495))-(ROW('CASE MASTER'!#REF!)-1))),IF(SUMPRODUCT((('CASE MASTER'!$T$2:$T$495=14)*('CASE MASTER'!$AA$2:$AA$495&lt;=5)*('CASE MASTER'!$AC$2:$AC$495&gt;=5)*('CASE MASTER'!$AB$2:$AB$495&lt;=1)*('CASE MASTER'!$AD$2:$AD$495&gt;=1))*ROW('CASE MASTER'!$T$2:$T$495))&gt;0,INDEX('CASE MASTER'!$Y$2:$Y$495,(SUMPRODUCT((('CASE MASTER'!$T$2:$T$495=14)*('CASE MASTER'!$AA$2:$AA$495&lt;=5)*('CASE MASTER'!$AC$2:$AC$495&gt;=5)*('CASE MASTER'!$AB$2:$AB$495&lt;=1)*('CASE MASTER'!$AD$2:$AD$495&gt;=1))*ROW('CASE MASTER'!$T$2:$T$495))-(ROW('CASE MASTER'!#REF!)-1)))&amp;TRIM(MID(SUBSTITUTE(SUBSTITUTE(INDEX('CASE MASTER'!$N$2:$N$495,(SUMPRODUCT((('CASE MASTER'!$T$2:$T$495=14)*('CASE MASTER'!$AA$2:$AA$495&lt;=5)*('CASE MASTER'!$AC$2:$AC$495&gt;=5)*('CASE MASTER'!$AB$2:$AB$495&lt;=1)*('CASE MASTER'!$AD$2:$AD$495&gt;=1))*ROW('CASE MASTER'!$T$2:$T$495))-(ROW('CASE MASTER'!#REF!)-1))),":",","),",",REPT(" ",50)),(((INDEX('CASE MASTER'!$Z$2:$Z$495,(SUMPRODUCT((('CASE MASTER'!$T$2:$T$495=14)*('CASE MASTER'!$AA$2:$AA$495&lt;=5)*('CASE MASTER'!$AC$2:$AC$495&gt;=5)*('CASE MASTER'!$AB$2:$AB$495&lt;=1)*('CASE MASTER'!$AD$2:$AD$495&gt;=1))*ROW('CASE MASTER'!$T$2:$T$495))-(ROW('CASE MASTER'!#REF!)-1)))+((5-INDEX('CASE MASTER'!$AA$2:$AA$495,(SUMPRODUCT((('CASE MASTER'!$T$2:$T$495=14)*('CASE MASTER'!$AA$2:$AA$495&lt;=5)*('CASE MASTER'!$AC$2:$AC$495&gt;=5)*('CASE MASTER'!$AB$2:$AB$495&lt;=1)*('CASE MASTER'!$AD$2:$AD$495&gt;=1))*ROW('CASE MASTER'!$T$2:$T$495))-(ROW('CASE MASTER'!#REF!)-1))))*(INDEX('CASE MASTER'!$AD$2:$AD$495,(SUMPRODUCT((('CASE MASTER'!$T$2:$T$495=14)*('CASE MASTER'!$AA$2:$AA$495&lt;=5)*('CASE MASTER'!$AC$2:$AC$495&gt;=5)*('CASE MASTER'!$AB$2:$AB$495&lt;=1)*('CASE MASTER'!$AD$2:$AD$495&gt;=1))*ROW('CASE MASTER'!$T$2:$T$495))-(ROW('CASE MASTER'!#REF!)-1)))-INDEX('CASE MASTER'!$AB$2:$AB$495,(SUMPRODUCT((('CASE MASTER'!$T$2:$T$495=14)*('CASE MASTER'!$AA$2:$AA$495&lt;=5)*('CASE MASTER'!$AC$2:$AC$495&gt;=5)*('CASE MASTER'!$AB$2:$AB$495&lt;=1)*('CASE MASTER'!$AD$2:$AD$495&gt;=1))*ROW('CASE MASTER'!$T$2:$T$495))-(ROW('CASE MASTER'!#REF!)-1)))+1)+(1-INDEX('CASE MASTER'!$AB$2:$AB$495,(SUMPRODUCT((('CASE MASTER'!$T$2:$T$495=14)*('CASE MASTER'!$AA$2:$AA$495&lt;=5)*('CASE MASTER'!$AC$2:$AC$495&gt;=5)*('CASE MASTER'!$AB$2:$AB$495&lt;=1)*('CASE MASTER'!$AD$2:$AD$495&gt;=1))*ROW('CASE MASTER'!$T$2:$T$495))-(ROW('CASE MASTER'!#REF!)-1))))+1)))-1)*50+1,50))&amp;"_"&amp;INDEX('CASE MASTER'!$Q$2:$Q$495,(SUMPRODUCT((('CASE MASTER'!$T$2:$T$495=14)*('CASE MASTER'!$AA$2:$AA$495&lt;=5)*('CASE MASTER'!$AC$2:$AC$495&gt;=5)*('CASE MASTER'!$AB$2:$AB$495&lt;=1)*('CASE MASTER'!$AD$2:$AD$495&gt;=1))*ROW('CASE MASTER'!$T$2:$T$495))-(ROW('CASE MASTER'!#REF!)-1))),"")),"")</f>
        <v/>
      </c>
      <c r="C189" s="10" t="str">
        <f>IFERROR(IF(SUMPRODUCT((('CASE MASTER'!$T$2:$T$495=14)*('CASE MASTER'!$U$2:$U$495&lt;=5)*('CASE MASTER'!$W$2:$W$495&gt;=5)*('CASE MASTER'!$V$2:$V$495&lt;=2)*('CASE MASTER'!$X$2:$X$495&gt;=2))*ROW('CASE MASTER'!$T$2:$T$495))&gt;0,INDEX('CASE MASTER'!$Y$2:$Y$495,(SUMPRODUCT((('CASE MASTER'!$T$2:$T$495=14)*('CASE MASTER'!$U$2:$U$495&lt;=5)*('CASE MASTER'!$W$2:$W$495&gt;=5)*('CASE MASTER'!$V$2:$V$495&lt;=2)*('CASE MASTER'!$X$2:$X$495&gt;=2))*ROW('CASE MASTER'!$T$2:$T$495))-(ROW('CASE MASTER'!#REF!)-1)))&amp;TRIM(MID(SUBSTITUTE(SUBSTITUTE(INDEX('CASE MASTER'!$N$2:$N$495,(SUMPRODUCT((('CASE MASTER'!$T$2:$T$495=14)*('CASE MASTER'!$U$2:$U$495&lt;=5)*('CASE MASTER'!$W$2:$W$495&gt;=5)*('CASE MASTER'!$V$2:$V$495&lt;=2)*('CASE MASTER'!$X$2:$X$495&gt;=2))*ROW('CASE MASTER'!$T$2:$T$495))-(ROW('CASE MASTER'!#REF!)-1))),":",","),",",REPT(" ",50)),((((5-INDEX('CASE MASTER'!$U$2:$U$495,(SUMPRODUCT((('CASE MASTER'!$T$2:$T$495=14)*('CASE MASTER'!$U$2:$U$495&lt;=5)*('CASE MASTER'!$W$2:$W$495&gt;=5)*('CASE MASTER'!$V$2:$V$495&lt;=2)*('CASE MASTER'!$X$2:$X$495&gt;=2))*ROW('CASE MASTER'!$T$2:$T$495))-(ROW('CASE MASTER'!#REF!)-1))))*(INDEX('CASE MASTER'!$X$2:$X$495,(SUMPRODUCT((('CASE MASTER'!$T$2:$T$495=14)*('CASE MASTER'!$U$2:$U$495&lt;=5)*('CASE MASTER'!$W$2:$W$495&gt;=5)*('CASE MASTER'!$V$2:$V$495&lt;=2)*('CASE MASTER'!$X$2:$X$495&gt;=2))*ROW('CASE MASTER'!$T$2:$T$495))-(ROW('CASE MASTER'!#REF!)-1)))-INDEX('CASE MASTER'!$V$2:$V$495,(SUMPRODUCT((('CASE MASTER'!$T$2:$T$495=14)*('CASE MASTER'!$U$2:$U$495&lt;=5)*('CASE MASTER'!$W$2:$W$495&gt;=5)*('CASE MASTER'!$V$2:$V$495&lt;=2)*('CASE MASTER'!$X$2:$X$495&gt;=2))*ROW('CASE MASTER'!$T$2:$T$495))-(ROW('CASE MASTER'!#REF!)-1)))+1)+(2-INDEX('CASE MASTER'!$V$2:$V$495,(SUMPRODUCT((('CASE MASTER'!$T$2:$T$495=14)*('CASE MASTER'!$U$2:$U$495&lt;=5)*('CASE MASTER'!$W$2:$W$495&gt;=5)*('CASE MASTER'!$V$2:$V$495&lt;=2)*('CASE MASTER'!$X$2:$X$495&gt;=2))*ROW('CASE MASTER'!$T$2:$T$495))-(ROW('CASE MASTER'!#REF!)-1))))+1))-1)*50+1,50))&amp;"_"&amp;INDEX('CASE MASTER'!$Q$2:$Q$495,(SUMPRODUCT((('CASE MASTER'!$T$2:$T$495=14)*('CASE MASTER'!$U$2:$U$495&lt;=5)*('CASE MASTER'!$W$2:$W$495&gt;=5)*('CASE MASTER'!$V$2:$V$495&lt;=2)*('CASE MASTER'!$X$2:$X$495&gt;=2))*ROW('CASE MASTER'!$T$2:$T$495))-(ROW('CASE MASTER'!#REF!)-1))),IF(SUMPRODUCT((('CASE MASTER'!$T$2:$T$495=14)*('CASE MASTER'!$AA$2:$AA$495&lt;=5)*('CASE MASTER'!$AC$2:$AC$495&gt;=5)*('CASE MASTER'!$AB$2:$AB$495&lt;=2)*('CASE MASTER'!$AD$2:$AD$495&gt;=2))*ROW('CASE MASTER'!$T$2:$T$495))&gt;0,INDEX('CASE MASTER'!$Y$2:$Y$495,(SUMPRODUCT((('CASE MASTER'!$T$2:$T$495=14)*('CASE MASTER'!$AA$2:$AA$495&lt;=5)*('CASE MASTER'!$AC$2:$AC$495&gt;=5)*('CASE MASTER'!$AB$2:$AB$495&lt;=2)*('CASE MASTER'!$AD$2:$AD$495&gt;=2))*ROW('CASE MASTER'!$T$2:$T$495))-(ROW('CASE MASTER'!#REF!)-1)))&amp;TRIM(MID(SUBSTITUTE(SUBSTITUTE(INDEX('CASE MASTER'!$N$2:$N$495,(SUMPRODUCT((('CASE MASTER'!$T$2:$T$495=14)*('CASE MASTER'!$AA$2:$AA$495&lt;=5)*('CASE MASTER'!$AC$2:$AC$495&gt;=5)*('CASE MASTER'!$AB$2:$AB$495&lt;=2)*('CASE MASTER'!$AD$2:$AD$495&gt;=2))*ROW('CASE MASTER'!$T$2:$T$495))-(ROW('CASE MASTER'!#REF!)-1))),":",","),",",REPT(" ",50)),(((INDEX('CASE MASTER'!$Z$2:$Z$495,(SUMPRODUCT((('CASE MASTER'!$T$2:$T$495=14)*('CASE MASTER'!$AA$2:$AA$495&lt;=5)*('CASE MASTER'!$AC$2:$AC$495&gt;=5)*('CASE MASTER'!$AB$2:$AB$495&lt;=2)*('CASE MASTER'!$AD$2:$AD$495&gt;=2))*ROW('CASE MASTER'!$T$2:$T$495))-(ROW('CASE MASTER'!#REF!)-1)))+((5-INDEX('CASE MASTER'!$AA$2:$AA$495,(SUMPRODUCT((('CASE MASTER'!$T$2:$T$495=14)*('CASE MASTER'!$AA$2:$AA$495&lt;=5)*('CASE MASTER'!$AC$2:$AC$495&gt;=5)*('CASE MASTER'!$AB$2:$AB$495&lt;=2)*('CASE MASTER'!$AD$2:$AD$495&gt;=2))*ROW('CASE MASTER'!$T$2:$T$495))-(ROW('CASE MASTER'!#REF!)-1))))*(INDEX('CASE MASTER'!$AD$2:$AD$495,(SUMPRODUCT((('CASE MASTER'!$T$2:$T$495=14)*('CASE MASTER'!$AA$2:$AA$495&lt;=5)*('CASE MASTER'!$AC$2:$AC$495&gt;=5)*('CASE MASTER'!$AB$2:$AB$495&lt;=2)*('CASE MASTER'!$AD$2:$AD$495&gt;=2))*ROW('CASE MASTER'!$T$2:$T$495))-(ROW('CASE MASTER'!#REF!)-1)))-INDEX('CASE MASTER'!$AB$2:$AB$495,(SUMPRODUCT((('CASE MASTER'!$T$2:$T$495=14)*('CASE MASTER'!$AA$2:$AA$495&lt;=5)*('CASE MASTER'!$AC$2:$AC$495&gt;=5)*('CASE MASTER'!$AB$2:$AB$495&lt;=2)*('CASE MASTER'!$AD$2:$AD$495&gt;=2))*ROW('CASE MASTER'!$T$2:$T$495))-(ROW('CASE MASTER'!#REF!)-1)))+1)+(2-INDEX('CASE MASTER'!$AB$2:$AB$495,(SUMPRODUCT((('CASE MASTER'!$T$2:$T$495=14)*('CASE MASTER'!$AA$2:$AA$495&lt;=5)*('CASE MASTER'!$AC$2:$AC$495&gt;=5)*('CASE MASTER'!$AB$2:$AB$495&lt;=2)*('CASE MASTER'!$AD$2:$AD$495&gt;=2))*ROW('CASE MASTER'!$T$2:$T$495))-(ROW('CASE MASTER'!#REF!)-1))))+1)))-1)*50+1,50))&amp;"_"&amp;INDEX('CASE MASTER'!$Q$2:$Q$495,(SUMPRODUCT((('CASE MASTER'!$T$2:$T$495=14)*('CASE MASTER'!$AA$2:$AA$495&lt;=5)*('CASE MASTER'!$AC$2:$AC$495&gt;=5)*('CASE MASTER'!$AB$2:$AB$495&lt;=2)*('CASE MASTER'!$AD$2:$AD$495&gt;=2))*ROW('CASE MASTER'!$T$2:$T$495))-(ROW('CASE MASTER'!#REF!)-1))),"")),"")</f>
        <v/>
      </c>
      <c r="D189" s="10" t="str">
        <f>IFERROR(IF(SUMPRODUCT((('CASE MASTER'!$T$2:$T$495=14)*('CASE MASTER'!$U$2:$U$495&lt;=5)*('CASE MASTER'!$W$2:$W$495&gt;=5)*('CASE MASTER'!$V$2:$V$495&lt;=3)*('CASE MASTER'!$X$2:$X$495&gt;=3))*ROW('CASE MASTER'!$T$2:$T$495))&gt;0,INDEX('CASE MASTER'!$Y$2:$Y$495,(SUMPRODUCT((('CASE MASTER'!$T$2:$T$495=14)*('CASE MASTER'!$U$2:$U$495&lt;=5)*('CASE MASTER'!$W$2:$W$495&gt;=5)*('CASE MASTER'!$V$2:$V$495&lt;=3)*('CASE MASTER'!$X$2:$X$495&gt;=3))*ROW('CASE MASTER'!$T$2:$T$495))-(ROW('CASE MASTER'!#REF!)-1)))&amp;TRIM(MID(SUBSTITUTE(SUBSTITUTE(INDEX('CASE MASTER'!$N$2:$N$495,(SUMPRODUCT((('CASE MASTER'!$T$2:$T$495=14)*('CASE MASTER'!$U$2:$U$495&lt;=5)*('CASE MASTER'!$W$2:$W$495&gt;=5)*('CASE MASTER'!$V$2:$V$495&lt;=3)*('CASE MASTER'!$X$2:$X$495&gt;=3))*ROW('CASE MASTER'!$T$2:$T$495))-(ROW('CASE MASTER'!#REF!)-1))),":",","),",",REPT(" ",50)),((((5-INDEX('CASE MASTER'!$U$2:$U$495,(SUMPRODUCT((('CASE MASTER'!$T$2:$T$495=14)*('CASE MASTER'!$U$2:$U$495&lt;=5)*('CASE MASTER'!$W$2:$W$495&gt;=5)*('CASE MASTER'!$V$2:$V$495&lt;=3)*('CASE MASTER'!$X$2:$X$495&gt;=3))*ROW('CASE MASTER'!$T$2:$T$495))-(ROW('CASE MASTER'!#REF!)-1))))*(INDEX('CASE MASTER'!$X$2:$X$495,(SUMPRODUCT((('CASE MASTER'!$T$2:$T$495=14)*('CASE MASTER'!$U$2:$U$495&lt;=5)*('CASE MASTER'!$W$2:$W$495&gt;=5)*('CASE MASTER'!$V$2:$V$495&lt;=3)*('CASE MASTER'!$X$2:$X$495&gt;=3))*ROW('CASE MASTER'!$T$2:$T$495))-(ROW('CASE MASTER'!#REF!)-1)))-INDEX('CASE MASTER'!$V$2:$V$495,(SUMPRODUCT((('CASE MASTER'!$T$2:$T$495=14)*('CASE MASTER'!$U$2:$U$495&lt;=5)*('CASE MASTER'!$W$2:$W$495&gt;=5)*('CASE MASTER'!$V$2:$V$495&lt;=3)*('CASE MASTER'!$X$2:$X$495&gt;=3))*ROW('CASE MASTER'!$T$2:$T$495))-(ROW('CASE MASTER'!#REF!)-1)))+1)+(3-INDEX('CASE MASTER'!$V$2:$V$495,(SUMPRODUCT((('CASE MASTER'!$T$2:$T$495=14)*('CASE MASTER'!$U$2:$U$495&lt;=5)*('CASE MASTER'!$W$2:$W$495&gt;=5)*('CASE MASTER'!$V$2:$V$495&lt;=3)*('CASE MASTER'!$X$2:$X$495&gt;=3))*ROW('CASE MASTER'!$T$2:$T$495))-(ROW('CASE MASTER'!#REF!)-1))))+1))-1)*50+1,50))&amp;"_"&amp;INDEX('CASE MASTER'!$Q$2:$Q$495,(SUMPRODUCT((('CASE MASTER'!$T$2:$T$495=14)*('CASE MASTER'!$U$2:$U$495&lt;=5)*('CASE MASTER'!$W$2:$W$495&gt;=5)*('CASE MASTER'!$V$2:$V$495&lt;=3)*('CASE MASTER'!$X$2:$X$495&gt;=3))*ROW('CASE MASTER'!$T$2:$T$495))-(ROW('CASE MASTER'!#REF!)-1))),IF(SUMPRODUCT((('CASE MASTER'!$T$2:$T$495=14)*('CASE MASTER'!$AA$2:$AA$495&lt;=5)*('CASE MASTER'!$AC$2:$AC$495&gt;=5)*('CASE MASTER'!$AB$2:$AB$495&lt;=3)*('CASE MASTER'!$AD$2:$AD$495&gt;=3))*ROW('CASE MASTER'!$T$2:$T$495))&gt;0,INDEX('CASE MASTER'!$Y$2:$Y$495,(SUMPRODUCT((('CASE MASTER'!$T$2:$T$495=14)*('CASE MASTER'!$AA$2:$AA$495&lt;=5)*('CASE MASTER'!$AC$2:$AC$495&gt;=5)*('CASE MASTER'!$AB$2:$AB$495&lt;=3)*('CASE MASTER'!$AD$2:$AD$495&gt;=3))*ROW('CASE MASTER'!$T$2:$T$495))-(ROW('CASE MASTER'!#REF!)-1)))&amp;TRIM(MID(SUBSTITUTE(SUBSTITUTE(INDEX('CASE MASTER'!$N$2:$N$495,(SUMPRODUCT((('CASE MASTER'!$T$2:$T$495=14)*('CASE MASTER'!$AA$2:$AA$495&lt;=5)*('CASE MASTER'!$AC$2:$AC$495&gt;=5)*('CASE MASTER'!$AB$2:$AB$495&lt;=3)*('CASE MASTER'!$AD$2:$AD$495&gt;=3))*ROW('CASE MASTER'!$T$2:$T$495))-(ROW('CASE MASTER'!#REF!)-1))),":",","),",",REPT(" ",50)),(((INDEX('CASE MASTER'!$Z$2:$Z$495,(SUMPRODUCT((('CASE MASTER'!$T$2:$T$495=14)*('CASE MASTER'!$AA$2:$AA$495&lt;=5)*('CASE MASTER'!$AC$2:$AC$495&gt;=5)*('CASE MASTER'!$AB$2:$AB$495&lt;=3)*('CASE MASTER'!$AD$2:$AD$495&gt;=3))*ROW('CASE MASTER'!$T$2:$T$495))-(ROW('CASE MASTER'!#REF!)-1)))+((5-INDEX('CASE MASTER'!$AA$2:$AA$495,(SUMPRODUCT((('CASE MASTER'!$T$2:$T$495=14)*('CASE MASTER'!$AA$2:$AA$495&lt;=5)*('CASE MASTER'!$AC$2:$AC$495&gt;=5)*('CASE MASTER'!$AB$2:$AB$495&lt;=3)*('CASE MASTER'!$AD$2:$AD$495&gt;=3))*ROW('CASE MASTER'!$T$2:$T$495))-(ROW('CASE MASTER'!#REF!)-1))))*(INDEX('CASE MASTER'!$AD$2:$AD$495,(SUMPRODUCT((('CASE MASTER'!$T$2:$T$495=14)*('CASE MASTER'!$AA$2:$AA$495&lt;=5)*('CASE MASTER'!$AC$2:$AC$495&gt;=5)*('CASE MASTER'!$AB$2:$AB$495&lt;=3)*('CASE MASTER'!$AD$2:$AD$495&gt;=3))*ROW('CASE MASTER'!$T$2:$T$495))-(ROW('CASE MASTER'!#REF!)-1)))-INDEX('CASE MASTER'!$AB$2:$AB$495,(SUMPRODUCT((('CASE MASTER'!$T$2:$T$495=14)*('CASE MASTER'!$AA$2:$AA$495&lt;=5)*('CASE MASTER'!$AC$2:$AC$495&gt;=5)*('CASE MASTER'!$AB$2:$AB$495&lt;=3)*('CASE MASTER'!$AD$2:$AD$495&gt;=3))*ROW('CASE MASTER'!$T$2:$T$495))-(ROW('CASE MASTER'!#REF!)-1)))+1)+(3-INDEX('CASE MASTER'!$AB$2:$AB$495,(SUMPRODUCT((('CASE MASTER'!$T$2:$T$495=14)*('CASE MASTER'!$AA$2:$AA$495&lt;=5)*('CASE MASTER'!$AC$2:$AC$495&gt;=5)*('CASE MASTER'!$AB$2:$AB$495&lt;=3)*('CASE MASTER'!$AD$2:$AD$495&gt;=3))*ROW('CASE MASTER'!$T$2:$T$495))-(ROW('CASE MASTER'!#REF!)-1))))+1)))-1)*50+1,50))&amp;"_"&amp;INDEX('CASE MASTER'!$Q$2:$Q$495,(SUMPRODUCT((('CASE MASTER'!$T$2:$T$495=14)*('CASE MASTER'!$AA$2:$AA$495&lt;=5)*('CASE MASTER'!$AC$2:$AC$495&gt;=5)*('CASE MASTER'!$AB$2:$AB$495&lt;=3)*('CASE MASTER'!$AD$2:$AD$495&gt;=3))*ROW('CASE MASTER'!$T$2:$T$495))-(ROW('CASE MASTER'!#REF!)-1))),"")),"")</f>
        <v/>
      </c>
      <c r="E189" s="10" t="str">
        <f>IFERROR(IF(SUMPRODUCT((('CASE MASTER'!$T$2:$T$495=14)*('CASE MASTER'!$U$2:$U$495&lt;=5)*('CASE MASTER'!$W$2:$W$495&gt;=5)*('CASE MASTER'!$V$2:$V$495&lt;=4)*('CASE MASTER'!$X$2:$X$495&gt;=4))*ROW('CASE MASTER'!$T$2:$T$495))&gt;0,INDEX('CASE MASTER'!$Y$2:$Y$495,(SUMPRODUCT((('CASE MASTER'!$T$2:$T$495=14)*('CASE MASTER'!$U$2:$U$495&lt;=5)*('CASE MASTER'!$W$2:$W$495&gt;=5)*('CASE MASTER'!$V$2:$V$495&lt;=4)*('CASE MASTER'!$X$2:$X$495&gt;=4))*ROW('CASE MASTER'!$T$2:$T$495))-(ROW('CASE MASTER'!#REF!)-1)))&amp;TRIM(MID(SUBSTITUTE(SUBSTITUTE(INDEX('CASE MASTER'!$N$2:$N$495,(SUMPRODUCT((('CASE MASTER'!$T$2:$T$495=14)*('CASE MASTER'!$U$2:$U$495&lt;=5)*('CASE MASTER'!$W$2:$W$495&gt;=5)*('CASE MASTER'!$V$2:$V$495&lt;=4)*('CASE MASTER'!$X$2:$X$495&gt;=4))*ROW('CASE MASTER'!$T$2:$T$495))-(ROW('CASE MASTER'!#REF!)-1))),":",","),",",REPT(" ",50)),((((5-INDEX('CASE MASTER'!$U$2:$U$495,(SUMPRODUCT((('CASE MASTER'!$T$2:$T$495=14)*('CASE MASTER'!$U$2:$U$495&lt;=5)*('CASE MASTER'!$W$2:$W$495&gt;=5)*('CASE MASTER'!$V$2:$V$495&lt;=4)*('CASE MASTER'!$X$2:$X$495&gt;=4))*ROW('CASE MASTER'!$T$2:$T$495))-(ROW('CASE MASTER'!#REF!)-1))))*(INDEX('CASE MASTER'!$X$2:$X$495,(SUMPRODUCT((('CASE MASTER'!$T$2:$T$495=14)*('CASE MASTER'!$U$2:$U$495&lt;=5)*('CASE MASTER'!$W$2:$W$495&gt;=5)*('CASE MASTER'!$V$2:$V$495&lt;=4)*('CASE MASTER'!$X$2:$X$495&gt;=4))*ROW('CASE MASTER'!$T$2:$T$495))-(ROW('CASE MASTER'!#REF!)-1)))-INDEX('CASE MASTER'!$V$2:$V$495,(SUMPRODUCT((('CASE MASTER'!$T$2:$T$495=14)*('CASE MASTER'!$U$2:$U$495&lt;=5)*('CASE MASTER'!$W$2:$W$495&gt;=5)*('CASE MASTER'!$V$2:$V$495&lt;=4)*('CASE MASTER'!$X$2:$X$495&gt;=4))*ROW('CASE MASTER'!$T$2:$T$495))-(ROW('CASE MASTER'!#REF!)-1)))+1)+(4-INDEX('CASE MASTER'!$V$2:$V$495,(SUMPRODUCT((('CASE MASTER'!$T$2:$T$495=14)*('CASE MASTER'!$U$2:$U$495&lt;=5)*('CASE MASTER'!$W$2:$W$495&gt;=5)*('CASE MASTER'!$V$2:$V$495&lt;=4)*('CASE MASTER'!$X$2:$X$495&gt;=4))*ROW('CASE MASTER'!$T$2:$T$495))-(ROW('CASE MASTER'!#REF!)-1))))+1))-1)*50+1,50))&amp;"_"&amp;INDEX('CASE MASTER'!$Q$2:$Q$495,(SUMPRODUCT((('CASE MASTER'!$T$2:$T$495=14)*('CASE MASTER'!$U$2:$U$495&lt;=5)*('CASE MASTER'!$W$2:$W$495&gt;=5)*('CASE MASTER'!$V$2:$V$495&lt;=4)*('CASE MASTER'!$X$2:$X$495&gt;=4))*ROW('CASE MASTER'!$T$2:$T$495))-(ROW('CASE MASTER'!#REF!)-1))),IF(SUMPRODUCT((('CASE MASTER'!$T$2:$T$495=14)*('CASE MASTER'!$AA$2:$AA$495&lt;=5)*('CASE MASTER'!$AC$2:$AC$495&gt;=5)*('CASE MASTER'!$AB$2:$AB$495&lt;=4)*('CASE MASTER'!$AD$2:$AD$495&gt;=4))*ROW('CASE MASTER'!$T$2:$T$495))&gt;0,INDEX('CASE MASTER'!$Y$2:$Y$495,(SUMPRODUCT((('CASE MASTER'!$T$2:$T$495=14)*('CASE MASTER'!$AA$2:$AA$495&lt;=5)*('CASE MASTER'!$AC$2:$AC$495&gt;=5)*('CASE MASTER'!$AB$2:$AB$495&lt;=4)*('CASE MASTER'!$AD$2:$AD$495&gt;=4))*ROW('CASE MASTER'!$T$2:$T$495))-(ROW('CASE MASTER'!#REF!)-1)))&amp;TRIM(MID(SUBSTITUTE(SUBSTITUTE(INDEX('CASE MASTER'!$N$2:$N$495,(SUMPRODUCT((('CASE MASTER'!$T$2:$T$495=14)*('CASE MASTER'!$AA$2:$AA$495&lt;=5)*('CASE MASTER'!$AC$2:$AC$495&gt;=5)*('CASE MASTER'!$AB$2:$AB$495&lt;=4)*('CASE MASTER'!$AD$2:$AD$495&gt;=4))*ROW('CASE MASTER'!$T$2:$T$495))-(ROW('CASE MASTER'!#REF!)-1))),":",","),",",REPT(" ",50)),(((INDEX('CASE MASTER'!$Z$2:$Z$495,(SUMPRODUCT((('CASE MASTER'!$T$2:$T$495=14)*('CASE MASTER'!$AA$2:$AA$495&lt;=5)*('CASE MASTER'!$AC$2:$AC$495&gt;=5)*('CASE MASTER'!$AB$2:$AB$495&lt;=4)*('CASE MASTER'!$AD$2:$AD$495&gt;=4))*ROW('CASE MASTER'!$T$2:$T$495))-(ROW('CASE MASTER'!#REF!)-1)))+((5-INDEX('CASE MASTER'!$AA$2:$AA$495,(SUMPRODUCT((('CASE MASTER'!$T$2:$T$495=14)*('CASE MASTER'!$AA$2:$AA$495&lt;=5)*('CASE MASTER'!$AC$2:$AC$495&gt;=5)*('CASE MASTER'!$AB$2:$AB$495&lt;=4)*('CASE MASTER'!$AD$2:$AD$495&gt;=4))*ROW('CASE MASTER'!$T$2:$T$495))-(ROW('CASE MASTER'!#REF!)-1))))*(INDEX('CASE MASTER'!$AD$2:$AD$495,(SUMPRODUCT((('CASE MASTER'!$T$2:$T$495=14)*('CASE MASTER'!$AA$2:$AA$495&lt;=5)*('CASE MASTER'!$AC$2:$AC$495&gt;=5)*('CASE MASTER'!$AB$2:$AB$495&lt;=4)*('CASE MASTER'!$AD$2:$AD$495&gt;=4))*ROW('CASE MASTER'!$T$2:$T$495))-(ROW('CASE MASTER'!#REF!)-1)))-INDEX('CASE MASTER'!$AB$2:$AB$495,(SUMPRODUCT((('CASE MASTER'!$T$2:$T$495=14)*('CASE MASTER'!$AA$2:$AA$495&lt;=5)*('CASE MASTER'!$AC$2:$AC$495&gt;=5)*('CASE MASTER'!$AB$2:$AB$495&lt;=4)*('CASE MASTER'!$AD$2:$AD$495&gt;=4))*ROW('CASE MASTER'!$T$2:$T$495))-(ROW('CASE MASTER'!#REF!)-1)))+1)+(4-INDEX('CASE MASTER'!$AB$2:$AB$495,(SUMPRODUCT((('CASE MASTER'!$T$2:$T$495=14)*('CASE MASTER'!$AA$2:$AA$495&lt;=5)*('CASE MASTER'!$AC$2:$AC$495&gt;=5)*('CASE MASTER'!$AB$2:$AB$495&lt;=4)*('CASE MASTER'!$AD$2:$AD$495&gt;=4))*ROW('CASE MASTER'!$T$2:$T$495))-(ROW('CASE MASTER'!#REF!)-1))))+1)))-1)*50+1,50))&amp;"_"&amp;INDEX('CASE MASTER'!$Q$2:$Q$495,(SUMPRODUCT((('CASE MASTER'!$T$2:$T$495=14)*('CASE MASTER'!$AA$2:$AA$495&lt;=5)*('CASE MASTER'!$AC$2:$AC$495&gt;=5)*('CASE MASTER'!$AB$2:$AB$495&lt;=4)*('CASE MASTER'!$AD$2:$AD$495&gt;=4))*ROW('CASE MASTER'!$T$2:$T$495))-(ROW('CASE MASTER'!#REF!)-1))),"")),"")</f>
        <v/>
      </c>
      <c r="F189" s="10" t="str">
        <f>IFERROR(IF(SUMPRODUCT((('CASE MASTER'!$T$2:$T$495=14)*('CASE MASTER'!$U$2:$U$495&lt;=5)*('CASE MASTER'!$W$2:$W$495&gt;=5)*('CASE MASTER'!$V$2:$V$495&lt;=5)*('CASE MASTER'!$X$2:$X$495&gt;=5))*ROW('CASE MASTER'!$T$2:$T$495))&gt;0,INDEX('CASE MASTER'!$Y$2:$Y$495,(SUMPRODUCT((('CASE MASTER'!$T$2:$T$495=14)*('CASE MASTER'!$U$2:$U$495&lt;=5)*('CASE MASTER'!$W$2:$W$495&gt;=5)*('CASE MASTER'!$V$2:$V$495&lt;=5)*('CASE MASTER'!$X$2:$X$495&gt;=5))*ROW('CASE MASTER'!$T$2:$T$495))-(ROW('CASE MASTER'!#REF!)-1)))&amp;TRIM(MID(SUBSTITUTE(SUBSTITUTE(INDEX('CASE MASTER'!$N$2:$N$495,(SUMPRODUCT((('CASE MASTER'!$T$2:$T$495=14)*('CASE MASTER'!$U$2:$U$495&lt;=5)*('CASE MASTER'!$W$2:$W$495&gt;=5)*('CASE MASTER'!$V$2:$V$495&lt;=5)*('CASE MASTER'!$X$2:$X$495&gt;=5))*ROW('CASE MASTER'!$T$2:$T$495))-(ROW('CASE MASTER'!#REF!)-1))),":",","),",",REPT(" ",50)),((((5-INDEX('CASE MASTER'!$U$2:$U$495,(SUMPRODUCT((('CASE MASTER'!$T$2:$T$495=14)*('CASE MASTER'!$U$2:$U$495&lt;=5)*('CASE MASTER'!$W$2:$W$495&gt;=5)*('CASE MASTER'!$V$2:$V$495&lt;=5)*('CASE MASTER'!$X$2:$X$495&gt;=5))*ROW('CASE MASTER'!$T$2:$T$495))-(ROW('CASE MASTER'!#REF!)-1))))*(INDEX('CASE MASTER'!$X$2:$X$495,(SUMPRODUCT((('CASE MASTER'!$T$2:$T$495=14)*('CASE MASTER'!$U$2:$U$495&lt;=5)*('CASE MASTER'!$W$2:$W$495&gt;=5)*('CASE MASTER'!$V$2:$V$495&lt;=5)*('CASE MASTER'!$X$2:$X$495&gt;=5))*ROW('CASE MASTER'!$T$2:$T$495))-(ROW('CASE MASTER'!#REF!)-1)))-INDEX('CASE MASTER'!$V$2:$V$495,(SUMPRODUCT((('CASE MASTER'!$T$2:$T$495=14)*('CASE MASTER'!$U$2:$U$495&lt;=5)*('CASE MASTER'!$W$2:$W$495&gt;=5)*('CASE MASTER'!$V$2:$V$495&lt;=5)*('CASE MASTER'!$X$2:$X$495&gt;=5))*ROW('CASE MASTER'!$T$2:$T$495))-(ROW('CASE MASTER'!#REF!)-1)))+1)+(5-INDEX('CASE MASTER'!$V$2:$V$495,(SUMPRODUCT((('CASE MASTER'!$T$2:$T$495=14)*('CASE MASTER'!$U$2:$U$495&lt;=5)*('CASE MASTER'!$W$2:$W$495&gt;=5)*('CASE MASTER'!$V$2:$V$495&lt;=5)*('CASE MASTER'!$X$2:$X$495&gt;=5))*ROW('CASE MASTER'!$T$2:$T$495))-(ROW('CASE MASTER'!#REF!)-1))))+1))-1)*50+1,50))&amp;"_"&amp;INDEX('CASE MASTER'!$Q$2:$Q$495,(SUMPRODUCT((('CASE MASTER'!$T$2:$T$495=14)*('CASE MASTER'!$U$2:$U$495&lt;=5)*('CASE MASTER'!$W$2:$W$495&gt;=5)*('CASE MASTER'!$V$2:$V$495&lt;=5)*('CASE MASTER'!$X$2:$X$495&gt;=5))*ROW('CASE MASTER'!$T$2:$T$495))-(ROW('CASE MASTER'!#REF!)-1))),IF(SUMPRODUCT((('CASE MASTER'!$T$2:$T$495=14)*('CASE MASTER'!$AA$2:$AA$495&lt;=5)*('CASE MASTER'!$AC$2:$AC$495&gt;=5)*('CASE MASTER'!$AB$2:$AB$495&lt;=5)*('CASE MASTER'!$AD$2:$AD$495&gt;=5))*ROW('CASE MASTER'!$T$2:$T$495))&gt;0,INDEX('CASE MASTER'!$Y$2:$Y$495,(SUMPRODUCT((('CASE MASTER'!$T$2:$T$495=14)*('CASE MASTER'!$AA$2:$AA$495&lt;=5)*('CASE MASTER'!$AC$2:$AC$495&gt;=5)*('CASE MASTER'!$AB$2:$AB$495&lt;=5)*('CASE MASTER'!$AD$2:$AD$495&gt;=5))*ROW('CASE MASTER'!$T$2:$T$495))-(ROW('CASE MASTER'!#REF!)-1)))&amp;TRIM(MID(SUBSTITUTE(SUBSTITUTE(INDEX('CASE MASTER'!$N$2:$N$495,(SUMPRODUCT((('CASE MASTER'!$T$2:$T$495=14)*('CASE MASTER'!$AA$2:$AA$495&lt;=5)*('CASE MASTER'!$AC$2:$AC$495&gt;=5)*('CASE MASTER'!$AB$2:$AB$495&lt;=5)*('CASE MASTER'!$AD$2:$AD$495&gt;=5))*ROW('CASE MASTER'!$T$2:$T$495))-(ROW('CASE MASTER'!#REF!)-1))),":",","),",",REPT(" ",50)),(((INDEX('CASE MASTER'!$Z$2:$Z$495,(SUMPRODUCT((('CASE MASTER'!$T$2:$T$495=14)*('CASE MASTER'!$AA$2:$AA$495&lt;=5)*('CASE MASTER'!$AC$2:$AC$495&gt;=5)*('CASE MASTER'!$AB$2:$AB$495&lt;=5)*('CASE MASTER'!$AD$2:$AD$495&gt;=5))*ROW('CASE MASTER'!$T$2:$T$495))-(ROW('CASE MASTER'!#REF!)-1)))+((5-INDEX('CASE MASTER'!$AA$2:$AA$495,(SUMPRODUCT((('CASE MASTER'!$T$2:$T$495=14)*('CASE MASTER'!$AA$2:$AA$495&lt;=5)*('CASE MASTER'!$AC$2:$AC$495&gt;=5)*('CASE MASTER'!$AB$2:$AB$495&lt;=5)*('CASE MASTER'!$AD$2:$AD$495&gt;=5))*ROW('CASE MASTER'!$T$2:$T$495))-(ROW('CASE MASTER'!#REF!)-1))))*(INDEX('CASE MASTER'!$AD$2:$AD$495,(SUMPRODUCT((('CASE MASTER'!$T$2:$T$495=14)*('CASE MASTER'!$AA$2:$AA$495&lt;=5)*('CASE MASTER'!$AC$2:$AC$495&gt;=5)*('CASE MASTER'!$AB$2:$AB$495&lt;=5)*('CASE MASTER'!$AD$2:$AD$495&gt;=5))*ROW('CASE MASTER'!$T$2:$T$495))-(ROW('CASE MASTER'!#REF!)-1)))-INDEX('CASE MASTER'!$AB$2:$AB$495,(SUMPRODUCT((('CASE MASTER'!$T$2:$T$495=14)*('CASE MASTER'!$AA$2:$AA$495&lt;=5)*('CASE MASTER'!$AC$2:$AC$495&gt;=5)*('CASE MASTER'!$AB$2:$AB$495&lt;=5)*('CASE MASTER'!$AD$2:$AD$495&gt;=5))*ROW('CASE MASTER'!$T$2:$T$495))-(ROW('CASE MASTER'!#REF!)-1)))+1)+(5-INDEX('CASE MASTER'!$AB$2:$AB$495,(SUMPRODUCT((('CASE MASTER'!$T$2:$T$495=14)*('CASE MASTER'!$AA$2:$AA$495&lt;=5)*('CASE MASTER'!$AC$2:$AC$495&gt;=5)*('CASE MASTER'!$AB$2:$AB$495&lt;=5)*('CASE MASTER'!$AD$2:$AD$495&gt;=5))*ROW('CASE MASTER'!$T$2:$T$495))-(ROW('CASE MASTER'!#REF!)-1))))+1)))-1)*50+1,50))&amp;"_"&amp;INDEX('CASE MASTER'!$Q$2:$Q$495,(SUMPRODUCT((('CASE MASTER'!$T$2:$T$495=14)*('CASE MASTER'!$AA$2:$AA$495&lt;=5)*('CASE MASTER'!$AC$2:$AC$495&gt;=5)*('CASE MASTER'!$AB$2:$AB$495&lt;=5)*('CASE MASTER'!$AD$2:$AD$495&gt;=5))*ROW('CASE MASTER'!$T$2:$T$495))-(ROW('CASE MASTER'!#REF!)-1))),"")),"")</f>
        <v/>
      </c>
      <c r="G189" s="10" t="str">
        <f>IFERROR(IF(SUMPRODUCT((('CASE MASTER'!$T$2:$T$495=14)*('CASE MASTER'!$U$2:$U$495&lt;=5)*('CASE MASTER'!$W$2:$W$495&gt;=5)*('CASE MASTER'!$V$2:$V$495&lt;=6)*('CASE MASTER'!$X$2:$X$495&gt;=6))*ROW('CASE MASTER'!$T$2:$T$495))&gt;0,INDEX('CASE MASTER'!$Y$2:$Y$495,(SUMPRODUCT((('CASE MASTER'!$T$2:$T$495=14)*('CASE MASTER'!$U$2:$U$495&lt;=5)*('CASE MASTER'!$W$2:$W$495&gt;=5)*('CASE MASTER'!$V$2:$V$495&lt;=6)*('CASE MASTER'!$X$2:$X$495&gt;=6))*ROW('CASE MASTER'!$T$2:$T$495))-(ROW('CASE MASTER'!#REF!)-1)))&amp;TRIM(MID(SUBSTITUTE(SUBSTITUTE(INDEX('CASE MASTER'!$N$2:$N$495,(SUMPRODUCT((('CASE MASTER'!$T$2:$T$495=14)*('CASE MASTER'!$U$2:$U$495&lt;=5)*('CASE MASTER'!$W$2:$W$495&gt;=5)*('CASE MASTER'!$V$2:$V$495&lt;=6)*('CASE MASTER'!$X$2:$X$495&gt;=6))*ROW('CASE MASTER'!$T$2:$T$495))-(ROW('CASE MASTER'!#REF!)-1))),":",","),",",REPT(" ",50)),((((5-INDEX('CASE MASTER'!$U$2:$U$495,(SUMPRODUCT((('CASE MASTER'!$T$2:$T$495=14)*('CASE MASTER'!$U$2:$U$495&lt;=5)*('CASE MASTER'!$W$2:$W$495&gt;=5)*('CASE MASTER'!$V$2:$V$495&lt;=6)*('CASE MASTER'!$X$2:$X$495&gt;=6))*ROW('CASE MASTER'!$T$2:$T$495))-(ROW('CASE MASTER'!#REF!)-1))))*(INDEX('CASE MASTER'!$X$2:$X$495,(SUMPRODUCT((('CASE MASTER'!$T$2:$T$495=14)*('CASE MASTER'!$U$2:$U$495&lt;=5)*('CASE MASTER'!$W$2:$W$495&gt;=5)*('CASE MASTER'!$V$2:$V$495&lt;=6)*('CASE MASTER'!$X$2:$X$495&gt;=6))*ROW('CASE MASTER'!$T$2:$T$495))-(ROW('CASE MASTER'!#REF!)-1)))-INDEX('CASE MASTER'!$V$2:$V$495,(SUMPRODUCT((('CASE MASTER'!$T$2:$T$495=14)*('CASE MASTER'!$U$2:$U$495&lt;=5)*('CASE MASTER'!$W$2:$W$495&gt;=5)*('CASE MASTER'!$V$2:$V$495&lt;=6)*('CASE MASTER'!$X$2:$X$495&gt;=6))*ROW('CASE MASTER'!$T$2:$T$495))-(ROW('CASE MASTER'!#REF!)-1)))+1)+(6-INDEX('CASE MASTER'!$V$2:$V$495,(SUMPRODUCT((('CASE MASTER'!$T$2:$T$495=14)*('CASE MASTER'!$U$2:$U$495&lt;=5)*('CASE MASTER'!$W$2:$W$495&gt;=5)*('CASE MASTER'!$V$2:$V$495&lt;=6)*('CASE MASTER'!$X$2:$X$495&gt;=6))*ROW('CASE MASTER'!$T$2:$T$495))-(ROW('CASE MASTER'!#REF!)-1))))+1))-1)*50+1,50))&amp;"_"&amp;INDEX('CASE MASTER'!$Q$2:$Q$495,(SUMPRODUCT((('CASE MASTER'!$T$2:$T$495=14)*('CASE MASTER'!$U$2:$U$495&lt;=5)*('CASE MASTER'!$W$2:$W$495&gt;=5)*('CASE MASTER'!$V$2:$V$495&lt;=6)*('CASE MASTER'!$X$2:$X$495&gt;=6))*ROW('CASE MASTER'!$T$2:$T$495))-(ROW('CASE MASTER'!#REF!)-1))),IF(SUMPRODUCT((('CASE MASTER'!$T$2:$T$495=14)*('CASE MASTER'!$AA$2:$AA$495&lt;=5)*('CASE MASTER'!$AC$2:$AC$495&gt;=5)*('CASE MASTER'!$AB$2:$AB$495&lt;=6)*('CASE MASTER'!$AD$2:$AD$495&gt;=6))*ROW('CASE MASTER'!$T$2:$T$495))&gt;0,INDEX('CASE MASTER'!$Y$2:$Y$495,(SUMPRODUCT((('CASE MASTER'!$T$2:$T$495=14)*('CASE MASTER'!$AA$2:$AA$495&lt;=5)*('CASE MASTER'!$AC$2:$AC$495&gt;=5)*('CASE MASTER'!$AB$2:$AB$495&lt;=6)*('CASE MASTER'!$AD$2:$AD$495&gt;=6))*ROW('CASE MASTER'!$T$2:$T$495))-(ROW('CASE MASTER'!#REF!)-1)))&amp;TRIM(MID(SUBSTITUTE(SUBSTITUTE(INDEX('CASE MASTER'!$N$2:$N$495,(SUMPRODUCT((('CASE MASTER'!$T$2:$T$495=14)*('CASE MASTER'!$AA$2:$AA$495&lt;=5)*('CASE MASTER'!$AC$2:$AC$495&gt;=5)*('CASE MASTER'!$AB$2:$AB$495&lt;=6)*('CASE MASTER'!$AD$2:$AD$495&gt;=6))*ROW('CASE MASTER'!$T$2:$T$495))-(ROW('CASE MASTER'!#REF!)-1))),":",","),",",REPT(" ",50)),(((INDEX('CASE MASTER'!$Z$2:$Z$495,(SUMPRODUCT((('CASE MASTER'!$T$2:$T$495=14)*('CASE MASTER'!$AA$2:$AA$495&lt;=5)*('CASE MASTER'!$AC$2:$AC$495&gt;=5)*('CASE MASTER'!$AB$2:$AB$495&lt;=6)*('CASE MASTER'!$AD$2:$AD$495&gt;=6))*ROW('CASE MASTER'!$T$2:$T$495))-(ROW('CASE MASTER'!#REF!)-1)))+((5-INDEX('CASE MASTER'!$AA$2:$AA$495,(SUMPRODUCT((('CASE MASTER'!$T$2:$T$495=14)*('CASE MASTER'!$AA$2:$AA$495&lt;=5)*('CASE MASTER'!$AC$2:$AC$495&gt;=5)*('CASE MASTER'!$AB$2:$AB$495&lt;=6)*('CASE MASTER'!$AD$2:$AD$495&gt;=6))*ROW('CASE MASTER'!$T$2:$T$495))-(ROW('CASE MASTER'!#REF!)-1))))*(INDEX('CASE MASTER'!$AD$2:$AD$495,(SUMPRODUCT((('CASE MASTER'!$T$2:$T$495=14)*('CASE MASTER'!$AA$2:$AA$495&lt;=5)*('CASE MASTER'!$AC$2:$AC$495&gt;=5)*('CASE MASTER'!$AB$2:$AB$495&lt;=6)*('CASE MASTER'!$AD$2:$AD$495&gt;=6))*ROW('CASE MASTER'!$T$2:$T$495))-(ROW('CASE MASTER'!#REF!)-1)))-INDEX('CASE MASTER'!$AB$2:$AB$495,(SUMPRODUCT((('CASE MASTER'!$T$2:$T$495=14)*('CASE MASTER'!$AA$2:$AA$495&lt;=5)*('CASE MASTER'!$AC$2:$AC$495&gt;=5)*('CASE MASTER'!$AB$2:$AB$495&lt;=6)*('CASE MASTER'!$AD$2:$AD$495&gt;=6))*ROW('CASE MASTER'!$T$2:$T$495))-(ROW('CASE MASTER'!#REF!)-1)))+1)+(6-INDEX('CASE MASTER'!$AB$2:$AB$495,(SUMPRODUCT((('CASE MASTER'!$T$2:$T$495=14)*('CASE MASTER'!$AA$2:$AA$495&lt;=5)*('CASE MASTER'!$AC$2:$AC$495&gt;=5)*('CASE MASTER'!$AB$2:$AB$495&lt;=6)*('CASE MASTER'!$AD$2:$AD$495&gt;=6))*ROW('CASE MASTER'!$T$2:$T$495))-(ROW('CASE MASTER'!#REF!)-1))))+1)))-1)*50+1,50))&amp;"_"&amp;INDEX('CASE MASTER'!$Q$2:$Q$495,(SUMPRODUCT((('CASE MASTER'!$T$2:$T$495=14)*('CASE MASTER'!$AA$2:$AA$495&lt;=5)*('CASE MASTER'!$AC$2:$AC$495&gt;=5)*('CASE MASTER'!$AB$2:$AB$495&lt;=6)*('CASE MASTER'!$AD$2:$AD$495&gt;=6))*ROW('CASE MASTER'!$T$2:$T$495))-(ROW('CASE MASTER'!#REF!)-1))),"")),"")</f>
        <v/>
      </c>
      <c r="H189" s="10" t="str">
        <f>IFERROR(IF(SUMPRODUCT((('CASE MASTER'!$T$2:$T$495=14)*('CASE MASTER'!$U$2:$U$495&lt;=5)*('CASE MASTER'!$W$2:$W$495&gt;=5)*('CASE MASTER'!$V$2:$V$495&lt;=7)*('CASE MASTER'!$X$2:$X$495&gt;=7))*ROW('CASE MASTER'!$T$2:$T$495))&gt;0,INDEX('CASE MASTER'!$Y$2:$Y$495,(SUMPRODUCT((('CASE MASTER'!$T$2:$T$495=14)*('CASE MASTER'!$U$2:$U$495&lt;=5)*('CASE MASTER'!$W$2:$W$495&gt;=5)*('CASE MASTER'!$V$2:$V$495&lt;=7)*('CASE MASTER'!$X$2:$X$495&gt;=7))*ROW('CASE MASTER'!$T$2:$T$495))-(ROW('CASE MASTER'!#REF!)-1)))&amp;TRIM(MID(SUBSTITUTE(SUBSTITUTE(INDEX('CASE MASTER'!$N$2:$N$495,(SUMPRODUCT((('CASE MASTER'!$T$2:$T$495=14)*('CASE MASTER'!$U$2:$U$495&lt;=5)*('CASE MASTER'!$W$2:$W$495&gt;=5)*('CASE MASTER'!$V$2:$V$495&lt;=7)*('CASE MASTER'!$X$2:$X$495&gt;=7))*ROW('CASE MASTER'!$T$2:$T$495))-(ROW('CASE MASTER'!#REF!)-1))),":",","),",",REPT(" ",50)),((((5-INDEX('CASE MASTER'!$U$2:$U$495,(SUMPRODUCT((('CASE MASTER'!$T$2:$T$495=14)*('CASE MASTER'!$U$2:$U$495&lt;=5)*('CASE MASTER'!$W$2:$W$495&gt;=5)*('CASE MASTER'!$V$2:$V$495&lt;=7)*('CASE MASTER'!$X$2:$X$495&gt;=7))*ROW('CASE MASTER'!$T$2:$T$495))-(ROW('CASE MASTER'!#REF!)-1))))*(INDEX('CASE MASTER'!$X$2:$X$495,(SUMPRODUCT((('CASE MASTER'!$T$2:$T$495=14)*('CASE MASTER'!$U$2:$U$495&lt;=5)*('CASE MASTER'!$W$2:$W$495&gt;=5)*('CASE MASTER'!$V$2:$V$495&lt;=7)*('CASE MASTER'!$X$2:$X$495&gt;=7))*ROW('CASE MASTER'!$T$2:$T$495))-(ROW('CASE MASTER'!#REF!)-1)))-INDEX('CASE MASTER'!$V$2:$V$495,(SUMPRODUCT((('CASE MASTER'!$T$2:$T$495=14)*('CASE MASTER'!$U$2:$U$495&lt;=5)*('CASE MASTER'!$W$2:$W$495&gt;=5)*('CASE MASTER'!$V$2:$V$495&lt;=7)*('CASE MASTER'!$X$2:$X$495&gt;=7))*ROW('CASE MASTER'!$T$2:$T$495))-(ROW('CASE MASTER'!#REF!)-1)))+1)+(7-INDEX('CASE MASTER'!$V$2:$V$495,(SUMPRODUCT((('CASE MASTER'!$T$2:$T$495=14)*('CASE MASTER'!$U$2:$U$495&lt;=5)*('CASE MASTER'!$W$2:$W$495&gt;=5)*('CASE MASTER'!$V$2:$V$495&lt;=7)*('CASE MASTER'!$X$2:$X$495&gt;=7))*ROW('CASE MASTER'!$T$2:$T$495))-(ROW('CASE MASTER'!#REF!)-1))))+1))-1)*50+1,50))&amp;"_"&amp;INDEX('CASE MASTER'!$Q$2:$Q$495,(SUMPRODUCT((('CASE MASTER'!$T$2:$T$495=14)*('CASE MASTER'!$U$2:$U$495&lt;=5)*('CASE MASTER'!$W$2:$W$495&gt;=5)*('CASE MASTER'!$V$2:$V$495&lt;=7)*('CASE MASTER'!$X$2:$X$495&gt;=7))*ROW('CASE MASTER'!$T$2:$T$495))-(ROW('CASE MASTER'!#REF!)-1))),IF(SUMPRODUCT((('CASE MASTER'!$T$2:$T$495=14)*('CASE MASTER'!$AA$2:$AA$495&lt;=5)*('CASE MASTER'!$AC$2:$AC$495&gt;=5)*('CASE MASTER'!$AB$2:$AB$495&lt;=7)*('CASE MASTER'!$AD$2:$AD$495&gt;=7))*ROW('CASE MASTER'!$T$2:$T$495))&gt;0,INDEX('CASE MASTER'!$Y$2:$Y$495,(SUMPRODUCT((('CASE MASTER'!$T$2:$T$495=14)*('CASE MASTER'!$AA$2:$AA$495&lt;=5)*('CASE MASTER'!$AC$2:$AC$495&gt;=5)*('CASE MASTER'!$AB$2:$AB$495&lt;=7)*('CASE MASTER'!$AD$2:$AD$495&gt;=7))*ROW('CASE MASTER'!$T$2:$T$495))-(ROW('CASE MASTER'!#REF!)-1)))&amp;TRIM(MID(SUBSTITUTE(SUBSTITUTE(INDEX('CASE MASTER'!$N$2:$N$495,(SUMPRODUCT((('CASE MASTER'!$T$2:$T$495=14)*('CASE MASTER'!$AA$2:$AA$495&lt;=5)*('CASE MASTER'!$AC$2:$AC$495&gt;=5)*('CASE MASTER'!$AB$2:$AB$495&lt;=7)*('CASE MASTER'!$AD$2:$AD$495&gt;=7))*ROW('CASE MASTER'!$T$2:$T$495))-(ROW('CASE MASTER'!#REF!)-1))),":",","),",",REPT(" ",50)),(((INDEX('CASE MASTER'!$Z$2:$Z$495,(SUMPRODUCT((('CASE MASTER'!$T$2:$T$495=14)*('CASE MASTER'!$AA$2:$AA$495&lt;=5)*('CASE MASTER'!$AC$2:$AC$495&gt;=5)*('CASE MASTER'!$AB$2:$AB$495&lt;=7)*('CASE MASTER'!$AD$2:$AD$495&gt;=7))*ROW('CASE MASTER'!$T$2:$T$495))-(ROW('CASE MASTER'!#REF!)-1)))+((5-INDEX('CASE MASTER'!$AA$2:$AA$495,(SUMPRODUCT((('CASE MASTER'!$T$2:$T$495=14)*('CASE MASTER'!$AA$2:$AA$495&lt;=5)*('CASE MASTER'!$AC$2:$AC$495&gt;=5)*('CASE MASTER'!$AB$2:$AB$495&lt;=7)*('CASE MASTER'!$AD$2:$AD$495&gt;=7))*ROW('CASE MASTER'!$T$2:$T$495))-(ROW('CASE MASTER'!#REF!)-1))))*(INDEX('CASE MASTER'!$AD$2:$AD$495,(SUMPRODUCT((('CASE MASTER'!$T$2:$T$495=14)*('CASE MASTER'!$AA$2:$AA$495&lt;=5)*('CASE MASTER'!$AC$2:$AC$495&gt;=5)*('CASE MASTER'!$AB$2:$AB$495&lt;=7)*('CASE MASTER'!$AD$2:$AD$495&gt;=7))*ROW('CASE MASTER'!$T$2:$T$495))-(ROW('CASE MASTER'!#REF!)-1)))-INDEX('CASE MASTER'!$AB$2:$AB$495,(SUMPRODUCT((('CASE MASTER'!$T$2:$T$495=14)*('CASE MASTER'!$AA$2:$AA$495&lt;=5)*('CASE MASTER'!$AC$2:$AC$495&gt;=5)*('CASE MASTER'!$AB$2:$AB$495&lt;=7)*('CASE MASTER'!$AD$2:$AD$495&gt;=7))*ROW('CASE MASTER'!$T$2:$T$495))-(ROW('CASE MASTER'!#REF!)-1)))+1)+(7-INDEX('CASE MASTER'!$AB$2:$AB$495,(SUMPRODUCT((('CASE MASTER'!$T$2:$T$495=14)*('CASE MASTER'!$AA$2:$AA$495&lt;=5)*('CASE MASTER'!$AC$2:$AC$495&gt;=5)*('CASE MASTER'!$AB$2:$AB$495&lt;=7)*('CASE MASTER'!$AD$2:$AD$495&gt;=7))*ROW('CASE MASTER'!$T$2:$T$495))-(ROW('CASE MASTER'!#REF!)-1))))+1)))-1)*50+1,50))&amp;"_"&amp;INDEX('CASE MASTER'!$Q$2:$Q$495,(SUMPRODUCT((('CASE MASTER'!$T$2:$T$495=14)*('CASE MASTER'!$AA$2:$AA$495&lt;=5)*('CASE MASTER'!$AC$2:$AC$495&gt;=5)*('CASE MASTER'!$AB$2:$AB$495&lt;=7)*('CASE MASTER'!$AD$2:$AD$495&gt;=7))*ROW('CASE MASTER'!$T$2:$T$495))-(ROW('CASE MASTER'!#REF!)-1))),"")),"")</f>
        <v/>
      </c>
      <c r="I189" s="10" t="str">
        <f>IFERROR(IF(SUMPRODUCT((('CASE MASTER'!$T$2:$T$495=14)*('CASE MASTER'!$U$2:$U$495&lt;=5)*('CASE MASTER'!$W$2:$W$495&gt;=5)*('CASE MASTER'!$V$2:$V$495&lt;=8)*('CASE MASTER'!$X$2:$X$495&gt;=8))*ROW('CASE MASTER'!$T$2:$T$495))&gt;0,INDEX('CASE MASTER'!$Y$2:$Y$495,(SUMPRODUCT((('CASE MASTER'!$T$2:$T$495=14)*('CASE MASTER'!$U$2:$U$495&lt;=5)*('CASE MASTER'!$W$2:$W$495&gt;=5)*('CASE MASTER'!$V$2:$V$495&lt;=8)*('CASE MASTER'!$X$2:$X$495&gt;=8))*ROW('CASE MASTER'!$T$2:$T$495))-(ROW('CASE MASTER'!#REF!)-1)))&amp;TRIM(MID(SUBSTITUTE(SUBSTITUTE(INDEX('CASE MASTER'!$N$2:$N$495,(SUMPRODUCT((('CASE MASTER'!$T$2:$T$495=14)*('CASE MASTER'!$U$2:$U$495&lt;=5)*('CASE MASTER'!$W$2:$W$495&gt;=5)*('CASE MASTER'!$V$2:$V$495&lt;=8)*('CASE MASTER'!$X$2:$X$495&gt;=8))*ROW('CASE MASTER'!$T$2:$T$495))-(ROW('CASE MASTER'!#REF!)-1))),":",","),",",REPT(" ",50)),((((5-INDEX('CASE MASTER'!$U$2:$U$495,(SUMPRODUCT((('CASE MASTER'!$T$2:$T$495=14)*('CASE MASTER'!$U$2:$U$495&lt;=5)*('CASE MASTER'!$W$2:$W$495&gt;=5)*('CASE MASTER'!$V$2:$V$495&lt;=8)*('CASE MASTER'!$X$2:$X$495&gt;=8))*ROW('CASE MASTER'!$T$2:$T$495))-(ROW('CASE MASTER'!#REF!)-1))))*(INDEX('CASE MASTER'!$X$2:$X$495,(SUMPRODUCT((('CASE MASTER'!$T$2:$T$495=14)*('CASE MASTER'!$U$2:$U$495&lt;=5)*('CASE MASTER'!$W$2:$W$495&gt;=5)*('CASE MASTER'!$V$2:$V$495&lt;=8)*('CASE MASTER'!$X$2:$X$495&gt;=8))*ROW('CASE MASTER'!$T$2:$T$495))-(ROW('CASE MASTER'!#REF!)-1)))-INDEX('CASE MASTER'!$V$2:$V$495,(SUMPRODUCT((('CASE MASTER'!$T$2:$T$495=14)*('CASE MASTER'!$U$2:$U$495&lt;=5)*('CASE MASTER'!$W$2:$W$495&gt;=5)*('CASE MASTER'!$V$2:$V$495&lt;=8)*('CASE MASTER'!$X$2:$X$495&gt;=8))*ROW('CASE MASTER'!$T$2:$T$495))-(ROW('CASE MASTER'!#REF!)-1)))+1)+(8-INDEX('CASE MASTER'!$V$2:$V$495,(SUMPRODUCT((('CASE MASTER'!$T$2:$T$495=14)*('CASE MASTER'!$U$2:$U$495&lt;=5)*('CASE MASTER'!$W$2:$W$495&gt;=5)*('CASE MASTER'!$V$2:$V$495&lt;=8)*('CASE MASTER'!$X$2:$X$495&gt;=8))*ROW('CASE MASTER'!$T$2:$T$495))-(ROW('CASE MASTER'!#REF!)-1))))+1))-1)*50+1,50))&amp;"_"&amp;INDEX('CASE MASTER'!$Q$2:$Q$495,(SUMPRODUCT((('CASE MASTER'!$T$2:$T$495=14)*('CASE MASTER'!$U$2:$U$495&lt;=5)*('CASE MASTER'!$W$2:$W$495&gt;=5)*('CASE MASTER'!$V$2:$V$495&lt;=8)*('CASE MASTER'!$X$2:$X$495&gt;=8))*ROW('CASE MASTER'!$T$2:$T$495))-(ROW('CASE MASTER'!#REF!)-1))),IF(SUMPRODUCT((('CASE MASTER'!$T$2:$T$495=14)*('CASE MASTER'!$AA$2:$AA$495&lt;=5)*('CASE MASTER'!$AC$2:$AC$495&gt;=5)*('CASE MASTER'!$AB$2:$AB$495&lt;=8)*('CASE MASTER'!$AD$2:$AD$495&gt;=8))*ROW('CASE MASTER'!$T$2:$T$495))&gt;0,INDEX('CASE MASTER'!$Y$2:$Y$495,(SUMPRODUCT((('CASE MASTER'!$T$2:$T$495=14)*('CASE MASTER'!$AA$2:$AA$495&lt;=5)*('CASE MASTER'!$AC$2:$AC$495&gt;=5)*('CASE MASTER'!$AB$2:$AB$495&lt;=8)*('CASE MASTER'!$AD$2:$AD$495&gt;=8))*ROW('CASE MASTER'!$T$2:$T$495))-(ROW('CASE MASTER'!#REF!)-1)))&amp;TRIM(MID(SUBSTITUTE(SUBSTITUTE(INDEX('CASE MASTER'!$N$2:$N$495,(SUMPRODUCT((('CASE MASTER'!$T$2:$T$495=14)*('CASE MASTER'!$AA$2:$AA$495&lt;=5)*('CASE MASTER'!$AC$2:$AC$495&gt;=5)*('CASE MASTER'!$AB$2:$AB$495&lt;=8)*('CASE MASTER'!$AD$2:$AD$495&gt;=8))*ROW('CASE MASTER'!$T$2:$T$495))-(ROW('CASE MASTER'!#REF!)-1))),":",","),",",REPT(" ",50)),(((INDEX('CASE MASTER'!$Z$2:$Z$495,(SUMPRODUCT((('CASE MASTER'!$T$2:$T$495=14)*('CASE MASTER'!$AA$2:$AA$495&lt;=5)*('CASE MASTER'!$AC$2:$AC$495&gt;=5)*('CASE MASTER'!$AB$2:$AB$495&lt;=8)*('CASE MASTER'!$AD$2:$AD$495&gt;=8))*ROW('CASE MASTER'!$T$2:$T$495))-(ROW('CASE MASTER'!#REF!)-1)))+((5-INDEX('CASE MASTER'!$AA$2:$AA$495,(SUMPRODUCT((('CASE MASTER'!$T$2:$T$495=14)*('CASE MASTER'!$AA$2:$AA$495&lt;=5)*('CASE MASTER'!$AC$2:$AC$495&gt;=5)*('CASE MASTER'!$AB$2:$AB$495&lt;=8)*('CASE MASTER'!$AD$2:$AD$495&gt;=8))*ROW('CASE MASTER'!$T$2:$T$495))-(ROW('CASE MASTER'!#REF!)-1))))*(INDEX('CASE MASTER'!$AD$2:$AD$495,(SUMPRODUCT((('CASE MASTER'!$T$2:$T$495=14)*('CASE MASTER'!$AA$2:$AA$495&lt;=5)*('CASE MASTER'!$AC$2:$AC$495&gt;=5)*('CASE MASTER'!$AB$2:$AB$495&lt;=8)*('CASE MASTER'!$AD$2:$AD$495&gt;=8))*ROW('CASE MASTER'!$T$2:$T$495))-(ROW('CASE MASTER'!#REF!)-1)))-INDEX('CASE MASTER'!$AB$2:$AB$495,(SUMPRODUCT((('CASE MASTER'!$T$2:$T$495=14)*('CASE MASTER'!$AA$2:$AA$495&lt;=5)*('CASE MASTER'!$AC$2:$AC$495&gt;=5)*('CASE MASTER'!$AB$2:$AB$495&lt;=8)*('CASE MASTER'!$AD$2:$AD$495&gt;=8))*ROW('CASE MASTER'!$T$2:$T$495))-(ROW('CASE MASTER'!#REF!)-1)))+1)+(8-INDEX('CASE MASTER'!$AB$2:$AB$495,(SUMPRODUCT((('CASE MASTER'!$T$2:$T$495=14)*('CASE MASTER'!$AA$2:$AA$495&lt;=5)*('CASE MASTER'!$AC$2:$AC$495&gt;=5)*('CASE MASTER'!$AB$2:$AB$495&lt;=8)*('CASE MASTER'!$AD$2:$AD$495&gt;=8))*ROW('CASE MASTER'!$T$2:$T$495))-(ROW('CASE MASTER'!#REF!)-1))))+1)))-1)*50+1,50))&amp;"_"&amp;INDEX('CASE MASTER'!$Q$2:$Q$495,(SUMPRODUCT((('CASE MASTER'!$T$2:$T$495=14)*('CASE MASTER'!$AA$2:$AA$495&lt;=5)*('CASE MASTER'!$AC$2:$AC$495&gt;=5)*('CASE MASTER'!$AB$2:$AB$495&lt;=8)*('CASE MASTER'!$AD$2:$AD$495&gt;=8))*ROW('CASE MASTER'!$T$2:$T$495))-(ROW('CASE MASTER'!#REF!)-1))),"")),"")</f>
        <v/>
      </c>
      <c r="J189" s="10" t="str">
        <f>IFERROR(IF(SUMPRODUCT((('CASE MASTER'!$T$2:$T$495=14)*('CASE MASTER'!$U$2:$U$495&lt;=5)*('CASE MASTER'!$W$2:$W$495&gt;=5)*('CASE MASTER'!$V$2:$V$495&lt;=9)*('CASE MASTER'!$X$2:$X$495&gt;=9))*ROW('CASE MASTER'!$T$2:$T$495))&gt;0,INDEX('CASE MASTER'!$Y$2:$Y$495,(SUMPRODUCT((('CASE MASTER'!$T$2:$T$495=14)*('CASE MASTER'!$U$2:$U$495&lt;=5)*('CASE MASTER'!$W$2:$W$495&gt;=5)*('CASE MASTER'!$V$2:$V$495&lt;=9)*('CASE MASTER'!$X$2:$X$495&gt;=9))*ROW('CASE MASTER'!$T$2:$T$495))-(ROW('CASE MASTER'!#REF!)-1)))&amp;TRIM(MID(SUBSTITUTE(SUBSTITUTE(INDEX('CASE MASTER'!$N$2:$N$495,(SUMPRODUCT((('CASE MASTER'!$T$2:$T$495=14)*('CASE MASTER'!$U$2:$U$495&lt;=5)*('CASE MASTER'!$W$2:$W$495&gt;=5)*('CASE MASTER'!$V$2:$V$495&lt;=9)*('CASE MASTER'!$X$2:$X$495&gt;=9))*ROW('CASE MASTER'!$T$2:$T$495))-(ROW('CASE MASTER'!#REF!)-1))),":",","),",",REPT(" ",50)),((((5-INDEX('CASE MASTER'!$U$2:$U$495,(SUMPRODUCT((('CASE MASTER'!$T$2:$T$495=14)*('CASE MASTER'!$U$2:$U$495&lt;=5)*('CASE MASTER'!$W$2:$W$495&gt;=5)*('CASE MASTER'!$V$2:$V$495&lt;=9)*('CASE MASTER'!$X$2:$X$495&gt;=9))*ROW('CASE MASTER'!$T$2:$T$495))-(ROW('CASE MASTER'!#REF!)-1))))*(INDEX('CASE MASTER'!$X$2:$X$495,(SUMPRODUCT((('CASE MASTER'!$T$2:$T$495=14)*('CASE MASTER'!$U$2:$U$495&lt;=5)*('CASE MASTER'!$W$2:$W$495&gt;=5)*('CASE MASTER'!$V$2:$V$495&lt;=9)*('CASE MASTER'!$X$2:$X$495&gt;=9))*ROW('CASE MASTER'!$T$2:$T$495))-(ROW('CASE MASTER'!#REF!)-1)))-INDEX('CASE MASTER'!$V$2:$V$495,(SUMPRODUCT((('CASE MASTER'!$T$2:$T$495=14)*('CASE MASTER'!$U$2:$U$495&lt;=5)*('CASE MASTER'!$W$2:$W$495&gt;=5)*('CASE MASTER'!$V$2:$V$495&lt;=9)*('CASE MASTER'!$X$2:$X$495&gt;=9))*ROW('CASE MASTER'!$T$2:$T$495))-(ROW('CASE MASTER'!#REF!)-1)))+1)+(9-INDEX('CASE MASTER'!$V$2:$V$495,(SUMPRODUCT((('CASE MASTER'!$T$2:$T$495=14)*('CASE MASTER'!$U$2:$U$495&lt;=5)*('CASE MASTER'!$W$2:$W$495&gt;=5)*('CASE MASTER'!$V$2:$V$495&lt;=9)*('CASE MASTER'!$X$2:$X$495&gt;=9))*ROW('CASE MASTER'!$T$2:$T$495))-(ROW('CASE MASTER'!#REF!)-1))))+1))-1)*50+1,50))&amp;"_"&amp;INDEX('CASE MASTER'!$Q$2:$Q$495,(SUMPRODUCT((('CASE MASTER'!$T$2:$T$495=14)*('CASE MASTER'!$U$2:$U$495&lt;=5)*('CASE MASTER'!$W$2:$W$495&gt;=5)*('CASE MASTER'!$V$2:$V$495&lt;=9)*('CASE MASTER'!$X$2:$X$495&gt;=9))*ROW('CASE MASTER'!$T$2:$T$495))-(ROW('CASE MASTER'!#REF!)-1))),IF(SUMPRODUCT((('CASE MASTER'!$T$2:$T$495=14)*('CASE MASTER'!$AA$2:$AA$495&lt;=5)*('CASE MASTER'!$AC$2:$AC$495&gt;=5)*('CASE MASTER'!$AB$2:$AB$495&lt;=9)*('CASE MASTER'!$AD$2:$AD$495&gt;=9))*ROW('CASE MASTER'!$T$2:$T$495))&gt;0,INDEX('CASE MASTER'!$Y$2:$Y$495,(SUMPRODUCT((('CASE MASTER'!$T$2:$T$495=14)*('CASE MASTER'!$AA$2:$AA$495&lt;=5)*('CASE MASTER'!$AC$2:$AC$495&gt;=5)*('CASE MASTER'!$AB$2:$AB$495&lt;=9)*('CASE MASTER'!$AD$2:$AD$495&gt;=9))*ROW('CASE MASTER'!$T$2:$T$495))-(ROW('CASE MASTER'!#REF!)-1)))&amp;TRIM(MID(SUBSTITUTE(SUBSTITUTE(INDEX('CASE MASTER'!$N$2:$N$495,(SUMPRODUCT((('CASE MASTER'!$T$2:$T$495=14)*('CASE MASTER'!$AA$2:$AA$495&lt;=5)*('CASE MASTER'!$AC$2:$AC$495&gt;=5)*('CASE MASTER'!$AB$2:$AB$495&lt;=9)*('CASE MASTER'!$AD$2:$AD$495&gt;=9))*ROW('CASE MASTER'!$T$2:$T$495))-(ROW('CASE MASTER'!#REF!)-1))),":",","),",",REPT(" ",50)),(((INDEX('CASE MASTER'!$Z$2:$Z$495,(SUMPRODUCT((('CASE MASTER'!$T$2:$T$495=14)*('CASE MASTER'!$AA$2:$AA$495&lt;=5)*('CASE MASTER'!$AC$2:$AC$495&gt;=5)*('CASE MASTER'!$AB$2:$AB$495&lt;=9)*('CASE MASTER'!$AD$2:$AD$495&gt;=9))*ROW('CASE MASTER'!$T$2:$T$495))-(ROW('CASE MASTER'!#REF!)-1)))+((5-INDEX('CASE MASTER'!$AA$2:$AA$495,(SUMPRODUCT((('CASE MASTER'!$T$2:$T$495=14)*('CASE MASTER'!$AA$2:$AA$495&lt;=5)*('CASE MASTER'!$AC$2:$AC$495&gt;=5)*('CASE MASTER'!$AB$2:$AB$495&lt;=9)*('CASE MASTER'!$AD$2:$AD$495&gt;=9))*ROW('CASE MASTER'!$T$2:$T$495))-(ROW('CASE MASTER'!#REF!)-1))))*(INDEX('CASE MASTER'!$AD$2:$AD$495,(SUMPRODUCT((('CASE MASTER'!$T$2:$T$495=14)*('CASE MASTER'!$AA$2:$AA$495&lt;=5)*('CASE MASTER'!$AC$2:$AC$495&gt;=5)*('CASE MASTER'!$AB$2:$AB$495&lt;=9)*('CASE MASTER'!$AD$2:$AD$495&gt;=9))*ROW('CASE MASTER'!$T$2:$T$495))-(ROW('CASE MASTER'!#REF!)-1)))-INDEX('CASE MASTER'!$AB$2:$AB$495,(SUMPRODUCT((('CASE MASTER'!$T$2:$T$495=14)*('CASE MASTER'!$AA$2:$AA$495&lt;=5)*('CASE MASTER'!$AC$2:$AC$495&gt;=5)*('CASE MASTER'!$AB$2:$AB$495&lt;=9)*('CASE MASTER'!$AD$2:$AD$495&gt;=9))*ROW('CASE MASTER'!$T$2:$T$495))-(ROW('CASE MASTER'!#REF!)-1)))+1)+(9-INDEX('CASE MASTER'!$AB$2:$AB$495,(SUMPRODUCT((('CASE MASTER'!$T$2:$T$495=14)*('CASE MASTER'!$AA$2:$AA$495&lt;=5)*('CASE MASTER'!$AC$2:$AC$495&gt;=5)*('CASE MASTER'!$AB$2:$AB$495&lt;=9)*('CASE MASTER'!$AD$2:$AD$495&gt;=9))*ROW('CASE MASTER'!$T$2:$T$495))-(ROW('CASE MASTER'!#REF!)-1))))+1)))-1)*50+1,50))&amp;"_"&amp;INDEX('CASE MASTER'!$Q$2:$Q$495,(SUMPRODUCT((('CASE MASTER'!$T$2:$T$495=14)*('CASE MASTER'!$AA$2:$AA$495&lt;=5)*('CASE MASTER'!$AC$2:$AC$495&gt;=5)*('CASE MASTER'!$AB$2:$AB$495&lt;=9)*('CASE MASTER'!$AD$2:$AD$495&gt;=9))*ROW('CASE MASTER'!$T$2:$T$495))-(ROW('CASE MASTER'!#REF!)-1))),"")),"")</f>
        <v/>
      </c>
      <c r="K189" s="10" t="str">
        <f>IFERROR(IF(SUMPRODUCT((('CASE MASTER'!$T$2:$T$495=14)*('CASE MASTER'!$U$2:$U$495&lt;=5)*('CASE MASTER'!$W$2:$W$495&gt;=5)*('CASE MASTER'!$V$2:$V$495&lt;=10)*('CASE MASTER'!$X$2:$X$495&gt;=10))*ROW('CASE MASTER'!$T$2:$T$495))&gt;0,INDEX('CASE MASTER'!$Y$2:$Y$495,(SUMPRODUCT((('CASE MASTER'!$T$2:$T$495=14)*('CASE MASTER'!$U$2:$U$495&lt;=5)*('CASE MASTER'!$W$2:$W$495&gt;=5)*('CASE MASTER'!$V$2:$V$495&lt;=10)*('CASE MASTER'!$X$2:$X$495&gt;=10))*ROW('CASE MASTER'!$T$2:$T$495))-(ROW('CASE MASTER'!#REF!)-1)))&amp;TRIM(MID(SUBSTITUTE(SUBSTITUTE(INDEX('CASE MASTER'!$N$2:$N$495,(SUMPRODUCT((('CASE MASTER'!$T$2:$T$495=14)*('CASE MASTER'!$U$2:$U$495&lt;=5)*('CASE MASTER'!$W$2:$W$495&gt;=5)*('CASE MASTER'!$V$2:$V$495&lt;=10)*('CASE MASTER'!$X$2:$X$495&gt;=10))*ROW('CASE MASTER'!$T$2:$T$495))-(ROW('CASE MASTER'!#REF!)-1))),":",","),",",REPT(" ",50)),((((5-INDEX('CASE MASTER'!$U$2:$U$495,(SUMPRODUCT((('CASE MASTER'!$T$2:$T$495=14)*('CASE MASTER'!$U$2:$U$495&lt;=5)*('CASE MASTER'!$W$2:$W$495&gt;=5)*('CASE MASTER'!$V$2:$V$495&lt;=10)*('CASE MASTER'!$X$2:$X$495&gt;=10))*ROW('CASE MASTER'!$T$2:$T$495))-(ROW('CASE MASTER'!#REF!)-1))))*(INDEX('CASE MASTER'!$X$2:$X$495,(SUMPRODUCT((('CASE MASTER'!$T$2:$T$495=14)*('CASE MASTER'!$U$2:$U$495&lt;=5)*('CASE MASTER'!$W$2:$W$495&gt;=5)*('CASE MASTER'!$V$2:$V$495&lt;=10)*('CASE MASTER'!$X$2:$X$495&gt;=10))*ROW('CASE MASTER'!$T$2:$T$495))-(ROW('CASE MASTER'!#REF!)-1)))-INDEX('CASE MASTER'!$V$2:$V$495,(SUMPRODUCT((('CASE MASTER'!$T$2:$T$495=14)*('CASE MASTER'!$U$2:$U$495&lt;=5)*('CASE MASTER'!$W$2:$W$495&gt;=5)*('CASE MASTER'!$V$2:$V$495&lt;=10)*('CASE MASTER'!$X$2:$X$495&gt;=10))*ROW('CASE MASTER'!$T$2:$T$495))-(ROW('CASE MASTER'!#REF!)-1)))+1)+(10-INDEX('CASE MASTER'!$V$2:$V$495,(SUMPRODUCT((('CASE MASTER'!$T$2:$T$495=14)*('CASE MASTER'!$U$2:$U$495&lt;=5)*('CASE MASTER'!$W$2:$W$495&gt;=5)*('CASE MASTER'!$V$2:$V$495&lt;=10)*('CASE MASTER'!$X$2:$X$495&gt;=10))*ROW('CASE MASTER'!$T$2:$T$495))-(ROW('CASE MASTER'!#REF!)-1))))+1))-1)*50+1,50))&amp;"_"&amp;INDEX('CASE MASTER'!$Q$2:$Q$495,(SUMPRODUCT((('CASE MASTER'!$T$2:$T$495=14)*('CASE MASTER'!$U$2:$U$495&lt;=5)*('CASE MASTER'!$W$2:$W$495&gt;=5)*('CASE MASTER'!$V$2:$V$495&lt;=10)*('CASE MASTER'!$X$2:$X$495&gt;=10))*ROW('CASE MASTER'!$T$2:$T$495))-(ROW('CASE MASTER'!#REF!)-1))),IF(SUMPRODUCT((('CASE MASTER'!$T$2:$T$495=14)*('CASE MASTER'!$AA$2:$AA$495&lt;=5)*('CASE MASTER'!$AC$2:$AC$495&gt;=5)*('CASE MASTER'!$AB$2:$AB$495&lt;=10)*('CASE MASTER'!$AD$2:$AD$495&gt;=10))*ROW('CASE MASTER'!$T$2:$T$495))&gt;0,INDEX('CASE MASTER'!$Y$2:$Y$495,(SUMPRODUCT((('CASE MASTER'!$T$2:$T$495=14)*('CASE MASTER'!$AA$2:$AA$495&lt;=5)*('CASE MASTER'!$AC$2:$AC$495&gt;=5)*('CASE MASTER'!$AB$2:$AB$495&lt;=10)*('CASE MASTER'!$AD$2:$AD$495&gt;=10))*ROW('CASE MASTER'!$T$2:$T$495))-(ROW('CASE MASTER'!#REF!)-1)))&amp;TRIM(MID(SUBSTITUTE(SUBSTITUTE(INDEX('CASE MASTER'!$N$2:$N$495,(SUMPRODUCT((('CASE MASTER'!$T$2:$T$495=14)*('CASE MASTER'!$AA$2:$AA$495&lt;=5)*('CASE MASTER'!$AC$2:$AC$495&gt;=5)*('CASE MASTER'!$AB$2:$AB$495&lt;=10)*('CASE MASTER'!$AD$2:$AD$495&gt;=10))*ROW('CASE MASTER'!$T$2:$T$495))-(ROW('CASE MASTER'!#REF!)-1))),":",","),",",REPT(" ",50)),(((INDEX('CASE MASTER'!$Z$2:$Z$495,(SUMPRODUCT((('CASE MASTER'!$T$2:$T$495=14)*('CASE MASTER'!$AA$2:$AA$495&lt;=5)*('CASE MASTER'!$AC$2:$AC$495&gt;=5)*('CASE MASTER'!$AB$2:$AB$495&lt;=10)*('CASE MASTER'!$AD$2:$AD$495&gt;=10))*ROW('CASE MASTER'!$T$2:$T$495))-(ROW('CASE MASTER'!#REF!)-1)))+((5-INDEX('CASE MASTER'!$AA$2:$AA$495,(SUMPRODUCT((('CASE MASTER'!$T$2:$T$495=14)*('CASE MASTER'!$AA$2:$AA$495&lt;=5)*('CASE MASTER'!$AC$2:$AC$495&gt;=5)*('CASE MASTER'!$AB$2:$AB$495&lt;=10)*('CASE MASTER'!$AD$2:$AD$495&gt;=10))*ROW('CASE MASTER'!$T$2:$T$495))-(ROW('CASE MASTER'!#REF!)-1))))*(INDEX('CASE MASTER'!$AD$2:$AD$495,(SUMPRODUCT((('CASE MASTER'!$T$2:$T$495=14)*('CASE MASTER'!$AA$2:$AA$495&lt;=5)*('CASE MASTER'!$AC$2:$AC$495&gt;=5)*('CASE MASTER'!$AB$2:$AB$495&lt;=10)*('CASE MASTER'!$AD$2:$AD$495&gt;=10))*ROW('CASE MASTER'!$T$2:$T$495))-(ROW('CASE MASTER'!#REF!)-1)))-INDEX('CASE MASTER'!$AB$2:$AB$495,(SUMPRODUCT((('CASE MASTER'!$T$2:$T$495=14)*('CASE MASTER'!$AA$2:$AA$495&lt;=5)*('CASE MASTER'!$AC$2:$AC$495&gt;=5)*('CASE MASTER'!$AB$2:$AB$495&lt;=10)*('CASE MASTER'!$AD$2:$AD$495&gt;=10))*ROW('CASE MASTER'!$T$2:$T$495))-(ROW('CASE MASTER'!#REF!)-1)))+1)+(10-INDEX('CASE MASTER'!$AB$2:$AB$495,(SUMPRODUCT((('CASE MASTER'!$T$2:$T$495=14)*('CASE MASTER'!$AA$2:$AA$495&lt;=5)*('CASE MASTER'!$AC$2:$AC$495&gt;=5)*('CASE MASTER'!$AB$2:$AB$495&lt;=10)*('CASE MASTER'!$AD$2:$AD$495&gt;=10))*ROW('CASE MASTER'!$T$2:$T$495))-(ROW('CASE MASTER'!#REF!)-1))))+1)))-1)*50+1,50))&amp;"_"&amp;INDEX('CASE MASTER'!$Q$2:$Q$495,(SUMPRODUCT((('CASE MASTER'!$T$2:$T$495=14)*('CASE MASTER'!$AA$2:$AA$495&lt;=5)*('CASE MASTER'!$AC$2:$AC$495&gt;=5)*('CASE MASTER'!$AB$2:$AB$495&lt;=10)*('CASE MASTER'!$AD$2:$AD$495&gt;=10))*ROW('CASE MASTER'!$T$2:$T$495))-(ROW('CASE MASTER'!#REF!)-1))),"")),"")</f>
        <v/>
      </c>
    </row>
    <row r="190" spans="1:11" ht="15" customHeight="1" x14ac:dyDescent="0.35">
      <c r="A190" s="8" t="s">
        <v>33</v>
      </c>
      <c r="B190" s="10" t="str">
        <f>IFERROR(IF(SUMPRODUCT((('CASE MASTER'!$T$2:$T$495=14)*('CASE MASTER'!$U$2:$U$495&lt;=6)*('CASE MASTER'!$W$2:$W$495&gt;=6)*('CASE MASTER'!$V$2:$V$495&lt;=1)*('CASE MASTER'!$X$2:$X$495&gt;=1))*ROW('CASE MASTER'!$T$2:$T$495))&gt;0,INDEX('CASE MASTER'!$Y$2:$Y$495,(SUMPRODUCT((('CASE MASTER'!$T$2:$T$495=14)*('CASE MASTER'!$U$2:$U$495&lt;=6)*('CASE MASTER'!$W$2:$W$495&gt;=6)*('CASE MASTER'!$V$2:$V$495&lt;=1)*('CASE MASTER'!$X$2:$X$495&gt;=1))*ROW('CASE MASTER'!$T$2:$T$495))-(ROW('CASE MASTER'!#REF!)-1)))&amp;TRIM(MID(SUBSTITUTE(SUBSTITUTE(INDEX('CASE MASTER'!$N$2:$N$495,(SUMPRODUCT((('CASE MASTER'!$T$2:$T$495=14)*('CASE MASTER'!$U$2:$U$495&lt;=6)*('CASE MASTER'!$W$2:$W$495&gt;=6)*('CASE MASTER'!$V$2:$V$495&lt;=1)*('CASE MASTER'!$X$2:$X$495&gt;=1))*ROW('CASE MASTER'!$T$2:$T$495))-(ROW('CASE MASTER'!#REF!)-1))),":",","),",",REPT(" ",50)),((((6-INDEX('CASE MASTER'!$U$2:$U$495,(SUMPRODUCT((('CASE MASTER'!$T$2:$T$495=14)*('CASE MASTER'!$U$2:$U$495&lt;=6)*('CASE MASTER'!$W$2:$W$495&gt;=6)*('CASE MASTER'!$V$2:$V$495&lt;=1)*('CASE MASTER'!$X$2:$X$495&gt;=1))*ROW('CASE MASTER'!$T$2:$T$495))-(ROW('CASE MASTER'!#REF!)-1))))*(INDEX('CASE MASTER'!$X$2:$X$495,(SUMPRODUCT((('CASE MASTER'!$T$2:$T$495=14)*('CASE MASTER'!$U$2:$U$495&lt;=6)*('CASE MASTER'!$W$2:$W$495&gt;=6)*('CASE MASTER'!$V$2:$V$495&lt;=1)*('CASE MASTER'!$X$2:$X$495&gt;=1))*ROW('CASE MASTER'!$T$2:$T$495))-(ROW('CASE MASTER'!#REF!)-1)))-INDEX('CASE MASTER'!$V$2:$V$495,(SUMPRODUCT((('CASE MASTER'!$T$2:$T$495=14)*('CASE MASTER'!$U$2:$U$495&lt;=6)*('CASE MASTER'!$W$2:$W$495&gt;=6)*('CASE MASTER'!$V$2:$V$495&lt;=1)*('CASE MASTER'!$X$2:$X$495&gt;=1))*ROW('CASE MASTER'!$T$2:$T$495))-(ROW('CASE MASTER'!#REF!)-1)))+1)+(1-INDEX('CASE MASTER'!$V$2:$V$495,(SUMPRODUCT((('CASE MASTER'!$T$2:$T$495=14)*('CASE MASTER'!$U$2:$U$495&lt;=6)*('CASE MASTER'!$W$2:$W$495&gt;=6)*('CASE MASTER'!$V$2:$V$495&lt;=1)*('CASE MASTER'!$X$2:$X$495&gt;=1))*ROW('CASE MASTER'!$T$2:$T$495))-(ROW('CASE MASTER'!#REF!)-1))))+1))-1)*50+1,50))&amp;"_"&amp;INDEX('CASE MASTER'!$Q$2:$Q$495,(SUMPRODUCT((('CASE MASTER'!$T$2:$T$495=14)*('CASE MASTER'!$U$2:$U$495&lt;=6)*('CASE MASTER'!$W$2:$W$495&gt;=6)*('CASE MASTER'!$V$2:$V$495&lt;=1)*('CASE MASTER'!$X$2:$X$495&gt;=1))*ROW('CASE MASTER'!$T$2:$T$495))-(ROW('CASE MASTER'!#REF!)-1))),IF(SUMPRODUCT((('CASE MASTER'!$T$2:$T$495=14)*('CASE MASTER'!$AA$2:$AA$495&lt;=6)*('CASE MASTER'!$AC$2:$AC$495&gt;=6)*('CASE MASTER'!$AB$2:$AB$495&lt;=1)*('CASE MASTER'!$AD$2:$AD$495&gt;=1))*ROW('CASE MASTER'!$T$2:$T$495))&gt;0,INDEX('CASE MASTER'!$Y$2:$Y$495,(SUMPRODUCT((('CASE MASTER'!$T$2:$T$495=14)*('CASE MASTER'!$AA$2:$AA$495&lt;=6)*('CASE MASTER'!$AC$2:$AC$495&gt;=6)*('CASE MASTER'!$AB$2:$AB$495&lt;=1)*('CASE MASTER'!$AD$2:$AD$495&gt;=1))*ROW('CASE MASTER'!$T$2:$T$495))-(ROW('CASE MASTER'!#REF!)-1)))&amp;TRIM(MID(SUBSTITUTE(SUBSTITUTE(INDEX('CASE MASTER'!$N$2:$N$495,(SUMPRODUCT((('CASE MASTER'!$T$2:$T$495=14)*('CASE MASTER'!$AA$2:$AA$495&lt;=6)*('CASE MASTER'!$AC$2:$AC$495&gt;=6)*('CASE MASTER'!$AB$2:$AB$495&lt;=1)*('CASE MASTER'!$AD$2:$AD$495&gt;=1))*ROW('CASE MASTER'!$T$2:$T$495))-(ROW('CASE MASTER'!#REF!)-1))),":",","),",",REPT(" ",50)),(((INDEX('CASE MASTER'!$Z$2:$Z$495,(SUMPRODUCT((('CASE MASTER'!$T$2:$T$495=14)*('CASE MASTER'!$AA$2:$AA$495&lt;=6)*('CASE MASTER'!$AC$2:$AC$495&gt;=6)*('CASE MASTER'!$AB$2:$AB$495&lt;=1)*('CASE MASTER'!$AD$2:$AD$495&gt;=1))*ROW('CASE MASTER'!$T$2:$T$495))-(ROW('CASE MASTER'!#REF!)-1)))+((6-INDEX('CASE MASTER'!$AA$2:$AA$495,(SUMPRODUCT((('CASE MASTER'!$T$2:$T$495=14)*('CASE MASTER'!$AA$2:$AA$495&lt;=6)*('CASE MASTER'!$AC$2:$AC$495&gt;=6)*('CASE MASTER'!$AB$2:$AB$495&lt;=1)*('CASE MASTER'!$AD$2:$AD$495&gt;=1))*ROW('CASE MASTER'!$T$2:$T$495))-(ROW('CASE MASTER'!#REF!)-1))))*(INDEX('CASE MASTER'!$AD$2:$AD$495,(SUMPRODUCT((('CASE MASTER'!$T$2:$T$495=14)*('CASE MASTER'!$AA$2:$AA$495&lt;=6)*('CASE MASTER'!$AC$2:$AC$495&gt;=6)*('CASE MASTER'!$AB$2:$AB$495&lt;=1)*('CASE MASTER'!$AD$2:$AD$495&gt;=1))*ROW('CASE MASTER'!$T$2:$T$495))-(ROW('CASE MASTER'!#REF!)-1)))-INDEX('CASE MASTER'!$AB$2:$AB$495,(SUMPRODUCT((('CASE MASTER'!$T$2:$T$495=14)*('CASE MASTER'!$AA$2:$AA$495&lt;=6)*('CASE MASTER'!$AC$2:$AC$495&gt;=6)*('CASE MASTER'!$AB$2:$AB$495&lt;=1)*('CASE MASTER'!$AD$2:$AD$495&gt;=1))*ROW('CASE MASTER'!$T$2:$T$495))-(ROW('CASE MASTER'!#REF!)-1)))+1)+(1-INDEX('CASE MASTER'!$AB$2:$AB$495,(SUMPRODUCT((('CASE MASTER'!$T$2:$T$495=14)*('CASE MASTER'!$AA$2:$AA$495&lt;=6)*('CASE MASTER'!$AC$2:$AC$495&gt;=6)*('CASE MASTER'!$AB$2:$AB$495&lt;=1)*('CASE MASTER'!$AD$2:$AD$495&gt;=1))*ROW('CASE MASTER'!$T$2:$T$495))-(ROW('CASE MASTER'!#REF!)-1))))+1)))-1)*50+1,50))&amp;"_"&amp;INDEX('CASE MASTER'!$Q$2:$Q$495,(SUMPRODUCT((('CASE MASTER'!$T$2:$T$495=14)*('CASE MASTER'!$AA$2:$AA$495&lt;=6)*('CASE MASTER'!$AC$2:$AC$495&gt;=6)*('CASE MASTER'!$AB$2:$AB$495&lt;=1)*('CASE MASTER'!$AD$2:$AD$495&gt;=1))*ROW('CASE MASTER'!$T$2:$T$495))-(ROW('CASE MASTER'!#REF!)-1))),"")),"")</f>
        <v/>
      </c>
      <c r="C190" s="10" t="str">
        <f>IFERROR(IF(SUMPRODUCT((('CASE MASTER'!$T$2:$T$495=14)*('CASE MASTER'!$U$2:$U$495&lt;=6)*('CASE MASTER'!$W$2:$W$495&gt;=6)*('CASE MASTER'!$V$2:$V$495&lt;=2)*('CASE MASTER'!$X$2:$X$495&gt;=2))*ROW('CASE MASTER'!$T$2:$T$495))&gt;0,INDEX('CASE MASTER'!$Y$2:$Y$495,(SUMPRODUCT((('CASE MASTER'!$T$2:$T$495=14)*('CASE MASTER'!$U$2:$U$495&lt;=6)*('CASE MASTER'!$W$2:$W$495&gt;=6)*('CASE MASTER'!$V$2:$V$495&lt;=2)*('CASE MASTER'!$X$2:$X$495&gt;=2))*ROW('CASE MASTER'!$T$2:$T$495))-(ROW('CASE MASTER'!#REF!)-1)))&amp;TRIM(MID(SUBSTITUTE(SUBSTITUTE(INDEX('CASE MASTER'!$N$2:$N$495,(SUMPRODUCT((('CASE MASTER'!$T$2:$T$495=14)*('CASE MASTER'!$U$2:$U$495&lt;=6)*('CASE MASTER'!$W$2:$W$495&gt;=6)*('CASE MASTER'!$V$2:$V$495&lt;=2)*('CASE MASTER'!$X$2:$X$495&gt;=2))*ROW('CASE MASTER'!$T$2:$T$495))-(ROW('CASE MASTER'!#REF!)-1))),":",","),",",REPT(" ",50)),((((6-INDEX('CASE MASTER'!$U$2:$U$495,(SUMPRODUCT((('CASE MASTER'!$T$2:$T$495=14)*('CASE MASTER'!$U$2:$U$495&lt;=6)*('CASE MASTER'!$W$2:$W$495&gt;=6)*('CASE MASTER'!$V$2:$V$495&lt;=2)*('CASE MASTER'!$X$2:$X$495&gt;=2))*ROW('CASE MASTER'!$T$2:$T$495))-(ROW('CASE MASTER'!#REF!)-1))))*(INDEX('CASE MASTER'!$X$2:$X$495,(SUMPRODUCT((('CASE MASTER'!$T$2:$T$495=14)*('CASE MASTER'!$U$2:$U$495&lt;=6)*('CASE MASTER'!$W$2:$W$495&gt;=6)*('CASE MASTER'!$V$2:$V$495&lt;=2)*('CASE MASTER'!$X$2:$X$495&gt;=2))*ROW('CASE MASTER'!$T$2:$T$495))-(ROW('CASE MASTER'!#REF!)-1)))-INDEX('CASE MASTER'!$V$2:$V$495,(SUMPRODUCT((('CASE MASTER'!$T$2:$T$495=14)*('CASE MASTER'!$U$2:$U$495&lt;=6)*('CASE MASTER'!$W$2:$W$495&gt;=6)*('CASE MASTER'!$V$2:$V$495&lt;=2)*('CASE MASTER'!$X$2:$X$495&gt;=2))*ROW('CASE MASTER'!$T$2:$T$495))-(ROW('CASE MASTER'!#REF!)-1)))+1)+(2-INDEX('CASE MASTER'!$V$2:$V$495,(SUMPRODUCT((('CASE MASTER'!$T$2:$T$495=14)*('CASE MASTER'!$U$2:$U$495&lt;=6)*('CASE MASTER'!$W$2:$W$495&gt;=6)*('CASE MASTER'!$V$2:$V$495&lt;=2)*('CASE MASTER'!$X$2:$X$495&gt;=2))*ROW('CASE MASTER'!$T$2:$T$495))-(ROW('CASE MASTER'!#REF!)-1))))+1))-1)*50+1,50))&amp;"_"&amp;INDEX('CASE MASTER'!$Q$2:$Q$495,(SUMPRODUCT((('CASE MASTER'!$T$2:$T$495=14)*('CASE MASTER'!$U$2:$U$495&lt;=6)*('CASE MASTER'!$W$2:$W$495&gt;=6)*('CASE MASTER'!$V$2:$V$495&lt;=2)*('CASE MASTER'!$X$2:$X$495&gt;=2))*ROW('CASE MASTER'!$T$2:$T$495))-(ROW('CASE MASTER'!#REF!)-1))),IF(SUMPRODUCT((('CASE MASTER'!$T$2:$T$495=14)*('CASE MASTER'!$AA$2:$AA$495&lt;=6)*('CASE MASTER'!$AC$2:$AC$495&gt;=6)*('CASE MASTER'!$AB$2:$AB$495&lt;=2)*('CASE MASTER'!$AD$2:$AD$495&gt;=2))*ROW('CASE MASTER'!$T$2:$T$495))&gt;0,INDEX('CASE MASTER'!$Y$2:$Y$495,(SUMPRODUCT((('CASE MASTER'!$T$2:$T$495=14)*('CASE MASTER'!$AA$2:$AA$495&lt;=6)*('CASE MASTER'!$AC$2:$AC$495&gt;=6)*('CASE MASTER'!$AB$2:$AB$495&lt;=2)*('CASE MASTER'!$AD$2:$AD$495&gt;=2))*ROW('CASE MASTER'!$T$2:$T$495))-(ROW('CASE MASTER'!#REF!)-1)))&amp;TRIM(MID(SUBSTITUTE(SUBSTITUTE(INDEX('CASE MASTER'!$N$2:$N$495,(SUMPRODUCT((('CASE MASTER'!$T$2:$T$495=14)*('CASE MASTER'!$AA$2:$AA$495&lt;=6)*('CASE MASTER'!$AC$2:$AC$495&gt;=6)*('CASE MASTER'!$AB$2:$AB$495&lt;=2)*('CASE MASTER'!$AD$2:$AD$495&gt;=2))*ROW('CASE MASTER'!$T$2:$T$495))-(ROW('CASE MASTER'!#REF!)-1))),":",","),",",REPT(" ",50)),(((INDEX('CASE MASTER'!$Z$2:$Z$495,(SUMPRODUCT((('CASE MASTER'!$T$2:$T$495=14)*('CASE MASTER'!$AA$2:$AA$495&lt;=6)*('CASE MASTER'!$AC$2:$AC$495&gt;=6)*('CASE MASTER'!$AB$2:$AB$495&lt;=2)*('CASE MASTER'!$AD$2:$AD$495&gt;=2))*ROW('CASE MASTER'!$T$2:$T$495))-(ROW('CASE MASTER'!#REF!)-1)))+((6-INDEX('CASE MASTER'!$AA$2:$AA$495,(SUMPRODUCT((('CASE MASTER'!$T$2:$T$495=14)*('CASE MASTER'!$AA$2:$AA$495&lt;=6)*('CASE MASTER'!$AC$2:$AC$495&gt;=6)*('CASE MASTER'!$AB$2:$AB$495&lt;=2)*('CASE MASTER'!$AD$2:$AD$495&gt;=2))*ROW('CASE MASTER'!$T$2:$T$495))-(ROW('CASE MASTER'!#REF!)-1))))*(INDEX('CASE MASTER'!$AD$2:$AD$495,(SUMPRODUCT((('CASE MASTER'!$T$2:$T$495=14)*('CASE MASTER'!$AA$2:$AA$495&lt;=6)*('CASE MASTER'!$AC$2:$AC$495&gt;=6)*('CASE MASTER'!$AB$2:$AB$495&lt;=2)*('CASE MASTER'!$AD$2:$AD$495&gt;=2))*ROW('CASE MASTER'!$T$2:$T$495))-(ROW('CASE MASTER'!#REF!)-1)))-INDEX('CASE MASTER'!$AB$2:$AB$495,(SUMPRODUCT((('CASE MASTER'!$T$2:$T$495=14)*('CASE MASTER'!$AA$2:$AA$495&lt;=6)*('CASE MASTER'!$AC$2:$AC$495&gt;=6)*('CASE MASTER'!$AB$2:$AB$495&lt;=2)*('CASE MASTER'!$AD$2:$AD$495&gt;=2))*ROW('CASE MASTER'!$T$2:$T$495))-(ROW('CASE MASTER'!#REF!)-1)))+1)+(2-INDEX('CASE MASTER'!$AB$2:$AB$495,(SUMPRODUCT((('CASE MASTER'!$T$2:$T$495=14)*('CASE MASTER'!$AA$2:$AA$495&lt;=6)*('CASE MASTER'!$AC$2:$AC$495&gt;=6)*('CASE MASTER'!$AB$2:$AB$495&lt;=2)*('CASE MASTER'!$AD$2:$AD$495&gt;=2))*ROW('CASE MASTER'!$T$2:$T$495))-(ROW('CASE MASTER'!#REF!)-1))))+1)))-1)*50+1,50))&amp;"_"&amp;INDEX('CASE MASTER'!$Q$2:$Q$495,(SUMPRODUCT((('CASE MASTER'!$T$2:$T$495=14)*('CASE MASTER'!$AA$2:$AA$495&lt;=6)*('CASE MASTER'!$AC$2:$AC$495&gt;=6)*('CASE MASTER'!$AB$2:$AB$495&lt;=2)*('CASE MASTER'!$AD$2:$AD$495&gt;=2))*ROW('CASE MASTER'!$T$2:$T$495))-(ROW('CASE MASTER'!#REF!)-1))),"")),"")</f>
        <v/>
      </c>
      <c r="D190" s="10" t="str">
        <f>IFERROR(IF(SUMPRODUCT((('CASE MASTER'!$T$2:$T$495=14)*('CASE MASTER'!$U$2:$U$495&lt;=6)*('CASE MASTER'!$W$2:$W$495&gt;=6)*('CASE MASTER'!$V$2:$V$495&lt;=3)*('CASE MASTER'!$X$2:$X$495&gt;=3))*ROW('CASE MASTER'!$T$2:$T$495))&gt;0,INDEX('CASE MASTER'!$Y$2:$Y$495,(SUMPRODUCT((('CASE MASTER'!$T$2:$T$495=14)*('CASE MASTER'!$U$2:$U$495&lt;=6)*('CASE MASTER'!$W$2:$W$495&gt;=6)*('CASE MASTER'!$V$2:$V$495&lt;=3)*('CASE MASTER'!$X$2:$X$495&gt;=3))*ROW('CASE MASTER'!$T$2:$T$495))-(ROW('CASE MASTER'!#REF!)-1)))&amp;TRIM(MID(SUBSTITUTE(SUBSTITUTE(INDEX('CASE MASTER'!$N$2:$N$495,(SUMPRODUCT((('CASE MASTER'!$T$2:$T$495=14)*('CASE MASTER'!$U$2:$U$495&lt;=6)*('CASE MASTER'!$W$2:$W$495&gt;=6)*('CASE MASTER'!$V$2:$V$495&lt;=3)*('CASE MASTER'!$X$2:$X$495&gt;=3))*ROW('CASE MASTER'!$T$2:$T$495))-(ROW('CASE MASTER'!#REF!)-1))),":",","),",",REPT(" ",50)),((((6-INDEX('CASE MASTER'!$U$2:$U$495,(SUMPRODUCT((('CASE MASTER'!$T$2:$T$495=14)*('CASE MASTER'!$U$2:$U$495&lt;=6)*('CASE MASTER'!$W$2:$W$495&gt;=6)*('CASE MASTER'!$V$2:$V$495&lt;=3)*('CASE MASTER'!$X$2:$X$495&gt;=3))*ROW('CASE MASTER'!$T$2:$T$495))-(ROW('CASE MASTER'!#REF!)-1))))*(INDEX('CASE MASTER'!$X$2:$X$495,(SUMPRODUCT((('CASE MASTER'!$T$2:$T$495=14)*('CASE MASTER'!$U$2:$U$495&lt;=6)*('CASE MASTER'!$W$2:$W$495&gt;=6)*('CASE MASTER'!$V$2:$V$495&lt;=3)*('CASE MASTER'!$X$2:$X$495&gt;=3))*ROW('CASE MASTER'!$T$2:$T$495))-(ROW('CASE MASTER'!#REF!)-1)))-INDEX('CASE MASTER'!$V$2:$V$495,(SUMPRODUCT((('CASE MASTER'!$T$2:$T$495=14)*('CASE MASTER'!$U$2:$U$495&lt;=6)*('CASE MASTER'!$W$2:$W$495&gt;=6)*('CASE MASTER'!$V$2:$V$495&lt;=3)*('CASE MASTER'!$X$2:$X$495&gt;=3))*ROW('CASE MASTER'!$T$2:$T$495))-(ROW('CASE MASTER'!#REF!)-1)))+1)+(3-INDEX('CASE MASTER'!$V$2:$V$495,(SUMPRODUCT((('CASE MASTER'!$T$2:$T$495=14)*('CASE MASTER'!$U$2:$U$495&lt;=6)*('CASE MASTER'!$W$2:$W$495&gt;=6)*('CASE MASTER'!$V$2:$V$495&lt;=3)*('CASE MASTER'!$X$2:$X$495&gt;=3))*ROW('CASE MASTER'!$T$2:$T$495))-(ROW('CASE MASTER'!#REF!)-1))))+1))-1)*50+1,50))&amp;"_"&amp;INDEX('CASE MASTER'!$Q$2:$Q$495,(SUMPRODUCT((('CASE MASTER'!$T$2:$T$495=14)*('CASE MASTER'!$U$2:$U$495&lt;=6)*('CASE MASTER'!$W$2:$W$495&gt;=6)*('CASE MASTER'!$V$2:$V$495&lt;=3)*('CASE MASTER'!$X$2:$X$495&gt;=3))*ROW('CASE MASTER'!$T$2:$T$495))-(ROW('CASE MASTER'!#REF!)-1))),IF(SUMPRODUCT((('CASE MASTER'!$T$2:$T$495=14)*('CASE MASTER'!$AA$2:$AA$495&lt;=6)*('CASE MASTER'!$AC$2:$AC$495&gt;=6)*('CASE MASTER'!$AB$2:$AB$495&lt;=3)*('CASE MASTER'!$AD$2:$AD$495&gt;=3))*ROW('CASE MASTER'!$T$2:$T$495))&gt;0,INDEX('CASE MASTER'!$Y$2:$Y$495,(SUMPRODUCT((('CASE MASTER'!$T$2:$T$495=14)*('CASE MASTER'!$AA$2:$AA$495&lt;=6)*('CASE MASTER'!$AC$2:$AC$495&gt;=6)*('CASE MASTER'!$AB$2:$AB$495&lt;=3)*('CASE MASTER'!$AD$2:$AD$495&gt;=3))*ROW('CASE MASTER'!$T$2:$T$495))-(ROW('CASE MASTER'!#REF!)-1)))&amp;TRIM(MID(SUBSTITUTE(SUBSTITUTE(INDEX('CASE MASTER'!$N$2:$N$495,(SUMPRODUCT((('CASE MASTER'!$T$2:$T$495=14)*('CASE MASTER'!$AA$2:$AA$495&lt;=6)*('CASE MASTER'!$AC$2:$AC$495&gt;=6)*('CASE MASTER'!$AB$2:$AB$495&lt;=3)*('CASE MASTER'!$AD$2:$AD$495&gt;=3))*ROW('CASE MASTER'!$T$2:$T$495))-(ROW('CASE MASTER'!#REF!)-1))),":",","),",",REPT(" ",50)),(((INDEX('CASE MASTER'!$Z$2:$Z$495,(SUMPRODUCT((('CASE MASTER'!$T$2:$T$495=14)*('CASE MASTER'!$AA$2:$AA$495&lt;=6)*('CASE MASTER'!$AC$2:$AC$495&gt;=6)*('CASE MASTER'!$AB$2:$AB$495&lt;=3)*('CASE MASTER'!$AD$2:$AD$495&gt;=3))*ROW('CASE MASTER'!$T$2:$T$495))-(ROW('CASE MASTER'!#REF!)-1)))+((6-INDEX('CASE MASTER'!$AA$2:$AA$495,(SUMPRODUCT((('CASE MASTER'!$T$2:$T$495=14)*('CASE MASTER'!$AA$2:$AA$495&lt;=6)*('CASE MASTER'!$AC$2:$AC$495&gt;=6)*('CASE MASTER'!$AB$2:$AB$495&lt;=3)*('CASE MASTER'!$AD$2:$AD$495&gt;=3))*ROW('CASE MASTER'!$T$2:$T$495))-(ROW('CASE MASTER'!#REF!)-1))))*(INDEX('CASE MASTER'!$AD$2:$AD$495,(SUMPRODUCT((('CASE MASTER'!$T$2:$T$495=14)*('CASE MASTER'!$AA$2:$AA$495&lt;=6)*('CASE MASTER'!$AC$2:$AC$495&gt;=6)*('CASE MASTER'!$AB$2:$AB$495&lt;=3)*('CASE MASTER'!$AD$2:$AD$495&gt;=3))*ROW('CASE MASTER'!$T$2:$T$495))-(ROW('CASE MASTER'!#REF!)-1)))-INDEX('CASE MASTER'!$AB$2:$AB$495,(SUMPRODUCT((('CASE MASTER'!$T$2:$T$495=14)*('CASE MASTER'!$AA$2:$AA$495&lt;=6)*('CASE MASTER'!$AC$2:$AC$495&gt;=6)*('CASE MASTER'!$AB$2:$AB$495&lt;=3)*('CASE MASTER'!$AD$2:$AD$495&gt;=3))*ROW('CASE MASTER'!$T$2:$T$495))-(ROW('CASE MASTER'!#REF!)-1)))+1)+(3-INDEX('CASE MASTER'!$AB$2:$AB$495,(SUMPRODUCT((('CASE MASTER'!$T$2:$T$495=14)*('CASE MASTER'!$AA$2:$AA$495&lt;=6)*('CASE MASTER'!$AC$2:$AC$495&gt;=6)*('CASE MASTER'!$AB$2:$AB$495&lt;=3)*('CASE MASTER'!$AD$2:$AD$495&gt;=3))*ROW('CASE MASTER'!$T$2:$T$495))-(ROW('CASE MASTER'!#REF!)-1))))+1)))-1)*50+1,50))&amp;"_"&amp;INDEX('CASE MASTER'!$Q$2:$Q$495,(SUMPRODUCT((('CASE MASTER'!$T$2:$T$495=14)*('CASE MASTER'!$AA$2:$AA$495&lt;=6)*('CASE MASTER'!$AC$2:$AC$495&gt;=6)*('CASE MASTER'!$AB$2:$AB$495&lt;=3)*('CASE MASTER'!$AD$2:$AD$495&gt;=3))*ROW('CASE MASTER'!$T$2:$T$495))-(ROW('CASE MASTER'!#REF!)-1))),"")),"")</f>
        <v/>
      </c>
      <c r="E190" s="10" t="str">
        <f>IFERROR(IF(SUMPRODUCT((('CASE MASTER'!$T$2:$T$495=14)*('CASE MASTER'!$U$2:$U$495&lt;=6)*('CASE MASTER'!$W$2:$W$495&gt;=6)*('CASE MASTER'!$V$2:$V$495&lt;=4)*('CASE MASTER'!$X$2:$X$495&gt;=4))*ROW('CASE MASTER'!$T$2:$T$495))&gt;0,INDEX('CASE MASTER'!$Y$2:$Y$495,(SUMPRODUCT((('CASE MASTER'!$T$2:$T$495=14)*('CASE MASTER'!$U$2:$U$495&lt;=6)*('CASE MASTER'!$W$2:$W$495&gt;=6)*('CASE MASTER'!$V$2:$V$495&lt;=4)*('CASE MASTER'!$X$2:$X$495&gt;=4))*ROW('CASE MASTER'!$T$2:$T$495))-(ROW('CASE MASTER'!#REF!)-1)))&amp;TRIM(MID(SUBSTITUTE(SUBSTITUTE(INDEX('CASE MASTER'!$N$2:$N$495,(SUMPRODUCT((('CASE MASTER'!$T$2:$T$495=14)*('CASE MASTER'!$U$2:$U$495&lt;=6)*('CASE MASTER'!$W$2:$W$495&gt;=6)*('CASE MASTER'!$V$2:$V$495&lt;=4)*('CASE MASTER'!$X$2:$X$495&gt;=4))*ROW('CASE MASTER'!$T$2:$T$495))-(ROW('CASE MASTER'!#REF!)-1))),":",","),",",REPT(" ",50)),((((6-INDEX('CASE MASTER'!$U$2:$U$495,(SUMPRODUCT((('CASE MASTER'!$T$2:$T$495=14)*('CASE MASTER'!$U$2:$U$495&lt;=6)*('CASE MASTER'!$W$2:$W$495&gt;=6)*('CASE MASTER'!$V$2:$V$495&lt;=4)*('CASE MASTER'!$X$2:$X$495&gt;=4))*ROW('CASE MASTER'!$T$2:$T$495))-(ROW('CASE MASTER'!#REF!)-1))))*(INDEX('CASE MASTER'!$X$2:$X$495,(SUMPRODUCT((('CASE MASTER'!$T$2:$T$495=14)*('CASE MASTER'!$U$2:$U$495&lt;=6)*('CASE MASTER'!$W$2:$W$495&gt;=6)*('CASE MASTER'!$V$2:$V$495&lt;=4)*('CASE MASTER'!$X$2:$X$495&gt;=4))*ROW('CASE MASTER'!$T$2:$T$495))-(ROW('CASE MASTER'!#REF!)-1)))-INDEX('CASE MASTER'!$V$2:$V$495,(SUMPRODUCT((('CASE MASTER'!$T$2:$T$495=14)*('CASE MASTER'!$U$2:$U$495&lt;=6)*('CASE MASTER'!$W$2:$W$495&gt;=6)*('CASE MASTER'!$V$2:$V$495&lt;=4)*('CASE MASTER'!$X$2:$X$495&gt;=4))*ROW('CASE MASTER'!$T$2:$T$495))-(ROW('CASE MASTER'!#REF!)-1)))+1)+(4-INDEX('CASE MASTER'!$V$2:$V$495,(SUMPRODUCT((('CASE MASTER'!$T$2:$T$495=14)*('CASE MASTER'!$U$2:$U$495&lt;=6)*('CASE MASTER'!$W$2:$W$495&gt;=6)*('CASE MASTER'!$V$2:$V$495&lt;=4)*('CASE MASTER'!$X$2:$X$495&gt;=4))*ROW('CASE MASTER'!$T$2:$T$495))-(ROW('CASE MASTER'!#REF!)-1))))+1))-1)*50+1,50))&amp;"_"&amp;INDEX('CASE MASTER'!$Q$2:$Q$495,(SUMPRODUCT((('CASE MASTER'!$T$2:$T$495=14)*('CASE MASTER'!$U$2:$U$495&lt;=6)*('CASE MASTER'!$W$2:$W$495&gt;=6)*('CASE MASTER'!$V$2:$V$495&lt;=4)*('CASE MASTER'!$X$2:$X$495&gt;=4))*ROW('CASE MASTER'!$T$2:$T$495))-(ROW('CASE MASTER'!#REF!)-1))),IF(SUMPRODUCT((('CASE MASTER'!$T$2:$T$495=14)*('CASE MASTER'!$AA$2:$AA$495&lt;=6)*('CASE MASTER'!$AC$2:$AC$495&gt;=6)*('CASE MASTER'!$AB$2:$AB$495&lt;=4)*('CASE MASTER'!$AD$2:$AD$495&gt;=4))*ROW('CASE MASTER'!$T$2:$T$495))&gt;0,INDEX('CASE MASTER'!$Y$2:$Y$495,(SUMPRODUCT((('CASE MASTER'!$T$2:$T$495=14)*('CASE MASTER'!$AA$2:$AA$495&lt;=6)*('CASE MASTER'!$AC$2:$AC$495&gt;=6)*('CASE MASTER'!$AB$2:$AB$495&lt;=4)*('CASE MASTER'!$AD$2:$AD$495&gt;=4))*ROW('CASE MASTER'!$T$2:$T$495))-(ROW('CASE MASTER'!#REF!)-1)))&amp;TRIM(MID(SUBSTITUTE(SUBSTITUTE(INDEX('CASE MASTER'!$N$2:$N$495,(SUMPRODUCT((('CASE MASTER'!$T$2:$T$495=14)*('CASE MASTER'!$AA$2:$AA$495&lt;=6)*('CASE MASTER'!$AC$2:$AC$495&gt;=6)*('CASE MASTER'!$AB$2:$AB$495&lt;=4)*('CASE MASTER'!$AD$2:$AD$495&gt;=4))*ROW('CASE MASTER'!$T$2:$T$495))-(ROW('CASE MASTER'!#REF!)-1))),":",","),",",REPT(" ",50)),(((INDEX('CASE MASTER'!$Z$2:$Z$495,(SUMPRODUCT((('CASE MASTER'!$T$2:$T$495=14)*('CASE MASTER'!$AA$2:$AA$495&lt;=6)*('CASE MASTER'!$AC$2:$AC$495&gt;=6)*('CASE MASTER'!$AB$2:$AB$495&lt;=4)*('CASE MASTER'!$AD$2:$AD$495&gt;=4))*ROW('CASE MASTER'!$T$2:$T$495))-(ROW('CASE MASTER'!#REF!)-1)))+((6-INDEX('CASE MASTER'!$AA$2:$AA$495,(SUMPRODUCT((('CASE MASTER'!$T$2:$T$495=14)*('CASE MASTER'!$AA$2:$AA$495&lt;=6)*('CASE MASTER'!$AC$2:$AC$495&gt;=6)*('CASE MASTER'!$AB$2:$AB$495&lt;=4)*('CASE MASTER'!$AD$2:$AD$495&gt;=4))*ROW('CASE MASTER'!$T$2:$T$495))-(ROW('CASE MASTER'!#REF!)-1))))*(INDEX('CASE MASTER'!$AD$2:$AD$495,(SUMPRODUCT((('CASE MASTER'!$T$2:$T$495=14)*('CASE MASTER'!$AA$2:$AA$495&lt;=6)*('CASE MASTER'!$AC$2:$AC$495&gt;=6)*('CASE MASTER'!$AB$2:$AB$495&lt;=4)*('CASE MASTER'!$AD$2:$AD$495&gt;=4))*ROW('CASE MASTER'!$T$2:$T$495))-(ROW('CASE MASTER'!#REF!)-1)))-INDEX('CASE MASTER'!$AB$2:$AB$495,(SUMPRODUCT((('CASE MASTER'!$T$2:$T$495=14)*('CASE MASTER'!$AA$2:$AA$495&lt;=6)*('CASE MASTER'!$AC$2:$AC$495&gt;=6)*('CASE MASTER'!$AB$2:$AB$495&lt;=4)*('CASE MASTER'!$AD$2:$AD$495&gt;=4))*ROW('CASE MASTER'!$T$2:$T$495))-(ROW('CASE MASTER'!#REF!)-1)))+1)+(4-INDEX('CASE MASTER'!$AB$2:$AB$495,(SUMPRODUCT((('CASE MASTER'!$T$2:$T$495=14)*('CASE MASTER'!$AA$2:$AA$495&lt;=6)*('CASE MASTER'!$AC$2:$AC$495&gt;=6)*('CASE MASTER'!$AB$2:$AB$495&lt;=4)*('CASE MASTER'!$AD$2:$AD$495&gt;=4))*ROW('CASE MASTER'!$T$2:$T$495))-(ROW('CASE MASTER'!#REF!)-1))))+1)))-1)*50+1,50))&amp;"_"&amp;INDEX('CASE MASTER'!$Q$2:$Q$495,(SUMPRODUCT((('CASE MASTER'!$T$2:$T$495=14)*('CASE MASTER'!$AA$2:$AA$495&lt;=6)*('CASE MASTER'!$AC$2:$AC$495&gt;=6)*('CASE MASTER'!$AB$2:$AB$495&lt;=4)*('CASE MASTER'!$AD$2:$AD$495&gt;=4))*ROW('CASE MASTER'!$T$2:$T$495))-(ROW('CASE MASTER'!#REF!)-1))),"")),"")</f>
        <v/>
      </c>
      <c r="F190" s="10" t="str">
        <f>IFERROR(IF(SUMPRODUCT((('CASE MASTER'!$T$2:$T$495=14)*('CASE MASTER'!$U$2:$U$495&lt;=6)*('CASE MASTER'!$W$2:$W$495&gt;=6)*('CASE MASTER'!$V$2:$V$495&lt;=5)*('CASE MASTER'!$X$2:$X$495&gt;=5))*ROW('CASE MASTER'!$T$2:$T$495))&gt;0,INDEX('CASE MASTER'!$Y$2:$Y$495,(SUMPRODUCT((('CASE MASTER'!$T$2:$T$495=14)*('CASE MASTER'!$U$2:$U$495&lt;=6)*('CASE MASTER'!$W$2:$W$495&gt;=6)*('CASE MASTER'!$V$2:$V$495&lt;=5)*('CASE MASTER'!$X$2:$X$495&gt;=5))*ROW('CASE MASTER'!$T$2:$T$495))-(ROW('CASE MASTER'!#REF!)-1)))&amp;TRIM(MID(SUBSTITUTE(SUBSTITUTE(INDEX('CASE MASTER'!$N$2:$N$495,(SUMPRODUCT((('CASE MASTER'!$T$2:$T$495=14)*('CASE MASTER'!$U$2:$U$495&lt;=6)*('CASE MASTER'!$W$2:$W$495&gt;=6)*('CASE MASTER'!$V$2:$V$495&lt;=5)*('CASE MASTER'!$X$2:$X$495&gt;=5))*ROW('CASE MASTER'!$T$2:$T$495))-(ROW('CASE MASTER'!#REF!)-1))),":",","),",",REPT(" ",50)),((((6-INDEX('CASE MASTER'!$U$2:$U$495,(SUMPRODUCT((('CASE MASTER'!$T$2:$T$495=14)*('CASE MASTER'!$U$2:$U$495&lt;=6)*('CASE MASTER'!$W$2:$W$495&gt;=6)*('CASE MASTER'!$V$2:$V$495&lt;=5)*('CASE MASTER'!$X$2:$X$495&gt;=5))*ROW('CASE MASTER'!$T$2:$T$495))-(ROW('CASE MASTER'!#REF!)-1))))*(INDEX('CASE MASTER'!$X$2:$X$495,(SUMPRODUCT((('CASE MASTER'!$T$2:$T$495=14)*('CASE MASTER'!$U$2:$U$495&lt;=6)*('CASE MASTER'!$W$2:$W$495&gt;=6)*('CASE MASTER'!$V$2:$V$495&lt;=5)*('CASE MASTER'!$X$2:$X$495&gt;=5))*ROW('CASE MASTER'!$T$2:$T$495))-(ROW('CASE MASTER'!#REF!)-1)))-INDEX('CASE MASTER'!$V$2:$V$495,(SUMPRODUCT((('CASE MASTER'!$T$2:$T$495=14)*('CASE MASTER'!$U$2:$U$495&lt;=6)*('CASE MASTER'!$W$2:$W$495&gt;=6)*('CASE MASTER'!$V$2:$V$495&lt;=5)*('CASE MASTER'!$X$2:$X$495&gt;=5))*ROW('CASE MASTER'!$T$2:$T$495))-(ROW('CASE MASTER'!#REF!)-1)))+1)+(5-INDEX('CASE MASTER'!$V$2:$V$495,(SUMPRODUCT((('CASE MASTER'!$T$2:$T$495=14)*('CASE MASTER'!$U$2:$U$495&lt;=6)*('CASE MASTER'!$W$2:$W$495&gt;=6)*('CASE MASTER'!$V$2:$V$495&lt;=5)*('CASE MASTER'!$X$2:$X$495&gt;=5))*ROW('CASE MASTER'!$T$2:$T$495))-(ROW('CASE MASTER'!#REF!)-1))))+1))-1)*50+1,50))&amp;"_"&amp;INDEX('CASE MASTER'!$Q$2:$Q$495,(SUMPRODUCT((('CASE MASTER'!$T$2:$T$495=14)*('CASE MASTER'!$U$2:$U$495&lt;=6)*('CASE MASTER'!$W$2:$W$495&gt;=6)*('CASE MASTER'!$V$2:$V$495&lt;=5)*('CASE MASTER'!$X$2:$X$495&gt;=5))*ROW('CASE MASTER'!$T$2:$T$495))-(ROW('CASE MASTER'!#REF!)-1))),IF(SUMPRODUCT((('CASE MASTER'!$T$2:$T$495=14)*('CASE MASTER'!$AA$2:$AA$495&lt;=6)*('CASE MASTER'!$AC$2:$AC$495&gt;=6)*('CASE MASTER'!$AB$2:$AB$495&lt;=5)*('CASE MASTER'!$AD$2:$AD$495&gt;=5))*ROW('CASE MASTER'!$T$2:$T$495))&gt;0,INDEX('CASE MASTER'!$Y$2:$Y$495,(SUMPRODUCT((('CASE MASTER'!$T$2:$T$495=14)*('CASE MASTER'!$AA$2:$AA$495&lt;=6)*('CASE MASTER'!$AC$2:$AC$495&gt;=6)*('CASE MASTER'!$AB$2:$AB$495&lt;=5)*('CASE MASTER'!$AD$2:$AD$495&gt;=5))*ROW('CASE MASTER'!$T$2:$T$495))-(ROW('CASE MASTER'!#REF!)-1)))&amp;TRIM(MID(SUBSTITUTE(SUBSTITUTE(INDEX('CASE MASTER'!$N$2:$N$495,(SUMPRODUCT((('CASE MASTER'!$T$2:$T$495=14)*('CASE MASTER'!$AA$2:$AA$495&lt;=6)*('CASE MASTER'!$AC$2:$AC$495&gt;=6)*('CASE MASTER'!$AB$2:$AB$495&lt;=5)*('CASE MASTER'!$AD$2:$AD$495&gt;=5))*ROW('CASE MASTER'!$T$2:$T$495))-(ROW('CASE MASTER'!#REF!)-1))),":",","),",",REPT(" ",50)),(((INDEX('CASE MASTER'!$Z$2:$Z$495,(SUMPRODUCT((('CASE MASTER'!$T$2:$T$495=14)*('CASE MASTER'!$AA$2:$AA$495&lt;=6)*('CASE MASTER'!$AC$2:$AC$495&gt;=6)*('CASE MASTER'!$AB$2:$AB$495&lt;=5)*('CASE MASTER'!$AD$2:$AD$495&gt;=5))*ROW('CASE MASTER'!$T$2:$T$495))-(ROW('CASE MASTER'!#REF!)-1)))+((6-INDEX('CASE MASTER'!$AA$2:$AA$495,(SUMPRODUCT((('CASE MASTER'!$T$2:$T$495=14)*('CASE MASTER'!$AA$2:$AA$495&lt;=6)*('CASE MASTER'!$AC$2:$AC$495&gt;=6)*('CASE MASTER'!$AB$2:$AB$495&lt;=5)*('CASE MASTER'!$AD$2:$AD$495&gt;=5))*ROW('CASE MASTER'!$T$2:$T$495))-(ROW('CASE MASTER'!#REF!)-1))))*(INDEX('CASE MASTER'!$AD$2:$AD$495,(SUMPRODUCT((('CASE MASTER'!$T$2:$T$495=14)*('CASE MASTER'!$AA$2:$AA$495&lt;=6)*('CASE MASTER'!$AC$2:$AC$495&gt;=6)*('CASE MASTER'!$AB$2:$AB$495&lt;=5)*('CASE MASTER'!$AD$2:$AD$495&gt;=5))*ROW('CASE MASTER'!$T$2:$T$495))-(ROW('CASE MASTER'!#REF!)-1)))-INDEX('CASE MASTER'!$AB$2:$AB$495,(SUMPRODUCT((('CASE MASTER'!$T$2:$T$495=14)*('CASE MASTER'!$AA$2:$AA$495&lt;=6)*('CASE MASTER'!$AC$2:$AC$495&gt;=6)*('CASE MASTER'!$AB$2:$AB$495&lt;=5)*('CASE MASTER'!$AD$2:$AD$495&gt;=5))*ROW('CASE MASTER'!$T$2:$T$495))-(ROW('CASE MASTER'!#REF!)-1)))+1)+(5-INDEX('CASE MASTER'!$AB$2:$AB$495,(SUMPRODUCT((('CASE MASTER'!$T$2:$T$495=14)*('CASE MASTER'!$AA$2:$AA$495&lt;=6)*('CASE MASTER'!$AC$2:$AC$495&gt;=6)*('CASE MASTER'!$AB$2:$AB$495&lt;=5)*('CASE MASTER'!$AD$2:$AD$495&gt;=5))*ROW('CASE MASTER'!$T$2:$T$495))-(ROW('CASE MASTER'!#REF!)-1))))+1)))-1)*50+1,50))&amp;"_"&amp;INDEX('CASE MASTER'!$Q$2:$Q$495,(SUMPRODUCT((('CASE MASTER'!$T$2:$T$495=14)*('CASE MASTER'!$AA$2:$AA$495&lt;=6)*('CASE MASTER'!$AC$2:$AC$495&gt;=6)*('CASE MASTER'!$AB$2:$AB$495&lt;=5)*('CASE MASTER'!$AD$2:$AD$495&gt;=5))*ROW('CASE MASTER'!$T$2:$T$495))-(ROW('CASE MASTER'!#REF!)-1))),"")),"")</f>
        <v/>
      </c>
      <c r="G190" s="10" t="str">
        <f>IFERROR(IF(SUMPRODUCT((('CASE MASTER'!$T$2:$T$495=14)*('CASE MASTER'!$U$2:$U$495&lt;=6)*('CASE MASTER'!$W$2:$W$495&gt;=6)*('CASE MASTER'!$V$2:$V$495&lt;=6)*('CASE MASTER'!$X$2:$X$495&gt;=6))*ROW('CASE MASTER'!$T$2:$T$495))&gt;0,INDEX('CASE MASTER'!$Y$2:$Y$495,(SUMPRODUCT((('CASE MASTER'!$T$2:$T$495=14)*('CASE MASTER'!$U$2:$U$495&lt;=6)*('CASE MASTER'!$W$2:$W$495&gt;=6)*('CASE MASTER'!$V$2:$V$495&lt;=6)*('CASE MASTER'!$X$2:$X$495&gt;=6))*ROW('CASE MASTER'!$T$2:$T$495))-(ROW('CASE MASTER'!#REF!)-1)))&amp;TRIM(MID(SUBSTITUTE(SUBSTITUTE(INDEX('CASE MASTER'!$N$2:$N$495,(SUMPRODUCT((('CASE MASTER'!$T$2:$T$495=14)*('CASE MASTER'!$U$2:$U$495&lt;=6)*('CASE MASTER'!$W$2:$W$495&gt;=6)*('CASE MASTER'!$V$2:$V$495&lt;=6)*('CASE MASTER'!$X$2:$X$495&gt;=6))*ROW('CASE MASTER'!$T$2:$T$495))-(ROW('CASE MASTER'!#REF!)-1))),":",","),",",REPT(" ",50)),((((6-INDEX('CASE MASTER'!$U$2:$U$495,(SUMPRODUCT((('CASE MASTER'!$T$2:$T$495=14)*('CASE MASTER'!$U$2:$U$495&lt;=6)*('CASE MASTER'!$W$2:$W$495&gt;=6)*('CASE MASTER'!$V$2:$V$495&lt;=6)*('CASE MASTER'!$X$2:$X$495&gt;=6))*ROW('CASE MASTER'!$T$2:$T$495))-(ROW('CASE MASTER'!#REF!)-1))))*(INDEX('CASE MASTER'!$X$2:$X$495,(SUMPRODUCT((('CASE MASTER'!$T$2:$T$495=14)*('CASE MASTER'!$U$2:$U$495&lt;=6)*('CASE MASTER'!$W$2:$W$495&gt;=6)*('CASE MASTER'!$V$2:$V$495&lt;=6)*('CASE MASTER'!$X$2:$X$495&gt;=6))*ROW('CASE MASTER'!$T$2:$T$495))-(ROW('CASE MASTER'!#REF!)-1)))-INDEX('CASE MASTER'!$V$2:$V$495,(SUMPRODUCT((('CASE MASTER'!$T$2:$T$495=14)*('CASE MASTER'!$U$2:$U$495&lt;=6)*('CASE MASTER'!$W$2:$W$495&gt;=6)*('CASE MASTER'!$V$2:$V$495&lt;=6)*('CASE MASTER'!$X$2:$X$495&gt;=6))*ROW('CASE MASTER'!$T$2:$T$495))-(ROW('CASE MASTER'!#REF!)-1)))+1)+(6-INDEX('CASE MASTER'!$V$2:$V$495,(SUMPRODUCT((('CASE MASTER'!$T$2:$T$495=14)*('CASE MASTER'!$U$2:$U$495&lt;=6)*('CASE MASTER'!$W$2:$W$495&gt;=6)*('CASE MASTER'!$V$2:$V$495&lt;=6)*('CASE MASTER'!$X$2:$X$495&gt;=6))*ROW('CASE MASTER'!$T$2:$T$495))-(ROW('CASE MASTER'!#REF!)-1))))+1))-1)*50+1,50))&amp;"_"&amp;INDEX('CASE MASTER'!$Q$2:$Q$495,(SUMPRODUCT((('CASE MASTER'!$T$2:$T$495=14)*('CASE MASTER'!$U$2:$U$495&lt;=6)*('CASE MASTER'!$W$2:$W$495&gt;=6)*('CASE MASTER'!$V$2:$V$495&lt;=6)*('CASE MASTER'!$X$2:$X$495&gt;=6))*ROW('CASE MASTER'!$T$2:$T$495))-(ROW('CASE MASTER'!#REF!)-1))),IF(SUMPRODUCT((('CASE MASTER'!$T$2:$T$495=14)*('CASE MASTER'!$AA$2:$AA$495&lt;=6)*('CASE MASTER'!$AC$2:$AC$495&gt;=6)*('CASE MASTER'!$AB$2:$AB$495&lt;=6)*('CASE MASTER'!$AD$2:$AD$495&gt;=6))*ROW('CASE MASTER'!$T$2:$T$495))&gt;0,INDEX('CASE MASTER'!$Y$2:$Y$495,(SUMPRODUCT((('CASE MASTER'!$T$2:$T$495=14)*('CASE MASTER'!$AA$2:$AA$495&lt;=6)*('CASE MASTER'!$AC$2:$AC$495&gt;=6)*('CASE MASTER'!$AB$2:$AB$495&lt;=6)*('CASE MASTER'!$AD$2:$AD$495&gt;=6))*ROW('CASE MASTER'!$T$2:$T$495))-(ROW('CASE MASTER'!#REF!)-1)))&amp;TRIM(MID(SUBSTITUTE(SUBSTITUTE(INDEX('CASE MASTER'!$N$2:$N$495,(SUMPRODUCT((('CASE MASTER'!$T$2:$T$495=14)*('CASE MASTER'!$AA$2:$AA$495&lt;=6)*('CASE MASTER'!$AC$2:$AC$495&gt;=6)*('CASE MASTER'!$AB$2:$AB$495&lt;=6)*('CASE MASTER'!$AD$2:$AD$495&gt;=6))*ROW('CASE MASTER'!$T$2:$T$495))-(ROW('CASE MASTER'!#REF!)-1))),":",","),",",REPT(" ",50)),(((INDEX('CASE MASTER'!$Z$2:$Z$495,(SUMPRODUCT((('CASE MASTER'!$T$2:$T$495=14)*('CASE MASTER'!$AA$2:$AA$495&lt;=6)*('CASE MASTER'!$AC$2:$AC$495&gt;=6)*('CASE MASTER'!$AB$2:$AB$495&lt;=6)*('CASE MASTER'!$AD$2:$AD$495&gt;=6))*ROW('CASE MASTER'!$T$2:$T$495))-(ROW('CASE MASTER'!#REF!)-1)))+((6-INDEX('CASE MASTER'!$AA$2:$AA$495,(SUMPRODUCT((('CASE MASTER'!$T$2:$T$495=14)*('CASE MASTER'!$AA$2:$AA$495&lt;=6)*('CASE MASTER'!$AC$2:$AC$495&gt;=6)*('CASE MASTER'!$AB$2:$AB$495&lt;=6)*('CASE MASTER'!$AD$2:$AD$495&gt;=6))*ROW('CASE MASTER'!$T$2:$T$495))-(ROW('CASE MASTER'!#REF!)-1))))*(INDEX('CASE MASTER'!$AD$2:$AD$495,(SUMPRODUCT((('CASE MASTER'!$T$2:$T$495=14)*('CASE MASTER'!$AA$2:$AA$495&lt;=6)*('CASE MASTER'!$AC$2:$AC$495&gt;=6)*('CASE MASTER'!$AB$2:$AB$495&lt;=6)*('CASE MASTER'!$AD$2:$AD$495&gt;=6))*ROW('CASE MASTER'!$T$2:$T$495))-(ROW('CASE MASTER'!#REF!)-1)))-INDEX('CASE MASTER'!$AB$2:$AB$495,(SUMPRODUCT((('CASE MASTER'!$T$2:$T$495=14)*('CASE MASTER'!$AA$2:$AA$495&lt;=6)*('CASE MASTER'!$AC$2:$AC$495&gt;=6)*('CASE MASTER'!$AB$2:$AB$495&lt;=6)*('CASE MASTER'!$AD$2:$AD$495&gt;=6))*ROW('CASE MASTER'!$T$2:$T$495))-(ROW('CASE MASTER'!#REF!)-1)))+1)+(6-INDEX('CASE MASTER'!$AB$2:$AB$495,(SUMPRODUCT((('CASE MASTER'!$T$2:$T$495=14)*('CASE MASTER'!$AA$2:$AA$495&lt;=6)*('CASE MASTER'!$AC$2:$AC$495&gt;=6)*('CASE MASTER'!$AB$2:$AB$495&lt;=6)*('CASE MASTER'!$AD$2:$AD$495&gt;=6))*ROW('CASE MASTER'!$T$2:$T$495))-(ROW('CASE MASTER'!#REF!)-1))))+1)))-1)*50+1,50))&amp;"_"&amp;INDEX('CASE MASTER'!$Q$2:$Q$495,(SUMPRODUCT((('CASE MASTER'!$T$2:$T$495=14)*('CASE MASTER'!$AA$2:$AA$495&lt;=6)*('CASE MASTER'!$AC$2:$AC$495&gt;=6)*('CASE MASTER'!$AB$2:$AB$495&lt;=6)*('CASE MASTER'!$AD$2:$AD$495&gt;=6))*ROW('CASE MASTER'!$T$2:$T$495))-(ROW('CASE MASTER'!#REF!)-1))),"")),"")</f>
        <v/>
      </c>
      <c r="H190" s="10" t="str">
        <f>IFERROR(IF(SUMPRODUCT((('CASE MASTER'!$T$2:$T$495=14)*('CASE MASTER'!$U$2:$U$495&lt;=6)*('CASE MASTER'!$W$2:$W$495&gt;=6)*('CASE MASTER'!$V$2:$V$495&lt;=7)*('CASE MASTER'!$X$2:$X$495&gt;=7))*ROW('CASE MASTER'!$T$2:$T$495))&gt;0,INDEX('CASE MASTER'!$Y$2:$Y$495,(SUMPRODUCT((('CASE MASTER'!$T$2:$T$495=14)*('CASE MASTER'!$U$2:$U$495&lt;=6)*('CASE MASTER'!$W$2:$W$495&gt;=6)*('CASE MASTER'!$V$2:$V$495&lt;=7)*('CASE MASTER'!$X$2:$X$495&gt;=7))*ROW('CASE MASTER'!$T$2:$T$495))-(ROW('CASE MASTER'!#REF!)-1)))&amp;TRIM(MID(SUBSTITUTE(SUBSTITUTE(INDEX('CASE MASTER'!$N$2:$N$495,(SUMPRODUCT((('CASE MASTER'!$T$2:$T$495=14)*('CASE MASTER'!$U$2:$U$495&lt;=6)*('CASE MASTER'!$W$2:$W$495&gt;=6)*('CASE MASTER'!$V$2:$V$495&lt;=7)*('CASE MASTER'!$X$2:$X$495&gt;=7))*ROW('CASE MASTER'!$T$2:$T$495))-(ROW('CASE MASTER'!#REF!)-1))),":",","),",",REPT(" ",50)),((((6-INDEX('CASE MASTER'!$U$2:$U$495,(SUMPRODUCT((('CASE MASTER'!$T$2:$T$495=14)*('CASE MASTER'!$U$2:$U$495&lt;=6)*('CASE MASTER'!$W$2:$W$495&gt;=6)*('CASE MASTER'!$V$2:$V$495&lt;=7)*('CASE MASTER'!$X$2:$X$495&gt;=7))*ROW('CASE MASTER'!$T$2:$T$495))-(ROW('CASE MASTER'!#REF!)-1))))*(INDEX('CASE MASTER'!$X$2:$X$495,(SUMPRODUCT((('CASE MASTER'!$T$2:$T$495=14)*('CASE MASTER'!$U$2:$U$495&lt;=6)*('CASE MASTER'!$W$2:$W$495&gt;=6)*('CASE MASTER'!$V$2:$V$495&lt;=7)*('CASE MASTER'!$X$2:$X$495&gt;=7))*ROW('CASE MASTER'!$T$2:$T$495))-(ROW('CASE MASTER'!#REF!)-1)))-INDEX('CASE MASTER'!$V$2:$V$495,(SUMPRODUCT((('CASE MASTER'!$T$2:$T$495=14)*('CASE MASTER'!$U$2:$U$495&lt;=6)*('CASE MASTER'!$W$2:$W$495&gt;=6)*('CASE MASTER'!$V$2:$V$495&lt;=7)*('CASE MASTER'!$X$2:$X$495&gt;=7))*ROW('CASE MASTER'!$T$2:$T$495))-(ROW('CASE MASTER'!#REF!)-1)))+1)+(7-INDEX('CASE MASTER'!$V$2:$V$495,(SUMPRODUCT((('CASE MASTER'!$T$2:$T$495=14)*('CASE MASTER'!$U$2:$U$495&lt;=6)*('CASE MASTER'!$W$2:$W$495&gt;=6)*('CASE MASTER'!$V$2:$V$495&lt;=7)*('CASE MASTER'!$X$2:$X$495&gt;=7))*ROW('CASE MASTER'!$T$2:$T$495))-(ROW('CASE MASTER'!#REF!)-1))))+1))-1)*50+1,50))&amp;"_"&amp;INDEX('CASE MASTER'!$Q$2:$Q$495,(SUMPRODUCT((('CASE MASTER'!$T$2:$T$495=14)*('CASE MASTER'!$U$2:$U$495&lt;=6)*('CASE MASTER'!$W$2:$W$495&gt;=6)*('CASE MASTER'!$V$2:$V$495&lt;=7)*('CASE MASTER'!$X$2:$X$495&gt;=7))*ROW('CASE MASTER'!$T$2:$T$495))-(ROW('CASE MASTER'!#REF!)-1))),IF(SUMPRODUCT((('CASE MASTER'!$T$2:$T$495=14)*('CASE MASTER'!$AA$2:$AA$495&lt;=6)*('CASE MASTER'!$AC$2:$AC$495&gt;=6)*('CASE MASTER'!$AB$2:$AB$495&lt;=7)*('CASE MASTER'!$AD$2:$AD$495&gt;=7))*ROW('CASE MASTER'!$T$2:$T$495))&gt;0,INDEX('CASE MASTER'!$Y$2:$Y$495,(SUMPRODUCT((('CASE MASTER'!$T$2:$T$495=14)*('CASE MASTER'!$AA$2:$AA$495&lt;=6)*('CASE MASTER'!$AC$2:$AC$495&gt;=6)*('CASE MASTER'!$AB$2:$AB$495&lt;=7)*('CASE MASTER'!$AD$2:$AD$495&gt;=7))*ROW('CASE MASTER'!$T$2:$T$495))-(ROW('CASE MASTER'!#REF!)-1)))&amp;TRIM(MID(SUBSTITUTE(SUBSTITUTE(INDEX('CASE MASTER'!$N$2:$N$495,(SUMPRODUCT((('CASE MASTER'!$T$2:$T$495=14)*('CASE MASTER'!$AA$2:$AA$495&lt;=6)*('CASE MASTER'!$AC$2:$AC$495&gt;=6)*('CASE MASTER'!$AB$2:$AB$495&lt;=7)*('CASE MASTER'!$AD$2:$AD$495&gt;=7))*ROW('CASE MASTER'!$T$2:$T$495))-(ROW('CASE MASTER'!#REF!)-1))),":",","),",",REPT(" ",50)),(((INDEX('CASE MASTER'!$Z$2:$Z$495,(SUMPRODUCT((('CASE MASTER'!$T$2:$T$495=14)*('CASE MASTER'!$AA$2:$AA$495&lt;=6)*('CASE MASTER'!$AC$2:$AC$495&gt;=6)*('CASE MASTER'!$AB$2:$AB$495&lt;=7)*('CASE MASTER'!$AD$2:$AD$495&gt;=7))*ROW('CASE MASTER'!$T$2:$T$495))-(ROW('CASE MASTER'!#REF!)-1)))+((6-INDEX('CASE MASTER'!$AA$2:$AA$495,(SUMPRODUCT((('CASE MASTER'!$T$2:$T$495=14)*('CASE MASTER'!$AA$2:$AA$495&lt;=6)*('CASE MASTER'!$AC$2:$AC$495&gt;=6)*('CASE MASTER'!$AB$2:$AB$495&lt;=7)*('CASE MASTER'!$AD$2:$AD$495&gt;=7))*ROW('CASE MASTER'!$T$2:$T$495))-(ROW('CASE MASTER'!#REF!)-1))))*(INDEX('CASE MASTER'!$AD$2:$AD$495,(SUMPRODUCT((('CASE MASTER'!$T$2:$T$495=14)*('CASE MASTER'!$AA$2:$AA$495&lt;=6)*('CASE MASTER'!$AC$2:$AC$495&gt;=6)*('CASE MASTER'!$AB$2:$AB$495&lt;=7)*('CASE MASTER'!$AD$2:$AD$495&gt;=7))*ROW('CASE MASTER'!$T$2:$T$495))-(ROW('CASE MASTER'!#REF!)-1)))-INDEX('CASE MASTER'!$AB$2:$AB$495,(SUMPRODUCT((('CASE MASTER'!$T$2:$T$495=14)*('CASE MASTER'!$AA$2:$AA$495&lt;=6)*('CASE MASTER'!$AC$2:$AC$495&gt;=6)*('CASE MASTER'!$AB$2:$AB$495&lt;=7)*('CASE MASTER'!$AD$2:$AD$495&gt;=7))*ROW('CASE MASTER'!$T$2:$T$495))-(ROW('CASE MASTER'!#REF!)-1)))+1)+(7-INDEX('CASE MASTER'!$AB$2:$AB$495,(SUMPRODUCT((('CASE MASTER'!$T$2:$T$495=14)*('CASE MASTER'!$AA$2:$AA$495&lt;=6)*('CASE MASTER'!$AC$2:$AC$495&gt;=6)*('CASE MASTER'!$AB$2:$AB$495&lt;=7)*('CASE MASTER'!$AD$2:$AD$495&gt;=7))*ROW('CASE MASTER'!$T$2:$T$495))-(ROW('CASE MASTER'!#REF!)-1))))+1)))-1)*50+1,50))&amp;"_"&amp;INDEX('CASE MASTER'!$Q$2:$Q$495,(SUMPRODUCT((('CASE MASTER'!$T$2:$T$495=14)*('CASE MASTER'!$AA$2:$AA$495&lt;=6)*('CASE MASTER'!$AC$2:$AC$495&gt;=6)*('CASE MASTER'!$AB$2:$AB$495&lt;=7)*('CASE MASTER'!$AD$2:$AD$495&gt;=7))*ROW('CASE MASTER'!$T$2:$T$495))-(ROW('CASE MASTER'!#REF!)-1))),"")),"")</f>
        <v/>
      </c>
      <c r="I190" s="10" t="str">
        <f>IFERROR(IF(SUMPRODUCT((('CASE MASTER'!$T$2:$T$495=14)*('CASE MASTER'!$U$2:$U$495&lt;=6)*('CASE MASTER'!$W$2:$W$495&gt;=6)*('CASE MASTER'!$V$2:$V$495&lt;=8)*('CASE MASTER'!$X$2:$X$495&gt;=8))*ROW('CASE MASTER'!$T$2:$T$495))&gt;0,INDEX('CASE MASTER'!$Y$2:$Y$495,(SUMPRODUCT((('CASE MASTER'!$T$2:$T$495=14)*('CASE MASTER'!$U$2:$U$495&lt;=6)*('CASE MASTER'!$W$2:$W$495&gt;=6)*('CASE MASTER'!$V$2:$V$495&lt;=8)*('CASE MASTER'!$X$2:$X$495&gt;=8))*ROW('CASE MASTER'!$T$2:$T$495))-(ROW('CASE MASTER'!#REF!)-1)))&amp;TRIM(MID(SUBSTITUTE(SUBSTITUTE(INDEX('CASE MASTER'!$N$2:$N$495,(SUMPRODUCT((('CASE MASTER'!$T$2:$T$495=14)*('CASE MASTER'!$U$2:$U$495&lt;=6)*('CASE MASTER'!$W$2:$W$495&gt;=6)*('CASE MASTER'!$V$2:$V$495&lt;=8)*('CASE MASTER'!$X$2:$X$495&gt;=8))*ROW('CASE MASTER'!$T$2:$T$495))-(ROW('CASE MASTER'!#REF!)-1))),":",","),",",REPT(" ",50)),((((6-INDEX('CASE MASTER'!$U$2:$U$495,(SUMPRODUCT((('CASE MASTER'!$T$2:$T$495=14)*('CASE MASTER'!$U$2:$U$495&lt;=6)*('CASE MASTER'!$W$2:$W$495&gt;=6)*('CASE MASTER'!$V$2:$V$495&lt;=8)*('CASE MASTER'!$X$2:$X$495&gt;=8))*ROW('CASE MASTER'!$T$2:$T$495))-(ROW('CASE MASTER'!#REF!)-1))))*(INDEX('CASE MASTER'!$X$2:$X$495,(SUMPRODUCT((('CASE MASTER'!$T$2:$T$495=14)*('CASE MASTER'!$U$2:$U$495&lt;=6)*('CASE MASTER'!$W$2:$W$495&gt;=6)*('CASE MASTER'!$V$2:$V$495&lt;=8)*('CASE MASTER'!$X$2:$X$495&gt;=8))*ROW('CASE MASTER'!$T$2:$T$495))-(ROW('CASE MASTER'!#REF!)-1)))-INDEX('CASE MASTER'!$V$2:$V$495,(SUMPRODUCT((('CASE MASTER'!$T$2:$T$495=14)*('CASE MASTER'!$U$2:$U$495&lt;=6)*('CASE MASTER'!$W$2:$W$495&gt;=6)*('CASE MASTER'!$V$2:$V$495&lt;=8)*('CASE MASTER'!$X$2:$X$495&gt;=8))*ROW('CASE MASTER'!$T$2:$T$495))-(ROW('CASE MASTER'!#REF!)-1)))+1)+(8-INDEX('CASE MASTER'!$V$2:$V$495,(SUMPRODUCT((('CASE MASTER'!$T$2:$T$495=14)*('CASE MASTER'!$U$2:$U$495&lt;=6)*('CASE MASTER'!$W$2:$W$495&gt;=6)*('CASE MASTER'!$V$2:$V$495&lt;=8)*('CASE MASTER'!$X$2:$X$495&gt;=8))*ROW('CASE MASTER'!$T$2:$T$495))-(ROW('CASE MASTER'!#REF!)-1))))+1))-1)*50+1,50))&amp;"_"&amp;INDEX('CASE MASTER'!$Q$2:$Q$495,(SUMPRODUCT((('CASE MASTER'!$T$2:$T$495=14)*('CASE MASTER'!$U$2:$U$495&lt;=6)*('CASE MASTER'!$W$2:$W$495&gt;=6)*('CASE MASTER'!$V$2:$V$495&lt;=8)*('CASE MASTER'!$X$2:$X$495&gt;=8))*ROW('CASE MASTER'!$T$2:$T$495))-(ROW('CASE MASTER'!#REF!)-1))),IF(SUMPRODUCT((('CASE MASTER'!$T$2:$T$495=14)*('CASE MASTER'!$AA$2:$AA$495&lt;=6)*('CASE MASTER'!$AC$2:$AC$495&gt;=6)*('CASE MASTER'!$AB$2:$AB$495&lt;=8)*('CASE MASTER'!$AD$2:$AD$495&gt;=8))*ROW('CASE MASTER'!$T$2:$T$495))&gt;0,INDEX('CASE MASTER'!$Y$2:$Y$495,(SUMPRODUCT((('CASE MASTER'!$T$2:$T$495=14)*('CASE MASTER'!$AA$2:$AA$495&lt;=6)*('CASE MASTER'!$AC$2:$AC$495&gt;=6)*('CASE MASTER'!$AB$2:$AB$495&lt;=8)*('CASE MASTER'!$AD$2:$AD$495&gt;=8))*ROW('CASE MASTER'!$T$2:$T$495))-(ROW('CASE MASTER'!#REF!)-1)))&amp;TRIM(MID(SUBSTITUTE(SUBSTITUTE(INDEX('CASE MASTER'!$N$2:$N$495,(SUMPRODUCT((('CASE MASTER'!$T$2:$T$495=14)*('CASE MASTER'!$AA$2:$AA$495&lt;=6)*('CASE MASTER'!$AC$2:$AC$495&gt;=6)*('CASE MASTER'!$AB$2:$AB$495&lt;=8)*('CASE MASTER'!$AD$2:$AD$495&gt;=8))*ROW('CASE MASTER'!$T$2:$T$495))-(ROW('CASE MASTER'!#REF!)-1))),":",","),",",REPT(" ",50)),(((INDEX('CASE MASTER'!$Z$2:$Z$495,(SUMPRODUCT((('CASE MASTER'!$T$2:$T$495=14)*('CASE MASTER'!$AA$2:$AA$495&lt;=6)*('CASE MASTER'!$AC$2:$AC$495&gt;=6)*('CASE MASTER'!$AB$2:$AB$495&lt;=8)*('CASE MASTER'!$AD$2:$AD$495&gt;=8))*ROW('CASE MASTER'!$T$2:$T$495))-(ROW('CASE MASTER'!#REF!)-1)))+((6-INDEX('CASE MASTER'!$AA$2:$AA$495,(SUMPRODUCT((('CASE MASTER'!$T$2:$T$495=14)*('CASE MASTER'!$AA$2:$AA$495&lt;=6)*('CASE MASTER'!$AC$2:$AC$495&gt;=6)*('CASE MASTER'!$AB$2:$AB$495&lt;=8)*('CASE MASTER'!$AD$2:$AD$495&gt;=8))*ROW('CASE MASTER'!$T$2:$T$495))-(ROW('CASE MASTER'!#REF!)-1))))*(INDEX('CASE MASTER'!$AD$2:$AD$495,(SUMPRODUCT((('CASE MASTER'!$T$2:$T$495=14)*('CASE MASTER'!$AA$2:$AA$495&lt;=6)*('CASE MASTER'!$AC$2:$AC$495&gt;=6)*('CASE MASTER'!$AB$2:$AB$495&lt;=8)*('CASE MASTER'!$AD$2:$AD$495&gt;=8))*ROW('CASE MASTER'!$T$2:$T$495))-(ROW('CASE MASTER'!#REF!)-1)))-INDEX('CASE MASTER'!$AB$2:$AB$495,(SUMPRODUCT((('CASE MASTER'!$T$2:$T$495=14)*('CASE MASTER'!$AA$2:$AA$495&lt;=6)*('CASE MASTER'!$AC$2:$AC$495&gt;=6)*('CASE MASTER'!$AB$2:$AB$495&lt;=8)*('CASE MASTER'!$AD$2:$AD$495&gt;=8))*ROW('CASE MASTER'!$T$2:$T$495))-(ROW('CASE MASTER'!#REF!)-1)))+1)+(8-INDEX('CASE MASTER'!$AB$2:$AB$495,(SUMPRODUCT((('CASE MASTER'!$T$2:$T$495=14)*('CASE MASTER'!$AA$2:$AA$495&lt;=6)*('CASE MASTER'!$AC$2:$AC$495&gt;=6)*('CASE MASTER'!$AB$2:$AB$495&lt;=8)*('CASE MASTER'!$AD$2:$AD$495&gt;=8))*ROW('CASE MASTER'!$T$2:$T$495))-(ROW('CASE MASTER'!#REF!)-1))))+1)))-1)*50+1,50))&amp;"_"&amp;INDEX('CASE MASTER'!$Q$2:$Q$495,(SUMPRODUCT((('CASE MASTER'!$T$2:$T$495=14)*('CASE MASTER'!$AA$2:$AA$495&lt;=6)*('CASE MASTER'!$AC$2:$AC$495&gt;=6)*('CASE MASTER'!$AB$2:$AB$495&lt;=8)*('CASE MASTER'!$AD$2:$AD$495&gt;=8))*ROW('CASE MASTER'!$T$2:$T$495))-(ROW('CASE MASTER'!#REF!)-1))),"")),"")</f>
        <v/>
      </c>
      <c r="J190" s="10" t="str">
        <f>IFERROR(IF(SUMPRODUCT((('CASE MASTER'!$T$2:$T$495=14)*('CASE MASTER'!$U$2:$U$495&lt;=6)*('CASE MASTER'!$W$2:$W$495&gt;=6)*('CASE MASTER'!$V$2:$V$495&lt;=9)*('CASE MASTER'!$X$2:$X$495&gt;=9))*ROW('CASE MASTER'!$T$2:$T$495))&gt;0,INDEX('CASE MASTER'!$Y$2:$Y$495,(SUMPRODUCT((('CASE MASTER'!$T$2:$T$495=14)*('CASE MASTER'!$U$2:$U$495&lt;=6)*('CASE MASTER'!$W$2:$W$495&gt;=6)*('CASE MASTER'!$V$2:$V$495&lt;=9)*('CASE MASTER'!$X$2:$X$495&gt;=9))*ROW('CASE MASTER'!$T$2:$T$495))-(ROW('CASE MASTER'!#REF!)-1)))&amp;TRIM(MID(SUBSTITUTE(SUBSTITUTE(INDEX('CASE MASTER'!$N$2:$N$495,(SUMPRODUCT((('CASE MASTER'!$T$2:$T$495=14)*('CASE MASTER'!$U$2:$U$495&lt;=6)*('CASE MASTER'!$W$2:$W$495&gt;=6)*('CASE MASTER'!$V$2:$V$495&lt;=9)*('CASE MASTER'!$X$2:$X$495&gt;=9))*ROW('CASE MASTER'!$T$2:$T$495))-(ROW('CASE MASTER'!#REF!)-1))),":",","),",",REPT(" ",50)),((((6-INDEX('CASE MASTER'!$U$2:$U$495,(SUMPRODUCT((('CASE MASTER'!$T$2:$T$495=14)*('CASE MASTER'!$U$2:$U$495&lt;=6)*('CASE MASTER'!$W$2:$W$495&gt;=6)*('CASE MASTER'!$V$2:$V$495&lt;=9)*('CASE MASTER'!$X$2:$X$495&gt;=9))*ROW('CASE MASTER'!$T$2:$T$495))-(ROW('CASE MASTER'!#REF!)-1))))*(INDEX('CASE MASTER'!$X$2:$X$495,(SUMPRODUCT((('CASE MASTER'!$T$2:$T$495=14)*('CASE MASTER'!$U$2:$U$495&lt;=6)*('CASE MASTER'!$W$2:$W$495&gt;=6)*('CASE MASTER'!$V$2:$V$495&lt;=9)*('CASE MASTER'!$X$2:$X$495&gt;=9))*ROW('CASE MASTER'!$T$2:$T$495))-(ROW('CASE MASTER'!#REF!)-1)))-INDEX('CASE MASTER'!$V$2:$V$495,(SUMPRODUCT((('CASE MASTER'!$T$2:$T$495=14)*('CASE MASTER'!$U$2:$U$495&lt;=6)*('CASE MASTER'!$W$2:$W$495&gt;=6)*('CASE MASTER'!$V$2:$V$495&lt;=9)*('CASE MASTER'!$X$2:$X$495&gt;=9))*ROW('CASE MASTER'!$T$2:$T$495))-(ROW('CASE MASTER'!#REF!)-1)))+1)+(9-INDEX('CASE MASTER'!$V$2:$V$495,(SUMPRODUCT((('CASE MASTER'!$T$2:$T$495=14)*('CASE MASTER'!$U$2:$U$495&lt;=6)*('CASE MASTER'!$W$2:$W$495&gt;=6)*('CASE MASTER'!$V$2:$V$495&lt;=9)*('CASE MASTER'!$X$2:$X$495&gt;=9))*ROW('CASE MASTER'!$T$2:$T$495))-(ROW('CASE MASTER'!#REF!)-1))))+1))-1)*50+1,50))&amp;"_"&amp;INDEX('CASE MASTER'!$Q$2:$Q$495,(SUMPRODUCT((('CASE MASTER'!$T$2:$T$495=14)*('CASE MASTER'!$U$2:$U$495&lt;=6)*('CASE MASTER'!$W$2:$W$495&gt;=6)*('CASE MASTER'!$V$2:$V$495&lt;=9)*('CASE MASTER'!$X$2:$X$495&gt;=9))*ROW('CASE MASTER'!$T$2:$T$495))-(ROW('CASE MASTER'!#REF!)-1))),IF(SUMPRODUCT((('CASE MASTER'!$T$2:$T$495=14)*('CASE MASTER'!$AA$2:$AA$495&lt;=6)*('CASE MASTER'!$AC$2:$AC$495&gt;=6)*('CASE MASTER'!$AB$2:$AB$495&lt;=9)*('CASE MASTER'!$AD$2:$AD$495&gt;=9))*ROW('CASE MASTER'!$T$2:$T$495))&gt;0,INDEX('CASE MASTER'!$Y$2:$Y$495,(SUMPRODUCT((('CASE MASTER'!$T$2:$T$495=14)*('CASE MASTER'!$AA$2:$AA$495&lt;=6)*('CASE MASTER'!$AC$2:$AC$495&gt;=6)*('CASE MASTER'!$AB$2:$AB$495&lt;=9)*('CASE MASTER'!$AD$2:$AD$495&gt;=9))*ROW('CASE MASTER'!$T$2:$T$495))-(ROW('CASE MASTER'!#REF!)-1)))&amp;TRIM(MID(SUBSTITUTE(SUBSTITUTE(INDEX('CASE MASTER'!$N$2:$N$495,(SUMPRODUCT((('CASE MASTER'!$T$2:$T$495=14)*('CASE MASTER'!$AA$2:$AA$495&lt;=6)*('CASE MASTER'!$AC$2:$AC$495&gt;=6)*('CASE MASTER'!$AB$2:$AB$495&lt;=9)*('CASE MASTER'!$AD$2:$AD$495&gt;=9))*ROW('CASE MASTER'!$T$2:$T$495))-(ROW('CASE MASTER'!#REF!)-1))),":",","),",",REPT(" ",50)),(((INDEX('CASE MASTER'!$Z$2:$Z$495,(SUMPRODUCT((('CASE MASTER'!$T$2:$T$495=14)*('CASE MASTER'!$AA$2:$AA$495&lt;=6)*('CASE MASTER'!$AC$2:$AC$495&gt;=6)*('CASE MASTER'!$AB$2:$AB$495&lt;=9)*('CASE MASTER'!$AD$2:$AD$495&gt;=9))*ROW('CASE MASTER'!$T$2:$T$495))-(ROW('CASE MASTER'!#REF!)-1)))+((6-INDEX('CASE MASTER'!$AA$2:$AA$495,(SUMPRODUCT((('CASE MASTER'!$T$2:$T$495=14)*('CASE MASTER'!$AA$2:$AA$495&lt;=6)*('CASE MASTER'!$AC$2:$AC$495&gt;=6)*('CASE MASTER'!$AB$2:$AB$495&lt;=9)*('CASE MASTER'!$AD$2:$AD$495&gt;=9))*ROW('CASE MASTER'!$T$2:$T$495))-(ROW('CASE MASTER'!#REF!)-1))))*(INDEX('CASE MASTER'!$AD$2:$AD$495,(SUMPRODUCT((('CASE MASTER'!$T$2:$T$495=14)*('CASE MASTER'!$AA$2:$AA$495&lt;=6)*('CASE MASTER'!$AC$2:$AC$495&gt;=6)*('CASE MASTER'!$AB$2:$AB$495&lt;=9)*('CASE MASTER'!$AD$2:$AD$495&gt;=9))*ROW('CASE MASTER'!$T$2:$T$495))-(ROW('CASE MASTER'!#REF!)-1)))-INDEX('CASE MASTER'!$AB$2:$AB$495,(SUMPRODUCT((('CASE MASTER'!$T$2:$T$495=14)*('CASE MASTER'!$AA$2:$AA$495&lt;=6)*('CASE MASTER'!$AC$2:$AC$495&gt;=6)*('CASE MASTER'!$AB$2:$AB$495&lt;=9)*('CASE MASTER'!$AD$2:$AD$495&gt;=9))*ROW('CASE MASTER'!$T$2:$T$495))-(ROW('CASE MASTER'!#REF!)-1)))+1)+(9-INDEX('CASE MASTER'!$AB$2:$AB$495,(SUMPRODUCT((('CASE MASTER'!$T$2:$T$495=14)*('CASE MASTER'!$AA$2:$AA$495&lt;=6)*('CASE MASTER'!$AC$2:$AC$495&gt;=6)*('CASE MASTER'!$AB$2:$AB$495&lt;=9)*('CASE MASTER'!$AD$2:$AD$495&gt;=9))*ROW('CASE MASTER'!$T$2:$T$495))-(ROW('CASE MASTER'!#REF!)-1))))+1)))-1)*50+1,50))&amp;"_"&amp;INDEX('CASE MASTER'!$Q$2:$Q$495,(SUMPRODUCT((('CASE MASTER'!$T$2:$T$495=14)*('CASE MASTER'!$AA$2:$AA$495&lt;=6)*('CASE MASTER'!$AC$2:$AC$495&gt;=6)*('CASE MASTER'!$AB$2:$AB$495&lt;=9)*('CASE MASTER'!$AD$2:$AD$495&gt;=9))*ROW('CASE MASTER'!$T$2:$T$495))-(ROW('CASE MASTER'!#REF!)-1))),"")),"")</f>
        <v/>
      </c>
      <c r="K190" s="10" t="str">
        <f>IFERROR(IF(SUMPRODUCT((('CASE MASTER'!$T$2:$T$495=14)*('CASE MASTER'!$U$2:$U$495&lt;=6)*('CASE MASTER'!$W$2:$W$495&gt;=6)*('CASE MASTER'!$V$2:$V$495&lt;=10)*('CASE MASTER'!$X$2:$X$495&gt;=10))*ROW('CASE MASTER'!$T$2:$T$495))&gt;0,INDEX('CASE MASTER'!$Y$2:$Y$495,(SUMPRODUCT((('CASE MASTER'!$T$2:$T$495=14)*('CASE MASTER'!$U$2:$U$495&lt;=6)*('CASE MASTER'!$W$2:$W$495&gt;=6)*('CASE MASTER'!$V$2:$V$495&lt;=10)*('CASE MASTER'!$X$2:$X$495&gt;=10))*ROW('CASE MASTER'!$T$2:$T$495))-(ROW('CASE MASTER'!#REF!)-1)))&amp;TRIM(MID(SUBSTITUTE(SUBSTITUTE(INDEX('CASE MASTER'!$N$2:$N$495,(SUMPRODUCT((('CASE MASTER'!$T$2:$T$495=14)*('CASE MASTER'!$U$2:$U$495&lt;=6)*('CASE MASTER'!$W$2:$W$495&gt;=6)*('CASE MASTER'!$V$2:$V$495&lt;=10)*('CASE MASTER'!$X$2:$X$495&gt;=10))*ROW('CASE MASTER'!$T$2:$T$495))-(ROW('CASE MASTER'!#REF!)-1))),":",","),",",REPT(" ",50)),((((6-INDEX('CASE MASTER'!$U$2:$U$495,(SUMPRODUCT((('CASE MASTER'!$T$2:$T$495=14)*('CASE MASTER'!$U$2:$U$495&lt;=6)*('CASE MASTER'!$W$2:$W$495&gt;=6)*('CASE MASTER'!$V$2:$V$495&lt;=10)*('CASE MASTER'!$X$2:$X$495&gt;=10))*ROW('CASE MASTER'!$T$2:$T$495))-(ROW('CASE MASTER'!#REF!)-1))))*(INDEX('CASE MASTER'!$X$2:$X$495,(SUMPRODUCT((('CASE MASTER'!$T$2:$T$495=14)*('CASE MASTER'!$U$2:$U$495&lt;=6)*('CASE MASTER'!$W$2:$W$495&gt;=6)*('CASE MASTER'!$V$2:$V$495&lt;=10)*('CASE MASTER'!$X$2:$X$495&gt;=10))*ROW('CASE MASTER'!$T$2:$T$495))-(ROW('CASE MASTER'!#REF!)-1)))-INDEX('CASE MASTER'!$V$2:$V$495,(SUMPRODUCT((('CASE MASTER'!$T$2:$T$495=14)*('CASE MASTER'!$U$2:$U$495&lt;=6)*('CASE MASTER'!$W$2:$W$495&gt;=6)*('CASE MASTER'!$V$2:$V$495&lt;=10)*('CASE MASTER'!$X$2:$X$495&gt;=10))*ROW('CASE MASTER'!$T$2:$T$495))-(ROW('CASE MASTER'!#REF!)-1)))+1)+(10-INDEX('CASE MASTER'!$V$2:$V$495,(SUMPRODUCT((('CASE MASTER'!$T$2:$T$495=14)*('CASE MASTER'!$U$2:$U$495&lt;=6)*('CASE MASTER'!$W$2:$W$495&gt;=6)*('CASE MASTER'!$V$2:$V$495&lt;=10)*('CASE MASTER'!$X$2:$X$495&gt;=10))*ROW('CASE MASTER'!$T$2:$T$495))-(ROW('CASE MASTER'!#REF!)-1))))+1))-1)*50+1,50))&amp;"_"&amp;INDEX('CASE MASTER'!$Q$2:$Q$495,(SUMPRODUCT((('CASE MASTER'!$T$2:$T$495=14)*('CASE MASTER'!$U$2:$U$495&lt;=6)*('CASE MASTER'!$W$2:$W$495&gt;=6)*('CASE MASTER'!$V$2:$V$495&lt;=10)*('CASE MASTER'!$X$2:$X$495&gt;=10))*ROW('CASE MASTER'!$T$2:$T$495))-(ROW('CASE MASTER'!#REF!)-1))),IF(SUMPRODUCT((('CASE MASTER'!$T$2:$T$495=14)*('CASE MASTER'!$AA$2:$AA$495&lt;=6)*('CASE MASTER'!$AC$2:$AC$495&gt;=6)*('CASE MASTER'!$AB$2:$AB$495&lt;=10)*('CASE MASTER'!$AD$2:$AD$495&gt;=10))*ROW('CASE MASTER'!$T$2:$T$495))&gt;0,INDEX('CASE MASTER'!$Y$2:$Y$495,(SUMPRODUCT((('CASE MASTER'!$T$2:$T$495=14)*('CASE MASTER'!$AA$2:$AA$495&lt;=6)*('CASE MASTER'!$AC$2:$AC$495&gt;=6)*('CASE MASTER'!$AB$2:$AB$495&lt;=10)*('CASE MASTER'!$AD$2:$AD$495&gt;=10))*ROW('CASE MASTER'!$T$2:$T$495))-(ROW('CASE MASTER'!#REF!)-1)))&amp;TRIM(MID(SUBSTITUTE(SUBSTITUTE(INDEX('CASE MASTER'!$N$2:$N$495,(SUMPRODUCT((('CASE MASTER'!$T$2:$T$495=14)*('CASE MASTER'!$AA$2:$AA$495&lt;=6)*('CASE MASTER'!$AC$2:$AC$495&gt;=6)*('CASE MASTER'!$AB$2:$AB$495&lt;=10)*('CASE MASTER'!$AD$2:$AD$495&gt;=10))*ROW('CASE MASTER'!$T$2:$T$495))-(ROW('CASE MASTER'!#REF!)-1))),":",","),",",REPT(" ",50)),(((INDEX('CASE MASTER'!$Z$2:$Z$495,(SUMPRODUCT((('CASE MASTER'!$T$2:$T$495=14)*('CASE MASTER'!$AA$2:$AA$495&lt;=6)*('CASE MASTER'!$AC$2:$AC$495&gt;=6)*('CASE MASTER'!$AB$2:$AB$495&lt;=10)*('CASE MASTER'!$AD$2:$AD$495&gt;=10))*ROW('CASE MASTER'!$T$2:$T$495))-(ROW('CASE MASTER'!#REF!)-1)))+((6-INDEX('CASE MASTER'!$AA$2:$AA$495,(SUMPRODUCT((('CASE MASTER'!$T$2:$T$495=14)*('CASE MASTER'!$AA$2:$AA$495&lt;=6)*('CASE MASTER'!$AC$2:$AC$495&gt;=6)*('CASE MASTER'!$AB$2:$AB$495&lt;=10)*('CASE MASTER'!$AD$2:$AD$495&gt;=10))*ROW('CASE MASTER'!$T$2:$T$495))-(ROW('CASE MASTER'!#REF!)-1))))*(INDEX('CASE MASTER'!$AD$2:$AD$495,(SUMPRODUCT((('CASE MASTER'!$T$2:$T$495=14)*('CASE MASTER'!$AA$2:$AA$495&lt;=6)*('CASE MASTER'!$AC$2:$AC$495&gt;=6)*('CASE MASTER'!$AB$2:$AB$495&lt;=10)*('CASE MASTER'!$AD$2:$AD$495&gt;=10))*ROW('CASE MASTER'!$T$2:$T$495))-(ROW('CASE MASTER'!#REF!)-1)))-INDEX('CASE MASTER'!$AB$2:$AB$495,(SUMPRODUCT((('CASE MASTER'!$T$2:$T$495=14)*('CASE MASTER'!$AA$2:$AA$495&lt;=6)*('CASE MASTER'!$AC$2:$AC$495&gt;=6)*('CASE MASTER'!$AB$2:$AB$495&lt;=10)*('CASE MASTER'!$AD$2:$AD$495&gt;=10))*ROW('CASE MASTER'!$T$2:$T$495))-(ROW('CASE MASTER'!#REF!)-1)))+1)+(10-INDEX('CASE MASTER'!$AB$2:$AB$495,(SUMPRODUCT((('CASE MASTER'!$T$2:$T$495=14)*('CASE MASTER'!$AA$2:$AA$495&lt;=6)*('CASE MASTER'!$AC$2:$AC$495&gt;=6)*('CASE MASTER'!$AB$2:$AB$495&lt;=10)*('CASE MASTER'!$AD$2:$AD$495&gt;=10))*ROW('CASE MASTER'!$T$2:$T$495))-(ROW('CASE MASTER'!#REF!)-1))))+1)))-1)*50+1,50))&amp;"_"&amp;INDEX('CASE MASTER'!$Q$2:$Q$495,(SUMPRODUCT((('CASE MASTER'!$T$2:$T$495=14)*('CASE MASTER'!$AA$2:$AA$495&lt;=6)*('CASE MASTER'!$AC$2:$AC$495&gt;=6)*('CASE MASTER'!$AB$2:$AB$495&lt;=10)*('CASE MASTER'!$AD$2:$AD$495&gt;=10))*ROW('CASE MASTER'!$T$2:$T$495))-(ROW('CASE MASTER'!#REF!)-1))),"")),"")</f>
        <v/>
      </c>
    </row>
    <row r="191" spans="1:11" ht="15" customHeight="1" x14ac:dyDescent="0.35">
      <c r="A191" s="8" t="s">
        <v>34</v>
      </c>
      <c r="B191" s="10" t="str">
        <f>IFERROR(IF(SUMPRODUCT((('CASE MASTER'!$T$2:$T$495=14)*('CASE MASTER'!$U$2:$U$495&lt;=7)*('CASE MASTER'!$W$2:$W$495&gt;=7)*('CASE MASTER'!$V$2:$V$495&lt;=1)*('CASE MASTER'!$X$2:$X$495&gt;=1))*ROW('CASE MASTER'!$T$2:$T$495))&gt;0,INDEX('CASE MASTER'!$Y$2:$Y$495,(SUMPRODUCT((('CASE MASTER'!$T$2:$T$495=14)*('CASE MASTER'!$U$2:$U$495&lt;=7)*('CASE MASTER'!$W$2:$W$495&gt;=7)*('CASE MASTER'!$V$2:$V$495&lt;=1)*('CASE MASTER'!$X$2:$X$495&gt;=1))*ROW('CASE MASTER'!$T$2:$T$495))-(ROW('CASE MASTER'!#REF!)-1)))&amp;TRIM(MID(SUBSTITUTE(SUBSTITUTE(INDEX('CASE MASTER'!$N$2:$N$495,(SUMPRODUCT((('CASE MASTER'!$T$2:$T$495=14)*('CASE MASTER'!$U$2:$U$495&lt;=7)*('CASE MASTER'!$W$2:$W$495&gt;=7)*('CASE MASTER'!$V$2:$V$495&lt;=1)*('CASE MASTER'!$X$2:$X$495&gt;=1))*ROW('CASE MASTER'!$T$2:$T$495))-(ROW('CASE MASTER'!#REF!)-1))),":",","),",",REPT(" ",50)),((((7-INDEX('CASE MASTER'!$U$2:$U$495,(SUMPRODUCT((('CASE MASTER'!$T$2:$T$495=14)*('CASE MASTER'!$U$2:$U$495&lt;=7)*('CASE MASTER'!$W$2:$W$495&gt;=7)*('CASE MASTER'!$V$2:$V$495&lt;=1)*('CASE MASTER'!$X$2:$X$495&gt;=1))*ROW('CASE MASTER'!$T$2:$T$495))-(ROW('CASE MASTER'!#REF!)-1))))*(INDEX('CASE MASTER'!$X$2:$X$495,(SUMPRODUCT((('CASE MASTER'!$T$2:$T$495=14)*('CASE MASTER'!$U$2:$U$495&lt;=7)*('CASE MASTER'!$W$2:$W$495&gt;=7)*('CASE MASTER'!$V$2:$V$495&lt;=1)*('CASE MASTER'!$X$2:$X$495&gt;=1))*ROW('CASE MASTER'!$T$2:$T$495))-(ROW('CASE MASTER'!#REF!)-1)))-INDEX('CASE MASTER'!$V$2:$V$495,(SUMPRODUCT((('CASE MASTER'!$T$2:$T$495=14)*('CASE MASTER'!$U$2:$U$495&lt;=7)*('CASE MASTER'!$W$2:$W$495&gt;=7)*('CASE MASTER'!$V$2:$V$495&lt;=1)*('CASE MASTER'!$X$2:$X$495&gt;=1))*ROW('CASE MASTER'!$T$2:$T$495))-(ROW('CASE MASTER'!#REF!)-1)))+1)+(1-INDEX('CASE MASTER'!$V$2:$V$495,(SUMPRODUCT((('CASE MASTER'!$T$2:$T$495=14)*('CASE MASTER'!$U$2:$U$495&lt;=7)*('CASE MASTER'!$W$2:$W$495&gt;=7)*('CASE MASTER'!$V$2:$V$495&lt;=1)*('CASE MASTER'!$X$2:$X$495&gt;=1))*ROW('CASE MASTER'!$T$2:$T$495))-(ROW('CASE MASTER'!#REF!)-1))))+1))-1)*50+1,50))&amp;"_"&amp;INDEX('CASE MASTER'!$Q$2:$Q$495,(SUMPRODUCT((('CASE MASTER'!$T$2:$T$495=14)*('CASE MASTER'!$U$2:$U$495&lt;=7)*('CASE MASTER'!$W$2:$W$495&gt;=7)*('CASE MASTER'!$V$2:$V$495&lt;=1)*('CASE MASTER'!$X$2:$X$495&gt;=1))*ROW('CASE MASTER'!$T$2:$T$495))-(ROW('CASE MASTER'!#REF!)-1))),IF(SUMPRODUCT((('CASE MASTER'!$T$2:$T$495=14)*('CASE MASTER'!$AA$2:$AA$495&lt;=7)*('CASE MASTER'!$AC$2:$AC$495&gt;=7)*('CASE MASTER'!$AB$2:$AB$495&lt;=1)*('CASE MASTER'!$AD$2:$AD$495&gt;=1))*ROW('CASE MASTER'!$T$2:$T$495))&gt;0,INDEX('CASE MASTER'!$Y$2:$Y$495,(SUMPRODUCT((('CASE MASTER'!$T$2:$T$495=14)*('CASE MASTER'!$AA$2:$AA$495&lt;=7)*('CASE MASTER'!$AC$2:$AC$495&gt;=7)*('CASE MASTER'!$AB$2:$AB$495&lt;=1)*('CASE MASTER'!$AD$2:$AD$495&gt;=1))*ROW('CASE MASTER'!$T$2:$T$495))-(ROW('CASE MASTER'!#REF!)-1)))&amp;TRIM(MID(SUBSTITUTE(SUBSTITUTE(INDEX('CASE MASTER'!$N$2:$N$495,(SUMPRODUCT((('CASE MASTER'!$T$2:$T$495=14)*('CASE MASTER'!$AA$2:$AA$495&lt;=7)*('CASE MASTER'!$AC$2:$AC$495&gt;=7)*('CASE MASTER'!$AB$2:$AB$495&lt;=1)*('CASE MASTER'!$AD$2:$AD$495&gt;=1))*ROW('CASE MASTER'!$T$2:$T$495))-(ROW('CASE MASTER'!#REF!)-1))),":",","),",",REPT(" ",50)),(((INDEX('CASE MASTER'!$Z$2:$Z$495,(SUMPRODUCT((('CASE MASTER'!$T$2:$T$495=14)*('CASE MASTER'!$AA$2:$AA$495&lt;=7)*('CASE MASTER'!$AC$2:$AC$495&gt;=7)*('CASE MASTER'!$AB$2:$AB$495&lt;=1)*('CASE MASTER'!$AD$2:$AD$495&gt;=1))*ROW('CASE MASTER'!$T$2:$T$495))-(ROW('CASE MASTER'!#REF!)-1)))+((7-INDEX('CASE MASTER'!$AA$2:$AA$495,(SUMPRODUCT((('CASE MASTER'!$T$2:$T$495=14)*('CASE MASTER'!$AA$2:$AA$495&lt;=7)*('CASE MASTER'!$AC$2:$AC$495&gt;=7)*('CASE MASTER'!$AB$2:$AB$495&lt;=1)*('CASE MASTER'!$AD$2:$AD$495&gt;=1))*ROW('CASE MASTER'!$T$2:$T$495))-(ROW('CASE MASTER'!#REF!)-1))))*(INDEX('CASE MASTER'!$AD$2:$AD$495,(SUMPRODUCT((('CASE MASTER'!$T$2:$T$495=14)*('CASE MASTER'!$AA$2:$AA$495&lt;=7)*('CASE MASTER'!$AC$2:$AC$495&gt;=7)*('CASE MASTER'!$AB$2:$AB$495&lt;=1)*('CASE MASTER'!$AD$2:$AD$495&gt;=1))*ROW('CASE MASTER'!$T$2:$T$495))-(ROW('CASE MASTER'!#REF!)-1)))-INDEX('CASE MASTER'!$AB$2:$AB$495,(SUMPRODUCT((('CASE MASTER'!$T$2:$T$495=14)*('CASE MASTER'!$AA$2:$AA$495&lt;=7)*('CASE MASTER'!$AC$2:$AC$495&gt;=7)*('CASE MASTER'!$AB$2:$AB$495&lt;=1)*('CASE MASTER'!$AD$2:$AD$495&gt;=1))*ROW('CASE MASTER'!$T$2:$T$495))-(ROW('CASE MASTER'!#REF!)-1)))+1)+(1-INDEX('CASE MASTER'!$AB$2:$AB$495,(SUMPRODUCT((('CASE MASTER'!$T$2:$T$495=14)*('CASE MASTER'!$AA$2:$AA$495&lt;=7)*('CASE MASTER'!$AC$2:$AC$495&gt;=7)*('CASE MASTER'!$AB$2:$AB$495&lt;=1)*('CASE MASTER'!$AD$2:$AD$495&gt;=1))*ROW('CASE MASTER'!$T$2:$T$495))-(ROW('CASE MASTER'!#REF!)-1))))+1)))-1)*50+1,50))&amp;"_"&amp;INDEX('CASE MASTER'!$Q$2:$Q$495,(SUMPRODUCT((('CASE MASTER'!$T$2:$T$495=14)*('CASE MASTER'!$AA$2:$AA$495&lt;=7)*('CASE MASTER'!$AC$2:$AC$495&gt;=7)*('CASE MASTER'!$AB$2:$AB$495&lt;=1)*('CASE MASTER'!$AD$2:$AD$495&gt;=1))*ROW('CASE MASTER'!$T$2:$T$495))-(ROW('CASE MASTER'!#REF!)-1))),"")),"")</f>
        <v/>
      </c>
      <c r="C191" s="10" t="str">
        <f>IFERROR(IF(SUMPRODUCT((('CASE MASTER'!$T$2:$T$495=14)*('CASE MASTER'!$U$2:$U$495&lt;=7)*('CASE MASTER'!$W$2:$W$495&gt;=7)*('CASE MASTER'!$V$2:$V$495&lt;=2)*('CASE MASTER'!$X$2:$X$495&gt;=2))*ROW('CASE MASTER'!$T$2:$T$495))&gt;0,INDEX('CASE MASTER'!$Y$2:$Y$495,(SUMPRODUCT((('CASE MASTER'!$T$2:$T$495=14)*('CASE MASTER'!$U$2:$U$495&lt;=7)*('CASE MASTER'!$W$2:$W$495&gt;=7)*('CASE MASTER'!$V$2:$V$495&lt;=2)*('CASE MASTER'!$X$2:$X$495&gt;=2))*ROW('CASE MASTER'!$T$2:$T$495))-(ROW('CASE MASTER'!#REF!)-1)))&amp;TRIM(MID(SUBSTITUTE(SUBSTITUTE(INDEX('CASE MASTER'!$N$2:$N$495,(SUMPRODUCT((('CASE MASTER'!$T$2:$T$495=14)*('CASE MASTER'!$U$2:$U$495&lt;=7)*('CASE MASTER'!$W$2:$W$495&gt;=7)*('CASE MASTER'!$V$2:$V$495&lt;=2)*('CASE MASTER'!$X$2:$X$495&gt;=2))*ROW('CASE MASTER'!$T$2:$T$495))-(ROW('CASE MASTER'!#REF!)-1))),":",","),",",REPT(" ",50)),((((7-INDEX('CASE MASTER'!$U$2:$U$495,(SUMPRODUCT((('CASE MASTER'!$T$2:$T$495=14)*('CASE MASTER'!$U$2:$U$495&lt;=7)*('CASE MASTER'!$W$2:$W$495&gt;=7)*('CASE MASTER'!$V$2:$V$495&lt;=2)*('CASE MASTER'!$X$2:$X$495&gt;=2))*ROW('CASE MASTER'!$T$2:$T$495))-(ROW('CASE MASTER'!#REF!)-1))))*(INDEX('CASE MASTER'!$X$2:$X$495,(SUMPRODUCT((('CASE MASTER'!$T$2:$T$495=14)*('CASE MASTER'!$U$2:$U$495&lt;=7)*('CASE MASTER'!$W$2:$W$495&gt;=7)*('CASE MASTER'!$V$2:$V$495&lt;=2)*('CASE MASTER'!$X$2:$X$495&gt;=2))*ROW('CASE MASTER'!$T$2:$T$495))-(ROW('CASE MASTER'!#REF!)-1)))-INDEX('CASE MASTER'!$V$2:$V$495,(SUMPRODUCT((('CASE MASTER'!$T$2:$T$495=14)*('CASE MASTER'!$U$2:$U$495&lt;=7)*('CASE MASTER'!$W$2:$W$495&gt;=7)*('CASE MASTER'!$V$2:$V$495&lt;=2)*('CASE MASTER'!$X$2:$X$495&gt;=2))*ROW('CASE MASTER'!$T$2:$T$495))-(ROW('CASE MASTER'!#REF!)-1)))+1)+(2-INDEX('CASE MASTER'!$V$2:$V$495,(SUMPRODUCT((('CASE MASTER'!$T$2:$T$495=14)*('CASE MASTER'!$U$2:$U$495&lt;=7)*('CASE MASTER'!$W$2:$W$495&gt;=7)*('CASE MASTER'!$V$2:$V$495&lt;=2)*('CASE MASTER'!$X$2:$X$495&gt;=2))*ROW('CASE MASTER'!$T$2:$T$495))-(ROW('CASE MASTER'!#REF!)-1))))+1))-1)*50+1,50))&amp;"_"&amp;INDEX('CASE MASTER'!$Q$2:$Q$495,(SUMPRODUCT((('CASE MASTER'!$T$2:$T$495=14)*('CASE MASTER'!$U$2:$U$495&lt;=7)*('CASE MASTER'!$W$2:$W$495&gt;=7)*('CASE MASTER'!$V$2:$V$495&lt;=2)*('CASE MASTER'!$X$2:$X$495&gt;=2))*ROW('CASE MASTER'!$T$2:$T$495))-(ROW('CASE MASTER'!#REF!)-1))),IF(SUMPRODUCT((('CASE MASTER'!$T$2:$T$495=14)*('CASE MASTER'!$AA$2:$AA$495&lt;=7)*('CASE MASTER'!$AC$2:$AC$495&gt;=7)*('CASE MASTER'!$AB$2:$AB$495&lt;=2)*('CASE MASTER'!$AD$2:$AD$495&gt;=2))*ROW('CASE MASTER'!$T$2:$T$495))&gt;0,INDEX('CASE MASTER'!$Y$2:$Y$495,(SUMPRODUCT((('CASE MASTER'!$T$2:$T$495=14)*('CASE MASTER'!$AA$2:$AA$495&lt;=7)*('CASE MASTER'!$AC$2:$AC$495&gt;=7)*('CASE MASTER'!$AB$2:$AB$495&lt;=2)*('CASE MASTER'!$AD$2:$AD$495&gt;=2))*ROW('CASE MASTER'!$T$2:$T$495))-(ROW('CASE MASTER'!#REF!)-1)))&amp;TRIM(MID(SUBSTITUTE(SUBSTITUTE(INDEX('CASE MASTER'!$N$2:$N$495,(SUMPRODUCT((('CASE MASTER'!$T$2:$T$495=14)*('CASE MASTER'!$AA$2:$AA$495&lt;=7)*('CASE MASTER'!$AC$2:$AC$495&gt;=7)*('CASE MASTER'!$AB$2:$AB$495&lt;=2)*('CASE MASTER'!$AD$2:$AD$495&gt;=2))*ROW('CASE MASTER'!$T$2:$T$495))-(ROW('CASE MASTER'!#REF!)-1))),":",","),",",REPT(" ",50)),(((INDEX('CASE MASTER'!$Z$2:$Z$495,(SUMPRODUCT((('CASE MASTER'!$T$2:$T$495=14)*('CASE MASTER'!$AA$2:$AA$495&lt;=7)*('CASE MASTER'!$AC$2:$AC$495&gt;=7)*('CASE MASTER'!$AB$2:$AB$495&lt;=2)*('CASE MASTER'!$AD$2:$AD$495&gt;=2))*ROW('CASE MASTER'!$T$2:$T$495))-(ROW('CASE MASTER'!#REF!)-1)))+((7-INDEX('CASE MASTER'!$AA$2:$AA$495,(SUMPRODUCT((('CASE MASTER'!$T$2:$T$495=14)*('CASE MASTER'!$AA$2:$AA$495&lt;=7)*('CASE MASTER'!$AC$2:$AC$495&gt;=7)*('CASE MASTER'!$AB$2:$AB$495&lt;=2)*('CASE MASTER'!$AD$2:$AD$495&gt;=2))*ROW('CASE MASTER'!$T$2:$T$495))-(ROW('CASE MASTER'!#REF!)-1))))*(INDEX('CASE MASTER'!$AD$2:$AD$495,(SUMPRODUCT((('CASE MASTER'!$T$2:$T$495=14)*('CASE MASTER'!$AA$2:$AA$495&lt;=7)*('CASE MASTER'!$AC$2:$AC$495&gt;=7)*('CASE MASTER'!$AB$2:$AB$495&lt;=2)*('CASE MASTER'!$AD$2:$AD$495&gt;=2))*ROW('CASE MASTER'!$T$2:$T$495))-(ROW('CASE MASTER'!#REF!)-1)))-INDEX('CASE MASTER'!$AB$2:$AB$495,(SUMPRODUCT((('CASE MASTER'!$T$2:$T$495=14)*('CASE MASTER'!$AA$2:$AA$495&lt;=7)*('CASE MASTER'!$AC$2:$AC$495&gt;=7)*('CASE MASTER'!$AB$2:$AB$495&lt;=2)*('CASE MASTER'!$AD$2:$AD$495&gt;=2))*ROW('CASE MASTER'!$T$2:$T$495))-(ROW('CASE MASTER'!#REF!)-1)))+1)+(2-INDEX('CASE MASTER'!$AB$2:$AB$495,(SUMPRODUCT((('CASE MASTER'!$T$2:$T$495=14)*('CASE MASTER'!$AA$2:$AA$495&lt;=7)*('CASE MASTER'!$AC$2:$AC$495&gt;=7)*('CASE MASTER'!$AB$2:$AB$495&lt;=2)*('CASE MASTER'!$AD$2:$AD$495&gt;=2))*ROW('CASE MASTER'!$T$2:$T$495))-(ROW('CASE MASTER'!#REF!)-1))))+1)))-1)*50+1,50))&amp;"_"&amp;INDEX('CASE MASTER'!$Q$2:$Q$495,(SUMPRODUCT((('CASE MASTER'!$T$2:$T$495=14)*('CASE MASTER'!$AA$2:$AA$495&lt;=7)*('CASE MASTER'!$AC$2:$AC$495&gt;=7)*('CASE MASTER'!$AB$2:$AB$495&lt;=2)*('CASE MASTER'!$AD$2:$AD$495&gt;=2))*ROW('CASE MASTER'!$T$2:$T$495))-(ROW('CASE MASTER'!#REF!)-1))),"")),"")</f>
        <v/>
      </c>
      <c r="D191" s="10" t="str">
        <f>IFERROR(IF(SUMPRODUCT((('CASE MASTER'!$T$2:$T$495=14)*('CASE MASTER'!$U$2:$U$495&lt;=7)*('CASE MASTER'!$W$2:$W$495&gt;=7)*('CASE MASTER'!$V$2:$V$495&lt;=3)*('CASE MASTER'!$X$2:$X$495&gt;=3))*ROW('CASE MASTER'!$T$2:$T$495))&gt;0,INDEX('CASE MASTER'!$Y$2:$Y$495,(SUMPRODUCT((('CASE MASTER'!$T$2:$T$495=14)*('CASE MASTER'!$U$2:$U$495&lt;=7)*('CASE MASTER'!$W$2:$W$495&gt;=7)*('CASE MASTER'!$V$2:$V$495&lt;=3)*('CASE MASTER'!$X$2:$X$495&gt;=3))*ROW('CASE MASTER'!$T$2:$T$495))-(ROW('CASE MASTER'!#REF!)-1)))&amp;TRIM(MID(SUBSTITUTE(SUBSTITUTE(INDEX('CASE MASTER'!$N$2:$N$495,(SUMPRODUCT((('CASE MASTER'!$T$2:$T$495=14)*('CASE MASTER'!$U$2:$U$495&lt;=7)*('CASE MASTER'!$W$2:$W$495&gt;=7)*('CASE MASTER'!$V$2:$V$495&lt;=3)*('CASE MASTER'!$X$2:$X$495&gt;=3))*ROW('CASE MASTER'!$T$2:$T$495))-(ROW('CASE MASTER'!#REF!)-1))),":",","),",",REPT(" ",50)),((((7-INDEX('CASE MASTER'!$U$2:$U$495,(SUMPRODUCT((('CASE MASTER'!$T$2:$T$495=14)*('CASE MASTER'!$U$2:$U$495&lt;=7)*('CASE MASTER'!$W$2:$W$495&gt;=7)*('CASE MASTER'!$V$2:$V$495&lt;=3)*('CASE MASTER'!$X$2:$X$495&gt;=3))*ROW('CASE MASTER'!$T$2:$T$495))-(ROW('CASE MASTER'!#REF!)-1))))*(INDEX('CASE MASTER'!$X$2:$X$495,(SUMPRODUCT((('CASE MASTER'!$T$2:$T$495=14)*('CASE MASTER'!$U$2:$U$495&lt;=7)*('CASE MASTER'!$W$2:$W$495&gt;=7)*('CASE MASTER'!$V$2:$V$495&lt;=3)*('CASE MASTER'!$X$2:$X$495&gt;=3))*ROW('CASE MASTER'!$T$2:$T$495))-(ROW('CASE MASTER'!#REF!)-1)))-INDEX('CASE MASTER'!$V$2:$V$495,(SUMPRODUCT((('CASE MASTER'!$T$2:$T$495=14)*('CASE MASTER'!$U$2:$U$495&lt;=7)*('CASE MASTER'!$W$2:$W$495&gt;=7)*('CASE MASTER'!$V$2:$V$495&lt;=3)*('CASE MASTER'!$X$2:$X$495&gt;=3))*ROW('CASE MASTER'!$T$2:$T$495))-(ROW('CASE MASTER'!#REF!)-1)))+1)+(3-INDEX('CASE MASTER'!$V$2:$V$495,(SUMPRODUCT((('CASE MASTER'!$T$2:$T$495=14)*('CASE MASTER'!$U$2:$U$495&lt;=7)*('CASE MASTER'!$W$2:$W$495&gt;=7)*('CASE MASTER'!$V$2:$V$495&lt;=3)*('CASE MASTER'!$X$2:$X$495&gt;=3))*ROW('CASE MASTER'!$T$2:$T$495))-(ROW('CASE MASTER'!#REF!)-1))))+1))-1)*50+1,50))&amp;"_"&amp;INDEX('CASE MASTER'!$Q$2:$Q$495,(SUMPRODUCT((('CASE MASTER'!$T$2:$T$495=14)*('CASE MASTER'!$U$2:$U$495&lt;=7)*('CASE MASTER'!$W$2:$W$495&gt;=7)*('CASE MASTER'!$V$2:$V$495&lt;=3)*('CASE MASTER'!$X$2:$X$495&gt;=3))*ROW('CASE MASTER'!$T$2:$T$495))-(ROW('CASE MASTER'!#REF!)-1))),IF(SUMPRODUCT((('CASE MASTER'!$T$2:$T$495=14)*('CASE MASTER'!$AA$2:$AA$495&lt;=7)*('CASE MASTER'!$AC$2:$AC$495&gt;=7)*('CASE MASTER'!$AB$2:$AB$495&lt;=3)*('CASE MASTER'!$AD$2:$AD$495&gt;=3))*ROW('CASE MASTER'!$T$2:$T$495))&gt;0,INDEX('CASE MASTER'!$Y$2:$Y$495,(SUMPRODUCT((('CASE MASTER'!$T$2:$T$495=14)*('CASE MASTER'!$AA$2:$AA$495&lt;=7)*('CASE MASTER'!$AC$2:$AC$495&gt;=7)*('CASE MASTER'!$AB$2:$AB$495&lt;=3)*('CASE MASTER'!$AD$2:$AD$495&gt;=3))*ROW('CASE MASTER'!$T$2:$T$495))-(ROW('CASE MASTER'!#REF!)-1)))&amp;TRIM(MID(SUBSTITUTE(SUBSTITUTE(INDEX('CASE MASTER'!$N$2:$N$495,(SUMPRODUCT((('CASE MASTER'!$T$2:$T$495=14)*('CASE MASTER'!$AA$2:$AA$495&lt;=7)*('CASE MASTER'!$AC$2:$AC$495&gt;=7)*('CASE MASTER'!$AB$2:$AB$495&lt;=3)*('CASE MASTER'!$AD$2:$AD$495&gt;=3))*ROW('CASE MASTER'!$T$2:$T$495))-(ROW('CASE MASTER'!#REF!)-1))),":",","),",",REPT(" ",50)),(((INDEX('CASE MASTER'!$Z$2:$Z$495,(SUMPRODUCT((('CASE MASTER'!$T$2:$T$495=14)*('CASE MASTER'!$AA$2:$AA$495&lt;=7)*('CASE MASTER'!$AC$2:$AC$495&gt;=7)*('CASE MASTER'!$AB$2:$AB$495&lt;=3)*('CASE MASTER'!$AD$2:$AD$495&gt;=3))*ROW('CASE MASTER'!$T$2:$T$495))-(ROW('CASE MASTER'!#REF!)-1)))+((7-INDEX('CASE MASTER'!$AA$2:$AA$495,(SUMPRODUCT((('CASE MASTER'!$T$2:$T$495=14)*('CASE MASTER'!$AA$2:$AA$495&lt;=7)*('CASE MASTER'!$AC$2:$AC$495&gt;=7)*('CASE MASTER'!$AB$2:$AB$495&lt;=3)*('CASE MASTER'!$AD$2:$AD$495&gt;=3))*ROW('CASE MASTER'!$T$2:$T$495))-(ROW('CASE MASTER'!#REF!)-1))))*(INDEX('CASE MASTER'!$AD$2:$AD$495,(SUMPRODUCT((('CASE MASTER'!$T$2:$T$495=14)*('CASE MASTER'!$AA$2:$AA$495&lt;=7)*('CASE MASTER'!$AC$2:$AC$495&gt;=7)*('CASE MASTER'!$AB$2:$AB$495&lt;=3)*('CASE MASTER'!$AD$2:$AD$495&gt;=3))*ROW('CASE MASTER'!$T$2:$T$495))-(ROW('CASE MASTER'!#REF!)-1)))-INDEX('CASE MASTER'!$AB$2:$AB$495,(SUMPRODUCT((('CASE MASTER'!$T$2:$T$495=14)*('CASE MASTER'!$AA$2:$AA$495&lt;=7)*('CASE MASTER'!$AC$2:$AC$495&gt;=7)*('CASE MASTER'!$AB$2:$AB$495&lt;=3)*('CASE MASTER'!$AD$2:$AD$495&gt;=3))*ROW('CASE MASTER'!$T$2:$T$495))-(ROW('CASE MASTER'!#REF!)-1)))+1)+(3-INDEX('CASE MASTER'!$AB$2:$AB$495,(SUMPRODUCT((('CASE MASTER'!$T$2:$T$495=14)*('CASE MASTER'!$AA$2:$AA$495&lt;=7)*('CASE MASTER'!$AC$2:$AC$495&gt;=7)*('CASE MASTER'!$AB$2:$AB$495&lt;=3)*('CASE MASTER'!$AD$2:$AD$495&gt;=3))*ROW('CASE MASTER'!$T$2:$T$495))-(ROW('CASE MASTER'!#REF!)-1))))+1)))-1)*50+1,50))&amp;"_"&amp;INDEX('CASE MASTER'!$Q$2:$Q$495,(SUMPRODUCT((('CASE MASTER'!$T$2:$T$495=14)*('CASE MASTER'!$AA$2:$AA$495&lt;=7)*('CASE MASTER'!$AC$2:$AC$495&gt;=7)*('CASE MASTER'!$AB$2:$AB$495&lt;=3)*('CASE MASTER'!$AD$2:$AD$495&gt;=3))*ROW('CASE MASTER'!$T$2:$T$495))-(ROW('CASE MASTER'!#REF!)-1))),"")),"")</f>
        <v/>
      </c>
      <c r="E191" s="10" t="str">
        <f>IFERROR(IF(SUMPRODUCT((('CASE MASTER'!$T$2:$T$495=14)*('CASE MASTER'!$U$2:$U$495&lt;=7)*('CASE MASTER'!$W$2:$W$495&gt;=7)*('CASE MASTER'!$V$2:$V$495&lt;=4)*('CASE MASTER'!$X$2:$X$495&gt;=4))*ROW('CASE MASTER'!$T$2:$T$495))&gt;0,INDEX('CASE MASTER'!$Y$2:$Y$495,(SUMPRODUCT((('CASE MASTER'!$T$2:$T$495=14)*('CASE MASTER'!$U$2:$U$495&lt;=7)*('CASE MASTER'!$W$2:$W$495&gt;=7)*('CASE MASTER'!$V$2:$V$495&lt;=4)*('CASE MASTER'!$X$2:$X$495&gt;=4))*ROW('CASE MASTER'!$T$2:$T$495))-(ROW('CASE MASTER'!#REF!)-1)))&amp;TRIM(MID(SUBSTITUTE(SUBSTITUTE(INDEX('CASE MASTER'!$N$2:$N$495,(SUMPRODUCT((('CASE MASTER'!$T$2:$T$495=14)*('CASE MASTER'!$U$2:$U$495&lt;=7)*('CASE MASTER'!$W$2:$W$495&gt;=7)*('CASE MASTER'!$V$2:$V$495&lt;=4)*('CASE MASTER'!$X$2:$X$495&gt;=4))*ROW('CASE MASTER'!$T$2:$T$495))-(ROW('CASE MASTER'!#REF!)-1))),":",","),",",REPT(" ",50)),((((7-INDEX('CASE MASTER'!$U$2:$U$495,(SUMPRODUCT((('CASE MASTER'!$T$2:$T$495=14)*('CASE MASTER'!$U$2:$U$495&lt;=7)*('CASE MASTER'!$W$2:$W$495&gt;=7)*('CASE MASTER'!$V$2:$V$495&lt;=4)*('CASE MASTER'!$X$2:$X$495&gt;=4))*ROW('CASE MASTER'!$T$2:$T$495))-(ROW('CASE MASTER'!#REF!)-1))))*(INDEX('CASE MASTER'!$X$2:$X$495,(SUMPRODUCT((('CASE MASTER'!$T$2:$T$495=14)*('CASE MASTER'!$U$2:$U$495&lt;=7)*('CASE MASTER'!$W$2:$W$495&gt;=7)*('CASE MASTER'!$V$2:$V$495&lt;=4)*('CASE MASTER'!$X$2:$X$495&gt;=4))*ROW('CASE MASTER'!$T$2:$T$495))-(ROW('CASE MASTER'!#REF!)-1)))-INDEX('CASE MASTER'!$V$2:$V$495,(SUMPRODUCT((('CASE MASTER'!$T$2:$T$495=14)*('CASE MASTER'!$U$2:$U$495&lt;=7)*('CASE MASTER'!$W$2:$W$495&gt;=7)*('CASE MASTER'!$V$2:$V$495&lt;=4)*('CASE MASTER'!$X$2:$X$495&gt;=4))*ROW('CASE MASTER'!$T$2:$T$495))-(ROW('CASE MASTER'!#REF!)-1)))+1)+(4-INDEX('CASE MASTER'!$V$2:$V$495,(SUMPRODUCT((('CASE MASTER'!$T$2:$T$495=14)*('CASE MASTER'!$U$2:$U$495&lt;=7)*('CASE MASTER'!$W$2:$W$495&gt;=7)*('CASE MASTER'!$V$2:$V$495&lt;=4)*('CASE MASTER'!$X$2:$X$495&gt;=4))*ROW('CASE MASTER'!$T$2:$T$495))-(ROW('CASE MASTER'!#REF!)-1))))+1))-1)*50+1,50))&amp;"_"&amp;INDEX('CASE MASTER'!$Q$2:$Q$495,(SUMPRODUCT((('CASE MASTER'!$T$2:$T$495=14)*('CASE MASTER'!$U$2:$U$495&lt;=7)*('CASE MASTER'!$W$2:$W$495&gt;=7)*('CASE MASTER'!$V$2:$V$495&lt;=4)*('CASE MASTER'!$X$2:$X$495&gt;=4))*ROW('CASE MASTER'!$T$2:$T$495))-(ROW('CASE MASTER'!#REF!)-1))),IF(SUMPRODUCT((('CASE MASTER'!$T$2:$T$495=14)*('CASE MASTER'!$AA$2:$AA$495&lt;=7)*('CASE MASTER'!$AC$2:$AC$495&gt;=7)*('CASE MASTER'!$AB$2:$AB$495&lt;=4)*('CASE MASTER'!$AD$2:$AD$495&gt;=4))*ROW('CASE MASTER'!$T$2:$T$495))&gt;0,INDEX('CASE MASTER'!$Y$2:$Y$495,(SUMPRODUCT((('CASE MASTER'!$T$2:$T$495=14)*('CASE MASTER'!$AA$2:$AA$495&lt;=7)*('CASE MASTER'!$AC$2:$AC$495&gt;=7)*('CASE MASTER'!$AB$2:$AB$495&lt;=4)*('CASE MASTER'!$AD$2:$AD$495&gt;=4))*ROW('CASE MASTER'!$T$2:$T$495))-(ROW('CASE MASTER'!#REF!)-1)))&amp;TRIM(MID(SUBSTITUTE(SUBSTITUTE(INDEX('CASE MASTER'!$N$2:$N$495,(SUMPRODUCT((('CASE MASTER'!$T$2:$T$495=14)*('CASE MASTER'!$AA$2:$AA$495&lt;=7)*('CASE MASTER'!$AC$2:$AC$495&gt;=7)*('CASE MASTER'!$AB$2:$AB$495&lt;=4)*('CASE MASTER'!$AD$2:$AD$495&gt;=4))*ROW('CASE MASTER'!$T$2:$T$495))-(ROW('CASE MASTER'!#REF!)-1))),":",","),",",REPT(" ",50)),(((INDEX('CASE MASTER'!$Z$2:$Z$495,(SUMPRODUCT((('CASE MASTER'!$T$2:$T$495=14)*('CASE MASTER'!$AA$2:$AA$495&lt;=7)*('CASE MASTER'!$AC$2:$AC$495&gt;=7)*('CASE MASTER'!$AB$2:$AB$495&lt;=4)*('CASE MASTER'!$AD$2:$AD$495&gt;=4))*ROW('CASE MASTER'!$T$2:$T$495))-(ROW('CASE MASTER'!#REF!)-1)))+((7-INDEX('CASE MASTER'!$AA$2:$AA$495,(SUMPRODUCT((('CASE MASTER'!$T$2:$T$495=14)*('CASE MASTER'!$AA$2:$AA$495&lt;=7)*('CASE MASTER'!$AC$2:$AC$495&gt;=7)*('CASE MASTER'!$AB$2:$AB$495&lt;=4)*('CASE MASTER'!$AD$2:$AD$495&gt;=4))*ROW('CASE MASTER'!$T$2:$T$495))-(ROW('CASE MASTER'!#REF!)-1))))*(INDEX('CASE MASTER'!$AD$2:$AD$495,(SUMPRODUCT((('CASE MASTER'!$T$2:$T$495=14)*('CASE MASTER'!$AA$2:$AA$495&lt;=7)*('CASE MASTER'!$AC$2:$AC$495&gt;=7)*('CASE MASTER'!$AB$2:$AB$495&lt;=4)*('CASE MASTER'!$AD$2:$AD$495&gt;=4))*ROW('CASE MASTER'!$T$2:$T$495))-(ROW('CASE MASTER'!#REF!)-1)))-INDEX('CASE MASTER'!$AB$2:$AB$495,(SUMPRODUCT((('CASE MASTER'!$T$2:$T$495=14)*('CASE MASTER'!$AA$2:$AA$495&lt;=7)*('CASE MASTER'!$AC$2:$AC$495&gt;=7)*('CASE MASTER'!$AB$2:$AB$495&lt;=4)*('CASE MASTER'!$AD$2:$AD$495&gt;=4))*ROW('CASE MASTER'!$T$2:$T$495))-(ROW('CASE MASTER'!#REF!)-1)))+1)+(4-INDEX('CASE MASTER'!$AB$2:$AB$495,(SUMPRODUCT((('CASE MASTER'!$T$2:$T$495=14)*('CASE MASTER'!$AA$2:$AA$495&lt;=7)*('CASE MASTER'!$AC$2:$AC$495&gt;=7)*('CASE MASTER'!$AB$2:$AB$495&lt;=4)*('CASE MASTER'!$AD$2:$AD$495&gt;=4))*ROW('CASE MASTER'!$T$2:$T$495))-(ROW('CASE MASTER'!#REF!)-1))))+1)))-1)*50+1,50))&amp;"_"&amp;INDEX('CASE MASTER'!$Q$2:$Q$495,(SUMPRODUCT((('CASE MASTER'!$T$2:$T$495=14)*('CASE MASTER'!$AA$2:$AA$495&lt;=7)*('CASE MASTER'!$AC$2:$AC$495&gt;=7)*('CASE MASTER'!$AB$2:$AB$495&lt;=4)*('CASE MASTER'!$AD$2:$AD$495&gt;=4))*ROW('CASE MASTER'!$T$2:$T$495))-(ROW('CASE MASTER'!#REF!)-1))),"")),"")</f>
        <v/>
      </c>
      <c r="F191" s="10" t="str">
        <f>IFERROR(IF(SUMPRODUCT((('CASE MASTER'!$T$2:$T$495=14)*('CASE MASTER'!$U$2:$U$495&lt;=7)*('CASE MASTER'!$W$2:$W$495&gt;=7)*('CASE MASTER'!$V$2:$V$495&lt;=5)*('CASE MASTER'!$X$2:$X$495&gt;=5))*ROW('CASE MASTER'!$T$2:$T$495))&gt;0,INDEX('CASE MASTER'!$Y$2:$Y$495,(SUMPRODUCT((('CASE MASTER'!$T$2:$T$495=14)*('CASE MASTER'!$U$2:$U$495&lt;=7)*('CASE MASTER'!$W$2:$W$495&gt;=7)*('CASE MASTER'!$V$2:$V$495&lt;=5)*('CASE MASTER'!$X$2:$X$495&gt;=5))*ROW('CASE MASTER'!$T$2:$T$495))-(ROW('CASE MASTER'!#REF!)-1)))&amp;TRIM(MID(SUBSTITUTE(SUBSTITUTE(INDEX('CASE MASTER'!$N$2:$N$495,(SUMPRODUCT((('CASE MASTER'!$T$2:$T$495=14)*('CASE MASTER'!$U$2:$U$495&lt;=7)*('CASE MASTER'!$W$2:$W$495&gt;=7)*('CASE MASTER'!$V$2:$V$495&lt;=5)*('CASE MASTER'!$X$2:$X$495&gt;=5))*ROW('CASE MASTER'!$T$2:$T$495))-(ROW('CASE MASTER'!#REF!)-1))),":",","),",",REPT(" ",50)),((((7-INDEX('CASE MASTER'!$U$2:$U$495,(SUMPRODUCT((('CASE MASTER'!$T$2:$T$495=14)*('CASE MASTER'!$U$2:$U$495&lt;=7)*('CASE MASTER'!$W$2:$W$495&gt;=7)*('CASE MASTER'!$V$2:$V$495&lt;=5)*('CASE MASTER'!$X$2:$X$495&gt;=5))*ROW('CASE MASTER'!$T$2:$T$495))-(ROW('CASE MASTER'!#REF!)-1))))*(INDEX('CASE MASTER'!$X$2:$X$495,(SUMPRODUCT((('CASE MASTER'!$T$2:$T$495=14)*('CASE MASTER'!$U$2:$U$495&lt;=7)*('CASE MASTER'!$W$2:$W$495&gt;=7)*('CASE MASTER'!$V$2:$V$495&lt;=5)*('CASE MASTER'!$X$2:$X$495&gt;=5))*ROW('CASE MASTER'!$T$2:$T$495))-(ROW('CASE MASTER'!#REF!)-1)))-INDEX('CASE MASTER'!$V$2:$V$495,(SUMPRODUCT((('CASE MASTER'!$T$2:$T$495=14)*('CASE MASTER'!$U$2:$U$495&lt;=7)*('CASE MASTER'!$W$2:$W$495&gt;=7)*('CASE MASTER'!$V$2:$V$495&lt;=5)*('CASE MASTER'!$X$2:$X$495&gt;=5))*ROW('CASE MASTER'!$T$2:$T$495))-(ROW('CASE MASTER'!#REF!)-1)))+1)+(5-INDEX('CASE MASTER'!$V$2:$V$495,(SUMPRODUCT((('CASE MASTER'!$T$2:$T$495=14)*('CASE MASTER'!$U$2:$U$495&lt;=7)*('CASE MASTER'!$W$2:$W$495&gt;=7)*('CASE MASTER'!$V$2:$V$495&lt;=5)*('CASE MASTER'!$X$2:$X$495&gt;=5))*ROW('CASE MASTER'!$T$2:$T$495))-(ROW('CASE MASTER'!#REF!)-1))))+1))-1)*50+1,50))&amp;"_"&amp;INDEX('CASE MASTER'!$Q$2:$Q$495,(SUMPRODUCT((('CASE MASTER'!$T$2:$T$495=14)*('CASE MASTER'!$U$2:$U$495&lt;=7)*('CASE MASTER'!$W$2:$W$495&gt;=7)*('CASE MASTER'!$V$2:$V$495&lt;=5)*('CASE MASTER'!$X$2:$X$495&gt;=5))*ROW('CASE MASTER'!$T$2:$T$495))-(ROW('CASE MASTER'!#REF!)-1))),IF(SUMPRODUCT((('CASE MASTER'!$T$2:$T$495=14)*('CASE MASTER'!$AA$2:$AA$495&lt;=7)*('CASE MASTER'!$AC$2:$AC$495&gt;=7)*('CASE MASTER'!$AB$2:$AB$495&lt;=5)*('CASE MASTER'!$AD$2:$AD$495&gt;=5))*ROW('CASE MASTER'!$T$2:$T$495))&gt;0,INDEX('CASE MASTER'!$Y$2:$Y$495,(SUMPRODUCT((('CASE MASTER'!$T$2:$T$495=14)*('CASE MASTER'!$AA$2:$AA$495&lt;=7)*('CASE MASTER'!$AC$2:$AC$495&gt;=7)*('CASE MASTER'!$AB$2:$AB$495&lt;=5)*('CASE MASTER'!$AD$2:$AD$495&gt;=5))*ROW('CASE MASTER'!$T$2:$T$495))-(ROW('CASE MASTER'!#REF!)-1)))&amp;TRIM(MID(SUBSTITUTE(SUBSTITUTE(INDEX('CASE MASTER'!$N$2:$N$495,(SUMPRODUCT((('CASE MASTER'!$T$2:$T$495=14)*('CASE MASTER'!$AA$2:$AA$495&lt;=7)*('CASE MASTER'!$AC$2:$AC$495&gt;=7)*('CASE MASTER'!$AB$2:$AB$495&lt;=5)*('CASE MASTER'!$AD$2:$AD$495&gt;=5))*ROW('CASE MASTER'!$T$2:$T$495))-(ROW('CASE MASTER'!#REF!)-1))),":",","),",",REPT(" ",50)),(((INDEX('CASE MASTER'!$Z$2:$Z$495,(SUMPRODUCT((('CASE MASTER'!$T$2:$T$495=14)*('CASE MASTER'!$AA$2:$AA$495&lt;=7)*('CASE MASTER'!$AC$2:$AC$495&gt;=7)*('CASE MASTER'!$AB$2:$AB$495&lt;=5)*('CASE MASTER'!$AD$2:$AD$495&gt;=5))*ROW('CASE MASTER'!$T$2:$T$495))-(ROW('CASE MASTER'!#REF!)-1)))+((7-INDEX('CASE MASTER'!$AA$2:$AA$495,(SUMPRODUCT((('CASE MASTER'!$T$2:$T$495=14)*('CASE MASTER'!$AA$2:$AA$495&lt;=7)*('CASE MASTER'!$AC$2:$AC$495&gt;=7)*('CASE MASTER'!$AB$2:$AB$495&lt;=5)*('CASE MASTER'!$AD$2:$AD$495&gt;=5))*ROW('CASE MASTER'!$T$2:$T$495))-(ROW('CASE MASTER'!#REF!)-1))))*(INDEX('CASE MASTER'!$AD$2:$AD$495,(SUMPRODUCT((('CASE MASTER'!$T$2:$T$495=14)*('CASE MASTER'!$AA$2:$AA$495&lt;=7)*('CASE MASTER'!$AC$2:$AC$495&gt;=7)*('CASE MASTER'!$AB$2:$AB$495&lt;=5)*('CASE MASTER'!$AD$2:$AD$495&gt;=5))*ROW('CASE MASTER'!$T$2:$T$495))-(ROW('CASE MASTER'!#REF!)-1)))-INDEX('CASE MASTER'!$AB$2:$AB$495,(SUMPRODUCT((('CASE MASTER'!$T$2:$T$495=14)*('CASE MASTER'!$AA$2:$AA$495&lt;=7)*('CASE MASTER'!$AC$2:$AC$495&gt;=7)*('CASE MASTER'!$AB$2:$AB$495&lt;=5)*('CASE MASTER'!$AD$2:$AD$495&gt;=5))*ROW('CASE MASTER'!$T$2:$T$495))-(ROW('CASE MASTER'!#REF!)-1)))+1)+(5-INDEX('CASE MASTER'!$AB$2:$AB$495,(SUMPRODUCT((('CASE MASTER'!$T$2:$T$495=14)*('CASE MASTER'!$AA$2:$AA$495&lt;=7)*('CASE MASTER'!$AC$2:$AC$495&gt;=7)*('CASE MASTER'!$AB$2:$AB$495&lt;=5)*('CASE MASTER'!$AD$2:$AD$495&gt;=5))*ROW('CASE MASTER'!$T$2:$T$495))-(ROW('CASE MASTER'!#REF!)-1))))+1)))-1)*50+1,50))&amp;"_"&amp;INDEX('CASE MASTER'!$Q$2:$Q$495,(SUMPRODUCT((('CASE MASTER'!$T$2:$T$495=14)*('CASE MASTER'!$AA$2:$AA$495&lt;=7)*('CASE MASTER'!$AC$2:$AC$495&gt;=7)*('CASE MASTER'!$AB$2:$AB$495&lt;=5)*('CASE MASTER'!$AD$2:$AD$495&gt;=5))*ROW('CASE MASTER'!$T$2:$T$495))-(ROW('CASE MASTER'!#REF!)-1))),"")),"")</f>
        <v/>
      </c>
      <c r="G191" s="10" t="str">
        <f>IFERROR(IF(SUMPRODUCT((('CASE MASTER'!$T$2:$T$495=14)*('CASE MASTER'!$U$2:$U$495&lt;=7)*('CASE MASTER'!$W$2:$W$495&gt;=7)*('CASE MASTER'!$V$2:$V$495&lt;=6)*('CASE MASTER'!$X$2:$X$495&gt;=6))*ROW('CASE MASTER'!$T$2:$T$495))&gt;0,INDEX('CASE MASTER'!$Y$2:$Y$495,(SUMPRODUCT((('CASE MASTER'!$T$2:$T$495=14)*('CASE MASTER'!$U$2:$U$495&lt;=7)*('CASE MASTER'!$W$2:$W$495&gt;=7)*('CASE MASTER'!$V$2:$V$495&lt;=6)*('CASE MASTER'!$X$2:$X$495&gt;=6))*ROW('CASE MASTER'!$T$2:$T$495))-(ROW('CASE MASTER'!#REF!)-1)))&amp;TRIM(MID(SUBSTITUTE(SUBSTITUTE(INDEX('CASE MASTER'!$N$2:$N$495,(SUMPRODUCT((('CASE MASTER'!$T$2:$T$495=14)*('CASE MASTER'!$U$2:$U$495&lt;=7)*('CASE MASTER'!$W$2:$W$495&gt;=7)*('CASE MASTER'!$V$2:$V$495&lt;=6)*('CASE MASTER'!$X$2:$X$495&gt;=6))*ROW('CASE MASTER'!$T$2:$T$495))-(ROW('CASE MASTER'!#REF!)-1))),":",","),",",REPT(" ",50)),((((7-INDEX('CASE MASTER'!$U$2:$U$495,(SUMPRODUCT((('CASE MASTER'!$T$2:$T$495=14)*('CASE MASTER'!$U$2:$U$495&lt;=7)*('CASE MASTER'!$W$2:$W$495&gt;=7)*('CASE MASTER'!$V$2:$V$495&lt;=6)*('CASE MASTER'!$X$2:$X$495&gt;=6))*ROW('CASE MASTER'!$T$2:$T$495))-(ROW('CASE MASTER'!#REF!)-1))))*(INDEX('CASE MASTER'!$X$2:$X$495,(SUMPRODUCT((('CASE MASTER'!$T$2:$T$495=14)*('CASE MASTER'!$U$2:$U$495&lt;=7)*('CASE MASTER'!$W$2:$W$495&gt;=7)*('CASE MASTER'!$V$2:$V$495&lt;=6)*('CASE MASTER'!$X$2:$X$495&gt;=6))*ROW('CASE MASTER'!$T$2:$T$495))-(ROW('CASE MASTER'!#REF!)-1)))-INDEX('CASE MASTER'!$V$2:$V$495,(SUMPRODUCT((('CASE MASTER'!$T$2:$T$495=14)*('CASE MASTER'!$U$2:$U$495&lt;=7)*('CASE MASTER'!$W$2:$W$495&gt;=7)*('CASE MASTER'!$V$2:$V$495&lt;=6)*('CASE MASTER'!$X$2:$X$495&gt;=6))*ROW('CASE MASTER'!$T$2:$T$495))-(ROW('CASE MASTER'!#REF!)-1)))+1)+(6-INDEX('CASE MASTER'!$V$2:$V$495,(SUMPRODUCT((('CASE MASTER'!$T$2:$T$495=14)*('CASE MASTER'!$U$2:$U$495&lt;=7)*('CASE MASTER'!$W$2:$W$495&gt;=7)*('CASE MASTER'!$V$2:$V$495&lt;=6)*('CASE MASTER'!$X$2:$X$495&gt;=6))*ROW('CASE MASTER'!$T$2:$T$495))-(ROW('CASE MASTER'!#REF!)-1))))+1))-1)*50+1,50))&amp;"_"&amp;INDEX('CASE MASTER'!$Q$2:$Q$495,(SUMPRODUCT((('CASE MASTER'!$T$2:$T$495=14)*('CASE MASTER'!$U$2:$U$495&lt;=7)*('CASE MASTER'!$W$2:$W$495&gt;=7)*('CASE MASTER'!$V$2:$V$495&lt;=6)*('CASE MASTER'!$X$2:$X$495&gt;=6))*ROW('CASE MASTER'!$T$2:$T$495))-(ROW('CASE MASTER'!#REF!)-1))),IF(SUMPRODUCT((('CASE MASTER'!$T$2:$T$495=14)*('CASE MASTER'!$AA$2:$AA$495&lt;=7)*('CASE MASTER'!$AC$2:$AC$495&gt;=7)*('CASE MASTER'!$AB$2:$AB$495&lt;=6)*('CASE MASTER'!$AD$2:$AD$495&gt;=6))*ROW('CASE MASTER'!$T$2:$T$495))&gt;0,INDEX('CASE MASTER'!$Y$2:$Y$495,(SUMPRODUCT((('CASE MASTER'!$T$2:$T$495=14)*('CASE MASTER'!$AA$2:$AA$495&lt;=7)*('CASE MASTER'!$AC$2:$AC$495&gt;=7)*('CASE MASTER'!$AB$2:$AB$495&lt;=6)*('CASE MASTER'!$AD$2:$AD$495&gt;=6))*ROW('CASE MASTER'!$T$2:$T$495))-(ROW('CASE MASTER'!#REF!)-1)))&amp;TRIM(MID(SUBSTITUTE(SUBSTITUTE(INDEX('CASE MASTER'!$N$2:$N$495,(SUMPRODUCT((('CASE MASTER'!$T$2:$T$495=14)*('CASE MASTER'!$AA$2:$AA$495&lt;=7)*('CASE MASTER'!$AC$2:$AC$495&gt;=7)*('CASE MASTER'!$AB$2:$AB$495&lt;=6)*('CASE MASTER'!$AD$2:$AD$495&gt;=6))*ROW('CASE MASTER'!$T$2:$T$495))-(ROW('CASE MASTER'!#REF!)-1))),":",","),",",REPT(" ",50)),(((INDEX('CASE MASTER'!$Z$2:$Z$495,(SUMPRODUCT((('CASE MASTER'!$T$2:$T$495=14)*('CASE MASTER'!$AA$2:$AA$495&lt;=7)*('CASE MASTER'!$AC$2:$AC$495&gt;=7)*('CASE MASTER'!$AB$2:$AB$495&lt;=6)*('CASE MASTER'!$AD$2:$AD$495&gt;=6))*ROW('CASE MASTER'!$T$2:$T$495))-(ROW('CASE MASTER'!#REF!)-1)))+((7-INDEX('CASE MASTER'!$AA$2:$AA$495,(SUMPRODUCT((('CASE MASTER'!$T$2:$T$495=14)*('CASE MASTER'!$AA$2:$AA$495&lt;=7)*('CASE MASTER'!$AC$2:$AC$495&gt;=7)*('CASE MASTER'!$AB$2:$AB$495&lt;=6)*('CASE MASTER'!$AD$2:$AD$495&gt;=6))*ROW('CASE MASTER'!$T$2:$T$495))-(ROW('CASE MASTER'!#REF!)-1))))*(INDEX('CASE MASTER'!$AD$2:$AD$495,(SUMPRODUCT((('CASE MASTER'!$T$2:$T$495=14)*('CASE MASTER'!$AA$2:$AA$495&lt;=7)*('CASE MASTER'!$AC$2:$AC$495&gt;=7)*('CASE MASTER'!$AB$2:$AB$495&lt;=6)*('CASE MASTER'!$AD$2:$AD$495&gt;=6))*ROW('CASE MASTER'!$T$2:$T$495))-(ROW('CASE MASTER'!#REF!)-1)))-INDEX('CASE MASTER'!$AB$2:$AB$495,(SUMPRODUCT((('CASE MASTER'!$T$2:$T$495=14)*('CASE MASTER'!$AA$2:$AA$495&lt;=7)*('CASE MASTER'!$AC$2:$AC$495&gt;=7)*('CASE MASTER'!$AB$2:$AB$495&lt;=6)*('CASE MASTER'!$AD$2:$AD$495&gt;=6))*ROW('CASE MASTER'!$T$2:$T$495))-(ROW('CASE MASTER'!#REF!)-1)))+1)+(6-INDEX('CASE MASTER'!$AB$2:$AB$495,(SUMPRODUCT((('CASE MASTER'!$T$2:$T$495=14)*('CASE MASTER'!$AA$2:$AA$495&lt;=7)*('CASE MASTER'!$AC$2:$AC$495&gt;=7)*('CASE MASTER'!$AB$2:$AB$495&lt;=6)*('CASE MASTER'!$AD$2:$AD$495&gt;=6))*ROW('CASE MASTER'!$T$2:$T$495))-(ROW('CASE MASTER'!#REF!)-1))))+1)))-1)*50+1,50))&amp;"_"&amp;INDEX('CASE MASTER'!$Q$2:$Q$495,(SUMPRODUCT((('CASE MASTER'!$T$2:$T$495=14)*('CASE MASTER'!$AA$2:$AA$495&lt;=7)*('CASE MASTER'!$AC$2:$AC$495&gt;=7)*('CASE MASTER'!$AB$2:$AB$495&lt;=6)*('CASE MASTER'!$AD$2:$AD$495&gt;=6))*ROW('CASE MASTER'!$T$2:$T$495))-(ROW('CASE MASTER'!#REF!)-1))),"")),"")</f>
        <v/>
      </c>
      <c r="H191" s="10" t="str">
        <f>IFERROR(IF(SUMPRODUCT((('CASE MASTER'!$T$2:$T$495=14)*('CASE MASTER'!$U$2:$U$495&lt;=7)*('CASE MASTER'!$W$2:$W$495&gt;=7)*('CASE MASTER'!$V$2:$V$495&lt;=7)*('CASE MASTER'!$X$2:$X$495&gt;=7))*ROW('CASE MASTER'!$T$2:$T$495))&gt;0,INDEX('CASE MASTER'!$Y$2:$Y$495,(SUMPRODUCT((('CASE MASTER'!$T$2:$T$495=14)*('CASE MASTER'!$U$2:$U$495&lt;=7)*('CASE MASTER'!$W$2:$W$495&gt;=7)*('CASE MASTER'!$V$2:$V$495&lt;=7)*('CASE MASTER'!$X$2:$X$495&gt;=7))*ROW('CASE MASTER'!$T$2:$T$495))-(ROW('CASE MASTER'!#REF!)-1)))&amp;TRIM(MID(SUBSTITUTE(SUBSTITUTE(INDEX('CASE MASTER'!$N$2:$N$495,(SUMPRODUCT((('CASE MASTER'!$T$2:$T$495=14)*('CASE MASTER'!$U$2:$U$495&lt;=7)*('CASE MASTER'!$W$2:$W$495&gt;=7)*('CASE MASTER'!$V$2:$V$495&lt;=7)*('CASE MASTER'!$X$2:$X$495&gt;=7))*ROW('CASE MASTER'!$T$2:$T$495))-(ROW('CASE MASTER'!#REF!)-1))),":",","),",",REPT(" ",50)),((((7-INDEX('CASE MASTER'!$U$2:$U$495,(SUMPRODUCT((('CASE MASTER'!$T$2:$T$495=14)*('CASE MASTER'!$U$2:$U$495&lt;=7)*('CASE MASTER'!$W$2:$W$495&gt;=7)*('CASE MASTER'!$V$2:$V$495&lt;=7)*('CASE MASTER'!$X$2:$X$495&gt;=7))*ROW('CASE MASTER'!$T$2:$T$495))-(ROW('CASE MASTER'!#REF!)-1))))*(INDEX('CASE MASTER'!$X$2:$X$495,(SUMPRODUCT((('CASE MASTER'!$T$2:$T$495=14)*('CASE MASTER'!$U$2:$U$495&lt;=7)*('CASE MASTER'!$W$2:$W$495&gt;=7)*('CASE MASTER'!$V$2:$V$495&lt;=7)*('CASE MASTER'!$X$2:$X$495&gt;=7))*ROW('CASE MASTER'!$T$2:$T$495))-(ROW('CASE MASTER'!#REF!)-1)))-INDEX('CASE MASTER'!$V$2:$V$495,(SUMPRODUCT((('CASE MASTER'!$T$2:$T$495=14)*('CASE MASTER'!$U$2:$U$495&lt;=7)*('CASE MASTER'!$W$2:$W$495&gt;=7)*('CASE MASTER'!$V$2:$V$495&lt;=7)*('CASE MASTER'!$X$2:$X$495&gt;=7))*ROW('CASE MASTER'!$T$2:$T$495))-(ROW('CASE MASTER'!#REF!)-1)))+1)+(7-INDEX('CASE MASTER'!$V$2:$V$495,(SUMPRODUCT((('CASE MASTER'!$T$2:$T$495=14)*('CASE MASTER'!$U$2:$U$495&lt;=7)*('CASE MASTER'!$W$2:$W$495&gt;=7)*('CASE MASTER'!$V$2:$V$495&lt;=7)*('CASE MASTER'!$X$2:$X$495&gt;=7))*ROW('CASE MASTER'!$T$2:$T$495))-(ROW('CASE MASTER'!#REF!)-1))))+1))-1)*50+1,50))&amp;"_"&amp;INDEX('CASE MASTER'!$Q$2:$Q$495,(SUMPRODUCT((('CASE MASTER'!$T$2:$T$495=14)*('CASE MASTER'!$U$2:$U$495&lt;=7)*('CASE MASTER'!$W$2:$W$495&gt;=7)*('CASE MASTER'!$V$2:$V$495&lt;=7)*('CASE MASTER'!$X$2:$X$495&gt;=7))*ROW('CASE MASTER'!$T$2:$T$495))-(ROW('CASE MASTER'!#REF!)-1))),IF(SUMPRODUCT((('CASE MASTER'!$T$2:$T$495=14)*('CASE MASTER'!$AA$2:$AA$495&lt;=7)*('CASE MASTER'!$AC$2:$AC$495&gt;=7)*('CASE MASTER'!$AB$2:$AB$495&lt;=7)*('CASE MASTER'!$AD$2:$AD$495&gt;=7))*ROW('CASE MASTER'!$T$2:$T$495))&gt;0,INDEX('CASE MASTER'!$Y$2:$Y$495,(SUMPRODUCT((('CASE MASTER'!$T$2:$T$495=14)*('CASE MASTER'!$AA$2:$AA$495&lt;=7)*('CASE MASTER'!$AC$2:$AC$495&gt;=7)*('CASE MASTER'!$AB$2:$AB$495&lt;=7)*('CASE MASTER'!$AD$2:$AD$495&gt;=7))*ROW('CASE MASTER'!$T$2:$T$495))-(ROW('CASE MASTER'!#REF!)-1)))&amp;TRIM(MID(SUBSTITUTE(SUBSTITUTE(INDEX('CASE MASTER'!$N$2:$N$495,(SUMPRODUCT((('CASE MASTER'!$T$2:$T$495=14)*('CASE MASTER'!$AA$2:$AA$495&lt;=7)*('CASE MASTER'!$AC$2:$AC$495&gt;=7)*('CASE MASTER'!$AB$2:$AB$495&lt;=7)*('CASE MASTER'!$AD$2:$AD$495&gt;=7))*ROW('CASE MASTER'!$T$2:$T$495))-(ROW('CASE MASTER'!#REF!)-1))),":",","),",",REPT(" ",50)),(((INDEX('CASE MASTER'!$Z$2:$Z$495,(SUMPRODUCT((('CASE MASTER'!$T$2:$T$495=14)*('CASE MASTER'!$AA$2:$AA$495&lt;=7)*('CASE MASTER'!$AC$2:$AC$495&gt;=7)*('CASE MASTER'!$AB$2:$AB$495&lt;=7)*('CASE MASTER'!$AD$2:$AD$495&gt;=7))*ROW('CASE MASTER'!$T$2:$T$495))-(ROW('CASE MASTER'!#REF!)-1)))+((7-INDEX('CASE MASTER'!$AA$2:$AA$495,(SUMPRODUCT((('CASE MASTER'!$T$2:$T$495=14)*('CASE MASTER'!$AA$2:$AA$495&lt;=7)*('CASE MASTER'!$AC$2:$AC$495&gt;=7)*('CASE MASTER'!$AB$2:$AB$495&lt;=7)*('CASE MASTER'!$AD$2:$AD$495&gt;=7))*ROW('CASE MASTER'!$T$2:$T$495))-(ROW('CASE MASTER'!#REF!)-1))))*(INDEX('CASE MASTER'!$AD$2:$AD$495,(SUMPRODUCT((('CASE MASTER'!$T$2:$T$495=14)*('CASE MASTER'!$AA$2:$AA$495&lt;=7)*('CASE MASTER'!$AC$2:$AC$495&gt;=7)*('CASE MASTER'!$AB$2:$AB$495&lt;=7)*('CASE MASTER'!$AD$2:$AD$495&gt;=7))*ROW('CASE MASTER'!$T$2:$T$495))-(ROW('CASE MASTER'!#REF!)-1)))-INDEX('CASE MASTER'!$AB$2:$AB$495,(SUMPRODUCT((('CASE MASTER'!$T$2:$T$495=14)*('CASE MASTER'!$AA$2:$AA$495&lt;=7)*('CASE MASTER'!$AC$2:$AC$495&gt;=7)*('CASE MASTER'!$AB$2:$AB$495&lt;=7)*('CASE MASTER'!$AD$2:$AD$495&gt;=7))*ROW('CASE MASTER'!$T$2:$T$495))-(ROW('CASE MASTER'!#REF!)-1)))+1)+(7-INDEX('CASE MASTER'!$AB$2:$AB$495,(SUMPRODUCT((('CASE MASTER'!$T$2:$T$495=14)*('CASE MASTER'!$AA$2:$AA$495&lt;=7)*('CASE MASTER'!$AC$2:$AC$495&gt;=7)*('CASE MASTER'!$AB$2:$AB$495&lt;=7)*('CASE MASTER'!$AD$2:$AD$495&gt;=7))*ROW('CASE MASTER'!$T$2:$T$495))-(ROW('CASE MASTER'!#REF!)-1))))+1)))-1)*50+1,50))&amp;"_"&amp;INDEX('CASE MASTER'!$Q$2:$Q$495,(SUMPRODUCT((('CASE MASTER'!$T$2:$T$495=14)*('CASE MASTER'!$AA$2:$AA$495&lt;=7)*('CASE MASTER'!$AC$2:$AC$495&gt;=7)*('CASE MASTER'!$AB$2:$AB$495&lt;=7)*('CASE MASTER'!$AD$2:$AD$495&gt;=7))*ROW('CASE MASTER'!$T$2:$T$495))-(ROW('CASE MASTER'!#REF!)-1))),"")),"")</f>
        <v/>
      </c>
      <c r="I191" s="10" t="str">
        <f>IFERROR(IF(SUMPRODUCT((('CASE MASTER'!$T$2:$T$495=14)*('CASE MASTER'!$U$2:$U$495&lt;=7)*('CASE MASTER'!$W$2:$W$495&gt;=7)*('CASE MASTER'!$V$2:$V$495&lt;=8)*('CASE MASTER'!$X$2:$X$495&gt;=8))*ROW('CASE MASTER'!$T$2:$T$495))&gt;0,INDEX('CASE MASTER'!$Y$2:$Y$495,(SUMPRODUCT((('CASE MASTER'!$T$2:$T$495=14)*('CASE MASTER'!$U$2:$U$495&lt;=7)*('CASE MASTER'!$W$2:$W$495&gt;=7)*('CASE MASTER'!$V$2:$V$495&lt;=8)*('CASE MASTER'!$X$2:$X$495&gt;=8))*ROW('CASE MASTER'!$T$2:$T$495))-(ROW('CASE MASTER'!#REF!)-1)))&amp;TRIM(MID(SUBSTITUTE(SUBSTITUTE(INDEX('CASE MASTER'!$N$2:$N$495,(SUMPRODUCT((('CASE MASTER'!$T$2:$T$495=14)*('CASE MASTER'!$U$2:$U$495&lt;=7)*('CASE MASTER'!$W$2:$W$495&gt;=7)*('CASE MASTER'!$V$2:$V$495&lt;=8)*('CASE MASTER'!$X$2:$X$495&gt;=8))*ROW('CASE MASTER'!$T$2:$T$495))-(ROW('CASE MASTER'!#REF!)-1))),":",","),",",REPT(" ",50)),((((7-INDEX('CASE MASTER'!$U$2:$U$495,(SUMPRODUCT((('CASE MASTER'!$T$2:$T$495=14)*('CASE MASTER'!$U$2:$U$495&lt;=7)*('CASE MASTER'!$W$2:$W$495&gt;=7)*('CASE MASTER'!$V$2:$V$495&lt;=8)*('CASE MASTER'!$X$2:$X$495&gt;=8))*ROW('CASE MASTER'!$T$2:$T$495))-(ROW('CASE MASTER'!#REF!)-1))))*(INDEX('CASE MASTER'!$X$2:$X$495,(SUMPRODUCT((('CASE MASTER'!$T$2:$T$495=14)*('CASE MASTER'!$U$2:$U$495&lt;=7)*('CASE MASTER'!$W$2:$W$495&gt;=7)*('CASE MASTER'!$V$2:$V$495&lt;=8)*('CASE MASTER'!$X$2:$X$495&gt;=8))*ROW('CASE MASTER'!$T$2:$T$495))-(ROW('CASE MASTER'!#REF!)-1)))-INDEX('CASE MASTER'!$V$2:$V$495,(SUMPRODUCT((('CASE MASTER'!$T$2:$T$495=14)*('CASE MASTER'!$U$2:$U$495&lt;=7)*('CASE MASTER'!$W$2:$W$495&gt;=7)*('CASE MASTER'!$V$2:$V$495&lt;=8)*('CASE MASTER'!$X$2:$X$495&gt;=8))*ROW('CASE MASTER'!$T$2:$T$495))-(ROW('CASE MASTER'!#REF!)-1)))+1)+(8-INDEX('CASE MASTER'!$V$2:$V$495,(SUMPRODUCT((('CASE MASTER'!$T$2:$T$495=14)*('CASE MASTER'!$U$2:$U$495&lt;=7)*('CASE MASTER'!$W$2:$W$495&gt;=7)*('CASE MASTER'!$V$2:$V$495&lt;=8)*('CASE MASTER'!$X$2:$X$495&gt;=8))*ROW('CASE MASTER'!$T$2:$T$495))-(ROW('CASE MASTER'!#REF!)-1))))+1))-1)*50+1,50))&amp;"_"&amp;INDEX('CASE MASTER'!$Q$2:$Q$495,(SUMPRODUCT((('CASE MASTER'!$T$2:$T$495=14)*('CASE MASTER'!$U$2:$U$495&lt;=7)*('CASE MASTER'!$W$2:$W$495&gt;=7)*('CASE MASTER'!$V$2:$V$495&lt;=8)*('CASE MASTER'!$X$2:$X$495&gt;=8))*ROW('CASE MASTER'!$T$2:$T$495))-(ROW('CASE MASTER'!#REF!)-1))),IF(SUMPRODUCT((('CASE MASTER'!$T$2:$T$495=14)*('CASE MASTER'!$AA$2:$AA$495&lt;=7)*('CASE MASTER'!$AC$2:$AC$495&gt;=7)*('CASE MASTER'!$AB$2:$AB$495&lt;=8)*('CASE MASTER'!$AD$2:$AD$495&gt;=8))*ROW('CASE MASTER'!$T$2:$T$495))&gt;0,INDEX('CASE MASTER'!$Y$2:$Y$495,(SUMPRODUCT((('CASE MASTER'!$T$2:$T$495=14)*('CASE MASTER'!$AA$2:$AA$495&lt;=7)*('CASE MASTER'!$AC$2:$AC$495&gt;=7)*('CASE MASTER'!$AB$2:$AB$495&lt;=8)*('CASE MASTER'!$AD$2:$AD$495&gt;=8))*ROW('CASE MASTER'!$T$2:$T$495))-(ROW('CASE MASTER'!#REF!)-1)))&amp;TRIM(MID(SUBSTITUTE(SUBSTITUTE(INDEX('CASE MASTER'!$N$2:$N$495,(SUMPRODUCT((('CASE MASTER'!$T$2:$T$495=14)*('CASE MASTER'!$AA$2:$AA$495&lt;=7)*('CASE MASTER'!$AC$2:$AC$495&gt;=7)*('CASE MASTER'!$AB$2:$AB$495&lt;=8)*('CASE MASTER'!$AD$2:$AD$495&gt;=8))*ROW('CASE MASTER'!$T$2:$T$495))-(ROW('CASE MASTER'!#REF!)-1))),":",","),",",REPT(" ",50)),(((INDEX('CASE MASTER'!$Z$2:$Z$495,(SUMPRODUCT((('CASE MASTER'!$T$2:$T$495=14)*('CASE MASTER'!$AA$2:$AA$495&lt;=7)*('CASE MASTER'!$AC$2:$AC$495&gt;=7)*('CASE MASTER'!$AB$2:$AB$495&lt;=8)*('CASE MASTER'!$AD$2:$AD$495&gt;=8))*ROW('CASE MASTER'!$T$2:$T$495))-(ROW('CASE MASTER'!#REF!)-1)))+((7-INDEX('CASE MASTER'!$AA$2:$AA$495,(SUMPRODUCT((('CASE MASTER'!$T$2:$T$495=14)*('CASE MASTER'!$AA$2:$AA$495&lt;=7)*('CASE MASTER'!$AC$2:$AC$495&gt;=7)*('CASE MASTER'!$AB$2:$AB$495&lt;=8)*('CASE MASTER'!$AD$2:$AD$495&gt;=8))*ROW('CASE MASTER'!$T$2:$T$495))-(ROW('CASE MASTER'!#REF!)-1))))*(INDEX('CASE MASTER'!$AD$2:$AD$495,(SUMPRODUCT((('CASE MASTER'!$T$2:$T$495=14)*('CASE MASTER'!$AA$2:$AA$495&lt;=7)*('CASE MASTER'!$AC$2:$AC$495&gt;=7)*('CASE MASTER'!$AB$2:$AB$495&lt;=8)*('CASE MASTER'!$AD$2:$AD$495&gt;=8))*ROW('CASE MASTER'!$T$2:$T$495))-(ROW('CASE MASTER'!#REF!)-1)))-INDEX('CASE MASTER'!$AB$2:$AB$495,(SUMPRODUCT((('CASE MASTER'!$T$2:$T$495=14)*('CASE MASTER'!$AA$2:$AA$495&lt;=7)*('CASE MASTER'!$AC$2:$AC$495&gt;=7)*('CASE MASTER'!$AB$2:$AB$495&lt;=8)*('CASE MASTER'!$AD$2:$AD$495&gt;=8))*ROW('CASE MASTER'!$T$2:$T$495))-(ROW('CASE MASTER'!#REF!)-1)))+1)+(8-INDEX('CASE MASTER'!$AB$2:$AB$495,(SUMPRODUCT((('CASE MASTER'!$T$2:$T$495=14)*('CASE MASTER'!$AA$2:$AA$495&lt;=7)*('CASE MASTER'!$AC$2:$AC$495&gt;=7)*('CASE MASTER'!$AB$2:$AB$495&lt;=8)*('CASE MASTER'!$AD$2:$AD$495&gt;=8))*ROW('CASE MASTER'!$T$2:$T$495))-(ROW('CASE MASTER'!#REF!)-1))))+1)))-1)*50+1,50))&amp;"_"&amp;INDEX('CASE MASTER'!$Q$2:$Q$495,(SUMPRODUCT((('CASE MASTER'!$T$2:$T$495=14)*('CASE MASTER'!$AA$2:$AA$495&lt;=7)*('CASE MASTER'!$AC$2:$AC$495&gt;=7)*('CASE MASTER'!$AB$2:$AB$495&lt;=8)*('CASE MASTER'!$AD$2:$AD$495&gt;=8))*ROW('CASE MASTER'!$T$2:$T$495))-(ROW('CASE MASTER'!#REF!)-1))),"")),"")</f>
        <v/>
      </c>
      <c r="J191" s="10" t="str">
        <f>IFERROR(IF(SUMPRODUCT((('CASE MASTER'!$T$2:$T$495=14)*('CASE MASTER'!$U$2:$U$495&lt;=7)*('CASE MASTER'!$W$2:$W$495&gt;=7)*('CASE MASTER'!$V$2:$V$495&lt;=9)*('CASE MASTER'!$X$2:$X$495&gt;=9))*ROW('CASE MASTER'!$T$2:$T$495))&gt;0,INDEX('CASE MASTER'!$Y$2:$Y$495,(SUMPRODUCT((('CASE MASTER'!$T$2:$T$495=14)*('CASE MASTER'!$U$2:$U$495&lt;=7)*('CASE MASTER'!$W$2:$W$495&gt;=7)*('CASE MASTER'!$V$2:$V$495&lt;=9)*('CASE MASTER'!$X$2:$X$495&gt;=9))*ROW('CASE MASTER'!$T$2:$T$495))-(ROW('CASE MASTER'!#REF!)-1)))&amp;TRIM(MID(SUBSTITUTE(SUBSTITUTE(INDEX('CASE MASTER'!$N$2:$N$495,(SUMPRODUCT((('CASE MASTER'!$T$2:$T$495=14)*('CASE MASTER'!$U$2:$U$495&lt;=7)*('CASE MASTER'!$W$2:$W$495&gt;=7)*('CASE MASTER'!$V$2:$V$495&lt;=9)*('CASE MASTER'!$X$2:$X$495&gt;=9))*ROW('CASE MASTER'!$T$2:$T$495))-(ROW('CASE MASTER'!#REF!)-1))),":",","),",",REPT(" ",50)),((((7-INDEX('CASE MASTER'!$U$2:$U$495,(SUMPRODUCT((('CASE MASTER'!$T$2:$T$495=14)*('CASE MASTER'!$U$2:$U$495&lt;=7)*('CASE MASTER'!$W$2:$W$495&gt;=7)*('CASE MASTER'!$V$2:$V$495&lt;=9)*('CASE MASTER'!$X$2:$X$495&gt;=9))*ROW('CASE MASTER'!$T$2:$T$495))-(ROW('CASE MASTER'!#REF!)-1))))*(INDEX('CASE MASTER'!$X$2:$X$495,(SUMPRODUCT((('CASE MASTER'!$T$2:$T$495=14)*('CASE MASTER'!$U$2:$U$495&lt;=7)*('CASE MASTER'!$W$2:$W$495&gt;=7)*('CASE MASTER'!$V$2:$V$495&lt;=9)*('CASE MASTER'!$X$2:$X$495&gt;=9))*ROW('CASE MASTER'!$T$2:$T$495))-(ROW('CASE MASTER'!#REF!)-1)))-INDEX('CASE MASTER'!$V$2:$V$495,(SUMPRODUCT((('CASE MASTER'!$T$2:$T$495=14)*('CASE MASTER'!$U$2:$U$495&lt;=7)*('CASE MASTER'!$W$2:$W$495&gt;=7)*('CASE MASTER'!$V$2:$V$495&lt;=9)*('CASE MASTER'!$X$2:$X$495&gt;=9))*ROW('CASE MASTER'!$T$2:$T$495))-(ROW('CASE MASTER'!#REF!)-1)))+1)+(9-INDEX('CASE MASTER'!$V$2:$V$495,(SUMPRODUCT((('CASE MASTER'!$T$2:$T$495=14)*('CASE MASTER'!$U$2:$U$495&lt;=7)*('CASE MASTER'!$W$2:$W$495&gt;=7)*('CASE MASTER'!$V$2:$V$495&lt;=9)*('CASE MASTER'!$X$2:$X$495&gt;=9))*ROW('CASE MASTER'!$T$2:$T$495))-(ROW('CASE MASTER'!#REF!)-1))))+1))-1)*50+1,50))&amp;"_"&amp;INDEX('CASE MASTER'!$Q$2:$Q$495,(SUMPRODUCT((('CASE MASTER'!$T$2:$T$495=14)*('CASE MASTER'!$U$2:$U$495&lt;=7)*('CASE MASTER'!$W$2:$W$495&gt;=7)*('CASE MASTER'!$V$2:$V$495&lt;=9)*('CASE MASTER'!$X$2:$X$495&gt;=9))*ROW('CASE MASTER'!$T$2:$T$495))-(ROW('CASE MASTER'!#REF!)-1))),IF(SUMPRODUCT((('CASE MASTER'!$T$2:$T$495=14)*('CASE MASTER'!$AA$2:$AA$495&lt;=7)*('CASE MASTER'!$AC$2:$AC$495&gt;=7)*('CASE MASTER'!$AB$2:$AB$495&lt;=9)*('CASE MASTER'!$AD$2:$AD$495&gt;=9))*ROW('CASE MASTER'!$T$2:$T$495))&gt;0,INDEX('CASE MASTER'!$Y$2:$Y$495,(SUMPRODUCT((('CASE MASTER'!$T$2:$T$495=14)*('CASE MASTER'!$AA$2:$AA$495&lt;=7)*('CASE MASTER'!$AC$2:$AC$495&gt;=7)*('CASE MASTER'!$AB$2:$AB$495&lt;=9)*('CASE MASTER'!$AD$2:$AD$495&gt;=9))*ROW('CASE MASTER'!$T$2:$T$495))-(ROW('CASE MASTER'!#REF!)-1)))&amp;TRIM(MID(SUBSTITUTE(SUBSTITUTE(INDEX('CASE MASTER'!$N$2:$N$495,(SUMPRODUCT((('CASE MASTER'!$T$2:$T$495=14)*('CASE MASTER'!$AA$2:$AA$495&lt;=7)*('CASE MASTER'!$AC$2:$AC$495&gt;=7)*('CASE MASTER'!$AB$2:$AB$495&lt;=9)*('CASE MASTER'!$AD$2:$AD$495&gt;=9))*ROW('CASE MASTER'!$T$2:$T$495))-(ROW('CASE MASTER'!#REF!)-1))),":",","),",",REPT(" ",50)),(((INDEX('CASE MASTER'!$Z$2:$Z$495,(SUMPRODUCT((('CASE MASTER'!$T$2:$T$495=14)*('CASE MASTER'!$AA$2:$AA$495&lt;=7)*('CASE MASTER'!$AC$2:$AC$495&gt;=7)*('CASE MASTER'!$AB$2:$AB$495&lt;=9)*('CASE MASTER'!$AD$2:$AD$495&gt;=9))*ROW('CASE MASTER'!$T$2:$T$495))-(ROW('CASE MASTER'!#REF!)-1)))+((7-INDEX('CASE MASTER'!$AA$2:$AA$495,(SUMPRODUCT((('CASE MASTER'!$T$2:$T$495=14)*('CASE MASTER'!$AA$2:$AA$495&lt;=7)*('CASE MASTER'!$AC$2:$AC$495&gt;=7)*('CASE MASTER'!$AB$2:$AB$495&lt;=9)*('CASE MASTER'!$AD$2:$AD$495&gt;=9))*ROW('CASE MASTER'!$T$2:$T$495))-(ROW('CASE MASTER'!#REF!)-1))))*(INDEX('CASE MASTER'!$AD$2:$AD$495,(SUMPRODUCT((('CASE MASTER'!$T$2:$T$495=14)*('CASE MASTER'!$AA$2:$AA$495&lt;=7)*('CASE MASTER'!$AC$2:$AC$495&gt;=7)*('CASE MASTER'!$AB$2:$AB$495&lt;=9)*('CASE MASTER'!$AD$2:$AD$495&gt;=9))*ROW('CASE MASTER'!$T$2:$T$495))-(ROW('CASE MASTER'!#REF!)-1)))-INDEX('CASE MASTER'!$AB$2:$AB$495,(SUMPRODUCT((('CASE MASTER'!$T$2:$T$495=14)*('CASE MASTER'!$AA$2:$AA$495&lt;=7)*('CASE MASTER'!$AC$2:$AC$495&gt;=7)*('CASE MASTER'!$AB$2:$AB$495&lt;=9)*('CASE MASTER'!$AD$2:$AD$495&gt;=9))*ROW('CASE MASTER'!$T$2:$T$495))-(ROW('CASE MASTER'!#REF!)-1)))+1)+(9-INDEX('CASE MASTER'!$AB$2:$AB$495,(SUMPRODUCT((('CASE MASTER'!$T$2:$T$495=14)*('CASE MASTER'!$AA$2:$AA$495&lt;=7)*('CASE MASTER'!$AC$2:$AC$495&gt;=7)*('CASE MASTER'!$AB$2:$AB$495&lt;=9)*('CASE MASTER'!$AD$2:$AD$495&gt;=9))*ROW('CASE MASTER'!$T$2:$T$495))-(ROW('CASE MASTER'!#REF!)-1))))+1)))-1)*50+1,50))&amp;"_"&amp;INDEX('CASE MASTER'!$Q$2:$Q$495,(SUMPRODUCT((('CASE MASTER'!$T$2:$T$495=14)*('CASE MASTER'!$AA$2:$AA$495&lt;=7)*('CASE MASTER'!$AC$2:$AC$495&gt;=7)*('CASE MASTER'!$AB$2:$AB$495&lt;=9)*('CASE MASTER'!$AD$2:$AD$495&gt;=9))*ROW('CASE MASTER'!$T$2:$T$495))-(ROW('CASE MASTER'!#REF!)-1))),"")),"")</f>
        <v/>
      </c>
      <c r="K191" s="10" t="str">
        <f>IFERROR(IF(SUMPRODUCT((('CASE MASTER'!$T$2:$T$495=14)*('CASE MASTER'!$U$2:$U$495&lt;=7)*('CASE MASTER'!$W$2:$W$495&gt;=7)*('CASE MASTER'!$V$2:$V$495&lt;=10)*('CASE MASTER'!$X$2:$X$495&gt;=10))*ROW('CASE MASTER'!$T$2:$T$495))&gt;0,INDEX('CASE MASTER'!$Y$2:$Y$495,(SUMPRODUCT((('CASE MASTER'!$T$2:$T$495=14)*('CASE MASTER'!$U$2:$U$495&lt;=7)*('CASE MASTER'!$W$2:$W$495&gt;=7)*('CASE MASTER'!$V$2:$V$495&lt;=10)*('CASE MASTER'!$X$2:$X$495&gt;=10))*ROW('CASE MASTER'!$T$2:$T$495))-(ROW('CASE MASTER'!#REF!)-1)))&amp;TRIM(MID(SUBSTITUTE(SUBSTITUTE(INDEX('CASE MASTER'!$N$2:$N$495,(SUMPRODUCT((('CASE MASTER'!$T$2:$T$495=14)*('CASE MASTER'!$U$2:$U$495&lt;=7)*('CASE MASTER'!$W$2:$W$495&gt;=7)*('CASE MASTER'!$V$2:$V$495&lt;=10)*('CASE MASTER'!$X$2:$X$495&gt;=10))*ROW('CASE MASTER'!$T$2:$T$495))-(ROW('CASE MASTER'!#REF!)-1))),":",","),",",REPT(" ",50)),((((7-INDEX('CASE MASTER'!$U$2:$U$495,(SUMPRODUCT((('CASE MASTER'!$T$2:$T$495=14)*('CASE MASTER'!$U$2:$U$495&lt;=7)*('CASE MASTER'!$W$2:$W$495&gt;=7)*('CASE MASTER'!$V$2:$V$495&lt;=10)*('CASE MASTER'!$X$2:$X$495&gt;=10))*ROW('CASE MASTER'!$T$2:$T$495))-(ROW('CASE MASTER'!#REF!)-1))))*(INDEX('CASE MASTER'!$X$2:$X$495,(SUMPRODUCT((('CASE MASTER'!$T$2:$T$495=14)*('CASE MASTER'!$U$2:$U$495&lt;=7)*('CASE MASTER'!$W$2:$W$495&gt;=7)*('CASE MASTER'!$V$2:$V$495&lt;=10)*('CASE MASTER'!$X$2:$X$495&gt;=10))*ROW('CASE MASTER'!$T$2:$T$495))-(ROW('CASE MASTER'!#REF!)-1)))-INDEX('CASE MASTER'!$V$2:$V$495,(SUMPRODUCT((('CASE MASTER'!$T$2:$T$495=14)*('CASE MASTER'!$U$2:$U$495&lt;=7)*('CASE MASTER'!$W$2:$W$495&gt;=7)*('CASE MASTER'!$V$2:$V$495&lt;=10)*('CASE MASTER'!$X$2:$X$495&gt;=10))*ROW('CASE MASTER'!$T$2:$T$495))-(ROW('CASE MASTER'!#REF!)-1)))+1)+(10-INDEX('CASE MASTER'!$V$2:$V$495,(SUMPRODUCT((('CASE MASTER'!$T$2:$T$495=14)*('CASE MASTER'!$U$2:$U$495&lt;=7)*('CASE MASTER'!$W$2:$W$495&gt;=7)*('CASE MASTER'!$V$2:$V$495&lt;=10)*('CASE MASTER'!$X$2:$X$495&gt;=10))*ROW('CASE MASTER'!$T$2:$T$495))-(ROW('CASE MASTER'!#REF!)-1))))+1))-1)*50+1,50))&amp;"_"&amp;INDEX('CASE MASTER'!$Q$2:$Q$495,(SUMPRODUCT((('CASE MASTER'!$T$2:$T$495=14)*('CASE MASTER'!$U$2:$U$495&lt;=7)*('CASE MASTER'!$W$2:$W$495&gt;=7)*('CASE MASTER'!$V$2:$V$495&lt;=10)*('CASE MASTER'!$X$2:$X$495&gt;=10))*ROW('CASE MASTER'!$T$2:$T$495))-(ROW('CASE MASTER'!#REF!)-1))),IF(SUMPRODUCT((('CASE MASTER'!$T$2:$T$495=14)*('CASE MASTER'!$AA$2:$AA$495&lt;=7)*('CASE MASTER'!$AC$2:$AC$495&gt;=7)*('CASE MASTER'!$AB$2:$AB$495&lt;=10)*('CASE MASTER'!$AD$2:$AD$495&gt;=10))*ROW('CASE MASTER'!$T$2:$T$495))&gt;0,INDEX('CASE MASTER'!$Y$2:$Y$495,(SUMPRODUCT((('CASE MASTER'!$T$2:$T$495=14)*('CASE MASTER'!$AA$2:$AA$495&lt;=7)*('CASE MASTER'!$AC$2:$AC$495&gt;=7)*('CASE MASTER'!$AB$2:$AB$495&lt;=10)*('CASE MASTER'!$AD$2:$AD$495&gt;=10))*ROW('CASE MASTER'!$T$2:$T$495))-(ROW('CASE MASTER'!#REF!)-1)))&amp;TRIM(MID(SUBSTITUTE(SUBSTITUTE(INDEX('CASE MASTER'!$N$2:$N$495,(SUMPRODUCT((('CASE MASTER'!$T$2:$T$495=14)*('CASE MASTER'!$AA$2:$AA$495&lt;=7)*('CASE MASTER'!$AC$2:$AC$495&gt;=7)*('CASE MASTER'!$AB$2:$AB$495&lt;=10)*('CASE MASTER'!$AD$2:$AD$495&gt;=10))*ROW('CASE MASTER'!$T$2:$T$495))-(ROW('CASE MASTER'!#REF!)-1))),":",","),",",REPT(" ",50)),(((INDEX('CASE MASTER'!$Z$2:$Z$495,(SUMPRODUCT((('CASE MASTER'!$T$2:$T$495=14)*('CASE MASTER'!$AA$2:$AA$495&lt;=7)*('CASE MASTER'!$AC$2:$AC$495&gt;=7)*('CASE MASTER'!$AB$2:$AB$495&lt;=10)*('CASE MASTER'!$AD$2:$AD$495&gt;=10))*ROW('CASE MASTER'!$T$2:$T$495))-(ROW('CASE MASTER'!#REF!)-1)))+((7-INDEX('CASE MASTER'!$AA$2:$AA$495,(SUMPRODUCT((('CASE MASTER'!$T$2:$T$495=14)*('CASE MASTER'!$AA$2:$AA$495&lt;=7)*('CASE MASTER'!$AC$2:$AC$495&gt;=7)*('CASE MASTER'!$AB$2:$AB$495&lt;=10)*('CASE MASTER'!$AD$2:$AD$495&gt;=10))*ROW('CASE MASTER'!$T$2:$T$495))-(ROW('CASE MASTER'!#REF!)-1))))*(INDEX('CASE MASTER'!$AD$2:$AD$495,(SUMPRODUCT((('CASE MASTER'!$T$2:$T$495=14)*('CASE MASTER'!$AA$2:$AA$495&lt;=7)*('CASE MASTER'!$AC$2:$AC$495&gt;=7)*('CASE MASTER'!$AB$2:$AB$495&lt;=10)*('CASE MASTER'!$AD$2:$AD$495&gt;=10))*ROW('CASE MASTER'!$T$2:$T$495))-(ROW('CASE MASTER'!#REF!)-1)))-INDEX('CASE MASTER'!$AB$2:$AB$495,(SUMPRODUCT((('CASE MASTER'!$T$2:$T$495=14)*('CASE MASTER'!$AA$2:$AA$495&lt;=7)*('CASE MASTER'!$AC$2:$AC$495&gt;=7)*('CASE MASTER'!$AB$2:$AB$495&lt;=10)*('CASE MASTER'!$AD$2:$AD$495&gt;=10))*ROW('CASE MASTER'!$T$2:$T$495))-(ROW('CASE MASTER'!#REF!)-1)))+1)+(10-INDEX('CASE MASTER'!$AB$2:$AB$495,(SUMPRODUCT((('CASE MASTER'!$T$2:$T$495=14)*('CASE MASTER'!$AA$2:$AA$495&lt;=7)*('CASE MASTER'!$AC$2:$AC$495&gt;=7)*('CASE MASTER'!$AB$2:$AB$495&lt;=10)*('CASE MASTER'!$AD$2:$AD$495&gt;=10))*ROW('CASE MASTER'!$T$2:$T$495))-(ROW('CASE MASTER'!#REF!)-1))))+1)))-1)*50+1,50))&amp;"_"&amp;INDEX('CASE MASTER'!$Q$2:$Q$495,(SUMPRODUCT((('CASE MASTER'!$T$2:$T$495=14)*('CASE MASTER'!$AA$2:$AA$495&lt;=7)*('CASE MASTER'!$AC$2:$AC$495&gt;=7)*('CASE MASTER'!$AB$2:$AB$495&lt;=10)*('CASE MASTER'!$AD$2:$AD$495&gt;=10))*ROW('CASE MASTER'!$T$2:$T$495))-(ROW('CASE MASTER'!#REF!)-1))),"")),"")</f>
        <v/>
      </c>
    </row>
    <row r="192" spans="1:11" ht="15" customHeight="1" x14ac:dyDescent="0.35">
      <c r="A192" s="8" t="s">
        <v>35</v>
      </c>
      <c r="B192" s="10" t="str">
        <f>IFERROR(IF(SUMPRODUCT((('CASE MASTER'!$T$2:$T$495=14)*('CASE MASTER'!$U$2:$U$495&lt;=8)*('CASE MASTER'!$W$2:$W$495&gt;=8)*('CASE MASTER'!$V$2:$V$495&lt;=1)*('CASE MASTER'!$X$2:$X$495&gt;=1))*ROW('CASE MASTER'!$T$2:$T$495))&gt;0,INDEX('CASE MASTER'!$Y$2:$Y$495,(SUMPRODUCT((('CASE MASTER'!$T$2:$T$495=14)*('CASE MASTER'!$U$2:$U$495&lt;=8)*('CASE MASTER'!$W$2:$W$495&gt;=8)*('CASE MASTER'!$V$2:$V$495&lt;=1)*('CASE MASTER'!$X$2:$X$495&gt;=1))*ROW('CASE MASTER'!$T$2:$T$495))-(ROW('CASE MASTER'!#REF!)-1)))&amp;TRIM(MID(SUBSTITUTE(SUBSTITUTE(INDEX('CASE MASTER'!$N$2:$N$495,(SUMPRODUCT((('CASE MASTER'!$T$2:$T$495=14)*('CASE MASTER'!$U$2:$U$495&lt;=8)*('CASE MASTER'!$W$2:$W$495&gt;=8)*('CASE MASTER'!$V$2:$V$495&lt;=1)*('CASE MASTER'!$X$2:$X$495&gt;=1))*ROW('CASE MASTER'!$T$2:$T$495))-(ROW('CASE MASTER'!#REF!)-1))),":",","),",",REPT(" ",50)),((((8-INDEX('CASE MASTER'!$U$2:$U$495,(SUMPRODUCT((('CASE MASTER'!$T$2:$T$495=14)*('CASE MASTER'!$U$2:$U$495&lt;=8)*('CASE MASTER'!$W$2:$W$495&gt;=8)*('CASE MASTER'!$V$2:$V$495&lt;=1)*('CASE MASTER'!$X$2:$X$495&gt;=1))*ROW('CASE MASTER'!$T$2:$T$495))-(ROW('CASE MASTER'!#REF!)-1))))*(INDEX('CASE MASTER'!$X$2:$X$495,(SUMPRODUCT((('CASE MASTER'!$T$2:$T$495=14)*('CASE MASTER'!$U$2:$U$495&lt;=8)*('CASE MASTER'!$W$2:$W$495&gt;=8)*('CASE MASTER'!$V$2:$V$495&lt;=1)*('CASE MASTER'!$X$2:$X$495&gt;=1))*ROW('CASE MASTER'!$T$2:$T$495))-(ROW('CASE MASTER'!#REF!)-1)))-INDEX('CASE MASTER'!$V$2:$V$495,(SUMPRODUCT((('CASE MASTER'!$T$2:$T$495=14)*('CASE MASTER'!$U$2:$U$495&lt;=8)*('CASE MASTER'!$W$2:$W$495&gt;=8)*('CASE MASTER'!$V$2:$V$495&lt;=1)*('CASE MASTER'!$X$2:$X$495&gt;=1))*ROW('CASE MASTER'!$T$2:$T$495))-(ROW('CASE MASTER'!#REF!)-1)))+1)+(1-INDEX('CASE MASTER'!$V$2:$V$495,(SUMPRODUCT((('CASE MASTER'!$T$2:$T$495=14)*('CASE MASTER'!$U$2:$U$495&lt;=8)*('CASE MASTER'!$W$2:$W$495&gt;=8)*('CASE MASTER'!$V$2:$V$495&lt;=1)*('CASE MASTER'!$X$2:$X$495&gt;=1))*ROW('CASE MASTER'!$T$2:$T$495))-(ROW('CASE MASTER'!#REF!)-1))))+1))-1)*50+1,50))&amp;"_"&amp;INDEX('CASE MASTER'!$Q$2:$Q$495,(SUMPRODUCT((('CASE MASTER'!$T$2:$T$495=14)*('CASE MASTER'!$U$2:$U$495&lt;=8)*('CASE MASTER'!$W$2:$W$495&gt;=8)*('CASE MASTER'!$V$2:$V$495&lt;=1)*('CASE MASTER'!$X$2:$X$495&gt;=1))*ROW('CASE MASTER'!$T$2:$T$495))-(ROW('CASE MASTER'!#REF!)-1))),IF(SUMPRODUCT((('CASE MASTER'!$T$2:$T$495=14)*('CASE MASTER'!$AA$2:$AA$495&lt;=8)*('CASE MASTER'!$AC$2:$AC$495&gt;=8)*('CASE MASTER'!$AB$2:$AB$495&lt;=1)*('CASE MASTER'!$AD$2:$AD$495&gt;=1))*ROW('CASE MASTER'!$T$2:$T$495))&gt;0,INDEX('CASE MASTER'!$Y$2:$Y$495,(SUMPRODUCT((('CASE MASTER'!$T$2:$T$495=14)*('CASE MASTER'!$AA$2:$AA$495&lt;=8)*('CASE MASTER'!$AC$2:$AC$495&gt;=8)*('CASE MASTER'!$AB$2:$AB$495&lt;=1)*('CASE MASTER'!$AD$2:$AD$495&gt;=1))*ROW('CASE MASTER'!$T$2:$T$495))-(ROW('CASE MASTER'!#REF!)-1)))&amp;TRIM(MID(SUBSTITUTE(SUBSTITUTE(INDEX('CASE MASTER'!$N$2:$N$495,(SUMPRODUCT((('CASE MASTER'!$T$2:$T$495=14)*('CASE MASTER'!$AA$2:$AA$495&lt;=8)*('CASE MASTER'!$AC$2:$AC$495&gt;=8)*('CASE MASTER'!$AB$2:$AB$495&lt;=1)*('CASE MASTER'!$AD$2:$AD$495&gt;=1))*ROW('CASE MASTER'!$T$2:$T$495))-(ROW('CASE MASTER'!#REF!)-1))),":",","),",",REPT(" ",50)),(((INDEX('CASE MASTER'!$Z$2:$Z$495,(SUMPRODUCT((('CASE MASTER'!$T$2:$T$495=14)*('CASE MASTER'!$AA$2:$AA$495&lt;=8)*('CASE MASTER'!$AC$2:$AC$495&gt;=8)*('CASE MASTER'!$AB$2:$AB$495&lt;=1)*('CASE MASTER'!$AD$2:$AD$495&gt;=1))*ROW('CASE MASTER'!$T$2:$T$495))-(ROW('CASE MASTER'!#REF!)-1)))+((8-INDEX('CASE MASTER'!$AA$2:$AA$495,(SUMPRODUCT((('CASE MASTER'!$T$2:$T$495=14)*('CASE MASTER'!$AA$2:$AA$495&lt;=8)*('CASE MASTER'!$AC$2:$AC$495&gt;=8)*('CASE MASTER'!$AB$2:$AB$495&lt;=1)*('CASE MASTER'!$AD$2:$AD$495&gt;=1))*ROW('CASE MASTER'!$T$2:$T$495))-(ROW('CASE MASTER'!#REF!)-1))))*(INDEX('CASE MASTER'!$AD$2:$AD$495,(SUMPRODUCT((('CASE MASTER'!$T$2:$T$495=14)*('CASE MASTER'!$AA$2:$AA$495&lt;=8)*('CASE MASTER'!$AC$2:$AC$495&gt;=8)*('CASE MASTER'!$AB$2:$AB$495&lt;=1)*('CASE MASTER'!$AD$2:$AD$495&gt;=1))*ROW('CASE MASTER'!$T$2:$T$495))-(ROW('CASE MASTER'!#REF!)-1)))-INDEX('CASE MASTER'!$AB$2:$AB$495,(SUMPRODUCT((('CASE MASTER'!$T$2:$T$495=14)*('CASE MASTER'!$AA$2:$AA$495&lt;=8)*('CASE MASTER'!$AC$2:$AC$495&gt;=8)*('CASE MASTER'!$AB$2:$AB$495&lt;=1)*('CASE MASTER'!$AD$2:$AD$495&gt;=1))*ROW('CASE MASTER'!$T$2:$T$495))-(ROW('CASE MASTER'!#REF!)-1)))+1)+(1-INDEX('CASE MASTER'!$AB$2:$AB$495,(SUMPRODUCT((('CASE MASTER'!$T$2:$T$495=14)*('CASE MASTER'!$AA$2:$AA$495&lt;=8)*('CASE MASTER'!$AC$2:$AC$495&gt;=8)*('CASE MASTER'!$AB$2:$AB$495&lt;=1)*('CASE MASTER'!$AD$2:$AD$495&gt;=1))*ROW('CASE MASTER'!$T$2:$T$495))-(ROW('CASE MASTER'!#REF!)-1))))+1)))-1)*50+1,50))&amp;"_"&amp;INDEX('CASE MASTER'!$Q$2:$Q$495,(SUMPRODUCT((('CASE MASTER'!$T$2:$T$495=14)*('CASE MASTER'!$AA$2:$AA$495&lt;=8)*('CASE MASTER'!$AC$2:$AC$495&gt;=8)*('CASE MASTER'!$AB$2:$AB$495&lt;=1)*('CASE MASTER'!$AD$2:$AD$495&gt;=1))*ROW('CASE MASTER'!$T$2:$T$495))-(ROW('CASE MASTER'!#REF!)-1))),"")),"")</f>
        <v/>
      </c>
      <c r="C192" s="10" t="str">
        <f>IFERROR(IF(SUMPRODUCT((('CASE MASTER'!$T$2:$T$495=14)*('CASE MASTER'!$U$2:$U$495&lt;=8)*('CASE MASTER'!$W$2:$W$495&gt;=8)*('CASE MASTER'!$V$2:$V$495&lt;=2)*('CASE MASTER'!$X$2:$X$495&gt;=2))*ROW('CASE MASTER'!$T$2:$T$495))&gt;0,INDEX('CASE MASTER'!$Y$2:$Y$495,(SUMPRODUCT((('CASE MASTER'!$T$2:$T$495=14)*('CASE MASTER'!$U$2:$U$495&lt;=8)*('CASE MASTER'!$W$2:$W$495&gt;=8)*('CASE MASTER'!$V$2:$V$495&lt;=2)*('CASE MASTER'!$X$2:$X$495&gt;=2))*ROW('CASE MASTER'!$T$2:$T$495))-(ROW('CASE MASTER'!#REF!)-1)))&amp;TRIM(MID(SUBSTITUTE(SUBSTITUTE(INDEX('CASE MASTER'!$N$2:$N$495,(SUMPRODUCT((('CASE MASTER'!$T$2:$T$495=14)*('CASE MASTER'!$U$2:$U$495&lt;=8)*('CASE MASTER'!$W$2:$W$495&gt;=8)*('CASE MASTER'!$V$2:$V$495&lt;=2)*('CASE MASTER'!$X$2:$X$495&gt;=2))*ROW('CASE MASTER'!$T$2:$T$495))-(ROW('CASE MASTER'!#REF!)-1))),":",","),",",REPT(" ",50)),((((8-INDEX('CASE MASTER'!$U$2:$U$495,(SUMPRODUCT((('CASE MASTER'!$T$2:$T$495=14)*('CASE MASTER'!$U$2:$U$495&lt;=8)*('CASE MASTER'!$W$2:$W$495&gt;=8)*('CASE MASTER'!$V$2:$V$495&lt;=2)*('CASE MASTER'!$X$2:$X$495&gt;=2))*ROW('CASE MASTER'!$T$2:$T$495))-(ROW('CASE MASTER'!#REF!)-1))))*(INDEX('CASE MASTER'!$X$2:$X$495,(SUMPRODUCT((('CASE MASTER'!$T$2:$T$495=14)*('CASE MASTER'!$U$2:$U$495&lt;=8)*('CASE MASTER'!$W$2:$W$495&gt;=8)*('CASE MASTER'!$V$2:$V$495&lt;=2)*('CASE MASTER'!$X$2:$X$495&gt;=2))*ROW('CASE MASTER'!$T$2:$T$495))-(ROW('CASE MASTER'!#REF!)-1)))-INDEX('CASE MASTER'!$V$2:$V$495,(SUMPRODUCT((('CASE MASTER'!$T$2:$T$495=14)*('CASE MASTER'!$U$2:$U$495&lt;=8)*('CASE MASTER'!$W$2:$W$495&gt;=8)*('CASE MASTER'!$V$2:$V$495&lt;=2)*('CASE MASTER'!$X$2:$X$495&gt;=2))*ROW('CASE MASTER'!$T$2:$T$495))-(ROW('CASE MASTER'!#REF!)-1)))+1)+(2-INDEX('CASE MASTER'!$V$2:$V$495,(SUMPRODUCT((('CASE MASTER'!$T$2:$T$495=14)*('CASE MASTER'!$U$2:$U$495&lt;=8)*('CASE MASTER'!$W$2:$W$495&gt;=8)*('CASE MASTER'!$V$2:$V$495&lt;=2)*('CASE MASTER'!$X$2:$X$495&gt;=2))*ROW('CASE MASTER'!$T$2:$T$495))-(ROW('CASE MASTER'!#REF!)-1))))+1))-1)*50+1,50))&amp;"_"&amp;INDEX('CASE MASTER'!$Q$2:$Q$495,(SUMPRODUCT((('CASE MASTER'!$T$2:$T$495=14)*('CASE MASTER'!$U$2:$U$495&lt;=8)*('CASE MASTER'!$W$2:$W$495&gt;=8)*('CASE MASTER'!$V$2:$V$495&lt;=2)*('CASE MASTER'!$X$2:$X$495&gt;=2))*ROW('CASE MASTER'!$T$2:$T$495))-(ROW('CASE MASTER'!#REF!)-1))),IF(SUMPRODUCT((('CASE MASTER'!$T$2:$T$495=14)*('CASE MASTER'!$AA$2:$AA$495&lt;=8)*('CASE MASTER'!$AC$2:$AC$495&gt;=8)*('CASE MASTER'!$AB$2:$AB$495&lt;=2)*('CASE MASTER'!$AD$2:$AD$495&gt;=2))*ROW('CASE MASTER'!$T$2:$T$495))&gt;0,INDEX('CASE MASTER'!$Y$2:$Y$495,(SUMPRODUCT((('CASE MASTER'!$T$2:$T$495=14)*('CASE MASTER'!$AA$2:$AA$495&lt;=8)*('CASE MASTER'!$AC$2:$AC$495&gt;=8)*('CASE MASTER'!$AB$2:$AB$495&lt;=2)*('CASE MASTER'!$AD$2:$AD$495&gt;=2))*ROW('CASE MASTER'!$T$2:$T$495))-(ROW('CASE MASTER'!#REF!)-1)))&amp;TRIM(MID(SUBSTITUTE(SUBSTITUTE(INDEX('CASE MASTER'!$N$2:$N$495,(SUMPRODUCT((('CASE MASTER'!$T$2:$T$495=14)*('CASE MASTER'!$AA$2:$AA$495&lt;=8)*('CASE MASTER'!$AC$2:$AC$495&gt;=8)*('CASE MASTER'!$AB$2:$AB$495&lt;=2)*('CASE MASTER'!$AD$2:$AD$495&gt;=2))*ROW('CASE MASTER'!$T$2:$T$495))-(ROW('CASE MASTER'!#REF!)-1))),":",","),",",REPT(" ",50)),(((INDEX('CASE MASTER'!$Z$2:$Z$495,(SUMPRODUCT((('CASE MASTER'!$T$2:$T$495=14)*('CASE MASTER'!$AA$2:$AA$495&lt;=8)*('CASE MASTER'!$AC$2:$AC$495&gt;=8)*('CASE MASTER'!$AB$2:$AB$495&lt;=2)*('CASE MASTER'!$AD$2:$AD$495&gt;=2))*ROW('CASE MASTER'!$T$2:$T$495))-(ROW('CASE MASTER'!#REF!)-1)))+((8-INDEX('CASE MASTER'!$AA$2:$AA$495,(SUMPRODUCT((('CASE MASTER'!$T$2:$T$495=14)*('CASE MASTER'!$AA$2:$AA$495&lt;=8)*('CASE MASTER'!$AC$2:$AC$495&gt;=8)*('CASE MASTER'!$AB$2:$AB$495&lt;=2)*('CASE MASTER'!$AD$2:$AD$495&gt;=2))*ROW('CASE MASTER'!$T$2:$T$495))-(ROW('CASE MASTER'!#REF!)-1))))*(INDEX('CASE MASTER'!$AD$2:$AD$495,(SUMPRODUCT((('CASE MASTER'!$T$2:$T$495=14)*('CASE MASTER'!$AA$2:$AA$495&lt;=8)*('CASE MASTER'!$AC$2:$AC$495&gt;=8)*('CASE MASTER'!$AB$2:$AB$495&lt;=2)*('CASE MASTER'!$AD$2:$AD$495&gt;=2))*ROW('CASE MASTER'!$T$2:$T$495))-(ROW('CASE MASTER'!#REF!)-1)))-INDEX('CASE MASTER'!$AB$2:$AB$495,(SUMPRODUCT((('CASE MASTER'!$T$2:$T$495=14)*('CASE MASTER'!$AA$2:$AA$495&lt;=8)*('CASE MASTER'!$AC$2:$AC$495&gt;=8)*('CASE MASTER'!$AB$2:$AB$495&lt;=2)*('CASE MASTER'!$AD$2:$AD$495&gt;=2))*ROW('CASE MASTER'!$T$2:$T$495))-(ROW('CASE MASTER'!#REF!)-1)))+1)+(2-INDEX('CASE MASTER'!$AB$2:$AB$495,(SUMPRODUCT((('CASE MASTER'!$T$2:$T$495=14)*('CASE MASTER'!$AA$2:$AA$495&lt;=8)*('CASE MASTER'!$AC$2:$AC$495&gt;=8)*('CASE MASTER'!$AB$2:$AB$495&lt;=2)*('CASE MASTER'!$AD$2:$AD$495&gt;=2))*ROW('CASE MASTER'!$T$2:$T$495))-(ROW('CASE MASTER'!#REF!)-1))))+1)))-1)*50+1,50))&amp;"_"&amp;INDEX('CASE MASTER'!$Q$2:$Q$495,(SUMPRODUCT((('CASE MASTER'!$T$2:$T$495=14)*('CASE MASTER'!$AA$2:$AA$495&lt;=8)*('CASE MASTER'!$AC$2:$AC$495&gt;=8)*('CASE MASTER'!$AB$2:$AB$495&lt;=2)*('CASE MASTER'!$AD$2:$AD$495&gt;=2))*ROW('CASE MASTER'!$T$2:$T$495))-(ROW('CASE MASTER'!#REF!)-1))),"")),"")</f>
        <v/>
      </c>
      <c r="D192" s="10" t="str">
        <f>IFERROR(IF(SUMPRODUCT((('CASE MASTER'!$T$2:$T$495=14)*('CASE MASTER'!$U$2:$U$495&lt;=8)*('CASE MASTER'!$W$2:$W$495&gt;=8)*('CASE MASTER'!$V$2:$V$495&lt;=3)*('CASE MASTER'!$X$2:$X$495&gt;=3))*ROW('CASE MASTER'!$T$2:$T$495))&gt;0,INDEX('CASE MASTER'!$Y$2:$Y$495,(SUMPRODUCT((('CASE MASTER'!$T$2:$T$495=14)*('CASE MASTER'!$U$2:$U$495&lt;=8)*('CASE MASTER'!$W$2:$W$495&gt;=8)*('CASE MASTER'!$V$2:$V$495&lt;=3)*('CASE MASTER'!$X$2:$X$495&gt;=3))*ROW('CASE MASTER'!$T$2:$T$495))-(ROW('CASE MASTER'!#REF!)-1)))&amp;TRIM(MID(SUBSTITUTE(SUBSTITUTE(INDEX('CASE MASTER'!$N$2:$N$495,(SUMPRODUCT((('CASE MASTER'!$T$2:$T$495=14)*('CASE MASTER'!$U$2:$U$495&lt;=8)*('CASE MASTER'!$W$2:$W$495&gt;=8)*('CASE MASTER'!$V$2:$V$495&lt;=3)*('CASE MASTER'!$X$2:$X$495&gt;=3))*ROW('CASE MASTER'!$T$2:$T$495))-(ROW('CASE MASTER'!#REF!)-1))),":",","),",",REPT(" ",50)),((((8-INDEX('CASE MASTER'!$U$2:$U$495,(SUMPRODUCT((('CASE MASTER'!$T$2:$T$495=14)*('CASE MASTER'!$U$2:$U$495&lt;=8)*('CASE MASTER'!$W$2:$W$495&gt;=8)*('CASE MASTER'!$V$2:$V$495&lt;=3)*('CASE MASTER'!$X$2:$X$495&gt;=3))*ROW('CASE MASTER'!$T$2:$T$495))-(ROW('CASE MASTER'!#REF!)-1))))*(INDEX('CASE MASTER'!$X$2:$X$495,(SUMPRODUCT((('CASE MASTER'!$T$2:$T$495=14)*('CASE MASTER'!$U$2:$U$495&lt;=8)*('CASE MASTER'!$W$2:$W$495&gt;=8)*('CASE MASTER'!$V$2:$V$495&lt;=3)*('CASE MASTER'!$X$2:$X$495&gt;=3))*ROW('CASE MASTER'!$T$2:$T$495))-(ROW('CASE MASTER'!#REF!)-1)))-INDEX('CASE MASTER'!$V$2:$V$495,(SUMPRODUCT((('CASE MASTER'!$T$2:$T$495=14)*('CASE MASTER'!$U$2:$U$495&lt;=8)*('CASE MASTER'!$W$2:$W$495&gt;=8)*('CASE MASTER'!$V$2:$V$495&lt;=3)*('CASE MASTER'!$X$2:$X$495&gt;=3))*ROW('CASE MASTER'!$T$2:$T$495))-(ROW('CASE MASTER'!#REF!)-1)))+1)+(3-INDEX('CASE MASTER'!$V$2:$V$495,(SUMPRODUCT((('CASE MASTER'!$T$2:$T$495=14)*('CASE MASTER'!$U$2:$U$495&lt;=8)*('CASE MASTER'!$W$2:$W$495&gt;=8)*('CASE MASTER'!$V$2:$V$495&lt;=3)*('CASE MASTER'!$X$2:$X$495&gt;=3))*ROW('CASE MASTER'!$T$2:$T$495))-(ROW('CASE MASTER'!#REF!)-1))))+1))-1)*50+1,50))&amp;"_"&amp;INDEX('CASE MASTER'!$Q$2:$Q$495,(SUMPRODUCT((('CASE MASTER'!$T$2:$T$495=14)*('CASE MASTER'!$U$2:$U$495&lt;=8)*('CASE MASTER'!$W$2:$W$495&gt;=8)*('CASE MASTER'!$V$2:$V$495&lt;=3)*('CASE MASTER'!$X$2:$X$495&gt;=3))*ROW('CASE MASTER'!$T$2:$T$495))-(ROW('CASE MASTER'!#REF!)-1))),IF(SUMPRODUCT((('CASE MASTER'!$T$2:$T$495=14)*('CASE MASTER'!$AA$2:$AA$495&lt;=8)*('CASE MASTER'!$AC$2:$AC$495&gt;=8)*('CASE MASTER'!$AB$2:$AB$495&lt;=3)*('CASE MASTER'!$AD$2:$AD$495&gt;=3))*ROW('CASE MASTER'!$T$2:$T$495))&gt;0,INDEX('CASE MASTER'!$Y$2:$Y$495,(SUMPRODUCT((('CASE MASTER'!$T$2:$T$495=14)*('CASE MASTER'!$AA$2:$AA$495&lt;=8)*('CASE MASTER'!$AC$2:$AC$495&gt;=8)*('CASE MASTER'!$AB$2:$AB$495&lt;=3)*('CASE MASTER'!$AD$2:$AD$495&gt;=3))*ROW('CASE MASTER'!$T$2:$T$495))-(ROW('CASE MASTER'!#REF!)-1)))&amp;TRIM(MID(SUBSTITUTE(SUBSTITUTE(INDEX('CASE MASTER'!$N$2:$N$495,(SUMPRODUCT((('CASE MASTER'!$T$2:$T$495=14)*('CASE MASTER'!$AA$2:$AA$495&lt;=8)*('CASE MASTER'!$AC$2:$AC$495&gt;=8)*('CASE MASTER'!$AB$2:$AB$495&lt;=3)*('CASE MASTER'!$AD$2:$AD$495&gt;=3))*ROW('CASE MASTER'!$T$2:$T$495))-(ROW('CASE MASTER'!#REF!)-1))),":",","),",",REPT(" ",50)),(((INDEX('CASE MASTER'!$Z$2:$Z$495,(SUMPRODUCT((('CASE MASTER'!$T$2:$T$495=14)*('CASE MASTER'!$AA$2:$AA$495&lt;=8)*('CASE MASTER'!$AC$2:$AC$495&gt;=8)*('CASE MASTER'!$AB$2:$AB$495&lt;=3)*('CASE MASTER'!$AD$2:$AD$495&gt;=3))*ROW('CASE MASTER'!$T$2:$T$495))-(ROW('CASE MASTER'!#REF!)-1)))+((8-INDEX('CASE MASTER'!$AA$2:$AA$495,(SUMPRODUCT((('CASE MASTER'!$T$2:$T$495=14)*('CASE MASTER'!$AA$2:$AA$495&lt;=8)*('CASE MASTER'!$AC$2:$AC$495&gt;=8)*('CASE MASTER'!$AB$2:$AB$495&lt;=3)*('CASE MASTER'!$AD$2:$AD$495&gt;=3))*ROW('CASE MASTER'!$T$2:$T$495))-(ROW('CASE MASTER'!#REF!)-1))))*(INDEX('CASE MASTER'!$AD$2:$AD$495,(SUMPRODUCT((('CASE MASTER'!$T$2:$T$495=14)*('CASE MASTER'!$AA$2:$AA$495&lt;=8)*('CASE MASTER'!$AC$2:$AC$495&gt;=8)*('CASE MASTER'!$AB$2:$AB$495&lt;=3)*('CASE MASTER'!$AD$2:$AD$495&gt;=3))*ROW('CASE MASTER'!$T$2:$T$495))-(ROW('CASE MASTER'!#REF!)-1)))-INDEX('CASE MASTER'!$AB$2:$AB$495,(SUMPRODUCT((('CASE MASTER'!$T$2:$T$495=14)*('CASE MASTER'!$AA$2:$AA$495&lt;=8)*('CASE MASTER'!$AC$2:$AC$495&gt;=8)*('CASE MASTER'!$AB$2:$AB$495&lt;=3)*('CASE MASTER'!$AD$2:$AD$495&gt;=3))*ROW('CASE MASTER'!$T$2:$T$495))-(ROW('CASE MASTER'!#REF!)-1)))+1)+(3-INDEX('CASE MASTER'!$AB$2:$AB$495,(SUMPRODUCT((('CASE MASTER'!$T$2:$T$495=14)*('CASE MASTER'!$AA$2:$AA$495&lt;=8)*('CASE MASTER'!$AC$2:$AC$495&gt;=8)*('CASE MASTER'!$AB$2:$AB$495&lt;=3)*('CASE MASTER'!$AD$2:$AD$495&gt;=3))*ROW('CASE MASTER'!$T$2:$T$495))-(ROW('CASE MASTER'!#REF!)-1))))+1)))-1)*50+1,50))&amp;"_"&amp;INDEX('CASE MASTER'!$Q$2:$Q$495,(SUMPRODUCT((('CASE MASTER'!$T$2:$T$495=14)*('CASE MASTER'!$AA$2:$AA$495&lt;=8)*('CASE MASTER'!$AC$2:$AC$495&gt;=8)*('CASE MASTER'!$AB$2:$AB$495&lt;=3)*('CASE MASTER'!$AD$2:$AD$495&gt;=3))*ROW('CASE MASTER'!$T$2:$T$495))-(ROW('CASE MASTER'!#REF!)-1))),"")),"")</f>
        <v/>
      </c>
      <c r="E192" s="10" t="str">
        <f>IFERROR(IF(SUMPRODUCT((('CASE MASTER'!$T$2:$T$495=14)*('CASE MASTER'!$U$2:$U$495&lt;=8)*('CASE MASTER'!$W$2:$W$495&gt;=8)*('CASE MASTER'!$V$2:$V$495&lt;=4)*('CASE MASTER'!$X$2:$X$495&gt;=4))*ROW('CASE MASTER'!$T$2:$T$495))&gt;0,INDEX('CASE MASTER'!$Y$2:$Y$495,(SUMPRODUCT((('CASE MASTER'!$T$2:$T$495=14)*('CASE MASTER'!$U$2:$U$495&lt;=8)*('CASE MASTER'!$W$2:$W$495&gt;=8)*('CASE MASTER'!$V$2:$V$495&lt;=4)*('CASE MASTER'!$X$2:$X$495&gt;=4))*ROW('CASE MASTER'!$T$2:$T$495))-(ROW('CASE MASTER'!#REF!)-1)))&amp;TRIM(MID(SUBSTITUTE(SUBSTITUTE(INDEX('CASE MASTER'!$N$2:$N$495,(SUMPRODUCT((('CASE MASTER'!$T$2:$T$495=14)*('CASE MASTER'!$U$2:$U$495&lt;=8)*('CASE MASTER'!$W$2:$W$495&gt;=8)*('CASE MASTER'!$V$2:$V$495&lt;=4)*('CASE MASTER'!$X$2:$X$495&gt;=4))*ROW('CASE MASTER'!$T$2:$T$495))-(ROW('CASE MASTER'!#REF!)-1))),":",","),",",REPT(" ",50)),((((8-INDEX('CASE MASTER'!$U$2:$U$495,(SUMPRODUCT((('CASE MASTER'!$T$2:$T$495=14)*('CASE MASTER'!$U$2:$U$495&lt;=8)*('CASE MASTER'!$W$2:$W$495&gt;=8)*('CASE MASTER'!$V$2:$V$495&lt;=4)*('CASE MASTER'!$X$2:$X$495&gt;=4))*ROW('CASE MASTER'!$T$2:$T$495))-(ROW('CASE MASTER'!#REF!)-1))))*(INDEX('CASE MASTER'!$X$2:$X$495,(SUMPRODUCT((('CASE MASTER'!$T$2:$T$495=14)*('CASE MASTER'!$U$2:$U$495&lt;=8)*('CASE MASTER'!$W$2:$W$495&gt;=8)*('CASE MASTER'!$V$2:$V$495&lt;=4)*('CASE MASTER'!$X$2:$X$495&gt;=4))*ROW('CASE MASTER'!$T$2:$T$495))-(ROW('CASE MASTER'!#REF!)-1)))-INDEX('CASE MASTER'!$V$2:$V$495,(SUMPRODUCT((('CASE MASTER'!$T$2:$T$495=14)*('CASE MASTER'!$U$2:$U$495&lt;=8)*('CASE MASTER'!$W$2:$W$495&gt;=8)*('CASE MASTER'!$V$2:$V$495&lt;=4)*('CASE MASTER'!$X$2:$X$495&gt;=4))*ROW('CASE MASTER'!$T$2:$T$495))-(ROW('CASE MASTER'!#REF!)-1)))+1)+(4-INDEX('CASE MASTER'!$V$2:$V$495,(SUMPRODUCT((('CASE MASTER'!$T$2:$T$495=14)*('CASE MASTER'!$U$2:$U$495&lt;=8)*('CASE MASTER'!$W$2:$W$495&gt;=8)*('CASE MASTER'!$V$2:$V$495&lt;=4)*('CASE MASTER'!$X$2:$X$495&gt;=4))*ROW('CASE MASTER'!$T$2:$T$495))-(ROW('CASE MASTER'!#REF!)-1))))+1))-1)*50+1,50))&amp;"_"&amp;INDEX('CASE MASTER'!$Q$2:$Q$495,(SUMPRODUCT((('CASE MASTER'!$T$2:$T$495=14)*('CASE MASTER'!$U$2:$U$495&lt;=8)*('CASE MASTER'!$W$2:$W$495&gt;=8)*('CASE MASTER'!$V$2:$V$495&lt;=4)*('CASE MASTER'!$X$2:$X$495&gt;=4))*ROW('CASE MASTER'!$T$2:$T$495))-(ROW('CASE MASTER'!#REF!)-1))),IF(SUMPRODUCT((('CASE MASTER'!$T$2:$T$495=14)*('CASE MASTER'!$AA$2:$AA$495&lt;=8)*('CASE MASTER'!$AC$2:$AC$495&gt;=8)*('CASE MASTER'!$AB$2:$AB$495&lt;=4)*('CASE MASTER'!$AD$2:$AD$495&gt;=4))*ROW('CASE MASTER'!$T$2:$T$495))&gt;0,INDEX('CASE MASTER'!$Y$2:$Y$495,(SUMPRODUCT((('CASE MASTER'!$T$2:$T$495=14)*('CASE MASTER'!$AA$2:$AA$495&lt;=8)*('CASE MASTER'!$AC$2:$AC$495&gt;=8)*('CASE MASTER'!$AB$2:$AB$495&lt;=4)*('CASE MASTER'!$AD$2:$AD$495&gt;=4))*ROW('CASE MASTER'!$T$2:$T$495))-(ROW('CASE MASTER'!#REF!)-1)))&amp;TRIM(MID(SUBSTITUTE(SUBSTITUTE(INDEX('CASE MASTER'!$N$2:$N$495,(SUMPRODUCT((('CASE MASTER'!$T$2:$T$495=14)*('CASE MASTER'!$AA$2:$AA$495&lt;=8)*('CASE MASTER'!$AC$2:$AC$495&gt;=8)*('CASE MASTER'!$AB$2:$AB$495&lt;=4)*('CASE MASTER'!$AD$2:$AD$495&gt;=4))*ROW('CASE MASTER'!$T$2:$T$495))-(ROW('CASE MASTER'!#REF!)-1))),":",","),",",REPT(" ",50)),(((INDEX('CASE MASTER'!$Z$2:$Z$495,(SUMPRODUCT((('CASE MASTER'!$T$2:$T$495=14)*('CASE MASTER'!$AA$2:$AA$495&lt;=8)*('CASE MASTER'!$AC$2:$AC$495&gt;=8)*('CASE MASTER'!$AB$2:$AB$495&lt;=4)*('CASE MASTER'!$AD$2:$AD$495&gt;=4))*ROW('CASE MASTER'!$T$2:$T$495))-(ROW('CASE MASTER'!#REF!)-1)))+((8-INDEX('CASE MASTER'!$AA$2:$AA$495,(SUMPRODUCT((('CASE MASTER'!$T$2:$T$495=14)*('CASE MASTER'!$AA$2:$AA$495&lt;=8)*('CASE MASTER'!$AC$2:$AC$495&gt;=8)*('CASE MASTER'!$AB$2:$AB$495&lt;=4)*('CASE MASTER'!$AD$2:$AD$495&gt;=4))*ROW('CASE MASTER'!$T$2:$T$495))-(ROW('CASE MASTER'!#REF!)-1))))*(INDEX('CASE MASTER'!$AD$2:$AD$495,(SUMPRODUCT((('CASE MASTER'!$T$2:$T$495=14)*('CASE MASTER'!$AA$2:$AA$495&lt;=8)*('CASE MASTER'!$AC$2:$AC$495&gt;=8)*('CASE MASTER'!$AB$2:$AB$495&lt;=4)*('CASE MASTER'!$AD$2:$AD$495&gt;=4))*ROW('CASE MASTER'!$T$2:$T$495))-(ROW('CASE MASTER'!#REF!)-1)))-INDEX('CASE MASTER'!$AB$2:$AB$495,(SUMPRODUCT((('CASE MASTER'!$T$2:$T$495=14)*('CASE MASTER'!$AA$2:$AA$495&lt;=8)*('CASE MASTER'!$AC$2:$AC$495&gt;=8)*('CASE MASTER'!$AB$2:$AB$495&lt;=4)*('CASE MASTER'!$AD$2:$AD$495&gt;=4))*ROW('CASE MASTER'!$T$2:$T$495))-(ROW('CASE MASTER'!#REF!)-1)))+1)+(4-INDEX('CASE MASTER'!$AB$2:$AB$495,(SUMPRODUCT((('CASE MASTER'!$T$2:$T$495=14)*('CASE MASTER'!$AA$2:$AA$495&lt;=8)*('CASE MASTER'!$AC$2:$AC$495&gt;=8)*('CASE MASTER'!$AB$2:$AB$495&lt;=4)*('CASE MASTER'!$AD$2:$AD$495&gt;=4))*ROW('CASE MASTER'!$T$2:$T$495))-(ROW('CASE MASTER'!#REF!)-1))))+1)))-1)*50+1,50))&amp;"_"&amp;INDEX('CASE MASTER'!$Q$2:$Q$495,(SUMPRODUCT((('CASE MASTER'!$T$2:$T$495=14)*('CASE MASTER'!$AA$2:$AA$495&lt;=8)*('CASE MASTER'!$AC$2:$AC$495&gt;=8)*('CASE MASTER'!$AB$2:$AB$495&lt;=4)*('CASE MASTER'!$AD$2:$AD$495&gt;=4))*ROW('CASE MASTER'!$T$2:$T$495))-(ROW('CASE MASTER'!#REF!)-1))),"")),"")</f>
        <v/>
      </c>
      <c r="F192" s="10" t="str">
        <f>IFERROR(IF(SUMPRODUCT((('CASE MASTER'!$T$2:$T$495=14)*('CASE MASTER'!$U$2:$U$495&lt;=8)*('CASE MASTER'!$W$2:$W$495&gt;=8)*('CASE MASTER'!$V$2:$V$495&lt;=5)*('CASE MASTER'!$X$2:$X$495&gt;=5))*ROW('CASE MASTER'!$T$2:$T$495))&gt;0,INDEX('CASE MASTER'!$Y$2:$Y$495,(SUMPRODUCT((('CASE MASTER'!$T$2:$T$495=14)*('CASE MASTER'!$U$2:$U$495&lt;=8)*('CASE MASTER'!$W$2:$W$495&gt;=8)*('CASE MASTER'!$V$2:$V$495&lt;=5)*('CASE MASTER'!$X$2:$X$495&gt;=5))*ROW('CASE MASTER'!$T$2:$T$495))-(ROW('CASE MASTER'!#REF!)-1)))&amp;TRIM(MID(SUBSTITUTE(SUBSTITUTE(INDEX('CASE MASTER'!$N$2:$N$495,(SUMPRODUCT((('CASE MASTER'!$T$2:$T$495=14)*('CASE MASTER'!$U$2:$U$495&lt;=8)*('CASE MASTER'!$W$2:$W$495&gt;=8)*('CASE MASTER'!$V$2:$V$495&lt;=5)*('CASE MASTER'!$X$2:$X$495&gt;=5))*ROW('CASE MASTER'!$T$2:$T$495))-(ROW('CASE MASTER'!#REF!)-1))),":",","),",",REPT(" ",50)),((((8-INDEX('CASE MASTER'!$U$2:$U$495,(SUMPRODUCT((('CASE MASTER'!$T$2:$T$495=14)*('CASE MASTER'!$U$2:$U$495&lt;=8)*('CASE MASTER'!$W$2:$W$495&gt;=8)*('CASE MASTER'!$V$2:$V$495&lt;=5)*('CASE MASTER'!$X$2:$X$495&gt;=5))*ROW('CASE MASTER'!$T$2:$T$495))-(ROW('CASE MASTER'!#REF!)-1))))*(INDEX('CASE MASTER'!$X$2:$X$495,(SUMPRODUCT((('CASE MASTER'!$T$2:$T$495=14)*('CASE MASTER'!$U$2:$U$495&lt;=8)*('CASE MASTER'!$W$2:$W$495&gt;=8)*('CASE MASTER'!$V$2:$V$495&lt;=5)*('CASE MASTER'!$X$2:$X$495&gt;=5))*ROW('CASE MASTER'!$T$2:$T$495))-(ROW('CASE MASTER'!#REF!)-1)))-INDEX('CASE MASTER'!$V$2:$V$495,(SUMPRODUCT((('CASE MASTER'!$T$2:$T$495=14)*('CASE MASTER'!$U$2:$U$495&lt;=8)*('CASE MASTER'!$W$2:$W$495&gt;=8)*('CASE MASTER'!$V$2:$V$495&lt;=5)*('CASE MASTER'!$X$2:$X$495&gt;=5))*ROW('CASE MASTER'!$T$2:$T$495))-(ROW('CASE MASTER'!#REF!)-1)))+1)+(5-INDEX('CASE MASTER'!$V$2:$V$495,(SUMPRODUCT((('CASE MASTER'!$T$2:$T$495=14)*('CASE MASTER'!$U$2:$U$495&lt;=8)*('CASE MASTER'!$W$2:$W$495&gt;=8)*('CASE MASTER'!$V$2:$V$495&lt;=5)*('CASE MASTER'!$X$2:$X$495&gt;=5))*ROW('CASE MASTER'!$T$2:$T$495))-(ROW('CASE MASTER'!#REF!)-1))))+1))-1)*50+1,50))&amp;"_"&amp;INDEX('CASE MASTER'!$Q$2:$Q$495,(SUMPRODUCT((('CASE MASTER'!$T$2:$T$495=14)*('CASE MASTER'!$U$2:$U$495&lt;=8)*('CASE MASTER'!$W$2:$W$495&gt;=8)*('CASE MASTER'!$V$2:$V$495&lt;=5)*('CASE MASTER'!$X$2:$X$495&gt;=5))*ROW('CASE MASTER'!$T$2:$T$495))-(ROW('CASE MASTER'!#REF!)-1))),IF(SUMPRODUCT((('CASE MASTER'!$T$2:$T$495=14)*('CASE MASTER'!$AA$2:$AA$495&lt;=8)*('CASE MASTER'!$AC$2:$AC$495&gt;=8)*('CASE MASTER'!$AB$2:$AB$495&lt;=5)*('CASE MASTER'!$AD$2:$AD$495&gt;=5))*ROW('CASE MASTER'!$T$2:$T$495))&gt;0,INDEX('CASE MASTER'!$Y$2:$Y$495,(SUMPRODUCT((('CASE MASTER'!$T$2:$T$495=14)*('CASE MASTER'!$AA$2:$AA$495&lt;=8)*('CASE MASTER'!$AC$2:$AC$495&gt;=8)*('CASE MASTER'!$AB$2:$AB$495&lt;=5)*('CASE MASTER'!$AD$2:$AD$495&gt;=5))*ROW('CASE MASTER'!$T$2:$T$495))-(ROW('CASE MASTER'!#REF!)-1)))&amp;TRIM(MID(SUBSTITUTE(SUBSTITUTE(INDEX('CASE MASTER'!$N$2:$N$495,(SUMPRODUCT((('CASE MASTER'!$T$2:$T$495=14)*('CASE MASTER'!$AA$2:$AA$495&lt;=8)*('CASE MASTER'!$AC$2:$AC$495&gt;=8)*('CASE MASTER'!$AB$2:$AB$495&lt;=5)*('CASE MASTER'!$AD$2:$AD$495&gt;=5))*ROW('CASE MASTER'!$T$2:$T$495))-(ROW('CASE MASTER'!#REF!)-1))),":",","),",",REPT(" ",50)),(((INDEX('CASE MASTER'!$Z$2:$Z$495,(SUMPRODUCT((('CASE MASTER'!$T$2:$T$495=14)*('CASE MASTER'!$AA$2:$AA$495&lt;=8)*('CASE MASTER'!$AC$2:$AC$495&gt;=8)*('CASE MASTER'!$AB$2:$AB$495&lt;=5)*('CASE MASTER'!$AD$2:$AD$495&gt;=5))*ROW('CASE MASTER'!$T$2:$T$495))-(ROW('CASE MASTER'!#REF!)-1)))+((8-INDEX('CASE MASTER'!$AA$2:$AA$495,(SUMPRODUCT((('CASE MASTER'!$T$2:$T$495=14)*('CASE MASTER'!$AA$2:$AA$495&lt;=8)*('CASE MASTER'!$AC$2:$AC$495&gt;=8)*('CASE MASTER'!$AB$2:$AB$495&lt;=5)*('CASE MASTER'!$AD$2:$AD$495&gt;=5))*ROW('CASE MASTER'!$T$2:$T$495))-(ROW('CASE MASTER'!#REF!)-1))))*(INDEX('CASE MASTER'!$AD$2:$AD$495,(SUMPRODUCT((('CASE MASTER'!$T$2:$T$495=14)*('CASE MASTER'!$AA$2:$AA$495&lt;=8)*('CASE MASTER'!$AC$2:$AC$495&gt;=8)*('CASE MASTER'!$AB$2:$AB$495&lt;=5)*('CASE MASTER'!$AD$2:$AD$495&gt;=5))*ROW('CASE MASTER'!$T$2:$T$495))-(ROW('CASE MASTER'!#REF!)-1)))-INDEX('CASE MASTER'!$AB$2:$AB$495,(SUMPRODUCT((('CASE MASTER'!$T$2:$T$495=14)*('CASE MASTER'!$AA$2:$AA$495&lt;=8)*('CASE MASTER'!$AC$2:$AC$495&gt;=8)*('CASE MASTER'!$AB$2:$AB$495&lt;=5)*('CASE MASTER'!$AD$2:$AD$495&gt;=5))*ROW('CASE MASTER'!$T$2:$T$495))-(ROW('CASE MASTER'!#REF!)-1)))+1)+(5-INDEX('CASE MASTER'!$AB$2:$AB$495,(SUMPRODUCT((('CASE MASTER'!$T$2:$T$495=14)*('CASE MASTER'!$AA$2:$AA$495&lt;=8)*('CASE MASTER'!$AC$2:$AC$495&gt;=8)*('CASE MASTER'!$AB$2:$AB$495&lt;=5)*('CASE MASTER'!$AD$2:$AD$495&gt;=5))*ROW('CASE MASTER'!$T$2:$T$495))-(ROW('CASE MASTER'!#REF!)-1))))+1)))-1)*50+1,50))&amp;"_"&amp;INDEX('CASE MASTER'!$Q$2:$Q$495,(SUMPRODUCT((('CASE MASTER'!$T$2:$T$495=14)*('CASE MASTER'!$AA$2:$AA$495&lt;=8)*('CASE MASTER'!$AC$2:$AC$495&gt;=8)*('CASE MASTER'!$AB$2:$AB$495&lt;=5)*('CASE MASTER'!$AD$2:$AD$495&gt;=5))*ROW('CASE MASTER'!$T$2:$T$495))-(ROW('CASE MASTER'!#REF!)-1))),"")),"")</f>
        <v/>
      </c>
      <c r="G192" s="10" t="str">
        <f>IFERROR(IF(SUMPRODUCT((('CASE MASTER'!$T$2:$T$495=14)*('CASE MASTER'!$U$2:$U$495&lt;=8)*('CASE MASTER'!$W$2:$W$495&gt;=8)*('CASE MASTER'!$V$2:$V$495&lt;=6)*('CASE MASTER'!$X$2:$X$495&gt;=6))*ROW('CASE MASTER'!$T$2:$T$495))&gt;0,INDEX('CASE MASTER'!$Y$2:$Y$495,(SUMPRODUCT((('CASE MASTER'!$T$2:$T$495=14)*('CASE MASTER'!$U$2:$U$495&lt;=8)*('CASE MASTER'!$W$2:$W$495&gt;=8)*('CASE MASTER'!$V$2:$V$495&lt;=6)*('CASE MASTER'!$X$2:$X$495&gt;=6))*ROW('CASE MASTER'!$T$2:$T$495))-(ROW('CASE MASTER'!#REF!)-1)))&amp;TRIM(MID(SUBSTITUTE(SUBSTITUTE(INDEX('CASE MASTER'!$N$2:$N$495,(SUMPRODUCT((('CASE MASTER'!$T$2:$T$495=14)*('CASE MASTER'!$U$2:$U$495&lt;=8)*('CASE MASTER'!$W$2:$W$495&gt;=8)*('CASE MASTER'!$V$2:$V$495&lt;=6)*('CASE MASTER'!$X$2:$X$495&gt;=6))*ROW('CASE MASTER'!$T$2:$T$495))-(ROW('CASE MASTER'!#REF!)-1))),":",","),",",REPT(" ",50)),((((8-INDEX('CASE MASTER'!$U$2:$U$495,(SUMPRODUCT((('CASE MASTER'!$T$2:$T$495=14)*('CASE MASTER'!$U$2:$U$495&lt;=8)*('CASE MASTER'!$W$2:$W$495&gt;=8)*('CASE MASTER'!$V$2:$V$495&lt;=6)*('CASE MASTER'!$X$2:$X$495&gt;=6))*ROW('CASE MASTER'!$T$2:$T$495))-(ROW('CASE MASTER'!#REF!)-1))))*(INDEX('CASE MASTER'!$X$2:$X$495,(SUMPRODUCT((('CASE MASTER'!$T$2:$T$495=14)*('CASE MASTER'!$U$2:$U$495&lt;=8)*('CASE MASTER'!$W$2:$W$495&gt;=8)*('CASE MASTER'!$V$2:$V$495&lt;=6)*('CASE MASTER'!$X$2:$X$495&gt;=6))*ROW('CASE MASTER'!$T$2:$T$495))-(ROW('CASE MASTER'!#REF!)-1)))-INDEX('CASE MASTER'!$V$2:$V$495,(SUMPRODUCT((('CASE MASTER'!$T$2:$T$495=14)*('CASE MASTER'!$U$2:$U$495&lt;=8)*('CASE MASTER'!$W$2:$W$495&gt;=8)*('CASE MASTER'!$V$2:$V$495&lt;=6)*('CASE MASTER'!$X$2:$X$495&gt;=6))*ROW('CASE MASTER'!$T$2:$T$495))-(ROW('CASE MASTER'!#REF!)-1)))+1)+(6-INDEX('CASE MASTER'!$V$2:$V$495,(SUMPRODUCT((('CASE MASTER'!$T$2:$T$495=14)*('CASE MASTER'!$U$2:$U$495&lt;=8)*('CASE MASTER'!$W$2:$W$495&gt;=8)*('CASE MASTER'!$V$2:$V$495&lt;=6)*('CASE MASTER'!$X$2:$X$495&gt;=6))*ROW('CASE MASTER'!$T$2:$T$495))-(ROW('CASE MASTER'!#REF!)-1))))+1))-1)*50+1,50))&amp;"_"&amp;INDEX('CASE MASTER'!$Q$2:$Q$495,(SUMPRODUCT((('CASE MASTER'!$T$2:$T$495=14)*('CASE MASTER'!$U$2:$U$495&lt;=8)*('CASE MASTER'!$W$2:$W$495&gt;=8)*('CASE MASTER'!$V$2:$V$495&lt;=6)*('CASE MASTER'!$X$2:$X$495&gt;=6))*ROW('CASE MASTER'!$T$2:$T$495))-(ROW('CASE MASTER'!#REF!)-1))),IF(SUMPRODUCT((('CASE MASTER'!$T$2:$T$495=14)*('CASE MASTER'!$AA$2:$AA$495&lt;=8)*('CASE MASTER'!$AC$2:$AC$495&gt;=8)*('CASE MASTER'!$AB$2:$AB$495&lt;=6)*('CASE MASTER'!$AD$2:$AD$495&gt;=6))*ROW('CASE MASTER'!$T$2:$T$495))&gt;0,INDEX('CASE MASTER'!$Y$2:$Y$495,(SUMPRODUCT((('CASE MASTER'!$T$2:$T$495=14)*('CASE MASTER'!$AA$2:$AA$495&lt;=8)*('CASE MASTER'!$AC$2:$AC$495&gt;=8)*('CASE MASTER'!$AB$2:$AB$495&lt;=6)*('CASE MASTER'!$AD$2:$AD$495&gt;=6))*ROW('CASE MASTER'!$T$2:$T$495))-(ROW('CASE MASTER'!#REF!)-1)))&amp;TRIM(MID(SUBSTITUTE(SUBSTITUTE(INDEX('CASE MASTER'!$N$2:$N$495,(SUMPRODUCT((('CASE MASTER'!$T$2:$T$495=14)*('CASE MASTER'!$AA$2:$AA$495&lt;=8)*('CASE MASTER'!$AC$2:$AC$495&gt;=8)*('CASE MASTER'!$AB$2:$AB$495&lt;=6)*('CASE MASTER'!$AD$2:$AD$495&gt;=6))*ROW('CASE MASTER'!$T$2:$T$495))-(ROW('CASE MASTER'!#REF!)-1))),":",","),",",REPT(" ",50)),(((INDEX('CASE MASTER'!$Z$2:$Z$495,(SUMPRODUCT((('CASE MASTER'!$T$2:$T$495=14)*('CASE MASTER'!$AA$2:$AA$495&lt;=8)*('CASE MASTER'!$AC$2:$AC$495&gt;=8)*('CASE MASTER'!$AB$2:$AB$495&lt;=6)*('CASE MASTER'!$AD$2:$AD$495&gt;=6))*ROW('CASE MASTER'!$T$2:$T$495))-(ROW('CASE MASTER'!#REF!)-1)))+((8-INDEX('CASE MASTER'!$AA$2:$AA$495,(SUMPRODUCT((('CASE MASTER'!$T$2:$T$495=14)*('CASE MASTER'!$AA$2:$AA$495&lt;=8)*('CASE MASTER'!$AC$2:$AC$495&gt;=8)*('CASE MASTER'!$AB$2:$AB$495&lt;=6)*('CASE MASTER'!$AD$2:$AD$495&gt;=6))*ROW('CASE MASTER'!$T$2:$T$495))-(ROW('CASE MASTER'!#REF!)-1))))*(INDEX('CASE MASTER'!$AD$2:$AD$495,(SUMPRODUCT((('CASE MASTER'!$T$2:$T$495=14)*('CASE MASTER'!$AA$2:$AA$495&lt;=8)*('CASE MASTER'!$AC$2:$AC$495&gt;=8)*('CASE MASTER'!$AB$2:$AB$495&lt;=6)*('CASE MASTER'!$AD$2:$AD$495&gt;=6))*ROW('CASE MASTER'!$T$2:$T$495))-(ROW('CASE MASTER'!#REF!)-1)))-INDEX('CASE MASTER'!$AB$2:$AB$495,(SUMPRODUCT((('CASE MASTER'!$T$2:$T$495=14)*('CASE MASTER'!$AA$2:$AA$495&lt;=8)*('CASE MASTER'!$AC$2:$AC$495&gt;=8)*('CASE MASTER'!$AB$2:$AB$495&lt;=6)*('CASE MASTER'!$AD$2:$AD$495&gt;=6))*ROW('CASE MASTER'!$T$2:$T$495))-(ROW('CASE MASTER'!#REF!)-1)))+1)+(6-INDEX('CASE MASTER'!$AB$2:$AB$495,(SUMPRODUCT((('CASE MASTER'!$T$2:$T$495=14)*('CASE MASTER'!$AA$2:$AA$495&lt;=8)*('CASE MASTER'!$AC$2:$AC$495&gt;=8)*('CASE MASTER'!$AB$2:$AB$495&lt;=6)*('CASE MASTER'!$AD$2:$AD$495&gt;=6))*ROW('CASE MASTER'!$T$2:$T$495))-(ROW('CASE MASTER'!#REF!)-1))))+1)))-1)*50+1,50))&amp;"_"&amp;INDEX('CASE MASTER'!$Q$2:$Q$495,(SUMPRODUCT((('CASE MASTER'!$T$2:$T$495=14)*('CASE MASTER'!$AA$2:$AA$495&lt;=8)*('CASE MASTER'!$AC$2:$AC$495&gt;=8)*('CASE MASTER'!$AB$2:$AB$495&lt;=6)*('CASE MASTER'!$AD$2:$AD$495&gt;=6))*ROW('CASE MASTER'!$T$2:$T$495))-(ROW('CASE MASTER'!#REF!)-1))),"")),"")</f>
        <v/>
      </c>
      <c r="H192" s="10" t="str">
        <f>IFERROR(IF(SUMPRODUCT((('CASE MASTER'!$T$2:$T$495=14)*('CASE MASTER'!$U$2:$U$495&lt;=8)*('CASE MASTER'!$W$2:$W$495&gt;=8)*('CASE MASTER'!$V$2:$V$495&lt;=7)*('CASE MASTER'!$X$2:$X$495&gt;=7))*ROW('CASE MASTER'!$T$2:$T$495))&gt;0,INDEX('CASE MASTER'!$Y$2:$Y$495,(SUMPRODUCT((('CASE MASTER'!$T$2:$T$495=14)*('CASE MASTER'!$U$2:$U$495&lt;=8)*('CASE MASTER'!$W$2:$W$495&gt;=8)*('CASE MASTER'!$V$2:$V$495&lt;=7)*('CASE MASTER'!$X$2:$X$495&gt;=7))*ROW('CASE MASTER'!$T$2:$T$495))-(ROW('CASE MASTER'!#REF!)-1)))&amp;TRIM(MID(SUBSTITUTE(SUBSTITUTE(INDEX('CASE MASTER'!$N$2:$N$495,(SUMPRODUCT((('CASE MASTER'!$T$2:$T$495=14)*('CASE MASTER'!$U$2:$U$495&lt;=8)*('CASE MASTER'!$W$2:$W$495&gt;=8)*('CASE MASTER'!$V$2:$V$495&lt;=7)*('CASE MASTER'!$X$2:$X$495&gt;=7))*ROW('CASE MASTER'!$T$2:$T$495))-(ROW('CASE MASTER'!#REF!)-1))),":",","),",",REPT(" ",50)),((((8-INDEX('CASE MASTER'!$U$2:$U$495,(SUMPRODUCT((('CASE MASTER'!$T$2:$T$495=14)*('CASE MASTER'!$U$2:$U$495&lt;=8)*('CASE MASTER'!$W$2:$W$495&gt;=8)*('CASE MASTER'!$V$2:$V$495&lt;=7)*('CASE MASTER'!$X$2:$X$495&gt;=7))*ROW('CASE MASTER'!$T$2:$T$495))-(ROW('CASE MASTER'!#REF!)-1))))*(INDEX('CASE MASTER'!$X$2:$X$495,(SUMPRODUCT((('CASE MASTER'!$T$2:$T$495=14)*('CASE MASTER'!$U$2:$U$495&lt;=8)*('CASE MASTER'!$W$2:$W$495&gt;=8)*('CASE MASTER'!$V$2:$V$495&lt;=7)*('CASE MASTER'!$X$2:$X$495&gt;=7))*ROW('CASE MASTER'!$T$2:$T$495))-(ROW('CASE MASTER'!#REF!)-1)))-INDEX('CASE MASTER'!$V$2:$V$495,(SUMPRODUCT((('CASE MASTER'!$T$2:$T$495=14)*('CASE MASTER'!$U$2:$U$495&lt;=8)*('CASE MASTER'!$W$2:$W$495&gt;=8)*('CASE MASTER'!$V$2:$V$495&lt;=7)*('CASE MASTER'!$X$2:$X$495&gt;=7))*ROW('CASE MASTER'!$T$2:$T$495))-(ROW('CASE MASTER'!#REF!)-1)))+1)+(7-INDEX('CASE MASTER'!$V$2:$V$495,(SUMPRODUCT((('CASE MASTER'!$T$2:$T$495=14)*('CASE MASTER'!$U$2:$U$495&lt;=8)*('CASE MASTER'!$W$2:$W$495&gt;=8)*('CASE MASTER'!$V$2:$V$495&lt;=7)*('CASE MASTER'!$X$2:$X$495&gt;=7))*ROW('CASE MASTER'!$T$2:$T$495))-(ROW('CASE MASTER'!#REF!)-1))))+1))-1)*50+1,50))&amp;"_"&amp;INDEX('CASE MASTER'!$Q$2:$Q$495,(SUMPRODUCT((('CASE MASTER'!$T$2:$T$495=14)*('CASE MASTER'!$U$2:$U$495&lt;=8)*('CASE MASTER'!$W$2:$W$495&gt;=8)*('CASE MASTER'!$V$2:$V$495&lt;=7)*('CASE MASTER'!$X$2:$X$495&gt;=7))*ROW('CASE MASTER'!$T$2:$T$495))-(ROW('CASE MASTER'!#REF!)-1))),IF(SUMPRODUCT((('CASE MASTER'!$T$2:$T$495=14)*('CASE MASTER'!$AA$2:$AA$495&lt;=8)*('CASE MASTER'!$AC$2:$AC$495&gt;=8)*('CASE MASTER'!$AB$2:$AB$495&lt;=7)*('CASE MASTER'!$AD$2:$AD$495&gt;=7))*ROW('CASE MASTER'!$T$2:$T$495))&gt;0,INDEX('CASE MASTER'!$Y$2:$Y$495,(SUMPRODUCT((('CASE MASTER'!$T$2:$T$495=14)*('CASE MASTER'!$AA$2:$AA$495&lt;=8)*('CASE MASTER'!$AC$2:$AC$495&gt;=8)*('CASE MASTER'!$AB$2:$AB$495&lt;=7)*('CASE MASTER'!$AD$2:$AD$495&gt;=7))*ROW('CASE MASTER'!$T$2:$T$495))-(ROW('CASE MASTER'!#REF!)-1)))&amp;TRIM(MID(SUBSTITUTE(SUBSTITUTE(INDEX('CASE MASTER'!$N$2:$N$495,(SUMPRODUCT((('CASE MASTER'!$T$2:$T$495=14)*('CASE MASTER'!$AA$2:$AA$495&lt;=8)*('CASE MASTER'!$AC$2:$AC$495&gt;=8)*('CASE MASTER'!$AB$2:$AB$495&lt;=7)*('CASE MASTER'!$AD$2:$AD$495&gt;=7))*ROW('CASE MASTER'!$T$2:$T$495))-(ROW('CASE MASTER'!#REF!)-1))),":",","),",",REPT(" ",50)),(((INDEX('CASE MASTER'!$Z$2:$Z$495,(SUMPRODUCT((('CASE MASTER'!$T$2:$T$495=14)*('CASE MASTER'!$AA$2:$AA$495&lt;=8)*('CASE MASTER'!$AC$2:$AC$495&gt;=8)*('CASE MASTER'!$AB$2:$AB$495&lt;=7)*('CASE MASTER'!$AD$2:$AD$495&gt;=7))*ROW('CASE MASTER'!$T$2:$T$495))-(ROW('CASE MASTER'!#REF!)-1)))+((8-INDEX('CASE MASTER'!$AA$2:$AA$495,(SUMPRODUCT((('CASE MASTER'!$T$2:$T$495=14)*('CASE MASTER'!$AA$2:$AA$495&lt;=8)*('CASE MASTER'!$AC$2:$AC$495&gt;=8)*('CASE MASTER'!$AB$2:$AB$495&lt;=7)*('CASE MASTER'!$AD$2:$AD$495&gt;=7))*ROW('CASE MASTER'!$T$2:$T$495))-(ROW('CASE MASTER'!#REF!)-1))))*(INDEX('CASE MASTER'!$AD$2:$AD$495,(SUMPRODUCT((('CASE MASTER'!$T$2:$T$495=14)*('CASE MASTER'!$AA$2:$AA$495&lt;=8)*('CASE MASTER'!$AC$2:$AC$495&gt;=8)*('CASE MASTER'!$AB$2:$AB$495&lt;=7)*('CASE MASTER'!$AD$2:$AD$495&gt;=7))*ROW('CASE MASTER'!$T$2:$T$495))-(ROW('CASE MASTER'!#REF!)-1)))-INDEX('CASE MASTER'!$AB$2:$AB$495,(SUMPRODUCT((('CASE MASTER'!$T$2:$T$495=14)*('CASE MASTER'!$AA$2:$AA$495&lt;=8)*('CASE MASTER'!$AC$2:$AC$495&gt;=8)*('CASE MASTER'!$AB$2:$AB$495&lt;=7)*('CASE MASTER'!$AD$2:$AD$495&gt;=7))*ROW('CASE MASTER'!$T$2:$T$495))-(ROW('CASE MASTER'!#REF!)-1)))+1)+(7-INDEX('CASE MASTER'!$AB$2:$AB$495,(SUMPRODUCT((('CASE MASTER'!$T$2:$T$495=14)*('CASE MASTER'!$AA$2:$AA$495&lt;=8)*('CASE MASTER'!$AC$2:$AC$495&gt;=8)*('CASE MASTER'!$AB$2:$AB$495&lt;=7)*('CASE MASTER'!$AD$2:$AD$495&gt;=7))*ROW('CASE MASTER'!$T$2:$T$495))-(ROW('CASE MASTER'!#REF!)-1))))+1)))-1)*50+1,50))&amp;"_"&amp;INDEX('CASE MASTER'!$Q$2:$Q$495,(SUMPRODUCT((('CASE MASTER'!$T$2:$T$495=14)*('CASE MASTER'!$AA$2:$AA$495&lt;=8)*('CASE MASTER'!$AC$2:$AC$495&gt;=8)*('CASE MASTER'!$AB$2:$AB$495&lt;=7)*('CASE MASTER'!$AD$2:$AD$495&gt;=7))*ROW('CASE MASTER'!$T$2:$T$495))-(ROW('CASE MASTER'!#REF!)-1))),"")),"")</f>
        <v/>
      </c>
      <c r="I192" s="10" t="str">
        <f>IFERROR(IF(SUMPRODUCT((('CASE MASTER'!$T$2:$T$495=14)*('CASE MASTER'!$U$2:$U$495&lt;=8)*('CASE MASTER'!$W$2:$W$495&gt;=8)*('CASE MASTER'!$V$2:$V$495&lt;=8)*('CASE MASTER'!$X$2:$X$495&gt;=8))*ROW('CASE MASTER'!$T$2:$T$495))&gt;0,INDEX('CASE MASTER'!$Y$2:$Y$495,(SUMPRODUCT((('CASE MASTER'!$T$2:$T$495=14)*('CASE MASTER'!$U$2:$U$495&lt;=8)*('CASE MASTER'!$W$2:$W$495&gt;=8)*('CASE MASTER'!$V$2:$V$495&lt;=8)*('CASE MASTER'!$X$2:$X$495&gt;=8))*ROW('CASE MASTER'!$T$2:$T$495))-(ROW('CASE MASTER'!#REF!)-1)))&amp;TRIM(MID(SUBSTITUTE(SUBSTITUTE(INDEX('CASE MASTER'!$N$2:$N$495,(SUMPRODUCT((('CASE MASTER'!$T$2:$T$495=14)*('CASE MASTER'!$U$2:$U$495&lt;=8)*('CASE MASTER'!$W$2:$W$495&gt;=8)*('CASE MASTER'!$V$2:$V$495&lt;=8)*('CASE MASTER'!$X$2:$X$495&gt;=8))*ROW('CASE MASTER'!$T$2:$T$495))-(ROW('CASE MASTER'!#REF!)-1))),":",","),",",REPT(" ",50)),((((8-INDEX('CASE MASTER'!$U$2:$U$495,(SUMPRODUCT((('CASE MASTER'!$T$2:$T$495=14)*('CASE MASTER'!$U$2:$U$495&lt;=8)*('CASE MASTER'!$W$2:$W$495&gt;=8)*('CASE MASTER'!$V$2:$V$495&lt;=8)*('CASE MASTER'!$X$2:$X$495&gt;=8))*ROW('CASE MASTER'!$T$2:$T$495))-(ROW('CASE MASTER'!#REF!)-1))))*(INDEX('CASE MASTER'!$X$2:$X$495,(SUMPRODUCT((('CASE MASTER'!$T$2:$T$495=14)*('CASE MASTER'!$U$2:$U$495&lt;=8)*('CASE MASTER'!$W$2:$W$495&gt;=8)*('CASE MASTER'!$V$2:$V$495&lt;=8)*('CASE MASTER'!$X$2:$X$495&gt;=8))*ROW('CASE MASTER'!$T$2:$T$495))-(ROW('CASE MASTER'!#REF!)-1)))-INDEX('CASE MASTER'!$V$2:$V$495,(SUMPRODUCT((('CASE MASTER'!$T$2:$T$495=14)*('CASE MASTER'!$U$2:$U$495&lt;=8)*('CASE MASTER'!$W$2:$W$495&gt;=8)*('CASE MASTER'!$V$2:$V$495&lt;=8)*('CASE MASTER'!$X$2:$X$495&gt;=8))*ROW('CASE MASTER'!$T$2:$T$495))-(ROW('CASE MASTER'!#REF!)-1)))+1)+(8-INDEX('CASE MASTER'!$V$2:$V$495,(SUMPRODUCT((('CASE MASTER'!$T$2:$T$495=14)*('CASE MASTER'!$U$2:$U$495&lt;=8)*('CASE MASTER'!$W$2:$W$495&gt;=8)*('CASE MASTER'!$V$2:$V$495&lt;=8)*('CASE MASTER'!$X$2:$X$495&gt;=8))*ROW('CASE MASTER'!$T$2:$T$495))-(ROW('CASE MASTER'!#REF!)-1))))+1))-1)*50+1,50))&amp;"_"&amp;INDEX('CASE MASTER'!$Q$2:$Q$495,(SUMPRODUCT((('CASE MASTER'!$T$2:$T$495=14)*('CASE MASTER'!$U$2:$U$495&lt;=8)*('CASE MASTER'!$W$2:$W$495&gt;=8)*('CASE MASTER'!$V$2:$V$495&lt;=8)*('CASE MASTER'!$X$2:$X$495&gt;=8))*ROW('CASE MASTER'!$T$2:$T$495))-(ROW('CASE MASTER'!#REF!)-1))),IF(SUMPRODUCT((('CASE MASTER'!$T$2:$T$495=14)*('CASE MASTER'!$AA$2:$AA$495&lt;=8)*('CASE MASTER'!$AC$2:$AC$495&gt;=8)*('CASE MASTER'!$AB$2:$AB$495&lt;=8)*('CASE MASTER'!$AD$2:$AD$495&gt;=8))*ROW('CASE MASTER'!$T$2:$T$495))&gt;0,INDEX('CASE MASTER'!$Y$2:$Y$495,(SUMPRODUCT((('CASE MASTER'!$T$2:$T$495=14)*('CASE MASTER'!$AA$2:$AA$495&lt;=8)*('CASE MASTER'!$AC$2:$AC$495&gt;=8)*('CASE MASTER'!$AB$2:$AB$495&lt;=8)*('CASE MASTER'!$AD$2:$AD$495&gt;=8))*ROW('CASE MASTER'!$T$2:$T$495))-(ROW('CASE MASTER'!#REF!)-1)))&amp;TRIM(MID(SUBSTITUTE(SUBSTITUTE(INDEX('CASE MASTER'!$N$2:$N$495,(SUMPRODUCT((('CASE MASTER'!$T$2:$T$495=14)*('CASE MASTER'!$AA$2:$AA$495&lt;=8)*('CASE MASTER'!$AC$2:$AC$495&gt;=8)*('CASE MASTER'!$AB$2:$AB$495&lt;=8)*('CASE MASTER'!$AD$2:$AD$495&gt;=8))*ROW('CASE MASTER'!$T$2:$T$495))-(ROW('CASE MASTER'!#REF!)-1))),":",","),",",REPT(" ",50)),(((INDEX('CASE MASTER'!$Z$2:$Z$495,(SUMPRODUCT((('CASE MASTER'!$T$2:$T$495=14)*('CASE MASTER'!$AA$2:$AA$495&lt;=8)*('CASE MASTER'!$AC$2:$AC$495&gt;=8)*('CASE MASTER'!$AB$2:$AB$495&lt;=8)*('CASE MASTER'!$AD$2:$AD$495&gt;=8))*ROW('CASE MASTER'!$T$2:$T$495))-(ROW('CASE MASTER'!#REF!)-1)))+((8-INDEX('CASE MASTER'!$AA$2:$AA$495,(SUMPRODUCT((('CASE MASTER'!$T$2:$T$495=14)*('CASE MASTER'!$AA$2:$AA$495&lt;=8)*('CASE MASTER'!$AC$2:$AC$495&gt;=8)*('CASE MASTER'!$AB$2:$AB$495&lt;=8)*('CASE MASTER'!$AD$2:$AD$495&gt;=8))*ROW('CASE MASTER'!$T$2:$T$495))-(ROW('CASE MASTER'!#REF!)-1))))*(INDEX('CASE MASTER'!$AD$2:$AD$495,(SUMPRODUCT((('CASE MASTER'!$T$2:$T$495=14)*('CASE MASTER'!$AA$2:$AA$495&lt;=8)*('CASE MASTER'!$AC$2:$AC$495&gt;=8)*('CASE MASTER'!$AB$2:$AB$495&lt;=8)*('CASE MASTER'!$AD$2:$AD$495&gt;=8))*ROW('CASE MASTER'!$T$2:$T$495))-(ROW('CASE MASTER'!#REF!)-1)))-INDEX('CASE MASTER'!$AB$2:$AB$495,(SUMPRODUCT((('CASE MASTER'!$T$2:$T$495=14)*('CASE MASTER'!$AA$2:$AA$495&lt;=8)*('CASE MASTER'!$AC$2:$AC$495&gt;=8)*('CASE MASTER'!$AB$2:$AB$495&lt;=8)*('CASE MASTER'!$AD$2:$AD$495&gt;=8))*ROW('CASE MASTER'!$T$2:$T$495))-(ROW('CASE MASTER'!#REF!)-1)))+1)+(8-INDEX('CASE MASTER'!$AB$2:$AB$495,(SUMPRODUCT((('CASE MASTER'!$T$2:$T$495=14)*('CASE MASTER'!$AA$2:$AA$495&lt;=8)*('CASE MASTER'!$AC$2:$AC$495&gt;=8)*('CASE MASTER'!$AB$2:$AB$495&lt;=8)*('CASE MASTER'!$AD$2:$AD$495&gt;=8))*ROW('CASE MASTER'!$T$2:$T$495))-(ROW('CASE MASTER'!#REF!)-1))))+1)))-1)*50+1,50))&amp;"_"&amp;INDEX('CASE MASTER'!$Q$2:$Q$495,(SUMPRODUCT((('CASE MASTER'!$T$2:$T$495=14)*('CASE MASTER'!$AA$2:$AA$495&lt;=8)*('CASE MASTER'!$AC$2:$AC$495&gt;=8)*('CASE MASTER'!$AB$2:$AB$495&lt;=8)*('CASE MASTER'!$AD$2:$AD$495&gt;=8))*ROW('CASE MASTER'!$T$2:$T$495))-(ROW('CASE MASTER'!#REF!)-1))),"")),"")</f>
        <v/>
      </c>
      <c r="J192" s="10" t="str">
        <f>IFERROR(IF(SUMPRODUCT((('CASE MASTER'!$T$2:$T$495=14)*('CASE MASTER'!$U$2:$U$495&lt;=8)*('CASE MASTER'!$W$2:$W$495&gt;=8)*('CASE MASTER'!$V$2:$V$495&lt;=9)*('CASE MASTER'!$X$2:$X$495&gt;=9))*ROW('CASE MASTER'!$T$2:$T$495))&gt;0,INDEX('CASE MASTER'!$Y$2:$Y$495,(SUMPRODUCT((('CASE MASTER'!$T$2:$T$495=14)*('CASE MASTER'!$U$2:$U$495&lt;=8)*('CASE MASTER'!$W$2:$W$495&gt;=8)*('CASE MASTER'!$V$2:$V$495&lt;=9)*('CASE MASTER'!$X$2:$X$495&gt;=9))*ROW('CASE MASTER'!$T$2:$T$495))-(ROW('CASE MASTER'!#REF!)-1)))&amp;TRIM(MID(SUBSTITUTE(SUBSTITUTE(INDEX('CASE MASTER'!$N$2:$N$495,(SUMPRODUCT((('CASE MASTER'!$T$2:$T$495=14)*('CASE MASTER'!$U$2:$U$495&lt;=8)*('CASE MASTER'!$W$2:$W$495&gt;=8)*('CASE MASTER'!$V$2:$V$495&lt;=9)*('CASE MASTER'!$X$2:$X$495&gt;=9))*ROW('CASE MASTER'!$T$2:$T$495))-(ROW('CASE MASTER'!#REF!)-1))),":",","),",",REPT(" ",50)),((((8-INDEX('CASE MASTER'!$U$2:$U$495,(SUMPRODUCT((('CASE MASTER'!$T$2:$T$495=14)*('CASE MASTER'!$U$2:$U$495&lt;=8)*('CASE MASTER'!$W$2:$W$495&gt;=8)*('CASE MASTER'!$V$2:$V$495&lt;=9)*('CASE MASTER'!$X$2:$X$495&gt;=9))*ROW('CASE MASTER'!$T$2:$T$495))-(ROW('CASE MASTER'!#REF!)-1))))*(INDEX('CASE MASTER'!$X$2:$X$495,(SUMPRODUCT((('CASE MASTER'!$T$2:$T$495=14)*('CASE MASTER'!$U$2:$U$495&lt;=8)*('CASE MASTER'!$W$2:$W$495&gt;=8)*('CASE MASTER'!$V$2:$V$495&lt;=9)*('CASE MASTER'!$X$2:$X$495&gt;=9))*ROW('CASE MASTER'!$T$2:$T$495))-(ROW('CASE MASTER'!#REF!)-1)))-INDEX('CASE MASTER'!$V$2:$V$495,(SUMPRODUCT((('CASE MASTER'!$T$2:$T$495=14)*('CASE MASTER'!$U$2:$U$495&lt;=8)*('CASE MASTER'!$W$2:$W$495&gt;=8)*('CASE MASTER'!$V$2:$V$495&lt;=9)*('CASE MASTER'!$X$2:$X$495&gt;=9))*ROW('CASE MASTER'!$T$2:$T$495))-(ROW('CASE MASTER'!#REF!)-1)))+1)+(9-INDEX('CASE MASTER'!$V$2:$V$495,(SUMPRODUCT((('CASE MASTER'!$T$2:$T$495=14)*('CASE MASTER'!$U$2:$U$495&lt;=8)*('CASE MASTER'!$W$2:$W$495&gt;=8)*('CASE MASTER'!$V$2:$V$495&lt;=9)*('CASE MASTER'!$X$2:$X$495&gt;=9))*ROW('CASE MASTER'!$T$2:$T$495))-(ROW('CASE MASTER'!#REF!)-1))))+1))-1)*50+1,50))&amp;"_"&amp;INDEX('CASE MASTER'!$Q$2:$Q$495,(SUMPRODUCT((('CASE MASTER'!$T$2:$T$495=14)*('CASE MASTER'!$U$2:$U$495&lt;=8)*('CASE MASTER'!$W$2:$W$495&gt;=8)*('CASE MASTER'!$V$2:$V$495&lt;=9)*('CASE MASTER'!$X$2:$X$495&gt;=9))*ROW('CASE MASTER'!$T$2:$T$495))-(ROW('CASE MASTER'!#REF!)-1))),IF(SUMPRODUCT((('CASE MASTER'!$T$2:$T$495=14)*('CASE MASTER'!$AA$2:$AA$495&lt;=8)*('CASE MASTER'!$AC$2:$AC$495&gt;=8)*('CASE MASTER'!$AB$2:$AB$495&lt;=9)*('CASE MASTER'!$AD$2:$AD$495&gt;=9))*ROW('CASE MASTER'!$T$2:$T$495))&gt;0,INDEX('CASE MASTER'!$Y$2:$Y$495,(SUMPRODUCT((('CASE MASTER'!$T$2:$T$495=14)*('CASE MASTER'!$AA$2:$AA$495&lt;=8)*('CASE MASTER'!$AC$2:$AC$495&gt;=8)*('CASE MASTER'!$AB$2:$AB$495&lt;=9)*('CASE MASTER'!$AD$2:$AD$495&gt;=9))*ROW('CASE MASTER'!$T$2:$T$495))-(ROW('CASE MASTER'!#REF!)-1)))&amp;TRIM(MID(SUBSTITUTE(SUBSTITUTE(INDEX('CASE MASTER'!$N$2:$N$495,(SUMPRODUCT((('CASE MASTER'!$T$2:$T$495=14)*('CASE MASTER'!$AA$2:$AA$495&lt;=8)*('CASE MASTER'!$AC$2:$AC$495&gt;=8)*('CASE MASTER'!$AB$2:$AB$495&lt;=9)*('CASE MASTER'!$AD$2:$AD$495&gt;=9))*ROW('CASE MASTER'!$T$2:$T$495))-(ROW('CASE MASTER'!#REF!)-1))),":",","),",",REPT(" ",50)),(((INDEX('CASE MASTER'!$Z$2:$Z$495,(SUMPRODUCT((('CASE MASTER'!$T$2:$T$495=14)*('CASE MASTER'!$AA$2:$AA$495&lt;=8)*('CASE MASTER'!$AC$2:$AC$495&gt;=8)*('CASE MASTER'!$AB$2:$AB$495&lt;=9)*('CASE MASTER'!$AD$2:$AD$495&gt;=9))*ROW('CASE MASTER'!$T$2:$T$495))-(ROW('CASE MASTER'!#REF!)-1)))+((8-INDEX('CASE MASTER'!$AA$2:$AA$495,(SUMPRODUCT((('CASE MASTER'!$T$2:$T$495=14)*('CASE MASTER'!$AA$2:$AA$495&lt;=8)*('CASE MASTER'!$AC$2:$AC$495&gt;=8)*('CASE MASTER'!$AB$2:$AB$495&lt;=9)*('CASE MASTER'!$AD$2:$AD$495&gt;=9))*ROW('CASE MASTER'!$T$2:$T$495))-(ROW('CASE MASTER'!#REF!)-1))))*(INDEX('CASE MASTER'!$AD$2:$AD$495,(SUMPRODUCT((('CASE MASTER'!$T$2:$T$495=14)*('CASE MASTER'!$AA$2:$AA$495&lt;=8)*('CASE MASTER'!$AC$2:$AC$495&gt;=8)*('CASE MASTER'!$AB$2:$AB$495&lt;=9)*('CASE MASTER'!$AD$2:$AD$495&gt;=9))*ROW('CASE MASTER'!$T$2:$T$495))-(ROW('CASE MASTER'!#REF!)-1)))-INDEX('CASE MASTER'!$AB$2:$AB$495,(SUMPRODUCT((('CASE MASTER'!$T$2:$T$495=14)*('CASE MASTER'!$AA$2:$AA$495&lt;=8)*('CASE MASTER'!$AC$2:$AC$495&gt;=8)*('CASE MASTER'!$AB$2:$AB$495&lt;=9)*('CASE MASTER'!$AD$2:$AD$495&gt;=9))*ROW('CASE MASTER'!$T$2:$T$495))-(ROW('CASE MASTER'!#REF!)-1)))+1)+(9-INDEX('CASE MASTER'!$AB$2:$AB$495,(SUMPRODUCT((('CASE MASTER'!$T$2:$T$495=14)*('CASE MASTER'!$AA$2:$AA$495&lt;=8)*('CASE MASTER'!$AC$2:$AC$495&gt;=8)*('CASE MASTER'!$AB$2:$AB$495&lt;=9)*('CASE MASTER'!$AD$2:$AD$495&gt;=9))*ROW('CASE MASTER'!$T$2:$T$495))-(ROW('CASE MASTER'!#REF!)-1))))+1)))-1)*50+1,50))&amp;"_"&amp;INDEX('CASE MASTER'!$Q$2:$Q$495,(SUMPRODUCT((('CASE MASTER'!$T$2:$T$495=14)*('CASE MASTER'!$AA$2:$AA$495&lt;=8)*('CASE MASTER'!$AC$2:$AC$495&gt;=8)*('CASE MASTER'!$AB$2:$AB$495&lt;=9)*('CASE MASTER'!$AD$2:$AD$495&gt;=9))*ROW('CASE MASTER'!$T$2:$T$495))-(ROW('CASE MASTER'!#REF!)-1))),"")),"")</f>
        <v/>
      </c>
      <c r="K192" s="10" t="str">
        <f>IFERROR(IF(SUMPRODUCT((('CASE MASTER'!$T$2:$T$495=14)*('CASE MASTER'!$U$2:$U$495&lt;=8)*('CASE MASTER'!$W$2:$W$495&gt;=8)*('CASE MASTER'!$V$2:$V$495&lt;=10)*('CASE MASTER'!$X$2:$X$495&gt;=10))*ROW('CASE MASTER'!$T$2:$T$495))&gt;0,INDEX('CASE MASTER'!$Y$2:$Y$495,(SUMPRODUCT((('CASE MASTER'!$T$2:$T$495=14)*('CASE MASTER'!$U$2:$U$495&lt;=8)*('CASE MASTER'!$W$2:$W$495&gt;=8)*('CASE MASTER'!$V$2:$V$495&lt;=10)*('CASE MASTER'!$X$2:$X$495&gt;=10))*ROW('CASE MASTER'!$T$2:$T$495))-(ROW('CASE MASTER'!#REF!)-1)))&amp;TRIM(MID(SUBSTITUTE(SUBSTITUTE(INDEX('CASE MASTER'!$N$2:$N$495,(SUMPRODUCT((('CASE MASTER'!$T$2:$T$495=14)*('CASE MASTER'!$U$2:$U$495&lt;=8)*('CASE MASTER'!$W$2:$W$495&gt;=8)*('CASE MASTER'!$V$2:$V$495&lt;=10)*('CASE MASTER'!$X$2:$X$495&gt;=10))*ROW('CASE MASTER'!$T$2:$T$495))-(ROW('CASE MASTER'!#REF!)-1))),":",","),",",REPT(" ",50)),((((8-INDEX('CASE MASTER'!$U$2:$U$495,(SUMPRODUCT((('CASE MASTER'!$T$2:$T$495=14)*('CASE MASTER'!$U$2:$U$495&lt;=8)*('CASE MASTER'!$W$2:$W$495&gt;=8)*('CASE MASTER'!$V$2:$V$495&lt;=10)*('CASE MASTER'!$X$2:$X$495&gt;=10))*ROW('CASE MASTER'!$T$2:$T$495))-(ROW('CASE MASTER'!#REF!)-1))))*(INDEX('CASE MASTER'!$X$2:$X$495,(SUMPRODUCT((('CASE MASTER'!$T$2:$T$495=14)*('CASE MASTER'!$U$2:$U$495&lt;=8)*('CASE MASTER'!$W$2:$W$495&gt;=8)*('CASE MASTER'!$V$2:$V$495&lt;=10)*('CASE MASTER'!$X$2:$X$495&gt;=10))*ROW('CASE MASTER'!$T$2:$T$495))-(ROW('CASE MASTER'!#REF!)-1)))-INDEX('CASE MASTER'!$V$2:$V$495,(SUMPRODUCT((('CASE MASTER'!$T$2:$T$495=14)*('CASE MASTER'!$U$2:$U$495&lt;=8)*('CASE MASTER'!$W$2:$W$495&gt;=8)*('CASE MASTER'!$V$2:$V$495&lt;=10)*('CASE MASTER'!$X$2:$X$495&gt;=10))*ROW('CASE MASTER'!$T$2:$T$495))-(ROW('CASE MASTER'!#REF!)-1)))+1)+(10-INDEX('CASE MASTER'!$V$2:$V$495,(SUMPRODUCT((('CASE MASTER'!$T$2:$T$495=14)*('CASE MASTER'!$U$2:$U$495&lt;=8)*('CASE MASTER'!$W$2:$W$495&gt;=8)*('CASE MASTER'!$V$2:$V$495&lt;=10)*('CASE MASTER'!$X$2:$X$495&gt;=10))*ROW('CASE MASTER'!$T$2:$T$495))-(ROW('CASE MASTER'!#REF!)-1))))+1))-1)*50+1,50))&amp;"_"&amp;INDEX('CASE MASTER'!$Q$2:$Q$495,(SUMPRODUCT((('CASE MASTER'!$T$2:$T$495=14)*('CASE MASTER'!$U$2:$U$495&lt;=8)*('CASE MASTER'!$W$2:$W$495&gt;=8)*('CASE MASTER'!$V$2:$V$495&lt;=10)*('CASE MASTER'!$X$2:$X$495&gt;=10))*ROW('CASE MASTER'!$T$2:$T$495))-(ROW('CASE MASTER'!#REF!)-1))),IF(SUMPRODUCT((('CASE MASTER'!$T$2:$T$495=14)*('CASE MASTER'!$AA$2:$AA$495&lt;=8)*('CASE MASTER'!$AC$2:$AC$495&gt;=8)*('CASE MASTER'!$AB$2:$AB$495&lt;=10)*('CASE MASTER'!$AD$2:$AD$495&gt;=10))*ROW('CASE MASTER'!$T$2:$T$495))&gt;0,INDEX('CASE MASTER'!$Y$2:$Y$495,(SUMPRODUCT((('CASE MASTER'!$T$2:$T$495=14)*('CASE MASTER'!$AA$2:$AA$495&lt;=8)*('CASE MASTER'!$AC$2:$AC$495&gt;=8)*('CASE MASTER'!$AB$2:$AB$495&lt;=10)*('CASE MASTER'!$AD$2:$AD$495&gt;=10))*ROW('CASE MASTER'!$T$2:$T$495))-(ROW('CASE MASTER'!#REF!)-1)))&amp;TRIM(MID(SUBSTITUTE(SUBSTITUTE(INDEX('CASE MASTER'!$N$2:$N$495,(SUMPRODUCT((('CASE MASTER'!$T$2:$T$495=14)*('CASE MASTER'!$AA$2:$AA$495&lt;=8)*('CASE MASTER'!$AC$2:$AC$495&gt;=8)*('CASE MASTER'!$AB$2:$AB$495&lt;=10)*('CASE MASTER'!$AD$2:$AD$495&gt;=10))*ROW('CASE MASTER'!$T$2:$T$495))-(ROW('CASE MASTER'!#REF!)-1))),":",","),",",REPT(" ",50)),(((INDEX('CASE MASTER'!$Z$2:$Z$495,(SUMPRODUCT((('CASE MASTER'!$T$2:$T$495=14)*('CASE MASTER'!$AA$2:$AA$495&lt;=8)*('CASE MASTER'!$AC$2:$AC$495&gt;=8)*('CASE MASTER'!$AB$2:$AB$495&lt;=10)*('CASE MASTER'!$AD$2:$AD$495&gt;=10))*ROW('CASE MASTER'!$T$2:$T$495))-(ROW('CASE MASTER'!#REF!)-1)))+((8-INDEX('CASE MASTER'!$AA$2:$AA$495,(SUMPRODUCT((('CASE MASTER'!$T$2:$T$495=14)*('CASE MASTER'!$AA$2:$AA$495&lt;=8)*('CASE MASTER'!$AC$2:$AC$495&gt;=8)*('CASE MASTER'!$AB$2:$AB$495&lt;=10)*('CASE MASTER'!$AD$2:$AD$495&gt;=10))*ROW('CASE MASTER'!$T$2:$T$495))-(ROW('CASE MASTER'!#REF!)-1))))*(INDEX('CASE MASTER'!$AD$2:$AD$495,(SUMPRODUCT((('CASE MASTER'!$T$2:$T$495=14)*('CASE MASTER'!$AA$2:$AA$495&lt;=8)*('CASE MASTER'!$AC$2:$AC$495&gt;=8)*('CASE MASTER'!$AB$2:$AB$495&lt;=10)*('CASE MASTER'!$AD$2:$AD$495&gt;=10))*ROW('CASE MASTER'!$T$2:$T$495))-(ROW('CASE MASTER'!#REF!)-1)))-INDEX('CASE MASTER'!$AB$2:$AB$495,(SUMPRODUCT((('CASE MASTER'!$T$2:$T$495=14)*('CASE MASTER'!$AA$2:$AA$495&lt;=8)*('CASE MASTER'!$AC$2:$AC$495&gt;=8)*('CASE MASTER'!$AB$2:$AB$495&lt;=10)*('CASE MASTER'!$AD$2:$AD$495&gt;=10))*ROW('CASE MASTER'!$T$2:$T$495))-(ROW('CASE MASTER'!#REF!)-1)))+1)+(10-INDEX('CASE MASTER'!$AB$2:$AB$495,(SUMPRODUCT((('CASE MASTER'!$T$2:$T$495=14)*('CASE MASTER'!$AA$2:$AA$495&lt;=8)*('CASE MASTER'!$AC$2:$AC$495&gt;=8)*('CASE MASTER'!$AB$2:$AB$495&lt;=10)*('CASE MASTER'!$AD$2:$AD$495&gt;=10))*ROW('CASE MASTER'!$T$2:$T$495))-(ROW('CASE MASTER'!#REF!)-1))))+1)))-1)*50+1,50))&amp;"_"&amp;INDEX('CASE MASTER'!$Q$2:$Q$495,(SUMPRODUCT((('CASE MASTER'!$T$2:$T$495=14)*('CASE MASTER'!$AA$2:$AA$495&lt;=8)*('CASE MASTER'!$AC$2:$AC$495&gt;=8)*('CASE MASTER'!$AB$2:$AB$495&lt;=10)*('CASE MASTER'!$AD$2:$AD$495&gt;=10))*ROW('CASE MASTER'!$T$2:$T$495))-(ROW('CASE MASTER'!#REF!)-1))),"")),"")</f>
        <v/>
      </c>
    </row>
    <row r="193" spans="1:11" ht="15" customHeight="1" x14ac:dyDescent="0.35">
      <c r="A193" s="8" t="s">
        <v>81</v>
      </c>
      <c r="B193" s="10" t="str">
        <f>IFERROR(IF(SUMPRODUCT((('CASE MASTER'!$T$2:$T$495=14)*('CASE MASTER'!$U$2:$U$495&lt;=9)*('CASE MASTER'!$W$2:$W$495&gt;=9)*('CASE MASTER'!$V$2:$V$495&lt;=1)*('CASE MASTER'!$X$2:$X$495&gt;=1))*ROW('CASE MASTER'!$T$2:$T$495))&gt;0,INDEX('CASE MASTER'!$Y$2:$Y$495,(SUMPRODUCT((('CASE MASTER'!$T$2:$T$495=14)*('CASE MASTER'!$U$2:$U$495&lt;=9)*('CASE MASTER'!$W$2:$W$495&gt;=9)*('CASE MASTER'!$V$2:$V$495&lt;=1)*('CASE MASTER'!$X$2:$X$495&gt;=1))*ROW('CASE MASTER'!$T$2:$T$495))-(ROW('CASE MASTER'!#REF!)-1)))&amp;TRIM(MID(SUBSTITUTE(SUBSTITUTE(INDEX('CASE MASTER'!$N$2:$N$495,(SUMPRODUCT((('CASE MASTER'!$T$2:$T$495=14)*('CASE MASTER'!$U$2:$U$495&lt;=9)*('CASE MASTER'!$W$2:$W$495&gt;=9)*('CASE MASTER'!$V$2:$V$495&lt;=1)*('CASE MASTER'!$X$2:$X$495&gt;=1))*ROW('CASE MASTER'!$T$2:$T$495))-(ROW('CASE MASTER'!#REF!)-1))),":",","),",",REPT(" ",50)),((((9-INDEX('CASE MASTER'!$U$2:$U$495,(SUMPRODUCT((('CASE MASTER'!$T$2:$T$495=14)*('CASE MASTER'!$U$2:$U$495&lt;=9)*('CASE MASTER'!$W$2:$W$495&gt;=9)*('CASE MASTER'!$V$2:$V$495&lt;=1)*('CASE MASTER'!$X$2:$X$495&gt;=1))*ROW('CASE MASTER'!$T$2:$T$495))-(ROW('CASE MASTER'!#REF!)-1))))*(INDEX('CASE MASTER'!$X$2:$X$495,(SUMPRODUCT((('CASE MASTER'!$T$2:$T$495=14)*('CASE MASTER'!$U$2:$U$495&lt;=9)*('CASE MASTER'!$W$2:$W$495&gt;=9)*('CASE MASTER'!$V$2:$V$495&lt;=1)*('CASE MASTER'!$X$2:$X$495&gt;=1))*ROW('CASE MASTER'!$T$2:$T$495))-(ROW('CASE MASTER'!#REF!)-1)))-INDEX('CASE MASTER'!$V$2:$V$495,(SUMPRODUCT((('CASE MASTER'!$T$2:$T$495=14)*('CASE MASTER'!$U$2:$U$495&lt;=9)*('CASE MASTER'!$W$2:$W$495&gt;=9)*('CASE MASTER'!$V$2:$V$495&lt;=1)*('CASE MASTER'!$X$2:$X$495&gt;=1))*ROW('CASE MASTER'!$T$2:$T$495))-(ROW('CASE MASTER'!#REF!)-1)))+1)+(1-INDEX('CASE MASTER'!$V$2:$V$495,(SUMPRODUCT((('CASE MASTER'!$T$2:$T$495=14)*('CASE MASTER'!$U$2:$U$495&lt;=9)*('CASE MASTER'!$W$2:$W$495&gt;=9)*('CASE MASTER'!$V$2:$V$495&lt;=1)*('CASE MASTER'!$X$2:$X$495&gt;=1))*ROW('CASE MASTER'!$T$2:$T$495))-(ROW('CASE MASTER'!#REF!)-1))))+1))-1)*50+1,50))&amp;"_"&amp;INDEX('CASE MASTER'!$Q$2:$Q$495,(SUMPRODUCT((('CASE MASTER'!$T$2:$T$495=14)*('CASE MASTER'!$U$2:$U$495&lt;=9)*('CASE MASTER'!$W$2:$W$495&gt;=9)*('CASE MASTER'!$V$2:$V$495&lt;=1)*('CASE MASTER'!$X$2:$X$495&gt;=1))*ROW('CASE MASTER'!$T$2:$T$495))-(ROW('CASE MASTER'!#REF!)-1))),IF(SUMPRODUCT((('CASE MASTER'!$T$2:$T$495=14)*('CASE MASTER'!$AA$2:$AA$495&lt;=9)*('CASE MASTER'!$AC$2:$AC$495&gt;=9)*('CASE MASTER'!$AB$2:$AB$495&lt;=1)*('CASE MASTER'!$AD$2:$AD$495&gt;=1))*ROW('CASE MASTER'!$T$2:$T$495))&gt;0,INDEX('CASE MASTER'!$Y$2:$Y$495,(SUMPRODUCT((('CASE MASTER'!$T$2:$T$495=14)*('CASE MASTER'!$AA$2:$AA$495&lt;=9)*('CASE MASTER'!$AC$2:$AC$495&gt;=9)*('CASE MASTER'!$AB$2:$AB$495&lt;=1)*('CASE MASTER'!$AD$2:$AD$495&gt;=1))*ROW('CASE MASTER'!$T$2:$T$495))-(ROW('CASE MASTER'!#REF!)-1)))&amp;TRIM(MID(SUBSTITUTE(SUBSTITUTE(INDEX('CASE MASTER'!$N$2:$N$495,(SUMPRODUCT((('CASE MASTER'!$T$2:$T$495=14)*('CASE MASTER'!$AA$2:$AA$495&lt;=9)*('CASE MASTER'!$AC$2:$AC$495&gt;=9)*('CASE MASTER'!$AB$2:$AB$495&lt;=1)*('CASE MASTER'!$AD$2:$AD$495&gt;=1))*ROW('CASE MASTER'!$T$2:$T$495))-(ROW('CASE MASTER'!#REF!)-1))),":",","),",",REPT(" ",50)),(((INDEX('CASE MASTER'!$Z$2:$Z$495,(SUMPRODUCT((('CASE MASTER'!$T$2:$T$495=14)*('CASE MASTER'!$AA$2:$AA$495&lt;=9)*('CASE MASTER'!$AC$2:$AC$495&gt;=9)*('CASE MASTER'!$AB$2:$AB$495&lt;=1)*('CASE MASTER'!$AD$2:$AD$495&gt;=1))*ROW('CASE MASTER'!$T$2:$T$495))-(ROW('CASE MASTER'!#REF!)-1)))+((9-INDEX('CASE MASTER'!$AA$2:$AA$495,(SUMPRODUCT((('CASE MASTER'!$T$2:$T$495=14)*('CASE MASTER'!$AA$2:$AA$495&lt;=9)*('CASE MASTER'!$AC$2:$AC$495&gt;=9)*('CASE MASTER'!$AB$2:$AB$495&lt;=1)*('CASE MASTER'!$AD$2:$AD$495&gt;=1))*ROW('CASE MASTER'!$T$2:$T$495))-(ROW('CASE MASTER'!#REF!)-1))))*(INDEX('CASE MASTER'!$AD$2:$AD$495,(SUMPRODUCT((('CASE MASTER'!$T$2:$T$495=14)*('CASE MASTER'!$AA$2:$AA$495&lt;=9)*('CASE MASTER'!$AC$2:$AC$495&gt;=9)*('CASE MASTER'!$AB$2:$AB$495&lt;=1)*('CASE MASTER'!$AD$2:$AD$495&gt;=1))*ROW('CASE MASTER'!$T$2:$T$495))-(ROW('CASE MASTER'!#REF!)-1)))-INDEX('CASE MASTER'!$AB$2:$AB$495,(SUMPRODUCT((('CASE MASTER'!$T$2:$T$495=14)*('CASE MASTER'!$AA$2:$AA$495&lt;=9)*('CASE MASTER'!$AC$2:$AC$495&gt;=9)*('CASE MASTER'!$AB$2:$AB$495&lt;=1)*('CASE MASTER'!$AD$2:$AD$495&gt;=1))*ROW('CASE MASTER'!$T$2:$T$495))-(ROW('CASE MASTER'!#REF!)-1)))+1)+(1-INDEX('CASE MASTER'!$AB$2:$AB$495,(SUMPRODUCT((('CASE MASTER'!$T$2:$T$495=14)*('CASE MASTER'!$AA$2:$AA$495&lt;=9)*('CASE MASTER'!$AC$2:$AC$495&gt;=9)*('CASE MASTER'!$AB$2:$AB$495&lt;=1)*('CASE MASTER'!$AD$2:$AD$495&gt;=1))*ROW('CASE MASTER'!$T$2:$T$495))-(ROW('CASE MASTER'!#REF!)-1))))+1)))-1)*50+1,50))&amp;"_"&amp;INDEX('CASE MASTER'!$Q$2:$Q$495,(SUMPRODUCT((('CASE MASTER'!$T$2:$T$495=14)*('CASE MASTER'!$AA$2:$AA$495&lt;=9)*('CASE MASTER'!$AC$2:$AC$495&gt;=9)*('CASE MASTER'!$AB$2:$AB$495&lt;=1)*('CASE MASTER'!$AD$2:$AD$495&gt;=1))*ROW('CASE MASTER'!$T$2:$T$495))-(ROW('CASE MASTER'!#REF!)-1))),"")),"")</f>
        <v/>
      </c>
      <c r="C193" s="10" t="str">
        <f>IFERROR(IF(SUMPRODUCT((('CASE MASTER'!$T$2:$T$495=14)*('CASE MASTER'!$U$2:$U$495&lt;=9)*('CASE MASTER'!$W$2:$W$495&gt;=9)*('CASE MASTER'!$V$2:$V$495&lt;=2)*('CASE MASTER'!$X$2:$X$495&gt;=2))*ROW('CASE MASTER'!$T$2:$T$495))&gt;0,INDEX('CASE MASTER'!$Y$2:$Y$495,(SUMPRODUCT((('CASE MASTER'!$T$2:$T$495=14)*('CASE MASTER'!$U$2:$U$495&lt;=9)*('CASE MASTER'!$W$2:$W$495&gt;=9)*('CASE MASTER'!$V$2:$V$495&lt;=2)*('CASE MASTER'!$X$2:$X$495&gt;=2))*ROW('CASE MASTER'!$T$2:$T$495))-(ROW('CASE MASTER'!#REF!)-1)))&amp;TRIM(MID(SUBSTITUTE(SUBSTITUTE(INDEX('CASE MASTER'!$N$2:$N$495,(SUMPRODUCT((('CASE MASTER'!$T$2:$T$495=14)*('CASE MASTER'!$U$2:$U$495&lt;=9)*('CASE MASTER'!$W$2:$W$495&gt;=9)*('CASE MASTER'!$V$2:$V$495&lt;=2)*('CASE MASTER'!$X$2:$X$495&gt;=2))*ROW('CASE MASTER'!$T$2:$T$495))-(ROW('CASE MASTER'!#REF!)-1))),":",","),",",REPT(" ",50)),((((9-INDEX('CASE MASTER'!$U$2:$U$495,(SUMPRODUCT((('CASE MASTER'!$T$2:$T$495=14)*('CASE MASTER'!$U$2:$U$495&lt;=9)*('CASE MASTER'!$W$2:$W$495&gt;=9)*('CASE MASTER'!$V$2:$V$495&lt;=2)*('CASE MASTER'!$X$2:$X$495&gt;=2))*ROW('CASE MASTER'!$T$2:$T$495))-(ROW('CASE MASTER'!#REF!)-1))))*(INDEX('CASE MASTER'!$X$2:$X$495,(SUMPRODUCT((('CASE MASTER'!$T$2:$T$495=14)*('CASE MASTER'!$U$2:$U$495&lt;=9)*('CASE MASTER'!$W$2:$W$495&gt;=9)*('CASE MASTER'!$V$2:$V$495&lt;=2)*('CASE MASTER'!$X$2:$X$495&gt;=2))*ROW('CASE MASTER'!$T$2:$T$495))-(ROW('CASE MASTER'!#REF!)-1)))-INDEX('CASE MASTER'!$V$2:$V$495,(SUMPRODUCT((('CASE MASTER'!$T$2:$T$495=14)*('CASE MASTER'!$U$2:$U$495&lt;=9)*('CASE MASTER'!$W$2:$W$495&gt;=9)*('CASE MASTER'!$V$2:$V$495&lt;=2)*('CASE MASTER'!$X$2:$X$495&gt;=2))*ROW('CASE MASTER'!$T$2:$T$495))-(ROW('CASE MASTER'!#REF!)-1)))+1)+(2-INDEX('CASE MASTER'!$V$2:$V$495,(SUMPRODUCT((('CASE MASTER'!$T$2:$T$495=14)*('CASE MASTER'!$U$2:$U$495&lt;=9)*('CASE MASTER'!$W$2:$W$495&gt;=9)*('CASE MASTER'!$V$2:$V$495&lt;=2)*('CASE MASTER'!$X$2:$X$495&gt;=2))*ROW('CASE MASTER'!$T$2:$T$495))-(ROW('CASE MASTER'!#REF!)-1))))+1))-1)*50+1,50))&amp;"_"&amp;INDEX('CASE MASTER'!$Q$2:$Q$495,(SUMPRODUCT((('CASE MASTER'!$T$2:$T$495=14)*('CASE MASTER'!$U$2:$U$495&lt;=9)*('CASE MASTER'!$W$2:$W$495&gt;=9)*('CASE MASTER'!$V$2:$V$495&lt;=2)*('CASE MASTER'!$X$2:$X$495&gt;=2))*ROW('CASE MASTER'!$T$2:$T$495))-(ROW('CASE MASTER'!#REF!)-1))),IF(SUMPRODUCT((('CASE MASTER'!$T$2:$T$495=14)*('CASE MASTER'!$AA$2:$AA$495&lt;=9)*('CASE MASTER'!$AC$2:$AC$495&gt;=9)*('CASE MASTER'!$AB$2:$AB$495&lt;=2)*('CASE MASTER'!$AD$2:$AD$495&gt;=2))*ROW('CASE MASTER'!$T$2:$T$495))&gt;0,INDEX('CASE MASTER'!$Y$2:$Y$495,(SUMPRODUCT((('CASE MASTER'!$T$2:$T$495=14)*('CASE MASTER'!$AA$2:$AA$495&lt;=9)*('CASE MASTER'!$AC$2:$AC$495&gt;=9)*('CASE MASTER'!$AB$2:$AB$495&lt;=2)*('CASE MASTER'!$AD$2:$AD$495&gt;=2))*ROW('CASE MASTER'!$T$2:$T$495))-(ROW('CASE MASTER'!#REF!)-1)))&amp;TRIM(MID(SUBSTITUTE(SUBSTITUTE(INDEX('CASE MASTER'!$N$2:$N$495,(SUMPRODUCT((('CASE MASTER'!$T$2:$T$495=14)*('CASE MASTER'!$AA$2:$AA$495&lt;=9)*('CASE MASTER'!$AC$2:$AC$495&gt;=9)*('CASE MASTER'!$AB$2:$AB$495&lt;=2)*('CASE MASTER'!$AD$2:$AD$495&gt;=2))*ROW('CASE MASTER'!$T$2:$T$495))-(ROW('CASE MASTER'!#REF!)-1))),":",","),",",REPT(" ",50)),(((INDEX('CASE MASTER'!$Z$2:$Z$495,(SUMPRODUCT((('CASE MASTER'!$T$2:$T$495=14)*('CASE MASTER'!$AA$2:$AA$495&lt;=9)*('CASE MASTER'!$AC$2:$AC$495&gt;=9)*('CASE MASTER'!$AB$2:$AB$495&lt;=2)*('CASE MASTER'!$AD$2:$AD$495&gt;=2))*ROW('CASE MASTER'!$T$2:$T$495))-(ROW('CASE MASTER'!#REF!)-1)))+((9-INDEX('CASE MASTER'!$AA$2:$AA$495,(SUMPRODUCT((('CASE MASTER'!$T$2:$T$495=14)*('CASE MASTER'!$AA$2:$AA$495&lt;=9)*('CASE MASTER'!$AC$2:$AC$495&gt;=9)*('CASE MASTER'!$AB$2:$AB$495&lt;=2)*('CASE MASTER'!$AD$2:$AD$495&gt;=2))*ROW('CASE MASTER'!$T$2:$T$495))-(ROW('CASE MASTER'!#REF!)-1))))*(INDEX('CASE MASTER'!$AD$2:$AD$495,(SUMPRODUCT((('CASE MASTER'!$T$2:$T$495=14)*('CASE MASTER'!$AA$2:$AA$495&lt;=9)*('CASE MASTER'!$AC$2:$AC$495&gt;=9)*('CASE MASTER'!$AB$2:$AB$495&lt;=2)*('CASE MASTER'!$AD$2:$AD$495&gt;=2))*ROW('CASE MASTER'!$T$2:$T$495))-(ROW('CASE MASTER'!#REF!)-1)))-INDEX('CASE MASTER'!$AB$2:$AB$495,(SUMPRODUCT((('CASE MASTER'!$T$2:$T$495=14)*('CASE MASTER'!$AA$2:$AA$495&lt;=9)*('CASE MASTER'!$AC$2:$AC$495&gt;=9)*('CASE MASTER'!$AB$2:$AB$495&lt;=2)*('CASE MASTER'!$AD$2:$AD$495&gt;=2))*ROW('CASE MASTER'!$T$2:$T$495))-(ROW('CASE MASTER'!#REF!)-1)))+1)+(2-INDEX('CASE MASTER'!$AB$2:$AB$495,(SUMPRODUCT((('CASE MASTER'!$T$2:$T$495=14)*('CASE MASTER'!$AA$2:$AA$495&lt;=9)*('CASE MASTER'!$AC$2:$AC$495&gt;=9)*('CASE MASTER'!$AB$2:$AB$495&lt;=2)*('CASE MASTER'!$AD$2:$AD$495&gt;=2))*ROW('CASE MASTER'!$T$2:$T$495))-(ROW('CASE MASTER'!#REF!)-1))))+1)))-1)*50+1,50))&amp;"_"&amp;INDEX('CASE MASTER'!$Q$2:$Q$495,(SUMPRODUCT((('CASE MASTER'!$T$2:$T$495=14)*('CASE MASTER'!$AA$2:$AA$495&lt;=9)*('CASE MASTER'!$AC$2:$AC$495&gt;=9)*('CASE MASTER'!$AB$2:$AB$495&lt;=2)*('CASE MASTER'!$AD$2:$AD$495&gt;=2))*ROW('CASE MASTER'!$T$2:$T$495))-(ROW('CASE MASTER'!#REF!)-1))),"")),"")</f>
        <v/>
      </c>
      <c r="D193" s="10" t="str">
        <f>IFERROR(IF(SUMPRODUCT((('CASE MASTER'!$T$2:$T$495=14)*('CASE MASTER'!$U$2:$U$495&lt;=9)*('CASE MASTER'!$W$2:$W$495&gt;=9)*('CASE MASTER'!$V$2:$V$495&lt;=3)*('CASE MASTER'!$X$2:$X$495&gt;=3))*ROW('CASE MASTER'!$T$2:$T$495))&gt;0,INDEX('CASE MASTER'!$Y$2:$Y$495,(SUMPRODUCT((('CASE MASTER'!$T$2:$T$495=14)*('CASE MASTER'!$U$2:$U$495&lt;=9)*('CASE MASTER'!$W$2:$W$495&gt;=9)*('CASE MASTER'!$V$2:$V$495&lt;=3)*('CASE MASTER'!$X$2:$X$495&gt;=3))*ROW('CASE MASTER'!$T$2:$T$495))-(ROW('CASE MASTER'!#REF!)-1)))&amp;TRIM(MID(SUBSTITUTE(SUBSTITUTE(INDEX('CASE MASTER'!$N$2:$N$495,(SUMPRODUCT((('CASE MASTER'!$T$2:$T$495=14)*('CASE MASTER'!$U$2:$U$495&lt;=9)*('CASE MASTER'!$W$2:$W$495&gt;=9)*('CASE MASTER'!$V$2:$V$495&lt;=3)*('CASE MASTER'!$X$2:$X$495&gt;=3))*ROW('CASE MASTER'!$T$2:$T$495))-(ROW('CASE MASTER'!#REF!)-1))),":",","),",",REPT(" ",50)),((((9-INDEX('CASE MASTER'!$U$2:$U$495,(SUMPRODUCT((('CASE MASTER'!$T$2:$T$495=14)*('CASE MASTER'!$U$2:$U$495&lt;=9)*('CASE MASTER'!$W$2:$W$495&gt;=9)*('CASE MASTER'!$V$2:$V$495&lt;=3)*('CASE MASTER'!$X$2:$X$495&gt;=3))*ROW('CASE MASTER'!$T$2:$T$495))-(ROW('CASE MASTER'!#REF!)-1))))*(INDEX('CASE MASTER'!$X$2:$X$495,(SUMPRODUCT((('CASE MASTER'!$T$2:$T$495=14)*('CASE MASTER'!$U$2:$U$495&lt;=9)*('CASE MASTER'!$W$2:$W$495&gt;=9)*('CASE MASTER'!$V$2:$V$495&lt;=3)*('CASE MASTER'!$X$2:$X$495&gt;=3))*ROW('CASE MASTER'!$T$2:$T$495))-(ROW('CASE MASTER'!#REF!)-1)))-INDEX('CASE MASTER'!$V$2:$V$495,(SUMPRODUCT((('CASE MASTER'!$T$2:$T$495=14)*('CASE MASTER'!$U$2:$U$495&lt;=9)*('CASE MASTER'!$W$2:$W$495&gt;=9)*('CASE MASTER'!$V$2:$V$495&lt;=3)*('CASE MASTER'!$X$2:$X$495&gt;=3))*ROW('CASE MASTER'!$T$2:$T$495))-(ROW('CASE MASTER'!#REF!)-1)))+1)+(3-INDEX('CASE MASTER'!$V$2:$V$495,(SUMPRODUCT((('CASE MASTER'!$T$2:$T$495=14)*('CASE MASTER'!$U$2:$U$495&lt;=9)*('CASE MASTER'!$W$2:$W$495&gt;=9)*('CASE MASTER'!$V$2:$V$495&lt;=3)*('CASE MASTER'!$X$2:$X$495&gt;=3))*ROW('CASE MASTER'!$T$2:$T$495))-(ROW('CASE MASTER'!#REF!)-1))))+1))-1)*50+1,50))&amp;"_"&amp;INDEX('CASE MASTER'!$Q$2:$Q$495,(SUMPRODUCT((('CASE MASTER'!$T$2:$T$495=14)*('CASE MASTER'!$U$2:$U$495&lt;=9)*('CASE MASTER'!$W$2:$W$495&gt;=9)*('CASE MASTER'!$V$2:$V$495&lt;=3)*('CASE MASTER'!$X$2:$X$495&gt;=3))*ROW('CASE MASTER'!$T$2:$T$495))-(ROW('CASE MASTER'!#REF!)-1))),IF(SUMPRODUCT((('CASE MASTER'!$T$2:$T$495=14)*('CASE MASTER'!$AA$2:$AA$495&lt;=9)*('CASE MASTER'!$AC$2:$AC$495&gt;=9)*('CASE MASTER'!$AB$2:$AB$495&lt;=3)*('CASE MASTER'!$AD$2:$AD$495&gt;=3))*ROW('CASE MASTER'!$T$2:$T$495))&gt;0,INDEX('CASE MASTER'!$Y$2:$Y$495,(SUMPRODUCT((('CASE MASTER'!$T$2:$T$495=14)*('CASE MASTER'!$AA$2:$AA$495&lt;=9)*('CASE MASTER'!$AC$2:$AC$495&gt;=9)*('CASE MASTER'!$AB$2:$AB$495&lt;=3)*('CASE MASTER'!$AD$2:$AD$495&gt;=3))*ROW('CASE MASTER'!$T$2:$T$495))-(ROW('CASE MASTER'!#REF!)-1)))&amp;TRIM(MID(SUBSTITUTE(SUBSTITUTE(INDEX('CASE MASTER'!$N$2:$N$495,(SUMPRODUCT((('CASE MASTER'!$T$2:$T$495=14)*('CASE MASTER'!$AA$2:$AA$495&lt;=9)*('CASE MASTER'!$AC$2:$AC$495&gt;=9)*('CASE MASTER'!$AB$2:$AB$495&lt;=3)*('CASE MASTER'!$AD$2:$AD$495&gt;=3))*ROW('CASE MASTER'!$T$2:$T$495))-(ROW('CASE MASTER'!#REF!)-1))),":",","),",",REPT(" ",50)),(((INDEX('CASE MASTER'!$Z$2:$Z$495,(SUMPRODUCT((('CASE MASTER'!$T$2:$T$495=14)*('CASE MASTER'!$AA$2:$AA$495&lt;=9)*('CASE MASTER'!$AC$2:$AC$495&gt;=9)*('CASE MASTER'!$AB$2:$AB$495&lt;=3)*('CASE MASTER'!$AD$2:$AD$495&gt;=3))*ROW('CASE MASTER'!$T$2:$T$495))-(ROW('CASE MASTER'!#REF!)-1)))+((9-INDEX('CASE MASTER'!$AA$2:$AA$495,(SUMPRODUCT((('CASE MASTER'!$T$2:$T$495=14)*('CASE MASTER'!$AA$2:$AA$495&lt;=9)*('CASE MASTER'!$AC$2:$AC$495&gt;=9)*('CASE MASTER'!$AB$2:$AB$495&lt;=3)*('CASE MASTER'!$AD$2:$AD$495&gt;=3))*ROW('CASE MASTER'!$T$2:$T$495))-(ROW('CASE MASTER'!#REF!)-1))))*(INDEX('CASE MASTER'!$AD$2:$AD$495,(SUMPRODUCT((('CASE MASTER'!$T$2:$T$495=14)*('CASE MASTER'!$AA$2:$AA$495&lt;=9)*('CASE MASTER'!$AC$2:$AC$495&gt;=9)*('CASE MASTER'!$AB$2:$AB$495&lt;=3)*('CASE MASTER'!$AD$2:$AD$495&gt;=3))*ROW('CASE MASTER'!$T$2:$T$495))-(ROW('CASE MASTER'!#REF!)-1)))-INDEX('CASE MASTER'!$AB$2:$AB$495,(SUMPRODUCT((('CASE MASTER'!$T$2:$T$495=14)*('CASE MASTER'!$AA$2:$AA$495&lt;=9)*('CASE MASTER'!$AC$2:$AC$495&gt;=9)*('CASE MASTER'!$AB$2:$AB$495&lt;=3)*('CASE MASTER'!$AD$2:$AD$495&gt;=3))*ROW('CASE MASTER'!$T$2:$T$495))-(ROW('CASE MASTER'!#REF!)-1)))+1)+(3-INDEX('CASE MASTER'!$AB$2:$AB$495,(SUMPRODUCT((('CASE MASTER'!$T$2:$T$495=14)*('CASE MASTER'!$AA$2:$AA$495&lt;=9)*('CASE MASTER'!$AC$2:$AC$495&gt;=9)*('CASE MASTER'!$AB$2:$AB$495&lt;=3)*('CASE MASTER'!$AD$2:$AD$495&gt;=3))*ROW('CASE MASTER'!$T$2:$T$495))-(ROW('CASE MASTER'!#REF!)-1))))+1)))-1)*50+1,50))&amp;"_"&amp;INDEX('CASE MASTER'!$Q$2:$Q$495,(SUMPRODUCT((('CASE MASTER'!$T$2:$T$495=14)*('CASE MASTER'!$AA$2:$AA$495&lt;=9)*('CASE MASTER'!$AC$2:$AC$495&gt;=9)*('CASE MASTER'!$AB$2:$AB$495&lt;=3)*('CASE MASTER'!$AD$2:$AD$495&gt;=3))*ROW('CASE MASTER'!$T$2:$T$495))-(ROW('CASE MASTER'!#REF!)-1))),"")),"")</f>
        <v/>
      </c>
      <c r="E193" s="10" t="str">
        <f>IFERROR(IF(SUMPRODUCT((('CASE MASTER'!$T$2:$T$495=14)*('CASE MASTER'!$U$2:$U$495&lt;=9)*('CASE MASTER'!$W$2:$W$495&gt;=9)*('CASE MASTER'!$V$2:$V$495&lt;=4)*('CASE MASTER'!$X$2:$X$495&gt;=4))*ROW('CASE MASTER'!$T$2:$T$495))&gt;0,INDEX('CASE MASTER'!$Y$2:$Y$495,(SUMPRODUCT((('CASE MASTER'!$T$2:$T$495=14)*('CASE MASTER'!$U$2:$U$495&lt;=9)*('CASE MASTER'!$W$2:$W$495&gt;=9)*('CASE MASTER'!$V$2:$V$495&lt;=4)*('CASE MASTER'!$X$2:$X$495&gt;=4))*ROW('CASE MASTER'!$T$2:$T$495))-(ROW('CASE MASTER'!#REF!)-1)))&amp;TRIM(MID(SUBSTITUTE(SUBSTITUTE(INDEX('CASE MASTER'!$N$2:$N$495,(SUMPRODUCT((('CASE MASTER'!$T$2:$T$495=14)*('CASE MASTER'!$U$2:$U$495&lt;=9)*('CASE MASTER'!$W$2:$W$495&gt;=9)*('CASE MASTER'!$V$2:$V$495&lt;=4)*('CASE MASTER'!$X$2:$X$495&gt;=4))*ROW('CASE MASTER'!$T$2:$T$495))-(ROW('CASE MASTER'!#REF!)-1))),":",","),",",REPT(" ",50)),((((9-INDEX('CASE MASTER'!$U$2:$U$495,(SUMPRODUCT((('CASE MASTER'!$T$2:$T$495=14)*('CASE MASTER'!$U$2:$U$495&lt;=9)*('CASE MASTER'!$W$2:$W$495&gt;=9)*('CASE MASTER'!$V$2:$V$495&lt;=4)*('CASE MASTER'!$X$2:$X$495&gt;=4))*ROW('CASE MASTER'!$T$2:$T$495))-(ROW('CASE MASTER'!#REF!)-1))))*(INDEX('CASE MASTER'!$X$2:$X$495,(SUMPRODUCT((('CASE MASTER'!$T$2:$T$495=14)*('CASE MASTER'!$U$2:$U$495&lt;=9)*('CASE MASTER'!$W$2:$W$495&gt;=9)*('CASE MASTER'!$V$2:$V$495&lt;=4)*('CASE MASTER'!$X$2:$X$495&gt;=4))*ROW('CASE MASTER'!$T$2:$T$495))-(ROW('CASE MASTER'!#REF!)-1)))-INDEX('CASE MASTER'!$V$2:$V$495,(SUMPRODUCT((('CASE MASTER'!$T$2:$T$495=14)*('CASE MASTER'!$U$2:$U$495&lt;=9)*('CASE MASTER'!$W$2:$W$495&gt;=9)*('CASE MASTER'!$V$2:$V$495&lt;=4)*('CASE MASTER'!$X$2:$X$495&gt;=4))*ROW('CASE MASTER'!$T$2:$T$495))-(ROW('CASE MASTER'!#REF!)-1)))+1)+(4-INDEX('CASE MASTER'!$V$2:$V$495,(SUMPRODUCT((('CASE MASTER'!$T$2:$T$495=14)*('CASE MASTER'!$U$2:$U$495&lt;=9)*('CASE MASTER'!$W$2:$W$495&gt;=9)*('CASE MASTER'!$V$2:$V$495&lt;=4)*('CASE MASTER'!$X$2:$X$495&gt;=4))*ROW('CASE MASTER'!$T$2:$T$495))-(ROW('CASE MASTER'!#REF!)-1))))+1))-1)*50+1,50))&amp;"_"&amp;INDEX('CASE MASTER'!$Q$2:$Q$495,(SUMPRODUCT((('CASE MASTER'!$T$2:$T$495=14)*('CASE MASTER'!$U$2:$U$495&lt;=9)*('CASE MASTER'!$W$2:$W$495&gt;=9)*('CASE MASTER'!$V$2:$V$495&lt;=4)*('CASE MASTER'!$X$2:$X$495&gt;=4))*ROW('CASE MASTER'!$T$2:$T$495))-(ROW('CASE MASTER'!#REF!)-1))),IF(SUMPRODUCT((('CASE MASTER'!$T$2:$T$495=14)*('CASE MASTER'!$AA$2:$AA$495&lt;=9)*('CASE MASTER'!$AC$2:$AC$495&gt;=9)*('CASE MASTER'!$AB$2:$AB$495&lt;=4)*('CASE MASTER'!$AD$2:$AD$495&gt;=4))*ROW('CASE MASTER'!$T$2:$T$495))&gt;0,INDEX('CASE MASTER'!$Y$2:$Y$495,(SUMPRODUCT((('CASE MASTER'!$T$2:$T$495=14)*('CASE MASTER'!$AA$2:$AA$495&lt;=9)*('CASE MASTER'!$AC$2:$AC$495&gt;=9)*('CASE MASTER'!$AB$2:$AB$495&lt;=4)*('CASE MASTER'!$AD$2:$AD$495&gt;=4))*ROW('CASE MASTER'!$T$2:$T$495))-(ROW('CASE MASTER'!#REF!)-1)))&amp;TRIM(MID(SUBSTITUTE(SUBSTITUTE(INDEX('CASE MASTER'!$N$2:$N$495,(SUMPRODUCT((('CASE MASTER'!$T$2:$T$495=14)*('CASE MASTER'!$AA$2:$AA$495&lt;=9)*('CASE MASTER'!$AC$2:$AC$495&gt;=9)*('CASE MASTER'!$AB$2:$AB$495&lt;=4)*('CASE MASTER'!$AD$2:$AD$495&gt;=4))*ROW('CASE MASTER'!$T$2:$T$495))-(ROW('CASE MASTER'!#REF!)-1))),":",","),",",REPT(" ",50)),(((INDEX('CASE MASTER'!$Z$2:$Z$495,(SUMPRODUCT((('CASE MASTER'!$T$2:$T$495=14)*('CASE MASTER'!$AA$2:$AA$495&lt;=9)*('CASE MASTER'!$AC$2:$AC$495&gt;=9)*('CASE MASTER'!$AB$2:$AB$495&lt;=4)*('CASE MASTER'!$AD$2:$AD$495&gt;=4))*ROW('CASE MASTER'!$T$2:$T$495))-(ROW('CASE MASTER'!#REF!)-1)))+((9-INDEX('CASE MASTER'!$AA$2:$AA$495,(SUMPRODUCT((('CASE MASTER'!$T$2:$T$495=14)*('CASE MASTER'!$AA$2:$AA$495&lt;=9)*('CASE MASTER'!$AC$2:$AC$495&gt;=9)*('CASE MASTER'!$AB$2:$AB$495&lt;=4)*('CASE MASTER'!$AD$2:$AD$495&gt;=4))*ROW('CASE MASTER'!$T$2:$T$495))-(ROW('CASE MASTER'!#REF!)-1))))*(INDEX('CASE MASTER'!$AD$2:$AD$495,(SUMPRODUCT((('CASE MASTER'!$T$2:$T$495=14)*('CASE MASTER'!$AA$2:$AA$495&lt;=9)*('CASE MASTER'!$AC$2:$AC$495&gt;=9)*('CASE MASTER'!$AB$2:$AB$495&lt;=4)*('CASE MASTER'!$AD$2:$AD$495&gt;=4))*ROW('CASE MASTER'!$T$2:$T$495))-(ROW('CASE MASTER'!#REF!)-1)))-INDEX('CASE MASTER'!$AB$2:$AB$495,(SUMPRODUCT((('CASE MASTER'!$T$2:$T$495=14)*('CASE MASTER'!$AA$2:$AA$495&lt;=9)*('CASE MASTER'!$AC$2:$AC$495&gt;=9)*('CASE MASTER'!$AB$2:$AB$495&lt;=4)*('CASE MASTER'!$AD$2:$AD$495&gt;=4))*ROW('CASE MASTER'!$T$2:$T$495))-(ROW('CASE MASTER'!#REF!)-1)))+1)+(4-INDEX('CASE MASTER'!$AB$2:$AB$495,(SUMPRODUCT((('CASE MASTER'!$T$2:$T$495=14)*('CASE MASTER'!$AA$2:$AA$495&lt;=9)*('CASE MASTER'!$AC$2:$AC$495&gt;=9)*('CASE MASTER'!$AB$2:$AB$495&lt;=4)*('CASE MASTER'!$AD$2:$AD$495&gt;=4))*ROW('CASE MASTER'!$T$2:$T$495))-(ROW('CASE MASTER'!#REF!)-1))))+1)))-1)*50+1,50))&amp;"_"&amp;INDEX('CASE MASTER'!$Q$2:$Q$495,(SUMPRODUCT((('CASE MASTER'!$T$2:$T$495=14)*('CASE MASTER'!$AA$2:$AA$495&lt;=9)*('CASE MASTER'!$AC$2:$AC$495&gt;=9)*('CASE MASTER'!$AB$2:$AB$495&lt;=4)*('CASE MASTER'!$AD$2:$AD$495&gt;=4))*ROW('CASE MASTER'!$T$2:$T$495))-(ROW('CASE MASTER'!#REF!)-1))),"")),"")</f>
        <v/>
      </c>
      <c r="F193" s="10" t="str">
        <f>IFERROR(IF(SUMPRODUCT((('CASE MASTER'!$T$2:$T$495=14)*('CASE MASTER'!$U$2:$U$495&lt;=9)*('CASE MASTER'!$W$2:$W$495&gt;=9)*('CASE MASTER'!$V$2:$V$495&lt;=5)*('CASE MASTER'!$X$2:$X$495&gt;=5))*ROW('CASE MASTER'!$T$2:$T$495))&gt;0,INDEX('CASE MASTER'!$Y$2:$Y$495,(SUMPRODUCT((('CASE MASTER'!$T$2:$T$495=14)*('CASE MASTER'!$U$2:$U$495&lt;=9)*('CASE MASTER'!$W$2:$W$495&gt;=9)*('CASE MASTER'!$V$2:$V$495&lt;=5)*('CASE MASTER'!$X$2:$X$495&gt;=5))*ROW('CASE MASTER'!$T$2:$T$495))-(ROW('CASE MASTER'!#REF!)-1)))&amp;TRIM(MID(SUBSTITUTE(SUBSTITUTE(INDEX('CASE MASTER'!$N$2:$N$495,(SUMPRODUCT((('CASE MASTER'!$T$2:$T$495=14)*('CASE MASTER'!$U$2:$U$495&lt;=9)*('CASE MASTER'!$W$2:$W$495&gt;=9)*('CASE MASTER'!$V$2:$V$495&lt;=5)*('CASE MASTER'!$X$2:$X$495&gt;=5))*ROW('CASE MASTER'!$T$2:$T$495))-(ROW('CASE MASTER'!#REF!)-1))),":",","),",",REPT(" ",50)),((((9-INDEX('CASE MASTER'!$U$2:$U$495,(SUMPRODUCT((('CASE MASTER'!$T$2:$T$495=14)*('CASE MASTER'!$U$2:$U$495&lt;=9)*('CASE MASTER'!$W$2:$W$495&gt;=9)*('CASE MASTER'!$V$2:$V$495&lt;=5)*('CASE MASTER'!$X$2:$X$495&gt;=5))*ROW('CASE MASTER'!$T$2:$T$495))-(ROW('CASE MASTER'!#REF!)-1))))*(INDEX('CASE MASTER'!$X$2:$X$495,(SUMPRODUCT((('CASE MASTER'!$T$2:$T$495=14)*('CASE MASTER'!$U$2:$U$495&lt;=9)*('CASE MASTER'!$W$2:$W$495&gt;=9)*('CASE MASTER'!$V$2:$V$495&lt;=5)*('CASE MASTER'!$X$2:$X$495&gt;=5))*ROW('CASE MASTER'!$T$2:$T$495))-(ROW('CASE MASTER'!#REF!)-1)))-INDEX('CASE MASTER'!$V$2:$V$495,(SUMPRODUCT((('CASE MASTER'!$T$2:$T$495=14)*('CASE MASTER'!$U$2:$U$495&lt;=9)*('CASE MASTER'!$W$2:$W$495&gt;=9)*('CASE MASTER'!$V$2:$V$495&lt;=5)*('CASE MASTER'!$X$2:$X$495&gt;=5))*ROW('CASE MASTER'!$T$2:$T$495))-(ROW('CASE MASTER'!#REF!)-1)))+1)+(5-INDEX('CASE MASTER'!$V$2:$V$495,(SUMPRODUCT((('CASE MASTER'!$T$2:$T$495=14)*('CASE MASTER'!$U$2:$U$495&lt;=9)*('CASE MASTER'!$W$2:$W$495&gt;=9)*('CASE MASTER'!$V$2:$V$495&lt;=5)*('CASE MASTER'!$X$2:$X$495&gt;=5))*ROW('CASE MASTER'!$T$2:$T$495))-(ROW('CASE MASTER'!#REF!)-1))))+1))-1)*50+1,50))&amp;"_"&amp;INDEX('CASE MASTER'!$Q$2:$Q$495,(SUMPRODUCT((('CASE MASTER'!$T$2:$T$495=14)*('CASE MASTER'!$U$2:$U$495&lt;=9)*('CASE MASTER'!$W$2:$W$495&gt;=9)*('CASE MASTER'!$V$2:$V$495&lt;=5)*('CASE MASTER'!$X$2:$X$495&gt;=5))*ROW('CASE MASTER'!$T$2:$T$495))-(ROW('CASE MASTER'!#REF!)-1))),IF(SUMPRODUCT((('CASE MASTER'!$T$2:$T$495=14)*('CASE MASTER'!$AA$2:$AA$495&lt;=9)*('CASE MASTER'!$AC$2:$AC$495&gt;=9)*('CASE MASTER'!$AB$2:$AB$495&lt;=5)*('CASE MASTER'!$AD$2:$AD$495&gt;=5))*ROW('CASE MASTER'!$T$2:$T$495))&gt;0,INDEX('CASE MASTER'!$Y$2:$Y$495,(SUMPRODUCT((('CASE MASTER'!$T$2:$T$495=14)*('CASE MASTER'!$AA$2:$AA$495&lt;=9)*('CASE MASTER'!$AC$2:$AC$495&gt;=9)*('CASE MASTER'!$AB$2:$AB$495&lt;=5)*('CASE MASTER'!$AD$2:$AD$495&gt;=5))*ROW('CASE MASTER'!$T$2:$T$495))-(ROW('CASE MASTER'!#REF!)-1)))&amp;TRIM(MID(SUBSTITUTE(SUBSTITUTE(INDEX('CASE MASTER'!$N$2:$N$495,(SUMPRODUCT((('CASE MASTER'!$T$2:$T$495=14)*('CASE MASTER'!$AA$2:$AA$495&lt;=9)*('CASE MASTER'!$AC$2:$AC$495&gt;=9)*('CASE MASTER'!$AB$2:$AB$495&lt;=5)*('CASE MASTER'!$AD$2:$AD$495&gt;=5))*ROW('CASE MASTER'!$T$2:$T$495))-(ROW('CASE MASTER'!#REF!)-1))),":",","),",",REPT(" ",50)),(((INDEX('CASE MASTER'!$Z$2:$Z$495,(SUMPRODUCT((('CASE MASTER'!$T$2:$T$495=14)*('CASE MASTER'!$AA$2:$AA$495&lt;=9)*('CASE MASTER'!$AC$2:$AC$495&gt;=9)*('CASE MASTER'!$AB$2:$AB$495&lt;=5)*('CASE MASTER'!$AD$2:$AD$495&gt;=5))*ROW('CASE MASTER'!$T$2:$T$495))-(ROW('CASE MASTER'!#REF!)-1)))+((9-INDEX('CASE MASTER'!$AA$2:$AA$495,(SUMPRODUCT((('CASE MASTER'!$T$2:$T$495=14)*('CASE MASTER'!$AA$2:$AA$495&lt;=9)*('CASE MASTER'!$AC$2:$AC$495&gt;=9)*('CASE MASTER'!$AB$2:$AB$495&lt;=5)*('CASE MASTER'!$AD$2:$AD$495&gt;=5))*ROW('CASE MASTER'!$T$2:$T$495))-(ROW('CASE MASTER'!#REF!)-1))))*(INDEX('CASE MASTER'!$AD$2:$AD$495,(SUMPRODUCT((('CASE MASTER'!$T$2:$T$495=14)*('CASE MASTER'!$AA$2:$AA$495&lt;=9)*('CASE MASTER'!$AC$2:$AC$495&gt;=9)*('CASE MASTER'!$AB$2:$AB$495&lt;=5)*('CASE MASTER'!$AD$2:$AD$495&gt;=5))*ROW('CASE MASTER'!$T$2:$T$495))-(ROW('CASE MASTER'!#REF!)-1)))-INDEX('CASE MASTER'!$AB$2:$AB$495,(SUMPRODUCT((('CASE MASTER'!$T$2:$T$495=14)*('CASE MASTER'!$AA$2:$AA$495&lt;=9)*('CASE MASTER'!$AC$2:$AC$495&gt;=9)*('CASE MASTER'!$AB$2:$AB$495&lt;=5)*('CASE MASTER'!$AD$2:$AD$495&gt;=5))*ROW('CASE MASTER'!$T$2:$T$495))-(ROW('CASE MASTER'!#REF!)-1)))+1)+(5-INDEX('CASE MASTER'!$AB$2:$AB$495,(SUMPRODUCT((('CASE MASTER'!$T$2:$T$495=14)*('CASE MASTER'!$AA$2:$AA$495&lt;=9)*('CASE MASTER'!$AC$2:$AC$495&gt;=9)*('CASE MASTER'!$AB$2:$AB$495&lt;=5)*('CASE MASTER'!$AD$2:$AD$495&gt;=5))*ROW('CASE MASTER'!$T$2:$T$495))-(ROW('CASE MASTER'!#REF!)-1))))+1)))-1)*50+1,50))&amp;"_"&amp;INDEX('CASE MASTER'!$Q$2:$Q$495,(SUMPRODUCT((('CASE MASTER'!$T$2:$T$495=14)*('CASE MASTER'!$AA$2:$AA$495&lt;=9)*('CASE MASTER'!$AC$2:$AC$495&gt;=9)*('CASE MASTER'!$AB$2:$AB$495&lt;=5)*('CASE MASTER'!$AD$2:$AD$495&gt;=5))*ROW('CASE MASTER'!$T$2:$T$495))-(ROW('CASE MASTER'!#REF!)-1))),"")),"")</f>
        <v/>
      </c>
      <c r="G193" s="10" t="str">
        <f>IFERROR(IF(SUMPRODUCT((('CASE MASTER'!$T$2:$T$495=14)*('CASE MASTER'!$U$2:$U$495&lt;=9)*('CASE MASTER'!$W$2:$W$495&gt;=9)*('CASE MASTER'!$V$2:$V$495&lt;=6)*('CASE MASTER'!$X$2:$X$495&gt;=6))*ROW('CASE MASTER'!$T$2:$T$495))&gt;0,INDEX('CASE MASTER'!$Y$2:$Y$495,(SUMPRODUCT((('CASE MASTER'!$T$2:$T$495=14)*('CASE MASTER'!$U$2:$U$495&lt;=9)*('CASE MASTER'!$W$2:$W$495&gt;=9)*('CASE MASTER'!$V$2:$V$495&lt;=6)*('CASE MASTER'!$X$2:$X$495&gt;=6))*ROW('CASE MASTER'!$T$2:$T$495))-(ROW('CASE MASTER'!#REF!)-1)))&amp;TRIM(MID(SUBSTITUTE(SUBSTITUTE(INDEX('CASE MASTER'!$N$2:$N$495,(SUMPRODUCT((('CASE MASTER'!$T$2:$T$495=14)*('CASE MASTER'!$U$2:$U$495&lt;=9)*('CASE MASTER'!$W$2:$W$495&gt;=9)*('CASE MASTER'!$V$2:$V$495&lt;=6)*('CASE MASTER'!$X$2:$X$495&gt;=6))*ROW('CASE MASTER'!$T$2:$T$495))-(ROW('CASE MASTER'!#REF!)-1))),":",","),",",REPT(" ",50)),((((9-INDEX('CASE MASTER'!$U$2:$U$495,(SUMPRODUCT((('CASE MASTER'!$T$2:$T$495=14)*('CASE MASTER'!$U$2:$U$495&lt;=9)*('CASE MASTER'!$W$2:$W$495&gt;=9)*('CASE MASTER'!$V$2:$V$495&lt;=6)*('CASE MASTER'!$X$2:$X$495&gt;=6))*ROW('CASE MASTER'!$T$2:$T$495))-(ROW('CASE MASTER'!#REF!)-1))))*(INDEX('CASE MASTER'!$X$2:$X$495,(SUMPRODUCT((('CASE MASTER'!$T$2:$T$495=14)*('CASE MASTER'!$U$2:$U$495&lt;=9)*('CASE MASTER'!$W$2:$W$495&gt;=9)*('CASE MASTER'!$V$2:$V$495&lt;=6)*('CASE MASTER'!$X$2:$X$495&gt;=6))*ROW('CASE MASTER'!$T$2:$T$495))-(ROW('CASE MASTER'!#REF!)-1)))-INDEX('CASE MASTER'!$V$2:$V$495,(SUMPRODUCT((('CASE MASTER'!$T$2:$T$495=14)*('CASE MASTER'!$U$2:$U$495&lt;=9)*('CASE MASTER'!$W$2:$W$495&gt;=9)*('CASE MASTER'!$V$2:$V$495&lt;=6)*('CASE MASTER'!$X$2:$X$495&gt;=6))*ROW('CASE MASTER'!$T$2:$T$495))-(ROW('CASE MASTER'!#REF!)-1)))+1)+(6-INDEX('CASE MASTER'!$V$2:$V$495,(SUMPRODUCT((('CASE MASTER'!$T$2:$T$495=14)*('CASE MASTER'!$U$2:$U$495&lt;=9)*('CASE MASTER'!$W$2:$W$495&gt;=9)*('CASE MASTER'!$V$2:$V$495&lt;=6)*('CASE MASTER'!$X$2:$X$495&gt;=6))*ROW('CASE MASTER'!$T$2:$T$495))-(ROW('CASE MASTER'!#REF!)-1))))+1))-1)*50+1,50))&amp;"_"&amp;INDEX('CASE MASTER'!$Q$2:$Q$495,(SUMPRODUCT((('CASE MASTER'!$T$2:$T$495=14)*('CASE MASTER'!$U$2:$U$495&lt;=9)*('CASE MASTER'!$W$2:$W$495&gt;=9)*('CASE MASTER'!$V$2:$V$495&lt;=6)*('CASE MASTER'!$X$2:$X$495&gt;=6))*ROW('CASE MASTER'!$T$2:$T$495))-(ROW('CASE MASTER'!#REF!)-1))),IF(SUMPRODUCT((('CASE MASTER'!$T$2:$T$495=14)*('CASE MASTER'!$AA$2:$AA$495&lt;=9)*('CASE MASTER'!$AC$2:$AC$495&gt;=9)*('CASE MASTER'!$AB$2:$AB$495&lt;=6)*('CASE MASTER'!$AD$2:$AD$495&gt;=6))*ROW('CASE MASTER'!$T$2:$T$495))&gt;0,INDEX('CASE MASTER'!$Y$2:$Y$495,(SUMPRODUCT((('CASE MASTER'!$T$2:$T$495=14)*('CASE MASTER'!$AA$2:$AA$495&lt;=9)*('CASE MASTER'!$AC$2:$AC$495&gt;=9)*('CASE MASTER'!$AB$2:$AB$495&lt;=6)*('CASE MASTER'!$AD$2:$AD$495&gt;=6))*ROW('CASE MASTER'!$T$2:$T$495))-(ROW('CASE MASTER'!#REF!)-1)))&amp;TRIM(MID(SUBSTITUTE(SUBSTITUTE(INDEX('CASE MASTER'!$N$2:$N$495,(SUMPRODUCT((('CASE MASTER'!$T$2:$T$495=14)*('CASE MASTER'!$AA$2:$AA$495&lt;=9)*('CASE MASTER'!$AC$2:$AC$495&gt;=9)*('CASE MASTER'!$AB$2:$AB$495&lt;=6)*('CASE MASTER'!$AD$2:$AD$495&gt;=6))*ROW('CASE MASTER'!$T$2:$T$495))-(ROW('CASE MASTER'!#REF!)-1))),":",","),",",REPT(" ",50)),(((INDEX('CASE MASTER'!$Z$2:$Z$495,(SUMPRODUCT((('CASE MASTER'!$T$2:$T$495=14)*('CASE MASTER'!$AA$2:$AA$495&lt;=9)*('CASE MASTER'!$AC$2:$AC$495&gt;=9)*('CASE MASTER'!$AB$2:$AB$495&lt;=6)*('CASE MASTER'!$AD$2:$AD$495&gt;=6))*ROW('CASE MASTER'!$T$2:$T$495))-(ROW('CASE MASTER'!#REF!)-1)))+((9-INDEX('CASE MASTER'!$AA$2:$AA$495,(SUMPRODUCT((('CASE MASTER'!$T$2:$T$495=14)*('CASE MASTER'!$AA$2:$AA$495&lt;=9)*('CASE MASTER'!$AC$2:$AC$495&gt;=9)*('CASE MASTER'!$AB$2:$AB$495&lt;=6)*('CASE MASTER'!$AD$2:$AD$495&gt;=6))*ROW('CASE MASTER'!$T$2:$T$495))-(ROW('CASE MASTER'!#REF!)-1))))*(INDEX('CASE MASTER'!$AD$2:$AD$495,(SUMPRODUCT((('CASE MASTER'!$T$2:$T$495=14)*('CASE MASTER'!$AA$2:$AA$495&lt;=9)*('CASE MASTER'!$AC$2:$AC$495&gt;=9)*('CASE MASTER'!$AB$2:$AB$495&lt;=6)*('CASE MASTER'!$AD$2:$AD$495&gt;=6))*ROW('CASE MASTER'!$T$2:$T$495))-(ROW('CASE MASTER'!#REF!)-1)))-INDEX('CASE MASTER'!$AB$2:$AB$495,(SUMPRODUCT((('CASE MASTER'!$T$2:$T$495=14)*('CASE MASTER'!$AA$2:$AA$495&lt;=9)*('CASE MASTER'!$AC$2:$AC$495&gt;=9)*('CASE MASTER'!$AB$2:$AB$495&lt;=6)*('CASE MASTER'!$AD$2:$AD$495&gt;=6))*ROW('CASE MASTER'!$T$2:$T$495))-(ROW('CASE MASTER'!#REF!)-1)))+1)+(6-INDEX('CASE MASTER'!$AB$2:$AB$495,(SUMPRODUCT((('CASE MASTER'!$T$2:$T$495=14)*('CASE MASTER'!$AA$2:$AA$495&lt;=9)*('CASE MASTER'!$AC$2:$AC$495&gt;=9)*('CASE MASTER'!$AB$2:$AB$495&lt;=6)*('CASE MASTER'!$AD$2:$AD$495&gt;=6))*ROW('CASE MASTER'!$T$2:$T$495))-(ROW('CASE MASTER'!#REF!)-1))))+1)))-1)*50+1,50))&amp;"_"&amp;INDEX('CASE MASTER'!$Q$2:$Q$495,(SUMPRODUCT((('CASE MASTER'!$T$2:$T$495=14)*('CASE MASTER'!$AA$2:$AA$495&lt;=9)*('CASE MASTER'!$AC$2:$AC$495&gt;=9)*('CASE MASTER'!$AB$2:$AB$495&lt;=6)*('CASE MASTER'!$AD$2:$AD$495&gt;=6))*ROW('CASE MASTER'!$T$2:$T$495))-(ROW('CASE MASTER'!#REF!)-1))),"")),"")</f>
        <v/>
      </c>
      <c r="H193" s="10" t="str">
        <f>IFERROR(IF(SUMPRODUCT((('CASE MASTER'!$T$2:$T$495=14)*('CASE MASTER'!$U$2:$U$495&lt;=9)*('CASE MASTER'!$W$2:$W$495&gt;=9)*('CASE MASTER'!$V$2:$V$495&lt;=7)*('CASE MASTER'!$X$2:$X$495&gt;=7))*ROW('CASE MASTER'!$T$2:$T$495))&gt;0,INDEX('CASE MASTER'!$Y$2:$Y$495,(SUMPRODUCT((('CASE MASTER'!$T$2:$T$495=14)*('CASE MASTER'!$U$2:$U$495&lt;=9)*('CASE MASTER'!$W$2:$W$495&gt;=9)*('CASE MASTER'!$V$2:$V$495&lt;=7)*('CASE MASTER'!$X$2:$X$495&gt;=7))*ROW('CASE MASTER'!$T$2:$T$495))-(ROW('CASE MASTER'!#REF!)-1)))&amp;TRIM(MID(SUBSTITUTE(SUBSTITUTE(INDEX('CASE MASTER'!$N$2:$N$495,(SUMPRODUCT((('CASE MASTER'!$T$2:$T$495=14)*('CASE MASTER'!$U$2:$U$495&lt;=9)*('CASE MASTER'!$W$2:$W$495&gt;=9)*('CASE MASTER'!$V$2:$V$495&lt;=7)*('CASE MASTER'!$X$2:$X$495&gt;=7))*ROW('CASE MASTER'!$T$2:$T$495))-(ROW('CASE MASTER'!#REF!)-1))),":",","),",",REPT(" ",50)),((((9-INDEX('CASE MASTER'!$U$2:$U$495,(SUMPRODUCT((('CASE MASTER'!$T$2:$T$495=14)*('CASE MASTER'!$U$2:$U$495&lt;=9)*('CASE MASTER'!$W$2:$W$495&gt;=9)*('CASE MASTER'!$V$2:$V$495&lt;=7)*('CASE MASTER'!$X$2:$X$495&gt;=7))*ROW('CASE MASTER'!$T$2:$T$495))-(ROW('CASE MASTER'!#REF!)-1))))*(INDEX('CASE MASTER'!$X$2:$X$495,(SUMPRODUCT((('CASE MASTER'!$T$2:$T$495=14)*('CASE MASTER'!$U$2:$U$495&lt;=9)*('CASE MASTER'!$W$2:$W$495&gt;=9)*('CASE MASTER'!$V$2:$V$495&lt;=7)*('CASE MASTER'!$X$2:$X$495&gt;=7))*ROW('CASE MASTER'!$T$2:$T$495))-(ROW('CASE MASTER'!#REF!)-1)))-INDEX('CASE MASTER'!$V$2:$V$495,(SUMPRODUCT((('CASE MASTER'!$T$2:$T$495=14)*('CASE MASTER'!$U$2:$U$495&lt;=9)*('CASE MASTER'!$W$2:$W$495&gt;=9)*('CASE MASTER'!$V$2:$V$495&lt;=7)*('CASE MASTER'!$X$2:$X$495&gt;=7))*ROW('CASE MASTER'!$T$2:$T$495))-(ROW('CASE MASTER'!#REF!)-1)))+1)+(7-INDEX('CASE MASTER'!$V$2:$V$495,(SUMPRODUCT((('CASE MASTER'!$T$2:$T$495=14)*('CASE MASTER'!$U$2:$U$495&lt;=9)*('CASE MASTER'!$W$2:$W$495&gt;=9)*('CASE MASTER'!$V$2:$V$495&lt;=7)*('CASE MASTER'!$X$2:$X$495&gt;=7))*ROW('CASE MASTER'!$T$2:$T$495))-(ROW('CASE MASTER'!#REF!)-1))))+1))-1)*50+1,50))&amp;"_"&amp;INDEX('CASE MASTER'!$Q$2:$Q$495,(SUMPRODUCT((('CASE MASTER'!$T$2:$T$495=14)*('CASE MASTER'!$U$2:$U$495&lt;=9)*('CASE MASTER'!$W$2:$W$495&gt;=9)*('CASE MASTER'!$V$2:$V$495&lt;=7)*('CASE MASTER'!$X$2:$X$495&gt;=7))*ROW('CASE MASTER'!$T$2:$T$495))-(ROW('CASE MASTER'!#REF!)-1))),IF(SUMPRODUCT((('CASE MASTER'!$T$2:$T$495=14)*('CASE MASTER'!$AA$2:$AA$495&lt;=9)*('CASE MASTER'!$AC$2:$AC$495&gt;=9)*('CASE MASTER'!$AB$2:$AB$495&lt;=7)*('CASE MASTER'!$AD$2:$AD$495&gt;=7))*ROW('CASE MASTER'!$T$2:$T$495))&gt;0,INDEX('CASE MASTER'!$Y$2:$Y$495,(SUMPRODUCT((('CASE MASTER'!$T$2:$T$495=14)*('CASE MASTER'!$AA$2:$AA$495&lt;=9)*('CASE MASTER'!$AC$2:$AC$495&gt;=9)*('CASE MASTER'!$AB$2:$AB$495&lt;=7)*('CASE MASTER'!$AD$2:$AD$495&gt;=7))*ROW('CASE MASTER'!$T$2:$T$495))-(ROW('CASE MASTER'!#REF!)-1)))&amp;TRIM(MID(SUBSTITUTE(SUBSTITUTE(INDEX('CASE MASTER'!$N$2:$N$495,(SUMPRODUCT((('CASE MASTER'!$T$2:$T$495=14)*('CASE MASTER'!$AA$2:$AA$495&lt;=9)*('CASE MASTER'!$AC$2:$AC$495&gt;=9)*('CASE MASTER'!$AB$2:$AB$495&lt;=7)*('CASE MASTER'!$AD$2:$AD$495&gt;=7))*ROW('CASE MASTER'!$T$2:$T$495))-(ROW('CASE MASTER'!#REF!)-1))),":",","),",",REPT(" ",50)),(((INDEX('CASE MASTER'!$Z$2:$Z$495,(SUMPRODUCT((('CASE MASTER'!$T$2:$T$495=14)*('CASE MASTER'!$AA$2:$AA$495&lt;=9)*('CASE MASTER'!$AC$2:$AC$495&gt;=9)*('CASE MASTER'!$AB$2:$AB$495&lt;=7)*('CASE MASTER'!$AD$2:$AD$495&gt;=7))*ROW('CASE MASTER'!$T$2:$T$495))-(ROW('CASE MASTER'!#REF!)-1)))+((9-INDEX('CASE MASTER'!$AA$2:$AA$495,(SUMPRODUCT((('CASE MASTER'!$T$2:$T$495=14)*('CASE MASTER'!$AA$2:$AA$495&lt;=9)*('CASE MASTER'!$AC$2:$AC$495&gt;=9)*('CASE MASTER'!$AB$2:$AB$495&lt;=7)*('CASE MASTER'!$AD$2:$AD$495&gt;=7))*ROW('CASE MASTER'!$T$2:$T$495))-(ROW('CASE MASTER'!#REF!)-1))))*(INDEX('CASE MASTER'!$AD$2:$AD$495,(SUMPRODUCT((('CASE MASTER'!$T$2:$T$495=14)*('CASE MASTER'!$AA$2:$AA$495&lt;=9)*('CASE MASTER'!$AC$2:$AC$495&gt;=9)*('CASE MASTER'!$AB$2:$AB$495&lt;=7)*('CASE MASTER'!$AD$2:$AD$495&gt;=7))*ROW('CASE MASTER'!$T$2:$T$495))-(ROW('CASE MASTER'!#REF!)-1)))-INDEX('CASE MASTER'!$AB$2:$AB$495,(SUMPRODUCT((('CASE MASTER'!$T$2:$T$495=14)*('CASE MASTER'!$AA$2:$AA$495&lt;=9)*('CASE MASTER'!$AC$2:$AC$495&gt;=9)*('CASE MASTER'!$AB$2:$AB$495&lt;=7)*('CASE MASTER'!$AD$2:$AD$495&gt;=7))*ROW('CASE MASTER'!$T$2:$T$495))-(ROW('CASE MASTER'!#REF!)-1)))+1)+(7-INDEX('CASE MASTER'!$AB$2:$AB$495,(SUMPRODUCT((('CASE MASTER'!$T$2:$T$495=14)*('CASE MASTER'!$AA$2:$AA$495&lt;=9)*('CASE MASTER'!$AC$2:$AC$495&gt;=9)*('CASE MASTER'!$AB$2:$AB$495&lt;=7)*('CASE MASTER'!$AD$2:$AD$495&gt;=7))*ROW('CASE MASTER'!$T$2:$T$495))-(ROW('CASE MASTER'!#REF!)-1))))+1)))-1)*50+1,50))&amp;"_"&amp;INDEX('CASE MASTER'!$Q$2:$Q$495,(SUMPRODUCT((('CASE MASTER'!$T$2:$T$495=14)*('CASE MASTER'!$AA$2:$AA$495&lt;=9)*('CASE MASTER'!$AC$2:$AC$495&gt;=9)*('CASE MASTER'!$AB$2:$AB$495&lt;=7)*('CASE MASTER'!$AD$2:$AD$495&gt;=7))*ROW('CASE MASTER'!$T$2:$T$495))-(ROW('CASE MASTER'!#REF!)-1))),"")),"")</f>
        <v/>
      </c>
      <c r="I193" s="10" t="str">
        <f>IFERROR(IF(SUMPRODUCT((('CASE MASTER'!$T$2:$T$495=14)*('CASE MASTER'!$U$2:$U$495&lt;=9)*('CASE MASTER'!$W$2:$W$495&gt;=9)*('CASE MASTER'!$V$2:$V$495&lt;=8)*('CASE MASTER'!$X$2:$X$495&gt;=8))*ROW('CASE MASTER'!$T$2:$T$495))&gt;0,INDEX('CASE MASTER'!$Y$2:$Y$495,(SUMPRODUCT((('CASE MASTER'!$T$2:$T$495=14)*('CASE MASTER'!$U$2:$U$495&lt;=9)*('CASE MASTER'!$W$2:$W$495&gt;=9)*('CASE MASTER'!$V$2:$V$495&lt;=8)*('CASE MASTER'!$X$2:$X$495&gt;=8))*ROW('CASE MASTER'!$T$2:$T$495))-(ROW('CASE MASTER'!#REF!)-1)))&amp;TRIM(MID(SUBSTITUTE(SUBSTITUTE(INDEX('CASE MASTER'!$N$2:$N$495,(SUMPRODUCT((('CASE MASTER'!$T$2:$T$495=14)*('CASE MASTER'!$U$2:$U$495&lt;=9)*('CASE MASTER'!$W$2:$W$495&gt;=9)*('CASE MASTER'!$V$2:$V$495&lt;=8)*('CASE MASTER'!$X$2:$X$495&gt;=8))*ROW('CASE MASTER'!$T$2:$T$495))-(ROW('CASE MASTER'!#REF!)-1))),":",","),",",REPT(" ",50)),((((9-INDEX('CASE MASTER'!$U$2:$U$495,(SUMPRODUCT((('CASE MASTER'!$T$2:$T$495=14)*('CASE MASTER'!$U$2:$U$495&lt;=9)*('CASE MASTER'!$W$2:$W$495&gt;=9)*('CASE MASTER'!$V$2:$V$495&lt;=8)*('CASE MASTER'!$X$2:$X$495&gt;=8))*ROW('CASE MASTER'!$T$2:$T$495))-(ROW('CASE MASTER'!#REF!)-1))))*(INDEX('CASE MASTER'!$X$2:$X$495,(SUMPRODUCT((('CASE MASTER'!$T$2:$T$495=14)*('CASE MASTER'!$U$2:$U$495&lt;=9)*('CASE MASTER'!$W$2:$W$495&gt;=9)*('CASE MASTER'!$V$2:$V$495&lt;=8)*('CASE MASTER'!$X$2:$X$495&gt;=8))*ROW('CASE MASTER'!$T$2:$T$495))-(ROW('CASE MASTER'!#REF!)-1)))-INDEX('CASE MASTER'!$V$2:$V$495,(SUMPRODUCT((('CASE MASTER'!$T$2:$T$495=14)*('CASE MASTER'!$U$2:$U$495&lt;=9)*('CASE MASTER'!$W$2:$W$495&gt;=9)*('CASE MASTER'!$V$2:$V$495&lt;=8)*('CASE MASTER'!$X$2:$X$495&gt;=8))*ROW('CASE MASTER'!$T$2:$T$495))-(ROW('CASE MASTER'!#REF!)-1)))+1)+(8-INDEX('CASE MASTER'!$V$2:$V$495,(SUMPRODUCT((('CASE MASTER'!$T$2:$T$495=14)*('CASE MASTER'!$U$2:$U$495&lt;=9)*('CASE MASTER'!$W$2:$W$495&gt;=9)*('CASE MASTER'!$V$2:$V$495&lt;=8)*('CASE MASTER'!$X$2:$X$495&gt;=8))*ROW('CASE MASTER'!$T$2:$T$495))-(ROW('CASE MASTER'!#REF!)-1))))+1))-1)*50+1,50))&amp;"_"&amp;INDEX('CASE MASTER'!$Q$2:$Q$495,(SUMPRODUCT((('CASE MASTER'!$T$2:$T$495=14)*('CASE MASTER'!$U$2:$U$495&lt;=9)*('CASE MASTER'!$W$2:$W$495&gt;=9)*('CASE MASTER'!$V$2:$V$495&lt;=8)*('CASE MASTER'!$X$2:$X$495&gt;=8))*ROW('CASE MASTER'!$T$2:$T$495))-(ROW('CASE MASTER'!#REF!)-1))),IF(SUMPRODUCT((('CASE MASTER'!$T$2:$T$495=14)*('CASE MASTER'!$AA$2:$AA$495&lt;=9)*('CASE MASTER'!$AC$2:$AC$495&gt;=9)*('CASE MASTER'!$AB$2:$AB$495&lt;=8)*('CASE MASTER'!$AD$2:$AD$495&gt;=8))*ROW('CASE MASTER'!$T$2:$T$495))&gt;0,INDEX('CASE MASTER'!$Y$2:$Y$495,(SUMPRODUCT((('CASE MASTER'!$T$2:$T$495=14)*('CASE MASTER'!$AA$2:$AA$495&lt;=9)*('CASE MASTER'!$AC$2:$AC$495&gt;=9)*('CASE MASTER'!$AB$2:$AB$495&lt;=8)*('CASE MASTER'!$AD$2:$AD$495&gt;=8))*ROW('CASE MASTER'!$T$2:$T$495))-(ROW('CASE MASTER'!#REF!)-1)))&amp;TRIM(MID(SUBSTITUTE(SUBSTITUTE(INDEX('CASE MASTER'!$N$2:$N$495,(SUMPRODUCT((('CASE MASTER'!$T$2:$T$495=14)*('CASE MASTER'!$AA$2:$AA$495&lt;=9)*('CASE MASTER'!$AC$2:$AC$495&gt;=9)*('CASE MASTER'!$AB$2:$AB$495&lt;=8)*('CASE MASTER'!$AD$2:$AD$495&gt;=8))*ROW('CASE MASTER'!$T$2:$T$495))-(ROW('CASE MASTER'!#REF!)-1))),":",","),",",REPT(" ",50)),(((INDEX('CASE MASTER'!$Z$2:$Z$495,(SUMPRODUCT((('CASE MASTER'!$T$2:$T$495=14)*('CASE MASTER'!$AA$2:$AA$495&lt;=9)*('CASE MASTER'!$AC$2:$AC$495&gt;=9)*('CASE MASTER'!$AB$2:$AB$495&lt;=8)*('CASE MASTER'!$AD$2:$AD$495&gt;=8))*ROW('CASE MASTER'!$T$2:$T$495))-(ROW('CASE MASTER'!#REF!)-1)))+((9-INDEX('CASE MASTER'!$AA$2:$AA$495,(SUMPRODUCT((('CASE MASTER'!$T$2:$T$495=14)*('CASE MASTER'!$AA$2:$AA$495&lt;=9)*('CASE MASTER'!$AC$2:$AC$495&gt;=9)*('CASE MASTER'!$AB$2:$AB$495&lt;=8)*('CASE MASTER'!$AD$2:$AD$495&gt;=8))*ROW('CASE MASTER'!$T$2:$T$495))-(ROW('CASE MASTER'!#REF!)-1))))*(INDEX('CASE MASTER'!$AD$2:$AD$495,(SUMPRODUCT((('CASE MASTER'!$T$2:$T$495=14)*('CASE MASTER'!$AA$2:$AA$495&lt;=9)*('CASE MASTER'!$AC$2:$AC$495&gt;=9)*('CASE MASTER'!$AB$2:$AB$495&lt;=8)*('CASE MASTER'!$AD$2:$AD$495&gt;=8))*ROW('CASE MASTER'!$T$2:$T$495))-(ROW('CASE MASTER'!#REF!)-1)))-INDEX('CASE MASTER'!$AB$2:$AB$495,(SUMPRODUCT((('CASE MASTER'!$T$2:$T$495=14)*('CASE MASTER'!$AA$2:$AA$495&lt;=9)*('CASE MASTER'!$AC$2:$AC$495&gt;=9)*('CASE MASTER'!$AB$2:$AB$495&lt;=8)*('CASE MASTER'!$AD$2:$AD$495&gt;=8))*ROW('CASE MASTER'!$T$2:$T$495))-(ROW('CASE MASTER'!#REF!)-1)))+1)+(8-INDEX('CASE MASTER'!$AB$2:$AB$495,(SUMPRODUCT((('CASE MASTER'!$T$2:$T$495=14)*('CASE MASTER'!$AA$2:$AA$495&lt;=9)*('CASE MASTER'!$AC$2:$AC$495&gt;=9)*('CASE MASTER'!$AB$2:$AB$495&lt;=8)*('CASE MASTER'!$AD$2:$AD$495&gt;=8))*ROW('CASE MASTER'!$T$2:$T$495))-(ROW('CASE MASTER'!#REF!)-1))))+1)))-1)*50+1,50))&amp;"_"&amp;INDEX('CASE MASTER'!$Q$2:$Q$495,(SUMPRODUCT((('CASE MASTER'!$T$2:$T$495=14)*('CASE MASTER'!$AA$2:$AA$495&lt;=9)*('CASE MASTER'!$AC$2:$AC$495&gt;=9)*('CASE MASTER'!$AB$2:$AB$495&lt;=8)*('CASE MASTER'!$AD$2:$AD$495&gt;=8))*ROW('CASE MASTER'!$T$2:$T$495))-(ROW('CASE MASTER'!#REF!)-1))),"")),"")</f>
        <v/>
      </c>
      <c r="J193" s="10" t="str">
        <f>IFERROR(IF(SUMPRODUCT((('CASE MASTER'!$T$2:$T$495=14)*('CASE MASTER'!$U$2:$U$495&lt;=9)*('CASE MASTER'!$W$2:$W$495&gt;=9)*('CASE MASTER'!$V$2:$V$495&lt;=9)*('CASE MASTER'!$X$2:$X$495&gt;=9))*ROW('CASE MASTER'!$T$2:$T$495))&gt;0,INDEX('CASE MASTER'!$Y$2:$Y$495,(SUMPRODUCT((('CASE MASTER'!$T$2:$T$495=14)*('CASE MASTER'!$U$2:$U$495&lt;=9)*('CASE MASTER'!$W$2:$W$495&gt;=9)*('CASE MASTER'!$V$2:$V$495&lt;=9)*('CASE MASTER'!$X$2:$X$495&gt;=9))*ROW('CASE MASTER'!$T$2:$T$495))-(ROW('CASE MASTER'!#REF!)-1)))&amp;TRIM(MID(SUBSTITUTE(SUBSTITUTE(INDEX('CASE MASTER'!$N$2:$N$495,(SUMPRODUCT((('CASE MASTER'!$T$2:$T$495=14)*('CASE MASTER'!$U$2:$U$495&lt;=9)*('CASE MASTER'!$W$2:$W$495&gt;=9)*('CASE MASTER'!$V$2:$V$495&lt;=9)*('CASE MASTER'!$X$2:$X$495&gt;=9))*ROW('CASE MASTER'!$T$2:$T$495))-(ROW('CASE MASTER'!#REF!)-1))),":",","),",",REPT(" ",50)),((((9-INDEX('CASE MASTER'!$U$2:$U$495,(SUMPRODUCT((('CASE MASTER'!$T$2:$T$495=14)*('CASE MASTER'!$U$2:$U$495&lt;=9)*('CASE MASTER'!$W$2:$W$495&gt;=9)*('CASE MASTER'!$V$2:$V$495&lt;=9)*('CASE MASTER'!$X$2:$X$495&gt;=9))*ROW('CASE MASTER'!$T$2:$T$495))-(ROW('CASE MASTER'!#REF!)-1))))*(INDEX('CASE MASTER'!$X$2:$X$495,(SUMPRODUCT((('CASE MASTER'!$T$2:$T$495=14)*('CASE MASTER'!$U$2:$U$495&lt;=9)*('CASE MASTER'!$W$2:$W$495&gt;=9)*('CASE MASTER'!$V$2:$V$495&lt;=9)*('CASE MASTER'!$X$2:$X$495&gt;=9))*ROW('CASE MASTER'!$T$2:$T$495))-(ROW('CASE MASTER'!#REF!)-1)))-INDEX('CASE MASTER'!$V$2:$V$495,(SUMPRODUCT((('CASE MASTER'!$T$2:$T$495=14)*('CASE MASTER'!$U$2:$U$495&lt;=9)*('CASE MASTER'!$W$2:$W$495&gt;=9)*('CASE MASTER'!$V$2:$V$495&lt;=9)*('CASE MASTER'!$X$2:$X$495&gt;=9))*ROW('CASE MASTER'!$T$2:$T$495))-(ROW('CASE MASTER'!#REF!)-1)))+1)+(9-INDEX('CASE MASTER'!$V$2:$V$495,(SUMPRODUCT((('CASE MASTER'!$T$2:$T$495=14)*('CASE MASTER'!$U$2:$U$495&lt;=9)*('CASE MASTER'!$W$2:$W$495&gt;=9)*('CASE MASTER'!$V$2:$V$495&lt;=9)*('CASE MASTER'!$X$2:$X$495&gt;=9))*ROW('CASE MASTER'!$T$2:$T$495))-(ROW('CASE MASTER'!#REF!)-1))))+1))-1)*50+1,50))&amp;"_"&amp;INDEX('CASE MASTER'!$Q$2:$Q$495,(SUMPRODUCT((('CASE MASTER'!$T$2:$T$495=14)*('CASE MASTER'!$U$2:$U$495&lt;=9)*('CASE MASTER'!$W$2:$W$495&gt;=9)*('CASE MASTER'!$V$2:$V$495&lt;=9)*('CASE MASTER'!$X$2:$X$495&gt;=9))*ROW('CASE MASTER'!$T$2:$T$495))-(ROW('CASE MASTER'!#REF!)-1))),IF(SUMPRODUCT((('CASE MASTER'!$T$2:$T$495=14)*('CASE MASTER'!$AA$2:$AA$495&lt;=9)*('CASE MASTER'!$AC$2:$AC$495&gt;=9)*('CASE MASTER'!$AB$2:$AB$495&lt;=9)*('CASE MASTER'!$AD$2:$AD$495&gt;=9))*ROW('CASE MASTER'!$T$2:$T$495))&gt;0,INDEX('CASE MASTER'!$Y$2:$Y$495,(SUMPRODUCT((('CASE MASTER'!$T$2:$T$495=14)*('CASE MASTER'!$AA$2:$AA$495&lt;=9)*('CASE MASTER'!$AC$2:$AC$495&gt;=9)*('CASE MASTER'!$AB$2:$AB$495&lt;=9)*('CASE MASTER'!$AD$2:$AD$495&gt;=9))*ROW('CASE MASTER'!$T$2:$T$495))-(ROW('CASE MASTER'!#REF!)-1)))&amp;TRIM(MID(SUBSTITUTE(SUBSTITUTE(INDEX('CASE MASTER'!$N$2:$N$495,(SUMPRODUCT((('CASE MASTER'!$T$2:$T$495=14)*('CASE MASTER'!$AA$2:$AA$495&lt;=9)*('CASE MASTER'!$AC$2:$AC$495&gt;=9)*('CASE MASTER'!$AB$2:$AB$495&lt;=9)*('CASE MASTER'!$AD$2:$AD$495&gt;=9))*ROW('CASE MASTER'!$T$2:$T$495))-(ROW('CASE MASTER'!#REF!)-1))),":",","),",",REPT(" ",50)),(((INDEX('CASE MASTER'!$Z$2:$Z$495,(SUMPRODUCT((('CASE MASTER'!$T$2:$T$495=14)*('CASE MASTER'!$AA$2:$AA$495&lt;=9)*('CASE MASTER'!$AC$2:$AC$495&gt;=9)*('CASE MASTER'!$AB$2:$AB$495&lt;=9)*('CASE MASTER'!$AD$2:$AD$495&gt;=9))*ROW('CASE MASTER'!$T$2:$T$495))-(ROW('CASE MASTER'!#REF!)-1)))+((9-INDEX('CASE MASTER'!$AA$2:$AA$495,(SUMPRODUCT((('CASE MASTER'!$T$2:$T$495=14)*('CASE MASTER'!$AA$2:$AA$495&lt;=9)*('CASE MASTER'!$AC$2:$AC$495&gt;=9)*('CASE MASTER'!$AB$2:$AB$495&lt;=9)*('CASE MASTER'!$AD$2:$AD$495&gt;=9))*ROW('CASE MASTER'!$T$2:$T$495))-(ROW('CASE MASTER'!#REF!)-1))))*(INDEX('CASE MASTER'!$AD$2:$AD$495,(SUMPRODUCT((('CASE MASTER'!$T$2:$T$495=14)*('CASE MASTER'!$AA$2:$AA$495&lt;=9)*('CASE MASTER'!$AC$2:$AC$495&gt;=9)*('CASE MASTER'!$AB$2:$AB$495&lt;=9)*('CASE MASTER'!$AD$2:$AD$495&gt;=9))*ROW('CASE MASTER'!$T$2:$T$495))-(ROW('CASE MASTER'!#REF!)-1)))-INDEX('CASE MASTER'!$AB$2:$AB$495,(SUMPRODUCT((('CASE MASTER'!$T$2:$T$495=14)*('CASE MASTER'!$AA$2:$AA$495&lt;=9)*('CASE MASTER'!$AC$2:$AC$495&gt;=9)*('CASE MASTER'!$AB$2:$AB$495&lt;=9)*('CASE MASTER'!$AD$2:$AD$495&gt;=9))*ROW('CASE MASTER'!$T$2:$T$495))-(ROW('CASE MASTER'!#REF!)-1)))+1)+(9-INDEX('CASE MASTER'!$AB$2:$AB$495,(SUMPRODUCT((('CASE MASTER'!$T$2:$T$495=14)*('CASE MASTER'!$AA$2:$AA$495&lt;=9)*('CASE MASTER'!$AC$2:$AC$495&gt;=9)*('CASE MASTER'!$AB$2:$AB$495&lt;=9)*('CASE MASTER'!$AD$2:$AD$495&gt;=9))*ROW('CASE MASTER'!$T$2:$T$495))-(ROW('CASE MASTER'!#REF!)-1))))+1)))-1)*50+1,50))&amp;"_"&amp;INDEX('CASE MASTER'!$Q$2:$Q$495,(SUMPRODUCT((('CASE MASTER'!$T$2:$T$495=14)*('CASE MASTER'!$AA$2:$AA$495&lt;=9)*('CASE MASTER'!$AC$2:$AC$495&gt;=9)*('CASE MASTER'!$AB$2:$AB$495&lt;=9)*('CASE MASTER'!$AD$2:$AD$495&gt;=9))*ROW('CASE MASTER'!$T$2:$T$495))-(ROW('CASE MASTER'!#REF!)-1))),"")),"")</f>
        <v/>
      </c>
      <c r="K193" s="10" t="str">
        <f>IFERROR(IF(SUMPRODUCT((('CASE MASTER'!$T$2:$T$495=14)*('CASE MASTER'!$U$2:$U$495&lt;=9)*('CASE MASTER'!$W$2:$W$495&gt;=9)*('CASE MASTER'!$V$2:$V$495&lt;=10)*('CASE MASTER'!$X$2:$X$495&gt;=10))*ROW('CASE MASTER'!$T$2:$T$495))&gt;0,INDEX('CASE MASTER'!$Y$2:$Y$495,(SUMPRODUCT((('CASE MASTER'!$T$2:$T$495=14)*('CASE MASTER'!$U$2:$U$495&lt;=9)*('CASE MASTER'!$W$2:$W$495&gt;=9)*('CASE MASTER'!$V$2:$V$495&lt;=10)*('CASE MASTER'!$X$2:$X$495&gt;=10))*ROW('CASE MASTER'!$T$2:$T$495))-(ROW('CASE MASTER'!#REF!)-1)))&amp;TRIM(MID(SUBSTITUTE(SUBSTITUTE(INDEX('CASE MASTER'!$N$2:$N$495,(SUMPRODUCT((('CASE MASTER'!$T$2:$T$495=14)*('CASE MASTER'!$U$2:$U$495&lt;=9)*('CASE MASTER'!$W$2:$W$495&gt;=9)*('CASE MASTER'!$V$2:$V$495&lt;=10)*('CASE MASTER'!$X$2:$X$495&gt;=10))*ROW('CASE MASTER'!$T$2:$T$495))-(ROW('CASE MASTER'!#REF!)-1))),":",","),",",REPT(" ",50)),((((9-INDEX('CASE MASTER'!$U$2:$U$495,(SUMPRODUCT((('CASE MASTER'!$T$2:$T$495=14)*('CASE MASTER'!$U$2:$U$495&lt;=9)*('CASE MASTER'!$W$2:$W$495&gt;=9)*('CASE MASTER'!$V$2:$V$495&lt;=10)*('CASE MASTER'!$X$2:$X$495&gt;=10))*ROW('CASE MASTER'!$T$2:$T$495))-(ROW('CASE MASTER'!#REF!)-1))))*(INDEX('CASE MASTER'!$X$2:$X$495,(SUMPRODUCT((('CASE MASTER'!$T$2:$T$495=14)*('CASE MASTER'!$U$2:$U$495&lt;=9)*('CASE MASTER'!$W$2:$W$495&gt;=9)*('CASE MASTER'!$V$2:$V$495&lt;=10)*('CASE MASTER'!$X$2:$X$495&gt;=10))*ROW('CASE MASTER'!$T$2:$T$495))-(ROW('CASE MASTER'!#REF!)-1)))-INDEX('CASE MASTER'!$V$2:$V$495,(SUMPRODUCT((('CASE MASTER'!$T$2:$T$495=14)*('CASE MASTER'!$U$2:$U$495&lt;=9)*('CASE MASTER'!$W$2:$W$495&gt;=9)*('CASE MASTER'!$V$2:$V$495&lt;=10)*('CASE MASTER'!$X$2:$X$495&gt;=10))*ROW('CASE MASTER'!$T$2:$T$495))-(ROW('CASE MASTER'!#REF!)-1)))+1)+(10-INDEX('CASE MASTER'!$V$2:$V$495,(SUMPRODUCT((('CASE MASTER'!$T$2:$T$495=14)*('CASE MASTER'!$U$2:$U$495&lt;=9)*('CASE MASTER'!$W$2:$W$495&gt;=9)*('CASE MASTER'!$V$2:$V$495&lt;=10)*('CASE MASTER'!$X$2:$X$495&gt;=10))*ROW('CASE MASTER'!$T$2:$T$495))-(ROW('CASE MASTER'!#REF!)-1))))+1))-1)*50+1,50))&amp;"_"&amp;INDEX('CASE MASTER'!$Q$2:$Q$495,(SUMPRODUCT((('CASE MASTER'!$T$2:$T$495=14)*('CASE MASTER'!$U$2:$U$495&lt;=9)*('CASE MASTER'!$W$2:$W$495&gt;=9)*('CASE MASTER'!$V$2:$V$495&lt;=10)*('CASE MASTER'!$X$2:$X$495&gt;=10))*ROW('CASE MASTER'!$T$2:$T$495))-(ROW('CASE MASTER'!#REF!)-1))),IF(SUMPRODUCT((('CASE MASTER'!$T$2:$T$495=14)*('CASE MASTER'!$AA$2:$AA$495&lt;=9)*('CASE MASTER'!$AC$2:$AC$495&gt;=9)*('CASE MASTER'!$AB$2:$AB$495&lt;=10)*('CASE MASTER'!$AD$2:$AD$495&gt;=10))*ROW('CASE MASTER'!$T$2:$T$495))&gt;0,INDEX('CASE MASTER'!$Y$2:$Y$495,(SUMPRODUCT((('CASE MASTER'!$T$2:$T$495=14)*('CASE MASTER'!$AA$2:$AA$495&lt;=9)*('CASE MASTER'!$AC$2:$AC$495&gt;=9)*('CASE MASTER'!$AB$2:$AB$495&lt;=10)*('CASE MASTER'!$AD$2:$AD$495&gt;=10))*ROW('CASE MASTER'!$T$2:$T$495))-(ROW('CASE MASTER'!#REF!)-1)))&amp;TRIM(MID(SUBSTITUTE(SUBSTITUTE(INDEX('CASE MASTER'!$N$2:$N$495,(SUMPRODUCT((('CASE MASTER'!$T$2:$T$495=14)*('CASE MASTER'!$AA$2:$AA$495&lt;=9)*('CASE MASTER'!$AC$2:$AC$495&gt;=9)*('CASE MASTER'!$AB$2:$AB$495&lt;=10)*('CASE MASTER'!$AD$2:$AD$495&gt;=10))*ROW('CASE MASTER'!$T$2:$T$495))-(ROW('CASE MASTER'!#REF!)-1))),":",","),",",REPT(" ",50)),(((INDEX('CASE MASTER'!$Z$2:$Z$495,(SUMPRODUCT((('CASE MASTER'!$T$2:$T$495=14)*('CASE MASTER'!$AA$2:$AA$495&lt;=9)*('CASE MASTER'!$AC$2:$AC$495&gt;=9)*('CASE MASTER'!$AB$2:$AB$495&lt;=10)*('CASE MASTER'!$AD$2:$AD$495&gt;=10))*ROW('CASE MASTER'!$T$2:$T$495))-(ROW('CASE MASTER'!#REF!)-1)))+((9-INDEX('CASE MASTER'!$AA$2:$AA$495,(SUMPRODUCT((('CASE MASTER'!$T$2:$T$495=14)*('CASE MASTER'!$AA$2:$AA$495&lt;=9)*('CASE MASTER'!$AC$2:$AC$495&gt;=9)*('CASE MASTER'!$AB$2:$AB$495&lt;=10)*('CASE MASTER'!$AD$2:$AD$495&gt;=10))*ROW('CASE MASTER'!$T$2:$T$495))-(ROW('CASE MASTER'!#REF!)-1))))*(INDEX('CASE MASTER'!$AD$2:$AD$495,(SUMPRODUCT((('CASE MASTER'!$T$2:$T$495=14)*('CASE MASTER'!$AA$2:$AA$495&lt;=9)*('CASE MASTER'!$AC$2:$AC$495&gt;=9)*('CASE MASTER'!$AB$2:$AB$495&lt;=10)*('CASE MASTER'!$AD$2:$AD$495&gt;=10))*ROW('CASE MASTER'!$T$2:$T$495))-(ROW('CASE MASTER'!#REF!)-1)))-INDEX('CASE MASTER'!$AB$2:$AB$495,(SUMPRODUCT((('CASE MASTER'!$T$2:$T$495=14)*('CASE MASTER'!$AA$2:$AA$495&lt;=9)*('CASE MASTER'!$AC$2:$AC$495&gt;=9)*('CASE MASTER'!$AB$2:$AB$495&lt;=10)*('CASE MASTER'!$AD$2:$AD$495&gt;=10))*ROW('CASE MASTER'!$T$2:$T$495))-(ROW('CASE MASTER'!#REF!)-1)))+1)+(10-INDEX('CASE MASTER'!$AB$2:$AB$495,(SUMPRODUCT((('CASE MASTER'!$T$2:$T$495=14)*('CASE MASTER'!$AA$2:$AA$495&lt;=9)*('CASE MASTER'!$AC$2:$AC$495&gt;=9)*('CASE MASTER'!$AB$2:$AB$495&lt;=10)*('CASE MASTER'!$AD$2:$AD$495&gt;=10))*ROW('CASE MASTER'!$T$2:$T$495))-(ROW('CASE MASTER'!#REF!)-1))))+1)))-1)*50+1,50))&amp;"_"&amp;INDEX('CASE MASTER'!$Q$2:$Q$495,(SUMPRODUCT((('CASE MASTER'!$T$2:$T$495=14)*('CASE MASTER'!$AA$2:$AA$495&lt;=9)*('CASE MASTER'!$AC$2:$AC$495&gt;=9)*('CASE MASTER'!$AB$2:$AB$495&lt;=10)*('CASE MASTER'!$AD$2:$AD$495&gt;=10))*ROW('CASE MASTER'!$T$2:$T$495))-(ROW('CASE MASTER'!#REF!)-1))),"")),"")</f>
        <v/>
      </c>
    </row>
    <row r="194" spans="1:11" ht="15" customHeight="1" x14ac:dyDescent="0.35">
      <c r="A194" s="8" t="s">
        <v>82</v>
      </c>
      <c r="B194" s="10" t="str">
        <f>IFERROR(IF(SUMPRODUCT((('CASE MASTER'!$T$2:$T$495=14)*('CASE MASTER'!$U$2:$U$495&lt;=10)*('CASE MASTER'!$W$2:$W$495&gt;=10)*('CASE MASTER'!$V$2:$V$495&lt;=1)*('CASE MASTER'!$X$2:$X$495&gt;=1))*ROW('CASE MASTER'!$T$2:$T$495))&gt;0,INDEX('CASE MASTER'!$Y$2:$Y$495,(SUMPRODUCT((('CASE MASTER'!$T$2:$T$495=14)*('CASE MASTER'!$U$2:$U$495&lt;=10)*('CASE MASTER'!$W$2:$W$495&gt;=10)*('CASE MASTER'!$V$2:$V$495&lt;=1)*('CASE MASTER'!$X$2:$X$495&gt;=1))*ROW('CASE MASTER'!$T$2:$T$495))-(ROW('CASE MASTER'!#REF!)-1)))&amp;TRIM(MID(SUBSTITUTE(SUBSTITUTE(INDEX('CASE MASTER'!$N$2:$N$495,(SUMPRODUCT((('CASE MASTER'!$T$2:$T$495=14)*('CASE MASTER'!$U$2:$U$495&lt;=10)*('CASE MASTER'!$W$2:$W$495&gt;=10)*('CASE MASTER'!$V$2:$V$495&lt;=1)*('CASE MASTER'!$X$2:$X$495&gt;=1))*ROW('CASE MASTER'!$T$2:$T$495))-(ROW('CASE MASTER'!#REF!)-1))),":",","),",",REPT(" ",50)),((((10-INDEX('CASE MASTER'!$U$2:$U$495,(SUMPRODUCT((('CASE MASTER'!$T$2:$T$495=14)*('CASE MASTER'!$U$2:$U$495&lt;=10)*('CASE MASTER'!$W$2:$W$495&gt;=10)*('CASE MASTER'!$V$2:$V$495&lt;=1)*('CASE MASTER'!$X$2:$X$495&gt;=1))*ROW('CASE MASTER'!$T$2:$T$495))-(ROW('CASE MASTER'!#REF!)-1))))*(INDEX('CASE MASTER'!$X$2:$X$495,(SUMPRODUCT((('CASE MASTER'!$T$2:$T$495=14)*('CASE MASTER'!$U$2:$U$495&lt;=10)*('CASE MASTER'!$W$2:$W$495&gt;=10)*('CASE MASTER'!$V$2:$V$495&lt;=1)*('CASE MASTER'!$X$2:$X$495&gt;=1))*ROW('CASE MASTER'!$T$2:$T$495))-(ROW('CASE MASTER'!#REF!)-1)))-INDEX('CASE MASTER'!$V$2:$V$495,(SUMPRODUCT((('CASE MASTER'!$T$2:$T$495=14)*('CASE MASTER'!$U$2:$U$495&lt;=10)*('CASE MASTER'!$W$2:$W$495&gt;=10)*('CASE MASTER'!$V$2:$V$495&lt;=1)*('CASE MASTER'!$X$2:$X$495&gt;=1))*ROW('CASE MASTER'!$T$2:$T$495))-(ROW('CASE MASTER'!#REF!)-1)))+1)+(1-INDEX('CASE MASTER'!$V$2:$V$495,(SUMPRODUCT((('CASE MASTER'!$T$2:$T$495=14)*('CASE MASTER'!$U$2:$U$495&lt;=10)*('CASE MASTER'!$W$2:$W$495&gt;=10)*('CASE MASTER'!$V$2:$V$495&lt;=1)*('CASE MASTER'!$X$2:$X$495&gt;=1))*ROW('CASE MASTER'!$T$2:$T$495))-(ROW('CASE MASTER'!#REF!)-1))))+1))-1)*50+1,50))&amp;"_"&amp;INDEX('CASE MASTER'!$Q$2:$Q$495,(SUMPRODUCT((('CASE MASTER'!$T$2:$T$495=14)*('CASE MASTER'!$U$2:$U$495&lt;=10)*('CASE MASTER'!$W$2:$W$495&gt;=10)*('CASE MASTER'!$V$2:$V$495&lt;=1)*('CASE MASTER'!$X$2:$X$495&gt;=1))*ROW('CASE MASTER'!$T$2:$T$495))-(ROW('CASE MASTER'!#REF!)-1))),IF(SUMPRODUCT((('CASE MASTER'!$T$2:$T$495=14)*('CASE MASTER'!$AA$2:$AA$495&lt;=10)*('CASE MASTER'!$AC$2:$AC$495&gt;=10)*('CASE MASTER'!$AB$2:$AB$495&lt;=1)*('CASE MASTER'!$AD$2:$AD$495&gt;=1))*ROW('CASE MASTER'!$T$2:$T$495))&gt;0,INDEX('CASE MASTER'!$Y$2:$Y$495,(SUMPRODUCT((('CASE MASTER'!$T$2:$T$495=14)*('CASE MASTER'!$AA$2:$AA$495&lt;=10)*('CASE MASTER'!$AC$2:$AC$495&gt;=10)*('CASE MASTER'!$AB$2:$AB$495&lt;=1)*('CASE MASTER'!$AD$2:$AD$495&gt;=1))*ROW('CASE MASTER'!$T$2:$T$495))-(ROW('CASE MASTER'!#REF!)-1)))&amp;TRIM(MID(SUBSTITUTE(SUBSTITUTE(INDEX('CASE MASTER'!$N$2:$N$495,(SUMPRODUCT((('CASE MASTER'!$T$2:$T$495=14)*('CASE MASTER'!$AA$2:$AA$495&lt;=10)*('CASE MASTER'!$AC$2:$AC$495&gt;=10)*('CASE MASTER'!$AB$2:$AB$495&lt;=1)*('CASE MASTER'!$AD$2:$AD$495&gt;=1))*ROW('CASE MASTER'!$T$2:$T$495))-(ROW('CASE MASTER'!#REF!)-1))),":",","),",",REPT(" ",50)),(((INDEX('CASE MASTER'!$Z$2:$Z$495,(SUMPRODUCT((('CASE MASTER'!$T$2:$T$495=14)*('CASE MASTER'!$AA$2:$AA$495&lt;=10)*('CASE MASTER'!$AC$2:$AC$495&gt;=10)*('CASE MASTER'!$AB$2:$AB$495&lt;=1)*('CASE MASTER'!$AD$2:$AD$495&gt;=1))*ROW('CASE MASTER'!$T$2:$T$495))-(ROW('CASE MASTER'!#REF!)-1)))+((10-INDEX('CASE MASTER'!$AA$2:$AA$495,(SUMPRODUCT((('CASE MASTER'!$T$2:$T$495=14)*('CASE MASTER'!$AA$2:$AA$495&lt;=10)*('CASE MASTER'!$AC$2:$AC$495&gt;=10)*('CASE MASTER'!$AB$2:$AB$495&lt;=1)*('CASE MASTER'!$AD$2:$AD$495&gt;=1))*ROW('CASE MASTER'!$T$2:$T$495))-(ROW('CASE MASTER'!#REF!)-1))))*(INDEX('CASE MASTER'!$AD$2:$AD$495,(SUMPRODUCT((('CASE MASTER'!$T$2:$T$495=14)*('CASE MASTER'!$AA$2:$AA$495&lt;=10)*('CASE MASTER'!$AC$2:$AC$495&gt;=10)*('CASE MASTER'!$AB$2:$AB$495&lt;=1)*('CASE MASTER'!$AD$2:$AD$495&gt;=1))*ROW('CASE MASTER'!$T$2:$T$495))-(ROW('CASE MASTER'!#REF!)-1)))-INDEX('CASE MASTER'!$AB$2:$AB$495,(SUMPRODUCT((('CASE MASTER'!$T$2:$T$495=14)*('CASE MASTER'!$AA$2:$AA$495&lt;=10)*('CASE MASTER'!$AC$2:$AC$495&gt;=10)*('CASE MASTER'!$AB$2:$AB$495&lt;=1)*('CASE MASTER'!$AD$2:$AD$495&gt;=1))*ROW('CASE MASTER'!$T$2:$T$495))-(ROW('CASE MASTER'!#REF!)-1)))+1)+(1-INDEX('CASE MASTER'!$AB$2:$AB$495,(SUMPRODUCT((('CASE MASTER'!$T$2:$T$495=14)*('CASE MASTER'!$AA$2:$AA$495&lt;=10)*('CASE MASTER'!$AC$2:$AC$495&gt;=10)*('CASE MASTER'!$AB$2:$AB$495&lt;=1)*('CASE MASTER'!$AD$2:$AD$495&gt;=1))*ROW('CASE MASTER'!$T$2:$T$495))-(ROW('CASE MASTER'!#REF!)-1))))+1)))-1)*50+1,50))&amp;"_"&amp;INDEX('CASE MASTER'!$Q$2:$Q$495,(SUMPRODUCT((('CASE MASTER'!$T$2:$T$495=14)*('CASE MASTER'!$AA$2:$AA$495&lt;=10)*('CASE MASTER'!$AC$2:$AC$495&gt;=10)*('CASE MASTER'!$AB$2:$AB$495&lt;=1)*('CASE MASTER'!$AD$2:$AD$495&gt;=1))*ROW('CASE MASTER'!$T$2:$T$495))-(ROW('CASE MASTER'!#REF!)-1))),"")),"")</f>
        <v/>
      </c>
      <c r="C194" s="10" t="str">
        <f>IFERROR(IF(SUMPRODUCT((('CASE MASTER'!$T$2:$T$495=14)*('CASE MASTER'!$U$2:$U$495&lt;=10)*('CASE MASTER'!$W$2:$W$495&gt;=10)*('CASE MASTER'!$V$2:$V$495&lt;=2)*('CASE MASTER'!$X$2:$X$495&gt;=2))*ROW('CASE MASTER'!$T$2:$T$495))&gt;0,INDEX('CASE MASTER'!$Y$2:$Y$495,(SUMPRODUCT((('CASE MASTER'!$T$2:$T$495=14)*('CASE MASTER'!$U$2:$U$495&lt;=10)*('CASE MASTER'!$W$2:$W$495&gt;=10)*('CASE MASTER'!$V$2:$V$495&lt;=2)*('CASE MASTER'!$X$2:$X$495&gt;=2))*ROW('CASE MASTER'!$T$2:$T$495))-(ROW('CASE MASTER'!#REF!)-1)))&amp;TRIM(MID(SUBSTITUTE(SUBSTITUTE(INDEX('CASE MASTER'!$N$2:$N$495,(SUMPRODUCT((('CASE MASTER'!$T$2:$T$495=14)*('CASE MASTER'!$U$2:$U$495&lt;=10)*('CASE MASTER'!$W$2:$W$495&gt;=10)*('CASE MASTER'!$V$2:$V$495&lt;=2)*('CASE MASTER'!$X$2:$X$495&gt;=2))*ROW('CASE MASTER'!$T$2:$T$495))-(ROW('CASE MASTER'!#REF!)-1))),":",","),",",REPT(" ",50)),((((10-INDEX('CASE MASTER'!$U$2:$U$495,(SUMPRODUCT((('CASE MASTER'!$T$2:$T$495=14)*('CASE MASTER'!$U$2:$U$495&lt;=10)*('CASE MASTER'!$W$2:$W$495&gt;=10)*('CASE MASTER'!$V$2:$V$495&lt;=2)*('CASE MASTER'!$X$2:$X$495&gt;=2))*ROW('CASE MASTER'!$T$2:$T$495))-(ROW('CASE MASTER'!#REF!)-1))))*(INDEX('CASE MASTER'!$X$2:$X$495,(SUMPRODUCT((('CASE MASTER'!$T$2:$T$495=14)*('CASE MASTER'!$U$2:$U$495&lt;=10)*('CASE MASTER'!$W$2:$W$495&gt;=10)*('CASE MASTER'!$V$2:$V$495&lt;=2)*('CASE MASTER'!$X$2:$X$495&gt;=2))*ROW('CASE MASTER'!$T$2:$T$495))-(ROW('CASE MASTER'!#REF!)-1)))-INDEX('CASE MASTER'!$V$2:$V$495,(SUMPRODUCT((('CASE MASTER'!$T$2:$T$495=14)*('CASE MASTER'!$U$2:$U$495&lt;=10)*('CASE MASTER'!$W$2:$W$495&gt;=10)*('CASE MASTER'!$V$2:$V$495&lt;=2)*('CASE MASTER'!$X$2:$X$495&gt;=2))*ROW('CASE MASTER'!$T$2:$T$495))-(ROW('CASE MASTER'!#REF!)-1)))+1)+(2-INDEX('CASE MASTER'!$V$2:$V$495,(SUMPRODUCT((('CASE MASTER'!$T$2:$T$495=14)*('CASE MASTER'!$U$2:$U$495&lt;=10)*('CASE MASTER'!$W$2:$W$495&gt;=10)*('CASE MASTER'!$V$2:$V$495&lt;=2)*('CASE MASTER'!$X$2:$X$495&gt;=2))*ROW('CASE MASTER'!$T$2:$T$495))-(ROW('CASE MASTER'!#REF!)-1))))+1))-1)*50+1,50))&amp;"_"&amp;INDEX('CASE MASTER'!$Q$2:$Q$495,(SUMPRODUCT((('CASE MASTER'!$T$2:$T$495=14)*('CASE MASTER'!$U$2:$U$495&lt;=10)*('CASE MASTER'!$W$2:$W$495&gt;=10)*('CASE MASTER'!$V$2:$V$495&lt;=2)*('CASE MASTER'!$X$2:$X$495&gt;=2))*ROW('CASE MASTER'!$T$2:$T$495))-(ROW('CASE MASTER'!#REF!)-1))),IF(SUMPRODUCT((('CASE MASTER'!$T$2:$T$495=14)*('CASE MASTER'!$AA$2:$AA$495&lt;=10)*('CASE MASTER'!$AC$2:$AC$495&gt;=10)*('CASE MASTER'!$AB$2:$AB$495&lt;=2)*('CASE MASTER'!$AD$2:$AD$495&gt;=2))*ROW('CASE MASTER'!$T$2:$T$495))&gt;0,INDEX('CASE MASTER'!$Y$2:$Y$495,(SUMPRODUCT((('CASE MASTER'!$T$2:$T$495=14)*('CASE MASTER'!$AA$2:$AA$495&lt;=10)*('CASE MASTER'!$AC$2:$AC$495&gt;=10)*('CASE MASTER'!$AB$2:$AB$495&lt;=2)*('CASE MASTER'!$AD$2:$AD$495&gt;=2))*ROW('CASE MASTER'!$T$2:$T$495))-(ROW('CASE MASTER'!#REF!)-1)))&amp;TRIM(MID(SUBSTITUTE(SUBSTITUTE(INDEX('CASE MASTER'!$N$2:$N$495,(SUMPRODUCT((('CASE MASTER'!$T$2:$T$495=14)*('CASE MASTER'!$AA$2:$AA$495&lt;=10)*('CASE MASTER'!$AC$2:$AC$495&gt;=10)*('CASE MASTER'!$AB$2:$AB$495&lt;=2)*('CASE MASTER'!$AD$2:$AD$495&gt;=2))*ROW('CASE MASTER'!$T$2:$T$495))-(ROW('CASE MASTER'!#REF!)-1))),":",","),",",REPT(" ",50)),(((INDEX('CASE MASTER'!$Z$2:$Z$495,(SUMPRODUCT((('CASE MASTER'!$T$2:$T$495=14)*('CASE MASTER'!$AA$2:$AA$495&lt;=10)*('CASE MASTER'!$AC$2:$AC$495&gt;=10)*('CASE MASTER'!$AB$2:$AB$495&lt;=2)*('CASE MASTER'!$AD$2:$AD$495&gt;=2))*ROW('CASE MASTER'!$T$2:$T$495))-(ROW('CASE MASTER'!#REF!)-1)))+((10-INDEX('CASE MASTER'!$AA$2:$AA$495,(SUMPRODUCT((('CASE MASTER'!$T$2:$T$495=14)*('CASE MASTER'!$AA$2:$AA$495&lt;=10)*('CASE MASTER'!$AC$2:$AC$495&gt;=10)*('CASE MASTER'!$AB$2:$AB$495&lt;=2)*('CASE MASTER'!$AD$2:$AD$495&gt;=2))*ROW('CASE MASTER'!$T$2:$T$495))-(ROW('CASE MASTER'!#REF!)-1))))*(INDEX('CASE MASTER'!$AD$2:$AD$495,(SUMPRODUCT((('CASE MASTER'!$T$2:$T$495=14)*('CASE MASTER'!$AA$2:$AA$495&lt;=10)*('CASE MASTER'!$AC$2:$AC$495&gt;=10)*('CASE MASTER'!$AB$2:$AB$495&lt;=2)*('CASE MASTER'!$AD$2:$AD$495&gt;=2))*ROW('CASE MASTER'!$T$2:$T$495))-(ROW('CASE MASTER'!#REF!)-1)))-INDEX('CASE MASTER'!$AB$2:$AB$495,(SUMPRODUCT((('CASE MASTER'!$T$2:$T$495=14)*('CASE MASTER'!$AA$2:$AA$495&lt;=10)*('CASE MASTER'!$AC$2:$AC$495&gt;=10)*('CASE MASTER'!$AB$2:$AB$495&lt;=2)*('CASE MASTER'!$AD$2:$AD$495&gt;=2))*ROW('CASE MASTER'!$T$2:$T$495))-(ROW('CASE MASTER'!#REF!)-1)))+1)+(2-INDEX('CASE MASTER'!$AB$2:$AB$495,(SUMPRODUCT((('CASE MASTER'!$T$2:$T$495=14)*('CASE MASTER'!$AA$2:$AA$495&lt;=10)*('CASE MASTER'!$AC$2:$AC$495&gt;=10)*('CASE MASTER'!$AB$2:$AB$495&lt;=2)*('CASE MASTER'!$AD$2:$AD$495&gt;=2))*ROW('CASE MASTER'!$T$2:$T$495))-(ROW('CASE MASTER'!#REF!)-1))))+1)))-1)*50+1,50))&amp;"_"&amp;INDEX('CASE MASTER'!$Q$2:$Q$495,(SUMPRODUCT((('CASE MASTER'!$T$2:$T$495=14)*('CASE MASTER'!$AA$2:$AA$495&lt;=10)*('CASE MASTER'!$AC$2:$AC$495&gt;=10)*('CASE MASTER'!$AB$2:$AB$495&lt;=2)*('CASE MASTER'!$AD$2:$AD$495&gt;=2))*ROW('CASE MASTER'!$T$2:$T$495))-(ROW('CASE MASTER'!#REF!)-1))),"")),"")</f>
        <v/>
      </c>
      <c r="D194" s="10" t="str">
        <f>IFERROR(IF(SUMPRODUCT((('CASE MASTER'!$T$2:$T$495=14)*('CASE MASTER'!$U$2:$U$495&lt;=10)*('CASE MASTER'!$W$2:$W$495&gt;=10)*('CASE MASTER'!$V$2:$V$495&lt;=3)*('CASE MASTER'!$X$2:$X$495&gt;=3))*ROW('CASE MASTER'!$T$2:$T$495))&gt;0,INDEX('CASE MASTER'!$Y$2:$Y$495,(SUMPRODUCT((('CASE MASTER'!$T$2:$T$495=14)*('CASE MASTER'!$U$2:$U$495&lt;=10)*('CASE MASTER'!$W$2:$W$495&gt;=10)*('CASE MASTER'!$V$2:$V$495&lt;=3)*('CASE MASTER'!$X$2:$X$495&gt;=3))*ROW('CASE MASTER'!$T$2:$T$495))-(ROW('CASE MASTER'!#REF!)-1)))&amp;TRIM(MID(SUBSTITUTE(SUBSTITUTE(INDEX('CASE MASTER'!$N$2:$N$495,(SUMPRODUCT((('CASE MASTER'!$T$2:$T$495=14)*('CASE MASTER'!$U$2:$U$495&lt;=10)*('CASE MASTER'!$W$2:$W$495&gt;=10)*('CASE MASTER'!$V$2:$V$495&lt;=3)*('CASE MASTER'!$X$2:$X$495&gt;=3))*ROW('CASE MASTER'!$T$2:$T$495))-(ROW('CASE MASTER'!#REF!)-1))),":",","),",",REPT(" ",50)),((((10-INDEX('CASE MASTER'!$U$2:$U$495,(SUMPRODUCT((('CASE MASTER'!$T$2:$T$495=14)*('CASE MASTER'!$U$2:$U$495&lt;=10)*('CASE MASTER'!$W$2:$W$495&gt;=10)*('CASE MASTER'!$V$2:$V$495&lt;=3)*('CASE MASTER'!$X$2:$X$495&gt;=3))*ROW('CASE MASTER'!$T$2:$T$495))-(ROW('CASE MASTER'!#REF!)-1))))*(INDEX('CASE MASTER'!$X$2:$X$495,(SUMPRODUCT((('CASE MASTER'!$T$2:$T$495=14)*('CASE MASTER'!$U$2:$U$495&lt;=10)*('CASE MASTER'!$W$2:$W$495&gt;=10)*('CASE MASTER'!$V$2:$V$495&lt;=3)*('CASE MASTER'!$X$2:$X$495&gt;=3))*ROW('CASE MASTER'!$T$2:$T$495))-(ROW('CASE MASTER'!#REF!)-1)))-INDEX('CASE MASTER'!$V$2:$V$495,(SUMPRODUCT((('CASE MASTER'!$T$2:$T$495=14)*('CASE MASTER'!$U$2:$U$495&lt;=10)*('CASE MASTER'!$W$2:$W$495&gt;=10)*('CASE MASTER'!$V$2:$V$495&lt;=3)*('CASE MASTER'!$X$2:$X$495&gt;=3))*ROW('CASE MASTER'!$T$2:$T$495))-(ROW('CASE MASTER'!#REF!)-1)))+1)+(3-INDEX('CASE MASTER'!$V$2:$V$495,(SUMPRODUCT((('CASE MASTER'!$T$2:$T$495=14)*('CASE MASTER'!$U$2:$U$495&lt;=10)*('CASE MASTER'!$W$2:$W$495&gt;=10)*('CASE MASTER'!$V$2:$V$495&lt;=3)*('CASE MASTER'!$X$2:$X$495&gt;=3))*ROW('CASE MASTER'!$T$2:$T$495))-(ROW('CASE MASTER'!#REF!)-1))))+1))-1)*50+1,50))&amp;"_"&amp;INDEX('CASE MASTER'!$Q$2:$Q$495,(SUMPRODUCT((('CASE MASTER'!$T$2:$T$495=14)*('CASE MASTER'!$U$2:$U$495&lt;=10)*('CASE MASTER'!$W$2:$W$495&gt;=10)*('CASE MASTER'!$V$2:$V$495&lt;=3)*('CASE MASTER'!$X$2:$X$495&gt;=3))*ROW('CASE MASTER'!$T$2:$T$495))-(ROW('CASE MASTER'!#REF!)-1))),IF(SUMPRODUCT((('CASE MASTER'!$T$2:$T$495=14)*('CASE MASTER'!$AA$2:$AA$495&lt;=10)*('CASE MASTER'!$AC$2:$AC$495&gt;=10)*('CASE MASTER'!$AB$2:$AB$495&lt;=3)*('CASE MASTER'!$AD$2:$AD$495&gt;=3))*ROW('CASE MASTER'!$T$2:$T$495))&gt;0,INDEX('CASE MASTER'!$Y$2:$Y$495,(SUMPRODUCT((('CASE MASTER'!$T$2:$T$495=14)*('CASE MASTER'!$AA$2:$AA$495&lt;=10)*('CASE MASTER'!$AC$2:$AC$495&gt;=10)*('CASE MASTER'!$AB$2:$AB$495&lt;=3)*('CASE MASTER'!$AD$2:$AD$495&gt;=3))*ROW('CASE MASTER'!$T$2:$T$495))-(ROW('CASE MASTER'!#REF!)-1)))&amp;TRIM(MID(SUBSTITUTE(SUBSTITUTE(INDEX('CASE MASTER'!$N$2:$N$495,(SUMPRODUCT((('CASE MASTER'!$T$2:$T$495=14)*('CASE MASTER'!$AA$2:$AA$495&lt;=10)*('CASE MASTER'!$AC$2:$AC$495&gt;=10)*('CASE MASTER'!$AB$2:$AB$495&lt;=3)*('CASE MASTER'!$AD$2:$AD$495&gt;=3))*ROW('CASE MASTER'!$T$2:$T$495))-(ROW('CASE MASTER'!#REF!)-1))),":",","),",",REPT(" ",50)),(((INDEX('CASE MASTER'!$Z$2:$Z$495,(SUMPRODUCT((('CASE MASTER'!$T$2:$T$495=14)*('CASE MASTER'!$AA$2:$AA$495&lt;=10)*('CASE MASTER'!$AC$2:$AC$495&gt;=10)*('CASE MASTER'!$AB$2:$AB$495&lt;=3)*('CASE MASTER'!$AD$2:$AD$495&gt;=3))*ROW('CASE MASTER'!$T$2:$T$495))-(ROW('CASE MASTER'!#REF!)-1)))+((10-INDEX('CASE MASTER'!$AA$2:$AA$495,(SUMPRODUCT((('CASE MASTER'!$T$2:$T$495=14)*('CASE MASTER'!$AA$2:$AA$495&lt;=10)*('CASE MASTER'!$AC$2:$AC$495&gt;=10)*('CASE MASTER'!$AB$2:$AB$495&lt;=3)*('CASE MASTER'!$AD$2:$AD$495&gt;=3))*ROW('CASE MASTER'!$T$2:$T$495))-(ROW('CASE MASTER'!#REF!)-1))))*(INDEX('CASE MASTER'!$AD$2:$AD$495,(SUMPRODUCT((('CASE MASTER'!$T$2:$T$495=14)*('CASE MASTER'!$AA$2:$AA$495&lt;=10)*('CASE MASTER'!$AC$2:$AC$495&gt;=10)*('CASE MASTER'!$AB$2:$AB$495&lt;=3)*('CASE MASTER'!$AD$2:$AD$495&gt;=3))*ROW('CASE MASTER'!$T$2:$T$495))-(ROW('CASE MASTER'!#REF!)-1)))-INDEX('CASE MASTER'!$AB$2:$AB$495,(SUMPRODUCT((('CASE MASTER'!$T$2:$T$495=14)*('CASE MASTER'!$AA$2:$AA$495&lt;=10)*('CASE MASTER'!$AC$2:$AC$495&gt;=10)*('CASE MASTER'!$AB$2:$AB$495&lt;=3)*('CASE MASTER'!$AD$2:$AD$495&gt;=3))*ROW('CASE MASTER'!$T$2:$T$495))-(ROW('CASE MASTER'!#REF!)-1)))+1)+(3-INDEX('CASE MASTER'!$AB$2:$AB$495,(SUMPRODUCT((('CASE MASTER'!$T$2:$T$495=14)*('CASE MASTER'!$AA$2:$AA$495&lt;=10)*('CASE MASTER'!$AC$2:$AC$495&gt;=10)*('CASE MASTER'!$AB$2:$AB$495&lt;=3)*('CASE MASTER'!$AD$2:$AD$495&gt;=3))*ROW('CASE MASTER'!$T$2:$T$495))-(ROW('CASE MASTER'!#REF!)-1))))+1)))-1)*50+1,50))&amp;"_"&amp;INDEX('CASE MASTER'!$Q$2:$Q$495,(SUMPRODUCT((('CASE MASTER'!$T$2:$T$495=14)*('CASE MASTER'!$AA$2:$AA$495&lt;=10)*('CASE MASTER'!$AC$2:$AC$495&gt;=10)*('CASE MASTER'!$AB$2:$AB$495&lt;=3)*('CASE MASTER'!$AD$2:$AD$495&gt;=3))*ROW('CASE MASTER'!$T$2:$T$495))-(ROW('CASE MASTER'!#REF!)-1))),"")),"")</f>
        <v/>
      </c>
      <c r="E194" s="10" t="str">
        <f>IFERROR(IF(SUMPRODUCT((('CASE MASTER'!$T$2:$T$495=14)*('CASE MASTER'!$U$2:$U$495&lt;=10)*('CASE MASTER'!$W$2:$W$495&gt;=10)*('CASE MASTER'!$V$2:$V$495&lt;=4)*('CASE MASTER'!$X$2:$X$495&gt;=4))*ROW('CASE MASTER'!$T$2:$T$495))&gt;0,INDEX('CASE MASTER'!$Y$2:$Y$495,(SUMPRODUCT((('CASE MASTER'!$T$2:$T$495=14)*('CASE MASTER'!$U$2:$U$495&lt;=10)*('CASE MASTER'!$W$2:$W$495&gt;=10)*('CASE MASTER'!$V$2:$V$495&lt;=4)*('CASE MASTER'!$X$2:$X$495&gt;=4))*ROW('CASE MASTER'!$T$2:$T$495))-(ROW('CASE MASTER'!#REF!)-1)))&amp;TRIM(MID(SUBSTITUTE(SUBSTITUTE(INDEX('CASE MASTER'!$N$2:$N$495,(SUMPRODUCT((('CASE MASTER'!$T$2:$T$495=14)*('CASE MASTER'!$U$2:$U$495&lt;=10)*('CASE MASTER'!$W$2:$W$495&gt;=10)*('CASE MASTER'!$V$2:$V$495&lt;=4)*('CASE MASTER'!$X$2:$X$495&gt;=4))*ROW('CASE MASTER'!$T$2:$T$495))-(ROW('CASE MASTER'!#REF!)-1))),":",","),",",REPT(" ",50)),((((10-INDEX('CASE MASTER'!$U$2:$U$495,(SUMPRODUCT((('CASE MASTER'!$T$2:$T$495=14)*('CASE MASTER'!$U$2:$U$495&lt;=10)*('CASE MASTER'!$W$2:$W$495&gt;=10)*('CASE MASTER'!$V$2:$V$495&lt;=4)*('CASE MASTER'!$X$2:$X$495&gt;=4))*ROW('CASE MASTER'!$T$2:$T$495))-(ROW('CASE MASTER'!#REF!)-1))))*(INDEX('CASE MASTER'!$X$2:$X$495,(SUMPRODUCT((('CASE MASTER'!$T$2:$T$495=14)*('CASE MASTER'!$U$2:$U$495&lt;=10)*('CASE MASTER'!$W$2:$W$495&gt;=10)*('CASE MASTER'!$V$2:$V$495&lt;=4)*('CASE MASTER'!$X$2:$X$495&gt;=4))*ROW('CASE MASTER'!$T$2:$T$495))-(ROW('CASE MASTER'!#REF!)-1)))-INDEX('CASE MASTER'!$V$2:$V$495,(SUMPRODUCT((('CASE MASTER'!$T$2:$T$495=14)*('CASE MASTER'!$U$2:$U$495&lt;=10)*('CASE MASTER'!$W$2:$W$495&gt;=10)*('CASE MASTER'!$V$2:$V$495&lt;=4)*('CASE MASTER'!$X$2:$X$495&gt;=4))*ROW('CASE MASTER'!$T$2:$T$495))-(ROW('CASE MASTER'!#REF!)-1)))+1)+(4-INDEX('CASE MASTER'!$V$2:$V$495,(SUMPRODUCT((('CASE MASTER'!$T$2:$T$495=14)*('CASE MASTER'!$U$2:$U$495&lt;=10)*('CASE MASTER'!$W$2:$W$495&gt;=10)*('CASE MASTER'!$V$2:$V$495&lt;=4)*('CASE MASTER'!$X$2:$X$495&gt;=4))*ROW('CASE MASTER'!$T$2:$T$495))-(ROW('CASE MASTER'!#REF!)-1))))+1))-1)*50+1,50))&amp;"_"&amp;INDEX('CASE MASTER'!$Q$2:$Q$495,(SUMPRODUCT((('CASE MASTER'!$T$2:$T$495=14)*('CASE MASTER'!$U$2:$U$495&lt;=10)*('CASE MASTER'!$W$2:$W$495&gt;=10)*('CASE MASTER'!$V$2:$V$495&lt;=4)*('CASE MASTER'!$X$2:$X$495&gt;=4))*ROW('CASE MASTER'!$T$2:$T$495))-(ROW('CASE MASTER'!#REF!)-1))),IF(SUMPRODUCT((('CASE MASTER'!$T$2:$T$495=14)*('CASE MASTER'!$AA$2:$AA$495&lt;=10)*('CASE MASTER'!$AC$2:$AC$495&gt;=10)*('CASE MASTER'!$AB$2:$AB$495&lt;=4)*('CASE MASTER'!$AD$2:$AD$495&gt;=4))*ROW('CASE MASTER'!$T$2:$T$495))&gt;0,INDEX('CASE MASTER'!$Y$2:$Y$495,(SUMPRODUCT((('CASE MASTER'!$T$2:$T$495=14)*('CASE MASTER'!$AA$2:$AA$495&lt;=10)*('CASE MASTER'!$AC$2:$AC$495&gt;=10)*('CASE MASTER'!$AB$2:$AB$495&lt;=4)*('CASE MASTER'!$AD$2:$AD$495&gt;=4))*ROW('CASE MASTER'!$T$2:$T$495))-(ROW('CASE MASTER'!#REF!)-1)))&amp;TRIM(MID(SUBSTITUTE(SUBSTITUTE(INDEX('CASE MASTER'!$N$2:$N$495,(SUMPRODUCT((('CASE MASTER'!$T$2:$T$495=14)*('CASE MASTER'!$AA$2:$AA$495&lt;=10)*('CASE MASTER'!$AC$2:$AC$495&gt;=10)*('CASE MASTER'!$AB$2:$AB$495&lt;=4)*('CASE MASTER'!$AD$2:$AD$495&gt;=4))*ROW('CASE MASTER'!$T$2:$T$495))-(ROW('CASE MASTER'!#REF!)-1))),":",","),",",REPT(" ",50)),(((INDEX('CASE MASTER'!$Z$2:$Z$495,(SUMPRODUCT((('CASE MASTER'!$T$2:$T$495=14)*('CASE MASTER'!$AA$2:$AA$495&lt;=10)*('CASE MASTER'!$AC$2:$AC$495&gt;=10)*('CASE MASTER'!$AB$2:$AB$495&lt;=4)*('CASE MASTER'!$AD$2:$AD$495&gt;=4))*ROW('CASE MASTER'!$T$2:$T$495))-(ROW('CASE MASTER'!#REF!)-1)))+((10-INDEX('CASE MASTER'!$AA$2:$AA$495,(SUMPRODUCT((('CASE MASTER'!$T$2:$T$495=14)*('CASE MASTER'!$AA$2:$AA$495&lt;=10)*('CASE MASTER'!$AC$2:$AC$495&gt;=10)*('CASE MASTER'!$AB$2:$AB$495&lt;=4)*('CASE MASTER'!$AD$2:$AD$495&gt;=4))*ROW('CASE MASTER'!$T$2:$T$495))-(ROW('CASE MASTER'!#REF!)-1))))*(INDEX('CASE MASTER'!$AD$2:$AD$495,(SUMPRODUCT((('CASE MASTER'!$T$2:$T$495=14)*('CASE MASTER'!$AA$2:$AA$495&lt;=10)*('CASE MASTER'!$AC$2:$AC$495&gt;=10)*('CASE MASTER'!$AB$2:$AB$495&lt;=4)*('CASE MASTER'!$AD$2:$AD$495&gt;=4))*ROW('CASE MASTER'!$T$2:$T$495))-(ROW('CASE MASTER'!#REF!)-1)))-INDEX('CASE MASTER'!$AB$2:$AB$495,(SUMPRODUCT((('CASE MASTER'!$T$2:$T$495=14)*('CASE MASTER'!$AA$2:$AA$495&lt;=10)*('CASE MASTER'!$AC$2:$AC$495&gt;=10)*('CASE MASTER'!$AB$2:$AB$495&lt;=4)*('CASE MASTER'!$AD$2:$AD$495&gt;=4))*ROW('CASE MASTER'!$T$2:$T$495))-(ROW('CASE MASTER'!#REF!)-1)))+1)+(4-INDEX('CASE MASTER'!$AB$2:$AB$495,(SUMPRODUCT((('CASE MASTER'!$T$2:$T$495=14)*('CASE MASTER'!$AA$2:$AA$495&lt;=10)*('CASE MASTER'!$AC$2:$AC$495&gt;=10)*('CASE MASTER'!$AB$2:$AB$495&lt;=4)*('CASE MASTER'!$AD$2:$AD$495&gt;=4))*ROW('CASE MASTER'!$T$2:$T$495))-(ROW('CASE MASTER'!#REF!)-1))))+1)))-1)*50+1,50))&amp;"_"&amp;INDEX('CASE MASTER'!$Q$2:$Q$495,(SUMPRODUCT((('CASE MASTER'!$T$2:$T$495=14)*('CASE MASTER'!$AA$2:$AA$495&lt;=10)*('CASE MASTER'!$AC$2:$AC$495&gt;=10)*('CASE MASTER'!$AB$2:$AB$495&lt;=4)*('CASE MASTER'!$AD$2:$AD$495&gt;=4))*ROW('CASE MASTER'!$T$2:$T$495))-(ROW('CASE MASTER'!#REF!)-1))),"")),"")</f>
        <v/>
      </c>
      <c r="F194" s="10" t="str">
        <f>IFERROR(IF(SUMPRODUCT((('CASE MASTER'!$T$2:$T$495=14)*('CASE MASTER'!$U$2:$U$495&lt;=10)*('CASE MASTER'!$W$2:$W$495&gt;=10)*('CASE MASTER'!$V$2:$V$495&lt;=5)*('CASE MASTER'!$X$2:$X$495&gt;=5))*ROW('CASE MASTER'!$T$2:$T$495))&gt;0,INDEX('CASE MASTER'!$Y$2:$Y$495,(SUMPRODUCT((('CASE MASTER'!$T$2:$T$495=14)*('CASE MASTER'!$U$2:$U$495&lt;=10)*('CASE MASTER'!$W$2:$W$495&gt;=10)*('CASE MASTER'!$V$2:$V$495&lt;=5)*('CASE MASTER'!$X$2:$X$495&gt;=5))*ROW('CASE MASTER'!$T$2:$T$495))-(ROW('CASE MASTER'!#REF!)-1)))&amp;TRIM(MID(SUBSTITUTE(SUBSTITUTE(INDEX('CASE MASTER'!$N$2:$N$495,(SUMPRODUCT((('CASE MASTER'!$T$2:$T$495=14)*('CASE MASTER'!$U$2:$U$495&lt;=10)*('CASE MASTER'!$W$2:$W$495&gt;=10)*('CASE MASTER'!$V$2:$V$495&lt;=5)*('CASE MASTER'!$X$2:$X$495&gt;=5))*ROW('CASE MASTER'!$T$2:$T$495))-(ROW('CASE MASTER'!#REF!)-1))),":",","),",",REPT(" ",50)),((((10-INDEX('CASE MASTER'!$U$2:$U$495,(SUMPRODUCT((('CASE MASTER'!$T$2:$T$495=14)*('CASE MASTER'!$U$2:$U$495&lt;=10)*('CASE MASTER'!$W$2:$W$495&gt;=10)*('CASE MASTER'!$V$2:$V$495&lt;=5)*('CASE MASTER'!$X$2:$X$495&gt;=5))*ROW('CASE MASTER'!$T$2:$T$495))-(ROW('CASE MASTER'!#REF!)-1))))*(INDEX('CASE MASTER'!$X$2:$X$495,(SUMPRODUCT((('CASE MASTER'!$T$2:$T$495=14)*('CASE MASTER'!$U$2:$U$495&lt;=10)*('CASE MASTER'!$W$2:$W$495&gt;=10)*('CASE MASTER'!$V$2:$V$495&lt;=5)*('CASE MASTER'!$X$2:$X$495&gt;=5))*ROW('CASE MASTER'!$T$2:$T$495))-(ROW('CASE MASTER'!#REF!)-1)))-INDEX('CASE MASTER'!$V$2:$V$495,(SUMPRODUCT((('CASE MASTER'!$T$2:$T$495=14)*('CASE MASTER'!$U$2:$U$495&lt;=10)*('CASE MASTER'!$W$2:$W$495&gt;=10)*('CASE MASTER'!$V$2:$V$495&lt;=5)*('CASE MASTER'!$X$2:$X$495&gt;=5))*ROW('CASE MASTER'!$T$2:$T$495))-(ROW('CASE MASTER'!#REF!)-1)))+1)+(5-INDEX('CASE MASTER'!$V$2:$V$495,(SUMPRODUCT((('CASE MASTER'!$T$2:$T$495=14)*('CASE MASTER'!$U$2:$U$495&lt;=10)*('CASE MASTER'!$W$2:$W$495&gt;=10)*('CASE MASTER'!$V$2:$V$495&lt;=5)*('CASE MASTER'!$X$2:$X$495&gt;=5))*ROW('CASE MASTER'!$T$2:$T$495))-(ROW('CASE MASTER'!#REF!)-1))))+1))-1)*50+1,50))&amp;"_"&amp;INDEX('CASE MASTER'!$Q$2:$Q$495,(SUMPRODUCT((('CASE MASTER'!$T$2:$T$495=14)*('CASE MASTER'!$U$2:$U$495&lt;=10)*('CASE MASTER'!$W$2:$W$495&gt;=10)*('CASE MASTER'!$V$2:$V$495&lt;=5)*('CASE MASTER'!$X$2:$X$495&gt;=5))*ROW('CASE MASTER'!$T$2:$T$495))-(ROW('CASE MASTER'!#REF!)-1))),IF(SUMPRODUCT((('CASE MASTER'!$T$2:$T$495=14)*('CASE MASTER'!$AA$2:$AA$495&lt;=10)*('CASE MASTER'!$AC$2:$AC$495&gt;=10)*('CASE MASTER'!$AB$2:$AB$495&lt;=5)*('CASE MASTER'!$AD$2:$AD$495&gt;=5))*ROW('CASE MASTER'!$T$2:$T$495))&gt;0,INDEX('CASE MASTER'!$Y$2:$Y$495,(SUMPRODUCT((('CASE MASTER'!$T$2:$T$495=14)*('CASE MASTER'!$AA$2:$AA$495&lt;=10)*('CASE MASTER'!$AC$2:$AC$495&gt;=10)*('CASE MASTER'!$AB$2:$AB$495&lt;=5)*('CASE MASTER'!$AD$2:$AD$495&gt;=5))*ROW('CASE MASTER'!$T$2:$T$495))-(ROW('CASE MASTER'!#REF!)-1)))&amp;TRIM(MID(SUBSTITUTE(SUBSTITUTE(INDEX('CASE MASTER'!$N$2:$N$495,(SUMPRODUCT((('CASE MASTER'!$T$2:$T$495=14)*('CASE MASTER'!$AA$2:$AA$495&lt;=10)*('CASE MASTER'!$AC$2:$AC$495&gt;=10)*('CASE MASTER'!$AB$2:$AB$495&lt;=5)*('CASE MASTER'!$AD$2:$AD$495&gt;=5))*ROW('CASE MASTER'!$T$2:$T$495))-(ROW('CASE MASTER'!#REF!)-1))),":",","),",",REPT(" ",50)),(((INDEX('CASE MASTER'!$Z$2:$Z$495,(SUMPRODUCT((('CASE MASTER'!$T$2:$T$495=14)*('CASE MASTER'!$AA$2:$AA$495&lt;=10)*('CASE MASTER'!$AC$2:$AC$495&gt;=10)*('CASE MASTER'!$AB$2:$AB$495&lt;=5)*('CASE MASTER'!$AD$2:$AD$495&gt;=5))*ROW('CASE MASTER'!$T$2:$T$495))-(ROW('CASE MASTER'!#REF!)-1)))+((10-INDEX('CASE MASTER'!$AA$2:$AA$495,(SUMPRODUCT((('CASE MASTER'!$T$2:$T$495=14)*('CASE MASTER'!$AA$2:$AA$495&lt;=10)*('CASE MASTER'!$AC$2:$AC$495&gt;=10)*('CASE MASTER'!$AB$2:$AB$495&lt;=5)*('CASE MASTER'!$AD$2:$AD$495&gt;=5))*ROW('CASE MASTER'!$T$2:$T$495))-(ROW('CASE MASTER'!#REF!)-1))))*(INDEX('CASE MASTER'!$AD$2:$AD$495,(SUMPRODUCT((('CASE MASTER'!$T$2:$T$495=14)*('CASE MASTER'!$AA$2:$AA$495&lt;=10)*('CASE MASTER'!$AC$2:$AC$495&gt;=10)*('CASE MASTER'!$AB$2:$AB$495&lt;=5)*('CASE MASTER'!$AD$2:$AD$495&gt;=5))*ROW('CASE MASTER'!$T$2:$T$495))-(ROW('CASE MASTER'!#REF!)-1)))-INDEX('CASE MASTER'!$AB$2:$AB$495,(SUMPRODUCT((('CASE MASTER'!$T$2:$T$495=14)*('CASE MASTER'!$AA$2:$AA$495&lt;=10)*('CASE MASTER'!$AC$2:$AC$495&gt;=10)*('CASE MASTER'!$AB$2:$AB$495&lt;=5)*('CASE MASTER'!$AD$2:$AD$495&gt;=5))*ROW('CASE MASTER'!$T$2:$T$495))-(ROW('CASE MASTER'!#REF!)-1)))+1)+(5-INDEX('CASE MASTER'!$AB$2:$AB$495,(SUMPRODUCT((('CASE MASTER'!$T$2:$T$495=14)*('CASE MASTER'!$AA$2:$AA$495&lt;=10)*('CASE MASTER'!$AC$2:$AC$495&gt;=10)*('CASE MASTER'!$AB$2:$AB$495&lt;=5)*('CASE MASTER'!$AD$2:$AD$495&gt;=5))*ROW('CASE MASTER'!$T$2:$T$495))-(ROW('CASE MASTER'!#REF!)-1))))+1)))-1)*50+1,50))&amp;"_"&amp;INDEX('CASE MASTER'!$Q$2:$Q$495,(SUMPRODUCT((('CASE MASTER'!$T$2:$T$495=14)*('CASE MASTER'!$AA$2:$AA$495&lt;=10)*('CASE MASTER'!$AC$2:$AC$495&gt;=10)*('CASE MASTER'!$AB$2:$AB$495&lt;=5)*('CASE MASTER'!$AD$2:$AD$495&gt;=5))*ROW('CASE MASTER'!$T$2:$T$495))-(ROW('CASE MASTER'!#REF!)-1))),"")),"")</f>
        <v/>
      </c>
      <c r="G194" s="10" t="str">
        <f>IFERROR(IF(SUMPRODUCT((('CASE MASTER'!$T$2:$T$495=14)*('CASE MASTER'!$U$2:$U$495&lt;=10)*('CASE MASTER'!$W$2:$W$495&gt;=10)*('CASE MASTER'!$V$2:$V$495&lt;=6)*('CASE MASTER'!$X$2:$X$495&gt;=6))*ROW('CASE MASTER'!$T$2:$T$495))&gt;0,INDEX('CASE MASTER'!$Y$2:$Y$495,(SUMPRODUCT((('CASE MASTER'!$T$2:$T$495=14)*('CASE MASTER'!$U$2:$U$495&lt;=10)*('CASE MASTER'!$W$2:$W$495&gt;=10)*('CASE MASTER'!$V$2:$V$495&lt;=6)*('CASE MASTER'!$X$2:$X$495&gt;=6))*ROW('CASE MASTER'!$T$2:$T$495))-(ROW('CASE MASTER'!#REF!)-1)))&amp;TRIM(MID(SUBSTITUTE(SUBSTITUTE(INDEX('CASE MASTER'!$N$2:$N$495,(SUMPRODUCT((('CASE MASTER'!$T$2:$T$495=14)*('CASE MASTER'!$U$2:$U$495&lt;=10)*('CASE MASTER'!$W$2:$W$495&gt;=10)*('CASE MASTER'!$V$2:$V$495&lt;=6)*('CASE MASTER'!$X$2:$X$495&gt;=6))*ROW('CASE MASTER'!$T$2:$T$495))-(ROW('CASE MASTER'!#REF!)-1))),":",","),",",REPT(" ",50)),((((10-INDEX('CASE MASTER'!$U$2:$U$495,(SUMPRODUCT((('CASE MASTER'!$T$2:$T$495=14)*('CASE MASTER'!$U$2:$U$495&lt;=10)*('CASE MASTER'!$W$2:$W$495&gt;=10)*('CASE MASTER'!$V$2:$V$495&lt;=6)*('CASE MASTER'!$X$2:$X$495&gt;=6))*ROW('CASE MASTER'!$T$2:$T$495))-(ROW('CASE MASTER'!#REF!)-1))))*(INDEX('CASE MASTER'!$X$2:$X$495,(SUMPRODUCT((('CASE MASTER'!$T$2:$T$495=14)*('CASE MASTER'!$U$2:$U$495&lt;=10)*('CASE MASTER'!$W$2:$W$495&gt;=10)*('CASE MASTER'!$V$2:$V$495&lt;=6)*('CASE MASTER'!$X$2:$X$495&gt;=6))*ROW('CASE MASTER'!$T$2:$T$495))-(ROW('CASE MASTER'!#REF!)-1)))-INDEX('CASE MASTER'!$V$2:$V$495,(SUMPRODUCT((('CASE MASTER'!$T$2:$T$495=14)*('CASE MASTER'!$U$2:$U$495&lt;=10)*('CASE MASTER'!$W$2:$W$495&gt;=10)*('CASE MASTER'!$V$2:$V$495&lt;=6)*('CASE MASTER'!$X$2:$X$495&gt;=6))*ROW('CASE MASTER'!$T$2:$T$495))-(ROW('CASE MASTER'!#REF!)-1)))+1)+(6-INDEX('CASE MASTER'!$V$2:$V$495,(SUMPRODUCT((('CASE MASTER'!$T$2:$T$495=14)*('CASE MASTER'!$U$2:$U$495&lt;=10)*('CASE MASTER'!$W$2:$W$495&gt;=10)*('CASE MASTER'!$V$2:$V$495&lt;=6)*('CASE MASTER'!$X$2:$X$495&gt;=6))*ROW('CASE MASTER'!$T$2:$T$495))-(ROW('CASE MASTER'!#REF!)-1))))+1))-1)*50+1,50))&amp;"_"&amp;INDEX('CASE MASTER'!$Q$2:$Q$495,(SUMPRODUCT((('CASE MASTER'!$T$2:$T$495=14)*('CASE MASTER'!$U$2:$U$495&lt;=10)*('CASE MASTER'!$W$2:$W$495&gt;=10)*('CASE MASTER'!$V$2:$V$495&lt;=6)*('CASE MASTER'!$X$2:$X$495&gt;=6))*ROW('CASE MASTER'!$T$2:$T$495))-(ROW('CASE MASTER'!#REF!)-1))),IF(SUMPRODUCT((('CASE MASTER'!$T$2:$T$495=14)*('CASE MASTER'!$AA$2:$AA$495&lt;=10)*('CASE MASTER'!$AC$2:$AC$495&gt;=10)*('CASE MASTER'!$AB$2:$AB$495&lt;=6)*('CASE MASTER'!$AD$2:$AD$495&gt;=6))*ROW('CASE MASTER'!$T$2:$T$495))&gt;0,INDEX('CASE MASTER'!$Y$2:$Y$495,(SUMPRODUCT((('CASE MASTER'!$T$2:$T$495=14)*('CASE MASTER'!$AA$2:$AA$495&lt;=10)*('CASE MASTER'!$AC$2:$AC$495&gt;=10)*('CASE MASTER'!$AB$2:$AB$495&lt;=6)*('CASE MASTER'!$AD$2:$AD$495&gt;=6))*ROW('CASE MASTER'!$T$2:$T$495))-(ROW('CASE MASTER'!#REF!)-1)))&amp;TRIM(MID(SUBSTITUTE(SUBSTITUTE(INDEX('CASE MASTER'!$N$2:$N$495,(SUMPRODUCT((('CASE MASTER'!$T$2:$T$495=14)*('CASE MASTER'!$AA$2:$AA$495&lt;=10)*('CASE MASTER'!$AC$2:$AC$495&gt;=10)*('CASE MASTER'!$AB$2:$AB$495&lt;=6)*('CASE MASTER'!$AD$2:$AD$495&gt;=6))*ROW('CASE MASTER'!$T$2:$T$495))-(ROW('CASE MASTER'!#REF!)-1))),":",","),",",REPT(" ",50)),(((INDEX('CASE MASTER'!$Z$2:$Z$495,(SUMPRODUCT((('CASE MASTER'!$T$2:$T$495=14)*('CASE MASTER'!$AA$2:$AA$495&lt;=10)*('CASE MASTER'!$AC$2:$AC$495&gt;=10)*('CASE MASTER'!$AB$2:$AB$495&lt;=6)*('CASE MASTER'!$AD$2:$AD$495&gt;=6))*ROW('CASE MASTER'!$T$2:$T$495))-(ROW('CASE MASTER'!#REF!)-1)))+((10-INDEX('CASE MASTER'!$AA$2:$AA$495,(SUMPRODUCT((('CASE MASTER'!$T$2:$T$495=14)*('CASE MASTER'!$AA$2:$AA$495&lt;=10)*('CASE MASTER'!$AC$2:$AC$495&gt;=10)*('CASE MASTER'!$AB$2:$AB$495&lt;=6)*('CASE MASTER'!$AD$2:$AD$495&gt;=6))*ROW('CASE MASTER'!$T$2:$T$495))-(ROW('CASE MASTER'!#REF!)-1))))*(INDEX('CASE MASTER'!$AD$2:$AD$495,(SUMPRODUCT((('CASE MASTER'!$T$2:$T$495=14)*('CASE MASTER'!$AA$2:$AA$495&lt;=10)*('CASE MASTER'!$AC$2:$AC$495&gt;=10)*('CASE MASTER'!$AB$2:$AB$495&lt;=6)*('CASE MASTER'!$AD$2:$AD$495&gt;=6))*ROW('CASE MASTER'!$T$2:$T$495))-(ROW('CASE MASTER'!#REF!)-1)))-INDEX('CASE MASTER'!$AB$2:$AB$495,(SUMPRODUCT((('CASE MASTER'!$T$2:$T$495=14)*('CASE MASTER'!$AA$2:$AA$495&lt;=10)*('CASE MASTER'!$AC$2:$AC$495&gt;=10)*('CASE MASTER'!$AB$2:$AB$495&lt;=6)*('CASE MASTER'!$AD$2:$AD$495&gt;=6))*ROW('CASE MASTER'!$T$2:$T$495))-(ROW('CASE MASTER'!#REF!)-1)))+1)+(6-INDEX('CASE MASTER'!$AB$2:$AB$495,(SUMPRODUCT((('CASE MASTER'!$T$2:$T$495=14)*('CASE MASTER'!$AA$2:$AA$495&lt;=10)*('CASE MASTER'!$AC$2:$AC$495&gt;=10)*('CASE MASTER'!$AB$2:$AB$495&lt;=6)*('CASE MASTER'!$AD$2:$AD$495&gt;=6))*ROW('CASE MASTER'!$T$2:$T$495))-(ROW('CASE MASTER'!#REF!)-1))))+1)))-1)*50+1,50))&amp;"_"&amp;INDEX('CASE MASTER'!$Q$2:$Q$495,(SUMPRODUCT((('CASE MASTER'!$T$2:$T$495=14)*('CASE MASTER'!$AA$2:$AA$495&lt;=10)*('CASE MASTER'!$AC$2:$AC$495&gt;=10)*('CASE MASTER'!$AB$2:$AB$495&lt;=6)*('CASE MASTER'!$AD$2:$AD$495&gt;=6))*ROW('CASE MASTER'!$T$2:$T$495))-(ROW('CASE MASTER'!#REF!)-1))),"")),"")</f>
        <v/>
      </c>
      <c r="H194" s="10" t="str">
        <f>IFERROR(IF(SUMPRODUCT((('CASE MASTER'!$T$2:$T$495=14)*('CASE MASTER'!$U$2:$U$495&lt;=10)*('CASE MASTER'!$W$2:$W$495&gt;=10)*('CASE MASTER'!$V$2:$V$495&lt;=7)*('CASE MASTER'!$X$2:$X$495&gt;=7))*ROW('CASE MASTER'!$T$2:$T$495))&gt;0,INDEX('CASE MASTER'!$Y$2:$Y$495,(SUMPRODUCT((('CASE MASTER'!$T$2:$T$495=14)*('CASE MASTER'!$U$2:$U$495&lt;=10)*('CASE MASTER'!$W$2:$W$495&gt;=10)*('CASE MASTER'!$V$2:$V$495&lt;=7)*('CASE MASTER'!$X$2:$X$495&gt;=7))*ROW('CASE MASTER'!$T$2:$T$495))-(ROW('CASE MASTER'!#REF!)-1)))&amp;TRIM(MID(SUBSTITUTE(SUBSTITUTE(INDEX('CASE MASTER'!$N$2:$N$495,(SUMPRODUCT((('CASE MASTER'!$T$2:$T$495=14)*('CASE MASTER'!$U$2:$U$495&lt;=10)*('CASE MASTER'!$W$2:$W$495&gt;=10)*('CASE MASTER'!$V$2:$V$495&lt;=7)*('CASE MASTER'!$X$2:$X$495&gt;=7))*ROW('CASE MASTER'!$T$2:$T$495))-(ROW('CASE MASTER'!#REF!)-1))),":",","),",",REPT(" ",50)),((((10-INDEX('CASE MASTER'!$U$2:$U$495,(SUMPRODUCT((('CASE MASTER'!$T$2:$T$495=14)*('CASE MASTER'!$U$2:$U$495&lt;=10)*('CASE MASTER'!$W$2:$W$495&gt;=10)*('CASE MASTER'!$V$2:$V$495&lt;=7)*('CASE MASTER'!$X$2:$X$495&gt;=7))*ROW('CASE MASTER'!$T$2:$T$495))-(ROW('CASE MASTER'!#REF!)-1))))*(INDEX('CASE MASTER'!$X$2:$X$495,(SUMPRODUCT((('CASE MASTER'!$T$2:$T$495=14)*('CASE MASTER'!$U$2:$U$495&lt;=10)*('CASE MASTER'!$W$2:$W$495&gt;=10)*('CASE MASTER'!$V$2:$V$495&lt;=7)*('CASE MASTER'!$X$2:$X$495&gt;=7))*ROW('CASE MASTER'!$T$2:$T$495))-(ROW('CASE MASTER'!#REF!)-1)))-INDEX('CASE MASTER'!$V$2:$V$495,(SUMPRODUCT((('CASE MASTER'!$T$2:$T$495=14)*('CASE MASTER'!$U$2:$U$495&lt;=10)*('CASE MASTER'!$W$2:$W$495&gt;=10)*('CASE MASTER'!$V$2:$V$495&lt;=7)*('CASE MASTER'!$X$2:$X$495&gt;=7))*ROW('CASE MASTER'!$T$2:$T$495))-(ROW('CASE MASTER'!#REF!)-1)))+1)+(7-INDEX('CASE MASTER'!$V$2:$V$495,(SUMPRODUCT((('CASE MASTER'!$T$2:$T$495=14)*('CASE MASTER'!$U$2:$U$495&lt;=10)*('CASE MASTER'!$W$2:$W$495&gt;=10)*('CASE MASTER'!$V$2:$V$495&lt;=7)*('CASE MASTER'!$X$2:$X$495&gt;=7))*ROW('CASE MASTER'!$T$2:$T$495))-(ROW('CASE MASTER'!#REF!)-1))))+1))-1)*50+1,50))&amp;"_"&amp;INDEX('CASE MASTER'!$Q$2:$Q$495,(SUMPRODUCT((('CASE MASTER'!$T$2:$T$495=14)*('CASE MASTER'!$U$2:$U$495&lt;=10)*('CASE MASTER'!$W$2:$W$495&gt;=10)*('CASE MASTER'!$V$2:$V$495&lt;=7)*('CASE MASTER'!$X$2:$X$495&gt;=7))*ROW('CASE MASTER'!$T$2:$T$495))-(ROW('CASE MASTER'!#REF!)-1))),IF(SUMPRODUCT((('CASE MASTER'!$T$2:$T$495=14)*('CASE MASTER'!$AA$2:$AA$495&lt;=10)*('CASE MASTER'!$AC$2:$AC$495&gt;=10)*('CASE MASTER'!$AB$2:$AB$495&lt;=7)*('CASE MASTER'!$AD$2:$AD$495&gt;=7))*ROW('CASE MASTER'!$T$2:$T$495))&gt;0,INDEX('CASE MASTER'!$Y$2:$Y$495,(SUMPRODUCT((('CASE MASTER'!$T$2:$T$495=14)*('CASE MASTER'!$AA$2:$AA$495&lt;=10)*('CASE MASTER'!$AC$2:$AC$495&gt;=10)*('CASE MASTER'!$AB$2:$AB$495&lt;=7)*('CASE MASTER'!$AD$2:$AD$495&gt;=7))*ROW('CASE MASTER'!$T$2:$T$495))-(ROW('CASE MASTER'!#REF!)-1)))&amp;TRIM(MID(SUBSTITUTE(SUBSTITUTE(INDEX('CASE MASTER'!$N$2:$N$495,(SUMPRODUCT((('CASE MASTER'!$T$2:$T$495=14)*('CASE MASTER'!$AA$2:$AA$495&lt;=10)*('CASE MASTER'!$AC$2:$AC$495&gt;=10)*('CASE MASTER'!$AB$2:$AB$495&lt;=7)*('CASE MASTER'!$AD$2:$AD$495&gt;=7))*ROW('CASE MASTER'!$T$2:$T$495))-(ROW('CASE MASTER'!#REF!)-1))),":",","),",",REPT(" ",50)),(((INDEX('CASE MASTER'!$Z$2:$Z$495,(SUMPRODUCT((('CASE MASTER'!$T$2:$T$495=14)*('CASE MASTER'!$AA$2:$AA$495&lt;=10)*('CASE MASTER'!$AC$2:$AC$495&gt;=10)*('CASE MASTER'!$AB$2:$AB$495&lt;=7)*('CASE MASTER'!$AD$2:$AD$495&gt;=7))*ROW('CASE MASTER'!$T$2:$T$495))-(ROW('CASE MASTER'!#REF!)-1)))+((10-INDEX('CASE MASTER'!$AA$2:$AA$495,(SUMPRODUCT((('CASE MASTER'!$T$2:$T$495=14)*('CASE MASTER'!$AA$2:$AA$495&lt;=10)*('CASE MASTER'!$AC$2:$AC$495&gt;=10)*('CASE MASTER'!$AB$2:$AB$495&lt;=7)*('CASE MASTER'!$AD$2:$AD$495&gt;=7))*ROW('CASE MASTER'!$T$2:$T$495))-(ROW('CASE MASTER'!#REF!)-1))))*(INDEX('CASE MASTER'!$AD$2:$AD$495,(SUMPRODUCT((('CASE MASTER'!$T$2:$T$495=14)*('CASE MASTER'!$AA$2:$AA$495&lt;=10)*('CASE MASTER'!$AC$2:$AC$495&gt;=10)*('CASE MASTER'!$AB$2:$AB$495&lt;=7)*('CASE MASTER'!$AD$2:$AD$495&gt;=7))*ROW('CASE MASTER'!$T$2:$T$495))-(ROW('CASE MASTER'!#REF!)-1)))-INDEX('CASE MASTER'!$AB$2:$AB$495,(SUMPRODUCT((('CASE MASTER'!$T$2:$T$495=14)*('CASE MASTER'!$AA$2:$AA$495&lt;=10)*('CASE MASTER'!$AC$2:$AC$495&gt;=10)*('CASE MASTER'!$AB$2:$AB$495&lt;=7)*('CASE MASTER'!$AD$2:$AD$495&gt;=7))*ROW('CASE MASTER'!$T$2:$T$495))-(ROW('CASE MASTER'!#REF!)-1)))+1)+(7-INDEX('CASE MASTER'!$AB$2:$AB$495,(SUMPRODUCT((('CASE MASTER'!$T$2:$T$495=14)*('CASE MASTER'!$AA$2:$AA$495&lt;=10)*('CASE MASTER'!$AC$2:$AC$495&gt;=10)*('CASE MASTER'!$AB$2:$AB$495&lt;=7)*('CASE MASTER'!$AD$2:$AD$495&gt;=7))*ROW('CASE MASTER'!$T$2:$T$495))-(ROW('CASE MASTER'!#REF!)-1))))+1)))-1)*50+1,50))&amp;"_"&amp;INDEX('CASE MASTER'!$Q$2:$Q$495,(SUMPRODUCT((('CASE MASTER'!$T$2:$T$495=14)*('CASE MASTER'!$AA$2:$AA$495&lt;=10)*('CASE MASTER'!$AC$2:$AC$495&gt;=10)*('CASE MASTER'!$AB$2:$AB$495&lt;=7)*('CASE MASTER'!$AD$2:$AD$495&gt;=7))*ROW('CASE MASTER'!$T$2:$T$495))-(ROW('CASE MASTER'!#REF!)-1))),"")),"")</f>
        <v/>
      </c>
      <c r="I194" s="10" t="str">
        <f>IFERROR(IF(SUMPRODUCT((('CASE MASTER'!$T$2:$T$495=14)*('CASE MASTER'!$U$2:$U$495&lt;=10)*('CASE MASTER'!$W$2:$W$495&gt;=10)*('CASE MASTER'!$V$2:$V$495&lt;=8)*('CASE MASTER'!$X$2:$X$495&gt;=8))*ROW('CASE MASTER'!$T$2:$T$495))&gt;0,INDEX('CASE MASTER'!$Y$2:$Y$495,(SUMPRODUCT((('CASE MASTER'!$T$2:$T$495=14)*('CASE MASTER'!$U$2:$U$495&lt;=10)*('CASE MASTER'!$W$2:$W$495&gt;=10)*('CASE MASTER'!$V$2:$V$495&lt;=8)*('CASE MASTER'!$X$2:$X$495&gt;=8))*ROW('CASE MASTER'!$T$2:$T$495))-(ROW('CASE MASTER'!#REF!)-1)))&amp;TRIM(MID(SUBSTITUTE(SUBSTITUTE(INDEX('CASE MASTER'!$N$2:$N$495,(SUMPRODUCT((('CASE MASTER'!$T$2:$T$495=14)*('CASE MASTER'!$U$2:$U$495&lt;=10)*('CASE MASTER'!$W$2:$W$495&gt;=10)*('CASE MASTER'!$V$2:$V$495&lt;=8)*('CASE MASTER'!$X$2:$X$495&gt;=8))*ROW('CASE MASTER'!$T$2:$T$495))-(ROW('CASE MASTER'!#REF!)-1))),":",","),",",REPT(" ",50)),((((10-INDEX('CASE MASTER'!$U$2:$U$495,(SUMPRODUCT((('CASE MASTER'!$T$2:$T$495=14)*('CASE MASTER'!$U$2:$U$495&lt;=10)*('CASE MASTER'!$W$2:$W$495&gt;=10)*('CASE MASTER'!$V$2:$V$495&lt;=8)*('CASE MASTER'!$X$2:$X$495&gt;=8))*ROW('CASE MASTER'!$T$2:$T$495))-(ROW('CASE MASTER'!#REF!)-1))))*(INDEX('CASE MASTER'!$X$2:$X$495,(SUMPRODUCT((('CASE MASTER'!$T$2:$T$495=14)*('CASE MASTER'!$U$2:$U$495&lt;=10)*('CASE MASTER'!$W$2:$W$495&gt;=10)*('CASE MASTER'!$V$2:$V$495&lt;=8)*('CASE MASTER'!$X$2:$X$495&gt;=8))*ROW('CASE MASTER'!$T$2:$T$495))-(ROW('CASE MASTER'!#REF!)-1)))-INDEX('CASE MASTER'!$V$2:$V$495,(SUMPRODUCT((('CASE MASTER'!$T$2:$T$495=14)*('CASE MASTER'!$U$2:$U$495&lt;=10)*('CASE MASTER'!$W$2:$W$495&gt;=10)*('CASE MASTER'!$V$2:$V$495&lt;=8)*('CASE MASTER'!$X$2:$X$495&gt;=8))*ROW('CASE MASTER'!$T$2:$T$495))-(ROW('CASE MASTER'!#REF!)-1)))+1)+(8-INDEX('CASE MASTER'!$V$2:$V$495,(SUMPRODUCT((('CASE MASTER'!$T$2:$T$495=14)*('CASE MASTER'!$U$2:$U$495&lt;=10)*('CASE MASTER'!$W$2:$W$495&gt;=10)*('CASE MASTER'!$V$2:$V$495&lt;=8)*('CASE MASTER'!$X$2:$X$495&gt;=8))*ROW('CASE MASTER'!$T$2:$T$495))-(ROW('CASE MASTER'!#REF!)-1))))+1))-1)*50+1,50))&amp;"_"&amp;INDEX('CASE MASTER'!$Q$2:$Q$495,(SUMPRODUCT((('CASE MASTER'!$T$2:$T$495=14)*('CASE MASTER'!$U$2:$U$495&lt;=10)*('CASE MASTER'!$W$2:$W$495&gt;=10)*('CASE MASTER'!$V$2:$V$495&lt;=8)*('CASE MASTER'!$X$2:$X$495&gt;=8))*ROW('CASE MASTER'!$T$2:$T$495))-(ROW('CASE MASTER'!#REF!)-1))),IF(SUMPRODUCT((('CASE MASTER'!$T$2:$T$495=14)*('CASE MASTER'!$AA$2:$AA$495&lt;=10)*('CASE MASTER'!$AC$2:$AC$495&gt;=10)*('CASE MASTER'!$AB$2:$AB$495&lt;=8)*('CASE MASTER'!$AD$2:$AD$495&gt;=8))*ROW('CASE MASTER'!$T$2:$T$495))&gt;0,INDEX('CASE MASTER'!$Y$2:$Y$495,(SUMPRODUCT((('CASE MASTER'!$T$2:$T$495=14)*('CASE MASTER'!$AA$2:$AA$495&lt;=10)*('CASE MASTER'!$AC$2:$AC$495&gt;=10)*('CASE MASTER'!$AB$2:$AB$495&lt;=8)*('CASE MASTER'!$AD$2:$AD$495&gt;=8))*ROW('CASE MASTER'!$T$2:$T$495))-(ROW('CASE MASTER'!#REF!)-1)))&amp;TRIM(MID(SUBSTITUTE(SUBSTITUTE(INDEX('CASE MASTER'!$N$2:$N$495,(SUMPRODUCT((('CASE MASTER'!$T$2:$T$495=14)*('CASE MASTER'!$AA$2:$AA$495&lt;=10)*('CASE MASTER'!$AC$2:$AC$495&gt;=10)*('CASE MASTER'!$AB$2:$AB$495&lt;=8)*('CASE MASTER'!$AD$2:$AD$495&gt;=8))*ROW('CASE MASTER'!$T$2:$T$495))-(ROW('CASE MASTER'!#REF!)-1))),":",","),",",REPT(" ",50)),(((INDEX('CASE MASTER'!$Z$2:$Z$495,(SUMPRODUCT((('CASE MASTER'!$T$2:$T$495=14)*('CASE MASTER'!$AA$2:$AA$495&lt;=10)*('CASE MASTER'!$AC$2:$AC$495&gt;=10)*('CASE MASTER'!$AB$2:$AB$495&lt;=8)*('CASE MASTER'!$AD$2:$AD$495&gt;=8))*ROW('CASE MASTER'!$T$2:$T$495))-(ROW('CASE MASTER'!#REF!)-1)))+((10-INDEX('CASE MASTER'!$AA$2:$AA$495,(SUMPRODUCT((('CASE MASTER'!$T$2:$T$495=14)*('CASE MASTER'!$AA$2:$AA$495&lt;=10)*('CASE MASTER'!$AC$2:$AC$495&gt;=10)*('CASE MASTER'!$AB$2:$AB$495&lt;=8)*('CASE MASTER'!$AD$2:$AD$495&gt;=8))*ROW('CASE MASTER'!$T$2:$T$495))-(ROW('CASE MASTER'!#REF!)-1))))*(INDEX('CASE MASTER'!$AD$2:$AD$495,(SUMPRODUCT((('CASE MASTER'!$T$2:$T$495=14)*('CASE MASTER'!$AA$2:$AA$495&lt;=10)*('CASE MASTER'!$AC$2:$AC$495&gt;=10)*('CASE MASTER'!$AB$2:$AB$495&lt;=8)*('CASE MASTER'!$AD$2:$AD$495&gt;=8))*ROW('CASE MASTER'!$T$2:$T$495))-(ROW('CASE MASTER'!#REF!)-1)))-INDEX('CASE MASTER'!$AB$2:$AB$495,(SUMPRODUCT((('CASE MASTER'!$T$2:$T$495=14)*('CASE MASTER'!$AA$2:$AA$495&lt;=10)*('CASE MASTER'!$AC$2:$AC$495&gt;=10)*('CASE MASTER'!$AB$2:$AB$495&lt;=8)*('CASE MASTER'!$AD$2:$AD$495&gt;=8))*ROW('CASE MASTER'!$T$2:$T$495))-(ROW('CASE MASTER'!#REF!)-1)))+1)+(8-INDEX('CASE MASTER'!$AB$2:$AB$495,(SUMPRODUCT((('CASE MASTER'!$T$2:$T$495=14)*('CASE MASTER'!$AA$2:$AA$495&lt;=10)*('CASE MASTER'!$AC$2:$AC$495&gt;=10)*('CASE MASTER'!$AB$2:$AB$495&lt;=8)*('CASE MASTER'!$AD$2:$AD$495&gt;=8))*ROW('CASE MASTER'!$T$2:$T$495))-(ROW('CASE MASTER'!#REF!)-1))))+1)))-1)*50+1,50))&amp;"_"&amp;INDEX('CASE MASTER'!$Q$2:$Q$495,(SUMPRODUCT((('CASE MASTER'!$T$2:$T$495=14)*('CASE MASTER'!$AA$2:$AA$495&lt;=10)*('CASE MASTER'!$AC$2:$AC$495&gt;=10)*('CASE MASTER'!$AB$2:$AB$495&lt;=8)*('CASE MASTER'!$AD$2:$AD$495&gt;=8))*ROW('CASE MASTER'!$T$2:$T$495))-(ROW('CASE MASTER'!#REF!)-1))),"")),"")</f>
        <v/>
      </c>
      <c r="J194" s="10" t="str">
        <f>IFERROR(IF(SUMPRODUCT((('CASE MASTER'!$T$2:$T$495=14)*('CASE MASTER'!$U$2:$U$495&lt;=10)*('CASE MASTER'!$W$2:$W$495&gt;=10)*('CASE MASTER'!$V$2:$V$495&lt;=9)*('CASE MASTER'!$X$2:$X$495&gt;=9))*ROW('CASE MASTER'!$T$2:$T$495))&gt;0,INDEX('CASE MASTER'!$Y$2:$Y$495,(SUMPRODUCT((('CASE MASTER'!$T$2:$T$495=14)*('CASE MASTER'!$U$2:$U$495&lt;=10)*('CASE MASTER'!$W$2:$W$495&gt;=10)*('CASE MASTER'!$V$2:$V$495&lt;=9)*('CASE MASTER'!$X$2:$X$495&gt;=9))*ROW('CASE MASTER'!$T$2:$T$495))-(ROW('CASE MASTER'!#REF!)-1)))&amp;TRIM(MID(SUBSTITUTE(SUBSTITUTE(INDEX('CASE MASTER'!$N$2:$N$495,(SUMPRODUCT((('CASE MASTER'!$T$2:$T$495=14)*('CASE MASTER'!$U$2:$U$495&lt;=10)*('CASE MASTER'!$W$2:$W$495&gt;=10)*('CASE MASTER'!$V$2:$V$495&lt;=9)*('CASE MASTER'!$X$2:$X$495&gt;=9))*ROW('CASE MASTER'!$T$2:$T$495))-(ROW('CASE MASTER'!#REF!)-1))),":",","),",",REPT(" ",50)),((((10-INDEX('CASE MASTER'!$U$2:$U$495,(SUMPRODUCT((('CASE MASTER'!$T$2:$T$495=14)*('CASE MASTER'!$U$2:$U$495&lt;=10)*('CASE MASTER'!$W$2:$W$495&gt;=10)*('CASE MASTER'!$V$2:$V$495&lt;=9)*('CASE MASTER'!$X$2:$X$495&gt;=9))*ROW('CASE MASTER'!$T$2:$T$495))-(ROW('CASE MASTER'!#REF!)-1))))*(INDEX('CASE MASTER'!$X$2:$X$495,(SUMPRODUCT((('CASE MASTER'!$T$2:$T$495=14)*('CASE MASTER'!$U$2:$U$495&lt;=10)*('CASE MASTER'!$W$2:$W$495&gt;=10)*('CASE MASTER'!$V$2:$V$495&lt;=9)*('CASE MASTER'!$X$2:$X$495&gt;=9))*ROW('CASE MASTER'!$T$2:$T$495))-(ROW('CASE MASTER'!#REF!)-1)))-INDEX('CASE MASTER'!$V$2:$V$495,(SUMPRODUCT((('CASE MASTER'!$T$2:$T$495=14)*('CASE MASTER'!$U$2:$U$495&lt;=10)*('CASE MASTER'!$W$2:$W$495&gt;=10)*('CASE MASTER'!$V$2:$V$495&lt;=9)*('CASE MASTER'!$X$2:$X$495&gt;=9))*ROW('CASE MASTER'!$T$2:$T$495))-(ROW('CASE MASTER'!#REF!)-1)))+1)+(9-INDEX('CASE MASTER'!$V$2:$V$495,(SUMPRODUCT((('CASE MASTER'!$T$2:$T$495=14)*('CASE MASTER'!$U$2:$U$495&lt;=10)*('CASE MASTER'!$W$2:$W$495&gt;=10)*('CASE MASTER'!$V$2:$V$495&lt;=9)*('CASE MASTER'!$X$2:$X$495&gt;=9))*ROW('CASE MASTER'!$T$2:$T$495))-(ROW('CASE MASTER'!#REF!)-1))))+1))-1)*50+1,50))&amp;"_"&amp;INDEX('CASE MASTER'!$Q$2:$Q$495,(SUMPRODUCT((('CASE MASTER'!$T$2:$T$495=14)*('CASE MASTER'!$U$2:$U$495&lt;=10)*('CASE MASTER'!$W$2:$W$495&gt;=10)*('CASE MASTER'!$V$2:$V$495&lt;=9)*('CASE MASTER'!$X$2:$X$495&gt;=9))*ROW('CASE MASTER'!$T$2:$T$495))-(ROW('CASE MASTER'!#REF!)-1))),IF(SUMPRODUCT((('CASE MASTER'!$T$2:$T$495=14)*('CASE MASTER'!$AA$2:$AA$495&lt;=10)*('CASE MASTER'!$AC$2:$AC$495&gt;=10)*('CASE MASTER'!$AB$2:$AB$495&lt;=9)*('CASE MASTER'!$AD$2:$AD$495&gt;=9))*ROW('CASE MASTER'!$T$2:$T$495))&gt;0,INDEX('CASE MASTER'!$Y$2:$Y$495,(SUMPRODUCT((('CASE MASTER'!$T$2:$T$495=14)*('CASE MASTER'!$AA$2:$AA$495&lt;=10)*('CASE MASTER'!$AC$2:$AC$495&gt;=10)*('CASE MASTER'!$AB$2:$AB$495&lt;=9)*('CASE MASTER'!$AD$2:$AD$495&gt;=9))*ROW('CASE MASTER'!$T$2:$T$495))-(ROW('CASE MASTER'!#REF!)-1)))&amp;TRIM(MID(SUBSTITUTE(SUBSTITUTE(INDEX('CASE MASTER'!$N$2:$N$495,(SUMPRODUCT((('CASE MASTER'!$T$2:$T$495=14)*('CASE MASTER'!$AA$2:$AA$495&lt;=10)*('CASE MASTER'!$AC$2:$AC$495&gt;=10)*('CASE MASTER'!$AB$2:$AB$495&lt;=9)*('CASE MASTER'!$AD$2:$AD$495&gt;=9))*ROW('CASE MASTER'!$T$2:$T$495))-(ROW('CASE MASTER'!#REF!)-1))),":",","),",",REPT(" ",50)),(((INDEX('CASE MASTER'!$Z$2:$Z$495,(SUMPRODUCT((('CASE MASTER'!$T$2:$T$495=14)*('CASE MASTER'!$AA$2:$AA$495&lt;=10)*('CASE MASTER'!$AC$2:$AC$495&gt;=10)*('CASE MASTER'!$AB$2:$AB$495&lt;=9)*('CASE MASTER'!$AD$2:$AD$495&gt;=9))*ROW('CASE MASTER'!$T$2:$T$495))-(ROW('CASE MASTER'!#REF!)-1)))+((10-INDEX('CASE MASTER'!$AA$2:$AA$495,(SUMPRODUCT((('CASE MASTER'!$T$2:$T$495=14)*('CASE MASTER'!$AA$2:$AA$495&lt;=10)*('CASE MASTER'!$AC$2:$AC$495&gt;=10)*('CASE MASTER'!$AB$2:$AB$495&lt;=9)*('CASE MASTER'!$AD$2:$AD$495&gt;=9))*ROW('CASE MASTER'!$T$2:$T$495))-(ROW('CASE MASTER'!#REF!)-1))))*(INDEX('CASE MASTER'!$AD$2:$AD$495,(SUMPRODUCT((('CASE MASTER'!$T$2:$T$495=14)*('CASE MASTER'!$AA$2:$AA$495&lt;=10)*('CASE MASTER'!$AC$2:$AC$495&gt;=10)*('CASE MASTER'!$AB$2:$AB$495&lt;=9)*('CASE MASTER'!$AD$2:$AD$495&gt;=9))*ROW('CASE MASTER'!$T$2:$T$495))-(ROW('CASE MASTER'!#REF!)-1)))-INDEX('CASE MASTER'!$AB$2:$AB$495,(SUMPRODUCT((('CASE MASTER'!$T$2:$T$495=14)*('CASE MASTER'!$AA$2:$AA$495&lt;=10)*('CASE MASTER'!$AC$2:$AC$495&gt;=10)*('CASE MASTER'!$AB$2:$AB$495&lt;=9)*('CASE MASTER'!$AD$2:$AD$495&gt;=9))*ROW('CASE MASTER'!$T$2:$T$495))-(ROW('CASE MASTER'!#REF!)-1)))+1)+(9-INDEX('CASE MASTER'!$AB$2:$AB$495,(SUMPRODUCT((('CASE MASTER'!$T$2:$T$495=14)*('CASE MASTER'!$AA$2:$AA$495&lt;=10)*('CASE MASTER'!$AC$2:$AC$495&gt;=10)*('CASE MASTER'!$AB$2:$AB$495&lt;=9)*('CASE MASTER'!$AD$2:$AD$495&gt;=9))*ROW('CASE MASTER'!$T$2:$T$495))-(ROW('CASE MASTER'!#REF!)-1))))+1)))-1)*50+1,50))&amp;"_"&amp;INDEX('CASE MASTER'!$Q$2:$Q$495,(SUMPRODUCT((('CASE MASTER'!$T$2:$T$495=14)*('CASE MASTER'!$AA$2:$AA$495&lt;=10)*('CASE MASTER'!$AC$2:$AC$495&gt;=10)*('CASE MASTER'!$AB$2:$AB$495&lt;=9)*('CASE MASTER'!$AD$2:$AD$495&gt;=9))*ROW('CASE MASTER'!$T$2:$T$495))-(ROW('CASE MASTER'!#REF!)-1))),"")),"")</f>
        <v/>
      </c>
      <c r="K194" s="10" t="str">
        <f>IFERROR(IF(SUMPRODUCT((('CASE MASTER'!$T$2:$T$495=14)*('CASE MASTER'!$U$2:$U$495&lt;=10)*('CASE MASTER'!$W$2:$W$495&gt;=10)*('CASE MASTER'!$V$2:$V$495&lt;=10)*('CASE MASTER'!$X$2:$X$495&gt;=10))*ROW('CASE MASTER'!$T$2:$T$495))&gt;0,INDEX('CASE MASTER'!$Y$2:$Y$495,(SUMPRODUCT((('CASE MASTER'!$T$2:$T$495=14)*('CASE MASTER'!$U$2:$U$495&lt;=10)*('CASE MASTER'!$W$2:$W$495&gt;=10)*('CASE MASTER'!$V$2:$V$495&lt;=10)*('CASE MASTER'!$X$2:$X$495&gt;=10))*ROW('CASE MASTER'!$T$2:$T$495))-(ROW('CASE MASTER'!#REF!)-1)))&amp;TRIM(MID(SUBSTITUTE(SUBSTITUTE(INDEX('CASE MASTER'!$N$2:$N$495,(SUMPRODUCT((('CASE MASTER'!$T$2:$T$495=14)*('CASE MASTER'!$U$2:$U$495&lt;=10)*('CASE MASTER'!$W$2:$W$495&gt;=10)*('CASE MASTER'!$V$2:$V$495&lt;=10)*('CASE MASTER'!$X$2:$X$495&gt;=10))*ROW('CASE MASTER'!$T$2:$T$495))-(ROW('CASE MASTER'!#REF!)-1))),":",","),",",REPT(" ",50)),((((10-INDEX('CASE MASTER'!$U$2:$U$495,(SUMPRODUCT((('CASE MASTER'!$T$2:$T$495=14)*('CASE MASTER'!$U$2:$U$495&lt;=10)*('CASE MASTER'!$W$2:$W$495&gt;=10)*('CASE MASTER'!$V$2:$V$495&lt;=10)*('CASE MASTER'!$X$2:$X$495&gt;=10))*ROW('CASE MASTER'!$T$2:$T$495))-(ROW('CASE MASTER'!#REF!)-1))))*(INDEX('CASE MASTER'!$X$2:$X$495,(SUMPRODUCT((('CASE MASTER'!$T$2:$T$495=14)*('CASE MASTER'!$U$2:$U$495&lt;=10)*('CASE MASTER'!$W$2:$W$495&gt;=10)*('CASE MASTER'!$V$2:$V$495&lt;=10)*('CASE MASTER'!$X$2:$X$495&gt;=10))*ROW('CASE MASTER'!$T$2:$T$495))-(ROW('CASE MASTER'!#REF!)-1)))-INDEX('CASE MASTER'!$V$2:$V$495,(SUMPRODUCT((('CASE MASTER'!$T$2:$T$495=14)*('CASE MASTER'!$U$2:$U$495&lt;=10)*('CASE MASTER'!$W$2:$W$495&gt;=10)*('CASE MASTER'!$V$2:$V$495&lt;=10)*('CASE MASTER'!$X$2:$X$495&gt;=10))*ROW('CASE MASTER'!$T$2:$T$495))-(ROW('CASE MASTER'!#REF!)-1)))+1)+(10-INDEX('CASE MASTER'!$V$2:$V$495,(SUMPRODUCT((('CASE MASTER'!$T$2:$T$495=14)*('CASE MASTER'!$U$2:$U$495&lt;=10)*('CASE MASTER'!$W$2:$W$495&gt;=10)*('CASE MASTER'!$V$2:$V$495&lt;=10)*('CASE MASTER'!$X$2:$X$495&gt;=10))*ROW('CASE MASTER'!$T$2:$T$495))-(ROW('CASE MASTER'!#REF!)-1))))+1))-1)*50+1,50))&amp;"_"&amp;INDEX('CASE MASTER'!$Q$2:$Q$495,(SUMPRODUCT((('CASE MASTER'!$T$2:$T$495=14)*('CASE MASTER'!$U$2:$U$495&lt;=10)*('CASE MASTER'!$W$2:$W$495&gt;=10)*('CASE MASTER'!$V$2:$V$495&lt;=10)*('CASE MASTER'!$X$2:$X$495&gt;=10))*ROW('CASE MASTER'!$T$2:$T$495))-(ROW('CASE MASTER'!#REF!)-1))),IF(SUMPRODUCT((('CASE MASTER'!$T$2:$T$495=14)*('CASE MASTER'!$AA$2:$AA$495&lt;=10)*('CASE MASTER'!$AC$2:$AC$495&gt;=10)*('CASE MASTER'!$AB$2:$AB$495&lt;=10)*('CASE MASTER'!$AD$2:$AD$495&gt;=10))*ROW('CASE MASTER'!$T$2:$T$495))&gt;0,INDEX('CASE MASTER'!$Y$2:$Y$495,(SUMPRODUCT((('CASE MASTER'!$T$2:$T$495=14)*('CASE MASTER'!$AA$2:$AA$495&lt;=10)*('CASE MASTER'!$AC$2:$AC$495&gt;=10)*('CASE MASTER'!$AB$2:$AB$495&lt;=10)*('CASE MASTER'!$AD$2:$AD$495&gt;=10))*ROW('CASE MASTER'!$T$2:$T$495))-(ROW('CASE MASTER'!#REF!)-1)))&amp;TRIM(MID(SUBSTITUTE(SUBSTITUTE(INDEX('CASE MASTER'!$N$2:$N$495,(SUMPRODUCT((('CASE MASTER'!$T$2:$T$495=14)*('CASE MASTER'!$AA$2:$AA$495&lt;=10)*('CASE MASTER'!$AC$2:$AC$495&gt;=10)*('CASE MASTER'!$AB$2:$AB$495&lt;=10)*('CASE MASTER'!$AD$2:$AD$495&gt;=10))*ROW('CASE MASTER'!$T$2:$T$495))-(ROW('CASE MASTER'!#REF!)-1))),":",","),",",REPT(" ",50)),(((INDEX('CASE MASTER'!$Z$2:$Z$495,(SUMPRODUCT((('CASE MASTER'!$T$2:$T$495=14)*('CASE MASTER'!$AA$2:$AA$495&lt;=10)*('CASE MASTER'!$AC$2:$AC$495&gt;=10)*('CASE MASTER'!$AB$2:$AB$495&lt;=10)*('CASE MASTER'!$AD$2:$AD$495&gt;=10))*ROW('CASE MASTER'!$T$2:$T$495))-(ROW('CASE MASTER'!#REF!)-1)))+((10-INDEX('CASE MASTER'!$AA$2:$AA$495,(SUMPRODUCT((('CASE MASTER'!$T$2:$T$495=14)*('CASE MASTER'!$AA$2:$AA$495&lt;=10)*('CASE MASTER'!$AC$2:$AC$495&gt;=10)*('CASE MASTER'!$AB$2:$AB$495&lt;=10)*('CASE MASTER'!$AD$2:$AD$495&gt;=10))*ROW('CASE MASTER'!$T$2:$T$495))-(ROW('CASE MASTER'!#REF!)-1))))*(INDEX('CASE MASTER'!$AD$2:$AD$495,(SUMPRODUCT((('CASE MASTER'!$T$2:$T$495=14)*('CASE MASTER'!$AA$2:$AA$495&lt;=10)*('CASE MASTER'!$AC$2:$AC$495&gt;=10)*('CASE MASTER'!$AB$2:$AB$495&lt;=10)*('CASE MASTER'!$AD$2:$AD$495&gt;=10))*ROW('CASE MASTER'!$T$2:$T$495))-(ROW('CASE MASTER'!#REF!)-1)))-INDEX('CASE MASTER'!$AB$2:$AB$495,(SUMPRODUCT((('CASE MASTER'!$T$2:$T$495=14)*('CASE MASTER'!$AA$2:$AA$495&lt;=10)*('CASE MASTER'!$AC$2:$AC$495&gt;=10)*('CASE MASTER'!$AB$2:$AB$495&lt;=10)*('CASE MASTER'!$AD$2:$AD$495&gt;=10))*ROW('CASE MASTER'!$T$2:$T$495))-(ROW('CASE MASTER'!#REF!)-1)))+1)+(10-INDEX('CASE MASTER'!$AB$2:$AB$495,(SUMPRODUCT((('CASE MASTER'!$T$2:$T$495=14)*('CASE MASTER'!$AA$2:$AA$495&lt;=10)*('CASE MASTER'!$AC$2:$AC$495&gt;=10)*('CASE MASTER'!$AB$2:$AB$495&lt;=10)*('CASE MASTER'!$AD$2:$AD$495&gt;=10))*ROW('CASE MASTER'!$T$2:$T$495))-(ROW('CASE MASTER'!#REF!)-1))))+1)))-1)*50+1,50))&amp;"_"&amp;INDEX('CASE MASTER'!$Q$2:$Q$495,(SUMPRODUCT((('CASE MASTER'!$T$2:$T$495=14)*('CASE MASTER'!$AA$2:$AA$495&lt;=10)*('CASE MASTER'!$AC$2:$AC$495&gt;=10)*('CASE MASTER'!$AB$2:$AB$495&lt;=10)*('CASE MASTER'!$AD$2:$AD$495&gt;=10))*ROW('CASE MASTER'!$T$2:$T$495))-(ROW('CASE MASTER'!#REF!)-1))),"")),"")</f>
        <v/>
      </c>
    </row>
    <row r="197" spans="1:11" ht="15" customHeight="1" x14ac:dyDescent="0.35">
      <c r="A197" s="12" t="s">
        <v>96</v>
      </c>
      <c r="B197" s="13"/>
      <c r="C197" s="13"/>
      <c r="D197" s="13"/>
      <c r="E197" s="13"/>
      <c r="F197" s="13"/>
      <c r="G197" s="13"/>
      <c r="H197" s="13"/>
      <c r="I197" s="13"/>
      <c r="J197" s="13"/>
      <c r="K197" s="13"/>
    </row>
    <row r="198" spans="1:11" ht="15" customHeight="1" x14ac:dyDescent="0.35">
      <c r="B198" s="8">
        <v>1</v>
      </c>
      <c r="C198" s="8">
        <v>2</v>
      </c>
      <c r="D198" s="8">
        <v>3</v>
      </c>
      <c r="E198" s="8">
        <v>4</v>
      </c>
      <c r="F198" s="8">
        <v>5</v>
      </c>
      <c r="G198" s="8">
        <v>6</v>
      </c>
      <c r="H198" s="8">
        <v>7</v>
      </c>
      <c r="I198" s="8">
        <v>8</v>
      </c>
      <c r="J198" s="8">
        <v>9</v>
      </c>
      <c r="K198" s="8">
        <v>10</v>
      </c>
    </row>
    <row r="199" spans="1:11" ht="15" customHeight="1" x14ac:dyDescent="0.35">
      <c r="A199" s="8" t="s">
        <v>28</v>
      </c>
      <c r="B199" s="10" t="str">
        <f>IFERROR(IF(SUMPRODUCT((('CASE MASTER'!$T$2:$T$495=15)*('CASE MASTER'!$U$2:$U$495&lt;=1)*('CASE MASTER'!$W$2:$W$495&gt;=1)*('CASE MASTER'!$V$2:$V$495&lt;=1)*('CASE MASTER'!$X$2:$X$495&gt;=1))*ROW('CASE MASTER'!$T$2:$T$495))&gt;0,INDEX('CASE MASTER'!$Y$2:$Y$495,(SUMPRODUCT((('CASE MASTER'!$T$2:$T$495=15)*('CASE MASTER'!$U$2:$U$495&lt;=1)*('CASE MASTER'!$W$2:$W$495&gt;=1)*('CASE MASTER'!$V$2:$V$495&lt;=1)*('CASE MASTER'!$X$2:$X$495&gt;=1))*ROW('CASE MASTER'!$T$2:$T$495))-(ROW('CASE MASTER'!#REF!)-1)))&amp;TRIM(MID(SUBSTITUTE(SUBSTITUTE(INDEX('CASE MASTER'!$N$2:$N$495,(SUMPRODUCT((('CASE MASTER'!$T$2:$T$495=15)*('CASE MASTER'!$U$2:$U$495&lt;=1)*('CASE MASTER'!$W$2:$W$495&gt;=1)*('CASE MASTER'!$V$2:$V$495&lt;=1)*('CASE MASTER'!$X$2:$X$495&gt;=1))*ROW('CASE MASTER'!$T$2:$T$495))-(ROW('CASE MASTER'!#REF!)-1))),":",","),",",REPT(" ",50)),((((1-INDEX('CASE MASTER'!$U$2:$U$495,(SUMPRODUCT((('CASE MASTER'!$T$2:$T$495=15)*('CASE MASTER'!$U$2:$U$495&lt;=1)*('CASE MASTER'!$W$2:$W$495&gt;=1)*('CASE MASTER'!$V$2:$V$495&lt;=1)*('CASE MASTER'!$X$2:$X$495&gt;=1))*ROW('CASE MASTER'!$T$2:$T$495))-(ROW('CASE MASTER'!#REF!)-1))))*(INDEX('CASE MASTER'!$X$2:$X$495,(SUMPRODUCT((('CASE MASTER'!$T$2:$T$495=15)*('CASE MASTER'!$U$2:$U$495&lt;=1)*('CASE MASTER'!$W$2:$W$495&gt;=1)*('CASE MASTER'!$V$2:$V$495&lt;=1)*('CASE MASTER'!$X$2:$X$495&gt;=1))*ROW('CASE MASTER'!$T$2:$T$495))-(ROW('CASE MASTER'!#REF!)-1)))-INDEX('CASE MASTER'!$V$2:$V$495,(SUMPRODUCT((('CASE MASTER'!$T$2:$T$495=15)*('CASE MASTER'!$U$2:$U$495&lt;=1)*('CASE MASTER'!$W$2:$W$495&gt;=1)*('CASE MASTER'!$V$2:$V$495&lt;=1)*('CASE MASTER'!$X$2:$X$495&gt;=1))*ROW('CASE MASTER'!$T$2:$T$495))-(ROW('CASE MASTER'!#REF!)-1)))+1)+(1-INDEX('CASE MASTER'!$V$2:$V$495,(SUMPRODUCT((('CASE MASTER'!$T$2:$T$495=15)*('CASE MASTER'!$U$2:$U$495&lt;=1)*('CASE MASTER'!$W$2:$W$495&gt;=1)*('CASE MASTER'!$V$2:$V$495&lt;=1)*('CASE MASTER'!$X$2:$X$495&gt;=1))*ROW('CASE MASTER'!$T$2:$T$495))-(ROW('CASE MASTER'!#REF!)-1))))+1))-1)*50+1,50))&amp;"_"&amp;INDEX('CASE MASTER'!$Q$2:$Q$495,(SUMPRODUCT((('CASE MASTER'!$T$2:$T$495=15)*('CASE MASTER'!$U$2:$U$495&lt;=1)*('CASE MASTER'!$W$2:$W$495&gt;=1)*('CASE MASTER'!$V$2:$V$495&lt;=1)*('CASE MASTER'!$X$2:$X$495&gt;=1))*ROW('CASE MASTER'!$T$2:$T$495))-(ROW('CASE MASTER'!#REF!)-1))),IF(SUMPRODUCT((('CASE MASTER'!$T$2:$T$495=15)*('CASE MASTER'!$AA$2:$AA$495&lt;=1)*('CASE MASTER'!$AC$2:$AC$495&gt;=1)*('CASE MASTER'!$AB$2:$AB$495&lt;=1)*('CASE MASTER'!$AD$2:$AD$495&gt;=1))*ROW('CASE MASTER'!$T$2:$T$495))&gt;0,INDEX('CASE MASTER'!$Y$2:$Y$495,(SUMPRODUCT((('CASE MASTER'!$T$2:$T$495=15)*('CASE MASTER'!$AA$2:$AA$495&lt;=1)*('CASE MASTER'!$AC$2:$AC$495&gt;=1)*('CASE MASTER'!$AB$2:$AB$495&lt;=1)*('CASE MASTER'!$AD$2:$AD$495&gt;=1))*ROW('CASE MASTER'!$T$2:$T$495))-(ROW('CASE MASTER'!#REF!)-1)))&amp;TRIM(MID(SUBSTITUTE(SUBSTITUTE(INDEX('CASE MASTER'!$N$2:$N$495,(SUMPRODUCT((('CASE MASTER'!$T$2:$T$495=15)*('CASE MASTER'!$AA$2:$AA$495&lt;=1)*('CASE MASTER'!$AC$2:$AC$495&gt;=1)*('CASE MASTER'!$AB$2:$AB$495&lt;=1)*('CASE MASTER'!$AD$2:$AD$495&gt;=1))*ROW('CASE MASTER'!$T$2:$T$495))-(ROW('CASE MASTER'!#REF!)-1))),":",","),",",REPT(" ",50)),(((INDEX('CASE MASTER'!$Z$2:$Z$495,(SUMPRODUCT((('CASE MASTER'!$T$2:$T$495=15)*('CASE MASTER'!$AA$2:$AA$495&lt;=1)*('CASE MASTER'!$AC$2:$AC$495&gt;=1)*('CASE MASTER'!$AB$2:$AB$495&lt;=1)*('CASE MASTER'!$AD$2:$AD$495&gt;=1))*ROW('CASE MASTER'!$T$2:$T$495))-(ROW('CASE MASTER'!#REF!)-1)))+((1-INDEX('CASE MASTER'!$AA$2:$AA$495,(SUMPRODUCT((('CASE MASTER'!$T$2:$T$495=15)*('CASE MASTER'!$AA$2:$AA$495&lt;=1)*('CASE MASTER'!$AC$2:$AC$495&gt;=1)*('CASE MASTER'!$AB$2:$AB$495&lt;=1)*('CASE MASTER'!$AD$2:$AD$495&gt;=1))*ROW('CASE MASTER'!$T$2:$T$495))-(ROW('CASE MASTER'!#REF!)-1))))*(INDEX('CASE MASTER'!$AD$2:$AD$495,(SUMPRODUCT((('CASE MASTER'!$T$2:$T$495=15)*('CASE MASTER'!$AA$2:$AA$495&lt;=1)*('CASE MASTER'!$AC$2:$AC$495&gt;=1)*('CASE MASTER'!$AB$2:$AB$495&lt;=1)*('CASE MASTER'!$AD$2:$AD$495&gt;=1))*ROW('CASE MASTER'!$T$2:$T$495))-(ROW('CASE MASTER'!#REF!)-1)))-INDEX('CASE MASTER'!$AB$2:$AB$495,(SUMPRODUCT((('CASE MASTER'!$T$2:$T$495=15)*('CASE MASTER'!$AA$2:$AA$495&lt;=1)*('CASE MASTER'!$AC$2:$AC$495&gt;=1)*('CASE MASTER'!$AB$2:$AB$495&lt;=1)*('CASE MASTER'!$AD$2:$AD$495&gt;=1))*ROW('CASE MASTER'!$T$2:$T$495))-(ROW('CASE MASTER'!#REF!)-1)))+1)+(1-INDEX('CASE MASTER'!$AB$2:$AB$495,(SUMPRODUCT((('CASE MASTER'!$T$2:$T$495=15)*('CASE MASTER'!$AA$2:$AA$495&lt;=1)*('CASE MASTER'!$AC$2:$AC$495&gt;=1)*('CASE MASTER'!$AB$2:$AB$495&lt;=1)*('CASE MASTER'!$AD$2:$AD$495&gt;=1))*ROW('CASE MASTER'!$T$2:$T$495))-(ROW('CASE MASTER'!#REF!)-1))))+1)))-1)*50+1,50))&amp;"_"&amp;INDEX('CASE MASTER'!$Q$2:$Q$495,(SUMPRODUCT((('CASE MASTER'!$T$2:$T$495=15)*('CASE MASTER'!$AA$2:$AA$495&lt;=1)*('CASE MASTER'!$AC$2:$AC$495&gt;=1)*('CASE MASTER'!$AB$2:$AB$495&lt;=1)*('CASE MASTER'!$AD$2:$AD$495&gt;=1))*ROW('CASE MASTER'!$T$2:$T$495))-(ROW('CASE MASTER'!#REF!)-1))),"")),"")</f>
        <v/>
      </c>
      <c r="C199" s="10" t="str">
        <f>IFERROR(IF(SUMPRODUCT((('CASE MASTER'!$T$2:$T$495=15)*('CASE MASTER'!$U$2:$U$495&lt;=1)*('CASE MASTER'!$W$2:$W$495&gt;=1)*('CASE MASTER'!$V$2:$V$495&lt;=2)*('CASE MASTER'!$X$2:$X$495&gt;=2))*ROW('CASE MASTER'!$T$2:$T$495))&gt;0,INDEX('CASE MASTER'!$Y$2:$Y$495,(SUMPRODUCT((('CASE MASTER'!$T$2:$T$495=15)*('CASE MASTER'!$U$2:$U$495&lt;=1)*('CASE MASTER'!$W$2:$W$495&gt;=1)*('CASE MASTER'!$V$2:$V$495&lt;=2)*('CASE MASTER'!$X$2:$X$495&gt;=2))*ROW('CASE MASTER'!$T$2:$T$495))-(ROW('CASE MASTER'!#REF!)-1)))&amp;TRIM(MID(SUBSTITUTE(SUBSTITUTE(INDEX('CASE MASTER'!$N$2:$N$495,(SUMPRODUCT((('CASE MASTER'!$T$2:$T$495=15)*('CASE MASTER'!$U$2:$U$495&lt;=1)*('CASE MASTER'!$W$2:$W$495&gt;=1)*('CASE MASTER'!$V$2:$V$495&lt;=2)*('CASE MASTER'!$X$2:$X$495&gt;=2))*ROW('CASE MASTER'!$T$2:$T$495))-(ROW('CASE MASTER'!#REF!)-1))),":",","),",",REPT(" ",50)),((((1-INDEX('CASE MASTER'!$U$2:$U$495,(SUMPRODUCT((('CASE MASTER'!$T$2:$T$495=15)*('CASE MASTER'!$U$2:$U$495&lt;=1)*('CASE MASTER'!$W$2:$W$495&gt;=1)*('CASE MASTER'!$V$2:$V$495&lt;=2)*('CASE MASTER'!$X$2:$X$495&gt;=2))*ROW('CASE MASTER'!$T$2:$T$495))-(ROW('CASE MASTER'!#REF!)-1))))*(INDEX('CASE MASTER'!$X$2:$X$495,(SUMPRODUCT((('CASE MASTER'!$T$2:$T$495=15)*('CASE MASTER'!$U$2:$U$495&lt;=1)*('CASE MASTER'!$W$2:$W$495&gt;=1)*('CASE MASTER'!$V$2:$V$495&lt;=2)*('CASE MASTER'!$X$2:$X$495&gt;=2))*ROW('CASE MASTER'!$T$2:$T$495))-(ROW('CASE MASTER'!#REF!)-1)))-INDEX('CASE MASTER'!$V$2:$V$495,(SUMPRODUCT((('CASE MASTER'!$T$2:$T$495=15)*('CASE MASTER'!$U$2:$U$495&lt;=1)*('CASE MASTER'!$W$2:$W$495&gt;=1)*('CASE MASTER'!$V$2:$V$495&lt;=2)*('CASE MASTER'!$X$2:$X$495&gt;=2))*ROW('CASE MASTER'!$T$2:$T$495))-(ROW('CASE MASTER'!#REF!)-1)))+1)+(2-INDEX('CASE MASTER'!$V$2:$V$495,(SUMPRODUCT((('CASE MASTER'!$T$2:$T$495=15)*('CASE MASTER'!$U$2:$U$495&lt;=1)*('CASE MASTER'!$W$2:$W$495&gt;=1)*('CASE MASTER'!$V$2:$V$495&lt;=2)*('CASE MASTER'!$X$2:$X$495&gt;=2))*ROW('CASE MASTER'!$T$2:$T$495))-(ROW('CASE MASTER'!#REF!)-1))))+1))-1)*50+1,50))&amp;"_"&amp;INDEX('CASE MASTER'!$Q$2:$Q$495,(SUMPRODUCT((('CASE MASTER'!$T$2:$T$495=15)*('CASE MASTER'!$U$2:$U$495&lt;=1)*('CASE MASTER'!$W$2:$W$495&gt;=1)*('CASE MASTER'!$V$2:$V$495&lt;=2)*('CASE MASTER'!$X$2:$X$495&gt;=2))*ROW('CASE MASTER'!$T$2:$T$495))-(ROW('CASE MASTER'!#REF!)-1))),IF(SUMPRODUCT((('CASE MASTER'!$T$2:$T$495=15)*('CASE MASTER'!$AA$2:$AA$495&lt;=1)*('CASE MASTER'!$AC$2:$AC$495&gt;=1)*('CASE MASTER'!$AB$2:$AB$495&lt;=2)*('CASE MASTER'!$AD$2:$AD$495&gt;=2))*ROW('CASE MASTER'!$T$2:$T$495))&gt;0,INDEX('CASE MASTER'!$Y$2:$Y$495,(SUMPRODUCT((('CASE MASTER'!$T$2:$T$495=15)*('CASE MASTER'!$AA$2:$AA$495&lt;=1)*('CASE MASTER'!$AC$2:$AC$495&gt;=1)*('CASE MASTER'!$AB$2:$AB$495&lt;=2)*('CASE MASTER'!$AD$2:$AD$495&gt;=2))*ROW('CASE MASTER'!$T$2:$T$495))-(ROW('CASE MASTER'!#REF!)-1)))&amp;TRIM(MID(SUBSTITUTE(SUBSTITUTE(INDEX('CASE MASTER'!$N$2:$N$495,(SUMPRODUCT((('CASE MASTER'!$T$2:$T$495=15)*('CASE MASTER'!$AA$2:$AA$495&lt;=1)*('CASE MASTER'!$AC$2:$AC$495&gt;=1)*('CASE MASTER'!$AB$2:$AB$495&lt;=2)*('CASE MASTER'!$AD$2:$AD$495&gt;=2))*ROW('CASE MASTER'!$T$2:$T$495))-(ROW('CASE MASTER'!#REF!)-1))),":",","),",",REPT(" ",50)),(((INDEX('CASE MASTER'!$Z$2:$Z$495,(SUMPRODUCT((('CASE MASTER'!$T$2:$T$495=15)*('CASE MASTER'!$AA$2:$AA$495&lt;=1)*('CASE MASTER'!$AC$2:$AC$495&gt;=1)*('CASE MASTER'!$AB$2:$AB$495&lt;=2)*('CASE MASTER'!$AD$2:$AD$495&gt;=2))*ROW('CASE MASTER'!$T$2:$T$495))-(ROW('CASE MASTER'!#REF!)-1)))+((1-INDEX('CASE MASTER'!$AA$2:$AA$495,(SUMPRODUCT((('CASE MASTER'!$T$2:$T$495=15)*('CASE MASTER'!$AA$2:$AA$495&lt;=1)*('CASE MASTER'!$AC$2:$AC$495&gt;=1)*('CASE MASTER'!$AB$2:$AB$495&lt;=2)*('CASE MASTER'!$AD$2:$AD$495&gt;=2))*ROW('CASE MASTER'!$T$2:$T$495))-(ROW('CASE MASTER'!#REF!)-1))))*(INDEX('CASE MASTER'!$AD$2:$AD$495,(SUMPRODUCT((('CASE MASTER'!$T$2:$T$495=15)*('CASE MASTER'!$AA$2:$AA$495&lt;=1)*('CASE MASTER'!$AC$2:$AC$495&gt;=1)*('CASE MASTER'!$AB$2:$AB$495&lt;=2)*('CASE MASTER'!$AD$2:$AD$495&gt;=2))*ROW('CASE MASTER'!$T$2:$T$495))-(ROW('CASE MASTER'!#REF!)-1)))-INDEX('CASE MASTER'!$AB$2:$AB$495,(SUMPRODUCT((('CASE MASTER'!$T$2:$T$495=15)*('CASE MASTER'!$AA$2:$AA$495&lt;=1)*('CASE MASTER'!$AC$2:$AC$495&gt;=1)*('CASE MASTER'!$AB$2:$AB$495&lt;=2)*('CASE MASTER'!$AD$2:$AD$495&gt;=2))*ROW('CASE MASTER'!$T$2:$T$495))-(ROW('CASE MASTER'!#REF!)-1)))+1)+(2-INDEX('CASE MASTER'!$AB$2:$AB$495,(SUMPRODUCT((('CASE MASTER'!$T$2:$T$495=15)*('CASE MASTER'!$AA$2:$AA$495&lt;=1)*('CASE MASTER'!$AC$2:$AC$495&gt;=1)*('CASE MASTER'!$AB$2:$AB$495&lt;=2)*('CASE MASTER'!$AD$2:$AD$495&gt;=2))*ROW('CASE MASTER'!$T$2:$T$495))-(ROW('CASE MASTER'!#REF!)-1))))+1)))-1)*50+1,50))&amp;"_"&amp;INDEX('CASE MASTER'!$Q$2:$Q$495,(SUMPRODUCT((('CASE MASTER'!$T$2:$T$495=15)*('CASE MASTER'!$AA$2:$AA$495&lt;=1)*('CASE MASTER'!$AC$2:$AC$495&gt;=1)*('CASE MASTER'!$AB$2:$AB$495&lt;=2)*('CASE MASTER'!$AD$2:$AD$495&gt;=2))*ROW('CASE MASTER'!$T$2:$T$495))-(ROW('CASE MASTER'!#REF!)-1))),"")),"")</f>
        <v/>
      </c>
      <c r="D199" s="10" t="str">
        <f>IFERROR(IF(SUMPRODUCT((('CASE MASTER'!$T$2:$T$495=15)*('CASE MASTER'!$U$2:$U$495&lt;=1)*('CASE MASTER'!$W$2:$W$495&gt;=1)*('CASE MASTER'!$V$2:$V$495&lt;=3)*('CASE MASTER'!$X$2:$X$495&gt;=3))*ROW('CASE MASTER'!$T$2:$T$495))&gt;0,INDEX('CASE MASTER'!$Y$2:$Y$495,(SUMPRODUCT((('CASE MASTER'!$T$2:$T$495=15)*('CASE MASTER'!$U$2:$U$495&lt;=1)*('CASE MASTER'!$W$2:$W$495&gt;=1)*('CASE MASTER'!$V$2:$V$495&lt;=3)*('CASE MASTER'!$X$2:$X$495&gt;=3))*ROW('CASE MASTER'!$T$2:$T$495))-(ROW('CASE MASTER'!#REF!)-1)))&amp;TRIM(MID(SUBSTITUTE(SUBSTITUTE(INDEX('CASE MASTER'!$N$2:$N$495,(SUMPRODUCT((('CASE MASTER'!$T$2:$T$495=15)*('CASE MASTER'!$U$2:$U$495&lt;=1)*('CASE MASTER'!$W$2:$W$495&gt;=1)*('CASE MASTER'!$V$2:$V$495&lt;=3)*('CASE MASTER'!$X$2:$X$495&gt;=3))*ROW('CASE MASTER'!$T$2:$T$495))-(ROW('CASE MASTER'!#REF!)-1))),":",","),",",REPT(" ",50)),((((1-INDEX('CASE MASTER'!$U$2:$U$495,(SUMPRODUCT((('CASE MASTER'!$T$2:$T$495=15)*('CASE MASTER'!$U$2:$U$495&lt;=1)*('CASE MASTER'!$W$2:$W$495&gt;=1)*('CASE MASTER'!$V$2:$V$495&lt;=3)*('CASE MASTER'!$X$2:$X$495&gt;=3))*ROW('CASE MASTER'!$T$2:$T$495))-(ROW('CASE MASTER'!#REF!)-1))))*(INDEX('CASE MASTER'!$X$2:$X$495,(SUMPRODUCT((('CASE MASTER'!$T$2:$T$495=15)*('CASE MASTER'!$U$2:$U$495&lt;=1)*('CASE MASTER'!$W$2:$W$495&gt;=1)*('CASE MASTER'!$V$2:$V$495&lt;=3)*('CASE MASTER'!$X$2:$X$495&gt;=3))*ROW('CASE MASTER'!$T$2:$T$495))-(ROW('CASE MASTER'!#REF!)-1)))-INDEX('CASE MASTER'!$V$2:$V$495,(SUMPRODUCT((('CASE MASTER'!$T$2:$T$495=15)*('CASE MASTER'!$U$2:$U$495&lt;=1)*('CASE MASTER'!$W$2:$W$495&gt;=1)*('CASE MASTER'!$V$2:$V$495&lt;=3)*('CASE MASTER'!$X$2:$X$495&gt;=3))*ROW('CASE MASTER'!$T$2:$T$495))-(ROW('CASE MASTER'!#REF!)-1)))+1)+(3-INDEX('CASE MASTER'!$V$2:$V$495,(SUMPRODUCT((('CASE MASTER'!$T$2:$T$495=15)*('CASE MASTER'!$U$2:$U$495&lt;=1)*('CASE MASTER'!$W$2:$W$495&gt;=1)*('CASE MASTER'!$V$2:$V$495&lt;=3)*('CASE MASTER'!$X$2:$X$495&gt;=3))*ROW('CASE MASTER'!$T$2:$T$495))-(ROW('CASE MASTER'!#REF!)-1))))+1))-1)*50+1,50))&amp;"_"&amp;INDEX('CASE MASTER'!$Q$2:$Q$495,(SUMPRODUCT((('CASE MASTER'!$T$2:$T$495=15)*('CASE MASTER'!$U$2:$U$495&lt;=1)*('CASE MASTER'!$W$2:$W$495&gt;=1)*('CASE MASTER'!$V$2:$V$495&lt;=3)*('CASE MASTER'!$X$2:$X$495&gt;=3))*ROW('CASE MASTER'!$T$2:$T$495))-(ROW('CASE MASTER'!#REF!)-1))),IF(SUMPRODUCT((('CASE MASTER'!$T$2:$T$495=15)*('CASE MASTER'!$AA$2:$AA$495&lt;=1)*('CASE MASTER'!$AC$2:$AC$495&gt;=1)*('CASE MASTER'!$AB$2:$AB$495&lt;=3)*('CASE MASTER'!$AD$2:$AD$495&gt;=3))*ROW('CASE MASTER'!$T$2:$T$495))&gt;0,INDEX('CASE MASTER'!$Y$2:$Y$495,(SUMPRODUCT((('CASE MASTER'!$T$2:$T$495=15)*('CASE MASTER'!$AA$2:$AA$495&lt;=1)*('CASE MASTER'!$AC$2:$AC$495&gt;=1)*('CASE MASTER'!$AB$2:$AB$495&lt;=3)*('CASE MASTER'!$AD$2:$AD$495&gt;=3))*ROW('CASE MASTER'!$T$2:$T$495))-(ROW('CASE MASTER'!#REF!)-1)))&amp;TRIM(MID(SUBSTITUTE(SUBSTITUTE(INDEX('CASE MASTER'!$N$2:$N$495,(SUMPRODUCT((('CASE MASTER'!$T$2:$T$495=15)*('CASE MASTER'!$AA$2:$AA$495&lt;=1)*('CASE MASTER'!$AC$2:$AC$495&gt;=1)*('CASE MASTER'!$AB$2:$AB$495&lt;=3)*('CASE MASTER'!$AD$2:$AD$495&gt;=3))*ROW('CASE MASTER'!$T$2:$T$495))-(ROW('CASE MASTER'!#REF!)-1))),":",","),",",REPT(" ",50)),(((INDEX('CASE MASTER'!$Z$2:$Z$495,(SUMPRODUCT((('CASE MASTER'!$T$2:$T$495=15)*('CASE MASTER'!$AA$2:$AA$495&lt;=1)*('CASE MASTER'!$AC$2:$AC$495&gt;=1)*('CASE MASTER'!$AB$2:$AB$495&lt;=3)*('CASE MASTER'!$AD$2:$AD$495&gt;=3))*ROW('CASE MASTER'!$T$2:$T$495))-(ROW('CASE MASTER'!#REF!)-1)))+((1-INDEX('CASE MASTER'!$AA$2:$AA$495,(SUMPRODUCT((('CASE MASTER'!$T$2:$T$495=15)*('CASE MASTER'!$AA$2:$AA$495&lt;=1)*('CASE MASTER'!$AC$2:$AC$495&gt;=1)*('CASE MASTER'!$AB$2:$AB$495&lt;=3)*('CASE MASTER'!$AD$2:$AD$495&gt;=3))*ROW('CASE MASTER'!$T$2:$T$495))-(ROW('CASE MASTER'!#REF!)-1))))*(INDEX('CASE MASTER'!$AD$2:$AD$495,(SUMPRODUCT((('CASE MASTER'!$T$2:$T$495=15)*('CASE MASTER'!$AA$2:$AA$495&lt;=1)*('CASE MASTER'!$AC$2:$AC$495&gt;=1)*('CASE MASTER'!$AB$2:$AB$495&lt;=3)*('CASE MASTER'!$AD$2:$AD$495&gt;=3))*ROW('CASE MASTER'!$T$2:$T$495))-(ROW('CASE MASTER'!#REF!)-1)))-INDEX('CASE MASTER'!$AB$2:$AB$495,(SUMPRODUCT((('CASE MASTER'!$T$2:$T$495=15)*('CASE MASTER'!$AA$2:$AA$495&lt;=1)*('CASE MASTER'!$AC$2:$AC$495&gt;=1)*('CASE MASTER'!$AB$2:$AB$495&lt;=3)*('CASE MASTER'!$AD$2:$AD$495&gt;=3))*ROW('CASE MASTER'!$T$2:$T$495))-(ROW('CASE MASTER'!#REF!)-1)))+1)+(3-INDEX('CASE MASTER'!$AB$2:$AB$495,(SUMPRODUCT((('CASE MASTER'!$T$2:$T$495=15)*('CASE MASTER'!$AA$2:$AA$495&lt;=1)*('CASE MASTER'!$AC$2:$AC$495&gt;=1)*('CASE MASTER'!$AB$2:$AB$495&lt;=3)*('CASE MASTER'!$AD$2:$AD$495&gt;=3))*ROW('CASE MASTER'!$T$2:$T$495))-(ROW('CASE MASTER'!#REF!)-1))))+1)))-1)*50+1,50))&amp;"_"&amp;INDEX('CASE MASTER'!$Q$2:$Q$495,(SUMPRODUCT((('CASE MASTER'!$T$2:$T$495=15)*('CASE MASTER'!$AA$2:$AA$495&lt;=1)*('CASE MASTER'!$AC$2:$AC$495&gt;=1)*('CASE MASTER'!$AB$2:$AB$495&lt;=3)*('CASE MASTER'!$AD$2:$AD$495&gt;=3))*ROW('CASE MASTER'!$T$2:$T$495))-(ROW('CASE MASTER'!#REF!)-1))),"")),"")</f>
        <v/>
      </c>
      <c r="E199" s="10" t="str">
        <f>IFERROR(IF(SUMPRODUCT((('CASE MASTER'!$T$2:$T$495=15)*('CASE MASTER'!$U$2:$U$495&lt;=1)*('CASE MASTER'!$W$2:$W$495&gt;=1)*('CASE MASTER'!$V$2:$V$495&lt;=4)*('CASE MASTER'!$X$2:$X$495&gt;=4))*ROW('CASE MASTER'!$T$2:$T$495))&gt;0,INDEX('CASE MASTER'!$Y$2:$Y$495,(SUMPRODUCT((('CASE MASTER'!$T$2:$T$495=15)*('CASE MASTER'!$U$2:$U$495&lt;=1)*('CASE MASTER'!$W$2:$W$495&gt;=1)*('CASE MASTER'!$V$2:$V$495&lt;=4)*('CASE MASTER'!$X$2:$X$495&gt;=4))*ROW('CASE MASTER'!$T$2:$T$495))-(ROW('CASE MASTER'!#REF!)-1)))&amp;TRIM(MID(SUBSTITUTE(SUBSTITUTE(INDEX('CASE MASTER'!$N$2:$N$495,(SUMPRODUCT((('CASE MASTER'!$T$2:$T$495=15)*('CASE MASTER'!$U$2:$U$495&lt;=1)*('CASE MASTER'!$W$2:$W$495&gt;=1)*('CASE MASTER'!$V$2:$V$495&lt;=4)*('CASE MASTER'!$X$2:$X$495&gt;=4))*ROW('CASE MASTER'!$T$2:$T$495))-(ROW('CASE MASTER'!#REF!)-1))),":",","),",",REPT(" ",50)),((((1-INDEX('CASE MASTER'!$U$2:$U$495,(SUMPRODUCT((('CASE MASTER'!$T$2:$T$495=15)*('CASE MASTER'!$U$2:$U$495&lt;=1)*('CASE MASTER'!$W$2:$W$495&gt;=1)*('CASE MASTER'!$V$2:$V$495&lt;=4)*('CASE MASTER'!$X$2:$X$495&gt;=4))*ROW('CASE MASTER'!$T$2:$T$495))-(ROW('CASE MASTER'!#REF!)-1))))*(INDEX('CASE MASTER'!$X$2:$X$495,(SUMPRODUCT((('CASE MASTER'!$T$2:$T$495=15)*('CASE MASTER'!$U$2:$U$495&lt;=1)*('CASE MASTER'!$W$2:$W$495&gt;=1)*('CASE MASTER'!$V$2:$V$495&lt;=4)*('CASE MASTER'!$X$2:$X$495&gt;=4))*ROW('CASE MASTER'!$T$2:$T$495))-(ROW('CASE MASTER'!#REF!)-1)))-INDEX('CASE MASTER'!$V$2:$V$495,(SUMPRODUCT((('CASE MASTER'!$T$2:$T$495=15)*('CASE MASTER'!$U$2:$U$495&lt;=1)*('CASE MASTER'!$W$2:$W$495&gt;=1)*('CASE MASTER'!$V$2:$V$495&lt;=4)*('CASE MASTER'!$X$2:$X$495&gt;=4))*ROW('CASE MASTER'!$T$2:$T$495))-(ROW('CASE MASTER'!#REF!)-1)))+1)+(4-INDEX('CASE MASTER'!$V$2:$V$495,(SUMPRODUCT((('CASE MASTER'!$T$2:$T$495=15)*('CASE MASTER'!$U$2:$U$495&lt;=1)*('CASE MASTER'!$W$2:$W$495&gt;=1)*('CASE MASTER'!$V$2:$V$495&lt;=4)*('CASE MASTER'!$X$2:$X$495&gt;=4))*ROW('CASE MASTER'!$T$2:$T$495))-(ROW('CASE MASTER'!#REF!)-1))))+1))-1)*50+1,50))&amp;"_"&amp;INDEX('CASE MASTER'!$Q$2:$Q$495,(SUMPRODUCT((('CASE MASTER'!$T$2:$T$495=15)*('CASE MASTER'!$U$2:$U$495&lt;=1)*('CASE MASTER'!$W$2:$W$495&gt;=1)*('CASE MASTER'!$V$2:$V$495&lt;=4)*('CASE MASTER'!$X$2:$X$495&gt;=4))*ROW('CASE MASTER'!$T$2:$T$495))-(ROW('CASE MASTER'!#REF!)-1))),IF(SUMPRODUCT((('CASE MASTER'!$T$2:$T$495=15)*('CASE MASTER'!$AA$2:$AA$495&lt;=1)*('CASE MASTER'!$AC$2:$AC$495&gt;=1)*('CASE MASTER'!$AB$2:$AB$495&lt;=4)*('CASE MASTER'!$AD$2:$AD$495&gt;=4))*ROW('CASE MASTER'!$T$2:$T$495))&gt;0,INDEX('CASE MASTER'!$Y$2:$Y$495,(SUMPRODUCT((('CASE MASTER'!$T$2:$T$495=15)*('CASE MASTER'!$AA$2:$AA$495&lt;=1)*('CASE MASTER'!$AC$2:$AC$495&gt;=1)*('CASE MASTER'!$AB$2:$AB$495&lt;=4)*('CASE MASTER'!$AD$2:$AD$495&gt;=4))*ROW('CASE MASTER'!$T$2:$T$495))-(ROW('CASE MASTER'!#REF!)-1)))&amp;TRIM(MID(SUBSTITUTE(SUBSTITUTE(INDEX('CASE MASTER'!$N$2:$N$495,(SUMPRODUCT((('CASE MASTER'!$T$2:$T$495=15)*('CASE MASTER'!$AA$2:$AA$495&lt;=1)*('CASE MASTER'!$AC$2:$AC$495&gt;=1)*('CASE MASTER'!$AB$2:$AB$495&lt;=4)*('CASE MASTER'!$AD$2:$AD$495&gt;=4))*ROW('CASE MASTER'!$T$2:$T$495))-(ROW('CASE MASTER'!#REF!)-1))),":",","),",",REPT(" ",50)),(((INDEX('CASE MASTER'!$Z$2:$Z$495,(SUMPRODUCT((('CASE MASTER'!$T$2:$T$495=15)*('CASE MASTER'!$AA$2:$AA$495&lt;=1)*('CASE MASTER'!$AC$2:$AC$495&gt;=1)*('CASE MASTER'!$AB$2:$AB$495&lt;=4)*('CASE MASTER'!$AD$2:$AD$495&gt;=4))*ROW('CASE MASTER'!$T$2:$T$495))-(ROW('CASE MASTER'!#REF!)-1)))+((1-INDEX('CASE MASTER'!$AA$2:$AA$495,(SUMPRODUCT((('CASE MASTER'!$T$2:$T$495=15)*('CASE MASTER'!$AA$2:$AA$495&lt;=1)*('CASE MASTER'!$AC$2:$AC$495&gt;=1)*('CASE MASTER'!$AB$2:$AB$495&lt;=4)*('CASE MASTER'!$AD$2:$AD$495&gt;=4))*ROW('CASE MASTER'!$T$2:$T$495))-(ROW('CASE MASTER'!#REF!)-1))))*(INDEX('CASE MASTER'!$AD$2:$AD$495,(SUMPRODUCT((('CASE MASTER'!$T$2:$T$495=15)*('CASE MASTER'!$AA$2:$AA$495&lt;=1)*('CASE MASTER'!$AC$2:$AC$495&gt;=1)*('CASE MASTER'!$AB$2:$AB$495&lt;=4)*('CASE MASTER'!$AD$2:$AD$495&gt;=4))*ROW('CASE MASTER'!$T$2:$T$495))-(ROW('CASE MASTER'!#REF!)-1)))-INDEX('CASE MASTER'!$AB$2:$AB$495,(SUMPRODUCT((('CASE MASTER'!$T$2:$T$495=15)*('CASE MASTER'!$AA$2:$AA$495&lt;=1)*('CASE MASTER'!$AC$2:$AC$495&gt;=1)*('CASE MASTER'!$AB$2:$AB$495&lt;=4)*('CASE MASTER'!$AD$2:$AD$495&gt;=4))*ROW('CASE MASTER'!$T$2:$T$495))-(ROW('CASE MASTER'!#REF!)-1)))+1)+(4-INDEX('CASE MASTER'!$AB$2:$AB$495,(SUMPRODUCT((('CASE MASTER'!$T$2:$T$495=15)*('CASE MASTER'!$AA$2:$AA$495&lt;=1)*('CASE MASTER'!$AC$2:$AC$495&gt;=1)*('CASE MASTER'!$AB$2:$AB$495&lt;=4)*('CASE MASTER'!$AD$2:$AD$495&gt;=4))*ROW('CASE MASTER'!$T$2:$T$495))-(ROW('CASE MASTER'!#REF!)-1))))+1)))-1)*50+1,50))&amp;"_"&amp;INDEX('CASE MASTER'!$Q$2:$Q$495,(SUMPRODUCT((('CASE MASTER'!$T$2:$T$495=15)*('CASE MASTER'!$AA$2:$AA$495&lt;=1)*('CASE MASTER'!$AC$2:$AC$495&gt;=1)*('CASE MASTER'!$AB$2:$AB$495&lt;=4)*('CASE MASTER'!$AD$2:$AD$495&gt;=4))*ROW('CASE MASTER'!$T$2:$T$495))-(ROW('CASE MASTER'!#REF!)-1))),"")),"")</f>
        <v/>
      </c>
      <c r="F199" s="10" t="str">
        <f>IFERROR(IF(SUMPRODUCT((('CASE MASTER'!$T$2:$T$495=15)*('CASE MASTER'!$U$2:$U$495&lt;=1)*('CASE MASTER'!$W$2:$W$495&gt;=1)*('CASE MASTER'!$V$2:$V$495&lt;=5)*('CASE MASTER'!$X$2:$X$495&gt;=5))*ROW('CASE MASTER'!$T$2:$T$495))&gt;0,INDEX('CASE MASTER'!$Y$2:$Y$495,(SUMPRODUCT((('CASE MASTER'!$T$2:$T$495=15)*('CASE MASTER'!$U$2:$U$495&lt;=1)*('CASE MASTER'!$W$2:$W$495&gt;=1)*('CASE MASTER'!$V$2:$V$495&lt;=5)*('CASE MASTER'!$X$2:$X$495&gt;=5))*ROW('CASE MASTER'!$T$2:$T$495))-(ROW('CASE MASTER'!#REF!)-1)))&amp;TRIM(MID(SUBSTITUTE(SUBSTITUTE(INDEX('CASE MASTER'!$N$2:$N$495,(SUMPRODUCT((('CASE MASTER'!$T$2:$T$495=15)*('CASE MASTER'!$U$2:$U$495&lt;=1)*('CASE MASTER'!$W$2:$W$495&gt;=1)*('CASE MASTER'!$V$2:$V$495&lt;=5)*('CASE MASTER'!$X$2:$X$495&gt;=5))*ROW('CASE MASTER'!$T$2:$T$495))-(ROW('CASE MASTER'!#REF!)-1))),":",","),",",REPT(" ",50)),((((1-INDEX('CASE MASTER'!$U$2:$U$495,(SUMPRODUCT((('CASE MASTER'!$T$2:$T$495=15)*('CASE MASTER'!$U$2:$U$495&lt;=1)*('CASE MASTER'!$W$2:$W$495&gt;=1)*('CASE MASTER'!$V$2:$V$495&lt;=5)*('CASE MASTER'!$X$2:$X$495&gt;=5))*ROW('CASE MASTER'!$T$2:$T$495))-(ROW('CASE MASTER'!#REF!)-1))))*(INDEX('CASE MASTER'!$X$2:$X$495,(SUMPRODUCT((('CASE MASTER'!$T$2:$T$495=15)*('CASE MASTER'!$U$2:$U$495&lt;=1)*('CASE MASTER'!$W$2:$W$495&gt;=1)*('CASE MASTER'!$V$2:$V$495&lt;=5)*('CASE MASTER'!$X$2:$X$495&gt;=5))*ROW('CASE MASTER'!$T$2:$T$495))-(ROW('CASE MASTER'!#REF!)-1)))-INDEX('CASE MASTER'!$V$2:$V$495,(SUMPRODUCT((('CASE MASTER'!$T$2:$T$495=15)*('CASE MASTER'!$U$2:$U$495&lt;=1)*('CASE MASTER'!$W$2:$W$495&gt;=1)*('CASE MASTER'!$V$2:$V$495&lt;=5)*('CASE MASTER'!$X$2:$X$495&gt;=5))*ROW('CASE MASTER'!$T$2:$T$495))-(ROW('CASE MASTER'!#REF!)-1)))+1)+(5-INDEX('CASE MASTER'!$V$2:$V$495,(SUMPRODUCT((('CASE MASTER'!$T$2:$T$495=15)*('CASE MASTER'!$U$2:$U$495&lt;=1)*('CASE MASTER'!$W$2:$W$495&gt;=1)*('CASE MASTER'!$V$2:$V$495&lt;=5)*('CASE MASTER'!$X$2:$X$495&gt;=5))*ROW('CASE MASTER'!$T$2:$T$495))-(ROW('CASE MASTER'!#REF!)-1))))+1))-1)*50+1,50))&amp;"_"&amp;INDEX('CASE MASTER'!$Q$2:$Q$495,(SUMPRODUCT((('CASE MASTER'!$T$2:$T$495=15)*('CASE MASTER'!$U$2:$U$495&lt;=1)*('CASE MASTER'!$W$2:$W$495&gt;=1)*('CASE MASTER'!$V$2:$V$495&lt;=5)*('CASE MASTER'!$X$2:$X$495&gt;=5))*ROW('CASE MASTER'!$T$2:$T$495))-(ROW('CASE MASTER'!#REF!)-1))),IF(SUMPRODUCT((('CASE MASTER'!$T$2:$T$495=15)*('CASE MASTER'!$AA$2:$AA$495&lt;=1)*('CASE MASTER'!$AC$2:$AC$495&gt;=1)*('CASE MASTER'!$AB$2:$AB$495&lt;=5)*('CASE MASTER'!$AD$2:$AD$495&gt;=5))*ROW('CASE MASTER'!$T$2:$T$495))&gt;0,INDEX('CASE MASTER'!$Y$2:$Y$495,(SUMPRODUCT((('CASE MASTER'!$T$2:$T$495=15)*('CASE MASTER'!$AA$2:$AA$495&lt;=1)*('CASE MASTER'!$AC$2:$AC$495&gt;=1)*('CASE MASTER'!$AB$2:$AB$495&lt;=5)*('CASE MASTER'!$AD$2:$AD$495&gt;=5))*ROW('CASE MASTER'!$T$2:$T$495))-(ROW('CASE MASTER'!#REF!)-1)))&amp;TRIM(MID(SUBSTITUTE(SUBSTITUTE(INDEX('CASE MASTER'!$N$2:$N$495,(SUMPRODUCT((('CASE MASTER'!$T$2:$T$495=15)*('CASE MASTER'!$AA$2:$AA$495&lt;=1)*('CASE MASTER'!$AC$2:$AC$495&gt;=1)*('CASE MASTER'!$AB$2:$AB$495&lt;=5)*('CASE MASTER'!$AD$2:$AD$495&gt;=5))*ROW('CASE MASTER'!$T$2:$T$495))-(ROW('CASE MASTER'!#REF!)-1))),":",","),",",REPT(" ",50)),(((INDEX('CASE MASTER'!$Z$2:$Z$495,(SUMPRODUCT((('CASE MASTER'!$T$2:$T$495=15)*('CASE MASTER'!$AA$2:$AA$495&lt;=1)*('CASE MASTER'!$AC$2:$AC$495&gt;=1)*('CASE MASTER'!$AB$2:$AB$495&lt;=5)*('CASE MASTER'!$AD$2:$AD$495&gt;=5))*ROW('CASE MASTER'!$T$2:$T$495))-(ROW('CASE MASTER'!#REF!)-1)))+((1-INDEX('CASE MASTER'!$AA$2:$AA$495,(SUMPRODUCT((('CASE MASTER'!$T$2:$T$495=15)*('CASE MASTER'!$AA$2:$AA$495&lt;=1)*('CASE MASTER'!$AC$2:$AC$495&gt;=1)*('CASE MASTER'!$AB$2:$AB$495&lt;=5)*('CASE MASTER'!$AD$2:$AD$495&gt;=5))*ROW('CASE MASTER'!$T$2:$T$495))-(ROW('CASE MASTER'!#REF!)-1))))*(INDEX('CASE MASTER'!$AD$2:$AD$495,(SUMPRODUCT((('CASE MASTER'!$T$2:$T$495=15)*('CASE MASTER'!$AA$2:$AA$495&lt;=1)*('CASE MASTER'!$AC$2:$AC$495&gt;=1)*('CASE MASTER'!$AB$2:$AB$495&lt;=5)*('CASE MASTER'!$AD$2:$AD$495&gt;=5))*ROW('CASE MASTER'!$T$2:$T$495))-(ROW('CASE MASTER'!#REF!)-1)))-INDEX('CASE MASTER'!$AB$2:$AB$495,(SUMPRODUCT((('CASE MASTER'!$T$2:$T$495=15)*('CASE MASTER'!$AA$2:$AA$495&lt;=1)*('CASE MASTER'!$AC$2:$AC$495&gt;=1)*('CASE MASTER'!$AB$2:$AB$495&lt;=5)*('CASE MASTER'!$AD$2:$AD$495&gt;=5))*ROW('CASE MASTER'!$T$2:$T$495))-(ROW('CASE MASTER'!#REF!)-1)))+1)+(5-INDEX('CASE MASTER'!$AB$2:$AB$495,(SUMPRODUCT((('CASE MASTER'!$T$2:$T$495=15)*('CASE MASTER'!$AA$2:$AA$495&lt;=1)*('CASE MASTER'!$AC$2:$AC$495&gt;=1)*('CASE MASTER'!$AB$2:$AB$495&lt;=5)*('CASE MASTER'!$AD$2:$AD$495&gt;=5))*ROW('CASE MASTER'!$T$2:$T$495))-(ROW('CASE MASTER'!#REF!)-1))))+1)))-1)*50+1,50))&amp;"_"&amp;INDEX('CASE MASTER'!$Q$2:$Q$495,(SUMPRODUCT((('CASE MASTER'!$T$2:$T$495=15)*('CASE MASTER'!$AA$2:$AA$495&lt;=1)*('CASE MASTER'!$AC$2:$AC$495&gt;=1)*('CASE MASTER'!$AB$2:$AB$495&lt;=5)*('CASE MASTER'!$AD$2:$AD$495&gt;=5))*ROW('CASE MASTER'!$T$2:$T$495))-(ROW('CASE MASTER'!#REF!)-1))),"")),"")</f>
        <v/>
      </c>
      <c r="G199" s="10" t="str">
        <f>IFERROR(IF(SUMPRODUCT((('CASE MASTER'!$T$2:$T$495=15)*('CASE MASTER'!$U$2:$U$495&lt;=1)*('CASE MASTER'!$W$2:$W$495&gt;=1)*('CASE MASTER'!$V$2:$V$495&lt;=6)*('CASE MASTER'!$X$2:$X$495&gt;=6))*ROW('CASE MASTER'!$T$2:$T$495))&gt;0,INDEX('CASE MASTER'!$Y$2:$Y$495,(SUMPRODUCT((('CASE MASTER'!$T$2:$T$495=15)*('CASE MASTER'!$U$2:$U$495&lt;=1)*('CASE MASTER'!$W$2:$W$495&gt;=1)*('CASE MASTER'!$V$2:$V$495&lt;=6)*('CASE MASTER'!$X$2:$X$495&gt;=6))*ROW('CASE MASTER'!$T$2:$T$495))-(ROW('CASE MASTER'!#REF!)-1)))&amp;TRIM(MID(SUBSTITUTE(SUBSTITUTE(INDEX('CASE MASTER'!$N$2:$N$495,(SUMPRODUCT((('CASE MASTER'!$T$2:$T$495=15)*('CASE MASTER'!$U$2:$U$495&lt;=1)*('CASE MASTER'!$W$2:$W$495&gt;=1)*('CASE MASTER'!$V$2:$V$495&lt;=6)*('CASE MASTER'!$X$2:$X$495&gt;=6))*ROW('CASE MASTER'!$T$2:$T$495))-(ROW('CASE MASTER'!#REF!)-1))),":",","),",",REPT(" ",50)),((((1-INDEX('CASE MASTER'!$U$2:$U$495,(SUMPRODUCT((('CASE MASTER'!$T$2:$T$495=15)*('CASE MASTER'!$U$2:$U$495&lt;=1)*('CASE MASTER'!$W$2:$W$495&gt;=1)*('CASE MASTER'!$V$2:$V$495&lt;=6)*('CASE MASTER'!$X$2:$X$495&gt;=6))*ROW('CASE MASTER'!$T$2:$T$495))-(ROW('CASE MASTER'!#REF!)-1))))*(INDEX('CASE MASTER'!$X$2:$X$495,(SUMPRODUCT((('CASE MASTER'!$T$2:$T$495=15)*('CASE MASTER'!$U$2:$U$495&lt;=1)*('CASE MASTER'!$W$2:$W$495&gt;=1)*('CASE MASTER'!$V$2:$V$495&lt;=6)*('CASE MASTER'!$X$2:$X$495&gt;=6))*ROW('CASE MASTER'!$T$2:$T$495))-(ROW('CASE MASTER'!#REF!)-1)))-INDEX('CASE MASTER'!$V$2:$V$495,(SUMPRODUCT((('CASE MASTER'!$T$2:$T$495=15)*('CASE MASTER'!$U$2:$U$495&lt;=1)*('CASE MASTER'!$W$2:$W$495&gt;=1)*('CASE MASTER'!$V$2:$V$495&lt;=6)*('CASE MASTER'!$X$2:$X$495&gt;=6))*ROW('CASE MASTER'!$T$2:$T$495))-(ROW('CASE MASTER'!#REF!)-1)))+1)+(6-INDEX('CASE MASTER'!$V$2:$V$495,(SUMPRODUCT((('CASE MASTER'!$T$2:$T$495=15)*('CASE MASTER'!$U$2:$U$495&lt;=1)*('CASE MASTER'!$W$2:$W$495&gt;=1)*('CASE MASTER'!$V$2:$V$495&lt;=6)*('CASE MASTER'!$X$2:$X$495&gt;=6))*ROW('CASE MASTER'!$T$2:$T$495))-(ROW('CASE MASTER'!#REF!)-1))))+1))-1)*50+1,50))&amp;"_"&amp;INDEX('CASE MASTER'!$Q$2:$Q$495,(SUMPRODUCT((('CASE MASTER'!$T$2:$T$495=15)*('CASE MASTER'!$U$2:$U$495&lt;=1)*('CASE MASTER'!$W$2:$W$495&gt;=1)*('CASE MASTER'!$V$2:$V$495&lt;=6)*('CASE MASTER'!$X$2:$X$495&gt;=6))*ROW('CASE MASTER'!$T$2:$T$495))-(ROW('CASE MASTER'!#REF!)-1))),IF(SUMPRODUCT((('CASE MASTER'!$T$2:$T$495=15)*('CASE MASTER'!$AA$2:$AA$495&lt;=1)*('CASE MASTER'!$AC$2:$AC$495&gt;=1)*('CASE MASTER'!$AB$2:$AB$495&lt;=6)*('CASE MASTER'!$AD$2:$AD$495&gt;=6))*ROW('CASE MASTER'!$T$2:$T$495))&gt;0,INDEX('CASE MASTER'!$Y$2:$Y$495,(SUMPRODUCT((('CASE MASTER'!$T$2:$T$495=15)*('CASE MASTER'!$AA$2:$AA$495&lt;=1)*('CASE MASTER'!$AC$2:$AC$495&gt;=1)*('CASE MASTER'!$AB$2:$AB$495&lt;=6)*('CASE MASTER'!$AD$2:$AD$495&gt;=6))*ROW('CASE MASTER'!$T$2:$T$495))-(ROW('CASE MASTER'!#REF!)-1)))&amp;TRIM(MID(SUBSTITUTE(SUBSTITUTE(INDEX('CASE MASTER'!$N$2:$N$495,(SUMPRODUCT((('CASE MASTER'!$T$2:$T$495=15)*('CASE MASTER'!$AA$2:$AA$495&lt;=1)*('CASE MASTER'!$AC$2:$AC$495&gt;=1)*('CASE MASTER'!$AB$2:$AB$495&lt;=6)*('CASE MASTER'!$AD$2:$AD$495&gt;=6))*ROW('CASE MASTER'!$T$2:$T$495))-(ROW('CASE MASTER'!#REF!)-1))),":",","),",",REPT(" ",50)),(((INDEX('CASE MASTER'!$Z$2:$Z$495,(SUMPRODUCT((('CASE MASTER'!$T$2:$T$495=15)*('CASE MASTER'!$AA$2:$AA$495&lt;=1)*('CASE MASTER'!$AC$2:$AC$495&gt;=1)*('CASE MASTER'!$AB$2:$AB$495&lt;=6)*('CASE MASTER'!$AD$2:$AD$495&gt;=6))*ROW('CASE MASTER'!$T$2:$T$495))-(ROW('CASE MASTER'!#REF!)-1)))+((1-INDEX('CASE MASTER'!$AA$2:$AA$495,(SUMPRODUCT((('CASE MASTER'!$T$2:$T$495=15)*('CASE MASTER'!$AA$2:$AA$495&lt;=1)*('CASE MASTER'!$AC$2:$AC$495&gt;=1)*('CASE MASTER'!$AB$2:$AB$495&lt;=6)*('CASE MASTER'!$AD$2:$AD$495&gt;=6))*ROW('CASE MASTER'!$T$2:$T$495))-(ROW('CASE MASTER'!#REF!)-1))))*(INDEX('CASE MASTER'!$AD$2:$AD$495,(SUMPRODUCT((('CASE MASTER'!$T$2:$T$495=15)*('CASE MASTER'!$AA$2:$AA$495&lt;=1)*('CASE MASTER'!$AC$2:$AC$495&gt;=1)*('CASE MASTER'!$AB$2:$AB$495&lt;=6)*('CASE MASTER'!$AD$2:$AD$495&gt;=6))*ROW('CASE MASTER'!$T$2:$T$495))-(ROW('CASE MASTER'!#REF!)-1)))-INDEX('CASE MASTER'!$AB$2:$AB$495,(SUMPRODUCT((('CASE MASTER'!$T$2:$T$495=15)*('CASE MASTER'!$AA$2:$AA$495&lt;=1)*('CASE MASTER'!$AC$2:$AC$495&gt;=1)*('CASE MASTER'!$AB$2:$AB$495&lt;=6)*('CASE MASTER'!$AD$2:$AD$495&gt;=6))*ROW('CASE MASTER'!$T$2:$T$495))-(ROW('CASE MASTER'!#REF!)-1)))+1)+(6-INDEX('CASE MASTER'!$AB$2:$AB$495,(SUMPRODUCT((('CASE MASTER'!$T$2:$T$495=15)*('CASE MASTER'!$AA$2:$AA$495&lt;=1)*('CASE MASTER'!$AC$2:$AC$495&gt;=1)*('CASE MASTER'!$AB$2:$AB$495&lt;=6)*('CASE MASTER'!$AD$2:$AD$495&gt;=6))*ROW('CASE MASTER'!$T$2:$T$495))-(ROW('CASE MASTER'!#REF!)-1))))+1)))-1)*50+1,50))&amp;"_"&amp;INDEX('CASE MASTER'!$Q$2:$Q$495,(SUMPRODUCT((('CASE MASTER'!$T$2:$T$495=15)*('CASE MASTER'!$AA$2:$AA$495&lt;=1)*('CASE MASTER'!$AC$2:$AC$495&gt;=1)*('CASE MASTER'!$AB$2:$AB$495&lt;=6)*('CASE MASTER'!$AD$2:$AD$495&gt;=6))*ROW('CASE MASTER'!$T$2:$T$495))-(ROW('CASE MASTER'!#REF!)-1))),"")),"")</f>
        <v/>
      </c>
      <c r="H199" s="10" t="str">
        <f>IFERROR(IF(SUMPRODUCT((('CASE MASTER'!$T$2:$T$495=15)*('CASE MASTER'!$U$2:$U$495&lt;=1)*('CASE MASTER'!$W$2:$W$495&gt;=1)*('CASE MASTER'!$V$2:$V$495&lt;=7)*('CASE MASTER'!$X$2:$X$495&gt;=7))*ROW('CASE MASTER'!$T$2:$T$495))&gt;0,INDEX('CASE MASTER'!$Y$2:$Y$495,(SUMPRODUCT((('CASE MASTER'!$T$2:$T$495=15)*('CASE MASTER'!$U$2:$U$495&lt;=1)*('CASE MASTER'!$W$2:$W$495&gt;=1)*('CASE MASTER'!$V$2:$V$495&lt;=7)*('CASE MASTER'!$X$2:$X$495&gt;=7))*ROW('CASE MASTER'!$T$2:$T$495))-(ROW('CASE MASTER'!#REF!)-1)))&amp;TRIM(MID(SUBSTITUTE(SUBSTITUTE(INDEX('CASE MASTER'!$N$2:$N$495,(SUMPRODUCT((('CASE MASTER'!$T$2:$T$495=15)*('CASE MASTER'!$U$2:$U$495&lt;=1)*('CASE MASTER'!$W$2:$W$495&gt;=1)*('CASE MASTER'!$V$2:$V$495&lt;=7)*('CASE MASTER'!$X$2:$X$495&gt;=7))*ROW('CASE MASTER'!$T$2:$T$495))-(ROW('CASE MASTER'!#REF!)-1))),":",","),",",REPT(" ",50)),((((1-INDEX('CASE MASTER'!$U$2:$U$495,(SUMPRODUCT((('CASE MASTER'!$T$2:$T$495=15)*('CASE MASTER'!$U$2:$U$495&lt;=1)*('CASE MASTER'!$W$2:$W$495&gt;=1)*('CASE MASTER'!$V$2:$V$495&lt;=7)*('CASE MASTER'!$X$2:$X$495&gt;=7))*ROW('CASE MASTER'!$T$2:$T$495))-(ROW('CASE MASTER'!#REF!)-1))))*(INDEX('CASE MASTER'!$X$2:$X$495,(SUMPRODUCT((('CASE MASTER'!$T$2:$T$495=15)*('CASE MASTER'!$U$2:$U$495&lt;=1)*('CASE MASTER'!$W$2:$W$495&gt;=1)*('CASE MASTER'!$V$2:$V$495&lt;=7)*('CASE MASTER'!$X$2:$X$495&gt;=7))*ROW('CASE MASTER'!$T$2:$T$495))-(ROW('CASE MASTER'!#REF!)-1)))-INDEX('CASE MASTER'!$V$2:$V$495,(SUMPRODUCT((('CASE MASTER'!$T$2:$T$495=15)*('CASE MASTER'!$U$2:$U$495&lt;=1)*('CASE MASTER'!$W$2:$W$495&gt;=1)*('CASE MASTER'!$V$2:$V$495&lt;=7)*('CASE MASTER'!$X$2:$X$495&gt;=7))*ROW('CASE MASTER'!$T$2:$T$495))-(ROW('CASE MASTER'!#REF!)-1)))+1)+(7-INDEX('CASE MASTER'!$V$2:$V$495,(SUMPRODUCT((('CASE MASTER'!$T$2:$T$495=15)*('CASE MASTER'!$U$2:$U$495&lt;=1)*('CASE MASTER'!$W$2:$W$495&gt;=1)*('CASE MASTER'!$V$2:$V$495&lt;=7)*('CASE MASTER'!$X$2:$X$495&gt;=7))*ROW('CASE MASTER'!$T$2:$T$495))-(ROW('CASE MASTER'!#REF!)-1))))+1))-1)*50+1,50))&amp;"_"&amp;INDEX('CASE MASTER'!$Q$2:$Q$495,(SUMPRODUCT((('CASE MASTER'!$T$2:$T$495=15)*('CASE MASTER'!$U$2:$U$495&lt;=1)*('CASE MASTER'!$W$2:$W$495&gt;=1)*('CASE MASTER'!$V$2:$V$495&lt;=7)*('CASE MASTER'!$X$2:$X$495&gt;=7))*ROW('CASE MASTER'!$T$2:$T$495))-(ROW('CASE MASTER'!#REF!)-1))),IF(SUMPRODUCT((('CASE MASTER'!$T$2:$T$495=15)*('CASE MASTER'!$AA$2:$AA$495&lt;=1)*('CASE MASTER'!$AC$2:$AC$495&gt;=1)*('CASE MASTER'!$AB$2:$AB$495&lt;=7)*('CASE MASTER'!$AD$2:$AD$495&gt;=7))*ROW('CASE MASTER'!$T$2:$T$495))&gt;0,INDEX('CASE MASTER'!$Y$2:$Y$495,(SUMPRODUCT((('CASE MASTER'!$T$2:$T$495=15)*('CASE MASTER'!$AA$2:$AA$495&lt;=1)*('CASE MASTER'!$AC$2:$AC$495&gt;=1)*('CASE MASTER'!$AB$2:$AB$495&lt;=7)*('CASE MASTER'!$AD$2:$AD$495&gt;=7))*ROW('CASE MASTER'!$T$2:$T$495))-(ROW('CASE MASTER'!#REF!)-1)))&amp;TRIM(MID(SUBSTITUTE(SUBSTITUTE(INDEX('CASE MASTER'!$N$2:$N$495,(SUMPRODUCT((('CASE MASTER'!$T$2:$T$495=15)*('CASE MASTER'!$AA$2:$AA$495&lt;=1)*('CASE MASTER'!$AC$2:$AC$495&gt;=1)*('CASE MASTER'!$AB$2:$AB$495&lt;=7)*('CASE MASTER'!$AD$2:$AD$495&gt;=7))*ROW('CASE MASTER'!$T$2:$T$495))-(ROW('CASE MASTER'!#REF!)-1))),":",","),",",REPT(" ",50)),(((INDEX('CASE MASTER'!$Z$2:$Z$495,(SUMPRODUCT((('CASE MASTER'!$T$2:$T$495=15)*('CASE MASTER'!$AA$2:$AA$495&lt;=1)*('CASE MASTER'!$AC$2:$AC$495&gt;=1)*('CASE MASTER'!$AB$2:$AB$495&lt;=7)*('CASE MASTER'!$AD$2:$AD$495&gt;=7))*ROW('CASE MASTER'!$T$2:$T$495))-(ROW('CASE MASTER'!#REF!)-1)))+((1-INDEX('CASE MASTER'!$AA$2:$AA$495,(SUMPRODUCT((('CASE MASTER'!$T$2:$T$495=15)*('CASE MASTER'!$AA$2:$AA$495&lt;=1)*('CASE MASTER'!$AC$2:$AC$495&gt;=1)*('CASE MASTER'!$AB$2:$AB$495&lt;=7)*('CASE MASTER'!$AD$2:$AD$495&gt;=7))*ROW('CASE MASTER'!$T$2:$T$495))-(ROW('CASE MASTER'!#REF!)-1))))*(INDEX('CASE MASTER'!$AD$2:$AD$495,(SUMPRODUCT((('CASE MASTER'!$T$2:$T$495=15)*('CASE MASTER'!$AA$2:$AA$495&lt;=1)*('CASE MASTER'!$AC$2:$AC$495&gt;=1)*('CASE MASTER'!$AB$2:$AB$495&lt;=7)*('CASE MASTER'!$AD$2:$AD$495&gt;=7))*ROW('CASE MASTER'!$T$2:$T$495))-(ROW('CASE MASTER'!#REF!)-1)))-INDEX('CASE MASTER'!$AB$2:$AB$495,(SUMPRODUCT((('CASE MASTER'!$T$2:$T$495=15)*('CASE MASTER'!$AA$2:$AA$495&lt;=1)*('CASE MASTER'!$AC$2:$AC$495&gt;=1)*('CASE MASTER'!$AB$2:$AB$495&lt;=7)*('CASE MASTER'!$AD$2:$AD$495&gt;=7))*ROW('CASE MASTER'!$T$2:$T$495))-(ROW('CASE MASTER'!#REF!)-1)))+1)+(7-INDEX('CASE MASTER'!$AB$2:$AB$495,(SUMPRODUCT((('CASE MASTER'!$T$2:$T$495=15)*('CASE MASTER'!$AA$2:$AA$495&lt;=1)*('CASE MASTER'!$AC$2:$AC$495&gt;=1)*('CASE MASTER'!$AB$2:$AB$495&lt;=7)*('CASE MASTER'!$AD$2:$AD$495&gt;=7))*ROW('CASE MASTER'!$T$2:$T$495))-(ROW('CASE MASTER'!#REF!)-1))))+1)))-1)*50+1,50))&amp;"_"&amp;INDEX('CASE MASTER'!$Q$2:$Q$495,(SUMPRODUCT((('CASE MASTER'!$T$2:$T$495=15)*('CASE MASTER'!$AA$2:$AA$495&lt;=1)*('CASE MASTER'!$AC$2:$AC$495&gt;=1)*('CASE MASTER'!$AB$2:$AB$495&lt;=7)*('CASE MASTER'!$AD$2:$AD$495&gt;=7))*ROW('CASE MASTER'!$T$2:$T$495))-(ROW('CASE MASTER'!#REF!)-1))),"")),"")</f>
        <v/>
      </c>
      <c r="I199" s="10" t="str">
        <f>IFERROR(IF(SUMPRODUCT((('CASE MASTER'!$T$2:$T$495=15)*('CASE MASTER'!$U$2:$U$495&lt;=1)*('CASE MASTER'!$W$2:$W$495&gt;=1)*('CASE MASTER'!$V$2:$V$495&lt;=8)*('CASE MASTER'!$X$2:$X$495&gt;=8))*ROW('CASE MASTER'!$T$2:$T$495))&gt;0,INDEX('CASE MASTER'!$Y$2:$Y$495,(SUMPRODUCT((('CASE MASTER'!$T$2:$T$495=15)*('CASE MASTER'!$U$2:$U$495&lt;=1)*('CASE MASTER'!$W$2:$W$495&gt;=1)*('CASE MASTER'!$V$2:$V$495&lt;=8)*('CASE MASTER'!$X$2:$X$495&gt;=8))*ROW('CASE MASTER'!$T$2:$T$495))-(ROW('CASE MASTER'!#REF!)-1)))&amp;TRIM(MID(SUBSTITUTE(SUBSTITUTE(INDEX('CASE MASTER'!$N$2:$N$495,(SUMPRODUCT((('CASE MASTER'!$T$2:$T$495=15)*('CASE MASTER'!$U$2:$U$495&lt;=1)*('CASE MASTER'!$W$2:$W$495&gt;=1)*('CASE MASTER'!$V$2:$V$495&lt;=8)*('CASE MASTER'!$X$2:$X$495&gt;=8))*ROW('CASE MASTER'!$T$2:$T$495))-(ROW('CASE MASTER'!#REF!)-1))),":",","),",",REPT(" ",50)),((((1-INDEX('CASE MASTER'!$U$2:$U$495,(SUMPRODUCT((('CASE MASTER'!$T$2:$T$495=15)*('CASE MASTER'!$U$2:$U$495&lt;=1)*('CASE MASTER'!$W$2:$W$495&gt;=1)*('CASE MASTER'!$V$2:$V$495&lt;=8)*('CASE MASTER'!$X$2:$X$495&gt;=8))*ROW('CASE MASTER'!$T$2:$T$495))-(ROW('CASE MASTER'!#REF!)-1))))*(INDEX('CASE MASTER'!$X$2:$X$495,(SUMPRODUCT((('CASE MASTER'!$T$2:$T$495=15)*('CASE MASTER'!$U$2:$U$495&lt;=1)*('CASE MASTER'!$W$2:$W$495&gt;=1)*('CASE MASTER'!$V$2:$V$495&lt;=8)*('CASE MASTER'!$X$2:$X$495&gt;=8))*ROW('CASE MASTER'!$T$2:$T$495))-(ROW('CASE MASTER'!#REF!)-1)))-INDEX('CASE MASTER'!$V$2:$V$495,(SUMPRODUCT((('CASE MASTER'!$T$2:$T$495=15)*('CASE MASTER'!$U$2:$U$495&lt;=1)*('CASE MASTER'!$W$2:$W$495&gt;=1)*('CASE MASTER'!$V$2:$V$495&lt;=8)*('CASE MASTER'!$X$2:$X$495&gt;=8))*ROW('CASE MASTER'!$T$2:$T$495))-(ROW('CASE MASTER'!#REF!)-1)))+1)+(8-INDEX('CASE MASTER'!$V$2:$V$495,(SUMPRODUCT((('CASE MASTER'!$T$2:$T$495=15)*('CASE MASTER'!$U$2:$U$495&lt;=1)*('CASE MASTER'!$W$2:$W$495&gt;=1)*('CASE MASTER'!$V$2:$V$495&lt;=8)*('CASE MASTER'!$X$2:$X$495&gt;=8))*ROW('CASE MASTER'!$T$2:$T$495))-(ROW('CASE MASTER'!#REF!)-1))))+1))-1)*50+1,50))&amp;"_"&amp;INDEX('CASE MASTER'!$Q$2:$Q$495,(SUMPRODUCT((('CASE MASTER'!$T$2:$T$495=15)*('CASE MASTER'!$U$2:$U$495&lt;=1)*('CASE MASTER'!$W$2:$W$495&gt;=1)*('CASE MASTER'!$V$2:$V$495&lt;=8)*('CASE MASTER'!$X$2:$X$495&gt;=8))*ROW('CASE MASTER'!$T$2:$T$495))-(ROW('CASE MASTER'!#REF!)-1))),IF(SUMPRODUCT((('CASE MASTER'!$T$2:$T$495=15)*('CASE MASTER'!$AA$2:$AA$495&lt;=1)*('CASE MASTER'!$AC$2:$AC$495&gt;=1)*('CASE MASTER'!$AB$2:$AB$495&lt;=8)*('CASE MASTER'!$AD$2:$AD$495&gt;=8))*ROW('CASE MASTER'!$T$2:$T$495))&gt;0,INDEX('CASE MASTER'!$Y$2:$Y$495,(SUMPRODUCT((('CASE MASTER'!$T$2:$T$495=15)*('CASE MASTER'!$AA$2:$AA$495&lt;=1)*('CASE MASTER'!$AC$2:$AC$495&gt;=1)*('CASE MASTER'!$AB$2:$AB$495&lt;=8)*('CASE MASTER'!$AD$2:$AD$495&gt;=8))*ROW('CASE MASTER'!$T$2:$T$495))-(ROW('CASE MASTER'!#REF!)-1)))&amp;TRIM(MID(SUBSTITUTE(SUBSTITUTE(INDEX('CASE MASTER'!$N$2:$N$495,(SUMPRODUCT((('CASE MASTER'!$T$2:$T$495=15)*('CASE MASTER'!$AA$2:$AA$495&lt;=1)*('CASE MASTER'!$AC$2:$AC$495&gt;=1)*('CASE MASTER'!$AB$2:$AB$495&lt;=8)*('CASE MASTER'!$AD$2:$AD$495&gt;=8))*ROW('CASE MASTER'!$T$2:$T$495))-(ROW('CASE MASTER'!#REF!)-1))),":",","),",",REPT(" ",50)),(((INDEX('CASE MASTER'!$Z$2:$Z$495,(SUMPRODUCT((('CASE MASTER'!$T$2:$T$495=15)*('CASE MASTER'!$AA$2:$AA$495&lt;=1)*('CASE MASTER'!$AC$2:$AC$495&gt;=1)*('CASE MASTER'!$AB$2:$AB$495&lt;=8)*('CASE MASTER'!$AD$2:$AD$495&gt;=8))*ROW('CASE MASTER'!$T$2:$T$495))-(ROW('CASE MASTER'!#REF!)-1)))+((1-INDEX('CASE MASTER'!$AA$2:$AA$495,(SUMPRODUCT((('CASE MASTER'!$T$2:$T$495=15)*('CASE MASTER'!$AA$2:$AA$495&lt;=1)*('CASE MASTER'!$AC$2:$AC$495&gt;=1)*('CASE MASTER'!$AB$2:$AB$495&lt;=8)*('CASE MASTER'!$AD$2:$AD$495&gt;=8))*ROW('CASE MASTER'!$T$2:$T$495))-(ROW('CASE MASTER'!#REF!)-1))))*(INDEX('CASE MASTER'!$AD$2:$AD$495,(SUMPRODUCT((('CASE MASTER'!$T$2:$T$495=15)*('CASE MASTER'!$AA$2:$AA$495&lt;=1)*('CASE MASTER'!$AC$2:$AC$495&gt;=1)*('CASE MASTER'!$AB$2:$AB$495&lt;=8)*('CASE MASTER'!$AD$2:$AD$495&gt;=8))*ROW('CASE MASTER'!$T$2:$T$495))-(ROW('CASE MASTER'!#REF!)-1)))-INDEX('CASE MASTER'!$AB$2:$AB$495,(SUMPRODUCT((('CASE MASTER'!$T$2:$T$495=15)*('CASE MASTER'!$AA$2:$AA$495&lt;=1)*('CASE MASTER'!$AC$2:$AC$495&gt;=1)*('CASE MASTER'!$AB$2:$AB$495&lt;=8)*('CASE MASTER'!$AD$2:$AD$495&gt;=8))*ROW('CASE MASTER'!$T$2:$T$495))-(ROW('CASE MASTER'!#REF!)-1)))+1)+(8-INDEX('CASE MASTER'!$AB$2:$AB$495,(SUMPRODUCT((('CASE MASTER'!$T$2:$T$495=15)*('CASE MASTER'!$AA$2:$AA$495&lt;=1)*('CASE MASTER'!$AC$2:$AC$495&gt;=1)*('CASE MASTER'!$AB$2:$AB$495&lt;=8)*('CASE MASTER'!$AD$2:$AD$495&gt;=8))*ROW('CASE MASTER'!$T$2:$T$495))-(ROW('CASE MASTER'!#REF!)-1))))+1)))-1)*50+1,50))&amp;"_"&amp;INDEX('CASE MASTER'!$Q$2:$Q$495,(SUMPRODUCT((('CASE MASTER'!$T$2:$T$495=15)*('CASE MASTER'!$AA$2:$AA$495&lt;=1)*('CASE MASTER'!$AC$2:$AC$495&gt;=1)*('CASE MASTER'!$AB$2:$AB$495&lt;=8)*('CASE MASTER'!$AD$2:$AD$495&gt;=8))*ROW('CASE MASTER'!$T$2:$T$495))-(ROW('CASE MASTER'!#REF!)-1))),"")),"")</f>
        <v/>
      </c>
      <c r="J199" s="10" t="str">
        <f>IFERROR(IF(SUMPRODUCT((('CASE MASTER'!$T$2:$T$495=15)*('CASE MASTER'!$U$2:$U$495&lt;=1)*('CASE MASTER'!$W$2:$W$495&gt;=1)*('CASE MASTER'!$V$2:$V$495&lt;=9)*('CASE MASTER'!$X$2:$X$495&gt;=9))*ROW('CASE MASTER'!$T$2:$T$495))&gt;0,INDEX('CASE MASTER'!$Y$2:$Y$495,(SUMPRODUCT((('CASE MASTER'!$T$2:$T$495=15)*('CASE MASTER'!$U$2:$U$495&lt;=1)*('CASE MASTER'!$W$2:$W$495&gt;=1)*('CASE MASTER'!$V$2:$V$495&lt;=9)*('CASE MASTER'!$X$2:$X$495&gt;=9))*ROW('CASE MASTER'!$T$2:$T$495))-(ROW('CASE MASTER'!#REF!)-1)))&amp;TRIM(MID(SUBSTITUTE(SUBSTITUTE(INDEX('CASE MASTER'!$N$2:$N$495,(SUMPRODUCT((('CASE MASTER'!$T$2:$T$495=15)*('CASE MASTER'!$U$2:$U$495&lt;=1)*('CASE MASTER'!$W$2:$W$495&gt;=1)*('CASE MASTER'!$V$2:$V$495&lt;=9)*('CASE MASTER'!$X$2:$X$495&gt;=9))*ROW('CASE MASTER'!$T$2:$T$495))-(ROW('CASE MASTER'!#REF!)-1))),":",","),",",REPT(" ",50)),((((1-INDEX('CASE MASTER'!$U$2:$U$495,(SUMPRODUCT((('CASE MASTER'!$T$2:$T$495=15)*('CASE MASTER'!$U$2:$U$495&lt;=1)*('CASE MASTER'!$W$2:$W$495&gt;=1)*('CASE MASTER'!$V$2:$V$495&lt;=9)*('CASE MASTER'!$X$2:$X$495&gt;=9))*ROW('CASE MASTER'!$T$2:$T$495))-(ROW('CASE MASTER'!#REF!)-1))))*(INDEX('CASE MASTER'!$X$2:$X$495,(SUMPRODUCT((('CASE MASTER'!$T$2:$T$495=15)*('CASE MASTER'!$U$2:$U$495&lt;=1)*('CASE MASTER'!$W$2:$W$495&gt;=1)*('CASE MASTER'!$V$2:$V$495&lt;=9)*('CASE MASTER'!$X$2:$X$495&gt;=9))*ROW('CASE MASTER'!$T$2:$T$495))-(ROW('CASE MASTER'!#REF!)-1)))-INDEX('CASE MASTER'!$V$2:$V$495,(SUMPRODUCT((('CASE MASTER'!$T$2:$T$495=15)*('CASE MASTER'!$U$2:$U$495&lt;=1)*('CASE MASTER'!$W$2:$W$495&gt;=1)*('CASE MASTER'!$V$2:$V$495&lt;=9)*('CASE MASTER'!$X$2:$X$495&gt;=9))*ROW('CASE MASTER'!$T$2:$T$495))-(ROW('CASE MASTER'!#REF!)-1)))+1)+(9-INDEX('CASE MASTER'!$V$2:$V$495,(SUMPRODUCT((('CASE MASTER'!$T$2:$T$495=15)*('CASE MASTER'!$U$2:$U$495&lt;=1)*('CASE MASTER'!$W$2:$W$495&gt;=1)*('CASE MASTER'!$V$2:$V$495&lt;=9)*('CASE MASTER'!$X$2:$X$495&gt;=9))*ROW('CASE MASTER'!$T$2:$T$495))-(ROW('CASE MASTER'!#REF!)-1))))+1))-1)*50+1,50))&amp;"_"&amp;INDEX('CASE MASTER'!$Q$2:$Q$495,(SUMPRODUCT((('CASE MASTER'!$T$2:$T$495=15)*('CASE MASTER'!$U$2:$U$495&lt;=1)*('CASE MASTER'!$W$2:$W$495&gt;=1)*('CASE MASTER'!$V$2:$V$495&lt;=9)*('CASE MASTER'!$X$2:$X$495&gt;=9))*ROW('CASE MASTER'!$T$2:$T$495))-(ROW('CASE MASTER'!#REF!)-1))),IF(SUMPRODUCT((('CASE MASTER'!$T$2:$T$495=15)*('CASE MASTER'!$AA$2:$AA$495&lt;=1)*('CASE MASTER'!$AC$2:$AC$495&gt;=1)*('CASE MASTER'!$AB$2:$AB$495&lt;=9)*('CASE MASTER'!$AD$2:$AD$495&gt;=9))*ROW('CASE MASTER'!$T$2:$T$495))&gt;0,INDEX('CASE MASTER'!$Y$2:$Y$495,(SUMPRODUCT((('CASE MASTER'!$T$2:$T$495=15)*('CASE MASTER'!$AA$2:$AA$495&lt;=1)*('CASE MASTER'!$AC$2:$AC$495&gt;=1)*('CASE MASTER'!$AB$2:$AB$495&lt;=9)*('CASE MASTER'!$AD$2:$AD$495&gt;=9))*ROW('CASE MASTER'!$T$2:$T$495))-(ROW('CASE MASTER'!#REF!)-1)))&amp;TRIM(MID(SUBSTITUTE(SUBSTITUTE(INDEX('CASE MASTER'!$N$2:$N$495,(SUMPRODUCT((('CASE MASTER'!$T$2:$T$495=15)*('CASE MASTER'!$AA$2:$AA$495&lt;=1)*('CASE MASTER'!$AC$2:$AC$495&gt;=1)*('CASE MASTER'!$AB$2:$AB$495&lt;=9)*('CASE MASTER'!$AD$2:$AD$495&gt;=9))*ROW('CASE MASTER'!$T$2:$T$495))-(ROW('CASE MASTER'!#REF!)-1))),":",","),",",REPT(" ",50)),(((INDEX('CASE MASTER'!$Z$2:$Z$495,(SUMPRODUCT((('CASE MASTER'!$T$2:$T$495=15)*('CASE MASTER'!$AA$2:$AA$495&lt;=1)*('CASE MASTER'!$AC$2:$AC$495&gt;=1)*('CASE MASTER'!$AB$2:$AB$495&lt;=9)*('CASE MASTER'!$AD$2:$AD$495&gt;=9))*ROW('CASE MASTER'!$T$2:$T$495))-(ROW('CASE MASTER'!#REF!)-1)))+((1-INDEX('CASE MASTER'!$AA$2:$AA$495,(SUMPRODUCT((('CASE MASTER'!$T$2:$T$495=15)*('CASE MASTER'!$AA$2:$AA$495&lt;=1)*('CASE MASTER'!$AC$2:$AC$495&gt;=1)*('CASE MASTER'!$AB$2:$AB$495&lt;=9)*('CASE MASTER'!$AD$2:$AD$495&gt;=9))*ROW('CASE MASTER'!$T$2:$T$495))-(ROW('CASE MASTER'!#REF!)-1))))*(INDEX('CASE MASTER'!$AD$2:$AD$495,(SUMPRODUCT((('CASE MASTER'!$T$2:$T$495=15)*('CASE MASTER'!$AA$2:$AA$495&lt;=1)*('CASE MASTER'!$AC$2:$AC$495&gt;=1)*('CASE MASTER'!$AB$2:$AB$495&lt;=9)*('CASE MASTER'!$AD$2:$AD$495&gt;=9))*ROW('CASE MASTER'!$T$2:$T$495))-(ROW('CASE MASTER'!#REF!)-1)))-INDEX('CASE MASTER'!$AB$2:$AB$495,(SUMPRODUCT((('CASE MASTER'!$T$2:$T$495=15)*('CASE MASTER'!$AA$2:$AA$495&lt;=1)*('CASE MASTER'!$AC$2:$AC$495&gt;=1)*('CASE MASTER'!$AB$2:$AB$495&lt;=9)*('CASE MASTER'!$AD$2:$AD$495&gt;=9))*ROW('CASE MASTER'!$T$2:$T$495))-(ROW('CASE MASTER'!#REF!)-1)))+1)+(9-INDEX('CASE MASTER'!$AB$2:$AB$495,(SUMPRODUCT((('CASE MASTER'!$T$2:$T$495=15)*('CASE MASTER'!$AA$2:$AA$495&lt;=1)*('CASE MASTER'!$AC$2:$AC$495&gt;=1)*('CASE MASTER'!$AB$2:$AB$495&lt;=9)*('CASE MASTER'!$AD$2:$AD$495&gt;=9))*ROW('CASE MASTER'!$T$2:$T$495))-(ROW('CASE MASTER'!#REF!)-1))))+1)))-1)*50+1,50))&amp;"_"&amp;INDEX('CASE MASTER'!$Q$2:$Q$495,(SUMPRODUCT((('CASE MASTER'!$T$2:$T$495=15)*('CASE MASTER'!$AA$2:$AA$495&lt;=1)*('CASE MASTER'!$AC$2:$AC$495&gt;=1)*('CASE MASTER'!$AB$2:$AB$495&lt;=9)*('CASE MASTER'!$AD$2:$AD$495&gt;=9))*ROW('CASE MASTER'!$T$2:$T$495))-(ROW('CASE MASTER'!#REF!)-1))),"")),"")</f>
        <v/>
      </c>
      <c r="K199" s="10" t="str">
        <f>IFERROR(IF(SUMPRODUCT((('CASE MASTER'!$T$2:$T$495=15)*('CASE MASTER'!$U$2:$U$495&lt;=1)*('CASE MASTER'!$W$2:$W$495&gt;=1)*('CASE MASTER'!$V$2:$V$495&lt;=10)*('CASE MASTER'!$X$2:$X$495&gt;=10))*ROW('CASE MASTER'!$T$2:$T$495))&gt;0,INDEX('CASE MASTER'!$Y$2:$Y$495,(SUMPRODUCT((('CASE MASTER'!$T$2:$T$495=15)*('CASE MASTER'!$U$2:$U$495&lt;=1)*('CASE MASTER'!$W$2:$W$495&gt;=1)*('CASE MASTER'!$V$2:$V$495&lt;=10)*('CASE MASTER'!$X$2:$X$495&gt;=10))*ROW('CASE MASTER'!$T$2:$T$495))-(ROW('CASE MASTER'!#REF!)-1)))&amp;TRIM(MID(SUBSTITUTE(SUBSTITUTE(INDEX('CASE MASTER'!$N$2:$N$495,(SUMPRODUCT((('CASE MASTER'!$T$2:$T$495=15)*('CASE MASTER'!$U$2:$U$495&lt;=1)*('CASE MASTER'!$W$2:$W$495&gt;=1)*('CASE MASTER'!$V$2:$V$495&lt;=10)*('CASE MASTER'!$X$2:$X$495&gt;=10))*ROW('CASE MASTER'!$T$2:$T$495))-(ROW('CASE MASTER'!#REF!)-1))),":",","),",",REPT(" ",50)),((((1-INDEX('CASE MASTER'!$U$2:$U$495,(SUMPRODUCT((('CASE MASTER'!$T$2:$T$495=15)*('CASE MASTER'!$U$2:$U$495&lt;=1)*('CASE MASTER'!$W$2:$W$495&gt;=1)*('CASE MASTER'!$V$2:$V$495&lt;=10)*('CASE MASTER'!$X$2:$X$495&gt;=10))*ROW('CASE MASTER'!$T$2:$T$495))-(ROW('CASE MASTER'!#REF!)-1))))*(INDEX('CASE MASTER'!$X$2:$X$495,(SUMPRODUCT((('CASE MASTER'!$T$2:$T$495=15)*('CASE MASTER'!$U$2:$U$495&lt;=1)*('CASE MASTER'!$W$2:$W$495&gt;=1)*('CASE MASTER'!$V$2:$V$495&lt;=10)*('CASE MASTER'!$X$2:$X$495&gt;=10))*ROW('CASE MASTER'!$T$2:$T$495))-(ROW('CASE MASTER'!#REF!)-1)))-INDEX('CASE MASTER'!$V$2:$V$495,(SUMPRODUCT((('CASE MASTER'!$T$2:$T$495=15)*('CASE MASTER'!$U$2:$U$495&lt;=1)*('CASE MASTER'!$W$2:$W$495&gt;=1)*('CASE MASTER'!$V$2:$V$495&lt;=10)*('CASE MASTER'!$X$2:$X$495&gt;=10))*ROW('CASE MASTER'!$T$2:$T$495))-(ROW('CASE MASTER'!#REF!)-1)))+1)+(10-INDEX('CASE MASTER'!$V$2:$V$495,(SUMPRODUCT((('CASE MASTER'!$T$2:$T$495=15)*('CASE MASTER'!$U$2:$U$495&lt;=1)*('CASE MASTER'!$W$2:$W$495&gt;=1)*('CASE MASTER'!$V$2:$V$495&lt;=10)*('CASE MASTER'!$X$2:$X$495&gt;=10))*ROW('CASE MASTER'!$T$2:$T$495))-(ROW('CASE MASTER'!#REF!)-1))))+1))-1)*50+1,50))&amp;"_"&amp;INDEX('CASE MASTER'!$Q$2:$Q$495,(SUMPRODUCT((('CASE MASTER'!$T$2:$T$495=15)*('CASE MASTER'!$U$2:$U$495&lt;=1)*('CASE MASTER'!$W$2:$W$495&gt;=1)*('CASE MASTER'!$V$2:$V$495&lt;=10)*('CASE MASTER'!$X$2:$X$495&gt;=10))*ROW('CASE MASTER'!$T$2:$T$495))-(ROW('CASE MASTER'!#REF!)-1))),IF(SUMPRODUCT((('CASE MASTER'!$T$2:$T$495=15)*('CASE MASTER'!$AA$2:$AA$495&lt;=1)*('CASE MASTER'!$AC$2:$AC$495&gt;=1)*('CASE MASTER'!$AB$2:$AB$495&lt;=10)*('CASE MASTER'!$AD$2:$AD$495&gt;=10))*ROW('CASE MASTER'!$T$2:$T$495))&gt;0,INDEX('CASE MASTER'!$Y$2:$Y$495,(SUMPRODUCT((('CASE MASTER'!$T$2:$T$495=15)*('CASE MASTER'!$AA$2:$AA$495&lt;=1)*('CASE MASTER'!$AC$2:$AC$495&gt;=1)*('CASE MASTER'!$AB$2:$AB$495&lt;=10)*('CASE MASTER'!$AD$2:$AD$495&gt;=10))*ROW('CASE MASTER'!$T$2:$T$495))-(ROW('CASE MASTER'!#REF!)-1)))&amp;TRIM(MID(SUBSTITUTE(SUBSTITUTE(INDEX('CASE MASTER'!$N$2:$N$495,(SUMPRODUCT((('CASE MASTER'!$T$2:$T$495=15)*('CASE MASTER'!$AA$2:$AA$495&lt;=1)*('CASE MASTER'!$AC$2:$AC$495&gt;=1)*('CASE MASTER'!$AB$2:$AB$495&lt;=10)*('CASE MASTER'!$AD$2:$AD$495&gt;=10))*ROW('CASE MASTER'!$T$2:$T$495))-(ROW('CASE MASTER'!#REF!)-1))),":",","),",",REPT(" ",50)),(((INDEX('CASE MASTER'!$Z$2:$Z$495,(SUMPRODUCT((('CASE MASTER'!$T$2:$T$495=15)*('CASE MASTER'!$AA$2:$AA$495&lt;=1)*('CASE MASTER'!$AC$2:$AC$495&gt;=1)*('CASE MASTER'!$AB$2:$AB$495&lt;=10)*('CASE MASTER'!$AD$2:$AD$495&gt;=10))*ROW('CASE MASTER'!$T$2:$T$495))-(ROW('CASE MASTER'!#REF!)-1)))+((1-INDEX('CASE MASTER'!$AA$2:$AA$495,(SUMPRODUCT((('CASE MASTER'!$T$2:$T$495=15)*('CASE MASTER'!$AA$2:$AA$495&lt;=1)*('CASE MASTER'!$AC$2:$AC$495&gt;=1)*('CASE MASTER'!$AB$2:$AB$495&lt;=10)*('CASE MASTER'!$AD$2:$AD$495&gt;=10))*ROW('CASE MASTER'!$T$2:$T$495))-(ROW('CASE MASTER'!#REF!)-1))))*(INDEX('CASE MASTER'!$AD$2:$AD$495,(SUMPRODUCT((('CASE MASTER'!$T$2:$T$495=15)*('CASE MASTER'!$AA$2:$AA$495&lt;=1)*('CASE MASTER'!$AC$2:$AC$495&gt;=1)*('CASE MASTER'!$AB$2:$AB$495&lt;=10)*('CASE MASTER'!$AD$2:$AD$495&gt;=10))*ROW('CASE MASTER'!$T$2:$T$495))-(ROW('CASE MASTER'!#REF!)-1)))-INDEX('CASE MASTER'!$AB$2:$AB$495,(SUMPRODUCT((('CASE MASTER'!$T$2:$T$495=15)*('CASE MASTER'!$AA$2:$AA$495&lt;=1)*('CASE MASTER'!$AC$2:$AC$495&gt;=1)*('CASE MASTER'!$AB$2:$AB$495&lt;=10)*('CASE MASTER'!$AD$2:$AD$495&gt;=10))*ROW('CASE MASTER'!$T$2:$T$495))-(ROW('CASE MASTER'!#REF!)-1)))+1)+(10-INDEX('CASE MASTER'!$AB$2:$AB$495,(SUMPRODUCT((('CASE MASTER'!$T$2:$T$495=15)*('CASE MASTER'!$AA$2:$AA$495&lt;=1)*('CASE MASTER'!$AC$2:$AC$495&gt;=1)*('CASE MASTER'!$AB$2:$AB$495&lt;=10)*('CASE MASTER'!$AD$2:$AD$495&gt;=10))*ROW('CASE MASTER'!$T$2:$T$495))-(ROW('CASE MASTER'!#REF!)-1))))+1)))-1)*50+1,50))&amp;"_"&amp;INDEX('CASE MASTER'!$Q$2:$Q$495,(SUMPRODUCT((('CASE MASTER'!$T$2:$T$495=15)*('CASE MASTER'!$AA$2:$AA$495&lt;=1)*('CASE MASTER'!$AC$2:$AC$495&gt;=1)*('CASE MASTER'!$AB$2:$AB$495&lt;=10)*('CASE MASTER'!$AD$2:$AD$495&gt;=10))*ROW('CASE MASTER'!$T$2:$T$495))-(ROW('CASE MASTER'!#REF!)-1))),"")),"")</f>
        <v/>
      </c>
    </row>
    <row r="200" spans="1:11" ht="15" customHeight="1" x14ac:dyDescent="0.35">
      <c r="A200" s="8" t="s">
        <v>29</v>
      </c>
      <c r="B200" s="10" t="str">
        <f>IFERROR(IF(SUMPRODUCT((('CASE MASTER'!$T$2:$T$495=15)*('CASE MASTER'!$U$2:$U$495&lt;=2)*('CASE MASTER'!$W$2:$W$495&gt;=2)*('CASE MASTER'!$V$2:$V$495&lt;=1)*('CASE MASTER'!$X$2:$X$495&gt;=1))*ROW('CASE MASTER'!$T$2:$T$495))&gt;0,INDEX('CASE MASTER'!$Y$2:$Y$495,(SUMPRODUCT((('CASE MASTER'!$T$2:$T$495=15)*('CASE MASTER'!$U$2:$U$495&lt;=2)*('CASE MASTER'!$W$2:$W$495&gt;=2)*('CASE MASTER'!$V$2:$V$495&lt;=1)*('CASE MASTER'!$X$2:$X$495&gt;=1))*ROW('CASE MASTER'!$T$2:$T$495))-(ROW('CASE MASTER'!#REF!)-1)))&amp;TRIM(MID(SUBSTITUTE(SUBSTITUTE(INDEX('CASE MASTER'!$N$2:$N$495,(SUMPRODUCT((('CASE MASTER'!$T$2:$T$495=15)*('CASE MASTER'!$U$2:$U$495&lt;=2)*('CASE MASTER'!$W$2:$W$495&gt;=2)*('CASE MASTER'!$V$2:$V$495&lt;=1)*('CASE MASTER'!$X$2:$X$495&gt;=1))*ROW('CASE MASTER'!$T$2:$T$495))-(ROW('CASE MASTER'!#REF!)-1))),":",","),",",REPT(" ",50)),((((2-INDEX('CASE MASTER'!$U$2:$U$495,(SUMPRODUCT((('CASE MASTER'!$T$2:$T$495=15)*('CASE MASTER'!$U$2:$U$495&lt;=2)*('CASE MASTER'!$W$2:$W$495&gt;=2)*('CASE MASTER'!$V$2:$V$495&lt;=1)*('CASE MASTER'!$X$2:$X$495&gt;=1))*ROW('CASE MASTER'!$T$2:$T$495))-(ROW('CASE MASTER'!#REF!)-1))))*(INDEX('CASE MASTER'!$X$2:$X$495,(SUMPRODUCT((('CASE MASTER'!$T$2:$T$495=15)*('CASE MASTER'!$U$2:$U$495&lt;=2)*('CASE MASTER'!$W$2:$W$495&gt;=2)*('CASE MASTER'!$V$2:$V$495&lt;=1)*('CASE MASTER'!$X$2:$X$495&gt;=1))*ROW('CASE MASTER'!$T$2:$T$495))-(ROW('CASE MASTER'!#REF!)-1)))-INDEX('CASE MASTER'!$V$2:$V$495,(SUMPRODUCT((('CASE MASTER'!$T$2:$T$495=15)*('CASE MASTER'!$U$2:$U$495&lt;=2)*('CASE MASTER'!$W$2:$W$495&gt;=2)*('CASE MASTER'!$V$2:$V$495&lt;=1)*('CASE MASTER'!$X$2:$X$495&gt;=1))*ROW('CASE MASTER'!$T$2:$T$495))-(ROW('CASE MASTER'!#REF!)-1)))+1)+(1-INDEX('CASE MASTER'!$V$2:$V$495,(SUMPRODUCT((('CASE MASTER'!$T$2:$T$495=15)*('CASE MASTER'!$U$2:$U$495&lt;=2)*('CASE MASTER'!$W$2:$W$495&gt;=2)*('CASE MASTER'!$V$2:$V$495&lt;=1)*('CASE MASTER'!$X$2:$X$495&gt;=1))*ROW('CASE MASTER'!$T$2:$T$495))-(ROW('CASE MASTER'!#REF!)-1))))+1))-1)*50+1,50))&amp;"_"&amp;INDEX('CASE MASTER'!$Q$2:$Q$495,(SUMPRODUCT((('CASE MASTER'!$T$2:$T$495=15)*('CASE MASTER'!$U$2:$U$495&lt;=2)*('CASE MASTER'!$W$2:$W$495&gt;=2)*('CASE MASTER'!$V$2:$V$495&lt;=1)*('CASE MASTER'!$X$2:$X$495&gt;=1))*ROW('CASE MASTER'!$T$2:$T$495))-(ROW('CASE MASTER'!#REF!)-1))),IF(SUMPRODUCT((('CASE MASTER'!$T$2:$T$495=15)*('CASE MASTER'!$AA$2:$AA$495&lt;=2)*('CASE MASTER'!$AC$2:$AC$495&gt;=2)*('CASE MASTER'!$AB$2:$AB$495&lt;=1)*('CASE MASTER'!$AD$2:$AD$495&gt;=1))*ROW('CASE MASTER'!$T$2:$T$495))&gt;0,INDEX('CASE MASTER'!$Y$2:$Y$495,(SUMPRODUCT((('CASE MASTER'!$T$2:$T$495=15)*('CASE MASTER'!$AA$2:$AA$495&lt;=2)*('CASE MASTER'!$AC$2:$AC$495&gt;=2)*('CASE MASTER'!$AB$2:$AB$495&lt;=1)*('CASE MASTER'!$AD$2:$AD$495&gt;=1))*ROW('CASE MASTER'!$T$2:$T$495))-(ROW('CASE MASTER'!#REF!)-1)))&amp;TRIM(MID(SUBSTITUTE(SUBSTITUTE(INDEX('CASE MASTER'!$N$2:$N$495,(SUMPRODUCT((('CASE MASTER'!$T$2:$T$495=15)*('CASE MASTER'!$AA$2:$AA$495&lt;=2)*('CASE MASTER'!$AC$2:$AC$495&gt;=2)*('CASE MASTER'!$AB$2:$AB$495&lt;=1)*('CASE MASTER'!$AD$2:$AD$495&gt;=1))*ROW('CASE MASTER'!$T$2:$T$495))-(ROW('CASE MASTER'!#REF!)-1))),":",","),",",REPT(" ",50)),(((INDEX('CASE MASTER'!$Z$2:$Z$495,(SUMPRODUCT((('CASE MASTER'!$T$2:$T$495=15)*('CASE MASTER'!$AA$2:$AA$495&lt;=2)*('CASE MASTER'!$AC$2:$AC$495&gt;=2)*('CASE MASTER'!$AB$2:$AB$495&lt;=1)*('CASE MASTER'!$AD$2:$AD$495&gt;=1))*ROW('CASE MASTER'!$T$2:$T$495))-(ROW('CASE MASTER'!#REF!)-1)))+((2-INDEX('CASE MASTER'!$AA$2:$AA$495,(SUMPRODUCT((('CASE MASTER'!$T$2:$T$495=15)*('CASE MASTER'!$AA$2:$AA$495&lt;=2)*('CASE MASTER'!$AC$2:$AC$495&gt;=2)*('CASE MASTER'!$AB$2:$AB$495&lt;=1)*('CASE MASTER'!$AD$2:$AD$495&gt;=1))*ROW('CASE MASTER'!$T$2:$T$495))-(ROW('CASE MASTER'!#REF!)-1))))*(INDEX('CASE MASTER'!$AD$2:$AD$495,(SUMPRODUCT((('CASE MASTER'!$T$2:$T$495=15)*('CASE MASTER'!$AA$2:$AA$495&lt;=2)*('CASE MASTER'!$AC$2:$AC$495&gt;=2)*('CASE MASTER'!$AB$2:$AB$495&lt;=1)*('CASE MASTER'!$AD$2:$AD$495&gt;=1))*ROW('CASE MASTER'!$T$2:$T$495))-(ROW('CASE MASTER'!#REF!)-1)))-INDEX('CASE MASTER'!$AB$2:$AB$495,(SUMPRODUCT((('CASE MASTER'!$T$2:$T$495=15)*('CASE MASTER'!$AA$2:$AA$495&lt;=2)*('CASE MASTER'!$AC$2:$AC$495&gt;=2)*('CASE MASTER'!$AB$2:$AB$495&lt;=1)*('CASE MASTER'!$AD$2:$AD$495&gt;=1))*ROW('CASE MASTER'!$T$2:$T$495))-(ROW('CASE MASTER'!#REF!)-1)))+1)+(1-INDEX('CASE MASTER'!$AB$2:$AB$495,(SUMPRODUCT((('CASE MASTER'!$T$2:$T$495=15)*('CASE MASTER'!$AA$2:$AA$495&lt;=2)*('CASE MASTER'!$AC$2:$AC$495&gt;=2)*('CASE MASTER'!$AB$2:$AB$495&lt;=1)*('CASE MASTER'!$AD$2:$AD$495&gt;=1))*ROW('CASE MASTER'!$T$2:$T$495))-(ROW('CASE MASTER'!#REF!)-1))))+1)))-1)*50+1,50))&amp;"_"&amp;INDEX('CASE MASTER'!$Q$2:$Q$495,(SUMPRODUCT((('CASE MASTER'!$T$2:$T$495=15)*('CASE MASTER'!$AA$2:$AA$495&lt;=2)*('CASE MASTER'!$AC$2:$AC$495&gt;=2)*('CASE MASTER'!$AB$2:$AB$495&lt;=1)*('CASE MASTER'!$AD$2:$AD$495&gt;=1))*ROW('CASE MASTER'!$T$2:$T$495))-(ROW('CASE MASTER'!#REF!)-1))),"")),"")</f>
        <v/>
      </c>
      <c r="C200" s="10" t="str">
        <f>IFERROR(IF(SUMPRODUCT((('CASE MASTER'!$T$2:$T$495=15)*('CASE MASTER'!$U$2:$U$495&lt;=2)*('CASE MASTER'!$W$2:$W$495&gt;=2)*('CASE MASTER'!$V$2:$V$495&lt;=2)*('CASE MASTER'!$X$2:$X$495&gt;=2))*ROW('CASE MASTER'!$T$2:$T$495))&gt;0,INDEX('CASE MASTER'!$Y$2:$Y$495,(SUMPRODUCT((('CASE MASTER'!$T$2:$T$495=15)*('CASE MASTER'!$U$2:$U$495&lt;=2)*('CASE MASTER'!$W$2:$W$495&gt;=2)*('CASE MASTER'!$V$2:$V$495&lt;=2)*('CASE MASTER'!$X$2:$X$495&gt;=2))*ROW('CASE MASTER'!$T$2:$T$495))-(ROW('CASE MASTER'!#REF!)-1)))&amp;TRIM(MID(SUBSTITUTE(SUBSTITUTE(INDEX('CASE MASTER'!$N$2:$N$495,(SUMPRODUCT((('CASE MASTER'!$T$2:$T$495=15)*('CASE MASTER'!$U$2:$U$495&lt;=2)*('CASE MASTER'!$W$2:$W$495&gt;=2)*('CASE MASTER'!$V$2:$V$495&lt;=2)*('CASE MASTER'!$X$2:$X$495&gt;=2))*ROW('CASE MASTER'!$T$2:$T$495))-(ROW('CASE MASTER'!#REF!)-1))),":",","),",",REPT(" ",50)),((((2-INDEX('CASE MASTER'!$U$2:$U$495,(SUMPRODUCT((('CASE MASTER'!$T$2:$T$495=15)*('CASE MASTER'!$U$2:$U$495&lt;=2)*('CASE MASTER'!$W$2:$W$495&gt;=2)*('CASE MASTER'!$V$2:$V$495&lt;=2)*('CASE MASTER'!$X$2:$X$495&gt;=2))*ROW('CASE MASTER'!$T$2:$T$495))-(ROW('CASE MASTER'!#REF!)-1))))*(INDEX('CASE MASTER'!$X$2:$X$495,(SUMPRODUCT((('CASE MASTER'!$T$2:$T$495=15)*('CASE MASTER'!$U$2:$U$495&lt;=2)*('CASE MASTER'!$W$2:$W$495&gt;=2)*('CASE MASTER'!$V$2:$V$495&lt;=2)*('CASE MASTER'!$X$2:$X$495&gt;=2))*ROW('CASE MASTER'!$T$2:$T$495))-(ROW('CASE MASTER'!#REF!)-1)))-INDEX('CASE MASTER'!$V$2:$V$495,(SUMPRODUCT((('CASE MASTER'!$T$2:$T$495=15)*('CASE MASTER'!$U$2:$U$495&lt;=2)*('CASE MASTER'!$W$2:$W$495&gt;=2)*('CASE MASTER'!$V$2:$V$495&lt;=2)*('CASE MASTER'!$X$2:$X$495&gt;=2))*ROW('CASE MASTER'!$T$2:$T$495))-(ROW('CASE MASTER'!#REF!)-1)))+1)+(2-INDEX('CASE MASTER'!$V$2:$V$495,(SUMPRODUCT((('CASE MASTER'!$T$2:$T$495=15)*('CASE MASTER'!$U$2:$U$495&lt;=2)*('CASE MASTER'!$W$2:$W$495&gt;=2)*('CASE MASTER'!$V$2:$V$495&lt;=2)*('CASE MASTER'!$X$2:$X$495&gt;=2))*ROW('CASE MASTER'!$T$2:$T$495))-(ROW('CASE MASTER'!#REF!)-1))))+1))-1)*50+1,50))&amp;"_"&amp;INDEX('CASE MASTER'!$Q$2:$Q$495,(SUMPRODUCT((('CASE MASTER'!$T$2:$T$495=15)*('CASE MASTER'!$U$2:$U$495&lt;=2)*('CASE MASTER'!$W$2:$W$495&gt;=2)*('CASE MASTER'!$V$2:$V$495&lt;=2)*('CASE MASTER'!$X$2:$X$495&gt;=2))*ROW('CASE MASTER'!$T$2:$T$495))-(ROW('CASE MASTER'!#REF!)-1))),IF(SUMPRODUCT((('CASE MASTER'!$T$2:$T$495=15)*('CASE MASTER'!$AA$2:$AA$495&lt;=2)*('CASE MASTER'!$AC$2:$AC$495&gt;=2)*('CASE MASTER'!$AB$2:$AB$495&lt;=2)*('CASE MASTER'!$AD$2:$AD$495&gt;=2))*ROW('CASE MASTER'!$T$2:$T$495))&gt;0,INDEX('CASE MASTER'!$Y$2:$Y$495,(SUMPRODUCT((('CASE MASTER'!$T$2:$T$495=15)*('CASE MASTER'!$AA$2:$AA$495&lt;=2)*('CASE MASTER'!$AC$2:$AC$495&gt;=2)*('CASE MASTER'!$AB$2:$AB$495&lt;=2)*('CASE MASTER'!$AD$2:$AD$495&gt;=2))*ROW('CASE MASTER'!$T$2:$T$495))-(ROW('CASE MASTER'!#REF!)-1)))&amp;TRIM(MID(SUBSTITUTE(SUBSTITUTE(INDEX('CASE MASTER'!$N$2:$N$495,(SUMPRODUCT((('CASE MASTER'!$T$2:$T$495=15)*('CASE MASTER'!$AA$2:$AA$495&lt;=2)*('CASE MASTER'!$AC$2:$AC$495&gt;=2)*('CASE MASTER'!$AB$2:$AB$495&lt;=2)*('CASE MASTER'!$AD$2:$AD$495&gt;=2))*ROW('CASE MASTER'!$T$2:$T$495))-(ROW('CASE MASTER'!#REF!)-1))),":",","),",",REPT(" ",50)),(((INDEX('CASE MASTER'!$Z$2:$Z$495,(SUMPRODUCT((('CASE MASTER'!$T$2:$T$495=15)*('CASE MASTER'!$AA$2:$AA$495&lt;=2)*('CASE MASTER'!$AC$2:$AC$495&gt;=2)*('CASE MASTER'!$AB$2:$AB$495&lt;=2)*('CASE MASTER'!$AD$2:$AD$495&gt;=2))*ROW('CASE MASTER'!$T$2:$T$495))-(ROW('CASE MASTER'!#REF!)-1)))+((2-INDEX('CASE MASTER'!$AA$2:$AA$495,(SUMPRODUCT((('CASE MASTER'!$T$2:$T$495=15)*('CASE MASTER'!$AA$2:$AA$495&lt;=2)*('CASE MASTER'!$AC$2:$AC$495&gt;=2)*('CASE MASTER'!$AB$2:$AB$495&lt;=2)*('CASE MASTER'!$AD$2:$AD$495&gt;=2))*ROW('CASE MASTER'!$T$2:$T$495))-(ROW('CASE MASTER'!#REF!)-1))))*(INDEX('CASE MASTER'!$AD$2:$AD$495,(SUMPRODUCT((('CASE MASTER'!$T$2:$T$495=15)*('CASE MASTER'!$AA$2:$AA$495&lt;=2)*('CASE MASTER'!$AC$2:$AC$495&gt;=2)*('CASE MASTER'!$AB$2:$AB$495&lt;=2)*('CASE MASTER'!$AD$2:$AD$495&gt;=2))*ROW('CASE MASTER'!$T$2:$T$495))-(ROW('CASE MASTER'!#REF!)-1)))-INDEX('CASE MASTER'!$AB$2:$AB$495,(SUMPRODUCT((('CASE MASTER'!$T$2:$T$495=15)*('CASE MASTER'!$AA$2:$AA$495&lt;=2)*('CASE MASTER'!$AC$2:$AC$495&gt;=2)*('CASE MASTER'!$AB$2:$AB$495&lt;=2)*('CASE MASTER'!$AD$2:$AD$495&gt;=2))*ROW('CASE MASTER'!$T$2:$T$495))-(ROW('CASE MASTER'!#REF!)-1)))+1)+(2-INDEX('CASE MASTER'!$AB$2:$AB$495,(SUMPRODUCT((('CASE MASTER'!$T$2:$T$495=15)*('CASE MASTER'!$AA$2:$AA$495&lt;=2)*('CASE MASTER'!$AC$2:$AC$495&gt;=2)*('CASE MASTER'!$AB$2:$AB$495&lt;=2)*('CASE MASTER'!$AD$2:$AD$495&gt;=2))*ROW('CASE MASTER'!$T$2:$T$495))-(ROW('CASE MASTER'!#REF!)-1))))+1)))-1)*50+1,50))&amp;"_"&amp;INDEX('CASE MASTER'!$Q$2:$Q$495,(SUMPRODUCT((('CASE MASTER'!$T$2:$T$495=15)*('CASE MASTER'!$AA$2:$AA$495&lt;=2)*('CASE MASTER'!$AC$2:$AC$495&gt;=2)*('CASE MASTER'!$AB$2:$AB$495&lt;=2)*('CASE MASTER'!$AD$2:$AD$495&gt;=2))*ROW('CASE MASTER'!$T$2:$T$495))-(ROW('CASE MASTER'!#REF!)-1))),"")),"")</f>
        <v/>
      </c>
      <c r="D200" s="10" t="str">
        <f>IFERROR(IF(SUMPRODUCT((('CASE MASTER'!$T$2:$T$495=15)*('CASE MASTER'!$U$2:$U$495&lt;=2)*('CASE MASTER'!$W$2:$W$495&gt;=2)*('CASE MASTER'!$V$2:$V$495&lt;=3)*('CASE MASTER'!$X$2:$X$495&gt;=3))*ROW('CASE MASTER'!$T$2:$T$495))&gt;0,INDEX('CASE MASTER'!$Y$2:$Y$495,(SUMPRODUCT((('CASE MASTER'!$T$2:$T$495=15)*('CASE MASTER'!$U$2:$U$495&lt;=2)*('CASE MASTER'!$W$2:$W$495&gt;=2)*('CASE MASTER'!$V$2:$V$495&lt;=3)*('CASE MASTER'!$X$2:$X$495&gt;=3))*ROW('CASE MASTER'!$T$2:$T$495))-(ROW('CASE MASTER'!#REF!)-1)))&amp;TRIM(MID(SUBSTITUTE(SUBSTITUTE(INDEX('CASE MASTER'!$N$2:$N$495,(SUMPRODUCT((('CASE MASTER'!$T$2:$T$495=15)*('CASE MASTER'!$U$2:$U$495&lt;=2)*('CASE MASTER'!$W$2:$W$495&gt;=2)*('CASE MASTER'!$V$2:$V$495&lt;=3)*('CASE MASTER'!$X$2:$X$495&gt;=3))*ROW('CASE MASTER'!$T$2:$T$495))-(ROW('CASE MASTER'!#REF!)-1))),":",","),",",REPT(" ",50)),((((2-INDEX('CASE MASTER'!$U$2:$U$495,(SUMPRODUCT((('CASE MASTER'!$T$2:$T$495=15)*('CASE MASTER'!$U$2:$U$495&lt;=2)*('CASE MASTER'!$W$2:$W$495&gt;=2)*('CASE MASTER'!$V$2:$V$495&lt;=3)*('CASE MASTER'!$X$2:$X$495&gt;=3))*ROW('CASE MASTER'!$T$2:$T$495))-(ROW('CASE MASTER'!#REF!)-1))))*(INDEX('CASE MASTER'!$X$2:$X$495,(SUMPRODUCT((('CASE MASTER'!$T$2:$T$495=15)*('CASE MASTER'!$U$2:$U$495&lt;=2)*('CASE MASTER'!$W$2:$W$495&gt;=2)*('CASE MASTER'!$V$2:$V$495&lt;=3)*('CASE MASTER'!$X$2:$X$495&gt;=3))*ROW('CASE MASTER'!$T$2:$T$495))-(ROW('CASE MASTER'!#REF!)-1)))-INDEX('CASE MASTER'!$V$2:$V$495,(SUMPRODUCT((('CASE MASTER'!$T$2:$T$495=15)*('CASE MASTER'!$U$2:$U$495&lt;=2)*('CASE MASTER'!$W$2:$W$495&gt;=2)*('CASE MASTER'!$V$2:$V$495&lt;=3)*('CASE MASTER'!$X$2:$X$495&gt;=3))*ROW('CASE MASTER'!$T$2:$T$495))-(ROW('CASE MASTER'!#REF!)-1)))+1)+(3-INDEX('CASE MASTER'!$V$2:$V$495,(SUMPRODUCT((('CASE MASTER'!$T$2:$T$495=15)*('CASE MASTER'!$U$2:$U$495&lt;=2)*('CASE MASTER'!$W$2:$W$495&gt;=2)*('CASE MASTER'!$V$2:$V$495&lt;=3)*('CASE MASTER'!$X$2:$X$495&gt;=3))*ROW('CASE MASTER'!$T$2:$T$495))-(ROW('CASE MASTER'!#REF!)-1))))+1))-1)*50+1,50))&amp;"_"&amp;INDEX('CASE MASTER'!$Q$2:$Q$495,(SUMPRODUCT((('CASE MASTER'!$T$2:$T$495=15)*('CASE MASTER'!$U$2:$U$495&lt;=2)*('CASE MASTER'!$W$2:$W$495&gt;=2)*('CASE MASTER'!$V$2:$V$495&lt;=3)*('CASE MASTER'!$X$2:$X$495&gt;=3))*ROW('CASE MASTER'!$T$2:$T$495))-(ROW('CASE MASTER'!#REF!)-1))),IF(SUMPRODUCT((('CASE MASTER'!$T$2:$T$495=15)*('CASE MASTER'!$AA$2:$AA$495&lt;=2)*('CASE MASTER'!$AC$2:$AC$495&gt;=2)*('CASE MASTER'!$AB$2:$AB$495&lt;=3)*('CASE MASTER'!$AD$2:$AD$495&gt;=3))*ROW('CASE MASTER'!$T$2:$T$495))&gt;0,INDEX('CASE MASTER'!$Y$2:$Y$495,(SUMPRODUCT((('CASE MASTER'!$T$2:$T$495=15)*('CASE MASTER'!$AA$2:$AA$495&lt;=2)*('CASE MASTER'!$AC$2:$AC$495&gt;=2)*('CASE MASTER'!$AB$2:$AB$495&lt;=3)*('CASE MASTER'!$AD$2:$AD$495&gt;=3))*ROW('CASE MASTER'!$T$2:$T$495))-(ROW('CASE MASTER'!#REF!)-1)))&amp;TRIM(MID(SUBSTITUTE(SUBSTITUTE(INDEX('CASE MASTER'!$N$2:$N$495,(SUMPRODUCT((('CASE MASTER'!$T$2:$T$495=15)*('CASE MASTER'!$AA$2:$AA$495&lt;=2)*('CASE MASTER'!$AC$2:$AC$495&gt;=2)*('CASE MASTER'!$AB$2:$AB$495&lt;=3)*('CASE MASTER'!$AD$2:$AD$495&gt;=3))*ROW('CASE MASTER'!$T$2:$T$495))-(ROW('CASE MASTER'!#REF!)-1))),":",","),",",REPT(" ",50)),(((INDEX('CASE MASTER'!$Z$2:$Z$495,(SUMPRODUCT((('CASE MASTER'!$T$2:$T$495=15)*('CASE MASTER'!$AA$2:$AA$495&lt;=2)*('CASE MASTER'!$AC$2:$AC$495&gt;=2)*('CASE MASTER'!$AB$2:$AB$495&lt;=3)*('CASE MASTER'!$AD$2:$AD$495&gt;=3))*ROW('CASE MASTER'!$T$2:$T$495))-(ROW('CASE MASTER'!#REF!)-1)))+((2-INDEX('CASE MASTER'!$AA$2:$AA$495,(SUMPRODUCT((('CASE MASTER'!$T$2:$T$495=15)*('CASE MASTER'!$AA$2:$AA$495&lt;=2)*('CASE MASTER'!$AC$2:$AC$495&gt;=2)*('CASE MASTER'!$AB$2:$AB$495&lt;=3)*('CASE MASTER'!$AD$2:$AD$495&gt;=3))*ROW('CASE MASTER'!$T$2:$T$495))-(ROW('CASE MASTER'!#REF!)-1))))*(INDEX('CASE MASTER'!$AD$2:$AD$495,(SUMPRODUCT((('CASE MASTER'!$T$2:$T$495=15)*('CASE MASTER'!$AA$2:$AA$495&lt;=2)*('CASE MASTER'!$AC$2:$AC$495&gt;=2)*('CASE MASTER'!$AB$2:$AB$495&lt;=3)*('CASE MASTER'!$AD$2:$AD$495&gt;=3))*ROW('CASE MASTER'!$T$2:$T$495))-(ROW('CASE MASTER'!#REF!)-1)))-INDEX('CASE MASTER'!$AB$2:$AB$495,(SUMPRODUCT((('CASE MASTER'!$T$2:$T$495=15)*('CASE MASTER'!$AA$2:$AA$495&lt;=2)*('CASE MASTER'!$AC$2:$AC$495&gt;=2)*('CASE MASTER'!$AB$2:$AB$495&lt;=3)*('CASE MASTER'!$AD$2:$AD$495&gt;=3))*ROW('CASE MASTER'!$T$2:$T$495))-(ROW('CASE MASTER'!#REF!)-1)))+1)+(3-INDEX('CASE MASTER'!$AB$2:$AB$495,(SUMPRODUCT((('CASE MASTER'!$T$2:$T$495=15)*('CASE MASTER'!$AA$2:$AA$495&lt;=2)*('CASE MASTER'!$AC$2:$AC$495&gt;=2)*('CASE MASTER'!$AB$2:$AB$495&lt;=3)*('CASE MASTER'!$AD$2:$AD$495&gt;=3))*ROW('CASE MASTER'!$T$2:$T$495))-(ROW('CASE MASTER'!#REF!)-1))))+1)))-1)*50+1,50))&amp;"_"&amp;INDEX('CASE MASTER'!$Q$2:$Q$495,(SUMPRODUCT((('CASE MASTER'!$T$2:$T$495=15)*('CASE MASTER'!$AA$2:$AA$495&lt;=2)*('CASE MASTER'!$AC$2:$AC$495&gt;=2)*('CASE MASTER'!$AB$2:$AB$495&lt;=3)*('CASE MASTER'!$AD$2:$AD$495&gt;=3))*ROW('CASE MASTER'!$T$2:$T$495))-(ROW('CASE MASTER'!#REF!)-1))),"")),"")</f>
        <v/>
      </c>
      <c r="E200" s="10" t="str">
        <f>IFERROR(IF(SUMPRODUCT((('CASE MASTER'!$T$2:$T$495=15)*('CASE MASTER'!$U$2:$U$495&lt;=2)*('CASE MASTER'!$W$2:$W$495&gt;=2)*('CASE MASTER'!$V$2:$V$495&lt;=4)*('CASE MASTER'!$X$2:$X$495&gt;=4))*ROW('CASE MASTER'!$T$2:$T$495))&gt;0,INDEX('CASE MASTER'!$Y$2:$Y$495,(SUMPRODUCT((('CASE MASTER'!$T$2:$T$495=15)*('CASE MASTER'!$U$2:$U$495&lt;=2)*('CASE MASTER'!$W$2:$W$495&gt;=2)*('CASE MASTER'!$V$2:$V$495&lt;=4)*('CASE MASTER'!$X$2:$X$495&gt;=4))*ROW('CASE MASTER'!$T$2:$T$495))-(ROW('CASE MASTER'!#REF!)-1)))&amp;TRIM(MID(SUBSTITUTE(SUBSTITUTE(INDEX('CASE MASTER'!$N$2:$N$495,(SUMPRODUCT((('CASE MASTER'!$T$2:$T$495=15)*('CASE MASTER'!$U$2:$U$495&lt;=2)*('CASE MASTER'!$W$2:$W$495&gt;=2)*('CASE MASTER'!$V$2:$V$495&lt;=4)*('CASE MASTER'!$X$2:$X$495&gt;=4))*ROW('CASE MASTER'!$T$2:$T$495))-(ROW('CASE MASTER'!#REF!)-1))),":",","),",",REPT(" ",50)),((((2-INDEX('CASE MASTER'!$U$2:$U$495,(SUMPRODUCT((('CASE MASTER'!$T$2:$T$495=15)*('CASE MASTER'!$U$2:$U$495&lt;=2)*('CASE MASTER'!$W$2:$W$495&gt;=2)*('CASE MASTER'!$V$2:$V$495&lt;=4)*('CASE MASTER'!$X$2:$X$495&gt;=4))*ROW('CASE MASTER'!$T$2:$T$495))-(ROW('CASE MASTER'!#REF!)-1))))*(INDEX('CASE MASTER'!$X$2:$X$495,(SUMPRODUCT((('CASE MASTER'!$T$2:$T$495=15)*('CASE MASTER'!$U$2:$U$495&lt;=2)*('CASE MASTER'!$W$2:$W$495&gt;=2)*('CASE MASTER'!$V$2:$V$495&lt;=4)*('CASE MASTER'!$X$2:$X$495&gt;=4))*ROW('CASE MASTER'!$T$2:$T$495))-(ROW('CASE MASTER'!#REF!)-1)))-INDEX('CASE MASTER'!$V$2:$V$495,(SUMPRODUCT((('CASE MASTER'!$T$2:$T$495=15)*('CASE MASTER'!$U$2:$U$495&lt;=2)*('CASE MASTER'!$W$2:$W$495&gt;=2)*('CASE MASTER'!$V$2:$V$495&lt;=4)*('CASE MASTER'!$X$2:$X$495&gt;=4))*ROW('CASE MASTER'!$T$2:$T$495))-(ROW('CASE MASTER'!#REF!)-1)))+1)+(4-INDEX('CASE MASTER'!$V$2:$V$495,(SUMPRODUCT((('CASE MASTER'!$T$2:$T$495=15)*('CASE MASTER'!$U$2:$U$495&lt;=2)*('CASE MASTER'!$W$2:$W$495&gt;=2)*('CASE MASTER'!$V$2:$V$495&lt;=4)*('CASE MASTER'!$X$2:$X$495&gt;=4))*ROW('CASE MASTER'!$T$2:$T$495))-(ROW('CASE MASTER'!#REF!)-1))))+1))-1)*50+1,50))&amp;"_"&amp;INDEX('CASE MASTER'!$Q$2:$Q$495,(SUMPRODUCT((('CASE MASTER'!$T$2:$T$495=15)*('CASE MASTER'!$U$2:$U$495&lt;=2)*('CASE MASTER'!$W$2:$W$495&gt;=2)*('CASE MASTER'!$V$2:$V$495&lt;=4)*('CASE MASTER'!$X$2:$X$495&gt;=4))*ROW('CASE MASTER'!$T$2:$T$495))-(ROW('CASE MASTER'!#REF!)-1))),IF(SUMPRODUCT((('CASE MASTER'!$T$2:$T$495=15)*('CASE MASTER'!$AA$2:$AA$495&lt;=2)*('CASE MASTER'!$AC$2:$AC$495&gt;=2)*('CASE MASTER'!$AB$2:$AB$495&lt;=4)*('CASE MASTER'!$AD$2:$AD$495&gt;=4))*ROW('CASE MASTER'!$T$2:$T$495))&gt;0,INDEX('CASE MASTER'!$Y$2:$Y$495,(SUMPRODUCT((('CASE MASTER'!$T$2:$T$495=15)*('CASE MASTER'!$AA$2:$AA$495&lt;=2)*('CASE MASTER'!$AC$2:$AC$495&gt;=2)*('CASE MASTER'!$AB$2:$AB$495&lt;=4)*('CASE MASTER'!$AD$2:$AD$495&gt;=4))*ROW('CASE MASTER'!$T$2:$T$495))-(ROW('CASE MASTER'!#REF!)-1)))&amp;TRIM(MID(SUBSTITUTE(SUBSTITUTE(INDEX('CASE MASTER'!$N$2:$N$495,(SUMPRODUCT((('CASE MASTER'!$T$2:$T$495=15)*('CASE MASTER'!$AA$2:$AA$495&lt;=2)*('CASE MASTER'!$AC$2:$AC$495&gt;=2)*('CASE MASTER'!$AB$2:$AB$495&lt;=4)*('CASE MASTER'!$AD$2:$AD$495&gt;=4))*ROW('CASE MASTER'!$T$2:$T$495))-(ROW('CASE MASTER'!#REF!)-1))),":",","),",",REPT(" ",50)),(((INDEX('CASE MASTER'!$Z$2:$Z$495,(SUMPRODUCT((('CASE MASTER'!$T$2:$T$495=15)*('CASE MASTER'!$AA$2:$AA$495&lt;=2)*('CASE MASTER'!$AC$2:$AC$495&gt;=2)*('CASE MASTER'!$AB$2:$AB$495&lt;=4)*('CASE MASTER'!$AD$2:$AD$495&gt;=4))*ROW('CASE MASTER'!$T$2:$T$495))-(ROW('CASE MASTER'!#REF!)-1)))+((2-INDEX('CASE MASTER'!$AA$2:$AA$495,(SUMPRODUCT((('CASE MASTER'!$T$2:$T$495=15)*('CASE MASTER'!$AA$2:$AA$495&lt;=2)*('CASE MASTER'!$AC$2:$AC$495&gt;=2)*('CASE MASTER'!$AB$2:$AB$495&lt;=4)*('CASE MASTER'!$AD$2:$AD$495&gt;=4))*ROW('CASE MASTER'!$T$2:$T$495))-(ROW('CASE MASTER'!#REF!)-1))))*(INDEX('CASE MASTER'!$AD$2:$AD$495,(SUMPRODUCT((('CASE MASTER'!$T$2:$T$495=15)*('CASE MASTER'!$AA$2:$AA$495&lt;=2)*('CASE MASTER'!$AC$2:$AC$495&gt;=2)*('CASE MASTER'!$AB$2:$AB$495&lt;=4)*('CASE MASTER'!$AD$2:$AD$495&gt;=4))*ROW('CASE MASTER'!$T$2:$T$495))-(ROW('CASE MASTER'!#REF!)-1)))-INDEX('CASE MASTER'!$AB$2:$AB$495,(SUMPRODUCT((('CASE MASTER'!$T$2:$T$495=15)*('CASE MASTER'!$AA$2:$AA$495&lt;=2)*('CASE MASTER'!$AC$2:$AC$495&gt;=2)*('CASE MASTER'!$AB$2:$AB$495&lt;=4)*('CASE MASTER'!$AD$2:$AD$495&gt;=4))*ROW('CASE MASTER'!$T$2:$T$495))-(ROW('CASE MASTER'!#REF!)-1)))+1)+(4-INDEX('CASE MASTER'!$AB$2:$AB$495,(SUMPRODUCT((('CASE MASTER'!$T$2:$T$495=15)*('CASE MASTER'!$AA$2:$AA$495&lt;=2)*('CASE MASTER'!$AC$2:$AC$495&gt;=2)*('CASE MASTER'!$AB$2:$AB$495&lt;=4)*('CASE MASTER'!$AD$2:$AD$495&gt;=4))*ROW('CASE MASTER'!$T$2:$T$495))-(ROW('CASE MASTER'!#REF!)-1))))+1)))-1)*50+1,50))&amp;"_"&amp;INDEX('CASE MASTER'!$Q$2:$Q$495,(SUMPRODUCT((('CASE MASTER'!$T$2:$T$495=15)*('CASE MASTER'!$AA$2:$AA$495&lt;=2)*('CASE MASTER'!$AC$2:$AC$495&gt;=2)*('CASE MASTER'!$AB$2:$AB$495&lt;=4)*('CASE MASTER'!$AD$2:$AD$495&gt;=4))*ROW('CASE MASTER'!$T$2:$T$495))-(ROW('CASE MASTER'!#REF!)-1))),"")),"")</f>
        <v/>
      </c>
      <c r="F200" s="10" t="str">
        <f>IFERROR(IF(SUMPRODUCT((('CASE MASTER'!$T$2:$T$495=15)*('CASE MASTER'!$U$2:$U$495&lt;=2)*('CASE MASTER'!$W$2:$W$495&gt;=2)*('CASE MASTER'!$V$2:$V$495&lt;=5)*('CASE MASTER'!$X$2:$X$495&gt;=5))*ROW('CASE MASTER'!$T$2:$T$495))&gt;0,INDEX('CASE MASTER'!$Y$2:$Y$495,(SUMPRODUCT((('CASE MASTER'!$T$2:$T$495=15)*('CASE MASTER'!$U$2:$U$495&lt;=2)*('CASE MASTER'!$W$2:$W$495&gt;=2)*('CASE MASTER'!$V$2:$V$495&lt;=5)*('CASE MASTER'!$X$2:$X$495&gt;=5))*ROW('CASE MASTER'!$T$2:$T$495))-(ROW('CASE MASTER'!#REF!)-1)))&amp;TRIM(MID(SUBSTITUTE(SUBSTITUTE(INDEX('CASE MASTER'!$N$2:$N$495,(SUMPRODUCT((('CASE MASTER'!$T$2:$T$495=15)*('CASE MASTER'!$U$2:$U$495&lt;=2)*('CASE MASTER'!$W$2:$W$495&gt;=2)*('CASE MASTER'!$V$2:$V$495&lt;=5)*('CASE MASTER'!$X$2:$X$495&gt;=5))*ROW('CASE MASTER'!$T$2:$T$495))-(ROW('CASE MASTER'!#REF!)-1))),":",","),",",REPT(" ",50)),((((2-INDEX('CASE MASTER'!$U$2:$U$495,(SUMPRODUCT((('CASE MASTER'!$T$2:$T$495=15)*('CASE MASTER'!$U$2:$U$495&lt;=2)*('CASE MASTER'!$W$2:$W$495&gt;=2)*('CASE MASTER'!$V$2:$V$495&lt;=5)*('CASE MASTER'!$X$2:$X$495&gt;=5))*ROW('CASE MASTER'!$T$2:$T$495))-(ROW('CASE MASTER'!#REF!)-1))))*(INDEX('CASE MASTER'!$X$2:$X$495,(SUMPRODUCT((('CASE MASTER'!$T$2:$T$495=15)*('CASE MASTER'!$U$2:$U$495&lt;=2)*('CASE MASTER'!$W$2:$W$495&gt;=2)*('CASE MASTER'!$V$2:$V$495&lt;=5)*('CASE MASTER'!$X$2:$X$495&gt;=5))*ROW('CASE MASTER'!$T$2:$T$495))-(ROW('CASE MASTER'!#REF!)-1)))-INDEX('CASE MASTER'!$V$2:$V$495,(SUMPRODUCT((('CASE MASTER'!$T$2:$T$495=15)*('CASE MASTER'!$U$2:$U$495&lt;=2)*('CASE MASTER'!$W$2:$W$495&gt;=2)*('CASE MASTER'!$V$2:$V$495&lt;=5)*('CASE MASTER'!$X$2:$X$495&gt;=5))*ROW('CASE MASTER'!$T$2:$T$495))-(ROW('CASE MASTER'!#REF!)-1)))+1)+(5-INDEX('CASE MASTER'!$V$2:$V$495,(SUMPRODUCT((('CASE MASTER'!$T$2:$T$495=15)*('CASE MASTER'!$U$2:$U$495&lt;=2)*('CASE MASTER'!$W$2:$W$495&gt;=2)*('CASE MASTER'!$V$2:$V$495&lt;=5)*('CASE MASTER'!$X$2:$X$495&gt;=5))*ROW('CASE MASTER'!$T$2:$T$495))-(ROW('CASE MASTER'!#REF!)-1))))+1))-1)*50+1,50))&amp;"_"&amp;INDEX('CASE MASTER'!$Q$2:$Q$495,(SUMPRODUCT((('CASE MASTER'!$T$2:$T$495=15)*('CASE MASTER'!$U$2:$U$495&lt;=2)*('CASE MASTER'!$W$2:$W$495&gt;=2)*('CASE MASTER'!$V$2:$V$495&lt;=5)*('CASE MASTER'!$X$2:$X$495&gt;=5))*ROW('CASE MASTER'!$T$2:$T$495))-(ROW('CASE MASTER'!#REF!)-1))),IF(SUMPRODUCT((('CASE MASTER'!$T$2:$T$495=15)*('CASE MASTER'!$AA$2:$AA$495&lt;=2)*('CASE MASTER'!$AC$2:$AC$495&gt;=2)*('CASE MASTER'!$AB$2:$AB$495&lt;=5)*('CASE MASTER'!$AD$2:$AD$495&gt;=5))*ROW('CASE MASTER'!$T$2:$T$495))&gt;0,INDEX('CASE MASTER'!$Y$2:$Y$495,(SUMPRODUCT((('CASE MASTER'!$T$2:$T$495=15)*('CASE MASTER'!$AA$2:$AA$495&lt;=2)*('CASE MASTER'!$AC$2:$AC$495&gt;=2)*('CASE MASTER'!$AB$2:$AB$495&lt;=5)*('CASE MASTER'!$AD$2:$AD$495&gt;=5))*ROW('CASE MASTER'!$T$2:$T$495))-(ROW('CASE MASTER'!#REF!)-1)))&amp;TRIM(MID(SUBSTITUTE(SUBSTITUTE(INDEX('CASE MASTER'!$N$2:$N$495,(SUMPRODUCT((('CASE MASTER'!$T$2:$T$495=15)*('CASE MASTER'!$AA$2:$AA$495&lt;=2)*('CASE MASTER'!$AC$2:$AC$495&gt;=2)*('CASE MASTER'!$AB$2:$AB$495&lt;=5)*('CASE MASTER'!$AD$2:$AD$495&gt;=5))*ROW('CASE MASTER'!$T$2:$T$495))-(ROW('CASE MASTER'!#REF!)-1))),":",","),",",REPT(" ",50)),(((INDEX('CASE MASTER'!$Z$2:$Z$495,(SUMPRODUCT((('CASE MASTER'!$T$2:$T$495=15)*('CASE MASTER'!$AA$2:$AA$495&lt;=2)*('CASE MASTER'!$AC$2:$AC$495&gt;=2)*('CASE MASTER'!$AB$2:$AB$495&lt;=5)*('CASE MASTER'!$AD$2:$AD$495&gt;=5))*ROW('CASE MASTER'!$T$2:$T$495))-(ROW('CASE MASTER'!#REF!)-1)))+((2-INDEX('CASE MASTER'!$AA$2:$AA$495,(SUMPRODUCT((('CASE MASTER'!$T$2:$T$495=15)*('CASE MASTER'!$AA$2:$AA$495&lt;=2)*('CASE MASTER'!$AC$2:$AC$495&gt;=2)*('CASE MASTER'!$AB$2:$AB$495&lt;=5)*('CASE MASTER'!$AD$2:$AD$495&gt;=5))*ROW('CASE MASTER'!$T$2:$T$495))-(ROW('CASE MASTER'!#REF!)-1))))*(INDEX('CASE MASTER'!$AD$2:$AD$495,(SUMPRODUCT((('CASE MASTER'!$T$2:$T$495=15)*('CASE MASTER'!$AA$2:$AA$495&lt;=2)*('CASE MASTER'!$AC$2:$AC$495&gt;=2)*('CASE MASTER'!$AB$2:$AB$495&lt;=5)*('CASE MASTER'!$AD$2:$AD$495&gt;=5))*ROW('CASE MASTER'!$T$2:$T$495))-(ROW('CASE MASTER'!#REF!)-1)))-INDEX('CASE MASTER'!$AB$2:$AB$495,(SUMPRODUCT((('CASE MASTER'!$T$2:$T$495=15)*('CASE MASTER'!$AA$2:$AA$495&lt;=2)*('CASE MASTER'!$AC$2:$AC$495&gt;=2)*('CASE MASTER'!$AB$2:$AB$495&lt;=5)*('CASE MASTER'!$AD$2:$AD$495&gt;=5))*ROW('CASE MASTER'!$T$2:$T$495))-(ROW('CASE MASTER'!#REF!)-1)))+1)+(5-INDEX('CASE MASTER'!$AB$2:$AB$495,(SUMPRODUCT((('CASE MASTER'!$T$2:$T$495=15)*('CASE MASTER'!$AA$2:$AA$495&lt;=2)*('CASE MASTER'!$AC$2:$AC$495&gt;=2)*('CASE MASTER'!$AB$2:$AB$495&lt;=5)*('CASE MASTER'!$AD$2:$AD$495&gt;=5))*ROW('CASE MASTER'!$T$2:$T$495))-(ROW('CASE MASTER'!#REF!)-1))))+1)))-1)*50+1,50))&amp;"_"&amp;INDEX('CASE MASTER'!$Q$2:$Q$495,(SUMPRODUCT((('CASE MASTER'!$T$2:$T$495=15)*('CASE MASTER'!$AA$2:$AA$495&lt;=2)*('CASE MASTER'!$AC$2:$AC$495&gt;=2)*('CASE MASTER'!$AB$2:$AB$495&lt;=5)*('CASE MASTER'!$AD$2:$AD$495&gt;=5))*ROW('CASE MASTER'!$T$2:$T$495))-(ROW('CASE MASTER'!#REF!)-1))),"")),"")</f>
        <v/>
      </c>
      <c r="G200" s="10" t="str">
        <f>IFERROR(IF(SUMPRODUCT((('CASE MASTER'!$T$2:$T$495=15)*('CASE MASTER'!$U$2:$U$495&lt;=2)*('CASE MASTER'!$W$2:$W$495&gt;=2)*('CASE MASTER'!$V$2:$V$495&lt;=6)*('CASE MASTER'!$X$2:$X$495&gt;=6))*ROW('CASE MASTER'!$T$2:$T$495))&gt;0,INDEX('CASE MASTER'!$Y$2:$Y$495,(SUMPRODUCT((('CASE MASTER'!$T$2:$T$495=15)*('CASE MASTER'!$U$2:$U$495&lt;=2)*('CASE MASTER'!$W$2:$W$495&gt;=2)*('CASE MASTER'!$V$2:$V$495&lt;=6)*('CASE MASTER'!$X$2:$X$495&gt;=6))*ROW('CASE MASTER'!$T$2:$T$495))-(ROW('CASE MASTER'!#REF!)-1)))&amp;TRIM(MID(SUBSTITUTE(SUBSTITUTE(INDEX('CASE MASTER'!$N$2:$N$495,(SUMPRODUCT((('CASE MASTER'!$T$2:$T$495=15)*('CASE MASTER'!$U$2:$U$495&lt;=2)*('CASE MASTER'!$W$2:$W$495&gt;=2)*('CASE MASTER'!$V$2:$V$495&lt;=6)*('CASE MASTER'!$X$2:$X$495&gt;=6))*ROW('CASE MASTER'!$T$2:$T$495))-(ROW('CASE MASTER'!#REF!)-1))),":",","),",",REPT(" ",50)),((((2-INDEX('CASE MASTER'!$U$2:$U$495,(SUMPRODUCT((('CASE MASTER'!$T$2:$T$495=15)*('CASE MASTER'!$U$2:$U$495&lt;=2)*('CASE MASTER'!$W$2:$W$495&gt;=2)*('CASE MASTER'!$V$2:$V$495&lt;=6)*('CASE MASTER'!$X$2:$X$495&gt;=6))*ROW('CASE MASTER'!$T$2:$T$495))-(ROW('CASE MASTER'!#REF!)-1))))*(INDEX('CASE MASTER'!$X$2:$X$495,(SUMPRODUCT((('CASE MASTER'!$T$2:$T$495=15)*('CASE MASTER'!$U$2:$U$495&lt;=2)*('CASE MASTER'!$W$2:$W$495&gt;=2)*('CASE MASTER'!$V$2:$V$495&lt;=6)*('CASE MASTER'!$X$2:$X$495&gt;=6))*ROW('CASE MASTER'!$T$2:$T$495))-(ROW('CASE MASTER'!#REF!)-1)))-INDEX('CASE MASTER'!$V$2:$V$495,(SUMPRODUCT((('CASE MASTER'!$T$2:$T$495=15)*('CASE MASTER'!$U$2:$U$495&lt;=2)*('CASE MASTER'!$W$2:$W$495&gt;=2)*('CASE MASTER'!$V$2:$V$495&lt;=6)*('CASE MASTER'!$X$2:$X$495&gt;=6))*ROW('CASE MASTER'!$T$2:$T$495))-(ROW('CASE MASTER'!#REF!)-1)))+1)+(6-INDEX('CASE MASTER'!$V$2:$V$495,(SUMPRODUCT((('CASE MASTER'!$T$2:$T$495=15)*('CASE MASTER'!$U$2:$U$495&lt;=2)*('CASE MASTER'!$W$2:$W$495&gt;=2)*('CASE MASTER'!$V$2:$V$495&lt;=6)*('CASE MASTER'!$X$2:$X$495&gt;=6))*ROW('CASE MASTER'!$T$2:$T$495))-(ROW('CASE MASTER'!#REF!)-1))))+1))-1)*50+1,50))&amp;"_"&amp;INDEX('CASE MASTER'!$Q$2:$Q$495,(SUMPRODUCT((('CASE MASTER'!$T$2:$T$495=15)*('CASE MASTER'!$U$2:$U$495&lt;=2)*('CASE MASTER'!$W$2:$W$495&gt;=2)*('CASE MASTER'!$V$2:$V$495&lt;=6)*('CASE MASTER'!$X$2:$X$495&gt;=6))*ROW('CASE MASTER'!$T$2:$T$495))-(ROW('CASE MASTER'!#REF!)-1))),IF(SUMPRODUCT((('CASE MASTER'!$T$2:$T$495=15)*('CASE MASTER'!$AA$2:$AA$495&lt;=2)*('CASE MASTER'!$AC$2:$AC$495&gt;=2)*('CASE MASTER'!$AB$2:$AB$495&lt;=6)*('CASE MASTER'!$AD$2:$AD$495&gt;=6))*ROW('CASE MASTER'!$T$2:$T$495))&gt;0,INDEX('CASE MASTER'!$Y$2:$Y$495,(SUMPRODUCT((('CASE MASTER'!$T$2:$T$495=15)*('CASE MASTER'!$AA$2:$AA$495&lt;=2)*('CASE MASTER'!$AC$2:$AC$495&gt;=2)*('CASE MASTER'!$AB$2:$AB$495&lt;=6)*('CASE MASTER'!$AD$2:$AD$495&gt;=6))*ROW('CASE MASTER'!$T$2:$T$495))-(ROW('CASE MASTER'!#REF!)-1)))&amp;TRIM(MID(SUBSTITUTE(SUBSTITUTE(INDEX('CASE MASTER'!$N$2:$N$495,(SUMPRODUCT((('CASE MASTER'!$T$2:$T$495=15)*('CASE MASTER'!$AA$2:$AA$495&lt;=2)*('CASE MASTER'!$AC$2:$AC$495&gt;=2)*('CASE MASTER'!$AB$2:$AB$495&lt;=6)*('CASE MASTER'!$AD$2:$AD$495&gt;=6))*ROW('CASE MASTER'!$T$2:$T$495))-(ROW('CASE MASTER'!#REF!)-1))),":",","),",",REPT(" ",50)),(((INDEX('CASE MASTER'!$Z$2:$Z$495,(SUMPRODUCT((('CASE MASTER'!$T$2:$T$495=15)*('CASE MASTER'!$AA$2:$AA$495&lt;=2)*('CASE MASTER'!$AC$2:$AC$495&gt;=2)*('CASE MASTER'!$AB$2:$AB$495&lt;=6)*('CASE MASTER'!$AD$2:$AD$495&gt;=6))*ROW('CASE MASTER'!$T$2:$T$495))-(ROW('CASE MASTER'!#REF!)-1)))+((2-INDEX('CASE MASTER'!$AA$2:$AA$495,(SUMPRODUCT((('CASE MASTER'!$T$2:$T$495=15)*('CASE MASTER'!$AA$2:$AA$495&lt;=2)*('CASE MASTER'!$AC$2:$AC$495&gt;=2)*('CASE MASTER'!$AB$2:$AB$495&lt;=6)*('CASE MASTER'!$AD$2:$AD$495&gt;=6))*ROW('CASE MASTER'!$T$2:$T$495))-(ROW('CASE MASTER'!#REF!)-1))))*(INDEX('CASE MASTER'!$AD$2:$AD$495,(SUMPRODUCT((('CASE MASTER'!$T$2:$T$495=15)*('CASE MASTER'!$AA$2:$AA$495&lt;=2)*('CASE MASTER'!$AC$2:$AC$495&gt;=2)*('CASE MASTER'!$AB$2:$AB$495&lt;=6)*('CASE MASTER'!$AD$2:$AD$495&gt;=6))*ROW('CASE MASTER'!$T$2:$T$495))-(ROW('CASE MASTER'!#REF!)-1)))-INDEX('CASE MASTER'!$AB$2:$AB$495,(SUMPRODUCT((('CASE MASTER'!$T$2:$T$495=15)*('CASE MASTER'!$AA$2:$AA$495&lt;=2)*('CASE MASTER'!$AC$2:$AC$495&gt;=2)*('CASE MASTER'!$AB$2:$AB$495&lt;=6)*('CASE MASTER'!$AD$2:$AD$495&gt;=6))*ROW('CASE MASTER'!$T$2:$T$495))-(ROW('CASE MASTER'!#REF!)-1)))+1)+(6-INDEX('CASE MASTER'!$AB$2:$AB$495,(SUMPRODUCT((('CASE MASTER'!$T$2:$T$495=15)*('CASE MASTER'!$AA$2:$AA$495&lt;=2)*('CASE MASTER'!$AC$2:$AC$495&gt;=2)*('CASE MASTER'!$AB$2:$AB$495&lt;=6)*('CASE MASTER'!$AD$2:$AD$495&gt;=6))*ROW('CASE MASTER'!$T$2:$T$495))-(ROW('CASE MASTER'!#REF!)-1))))+1)))-1)*50+1,50))&amp;"_"&amp;INDEX('CASE MASTER'!$Q$2:$Q$495,(SUMPRODUCT((('CASE MASTER'!$T$2:$T$495=15)*('CASE MASTER'!$AA$2:$AA$495&lt;=2)*('CASE MASTER'!$AC$2:$AC$495&gt;=2)*('CASE MASTER'!$AB$2:$AB$495&lt;=6)*('CASE MASTER'!$AD$2:$AD$495&gt;=6))*ROW('CASE MASTER'!$T$2:$T$495))-(ROW('CASE MASTER'!#REF!)-1))),"")),"")</f>
        <v/>
      </c>
      <c r="H200" s="10" t="str">
        <f>IFERROR(IF(SUMPRODUCT((('CASE MASTER'!$T$2:$T$495=15)*('CASE MASTER'!$U$2:$U$495&lt;=2)*('CASE MASTER'!$W$2:$W$495&gt;=2)*('CASE MASTER'!$V$2:$V$495&lt;=7)*('CASE MASTER'!$X$2:$X$495&gt;=7))*ROW('CASE MASTER'!$T$2:$T$495))&gt;0,INDEX('CASE MASTER'!$Y$2:$Y$495,(SUMPRODUCT((('CASE MASTER'!$T$2:$T$495=15)*('CASE MASTER'!$U$2:$U$495&lt;=2)*('CASE MASTER'!$W$2:$W$495&gt;=2)*('CASE MASTER'!$V$2:$V$495&lt;=7)*('CASE MASTER'!$X$2:$X$495&gt;=7))*ROW('CASE MASTER'!$T$2:$T$495))-(ROW('CASE MASTER'!#REF!)-1)))&amp;TRIM(MID(SUBSTITUTE(SUBSTITUTE(INDEX('CASE MASTER'!$N$2:$N$495,(SUMPRODUCT((('CASE MASTER'!$T$2:$T$495=15)*('CASE MASTER'!$U$2:$U$495&lt;=2)*('CASE MASTER'!$W$2:$W$495&gt;=2)*('CASE MASTER'!$V$2:$V$495&lt;=7)*('CASE MASTER'!$X$2:$X$495&gt;=7))*ROW('CASE MASTER'!$T$2:$T$495))-(ROW('CASE MASTER'!#REF!)-1))),":",","),",",REPT(" ",50)),((((2-INDEX('CASE MASTER'!$U$2:$U$495,(SUMPRODUCT((('CASE MASTER'!$T$2:$T$495=15)*('CASE MASTER'!$U$2:$U$495&lt;=2)*('CASE MASTER'!$W$2:$W$495&gt;=2)*('CASE MASTER'!$V$2:$V$495&lt;=7)*('CASE MASTER'!$X$2:$X$495&gt;=7))*ROW('CASE MASTER'!$T$2:$T$495))-(ROW('CASE MASTER'!#REF!)-1))))*(INDEX('CASE MASTER'!$X$2:$X$495,(SUMPRODUCT((('CASE MASTER'!$T$2:$T$495=15)*('CASE MASTER'!$U$2:$U$495&lt;=2)*('CASE MASTER'!$W$2:$W$495&gt;=2)*('CASE MASTER'!$V$2:$V$495&lt;=7)*('CASE MASTER'!$X$2:$X$495&gt;=7))*ROW('CASE MASTER'!$T$2:$T$495))-(ROW('CASE MASTER'!#REF!)-1)))-INDEX('CASE MASTER'!$V$2:$V$495,(SUMPRODUCT((('CASE MASTER'!$T$2:$T$495=15)*('CASE MASTER'!$U$2:$U$495&lt;=2)*('CASE MASTER'!$W$2:$W$495&gt;=2)*('CASE MASTER'!$V$2:$V$495&lt;=7)*('CASE MASTER'!$X$2:$X$495&gt;=7))*ROW('CASE MASTER'!$T$2:$T$495))-(ROW('CASE MASTER'!#REF!)-1)))+1)+(7-INDEX('CASE MASTER'!$V$2:$V$495,(SUMPRODUCT((('CASE MASTER'!$T$2:$T$495=15)*('CASE MASTER'!$U$2:$U$495&lt;=2)*('CASE MASTER'!$W$2:$W$495&gt;=2)*('CASE MASTER'!$V$2:$V$495&lt;=7)*('CASE MASTER'!$X$2:$X$495&gt;=7))*ROW('CASE MASTER'!$T$2:$T$495))-(ROW('CASE MASTER'!#REF!)-1))))+1))-1)*50+1,50))&amp;"_"&amp;INDEX('CASE MASTER'!$Q$2:$Q$495,(SUMPRODUCT((('CASE MASTER'!$T$2:$T$495=15)*('CASE MASTER'!$U$2:$U$495&lt;=2)*('CASE MASTER'!$W$2:$W$495&gt;=2)*('CASE MASTER'!$V$2:$V$495&lt;=7)*('CASE MASTER'!$X$2:$X$495&gt;=7))*ROW('CASE MASTER'!$T$2:$T$495))-(ROW('CASE MASTER'!#REF!)-1))),IF(SUMPRODUCT((('CASE MASTER'!$T$2:$T$495=15)*('CASE MASTER'!$AA$2:$AA$495&lt;=2)*('CASE MASTER'!$AC$2:$AC$495&gt;=2)*('CASE MASTER'!$AB$2:$AB$495&lt;=7)*('CASE MASTER'!$AD$2:$AD$495&gt;=7))*ROW('CASE MASTER'!$T$2:$T$495))&gt;0,INDEX('CASE MASTER'!$Y$2:$Y$495,(SUMPRODUCT((('CASE MASTER'!$T$2:$T$495=15)*('CASE MASTER'!$AA$2:$AA$495&lt;=2)*('CASE MASTER'!$AC$2:$AC$495&gt;=2)*('CASE MASTER'!$AB$2:$AB$495&lt;=7)*('CASE MASTER'!$AD$2:$AD$495&gt;=7))*ROW('CASE MASTER'!$T$2:$T$495))-(ROW('CASE MASTER'!#REF!)-1)))&amp;TRIM(MID(SUBSTITUTE(SUBSTITUTE(INDEX('CASE MASTER'!$N$2:$N$495,(SUMPRODUCT((('CASE MASTER'!$T$2:$T$495=15)*('CASE MASTER'!$AA$2:$AA$495&lt;=2)*('CASE MASTER'!$AC$2:$AC$495&gt;=2)*('CASE MASTER'!$AB$2:$AB$495&lt;=7)*('CASE MASTER'!$AD$2:$AD$495&gt;=7))*ROW('CASE MASTER'!$T$2:$T$495))-(ROW('CASE MASTER'!#REF!)-1))),":",","),",",REPT(" ",50)),(((INDEX('CASE MASTER'!$Z$2:$Z$495,(SUMPRODUCT((('CASE MASTER'!$T$2:$T$495=15)*('CASE MASTER'!$AA$2:$AA$495&lt;=2)*('CASE MASTER'!$AC$2:$AC$495&gt;=2)*('CASE MASTER'!$AB$2:$AB$495&lt;=7)*('CASE MASTER'!$AD$2:$AD$495&gt;=7))*ROW('CASE MASTER'!$T$2:$T$495))-(ROW('CASE MASTER'!#REF!)-1)))+((2-INDEX('CASE MASTER'!$AA$2:$AA$495,(SUMPRODUCT((('CASE MASTER'!$T$2:$T$495=15)*('CASE MASTER'!$AA$2:$AA$495&lt;=2)*('CASE MASTER'!$AC$2:$AC$495&gt;=2)*('CASE MASTER'!$AB$2:$AB$495&lt;=7)*('CASE MASTER'!$AD$2:$AD$495&gt;=7))*ROW('CASE MASTER'!$T$2:$T$495))-(ROW('CASE MASTER'!#REF!)-1))))*(INDEX('CASE MASTER'!$AD$2:$AD$495,(SUMPRODUCT((('CASE MASTER'!$T$2:$T$495=15)*('CASE MASTER'!$AA$2:$AA$495&lt;=2)*('CASE MASTER'!$AC$2:$AC$495&gt;=2)*('CASE MASTER'!$AB$2:$AB$495&lt;=7)*('CASE MASTER'!$AD$2:$AD$495&gt;=7))*ROW('CASE MASTER'!$T$2:$T$495))-(ROW('CASE MASTER'!#REF!)-1)))-INDEX('CASE MASTER'!$AB$2:$AB$495,(SUMPRODUCT((('CASE MASTER'!$T$2:$T$495=15)*('CASE MASTER'!$AA$2:$AA$495&lt;=2)*('CASE MASTER'!$AC$2:$AC$495&gt;=2)*('CASE MASTER'!$AB$2:$AB$495&lt;=7)*('CASE MASTER'!$AD$2:$AD$495&gt;=7))*ROW('CASE MASTER'!$T$2:$T$495))-(ROW('CASE MASTER'!#REF!)-1)))+1)+(7-INDEX('CASE MASTER'!$AB$2:$AB$495,(SUMPRODUCT((('CASE MASTER'!$T$2:$T$495=15)*('CASE MASTER'!$AA$2:$AA$495&lt;=2)*('CASE MASTER'!$AC$2:$AC$495&gt;=2)*('CASE MASTER'!$AB$2:$AB$495&lt;=7)*('CASE MASTER'!$AD$2:$AD$495&gt;=7))*ROW('CASE MASTER'!$T$2:$T$495))-(ROW('CASE MASTER'!#REF!)-1))))+1)))-1)*50+1,50))&amp;"_"&amp;INDEX('CASE MASTER'!$Q$2:$Q$495,(SUMPRODUCT((('CASE MASTER'!$T$2:$T$495=15)*('CASE MASTER'!$AA$2:$AA$495&lt;=2)*('CASE MASTER'!$AC$2:$AC$495&gt;=2)*('CASE MASTER'!$AB$2:$AB$495&lt;=7)*('CASE MASTER'!$AD$2:$AD$495&gt;=7))*ROW('CASE MASTER'!$T$2:$T$495))-(ROW('CASE MASTER'!#REF!)-1))),"")),"")</f>
        <v/>
      </c>
      <c r="I200" s="10" t="str">
        <f>IFERROR(IF(SUMPRODUCT((('CASE MASTER'!$T$2:$T$495=15)*('CASE MASTER'!$U$2:$U$495&lt;=2)*('CASE MASTER'!$W$2:$W$495&gt;=2)*('CASE MASTER'!$V$2:$V$495&lt;=8)*('CASE MASTER'!$X$2:$X$495&gt;=8))*ROW('CASE MASTER'!$T$2:$T$495))&gt;0,INDEX('CASE MASTER'!$Y$2:$Y$495,(SUMPRODUCT((('CASE MASTER'!$T$2:$T$495=15)*('CASE MASTER'!$U$2:$U$495&lt;=2)*('CASE MASTER'!$W$2:$W$495&gt;=2)*('CASE MASTER'!$V$2:$V$495&lt;=8)*('CASE MASTER'!$X$2:$X$495&gt;=8))*ROW('CASE MASTER'!$T$2:$T$495))-(ROW('CASE MASTER'!#REF!)-1)))&amp;TRIM(MID(SUBSTITUTE(SUBSTITUTE(INDEX('CASE MASTER'!$N$2:$N$495,(SUMPRODUCT((('CASE MASTER'!$T$2:$T$495=15)*('CASE MASTER'!$U$2:$U$495&lt;=2)*('CASE MASTER'!$W$2:$W$495&gt;=2)*('CASE MASTER'!$V$2:$V$495&lt;=8)*('CASE MASTER'!$X$2:$X$495&gt;=8))*ROW('CASE MASTER'!$T$2:$T$495))-(ROW('CASE MASTER'!#REF!)-1))),":",","),",",REPT(" ",50)),((((2-INDEX('CASE MASTER'!$U$2:$U$495,(SUMPRODUCT((('CASE MASTER'!$T$2:$T$495=15)*('CASE MASTER'!$U$2:$U$495&lt;=2)*('CASE MASTER'!$W$2:$W$495&gt;=2)*('CASE MASTER'!$V$2:$V$495&lt;=8)*('CASE MASTER'!$X$2:$X$495&gt;=8))*ROW('CASE MASTER'!$T$2:$T$495))-(ROW('CASE MASTER'!#REF!)-1))))*(INDEX('CASE MASTER'!$X$2:$X$495,(SUMPRODUCT((('CASE MASTER'!$T$2:$T$495=15)*('CASE MASTER'!$U$2:$U$495&lt;=2)*('CASE MASTER'!$W$2:$W$495&gt;=2)*('CASE MASTER'!$V$2:$V$495&lt;=8)*('CASE MASTER'!$X$2:$X$495&gt;=8))*ROW('CASE MASTER'!$T$2:$T$495))-(ROW('CASE MASTER'!#REF!)-1)))-INDEX('CASE MASTER'!$V$2:$V$495,(SUMPRODUCT((('CASE MASTER'!$T$2:$T$495=15)*('CASE MASTER'!$U$2:$U$495&lt;=2)*('CASE MASTER'!$W$2:$W$495&gt;=2)*('CASE MASTER'!$V$2:$V$495&lt;=8)*('CASE MASTER'!$X$2:$X$495&gt;=8))*ROW('CASE MASTER'!$T$2:$T$495))-(ROW('CASE MASTER'!#REF!)-1)))+1)+(8-INDEX('CASE MASTER'!$V$2:$V$495,(SUMPRODUCT((('CASE MASTER'!$T$2:$T$495=15)*('CASE MASTER'!$U$2:$U$495&lt;=2)*('CASE MASTER'!$W$2:$W$495&gt;=2)*('CASE MASTER'!$V$2:$V$495&lt;=8)*('CASE MASTER'!$X$2:$X$495&gt;=8))*ROW('CASE MASTER'!$T$2:$T$495))-(ROW('CASE MASTER'!#REF!)-1))))+1))-1)*50+1,50))&amp;"_"&amp;INDEX('CASE MASTER'!$Q$2:$Q$495,(SUMPRODUCT((('CASE MASTER'!$T$2:$T$495=15)*('CASE MASTER'!$U$2:$U$495&lt;=2)*('CASE MASTER'!$W$2:$W$495&gt;=2)*('CASE MASTER'!$V$2:$V$495&lt;=8)*('CASE MASTER'!$X$2:$X$495&gt;=8))*ROW('CASE MASTER'!$T$2:$T$495))-(ROW('CASE MASTER'!#REF!)-1))),IF(SUMPRODUCT((('CASE MASTER'!$T$2:$T$495=15)*('CASE MASTER'!$AA$2:$AA$495&lt;=2)*('CASE MASTER'!$AC$2:$AC$495&gt;=2)*('CASE MASTER'!$AB$2:$AB$495&lt;=8)*('CASE MASTER'!$AD$2:$AD$495&gt;=8))*ROW('CASE MASTER'!$T$2:$T$495))&gt;0,INDEX('CASE MASTER'!$Y$2:$Y$495,(SUMPRODUCT((('CASE MASTER'!$T$2:$T$495=15)*('CASE MASTER'!$AA$2:$AA$495&lt;=2)*('CASE MASTER'!$AC$2:$AC$495&gt;=2)*('CASE MASTER'!$AB$2:$AB$495&lt;=8)*('CASE MASTER'!$AD$2:$AD$495&gt;=8))*ROW('CASE MASTER'!$T$2:$T$495))-(ROW('CASE MASTER'!#REF!)-1)))&amp;TRIM(MID(SUBSTITUTE(SUBSTITUTE(INDEX('CASE MASTER'!$N$2:$N$495,(SUMPRODUCT((('CASE MASTER'!$T$2:$T$495=15)*('CASE MASTER'!$AA$2:$AA$495&lt;=2)*('CASE MASTER'!$AC$2:$AC$495&gt;=2)*('CASE MASTER'!$AB$2:$AB$495&lt;=8)*('CASE MASTER'!$AD$2:$AD$495&gt;=8))*ROW('CASE MASTER'!$T$2:$T$495))-(ROW('CASE MASTER'!#REF!)-1))),":",","),",",REPT(" ",50)),(((INDEX('CASE MASTER'!$Z$2:$Z$495,(SUMPRODUCT((('CASE MASTER'!$T$2:$T$495=15)*('CASE MASTER'!$AA$2:$AA$495&lt;=2)*('CASE MASTER'!$AC$2:$AC$495&gt;=2)*('CASE MASTER'!$AB$2:$AB$495&lt;=8)*('CASE MASTER'!$AD$2:$AD$495&gt;=8))*ROW('CASE MASTER'!$T$2:$T$495))-(ROW('CASE MASTER'!#REF!)-1)))+((2-INDEX('CASE MASTER'!$AA$2:$AA$495,(SUMPRODUCT((('CASE MASTER'!$T$2:$T$495=15)*('CASE MASTER'!$AA$2:$AA$495&lt;=2)*('CASE MASTER'!$AC$2:$AC$495&gt;=2)*('CASE MASTER'!$AB$2:$AB$495&lt;=8)*('CASE MASTER'!$AD$2:$AD$495&gt;=8))*ROW('CASE MASTER'!$T$2:$T$495))-(ROW('CASE MASTER'!#REF!)-1))))*(INDEX('CASE MASTER'!$AD$2:$AD$495,(SUMPRODUCT((('CASE MASTER'!$T$2:$T$495=15)*('CASE MASTER'!$AA$2:$AA$495&lt;=2)*('CASE MASTER'!$AC$2:$AC$495&gt;=2)*('CASE MASTER'!$AB$2:$AB$495&lt;=8)*('CASE MASTER'!$AD$2:$AD$495&gt;=8))*ROW('CASE MASTER'!$T$2:$T$495))-(ROW('CASE MASTER'!#REF!)-1)))-INDEX('CASE MASTER'!$AB$2:$AB$495,(SUMPRODUCT((('CASE MASTER'!$T$2:$T$495=15)*('CASE MASTER'!$AA$2:$AA$495&lt;=2)*('CASE MASTER'!$AC$2:$AC$495&gt;=2)*('CASE MASTER'!$AB$2:$AB$495&lt;=8)*('CASE MASTER'!$AD$2:$AD$495&gt;=8))*ROW('CASE MASTER'!$T$2:$T$495))-(ROW('CASE MASTER'!#REF!)-1)))+1)+(8-INDEX('CASE MASTER'!$AB$2:$AB$495,(SUMPRODUCT((('CASE MASTER'!$T$2:$T$495=15)*('CASE MASTER'!$AA$2:$AA$495&lt;=2)*('CASE MASTER'!$AC$2:$AC$495&gt;=2)*('CASE MASTER'!$AB$2:$AB$495&lt;=8)*('CASE MASTER'!$AD$2:$AD$495&gt;=8))*ROW('CASE MASTER'!$T$2:$T$495))-(ROW('CASE MASTER'!#REF!)-1))))+1)))-1)*50+1,50))&amp;"_"&amp;INDEX('CASE MASTER'!$Q$2:$Q$495,(SUMPRODUCT((('CASE MASTER'!$T$2:$T$495=15)*('CASE MASTER'!$AA$2:$AA$495&lt;=2)*('CASE MASTER'!$AC$2:$AC$495&gt;=2)*('CASE MASTER'!$AB$2:$AB$495&lt;=8)*('CASE MASTER'!$AD$2:$AD$495&gt;=8))*ROW('CASE MASTER'!$T$2:$T$495))-(ROW('CASE MASTER'!#REF!)-1))),"")),"")</f>
        <v/>
      </c>
      <c r="J200" s="10" t="str">
        <f>IFERROR(IF(SUMPRODUCT((('CASE MASTER'!$T$2:$T$495=15)*('CASE MASTER'!$U$2:$U$495&lt;=2)*('CASE MASTER'!$W$2:$W$495&gt;=2)*('CASE MASTER'!$V$2:$V$495&lt;=9)*('CASE MASTER'!$X$2:$X$495&gt;=9))*ROW('CASE MASTER'!$T$2:$T$495))&gt;0,INDEX('CASE MASTER'!$Y$2:$Y$495,(SUMPRODUCT((('CASE MASTER'!$T$2:$T$495=15)*('CASE MASTER'!$U$2:$U$495&lt;=2)*('CASE MASTER'!$W$2:$W$495&gt;=2)*('CASE MASTER'!$V$2:$V$495&lt;=9)*('CASE MASTER'!$X$2:$X$495&gt;=9))*ROW('CASE MASTER'!$T$2:$T$495))-(ROW('CASE MASTER'!#REF!)-1)))&amp;TRIM(MID(SUBSTITUTE(SUBSTITUTE(INDEX('CASE MASTER'!$N$2:$N$495,(SUMPRODUCT((('CASE MASTER'!$T$2:$T$495=15)*('CASE MASTER'!$U$2:$U$495&lt;=2)*('CASE MASTER'!$W$2:$W$495&gt;=2)*('CASE MASTER'!$V$2:$V$495&lt;=9)*('CASE MASTER'!$X$2:$X$495&gt;=9))*ROW('CASE MASTER'!$T$2:$T$495))-(ROW('CASE MASTER'!#REF!)-1))),":",","),",",REPT(" ",50)),((((2-INDEX('CASE MASTER'!$U$2:$U$495,(SUMPRODUCT((('CASE MASTER'!$T$2:$T$495=15)*('CASE MASTER'!$U$2:$U$495&lt;=2)*('CASE MASTER'!$W$2:$W$495&gt;=2)*('CASE MASTER'!$V$2:$V$495&lt;=9)*('CASE MASTER'!$X$2:$X$495&gt;=9))*ROW('CASE MASTER'!$T$2:$T$495))-(ROW('CASE MASTER'!#REF!)-1))))*(INDEX('CASE MASTER'!$X$2:$X$495,(SUMPRODUCT((('CASE MASTER'!$T$2:$T$495=15)*('CASE MASTER'!$U$2:$U$495&lt;=2)*('CASE MASTER'!$W$2:$W$495&gt;=2)*('CASE MASTER'!$V$2:$V$495&lt;=9)*('CASE MASTER'!$X$2:$X$495&gt;=9))*ROW('CASE MASTER'!$T$2:$T$495))-(ROW('CASE MASTER'!#REF!)-1)))-INDEX('CASE MASTER'!$V$2:$V$495,(SUMPRODUCT((('CASE MASTER'!$T$2:$T$495=15)*('CASE MASTER'!$U$2:$U$495&lt;=2)*('CASE MASTER'!$W$2:$W$495&gt;=2)*('CASE MASTER'!$V$2:$V$495&lt;=9)*('CASE MASTER'!$X$2:$X$495&gt;=9))*ROW('CASE MASTER'!$T$2:$T$495))-(ROW('CASE MASTER'!#REF!)-1)))+1)+(9-INDEX('CASE MASTER'!$V$2:$V$495,(SUMPRODUCT((('CASE MASTER'!$T$2:$T$495=15)*('CASE MASTER'!$U$2:$U$495&lt;=2)*('CASE MASTER'!$W$2:$W$495&gt;=2)*('CASE MASTER'!$V$2:$V$495&lt;=9)*('CASE MASTER'!$X$2:$X$495&gt;=9))*ROW('CASE MASTER'!$T$2:$T$495))-(ROW('CASE MASTER'!#REF!)-1))))+1))-1)*50+1,50))&amp;"_"&amp;INDEX('CASE MASTER'!$Q$2:$Q$495,(SUMPRODUCT((('CASE MASTER'!$T$2:$T$495=15)*('CASE MASTER'!$U$2:$U$495&lt;=2)*('CASE MASTER'!$W$2:$W$495&gt;=2)*('CASE MASTER'!$V$2:$V$495&lt;=9)*('CASE MASTER'!$X$2:$X$495&gt;=9))*ROW('CASE MASTER'!$T$2:$T$495))-(ROW('CASE MASTER'!#REF!)-1))),IF(SUMPRODUCT((('CASE MASTER'!$T$2:$T$495=15)*('CASE MASTER'!$AA$2:$AA$495&lt;=2)*('CASE MASTER'!$AC$2:$AC$495&gt;=2)*('CASE MASTER'!$AB$2:$AB$495&lt;=9)*('CASE MASTER'!$AD$2:$AD$495&gt;=9))*ROW('CASE MASTER'!$T$2:$T$495))&gt;0,INDEX('CASE MASTER'!$Y$2:$Y$495,(SUMPRODUCT((('CASE MASTER'!$T$2:$T$495=15)*('CASE MASTER'!$AA$2:$AA$495&lt;=2)*('CASE MASTER'!$AC$2:$AC$495&gt;=2)*('CASE MASTER'!$AB$2:$AB$495&lt;=9)*('CASE MASTER'!$AD$2:$AD$495&gt;=9))*ROW('CASE MASTER'!$T$2:$T$495))-(ROW('CASE MASTER'!#REF!)-1)))&amp;TRIM(MID(SUBSTITUTE(SUBSTITUTE(INDEX('CASE MASTER'!$N$2:$N$495,(SUMPRODUCT((('CASE MASTER'!$T$2:$T$495=15)*('CASE MASTER'!$AA$2:$AA$495&lt;=2)*('CASE MASTER'!$AC$2:$AC$495&gt;=2)*('CASE MASTER'!$AB$2:$AB$495&lt;=9)*('CASE MASTER'!$AD$2:$AD$495&gt;=9))*ROW('CASE MASTER'!$T$2:$T$495))-(ROW('CASE MASTER'!#REF!)-1))),":",","),",",REPT(" ",50)),(((INDEX('CASE MASTER'!$Z$2:$Z$495,(SUMPRODUCT((('CASE MASTER'!$T$2:$T$495=15)*('CASE MASTER'!$AA$2:$AA$495&lt;=2)*('CASE MASTER'!$AC$2:$AC$495&gt;=2)*('CASE MASTER'!$AB$2:$AB$495&lt;=9)*('CASE MASTER'!$AD$2:$AD$495&gt;=9))*ROW('CASE MASTER'!$T$2:$T$495))-(ROW('CASE MASTER'!#REF!)-1)))+((2-INDEX('CASE MASTER'!$AA$2:$AA$495,(SUMPRODUCT((('CASE MASTER'!$T$2:$T$495=15)*('CASE MASTER'!$AA$2:$AA$495&lt;=2)*('CASE MASTER'!$AC$2:$AC$495&gt;=2)*('CASE MASTER'!$AB$2:$AB$495&lt;=9)*('CASE MASTER'!$AD$2:$AD$495&gt;=9))*ROW('CASE MASTER'!$T$2:$T$495))-(ROW('CASE MASTER'!#REF!)-1))))*(INDEX('CASE MASTER'!$AD$2:$AD$495,(SUMPRODUCT((('CASE MASTER'!$T$2:$T$495=15)*('CASE MASTER'!$AA$2:$AA$495&lt;=2)*('CASE MASTER'!$AC$2:$AC$495&gt;=2)*('CASE MASTER'!$AB$2:$AB$495&lt;=9)*('CASE MASTER'!$AD$2:$AD$495&gt;=9))*ROW('CASE MASTER'!$T$2:$T$495))-(ROW('CASE MASTER'!#REF!)-1)))-INDEX('CASE MASTER'!$AB$2:$AB$495,(SUMPRODUCT((('CASE MASTER'!$T$2:$T$495=15)*('CASE MASTER'!$AA$2:$AA$495&lt;=2)*('CASE MASTER'!$AC$2:$AC$495&gt;=2)*('CASE MASTER'!$AB$2:$AB$495&lt;=9)*('CASE MASTER'!$AD$2:$AD$495&gt;=9))*ROW('CASE MASTER'!$T$2:$T$495))-(ROW('CASE MASTER'!#REF!)-1)))+1)+(9-INDEX('CASE MASTER'!$AB$2:$AB$495,(SUMPRODUCT((('CASE MASTER'!$T$2:$T$495=15)*('CASE MASTER'!$AA$2:$AA$495&lt;=2)*('CASE MASTER'!$AC$2:$AC$495&gt;=2)*('CASE MASTER'!$AB$2:$AB$495&lt;=9)*('CASE MASTER'!$AD$2:$AD$495&gt;=9))*ROW('CASE MASTER'!$T$2:$T$495))-(ROW('CASE MASTER'!#REF!)-1))))+1)))-1)*50+1,50))&amp;"_"&amp;INDEX('CASE MASTER'!$Q$2:$Q$495,(SUMPRODUCT((('CASE MASTER'!$T$2:$T$495=15)*('CASE MASTER'!$AA$2:$AA$495&lt;=2)*('CASE MASTER'!$AC$2:$AC$495&gt;=2)*('CASE MASTER'!$AB$2:$AB$495&lt;=9)*('CASE MASTER'!$AD$2:$AD$495&gt;=9))*ROW('CASE MASTER'!$T$2:$T$495))-(ROW('CASE MASTER'!#REF!)-1))),"")),"")</f>
        <v/>
      </c>
      <c r="K200" s="10" t="str">
        <f>IFERROR(IF(SUMPRODUCT((('CASE MASTER'!$T$2:$T$495=15)*('CASE MASTER'!$U$2:$U$495&lt;=2)*('CASE MASTER'!$W$2:$W$495&gt;=2)*('CASE MASTER'!$V$2:$V$495&lt;=10)*('CASE MASTER'!$X$2:$X$495&gt;=10))*ROW('CASE MASTER'!$T$2:$T$495))&gt;0,INDEX('CASE MASTER'!$Y$2:$Y$495,(SUMPRODUCT((('CASE MASTER'!$T$2:$T$495=15)*('CASE MASTER'!$U$2:$U$495&lt;=2)*('CASE MASTER'!$W$2:$W$495&gt;=2)*('CASE MASTER'!$V$2:$V$495&lt;=10)*('CASE MASTER'!$X$2:$X$495&gt;=10))*ROW('CASE MASTER'!$T$2:$T$495))-(ROW('CASE MASTER'!#REF!)-1)))&amp;TRIM(MID(SUBSTITUTE(SUBSTITUTE(INDEX('CASE MASTER'!$N$2:$N$495,(SUMPRODUCT((('CASE MASTER'!$T$2:$T$495=15)*('CASE MASTER'!$U$2:$U$495&lt;=2)*('CASE MASTER'!$W$2:$W$495&gt;=2)*('CASE MASTER'!$V$2:$V$495&lt;=10)*('CASE MASTER'!$X$2:$X$495&gt;=10))*ROW('CASE MASTER'!$T$2:$T$495))-(ROW('CASE MASTER'!#REF!)-1))),":",","),",",REPT(" ",50)),((((2-INDEX('CASE MASTER'!$U$2:$U$495,(SUMPRODUCT((('CASE MASTER'!$T$2:$T$495=15)*('CASE MASTER'!$U$2:$U$495&lt;=2)*('CASE MASTER'!$W$2:$W$495&gt;=2)*('CASE MASTER'!$V$2:$V$495&lt;=10)*('CASE MASTER'!$X$2:$X$495&gt;=10))*ROW('CASE MASTER'!$T$2:$T$495))-(ROW('CASE MASTER'!#REF!)-1))))*(INDEX('CASE MASTER'!$X$2:$X$495,(SUMPRODUCT((('CASE MASTER'!$T$2:$T$495=15)*('CASE MASTER'!$U$2:$U$495&lt;=2)*('CASE MASTER'!$W$2:$W$495&gt;=2)*('CASE MASTER'!$V$2:$V$495&lt;=10)*('CASE MASTER'!$X$2:$X$495&gt;=10))*ROW('CASE MASTER'!$T$2:$T$495))-(ROW('CASE MASTER'!#REF!)-1)))-INDEX('CASE MASTER'!$V$2:$V$495,(SUMPRODUCT((('CASE MASTER'!$T$2:$T$495=15)*('CASE MASTER'!$U$2:$U$495&lt;=2)*('CASE MASTER'!$W$2:$W$495&gt;=2)*('CASE MASTER'!$V$2:$V$495&lt;=10)*('CASE MASTER'!$X$2:$X$495&gt;=10))*ROW('CASE MASTER'!$T$2:$T$495))-(ROW('CASE MASTER'!#REF!)-1)))+1)+(10-INDEX('CASE MASTER'!$V$2:$V$495,(SUMPRODUCT((('CASE MASTER'!$T$2:$T$495=15)*('CASE MASTER'!$U$2:$U$495&lt;=2)*('CASE MASTER'!$W$2:$W$495&gt;=2)*('CASE MASTER'!$V$2:$V$495&lt;=10)*('CASE MASTER'!$X$2:$X$495&gt;=10))*ROW('CASE MASTER'!$T$2:$T$495))-(ROW('CASE MASTER'!#REF!)-1))))+1))-1)*50+1,50))&amp;"_"&amp;INDEX('CASE MASTER'!$Q$2:$Q$495,(SUMPRODUCT((('CASE MASTER'!$T$2:$T$495=15)*('CASE MASTER'!$U$2:$U$495&lt;=2)*('CASE MASTER'!$W$2:$W$495&gt;=2)*('CASE MASTER'!$V$2:$V$495&lt;=10)*('CASE MASTER'!$X$2:$X$495&gt;=10))*ROW('CASE MASTER'!$T$2:$T$495))-(ROW('CASE MASTER'!#REF!)-1))),IF(SUMPRODUCT((('CASE MASTER'!$T$2:$T$495=15)*('CASE MASTER'!$AA$2:$AA$495&lt;=2)*('CASE MASTER'!$AC$2:$AC$495&gt;=2)*('CASE MASTER'!$AB$2:$AB$495&lt;=10)*('CASE MASTER'!$AD$2:$AD$495&gt;=10))*ROW('CASE MASTER'!$T$2:$T$495))&gt;0,INDEX('CASE MASTER'!$Y$2:$Y$495,(SUMPRODUCT((('CASE MASTER'!$T$2:$T$495=15)*('CASE MASTER'!$AA$2:$AA$495&lt;=2)*('CASE MASTER'!$AC$2:$AC$495&gt;=2)*('CASE MASTER'!$AB$2:$AB$495&lt;=10)*('CASE MASTER'!$AD$2:$AD$495&gt;=10))*ROW('CASE MASTER'!$T$2:$T$495))-(ROW('CASE MASTER'!#REF!)-1)))&amp;TRIM(MID(SUBSTITUTE(SUBSTITUTE(INDEX('CASE MASTER'!$N$2:$N$495,(SUMPRODUCT((('CASE MASTER'!$T$2:$T$495=15)*('CASE MASTER'!$AA$2:$AA$495&lt;=2)*('CASE MASTER'!$AC$2:$AC$495&gt;=2)*('CASE MASTER'!$AB$2:$AB$495&lt;=10)*('CASE MASTER'!$AD$2:$AD$495&gt;=10))*ROW('CASE MASTER'!$T$2:$T$495))-(ROW('CASE MASTER'!#REF!)-1))),":",","),",",REPT(" ",50)),(((INDEX('CASE MASTER'!$Z$2:$Z$495,(SUMPRODUCT((('CASE MASTER'!$T$2:$T$495=15)*('CASE MASTER'!$AA$2:$AA$495&lt;=2)*('CASE MASTER'!$AC$2:$AC$495&gt;=2)*('CASE MASTER'!$AB$2:$AB$495&lt;=10)*('CASE MASTER'!$AD$2:$AD$495&gt;=10))*ROW('CASE MASTER'!$T$2:$T$495))-(ROW('CASE MASTER'!#REF!)-1)))+((2-INDEX('CASE MASTER'!$AA$2:$AA$495,(SUMPRODUCT((('CASE MASTER'!$T$2:$T$495=15)*('CASE MASTER'!$AA$2:$AA$495&lt;=2)*('CASE MASTER'!$AC$2:$AC$495&gt;=2)*('CASE MASTER'!$AB$2:$AB$495&lt;=10)*('CASE MASTER'!$AD$2:$AD$495&gt;=10))*ROW('CASE MASTER'!$T$2:$T$495))-(ROW('CASE MASTER'!#REF!)-1))))*(INDEX('CASE MASTER'!$AD$2:$AD$495,(SUMPRODUCT((('CASE MASTER'!$T$2:$T$495=15)*('CASE MASTER'!$AA$2:$AA$495&lt;=2)*('CASE MASTER'!$AC$2:$AC$495&gt;=2)*('CASE MASTER'!$AB$2:$AB$495&lt;=10)*('CASE MASTER'!$AD$2:$AD$495&gt;=10))*ROW('CASE MASTER'!$T$2:$T$495))-(ROW('CASE MASTER'!#REF!)-1)))-INDEX('CASE MASTER'!$AB$2:$AB$495,(SUMPRODUCT((('CASE MASTER'!$T$2:$T$495=15)*('CASE MASTER'!$AA$2:$AA$495&lt;=2)*('CASE MASTER'!$AC$2:$AC$495&gt;=2)*('CASE MASTER'!$AB$2:$AB$495&lt;=10)*('CASE MASTER'!$AD$2:$AD$495&gt;=10))*ROW('CASE MASTER'!$T$2:$T$495))-(ROW('CASE MASTER'!#REF!)-1)))+1)+(10-INDEX('CASE MASTER'!$AB$2:$AB$495,(SUMPRODUCT((('CASE MASTER'!$T$2:$T$495=15)*('CASE MASTER'!$AA$2:$AA$495&lt;=2)*('CASE MASTER'!$AC$2:$AC$495&gt;=2)*('CASE MASTER'!$AB$2:$AB$495&lt;=10)*('CASE MASTER'!$AD$2:$AD$495&gt;=10))*ROW('CASE MASTER'!$T$2:$T$495))-(ROW('CASE MASTER'!#REF!)-1))))+1)))-1)*50+1,50))&amp;"_"&amp;INDEX('CASE MASTER'!$Q$2:$Q$495,(SUMPRODUCT((('CASE MASTER'!$T$2:$T$495=15)*('CASE MASTER'!$AA$2:$AA$495&lt;=2)*('CASE MASTER'!$AC$2:$AC$495&gt;=2)*('CASE MASTER'!$AB$2:$AB$495&lt;=10)*('CASE MASTER'!$AD$2:$AD$495&gt;=10))*ROW('CASE MASTER'!$T$2:$T$495))-(ROW('CASE MASTER'!#REF!)-1))),"")),"")</f>
        <v/>
      </c>
    </row>
    <row r="201" spans="1:11" ht="15" customHeight="1" x14ac:dyDescent="0.35">
      <c r="A201" s="8" t="s">
        <v>30</v>
      </c>
      <c r="B201" s="10" t="str">
        <f>IFERROR(IF(SUMPRODUCT((('CASE MASTER'!$T$2:$T$495=15)*('CASE MASTER'!$U$2:$U$495&lt;=3)*('CASE MASTER'!$W$2:$W$495&gt;=3)*('CASE MASTER'!$V$2:$V$495&lt;=1)*('CASE MASTER'!$X$2:$X$495&gt;=1))*ROW('CASE MASTER'!$T$2:$T$495))&gt;0,INDEX('CASE MASTER'!$Y$2:$Y$495,(SUMPRODUCT((('CASE MASTER'!$T$2:$T$495=15)*('CASE MASTER'!$U$2:$U$495&lt;=3)*('CASE MASTER'!$W$2:$W$495&gt;=3)*('CASE MASTER'!$V$2:$V$495&lt;=1)*('CASE MASTER'!$X$2:$X$495&gt;=1))*ROW('CASE MASTER'!$T$2:$T$495))-(ROW('CASE MASTER'!#REF!)-1)))&amp;TRIM(MID(SUBSTITUTE(SUBSTITUTE(INDEX('CASE MASTER'!$N$2:$N$495,(SUMPRODUCT((('CASE MASTER'!$T$2:$T$495=15)*('CASE MASTER'!$U$2:$U$495&lt;=3)*('CASE MASTER'!$W$2:$W$495&gt;=3)*('CASE MASTER'!$V$2:$V$495&lt;=1)*('CASE MASTER'!$X$2:$X$495&gt;=1))*ROW('CASE MASTER'!$T$2:$T$495))-(ROW('CASE MASTER'!#REF!)-1))),":",","),",",REPT(" ",50)),((((3-INDEX('CASE MASTER'!$U$2:$U$495,(SUMPRODUCT((('CASE MASTER'!$T$2:$T$495=15)*('CASE MASTER'!$U$2:$U$495&lt;=3)*('CASE MASTER'!$W$2:$W$495&gt;=3)*('CASE MASTER'!$V$2:$V$495&lt;=1)*('CASE MASTER'!$X$2:$X$495&gt;=1))*ROW('CASE MASTER'!$T$2:$T$495))-(ROW('CASE MASTER'!#REF!)-1))))*(INDEX('CASE MASTER'!$X$2:$X$495,(SUMPRODUCT((('CASE MASTER'!$T$2:$T$495=15)*('CASE MASTER'!$U$2:$U$495&lt;=3)*('CASE MASTER'!$W$2:$W$495&gt;=3)*('CASE MASTER'!$V$2:$V$495&lt;=1)*('CASE MASTER'!$X$2:$X$495&gt;=1))*ROW('CASE MASTER'!$T$2:$T$495))-(ROW('CASE MASTER'!#REF!)-1)))-INDEX('CASE MASTER'!$V$2:$V$495,(SUMPRODUCT((('CASE MASTER'!$T$2:$T$495=15)*('CASE MASTER'!$U$2:$U$495&lt;=3)*('CASE MASTER'!$W$2:$W$495&gt;=3)*('CASE MASTER'!$V$2:$V$495&lt;=1)*('CASE MASTER'!$X$2:$X$495&gt;=1))*ROW('CASE MASTER'!$T$2:$T$495))-(ROW('CASE MASTER'!#REF!)-1)))+1)+(1-INDEX('CASE MASTER'!$V$2:$V$495,(SUMPRODUCT((('CASE MASTER'!$T$2:$T$495=15)*('CASE MASTER'!$U$2:$U$495&lt;=3)*('CASE MASTER'!$W$2:$W$495&gt;=3)*('CASE MASTER'!$V$2:$V$495&lt;=1)*('CASE MASTER'!$X$2:$X$495&gt;=1))*ROW('CASE MASTER'!$T$2:$T$495))-(ROW('CASE MASTER'!#REF!)-1))))+1))-1)*50+1,50))&amp;"_"&amp;INDEX('CASE MASTER'!$Q$2:$Q$495,(SUMPRODUCT((('CASE MASTER'!$T$2:$T$495=15)*('CASE MASTER'!$U$2:$U$495&lt;=3)*('CASE MASTER'!$W$2:$W$495&gt;=3)*('CASE MASTER'!$V$2:$V$495&lt;=1)*('CASE MASTER'!$X$2:$X$495&gt;=1))*ROW('CASE MASTER'!$T$2:$T$495))-(ROW('CASE MASTER'!#REF!)-1))),IF(SUMPRODUCT((('CASE MASTER'!$T$2:$T$495=15)*('CASE MASTER'!$AA$2:$AA$495&lt;=3)*('CASE MASTER'!$AC$2:$AC$495&gt;=3)*('CASE MASTER'!$AB$2:$AB$495&lt;=1)*('CASE MASTER'!$AD$2:$AD$495&gt;=1))*ROW('CASE MASTER'!$T$2:$T$495))&gt;0,INDEX('CASE MASTER'!$Y$2:$Y$495,(SUMPRODUCT((('CASE MASTER'!$T$2:$T$495=15)*('CASE MASTER'!$AA$2:$AA$495&lt;=3)*('CASE MASTER'!$AC$2:$AC$495&gt;=3)*('CASE MASTER'!$AB$2:$AB$495&lt;=1)*('CASE MASTER'!$AD$2:$AD$495&gt;=1))*ROW('CASE MASTER'!$T$2:$T$495))-(ROW('CASE MASTER'!#REF!)-1)))&amp;TRIM(MID(SUBSTITUTE(SUBSTITUTE(INDEX('CASE MASTER'!$N$2:$N$495,(SUMPRODUCT((('CASE MASTER'!$T$2:$T$495=15)*('CASE MASTER'!$AA$2:$AA$495&lt;=3)*('CASE MASTER'!$AC$2:$AC$495&gt;=3)*('CASE MASTER'!$AB$2:$AB$495&lt;=1)*('CASE MASTER'!$AD$2:$AD$495&gt;=1))*ROW('CASE MASTER'!$T$2:$T$495))-(ROW('CASE MASTER'!#REF!)-1))),":",","),",",REPT(" ",50)),(((INDEX('CASE MASTER'!$Z$2:$Z$495,(SUMPRODUCT((('CASE MASTER'!$T$2:$T$495=15)*('CASE MASTER'!$AA$2:$AA$495&lt;=3)*('CASE MASTER'!$AC$2:$AC$495&gt;=3)*('CASE MASTER'!$AB$2:$AB$495&lt;=1)*('CASE MASTER'!$AD$2:$AD$495&gt;=1))*ROW('CASE MASTER'!$T$2:$T$495))-(ROW('CASE MASTER'!#REF!)-1)))+((3-INDEX('CASE MASTER'!$AA$2:$AA$495,(SUMPRODUCT((('CASE MASTER'!$T$2:$T$495=15)*('CASE MASTER'!$AA$2:$AA$495&lt;=3)*('CASE MASTER'!$AC$2:$AC$495&gt;=3)*('CASE MASTER'!$AB$2:$AB$495&lt;=1)*('CASE MASTER'!$AD$2:$AD$495&gt;=1))*ROW('CASE MASTER'!$T$2:$T$495))-(ROW('CASE MASTER'!#REF!)-1))))*(INDEX('CASE MASTER'!$AD$2:$AD$495,(SUMPRODUCT((('CASE MASTER'!$T$2:$T$495=15)*('CASE MASTER'!$AA$2:$AA$495&lt;=3)*('CASE MASTER'!$AC$2:$AC$495&gt;=3)*('CASE MASTER'!$AB$2:$AB$495&lt;=1)*('CASE MASTER'!$AD$2:$AD$495&gt;=1))*ROW('CASE MASTER'!$T$2:$T$495))-(ROW('CASE MASTER'!#REF!)-1)))-INDEX('CASE MASTER'!$AB$2:$AB$495,(SUMPRODUCT((('CASE MASTER'!$T$2:$T$495=15)*('CASE MASTER'!$AA$2:$AA$495&lt;=3)*('CASE MASTER'!$AC$2:$AC$495&gt;=3)*('CASE MASTER'!$AB$2:$AB$495&lt;=1)*('CASE MASTER'!$AD$2:$AD$495&gt;=1))*ROW('CASE MASTER'!$T$2:$T$495))-(ROW('CASE MASTER'!#REF!)-1)))+1)+(1-INDEX('CASE MASTER'!$AB$2:$AB$495,(SUMPRODUCT((('CASE MASTER'!$T$2:$T$495=15)*('CASE MASTER'!$AA$2:$AA$495&lt;=3)*('CASE MASTER'!$AC$2:$AC$495&gt;=3)*('CASE MASTER'!$AB$2:$AB$495&lt;=1)*('CASE MASTER'!$AD$2:$AD$495&gt;=1))*ROW('CASE MASTER'!$T$2:$T$495))-(ROW('CASE MASTER'!#REF!)-1))))+1)))-1)*50+1,50))&amp;"_"&amp;INDEX('CASE MASTER'!$Q$2:$Q$495,(SUMPRODUCT((('CASE MASTER'!$T$2:$T$495=15)*('CASE MASTER'!$AA$2:$AA$495&lt;=3)*('CASE MASTER'!$AC$2:$AC$495&gt;=3)*('CASE MASTER'!$AB$2:$AB$495&lt;=1)*('CASE MASTER'!$AD$2:$AD$495&gt;=1))*ROW('CASE MASTER'!$T$2:$T$495))-(ROW('CASE MASTER'!#REF!)-1))),"")),"")</f>
        <v/>
      </c>
      <c r="C201" s="10" t="str">
        <f>IFERROR(IF(SUMPRODUCT((('CASE MASTER'!$T$2:$T$495=15)*('CASE MASTER'!$U$2:$U$495&lt;=3)*('CASE MASTER'!$W$2:$W$495&gt;=3)*('CASE MASTER'!$V$2:$V$495&lt;=2)*('CASE MASTER'!$X$2:$X$495&gt;=2))*ROW('CASE MASTER'!$T$2:$T$495))&gt;0,INDEX('CASE MASTER'!$Y$2:$Y$495,(SUMPRODUCT((('CASE MASTER'!$T$2:$T$495=15)*('CASE MASTER'!$U$2:$U$495&lt;=3)*('CASE MASTER'!$W$2:$W$495&gt;=3)*('CASE MASTER'!$V$2:$V$495&lt;=2)*('CASE MASTER'!$X$2:$X$495&gt;=2))*ROW('CASE MASTER'!$T$2:$T$495))-(ROW('CASE MASTER'!#REF!)-1)))&amp;TRIM(MID(SUBSTITUTE(SUBSTITUTE(INDEX('CASE MASTER'!$N$2:$N$495,(SUMPRODUCT((('CASE MASTER'!$T$2:$T$495=15)*('CASE MASTER'!$U$2:$U$495&lt;=3)*('CASE MASTER'!$W$2:$W$495&gt;=3)*('CASE MASTER'!$V$2:$V$495&lt;=2)*('CASE MASTER'!$X$2:$X$495&gt;=2))*ROW('CASE MASTER'!$T$2:$T$495))-(ROW('CASE MASTER'!#REF!)-1))),":",","),",",REPT(" ",50)),((((3-INDEX('CASE MASTER'!$U$2:$U$495,(SUMPRODUCT((('CASE MASTER'!$T$2:$T$495=15)*('CASE MASTER'!$U$2:$U$495&lt;=3)*('CASE MASTER'!$W$2:$W$495&gt;=3)*('CASE MASTER'!$V$2:$V$495&lt;=2)*('CASE MASTER'!$X$2:$X$495&gt;=2))*ROW('CASE MASTER'!$T$2:$T$495))-(ROW('CASE MASTER'!#REF!)-1))))*(INDEX('CASE MASTER'!$X$2:$X$495,(SUMPRODUCT((('CASE MASTER'!$T$2:$T$495=15)*('CASE MASTER'!$U$2:$U$495&lt;=3)*('CASE MASTER'!$W$2:$W$495&gt;=3)*('CASE MASTER'!$V$2:$V$495&lt;=2)*('CASE MASTER'!$X$2:$X$495&gt;=2))*ROW('CASE MASTER'!$T$2:$T$495))-(ROW('CASE MASTER'!#REF!)-1)))-INDEX('CASE MASTER'!$V$2:$V$495,(SUMPRODUCT((('CASE MASTER'!$T$2:$T$495=15)*('CASE MASTER'!$U$2:$U$495&lt;=3)*('CASE MASTER'!$W$2:$W$495&gt;=3)*('CASE MASTER'!$V$2:$V$495&lt;=2)*('CASE MASTER'!$X$2:$X$495&gt;=2))*ROW('CASE MASTER'!$T$2:$T$495))-(ROW('CASE MASTER'!#REF!)-1)))+1)+(2-INDEX('CASE MASTER'!$V$2:$V$495,(SUMPRODUCT((('CASE MASTER'!$T$2:$T$495=15)*('CASE MASTER'!$U$2:$U$495&lt;=3)*('CASE MASTER'!$W$2:$W$495&gt;=3)*('CASE MASTER'!$V$2:$V$495&lt;=2)*('CASE MASTER'!$X$2:$X$495&gt;=2))*ROW('CASE MASTER'!$T$2:$T$495))-(ROW('CASE MASTER'!#REF!)-1))))+1))-1)*50+1,50))&amp;"_"&amp;INDEX('CASE MASTER'!$Q$2:$Q$495,(SUMPRODUCT((('CASE MASTER'!$T$2:$T$495=15)*('CASE MASTER'!$U$2:$U$495&lt;=3)*('CASE MASTER'!$W$2:$W$495&gt;=3)*('CASE MASTER'!$V$2:$V$495&lt;=2)*('CASE MASTER'!$X$2:$X$495&gt;=2))*ROW('CASE MASTER'!$T$2:$T$495))-(ROW('CASE MASTER'!#REF!)-1))),IF(SUMPRODUCT((('CASE MASTER'!$T$2:$T$495=15)*('CASE MASTER'!$AA$2:$AA$495&lt;=3)*('CASE MASTER'!$AC$2:$AC$495&gt;=3)*('CASE MASTER'!$AB$2:$AB$495&lt;=2)*('CASE MASTER'!$AD$2:$AD$495&gt;=2))*ROW('CASE MASTER'!$T$2:$T$495))&gt;0,INDEX('CASE MASTER'!$Y$2:$Y$495,(SUMPRODUCT((('CASE MASTER'!$T$2:$T$495=15)*('CASE MASTER'!$AA$2:$AA$495&lt;=3)*('CASE MASTER'!$AC$2:$AC$495&gt;=3)*('CASE MASTER'!$AB$2:$AB$495&lt;=2)*('CASE MASTER'!$AD$2:$AD$495&gt;=2))*ROW('CASE MASTER'!$T$2:$T$495))-(ROW('CASE MASTER'!#REF!)-1)))&amp;TRIM(MID(SUBSTITUTE(SUBSTITUTE(INDEX('CASE MASTER'!$N$2:$N$495,(SUMPRODUCT((('CASE MASTER'!$T$2:$T$495=15)*('CASE MASTER'!$AA$2:$AA$495&lt;=3)*('CASE MASTER'!$AC$2:$AC$495&gt;=3)*('CASE MASTER'!$AB$2:$AB$495&lt;=2)*('CASE MASTER'!$AD$2:$AD$495&gt;=2))*ROW('CASE MASTER'!$T$2:$T$495))-(ROW('CASE MASTER'!#REF!)-1))),":",","),",",REPT(" ",50)),(((INDEX('CASE MASTER'!$Z$2:$Z$495,(SUMPRODUCT((('CASE MASTER'!$T$2:$T$495=15)*('CASE MASTER'!$AA$2:$AA$495&lt;=3)*('CASE MASTER'!$AC$2:$AC$495&gt;=3)*('CASE MASTER'!$AB$2:$AB$495&lt;=2)*('CASE MASTER'!$AD$2:$AD$495&gt;=2))*ROW('CASE MASTER'!$T$2:$T$495))-(ROW('CASE MASTER'!#REF!)-1)))+((3-INDEX('CASE MASTER'!$AA$2:$AA$495,(SUMPRODUCT((('CASE MASTER'!$T$2:$T$495=15)*('CASE MASTER'!$AA$2:$AA$495&lt;=3)*('CASE MASTER'!$AC$2:$AC$495&gt;=3)*('CASE MASTER'!$AB$2:$AB$495&lt;=2)*('CASE MASTER'!$AD$2:$AD$495&gt;=2))*ROW('CASE MASTER'!$T$2:$T$495))-(ROW('CASE MASTER'!#REF!)-1))))*(INDEX('CASE MASTER'!$AD$2:$AD$495,(SUMPRODUCT((('CASE MASTER'!$T$2:$T$495=15)*('CASE MASTER'!$AA$2:$AA$495&lt;=3)*('CASE MASTER'!$AC$2:$AC$495&gt;=3)*('CASE MASTER'!$AB$2:$AB$495&lt;=2)*('CASE MASTER'!$AD$2:$AD$495&gt;=2))*ROW('CASE MASTER'!$T$2:$T$495))-(ROW('CASE MASTER'!#REF!)-1)))-INDEX('CASE MASTER'!$AB$2:$AB$495,(SUMPRODUCT((('CASE MASTER'!$T$2:$T$495=15)*('CASE MASTER'!$AA$2:$AA$495&lt;=3)*('CASE MASTER'!$AC$2:$AC$495&gt;=3)*('CASE MASTER'!$AB$2:$AB$495&lt;=2)*('CASE MASTER'!$AD$2:$AD$495&gt;=2))*ROW('CASE MASTER'!$T$2:$T$495))-(ROW('CASE MASTER'!#REF!)-1)))+1)+(2-INDEX('CASE MASTER'!$AB$2:$AB$495,(SUMPRODUCT((('CASE MASTER'!$T$2:$T$495=15)*('CASE MASTER'!$AA$2:$AA$495&lt;=3)*('CASE MASTER'!$AC$2:$AC$495&gt;=3)*('CASE MASTER'!$AB$2:$AB$495&lt;=2)*('CASE MASTER'!$AD$2:$AD$495&gt;=2))*ROW('CASE MASTER'!$T$2:$T$495))-(ROW('CASE MASTER'!#REF!)-1))))+1)))-1)*50+1,50))&amp;"_"&amp;INDEX('CASE MASTER'!$Q$2:$Q$495,(SUMPRODUCT((('CASE MASTER'!$T$2:$T$495=15)*('CASE MASTER'!$AA$2:$AA$495&lt;=3)*('CASE MASTER'!$AC$2:$AC$495&gt;=3)*('CASE MASTER'!$AB$2:$AB$495&lt;=2)*('CASE MASTER'!$AD$2:$AD$495&gt;=2))*ROW('CASE MASTER'!$T$2:$T$495))-(ROW('CASE MASTER'!#REF!)-1))),"")),"")</f>
        <v/>
      </c>
      <c r="D201" s="10" t="str">
        <f>IFERROR(IF(SUMPRODUCT((('CASE MASTER'!$T$2:$T$495=15)*('CASE MASTER'!$U$2:$U$495&lt;=3)*('CASE MASTER'!$W$2:$W$495&gt;=3)*('CASE MASTER'!$V$2:$V$495&lt;=3)*('CASE MASTER'!$X$2:$X$495&gt;=3))*ROW('CASE MASTER'!$T$2:$T$495))&gt;0,INDEX('CASE MASTER'!$Y$2:$Y$495,(SUMPRODUCT((('CASE MASTER'!$T$2:$T$495=15)*('CASE MASTER'!$U$2:$U$495&lt;=3)*('CASE MASTER'!$W$2:$W$495&gt;=3)*('CASE MASTER'!$V$2:$V$495&lt;=3)*('CASE MASTER'!$X$2:$X$495&gt;=3))*ROW('CASE MASTER'!$T$2:$T$495))-(ROW('CASE MASTER'!#REF!)-1)))&amp;TRIM(MID(SUBSTITUTE(SUBSTITUTE(INDEX('CASE MASTER'!$N$2:$N$495,(SUMPRODUCT((('CASE MASTER'!$T$2:$T$495=15)*('CASE MASTER'!$U$2:$U$495&lt;=3)*('CASE MASTER'!$W$2:$W$495&gt;=3)*('CASE MASTER'!$V$2:$V$495&lt;=3)*('CASE MASTER'!$X$2:$X$495&gt;=3))*ROW('CASE MASTER'!$T$2:$T$495))-(ROW('CASE MASTER'!#REF!)-1))),":",","),",",REPT(" ",50)),((((3-INDEX('CASE MASTER'!$U$2:$U$495,(SUMPRODUCT((('CASE MASTER'!$T$2:$T$495=15)*('CASE MASTER'!$U$2:$U$495&lt;=3)*('CASE MASTER'!$W$2:$W$495&gt;=3)*('CASE MASTER'!$V$2:$V$495&lt;=3)*('CASE MASTER'!$X$2:$X$495&gt;=3))*ROW('CASE MASTER'!$T$2:$T$495))-(ROW('CASE MASTER'!#REF!)-1))))*(INDEX('CASE MASTER'!$X$2:$X$495,(SUMPRODUCT((('CASE MASTER'!$T$2:$T$495=15)*('CASE MASTER'!$U$2:$U$495&lt;=3)*('CASE MASTER'!$W$2:$W$495&gt;=3)*('CASE MASTER'!$V$2:$V$495&lt;=3)*('CASE MASTER'!$X$2:$X$495&gt;=3))*ROW('CASE MASTER'!$T$2:$T$495))-(ROW('CASE MASTER'!#REF!)-1)))-INDEX('CASE MASTER'!$V$2:$V$495,(SUMPRODUCT((('CASE MASTER'!$T$2:$T$495=15)*('CASE MASTER'!$U$2:$U$495&lt;=3)*('CASE MASTER'!$W$2:$W$495&gt;=3)*('CASE MASTER'!$V$2:$V$495&lt;=3)*('CASE MASTER'!$X$2:$X$495&gt;=3))*ROW('CASE MASTER'!$T$2:$T$495))-(ROW('CASE MASTER'!#REF!)-1)))+1)+(3-INDEX('CASE MASTER'!$V$2:$V$495,(SUMPRODUCT((('CASE MASTER'!$T$2:$T$495=15)*('CASE MASTER'!$U$2:$U$495&lt;=3)*('CASE MASTER'!$W$2:$W$495&gt;=3)*('CASE MASTER'!$V$2:$V$495&lt;=3)*('CASE MASTER'!$X$2:$X$495&gt;=3))*ROW('CASE MASTER'!$T$2:$T$495))-(ROW('CASE MASTER'!#REF!)-1))))+1))-1)*50+1,50))&amp;"_"&amp;INDEX('CASE MASTER'!$Q$2:$Q$495,(SUMPRODUCT((('CASE MASTER'!$T$2:$T$495=15)*('CASE MASTER'!$U$2:$U$495&lt;=3)*('CASE MASTER'!$W$2:$W$495&gt;=3)*('CASE MASTER'!$V$2:$V$495&lt;=3)*('CASE MASTER'!$X$2:$X$495&gt;=3))*ROW('CASE MASTER'!$T$2:$T$495))-(ROW('CASE MASTER'!#REF!)-1))),IF(SUMPRODUCT((('CASE MASTER'!$T$2:$T$495=15)*('CASE MASTER'!$AA$2:$AA$495&lt;=3)*('CASE MASTER'!$AC$2:$AC$495&gt;=3)*('CASE MASTER'!$AB$2:$AB$495&lt;=3)*('CASE MASTER'!$AD$2:$AD$495&gt;=3))*ROW('CASE MASTER'!$T$2:$T$495))&gt;0,INDEX('CASE MASTER'!$Y$2:$Y$495,(SUMPRODUCT((('CASE MASTER'!$T$2:$T$495=15)*('CASE MASTER'!$AA$2:$AA$495&lt;=3)*('CASE MASTER'!$AC$2:$AC$495&gt;=3)*('CASE MASTER'!$AB$2:$AB$495&lt;=3)*('CASE MASTER'!$AD$2:$AD$495&gt;=3))*ROW('CASE MASTER'!$T$2:$T$495))-(ROW('CASE MASTER'!#REF!)-1)))&amp;TRIM(MID(SUBSTITUTE(SUBSTITUTE(INDEX('CASE MASTER'!$N$2:$N$495,(SUMPRODUCT((('CASE MASTER'!$T$2:$T$495=15)*('CASE MASTER'!$AA$2:$AA$495&lt;=3)*('CASE MASTER'!$AC$2:$AC$495&gt;=3)*('CASE MASTER'!$AB$2:$AB$495&lt;=3)*('CASE MASTER'!$AD$2:$AD$495&gt;=3))*ROW('CASE MASTER'!$T$2:$T$495))-(ROW('CASE MASTER'!#REF!)-1))),":",","),",",REPT(" ",50)),(((INDEX('CASE MASTER'!$Z$2:$Z$495,(SUMPRODUCT((('CASE MASTER'!$T$2:$T$495=15)*('CASE MASTER'!$AA$2:$AA$495&lt;=3)*('CASE MASTER'!$AC$2:$AC$495&gt;=3)*('CASE MASTER'!$AB$2:$AB$495&lt;=3)*('CASE MASTER'!$AD$2:$AD$495&gt;=3))*ROW('CASE MASTER'!$T$2:$T$495))-(ROW('CASE MASTER'!#REF!)-1)))+((3-INDEX('CASE MASTER'!$AA$2:$AA$495,(SUMPRODUCT((('CASE MASTER'!$T$2:$T$495=15)*('CASE MASTER'!$AA$2:$AA$495&lt;=3)*('CASE MASTER'!$AC$2:$AC$495&gt;=3)*('CASE MASTER'!$AB$2:$AB$495&lt;=3)*('CASE MASTER'!$AD$2:$AD$495&gt;=3))*ROW('CASE MASTER'!$T$2:$T$495))-(ROW('CASE MASTER'!#REF!)-1))))*(INDEX('CASE MASTER'!$AD$2:$AD$495,(SUMPRODUCT((('CASE MASTER'!$T$2:$T$495=15)*('CASE MASTER'!$AA$2:$AA$495&lt;=3)*('CASE MASTER'!$AC$2:$AC$495&gt;=3)*('CASE MASTER'!$AB$2:$AB$495&lt;=3)*('CASE MASTER'!$AD$2:$AD$495&gt;=3))*ROW('CASE MASTER'!$T$2:$T$495))-(ROW('CASE MASTER'!#REF!)-1)))-INDEX('CASE MASTER'!$AB$2:$AB$495,(SUMPRODUCT((('CASE MASTER'!$T$2:$T$495=15)*('CASE MASTER'!$AA$2:$AA$495&lt;=3)*('CASE MASTER'!$AC$2:$AC$495&gt;=3)*('CASE MASTER'!$AB$2:$AB$495&lt;=3)*('CASE MASTER'!$AD$2:$AD$495&gt;=3))*ROW('CASE MASTER'!$T$2:$T$495))-(ROW('CASE MASTER'!#REF!)-1)))+1)+(3-INDEX('CASE MASTER'!$AB$2:$AB$495,(SUMPRODUCT((('CASE MASTER'!$T$2:$T$495=15)*('CASE MASTER'!$AA$2:$AA$495&lt;=3)*('CASE MASTER'!$AC$2:$AC$495&gt;=3)*('CASE MASTER'!$AB$2:$AB$495&lt;=3)*('CASE MASTER'!$AD$2:$AD$495&gt;=3))*ROW('CASE MASTER'!$T$2:$T$495))-(ROW('CASE MASTER'!#REF!)-1))))+1)))-1)*50+1,50))&amp;"_"&amp;INDEX('CASE MASTER'!$Q$2:$Q$495,(SUMPRODUCT((('CASE MASTER'!$T$2:$T$495=15)*('CASE MASTER'!$AA$2:$AA$495&lt;=3)*('CASE MASTER'!$AC$2:$AC$495&gt;=3)*('CASE MASTER'!$AB$2:$AB$495&lt;=3)*('CASE MASTER'!$AD$2:$AD$495&gt;=3))*ROW('CASE MASTER'!$T$2:$T$495))-(ROW('CASE MASTER'!#REF!)-1))),"")),"")</f>
        <v/>
      </c>
      <c r="E201" s="10" t="str">
        <f>IFERROR(IF(SUMPRODUCT((('CASE MASTER'!$T$2:$T$495=15)*('CASE MASTER'!$U$2:$U$495&lt;=3)*('CASE MASTER'!$W$2:$W$495&gt;=3)*('CASE MASTER'!$V$2:$V$495&lt;=4)*('CASE MASTER'!$X$2:$X$495&gt;=4))*ROW('CASE MASTER'!$T$2:$T$495))&gt;0,INDEX('CASE MASTER'!$Y$2:$Y$495,(SUMPRODUCT((('CASE MASTER'!$T$2:$T$495=15)*('CASE MASTER'!$U$2:$U$495&lt;=3)*('CASE MASTER'!$W$2:$W$495&gt;=3)*('CASE MASTER'!$V$2:$V$495&lt;=4)*('CASE MASTER'!$X$2:$X$495&gt;=4))*ROW('CASE MASTER'!$T$2:$T$495))-(ROW('CASE MASTER'!#REF!)-1)))&amp;TRIM(MID(SUBSTITUTE(SUBSTITUTE(INDEX('CASE MASTER'!$N$2:$N$495,(SUMPRODUCT((('CASE MASTER'!$T$2:$T$495=15)*('CASE MASTER'!$U$2:$U$495&lt;=3)*('CASE MASTER'!$W$2:$W$495&gt;=3)*('CASE MASTER'!$V$2:$V$495&lt;=4)*('CASE MASTER'!$X$2:$X$495&gt;=4))*ROW('CASE MASTER'!$T$2:$T$495))-(ROW('CASE MASTER'!#REF!)-1))),":",","),",",REPT(" ",50)),((((3-INDEX('CASE MASTER'!$U$2:$U$495,(SUMPRODUCT((('CASE MASTER'!$T$2:$T$495=15)*('CASE MASTER'!$U$2:$U$495&lt;=3)*('CASE MASTER'!$W$2:$W$495&gt;=3)*('CASE MASTER'!$V$2:$V$495&lt;=4)*('CASE MASTER'!$X$2:$X$495&gt;=4))*ROW('CASE MASTER'!$T$2:$T$495))-(ROW('CASE MASTER'!#REF!)-1))))*(INDEX('CASE MASTER'!$X$2:$X$495,(SUMPRODUCT((('CASE MASTER'!$T$2:$T$495=15)*('CASE MASTER'!$U$2:$U$495&lt;=3)*('CASE MASTER'!$W$2:$W$495&gt;=3)*('CASE MASTER'!$V$2:$V$495&lt;=4)*('CASE MASTER'!$X$2:$X$495&gt;=4))*ROW('CASE MASTER'!$T$2:$T$495))-(ROW('CASE MASTER'!#REF!)-1)))-INDEX('CASE MASTER'!$V$2:$V$495,(SUMPRODUCT((('CASE MASTER'!$T$2:$T$495=15)*('CASE MASTER'!$U$2:$U$495&lt;=3)*('CASE MASTER'!$W$2:$W$495&gt;=3)*('CASE MASTER'!$V$2:$V$495&lt;=4)*('CASE MASTER'!$X$2:$X$495&gt;=4))*ROW('CASE MASTER'!$T$2:$T$495))-(ROW('CASE MASTER'!#REF!)-1)))+1)+(4-INDEX('CASE MASTER'!$V$2:$V$495,(SUMPRODUCT((('CASE MASTER'!$T$2:$T$495=15)*('CASE MASTER'!$U$2:$U$495&lt;=3)*('CASE MASTER'!$W$2:$W$495&gt;=3)*('CASE MASTER'!$V$2:$V$495&lt;=4)*('CASE MASTER'!$X$2:$X$495&gt;=4))*ROW('CASE MASTER'!$T$2:$T$495))-(ROW('CASE MASTER'!#REF!)-1))))+1))-1)*50+1,50))&amp;"_"&amp;INDEX('CASE MASTER'!$Q$2:$Q$495,(SUMPRODUCT((('CASE MASTER'!$T$2:$T$495=15)*('CASE MASTER'!$U$2:$U$495&lt;=3)*('CASE MASTER'!$W$2:$W$495&gt;=3)*('CASE MASTER'!$V$2:$V$495&lt;=4)*('CASE MASTER'!$X$2:$X$495&gt;=4))*ROW('CASE MASTER'!$T$2:$T$495))-(ROW('CASE MASTER'!#REF!)-1))),IF(SUMPRODUCT((('CASE MASTER'!$T$2:$T$495=15)*('CASE MASTER'!$AA$2:$AA$495&lt;=3)*('CASE MASTER'!$AC$2:$AC$495&gt;=3)*('CASE MASTER'!$AB$2:$AB$495&lt;=4)*('CASE MASTER'!$AD$2:$AD$495&gt;=4))*ROW('CASE MASTER'!$T$2:$T$495))&gt;0,INDEX('CASE MASTER'!$Y$2:$Y$495,(SUMPRODUCT((('CASE MASTER'!$T$2:$T$495=15)*('CASE MASTER'!$AA$2:$AA$495&lt;=3)*('CASE MASTER'!$AC$2:$AC$495&gt;=3)*('CASE MASTER'!$AB$2:$AB$495&lt;=4)*('CASE MASTER'!$AD$2:$AD$495&gt;=4))*ROW('CASE MASTER'!$T$2:$T$495))-(ROW('CASE MASTER'!#REF!)-1)))&amp;TRIM(MID(SUBSTITUTE(SUBSTITUTE(INDEX('CASE MASTER'!$N$2:$N$495,(SUMPRODUCT((('CASE MASTER'!$T$2:$T$495=15)*('CASE MASTER'!$AA$2:$AA$495&lt;=3)*('CASE MASTER'!$AC$2:$AC$495&gt;=3)*('CASE MASTER'!$AB$2:$AB$495&lt;=4)*('CASE MASTER'!$AD$2:$AD$495&gt;=4))*ROW('CASE MASTER'!$T$2:$T$495))-(ROW('CASE MASTER'!#REF!)-1))),":",","),",",REPT(" ",50)),(((INDEX('CASE MASTER'!$Z$2:$Z$495,(SUMPRODUCT((('CASE MASTER'!$T$2:$T$495=15)*('CASE MASTER'!$AA$2:$AA$495&lt;=3)*('CASE MASTER'!$AC$2:$AC$495&gt;=3)*('CASE MASTER'!$AB$2:$AB$495&lt;=4)*('CASE MASTER'!$AD$2:$AD$495&gt;=4))*ROW('CASE MASTER'!$T$2:$T$495))-(ROW('CASE MASTER'!#REF!)-1)))+((3-INDEX('CASE MASTER'!$AA$2:$AA$495,(SUMPRODUCT((('CASE MASTER'!$T$2:$T$495=15)*('CASE MASTER'!$AA$2:$AA$495&lt;=3)*('CASE MASTER'!$AC$2:$AC$495&gt;=3)*('CASE MASTER'!$AB$2:$AB$495&lt;=4)*('CASE MASTER'!$AD$2:$AD$495&gt;=4))*ROW('CASE MASTER'!$T$2:$T$495))-(ROW('CASE MASTER'!#REF!)-1))))*(INDEX('CASE MASTER'!$AD$2:$AD$495,(SUMPRODUCT((('CASE MASTER'!$T$2:$T$495=15)*('CASE MASTER'!$AA$2:$AA$495&lt;=3)*('CASE MASTER'!$AC$2:$AC$495&gt;=3)*('CASE MASTER'!$AB$2:$AB$495&lt;=4)*('CASE MASTER'!$AD$2:$AD$495&gt;=4))*ROW('CASE MASTER'!$T$2:$T$495))-(ROW('CASE MASTER'!#REF!)-1)))-INDEX('CASE MASTER'!$AB$2:$AB$495,(SUMPRODUCT((('CASE MASTER'!$T$2:$T$495=15)*('CASE MASTER'!$AA$2:$AA$495&lt;=3)*('CASE MASTER'!$AC$2:$AC$495&gt;=3)*('CASE MASTER'!$AB$2:$AB$495&lt;=4)*('CASE MASTER'!$AD$2:$AD$495&gt;=4))*ROW('CASE MASTER'!$T$2:$T$495))-(ROW('CASE MASTER'!#REF!)-1)))+1)+(4-INDEX('CASE MASTER'!$AB$2:$AB$495,(SUMPRODUCT((('CASE MASTER'!$T$2:$T$495=15)*('CASE MASTER'!$AA$2:$AA$495&lt;=3)*('CASE MASTER'!$AC$2:$AC$495&gt;=3)*('CASE MASTER'!$AB$2:$AB$495&lt;=4)*('CASE MASTER'!$AD$2:$AD$495&gt;=4))*ROW('CASE MASTER'!$T$2:$T$495))-(ROW('CASE MASTER'!#REF!)-1))))+1)))-1)*50+1,50))&amp;"_"&amp;INDEX('CASE MASTER'!$Q$2:$Q$495,(SUMPRODUCT((('CASE MASTER'!$T$2:$T$495=15)*('CASE MASTER'!$AA$2:$AA$495&lt;=3)*('CASE MASTER'!$AC$2:$AC$495&gt;=3)*('CASE MASTER'!$AB$2:$AB$495&lt;=4)*('CASE MASTER'!$AD$2:$AD$495&gt;=4))*ROW('CASE MASTER'!$T$2:$T$495))-(ROW('CASE MASTER'!#REF!)-1))),"")),"")</f>
        <v/>
      </c>
      <c r="F201" s="10" t="str">
        <f>IFERROR(IF(SUMPRODUCT((('CASE MASTER'!$T$2:$T$495=15)*('CASE MASTER'!$U$2:$U$495&lt;=3)*('CASE MASTER'!$W$2:$W$495&gt;=3)*('CASE MASTER'!$V$2:$V$495&lt;=5)*('CASE MASTER'!$X$2:$X$495&gt;=5))*ROW('CASE MASTER'!$T$2:$T$495))&gt;0,INDEX('CASE MASTER'!$Y$2:$Y$495,(SUMPRODUCT((('CASE MASTER'!$T$2:$T$495=15)*('CASE MASTER'!$U$2:$U$495&lt;=3)*('CASE MASTER'!$W$2:$W$495&gt;=3)*('CASE MASTER'!$V$2:$V$495&lt;=5)*('CASE MASTER'!$X$2:$X$495&gt;=5))*ROW('CASE MASTER'!$T$2:$T$495))-(ROW('CASE MASTER'!#REF!)-1)))&amp;TRIM(MID(SUBSTITUTE(SUBSTITUTE(INDEX('CASE MASTER'!$N$2:$N$495,(SUMPRODUCT((('CASE MASTER'!$T$2:$T$495=15)*('CASE MASTER'!$U$2:$U$495&lt;=3)*('CASE MASTER'!$W$2:$W$495&gt;=3)*('CASE MASTER'!$V$2:$V$495&lt;=5)*('CASE MASTER'!$X$2:$X$495&gt;=5))*ROW('CASE MASTER'!$T$2:$T$495))-(ROW('CASE MASTER'!#REF!)-1))),":",","),",",REPT(" ",50)),((((3-INDEX('CASE MASTER'!$U$2:$U$495,(SUMPRODUCT((('CASE MASTER'!$T$2:$T$495=15)*('CASE MASTER'!$U$2:$U$495&lt;=3)*('CASE MASTER'!$W$2:$W$495&gt;=3)*('CASE MASTER'!$V$2:$V$495&lt;=5)*('CASE MASTER'!$X$2:$X$495&gt;=5))*ROW('CASE MASTER'!$T$2:$T$495))-(ROW('CASE MASTER'!#REF!)-1))))*(INDEX('CASE MASTER'!$X$2:$X$495,(SUMPRODUCT((('CASE MASTER'!$T$2:$T$495=15)*('CASE MASTER'!$U$2:$U$495&lt;=3)*('CASE MASTER'!$W$2:$W$495&gt;=3)*('CASE MASTER'!$V$2:$V$495&lt;=5)*('CASE MASTER'!$X$2:$X$495&gt;=5))*ROW('CASE MASTER'!$T$2:$T$495))-(ROW('CASE MASTER'!#REF!)-1)))-INDEX('CASE MASTER'!$V$2:$V$495,(SUMPRODUCT((('CASE MASTER'!$T$2:$T$495=15)*('CASE MASTER'!$U$2:$U$495&lt;=3)*('CASE MASTER'!$W$2:$W$495&gt;=3)*('CASE MASTER'!$V$2:$V$495&lt;=5)*('CASE MASTER'!$X$2:$X$495&gt;=5))*ROW('CASE MASTER'!$T$2:$T$495))-(ROW('CASE MASTER'!#REF!)-1)))+1)+(5-INDEX('CASE MASTER'!$V$2:$V$495,(SUMPRODUCT((('CASE MASTER'!$T$2:$T$495=15)*('CASE MASTER'!$U$2:$U$495&lt;=3)*('CASE MASTER'!$W$2:$W$495&gt;=3)*('CASE MASTER'!$V$2:$V$495&lt;=5)*('CASE MASTER'!$X$2:$X$495&gt;=5))*ROW('CASE MASTER'!$T$2:$T$495))-(ROW('CASE MASTER'!#REF!)-1))))+1))-1)*50+1,50))&amp;"_"&amp;INDEX('CASE MASTER'!$Q$2:$Q$495,(SUMPRODUCT((('CASE MASTER'!$T$2:$T$495=15)*('CASE MASTER'!$U$2:$U$495&lt;=3)*('CASE MASTER'!$W$2:$W$495&gt;=3)*('CASE MASTER'!$V$2:$V$495&lt;=5)*('CASE MASTER'!$X$2:$X$495&gt;=5))*ROW('CASE MASTER'!$T$2:$T$495))-(ROW('CASE MASTER'!#REF!)-1))),IF(SUMPRODUCT((('CASE MASTER'!$T$2:$T$495=15)*('CASE MASTER'!$AA$2:$AA$495&lt;=3)*('CASE MASTER'!$AC$2:$AC$495&gt;=3)*('CASE MASTER'!$AB$2:$AB$495&lt;=5)*('CASE MASTER'!$AD$2:$AD$495&gt;=5))*ROW('CASE MASTER'!$T$2:$T$495))&gt;0,INDEX('CASE MASTER'!$Y$2:$Y$495,(SUMPRODUCT((('CASE MASTER'!$T$2:$T$495=15)*('CASE MASTER'!$AA$2:$AA$495&lt;=3)*('CASE MASTER'!$AC$2:$AC$495&gt;=3)*('CASE MASTER'!$AB$2:$AB$495&lt;=5)*('CASE MASTER'!$AD$2:$AD$495&gt;=5))*ROW('CASE MASTER'!$T$2:$T$495))-(ROW('CASE MASTER'!#REF!)-1)))&amp;TRIM(MID(SUBSTITUTE(SUBSTITUTE(INDEX('CASE MASTER'!$N$2:$N$495,(SUMPRODUCT((('CASE MASTER'!$T$2:$T$495=15)*('CASE MASTER'!$AA$2:$AA$495&lt;=3)*('CASE MASTER'!$AC$2:$AC$495&gt;=3)*('CASE MASTER'!$AB$2:$AB$495&lt;=5)*('CASE MASTER'!$AD$2:$AD$495&gt;=5))*ROW('CASE MASTER'!$T$2:$T$495))-(ROW('CASE MASTER'!#REF!)-1))),":",","),",",REPT(" ",50)),(((INDEX('CASE MASTER'!$Z$2:$Z$495,(SUMPRODUCT((('CASE MASTER'!$T$2:$T$495=15)*('CASE MASTER'!$AA$2:$AA$495&lt;=3)*('CASE MASTER'!$AC$2:$AC$495&gt;=3)*('CASE MASTER'!$AB$2:$AB$495&lt;=5)*('CASE MASTER'!$AD$2:$AD$495&gt;=5))*ROW('CASE MASTER'!$T$2:$T$495))-(ROW('CASE MASTER'!#REF!)-1)))+((3-INDEX('CASE MASTER'!$AA$2:$AA$495,(SUMPRODUCT((('CASE MASTER'!$T$2:$T$495=15)*('CASE MASTER'!$AA$2:$AA$495&lt;=3)*('CASE MASTER'!$AC$2:$AC$495&gt;=3)*('CASE MASTER'!$AB$2:$AB$495&lt;=5)*('CASE MASTER'!$AD$2:$AD$495&gt;=5))*ROW('CASE MASTER'!$T$2:$T$495))-(ROW('CASE MASTER'!#REF!)-1))))*(INDEX('CASE MASTER'!$AD$2:$AD$495,(SUMPRODUCT((('CASE MASTER'!$T$2:$T$495=15)*('CASE MASTER'!$AA$2:$AA$495&lt;=3)*('CASE MASTER'!$AC$2:$AC$495&gt;=3)*('CASE MASTER'!$AB$2:$AB$495&lt;=5)*('CASE MASTER'!$AD$2:$AD$495&gt;=5))*ROW('CASE MASTER'!$T$2:$T$495))-(ROW('CASE MASTER'!#REF!)-1)))-INDEX('CASE MASTER'!$AB$2:$AB$495,(SUMPRODUCT((('CASE MASTER'!$T$2:$T$495=15)*('CASE MASTER'!$AA$2:$AA$495&lt;=3)*('CASE MASTER'!$AC$2:$AC$495&gt;=3)*('CASE MASTER'!$AB$2:$AB$495&lt;=5)*('CASE MASTER'!$AD$2:$AD$495&gt;=5))*ROW('CASE MASTER'!$T$2:$T$495))-(ROW('CASE MASTER'!#REF!)-1)))+1)+(5-INDEX('CASE MASTER'!$AB$2:$AB$495,(SUMPRODUCT((('CASE MASTER'!$T$2:$T$495=15)*('CASE MASTER'!$AA$2:$AA$495&lt;=3)*('CASE MASTER'!$AC$2:$AC$495&gt;=3)*('CASE MASTER'!$AB$2:$AB$495&lt;=5)*('CASE MASTER'!$AD$2:$AD$495&gt;=5))*ROW('CASE MASTER'!$T$2:$T$495))-(ROW('CASE MASTER'!#REF!)-1))))+1)))-1)*50+1,50))&amp;"_"&amp;INDEX('CASE MASTER'!$Q$2:$Q$495,(SUMPRODUCT((('CASE MASTER'!$T$2:$T$495=15)*('CASE MASTER'!$AA$2:$AA$495&lt;=3)*('CASE MASTER'!$AC$2:$AC$495&gt;=3)*('CASE MASTER'!$AB$2:$AB$495&lt;=5)*('CASE MASTER'!$AD$2:$AD$495&gt;=5))*ROW('CASE MASTER'!$T$2:$T$495))-(ROW('CASE MASTER'!#REF!)-1))),"")),"")</f>
        <v/>
      </c>
      <c r="G201" s="10" t="str">
        <f>IFERROR(IF(SUMPRODUCT((('CASE MASTER'!$T$2:$T$495=15)*('CASE MASTER'!$U$2:$U$495&lt;=3)*('CASE MASTER'!$W$2:$W$495&gt;=3)*('CASE MASTER'!$V$2:$V$495&lt;=6)*('CASE MASTER'!$X$2:$X$495&gt;=6))*ROW('CASE MASTER'!$T$2:$T$495))&gt;0,INDEX('CASE MASTER'!$Y$2:$Y$495,(SUMPRODUCT((('CASE MASTER'!$T$2:$T$495=15)*('CASE MASTER'!$U$2:$U$495&lt;=3)*('CASE MASTER'!$W$2:$W$495&gt;=3)*('CASE MASTER'!$V$2:$V$495&lt;=6)*('CASE MASTER'!$X$2:$X$495&gt;=6))*ROW('CASE MASTER'!$T$2:$T$495))-(ROW('CASE MASTER'!#REF!)-1)))&amp;TRIM(MID(SUBSTITUTE(SUBSTITUTE(INDEX('CASE MASTER'!$N$2:$N$495,(SUMPRODUCT((('CASE MASTER'!$T$2:$T$495=15)*('CASE MASTER'!$U$2:$U$495&lt;=3)*('CASE MASTER'!$W$2:$W$495&gt;=3)*('CASE MASTER'!$V$2:$V$495&lt;=6)*('CASE MASTER'!$X$2:$X$495&gt;=6))*ROW('CASE MASTER'!$T$2:$T$495))-(ROW('CASE MASTER'!#REF!)-1))),":",","),",",REPT(" ",50)),((((3-INDEX('CASE MASTER'!$U$2:$U$495,(SUMPRODUCT((('CASE MASTER'!$T$2:$T$495=15)*('CASE MASTER'!$U$2:$U$495&lt;=3)*('CASE MASTER'!$W$2:$W$495&gt;=3)*('CASE MASTER'!$V$2:$V$495&lt;=6)*('CASE MASTER'!$X$2:$X$495&gt;=6))*ROW('CASE MASTER'!$T$2:$T$495))-(ROW('CASE MASTER'!#REF!)-1))))*(INDEX('CASE MASTER'!$X$2:$X$495,(SUMPRODUCT((('CASE MASTER'!$T$2:$T$495=15)*('CASE MASTER'!$U$2:$U$495&lt;=3)*('CASE MASTER'!$W$2:$W$495&gt;=3)*('CASE MASTER'!$V$2:$V$495&lt;=6)*('CASE MASTER'!$X$2:$X$495&gt;=6))*ROW('CASE MASTER'!$T$2:$T$495))-(ROW('CASE MASTER'!#REF!)-1)))-INDEX('CASE MASTER'!$V$2:$V$495,(SUMPRODUCT((('CASE MASTER'!$T$2:$T$495=15)*('CASE MASTER'!$U$2:$U$495&lt;=3)*('CASE MASTER'!$W$2:$W$495&gt;=3)*('CASE MASTER'!$V$2:$V$495&lt;=6)*('CASE MASTER'!$X$2:$X$495&gt;=6))*ROW('CASE MASTER'!$T$2:$T$495))-(ROW('CASE MASTER'!#REF!)-1)))+1)+(6-INDEX('CASE MASTER'!$V$2:$V$495,(SUMPRODUCT((('CASE MASTER'!$T$2:$T$495=15)*('CASE MASTER'!$U$2:$U$495&lt;=3)*('CASE MASTER'!$W$2:$W$495&gt;=3)*('CASE MASTER'!$V$2:$V$495&lt;=6)*('CASE MASTER'!$X$2:$X$495&gt;=6))*ROW('CASE MASTER'!$T$2:$T$495))-(ROW('CASE MASTER'!#REF!)-1))))+1))-1)*50+1,50))&amp;"_"&amp;INDEX('CASE MASTER'!$Q$2:$Q$495,(SUMPRODUCT((('CASE MASTER'!$T$2:$T$495=15)*('CASE MASTER'!$U$2:$U$495&lt;=3)*('CASE MASTER'!$W$2:$W$495&gt;=3)*('CASE MASTER'!$V$2:$V$495&lt;=6)*('CASE MASTER'!$X$2:$X$495&gt;=6))*ROW('CASE MASTER'!$T$2:$T$495))-(ROW('CASE MASTER'!#REF!)-1))),IF(SUMPRODUCT((('CASE MASTER'!$T$2:$T$495=15)*('CASE MASTER'!$AA$2:$AA$495&lt;=3)*('CASE MASTER'!$AC$2:$AC$495&gt;=3)*('CASE MASTER'!$AB$2:$AB$495&lt;=6)*('CASE MASTER'!$AD$2:$AD$495&gt;=6))*ROW('CASE MASTER'!$T$2:$T$495))&gt;0,INDEX('CASE MASTER'!$Y$2:$Y$495,(SUMPRODUCT((('CASE MASTER'!$T$2:$T$495=15)*('CASE MASTER'!$AA$2:$AA$495&lt;=3)*('CASE MASTER'!$AC$2:$AC$495&gt;=3)*('CASE MASTER'!$AB$2:$AB$495&lt;=6)*('CASE MASTER'!$AD$2:$AD$495&gt;=6))*ROW('CASE MASTER'!$T$2:$T$495))-(ROW('CASE MASTER'!#REF!)-1)))&amp;TRIM(MID(SUBSTITUTE(SUBSTITUTE(INDEX('CASE MASTER'!$N$2:$N$495,(SUMPRODUCT((('CASE MASTER'!$T$2:$T$495=15)*('CASE MASTER'!$AA$2:$AA$495&lt;=3)*('CASE MASTER'!$AC$2:$AC$495&gt;=3)*('CASE MASTER'!$AB$2:$AB$495&lt;=6)*('CASE MASTER'!$AD$2:$AD$495&gt;=6))*ROW('CASE MASTER'!$T$2:$T$495))-(ROW('CASE MASTER'!#REF!)-1))),":",","),",",REPT(" ",50)),(((INDEX('CASE MASTER'!$Z$2:$Z$495,(SUMPRODUCT((('CASE MASTER'!$T$2:$T$495=15)*('CASE MASTER'!$AA$2:$AA$495&lt;=3)*('CASE MASTER'!$AC$2:$AC$495&gt;=3)*('CASE MASTER'!$AB$2:$AB$495&lt;=6)*('CASE MASTER'!$AD$2:$AD$495&gt;=6))*ROW('CASE MASTER'!$T$2:$T$495))-(ROW('CASE MASTER'!#REF!)-1)))+((3-INDEX('CASE MASTER'!$AA$2:$AA$495,(SUMPRODUCT((('CASE MASTER'!$T$2:$T$495=15)*('CASE MASTER'!$AA$2:$AA$495&lt;=3)*('CASE MASTER'!$AC$2:$AC$495&gt;=3)*('CASE MASTER'!$AB$2:$AB$495&lt;=6)*('CASE MASTER'!$AD$2:$AD$495&gt;=6))*ROW('CASE MASTER'!$T$2:$T$495))-(ROW('CASE MASTER'!#REF!)-1))))*(INDEX('CASE MASTER'!$AD$2:$AD$495,(SUMPRODUCT((('CASE MASTER'!$T$2:$T$495=15)*('CASE MASTER'!$AA$2:$AA$495&lt;=3)*('CASE MASTER'!$AC$2:$AC$495&gt;=3)*('CASE MASTER'!$AB$2:$AB$495&lt;=6)*('CASE MASTER'!$AD$2:$AD$495&gt;=6))*ROW('CASE MASTER'!$T$2:$T$495))-(ROW('CASE MASTER'!#REF!)-1)))-INDEX('CASE MASTER'!$AB$2:$AB$495,(SUMPRODUCT((('CASE MASTER'!$T$2:$T$495=15)*('CASE MASTER'!$AA$2:$AA$495&lt;=3)*('CASE MASTER'!$AC$2:$AC$495&gt;=3)*('CASE MASTER'!$AB$2:$AB$495&lt;=6)*('CASE MASTER'!$AD$2:$AD$495&gt;=6))*ROW('CASE MASTER'!$T$2:$T$495))-(ROW('CASE MASTER'!#REF!)-1)))+1)+(6-INDEX('CASE MASTER'!$AB$2:$AB$495,(SUMPRODUCT((('CASE MASTER'!$T$2:$T$495=15)*('CASE MASTER'!$AA$2:$AA$495&lt;=3)*('CASE MASTER'!$AC$2:$AC$495&gt;=3)*('CASE MASTER'!$AB$2:$AB$495&lt;=6)*('CASE MASTER'!$AD$2:$AD$495&gt;=6))*ROW('CASE MASTER'!$T$2:$T$495))-(ROW('CASE MASTER'!#REF!)-1))))+1)))-1)*50+1,50))&amp;"_"&amp;INDEX('CASE MASTER'!$Q$2:$Q$495,(SUMPRODUCT((('CASE MASTER'!$T$2:$T$495=15)*('CASE MASTER'!$AA$2:$AA$495&lt;=3)*('CASE MASTER'!$AC$2:$AC$495&gt;=3)*('CASE MASTER'!$AB$2:$AB$495&lt;=6)*('CASE MASTER'!$AD$2:$AD$495&gt;=6))*ROW('CASE MASTER'!$T$2:$T$495))-(ROW('CASE MASTER'!#REF!)-1))),"")),"")</f>
        <v/>
      </c>
      <c r="H201" s="10" t="str">
        <f>IFERROR(IF(SUMPRODUCT((('CASE MASTER'!$T$2:$T$495=15)*('CASE MASTER'!$U$2:$U$495&lt;=3)*('CASE MASTER'!$W$2:$W$495&gt;=3)*('CASE MASTER'!$V$2:$V$495&lt;=7)*('CASE MASTER'!$X$2:$X$495&gt;=7))*ROW('CASE MASTER'!$T$2:$T$495))&gt;0,INDEX('CASE MASTER'!$Y$2:$Y$495,(SUMPRODUCT((('CASE MASTER'!$T$2:$T$495=15)*('CASE MASTER'!$U$2:$U$495&lt;=3)*('CASE MASTER'!$W$2:$W$495&gt;=3)*('CASE MASTER'!$V$2:$V$495&lt;=7)*('CASE MASTER'!$X$2:$X$495&gt;=7))*ROW('CASE MASTER'!$T$2:$T$495))-(ROW('CASE MASTER'!#REF!)-1)))&amp;TRIM(MID(SUBSTITUTE(SUBSTITUTE(INDEX('CASE MASTER'!$N$2:$N$495,(SUMPRODUCT((('CASE MASTER'!$T$2:$T$495=15)*('CASE MASTER'!$U$2:$U$495&lt;=3)*('CASE MASTER'!$W$2:$W$495&gt;=3)*('CASE MASTER'!$V$2:$V$495&lt;=7)*('CASE MASTER'!$X$2:$X$495&gt;=7))*ROW('CASE MASTER'!$T$2:$T$495))-(ROW('CASE MASTER'!#REF!)-1))),":",","),",",REPT(" ",50)),((((3-INDEX('CASE MASTER'!$U$2:$U$495,(SUMPRODUCT((('CASE MASTER'!$T$2:$T$495=15)*('CASE MASTER'!$U$2:$U$495&lt;=3)*('CASE MASTER'!$W$2:$W$495&gt;=3)*('CASE MASTER'!$V$2:$V$495&lt;=7)*('CASE MASTER'!$X$2:$X$495&gt;=7))*ROW('CASE MASTER'!$T$2:$T$495))-(ROW('CASE MASTER'!#REF!)-1))))*(INDEX('CASE MASTER'!$X$2:$X$495,(SUMPRODUCT((('CASE MASTER'!$T$2:$T$495=15)*('CASE MASTER'!$U$2:$U$495&lt;=3)*('CASE MASTER'!$W$2:$W$495&gt;=3)*('CASE MASTER'!$V$2:$V$495&lt;=7)*('CASE MASTER'!$X$2:$X$495&gt;=7))*ROW('CASE MASTER'!$T$2:$T$495))-(ROW('CASE MASTER'!#REF!)-1)))-INDEX('CASE MASTER'!$V$2:$V$495,(SUMPRODUCT((('CASE MASTER'!$T$2:$T$495=15)*('CASE MASTER'!$U$2:$U$495&lt;=3)*('CASE MASTER'!$W$2:$W$495&gt;=3)*('CASE MASTER'!$V$2:$V$495&lt;=7)*('CASE MASTER'!$X$2:$X$495&gt;=7))*ROW('CASE MASTER'!$T$2:$T$495))-(ROW('CASE MASTER'!#REF!)-1)))+1)+(7-INDEX('CASE MASTER'!$V$2:$V$495,(SUMPRODUCT((('CASE MASTER'!$T$2:$T$495=15)*('CASE MASTER'!$U$2:$U$495&lt;=3)*('CASE MASTER'!$W$2:$W$495&gt;=3)*('CASE MASTER'!$V$2:$V$495&lt;=7)*('CASE MASTER'!$X$2:$X$495&gt;=7))*ROW('CASE MASTER'!$T$2:$T$495))-(ROW('CASE MASTER'!#REF!)-1))))+1))-1)*50+1,50))&amp;"_"&amp;INDEX('CASE MASTER'!$Q$2:$Q$495,(SUMPRODUCT((('CASE MASTER'!$T$2:$T$495=15)*('CASE MASTER'!$U$2:$U$495&lt;=3)*('CASE MASTER'!$W$2:$W$495&gt;=3)*('CASE MASTER'!$V$2:$V$495&lt;=7)*('CASE MASTER'!$X$2:$X$495&gt;=7))*ROW('CASE MASTER'!$T$2:$T$495))-(ROW('CASE MASTER'!#REF!)-1))),IF(SUMPRODUCT((('CASE MASTER'!$T$2:$T$495=15)*('CASE MASTER'!$AA$2:$AA$495&lt;=3)*('CASE MASTER'!$AC$2:$AC$495&gt;=3)*('CASE MASTER'!$AB$2:$AB$495&lt;=7)*('CASE MASTER'!$AD$2:$AD$495&gt;=7))*ROW('CASE MASTER'!$T$2:$T$495))&gt;0,INDEX('CASE MASTER'!$Y$2:$Y$495,(SUMPRODUCT((('CASE MASTER'!$T$2:$T$495=15)*('CASE MASTER'!$AA$2:$AA$495&lt;=3)*('CASE MASTER'!$AC$2:$AC$495&gt;=3)*('CASE MASTER'!$AB$2:$AB$495&lt;=7)*('CASE MASTER'!$AD$2:$AD$495&gt;=7))*ROW('CASE MASTER'!$T$2:$T$495))-(ROW('CASE MASTER'!#REF!)-1)))&amp;TRIM(MID(SUBSTITUTE(SUBSTITUTE(INDEX('CASE MASTER'!$N$2:$N$495,(SUMPRODUCT((('CASE MASTER'!$T$2:$T$495=15)*('CASE MASTER'!$AA$2:$AA$495&lt;=3)*('CASE MASTER'!$AC$2:$AC$495&gt;=3)*('CASE MASTER'!$AB$2:$AB$495&lt;=7)*('CASE MASTER'!$AD$2:$AD$495&gt;=7))*ROW('CASE MASTER'!$T$2:$T$495))-(ROW('CASE MASTER'!#REF!)-1))),":",","),",",REPT(" ",50)),(((INDEX('CASE MASTER'!$Z$2:$Z$495,(SUMPRODUCT((('CASE MASTER'!$T$2:$T$495=15)*('CASE MASTER'!$AA$2:$AA$495&lt;=3)*('CASE MASTER'!$AC$2:$AC$495&gt;=3)*('CASE MASTER'!$AB$2:$AB$495&lt;=7)*('CASE MASTER'!$AD$2:$AD$495&gt;=7))*ROW('CASE MASTER'!$T$2:$T$495))-(ROW('CASE MASTER'!#REF!)-1)))+((3-INDEX('CASE MASTER'!$AA$2:$AA$495,(SUMPRODUCT((('CASE MASTER'!$T$2:$T$495=15)*('CASE MASTER'!$AA$2:$AA$495&lt;=3)*('CASE MASTER'!$AC$2:$AC$495&gt;=3)*('CASE MASTER'!$AB$2:$AB$495&lt;=7)*('CASE MASTER'!$AD$2:$AD$495&gt;=7))*ROW('CASE MASTER'!$T$2:$T$495))-(ROW('CASE MASTER'!#REF!)-1))))*(INDEX('CASE MASTER'!$AD$2:$AD$495,(SUMPRODUCT((('CASE MASTER'!$T$2:$T$495=15)*('CASE MASTER'!$AA$2:$AA$495&lt;=3)*('CASE MASTER'!$AC$2:$AC$495&gt;=3)*('CASE MASTER'!$AB$2:$AB$495&lt;=7)*('CASE MASTER'!$AD$2:$AD$495&gt;=7))*ROW('CASE MASTER'!$T$2:$T$495))-(ROW('CASE MASTER'!#REF!)-1)))-INDEX('CASE MASTER'!$AB$2:$AB$495,(SUMPRODUCT((('CASE MASTER'!$T$2:$T$495=15)*('CASE MASTER'!$AA$2:$AA$495&lt;=3)*('CASE MASTER'!$AC$2:$AC$495&gt;=3)*('CASE MASTER'!$AB$2:$AB$495&lt;=7)*('CASE MASTER'!$AD$2:$AD$495&gt;=7))*ROW('CASE MASTER'!$T$2:$T$495))-(ROW('CASE MASTER'!#REF!)-1)))+1)+(7-INDEX('CASE MASTER'!$AB$2:$AB$495,(SUMPRODUCT((('CASE MASTER'!$T$2:$T$495=15)*('CASE MASTER'!$AA$2:$AA$495&lt;=3)*('CASE MASTER'!$AC$2:$AC$495&gt;=3)*('CASE MASTER'!$AB$2:$AB$495&lt;=7)*('CASE MASTER'!$AD$2:$AD$495&gt;=7))*ROW('CASE MASTER'!$T$2:$T$495))-(ROW('CASE MASTER'!#REF!)-1))))+1)))-1)*50+1,50))&amp;"_"&amp;INDEX('CASE MASTER'!$Q$2:$Q$495,(SUMPRODUCT((('CASE MASTER'!$T$2:$T$495=15)*('CASE MASTER'!$AA$2:$AA$495&lt;=3)*('CASE MASTER'!$AC$2:$AC$495&gt;=3)*('CASE MASTER'!$AB$2:$AB$495&lt;=7)*('CASE MASTER'!$AD$2:$AD$495&gt;=7))*ROW('CASE MASTER'!$T$2:$T$495))-(ROW('CASE MASTER'!#REF!)-1))),"")),"")</f>
        <v/>
      </c>
      <c r="I201" s="10" t="str">
        <f>IFERROR(IF(SUMPRODUCT((('CASE MASTER'!$T$2:$T$495=15)*('CASE MASTER'!$U$2:$U$495&lt;=3)*('CASE MASTER'!$W$2:$W$495&gt;=3)*('CASE MASTER'!$V$2:$V$495&lt;=8)*('CASE MASTER'!$X$2:$X$495&gt;=8))*ROW('CASE MASTER'!$T$2:$T$495))&gt;0,INDEX('CASE MASTER'!$Y$2:$Y$495,(SUMPRODUCT((('CASE MASTER'!$T$2:$T$495=15)*('CASE MASTER'!$U$2:$U$495&lt;=3)*('CASE MASTER'!$W$2:$W$495&gt;=3)*('CASE MASTER'!$V$2:$V$495&lt;=8)*('CASE MASTER'!$X$2:$X$495&gt;=8))*ROW('CASE MASTER'!$T$2:$T$495))-(ROW('CASE MASTER'!#REF!)-1)))&amp;TRIM(MID(SUBSTITUTE(SUBSTITUTE(INDEX('CASE MASTER'!$N$2:$N$495,(SUMPRODUCT((('CASE MASTER'!$T$2:$T$495=15)*('CASE MASTER'!$U$2:$U$495&lt;=3)*('CASE MASTER'!$W$2:$W$495&gt;=3)*('CASE MASTER'!$V$2:$V$495&lt;=8)*('CASE MASTER'!$X$2:$X$495&gt;=8))*ROW('CASE MASTER'!$T$2:$T$495))-(ROW('CASE MASTER'!#REF!)-1))),":",","),",",REPT(" ",50)),((((3-INDEX('CASE MASTER'!$U$2:$U$495,(SUMPRODUCT((('CASE MASTER'!$T$2:$T$495=15)*('CASE MASTER'!$U$2:$U$495&lt;=3)*('CASE MASTER'!$W$2:$W$495&gt;=3)*('CASE MASTER'!$V$2:$V$495&lt;=8)*('CASE MASTER'!$X$2:$X$495&gt;=8))*ROW('CASE MASTER'!$T$2:$T$495))-(ROW('CASE MASTER'!#REF!)-1))))*(INDEX('CASE MASTER'!$X$2:$X$495,(SUMPRODUCT((('CASE MASTER'!$T$2:$T$495=15)*('CASE MASTER'!$U$2:$U$495&lt;=3)*('CASE MASTER'!$W$2:$W$495&gt;=3)*('CASE MASTER'!$V$2:$V$495&lt;=8)*('CASE MASTER'!$X$2:$X$495&gt;=8))*ROW('CASE MASTER'!$T$2:$T$495))-(ROW('CASE MASTER'!#REF!)-1)))-INDEX('CASE MASTER'!$V$2:$V$495,(SUMPRODUCT((('CASE MASTER'!$T$2:$T$495=15)*('CASE MASTER'!$U$2:$U$495&lt;=3)*('CASE MASTER'!$W$2:$W$495&gt;=3)*('CASE MASTER'!$V$2:$V$495&lt;=8)*('CASE MASTER'!$X$2:$X$495&gt;=8))*ROW('CASE MASTER'!$T$2:$T$495))-(ROW('CASE MASTER'!#REF!)-1)))+1)+(8-INDEX('CASE MASTER'!$V$2:$V$495,(SUMPRODUCT((('CASE MASTER'!$T$2:$T$495=15)*('CASE MASTER'!$U$2:$U$495&lt;=3)*('CASE MASTER'!$W$2:$W$495&gt;=3)*('CASE MASTER'!$V$2:$V$495&lt;=8)*('CASE MASTER'!$X$2:$X$495&gt;=8))*ROW('CASE MASTER'!$T$2:$T$495))-(ROW('CASE MASTER'!#REF!)-1))))+1))-1)*50+1,50))&amp;"_"&amp;INDEX('CASE MASTER'!$Q$2:$Q$495,(SUMPRODUCT((('CASE MASTER'!$T$2:$T$495=15)*('CASE MASTER'!$U$2:$U$495&lt;=3)*('CASE MASTER'!$W$2:$W$495&gt;=3)*('CASE MASTER'!$V$2:$V$495&lt;=8)*('CASE MASTER'!$X$2:$X$495&gt;=8))*ROW('CASE MASTER'!$T$2:$T$495))-(ROW('CASE MASTER'!#REF!)-1))),IF(SUMPRODUCT((('CASE MASTER'!$T$2:$T$495=15)*('CASE MASTER'!$AA$2:$AA$495&lt;=3)*('CASE MASTER'!$AC$2:$AC$495&gt;=3)*('CASE MASTER'!$AB$2:$AB$495&lt;=8)*('CASE MASTER'!$AD$2:$AD$495&gt;=8))*ROW('CASE MASTER'!$T$2:$T$495))&gt;0,INDEX('CASE MASTER'!$Y$2:$Y$495,(SUMPRODUCT((('CASE MASTER'!$T$2:$T$495=15)*('CASE MASTER'!$AA$2:$AA$495&lt;=3)*('CASE MASTER'!$AC$2:$AC$495&gt;=3)*('CASE MASTER'!$AB$2:$AB$495&lt;=8)*('CASE MASTER'!$AD$2:$AD$495&gt;=8))*ROW('CASE MASTER'!$T$2:$T$495))-(ROW('CASE MASTER'!#REF!)-1)))&amp;TRIM(MID(SUBSTITUTE(SUBSTITUTE(INDEX('CASE MASTER'!$N$2:$N$495,(SUMPRODUCT((('CASE MASTER'!$T$2:$T$495=15)*('CASE MASTER'!$AA$2:$AA$495&lt;=3)*('CASE MASTER'!$AC$2:$AC$495&gt;=3)*('CASE MASTER'!$AB$2:$AB$495&lt;=8)*('CASE MASTER'!$AD$2:$AD$495&gt;=8))*ROW('CASE MASTER'!$T$2:$T$495))-(ROW('CASE MASTER'!#REF!)-1))),":",","),",",REPT(" ",50)),(((INDEX('CASE MASTER'!$Z$2:$Z$495,(SUMPRODUCT((('CASE MASTER'!$T$2:$T$495=15)*('CASE MASTER'!$AA$2:$AA$495&lt;=3)*('CASE MASTER'!$AC$2:$AC$495&gt;=3)*('CASE MASTER'!$AB$2:$AB$495&lt;=8)*('CASE MASTER'!$AD$2:$AD$495&gt;=8))*ROW('CASE MASTER'!$T$2:$T$495))-(ROW('CASE MASTER'!#REF!)-1)))+((3-INDEX('CASE MASTER'!$AA$2:$AA$495,(SUMPRODUCT((('CASE MASTER'!$T$2:$T$495=15)*('CASE MASTER'!$AA$2:$AA$495&lt;=3)*('CASE MASTER'!$AC$2:$AC$495&gt;=3)*('CASE MASTER'!$AB$2:$AB$495&lt;=8)*('CASE MASTER'!$AD$2:$AD$495&gt;=8))*ROW('CASE MASTER'!$T$2:$T$495))-(ROW('CASE MASTER'!#REF!)-1))))*(INDEX('CASE MASTER'!$AD$2:$AD$495,(SUMPRODUCT((('CASE MASTER'!$T$2:$T$495=15)*('CASE MASTER'!$AA$2:$AA$495&lt;=3)*('CASE MASTER'!$AC$2:$AC$495&gt;=3)*('CASE MASTER'!$AB$2:$AB$495&lt;=8)*('CASE MASTER'!$AD$2:$AD$495&gt;=8))*ROW('CASE MASTER'!$T$2:$T$495))-(ROW('CASE MASTER'!#REF!)-1)))-INDEX('CASE MASTER'!$AB$2:$AB$495,(SUMPRODUCT((('CASE MASTER'!$T$2:$T$495=15)*('CASE MASTER'!$AA$2:$AA$495&lt;=3)*('CASE MASTER'!$AC$2:$AC$495&gt;=3)*('CASE MASTER'!$AB$2:$AB$495&lt;=8)*('CASE MASTER'!$AD$2:$AD$495&gt;=8))*ROW('CASE MASTER'!$T$2:$T$495))-(ROW('CASE MASTER'!#REF!)-1)))+1)+(8-INDEX('CASE MASTER'!$AB$2:$AB$495,(SUMPRODUCT((('CASE MASTER'!$T$2:$T$495=15)*('CASE MASTER'!$AA$2:$AA$495&lt;=3)*('CASE MASTER'!$AC$2:$AC$495&gt;=3)*('CASE MASTER'!$AB$2:$AB$495&lt;=8)*('CASE MASTER'!$AD$2:$AD$495&gt;=8))*ROW('CASE MASTER'!$T$2:$T$495))-(ROW('CASE MASTER'!#REF!)-1))))+1)))-1)*50+1,50))&amp;"_"&amp;INDEX('CASE MASTER'!$Q$2:$Q$495,(SUMPRODUCT((('CASE MASTER'!$T$2:$T$495=15)*('CASE MASTER'!$AA$2:$AA$495&lt;=3)*('CASE MASTER'!$AC$2:$AC$495&gt;=3)*('CASE MASTER'!$AB$2:$AB$495&lt;=8)*('CASE MASTER'!$AD$2:$AD$495&gt;=8))*ROW('CASE MASTER'!$T$2:$T$495))-(ROW('CASE MASTER'!#REF!)-1))),"")),"")</f>
        <v/>
      </c>
      <c r="J201" s="10" t="str">
        <f>IFERROR(IF(SUMPRODUCT((('CASE MASTER'!$T$2:$T$495=15)*('CASE MASTER'!$U$2:$U$495&lt;=3)*('CASE MASTER'!$W$2:$W$495&gt;=3)*('CASE MASTER'!$V$2:$V$495&lt;=9)*('CASE MASTER'!$X$2:$X$495&gt;=9))*ROW('CASE MASTER'!$T$2:$T$495))&gt;0,INDEX('CASE MASTER'!$Y$2:$Y$495,(SUMPRODUCT((('CASE MASTER'!$T$2:$T$495=15)*('CASE MASTER'!$U$2:$U$495&lt;=3)*('CASE MASTER'!$W$2:$W$495&gt;=3)*('CASE MASTER'!$V$2:$V$495&lt;=9)*('CASE MASTER'!$X$2:$X$495&gt;=9))*ROW('CASE MASTER'!$T$2:$T$495))-(ROW('CASE MASTER'!#REF!)-1)))&amp;TRIM(MID(SUBSTITUTE(SUBSTITUTE(INDEX('CASE MASTER'!$N$2:$N$495,(SUMPRODUCT((('CASE MASTER'!$T$2:$T$495=15)*('CASE MASTER'!$U$2:$U$495&lt;=3)*('CASE MASTER'!$W$2:$W$495&gt;=3)*('CASE MASTER'!$V$2:$V$495&lt;=9)*('CASE MASTER'!$X$2:$X$495&gt;=9))*ROW('CASE MASTER'!$T$2:$T$495))-(ROW('CASE MASTER'!#REF!)-1))),":",","),",",REPT(" ",50)),((((3-INDEX('CASE MASTER'!$U$2:$U$495,(SUMPRODUCT((('CASE MASTER'!$T$2:$T$495=15)*('CASE MASTER'!$U$2:$U$495&lt;=3)*('CASE MASTER'!$W$2:$W$495&gt;=3)*('CASE MASTER'!$V$2:$V$495&lt;=9)*('CASE MASTER'!$X$2:$X$495&gt;=9))*ROW('CASE MASTER'!$T$2:$T$495))-(ROW('CASE MASTER'!#REF!)-1))))*(INDEX('CASE MASTER'!$X$2:$X$495,(SUMPRODUCT((('CASE MASTER'!$T$2:$T$495=15)*('CASE MASTER'!$U$2:$U$495&lt;=3)*('CASE MASTER'!$W$2:$W$495&gt;=3)*('CASE MASTER'!$V$2:$V$495&lt;=9)*('CASE MASTER'!$X$2:$X$495&gt;=9))*ROW('CASE MASTER'!$T$2:$T$495))-(ROW('CASE MASTER'!#REF!)-1)))-INDEX('CASE MASTER'!$V$2:$V$495,(SUMPRODUCT((('CASE MASTER'!$T$2:$T$495=15)*('CASE MASTER'!$U$2:$U$495&lt;=3)*('CASE MASTER'!$W$2:$W$495&gt;=3)*('CASE MASTER'!$V$2:$V$495&lt;=9)*('CASE MASTER'!$X$2:$X$495&gt;=9))*ROW('CASE MASTER'!$T$2:$T$495))-(ROW('CASE MASTER'!#REF!)-1)))+1)+(9-INDEX('CASE MASTER'!$V$2:$V$495,(SUMPRODUCT((('CASE MASTER'!$T$2:$T$495=15)*('CASE MASTER'!$U$2:$U$495&lt;=3)*('CASE MASTER'!$W$2:$W$495&gt;=3)*('CASE MASTER'!$V$2:$V$495&lt;=9)*('CASE MASTER'!$X$2:$X$495&gt;=9))*ROW('CASE MASTER'!$T$2:$T$495))-(ROW('CASE MASTER'!#REF!)-1))))+1))-1)*50+1,50))&amp;"_"&amp;INDEX('CASE MASTER'!$Q$2:$Q$495,(SUMPRODUCT((('CASE MASTER'!$T$2:$T$495=15)*('CASE MASTER'!$U$2:$U$495&lt;=3)*('CASE MASTER'!$W$2:$W$495&gt;=3)*('CASE MASTER'!$V$2:$V$495&lt;=9)*('CASE MASTER'!$X$2:$X$495&gt;=9))*ROW('CASE MASTER'!$T$2:$T$495))-(ROW('CASE MASTER'!#REF!)-1))),IF(SUMPRODUCT((('CASE MASTER'!$T$2:$T$495=15)*('CASE MASTER'!$AA$2:$AA$495&lt;=3)*('CASE MASTER'!$AC$2:$AC$495&gt;=3)*('CASE MASTER'!$AB$2:$AB$495&lt;=9)*('CASE MASTER'!$AD$2:$AD$495&gt;=9))*ROW('CASE MASTER'!$T$2:$T$495))&gt;0,INDEX('CASE MASTER'!$Y$2:$Y$495,(SUMPRODUCT((('CASE MASTER'!$T$2:$T$495=15)*('CASE MASTER'!$AA$2:$AA$495&lt;=3)*('CASE MASTER'!$AC$2:$AC$495&gt;=3)*('CASE MASTER'!$AB$2:$AB$495&lt;=9)*('CASE MASTER'!$AD$2:$AD$495&gt;=9))*ROW('CASE MASTER'!$T$2:$T$495))-(ROW('CASE MASTER'!#REF!)-1)))&amp;TRIM(MID(SUBSTITUTE(SUBSTITUTE(INDEX('CASE MASTER'!$N$2:$N$495,(SUMPRODUCT((('CASE MASTER'!$T$2:$T$495=15)*('CASE MASTER'!$AA$2:$AA$495&lt;=3)*('CASE MASTER'!$AC$2:$AC$495&gt;=3)*('CASE MASTER'!$AB$2:$AB$495&lt;=9)*('CASE MASTER'!$AD$2:$AD$495&gt;=9))*ROW('CASE MASTER'!$T$2:$T$495))-(ROW('CASE MASTER'!#REF!)-1))),":",","),",",REPT(" ",50)),(((INDEX('CASE MASTER'!$Z$2:$Z$495,(SUMPRODUCT((('CASE MASTER'!$T$2:$T$495=15)*('CASE MASTER'!$AA$2:$AA$495&lt;=3)*('CASE MASTER'!$AC$2:$AC$495&gt;=3)*('CASE MASTER'!$AB$2:$AB$495&lt;=9)*('CASE MASTER'!$AD$2:$AD$495&gt;=9))*ROW('CASE MASTER'!$T$2:$T$495))-(ROW('CASE MASTER'!#REF!)-1)))+((3-INDEX('CASE MASTER'!$AA$2:$AA$495,(SUMPRODUCT((('CASE MASTER'!$T$2:$T$495=15)*('CASE MASTER'!$AA$2:$AA$495&lt;=3)*('CASE MASTER'!$AC$2:$AC$495&gt;=3)*('CASE MASTER'!$AB$2:$AB$495&lt;=9)*('CASE MASTER'!$AD$2:$AD$495&gt;=9))*ROW('CASE MASTER'!$T$2:$T$495))-(ROW('CASE MASTER'!#REF!)-1))))*(INDEX('CASE MASTER'!$AD$2:$AD$495,(SUMPRODUCT((('CASE MASTER'!$T$2:$T$495=15)*('CASE MASTER'!$AA$2:$AA$495&lt;=3)*('CASE MASTER'!$AC$2:$AC$495&gt;=3)*('CASE MASTER'!$AB$2:$AB$495&lt;=9)*('CASE MASTER'!$AD$2:$AD$495&gt;=9))*ROW('CASE MASTER'!$T$2:$T$495))-(ROW('CASE MASTER'!#REF!)-1)))-INDEX('CASE MASTER'!$AB$2:$AB$495,(SUMPRODUCT((('CASE MASTER'!$T$2:$T$495=15)*('CASE MASTER'!$AA$2:$AA$495&lt;=3)*('CASE MASTER'!$AC$2:$AC$495&gt;=3)*('CASE MASTER'!$AB$2:$AB$495&lt;=9)*('CASE MASTER'!$AD$2:$AD$495&gt;=9))*ROW('CASE MASTER'!$T$2:$T$495))-(ROW('CASE MASTER'!#REF!)-1)))+1)+(9-INDEX('CASE MASTER'!$AB$2:$AB$495,(SUMPRODUCT((('CASE MASTER'!$T$2:$T$495=15)*('CASE MASTER'!$AA$2:$AA$495&lt;=3)*('CASE MASTER'!$AC$2:$AC$495&gt;=3)*('CASE MASTER'!$AB$2:$AB$495&lt;=9)*('CASE MASTER'!$AD$2:$AD$495&gt;=9))*ROW('CASE MASTER'!$T$2:$T$495))-(ROW('CASE MASTER'!#REF!)-1))))+1)))-1)*50+1,50))&amp;"_"&amp;INDEX('CASE MASTER'!$Q$2:$Q$495,(SUMPRODUCT((('CASE MASTER'!$T$2:$T$495=15)*('CASE MASTER'!$AA$2:$AA$495&lt;=3)*('CASE MASTER'!$AC$2:$AC$495&gt;=3)*('CASE MASTER'!$AB$2:$AB$495&lt;=9)*('CASE MASTER'!$AD$2:$AD$495&gt;=9))*ROW('CASE MASTER'!$T$2:$T$495))-(ROW('CASE MASTER'!#REF!)-1))),"")),"")</f>
        <v/>
      </c>
      <c r="K201" s="10" t="str">
        <f>IFERROR(IF(SUMPRODUCT((('CASE MASTER'!$T$2:$T$495=15)*('CASE MASTER'!$U$2:$U$495&lt;=3)*('CASE MASTER'!$W$2:$W$495&gt;=3)*('CASE MASTER'!$V$2:$V$495&lt;=10)*('CASE MASTER'!$X$2:$X$495&gt;=10))*ROW('CASE MASTER'!$T$2:$T$495))&gt;0,INDEX('CASE MASTER'!$Y$2:$Y$495,(SUMPRODUCT((('CASE MASTER'!$T$2:$T$495=15)*('CASE MASTER'!$U$2:$U$495&lt;=3)*('CASE MASTER'!$W$2:$W$495&gt;=3)*('CASE MASTER'!$V$2:$V$495&lt;=10)*('CASE MASTER'!$X$2:$X$495&gt;=10))*ROW('CASE MASTER'!$T$2:$T$495))-(ROW('CASE MASTER'!#REF!)-1)))&amp;TRIM(MID(SUBSTITUTE(SUBSTITUTE(INDEX('CASE MASTER'!$N$2:$N$495,(SUMPRODUCT((('CASE MASTER'!$T$2:$T$495=15)*('CASE MASTER'!$U$2:$U$495&lt;=3)*('CASE MASTER'!$W$2:$W$495&gt;=3)*('CASE MASTER'!$V$2:$V$495&lt;=10)*('CASE MASTER'!$X$2:$X$495&gt;=10))*ROW('CASE MASTER'!$T$2:$T$495))-(ROW('CASE MASTER'!#REF!)-1))),":",","),",",REPT(" ",50)),((((3-INDEX('CASE MASTER'!$U$2:$U$495,(SUMPRODUCT((('CASE MASTER'!$T$2:$T$495=15)*('CASE MASTER'!$U$2:$U$495&lt;=3)*('CASE MASTER'!$W$2:$W$495&gt;=3)*('CASE MASTER'!$V$2:$V$495&lt;=10)*('CASE MASTER'!$X$2:$X$495&gt;=10))*ROW('CASE MASTER'!$T$2:$T$495))-(ROW('CASE MASTER'!#REF!)-1))))*(INDEX('CASE MASTER'!$X$2:$X$495,(SUMPRODUCT((('CASE MASTER'!$T$2:$T$495=15)*('CASE MASTER'!$U$2:$U$495&lt;=3)*('CASE MASTER'!$W$2:$W$495&gt;=3)*('CASE MASTER'!$V$2:$V$495&lt;=10)*('CASE MASTER'!$X$2:$X$495&gt;=10))*ROW('CASE MASTER'!$T$2:$T$495))-(ROW('CASE MASTER'!#REF!)-1)))-INDEX('CASE MASTER'!$V$2:$V$495,(SUMPRODUCT((('CASE MASTER'!$T$2:$T$495=15)*('CASE MASTER'!$U$2:$U$495&lt;=3)*('CASE MASTER'!$W$2:$W$495&gt;=3)*('CASE MASTER'!$V$2:$V$495&lt;=10)*('CASE MASTER'!$X$2:$X$495&gt;=10))*ROW('CASE MASTER'!$T$2:$T$495))-(ROW('CASE MASTER'!#REF!)-1)))+1)+(10-INDEX('CASE MASTER'!$V$2:$V$495,(SUMPRODUCT((('CASE MASTER'!$T$2:$T$495=15)*('CASE MASTER'!$U$2:$U$495&lt;=3)*('CASE MASTER'!$W$2:$W$495&gt;=3)*('CASE MASTER'!$V$2:$V$495&lt;=10)*('CASE MASTER'!$X$2:$X$495&gt;=10))*ROW('CASE MASTER'!$T$2:$T$495))-(ROW('CASE MASTER'!#REF!)-1))))+1))-1)*50+1,50))&amp;"_"&amp;INDEX('CASE MASTER'!$Q$2:$Q$495,(SUMPRODUCT((('CASE MASTER'!$T$2:$T$495=15)*('CASE MASTER'!$U$2:$U$495&lt;=3)*('CASE MASTER'!$W$2:$W$495&gt;=3)*('CASE MASTER'!$V$2:$V$495&lt;=10)*('CASE MASTER'!$X$2:$X$495&gt;=10))*ROW('CASE MASTER'!$T$2:$T$495))-(ROW('CASE MASTER'!#REF!)-1))),IF(SUMPRODUCT((('CASE MASTER'!$T$2:$T$495=15)*('CASE MASTER'!$AA$2:$AA$495&lt;=3)*('CASE MASTER'!$AC$2:$AC$495&gt;=3)*('CASE MASTER'!$AB$2:$AB$495&lt;=10)*('CASE MASTER'!$AD$2:$AD$495&gt;=10))*ROW('CASE MASTER'!$T$2:$T$495))&gt;0,INDEX('CASE MASTER'!$Y$2:$Y$495,(SUMPRODUCT((('CASE MASTER'!$T$2:$T$495=15)*('CASE MASTER'!$AA$2:$AA$495&lt;=3)*('CASE MASTER'!$AC$2:$AC$495&gt;=3)*('CASE MASTER'!$AB$2:$AB$495&lt;=10)*('CASE MASTER'!$AD$2:$AD$495&gt;=10))*ROW('CASE MASTER'!$T$2:$T$495))-(ROW('CASE MASTER'!#REF!)-1)))&amp;TRIM(MID(SUBSTITUTE(SUBSTITUTE(INDEX('CASE MASTER'!$N$2:$N$495,(SUMPRODUCT((('CASE MASTER'!$T$2:$T$495=15)*('CASE MASTER'!$AA$2:$AA$495&lt;=3)*('CASE MASTER'!$AC$2:$AC$495&gt;=3)*('CASE MASTER'!$AB$2:$AB$495&lt;=10)*('CASE MASTER'!$AD$2:$AD$495&gt;=10))*ROW('CASE MASTER'!$T$2:$T$495))-(ROW('CASE MASTER'!#REF!)-1))),":",","),",",REPT(" ",50)),(((INDEX('CASE MASTER'!$Z$2:$Z$495,(SUMPRODUCT((('CASE MASTER'!$T$2:$T$495=15)*('CASE MASTER'!$AA$2:$AA$495&lt;=3)*('CASE MASTER'!$AC$2:$AC$495&gt;=3)*('CASE MASTER'!$AB$2:$AB$495&lt;=10)*('CASE MASTER'!$AD$2:$AD$495&gt;=10))*ROW('CASE MASTER'!$T$2:$T$495))-(ROW('CASE MASTER'!#REF!)-1)))+((3-INDEX('CASE MASTER'!$AA$2:$AA$495,(SUMPRODUCT((('CASE MASTER'!$T$2:$T$495=15)*('CASE MASTER'!$AA$2:$AA$495&lt;=3)*('CASE MASTER'!$AC$2:$AC$495&gt;=3)*('CASE MASTER'!$AB$2:$AB$495&lt;=10)*('CASE MASTER'!$AD$2:$AD$495&gt;=10))*ROW('CASE MASTER'!$T$2:$T$495))-(ROW('CASE MASTER'!#REF!)-1))))*(INDEX('CASE MASTER'!$AD$2:$AD$495,(SUMPRODUCT((('CASE MASTER'!$T$2:$T$495=15)*('CASE MASTER'!$AA$2:$AA$495&lt;=3)*('CASE MASTER'!$AC$2:$AC$495&gt;=3)*('CASE MASTER'!$AB$2:$AB$495&lt;=10)*('CASE MASTER'!$AD$2:$AD$495&gt;=10))*ROW('CASE MASTER'!$T$2:$T$495))-(ROW('CASE MASTER'!#REF!)-1)))-INDEX('CASE MASTER'!$AB$2:$AB$495,(SUMPRODUCT((('CASE MASTER'!$T$2:$T$495=15)*('CASE MASTER'!$AA$2:$AA$495&lt;=3)*('CASE MASTER'!$AC$2:$AC$495&gt;=3)*('CASE MASTER'!$AB$2:$AB$495&lt;=10)*('CASE MASTER'!$AD$2:$AD$495&gt;=10))*ROW('CASE MASTER'!$T$2:$T$495))-(ROW('CASE MASTER'!#REF!)-1)))+1)+(10-INDEX('CASE MASTER'!$AB$2:$AB$495,(SUMPRODUCT((('CASE MASTER'!$T$2:$T$495=15)*('CASE MASTER'!$AA$2:$AA$495&lt;=3)*('CASE MASTER'!$AC$2:$AC$495&gt;=3)*('CASE MASTER'!$AB$2:$AB$495&lt;=10)*('CASE MASTER'!$AD$2:$AD$495&gt;=10))*ROW('CASE MASTER'!$T$2:$T$495))-(ROW('CASE MASTER'!#REF!)-1))))+1)))-1)*50+1,50))&amp;"_"&amp;INDEX('CASE MASTER'!$Q$2:$Q$495,(SUMPRODUCT((('CASE MASTER'!$T$2:$T$495=15)*('CASE MASTER'!$AA$2:$AA$495&lt;=3)*('CASE MASTER'!$AC$2:$AC$495&gt;=3)*('CASE MASTER'!$AB$2:$AB$495&lt;=10)*('CASE MASTER'!$AD$2:$AD$495&gt;=10))*ROW('CASE MASTER'!$T$2:$T$495))-(ROW('CASE MASTER'!#REF!)-1))),"")),"")</f>
        <v/>
      </c>
    </row>
    <row r="202" spans="1:11" ht="15" customHeight="1" x14ac:dyDescent="0.35">
      <c r="A202" s="8" t="s">
        <v>31</v>
      </c>
      <c r="B202" s="10" t="str">
        <f>IFERROR(IF(SUMPRODUCT((('CASE MASTER'!$T$2:$T$495=15)*('CASE MASTER'!$U$2:$U$495&lt;=4)*('CASE MASTER'!$W$2:$W$495&gt;=4)*('CASE MASTER'!$V$2:$V$495&lt;=1)*('CASE MASTER'!$X$2:$X$495&gt;=1))*ROW('CASE MASTER'!$T$2:$T$495))&gt;0,INDEX('CASE MASTER'!$Y$2:$Y$495,(SUMPRODUCT((('CASE MASTER'!$T$2:$T$495=15)*('CASE MASTER'!$U$2:$U$495&lt;=4)*('CASE MASTER'!$W$2:$W$495&gt;=4)*('CASE MASTER'!$V$2:$V$495&lt;=1)*('CASE MASTER'!$X$2:$X$495&gt;=1))*ROW('CASE MASTER'!$T$2:$T$495))-(ROW('CASE MASTER'!#REF!)-1)))&amp;TRIM(MID(SUBSTITUTE(SUBSTITUTE(INDEX('CASE MASTER'!$N$2:$N$495,(SUMPRODUCT((('CASE MASTER'!$T$2:$T$495=15)*('CASE MASTER'!$U$2:$U$495&lt;=4)*('CASE MASTER'!$W$2:$W$495&gt;=4)*('CASE MASTER'!$V$2:$V$495&lt;=1)*('CASE MASTER'!$X$2:$X$495&gt;=1))*ROW('CASE MASTER'!$T$2:$T$495))-(ROW('CASE MASTER'!#REF!)-1))),":",","),",",REPT(" ",50)),((((4-INDEX('CASE MASTER'!$U$2:$U$495,(SUMPRODUCT((('CASE MASTER'!$T$2:$T$495=15)*('CASE MASTER'!$U$2:$U$495&lt;=4)*('CASE MASTER'!$W$2:$W$495&gt;=4)*('CASE MASTER'!$V$2:$V$495&lt;=1)*('CASE MASTER'!$X$2:$X$495&gt;=1))*ROW('CASE MASTER'!$T$2:$T$495))-(ROW('CASE MASTER'!#REF!)-1))))*(INDEX('CASE MASTER'!$X$2:$X$495,(SUMPRODUCT((('CASE MASTER'!$T$2:$T$495=15)*('CASE MASTER'!$U$2:$U$495&lt;=4)*('CASE MASTER'!$W$2:$W$495&gt;=4)*('CASE MASTER'!$V$2:$V$495&lt;=1)*('CASE MASTER'!$X$2:$X$495&gt;=1))*ROW('CASE MASTER'!$T$2:$T$495))-(ROW('CASE MASTER'!#REF!)-1)))-INDEX('CASE MASTER'!$V$2:$V$495,(SUMPRODUCT((('CASE MASTER'!$T$2:$T$495=15)*('CASE MASTER'!$U$2:$U$495&lt;=4)*('CASE MASTER'!$W$2:$W$495&gt;=4)*('CASE MASTER'!$V$2:$V$495&lt;=1)*('CASE MASTER'!$X$2:$X$495&gt;=1))*ROW('CASE MASTER'!$T$2:$T$495))-(ROW('CASE MASTER'!#REF!)-1)))+1)+(1-INDEX('CASE MASTER'!$V$2:$V$495,(SUMPRODUCT((('CASE MASTER'!$T$2:$T$495=15)*('CASE MASTER'!$U$2:$U$495&lt;=4)*('CASE MASTER'!$W$2:$W$495&gt;=4)*('CASE MASTER'!$V$2:$V$495&lt;=1)*('CASE MASTER'!$X$2:$X$495&gt;=1))*ROW('CASE MASTER'!$T$2:$T$495))-(ROW('CASE MASTER'!#REF!)-1))))+1))-1)*50+1,50))&amp;"_"&amp;INDEX('CASE MASTER'!$Q$2:$Q$495,(SUMPRODUCT((('CASE MASTER'!$T$2:$T$495=15)*('CASE MASTER'!$U$2:$U$495&lt;=4)*('CASE MASTER'!$W$2:$W$495&gt;=4)*('CASE MASTER'!$V$2:$V$495&lt;=1)*('CASE MASTER'!$X$2:$X$495&gt;=1))*ROW('CASE MASTER'!$T$2:$T$495))-(ROW('CASE MASTER'!#REF!)-1))),IF(SUMPRODUCT((('CASE MASTER'!$T$2:$T$495=15)*('CASE MASTER'!$AA$2:$AA$495&lt;=4)*('CASE MASTER'!$AC$2:$AC$495&gt;=4)*('CASE MASTER'!$AB$2:$AB$495&lt;=1)*('CASE MASTER'!$AD$2:$AD$495&gt;=1))*ROW('CASE MASTER'!$T$2:$T$495))&gt;0,INDEX('CASE MASTER'!$Y$2:$Y$495,(SUMPRODUCT((('CASE MASTER'!$T$2:$T$495=15)*('CASE MASTER'!$AA$2:$AA$495&lt;=4)*('CASE MASTER'!$AC$2:$AC$495&gt;=4)*('CASE MASTER'!$AB$2:$AB$495&lt;=1)*('CASE MASTER'!$AD$2:$AD$495&gt;=1))*ROW('CASE MASTER'!$T$2:$T$495))-(ROW('CASE MASTER'!#REF!)-1)))&amp;TRIM(MID(SUBSTITUTE(SUBSTITUTE(INDEX('CASE MASTER'!$N$2:$N$495,(SUMPRODUCT((('CASE MASTER'!$T$2:$T$495=15)*('CASE MASTER'!$AA$2:$AA$495&lt;=4)*('CASE MASTER'!$AC$2:$AC$495&gt;=4)*('CASE MASTER'!$AB$2:$AB$495&lt;=1)*('CASE MASTER'!$AD$2:$AD$495&gt;=1))*ROW('CASE MASTER'!$T$2:$T$495))-(ROW('CASE MASTER'!#REF!)-1))),":",","),",",REPT(" ",50)),(((INDEX('CASE MASTER'!$Z$2:$Z$495,(SUMPRODUCT((('CASE MASTER'!$T$2:$T$495=15)*('CASE MASTER'!$AA$2:$AA$495&lt;=4)*('CASE MASTER'!$AC$2:$AC$495&gt;=4)*('CASE MASTER'!$AB$2:$AB$495&lt;=1)*('CASE MASTER'!$AD$2:$AD$495&gt;=1))*ROW('CASE MASTER'!$T$2:$T$495))-(ROW('CASE MASTER'!#REF!)-1)))+((4-INDEX('CASE MASTER'!$AA$2:$AA$495,(SUMPRODUCT((('CASE MASTER'!$T$2:$T$495=15)*('CASE MASTER'!$AA$2:$AA$495&lt;=4)*('CASE MASTER'!$AC$2:$AC$495&gt;=4)*('CASE MASTER'!$AB$2:$AB$495&lt;=1)*('CASE MASTER'!$AD$2:$AD$495&gt;=1))*ROW('CASE MASTER'!$T$2:$T$495))-(ROW('CASE MASTER'!#REF!)-1))))*(INDEX('CASE MASTER'!$AD$2:$AD$495,(SUMPRODUCT((('CASE MASTER'!$T$2:$T$495=15)*('CASE MASTER'!$AA$2:$AA$495&lt;=4)*('CASE MASTER'!$AC$2:$AC$495&gt;=4)*('CASE MASTER'!$AB$2:$AB$495&lt;=1)*('CASE MASTER'!$AD$2:$AD$495&gt;=1))*ROW('CASE MASTER'!$T$2:$T$495))-(ROW('CASE MASTER'!#REF!)-1)))-INDEX('CASE MASTER'!$AB$2:$AB$495,(SUMPRODUCT((('CASE MASTER'!$T$2:$T$495=15)*('CASE MASTER'!$AA$2:$AA$495&lt;=4)*('CASE MASTER'!$AC$2:$AC$495&gt;=4)*('CASE MASTER'!$AB$2:$AB$495&lt;=1)*('CASE MASTER'!$AD$2:$AD$495&gt;=1))*ROW('CASE MASTER'!$T$2:$T$495))-(ROW('CASE MASTER'!#REF!)-1)))+1)+(1-INDEX('CASE MASTER'!$AB$2:$AB$495,(SUMPRODUCT((('CASE MASTER'!$T$2:$T$495=15)*('CASE MASTER'!$AA$2:$AA$495&lt;=4)*('CASE MASTER'!$AC$2:$AC$495&gt;=4)*('CASE MASTER'!$AB$2:$AB$495&lt;=1)*('CASE MASTER'!$AD$2:$AD$495&gt;=1))*ROW('CASE MASTER'!$T$2:$T$495))-(ROW('CASE MASTER'!#REF!)-1))))+1)))-1)*50+1,50))&amp;"_"&amp;INDEX('CASE MASTER'!$Q$2:$Q$495,(SUMPRODUCT((('CASE MASTER'!$T$2:$T$495=15)*('CASE MASTER'!$AA$2:$AA$495&lt;=4)*('CASE MASTER'!$AC$2:$AC$495&gt;=4)*('CASE MASTER'!$AB$2:$AB$495&lt;=1)*('CASE MASTER'!$AD$2:$AD$495&gt;=1))*ROW('CASE MASTER'!$T$2:$T$495))-(ROW('CASE MASTER'!#REF!)-1))),"")),"")</f>
        <v/>
      </c>
      <c r="C202" s="10" t="str">
        <f>IFERROR(IF(SUMPRODUCT((('CASE MASTER'!$T$2:$T$495=15)*('CASE MASTER'!$U$2:$U$495&lt;=4)*('CASE MASTER'!$W$2:$W$495&gt;=4)*('CASE MASTER'!$V$2:$V$495&lt;=2)*('CASE MASTER'!$X$2:$X$495&gt;=2))*ROW('CASE MASTER'!$T$2:$T$495))&gt;0,INDEX('CASE MASTER'!$Y$2:$Y$495,(SUMPRODUCT((('CASE MASTER'!$T$2:$T$495=15)*('CASE MASTER'!$U$2:$U$495&lt;=4)*('CASE MASTER'!$W$2:$W$495&gt;=4)*('CASE MASTER'!$V$2:$V$495&lt;=2)*('CASE MASTER'!$X$2:$X$495&gt;=2))*ROW('CASE MASTER'!$T$2:$T$495))-(ROW('CASE MASTER'!#REF!)-1)))&amp;TRIM(MID(SUBSTITUTE(SUBSTITUTE(INDEX('CASE MASTER'!$N$2:$N$495,(SUMPRODUCT((('CASE MASTER'!$T$2:$T$495=15)*('CASE MASTER'!$U$2:$U$495&lt;=4)*('CASE MASTER'!$W$2:$W$495&gt;=4)*('CASE MASTER'!$V$2:$V$495&lt;=2)*('CASE MASTER'!$X$2:$X$495&gt;=2))*ROW('CASE MASTER'!$T$2:$T$495))-(ROW('CASE MASTER'!#REF!)-1))),":",","),",",REPT(" ",50)),((((4-INDEX('CASE MASTER'!$U$2:$U$495,(SUMPRODUCT((('CASE MASTER'!$T$2:$T$495=15)*('CASE MASTER'!$U$2:$U$495&lt;=4)*('CASE MASTER'!$W$2:$W$495&gt;=4)*('CASE MASTER'!$V$2:$V$495&lt;=2)*('CASE MASTER'!$X$2:$X$495&gt;=2))*ROW('CASE MASTER'!$T$2:$T$495))-(ROW('CASE MASTER'!#REF!)-1))))*(INDEX('CASE MASTER'!$X$2:$X$495,(SUMPRODUCT((('CASE MASTER'!$T$2:$T$495=15)*('CASE MASTER'!$U$2:$U$495&lt;=4)*('CASE MASTER'!$W$2:$W$495&gt;=4)*('CASE MASTER'!$V$2:$V$495&lt;=2)*('CASE MASTER'!$X$2:$X$495&gt;=2))*ROW('CASE MASTER'!$T$2:$T$495))-(ROW('CASE MASTER'!#REF!)-1)))-INDEX('CASE MASTER'!$V$2:$V$495,(SUMPRODUCT((('CASE MASTER'!$T$2:$T$495=15)*('CASE MASTER'!$U$2:$U$495&lt;=4)*('CASE MASTER'!$W$2:$W$495&gt;=4)*('CASE MASTER'!$V$2:$V$495&lt;=2)*('CASE MASTER'!$X$2:$X$495&gt;=2))*ROW('CASE MASTER'!$T$2:$T$495))-(ROW('CASE MASTER'!#REF!)-1)))+1)+(2-INDEX('CASE MASTER'!$V$2:$V$495,(SUMPRODUCT((('CASE MASTER'!$T$2:$T$495=15)*('CASE MASTER'!$U$2:$U$495&lt;=4)*('CASE MASTER'!$W$2:$W$495&gt;=4)*('CASE MASTER'!$V$2:$V$495&lt;=2)*('CASE MASTER'!$X$2:$X$495&gt;=2))*ROW('CASE MASTER'!$T$2:$T$495))-(ROW('CASE MASTER'!#REF!)-1))))+1))-1)*50+1,50))&amp;"_"&amp;INDEX('CASE MASTER'!$Q$2:$Q$495,(SUMPRODUCT((('CASE MASTER'!$T$2:$T$495=15)*('CASE MASTER'!$U$2:$U$495&lt;=4)*('CASE MASTER'!$W$2:$W$495&gt;=4)*('CASE MASTER'!$V$2:$V$495&lt;=2)*('CASE MASTER'!$X$2:$X$495&gt;=2))*ROW('CASE MASTER'!$T$2:$T$495))-(ROW('CASE MASTER'!#REF!)-1))),IF(SUMPRODUCT((('CASE MASTER'!$T$2:$T$495=15)*('CASE MASTER'!$AA$2:$AA$495&lt;=4)*('CASE MASTER'!$AC$2:$AC$495&gt;=4)*('CASE MASTER'!$AB$2:$AB$495&lt;=2)*('CASE MASTER'!$AD$2:$AD$495&gt;=2))*ROW('CASE MASTER'!$T$2:$T$495))&gt;0,INDEX('CASE MASTER'!$Y$2:$Y$495,(SUMPRODUCT((('CASE MASTER'!$T$2:$T$495=15)*('CASE MASTER'!$AA$2:$AA$495&lt;=4)*('CASE MASTER'!$AC$2:$AC$495&gt;=4)*('CASE MASTER'!$AB$2:$AB$495&lt;=2)*('CASE MASTER'!$AD$2:$AD$495&gt;=2))*ROW('CASE MASTER'!$T$2:$T$495))-(ROW('CASE MASTER'!#REF!)-1)))&amp;TRIM(MID(SUBSTITUTE(SUBSTITUTE(INDEX('CASE MASTER'!$N$2:$N$495,(SUMPRODUCT((('CASE MASTER'!$T$2:$T$495=15)*('CASE MASTER'!$AA$2:$AA$495&lt;=4)*('CASE MASTER'!$AC$2:$AC$495&gt;=4)*('CASE MASTER'!$AB$2:$AB$495&lt;=2)*('CASE MASTER'!$AD$2:$AD$495&gt;=2))*ROW('CASE MASTER'!$T$2:$T$495))-(ROW('CASE MASTER'!#REF!)-1))),":",","),",",REPT(" ",50)),(((INDEX('CASE MASTER'!$Z$2:$Z$495,(SUMPRODUCT((('CASE MASTER'!$T$2:$T$495=15)*('CASE MASTER'!$AA$2:$AA$495&lt;=4)*('CASE MASTER'!$AC$2:$AC$495&gt;=4)*('CASE MASTER'!$AB$2:$AB$495&lt;=2)*('CASE MASTER'!$AD$2:$AD$495&gt;=2))*ROW('CASE MASTER'!$T$2:$T$495))-(ROW('CASE MASTER'!#REF!)-1)))+((4-INDEX('CASE MASTER'!$AA$2:$AA$495,(SUMPRODUCT((('CASE MASTER'!$T$2:$T$495=15)*('CASE MASTER'!$AA$2:$AA$495&lt;=4)*('CASE MASTER'!$AC$2:$AC$495&gt;=4)*('CASE MASTER'!$AB$2:$AB$495&lt;=2)*('CASE MASTER'!$AD$2:$AD$495&gt;=2))*ROW('CASE MASTER'!$T$2:$T$495))-(ROW('CASE MASTER'!#REF!)-1))))*(INDEX('CASE MASTER'!$AD$2:$AD$495,(SUMPRODUCT((('CASE MASTER'!$T$2:$T$495=15)*('CASE MASTER'!$AA$2:$AA$495&lt;=4)*('CASE MASTER'!$AC$2:$AC$495&gt;=4)*('CASE MASTER'!$AB$2:$AB$495&lt;=2)*('CASE MASTER'!$AD$2:$AD$495&gt;=2))*ROW('CASE MASTER'!$T$2:$T$495))-(ROW('CASE MASTER'!#REF!)-1)))-INDEX('CASE MASTER'!$AB$2:$AB$495,(SUMPRODUCT((('CASE MASTER'!$T$2:$T$495=15)*('CASE MASTER'!$AA$2:$AA$495&lt;=4)*('CASE MASTER'!$AC$2:$AC$495&gt;=4)*('CASE MASTER'!$AB$2:$AB$495&lt;=2)*('CASE MASTER'!$AD$2:$AD$495&gt;=2))*ROW('CASE MASTER'!$T$2:$T$495))-(ROW('CASE MASTER'!#REF!)-1)))+1)+(2-INDEX('CASE MASTER'!$AB$2:$AB$495,(SUMPRODUCT((('CASE MASTER'!$T$2:$T$495=15)*('CASE MASTER'!$AA$2:$AA$495&lt;=4)*('CASE MASTER'!$AC$2:$AC$495&gt;=4)*('CASE MASTER'!$AB$2:$AB$495&lt;=2)*('CASE MASTER'!$AD$2:$AD$495&gt;=2))*ROW('CASE MASTER'!$T$2:$T$495))-(ROW('CASE MASTER'!#REF!)-1))))+1)))-1)*50+1,50))&amp;"_"&amp;INDEX('CASE MASTER'!$Q$2:$Q$495,(SUMPRODUCT((('CASE MASTER'!$T$2:$T$495=15)*('CASE MASTER'!$AA$2:$AA$495&lt;=4)*('CASE MASTER'!$AC$2:$AC$495&gt;=4)*('CASE MASTER'!$AB$2:$AB$495&lt;=2)*('CASE MASTER'!$AD$2:$AD$495&gt;=2))*ROW('CASE MASTER'!$T$2:$T$495))-(ROW('CASE MASTER'!#REF!)-1))),"")),"")</f>
        <v/>
      </c>
      <c r="D202" s="10" t="str">
        <f>IFERROR(IF(SUMPRODUCT((('CASE MASTER'!$T$2:$T$495=15)*('CASE MASTER'!$U$2:$U$495&lt;=4)*('CASE MASTER'!$W$2:$W$495&gt;=4)*('CASE MASTER'!$V$2:$V$495&lt;=3)*('CASE MASTER'!$X$2:$X$495&gt;=3))*ROW('CASE MASTER'!$T$2:$T$495))&gt;0,INDEX('CASE MASTER'!$Y$2:$Y$495,(SUMPRODUCT((('CASE MASTER'!$T$2:$T$495=15)*('CASE MASTER'!$U$2:$U$495&lt;=4)*('CASE MASTER'!$W$2:$W$495&gt;=4)*('CASE MASTER'!$V$2:$V$495&lt;=3)*('CASE MASTER'!$X$2:$X$495&gt;=3))*ROW('CASE MASTER'!$T$2:$T$495))-(ROW('CASE MASTER'!#REF!)-1)))&amp;TRIM(MID(SUBSTITUTE(SUBSTITUTE(INDEX('CASE MASTER'!$N$2:$N$495,(SUMPRODUCT((('CASE MASTER'!$T$2:$T$495=15)*('CASE MASTER'!$U$2:$U$495&lt;=4)*('CASE MASTER'!$W$2:$W$495&gt;=4)*('CASE MASTER'!$V$2:$V$495&lt;=3)*('CASE MASTER'!$X$2:$X$495&gt;=3))*ROW('CASE MASTER'!$T$2:$T$495))-(ROW('CASE MASTER'!#REF!)-1))),":",","),",",REPT(" ",50)),((((4-INDEX('CASE MASTER'!$U$2:$U$495,(SUMPRODUCT((('CASE MASTER'!$T$2:$T$495=15)*('CASE MASTER'!$U$2:$U$495&lt;=4)*('CASE MASTER'!$W$2:$W$495&gt;=4)*('CASE MASTER'!$V$2:$V$495&lt;=3)*('CASE MASTER'!$X$2:$X$495&gt;=3))*ROW('CASE MASTER'!$T$2:$T$495))-(ROW('CASE MASTER'!#REF!)-1))))*(INDEX('CASE MASTER'!$X$2:$X$495,(SUMPRODUCT((('CASE MASTER'!$T$2:$T$495=15)*('CASE MASTER'!$U$2:$U$495&lt;=4)*('CASE MASTER'!$W$2:$W$495&gt;=4)*('CASE MASTER'!$V$2:$V$495&lt;=3)*('CASE MASTER'!$X$2:$X$495&gt;=3))*ROW('CASE MASTER'!$T$2:$T$495))-(ROW('CASE MASTER'!#REF!)-1)))-INDEX('CASE MASTER'!$V$2:$V$495,(SUMPRODUCT((('CASE MASTER'!$T$2:$T$495=15)*('CASE MASTER'!$U$2:$U$495&lt;=4)*('CASE MASTER'!$W$2:$W$495&gt;=4)*('CASE MASTER'!$V$2:$V$495&lt;=3)*('CASE MASTER'!$X$2:$X$495&gt;=3))*ROW('CASE MASTER'!$T$2:$T$495))-(ROW('CASE MASTER'!#REF!)-1)))+1)+(3-INDEX('CASE MASTER'!$V$2:$V$495,(SUMPRODUCT((('CASE MASTER'!$T$2:$T$495=15)*('CASE MASTER'!$U$2:$U$495&lt;=4)*('CASE MASTER'!$W$2:$W$495&gt;=4)*('CASE MASTER'!$V$2:$V$495&lt;=3)*('CASE MASTER'!$X$2:$X$495&gt;=3))*ROW('CASE MASTER'!$T$2:$T$495))-(ROW('CASE MASTER'!#REF!)-1))))+1))-1)*50+1,50))&amp;"_"&amp;INDEX('CASE MASTER'!$Q$2:$Q$495,(SUMPRODUCT((('CASE MASTER'!$T$2:$T$495=15)*('CASE MASTER'!$U$2:$U$495&lt;=4)*('CASE MASTER'!$W$2:$W$495&gt;=4)*('CASE MASTER'!$V$2:$V$495&lt;=3)*('CASE MASTER'!$X$2:$X$495&gt;=3))*ROW('CASE MASTER'!$T$2:$T$495))-(ROW('CASE MASTER'!#REF!)-1))),IF(SUMPRODUCT((('CASE MASTER'!$T$2:$T$495=15)*('CASE MASTER'!$AA$2:$AA$495&lt;=4)*('CASE MASTER'!$AC$2:$AC$495&gt;=4)*('CASE MASTER'!$AB$2:$AB$495&lt;=3)*('CASE MASTER'!$AD$2:$AD$495&gt;=3))*ROW('CASE MASTER'!$T$2:$T$495))&gt;0,INDEX('CASE MASTER'!$Y$2:$Y$495,(SUMPRODUCT((('CASE MASTER'!$T$2:$T$495=15)*('CASE MASTER'!$AA$2:$AA$495&lt;=4)*('CASE MASTER'!$AC$2:$AC$495&gt;=4)*('CASE MASTER'!$AB$2:$AB$495&lt;=3)*('CASE MASTER'!$AD$2:$AD$495&gt;=3))*ROW('CASE MASTER'!$T$2:$T$495))-(ROW('CASE MASTER'!#REF!)-1)))&amp;TRIM(MID(SUBSTITUTE(SUBSTITUTE(INDEX('CASE MASTER'!$N$2:$N$495,(SUMPRODUCT((('CASE MASTER'!$T$2:$T$495=15)*('CASE MASTER'!$AA$2:$AA$495&lt;=4)*('CASE MASTER'!$AC$2:$AC$495&gt;=4)*('CASE MASTER'!$AB$2:$AB$495&lt;=3)*('CASE MASTER'!$AD$2:$AD$495&gt;=3))*ROW('CASE MASTER'!$T$2:$T$495))-(ROW('CASE MASTER'!#REF!)-1))),":",","),",",REPT(" ",50)),(((INDEX('CASE MASTER'!$Z$2:$Z$495,(SUMPRODUCT((('CASE MASTER'!$T$2:$T$495=15)*('CASE MASTER'!$AA$2:$AA$495&lt;=4)*('CASE MASTER'!$AC$2:$AC$495&gt;=4)*('CASE MASTER'!$AB$2:$AB$495&lt;=3)*('CASE MASTER'!$AD$2:$AD$495&gt;=3))*ROW('CASE MASTER'!$T$2:$T$495))-(ROW('CASE MASTER'!#REF!)-1)))+((4-INDEX('CASE MASTER'!$AA$2:$AA$495,(SUMPRODUCT((('CASE MASTER'!$T$2:$T$495=15)*('CASE MASTER'!$AA$2:$AA$495&lt;=4)*('CASE MASTER'!$AC$2:$AC$495&gt;=4)*('CASE MASTER'!$AB$2:$AB$495&lt;=3)*('CASE MASTER'!$AD$2:$AD$495&gt;=3))*ROW('CASE MASTER'!$T$2:$T$495))-(ROW('CASE MASTER'!#REF!)-1))))*(INDEX('CASE MASTER'!$AD$2:$AD$495,(SUMPRODUCT((('CASE MASTER'!$T$2:$T$495=15)*('CASE MASTER'!$AA$2:$AA$495&lt;=4)*('CASE MASTER'!$AC$2:$AC$495&gt;=4)*('CASE MASTER'!$AB$2:$AB$495&lt;=3)*('CASE MASTER'!$AD$2:$AD$495&gt;=3))*ROW('CASE MASTER'!$T$2:$T$495))-(ROW('CASE MASTER'!#REF!)-1)))-INDEX('CASE MASTER'!$AB$2:$AB$495,(SUMPRODUCT((('CASE MASTER'!$T$2:$T$495=15)*('CASE MASTER'!$AA$2:$AA$495&lt;=4)*('CASE MASTER'!$AC$2:$AC$495&gt;=4)*('CASE MASTER'!$AB$2:$AB$495&lt;=3)*('CASE MASTER'!$AD$2:$AD$495&gt;=3))*ROW('CASE MASTER'!$T$2:$T$495))-(ROW('CASE MASTER'!#REF!)-1)))+1)+(3-INDEX('CASE MASTER'!$AB$2:$AB$495,(SUMPRODUCT((('CASE MASTER'!$T$2:$T$495=15)*('CASE MASTER'!$AA$2:$AA$495&lt;=4)*('CASE MASTER'!$AC$2:$AC$495&gt;=4)*('CASE MASTER'!$AB$2:$AB$495&lt;=3)*('CASE MASTER'!$AD$2:$AD$495&gt;=3))*ROW('CASE MASTER'!$T$2:$T$495))-(ROW('CASE MASTER'!#REF!)-1))))+1)))-1)*50+1,50))&amp;"_"&amp;INDEX('CASE MASTER'!$Q$2:$Q$495,(SUMPRODUCT((('CASE MASTER'!$T$2:$T$495=15)*('CASE MASTER'!$AA$2:$AA$495&lt;=4)*('CASE MASTER'!$AC$2:$AC$495&gt;=4)*('CASE MASTER'!$AB$2:$AB$495&lt;=3)*('CASE MASTER'!$AD$2:$AD$495&gt;=3))*ROW('CASE MASTER'!$T$2:$T$495))-(ROW('CASE MASTER'!#REF!)-1))),"")),"")</f>
        <v/>
      </c>
      <c r="E202" s="10" t="str">
        <f>IFERROR(IF(SUMPRODUCT((('CASE MASTER'!$T$2:$T$495=15)*('CASE MASTER'!$U$2:$U$495&lt;=4)*('CASE MASTER'!$W$2:$W$495&gt;=4)*('CASE MASTER'!$V$2:$V$495&lt;=4)*('CASE MASTER'!$X$2:$X$495&gt;=4))*ROW('CASE MASTER'!$T$2:$T$495))&gt;0,INDEX('CASE MASTER'!$Y$2:$Y$495,(SUMPRODUCT((('CASE MASTER'!$T$2:$T$495=15)*('CASE MASTER'!$U$2:$U$495&lt;=4)*('CASE MASTER'!$W$2:$W$495&gt;=4)*('CASE MASTER'!$V$2:$V$495&lt;=4)*('CASE MASTER'!$X$2:$X$495&gt;=4))*ROW('CASE MASTER'!$T$2:$T$495))-(ROW('CASE MASTER'!#REF!)-1)))&amp;TRIM(MID(SUBSTITUTE(SUBSTITUTE(INDEX('CASE MASTER'!$N$2:$N$495,(SUMPRODUCT((('CASE MASTER'!$T$2:$T$495=15)*('CASE MASTER'!$U$2:$U$495&lt;=4)*('CASE MASTER'!$W$2:$W$495&gt;=4)*('CASE MASTER'!$V$2:$V$495&lt;=4)*('CASE MASTER'!$X$2:$X$495&gt;=4))*ROW('CASE MASTER'!$T$2:$T$495))-(ROW('CASE MASTER'!#REF!)-1))),":",","),",",REPT(" ",50)),((((4-INDEX('CASE MASTER'!$U$2:$U$495,(SUMPRODUCT((('CASE MASTER'!$T$2:$T$495=15)*('CASE MASTER'!$U$2:$U$495&lt;=4)*('CASE MASTER'!$W$2:$W$495&gt;=4)*('CASE MASTER'!$V$2:$V$495&lt;=4)*('CASE MASTER'!$X$2:$X$495&gt;=4))*ROW('CASE MASTER'!$T$2:$T$495))-(ROW('CASE MASTER'!#REF!)-1))))*(INDEX('CASE MASTER'!$X$2:$X$495,(SUMPRODUCT((('CASE MASTER'!$T$2:$T$495=15)*('CASE MASTER'!$U$2:$U$495&lt;=4)*('CASE MASTER'!$W$2:$W$495&gt;=4)*('CASE MASTER'!$V$2:$V$495&lt;=4)*('CASE MASTER'!$X$2:$X$495&gt;=4))*ROW('CASE MASTER'!$T$2:$T$495))-(ROW('CASE MASTER'!#REF!)-1)))-INDEX('CASE MASTER'!$V$2:$V$495,(SUMPRODUCT((('CASE MASTER'!$T$2:$T$495=15)*('CASE MASTER'!$U$2:$U$495&lt;=4)*('CASE MASTER'!$W$2:$W$495&gt;=4)*('CASE MASTER'!$V$2:$V$495&lt;=4)*('CASE MASTER'!$X$2:$X$495&gt;=4))*ROW('CASE MASTER'!$T$2:$T$495))-(ROW('CASE MASTER'!#REF!)-1)))+1)+(4-INDEX('CASE MASTER'!$V$2:$V$495,(SUMPRODUCT((('CASE MASTER'!$T$2:$T$495=15)*('CASE MASTER'!$U$2:$U$495&lt;=4)*('CASE MASTER'!$W$2:$W$495&gt;=4)*('CASE MASTER'!$V$2:$V$495&lt;=4)*('CASE MASTER'!$X$2:$X$495&gt;=4))*ROW('CASE MASTER'!$T$2:$T$495))-(ROW('CASE MASTER'!#REF!)-1))))+1))-1)*50+1,50))&amp;"_"&amp;INDEX('CASE MASTER'!$Q$2:$Q$495,(SUMPRODUCT((('CASE MASTER'!$T$2:$T$495=15)*('CASE MASTER'!$U$2:$U$495&lt;=4)*('CASE MASTER'!$W$2:$W$495&gt;=4)*('CASE MASTER'!$V$2:$V$495&lt;=4)*('CASE MASTER'!$X$2:$X$495&gt;=4))*ROW('CASE MASTER'!$T$2:$T$495))-(ROW('CASE MASTER'!#REF!)-1))),IF(SUMPRODUCT((('CASE MASTER'!$T$2:$T$495=15)*('CASE MASTER'!$AA$2:$AA$495&lt;=4)*('CASE MASTER'!$AC$2:$AC$495&gt;=4)*('CASE MASTER'!$AB$2:$AB$495&lt;=4)*('CASE MASTER'!$AD$2:$AD$495&gt;=4))*ROW('CASE MASTER'!$T$2:$T$495))&gt;0,INDEX('CASE MASTER'!$Y$2:$Y$495,(SUMPRODUCT((('CASE MASTER'!$T$2:$T$495=15)*('CASE MASTER'!$AA$2:$AA$495&lt;=4)*('CASE MASTER'!$AC$2:$AC$495&gt;=4)*('CASE MASTER'!$AB$2:$AB$495&lt;=4)*('CASE MASTER'!$AD$2:$AD$495&gt;=4))*ROW('CASE MASTER'!$T$2:$T$495))-(ROW('CASE MASTER'!#REF!)-1)))&amp;TRIM(MID(SUBSTITUTE(SUBSTITUTE(INDEX('CASE MASTER'!$N$2:$N$495,(SUMPRODUCT((('CASE MASTER'!$T$2:$T$495=15)*('CASE MASTER'!$AA$2:$AA$495&lt;=4)*('CASE MASTER'!$AC$2:$AC$495&gt;=4)*('CASE MASTER'!$AB$2:$AB$495&lt;=4)*('CASE MASTER'!$AD$2:$AD$495&gt;=4))*ROW('CASE MASTER'!$T$2:$T$495))-(ROW('CASE MASTER'!#REF!)-1))),":",","),",",REPT(" ",50)),(((INDEX('CASE MASTER'!$Z$2:$Z$495,(SUMPRODUCT((('CASE MASTER'!$T$2:$T$495=15)*('CASE MASTER'!$AA$2:$AA$495&lt;=4)*('CASE MASTER'!$AC$2:$AC$495&gt;=4)*('CASE MASTER'!$AB$2:$AB$495&lt;=4)*('CASE MASTER'!$AD$2:$AD$495&gt;=4))*ROW('CASE MASTER'!$T$2:$T$495))-(ROW('CASE MASTER'!#REF!)-1)))+((4-INDEX('CASE MASTER'!$AA$2:$AA$495,(SUMPRODUCT((('CASE MASTER'!$T$2:$T$495=15)*('CASE MASTER'!$AA$2:$AA$495&lt;=4)*('CASE MASTER'!$AC$2:$AC$495&gt;=4)*('CASE MASTER'!$AB$2:$AB$495&lt;=4)*('CASE MASTER'!$AD$2:$AD$495&gt;=4))*ROW('CASE MASTER'!$T$2:$T$495))-(ROW('CASE MASTER'!#REF!)-1))))*(INDEX('CASE MASTER'!$AD$2:$AD$495,(SUMPRODUCT((('CASE MASTER'!$T$2:$T$495=15)*('CASE MASTER'!$AA$2:$AA$495&lt;=4)*('CASE MASTER'!$AC$2:$AC$495&gt;=4)*('CASE MASTER'!$AB$2:$AB$495&lt;=4)*('CASE MASTER'!$AD$2:$AD$495&gt;=4))*ROW('CASE MASTER'!$T$2:$T$495))-(ROW('CASE MASTER'!#REF!)-1)))-INDEX('CASE MASTER'!$AB$2:$AB$495,(SUMPRODUCT((('CASE MASTER'!$T$2:$T$495=15)*('CASE MASTER'!$AA$2:$AA$495&lt;=4)*('CASE MASTER'!$AC$2:$AC$495&gt;=4)*('CASE MASTER'!$AB$2:$AB$495&lt;=4)*('CASE MASTER'!$AD$2:$AD$495&gt;=4))*ROW('CASE MASTER'!$T$2:$T$495))-(ROW('CASE MASTER'!#REF!)-1)))+1)+(4-INDEX('CASE MASTER'!$AB$2:$AB$495,(SUMPRODUCT((('CASE MASTER'!$T$2:$T$495=15)*('CASE MASTER'!$AA$2:$AA$495&lt;=4)*('CASE MASTER'!$AC$2:$AC$495&gt;=4)*('CASE MASTER'!$AB$2:$AB$495&lt;=4)*('CASE MASTER'!$AD$2:$AD$495&gt;=4))*ROW('CASE MASTER'!$T$2:$T$495))-(ROW('CASE MASTER'!#REF!)-1))))+1)))-1)*50+1,50))&amp;"_"&amp;INDEX('CASE MASTER'!$Q$2:$Q$495,(SUMPRODUCT((('CASE MASTER'!$T$2:$T$495=15)*('CASE MASTER'!$AA$2:$AA$495&lt;=4)*('CASE MASTER'!$AC$2:$AC$495&gt;=4)*('CASE MASTER'!$AB$2:$AB$495&lt;=4)*('CASE MASTER'!$AD$2:$AD$495&gt;=4))*ROW('CASE MASTER'!$T$2:$T$495))-(ROW('CASE MASTER'!#REF!)-1))),"")),"")</f>
        <v/>
      </c>
      <c r="F202" s="10" t="str">
        <f>IFERROR(IF(SUMPRODUCT((('CASE MASTER'!$T$2:$T$495=15)*('CASE MASTER'!$U$2:$U$495&lt;=4)*('CASE MASTER'!$W$2:$W$495&gt;=4)*('CASE MASTER'!$V$2:$V$495&lt;=5)*('CASE MASTER'!$X$2:$X$495&gt;=5))*ROW('CASE MASTER'!$T$2:$T$495))&gt;0,INDEX('CASE MASTER'!$Y$2:$Y$495,(SUMPRODUCT((('CASE MASTER'!$T$2:$T$495=15)*('CASE MASTER'!$U$2:$U$495&lt;=4)*('CASE MASTER'!$W$2:$W$495&gt;=4)*('CASE MASTER'!$V$2:$V$495&lt;=5)*('CASE MASTER'!$X$2:$X$495&gt;=5))*ROW('CASE MASTER'!$T$2:$T$495))-(ROW('CASE MASTER'!#REF!)-1)))&amp;TRIM(MID(SUBSTITUTE(SUBSTITUTE(INDEX('CASE MASTER'!$N$2:$N$495,(SUMPRODUCT((('CASE MASTER'!$T$2:$T$495=15)*('CASE MASTER'!$U$2:$U$495&lt;=4)*('CASE MASTER'!$W$2:$W$495&gt;=4)*('CASE MASTER'!$V$2:$V$495&lt;=5)*('CASE MASTER'!$X$2:$X$495&gt;=5))*ROW('CASE MASTER'!$T$2:$T$495))-(ROW('CASE MASTER'!#REF!)-1))),":",","),",",REPT(" ",50)),((((4-INDEX('CASE MASTER'!$U$2:$U$495,(SUMPRODUCT((('CASE MASTER'!$T$2:$T$495=15)*('CASE MASTER'!$U$2:$U$495&lt;=4)*('CASE MASTER'!$W$2:$W$495&gt;=4)*('CASE MASTER'!$V$2:$V$495&lt;=5)*('CASE MASTER'!$X$2:$X$495&gt;=5))*ROW('CASE MASTER'!$T$2:$T$495))-(ROW('CASE MASTER'!#REF!)-1))))*(INDEX('CASE MASTER'!$X$2:$X$495,(SUMPRODUCT((('CASE MASTER'!$T$2:$T$495=15)*('CASE MASTER'!$U$2:$U$495&lt;=4)*('CASE MASTER'!$W$2:$W$495&gt;=4)*('CASE MASTER'!$V$2:$V$495&lt;=5)*('CASE MASTER'!$X$2:$X$495&gt;=5))*ROW('CASE MASTER'!$T$2:$T$495))-(ROW('CASE MASTER'!#REF!)-1)))-INDEX('CASE MASTER'!$V$2:$V$495,(SUMPRODUCT((('CASE MASTER'!$T$2:$T$495=15)*('CASE MASTER'!$U$2:$U$495&lt;=4)*('CASE MASTER'!$W$2:$W$495&gt;=4)*('CASE MASTER'!$V$2:$V$495&lt;=5)*('CASE MASTER'!$X$2:$X$495&gt;=5))*ROW('CASE MASTER'!$T$2:$T$495))-(ROW('CASE MASTER'!#REF!)-1)))+1)+(5-INDEX('CASE MASTER'!$V$2:$V$495,(SUMPRODUCT((('CASE MASTER'!$T$2:$T$495=15)*('CASE MASTER'!$U$2:$U$495&lt;=4)*('CASE MASTER'!$W$2:$W$495&gt;=4)*('CASE MASTER'!$V$2:$V$495&lt;=5)*('CASE MASTER'!$X$2:$X$495&gt;=5))*ROW('CASE MASTER'!$T$2:$T$495))-(ROW('CASE MASTER'!#REF!)-1))))+1))-1)*50+1,50))&amp;"_"&amp;INDEX('CASE MASTER'!$Q$2:$Q$495,(SUMPRODUCT((('CASE MASTER'!$T$2:$T$495=15)*('CASE MASTER'!$U$2:$U$495&lt;=4)*('CASE MASTER'!$W$2:$W$495&gt;=4)*('CASE MASTER'!$V$2:$V$495&lt;=5)*('CASE MASTER'!$X$2:$X$495&gt;=5))*ROW('CASE MASTER'!$T$2:$T$495))-(ROW('CASE MASTER'!#REF!)-1))),IF(SUMPRODUCT((('CASE MASTER'!$T$2:$T$495=15)*('CASE MASTER'!$AA$2:$AA$495&lt;=4)*('CASE MASTER'!$AC$2:$AC$495&gt;=4)*('CASE MASTER'!$AB$2:$AB$495&lt;=5)*('CASE MASTER'!$AD$2:$AD$495&gt;=5))*ROW('CASE MASTER'!$T$2:$T$495))&gt;0,INDEX('CASE MASTER'!$Y$2:$Y$495,(SUMPRODUCT((('CASE MASTER'!$T$2:$T$495=15)*('CASE MASTER'!$AA$2:$AA$495&lt;=4)*('CASE MASTER'!$AC$2:$AC$495&gt;=4)*('CASE MASTER'!$AB$2:$AB$495&lt;=5)*('CASE MASTER'!$AD$2:$AD$495&gt;=5))*ROW('CASE MASTER'!$T$2:$T$495))-(ROW('CASE MASTER'!#REF!)-1)))&amp;TRIM(MID(SUBSTITUTE(SUBSTITUTE(INDEX('CASE MASTER'!$N$2:$N$495,(SUMPRODUCT((('CASE MASTER'!$T$2:$T$495=15)*('CASE MASTER'!$AA$2:$AA$495&lt;=4)*('CASE MASTER'!$AC$2:$AC$495&gt;=4)*('CASE MASTER'!$AB$2:$AB$495&lt;=5)*('CASE MASTER'!$AD$2:$AD$495&gt;=5))*ROW('CASE MASTER'!$T$2:$T$495))-(ROW('CASE MASTER'!#REF!)-1))),":",","),",",REPT(" ",50)),(((INDEX('CASE MASTER'!$Z$2:$Z$495,(SUMPRODUCT((('CASE MASTER'!$T$2:$T$495=15)*('CASE MASTER'!$AA$2:$AA$495&lt;=4)*('CASE MASTER'!$AC$2:$AC$495&gt;=4)*('CASE MASTER'!$AB$2:$AB$495&lt;=5)*('CASE MASTER'!$AD$2:$AD$495&gt;=5))*ROW('CASE MASTER'!$T$2:$T$495))-(ROW('CASE MASTER'!#REF!)-1)))+((4-INDEX('CASE MASTER'!$AA$2:$AA$495,(SUMPRODUCT((('CASE MASTER'!$T$2:$T$495=15)*('CASE MASTER'!$AA$2:$AA$495&lt;=4)*('CASE MASTER'!$AC$2:$AC$495&gt;=4)*('CASE MASTER'!$AB$2:$AB$495&lt;=5)*('CASE MASTER'!$AD$2:$AD$495&gt;=5))*ROW('CASE MASTER'!$T$2:$T$495))-(ROW('CASE MASTER'!#REF!)-1))))*(INDEX('CASE MASTER'!$AD$2:$AD$495,(SUMPRODUCT((('CASE MASTER'!$T$2:$T$495=15)*('CASE MASTER'!$AA$2:$AA$495&lt;=4)*('CASE MASTER'!$AC$2:$AC$495&gt;=4)*('CASE MASTER'!$AB$2:$AB$495&lt;=5)*('CASE MASTER'!$AD$2:$AD$495&gt;=5))*ROW('CASE MASTER'!$T$2:$T$495))-(ROW('CASE MASTER'!#REF!)-1)))-INDEX('CASE MASTER'!$AB$2:$AB$495,(SUMPRODUCT((('CASE MASTER'!$T$2:$T$495=15)*('CASE MASTER'!$AA$2:$AA$495&lt;=4)*('CASE MASTER'!$AC$2:$AC$495&gt;=4)*('CASE MASTER'!$AB$2:$AB$495&lt;=5)*('CASE MASTER'!$AD$2:$AD$495&gt;=5))*ROW('CASE MASTER'!$T$2:$T$495))-(ROW('CASE MASTER'!#REF!)-1)))+1)+(5-INDEX('CASE MASTER'!$AB$2:$AB$495,(SUMPRODUCT((('CASE MASTER'!$T$2:$T$495=15)*('CASE MASTER'!$AA$2:$AA$495&lt;=4)*('CASE MASTER'!$AC$2:$AC$495&gt;=4)*('CASE MASTER'!$AB$2:$AB$495&lt;=5)*('CASE MASTER'!$AD$2:$AD$495&gt;=5))*ROW('CASE MASTER'!$T$2:$T$495))-(ROW('CASE MASTER'!#REF!)-1))))+1)))-1)*50+1,50))&amp;"_"&amp;INDEX('CASE MASTER'!$Q$2:$Q$495,(SUMPRODUCT((('CASE MASTER'!$T$2:$T$495=15)*('CASE MASTER'!$AA$2:$AA$495&lt;=4)*('CASE MASTER'!$AC$2:$AC$495&gt;=4)*('CASE MASTER'!$AB$2:$AB$495&lt;=5)*('CASE MASTER'!$AD$2:$AD$495&gt;=5))*ROW('CASE MASTER'!$T$2:$T$495))-(ROW('CASE MASTER'!#REF!)-1))),"")),"")</f>
        <v/>
      </c>
      <c r="G202" s="10" t="str">
        <f>IFERROR(IF(SUMPRODUCT((('CASE MASTER'!$T$2:$T$495=15)*('CASE MASTER'!$U$2:$U$495&lt;=4)*('CASE MASTER'!$W$2:$W$495&gt;=4)*('CASE MASTER'!$V$2:$V$495&lt;=6)*('CASE MASTER'!$X$2:$X$495&gt;=6))*ROW('CASE MASTER'!$T$2:$T$495))&gt;0,INDEX('CASE MASTER'!$Y$2:$Y$495,(SUMPRODUCT((('CASE MASTER'!$T$2:$T$495=15)*('CASE MASTER'!$U$2:$U$495&lt;=4)*('CASE MASTER'!$W$2:$W$495&gt;=4)*('CASE MASTER'!$V$2:$V$495&lt;=6)*('CASE MASTER'!$X$2:$X$495&gt;=6))*ROW('CASE MASTER'!$T$2:$T$495))-(ROW('CASE MASTER'!#REF!)-1)))&amp;TRIM(MID(SUBSTITUTE(SUBSTITUTE(INDEX('CASE MASTER'!$N$2:$N$495,(SUMPRODUCT((('CASE MASTER'!$T$2:$T$495=15)*('CASE MASTER'!$U$2:$U$495&lt;=4)*('CASE MASTER'!$W$2:$W$495&gt;=4)*('CASE MASTER'!$V$2:$V$495&lt;=6)*('CASE MASTER'!$X$2:$X$495&gt;=6))*ROW('CASE MASTER'!$T$2:$T$495))-(ROW('CASE MASTER'!#REF!)-1))),":",","),",",REPT(" ",50)),((((4-INDEX('CASE MASTER'!$U$2:$U$495,(SUMPRODUCT((('CASE MASTER'!$T$2:$T$495=15)*('CASE MASTER'!$U$2:$U$495&lt;=4)*('CASE MASTER'!$W$2:$W$495&gt;=4)*('CASE MASTER'!$V$2:$V$495&lt;=6)*('CASE MASTER'!$X$2:$X$495&gt;=6))*ROW('CASE MASTER'!$T$2:$T$495))-(ROW('CASE MASTER'!#REF!)-1))))*(INDEX('CASE MASTER'!$X$2:$X$495,(SUMPRODUCT((('CASE MASTER'!$T$2:$T$495=15)*('CASE MASTER'!$U$2:$U$495&lt;=4)*('CASE MASTER'!$W$2:$W$495&gt;=4)*('CASE MASTER'!$V$2:$V$495&lt;=6)*('CASE MASTER'!$X$2:$X$495&gt;=6))*ROW('CASE MASTER'!$T$2:$T$495))-(ROW('CASE MASTER'!#REF!)-1)))-INDEX('CASE MASTER'!$V$2:$V$495,(SUMPRODUCT((('CASE MASTER'!$T$2:$T$495=15)*('CASE MASTER'!$U$2:$U$495&lt;=4)*('CASE MASTER'!$W$2:$W$495&gt;=4)*('CASE MASTER'!$V$2:$V$495&lt;=6)*('CASE MASTER'!$X$2:$X$495&gt;=6))*ROW('CASE MASTER'!$T$2:$T$495))-(ROW('CASE MASTER'!#REF!)-1)))+1)+(6-INDEX('CASE MASTER'!$V$2:$V$495,(SUMPRODUCT((('CASE MASTER'!$T$2:$T$495=15)*('CASE MASTER'!$U$2:$U$495&lt;=4)*('CASE MASTER'!$W$2:$W$495&gt;=4)*('CASE MASTER'!$V$2:$V$495&lt;=6)*('CASE MASTER'!$X$2:$X$495&gt;=6))*ROW('CASE MASTER'!$T$2:$T$495))-(ROW('CASE MASTER'!#REF!)-1))))+1))-1)*50+1,50))&amp;"_"&amp;INDEX('CASE MASTER'!$Q$2:$Q$495,(SUMPRODUCT((('CASE MASTER'!$T$2:$T$495=15)*('CASE MASTER'!$U$2:$U$495&lt;=4)*('CASE MASTER'!$W$2:$W$495&gt;=4)*('CASE MASTER'!$V$2:$V$495&lt;=6)*('CASE MASTER'!$X$2:$X$495&gt;=6))*ROW('CASE MASTER'!$T$2:$T$495))-(ROW('CASE MASTER'!#REF!)-1))),IF(SUMPRODUCT((('CASE MASTER'!$T$2:$T$495=15)*('CASE MASTER'!$AA$2:$AA$495&lt;=4)*('CASE MASTER'!$AC$2:$AC$495&gt;=4)*('CASE MASTER'!$AB$2:$AB$495&lt;=6)*('CASE MASTER'!$AD$2:$AD$495&gt;=6))*ROW('CASE MASTER'!$T$2:$T$495))&gt;0,INDEX('CASE MASTER'!$Y$2:$Y$495,(SUMPRODUCT((('CASE MASTER'!$T$2:$T$495=15)*('CASE MASTER'!$AA$2:$AA$495&lt;=4)*('CASE MASTER'!$AC$2:$AC$495&gt;=4)*('CASE MASTER'!$AB$2:$AB$495&lt;=6)*('CASE MASTER'!$AD$2:$AD$495&gt;=6))*ROW('CASE MASTER'!$T$2:$T$495))-(ROW('CASE MASTER'!#REF!)-1)))&amp;TRIM(MID(SUBSTITUTE(SUBSTITUTE(INDEX('CASE MASTER'!$N$2:$N$495,(SUMPRODUCT((('CASE MASTER'!$T$2:$T$495=15)*('CASE MASTER'!$AA$2:$AA$495&lt;=4)*('CASE MASTER'!$AC$2:$AC$495&gt;=4)*('CASE MASTER'!$AB$2:$AB$495&lt;=6)*('CASE MASTER'!$AD$2:$AD$495&gt;=6))*ROW('CASE MASTER'!$T$2:$T$495))-(ROW('CASE MASTER'!#REF!)-1))),":",","),",",REPT(" ",50)),(((INDEX('CASE MASTER'!$Z$2:$Z$495,(SUMPRODUCT((('CASE MASTER'!$T$2:$T$495=15)*('CASE MASTER'!$AA$2:$AA$495&lt;=4)*('CASE MASTER'!$AC$2:$AC$495&gt;=4)*('CASE MASTER'!$AB$2:$AB$495&lt;=6)*('CASE MASTER'!$AD$2:$AD$495&gt;=6))*ROW('CASE MASTER'!$T$2:$T$495))-(ROW('CASE MASTER'!#REF!)-1)))+((4-INDEX('CASE MASTER'!$AA$2:$AA$495,(SUMPRODUCT((('CASE MASTER'!$T$2:$T$495=15)*('CASE MASTER'!$AA$2:$AA$495&lt;=4)*('CASE MASTER'!$AC$2:$AC$495&gt;=4)*('CASE MASTER'!$AB$2:$AB$495&lt;=6)*('CASE MASTER'!$AD$2:$AD$495&gt;=6))*ROW('CASE MASTER'!$T$2:$T$495))-(ROW('CASE MASTER'!#REF!)-1))))*(INDEX('CASE MASTER'!$AD$2:$AD$495,(SUMPRODUCT((('CASE MASTER'!$T$2:$T$495=15)*('CASE MASTER'!$AA$2:$AA$495&lt;=4)*('CASE MASTER'!$AC$2:$AC$495&gt;=4)*('CASE MASTER'!$AB$2:$AB$495&lt;=6)*('CASE MASTER'!$AD$2:$AD$495&gt;=6))*ROW('CASE MASTER'!$T$2:$T$495))-(ROW('CASE MASTER'!#REF!)-1)))-INDEX('CASE MASTER'!$AB$2:$AB$495,(SUMPRODUCT((('CASE MASTER'!$T$2:$T$495=15)*('CASE MASTER'!$AA$2:$AA$495&lt;=4)*('CASE MASTER'!$AC$2:$AC$495&gt;=4)*('CASE MASTER'!$AB$2:$AB$495&lt;=6)*('CASE MASTER'!$AD$2:$AD$495&gt;=6))*ROW('CASE MASTER'!$T$2:$T$495))-(ROW('CASE MASTER'!#REF!)-1)))+1)+(6-INDEX('CASE MASTER'!$AB$2:$AB$495,(SUMPRODUCT((('CASE MASTER'!$T$2:$T$495=15)*('CASE MASTER'!$AA$2:$AA$495&lt;=4)*('CASE MASTER'!$AC$2:$AC$495&gt;=4)*('CASE MASTER'!$AB$2:$AB$495&lt;=6)*('CASE MASTER'!$AD$2:$AD$495&gt;=6))*ROW('CASE MASTER'!$T$2:$T$495))-(ROW('CASE MASTER'!#REF!)-1))))+1)))-1)*50+1,50))&amp;"_"&amp;INDEX('CASE MASTER'!$Q$2:$Q$495,(SUMPRODUCT((('CASE MASTER'!$T$2:$T$495=15)*('CASE MASTER'!$AA$2:$AA$495&lt;=4)*('CASE MASTER'!$AC$2:$AC$495&gt;=4)*('CASE MASTER'!$AB$2:$AB$495&lt;=6)*('CASE MASTER'!$AD$2:$AD$495&gt;=6))*ROW('CASE MASTER'!$T$2:$T$495))-(ROW('CASE MASTER'!#REF!)-1))),"")),"")</f>
        <v/>
      </c>
      <c r="H202" s="10" t="str">
        <f>IFERROR(IF(SUMPRODUCT((('CASE MASTER'!$T$2:$T$495=15)*('CASE MASTER'!$U$2:$U$495&lt;=4)*('CASE MASTER'!$W$2:$W$495&gt;=4)*('CASE MASTER'!$V$2:$V$495&lt;=7)*('CASE MASTER'!$X$2:$X$495&gt;=7))*ROW('CASE MASTER'!$T$2:$T$495))&gt;0,INDEX('CASE MASTER'!$Y$2:$Y$495,(SUMPRODUCT((('CASE MASTER'!$T$2:$T$495=15)*('CASE MASTER'!$U$2:$U$495&lt;=4)*('CASE MASTER'!$W$2:$W$495&gt;=4)*('CASE MASTER'!$V$2:$V$495&lt;=7)*('CASE MASTER'!$X$2:$X$495&gt;=7))*ROW('CASE MASTER'!$T$2:$T$495))-(ROW('CASE MASTER'!#REF!)-1)))&amp;TRIM(MID(SUBSTITUTE(SUBSTITUTE(INDEX('CASE MASTER'!$N$2:$N$495,(SUMPRODUCT((('CASE MASTER'!$T$2:$T$495=15)*('CASE MASTER'!$U$2:$U$495&lt;=4)*('CASE MASTER'!$W$2:$W$495&gt;=4)*('CASE MASTER'!$V$2:$V$495&lt;=7)*('CASE MASTER'!$X$2:$X$495&gt;=7))*ROW('CASE MASTER'!$T$2:$T$495))-(ROW('CASE MASTER'!#REF!)-1))),":",","),",",REPT(" ",50)),((((4-INDEX('CASE MASTER'!$U$2:$U$495,(SUMPRODUCT((('CASE MASTER'!$T$2:$T$495=15)*('CASE MASTER'!$U$2:$U$495&lt;=4)*('CASE MASTER'!$W$2:$W$495&gt;=4)*('CASE MASTER'!$V$2:$V$495&lt;=7)*('CASE MASTER'!$X$2:$X$495&gt;=7))*ROW('CASE MASTER'!$T$2:$T$495))-(ROW('CASE MASTER'!#REF!)-1))))*(INDEX('CASE MASTER'!$X$2:$X$495,(SUMPRODUCT((('CASE MASTER'!$T$2:$T$495=15)*('CASE MASTER'!$U$2:$U$495&lt;=4)*('CASE MASTER'!$W$2:$W$495&gt;=4)*('CASE MASTER'!$V$2:$V$495&lt;=7)*('CASE MASTER'!$X$2:$X$495&gt;=7))*ROW('CASE MASTER'!$T$2:$T$495))-(ROW('CASE MASTER'!#REF!)-1)))-INDEX('CASE MASTER'!$V$2:$V$495,(SUMPRODUCT((('CASE MASTER'!$T$2:$T$495=15)*('CASE MASTER'!$U$2:$U$495&lt;=4)*('CASE MASTER'!$W$2:$W$495&gt;=4)*('CASE MASTER'!$V$2:$V$495&lt;=7)*('CASE MASTER'!$X$2:$X$495&gt;=7))*ROW('CASE MASTER'!$T$2:$T$495))-(ROW('CASE MASTER'!#REF!)-1)))+1)+(7-INDEX('CASE MASTER'!$V$2:$V$495,(SUMPRODUCT((('CASE MASTER'!$T$2:$T$495=15)*('CASE MASTER'!$U$2:$U$495&lt;=4)*('CASE MASTER'!$W$2:$W$495&gt;=4)*('CASE MASTER'!$V$2:$V$495&lt;=7)*('CASE MASTER'!$X$2:$X$495&gt;=7))*ROW('CASE MASTER'!$T$2:$T$495))-(ROW('CASE MASTER'!#REF!)-1))))+1))-1)*50+1,50))&amp;"_"&amp;INDEX('CASE MASTER'!$Q$2:$Q$495,(SUMPRODUCT((('CASE MASTER'!$T$2:$T$495=15)*('CASE MASTER'!$U$2:$U$495&lt;=4)*('CASE MASTER'!$W$2:$W$495&gt;=4)*('CASE MASTER'!$V$2:$V$495&lt;=7)*('CASE MASTER'!$X$2:$X$495&gt;=7))*ROW('CASE MASTER'!$T$2:$T$495))-(ROW('CASE MASTER'!#REF!)-1))),IF(SUMPRODUCT((('CASE MASTER'!$T$2:$T$495=15)*('CASE MASTER'!$AA$2:$AA$495&lt;=4)*('CASE MASTER'!$AC$2:$AC$495&gt;=4)*('CASE MASTER'!$AB$2:$AB$495&lt;=7)*('CASE MASTER'!$AD$2:$AD$495&gt;=7))*ROW('CASE MASTER'!$T$2:$T$495))&gt;0,INDEX('CASE MASTER'!$Y$2:$Y$495,(SUMPRODUCT((('CASE MASTER'!$T$2:$T$495=15)*('CASE MASTER'!$AA$2:$AA$495&lt;=4)*('CASE MASTER'!$AC$2:$AC$495&gt;=4)*('CASE MASTER'!$AB$2:$AB$495&lt;=7)*('CASE MASTER'!$AD$2:$AD$495&gt;=7))*ROW('CASE MASTER'!$T$2:$T$495))-(ROW('CASE MASTER'!#REF!)-1)))&amp;TRIM(MID(SUBSTITUTE(SUBSTITUTE(INDEX('CASE MASTER'!$N$2:$N$495,(SUMPRODUCT((('CASE MASTER'!$T$2:$T$495=15)*('CASE MASTER'!$AA$2:$AA$495&lt;=4)*('CASE MASTER'!$AC$2:$AC$495&gt;=4)*('CASE MASTER'!$AB$2:$AB$495&lt;=7)*('CASE MASTER'!$AD$2:$AD$495&gt;=7))*ROW('CASE MASTER'!$T$2:$T$495))-(ROW('CASE MASTER'!#REF!)-1))),":",","),",",REPT(" ",50)),(((INDEX('CASE MASTER'!$Z$2:$Z$495,(SUMPRODUCT((('CASE MASTER'!$T$2:$T$495=15)*('CASE MASTER'!$AA$2:$AA$495&lt;=4)*('CASE MASTER'!$AC$2:$AC$495&gt;=4)*('CASE MASTER'!$AB$2:$AB$495&lt;=7)*('CASE MASTER'!$AD$2:$AD$495&gt;=7))*ROW('CASE MASTER'!$T$2:$T$495))-(ROW('CASE MASTER'!#REF!)-1)))+((4-INDEX('CASE MASTER'!$AA$2:$AA$495,(SUMPRODUCT((('CASE MASTER'!$T$2:$T$495=15)*('CASE MASTER'!$AA$2:$AA$495&lt;=4)*('CASE MASTER'!$AC$2:$AC$495&gt;=4)*('CASE MASTER'!$AB$2:$AB$495&lt;=7)*('CASE MASTER'!$AD$2:$AD$495&gt;=7))*ROW('CASE MASTER'!$T$2:$T$495))-(ROW('CASE MASTER'!#REF!)-1))))*(INDEX('CASE MASTER'!$AD$2:$AD$495,(SUMPRODUCT((('CASE MASTER'!$T$2:$T$495=15)*('CASE MASTER'!$AA$2:$AA$495&lt;=4)*('CASE MASTER'!$AC$2:$AC$495&gt;=4)*('CASE MASTER'!$AB$2:$AB$495&lt;=7)*('CASE MASTER'!$AD$2:$AD$495&gt;=7))*ROW('CASE MASTER'!$T$2:$T$495))-(ROW('CASE MASTER'!#REF!)-1)))-INDEX('CASE MASTER'!$AB$2:$AB$495,(SUMPRODUCT((('CASE MASTER'!$T$2:$T$495=15)*('CASE MASTER'!$AA$2:$AA$495&lt;=4)*('CASE MASTER'!$AC$2:$AC$495&gt;=4)*('CASE MASTER'!$AB$2:$AB$495&lt;=7)*('CASE MASTER'!$AD$2:$AD$495&gt;=7))*ROW('CASE MASTER'!$T$2:$T$495))-(ROW('CASE MASTER'!#REF!)-1)))+1)+(7-INDEX('CASE MASTER'!$AB$2:$AB$495,(SUMPRODUCT((('CASE MASTER'!$T$2:$T$495=15)*('CASE MASTER'!$AA$2:$AA$495&lt;=4)*('CASE MASTER'!$AC$2:$AC$495&gt;=4)*('CASE MASTER'!$AB$2:$AB$495&lt;=7)*('CASE MASTER'!$AD$2:$AD$495&gt;=7))*ROW('CASE MASTER'!$T$2:$T$495))-(ROW('CASE MASTER'!#REF!)-1))))+1)))-1)*50+1,50))&amp;"_"&amp;INDEX('CASE MASTER'!$Q$2:$Q$495,(SUMPRODUCT((('CASE MASTER'!$T$2:$T$495=15)*('CASE MASTER'!$AA$2:$AA$495&lt;=4)*('CASE MASTER'!$AC$2:$AC$495&gt;=4)*('CASE MASTER'!$AB$2:$AB$495&lt;=7)*('CASE MASTER'!$AD$2:$AD$495&gt;=7))*ROW('CASE MASTER'!$T$2:$T$495))-(ROW('CASE MASTER'!#REF!)-1))),"")),"")</f>
        <v/>
      </c>
      <c r="I202" s="10" t="str">
        <f>IFERROR(IF(SUMPRODUCT((('CASE MASTER'!$T$2:$T$495=15)*('CASE MASTER'!$U$2:$U$495&lt;=4)*('CASE MASTER'!$W$2:$W$495&gt;=4)*('CASE MASTER'!$V$2:$V$495&lt;=8)*('CASE MASTER'!$X$2:$X$495&gt;=8))*ROW('CASE MASTER'!$T$2:$T$495))&gt;0,INDEX('CASE MASTER'!$Y$2:$Y$495,(SUMPRODUCT((('CASE MASTER'!$T$2:$T$495=15)*('CASE MASTER'!$U$2:$U$495&lt;=4)*('CASE MASTER'!$W$2:$W$495&gt;=4)*('CASE MASTER'!$V$2:$V$495&lt;=8)*('CASE MASTER'!$X$2:$X$495&gt;=8))*ROW('CASE MASTER'!$T$2:$T$495))-(ROW('CASE MASTER'!#REF!)-1)))&amp;TRIM(MID(SUBSTITUTE(SUBSTITUTE(INDEX('CASE MASTER'!$N$2:$N$495,(SUMPRODUCT((('CASE MASTER'!$T$2:$T$495=15)*('CASE MASTER'!$U$2:$U$495&lt;=4)*('CASE MASTER'!$W$2:$W$495&gt;=4)*('CASE MASTER'!$V$2:$V$495&lt;=8)*('CASE MASTER'!$X$2:$X$495&gt;=8))*ROW('CASE MASTER'!$T$2:$T$495))-(ROW('CASE MASTER'!#REF!)-1))),":",","),",",REPT(" ",50)),((((4-INDEX('CASE MASTER'!$U$2:$U$495,(SUMPRODUCT((('CASE MASTER'!$T$2:$T$495=15)*('CASE MASTER'!$U$2:$U$495&lt;=4)*('CASE MASTER'!$W$2:$W$495&gt;=4)*('CASE MASTER'!$V$2:$V$495&lt;=8)*('CASE MASTER'!$X$2:$X$495&gt;=8))*ROW('CASE MASTER'!$T$2:$T$495))-(ROW('CASE MASTER'!#REF!)-1))))*(INDEX('CASE MASTER'!$X$2:$X$495,(SUMPRODUCT((('CASE MASTER'!$T$2:$T$495=15)*('CASE MASTER'!$U$2:$U$495&lt;=4)*('CASE MASTER'!$W$2:$W$495&gt;=4)*('CASE MASTER'!$V$2:$V$495&lt;=8)*('CASE MASTER'!$X$2:$X$495&gt;=8))*ROW('CASE MASTER'!$T$2:$T$495))-(ROW('CASE MASTER'!#REF!)-1)))-INDEX('CASE MASTER'!$V$2:$V$495,(SUMPRODUCT((('CASE MASTER'!$T$2:$T$495=15)*('CASE MASTER'!$U$2:$U$495&lt;=4)*('CASE MASTER'!$W$2:$W$495&gt;=4)*('CASE MASTER'!$V$2:$V$495&lt;=8)*('CASE MASTER'!$X$2:$X$495&gt;=8))*ROW('CASE MASTER'!$T$2:$T$495))-(ROW('CASE MASTER'!#REF!)-1)))+1)+(8-INDEX('CASE MASTER'!$V$2:$V$495,(SUMPRODUCT((('CASE MASTER'!$T$2:$T$495=15)*('CASE MASTER'!$U$2:$U$495&lt;=4)*('CASE MASTER'!$W$2:$W$495&gt;=4)*('CASE MASTER'!$V$2:$V$495&lt;=8)*('CASE MASTER'!$X$2:$X$495&gt;=8))*ROW('CASE MASTER'!$T$2:$T$495))-(ROW('CASE MASTER'!#REF!)-1))))+1))-1)*50+1,50))&amp;"_"&amp;INDEX('CASE MASTER'!$Q$2:$Q$495,(SUMPRODUCT((('CASE MASTER'!$T$2:$T$495=15)*('CASE MASTER'!$U$2:$U$495&lt;=4)*('CASE MASTER'!$W$2:$W$495&gt;=4)*('CASE MASTER'!$V$2:$V$495&lt;=8)*('CASE MASTER'!$X$2:$X$495&gt;=8))*ROW('CASE MASTER'!$T$2:$T$495))-(ROW('CASE MASTER'!#REF!)-1))),IF(SUMPRODUCT((('CASE MASTER'!$T$2:$T$495=15)*('CASE MASTER'!$AA$2:$AA$495&lt;=4)*('CASE MASTER'!$AC$2:$AC$495&gt;=4)*('CASE MASTER'!$AB$2:$AB$495&lt;=8)*('CASE MASTER'!$AD$2:$AD$495&gt;=8))*ROW('CASE MASTER'!$T$2:$T$495))&gt;0,INDEX('CASE MASTER'!$Y$2:$Y$495,(SUMPRODUCT((('CASE MASTER'!$T$2:$T$495=15)*('CASE MASTER'!$AA$2:$AA$495&lt;=4)*('CASE MASTER'!$AC$2:$AC$495&gt;=4)*('CASE MASTER'!$AB$2:$AB$495&lt;=8)*('CASE MASTER'!$AD$2:$AD$495&gt;=8))*ROW('CASE MASTER'!$T$2:$T$495))-(ROW('CASE MASTER'!#REF!)-1)))&amp;TRIM(MID(SUBSTITUTE(SUBSTITUTE(INDEX('CASE MASTER'!$N$2:$N$495,(SUMPRODUCT((('CASE MASTER'!$T$2:$T$495=15)*('CASE MASTER'!$AA$2:$AA$495&lt;=4)*('CASE MASTER'!$AC$2:$AC$495&gt;=4)*('CASE MASTER'!$AB$2:$AB$495&lt;=8)*('CASE MASTER'!$AD$2:$AD$495&gt;=8))*ROW('CASE MASTER'!$T$2:$T$495))-(ROW('CASE MASTER'!#REF!)-1))),":",","),",",REPT(" ",50)),(((INDEX('CASE MASTER'!$Z$2:$Z$495,(SUMPRODUCT((('CASE MASTER'!$T$2:$T$495=15)*('CASE MASTER'!$AA$2:$AA$495&lt;=4)*('CASE MASTER'!$AC$2:$AC$495&gt;=4)*('CASE MASTER'!$AB$2:$AB$495&lt;=8)*('CASE MASTER'!$AD$2:$AD$495&gt;=8))*ROW('CASE MASTER'!$T$2:$T$495))-(ROW('CASE MASTER'!#REF!)-1)))+((4-INDEX('CASE MASTER'!$AA$2:$AA$495,(SUMPRODUCT((('CASE MASTER'!$T$2:$T$495=15)*('CASE MASTER'!$AA$2:$AA$495&lt;=4)*('CASE MASTER'!$AC$2:$AC$495&gt;=4)*('CASE MASTER'!$AB$2:$AB$495&lt;=8)*('CASE MASTER'!$AD$2:$AD$495&gt;=8))*ROW('CASE MASTER'!$T$2:$T$495))-(ROW('CASE MASTER'!#REF!)-1))))*(INDEX('CASE MASTER'!$AD$2:$AD$495,(SUMPRODUCT((('CASE MASTER'!$T$2:$T$495=15)*('CASE MASTER'!$AA$2:$AA$495&lt;=4)*('CASE MASTER'!$AC$2:$AC$495&gt;=4)*('CASE MASTER'!$AB$2:$AB$495&lt;=8)*('CASE MASTER'!$AD$2:$AD$495&gt;=8))*ROW('CASE MASTER'!$T$2:$T$495))-(ROW('CASE MASTER'!#REF!)-1)))-INDEX('CASE MASTER'!$AB$2:$AB$495,(SUMPRODUCT((('CASE MASTER'!$T$2:$T$495=15)*('CASE MASTER'!$AA$2:$AA$495&lt;=4)*('CASE MASTER'!$AC$2:$AC$495&gt;=4)*('CASE MASTER'!$AB$2:$AB$495&lt;=8)*('CASE MASTER'!$AD$2:$AD$495&gt;=8))*ROW('CASE MASTER'!$T$2:$T$495))-(ROW('CASE MASTER'!#REF!)-1)))+1)+(8-INDEX('CASE MASTER'!$AB$2:$AB$495,(SUMPRODUCT((('CASE MASTER'!$T$2:$T$495=15)*('CASE MASTER'!$AA$2:$AA$495&lt;=4)*('CASE MASTER'!$AC$2:$AC$495&gt;=4)*('CASE MASTER'!$AB$2:$AB$495&lt;=8)*('CASE MASTER'!$AD$2:$AD$495&gt;=8))*ROW('CASE MASTER'!$T$2:$T$495))-(ROW('CASE MASTER'!#REF!)-1))))+1)))-1)*50+1,50))&amp;"_"&amp;INDEX('CASE MASTER'!$Q$2:$Q$495,(SUMPRODUCT((('CASE MASTER'!$T$2:$T$495=15)*('CASE MASTER'!$AA$2:$AA$495&lt;=4)*('CASE MASTER'!$AC$2:$AC$495&gt;=4)*('CASE MASTER'!$AB$2:$AB$495&lt;=8)*('CASE MASTER'!$AD$2:$AD$495&gt;=8))*ROW('CASE MASTER'!$T$2:$T$495))-(ROW('CASE MASTER'!#REF!)-1))),"")),"")</f>
        <v/>
      </c>
      <c r="J202" s="10" t="str">
        <f>IFERROR(IF(SUMPRODUCT((('CASE MASTER'!$T$2:$T$495=15)*('CASE MASTER'!$U$2:$U$495&lt;=4)*('CASE MASTER'!$W$2:$W$495&gt;=4)*('CASE MASTER'!$V$2:$V$495&lt;=9)*('CASE MASTER'!$X$2:$X$495&gt;=9))*ROW('CASE MASTER'!$T$2:$T$495))&gt;0,INDEX('CASE MASTER'!$Y$2:$Y$495,(SUMPRODUCT((('CASE MASTER'!$T$2:$T$495=15)*('CASE MASTER'!$U$2:$U$495&lt;=4)*('CASE MASTER'!$W$2:$W$495&gt;=4)*('CASE MASTER'!$V$2:$V$495&lt;=9)*('CASE MASTER'!$X$2:$X$495&gt;=9))*ROW('CASE MASTER'!$T$2:$T$495))-(ROW('CASE MASTER'!#REF!)-1)))&amp;TRIM(MID(SUBSTITUTE(SUBSTITUTE(INDEX('CASE MASTER'!$N$2:$N$495,(SUMPRODUCT((('CASE MASTER'!$T$2:$T$495=15)*('CASE MASTER'!$U$2:$U$495&lt;=4)*('CASE MASTER'!$W$2:$W$495&gt;=4)*('CASE MASTER'!$V$2:$V$495&lt;=9)*('CASE MASTER'!$X$2:$X$495&gt;=9))*ROW('CASE MASTER'!$T$2:$T$495))-(ROW('CASE MASTER'!#REF!)-1))),":",","),",",REPT(" ",50)),((((4-INDEX('CASE MASTER'!$U$2:$U$495,(SUMPRODUCT((('CASE MASTER'!$T$2:$T$495=15)*('CASE MASTER'!$U$2:$U$495&lt;=4)*('CASE MASTER'!$W$2:$W$495&gt;=4)*('CASE MASTER'!$V$2:$V$495&lt;=9)*('CASE MASTER'!$X$2:$X$495&gt;=9))*ROW('CASE MASTER'!$T$2:$T$495))-(ROW('CASE MASTER'!#REF!)-1))))*(INDEX('CASE MASTER'!$X$2:$X$495,(SUMPRODUCT((('CASE MASTER'!$T$2:$T$495=15)*('CASE MASTER'!$U$2:$U$495&lt;=4)*('CASE MASTER'!$W$2:$W$495&gt;=4)*('CASE MASTER'!$V$2:$V$495&lt;=9)*('CASE MASTER'!$X$2:$X$495&gt;=9))*ROW('CASE MASTER'!$T$2:$T$495))-(ROW('CASE MASTER'!#REF!)-1)))-INDEX('CASE MASTER'!$V$2:$V$495,(SUMPRODUCT((('CASE MASTER'!$T$2:$T$495=15)*('CASE MASTER'!$U$2:$U$495&lt;=4)*('CASE MASTER'!$W$2:$W$495&gt;=4)*('CASE MASTER'!$V$2:$V$495&lt;=9)*('CASE MASTER'!$X$2:$X$495&gt;=9))*ROW('CASE MASTER'!$T$2:$T$495))-(ROW('CASE MASTER'!#REF!)-1)))+1)+(9-INDEX('CASE MASTER'!$V$2:$V$495,(SUMPRODUCT((('CASE MASTER'!$T$2:$T$495=15)*('CASE MASTER'!$U$2:$U$495&lt;=4)*('CASE MASTER'!$W$2:$W$495&gt;=4)*('CASE MASTER'!$V$2:$V$495&lt;=9)*('CASE MASTER'!$X$2:$X$495&gt;=9))*ROW('CASE MASTER'!$T$2:$T$495))-(ROW('CASE MASTER'!#REF!)-1))))+1))-1)*50+1,50))&amp;"_"&amp;INDEX('CASE MASTER'!$Q$2:$Q$495,(SUMPRODUCT((('CASE MASTER'!$T$2:$T$495=15)*('CASE MASTER'!$U$2:$U$495&lt;=4)*('CASE MASTER'!$W$2:$W$495&gt;=4)*('CASE MASTER'!$V$2:$V$495&lt;=9)*('CASE MASTER'!$X$2:$X$495&gt;=9))*ROW('CASE MASTER'!$T$2:$T$495))-(ROW('CASE MASTER'!#REF!)-1))),IF(SUMPRODUCT((('CASE MASTER'!$T$2:$T$495=15)*('CASE MASTER'!$AA$2:$AA$495&lt;=4)*('CASE MASTER'!$AC$2:$AC$495&gt;=4)*('CASE MASTER'!$AB$2:$AB$495&lt;=9)*('CASE MASTER'!$AD$2:$AD$495&gt;=9))*ROW('CASE MASTER'!$T$2:$T$495))&gt;0,INDEX('CASE MASTER'!$Y$2:$Y$495,(SUMPRODUCT((('CASE MASTER'!$T$2:$T$495=15)*('CASE MASTER'!$AA$2:$AA$495&lt;=4)*('CASE MASTER'!$AC$2:$AC$495&gt;=4)*('CASE MASTER'!$AB$2:$AB$495&lt;=9)*('CASE MASTER'!$AD$2:$AD$495&gt;=9))*ROW('CASE MASTER'!$T$2:$T$495))-(ROW('CASE MASTER'!#REF!)-1)))&amp;TRIM(MID(SUBSTITUTE(SUBSTITUTE(INDEX('CASE MASTER'!$N$2:$N$495,(SUMPRODUCT((('CASE MASTER'!$T$2:$T$495=15)*('CASE MASTER'!$AA$2:$AA$495&lt;=4)*('CASE MASTER'!$AC$2:$AC$495&gt;=4)*('CASE MASTER'!$AB$2:$AB$495&lt;=9)*('CASE MASTER'!$AD$2:$AD$495&gt;=9))*ROW('CASE MASTER'!$T$2:$T$495))-(ROW('CASE MASTER'!#REF!)-1))),":",","),",",REPT(" ",50)),(((INDEX('CASE MASTER'!$Z$2:$Z$495,(SUMPRODUCT((('CASE MASTER'!$T$2:$T$495=15)*('CASE MASTER'!$AA$2:$AA$495&lt;=4)*('CASE MASTER'!$AC$2:$AC$495&gt;=4)*('CASE MASTER'!$AB$2:$AB$495&lt;=9)*('CASE MASTER'!$AD$2:$AD$495&gt;=9))*ROW('CASE MASTER'!$T$2:$T$495))-(ROW('CASE MASTER'!#REF!)-1)))+((4-INDEX('CASE MASTER'!$AA$2:$AA$495,(SUMPRODUCT((('CASE MASTER'!$T$2:$T$495=15)*('CASE MASTER'!$AA$2:$AA$495&lt;=4)*('CASE MASTER'!$AC$2:$AC$495&gt;=4)*('CASE MASTER'!$AB$2:$AB$495&lt;=9)*('CASE MASTER'!$AD$2:$AD$495&gt;=9))*ROW('CASE MASTER'!$T$2:$T$495))-(ROW('CASE MASTER'!#REF!)-1))))*(INDEX('CASE MASTER'!$AD$2:$AD$495,(SUMPRODUCT((('CASE MASTER'!$T$2:$T$495=15)*('CASE MASTER'!$AA$2:$AA$495&lt;=4)*('CASE MASTER'!$AC$2:$AC$495&gt;=4)*('CASE MASTER'!$AB$2:$AB$495&lt;=9)*('CASE MASTER'!$AD$2:$AD$495&gt;=9))*ROW('CASE MASTER'!$T$2:$T$495))-(ROW('CASE MASTER'!#REF!)-1)))-INDEX('CASE MASTER'!$AB$2:$AB$495,(SUMPRODUCT((('CASE MASTER'!$T$2:$T$495=15)*('CASE MASTER'!$AA$2:$AA$495&lt;=4)*('CASE MASTER'!$AC$2:$AC$495&gt;=4)*('CASE MASTER'!$AB$2:$AB$495&lt;=9)*('CASE MASTER'!$AD$2:$AD$495&gt;=9))*ROW('CASE MASTER'!$T$2:$T$495))-(ROW('CASE MASTER'!#REF!)-1)))+1)+(9-INDEX('CASE MASTER'!$AB$2:$AB$495,(SUMPRODUCT((('CASE MASTER'!$T$2:$T$495=15)*('CASE MASTER'!$AA$2:$AA$495&lt;=4)*('CASE MASTER'!$AC$2:$AC$495&gt;=4)*('CASE MASTER'!$AB$2:$AB$495&lt;=9)*('CASE MASTER'!$AD$2:$AD$495&gt;=9))*ROW('CASE MASTER'!$T$2:$T$495))-(ROW('CASE MASTER'!#REF!)-1))))+1)))-1)*50+1,50))&amp;"_"&amp;INDEX('CASE MASTER'!$Q$2:$Q$495,(SUMPRODUCT((('CASE MASTER'!$T$2:$T$495=15)*('CASE MASTER'!$AA$2:$AA$495&lt;=4)*('CASE MASTER'!$AC$2:$AC$495&gt;=4)*('CASE MASTER'!$AB$2:$AB$495&lt;=9)*('CASE MASTER'!$AD$2:$AD$495&gt;=9))*ROW('CASE MASTER'!$T$2:$T$495))-(ROW('CASE MASTER'!#REF!)-1))),"")),"")</f>
        <v/>
      </c>
      <c r="K202" s="10" t="str">
        <f>IFERROR(IF(SUMPRODUCT((('CASE MASTER'!$T$2:$T$495=15)*('CASE MASTER'!$U$2:$U$495&lt;=4)*('CASE MASTER'!$W$2:$W$495&gt;=4)*('CASE MASTER'!$V$2:$V$495&lt;=10)*('CASE MASTER'!$X$2:$X$495&gt;=10))*ROW('CASE MASTER'!$T$2:$T$495))&gt;0,INDEX('CASE MASTER'!$Y$2:$Y$495,(SUMPRODUCT((('CASE MASTER'!$T$2:$T$495=15)*('CASE MASTER'!$U$2:$U$495&lt;=4)*('CASE MASTER'!$W$2:$W$495&gt;=4)*('CASE MASTER'!$V$2:$V$495&lt;=10)*('CASE MASTER'!$X$2:$X$495&gt;=10))*ROW('CASE MASTER'!$T$2:$T$495))-(ROW('CASE MASTER'!#REF!)-1)))&amp;TRIM(MID(SUBSTITUTE(SUBSTITUTE(INDEX('CASE MASTER'!$N$2:$N$495,(SUMPRODUCT((('CASE MASTER'!$T$2:$T$495=15)*('CASE MASTER'!$U$2:$U$495&lt;=4)*('CASE MASTER'!$W$2:$W$495&gt;=4)*('CASE MASTER'!$V$2:$V$495&lt;=10)*('CASE MASTER'!$X$2:$X$495&gt;=10))*ROW('CASE MASTER'!$T$2:$T$495))-(ROW('CASE MASTER'!#REF!)-1))),":",","),",",REPT(" ",50)),((((4-INDEX('CASE MASTER'!$U$2:$U$495,(SUMPRODUCT((('CASE MASTER'!$T$2:$T$495=15)*('CASE MASTER'!$U$2:$U$495&lt;=4)*('CASE MASTER'!$W$2:$W$495&gt;=4)*('CASE MASTER'!$V$2:$V$495&lt;=10)*('CASE MASTER'!$X$2:$X$495&gt;=10))*ROW('CASE MASTER'!$T$2:$T$495))-(ROW('CASE MASTER'!#REF!)-1))))*(INDEX('CASE MASTER'!$X$2:$X$495,(SUMPRODUCT((('CASE MASTER'!$T$2:$T$495=15)*('CASE MASTER'!$U$2:$U$495&lt;=4)*('CASE MASTER'!$W$2:$W$495&gt;=4)*('CASE MASTER'!$V$2:$V$495&lt;=10)*('CASE MASTER'!$X$2:$X$495&gt;=10))*ROW('CASE MASTER'!$T$2:$T$495))-(ROW('CASE MASTER'!#REF!)-1)))-INDEX('CASE MASTER'!$V$2:$V$495,(SUMPRODUCT((('CASE MASTER'!$T$2:$T$495=15)*('CASE MASTER'!$U$2:$U$495&lt;=4)*('CASE MASTER'!$W$2:$W$495&gt;=4)*('CASE MASTER'!$V$2:$V$495&lt;=10)*('CASE MASTER'!$X$2:$X$495&gt;=10))*ROW('CASE MASTER'!$T$2:$T$495))-(ROW('CASE MASTER'!#REF!)-1)))+1)+(10-INDEX('CASE MASTER'!$V$2:$V$495,(SUMPRODUCT((('CASE MASTER'!$T$2:$T$495=15)*('CASE MASTER'!$U$2:$U$495&lt;=4)*('CASE MASTER'!$W$2:$W$495&gt;=4)*('CASE MASTER'!$V$2:$V$495&lt;=10)*('CASE MASTER'!$X$2:$X$495&gt;=10))*ROW('CASE MASTER'!$T$2:$T$495))-(ROW('CASE MASTER'!#REF!)-1))))+1))-1)*50+1,50))&amp;"_"&amp;INDEX('CASE MASTER'!$Q$2:$Q$495,(SUMPRODUCT((('CASE MASTER'!$T$2:$T$495=15)*('CASE MASTER'!$U$2:$U$495&lt;=4)*('CASE MASTER'!$W$2:$W$495&gt;=4)*('CASE MASTER'!$V$2:$V$495&lt;=10)*('CASE MASTER'!$X$2:$X$495&gt;=10))*ROW('CASE MASTER'!$T$2:$T$495))-(ROW('CASE MASTER'!#REF!)-1))),IF(SUMPRODUCT((('CASE MASTER'!$T$2:$T$495=15)*('CASE MASTER'!$AA$2:$AA$495&lt;=4)*('CASE MASTER'!$AC$2:$AC$495&gt;=4)*('CASE MASTER'!$AB$2:$AB$495&lt;=10)*('CASE MASTER'!$AD$2:$AD$495&gt;=10))*ROW('CASE MASTER'!$T$2:$T$495))&gt;0,INDEX('CASE MASTER'!$Y$2:$Y$495,(SUMPRODUCT((('CASE MASTER'!$T$2:$T$495=15)*('CASE MASTER'!$AA$2:$AA$495&lt;=4)*('CASE MASTER'!$AC$2:$AC$495&gt;=4)*('CASE MASTER'!$AB$2:$AB$495&lt;=10)*('CASE MASTER'!$AD$2:$AD$495&gt;=10))*ROW('CASE MASTER'!$T$2:$T$495))-(ROW('CASE MASTER'!#REF!)-1)))&amp;TRIM(MID(SUBSTITUTE(SUBSTITUTE(INDEX('CASE MASTER'!$N$2:$N$495,(SUMPRODUCT((('CASE MASTER'!$T$2:$T$495=15)*('CASE MASTER'!$AA$2:$AA$495&lt;=4)*('CASE MASTER'!$AC$2:$AC$495&gt;=4)*('CASE MASTER'!$AB$2:$AB$495&lt;=10)*('CASE MASTER'!$AD$2:$AD$495&gt;=10))*ROW('CASE MASTER'!$T$2:$T$495))-(ROW('CASE MASTER'!#REF!)-1))),":",","),",",REPT(" ",50)),(((INDEX('CASE MASTER'!$Z$2:$Z$495,(SUMPRODUCT((('CASE MASTER'!$T$2:$T$495=15)*('CASE MASTER'!$AA$2:$AA$495&lt;=4)*('CASE MASTER'!$AC$2:$AC$495&gt;=4)*('CASE MASTER'!$AB$2:$AB$495&lt;=10)*('CASE MASTER'!$AD$2:$AD$495&gt;=10))*ROW('CASE MASTER'!$T$2:$T$495))-(ROW('CASE MASTER'!#REF!)-1)))+((4-INDEX('CASE MASTER'!$AA$2:$AA$495,(SUMPRODUCT((('CASE MASTER'!$T$2:$T$495=15)*('CASE MASTER'!$AA$2:$AA$495&lt;=4)*('CASE MASTER'!$AC$2:$AC$495&gt;=4)*('CASE MASTER'!$AB$2:$AB$495&lt;=10)*('CASE MASTER'!$AD$2:$AD$495&gt;=10))*ROW('CASE MASTER'!$T$2:$T$495))-(ROW('CASE MASTER'!#REF!)-1))))*(INDEX('CASE MASTER'!$AD$2:$AD$495,(SUMPRODUCT((('CASE MASTER'!$T$2:$T$495=15)*('CASE MASTER'!$AA$2:$AA$495&lt;=4)*('CASE MASTER'!$AC$2:$AC$495&gt;=4)*('CASE MASTER'!$AB$2:$AB$495&lt;=10)*('CASE MASTER'!$AD$2:$AD$495&gt;=10))*ROW('CASE MASTER'!$T$2:$T$495))-(ROW('CASE MASTER'!#REF!)-1)))-INDEX('CASE MASTER'!$AB$2:$AB$495,(SUMPRODUCT((('CASE MASTER'!$T$2:$T$495=15)*('CASE MASTER'!$AA$2:$AA$495&lt;=4)*('CASE MASTER'!$AC$2:$AC$495&gt;=4)*('CASE MASTER'!$AB$2:$AB$495&lt;=10)*('CASE MASTER'!$AD$2:$AD$495&gt;=10))*ROW('CASE MASTER'!$T$2:$T$495))-(ROW('CASE MASTER'!#REF!)-1)))+1)+(10-INDEX('CASE MASTER'!$AB$2:$AB$495,(SUMPRODUCT((('CASE MASTER'!$T$2:$T$495=15)*('CASE MASTER'!$AA$2:$AA$495&lt;=4)*('CASE MASTER'!$AC$2:$AC$495&gt;=4)*('CASE MASTER'!$AB$2:$AB$495&lt;=10)*('CASE MASTER'!$AD$2:$AD$495&gt;=10))*ROW('CASE MASTER'!$T$2:$T$495))-(ROW('CASE MASTER'!#REF!)-1))))+1)))-1)*50+1,50))&amp;"_"&amp;INDEX('CASE MASTER'!$Q$2:$Q$495,(SUMPRODUCT((('CASE MASTER'!$T$2:$T$495=15)*('CASE MASTER'!$AA$2:$AA$495&lt;=4)*('CASE MASTER'!$AC$2:$AC$495&gt;=4)*('CASE MASTER'!$AB$2:$AB$495&lt;=10)*('CASE MASTER'!$AD$2:$AD$495&gt;=10))*ROW('CASE MASTER'!$T$2:$T$495))-(ROW('CASE MASTER'!#REF!)-1))),"")),"")</f>
        <v/>
      </c>
    </row>
    <row r="203" spans="1:11" ht="15" customHeight="1" x14ac:dyDescent="0.35">
      <c r="A203" s="8" t="s">
        <v>32</v>
      </c>
      <c r="B203" s="10" t="str">
        <f>IFERROR(IF(SUMPRODUCT((('CASE MASTER'!$T$2:$T$495=15)*('CASE MASTER'!$U$2:$U$495&lt;=5)*('CASE MASTER'!$W$2:$W$495&gt;=5)*('CASE MASTER'!$V$2:$V$495&lt;=1)*('CASE MASTER'!$X$2:$X$495&gt;=1))*ROW('CASE MASTER'!$T$2:$T$495))&gt;0,INDEX('CASE MASTER'!$Y$2:$Y$495,(SUMPRODUCT((('CASE MASTER'!$T$2:$T$495=15)*('CASE MASTER'!$U$2:$U$495&lt;=5)*('CASE MASTER'!$W$2:$W$495&gt;=5)*('CASE MASTER'!$V$2:$V$495&lt;=1)*('CASE MASTER'!$X$2:$X$495&gt;=1))*ROW('CASE MASTER'!$T$2:$T$495))-(ROW('CASE MASTER'!#REF!)-1)))&amp;TRIM(MID(SUBSTITUTE(SUBSTITUTE(INDEX('CASE MASTER'!$N$2:$N$495,(SUMPRODUCT((('CASE MASTER'!$T$2:$T$495=15)*('CASE MASTER'!$U$2:$U$495&lt;=5)*('CASE MASTER'!$W$2:$W$495&gt;=5)*('CASE MASTER'!$V$2:$V$495&lt;=1)*('CASE MASTER'!$X$2:$X$495&gt;=1))*ROW('CASE MASTER'!$T$2:$T$495))-(ROW('CASE MASTER'!#REF!)-1))),":",","),",",REPT(" ",50)),((((5-INDEX('CASE MASTER'!$U$2:$U$495,(SUMPRODUCT((('CASE MASTER'!$T$2:$T$495=15)*('CASE MASTER'!$U$2:$U$495&lt;=5)*('CASE MASTER'!$W$2:$W$495&gt;=5)*('CASE MASTER'!$V$2:$V$495&lt;=1)*('CASE MASTER'!$X$2:$X$495&gt;=1))*ROW('CASE MASTER'!$T$2:$T$495))-(ROW('CASE MASTER'!#REF!)-1))))*(INDEX('CASE MASTER'!$X$2:$X$495,(SUMPRODUCT((('CASE MASTER'!$T$2:$T$495=15)*('CASE MASTER'!$U$2:$U$495&lt;=5)*('CASE MASTER'!$W$2:$W$495&gt;=5)*('CASE MASTER'!$V$2:$V$495&lt;=1)*('CASE MASTER'!$X$2:$X$495&gt;=1))*ROW('CASE MASTER'!$T$2:$T$495))-(ROW('CASE MASTER'!#REF!)-1)))-INDEX('CASE MASTER'!$V$2:$V$495,(SUMPRODUCT((('CASE MASTER'!$T$2:$T$495=15)*('CASE MASTER'!$U$2:$U$495&lt;=5)*('CASE MASTER'!$W$2:$W$495&gt;=5)*('CASE MASTER'!$V$2:$V$495&lt;=1)*('CASE MASTER'!$X$2:$X$495&gt;=1))*ROW('CASE MASTER'!$T$2:$T$495))-(ROW('CASE MASTER'!#REF!)-1)))+1)+(1-INDEX('CASE MASTER'!$V$2:$V$495,(SUMPRODUCT((('CASE MASTER'!$T$2:$T$495=15)*('CASE MASTER'!$U$2:$U$495&lt;=5)*('CASE MASTER'!$W$2:$W$495&gt;=5)*('CASE MASTER'!$V$2:$V$495&lt;=1)*('CASE MASTER'!$X$2:$X$495&gt;=1))*ROW('CASE MASTER'!$T$2:$T$495))-(ROW('CASE MASTER'!#REF!)-1))))+1))-1)*50+1,50))&amp;"_"&amp;INDEX('CASE MASTER'!$Q$2:$Q$495,(SUMPRODUCT((('CASE MASTER'!$T$2:$T$495=15)*('CASE MASTER'!$U$2:$U$495&lt;=5)*('CASE MASTER'!$W$2:$W$495&gt;=5)*('CASE MASTER'!$V$2:$V$495&lt;=1)*('CASE MASTER'!$X$2:$X$495&gt;=1))*ROW('CASE MASTER'!$T$2:$T$495))-(ROW('CASE MASTER'!#REF!)-1))),IF(SUMPRODUCT((('CASE MASTER'!$T$2:$T$495=15)*('CASE MASTER'!$AA$2:$AA$495&lt;=5)*('CASE MASTER'!$AC$2:$AC$495&gt;=5)*('CASE MASTER'!$AB$2:$AB$495&lt;=1)*('CASE MASTER'!$AD$2:$AD$495&gt;=1))*ROW('CASE MASTER'!$T$2:$T$495))&gt;0,INDEX('CASE MASTER'!$Y$2:$Y$495,(SUMPRODUCT((('CASE MASTER'!$T$2:$T$495=15)*('CASE MASTER'!$AA$2:$AA$495&lt;=5)*('CASE MASTER'!$AC$2:$AC$495&gt;=5)*('CASE MASTER'!$AB$2:$AB$495&lt;=1)*('CASE MASTER'!$AD$2:$AD$495&gt;=1))*ROW('CASE MASTER'!$T$2:$T$495))-(ROW('CASE MASTER'!#REF!)-1)))&amp;TRIM(MID(SUBSTITUTE(SUBSTITUTE(INDEX('CASE MASTER'!$N$2:$N$495,(SUMPRODUCT((('CASE MASTER'!$T$2:$T$495=15)*('CASE MASTER'!$AA$2:$AA$495&lt;=5)*('CASE MASTER'!$AC$2:$AC$495&gt;=5)*('CASE MASTER'!$AB$2:$AB$495&lt;=1)*('CASE MASTER'!$AD$2:$AD$495&gt;=1))*ROW('CASE MASTER'!$T$2:$T$495))-(ROW('CASE MASTER'!#REF!)-1))),":",","),",",REPT(" ",50)),(((INDEX('CASE MASTER'!$Z$2:$Z$495,(SUMPRODUCT((('CASE MASTER'!$T$2:$T$495=15)*('CASE MASTER'!$AA$2:$AA$495&lt;=5)*('CASE MASTER'!$AC$2:$AC$495&gt;=5)*('CASE MASTER'!$AB$2:$AB$495&lt;=1)*('CASE MASTER'!$AD$2:$AD$495&gt;=1))*ROW('CASE MASTER'!$T$2:$T$495))-(ROW('CASE MASTER'!#REF!)-1)))+((5-INDEX('CASE MASTER'!$AA$2:$AA$495,(SUMPRODUCT((('CASE MASTER'!$T$2:$T$495=15)*('CASE MASTER'!$AA$2:$AA$495&lt;=5)*('CASE MASTER'!$AC$2:$AC$495&gt;=5)*('CASE MASTER'!$AB$2:$AB$495&lt;=1)*('CASE MASTER'!$AD$2:$AD$495&gt;=1))*ROW('CASE MASTER'!$T$2:$T$495))-(ROW('CASE MASTER'!#REF!)-1))))*(INDEX('CASE MASTER'!$AD$2:$AD$495,(SUMPRODUCT((('CASE MASTER'!$T$2:$T$495=15)*('CASE MASTER'!$AA$2:$AA$495&lt;=5)*('CASE MASTER'!$AC$2:$AC$495&gt;=5)*('CASE MASTER'!$AB$2:$AB$495&lt;=1)*('CASE MASTER'!$AD$2:$AD$495&gt;=1))*ROW('CASE MASTER'!$T$2:$T$495))-(ROW('CASE MASTER'!#REF!)-1)))-INDEX('CASE MASTER'!$AB$2:$AB$495,(SUMPRODUCT((('CASE MASTER'!$T$2:$T$495=15)*('CASE MASTER'!$AA$2:$AA$495&lt;=5)*('CASE MASTER'!$AC$2:$AC$495&gt;=5)*('CASE MASTER'!$AB$2:$AB$495&lt;=1)*('CASE MASTER'!$AD$2:$AD$495&gt;=1))*ROW('CASE MASTER'!$T$2:$T$495))-(ROW('CASE MASTER'!#REF!)-1)))+1)+(1-INDEX('CASE MASTER'!$AB$2:$AB$495,(SUMPRODUCT((('CASE MASTER'!$T$2:$T$495=15)*('CASE MASTER'!$AA$2:$AA$495&lt;=5)*('CASE MASTER'!$AC$2:$AC$495&gt;=5)*('CASE MASTER'!$AB$2:$AB$495&lt;=1)*('CASE MASTER'!$AD$2:$AD$495&gt;=1))*ROW('CASE MASTER'!$T$2:$T$495))-(ROW('CASE MASTER'!#REF!)-1))))+1)))-1)*50+1,50))&amp;"_"&amp;INDEX('CASE MASTER'!$Q$2:$Q$495,(SUMPRODUCT((('CASE MASTER'!$T$2:$T$495=15)*('CASE MASTER'!$AA$2:$AA$495&lt;=5)*('CASE MASTER'!$AC$2:$AC$495&gt;=5)*('CASE MASTER'!$AB$2:$AB$495&lt;=1)*('CASE MASTER'!$AD$2:$AD$495&gt;=1))*ROW('CASE MASTER'!$T$2:$T$495))-(ROW('CASE MASTER'!#REF!)-1))),"")),"")</f>
        <v/>
      </c>
      <c r="C203" s="10" t="str">
        <f>IFERROR(IF(SUMPRODUCT((('CASE MASTER'!$T$2:$T$495=15)*('CASE MASTER'!$U$2:$U$495&lt;=5)*('CASE MASTER'!$W$2:$W$495&gt;=5)*('CASE MASTER'!$V$2:$V$495&lt;=2)*('CASE MASTER'!$X$2:$X$495&gt;=2))*ROW('CASE MASTER'!$T$2:$T$495))&gt;0,INDEX('CASE MASTER'!$Y$2:$Y$495,(SUMPRODUCT((('CASE MASTER'!$T$2:$T$495=15)*('CASE MASTER'!$U$2:$U$495&lt;=5)*('CASE MASTER'!$W$2:$W$495&gt;=5)*('CASE MASTER'!$V$2:$V$495&lt;=2)*('CASE MASTER'!$X$2:$X$495&gt;=2))*ROW('CASE MASTER'!$T$2:$T$495))-(ROW('CASE MASTER'!#REF!)-1)))&amp;TRIM(MID(SUBSTITUTE(SUBSTITUTE(INDEX('CASE MASTER'!$N$2:$N$495,(SUMPRODUCT((('CASE MASTER'!$T$2:$T$495=15)*('CASE MASTER'!$U$2:$U$495&lt;=5)*('CASE MASTER'!$W$2:$W$495&gt;=5)*('CASE MASTER'!$V$2:$V$495&lt;=2)*('CASE MASTER'!$X$2:$X$495&gt;=2))*ROW('CASE MASTER'!$T$2:$T$495))-(ROW('CASE MASTER'!#REF!)-1))),":",","),",",REPT(" ",50)),((((5-INDEX('CASE MASTER'!$U$2:$U$495,(SUMPRODUCT((('CASE MASTER'!$T$2:$T$495=15)*('CASE MASTER'!$U$2:$U$495&lt;=5)*('CASE MASTER'!$W$2:$W$495&gt;=5)*('CASE MASTER'!$V$2:$V$495&lt;=2)*('CASE MASTER'!$X$2:$X$495&gt;=2))*ROW('CASE MASTER'!$T$2:$T$495))-(ROW('CASE MASTER'!#REF!)-1))))*(INDEX('CASE MASTER'!$X$2:$X$495,(SUMPRODUCT((('CASE MASTER'!$T$2:$T$495=15)*('CASE MASTER'!$U$2:$U$495&lt;=5)*('CASE MASTER'!$W$2:$W$495&gt;=5)*('CASE MASTER'!$V$2:$V$495&lt;=2)*('CASE MASTER'!$X$2:$X$495&gt;=2))*ROW('CASE MASTER'!$T$2:$T$495))-(ROW('CASE MASTER'!#REF!)-1)))-INDEX('CASE MASTER'!$V$2:$V$495,(SUMPRODUCT((('CASE MASTER'!$T$2:$T$495=15)*('CASE MASTER'!$U$2:$U$495&lt;=5)*('CASE MASTER'!$W$2:$W$495&gt;=5)*('CASE MASTER'!$V$2:$V$495&lt;=2)*('CASE MASTER'!$X$2:$X$495&gt;=2))*ROW('CASE MASTER'!$T$2:$T$495))-(ROW('CASE MASTER'!#REF!)-1)))+1)+(2-INDEX('CASE MASTER'!$V$2:$V$495,(SUMPRODUCT((('CASE MASTER'!$T$2:$T$495=15)*('CASE MASTER'!$U$2:$U$495&lt;=5)*('CASE MASTER'!$W$2:$W$495&gt;=5)*('CASE MASTER'!$V$2:$V$495&lt;=2)*('CASE MASTER'!$X$2:$X$495&gt;=2))*ROW('CASE MASTER'!$T$2:$T$495))-(ROW('CASE MASTER'!#REF!)-1))))+1))-1)*50+1,50))&amp;"_"&amp;INDEX('CASE MASTER'!$Q$2:$Q$495,(SUMPRODUCT((('CASE MASTER'!$T$2:$T$495=15)*('CASE MASTER'!$U$2:$U$495&lt;=5)*('CASE MASTER'!$W$2:$W$495&gt;=5)*('CASE MASTER'!$V$2:$V$495&lt;=2)*('CASE MASTER'!$X$2:$X$495&gt;=2))*ROW('CASE MASTER'!$T$2:$T$495))-(ROW('CASE MASTER'!#REF!)-1))),IF(SUMPRODUCT((('CASE MASTER'!$T$2:$T$495=15)*('CASE MASTER'!$AA$2:$AA$495&lt;=5)*('CASE MASTER'!$AC$2:$AC$495&gt;=5)*('CASE MASTER'!$AB$2:$AB$495&lt;=2)*('CASE MASTER'!$AD$2:$AD$495&gt;=2))*ROW('CASE MASTER'!$T$2:$T$495))&gt;0,INDEX('CASE MASTER'!$Y$2:$Y$495,(SUMPRODUCT((('CASE MASTER'!$T$2:$T$495=15)*('CASE MASTER'!$AA$2:$AA$495&lt;=5)*('CASE MASTER'!$AC$2:$AC$495&gt;=5)*('CASE MASTER'!$AB$2:$AB$495&lt;=2)*('CASE MASTER'!$AD$2:$AD$495&gt;=2))*ROW('CASE MASTER'!$T$2:$T$495))-(ROW('CASE MASTER'!#REF!)-1)))&amp;TRIM(MID(SUBSTITUTE(SUBSTITUTE(INDEX('CASE MASTER'!$N$2:$N$495,(SUMPRODUCT((('CASE MASTER'!$T$2:$T$495=15)*('CASE MASTER'!$AA$2:$AA$495&lt;=5)*('CASE MASTER'!$AC$2:$AC$495&gt;=5)*('CASE MASTER'!$AB$2:$AB$495&lt;=2)*('CASE MASTER'!$AD$2:$AD$495&gt;=2))*ROW('CASE MASTER'!$T$2:$T$495))-(ROW('CASE MASTER'!#REF!)-1))),":",","),",",REPT(" ",50)),(((INDEX('CASE MASTER'!$Z$2:$Z$495,(SUMPRODUCT((('CASE MASTER'!$T$2:$T$495=15)*('CASE MASTER'!$AA$2:$AA$495&lt;=5)*('CASE MASTER'!$AC$2:$AC$495&gt;=5)*('CASE MASTER'!$AB$2:$AB$495&lt;=2)*('CASE MASTER'!$AD$2:$AD$495&gt;=2))*ROW('CASE MASTER'!$T$2:$T$495))-(ROW('CASE MASTER'!#REF!)-1)))+((5-INDEX('CASE MASTER'!$AA$2:$AA$495,(SUMPRODUCT((('CASE MASTER'!$T$2:$T$495=15)*('CASE MASTER'!$AA$2:$AA$495&lt;=5)*('CASE MASTER'!$AC$2:$AC$495&gt;=5)*('CASE MASTER'!$AB$2:$AB$495&lt;=2)*('CASE MASTER'!$AD$2:$AD$495&gt;=2))*ROW('CASE MASTER'!$T$2:$T$495))-(ROW('CASE MASTER'!#REF!)-1))))*(INDEX('CASE MASTER'!$AD$2:$AD$495,(SUMPRODUCT((('CASE MASTER'!$T$2:$T$495=15)*('CASE MASTER'!$AA$2:$AA$495&lt;=5)*('CASE MASTER'!$AC$2:$AC$495&gt;=5)*('CASE MASTER'!$AB$2:$AB$495&lt;=2)*('CASE MASTER'!$AD$2:$AD$495&gt;=2))*ROW('CASE MASTER'!$T$2:$T$495))-(ROW('CASE MASTER'!#REF!)-1)))-INDEX('CASE MASTER'!$AB$2:$AB$495,(SUMPRODUCT((('CASE MASTER'!$T$2:$T$495=15)*('CASE MASTER'!$AA$2:$AA$495&lt;=5)*('CASE MASTER'!$AC$2:$AC$495&gt;=5)*('CASE MASTER'!$AB$2:$AB$495&lt;=2)*('CASE MASTER'!$AD$2:$AD$495&gt;=2))*ROW('CASE MASTER'!$T$2:$T$495))-(ROW('CASE MASTER'!#REF!)-1)))+1)+(2-INDEX('CASE MASTER'!$AB$2:$AB$495,(SUMPRODUCT((('CASE MASTER'!$T$2:$T$495=15)*('CASE MASTER'!$AA$2:$AA$495&lt;=5)*('CASE MASTER'!$AC$2:$AC$495&gt;=5)*('CASE MASTER'!$AB$2:$AB$495&lt;=2)*('CASE MASTER'!$AD$2:$AD$495&gt;=2))*ROW('CASE MASTER'!$T$2:$T$495))-(ROW('CASE MASTER'!#REF!)-1))))+1)))-1)*50+1,50))&amp;"_"&amp;INDEX('CASE MASTER'!$Q$2:$Q$495,(SUMPRODUCT((('CASE MASTER'!$T$2:$T$495=15)*('CASE MASTER'!$AA$2:$AA$495&lt;=5)*('CASE MASTER'!$AC$2:$AC$495&gt;=5)*('CASE MASTER'!$AB$2:$AB$495&lt;=2)*('CASE MASTER'!$AD$2:$AD$495&gt;=2))*ROW('CASE MASTER'!$T$2:$T$495))-(ROW('CASE MASTER'!#REF!)-1))),"")),"")</f>
        <v/>
      </c>
      <c r="D203" s="10" t="str">
        <f>IFERROR(IF(SUMPRODUCT((('CASE MASTER'!$T$2:$T$495=15)*('CASE MASTER'!$U$2:$U$495&lt;=5)*('CASE MASTER'!$W$2:$W$495&gt;=5)*('CASE MASTER'!$V$2:$V$495&lt;=3)*('CASE MASTER'!$X$2:$X$495&gt;=3))*ROW('CASE MASTER'!$T$2:$T$495))&gt;0,INDEX('CASE MASTER'!$Y$2:$Y$495,(SUMPRODUCT((('CASE MASTER'!$T$2:$T$495=15)*('CASE MASTER'!$U$2:$U$495&lt;=5)*('CASE MASTER'!$W$2:$W$495&gt;=5)*('CASE MASTER'!$V$2:$V$495&lt;=3)*('CASE MASTER'!$X$2:$X$495&gt;=3))*ROW('CASE MASTER'!$T$2:$T$495))-(ROW('CASE MASTER'!#REF!)-1)))&amp;TRIM(MID(SUBSTITUTE(SUBSTITUTE(INDEX('CASE MASTER'!$N$2:$N$495,(SUMPRODUCT((('CASE MASTER'!$T$2:$T$495=15)*('CASE MASTER'!$U$2:$U$495&lt;=5)*('CASE MASTER'!$W$2:$W$495&gt;=5)*('CASE MASTER'!$V$2:$V$495&lt;=3)*('CASE MASTER'!$X$2:$X$495&gt;=3))*ROW('CASE MASTER'!$T$2:$T$495))-(ROW('CASE MASTER'!#REF!)-1))),":",","),",",REPT(" ",50)),((((5-INDEX('CASE MASTER'!$U$2:$U$495,(SUMPRODUCT((('CASE MASTER'!$T$2:$T$495=15)*('CASE MASTER'!$U$2:$U$495&lt;=5)*('CASE MASTER'!$W$2:$W$495&gt;=5)*('CASE MASTER'!$V$2:$V$495&lt;=3)*('CASE MASTER'!$X$2:$X$495&gt;=3))*ROW('CASE MASTER'!$T$2:$T$495))-(ROW('CASE MASTER'!#REF!)-1))))*(INDEX('CASE MASTER'!$X$2:$X$495,(SUMPRODUCT((('CASE MASTER'!$T$2:$T$495=15)*('CASE MASTER'!$U$2:$U$495&lt;=5)*('CASE MASTER'!$W$2:$W$495&gt;=5)*('CASE MASTER'!$V$2:$V$495&lt;=3)*('CASE MASTER'!$X$2:$X$495&gt;=3))*ROW('CASE MASTER'!$T$2:$T$495))-(ROW('CASE MASTER'!#REF!)-1)))-INDEX('CASE MASTER'!$V$2:$V$495,(SUMPRODUCT((('CASE MASTER'!$T$2:$T$495=15)*('CASE MASTER'!$U$2:$U$495&lt;=5)*('CASE MASTER'!$W$2:$W$495&gt;=5)*('CASE MASTER'!$V$2:$V$495&lt;=3)*('CASE MASTER'!$X$2:$X$495&gt;=3))*ROW('CASE MASTER'!$T$2:$T$495))-(ROW('CASE MASTER'!#REF!)-1)))+1)+(3-INDEX('CASE MASTER'!$V$2:$V$495,(SUMPRODUCT((('CASE MASTER'!$T$2:$T$495=15)*('CASE MASTER'!$U$2:$U$495&lt;=5)*('CASE MASTER'!$W$2:$W$495&gt;=5)*('CASE MASTER'!$V$2:$V$495&lt;=3)*('CASE MASTER'!$X$2:$X$495&gt;=3))*ROW('CASE MASTER'!$T$2:$T$495))-(ROW('CASE MASTER'!#REF!)-1))))+1))-1)*50+1,50))&amp;"_"&amp;INDEX('CASE MASTER'!$Q$2:$Q$495,(SUMPRODUCT((('CASE MASTER'!$T$2:$T$495=15)*('CASE MASTER'!$U$2:$U$495&lt;=5)*('CASE MASTER'!$W$2:$W$495&gt;=5)*('CASE MASTER'!$V$2:$V$495&lt;=3)*('CASE MASTER'!$X$2:$X$495&gt;=3))*ROW('CASE MASTER'!$T$2:$T$495))-(ROW('CASE MASTER'!#REF!)-1))),IF(SUMPRODUCT((('CASE MASTER'!$T$2:$T$495=15)*('CASE MASTER'!$AA$2:$AA$495&lt;=5)*('CASE MASTER'!$AC$2:$AC$495&gt;=5)*('CASE MASTER'!$AB$2:$AB$495&lt;=3)*('CASE MASTER'!$AD$2:$AD$495&gt;=3))*ROW('CASE MASTER'!$T$2:$T$495))&gt;0,INDEX('CASE MASTER'!$Y$2:$Y$495,(SUMPRODUCT((('CASE MASTER'!$T$2:$T$495=15)*('CASE MASTER'!$AA$2:$AA$495&lt;=5)*('CASE MASTER'!$AC$2:$AC$495&gt;=5)*('CASE MASTER'!$AB$2:$AB$495&lt;=3)*('CASE MASTER'!$AD$2:$AD$495&gt;=3))*ROW('CASE MASTER'!$T$2:$T$495))-(ROW('CASE MASTER'!#REF!)-1)))&amp;TRIM(MID(SUBSTITUTE(SUBSTITUTE(INDEX('CASE MASTER'!$N$2:$N$495,(SUMPRODUCT((('CASE MASTER'!$T$2:$T$495=15)*('CASE MASTER'!$AA$2:$AA$495&lt;=5)*('CASE MASTER'!$AC$2:$AC$495&gt;=5)*('CASE MASTER'!$AB$2:$AB$495&lt;=3)*('CASE MASTER'!$AD$2:$AD$495&gt;=3))*ROW('CASE MASTER'!$T$2:$T$495))-(ROW('CASE MASTER'!#REF!)-1))),":",","),",",REPT(" ",50)),(((INDEX('CASE MASTER'!$Z$2:$Z$495,(SUMPRODUCT((('CASE MASTER'!$T$2:$T$495=15)*('CASE MASTER'!$AA$2:$AA$495&lt;=5)*('CASE MASTER'!$AC$2:$AC$495&gt;=5)*('CASE MASTER'!$AB$2:$AB$495&lt;=3)*('CASE MASTER'!$AD$2:$AD$495&gt;=3))*ROW('CASE MASTER'!$T$2:$T$495))-(ROW('CASE MASTER'!#REF!)-1)))+((5-INDEX('CASE MASTER'!$AA$2:$AA$495,(SUMPRODUCT((('CASE MASTER'!$T$2:$T$495=15)*('CASE MASTER'!$AA$2:$AA$495&lt;=5)*('CASE MASTER'!$AC$2:$AC$495&gt;=5)*('CASE MASTER'!$AB$2:$AB$495&lt;=3)*('CASE MASTER'!$AD$2:$AD$495&gt;=3))*ROW('CASE MASTER'!$T$2:$T$495))-(ROW('CASE MASTER'!#REF!)-1))))*(INDEX('CASE MASTER'!$AD$2:$AD$495,(SUMPRODUCT((('CASE MASTER'!$T$2:$T$495=15)*('CASE MASTER'!$AA$2:$AA$495&lt;=5)*('CASE MASTER'!$AC$2:$AC$495&gt;=5)*('CASE MASTER'!$AB$2:$AB$495&lt;=3)*('CASE MASTER'!$AD$2:$AD$495&gt;=3))*ROW('CASE MASTER'!$T$2:$T$495))-(ROW('CASE MASTER'!#REF!)-1)))-INDEX('CASE MASTER'!$AB$2:$AB$495,(SUMPRODUCT((('CASE MASTER'!$T$2:$T$495=15)*('CASE MASTER'!$AA$2:$AA$495&lt;=5)*('CASE MASTER'!$AC$2:$AC$495&gt;=5)*('CASE MASTER'!$AB$2:$AB$495&lt;=3)*('CASE MASTER'!$AD$2:$AD$495&gt;=3))*ROW('CASE MASTER'!$T$2:$T$495))-(ROW('CASE MASTER'!#REF!)-1)))+1)+(3-INDEX('CASE MASTER'!$AB$2:$AB$495,(SUMPRODUCT((('CASE MASTER'!$T$2:$T$495=15)*('CASE MASTER'!$AA$2:$AA$495&lt;=5)*('CASE MASTER'!$AC$2:$AC$495&gt;=5)*('CASE MASTER'!$AB$2:$AB$495&lt;=3)*('CASE MASTER'!$AD$2:$AD$495&gt;=3))*ROW('CASE MASTER'!$T$2:$T$495))-(ROW('CASE MASTER'!#REF!)-1))))+1)))-1)*50+1,50))&amp;"_"&amp;INDEX('CASE MASTER'!$Q$2:$Q$495,(SUMPRODUCT((('CASE MASTER'!$T$2:$T$495=15)*('CASE MASTER'!$AA$2:$AA$495&lt;=5)*('CASE MASTER'!$AC$2:$AC$495&gt;=5)*('CASE MASTER'!$AB$2:$AB$495&lt;=3)*('CASE MASTER'!$AD$2:$AD$495&gt;=3))*ROW('CASE MASTER'!$T$2:$T$495))-(ROW('CASE MASTER'!#REF!)-1))),"")),"")</f>
        <v/>
      </c>
      <c r="E203" s="10" t="str">
        <f>IFERROR(IF(SUMPRODUCT((('CASE MASTER'!$T$2:$T$495=15)*('CASE MASTER'!$U$2:$U$495&lt;=5)*('CASE MASTER'!$W$2:$W$495&gt;=5)*('CASE MASTER'!$V$2:$V$495&lt;=4)*('CASE MASTER'!$X$2:$X$495&gt;=4))*ROW('CASE MASTER'!$T$2:$T$495))&gt;0,INDEX('CASE MASTER'!$Y$2:$Y$495,(SUMPRODUCT((('CASE MASTER'!$T$2:$T$495=15)*('CASE MASTER'!$U$2:$U$495&lt;=5)*('CASE MASTER'!$W$2:$W$495&gt;=5)*('CASE MASTER'!$V$2:$V$495&lt;=4)*('CASE MASTER'!$X$2:$X$495&gt;=4))*ROW('CASE MASTER'!$T$2:$T$495))-(ROW('CASE MASTER'!#REF!)-1)))&amp;TRIM(MID(SUBSTITUTE(SUBSTITUTE(INDEX('CASE MASTER'!$N$2:$N$495,(SUMPRODUCT((('CASE MASTER'!$T$2:$T$495=15)*('CASE MASTER'!$U$2:$U$495&lt;=5)*('CASE MASTER'!$W$2:$W$495&gt;=5)*('CASE MASTER'!$V$2:$V$495&lt;=4)*('CASE MASTER'!$X$2:$X$495&gt;=4))*ROW('CASE MASTER'!$T$2:$T$495))-(ROW('CASE MASTER'!#REF!)-1))),":",","),",",REPT(" ",50)),((((5-INDEX('CASE MASTER'!$U$2:$U$495,(SUMPRODUCT((('CASE MASTER'!$T$2:$T$495=15)*('CASE MASTER'!$U$2:$U$495&lt;=5)*('CASE MASTER'!$W$2:$W$495&gt;=5)*('CASE MASTER'!$V$2:$V$495&lt;=4)*('CASE MASTER'!$X$2:$X$495&gt;=4))*ROW('CASE MASTER'!$T$2:$T$495))-(ROW('CASE MASTER'!#REF!)-1))))*(INDEX('CASE MASTER'!$X$2:$X$495,(SUMPRODUCT((('CASE MASTER'!$T$2:$T$495=15)*('CASE MASTER'!$U$2:$U$495&lt;=5)*('CASE MASTER'!$W$2:$W$495&gt;=5)*('CASE MASTER'!$V$2:$V$495&lt;=4)*('CASE MASTER'!$X$2:$X$495&gt;=4))*ROW('CASE MASTER'!$T$2:$T$495))-(ROW('CASE MASTER'!#REF!)-1)))-INDEX('CASE MASTER'!$V$2:$V$495,(SUMPRODUCT((('CASE MASTER'!$T$2:$T$495=15)*('CASE MASTER'!$U$2:$U$495&lt;=5)*('CASE MASTER'!$W$2:$W$495&gt;=5)*('CASE MASTER'!$V$2:$V$495&lt;=4)*('CASE MASTER'!$X$2:$X$495&gt;=4))*ROW('CASE MASTER'!$T$2:$T$495))-(ROW('CASE MASTER'!#REF!)-1)))+1)+(4-INDEX('CASE MASTER'!$V$2:$V$495,(SUMPRODUCT((('CASE MASTER'!$T$2:$T$495=15)*('CASE MASTER'!$U$2:$U$495&lt;=5)*('CASE MASTER'!$W$2:$W$495&gt;=5)*('CASE MASTER'!$V$2:$V$495&lt;=4)*('CASE MASTER'!$X$2:$X$495&gt;=4))*ROW('CASE MASTER'!$T$2:$T$495))-(ROW('CASE MASTER'!#REF!)-1))))+1))-1)*50+1,50))&amp;"_"&amp;INDEX('CASE MASTER'!$Q$2:$Q$495,(SUMPRODUCT((('CASE MASTER'!$T$2:$T$495=15)*('CASE MASTER'!$U$2:$U$495&lt;=5)*('CASE MASTER'!$W$2:$W$495&gt;=5)*('CASE MASTER'!$V$2:$V$495&lt;=4)*('CASE MASTER'!$X$2:$X$495&gt;=4))*ROW('CASE MASTER'!$T$2:$T$495))-(ROW('CASE MASTER'!#REF!)-1))),IF(SUMPRODUCT((('CASE MASTER'!$T$2:$T$495=15)*('CASE MASTER'!$AA$2:$AA$495&lt;=5)*('CASE MASTER'!$AC$2:$AC$495&gt;=5)*('CASE MASTER'!$AB$2:$AB$495&lt;=4)*('CASE MASTER'!$AD$2:$AD$495&gt;=4))*ROW('CASE MASTER'!$T$2:$T$495))&gt;0,INDEX('CASE MASTER'!$Y$2:$Y$495,(SUMPRODUCT((('CASE MASTER'!$T$2:$T$495=15)*('CASE MASTER'!$AA$2:$AA$495&lt;=5)*('CASE MASTER'!$AC$2:$AC$495&gt;=5)*('CASE MASTER'!$AB$2:$AB$495&lt;=4)*('CASE MASTER'!$AD$2:$AD$495&gt;=4))*ROW('CASE MASTER'!$T$2:$T$495))-(ROW('CASE MASTER'!#REF!)-1)))&amp;TRIM(MID(SUBSTITUTE(SUBSTITUTE(INDEX('CASE MASTER'!$N$2:$N$495,(SUMPRODUCT((('CASE MASTER'!$T$2:$T$495=15)*('CASE MASTER'!$AA$2:$AA$495&lt;=5)*('CASE MASTER'!$AC$2:$AC$495&gt;=5)*('CASE MASTER'!$AB$2:$AB$495&lt;=4)*('CASE MASTER'!$AD$2:$AD$495&gt;=4))*ROW('CASE MASTER'!$T$2:$T$495))-(ROW('CASE MASTER'!#REF!)-1))),":",","),",",REPT(" ",50)),(((INDEX('CASE MASTER'!$Z$2:$Z$495,(SUMPRODUCT((('CASE MASTER'!$T$2:$T$495=15)*('CASE MASTER'!$AA$2:$AA$495&lt;=5)*('CASE MASTER'!$AC$2:$AC$495&gt;=5)*('CASE MASTER'!$AB$2:$AB$495&lt;=4)*('CASE MASTER'!$AD$2:$AD$495&gt;=4))*ROW('CASE MASTER'!$T$2:$T$495))-(ROW('CASE MASTER'!#REF!)-1)))+((5-INDEX('CASE MASTER'!$AA$2:$AA$495,(SUMPRODUCT((('CASE MASTER'!$T$2:$T$495=15)*('CASE MASTER'!$AA$2:$AA$495&lt;=5)*('CASE MASTER'!$AC$2:$AC$495&gt;=5)*('CASE MASTER'!$AB$2:$AB$495&lt;=4)*('CASE MASTER'!$AD$2:$AD$495&gt;=4))*ROW('CASE MASTER'!$T$2:$T$495))-(ROW('CASE MASTER'!#REF!)-1))))*(INDEX('CASE MASTER'!$AD$2:$AD$495,(SUMPRODUCT((('CASE MASTER'!$T$2:$T$495=15)*('CASE MASTER'!$AA$2:$AA$495&lt;=5)*('CASE MASTER'!$AC$2:$AC$495&gt;=5)*('CASE MASTER'!$AB$2:$AB$495&lt;=4)*('CASE MASTER'!$AD$2:$AD$495&gt;=4))*ROW('CASE MASTER'!$T$2:$T$495))-(ROW('CASE MASTER'!#REF!)-1)))-INDEX('CASE MASTER'!$AB$2:$AB$495,(SUMPRODUCT((('CASE MASTER'!$T$2:$T$495=15)*('CASE MASTER'!$AA$2:$AA$495&lt;=5)*('CASE MASTER'!$AC$2:$AC$495&gt;=5)*('CASE MASTER'!$AB$2:$AB$495&lt;=4)*('CASE MASTER'!$AD$2:$AD$495&gt;=4))*ROW('CASE MASTER'!$T$2:$T$495))-(ROW('CASE MASTER'!#REF!)-1)))+1)+(4-INDEX('CASE MASTER'!$AB$2:$AB$495,(SUMPRODUCT((('CASE MASTER'!$T$2:$T$495=15)*('CASE MASTER'!$AA$2:$AA$495&lt;=5)*('CASE MASTER'!$AC$2:$AC$495&gt;=5)*('CASE MASTER'!$AB$2:$AB$495&lt;=4)*('CASE MASTER'!$AD$2:$AD$495&gt;=4))*ROW('CASE MASTER'!$T$2:$T$495))-(ROW('CASE MASTER'!#REF!)-1))))+1)))-1)*50+1,50))&amp;"_"&amp;INDEX('CASE MASTER'!$Q$2:$Q$495,(SUMPRODUCT((('CASE MASTER'!$T$2:$T$495=15)*('CASE MASTER'!$AA$2:$AA$495&lt;=5)*('CASE MASTER'!$AC$2:$AC$495&gt;=5)*('CASE MASTER'!$AB$2:$AB$495&lt;=4)*('CASE MASTER'!$AD$2:$AD$495&gt;=4))*ROW('CASE MASTER'!$T$2:$T$495))-(ROW('CASE MASTER'!#REF!)-1))),"")),"")</f>
        <v/>
      </c>
      <c r="F203" s="10" t="str">
        <f>IFERROR(IF(SUMPRODUCT((('CASE MASTER'!$T$2:$T$495=15)*('CASE MASTER'!$U$2:$U$495&lt;=5)*('CASE MASTER'!$W$2:$W$495&gt;=5)*('CASE MASTER'!$V$2:$V$495&lt;=5)*('CASE MASTER'!$X$2:$X$495&gt;=5))*ROW('CASE MASTER'!$T$2:$T$495))&gt;0,INDEX('CASE MASTER'!$Y$2:$Y$495,(SUMPRODUCT((('CASE MASTER'!$T$2:$T$495=15)*('CASE MASTER'!$U$2:$U$495&lt;=5)*('CASE MASTER'!$W$2:$W$495&gt;=5)*('CASE MASTER'!$V$2:$V$495&lt;=5)*('CASE MASTER'!$X$2:$X$495&gt;=5))*ROW('CASE MASTER'!$T$2:$T$495))-(ROW('CASE MASTER'!#REF!)-1)))&amp;TRIM(MID(SUBSTITUTE(SUBSTITUTE(INDEX('CASE MASTER'!$N$2:$N$495,(SUMPRODUCT((('CASE MASTER'!$T$2:$T$495=15)*('CASE MASTER'!$U$2:$U$495&lt;=5)*('CASE MASTER'!$W$2:$W$495&gt;=5)*('CASE MASTER'!$V$2:$V$495&lt;=5)*('CASE MASTER'!$X$2:$X$495&gt;=5))*ROW('CASE MASTER'!$T$2:$T$495))-(ROW('CASE MASTER'!#REF!)-1))),":",","),",",REPT(" ",50)),((((5-INDEX('CASE MASTER'!$U$2:$U$495,(SUMPRODUCT((('CASE MASTER'!$T$2:$T$495=15)*('CASE MASTER'!$U$2:$U$495&lt;=5)*('CASE MASTER'!$W$2:$W$495&gt;=5)*('CASE MASTER'!$V$2:$V$495&lt;=5)*('CASE MASTER'!$X$2:$X$495&gt;=5))*ROW('CASE MASTER'!$T$2:$T$495))-(ROW('CASE MASTER'!#REF!)-1))))*(INDEX('CASE MASTER'!$X$2:$X$495,(SUMPRODUCT((('CASE MASTER'!$T$2:$T$495=15)*('CASE MASTER'!$U$2:$U$495&lt;=5)*('CASE MASTER'!$W$2:$W$495&gt;=5)*('CASE MASTER'!$V$2:$V$495&lt;=5)*('CASE MASTER'!$X$2:$X$495&gt;=5))*ROW('CASE MASTER'!$T$2:$T$495))-(ROW('CASE MASTER'!#REF!)-1)))-INDEX('CASE MASTER'!$V$2:$V$495,(SUMPRODUCT((('CASE MASTER'!$T$2:$T$495=15)*('CASE MASTER'!$U$2:$U$495&lt;=5)*('CASE MASTER'!$W$2:$W$495&gt;=5)*('CASE MASTER'!$V$2:$V$495&lt;=5)*('CASE MASTER'!$X$2:$X$495&gt;=5))*ROW('CASE MASTER'!$T$2:$T$495))-(ROW('CASE MASTER'!#REF!)-1)))+1)+(5-INDEX('CASE MASTER'!$V$2:$V$495,(SUMPRODUCT((('CASE MASTER'!$T$2:$T$495=15)*('CASE MASTER'!$U$2:$U$495&lt;=5)*('CASE MASTER'!$W$2:$W$495&gt;=5)*('CASE MASTER'!$V$2:$V$495&lt;=5)*('CASE MASTER'!$X$2:$X$495&gt;=5))*ROW('CASE MASTER'!$T$2:$T$495))-(ROW('CASE MASTER'!#REF!)-1))))+1))-1)*50+1,50))&amp;"_"&amp;INDEX('CASE MASTER'!$Q$2:$Q$495,(SUMPRODUCT((('CASE MASTER'!$T$2:$T$495=15)*('CASE MASTER'!$U$2:$U$495&lt;=5)*('CASE MASTER'!$W$2:$W$495&gt;=5)*('CASE MASTER'!$V$2:$V$495&lt;=5)*('CASE MASTER'!$X$2:$X$495&gt;=5))*ROW('CASE MASTER'!$T$2:$T$495))-(ROW('CASE MASTER'!#REF!)-1))),IF(SUMPRODUCT((('CASE MASTER'!$T$2:$T$495=15)*('CASE MASTER'!$AA$2:$AA$495&lt;=5)*('CASE MASTER'!$AC$2:$AC$495&gt;=5)*('CASE MASTER'!$AB$2:$AB$495&lt;=5)*('CASE MASTER'!$AD$2:$AD$495&gt;=5))*ROW('CASE MASTER'!$T$2:$T$495))&gt;0,INDEX('CASE MASTER'!$Y$2:$Y$495,(SUMPRODUCT((('CASE MASTER'!$T$2:$T$495=15)*('CASE MASTER'!$AA$2:$AA$495&lt;=5)*('CASE MASTER'!$AC$2:$AC$495&gt;=5)*('CASE MASTER'!$AB$2:$AB$495&lt;=5)*('CASE MASTER'!$AD$2:$AD$495&gt;=5))*ROW('CASE MASTER'!$T$2:$T$495))-(ROW('CASE MASTER'!#REF!)-1)))&amp;TRIM(MID(SUBSTITUTE(SUBSTITUTE(INDEX('CASE MASTER'!$N$2:$N$495,(SUMPRODUCT((('CASE MASTER'!$T$2:$T$495=15)*('CASE MASTER'!$AA$2:$AA$495&lt;=5)*('CASE MASTER'!$AC$2:$AC$495&gt;=5)*('CASE MASTER'!$AB$2:$AB$495&lt;=5)*('CASE MASTER'!$AD$2:$AD$495&gt;=5))*ROW('CASE MASTER'!$T$2:$T$495))-(ROW('CASE MASTER'!#REF!)-1))),":",","),",",REPT(" ",50)),(((INDEX('CASE MASTER'!$Z$2:$Z$495,(SUMPRODUCT((('CASE MASTER'!$T$2:$T$495=15)*('CASE MASTER'!$AA$2:$AA$495&lt;=5)*('CASE MASTER'!$AC$2:$AC$495&gt;=5)*('CASE MASTER'!$AB$2:$AB$495&lt;=5)*('CASE MASTER'!$AD$2:$AD$495&gt;=5))*ROW('CASE MASTER'!$T$2:$T$495))-(ROW('CASE MASTER'!#REF!)-1)))+((5-INDEX('CASE MASTER'!$AA$2:$AA$495,(SUMPRODUCT((('CASE MASTER'!$T$2:$T$495=15)*('CASE MASTER'!$AA$2:$AA$495&lt;=5)*('CASE MASTER'!$AC$2:$AC$495&gt;=5)*('CASE MASTER'!$AB$2:$AB$495&lt;=5)*('CASE MASTER'!$AD$2:$AD$495&gt;=5))*ROW('CASE MASTER'!$T$2:$T$495))-(ROW('CASE MASTER'!#REF!)-1))))*(INDEX('CASE MASTER'!$AD$2:$AD$495,(SUMPRODUCT((('CASE MASTER'!$T$2:$T$495=15)*('CASE MASTER'!$AA$2:$AA$495&lt;=5)*('CASE MASTER'!$AC$2:$AC$495&gt;=5)*('CASE MASTER'!$AB$2:$AB$495&lt;=5)*('CASE MASTER'!$AD$2:$AD$495&gt;=5))*ROW('CASE MASTER'!$T$2:$T$495))-(ROW('CASE MASTER'!#REF!)-1)))-INDEX('CASE MASTER'!$AB$2:$AB$495,(SUMPRODUCT((('CASE MASTER'!$T$2:$T$495=15)*('CASE MASTER'!$AA$2:$AA$495&lt;=5)*('CASE MASTER'!$AC$2:$AC$495&gt;=5)*('CASE MASTER'!$AB$2:$AB$495&lt;=5)*('CASE MASTER'!$AD$2:$AD$495&gt;=5))*ROW('CASE MASTER'!$T$2:$T$495))-(ROW('CASE MASTER'!#REF!)-1)))+1)+(5-INDEX('CASE MASTER'!$AB$2:$AB$495,(SUMPRODUCT((('CASE MASTER'!$T$2:$T$495=15)*('CASE MASTER'!$AA$2:$AA$495&lt;=5)*('CASE MASTER'!$AC$2:$AC$495&gt;=5)*('CASE MASTER'!$AB$2:$AB$495&lt;=5)*('CASE MASTER'!$AD$2:$AD$495&gt;=5))*ROW('CASE MASTER'!$T$2:$T$495))-(ROW('CASE MASTER'!#REF!)-1))))+1)))-1)*50+1,50))&amp;"_"&amp;INDEX('CASE MASTER'!$Q$2:$Q$495,(SUMPRODUCT((('CASE MASTER'!$T$2:$T$495=15)*('CASE MASTER'!$AA$2:$AA$495&lt;=5)*('CASE MASTER'!$AC$2:$AC$495&gt;=5)*('CASE MASTER'!$AB$2:$AB$495&lt;=5)*('CASE MASTER'!$AD$2:$AD$495&gt;=5))*ROW('CASE MASTER'!$T$2:$T$495))-(ROW('CASE MASTER'!#REF!)-1))),"")),"")</f>
        <v/>
      </c>
      <c r="G203" s="10" t="str">
        <f>IFERROR(IF(SUMPRODUCT((('CASE MASTER'!$T$2:$T$495=15)*('CASE MASTER'!$U$2:$U$495&lt;=5)*('CASE MASTER'!$W$2:$W$495&gt;=5)*('CASE MASTER'!$V$2:$V$495&lt;=6)*('CASE MASTER'!$X$2:$X$495&gt;=6))*ROW('CASE MASTER'!$T$2:$T$495))&gt;0,INDEX('CASE MASTER'!$Y$2:$Y$495,(SUMPRODUCT((('CASE MASTER'!$T$2:$T$495=15)*('CASE MASTER'!$U$2:$U$495&lt;=5)*('CASE MASTER'!$W$2:$W$495&gt;=5)*('CASE MASTER'!$V$2:$V$495&lt;=6)*('CASE MASTER'!$X$2:$X$495&gt;=6))*ROW('CASE MASTER'!$T$2:$T$495))-(ROW('CASE MASTER'!#REF!)-1)))&amp;TRIM(MID(SUBSTITUTE(SUBSTITUTE(INDEX('CASE MASTER'!$N$2:$N$495,(SUMPRODUCT((('CASE MASTER'!$T$2:$T$495=15)*('CASE MASTER'!$U$2:$U$495&lt;=5)*('CASE MASTER'!$W$2:$W$495&gt;=5)*('CASE MASTER'!$V$2:$V$495&lt;=6)*('CASE MASTER'!$X$2:$X$495&gt;=6))*ROW('CASE MASTER'!$T$2:$T$495))-(ROW('CASE MASTER'!#REF!)-1))),":",","),",",REPT(" ",50)),((((5-INDEX('CASE MASTER'!$U$2:$U$495,(SUMPRODUCT((('CASE MASTER'!$T$2:$T$495=15)*('CASE MASTER'!$U$2:$U$495&lt;=5)*('CASE MASTER'!$W$2:$W$495&gt;=5)*('CASE MASTER'!$V$2:$V$495&lt;=6)*('CASE MASTER'!$X$2:$X$495&gt;=6))*ROW('CASE MASTER'!$T$2:$T$495))-(ROW('CASE MASTER'!#REF!)-1))))*(INDEX('CASE MASTER'!$X$2:$X$495,(SUMPRODUCT((('CASE MASTER'!$T$2:$T$495=15)*('CASE MASTER'!$U$2:$U$495&lt;=5)*('CASE MASTER'!$W$2:$W$495&gt;=5)*('CASE MASTER'!$V$2:$V$495&lt;=6)*('CASE MASTER'!$X$2:$X$495&gt;=6))*ROW('CASE MASTER'!$T$2:$T$495))-(ROW('CASE MASTER'!#REF!)-1)))-INDEX('CASE MASTER'!$V$2:$V$495,(SUMPRODUCT((('CASE MASTER'!$T$2:$T$495=15)*('CASE MASTER'!$U$2:$U$495&lt;=5)*('CASE MASTER'!$W$2:$W$495&gt;=5)*('CASE MASTER'!$V$2:$V$495&lt;=6)*('CASE MASTER'!$X$2:$X$495&gt;=6))*ROW('CASE MASTER'!$T$2:$T$495))-(ROW('CASE MASTER'!#REF!)-1)))+1)+(6-INDEX('CASE MASTER'!$V$2:$V$495,(SUMPRODUCT((('CASE MASTER'!$T$2:$T$495=15)*('CASE MASTER'!$U$2:$U$495&lt;=5)*('CASE MASTER'!$W$2:$W$495&gt;=5)*('CASE MASTER'!$V$2:$V$495&lt;=6)*('CASE MASTER'!$X$2:$X$495&gt;=6))*ROW('CASE MASTER'!$T$2:$T$495))-(ROW('CASE MASTER'!#REF!)-1))))+1))-1)*50+1,50))&amp;"_"&amp;INDEX('CASE MASTER'!$Q$2:$Q$495,(SUMPRODUCT((('CASE MASTER'!$T$2:$T$495=15)*('CASE MASTER'!$U$2:$U$495&lt;=5)*('CASE MASTER'!$W$2:$W$495&gt;=5)*('CASE MASTER'!$V$2:$V$495&lt;=6)*('CASE MASTER'!$X$2:$X$495&gt;=6))*ROW('CASE MASTER'!$T$2:$T$495))-(ROW('CASE MASTER'!#REF!)-1))),IF(SUMPRODUCT((('CASE MASTER'!$T$2:$T$495=15)*('CASE MASTER'!$AA$2:$AA$495&lt;=5)*('CASE MASTER'!$AC$2:$AC$495&gt;=5)*('CASE MASTER'!$AB$2:$AB$495&lt;=6)*('CASE MASTER'!$AD$2:$AD$495&gt;=6))*ROW('CASE MASTER'!$T$2:$T$495))&gt;0,INDEX('CASE MASTER'!$Y$2:$Y$495,(SUMPRODUCT((('CASE MASTER'!$T$2:$T$495=15)*('CASE MASTER'!$AA$2:$AA$495&lt;=5)*('CASE MASTER'!$AC$2:$AC$495&gt;=5)*('CASE MASTER'!$AB$2:$AB$495&lt;=6)*('CASE MASTER'!$AD$2:$AD$495&gt;=6))*ROW('CASE MASTER'!$T$2:$T$495))-(ROW('CASE MASTER'!#REF!)-1)))&amp;TRIM(MID(SUBSTITUTE(SUBSTITUTE(INDEX('CASE MASTER'!$N$2:$N$495,(SUMPRODUCT((('CASE MASTER'!$T$2:$T$495=15)*('CASE MASTER'!$AA$2:$AA$495&lt;=5)*('CASE MASTER'!$AC$2:$AC$495&gt;=5)*('CASE MASTER'!$AB$2:$AB$495&lt;=6)*('CASE MASTER'!$AD$2:$AD$495&gt;=6))*ROW('CASE MASTER'!$T$2:$T$495))-(ROW('CASE MASTER'!#REF!)-1))),":",","),",",REPT(" ",50)),(((INDEX('CASE MASTER'!$Z$2:$Z$495,(SUMPRODUCT((('CASE MASTER'!$T$2:$T$495=15)*('CASE MASTER'!$AA$2:$AA$495&lt;=5)*('CASE MASTER'!$AC$2:$AC$495&gt;=5)*('CASE MASTER'!$AB$2:$AB$495&lt;=6)*('CASE MASTER'!$AD$2:$AD$495&gt;=6))*ROW('CASE MASTER'!$T$2:$T$495))-(ROW('CASE MASTER'!#REF!)-1)))+((5-INDEX('CASE MASTER'!$AA$2:$AA$495,(SUMPRODUCT((('CASE MASTER'!$T$2:$T$495=15)*('CASE MASTER'!$AA$2:$AA$495&lt;=5)*('CASE MASTER'!$AC$2:$AC$495&gt;=5)*('CASE MASTER'!$AB$2:$AB$495&lt;=6)*('CASE MASTER'!$AD$2:$AD$495&gt;=6))*ROW('CASE MASTER'!$T$2:$T$495))-(ROW('CASE MASTER'!#REF!)-1))))*(INDEX('CASE MASTER'!$AD$2:$AD$495,(SUMPRODUCT((('CASE MASTER'!$T$2:$T$495=15)*('CASE MASTER'!$AA$2:$AA$495&lt;=5)*('CASE MASTER'!$AC$2:$AC$495&gt;=5)*('CASE MASTER'!$AB$2:$AB$495&lt;=6)*('CASE MASTER'!$AD$2:$AD$495&gt;=6))*ROW('CASE MASTER'!$T$2:$T$495))-(ROW('CASE MASTER'!#REF!)-1)))-INDEX('CASE MASTER'!$AB$2:$AB$495,(SUMPRODUCT((('CASE MASTER'!$T$2:$T$495=15)*('CASE MASTER'!$AA$2:$AA$495&lt;=5)*('CASE MASTER'!$AC$2:$AC$495&gt;=5)*('CASE MASTER'!$AB$2:$AB$495&lt;=6)*('CASE MASTER'!$AD$2:$AD$495&gt;=6))*ROW('CASE MASTER'!$T$2:$T$495))-(ROW('CASE MASTER'!#REF!)-1)))+1)+(6-INDEX('CASE MASTER'!$AB$2:$AB$495,(SUMPRODUCT((('CASE MASTER'!$T$2:$T$495=15)*('CASE MASTER'!$AA$2:$AA$495&lt;=5)*('CASE MASTER'!$AC$2:$AC$495&gt;=5)*('CASE MASTER'!$AB$2:$AB$495&lt;=6)*('CASE MASTER'!$AD$2:$AD$495&gt;=6))*ROW('CASE MASTER'!$T$2:$T$495))-(ROW('CASE MASTER'!#REF!)-1))))+1)))-1)*50+1,50))&amp;"_"&amp;INDEX('CASE MASTER'!$Q$2:$Q$495,(SUMPRODUCT((('CASE MASTER'!$T$2:$T$495=15)*('CASE MASTER'!$AA$2:$AA$495&lt;=5)*('CASE MASTER'!$AC$2:$AC$495&gt;=5)*('CASE MASTER'!$AB$2:$AB$495&lt;=6)*('CASE MASTER'!$AD$2:$AD$495&gt;=6))*ROW('CASE MASTER'!$T$2:$T$495))-(ROW('CASE MASTER'!#REF!)-1))),"")),"")</f>
        <v/>
      </c>
      <c r="H203" s="10" t="str">
        <f>IFERROR(IF(SUMPRODUCT((('CASE MASTER'!$T$2:$T$495=15)*('CASE MASTER'!$U$2:$U$495&lt;=5)*('CASE MASTER'!$W$2:$W$495&gt;=5)*('CASE MASTER'!$V$2:$V$495&lt;=7)*('CASE MASTER'!$X$2:$X$495&gt;=7))*ROW('CASE MASTER'!$T$2:$T$495))&gt;0,INDEX('CASE MASTER'!$Y$2:$Y$495,(SUMPRODUCT((('CASE MASTER'!$T$2:$T$495=15)*('CASE MASTER'!$U$2:$U$495&lt;=5)*('CASE MASTER'!$W$2:$W$495&gt;=5)*('CASE MASTER'!$V$2:$V$495&lt;=7)*('CASE MASTER'!$X$2:$X$495&gt;=7))*ROW('CASE MASTER'!$T$2:$T$495))-(ROW('CASE MASTER'!#REF!)-1)))&amp;TRIM(MID(SUBSTITUTE(SUBSTITUTE(INDEX('CASE MASTER'!$N$2:$N$495,(SUMPRODUCT((('CASE MASTER'!$T$2:$T$495=15)*('CASE MASTER'!$U$2:$U$495&lt;=5)*('CASE MASTER'!$W$2:$W$495&gt;=5)*('CASE MASTER'!$V$2:$V$495&lt;=7)*('CASE MASTER'!$X$2:$X$495&gt;=7))*ROW('CASE MASTER'!$T$2:$T$495))-(ROW('CASE MASTER'!#REF!)-1))),":",","),",",REPT(" ",50)),((((5-INDEX('CASE MASTER'!$U$2:$U$495,(SUMPRODUCT((('CASE MASTER'!$T$2:$T$495=15)*('CASE MASTER'!$U$2:$U$495&lt;=5)*('CASE MASTER'!$W$2:$W$495&gt;=5)*('CASE MASTER'!$V$2:$V$495&lt;=7)*('CASE MASTER'!$X$2:$X$495&gt;=7))*ROW('CASE MASTER'!$T$2:$T$495))-(ROW('CASE MASTER'!#REF!)-1))))*(INDEX('CASE MASTER'!$X$2:$X$495,(SUMPRODUCT((('CASE MASTER'!$T$2:$T$495=15)*('CASE MASTER'!$U$2:$U$495&lt;=5)*('CASE MASTER'!$W$2:$W$495&gt;=5)*('CASE MASTER'!$V$2:$V$495&lt;=7)*('CASE MASTER'!$X$2:$X$495&gt;=7))*ROW('CASE MASTER'!$T$2:$T$495))-(ROW('CASE MASTER'!#REF!)-1)))-INDEX('CASE MASTER'!$V$2:$V$495,(SUMPRODUCT((('CASE MASTER'!$T$2:$T$495=15)*('CASE MASTER'!$U$2:$U$495&lt;=5)*('CASE MASTER'!$W$2:$W$495&gt;=5)*('CASE MASTER'!$V$2:$V$495&lt;=7)*('CASE MASTER'!$X$2:$X$495&gt;=7))*ROW('CASE MASTER'!$T$2:$T$495))-(ROW('CASE MASTER'!#REF!)-1)))+1)+(7-INDEX('CASE MASTER'!$V$2:$V$495,(SUMPRODUCT((('CASE MASTER'!$T$2:$T$495=15)*('CASE MASTER'!$U$2:$U$495&lt;=5)*('CASE MASTER'!$W$2:$W$495&gt;=5)*('CASE MASTER'!$V$2:$V$495&lt;=7)*('CASE MASTER'!$X$2:$X$495&gt;=7))*ROW('CASE MASTER'!$T$2:$T$495))-(ROW('CASE MASTER'!#REF!)-1))))+1))-1)*50+1,50))&amp;"_"&amp;INDEX('CASE MASTER'!$Q$2:$Q$495,(SUMPRODUCT((('CASE MASTER'!$T$2:$T$495=15)*('CASE MASTER'!$U$2:$U$495&lt;=5)*('CASE MASTER'!$W$2:$W$495&gt;=5)*('CASE MASTER'!$V$2:$V$495&lt;=7)*('CASE MASTER'!$X$2:$X$495&gt;=7))*ROW('CASE MASTER'!$T$2:$T$495))-(ROW('CASE MASTER'!#REF!)-1))),IF(SUMPRODUCT((('CASE MASTER'!$T$2:$T$495=15)*('CASE MASTER'!$AA$2:$AA$495&lt;=5)*('CASE MASTER'!$AC$2:$AC$495&gt;=5)*('CASE MASTER'!$AB$2:$AB$495&lt;=7)*('CASE MASTER'!$AD$2:$AD$495&gt;=7))*ROW('CASE MASTER'!$T$2:$T$495))&gt;0,INDEX('CASE MASTER'!$Y$2:$Y$495,(SUMPRODUCT((('CASE MASTER'!$T$2:$T$495=15)*('CASE MASTER'!$AA$2:$AA$495&lt;=5)*('CASE MASTER'!$AC$2:$AC$495&gt;=5)*('CASE MASTER'!$AB$2:$AB$495&lt;=7)*('CASE MASTER'!$AD$2:$AD$495&gt;=7))*ROW('CASE MASTER'!$T$2:$T$495))-(ROW('CASE MASTER'!#REF!)-1)))&amp;TRIM(MID(SUBSTITUTE(SUBSTITUTE(INDEX('CASE MASTER'!$N$2:$N$495,(SUMPRODUCT((('CASE MASTER'!$T$2:$T$495=15)*('CASE MASTER'!$AA$2:$AA$495&lt;=5)*('CASE MASTER'!$AC$2:$AC$495&gt;=5)*('CASE MASTER'!$AB$2:$AB$495&lt;=7)*('CASE MASTER'!$AD$2:$AD$495&gt;=7))*ROW('CASE MASTER'!$T$2:$T$495))-(ROW('CASE MASTER'!#REF!)-1))),":",","),",",REPT(" ",50)),(((INDEX('CASE MASTER'!$Z$2:$Z$495,(SUMPRODUCT((('CASE MASTER'!$T$2:$T$495=15)*('CASE MASTER'!$AA$2:$AA$495&lt;=5)*('CASE MASTER'!$AC$2:$AC$495&gt;=5)*('CASE MASTER'!$AB$2:$AB$495&lt;=7)*('CASE MASTER'!$AD$2:$AD$495&gt;=7))*ROW('CASE MASTER'!$T$2:$T$495))-(ROW('CASE MASTER'!#REF!)-1)))+((5-INDEX('CASE MASTER'!$AA$2:$AA$495,(SUMPRODUCT((('CASE MASTER'!$T$2:$T$495=15)*('CASE MASTER'!$AA$2:$AA$495&lt;=5)*('CASE MASTER'!$AC$2:$AC$495&gt;=5)*('CASE MASTER'!$AB$2:$AB$495&lt;=7)*('CASE MASTER'!$AD$2:$AD$495&gt;=7))*ROW('CASE MASTER'!$T$2:$T$495))-(ROW('CASE MASTER'!#REF!)-1))))*(INDEX('CASE MASTER'!$AD$2:$AD$495,(SUMPRODUCT((('CASE MASTER'!$T$2:$T$495=15)*('CASE MASTER'!$AA$2:$AA$495&lt;=5)*('CASE MASTER'!$AC$2:$AC$495&gt;=5)*('CASE MASTER'!$AB$2:$AB$495&lt;=7)*('CASE MASTER'!$AD$2:$AD$495&gt;=7))*ROW('CASE MASTER'!$T$2:$T$495))-(ROW('CASE MASTER'!#REF!)-1)))-INDEX('CASE MASTER'!$AB$2:$AB$495,(SUMPRODUCT((('CASE MASTER'!$T$2:$T$495=15)*('CASE MASTER'!$AA$2:$AA$495&lt;=5)*('CASE MASTER'!$AC$2:$AC$495&gt;=5)*('CASE MASTER'!$AB$2:$AB$495&lt;=7)*('CASE MASTER'!$AD$2:$AD$495&gt;=7))*ROW('CASE MASTER'!$T$2:$T$495))-(ROW('CASE MASTER'!#REF!)-1)))+1)+(7-INDEX('CASE MASTER'!$AB$2:$AB$495,(SUMPRODUCT((('CASE MASTER'!$T$2:$T$495=15)*('CASE MASTER'!$AA$2:$AA$495&lt;=5)*('CASE MASTER'!$AC$2:$AC$495&gt;=5)*('CASE MASTER'!$AB$2:$AB$495&lt;=7)*('CASE MASTER'!$AD$2:$AD$495&gt;=7))*ROW('CASE MASTER'!$T$2:$T$495))-(ROW('CASE MASTER'!#REF!)-1))))+1)))-1)*50+1,50))&amp;"_"&amp;INDEX('CASE MASTER'!$Q$2:$Q$495,(SUMPRODUCT((('CASE MASTER'!$T$2:$T$495=15)*('CASE MASTER'!$AA$2:$AA$495&lt;=5)*('CASE MASTER'!$AC$2:$AC$495&gt;=5)*('CASE MASTER'!$AB$2:$AB$495&lt;=7)*('CASE MASTER'!$AD$2:$AD$495&gt;=7))*ROW('CASE MASTER'!$T$2:$T$495))-(ROW('CASE MASTER'!#REF!)-1))),"")),"")</f>
        <v/>
      </c>
      <c r="I203" s="10" t="str">
        <f>IFERROR(IF(SUMPRODUCT((('CASE MASTER'!$T$2:$T$495=15)*('CASE MASTER'!$U$2:$U$495&lt;=5)*('CASE MASTER'!$W$2:$W$495&gt;=5)*('CASE MASTER'!$V$2:$V$495&lt;=8)*('CASE MASTER'!$X$2:$X$495&gt;=8))*ROW('CASE MASTER'!$T$2:$T$495))&gt;0,INDEX('CASE MASTER'!$Y$2:$Y$495,(SUMPRODUCT((('CASE MASTER'!$T$2:$T$495=15)*('CASE MASTER'!$U$2:$U$495&lt;=5)*('CASE MASTER'!$W$2:$W$495&gt;=5)*('CASE MASTER'!$V$2:$V$495&lt;=8)*('CASE MASTER'!$X$2:$X$495&gt;=8))*ROW('CASE MASTER'!$T$2:$T$495))-(ROW('CASE MASTER'!#REF!)-1)))&amp;TRIM(MID(SUBSTITUTE(SUBSTITUTE(INDEX('CASE MASTER'!$N$2:$N$495,(SUMPRODUCT((('CASE MASTER'!$T$2:$T$495=15)*('CASE MASTER'!$U$2:$U$495&lt;=5)*('CASE MASTER'!$W$2:$W$495&gt;=5)*('CASE MASTER'!$V$2:$V$495&lt;=8)*('CASE MASTER'!$X$2:$X$495&gt;=8))*ROW('CASE MASTER'!$T$2:$T$495))-(ROW('CASE MASTER'!#REF!)-1))),":",","),",",REPT(" ",50)),((((5-INDEX('CASE MASTER'!$U$2:$U$495,(SUMPRODUCT((('CASE MASTER'!$T$2:$T$495=15)*('CASE MASTER'!$U$2:$U$495&lt;=5)*('CASE MASTER'!$W$2:$W$495&gt;=5)*('CASE MASTER'!$V$2:$V$495&lt;=8)*('CASE MASTER'!$X$2:$X$495&gt;=8))*ROW('CASE MASTER'!$T$2:$T$495))-(ROW('CASE MASTER'!#REF!)-1))))*(INDEX('CASE MASTER'!$X$2:$X$495,(SUMPRODUCT((('CASE MASTER'!$T$2:$T$495=15)*('CASE MASTER'!$U$2:$U$495&lt;=5)*('CASE MASTER'!$W$2:$W$495&gt;=5)*('CASE MASTER'!$V$2:$V$495&lt;=8)*('CASE MASTER'!$X$2:$X$495&gt;=8))*ROW('CASE MASTER'!$T$2:$T$495))-(ROW('CASE MASTER'!#REF!)-1)))-INDEX('CASE MASTER'!$V$2:$V$495,(SUMPRODUCT((('CASE MASTER'!$T$2:$T$495=15)*('CASE MASTER'!$U$2:$U$495&lt;=5)*('CASE MASTER'!$W$2:$W$495&gt;=5)*('CASE MASTER'!$V$2:$V$495&lt;=8)*('CASE MASTER'!$X$2:$X$495&gt;=8))*ROW('CASE MASTER'!$T$2:$T$495))-(ROW('CASE MASTER'!#REF!)-1)))+1)+(8-INDEX('CASE MASTER'!$V$2:$V$495,(SUMPRODUCT((('CASE MASTER'!$T$2:$T$495=15)*('CASE MASTER'!$U$2:$U$495&lt;=5)*('CASE MASTER'!$W$2:$W$495&gt;=5)*('CASE MASTER'!$V$2:$V$495&lt;=8)*('CASE MASTER'!$X$2:$X$495&gt;=8))*ROW('CASE MASTER'!$T$2:$T$495))-(ROW('CASE MASTER'!#REF!)-1))))+1))-1)*50+1,50))&amp;"_"&amp;INDEX('CASE MASTER'!$Q$2:$Q$495,(SUMPRODUCT((('CASE MASTER'!$T$2:$T$495=15)*('CASE MASTER'!$U$2:$U$495&lt;=5)*('CASE MASTER'!$W$2:$W$495&gt;=5)*('CASE MASTER'!$V$2:$V$495&lt;=8)*('CASE MASTER'!$X$2:$X$495&gt;=8))*ROW('CASE MASTER'!$T$2:$T$495))-(ROW('CASE MASTER'!#REF!)-1))),IF(SUMPRODUCT((('CASE MASTER'!$T$2:$T$495=15)*('CASE MASTER'!$AA$2:$AA$495&lt;=5)*('CASE MASTER'!$AC$2:$AC$495&gt;=5)*('CASE MASTER'!$AB$2:$AB$495&lt;=8)*('CASE MASTER'!$AD$2:$AD$495&gt;=8))*ROW('CASE MASTER'!$T$2:$T$495))&gt;0,INDEX('CASE MASTER'!$Y$2:$Y$495,(SUMPRODUCT((('CASE MASTER'!$T$2:$T$495=15)*('CASE MASTER'!$AA$2:$AA$495&lt;=5)*('CASE MASTER'!$AC$2:$AC$495&gt;=5)*('CASE MASTER'!$AB$2:$AB$495&lt;=8)*('CASE MASTER'!$AD$2:$AD$495&gt;=8))*ROW('CASE MASTER'!$T$2:$T$495))-(ROW('CASE MASTER'!#REF!)-1)))&amp;TRIM(MID(SUBSTITUTE(SUBSTITUTE(INDEX('CASE MASTER'!$N$2:$N$495,(SUMPRODUCT((('CASE MASTER'!$T$2:$T$495=15)*('CASE MASTER'!$AA$2:$AA$495&lt;=5)*('CASE MASTER'!$AC$2:$AC$495&gt;=5)*('CASE MASTER'!$AB$2:$AB$495&lt;=8)*('CASE MASTER'!$AD$2:$AD$495&gt;=8))*ROW('CASE MASTER'!$T$2:$T$495))-(ROW('CASE MASTER'!#REF!)-1))),":",","),",",REPT(" ",50)),(((INDEX('CASE MASTER'!$Z$2:$Z$495,(SUMPRODUCT((('CASE MASTER'!$T$2:$T$495=15)*('CASE MASTER'!$AA$2:$AA$495&lt;=5)*('CASE MASTER'!$AC$2:$AC$495&gt;=5)*('CASE MASTER'!$AB$2:$AB$495&lt;=8)*('CASE MASTER'!$AD$2:$AD$495&gt;=8))*ROW('CASE MASTER'!$T$2:$T$495))-(ROW('CASE MASTER'!#REF!)-1)))+((5-INDEX('CASE MASTER'!$AA$2:$AA$495,(SUMPRODUCT((('CASE MASTER'!$T$2:$T$495=15)*('CASE MASTER'!$AA$2:$AA$495&lt;=5)*('CASE MASTER'!$AC$2:$AC$495&gt;=5)*('CASE MASTER'!$AB$2:$AB$495&lt;=8)*('CASE MASTER'!$AD$2:$AD$495&gt;=8))*ROW('CASE MASTER'!$T$2:$T$495))-(ROW('CASE MASTER'!#REF!)-1))))*(INDEX('CASE MASTER'!$AD$2:$AD$495,(SUMPRODUCT((('CASE MASTER'!$T$2:$T$495=15)*('CASE MASTER'!$AA$2:$AA$495&lt;=5)*('CASE MASTER'!$AC$2:$AC$495&gt;=5)*('CASE MASTER'!$AB$2:$AB$495&lt;=8)*('CASE MASTER'!$AD$2:$AD$495&gt;=8))*ROW('CASE MASTER'!$T$2:$T$495))-(ROW('CASE MASTER'!#REF!)-1)))-INDEX('CASE MASTER'!$AB$2:$AB$495,(SUMPRODUCT((('CASE MASTER'!$T$2:$T$495=15)*('CASE MASTER'!$AA$2:$AA$495&lt;=5)*('CASE MASTER'!$AC$2:$AC$495&gt;=5)*('CASE MASTER'!$AB$2:$AB$495&lt;=8)*('CASE MASTER'!$AD$2:$AD$495&gt;=8))*ROW('CASE MASTER'!$T$2:$T$495))-(ROW('CASE MASTER'!#REF!)-1)))+1)+(8-INDEX('CASE MASTER'!$AB$2:$AB$495,(SUMPRODUCT((('CASE MASTER'!$T$2:$T$495=15)*('CASE MASTER'!$AA$2:$AA$495&lt;=5)*('CASE MASTER'!$AC$2:$AC$495&gt;=5)*('CASE MASTER'!$AB$2:$AB$495&lt;=8)*('CASE MASTER'!$AD$2:$AD$495&gt;=8))*ROW('CASE MASTER'!$T$2:$T$495))-(ROW('CASE MASTER'!#REF!)-1))))+1)))-1)*50+1,50))&amp;"_"&amp;INDEX('CASE MASTER'!$Q$2:$Q$495,(SUMPRODUCT((('CASE MASTER'!$T$2:$T$495=15)*('CASE MASTER'!$AA$2:$AA$495&lt;=5)*('CASE MASTER'!$AC$2:$AC$495&gt;=5)*('CASE MASTER'!$AB$2:$AB$495&lt;=8)*('CASE MASTER'!$AD$2:$AD$495&gt;=8))*ROW('CASE MASTER'!$T$2:$T$495))-(ROW('CASE MASTER'!#REF!)-1))),"")),"")</f>
        <v/>
      </c>
      <c r="J203" s="10" t="str">
        <f>IFERROR(IF(SUMPRODUCT((('CASE MASTER'!$T$2:$T$495=15)*('CASE MASTER'!$U$2:$U$495&lt;=5)*('CASE MASTER'!$W$2:$W$495&gt;=5)*('CASE MASTER'!$V$2:$V$495&lt;=9)*('CASE MASTER'!$X$2:$X$495&gt;=9))*ROW('CASE MASTER'!$T$2:$T$495))&gt;0,INDEX('CASE MASTER'!$Y$2:$Y$495,(SUMPRODUCT((('CASE MASTER'!$T$2:$T$495=15)*('CASE MASTER'!$U$2:$U$495&lt;=5)*('CASE MASTER'!$W$2:$W$495&gt;=5)*('CASE MASTER'!$V$2:$V$495&lt;=9)*('CASE MASTER'!$X$2:$X$495&gt;=9))*ROW('CASE MASTER'!$T$2:$T$495))-(ROW('CASE MASTER'!#REF!)-1)))&amp;TRIM(MID(SUBSTITUTE(SUBSTITUTE(INDEX('CASE MASTER'!$N$2:$N$495,(SUMPRODUCT((('CASE MASTER'!$T$2:$T$495=15)*('CASE MASTER'!$U$2:$U$495&lt;=5)*('CASE MASTER'!$W$2:$W$495&gt;=5)*('CASE MASTER'!$V$2:$V$495&lt;=9)*('CASE MASTER'!$X$2:$X$495&gt;=9))*ROW('CASE MASTER'!$T$2:$T$495))-(ROW('CASE MASTER'!#REF!)-1))),":",","),",",REPT(" ",50)),((((5-INDEX('CASE MASTER'!$U$2:$U$495,(SUMPRODUCT((('CASE MASTER'!$T$2:$T$495=15)*('CASE MASTER'!$U$2:$U$495&lt;=5)*('CASE MASTER'!$W$2:$W$495&gt;=5)*('CASE MASTER'!$V$2:$V$495&lt;=9)*('CASE MASTER'!$X$2:$X$495&gt;=9))*ROW('CASE MASTER'!$T$2:$T$495))-(ROW('CASE MASTER'!#REF!)-1))))*(INDEX('CASE MASTER'!$X$2:$X$495,(SUMPRODUCT((('CASE MASTER'!$T$2:$T$495=15)*('CASE MASTER'!$U$2:$U$495&lt;=5)*('CASE MASTER'!$W$2:$W$495&gt;=5)*('CASE MASTER'!$V$2:$V$495&lt;=9)*('CASE MASTER'!$X$2:$X$495&gt;=9))*ROW('CASE MASTER'!$T$2:$T$495))-(ROW('CASE MASTER'!#REF!)-1)))-INDEX('CASE MASTER'!$V$2:$V$495,(SUMPRODUCT((('CASE MASTER'!$T$2:$T$495=15)*('CASE MASTER'!$U$2:$U$495&lt;=5)*('CASE MASTER'!$W$2:$W$495&gt;=5)*('CASE MASTER'!$V$2:$V$495&lt;=9)*('CASE MASTER'!$X$2:$X$495&gt;=9))*ROW('CASE MASTER'!$T$2:$T$495))-(ROW('CASE MASTER'!#REF!)-1)))+1)+(9-INDEX('CASE MASTER'!$V$2:$V$495,(SUMPRODUCT((('CASE MASTER'!$T$2:$T$495=15)*('CASE MASTER'!$U$2:$U$495&lt;=5)*('CASE MASTER'!$W$2:$W$495&gt;=5)*('CASE MASTER'!$V$2:$V$495&lt;=9)*('CASE MASTER'!$X$2:$X$495&gt;=9))*ROW('CASE MASTER'!$T$2:$T$495))-(ROW('CASE MASTER'!#REF!)-1))))+1))-1)*50+1,50))&amp;"_"&amp;INDEX('CASE MASTER'!$Q$2:$Q$495,(SUMPRODUCT((('CASE MASTER'!$T$2:$T$495=15)*('CASE MASTER'!$U$2:$U$495&lt;=5)*('CASE MASTER'!$W$2:$W$495&gt;=5)*('CASE MASTER'!$V$2:$V$495&lt;=9)*('CASE MASTER'!$X$2:$X$495&gt;=9))*ROW('CASE MASTER'!$T$2:$T$495))-(ROW('CASE MASTER'!#REF!)-1))),IF(SUMPRODUCT((('CASE MASTER'!$T$2:$T$495=15)*('CASE MASTER'!$AA$2:$AA$495&lt;=5)*('CASE MASTER'!$AC$2:$AC$495&gt;=5)*('CASE MASTER'!$AB$2:$AB$495&lt;=9)*('CASE MASTER'!$AD$2:$AD$495&gt;=9))*ROW('CASE MASTER'!$T$2:$T$495))&gt;0,INDEX('CASE MASTER'!$Y$2:$Y$495,(SUMPRODUCT((('CASE MASTER'!$T$2:$T$495=15)*('CASE MASTER'!$AA$2:$AA$495&lt;=5)*('CASE MASTER'!$AC$2:$AC$495&gt;=5)*('CASE MASTER'!$AB$2:$AB$495&lt;=9)*('CASE MASTER'!$AD$2:$AD$495&gt;=9))*ROW('CASE MASTER'!$T$2:$T$495))-(ROW('CASE MASTER'!#REF!)-1)))&amp;TRIM(MID(SUBSTITUTE(SUBSTITUTE(INDEX('CASE MASTER'!$N$2:$N$495,(SUMPRODUCT((('CASE MASTER'!$T$2:$T$495=15)*('CASE MASTER'!$AA$2:$AA$495&lt;=5)*('CASE MASTER'!$AC$2:$AC$495&gt;=5)*('CASE MASTER'!$AB$2:$AB$495&lt;=9)*('CASE MASTER'!$AD$2:$AD$495&gt;=9))*ROW('CASE MASTER'!$T$2:$T$495))-(ROW('CASE MASTER'!#REF!)-1))),":",","),",",REPT(" ",50)),(((INDEX('CASE MASTER'!$Z$2:$Z$495,(SUMPRODUCT((('CASE MASTER'!$T$2:$T$495=15)*('CASE MASTER'!$AA$2:$AA$495&lt;=5)*('CASE MASTER'!$AC$2:$AC$495&gt;=5)*('CASE MASTER'!$AB$2:$AB$495&lt;=9)*('CASE MASTER'!$AD$2:$AD$495&gt;=9))*ROW('CASE MASTER'!$T$2:$T$495))-(ROW('CASE MASTER'!#REF!)-1)))+((5-INDEX('CASE MASTER'!$AA$2:$AA$495,(SUMPRODUCT((('CASE MASTER'!$T$2:$T$495=15)*('CASE MASTER'!$AA$2:$AA$495&lt;=5)*('CASE MASTER'!$AC$2:$AC$495&gt;=5)*('CASE MASTER'!$AB$2:$AB$495&lt;=9)*('CASE MASTER'!$AD$2:$AD$495&gt;=9))*ROW('CASE MASTER'!$T$2:$T$495))-(ROW('CASE MASTER'!#REF!)-1))))*(INDEX('CASE MASTER'!$AD$2:$AD$495,(SUMPRODUCT((('CASE MASTER'!$T$2:$T$495=15)*('CASE MASTER'!$AA$2:$AA$495&lt;=5)*('CASE MASTER'!$AC$2:$AC$495&gt;=5)*('CASE MASTER'!$AB$2:$AB$495&lt;=9)*('CASE MASTER'!$AD$2:$AD$495&gt;=9))*ROW('CASE MASTER'!$T$2:$T$495))-(ROW('CASE MASTER'!#REF!)-1)))-INDEX('CASE MASTER'!$AB$2:$AB$495,(SUMPRODUCT((('CASE MASTER'!$T$2:$T$495=15)*('CASE MASTER'!$AA$2:$AA$495&lt;=5)*('CASE MASTER'!$AC$2:$AC$495&gt;=5)*('CASE MASTER'!$AB$2:$AB$495&lt;=9)*('CASE MASTER'!$AD$2:$AD$495&gt;=9))*ROW('CASE MASTER'!$T$2:$T$495))-(ROW('CASE MASTER'!#REF!)-1)))+1)+(9-INDEX('CASE MASTER'!$AB$2:$AB$495,(SUMPRODUCT((('CASE MASTER'!$T$2:$T$495=15)*('CASE MASTER'!$AA$2:$AA$495&lt;=5)*('CASE MASTER'!$AC$2:$AC$495&gt;=5)*('CASE MASTER'!$AB$2:$AB$495&lt;=9)*('CASE MASTER'!$AD$2:$AD$495&gt;=9))*ROW('CASE MASTER'!$T$2:$T$495))-(ROW('CASE MASTER'!#REF!)-1))))+1)))-1)*50+1,50))&amp;"_"&amp;INDEX('CASE MASTER'!$Q$2:$Q$495,(SUMPRODUCT((('CASE MASTER'!$T$2:$T$495=15)*('CASE MASTER'!$AA$2:$AA$495&lt;=5)*('CASE MASTER'!$AC$2:$AC$495&gt;=5)*('CASE MASTER'!$AB$2:$AB$495&lt;=9)*('CASE MASTER'!$AD$2:$AD$495&gt;=9))*ROW('CASE MASTER'!$T$2:$T$495))-(ROW('CASE MASTER'!#REF!)-1))),"")),"")</f>
        <v/>
      </c>
      <c r="K203" s="10" t="str">
        <f>IFERROR(IF(SUMPRODUCT((('CASE MASTER'!$T$2:$T$495=15)*('CASE MASTER'!$U$2:$U$495&lt;=5)*('CASE MASTER'!$W$2:$W$495&gt;=5)*('CASE MASTER'!$V$2:$V$495&lt;=10)*('CASE MASTER'!$X$2:$X$495&gt;=10))*ROW('CASE MASTER'!$T$2:$T$495))&gt;0,INDEX('CASE MASTER'!$Y$2:$Y$495,(SUMPRODUCT((('CASE MASTER'!$T$2:$T$495=15)*('CASE MASTER'!$U$2:$U$495&lt;=5)*('CASE MASTER'!$W$2:$W$495&gt;=5)*('CASE MASTER'!$V$2:$V$495&lt;=10)*('CASE MASTER'!$X$2:$X$495&gt;=10))*ROW('CASE MASTER'!$T$2:$T$495))-(ROW('CASE MASTER'!#REF!)-1)))&amp;TRIM(MID(SUBSTITUTE(SUBSTITUTE(INDEX('CASE MASTER'!$N$2:$N$495,(SUMPRODUCT((('CASE MASTER'!$T$2:$T$495=15)*('CASE MASTER'!$U$2:$U$495&lt;=5)*('CASE MASTER'!$W$2:$W$495&gt;=5)*('CASE MASTER'!$V$2:$V$495&lt;=10)*('CASE MASTER'!$X$2:$X$495&gt;=10))*ROW('CASE MASTER'!$T$2:$T$495))-(ROW('CASE MASTER'!#REF!)-1))),":",","),",",REPT(" ",50)),((((5-INDEX('CASE MASTER'!$U$2:$U$495,(SUMPRODUCT((('CASE MASTER'!$T$2:$T$495=15)*('CASE MASTER'!$U$2:$U$495&lt;=5)*('CASE MASTER'!$W$2:$W$495&gt;=5)*('CASE MASTER'!$V$2:$V$495&lt;=10)*('CASE MASTER'!$X$2:$X$495&gt;=10))*ROW('CASE MASTER'!$T$2:$T$495))-(ROW('CASE MASTER'!#REF!)-1))))*(INDEX('CASE MASTER'!$X$2:$X$495,(SUMPRODUCT((('CASE MASTER'!$T$2:$T$495=15)*('CASE MASTER'!$U$2:$U$495&lt;=5)*('CASE MASTER'!$W$2:$W$495&gt;=5)*('CASE MASTER'!$V$2:$V$495&lt;=10)*('CASE MASTER'!$X$2:$X$495&gt;=10))*ROW('CASE MASTER'!$T$2:$T$495))-(ROW('CASE MASTER'!#REF!)-1)))-INDEX('CASE MASTER'!$V$2:$V$495,(SUMPRODUCT((('CASE MASTER'!$T$2:$T$495=15)*('CASE MASTER'!$U$2:$U$495&lt;=5)*('CASE MASTER'!$W$2:$W$495&gt;=5)*('CASE MASTER'!$V$2:$V$495&lt;=10)*('CASE MASTER'!$X$2:$X$495&gt;=10))*ROW('CASE MASTER'!$T$2:$T$495))-(ROW('CASE MASTER'!#REF!)-1)))+1)+(10-INDEX('CASE MASTER'!$V$2:$V$495,(SUMPRODUCT((('CASE MASTER'!$T$2:$T$495=15)*('CASE MASTER'!$U$2:$U$495&lt;=5)*('CASE MASTER'!$W$2:$W$495&gt;=5)*('CASE MASTER'!$V$2:$V$495&lt;=10)*('CASE MASTER'!$X$2:$X$495&gt;=10))*ROW('CASE MASTER'!$T$2:$T$495))-(ROW('CASE MASTER'!#REF!)-1))))+1))-1)*50+1,50))&amp;"_"&amp;INDEX('CASE MASTER'!$Q$2:$Q$495,(SUMPRODUCT((('CASE MASTER'!$T$2:$T$495=15)*('CASE MASTER'!$U$2:$U$495&lt;=5)*('CASE MASTER'!$W$2:$W$495&gt;=5)*('CASE MASTER'!$V$2:$V$495&lt;=10)*('CASE MASTER'!$X$2:$X$495&gt;=10))*ROW('CASE MASTER'!$T$2:$T$495))-(ROW('CASE MASTER'!#REF!)-1))),IF(SUMPRODUCT((('CASE MASTER'!$T$2:$T$495=15)*('CASE MASTER'!$AA$2:$AA$495&lt;=5)*('CASE MASTER'!$AC$2:$AC$495&gt;=5)*('CASE MASTER'!$AB$2:$AB$495&lt;=10)*('CASE MASTER'!$AD$2:$AD$495&gt;=10))*ROW('CASE MASTER'!$T$2:$T$495))&gt;0,INDEX('CASE MASTER'!$Y$2:$Y$495,(SUMPRODUCT((('CASE MASTER'!$T$2:$T$495=15)*('CASE MASTER'!$AA$2:$AA$495&lt;=5)*('CASE MASTER'!$AC$2:$AC$495&gt;=5)*('CASE MASTER'!$AB$2:$AB$495&lt;=10)*('CASE MASTER'!$AD$2:$AD$495&gt;=10))*ROW('CASE MASTER'!$T$2:$T$495))-(ROW('CASE MASTER'!#REF!)-1)))&amp;TRIM(MID(SUBSTITUTE(SUBSTITUTE(INDEX('CASE MASTER'!$N$2:$N$495,(SUMPRODUCT((('CASE MASTER'!$T$2:$T$495=15)*('CASE MASTER'!$AA$2:$AA$495&lt;=5)*('CASE MASTER'!$AC$2:$AC$495&gt;=5)*('CASE MASTER'!$AB$2:$AB$495&lt;=10)*('CASE MASTER'!$AD$2:$AD$495&gt;=10))*ROW('CASE MASTER'!$T$2:$T$495))-(ROW('CASE MASTER'!#REF!)-1))),":",","),",",REPT(" ",50)),(((INDEX('CASE MASTER'!$Z$2:$Z$495,(SUMPRODUCT((('CASE MASTER'!$T$2:$T$495=15)*('CASE MASTER'!$AA$2:$AA$495&lt;=5)*('CASE MASTER'!$AC$2:$AC$495&gt;=5)*('CASE MASTER'!$AB$2:$AB$495&lt;=10)*('CASE MASTER'!$AD$2:$AD$495&gt;=10))*ROW('CASE MASTER'!$T$2:$T$495))-(ROW('CASE MASTER'!#REF!)-1)))+((5-INDEX('CASE MASTER'!$AA$2:$AA$495,(SUMPRODUCT((('CASE MASTER'!$T$2:$T$495=15)*('CASE MASTER'!$AA$2:$AA$495&lt;=5)*('CASE MASTER'!$AC$2:$AC$495&gt;=5)*('CASE MASTER'!$AB$2:$AB$495&lt;=10)*('CASE MASTER'!$AD$2:$AD$495&gt;=10))*ROW('CASE MASTER'!$T$2:$T$495))-(ROW('CASE MASTER'!#REF!)-1))))*(INDEX('CASE MASTER'!$AD$2:$AD$495,(SUMPRODUCT((('CASE MASTER'!$T$2:$T$495=15)*('CASE MASTER'!$AA$2:$AA$495&lt;=5)*('CASE MASTER'!$AC$2:$AC$495&gt;=5)*('CASE MASTER'!$AB$2:$AB$495&lt;=10)*('CASE MASTER'!$AD$2:$AD$495&gt;=10))*ROW('CASE MASTER'!$T$2:$T$495))-(ROW('CASE MASTER'!#REF!)-1)))-INDEX('CASE MASTER'!$AB$2:$AB$495,(SUMPRODUCT((('CASE MASTER'!$T$2:$T$495=15)*('CASE MASTER'!$AA$2:$AA$495&lt;=5)*('CASE MASTER'!$AC$2:$AC$495&gt;=5)*('CASE MASTER'!$AB$2:$AB$495&lt;=10)*('CASE MASTER'!$AD$2:$AD$495&gt;=10))*ROW('CASE MASTER'!$T$2:$T$495))-(ROW('CASE MASTER'!#REF!)-1)))+1)+(10-INDEX('CASE MASTER'!$AB$2:$AB$495,(SUMPRODUCT((('CASE MASTER'!$T$2:$T$495=15)*('CASE MASTER'!$AA$2:$AA$495&lt;=5)*('CASE MASTER'!$AC$2:$AC$495&gt;=5)*('CASE MASTER'!$AB$2:$AB$495&lt;=10)*('CASE MASTER'!$AD$2:$AD$495&gt;=10))*ROW('CASE MASTER'!$T$2:$T$495))-(ROW('CASE MASTER'!#REF!)-1))))+1)))-1)*50+1,50))&amp;"_"&amp;INDEX('CASE MASTER'!$Q$2:$Q$495,(SUMPRODUCT((('CASE MASTER'!$T$2:$T$495=15)*('CASE MASTER'!$AA$2:$AA$495&lt;=5)*('CASE MASTER'!$AC$2:$AC$495&gt;=5)*('CASE MASTER'!$AB$2:$AB$495&lt;=10)*('CASE MASTER'!$AD$2:$AD$495&gt;=10))*ROW('CASE MASTER'!$T$2:$T$495))-(ROW('CASE MASTER'!#REF!)-1))),"")),"")</f>
        <v/>
      </c>
    </row>
    <row r="204" spans="1:11" ht="15" customHeight="1" x14ac:dyDescent="0.35">
      <c r="A204" s="8" t="s">
        <v>33</v>
      </c>
      <c r="B204" s="10" t="str">
        <f>IFERROR(IF(SUMPRODUCT((('CASE MASTER'!$T$2:$T$495=15)*('CASE MASTER'!$U$2:$U$495&lt;=6)*('CASE MASTER'!$W$2:$W$495&gt;=6)*('CASE MASTER'!$V$2:$V$495&lt;=1)*('CASE MASTER'!$X$2:$X$495&gt;=1))*ROW('CASE MASTER'!$T$2:$T$495))&gt;0,INDEX('CASE MASTER'!$Y$2:$Y$495,(SUMPRODUCT((('CASE MASTER'!$T$2:$T$495=15)*('CASE MASTER'!$U$2:$U$495&lt;=6)*('CASE MASTER'!$W$2:$W$495&gt;=6)*('CASE MASTER'!$V$2:$V$495&lt;=1)*('CASE MASTER'!$X$2:$X$495&gt;=1))*ROW('CASE MASTER'!$T$2:$T$495))-(ROW('CASE MASTER'!#REF!)-1)))&amp;TRIM(MID(SUBSTITUTE(SUBSTITUTE(INDEX('CASE MASTER'!$N$2:$N$495,(SUMPRODUCT((('CASE MASTER'!$T$2:$T$495=15)*('CASE MASTER'!$U$2:$U$495&lt;=6)*('CASE MASTER'!$W$2:$W$495&gt;=6)*('CASE MASTER'!$V$2:$V$495&lt;=1)*('CASE MASTER'!$X$2:$X$495&gt;=1))*ROW('CASE MASTER'!$T$2:$T$495))-(ROW('CASE MASTER'!#REF!)-1))),":",","),",",REPT(" ",50)),((((6-INDEX('CASE MASTER'!$U$2:$U$495,(SUMPRODUCT((('CASE MASTER'!$T$2:$T$495=15)*('CASE MASTER'!$U$2:$U$495&lt;=6)*('CASE MASTER'!$W$2:$W$495&gt;=6)*('CASE MASTER'!$V$2:$V$495&lt;=1)*('CASE MASTER'!$X$2:$X$495&gt;=1))*ROW('CASE MASTER'!$T$2:$T$495))-(ROW('CASE MASTER'!#REF!)-1))))*(INDEX('CASE MASTER'!$X$2:$X$495,(SUMPRODUCT((('CASE MASTER'!$T$2:$T$495=15)*('CASE MASTER'!$U$2:$U$495&lt;=6)*('CASE MASTER'!$W$2:$W$495&gt;=6)*('CASE MASTER'!$V$2:$V$495&lt;=1)*('CASE MASTER'!$X$2:$X$495&gt;=1))*ROW('CASE MASTER'!$T$2:$T$495))-(ROW('CASE MASTER'!#REF!)-1)))-INDEX('CASE MASTER'!$V$2:$V$495,(SUMPRODUCT((('CASE MASTER'!$T$2:$T$495=15)*('CASE MASTER'!$U$2:$U$495&lt;=6)*('CASE MASTER'!$W$2:$W$495&gt;=6)*('CASE MASTER'!$V$2:$V$495&lt;=1)*('CASE MASTER'!$X$2:$X$495&gt;=1))*ROW('CASE MASTER'!$T$2:$T$495))-(ROW('CASE MASTER'!#REF!)-1)))+1)+(1-INDEX('CASE MASTER'!$V$2:$V$495,(SUMPRODUCT((('CASE MASTER'!$T$2:$T$495=15)*('CASE MASTER'!$U$2:$U$495&lt;=6)*('CASE MASTER'!$W$2:$W$495&gt;=6)*('CASE MASTER'!$V$2:$V$495&lt;=1)*('CASE MASTER'!$X$2:$X$495&gt;=1))*ROW('CASE MASTER'!$T$2:$T$495))-(ROW('CASE MASTER'!#REF!)-1))))+1))-1)*50+1,50))&amp;"_"&amp;INDEX('CASE MASTER'!$Q$2:$Q$495,(SUMPRODUCT((('CASE MASTER'!$T$2:$T$495=15)*('CASE MASTER'!$U$2:$U$495&lt;=6)*('CASE MASTER'!$W$2:$W$495&gt;=6)*('CASE MASTER'!$V$2:$V$495&lt;=1)*('CASE MASTER'!$X$2:$X$495&gt;=1))*ROW('CASE MASTER'!$T$2:$T$495))-(ROW('CASE MASTER'!#REF!)-1))),IF(SUMPRODUCT((('CASE MASTER'!$T$2:$T$495=15)*('CASE MASTER'!$AA$2:$AA$495&lt;=6)*('CASE MASTER'!$AC$2:$AC$495&gt;=6)*('CASE MASTER'!$AB$2:$AB$495&lt;=1)*('CASE MASTER'!$AD$2:$AD$495&gt;=1))*ROW('CASE MASTER'!$T$2:$T$495))&gt;0,INDEX('CASE MASTER'!$Y$2:$Y$495,(SUMPRODUCT((('CASE MASTER'!$T$2:$T$495=15)*('CASE MASTER'!$AA$2:$AA$495&lt;=6)*('CASE MASTER'!$AC$2:$AC$495&gt;=6)*('CASE MASTER'!$AB$2:$AB$495&lt;=1)*('CASE MASTER'!$AD$2:$AD$495&gt;=1))*ROW('CASE MASTER'!$T$2:$T$495))-(ROW('CASE MASTER'!#REF!)-1)))&amp;TRIM(MID(SUBSTITUTE(SUBSTITUTE(INDEX('CASE MASTER'!$N$2:$N$495,(SUMPRODUCT((('CASE MASTER'!$T$2:$T$495=15)*('CASE MASTER'!$AA$2:$AA$495&lt;=6)*('CASE MASTER'!$AC$2:$AC$495&gt;=6)*('CASE MASTER'!$AB$2:$AB$495&lt;=1)*('CASE MASTER'!$AD$2:$AD$495&gt;=1))*ROW('CASE MASTER'!$T$2:$T$495))-(ROW('CASE MASTER'!#REF!)-1))),":",","),",",REPT(" ",50)),(((INDEX('CASE MASTER'!$Z$2:$Z$495,(SUMPRODUCT((('CASE MASTER'!$T$2:$T$495=15)*('CASE MASTER'!$AA$2:$AA$495&lt;=6)*('CASE MASTER'!$AC$2:$AC$495&gt;=6)*('CASE MASTER'!$AB$2:$AB$495&lt;=1)*('CASE MASTER'!$AD$2:$AD$495&gt;=1))*ROW('CASE MASTER'!$T$2:$T$495))-(ROW('CASE MASTER'!#REF!)-1)))+((6-INDEX('CASE MASTER'!$AA$2:$AA$495,(SUMPRODUCT((('CASE MASTER'!$T$2:$T$495=15)*('CASE MASTER'!$AA$2:$AA$495&lt;=6)*('CASE MASTER'!$AC$2:$AC$495&gt;=6)*('CASE MASTER'!$AB$2:$AB$495&lt;=1)*('CASE MASTER'!$AD$2:$AD$495&gt;=1))*ROW('CASE MASTER'!$T$2:$T$495))-(ROW('CASE MASTER'!#REF!)-1))))*(INDEX('CASE MASTER'!$AD$2:$AD$495,(SUMPRODUCT((('CASE MASTER'!$T$2:$T$495=15)*('CASE MASTER'!$AA$2:$AA$495&lt;=6)*('CASE MASTER'!$AC$2:$AC$495&gt;=6)*('CASE MASTER'!$AB$2:$AB$495&lt;=1)*('CASE MASTER'!$AD$2:$AD$495&gt;=1))*ROW('CASE MASTER'!$T$2:$T$495))-(ROW('CASE MASTER'!#REF!)-1)))-INDEX('CASE MASTER'!$AB$2:$AB$495,(SUMPRODUCT((('CASE MASTER'!$T$2:$T$495=15)*('CASE MASTER'!$AA$2:$AA$495&lt;=6)*('CASE MASTER'!$AC$2:$AC$495&gt;=6)*('CASE MASTER'!$AB$2:$AB$495&lt;=1)*('CASE MASTER'!$AD$2:$AD$495&gt;=1))*ROW('CASE MASTER'!$T$2:$T$495))-(ROW('CASE MASTER'!#REF!)-1)))+1)+(1-INDEX('CASE MASTER'!$AB$2:$AB$495,(SUMPRODUCT((('CASE MASTER'!$T$2:$T$495=15)*('CASE MASTER'!$AA$2:$AA$495&lt;=6)*('CASE MASTER'!$AC$2:$AC$495&gt;=6)*('CASE MASTER'!$AB$2:$AB$495&lt;=1)*('CASE MASTER'!$AD$2:$AD$495&gt;=1))*ROW('CASE MASTER'!$T$2:$T$495))-(ROW('CASE MASTER'!#REF!)-1))))+1)))-1)*50+1,50))&amp;"_"&amp;INDEX('CASE MASTER'!$Q$2:$Q$495,(SUMPRODUCT((('CASE MASTER'!$T$2:$T$495=15)*('CASE MASTER'!$AA$2:$AA$495&lt;=6)*('CASE MASTER'!$AC$2:$AC$495&gt;=6)*('CASE MASTER'!$AB$2:$AB$495&lt;=1)*('CASE MASTER'!$AD$2:$AD$495&gt;=1))*ROW('CASE MASTER'!$T$2:$T$495))-(ROW('CASE MASTER'!#REF!)-1))),"")),"")</f>
        <v/>
      </c>
      <c r="C204" s="10" t="str">
        <f>IFERROR(IF(SUMPRODUCT((('CASE MASTER'!$T$2:$T$495=15)*('CASE MASTER'!$U$2:$U$495&lt;=6)*('CASE MASTER'!$W$2:$W$495&gt;=6)*('CASE MASTER'!$V$2:$V$495&lt;=2)*('CASE MASTER'!$X$2:$X$495&gt;=2))*ROW('CASE MASTER'!$T$2:$T$495))&gt;0,INDEX('CASE MASTER'!$Y$2:$Y$495,(SUMPRODUCT((('CASE MASTER'!$T$2:$T$495=15)*('CASE MASTER'!$U$2:$U$495&lt;=6)*('CASE MASTER'!$W$2:$W$495&gt;=6)*('CASE MASTER'!$V$2:$V$495&lt;=2)*('CASE MASTER'!$X$2:$X$495&gt;=2))*ROW('CASE MASTER'!$T$2:$T$495))-(ROW('CASE MASTER'!#REF!)-1)))&amp;TRIM(MID(SUBSTITUTE(SUBSTITUTE(INDEX('CASE MASTER'!$N$2:$N$495,(SUMPRODUCT((('CASE MASTER'!$T$2:$T$495=15)*('CASE MASTER'!$U$2:$U$495&lt;=6)*('CASE MASTER'!$W$2:$W$495&gt;=6)*('CASE MASTER'!$V$2:$V$495&lt;=2)*('CASE MASTER'!$X$2:$X$495&gt;=2))*ROW('CASE MASTER'!$T$2:$T$495))-(ROW('CASE MASTER'!#REF!)-1))),":",","),",",REPT(" ",50)),((((6-INDEX('CASE MASTER'!$U$2:$U$495,(SUMPRODUCT((('CASE MASTER'!$T$2:$T$495=15)*('CASE MASTER'!$U$2:$U$495&lt;=6)*('CASE MASTER'!$W$2:$W$495&gt;=6)*('CASE MASTER'!$V$2:$V$495&lt;=2)*('CASE MASTER'!$X$2:$X$495&gt;=2))*ROW('CASE MASTER'!$T$2:$T$495))-(ROW('CASE MASTER'!#REF!)-1))))*(INDEX('CASE MASTER'!$X$2:$X$495,(SUMPRODUCT((('CASE MASTER'!$T$2:$T$495=15)*('CASE MASTER'!$U$2:$U$495&lt;=6)*('CASE MASTER'!$W$2:$W$495&gt;=6)*('CASE MASTER'!$V$2:$V$495&lt;=2)*('CASE MASTER'!$X$2:$X$495&gt;=2))*ROW('CASE MASTER'!$T$2:$T$495))-(ROW('CASE MASTER'!#REF!)-1)))-INDEX('CASE MASTER'!$V$2:$V$495,(SUMPRODUCT((('CASE MASTER'!$T$2:$T$495=15)*('CASE MASTER'!$U$2:$U$495&lt;=6)*('CASE MASTER'!$W$2:$W$495&gt;=6)*('CASE MASTER'!$V$2:$V$495&lt;=2)*('CASE MASTER'!$X$2:$X$495&gt;=2))*ROW('CASE MASTER'!$T$2:$T$495))-(ROW('CASE MASTER'!#REF!)-1)))+1)+(2-INDEX('CASE MASTER'!$V$2:$V$495,(SUMPRODUCT((('CASE MASTER'!$T$2:$T$495=15)*('CASE MASTER'!$U$2:$U$495&lt;=6)*('CASE MASTER'!$W$2:$W$495&gt;=6)*('CASE MASTER'!$V$2:$V$495&lt;=2)*('CASE MASTER'!$X$2:$X$495&gt;=2))*ROW('CASE MASTER'!$T$2:$T$495))-(ROW('CASE MASTER'!#REF!)-1))))+1))-1)*50+1,50))&amp;"_"&amp;INDEX('CASE MASTER'!$Q$2:$Q$495,(SUMPRODUCT((('CASE MASTER'!$T$2:$T$495=15)*('CASE MASTER'!$U$2:$U$495&lt;=6)*('CASE MASTER'!$W$2:$W$495&gt;=6)*('CASE MASTER'!$V$2:$V$495&lt;=2)*('CASE MASTER'!$X$2:$X$495&gt;=2))*ROW('CASE MASTER'!$T$2:$T$495))-(ROW('CASE MASTER'!#REF!)-1))),IF(SUMPRODUCT((('CASE MASTER'!$T$2:$T$495=15)*('CASE MASTER'!$AA$2:$AA$495&lt;=6)*('CASE MASTER'!$AC$2:$AC$495&gt;=6)*('CASE MASTER'!$AB$2:$AB$495&lt;=2)*('CASE MASTER'!$AD$2:$AD$495&gt;=2))*ROW('CASE MASTER'!$T$2:$T$495))&gt;0,INDEX('CASE MASTER'!$Y$2:$Y$495,(SUMPRODUCT((('CASE MASTER'!$T$2:$T$495=15)*('CASE MASTER'!$AA$2:$AA$495&lt;=6)*('CASE MASTER'!$AC$2:$AC$495&gt;=6)*('CASE MASTER'!$AB$2:$AB$495&lt;=2)*('CASE MASTER'!$AD$2:$AD$495&gt;=2))*ROW('CASE MASTER'!$T$2:$T$495))-(ROW('CASE MASTER'!#REF!)-1)))&amp;TRIM(MID(SUBSTITUTE(SUBSTITUTE(INDEX('CASE MASTER'!$N$2:$N$495,(SUMPRODUCT((('CASE MASTER'!$T$2:$T$495=15)*('CASE MASTER'!$AA$2:$AA$495&lt;=6)*('CASE MASTER'!$AC$2:$AC$495&gt;=6)*('CASE MASTER'!$AB$2:$AB$495&lt;=2)*('CASE MASTER'!$AD$2:$AD$495&gt;=2))*ROW('CASE MASTER'!$T$2:$T$495))-(ROW('CASE MASTER'!#REF!)-1))),":",","),",",REPT(" ",50)),(((INDEX('CASE MASTER'!$Z$2:$Z$495,(SUMPRODUCT((('CASE MASTER'!$T$2:$T$495=15)*('CASE MASTER'!$AA$2:$AA$495&lt;=6)*('CASE MASTER'!$AC$2:$AC$495&gt;=6)*('CASE MASTER'!$AB$2:$AB$495&lt;=2)*('CASE MASTER'!$AD$2:$AD$495&gt;=2))*ROW('CASE MASTER'!$T$2:$T$495))-(ROW('CASE MASTER'!#REF!)-1)))+((6-INDEX('CASE MASTER'!$AA$2:$AA$495,(SUMPRODUCT((('CASE MASTER'!$T$2:$T$495=15)*('CASE MASTER'!$AA$2:$AA$495&lt;=6)*('CASE MASTER'!$AC$2:$AC$495&gt;=6)*('CASE MASTER'!$AB$2:$AB$495&lt;=2)*('CASE MASTER'!$AD$2:$AD$495&gt;=2))*ROW('CASE MASTER'!$T$2:$T$495))-(ROW('CASE MASTER'!#REF!)-1))))*(INDEX('CASE MASTER'!$AD$2:$AD$495,(SUMPRODUCT((('CASE MASTER'!$T$2:$T$495=15)*('CASE MASTER'!$AA$2:$AA$495&lt;=6)*('CASE MASTER'!$AC$2:$AC$495&gt;=6)*('CASE MASTER'!$AB$2:$AB$495&lt;=2)*('CASE MASTER'!$AD$2:$AD$495&gt;=2))*ROW('CASE MASTER'!$T$2:$T$495))-(ROW('CASE MASTER'!#REF!)-1)))-INDEX('CASE MASTER'!$AB$2:$AB$495,(SUMPRODUCT((('CASE MASTER'!$T$2:$T$495=15)*('CASE MASTER'!$AA$2:$AA$495&lt;=6)*('CASE MASTER'!$AC$2:$AC$495&gt;=6)*('CASE MASTER'!$AB$2:$AB$495&lt;=2)*('CASE MASTER'!$AD$2:$AD$495&gt;=2))*ROW('CASE MASTER'!$T$2:$T$495))-(ROW('CASE MASTER'!#REF!)-1)))+1)+(2-INDEX('CASE MASTER'!$AB$2:$AB$495,(SUMPRODUCT((('CASE MASTER'!$T$2:$T$495=15)*('CASE MASTER'!$AA$2:$AA$495&lt;=6)*('CASE MASTER'!$AC$2:$AC$495&gt;=6)*('CASE MASTER'!$AB$2:$AB$495&lt;=2)*('CASE MASTER'!$AD$2:$AD$495&gt;=2))*ROW('CASE MASTER'!$T$2:$T$495))-(ROW('CASE MASTER'!#REF!)-1))))+1)))-1)*50+1,50))&amp;"_"&amp;INDEX('CASE MASTER'!$Q$2:$Q$495,(SUMPRODUCT((('CASE MASTER'!$T$2:$T$495=15)*('CASE MASTER'!$AA$2:$AA$495&lt;=6)*('CASE MASTER'!$AC$2:$AC$495&gt;=6)*('CASE MASTER'!$AB$2:$AB$495&lt;=2)*('CASE MASTER'!$AD$2:$AD$495&gt;=2))*ROW('CASE MASTER'!$T$2:$T$495))-(ROW('CASE MASTER'!#REF!)-1))),"")),"")</f>
        <v/>
      </c>
      <c r="D204" s="10" t="str">
        <f>IFERROR(IF(SUMPRODUCT((('CASE MASTER'!$T$2:$T$495=15)*('CASE MASTER'!$U$2:$U$495&lt;=6)*('CASE MASTER'!$W$2:$W$495&gt;=6)*('CASE MASTER'!$V$2:$V$495&lt;=3)*('CASE MASTER'!$X$2:$X$495&gt;=3))*ROW('CASE MASTER'!$T$2:$T$495))&gt;0,INDEX('CASE MASTER'!$Y$2:$Y$495,(SUMPRODUCT((('CASE MASTER'!$T$2:$T$495=15)*('CASE MASTER'!$U$2:$U$495&lt;=6)*('CASE MASTER'!$W$2:$W$495&gt;=6)*('CASE MASTER'!$V$2:$V$495&lt;=3)*('CASE MASTER'!$X$2:$X$495&gt;=3))*ROW('CASE MASTER'!$T$2:$T$495))-(ROW('CASE MASTER'!#REF!)-1)))&amp;TRIM(MID(SUBSTITUTE(SUBSTITUTE(INDEX('CASE MASTER'!$N$2:$N$495,(SUMPRODUCT((('CASE MASTER'!$T$2:$T$495=15)*('CASE MASTER'!$U$2:$U$495&lt;=6)*('CASE MASTER'!$W$2:$W$495&gt;=6)*('CASE MASTER'!$V$2:$V$495&lt;=3)*('CASE MASTER'!$X$2:$X$495&gt;=3))*ROW('CASE MASTER'!$T$2:$T$495))-(ROW('CASE MASTER'!#REF!)-1))),":",","),",",REPT(" ",50)),((((6-INDEX('CASE MASTER'!$U$2:$U$495,(SUMPRODUCT((('CASE MASTER'!$T$2:$T$495=15)*('CASE MASTER'!$U$2:$U$495&lt;=6)*('CASE MASTER'!$W$2:$W$495&gt;=6)*('CASE MASTER'!$V$2:$V$495&lt;=3)*('CASE MASTER'!$X$2:$X$495&gt;=3))*ROW('CASE MASTER'!$T$2:$T$495))-(ROW('CASE MASTER'!#REF!)-1))))*(INDEX('CASE MASTER'!$X$2:$X$495,(SUMPRODUCT((('CASE MASTER'!$T$2:$T$495=15)*('CASE MASTER'!$U$2:$U$495&lt;=6)*('CASE MASTER'!$W$2:$W$495&gt;=6)*('CASE MASTER'!$V$2:$V$495&lt;=3)*('CASE MASTER'!$X$2:$X$495&gt;=3))*ROW('CASE MASTER'!$T$2:$T$495))-(ROW('CASE MASTER'!#REF!)-1)))-INDEX('CASE MASTER'!$V$2:$V$495,(SUMPRODUCT((('CASE MASTER'!$T$2:$T$495=15)*('CASE MASTER'!$U$2:$U$495&lt;=6)*('CASE MASTER'!$W$2:$W$495&gt;=6)*('CASE MASTER'!$V$2:$V$495&lt;=3)*('CASE MASTER'!$X$2:$X$495&gt;=3))*ROW('CASE MASTER'!$T$2:$T$495))-(ROW('CASE MASTER'!#REF!)-1)))+1)+(3-INDEX('CASE MASTER'!$V$2:$V$495,(SUMPRODUCT((('CASE MASTER'!$T$2:$T$495=15)*('CASE MASTER'!$U$2:$U$495&lt;=6)*('CASE MASTER'!$W$2:$W$495&gt;=6)*('CASE MASTER'!$V$2:$V$495&lt;=3)*('CASE MASTER'!$X$2:$X$495&gt;=3))*ROW('CASE MASTER'!$T$2:$T$495))-(ROW('CASE MASTER'!#REF!)-1))))+1))-1)*50+1,50))&amp;"_"&amp;INDEX('CASE MASTER'!$Q$2:$Q$495,(SUMPRODUCT((('CASE MASTER'!$T$2:$T$495=15)*('CASE MASTER'!$U$2:$U$495&lt;=6)*('CASE MASTER'!$W$2:$W$495&gt;=6)*('CASE MASTER'!$V$2:$V$495&lt;=3)*('CASE MASTER'!$X$2:$X$495&gt;=3))*ROW('CASE MASTER'!$T$2:$T$495))-(ROW('CASE MASTER'!#REF!)-1))),IF(SUMPRODUCT((('CASE MASTER'!$T$2:$T$495=15)*('CASE MASTER'!$AA$2:$AA$495&lt;=6)*('CASE MASTER'!$AC$2:$AC$495&gt;=6)*('CASE MASTER'!$AB$2:$AB$495&lt;=3)*('CASE MASTER'!$AD$2:$AD$495&gt;=3))*ROW('CASE MASTER'!$T$2:$T$495))&gt;0,INDEX('CASE MASTER'!$Y$2:$Y$495,(SUMPRODUCT((('CASE MASTER'!$T$2:$T$495=15)*('CASE MASTER'!$AA$2:$AA$495&lt;=6)*('CASE MASTER'!$AC$2:$AC$495&gt;=6)*('CASE MASTER'!$AB$2:$AB$495&lt;=3)*('CASE MASTER'!$AD$2:$AD$495&gt;=3))*ROW('CASE MASTER'!$T$2:$T$495))-(ROW('CASE MASTER'!#REF!)-1)))&amp;TRIM(MID(SUBSTITUTE(SUBSTITUTE(INDEX('CASE MASTER'!$N$2:$N$495,(SUMPRODUCT((('CASE MASTER'!$T$2:$T$495=15)*('CASE MASTER'!$AA$2:$AA$495&lt;=6)*('CASE MASTER'!$AC$2:$AC$495&gt;=6)*('CASE MASTER'!$AB$2:$AB$495&lt;=3)*('CASE MASTER'!$AD$2:$AD$495&gt;=3))*ROW('CASE MASTER'!$T$2:$T$495))-(ROW('CASE MASTER'!#REF!)-1))),":",","),",",REPT(" ",50)),(((INDEX('CASE MASTER'!$Z$2:$Z$495,(SUMPRODUCT((('CASE MASTER'!$T$2:$T$495=15)*('CASE MASTER'!$AA$2:$AA$495&lt;=6)*('CASE MASTER'!$AC$2:$AC$495&gt;=6)*('CASE MASTER'!$AB$2:$AB$495&lt;=3)*('CASE MASTER'!$AD$2:$AD$495&gt;=3))*ROW('CASE MASTER'!$T$2:$T$495))-(ROW('CASE MASTER'!#REF!)-1)))+((6-INDEX('CASE MASTER'!$AA$2:$AA$495,(SUMPRODUCT((('CASE MASTER'!$T$2:$T$495=15)*('CASE MASTER'!$AA$2:$AA$495&lt;=6)*('CASE MASTER'!$AC$2:$AC$495&gt;=6)*('CASE MASTER'!$AB$2:$AB$495&lt;=3)*('CASE MASTER'!$AD$2:$AD$495&gt;=3))*ROW('CASE MASTER'!$T$2:$T$495))-(ROW('CASE MASTER'!#REF!)-1))))*(INDEX('CASE MASTER'!$AD$2:$AD$495,(SUMPRODUCT((('CASE MASTER'!$T$2:$T$495=15)*('CASE MASTER'!$AA$2:$AA$495&lt;=6)*('CASE MASTER'!$AC$2:$AC$495&gt;=6)*('CASE MASTER'!$AB$2:$AB$495&lt;=3)*('CASE MASTER'!$AD$2:$AD$495&gt;=3))*ROW('CASE MASTER'!$T$2:$T$495))-(ROW('CASE MASTER'!#REF!)-1)))-INDEX('CASE MASTER'!$AB$2:$AB$495,(SUMPRODUCT((('CASE MASTER'!$T$2:$T$495=15)*('CASE MASTER'!$AA$2:$AA$495&lt;=6)*('CASE MASTER'!$AC$2:$AC$495&gt;=6)*('CASE MASTER'!$AB$2:$AB$495&lt;=3)*('CASE MASTER'!$AD$2:$AD$495&gt;=3))*ROW('CASE MASTER'!$T$2:$T$495))-(ROW('CASE MASTER'!#REF!)-1)))+1)+(3-INDEX('CASE MASTER'!$AB$2:$AB$495,(SUMPRODUCT((('CASE MASTER'!$T$2:$T$495=15)*('CASE MASTER'!$AA$2:$AA$495&lt;=6)*('CASE MASTER'!$AC$2:$AC$495&gt;=6)*('CASE MASTER'!$AB$2:$AB$495&lt;=3)*('CASE MASTER'!$AD$2:$AD$495&gt;=3))*ROW('CASE MASTER'!$T$2:$T$495))-(ROW('CASE MASTER'!#REF!)-1))))+1)))-1)*50+1,50))&amp;"_"&amp;INDEX('CASE MASTER'!$Q$2:$Q$495,(SUMPRODUCT((('CASE MASTER'!$T$2:$T$495=15)*('CASE MASTER'!$AA$2:$AA$495&lt;=6)*('CASE MASTER'!$AC$2:$AC$495&gt;=6)*('CASE MASTER'!$AB$2:$AB$495&lt;=3)*('CASE MASTER'!$AD$2:$AD$495&gt;=3))*ROW('CASE MASTER'!$T$2:$T$495))-(ROW('CASE MASTER'!#REF!)-1))),"")),"")</f>
        <v/>
      </c>
      <c r="E204" s="10" t="str">
        <f>IFERROR(IF(SUMPRODUCT((('CASE MASTER'!$T$2:$T$495=15)*('CASE MASTER'!$U$2:$U$495&lt;=6)*('CASE MASTER'!$W$2:$W$495&gt;=6)*('CASE MASTER'!$V$2:$V$495&lt;=4)*('CASE MASTER'!$X$2:$X$495&gt;=4))*ROW('CASE MASTER'!$T$2:$T$495))&gt;0,INDEX('CASE MASTER'!$Y$2:$Y$495,(SUMPRODUCT((('CASE MASTER'!$T$2:$T$495=15)*('CASE MASTER'!$U$2:$U$495&lt;=6)*('CASE MASTER'!$W$2:$W$495&gt;=6)*('CASE MASTER'!$V$2:$V$495&lt;=4)*('CASE MASTER'!$X$2:$X$495&gt;=4))*ROW('CASE MASTER'!$T$2:$T$495))-(ROW('CASE MASTER'!#REF!)-1)))&amp;TRIM(MID(SUBSTITUTE(SUBSTITUTE(INDEX('CASE MASTER'!$N$2:$N$495,(SUMPRODUCT((('CASE MASTER'!$T$2:$T$495=15)*('CASE MASTER'!$U$2:$U$495&lt;=6)*('CASE MASTER'!$W$2:$W$495&gt;=6)*('CASE MASTER'!$V$2:$V$495&lt;=4)*('CASE MASTER'!$X$2:$X$495&gt;=4))*ROW('CASE MASTER'!$T$2:$T$495))-(ROW('CASE MASTER'!#REF!)-1))),":",","),",",REPT(" ",50)),((((6-INDEX('CASE MASTER'!$U$2:$U$495,(SUMPRODUCT((('CASE MASTER'!$T$2:$T$495=15)*('CASE MASTER'!$U$2:$U$495&lt;=6)*('CASE MASTER'!$W$2:$W$495&gt;=6)*('CASE MASTER'!$V$2:$V$495&lt;=4)*('CASE MASTER'!$X$2:$X$495&gt;=4))*ROW('CASE MASTER'!$T$2:$T$495))-(ROW('CASE MASTER'!#REF!)-1))))*(INDEX('CASE MASTER'!$X$2:$X$495,(SUMPRODUCT((('CASE MASTER'!$T$2:$T$495=15)*('CASE MASTER'!$U$2:$U$495&lt;=6)*('CASE MASTER'!$W$2:$W$495&gt;=6)*('CASE MASTER'!$V$2:$V$495&lt;=4)*('CASE MASTER'!$X$2:$X$495&gt;=4))*ROW('CASE MASTER'!$T$2:$T$495))-(ROW('CASE MASTER'!#REF!)-1)))-INDEX('CASE MASTER'!$V$2:$V$495,(SUMPRODUCT((('CASE MASTER'!$T$2:$T$495=15)*('CASE MASTER'!$U$2:$U$495&lt;=6)*('CASE MASTER'!$W$2:$W$495&gt;=6)*('CASE MASTER'!$V$2:$V$495&lt;=4)*('CASE MASTER'!$X$2:$X$495&gt;=4))*ROW('CASE MASTER'!$T$2:$T$495))-(ROW('CASE MASTER'!#REF!)-1)))+1)+(4-INDEX('CASE MASTER'!$V$2:$V$495,(SUMPRODUCT((('CASE MASTER'!$T$2:$T$495=15)*('CASE MASTER'!$U$2:$U$495&lt;=6)*('CASE MASTER'!$W$2:$W$495&gt;=6)*('CASE MASTER'!$V$2:$V$495&lt;=4)*('CASE MASTER'!$X$2:$X$495&gt;=4))*ROW('CASE MASTER'!$T$2:$T$495))-(ROW('CASE MASTER'!#REF!)-1))))+1))-1)*50+1,50))&amp;"_"&amp;INDEX('CASE MASTER'!$Q$2:$Q$495,(SUMPRODUCT((('CASE MASTER'!$T$2:$T$495=15)*('CASE MASTER'!$U$2:$U$495&lt;=6)*('CASE MASTER'!$W$2:$W$495&gt;=6)*('CASE MASTER'!$V$2:$V$495&lt;=4)*('CASE MASTER'!$X$2:$X$495&gt;=4))*ROW('CASE MASTER'!$T$2:$T$495))-(ROW('CASE MASTER'!#REF!)-1))),IF(SUMPRODUCT((('CASE MASTER'!$T$2:$T$495=15)*('CASE MASTER'!$AA$2:$AA$495&lt;=6)*('CASE MASTER'!$AC$2:$AC$495&gt;=6)*('CASE MASTER'!$AB$2:$AB$495&lt;=4)*('CASE MASTER'!$AD$2:$AD$495&gt;=4))*ROW('CASE MASTER'!$T$2:$T$495))&gt;0,INDEX('CASE MASTER'!$Y$2:$Y$495,(SUMPRODUCT((('CASE MASTER'!$T$2:$T$495=15)*('CASE MASTER'!$AA$2:$AA$495&lt;=6)*('CASE MASTER'!$AC$2:$AC$495&gt;=6)*('CASE MASTER'!$AB$2:$AB$495&lt;=4)*('CASE MASTER'!$AD$2:$AD$495&gt;=4))*ROW('CASE MASTER'!$T$2:$T$495))-(ROW('CASE MASTER'!#REF!)-1)))&amp;TRIM(MID(SUBSTITUTE(SUBSTITUTE(INDEX('CASE MASTER'!$N$2:$N$495,(SUMPRODUCT((('CASE MASTER'!$T$2:$T$495=15)*('CASE MASTER'!$AA$2:$AA$495&lt;=6)*('CASE MASTER'!$AC$2:$AC$495&gt;=6)*('CASE MASTER'!$AB$2:$AB$495&lt;=4)*('CASE MASTER'!$AD$2:$AD$495&gt;=4))*ROW('CASE MASTER'!$T$2:$T$495))-(ROW('CASE MASTER'!#REF!)-1))),":",","),",",REPT(" ",50)),(((INDEX('CASE MASTER'!$Z$2:$Z$495,(SUMPRODUCT((('CASE MASTER'!$T$2:$T$495=15)*('CASE MASTER'!$AA$2:$AA$495&lt;=6)*('CASE MASTER'!$AC$2:$AC$495&gt;=6)*('CASE MASTER'!$AB$2:$AB$495&lt;=4)*('CASE MASTER'!$AD$2:$AD$495&gt;=4))*ROW('CASE MASTER'!$T$2:$T$495))-(ROW('CASE MASTER'!#REF!)-1)))+((6-INDEX('CASE MASTER'!$AA$2:$AA$495,(SUMPRODUCT((('CASE MASTER'!$T$2:$T$495=15)*('CASE MASTER'!$AA$2:$AA$495&lt;=6)*('CASE MASTER'!$AC$2:$AC$495&gt;=6)*('CASE MASTER'!$AB$2:$AB$495&lt;=4)*('CASE MASTER'!$AD$2:$AD$495&gt;=4))*ROW('CASE MASTER'!$T$2:$T$495))-(ROW('CASE MASTER'!#REF!)-1))))*(INDEX('CASE MASTER'!$AD$2:$AD$495,(SUMPRODUCT((('CASE MASTER'!$T$2:$T$495=15)*('CASE MASTER'!$AA$2:$AA$495&lt;=6)*('CASE MASTER'!$AC$2:$AC$495&gt;=6)*('CASE MASTER'!$AB$2:$AB$495&lt;=4)*('CASE MASTER'!$AD$2:$AD$495&gt;=4))*ROW('CASE MASTER'!$T$2:$T$495))-(ROW('CASE MASTER'!#REF!)-1)))-INDEX('CASE MASTER'!$AB$2:$AB$495,(SUMPRODUCT((('CASE MASTER'!$T$2:$T$495=15)*('CASE MASTER'!$AA$2:$AA$495&lt;=6)*('CASE MASTER'!$AC$2:$AC$495&gt;=6)*('CASE MASTER'!$AB$2:$AB$495&lt;=4)*('CASE MASTER'!$AD$2:$AD$495&gt;=4))*ROW('CASE MASTER'!$T$2:$T$495))-(ROW('CASE MASTER'!#REF!)-1)))+1)+(4-INDEX('CASE MASTER'!$AB$2:$AB$495,(SUMPRODUCT((('CASE MASTER'!$T$2:$T$495=15)*('CASE MASTER'!$AA$2:$AA$495&lt;=6)*('CASE MASTER'!$AC$2:$AC$495&gt;=6)*('CASE MASTER'!$AB$2:$AB$495&lt;=4)*('CASE MASTER'!$AD$2:$AD$495&gt;=4))*ROW('CASE MASTER'!$T$2:$T$495))-(ROW('CASE MASTER'!#REF!)-1))))+1)))-1)*50+1,50))&amp;"_"&amp;INDEX('CASE MASTER'!$Q$2:$Q$495,(SUMPRODUCT((('CASE MASTER'!$T$2:$T$495=15)*('CASE MASTER'!$AA$2:$AA$495&lt;=6)*('CASE MASTER'!$AC$2:$AC$495&gt;=6)*('CASE MASTER'!$AB$2:$AB$495&lt;=4)*('CASE MASTER'!$AD$2:$AD$495&gt;=4))*ROW('CASE MASTER'!$T$2:$T$495))-(ROW('CASE MASTER'!#REF!)-1))),"")),"")</f>
        <v/>
      </c>
      <c r="F204" s="10" t="str">
        <f>IFERROR(IF(SUMPRODUCT((('CASE MASTER'!$T$2:$T$495=15)*('CASE MASTER'!$U$2:$U$495&lt;=6)*('CASE MASTER'!$W$2:$W$495&gt;=6)*('CASE MASTER'!$V$2:$V$495&lt;=5)*('CASE MASTER'!$X$2:$X$495&gt;=5))*ROW('CASE MASTER'!$T$2:$T$495))&gt;0,INDEX('CASE MASTER'!$Y$2:$Y$495,(SUMPRODUCT((('CASE MASTER'!$T$2:$T$495=15)*('CASE MASTER'!$U$2:$U$495&lt;=6)*('CASE MASTER'!$W$2:$W$495&gt;=6)*('CASE MASTER'!$V$2:$V$495&lt;=5)*('CASE MASTER'!$X$2:$X$495&gt;=5))*ROW('CASE MASTER'!$T$2:$T$495))-(ROW('CASE MASTER'!#REF!)-1)))&amp;TRIM(MID(SUBSTITUTE(SUBSTITUTE(INDEX('CASE MASTER'!$N$2:$N$495,(SUMPRODUCT((('CASE MASTER'!$T$2:$T$495=15)*('CASE MASTER'!$U$2:$U$495&lt;=6)*('CASE MASTER'!$W$2:$W$495&gt;=6)*('CASE MASTER'!$V$2:$V$495&lt;=5)*('CASE MASTER'!$X$2:$X$495&gt;=5))*ROW('CASE MASTER'!$T$2:$T$495))-(ROW('CASE MASTER'!#REF!)-1))),":",","),",",REPT(" ",50)),((((6-INDEX('CASE MASTER'!$U$2:$U$495,(SUMPRODUCT((('CASE MASTER'!$T$2:$T$495=15)*('CASE MASTER'!$U$2:$U$495&lt;=6)*('CASE MASTER'!$W$2:$W$495&gt;=6)*('CASE MASTER'!$V$2:$V$495&lt;=5)*('CASE MASTER'!$X$2:$X$495&gt;=5))*ROW('CASE MASTER'!$T$2:$T$495))-(ROW('CASE MASTER'!#REF!)-1))))*(INDEX('CASE MASTER'!$X$2:$X$495,(SUMPRODUCT((('CASE MASTER'!$T$2:$T$495=15)*('CASE MASTER'!$U$2:$U$495&lt;=6)*('CASE MASTER'!$W$2:$W$495&gt;=6)*('CASE MASTER'!$V$2:$V$495&lt;=5)*('CASE MASTER'!$X$2:$X$495&gt;=5))*ROW('CASE MASTER'!$T$2:$T$495))-(ROW('CASE MASTER'!#REF!)-1)))-INDEX('CASE MASTER'!$V$2:$V$495,(SUMPRODUCT((('CASE MASTER'!$T$2:$T$495=15)*('CASE MASTER'!$U$2:$U$495&lt;=6)*('CASE MASTER'!$W$2:$W$495&gt;=6)*('CASE MASTER'!$V$2:$V$495&lt;=5)*('CASE MASTER'!$X$2:$X$495&gt;=5))*ROW('CASE MASTER'!$T$2:$T$495))-(ROW('CASE MASTER'!#REF!)-1)))+1)+(5-INDEX('CASE MASTER'!$V$2:$V$495,(SUMPRODUCT((('CASE MASTER'!$T$2:$T$495=15)*('CASE MASTER'!$U$2:$U$495&lt;=6)*('CASE MASTER'!$W$2:$W$495&gt;=6)*('CASE MASTER'!$V$2:$V$495&lt;=5)*('CASE MASTER'!$X$2:$X$495&gt;=5))*ROW('CASE MASTER'!$T$2:$T$495))-(ROW('CASE MASTER'!#REF!)-1))))+1))-1)*50+1,50))&amp;"_"&amp;INDEX('CASE MASTER'!$Q$2:$Q$495,(SUMPRODUCT((('CASE MASTER'!$T$2:$T$495=15)*('CASE MASTER'!$U$2:$U$495&lt;=6)*('CASE MASTER'!$W$2:$W$495&gt;=6)*('CASE MASTER'!$V$2:$V$495&lt;=5)*('CASE MASTER'!$X$2:$X$495&gt;=5))*ROW('CASE MASTER'!$T$2:$T$495))-(ROW('CASE MASTER'!#REF!)-1))),IF(SUMPRODUCT((('CASE MASTER'!$T$2:$T$495=15)*('CASE MASTER'!$AA$2:$AA$495&lt;=6)*('CASE MASTER'!$AC$2:$AC$495&gt;=6)*('CASE MASTER'!$AB$2:$AB$495&lt;=5)*('CASE MASTER'!$AD$2:$AD$495&gt;=5))*ROW('CASE MASTER'!$T$2:$T$495))&gt;0,INDEX('CASE MASTER'!$Y$2:$Y$495,(SUMPRODUCT((('CASE MASTER'!$T$2:$T$495=15)*('CASE MASTER'!$AA$2:$AA$495&lt;=6)*('CASE MASTER'!$AC$2:$AC$495&gt;=6)*('CASE MASTER'!$AB$2:$AB$495&lt;=5)*('CASE MASTER'!$AD$2:$AD$495&gt;=5))*ROW('CASE MASTER'!$T$2:$T$495))-(ROW('CASE MASTER'!#REF!)-1)))&amp;TRIM(MID(SUBSTITUTE(SUBSTITUTE(INDEX('CASE MASTER'!$N$2:$N$495,(SUMPRODUCT((('CASE MASTER'!$T$2:$T$495=15)*('CASE MASTER'!$AA$2:$AA$495&lt;=6)*('CASE MASTER'!$AC$2:$AC$495&gt;=6)*('CASE MASTER'!$AB$2:$AB$495&lt;=5)*('CASE MASTER'!$AD$2:$AD$495&gt;=5))*ROW('CASE MASTER'!$T$2:$T$495))-(ROW('CASE MASTER'!#REF!)-1))),":",","),",",REPT(" ",50)),(((INDEX('CASE MASTER'!$Z$2:$Z$495,(SUMPRODUCT((('CASE MASTER'!$T$2:$T$495=15)*('CASE MASTER'!$AA$2:$AA$495&lt;=6)*('CASE MASTER'!$AC$2:$AC$495&gt;=6)*('CASE MASTER'!$AB$2:$AB$495&lt;=5)*('CASE MASTER'!$AD$2:$AD$495&gt;=5))*ROW('CASE MASTER'!$T$2:$T$495))-(ROW('CASE MASTER'!#REF!)-1)))+((6-INDEX('CASE MASTER'!$AA$2:$AA$495,(SUMPRODUCT((('CASE MASTER'!$T$2:$T$495=15)*('CASE MASTER'!$AA$2:$AA$495&lt;=6)*('CASE MASTER'!$AC$2:$AC$495&gt;=6)*('CASE MASTER'!$AB$2:$AB$495&lt;=5)*('CASE MASTER'!$AD$2:$AD$495&gt;=5))*ROW('CASE MASTER'!$T$2:$T$495))-(ROW('CASE MASTER'!#REF!)-1))))*(INDEX('CASE MASTER'!$AD$2:$AD$495,(SUMPRODUCT((('CASE MASTER'!$T$2:$T$495=15)*('CASE MASTER'!$AA$2:$AA$495&lt;=6)*('CASE MASTER'!$AC$2:$AC$495&gt;=6)*('CASE MASTER'!$AB$2:$AB$495&lt;=5)*('CASE MASTER'!$AD$2:$AD$495&gt;=5))*ROW('CASE MASTER'!$T$2:$T$495))-(ROW('CASE MASTER'!#REF!)-1)))-INDEX('CASE MASTER'!$AB$2:$AB$495,(SUMPRODUCT((('CASE MASTER'!$T$2:$T$495=15)*('CASE MASTER'!$AA$2:$AA$495&lt;=6)*('CASE MASTER'!$AC$2:$AC$495&gt;=6)*('CASE MASTER'!$AB$2:$AB$495&lt;=5)*('CASE MASTER'!$AD$2:$AD$495&gt;=5))*ROW('CASE MASTER'!$T$2:$T$495))-(ROW('CASE MASTER'!#REF!)-1)))+1)+(5-INDEX('CASE MASTER'!$AB$2:$AB$495,(SUMPRODUCT((('CASE MASTER'!$T$2:$T$495=15)*('CASE MASTER'!$AA$2:$AA$495&lt;=6)*('CASE MASTER'!$AC$2:$AC$495&gt;=6)*('CASE MASTER'!$AB$2:$AB$495&lt;=5)*('CASE MASTER'!$AD$2:$AD$495&gt;=5))*ROW('CASE MASTER'!$T$2:$T$495))-(ROW('CASE MASTER'!#REF!)-1))))+1)))-1)*50+1,50))&amp;"_"&amp;INDEX('CASE MASTER'!$Q$2:$Q$495,(SUMPRODUCT((('CASE MASTER'!$T$2:$T$495=15)*('CASE MASTER'!$AA$2:$AA$495&lt;=6)*('CASE MASTER'!$AC$2:$AC$495&gt;=6)*('CASE MASTER'!$AB$2:$AB$495&lt;=5)*('CASE MASTER'!$AD$2:$AD$495&gt;=5))*ROW('CASE MASTER'!$T$2:$T$495))-(ROW('CASE MASTER'!#REF!)-1))),"")),"")</f>
        <v/>
      </c>
      <c r="G204" s="10" t="str">
        <f>IFERROR(IF(SUMPRODUCT((('CASE MASTER'!$T$2:$T$495=15)*('CASE MASTER'!$U$2:$U$495&lt;=6)*('CASE MASTER'!$W$2:$W$495&gt;=6)*('CASE MASTER'!$V$2:$V$495&lt;=6)*('CASE MASTER'!$X$2:$X$495&gt;=6))*ROW('CASE MASTER'!$T$2:$T$495))&gt;0,INDEX('CASE MASTER'!$Y$2:$Y$495,(SUMPRODUCT((('CASE MASTER'!$T$2:$T$495=15)*('CASE MASTER'!$U$2:$U$495&lt;=6)*('CASE MASTER'!$W$2:$W$495&gt;=6)*('CASE MASTER'!$V$2:$V$495&lt;=6)*('CASE MASTER'!$X$2:$X$495&gt;=6))*ROW('CASE MASTER'!$T$2:$T$495))-(ROW('CASE MASTER'!#REF!)-1)))&amp;TRIM(MID(SUBSTITUTE(SUBSTITUTE(INDEX('CASE MASTER'!$N$2:$N$495,(SUMPRODUCT((('CASE MASTER'!$T$2:$T$495=15)*('CASE MASTER'!$U$2:$U$495&lt;=6)*('CASE MASTER'!$W$2:$W$495&gt;=6)*('CASE MASTER'!$V$2:$V$495&lt;=6)*('CASE MASTER'!$X$2:$X$495&gt;=6))*ROW('CASE MASTER'!$T$2:$T$495))-(ROW('CASE MASTER'!#REF!)-1))),":",","),",",REPT(" ",50)),((((6-INDEX('CASE MASTER'!$U$2:$U$495,(SUMPRODUCT((('CASE MASTER'!$T$2:$T$495=15)*('CASE MASTER'!$U$2:$U$495&lt;=6)*('CASE MASTER'!$W$2:$W$495&gt;=6)*('CASE MASTER'!$V$2:$V$495&lt;=6)*('CASE MASTER'!$X$2:$X$495&gt;=6))*ROW('CASE MASTER'!$T$2:$T$495))-(ROW('CASE MASTER'!#REF!)-1))))*(INDEX('CASE MASTER'!$X$2:$X$495,(SUMPRODUCT((('CASE MASTER'!$T$2:$T$495=15)*('CASE MASTER'!$U$2:$U$495&lt;=6)*('CASE MASTER'!$W$2:$W$495&gt;=6)*('CASE MASTER'!$V$2:$V$495&lt;=6)*('CASE MASTER'!$X$2:$X$495&gt;=6))*ROW('CASE MASTER'!$T$2:$T$495))-(ROW('CASE MASTER'!#REF!)-1)))-INDEX('CASE MASTER'!$V$2:$V$495,(SUMPRODUCT((('CASE MASTER'!$T$2:$T$495=15)*('CASE MASTER'!$U$2:$U$495&lt;=6)*('CASE MASTER'!$W$2:$W$495&gt;=6)*('CASE MASTER'!$V$2:$V$495&lt;=6)*('CASE MASTER'!$X$2:$X$495&gt;=6))*ROW('CASE MASTER'!$T$2:$T$495))-(ROW('CASE MASTER'!#REF!)-1)))+1)+(6-INDEX('CASE MASTER'!$V$2:$V$495,(SUMPRODUCT((('CASE MASTER'!$T$2:$T$495=15)*('CASE MASTER'!$U$2:$U$495&lt;=6)*('CASE MASTER'!$W$2:$W$495&gt;=6)*('CASE MASTER'!$V$2:$V$495&lt;=6)*('CASE MASTER'!$X$2:$X$495&gt;=6))*ROW('CASE MASTER'!$T$2:$T$495))-(ROW('CASE MASTER'!#REF!)-1))))+1))-1)*50+1,50))&amp;"_"&amp;INDEX('CASE MASTER'!$Q$2:$Q$495,(SUMPRODUCT((('CASE MASTER'!$T$2:$T$495=15)*('CASE MASTER'!$U$2:$U$495&lt;=6)*('CASE MASTER'!$W$2:$W$495&gt;=6)*('CASE MASTER'!$V$2:$V$495&lt;=6)*('CASE MASTER'!$X$2:$X$495&gt;=6))*ROW('CASE MASTER'!$T$2:$T$495))-(ROW('CASE MASTER'!#REF!)-1))),IF(SUMPRODUCT((('CASE MASTER'!$T$2:$T$495=15)*('CASE MASTER'!$AA$2:$AA$495&lt;=6)*('CASE MASTER'!$AC$2:$AC$495&gt;=6)*('CASE MASTER'!$AB$2:$AB$495&lt;=6)*('CASE MASTER'!$AD$2:$AD$495&gt;=6))*ROW('CASE MASTER'!$T$2:$T$495))&gt;0,INDEX('CASE MASTER'!$Y$2:$Y$495,(SUMPRODUCT((('CASE MASTER'!$T$2:$T$495=15)*('CASE MASTER'!$AA$2:$AA$495&lt;=6)*('CASE MASTER'!$AC$2:$AC$495&gt;=6)*('CASE MASTER'!$AB$2:$AB$495&lt;=6)*('CASE MASTER'!$AD$2:$AD$495&gt;=6))*ROW('CASE MASTER'!$T$2:$T$495))-(ROW('CASE MASTER'!#REF!)-1)))&amp;TRIM(MID(SUBSTITUTE(SUBSTITUTE(INDEX('CASE MASTER'!$N$2:$N$495,(SUMPRODUCT((('CASE MASTER'!$T$2:$T$495=15)*('CASE MASTER'!$AA$2:$AA$495&lt;=6)*('CASE MASTER'!$AC$2:$AC$495&gt;=6)*('CASE MASTER'!$AB$2:$AB$495&lt;=6)*('CASE MASTER'!$AD$2:$AD$495&gt;=6))*ROW('CASE MASTER'!$T$2:$T$495))-(ROW('CASE MASTER'!#REF!)-1))),":",","),",",REPT(" ",50)),(((INDEX('CASE MASTER'!$Z$2:$Z$495,(SUMPRODUCT((('CASE MASTER'!$T$2:$T$495=15)*('CASE MASTER'!$AA$2:$AA$495&lt;=6)*('CASE MASTER'!$AC$2:$AC$495&gt;=6)*('CASE MASTER'!$AB$2:$AB$495&lt;=6)*('CASE MASTER'!$AD$2:$AD$495&gt;=6))*ROW('CASE MASTER'!$T$2:$T$495))-(ROW('CASE MASTER'!#REF!)-1)))+((6-INDEX('CASE MASTER'!$AA$2:$AA$495,(SUMPRODUCT((('CASE MASTER'!$T$2:$T$495=15)*('CASE MASTER'!$AA$2:$AA$495&lt;=6)*('CASE MASTER'!$AC$2:$AC$495&gt;=6)*('CASE MASTER'!$AB$2:$AB$495&lt;=6)*('CASE MASTER'!$AD$2:$AD$495&gt;=6))*ROW('CASE MASTER'!$T$2:$T$495))-(ROW('CASE MASTER'!#REF!)-1))))*(INDEX('CASE MASTER'!$AD$2:$AD$495,(SUMPRODUCT((('CASE MASTER'!$T$2:$T$495=15)*('CASE MASTER'!$AA$2:$AA$495&lt;=6)*('CASE MASTER'!$AC$2:$AC$495&gt;=6)*('CASE MASTER'!$AB$2:$AB$495&lt;=6)*('CASE MASTER'!$AD$2:$AD$495&gt;=6))*ROW('CASE MASTER'!$T$2:$T$495))-(ROW('CASE MASTER'!#REF!)-1)))-INDEX('CASE MASTER'!$AB$2:$AB$495,(SUMPRODUCT((('CASE MASTER'!$T$2:$T$495=15)*('CASE MASTER'!$AA$2:$AA$495&lt;=6)*('CASE MASTER'!$AC$2:$AC$495&gt;=6)*('CASE MASTER'!$AB$2:$AB$495&lt;=6)*('CASE MASTER'!$AD$2:$AD$495&gt;=6))*ROW('CASE MASTER'!$T$2:$T$495))-(ROW('CASE MASTER'!#REF!)-1)))+1)+(6-INDEX('CASE MASTER'!$AB$2:$AB$495,(SUMPRODUCT((('CASE MASTER'!$T$2:$T$495=15)*('CASE MASTER'!$AA$2:$AA$495&lt;=6)*('CASE MASTER'!$AC$2:$AC$495&gt;=6)*('CASE MASTER'!$AB$2:$AB$495&lt;=6)*('CASE MASTER'!$AD$2:$AD$495&gt;=6))*ROW('CASE MASTER'!$T$2:$T$495))-(ROW('CASE MASTER'!#REF!)-1))))+1)))-1)*50+1,50))&amp;"_"&amp;INDEX('CASE MASTER'!$Q$2:$Q$495,(SUMPRODUCT((('CASE MASTER'!$T$2:$T$495=15)*('CASE MASTER'!$AA$2:$AA$495&lt;=6)*('CASE MASTER'!$AC$2:$AC$495&gt;=6)*('CASE MASTER'!$AB$2:$AB$495&lt;=6)*('CASE MASTER'!$AD$2:$AD$495&gt;=6))*ROW('CASE MASTER'!$T$2:$T$495))-(ROW('CASE MASTER'!#REF!)-1))),"")),"")</f>
        <v/>
      </c>
      <c r="H204" s="10" t="str">
        <f>IFERROR(IF(SUMPRODUCT((('CASE MASTER'!$T$2:$T$495=15)*('CASE MASTER'!$U$2:$U$495&lt;=6)*('CASE MASTER'!$W$2:$W$495&gt;=6)*('CASE MASTER'!$V$2:$V$495&lt;=7)*('CASE MASTER'!$X$2:$X$495&gt;=7))*ROW('CASE MASTER'!$T$2:$T$495))&gt;0,INDEX('CASE MASTER'!$Y$2:$Y$495,(SUMPRODUCT((('CASE MASTER'!$T$2:$T$495=15)*('CASE MASTER'!$U$2:$U$495&lt;=6)*('CASE MASTER'!$W$2:$W$495&gt;=6)*('CASE MASTER'!$V$2:$V$495&lt;=7)*('CASE MASTER'!$X$2:$X$495&gt;=7))*ROW('CASE MASTER'!$T$2:$T$495))-(ROW('CASE MASTER'!#REF!)-1)))&amp;TRIM(MID(SUBSTITUTE(SUBSTITUTE(INDEX('CASE MASTER'!$N$2:$N$495,(SUMPRODUCT((('CASE MASTER'!$T$2:$T$495=15)*('CASE MASTER'!$U$2:$U$495&lt;=6)*('CASE MASTER'!$W$2:$W$495&gt;=6)*('CASE MASTER'!$V$2:$V$495&lt;=7)*('CASE MASTER'!$X$2:$X$495&gt;=7))*ROW('CASE MASTER'!$T$2:$T$495))-(ROW('CASE MASTER'!#REF!)-1))),":",","),",",REPT(" ",50)),((((6-INDEX('CASE MASTER'!$U$2:$U$495,(SUMPRODUCT((('CASE MASTER'!$T$2:$T$495=15)*('CASE MASTER'!$U$2:$U$495&lt;=6)*('CASE MASTER'!$W$2:$W$495&gt;=6)*('CASE MASTER'!$V$2:$V$495&lt;=7)*('CASE MASTER'!$X$2:$X$495&gt;=7))*ROW('CASE MASTER'!$T$2:$T$495))-(ROW('CASE MASTER'!#REF!)-1))))*(INDEX('CASE MASTER'!$X$2:$X$495,(SUMPRODUCT((('CASE MASTER'!$T$2:$T$495=15)*('CASE MASTER'!$U$2:$U$495&lt;=6)*('CASE MASTER'!$W$2:$W$495&gt;=6)*('CASE MASTER'!$V$2:$V$495&lt;=7)*('CASE MASTER'!$X$2:$X$495&gt;=7))*ROW('CASE MASTER'!$T$2:$T$495))-(ROW('CASE MASTER'!#REF!)-1)))-INDEX('CASE MASTER'!$V$2:$V$495,(SUMPRODUCT((('CASE MASTER'!$T$2:$T$495=15)*('CASE MASTER'!$U$2:$U$495&lt;=6)*('CASE MASTER'!$W$2:$W$495&gt;=6)*('CASE MASTER'!$V$2:$V$495&lt;=7)*('CASE MASTER'!$X$2:$X$495&gt;=7))*ROW('CASE MASTER'!$T$2:$T$495))-(ROW('CASE MASTER'!#REF!)-1)))+1)+(7-INDEX('CASE MASTER'!$V$2:$V$495,(SUMPRODUCT((('CASE MASTER'!$T$2:$T$495=15)*('CASE MASTER'!$U$2:$U$495&lt;=6)*('CASE MASTER'!$W$2:$W$495&gt;=6)*('CASE MASTER'!$V$2:$V$495&lt;=7)*('CASE MASTER'!$X$2:$X$495&gt;=7))*ROW('CASE MASTER'!$T$2:$T$495))-(ROW('CASE MASTER'!#REF!)-1))))+1))-1)*50+1,50))&amp;"_"&amp;INDEX('CASE MASTER'!$Q$2:$Q$495,(SUMPRODUCT((('CASE MASTER'!$T$2:$T$495=15)*('CASE MASTER'!$U$2:$U$495&lt;=6)*('CASE MASTER'!$W$2:$W$495&gt;=6)*('CASE MASTER'!$V$2:$V$495&lt;=7)*('CASE MASTER'!$X$2:$X$495&gt;=7))*ROW('CASE MASTER'!$T$2:$T$495))-(ROW('CASE MASTER'!#REF!)-1))),IF(SUMPRODUCT((('CASE MASTER'!$T$2:$T$495=15)*('CASE MASTER'!$AA$2:$AA$495&lt;=6)*('CASE MASTER'!$AC$2:$AC$495&gt;=6)*('CASE MASTER'!$AB$2:$AB$495&lt;=7)*('CASE MASTER'!$AD$2:$AD$495&gt;=7))*ROW('CASE MASTER'!$T$2:$T$495))&gt;0,INDEX('CASE MASTER'!$Y$2:$Y$495,(SUMPRODUCT((('CASE MASTER'!$T$2:$T$495=15)*('CASE MASTER'!$AA$2:$AA$495&lt;=6)*('CASE MASTER'!$AC$2:$AC$495&gt;=6)*('CASE MASTER'!$AB$2:$AB$495&lt;=7)*('CASE MASTER'!$AD$2:$AD$495&gt;=7))*ROW('CASE MASTER'!$T$2:$T$495))-(ROW('CASE MASTER'!#REF!)-1)))&amp;TRIM(MID(SUBSTITUTE(SUBSTITUTE(INDEX('CASE MASTER'!$N$2:$N$495,(SUMPRODUCT((('CASE MASTER'!$T$2:$T$495=15)*('CASE MASTER'!$AA$2:$AA$495&lt;=6)*('CASE MASTER'!$AC$2:$AC$495&gt;=6)*('CASE MASTER'!$AB$2:$AB$495&lt;=7)*('CASE MASTER'!$AD$2:$AD$495&gt;=7))*ROW('CASE MASTER'!$T$2:$T$495))-(ROW('CASE MASTER'!#REF!)-1))),":",","),",",REPT(" ",50)),(((INDEX('CASE MASTER'!$Z$2:$Z$495,(SUMPRODUCT((('CASE MASTER'!$T$2:$T$495=15)*('CASE MASTER'!$AA$2:$AA$495&lt;=6)*('CASE MASTER'!$AC$2:$AC$495&gt;=6)*('CASE MASTER'!$AB$2:$AB$495&lt;=7)*('CASE MASTER'!$AD$2:$AD$495&gt;=7))*ROW('CASE MASTER'!$T$2:$T$495))-(ROW('CASE MASTER'!#REF!)-1)))+((6-INDEX('CASE MASTER'!$AA$2:$AA$495,(SUMPRODUCT((('CASE MASTER'!$T$2:$T$495=15)*('CASE MASTER'!$AA$2:$AA$495&lt;=6)*('CASE MASTER'!$AC$2:$AC$495&gt;=6)*('CASE MASTER'!$AB$2:$AB$495&lt;=7)*('CASE MASTER'!$AD$2:$AD$495&gt;=7))*ROW('CASE MASTER'!$T$2:$T$495))-(ROW('CASE MASTER'!#REF!)-1))))*(INDEX('CASE MASTER'!$AD$2:$AD$495,(SUMPRODUCT((('CASE MASTER'!$T$2:$T$495=15)*('CASE MASTER'!$AA$2:$AA$495&lt;=6)*('CASE MASTER'!$AC$2:$AC$495&gt;=6)*('CASE MASTER'!$AB$2:$AB$495&lt;=7)*('CASE MASTER'!$AD$2:$AD$495&gt;=7))*ROW('CASE MASTER'!$T$2:$T$495))-(ROW('CASE MASTER'!#REF!)-1)))-INDEX('CASE MASTER'!$AB$2:$AB$495,(SUMPRODUCT((('CASE MASTER'!$T$2:$T$495=15)*('CASE MASTER'!$AA$2:$AA$495&lt;=6)*('CASE MASTER'!$AC$2:$AC$495&gt;=6)*('CASE MASTER'!$AB$2:$AB$495&lt;=7)*('CASE MASTER'!$AD$2:$AD$495&gt;=7))*ROW('CASE MASTER'!$T$2:$T$495))-(ROW('CASE MASTER'!#REF!)-1)))+1)+(7-INDEX('CASE MASTER'!$AB$2:$AB$495,(SUMPRODUCT((('CASE MASTER'!$T$2:$T$495=15)*('CASE MASTER'!$AA$2:$AA$495&lt;=6)*('CASE MASTER'!$AC$2:$AC$495&gt;=6)*('CASE MASTER'!$AB$2:$AB$495&lt;=7)*('CASE MASTER'!$AD$2:$AD$495&gt;=7))*ROW('CASE MASTER'!$T$2:$T$495))-(ROW('CASE MASTER'!#REF!)-1))))+1)))-1)*50+1,50))&amp;"_"&amp;INDEX('CASE MASTER'!$Q$2:$Q$495,(SUMPRODUCT((('CASE MASTER'!$T$2:$T$495=15)*('CASE MASTER'!$AA$2:$AA$495&lt;=6)*('CASE MASTER'!$AC$2:$AC$495&gt;=6)*('CASE MASTER'!$AB$2:$AB$495&lt;=7)*('CASE MASTER'!$AD$2:$AD$495&gt;=7))*ROW('CASE MASTER'!$T$2:$T$495))-(ROW('CASE MASTER'!#REF!)-1))),"")),"")</f>
        <v/>
      </c>
      <c r="I204" s="10" t="str">
        <f>IFERROR(IF(SUMPRODUCT((('CASE MASTER'!$T$2:$T$495=15)*('CASE MASTER'!$U$2:$U$495&lt;=6)*('CASE MASTER'!$W$2:$W$495&gt;=6)*('CASE MASTER'!$V$2:$V$495&lt;=8)*('CASE MASTER'!$X$2:$X$495&gt;=8))*ROW('CASE MASTER'!$T$2:$T$495))&gt;0,INDEX('CASE MASTER'!$Y$2:$Y$495,(SUMPRODUCT((('CASE MASTER'!$T$2:$T$495=15)*('CASE MASTER'!$U$2:$U$495&lt;=6)*('CASE MASTER'!$W$2:$W$495&gt;=6)*('CASE MASTER'!$V$2:$V$495&lt;=8)*('CASE MASTER'!$X$2:$X$495&gt;=8))*ROW('CASE MASTER'!$T$2:$T$495))-(ROW('CASE MASTER'!#REF!)-1)))&amp;TRIM(MID(SUBSTITUTE(SUBSTITUTE(INDEX('CASE MASTER'!$N$2:$N$495,(SUMPRODUCT((('CASE MASTER'!$T$2:$T$495=15)*('CASE MASTER'!$U$2:$U$495&lt;=6)*('CASE MASTER'!$W$2:$W$495&gt;=6)*('CASE MASTER'!$V$2:$V$495&lt;=8)*('CASE MASTER'!$X$2:$X$495&gt;=8))*ROW('CASE MASTER'!$T$2:$T$495))-(ROW('CASE MASTER'!#REF!)-1))),":",","),",",REPT(" ",50)),((((6-INDEX('CASE MASTER'!$U$2:$U$495,(SUMPRODUCT((('CASE MASTER'!$T$2:$T$495=15)*('CASE MASTER'!$U$2:$U$495&lt;=6)*('CASE MASTER'!$W$2:$W$495&gt;=6)*('CASE MASTER'!$V$2:$V$495&lt;=8)*('CASE MASTER'!$X$2:$X$495&gt;=8))*ROW('CASE MASTER'!$T$2:$T$495))-(ROW('CASE MASTER'!#REF!)-1))))*(INDEX('CASE MASTER'!$X$2:$X$495,(SUMPRODUCT((('CASE MASTER'!$T$2:$T$495=15)*('CASE MASTER'!$U$2:$U$495&lt;=6)*('CASE MASTER'!$W$2:$W$495&gt;=6)*('CASE MASTER'!$V$2:$V$495&lt;=8)*('CASE MASTER'!$X$2:$X$495&gt;=8))*ROW('CASE MASTER'!$T$2:$T$495))-(ROW('CASE MASTER'!#REF!)-1)))-INDEX('CASE MASTER'!$V$2:$V$495,(SUMPRODUCT((('CASE MASTER'!$T$2:$T$495=15)*('CASE MASTER'!$U$2:$U$495&lt;=6)*('CASE MASTER'!$W$2:$W$495&gt;=6)*('CASE MASTER'!$V$2:$V$495&lt;=8)*('CASE MASTER'!$X$2:$X$495&gt;=8))*ROW('CASE MASTER'!$T$2:$T$495))-(ROW('CASE MASTER'!#REF!)-1)))+1)+(8-INDEX('CASE MASTER'!$V$2:$V$495,(SUMPRODUCT((('CASE MASTER'!$T$2:$T$495=15)*('CASE MASTER'!$U$2:$U$495&lt;=6)*('CASE MASTER'!$W$2:$W$495&gt;=6)*('CASE MASTER'!$V$2:$V$495&lt;=8)*('CASE MASTER'!$X$2:$X$495&gt;=8))*ROW('CASE MASTER'!$T$2:$T$495))-(ROW('CASE MASTER'!#REF!)-1))))+1))-1)*50+1,50))&amp;"_"&amp;INDEX('CASE MASTER'!$Q$2:$Q$495,(SUMPRODUCT((('CASE MASTER'!$T$2:$T$495=15)*('CASE MASTER'!$U$2:$U$495&lt;=6)*('CASE MASTER'!$W$2:$W$495&gt;=6)*('CASE MASTER'!$V$2:$V$495&lt;=8)*('CASE MASTER'!$X$2:$X$495&gt;=8))*ROW('CASE MASTER'!$T$2:$T$495))-(ROW('CASE MASTER'!#REF!)-1))),IF(SUMPRODUCT((('CASE MASTER'!$T$2:$T$495=15)*('CASE MASTER'!$AA$2:$AA$495&lt;=6)*('CASE MASTER'!$AC$2:$AC$495&gt;=6)*('CASE MASTER'!$AB$2:$AB$495&lt;=8)*('CASE MASTER'!$AD$2:$AD$495&gt;=8))*ROW('CASE MASTER'!$T$2:$T$495))&gt;0,INDEX('CASE MASTER'!$Y$2:$Y$495,(SUMPRODUCT((('CASE MASTER'!$T$2:$T$495=15)*('CASE MASTER'!$AA$2:$AA$495&lt;=6)*('CASE MASTER'!$AC$2:$AC$495&gt;=6)*('CASE MASTER'!$AB$2:$AB$495&lt;=8)*('CASE MASTER'!$AD$2:$AD$495&gt;=8))*ROW('CASE MASTER'!$T$2:$T$495))-(ROW('CASE MASTER'!#REF!)-1)))&amp;TRIM(MID(SUBSTITUTE(SUBSTITUTE(INDEX('CASE MASTER'!$N$2:$N$495,(SUMPRODUCT((('CASE MASTER'!$T$2:$T$495=15)*('CASE MASTER'!$AA$2:$AA$495&lt;=6)*('CASE MASTER'!$AC$2:$AC$495&gt;=6)*('CASE MASTER'!$AB$2:$AB$495&lt;=8)*('CASE MASTER'!$AD$2:$AD$495&gt;=8))*ROW('CASE MASTER'!$T$2:$T$495))-(ROW('CASE MASTER'!#REF!)-1))),":",","),",",REPT(" ",50)),(((INDEX('CASE MASTER'!$Z$2:$Z$495,(SUMPRODUCT((('CASE MASTER'!$T$2:$T$495=15)*('CASE MASTER'!$AA$2:$AA$495&lt;=6)*('CASE MASTER'!$AC$2:$AC$495&gt;=6)*('CASE MASTER'!$AB$2:$AB$495&lt;=8)*('CASE MASTER'!$AD$2:$AD$495&gt;=8))*ROW('CASE MASTER'!$T$2:$T$495))-(ROW('CASE MASTER'!#REF!)-1)))+((6-INDEX('CASE MASTER'!$AA$2:$AA$495,(SUMPRODUCT((('CASE MASTER'!$T$2:$T$495=15)*('CASE MASTER'!$AA$2:$AA$495&lt;=6)*('CASE MASTER'!$AC$2:$AC$495&gt;=6)*('CASE MASTER'!$AB$2:$AB$495&lt;=8)*('CASE MASTER'!$AD$2:$AD$495&gt;=8))*ROW('CASE MASTER'!$T$2:$T$495))-(ROW('CASE MASTER'!#REF!)-1))))*(INDEX('CASE MASTER'!$AD$2:$AD$495,(SUMPRODUCT((('CASE MASTER'!$T$2:$T$495=15)*('CASE MASTER'!$AA$2:$AA$495&lt;=6)*('CASE MASTER'!$AC$2:$AC$495&gt;=6)*('CASE MASTER'!$AB$2:$AB$495&lt;=8)*('CASE MASTER'!$AD$2:$AD$495&gt;=8))*ROW('CASE MASTER'!$T$2:$T$495))-(ROW('CASE MASTER'!#REF!)-1)))-INDEX('CASE MASTER'!$AB$2:$AB$495,(SUMPRODUCT((('CASE MASTER'!$T$2:$T$495=15)*('CASE MASTER'!$AA$2:$AA$495&lt;=6)*('CASE MASTER'!$AC$2:$AC$495&gt;=6)*('CASE MASTER'!$AB$2:$AB$495&lt;=8)*('CASE MASTER'!$AD$2:$AD$495&gt;=8))*ROW('CASE MASTER'!$T$2:$T$495))-(ROW('CASE MASTER'!#REF!)-1)))+1)+(8-INDEX('CASE MASTER'!$AB$2:$AB$495,(SUMPRODUCT((('CASE MASTER'!$T$2:$T$495=15)*('CASE MASTER'!$AA$2:$AA$495&lt;=6)*('CASE MASTER'!$AC$2:$AC$495&gt;=6)*('CASE MASTER'!$AB$2:$AB$495&lt;=8)*('CASE MASTER'!$AD$2:$AD$495&gt;=8))*ROW('CASE MASTER'!$T$2:$T$495))-(ROW('CASE MASTER'!#REF!)-1))))+1)))-1)*50+1,50))&amp;"_"&amp;INDEX('CASE MASTER'!$Q$2:$Q$495,(SUMPRODUCT((('CASE MASTER'!$T$2:$T$495=15)*('CASE MASTER'!$AA$2:$AA$495&lt;=6)*('CASE MASTER'!$AC$2:$AC$495&gt;=6)*('CASE MASTER'!$AB$2:$AB$495&lt;=8)*('CASE MASTER'!$AD$2:$AD$495&gt;=8))*ROW('CASE MASTER'!$T$2:$T$495))-(ROW('CASE MASTER'!#REF!)-1))),"")),"")</f>
        <v/>
      </c>
      <c r="J204" s="10" t="str">
        <f>IFERROR(IF(SUMPRODUCT((('CASE MASTER'!$T$2:$T$495=15)*('CASE MASTER'!$U$2:$U$495&lt;=6)*('CASE MASTER'!$W$2:$W$495&gt;=6)*('CASE MASTER'!$V$2:$V$495&lt;=9)*('CASE MASTER'!$X$2:$X$495&gt;=9))*ROW('CASE MASTER'!$T$2:$T$495))&gt;0,INDEX('CASE MASTER'!$Y$2:$Y$495,(SUMPRODUCT((('CASE MASTER'!$T$2:$T$495=15)*('CASE MASTER'!$U$2:$U$495&lt;=6)*('CASE MASTER'!$W$2:$W$495&gt;=6)*('CASE MASTER'!$V$2:$V$495&lt;=9)*('CASE MASTER'!$X$2:$X$495&gt;=9))*ROW('CASE MASTER'!$T$2:$T$495))-(ROW('CASE MASTER'!#REF!)-1)))&amp;TRIM(MID(SUBSTITUTE(SUBSTITUTE(INDEX('CASE MASTER'!$N$2:$N$495,(SUMPRODUCT((('CASE MASTER'!$T$2:$T$495=15)*('CASE MASTER'!$U$2:$U$495&lt;=6)*('CASE MASTER'!$W$2:$W$495&gt;=6)*('CASE MASTER'!$V$2:$V$495&lt;=9)*('CASE MASTER'!$X$2:$X$495&gt;=9))*ROW('CASE MASTER'!$T$2:$T$495))-(ROW('CASE MASTER'!#REF!)-1))),":",","),",",REPT(" ",50)),((((6-INDEX('CASE MASTER'!$U$2:$U$495,(SUMPRODUCT((('CASE MASTER'!$T$2:$T$495=15)*('CASE MASTER'!$U$2:$U$495&lt;=6)*('CASE MASTER'!$W$2:$W$495&gt;=6)*('CASE MASTER'!$V$2:$V$495&lt;=9)*('CASE MASTER'!$X$2:$X$495&gt;=9))*ROW('CASE MASTER'!$T$2:$T$495))-(ROW('CASE MASTER'!#REF!)-1))))*(INDEX('CASE MASTER'!$X$2:$X$495,(SUMPRODUCT((('CASE MASTER'!$T$2:$T$495=15)*('CASE MASTER'!$U$2:$U$495&lt;=6)*('CASE MASTER'!$W$2:$W$495&gt;=6)*('CASE MASTER'!$V$2:$V$495&lt;=9)*('CASE MASTER'!$X$2:$X$495&gt;=9))*ROW('CASE MASTER'!$T$2:$T$495))-(ROW('CASE MASTER'!#REF!)-1)))-INDEX('CASE MASTER'!$V$2:$V$495,(SUMPRODUCT((('CASE MASTER'!$T$2:$T$495=15)*('CASE MASTER'!$U$2:$U$495&lt;=6)*('CASE MASTER'!$W$2:$W$495&gt;=6)*('CASE MASTER'!$V$2:$V$495&lt;=9)*('CASE MASTER'!$X$2:$X$495&gt;=9))*ROW('CASE MASTER'!$T$2:$T$495))-(ROW('CASE MASTER'!#REF!)-1)))+1)+(9-INDEX('CASE MASTER'!$V$2:$V$495,(SUMPRODUCT((('CASE MASTER'!$T$2:$T$495=15)*('CASE MASTER'!$U$2:$U$495&lt;=6)*('CASE MASTER'!$W$2:$W$495&gt;=6)*('CASE MASTER'!$V$2:$V$495&lt;=9)*('CASE MASTER'!$X$2:$X$495&gt;=9))*ROW('CASE MASTER'!$T$2:$T$495))-(ROW('CASE MASTER'!#REF!)-1))))+1))-1)*50+1,50))&amp;"_"&amp;INDEX('CASE MASTER'!$Q$2:$Q$495,(SUMPRODUCT((('CASE MASTER'!$T$2:$T$495=15)*('CASE MASTER'!$U$2:$U$495&lt;=6)*('CASE MASTER'!$W$2:$W$495&gt;=6)*('CASE MASTER'!$V$2:$V$495&lt;=9)*('CASE MASTER'!$X$2:$X$495&gt;=9))*ROW('CASE MASTER'!$T$2:$T$495))-(ROW('CASE MASTER'!#REF!)-1))),IF(SUMPRODUCT((('CASE MASTER'!$T$2:$T$495=15)*('CASE MASTER'!$AA$2:$AA$495&lt;=6)*('CASE MASTER'!$AC$2:$AC$495&gt;=6)*('CASE MASTER'!$AB$2:$AB$495&lt;=9)*('CASE MASTER'!$AD$2:$AD$495&gt;=9))*ROW('CASE MASTER'!$T$2:$T$495))&gt;0,INDEX('CASE MASTER'!$Y$2:$Y$495,(SUMPRODUCT((('CASE MASTER'!$T$2:$T$495=15)*('CASE MASTER'!$AA$2:$AA$495&lt;=6)*('CASE MASTER'!$AC$2:$AC$495&gt;=6)*('CASE MASTER'!$AB$2:$AB$495&lt;=9)*('CASE MASTER'!$AD$2:$AD$495&gt;=9))*ROW('CASE MASTER'!$T$2:$T$495))-(ROW('CASE MASTER'!#REF!)-1)))&amp;TRIM(MID(SUBSTITUTE(SUBSTITUTE(INDEX('CASE MASTER'!$N$2:$N$495,(SUMPRODUCT((('CASE MASTER'!$T$2:$T$495=15)*('CASE MASTER'!$AA$2:$AA$495&lt;=6)*('CASE MASTER'!$AC$2:$AC$495&gt;=6)*('CASE MASTER'!$AB$2:$AB$495&lt;=9)*('CASE MASTER'!$AD$2:$AD$495&gt;=9))*ROW('CASE MASTER'!$T$2:$T$495))-(ROW('CASE MASTER'!#REF!)-1))),":",","),",",REPT(" ",50)),(((INDEX('CASE MASTER'!$Z$2:$Z$495,(SUMPRODUCT((('CASE MASTER'!$T$2:$T$495=15)*('CASE MASTER'!$AA$2:$AA$495&lt;=6)*('CASE MASTER'!$AC$2:$AC$495&gt;=6)*('CASE MASTER'!$AB$2:$AB$495&lt;=9)*('CASE MASTER'!$AD$2:$AD$495&gt;=9))*ROW('CASE MASTER'!$T$2:$T$495))-(ROW('CASE MASTER'!#REF!)-1)))+((6-INDEX('CASE MASTER'!$AA$2:$AA$495,(SUMPRODUCT((('CASE MASTER'!$T$2:$T$495=15)*('CASE MASTER'!$AA$2:$AA$495&lt;=6)*('CASE MASTER'!$AC$2:$AC$495&gt;=6)*('CASE MASTER'!$AB$2:$AB$495&lt;=9)*('CASE MASTER'!$AD$2:$AD$495&gt;=9))*ROW('CASE MASTER'!$T$2:$T$495))-(ROW('CASE MASTER'!#REF!)-1))))*(INDEX('CASE MASTER'!$AD$2:$AD$495,(SUMPRODUCT((('CASE MASTER'!$T$2:$T$495=15)*('CASE MASTER'!$AA$2:$AA$495&lt;=6)*('CASE MASTER'!$AC$2:$AC$495&gt;=6)*('CASE MASTER'!$AB$2:$AB$495&lt;=9)*('CASE MASTER'!$AD$2:$AD$495&gt;=9))*ROW('CASE MASTER'!$T$2:$T$495))-(ROW('CASE MASTER'!#REF!)-1)))-INDEX('CASE MASTER'!$AB$2:$AB$495,(SUMPRODUCT((('CASE MASTER'!$T$2:$T$495=15)*('CASE MASTER'!$AA$2:$AA$495&lt;=6)*('CASE MASTER'!$AC$2:$AC$495&gt;=6)*('CASE MASTER'!$AB$2:$AB$495&lt;=9)*('CASE MASTER'!$AD$2:$AD$495&gt;=9))*ROW('CASE MASTER'!$T$2:$T$495))-(ROW('CASE MASTER'!#REF!)-1)))+1)+(9-INDEX('CASE MASTER'!$AB$2:$AB$495,(SUMPRODUCT((('CASE MASTER'!$T$2:$T$495=15)*('CASE MASTER'!$AA$2:$AA$495&lt;=6)*('CASE MASTER'!$AC$2:$AC$495&gt;=6)*('CASE MASTER'!$AB$2:$AB$495&lt;=9)*('CASE MASTER'!$AD$2:$AD$495&gt;=9))*ROW('CASE MASTER'!$T$2:$T$495))-(ROW('CASE MASTER'!#REF!)-1))))+1)))-1)*50+1,50))&amp;"_"&amp;INDEX('CASE MASTER'!$Q$2:$Q$495,(SUMPRODUCT((('CASE MASTER'!$T$2:$T$495=15)*('CASE MASTER'!$AA$2:$AA$495&lt;=6)*('CASE MASTER'!$AC$2:$AC$495&gt;=6)*('CASE MASTER'!$AB$2:$AB$495&lt;=9)*('CASE MASTER'!$AD$2:$AD$495&gt;=9))*ROW('CASE MASTER'!$T$2:$T$495))-(ROW('CASE MASTER'!#REF!)-1))),"")),"")</f>
        <v/>
      </c>
      <c r="K204" s="10" t="str">
        <f>IFERROR(IF(SUMPRODUCT((('CASE MASTER'!$T$2:$T$495=15)*('CASE MASTER'!$U$2:$U$495&lt;=6)*('CASE MASTER'!$W$2:$W$495&gt;=6)*('CASE MASTER'!$V$2:$V$495&lt;=10)*('CASE MASTER'!$X$2:$X$495&gt;=10))*ROW('CASE MASTER'!$T$2:$T$495))&gt;0,INDEX('CASE MASTER'!$Y$2:$Y$495,(SUMPRODUCT((('CASE MASTER'!$T$2:$T$495=15)*('CASE MASTER'!$U$2:$U$495&lt;=6)*('CASE MASTER'!$W$2:$W$495&gt;=6)*('CASE MASTER'!$V$2:$V$495&lt;=10)*('CASE MASTER'!$X$2:$X$495&gt;=10))*ROW('CASE MASTER'!$T$2:$T$495))-(ROW('CASE MASTER'!#REF!)-1)))&amp;TRIM(MID(SUBSTITUTE(SUBSTITUTE(INDEX('CASE MASTER'!$N$2:$N$495,(SUMPRODUCT((('CASE MASTER'!$T$2:$T$495=15)*('CASE MASTER'!$U$2:$U$495&lt;=6)*('CASE MASTER'!$W$2:$W$495&gt;=6)*('CASE MASTER'!$V$2:$V$495&lt;=10)*('CASE MASTER'!$X$2:$X$495&gt;=10))*ROW('CASE MASTER'!$T$2:$T$495))-(ROW('CASE MASTER'!#REF!)-1))),":",","),",",REPT(" ",50)),((((6-INDEX('CASE MASTER'!$U$2:$U$495,(SUMPRODUCT((('CASE MASTER'!$T$2:$T$495=15)*('CASE MASTER'!$U$2:$U$495&lt;=6)*('CASE MASTER'!$W$2:$W$495&gt;=6)*('CASE MASTER'!$V$2:$V$495&lt;=10)*('CASE MASTER'!$X$2:$X$495&gt;=10))*ROW('CASE MASTER'!$T$2:$T$495))-(ROW('CASE MASTER'!#REF!)-1))))*(INDEX('CASE MASTER'!$X$2:$X$495,(SUMPRODUCT((('CASE MASTER'!$T$2:$T$495=15)*('CASE MASTER'!$U$2:$U$495&lt;=6)*('CASE MASTER'!$W$2:$W$495&gt;=6)*('CASE MASTER'!$V$2:$V$495&lt;=10)*('CASE MASTER'!$X$2:$X$495&gt;=10))*ROW('CASE MASTER'!$T$2:$T$495))-(ROW('CASE MASTER'!#REF!)-1)))-INDEX('CASE MASTER'!$V$2:$V$495,(SUMPRODUCT((('CASE MASTER'!$T$2:$T$495=15)*('CASE MASTER'!$U$2:$U$495&lt;=6)*('CASE MASTER'!$W$2:$W$495&gt;=6)*('CASE MASTER'!$V$2:$V$495&lt;=10)*('CASE MASTER'!$X$2:$X$495&gt;=10))*ROW('CASE MASTER'!$T$2:$T$495))-(ROW('CASE MASTER'!#REF!)-1)))+1)+(10-INDEX('CASE MASTER'!$V$2:$V$495,(SUMPRODUCT((('CASE MASTER'!$T$2:$T$495=15)*('CASE MASTER'!$U$2:$U$495&lt;=6)*('CASE MASTER'!$W$2:$W$495&gt;=6)*('CASE MASTER'!$V$2:$V$495&lt;=10)*('CASE MASTER'!$X$2:$X$495&gt;=10))*ROW('CASE MASTER'!$T$2:$T$495))-(ROW('CASE MASTER'!#REF!)-1))))+1))-1)*50+1,50))&amp;"_"&amp;INDEX('CASE MASTER'!$Q$2:$Q$495,(SUMPRODUCT((('CASE MASTER'!$T$2:$T$495=15)*('CASE MASTER'!$U$2:$U$495&lt;=6)*('CASE MASTER'!$W$2:$W$495&gt;=6)*('CASE MASTER'!$V$2:$V$495&lt;=10)*('CASE MASTER'!$X$2:$X$495&gt;=10))*ROW('CASE MASTER'!$T$2:$T$495))-(ROW('CASE MASTER'!#REF!)-1))),IF(SUMPRODUCT((('CASE MASTER'!$T$2:$T$495=15)*('CASE MASTER'!$AA$2:$AA$495&lt;=6)*('CASE MASTER'!$AC$2:$AC$495&gt;=6)*('CASE MASTER'!$AB$2:$AB$495&lt;=10)*('CASE MASTER'!$AD$2:$AD$495&gt;=10))*ROW('CASE MASTER'!$T$2:$T$495))&gt;0,INDEX('CASE MASTER'!$Y$2:$Y$495,(SUMPRODUCT((('CASE MASTER'!$T$2:$T$495=15)*('CASE MASTER'!$AA$2:$AA$495&lt;=6)*('CASE MASTER'!$AC$2:$AC$495&gt;=6)*('CASE MASTER'!$AB$2:$AB$495&lt;=10)*('CASE MASTER'!$AD$2:$AD$495&gt;=10))*ROW('CASE MASTER'!$T$2:$T$495))-(ROW('CASE MASTER'!#REF!)-1)))&amp;TRIM(MID(SUBSTITUTE(SUBSTITUTE(INDEX('CASE MASTER'!$N$2:$N$495,(SUMPRODUCT((('CASE MASTER'!$T$2:$T$495=15)*('CASE MASTER'!$AA$2:$AA$495&lt;=6)*('CASE MASTER'!$AC$2:$AC$495&gt;=6)*('CASE MASTER'!$AB$2:$AB$495&lt;=10)*('CASE MASTER'!$AD$2:$AD$495&gt;=10))*ROW('CASE MASTER'!$T$2:$T$495))-(ROW('CASE MASTER'!#REF!)-1))),":",","),",",REPT(" ",50)),(((INDEX('CASE MASTER'!$Z$2:$Z$495,(SUMPRODUCT((('CASE MASTER'!$T$2:$T$495=15)*('CASE MASTER'!$AA$2:$AA$495&lt;=6)*('CASE MASTER'!$AC$2:$AC$495&gt;=6)*('CASE MASTER'!$AB$2:$AB$495&lt;=10)*('CASE MASTER'!$AD$2:$AD$495&gt;=10))*ROW('CASE MASTER'!$T$2:$T$495))-(ROW('CASE MASTER'!#REF!)-1)))+((6-INDEX('CASE MASTER'!$AA$2:$AA$495,(SUMPRODUCT((('CASE MASTER'!$T$2:$T$495=15)*('CASE MASTER'!$AA$2:$AA$495&lt;=6)*('CASE MASTER'!$AC$2:$AC$495&gt;=6)*('CASE MASTER'!$AB$2:$AB$495&lt;=10)*('CASE MASTER'!$AD$2:$AD$495&gt;=10))*ROW('CASE MASTER'!$T$2:$T$495))-(ROW('CASE MASTER'!#REF!)-1))))*(INDEX('CASE MASTER'!$AD$2:$AD$495,(SUMPRODUCT((('CASE MASTER'!$T$2:$T$495=15)*('CASE MASTER'!$AA$2:$AA$495&lt;=6)*('CASE MASTER'!$AC$2:$AC$495&gt;=6)*('CASE MASTER'!$AB$2:$AB$495&lt;=10)*('CASE MASTER'!$AD$2:$AD$495&gt;=10))*ROW('CASE MASTER'!$T$2:$T$495))-(ROW('CASE MASTER'!#REF!)-1)))-INDEX('CASE MASTER'!$AB$2:$AB$495,(SUMPRODUCT((('CASE MASTER'!$T$2:$T$495=15)*('CASE MASTER'!$AA$2:$AA$495&lt;=6)*('CASE MASTER'!$AC$2:$AC$495&gt;=6)*('CASE MASTER'!$AB$2:$AB$495&lt;=10)*('CASE MASTER'!$AD$2:$AD$495&gt;=10))*ROW('CASE MASTER'!$T$2:$T$495))-(ROW('CASE MASTER'!#REF!)-1)))+1)+(10-INDEX('CASE MASTER'!$AB$2:$AB$495,(SUMPRODUCT((('CASE MASTER'!$T$2:$T$495=15)*('CASE MASTER'!$AA$2:$AA$495&lt;=6)*('CASE MASTER'!$AC$2:$AC$495&gt;=6)*('CASE MASTER'!$AB$2:$AB$495&lt;=10)*('CASE MASTER'!$AD$2:$AD$495&gt;=10))*ROW('CASE MASTER'!$T$2:$T$495))-(ROW('CASE MASTER'!#REF!)-1))))+1)))-1)*50+1,50))&amp;"_"&amp;INDEX('CASE MASTER'!$Q$2:$Q$495,(SUMPRODUCT((('CASE MASTER'!$T$2:$T$495=15)*('CASE MASTER'!$AA$2:$AA$495&lt;=6)*('CASE MASTER'!$AC$2:$AC$495&gt;=6)*('CASE MASTER'!$AB$2:$AB$495&lt;=10)*('CASE MASTER'!$AD$2:$AD$495&gt;=10))*ROW('CASE MASTER'!$T$2:$T$495))-(ROW('CASE MASTER'!#REF!)-1))),"")),"")</f>
        <v/>
      </c>
    </row>
    <row r="205" spans="1:11" ht="15" customHeight="1" x14ac:dyDescent="0.35">
      <c r="A205" s="8" t="s">
        <v>34</v>
      </c>
      <c r="B205" s="10" t="str">
        <f>IFERROR(IF(SUMPRODUCT((('CASE MASTER'!$T$2:$T$495=15)*('CASE MASTER'!$U$2:$U$495&lt;=7)*('CASE MASTER'!$W$2:$W$495&gt;=7)*('CASE MASTER'!$V$2:$V$495&lt;=1)*('CASE MASTER'!$X$2:$X$495&gt;=1))*ROW('CASE MASTER'!$T$2:$T$495))&gt;0,INDEX('CASE MASTER'!$Y$2:$Y$495,(SUMPRODUCT((('CASE MASTER'!$T$2:$T$495=15)*('CASE MASTER'!$U$2:$U$495&lt;=7)*('CASE MASTER'!$W$2:$W$495&gt;=7)*('CASE MASTER'!$V$2:$V$495&lt;=1)*('CASE MASTER'!$X$2:$X$495&gt;=1))*ROW('CASE MASTER'!$T$2:$T$495))-(ROW('CASE MASTER'!#REF!)-1)))&amp;TRIM(MID(SUBSTITUTE(SUBSTITUTE(INDEX('CASE MASTER'!$N$2:$N$495,(SUMPRODUCT((('CASE MASTER'!$T$2:$T$495=15)*('CASE MASTER'!$U$2:$U$495&lt;=7)*('CASE MASTER'!$W$2:$W$495&gt;=7)*('CASE MASTER'!$V$2:$V$495&lt;=1)*('CASE MASTER'!$X$2:$X$495&gt;=1))*ROW('CASE MASTER'!$T$2:$T$495))-(ROW('CASE MASTER'!#REF!)-1))),":",","),",",REPT(" ",50)),((((7-INDEX('CASE MASTER'!$U$2:$U$495,(SUMPRODUCT((('CASE MASTER'!$T$2:$T$495=15)*('CASE MASTER'!$U$2:$U$495&lt;=7)*('CASE MASTER'!$W$2:$W$495&gt;=7)*('CASE MASTER'!$V$2:$V$495&lt;=1)*('CASE MASTER'!$X$2:$X$495&gt;=1))*ROW('CASE MASTER'!$T$2:$T$495))-(ROW('CASE MASTER'!#REF!)-1))))*(INDEX('CASE MASTER'!$X$2:$X$495,(SUMPRODUCT((('CASE MASTER'!$T$2:$T$495=15)*('CASE MASTER'!$U$2:$U$495&lt;=7)*('CASE MASTER'!$W$2:$W$495&gt;=7)*('CASE MASTER'!$V$2:$V$495&lt;=1)*('CASE MASTER'!$X$2:$X$495&gt;=1))*ROW('CASE MASTER'!$T$2:$T$495))-(ROW('CASE MASTER'!#REF!)-1)))-INDEX('CASE MASTER'!$V$2:$V$495,(SUMPRODUCT((('CASE MASTER'!$T$2:$T$495=15)*('CASE MASTER'!$U$2:$U$495&lt;=7)*('CASE MASTER'!$W$2:$W$495&gt;=7)*('CASE MASTER'!$V$2:$V$495&lt;=1)*('CASE MASTER'!$X$2:$X$495&gt;=1))*ROW('CASE MASTER'!$T$2:$T$495))-(ROW('CASE MASTER'!#REF!)-1)))+1)+(1-INDEX('CASE MASTER'!$V$2:$V$495,(SUMPRODUCT((('CASE MASTER'!$T$2:$T$495=15)*('CASE MASTER'!$U$2:$U$495&lt;=7)*('CASE MASTER'!$W$2:$W$495&gt;=7)*('CASE MASTER'!$V$2:$V$495&lt;=1)*('CASE MASTER'!$X$2:$X$495&gt;=1))*ROW('CASE MASTER'!$T$2:$T$495))-(ROW('CASE MASTER'!#REF!)-1))))+1))-1)*50+1,50))&amp;"_"&amp;INDEX('CASE MASTER'!$Q$2:$Q$495,(SUMPRODUCT((('CASE MASTER'!$T$2:$T$495=15)*('CASE MASTER'!$U$2:$U$495&lt;=7)*('CASE MASTER'!$W$2:$W$495&gt;=7)*('CASE MASTER'!$V$2:$V$495&lt;=1)*('CASE MASTER'!$X$2:$X$495&gt;=1))*ROW('CASE MASTER'!$T$2:$T$495))-(ROW('CASE MASTER'!#REF!)-1))),IF(SUMPRODUCT((('CASE MASTER'!$T$2:$T$495=15)*('CASE MASTER'!$AA$2:$AA$495&lt;=7)*('CASE MASTER'!$AC$2:$AC$495&gt;=7)*('CASE MASTER'!$AB$2:$AB$495&lt;=1)*('CASE MASTER'!$AD$2:$AD$495&gt;=1))*ROW('CASE MASTER'!$T$2:$T$495))&gt;0,INDEX('CASE MASTER'!$Y$2:$Y$495,(SUMPRODUCT((('CASE MASTER'!$T$2:$T$495=15)*('CASE MASTER'!$AA$2:$AA$495&lt;=7)*('CASE MASTER'!$AC$2:$AC$495&gt;=7)*('CASE MASTER'!$AB$2:$AB$495&lt;=1)*('CASE MASTER'!$AD$2:$AD$495&gt;=1))*ROW('CASE MASTER'!$T$2:$T$495))-(ROW('CASE MASTER'!#REF!)-1)))&amp;TRIM(MID(SUBSTITUTE(SUBSTITUTE(INDEX('CASE MASTER'!$N$2:$N$495,(SUMPRODUCT((('CASE MASTER'!$T$2:$T$495=15)*('CASE MASTER'!$AA$2:$AA$495&lt;=7)*('CASE MASTER'!$AC$2:$AC$495&gt;=7)*('CASE MASTER'!$AB$2:$AB$495&lt;=1)*('CASE MASTER'!$AD$2:$AD$495&gt;=1))*ROW('CASE MASTER'!$T$2:$T$495))-(ROW('CASE MASTER'!#REF!)-1))),":",","),",",REPT(" ",50)),(((INDEX('CASE MASTER'!$Z$2:$Z$495,(SUMPRODUCT((('CASE MASTER'!$T$2:$T$495=15)*('CASE MASTER'!$AA$2:$AA$495&lt;=7)*('CASE MASTER'!$AC$2:$AC$495&gt;=7)*('CASE MASTER'!$AB$2:$AB$495&lt;=1)*('CASE MASTER'!$AD$2:$AD$495&gt;=1))*ROW('CASE MASTER'!$T$2:$T$495))-(ROW('CASE MASTER'!#REF!)-1)))+((7-INDEX('CASE MASTER'!$AA$2:$AA$495,(SUMPRODUCT((('CASE MASTER'!$T$2:$T$495=15)*('CASE MASTER'!$AA$2:$AA$495&lt;=7)*('CASE MASTER'!$AC$2:$AC$495&gt;=7)*('CASE MASTER'!$AB$2:$AB$495&lt;=1)*('CASE MASTER'!$AD$2:$AD$495&gt;=1))*ROW('CASE MASTER'!$T$2:$T$495))-(ROW('CASE MASTER'!#REF!)-1))))*(INDEX('CASE MASTER'!$AD$2:$AD$495,(SUMPRODUCT((('CASE MASTER'!$T$2:$T$495=15)*('CASE MASTER'!$AA$2:$AA$495&lt;=7)*('CASE MASTER'!$AC$2:$AC$495&gt;=7)*('CASE MASTER'!$AB$2:$AB$495&lt;=1)*('CASE MASTER'!$AD$2:$AD$495&gt;=1))*ROW('CASE MASTER'!$T$2:$T$495))-(ROW('CASE MASTER'!#REF!)-1)))-INDEX('CASE MASTER'!$AB$2:$AB$495,(SUMPRODUCT((('CASE MASTER'!$T$2:$T$495=15)*('CASE MASTER'!$AA$2:$AA$495&lt;=7)*('CASE MASTER'!$AC$2:$AC$495&gt;=7)*('CASE MASTER'!$AB$2:$AB$495&lt;=1)*('CASE MASTER'!$AD$2:$AD$495&gt;=1))*ROW('CASE MASTER'!$T$2:$T$495))-(ROW('CASE MASTER'!#REF!)-1)))+1)+(1-INDEX('CASE MASTER'!$AB$2:$AB$495,(SUMPRODUCT((('CASE MASTER'!$T$2:$T$495=15)*('CASE MASTER'!$AA$2:$AA$495&lt;=7)*('CASE MASTER'!$AC$2:$AC$495&gt;=7)*('CASE MASTER'!$AB$2:$AB$495&lt;=1)*('CASE MASTER'!$AD$2:$AD$495&gt;=1))*ROW('CASE MASTER'!$T$2:$T$495))-(ROW('CASE MASTER'!#REF!)-1))))+1)))-1)*50+1,50))&amp;"_"&amp;INDEX('CASE MASTER'!$Q$2:$Q$495,(SUMPRODUCT((('CASE MASTER'!$T$2:$T$495=15)*('CASE MASTER'!$AA$2:$AA$495&lt;=7)*('CASE MASTER'!$AC$2:$AC$495&gt;=7)*('CASE MASTER'!$AB$2:$AB$495&lt;=1)*('CASE MASTER'!$AD$2:$AD$495&gt;=1))*ROW('CASE MASTER'!$T$2:$T$495))-(ROW('CASE MASTER'!#REF!)-1))),"")),"")</f>
        <v/>
      </c>
      <c r="C205" s="10" t="str">
        <f>IFERROR(IF(SUMPRODUCT((('CASE MASTER'!$T$2:$T$495=15)*('CASE MASTER'!$U$2:$U$495&lt;=7)*('CASE MASTER'!$W$2:$W$495&gt;=7)*('CASE MASTER'!$V$2:$V$495&lt;=2)*('CASE MASTER'!$X$2:$X$495&gt;=2))*ROW('CASE MASTER'!$T$2:$T$495))&gt;0,INDEX('CASE MASTER'!$Y$2:$Y$495,(SUMPRODUCT((('CASE MASTER'!$T$2:$T$495=15)*('CASE MASTER'!$U$2:$U$495&lt;=7)*('CASE MASTER'!$W$2:$W$495&gt;=7)*('CASE MASTER'!$V$2:$V$495&lt;=2)*('CASE MASTER'!$X$2:$X$495&gt;=2))*ROW('CASE MASTER'!$T$2:$T$495))-(ROW('CASE MASTER'!#REF!)-1)))&amp;TRIM(MID(SUBSTITUTE(SUBSTITUTE(INDEX('CASE MASTER'!$N$2:$N$495,(SUMPRODUCT((('CASE MASTER'!$T$2:$T$495=15)*('CASE MASTER'!$U$2:$U$495&lt;=7)*('CASE MASTER'!$W$2:$W$495&gt;=7)*('CASE MASTER'!$V$2:$V$495&lt;=2)*('CASE MASTER'!$X$2:$X$495&gt;=2))*ROW('CASE MASTER'!$T$2:$T$495))-(ROW('CASE MASTER'!#REF!)-1))),":",","),",",REPT(" ",50)),((((7-INDEX('CASE MASTER'!$U$2:$U$495,(SUMPRODUCT((('CASE MASTER'!$T$2:$T$495=15)*('CASE MASTER'!$U$2:$U$495&lt;=7)*('CASE MASTER'!$W$2:$W$495&gt;=7)*('CASE MASTER'!$V$2:$V$495&lt;=2)*('CASE MASTER'!$X$2:$X$495&gt;=2))*ROW('CASE MASTER'!$T$2:$T$495))-(ROW('CASE MASTER'!#REF!)-1))))*(INDEX('CASE MASTER'!$X$2:$X$495,(SUMPRODUCT((('CASE MASTER'!$T$2:$T$495=15)*('CASE MASTER'!$U$2:$U$495&lt;=7)*('CASE MASTER'!$W$2:$W$495&gt;=7)*('CASE MASTER'!$V$2:$V$495&lt;=2)*('CASE MASTER'!$X$2:$X$495&gt;=2))*ROW('CASE MASTER'!$T$2:$T$495))-(ROW('CASE MASTER'!#REF!)-1)))-INDEX('CASE MASTER'!$V$2:$V$495,(SUMPRODUCT((('CASE MASTER'!$T$2:$T$495=15)*('CASE MASTER'!$U$2:$U$495&lt;=7)*('CASE MASTER'!$W$2:$W$495&gt;=7)*('CASE MASTER'!$V$2:$V$495&lt;=2)*('CASE MASTER'!$X$2:$X$495&gt;=2))*ROW('CASE MASTER'!$T$2:$T$495))-(ROW('CASE MASTER'!#REF!)-1)))+1)+(2-INDEX('CASE MASTER'!$V$2:$V$495,(SUMPRODUCT((('CASE MASTER'!$T$2:$T$495=15)*('CASE MASTER'!$U$2:$U$495&lt;=7)*('CASE MASTER'!$W$2:$W$495&gt;=7)*('CASE MASTER'!$V$2:$V$495&lt;=2)*('CASE MASTER'!$X$2:$X$495&gt;=2))*ROW('CASE MASTER'!$T$2:$T$495))-(ROW('CASE MASTER'!#REF!)-1))))+1))-1)*50+1,50))&amp;"_"&amp;INDEX('CASE MASTER'!$Q$2:$Q$495,(SUMPRODUCT((('CASE MASTER'!$T$2:$T$495=15)*('CASE MASTER'!$U$2:$U$495&lt;=7)*('CASE MASTER'!$W$2:$W$495&gt;=7)*('CASE MASTER'!$V$2:$V$495&lt;=2)*('CASE MASTER'!$X$2:$X$495&gt;=2))*ROW('CASE MASTER'!$T$2:$T$495))-(ROW('CASE MASTER'!#REF!)-1))),IF(SUMPRODUCT((('CASE MASTER'!$T$2:$T$495=15)*('CASE MASTER'!$AA$2:$AA$495&lt;=7)*('CASE MASTER'!$AC$2:$AC$495&gt;=7)*('CASE MASTER'!$AB$2:$AB$495&lt;=2)*('CASE MASTER'!$AD$2:$AD$495&gt;=2))*ROW('CASE MASTER'!$T$2:$T$495))&gt;0,INDEX('CASE MASTER'!$Y$2:$Y$495,(SUMPRODUCT((('CASE MASTER'!$T$2:$T$495=15)*('CASE MASTER'!$AA$2:$AA$495&lt;=7)*('CASE MASTER'!$AC$2:$AC$495&gt;=7)*('CASE MASTER'!$AB$2:$AB$495&lt;=2)*('CASE MASTER'!$AD$2:$AD$495&gt;=2))*ROW('CASE MASTER'!$T$2:$T$495))-(ROW('CASE MASTER'!#REF!)-1)))&amp;TRIM(MID(SUBSTITUTE(SUBSTITUTE(INDEX('CASE MASTER'!$N$2:$N$495,(SUMPRODUCT((('CASE MASTER'!$T$2:$T$495=15)*('CASE MASTER'!$AA$2:$AA$495&lt;=7)*('CASE MASTER'!$AC$2:$AC$495&gt;=7)*('CASE MASTER'!$AB$2:$AB$495&lt;=2)*('CASE MASTER'!$AD$2:$AD$495&gt;=2))*ROW('CASE MASTER'!$T$2:$T$495))-(ROW('CASE MASTER'!#REF!)-1))),":",","),",",REPT(" ",50)),(((INDEX('CASE MASTER'!$Z$2:$Z$495,(SUMPRODUCT((('CASE MASTER'!$T$2:$T$495=15)*('CASE MASTER'!$AA$2:$AA$495&lt;=7)*('CASE MASTER'!$AC$2:$AC$495&gt;=7)*('CASE MASTER'!$AB$2:$AB$495&lt;=2)*('CASE MASTER'!$AD$2:$AD$495&gt;=2))*ROW('CASE MASTER'!$T$2:$T$495))-(ROW('CASE MASTER'!#REF!)-1)))+((7-INDEX('CASE MASTER'!$AA$2:$AA$495,(SUMPRODUCT((('CASE MASTER'!$T$2:$T$495=15)*('CASE MASTER'!$AA$2:$AA$495&lt;=7)*('CASE MASTER'!$AC$2:$AC$495&gt;=7)*('CASE MASTER'!$AB$2:$AB$495&lt;=2)*('CASE MASTER'!$AD$2:$AD$495&gt;=2))*ROW('CASE MASTER'!$T$2:$T$495))-(ROW('CASE MASTER'!#REF!)-1))))*(INDEX('CASE MASTER'!$AD$2:$AD$495,(SUMPRODUCT((('CASE MASTER'!$T$2:$T$495=15)*('CASE MASTER'!$AA$2:$AA$495&lt;=7)*('CASE MASTER'!$AC$2:$AC$495&gt;=7)*('CASE MASTER'!$AB$2:$AB$495&lt;=2)*('CASE MASTER'!$AD$2:$AD$495&gt;=2))*ROW('CASE MASTER'!$T$2:$T$495))-(ROW('CASE MASTER'!#REF!)-1)))-INDEX('CASE MASTER'!$AB$2:$AB$495,(SUMPRODUCT((('CASE MASTER'!$T$2:$T$495=15)*('CASE MASTER'!$AA$2:$AA$495&lt;=7)*('CASE MASTER'!$AC$2:$AC$495&gt;=7)*('CASE MASTER'!$AB$2:$AB$495&lt;=2)*('CASE MASTER'!$AD$2:$AD$495&gt;=2))*ROW('CASE MASTER'!$T$2:$T$495))-(ROW('CASE MASTER'!#REF!)-1)))+1)+(2-INDEX('CASE MASTER'!$AB$2:$AB$495,(SUMPRODUCT((('CASE MASTER'!$T$2:$T$495=15)*('CASE MASTER'!$AA$2:$AA$495&lt;=7)*('CASE MASTER'!$AC$2:$AC$495&gt;=7)*('CASE MASTER'!$AB$2:$AB$495&lt;=2)*('CASE MASTER'!$AD$2:$AD$495&gt;=2))*ROW('CASE MASTER'!$T$2:$T$495))-(ROW('CASE MASTER'!#REF!)-1))))+1)))-1)*50+1,50))&amp;"_"&amp;INDEX('CASE MASTER'!$Q$2:$Q$495,(SUMPRODUCT((('CASE MASTER'!$T$2:$T$495=15)*('CASE MASTER'!$AA$2:$AA$495&lt;=7)*('CASE MASTER'!$AC$2:$AC$495&gt;=7)*('CASE MASTER'!$AB$2:$AB$495&lt;=2)*('CASE MASTER'!$AD$2:$AD$495&gt;=2))*ROW('CASE MASTER'!$T$2:$T$495))-(ROW('CASE MASTER'!#REF!)-1))),"")),"")</f>
        <v/>
      </c>
      <c r="D205" s="10" t="str">
        <f>IFERROR(IF(SUMPRODUCT((('CASE MASTER'!$T$2:$T$495=15)*('CASE MASTER'!$U$2:$U$495&lt;=7)*('CASE MASTER'!$W$2:$W$495&gt;=7)*('CASE MASTER'!$V$2:$V$495&lt;=3)*('CASE MASTER'!$X$2:$X$495&gt;=3))*ROW('CASE MASTER'!$T$2:$T$495))&gt;0,INDEX('CASE MASTER'!$Y$2:$Y$495,(SUMPRODUCT((('CASE MASTER'!$T$2:$T$495=15)*('CASE MASTER'!$U$2:$U$495&lt;=7)*('CASE MASTER'!$W$2:$W$495&gt;=7)*('CASE MASTER'!$V$2:$V$495&lt;=3)*('CASE MASTER'!$X$2:$X$495&gt;=3))*ROW('CASE MASTER'!$T$2:$T$495))-(ROW('CASE MASTER'!#REF!)-1)))&amp;TRIM(MID(SUBSTITUTE(SUBSTITUTE(INDEX('CASE MASTER'!$N$2:$N$495,(SUMPRODUCT((('CASE MASTER'!$T$2:$T$495=15)*('CASE MASTER'!$U$2:$U$495&lt;=7)*('CASE MASTER'!$W$2:$W$495&gt;=7)*('CASE MASTER'!$V$2:$V$495&lt;=3)*('CASE MASTER'!$X$2:$X$495&gt;=3))*ROW('CASE MASTER'!$T$2:$T$495))-(ROW('CASE MASTER'!#REF!)-1))),":",","),",",REPT(" ",50)),((((7-INDEX('CASE MASTER'!$U$2:$U$495,(SUMPRODUCT((('CASE MASTER'!$T$2:$T$495=15)*('CASE MASTER'!$U$2:$U$495&lt;=7)*('CASE MASTER'!$W$2:$W$495&gt;=7)*('CASE MASTER'!$V$2:$V$495&lt;=3)*('CASE MASTER'!$X$2:$X$495&gt;=3))*ROW('CASE MASTER'!$T$2:$T$495))-(ROW('CASE MASTER'!#REF!)-1))))*(INDEX('CASE MASTER'!$X$2:$X$495,(SUMPRODUCT((('CASE MASTER'!$T$2:$T$495=15)*('CASE MASTER'!$U$2:$U$495&lt;=7)*('CASE MASTER'!$W$2:$W$495&gt;=7)*('CASE MASTER'!$V$2:$V$495&lt;=3)*('CASE MASTER'!$X$2:$X$495&gt;=3))*ROW('CASE MASTER'!$T$2:$T$495))-(ROW('CASE MASTER'!#REF!)-1)))-INDEX('CASE MASTER'!$V$2:$V$495,(SUMPRODUCT((('CASE MASTER'!$T$2:$T$495=15)*('CASE MASTER'!$U$2:$U$495&lt;=7)*('CASE MASTER'!$W$2:$W$495&gt;=7)*('CASE MASTER'!$V$2:$V$495&lt;=3)*('CASE MASTER'!$X$2:$X$495&gt;=3))*ROW('CASE MASTER'!$T$2:$T$495))-(ROW('CASE MASTER'!#REF!)-1)))+1)+(3-INDEX('CASE MASTER'!$V$2:$V$495,(SUMPRODUCT((('CASE MASTER'!$T$2:$T$495=15)*('CASE MASTER'!$U$2:$U$495&lt;=7)*('CASE MASTER'!$W$2:$W$495&gt;=7)*('CASE MASTER'!$V$2:$V$495&lt;=3)*('CASE MASTER'!$X$2:$X$495&gt;=3))*ROW('CASE MASTER'!$T$2:$T$495))-(ROW('CASE MASTER'!#REF!)-1))))+1))-1)*50+1,50))&amp;"_"&amp;INDEX('CASE MASTER'!$Q$2:$Q$495,(SUMPRODUCT((('CASE MASTER'!$T$2:$T$495=15)*('CASE MASTER'!$U$2:$U$495&lt;=7)*('CASE MASTER'!$W$2:$W$495&gt;=7)*('CASE MASTER'!$V$2:$V$495&lt;=3)*('CASE MASTER'!$X$2:$X$495&gt;=3))*ROW('CASE MASTER'!$T$2:$T$495))-(ROW('CASE MASTER'!#REF!)-1))),IF(SUMPRODUCT((('CASE MASTER'!$T$2:$T$495=15)*('CASE MASTER'!$AA$2:$AA$495&lt;=7)*('CASE MASTER'!$AC$2:$AC$495&gt;=7)*('CASE MASTER'!$AB$2:$AB$495&lt;=3)*('CASE MASTER'!$AD$2:$AD$495&gt;=3))*ROW('CASE MASTER'!$T$2:$T$495))&gt;0,INDEX('CASE MASTER'!$Y$2:$Y$495,(SUMPRODUCT((('CASE MASTER'!$T$2:$T$495=15)*('CASE MASTER'!$AA$2:$AA$495&lt;=7)*('CASE MASTER'!$AC$2:$AC$495&gt;=7)*('CASE MASTER'!$AB$2:$AB$495&lt;=3)*('CASE MASTER'!$AD$2:$AD$495&gt;=3))*ROW('CASE MASTER'!$T$2:$T$495))-(ROW('CASE MASTER'!#REF!)-1)))&amp;TRIM(MID(SUBSTITUTE(SUBSTITUTE(INDEX('CASE MASTER'!$N$2:$N$495,(SUMPRODUCT((('CASE MASTER'!$T$2:$T$495=15)*('CASE MASTER'!$AA$2:$AA$495&lt;=7)*('CASE MASTER'!$AC$2:$AC$495&gt;=7)*('CASE MASTER'!$AB$2:$AB$495&lt;=3)*('CASE MASTER'!$AD$2:$AD$495&gt;=3))*ROW('CASE MASTER'!$T$2:$T$495))-(ROW('CASE MASTER'!#REF!)-1))),":",","),",",REPT(" ",50)),(((INDEX('CASE MASTER'!$Z$2:$Z$495,(SUMPRODUCT((('CASE MASTER'!$T$2:$T$495=15)*('CASE MASTER'!$AA$2:$AA$495&lt;=7)*('CASE MASTER'!$AC$2:$AC$495&gt;=7)*('CASE MASTER'!$AB$2:$AB$495&lt;=3)*('CASE MASTER'!$AD$2:$AD$495&gt;=3))*ROW('CASE MASTER'!$T$2:$T$495))-(ROW('CASE MASTER'!#REF!)-1)))+((7-INDEX('CASE MASTER'!$AA$2:$AA$495,(SUMPRODUCT((('CASE MASTER'!$T$2:$T$495=15)*('CASE MASTER'!$AA$2:$AA$495&lt;=7)*('CASE MASTER'!$AC$2:$AC$495&gt;=7)*('CASE MASTER'!$AB$2:$AB$495&lt;=3)*('CASE MASTER'!$AD$2:$AD$495&gt;=3))*ROW('CASE MASTER'!$T$2:$T$495))-(ROW('CASE MASTER'!#REF!)-1))))*(INDEX('CASE MASTER'!$AD$2:$AD$495,(SUMPRODUCT((('CASE MASTER'!$T$2:$T$495=15)*('CASE MASTER'!$AA$2:$AA$495&lt;=7)*('CASE MASTER'!$AC$2:$AC$495&gt;=7)*('CASE MASTER'!$AB$2:$AB$495&lt;=3)*('CASE MASTER'!$AD$2:$AD$495&gt;=3))*ROW('CASE MASTER'!$T$2:$T$495))-(ROW('CASE MASTER'!#REF!)-1)))-INDEX('CASE MASTER'!$AB$2:$AB$495,(SUMPRODUCT((('CASE MASTER'!$T$2:$T$495=15)*('CASE MASTER'!$AA$2:$AA$495&lt;=7)*('CASE MASTER'!$AC$2:$AC$495&gt;=7)*('CASE MASTER'!$AB$2:$AB$495&lt;=3)*('CASE MASTER'!$AD$2:$AD$495&gt;=3))*ROW('CASE MASTER'!$T$2:$T$495))-(ROW('CASE MASTER'!#REF!)-1)))+1)+(3-INDEX('CASE MASTER'!$AB$2:$AB$495,(SUMPRODUCT((('CASE MASTER'!$T$2:$T$495=15)*('CASE MASTER'!$AA$2:$AA$495&lt;=7)*('CASE MASTER'!$AC$2:$AC$495&gt;=7)*('CASE MASTER'!$AB$2:$AB$495&lt;=3)*('CASE MASTER'!$AD$2:$AD$495&gt;=3))*ROW('CASE MASTER'!$T$2:$T$495))-(ROW('CASE MASTER'!#REF!)-1))))+1)))-1)*50+1,50))&amp;"_"&amp;INDEX('CASE MASTER'!$Q$2:$Q$495,(SUMPRODUCT((('CASE MASTER'!$T$2:$T$495=15)*('CASE MASTER'!$AA$2:$AA$495&lt;=7)*('CASE MASTER'!$AC$2:$AC$495&gt;=7)*('CASE MASTER'!$AB$2:$AB$495&lt;=3)*('CASE MASTER'!$AD$2:$AD$495&gt;=3))*ROW('CASE MASTER'!$T$2:$T$495))-(ROW('CASE MASTER'!#REF!)-1))),"")),"")</f>
        <v/>
      </c>
      <c r="E205" s="10" t="str">
        <f>IFERROR(IF(SUMPRODUCT((('CASE MASTER'!$T$2:$T$495=15)*('CASE MASTER'!$U$2:$U$495&lt;=7)*('CASE MASTER'!$W$2:$W$495&gt;=7)*('CASE MASTER'!$V$2:$V$495&lt;=4)*('CASE MASTER'!$X$2:$X$495&gt;=4))*ROW('CASE MASTER'!$T$2:$T$495))&gt;0,INDEX('CASE MASTER'!$Y$2:$Y$495,(SUMPRODUCT((('CASE MASTER'!$T$2:$T$495=15)*('CASE MASTER'!$U$2:$U$495&lt;=7)*('CASE MASTER'!$W$2:$W$495&gt;=7)*('CASE MASTER'!$V$2:$V$495&lt;=4)*('CASE MASTER'!$X$2:$X$495&gt;=4))*ROW('CASE MASTER'!$T$2:$T$495))-(ROW('CASE MASTER'!#REF!)-1)))&amp;TRIM(MID(SUBSTITUTE(SUBSTITUTE(INDEX('CASE MASTER'!$N$2:$N$495,(SUMPRODUCT((('CASE MASTER'!$T$2:$T$495=15)*('CASE MASTER'!$U$2:$U$495&lt;=7)*('CASE MASTER'!$W$2:$W$495&gt;=7)*('CASE MASTER'!$V$2:$V$495&lt;=4)*('CASE MASTER'!$X$2:$X$495&gt;=4))*ROW('CASE MASTER'!$T$2:$T$495))-(ROW('CASE MASTER'!#REF!)-1))),":",","),",",REPT(" ",50)),((((7-INDEX('CASE MASTER'!$U$2:$U$495,(SUMPRODUCT((('CASE MASTER'!$T$2:$T$495=15)*('CASE MASTER'!$U$2:$U$495&lt;=7)*('CASE MASTER'!$W$2:$W$495&gt;=7)*('CASE MASTER'!$V$2:$V$495&lt;=4)*('CASE MASTER'!$X$2:$X$495&gt;=4))*ROW('CASE MASTER'!$T$2:$T$495))-(ROW('CASE MASTER'!#REF!)-1))))*(INDEX('CASE MASTER'!$X$2:$X$495,(SUMPRODUCT((('CASE MASTER'!$T$2:$T$495=15)*('CASE MASTER'!$U$2:$U$495&lt;=7)*('CASE MASTER'!$W$2:$W$495&gt;=7)*('CASE MASTER'!$V$2:$V$495&lt;=4)*('CASE MASTER'!$X$2:$X$495&gt;=4))*ROW('CASE MASTER'!$T$2:$T$495))-(ROW('CASE MASTER'!#REF!)-1)))-INDEX('CASE MASTER'!$V$2:$V$495,(SUMPRODUCT((('CASE MASTER'!$T$2:$T$495=15)*('CASE MASTER'!$U$2:$U$495&lt;=7)*('CASE MASTER'!$W$2:$W$495&gt;=7)*('CASE MASTER'!$V$2:$V$495&lt;=4)*('CASE MASTER'!$X$2:$X$495&gt;=4))*ROW('CASE MASTER'!$T$2:$T$495))-(ROW('CASE MASTER'!#REF!)-1)))+1)+(4-INDEX('CASE MASTER'!$V$2:$V$495,(SUMPRODUCT((('CASE MASTER'!$T$2:$T$495=15)*('CASE MASTER'!$U$2:$U$495&lt;=7)*('CASE MASTER'!$W$2:$W$495&gt;=7)*('CASE MASTER'!$V$2:$V$495&lt;=4)*('CASE MASTER'!$X$2:$X$495&gt;=4))*ROW('CASE MASTER'!$T$2:$T$495))-(ROW('CASE MASTER'!#REF!)-1))))+1))-1)*50+1,50))&amp;"_"&amp;INDEX('CASE MASTER'!$Q$2:$Q$495,(SUMPRODUCT((('CASE MASTER'!$T$2:$T$495=15)*('CASE MASTER'!$U$2:$U$495&lt;=7)*('CASE MASTER'!$W$2:$W$495&gt;=7)*('CASE MASTER'!$V$2:$V$495&lt;=4)*('CASE MASTER'!$X$2:$X$495&gt;=4))*ROW('CASE MASTER'!$T$2:$T$495))-(ROW('CASE MASTER'!#REF!)-1))),IF(SUMPRODUCT((('CASE MASTER'!$T$2:$T$495=15)*('CASE MASTER'!$AA$2:$AA$495&lt;=7)*('CASE MASTER'!$AC$2:$AC$495&gt;=7)*('CASE MASTER'!$AB$2:$AB$495&lt;=4)*('CASE MASTER'!$AD$2:$AD$495&gt;=4))*ROW('CASE MASTER'!$T$2:$T$495))&gt;0,INDEX('CASE MASTER'!$Y$2:$Y$495,(SUMPRODUCT((('CASE MASTER'!$T$2:$T$495=15)*('CASE MASTER'!$AA$2:$AA$495&lt;=7)*('CASE MASTER'!$AC$2:$AC$495&gt;=7)*('CASE MASTER'!$AB$2:$AB$495&lt;=4)*('CASE MASTER'!$AD$2:$AD$495&gt;=4))*ROW('CASE MASTER'!$T$2:$T$495))-(ROW('CASE MASTER'!#REF!)-1)))&amp;TRIM(MID(SUBSTITUTE(SUBSTITUTE(INDEX('CASE MASTER'!$N$2:$N$495,(SUMPRODUCT((('CASE MASTER'!$T$2:$T$495=15)*('CASE MASTER'!$AA$2:$AA$495&lt;=7)*('CASE MASTER'!$AC$2:$AC$495&gt;=7)*('CASE MASTER'!$AB$2:$AB$495&lt;=4)*('CASE MASTER'!$AD$2:$AD$495&gt;=4))*ROW('CASE MASTER'!$T$2:$T$495))-(ROW('CASE MASTER'!#REF!)-1))),":",","),",",REPT(" ",50)),(((INDEX('CASE MASTER'!$Z$2:$Z$495,(SUMPRODUCT((('CASE MASTER'!$T$2:$T$495=15)*('CASE MASTER'!$AA$2:$AA$495&lt;=7)*('CASE MASTER'!$AC$2:$AC$495&gt;=7)*('CASE MASTER'!$AB$2:$AB$495&lt;=4)*('CASE MASTER'!$AD$2:$AD$495&gt;=4))*ROW('CASE MASTER'!$T$2:$T$495))-(ROW('CASE MASTER'!#REF!)-1)))+((7-INDEX('CASE MASTER'!$AA$2:$AA$495,(SUMPRODUCT((('CASE MASTER'!$T$2:$T$495=15)*('CASE MASTER'!$AA$2:$AA$495&lt;=7)*('CASE MASTER'!$AC$2:$AC$495&gt;=7)*('CASE MASTER'!$AB$2:$AB$495&lt;=4)*('CASE MASTER'!$AD$2:$AD$495&gt;=4))*ROW('CASE MASTER'!$T$2:$T$495))-(ROW('CASE MASTER'!#REF!)-1))))*(INDEX('CASE MASTER'!$AD$2:$AD$495,(SUMPRODUCT((('CASE MASTER'!$T$2:$T$495=15)*('CASE MASTER'!$AA$2:$AA$495&lt;=7)*('CASE MASTER'!$AC$2:$AC$495&gt;=7)*('CASE MASTER'!$AB$2:$AB$495&lt;=4)*('CASE MASTER'!$AD$2:$AD$495&gt;=4))*ROW('CASE MASTER'!$T$2:$T$495))-(ROW('CASE MASTER'!#REF!)-1)))-INDEX('CASE MASTER'!$AB$2:$AB$495,(SUMPRODUCT((('CASE MASTER'!$T$2:$T$495=15)*('CASE MASTER'!$AA$2:$AA$495&lt;=7)*('CASE MASTER'!$AC$2:$AC$495&gt;=7)*('CASE MASTER'!$AB$2:$AB$495&lt;=4)*('CASE MASTER'!$AD$2:$AD$495&gt;=4))*ROW('CASE MASTER'!$T$2:$T$495))-(ROW('CASE MASTER'!#REF!)-1)))+1)+(4-INDEX('CASE MASTER'!$AB$2:$AB$495,(SUMPRODUCT((('CASE MASTER'!$T$2:$T$495=15)*('CASE MASTER'!$AA$2:$AA$495&lt;=7)*('CASE MASTER'!$AC$2:$AC$495&gt;=7)*('CASE MASTER'!$AB$2:$AB$495&lt;=4)*('CASE MASTER'!$AD$2:$AD$495&gt;=4))*ROW('CASE MASTER'!$T$2:$T$495))-(ROW('CASE MASTER'!#REF!)-1))))+1)))-1)*50+1,50))&amp;"_"&amp;INDEX('CASE MASTER'!$Q$2:$Q$495,(SUMPRODUCT((('CASE MASTER'!$T$2:$T$495=15)*('CASE MASTER'!$AA$2:$AA$495&lt;=7)*('CASE MASTER'!$AC$2:$AC$495&gt;=7)*('CASE MASTER'!$AB$2:$AB$495&lt;=4)*('CASE MASTER'!$AD$2:$AD$495&gt;=4))*ROW('CASE MASTER'!$T$2:$T$495))-(ROW('CASE MASTER'!#REF!)-1))),"")),"")</f>
        <v/>
      </c>
      <c r="F205" s="10" t="str">
        <f>IFERROR(IF(SUMPRODUCT((('CASE MASTER'!$T$2:$T$495=15)*('CASE MASTER'!$U$2:$U$495&lt;=7)*('CASE MASTER'!$W$2:$W$495&gt;=7)*('CASE MASTER'!$V$2:$V$495&lt;=5)*('CASE MASTER'!$X$2:$X$495&gt;=5))*ROW('CASE MASTER'!$T$2:$T$495))&gt;0,INDEX('CASE MASTER'!$Y$2:$Y$495,(SUMPRODUCT((('CASE MASTER'!$T$2:$T$495=15)*('CASE MASTER'!$U$2:$U$495&lt;=7)*('CASE MASTER'!$W$2:$W$495&gt;=7)*('CASE MASTER'!$V$2:$V$495&lt;=5)*('CASE MASTER'!$X$2:$X$495&gt;=5))*ROW('CASE MASTER'!$T$2:$T$495))-(ROW('CASE MASTER'!#REF!)-1)))&amp;TRIM(MID(SUBSTITUTE(SUBSTITUTE(INDEX('CASE MASTER'!$N$2:$N$495,(SUMPRODUCT((('CASE MASTER'!$T$2:$T$495=15)*('CASE MASTER'!$U$2:$U$495&lt;=7)*('CASE MASTER'!$W$2:$W$495&gt;=7)*('CASE MASTER'!$V$2:$V$495&lt;=5)*('CASE MASTER'!$X$2:$X$495&gt;=5))*ROW('CASE MASTER'!$T$2:$T$495))-(ROW('CASE MASTER'!#REF!)-1))),":",","),",",REPT(" ",50)),((((7-INDEX('CASE MASTER'!$U$2:$U$495,(SUMPRODUCT((('CASE MASTER'!$T$2:$T$495=15)*('CASE MASTER'!$U$2:$U$495&lt;=7)*('CASE MASTER'!$W$2:$W$495&gt;=7)*('CASE MASTER'!$V$2:$V$495&lt;=5)*('CASE MASTER'!$X$2:$X$495&gt;=5))*ROW('CASE MASTER'!$T$2:$T$495))-(ROW('CASE MASTER'!#REF!)-1))))*(INDEX('CASE MASTER'!$X$2:$X$495,(SUMPRODUCT((('CASE MASTER'!$T$2:$T$495=15)*('CASE MASTER'!$U$2:$U$495&lt;=7)*('CASE MASTER'!$W$2:$W$495&gt;=7)*('CASE MASTER'!$V$2:$V$495&lt;=5)*('CASE MASTER'!$X$2:$X$495&gt;=5))*ROW('CASE MASTER'!$T$2:$T$495))-(ROW('CASE MASTER'!#REF!)-1)))-INDEX('CASE MASTER'!$V$2:$V$495,(SUMPRODUCT((('CASE MASTER'!$T$2:$T$495=15)*('CASE MASTER'!$U$2:$U$495&lt;=7)*('CASE MASTER'!$W$2:$W$495&gt;=7)*('CASE MASTER'!$V$2:$V$495&lt;=5)*('CASE MASTER'!$X$2:$X$495&gt;=5))*ROW('CASE MASTER'!$T$2:$T$495))-(ROW('CASE MASTER'!#REF!)-1)))+1)+(5-INDEX('CASE MASTER'!$V$2:$V$495,(SUMPRODUCT((('CASE MASTER'!$T$2:$T$495=15)*('CASE MASTER'!$U$2:$U$495&lt;=7)*('CASE MASTER'!$W$2:$W$495&gt;=7)*('CASE MASTER'!$V$2:$V$495&lt;=5)*('CASE MASTER'!$X$2:$X$495&gt;=5))*ROW('CASE MASTER'!$T$2:$T$495))-(ROW('CASE MASTER'!#REF!)-1))))+1))-1)*50+1,50))&amp;"_"&amp;INDEX('CASE MASTER'!$Q$2:$Q$495,(SUMPRODUCT((('CASE MASTER'!$T$2:$T$495=15)*('CASE MASTER'!$U$2:$U$495&lt;=7)*('CASE MASTER'!$W$2:$W$495&gt;=7)*('CASE MASTER'!$V$2:$V$495&lt;=5)*('CASE MASTER'!$X$2:$X$495&gt;=5))*ROW('CASE MASTER'!$T$2:$T$495))-(ROW('CASE MASTER'!#REF!)-1))),IF(SUMPRODUCT((('CASE MASTER'!$T$2:$T$495=15)*('CASE MASTER'!$AA$2:$AA$495&lt;=7)*('CASE MASTER'!$AC$2:$AC$495&gt;=7)*('CASE MASTER'!$AB$2:$AB$495&lt;=5)*('CASE MASTER'!$AD$2:$AD$495&gt;=5))*ROW('CASE MASTER'!$T$2:$T$495))&gt;0,INDEX('CASE MASTER'!$Y$2:$Y$495,(SUMPRODUCT((('CASE MASTER'!$T$2:$T$495=15)*('CASE MASTER'!$AA$2:$AA$495&lt;=7)*('CASE MASTER'!$AC$2:$AC$495&gt;=7)*('CASE MASTER'!$AB$2:$AB$495&lt;=5)*('CASE MASTER'!$AD$2:$AD$495&gt;=5))*ROW('CASE MASTER'!$T$2:$T$495))-(ROW('CASE MASTER'!#REF!)-1)))&amp;TRIM(MID(SUBSTITUTE(SUBSTITUTE(INDEX('CASE MASTER'!$N$2:$N$495,(SUMPRODUCT((('CASE MASTER'!$T$2:$T$495=15)*('CASE MASTER'!$AA$2:$AA$495&lt;=7)*('CASE MASTER'!$AC$2:$AC$495&gt;=7)*('CASE MASTER'!$AB$2:$AB$495&lt;=5)*('CASE MASTER'!$AD$2:$AD$495&gt;=5))*ROW('CASE MASTER'!$T$2:$T$495))-(ROW('CASE MASTER'!#REF!)-1))),":",","),",",REPT(" ",50)),(((INDEX('CASE MASTER'!$Z$2:$Z$495,(SUMPRODUCT((('CASE MASTER'!$T$2:$T$495=15)*('CASE MASTER'!$AA$2:$AA$495&lt;=7)*('CASE MASTER'!$AC$2:$AC$495&gt;=7)*('CASE MASTER'!$AB$2:$AB$495&lt;=5)*('CASE MASTER'!$AD$2:$AD$495&gt;=5))*ROW('CASE MASTER'!$T$2:$T$495))-(ROW('CASE MASTER'!#REF!)-1)))+((7-INDEX('CASE MASTER'!$AA$2:$AA$495,(SUMPRODUCT((('CASE MASTER'!$T$2:$T$495=15)*('CASE MASTER'!$AA$2:$AA$495&lt;=7)*('CASE MASTER'!$AC$2:$AC$495&gt;=7)*('CASE MASTER'!$AB$2:$AB$495&lt;=5)*('CASE MASTER'!$AD$2:$AD$495&gt;=5))*ROW('CASE MASTER'!$T$2:$T$495))-(ROW('CASE MASTER'!#REF!)-1))))*(INDEX('CASE MASTER'!$AD$2:$AD$495,(SUMPRODUCT((('CASE MASTER'!$T$2:$T$495=15)*('CASE MASTER'!$AA$2:$AA$495&lt;=7)*('CASE MASTER'!$AC$2:$AC$495&gt;=7)*('CASE MASTER'!$AB$2:$AB$495&lt;=5)*('CASE MASTER'!$AD$2:$AD$495&gt;=5))*ROW('CASE MASTER'!$T$2:$T$495))-(ROW('CASE MASTER'!#REF!)-1)))-INDEX('CASE MASTER'!$AB$2:$AB$495,(SUMPRODUCT((('CASE MASTER'!$T$2:$T$495=15)*('CASE MASTER'!$AA$2:$AA$495&lt;=7)*('CASE MASTER'!$AC$2:$AC$495&gt;=7)*('CASE MASTER'!$AB$2:$AB$495&lt;=5)*('CASE MASTER'!$AD$2:$AD$495&gt;=5))*ROW('CASE MASTER'!$T$2:$T$495))-(ROW('CASE MASTER'!#REF!)-1)))+1)+(5-INDEX('CASE MASTER'!$AB$2:$AB$495,(SUMPRODUCT((('CASE MASTER'!$T$2:$T$495=15)*('CASE MASTER'!$AA$2:$AA$495&lt;=7)*('CASE MASTER'!$AC$2:$AC$495&gt;=7)*('CASE MASTER'!$AB$2:$AB$495&lt;=5)*('CASE MASTER'!$AD$2:$AD$495&gt;=5))*ROW('CASE MASTER'!$T$2:$T$495))-(ROW('CASE MASTER'!#REF!)-1))))+1)))-1)*50+1,50))&amp;"_"&amp;INDEX('CASE MASTER'!$Q$2:$Q$495,(SUMPRODUCT((('CASE MASTER'!$T$2:$T$495=15)*('CASE MASTER'!$AA$2:$AA$495&lt;=7)*('CASE MASTER'!$AC$2:$AC$495&gt;=7)*('CASE MASTER'!$AB$2:$AB$495&lt;=5)*('CASE MASTER'!$AD$2:$AD$495&gt;=5))*ROW('CASE MASTER'!$T$2:$T$495))-(ROW('CASE MASTER'!#REF!)-1))),"")),"")</f>
        <v/>
      </c>
      <c r="G205" s="10" t="str">
        <f>IFERROR(IF(SUMPRODUCT((('CASE MASTER'!$T$2:$T$495=15)*('CASE MASTER'!$U$2:$U$495&lt;=7)*('CASE MASTER'!$W$2:$W$495&gt;=7)*('CASE MASTER'!$V$2:$V$495&lt;=6)*('CASE MASTER'!$X$2:$X$495&gt;=6))*ROW('CASE MASTER'!$T$2:$T$495))&gt;0,INDEX('CASE MASTER'!$Y$2:$Y$495,(SUMPRODUCT((('CASE MASTER'!$T$2:$T$495=15)*('CASE MASTER'!$U$2:$U$495&lt;=7)*('CASE MASTER'!$W$2:$W$495&gt;=7)*('CASE MASTER'!$V$2:$V$495&lt;=6)*('CASE MASTER'!$X$2:$X$495&gt;=6))*ROW('CASE MASTER'!$T$2:$T$495))-(ROW('CASE MASTER'!#REF!)-1)))&amp;TRIM(MID(SUBSTITUTE(SUBSTITUTE(INDEX('CASE MASTER'!$N$2:$N$495,(SUMPRODUCT((('CASE MASTER'!$T$2:$T$495=15)*('CASE MASTER'!$U$2:$U$495&lt;=7)*('CASE MASTER'!$W$2:$W$495&gt;=7)*('CASE MASTER'!$V$2:$V$495&lt;=6)*('CASE MASTER'!$X$2:$X$495&gt;=6))*ROW('CASE MASTER'!$T$2:$T$495))-(ROW('CASE MASTER'!#REF!)-1))),":",","),",",REPT(" ",50)),((((7-INDEX('CASE MASTER'!$U$2:$U$495,(SUMPRODUCT((('CASE MASTER'!$T$2:$T$495=15)*('CASE MASTER'!$U$2:$U$495&lt;=7)*('CASE MASTER'!$W$2:$W$495&gt;=7)*('CASE MASTER'!$V$2:$V$495&lt;=6)*('CASE MASTER'!$X$2:$X$495&gt;=6))*ROW('CASE MASTER'!$T$2:$T$495))-(ROW('CASE MASTER'!#REF!)-1))))*(INDEX('CASE MASTER'!$X$2:$X$495,(SUMPRODUCT((('CASE MASTER'!$T$2:$T$495=15)*('CASE MASTER'!$U$2:$U$495&lt;=7)*('CASE MASTER'!$W$2:$W$495&gt;=7)*('CASE MASTER'!$V$2:$V$495&lt;=6)*('CASE MASTER'!$X$2:$X$495&gt;=6))*ROW('CASE MASTER'!$T$2:$T$495))-(ROW('CASE MASTER'!#REF!)-1)))-INDEX('CASE MASTER'!$V$2:$V$495,(SUMPRODUCT((('CASE MASTER'!$T$2:$T$495=15)*('CASE MASTER'!$U$2:$U$495&lt;=7)*('CASE MASTER'!$W$2:$W$495&gt;=7)*('CASE MASTER'!$V$2:$V$495&lt;=6)*('CASE MASTER'!$X$2:$X$495&gt;=6))*ROW('CASE MASTER'!$T$2:$T$495))-(ROW('CASE MASTER'!#REF!)-1)))+1)+(6-INDEX('CASE MASTER'!$V$2:$V$495,(SUMPRODUCT((('CASE MASTER'!$T$2:$T$495=15)*('CASE MASTER'!$U$2:$U$495&lt;=7)*('CASE MASTER'!$W$2:$W$495&gt;=7)*('CASE MASTER'!$V$2:$V$495&lt;=6)*('CASE MASTER'!$X$2:$X$495&gt;=6))*ROW('CASE MASTER'!$T$2:$T$495))-(ROW('CASE MASTER'!#REF!)-1))))+1))-1)*50+1,50))&amp;"_"&amp;INDEX('CASE MASTER'!$Q$2:$Q$495,(SUMPRODUCT((('CASE MASTER'!$T$2:$T$495=15)*('CASE MASTER'!$U$2:$U$495&lt;=7)*('CASE MASTER'!$W$2:$W$495&gt;=7)*('CASE MASTER'!$V$2:$V$495&lt;=6)*('CASE MASTER'!$X$2:$X$495&gt;=6))*ROW('CASE MASTER'!$T$2:$T$495))-(ROW('CASE MASTER'!#REF!)-1))),IF(SUMPRODUCT((('CASE MASTER'!$T$2:$T$495=15)*('CASE MASTER'!$AA$2:$AA$495&lt;=7)*('CASE MASTER'!$AC$2:$AC$495&gt;=7)*('CASE MASTER'!$AB$2:$AB$495&lt;=6)*('CASE MASTER'!$AD$2:$AD$495&gt;=6))*ROW('CASE MASTER'!$T$2:$T$495))&gt;0,INDEX('CASE MASTER'!$Y$2:$Y$495,(SUMPRODUCT((('CASE MASTER'!$T$2:$T$495=15)*('CASE MASTER'!$AA$2:$AA$495&lt;=7)*('CASE MASTER'!$AC$2:$AC$495&gt;=7)*('CASE MASTER'!$AB$2:$AB$495&lt;=6)*('CASE MASTER'!$AD$2:$AD$495&gt;=6))*ROW('CASE MASTER'!$T$2:$T$495))-(ROW('CASE MASTER'!#REF!)-1)))&amp;TRIM(MID(SUBSTITUTE(SUBSTITUTE(INDEX('CASE MASTER'!$N$2:$N$495,(SUMPRODUCT((('CASE MASTER'!$T$2:$T$495=15)*('CASE MASTER'!$AA$2:$AA$495&lt;=7)*('CASE MASTER'!$AC$2:$AC$495&gt;=7)*('CASE MASTER'!$AB$2:$AB$495&lt;=6)*('CASE MASTER'!$AD$2:$AD$495&gt;=6))*ROW('CASE MASTER'!$T$2:$T$495))-(ROW('CASE MASTER'!#REF!)-1))),":",","),",",REPT(" ",50)),(((INDEX('CASE MASTER'!$Z$2:$Z$495,(SUMPRODUCT((('CASE MASTER'!$T$2:$T$495=15)*('CASE MASTER'!$AA$2:$AA$495&lt;=7)*('CASE MASTER'!$AC$2:$AC$495&gt;=7)*('CASE MASTER'!$AB$2:$AB$495&lt;=6)*('CASE MASTER'!$AD$2:$AD$495&gt;=6))*ROW('CASE MASTER'!$T$2:$T$495))-(ROW('CASE MASTER'!#REF!)-1)))+((7-INDEX('CASE MASTER'!$AA$2:$AA$495,(SUMPRODUCT((('CASE MASTER'!$T$2:$T$495=15)*('CASE MASTER'!$AA$2:$AA$495&lt;=7)*('CASE MASTER'!$AC$2:$AC$495&gt;=7)*('CASE MASTER'!$AB$2:$AB$495&lt;=6)*('CASE MASTER'!$AD$2:$AD$495&gt;=6))*ROW('CASE MASTER'!$T$2:$T$495))-(ROW('CASE MASTER'!#REF!)-1))))*(INDEX('CASE MASTER'!$AD$2:$AD$495,(SUMPRODUCT((('CASE MASTER'!$T$2:$T$495=15)*('CASE MASTER'!$AA$2:$AA$495&lt;=7)*('CASE MASTER'!$AC$2:$AC$495&gt;=7)*('CASE MASTER'!$AB$2:$AB$495&lt;=6)*('CASE MASTER'!$AD$2:$AD$495&gt;=6))*ROW('CASE MASTER'!$T$2:$T$495))-(ROW('CASE MASTER'!#REF!)-1)))-INDEX('CASE MASTER'!$AB$2:$AB$495,(SUMPRODUCT((('CASE MASTER'!$T$2:$T$495=15)*('CASE MASTER'!$AA$2:$AA$495&lt;=7)*('CASE MASTER'!$AC$2:$AC$495&gt;=7)*('CASE MASTER'!$AB$2:$AB$495&lt;=6)*('CASE MASTER'!$AD$2:$AD$495&gt;=6))*ROW('CASE MASTER'!$T$2:$T$495))-(ROW('CASE MASTER'!#REF!)-1)))+1)+(6-INDEX('CASE MASTER'!$AB$2:$AB$495,(SUMPRODUCT((('CASE MASTER'!$T$2:$T$495=15)*('CASE MASTER'!$AA$2:$AA$495&lt;=7)*('CASE MASTER'!$AC$2:$AC$495&gt;=7)*('CASE MASTER'!$AB$2:$AB$495&lt;=6)*('CASE MASTER'!$AD$2:$AD$495&gt;=6))*ROW('CASE MASTER'!$T$2:$T$495))-(ROW('CASE MASTER'!#REF!)-1))))+1)))-1)*50+1,50))&amp;"_"&amp;INDEX('CASE MASTER'!$Q$2:$Q$495,(SUMPRODUCT((('CASE MASTER'!$T$2:$T$495=15)*('CASE MASTER'!$AA$2:$AA$495&lt;=7)*('CASE MASTER'!$AC$2:$AC$495&gt;=7)*('CASE MASTER'!$AB$2:$AB$495&lt;=6)*('CASE MASTER'!$AD$2:$AD$495&gt;=6))*ROW('CASE MASTER'!$T$2:$T$495))-(ROW('CASE MASTER'!#REF!)-1))),"")),"")</f>
        <v/>
      </c>
      <c r="H205" s="10" t="str">
        <f>IFERROR(IF(SUMPRODUCT((('CASE MASTER'!$T$2:$T$495=15)*('CASE MASTER'!$U$2:$U$495&lt;=7)*('CASE MASTER'!$W$2:$W$495&gt;=7)*('CASE MASTER'!$V$2:$V$495&lt;=7)*('CASE MASTER'!$X$2:$X$495&gt;=7))*ROW('CASE MASTER'!$T$2:$T$495))&gt;0,INDEX('CASE MASTER'!$Y$2:$Y$495,(SUMPRODUCT((('CASE MASTER'!$T$2:$T$495=15)*('CASE MASTER'!$U$2:$U$495&lt;=7)*('CASE MASTER'!$W$2:$W$495&gt;=7)*('CASE MASTER'!$V$2:$V$495&lt;=7)*('CASE MASTER'!$X$2:$X$495&gt;=7))*ROW('CASE MASTER'!$T$2:$T$495))-(ROW('CASE MASTER'!#REF!)-1)))&amp;TRIM(MID(SUBSTITUTE(SUBSTITUTE(INDEX('CASE MASTER'!$N$2:$N$495,(SUMPRODUCT((('CASE MASTER'!$T$2:$T$495=15)*('CASE MASTER'!$U$2:$U$495&lt;=7)*('CASE MASTER'!$W$2:$W$495&gt;=7)*('CASE MASTER'!$V$2:$V$495&lt;=7)*('CASE MASTER'!$X$2:$X$495&gt;=7))*ROW('CASE MASTER'!$T$2:$T$495))-(ROW('CASE MASTER'!#REF!)-1))),":",","),",",REPT(" ",50)),((((7-INDEX('CASE MASTER'!$U$2:$U$495,(SUMPRODUCT((('CASE MASTER'!$T$2:$T$495=15)*('CASE MASTER'!$U$2:$U$495&lt;=7)*('CASE MASTER'!$W$2:$W$495&gt;=7)*('CASE MASTER'!$V$2:$V$495&lt;=7)*('CASE MASTER'!$X$2:$X$495&gt;=7))*ROW('CASE MASTER'!$T$2:$T$495))-(ROW('CASE MASTER'!#REF!)-1))))*(INDEX('CASE MASTER'!$X$2:$X$495,(SUMPRODUCT((('CASE MASTER'!$T$2:$T$495=15)*('CASE MASTER'!$U$2:$U$495&lt;=7)*('CASE MASTER'!$W$2:$W$495&gt;=7)*('CASE MASTER'!$V$2:$V$495&lt;=7)*('CASE MASTER'!$X$2:$X$495&gt;=7))*ROW('CASE MASTER'!$T$2:$T$495))-(ROW('CASE MASTER'!#REF!)-1)))-INDEX('CASE MASTER'!$V$2:$V$495,(SUMPRODUCT((('CASE MASTER'!$T$2:$T$495=15)*('CASE MASTER'!$U$2:$U$495&lt;=7)*('CASE MASTER'!$W$2:$W$495&gt;=7)*('CASE MASTER'!$V$2:$V$495&lt;=7)*('CASE MASTER'!$X$2:$X$495&gt;=7))*ROW('CASE MASTER'!$T$2:$T$495))-(ROW('CASE MASTER'!#REF!)-1)))+1)+(7-INDEX('CASE MASTER'!$V$2:$V$495,(SUMPRODUCT((('CASE MASTER'!$T$2:$T$495=15)*('CASE MASTER'!$U$2:$U$495&lt;=7)*('CASE MASTER'!$W$2:$W$495&gt;=7)*('CASE MASTER'!$V$2:$V$495&lt;=7)*('CASE MASTER'!$X$2:$X$495&gt;=7))*ROW('CASE MASTER'!$T$2:$T$495))-(ROW('CASE MASTER'!#REF!)-1))))+1))-1)*50+1,50))&amp;"_"&amp;INDEX('CASE MASTER'!$Q$2:$Q$495,(SUMPRODUCT((('CASE MASTER'!$T$2:$T$495=15)*('CASE MASTER'!$U$2:$U$495&lt;=7)*('CASE MASTER'!$W$2:$W$495&gt;=7)*('CASE MASTER'!$V$2:$V$495&lt;=7)*('CASE MASTER'!$X$2:$X$495&gt;=7))*ROW('CASE MASTER'!$T$2:$T$495))-(ROW('CASE MASTER'!#REF!)-1))),IF(SUMPRODUCT((('CASE MASTER'!$T$2:$T$495=15)*('CASE MASTER'!$AA$2:$AA$495&lt;=7)*('CASE MASTER'!$AC$2:$AC$495&gt;=7)*('CASE MASTER'!$AB$2:$AB$495&lt;=7)*('CASE MASTER'!$AD$2:$AD$495&gt;=7))*ROW('CASE MASTER'!$T$2:$T$495))&gt;0,INDEX('CASE MASTER'!$Y$2:$Y$495,(SUMPRODUCT((('CASE MASTER'!$T$2:$T$495=15)*('CASE MASTER'!$AA$2:$AA$495&lt;=7)*('CASE MASTER'!$AC$2:$AC$495&gt;=7)*('CASE MASTER'!$AB$2:$AB$495&lt;=7)*('CASE MASTER'!$AD$2:$AD$495&gt;=7))*ROW('CASE MASTER'!$T$2:$T$495))-(ROW('CASE MASTER'!#REF!)-1)))&amp;TRIM(MID(SUBSTITUTE(SUBSTITUTE(INDEX('CASE MASTER'!$N$2:$N$495,(SUMPRODUCT((('CASE MASTER'!$T$2:$T$495=15)*('CASE MASTER'!$AA$2:$AA$495&lt;=7)*('CASE MASTER'!$AC$2:$AC$495&gt;=7)*('CASE MASTER'!$AB$2:$AB$495&lt;=7)*('CASE MASTER'!$AD$2:$AD$495&gt;=7))*ROW('CASE MASTER'!$T$2:$T$495))-(ROW('CASE MASTER'!#REF!)-1))),":",","),",",REPT(" ",50)),(((INDEX('CASE MASTER'!$Z$2:$Z$495,(SUMPRODUCT((('CASE MASTER'!$T$2:$T$495=15)*('CASE MASTER'!$AA$2:$AA$495&lt;=7)*('CASE MASTER'!$AC$2:$AC$495&gt;=7)*('CASE MASTER'!$AB$2:$AB$495&lt;=7)*('CASE MASTER'!$AD$2:$AD$495&gt;=7))*ROW('CASE MASTER'!$T$2:$T$495))-(ROW('CASE MASTER'!#REF!)-1)))+((7-INDEX('CASE MASTER'!$AA$2:$AA$495,(SUMPRODUCT((('CASE MASTER'!$T$2:$T$495=15)*('CASE MASTER'!$AA$2:$AA$495&lt;=7)*('CASE MASTER'!$AC$2:$AC$495&gt;=7)*('CASE MASTER'!$AB$2:$AB$495&lt;=7)*('CASE MASTER'!$AD$2:$AD$495&gt;=7))*ROW('CASE MASTER'!$T$2:$T$495))-(ROW('CASE MASTER'!#REF!)-1))))*(INDEX('CASE MASTER'!$AD$2:$AD$495,(SUMPRODUCT((('CASE MASTER'!$T$2:$T$495=15)*('CASE MASTER'!$AA$2:$AA$495&lt;=7)*('CASE MASTER'!$AC$2:$AC$495&gt;=7)*('CASE MASTER'!$AB$2:$AB$495&lt;=7)*('CASE MASTER'!$AD$2:$AD$495&gt;=7))*ROW('CASE MASTER'!$T$2:$T$495))-(ROW('CASE MASTER'!#REF!)-1)))-INDEX('CASE MASTER'!$AB$2:$AB$495,(SUMPRODUCT((('CASE MASTER'!$T$2:$T$495=15)*('CASE MASTER'!$AA$2:$AA$495&lt;=7)*('CASE MASTER'!$AC$2:$AC$495&gt;=7)*('CASE MASTER'!$AB$2:$AB$495&lt;=7)*('CASE MASTER'!$AD$2:$AD$495&gt;=7))*ROW('CASE MASTER'!$T$2:$T$495))-(ROW('CASE MASTER'!#REF!)-1)))+1)+(7-INDEX('CASE MASTER'!$AB$2:$AB$495,(SUMPRODUCT((('CASE MASTER'!$T$2:$T$495=15)*('CASE MASTER'!$AA$2:$AA$495&lt;=7)*('CASE MASTER'!$AC$2:$AC$495&gt;=7)*('CASE MASTER'!$AB$2:$AB$495&lt;=7)*('CASE MASTER'!$AD$2:$AD$495&gt;=7))*ROW('CASE MASTER'!$T$2:$T$495))-(ROW('CASE MASTER'!#REF!)-1))))+1)))-1)*50+1,50))&amp;"_"&amp;INDEX('CASE MASTER'!$Q$2:$Q$495,(SUMPRODUCT((('CASE MASTER'!$T$2:$T$495=15)*('CASE MASTER'!$AA$2:$AA$495&lt;=7)*('CASE MASTER'!$AC$2:$AC$495&gt;=7)*('CASE MASTER'!$AB$2:$AB$495&lt;=7)*('CASE MASTER'!$AD$2:$AD$495&gt;=7))*ROW('CASE MASTER'!$T$2:$T$495))-(ROW('CASE MASTER'!#REF!)-1))),"")),"")</f>
        <v/>
      </c>
      <c r="I205" s="10" t="str">
        <f>IFERROR(IF(SUMPRODUCT((('CASE MASTER'!$T$2:$T$495=15)*('CASE MASTER'!$U$2:$U$495&lt;=7)*('CASE MASTER'!$W$2:$W$495&gt;=7)*('CASE MASTER'!$V$2:$V$495&lt;=8)*('CASE MASTER'!$X$2:$X$495&gt;=8))*ROW('CASE MASTER'!$T$2:$T$495))&gt;0,INDEX('CASE MASTER'!$Y$2:$Y$495,(SUMPRODUCT((('CASE MASTER'!$T$2:$T$495=15)*('CASE MASTER'!$U$2:$U$495&lt;=7)*('CASE MASTER'!$W$2:$W$495&gt;=7)*('CASE MASTER'!$V$2:$V$495&lt;=8)*('CASE MASTER'!$X$2:$X$495&gt;=8))*ROW('CASE MASTER'!$T$2:$T$495))-(ROW('CASE MASTER'!#REF!)-1)))&amp;TRIM(MID(SUBSTITUTE(SUBSTITUTE(INDEX('CASE MASTER'!$N$2:$N$495,(SUMPRODUCT((('CASE MASTER'!$T$2:$T$495=15)*('CASE MASTER'!$U$2:$U$495&lt;=7)*('CASE MASTER'!$W$2:$W$495&gt;=7)*('CASE MASTER'!$V$2:$V$495&lt;=8)*('CASE MASTER'!$X$2:$X$495&gt;=8))*ROW('CASE MASTER'!$T$2:$T$495))-(ROW('CASE MASTER'!#REF!)-1))),":",","),",",REPT(" ",50)),((((7-INDEX('CASE MASTER'!$U$2:$U$495,(SUMPRODUCT((('CASE MASTER'!$T$2:$T$495=15)*('CASE MASTER'!$U$2:$U$495&lt;=7)*('CASE MASTER'!$W$2:$W$495&gt;=7)*('CASE MASTER'!$V$2:$V$495&lt;=8)*('CASE MASTER'!$X$2:$X$495&gt;=8))*ROW('CASE MASTER'!$T$2:$T$495))-(ROW('CASE MASTER'!#REF!)-1))))*(INDEX('CASE MASTER'!$X$2:$X$495,(SUMPRODUCT((('CASE MASTER'!$T$2:$T$495=15)*('CASE MASTER'!$U$2:$U$495&lt;=7)*('CASE MASTER'!$W$2:$W$495&gt;=7)*('CASE MASTER'!$V$2:$V$495&lt;=8)*('CASE MASTER'!$X$2:$X$495&gt;=8))*ROW('CASE MASTER'!$T$2:$T$495))-(ROW('CASE MASTER'!#REF!)-1)))-INDEX('CASE MASTER'!$V$2:$V$495,(SUMPRODUCT((('CASE MASTER'!$T$2:$T$495=15)*('CASE MASTER'!$U$2:$U$495&lt;=7)*('CASE MASTER'!$W$2:$W$495&gt;=7)*('CASE MASTER'!$V$2:$V$495&lt;=8)*('CASE MASTER'!$X$2:$X$495&gt;=8))*ROW('CASE MASTER'!$T$2:$T$495))-(ROW('CASE MASTER'!#REF!)-1)))+1)+(8-INDEX('CASE MASTER'!$V$2:$V$495,(SUMPRODUCT((('CASE MASTER'!$T$2:$T$495=15)*('CASE MASTER'!$U$2:$U$495&lt;=7)*('CASE MASTER'!$W$2:$W$495&gt;=7)*('CASE MASTER'!$V$2:$V$495&lt;=8)*('CASE MASTER'!$X$2:$X$495&gt;=8))*ROW('CASE MASTER'!$T$2:$T$495))-(ROW('CASE MASTER'!#REF!)-1))))+1))-1)*50+1,50))&amp;"_"&amp;INDEX('CASE MASTER'!$Q$2:$Q$495,(SUMPRODUCT((('CASE MASTER'!$T$2:$T$495=15)*('CASE MASTER'!$U$2:$U$495&lt;=7)*('CASE MASTER'!$W$2:$W$495&gt;=7)*('CASE MASTER'!$V$2:$V$495&lt;=8)*('CASE MASTER'!$X$2:$X$495&gt;=8))*ROW('CASE MASTER'!$T$2:$T$495))-(ROW('CASE MASTER'!#REF!)-1))),IF(SUMPRODUCT((('CASE MASTER'!$T$2:$T$495=15)*('CASE MASTER'!$AA$2:$AA$495&lt;=7)*('CASE MASTER'!$AC$2:$AC$495&gt;=7)*('CASE MASTER'!$AB$2:$AB$495&lt;=8)*('CASE MASTER'!$AD$2:$AD$495&gt;=8))*ROW('CASE MASTER'!$T$2:$T$495))&gt;0,INDEX('CASE MASTER'!$Y$2:$Y$495,(SUMPRODUCT((('CASE MASTER'!$T$2:$T$495=15)*('CASE MASTER'!$AA$2:$AA$495&lt;=7)*('CASE MASTER'!$AC$2:$AC$495&gt;=7)*('CASE MASTER'!$AB$2:$AB$495&lt;=8)*('CASE MASTER'!$AD$2:$AD$495&gt;=8))*ROW('CASE MASTER'!$T$2:$T$495))-(ROW('CASE MASTER'!#REF!)-1)))&amp;TRIM(MID(SUBSTITUTE(SUBSTITUTE(INDEX('CASE MASTER'!$N$2:$N$495,(SUMPRODUCT((('CASE MASTER'!$T$2:$T$495=15)*('CASE MASTER'!$AA$2:$AA$495&lt;=7)*('CASE MASTER'!$AC$2:$AC$495&gt;=7)*('CASE MASTER'!$AB$2:$AB$495&lt;=8)*('CASE MASTER'!$AD$2:$AD$495&gt;=8))*ROW('CASE MASTER'!$T$2:$T$495))-(ROW('CASE MASTER'!#REF!)-1))),":",","),",",REPT(" ",50)),(((INDEX('CASE MASTER'!$Z$2:$Z$495,(SUMPRODUCT((('CASE MASTER'!$T$2:$T$495=15)*('CASE MASTER'!$AA$2:$AA$495&lt;=7)*('CASE MASTER'!$AC$2:$AC$495&gt;=7)*('CASE MASTER'!$AB$2:$AB$495&lt;=8)*('CASE MASTER'!$AD$2:$AD$495&gt;=8))*ROW('CASE MASTER'!$T$2:$T$495))-(ROW('CASE MASTER'!#REF!)-1)))+((7-INDEX('CASE MASTER'!$AA$2:$AA$495,(SUMPRODUCT((('CASE MASTER'!$T$2:$T$495=15)*('CASE MASTER'!$AA$2:$AA$495&lt;=7)*('CASE MASTER'!$AC$2:$AC$495&gt;=7)*('CASE MASTER'!$AB$2:$AB$495&lt;=8)*('CASE MASTER'!$AD$2:$AD$495&gt;=8))*ROW('CASE MASTER'!$T$2:$T$495))-(ROW('CASE MASTER'!#REF!)-1))))*(INDEX('CASE MASTER'!$AD$2:$AD$495,(SUMPRODUCT((('CASE MASTER'!$T$2:$T$495=15)*('CASE MASTER'!$AA$2:$AA$495&lt;=7)*('CASE MASTER'!$AC$2:$AC$495&gt;=7)*('CASE MASTER'!$AB$2:$AB$495&lt;=8)*('CASE MASTER'!$AD$2:$AD$495&gt;=8))*ROW('CASE MASTER'!$T$2:$T$495))-(ROW('CASE MASTER'!#REF!)-1)))-INDEX('CASE MASTER'!$AB$2:$AB$495,(SUMPRODUCT((('CASE MASTER'!$T$2:$T$495=15)*('CASE MASTER'!$AA$2:$AA$495&lt;=7)*('CASE MASTER'!$AC$2:$AC$495&gt;=7)*('CASE MASTER'!$AB$2:$AB$495&lt;=8)*('CASE MASTER'!$AD$2:$AD$495&gt;=8))*ROW('CASE MASTER'!$T$2:$T$495))-(ROW('CASE MASTER'!#REF!)-1)))+1)+(8-INDEX('CASE MASTER'!$AB$2:$AB$495,(SUMPRODUCT((('CASE MASTER'!$T$2:$T$495=15)*('CASE MASTER'!$AA$2:$AA$495&lt;=7)*('CASE MASTER'!$AC$2:$AC$495&gt;=7)*('CASE MASTER'!$AB$2:$AB$495&lt;=8)*('CASE MASTER'!$AD$2:$AD$495&gt;=8))*ROW('CASE MASTER'!$T$2:$T$495))-(ROW('CASE MASTER'!#REF!)-1))))+1)))-1)*50+1,50))&amp;"_"&amp;INDEX('CASE MASTER'!$Q$2:$Q$495,(SUMPRODUCT((('CASE MASTER'!$T$2:$T$495=15)*('CASE MASTER'!$AA$2:$AA$495&lt;=7)*('CASE MASTER'!$AC$2:$AC$495&gt;=7)*('CASE MASTER'!$AB$2:$AB$495&lt;=8)*('CASE MASTER'!$AD$2:$AD$495&gt;=8))*ROW('CASE MASTER'!$T$2:$T$495))-(ROW('CASE MASTER'!#REF!)-1))),"")),"")</f>
        <v/>
      </c>
      <c r="J205" s="10" t="str">
        <f>IFERROR(IF(SUMPRODUCT((('CASE MASTER'!$T$2:$T$495=15)*('CASE MASTER'!$U$2:$U$495&lt;=7)*('CASE MASTER'!$W$2:$W$495&gt;=7)*('CASE MASTER'!$V$2:$V$495&lt;=9)*('CASE MASTER'!$X$2:$X$495&gt;=9))*ROW('CASE MASTER'!$T$2:$T$495))&gt;0,INDEX('CASE MASTER'!$Y$2:$Y$495,(SUMPRODUCT((('CASE MASTER'!$T$2:$T$495=15)*('CASE MASTER'!$U$2:$U$495&lt;=7)*('CASE MASTER'!$W$2:$W$495&gt;=7)*('CASE MASTER'!$V$2:$V$495&lt;=9)*('CASE MASTER'!$X$2:$X$495&gt;=9))*ROW('CASE MASTER'!$T$2:$T$495))-(ROW('CASE MASTER'!#REF!)-1)))&amp;TRIM(MID(SUBSTITUTE(SUBSTITUTE(INDEX('CASE MASTER'!$N$2:$N$495,(SUMPRODUCT((('CASE MASTER'!$T$2:$T$495=15)*('CASE MASTER'!$U$2:$U$495&lt;=7)*('CASE MASTER'!$W$2:$W$495&gt;=7)*('CASE MASTER'!$V$2:$V$495&lt;=9)*('CASE MASTER'!$X$2:$X$495&gt;=9))*ROW('CASE MASTER'!$T$2:$T$495))-(ROW('CASE MASTER'!#REF!)-1))),":",","),",",REPT(" ",50)),((((7-INDEX('CASE MASTER'!$U$2:$U$495,(SUMPRODUCT((('CASE MASTER'!$T$2:$T$495=15)*('CASE MASTER'!$U$2:$U$495&lt;=7)*('CASE MASTER'!$W$2:$W$495&gt;=7)*('CASE MASTER'!$V$2:$V$495&lt;=9)*('CASE MASTER'!$X$2:$X$495&gt;=9))*ROW('CASE MASTER'!$T$2:$T$495))-(ROW('CASE MASTER'!#REF!)-1))))*(INDEX('CASE MASTER'!$X$2:$X$495,(SUMPRODUCT((('CASE MASTER'!$T$2:$T$495=15)*('CASE MASTER'!$U$2:$U$495&lt;=7)*('CASE MASTER'!$W$2:$W$495&gt;=7)*('CASE MASTER'!$V$2:$V$495&lt;=9)*('CASE MASTER'!$X$2:$X$495&gt;=9))*ROW('CASE MASTER'!$T$2:$T$495))-(ROW('CASE MASTER'!#REF!)-1)))-INDEX('CASE MASTER'!$V$2:$V$495,(SUMPRODUCT((('CASE MASTER'!$T$2:$T$495=15)*('CASE MASTER'!$U$2:$U$495&lt;=7)*('CASE MASTER'!$W$2:$W$495&gt;=7)*('CASE MASTER'!$V$2:$V$495&lt;=9)*('CASE MASTER'!$X$2:$X$495&gt;=9))*ROW('CASE MASTER'!$T$2:$T$495))-(ROW('CASE MASTER'!#REF!)-1)))+1)+(9-INDEX('CASE MASTER'!$V$2:$V$495,(SUMPRODUCT((('CASE MASTER'!$T$2:$T$495=15)*('CASE MASTER'!$U$2:$U$495&lt;=7)*('CASE MASTER'!$W$2:$W$495&gt;=7)*('CASE MASTER'!$V$2:$V$495&lt;=9)*('CASE MASTER'!$X$2:$X$495&gt;=9))*ROW('CASE MASTER'!$T$2:$T$495))-(ROW('CASE MASTER'!#REF!)-1))))+1))-1)*50+1,50))&amp;"_"&amp;INDEX('CASE MASTER'!$Q$2:$Q$495,(SUMPRODUCT((('CASE MASTER'!$T$2:$T$495=15)*('CASE MASTER'!$U$2:$U$495&lt;=7)*('CASE MASTER'!$W$2:$W$495&gt;=7)*('CASE MASTER'!$V$2:$V$495&lt;=9)*('CASE MASTER'!$X$2:$X$495&gt;=9))*ROW('CASE MASTER'!$T$2:$T$495))-(ROW('CASE MASTER'!#REF!)-1))),IF(SUMPRODUCT((('CASE MASTER'!$T$2:$T$495=15)*('CASE MASTER'!$AA$2:$AA$495&lt;=7)*('CASE MASTER'!$AC$2:$AC$495&gt;=7)*('CASE MASTER'!$AB$2:$AB$495&lt;=9)*('CASE MASTER'!$AD$2:$AD$495&gt;=9))*ROW('CASE MASTER'!$T$2:$T$495))&gt;0,INDEX('CASE MASTER'!$Y$2:$Y$495,(SUMPRODUCT((('CASE MASTER'!$T$2:$T$495=15)*('CASE MASTER'!$AA$2:$AA$495&lt;=7)*('CASE MASTER'!$AC$2:$AC$495&gt;=7)*('CASE MASTER'!$AB$2:$AB$495&lt;=9)*('CASE MASTER'!$AD$2:$AD$495&gt;=9))*ROW('CASE MASTER'!$T$2:$T$495))-(ROW('CASE MASTER'!#REF!)-1)))&amp;TRIM(MID(SUBSTITUTE(SUBSTITUTE(INDEX('CASE MASTER'!$N$2:$N$495,(SUMPRODUCT((('CASE MASTER'!$T$2:$T$495=15)*('CASE MASTER'!$AA$2:$AA$495&lt;=7)*('CASE MASTER'!$AC$2:$AC$495&gt;=7)*('CASE MASTER'!$AB$2:$AB$495&lt;=9)*('CASE MASTER'!$AD$2:$AD$495&gt;=9))*ROW('CASE MASTER'!$T$2:$T$495))-(ROW('CASE MASTER'!#REF!)-1))),":",","),",",REPT(" ",50)),(((INDEX('CASE MASTER'!$Z$2:$Z$495,(SUMPRODUCT((('CASE MASTER'!$T$2:$T$495=15)*('CASE MASTER'!$AA$2:$AA$495&lt;=7)*('CASE MASTER'!$AC$2:$AC$495&gt;=7)*('CASE MASTER'!$AB$2:$AB$495&lt;=9)*('CASE MASTER'!$AD$2:$AD$495&gt;=9))*ROW('CASE MASTER'!$T$2:$T$495))-(ROW('CASE MASTER'!#REF!)-1)))+((7-INDEX('CASE MASTER'!$AA$2:$AA$495,(SUMPRODUCT((('CASE MASTER'!$T$2:$T$495=15)*('CASE MASTER'!$AA$2:$AA$495&lt;=7)*('CASE MASTER'!$AC$2:$AC$495&gt;=7)*('CASE MASTER'!$AB$2:$AB$495&lt;=9)*('CASE MASTER'!$AD$2:$AD$495&gt;=9))*ROW('CASE MASTER'!$T$2:$T$495))-(ROW('CASE MASTER'!#REF!)-1))))*(INDEX('CASE MASTER'!$AD$2:$AD$495,(SUMPRODUCT((('CASE MASTER'!$T$2:$T$495=15)*('CASE MASTER'!$AA$2:$AA$495&lt;=7)*('CASE MASTER'!$AC$2:$AC$495&gt;=7)*('CASE MASTER'!$AB$2:$AB$495&lt;=9)*('CASE MASTER'!$AD$2:$AD$495&gt;=9))*ROW('CASE MASTER'!$T$2:$T$495))-(ROW('CASE MASTER'!#REF!)-1)))-INDEX('CASE MASTER'!$AB$2:$AB$495,(SUMPRODUCT((('CASE MASTER'!$T$2:$T$495=15)*('CASE MASTER'!$AA$2:$AA$495&lt;=7)*('CASE MASTER'!$AC$2:$AC$495&gt;=7)*('CASE MASTER'!$AB$2:$AB$495&lt;=9)*('CASE MASTER'!$AD$2:$AD$495&gt;=9))*ROW('CASE MASTER'!$T$2:$T$495))-(ROW('CASE MASTER'!#REF!)-1)))+1)+(9-INDEX('CASE MASTER'!$AB$2:$AB$495,(SUMPRODUCT((('CASE MASTER'!$T$2:$T$495=15)*('CASE MASTER'!$AA$2:$AA$495&lt;=7)*('CASE MASTER'!$AC$2:$AC$495&gt;=7)*('CASE MASTER'!$AB$2:$AB$495&lt;=9)*('CASE MASTER'!$AD$2:$AD$495&gt;=9))*ROW('CASE MASTER'!$T$2:$T$495))-(ROW('CASE MASTER'!#REF!)-1))))+1)))-1)*50+1,50))&amp;"_"&amp;INDEX('CASE MASTER'!$Q$2:$Q$495,(SUMPRODUCT((('CASE MASTER'!$T$2:$T$495=15)*('CASE MASTER'!$AA$2:$AA$495&lt;=7)*('CASE MASTER'!$AC$2:$AC$495&gt;=7)*('CASE MASTER'!$AB$2:$AB$495&lt;=9)*('CASE MASTER'!$AD$2:$AD$495&gt;=9))*ROW('CASE MASTER'!$T$2:$T$495))-(ROW('CASE MASTER'!#REF!)-1))),"")),"")</f>
        <v/>
      </c>
      <c r="K205" s="10" t="str">
        <f>IFERROR(IF(SUMPRODUCT((('CASE MASTER'!$T$2:$T$495=15)*('CASE MASTER'!$U$2:$U$495&lt;=7)*('CASE MASTER'!$W$2:$W$495&gt;=7)*('CASE MASTER'!$V$2:$V$495&lt;=10)*('CASE MASTER'!$X$2:$X$495&gt;=10))*ROW('CASE MASTER'!$T$2:$T$495))&gt;0,INDEX('CASE MASTER'!$Y$2:$Y$495,(SUMPRODUCT((('CASE MASTER'!$T$2:$T$495=15)*('CASE MASTER'!$U$2:$U$495&lt;=7)*('CASE MASTER'!$W$2:$W$495&gt;=7)*('CASE MASTER'!$V$2:$V$495&lt;=10)*('CASE MASTER'!$X$2:$X$495&gt;=10))*ROW('CASE MASTER'!$T$2:$T$495))-(ROW('CASE MASTER'!#REF!)-1)))&amp;TRIM(MID(SUBSTITUTE(SUBSTITUTE(INDEX('CASE MASTER'!$N$2:$N$495,(SUMPRODUCT((('CASE MASTER'!$T$2:$T$495=15)*('CASE MASTER'!$U$2:$U$495&lt;=7)*('CASE MASTER'!$W$2:$W$495&gt;=7)*('CASE MASTER'!$V$2:$V$495&lt;=10)*('CASE MASTER'!$X$2:$X$495&gt;=10))*ROW('CASE MASTER'!$T$2:$T$495))-(ROW('CASE MASTER'!#REF!)-1))),":",","),",",REPT(" ",50)),((((7-INDEX('CASE MASTER'!$U$2:$U$495,(SUMPRODUCT((('CASE MASTER'!$T$2:$T$495=15)*('CASE MASTER'!$U$2:$U$495&lt;=7)*('CASE MASTER'!$W$2:$W$495&gt;=7)*('CASE MASTER'!$V$2:$V$495&lt;=10)*('CASE MASTER'!$X$2:$X$495&gt;=10))*ROW('CASE MASTER'!$T$2:$T$495))-(ROW('CASE MASTER'!#REF!)-1))))*(INDEX('CASE MASTER'!$X$2:$X$495,(SUMPRODUCT((('CASE MASTER'!$T$2:$T$495=15)*('CASE MASTER'!$U$2:$U$495&lt;=7)*('CASE MASTER'!$W$2:$W$495&gt;=7)*('CASE MASTER'!$V$2:$V$495&lt;=10)*('CASE MASTER'!$X$2:$X$495&gt;=10))*ROW('CASE MASTER'!$T$2:$T$495))-(ROW('CASE MASTER'!#REF!)-1)))-INDEX('CASE MASTER'!$V$2:$V$495,(SUMPRODUCT((('CASE MASTER'!$T$2:$T$495=15)*('CASE MASTER'!$U$2:$U$495&lt;=7)*('CASE MASTER'!$W$2:$W$495&gt;=7)*('CASE MASTER'!$V$2:$V$495&lt;=10)*('CASE MASTER'!$X$2:$X$495&gt;=10))*ROW('CASE MASTER'!$T$2:$T$495))-(ROW('CASE MASTER'!#REF!)-1)))+1)+(10-INDEX('CASE MASTER'!$V$2:$V$495,(SUMPRODUCT((('CASE MASTER'!$T$2:$T$495=15)*('CASE MASTER'!$U$2:$U$495&lt;=7)*('CASE MASTER'!$W$2:$W$495&gt;=7)*('CASE MASTER'!$V$2:$V$495&lt;=10)*('CASE MASTER'!$X$2:$X$495&gt;=10))*ROW('CASE MASTER'!$T$2:$T$495))-(ROW('CASE MASTER'!#REF!)-1))))+1))-1)*50+1,50))&amp;"_"&amp;INDEX('CASE MASTER'!$Q$2:$Q$495,(SUMPRODUCT((('CASE MASTER'!$T$2:$T$495=15)*('CASE MASTER'!$U$2:$U$495&lt;=7)*('CASE MASTER'!$W$2:$W$495&gt;=7)*('CASE MASTER'!$V$2:$V$495&lt;=10)*('CASE MASTER'!$X$2:$X$495&gt;=10))*ROW('CASE MASTER'!$T$2:$T$495))-(ROW('CASE MASTER'!#REF!)-1))),IF(SUMPRODUCT((('CASE MASTER'!$T$2:$T$495=15)*('CASE MASTER'!$AA$2:$AA$495&lt;=7)*('CASE MASTER'!$AC$2:$AC$495&gt;=7)*('CASE MASTER'!$AB$2:$AB$495&lt;=10)*('CASE MASTER'!$AD$2:$AD$495&gt;=10))*ROW('CASE MASTER'!$T$2:$T$495))&gt;0,INDEX('CASE MASTER'!$Y$2:$Y$495,(SUMPRODUCT((('CASE MASTER'!$T$2:$T$495=15)*('CASE MASTER'!$AA$2:$AA$495&lt;=7)*('CASE MASTER'!$AC$2:$AC$495&gt;=7)*('CASE MASTER'!$AB$2:$AB$495&lt;=10)*('CASE MASTER'!$AD$2:$AD$495&gt;=10))*ROW('CASE MASTER'!$T$2:$T$495))-(ROW('CASE MASTER'!#REF!)-1)))&amp;TRIM(MID(SUBSTITUTE(SUBSTITUTE(INDEX('CASE MASTER'!$N$2:$N$495,(SUMPRODUCT((('CASE MASTER'!$T$2:$T$495=15)*('CASE MASTER'!$AA$2:$AA$495&lt;=7)*('CASE MASTER'!$AC$2:$AC$495&gt;=7)*('CASE MASTER'!$AB$2:$AB$495&lt;=10)*('CASE MASTER'!$AD$2:$AD$495&gt;=10))*ROW('CASE MASTER'!$T$2:$T$495))-(ROW('CASE MASTER'!#REF!)-1))),":",","),",",REPT(" ",50)),(((INDEX('CASE MASTER'!$Z$2:$Z$495,(SUMPRODUCT((('CASE MASTER'!$T$2:$T$495=15)*('CASE MASTER'!$AA$2:$AA$495&lt;=7)*('CASE MASTER'!$AC$2:$AC$495&gt;=7)*('CASE MASTER'!$AB$2:$AB$495&lt;=10)*('CASE MASTER'!$AD$2:$AD$495&gt;=10))*ROW('CASE MASTER'!$T$2:$T$495))-(ROW('CASE MASTER'!#REF!)-1)))+((7-INDEX('CASE MASTER'!$AA$2:$AA$495,(SUMPRODUCT((('CASE MASTER'!$T$2:$T$495=15)*('CASE MASTER'!$AA$2:$AA$495&lt;=7)*('CASE MASTER'!$AC$2:$AC$495&gt;=7)*('CASE MASTER'!$AB$2:$AB$495&lt;=10)*('CASE MASTER'!$AD$2:$AD$495&gt;=10))*ROW('CASE MASTER'!$T$2:$T$495))-(ROW('CASE MASTER'!#REF!)-1))))*(INDEX('CASE MASTER'!$AD$2:$AD$495,(SUMPRODUCT((('CASE MASTER'!$T$2:$T$495=15)*('CASE MASTER'!$AA$2:$AA$495&lt;=7)*('CASE MASTER'!$AC$2:$AC$495&gt;=7)*('CASE MASTER'!$AB$2:$AB$495&lt;=10)*('CASE MASTER'!$AD$2:$AD$495&gt;=10))*ROW('CASE MASTER'!$T$2:$T$495))-(ROW('CASE MASTER'!#REF!)-1)))-INDEX('CASE MASTER'!$AB$2:$AB$495,(SUMPRODUCT((('CASE MASTER'!$T$2:$T$495=15)*('CASE MASTER'!$AA$2:$AA$495&lt;=7)*('CASE MASTER'!$AC$2:$AC$495&gt;=7)*('CASE MASTER'!$AB$2:$AB$495&lt;=10)*('CASE MASTER'!$AD$2:$AD$495&gt;=10))*ROW('CASE MASTER'!$T$2:$T$495))-(ROW('CASE MASTER'!#REF!)-1)))+1)+(10-INDEX('CASE MASTER'!$AB$2:$AB$495,(SUMPRODUCT((('CASE MASTER'!$T$2:$T$495=15)*('CASE MASTER'!$AA$2:$AA$495&lt;=7)*('CASE MASTER'!$AC$2:$AC$495&gt;=7)*('CASE MASTER'!$AB$2:$AB$495&lt;=10)*('CASE MASTER'!$AD$2:$AD$495&gt;=10))*ROW('CASE MASTER'!$T$2:$T$495))-(ROW('CASE MASTER'!#REF!)-1))))+1)))-1)*50+1,50))&amp;"_"&amp;INDEX('CASE MASTER'!$Q$2:$Q$495,(SUMPRODUCT((('CASE MASTER'!$T$2:$T$495=15)*('CASE MASTER'!$AA$2:$AA$495&lt;=7)*('CASE MASTER'!$AC$2:$AC$495&gt;=7)*('CASE MASTER'!$AB$2:$AB$495&lt;=10)*('CASE MASTER'!$AD$2:$AD$495&gt;=10))*ROW('CASE MASTER'!$T$2:$T$495))-(ROW('CASE MASTER'!#REF!)-1))),"")),"")</f>
        <v/>
      </c>
    </row>
    <row r="206" spans="1:11" ht="15" customHeight="1" x14ac:dyDescent="0.35">
      <c r="A206" s="8" t="s">
        <v>35</v>
      </c>
      <c r="B206" s="10" t="str">
        <f>IFERROR(IF(SUMPRODUCT((('CASE MASTER'!$T$2:$T$495=15)*('CASE MASTER'!$U$2:$U$495&lt;=8)*('CASE MASTER'!$W$2:$W$495&gt;=8)*('CASE MASTER'!$V$2:$V$495&lt;=1)*('CASE MASTER'!$X$2:$X$495&gt;=1))*ROW('CASE MASTER'!$T$2:$T$495))&gt;0,INDEX('CASE MASTER'!$Y$2:$Y$495,(SUMPRODUCT((('CASE MASTER'!$T$2:$T$495=15)*('CASE MASTER'!$U$2:$U$495&lt;=8)*('CASE MASTER'!$W$2:$W$495&gt;=8)*('CASE MASTER'!$V$2:$V$495&lt;=1)*('CASE MASTER'!$X$2:$X$495&gt;=1))*ROW('CASE MASTER'!$T$2:$T$495))-(ROW('CASE MASTER'!#REF!)-1)))&amp;TRIM(MID(SUBSTITUTE(SUBSTITUTE(INDEX('CASE MASTER'!$N$2:$N$495,(SUMPRODUCT((('CASE MASTER'!$T$2:$T$495=15)*('CASE MASTER'!$U$2:$U$495&lt;=8)*('CASE MASTER'!$W$2:$W$495&gt;=8)*('CASE MASTER'!$V$2:$V$495&lt;=1)*('CASE MASTER'!$X$2:$X$495&gt;=1))*ROW('CASE MASTER'!$T$2:$T$495))-(ROW('CASE MASTER'!#REF!)-1))),":",","),",",REPT(" ",50)),((((8-INDEX('CASE MASTER'!$U$2:$U$495,(SUMPRODUCT((('CASE MASTER'!$T$2:$T$495=15)*('CASE MASTER'!$U$2:$U$495&lt;=8)*('CASE MASTER'!$W$2:$W$495&gt;=8)*('CASE MASTER'!$V$2:$V$495&lt;=1)*('CASE MASTER'!$X$2:$X$495&gt;=1))*ROW('CASE MASTER'!$T$2:$T$495))-(ROW('CASE MASTER'!#REF!)-1))))*(INDEX('CASE MASTER'!$X$2:$X$495,(SUMPRODUCT((('CASE MASTER'!$T$2:$T$495=15)*('CASE MASTER'!$U$2:$U$495&lt;=8)*('CASE MASTER'!$W$2:$W$495&gt;=8)*('CASE MASTER'!$V$2:$V$495&lt;=1)*('CASE MASTER'!$X$2:$X$495&gt;=1))*ROW('CASE MASTER'!$T$2:$T$495))-(ROW('CASE MASTER'!#REF!)-1)))-INDEX('CASE MASTER'!$V$2:$V$495,(SUMPRODUCT((('CASE MASTER'!$T$2:$T$495=15)*('CASE MASTER'!$U$2:$U$495&lt;=8)*('CASE MASTER'!$W$2:$W$495&gt;=8)*('CASE MASTER'!$V$2:$V$495&lt;=1)*('CASE MASTER'!$X$2:$X$495&gt;=1))*ROW('CASE MASTER'!$T$2:$T$495))-(ROW('CASE MASTER'!#REF!)-1)))+1)+(1-INDEX('CASE MASTER'!$V$2:$V$495,(SUMPRODUCT((('CASE MASTER'!$T$2:$T$495=15)*('CASE MASTER'!$U$2:$U$495&lt;=8)*('CASE MASTER'!$W$2:$W$495&gt;=8)*('CASE MASTER'!$V$2:$V$495&lt;=1)*('CASE MASTER'!$X$2:$X$495&gt;=1))*ROW('CASE MASTER'!$T$2:$T$495))-(ROW('CASE MASTER'!#REF!)-1))))+1))-1)*50+1,50))&amp;"_"&amp;INDEX('CASE MASTER'!$Q$2:$Q$495,(SUMPRODUCT((('CASE MASTER'!$T$2:$T$495=15)*('CASE MASTER'!$U$2:$U$495&lt;=8)*('CASE MASTER'!$W$2:$W$495&gt;=8)*('CASE MASTER'!$V$2:$V$495&lt;=1)*('CASE MASTER'!$X$2:$X$495&gt;=1))*ROW('CASE MASTER'!$T$2:$T$495))-(ROW('CASE MASTER'!#REF!)-1))),IF(SUMPRODUCT((('CASE MASTER'!$T$2:$T$495=15)*('CASE MASTER'!$AA$2:$AA$495&lt;=8)*('CASE MASTER'!$AC$2:$AC$495&gt;=8)*('CASE MASTER'!$AB$2:$AB$495&lt;=1)*('CASE MASTER'!$AD$2:$AD$495&gt;=1))*ROW('CASE MASTER'!$T$2:$T$495))&gt;0,INDEX('CASE MASTER'!$Y$2:$Y$495,(SUMPRODUCT((('CASE MASTER'!$T$2:$T$495=15)*('CASE MASTER'!$AA$2:$AA$495&lt;=8)*('CASE MASTER'!$AC$2:$AC$495&gt;=8)*('CASE MASTER'!$AB$2:$AB$495&lt;=1)*('CASE MASTER'!$AD$2:$AD$495&gt;=1))*ROW('CASE MASTER'!$T$2:$T$495))-(ROW('CASE MASTER'!#REF!)-1)))&amp;TRIM(MID(SUBSTITUTE(SUBSTITUTE(INDEX('CASE MASTER'!$N$2:$N$495,(SUMPRODUCT((('CASE MASTER'!$T$2:$T$495=15)*('CASE MASTER'!$AA$2:$AA$495&lt;=8)*('CASE MASTER'!$AC$2:$AC$495&gt;=8)*('CASE MASTER'!$AB$2:$AB$495&lt;=1)*('CASE MASTER'!$AD$2:$AD$495&gt;=1))*ROW('CASE MASTER'!$T$2:$T$495))-(ROW('CASE MASTER'!#REF!)-1))),":",","),",",REPT(" ",50)),(((INDEX('CASE MASTER'!$Z$2:$Z$495,(SUMPRODUCT((('CASE MASTER'!$T$2:$T$495=15)*('CASE MASTER'!$AA$2:$AA$495&lt;=8)*('CASE MASTER'!$AC$2:$AC$495&gt;=8)*('CASE MASTER'!$AB$2:$AB$495&lt;=1)*('CASE MASTER'!$AD$2:$AD$495&gt;=1))*ROW('CASE MASTER'!$T$2:$T$495))-(ROW('CASE MASTER'!#REF!)-1)))+((8-INDEX('CASE MASTER'!$AA$2:$AA$495,(SUMPRODUCT((('CASE MASTER'!$T$2:$T$495=15)*('CASE MASTER'!$AA$2:$AA$495&lt;=8)*('CASE MASTER'!$AC$2:$AC$495&gt;=8)*('CASE MASTER'!$AB$2:$AB$495&lt;=1)*('CASE MASTER'!$AD$2:$AD$495&gt;=1))*ROW('CASE MASTER'!$T$2:$T$495))-(ROW('CASE MASTER'!#REF!)-1))))*(INDEX('CASE MASTER'!$AD$2:$AD$495,(SUMPRODUCT((('CASE MASTER'!$T$2:$T$495=15)*('CASE MASTER'!$AA$2:$AA$495&lt;=8)*('CASE MASTER'!$AC$2:$AC$495&gt;=8)*('CASE MASTER'!$AB$2:$AB$495&lt;=1)*('CASE MASTER'!$AD$2:$AD$495&gt;=1))*ROW('CASE MASTER'!$T$2:$T$495))-(ROW('CASE MASTER'!#REF!)-1)))-INDEX('CASE MASTER'!$AB$2:$AB$495,(SUMPRODUCT((('CASE MASTER'!$T$2:$T$495=15)*('CASE MASTER'!$AA$2:$AA$495&lt;=8)*('CASE MASTER'!$AC$2:$AC$495&gt;=8)*('CASE MASTER'!$AB$2:$AB$495&lt;=1)*('CASE MASTER'!$AD$2:$AD$495&gt;=1))*ROW('CASE MASTER'!$T$2:$T$495))-(ROW('CASE MASTER'!#REF!)-1)))+1)+(1-INDEX('CASE MASTER'!$AB$2:$AB$495,(SUMPRODUCT((('CASE MASTER'!$T$2:$T$495=15)*('CASE MASTER'!$AA$2:$AA$495&lt;=8)*('CASE MASTER'!$AC$2:$AC$495&gt;=8)*('CASE MASTER'!$AB$2:$AB$495&lt;=1)*('CASE MASTER'!$AD$2:$AD$495&gt;=1))*ROW('CASE MASTER'!$T$2:$T$495))-(ROW('CASE MASTER'!#REF!)-1))))+1)))-1)*50+1,50))&amp;"_"&amp;INDEX('CASE MASTER'!$Q$2:$Q$495,(SUMPRODUCT((('CASE MASTER'!$T$2:$T$495=15)*('CASE MASTER'!$AA$2:$AA$495&lt;=8)*('CASE MASTER'!$AC$2:$AC$495&gt;=8)*('CASE MASTER'!$AB$2:$AB$495&lt;=1)*('CASE MASTER'!$AD$2:$AD$495&gt;=1))*ROW('CASE MASTER'!$T$2:$T$495))-(ROW('CASE MASTER'!#REF!)-1))),"")),"")</f>
        <v/>
      </c>
      <c r="C206" s="10" t="str">
        <f>IFERROR(IF(SUMPRODUCT((('CASE MASTER'!$T$2:$T$495=15)*('CASE MASTER'!$U$2:$U$495&lt;=8)*('CASE MASTER'!$W$2:$W$495&gt;=8)*('CASE MASTER'!$V$2:$V$495&lt;=2)*('CASE MASTER'!$X$2:$X$495&gt;=2))*ROW('CASE MASTER'!$T$2:$T$495))&gt;0,INDEX('CASE MASTER'!$Y$2:$Y$495,(SUMPRODUCT((('CASE MASTER'!$T$2:$T$495=15)*('CASE MASTER'!$U$2:$U$495&lt;=8)*('CASE MASTER'!$W$2:$W$495&gt;=8)*('CASE MASTER'!$V$2:$V$495&lt;=2)*('CASE MASTER'!$X$2:$X$495&gt;=2))*ROW('CASE MASTER'!$T$2:$T$495))-(ROW('CASE MASTER'!#REF!)-1)))&amp;TRIM(MID(SUBSTITUTE(SUBSTITUTE(INDEX('CASE MASTER'!$N$2:$N$495,(SUMPRODUCT((('CASE MASTER'!$T$2:$T$495=15)*('CASE MASTER'!$U$2:$U$495&lt;=8)*('CASE MASTER'!$W$2:$W$495&gt;=8)*('CASE MASTER'!$V$2:$V$495&lt;=2)*('CASE MASTER'!$X$2:$X$495&gt;=2))*ROW('CASE MASTER'!$T$2:$T$495))-(ROW('CASE MASTER'!#REF!)-1))),":",","),",",REPT(" ",50)),((((8-INDEX('CASE MASTER'!$U$2:$U$495,(SUMPRODUCT((('CASE MASTER'!$T$2:$T$495=15)*('CASE MASTER'!$U$2:$U$495&lt;=8)*('CASE MASTER'!$W$2:$W$495&gt;=8)*('CASE MASTER'!$V$2:$V$495&lt;=2)*('CASE MASTER'!$X$2:$X$495&gt;=2))*ROW('CASE MASTER'!$T$2:$T$495))-(ROW('CASE MASTER'!#REF!)-1))))*(INDEX('CASE MASTER'!$X$2:$X$495,(SUMPRODUCT((('CASE MASTER'!$T$2:$T$495=15)*('CASE MASTER'!$U$2:$U$495&lt;=8)*('CASE MASTER'!$W$2:$W$495&gt;=8)*('CASE MASTER'!$V$2:$V$495&lt;=2)*('CASE MASTER'!$X$2:$X$495&gt;=2))*ROW('CASE MASTER'!$T$2:$T$495))-(ROW('CASE MASTER'!#REF!)-1)))-INDEX('CASE MASTER'!$V$2:$V$495,(SUMPRODUCT((('CASE MASTER'!$T$2:$T$495=15)*('CASE MASTER'!$U$2:$U$495&lt;=8)*('CASE MASTER'!$W$2:$W$495&gt;=8)*('CASE MASTER'!$V$2:$V$495&lt;=2)*('CASE MASTER'!$X$2:$X$495&gt;=2))*ROW('CASE MASTER'!$T$2:$T$495))-(ROW('CASE MASTER'!#REF!)-1)))+1)+(2-INDEX('CASE MASTER'!$V$2:$V$495,(SUMPRODUCT((('CASE MASTER'!$T$2:$T$495=15)*('CASE MASTER'!$U$2:$U$495&lt;=8)*('CASE MASTER'!$W$2:$W$495&gt;=8)*('CASE MASTER'!$V$2:$V$495&lt;=2)*('CASE MASTER'!$X$2:$X$495&gt;=2))*ROW('CASE MASTER'!$T$2:$T$495))-(ROW('CASE MASTER'!#REF!)-1))))+1))-1)*50+1,50))&amp;"_"&amp;INDEX('CASE MASTER'!$Q$2:$Q$495,(SUMPRODUCT((('CASE MASTER'!$T$2:$T$495=15)*('CASE MASTER'!$U$2:$U$495&lt;=8)*('CASE MASTER'!$W$2:$W$495&gt;=8)*('CASE MASTER'!$V$2:$V$495&lt;=2)*('CASE MASTER'!$X$2:$X$495&gt;=2))*ROW('CASE MASTER'!$T$2:$T$495))-(ROW('CASE MASTER'!#REF!)-1))),IF(SUMPRODUCT((('CASE MASTER'!$T$2:$T$495=15)*('CASE MASTER'!$AA$2:$AA$495&lt;=8)*('CASE MASTER'!$AC$2:$AC$495&gt;=8)*('CASE MASTER'!$AB$2:$AB$495&lt;=2)*('CASE MASTER'!$AD$2:$AD$495&gt;=2))*ROW('CASE MASTER'!$T$2:$T$495))&gt;0,INDEX('CASE MASTER'!$Y$2:$Y$495,(SUMPRODUCT((('CASE MASTER'!$T$2:$T$495=15)*('CASE MASTER'!$AA$2:$AA$495&lt;=8)*('CASE MASTER'!$AC$2:$AC$495&gt;=8)*('CASE MASTER'!$AB$2:$AB$495&lt;=2)*('CASE MASTER'!$AD$2:$AD$495&gt;=2))*ROW('CASE MASTER'!$T$2:$T$495))-(ROW('CASE MASTER'!#REF!)-1)))&amp;TRIM(MID(SUBSTITUTE(SUBSTITUTE(INDEX('CASE MASTER'!$N$2:$N$495,(SUMPRODUCT((('CASE MASTER'!$T$2:$T$495=15)*('CASE MASTER'!$AA$2:$AA$495&lt;=8)*('CASE MASTER'!$AC$2:$AC$495&gt;=8)*('CASE MASTER'!$AB$2:$AB$495&lt;=2)*('CASE MASTER'!$AD$2:$AD$495&gt;=2))*ROW('CASE MASTER'!$T$2:$T$495))-(ROW('CASE MASTER'!#REF!)-1))),":",","),",",REPT(" ",50)),(((INDEX('CASE MASTER'!$Z$2:$Z$495,(SUMPRODUCT((('CASE MASTER'!$T$2:$T$495=15)*('CASE MASTER'!$AA$2:$AA$495&lt;=8)*('CASE MASTER'!$AC$2:$AC$495&gt;=8)*('CASE MASTER'!$AB$2:$AB$495&lt;=2)*('CASE MASTER'!$AD$2:$AD$495&gt;=2))*ROW('CASE MASTER'!$T$2:$T$495))-(ROW('CASE MASTER'!#REF!)-1)))+((8-INDEX('CASE MASTER'!$AA$2:$AA$495,(SUMPRODUCT((('CASE MASTER'!$T$2:$T$495=15)*('CASE MASTER'!$AA$2:$AA$495&lt;=8)*('CASE MASTER'!$AC$2:$AC$495&gt;=8)*('CASE MASTER'!$AB$2:$AB$495&lt;=2)*('CASE MASTER'!$AD$2:$AD$495&gt;=2))*ROW('CASE MASTER'!$T$2:$T$495))-(ROW('CASE MASTER'!#REF!)-1))))*(INDEX('CASE MASTER'!$AD$2:$AD$495,(SUMPRODUCT((('CASE MASTER'!$T$2:$T$495=15)*('CASE MASTER'!$AA$2:$AA$495&lt;=8)*('CASE MASTER'!$AC$2:$AC$495&gt;=8)*('CASE MASTER'!$AB$2:$AB$495&lt;=2)*('CASE MASTER'!$AD$2:$AD$495&gt;=2))*ROW('CASE MASTER'!$T$2:$T$495))-(ROW('CASE MASTER'!#REF!)-1)))-INDEX('CASE MASTER'!$AB$2:$AB$495,(SUMPRODUCT((('CASE MASTER'!$T$2:$T$495=15)*('CASE MASTER'!$AA$2:$AA$495&lt;=8)*('CASE MASTER'!$AC$2:$AC$495&gt;=8)*('CASE MASTER'!$AB$2:$AB$495&lt;=2)*('CASE MASTER'!$AD$2:$AD$495&gt;=2))*ROW('CASE MASTER'!$T$2:$T$495))-(ROW('CASE MASTER'!#REF!)-1)))+1)+(2-INDEX('CASE MASTER'!$AB$2:$AB$495,(SUMPRODUCT((('CASE MASTER'!$T$2:$T$495=15)*('CASE MASTER'!$AA$2:$AA$495&lt;=8)*('CASE MASTER'!$AC$2:$AC$495&gt;=8)*('CASE MASTER'!$AB$2:$AB$495&lt;=2)*('CASE MASTER'!$AD$2:$AD$495&gt;=2))*ROW('CASE MASTER'!$T$2:$T$495))-(ROW('CASE MASTER'!#REF!)-1))))+1)))-1)*50+1,50))&amp;"_"&amp;INDEX('CASE MASTER'!$Q$2:$Q$495,(SUMPRODUCT((('CASE MASTER'!$T$2:$T$495=15)*('CASE MASTER'!$AA$2:$AA$495&lt;=8)*('CASE MASTER'!$AC$2:$AC$495&gt;=8)*('CASE MASTER'!$AB$2:$AB$495&lt;=2)*('CASE MASTER'!$AD$2:$AD$495&gt;=2))*ROW('CASE MASTER'!$T$2:$T$495))-(ROW('CASE MASTER'!#REF!)-1))),"")),"")</f>
        <v/>
      </c>
      <c r="D206" s="10" t="str">
        <f>IFERROR(IF(SUMPRODUCT((('CASE MASTER'!$T$2:$T$495=15)*('CASE MASTER'!$U$2:$U$495&lt;=8)*('CASE MASTER'!$W$2:$W$495&gt;=8)*('CASE MASTER'!$V$2:$V$495&lt;=3)*('CASE MASTER'!$X$2:$X$495&gt;=3))*ROW('CASE MASTER'!$T$2:$T$495))&gt;0,INDEX('CASE MASTER'!$Y$2:$Y$495,(SUMPRODUCT((('CASE MASTER'!$T$2:$T$495=15)*('CASE MASTER'!$U$2:$U$495&lt;=8)*('CASE MASTER'!$W$2:$W$495&gt;=8)*('CASE MASTER'!$V$2:$V$495&lt;=3)*('CASE MASTER'!$X$2:$X$495&gt;=3))*ROW('CASE MASTER'!$T$2:$T$495))-(ROW('CASE MASTER'!#REF!)-1)))&amp;TRIM(MID(SUBSTITUTE(SUBSTITUTE(INDEX('CASE MASTER'!$N$2:$N$495,(SUMPRODUCT((('CASE MASTER'!$T$2:$T$495=15)*('CASE MASTER'!$U$2:$U$495&lt;=8)*('CASE MASTER'!$W$2:$W$495&gt;=8)*('CASE MASTER'!$V$2:$V$495&lt;=3)*('CASE MASTER'!$X$2:$X$495&gt;=3))*ROW('CASE MASTER'!$T$2:$T$495))-(ROW('CASE MASTER'!#REF!)-1))),":",","),",",REPT(" ",50)),((((8-INDEX('CASE MASTER'!$U$2:$U$495,(SUMPRODUCT((('CASE MASTER'!$T$2:$T$495=15)*('CASE MASTER'!$U$2:$U$495&lt;=8)*('CASE MASTER'!$W$2:$W$495&gt;=8)*('CASE MASTER'!$V$2:$V$495&lt;=3)*('CASE MASTER'!$X$2:$X$495&gt;=3))*ROW('CASE MASTER'!$T$2:$T$495))-(ROW('CASE MASTER'!#REF!)-1))))*(INDEX('CASE MASTER'!$X$2:$X$495,(SUMPRODUCT((('CASE MASTER'!$T$2:$T$495=15)*('CASE MASTER'!$U$2:$U$495&lt;=8)*('CASE MASTER'!$W$2:$W$495&gt;=8)*('CASE MASTER'!$V$2:$V$495&lt;=3)*('CASE MASTER'!$X$2:$X$495&gt;=3))*ROW('CASE MASTER'!$T$2:$T$495))-(ROW('CASE MASTER'!#REF!)-1)))-INDEX('CASE MASTER'!$V$2:$V$495,(SUMPRODUCT((('CASE MASTER'!$T$2:$T$495=15)*('CASE MASTER'!$U$2:$U$495&lt;=8)*('CASE MASTER'!$W$2:$W$495&gt;=8)*('CASE MASTER'!$V$2:$V$495&lt;=3)*('CASE MASTER'!$X$2:$X$495&gt;=3))*ROW('CASE MASTER'!$T$2:$T$495))-(ROW('CASE MASTER'!#REF!)-1)))+1)+(3-INDEX('CASE MASTER'!$V$2:$V$495,(SUMPRODUCT((('CASE MASTER'!$T$2:$T$495=15)*('CASE MASTER'!$U$2:$U$495&lt;=8)*('CASE MASTER'!$W$2:$W$495&gt;=8)*('CASE MASTER'!$V$2:$V$495&lt;=3)*('CASE MASTER'!$X$2:$X$495&gt;=3))*ROW('CASE MASTER'!$T$2:$T$495))-(ROW('CASE MASTER'!#REF!)-1))))+1))-1)*50+1,50))&amp;"_"&amp;INDEX('CASE MASTER'!$Q$2:$Q$495,(SUMPRODUCT((('CASE MASTER'!$T$2:$T$495=15)*('CASE MASTER'!$U$2:$U$495&lt;=8)*('CASE MASTER'!$W$2:$W$495&gt;=8)*('CASE MASTER'!$V$2:$V$495&lt;=3)*('CASE MASTER'!$X$2:$X$495&gt;=3))*ROW('CASE MASTER'!$T$2:$T$495))-(ROW('CASE MASTER'!#REF!)-1))),IF(SUMPRODUCT((('CASE MASTER'!$T$2:$T$495=15)*('CASE MASTER'!$AA$2:$AA$495&lt;=8)*('CASE MASTER'!$AC$2:$AC$495&gt;=8)*('CASE MASTER'!$AB$2:$AB$495&lt;=3)*('CASE MASTER'!$AD$2:$AD$495&gt;=3))*ROW('CASE MASTER'!$T$2:$T$495))&gt;0,INDEX('CASE MASTER'!$Y$2:$Y$495,(SUMPRODUCT((('CASE MASTER'!$T$2:$T$495=15)*('CASE MASTER'!$AA$2:$AA$495&lt;=8)*('CASE MASTER'!$AC$2:$AC$495&gt;=8)*('CASE MASTER'!$AB$2:$AB$495&lt;=3)*('CASE MASTER'!$AD$2:$AD$495&gt;=3))*ROW('CASE MASTER'!$T$2:$T$495))-(ROW('CASE MASTER'!#REF!)-1)))&amp;TRIM(MID(SUBSTITUTE(SUBSTITUTE(INDEX('CASE MASTER'!$N$2:$N$495,(SUMPRODUCT((('CASE MASTER'!$T$2:$T$495=15)*('CASE MASTER'!$AA$2:$AA$495&lt;=8)*('CASE MASTER'!$AC$2:$AC$495&gt;=8)*('CASE MASTER'!$AB$2:$AB$495&lt;=3)*('CASE MASTER'!$AD$2:$AD$495&gt;=3))*ROW('CASE MASTER'!$T$2:$T$495))-(ROW('CASE MASTER'!#REF!)-1))),":",","),",",REPT(" ",50)),(((INDEX('CASE MASTER'!$Z$2:$Z$495,(SUMPRODUCT((('CASE MASTER'!$T$2:$T$495=15)*('CASE MASTER'!$AA$2:$AA$495&lt;=8)*('CASE MASTER'!$AC$2:$AC$495&gt;=8)*('CASE MASTER'!$AB$2:$AB$495&lt;=3)*('CASE MASTER'!$AD$2:$AD$495&gt;=3))*ROW('CASE MASTER'!$T$2:$T$495))-(ROW('CASE MASTER'!#REF!)-1)))+((8-INDEX('CASE MASTER'!$AA$2:$AA$495,(SUMPRODUCT((('CASE MASTER'!$T$2:$T$495=15)*('CASE MASTER'!$AA$2:$AA$495&lt;=8)*('CASE MASTER'!$AC$2:$AC$495&gt;=8)*('CASE MASTER'!$AB$2:$AB$495&lt;=3)*('CASE MASTER'!$AD$2:$AD$495&gt;=3))*ROW('CASE MASTER'!$T$2:$T$495))-(ROW('CASE MASTER'!#REF!)-1))))*(INDEX('CASE MASTER'!$AD$2:$AD$495,(SUMPRODUCT((('CASE MASTER'!$T$2:$T$495=15)*('CASE MASTER'!$AA$2:$AA$495&lt;=8)*('CASE MASTER'!$AC$2:$AC$495&gt;=8)*('CASE MASTER'!$AB$2:$AB$495&lt;=3)*('CASE MASTER'!$AD$2:$AD$495&gt;=3))*ROW('CASE MASTER'!$T$2:$T$495))-(ROW('CASE MASTER'!#REF!)-1)))-INDEX('CASE MASTER'!$AB$2:$AB$495,(SUMPRODUCT((('CASE MASTER'!$T$2:$T$495=15)*('CASE MASTER'!$AA$2:$AA$495&lt;=8)*('CASE MASTER'!$AC$2:$AC$495&gt;=8)*('CASE MASTER'!$AB$2:$AB$495&lt;=3)*('CASE MASTER'!$AD$2:$AD$495&gt;=3))*ROW('CASE MASTER'!$T$2:$T$495))-(ROW('CASE MASTER'!#REF!)-1)))+1)+(3-INDEX('CASE MASTER'!$AB$2:$AB$495,(SUMPRODUCT((('CASE MASTER'!$T$2:$T$495=15)*('CASE MASTER'!$AA$2:$AA$495&lt;=8)*('CASE MASTER'!$AC$2:$AC$495&gt;=8)*('CASE MASTER'!$AB$2:$AB$495&lt;=3)*('CASE MASTER'!$AD$2:$AD$495&gt;=3))*ROW('CASE MASTER'!$T$2:$T$495))-(ROW('CASE MASTER'!#REF!)-1))))+1)))-1)*50+1,50))&amp;"_"&amp;INDEX('CASE MASTER'!$Q$2:$Q$495,(SUMPRODUCT((('CASE MASTER'!$T$2:$T$495=15)*('CASE MASTER'!$AA$2:$AA$495&lt;=8)*('CASE MASTER'!$AC$2:$AC$495&gt;=8)*('CASE MASTER'!$AB$2:$AB$495&lt;=3)*('CASE MASTER'!$AD$2:$AD$495&gt;=3))*ROW('CASE MASTER'!$T$2:$T$495))-(ROW('CASE MASTER'!#REF!)-1))),"")),"")</f>
        <v/>
      </c>
      <c r="E206" s="10" t="str">
        <f>IFERROR(IF(SUMPRODUCT((('CASE MASTER'!$T$2:$T$495=15)*('CASE MASTER'!$U$2:$U$495&lt;=8)*('CASE MASTER'!$W$2:$W$495&gt;=8)*('CASE MASTER'!$V$2:$V$495&lt;=4)*('CASE MASTER'!$X$2:$X$495&gt;=4))*ROW('CASE MASTER'!$T$2:$T$495))&gt;0,INDEX('CASE MASTER'!$Y$2:$Y$495,(SUMPRODUCT((('CASE MASTER'!$T$2:$T$495=15)*('CASE MASTER'!$U$2:$U$495&lt;=8)*('CASE MASTER'!$W$2:$W$495&gt;=8)*('CASE MASTER'!$V$2:$V$495&lt;=4)*('CASE MASTER'!$X$2:$X$495&gt;=4))*ROW('CASE MASTER'!$T$2:$T$495))-(ROW('CASE MASTER'!#REF!)-1)))&amp;TRIM(MID(SUBSTITUTE(SUBSTITUTE(INDEX('CASE MASTER'!$N$2:$N$495,(SUMPRODUCT((('CASE MASTER'!$T$2:$T$495=15)*('CASE MASTER'!$U$2:$U$495&lt;=8)*('CASE MASTER'!$W$2:$W$495&gt;=8)*('CASE MASTER'!$V$2:$V$495&lt;=4)*('CASE MASTER'!$X$2:$X$495&gt;=4))*ROW('CASE MASTER'!$T$2:$T$495))-(ROW('CASE MASTER'!#REF!)-1))),":",","),",",REPT(" ",50)),((((8-INDEX('CASE MASTER'!$U$2:$U$495,(SUMPRODUCT((('CASE MASTER'!$T$2:$T$495=15)*('CASE MASTER'!$U$2:$U$495&lt;=8)*('CASE MASTER'!$W$2:$W$495&gt;=8)*('CASE MASTER'!$V$2:$V$495&lt;=4)*('CASE MASTER'!$X$2:$X$495&gt;=4))*ROW('CASE MASTER'!$T$2:$T$495))-(ROW('CASE MASTER'!#REF!)-1))))*(INDEX('CASE MASTER'!$X$2:$X$495,(SUMPRODUCT((('CASE MASTER'!$T$2:$T$495=15)*('CASE MASTER'!$U$2:$U$495&lt;=8)*('CASE MASTER'!$W$2:$W$495&gt;=8)*('CASE MASTER'!$V$2:$V$495&lt;=4)*('CASE MASTER'!$X$2:$X$495&gt;=4))*ROW('CASE MASTER'!$T$2:$T$495))-(ROW('CASE MASTER'!#REF!)-1)))-INDEX('CASE MASTER'!$V$2:$V$495,(SUMPRODUCT((('CASE MASTER'!$T$2:$T$495=15)*('CASE MASTER'!$U$2:$U$495&lt;=8)*('CASE MASTER'!$W$2:$W$495&gt;=8)*('CASE MASTER'!$V$2:$V$495&lt;=4)*('CASE MASTER'!$X$2:$X$495&gt;=4))*ROW('CASE MASTER'!$T$2:$T$495))-(ROW('CASE MASTER'!#REF!)-1)))+1)+(4-INDEX('CASE MASTER'!$V$2:$V$495,(SUMPRODUCT((('CASE MASTER'!$T$2:$T$495=15)*('CASE MASTER'!$U$2:$U$495&lt;=8)*('CASE MASTER'!$W$2:$W$495&gt;=8)*('CASE MASTER'!$V$2:$V$495&lt;=4)*('CASE MASTER'!$X$2:$X$495&gt;=4))*ROW('CASE MASTER'!$T$2:$T$495))-(ROW('CASE MASTER'!#REF!)-1))))+1))-1)*50+1,50))&amp;"_"&amp;INDEX('CASE MASTER'!$Q$2:$Q$495,(SUMPRODUCT((('CASE MASTER'!$T$2:$T$495=15)*('CASE MASTER'!$U$2:$U$495&lt;=8)*('CASE MASTER'!$W$2:$W$495&gt;=8)*('CASE MASTER'!$V$2:$V$495&lt;=4)*('CASE MASTER'!$X$2:$X$495&gt;=4))*ROW('CASE MASTER'!$T$2:$T$495))-(ROW('CASE MASTER'!#REF!)-1))),IF(SUMPRODUCT((('CASE MASTER'!$T$2:$T$495=15)*('CASE MASTER'!$AA$2:$AA$495&lt;=8)*('CASE MASTER'!$AC$2:$AC$495&gt;=8)*('CASE MASTER'!$AB$2:$AB$495&lt;=4)*('CASE MASTER'!$AD$2:$AD$495&gt;=4))*ROW('CASE MASTER'!$T$2:$T$495))&gt;0,INDEX('CASE MASTER'!$Y$2:$Y$495,(SUMPRODUCT((('CASE MASTER'!$T$2:$T$495=15)*('CASE MASTER'!$AA$2:$AA$495&lt;=8)*('CASE MASTER'!$AC$2:$AC$495&gt;=8)*('CASE MASTER'!$AB$2:$AB$495&lt;=4)*('CASE MASTER'!$AD$2:$AD$495&gt;=4))*ROW('CASE MASTER'!$T$2:$T$495))-(ROW('CASE MASTER'!#REF!)-1)))&amp;TRIM(MID(SUBSTITUTE(SUBSTITUTE(INDEX('CASE MASTER'!$N$2:$N$495,(SUMPRODUCT((('CASE MASTER'!$T$2:$T$495=15)*('CASE MASTER'!$AA$2:$AA$495&lt;=8)*('CASE MASTER'!$AC$2:$AC$495&gt;=8)*('CASE MASTER'!$AB$2:$AB$495&lt;=4)*('CASE MASTER'!$AD$2:$AD$495&gt;=4))*ROW('CASE MASTER'!$T$2:$T$495))-(ROW('CASE MASTER'!#REF!)-1))),":",","),",",REPT(" ",50)),(((INDEX('CASE MASTER'!$Z$2:$Z$495,(SUMPRODUCT((('CASE MASTER'!$T$2:$T$495=15)*('CASE MASTER'!$AA$2:$AA$495&lt;=8)*('CASE MASTER'!$AC$2:$AC$495&gt;=8)*('CASE MASTER'!$AB$2:$AB$495&lt;=4)*('CASE MASTER'!$AD$2:$AD$495&gt;=4))*ROW('CASE MASTER'!$T$2:$T$495))-(ROW('CASE MASTER'!#REF!)-1)))+((8-INDEX('CASE MASTER'!$AA$2:$AA$495,(SUMPRODUCT((('CASE MASTER'!$T$2:$T$495=15)*('CASE MASTER'!$AA$2:$AA$495&lt;=8)*('CASE MASTER'!$AC$2:$AC$495&gt;=8)*('CASE MASTER'!$AB$2:$AB$495&lt;=4)*('CASE MASTER'!$AD$2:$AD$495&gt;=4))*ROW('CASE MASTER'!$T$2:$T$495))-(ROW('CASE MASTER'!#REF!)-1))))*(INDEX('CASE MASTER'!$AD$2:$AD$495,(SUMPRODUCT((('CASE MASTER'!$T$2:$T$495=15)*('CASE MASTER'!$AA$2:$AA$495&lt;=8)*('CASE MASTER'!$AC$2:$AC$495&gt;=8)*('CASE MASTER'!$AB$2:$AB$495&lt;=4)*('CASE MASTER'!$AD$2:$AD$495&gt;=4))*ROW('CASE MASTER'!$T$2:$T$495))-(ROW('CASE MASTER'!#REF!)-1)))-INDEX('CASE MASTER'!$AB$2:$AB$495,(SUMPRODUCT((('CASE MASTER'!$T$2:$T$495=15)*('CASE MASTER'!$AA$2:$AA$495&lt;=8)*('CASE MASTER'!$AC$2:$AC$495&gt;=8)*('CASE MASTER'!$AB$2:$AB$495&lt;=4)*('CASE MASTER'!$AD$2:$AD$495&gt;=4))*ROW('CASE MASTER'!$T$2:$T$495))-(ROW('CASE MASTER'!#REF!)-1)))+1)+(4-INDEX('CASE MASTER'!$AB$2:$AB$495,(SUMPRODUCT((('CASE MASTER'!$T$2:$T$495=15)*('CASE MASTER'!$AA$2:$AA$495&lt;=8)*('CASE MASTER'!$AC$2:$AC$495&gt;=8)*('CASE MASTER'!$AB$2:$AB$495&lt;=4)*('CASE MASTER'!$AD$2:$AD$495&gt;=4))*ROW('CASE MASTER'!$T$2:$T$495))-(ROW('CASE MASTER'!#REF!)-1))))+1)))-1)*50+1,50))&amp;"_"&amp;INDEX('CASE MASTER'!$Q$2:$Q$495,(SUMPRODUCT((('CASE MASTER'!$T$2:$T$495=15)*('CASE MASTER'!$AA$2:$AA$495&lt;=8)*('CASE MASTER'!$AC$2:$AC$495&gt;=8)*('CASE MASTER'!$AB$2:$AB$495&lt;=4)*('CASE MASTER'!$AD$2:$AD$495&gt;=4))*ROW('CASE MASTER'!$T$2:$T$495))-(ROW('CASE MASTER'!#REF!)-1))),"")),"")</f>
        <v/>
      </c>
      <c r="F206" s="10" t="str">
        <f>IFERROR(IF(SUMPRODUCT((('CASE MASTER'!$T$2:$T$495=15)*('CASE MASTER'!$U$2:$U$495&lt;=8)*('CASE MASTER'!$W$2:$W$495&gt;=8)*('CASE MASTER'!$V$2:$V$495&lt;=5)*('CASE MASTER'!$X$2:$X$495&gt;=5))*ROW('CASE MASTER'!$T$2:$T$495))&gt;0,INDEX('CASE MASTER'!$Y$2:$Y$495,(SUMPRODUCT((('CASE MASTER'!$T$2:$T$495=15)*('CASE MASTER'!$U$2:$U$495&lt;=8)*('CASE MASTER'!$W$2:$W$495&gt;=8)*('CASE MASTER'!$V$2:$V$495&lt;=5)*('CASE MASTER'!$X$2:$X$495&gt;=5))*ROW('CASE MASTER'!$T$2:$T$495))-(ROW('CASE MASTER'!#REF!)-1)))&amp;TRIM(MID(SUBSTITUTE(SUBSTITUTE(INDEX('CASE MASTER'!$N$2:$N$495,(SUMPRODUCT((('CASE MASTER'!$T$2:$T$495=15)*('CASE MASTER'!$U$2:$U$495&lt;=8)*('CASE MASTER'!$W$2:$W$495&gt;=8)*('CASE MASTER'!$V$2:$V$495&lt;=5)*('CASE MASTER'!$X$2:$X$495&gt;=5))*ROW('CASE MASTER'!$T$2:$T$495))-(ROW('CASE MASTER'!#REF!)-1))),":",","),",",REPT(" ",50)),((((8-INDEX('CASE MASTER'!$U$2:$U$495,(SUMPRODUCT((('CASE MASTER'!$T$2:$T$495=15)*('CASE MASTER'!$U$2:$U$495&lt;=8)*('CASE MASTER'!$W$2:$W$495&gt;=8)*('CASE MASTER'!$V$2:$V$495&lt;=5)*('CASE MASTER'!$X$2:$X$495&gt;=5))*ROW('CASE MASTER'!$T$2:$T$495))-(ROW('CASE MASTER'!#REF!)-1))))*(INDEX('CASE MASTER'!$X$2:$X$495,(SUMPRODUCT((('CASE MASTER'!$T$2:$T$495=15)*('CASE MASTER'!$U$2:$U$495&lt;=8)*('CASE MASTER'!$W$2:$W$495&gt;=8)*('CASE MASTER'!$V$2:$V$495&lt;=5)*('CASE MASTER'!$X$2:$X$495&gt;=5))*ROW('CASE MASTER'!$T$2:$T$495))-(ROW('CASE MASTER'!#REF!)-1)))-INDEX('CASE MASTER'!$V$2:$V$495,(SUMPRODUCT((('CASE MASTER'!$T$2:$T$495=15)*('CASE MASTER'!$U$2:$U$495&lt;=8)*('CASE MASTER'!$W$2:$W$495&gt;=8)*('CASE MASTER'!$V$2:$V$495&lt;=5)*('CASE MASTER'!$X$2:$X$495&gt;=5))*ROW('CASE MASTER'!$T$2:$T$495))-(ROW('CASE MASTER'!#REF!)-1)))+1)+(5-INDEX('CASE MASTER'!$V$2:$V$495,(SUMPRODUCT((('CASE MASTER'!$T$2:$T$495=15)*('CASE MASTER'!$U$2:$U$495&lt;=8)*('CASE MASTER'!$W$2:$W$495&gt;=8)*('CASE MASTER'!$V$2:$V$495&lt;=5)*('CASE MASTER'!$X$2:$X$495&gt;=5))*ROW('CASE MASTER'!$T$2:$T$495))-(ROW('CASE MASTER'!#REF!)-1))))+1))-1)*50+1,50))&amp;"_"&amp;INDEX('CASE MASTER'!$Q$2:$Q$495,(SUMPRODUCT((('CASE MASTER'!$T$2:$T$495=15)*('CASE MASTER'!$U$2:$U$495&lt;=8)*('CASE MASTER'!$W$2:$W$495&gt;=8)*('CASE MASTER'!$V$2:$V$495&lt;=5)*('CASE MASTER'!$X$2:$X$495&gt;=5))*ROW('CASE MASTER'!$T$2:$T$495))-(ROW('CASE MASTER'!#REF!)-1))),IF(SUMPRODUCT((('CASE MASTER'!$T$2:$T$495=15)*('CASE MASTER'!$AA$2:$AA$495&lt;=8)*('CASE MASTER'!$AC$2:$AC$495&gt;=8)*('CASE MASTER'!$AB$2:$AB$495&lt;=5)*('CASE MASTER'!$AD$2:$AD$495&gt;=5))*ROW('CASE MASTER'!$T$2:$T$495))&gt;0,INDEX('CASE MASTER'!$Y$2:$Y$495,(SUMPRODUCT((('CASE MASTER'!$T$2:$T$495=15)*('CASE MASTER'!$AA$2:$AA$495&lt;=8)*('CASE MASTER'!$AC$2:$AC$495&gt;=8)*('CASE MASTER'!$AB$2:$AB$495&lt;=5)*('CASE MASTER'!$AD$2:$AD$495&gt;=5))*ROW('CASE MASTER'!$T$2:$T$495))-(ROW('CASE MASTER'!#REF!)-1)))&amp;TRIM(MID(SUBSTITUTE(SUBSTITUTE(INDEX('CASE MASTER'!$N$2:$N$495,(SUMPRODUCT((('CASE MASTER'!$T$2:$T$495=15)*('CASE MASTER'!$AA$2:$AA$495&lt;=8)*('CASE MASTER'!$AC$2:$AC$495&gt;=8)*('CASE MASTER'!$AB$2:$AB$495&lt;=5)*('CASE MASTER'!$AD$2:$AD$495&gt;=5))*ROW('CASE MASTER'!$T$2:$T$495))-(ROW('CASE MASTER'!#REF!)-1))),":",","),",",REPT(" ",50)),(((INDEX('CASE MASTER'!$Z$2:$Z$495,(SUMPRODUCT((('CASE MASTER'!$T$2:$T$495=15)*('CASE MASTER'!$AA$2:$AA$495&lt;=8)*('CASE MASTER'!$AC$2:$AC$495&gt;=8)*('CASE MASTER'!$AB$2:$AB$495&lt;=5)*('CASE MASTER'!$AD$2:$AD$495&gt;=5))*ROW('CASE MASTER'!$T$2:$T$495))-(ROW('CASE MASTER'!#REF!)-1)))+((8-INDEX('CASE MASTER'!$AA$2:$AA$495,(SUMPRODUCT((('CASE MASTER'!$T$2:$T$495=15)*('CASE MASTER'!$AA$2:$AA$495&lt;=8)*('CASE MASTER'!$AC$2:$AC$495&gt;=8)*('CASE MASTER'!$AB$2:$AB$495&lt;=5)*('CASE MASTER'!$AD$2:$AD$495&gt;=5))*ROW('CASE MASTER'!$T$2:$T$495))-(ROW('CASE MASTER'!#REF!)-1))))*(INDEX('CASE MASTER'!$AD$2:$AD$495,(SUMPRODUCT((('CASE MASTER'!$T$2:$T$495=15)*('CASE MASTER'!$AA$2:$AA$495&lt;=8)*('CASE MASTER'!$AC$2:$AC$495&gt;=8)*('CASE MASTER'!$AB$2:$AB$495&lt;=5)*('CASE MASTER'!$AD$2:$AD$495&gt;=5))*ROW('CASE MASTER'!$T$2:$T$495))-(ROW('CASE MASTER'!#REF!)-1)))-INDEX('CASE MASTER'!$AB$2:$AB$495,(SUMPRODUCT((('CASE MASTER'!$T$2:$T$495=15)*('CASE MASTER'!$AA$2:$AA$495&lt;=8)*('CASE MASTER'!$AC$2:$AC$495&gt;=8)*('CASE MASTER'!$AB$2:$AB$495&lt;=5)*('CASE MASTER'!$AD$2:$AD$495&gt;=5))*ROW('CASE MASTER'!$T$2:$T$495))-(ROW('CASE MASTER'!#REF!)-1)))+1)+(5-INDEX('CASE MASTER'!$AB$2:$AB$495,(SUMPRODUCT((('CASE MASTER'!$T$2:$T$495=15)*('CASE MASTER'!$AA$2:$AA$495&lt;=8)*('CASE MASTER'!$AC$2:$AC$495&gt;=8)*('CASE MASTER'!$AB$2:$AB$495&lt;=5)*('CASE MASTER'!$AD$2:$AD$495&gt;=5))*ROW('CASE MASTER'!$T$2:$T$495))-(ROW('CASE MASTER'!#REF!)-1))))+1)))-1)*50+1,50))&amp;"_"&amp;INDEX('CASE MASTER'!$Q$2:$Q$495,(SUMPRODUCT((('CASE MASTER'!$T$2:$T$495=15)*('CASE MASTER'!$AA$2:$AA$495&lt;=8)*('CASE MASTER'!$AC$2:$AC$495&gt;=8)*('CASE MASTER'!$AB$2:$AB$495&lt;=5)*('CASE MASTER'!$AD$2:$AD$495&gt;=5))*ROW('CASE MASTER'!$T$2:$T$495))-(ROW('CASE MASTER'!#REF!)-1))),"")),"")</f>
        <v/>
      </c>
      <c r="G206" s="10" t="str">
        <f>IFERROR(IF(SUMPRODUCT((('CASE MASTER'!$T$2:$T$495=15)*('CASE MASTER'!$U$2:$U$495&lt;=8)*('CASE MASTER'!$W$2:$W$495&gt;=8)*('CASE MASTER'!$V$2:$V$495&lt;=6)*('CASE MASTER'!$X$2:$X$495&gt;=6))*ROW('CASE MASTER'!$T$2:$T$495))&gt;0,INDEX('CASE MASTER'!$Y$2:$Y$495,(SUMPRODUCT((('CASE MASTER'!$T$2:$T$495=15)*('CASE MASTER'!$U$2:$U$495&lt;=8)*('CASE MASTER'!$W$2:$W$495&gt;=8)*('CASE MASTER'!$V$2:$V$495&lt;=6)*('CASE MASTER'!$X$2:$X$495&gt;=6))*ROW('CASE MASTER'!$T$2:$T$495))-(ROW('CASE MASTER'!#REF!)-1)))&amp;TRIM(MID(SUBSTITUTE(SUBSTITUTE(INDEX('CASE MASTER'!$N$2:$N$495,(SUMPRODUCT((('CASE MASTER'!$T$2:$T$495=15)*('CASE MASTER'!$U$2:$U$495&lt;=8)*('CASE MASTER'!$W$2:$W$495&gt;=8)*('CASE MASTER'!$V$2:$V$495&lt;=6)*('CASE MASTER'!$X$2:$X$495&gt;=6))*ROW('CASE MASTER'!$T$2:$T$495))-(ROW('CASE MASTER'!#REF!)-1))),":",","),",",REPT(" ",50)),((((8-INDEX('CASE MASTER'!$U$2:$U$495,(SUMPRODUCT((('CASE MASTER'!$T$2:$T$495=15)*('CASE MASTER'!$U$2:$U$495&lt;=8)*('CASE MASTER'!$W$2:$W$495&gt;=8)*('CASE MASTER'!$V$2:$V$495&lt;=6)*('CASE MASTER'!$X$2:$X$495&gt;=6))*ROW('CASE MASTER'!$T$2:$T$495))-(ROW('CASE MASTER'!#REF!)-1))))*(INDEX('CASE MASTER'!$X$2:$X$495,(SUMPRODUCT((('CASE MASTER'!$T$2:$T$495=15)*('CASE MASTER'!$U$2:$U$495&lt;=8)*('CASE MASTER'!$W$2:$W$495&gt;=8)*('CASE MASTER'!$V$2:$V$495&lt;=6)*('CASE MASTER'!$X$2:$X$495&gt;=6))*ROW('CASE MASTER'!$T$2:$T$495))-(ROW('CASE MASTER'!#REF!)-1)))-INDEX('CASE MASTER'!$V$2:$V$495,(SUMPRODUCT((('CASE MASTER'!$T$2:$T$495=15)*('CASE MASTER'!$U$2:$U$495&lt;=8)*('CASE MASTER'!$W$2:$W$495&gt;=8)*('CASE MASTER'!$V$2:$V$495&lt;=6)*('CASE MASTER'!$X$2:$X$495&gt;=6))*ROW('CASE MASTER'!$T$2:$T$495))-(ROW('CASE MASTER'!#REF!)-1)))+1)+(6-INDEX('CASE MASTER'!$V$2:$V$495,(SUMPRODUCT((('CASE MASTER'!$T$2:$T$495=15)*('CASE MASTER'!$U$2:$U$495&lt;=8)*('CASE MASTER'!$W$2:$W$495&gt;=8)*('CASE MASTER'!$V$2:$V$495&lt;=6)*('CASE MASTER'!$X$2:$X$495&gt;=6))*ROW('CASE MASTER'!$T$2:$T$495))-(ROW('CASE MASTER'!#REF!)-1))))+1))-1)*50+1,50))&amp;"_"&amp;INDEX('CASE MASTER'!$Q$2:$Q$495,(SUMPRODUCT((('CASE MASTER'!$T$2:$T$495=15)*('CASE MASTER'!$U$2:$U$495&lt;=8)*('CASE MASTER'!$W$2:$W$495&gt;=8)*('CASE MASTER'!$V$2:$V$495&lt;=6)*('CASE MASTER'!$X$2:$X$495&gt;=6))*ROW('CASE MASTER'!$T$2:$T$495))-(ROW('CASE MASTER'!#REF!)-1))),IF(SUMPRODUCT((('CASE MASTER'!$T$2:$T$495=15)*('CASE MASTER'!$AA$2:$AA$495&lt;=8)*('CASE MASTER'!$AC$2:$AC$495&gt;=8)*('CASE MASTER'!$AB$2:$AB$495&lt;=6)*('CASE MASTER'!$AD$2:$AD$495&gt;=6))*ROW('CASE MASTER'!$T$2:$T$495))&gt;0,INDEX('CASE MASTER'!$Y$2:$Y$495,(SUMPRODUCT((('CASE MASTER'!$T$2:$T$495=15)*('CASE MASTER'!$AA$2:$AA$495&lt;=8)*('CASE MASTER'!$AC$2:$AC$495&gt;=8)*('CASE MASTER'!$AB$2:$AB$495&lt;=6)*('CASE MASTER'!$AD$2:$AD$495&gt;=6))*ROW('CASE MASTER'!$T$2:$T$495))-(ROW('CASE MASTER'!#REF!)-1)))&amp;TRIM(MID(SUBSTITUTE(SUBSTITUTE(INDEX('CASE MASTER'!$N$2:$N$495,(SUMPRODUCT((('CASE MASTER'!$T$2:$T$495=15)*('CASE MASTER'!$AA$2:$AA$495&lt;=8)*('CASE MASTER'!$AC$2:$AC$495&gt;=8)*('CASE MASTER'!$AB$2:$AB$495&lt;=6)*('CASE MASTER'!$AD$2:$AD$495&gt;=6))*ROW('CASE MASTER'!$T$2:$T$495))-(ROW('CASE MASTER'!#REF!)-1))),":",","),",",REPT(" ",50)),(((INDEX('CASE MASTER'!$Z$2:$Z$495,(SUMPRODUCT((('CASE MASTER'!$T$2:$T$495=15)*('CASE MASTER'!$AA$2:$AA$495&lt;=8)*('CASE MASTER'!$AC$2:$AC$495&gt;=8)*('CASE MASTER'!$AB$2:$AB$495&lt;=6)*('CASE MASTER'!$AD$2:$AD$495&gt;=6))*ROW('CASE MASTER'!$T$2:$T$495))-(ROW('CASE MASTER'!#REF!)-1)))+((8-INDEX('CASE MASTER'!$AA$2:$AA$495,(SUMPRODUCT((('CASE MASTER'!$T$2:$T$495=15)*('CASE MASTER'!$AA$2:$AA$495&lt;=8)*('CASE MASTER'!$AC$2:$AC$495&gt;=8)*('CASE MASTER'!$AB$2:$AB$495&lt;=6)*('CASE MASTER'!$AD$2:$AD$495&gt;=6))*ROW('CASE MASTER'!$T$2:$T$495))-(ROW('CASE MASTER'!#REF!)-1))))*(INDEX('CASE MASTER'!$AD$2:$AD$495,(SUMPRODUCT((('CASE MASTER'!$T$2:$T$495=15)*('CASE MASTER'!$AA$2:$AA$495&lt;=8)*('CASE MASTER'!$AC$2:$AC$495&gt;=8)*('CASE MASTER'!$AB$2:$AB$495&lt;=6)*('CASE MASTER'!$AD$2:$AD$495&gt;=6))*ROW('CASE MASTER'!$T$2:$T$495))-(ROW('CASE MASTER'!#REF!)-1)))-INDEX('CASE MASTER'!$AB$2:$AB$495,(SUMPRODUCT((('CASE MASTER'!$T$2:$T$495=15)*('CASE MASTER'!$AA$2:$AA$495&lt;=8)*('CASE MASTER'!$AC$2:$AC$495&gt;=8)*('CASE MASTER'!$AB$2:$AB$495&lt;=6)*('CASE MASTER'!$AD$2:$AD$495&gt;=6))*ROW('CASE MASTER'!$T$2:$T$495))-(ROW('CASE MASTER'!#REF!)-1)))+1)+(6-INDEX('CASE MASTER'!$AB$2:$AB$495,(SUMPRODUCT((('CASE MASTER'!$T$2:$T$495=15)*('CASE MASTER'!$AA$2:$AA$495&lt;=8)*('CASE MASTER'!$AC$2:$AC$495&gt;=8)*('CASE MASTER'!$AB$2:$AB$495&lt;=6)*('CASE MASTER'!$AD$2:$AD$495&gt;=6))*ROW('CASE MASTER'!$T$2:$T$495))-(ROW('CASE MASTER'!#REF!)-1))))+1)))-1)*50+1,50))&amp;"_"&amp;INDEX('CASE MASTER'!$Q$2:$Q$495,(SUMPRODUCT((('CASE MASTER'!$T$2:$T$495=15)*('CASE MASTER'!$AA$2:$AA$495&lt;=8)*('CASE MASTER'!$AC$2:$AC$495&gt;=8)*('CASE MASTER'!$AB$2:$AB$495&lt;=6)*('CASE MASTER'!$AD$2:$AD$495&gt;=6))*ROW('CASE MASTER'!$T$2:$T$495))-(ROW('CASE MASTER'!#REF!)-1))),"")),"")</f>
        <v/>
      </c>
      <c r="H206" s="10" t="str">
        <f>IFERROR(IF(SUMPRODUCT((('CASE MASTER'!$T$2:$T$495=15)*('CASE MASTER'!$U$2:$U$495&lt;=8)*('CASE MASTER'!$W$2:$W$495&gt;=8)*('CASE MASTER'!$V$2:$V$495&lt;=7)*('CASE MASTER'!$X$2:$X$495&gt;=7))*ROW('CASE MASTER'!$T$2:$T$495))&gt;0,INDEX('CASE MASTER'!$Y$2:$Y$495,(SUMPRODUCT((('CASE MASTER'!$T$2:$T$495=15)*('CASE MASTER'!$U$2:$U$495&lt;=8)*('CASE MASTER'!$W$2:$W$495&gt;=8)*('CASE MASTER'!$V$2:$V$495&lt;=7)*('CASE MASTER'!$X$2:$X$495&gt;=7))*ROW('CASE MASTER'!$T$2:$T$495))-(ROW('CASE MASTER'!#REF!)-1)))&amp;TRIM(MID(SUBSTITUTE(SUBSTITUTE(INDEX('CASE MASTER'!$N$2:$N$495,(SUMPRODUCT((('CASE MASTER'!$T$2:$T$495=15)*('CASE MASTER'!$U$2:$U$495&lt;=8)*('CASE MASTER'!$W$2:$W$495&gt;=8)*('CASE MASTER'!$V$2:$V$495&lt;=7)*('CASE MASTER'!$X$2:$X$495&gt;=7))*ROW('CASE MASTER'!$T$2:$T$495))-(ROW('CASE MASTER'!#REF!)-1))),":",","),",",REPT(" ",50)),((((8-INDEX('CASE MASTER'!$U$2:$U$495,(SUMPRODUCT((('CASE MASTER'!$T$2:$T$495=15)*('CASE MASTER'!$U$2:$U$495&lt;=8)*('CASE MASTER'!$W$2:$W$495&gt;=8)*('CASE MASTER'!$V$2:$V$495&lt;=7)*('CASE MASTER'!$X$2:$X$495&gt;=7))*ROW('CASE MASTER'!$T$2:$T$495))-(ROW('CASE MASTER'!#REF!)-1))))*(INDEX('CASE MASTER'!$X$2:$X$495,(SUMPRODUCT((('CASE MASTER'!$T$2:$T$495=15)*('CASE MASTER'!$U$2:$U$495&lt;=8)*('CASE MASTER'!$W$2:$W$495&gt;=8)*('CASE MASTER'!$V$2:$V$495&lt;=7)*('CASE MASTER'!$X$2:$X$495&gt;=7))*ROW('CASE MASTER'!$T$2:$T$495))-(ROW('CASE MASTER'!#REF!)-1)))-INDEX('CASE MASTER'!$V$2:$V$495,(SUMPRODUCT((('CASE MASTER'!$T$2:$T$495=15)*('CASE MASTER'!$U$2:$U$495&lt;=8)*('CASE MASTER'!$W$2:$W$495&gt;=8)*('CASE MASTER'!$V$2:$V$495&lt;=7)*('CASE MASTER'!$X$2:$X$495&gt;=7))*ROW('CASE MASTER'!$T$2:$T$495))-(ROW('CASE MASTER'!#REF!)-1)))+1)+(7-INDEX('CASE MASTER'!$V$2:$V$495,(SUMPRODUCT((('CASE MASTER'!$T$2:$T$495=15)*('CASE MASTER'!$U$2:$U$495&lt;=8)*('CASE MASTER'!$W$2:$W$495&gt;=8)*('CASE MASTER'!$V$2:$V$495&lt;=7)*('CASE MASTER'!$X$2:$X$495&gt;=7))*ROW('CASE MASTER'!$T$2:$T$495))-(ROW('CASE MASTER'!#REF!)-1))))+1))-1)*50+1,50))&amp;"_"&amp;INDEX('CASE MASTER'!$Q$2:$Q$495,(SUMPRODUCT((('CASE MASTER'!$T$2:$T$495=15)*('CASE MASTER'!$U$2:$U$495&lt;=8)*('CASE MASTER'!$W$2:$W$495&gt;=8)*('CASE MASTER'!$V$2:$V$495&lt;=7)*('CASE MASTER'!$X$2:$X$495&gt;=7))*ROW('CASE MASTER'!$T$2:$T$495))-(ROW('CASE MASTER'!#REF!)-1))),IF(SUMPRODUCT((('CASE MASTER'!$T$2:$T$495=15)*('CASE MASTER'!$AA$2:$AA$495&lt;=8)*('CASE MASTER'!$AC$2:$AC$495&gt;=8)*('CASE MASTER'!$AB$2:$AB$495&lt;=7)*('CASE MASTER'!$AD$2:$AD$495&gt;=7))*ROW('CASE MASTER'!$T$2:$T$495))&gt;0,INDEX('CASE MASTER'!$Y$2:$Y$495,(SUMPRODUCT((('CASE MASTER'!$T$2:$T$495=15)*('CASE MASTER'!$AA$2:$AA$495&lt;=8)*('CASE MASTER'!$AC$2:$AC$495&gt;=8)*('CASE MASTER'!$AB$2:$AB$495&lt;=7)*('CASE MASTER'!$AD$2:$AD$495&gt;=7))*ROW('CASE MASTER'!$T$2:$T$495))-(ROW('CASE MASTER'!#REF!)-1)))&amp;TRIM(MID(SUBSTITUTE(SUBSTITUTE(INDEX('CASE MASTER'!$N$2:$N$495,(SUMPRODUCT((('CASE MASTER'!$T$2:$T$495=15)*('CASE MASTER'!$AA$2:$AA$495&lt;=8)*('CASE MASTER'!$AC$2:$AC$495&gt;=8)*('CASE MASTER'!$AB$2:$AB$495&lt;=7)*('CASE MASTER'!$AD$2:$AD$495&gt;=7))*ROW('CASE MASTER'!$T$2:$T$495))-(ROW('CASE MASTER'!#REF!)-1))),":",","),",",REPT(" ",50)),(((INDEX('CASE MASTER'!$Z$2:$Z$495,(SUMPRODUCT((('CASE MASTER'!$T$2:$T$495=15)*('CASE MASTER'!$AA$2:$AA$495&lt;=8)*('CASE MASTER'!$AC$2:$AC$495&gt;=8)*('CASE MASTER'!$AB$2:$AB$495&lt;=7)*('CASE MASTER'!$AD$2:$AD$495&gt;=7))*ROW('CASE MASTER'!$T$2:$T$495))-(ROW('CASE MASTER'!#REF!)-1)))+((8-INDEX('CASE MASTER'!$AA$2:$AA$495,(SUMPRODUCT((('CASE MASTER'!$T$2:$T$495=15)*('CASE MASTER'!$AA$2:$AA$495&lt;=8)*('CASE MASTER'!$AC$2:$AC$495&gt;=8)*('CASE MASTER'!$AB$2:$AB$495&lt;=7)*('CASE MASTER'!$AD$2:$AD$495&gt;=7))*ROW('CASE MASTER'!$T$2:$T$495))-(ROW('CASE MASTER'!#REF!)-1))))*(INDEX('CASE MASTER'!$AD$2:$AD$495,(SUMPRODUCT((('CASE MASTER'!$T$2:$T$495=15)*('CASE MASTER'!$AA$2:$AA$495&lt;=8)*('CASE MASTER'!$AC$2:$AC$495&gt;=8)*('CASE MASTER'!$AB$2:$AB$495&lt;=7)*('CASE MASTER'!$AD$2:$AD$495&gt;=7))*ROW('CASE MASTER'!$T$2:$T$495))-(ROW('CASE MASTER'!#REF!)-1)))-INDEX('CASE MASTER'!$AB$2:$AB$495,(SUMPRODUCT((('CASE MASTER'!$T$2:$T$495=15)*('CASE MASTER'!$AA$2:$AA$495&lt;=8)*('CASE MASTER'!$AC$2:$AC$495&gt;=8)*('CASE MASTER'!$AB$2:$AB$495&lt;=7)*('CASE MASTER'!$AD$2:$AD$495&gt;=7))*ROW('CASE MASTER'!$T$2:$T$495))-(ROW('CASE MASTER'!#REF!)-1)))+1)+(7-INDEX('CASE MASTER'!$AB$2:$AB$495,(SUMPRODUCT((('CASE MASTER'!$T$2:$T$495=15)*('CASE MASTER'!$AA$2:$AA$495&lt;=8)*('CASE MASTER'!$AC$2:$AC$495&gt;=8)*('CASE MASTER'!$AB$2:$AB$495&lt;=7)*('CASE MASTER'!$AD$2:$AD$495&gt;=7))*ROW('CASE MASTER'!$T$2:$T$495))-(ROW('CASE MASTER'!#REF!)-1))))+1)))-1)*50+1,50))&amp;"_"&amp;INDEX('CASE MASTER'!$Q$2:$Q$495,(SUMPRODUCT((('CASE MASTER'!$T$2:$T$495=15)*('CASE MASTER'!$AA$2:$AA$495&lt;=8)*('CASE MASTER'!$AC$2:$AC$495&gt;=8)*('CASE MASTER'!$AB$2:$AB$495&lt;=7)*('CASE MASTER'!$AD$2:$AD$495&gt;=7))*ROW('CASE MASTER'!$T$2:$T$495))-(ROW('CASE MASTER'!#REF!)-1))),"")),"")</f>
        <v/>
      </c>
      <c r="I206" s="10" t="str">
        <f>IFERROR(IF(SUMPRODUCT((('CASE MASTER'!$T$2:$T$495=15)*('CASE MASTER'!$U$2:$U$495&lt;=8)*('CASE MASTER'!$W$2:$W$495&gt;=8)*('CASE MASTER'!$V$2:$V$495&lt;=8)*('CASE MASTER'!$X$2:$X$495&gt;=8))*ROW('CASE MASTER'!$T$2:$T$495))&gt;0,INDEX('CASE MASTER'!$Y$2:$Y$495,(SUMPRODUCT((('CASE MASTER'!$T$2:$T$495=15)*('CASE MASTER'!$U$2:$U$495&lt;=8)*('CASE MASTER'!$W$2:$W$495&gt;=8)*('CASE MASTER'!$V$2:$V$495&lt;=8)*('CASE MASTER'!$X$2:$X$495&gt;=8))*ROW('CASE MASTER'!$T$2:$T$495))-(ROW('CASE MASTER'!#REF!)-1)))&amp;TRIM(MID(SUBSTITUTE(SUBSTITUTE(INDEX('CASE MASTER'!$N$2:$N$495,(SUMPRODUCT((('CASE MASTER'!$T$2:$T$495=15)*('CASE MASTER'!$U$2:$U$495&lt;=8)*('CASE MASTER'!$W$2:$W$495&gt;=8)*('CASE MASTER'!$V$2:$V$495&lt;=8)*('CASE MASTER'!$X$2:$X$495&gt;=8))*ROW('CASE MASTER'!$T$2:$T$495))-(ROW('CASE MASTER'!#REF!)-1))),":",","),",",REPT(" ",50)),((((8-INDEX('CASE MASTER'!$U$2:$U$495,(SUMPRODUCT((('CASE MASTER'!$T$2:$T$495=15)*('CASE MASTER'!$U$2:$U$495&lt;=8)*('CASE MASTER'!$W$2:$W$495&gt;=8)*('CASE MASTER'!$V$2:$V$495&lt;=8)*('CASE MASTER'!$X$2:$X$495&gt;=8))*ROW('CASE MASTER'!$T$2:$T$495))-(ROW('CASE MASTER'!#REF!)-1))))*(INDEX('CASE MASTER'!$X$2:$X$495,(SUMPRODUCT((('CASE MASTER'!$T$2:$T$495=15)*('CASE MASTER'!$U$2:$U$495&lt;=8)*('CASE MASTER'!$W$2:$W$495&gt;=8)*('CASE MASTER'!$V$2:$V$495&lt;=8)*('CASE MASTER'!$X$2:$X$495&gt;=8))*ROW('CASE MASTER'!$T$2:$T$495))-(ROW('CASE MASTER'!#REF!)-1)))-INDEX('CASE MASTER'!$V$2:$V$495,(SUMPRODUCT((('CASE MASTER'!$T$2:$T$495=15)*('CASE MASTER'!$U$2:$U$495&lt;=8)*('CASE MASTER'!$W$2:$W$495&gt;=8)*('CASE MASTER'!$V$2:$V$495&lt;=8)*('CASE MASTER'!$X$2:$X$495&gt;=8))*ROW('CASE MASTER'!$T$2:$T$495))-(ROW('CASE MASTER'!#REF!)-1)))+1)+(8-INDEX('CASE MASTER'!$V$2:$V$495,(SUMPRODUCT((('CASE MASTER'!$T$2:$T$495=15)*('CASE MASTER'!$U$2:$U$495&lt;=8)*('CASE MASTER'!$W$2:$W$495&gt;=8)*('CASE MASTER'!$V$2:$V$495&lt;=8)*('CASE MASTER'!$X$2:$X$495&gt;=8))*ROW('CASE MASTER'!$T$2:$T$495))-(ROW('CASE MASTER'!#REF!)-1))))+1))-1)*50+1,50))&amp;"_"&amp;INDEX('CASE MASTER'!$Q$2:$Q$495,(SUMPRODUCT((('CASE MASTER'!$T$2:$T$495=15)*('CASE MASTER'!$U$2:$U$495&lt;=8)*('CASE MASTER'!$W$2:$W$495&gt;=8)*('CASE MASTER'!$V$2:$V$495&lt;=8)*('CASE MASTER'!$X$2:$X$495&gt;=8))*ROW('CASE MASTER'!$T$2:$T$495))-(ROW('CASE MASTER'!#REF!)-1))),IF(SUMPRODUCT((('CASE MASTER'!$T$2:$T$495=15)*('CASE MASTER'!$AA$2:$AA$495&lt;=8)*('CASE MASTER'!$AC$2:$AC$495&gt;=8)*('CASE MASTER'!$AB$2:$AB$495&lt;=8)*('CASE MASTER'!$AD$2:$AD$495&gt;=8))*ROW('CASE MASTER'!$T$2:$T$495))&gt;0,INDEX('CASE MASTER'!$Y$2:$Y$495,(SUMPRODUCT((('CASE MASTER'!$T$2:$T$495=15)*('CASE MASTER'!$AA$2:$AA$495&lt;=8)*('CASE MASTER'!$AC$2:$AC$495&gt;=8)*('CASE MASTER'!$AB$2:$AB$495&lt;=8)*('CASE MASTER'!$AD$2:$AD$495&gt;=8))*ROW('CASE MASTER'!$T$2:$T$495))-(ROW('CASE MASTER'!#REF!)-1)))&amp;TRIM(MID(SUBSTITUTE(SUBSTITUTE(INDEX('CASE MASTER'!$N$2:$N$495,(SUMPRODUCT((('CASE MASTER'!$T$2:$T$495=15)*('CASE MASTER'!$AA$2:$AA$495&lt;=8)*('CASE MASTER'!$AC$2:$AC$495&gt;=8)*('CASE MASTER'!$AB$2:$AB$495&lt;=8)*('CASE MASTER'!$AD$2:$AD$495&gt;=8))*ROW('CASE MASTER'!$T$2:$T$495))-(ROW('CASE MASTER'!#REF!)-1))),":",","),",",REPT(" ",50)),(((INDEX('CASE MASTER'!$Z$2:$Z$495,(SUMPRODUCT((('CASE MASTER'!$T$2:$T$495=15)*('CASE MASTER'!$AA$2:$AA$495&lt;=8)*('CASE MASTER'!$AC$2:$AC$495&gt;=8)*('CASE MASTER'!$AB$2:$AB$495&lt;=8)*('CASE MASTER'!$AD$2:$AD$495&gt;=8))*ROW('CASE MASTER'!$T$2:$T$495))-(ROW('CASE MASTER'!#REF!)-1)))+((8-INDEX('CASE MASTER'!$AA$2:$AA$495,(SUMPRODUCT((('CASE MASTER'!$T$2:$T$495=15)*('CASE MASTER'!$AA$2:$AA$495&lt;=8)*('CASE MASTER'!$AC$2:$AC$495&gt;=8)*('CASE MASTER'!$AB$2:$AB$495&lt;=8)*('CASE MASTER'!$AD$2:$AD$495&gt;=8))*ROW('CASE MASTER'!$T$2:$T$495))-(ROW('CASE MASTER'!#REF!)-1))))*(INDEX('CASE MASTER'!$AD$2:$AD$495,(SUMPRODUCT((('CASE MASTER'!$T$2:$T$495=15)*('CASE MASTER'!$AA$2:$AA$495&lt;=8)*('CASE MASTER'!$AC$2:$AC$495&gt;=8)*('CASE MASTER'!$AB$2:$AB$495&lt;=8)*('CASE MASTER'!$AD$2:$AD$495&gt;=8))*ROW('CASE MASTER'!$T$2:$T$495))-(ROW('CASE MASTER'!#REF!)-1)))-INDEX('CASE MASTER'!$AB$2:$AB$495,(SUMPRODUCT((('CASE MASTER'!$T$2:$T$495=15)*('CASE MASTER'!$AA$2:$AA$495&lt;=8)*('CASE MASTER'!$AC$2:$AC$495&gt;=8)*('CASE MASTER'!$AB$2:$AB$495&lt;=8)*('CASE MASTER'!$AD$2:$AD$495&gt;=8))*ROW('CASE MASTER'!$T$2:$T$495))-(ROW('CASE MASTER'!#REF!)-1)))+1)+(8-INDEX('CASE MASTER'!$AB$2:$AB$495,(SUMPRODUCT((('CASE MASTER'!$T$2:$T$495=15)*('CASE MASTER'!$AA$2:$AA$495&lt;=8)*('CASE MASTER'!$AC$2:$AC$495&gt;=8)*('CASE MASTER'!$AB$2:$AB$495&lt;=8)*('CASE MASTER'!$AD$2:$AD$495&gt;=8))*ROW('CASE MASTER'!$T$2:$T$495))-(ROW('CASE MASTER'!#REF!)-1))))+1)))-1)*50+1,50))&amp;"_"&amp;INDEX('CASE MASTER'!$Q$2:$Q$495,(SUMPRODUCT((('CASE MASTER'!$T$2:$T$495=15)*('CASE MASTER'!$AA$2:$AA$495&lt;=8)*('CASE MASTER'!$AC$2:$AC$495&gt;=8)*('CASE MASTER'!$AB$2:$AB$495&lt;=8)*('CASE MASTER'!$AD$2:$AD$495&gt;=8))*ROW('CASE MASTER'!$T$2:$T$495))-(ROW('CASE MASTER'!#REF!)-1))),"")),"")</f>
        <v/>
      </c>
      <c r="J206" s="10" t="str">
        <f>IFERROR(IF(SUMPRODUCT((('CASE MASTER'!$T$2:$T$495=15)*('CASE MASTER'!$U$2:$U$495&lt;=8)*('CASE MASTER'!$W$2:$W$495&gt;=8)*('CASE MASTER'!$V$2:$V$495&lt;=9)*('CASE MASTER'!$X$2:$X$495&gt;=9))*ROW('CASE MASTER'!$T$2:$T$495))&gt;0,INDEX('CASE MASTER'!$Y$2:$Y$495,(SUMPRODUCT((('CASE MASTER'!$T$2:$T$495=15)*('CASE MASTER'!$U$2:$U$495&lt;=8)*('CASE MASTER'!$W$2:$W$495&gt;=8)*('CASE MASTER'!$V$2:$V$495&lt;=9)*('CASE MASTER'!$X$2:$X$495&gt;=9))*ROW('CASE MASTER'!$T$2:$T$495))-(ROW('CASE MASTER'!#REF!)-1)))&amp;TRIM(MID(SUBSTITUTE(SUBSTITUTE(INDEX('CASE MASTER'!$N$2:$N$495,(SUMPRODUCT((('CASE MASTER'!$T$2:$T$495=15)*('CASE MASTER'!$U$2:$U$495&lt;=8)*('CASE MASTER'!$W$2:$W$495&gt;=8)*('CASE MASTER'!$V$2:$V$495&lt;=9)*('CASE MASTER'!$X$2:$X$495&gt;=9))*ROW('CASE MASTER'!$T$2:$T$495))-(ROW('CASE MASTER'!#REF!)-1))),":",","),",",REPT(" ",50)),((((8-INDEX('CASE MASTER'!$U$2:$U$495,(SUMPRODUCT((('CASE MASTER'!$T$2:$T$495=15)*('CASE MASTER'!$U$2:$U$495&lt;=8)*('CASE MASTER'!$W$2:$W$495&gt;=8)*('CASE MASTER'!$V$2:$V$495&lt;=9)*('CASE MASTER'!$X$2:$X$495&gt;=9))*ROW('CASE MASTER'!$T$2:$T$495))-(ROW('CASE MASTER'!#REF!)-1))))*(INDEX('CASE MASTER'!$X$2:$X$495,(SUMPRODUCT((('CASE MASTER'!$T$2:$T$495=15)*('CASE MASTER'!$U$2:$U$495&lt;=8)*('CASE MASTER'!$W$2:$W$495&gt;=8)*('CASE MASTER'!$V$2:$V$495&lt;=9)*('CASE MASTER'!$X$2:$X$495&gt;=9))*ROW('CASE MASTER'!$T$2:$T$495))-(ROW('CASE MASTER'!#REF!)-1)))-INDEX('CASE MASTER'!$V$2:$V$495,(SUMPRODUCT((('CASE MASTER'!$T$2:$T$495=15)*('CASE MASTER'!$U$2:$U$495&lt;=8)*('CASE MASTER'!$W$2:$W$495&gt;=8)*('CASE MASTER'!$V$2:$V$495&lt;=9)*('CASE MASTER'!$X$2:$X$495&gt;=9))*ROW('CASE MASTER'!$T$2:$T$495))-(ROW('CASE MASTER'!#REF!)-1)))+1)+(9-INDEX('CASE MASTER'!$V$2:$V$495,(SUMPRODUCT((('CASE MASTER'!$T$2:$T$495=15)*('CASE MASTER'!$U$2:$U$495&lt;=8)*('CASE MASTER'!$W$2:$W$495&gt;=8)*('CASE MASTER'!$V$2:$V$495&lt;=9)*('CASE MASTER'!$X$2:$X$495&gt;=9))*ROW('CASE MASTER'!$T$2:$T$495))-(ROW('CASE MASTER'!#REF!)-1))))+1))-1)*50+1,50))&amp;"_"&amp;INDEX('CASE MASTER'!$Q$2:$Q$495,(SUMPRODUCT((('CASE MASTER'!$T$2:$T$495=15)*('CASE MASTER'!$U$2:$U$495&lt;=8)*('CASE MASTER'!$W$2:$W$495&gt;=8)*('CASE MASTER'!$V$2:$V$495&lt;=9)*('CASE MASTER'!$X$2:$X$495&gt;=9))*ROW('CASE MASTER'!$T$2:$T$495))-(ROW('CASE MASTER'!#REF!)-1))),IF(SUMPRODUCT((('CASE MASTER'!$T$2:$T$495=15)*('CASE MASTER'!$AA$2:$AA$495&lt;=8)*('CASE MASTER'!$AC$2:$AC$495&gt;=8)*('CASE MASTER'!$AB$2:$AB$495&lt;=9)*('CASE MASTER'!$AD$2:$AD$495&gt;=9))*ROW('CASE MASTER'!$T$2:$T$495))&gt;0,INDEX('CASE MASTER'!$Y$2:$Y$495,(SUMPRODUCT((('CASE MASTER'!$T$2:$T$495=15)*('CASE MASTER'!$AA$2:$AA$495&lt;=8)*('CASE MASTER'!$AC$2:$AC$495&gt;=8)*('CASE MASTER'!$AB$2:$AB$495&lt;=9)*('CASE MASTER'!$AD$2:$AD$495&gt;=9))*ROW('CASE MASTER'!$T$2:$T$495))-(ROW('CASE MASTER'!#REF!)-1)))&amp;TRIM(MID(SUBSTITUTE(SUBSTITUTE(INDEX('CASE MASTER'!$N$2:$N$495,(SUMPRODUCT((('CASE MASTER'!$T$2:$T$495=15)*('CASE MASTER'!$AA$2:$AA$495&lt;=8)*('CASE MASTER'!$AC$2:$AC$495&gt;=8)*('CASE MASTER'!$AB$2:$AB$495&lt;=9)*('CASE MASTER'!$AD$2:$AD$495&gt;=9))*ROW('CASE MASTER'!$T$2:$T$495))-(ROW('CASE MASTER'!#REF!)-1))),":",","),",",REPT(" ",50)),(((INDEX('CASE MASTER'!$Z$2:$Z$495,(SUMPRODUCT((('CASE MASTER'!$T$2:$T$495=15)*('CASE MASTER'!$AA$2:$AA$495&lt;=8)*('CASE MASTER'!$AC$2:$AC$495&gt;=8)*('CASE MASTER'!$AB$2:$AB$495&lt;=9)*('CASE MASTER'!$AD$2:$AD$495&gt;=9))*ROW('CASE MASTER'!$T$2:$T$495))-(ROW('CASE MASTER'!#REF!)-1)))+((8-INDEX('CASE MASTER'!$AA$2:$AA$495,(SUMPRODUCT((('CASE MASTER'!$T$2:$T$495=15)*('CASE MASTER'!$AA$2:$AA$495&lt;=8)*('CASE MASTER'!$AC$2:$AC$495&gt;=8)*('CASE MASTER'!$AB$2:$AB$495&lt;=9)*('CASE MASTER'!$AD$2:$AD$495&gt;=9))*ROW('CASE MASTER'!$T$2:$T$495))-(ROW('CASE MASTER'!#REF!)-1))))*(INDEX('CASE MASTER'!$AD$2:$AD$495,(SUMPRODUCT((('CASE MASTER'!$T$2:$T$495=15)*('CASE MASTER'!$AA$2:$AA$495&lt;=8)*('CASE MASTER'!$AC$2:$AC$495&gt;=8)*('CASE MASTER'!$AB$2:$AB$495&lt;=9)*('CASE MASTER'!$AD$2:$AD$495&gt;=9))*ROW('CASE MASTER'!$T$2:$T$495))-(ROW('CASE MASTER'!#REF!)-1)))-INDEX('CASE MASTER'!$AB$2:$AB$495,(SUMPRODUCT((('CASE MASTER'!$T$2:$T$495=15)*('CASE MASTER'!$AA$2:$AA$495&lt;=8)*('CASE MASTER'!$AC$2:$AC$495&gt;=8)*('CASE MASTER'!$AB$2:$AB$495&lt;=9)*('CASE MASTER'!$AD$2:$AD$495&gt;=9))*ROW('CASE MASTER'!$T$2:$T$495))-(ROW('CASE MASTER'!#REF!)-1)))+1)+(9-INDEX('CASE MASTER'!$AB$2:$AB$495,(SUMPRODUCT((('CASE MASTER'!$T$2:$T$495=15)*('CASE MASTER'!$AA$2:$AA$495&lt;=8)*('CASE MASTER'!$AC$2:$AC$495&gt;=8)*('CASE MASTER'!$AB$2:$AB$495&lt;=9)*('CASE MASTER'!$AD$2:$AD$495&gt;=9))*ROW('CASE MASTER'!$T$2:$T$495))-(ROW('CASE MASTER'!#REF!)-1))))+1)))-1)*50+1,50))&amp;"_"&amp;INDEX('CASE MASTER'!$Q$2:$Q$495,(SUMPRODUCT((('CASE MASTER'!$T$2:$T$495=15)*('CASE MASTER'!$AA$2:$AA$495&lt;=8)*('CASE MASTER'!$AC$2:$AC$495&gt;=8)*('CASE MASTER'!$AB$2:$AB$495&lt;=9)*('CASE MASTER'!$AD$2:$AD$495&gt;=9))*ROW('CASE MASTER'!$T$2:$T$495))-(ROW('CASE MASTER'!#REF!)-1))),"")),"")</f>
        <v/>
      </c>
      <c r="K206" s="10" t="str">
        <f>IFERROR(IF(SUMPRODUCT((('CASE MASTER'!$T$2:$T$495=15)*('CASE MASTER'!$U$2:$U$495&lt;=8)*('CASE MASTER'!$W$2:$W$495&gt;=8)*('CASE MASTER'!$V$2:$V$495&lt;=10)*('CASE MASTER'!$X$2:$X$495&gt;=10))*ROW('CASE MASTER'!$T$2:$T$495))&gt;0,INDEX('CASE MASTER'!$Y$2:$Y$495,(SUMPRODUCT((('CASE MASTER'!$T$2:$T$495=15)*('CASE MASTER'!$U$2:$U$495&lt;=8)*('CASE MASTER'!$W$2:$W$495&gt;=8)*('CASE MASTER'!$V$2:$V$495&lt;=10)*('CASE MASTER'!$X$2:$X$495&gt;=10))*ROW('CASE MASTER'!$T$2:$T$495))-(ROW('CASE MASTER'!#REF!)-1)))&amp;TRIM(MID(SUBSTITUTE(SUBSTITUTE(INDEX('CASE MASTER'!$N$2:$N$495,(SUMPRODUCT((('CASE MASTER'!$T$2:$T$495=15)*('CASE MASTER'!$U$2:$U$495&lt;=8)*('CASE MASTER'!$W$2:$W$495&gt;=8)*('CASE MASTER'!$V$2:$V$495&lt;=10)*('CASE MASTER'!$X$2:$X$495&gt;=10))*ROW('CASE MASTER'!$T$2:$T$495))-(ROW('CASE MASTER'!#REF!)-1))),":",","),",",REPT(" ",50)),((((8-INDEX('CASE MASTER'!$U$2:$U$495,(SUMPRODUCT((('CASE MASTER'!$T$2:$T$495=15)*('CASE MASTER'!$U$2:$U$495&lt;=8)*('CASE MASTER'!$W$2:$W$495&gt;=8)*('CASE MASTER'!$V$2:$V$495&lt;=10)*('CASE MASTER'!$X$2:$X$495&gt;=10))*ROW('CASE MASTER'!$T$2:$T$495))-(ROW('CASE MASTER'!#REF!)-1))))*(INDEX('CASE MASTER'!$X$2:$X$495,(SUMPRODUCT((('CASE MASTER'!$T$2:$T$495=15)*('CASE MASTER'!$U$2:$U$495&lt;=8)*('CASE MASTER'!$W$2:$W$495&gt;=8)*('CASE MASTER'!$V$2:$V$495&lt;=10)*('CASE MASTER'!$X$2:$X$495&gt;=10))*ROW('CASE MASTER'!$T$2:$T$495))-(ROW('CASE MASTER'!#REF!)-1)))-INDEX('CASE MASTER'!$V$2:$V$495,(SUMPRODUCT((('CASE MASTER'!$T$2:$T$495=15)*('CASE MASTER'!$U$2:$U$495&lt;=8)*('CASE MASTER'!$W$2:$W$495&gt;=8)*('CASE MASTER'!$V$2:$V$495&lt;=10)*('CASE MASTER'!$X$2:$X$495&gt;=10))*ROW('CASE MASTER'!$T$2:$T$495))-(ROW('CASE MASTER'!#REF!)-1)))+1)+(10-INDEX('CASE MASTER'!$V$2:$V$495,(SUMPRODUCT((('CASE MASTER'!$T$2:$T$495=15)*('CASE MASTER'!$U$2:$U$495&lt;=8)*('CASE MASTER'!$W$2:$W$495&gt;=8)*('CASE MASTER'!$V$2:$V$495&lt;=10)*('CASE MASTER'!$X$2:$X$495&gt;=10))*ROW('CASE MASTER'!$T$2:$T$495))-(ROW('CASE MASTER'!#REF!)-1))))+1))-1)*50+1,50))&amp;"_"&amp;INDEX('CASE MASTER'!$Q$2:$Q$495,(SUMPRODUCT((('CASE MASTER'!$T$2:$T$495=15)*('CASE MASTER'!$U$2:$U$495&lt;=8)*('CASE MASTER'!$W$2:$W$495&gt;=8)*('CASE MASTER'!$V$2:$V$495&lt;=10)*('CASE MASTER'!$X$2:$X$495&gt;=10))*ROW('CASE MASTER'!$T$2:$T$495))-(ROW('CASE MASTER'!#REF!)-1))),IF(SUMPRODUCT((('CASE MASTER'!$T$2:$T$495=15)*('CASE MASTER'!$AA$2:$AA$495&lt;=8)*('CASE MASTER'!$AC$2:$AC$495&gt;=8)*('CASE MASTER'!$AB$2:$AB$495&lt;=10)*('CASE MASTER'!$AD$2:$AD$495&gt;=10))*ROW('CASE MASTER'!$T$2:$T$495))&gt;0,INDEX('CASE MASTER'!$Y$2:$Y$495,(SUMPRODUCT((('CASE MASTER'!$T$2:$T$495=15)*('CASE MASTER'!$AA$2:$AA$495&lt;=8)*('CASE MASTER'!$AC$2:$AC$495&gt;=8)*('CASE MASTER'!$AB$2:$AB$495&lt;=10)*('CASE MASTER'!$AD$2:$AD$495&gt;=10))*ROW('CASE MASTER'!$T$2:$T$495))-(ROW('CASE MASTER'!#REF!)-1)))&amp;TRIM(MID(SUBSTITUTE(SUBSTITUTE(INDEX('CASE MASTER'!$N$2:$N$495,(SUMPRODUCT((('CASE MASTER'!$T$2:$T$495=15)*('CASE MASTER'!$AA$2:$AA$495&lt;=8)*('CASE MASTER'!$AC$2:$AC$495&gt;=8)*('CASE MASTER'!$AB$2:$AB$495&lt;=10)*('CASE MASTER'!$AD$2:$AD$495&gt;=10))*ROW('CASE MASTER'!$T$2:$T$495))-(ROW('CASE MASTER'!#REF!)-1))),":",","),",",REPT(" ",50)),(((INDEX('CASE MASTER'!$Z$2:$Z$495,(SUMPRODUCT((('CASE MASTER'!$T$2:$T$495=15)*('CASE MASTER'!$AA$2:$AA$495&lt;=8)*('CASE MASTER'!$AC$2:$AC$495&gt;=8)*('CASE MASTER'!$AB$2:$AB$495&lt;=10)*('CASE MASTER'!$AD$2:$AD$495&gt;=10))*ROW('CASE MASTER'!$T$2:$T$495))-(ROW('CASE MASTER'!#REF!)-1)))+((8-INDEX('CASE MASTER'!$AA$2:$AA$495,(SUMPRODUCT((('CASE MASTER'!$T$2:$T$495=15)*('CASE MASTER'!$AA$2:$AA$495&lt;=8)*('CASE MASTER'!$AC$2:$AC$495&gt;=8)*('CASE MASTER'!$AB$2:$AB$495&lt;=10)*('CASE MASTER'!$AD$2:$AD$495&gt;=10))*ROW('CASE MASTER'!$T$2:$T$495))-(ROW('CASE MASTER'!#REF!)-1))))*(INDEX('CASE MASTER'!$AD$2:$AD$495,(SUMPRODUCT((('CASE MASTER'!$T$2:$T$495=15)*('CASE MASTER'!$AA$2:$AA$495&lt;=8)*('CASE MASTER'!$AC$2:$AC$495&gt;=8)*('CASE MASTER'!$AB$2:$AB$495&lt;=10)*('CASE MASTER'!$AD$2:$AD$495&gt;=10))*ROW('CASE MASTER'!$T$2:$T$495))-(ROW('CASE MASTER'!#REF!)-1)))-INDEX('CASE MASTER'!$AB$2:$AB$495,(SUMPRODUCT((('CASE MASTER'!$T$2:$T$495=15)*('CASE MASTER'!$AA$2:$AA$495&lt;=8)*('CASE MASTER'!$AC$2:$AC$495&gt;=8)*('CASE MASTER'!$AB$2:$AB$495&lt;=10)*('CASE MASTER'!$AD$2:$AD$495&gt;=10))*ROW('CASE MASTER'!$T$2:$T$495))-(ROW('CASE MASTER'!#REF!)-1)))+1)+(10-INDEX('CASE MASTER'!$AB$2:$AB$495,(SUMPRODUCT((('CASE MASTER'!$T$2:$T$495=15)*('CASE MASTER'!$AA$2:$AA$495&lt;=8)*('CASE MASTER'!$AC$2:$AC$495&gt;=8)*('CASE MASTER'!$AB$2:$AB$495&lt;=10)*('CASE MASTER'!$AD$2:$AD$495&gt;=10))*ROW('CASE MASTER'!$T$2:$T$495))-(ROW('CASE MASTER'!#REF!)-1))))+1)))-1)*50+1,50))&amp;"_"&amp;INDEX('CASE MASTER'!$Q$2:$Q$495,(SUMPRODUCT((('CASE MASTER'!$T$2:$T$495=15)*('CASE MASTER'!$AA$2:$AA$495&lt;=8)*('CASE MASTER'!$AC$2:$AC$495&gt;=8)*('CASE MASTER'!$AB$2:$AB$495&lt;=10)*('CASE MASTER'!$AD$2:$AD$495&gt;=10))*ROW('CASE MASTER'!$T$2:$T$495))-(ROW('CASE MASTER'!#REF!)-1))),"")),"")</f>
        <v/>
      </c>
    </row>
    <row r="207" spans="1:11" ht="15" customHeight="1" x14ac:dyDescent="0.35">
      <c r="A207" s="8" t="s">
        <v>81</v>
      </c>
      <c r="B207" s="10" t="str">
        <f>IFERROR(IF(SUMPRODUCT((('CASE MASTER'!$T$2:$T$495=15)*('CASE MASTER'!$U$2:$U$495&lt;=9)*('CASE MASTER'!$W$2:$W$495&gt;=9)*('CASE MASTER'!$V$2:$V$495&lt;=1)*('CASE MASTER'!$X$2:$X$495&gt;=1))*ROW('CASE MASTER'!$T$2:$T$495))&gt;0,INDEX('CASE MASTER'!$Y$2:$Y$495,(SUMPRODUCT((('CASE MASTER'!$T$2:$T$495=15)*('CASE MASTER'!$U$2:$U$495&lt;=9)*('CASE MASTER'!$W$2:$W$495&gt;=9)*('CASE MASTER'!$V$2:$V$495&lt;=1)*('CASE MASTER'!$X$2:$X$495&gt;=1))*ROW('CASE MASTER'!$T$2:$T$495))-(ROW('CASE MASTER'!#REF!)-1)))&amp;TRIM(MID(SUBSTITUTE(SUBSTITUTE(INDEX('CASE MASTER'!$N$2:$N$495,(SUMPRODUCT((('CASE MASTER'!$T$2:$T$495=15)*('CASE MASTER'!$U$2:$U$495&lt;=9)*('CASE MASTER'!$W$2:$W$495&gt;=9)*('CASE MASTER'!$V$2:$V$495&lt;=1)*('CASE MASTER'!$X$2:$X$495&gt;=1))*ROW('CASE MASTER'!$T$2:$T$495))-(ROW('CASE MASTER'!#REF!)-1))),":",","),",",REPT(" ",50)),((((9-INDEX('CASE MASTER'!$U$2:$U$495,(SUMPRODUCT((('CASE MASTER'!$T$2:$T$495=15)*('CASE MASTER'!$U$2:$U$495&lt;=9)*('CASE MASTER'!$W$2:$W$495&gt;=9)*('CASE MASTER'!$V$2:$V$495&lt;=1)*('CASE MASTER'!$X$2:$X$495&gt;=1))*ROW('CASE MASTER'!$T$2:$T$495))-(ROW('CASE MASTER'!#REF!)-1))))*(INDEX('CASE MASTER'!$X$2:$X$495,(SUMPRODUCT((('CASE MASTER'!$T$2:$T$495=15)*('CASE MASTER'!$U$2:$U$495&lt;=9)*('CASE MASTER'!$W$2:$W$495&gt;=9)*('CASE MASTER'!$V$2:$V$495&lt;=1)*('CASE MASTER'!$X$2:$X$495&gt;=1))*ROW('CASE MASTER'!$T$2:$T$495))-(ROW('CASE MASTER'!#REF!)-1)))-INDEX('CASE MASTER'!$V$2:$V$495,(SUMPRODUCT((('CASE MASTER'!$T$2:$T$495=15)*('CASE MASTER'!$U$2:$U$495&lt;=9)*('CASE MASTER'!$W$2:$W$495&gt;=9)*('CASE MASTER'!$V$2:$V$495&lt;=1)*('CASE MASTER'!$X$2:$X$495&gt;=1))*ROW('CASE MASTER'!$T$2:$T$495))-(ROW('CASE MASTER'!#REF!)-1)))+1)+(1-INDEX('CASE MASTER'!$V$2:$V$495,(SUMPRODUCT((('CASE MASTER'!$T$2:$T$495=15)*('CASE MASTER'!$U$2:$U$495&lt;=9)*('CASE MASTER'!$W$2:$W$495&gt;=9)*('CASE MASTER'!$V$2:$V$495&lt;=1)*('CASE MASTER'!$X$2:$X$495&gt;=1))*ROW('CASE MASTER'!$T$2:$T$495))-(ROW('CASE MASTER'!#REF!)-1))))+1))-1)*50+1,50))&amp;"_"&amp;INDEX('CASE MASTER'!$Q$2:$Q$495,(SUMPRODUCT((('CASE MASTER'!$T$2:$T$495=15)*('CASE MASTER'!$U$2:$U$495&lt;=9)*('CASE MASTER'!$W$2:$W$495&gt;=9)*('CASE MASTER'!$V$2:$V$495&lt;=1)*('CASE MASTER'!$X$2:$X$495&gt;=1))*ROW('CASE MASTER'!$T$2:$T$495))-(ROW('CASE MASTER'!#REF!)-1))),IF(SUMPRODUCT((('CASE MASTER'!$T$2:$T$495=15)*('CASE MASTER'!$AA$2:$AA$495&lt;=9)*('CASE MASTER'!$AC$2:$AC$495&gt;=9)*('CASE MASTER'!$AB$2:$AB$495&lt;=1)*('CASE MASTER'!$AD$2:$AD$495&gt;=1))*ROW('CASE MASTER'!$T$2:$T$495))&gt;0,INDEX('CASE MASTER'!$Y$2:$Y$495,(SUMPRODUCT((('CASE MASTER'!$T$2:$T$495=15)*('CASE MASTER'!$AA$2:$AA$495&lt;=9)*('CASE MASTER'!$AC$2:$AC$495&gt;=9)*('CASE MASTER'!$AB$2:$AB$495&lt;=1)*('CASE MASTER'!$AD$2:$AD$495&gt;=1))*ROW('CASE MASTER'!$T$2:$T$495))-(ROW('CASE MASTER'!#REF!)-1)))&amp;TRIM(MID(SUBSTITUTE(SUBSTITUTE(INDEX('CASE MASTER'!$N$2:$N$495,(SUMPRODUCT((('CASE MASTER'!$T$2:$T$495=15)*('CASE MASTER'!$AA$2:$AA$495&lt;=9)*('CASE MASTER'!$AC$2:$AC$495&gt;=9)*('CASE MASTER'!$AB$2:$AB$495&lt;=1)*('CASE MASTER'!$AD$2:$AD$495&gt;=1))*ROW('CASE MASTER'!$T$2:$T$495))-(ROW('CASE MASTER'!#REF!)-1))),":",","),",",REPT(" ",50)),(((INDEX('CASE MASTER'!$Z$2:$Z$495,(SUMPRODUCT((('CASE MASTER'!$T$2:$T$495=15)*('CASE MASTER'!$AA$2:$AA$495&lt;=9)*('CASE MASTER'!$AC$2:$AC$495&gt;=9)*('CASE MASTER'!$AB$2:$AB$495&lt;=1)*('CASE MASTER'!$AD$2:$AD$495&gt;=1))*ROW('CASE MASTER'!$T$2:$T$495))-(ROW('CASE MASTER'!#REF!)-1)))+((9-INDEX('CASE MASTER'!$AA$2:$AA$495,(SUMPRODUCT((('CASE MASTER'!$T$2:$T$495=15)*('CASE MASTER'!$AA$2:$AA$495&lt;=9)*('CASE MASTER'!$AC$2:$AC$495&gt;=9)*('CASE MASTER'!$AB$2:$AB$495&lt;=1)*('CASE MASTER'!$AD$2:$AD$495&gt;=1))*ROW('CASE MASTER'!$T$2:$T$495))-(ROW('CASE MASTER'!#REF!)-1))))*(INDEX('CASE MASTER'!$AD$2:$AD$495,(SUMPRODUCT((('CASE MASTER'!$T$2:$T$495=15)*('CASE MASTER'!$AA$2:$AA$495&lt;=9)*('CASE MASTER'!$AC$2:$AC$495&gt;=9)*('CASE MASTER'!$AB$2:$AB$495&lt;=1)*('CASE MASTER'!$AD$2:$AD$495&gt;=1))*ROW('CASE MASTER'!$T$2:$T$495))-(ROW('CASE MASTER'!#REF!)-1)))-INDEX('CASE MASTER'!$AB$2:$AB$495,(SUMPRODUCT((('CASE MASTER'!$T$2:$T$495=15)*('CASE MASTER'!$AA$2:$AA$495&lt;=9)*('CASE MASTER'!$AC$2:$AC$495&gt;=9)*('CASE MASTER'!$AB$2:$AB$495&lt;=1)*('CASE MASTER'!$AD$2:$AD$495&gt;=1))*ROW('CASE MASTER'!$T$2:$T$495))-(ROW('CASE MASTER'!#REF!)-1)))+1)+(1-INDEX('CASE MASTER'!$AB$2:$AB$495,(SUMPRODUCT((('CASE MASTER'!$T$2:$T$495=15)*('CASE MASTER'!$AA$2:$AA$495&lt;=9)*('CASE MASTER'!$AC$2:$AC$495&gt;=9)*('CASE MASTER'!$AB$2:$AB$495&lt;=1)*('CASE MASTER'!$AD$2:$AD$495&gt;=1))*ROW('CASE MASTER'!$T$2:$T$495))-(ROW('CASE MASTER'!#REF!)-1))))+1)))-1)*50+1,50))&amp;"_"&amp;INDEX('CASE MASTER'!$Q$2:$Q$495,(SUMPRODUCT((('CASE MASTER'!$T$2:$T$495=15)*('CASE MASTER'!$AA$2:$AA$495&lt;=9)*('CASE MASTER'!$AC$2:$AC$495&gt;=9)*('CASE MASTER'!$AB$2:$AB$495&lt;=1)*('CASE MASTER'!$AD$2:$AD$495&gt;=1))*ROW('CASE MASTER'!$T$2:$T$495))-(ROW('CASE MASTER'!#REF!)-1))),"")),"")</f>
        <v/>
      </c>
      <c r="C207" s="10" t="str">
        <f>IFERROR(IF(SUMPRODUCT((('CASE MASTER'!$T$2:$T$495=15)*('CASE MASTER'!$U$2:$U$495&lt;=9)*('CASE MASTER'!$W$2:$W$495&gt;=9)*('CASE MASTER'!$V$2:$V$495&lt;=2)*('CASE MASTER'!$X$2:$X$495&gt;=2))*ROW('CASE MASTER'!$T$2:$T$495))&gt;0,INDEX('CASE MASTER'!$Y$2:$Y$495,(SUMPRODUCT((('CASE MASTER'!$T$2:$T$495=15)*('CASE MASTER'!$U$2:$U$495&lt;=9)*('CASE MASTER'!$W$2:$W$495&gt;=9)*('CASE MASTER'!$V$2:$V$495&lt;=2)*('CASE MASTER'!$X$2:$X$495&gt;=2))*ROW('CASE MASTER'!$T$2:$T$495))-(ROW('CASE MASTER'!#REF!)-1)))&amp;TRIM(MID(SUBSTITUTE(SUBSTITUTE(INDEX('CASE MASTER'!$N$2:$N$495,(SUMPRODUCT((('CASE MASTER'!$T$2:$T$495=15)*('CASE MASTER'!$U$2:$U$495&lt;=9)*('CASE MASTER'!$W$2:$W$495&gt;=9)*('CASE MASTER'!$V$2:$V$495&lt;=2)*('CASE MASTER'!$X$2:$X$495&gt;=2))*ROW('CASE MASTER'!$T$2:$T$495))-(ROW('CASE MASTER'!#REF!)-1))),":",","),",",REPT(" ",50)),((((9-INDEX('CASE MASTER'!$U$2:$U$495,(SUMPRODUCT((('CASE MASTER'!$T$2:$T$495=15)*('CASE MASTER'!$U$2:$U$495&lt;=9)*('CASE MASTER'!$W$2:$W$495&gt;=9)*('CASE MASTER'!$V$2:$V$495&lt;=2)*('CASE MASTER'!$X$2:$X$495&gt;=2))*ROW('CASE MASTER'!$T$2:$T$495))-(ROW('CASE MASTER'!#REF!)-1))))*(INDEX('CASE MASTER'!$X$2:$X$495,(SUMPRODUCT((('CASE MASTER'!$T$2:$T$495=15)*('CASE MASTER'!$U$2:$U$495&lt;=9)*('CASE MASTER'!$W$2:$W$495&gt;=9)*('CASE MASTER'!$V$2:$V$495&lt;=2)*('CASE MASTER'!$X$2:$X$495&gt;=2))*ROW('CASE MASTER'!$T$2:$T$495))-(ROW('CASE MASTER'!#REF!)-1)))-INDEX('CASE MASTER'!$V$2:$V$495,(SUMPRODUCT((('CASE MASTER'!$T$2:$T$495=15)*('CASE MASTER'!$U$2:$U$495&lt;=9)*('CASE MASTER'!$W$2:$W$495&gt;=9)*('CASE MASTER'!$V$2:$V$495&lt;=2)*('CASE MASTER'!$X$2:$X$495&gt;=2))*ROW('CASE MASTER'!$T$2:$T$495))-(ROW('CASE MASTER'!#REF!)-1)))+1)+(2-INDEX('CASE MASTER'!$V$2:$V$495,(SUMPRODUCT((('CASE MASTER'!$T$2:$T$495=15)*('CASE MASTER'!$U$2:$U$495&lt;=9)*('CASE MASTER'!$W$2:$W$495&gt;=9)*('CASE MASTER'!$V$2:$V$495&lt;=2)*('CASE MASTER'!$X$2:$X$495&gt;=2))*ROW('CASE MASTER'!$T$2:$T$495))-(ROW('CASE MASTER'!#REF!)-1))))+1))-1)*50+1,50))&amp;"_"&amp;INDEX('CASE MASTER'!$Q$2:$Q$495,(SUMPRODUCT((('CASE MASTER'!$T$2:$T$495=15)*('CASE MASTER'!$U$2:$U$495&lt;=9)*('CASE MASTER'!$W$2:$W$495&gt;=9)*('CASE MASTER'!$V$2:$V$495&lt;=2)*('CASE MASTER'!$X$2:$X$495&gt;=2))*ROW('CASE MASTER'!$T$2:$T$495))-(ROW('CASE MASTER'!#REF!)-1))),IF(SUMPRODUCT((('CASE MASTER'!$T$2:$T$495=15)*('CASE MASTER'!$AA$2:$AA$495&lt;=9)*('CASE MASTER'!$AC$2:$AC$495&gt;=9)*('CASE MASTER'!$AB$2:$AB$495&lt;=2)*('CASE MASTER'!$AD$2:$AD$495&gt;=2))*ROW('CASE MASTER'!$T$2:$T$495))&gt;0,INDEX('CASE MASTER'!$Y$2:$Y$495,(SUMPRODUCT((('CASE MASTER'!$T$2:$T$495=15)*('CASE MASTER'!$AA$2:$AA$495&lt;=9)*('CASE MASTER'!$AC$2:$AC$495&gt;=9)*('CASE MASTER'!$AB$2:$AB$495&lt;=2)*('CASE MASTER'!$AD$2:$AD$495&gt;=2))*ROW('CASE MASTER'!$T$2:$T$495))-(ROW('CASE MASTER'!#REF!)-1)))&amp;TRIM(MID(SUBSTITUTE(SUBSTITUTE(INDEX('CASE MASTER'!$N$2:$N$495,(SUMPRODUCT((('CASE MASTER'!$T$2:$T$495=15)*('CASE MASTER'!$AA$2:$AA$495&lt;=9)*('CASE MASTER'!$AC$2:$AC$495&gt;=9)*('CASE MASTER'!$AB$2:$AB$495&lt;=2)*('CASE MASTER'!$AD$2:$AD$495&gt;=2))*ROW('CASE MASTER'!$T$2:$T$495))-(ROW('CASE MASTER'!#REF!)-1))),":",","),",",REPT(" ",50)),(((INDEX('CASE MASTER'!$Z$2:$Z$495,(SUMPRODUCT((('CASE MASTER'!$T$2:$T$495=15)*('CASE MASTER'!$AA$2:$AA$495&lt;=9)*('CASE MASTER'!$AC$2:$AC$495&gt;=9)*('CASE MASTER'!$AB$2:$AB$495&lt;=2)*('CASE MASTER'!$AD$2:$AD$495&gt;=2))*ROW('CASE MASTER'!$T$2:$T$495))-(ROW('CASE MASTER'!#REF!)-1)))+((9-INDEX('CASE MASTER'!$AA$2:$AA$495,(SUMPRODUCT((('CASE MASTER'!$T$2:$T$495=15)*('CASE MASTER'!$AA$2:$AA$495&lt;=9)*('CASE MASTER'!$AC$2:$AC$495&gt;=9)*('CASE MASTER'!$AB$2:$AB$495&lt;=2)*('CASE MASTER'!$AD$2:$AD$495&gt;=2))*ROW('CASE MASTER'!$T$2:$T$495))-(ROW('CASE MASTER'!#REF!)-1))))*(INDEX('CASE MASTER'!$AD$2:$AD$495,(SUMPRODUCT((('CASE MASTER'!$T$2:$T$495=15)*('CASE MASTER'!$AA$2:$AA$495&lt;=9)*('CASE MASTER'!$AC$2:$AC$495&gt;=9)*('CASE MASTER'!$AB$2:$AB$495&lt;=2)*('CASE MASTER'!$AD$2:$AD$495&gt;=2))*ROW('CASE MASTER'!$T$2:$T$495))-(ROW('CASE MASTER'!#REF!)-1)))-INDEX('CASE MASTER'!$AB$2:$AB$495,(SUMPRODUCT((('CASE MASTER'!$T$2:$T$495=15)*('CASE MASTER'!$AA$2:$AA$495&lt;=9)*('CASE MASTER'!$AC$2:$AC$495&gt;=9)*('CASE MASTER'!$AB$2:$AB$495&lt;=2)*('CASE MASTER'!$AD$2:$AD$495&gt;=2))*ROW('CASE MASTER'!$T$2:$T$495))-(ROW('CASE MASTER'!#REF!)-1)))+1)+(2-INDEX('CASE MASTER'!$AB$2:$AB$495,(SUMPRODUCT((('CASE MASTER'!$T$2:$T$495=15)*('CASE MASTER'!$AA$2:$AA$495&lt;=9)*('CASE MASTER'!$AC$2:$AC$495&gt;=9)*('CASE MASTER'!$AB$2:$AB$495&lt;=2)*('CASE MASTER'!$AD$2:$AD$495&gt;=2))*ROW('CASE MASTER'!$T$2:$T$495))-(ROW('CASE MASTER'!#REF!)-1))))+1)))-1)*50+1,50))&amp;"_"&amp;INDEX('CASE MASTER'!$Q$2:$Q$495,(SUMPRODUCT((('CASE MASTER'!$T$2:$T$495=15)*('CASE MASTER'!$AA$2:$AA$495&lt;=9)*('CASE MASTER'!$AC$2:$AC$495&gt;=9)*('CASE MASTER'!$AB$2:$AB$495&lt;=2)*('CASE MASTER'!$AD$2:$AD$495&gt;=2))*ROW('CASE MASTER'!$T$2:$T$495))-(ROW('CASE MASTER'!#REF!)-1))),"")),"")</f>
        <v/>
      </c>
      <c r="D207" s="10" t="str">
        <f>IFERROR(IF(SUMPRODUCT((('CASE MASTER'!$T$2:$T$495=15)*('CASE MASTER'!$U$2:$U$495&lt;=9)*('CASE MASTER'!$W$2:$W$495&gt;=9)*('CASE MASTER'!$V$2:$V$495&lt;=3)*('CASE MASTER'!$X$2:$X$495&gt;=3))*ROW('CASE MASTER'!$T$2:$T$495))&gt;0,INDEX('CASE MASTER'!$Y$2:$Y$495,(SUMPRODUCT((('CASE MASTER'!$T$2:$T$495=15)*('CASE MASTER'!$U$2:$U$495&lt;=9)*('CASE MASTER'!$W$2:$W$495&gt;=9)*('CASE MASTER'!$V$2:$V$495&lt;=3)*('CASE MASTER'!$X$2:$X$495&gt;=3))*ROW('CASE MASTER'!$T$2:$T$495))-(ROW('CASE MASTER'!#REF!)-1)))&amp;TRIM(MID(SUBSTITUTE(SUBSTITUTE(INDEX('CASE MASTER'!$N$2:$N$495,(SUMPRODUCT((('CASE MASTER'!$T$2:$T$495=15)*('CASE MASTER'!$U$2:$U$495&lt;=9)*('CASE MASTER'!$W$2:$W$495&gt;=9)*('CASE MASTER'!$V$2:$V$495&lt;=3)*('CASE MASTER'!$X$2:$X$495&gt;=3))*ROW('CASE MASTER'!$T$2:$T$495))-(ROW('CASE MASTER'!#REF!)-1))),":",","),",",REPT(" ",50)),((((9-INDEX('CASE MASTER'!$U$2:$U$495,(SUMPRODUCT((('CASE MASTER'!$T$2:$T$495=15)*('CASE MASTER'!$U$2:$U$495&lt;=9)*('CASE MASTER'!$W$2:$W$495&gt;=9)*('CASE MASTER'!$V$2:$V$495&lt;=3)*('CASE MASTER'!$X$2:$X$495&gt;=3))*ROW('CASE MASTER'!$T$2:$T$495))-(ROW('CASE MASTER'!#REF!)-1))))*(INDEX('CASE MASTER'!$X$2:$X$495,(SUMPRODUCT((('CASE MASTER'!$T$2:$T$495=15)*('CASE MASTER'!$U$2:$U$495&lt;=9)*('CASE MASTER'!$W$2:$W$495&gt;=9)*('CASE MASTER'!$V$2:$V$495&lt;=3)*('CASE MASTER'!$X$2:$X$495&gt;=3))*ROW('CASE MASTER'!$T$2:$T$495))-(ROW('CASE MASTER'!#REF!)-1)))-INDEX('CASE MASTER'!$V$2:$V$495,(SUMPRODUCT((('CASE MASTER'!$T$2:$T$495=15)*('CASE MASTER'!$U$2:$U$495&lt;=9)*('CASE MASTER'!$W$2:$W$495&gt;=9)*('CASE MASTER'!$V$2:$V$495&lt;=3)*('CASE MASTER'!$X$2:$X$495&gt;=3))*ROW('CASE MASTER'!$T$2:$T$495))-(ROW('CASE MASTER'!#REF!)-1)))+1)+(3-INDEX('CASE MASTER'!$V$2:$V$495,(SUMPRODUCT((('CASE MASTER'!$T$2:$T$495=15)*('CASE MASTER'!$U$2:$U$495&lt;=9)*('CASE MASTER'!$W$2:$W$495&gt;=9)*('CASE MASTER'!$V$2:$V$495&lt;=3)*('CASE MASTER'!$X$2:$X$495&gt;=3))*ROW('CASE MASTER'!$T$2:$T$495))-(ROW('CASE MASTER'!#REF!)-1))))+1))-1)*50+1,50))&amp;"_"&amp;INDEX('CASE MASTER'!$Q$2:$Q$495,(SUMPRODUCT((('CASE MASTER'!$T$2:$T$495=15)*('CASE MASTER'!$U$2:$U$495&lt;=9)*('CASE MASTER'!$W$2:$W$495&gt;=9)*('CASE MASTER'!$V$2:$V$495&lt;=3)*('CASE MASTER'!$X$2:$X$495&gt;=3))*ROW('CASE MASTER'!$T$2:$T$495))-(ROW('CASE MASTER'!#REF!)-1))),IF(SUMPRODUCT((('CASE MASTER'!$T$2:$T$495=15)*('CASE MASTER'!$AA$2:$AA$495&lt;=9)*('CASE MASTER'!$AC$2:$AC$495&gt;=9)*('CASE MASTER'!$AB$2:$AB$495&lt;=3)*('CASE MASTER'!$AD$2:$AD$495&gt;=3))*ROW('CASE MASTER'!$T$2:$T$495))&gt;0,INDEX('CASE MASTER'!$Y$2:$Y$495,(SUMPRODUCT((('CASE MASTER'!$T$2:$T$495=15)*('CASE MASTER'!$AA$2:$AA$495&lt;=9)*('CASE MASTER'!$AC$2:$AC$495&gt;=9)*('CASE MASTER'!$AB$2:$AB$495&lt;=3)*('CASE MASTER'!$AD$2:$AD$495&gt;=3))*ROW('CASE MASTER'!$T$2:$T$495))-(ROW('CASE MASTER'!#REF!)-1)))&amp;TRIM(MID(SUBSTITUTE(SUBSTITUTE(INDEX('CASE MASTER'!$N$2:$N$495,(SUMPRODUCT((('CASE MASTER'!$T$2:$T$495=15)*('CASE MASTER'!$AA$2:$AA$495&lt;=9)*('CASE MASTER'!$AC$2:$AC$495&gt;=9)*('CASE MASTER'!$AB$2:$AB$495&lt;=3)*('CASE MASTER'!$AD$2:$AD$495&gt;=3))*ROW('CASE MASTER'!$T$2:$T$495))-(ROW('CASE MASTER'!#REF!)-1))),":",","),",",REPT(" ",50)),(((INDEX('CASE MASTER'!$Z$2:$Z$495,(SUMPRODUCT((('CASE MASTER'!$T$2:$T$495=15)*('CASE MASTER'!$AA$2:$AA$495&lt;=9)*('CASE MASTER'!$AC$2:$AC$495&gt;=9)*('CASE MASTER'!$AB$2:$AB$495&lt;=3)*('CASE MASTER'!$AD$2:$AD$495&gt;=3))*ROW('CASE MASTER'!$T$2:$T$495))-(ROW('CASE MASTER'!#REF!)-1)))+((9-INDEX('CASE MASTER'!$AA$2:$AA$495,(SUMPRODUCT((('CASE MASTER'!$T$2:$T$495=15)*('CASE MASTER'!$AA$2:$AA$495&lt;=9)*('CASE MASTER'!$AC$2:$AC$495&gt;=9)*('CASE MASTER'!$AB$2:$AB$495&lt;=3)*('CASE MASTER'!$AD$2:$AD$495&gt;=3))*ROW('CASE MASTER'!$T$2:$T$495))-(ROW('CASE MASTER'!#REF!)-1))))*(INDEX('CASE MASTER'!$AD$2:$AD$495,(SUMPRODUCT((('CASE MASTER'!$T$2:$T$495=15)*('CASE MASTER'!$AA$2:$AA$495&lt;=9)*('CASE MASTER'!$AC$2:$AC$495&gt;=9)*('CASE MASTER'!$AB$2:$AB$495&lt;=3)*('CASE MASTER'!$AD$2:$AD$495&gt;=3))*ROW('CASE MASTER'!$T$2:$T$495))-(ROW('CASE MASTER'!#REF!)-1)))-INDEX('CASE MASTER'!$AB$2:$AB$495,(SUMPRODUCT((('CASE MASTER'!$T$2:$T$495=15)*('CASE MASTER'!$AA$2:$AA$495&lt;=9)*('CASE MASTER'!$AC$2:$AC$495&gt;=9)*('CASE MASTER'!$AB$2:$AB$495&lt;=3)*('CASE MASTER'!$AD$2:$AD$495&gt;=3))*ROW('CASE MASTER'!$T$2:$T$495))-(ROW('CASE MASTER'!#REF!)-1)))+1)+(3-INDEX('CASE MASTER'!$AB$2:$AB$495,(SUMPRODUCT((('CASE MASTER'!$T$2:$T$495=15)*('CASE MASTER'!$AA$2:$AA$495&lt;=9)*('CASE MASTER'!$AC$2:$AC$495&gt;=9)*('CASE MASTER'!$AB$2:$AB$495&lt;=3)*('CASE MASTER'!$AD$2:$AD$495&gt;=3))*ROW('CASE MASTER'!$T$2:$T$495))-(ROW('CASE MASTER'!#REF!)-1))))+1)))-1)*50+1,50))&amp;"_"&amp;INDEX('CASE MASTER'!$Q$2:$Q$495,(SUMPRODUCT((('CASE MASTER'!$T$2:$T$495=15)*('CASE MASTER'!$AA$2:$AA$495&lt;=9)*('CASE MASTER'!$AC$2:$AC$495&gt;=9)*('CASE MASTER'!$AB$2:$AB$495&lt;=3)*('CASE MASTER'!$AD$2:$AD$495&gt;=3))*ROW('CASE MASTER'!$T$2:$T$495))-(ROW('CASE MASTER'!#REF!)-1))),"")),"")</f>
        <v/>
      </c>
      <c r="E207" s="10" t="str">
        <f>IFERROR(IF(SUMPRODUCT((('CASE MASTER'!$T$2:$T$495=15)*('CASE MASTER'!$U$2:$U$495&lt;=9)*('CASE MASTER'!$W$2:$W$495&gt;=9)*('CASE MASTER'!$V$2:$V$495&lt;=4)*('CASE MASTER'!$X$2:$X$495&gt;=4))*ROW('CASE MASTER'!$T$2:$T$495))&gt;0,INDEX('CASE MASTER'!$Y$2:$Y$495,(SUMPRODUCT((('CASE MASTER'!$T$2:$T$495=15)*('CASE MASTER'!$U$2:$U$495&lt;=9)*('CASE MASTER'!$W$2:$W$495&gt;=9)*('CASE MASTER'!$V$2:$V$495&lt;=4)*('CASE MASTER'!$X$2:$X$495&gt;=4))*ROW('CASE MASTER'!$T$2:$T$495))-(ROW('CASE MASTER'!#REF!)-1)))&amp;TRIM(MID(SUBSTITUTE(SUBSTITUTE(INDEX('CASE MASTER'!$N$2:$N$495,(SUMPRODUCT((('CASE MASTER'!$T$2:$T$495=15)*('CASE MASTER'!$U$2:$U$495&lt;=9)*('CASE MASTER'!$W$2:$W$495&gt;=9)*('CASE MASTER'!$V$2:$V$495&lt;=4)*('CASE MASTER'!$X$2:$X$495&gt;=4))*ROW('CASE MASTER'!$T$2:$T$495))-(ROW('CASE MASTER'!#REF!)-1))),":",","),",",REPT(" ",50)),((((9-INDEX('CASE MASTER'!$U$2:$U$495,(SUMPRODUCT((('CASE MASTER'!$T$2:$T$495=15)*('CASE MASTER'!$U$2:$U$495&lt;=9)*('CASE MASTER'!$W$2:$W$495&gt;=9)*('CASE MASTER'!$V$2:$V$495&lt;=4)*('CASE MASTER'!$X$2:$X$495&gt;=4))*ROW('CASE MASTER'!$T$2:$T$495))-(ROW('CASE MASTER'!#REF!)-1))))*(INDEX('CASE MASTER'!$X$2:$X$495,(SUMPRODUCT((('CASE MASTER'!$T$2:$T$495=15)*('CASE MASTER'!$U$2:$U$495&lt;=9)*('CASE MASTER'!$W$2:$W$495&gt;=9)*('CASE MASTER'!$V$2:$V$495&lt;=4)*('CASE MASTER'!$X$2:$X$495&gt;=4))*ROW('CASE MASTER'!$T$2:$T$495))-(ROW('CASE MASTER'!#REF!)-1)))-INDEX('CASE MASTER'!$V$2:$V$495,(SUMPRODUCT((('CASE MASTER'!$T$2:$T$495=15)*('CASE MASTER'!$U$2:$U$495&lt;=9)*('CASE MASTER'!$W$2:$W$495&gt;=9)*('CASE MASTER'!$V$2:$V$495&lt;=4)*('CASE MASTER'!$X$2:$X$495&gt;=4))*ROW('CASE MASTER'!$T$2:$T$495))-(ROW('CASE MASTER'!#REF!)-1)))+1)+(4-INDEX('CASE MASTER'!$V$2:$V$495,(SUMPRODUCT((('CASE MASTER'!$T$2:$T$495=15)*('CASE MASTER'!$U$2:$U$495&lt;=9)*('CASE MASTER'!$W$2:$W$495&gt;=9)*('CASE MASTER'!$V$2:$V$495&lt;=4)*('CASE MASTER'!$X$2:$X$495&gt;=4))*ROW('CASE MASTER'!$T$2:$T$495))-(ROW('CASE MASTER'!#REF!)-1))))+1))-1)*50+1,50))&amp;"_"&amp;INDEX('CASE MASTER'!$Q$2:$Q$495,(SUMPRODUCT((('CASE MASTER'!$T$2:$T$495=15)*('CASE MASTER'!$U$2:$U$495&lt;=9)*('CASE MASTER'!$W$2:$W$495&gt;=9)*('CASE MASTER'!$V$2:$V$495&lt;=4)*('CASE MASTER'!$X$2:$X$495&gt;=4))*ROW('CASE MASTER'!$T$2:$T$495))-(ROW('CASE MASTER'!#REF!)-1))),IF(SUMPRODUCT((('CASE MASTER'!$T$2:$T$495=15)*('CASE MASTER'!$AA$2:$AA$495&lt;=9)*('CASE MASTER'!$AC$2:$AC$495&gt;=9)*('CASE MASTER'!$AB$2:$AB$495&lt;=4)*('CASE MASTER'!$AD$2:$AD$495&gt;=4))*ROW('CASE MASTER'!$T$2:$T$495))&gt;0,INDEX('CASE MASTER'!$Y$2:$Y$495,(SUMPRODUCT((('CASE MASTER'!$T$2:$T$495=15)*('CASE MASTER'!$AA$2:$AA$495&lt;=9)*('CASE MASTER'!$AC$2:$AC$495&gt;=9)*('CASE MASTER'!$AB$2:$AB$495&lt;=4)*('CASE MASTER'!$AD$2:$AD$495&gt;=4))*ROW('CASE MASTER'!$T$2:$T$495))-(ROW('CASE MASTER'!#REF!)-1)))&amp;TRIM(MID(SUBSTITUTE(SUBSTITUTE(INDEX('CASE MASTER'!$N$2:$N$495,(SUMPRODUCT((('CASE MASTER'!$T$2:$T$495=15)*('CASE MASTER'!$AA$2:$AA$495&lt;=9)*('CASE MASTER'!$AC$2:$AC$495&gt;=9)*('CASE MASTER'!$AB$2:$AB$495&lt;=4)*('CASE MASTER'!$AD$2:$AD$495&gt;=4))*ROW('CASE MASTER'!$T$2:$T$495))-(ROW('CASE MASTER'!#REF!)-1))),":",","),",",REPT(" ",50)),(((INDEX('CASE MASTER'!$Z$2:$Z$495,(SUMPRODUCT((('CASE MASTER'!$T$2:$T$495=15)*('CASE MASTER'!$AA$2:$AA$495&lt;=9)*('CASE MASTER'!$AC$2:$AC$495&gt;=9)*('CASE MASTER'!$AB$2:$AB$495&lt;=4)*('CASE MASTER'!$AD$2:$AD$495&gt;=4))*ROW('CASE MASTER'!$T$2:$T$495))-(ROW('CASE MASTER'!#REF!)-1)))+((9-INDEX('CASE MASTER'!$AA$2:$AA$495,(SUMPRODUCT((('CASE MASTER'!$T$2:$T$495=15)*('CASE MASTER'!$AA$2:$AA$495&lt;=9)*('CASE MASTER'!$AC$2:$AC$495&gt;=9)*('CASE MASTER'!$AB$2:$AB$495&lt;=4)*('CASE MASTER'!$AD$2:$AD$495&gt;=4))*ROW('CASE MASTER'!$T$2:$T$495))-(ROW('CASE MASTER'!#REF!)-1))))*(INDEX('CASE MASTER'!$AD$2:$AD$495,(SUMPRODUCT((('CASE MASTER'!$T$2:$T$495=15)*('CASE MASTER'!$AA$2:$AA$495&lt;=9)*('CASE MASTER'!$AC$2:$AC$495&gt;=9)*('CASE MASTER'!$AB$2:$AB$495&lt;=4)*('CASE MASTER'!$AD$2:$AD$495&gt;=4))*ROW('CASE MASTER'!$T$2:$T$495))-(ROW('CASE MASTER'!#REF!)-1)))-INDEX('CASE MASTER'!$AB$2:$AB$495,(SUMPRODUCT((('CASE MASTER'!$T$2:$T$495=15)*('CASE MASTER'!$AA$2:$AA$495&lt;=9)*('CASE MASTER'!$AC$2:$AC$495&gt;=9)*('CASE MASTER'!$AB$2:$AB$495&lt;=4)*('CASE MASTER'!$AD$2:$AD$495&gt;=4))*ROW('CASE MASTER'!$T$2:$T$495))-(ROW('CASE MASTER'!#REF!)-1)))+1)+(4-INDEX('CASE MASTER'!$AB$2:$AB$495,(SUMPRODUCT((('CASE MASTER'!$T$2:$T$495=15)*('CASE MASTER'!$AA$2:$AA$495&lt;=9)*('CASE MASTER'!$AC$2:$AC$495&gt;=9)*('CASE MASTER'!$AB$2:$AB$495&lt;=4)*('CASE MASTER'!$AD$2:$AD$495&gt;=4))*ROW('CASE MASTER'!$T$2:$T$495))-(ROW('CASE MASTER'!#REF!)-1))))+1)))-1)*50+1,50))&amp;"_"&amp;INDEX('CASE MASTER'!$Q$2:$Q$495,(SUMPRODUCT((('CASE MASTER'!$T$2:$T$495=15)*('CASE MASTER'!$AA$2:$AA$495&lt;=9)*('CASE MASTER'!$AC$2:$AC$495&gt;=9)*('CASE MASTER'!$AB$2:$AB$495&lt;=4)*('CASE MASTER'!$AD$2:$AD$495&gt;=4))*ROW('CASE MASTER'!$T$2:$T$495))-(ROW('CASE MASTER'!#REF!)-1))),"")),"")</f>
        <v/>
      </c>
      <c r="F207" s="10" t="str">
        <f>IFERROR(IF(SUMPRODUCT((('CASE MASTER'!$T$2:$T$495=15)*('CASE MASTER'!$U$2:$U$495&lt;=9)*('CASE MASTER'!$W$2:$W$495&gt;=9)*('CASE MASTER'!$V$2:$V$495&lt;=5)*('CASE MASTER'!$X$2:$X$495&gt;=5))*ROW('CASE MASTER'!$T$2:$T$495))&gt;0,INDEX('CASE MASTER'!$Y$2:$Y$495,(SUMPRODUCT((('CASE MASTER'!$T$2:$T$495=15)*('CASE MASTER'!$U$2:$U$495&lt;=9)*('CASE MASTER'!$W$2:$W$495&gt;=9)*('CASE MASTER'!$V$2:$V$495&lt;=5)*('CASE MASTER'!$X$2:$X$495&gt;=5))*ROW('CASE MASTER'!$T$2:$T$495))-(ROW('CASE MASTER'!#REF!)-1)))&amp;TRIM(MID(SUBSTITUTE(SUBSTITUTE(INDEX('CASE MASTER'!$N$2:$N$495,(SUMPRODUCT((('CASE MASTER'!$T$2:$T$495=15)*('CASE MASTER'!$U$2:$U$495&lt;=9)*('CASE MASTER'!$W$2:$W$495&gt;=9)*('CASE MASTER'!$V$2:$V$495&lt;=5)*('CASE MASTER'!$X$2:$X$495&gt;=5))*ROW('CASE MASTER'!$T$2:$T$495))-(ROW('CASE MASTER'!#REF!)-1))),":",","),",",REPT(" ",50)),((((9-INDEX('CASE MASTER'!$U$2:$U$495,(SUMPRODUCT((('CASE MASTER'!$T$2:$T$495=15)*('CASE MASTER'!$U$2:$U$495&lt;=9)*('CASE MASTER'!$W$2:$W$495&gt;=9)*('CASE MASTER'!$V$2:$V$495&lt;=5)*('CASE MASTER'!$X$2:$X$495&gt;=5))*ROW('CASE MASTER'!$T$2:$T$495))-(ROW('CASE MASTER'!#REF!)-1))))*(INDEX('CASE MASTER'!$X$2:$X$495,(SUMPRODUCT((('CASE MASTER'!$T$2:$T$495=15)*('CASE MASTER'!$U$2:$U$495&lt;=9)*('CASE MASTER'!$W$2:$W$495&gt;=9)*('CASE MASTER'!$V$2:$V$495&lt;=5)*('CASE MASTER'!$X$2:$X$495&gt;=5))*ROW('CASE MASTER'!$T$2:$T$495))-(ROW('CASE MASTER'!#REF!)-1)))-INDEX('CASE MASTER'!$V$2:$V$495,(SUMPRODUCT((('CASE MASTER'!$T$2:$T$495=15)*('CASE MASTER'!$U$2:$U$495&lt;=9)*('CASE MASTER'!$W$2:$W$495&gt;=9)*('CASE MASTER'!$V$2:$V$495&lt;=5)*('CASE MASTER'!$X$2:$X$495&gt;=5))*ROW('CASE MASTER'!$T$2:$T$495))-(ROW('CASE MASTER'!#REF!)-1)))+1)+(5-INDEX('CASE MASTER'!$V$2:$V$495,(SUMPRODUCT((('CASE MASTER'!$T$2:$T$495=15)*('CASE MASTER'!$U$2:$U$495&lt;=9)*('CASE MASTER'!$W$2:$W$495&gt;=9)*('CASE MASTER'!$V$2:$V$495&lt;=5)*('CASE MASTER'!$X$2:$X$495&gt;=5))*ROW('CASE MASTER'!$T$2:$T$495))-(ROW('CASE MASTER'!#REF!)-1))))+1))-1)*50+1,50))&amp;"_"&amp;INDEX('CASE MASTER'!$Q$2:$Q$495,(SUMPRODUCT((('CASE MASTER'!$T$2:$T$495=15)*('CASE MASTER'!$U$2:$U$495&lt;=9)*('CASE MASTER'!$W$2:$W$495&gt;=9)*('CASE MASTER'!$V$2:$V$495&lt;=5)*('CASE MASTER'!$X$2:$X$495&gt;=5))*ROW('CASE MASTER'!$T$2:$T$495))-(ROW('CASE MASTER'!#REF!)-1))),IF(SUMPRODUCT((('CASE MASTER'!$T$2:$T$495=15)*('CASE MASTER'!$AA$2:$AA$495&lt;=9)*('CASE MASTER'!$AC$2:$AC$495&gt;=9)*('CASE MASTER'!$AB$2:$AB$495&lt;=5)*('CASE MASTER'!$AD$2:$AD$495&gt;=5))*ROW('CASE MASTER'!$T$2:$T$495))&gt;0,INDEX('CASE MASTER'!$Y$2:$Y$495,(SUMPRODUCT((('CASE MASTER'!$T$2:$T$495=15)*('CASE MASTER'!$AA$2:$AA$495&lt;=9)*('CASE MASTER'!$AC$2:$AC$495&gt;=9)*('CASE MASTER'!$AB$2:$AB$495&lt;=5)*('CASE MASTER'!$AD$2:$AD$495&gt;=5))*ROW('CASE MASTER'!$T$2:$T$495))-(ROW('CASE MASTER'!#REF!)-1)))&amp;TRIM(MID(SUBSTITUTE(SUBSTITUTE(INDEX('CASE MASTER'!$N$2:$N$495,(SUMPRODUCT((('CASE MASTER'!$T$2:$T$495=15)*('CASE MASTER'!$AA$2:$AA$495&lt;=9)*('CASE MASTER'!$AC$2:$AC$495&gt;=9)*('CASE MASTER'!$AB$2:$AB$495&lt;=5)*('CASE MASTER'!$AD$2:$AD$495&gt;=5))*ROW('CASE MASTER'!$T$2:$T$495))-(ROW('CASE MASTER'!#REF!)-1))),":",","),",",REPT(" ",50)),(((INDEX('CASE MASTER'!$Z$2:$Z$495,(SUMPRODUCT((('CASE MASTER'!$T$2:$T$495=15)*('CASE MASTER'!$AA$2:$AA$495&lt;=9)*('CASE MASTER'!$AC$2:$AC$495&gt;=9)*('CASE MASTER'!$AB$2:$AB$495&lt;=5)*('CASE MASTER'!$AD$2:$AD$495&gt;=5))*ROW('CASE MASTER'!$T$2:$T$495))-(ROW('CASE MASTER'!#REF!)-1)))+((9-INDEX('CASE MASTER'!$AA$2:$AA$495,(SUMPRODUCT((('CASE MASTER'!$T$2:$T$495=15)*('CASE MASTER'!$AA$2:$AA$495&lt;=9)*('CASE MASTER'!$AC$2:$AC$495&gt;=9)*('CASE MASTER'!$AB$2:$AB$495&lt;=5)*('CASE MASTER'!$AD$2:$AD$495&gt;=5))*ROW('CASE MASTER'!$T$2:$T$495))-(ROW('CASE MASTER'!#REF!)-1))))*(INDEX('CASE MASTER'!$AD$2:$AD$495,(SUMPRODUCT((('CASE MASTER'!$T$2:$T$495=15)*('CASE MASTER'!$AA$2:$AA$495&lt;=9)*('CASE MASTER'!$AC$2:$AC$495&gt;=9)*('CASE MASTER'!$AB$2:$AB$495&lt;=5)*('CASE MASTER'!$AD$2:$AD$495&gt;=5))*ROW('CASE MASTER'!$T$2:$T$495))-(ROW('CASE MASTER'!#REF!)-1)))-INDEX('CASE MASTER'!$AB$2:$AB$495,(SUMPRODUCT((('CASE MASTER'!$T$2:$T$495=15)*('CASE MASTER'!$AA$2:$AA$495&lt;=9)*('CASE MASTER'!$AC$2:$AC$495&gt;=9)*('CASE MASTER'!$AB$2:$AB$495&lt;=5)*('CASE MASTER'!$AD$2:$AD$495&gt;=5))*ROW('CASE MASTER'!$T$2:$T$495))-(ROW('CASE MASTER'!#REF!)-1)))+1)+(5-INDEX('CASE MASTER'!$AB$2:$AB$495,(SUMPRODUCT((('CASE MASTER'!$T$2:$T$495=15)*('CASE MASTER'!$AA$2:$AA$495&lt;=9)*('CASE MASTER'!$AC$2:$AC$495&gt;=9)*('CASE MASTER'!$AB$2:$AB$495&lt;=5)*('CASE MASTER'!$AD$2:$AD$495&gt;=5))*ROW('CASE MASTER'!$T$2:$T$495))-(ROW('CASE MASTER'!#REF!)-1))))+1)))-1)*50+1,50))&amp;"_"&amp;INDEX('CASE MASTER'!$Q$2:$Q$495,(SUMPRODUCT((('CASE MASTER'!$T$2:$T$495=15)*('CASE MASTER'!$AA$2:$AA$495&lt;=9)*('CASE MASTER'!$AC$2:$AC$495&gt;=9)*('CASE MASTER'!$AB$2:$AB$495&lt;=5)*('CASE MASTER'!$AD$2:$AD$495&gt;=5))*ROW('CASE MASTER'!$T$2:$T$495))-(ROW('CASE MASTER'!#REF!)-1))),"")),"")</f>
        <v/>
      </c>
      <c r="G207" s="10" t="str">
        <f>IFERROR(IF(SUMPRODUCT((('CASE MASTER'!$T$2:$T$495=15)*('CASE MASTER'!$U$2:$U$495&lt;=9)*('CASE MASTER'!$W$2:$W$495&gt;=9)*('CASE MASTER'!$V$2:$V$495&lt;=6)*('CASE MASTER'!$X$2:$X$495&gt;=6))*ROW('CASE MASTER'!$T$2:$T$495))&gt;0,INDEX('CASE MASTER'!$Y$2:$Y$495,(SUMPRODUCT((('CASE MASTER'!$T$2:$T$495=15)*('CASE MASTER'!$U$2:$U$495&lt;=9)*('CASE MASTER'!$W$2:$W$495&gt;=9)*('CASE MASTER'!$V$2:$V$495&lt;=6)*('CASE MASTER'!$X$2:$X$495&gt;=6))*ROW('CASE MASTER'!$T$2:$T$495))-(ROW('CASE MASTER'!#REF!)-1)))&amp;TRIM(MID(SUBSTITUTE(SUBSTITUTE(INDEX('CASE MASTER'!$N$2:$N$495,(SUMPRODUCT((('CASE MASTER'!$T$2:$T$495=15)*('CASE MASTER'!$U$2:$U$495&lt;=9)*('CASE MASTER'!$W$2:$W$495&gt;=9)*('CASE MASTER'!$V$2:$V$495&lt;=6)*('CASE MASTER'!$X$2:$X$495&gt;=6))*ROW('CASE MASTER'!$T$2:$T$495))-(ROW('CASE MASTER'!#REF!)-1))),":",","),",",REPT(" ",50)),((((9-INDEX('CASE MASTER'!$U$2:$U$495,(SUMPRODUCT((('CASE MASTER'!$T$2:$T$495=15)*('CASE MASTER'!$U$2:$U$495&lt;=9)*('CASE MASTER'!$W$2:$W$495&gt;=9)*('CASE MASTER'!$V$2:$V$495&lt;=6)*('CASE MASTER'!$X$2:$X$495&gt;=6))*ROW('CASE MASTER'!$T$2:$T$495))-(ROW('CASE MASTER'!#REF!)-1))))*(INDEX('CASE MASTER'!$X$2:$X$495,(SUMPRODUCT((('CASE MASTER'!$T$2:$T$495=15)*('CASE MASTER'!$U$2:$U$495&lt;=9)*('CASE MASTER'!$W$2:$W$495&gt;=9)*('CASE MASTER'!$V$2:$V$495&lt;=6)*('CASE MASTER'!$X$2:$X$495&gt;=6))*ROW('CASE MASTER'!$T$2:$T$495))-(ROW('CASE MASTER'!#REF!)-1)))-INDEX('CASE MASTER'!$V$2:$V$495,(SUMPRODUCT((('CASE MASTER'!$T$2:$T$495=15)*('CASE MASTER'!$U$2:$U$495&lt;=9)*('CASE MASTER'!$W$2:$W$495&gt;=9)*('CASE MASTER'!$V$2:$V$495&lt;=6)*('CASE MASTER'!$X$2:$X$495&gt;=6))*ROW('CASE MASTER'!$T$2:$T$495))-(ROW('CASE MASTER'!#REF!)-1)))+1)+(6-INDEX('CASE MASTER'!$V$2:$V$495,(SUMPRODUCT((('CASE MASTER'!$T$2:$T$495=15)*('CASE MASTER'!$U$2:$U$495&lt;=9)*('CASE MASTER'!$W$2:$W$495&gt;=9)*('CASE MASTER'!$V$2:$V$495&lt;=6)*('CASE MASTER'!$X$2:$X$495&gt;=6))*ROW('CASE MASTER'!$T$2:$T$495))-(ROW('CASE MASTER'!#REF!)-1))))+1))-1)*50+1,50))&amp;"_"&amp;INDEX('CASE MASTER'!$Q$2:$Q$495,(SUMPRODUCT((('CASE MASTER'!$T$2:$T$495=15)*('CASE MASTER'!$U$2:$U$495&lt;=9)*('CASE MASTER'!$W$2:$W$495&gt;=9)*('CASE MASTER'!$V$2:$V$495&lt;=6)*('CASE MASTER'!$X$2:$X$495&gt;=6))*ROW('CASE MASTER'!$T$2:$T$495))-(ROW('CASE MASTER'!#REF!)-1))),IF(SUMPRODUCT((('CASE MASTER'!$T$2:$T$495=15)*('CASE MASTER'!$AA$2:$AA$495&lt;=9)*('CASE MASTER'!$AC$2:$AC$495&gt;=9)*('CASE MASTER'!$AB$2:$AB$495&lt;=6)*('CASE MASTER'!$AD$2:$AD$495&gt;=6))*ROW('CASE MASTER'!$T$2:$T$495))&gt;0,INDEX('CASE MASTER'!$Y$2:$Y$495,(SUMPRODUCT((('CASE MASTER'!$T$2:$T$495=15)*('CASE MASTER'!$AA$2:$AA$495&lt;=9)*('CASE MASTER'!$AC$2:$AC$495&gt;=9)*('CASE MASTER'!$AB$2:$AB$495&lt;=6)*('CASE MASTER'!$AD$2:$AD$495&gt;=6))*ROW('CASE MASTER'!$T$2:$T$495))-(ROW('CASE MASTER'!#REF!)-1)))&amp;TRIM(MID(SUBSTITUTE(SUBSTITUTE(INDEX('CASE MASTER'!$N$2:$N$495,(SUMPRODUCT((('CASE MASTER'!$T$2:$T$495=15)*('CASE MASTER'!$AA$2:$AA$495&lt;=9)*('CASE MASTER'!$AC$2:$AC$495&gt;=9)*('CASE MASTER'!$AB$2:$AB$495&lt;=6)*('CASE MASTER'!$AD$2:$AD$495&gt;=6))*ROW('CASE MASTER'!$T$2:$T$495))-(ROW('CASE MASTER'!#REF!)-1))),":",","),",",REPT(" ",50)),(((INDEX('CASE MASTER'!$Z$2:$Z$495,(SUMPRODUCT((('CASE MASTER'!$T$2:$T$495=15)*('CASE MASTER'!$AA$2:$AA$495&lt;=9)*('CASE MASTER'!$AC$2:$AC$495&gt;=9)*('CASE MASTER'!$AB$2:$AB$495&lt;=6)*('CASE MASTER'!$AD$2:$AD$495&gt;=6))*ROW('CASE MASTER'!$T$2:$T$495))-(ROW('CASE MASTER'!#REF!)-1)))+((9-INDEX('CASE MASTER'!$AA$2:$AA$495,(SUMPRODUCT((('CASE MASTER'!$T$2:$T$495=15)*('CASE MASTER'!$AA$2:$AA$495&lt;=9)*('CASE MASTER'!$AC$2:$AC$495&gt;=9)*('CASE MASTER'!$AB$2:$AB$495&lt;=6)*('CASE MASTER'!$AD$2:$AD$495&gt;=6))*ROW('CASE MASTER'!$T$2:$T$495))-(ROW('CASE MASTER'!#REF!)-1))))*(INDEX('CASE MASTER'!$AD$2:$AD$495,(SUMPRODUCT((('CASE MASTER'!$T$2:$T$495=15)*('CASE MASTER'!$AA$2:$AA$495&lt;=9)*('CASE MASTER'!$AC$2:$AC$495&gt;=9)*('CASE MASTER'!$AB$2:$AB$495&lt;=6)*('CASE MASTER'!$AD$2:$AD$495&gt;=6))*ROW('CASE MASTER'!$T$2:$T$495))-(ROW('CASE MASTER'!#REF!)-1)))-INDEX('CASE MASTER'!$AB$2:$AB$495,(SUMPRODUCT((('CASE MASTER'!$T$2:$T$495=15)*('CASE MASTER'!$AA$2:$AA$495&lt;=9)*('CASE MASTER'!$AC$2:$AC$495&gt;=9)*('CASE MASTER'!$AB$2:$AB$495&lt;=6)*('CASE MASTER'!$AD$2:$AD$495&gt;=6))*ROW('CASE MASTER'!$T$2:$T$495))-(ROW('CASE MASTER'!#REF!)-1)))+1)+(6-INDEX('CASE MASTER'!$AB$2:$AB$495,(SUMPRODUCT((('CASE MASTER'!$T$2:$T$495=15)*('CASE MASTER'!$AA$2:$AA$495&lt;=9)*('CASE MASTER'!$AC$2:$AC$495&gt;=9)*('CASE MASTER'!$AB$2:$AB$495&lt;=6)*('CASE MASTER'!$AD$2:$AD$495&gt;=6))*ROW('CASE MASTER'!$T$2:$T$495))-(ROW('CASE MASTER'!#REF!)-1))))+1)))-1)*50+1,50))&amp;"_"&amp;INDEX('CASE MASTER'!$Q$2:$Q$495,(SUMPRODUCT((('CASE MASTER'!$T$2:$T$495=15)*('CASE MASTER'!$AA$2:$AA$495&lt;=9)*('CASE MASTER'!$AC$2:$AC$495&gt;=9)*('CASE MASTER'!$AB$2:$AB$495&lt;=6)*('CASE MASTER'!$AD$2:$AD$495&gt;=6))*ROW('CASE MASTER'!$T$2:$T$495))-(ROW('CASE MASTER'!#REF!)-1))),"")),"")</f>
        <v/>
      </c>
      <c r="H207" s="10" t="str">
        <f>IFERROR(IF(SUMPRODUCT((('CASE MASTER'!$T$2:$T$495=15)*('CASE MASTER'!$U$2:$U$495&lt;=9)*('CASE MASTER'!$W$2:$W$495&gt;=9)*('CASE MASTER'!$V$2:$V$495&lt;=7)*('CASE MASTER'!$X$2:$X$495&gt;=7))*ROW('CASE MASTER'!$T$2:$T$495))&gt;0,INDEX('CASE MASTER'!$Y$2:$Y$495,(SUMPRODUCT((('CASE MASTER'!$T$2:$T$495=15)*('CASE MASTER'!$U$2:$U$495&lt;=9)*('CASE MASTER'!$W$2:$W$495&gt;=9)*('CASE MASTER'!$V$2:$V$495&lt;=7)*('CASE MASTER'!$X$2:$X$495&gt;=7))*ROW('CASE MASTER'!$T$2:$T$495))-(ROW('CASE MASTER'!#REF!)-1)))&amp;TRIM(MID(SUBSTITUTE(SUBSTITUTE(INDEX('CASE MASTER'!$N$2:$N$495,(SUMPRODUCT((('CASE MASTER'!$T$2:$T$495=15)*('CASE MASTER'!$U$2:$U$495&lt;=9)*('CASE MASTER'!$W$2:$W$495&gt;=9)*('CASE MASTER'!$V$2:$V$495&lt;=7)*('CASE MASTER'!$X$2:$X$495&gt;=7))*ROW('CASE MASTER'!$T$2:$T$495))-(ROW('CASE MASTER'!#REF!)-1))),":",","),",",REPT(" ",50)),((((9-INDEX('CASE MASTER'!$U$2:$U$495,(SUMPRODUCT((('CASE MASTER'!$T$2:$T$495=15)*('CASE MASTER'!$U$2:$U$495&lt;=9)*('CASE MASTER'!$W$2:$W$495&gt;=9)*('CASE MASTER'!$V$2:$V$495&lt;=7)*('CASE MASTER'!$X$2:$X$495&gt;=7))*ROW('CASE MASTER'!$T$2:$T$495))-(ROW('CASE MASTER'!#REF!)-1))))*(INDEX('CASE MASTER'!$X$2:$X$495,(SUMPRODUCT((('CASE MASTER'!$T$2:$T$495=15)*('CASE MASTER'!$U$2:$U$495&lt;=9)*('CASE MASTER'!$W$2:$W$495&gt;=9)*('CASE MASTER'!$V$2:$V$495&lt;=7)*('CASE MASTER'!$X$2:$X$495&gt;=7))*ROW('CASE MASTER'!$T$2:$T$495))-(ROW('CASE MASTER'!#REF!)-1)))-INDEX('CASE MASTER'!$V$2:$V$495,(SUMPRODUCT((('CASE MASTER'!$T$2:$T$495=15)*('CASE MASTER'!$U$2:$U$495&lt;=9)*('CASE MASTER'!$W$2:$W$495&gt;=9)*('CASE MASTER'!$V$2:$V$495&lt;=7)*('CASE MASTER'!$X$2:$X$495&gt;=7))*ROW('CASE MASTER'!$T$2:$T$495))-(ROW('CASE MASTER'!#REF!)-1)))+1)+(7-INDEX('CASE MASTER'!$V$2:$V$495,(SUMPRODUCT((('CASE MASTER'!$T$2:$T$495=15)*('CASE MASTER'!$U$2:$U$495&lt;=9)*('CASE MASTER'!$W$2:$W$495&gt;=9)*('CASE MASTER'!$V$2:$V$495&lt;=7)*('CASE MASTER'!$X$2:$X$495&gt;=7))*ROW('CASE MASTER'!$T$2:$T$495))-(ROW('CASE MASTER'!#REF!)-1))))+1))-1)*50+1,50))&amp;"_"&amp;INDEX('CASE MASTER'!$Q$2:$Q$495,(SUMPRODUCT((('CASE MASTER'!$T$2:$T$495=15)*('CASE MASTER'!$U$2:$U$495&lt;=9)*('CASE MASTER'!$W$2:$W$495&gt;=9)*('CASE MASTER'!$V$2:$V$495&lt;=7)*('CASE MASTER'!$X$2:$X$495&gt;=7))*ROW('CASE MASTER'!$T$2:$T$495))-(ROW('CASE MASTER'!#REF!)-1))),IF(SUMPRODUCT((('CASE MASTER'!$T$2:$T$495=15)*('CASE MASTER'!$AA$2:$AA$495&lt;=9)*('CASE MASTER'!$AC$2:$AC$495&gt;=9)*('CASE MASTER'!$AB$2:$AB$495&lt;=7)*('CASE MASTER'!$AD$2:$AD$495&gt;=7))*ROW('CASE MASTER'!$T$2:$T$495))&gt;0,INDEX('CASE MASTER'!$Y$2:$Y$495,(SUMPRODUCT((('CASE MASTER'!$T$2:$T$495=15)*('CASE MASTER'!$AA$2:$AA$495&lt;=9)*('CASE MASTER'!$AC$2:$AC$495&gt;=9)*('CASE MASTER'!$AB$2:$AB$495&lt;=7)*('CASE MASTER'!$AD$2:$AD$495&gt;=7))*ROW('CASE MASTER'!$T$2:$T$495))-(ROW('CASE MASTER'!#REF!)-1)))&amp;TRIM(MID(SUBSTITUTE(SUBSTITUTE(INDEX('CASE MASTER'!$N$2:$N$495,(SUMPRODUCT((('CASE MASTER'!$T$2:$T$495=15)*('CASE MASTER'!$AA$2:$AA$495&lt;=9)*('CASE MASTER'!$AC$2:$AC$495&gt;=9)*('CASE MASTER'!$AB$2:$AB$495&lt;=7)*('CASE MASTER'!$AD$2:$AD$495&gt;=7))*ROW('CASE MASTER'!$T$2:$T$495))-(ROW('CASE MASTER'!#REF!)-1))),":",","),",",REPT(" ",50)),(((INDEX('CASE MASTER'!$Z$2:$Z$495,(SUMPRODUCT((('CASE MASTER'!$T$2:$T$495=15)*('CASE MASTER'!$AA$2:$AA$495&lt;=9)*('CASE MASTER'!$AC$2:$AC$495&gt;=9)*('CASE MASTER'!$AB$2:$AB$495&lt;=7)*('CASE MASTER'!$AD$2:$AD$495&gt;=7))*ROW('CASE MASTER'!$T$2:$T$495))-(ROW('CASE MASTER'!#REF!)-1)))+((9-INDEX('CASE MASTER'!$AA$2:$AA$495,(SUMPRODUCT((('CASE MASTER'!$T$2:$T$495=15)*('CASE MASTER'!$AA$2:$AA$495&lt;=9)*('CASE MASTER'!$AC$2:$AC$495&gt;=9)*('CASE MASTER'!$AB$2:$AB$495&lt;=7)*('CASE MASTER'!$AD$2:$AD$495&gt;=7))*ROW('CASE MASTER'!$T$2:$T$495))-(ROW('CASE MASTER'!#REF!)-1))))*(INDEX('CASE MASTER'!$AD$2:$AD$495,(SUMPRODUCT((('CASE MASTER'!$T$2:$T$495=15)*('CASE MASTER'!$AA$2:$AA$495&lt;=9)*('CASE MASTER'!$AC$2:$AC$495&gt;=9)*('CASE MASTER'!$AB$2:$AB$495&lt;=7)*('CASE MASTER'!$AD$2:$AD$495&gt;=7))*ROW('CASE MASTER'!$T$2:$T$495))-(ROW('CASE MASTER'!#REF!)-1)))-INDEX('CASE MASTER'!$AB$2:$AB$495,(SUMPRODUCT((('CASE MASTER'!$T$2:$T$495=15)*('CASE MASTER'!$AA$2:$AA$495&lt;=9)*('CASE MASTER'!$AC$2:$AC$495&gt;=9)*('CASE MASTER'!$AB$2:$AB$495&lt;=7)*('CASE MASTER'!$AD$2:$AD$495&gt;=7))*ROW('CASE MASTER'!$T$2:$T$495))-(ROW('CASE MASTER'!#REF!)-1)))+1)+(7-INDEX('CASE MASTER'!$AB$2:$AB$495,(SUMPRODUCT((('CASE MASTER'!$T$2:$T$495=15)*('CASE MASTER'!$AA$2:$AA$495&lt;=9)*('CASE MASTER'!$AC$2:$AC$495&gt;=9)*('CASE MASTER'!$AB$2:$AB$495&lt;=7)*('CASE MASTER'!$AD$2:$AD$495&gt;=7))*ROW('CASE MASTER'!$T$2:$T$495))-(ROW('CASE MASTER'!#REF!)-1))))+1)))-1)*50+1,50))&amp;"_"&amp;INDEX('CASE MASTER'!$Q$2:$Q$495,(SUMPRODUCT((('CASE MASTER'!$T$2:$T$495=15)*('CASE MASTER'!$AA$2:$AA$495&lt;=9)*('CASE MASTER'!$AC$2:$AC$495&gt;=9)*('CASE MASTER'!$AB$2:$AB$495&lt;=7)*('CASE MASTER'!$AD$2:$AD$495&gt;=7))*ROW('CASE MASTER'!$T$2:$T$495))-(ROW('CASE MASTER'!#REF!)-1))),"")),"")</f>
        <v/>
      </c>
      <c r="I207" s="10" t="str">
        <f>IFERROR(IF(SUMPRODUCT((('CASE MASTER'!$T$2:$T$495=15)*('CASE MASTER'!$U$2:$U$495&lt;=9)*('CASE MASTER'!$W$2:$W$495&gt;=9)*('CASE MASTER'!$V$2:$V$495&lt;=8)*('CASE MASTER'!$X$2:$X$495&gt;=8))*ROW('CASE MASTER'!$T$2:$T$495))&gt;0,INDEX('CASE MASTER'!$Y$2:$Y$495,(SUMPRODUCT((('CASE MASTER'!$T$2:$T$495=15)*('CASE MASTER'!$U$2:$U$495&lt;=9)*('CASE MASTER'!$W$2:$W$495&gt;=9)*('CASE MASTER'!$V$2:$V$495&lt;=8)*('CASE MASTER'!$X$2:$X$495&gt;=8))*ROW('CASE MASTER'!$T$2:$T$495))-(ROW('CASE MASTER'!#REF!)-1)))&amp;TRIM(MID(SUBSTITUTE(SUBSTITUTE(INDEX('CASE MASTER'!$N$2:$N$495,(SUMPRODUCT((('CASE MASTER'!$T$2:$T$495=15)*('CASE MASTER'!$U$2:$U$495&lt;=9)*('CASE MASTER'!$W$2:$W$495&gt;=9)*('CASE MASTER'!$V$2:$V$495&lt;=8)*('CASE MASTER'!$X$2:$X$495&gt;=8))*ROW('CASE MASTER'!$T$2:$T$495))-(ROW('CASE MASTER'!#REF!)-1))),":",","),",",REPT(" ",50)),((((9-INDEX('CASE MASTER'!$U$2:$U$495,(SUMPRODUCT((('CASE MASTER'!$T$2:$T$495=15)*('CASE MASTER'!$U$2:$U$495&lt;=9)*('CASE MASTER'!$W$2:$W$495&gt;=9)*('CASE MASTER'!$V$2:$V$495&lt;=8)*('CASE MASTER'!$X$2:$X$495&gt;=8))*ROW('CASE MASTER'!$T$2:$T$495))-(ROW('CASE MASTER'!#REF!)-1))))*(INDEX('CASE MASTER'!$X$2:$X$495,(SUMPRODUCT((('CASE MASTER'!$T$2:$T$495=15)*('CASE MASTER'!$U$2:$U$495&lt;=9)*('CASE MASTER'!$W$2:$W$495&gt;=9)*('CASE MASTER'!$V$2:$V$495&lt;=8)*('CASE MASTER'!$X$2:$X$495&gt;=8))*ROW('CASE MASTER'!$T$2:$T$495))-(ROW('CASE MASTER'!#REF!)-1)))-INDEX('CASE MASTER'!$V$2:$V$495,(SUMPRODUCT((('CASE MASTER'!$T$2:$T$495=15)*('CASE MASTER'!$U$2:$U$495&lt;=9)*('CASE MASTER'!$W$2:$W$495&gt;=9)*('CASE MASTER'!$V$2:$V$495&lt;=8)*('CASE MASTER'!$X$2:$X$495&gt;=8))*ROW('CASE MASTER'!$T$2:$T$495))-(ROW('CASE MASTER'!#REF!)-1)))+1)+(8-INDEX('CASE MASTER'!$V$2:$V$495,(SUMPRODUCT((('CASE MASTER'!$T$2:$T$495=15)*('CASE MASTER'!$U$2:$U$495&lt;=9)*('CASE MASTER'!$W$2:$W$495&gt;=9)*('CASE MASTER'!$V$2:$V$495&lt;=8)*('CASE MASTER'!$X$2:$X$495&gt;=8))*ROW('CASE MASTER'!$T$2:$T$495))-(ROW('CASE MASTER'!#REF!)-1))))+1))-1)*50+1,50))&amp;"_"&amp;INDEX('CASE MASTER'!$Q$2:$Q$495,(SUMPRODUCT((('CASE MASTER'!$T$2:$T$495=15)*('CASE MASTER'!$U$2:$U$495&lt;=9)*('CASE MASTER'!$W$2:$W$495&gt;=9)*('CASE MASTER'!$V$2:$V$495&lt;=8)*('CASE MASTER'!$X$2:$X$495&gt;=8))*ROW('CASE MASTER'!$T$2:$T$495))-(ROW('CASE MASTER'!#REF!)-1))),IF(SUMPRODUCT((('CASE MASTER'!$T$2:$T$495=15)*('CASE MASTER'!$AA$2:$AA$495&lt;=9)*('CASE MASTER'!$AC$2:$AC$495&gt;=9)*('CASE MASTER'!$AB$2:$AB$495&lt;=8)*('CASE MASTER'!$AD$2:$AD$495&gt;=8))*ROW('CASE MASTER'!$T$2:$T$495))&gt;0,INDEX('CASE MASTER'!$Y$2:$Y$495,(SUMPRODUCT((('CASE MASTER'!$T$2:$T$495=15)*('CASE MASTER'!$AA$2:$AA$495&lt;=9)*('CASE MASTER'!$AC$2:$AC$495&gt;=9)*('CASE MASTER'!$AB$2:$AB$495&lt;=8)*('CASE MASTER'!$AD$2:$AD$495&gt;=8))*ROW('CASE MASTER'!$T$2:$T$495))-(ROW('CASE MASTER'!#REF!)-1)))&amp;TRIM(MID(SUBSTITUTE(SUBSTITUTE(INDEX('CASE MASTER'!$N$2:$N$495,(SUMPRODUCT((('CASE MASTER'!$T$2:$T$495=15)*('CASE MASTER'!$AA$2:$AA$495&lt;=9)*('CASE MASTER'!$AC$2:$AC$495&gt;=9)*('CASE MASTER'!$AB$2:$AB$495&lt;=8)*('CASE MASTER'!$AD$2:$AD$495&gt;=8))*ROW('CASE MASTER'!$T$2:$T$495))-(ROW('CASE MASTER'!#REF!)-1))),":",","),",",REPT(" ",50)),(((INDEX('CASE MASTER'!$Z$2:$Z$495,(SUMPRODUCT((('CASE MASTER'!$T$2:$T$495=15)*('CASE MASTER'!$AA$2:$AA$495&lt;=9)*('CASE MASTER'!$AC$2:$AC$495&gt;=9)*('CASE MASTER'!$AB$2:$AB$495&lt;=8)*('CASE MASTER'!$AD$2:$AD$495&gt;=8))*ROW('CASE MASTER'!$T$2:$T$495))-(ROW('CASE MASTER'!#REF!)-1)))+((9-INDEX('CASE MASTER'!$AA$2:$AA$495,(SUMPRODUCT((('CASE MASTER'!$T$2:$T$495=15)*('CASE MASTER'!$AA$2:$AA$495&lt;=9)*('CASE MASTER'!$AC$2:$AC$495&gt;=9)*('CASE MASTER'!$AB$2:$AB$495&lt;=8)*('CASE MASTER'!$AD$2:$AD$495&gt;=8))*ROW('CASE MASTER'!$T$2:$T$495))-(ROW('CASE MASTER'!#REF!)-1))))*(INDEX('CASE MASTER'!$AD$2:$AD$495,(SUMPRODUCT((('CASE MASTER'!$T$2:$T$495=15)*('CASE MASTER'!$AA$2:$AA$495&lt;=9)*('CASE MASTER'!$AC$2:$AC$495&gt;=9)*('CASE MASTER'!$AB$2:$AB$495&lt;=8)*('CASE MASTER'!$AD$2:$AD$495&gt;=8))*ROW('CASE MASTER'!$T$2:$T$495))-(ROW('CASE MASTER'!#REF!)-1)))-INDEX('CASE MASTER'!$AB$2:$AB$495,(SUMPRODUCT((('CASE MASTER'!$T$2:$T$495=15)*('CASE MASTER'!$AA$2:$AA$495&lt;=9)*('CASE MASTER'!$AC$2:$AC$495&gt;=9)*('CASE MASTER'!$AB$2:$AB$495&lt;=8)*('CASE MASTER'!$AD$2:$AD$495&gt;=8))*ROW('CASE MASTER'!$T$2:$T$495))-(ROW('CASE MASTER'!#REF!)-1)))+1)+(8-INDEX('CASE MASTER'!$AB$2:$AB$495,(SUMPRODUCT((('CASE MASTER'!$T$2:$T$495=15)*('CASE MASTER'!$AA$2:$AA$495&lt;=9)*('CASE MASTER'!$AC$2:$AC$495&gt;=9)*('CASE MASTER'!$AB$2:$AB$495&lt;=8)*('CASE MASTER'!$AD$2:$AD$495&gt;=8))*ROW('CASE MASTER'!$T$2:$T$495))-(ROW('CASE MASTER'!#REF!)-1))))+1)))-1)*50+1,50))&amp;"_"&amp;INDEX('CASE MASTER'!$Q$2:$Q$495,(SUMPRODUCT((('CASE MASTER'!$T$2:$T$495=15)*('CASE MASTER'!$AA$2:$AA$495&lt;=9)*('CASE MASTER'!$AC$2:$AC$495&gt;=9)*('CASE MASTER'!$AB$2:$AB$495&lt;=8)*('CASE MASTER'!$AD$2:$AD$495&gt;=8))*ROW('CASE MASTER'!$T$2:$T$495))-(ROW('CASE MASTER'!#REF!)-1))),"")),"")</f>
        <v/>
      </c>
      <c r="J207" s="10" t="str">
        <f>IFERROR(IF(SUMPRODUCT((('CASE MASTER'!$T$2:$T$495=15)*('CASE MASTER'!$U$2:$U$495&lt;=9)*('CASE MASTER'!$W$2:$W$495&gt;=9)*('CASE MASTER'!$V$2:$V$495&lt;=9)*('CASE MASTER'!$X$2:$X$495&gt;=9))*ROW('CASE MASTER'!$T$2:$T$495))&gt;0,INDEX('CASE MASTER'!$Y$2:$Y$495,(SUMPRODUCT((('CASE MASTER'!$T$2:$T$495=15)*('CASE MASTER'!$U$2:$U$495&lt;=9)*('CASE MASTER'!$W$2:$W$495&gt;=9)*('CASE MASTER'!$V$2:$V$495&lt;=9)*('CASE MASTER'!$X$2:$X$495&gt;=9))*ROW('CASE MASTER'!$T$2:$T$495))-(ROW('CASE MASTER'!#REF!)-1)))&amp;TRIM(MID(SUBSTITUTE(SUBSTITUTE(INDEX('CASE MASTER'!$N$2:$N$495,(SUMPRODUCT((('CASE MASTER'!$T$2:$T$495=15)*('CASE MASTER'!$U$2:$U$495&lt;=9)*('CASE MASTER'!$W$2:$W$495&gt;=9)*('CASE MASTER'!$V$2:$V$495&lt;=9)*('CASE MASTER'!$X$2:$X$495&gt;=9))*ROW('CASE MASTER'!$T$2:$T$495))-(ROW('CASE MASTER'!#REF!)-1))),":",","),",",REPT(" ",50)),((((9-INDEX('CASE MASTER'!$U$2:$U$495,(SUMPRODUCT((('CASE MASTER'!$T$2:$T$495=15)*('CASE MASTER'!$U$2:$U$495&lt;=9)*('CASE MASTER'!$W$2:$W$495&gt;=9)*('CASE MASTER'!$V$2:$V$495&lt;=9)*('CASE MASTER'!$X$2:$X$495&gt;=9))*ROW('CASE MASTER'!$T$2:$T$495))-(ROW('CASE MASTER'!#REF!)-1))))*(INDEX('CASE MASTER'!$X$2:$X$495,(SUMPRODUCT((('CASE MASTER'!$T$2:$T$495=15)*('CASE MASTER'!$U$2:$U$495&lt;=9)*('CASE MASTER'!$W$2:$W$495&gt;=9)*('CASE MASTER'!$V$2:$V$495&lt;=9)*('CASE MASTER'!$X$2:$X$495&gt;=9))*ROW('CASE MASTER'!$T$2:$T$495))-(ROW('CASE MASTER'!#REF!)-1)))-INDEX('CASE MASTER'!$V$2:$V$495,(SUMPRODUCT((('CASE MASTER'!$T$2:$T$495=15)*('CASE MASTER'!$U$2:$U$495&lt;=9)*('CASE MASTER'!$W$2:$W$495&gt;=9)*('CASE MASTER'!$V$2:$V$495&lt;=9)*('CASE MASTER'!$X$2:$X$495&gt;=9))*ROW('CASE MASTER'!$T$2:$T$495))-(ROW('CASE MASTER'!#REF!)-1)))+1)+(9-INDEX('CASE MASTER'!$V$2:$V$495,(SUMPRODUCT((('CASE MASTER'!$T$2:$T$495=15)*('CASE MASTER'!$U$2:$U$495&lt;=9)*('CASE MASTER'!$W$2:$W$495&gt;=9)*('CASE MASTER'!$V$2:$V$495&lt;=9)*('CASE MASTER'!$X$2:$X$495&gt;=9))*ROW('CASE MASTER'!$T$2:$T$495))-(ROW('CASE MASTER'!#REF!)-1))))+1))-1)*50+1,50))&amp;"_"&amp;INDEX('CASE MASTER'!$Q$2:$Q$495,(SUMPRODUCT((('CASE MASTER'!$T$2:$T$495=15)*('CASE MASTER'!$U$2:$U$495&lt;=9)*('CASE MASTER'!$W$2:$W$495&gt;=9)*('CASE MASTER'!$V$2:$V$495&lt;=9)*('CASE MASTER'!$X$2:$X$495&gt;=9))*ROW('CASE MASTER'!$T$2:$T$495))-(ROW('CASE MASTER'!#REF!)-1))),IF(SUMPRODUCT((('CASE MASTER'!$T$2:$T$495=15)*('CASE MASTER'!$AA$2:$AA$495&lt;=9)*('CASE MASTER'!$AC$2:$AC$495&gt;=9)*('CASE MASTER'!$AB$2:$AB$495&lt;=9)*('CASE MASTER'!$AD$2:$AD$495&gt;=9))*ROW('CASE MASTER'!$T$2:$T$495))&gt;0,INDEX('CASE MASTER'!$Y$2:$Y$495,(SUMPRODUCT((('CASE MASTER'!$T$2:$T$495=15)*('CASE MASTER'!$AA$2:$AA$495&lt;=9)*('CASE MASTER'!$AC$2:$AC$495&gt;=9)*('CASE MASTER'!$AB$2:$AB$495&lt;=9)*('CASE MASTER'!$AD$2:$AD$495&gt;=9))*ROW('CASE MASTER'!$T$2:$T$495))-(ROW('CASE MASTER'!#REF!)-1)))&amp;TRIM(MID(SUBSTITUTE(SUBSTITUTE(INDEX('CASE MASTER'!$N$2:$N$495,(SUMPRODUCT((('CASE MASTER'!$T$2:$T$495=15)*('CASE MASTER'!$AA$2:$AA$495&lt;=9)*('CASE MASTER'!$AC$2:$AC$495&gt;=9)*('CASE MASTER'!$AB$2:$AB$495&lt;=9)*('CASE MASTER'!$AD$2:$AD$495&gt;=9))*ROW('CASE MASTER'!$T$2:$T$495))-(ROW('CASE MASTER'!#REF!)-1))),":",","),",",REPT(" ",50)),(((INDEX('CASE MASTER'!$Z$2:$Z$495,(SUMPRODUCT((('CASE MASTER'!$T$2:$T$495=15)*('CASE MASTER'!$AA$2:$AA$495&lt;=9)*('CASE MASTER'!$AC$2:$AC$495&gt;=9)*('CASE MASTER'!$AB$2:$AB$495&lt;=9)*('CASE MASTER'!$AD$2:$AD$495&gt;=9))*ROW('CASE MASTER'!$T$2:$T$495))-(ROW('CASE MASTER'!#REF!)-1)))+((9-INDEX('CASE MASTER'!$AA$2:$AA$495,(SUMPRODUCT((('CASE MASTER'!$T$2:$T$495=15)*('CASE MASTER'!$AA$2:$AA$495&lt;=9)*('CASE MASTER'!$AC$2:$AC$495&gt;=9)*('CASE MASTER'!$AB$2:$AB$495&lt;=9)*('CASE MASTER'!$AD$2:$AD$495&gt;=9))*ROW('CASE MASTER'!$T$2:$T$495))-(ROW('CASE MASTER'!#REF!)-1))))*(INDEX('CASE MASTER'!$AD$2:$AD$495,(SUMPRODUCT((('CASE MASTER'!$T$2:$T$495=15)*('CASE MASTER'!$AA$2:$AA$495&lt;=9)*('CASE MASTER'!$AC$2:$AC$495&gt;=9)*('CASE MASTER'!$AB$2:$AB$495&lt;=9)*('CASE MASTER'!$AD$2:$AD$495&gt;=9))*ROW('CASE MASTER'!$T$2:$T$495))-(ROW('CASE MASTER'!#REF!)-1)))-INDEX('CASE MASTER'!$AB$2:$AB$495,(SUMPRODUCT((('CASE MASTER'!$T$2:$T$495=15)*('CASE MASTER'!$AA$2:$AA$495&lt;=9)*('CASE MASTER'!$AC$2:$AC$495&gt;=9)*('CASE MASTER'!$AB$2:$AB$495&lt;=9)*('CASE MASTER'!$AD$2:$AD$495&gt;=9))*ROW('CASE MASTER'!$T$2:$T$495))-(ROW('CASE MASTER'!#REF!)-1)))+1)+(9-INDEX('CASE MASTER'!$AB$2:$AB$495,(SUMPRODUCT((('CASE MASTER'!$T$2:$T$495=15)*('CASE MASTER'!$AA$2:$AA$495&lt;=9)*('CASE MASTER'!$AC$2:$AC$495&gt;=9)*('CASE MASTER'!$AB$2:$AB$495&lt;=9)*('CASE MASTER'!$AD$2:$AD$495&gt;=9))*ROW('CASE MASTER'!$T$2:$T$495))-(ROW('CASE MASTER'!#REF!)-1))))+1)))-1)*50+1,50))&amp;"_"&amp;INDEX('CASE MASTER'!$Q$2:$Q$495,(SUMPRODUCT((('CASE MASTER'!$T$2:$T$495=15)*('CASE MASTER'!$AA$2:$AA$495&lt;=9)*('CASE MASTER'!$AC$2:$AC$495&gt;=9)*('CASE MASTER'!$AB$2:$AB$495&lt;=9)*('CASE MASTER'!$AD$2:$AD$495&gt;=9))*ROW('CASE MASTER'!$T$2:$T$495))-(ROW('CASE MASTER'!#REF!)-1))),"")),"")</f>
        <v/>
      </c>
      <c r="K207" s="10" t="str">
        <f>IFERROR(IF(SUMPRODUCT((('CASE MASTER'!$T$2:$T$495=15)*('CASE MASTER'!$U$2:$U$495&lt;=9)*('CASE MASTER'!$W$2:$W$495&gt;=9)*('CASE MASTER'!$V$2:$V$495&lt;=10)*('CASE MASTER'!$X$2:$X$495&gt;=10))*ROW('CASE MASTER'!$T$2:$T$495))&gt;0,INDEX('CASE MASTER'!$Y$2:$Y$495,(SUMPRODUCT((('CASE MASTER'!$T$2:$T$495=15)*('CASE MASTER'!$U$2:$U$495&lt;=9)*('CASE MASTER'!$W$2:$W$495&gt;=9)*('CASE MASTER'!$V$2:$V$495&lt;=10)*('CASE MASTER'!$X$2:$X$495&gt;=10))*ROW('CASE MASTER'!$T$2:$T$495))-(ROW('CASE MASTER'!#REF!)-1)))&amp;TRIM(MID(SUBSTITUTE(SUBSTITUTE(INDEX('CASE MASTER'!$N$2:$N$495,(SUMPRODUCT((('CASE MASTER'!$T$2:$T$495=15)*('CASE MASTER'!$U$2:$U$495&lt;=9)*('CASE MASTER'!$W$2:$W$495&gt;=9)*('CASE MASTER'!$V$2:$V$495&lt;=10)*('CASE MASTER'!$X$2:$X$495&gt;=10))*ROW('CASE MASTER'!$T$2:$T$495))-(ROW('CASE MASTER'!#REF!)-1))),":",","),",",REPT(" ",50)),((((9-INDEX('CASE MASTER'!$U$2:$U$495,(SUMPRODUCT((('CASE MASTER'!$T$2:$T$495=15)*('CASE MASTER'!$U$2:$U$495&lt;=9)*('CASE MASTER'!$W$2:$W$495&gt;=9)*('CASE MASTER'!$V$2:$V$495&lt;=10)*('CASE MASTER'!$X$2:$X$495&gt;=10))*ROW('CASE MASTER'!$T$2:$T$495))-(ROW('CASE MASTER'!#REF!)-1))))*(INDEX('CASE MASTER'!$X$2:$X$495,(SUMPRODUCT((('CASE MASTER'!$T$2:$T$495=15)*('CASE MASTER'!$U$2:$U$495&lt;=9)*('CASE MASTER'!$W$2:$W$495&gt;=9)*('CASE MASTER'!$V$2:$V$495&lt;=10)*('CASE MASTER'!$X$2:$X$495&gt;=10))*ROW('CASE MASTER'!$T$2:$T$495))-(ROW('CASE MASTER'!#REF!)-1)))-INDEX('CASE MASTER'!$V$2:$V$495,(SUMPRODUCT((('CASE MASTER'!$T$2:$T$495=15)*('CASE MASTER'!$U$2:$U$495&lt;=9)*('CASE MASTER'!$W$2:$W$495&gt;=9)*('CASE MASTER'!$V$2:$V$495&lt;=10)*('CASE MASTER'!$X$2:$X$495&gt;=10))*ROW('CASE MASTER'!$T$2:$T$495))-(ROW('CASE MASTER'!#REF!)-1)))+1)+(10-INDEX('CASE MASTER'!$V$2:$V$495,(SUMPRODUCT((('CASE MASTER'!$T$2:$T$495=15)*('CASE MASTER'!$U$2:$U$495&lt;=9)*('CASE MASTER'!$W$2:$W$495&gt;=9)*('CASE MASTER'!$V$2:$V$495&lt;=10)*('CASE MASTER'!$X$2:$X$495&gt;=10))*ROW('CASE MASTER'!$T$2:$T$495))-(ROW('CASE MASTER'!#REF!)-1))))+1))-1)*50+1,50))&amp;"_"&amp;INDEX('CASE MASTER'!$Q$2:$Q$495,(SUMPRODUCT((('CASE MASTER'!$T$2:$T$495=15)*('CASE MASTER'!$U$2:$U$495&lt;=9)*('CASE MASTER'!$W$2:$W$495&gt;=9)*('CASE MASTER'!$V$2:$V$495&lt;=10)*('CASE MASTER'!$X$2:$X$495&gt;=10))*ROW('CASE MASTER'!$T$2:$T$495))-(ROW('CASE MASTER'!#REF!)-1))),IF(SUMPRODUCT((('CASE MASTER'!$T$2:$T$495=15)*('CASE MASTER'!$AA$2:$AA$495&lt;=9)*('CASE MASTER'!$AC$2:$AC$495&gt;=9)*('CASE MASTER'!$AB$2:$AB$495&lt;=10)*('CASE MASTER'!$AD$2:$AD$495&gt;=10))*ROW('CASE MASTER'!$T$2:$T$495))&gt;0,INDEX('CASE MASTER'!$Y$2:$Y$495,(SUMPRODUCT((('CASE MASTER'!$T$2:$T$495=15)*('CASE MASTER'!$AA$2:$AA$495&lt;=9)*('CASE MASTER'!$AC$2:$AC$495&gt;=9)*('CASE MASTER'!$AB$2:$AB$495&lt;=10)*('CASE MASTER'!$AD$2:$AD$495&gt;=10))*ROW('CASE MASTER'!$T$2:$T$495))-(ROW('CASE MASTER'!#REF!)-1)))&amp;TRIM(MID(SUBSTITUTE(SUBSTITUTE(INDEX('CASE MASTER'!$N$2:$N$495,(SUMPRODUCT((('CASE MASTER'!$T$2:$T$495=15)*('CASE MASTER'!$AA$2:$AA$495&lt;=9)*('CASE MASTER'!$AC$2:$AC$495&gt;=9)*('CASE MASTER'!$AB$2:$AB$495&lt;=10)*('CASE MASTER'!$AD$2:$AD$495&gt;=10))*ROW('CASE MASTER'!$T$2:$T$495))-(ROW('CASE MASTER'!#REF!)-1))),":",","),",",REPT(" ",50)),(((INDEX('CASE MASTER'!$Z$2:$Z$495,(SUMPRODUCT((('CASE MASTER'!$T$2:$T$495=15)*('CASE MASTER'!$AA$2:$AA$495&lt;=9)*('CASE MASTER'!$AC$2:$AC$495&gt;=9)*('CASE MASTER'!$AB$2:$AB$495&lt;=10)*('CASE MASTER'!$AD$2:$AD$495&gt;=10))*ROW('CASE MASTER'!$T$2:$T$495))-(ROW('CASE MASTER'!#REF!)-1)))+((9-INDEX('CASE MASTER'!$AA$2:$AA$495,(SUMPRODUCT((('CASE MASTER'!$T$2:$T$495=15)*('CASE MASTER'!$AA$2:$AA$495&lt;=9)*('CASE MASTER'!$AC$2:$AC$495&gt;=9)*('CASE MASTER'!$AB$2:$AB$495&lt;=10)*('CASE MASTER'!$AD$2:$AD$495&gt;=10))*ROW('CASE MASTER'!$T$2:$T$495))-(ROW('CASE MASTER'!#REF!)-1))))*(INDEX('CASE MASTER'!$AD$2:$AD$495,(SUMPRODUCT((('CASE MASTER'!$T$2:$T$495=15)*('CASE MASTER'!$AA$2:$AA$495&lt;=9)*('CASE MASTER'!$AC$2:$AC$495&gt;=9)*('CASE MASTER'!$AB$2:$AB$495&lt;=10)*('CASE MASTER'!$AD$2:$AD$495&gt;=10))*ROW('CASE MASTER'!$T$2:$T$495))-(ROW('CASE MASTER'!#REF!)-1)))-INDEX('CASE MASTER'!$AB$2:$AB$495,(SUMPRODUCT((('CASE MASTER'!$T$2:$T$495=15)*('CASE MASTER'!$AA$2:$AA$495&lt;=9)*('CASE MASTER'!$AC$2:$AC$495&gt;=9)*('CASE MASTER'!$AB$2:$AB$495&lt;=10)*('CASE MASTER'!$AD$2:$AD$495&gt;=10))*ROW('CASE MASTER'!$T$2:$T$495))-(ROW('CASE MASTER'!#REF!)-1)))+1)+(10-INDEX('CASE MASTER'!$AB$2:$AB$495,(SUMPRODUCT((('CASE MASTER'!$T$2:$T$495=15)*('CASE MASTER'!$AA$2:$AA$495&lt;=9)*('CASE MASTER'!$AC$2:$AC$495&gt;=9)*('CASE MASTER'!$AB$2:$AB$495&lt;=10)*('CASE MASTER'!$AD$2:$AD$495&gt;=10))*ROW('CASE MASTER'!$T$2:$T$495))-(ROW('CASE MASTER'!#REF!)-1))))+1)))-1)*50+1,50))&amp;"_"&amp;INDEX('CASE MASTER'!$Q$2:$Q$495,(SUMPRODUCT((('CASE MASTER'!$T$2:$T$495=15)*('CASE MASTER'!$AA$2:$AA$495&lt;=9)*('CASE MASTER'!$AC$2:$AC$495&gt;=9)*('CASE MASTER'!$AB$2:$AB$495&lt;=10)*('CASE MASTER'!$AD$2:$AD$495&gt;=10))*ROW('CASE MASTER'!$T$2:$T$495))-(ROW('CASE MASTER'!#REF!)-1))),"")),"")</f>
        <v/>
      </c>
    </row>
    <row r="208" spans="1:11" ht="15" customHeight="1" x14ac:dyDescent="0.35">
      <c r="A208" s="8" t="s">
        <v>82</v>
      </c>
      <c r="B208" s="10" t="str">
        <f>IFERROR(IF(SUMPRODUCT((('CASE MASTER'!$T$2:$T$495=15)*('CASE MASTER'!$U$2:$U$495&lt;=10)*('CASE MASTER'!$W$2:$W$495&gt;=10)*('CASE MASTER'!$V$2:$V$495&lt;=1)*('CASE MASTER'!$X$2:$X$495&gt;=1))*ROW('CASE MASTER'!$T$2:$T$495))&gt;0,INDEX('CASE MASTER'!$Y$2:$Y$495,(SUMPRODUCT((('CASE MASTER'!$T$2:$T$495=15)*('CASE MASTER'!$U$2:$U$495&lt;=10)*('CASE MASTER'!$W$2:$W$495&gt;=10)*('CASE MASTER'!$V$2:$V$495&lt;=1)*('CASE MASTER'!$X$2:$X$495&gt;=1))*ROW('CASE MASTER'!$T$2:$T$495))-(ROW('CASE MASTER'!#REF!)-1)))&amp;TRIM(MID(SUBSTITUTE(SUBSTITUTE(INDEX('CASE MASTER'!$N$2:$N$495,(SUMPRODUCT((('CASE MASTER'!$T$2:$T$495=15)*('CASE MASTER'!$U$2:$U$495&lt;=10)*('CASE MASTER'!$W$2:$W$495&gt;=10)*('CASE MASTER'!$V$2:$V$495&lt;=1)*('CASE MASTER'!$X$2:$X$495&gt;=1))*ROW('CASE MASTER'!$T$2:$T$495))-(ROW('CASE MASTER'!#REF!)-1))),":",","),",",REPT(" ",50)),((((10-INDEX('CASE MASTER'!$U$2:$U$495,(SUMPRODUCT((('CASE MASTER'!$T$2:$T$495=15)*('CASE MASTER'!$U$2:$U$495&lt;=10)*('CASE MASTER'!$W$2:$W$495&gt;=10)*('CASE MASTER'!$V$2:$V$495&lt;=1)*('CASE MASTER'!$X$2:$X$495&gt;=1))*ROW('CASE MASTER'!$T$2:$T$495))-(ROW('CASE MASTER'!#REF!)-1))))*(INDEX('CASE MASTER'!$X$2:$X$495,(SUMPRODUCT((('CASE MASTER'!$T$2:$T$495=15)*('CASE MASTER'!$U$2:$U$495&lt;=10)*('CASE MASTER'!$W$2:$W$495&gt;=10)*('CASE MASTER'!$V$2:$V$495&lt;=1)*('CASE MASTER'!$X$2:$X$495&gt;=1))*ROW('CASE MASTER'!$T$2:$T$495))-(ROW('CASE MASTER'!#REF!)-1)))-INDEX('CASE MASTER'!$V$2:$V$495,(SUMPRODUCT((('CASE MASTER'!$T$2:$T$495=15)*('CASE MASTER'!$U$2:$U$495&lt;=10)*('CASE MASTER'!$W$2:$W$495&gt;=10)*('CASE MASTER'!$V$2:$V$495&lt;=1)*('CASE MASTER'!$X$2:$X$495&gt;=1))*ROW('CASE MASTER'!$T$2:$T$495))-(ROW('CASE MASTER'!#REF!)-1)))+1)+(1-INDEX('CASE MASTER'!$V$2:$V$495,(SUMPRODUCT((('CASE MASTER'!$T$2:$T$495=15)*('CASE MASTER'!$U$2:$U$495&lt;=10)*('CASE MASTER'!$W$2:$W$495&gt;=10)*('CASE MASTER'!$V$2:$V$495&lt;=1)*('CASE MASTER'!$X$2:$X$495&gt;=1))*ROW('CASE MASTER'!$T$2:$T$495))-(ROW('CASE MASTER'!#REF!)-1))))+1))-1)*50+1,50))&amp;"_"&amp;INDEX('CASE MASTER'!$Q$2:$Q$495,(SUMPRODUCT((('CASE MASTER'!$T$2:$T$495=15)*('CASE MASTER'!$U$2:$U$495&lt;=10)*('CASE MASTER'!$W$2:$W$495&gt;=10)*('CASE MASTER'!$V$2:$V$495&lt;=1)*('CASE MASTER'!$X$2:$X$495&gt;=1))*ROW('CASE MASTER'!$T$2:$T$495))-(ROW('CASE MASTER'!#REF!)-1))),IF(SUMPRODUCT((('CASE MASTER'!$T$2:$T$495=15)*('CASE MASTER'!$AA$2:$AA$495&lt;=10)*('CASE MASTER'!$AC$2:$AC$495&gt;=10)*('CASE MASTER'!$AB$2:$AB$495&lt;=1)*('CASE MASTER'!$AD$2:$AD$495&gt;=1))*ROW('CASE MASTER'!$T$2:$T$495))&gt;0,INDEX('CASE MASTER'!$Y$2:$Y$495,(SUMPRODUCT((('CASE MASTER'!$T$2:$T$495=15)*('CASE MASTER'!$AA$2:$AA$495&lt;=10)*('CASE MASTER'!$AC$2:$AC$495&gt;=10)*('CASE MASTER'!$AB$2:$AB$495&lt;=1)*('CASE MASTER'!$AD$2:$AD$495&gt;=1))*ROW('CASE MASTER'!$T$2:$T$495))-(ROW('CASE MASTER'!#REF!)-1)))&amp;TRIM(MID(SUBSTITUTE(SUBSTITUTE(INDEX('CASE MASTER'!$N$2:$N$495,(SUMPRODUCT((('CASE MASTER'!$T$2:$T$495=15)*('CASE MASTER'!$AA$2:$AA$495&lt;=10)*('CASE MASTER'!$AC$2:$AC$495&gt;=10)*('CASE MASTER'!$AB$2:$AB$495&lt;=1)*('CASE MASTER'!$AD$2:$AD$495&gt;=1))*ROW('CASE MASTER'!$T$2:$T$495))-(ROW('CASE MASTER'!#REF!)-1))),":",","),",",REPT(" ",50)),(((INDEX('CASE MASTER'!$Z$2:$Z$495,(SUMPRODUCT((('CASE MASTER'!$T$2:$T$495=15)*('CASE MASTER'!$AA$2:$AA$495&lt;=10)*('CASE MASTER'!$AC$2:$AC$495&gt;=10)*('CASE MASTER'!$AB$2:$AB$495&lt;=1)*('CASE MASTER'!$AD$2:$AD$495&gt;=1))*ROW('CASE MASTER'!$T$2:$T$495))-(ROW('CASE MASTER'!#REF!)-1)))+((10-INDEX('CASE MASTER'!$AA$2:$AA$495,(SUMPRODUCT((('CASE MASTER'!$T$2:$T$495=15)*('CASE MASTER'!$AA$2:$AA$495&lt;=10)*('CASE MASTER'!$AC$2:$AC$495&gt;=10)*('CASE MASTER'!$AB$2:$AB$495&lt;=1)*('CASE MASTER'!$AD$2:$AD$495&gt;=1))*ROW('CASE MASTER'!$T$2:$T$495))-(ROW('CASE MASTER'!#REF!)-1))))*(INDEX('CASE MASTER'!$AD$2:$AD$495,(SUMPRODUCT((('CASE MASTER'!$T$2:$T$495=15)*('CASE MASTER'!$AA$2:$AA$495&lt;=10)*('CASE MASTER'!$AC$2:$AC$495&gt;=10)*('CASE MASTER'!$AB$2:$AB$495&lt;=1)*('CASE MASTER'!$AD$2:$AD$495&gt;=1))*ROW('CASE MASTER'!$T$2:$T$495))-(ROW('CASE MASTER'!#REF!)-1)))-INDEX('CASE MASTER'!$AB$2:$AB$495,(SUMPRODUCT((('CASE MASTER'!$T$2:$T$495=15)*('CASE MASTER'!$AA$2:$AA$495&lt;=10)*('CASE MASTER'!$AC$2:$AC$495&gt;=10)*('CASE MASTER'!$AB$2:$AB$495&lt;=1)*('CASE MASTER'!$AD$2:$AD$495&gt;=1))*ROW('CASE MASTER'!$T$2:$T$495))-(ROW('CASE MASTER'!#REF!)-1)))+1)+(1-INDEX('CASE MASTER'!$AB$2:$AB$495,(SUMPRODUCT((('CASE MASTER'!$T$2:$T$495=15)*('CASE MASTER'!$AA$2:$AA$495&lt;=10)*('CASE MASTER'!$AC$2:$AC$495&gt;=10)*('CASE MASTER'!$AB$2:$AB$495&lt;=1)*('CASE MASTER'!$AD$2:$AD$495&gt;=1))*ROW('CASE MASTER'!$T$2:$T$495))-(ROW('CASE MASTER'!#REF!)-1))))+1)))-1)*50+1,50))&amp;"_"&amp;INDEX('CASE MASTER'!$Q$2:$Q$495,(SUMPRODUCT((('CASE MASTER'!$T$2:$T$495=15)*('CASE MASTER'!$AA$2:$AA$495&lt;=10)*('CASE MASTER'!$AC$2:$AC$495&gt;=10)*('CASE MASTER'!$AB$2:$AB$495&lt;=1)*('CASE MASTER'!$AD$2:$AD$495&gt;=1))*ROW('CASE MASTER'!$T$2:$T$495))-(ROW('CASE MASTER'!#REF!)-1))),"")),"")</f>
        <v/>
      </c>
      <c r="C208" s="10" t="str">
        <f>IFERROR(IF(SUMPRODUCT((('CASE MASTER'!$T$2:$T$495=15)*('CASE MASTER'!$U$2:$U$495&lt;=10)*('CASE MASTER'!$W$2:$W$495&gt;=10)*('CASE MASTER'!$V$2:$V$495&lt;=2)*('CASE MASTER'!$X$2:$X$495&gt;=2))*ROW('CASE MASTER'!$T$2:$T$495))&gt;0,INDEX('CASE MASTER'!$Y$2:$Y$495,(SUMPRODUCT((('CASE MASTER'!$T$2:$T$495=15)*('CASE MASTER'!$U$2:$U$495&lt;=10)*('CASE MASTER'!$W$2:$W$495&gt;=10)*('CASE MASTER'!$V$2:$V$495&lt;=2)*('CASE MASTER'!$X$2:$X$495&gt;=2))*ROW('CASE MASTER'!$T$2:$T$495))-(ROW('CASE MASTER'!#REF!)-1)))&amp;TRIM(MID(SUBSTITUTE(SUBSTITUTE(INDEX('CASE MASTER'!$N$2:$N$495,(SUMPRODUCT((('CASE MASTER'!$T$2:$T$495=15)*('CASE MASTER'!$U$2:$U$495&lt;=10)*('CASE MASTER'!$W$2:$W$495&gt;=10)*('CASE MASTER'!$V$2:$V$495&lt;=2)*('CASE MASTER'!$X$2:$X$495&gt;=2))*ROW('CASE MASTER'!$T$2:$T$495))-(ROW('CASE MASTER'!#REF!)-1))),":",","),",",REPT(" ",50)),((((10-INDEX('CASE MASTER'!$U$2:$U$495,(SUMPRODUCT((('CASE MASTER'!$T$2:$T$495=15)*('CASE MASTER'!$U$2:$U$495&lt;=10)*('CASE MASTER'!$W$2:$W$495&gt;=10)*('CASE MASTER'!$V$2:$V$495&lt;=2)*('CASE MASTER'!$X$2:$X$495&gt;=2))*ROW('CASE MASTER'!$T$2:$T$495))-(ROW('CASE MASTER'!#REF!)-1))))*(INDEX('CASE MASTER'!$X$2:$X$495,(SUMPRODUCT((('CASE MASTER'!$T$2:$T$495=15)*('CASE MASTER'!$U$2:$U$495&lt;=10)*('CASE MASTER'!$W$2:$W$495&gt;=10)*('CASE MASTER'!$V$2:$V$495&lt;=2)*('CASE MASTER'!$X$2:$X$495&gt;=2))*ROW('CASE MASTER'!$T$2:$T$495))-(ROW('CASE MASTER'!#REF!)-1)))-INDEX('CASE MASTER'!$V$2:$V$495,(SUMPRODUCT((('CASE MASTER'!$T$2:$T$495=15)*('CASE MASTER'!$U$2:$U$495&lt;=10)*('CASE MASTER'!$W$2:$W$495&gt;=10)*('CASE MASTER'!$V$2:$V$495&lt;=2)*('CASE MASTER'!$X$2:$X$495&gt;=2))*ROW('CASE MASTER'!$T$2:$T$495))-(ROW('CASE MASTER'!#REF!)-1)))+1)+(2-INDEX('CASE MASTER'!$V$2:$V$495,(SUMPRODUCT((('CASE MASTER'!$T$2:$T$495=15)*('CASE MASTER'!$U$2:$U$495&lt;=10)*('CASE MASTER'!$W$2:$W$495&gt;=10)*('CASE MASTER'!$V$2:$V$495&lt;=2)*('CASE MASTER'!$X$2:$X$495&gt;=2))*ROW('CASE MASTER'!$T$2:$T$495))-(ROW('CASE MASTER'!#REF!)-1))))+1))-1)*50+1,50))&amp;"_"&amp;INDEX('CASE MASTER'!$Q$2:$Q$495,(SUMPRODUCT((('CASE MASTER'!$T$2:$T$495=15)*('CASE MASTER'!$U$2:$U$495&lt;=10)*('CASE MASTER'!$W$2:$W$495&gt;=10)*('CASE MASTER'!$V$2:$V$495&lt;=2)*('CASE MASTER'!$X$2:$X$495&gt;=2))*ROW('CASE MASTER'!$T$2:$T$495))-(ROW('CASE MASTER'!#REF!)-1))),IF(SUMPRODUCT((('CASE MASTER'!$T$2:$T$495=15)*('CASE MASTER'!$AA$2:$AA$495&lt;=10)*('CASE MASTER'!$AC$2:$AC$495&gt;=10)*('CASE MASTER'!$AB$2:$AB$495&lt;=2)*('CASE MASTER'!$AD$2:$AD$495&gt;=2))*ROW('CASE MASTER'!$T$2:$T$495))&gt;0,INDEX('CASE MASTER'!$Y$2:$Y$495,(SUMPRODUCT((('CASE MASTER'!$T$2:$T$495=15)*('CASE MASTER'!$AA$2:$AA$495&lt;=10)*('CASE MASTER'!$AC$2:$AC$495&gt;=10)*('CASE MASTER'!$AB$2:$AB$495&lt;=2)*('CASE MASTER'!$AD$2:$AD$495&gt;=2))*ROW('CASE MASTER'!$T$2:$T$495))-(ROW('CASE MASTER'!#REF!)-1)))&amp;TRIM(MID(SUBSTITUTE(SUBSTITUTE(INDEX('CASE MASTER'!$N$2:$N$495,(SUMPRODUCT((('CASE MASTER'!$T$2:$T$495=15)*('CASE MASTER'!$AA$2:$AA$495&lt;=10)*('CASE MASTER'!$AC$2:$AC$495&gt;=10)*('CASE MASTER'!$AB$2:$AB$495&lt;=2)*('CASE MASTER'!$AD$2:$AD$495&gt;=2))*ROW('CASE MASTER'!$T$2:$T$495))-(ROW('CASE MASTER'!#REF!)-1))),":",","),",",REPT(" ",50)),(((INDEX('CASE MASTER'!$Z$2:$Z$495,(SUMPRODUCT((('CASE MASTER'!$T$2:$T$495=15)*('CASE MASTER'!$AA$2:$AA$495&lt;=10)*('CASE MASTER'!$AC$2:$AC$495&gt;=10)*('CASE MASTER'!$AB$2:$AB$495&lt;=2)*('CASE MASTER'!$AD$2:$AD$495&gt;=2))*ROW('CASE MASTER'!$T$2:$T$495))-(ROW('CASE MASTER'!#REF!)-1)))+((10-INDEX('CASE MASTER'!$AA$2:$AA$495,(SUMPRODUCT((('CASE MASTER'!$T$2:$T$495=15)*('CASE MASTER'!$AA$2:$AA$495&lt;=10)*('CASE MASTER'!$AC$2:$AC$495&gt;=10)*('CASE MASTER'!$AB$2:$AB$495&lt;=2)*('CASE MASTER'!$AD$2:$AD$495&gt;=2))*ROW('CASE MASTER'!$T$2:$T$495))-(ROW('CASE MASTER'!#REF!)-1))))*(INDEX('CASE MASTER'!$AD$2:$AD$495,(SUMPRODUCT((('CASE MASTER'!$T$2:$T$495=15)*('CASE MASTER'!$AA$2:$AA$495&lt;=10)*('CASE MASTER'!$AC$2:$AC$495&gt;=10)*('CASE MASTER'!$AB$2:$AB$495&lt;=2)*('CASE MASTER'!$AD$2:$AD$495&gt;=2))*ROW('CASE MASTER'!$T$2:$T$495))-(ROW('CASE MASTER'!#REF!)-1)))-INDEX('CASE MASTER'!$AB$2:$AB$495,(SUMPRODUCT((('CASE MASTER'!$T$2:$T$495=15)*('CASE MASTER'!$AA$2:$AA$495&lt;=10)*('CASE MASTER'!$AC$2:$AC$495&gt;=10)*('CASE MASTER'!$AB$2:$AB$495&lt;=2)*('CASE MASTER'!$AD$2:$AD$495&gt;=2))*ROW('CASE MASTER'!$T$2:$T$495))-(ROW('CASE MASTER'!#REF!)-1)))+1)+(2-INDEX('CASE MASTER'!$AB$2:$AB$495,(SUMPRODUCT((('CASE MASTER'!$T$2:$T$495=15)*('CASE MASTER'!$AA$2:$AA$495&lt;=10)*('CASE MASTER'!$AC$2:$AC$495&gt;=10)*('CASE MASTER'!$AB$2:$AB$495&lt;=2)*('CASE MASTER'!$AD$2:$AD$495&gt;=2))*ROW('CASE MASTER'!$T$2:$T$495))-(ROW('CASE MASTER'!#REF!)-1))))+1)))-1)*50+1,50))&amp;"_"&amp;INDEX('CASE MASTER'!$Q$2:$Q$495,(SUMPRODUCT((('CASE MASTER'!$T$2:$T$495=15)*('CASE MASTER'!$AA$2:$AA$495&lt;=10)*('CASE MASTER'!$AC$2:$AC$495&gt;=10)*('CASE MASTER'!$AB$2:$AB$495&lt;=2)*('CASE MASTER'!$AD$2:$AD$495&gt;=2))*ROW('CASE MASTER'!$T$2:$T$495))-(ROW('CASE MASTER'!#REF!)-1))),"")),"")</f>
        <v/>
      </c>
      <c r="D208" s="10" t="str">
        <f>IFERROR(IF(SUMPRODUCT((('CASE MASTER'!$T$2:$T$495=15)*('CASE MASTER'!$U$2:$U$495&lt;=10)*('CASE MASTER'!$W$2:$W$495&gt;=10)*('CASE MASTER'!$V$2:$V$495&lt;=3)*('CASE MASTER'!$X$2:$X$495&gt;=3))*ROW('CASE MASTER'!$T$2:$T$495))&gt;0,INDEX('CASE MASTER'!$Y$2:$Y$495,(SUMPRODUCT((('CASE MASTER'!$T$2:$T$495=15)*('CASE MASTER'!$U$2:$U$495&lt;=10)*('CASE MASTER'!$W$2:$W$495&gt;=10)*('CASE MASTER'!$V$2:$V$495&lt;=3)*('CASE MASTER'!$X$2:$X$495&gt;=3))*ROW('CASE MASTER'!$T$2:$T$495))-(ROW('CASE MASTER'!#REF!)-1)))&amp;TRIM(MID(SUBSTITUTE(SUBSTITUTE(INDEX('CASE MASTER'!$N$2:$N$495,(SUMPRODUCT((('CASE MASTER'!$T$2:$T$495=15)*('CASE MASTER'!$U$2:$U$495&lt;=10)*('CASE MASTER'!$W$2:$W$495&gt;=10)*('CASE MASTER'!$V$2:$V$495&lt;=3)*('CASE MASTER'!$X$2:$X$495&gt;=3))*ROW('CASE MASTER'!$T$2:$T$495))-(ROW('CASE MASTER'!#REF!)-1))),":",","),",",REPT(" ",50)),((((10-INDEX('CASE MASTER'!$U$2:$U$495,(SUMPRODUCT((('CASE MASTER'!$T$2:$T$495=15)*('CASE MASTER'!$U$2:$U$495&lt;=10)*('CASE MASTER'!$W$2:$W$495&gt;=10)*('CASE MASTER'!$V$2:$V$495&lt;=3)*('CASE MASTER'!$X$2:$X$495&gt;=3))*ROW('CASE MASTER'!$T$2:$T$495))-(ROW('CASE MASTER'!#REF!)-1))))*(INDEX('CASE MASTER'!$X$2:$X$495,(SUMPRODUCT((('CASE MASTER'!$T$2:$T$495=15)*('CASE MASTER'!$U$2:$U$495&lt;=10)*('CASE MASTER'!$W$2:$W$495&gt;=10)*('CASE MASTER'!$V$2:$V$495&lt;=3)*('CASE MASTER'!$X$2:$X$495&gt;=3))*ROW('CASE MASTER'!$T$2:$T$495))-(ROW('CASE MASTER'!#REF!)-1)))-INDEX('CASE MASTER'!$V$2:$V$495,(SUMPRODUCT((('CASE MASTER'!$T$2:$T$495=15)*('CASE MASTER'!$U$2:$U$495&lt;=10)*('CASE MASTER'!$W$2:$W$495&gt;=10)*('CASE MASTER'!$V$2:$V$495&lt;=3)*('CASE MASTER'!$X$2:$X$495&gt;=3))*ROW('CASE MASTER'!$T$2:$T$495))-(ROW('CASE MASTER'!#REF!)-1)))+1)+(3-INDEX('CASE MASTER'!$V$2:$V$495,(SUMPRODUCT((('CASE MASTER'!$T$2:$T$495=15)*('CASE MASTER'!$U$2:$U$495&lt;=10)*('CASE MASTER'!$W$2:$W$495&gt;=10)*('CASE MASTER'!$V$2:$V$495&lt;=3)*('CASE MASTER'!$X$2:$X$495&gt;=3))*ROW('CASE MASTER'!$T$2:$T$495))-(ROW('CASE MASTER'!#REF!)-1))))+1))-1)*50+1,50))&amp;"_"&amp;INDEX('CASE MASTER'!$Q$2:$Q$495,(SUMPRODUCT((('CASE MASTER'!$T$2:$T$495=15)*('CASE MASTER'!$U$2:$U$495&lt;=10)*('CASE MASTER'!$W$2:$W$495&gt;=10)*('CASE MASTER'!$V$2:$V$495&lt;=3)*('CASE MASTER'!$X$2:$X$495&gt;=3))*ROW('CASE MASTER'!$T$2:$T$495))-(ROW('CASE MASTER'!#REF!)-1))),IF(SUMPRODUCT((('CASE MASTER'!$T$2:$T$495=15)*('CASE MASTER'!$AA$2:$AA$495&lt;=10)*('CASE MASTER'!$AC$2:$AC$495&gt;=10)*('CASE MASTER'!$AB$2:$AB$495&lt;=3)*('CASE MASTER'!$AD$2:$AD$495&gt;=3))*ROW('CASE MASTER'!$T$2:$T$495))&gt;0,INDEX('CASE MASTER'!$Y$2:$Y$495,(SUMPRODUCT((('CASE MASTER'!$T$2:$T$495=15)*('CASE MASTER'!$AA$2:$AA$495&lt;=10)*('CASE MASTER'!$AC$2:$AC$495&gt;=10)*('CASE MASTER'!$AB$2:$AB$495&lt;=3)*('CASE MASTER'!$AD$2:$AD$495&gt;=3))*ROW('CASE MASTER'!$T$2:$T$495))-(ROW('CASE MASTER'!#REF!)-1)))&amp;TRIM(MID(SUBSTITUTE(SUBSTITUTE(INDEX('CASE MASTER'!$N$2:$N$495,(SUMPRODUCT((('CASE MASTER'!$T$2:$T$495=15)*('CASE MASTER'!$AA$2:$AA$495&lt;=10)*('CASE MASTER'!$AC$2:$AC$495&gt;=10)*('CASE MASTER'!$AB$2:$AB$495&lt;=3)*('CASE MASTER'!$AD$2:$AD$495&gt;=3))*ROW('CASE MASTER'!$T$2:$T$495))-(ROW('CASE MASTER'!#REF!)-1))),":",","),",",REPT(" ",50)),(((INDEX('CASE MASTER'!$Z$2:$Z$495,(SUMPRODUCT((('CASE MASTER'!$T$2:$T$495=15)*('CASE MASTER'!$AA$2:$AA$495&lt;=10)*('CASE MASTER'!$AC$2:$AC$495&gt;=10)*('CASE MASTER'!$AB$2:$AB$495&lt;=3)*('CASE MASTER'!$AD$2:$AD$495&gt;=3))*ROW('CASE MASTER'!$T$2:$T$495))-(ROW('CASE MASTER'!#REF!)-1)))+((10-INDEX('CASE MASTER'!$AA$2:$AA$495,(SUMPRODUCT((('CASE MASTER'!$T$2:$T$495=15)*('CASE MASTER'!$AA$2:$AA$495&lt;=10)*('CASE MASTER'!$AC$2:$AC$495&gt;=10)*('CASE MASTER'!$AB$2:$AB$495&lt;=3)*('CASE MASTER'!$AD$2:$AD$495&gt;=3))*ROW('CASE MASTER'!$T$2:$T$495))-(ROW('CASE MASTER'!#REF!)-1))))*(INDEX('CASE MASTER'!$AD$2:$AD$495,(SUMPRODUCT((('CASE MASTER'!$T$2:$T$495=15)*('CASE MASTER'!$AA$2:$AA$495&lt;=10)*('CASE MASTER'!$AC$2:$AC$495&gt;=10)*('CASE MASTER'!$AB$2:$AB$495&lt;=3)*('CASE MASTER'!$AD$2:$AD$495&gt;=3))*ROW('CASE MASTER'!$T$2:$T$495))-(ROW('CASE MASTER'!#REF!)-1)))-INDEX('CASE MASTER'!$AB$2:$AB$495,(SUMPRODUCT((('CASE MASTER'!$T$2:$T$495=15)*('CASE MASTER'!$AA$2:$AA$495&lt;=10)*('CASE MASTER'!$AC$2:$AC$495&gt;=10)*('CASE MASTER'!$AB$2:$AB$495&lt;=3)*('CASE MASTER'!$AD$2:$AD$495&gt;=3))*ROW('CASE MASTER'!$T$2:$T$495))-(ROW('CASE MASTER'!#REF!)-1)))+1)+(3-INDEX('CASE MASTER'!$AB$2:$AB$495,(SUMPRODUCT((('CASE MASTER'!$T$2:$T$495=15)*('CASE MASTER'!$AA$2:$AA$495&lt;=10)*('CASE MASTER'!$AC$2:$AC$495&gt;=10)*('CASE MASTER'!$AB$2:$AB$495&lt;=3)*('CASE MASTER'!$AD$2:$AD$495&gt;=3))*ROW('CASE MASTER'!$T$2:$T$495))-(ROW('CASE MASTER'!#REF!)-1))))+1)))-1)*50+1,50))&amp;"_"&amp;INDEX('CASE MASTER'!$Q$2:$Q$495,(SUMPRODUCT((('CASE MASTER'!$T$2:$T$495=15)*('CASE MASTER'!$AA$2:$AA$495&lt;=10)*('CASE MASTER'!$AC$2:$AC$495&gt;=10)*('CASE MASTER'!$AB$2:$AB$495&lt;=3)*('CASE MASTER'!$AD$2:$AD$495&gt;=3))*ROW('CASE MASTER'!$T$2:$T$495))-(ROW('CASE MASTER'!#REF!)-1))),"")),"")</f>
        <v/>
      </c>
      <c r="E208" s="10" t="str">
        <f>IFERROR(IF(SUMPRODUCT((('CASE MASTER'!$T$2:$T$495=15)*('CASE MASTER'!$U$2:$U$495&lt;=10)*('CASE MASTER'!$W$2:$W$495&gt;=10)*('CASE MASTER'!$V$2:$V$495&lt;=4)*('CASE MASTER'!$X$2:$X$495&gt;=4))*ROW('CASE MASTER'!$T$2:$T$495))&gt;0,INDEX('CASE MASTER'!$Y$2:$Y$495,(SUMPRODUCT((('CASE MASTER'!$T$2:$T$495=15)*('CASE MASTER'!$U$2:$U$495&lt;=10)*('CASE MASTER'!$W$2:$W$495&gt;=10)*('CASE MASTER'!$V$2:$V$495&lt;=4)*('CASE MASTER'!$X$2:$X$495&gt;=4))*ROW('CASE MASTER'!$T$2:$T$495))-(ROW('CASE MASTER'!#REF!)-1)))&amp;TRIM(MID(SUBSTITUTE(SUBSTITUTE(INDEX('CASE MASTER'!$N$2:$N$495,(SUMPRODUCT((('CASE MASTER'!$T$2:$T$495=15)*('CASE MASTER'!$U$2:$U$495&lt;=10)*('CASE MASTER'!$W$2:$W$495&gt;=10)*('CASE MASTER'!$V$2:$V$495&lt;=4)*('CASE MASTER'!$X$2:$X$495&gt;=4))*ROW('CASE MASTER'!$T$2:$T$495))-(ROW('CASE MASTER'!#REF!)-1))),":",","),",",REPT(" ",50)),((((10-INDEX('CASE MASTER'!$U$2:$U$495,(SUMPRODUCT((('CASE MASTER'!$T$2:$T$495=15)*('CASE MASTER'!$U$2:$U$495&lt;=10)*('CASE MASTER'!$W$2:$W$495&gt;=10)*('CASE MASTER'!$V$2:$V$495&lt;=4)*('CASE MASTER'!$X$2:$X$495&gt;=4))*ROW('CASE MASTER'!$T$2:$T$495))-(ROW('CASE MASTER'!#REF!)-1))))*(INDEX('CASE MASTER'!$X$2:$X$495,(SUMPRODUCT((('CASE MASTER'!$T$2:$T$495=15)*('CASE MASTER'!$U$2:$U$495&lt;=10)*('CASE MASTER'!$W$2:$W$495&gt;=10)*('CASE MASTER'!$V$2:$V$495&lt;=4)*('CASE MASTER'!$X$2:$X$495&gt;=4))*ROW('CASE MASTER'!$T$2:$T$495))-(ROW('CASE MASTER'!#REF!)-1)))-INDEX('CASE MASTER'!$V$2:$V$495,(SUMPRODUCT((('CASE MASTER'!$T$2:$T$495=15)*('CASE MASTER'!$U$2:$U$495&lt;=10)*('CASE MASTER'!$W$2:$W$495&gt;=10)*('CASE MASTER'!$V$2:$V$495&lt;=4)*('CASE MASTER'!$X$2:$X$495&gt;=4))*ROW('CASE MASTER'!$T$2:$T$495))-(ROW('CASE MASTER'!#REF!)-1)))+1)+(4-INDEX('CASE MASTER'!$V$2:$V$495,(SUMPRODUCT((('CASE MASTER'!$T$2:$T$495=15)*('CASE MASTER'!$U$2:$U$495&lt;=10)*('CASE MASTER'!$W$2:$W$495&gt;=10)*('CASE MASTER'!$V$2:$V$495&lt;=4)*('CASE MASTER'!$X$2:$X$495&gt;=4))*ROW('CASE MASTER'!$T$2:$T$495))-(ROW('CASE MASTER'!#REF!)-1))))+1))-1)*50+1,50))&amp;"_"&amp;INDEX('CASE MASTER'!$Q$2:$Q$495,(SUMPRODUCT((('CASE MASTER'!$T$2:$T$495=15)*('CASE MASTER'!$U$2:$U$495&lt;=10)*('CASE MASTER'!$W$2:$W$495&gt;=10)*('CASE MASTER'!$V$2:$V$495&lt;=4)*('CASE MASTER'!$X$2:$X$495&gt;=4))*ROW('CASE MASTER'!$T$2:$T$495))-(ROW('CASE MASTER'!#REF!)-1))),IF(SUMPRODUCT((('CASE MASTER'!$T$2:$T$495=15)*('CASE MASTER'!$AA$2:$AA$495&lt;=10)*('CASE MASTER'!$AC$2:$AC$495&gt;=10)*('CASE MASTER'!$AB$2:$AB$495&lt;=4)*('CASE MASTER'!$AD$2:$AD$495&gt;=4))*ROW('CASE MASTER'!$T$2:$T$495))&gt;0,INDEX('CASE MASTER'!$Y$2:$Y$495,(SUMPRODUCT((('CASE MASTER'!$T$2:$T$495=15)*('CASE MASTER'!$AA$2:$AA$495&lt;=10)*('CASE MASTER'!$AC$2:$AC$495&gt;=10)*('CASE MASTER'!$AB$2:$AB$495&lt;=4)*('CASE MASTER'!$AD$2:$AD$495&gt;=4))*ROW('CASE MASTER'!$T$2:$T$495))-(ROW('CASE MASTER'!#REF!)-1)))&amp;TRIM(MID(SUBSTITUTE(SUBSTITUTE(INDEX('CASE MASTER'!$N$2:$N$495,(SUMPRODUCT((('CASE MASTER'!$T$2:$T$495=15)*('CASE MASTER'!$AA$2:$AA$495&lt;=10)*('CASE MASTER'!$AC$2:$AC$495&gt;=10)*('CASE MASTER'!$AB$2:$AB$495&lt;=4)*('CASE MASTER'!$AD$2:$AD$495&gt;=4))*ROW('CASE MASTER'!$T$2:$T$495))-(ROW('CASE MASTER'!#REF!)-1))),":",","),",",REPT(" ",50)),(((INDEX('CASE MASTER'!$Z$2:$Z$495,(SUMPRODUCT((('CASE MASTER'!$T$2:$T$495=15)*('CASE MASTER'!$AA$2:$AA$495&lt;=10)*('CASE MASTER'!$AC$2:$AC$495&gt;=10)*('CASE MASTER'!$AB$2:$AB$495&lt;=4)*('CASE MASTER'!$AD$2:$AD$495&gt;=4))*ROW('CASE MASTER'!$T$2:$T$495))-(ROW('CASE MASTER'!#REF!)-1)))+((10-INDEX('CASE MASTER'!$AA$2:$AA$495,(SUMPRODUCT((('CASE MASTER'!$T$2:$T$495=15)*('CASE MASTER'!$AA$2:$AA$495&lt;=10)*('CASE MASTER'!$AC$2:$AC$495&gt;=10)*('CASE MASTER'!$AB$2:$AB$495&lt;=4)*('CASE MASTER'!$AD$2:$AD$495&gt;=4))*ROW('CASE MASTER'!$T$2:$T$495))-(ROW('CASE MASTER'!#REF!)-1))))*(INDEX('CASE MASTER'!$AD$2:$AD$495,(SUMPRODUCT((('CASE MASTER'!$T$2:$T$495=15)*('CASE MASTER'!$AA$2:$AA$495&lt;=10)*('CASE MASTER'!$AC$2:$AC$495&gt;=10)*('CASE MASTER'!$AB$2:$AB$495&lt;=4)*('CASE MASTER'!$AD$2:$AD$495&gt;=4))*ROW('CASE MASTER'!$T$2:$T$495))-(ROW('CASE MASTER'!#REF!)-1)))-INDEX('CASE MASTER'!$AB$2:$AB$495,(SUMPRODUCT((('CASE MASTER'!$T$2:$T$495=15)*('CASE MASTER'!$AA$2:$AA$495&lt;=10)*('CASE MASTER'!$AC$2:$AC$495&gt;=10)*('CASE MASTER'!$AB$2:$AB$495&lt;=4)*('CASE MASTER'!$AD$2:$AD$495&gt;=4))*ROW('CASE MASTER'!$T$2:$T$495))-(ROW('CASE MASTER'!#REF!)-1)))+1)+(4-INDEX('CASE MASTER'!$AB$2:$AB$495,(SUMPRODUCT((('CASE MASTER'!$T$2:$T$495=15)*('CASE MASTER'!$AA$2:$AA$495&lt;=10)*('CASE MASTER'!$AC$2:$AC$495&gt;=10)*('CASE MASTER'!$AB$2:$AB$495&lt;=4)*('CASE MASTER'!$AD$2:$AD$495&gt;=4))*ROW('CASE MASTER'!$T$2:$T$495))-(ROW('CASE MASTER'!#REF!)-1))))+1)))-1)*50+1,50))&amp;"_"&amp;INDEX('CASE MASTER'!$Q$2:$Q$495,(SUMPRODUCT((('CASE MASTER'!$T$2:$T$495=15)*('CASE MASTER'!$AA$2:$AA$495&lt;=10)*('CASE MASTER'!$AC$2:$AC$495&gt;=10)*('CASE MASTER'!$AB$2:$AB$495&lt;=4)*('CASE MASTER'!$AD$2:$AD$495&gt;=4))*ROW('CASE MASTER'!$T$2:$T$495))-(ROW('CASE MASTER'!#REF!)-1))),"")),"")</f>
        <v/>
      </c>
      <c r="F208" s="10" t="str">
        <f>IFERROR(IF(SUMPRODUCT((('CASE MASTER'!$T$2:$T$495=15)*('CASE MASTER'!$U$2:$U$495&lt;=10)*('CASE MASTER'!$W$2:$W$495&gt;=10)*('CASE MASTER'!$V$2:$V$495&lt;=5)*('CASE MASTER'!$X$2:$X$495&gt;=5))*ROW('CASE MASTER'!$T$2:$T$495))&gt;0,INDEX('CASE MASTER'!$Y$2:$Y$495,(SUMPRODUCT((('CASE MASTER'!$T$2:$T$495=15)*('CASE MASTER'!$U$2:$U$495&lt;=10)*('CASE MASTER'!$W$2:$W$495&gt;=10)*('CASE MASTER'!$V$2:$V$495&lt;=5)*('CASE MASTER'!$X$2:$X$495&gt;=5))*ROW('CASE MASTER'!$T$2:$T$495))-(ROW('CASE MASTER'!#REF!)-1)))&amp;TRIM(MID(SUBSTITUTE(SUBSTITUTE(INDEX('CASE MASTER'!$N$2:$N$495,(SUMPRODUCT((('CASE MASTER'!$T$2:$T$495=15)*('CASE MASTER'!$U$2:$U$495&lt;=10)*('CASE MASTER'!$W$2:$W$495&gt;=10)*('CASE MASTER'!$V$2:$V$495&lt;=5)*('CASE MASTER'!$X$2:$X$495&gt;=5))*ROW('CASE MASTER'!$T$2:$T$495))-(ROW('CASE MASTER'!#REF!)-1))),":",","),",",REPT(" ",50)),((((10-INDEX('CASE MASTER'!$U$2:$U$495,(SUMPRODUCT((('CASE MASTER'!$T$2:$T$495=15)*('CASE MASTER'!$U$2:$U$495&lt;=10)*('CASE MASTER'!$W$2:$W$495&gt;=10)*('CASE MASTER'!$V$2:$V$495&lt;=5)*('CASE MASTER'!$X$2:$X$495&gt;=5))*ROW('CASE MASTER'!$T$2:$T$495))-(ROW('CASE MASTER'!#REF!)-1))))*(INDEX('CASE MASTER'!$X$2:$X$495,(SUMPRODUCT((('CASE MASTER'!$T$2:$T$495=15)*('CASE MASTER'!$U$2:$U$495&lt;=10)*('CASE MASTER'!$W$2:$W$495&gt;=10)*('CASE MASTER'!$V$2:$V$495&lt;=5)*('CASE MASTER'!$X$2:$X$495&gt;=5))*ROW('CASE MASTER'!$T$2:$T$495))-(ROW('CASE MASTER'!#REF!)-1)))-INDEX('CASE MASTER'!$V$2:$V$495,(SUMPRODUCT((('CASE MASTER'!$T$2:$T$495=15)*('CASE MASTER'!$U$2:$U$495&lt;=10)*('CASE MASTER'!$W$2:$W$495&gt;=10)*('CASE MASTER'!$V$2:$V$495&lt;=5)*('CASE MASTER'!$X$2:$X$495&gt;=5))*ROW('CASE MASTER'!$T$2:$T$495))-(ROW('CASE MASTER'!#REF!)-1)))+1)+(5-INDEX('CASE MASTER'!$V$2:$V$495,(SUMPRODUCT((('CASE MASTER'!$T$2:$T$495=15)*('CASE MASTER'!$U$2:$U$495&lt;=10)*('CASE MASTER'!$W$2:$W$495&gt;=10)*('CASE MASTER'!$V$2:$V$495&lt;=5)*('CASE MASTER'!$X$2:$X$495&gt;=5))*ROW('CASE MASTER'!$T$2:$T$495))-(ROW('CASE MASTER'!#REF!)-1))))+1))-1)*50+1,50))&amp;"_"&amp;INDEX('CASE MASTER'!$Q$2:$Q$495,(SUMPRODUCT((('CASE MASTER'!$T$2:$T$495=15)*('CASE MASTER'!$U$2:$U$495&lt;=10)*('CASE MASTER'!$W$2:$W$495&gt;=10)*('CASE MASTER'!$V$2:$V$495&lt;=5)*('CASE MASTER'!$X$2:$X$495&gt;=5))*ROW('CASE MASTER'!$T$2:$T$495))-(ROW('CASE MASTER'!#REF!)-1))),IF(SUMPRODUCT((('CASE MASTER'!$T$2:$T$495=15)*('CASE MASTER'!$AA$2:$AA$495&lt;=10)*('CASE MASTER'!$AC$2:$AC$495&gt;=10)*('CASE MASTER'!$AB$2:$AB$495&lt;=5)*('CASE MASTER'!$AD$2:$AD$495&gt;=5))*ROW('CASE MASTER'!$T$2:$T$495))&gt;0,INDEX('CASE MASTER'!$Y$2:$Y$495,(SUMPRODUCT((('CASE MASTER'!$T$2:$T$495=15)*('CASE MASTER'!$AA$2:$AA$495&lt;=10)*('CASE MASTER'!$AC$2:$AC$495&gt;=10)*('CASE MASTER'!$AB$2:$AB$495&lt;=5)*('CASE MASTER'!$AD$2:$AD$495&gt;=5))*ROW('CASE MASTER'!$T$2:$T$495))-(ROW('CASE MASTER'!#REF!)-1)))&amp;TRIM(MID(SUBSTITUTE(SUBSTITUTE(INDEX('CASE MASTER'!$N$2:$N$495,(SUMPRODUCT((('CASE MASTER'!$T$2:$T$495=15)*('CASE MASTER'!$AA$2:$AA$495&lt;=10)*('CASE MASTER'!$AC$2:$AC$495&gt;=10)*('CASE MASTER'!$AB$2:$AB$495&lt;=5)*('CASE MASTER'!$AD$2:$AD$495&gt;=5))*ROW('CASE MASTER'!$T$2:$T$495))-(ROW('CASE MASTER'!#REF!)-1))),":",","),",",REPT(" ",50)),(((INDEX('CASE MASTER'!$Z$2:$Z$495,(SUMPRODUCT((('CASE MASTER'!$T$2:$T$495=15)*('CASE MASTER'!$AA$2:$AA$495&lt;=10)*('CASE MASTER'!$AC$2:$AC$495&gt;=10)*('CASE MASTER'!$AB$2:$AB$495&lt;=5)*('CASE MASTER'!$AD$2:$AD$495&gt;=5))*ROW('CASE MASTER'!$T$2:$T$495))-(ROW('CASE MASTER'!#REF!)-1)))+((10-INDEX('CASE MASTER'!$AA$2:$AA$495,(SUMPRODUCT((('CASE MASTER'!$T$2:$T$495=15)*('CASE MASTER'!$AA$2:$AA$495&lt;=10)*('CASE MASTER'!$AC$2:$AC$495&gt;=10)*('CASE MASTER'!$AB$2:$AB$495&lt;=5)*('CASE MASTER'!$AD$2:$AD$495&gt;=5))*ROW('CASE MASTER'!$T$2:$T$495))-(ROW('CASE MASTER'!#REF!)-1))))*(INDEX('CASE MASTER'!$AD$2:$AD$495,(SUMPRODUCT((('CASE MASTER'!$T$2:$T$495=15)*('CASE MASTER'!$AA$2:$AA$495&lt;=10)*('CASE MASTER'!$AC$2:$AC$495&gt;=10)*('CASE MASTER'!$AB$2:$AB$495&lt;=5)*('CASE MASTER'!$AD$2:$AD$495&gt;=5))*ROW('CASE MASTER'!$T$2:$T$495))-(ROW('CASE MASTER'!#REF!)-1)))-INDEX('CASE MASTER'!$AB$2:$AB$495,(SUMPRODUCT((('CASE MASTER'!$T$2:$T$495=15)*('CASE MASTER'!$AA$2:$AA$495&lt;=10)*('CASE MASTER'!$AC$2:$AC$495&gt;=10)*('CASE MASTER'!$AB$2:$AB$495&lt;=5)*('CASE MASTER'!$AD$2:$AD$495&gt;=5))*ROW('CASE MASTER'!$T$2:$T$495))-(ROW('CASE MASTER'!#REF!)-1)))+1)+(5-INDEX('CASE MASTER'!$AB$2:$AB$495,(SUMPRODUCT((('CASE MASTER'!$T$2:$T$495=15)*('CASE MASTER'!$AA$2:$AA$495&lt;=10)*('CASE MASTER'!$AC$2:$AC$495&gt;=10)*('CASE MASTER'!$AB$2:$AB$495&lt;=5)*('CASE MASTER'!$AD$2:$AD$495&gt;=5))*ROW('CASE MASTER'!$T$2:$T$495))-(ROW('CASE MASTER'!#REF!)-1))))+1)))-1)*50+1,50))&amp;"_"&amp;INDEX('CASE MASTER'!$Q$2:$Q$495,(SUMPRODUCT((('CASE MASTER'!$T$2:$T$495=15)*('CASE MASTER'!$AA$2:$AA$495&lt;=10)*('CASE MASTER'!$AC$2:$AC$495&gt;=10)*('CASE MASTER'!$AB$2:$AB$495&lt;=5)*('CASE MASTER'!$AD$2:$AD$495&gt;=5))*ROW('CASE MASTER'!$T$2:$T$495))-(ROW('CASE MASTER'!#REF!)-1))),"")),"")</f>
        <v/>
      </c>
      <c r="G208" s="10" t="str">
        <f>IFERROR(IF(SUMPRODUCT((('CASE MASTER'!$T$2:$T$495=15)*('CASE MASTER'!$U$2:$U$495&lt;=10)*('CASE MASTER'!$W$2:$W$495&gt;=10)*('CASE MASTER'!$V$2:$V$495&lt;=6)*('CASE MASTER'!$X$2:$X$495&gt;=6))*ROW('CASE MASTER'!$T$2:$T$495))&gt;0,INDEX('CASE MASTER'!$Y$2:$Y$495,(SUMPRODUCT((('CASE MASTER'!$T$2:$T$495=15)*('CASE MASTER'!$U$2:$U$495&lt;=10)*('CASE MASTER'!$W$2:$W$495&gt;=10)*('CASE MASTER'!$V$2:$V$495&lt;=6)*('CASE MASTER'!$X$2:$X$495&gt;=6))*ROW('CASE MASTER'!$T$2:$T$495))-(ROW('CASE MASTER'!#REF!)-1)))&amp;TRIM(MID(SUBSTITUTE(SUBSTITUTE(INDEX('CASE MASTER'!$N$2:$N$495,(SUMPRODUCT((('CASE MASTER'!$T$2:$T$495=15)*('CASE MASTER'!$U$2:$U$495&lt;=10)*('CASE MASTER'!$W$2:$W$495&gt;=10)*('CASE MASTER'!$V$2:$V$495&lt;=6)*('CASE MASTER'!$X$2:$X$495&gt;=6))*ROW('CASE MASTER'!$T$2:$T$495))-(ROW('CASE MASTER'!#REF!)-1))),":",","),",",REPT(" ",50)),((((10-INDEX('CASE MASTER'!$U$2:$U$495,(SUMPRODUCT((('CASE MASTER'!$T$2:$T$495=15)*('CASE MASTER'!$U$2:$U$495&lt;=10)*('CASE MASTER'!$W$2:$W$495&gt;=10)*('CASE MASTER'!$V$2:$V$495&lt;=6)*('CASE MASTER'!$X$2:$X$495&gt;=6))*ROW('CASE MASTER'!$T$2:$T$495))-(ROW('CASE MASTER'!#REF!)-1))))*(INDEX('CASE MASTER'!$X$2:$X$495,(SUMPRODUCT((('CASE MASTER'!$T$2:$T$495=15)*('CASE MASTER'!$U$2:$U$495&lt;=10)*('CASE MASTER'!$W$2:$W$495&gt;=10)*('CASE MASTER'!$V$2:$V$495&lt;=6)*('CASE MASTER'!$X$2:$X$495&gt;=6))*ROW('CASE MASTER'!$T$2:$T$495))-(ROW('CASE MASTER'!#REF!)-1)))-INDEX('CASE MASTER'!$V$2:$V$495,(SUMPRODUCT((('CASE MASTER'!$T$2:$T$495=15)*('CASE MASTER'!$U$2:$U$495&lt;=10)*('CASE MASTER'!$W$2:$W$495&gt;=10)*('CASE MASTER'!$V$2:$V$495&lt;=6)*('CASE MASTER'!$X$2:$X$495&gt;=6))*ROW('CASE MASTER'!$T$2:$T$495))-(ROW('CASE MASTER'!#REF!)-1)))+1)+(6-INDEX('CASE MASTER'!$V$2:$V$495,(SUMPRODUCT((('CASE MASTER'!$T$2:$T$495=15)*('CASE MASTER'!$U$2:$U$495&lt;=10)*('CASE MASTER'!$W$2:$W$495&gt;=10)*('CASE MASTER'!$V$2:$V$495&lt;=6)*('CASE MASTER'!$X$2:$X$495&gt;=6))*ROW('CASE MASTER'!$T$2:$T$495))-(ROW('CASE MASTER'!#REF!)-1))))+1))-1)*50+1,50))&amp;"_"&amp;INDEX('CASE MASTER'!$Q$2:$Q$495,(SUMPRODUCT((('CASE MASTER'!$T$2:$T$495=15)*('CASE MASTER'!$U$2:$U$495&lt;=10)*('CASE MASTER'!$W$2:$W$495&gt;=10)*('CASE MASTER'!$V$2:$V$495&lt;=6)*('CASE MASTER'!$X$2:$X$495&gt;=6))*ROW('CASE MASTER'!$T$2:$T$495))-(ROW('CASE MASTER'!#REF!)-1))),IF(SUMPRODUCT((('CASE MASTER'!$T$2:$T$495=15)*('CASE MASTER'!$AA$2:$AA$495&lt;=10)*('CASE MASTER'!$AC$2:$AC$495&gt;=10)*('CASE MASTER'!$AB$2:$AB$495&lt;=6)*('CASE MASTER'!$AD$2:$AD$495&gt;=6))*ROW('CASE MASTER'!$T$2:$T$495))&gt;0,INDEX('CASE MASTER'!$Y$2:$Y$495,(SUMPRODUCT((('CASE MASTER'!$T$2:$T$495=15)*('CASE MASTER'!$AA$2:$AA$495&lt;=10)*('CASE MASTER'!$AC$2:$AC$495&gt;=10)*('CASE MASTER'!$AB$2:$AB$495&lt;=6)*('CASE MASTER'!$AD$2:$AD$495&gt;=6))*ROW('CASE MASTER'!$T$2:$T$495))-(ROW('CASE MASTER'!#REF!)-1)))&amp;TRIM(MID(SUBSTITUTE(SUBSTITUTE(INDEX('CASE MASTER'!$N$2:$N$495,(SUMPRODUCT((('CASE MASTER'!$T$2:$T$495=15)*('CASE MASTER'!$AA$2:$AA$495&lt;=10)*('CASE MASTER'!$AC$2:$AC$495&gt;=10)*('CASE MASTER'!$AB$2:$AB$495&lt;=6)*('CASE MASTER'!$AD$2:$AD$495&gt;=6))*ROW('CASE MASTER'!$T$2:$T$495))-(ROW('CASE MASTER'!#REF!)-1))),":",","),",",REPT(" ",50)),(((INDEX('CASE MASTER'!$Z$2:$Z$495,(SUMPRODUCT((('CASE MASTER'!$T$2:$T$495=15)*('CASE MASTER'!$AA$2:$AA$495&lt;=10)*('CASE MASTER'!$AC$2:$AC$495&gt;=10)*('CASE MASTER'!$AB$2:$AB$495&lt;=6)*('CASE MASTER'!$AD$2:$AD$495&gt;=6))*ROW('CASE MASTER'!$T$2:$T$495))-(ROW('CASE MASTER'!#REF!)-1)))+((10-INDEX('CASE MASTER'!$AA$2:$AA$495,(SUMPRODUCT((('CASE MASTER'!$T$2:$T$495=15)*('CASE MASTER'!$AA$2:$AA$495&lt;=10)*('CASE MASTER'!$AC$2:$AC$495&gt;=10)*('CASE MASTER'!$AB$2:$AB$495&lt;=6)*('CASE MASTER'!$AD$2:$AD$495&gt;=6))*ROW('CASE MASTER'!$T$2:$T$495))-(ROW('CASE MASTER'!#REF!)-1))))*(INDEX('CASE MASTER'!$AD$2:$AD$495,(SUMPRODUCT((('CASE MASTER'!$T$2:$T$495=15)*('CASE MASTER'!$AA$2:$AA$495&lt;=10)*('CASE MASTER'!$AC$2:$AC$495&gt;=10)*('CASE MASTER'!$AB$2:$AB$495&lt;=6)*('CASE MASTER'!$AD$2:$AD$495&gt;=6))*ROW('CASE MASTER'!$T$2:$T$495))-(ROW('CASE MASTER'!#REF!)-1)))-INDEX('CASE MASTER'!$AB$2:$AB$495,(SUMPRODUCT((('CASE MASTER'!$T$2:$T$495=15)*('CASE MASTER'!$AA$2:$AA$495&lt;=10)*('CASE MASTER'!$AC$2:$AC$495&gt;=10)*('CASE MASTER'!$AB$2:$AB$495&lt;=6)*('CASE MASTER'!$AD$2:$AD$495&gt;=6))*ROW('CASE MASTER'!$T$2:$T$495))-(ROW('CASE MASTER'!#REF!)-1)))+1)+(6-INDEX('CASE MASTER'!$AB$2:$AB$495,(SUMPRODUCT((('CASE MASTER'!$T$2:$T$495=15)*('CASE MASTER'!$AA$2:$AA$495&lt;=10)*('CASE MASTER'!$AC$2:$AC$495&gt;=10)*('CASE MASTER'!$AB$2:$AB$495&lt;=6)*('CASE MASTER'!$AD$2:$AD$495&gt;=6))*ROW('CASE MASTER'!$T$2:$T$495))-(ROW('CASE MASTER'!#REF!)-1))))+1)))-1)*50+1,50))&amp;"_"&amp;INDEX('CASE MASTER'!$Q$2:$Q$495,(SUMPRODUCT((('CASE MASTER'!$T$2:$T$495=15)*('CASE MASTER'!$AA$2:$AA$495&lt;=10)*('CASE MASTER'!$AC$2:$AC$495&gt;=10)*('CASE MASTER'!$AB$2:$AB$495&lt;=6)*('CASE MASTER'!$AD$2:$AD$495&gt;=6))*ROW('CASE MASTER'!$T$2:$T$495))-(ROW('CASE MASTER'!#REF!)-1))),"")),"")</f>
        <v/>
      </c>
      <c r="H208" s="10" t="str">
        <f>IFERROR(IF(SUMPRODUCT((('CASE MASTER'!$T$2:$T$495=15)*('CASE MASTER'!$U$2:$U$495&lt;=10)*('CASE MASTER'!$W$2:$W$495&gt;=10)*('CASE MASTER'!$V$2:$V$495&lt;=7)*('CASE MASTER'!$X$2:$X$495&gt;=7))*ROW('CASE MASTER'!$T$2:$T$495))&gt;0,INDEX('CASE MASTER'!$Y$2:$Y$495,(SUMPRODUCT((('CASE MASTER'!$T$2:$T$495=15)*('CASE MASTER'!$U$2:$U$495&lt;=10)*('CASE MASTER'!$W$2:$W$495&gt;=10)*('CASE MASTER'!$V$2:$V$495&lt;=7)*('CASE MASTER'!$X$2:$X$495&gt;=7))*ROW('CASE MASTER'!$T$2:$T$495))-(ROW('CASE MASTER'!#REF!)-1)))&amp;TRIM(MID(SUBSTITUTE(SUBSTITUTE(INDEX('CASE MASTER'!$N$2:$N$495,(SUMPRODUCT((('CASE MASTER'!$T$2:$T$495=15)*('CASE MASTER'!$U$2:$U$495&lt;=10)*('CASE MASTER'!$W$2:$W$495&gt;=10)*('CASE MASTER'!$V$2:$V$495&lt;=7)*('CASE MASTER'!$X$2:$X$495&gt;=7))*ROW('CASE MASTER'!$T$2:$T$495))-(ROW('CASE MASTER'!#REF!)-1))),":",","),",",REPT(" ",50)),((((10-INDEX('CASE MASTER'!$U$2:$U$495,(SUMPRODUCT((('CASE MASTER'!$T$2:$T$495=15)*('CASE MASTER'!$U$2:$U$495&lt;=10)*('CASE MASTER'!$W$2:$W$495&gt;=10)*('CASE MASTER'!$V$2:$V$495&lt;=7)*('CASE MASTER'!$X$2:$X$495&gt;=7))*ROW('CASE MASTER'!$T$2:$T$495))-(ROW('CASE MASTER'!#REF!)-1))))*(INDEX('CASE MASTER'!$X$2:$X$495,(SUMPRODUCT((('CASE MASTER'!$T$2:$T$495=15)*('CASE MASTER'!$U$2:$U$495&lt;=10)*('CASE MASTER'!$W$2:$W$495&gt;=10)*('CASE MASTER'!$V$2:$V$495&lt;=7)*('CASE MASTER'!$X$2:$X$495&gt;=7))*ROW('CASE MASTER'!$T$2:$T$495))-(ROW('CASE MASTER'!#REF!)-1)))-INDEX('CASE MASTER'!$V$2:$V$495,(SUMPRODUCT((('CASE MASTER'!$T$2:$T$495=15)*('CASE MASTER'!$U$2:$U$495&lt;=10)*('CASE MASTER'!$W$2:$W$495&gt;=10)*('CASE MASTER'!$V$2:$V$495&lt;=7)*('CASE MASTER'!$X$2:$X$495&gt;=7))*ROW('CASE MASTER'!$T$2:$T$495))-(ROW('CASE MASTER'!#REF!)-1)))+1)+(7-INDEX('CASE MASTER'!$V$2:$V$495,(SUMPRODUCT((('CASE MASTER'!$T$2:$T$495=15)*('CASE MASTER'!$U$2:$U$495&lt;=10)*('CASE MASTER'!$W$2:$W$495&gt;=10)*('CASE MASTER'!$V$2:$V$495&lt;=7)*('CASE MASTER'!$X$2:$X$495&gt;=7))*ROW('CASE MASTER'!$T$2:$T$495))-(ROW('CASE MASTER'!#REF!)-1))))+1))-1)*50+1,50))&amp;"_"&amp;INDEX('CASE MASTER'!$Q$2:$Q$495,(SUMPRODUCT((('CASE MASTER'!$T$2:$T$495=15)*('CASE MASTER'!$U$2:$U$495&lt;=10)*('CASE MASTER'!$W$2:$W$495&gt;=10)*('CASE MASTER'!$V$2:$V$495&lt;=7)*('CASE MASTER'!$X$2:$X$495&gt;=7))*ROW('CASE MASTER'!$T$2:$T$495))-(ROW('CASE MASTER'!#REF!)-1))),IF(SUMPRODUCT((('CASE MASTER'!$T$2:$T$495=15)*('CASE MASTER'!$AA$2:$AA$495&lt;=10)*('CASE MASTER'!$AC$2:$AC$495&gt;=10)*('CASE MASTER'!$AB$2:$AB$495&lt;=7)*('CASE MASTER'!$AD$2:$AD$495&gt;=7))*ROW('CASE MASTER'!$T$2:$T$495))&gt;0,INDEX('CASE MASTER'!$Y$2:$Y$495,(SUMPRODUCT((('CASE MASTER'!$T$2:$T$495=15)*('CASE MASTER'!$AA$2:$AA$495&lt;=10)*('CASE MASTER'!$AC$2:$AC$495&gt;=10)*('CASE MASTER'!$AB$2:$AB$495&lt;=7)*('CASE MASTER'!$AD$2:$AD$495&gt;=7))*ROW('CASE MASTER'!$T$2:$T$495))-(ROW('CASE MASTER'!#REF!)-1)))&amp;TRIM(MID(SUBSTITUTE(SUBSTITUTE(INDEX('CASE MASTER'!$N$2:$N$495,(SUMPRODUCT((('CASE MASTER'!$T$2:$T$495=15)*('CASE MASTER'!$AA$2:$AA$495&lt;=10)*('CASE MASTER'!$AC$2:$AC$495&gt;=10)*('CASE MASTER'!$AB$2:$AB$495&lt;=7)*('CASE MASTER'!$AD$2:$AD$495&gt;=7))*ROW('CASE MASTER'!$T$2:$T$495))-(ROW('CASE MASTER'!#REF!)-1))),":",","),",",REPT(" ",50)),(((INDEX('CASE MASTER'!$Z$2:$Z$495,(SUMPRODUCT((('CASE MASTER'!$T$2:$T$495=15)*('CASE MASTER'!$AA$2:$AA$495&lt;=10)*('CASE MASTER'!$AC$2:$AC$495&gt;=10)*('CASE MASTER'!$AB$2:$AB$495&lt;=7)*('CASE MASTER'!$AD$2:$AD$495&gt;=7))*ROW('CASE MASTER'!$T$2:$T$495))-(ROW('CASE MASTER'!#REF!)-1)))+((10-INDEX('CASE MASTER'!$AA$2:$AA$495,(SUMPRODUCT((('CASE MASTER'!$T$2:$T$495=15)*('CASE MASTER'!$AA$2:$AA$495&lt;=10)*('CASE MASTER'!$AC$2:$AC$495&gt;=10)*('CASE MASTER'!$AB$2:$AB$495&lt;=7)*('CASE MASTER'!$AD$2:$AD$495&gt;=7))*ROW('CASE MASTER'!$T$2:$T$495))-(ROW('CASE MASTER'!#REF!)-1))))*(INDEX('CASE MASTER'!$AD$2:$AD$495,(SUMPRODUCT((('CASE MASTER'!$T$2:$T$495=15)*('CASE MASTER'!$AA$2:$AA$495&lt;=10)*('CASE MASTER'!$AC$2:$AC$495&gt;=10)*('CASE MASTER'!$AB$2:$AB$495&lt;=7)*('CASE MASTER'!$AD$2:$AD$495&gt;=7))*ROW('CASE MASTER'!$T$2:$T$495))-(ROW('CASE MASTER'!#REF!)-1)))-INDEX('CASE MASTER'!$AB$2:$AB$495,(SUMPRODUCT((('CASE MASTER'!$T$2:$T$495=15)*('CASE MASTER'!$AA$2:$AA$495&lt;=10)*('CASE MASTER'!$AC$2:$AC$495&gt;=10)*('CASE MASTER'!$AB$2:$AB$495&lt;=7)*('CASE MASTER'!$AD$2:$AD$495&gt;=7))*ROW('CASE MASTER'!$T$2:$T$495))-(ROW('CASE MASTER'!#REF!)-1)))+1)+(7-INDEX('CASE MASTER'!$AB$2:$AB$495,(SUMPRODUCT((('CASE MASTER'!$T$2:$T$495=15)*('CASE MASTER'!$AA$2:$AA$495&lt;=10)*('CASE MASTER'!$AC$2:$AC$495&gt;=10)*('CASE MASTER'!$AB$2:$AB$495&lt;=7)*('CASE MASTER'!$AD$2:$AD$495&gt;=7))*ROW('CASE MASTER'!$T$2:$T$495))-(ROW('CASE MASTER'!#REF!)-1))))+1)))-1)*50+1,50))&amp;"_"&amp;INDEX('CASE MASTER'!$Q$2:$Q$495,(SUMPRODUCT((('CASE MASTER'!$T$2:$T$495=15)*('CASE MASTER'!$AA$2:$AA$495&lt;=10)*('CASE MASTER'!$AC$2:$AC$495&gt;=10)*('CASE MASTER'!$AB$2:$AB$495&lt;=7)*('CASE MASTER'!$AD$2:$AD$495&gt;=7))*ROW('CASE MASTER'!$T$2:$T$495))-(ROW('CASE MASTER'!#REF!)-1))),"")),"")</f>
        <v/>
      </c>
      <c r="I208" s="10" t="str">
        <f>IFERROR(IF(SUMPRODUCT((('CASE MASTER'!$T$2:$T$495=15)*('CASE MASTER'!$U$2:$U$495&lt;=10)*('CASE MASTER'!$W$2:$W$495&gt;=10)*('CASE MASTER'!$V$2:$V$495&lt;=8)*('CASE MASTER'!$X$2:$X$495&gt;=8))*ROW('CASE MASTER'!$T$2:$T$495))&gt;0,INDEX('CASE MASTER'!$Y$2:$Y$495,(SUMPRODUCT((('CASE MASTER'!$T$2:$T$495=15)*('CASE MASTER'!$U$2:$U$495&lt;=10)*('CASE MASTER'!$W$2:$W$495&gt;=10)*('CASE MASTER'!$V$2:$V$495&lt;=8)*('CASE MASTER'!$X$2:$X$495&gt;=8))*ROW('CASE MASTER'!$T$2:$T$495))-(ROW('CASE MASTER'!#REF!)-1)))&amp;TRIM(MID(SUBSTITUTE(SUBSTITUTE(INDEX('CASE MASTER'!$N$2:$N$495,(SUMPRODUCT((('CASE MASTER'!$T$2:$T$495=15)*('CASE MASTER'!$U$2:$U$495&lt;=10)*('CASE MASTER'!$W$2:$W$495&gt;=10)*('CASE MASTER'!$V$2:$V$495&lt;=8)*('CASE MASTER'!$X$2:$X$495&gt;=8))*ROW('CASE MASTER'!$T$2:$T$495))-(ROW('CASE MASTER'!#REF!)-1))),":",","),",",REPT(" ",50)),((((10-INDEX('CASE MASTER'!$U$2:$U$495,(SUMPRODUCT((('CASE MASTER'!$T$2:$T$495=15)*('CASE MASTER'!$U$2:$U$495&lt;=10)*('CASE MASTER'!$W$2:$W$495&gt;=10)*('CASE MASTER'!$V$2:$V$495&lt;=8)*('CASE MASTER'!$X$2:$X$495&gt;=8))*ROW('CASE MASTER'!$T$2:$T$495))-(ROW('CASE MASTER'!#REF!)-1))))*(INDEX('CASE MASTER'!$X$2:$X$495,(SUMPRODUCT((('CASE MASTER'!$T$2:$T$495=15)*('CASE MASTER'!$U$2:$U$495&lt;=10)*('CASE MASTER'!$W$2:$W$495&gt;=10)*('CASE MASTER'!$V$2:$V$495&lt;=8)*('CASE MASTER'!$X$2:$X$495&gt;=8))*ROW('CASE MASTER'!$T$2:$T$495))-(ROW('CASE MASTER'!#REF!)-1)))-INDEX('CASE MASTER'!$V$2:$V$495,(SUMPRODUCT((('CASE MASTER'!$T$2:$T$495=15)*('CASE MASTER'!$U$2:$U$495&lt;=10)*('CASE MASTER'!$W$2:$W$495&gt;=10)*('CASE MASTER'!$V$2:$V$495&lt;=8)*('CASE MASTER'!$X$2:$X$495&gt;=8))*ROW('CASE MASTER'!$T$2:$T$495))-(ROW('CASE MASTER'!#REF!)-1)))+1)+(8-INDEX('CASE MASTER'!$V$2:$V$495,(SUMPRODUCT((('CASE MASTER'!$T$2:$T$495=15)*('CASE MASTER'!$U$2:$U$495&lt;=10)*('CASE MASTER'!$W$2:$W$495&gt;=10)*('CASE MASTER'!$V$2:$V$495&lt;=8)*('CASE MASTER'!$X$2:$X$495&gt;=8))*ROW('CASE MASTER'!$T$2:$T$495))-(ROW('CASE MASTER'!#REF!)-1))))+1))-1)*50+1,50))&amp;"_"&amp;INDEX('CASE MASTER'!$Q$2:$Q$495,(SUMPRODUCT((('CASE MASTER'!$T$2:$T$495=15)*('CASE MASTER'!$U$2:$U$495&lt;=10)*('CASE MASTER'!$W$2:$W$495&gt;=10)*('CASE MASTER'!$V$2:$V$495&lt;=8)*('CASE MASTER'!$X$2:$X$495&gt;=8))*ROW('CASE MASTER'!$T$2:$T$495))-(ROW('CASE MASTER'!#REF!)-1))),IF(SUMPRODUCT((('CASE MASTER'!$T$2:$T$495=15)*('CASE MASTER'!$AA$2:$AA$495&lt;=10)*('CASE MASTER'!$AC$2:$AC$495&gt;=10)*('CASE MASTER'!$AB$2:$AB$495&lt;=8)*('CASE MASTER'!$AD$2:$AD$495&gt;=8))*ROW('CASE MASTER'!$T$2:$T$495))&gt;0,INDEX('CASE MASTER'!$Y$2:$Y$495,(SUMPRODUCT((('CASE MASTER'!$T$2:$T$495=15)*('CASE MASTER'!$AA$2:$AA$495&lt;=10)*('CASE MASTER'!$AC$2:$AC$495&gt;=10)*('CASE MASTER'!$AB$2:$AB$495&lt;=8)*('CASE MASTER'!$AD$2:$AD$495&gt;=8))*ROW('CASE MASTER'!$T$2:$T$495))-(ROW('CASE MASTER'!#REF!)-1)))&amp;TRIM(MID(SUBSTITUTE(SUBSTITUTE(INDEX('CASE MASTER'!$N$2:$N$495,(SUMPRODUCT((('CASE MASTER'!$T$2:$T$495=15)*('CASE MASTER'!$AA$2:$AA$495&lt;=10)*('CASE MASTER'!$AC$2:$AC$495&gt;=10)*('CASE MASTER'!$AB$2:$AB$495&lt;=8)*('CASE MASTER'!$AD$2:$AD$495&gt;=8))*ROW('CASE MASTER'!$T$2:$T$495))-(ROW('CASE MASTER'!#REF!)-1))),":",","),",",REPT(" ",50)),(((INDEX('CASE MASTER'!$Z$2:$Z$495,(SUMPRODUCT((('CASE MASTER'!$T$2:$T$495=15)*('CASE MASTER'!$AA$2:$AA$495&lt;=10)*('CASE MASTER'!$AC$2:$AC$495&gt;=10)*('CASE MASTER'!$AB$2:$AB$495&lt;=8)*('CASE MASTER'!$AD$2:$AD$495&gt;=8))*ROW('CASE MASTER'!$T$2:$T$495))-(ROW('CASE MASTER'!#REF!)-1)))+((10-INDEX('CASE MASTER'!$AA$2:$AA$495,(SUMPRODUCT((('CASE MASTER'!$T$2:$T$495=15)*('CASE MASTER'!$AA$2:$AA$495&lt;=10)*('CASE MASTER'!$AC$2:$AC$495&gt;=10)*('CASE MASTER'!$AB$2:$AB$495&lt;=8)*('CASE MASTER'!$AD$2:$AD$495&gt;=8))*ROW('CASE MASTER'!$T$2:$T$495))-(ROW('CASE MASTER'!#REF!)-1))))*(INDEX('CASE MASTER'!$AD$2:$AD$495,(SUMPRODUCT((('CASE MASTER'!$T$2:$T$495=15)*('CASE MASTER'!$AA$2:$AA$495&lt;=10)*('CASE MASTER'!$AC$2:$AC$495&gt;=10)*('CASE MASTER'!$AB$2:$AB$495&lt;=8)*('CASE MASTER'!$AD$2:$AD$495&gt;=8))*ROW('CASE MASTER'!$T$2:$T$495))-(ROW('CASE MASTER'!#REF!)-1)))-INDEX('CASE MASTER'!$AB$2:$AB$495,(SUMPRODUCT((('CASE MASTER'!$T$2:$T$495=15)*('CASE MASTER'!$AA$2:$AA$495&lt;=10)*('CASE MASTER'!$AC$2:$AC$495&gt;=10)*('CASE MASTER'!$AB$2:$AB$495&lt;=8)*('CASE MASTER'!$AD$2:$AD$495&gt;=8))*ROW('CASE MASTER'!$T$2:$T$495))-(ROW('CASE MASTER'!#REF!)-1)))+1)+(8-INDEX('CASE MASTER'!$AB$2:$AB$495,(SUMPRODUCT((('CASE MASTER'!$T$2:$T$495=15)*('CASE MASTER'!$AA$2:$AA$495&lt;=10)*('CASE MASTER'!$AC$2:$AC$495&gt;=10)*('CASE MASTER'!$AB$2:$AB$495&lt;=8)*('CASE MASTER'!$AD$2:$AD$495&gt;=8))*ROW('CASE MASTER'!$T$2:$T$495))-(ROW('CASE MASTER'!#REF!)-1))))+1)))-1)*50+1,50))&amp;"_"&amp;INDEX('CASE MASTER'!$Q$2:$Q$495,(SUMPRODUCT((('CASE MASTER'!$T$2:$T$495=15)*('CASE MASTER'!$AA$2:$AA$495&lt;=10)*('CASE MASTER'!$AC$2:$AC$495&gt;=10)*('CASE MASTER'!$AB$2:$AB$495&lt;=8)*('CASE MASTER'!$AD$2:$AD$495&gt;=8))*ROW('CASE MASTER'!$T$2:$T$495))-(ROW('CASE MASTER'!#REF!)-1))),"")),"")</f>
        <v/>
      </c>
      <c r="J208" s="10" t="str">
        <f>IFERROR(IF(SUMPRODUCT((('CASE MASTER'!$T$2:$T$495=15)*('CASE MASTER'!$U$2:$U$495&lt;=10)*('CASE MASTER'!$W$2:$W$495&gt;=10)*('CASE MASTER'!$V$2:$V$495&lt;=9)*('CASE MASTER'!$X$2:$X$495&gt;=9))*ROW('CASE MASTER'!$T$2:$T$495))&gt;0,INDEX('CASE MASTER'!$Y$2:$Y$495,(SUMPRODUCT((('CASE MASTER'!$T$2:$T$495=15)*('CASE MASTER'!$U$2:$U$495&lt;=10)*('CASE MASTER'!$W$2:$W$495&gt;=10)*('CASE MASTER'!$V$2:$V$495&lt;=9)*('CASE MASTER'!$X$2:$X$495&gt;=9))*ROW('CASE MASTER'!$T$2:$T$495))-(ROW('CASE MASTER'!#REF!)-1)))&amp;TRIM(MID(SUBSTITUTE(SUBSTITUTE(INDEX('CASE MASTER'!$N$2:$N$495,(SUMPRODUCT((('CASE MASTER'!$T$2:$T$495=15)*('CASE MASTER'!$U$2:$U$495&lt;=10)*('CASE MASTER'!$W$2:$W$495&gt;=10)*('CASE MASTER'!$V$2:$V$495&lt;=9)*('CASE MASTER'!$X$2:$X$495&gt;=9))*ROW('CASE MASTER'!$T$2:$T$495))-(ROW('CASE MASTER'!#REF!)-1))),":",","),",",REPT(" ",50)),((((10-INDEX('CASE MASTER'!$U$2:$U$495,(SUMPRODUCT((('CASE MASTER'!$T$2:$T$495=15)*('CASE MASTER'!$U$2:$U$495&lt;=10)*('CASE MASTER'!$W$2:$W$495&gt;=10)*('CASE MASTER'!$V$2:$V$495&lt;=9)*('CASE MASTER'!$X$2:$X$495&gt;=9))*ROW('CASE MASTER'!$T$2:$T$495))-(ROW('CASE MASTER'!#REF!)-1))))*(INDEX('CASE MASTER'!$X$2:$X$495,(SUMPRODUCT((('CASE MASTER'!$T$2:$T$495=15)*('CASE MASTER'!$U$2:$U$495&lt;=10)*('CASE MASTER'!$W$2:$W$495&gt;=10)*('CASE MASTER'!$V$2:$V$495&lt;=9)*('CASE MASTER'!$X$2:$X$495&gt;=9))*ROW('CASE MASTER'!$T$2:$T$495))-(ROW('CASE MASTER'!#REF!)-1)))-INDEX('CASE MASTER'!$V$2:$V$495,(SUMPRODUCT((('CASE MASTER'!$T$2:$T$495=15)*('CASE MASTER'!$U$2:$U$495&lt;=10)*('CASE MASTER'!$W$2:$W$495&gt;=10)*('CASE MASTER'!$V$2:$V$495&lt;=9)*('CASE MASTER'!$X$2:$X$495&gt;=9))*ROW('CASE MASTER'!$T$2:$T$495))-(ROW('CASE MASTER'!#REF!)-1)))+1)+(9-INDEX('CASE MASTER'!$V$2:$V$495,(SUMPRODUCT((('CASE MASTER'!$T$2:$T$495=15)*('CASE MASTER'!$U$2:$U$495&lt;=10)*('CASE MASTER'!$W$2:$W$495&gt;=10)*('CASE MASTER'!$V$2:$V$495&lt;=9)*('CASE MASTER'!$X$2:$X$495&gt;=9))*ROW('CASE MASTER'!$T$2:$T$495))-(ROW('CASE MASTER'!#REF!)-1))))+1))-1)*50+1,50))&amp;"_"&amp;INDEX('CASE MASTER'!$Q$2:$Q$495,(SUMPRODUCT((('CASE MASTER'!$T$2:$T$495=15)*('CASE MASTER'!$U$2:$U$495&lt;=10)*('CASE MASTER'!$W$2:$W$495&gt;=10)*('CASE MASTER'!$V$2:$V$495&lt;=9)*('CASE MASTER'!$X$2:$X$495&gt;=9))*ROW('CASE MASTER'!$T$2:$T$495))-(ROW('CASE MASTER'!#REF!)-1))),IF(SUMPRODUCT((('CASE MASTER'!$T$2:$T$495=15)*('CASE MASTER'!$AA$2:$AA$495&lt;=10)*('CASE MASTER'!$AC$2:$AC$495&gt;=10)*('CASE MASTER'!$AB$2:$AB$495&lt;=9)*('CASE MASTER'!$AD$2:$AD$495&gt;=9))*ROW('CASE MASTER'!$T$2:$T$495))&gt;0,INDEX('CASE MASTER'!$Y$2:$Y$495,(SUMPRODUCT((('CASE MASTER'!$T$2:$T$495=15)*('CASE MASTER'!$AA$2:$AA$495&lt;=10)*('CASE MASTER'!$AC$2:$AC$495&gt;=10)*('CASE MASTER'!$AB$2:$AB$495&lt;=9)*('CASE MASTER'!$AD$2:$AD$495&gt;=9))*ROW('CASE MASTER'!$T$2:$T$495))-(ROW('CASE MASTER'!#REF!)-1)))&amp;TRIM(MID(SUBSTITUTE(SUBSTITUTE(INDEX('CASE MASTER'!$N$2:$N$495,(SUMPRODUCT((('CASE MASTER'!$T$2:$T$495=15)*('CASE MASTER'!$AA$2:$AA$495&lt;=10)*('CASE MASTER'!$AC$2:$AC$495&gt;=10)*('CASE MASTER'!$AB$2:$AB$495&lt;=9)*('CASE MASTER'!$AD$2:$AD$495&gt;=9))*ROW('CASE MASTER'!$T$2:$T$495))-(ROW('CASE MASTER'!#REF!)-1))),":",","),",",REPT(" ",50)),(((INDEX('CASE MASTER'!$Z$2:$Z$495,(SUMPRODUCT((('CASE MASTER'!$T$2:$T$495=15)*('CASE MASTER'!$AA$2:$AA$495&lt;=10)*('CASE MASTER'!$AC$2:$AC$495&gt;=10)*('CASE MASTER'!$AB$2:$AB$495&lt;=9)*('CASE MASTER'!$AD$2:$AD$495&gt;=9))*ROW('CASE MASTER'!$T$2:$T$495))-(ROW('CASE MASTER'!#REF!)-1)))+((10-INDEX('CASE MASTER'!$AA$2:$AA$495,(SUMPRODUCT((('CASE MASTER'!$T$2:$T$495=15)*('CASE MASTER'!$AA$2:$AA$495&lt;=10)*('CASE MASTER'!$AC$2:$AC$495&gt;=10)*('CASE MASTER'!$AB$2:$AB$495&lt;=9)*('CASE MASTER'!$AD$2:$AD$495&gt;=9))*ROW('CASE MASTER'!$T$2:$T$495))-(ROW('CASE MASTER'!#REF!)-1))))*(INDEX('CASE MASTER'!$AD$2:$AD$495,(SUMPRODUCT((('CASE MASTER'!$T$2:$T$495=15)*('CASE MASTER'!$AA$2:$AA$495&lt;=10)*('CASE MASTER'!$AC$2:$AC$495&gt;=10)*('CASE MASTER'!$AB$2:$AB$495&lt;=9)*('CASE MASTER'!$AD$2:$AD$495&gt;=9))*ROW('CASE MASTER'!$T$2:$T$495))-(ROW('CASE MASTER'!#REF!)-1)))-INDEX('CASE MASTER'!$AB$2:$AB$495,(SUMPRODUCT((('CASE MASTER'!$T$2:$T$495=15)*('CASE MASTER'!$AA$2:$AA$495&lt;=10)*('CASE MASTER'!$AC$2:$AC$495&gt;=10)*('CASE MASTER'!$AB$2:$AB$495&lt;=9)*('CASE MASTER'!$AD$2:$AD$495&gt;=9))*ROW('CASE MASTER'!$T$2:$T$495))-(ROW('CASE MASTER'!#REF!)-1)))+1)+(9-INDEX('CASE MASTER'!$AB$2:$AB$495,(SUMPRODUCT((('CASE MASTER'!$T$2:$T$495=15)*('CASE MASTER'!$AA$2:$AA$495&lt;=10)*('CASE MASTER'!$AC$2:$AC$495&gt;=10)*('CASE MASTER'!$AB$2:$AB$495&lt;=9)*('CASE MASTER'!$AD$2:$AD$495&gt;=9))*ROW('CASE MASTER'!$T$2:$T$495))-(ROW('CASE MASTER'!#REF!)-1))))+1)))-1)*50+1,50))&amp;"_"&amp;INDEX('CASE MASTER'!$Q$2:$Q$495,(SUMPRODUCT((('CASE MASTER'!$T$2:$T$495=15)*('CASE MASTER'!$AA$2:$AA$495&lt;=10)*('CASE MASTER'!$AC$2:$AC$495&gt;=10)*('CASE MASTER'!$AB$2:$AB$495&lt;=9)*('CASE MASTER'!$AD$2:$AD$495&gt;=9))*ROW('CASE MASTER'!$T$2:$T$495))-(ROW('CASE MASTER'!#REF!)-1))),"")),"")</f>
        <v/>
      </c>
      <c r="K208" s="10" t="str">
        <f>IFERROR(IF(SUMPRODUCT((('CASE MASTER'!$T$2:$T$495=15)*('CASE MASTER'!$U$2:$U$495&lt;=10)*('CASE MASTER'!$W$2:$W$495&gt;=10)*('CASE MASTER'!$V$2:$V$495&lt;=10)*('CASE MASTER'!$X$2:$X$495&gt;=10))*ROW('CASE MASTER'!$T$2:$T$495))&gt;0,INDEX('CASE MASTER'!$Y$2:$Y$495,(SUMPRODUCT((('CASE MASTER'!$T$2:$T$495=15)*('CASE MASTER'!$U$2:$U$495&lt;=10)*('CASE MASTER'!$W$2:$W$495&gt;=10)*('CASE MASTER'!$V$2:$V$495&lt;=10)*('CASE MASTER'!$X$2:$X$495&gt;=10))*ROW('CASE MASTER'!$T$2:$T$495))-(ROW('CASE MASTER'!#REF!)-1)))&amp;TRIM(MID(SUBSTITUTE(SUBSTITUTE(INDEX('CASE MASTER'!$N$2:$N$495,(SUMPRODUCT((('CASE MASTER'!$T$2:$T$495=15)*('CASE MASTER'!$U$2:$U$495&lt;=10)*('CASE MASTER'!$W$2:$W$495&gt;=10)*('CASE MASTER'!$V$2:$V$495&lt;=10)*('CASE MASTER'!$X$2:$X$495&gt;=10))*ROW('CASE MASTER'!$T$2:$T$495))-(ROW('CASE MASTER'!#REF!)-1))),":",","),",",REPT(" ",50)),((((10-INDEX('CASE MASTER'!$U$2:$U$495,(SUMPRODUCT((('CASE MASTER'!$T$2:$T$495=15)*('CASE MASTER'!$U$2:$U$495&lt;=10)*('CASE MASTER'!$W$2:$W$495&gt;=10)*('CASE MASTER'!$V$2:$V$495&lt;=10)*('CASE MASTER'!$X$2:$X$495&gt;=10))*ROW('CASE MASTER'!$T$2:$T$495))-(ROW('CASE MASTER'!#REF!)-1))))*(INDEX('CASE MASTER'!$X$2:$X$495,(SUMPRODUCT((('CASE MASTER'!$T$2:$T$495=15)*('CASE MASTER'!$U$2:$U$495&lt;=10)*('CASE MASTER'!$W$2:$W$495&gt;=10)*('CASE MASTER'!$V$2:$V$495&lt;=10)*('CASE MASTER'!$X$2:$X$495&gt;=10))*ROW('CASE MASTER'!$T$2:$T$495))-(ROW('CASE MASTER'!#REF!)-1)))-INDEX('CASE MASTER'!$V$2:$V$495,(SUMPRODUCT((('CASE MASTER'!$T$2:$T$495=15)*('CASE MASTER'!$U$2:$U$495&lt;=10)*('CASE MASTER'!$W$2:$W$495&gt;=10)*('CASE MASTER'!$V$2:$V$495&lt;=10)*('CASE MASTER'!$X$2:$X$495&gt;=10))*ROW('CASE MASTER'!$T$2:$T$495))-(ROW('CASE MASTER'!#REF!)-1)))+1)+(10-INDEX('CASE MASTER'!$V$2:$V$495,(SUMPRODUCT((('CASE MASTER'!$T$2:$T$495=15)*('CASE MASTER'!$U$2:$U$495&lt;=10)*('CASE MASTER'!$W$2:$W$495&gt;=10)*('CASE MASTER'!$V$2:$V$495&lt;=10)*('CASE MASTER'!$X$2:$X$495&gt;=10))*ROW('CASE MASTER'!$T$2:$T$495))-(ROW('CASE MASTER'!#REF!)-1))))+1))-1)*50+1,50))&amp;"_"&amp;INDEX('CASE MASTER'!$Q$2:$Q$495,(SUMPRODUCT((('CASE MASTER'!$T$2:$T$495=15)*('CASE MASTER'!$U$2:$U$495&lt;=10)*('CASE MASTER'!$W$2:$W$495&gt;=10)*('CASE MASTER'!$V$2:$V$495&lt;=10)*('CASE MASTER'!$X$2:$X$495&gt;=10))*ROW('CASE MASTER'!$T$2:$T$495))-(ROW('CASE MASTER'!#REF!)-1))),IF(SUMPRODUCT((('CASE MASTER'!$T$2:$T$495=15)*('CASE MASTER'!$AA$2:$AA$495&lt;=10)*('CASE MASTER'!$AC$2:$AC$495&gt;=10)*('CASE MASTER'!$AB$2:$AB$495&lt;=10)*('CASE MASTER'!$AD$2:$AD$495&gt;=10))*ROW('CASE MASTER'!$T$2:$T$495))&gt;0,INDEX('CASE MASTER'!$Y$2:$Y$495,(SUMPRODUCT((('CASE MASTER'!$T$2:$T$495=15)*('CASE MASTER'!$AA$2:$AA$495&lt;=10)*('CASE MASTER'!$AC$2:$AC$495&gt;=10)*('CASE MASTER'!$AB$2:$AB$495&lt;=10)*('CASE MASTER'!$AD$2:$AD$495&gt;=10))*ROW('CASE MASTER'!$T$2:$T$495))-(ROW('CASE MASTER'!#REF!)-1)))&amp;TRIM(MID(SUBSTITUTE(SUBSTITUTE(INDEX('CASE MASTER'!$N$2:$N$495,(SUMPRODUCT((('CASE MASTER'!$T$2:$T$495=15)*('CASE MASTER'!$AA$2:$AA$495&lt;=10)*('CASE MASTER'!$AC$2:$AC$495&gt;=10)*('CASE MASTER'!$AB$2:$AB$495&lt;=10)*('CASE MASTER'!$AD$2:$AD$495&gt;=10))*ROW('CASE MASTER'!$T$2:$T$495))-(ROW('CASE MASTER'!#REF!)-1))),":",","),",",REPT(" ",50)),(((INDEX('CASE MASTER'!$Z$2:$Z$495,(SUMPRODUCT((('CASE MASTER'!$T$2:$T$495=15)*('CASE MASTER'!$AA$2:$AA$495&lt;=10)*('CASE MASTER'!$AC$2:$AC$495&gt;=10)*('CASE MASTER'!$AB$2:$AB$495&lt;=10)*('CASE MASTER'!$AD$2:$AD$495&gt;=10))*ROW('CASE MASTER'!$T$2:$T$495))-(ROW('CASE MASTER'!#REF!)-1)))+((10-INDEX('CASE MASTER'!$AA$2:$AA$495,(SUMPRODUCT((('CASE MASTER'!$T$2:$T$495=15)*('CASE MASTER'!$AA$2:$AA$495&lt;=10)*('CASE MASTER'!$AC$2:$AC$495&gt;=10)*('CASE MASTER'!$AB$2:$AB$495&lt;=10)*('CASE MASTER'!$AD$2:$AD$495&gt;=10))*ROW('CASE MASTER'!$T$2:$T$495))-(ROW('CASE MASTER'!#REF!)-1))))*(INDEX('CASE MASTER'!$AD$2:$AD$495,(SUMPRODUCT((('CASE MASTER'!$T$2:$T$495=15)*('CASE MASTER'!$AA$2:$AA$495&lt;=10)*('CASE MASTER'!$AC$2:$AC$495&gt;=10)*('CASE MASTER'!$AB$2:$AB$495&lt;=10)*('CASE MASTER'!$AD$2:$AD$495&gt;=10))*ROW('CASE MASTER'!$T$2:$T$495))-(ROW('CASE MASTER'!#REF!)-1)))-INDEX('CASE MASTER'!$AB$2:$AB$495,(SUMPRODUCT((('CASE MASTER'!$T$2:$T$495=15)*('CASE MASTER'!$AA$2:$AA$495&lt;=10)*('CASE MASTER'!$AC$2:$AC$495&gt;=10)*('CASE MASTER'!$AB$2:$AB$495&lt;=10)*('CASE MASTER'!$AD$2:$AD$495&gt;=10))*ROW('CASE MASTER'!$T$2:$T$495))-(ROW('CASE MASTER'!#REF!)-1)))+1)+(10-INDEX('CASE MASTER'!$AB$2:$AB$495,(SUMPRODUCT((('CASE MASTER'!$T$2:$T$495=15)*('CASE MASTER'!$AA$2:$AA$495&lt;=10)*('CASE MASTER'!$AC$2:$AC$495&gt;=10)*('CASE MASTER'!$AB$2:$AB$495&lt;=10)*('CASE MASTER'!$AD$2:$AD$495&gt;=10))*ROW('CASE MASTER'!$T$2:$T$495))-(ROW('CASE MASTER'!#REF!)-1))))+1)))-1)*50+1,50))&amp;"_"&amp;INDEX('CASE MASTER'!$Q$2:$Q$495,(SUMPRODUCT((('CASE MASTER'!$T$2:$T$495=15)*('CASE MASTER'!$AA$2:$AA$495&lt;=10)*('CASE MASTER'!$AC$2:$AC$495&gt;=10)*('CASE MASTER'!$AB$2:$AB$495&lt;=10)*('CASE MASTER'!$AD$2:$AD$495&gt;=10))*ROW('CASE MASTER'!$T$2:$T$495))-(ROW('CASE MASTER'!#REF!)-1))),"")),"")</f>
        <v/>
      </c>
    </row>
  </sheetData>
  <mergeCells count="15">
    <mergeCell ref="A155:K155"/>
    <mergeCell ref="A183:K183"/>
    <mergeCell ref="A169:K169"/>
    <mergeCell ref="A1:K1"/>
    <mergeCell ref="A197:K197"/>
    <mergeCell ref="A141:K141"/>
    <mergeCell ref="A127:K127"/>
    <mergeCell ref="A15:K15"/>
    <mergeCell ref="A29:K29"/>
    <mergeCell ref="A43:K43"/>
    <mergeCell ref="A57:K57"/>
    <mergeCell ref="A71:K71"/>
    <mergeCell ref="A113:K113"/>
    <mergeCell ref="A85:K85"/>
    <mergeCell ref="A99:K99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5B9BD5"/>
  </sheetPr>
  <dimension ref="A1:J193"/>
  <sheetViews>
    <sheetView showGridLines="0" zoomScaleNormal="100" workbookViewId="0">
      <selection activeCell="B6" sqref="B6"/>
    </sheetView>
  </sheetViews>
  <sheetFormatPr defaultColWidth="8.6328125" defaultRowHeight="15" customHeight="1" x14ac:dyDescent="0.35"/>
  <cols>
    <col min="1" max="1" width="5" customWidth="1"/>
    <col min="2" max="10" width="25.6328125" customWidth="1"/>
  </cols>
  <sheetData>
    <row r="1" spans="1:10" ht="15" customHeight="1" x14ac:dyDescent="0.35">
      <c r="A1" s="12" t="s">
        <v>97</v>
      </c>
      <c r="B1" s="13"/>
      <c r="C1" s="13"/>
      <c r="D1" s="13"/>
      <c r="E1" s="13"/>
      <c r="F1" s="13"/>
      <c r="G1" s="13"/>
      <c r="H1" s="13"/>
      <c r="I1" s="13"/>
      <c r="J1" s="13"/>
    </row>
    <row r="2" spans="1:10" ht="15" customHeight="1" x14ac:dyDescent="0.35">
      <c r="B2" s="8">
        <v>1</v>
      </c>
      <c r="C2" s="8">
        <v>2</v>
      </c>
      <c r="D2" s="8">
        <v>3</v>
      </c>
      <c r="E2" s="8">
        <v>4</v>
      </c>
      <c r="F2" s="8">
        <v>5</v>
      </c>
      <c r="G2" s="8">
        <v>6</v>
      </c>
      <c r="H2" s="8">
        <v>7</v>
      </c>
      <c r="I2" s="8">
        <v>8</v>
      </c>
      <c r="J2" s="8">
        <v>9</v>
      </c>
    </row>
    <row r="3" spans="1:10" ht="15" customHeight="1" x14ac:dyDescent="0.35">
      <c r="A3" s="8" t="s">
        <v>28</v>
      </c>
      <c r="B3" s="9" t="str">
        <f>IFERROR(INDEX('CASE MASTER'!$S$2:$S$495,MATCH("Case WB Box 1: A1",'CASE MASTER'!$K$2:$K$495,0)),"")</f>
        <v/>
      </c>
      <c r="C3" s="9" t="str">
        <f>IFERROR(INDEX('CASE MASTER'!$S$2:$S$495,MATCH("Case WB Box 1: A2",'CASE MASTER'!$K$2:$K$495,0)),"")</f>
        <v/>
      </c>
      <c r="D3" s="9" t="str">
        <f>IFERROR(INDEX('CASE MASTER'!$S$2:$S$495,MATCH("Case WB Box 1: A3",'CASE MASTER'!$K$2:$K$495,0)),"")</f>
        <v/>
      </c>
      <c r="E3" s="9" t="str">
        <f>IFERROR(INDEX('CASE MASTER'!$S$2:$S$495,MATCH("Case WB Box 1: A4",'CASE MASTER'!$K$2:$K$495,0)),"")</f>
        <v/>
      </c>
      <c r="F3" s="9" t="str">
        <f>IFERROR(INDEX('CASE MASTER'!$S$2:$S$495,MATCH("Case WB Box 1: A5",'CASE MASTER'!$K$2:$K$495,0)),"")</f>
        <v/>
      </c>
      <c r="G3" s="9" t="str">
        <f>IFERROR(INDEX('CASE MASTER'!$S$2:$S$495,MATCH("Case WB Box 1: A6",'CASE MASTER'!$K$2:$K$495,0)),"")</f>
        <v/>
      </c>
      <c r="H3" s="9" t="str">
        <f>IFERROR(INDEX('CASE MASTER'!$S$2:$S$495,MATCH("Case WB Box 1: A7",'CASE MASTER'!$K$2:$K$495,0)),"")</f>
        <v/>
      </c>
      <c r="I3" s="9" t="str">
        <f>IFERROR(INDEX('CASE MASTER'!$S$2:$S$495,MATCH("Case WB Box 1: A8",'CASE MASTER'!$K$2:$K$495,0)),"")</f>
        <v/>
      </c>
      <c r="J3" s="9" t="str">
        <f>IFERROR(INDEX('CASE MASTER'!$S$2:$S$495,MATCH("Case WB Box 1: A9",'CASE MASTER'!$K$2:$K$495,0)),"")</f>
        <v/>
      </c>
    </row>
    <row r="4" spans="1:10" ht="15" customHeight="1" x14ac:dyDescent="0.35">
      <c r="A4" s="8" t="s">
        <v>29</v>
      </c>
      <c r="B4" s="9" t="str">
        <f>IFERROR(INDEX('CASE MASTER'!$S$2:$S$495,MATCH("Case WB Box 1: B1",'CASE MASTER'!$K$2:$K$495,0)),"")</f>
        <v/>
      </c>
      <c r="C4" s="9" t="str">
        <f>IFERROR(INDEX('CASE MASTER'!$S$2:$S$495,MATCH("Case WB Box 1: B2",'CASE MASTER'!$K$2:$K$495,0)),"")</f>
        <v/>
      </c>
      <c r="D4" s="9" t="str">
        <f>IFERROR(INDEX('CASE MASTER'!$S$2:$S$495,MATCH("Case WB Box 1: B3",'CASE MASTER'!$K$2:$K$495,0)),"")</f>
        <v/>
      </c>
      <c r="E4" s="9" t="str">
        <f>IFERROR(INDEX('CASE MASTER'!$S$2:$S$495,MATCH("Case WB Box 1: B4",'CASE MASTER'!$K$2:$K$495,0)),"")</f>
        <v/>
      </c>
      <c r="F4" s="9" t="str">
        <f>IFERROR(INDEX('CASE MASTER'!$S$2:$S$495,MATCH("Case WB Box 1: B5",'CASE MASTER'!$K$2:$K$495,0)),"")</f>
        <v/>
      </c>
      <c r="G4" s="9" t="str">
        <f>IFERROR(INDEX('CASE MASTER'!$S$2:$S$495,MATCH("Case WB Box 1: B6",'CASE MASTER'!$K$2:$K$495,0)),"")</f>
        <v/>
      </c>
      <c r="H4" s="9" t="str">
        <f>IFERROR(INDEX('CASE MASTER'!$S$2:$S$495,MATCH("Case WB Box 1: B7",'CASE MASTER'!$K$2:$K$495,0)),"")</f>
        <v/>
      </c>
      <c r="I4" s="9" t="str">
        <f>IFERROR(INDEX('CASE MASTER'!$S$2:$S$495,MATCH("Case WB Box 1: B8",'CASE MASTER'!$K$2:$K$495,0)),"")</f>
        <v/>
      </c>
      <c r="J4" s="9" t="str">
        <f>IFERROR(INDEX('CASE MASTER'!$S$2:$S$495,MATCH("Case WB Box 1: B9",'CASE MASTER'!$K$2:$K$495,0)),"")</f>
        <v/>
      </c>
    </row>
    <row r="5" spans="1:10" ht="15" customHeight="1" x14ac:dyDescent="0.35">
      <c r="A5" s="8" t="s">
        <v>30</v>
      </c>
      <c r="B5" s="9" t="str">
        <f>IFERROR(INDEX('CASE MASTER'!$S$2:$S$495,MATCH("Case WB Box 1: C1",'CASE MASTER'!$K$2:$K$495,0)),"")</f>
        <v/>
      </c>
      <c r="C5" s="9" t="str">
        <f>IFERROR(INDEX('CASE MASTER'!$S$2:$S$495,MATCH("Case WB Box 1: C2",'CASE MASTER'!$K$2:$K$495,0)),"")</f>
        <v/>
      </c>
      <c r="D5" s="9" t="str">
        <f>IFERROR(INDEX('CASE MASTER'!$S$2:$S$495,MATCH("Case WB Box 1: C3",'CASE MASTER'!$K$2:$K$495,0)),"")</f>
        <v/>
      </c>
      <c r="E5" s="9" t="str">
        <f>IFERROR(INDEX('CASE MASTER'!$S$2:$S$495,MATCH("Case WB Box 1: C4",'CASE MASTER'!$K$2:$K$495,0)),"")</f>
        <v/>
      </c>
      <c r="F5" s="9" t="str">
        <f>IFERROR(INDEX('CASE MASTER'!$S$2:$S$495,MATCH("Case WB Box 1: C5",'CASE MASTER'!$K$2:$K$495,0)),"")</f>
        <v/>
      </c>
      <c r="G5" s="9" t="str">
        <f>IFERROR(INDEX('CASE MASTER'!$S$2:$S$495,MATCH("Case WB Box 1: C6",'CASE MASTER'!$K$2:$K$495,0)),"")</f>
        <v/>
      </c>
      <c r="H5" s="9" t="str">
        <f>IFERROR(INDEX('CASE MASTER'!$S$2:$S$495,MATCH("Case WB Box 1: C7",'CASE MASTER'!$K$2:$K$495,0)),"")</f>
        <v/>
      </c>
      <c r="I5" s="9" t="str">
        <f>IFERROR(INDEX('CASE MASTER'!$S$2:$S$495,MATCH("Case WB Box 1: C8",'CASE MASTER'!$K$2:$K$495,0)),"")</f>
        <v/>
      </c>
      <c r="J5" s="9" t="str">
        <f>IFERROR(INDEX('CASE MASTER'!$S$2:$S$495,MATCH("Case WB Box 1: C9",'CASE MASTER'!$K$2:$K$495,0)),"")</f>
        <v/>
      </c>
    </row>
    <row r="6" spans="1:10" ht="15" customHeight="1" x14ac:dyDescent="0.35">
      <c r="A6" s="8" t="s">
        <v>31</v>
      </c>
      <c r="B6" s="9" t="str">
        <f>IFERROR(INDEX('CASE MASTER'!$S$2:$S$495,MATCH("Case WB Box 1: D1",'CASE MASTER'!$K$2:$K$495,0)),"")</f>
        <v/>
      </c>
      <c r="C6" s="9" t="str">
        <f>IFERROR(INDEX('CASE MASTER'!$S$2:$S$495,MATCH("Case WB Box 1: D2",'CASE MASTER'!$K$2:$K$495,0)),"")</f>
        <v/>
      </c>
      <c r="D6" s="9" t="str">
        <f>IFERROR(INDEX('CASE MASTER'!$S$2:$S$495,MATCH("Case WB Box 1: D3",'CASE MASTER'!$K$2:$K$495,0)),"")</f>
        <v/>
      </c>
      <c r="E6" s="9" t="str">
        <f>IFERROR(INDEX('CASE MASTER'!$S$2:$S$495,MATCH("Case WB Box 1: D4",'CASE MASTER'!$K$2:$K$495,0)),"")</f>
        <v/>
      </c>
      <c r="F6" s="9" t="str">
        <f>IFERROR(INDEX('CASE MASTER'!$S$2:$S$495,MATCH("Case WB Box 1: D5",'CASE MASTER'!$K$2:$K$495,0)),"")</f>
        <v/>
      </c>
      <c r="G6" s="9" t="str">
        <f>IFERROR(INDEX('CASE MASTER'!$S$2:$S$495,MATCH("Case WB Box 1: D6",'CASE MASTER'!$K$2:$K$495,0)),"")</f>
        <v/>
      </c>
      <c r="H6" s="9" t="str">
        <f>IFERROR(INDEX('CASE MASTER'!$S$2:$S$495,MATCH("Case WB Box 1: D7",'CASE MASTER'!$K$2:$K$495,0)),"")</f>
        <v/>
      </c>
      <c r="I6" s="9" t="str">
        <f>IFERROR(INDEX('CASE MASTER'!$S$2:$S$495,MATCH("Case WB Box 1: D8",'CASE MASTER'!$K$2:$K$495,0)),"")</f>
        <v/>
      </c>
      <c r="J6" s="9" t="str">
        <f>IFERROR(INDEX('CASE MASTER'!$S$2:$S$495,MATCH("Case WB Box 1: D9",'CASE MASTER'!$K$2:$K$495,0)),"")</f>
        <v/>
      </c>
    </row>
    <row r="7" spans="1:10" ht="15" customHeight="1" x14ac:dyDescent="0.35">
      <c r="A7" s="8" t="s">
        <v>32</v>
      </c>
      <c r="B7" s="9" t="str">
        <f>IFERROR(INDEX('CASE MASTER'!$S$2:$S$495,MATCH("Case WB Box 1: E1",'CASE MASTER'!$K$2:$K$495,0)),"")</f>
        <v/>
      </c>
      <c r="C7" s="9" t="str">
        <f>IFERROR(INDEX('CASE MASTER'!$S$2:$S$495,MATCH("Case WB Box 1: E2",'CASE MASTER'!$K$2:$K$495,0)),"")</f>
        <v/>
      </c>
      <c r="D7" s="9" t="str">
        <f>IFERROR(INDEX('CASE MASTER'!$S$2:$S$495,MATCH("Case WB Box 1: E3",'CASE MASTER'!$K$2:$K$495,0)),"")</f>
        <v/>
      </c>
      <c r="E7" s="9" t="str">
        <f>IFERROR(INDEX('CASE MASTER'!$S$2:$S$495,MATCH("Case WB Box 1: E4",'CASE MASTER'!$K$2:$K$495,0)),"")</f>
        <v/>
      </c>
      <c r="F7" s="9" t="str">
        <f>IFERROR(INDEX('CASE MASTER'!$S$2:$S$495,MATCH("Case WB Box 1: E5",'CASE MASTER'!$K$2:$K$495,0)),"")</f>
        <v/>
      </c>
      <c r="G7" s="9" t="str">
        <f>IFERROR(INDEX('CASE MASTER'!$S$2:$S$495,MATCH("Case WB Box 1: E6",'CASE MASTER'!$K$2:$K$495,0)),"")</f>
        <v/>
      </c>
      <c r="H7" s="9" t="str">
        <f>IFERROR(INDEX('CASE MASTER'!$S$2:$S$495,MATCH("Case WB Box 1: E7",'CASE MASTER'!$K$2:$K$495,0)),"")</f>
        <v/>
      </c>
      <c r="I7" s="9" t="str">
        <f>IFERROR(INDEX('CASE MASTER'!$S$2:$S$495,MATCH("Case WB Box 1: E8",'CASE MASTER'!$K$2:$K$495,0)),"")</f>
        <v/>
      </c>
      <c r="J7" s="9" t="str">
        <f>IFERROR(INDEX('CASE MASTER'!$S$2:$S$495,MATCH("Case WB Box 1: E9",'CASE MASTER'!$K$2:$K$495,0)),"")</f>
        <v/>
      </c>
    </row>
    <row r="8" spans="1:10" ht="15" customHeight="1" x14ac:dyDescent="0.35">
      <c r="A8" s="8" t="s">
        <v>33</v>
      </c>
      <c r="B8" s="9" t="str">
        <f>IFERROR(INDEX('CASE MASTER'!$S$2:$S$495,MATCH("Case WB Box 1: F1",'CASE MASTER'!$K$2:$K$495,0)),"")</f>
        <v/>
      </c>
      <c r="C8" s="9" t="str">
        <f>IFERROR(INDEX('CASE MASTER'!$S$2:$S$495,MATCH("Case WB Box 1: F2",'CASE MASTER'!$K$2:$K$495,0)),"")</f>
        <v/>
      </c>
      <c r="D8" s="9" t="str">
        <f>IFERROR(INDEX('CASE MASTER'!$S$2:$S$495,MATCH("Case WB Box 1: F3",'CASE MASTER'!$K$2:$K$495,0)),"")</f>
        <v/>
      </c>
      <c r="E8" s="9" t="str">
        <f>IFERROR(INDEX('CASE MASTER'!$S$2:$S$495,MATCH("Case WB Box 1: F4",'CASE MASTER'!$K$2:$K$495,0)),"")</f>
        <v/>
      </c>
      <c r="F8" s="9" t="str">
        <f>IFERROR(INDEX('CASE MASTER'!$S$2:$S$495,MATCH("Case WB Box 1: F5",'CASE MASTER'!$K$2:$K$495,0)),"")</f>
        <v/>
      </c>
      <c r="G8" s="9" t="str">
        <f>IFERROR(INDEX('CASE MASTER'!$S$2:$S$495,MATCH("Case WB Box 1: F6",'CASE MASTER'!$K$2:$K$495,0)),"")</f>
        <v/>
      </c>
      <c r="H8" s="9" t="str">
        <f>IFERROR(INDEX('CASE MASTER'!$S$2:$S$495,MATCH("Case WB Box 1: F7",'CASE MASTER'!$K$2:$K$495,0)),"")</f>
        <v/>
      </c>
      <c r="I8" s="9" t="str">
        <f>IFERROR(INDEX('CASE MASTER'!$S$2:$S$495,MATCH("Case WB Box 1: F8",'CASE MASTER'!$K$2:$K$495,0)),"")</f>
        <v/>
      </c>
      <c r="J8" s="9" t="str">
        <f>IFERROR(INDEX('CASE MASTER'!$S$2:$S$495,MATCH("Case WB Box 1: F9",'CASE MASTER'!$K$2:$K$495,0)),"")</f>
        <v/>
      </c>
    </row>
    <row r="9" spans="1:10" ht="15" customHeight="1" x14ac:dyDescent="0.35">
      <c r="A9" s="8" t="s">
        <v>34</v>
      </c>
      <c r="B9" s="9" t="str">
        <f>IFERROR(INDEX('CASE MASTER'!$S$2:$S$495,MATCH("Case WB Box 1: G1",'CASE MASTER'!$K$2:$K$495,0)),"")</f>
        <v/>
      </c>
      <c r="C9" s="9" t="str">
        <f>IFERROR(INDEX('CASE MASTER'!$S$2:$S$495,MATCH("Case WB Box 1: G2",'CASE MASTER'!$K$2:$K$495,0)),"")</f>
        <v/>
      </c>
      <c r="D9" s="9" t="str">
        <f>IFERROR(INDEX('CASE MASTER'!$S$2:$S$495,MATCH("Case WB Box 1: G3",'CASE MASTER'!$K$2:$K$495,0)),"")</f>
        <v/>
      </c>
      <c r="E9" s="9" t="str">
        <f>IFERROR(INDEX('CASE MASTER'!$S$2:$S$495,MATCH("Case WB Box 1: G4",'CASE MASTER'!$K$2:$K$495,0)),"")</f>
        <v/>
      </c>
      <c r="F9" s="9" t="str">
        <f>IFERROR(INDEX('CASE MASTER'!$S$2:$S$495,MATCH("Case WB Box 1: G5",'CASE MASTER'!$K$2:$K$495,0)),"")</f>
        <v/>
      </c>
      <c r="G9" s="9" t="str">
        <f>IFERROR(INDEX('CASE MASTER'!$S$2:$S$495,MATCH("Case WB Box 1: G6",'CASE MASTER'!$K$2:$K$495,0)),"")</f>
        <v/>
      </c>
      <c r="H9" s="9" t="str">
        <f>IFERROR(INDEX('CASE MASTER'!$S$2:$S$495,MATCH("Case WB Box 1: G7",'CASE MASTER'!$K$2:$K$495,0)),"")</f>
        <v/>
      </c>
      <c r="I9" s="9" t="str">
        <f>IFERROR(INDEX('CASE MASTER'!$S$2:$S$495,MATCH("Case WB Box 1: G8",'CASE MASTER'!$K$2:$K$495,0)),"")</f>
        <v/>
      </c>
      <c r="J9" s="9" t="str">
        <f>IFERROR(INDEX('CASE MASTER'!$S$2:$S$495,MATCH("Case WB Box 1: G9",'CASE MASTER'!$K$2:$K$495,0)),"")</f>
        <v/>
      </c>
    </row>
    <row r="10" spans="1:10" ht="15" customHeight="1" x14ac:dyDescent="0.35">
      <c r="A10" s="8" t="s">
        <v>35</v>
      </c>
      <c r="B10" s="9" t="str">
        <f>IFERROR(INDEX('CASE MASTER'!$S$2:$S$495,MATCH("Case WB Box 1: H1",'CASE MASTER'!$K$2:$K$495,0)),"")</f>
        <v/>
      </c>
      <c r="C10" s="9" t="str">
        <f>IFERROR(INDEX('CASE MASTER'!$S$2:$S$495,MATCH("Case WB Box 1: H2",'CASE MASTER'!$K$2:$K$495,0)),"")</f>
        <v/>
      </c>
      <c r="D10" s="9" t="str">
        <f>IFERROR(INDEX('CASE MASTER'!$S$2:$S$495,MATCH("Case WB Box 1: H3",'CASE MASTER'!$K$2:$K$495,0)),"")</f>
        <v/>
      </c>
      <c r="E10" s="9" t="str">
        <f>IFERROR(INDEX('CASE MASTER'!$S$2:$S$495,MATCH("Case WB Box 1: H4",'CASE MASTER'!$K$2:$K$495,0)),"")</f>
        <v/>
      </c>
      <c r="F10" s="9" t="str">
        <f>IFERROR(INDEX('CASE MASTER'!$S$2:$S$495,MATCH("Case WB Box 1: H5",'CASE MASTER'!$K$2:$K$495,0)),"")</f>
        <v/>
      </c>
      <c r="G10" s="9" t="str">
        <f>IFERROR(INDEX('CASE MASTER'!$S$2:$S$495,MATCH("Case WB Box 1: H6",'CASE MASTER'!$K$2:$K$495,0)),"")</f>
        <v/>
      </c>
      <c r="H10" s="9" t="str">
        <f>IFERROR(INDEX('CASE MASTER'!$S$2:$S$495,MATCH("Case WB Box 1: H7",'CASE MASTER'!$K$2:$K$495,0)),"")</f>
        <v/>
      </c>
      <c r="I10" s="9" t="str">
        <f>IFERROR(INDEX('CASE MASTER'!$S$2:$S$495,MATCH("Case WB Box 1: H8",'CASE MASTER'!$K$2:$K$495,0)),"")</f>
        <v/>
      </c>
      <c r="J10" s="9" t="str">
        <f>IFERROR(INDEX('CASE MASTER'!$S$2:$S$495,MATCH("Case WB Box 1: H9",'CASE MASTER'!$K$2:$K$495,0)),"")</f>
        <v/>
      </c>
    </row>
    <row r="11" spans="1:10" ht="15" customHeight="1" x14ac:dyDescent="0.35">
      <c r="A11" s="8" t="s">
        <v>81</v>
      </c>
      <c r="B11" s="9" t="str">
        <f>IFERROR(INDEX('CASE MASTER'!$S$2:$S$495,MATCH("Case WB Box 1: I1",'CASE MASTER'!$K$2:$K$495,0)),"")</f>
        <v/>
      </c>
      <c r="C11" s="9" t="str">
        <f>IFERROR(INDEX('CASE MASTER'!$S$2:$S$495,MATCH("Case WB Box 1: I2",'CASE MASTER'!$K$2:$K$495,0)),"")</f>
        <v/>
      </c>
      <c r="D11" s="9" t="str">
        <f>IFERROR(INDEX('CASE MASTER'!$S$2:$S$495,MATCH("Case WB Box 1: I3",'CASE MASTER'!$K$2:$K$495,0)),"")</f>
        <v/>
      </c>
      <c r="E11" s="9" t="str">
        <f>IFERROR(INDEX('CASE MASTER'!$S$2:$S$495,MATCH("Case WB Box 1: I4",'CASE MASTER'!$K$2:$K$495,0)),"")</f>
        <v/>
      </c>
      <c r="F11" s="9" t="str">
        <f>IFERROR(INDEX('CASE MASTER'!$S$2:$S$495,MATCH("Case WB Box 1: I5",'CASE MASTER'!$K$2:$K$495,0)),"")</f>
        <v/>
      </c>
      <c r="G11" s="9" t="str">
        <f>IFERROR(INDEX('CASE MASTER'!$S$2:$S$495,MATCH("Case WB Box 1: I6",'CASE MASTER'!$K$2:$K$495,0)),"")</f>
        <v/>
      </c>
      <c r="H11" s="9" t="str">
        <f>IFERROR(INDEX('CASE MASTER'!$S$2:$S$495,MATCH("Case WB Box 1: I7",'CASE MASTER'!$K$2:$K$495,0)),"")</f>
        <v/>
      </c>
      <c r="I11" s="9" t="str">
        <f>IFERROR(INDEX('CASE MASTER'!$S$2:$S$495,MATCH("Case WB Box 1: I8",'CASE MASTER'!$K$2:$K$495,0)),"")</f>
        <v/>
      </c>
      <c r="J11" s="9" t="str">
        <f>IFERROR(INDEX('CASE MASTER'!$S$2:$S$495,MATCH("Case WB Box 1: I9",'CASE MASTER'!$K$2:$K$495,0)),"")</f>
        <v/>
      </c>
    </row>
    <row r="14" spans="1:10" ht="15" customHeight="1" x14ac:dyDescent="0.35">
      <c r="A14" s="12" t="s">
        <v>98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ht="15" customHeight="1" x14ac:dyDescent="0.35">
      <c r="B15" s="8">
        <v>1</v>
      </c>
      <c r="C15" s="8">
        <v>2</v>
      </c>
      <c r="D15" s="8">
        <v>3</v>
      </c>
      <c r="E15" s="8">
        <v>4</v>
      </c>
      <c r="F15" s="8">
        <v>5</v>
      </c>
      <c r="G15" s="8">
        <v>6</v>
      </c>
      <c r="H15" s="8">
        <v>7</v>
      </c>
      <c r="I15" s="8">
        <v>8</v>
      </c>
      <c r="J15" s="8">
        <v>9</v>
      </c>
    </row>
    <row r="16" spans="1:10" ht="15" customHeight="1" x14ac:dyDescent="0.35">
      <c r="A16" s="8" t="s">
        <v>28</v>
      </c>
      <c r="B16" s="9" t="str">
        <f>IFERROR(INDEX('CASE MASTER'!$S$2:$S$495,MATCH("Case WB Box 2: A1",'CASE MASTER'!$K$2:$K$495,0)),"")</f>
        <v/>
      </c>
      <c r="C16" s="9" t="str">
        <f>IFERROR(INDEX('CASE MASTER'!$S$2:$S$495,MATCH("Case WB Box 2: A2",'CASE MASTER'!$K$2:$K$495,0)),"")</f>
        <v/>
      </c>
      <c r="D16" s="9" t="str">
        <f>IFERROR(INDEX('CASE MASTER'!$S$2:$S$495,MATCH("Case WB Box 2: A3",'CASE MASTER'!$K$2:$K$495,0)),"")</f>
        <v/>
      </c>
      <c r="E16" s="9" t="str">
        <f>IFERROR(INDEX('CASE MASTER'!$S$2:$S$495,MATCH("Case WB Box 2: A4",'CASE MASTER'!$K$2:$K$495,0)),"")</f>
        <v/>
      </c>
      <c r="F16" s="9" t="str">
        <f>IFERROR(INDEX('CASE MASTER'!$S$2:$S$495,MATCH("Case WB Box 2: A5",'CASE MASTER'!$K$2:$K$495,0)),"")</f>
        <v/>
      </c>
      <c r="G16" s="9" t="str">
        <f>IFERROR(INDEX('CASE MASTER'!$S$2:$S$495,MATCH("Case WB Box 2: A6",'CASE MASTER'!$K$2:$K$495,0)),"")</f>
        <v/>
      </c>
      <c r="H16" s="9" t="str">
        <f>IFERROR(INDEX('CASE MASTER'!$S$2:$S$495,MATCH("Case WB Box 2: A7",'CASE MASTER'!$K$2:$K$495,0)),"")</f>
        <v/>
      </c>
      <c r="I16" s="9" t="str">
        <f>IFERROR(INDEX('CASE MASTER'!$S$2:$S$495,MATCH("Case WB Box 2: A8",'CASE MASTER'!$K$2:$K$495,0)),"")</f>
        <v/>
      </c>
      <c r="J16" s="9" t="str">
        <f>IFERROR(INDEX('CASE MASTER'!$S$2:$S$495,MATCH("Case WB Box 2: A9",'CASE MASTER'!$K$2:$K$495,0)),"")</f>
        <v/>
      </c>
    </row>
    <row r="17" spans="1:10" ht="15" customHeight="1" x14ac:dyDescent="0.35">
      <c r="A17" s="8" t="s">
        <v>29</v>
      </c>
      <c r="B17" s="9" t="str">
        <f>IFERROR(INDEX('CASE MASTER'!$S$2:$S$495,MATCH("Case WB Box 2: B1",'CASE MASTER'!$K$2:$K$495,0)),"")</f>
        <v/>
      </c>
      <c r="C17" s="9" t="str">
        <f>IFERROR(INDEX('CASE MASTER'!$S$2:$S$495,MATCH("Case WB Box 2: B2",'CASE MASTER'!$K$2:$K$495,0)),"")</f>
        <v/>
      </c>
      <c r="D17" s="9" t="str">
        <f>IFERROR(INDEX('CASE MASTER'!$S$2:$S$495,MATCH("Case WB Box 2: B3",'CASE MASTER'!$K$2:$K$495,0)),"")</f>
        <v/>
      </c>
      <c r="E17" s="9" t="str">
        <f>IFERROR(INDEX('CASE MASTER'!$S$2:$S$495,MATCH("Case WB Box 2: B4",'CASE MASTER'!$K$2:$K$495,0)),"")</f>
        <v/>
      </c>
      <c r="F17" s="9" t="str">
        <f>IFERROR(INDEX('CASE MASTER'!$S$2:$S$495,MATCH("Case WB Box 2: B5",'CASE MASTER'!$K$2:$K$495,0)),"")</f>
        <v/>
      </c>
      <c r="G17" s="9" t="str">
        <f>IFERROR(INDEX('CASE MASTER'!$S$2:$S$495,MATCH("Case WB Box 2: B6",'CASE MASTER'!$K$2:$K$495,0)),"")</f>
        <v/>
      </c>
      <c r="H17" s="9" t="str">
        <f>IFERROR(INDEX('CASE MASTER'!$S$2:$S$495,MATCH("Case WB Box 2: B7",'CASE MASTER'!$K$2:$K$495,0)),"")</f>
        <v/>
      </c>
      <c r="I17" s="9" t="str">
        <f>IFERROR(INDEX('CASE MASTER'!$S$2:$S$495,MATCH("Case WB Box 2: B8",'CASE MASTER'!$K$2:$K$495,0)),"")</f>
        <v/>
      </c>
      <c r="J17" s="9" t="str">
        <f>IFERROR(INDEX('CASE MASTER'!$S$2:$S$495,MATCH("Case WB Box 2: B9",'CASE MASTER'!$K$2:$K$495,0)),"")</f>
        <v/>
      </c>
    </row>
    <row r="18" spans="1:10" ht="15" customHeight="1" x14ac:dyDescent="0.35">
      <c r="A18" s="8" t="s">
        <v>30</v>
      </c>
      <c r="B18" s="9" t="str">
        <f>IFERROR(INDEX('CASE MASTER'!$S$2:$S$495,MATCH("Case WB Box 2: C1",'CASE MASTER'!$K$2:$K$495,0)),"")</f>
        <v/>
      </c>
      <c r="C18" s="9" t="str">
        <f>IFERROR(INDEX('CASE MASTER'!$S$2:$S$495,MATCH("Case WB Box 2: C2",'CASE MASTER'!$K$2:$K$495,0)),"")</f>
        <v/>
      </c>
      <c r="D18" s="9" t="str">
        <f>IFERROR(INDEX('CASE MASTER'!$S$2:$S$495,MATCH("Case WB Box 2: C3",'CASE MASTER'!$K$2:$K$495,0)),"")</f>
        <v/>
      </c>
      <c r="E18" s="9" t="str">
        <f>IFERROR(INDEX('CASE MASTER'!$S$2:$S$495,MATCH("Case WB Box 2: C4",'CASE MASTER'!$K$2:$K$495,0)),"")</f>
        <v/>
      </c>
      <c r="F18" s="9" t="str">
        <f>IFERROR(INDEX('CASE MASTER'!$S$2:$S$495,MATCH("Case WB Box 2: C5",'CASE MASTER'!$K$2:$K$495,0)),"")</f>
        <v/>
      </c>
      <c r="G18" s="9" t="str">
        <f>IFERROR(INDEX('CASE MASTER'!$S$2:$S$495,MATCH("Case WB Box 2: C6",'CASE MASTER'!$K$2:$K$495,0)),"")</f>
        <v/>
      </c>
      <c r="H18" s="9" t="str">
        <f>IFERROR(INDEX('CASE MASTER'!$S$2:$S$495,MATCH("Case WB Box 2: C7",'CASE MASTER'!$K$2:$K$495,0)),"")</f>
        <v/>
      </c>
      <c r="I18" s="9" t="str">
        <f>IFERROR(INDEX('CASE MASTER'!$S$2:$S$495,MATCH("Case WB Box 2: C8",'CASE MASTER'!$K$2:$K$495,0)),"")</f>
        <v/>
      </c>
      <c r="J18" s="9" t="str">
        <f>IFERROR(INDEX('CASE MASTER'!$S$2:$S$495,MATCH("Case WB Box 2: C9",'CASE MASTER'!$K$2:$K$495,0)),"")</f>
        <v/>
      </c>
    </row>
    <row r="19" spans="1:10" ht="15" customHeight="1" x14ac:dyDescent="0.35">
      <c r="A19" s="8" t="s">
        <v>31</v>
      </c>
      <c r="B19" s="9" t="str">
        <f>IFERROR(INDEX('CASE MASTER'!$S$2:$S$495,MATCH("Case WB Box 2: D1",'CASE MASTER'!$K$2:$K$495,0)),"")</f>
        <v/>
      </c>
      <c r="C19" s="9" t="str">
        <f>IFERROR(INDEX('CASE MASTER'!$S$2:$S$495,MATCH("Case WB Box 2: D2",'CASE MASTER'!$K$2:$K$495,0)),"")</f>
        <v/>
      </c>
      <c r="D19" s="9" t="str">
        <f>IFERROR(INDEX('CASE MASTER'!$S$2:$S$495,MATCH("Case WB Box 2: D3",'CASE MASTER'!$K$2:$K$495,0)),"")</f>
        <v/>
      </c>
      <c r="E19" s="9" t="str">
        <f>IFERROR(INDEX('CASE MASTER'!$S$2:$S$495,MATCH("Case WB Box 2: D4",'CASE MASTER'!$K$2:$K$495,0)),"")</f>
        <v/>
      </c>
      <c r="F19" s="9" t="str">
        <f>IFERROR(INDEX('CASE MASTER'!$S$2:$S$495,MATCH("Case WB Box 2: D5",'CASE MASTER'!$K$2:$K$495,0)),"")</f>
        <v/>
      </c>
      <c r="G19" s="9" t="str">
        <f>IFERROR(INDEX('CASE MASTER'!$S$2:$S$495,MATCH("Case WB Box 2: D6",'CASE MASTER'!$K$2:$K$495,0)),"")</f>
        <v/>
      </c>
      <c r="H19" s="9" t="str">
        <f>IFERROR(INDEX('CASE MASTER'!$S$2:$S$495,MATCH("Case WB Box 2: D7",'CASE MASTER'!$K$2:$K$495,0)),"")</f>
        <v/>
      </c>
      <c r="I19" s="9" t="str">
        <f>IFERROR(INDEX('CASE MASTER'!$S$2:$S$495,MATCH("Case WB Box 2: D8",'CASE MASTER'!$K$2:$K$495,0)),"")</f>
        <v/>
      </c>
      <c r="J19" s="9" t="str">
        <f>IFERROR(INDEX('CASE MASTER'!$S$2:$S$495,MATCH("Case WB Box 2: D9",'CASE MASTER'!$K$2:$K$495,0)),"")</f>
        <v/>
      </c>
    </row>
    <row r="20" spans="1:10" ht="15" customHeight="1" x14ac:dyDescent="0.35">
      <c r="A20" s="8" t="s">
        <v>32</v>
      </c>
      <c r="B20" s="9" t="str">
        <f>IFERROR(INDEX('CASE MASTER'!$S$2:$S$495,MATCH("Case WB Box 2: E1",'CASE MASTER'!$K$2:$K$495,0)),"")</f>
        <v/>
      </c>
      <c r="C20" s="9" t="str">
        <f>IFERROR(INDEX('CASE MASTER'!$S$2:$S$495,MATCH("Case WB Box 2: E2",'CASE MASTER'!$K$2:$K$495,0)),"")</f>
        <v/>
      </c>
      <c r="D20" s="9" t="str">
        <f>IFERROR(INDEX('CASE MASTER'!$S$2:$S$495,MATCH("Case WB Box 2: E3",'CASE MASTER'!$K$2:$K$495,0)),"")</f>
        <v/>
      </c>
      <c r="E20" s="9" t="str">
        <f>IFERROR(INDEX('CASE MASTER'!$S$2:$S$495,MATCH("Case WB Box 2: E4",'CASE MASTER'!$K$2:$K$495,0)),"")</f>
        <v/>
      </c>
      <c r="F20" s="9" t="str">
        <f>IFERROR(INDEX('CASE MASTER'!$S$2:$S$495,MATCH("Case WB Box 2: E5",'CASE MASTER'!$K$2:$K$495,0)),"")</f>
        <v/>
      </c>
      <c r="G20" s="9" t="str">
        <f>IFERROR(INDEX('CASE MASTER'!$S$2:$S$495,MATCH("Case WB Box 2: E6",'CASE MASTER'!$K$2:$K$495,0)),"")</f>
        <v/>
      </c>
      <c r="H20" s="9" t="str">
        <f>IFERROR(INDEX('CASE MASTER'!$S$2:$S$495,MATCH("Case WB Box 2: E7",'CASE MASTER'!$K$2:$K$495,0)),"")</f>
        <v/>
      </c>
      <c r="I20" s="9" t="str">
        <f>IFERROR(INDEX('CASE MASTER'!$S$2:$S$495,MATCH("Case WB Box 2: E8",'CASE MASTER'!$K$2:$K$495,0)),"")</f>
        <v/>
      </c>
      <c r="J20" s="9" t="str">
        <f>IFERROR(INDEX('CASE MASTER'!$S$2:$S$495,MATCH("Case WB Box 2: E9",'CASE MASTER'!$K$2:$K$495,0)),"")</f>
        <v/>
      </c>
    </row>
    <row r="21" spans="1:10" ht="15" customHeight="1" x14ac:dyDescent="0.35">
      <c r="A21" s="8" t="s">
        <v>33</v>
      </c>
      <c r="B21" s="9" t="str">
        <f>IFERROR(INDEX('CASE MASTER'!$S$2:$S$495,MATCH("Case WB Box 2: F1",'CASE MASTER'!$K$2:$K$495,0)),"")</f>
        <v/>
      </c>
      <c r="C21" s="9" t="str">
        <f>IFERROR(INDEX('CASE MASTER'!$S$2:$S$495,MATCH("Case WB Box 2: F2",'CASE MASTER'!$K$2:$K$495,0)),"")</f>
        <v/>
      </c>
      <c r="D21" s="9" t="str">
        <f>IFERROR(INDEX('CASE MASTER'!$S$2:$S$495,MATCH("Case WB Box 2: F3",'CASE MASTER'!$K$2:$K$495,0)),"")</f>
        <v/>
      </c>
      <c r="E21" s="9" t="str">
        <f>IFERROR(INDEX('CASE MASTER'!$S$2:$S$495,MATCH("Case WB Box 2: F4",'CASE MASTER'!$K$2:$K$495,0)),"")</f>
        <v/>
      </c>
      <c r="F21" s="9" t="str">
        <f>IFERROR(INDEX('CASE MASTER'!$S$2:$S$495,MATCH("Case WB Box 2: F5",'CASE MASTER'!$K$2:$K$495,0)),"")</f>
        <v/>
      </c>
      <c r="G21" s="9" t="str">
        <f>IFERROR(INDEX('CASE MASTER'!$S$2:$S$495,MATCH("Case WB Box 2: F6",'CASE MASTER'!$K$2:$K$495,0)),"")</f>
        <v/>
      </c>
      <c r="H21" s="9" t="str">
        <f>IFERROR(INDEX('CASE MASTER'!$S$2:$S$495,MATCH("Case WB Box 2: F7",'CASE MASTER'!$K$2:$K$495,0)),"")</f>
        <v/>
      </c>
      <c r="I21" s="9" t="str">
        <f>IFERROR(INDEX('CASE MASTER'!$S$2:$S$495,MATCH("Case WB Box 2: F8",'CASE MASTER'!$K$2:$K$495,0)),"")</f>
        <v/>
      </c>
      <c r="J21" s="9" t="str">
        <f>IFERROR(INDEX('CASE MASTER'!$S$2:$S$495,MATCH("Case WB Box 2: F9",'CASE MASTER'!$K$2:$K$495,0)),"")</f>
        <v/>
      </c>
    </row>
    <row r="22" spans="1:10" ht="15" customHeight="1" x14ac:dyDescent="0.35">
      <c r="A22" s="8" t="s">
        <v>34</v>
      </c>
      <c r="B22" s="9" t="str">
        <f>IFERROR(INDEX('CASE MASTER'!$S$2:$S$495,MATCH("Case WB Box 2: G1",'CASE MASTER'!$K$2:$K$495,0)),"")</f>
        <v/>
      </c>
      <c r="C22" s="9" t="str">
        <f>IFERROR(INDEX('CASE MASTER'!$S$2:$S$495,MATCH("Case WB Box 2: G2",'CASE MASTER'!$K$2:$K$495,0)),"")</f>
        <v/>
      </c>
      <c r="D22" s="9" t="str">
        <f>IFERROR(INDEX('CASE MASTER'!$S$2:$S$495,MATCH("Case WB Box 2: G3",'CASE MASTER'!$K$2:$K$495,0)),"")</f>
        <v/>
      </c>
      <c r="E22" s="9" t="str">
        <f>IFERROR(INDEX('CASE MASTER'!$S$2:$S$495,MATCH("Case WB Box 2: G4",'CASE MASTER'!$K$2:$K$495,0)),"")</f>
        <v/>
      </c>
      <c r="F22" s="9" t="str">
        <f>IFERROR(INDEX('CASE MASTER'!$S$2:$S$495,MATCH("Case WB Box 2: G5",'CASE MASTER'!$K$2:$K$495,0)),"")</f>
        <v/>
      </c>
      <c r="G22" s="9" t="str">
        <f>IFERROR(INDEX('CASE MASTER'!$S$2:$S$495,MATCH("Case WB Box 2: G6",'CASE MASTER'!$K$2:$K$495,0)),"")</f>
        <v/>
      </c>
      <c r="H22" s="9" t="str">
        <f>IFERROR(INDEX('CASE MASTER'!$S$2:$S$495,MATCH("Case WB Box 2: G7",'CASE MASTER'!$K$2:$K$495,0)),"")</f>
        <v/>
      </c>
      <c r="I22" s="9" t="str">
        <f>IFERROR(INDEX('CASE MASTER'!$S$2:$S$495,MATCH("Case WB Box 2: G8",'CASE MASTER'!$K$2:$K$495,0)),"")</f>
        <v/>
      </c>
      <c r="J22" s="9" t="str">
        <f>IFERROR(INDEX('CASE MASTER'!$S$2:$S$495,MATCH("Case WB Box 2: G9",'CASE MASTER'!$K$2:$K$495,0)),"")</f>
        <v/>
      </c>
    </row>
    <row r="23" spans="1:10" ht="15" customHeight="1" x14ac:dyDescent="0.35">
      <c r="A23" s="8" t="s">
        <v>35</v>
      </c>
      <c r="B23" s="9" t="str">
        <f>IFERROR(INDEX('CASE MASTER'!$S$2:$S$495,MATCH("Case WB Box 2: H1",'CASE MASTER'!$K$2:$K$495,0)),"")</f>
        <v/>
      </c>
      <c r="C23" s="9" t="str">
        <f>IFERROR(INDEX('CASE MASTER'!$S$2:$S$495,MATCH("Case WB Box 2: H2",'CASE MASTER'!$K$2:$K$495,0)),"")</f>
        <v/>
      </c>
      <c r="D23" s="9" t="str">
        <f>IFERROR(INDEX('CASE MASTER'!$S$2:$S$495,MATCH("Case WB Box 2: H3",'CASE MASTER'!$K$2:$K$495,0)),"")</f>
        <v/>
      </c>
      <c r="E23" s="9" t="str">
        <f>IFERROR(INDEX('CASE MASTER'!$S$2:$S$495,MATCH("Case WB Box 2: H4",'CASE MASTER'!$K$2:$K$495,0)),"")</f>
        <v/>
      </c>
      <c r="F23" s="9" t="str">
        <f>IFERROR(INDEX('CASE MASTER'!$S$2:$S$495,MATCH("Case WB Box 2: H5",'CASE MASTER'!$K$2:$K$495,0)),"")</f>
        <v/>
      </c>
      <c r="G23" s="9" t="str">
        <f>IFERROR(INDEX('CASE MASTER'!$S$2:$S$495,MATCH("Case WB Box 2: H6",'CASE MASTER'!$K$2:$K$495,0)),"")</f>
        <v/>
      </c>
      <c r="H23" s="9" t="str">
        <f>IFERROR(INDEX('CASE MASTER'!$S$2:$S$495,MATCH("Case WB Box 2: H7",'CASE MASTER'!$K$2:$K$495,0)),"")</f>
        <v/>
      </c>
      <c r="I23" s="9" t="str">
        <f>IFERROR(INDEX('CASE MASTER'!$S$2:$S$495,MATCH("Case WB Box 2: H8",'CASE MASTER'!$K$2:$K$495,0)),"")</f>
        <v/>
      </c>
      <c r="J23" s="9" t="str">
        <f>IFERROR(INDEX('CASE MASTER'!$S$2:$S$495,MATCH("Case WB Box 2: H9",'CASE MASTER'!$K$2:$K$495,0)),"")</f>
        <v/>
      </c>
    </row>
    <row r="24" spans="1:10" ht="15" customHeight="1" x14ac:dyDescent="0.35">
      <c r="A24" s="8" t="s">
        <v>81</v>
      </c>
      <c r="B24" s="9" t="str">
        <f>IFERROR(INDEX('CASE MASTER'!$S$2:$S$495,MATCH("Case WB Box 2: I1",'CASE MASTER'!$K$2:$K$495,0)),"")</f>
        <v/>
      </c>
      <c r="C24" s="9" t="str">
        <f>IFERROR(INDEX('CASE MASTER'!$S$2:$S$495,MATCH("Case WB Box 2: I2",'CASE MASTER'!$K$2:$K$495,0)),"")</f>
        <v/>
      </c>
      <c r="D24" s="9" t="str">
        <f>IFERROR(INDEX('CASE MASTER'!$S$2:$S$495,MATCH("Case WB Box 2: I3",'CASE MASTER'!$K$2:$K$495,0)),"")</f>
        <v/>
      </c>
      <c r="E24" s="9" t="str">
        <f>IFERROR(INDEX('CASE MASTER'!$S$2:$S$495,MATCH("Case WB Box 2: I4",'CASE MASTER'!$K$2:$K$495,0)),"")</f>
        <v/>
      </c>
      <c r="F24" s="9" t="str">
        <f>IFERROR(INDEX('CASE MASTER'!$S$2:$S$495,MATCH("Case WB Box 2: I5",'CASE MASTER'!$K$2:$K$495,0)),"")</f>
        <v/>
      </c>
      <c r="G24" s="9" t="str">
        <f>IFERROR(INDEX('CASE MASTER'!$S$2:$S$495,MATCH("Case WB Box 2: I6",'CASE MASTER'!$K$2:$K$495,0)),"")</f>
        <v/>
      </c>
      <c r="H24" s="9" t="str">
        <f>IFERROR(INDEX('CASE MASTER'!$S$2:$S$495,MATCH("Case WB Box 2: I7",'CASE MASTER'!$K$2:$K$495,0)),"")</f>
        <v/>
      </c>
      <c r="I24" s="9" t="str">
        <f>IFERROR(INDEX('CASE MASTER'!$S$2:$S$495,MATCH("Case WB Box 2: I8",'CASE MASTER'!$K$2:$K$495,0)),"")</f>
        <v/>
      </c>
      <c r="J24" s="9" t="str">
        <f>IFERROR(INDEX('CASE MASTER'!$S$2:$S$495,MATCH("Case WB Box 2: I9",'CASE MASTER'!$K$2:$K$495,0)),"")</f>
        <v/>
      </c>
    </row>
    <row r="27" spans="1:10" ht="15" customHeight="1" x14ac:dyDescent="0.35">
      <c r="A27" s="12" t="s">
        <v>99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ht="15" customHeight="1" x14ac:dyDescent="0.35">
      <c r="B28" s="8">
        <v>1</v>
      </c>
      <c r="C28" s="8">
        <v>2</v>
      </c>
      <c r="D28" s="8">
        <v>3</v>
      </c>
      <c r="E28" s="8">
        <v>4</v>
      </c>
      <c r="F28" s="8">
        <v>5</v>
      </c>
      <c r="G28" s="8">
        <v>6</v>
      </c>
      <c r="H28" s="8">
        <v>7</v>
      </c>
      <c r="I28" s="8">
        <v>8</v>
      </c>
      <c r="J28" s="8">
        <v>9</v>
      </c>
    </row>
    <row r="29" spans="1:10" ht="15" customHeight="1" x14ac:dyDescent="0.35">
      <c r="A29" s="8" t="s">
        <v>28</v>
      </c>
      <c r="B29" s="9" t="str">
        <f>IFERROR(INDEX('CASE MASTER'!$S$2:$S$495,MATCH("Case WB Box 3: A1",'CASE MASTER'!$K$2:$K$495,0)),"")</f>
        <v/>
      </c>
      <c r="C29" s="9" t="str">
        <f>IFERROR(INDEX('CASE MASTER'!$S$2:$S$495,MATCH("Case WB Box 3: A2",'CASE MASTER'!$K$2:$K$495,0)),"")</f>
        <v/>
      </c>
      <c r="D29" s="9" t="str">
        <f>IFERROR(INDEX('CASE MASTER'!$S$2:$S$495,MATCH("Case WB Box 3: A3",'CASE MASTER'!$K$2:$K$495,0)),"")</f>
        <v/>
      </c>
      <c r="E29" s="9" t="str">
        <f>IFERROR(INDEX('CASE MASTER'!$S$2:$S$495,MATCH("Case WB Box 3: A4",'CASE MASTER'!$K$2:$K$495,0)),"")</f>
        <v/>
      </c>
      <c r="F29" s="9" t="str">
        <f>IFERROR(INDEX('CASE MASTER'!$S$2:$S$495,MATCH("Case WB Box 3: A5",'CASE MASTER'!$K$2:$K$495,0)),"")</f>
        <v/>
      </c>
      <c r="G29" s="9" t="str">
        <f>IFERROR(INDEX('CASE MASTER'!$S$2:$S$495,MATCH("Case WB Box 3: A6",'CASE MASTER'!$K$2:$K$495,0)),"")</f>
        <v/>
      </c>
      <c r="H29" s="9" t="str">
        <f>IFERROR(INDEX('CASE MASTER'!$S$2:$S$495,MATCH("Case WB Box 3: A7",'CASE MASTER'!$K$2:$K$495,0)),"")</f>
        <v/>
      </c>
      <c r="I29" s="9" t="str">
        <f>IFERROR(INDEX('CASE MASTER'!$S$2:$S$495,MATCH("Case WB Box 3: A8",'CASE MASTER'!$K$2:$K$495,0)),"")</f>
        <v/>
      </c>
      <c r="J29" s="9" t="str">
        <f>IFERROR(INDEX('CASE MASTER'!$S$2:$S$495,MATCH("Case WB Box 3: A9",'CASE MASTER'!$K$2:$K$495,0)),"")</f>
        <v/>
      </c>
    </row>
    <row r="30" spans="1:10" ht="15" customHeight="1" x14ac:dyDescent="0.35">
      <c r="A30" s="8" t="s">
        <v>29</v>
      </c>
      <c r="B30" s="9" t="str">
        <f>IFERROR(INDEX('CASE MASTER'!$S$2:$S$495,MATCH("Case WB Box 3: B1",'CASE MASTER'!$K$2:$K$495,0)),"")</f>
        <v/>
      </c>
      <c r="C30" s="9" t="str">
        <f>IFERROR(INDEX('CASE MASTER'!$S$2:$S$495,MATCH("Case WB Box 3: B2",'CASE MASTER'!$K$2:$K$495,0)),"")</f>
        <v/>
      </c>
      <c r="D30" s="9" t="str">
        <f>IFERROR(INDEX('CASE MASTER'!$S$2:$S$495,MATCH("Case WB Box 3: B3",'CASE MASTER'!$K$2:$K$495,0)),"")</f>
        <v/>
      </c>
      <c r="E30" s="9" t="str">
        <f>IFERROR(INDEX('CASE MASTER'!$S$2:$S$495,MATCH("Case WB Box 3: B4",'CASE MASTER'!$K$2:$K$495,0)),"")</f>
        <v/>
      </c>
      <c r="F30" s="9" t="str">
        <f>IFERROR(INDEX('CASE MASTER'!$S$2:$S$495,MATCH("Case WB Box 3: B5",'CASE MASTER'!$K$2:$K$495,0)),"")</f>
        <v/>
      </c>
      <c r="G30" s="9" t="str">
        <f>IFERROR(INDEX('CASE MASTER'!$S$2:$S$495,MATCH("Case WB Box 3: B6",'CASE MASTER'!$K$2:$K$495,0)),"")</f>
        <v/>
      </c>
      <c r="H30" s="9" t="str">
        <f>IFERROR(INDEX('CASE MASTER'!$S$2:$S$495,MATCH("Case WB Box 3: B7",'CASE MASTER'!$K$2:$K$495,0)),"")</f>
        <v/>
      </c>
      <c r="I30" s="9" t="str">
        <f>IFERROR(INDEX('CASE MASTER'!$S$2:$S$495,MATCH("Case WB Box 3: B8",'CASE MASTER'!$K$2:$K$495,0)),"")</f>
        <v/>
      </c>
      <c r="J30" s="9" t="str">
        <f>IFERROR(INDEX('CASE MASTER'!$S$2:$S$495,MATCH("Case WB Box 3: B9",'CASE MASTER'!$K$2:$K$495,0)),"")</f>
        <v/>
      </c>
    </row>
    <row r="31" spans="1:10" ht="15" customHeight="1" x14ac:dyDescent="0.35">
      <c r="A31" s="8" t="s">
        <v>30</v>
      </c>
      <c r="B31" s="9" t="str">
        <f>IFERROR(INDEX('CASE MASTER'!$S$2:$S$495,MATCH("Case WB Box 3: C1",'CASE MASTER'!$K$2:$K$495,0)),"")</f>
        <v/>
      </c>
      <c r="C31" s="9" t="str">
        <f>IFERROR(INDEX('CASE MASTER'!$S$2:$S$495,MATCH("Case WB Box 3: C2",'CASE MASTER'!$K$2:$K$495,0)),"")</f>
        <v/>
      </c>
      <c r="D31" s="9" t="str">
        <f>IFERROR(INDEX('CASE MASTER'!$S$2:$S$495,MATCH("Case WB Box 3: C3",'CASE MASTER'!$K$2:$K$495,0)),"")</f>
        <v/>
      </c>
      <c r="E31" s="9" t="str">
        <f>IFERROR(INDEX('CASE MASTER'!$S$2:$S$495,MATCH("Case WB Box 3: C4",'CASE MASTER'!$K$2:$K$495,0)),"")</f>
        <v/>
      </c>
      <c r="F31" s="9" t="str">
        <f>IFERROR(INDEX('CASE MASTER'!$S$2:$S$495,MATCH("Case WB Box 3: C5",'CASE MASTER'!$K$2:$K$495,0)),"")</f>
        <v/>
      </c>
      <c r="G31" s="9" t="str">
        <f>IFERROR(INDEX('CASE MASTER'!$S$2:$S$495,MATCH("Case WB Box 3: C6",'CASE MASTER'!$K$2:$K$495,0)),"")</f>
        <v/>
      </c>
      <c r="H31" s="9" t="str">
        <f>IFERROR(INDEX('CASE MASTER'!$S$2:$S$495,MATCH("Case WB Box 3: C7",'CASE MASTER'!$K$2:$K$495,0)),"")</f>
        <v/>
      </c>
      <c r="I31" s="9" t="str">
        <f>IFERROR(INDEX('CASE MASTER'!$S$2:$S$495,MATCH("Case WB Box 3: C8",'CASE MASTER'!$K$2:$K$495,0)),"")</f>
        <v/>
      </c>
      <c r="J31" s="9" t="str">
        <f>IFERROR(INDEX('CASE MASTER'!$S$2:$S$495,MATCH("Case WB Box 3: C9",'CASE MASTER'!$K$2:$K$495,0)),"")</f>
        <v/>
      </c>
    </row>
    <row r="32" spans="1:10" ht="15" customHeight="1" x14ac:dyDescent="0.35">
      <c r="A32" s="8" t="s">
        <v>31</v>
      </c>
      <c r="B32" s="9" t="str">
        <f>IFERROR(INDEX('CASE MASTER'!$S$2:$S$495,MATCH("Case WB Box 3: D1",'CASE MASTER'!$K$2:$K$495,0)),"")</f>
        <v/>
      </c>
      <c r="C32" s="9" t="str">
        <f>IFERROR(INDEX('CASE MASTER'!$S$2:$S$495,MATCH("Case WB Box 3: D2",'CASE MASTER'!$K$2:$K$495,0)),"")</f>
        <v/>
      </c>
      <c r="D32" s="9" t="str">
        <f>IFERROR(INDEX('CASE MASTER'!$S$2:$S$495,MATCH("Case WB Box 3: D3",'CASE MASTER'!$K$2:$K$495,0)),"")</f>
        <v/>
      </c>
      <c r="E32" s="9" t="str">
        <f>IFERROR(INDEX('CASE MASTER'!$S$2:$S$495,MATCH("Case WB Box 3: D4",'CASE MASTER'!$K$2:$K$495,0)),"")</f>
        <v/>
      </c>
      <c r="F32" s="9" t="str">
        <f>IFERROR(INDEX('CASE MASTER'!$S$2:$S$495,MATCH("Case WB Box 3: D5",'CASE MASTER'!$K$2:$K$495,0)),"")</f>
        <v/>
      </c>
      <c r="G32" s="9" t="str">
        <f>IFERROR(INDEX('CASE MASTER'!$S$2:$S$495,MATCH("Case WB Box 3: D6",'CASE MASTER'!$K$2:$K$495,0)),"")</f>
        <v/>
      </c>
      <c r="H32" s="9" t="str">
        <f>IFERROR(INDEX('CASE MASTER'!$S$2:$S$495,MATCH("Case WB Box 3: D7",'CASE MASTER'!$K$2:$K$495,0)),"")</f>
        <v/>
      </c>
      <c r="I32" s="9" t="str">
        <f>IFERROR(INDEX('CASE MASTER'!$S$2:$S$495,MATCH("Case WB Box 3: D8",'CASE MASTER'!$K$2:$K$495,0)),"")</f>
        <v/>
      </c>
      <c r="J32" s="9" t="str">
        <f>IFERROR(INDEX('CASE MASTER'!$S$2:$S$495,MATCH("Case WB Box 3: D9",'CASE MASTER'!$K$2:$K$495,0)),"")</f>
        <v/>
      </c>
    </row>
    <row r="33" spans="1:10" ht="15" customHeight="1" x14ac:dyDescent="0.35">
      <c r="A33" s="8" t="s">
        <v>32</v>
      </c>
      <c r="B33" s="9" t="str">
        <f>IFERROR(INDEX('CASE MASTER'!$S$2:$S$495,MATCH("Case WB Box 3: E1",'CASE MASTER'!$K$2:$K$495,0)),"")</f>
        <v/>
      </c>
      <c r="C33" s="9" t="str">
        <f>IFERROR(INDEX('CASE MASTER'!$S$2:$S$495,MATCH("Case WB Box 3: E2",'CASE MASTER'!$K$2:$K$495,0)),"")</f>
        <v/>
      </c>
      <c r="D33" s="9" t="str">
        <f>IFERROR(INDEX('CASE MASTER'!$S$2:$S$495,MATCH("Case WB Box 3: E3",'CASE MASTER'!$K$2:$K$495,0)),"")</f>
        <v/>
      </c>
      <c r="E33" s="9" t="str">
        <f>IFERROR(INDEX('CASE MASTER'!$S$2:$S$495,MATCH("Case WB Box 3: E4",'CASE MASTER'!$K$2:$K$495,0)),"")</f>
        <v/>
      </c>
      <c r="F33" s="9" t="str">
        <f>IFERROR(INDEX('CASE MASTER'!$S$2:$S$495,MATCH("Case WB Box 3: E5",'CASE MASTER'!$K$2:$K$495,0)),"")</f>
        <v/>
      </c>
      <c r="G33" s="9" t="str">
        <f>IFERROR(INDEX('CASE MASTER'!$S$2:$S$495,MATCH("Case WB Box 3: E6",'CASE MASTER'!$K$2:$K$495,0)),"")</f>
        <v/>
      </c>
      <c r="H33" s="9" t="str">
        <f>IFERROR(INDEX('CASE MASTER'!$S$2:$S$495,MATCH("Case WB Box 3: E7",'CASE MASTER'!$K$2:$K$495,0)),"")</f>
        <v/>
      </c>
      <c r="I33" s="9" t="str">
        <f>IFERROR(INDEX('CASE MASTER'!$S$2:$S$495,MATCH("Case WB Box 3: E8",'CASE MASTER'!$K$2:$K$495,0)),"")</f>
        <v/>
      </c>
      <c r="J33" s="9" t="str">
        <f>IFERROR(INDEX('CASE MASTER'!$S$2:$S$495,MATCH("Case WB Box 3: E9",'CASE MASTER'!$K$2:$K$495,0)),"")</f>
        <v/>
      </c>
    </row>
    <row r="34" spans="1:10" ht="15" customHeight="1" x14ac:dyDescent="0.35">
      <c r="A34" s="8" t="s">
        <v>33</v>
      </c>
      <c r="B34" s="9" t="str">
        <f>IFERROR(INDEX('CASE MASTER'!$S$2:$S$495,MATCH("Case WB Box 3: F1",'CASE MASTER'!$K$2:$K$495,0)),"")</f>
        <v/>
      </c>
      <c r="C34" s="9" t="str">
        <f>IFERROR(INDEX('CASE MASTER'!$S$2:$S$495,MATCH("Case WB Box 3: F2",'CASE MASTER'!$K$2:$K$495,0)),"")</f>
        <v/>
      </c>
      <c r="D34" s="9" t="str">
        <f>IFERROR(INDEX('CASE MASTER'!$S$2:$S$495,MATCH("Case WB Box 3: F3",'CASE MASTER'!$K$2:$K$495,0)),"")</f>
        <v/>
      </c>
      <c r="E34" s="9" t="str">
        <f>IFERROR(INDEX('CASE MASTER'!$S$2:$S$495,MATCH("Case WB Box 3: F4",'CASE MASTER'!$K$2:$K$495,0)),"")</f>
        <v/>
      </c>
      <c r="F34" s="9" t="str">
        <f>IFERROR(INDEX('CASE MASTER'!$S$2:$S$495,MATCH("Case WB Box 3: F5",'CASE MASTER'!$K$2:$K$495,0)),"")</f>
        <v/>
      </c>
      <c r="G34" s="9" t="str">
        <f>IFERROR(INDEX('CASE MASTER'!$S$2:$S$495,MATCH("Case WB Box 3: F6",'CASE MASTER'!$K$2:$K$495,0)),"")</f>
        <v/>
      </c>
      <c r="H34" s="9" t="str">
        <f>IFERROR(INDEX('CASE MASTER'!$S$2:$S$495,MATCH("Case WB Box 3: F7",'CASE MASTER'!$K$2:$K$495,0)),"")</f>
        <v/>
      </c>
      <c r="I34" s="9" t="str">
        <f>IFERROR(INDEX('CASE MASTER'!$S$2:$S$495,MATCH("Case WB Box 3: F8",'CASE MASTER'!$K$2:$K$495,0)),"")</f>
        <v/>
      </c>
      <c r="J34" s="9" t="str">
        <f>IFERROR(INDEX('CASE MASTER'!$S$2:$S$495,MATCH("Case WB Box 3: F9",'CASE MASTER'!$K$2:$K$495,0)),"")</f>
        <v/>
      </c>
    </row>
    <row r="35" spans="1:10" ht="15" customHeight="1" x14ac:dyDescent="0.35">
      <c r="A35" s="8" t="s">
        <v>34</v>
      </c>
      <c r="B35" s="9" t="str">
        <f>IFERROR(INDEX('CASE MASTER'!$S$2:$S$495,MATCH("Case WB Box 3: G1",'CASE MASTER'!$K$2:$K$495,0)),"")</f>
        <v/>
      </c>
      <c r="C35" s="9" t="str">
        <f>IFERROR(INDEX('CASE MASTER'!$S$2:$S$495,MATCH("Case WB Box 3: G2",'CASE MASTER'!$K$2:$K$495,0)),"")</f>
        <v/>
      </c>
      <c r="D35" s="9" t="str">
        <f>IFERROR(INDEX('CASE MASTER'!$S$2:$S$495,MATCH("Case WB Box 3: G3",'CASE MASTER'!$K$2:$K$495,0)),"")</f>
        <v/>
      </c>
      <c r="E35" s="9" t="str">
        <f>IFERROR(INDEX('CASE MASTER'!$S$2:$S$495,MATCH("Case WB Box 3: G4",'CASE MASTER'!$K$2:$K$495,0)),"")</f>
        <v/>
      </c>
      <c r="F35" s="9" t="str">
        <f>IFERROR(INDEX('CASE MASTER'!$S$2:$S$495,MATCH("Case WB Box 3: G5",'CASE MASTER'!$K$2:$K$495,0)),"")</f>
        <v/>
      </c>
      <c r="G35" s="9" t="str">
        <f>IFERROR(INDEX('CASE MASTER'!$S$2:$S$495,MATCH("Case WB Box 3: G6",'CASE MASTER'!$K$2:$K$495,0)),"")</f>
        <v/>
      </c>
      <c r="H35" s="9" t="str">
        <f>IFERROR(INDEX('CASE MASTER'!$S$2:$S$495,MATCH("Case WB Box 3: G7",'CASE MASTER'!$K$2:$K$495,0)),"")</f>
        <v/>
      </c>
      <c r="I35" s="9" t="str">
        <f>IFERROR(INDEX('CASE MASTER'!$S$2:$S$495,MATCH("Case WB Box 3: G8",'CASE MASTER'!$K$2:$K$495,0)),"")</f>
        <v/>
      </c>
      <c r="J35" s="9" t="str">
        <f>IFERROR(INDEX('CASE MASTER'!$S$2:$S$495,MATCH("Case WB Box 3: G9",'CASE MASTER'!$K$2:$K$495,0)),"")</f>
        <v/>
      </c>
    </row>
    <row r="36" spans="1:10" ht="15" customHeight="1" x14ac:dyDescent="0.35">
      <c r="A36" s="8" t="s">
        <v>35</v>
      </c>
      <c r="B36" s="9" t="str">
        <f>IFERROR(INDEX('CASE MASTER'!$S$2:$S$495,MATCH("Case WB Box 3: H1",'CASE MASTER'!$K$2:$K$495,0)),"")</f>
        <v/>
      </c>
      <c r="C36" s="9" t="str">
        <f>IFERROR(INDEX('CASE MASTER'!$S$2:$S$495,MATCH("Case WB Box 3: H2",'CASE MASTER'!$K$2:$K$495,0)),"")</f>
        <v/>
      </c>
      <c r="D36" s="9" t="str">
        <f>IFERROR(INDEX('CASE MASTER'!$S$2:$S$495,MATCH("Case WB Box 3: H3",'CASE MASTER'!$K$2:$K$495,0)),"")</f>
        <v/>
      </c>
      <c r="E36" s="9" t="str">
        <f>IFERROR(INDEX('CASE MASTER'!$S$2:$S$495,MATCH("Case WB Box 3: H4",'CASE MASTER'!$K$2:$K$495,0)),"")</f>
        <v/>
      </c>
      <c r="F36" s="9" t="str">
        <f>IFERROR(INDEX('CASE MASTER'!$S$2:$S$495,MATCH("Case WB Box 3: H5",'CASE MASTER'!$K$2:$K$495,0)),"")</f>
        <v/>
      </c>
      <c r="G36" s="9" t="str">
        <f>IFERROR(INDEX('CASE MASTER'!$S$2:$S$495,MATCH("Case WB Box 3: H6",'CASE MASTER'!$K$2:$K$495,0)),"")</f>
        <v/>
      </c>
      <c r="H36" s="9" t="str">
        <f>IFERROR(INDEX('CASE MASTER'!$S$2:$S$495,MATCH("Case WB Box 3: H7",'CASE MASTER'!$K$2:$K$495,0)),"")</f>
        <v/>
      </c>
      <c r="I36" s="9" t="str">
        <f>IFERROR(INDEX('CASE MASTER'!$S$2:$S$495,MATCH("Case WB Box 3: H8",'CASE MASTER'!$K$2:$K$495,0)),"")</f>
        <v/>
      </c>
      <c r="J36" s="9" t="str">
        <f>IFERROR(INDEX('CASE MASTER'!$S$2:$S$495,MATCH("Case WB Box 3: H9",'CASE MASTER'!$K$2:$K$495,0)),"")</f>
        <v/>
      </c>
    </row>
    <row r="37" spans="1:10" ht="15" customHeight="1" x14ac:dyDescent="0.35">
      <c r="A37" s="8" t="s">
        <v>81</v>
      </c>
      <c r="B37" s="9" t="str">
        <f>IFERROR(INDEX('CASE MASTER'!$S$2:$S$495,MATCH("Case WB Box 3: I1",'CASE MASTER'!$K$2:$K$495,0)),"")</f>
        <v/>
      </c>
      <c r="C37" s="9" t="str">
        <f>IFERROR(INDEX('CASE MASTER'!$S$2:$S$495,MATCH("Case WB Box 3: I2",'CASE MASTER'!$K$2:$K$495,0)),"")</f>
        <v/>
      </c>
      <c r="D37" s="9" t="str">
        <f>IFERROR(INDEX('CASE MASTER'!$S$2:$S$495,MATCH("Case WB Box 3: I3",'CASE MASTER'!$K$2:$K$495,0)),"")</f>
        <v/>
      </c>
      <c r="E37" s="9" t="str">
        <f>IFERROR(INDEX('CASE MASTER'!$S$2:$S$495,MATCH("Case WB Box 3: I4",'CASE MASTER'!$K$2:$K$495,0)),"")</f>
        <v/>
      </c>
      <c r="F37" s="9" t="str">
        <f>IFERROR(INDEX('CASE MASTER'!$S$2:$S$495,MATCH("Case WB Box 3: I5",'CASE MASTER'!$K$2:$K$495,0)),"")</f>
        <v/>
      </c>
      <c r="G37" s="9" t="str">
        <f>IFERROR(INDEX('CASE MASTER'!$S$2:$S$495,MATCH("Case WB Box 3: I6",'CASE MASTER'!$K$2:$K$495,0)),"")</f>
        <v/>
      </c>
      <c r="H37" s="9" t="str">
        <f>IFERROR(INDEX('CASE MASTER'!$S$2:$S$495,MATCH("Case WB Box 3: I7",'CASE MASTER'!$K$2:$K$495,0)),"")</f>
        <v/>
      </c>
      <c r="I37" s="9" t="str">
        <f>IFERROR(INDEX('CASE MASTER'!$S$2:$S$495,MATCH("Case WB Box 3: I8",'CASE MASTER'!$K$2:$K$495,0)),"")</f>
        <v/>
      </c>
      <c r="J37" s="9" t="str">
        <f>IFERROR(INDEX('CASE MASTER'!$S$2:$S$495,MATCH("Case WB Box 3: I9",'CASE MASTER'!$K$2:$K$495,0)),"")</f>
        <v/>
      </c>
    </row>
    <row r="40" spans="1:10" ht="15" customHeight="1" x14ac:dyDescent="0.35">
      <c r="A40" s="12" t="s">
        <v>100</v>
      </c>
      <c r="B40" s="13"/>
      <c r="C40" s="13"/>
      <c r="D40" s="13"/>
      <c r="E40" s="13"/>
      <c r="F40" s="13"/>
      <c r="G40" s="13"/>
      <c r="H40" s="13"/>
      <c r="I40" s="13"/>
      <c r="J40" s="13"/>
    </row>
    <row r="41" spans="1:10" ht="15" customHeight="1" x14ac:dyDescent="0.35">
      <c r="B41" s="8">
        <v>1</v>
      </c>
      <c r="C41" s="8">
        <v>2</v>
      </c>
      <c r="D41" s="8">
        <v>3</v>
      </c>
      <c r="E41" s="8">
        <v>4</v>
      </c>
      <c r="F41" s="8">
        <v>5</v>
      </c>
      <c r="G41" s="8">
        <v>6</v>
      </c>
      <c r="H41" s="8">
        <v>7</v>
      </c>
      <c r="I41" s="8">
        <v>8</v>
      </c>
      <c r="J41" s="8">
        <v>9</v>
      </c>
    </row>
    <row r="42" spans="1:10" ht="15" customHeight="1" x14ac:dyDescent="0.35">
      <c r="A42" s="8" t="s">
        <v>28</v>
      </c>
      <c r="B42" s="9" t="str">
        <f>IFERROR(INDEX('CASE MASTER'!$S$2:$S$495,MATCH("Case WB Box 4: A1",'CASE MASTER'!$K$2:$K$495,0)),"")</f>
        <v/>
      </c>
      <c r="C42" s="9" t="str">
        <f>IFERROR(INDEX('CASE MASTER'!$S$2:$S$495,MATCH("Case WB Box 4: A2",'CASE MASTER'!$K$2:$K$495,0)),"")</f>
        <v/>
      </c>
      <c r="D42" s="9" t="str">
        <f>IFERROR(INDEX('CASE MASTER'!$S$2:$S$495,MATCH("Case WB Box 4: A3",'CASE MASTER'!$K$2:$K$495,0)),"")</f>
        <v/>
      </c>
      <c r="E42" s="9" t="str">
        <f>IFERROR(INDEX('CASE MASTER'!$S$2:$S$495,MATCH("Case WB Box 4: A4",'CASE MASTER'!$K$2:$K$495,0)),"")</f>
        <v/>
      </c>
      <c r="F42" s="9" t="str">
        <f>IFERROR(INDEX('CASE MASTER'!$S$2:$S$495,MATCH("Case WB Box 4: A5",'CASE MASTER'!$K$2:$K$495,0)),"")</f>
        <v/>
      </c>
      <c r="G42" s="9" t="str">
        <f>IFERROR(INDEX('CASE MASTER'!$S$2:$S$495,MATCH("Case WB Box 4: A6",'CASE MASTER'!$K$2:$K$495,0)),"")</f>
        <v/>
      </c>
      <c r="H42" s="9" t="str">
        <f>IFERROR(INDEX('CASE MASTER'!$S$2:$S$495,MATCH("Case WB Box 4: A7",'CASE MASTER'!$K$2:$K$495,0)),"")</f>
        <v/>
      </c>
      <c r="I42" s="9" t="str">
        <f>IFERROR(INDEX('CASE MASTER'!$S$2:$S$495,MATCH("Case WB Box 4: A8",'CASE MASTER'!$K$2:$K$495,0)),"")</f>
        <v/>
      </c>
      <c r="J42" s="9" t="str">
        <f>IFERROR(INDEX('CASE MASTER'!$S$2:$S$495,MATCH("Case WB Box 4: A9",'CASE MASTER'!$K$2:$K$495,0)),"")</f>
        <v/>
      </c>
    </row>
    <row r="43" spans="1:10" ht="15" customHeight="1" x14ac:dyDescent="0.35">
      <c r="A43" s="8" t="s">
        <v>29</v>
      </c>
      <c r="B43" s="9" t="str">
        <f>IFERROR(INDEX('CASE MASTER'!$S$2:$S$495,MATCH("Case WB Box 4: B1",'CASE MASTER'!$K$2:$K$495,0)),"")</f>
        <v/>
      </c>
      <c r="C43" s="9" t="str">
        <f>IFERROR(INDEX('CASE MASTER'!$S$2:$S$495,MATCH("Case WB Box 4: B2",'CASE MASTER'!$K$2:$K$495,0)),"")</f>
        <v/>
      </c>
      <c r="D43" s="9" t="str">
        <f>IFERROR(INDEX('CASE MASTER'!$S$2:$S$495,MATCH("Case WB Box 4: B3",'CASE MASTER'!$K$2:$K$495,0)),"")</f>
        <v/>
      </c>
      <c r="E43" s="9" t="str">
        <f>IFERROR(INDEX('CASE MASTER'!$S$2:$S$495,MATCH("Case WB Box 4: B4",'CASE MASTER'!$K$2:$K$495,0)),"")</f>
        <v/>
      </c>
      <c r="F43" s="9" t="str">
        <f>IFERROR(INDEX('CASE MASTER'!$S$2:$S$495,MATCH("Case WB Box 4: B5",'CASE MASTER'!$K$2:$K$495,0)),"")</f>
        <v/>
      </c>
      <c r="G43" s="9" t="str">
        <f>IFERROR(INDEX('CASE MASTER'!$S$2:$S$495,MATCH("Case WB Box 4: B6",'CASE MASTER'!$K$2:$K$495,0)),"")</f>
        <v/>
      </c>
      <c r="H43" s="9" t="str">
        <f>IFERROR(INDEX('CASE MASTER'!$S$2:$S$495,MATCH("Case WB Box 4: B7",'CASE MASTER'!$K$2:$K$495,0)),"")</f>
        <v/>
      </c>
      <c r="I43" s="9" t="str">
        <f>IFERROR(INDEX('CASE MASTER'!$S$2:$S$495,MATCH("Case WB Box 4: B8",'CASE MASTER'!$K$2:$K$495,0)),"")</f>
        <v/>
      </c>
      <c r="J43" s="9" t="str">
        <f>IFERROR(INDEX('CASE MASTER'!$S$2:$S$495,MATCH("Case WB Box 4: B9",'CASE MASTER'!$K$2:$K$495,0)),"")</f>
        <v/>
      </c>
    </row>
    <row r="44" spans="1:10" ht="15" customHeight="1" x14ac:dyDescent="0.35">
      <c r="A44" s="8" t="s">
        <v>30</v>
      </c>
      <c r="B44" s="9" t="str">
        <f>IFERROR(INDEX('CASE MASTER'!$S$2:$S$495,MATCH("Case WB Box 4: C1",'CASE MASTER'!$K$2:$K$495,0)),"")</f>
        <v/>
      </c>
      <c r="C44" s="9" t="str">
        <f>IFERROR(INDEX('CASE MASTER'!$S$2:$S$495,MATCH("Case WB Box 4: C2",'CASE MASTER'!$K$2:$K$495,0)),"")</f>
        <v/>
      </c>
      <c r="D44" s="9" t="str">
        <f>IFERROR(INDEX('CASE MASTER'!$S$2:$S$495,MATCH("Case WB Box 4: C3",'CASE MASTER'!$K$2:$K$495,0)),"")</f>
        <v/>
      </c>
      <c r="E44" s="9" t="str">
        <f>IFERROR(INDEX('CASE MASTER'!$S$2:$S$495,MATCH("Case WB Box 4: C4",'CASE MASTER'!$K$2:$K$495,0)),"")</f>
        <v/>
      </c>
      <c r="F44" s="9" t="str">
        <f>IFERROR(INDEX('CASE MASTER'!$S$2:$S$495,MATCH("Case WB Box 4: C5",'CASE MASTER'!$K$2:$K$495,0)),"")</f>
        <v/>
      </c>
      <c r="G44" s="9" t="str">
        <f>IFERROR(INDEX('CASE MASTER'!$S$2:$S$495,MATCH("Case WB Box 4: C6",'CASE MASTER'!$K$2:$K$495,0)),"")</f>
        <v/>
      </c>
      <c r="H44" s="9" t="str">
        <f>IFERROR(INDEX('CASE MASTER'!$S$2:$S$495,MATCH("Case WB Box 4: C7",'CASE MASTER'!$K$2:$K$495,0)),"")</f>
        <v/>
      </c>
      <c r="I44" s="9" t="str">
        <f>IFERROR(INDEX('CASE MASTER'!$S$2:$S$495,MATCH("Case WB Box 4: C8",'CASE MASTER'!$K$2:$K$495,0)),"")</f>
        <v/>
      </c>
      <c r="J44" s="9" t="str">
        <f>IFERROR(INDEX('CASE MASTER'!$S$2:$S$495,MATCH("Case WB Box 4: C9",'CASE MASTER'!$K$2:$K$495,0)),"")</f>
        <v/>
      </c>
    </row>
    <row r="45" spans="1:10" ht="15" customHeight="1" x14ac:dyDescent="0.35">
      <c r="A45" s="8" t="s">
        <v>31</v>
      </c>
      <c r="B45" s="9" t="str">
        <f>IFERROR(INDEX('CASE MASTER'!$S$2:$S$495,MATCH("Case WB Box 4: D1",'CASE MASTER'!$K$2:$K$495,0)),"")</f>
        <v/>
      </c>
      <c r="C45" s="9" t="str">
        <f>IFERROR(INDEX('CASE MASTER'!$S$2:$S$495,MATCH("Case WB Box 4: D2",'CASE MASTER'!$K$2:$K$495,0)),"")</f>
        <v/>
      </c>
      <c r="D45" s="9" t="str">
        <f>IFERROR(INDEX('CASE MASTER'!$S$2:$S$495,MATCH("Case WB Box 4: D3",'CASE MASTER'!$K$2:$K$495,0)),"")</f>
        <v/>
      </c>
      <c r="E45" s="9" t="str">
        <f>IFERROR(INDEX('CASE MASTER'!$S$2:$S$495,MATCH("Case WB Box 4: D4",'CASE MASTER'!$K$2:$K$495,0)),"")</f>
        <v/>
      </c>
      <c r="F45" s="9" t="str">
        <f>IFERROR(INDEX('CASE MASTER'!$S$2:$S$495,MATCH("Case WB Box 4: D5",'CASE MASTER'!$K$2:$K$495,0)),"")</f>
        <v/>
      </c>
      <c r="G45" s="9" t="str">
        <f>IFERROR(INDEX('CASE MASTER'!$S$2:$S$495,MATCH("Case WB Box 4: D6",'CASE MASTER'!$K$2:$K$495,0)),"")</f>
        <v/>
      </c>
      <c r="H45" s="9" t="str">
        <f>IFERROR(INDEX('CASE MASTER'!$S$2:$S$495,MATCH("Case WB Box 4: D7",'CASE MASTER'!$K$2:$K$495,0)),"")</f>
        <v/>
      </c>
      <c r="I45" s="9" t="str">
        <f>IFERROR(INDEX('CASE MASTER'!$S$2:$S$495,MATCH("Case WB Box 4: D8",'CASE MASTER'!$K$2:$K$495,0)),"")</f>
        <v/>
      </c>
      <c r="J45" s="9" t="str">
        <f>IFERROR(INDEX('CASE MASTER'!$S$2:$S$495,MATCH("Case WB Box 4: D9",'CASE MASTER'!$K$2:$K$495,0)),"")</f>
        <v/>
      </c>
    </row>
    <row r="46" spans="1:10" ht="15" customHeight="1" x14ac:dyDescent="0.35">
      <c r="A46" s="8" t="s">
        <v>32</v>
      </c>
      <c r="B46" s="9" t="str">
        <f>IFERROR(INDEX('CASE MASTER'!$S$2:$S$495,MATCH("Case WB Box 4: E1",'CASE MASTER'!$K$2:$K$495,0)),"")</f>
        <v/>
      </c>
      <c r="C46" s="9" t="str">
        <f>IFERROR(INDEX('CASE MASTER'!$S$2:$S$495,MATCH("Case WB Box 4: E2",'CASE MASTER'!$K$2:$K$495,0)),"")</f>
        <v/>
      </c>
      <c r="D46" s="9" t="str">
        <f>IFERROR(INDEX('CASE MASTER'!$S$2:$S$495,MATCH("Case WB Box 4: E3",'CASE MASTER'!$K$2:$K$495,0)),"")</f>
        <v/>
      </c>
      <c r="E46" s="9" t="str">
        <f>IFERROR(INDEX('CASE MASTER'!$S$2:$S$495,MATCH("Case WB Box 4: E4",'CASE MASTER'!$K$2:$K$495,0)),"")</f>
        <v/>
      </c>
      <c r="F46" s="9" t="str">
        <f>IFERROR(INDEX('CASE MASTER'!$S$2:$S$495,MATCH("Case WB Box 4: E5",'CASE MASTER'!$K$2:$K$495,0)),"")</f>
        <v/>
      </c>
      <c r="G46" s="9" t="str">
        <f>IFERROR(INDEX('CASE MASTER'!$S$2:$S$495,MATCH("Case WB Box 4: E6",'CASE MASTER'!$K$2:$K$495,0)),"")</f>
        <v/>
      </c>
      <c r="H46" s="9" t="str">
        <f>IFERROR(INDEX('CASE MASTER'!$S$2:$S$495,MATCH("Case WB Box 4: E7",'CASE MASTER'!$K$2:$K$495,0)),"")</f>
        <v/>
      </c>
      <c r="I46" s="9" t="str">
        <f>IFERROR(INDEX('CASE MASTER'!$S$2:$S$495,MATCH("Case WB Box 4: E8",'CASE MASTER'!$K$2:$K$495,0)),"")</f>
        <v/>
      </c>
      <c r="J46" s="9" t="str">
        <f>IFERROR(INDEX('CASE MASTER'!$S$2:$S$495,MATCH("Case WB Box 4: E9",'CASE MASTER'!$K$2:$K$495,0)),"")</f>
        <v/>
      </c>
    </row>
    <row r="47" spans="1:10" ht="15" customHeight="1" x14ac:dyDescent="0.35">
      <c r="A47" s="8" t="s">
        <v>33</v>
      </c>
      <c r="B47" s="9" t="str">
        <f>IFERROR(INDEX('CASE MASTER'!$S$2:$S$495,MATCH("Case WB Box 4: F1",'CASE MASTER'!$K$2:$K$495,0)),"")</f>
        <v/>
      </c>
      <c r="C47" s="9" t="str">
        <f>IFERROR(INDEX('CASE MASTER'!$S$2:$S$495,MATCH("Case WB Box 4: F2",'CASE MASTER'!$K$2:$K$495,0)),"")</f>
        <v/>
      </c>
      <c r="D47" s="9" t="str">
        <f>IFERROR(INDEX('CASE MASTER'!$S$2:$S$495,MATCH("Case WB Box 4: F3",'CASE MASTER'!$K$2:$K$495,0)),"")</f>
        <v/>
      </c>
      <c r="E47" s="9" t="str">
        <f>IFERROR(INDEX('CASE MASTER'!$S$2:$S$495,MATCH("Case WB Box 4: F4",'CASE MASTER'!$K$2:$K$495,0)),"")</f>
        <v/>
      </c>
      <c r="F47" s="9" t="str">
        <f>IFERROR(INDEX('CASE MASTER'!$S$2:$S$495,MATCH("Case WB Box 4: F5",'CASE MASTER'!$K$2:$K$495,0)),"")</f>
        <v/>
      </c>
      <c r="G47" s="9" t="str">
        <f>IFERROR(INDEX('CASE MASTER'!$S$2:$S$495,MATCH("Case WB Box 4: F6",'CASE MASTER'!$K$2:$K$495,0)),"")</f>
        <v/>
      </c>
      <c r="H47" s="9" t="str">
        <f>IFERROR(INDEX('CASE MASTER'!$S$2:$S$495,MATCH("Case WB Box 4: F7",'CASE MASTER'!$K$2:$K$495,0)),"")</f>
        <v/>
      </c>
      <c r="I47" s="9" t="str">
        <f>IFERROR(INDEX('CASE MASTER'!$S$2:$S$495,MATCH("Case WB Box 4: F8",'CASE MASTER'!$K$2:$K$495,0)),"")</f>
        <v/>
      </c>
      <c r="J47" s="9" t="str">
        <f>IFERROR(INDEX('CASE MASTER'!$S$2:$S$495,MATCH("Case WB Box 4: F9",'CASE MASTER'!$K$2:$K$495,0)),"")</f>
        <v/>
      </c>
    </row>
    <row r="48" spans="1:10" ht="15" customHeight="1" x14ac:dyDescent="0.35">
      <c r="A48" s="8" t="s">
        <v>34</v>
      </c>
      <c r="B48" s="9" t="str">
        <f>IFERROR(INDEX('CASE MASTER'!$S$2:$S$495,MATCH("Case WB Box 4: G1",'CASE MASTER'!$K$2:$K$495,0)),"")</f>
        <v/>
      </c>
      <c r="C48" s="9" t="str">
        <f>IFERROR(INDEX('CASE MASTER'!$S$2:$S$495,MATCH("Case WB Box 4: G2",'CASE MASTER'!$K$2:$K$495,0)),"")</f>
        <v/>
      </c>
      <c r="D48" s="9" t="str">
        <f>IFERROR(INDEX('CASE MASTER'!$S$2:$S$495,MATCH("Case WB Box 4: G3",'CASE MASTER'!$K$2:$K$495,0)),"")</f>
        <v/>
      </c>
      <c r="E48" s="9" t="str">
        <f>IFERROR(INDEX('CASE MASTER'!$S$2:$S$495,MATCH("Case WB Box 4: G4",'CASE MASTER'!$K$2:$K$495,0)),"")</f>
        <v/>
      </c>
      <c r="F48" s="9" t="str">
        <f>IFERROR(INDEX('CASE MASTER'!$S$2:$S$495,MATCH("Case WB Box 4: G5",'CASE MASTER'!$K$2:$K$495,0)),"")</f>
        <v/>
      </c>
      <c r="G48" s="9" t="str">
        <f>IFERROR(INDEX('CASE MASTER'!$S$2:$S$495,MATCH("Case WB Box 4: G6",'CASE MASTER'!$K$2:$K$495,0)),"")</f>
        <v/>
      </c>
      <c r="H48" s="9" t="str">
        <f>IFERROR(INDEX('CASE MASTER'!$S$2:$S$495,MATCH("Case WB Box 4: G7",'CASE MASTER'!$K$2:$K$495,0)),"")</f>
        <v/>
      </c>
      <c r="I48" s="9" t="str">
        <f>IFERROR(INDEX('CASE MASTER'!$S$2:$S$495,MATCH("Case WB Box 4: G8",'CASE MASTER'!$K$2:$K$495,0)),"")</f>
        <v/>
      </c>
      <c r="J48" s="9" t="str">
        <f>IFERROR(INDEX('CASE MASTER'!$S$2:$S$495,MATCH("Case WB Box 4: G9",'CASE MASTER'!$K$2:$K$495,0)),"")</f>
        <v/>
      </c>
    </row>
    <row r="49" spans="1:10" ht="15" customHeight="1" x14ac:dyDescent="0.35">
      <c r="A49" s="8" t="s">
        <v>35</v>
      </c>
      <c r="B49" s="9" t="str">
        <f>IFERROR(INDEX('CASE MASTER'!$S$2:$S$495,MATCH("Case WB Box 4: H1",'CASE MASTER'!$K$2:$K$495,0)),"")</f>
        <v/>
      </c>
      <c r="C49" s="9" t="str">
        <f>IFERROR(INDEX('CASE MASTER'!$S$2:$S$495,MATCH("Case WB Box 4: H2",'CASE MASTER'!$K$2:$K$495,0)),"")</f>
        <v/>
      </c>
      <c r="D49" s="9" t="str">
        <f>IFERROR(INDEX('CASE MASTER'!$S$2:$S$495,MATCH("Case WB Box 4: H3",'CASE MASTER'!$K$2:$K$495,0)),"")</f>
        <v/>
      </c>
      <c r="E49" s="9" t="str">
        <f>IFERROR(INDEX('CASE MASTER'!$S$2:$S$495,MATCH("Case WB Box 4: H4",'CASE MASTER'!$K$2:$K$495,0)),"")</f>
        <v/>
      </c>
      <c r="F49" s="9" t="str">
        <f>IFERROR(INDEX('CASE MASTER'!$S$2:$S$495,MATCH("Case WB Box 4: H5",'CASE MASTER'!$K$2:$K$495,0)),"")</f>
        <v/>
      </c>
      <c r="G49" s="9" t="str">
        <f>IFERROR(INDEX('CASE MASTER'!$S$2:$S$495,MATCH("Case WB Box 4: H6",'CASE MASTER'!$K$2:$K$495,0)),"")</f>
        <v/>
      </c>
      <c r="H49" s="9" t="str">
        <f>IFERROR(INDEX('CASE MASTER'!$S$2:$S$495,MATCH("Case WB Box 4: H7",'CASE MASTER'!$K$2:$K$495,0)),"")</f>
        <v/>
      </c>
      <c r="I49" s="9" t="str">
        <f>IFERROR(INDEX('CASE MASTER'!$S$2:$S$495,MATCH("Case WB Box 4: H8",'CASE MASTER'!$K$2:$K$495,0)),"")</f>
        <v/>
      </c>
      <c r="J49" s="9" t="str">
        <f>IFERROR(INDEX('CASE MASTER'!$S$2:$S$495,MATCH("Case WB Box 4: H9",'CASE MASTER'!$K$2:$K$495,0)),"")</f>
        <v/>
      </c>
    </row>
    <row r="50" spans="1:10" ht="15" customHeight="1" x14ac:dyDescent="0.35">
      <c r="A50" s="8" t="s">
        <v>81</v>
      </c>
      <c r="B50" s="9" t="str">
        <f>IFERROR(INDEX('CASE MASTER'!$S$2:$S$495,MATCH("Case WB Box 4: I1",'CASE MASTER'!$K$2:$K$495,0)),"")</f>
        <v/>
      </c>
      <c r="C50" s="9" t="str">
        <f>IFERROR(INDEX('CASE MASTER'!$S$2:$S$495,MATCH("Case WB Box 4: I2",'CASE MASTER'!$K$2:$K$495,0)),"")</f>
        <v/>
      </c>
      <c r="D50" s="9" t="str">
        <f>IFERROR(INDEX('CASE MASTER'!$S$2:$S$495,MATCH("Case WB Box 4: I3",'CASE MASTER'!$K$2:$K$495,0)),"")</f>
        <v/>
      </c>
      <c r="E50" s="9" t="str">
        <f>IFERROR(INDEX('CASE MASTER'!$S$2:$S$495,MATCH("Case WB Box 4: I4",'CASE MASTER'!$K$2:$K$495,0)),"")</f>
        <v/>
      </c>
      <c r="F50" s="9" t="str">
        <f>IFERROR(INDEX('CASE MASTER'!$S$2:$S$495,MATCH("Case WB Box 4: I5",'CASE MASTER'!$K$2:$K$495,0)),"")</f>
        <v/>
      </c>
      <c r="G50" s="9" t="str">
        <f>IFERROR(INDEX('CASE MASTER'!$S$2:$S$495,MATCH("Case WB Box 4: I6",'CASE MASTER'!$K$2:$K$495,0)),"")</f>
        <v/>
      </c>
      <c r="H50" s="9" t="str">
        <f>IFERROR(INDEX('CASE MASTER'!$S$2:$S$495,MATCH("Case WB Box 4: I7",'CASE MASTER'!$K$2:$K$495,0)),"")</f>
        <v/>
      </c>
      <c r="I50" s="9" t="str">
        <f>IFERROR(INDEX('CASE MASTER'!$S$2:$S$495,MATCH("Case WB Box 4: I8",'CASE MASTER'!$K$2:$K$495,0)),"")</f>
        <v/>
      </c>
      <c r="J50" s="9" t="str">
        <f>IFERROR(INDEX('CASE MASTER'!$S$2:$S$495,MATCH("Case WB Box 4: I9",'CASE MASTER'!$K$2:$K$495,0)),"")</f>
        <v/>
      </c>
    </row>
    <row r="53" spans="1:10" ht="15" customHeight="1" x14ac:dyDescent="0.35">
      <c r="A53" s="12" t="s">
        <v>101</v>
      </c>
      <c r="B53" s="13"/>
      <c r="C53" s="13"/>
      <c r="D53" s="13"/>
      <c r="E53" s="13"/>
      <c r="F53" s="13"/>
      <c r="G53" s="13"/>
      <c r="H53" s="13"/>
      <c r="I53" s="13"/>
      <c r="J53" s="13"/>
    </row>
    <row r="54" spans="1:10" ht="15" customHeight="1" x14ac:dyDescent="0.35">
      <c r="B54" s="8">
        <v>1</v>
      </c>
      <c r="C54" s="8">
        <v>2</v>
      </c>
      <c r="D54" s="8">
        <v>3</v>
      </c>
      <c r="E54" s="8">
        <v>4</v>
      </c>
      <c r="F54" s="8">
        <v>5</v>
      </c>
      <c r="G54" s="8">
        <v>6</v>
      </c>
      <c r="H54" s="8">
        <v>7</v>
      </c>
      <c r="I54" s="8">
        <v>8</v>
      </c>
      <c r="J54" s="8">
        <v>9</v>
      </c>
    </row>
    <row r="55" spans="1:10" ht="15" customHeight="1" x14ac:dyDescent="0.35">
      <c r="A55" s="8" t="s">
        <v>28</v>
      </c>
      <c r="B55" s="9" t="str">
        <f>IFERROR(INDEX('CASE MASTER'!$S$2:$S$495,MATCH("Case WB Box 5: A1",'CASE MASTER'!$K$2:$K$495,0)),"")</f>
        <v/>
      </c>
      <c r="C55" s="9" t="str">
        <f>IFERROR(INDEX('CASE MASTER'!$S$2:$S$495,MATCH("Case WB Box 5: A2",'CASE MASTER'!$K$2:$K$495,0)),"")</f>
        <v/>
      </c>
      <c r="D55" s="9" t="str">
        <f>IFERROR(INDEX('CASE MASTER'!$S$2:$S$495,MATCH("Case WB Box 5: A3",'CASE MASTER'!$K$2:$K$495,0)),"")</f>
        <v/>
      </c>
      <c r="E55" s="9" t="str">
        <f>IFERROR(INDEX('CASE MASTER'!$S$2:$S$495,MATCH("Case WB Box 5: A4",'CASE MASTER'!$K$2:$K$495,0)),"")</f>
        <v/>
      </c>
      <c r="F55" s="9" t="str">
        <f>IFERROR(INDEX('CASE MASTER'!$S$2:$S$495,MATCH("Case WB Box 5: A5",'CASE MASTER'!$K$2:$K$495,0)),"")</f>
        <v/>
      </c>
      <c r="G55" s="9" t="str">
        <f>IFERROR(INDEX('CASE MASTER'!$S$2:$S$495,MATCH("Case WB Box 5: A6",'CASE MASTER'!$K$2:$K$495,0)),"")</f>
        <v/>
      </c>
      <c r="H55" s="9" t="str">
        <f>IFERROR(INDEX('CASE MASTER'!$S$2:$S$495,MATCH("Case WB Box 5: A7",'CASE MASTER'!$K$2:$K$495,0)),"")</f>
        <v/>
      </c>
      <c r="I55" s="9" t="str">
        <f>IFERROR(INDEX('CASE MASTER'!$S$2:$S$495,MATCH("Case WB Box 5: A8",'CASE MASTER'!$K$2:$K$495,0)),"")</f>
        <v/>
      </c>
      <c r="J55" s="9" t="str">
        <f>IFERROR(INDEX('CASE MASTER'!$S$2:$S$495,MATCH("Case WB Box 5: A9",'CASE MASTER'!$K$2:$K$495,0)),"")</f>
        <v/>
      </c>
    </row>
    <row r="56" spans="1:10" ht="15" customHeight="1" x14ac:dyDescent="0.35">
      <c r="A56" s="8" t="s">
        <v>29</v>
      </c>
      <c r="B56" s="9" t="str">
        <f>IFERROR(INDEX('CASE MASTER'!$S$2:$S$495,MATCH("Case WB Box 5: B1",'CASE MASTER'!$K$2:$K$495,0)),"")</f>
        <v/>
      </c>
      <c r="C56" s="9" t="str">
        <f>IFERROR(INDEX('CASE MASTER'!$S$2:$S$495,MATCH("Case WB Box 5: B2",'CASE MASTER'!$K$2:$K$495,0)),"")</f>
        <v/>
      </c>
      <c r="D56" s="9" t="str">
        <f>IFERROR(INDEX('CASE MASTER'!$S$2:$S$495,MATCH("Case WB Box 5: B3",'CASE MASTER'!$K$2:$K$495,0)),"")</f>
        <v/>
      </c>
      <c r="E56" s="9" t="str">
        <f>IFERROR(INDEX('CASE MASTER'!$S$2:$S$495,MATCH("Case WB Box 5: B4",'CASE MASTER'!$K$2:$K$495,0)),"")</f>
        <v/>
      </c>
      <c r="F56" s="9" t="str">
        <f>IFERROR(INDEX('CASE MASTER'!$S$2:$S$495,MATCH("Case WB Box 5: B5",'CASE MASTER'!$K$2:$K$495,0)),"")</f>
        <v/>
      </c>
      <c r="G56" s="9" t="str">
        <f>IFERROR(INDEX('CASE MASTER'!$S$2:$S$495,MATCH("Case WB Box 5: B6",'CASE MASTER'!$K$2:$K$495,0)),"")</f>
        <v/>
      </c>
      <c r="H56" s="9" t="str">
        <f>IFERROR(INDEX('CASE MASTER'!$S$2:$S$495,MATCH("Case WB Box 5: B7",'CASE MASTER'!$K$2:$K$495,0)),"")</f>
        <v/>
      </c>
      <c r="I56" s="9" t="str">
        <f>IFERROR(INDEX('CASE MASTER'!$S$2:$S$495,MATCH("Case WB Box 5: B8",'CASE MASTER'!$K$2:$K$495,0)),"")</f>
        <v/>
      </c>
      <c r="J56" s="9" t="str">
        <f>IFERROR(INDEX('CASE MASTER'!$S$2:$S$495,MATCH("Case WB Box 5: B9",'CASE MASTER'!$K$2:$K$495,0)),"")</f>
        <v/>
      </c>
    </row>
    <row r="57" spans="1:10" ht="15" customHeight="1" x14ac:dyDescent="0.35">
      <c r="A57" s="8" t="s">
        <v>30</v>
      </c>
      <c r="B57" s="9" t="str">
        <f>IFERROR(INDEX('CASE MASTER'!$S$2:$S$495,MATCH("Case WB Box 5: C1",'CASE MASTER'!$K$2:$K$495,0)),"")</f>
        <v/>
      </c>
      <c r="C57" s="9" t="str">
        <f>IFERROR(INDEX('CASE MASTER'!$S$2:$S$495,MATCH("Case WB Box 5: C2",'CASE MASTER'!$K$2:$K$495,0)),"")</f>
        <v/>
      </c>
      <c r="D57" s="9" t="str">
        <f>IFERROR(INDEX('CASE MASTER'!$S$2:$S$495,MATCH("Case WB Box 5: C3",'CASE MASTER'!$K$2:$K$495,0)),"")</f>
        <v/>
      </c>
      <c r="E57" s="9" t="str">
        <f>IFERROR(INDEX('CASE MASTER'!$S$2:$S$495,MATCH("Case WB Box 5: C4",'CASE MASTER'!$K$2:$K$495,0)),"")</f>
        <v/>
      </c>
      <c r="F57" s="9" t="str">
        <f>IFERROR(INDEX('CASE MASTER'!$S$2:$S$495,MATCH("Case WB Box 5: C5",'CASE MASTER'!$K$2:$K$495,0)),"")</f>
        <v/>
      </c>
      <c r="G57" s="9" t="str">
        <f>IFERROR(INDEX('CASE MASTER'!$S$2:$S$495,MATCH("Case WB Box 5: C6",'CASE MASTER'!$K$2:$K$495,0)),"")</f>
        <v/>
      </c>
      <c r="H57" s="9" t="str">
        <f>IFERROR(INDEX('CASE MASTER'!$S$2:$S$495,MATCH("Case WB Box 5: C7",'CASE MASTER'!$K$2:$K$495,0)),"")</f>
        <v/>
      </c>
      <c r="I57" s="9" t="str">
        <f>IFERROR(INDEX('CASE MASTER'!$S$2:$S$495,MATCH("Case WB Box 5: C8",'CASE MASTER'!$K$2:$K$495,0)),"")</f>
        <v/>
      </c>
      <c r="J57" s="9" t="str">
        <f>IFERROR(INDEX('CASE MASTER'!$S$2:$S$495,MATCH("Case WB Box 5: C9",'CASE MASTER'!$K$2:$K$495,0)),"")</f>
        <v/>
      </c>
    </row>
    <row r="58" spans="1:10" ht="15" customHeight="1" x14ac:dyDescent="0.35">
      <c r="A58" s="8" t="s">
        <v>31</v>
      </c>
      <c r="B58" s="9" t="str">
        <f>IFERROR(INDEX('CASE MASTER'!$S$2:$S$495,MATCH("Case WB Box 5: D1",'CASE MASTER'!$K$2:$K$495,0)),"")</f>
        <v/>
      </c>
      <c r="C58" s="9" t="str">
        <f>IFERROR(INDEX('CASE MASTER'!$S$2:$S$495,MATCH("Case WB Box 5: D2",'CASE MASTER'!$K$2:$K$495,0)),"")</f>
        <v/>
      </c>
      <c r="D58" s="9" t="str">
        <f>IFERROR(INDEX('CASE MASTER'!$S$2:$S$495,MATCH("Case WB Box 5: D3",'CASE MASTER'!$K$2:$K$495,0)),"")</f>
        <v/>
      </c>
      <c r="E58" s="9" t="str">
        <f>IFERROR(INDEX('CASE MASTER'!$S$2:$S$495,MATCH("Case WB Box 5: D4",'CASE MASTER'!$K$2:$K$495,0)),"")</f>
        <v/>
      </c>
      <c r="F58" s="9" t="str">
        <f>IFERROR(INDEX('CASE MASTER'!$S$2:$S$495,MATCH("Case WB Box 5: D5",'CASE MASTER'!$K$2:$K$495,0)),"")</f>
        <v/>
      </c>
      <c r="G58" s="9" t="str">
        <f>IFERROR(INDEX('CASE MASTER'!$S$2:$S$495,MATCH("Case WB Box 5: D6",'CASE MASTER'!$K$2:$K$495,0)),"")</f>
        <v/>
      </c>
      <c r="H58" s="9" t="str">
        <f>IFERROR(INDEX('CASE MASTER'!$S$2:$S$495,MATCH("Case WB Box 5: D7",'CASE MASTER'!$K$2:$K$495,0)),"")</f>
        <v/>
      </c>
      <c r="I58" s="9" t="str">
        <f>IFERROR(INDEX('CASE MASTER'!$S$2:$S$495,MATCH("Case WB Box 5: D8",'CASE MASTER'!$K$2:$K$495,0)),"")</f>
        <v/>
      </c>
      <c r="J58" s="9" t="str">
        <f>IFERROR(INDEX('CASE MASTER'!$S$2:$S$495,MATCH("Case WB Box 5: D9",'CASE MASTER'!$K$2:$K$495,0)),"")</f>
        <v/>
      </c>
    </row>
    <row r="59" spans="1:10" ht="15" customHeight="1" x14ac:dyDescent="0.35">
      <c r="A59" s="8" t="s">
        <v>32</v>
      </c>
      <c r="B59" s="9" t="str">
        <f>IFERROR(INDEX('CASE MASTER'!$S$2:$S$495,MATCH("Case WB Box 5: E1",'CASE MASTER'!$K$2:$K$495,0)),"")</f>
        <v/>
      </c>
      <c r="C59" s="9" t="str">
        <f>IFERROR(INDEX('CASE MASTER'!$S$2:$S$495,MATCH("Case WB Box 5: E2",'CASE MASTER'!$K$2:$K$495,0)),"")</f>
        <v/>
      </c>
      <c r="D59" s="9" t="str">
        <f>IFERROR(INDEX('CASE MASTER'!$S$2:$S$495,MATCH("Case WB Box 5: E3",'CASE MASTER'!$K$2:$K$495,0)),"")</f>
        <v/>
      </c>
      <c r="E59" s="9" t="str">
        <f>IFERROR(INDEX('CASE MASTER'!$S$2:$S$495,MATCH("Case WB Box 5: E4",'CASE MASTER'!$K$2:$K$495,0)),"")</f>
        <v/>
      </c>
      <c r="F59" s="9" t="str">
        <f>IFERROR(INDEX('CASE MASTER'!$S$2:$S$495,MATCH("Case WB Box 5: E5",'CASE MASTER'!$K$2:$K$495,0)),"")</f>
        <v/>
      </c>
      <c r="G59" s="9" t="str">
        <f>IFERROR(INDEX('CASE MASTER'!$S$2:$S$495,MATCH("Case WB Box 5: E6",'CASE MASTER'!$K$2:$K$495,0)),"")</f>
        <v/>
      </c>
      <c r="H59" s="9" t="str">
        <f>IFERROR(INDEX('CASE MASTER'!$S$2:$S$495,MATCH("Case WB Box 5: E7",'CASE MASTER'!$K$2:$K$495,0)),"")</f>
        <v/>
      </c>
      <c r="I59" s="9" t="str">
        <f>IFERROR(INDEX('CASE MASTER'!$S$2:$S$495,MATCH("Case WB Box 5: E8",'CASE MASTER'!$K$2:$K$495,0)),"")</f>
        <v/>
      </c>
      <c r="J59" s="9" t="str">
        <f>IFERROR(INDEX('CASE MASTER'!$S$2:$S$495,MATCH("Case WB Box 5: E9",'CASE MASTER'!$K$2:$K$495,0)),"")</f>
        <v/>
      </c>
    </row>
    <row r="60" spans="1:10" ht="15" customHeight="1" x14ac:dyDescent="0.35">
      <c r="A60" s="8" t="s">
        <v>33</v>
      </c>
      <c r="B60" s="9" t="str">
        <f>IFERROR(INDEX('CASE MASTER'!$S$2:$S$495,MATCH("Case WB Box 5: F1",'CASE MASTER'!$K$2:$K$495,0)),"")</f>
        <v/>
      </c>
      <c r="C60" s="9" t="str">
        <f>IFERROR(INDEX('CASE MASTER'!$S$2:$S$495,MATCH("Case WB Box 5: F2",'CASE MASTER'!$K$2:$K$495,0)),"")</f>
        <v/>
      </c>
      <c r="D60" s="9" t="str">
        <f>IFERROR(INDEX('CASE MASTER'!$S$2:$S$495,MATCH("Case WB Box 5: F3",'CASE MASTER'!$K$2:$K$495,0)),"")</f>
        <v/>
      </c>
      <c r="E60" s="9" t="str">
        <f>IFERROR(INDEX('CASE MASTER'!$S$2:$S$495,MATCH("Case WB Box 5: F4",'CASE MASTER'!$K$2:$K$495,0)),"")</f>
        <v/>
      </c>
      <c r="F60" s="9" t="str">
        <f>IFERROR(INDEX('CASE MASTER'!$S$2:$S$495,MATCH("Case WB Box 5: F5",'CASE MASTER'!$K$2:$K$495,0)),"")</f>
        <v/>
      </c>
      <c r="G60" s="9" t="str">
        <f>IFERROR(INDEX('CASE MASTER'!$S$2:$S$495,MATCH("Case WB Box 5: F6",'CASE MASTER'!$K$2:$K$495,0)),"")</f>
        <v/>
      </c>
      <c r="H60" s="9" t="str">
        <f>IFERROR(INDEX('CASE MASTER'!$S$2:$S$495,MATCH("Case WB Box 5: F7",'CASE MASTER'!$K$2:$K$495,0)),"")</f>
        <v/>
      </c>
      <c r="I60" s="9" t="str">
        <f>IFERROR(INDEX('CASE MASTER'!$S$2:$S$495,MATCH("Case WB Box 5: F8",'CASE MASTER'!$K$2:$K$495,0)),"")</f>
        <v/>
      </c>
      <c r="J60" s="9" t="str">
        <f>IFERROR(INDEX('CASE MASTER'!$S$2:$S$495,MATCH("Case WB Box 5: F9",'CASE MASTER'!$K$2:$K$495,0)),"")</f>
        <v/>
      </c>
    </row>
    <row r="61" spans="1:10" ht="15" customHeight="1" x14ac:dyDescent="0.35">
      <c r="A61" s="8" t="s">
        <v>34</v>
      </c>
      <c r="B61" s="9" t="str">
        <f>IFERROR(INDEX('CASE MASTER'!$S$2:$S$495,MATCH("Case WB Box 5: G1",'CASE MASTER'!$K$2:$K$495,0)),"")</f>
        <v/>
      </c>
      <c r="C61" s="9" t="str">
        <f>IFERROR(INDEX('CASE MASTER'!$S$2:$S$495,MATCH("Case WB Box 5: G2",'CASE MASTER'!$K$2:$K$495,0)),"")</f>
        <v/>
      </c>
      <c r="D61" s="9" t="str">
        <f>IFERROR(INDEX('CASE MASTER'!$S$2:$S$495,MATCH("Case WB Box 5: G3",'CASE MASTER'!$K$2:$K$495,0)),"")</f>
        <v/>
      </c>
      <c r="E61" s="9" t="str">
        <f>IFERROR(INDEX('CASE MASTER'!$S$2:$S$495,MATCH("Case WB Box 5: G4",'CASE MASTER'!$K$2:$K$495,0)),"")</f>
        <v/>
      </c>
      <c r="F61" s="9" t="str">
        <f>IFERROR(INDEX('CASE MASTER'!$S$2:$S$495,MATCH("Case WB Box 5: G5",'CASE MASTER'!$K$2:$K$495,0)),"")</f>
        <v/>
      </c>
      <c r="G61" s="9" t="str">
        <f>IFERROR(INDEX('CASE MASTER'!$S$2:$S$495,MATCH("Case WB Box 5: G6",'CASE MASTER'!$K$2:$K$495,0)),"")</f>
        <v/>
      </c>
      <c r="H61" s="9" t="str">
        <f>IFERROR(INDEX('CASE MASTER'!$S$2:$S$495,MATCH("Case WB Box 5: G7",'CASE MASTER'!$K$2:$K$495,0)),"")</f>
        <v/>
      </c>
      <c r="I61" s="9" t="str">
        <f>IFERROR(INDEX('CASE MASTER'!$S$2:$S$495,MATCH("Case WB Box 5: G8",'CASE MASTER'!$K$2:$K$495,0)),"")</f>
        <v/>
      </c>
      <c r="J61" s="9" t="str">
        <f>IFERROR(INDEX('CASE MASTER'!$S$2:$S$495,MATCH("Case WB Box 5: G9",'CASE MASTER'!$K$2:$K$495,0)),"")</f>
        <v/>
      </c>
    </row>
    <row r="62" spans="1:10" ht="15" customHeight="1" x14ac:dyDescent="0.35">
      <c r="A62" s="8" t="s">
        <v>35</v>
      </c>
      <c r="B62" s="9" t="str">
        <f>IFERROR(INDEX('CASE MASTER'!$S$2:$S$495,MATCH("Case WB Box 5: H1",'CASE MASTER'!$K$2:$K$495,0)),"")</f>
        <v/>
      </c>
      <c r="C62" s="9" t="str">
        <f>IFERROR(INDEX('CASE MASTER'!$S$2:$S$495,MATCH("Case WB Box 5: H2",'CASE MASTER'!$K$2:$K$495,0)),"")</f>
        <v/>
      </c>
      <c r="D62" s="9" t="str">
        <f>IFERROR(INDEX('CASE MASTER'!$S$2:$S$495,MATCH("Case WB Box 5: H3",'CASE MASTER'!$K$2:$K$495,0)),"")</f>
        <v/>
      </c>
      <c r="E62" s="9" t="str">
        <f>IFERROR(INDEX('CASE MASTER'!$S$2:$S$495,MATCH("Case WB Box 5: H4",'CASE MASTER'!$K$2:$K$495,0)),"")</f>
        <v/>
      </c>
      <c r="F62" s="9" t="str">
        <f>IFERROR(INDEX('CASE MASTER'!$S$2:$S$495,MATCH("Case WB Box 5: H5",'CASE MASTER'!$K$2:$K$495,0)),"")</f>
        <v/>
      </c>
      <c r="G62" s="9" t="str">
        <f>IFERROR(INDEX('CASE MASTER'!$S$2:$S$495,MATCH("Case WB Box 5: H6",'CASE MASTER'!$K$2:$K$495,0)),"")</f>
        <v/>
      </c>
      <c r="H62" s="9" t="str">
        <f>IFERROR(INDEX('CASE MASTER'!$S$2:$S$495,MATCH("Case WB Box 5: H7",'CASE MASTER'!$K$2:$K$495,0)),"")</f>
        <v/>
      </c>
      <c r="I62" s="9" t="str">
        <f>IFERROR(INDEX('CASE MASTER'!$S$2:$S$495,MATCH("Case WB Box 5: H8",'CASE MASTER'!$K$2:$K$495,0)),"")</f>
        <v/>
      </c>
      <c r="J62" s="9" t="str">
        <f>IFERROR(INDEX('CASE MASTER'!$S$2:$S$495,MATCH("Case WB Box 5: H9",'CASE MASTER'!$K$2:$K$495,0)),"")</f>
        <v/>
      </c>
    </row>
    <row r="63" spans="1:10" ht="15" customHeight="1" x14ac:dyDescent="0.35">
      <c r="A63" s="8" t="s">
        <v>81</v>
      </c>
      <c r="B63" s="9" t="str">
        <f>IFERROR(INDEX('CASE MASTER'!$S$2:$S$495,MATCH("Case WB Box 5: I1",'CASE MASTER'!$K$2:$K$495,0)),"")</f>
        <v/>
      </c>
      <c r="C63" s="9" t="str">
        <f>IFERROR(INDEX('CASE MASTER'!$S$2:$S$495,MATCH("Case WB Box 5: I2",'CASE MASTER'!$K$2:$K$495,0)),"")</f>
        <v/>
      </c>
      <c r="D63" s="9" t="str">
        <f>IFERROR(INDEX('CASE MASTER'!$S$2:$S$495,MATCH("Case WB Box 5: I3",'CASE MASTER'!$K$2:$K$495,0)),"")</f>
        <v/>
      </c>
      <c r="E63" s="9" t="str">
        <f>IFERROR(INDEX('CASE MASTER'!$S$2:$S$495,MATCH("Case WB Box 5: I4",'CASE MASTER'!$K$2:$K$495,0)),"")</f>
        <v/>
      </c>
      <c r="F63" s="9" t="str">
        <f>IFERROR(INDEX('CASE MASTER'!$S$2:$S$495,MATCH("Case WB Box 5: I5",'CASE MASTER'!$K$2:$K$495,0)),"")</f>
        <v/>
      </c>
      <c r="G63" s="9" t="str">
        <f>IFERROR(INDEX('CASE MASTER'!$S$2:$S$495,MATCH("Case WB Box 5: I6",'CASE MASTER'!$K$2:$K$495,0)),"")</f>
        <v/>
      </c>
      <c r="H63" s="9" t="str">
        <f>IFERROR(INDEX('CASE MASTER'!$S$2:$S$495,MATCH("Case WB Box 5: I7",'CASE MASTER'!$K$2:$K$495,0)),"")</f>
        <v/>
      </c>
      <c r="I63" s="9" t="str">
        <f>IFERROR(INDEX('CASE MASTER'!$S$2:$S$495,MATCH("Case WB Box 5: I8",'CASE MASTER'!$K$2:$K$495,0)),"")</f>
        <v/>
      </c>
      <c r="J63" s="9" t="str">
        <f>IFERROR(INDEX('CASE MASTER'!$S$2:$S$495,MATCH("Case WB Box 5: I9",'CASE MASTER'!$K$2:$K$495,0)),"")</f>
        <v/>
      </c>
    </row>
    <row r="66" spans="1:10" ht="15" customHeight="1" x14ac:dyDescent="0.35">
      <c r="A66" s="12" t="s">
        <v>102</v>
      </c>
      <c r="B66" s="13"/>
      <c r="C66" s="13"/>
      <c r="D66" s="13"/>
      <c r="E66" s="13"/>
      <c r="F66" s="13"/>
      <c r="G66" s="13"/>
      <c r="H66" s="13"/>
      <c r="I66" s="13"/>
      <c r="J66" s="13"/>
    </row>
    <row r="67" spans="1:10" ht="15" customHeight="1" x14ac:dyDescent="0.35">
      <c r="B67" s="8">
        <v>1</v>
      </c>
      <c r="C67" s="8">
        <v>2</v>
      </c>
      <c r="D67" s="8">
        <v>3</v>
      </c>
      <c r="E67" s="8">
        <v>4</v>
      </c>
      <c r="F67" s="8">
        <v>5</v>
      </c>
      <c r="G67" s="8">
        <v>6</v>
      </c>
      <c r="H67" s="8">
        <v>7</v>
      </c>
      <c r="I67" s="8">
        <v>8</v>
      </c>
      <c r="J67" s="8">
        <v>9</v>
      </c>
    </row>
    <row r="68" spans="1:10" ht="15" customHeight="1" x14ac:dyDescent="0.35">
      <c r="A68" s="8" t="s">
        <v>28</v>
      </c>
      <c r="B68" s="9" t="str">
        <f>IFERROR(INDEX('CASE MASTER'!$S$2:$S$495,MATCH("Case WB Box 6: A1",'CASE MASTER'!$K$2:$K$495,0)),"")</f>
        <v/>
      </c>
      <c r="C68" s="9" t="str">
        <f>IFERROR(INDEX('CASE MASTER'!$S$2:$S$495,MATCH("Case WB Box 6: A2",'CASE MASTER'!$K$2:$K$495,0)),"")</f>
        <v/>
      </c>
      <c r="D68" s="9" t="str">
        <f>IFERROR(INDEX('CASE MASTER'!$S$2:$S$495,MATCH("Case WB Box 6: A3",'CASE MASTER'!$K$2:$K$495,0)),"")</f>
        <v/>
      </c>
      <c r="E68" s="9" t="str">
        <f>IFERROR(INDEX('CASE MASTER'!$S$2:$S$495,MATCH("Case WB Box 6: A4",'CASE MASTER'!$K$2:$K$495,0)),"")</f>
        <v/>
      </c>
      <c r="F68" s="9" t="str">
        <f>IFERROR(INDEX('CASE MASTER'!$S$2:$S$495,MATCH("Case WB Box 6: A5",'CASE MASTER'!$K$2:$K$495,0)),"")</f>
        <v/>
      </c>
      <c r="G68" s="9" t="str">
        <f>IFERROR(INDEX('CASE MASTER'!$S$2:$S$495,MATCH("Case WB Box 6: A6",'CASE MASTER'!$K$2:$K$495,0)),"")</f>
        <v/>
      </c>
      <c r="H68" s="9" t="str">
        <f>IFERROR(INDEX('CASE MASTER'!$S$2:$S$495,MATCH("Case WB Box 6: A7",'CASE MASTER'!$K$2:$K$495,0)),"")</f>
        <v/>
      </c>
      <c r="I68" s="9" t="str">
        <f>IFERROR(INDEX('CASE MASTER'!$S$2:$S$495,MATCH("Case WB Box 6: A8",'CASE MASTER'!$K$2:$K$495,0)),"")</f>
        <v/>
      </c>
      <c r="J68" s="9" t="str">
        <f>IFERROR(INDEX('CASE MASTER'!$S$2:$S$495,MATCH("Case WB Box 6: A9",'CASE MASTER'!$K$2:$K$495,0)),"")</f>
        <v/>
      </c>
    </row>
    <row r="69" spans="1:10" ht="15" customHeight="1" x14ac:dyDescent="0.35">
      <c r="A69" s="8" t="s">
        <v>29</v>
      </c>
      <c r="B69" s="9" t="str">
        <f>IFERROR(INDEX('CASE MASTER'!$S$2:$S$495,MATCH("Case WB Box 6: B1",'CASE MASTER'!$K$2:$K$495,0)),"")</f>
        <v/>
      </c>
      <c r="C69" s="9" t="str">
        <f>IFERROR(INDEX('CASE MASTER'!$S$2:$S$495,MATCH("Case WB Box 6: B2",'CASE MASTER'!$K$2:$K$495,0)),"")</f>
        <v/>
      </c>
      <c r="D69" s="9" t="str">
        <f>IFERROR(INDEX('CASE MASTER'!$S$2:$S$495,MATCH("Case WB Box 6: B3",'CASE MASTER'!$K$2:$K$495,0)),"")</f>
        <v/>
      </c>
      <c r="E69" s="9" t="str">
        <f>IFERROR(INDEX('CASE MASTER'!$S$2:$S$495,MATCH("Case WB Box 6: B4",'CASE MASTER'!$K$2:$K$495,0)),"")</f>
        <v/>
      </c>
      <c r="F69" s="9" t="str">
        <f>IFERROR(INDEX('CASE MASTER'!$S$2:$S$495,MATCH("Case WB Box 6: B5",'CASE MASTER'!$K$2:$K$495,0)),"")</f>
        <v/>
      </c>
      <c r="G69" s="9" t="str">
        <f>IFERROR(INDEX('CASE MASTER'!$S$2:$S$495,MATCH("Case WB Box 6: B6",'CASE MASTER'!$K$2:$K$495,0)),"")</f>
        <v/>
      </c>
      <c r="H69" s="9" t="str">
        <f>IFERROR(INDEX('CASE MASTER'!$S$2:$S$495,MATCH("Case WB Box 6: B7",'CASE MASTER'!$K$2:$K$495,0)),"")</f>
        <v/>
      </c>
      <c r="I69" s="9" t="str">
        <f>IFERROR(INDEX('CASE MASTER'!$S$2:$S$495,MATCH("Case WB Box 6: B8",'CASE MASTER'!$K$2:$K$495,0)),"")</f>
        <v/>
      </c>
      <c r="J69" s="9" t="str">
        <f>IFERROR(INDEX('CASE MASTER'!$S$2:$S$495,MATCH("Case WB Box 6: B9",'CASE MASTER'!$K$2:$K$495,0)),"")</f>
        <v/>
      </c>
    </row>
    <row r="70" spans="1:10" ht="15" customHeight="1" x14ac:dyDescent="0.35">
      <c r="A70" s="8" t="s">
        <v>30</v>
      </c>
      <c r="B70" s="9" t="str">
        <f>IFERROR(INDEX('CASE MASTER'!$S$2:$S$495,MATCH("Case WB Box 6: C1",'CASE MASTER'!$K$2:$K$495,0)),"")</f>
        <v/>
      </c>
      <c r="C70" s="9" t="str">
        <f>IFERROR(INDEX('CASE MASTER'!$S$2:$S$495,MATCH("Case WB Box 6: C2",'CASE MASTER'!$K$2:$K$495,0)),"")</f>
        <v/>
      </c>
      <c r="D70" s="9" t="str">
        <f>IFERROR(INDEX('CASE MASTER'!$S$2:$S$495,MATCH("Case WB Box 6: C3",'CASE MASTER'!$K$2:$K$495,0)),"")</f>
        <v/>
      </c>
      <c r="E70" s="9" t="str">
        <f>IFERROR(INDEX('CASE MASTER'!$S$2:$S$495,MATCH("Case WB Box 6: C4",'CASE MASTER'!$K$2:$K$495,0)),"")</f>
        <v/>
      </c>
      <c r="F70" s="9" t="str">
        <f>IFERROR(INDEX('CASE MASTER'!$S$2:$S$495,MATCH("Case WB Box 6: C5",'CASE MASTER'!$K$2:$K$495,0)),"")</f>
        <v/>
      </c>
      <c r="G70" s="9" t="str">
        <f>IFERROR(INDEX('CASE MASTER'!$S$2:$S$495,MATCH("Case WB Box 6: C6",'CASE MASTER'!$K$2:$K$495,0)),"")</f>
        <v/>
      </c>
      <c r="H70" s="9" t="str">
        <f>IFERROR(INDEX('CASE MASTER'!$S$2:$S$495,MATCH("Case WB Box 6: C7",'CASE MASTER'!$K$2:$K$495,0)),"")</f>
        <v/>
      </c>
      <c r="I70" s="9" t="str">
        <f>IFERROR(INDEX('CASE MASTER'!$S$2:$S$495,MATCH("Case WB Box 6: C8",'CASE MASTER'!$K$2:$K$495,0)),"")</f>
        <v/>
      </c>
      <c r="J70" s="9" t="str">
        <f>IFERROR(INDEX('CASE MASTER'!$S$2:$S$495,MATCH("Case WB Box 6: C9",'CASE MASTER'!$K$2:$K$495,0)),"")</f>
        <v/>
      </c>
    </row>
    <row r="71" spans="1:10" ht="15" customHeight="1" x14ac:dyDescent="0.35">
      <c r="A71" s="8" t="s">
        <v>31</v>
      </c>
      <c r="B71" s="9" t="str">
        <f>IFERROR(INDEX('CASE MASTER'!$S$2:$S$495,MATCH("Case WB Box 6: D1",'CASE MASTER'!$K$2:$K$495,0)),"")</f>
        <v/>
      </c>
      <c r="C71" s="9" t="str">
        <f>IFERROR(INDEX('CASE MASTER'!$S$2:$S$495,MATCH("Case WB Box 6: D2",'CASE MASTER'!$K$2:$K$495,0)),"")</f>
        <v/>
      </c>
      <c r="D71" s="9" t="str">
        <f>IFERROR(INDEX('CASE MASTER'!$S$2:$S$495,MATCH("Case WB Box 6: D3",'CASE MASTER'!$K$2:$K$495,0)),"")</f>
        <v/>
      </c>
      <c r="E71" s="9" t="str">
        <f>IFERROR(INDEX('CASE MASTER'!$S$2:$S$495,MATCH("Case WB Box 6: D4",'CASE MASTER'!$K$2:$K$495,0)),"")</f>
        <v/>
      </c>
      <c r="F71" s="9" t="str">
        <f>IFERROR(INDEX('CASE MASTER'!$S$2:$S$495,MATCH("Case WB Box 6: D5",'CASE MASTER'!$K$2:$K$495,0)),"")</f>
        <v/>
      </c>
      <c r="G71" s="9" t="str">
        <f>IFERROR(INDEX('CASE MASTER'!$S$2:$S$495,MATCH("Case WB Box 6: D6",'CASE MASTER'!$K$2:$K$495,0)),"")</f>
        <v/>
      </c>
      <c r="H71" s="9" t="str">
        <f>IFERROR(INDEX('CASE MASTER'!$S$2:$S$495,MATCH("Case WB Box 6: D7",'CASE MASTER'!$K$2:$K$495,0)),"")</f>
        <v/>
      </c>
      <c r="I71" s="9" t="str">
        <f>IFERROR(INDEX('CASE MASTER'!$S$2:$S$495,MATCH("Case WB Box 6: D8",'CASE MASTER'!$K$2:$K$495,0)),"")</f>
        <v/>
      </c>
      <c r="J71" s="9" t="str">
        <f>IFERROR(INDEX('CASE MASTER'!$S$2:$S$495,MATCH("Case WB Box 6: D9",'CASE MASTER'!$K$2:$K$495,0)),"")</f>
        <v/>
      </c>
    </row>
    <row r="72" spans="1:10" ht="15" customHeight="1" x14ac:dyDescent="0.35">
      <c r="A72" s="8" t="s">
        <v>32</v>
      </c>
      <c r="B72" s="9" t="str">
        <f>IFERROR(INDEX('CASE MASTER'!$S$2:$S$495,MATCH("Case WB Box 6: E1",'CASE MASTER'!$K$2:$K$495,0)),"")</f>
        <v/>
      </c>
      <c r="C72" s="9" t="str">
        <f>IFERROR(INDEX('CASE MASTER'!$S$2:$S$495,MATCH("Case WB Box 6: E2",'CASE MASTER'!$K$2:$K$495,0)),"")</f>
        <v/>
      </c>
      <c r="D72" s="9" t="str">
        <f>IFERROR(INDEX('CASE MASTER'!$S$2:$S$495,MATCH("Case WB Box 6: E3",'CASE MASTER'!$K$2:$K$495,0)),"")</f>
        <v/>
      </c>
      <c r="E72" s="9" t="str">
        <f>IFERROR(INDEX('CASE MASTER'!$S$2:$S$495,MATCH("Case WB Box 6: E4",'CASE MASTER'!$K$2:$K$495,0)),"")</f>
        <v/>
      </c>
      <c r="F72" s="9" t="str">
        <f>IFERROR(INDEX('CASE MASTER'!$S$2:$S$495,MATCH("Case WB Box 6: E5",'CASE MASTER'!$K$2:$K$495,0)),"")</f>
        <v/>
      </c>
      <c r="G72" s="9" t="str">
        <f>IFERROR(INDEX('CASE MASTER'!$S$2:$S$495,MATCH("Case WB Box 6: E6",'CASE MASTER'!$K$2:$K$495,0)),"")</f>
        <v/>
      </c>
      <c r="H72" s="9" t="str">
        <f>IFERROR(INDEX('CASE MASTER'!$S$2:$S$495,MATCH("Case WB Box 6: E7",'CASE MASTER'!$K$2:$K$495,0)),"")</f>
        <v/>
      </c>
      <c r="I72" s="9" t="str">
        <f>IFERROR(INDEX('CASE MASTER'!$S$2:$S$495,MATCH("Case WB Box 6: E8",'CASE MASTER'!$K$2:$K$495,0)),"")</f>
        <v/>
      </c>
      <c r="J72" s="9" t="str">
        <f>IFERROR(INDEX('CASE MASTER'!$S$2:$S$495,MATCH("Case WB Box 6: E9",'CASE MASTER'!$K$2:$K$495,0)),"")</f>
        <v/>
      </c>
    </row>
    <row r="73" spans="1:10" ht="15" customHeight="1" x14ac:dyDescent="0.35">
      <c r="A73" s="8" t="s">
        <v>33</v>
      </c>
      <c r="B73" s="9" t="str">
        <f>IFERROR(INDEX('CASE MASTER'!$S$2:$S$495,MATCH("Case WB Box 6: F1",'CASE MASTER'!$K$2:$K$495,0)),"")</f>
        <v/>
      </c>
      <c r="C73" s="9" t="str">
        <f>IFERROR(INDEX('CASE MASTER'!$S$2:$S$495,MATCH("Case WB Box 6: F2",'CASE MASTER'!$K$2:$K$495,0)),"")</f>
        <v/>
      </c>
      <c r="D73" s="9" t="str">
        <f>IFERROR(INDEX('CASE MASTER'!$S$2:$S$495,MATCH("Case WB Box 6: F3",'CASE MASTER'!$K$2:$K$495,0)),"")</f>
        <v/>
      </c>
      <c r="E73" s="9" t="str">
        <f>IFERROR(INDEX('CASE MASTER'!$S$2:$S$495,MATCH("Case WB Box 6: F4",'CASE MASTER'!$K$2:$K$495,0)),"")</f>
        <v/>
      </c>
      <c r="F73" s="9" t="str">
        <f>IFERROR(INDEX('CASE MASTER'!$S$2:$S$495,MATCH("Case WB Box 6: F5",'CASE MASTER'!$K$2:$K$495,0)),"")</f>
        <v/>
      </c>
      <c r="G73" s="9" t="str">
        <f>IFERROR(INDEX('CASE MASTER'!$S$2:$S$495,MATCH("Case WB Box 6: F6",'CASE MASTER'!$K$2:$K$495,0)),"")</f>
        <v/>
      </c>
      <c r="H73" s="9" t="str">
        <f>IFERROR(INDEX('CASE MASTER'!$S$2:$S$495,MATCH("Case WB Box 6: F7",'CASE MASTER'!$K$2:$K$495,0)),"")</f>
        <v/>
      </c>
      <c r="I73" s="9" t="str">
        <f>IFERROR(INDEX('CASE MASTER'!$S$2:$S$495,MATCH("Case WB Box 6: F8",'CASE MASTER'!$K$2:$K$495,0)),"")</f>
        <v/>
      </c>
      <c r="J73" s="9" t="str">
        <f>IFERROR(INDEX('CASE MASTER'!$S$2:$S$495,MATCH("Case WB Box 6: F9",'CASE MASTER'!$K$2:$K$495,0)),"")</f>
        <v/>
      </c>
    </row>
    <row r="74" spans="1:10" ht="15" customHeight="1" x14ac:dyDescent="0.35">
      <c r="A74" s="8" t="s">
        <v>34</v>
      </c>
      <c r="B74" s="9" t="str">
        <f>IFERROR(INDEX('CASE MASTER'!$S$2:$S$495,MATCH("Case WB Box 6: G1",'CASE MASTER'!$K$2:$K$495,0)),"")</f>
        <v/>
      </c>
      <c r="C74" s="9" t="str">
        <f>IFERROR(INDEX('CASE MASTER'!$S$2:$S$495,MATCH("Case WB Box 6: G2",'CASE MASTER'!$K$2:$K$495,0)),"")</f>
        <v/>
      </c>
      <c r="D74" s="9" t="str">
        <f>IFERROR(INDEX('CASE MASTER'!$S$2:$S$495,MATCH("Case WB Box 6: G3",'CASE MASTER'!$K$2:$K$495,0)),"")</f>
        <v/>
      </c>
      <c r="E74" s="9" t="str">
        <f>IFERROR(INDEX('CASE MASTER'!$S$2:$S$495,MATCH("Case WB Box 6: G4",'CASE MASTER'!$K$2:$K$495,0)),"")</f>
        <v/>
      </c>
      <c r="F74" s="9" t="str">
        <f>IFERROR(INDEX('CASE MASTER'!$S$2:$S$495,MATCH("Case WB Box 6: G5",'CASE MASTER'!$K$2:$K$495,0)),"")</f>
        <v/>
      </c>
      <c r="G74" s="9" t="str">
        <f>IFERROR(INDEX('CASE MASTER'!$S$2:$S$495,MATCH("Case WB Box 6: G6",'CASE MASTER'!$K$2:$K$495,0)),"")</f>
        <v/>
      </c>
      <c r="H74" s="9" t="str">
        <f>IFERROR(INDEX('CASE MASTER'!$S$2:$S$495,MATCH("Case WB Box 6: G7",'CASE MASTER'!$K$2:$K$495,0)),"")</f>
        <v/>
      </c>
      <c r="I74" s="9" t="str">
        <f>IFERROR(INDEX('CASE MASTER'!$S$2:$S$495,MATCH("Case WB Box 6: G8",'CASE MASTER'!$K$2:$K$495,0)),"")</f>
        <v/>
      </c>
      <c r="J74" s="9" t="str">
        <f>IFERROR(INDEX('CASE MASTER'!$S$2:$S$495,MATCH("Case WB Box 6: G9",'CASE MASTER'!$K$2:$K$495,0)),"")</f>
        <v/>
      </c>
    </row>
    <row r="75" spans="1:10" ht="15" customHeight="1" x14ac:dyDescent="0.35">
      <c r="A75" s="8" t="s">
        <v>35</v>
      </c>
      <c r="B75" s="9" t="str">
        <f>IFERROR(INDEX('CASE MASTER'!$S$2:$S$495,MATCH("Case WB Box 6: H1",'CASE MASTER'!$K$2:$K$495,0)),"")</f>
        <v/>
      </c>
      <c r="C75" s="9" t="str">
        <f>IFERROR(INDEX('CASE MASTER'!$S$2:$S$495,MATCH("Case WB Box 6: H2",'CASE MASTER'!$K$2:$K$495,0)),"")</f>
        <v/>
      </c>
      <c r="D75" s="9" t="str">
        <f>IFERROR(INDEX('CASE MASTER'!$S$2:$S$495,MATCH("Case WB Box 6: H3",'CASE MASTER'!$K$2:$K$495,0)),"")</f>
        <v/>
      </c>
      <c r="E75" s="9" t="str">
        <f>IFERROR(INDEX('CASE MASTER'!$S$2:$S$495,MATCH("Case WB Box 6: H4",'CASE MASTER'!$K$2:$K$495,0)),"")</f>
        <v/>
      </c>
      <c r="F75" s="9" t="str">
        <f>IFERROR(INDEX('CASE MASTER'!$S$2:$S$495,MATCH("Case WB Box 6: H5",'CASE MASTER'!$K$2:$K$495,0)),"")</f>
        <v/>
      </c>
      <c r="G75" s="9" t="str">
        <f>IFERROR(INDEX('CASE MASTER'!$S$2:$S$495,MATCH("Case WB Box 6: H6",'CASE MASTER'!$K$2:$K$495,0)),"")</f>
        <v/>
      </c>
      <c r="H75" s="9" t="str">
        <f>IFERROR(INDEX('CASE MASTER'!$S$2:$S$495,MATCH("Case WB Box 6: H7",'CASE MASTER'!$K$2:$K$495,0)),"")</f>
        <v/>
      </c>
      <c r="I75" s="9" t="str">
        <f>IFERROR(INDEX('CASE MASTER'!$S$2:$S$495,MATCH("Case WB Box 6: H8",'CASE MASTER'!$K$2:$K$495,0)),"")</f>
        <v/>
      </c>
      <c r="J75" s="9" t="str">
        <f>IFERROR(INDEX('CASE MASTER'!$S$2:$S$495,MATCH("Case WB Box 6: H9",'CASE MASTER'!$K$2:$K$495,0)),"")</f>
        <v/>
      </c>
    </row>
    <row r="76" spans="1:10" ht="15" customHeight="1" x14ac:dyDescent="0.35">
      <c r="A76" s="8" t="s">
        <v>81</v>
      </c>
      <c r="B76" s="9" t="str">
        <f>IFERROR(INDEX('CASE MASTER'!$S$2:$S$495,MATCH("Case WB Box 6: I1",'CASE MASTER'!$K$2:$K$495,0)),"")</f>
        <v/>
      </c>
      <c r="C76" s="9" t="str">
        <f>IFERROR(INDEX('CASE MASTER'!$S$2:$S$495,MATCH("Case WB Box 6: I2",'CASE MASTER'!$K$2:$K$495,0)),"")</f>
        <v/>
      </c>
      <c r="D76" s="9" t="str">
        <f>IFERROR(INDEX('CASE MASTER'!$S$2:$S$495,MATCH("Case WB Box 6: I3",'CASE MASTER'!$K$2:$K$495,0)),"")</f>
        <v/>
      </c>
      <c r="E76" s="9" t="str">
        <f>IFERROR(INDEX('CASE MASTER'!$S$2:$S$495,MATCH("Case WB Box 6: I4",'CASE MASTER'!$K$2:$K$495,0)),"")</f>
        <v/>
      </c>
      <c r="F76" s="9" t="str">
        <f>IFERROR(INDEX('CASE MASTER'!$S$2:$S$495,MATCH("Case WB Box 6: I5",'CASE MASTER'!$K$2:$K$495,0)),"")</f>
        <v/>
      </c>
      <c r="G76" s="9" t="str">
        <f>IFERROR(INDEX('CASE MASTER'!$S$2:$S$495,MATCH("Case WB Box 6: I6",'CASE MASTER'!$K$2:$K$495,0)),"")</f>
        <v/>
      </c>
      <c r="H76" s="9" t="str">
        <f>IFERROR(INDEX('CASE MASTER'!$S$2:$S$495,MATCH("Case WB Box 6: I7",'CASE MASTER'!$K$2:$K$495,0)),"")</f>
        <v/>
      </c>
      <c r="I76" s="9" t="str">
        <f>IFERROR(INDEX('CASE MASTER'!$S$2:$S$495,MATCH("Case WB Box 6: I8",'CASE MASTER'!$K$2:$K$495,0)),"")</f>
        <v/>
      </c>
      <c r="J76" s="9" t="str">
        <f>IFERROR(INDEX('CASE MASTER'!$S$2:$S$495,MATCH("Case WB Box 6: I9",'CASE MASTER'!$K$2:$K$495,0)),"")</f>
        <v/>
      </c>
    </row>
    <row r="79" spans="1:10" ht="15" customHeight="1" x14ac:dyDescent="0.35">
      <c r="A79" s="12" t="s">
        <v>103</v>
      </c>
      <c r="B79" s="13"/>
      <c r="C79" s="13"/>
      <c r="D79" s="13"/>
      <c r="E79" s="13"/>
      <c r="F79" s="13"/>
      <c r="G79" s="13"/>
      <c r="H79" s="13"/>
      <c r="I79" s="13"/>
      <c r="J79" s="13"/>
    </row>
    <row r="80" spans="1:10" ht="15" customHeight="1" x14ac:dyDescent="0.35">
      <c r="B80" s="8">
        <v>1</v>
      </c>
      <c r="C80" s="8">
        <v>2</v>
      </c>
      <c r="D80" s="8">
        <v>3</v>
      </c>
      <c r="E80" s="8">
        <v>4</v>
      </c>
      <c r="F80" s="8">
        <v>5</v>
      </c>
      <c r="G80" s="8">
        <v>6</v>
      </c>
      <c r="H80" s="8">
        <v>7</v>
      </c>
      <c r="I80" s="8">
        <v>8</v>
      </c>
      <c r="J80" s="8">
        <v>9</v>
      </c>
    </row>
    <row r="81" spans="1:10" ht="15" customHeight="1" x14ac:dyDescent="0.35">
      <c r="A81" s="8" t="s">
        <v>28</v>
      </c>
      <c r="B81" s="9" t="str">
        <f>IFERROR(INDEX('CASE MASTER'!$S$2:$S$495,MATCH("Case WB Box 7: A1",'CASE MASTER'!$K$2:$K$495,0)),"")</f>
        <v/>
      </c>
      <c r="C81" s="9" t="str">
        <f>IFERROR(INDEX('CASE MASTER'!$S$2:$S$495,MATCH("Case WB Box 7: A2",'CASE MASTER'!$K$2:$K$495,0)),"")</f>
        <v/>
      </c>
      <c r="D81" s="9" t="str">
        <f>IFERROR(INDEX('CASE MASTER'!$S$2:$S$495,MATCH("Case WB Box 7: A3",'CASE MASTER'!$K$2:$K$495,0)),"")</f>
        <v/>
      </c>
      <c r="E81" s="9" t="str">
        <f>IFERROR(INDEX('CASE MASTER'!$S$2:$S$495,MATCH("Case WB Box 7: A4",'CASE MASTER'!$K$2:$K$495,0)),"")</f>
        <v/>
      </c>
      <c r="F81" s="9" t="str">
        <f>IFERROR(INDEX('CASE MASTER'!$S$2:$S$495,MATCH("Case WB Box 7: A5",'CASE MASTER'!$K$2:$K$495,0)),"")</f>
        <v/>
      </c>
      <c r="G81" s="9" t="str">
        <f>IFERROR(INDEX('CASE MASTER'!$S$2:$S$495,MATCH("Case WB Box 7: A6",'CASE MASTER'!$K$2:$K$495,0)),"")</f>
        <v/>
      </c>
      <c r="H81" s="9" t="str">
        <f>IFERROR(INDEX('CASE MASTER'!$S$2:$S$495,MATCH("Case WB Box 7: A7",'CASE MASTER'!$K$2:$K$495,0)),"")</f>
        <v/>
      </c>
      <c r="I81" s="9" t="str">
        <f>IFERROR(INDEX('CASE MASTER'!$S$2:$S$495,MATCH("Case WB Box 7: A8",'CASE MASTER'!$K$2:$K$495,0)),"")</f>
        <v/>
      </c>
      <c r="J81" s="9" t="str">
        <f>IFERROR(INDEX('CASE MASTER'!$S$2:$S$495,MATCH("Case WB Box 7: A9",'CASE MASTER'!$K$2:$K$495,0)),"")</f>
        <v/>
      </c>
    </row>
    <row r="82" spans="1:10" ht="15" customHeight="1" x14ac:dyDescent="0.35">
      <c r="A82" s="8" t="s">
        <v>29</v>
      </c>
      <c r="B82" s="9" t="str">
        <f>IFERROR(INDEX('CASE MASTER'!$S$2:$S$495,MATCH("Case WB Box 7: B1",'CASE MASTER'!$K$2:$K$495,0)),"")</f>
        <v/>
      </c>
      <c r="C82" s="9" t="str">
        <f>IFERROR(INDEX('CASE MASTER'!$S$2:$S$495,MATCH("Case WB Box 7: B2",'CASE MASTER'!$K$2:$K$495,0)),"")</f>
        <v/>
      </c>
      <c r="D82" s="9" t="str">
        <f>IFERROR(INDEX('CASE MASTER'!$S$2:$S$495,MATCH("Case WB Box 7: B3",'CASE MASTER'!$K$2:$K$495,0)),"")</f>
        <v/>
      </c>
      <c r="E82" s="9" t="str">
        <f>IFERROR(INDEX('CASE MASTER'!$S$2:$S$495,MATCH("Case WB Box 7: B4",'CASE MASTER'!$K$2:$K$495,0)),"")</f>
        <v/>
      </c>
      <c r="F82" s="9" t="str">
        <f>IFERROR(INDEX('CASE MASTER'!$S$2:$S$495,MATCH("Case WB Box 7: B5",'CASE MASTER'!$K$2:$K$495,0)),"")</f>
        <v/>
      </c>
      <c r="G82" s="9" t="str">
        <f>IFERROR(INDEX('CASE MASTER'!$S$2:$S$495,MATCH("Case WB Box 7: B6",'CASE MASTER'!$K$2:$K$495,0)),"")</f>
        <v/>
      </c>
      <c r="H82" s="9" t="str">
        <f>IFERROR(INDEX('CASE MASTER'!$S$2:$S$495,MATCH("Case WB Box 7: B7",'CASE MASTER'!$K$2:$K$495,0)),"")</f>
        <v/>
      </c>
      <c r="I82" s="9" t="str">
        <f>IFERROR(INDEX('CASE MASTER'!$S$2:$S$495,MATCH("Case WB Box 7: B8",'CASE MASTER'!$K$2:$K$495,0)),"")</f>
        <v/>
      </c>
      <c r="J82" s="9" t="str">
        <f>IFERROR(INDEX('CASE MASTER'!$S$2:$S$495,MATCH("Case WB Box 7: B9",'CASE MASTER'!$K$2:$K$495,0)),"")</f>
        <v/>
      </c>
    </row>
    <row r="83" spans="1:10" ht="15" customHeight="1" x14ac:dyDescent="0.35">
      <c r="A83" s="8" t="s">
        <v>30</v>
      </c>
      <c r="B83" s="9" t="str">
        <f>IFERROR(INDEX('CASE MASTER'!$S$2:$S$495,MATCH("Case WB Box 7: C1",'CASE MASTER'!$K$2:$K$495,0)),"")</f>
        <v/>
      </c>
      <c r="C83" s="9" t="str">
        <f>IFERROR(INDEX('CASE MASTER'!$S$2:$S$495,MATCH("Case WB Box 7: C2",'CASE MASTER'!$K$2:$K$495,0)),"")</f>
        <v/>
      </c>
      <c r="D83" s="9" t="str">
        <f>IFERROR(INDEX('CASE MASTER'!$S$2:$S$495,MATCH("Case WB Box 7: C3",'CASE MASTER'!$K$2:$K$495,0)),"")</f>
        <v/>
      </c>
      <c r="E83" s="9" t="str">
        <f>IFERROR(INDEX('CASE MASTER'!$S$2:$S$495,MATCH("Case WB Box 7: C4",'CASE MASTER'!$K$2:$K$495,0)),"")</f>
        <v/>
      </c>
      <c r="F83" s="9" t="str">
        <f>IFERROR(INDEX('CASE MASTER'!$S$2:$S$495,MATCH("Case WB Box 7: C5",'CASE MASTER'!$K$2:$K$495,0)),"")</f>
        <v/>
      </c>
      <c r="G83" s="9" t="str">
        <f>IFERROR(INDEX('CASE MASTER'!$S$2:$S$495,MATCH("Case WB Box 7: C6",'CASE MASTER'!$K$2:$K$495,0)),"")</f>
        <v/>
      </c>
      <c r="H83" s="9" t="str">
        <f>IFERROR(INDEX('CASE MASTER'!$S$2:$S$495,MATCH("Case WB Box 7: C7",'CASE MASTER'!$K$2:$K$495,0)),"")</f>
        <v/>
      </c>
      <c r="I83" s="9" t="str">
        <f>IFERROR(INDEX('CASE MASTER'!$S$2:$S$495,MATCH("Case WB Box 7: C8",'CASE MASTER'!$K$2:$K$495,0)),"")</f>
        <v/>
      </c>
      <c r="J83" s="9" t="str">
        <f>IFERROR(INDEX('CASE MASTER'!$S$2:$S$495,MATCH("Case WB Box 7: C9",'CASE MASTER'!$K$2:$K$495,0)),"")</f>
        <v/>
      </c>
    </row>
    <row r="84" spans="1:10" ht="15" customHeight="1" x14ac:dyDescent="0.35">
      <c r="A84" s="8" t="s">
        <v>31</v>
      </c>
      <c r="B84" s="9" t="str">
        <f>IFERROR(INDEX('CASE MASTER'!$S$2:$S$495,MATCH("Case WB Box 7: D1",'CASE MASTER'!$K$2:$K$495,0)),"")</f>
        <v/>
      </c>
      <c r="C84" s="9" t="str">
        <f>IFERROR(INDEX('CASE MASTER'!$S$2:$S$495,MATCH("Case WB Box 7: D2",'CASE MASTER'!$K$2:$K$495,0)),"")</f>
        <v/>
      </c>
      <c r="D84" s="9" t="str">
        <f>IFERROR(INDEX('CASE MASTER'!$S$2:$S$495,MATCH("Case WB Box 7: D3",'CASE MASTER'!$K$2:$K$495,0)),"")</f>
        <v/>
      </c>
      <c r="E84" s="9" t="str">
        <f>IFERROR(INDEX('CASE MASTER'!$S$2:$S$495,MATCH("Case WB Box 7: D4",'CASE MASTER'!$K$2:$K$495,0)),"")</f>
        <v/>
      </c>
      <c r="F84" s="9" t="str">
        <f>IFERROR(INDEX('CASE MASTER'!$S$2:$S$495,MATCH("Case WB Box 7: D5",'CASE MASTER'!$K$2:$K$495,0)),"")</f>
        <v/>
      </c>
      <c r="G84" s="9" t="str">
        <f>IFERROR(INDEX('CASE MASTER'!$S$2:$S$495,MATCH("Case WB Box 7: D6",'CASE MASTER'!$K$2:$K$495,0)),"")</f>
        <v/>
      </c>
      <c r="H84" s="9" t="str">
        <f>IFERROR(INDEX('CASE MASTER'!$S$2:$S$495,MATCH("Case WB Box 7: D7",'CASE MASTER'!$K$2:$K$495,0)),"")</f>
        <v/>
      </c>
      <c r="I84" s="9" t="str">
        <f>IFERROR(INDEX('CASE MASTER'!$S$2:$S$495,MATCH("Case WB Box 7: D8",'CASE MASTER'!$K$2:$K$495,0)),"")</f>
        <v/>
      </c>
      <c r="J84" s="9" t="str">
        <f>IFERROR(INDEX('CASE MASTER'!$S$2:$S$495,MATCH("Case WB Box 7: D9",'CASE MASTER'!$K$2:$K$495,0)),"")</f>
        <v/>
      </c>
    </row>
    <row r="85" spans="1:10" ht="15" customHeight="1" x14ac:dyDescent="0.35">
      <c r="A85" s="8" t="s">
        <v>32</v>
      </c>
      <c r="B85" s="9" t="str">
        <f>IFERROR(INDEX('CASE MASTER'!$S$2:$S$495,MATCH("Case WB Box 7: E1",'CASE MASTER'!$K$2:$K$495,0)),"")</f>
        <v/>
      </c>
      <c r="C85" s="9" t="str">
        <f>IFERROR(INDEX('CASE MASTER'!$S$2:$S$495,MATCH("Case WB Box 7: E2",'CASE MASTER'!$K$2:$K$495,0)),"")</f>
        <v/>
      </c>
      <c r="D85" s="9" t="str">
        <f>IFERROR(INDEX('CASE MASTER'!$S$2:$S$495,MATCH("Case WB Box 7: E3",'CASE MASTER'!$K$2:$K$495,0)),"")</f>
        <v/>
      </c>
      <c r="E85" s="9" t="str">
        <f>IFERROR(INDEX('CASE MASTER'!$S$2:$S$495,MATCH("Case WB Box 7: E4",'CASE MASTER'!$K$2:$K$495,0)),"")</f>
        <v/>
      </c>
      <c r="F85" s="9" t="str">
        <f>IFERROR(INDEX('CASE MASTER'!$S$2:$S$495,MATCH("Case WB Box 7: E5",'CASE MASTER'!$K$2:$K$495,0)),"")</f>
        <v/>
      </c>
      <c r="G85" s="9" t="str">
        <f>IFERROR(INDEX('CASE MASTER'!$S$2:$S$495,MATCH("Case WB Box 7: E6",'CASE MASTER'!$K$2:$K$495,0)),"")</f>
        <v/>
      </c>
      <c r="H85" s="9" t="str">
        <f>IFERROR(INDEX('CASE MASTER'!$S$2:$S$495,MATCH("Case WB Box 7: E7",'CASE MASTER'!$K$2:$K$495,0)),"")</f>
        <v/>
      </c>
      <c r="I85" s="9" t="str">
        <f>IFERROR(INDEX('CASE MASTER'!$S$2:$S$495,MATCH("Case WB Box 7: E8",'CASE MASTER'!$K$2:$K$495,0)),"")</f>
        <v/>
      </c>
      <c r="J85" s="9" t="str">
        <f>IFERROR(INDEX('CASE MASTER'!$S$2:$S$495,MATCH("Case WB Box 7: E9",'CASE MASTER'!$K$2:$K$495,0)),"")</f>
        <v/>
      </c>
    </row>
    <row r="86" spans="1:10" ht="15" customHeight="1" x14ac:dyDescent="0.35">
      <c r="A86" s="8" t="s">
        <v>33</v>
      </c>
      <c r="B86" s="9" t="str">
        <f>IFERROR(INDEX('CASE MASTER'!$S$2:$S$495,MATCH("Case WB Box 7: F1",'CASE MASTER'!$K$2:$K$495,0)),"")</f>
        <v/>
      </c>
      <c r="C86" s="9" t="str">
        <f>IFERROR(INDEX('CASE MASTER'!$S$2:$S$495,MATCH("Case WB Box 7: F2",'CASE MASTER'!$K$2:$K$495,0)),"")</f>
        <v/>
      </c>
      <c r="D86" s="9" t="str">
        <f>IFERROR(INDEX('CASE MASTER'!$S$2:$S$495,MATCH("Case WB Box 7: F3",'CASE MASTER'!$K$2:$K$495,0)),"")</f>
        <v/>
      </c>
      <c r="E86" s="9" t="str">
        <f>IFERROR(INDEX('CASE MASTER'!$S$2:$S$495,MATCH("Case WB Box 7: F4",'CASE MASTER'!$K$2:$K$495,0)),"")</f>
        <v/>
      </c>
      <c r="F86" s="9" t="str">
        <f>IFERROR(INDEX('CASE MASTER'!$S$2:$S$495,MATCH("Case WB Box 7: F5",'CASE MASTER'!$K$2:$K$495,0)),"")</f>
        <v/>
      </c>
      <c r="G86" s="9" t="str">
        <f>IFERROR(INDEX('CASE MASTER'!$S$2:$S$495,MATCH("Case WB Box 7: F6",'CASE MASTER'!$K$2:$K$495,0)),"")</f>
        <v/>
      </c>
      <c r="H86" s="9" t="str">
        <f>IFERROR(INDEX('CASE MASTER'!$S$2:$S$495,MATCH("Case WB Box 7: F7",'CASE MASTER'!$K$2:$K$495,0)),"")</f>
        <v/>
      </c>
      <c r="I86" s="9" t="str">
        <f>IFERROR(INDEX('CASE MASTER'!$S$2:$S$495,MATCH("Case WB Box 7: F8",'CASE MASTER'!$K$2:$K$495,0)),"")</f>
        <v/>
      </c>
      <c r="J86" s="9" t="str">
        <f>IFERROR(INDEX('CASE MASTER'!$S$2:$S$495,MATCH("Case WB Box 7: F9",'CASE MASTER'!$K$2:$K$495,0)),"")</f>
        <v/>
      </c>
    </row>
    <row r="87" spans="1:10" ht="15" customHeight="1" x14ac:dyDescent="0.35">
      <c r="A87" s="8" t="s">
        <v>34</v>
      </c>
      <c r="B87" s="9" t="str">
        <f>IFERROR(INDEX('CASE MASTER'!$S$2:$S$495,MATCH("Case WB Box 7: G1",'CASE MASTER'!$K$2:$K$495,0)),"")</f>
        <v/>
      </c>
      <c r="C87" s="9" t="str">
        <f>IFERROR(INDEX('CASE MASTER'!$S$2:$S$495,MATCH("Case WB Box 7: G2",'CASE MASTER'!$K$2:$K$495,0)),"")</f>
        <v/>
      </c>
      <c r="D87" s="9" t="str">
        <f>IFERROR(INDEX('CASE MASTER'!$S$2:$S$495,MATCH("Case WB Box 7: G3",'CASE MASTER'!$K$2:$K$495,0)),"")</f>
        <v/>
      </c>
      <c r="E87" s="9" t="str">
        <f>IFERROR(INDEX('CASE MASTER'!$S$2:$S$495,MATCH("Case WB Box 7: G4",'CASE MASTER'!$K$2:$K$495,0)),"")</f>
        <v/>
      </c>
      <c r="F87" s="9" t="str">
        <f>IFERROR(INDEX('CASE MASTER'!$S$2:$S$495,MATCH("Case WB Box 7: G5",'CASE MASTER'!$K$2:$K$495,0)),"")</f>
        <v/>
      </c>
      <c r="G87" s="9" t="str">
        <f>IFERROR(INDEX('CASE MASTER'!$S$2:$S$495,MATCH("Case WB Box 7: G6",'CASE MASTER'!$K$2:$K$495,0)),"")</f>
        <v/>
      </c>
      <c r="H87" s="9" t="str">
        <f>IFERROR(INDEX('CASE MASTER'!$S$2:$S$495,MATCH("Case WB Box 7: G7",'CASE MASTER'!$K$2:$K$495,0)),"")</f>
        <v/>
      </c>
      <c r="I87" s="9" t="str">
        <f>IFERROR(INDEX('CASE MASTER'!$S$2:$S$495,MATCH("Case WB Box 7: G8",'CASE MASTER'!$K$2:$K$495,0)),"")</f>
        <v/>
      </c>
      <c r="J87" s="9" t="str">
        <f>IFERROR(INDEX('CASE MASTER'!$S$2:$S$495,MATCH("Case WB Box 7: G9",'CASE MASTER'!$K$2:$K$495,0)),"")</f>
        <v/>
      </c>
    </row>
    <row r="88" spans="1:10" ht="15" customHeight="1" x14ac:dyDescent="0.35">
      <c r="A88" s="8" t="s">
        <v>35</v>
      </c>
      <c r="B88" s="9" t="str">
        <f>IFERROR(INDEX('CASE MASTER'!$S$2:$S$495,MATCH("Case WB Box 7: H1",'CASE MASTER'!$K$2:$K$495,0)),"")</f>
        <v/>
      </c>
      <c r="C88" s="9" t="str">
        <f>IFERROR(INDEX('CASE MASTER'!$S$2:$S$495,MATCH("Case WB Box 7: H2",'CASE MASTER'!$K$2:$K$495,0)),"")</f>
        <v/>
      </c>
      <c r="D88" s="9" t="str">
        <f>IFERROR(INDEX('CASE MASTER'!$S$2:$S$495,MATCH("Case WB Box 7: H3",'CASE MASTER'!$K$2:$K$495,0)),"")</f>
        <v/>
      </c>
      <c r="E88" s="9" t="str">
        <f>IFERROR(INDEX('CASE MASTER'!$S$2:$S$495,MATCH("Case WB Box 7: H4",'CASE MASTER'!$K$2:$K$495,0)),"")</f>
        <v/>
      </c>
      <c r="F88" s="9" t="str">
        <f>IFERROR(INDEX('CASE MASTER'!$S$2:$S$495,MATCH("Case WB Box 7: H5",'CASE MASTER'!$K$2:$K$495,0)),"")</f>
        <v/>
      </c>
      <c r="G88" s="9" t="str">
        <f>IFERROR(INDEX('CASE MASTER'!$S$2:$S$495,MATCH("Case WB Box 7: H6",'CASE MASTER'!$K$2:$K$495,0)),"")</f>
        <v/>
      </c>
      <c r="H88" s="9" t="str">
        <f>IFERROR(INDEX('CASE MASTER'!$S$2:$S$495,MATCH("Case WB Box 7: H7",'CASE MASTER'!$K$2:$K$495,0)),"")</f>
        <v/>
      </c>
      <c r="I88" s="9" t="str">
        <f>IFERROR(INDEX('CASE MASTER'!$S$2:$S$495,MATCH("Case WB Box 7: H8",'CASE MASTER'!$K$2:$K$495,0)),"")</f>
        <v/>
      </c>
      <c r="J88" s="9" t="str">
        <f>IFERROR(INDEX('CASE MASTER'!$S$2:$S$495,MATCH("Case WB Box 7: H9",'CASE MASTER'!$K$2:$K$495,0)),"")</f>
        <v/>
      </c>
    </row>
    <row r="89" spans="1:10" ht="15" customHeight="1" x14ac:dyDescent="0.35">
      <c r="A89" s="8" t="s">
        <v>81</v>
      </c>
      <c r="B89" s="9" t="str">
        <f>IFERROR(INDEX('CASE MASTER'!$S$2:$S$495,MATCH("Case WB Box 7: I1",'CASE MASTER'!$K$2:$K$495,0)),"")</f>
        <v/>
      </c>
      <c r="C89" s="9" t="str">
        <f>IFERROR(INDEX('CASE MASTER'!$S$2:$S$495,MATCH("Case WB Box 7: I2",'CASE MASTER'!$K$2:$K$495,0)),"")</f>
        <v/>
      </c>
      <c r="D89" s="9" t="str">
        <f>IFERROR(INDEX('CASE MASTER'!$S$2:$S$495,MATCH("Case WB Box 7: I3",'CASE MASTER'!$K$2:$K$495,0)),"")</f>
        <v/>
      </c>
      <c r="E89" s="9" t="str">
        <f>IFERROR(INDEX('CASE MASTER'!$S$2:$S$495,MATCH("Case WB Box 7: I4",'CASE MASTER'!$K$2:$K$495,0)),"")</f>
        <v/>
      </c>
      <c r="F89" s="9" t="str">
        <f>IFERROR(INDEX('CASE MASTER'!$S$2:$S$495,MATCH("Case WB Box 7: I5",'CASE MASTER'!$K$2:$K$495,0)),"")</f>
        <v/>
      </c>
      <c r="G89" s="9" t="str">
        <f>IFERROR(INDEX('CASE MASTER'!$S$2:$S$495,MATCH("Case WB Box 7: I6",'CASE MASTER'!$K$2:$K$495,0)),"")</f>
        <v/>
      </c>
      <c r="H89" s="9" t="str">
        <f>IFERROR(INDEX('CASE MASTER'!$S$2:$S$495,MATCH("Case WB Box 7: I7",'CASE MASTER'!$K$2:$K$495,0)),"")</f>
        <v/>
      </c>
      <c r="I89" s="9" t="str">
        <f>IFERROR(INDEX('CASE MASTER'!$S$2:$S$495,MATCH("Case WB Box 7: I8",'CASE MASTER'!$K$2:$K$495,0)),"")</f>
        <v/>
      </c>
      <c r="J89" s="9" t="str">
        <f>IFERROR(INDEX('CASE MASTER'!$S$2:$S$495,MATCH("Case WB Box 7: I9",'CASE MASTER'!$K$2:$K$495,0)),"")</f>
        <v/>
      </c>
    </row>
    <row r="92" spans="1:10" ht="15" customHeight="1" x14ac:dyDescent="0.35">
      <c r="A92" s="12" t="s">
        <v>104</v>
      </c>
      <c r="B92" s="13"/>
      <c r="C92" s="13"/>
      <c r="D92" s="13"/>
      <c r="E92" s="13"/>
      <c r="F92" s="13"/>
      <c r="G92" s="13"/>
      <c r="H92" s="13"/>
      <c r="I92" s="13"/>
      <c r="J92" s="13"/>
    </row>
    <row r="93" spans="1:10" ht="15" customHeight="1" x14ac:dyDescent="0.35">
      <c r="B93" s="8">
        <v>1</v>
      </c>
      <c r="C93" s="8">
        <v>2</v>
      </c>
      <c r="D93" s="8">
        <v>3</v>
      </c>
      <c r="E93" s="8">
        <v>4</v>
      </c>
      <c r="F93" s="8">
        <v>5</v>
      </c>
      <c r="G93" s="8">
        <v>6</v>
      </c>
      <c r="H93" s="8">
        <v>7</v>
      </c>
      <c r="I93" s="8">
        <v>8</v>
      </c>
      <c r="J93" s="8">
        <v>9</v>
      </c>
    </row>
    <row r="94" spans="1:10" ht="15" customHeight="1" x14ac:dyDescent="0.35">
      <c r="A94" s="8" t="s">
        <v>28</v>
      </c>
      <c r="B94" s="9" t="str">
        <f>IFERROR(INDEX('CASE MASTER'!$S$2:$S$495,MATCH("Case WB Box 8: A1",'CASE MASTER'!$K$2:$K$495,0)),"")</f>
        <v/>
      </c>
      <c r="C94" s="9" t="str">
        <f>IFERROR(INDEX('CASE MASTER'!$S$2:$S$495,MATCH("Case WB Box 8: A2",'CASE MASTER'!$K$2:$K$495,0)),"")</f>
        <v/>
      </c>
      <c r="D94" s="9" t="str">
        <f>IFERROR(INDEX('CASE MASTER'!$S$2:$S$495,MATCH("Case WB Box 8: A3",'CASE MASTER'!$K$2:$K$495,0)),"")</f>
        <v/>
      </c>
      <c r="E94" s="9" t="str">
        <f>IFERROR(INDEX('CASE MASTER'!$S$2:$S$495,MATCH("Case WB Box 8: A4",'CASE MASTER'!$K$2:$K$495,0)),"")</f>
        <v/>
      </c>
      <c r="F94" s="9" t="str">
        <f>IFERROR(INDEX('CASE MASTER'!$S$2:$S$495,MATCH("Case WB Box 8: A5",'CASE MASTER'!$K$2:$K$495,0)),"")</f>
        <v/>
      </c>
      <c r="G94" s="9" t="str">
        <f>IFERROR(INDEX('CASE MASTER'!$S$2:$S$495,MATCH("Case WB Box 8: A6",'CASE MASTER'!$K$2:$K$495,0)),"")</f>
        <v/>
      </c>
      <c r="H94" s="9" t="str">
        <f>IFERROR(INDEX('CASE MASTER'!$S$2:$S$495,MATCH("Case WB Box 8: A7",'CASE MASTER'!$K$2:$K$495,0)),"")</f>
        <v/>
      </c>
      <c r="I94" s="9" t="str">
        <f>IFERROR(INDEX('CASE MASTER'!$S$2:$S$495,MATCH("Case WB Box 8: A8",'CASE MASTER'!$K$2:$K$495,0)),"")</f>
        <v/>
      </c>
      <c r="J94" s="9" t="str">
        <f>IFERROR(INDEX('CASE MASTER'!$S$2:$S$495,MATCH("Case WB Box 8: A9",'CASE MASTER'!$K$2:$K$495,0)),"")</f>
        <v/>
      </c>
    </row>
    <row r="95" spans="1:10" ht="15" customHeight="1" x14ac:dyDescent="0.35">
      <c r="A95" s="8" t="s">
        <v>29</v>
      </c>
      <c r="B95" s="9" t="str">
        <f>IFERROR(INDEX('CASE MASTER'!$S$2:$S$495,MATCH("Case WB Box 8: B1",'CASE MASTER'!$K$2:$K$495,0)),"")</f>
        <v/>
      </c>
      <c r="C95" s="9" t="str">
        <f>IFERROR(INDEX('CASE MASTER'!$S$2:$S$495,MATCH("Case WB Box 8: B2",'CASE MASTER'!$K$2:$K$495,0)),"")</f>
        <v/>
      </c>
      <c r="D95" s="9" t="str">
        <f>IFERROR(INDEX('CASE MASTER'!$S$2:$S$495,MATCH("Case WB Box 8: B3",'CASE MASTER'!$K$2:$K$495,0)),"")</f>
        <v/>
      </c>
      <c r="E95" s="9" t="str">
        <f>IFERROR(INDEX('CASE MASTER'!$S$2:$S$495,MATCH("Case WB Box 8: B4",'CASE MASTER'!$K$2:$K$495,0)),"")</f>
        <v/>
      </c>
      <c r="F95" s="9" t="str">
        <f>IFERROR(INDEX('CASE MASTER'!$S$2:$S$495,MATCH("Case WB Box 8: B5",'CASE MASTER'!$K$2:$K$495,0)),"")</f>
        <v/>
      </c>
      <c r="G95" s="9" t="str">
        <f>IFERROR(INDEX('CASE MASTER'!$S$2:$S$495,MATCH("Case WB Box 8: B6",'CASE MASTER'!$K$2:$K$495,0)),"")</f>
        <v/>
      </c>
      <c r="H95" s="9" t="str">
        <f>IFERROR(INDEX('CASE MASTER'!$S$2:$S$495,MATCH("Case WB Box 8: B7",'CASE MASTER'!$K$2:$K$495,0)),"")</f>
        <v/>
      </c>
      <c r="I95" s="9" t="str">
        <f>IFERROR(INDEX('CASE MASTER'!$S$2:$S$495,MATCH("Case WB Box 8: B8",'CASE MASTER'!$K$2:$K$495,0)),"")</f>
        <v/>
      </c>
      <c r="J95" s="9" t="str">
        <f>IFERROR(INDEX('CASE MASTER'!$S$2:$S$495,MATCH("Case WB Box 8: B9",'CASE MASTER'!$K$2:$K$495,0)),"")</f>
        <v/>
      </c>
    </row>
    <row r="96" spans="1:10" ht="15" customHeight="1" x14ac:dyDescent="0.35">
      <c r="A96" s="8" t="s">
        <v>30</v>
      </c>
      <c r="B96" s="9" t="str">
        <f>IFERROR(INDEX('CASE MASTER'!$S$2:$S$495,MATCH("Case WB Box 8: C1",'CASE MASTER'!$K$2:$K$495,0)),"")</f>
        <v/>
      </c>
      <c r="C96" s="9" t="str">
        <f>IFERROR(INDEX('CASE MASTER'!$S$2:$S$495,MATCH("Case WB Box 8: C2",'CASE MASTER'!$K$2:$K$495,0)),"")</f>
        <v/>
      </c>
      <c r="D96" s="9" t="str">
        <f>IFERROR(INDEX('CASE MASTER'!$S$2:$S$495,MATCH("Case WB Box 8: C3",'CASE MASTER'!$K$2:$K$495,0)),"")</f>
        <v/>
      </c>
      <c r="E96" s="9" t="str">
        <f>IFERROR(INDEX('CASE MASTER'!$S$2:$S$495,MATCH("Case WB Box 8: C4",'CASE MASTER'!$K$2:$K$495,0)),"")</f>
        <v/>
      </c>
      <c r="F96" s="9" t="str">
        <f>IFERROR(INDEX('CASE MASTER'!$S$2:$S$495,MATCH("Case WB Box 8: C5",'CASE MASTER'!$K$2:$K$495,0)),"")</f>
        <v/>
      </c>
      <c r="G96" s="9" t="str">
        <f>IFERROR(INDEX('CASE MASTER'!$S$2:$S$495,MATCH("Case WB Box 8: C6",'CASE MASTER'!$K$2:$K$495,0)),"")</f>
        <v/>
      </c>
      <c r="H96" s="9" t="str">
        <f>IFERROR(INDEX('CASE MASTER'!$S$2:$S$495,MATCH("Case WB Box 8: C7",'CASE MASTER'!$K$2:$K$495,0)),"")</f>
        <v/>
      </c>
      <c r="I96" s="9" t="str">
        <f>IFERROR(INDEX('CASE MASTER'!$S$2:$S$495,MATCH("Case WB Box 8: C8",'CASE MASTER'!$K$2:$K$495,0)),"")</f>
        <v/>
      </c>
      <c r="J96" s="9" t="str">
        <f>IFERROR(INDEX('CASE MASTER'!$S$2:$S$495,MATCH("Case WB Box 8: C9",'CASE MASTER'!$K$2:$K$495,0)),"")</f>
        <v/>
      </c>
    </row>
    <row r="97" spans="1:10" ht="15" customHeight="1" x14ac:dyDescent="0.35">
      <c r="A97" s="8" t="s">
        <v>31</v>
      </c>
      <c r="B97" s="9" t="str">
        <f>IFERROR(INDEX('CASE MASTER'!$S$2:$S$495,MATCH("Case WB Box 8: D1",'CASE MASTER'!$K$2:$K$495,0)),"")</f>
        <v/>
      </c>
      <c r="C97" s="9" t="str">
        <f>IFERROR(INDEX('CASE MASTER'!$S$2:$S$495,MATCH("Case WB Box 8: D2",'CASE MASTER'!$K$2:$K$495,0)),"")</f>
        <v/>
      </c>
      <c r="D97" s="9" t="str">
        <f>IFERROR(INDEX('CASE MASTER'!$S$2:$S$495,MATCH("Case WB Box 8: D3",'CASE MASTER'!$K$2:$K$495,0)),"")</f>
        <v/>
      </c>
      <c r="E97" s="9" t="str">
        <f>IFERROR(INDEX('CASE MASTER'!$S$2:$S$495,MATCH("Case WB Box 8: D4",'CASE MASTER'!$K$2:$K$495,0)),"")</f>
        <v/>
      </c>
      <c r="F97" s="9" t="str">
        <f>IFERROR(INDEX('CASE MASTER'!$S$2:$S$495,MATCH("Case WB Box 8: D5",'CASE MASTER'!$K$2:$K$495,0)),"")</f>
        <v/>
      </c>
      <c r="G97" s="9" t="str">
        <f>IFERROR(INDEX('CASE MASTER'!$S$2:$S$495,MATCH("Case WB Box 8: D6",'CASE MASTER'!$K$2:$K$495,0)),"")</f>
        <v/>
      </c>
      <c r="H97" s="9" t="str">
        <f>IFERROR(INDEX('CASE MASTER'!$S$2:$S$495,MATCH("Case WB Box 8: D7",'CASE MASTER'!$K$2:$K$495,0)),"")</f>
        <v/>
      </c>
      <c r="I97" s="9" t="str">
        <f>IFERROR(INDEX('CASE MASTER'!$S$2:$S$495,MATCH("Case WB Box 8: D8",'CASE MASTER'!$K$2:$K$495,0)),"")</f>
        <v/>
      </c>
      <c r="J97" s="9" t="str">
        <f>IFERROR(INDEX('CASE MASTER'!$S$2:$S$495,MATCH("Case WB Box 8: D9",'CASE MASTER'!$K$2:$K$495,0)),"")</f>
        <v/>
      </c>
    </row>
    <row r="98" spans="1:10" ht="15" customHeight="1" x14ac:dyDescent="0.35">
      <c r="A98" s="8" t="s">
        <v>32</v>
      </c>
      <c r="B98" s="9" t="str">
        <f>IFERROR(INDEX('CASE MASTER'!$S$2:$S$495,MATCH("Case WB Box 8: E1",'CASE MASTER'!$K$2:$K$495,0)),"")</f>
        <v/>
      </c>
      <c r="C98" s="9" t="str">
        <f>IFERROR(INDEX('CASE MASTER'!$S$2:$S$495,MATCH("Case WB Box 8: E2",'CASE MASTER'!$K$2:$K$495,0)),"")</f>
        <v/>
      </c>
      <c r="D98" s="9" t="str">
        <f>IFERROR(INDEX('CASE MASTER'!$S$2:$S$495,MATCH("Case WB Box 8: E3",'CASE MASTER'!$K$2:$K$495,0)),"")</f>
        <v/>
      </c>
      <c r="E98" s="9" t="str">
        <f>IFERROR(INDEX('CASE MASTER'!$S$2:$S$495,MATCH("Case WB Box 8: E4",'CASE MASTER'!$K$2:$K$495,0)),"")</f>
        <v/>
      </c>
      <c r="F98" s="9" t="str">
        <f>IFERROR(INDEX('CASE MASTER'!$S$2:$S$495,MATCH("Case WB Box 8: E5",'CASE MASTER'!$K$2:$K$495,0)),"")</f>
        <v/>
      </c>
      <c r="G98" s="9" t="str">
        <f>IFERROR(INDEX('CASE MASTER'!$S$2:$S$495,MATCH("Case WB Box 8: E6",'CASE MASTER'!$K$2:$K$495,0)),"")</f>
        <v/>
      </c>
      <c r="H98" s="9" t="str">
        <f>IFERROR(INDEX('CASE MASTER'!$S$2:$S$495,MATCH("Case WB Box 8: E7",'CASE MASTER'!$K$2:$K$495,0)),"")</f>
        <v/>
      </c>
      <c r="I98" s="9" t="str">
        <f>IFERROR(INDEX('CASE MASTER'!$S$2:$S$495,MATCH("Case WB Box 8: E8",'CASE MASTER'!$K$2:$K$495,0)),"")</f>
        <v/>
      </c>
      <c r="J98" s="9" t="str">
        <f>IFERROR(INDEX('CASE MASTER'!$S$2:$S$495,MATCH("Case WB Box 8: E9",'CASE MASTER'!$K$2:$K$495,0)),"")</f>
        <v/>
      </c>
    </row>
    <row r="99" spans="1:10" ht="15" customHeight="1" x14ac:dyDescent="0.35">
      <c r="A99" s="8" t="s">
        <v>33</v>
      </c>
      <c r="B99" s="9" t="str">
        <f>IFERROR(INDEX('CASE MASTER'!$S$2:$S$495,MATCH("Case WB Box 8: F1",'CASE MASTER'!$K$2:$K$495,0)),"")</f>
        <v/>
      </c>
      <c r="C99" s="9" t="str">
        <f>IFERROR(INDEX('CASE MASTER'!$S$2:$S$495,MATCH("Case WB Box 8: F2",'CASE MASTER'!$K$2:$K$495,0)),"")</f>
        <v/>
      </c>
      <c r="D99" s="9" t="str">
        <f>IFERROR(INDEX('CASE MASTER'!$S$2:$S$495,MATCH("Case WB Box 8: F3",'CASE MASTER'!$K$2:$K$495,0)),"")</f>
        <v/>
      </c>
      <c r="E99" s="9" t="str">
        <f>IFERROR(INDEX('CASE MASTER'!$S$2:$S$495,MATCH("Case WB Box 8: F4",'CASE MASTER'!$K$2:$K$495,0)),"")</f>
        <v/>
      </c>
      <c r="F99" s="9" t="str">
        <f>IFERROR(INDEX('CASE MASTER'!$S$2:$S$495,MATCH("Case WB Box 8: F5",'CASE MASTER'!$K$2:$K$495,0)),"")</f>
        <v/>
      </c>
      <c r="G99" s="9" t="str">
        <f>IFERROR(INDEX('CASE MASTER'!$S$2:$S$495,MATCH("Case WB Box 8: F6",'CASE MASTER'!$K$2:$K$495,0)),"")</f>
        <v/>
      </c>
      <c r="H99" s="9" t="str">
        <f>IFERROR(INDEX('CASE MASTER'!$S$2:$S$495,MATCH("Case WB Box 8: F7",'CASE MASTER'!$K$2:$K$495,0)),"")</f>
        <v/>
      </c>
      <c r="I99" s="9" t="str">
        <f>IFERROR(INDEX('CASE MASTER'!$S$2:$S$495,MATCH("Case WB Box 8: F8",'CASE MASTER'!$K$2:$K$495,0)),"")</f>
        <v/>
      </c>
      <c r="J99" s="9" t="str">
        <f>IFERROR(INDEX('CASE MASTER'!$S$2:$S$495,MATCH("Case WB Box 8: F9",'CASE MASTER'!$K$2:$K$495,0)),"")</f>
        <v/>
      </c>
    </row>
    <row r="100" spans="1:10" ht="15" customHeight="1" x14ac:dyDescent="0.35">
      <c r="A100" s="8" t="s">
        <v>34</v>
      </c>
      <c r="B100" s="9" t="str">
        <f>IFERROR(INDEX('CASE MASTER'!$S$2:$S$495,MATCH("Case WB Box 8: G1",'CASE MASTER'!$K$2:$K$495,0)),"")</f>
        <v/>
      </c>
      <c r="C100" s="9" t="str">
        <f>IFERROR(INDEX('CASE MASTER'!$S$2:$S$495,MATCH("Case WB Box 8: G2",'CASE MASTER'!$K$2:$K$495,0)),"")</f>
        <v/>
      </c>
      <c r="D100" s="9" t="str">
        <f>IFERROR(INDEX('CASE MASTER'!$S$2:$S$495,MATCH("Case WB Box 8: G3",'CASE MASTER'!$K$2:$K$495,0)),"")</f>
        <v/>
      </c>
      <c r="E100" s="9" t="str">
        <f>IFERROR(INDEX('CASE MASTER'!$S$2:$S$495,MATCH("Case WB Box 8: G4",'CASE MASTER'!$K$2:$K$495,0)),"")</f>
        <v/>
      </c>
      <c r="F100" s="9" t="str">
        <f>IFERROR(INDEX('CASE MASTER'!$S$2:$S$495,MATCH("Case WB Box 8: G5",'CASE MASTER'!$K$2:$K$495,0)),"")</f>
        <v/>
      </c>
      <c r="G100" s="9" t="str">
        <f>IFERROR(INDEX('CASE MASTER'!$S$2:$S$495,MATCH("Case WB Box 8: G6",'CASE MASTER'!$K$2:$K$495,0)),"")</f>
        <v/>
      </c>
      <c r="H100" s="9" t="str">
        <f>IFERROR(INDEX('CASE MASTER'!$S$2:$S$495,MATCH("Case WB Box 8: G7",'CASE MASTER'!$K$2:$K$495,0)),"")</f>
        <v/>
      </c>
      <c r="I100" s="9" t="str">
        <f>IFERROR(INDEX('CASE MASTER'!$S$2:$S$495,MATCH("Case WB Box 8: G8",'CASE MASTER'!$K$2:$K$495,0)),"")</f>
        <v/>
      </c>
      <c r="J100" s="9" t="str">
        <f>IFERROR(INDEX('CASE MASTER'!$S$2:$S$495,MATCH("Case WB Box 8: G9",'CASE MASTER'!$K$2:$K$495,0)),"")</f>
        <v/>
      </c>
    </row>
    <row r="101" spans="1:10" ht="15" customHeight="1" x14ac:dyDescent="0.35">
      <c r="A101" s="8" t="s">
        <v>35</v>
      </c>
      <c r="B101" s="9" t="str">
        <f>IFERROR(INDEX('CASE MASTER'!$S$2:$S$495,MATCH("Case WB Box 8: H1",'CASE MASTER'!$K$2:$K$495,0)),"")</f>
        <v/>
      </c>
      <c r="C101" s="9" t="str">
        <f>IFERROR(INDEX('CASE MASTER'!$S$2:$S$495,MATCH("Case WB Box 8: H2",'CASE MASTER'!$K$2:$K$495,0)),"")</f>
        <v/>
      </c>
      <c r="D101" s="9" t="str">
        <f>IFERROR(INDEX('CASE MASTER'!$S$2:$S$495,MATCH("Case WB Box 8: H3",'CASE MASTER'!$K$2:$K$495,0)),"")</f>
        <v/>
      </c>
      <c r="E101" s="9" t="str">
        <f>IFERROR(INDEX('CASE MASTER'!$S$2:$S$495,MATCH("Case WB Box 8: H4",'CASE MASTER'!$K$2:$K$495,0)),"")</f>
        <v/>
      </c>
      <c r="F101" s="9" t="str">
        <f>IFERROR(INDEX('CASE MASTER'!$S$2:$S$495,MATCH("Case WB Box 8: H5",'CASE MASTER'!$K$2:$K$495,0)),"")</f>
        <v/>
      </c>
      <c r="G101" s="9" t="str">
        <f>IFERROR(INDEX('CASE MASTER'!$S$2:$S$495,MATCH("Case WB Box 8: H6",'CASE MASTER'!$K$2:$K$495,0)),"")</f>
        <v/>
      </c>
      <c r="H101" s="9" t="str">
        <f>IFERROR(INDEX('CASE MASTER'!$S$2:$S$495,MATCH("Case WB Box 8: H7",'CASE MASTER'!$K$2:$K$495,0)),"")</f>
        <v/>
      </c>
      <c r="I101" s="9" t="str">
        <f>IFERROR(INDEX('CASE MASTER'!$S$2:$S$495,MATCH("Case WB Box 8: H8",'CASE MASTER'!$K$2:$K$495,0)),"")</f>
        <v/>
      </c>
      <c r="J101" s="9" t="str">
        <f>IFERROR(INDEX('CASE MASTER'!$S$2:$S$495,MATCH("Case WB Box 8: H9",'CASE MASTER'!$K$2:$K$495,0)),"")</f>
        <v/>
      </c>
    </row>
    <row r="102" spans="1:10" ht="15" customHeight="1" x14ac:dyDescent="0.35">
      <c r="A102" s="8" t="s">
        <v>81</v>
      </c>
      <c r="B102" s="9" t="str">
        <f>IFERROR(INDEX('CASE MASTER'!$S$2:$S$495,MATCH("Case WB Box 8: I1",'CASE MASTER'!$K$2:$K$495,0)),"")</f>
        <v/>
      </c>
      <c r="C102" s="9" t="str">
        <f>IFERROR(INDEX('CASE MASTER'!$S$2:$S$495,MATCH("Case WB Box 8: I2",'CASE MASTER'!$K$2:$K$495,0)),"")</f>
        <v/>
      </c>
      <c r="D102" s="9" t="str">
        <f>IFERROR(INDEX('CASE MASTER'!$S$2:$S$495,MATCH("Case WB Box 8: I3",'CASE MASTER'!$K$2:$K$495,0)),"")</f>
        <v/>
      </c>
      <c r="E102" s="9" t="str">
        <f>IFERROR(INDEX('CASE MASTER'!$S$2:$S$495,MATCH("Case WB Box 8: I4",'CASE MASTER'!$K$2:$K$495,0)),"")</f>
        <v/>
      </c>
      <c r="F102" s="9" t="str">
        <f>IFERROR(INDEX('CASE MASTER'!$S$2:$S$495,MATCH("Case WB Box 8: I5",'CASE MASTER'!$K$2:$K$495,0)),"")</f>
        <v/>
      </c>
      <c r="G102" s="9" t="str">
        <f>IFERROR(INDEX('CASE MASTER'!$S$2:$S$495,MATCH("Case WB Box 8: I6",'CASE MASTER'!$K$2:$K$495,0)),"")</f>
        <v/>
      </c>
      <c r="H102" s="9" t="str">
        <f>IFERROR(INDEX('CASE MASTER'!$S$2:$S$495,MATCH("Case WB Box 8: I7",'CASE MASTER'!$K$2:$K$495,0)),"")</f>
        <v/>
      </c>
      <c r="I102" s="9" t="str">
        <f>IFERROR(INDEX('CASE MASTER'!$S$2:$S$495,MATCH("Case WB Box 8: I8",'CASE MASTER'!$K$2:$K$495,0)),"")</f>
        <v/>
      </c>
      <c r="J102" s="9" t="str">
        <f>IFERROR(INDEX('CASE MASTER'!$S$2:$S$495,MATCH("Case WB Box 8: I9",'CASE MASTER'!$K$2:$K$495,0)),"")</f>
        <v/>
      </c>
    </row>
    <row r="105" spans="1:10" ht="15" customHeight="1" x14ac:dyDescent="0.35">
      <c r="A105" s="12" t="s">
        <v>105</v>
      </c>
      <c r="B105" s="13"/>
      <c r="C105" s="13"/>
      <c r="D105" s="13"/>
      <c r="E105" s="13"/>
      <c r="F105" s="13"/>
      <c r="G105" s="13"/>
      <c r="H105" s="13"/>
      <c r="I105" s="13"/>
      <c r="J105" s="13"/>
    </row>
    <row r="106" spans="1:10" ht="15" customHeight="1" x14ac:dyDescent="0.35">
      <c r="B106" s="8">
        <v>1</v>
      </c>
      <c r="C106" s="8">
        <v>2</v>
      </c>
      <c r="D106" s="8">
        <v>3</v>
      </c>
      <c r="E106" s="8">
        <v>4</v>
      </c>
      <c r="F106" s="8">
        <v>5</v>
      </c>
      <c r="G106" s="8">
        <v>6</v>
      </c>
      <c r="H106" s="8">
        <v>7</v>
      </c>
      <c r="I106" s="8">
        <v>8</v>
      </c>
      <c r="J106" s="8">
        <v>9</v>
      </c>
    </row>
    <row r="107" spans="1:10" ht="15" customHeight="1" x14ac:dyDescent="0.35">
      <c r="A107" s="8" t="s">
        <v>28</v>
      </c>
      <c r="B107" s="9" t="str">
        <f>IFERROR(INDEX('CASE MASTER'!$S$2:$S$495,MATCH("Case WB Box 9: A1",'CASE MASTER'!$K$2:$K$495,0)),"")</f>
        <v/>
      </c>
      <c r="C107" s="9" t="str">
        <f>IFERROR(INDEX('CASE MASTER'!$S$2:$S$495,MATCH("Case WB Box 9: A2",'CASE MASTER'!$K$2:$K$495,0)),"")</f>
        <v/>
      </c>
      <c r="D107" s="9" t="str">
        <f>IFERROR(INDEX('CASE MASTER'!$S$2:$S$495,MATCH("Case WB Box 9: A3",'CASE MASTER'!$K$2:$K$495,0)),"")</f>
        <v/>
      </c>
      <c r="E107" s="9" t="str">
        <f>IFERROR(INDEX('CASE MASTER'!$S$2:$S$495,MATCH("Case WB Box 9: A4",'CASE MASTER'!$K$2:$K$495,0)),"")</f>
        <v/>
      </c>
      <c r="F107" s="9" t="str">
        <f>IFERROR(INDEX('CASE MASTER'!$S$2:$S$495,MATCH("Case WB Box 9: A5",'CASE MASTER'!$K$2:$K$495,0)),"")</f>
        <v/>
      </c>
      <c r="G107" s="9" t="str">
        <f>IFERROR(INDEX('CASE MASTER'!$S$2:$S$495,MATCH("Case WB Box 9: A6",'CASE MASTER'!$K$2:$K$495,0)),"")</f>
        <v/>
      </c>
      <c r="H107" s="9" t="str">
        <f>IFERROR(INDEX('CASE MASTER'!$S$2:$S$495,MATCH("Case WB Box 9: A7",'CASE MASTER'!$K$2:$K$495,0)),"")</f>
        <v/>
      </c>
      <c r="I107" s="9" t="str">
        <f>IFERROR(INDEX('CASE MASTER'!$S$2:$S$495,MATCH("Case WB Box 9: A8",'CASE MASTER'!$K$2:$K$495,0)),"")</f>
        <v/>
      </c>
      <c r="J107" s="9" t="str">
        <f>IFERROR(INDEX('CASE MASTER'!$S$2:$S$495,MATCH("Case WB Box 9: A9",'CASE MASTER'!$K$2:$K$495,0)),"")</f>
        <v/>
      </c>
    </row>
    <row r="108" spans="1:10" ht="15" customHeight="1" x14ac:dyDescent="0.35">
      <c r="A108" s="8" t="s">
        <v>29</v>
      </c>
      <c r="B108" s="9" t="str">
        <f>IFERROR(INDEX('CASE MASTER'!$S$2:$S$495,MATCH("Case WB Box 9: B1",'CASE MASTER'!$K$2:$K$495,0)),"")</f>
        <v/>
      </c>
      <c r="C108" s="9" t="str">
        <f>IFERROR(INDEX('CASE MASTER'!$S$2:$S$495,MATCH("Case WB Box 9: B2",'CASE MASTER'!$K$2:$K$495,0)),"")</f>
        <v/>
      </c>
      <c r="D108" s="9" t="str">
        <f>IFERROR(INDEX('CASE MASTER'!$S$2:$S$495,MATCH("Case WB Box 9: B3",'CASE MASTER'!$K$2:$K$495,0)),"")</f>
        <v/>
      </c>
      <c r="E108" s="9" t="str">
        <f>IFERROR(INDEX('CASE MASTER'!$S$2:$S$495,MATCH("Case WB Box 9: B4",'CASE MASTER'!$K$2:$K$495,0)),"")</f>
        <v/>
      </c>
      <c r="F108" s="9" t="str">
        <f>IFERROR(INDEX('CASE MASTER'!$S$2:$S$495,MATCH("Case WB Box 9: B5",'CASE MASTER'!$K$2:$K$495,0)),"")</f>
        <v/>
      </c>
      <c r="G108" s="9" t="str">
        <f>IFERROR(INDEX('CASE MASTER'!$S$2:$S$495,MATCH("Case WB Box 9: B6",'CASE MASTER'!$K$2:$K$495,0)),"")</f>
        <v/>
      </c>
      <c r="H108" s="9" t="str">
        <f>IFERROR(INDEX('CASE MASTER'!$S$2:$S$495,MATCH("Case WB Box 9: B7",'CASE MASTER'!$K$2:$K$495,0)),"")</f>
        <v/>
      </c>
      <c r="I108" s="9" t="str">
        <f>IFERROR(INDEX('CASE MASTER'!$S$2:$S$495,MATCH("Case WB Box 9: B8",'CASE MASTER'!$K$2:$K$495,0)),"")</f>
        <v/>
      </c>
      <c r="J108" s="9" t="str">
        <f>IFERROR(INDEX('CASE MASTER'!$S$2:$S$495,MATCH("Case WB Box 9: B9",'CASE MASTER'!$K$2:$K$495,0)),"")</f>
        <v/>
      </c>
    </row>
    <row r="109" spans="1:10" ht="15" customHeight="1" x14ac:dyDescent="0.35">
      <c r="A109" s="8" t="s">
        <v>30</v>
      </c>
      <c r="B109" s="9" t="str">
        <f>IFERROR(INDEX('CASE MASTER'!$S$2:$S$495,MATCH("Case WB Box 9: C1",'CASE MASTER'!$K$2:$K$495,0)),"")</f>
        <v/>
      </c>
      <c r="C109" s="9" t="str">
        <f>IFERROR(INDEX('CASE MASTER'!$S$2:$S$495,MATCH("Case WB Box 9: C2",'CASE MASTER'!$K$2:$K$495,0)),"")</f>
        <v/>
      </c>
      <c r="D109" s="9" t="str">
        <f>IFERROR(INDEX('CASE MASTER'!$S$2:$S$495,MATCH("Case WB Box 9: C3",'CASE MASTER'!$K$2:$K$495,0)),"")</f>
        <v/>
      </c>
      <c r="E109" s="9" t="str">
        <f>IFERROR(INDEX('CASE MASTER'!$S$2:$S$495,MATCH("Case WB Box 9: C4",'CASE MASTER'!$K$2:$K$495,0)),"")</f>
        <v/>
      </c>
      <c r="F109" s="9" t="str">
        <f>IFERROR(INDEX('CASE MASTER'!$S$2:$S$495,MATCH("Case WB Box 9: C5",'CASE MASTER'!$K$2:$K$495,0)),"")</f>
        <v/>
      </c>
      <c r="G109" s="9" t="str">
        <f>IFERROR(INDEX('CASE MASTER'!$S$2:$S$495,MATCH("Case WB Box 9: C6",'CASE MASTER'!$K$2:$K$495,0)),"")</f>
        <v/>
      </c>
      <c r="H109" s="9" t="str">
        <f>IFERROR(INDEX('CASE MASTER'!$S$2:$S$495,MATCH("Case WB Box 9: C7",'CASE MASTER'!$K$2:$K$495,0)),"")</f>
        <v/>
      </c>
      <c r="I109" s="9" t="str">
        <f>IFERROR(INDEX('CASE MASTER'!$S$2:$S$495,MATCH("Case WB Box 9: C8",'CASE MASTER'!$K$2:$K$495,0)),"")</f>
        <v/>
      </c>
      <c r="J109" s="9" t="str">
        <f>IFERROR(INDEX('CASE MASTER'!$S$2:$S$495,MATCH("Case WB Box 9: C9",'CASE MASTER'!$K$2:$K$495,0)),"")</f>
        <v/>
      </c>
    </row>
    <row r="110" spans="1:10" ht="15" customHeight="1" x14ac:dyDescent="0.35">
      <c r="A110" s="8" t="s">
        <v>31</v>
      </c>
      <c r="B110" s="9" t="str">
        <f>IFERROR(INDEX('CASE MASTER'!$S$2:$S$495,MATCH("Case WB Box 9: D1",'CASE MASTER'!$K$2:$K$495,0)),"")</f>
        <v/>
      </c>
      <c r="C110" s="9" t="str">
        <f>IFERROR(INDEX('CASE MASTER'!$S$2:$S$495,MATCH("Case WB Box 9: D2",'CASE MASTER'!$K$2:$K$495,0)),"")</f>
        <v/>
      </c>
      <c r="D110" s="9" t="str">
        <f>IFERROR(INDEX('CASE MASTER'!$S$2:$S$495,MATCH("Case WB Box 9: D3",'CASE MASTER'!$K$2:$K$495,0)),"")</f>
        <v/>
      </c>
      <c r="E110" s="9" t="str">
        <f>IFERROR(INDEX('CASE MASTER'!$S$2:$S$495,MATCH("Case WB Box 9: D4",'CASE MASTER'!$K$2:$K$495,0)),"")</f>
        <v/>
      </c>
      <c r="F110" s="9" t="str">
        <f>IFERROR(INDEX('CASE MASTER'!$S$2:$S$495,MATCH("Case WB Box 9: D5",'CASE MASTER'!$K$2:$K$495,0)),"")</f>
        <v/>
      </c>
      <c r="G110" s="9" t="str">
        <f>IFERROR(INDEX('CASE MASTER'!$S$2:$S$495,MATCH("Case WB Box 9: D6",'CASE MASTER'!$K$2:$K$495,0)),"")</f>
        <v/>
      </c>
      <c r="H110" s="9" t="str">
        <f>IFERROR(INDEX('CASE MASTER'!$S$2:$S$495,MATCH("Case WB Box 9: D7",'CASE MASTER'!$K$2:$K$495,0)),"")</f>
        <v/>
      </c>
      <c r="I110" s="9" t="str">
        <f>IFERROR(INDEX('CASE MASTER'!$S$2:$S$495,MATCH("Case WB Box 9: D8",'CASE MASTER'!$K$2:$K$495,0)),"")</f>
        <v/>
      </c>
      <c r="J110" s="9" t="str">
        <f>IFERROR(INDEX('CASE MASTER'!$S$2:$S$495,MATCH("Case WB Box 9: D9",'CASE MASTER'!$K$2:$K$495,0)),"")</f>
        <v/>
      </c>
    </row>
    <row r="111" spans="1:10" ht="15" customHeight="1" x14ac:dyDescent="0.35">
      <c r="A111" s="8" t="s">
        <v>32</v>
      </c>
      <c r="B111" s="9" t="str">
        <f>IFERROR(INDEX('CASE MASTER'!$S$2:$S$495,MATCH("Case WB Box 9: E1",'CASE MASTER'!$K$2:$K$495,0)),"")</f>
        <v/>
      </c>
      <c r="C111" s="9" t="str">
        <f>IFERROR(INDEX('CASE MASTER'!$S$2:$S$495,MATCH("Case WB Box 9: E2",'CASE MASTER'!$K$2:$K$495,0)),"")</f>
        <v/>
      </c>
      <c r="D111" s="9" t="str">
        <f>IFERROR(INDEX('CASE MASTER'!$S$2:$S$495,MATCH("Case WB Box 9: E3",'CASE MASTER'!$K$2:$K$495,0)),"")</f>
        <v/>
      </c>
      <c r="E111" s="9" t="str">
        <f>IFERROR(INDEX('CASE MASTER'!$S$2:$S$495,MATCH("Case WB Box 9: E4",'CASE MASTER'!$K$2:$K$495,0)),"")</f>
        <v/>
      </c>
      <c r="F111" s="9" t="str">
        <f>IFERROR(INDEX('CASE MASTER'!$S$2:$S$495,MATCH("Case WB Box 9: E5",'CASE MASTER'!$K$2:$K$495,0)),"")</f>
        <v/>
      </c>
      <c r="G111" s="9" t="str">
        <f>IFERROR(INDEX('CASE MASTER'!$S$2:$S$495,MATCH("Case WB Box 9: E6",'CASE MASTER'!$K$2:$K$495,0)),"")</f>
        <v/>
      </c>
      <c r="H111" s="9" t="str">
        <f>IFERROR(INDEX('CASE MASTER'!$S$2:$S$495,MATCH("Case WB Box 9: E7",'CASE MASTER'!$K$2:$K$495,0)),"")</f>
        <v/>
      </c>
      <c r="I111" s="9" t="str">
        <f>IFERROR(INDEX('CASE MASTER'!$S$2:$S$495,MATCH("Case WB Box 9: E8",'CASE MASTER'!$K$2:$K$495,0)),"")</f>
        <v/>
      </c>
      <c r="J111" s="9" t="str">
        <f>IFERROR(INDEX('CASE MASTER'!$S$2:$S$495,MATCH("Case WB Box 9: E9",'CASE MASTER'!$K$2:$K$495,0)),"")</f>
        <v/>
      </c>
    </row>
    <row r="112" spans="1:10" ht="15" customHeight="1" x14ac:dyDescent="0.35">
      <c r="A112" s="8" t="s">
        <v>33</v>
      </c>
      <c r="B112" s="9" t="str">
        <f>IFERROR(INDEX('CASE MASTER'!$S$2:$S$495,MATCH("Case WB Box 9: F1",'CASE MASTER'!$K$2:$K$495,0)),"")</f>
        <v/>
      </c>
      <c r="C112" s="9" t="str">
        <f>IFERROR(INDEX('CASE MASTER'!$S$2:$S$495,MATCH("Case WB Box 9: F2",'CASE MASTER'!$K$2:$K$495,0)),"")</f>
        <v/>
      </c>
      <c r="D112" s="9" t="str">
        <f>IFERROR(INDEX('CASE MASTER'!$S$2:$S$495,MATCH("Case WB Box 9: F3",'CASE MASTER'!$K$2:$K$495,0)),"")</f>
        <v/>
      </c>
      <c r="E112" s="9" t="str">
        <f>IFERROR(INDEX('CASE MASTER'!$S$2:$S$495,MATCH("Case WB Box 9: F4",'CASE MASTER'!$K$2:$K$495,0)),"")</f>
        <v/>
      </c>
      <c r="F112" s="9" t="str">
        <f>IFERROR(INDEX('CASE MASTER'!$S$2:$S$495,MATCH("Case WB Box 9: F5",'CASE MASTER'!$K$2:$K$495,0)),"")</f>
        <v/>
      </c>
      <c r="G112" s="9" t="str">
        <f>IFERROR(INDEX('CASE MASTER'!$S$2:$S$495,MATCH("Case WB Box 9: F6",'CASE MASTER'!$K$2:$K$495,0)),"")</f>
        <v/>
      </c>
      <c r="H112" s="9" t="str">
        <f>IFERROR(INDEX('CASE MASTER'!$S$2:$S$495,MATCH("Case WB Box 9: F7",'CASE MASTER'!$K$2:$K$495,0)),"")</f>
        <v/>
      </c>
      <c r="I112" s="9" t="str">
        <f>IFERROR(INDEX('CASE MASTER'!$S$2:$S$495,MATCH("Case WB Box 9: F8",'CASE MASTER'!$K$2:$K$495,0)),"")</f>
        <v/>
      </c>
      <c r="J112" s="9" t="str">
        <f>IFERROR(INDEX('CASE MASTER'!$S$2:$S$495,MATCH("Case WB Box 9: F9",'CASE MASTER'!$K$2:$K$495,0)),"")</f>
        <v/>
      </c>
    </row>
    <row r="113" spans="1:10" ht="15" customHeight="1" x14ac:dyDescent="0.35">
      <c r="A113" s="8" t="s">
        <v>34</v>
      </c>
      <c r="B113" s="9" t="str">
        <f>IFERROR(INDEX('CASE MASTER'!$S$2:$S$495,MATCH("Case WB Box 9: G1",'CASE MASTER'!$K$2:$K$495,0)),"")</f>
        <v/>
      </c>
      <c r="C113" s="9" t="str">
        <f>IFERROR(INDEX('CASE MASTER'!$S$2:$S$495,MATCH("Case WB Box 9: G2",'CASE MASTER'!$K$2:$K$495,0)),"")</f>
        <v/>
      </c>
      <c r="D113" s="9" t="str">
        <f>IFERROR(INDEX('CASE MASTER'!$S$2:$S$495,MATCH("Case WB Box 9: G3",'CASE MASTER'!$K$2:$K$495,0)),"")</f>
        <v/>
      </c>
      <c r="E113" s="9" t="str">
        <f>IFERROR(INDEX('CASE MASTER'!$S$2:$S$495,MATCH("Case WB Box 9: G4",'CASE MASTER'!$K$2:$K$495,0)),"")</f>
        <v/>
      </c>
      <c r="F113" s="9" t="str">
        <f>IFERROR(INDEX('CASE MASTER'!$S$2:$S$495,MATCH("Case WB Box 9: G5",'CASE MASTER'!$K$2:$K$495,0)),"")</f>
        <v/>
      </c>
      <c r="G113" s="9" t="str">
        <f>IFERROR(INDEX('CASE MASTER'!$S$2:$S$495,MATCH("Case WB Box 9: G6",'CASE MASTER'!$K$2:$K$495,0)),"")</f>
        <v/>
      </c>
      <c r="H113" s="9" t="str">
        <f>IFERROR(INDEX('CASE MASTER'!$S$2:$S$495,MATCH("Case WB Box 9: G7",'CASE MASTER'!$K$2:$K$495,0)),"")</f>
        <v/>
      </c>
      <c r="I113" s="9" t="str">
        <f>IFERROR(INDEX('CASE MASTER'!$S$2:$S$495,MATCH("Case WB Box 9: G8",'CASE MASTER'!$K$2:$K$495,0)),"")</f>
        <v/>
      </c>
      <c r="J113" s="9" t="str">
        <f>IFERROR(INDEX('CASE MASTER'!$S$2:$S$495,MATCH("Case WB Box 9: G9",'CASE MASTER'!$K$2:$K$495,0)),"")</f>
        <v/>
      </c>
    </row>
    <row r="114" spans="1:10" ht="15" customHeight="1" x14ac:dyDescent="0.35">
      <c r="A114" s="8" t="s">
        <v>35</v>
      </c>
      <c r="B114" s="9" t="str">
        <f>IFERROR(INDEX('CASE MASTER'!$S$2:$S$495,MATCH("Case WB Box 9: H1",'CASE MASTER'!$K$2:$K$495,0)),"")</f>
        <v/>
      </c>
      <c r="C114" s="9" t="str">
        <f>IFERROR(INDEX('CASE MASTER'!$S$2:$S$495,MATCH("Case WB Box 9: H2",'CASE MASTER'!$K$2:$K$495,0)),"")</f>
        <v/>
      </c>
      <c r="D114" s="9" t="str">
        <f>IFERROR(INDEX('CASE MASTER'!$S$2:$S$495,MATCH("Case WB Box 9: H3",'CASE MASTER'!$K$2:$K$495,0)),"")</f>
        <v/>
      </c>
      <c r="E114" s="9" t="str">
        <f>IFERROR(INDEX('CASE MASTER'!$S$2:$S$495,MATCH("Case WB Box 9: H4",'CASE MASTER'!$K$2:$K$495,0)),"")</f>
        <v/>
      </c>
      <c r="F114" s="9" t="str">
        <f>IFERROR(INDEX('CASE MASTER'!$S$2:$S$495,MATCH("Case WB Box 9: H5",'CASE MASTER'!$K$2:$K$495,0)),"")</f>
        <v/>
      </c>
      <c r="G114" s="9" t="str">
        <f>IFERROR(INDEX('CASE MASTER'!$S$2:$S$495,MATCH("Case WB Box 9: H6",'CASE MASTER'!$K$2:$K$495,0)),"")</f>
        <v/>
      </c>
      <c r="H114" s="9" t="str">
        <f>IFERROR(INDEX('CASE MASTER'!$S$2:$S$495,MATCH("Case WB Box 9: H7",'CASE MASTER'!$K$2:$K$495,0)),"")</f>
        <v/>
      </c>
      <c r="I114" s="9" t="str">
        <f>IFERROR(INDEX('CASE MASTER'!$S$2:$S$495,MATCH("Case WB Box 9: H8",'CASE MASTER'!$K$2:$K$495,0)),"")</f>
        <v/>
      </c>
      <c r="J114" s="9" t="str">
        <f>IFERROR(INDEX('CASE MASTER'!$S$2:$S$495,MATCH("Case WB Box 9: H9",'CASE MASTER'!$K$2:$K$495,0)),"")</f>
        <v/>
      </c>
    </row>
    <row r="115" spans="1:10" ht="15" customHeight="1" x14ac:dyDescent="0.35">
      <c r="A115" s="8" t="s">
        <v>81</v>
      </c>
      <c r="B115" s="9" t="str">
        <f>IFERROR(INDEX('CASE MASTER'!$S$2:$S$495,MATCH("Case WB Box 9: I1",'CASE MASTER'!$K$2:$K$495,0)),"")</f>
        <v/>
      </c>
      <c r="C115" s="9" t="str">
        <f>IFERROR(INDEX('CASE MASTER'!$S$2:$S$495,MATCH("Case WB Box 9: I2",'CASE MASTER'!$K$2:$K$495,0)),"")</f>
        <v/>
      </c>
      <c r="D115" s="9" t="str">
        <f>IFERROR(INDEX('CASE MASTER'!$S$2:$S$495,MATCH("Case WB Box 9: I3",'CASE MASTER'!$K$2:$K$495,0)),"")</f>
        <v/>
      </c>
      <c r="E115" s="9" t="str">
        <f>IFERROR(INDEX('CASE MASTER'!$S$2:$S$495,MATCH("Case WB Box 9: I4",'CASE MASTER'!$K$2:$K$495,0)),"")</f>
        <v/>
      </c>
      <c r="F115" s="9" t="str">
        <f>IFERROR(INDEX('CASE MASTER'!$S$2:$S$495,MATCH("Case WB Box 9: I5",'CASE MASTER'!$K$2:$K$495,0)),"")</f>
        <v/>
      </c>
      <c r="G115" s="9" t="str">
        <f>IFERROR(INDEX('CASE MASTER'!$S$2:$S$495,MATCH("Case WB Box 9: I6",'CASE MASTER'!$K$2:$K$495,0)),"")</f>
        <v/>
      </c>
      <c r="H115" s="9" t="str">
        <f>IFERROR(INDEX('CASE MASTER'!$S$2:$S$495,MATCH("Case WB Box 9: I7",'CASE MASTER'!$K$2:$K$495,0)),"")</f>
        <v/>
      </c>
      <c r="I115" s="9" t="str">
        <f>IFERROR(INDEX('CASE MASTER'!$S$2:$S$495,MATCH("Case WB Box 9: I8",'CASE MASTER'!$K$2:$K$495,0)),"")</f>
        <v/>
      </c>
      <c r="J115" s="9" t="str">
        <f>IFERROR(INDEX('CASE MASTER'!$S$2:$S$495,MATCH("Case WB Box 9: I9",'CASE MASTER'!$K$2:$K$495,0)),"")</f>
        <v/>
      </c>
    </row>
    <row r="118" spans="1:10" ht="15" customHeight="1" x14ac:dyDescent="0.35">
      <c r="A118" s="12" t="s">
        <v>106</v>
      </c>
      <c r="B118" s="13"/>
      <c r="C118" s="13"/>
      <c r="D118" s="13"/>
      <c r="E118" s="13"/>
      <c r="F118" s="13"/>
      <c r="G118" s="13"/>
      <c r="H118" s="13"/>
      <c r="I118" s="13"/>
      <c r="J118" s="13"/>
    </row>
    <row r="119" spans="1:10" ht="15" customHeight="1" x14ac:dyDescent="0.35">
      <c r="B119" s="8">
        <v>1</v>
      </c>
      <c r="C119" s="8">
        <v>2</v>
      </c>
      <c r="D119" s="8">
        <v>3</v>
      </c>
      <c r="E119" s="8">
        <v>4</v>
      </c>
      <c r="F119" s="8">
        <v>5</v>
      </c>
      <c r="G119" s="8">
        <v>6</v>
      </c>
      <c r="H119" s="8">
        <v>7</v>
      </c>
      <c r="I119" s="8">
        <v>8</v>
      </c>
      <c r="J119" s="8">
        <v>9</v>
      </c>
    </row>
    <row r="120" spans="1:10" ht="15" customHeight="1" x14ac:dyDescent="0.35">
      <c r="A120" s="8" t="s">
        <v>28</v>
      </c>
      <c r="B120" s="9" t="str">
        <f>IFERROR(INDEX('CASE MASTER'!$S$2:$S$495,MATCH("Case WB Box 10: A1",'CASE MASTER'!$K$2:$K$495,0)),"")</f>
        <v/>
      </c>
      <c r="C120" s="9" t="str">
        <f>IFERROR(INDEX('CASE MASTER'!$S$2:$S$495,MATCH("Case WB Box 10: A2",'CASE MASTER'!$K$2:$K$495,0)),"")</f>
        <v/>
      </c>
      <c r="D120" s="9" t="str">
        <f>IFERROR(INDEX('CASE MASTER'!$S$2:$S$495,MATCH("Case WB Box 10: A3",'CASE MASTER'!$K$2:$K$495,0)),"")</f>
        <v/>
      </c>
      <c r="E120" s="9" t="str">
        <f>IFERROR(INDEX('CASE MASTER'!$S$2:$S$495,MATCH("Case WB Box 10: A4",'CASE MASTER'!$K$2:$K$495,0)),"")</f>
        <v/>
      </c>
      <c r="F120" s="9" t="str">
        <f>IFERROR(INDEX('CASE MASTER'!$S$2:$S$495,MATCH("Case WB Box 10: A5",'CASE MASTER'!$K$2:$K$495,0)),"")</f>
        <v/>
      </c>
      <c r="G120" s="9" t="str">
        <f>IFERROR(INDEX('CASE MASTER'!$S$2:$S$495,MATCH("Case WB Box 10: A6",'CASE MASTER'!$K$2:$K$495,0)),"")</f>
        <v/>
      </c>
      <c r="H120" s="9" t="str">
        <f>IFERROR(INDEX('CASE MASTER'!$S$2:$S$495,MATCH("Case WB Box 10: A7",'CASE MASTER'!$K$2:$K$495,0)),"")</f>
        <v/>
      </c>
      <c r="I120" s="9" t="str">
        <f>IFERROR(INDEX('CASE MASTER'!$S$2:$S$495,MATCH("Case WB Box 10: A8",'CASE MASTER'!$K$2:$K$495,0)),"")</f>
        <v/>
      </c>
      <c r="J120" s="9" t="str">
        <f>IFERROR(INDEX('CASE MASTER'!$S$2:$S$495,MATCH("Case WB Box 10: A9",'CASE MASTER'!$K$2:$K$495,0)),"")</f>
        <v/>
      </c>
    </row>
    <row r="121" spans="1:10" ht="15" customHeight="1" x14ac:dyDescent="0.35">
      <c r="A121" s="8" t="s">
        <v>29</v>
      </c>
      <c r="B121" s="9" t="str">
        <f>IFERROR(INDEX('CASE MASTER'!$S$2:$S$495,MATCH("Case WB Box 10: B1",'CASE MASTER'!$K$2:$K$495,0)),"")</f>
        <v/>
      </c>
      <c r="C121" s="9" t="str">
        <f>IFERROR(INDEX('CASE MASTER'!$S$2:$S$495,MATCH("Case WB Box 10: B2",'CASE MASTER'!$K$2:$K$495,0)),"")</f>
        <v/>
      </c>
      <c r="D121" s="9" t="str">
        <f>IFERROR(INDEX('CASE MASTER'!$S$2:$S$495,MATCH("Case WB Box 10: B3",'CASE MASTER'!$K$2:$K$495,0)),"")</f>
        <v/>
      </c>
      <c r="E121" s="9" t="str">
        <f>IFERROR(INDEX('CASE MASTER'!$S$2:$S$495,MATCH("Case WB Box 10: B4",'CASE MASTER'!$K$2:$K$495,0)),"")</f>
        <v/>
      </c>
      <c r="F121" s="9" t="str">
        <f>IFERROR(INDEX('CASE MASTER'!$S$2:$S$495,MATCH("Case WB Box 10: B5",'CASE MASTER'!$K$2:$K$495,0)),"")</f>
        <v/>
      </c>
      <c r="G121" s="9" t="str">
        <f>IFERROR(INDEX('CASE MASTER'!$S$2:$S$495,MATCH("Case WB Box 10: B6",'CASE MASTER'!$K$2:$K$495,0)),"")</f>
        <v/>
      </c>
      <c r="H121" s="9" t="str">
        <f>IFERROR(INDEX('CASE MASTER'!$S$2:$S$495,MATCH("Case WB Box 10: B7",'CASE MASTER'!$K$2:$K$495,0)),"")</f>
        <v/>
      </c>
      <c r="I121" s="9" t="str">
        <f>IFERROR(INDEX('CASE MASTER'!$S$2:$S$495,MATCH("Case WB Box 10: B8",'CASE MASTER'!$K$2:$K$495,0)),"")</f>
        <v/>
      </c>
      <c r="J121" s="9" t="str">
        <f>IFERROR(INDEX('CASE MASTER'!$S$2:$S$495,MATCH("Case WB Box 10: B9",'CASE MASTER'!$K$2:$K$495,0)),"")</f>
        <v/>
      </c>
    </row>
    <row r="122" spans="1:10" ht="15" customHeight="1" x14ac:dyDescent="0.35">
      <c r="A122" s="8" t="s">
        <v>30</v>
      </c>
      <c r="B122" s="9" t="str">
        <f>IFERROR(INDEX('CASE MASTER'!$S$2:$S$495,MATCH("Case WB Box 10: C1",'CASE MASTER'!$K$2:$K$495,0)),"")</f>
        <v/>
      </c>
      <c r="C122" s="9" t="str">
        <f>IFERROR(INDEX('CASE MASTER'!$S$2:$S$495,MATCH("Case WB Box 10: C2",'CASE MASTER'!$K$2:$K$495,0)),"")</f>
        <v/>
      </c>
      <c r="D122" s="9" t="str">
        <f>IFERROR(INDEX('CASE MASTER'!$S$2:$S$495,MATCH("Case WB Box 10: C3",'CASE MASTER'!$K$2:$K$495,0)),"")</f>
        <v/>
      </c>
      <c r="E122" s="9" t="str">
        <f>IFERROR(INDEX('CASE MASTER'!$S$2:$S$495,MATCH("Case WB Box 10: C4",'CASE MASTER'!$K$2:$K$495,0)),"")</f>
        <v/>
      </c>
      <c r="F122" s="9" t="str">
        <f>IFERROR(INDEX('CASE MASTER'!$S$2:$S$495,MATCH("Case WB Box 10: C5",'CASE MASTER'!$K$2:$K$495,0)),"")</f>
        <v/>
      </c>
      <c r="G122" s="9" t="str">
        <f>IFERROR(INDEX('CASE MASTER'!$S$2:$S$495,MATCH("Case WB Box 10: C6",'CASE MASTER'!$K$2:$K$495,0)),"")</f>
        <v/>
      </c>
      <c r="H122" s="9" t="str">
        <f>IFERROR(INDEX('CASE MASTER'!$S$2:$S$495,MATCH("Case WB Box 10: C7",'CASE MASTER'!$K$2:$K$495,0)),"")</f>
        <v/>
      </c>
      <c r="I122" s="9" t="str">
        <f>IFERROR(INDEX('CASE MASTER'!$S$2:$S$495,MATCH("Case WB Box 10: C8",'CASE MASTER'!$K$2:$K$495,0)),"")</f>
        <v/>
      </c>
      <c r="J122" s="9" t="str">
        <f>IFERROR(INDEX('CASE MASTER'!$S$2:$S$495,MATCH("Case WB Box 10: C9",'CASE MASTER'!$K$2:$K$495,0)),"")</f>
        <v/>
      </c>
    </row>
    <row r="123" spans="1:10" ht="15" customHeight="1" x14ac:dyDescent="0.35">
      <c r="A123" s="8" t="s">
        <v>31</v>
      </c>
      <c r="B123" s="9" t="str">
        <f>IFERROR(INDEX('CASE MASTER'!$S$2:$S$495,MATCH("Case WB Box 10: D1",'CASE MASTER'!$K$2:$K$495,0)),"")</f>
        <v/>
      </c>
      <c r="C123" s="9" t="str">
        <f>IFERROR(INDEX('CASE MASTER'!$S$2:$S$495,MATCH("Case WB Box 10: D2",'CASE MASTER'!$K$2:$K$495,0)),"")</f>
        <v/>
      </c>
      <c r="D123" s="9" t="str">
        <f>IFERROR(INDEX('CASE MASTER'!$S$2:$S$495,MATCH("Case WB Box 10: D3",'CASE MASTER'!$K$2:$K$495,0)),"")</f>
        <v/>
      </c>
      <c r="E123" s="9" t="str">
        <f>IFERROR(INDEX('CASE MASTER'!$S$2:$S$495,MATCH("Case WB Box 10: D4",'CASE MASTER'!$K$2:$K$495,0)),"")</f>
        <v/>
      </c>
      <c r="F123" s="9" t="str">
        <f>IFERROR(INDEX('CASE MASTER'!$S$2:$S$495,MATCH("Case WB Box 10: D5",'CASE MASTER'!$K$2:$K$495,0)),"")</f>
        <v/>
      </c>
      <c r="G123" s="9" t="str">
        <f>IFERROR(INDEX('CASE MASTER'!$S$2:$S$495,MATCH("Case WB Box 10: D6",'CASE MASTER'!$K$2:$K$495,0)),"")</f>
        <v/>
      </c>
      <c r="H123" s="9" t="str">
        <f>IFERROR(INDEX('CASE MASTER'!$S$2:$S$495,MATCH("Case WB Box 10: D7",'CASE MASTER'!$K$2:$K$495,0)),"")</f>
        <v/>
      </c>
      <c r="I123" s="9" t="str">
        <f>IFERROR(INDEX('CASE MASTER'!$S$2:$S$495,MATCH("Case WB Box 10: D8",'CASE MASTER'!$K$2:$K$495,0)),"")</f>
        <v/>
      </c>
      <c r="J123" s="9" t="str">
        <f>IFERROR(INDEX('CASE MASTER'!$S$2:$S$495,MATCH("Case WB Box 10: D9",'CASE MASTER'!$K$2:$K$495,0)),"")</f>
        <v/>
      </c>
    </row>
    <row r="124" spans="1:10" ht="15" customHeight="1" x14ac:dyDescent="0.35">
      <c r="A124" s="8" t="s">
        <v>32</v>
      </c>
      <c r="B124" s="9" t="str">
        <f>IFERROR(INDEX('CASE MASTER'!$S$2:$S$495,MATCH("Case WB Box 10: E1",'CASE MASTER'!$K$2:$K$495,0)),"")</f>
        <v/>
      </c>
      <c r="C124" s="9" t="str">
        <f>IFERROR(INDEX('CASE MASTER'!$S$2:$S$495,MATCH("Case WB Box 10: E2",'CASE MASTER'!$K$2:$K$495,0)),"")</f>
        <v/>
      </c>
      <c r="D124" s="9" t="str">
        <f>IFERROR(INDEX('CASE MASTER'!$S$2:$S$495,MATCH("Case WB Box 10: E3",'CASE MASTER'!$K$2:$K$495,0)),"")</f>
        <v/>
      </c>
      <c r="E124" s="9" t="str">
        <f>IFERROR(INDEX('CASE MASTER'!$S$2:$S$495,MATCH("Case WB Box 10: E4",'CASE MASTER'!$K$2:$K$495,0)),"")</f>
        <v/>
      </c>
      <c r="F124" s="9" t="str">
        <f>IFERROR(INDEX('CASE MASTER'!$S$2:$S$495,MATCH("Case WB Box 10: E5",'CASE MASTER'!$K$2:$K$495,0)),"")</f>
        <v/>
      </c>
      <c r="G124" s="9" t="str">
        <f>IFERROR(INDEX('CASE MASTER'!$S$2:$S$495,MATCH("Case WB Box 10: E6",'CASE MASTER'!$K$2:$K$495,0)),"")</f>
        <v/>
      </c>
      <c r="H124" s="9" t="str">
        <f>IFERROR(INDEX('CASE MASTER'!$S$2:$S$495,MATCH("Case WB Box 10: E7",'CASE MASTER'!$K$2:$K$495,0)),"")</f>
        <v/>
      </c>
      <c r="I124" s="9" t="str">
        <f>IFERROR(INDEX('CASE MASTER'!$S$2:$S$495,MATCH("Case WB Box 10: E8",'CASE MASTER'!$K$2:$K$495,0)),"")</f>
        <v/>
      </c>
      <c r="J124" s="9" t="str">
        <f>IFERROR(INDEX('CASE MASTER'!$S$2:$S$495,MATCH("Case WB Box 10: E9",'CASE MASTER'!$K$2:$K$495,0)),"")</f>
        <v/>
      </c>
    </row>
    <row r="125" spans="1:10" ht="15" customHeight="1" x14ac:dyDescent="0.35">
      <c r="A125" s="8" t="s">
        <v>33</v>
      </c>
      <c r="B125" s="9" t="str">
        <f>IFERROR(INDEX('CASE MASTER'!$S$2:$S$495,MATCH("Case WB Box 10: F1",'CASE MASTER'!$K$2:$K$495,0)),"")</f>
        <v/>
      </c>
      <c r="C125" s="9" t="str">
        <f>IFERROR(INDEX('CASE MASTER'!$S$2:$S$495,MATCH("Case WB Box 10: F2",'CASE MASTER'!$K$2:$K$495,0)),"")</f>
        <v/>
      </c>
      <c r="D125" s="9" t="str">
        <f>IFERROR(INDEX('CASE MASTER'!$S$2:$S$495,MATCH("Case WB Box 10: F3",'CASE MASTER'!$K$2:$K$495,0)),"")</f>
        <v/>
      </c>
      <c r="E125" s="9" t="str">
        <f>IFERROR(INDEX('CASE MASTER'!$S$2:$S$495,MATCH("Case WB Box 10: F4",'CASE MASTER'!$K$2:$K$495,0)),"")</f>
        <v/>
      </c>
      <c r="F125" s="9" t="str">
        <f>IFERROR(INDEX('CASE MASTER'!$S$2:$S$495,MATCH("Case WB Box 10: F5",'CASE MASTER'!$K$2:$K$495,0)),"")</f>
        <v/>
      </c>
      <c r="G125" s="9" t="str">
        <f>IFERROR(INDEX('CASE MASTER'!$S$2:$S$495,MATCH("Case WB Box 10: F6",'CASE MASTER'!$K$2:$K$495,0)),"")</f>
        <v/>
      </c>
      <c r="H125" s="9" t="str">
        <f>IFERROR(INDEX('CASE MASTER'!$S$2:$S$495,MATCH("Case WB Box 10: F7",'CASE MASTER'!$K$2:$K$495,0)),"")</f>
        <v/>
      </c>
      <c r="I125" s="9" t="str">
        <f>IFERROR(INDEX('CASE MASTER'!$S$2:$S$495,MATCH("Case WB Box 10: F8",'CASE MASTER'!$K$2:$K$495,0)),"")</f>
        <v/>
      </c>
      <c r="J125" s="9" t="str">
        <f>IFERROR(INDEX('CASE MASTER'!$S$2:$S$495,MATCH("Case WB Box 10: F9",'CASE MASTER'!$K$2:$K$495,0)),"")</f>
        <v/>
      </c>
    </row>
    <row r="126" spans="1:10" ht="15" customHeight="1" x14ac:dyDescent="0.35">
      <c r="A126" s="8" t="s">
        <v>34</v>
      </c>
      <c r="B126" s="9" t="str">
        <f>IFERROR(INDEX('CASE MASTER'!$S$2:$S$495,MATCH("Case WB Box 10: G1",'CASE MASTER'!$K$2:$K$495,0)),"")</f>
        <v/>
      </c>
      <c r="C126" s="9" t="str">
        <f>IFERROR(INDEX('CASE MASTER'!$S$2:$S$495,MATCH("Case WB Box 10: G2",'CASE MASTER'!$K$2:$K$495,0)),"")</f>
        <v/>
      </c>
      <c r="D126" s="9" t="str">
        <f>IFERROR(INDEX('CASE MASTER'!$S$2:$S$495,MATCH("Case WB Box 10: G3",'CASE MASTER'!$K$2:$K$495,0)),"")</f>
        <v/>
      </c>
      <c r="E126" s="9" t="str">
        <f>IFERROR(INDEX('CASE MASTER'!$S$2:$S$495,MATCH("Case WB Box 10: G4",'CASE MASTER'!$K$2:$K$495,0)),"")</f>
        <v/>
      </c>
      <c r="F126" s="9" t="str">
        <f>IFERROR(INDEX('CASE MASTER'!$S$2:$S$495,MATCH("Case WB Box 10: G5",'CASE MASTER'!$K$2:$K$495,0)),"")</f>
        <v/>
      </c>
      <c r="G126" s="9" t="str">
        <f>IFERROR(INDEX('CASE MASTER'!$S$2:$S$495,MATCH("Case WB Box 10: G6",'CASE MASTER'!$K$2:$K$495,0)),"")</f>
        <v/>
      </c>
      <c r="H126" s="9" t="str">
        <f>IFERROR(INDEX('CASE MASTER'!$S$2:$S$495,MATCH("Case WB Box 10: G7",'CASE MASTER'!$K$2:$K$495,0)),"")</f>
        <v/>
      </c>
      <c r="I126" s="9" t="str">
        <f>IFERROR(INDEX('CASE MASTER'!$S$2:$S$495,MATCH("Case WB Box 10: G8",'CASE MASTER'!$K$2:$K$495,0)),"")</f>
        <v/>
      </c>
      <c r="J126" s="9" t="str">
        <f>IFERROR(INDEX('CASE MASTER'!$S$2:$S$495,MATCH("Case WB Box 10: G9",'CASE MASTER'!$K$2:$K$495,0)),"")</f>
        <v/>
      </c>
    </row>
    <row r="127" spans="1:10" ht="15" customHeight="1" x14ac:dyDescent="0.35">
      <c r="A127" s="8" t="s">
        <v>35</v>
      </c>
      <c r="B127" s="9" t="str">
        <f>IFERROR(INDEX('CASE MASTER'!$S$2:$S$495,MATCH("Case WB Box 10: H1",'CASE MASTER'!$K$2:$K$495,0)),"")</f>
        <v/>
      </c>
      <c r="C127" s="9" t="str">
        <f>IFERROR(INDEX('CASE MASTER'!$S$2:$S$495,MATCH("Case WB Box 10: H2",'CASE MASTER'!$K$2:$K$495,0)),"")</f>
        <v/>
      </c>
      <c r="D127" s="9" t="str">
        <f>IFERROR(INDEX('CASE MASTER'!$S$2:$S$495,MATCH("Case WB Box 10: H3",'CASE MASTER'!$K$2:$K$495,0)),"")</f>
        <v/>
      </c>
      <c r="E127" s="9" t="str">
        <f>IFERROR(INDEX('CASE MASTER'!$S$2:$S$495,MATCH("Case WB Box 10: H4",'CASE MASTER'!$K$2:$K$495,0)),"")</f>
        <v/>
      </c>
      <c r="F127" s="9" t="str">
        <f>IFERROR(INDEX('CASE MASTER'!$S$2:$S$495,MATCH("Case WB Box 10: H5",'CASE MASTER'!$K$2:$K$495,0)),"")</f>
        <v/>
      </c>
      <c r="G127" s="9" t="str">
        <f>IFERROR(INDEX('CASE MASTER'!$S$2:$S$495,MATCH("Case WB Box 10: H6",'CASE MASTER'!$K$2:$K$495,0)),"")</f>
        <v/>
      </c>
      <c r="H127" s="9" t="str">
        <f>IFERROR(INDEX('CASE MASTER'!$S$2:$S$495,MATCH("Case WB Box 10: H7",'CASE MASTER'!$K$2:$K$495,0)),"")</f>
        <v/>
      </c>
      <c r="I127" s="9" t="str">
        <f>IFERROR(INDEX('CASE MASTER'!$S$2:$S$495,MATCH("Case WB Box 10: H8",'CASE MASTER'!$K$2:$K$495,0)),"")</f>
        <v/>
      </c>
      <c r="J127" s="9" t="str">
        <f>IFERROR(INDEX('CASE MASTER'!$S$2:$S$495,MATCH("Case WB Box 10: H9",'CASE MASTER'!$K$2:$K$495,0)),"")</f>
        <v/>
      </c>
    </row>
    <row r="128" spans="1:10" ht="15" customHeight="1" x14ac:dyDescent="0.35">
      <c r="A128" s="8" t="s">
        <v>81</v>
      </c>
      <c r="B128" s="9" t="str">
        <f>IFERROR(INDEX('CASE MASTER'!$S$2:$S$495,MATCH("Case WB Box 10: I1",'CASE MASTER'!$K$2:$K$495,0)),"")</f>
        <v/>
      </c>
      <c r="C128" s="9" t="str">
        <f>IFERROR(INDEX('CASE MASTER'!$S$2:$S$495,MATCH("Case WB Box 10: I2",'CASE MASTER'!$K$2:$K$495,0)),"")</f>
        <v/>
      </c>
      <c r="D128" s="9" t="str">
        <f>IFERROR(INDEX('CASE MASTER'!$S$2:$S$495,MATCH("Case WB Box 10: I3",'CASE MASTER'!$K$2:$K$495,0)),"")</f>
        <v/>
      </c>
      <c r="E128" s="9" t="str">
        <f>IFERROR(INDEX('CASE MASTER'!$S$2:$S$495,MATCH("Case WB Box 10: I4",'CASE MASTER'!$K$2:$K$495,0)),"")</f>
        <v/>
      </c>
      <c r="F128" s="9" t="str">
        <f>IFERROR(INDEX('CASE MASTER'!$S$2:$S$495,MATCH("Case WB Box 10: I5",'CASE MASTER'!$K$2:$K$495,0)),"")</f>
        <v/>
      </c>
      <c r="G128" s="9" t="str">
        <f>IFERROR(INDEX('CASE MASTER'!$S$2:$S$495,MATCH("Case WB Box 10: I6",'CASE MASTER'!$K$2:$K$495,0)),"")</f>
        <v/>
      </c>
      <c r="H128" s="9" t="str">
        <f>IFERROR(INDEX('CASE MASTER'!$S$2:$S$495,MATCH("Case WB Box 10: I7",'CASE MASTER'!$K$2:$K$495,0)),"")</f>
        <v/>
      </c>
      <c r="I128" s="9" t="str">
        <f>IFERROR(INDEX('CASE MASTER'!$S$2:$S$495,MATCH("Case WB Box 10: I8",'CASE MASTER'!$K$2:$K$495,0)),"")</f>
        <v/>
      </c>
      <c r="J128" s="9" t="str">
        <f>IFERROR(INDEX('CASE MASTER'!$S$2:$S$495,MATCH("Case WB Box 10: I9",'CASE MASTER'!$K$2:$K$495,0)),"")</f>
        <v/>
      </c>
    </row>
    <row r="131" spans="1:10" ht="15" customHeight="1" x14ac:dyDescent="0.35">
      <c r="A131" s="12" t="s">
        <v>107</v>
      </c>
      <c r="B131" s="13"/>
      <c r="C131" s="13"/>
      <c r="D131" s="13"/>
      <c r="E131" s="13"/>
      <c r="F131" s="13"/>
      <c r="G131" s="13"/>
      <c r="H131" s="13"/>
      <c r="I131" s="13"/>
      <c r="J131" s="13"/>
    </row>
    <row r="132" spans="1:10" ht="15" customHeight="1" x14ac:dyDescent="0.35">
      <c r="B132" s="8">
        <v>1</v>
      </c>
      <c r="C132" s="8">
        <v>2</v>
      </c>
      <c r="D132" s="8">
        <v>3</v>
      </c>
      <c r="E132" s="8">
        <v>4</v>
      </c>
      <c r="F132" s="8">
        <v>5</v>
      </c>
      <c r="G132" s="8">
        <v>6</v>
      </c>
      <c r="H132" s="8">
        <v>7</v>
      </c>
      <c r="I132" s="8">
        <v>8</v>
      </c>
      <c r="J132" s="8">
        <v>9</v>
      </c>
    </row>
    <row r="133" spans="1:10" ht="15" customHeight="1" x14ac:dyDescent="0.35">
      <c r="A133" s="8" t="s">
        <v>28</v>
      </c>
      <c r="B133" s="9" t="str">
        <f>IFERROR(INDEX('CASE MASTER'!$S$2:$S$495,MATCH("Case WB Box 11: A1",'CASE MASTER'!$K$2:$K$495,0)),"")</f>
        <v/>
      </c>
      <c r="C133" s="9" t="str">
        <f>IFERROR(INDEX('CASE MASTER'!$S$2:$S$495,MATCH("Case WB Box 11: A2",'CASE MASTER'!$K$2:$K$495,0)),"")</f>
        <v/>
      </c>
      <c r="D133" s="9" t="str">
        <f>IFERROR(INDEX('CASE MASTER'!$S$2:$S$495,MATCH("Case WB Box 11: A3",'CASE MASTER'!$K$2:$K$495,0)),"")</f>
        <v/>
      </c>
      <c r="E133" s="9" t="str">
        <f>IFERROR(INDEX('CASE MASTER'!$S$2:$S$495,MATCH("Case WB Box 11: A4",'CASE MASTER'!$K$2:$K$495,0)),"")</f>
        <v/>
      </c>
      <c r="F133" s="9" t="str">
        <f>IFERROR(INDEX('CASE MASTER'!$S$2:$S$495,MATCH("Case WB Box 11: A5",'CASE MASTER'!$K$2:$K$495,0)),"")</f>
        <v/>
      </c>
      <c r="G133" s="9" t="str">
        <f>IFERROR(INDEX('CASE MASTER'!$S$2:$S$495,MATCH("Case WB Box 11: A6",'CASE MASTER'!$K$2:$K$495,0)),"")</f>
        <v/>
      </c>
      <c r="H133" s="9" t="str">
        <f>IFERROR(INDEX('CASE MASTER'!$S$2:$S$495,MATCH("Case WB Box 11: A7",'CASE MASTER'!$K$2:$K$495,0)),"")</f>
        <v/>
      </c>
      <c r="I133" s="9" t="str">
        <f>IFERROR(INDEX('CASE MASTER'!$S$2:$S$495,MATCH("Case WB Box 11: A8",'CASE MASTER'!$K$2:$K$495,0)),"")</f>
        <v/>
      </c>
      <c r="J133" s="9" t="str">
        <f>IFERROR(INDEX('CASE MASTER'!$S$2:$S$495,MATCH("Case WB Box 11: A9",'CASE MASTER'!$K$2:$K$495,0)),"")</f>
        <v/>
      </c>
    </row>
    <row r="134" spans="1:10" ht="15" customHeight="1" x14ac:dyDescent="0.35">
      <c r="A134" s="8" t="s">
        <v>29</v>
      </c>
      <c r="B134" s="9" t="str">
        <f>IFERROR(INDEX('CASE MASTER'!$S$2:$S$495,MATCH("Case WB Box 11: B1",'CASE MASTER'!$K$2:$K$495,0)),"")</f>
        <v/>
      </c>
      <c r="C134" s="9" t="str">
        <f>IFERROR(INDEX('CASE MASTER'!$S$2:$S$495,MATCH("Case WB Box 11: B2",'CASE MASTER'!$K$2:$K$495,0)),"")</f>
        <v/>
      </c>
      <c r="D134" s="9" t="str">
        <f>IFERROR(INDEX('CASE MASTER'!$S$2:$S$495,MATCH("Case WB Box 11: B3",'CASE MASTER'!$K$2:$K$495,0)),"")</f>
        <v/>
      </c>
      <c r="E134" s="9" t="str">
        <f>IFERROR(INDEX('CASE MASTER'!$S$2:$S$495,MATCH("Case WB Box 11: B4",'CASE MASTER'!$K$2:$K$495,0)),"")</f>
        <v/>
      </c>
      <c r="F134" s="9" t="str">
        <f>IFERROR(INDEX('CASE MASTER'!$S$2:$S$495,MATCH("Case WB Box 11: B5",'CASE MASTER'!$K$2:$K$495,0)),"")</f>
        <v/>
      </c>
      <c r="G134" s="9" t="str">
        <f>IFERROR(INDEX('CASE MASTER'!$S$2:$S$495,MATCH("Case WB Box 11: B6",'CASE MASTER'!$K$2:$K$495,0)),"")</f>
        <v/>
      </c>
      <c r="H134" s="9" t="str">
        <f>IFERROR(INDEX('CASE MASTER'!$S$2:$S$495,MATCH("Case WB Box 11: B7",'CASE MASTER'!$K$2:$K$495,0)),"")</f>
        <v/>
      </c>
      <c r="I134" s="9" t="str">
        <f>IFERROR(INDEX('CASE MASTER'!$S$2:$S$495,MATCH("Case WB Box 11: B8",'CASE MASTER'!$K$2:$K$495,0)),"")</f>
        <v/>
      </c>
      <c r="J134" s="9" t="str">
        <f>IFERROR(INDEX('CASE MASTER'!$S$2:$S$495,MATCH("Case WB Box 11: B9",'CASE MASTER'!$K$2:$K$495,0)),"")</f>
        <v/>
      </c>
    </row>
    <row r="135" spans="1:10" ht="15" customHeight="1" x14ac:dyDescent="0.35">
      <c r="A135" s="8" t="s">
        <v>30</v>
      </c>
      <c r="B135" s="9" t="str">
        <f>IFERROR(INDEX('CASE MASTER'!$S$2:$S$495,MATCH("Case WB Box 11: C1",'CASE MASTER'!$K$2:$K$495,0)),"")</f>
        <v/>
      </c>
      <c r="C135" s="9" t="str">
        <f>IFERROR(INDEX('CASE MASTER'!$S$2:$S$495,MATCH("Case WB Box 11: C2",'CASE MASTER'!$K$2:$K$495,0)),"")</f>
        <v/>
      </c>
      <c r="D135" s="9" t="str">
        <f>IFERROR(INDEX('CASE MASTER'!$S$2:$S$495,MATCH("Case WB Box 11: C3",'CASE MASTER'!$K$2:$K$495,0)),"")</f>
        <v/>
      </c>
      <c r="E135" s="9" t="str">
        <f>IFERROR(INDEX('CASE MASTER'!$S$2:$S$495,MATCH("Case WB Box 11: C4",'CASE MASTER'!$K$2:$K$495,0)),"")</f>
        <v/>
      </c>
      <c r="F135" s="9" t="str">
        <f>IFERROR(INDEX('CASE MASTER'!$S$2:$S$495,MATCH("Case WB Box 11: C5",'CASE MASTER'!$K$2:$K$495,0)),"")</f>
        <v/>
      </c>
      <c r="G135" s="9" t="str">
        <f>IFERROR(INDEX('CASE MASTER'!$S$2:$S$495,MATCH("Case WB Box 11: C6",'CASE MASTER'!$K$2:$K$495,0)),"")</f>
        <v/>
      </c>
      <c r="H135" s="9" t="str">
        <f>IFERROR(INDEX('CASE MASTER'!$S$2:$S$495,MATCH("Case WB Box 11: C7",'CASE MASTER'!$K$2:$K$495,0)),"")</f>
        <v/>
      </c>
      <c r="I135" s="9" t="str">
        <f>IFERROR(INDEX('CASE MASTER'!$S$2:$S$495,MATCH("Case WB Box 11: C8",'CASE MASTER'!$K$2:$K$495,0)),"")</f>
        <v/>
      </c>
      <c r="J135" s="9" t="str">
        <f>IFERROR(INDEX('CASE MASTER'!$S$2:$S$495,MATCH("Case WB Box 11: C9",'CASE MASTER'!$K$2:$K$495,0)),"")</f>
        <v/>
      </c>
    </row>
    <row r="136" spans="1:10" ht="15" customHeight="1" x14ac:dyDescent="0.35">
      <c r="A136" s="8" t="s">
        <v>31</v>
      </c>
      <c r="B136" s="9" t="str">
        <f>IFERROR(INDEX('CASE MASTER'!$S$2:$S$495,MATCH("Case WB Box 11: D1",'CASE MASTER'!$K$2:$K$495,0)),"")</f>
        <v/>
      </c>
      <c r="C136" s="9" t="str">
        <f>IFERROR(INDEX('CASE MASTER'!$S$2:$S$495,MATCH("Case WB Box 11: D2",'CASE MASTER'!$K$2:$K$495,0)),"")</f>
        <v/>
      </c>
      <c r="D136" s="9" t="str">
        <f>IFERROR(INDEX('CASE MASTER'!$S$2:$S$495,MATCH("Case WB Box 11: D3",'CASE MASTER'!$K$2:$K$495,0)),"")</f>
        <v/>
      </c>
      <c r="E136" s="9" t="str">
        <f>IFERROR(INDEX('CASE MASTER'!$S$2:$S$495,MATCH("Case WB Box 11: D4",'CASE MASTER'!$K$2:$K$495,0)),"")</f>
        <v/>
      </c>
      <c r="F136" s="9" t="str">
        <f>IFERROR(INDEX('CASE MASTER'!$S$2:$S$495,MATCH("Case WB Box 11: D5",'CASE MASTER'!$K$2:$K$495,0)),"")</f>
        <v/>
      </c>
      <c r="G136" s="9" t="str">
        <f>IFERROR(INDEX('CASE MASTER'!$S$2:$S$495,MATCH("Case WB Box 11: D6",'CASE MASTER'!$K$2:$K$495,0)),"")</f>
        <v/>
      </c>
      <c r="H136" s="9" t="str">
        <f>IFERROR(INDEX('CASE MASTER'!$S$2:$S$495,MATCH("Case WB Box 11: D7",'CASE MASTER'!$K$2:$K$495,0)),"")</f>
        <v/>
      </c>
      <c r="I136" s="9" t="str">
        <f>IFERROR(INDEX('CASE MASTER'!$S$2:$S$495,MATCH("Case WB Box 11: D8",'CASE MASTER'!$K$2:$K$495,0)),"")</f>
        <v/>
      </c>
      <c r="J136" s="9" t="str">
        <f>IFERROR(INDEX('CASE MASTER'!$S$2:$S$495,MATCH("Case WB Box 11: D9",'CASE MASTER'!$K$2:$K$495,0)),"")</f>
        <v/>
      </c>
    </row>
    <row r="137" spans="1:10" ht="15" customHeight="1" x14ac:dyDescent="0.35">
      <c r="A137" s="8" t="s">
        <v>32</v>
      </c>
      <c r="B137" s="9" t="str">
        <f>IFERROR(INDEX('CASE MASTER'!$S$2:$S$495,MATCH("Case WB Box 11: E1",'CASE MASTER'!$K$2:$K$495,0)),"")</f>
        <v/>
      </c>
      <c r="C137" s="9" t="str">
        <f>IFERROR(INDEX('CASE MASTER'!$S$2:$S$495,MATCH("Case WB Box 11: E2",'CASE MASTER'!$K$2:$K$495,0)),"")</f>
        <v/>
      </c>
      <c r="D137" s="9" t="str">
        <f>IFERROR(INDEX('CASE MASTER'!$S$2:$S$495,MATCH("Case WB Box 11: E3",'CASE MASTER'!$K$2:$K$495,0)),"")</f>
        <v/>
      </c>
      <c r="E137" s="9" t="str">
        <f>IFERROR(INDEX('CASE MASTER'!$S$2:$S$495,MATCH("Case WB Box 11: E4",'CASE MASTER'!$K$2:$K$495,0)),"")</f>
        <v/>
      </c>
      <c r="F137" s="9" t="str">
        <f>IFERROR(INDEX('CASE MASTER'!$S$2:$S$495,MATCH("Case WB Box 11: E5",'CASE MASTER'!$K$2:$K$495,0)),"")</f>
        <v/>
      </c>
      <c r="G137" s="9" t="str">
        <f>IFERROR(INDEX('CASE MASTER'!$S$2:$S$495,MATCH("Case WB Box 11: E6",'CASE MASTER'!$K$2:$K$495,0)),"")</f>
        <v/>
      </c>
      <c r="H137" s="9" t="str">
        <f>IFERROR(INDEX('CASE MASTER'!$S$2:$S$495,MATCH("Case WB Box 11: E7",'CASE MASTER'!$K$2:$K$495,0)),"")</f>
        <v/>
      </c>
      <c r="I137" s="9" t="str">
        <f>IFERROR(INDEX('CASE MASTER'!$S$2:$S$495,MATCH("Case WB Box 11: E8",'CASE MASTER'!$K$2:$K$495,0)),"")</f>
        <v/>
      </c>
      <c r="J137" s="9" t="str">
        <f>IFERROR(INDEX('CASE MASTER'!$S$2:$S$495,MATCH("Case WB Box 11: E9",'CASE MASTER'!$K$2:$K$495,0)),"")</f>
        <v/>
      </c>
    </row>
    <row r="138" spans="1:10" ht="15" customHeight="1" x14ac:dyDescent="0.35">
      <c r="A138" s="8" t="s">
        <v>33</v>
      </c>
      <c r="B138" s="9" t="str">
        <f>IFERROR(INDEX('CASE MASTER'!$S$2:$S$495,MATCH("Case WB Box 11: F1",'CASE MASTER'!$K$2:$K$495,0)),"")</f>
        <v/>
      </c>
      <c r="C138" s="9" t="str">
        <f>IFERROR(INDEX('CASE MASTER'!$S$2:$S$495,MATCH("Case WB Box 11: F2",'CASE MASTER'!$K$2:$K$495,0)),"")</f>
        <v/>
      </c>
      <c r="D138" s="9" t="str">
        <f>IFERROR(INDEX('CASE MASTER'!$S$2:$S$495,MATCH("Case WB Box 11: F3",'CASE MASTER'!$K$2:$K$495,0)),"")</f>
        <v/>
      </c>
      <c r="E138" s="9" t="str">
        <f>IFERROR(INDEX('CASE MASTER'!$S$2:$S$495,MATCH("Case WB Box 11: F4",'CASE MASTER'!$K$2:$K$495,0)),"")</f>
        <v/>
      </c>
      <c r="F138" s="9" t="str">
        <f>IFERROR(INDEX('CASE MASTER'!$S$2:$S$495,MATCH("Case WB Box 11: F5",'CASE MASTER'!$K$2:$K$495,0)),"")</f>
        <v/>
      </c>
      <c r="G138" s="9" t="str">
        <f>IFERROR(INDEX('CASE MASTER'!$S$2:$S$495,MATCH("Case WB Box 11: F6",'CASE MASTER'!$K$2:$K$495,0)),"")</f>
        <v/>
      </c>
      <c r="H138" s="9" t="str">
        <f>IFERROR(INDEX('CASE MASTER'!$S$2:$S$495,MATCH("Case WB Box 11: F7",'CASE MASTER'!$K$2:$K$495,0)),"")</f>
        <v/>
      </c>
      <c r="I138" s="9" t="str">
        <f>IFERROR(INDEX('CASE MASTER'!$S$2:$S$495,MATCH("Case WB Box 11: F8",'CASE MASTER'!$K$2:$K$495,0)),"")</f>
        <v/>
      </c>
      <c r="J138" s="9" t="str">
        <f>IFERROR(INDEX('CASE MASTER'!$S$2:$S$495,MATCH("Case WB Box 11: F9",'CASE MASTER'!$K$2:$K$495,0)),"")</f>
        <v/>
      </c>
    </row>
    <row r="139" spans="1:10" ht="15" customHeight="1" x14ac:dyDescent="0.35">
      <c r="A139" s="8" t="s">
        <v>34</v>
      </c>
      <c r="B139" s="9" t="str">
        <f>IFERROR(INDEX('CASE MASTER'!$S$2:$S$495,MATCH("Case WB Box 11: G1",'CASE MASTER'!$K$2:$K$495,0)),"")</f>
        <v/>
      </c>
      <c r="C139" s="9" t="str">
        <f>IFERROR(INDEX('CASE MASTER'!$S$2:$S$495,MATCH("Case WB Box 11: G2",'CASE MASTER'!$K$2:$K$495,0)),"")</f>
        <v/>
      </c>
      <c r="D139" s="9" t="str">
        <f>IFERROR(INDEX('CASE MASTER'!$S$2:$S$495,MATCH("Case WB Box 11: G3",'CASE MASTER'!$K$2:$K$495,0)),"")</f>
        <v/>
      </c>
      <c r="E139" s="9" t="str">
        <f>IFERROR(INDEX('CASE MASTER'!$S$2:$S$495,MATCH("Case WB Box 11: G4",'CASE MASTER'!$K$2:$K$495,0)),"")</f>
        <v/>
      </c>
      <c r="F139" s="9" t="str">
        <f>IFERROR(INDEX('CASE MASTER'!$S$2:$S$495,MATCH("Case WB Box 11: G5",'CASE MASTER'!$K$2:$K$495,0)),"")</f>
        <v/>
      </c>
      <c r="G139" s="9" t="str">
        <f>IFERROR(INDEX('CASE MASTER'!$S$2:$S$495,MATCH("Case WB Box 11: G6",'CASE MASTER'!$K$2:$K$495,0)),"")</f>
        <v/>
      </c>
      <c r="H139" s="9" t="str">
        <f>IFERROR(INDEX('CASE MASTER'!$S$2:$S$495,MATCH("Case WB Box 11: G7",'CASE MASTER'!$K$2:$K$495,0)),"")</f>
        <v/>
      </c>
      <c r="I139" s="9" t="str">
        <f>IFERROR(INDEX('CASE MASTER'!$S$2:$S$495,MATCH("Case WB Box 11: G8",'CASE MASTER'!$K$2:$K$495,0)),"")</f>
        <v/>
      </c>
      <c r="J139" s="9" t="str">
        <f>IFERROR(INDEX('CASE MASTER'!$S$2:$S$495,MATCH("Case WB Box 11: G9",'CASE MASTER'!$K$2:$K$495,0)),"")</f>
        <v/>
      </c>
    </row>
    <row r="140" spans="1:10" ht="15" customHeight="1" x14ac:dyDescent="0.35">
      <c r="A140" s="8" t="s">
        <v>35</v>
      </c>
      <c r="B140" s="9" t="str">
        <f>IFERROR(INDEX('CASE MASTER'!$S$2:$S$495,MATCH("Case WB Box 11: H1",'CASE MASTER'!$K$2:$K$495,0)),"")</f>
        <v/>
      </c>
      <c r="C140" s="9" t="str">
        <f>IFERROR(INDEX('CASE MASTER'!$S$2:$S$495,MATCH("Case WB Box 11: H2",'CASE MASTER'!$K$2:$K$495,0)),"")</f>
        <v/>
      </c>
      <c r="D140" s="9" t="str">
        <f>IFERROR(INDEX('CASE MASTER'!$S$2:$S$495,MATCH("Case WB Box 11: H3",'CASE MASTER'!$K$2:$K$495,0)),"")</f>
        <v/>
      </c>
      <c r="E140" s="9" t="str">
        <f>IFERROR(INDEX('CASE MASTER'!$S$2:$S$495,MATCH("Case WB Box 11: H4",'CASE MASTER'!$K$2:$K$495,0)),"")</f>
        <v/>
      </c>
      <c r="F140" s="9" t="str">
        <f>IFERROR(INDEX('CASE MASTER'!$S$2:$S$495,MATCH("Case WB Box 11: H5",'CASE MASTER'!$K$2:$K$495,0)),"")</f>
        <v/>
      </c>
      <c r="G140" s="9" t="str">
        <f>IFERROR(INDEX('CASE MASTER'!$S$2:$S$495,MATCH("Case WB Box 11: H6",'CASE MASTER'!$K$2:$K$495,0)),"")</f>
        <v/>
      </c>
      <c r="H140" s="9" t="str">
        <f>IFERROR(INDEX('CASE MASTER'!$S$2:$S$495,MATCH("Case WB Box 11: H7",'CASE MASTER'!$K$2:$K$495,0)),"")</f>
        <v/>
      </c>
      <c r="I140" s="9" t="str">
        <f>IFERROR(INDEX('CASE MASTER'!$S$2:$S$495,MATCH("Case WB Box 11: H8",'CASE MASTER'!$K$2:$K$495,0)),"")</f>
        <v/>
      </c>
      <c r="J140" s="9" t="str">
        <f>IFERROR(INDEX('CASE MASTER'!$S$2:$S$495,MATCH("Case WB Box 11: H9",'CASE MASTER'!$K$2:$K$495,0)),"")</f>
        <v/>
      </c>
    </row>
    <row r="141" spans="1:10" ht="15" customHeight="1" x14ac:dyDescent="0.35">
      <c r="A141" s="8" t="s">
        <v>81</v>
      </c>
      <c r="B141" s="9" t="str">
        <f>IFERROR(INDEX('CASE MASTER'!$S$2:$S$495,MATCH("Case WB Box 11: I1",'CASE MASTER'!$K$2:$K$495,0)),"")</f>
        <v/>
      </c>
      <c r="C141" s="9" t="str">
        <f>IFERROR(INDEX('CASE MASTER'!$S$2:$S$495,MATCH("Case WB Box 11: I2",'CASE MASTER'!$K$2:$K$495,0)),"")</f>
        <v/>
      </c>
      <c r="D141" s="9" t="str">
        <f>IFERROR(INDEX('CASE MASTER'!$S$2:$S$495,MATCH("Case WB Box 11: I3",'CASE MASTER'!$K$2:$K$495,0)),"")</f>
        <v/>
      </c>
      <c r="E141" s="9" t="str">
        <f>IFERROR(INDEX('CASE MASTER'!$S$2:$S$495,MATCH("Case WB Box 11: I4",'CASE MASTER'!$K$2:$K$495,0)),"")</f>
        <v/>
      </c>
      <c r="F141" s="9" t="str">
        <f>IFERROR(INDEX('CASE MASTER'!$S$2:$S$495,MATCH("Case WB Box 11: I5",'CASE MASTER'!$K$2:$K$495,0)),"")</f>
        <v/>
      </c>
      <c r="G141" s="9" t="str">
        <f>IFERROR(INDEX('CASE MASTER'!$S$2:$S$495,MATCH("Case WB Box 11: I6",'CASE MASTER'!$K$2:$K$495,0)),"")</f>
        <v/>
      </c>
      <c r="H141" s="9" t="str">
        <f>IFERROR(INDEX('CASE MASTER'!$S$2:$S$495,MATCH("Case WB Box 11: I7",'CASE MASTER'!$K$2:$K$495,0)),"")</f>
        <v/>
      </c>
      <c r="I141" s="9" t="str">
        <f>IFERROR(INDEX('CASE MASTER'!$S$2:$S$495,MATCH("Case WB Box 11: I8",'CASE MASTER'!$K$2:$K$495,0)),"")</f>
        <v/>
      </c>
      <c r="J141" s="9" t="str">
        <f>IFERROR(INDEX('CASE MASTER'!$S$2:$S$495,MATCH("Case WB Box 11: I9",'CASE MASTER'!$K$2:$K$495,0)),"")</f>
        <v/>
      </c>
    </row>
    <row r="144" spans="1:10" ht="15" customHeight="1" x14ac:dyDescent="0.35">
      <c r="A144" s="12" t="s">
        <v>108</v>
      </c>
      <c r="B144" s="13"/>
      <c r="C144" s="13"/>
      <c r="D144" s="13"/>
      <c r="E144" s="13"/>
      <c r="F144" s="13"/>
      <c r="G144" s="13"/>
      <c r="H144" s="13"/>
      <c r="I144" s="13"/>
      <c r="J144" s="13"/>
    </row>
    <row r="145" spans="1:10" ht="15" customHeight="1" x14ac:dyDescent="0.35">
      <c r="B145" s="8">
        <v>1</v>
      </c>
      <c r="C145" s="8">
        <v>2</v>
      </c>
      <c r="D145" s="8">
        <v>3</v>
      </c>
      <c r="E145" s="8">
        <v>4</v>
      </c>
      <c r="F145" s="8">
        <v>5</v>
      </c>
      <c r="G145" s="8">
        <v>6</v>
      </c>
      <c r="H145" s="8">
        <v>7</v>
      </c>
      <c r="I145" s="8">
        <v>8</v>
      </c>
      <c r="J145" s="8">
        <v>9</v>
      </c>
    </row>
    <row r="146" spans="1:10" ht="15" customHeight="1" x14ac:dyDescent="0.35">
      <c r="A146" s="8" t="s">
        <v>28</v>
      </c>
      <c r="B146" s="9" t="str">
        <f>IFERROR(INDEX('CASE MASTER'!$S$2:$S$495,MATCH("Case WB Box 12: A1",'CASE MASTER'!$K$2:$K$495,0)),"")</f>
        <v/>
      </c>
      <c r="C146" s="9" t="str">
        <f>IFERROR(INDEX('CASE MASTER'!$S$2:$S$495,MATCH("Case WB Box 12: A2",'CASE MASTER'!$K$2:$K$495,0)),"")</f>
        <v/>
      </c>
      <c r="D146" s="9" t="str">
        <f>IFERROR(INDEX('CASE MASTER'!$S$2:$S$495,MATCH("Case WB Box 12: A3",'CASE MASTER'!$K$2:$K$495,0)),"")</f>
        <v/>
      </c>
      <c r="E146" s="9" t="str">
        <f>IFERROR(INDEX('CASE MASTER'!$S$2:$S$495,MATCH("Case WB Box 12: A4",'CASE MASTER'!$K$2:$K$495,0)),"")</f>
        <v/>
      </c>
      <c r="F146" s="9" t="str">
        <f>IFERROR(INDEX('CASE MASTER'!$S$2:$S$495,MATCH("Case WB Box 12: A5",'CASE MASTER'!$K$2:$K$495,0)),"")</f>
        <v/>
      </c>
      <c r="G146" s="9" t="str">
        <f>IFERROR(INDEX('CASE MASTER'!$S$2:$S$495,MATCH("Case WB Box 12: A6",'CASE MASTER'!$K$2:$K$495,0)),"")</f>
        <v/>
      </c>
      <c r="H146" s="9" t="str">
        <f>IFERROR(INDEX('CASE MASTER'!$S$2:$S$495,MATCH("Case WB Box 12: A7",'CASE MASTER'!$K$2:$K$495,0)),"")</f>
        <v/>
      </c>
      <c r="I146" s="9" t="str">
        <f>IFERROR(INDEX('CASE MASTER'!$S$2:$S$495,MATCH("Case WB Box 12: A8",'CASE MASTER'!$K$2:$K$495,0)),"")</f>
        <v/>
      </c>
      <c r="J146" s="9" t="str">
        <f>IFERROR(INDEX('CASE MASTER'!$S$2:$S$495,MATCH("Case WB Box 12: A9",'CASE MASTER'!$K$2:$K$495,0)),"")</f>
        <v/>
      </c>
    </row>
    <row r="147" spans="1:10" ht="15" customHeight="1" x14ac:dyDescent="0.35">
      <c r="A147" s="8" t="s">
        <v>29</v>
      </c>
      <c r="B147" s="9" t="str">
        <f>IFERROR(INDEX('CASE MASTER'!$S$2:$S$495,MATCH("Case WB Box 12: B1",'CASE MASTER'!$K$2:$K$495,0)),"")</f>
        <v/>
      </c>
      <c r="C147" s="9" t="str">
        <f>IFERROR(INDEX('CASE MASTER'!$S$2:$S$495,MATCH("Case WB Box 12: B2",'CASE MASTER'!$K$2:$K$495,0)),"")</f>
        <v/>
      </c>
      <c r="D147" s="9" t="str">
        <f>IFERROR(INDEX('CASE MASTER'!$S$2:$S$495,MATCH("Case WB Box 12: B3",'CASE MASTER'!$K$2:$K$495,0)),"")</f>
        <v/>
      </c>
      <c r="E147" s="9" t="str">
        <f>IFERROR(INDEX('CASE MASTER'!$S$2:$S$495,MATCH("Case WB Box 12: B4",'CASE MASTER'!$K$2:$K$495,0)),"")</f>
        <v/>
      </c>
      <c r="F147" s="9" t="str">
        <f>IFERROR(INDEX('CASE MASTER'!$S$2:$S$495,MATCH("Case WB Box 12: B5",'CASE MASTER'!$K$2:$K$495,0)),"")</f>
        <v/>
      </c>
      <c r="G147" s="9" t="str">
        <f>IFERROR(INDEX('CASE MASTER'!$S$2:$S$495,MATCH("Case WB Box 12: B6",'CASE MASTER'!$K$2:$K$495,0)),"")</f>
        <v/>
      </c>
      <c r="H147" s="9" t="str">
        <f>IFERROR(INDEX('CASE MASTER'!$S$2:$S$495,MATCH("Case WB Box 12: B7",'CASE MASTER'!$K$2:$K$495,0)),"")</f>
        <v/>
      </c>
      <c r="I147" s="9" t="str">
        <f>IFERROR(INDEX('CASE MASTER'!$S$2:$S$495,MATCH("Case WB Box 12: B8",'CASE MASTER'!$K$2:$K$495,0)),"")</f>
        <v/>
      </c>
      <c r="J147" s="9" t="str">
        <f>IFERROR(INDEX('CASE MASTER'!$S$2:$S$495,MATCH("Case WB Box 12: B9",'CASE MASTER'!$K$2:$K$495,0)),"")</f>
        <v/>
      </c>
    </row>
    <row r="148" spans="1:10" ht="15" customHeight="1" x14ac:dyDescent="0.35">
      <c r="A148" s="8" t="s">
        <v>30</v>
      </c>
      <c r="B148" s="9" t="str">
        <f>IFERROR(INDEX('CASE MASTER'!$S$2:$S$495,MATCH("Case WB Box 12: C1",'CASE MASTER'!$K$2:$K$495,0)),"")</f>
        <v/>
      </c>
      <c r="C148" s="9" t="str">
        <f>IFERROR(INDEX('CASE MASTER'!$S$2:$S$495,MATCH("Case WB Box 12: C2",'CASE MASTER'!$K$2:$K$495,0)),"")</f>
        <v/>
      </c>
      <c r="D148" s="9" t="str">
        <f>IFERROR(INDEX('CASE MASTER'!$S$2:$S$495,MATCH("Case WB Box 12: C3",'CASE MASTER'!$K$2:$K$495,0)),"")</f>
        <v/>
      </c>
      <c r="E148" s="9" t="str">
        <f>IFERROR(INDEX('CASE MASTER'!$S$2:$S$495,MATCH("Case WB Box 12: C4",'CASE MASTER'!$K$2:$K$495,0)),"")</f>
        <v/>
      </c>
      <c r="F148" s="9" t="str">
        <f>IFERROR(INDEX('CASE MASTER'!$S$2:$S$495,MATCH("Case WB Box 12: C5",'CASE MASTER'!$K$2:$K$495,0)),"")</f>
        <v/>
      </c>
      <c r="G148" s="9" t="str">
        <f>IFERROR(INDEX('CASE MASTER'!$S$2:$S$495,MATCH("Case WB Box 12: C6",'CASE MASTER'!$K$2:$K$495,0)),"")</f>
        <v/>
      </c>
      <c r="H148" s="9" t="str">
        <f>IFERROR(INDEX('CASE MASTER'!$S$2:$S$495,MATCH("Case WB Box 12: C7",'CASE MASTER'!$K$2:$K$495,0)),"")</f>
        <v/>
      </c>
      <c r="I148" s="9" t="str">
        <f>IFERROR(INDEX('CASE MASTER'!$S$2:$S$495,MATCH("Case WB Box 12: C8",'CASE MASTER'!$K$2:$K$495,0)),"")</f>
        <v/>
      </c>
      <c r="J148" s="9" t="str">
        <f>IFERROR(INDEX('CASE MASTER'!$S$2:$S$495,MATCH("Case WB Box 12: C9",'CASE MASTER'!$K$2:$K$495,0)),"")</f>
        <v/>
      </c>
    </row>
    <row r="149" spans="1:10" ht="15" customHeight="1" x14ac:dyDescent="0.35">
      <c r="A149" s="8" t="s">
        <v>31</v>
      </c>
      <c r="B149" s="9" t="str">
        <f>IFERROR(INDEX('CASE MASTER'!$S$2:$S$495,MATCH("Case WB Box 12: D1",'CASE MASTER'!$K$2:$K$495,0)),"")</f>
        <v/>
      </c>
      <c r="C149" s="9" t="str">
        <f>IFERROR(INDEX('CASE MASTER'!$S$2:$S$495,MATCH("Case WB Box 12: D2",'CASE MASTER'!$K$2:$K$495,0)),"")</f>
        <v/>
      </c>
      <c r="D149" s="9" t="str">
        <f>IFERROR(INDEX('CASE MASTER'!$S$2:$S$495,MATCH("Case WB Box 12: D3",'CASE MASTER'!$K$2:$K$495,0)),"")</f>
        <v/>
      </c>
      <c r="E149" s="9" t="str">
        <f>IFERROR(INDEX('CASE MASTER'!$S$2:$S$495,MATCH("Case WB Box 12: D4",'CASE MASTER'!$K$2:$K$495,0)),"")</f>
        <v/>
      </c>
      <c r="F149" s="9" t="str">
        <f>IFERROR(INDEX('CASE MASTER'!$S$2:$S$495,MATCH("Case WB Box 12: D5",'CASE MASTER'!$K$2:$K$495,0)),"")</f>
        <v/>
      </c>
      <c r="G149" s="9" t="str">
        <f>IFERROR(INDEX('CASE MASTER'!$S$2:$S$495,MATCH("Case WB Box 12: D6",'CASE MASTER'!$K$2:$K$495,0)),"")</f>
        <v/>
      </c>
      <c r="H149" s="9" t="str">
        <f>IFERROR(INDEX('CASE MASTER'!$S$2:$S$495,MATCH("Case WB Box 12: D7",'CASE MASTER'!$K$2:$K$495,0)),"")</f>
        <v/>
      </c>
      <c r="I149" s="9" t="str">
        <f>IFERROR(INDEX('CASE MASTER'!$S$2:$S$495,MATCH("Case WB Box 12: D8",'CASE MASTER'!$K$2:$K$495,0)),"")</f>
        <v/>
      </c>
      <c r="J149" s="9" t="str">
        <f>IFERROR(INDEX('CASE MASTER'!$S$2:$S$495,MATCH("Case WB Box 12: D9",'CASE MASTER'!$K$2:$K$495,0)),"")</f>
        <v/>
      </c>
    </row>
    <row r="150" spans="1:10" ht="15" customHeight="1" x14ac:dyDescent="0.35">
      <c r="A150" s="8" t="s">
        <v>32</v>
      </c>
      <c r="B150" s="9" t="str">
        <f>IFERROR(INDEX('CASE MASTER'!$S$2:$S$495,MATCH("Case WB Box 12: E1",'CASE MASTER'!$K$2:$K$495,0)),"")</f>
        <v/>
      </c>
      <c r="C150" s="9" t="str">
        <f>IFERROR(INDEX('CASE MASTER'!$S$2:$S$495,MATCH("Case WB Box 12: E2",'CASE MASTER'!$K$2:$K$495,0)),"")</f>
        <v/>
      </c>
      <c r="D150" s="9" t="str">
        <f>IFERROR(INDEX('CASE MASTER'!$S$2:$S$495,MATCH("Case WB Box 12: E3",'CASE MASTER'!$K$2:$K$495,0)),"")</f>
        <v/>
      </c>
      <c r="E150" s="9" t="str">
        <f>IFERROR(INDEX('CASE MASTER'!$S$2:$S$495,MATCH("Case WB Box 12: E4",'CASE MASTER'!$K$2:$K$495,0)),"")</f>
        <v/>
      </c>
      <c r="F150" s="9" t="str">
        <f>IFERROR(INDEX('CASE MASTER'!$S$2:$S$495,MATCH("Case WB Box 12: E5",'CASE MASTER'!$K$2:$K$495,0)),"")</f>
        <v/>
      </c>
      <c r="G150" s="9" t="str">
        <f>IFERROR(INDEX('CASE MASTER'!$S$2:$S$495,MATCH("Case WB Box 12: E6",'CASE MASTER'!$K$2:$K$495,0)),"")</f>
        <v/>
      </c>
      <c r="H150" s="9" t="str">
        <f>IFERROR(INDEX('CASE MASTER'!$S$2:$S$495,MATCH("Case WB Box 12: E7",'CASE MASTER'!$K$2:$K$495,0)),"")</f>
        <v/>
      </c>
      <c r="I150" s="9" t="str">
        <f>IFERROR(INDEX('CASE MASTER'!$S$2:$S$495,MATCH("Case WB Box 12: E8",'CASE MASTER'!$K$2:$K$495,0)),"")</f>
        <v/>
      </c>
      <c r="J150" s="9" t="str">
        <f>IFERROR(INDEX('CASE MASTER'!$S$2:$S$495,MATCH("Case WB Box 12: E9",'CASE MASTER'!$K$2:$K$495,0)),"")</f>
        <v/>
      </c>
    </row>
    <row r="151" spans="1:10" ht="15" customHeight="1" x14ac:dyDescent="0.35">
      <c r="A151" s="8" t="s">
        <v>33</v>
      </c>
      <c r="B151" s="9" t="str">
        <f>IFERROR(INDEX('CASE MASTER'!$S$2:$S$495,MATCH("Case WB Box 12: F1",'CASE MASTER'!$K$2:$K$495,0)),"")</f>
        <v/>
      </c>
      <c r="C151" s="9" t="str">
        <f>IFERROR(INDEX('CASE MASTER'!$S$2:$S$495,MATCH("Case WB Box 12: F2",'CASE MASTER'!$K$2:$K$495,0)),"")</f>
        <v/>
      </c>
      <c r="D151" s="9" t="str">
        <f>IFERROR(INDEX('CASE MASTER'!$S$2:$S$495,MATCH("Case WB Box 12: F3",'CASE MASTER'!$K$2:$K$495,0)),"")</f>
        <v/>
      </c>
      <c r="E151" s="9" t="str">
        <f>IFERROR(INDEX('CASE MASTER'!$S$2:$S$495,MATCH("Case WB Box 12: F4",'CASE MASTER'!$K$2:$K$495,0)),"")</f>
        <v/>
      </c>
      <c r="F151" s="9" t="str">
        <f>IFERROR(INDEX('CASE MASTER'!$S$2:$S$495,MATCH("Case WB Box 12: F5",'CASE MASTER'!$K$2:$K$495,0)),"")</f>
        <v/>
      </c>
      <c r="G151" s="9" t="str">
        <f>IFERROR(INDEX('CASE MASTER'!$S$2:$S$495,MATCH("Case WB Box 12: F6",'CASE MASTER'!$K$2:$K$495,0)),"")</f>
        <v/>
      </c>
      <c r="H151" s="9" t="str">
        <f>IFERROR(INDEX('CASE MASTER'!$S$2:$S$495,MATCH("Case WB Box 12: F7",'CASE MASTER'!$K$2:$K$495,0)),"")</f>
        <v/>
      </c>
      <c r="I151" s="9" t="str">
        <f>IFERROR(INDEX('CASE MASTER'!$S$2:$S$495,MATCH("Case WB Box 12: F8",'CASE MASTER'!$K$2:$K$495,0)),"")</f>
        <v/>
      </c>
      <c r="J151" s="9" t="str">
        <f>IFERROR(INDEX('CASE MASTER'!$S$2:$S$495,MATCH("Case WB Box 12: F9",'CASE MASTER'!$K$2:$K$495,0)),"")</f>
        <v/>
      </c>
    </row>
    <row r="152" spans="1:10" ht="15" customHeight="1" x14ac:dyDescent="0.35">
      <c r="A152" s="8" t="s">
        <v>34</v>
      </c>
      <c r="B152" s="9" t="str">
        <f>IFERROR(INDEX('CASE MASTER'!$S$2:$S$495,MATCH("Case WB Box 12: G1",'CASE MASTER'!$K$2:$K$495,0)),"")</f>
        <v/>
      </c>
      <c r="C152" s="9" t="str">
        <f>IFERROR(INDEX('CASE MASTER'!$S$2:$S$495,MATCH("Case WB Box 12: G2",'CASE MASTER'!$K$2:$K$495,0)),"")</f>
        <v/>
      </c>
      <c r="D152" s="9" t="str">
        <f>IFERROR(INDEX('CASE MASTER'!$S$2:$S$495,MATCH("Case WB Box 12: G3",'CASE MASTER'!$K$2:$K$495,0)),"")</f>
        <v/>
      </c>
      <c r="E152" s="9" t="str">
        <f>IFERROR(INDEX('CASE MASTER'!$S$2:$S$495,MATCH("Case WB Box 12: G4",'CASE MASTER'!$K$2:$K$495,0)),"")</f>
        <v/>
      </c>
      <c r="F152" s="9" t="str">
        <f>IFERROR(INDEX('CASE MASTER'!$S$2:$S$495,MATCH("Case WB Box 12: G5",'CASE MASTER'!$K$2:$K$495,0)),"")</f>
        <v/>
      </c>
      <c r="G152" s="9" t="str">
        <f>IFERROR(INDEX('CASE MASTER'!$S$2:$S$495,MATCH("Case WB Box 12: G6",'CASE MASTER'!$K$2:$K$495,0)),"")</f>
        <v/>
      </c>
      <c r="H152" s="9" t="str">
        <f>IFERROR(INDEX('CASE MASTER'!$S$2:$S$495,MATCH("Case WB Box 12: G7",'CASE MASTER'!$K$2:$K$495,0)),"")</f>
        <v/>
      </c>
      <c r="I152" s="9" t="str">
        <f>IFERROR(INDEX('CASE MASTER'!$S$2:$S$495,MATCH("Case WB Box 12: G8",'CASE MASTER'!$K$2:$K$495,0)),"")</f>
        <v/>
      </c>
      <c r="J152" s="9" t="str">
        <f>IFERROR(INDEX('CASE MASTER'!$S$2:$S$495,MATCH("Case WB Box 12: G9",'CASE MASTER'!$K$2:$K$495,0)),"")</f>
        <v/>
      </c>
    </row>
    <row r="153" spans="1:10" ht="15" customHeight="1" x14ac:dyDescent="0.35">
      <c r="A153" s="8" t="s">
        <v>35</v>
      </c>
      <c r="B153" s="9" t="str">
        <f>IFERROR(INDEX('CASE MASTER'!$S$2:$S$495,MATCH("Case WB Box 12: H1",'CASE MASTER'!$K$2:$K$495,0)),"")</f>
        <v/>
      </c>
      <c r="C153" s="9" t="str">
        <f>IFERROR(INDEX('CASE MASTER'!$S$2:$S$495,MATCH("Case WB Box 12: H2",'CASE MASTER'!$K$2:$K$495,0)),"")</f>
        <v/>
      </c>
      <c r="D153" s="9" t="str">
        <f>IFERROR(INDEX('CASE MASTER'!$S$2:$S$495,MATCH("Case WB Box 12: H3",'CASE MASTER'!$K$2:$K$495,0)),"")</f>
        <v/>
      </c>
      <c r="E153" s="9" t="str">
        <f>IFERROR(INDEX('CASE MASTER'!$S$2:$S$495,MATCH("Case WB Box 12: H4",'CASE MASTER'!$K$2:$K$495,0)),"")</f>
        <v/>
      </c>
      <c r="F153" s="9" t="str">
        <f>IFERROR(INDEX('CASE MASTER'!$S$2:$S$495,MATCH("Case WB Box 12: H5",'CASE MASTER'!$K$2:$K$495,0)),"")</f>
        <v/>
      </c>
      <c r="G153" s="9" t="str">
        <f>IFERROR(INDEX('CASE MASTER'!$S$2:$S$495,MATCH("Case WB Box 12: H6",'CASE MASTER'!$K$2:$K$495,0)),"")</f>
        <v/>
      </c>
      <c r="H153" s="9" t="str">
        <f>IFERROR(INDEX('CASE MASTER'!$S$2:$S$495,MATCH("Case WB Box 12: H7",'CASE MASTER'!$K$2:$K$495,0)),"")</f>
        <v/>
      </c>
      <c r="I153" s="9" t="str">
        <f>IFERROR(INDEX('CASE MASTER'!$S$2:$S$495,MATCH("Case WB Box 12: H8",'CASE MASTER'!$K$2:$K$495,0)),"")</f>
        <v/>
      </c>
      <c r="J153" s="9" t="str">
        <f>IFERROR(INDEX('CASE MASTER'!$S$2:$S$495,MATCH("Case WB Box 12: H9",'CASE MASTER'!$K$2:$K$495,0)),"")</f>
        <v/>
      </c>
    </row>
    <row r="154" spans="1:10" ht="15" customHeight="1" x14ac:dyDescent="0.35">
      <c r="A154" s="8" t="s">
        <v>81</v>
      </c>
      <c r="B154" s="9" t="str">
        <f>IFERROR(INDEX('CASE MASTER'!$S$2:$S$495,MATCH("Case WB Box 12: I1",'CASE MASTER'!$K$2:$K$495,0)),"")</f>
        <v/>
      </c>
      <c r="C154" s="9" t="str">
        <f>IFERROR(INDEX('CASE MASTER'!$S$2:$S$495,MATCH("Case WB Box 12: I2",'CASE MASTER'!$K$2:$K$495,0)),"")</f>
        <v/>
      </c>
      <c r="D154" s="9" t="str">
        <f>IFERROR(INDEX('CASE MASTER'!$S$2:$S$495,MATCH("Case WB Box 12: I3",'CASE MASTER'!$K$2:$K$495,0)),"")</f>
        <v/>
      </c>
      <c r="E154" s="9" t="str">
        <f>IFERROR(INDEX('CASE MASTER'!$S$2:$S$495,MATCH("Case WB Box 12: I4",'CASE MASTER'!$K$2:$K$495,0)),"")</f>
        <v/>
      </c>
      <c r="F154" s="9" t="str">
        <f>IFERROR(INDEX('CASE MASTER'!$S$2:$S$495,MATCH("Case WB Box 12: I5",'CASE MASTER'!$K$2:$K$495,0)),"")</f>
        <v/>
      </c>
      <c r="G154" s="9" t="str">
        <f>IFERROR(INDEX('CASE MASTER'!$S$2:$S$495,MATCH("Case WB Box 12: I6",'CASE MASTER'!$K$2:$K$495,0)),"")</f>
        <v/>
      </c>
      <c r="H154" s="9" t="str">
        <f>IFERROR(INDEX('CASE MASTER'!$S$2:$S$495,MATCH("Case WB Box 12: I7",'CASE MASTER'!$K$2:$K$495,0)),"")</f>
        <v/>
      </c>
      <c r="I154" s="9" t="str">
        <f>IFERROR(INDEX('CASE MASTER'!$S$2:$S$495,MATCH("Case WB Box 12: I8",'CASE MASTER'!$K$2:$K$495,0)),"")</f>
        <v/>
      </c>
      <c r="J154" s="9" t="str">
        <f>IFERROR(INDEX('CASE MASTER'!$S$2:$S$495,MATCH("Case WB Box 12: I9",'CASE MASTER'!$K$2:$K$495,0)),"")</f>
        <v/>
      </c>
    </row>
    <row r="157" spans="1:10" ht="15" customHeight="1" x14ac:dyDescent="0.35">
      <c r="A157" s="12" t="s">
        <v>109</v>
      </c>
      <c r="B157" s="13"/>
      <c r="C157" s="13"/>
      <c r="D157" s="13"/>
      <c r="E157" s="13"/>
      <c r="F157" s="13"/>
      <c r="G157" s="13"/>
      <c r="H157" s="13"/>
      <c r="I157" s="13"/>
      <c r="J157" s="13"/>
    </row>
    <row r="158" spans="1:10" ht="15" customHeight="1" x14ac:dyDescent="0.35">
      <c r="B158" s="8">
        <v>1</v>
      </c>
      <c r="C158" s="8">
        <v>2</v>
      </c>
      <c r="D158" s="8">
        <v>3</v>
      </c>
      <c r="E158" s="8">
        <v>4</v>
      </c>
      <c r="F158" s="8">
        <v>5</v>
      </c>
      <c r="G158" s="8">
        <v>6</v>
      </c>
      <c r="H158" s="8">
        <v>7</v>
      </c>
      <c r="I158" s="8">
        <v>8</v>
      </c>
      <c r="J158" s="8">
        <v>9</v>
      </c>
    </row>
    <row r="159" spans="1:10" ht="15" customHeight="1" x14ac:dyDescent="0.35">
      <c r="A159" s="8" t="s">
        <v>28</v>
      </c>
      <c r="B159" s="9" t="str">
        <f>IFERROR(INDEX('CASE MASTER'!$S$2:$S$495,MATCH("Case WB Box 13: A1",'CASE MASTER'!$K$2:$K$495,0)),"")</f>
        <v/>
      </c>
      <c r="C159" s="9" t="str">
        <f>IFERROR(INDEX('CASE MASTER'!$S$2:$S$495,MATCH("Case WB Box 13: A2",'CASE MASTER'!$K$2:$K$495,0)),"")</f>
        <v/>
      </c>
      <c r="D159" s="9" t="str">
        <f>IFERROR(INDEX('CASE MASTER'!$S$2:$S$495,MATCH("Case WB Box 13: A3",'CASE MASTER'!$K$2:$K$495,0)),"")</f>
        <v/>
      </c>
      <c r="E159" s="9" t="str">
        <f>IFERROR(INDEX('CASE MASTER'!$S$2:$S$495,MATCH("Case WB Box 13: A4",'CASE MASTER'!$K$2:$K$495,0)),"")</f>
        <v/>
      </c>
      <c r="F159" s="9" t="str">
        <f>IFERROR(INDEX('CASE MASTER'!$S$2:$S$495,MATCH("Case WB Box 13: A5",'CASE MASTER'!$K$2:$K$495,0)),"")</f>
        <v/>
      </c>
      <c r="G159" s="9" t="str">
        <f>IFERROR(INDEX('CASE MASTER'!$S$2:$S$495,MATCH("Case WB Box 13: A6",'CASE MASTER'!$K$2:$K$495,0)),"")</f>
        <v/>
      </c>
      <c r="H159" s="9" t="str">
        <f>IFERROR(INDEX('CASE MASTER'!$S$2:$S$495,MATCH("Case WB Box 13: A7",'CASE MASTER'!$K$2:$K$495,0)),"")</f>
        <v/>
      </c>
      <c r="I159" s="9" t="str">
        <f>IFERROR(INDEX('CASE MASTER'!$S$2:$S$495,MATCH("Case WB Box 13: A8",'CASE MASTER'!$K$2:$K$495,0)),"")</f>
        <v/>
      </c>
      <c r="J159" s="9" t="str">
        <f>IFERROR(INDEX('CASE MASTER'!$S$2:$S$495,MATCH("Case WB Box 13: A9",'CASE MASTER'!$K$2:$K$495,0)),"")</f>
        <v/>
      </c>
    </row>
    <row r="160" spans="1:10" ht="15" customHeight="1" x14ac:dyDescent="0.35">
      <c r="A160" s="8" t="s">
        <v>29</v>
      </c>
      <c r="B160" s="9" t="str">
        <f>IFERROR(INDEX('CASE MASTER'!$S$2:$S$495,MATCH("Case WB Box 13: B1",'CASE MASTER'!$K$2:$K$495,0)),"")</f>
        <v/>
      </c>
      <c r="C160" s="9" t="str">
        <f>IFERROR(INDEX('CASE MASTER'!$S$2:$S$495,MATCH("Case WB Box 13: B2",'CASE MASTER'!$K$2:$K$495,0)),"")</f>
        <v/>
      </c>
      <c r="D160" s="9" t="str">
        <f>IFERROR(INDEX('CASE MASTER'!$S$2:$S$495,MATCH("Case WB Box 13: B3",'CASE MASTER'!$K$2:$K$495,0)),"")</f>
        <v/>
      </c>
      <c r="E160" s="9" t="str">
        <f>IFERROR(INDEX('CASE MASTER'!$S$2:$S$495,MATCH("Case WB Box 13: B4",'CASE MASTER'!$K$2:$K$495,0)),"")</f>
        <v/>
      </c>
      <c r="F160" s="9" t="str">
        <f>IFERROR(INDEX('CASE MASTER'!$S$2:$S$495,MATCH("Case WB Box 13: B5",'CASE MASTER'!$K$2:$K$495,0)),"")</f>
        <v/>
      </c>
      <c r="G160" s="9" t="str">
        <f>IFERROR(INDEX('CASE MASTER'!$S$2:$S$495,MATCH("Case WB Box 13: B6",'CASE MASTER'!$K$2:$K$495,0)),"")</f>
        <v/>
      </c>
      <c r="H160" s="9" t="str">
        <f>IFERROR(INDEX('CASE MASTER'!$S$2:$S$495,MATCH("Case WB Box 13: B7",'CASE MASTER'!$K$2:$K$495,0)),"")</f>
        <v/>
      </c>
      <c r="I160" s="9" t="str">
        <f>IFERROR(INDEX('CASE MASTER'!$S$2:$S$495,MATCH("Case WB Box 13: B8",'CASE MASTER'!$K$2:$K$495,0)),"")</f>
        <v/>
      </c>
      <c r="J160" s="9" t="str">
        <f>IFERROR(INDEX('CASE MASTER'!$S$2:$S$495,MATCH("Case WB Box 13: B9",'CASE MASTER'!$K$2:$K$495,0)),"")</f>
        <v/>
      </c>
    </row>
    <row r="161" spans="1:10" ht="15" customHeight="1" x14ac:dyDescent="0.35">
      <c r="A161" s="8" t="s">
        <v>30</v>
      </c>
      <c r="B161" s="9" t="str">
        <f>IFERROR(INDEX('CASE MASTER'!$S$2:$S$495,MATCH("Case WB Box 13: C1",'CASE MASTER'!$K$2:$K$495,0)),"")</f>
        <v/>
      </c>
      <c r="C161" s="9" t="str">
        <f>IFERROR(INDEX('CASE MASTER'!$S$2:$S$495,MATCH("Case WB Box 13: C2",'CASE MASTER'!$K$2:$K$495,0)),"")</f>
        <v/>
      </c>
      <c r="D161" s="9" t="str">
        <f>IFERROR(INDEX('CASE MASTER'!$S$2:$S$495,MATCH("Case WB Box 13: C3",'CASE MASTER'!$K$2:$K$495,0)),"")</f>
        <v/>
      </c>
      <c r="E161" s="9" t="str">
        <f>IFERROR(INDEX('CASE MASTER'!$S$2:$S$495,MATCH("Case WB Box 13: C4",'CASE MASTER'!$K$2:$K$495,0)),"")</f>
        <v/>
      </c>
      <c r="F161" s="9" t="str">
        <f>IFERROR(INDEX('CASE MASTER'!$S$2:$S$495,MATCH("Case WB Box 13: C5",'CASE MASTER'!$K$2:$K$495,0)),"")</f>
        <v/>
      </c>
      <c r="G161" s="9" t="str">
        <f>IFERROR(INDEX('CASE MASTER'!$S$2:$S$495,MATCH("Case WB Box 13: C6",'CASE MASTER'!$K$2:$K$495,0)),"")</f>
        <v/>
      </c>
      <c r="H161" s="9" t="str">
        <f>IFERROR(INDEX('CASE MASTER'!$S$2:$S$495,MATCH("Case WB Box 13: C7",'CASE MASTER'!$K$2:$K$495,0)),"")</f>
        <v/>
      </c>
      <c r="I161" s="9" t="str">
        <f>IFERROR(INDEX('CASE MASTER'!$S$2:$S$495,MATCH("Case WB Box 13: C8",'CASE MASTER'!$K$2:$K$495,0)),"")</f>
        <v/>
      </c>
      <c r="J161" s="9" t="str">
        <f>IFERROR(INDEX('CASE MASTER'!$S$2:$S$495,MATCH("Case WB Box 13: C9",'CASE MASTER'!$K$2:$K$495,0)),"")</f>
        <v/>
      </c>
    </row>
    <row r="162" spans="1:10" ht="15" customHeight="1" x14ac:dyDescent="0.35">
      <c r="A162" s="8" t="s">
        <v>31</v>
      </c>
      <c r="B162" s="9" t="str">
        <f>IFERROR(INDEX('CASE MASTER'!$S$2:$S$495,MATCH("Case WB Box 13: D1",'CASE MASTER'!$K$2:$K$495,0)),"")</f>
        <v/>
      </c>
      <c r="C162" s="9" t="str">
        <f>IFERROR(INDEX('CASE MASTER'!$S$2:$S$495,MATCH("Case WB Box 13: D2",'CASE MASTER'!$K$2:$K$495,0)),"")</f>
        <v/>
      </c>
      <c r="D162" s="9" t="str">
        <f>IFERROR(INDEX('CASE MASTER'!$S$2:$S$495,MATCH("Case WB Box 13: D3",'CASE MASTER'!$K$2:$K$495,0)),"")</f>
        <v/>
      </c>
      <c r="E162" s="9" t="str">
        <f>IFERROR(INDEX('CASE MASTER'!$S$2:$S$495,MATCH("Case WB Box 13: D4",'CASE MASTER'!$K$2:$K$495,0)),"")</f>
        <v/>
      </c>
      <c r="F162" s="9" t="str">
        <f>IFERROR(INDEX('CASE MASTER'!$S$2:$S$495,MATCH("Case WB Box 13: D5",'CASE MASTER'!$K$2:$K$495,0)),"")</f>
        <v/>
      </c>
      <c r="G162" s="9" t="str">
        <f>IFERROR(INDEX('CASE MASTER'!$S$2:$S$495,MATCH("Case WB Box 13: D6",'CASE MASTER'!$K$2:$K$495,0)),"")</f>
        <v/>
      </c>
      <c r="H162" s="9" t="str">
        <f>IFERROR(INDEX('CASE MASTER'!$S$2:$S$495,MATCH("Case WB Box 13: D7",'CASE MASTER'!$K$2:$K$495,0)),"")</f>
        <v/>
      </c>
      <c r="I162" s="9" t="str">
        <f>IFERROR(INDEX('CASE MASTER'!$S$2:$S$495,MATCH("Case WB Box 13: D8",'CASE MASTER'!$K$2:$K$495,0)),"")</f>
        <v/>
      </c>
      <c r="J162" s="9" t="str">
        <f>IFERROR(INDEX('CASE MASTER'!$S$2:$S$495,MATCH("Case WB Box 13: D9",'CASE MASTER'!$K$2:$K$495,0)),"")</f>
        <v/>
      </c>
    </row>
    <row r="163" spans="1:10" ht="15" customHeight="1" x14ac:dyDescent="0.35">
      <c r="A163" s="8" t="s">
        <v>32</v>
      </c>
      <c r="B163" s="9" t="str">
        <f>IFERROR(INDEX('CASE MASTER'!$S$2:$S$495,MATCH("Case WB Box 13: E1",'CASE MASTER'!$K$2:$K$495,0)),"")</f>
        <v/>
      </c>
      <c r="C163" s="9" t="str">
        <f>IFERROR(INDEX('CASE MASTER'!$S$2:$S$495,MATCH("Case WB Box 13: E2",'CASE MASTER'!$K$2:$K$495,0)),"")</f>
        <v/>
      </c>
      <c r="D163" s="9" t="str">
        <f>IFERROR(INDEX('CASE MASTER'!$S$2:$S$495,MATCH("Case WB Box 13: E3",'CASE MASTER'!$K$2:$K$495,0)),"")</f>
        <v/>
      </c>
      <c r="E163" s="9" t="str">
        <f>IFERROR(INDEX('CASE MASTER'!$S$2:$S$495,MATCH("Case WB Box 13: E4",'CASE MASTER'!$K$2:$K$495,0)),"")</f>
        <v/>
      </c>
      <c r="F163" s="9" t="str">
        <f>IFERROR(INDEX('CASE MASTER'!$S$2:$S$495,MATCH("Case WB Box 13: E5",'CASE MASTER'!$K$2:$K$495,0)),"")</f>
        <v/>
      </c>
      <c r="G163" s="9" t="str">
        <f>IFERROR(INDEX('CASE MASTER'!$S$2:$S$495,MATCH("Case WB Box 13: E6",'CASE MASTER'!$K$2:$K$495,0)),"")</f>
        <v/>
      </c>
      <c r="H163" s="9" t="str">
        <f>IFERROR(INDEX('CASE MASTER'!$S$2:$S$495,MATCH("Case WB Box 13: E7",'CASE MASTER'!$K$2:$K$495,0)),"")</f>
        <v/>
      </c>
      <c r="I163" s="9" t="str">
        <f>IFERROR(INDEX('CASE MASTER'!$S$2:$S$495,MATCH("Case WB Box 13: E8",'CASE MASTER'!$K$2:$K$495,0)),"")</f>
        <v/>
      </c>
      <c r="J163" s="9" t="str">
        <f>IFERROR(INDEX('CASE MASTER'!$S$2:$S$495,MATCH("Case WB Box 13: E9",'CASE MASTER'!$K$2:$K$495,0)),"")</f>
        <v/>
      </c>
    </row>
    <row r="164" spans="1:10" ht="15" customHeight="1" x14ac:dyDescent="0.35">
      <c r="A164" s="8" t="s">
        <v>33</v>
      </c>
      <c r="B164" s="9" t="str">
        <f>IFERROR(INDEX('CASE MASTER'!$S$2:$S$495,MATCH("Case WB Box 13: F1",'CASE MASTER'!$K$2:$K$495,0)),"")</f>
        <v/>
      </c>
      <c r="C164" s="9" t="str">
        <f>IFERROR(INDEX('CASE MASTER'!$S$2:$S$495,MATCH("Case WB Box 13: F2",'CASE MASTER'!$K$2:$K$495,0)),"")</f>
        <v/>
      </c>
      <c r="D164" s="9" t="str">
        <f>IFERROR(INDEX('CASE MASTER'!$S$2:$S$495,MATCH("Case WB Box 13: F3",'CASE MASTER'!$K$2:$K$495,0)),"")</f>
        <v/>
      </c>
      <c r="E164" s="9" t="str">
        <f>IFERROR(INDEX('CASE MASTER'!$S$2:$S$495,MATCH("Case WB Box 13: F4",'CASE MASTER'!$K$2:$K$495,0)),"")</f>
        <v/>
      </c>
      <c r="F164" s="9" t="str">
        <f>IFERROR(INDEX('CASE MASTER'!$S$2:$S$495,MATCH("Case WB Box 13: F5",'CASE MASTER'!$K$2:$K$495,0)),"")</f>
        <v/>
      </c>
      <c r="G164" s="9" t="str">
        <f>IFERROR(INDEX('CASE MASTER'!$S$2:$S$495,MATCH("Case WB Box 13: F6",'CASE MASTER'!$K$2:$K$495,0)),"")</f>
        <v/>
      </c>
      <c r="H164" s="9" t="str">
        <f>IFERROR(INDEX('CASE MASTER'!$S$2:$S$495,MATCH("Case WB Box 13: F7",'CASE MASTER'!$K$2:$K$495,0)),"")</f>
        <v/>
      </c>
      <c r="I164" s="9" t="str">
        <f>IFERROR(INDEX('CASE MASTER'!$S$2:$S$495,MATCH("Case WB Box 13: F8",'CASE MASTER'!$K$2:$K$495,0)),"")</f>
        <v/>
      </c>
      <c r="J164" s="9" t="str">
        <f>IFERROR(INDEX('CASE MASTER'!$S$2:$S$495,MATCH("Case WB Box 13: F9",'CASE MASTER'!$K$2:$K$495,0)),"")</f>
        <v/>
      </c>
    </row>
    <row r="165" spans="1:10" ht="15" customHeight="1" x14ac:dyDescent="0.35">
      <c r="A165" s="8" t="s">
        <v>34</v>
      </c>
      <c r="B165" s="9" t="str">
        <f>IFERROR(INDEX('CASE MASTER'!$S$2:$S$495,MATCH("Case WB Box 13: G1",'CASE MASTER'!$K$2:$K$495,0)),"")</f>
        <v/>
      </c>
      <c r="C165" s="9" t="str">
        <f>IFERROR(INDEX('CASE MASTER'!$S$2:$S$495,MATCH("Case WB Box 13: G2",'CASE MASTER'!$K$2:$K$495,0)),"")</f>
        <v/>
      </c>
      <c r="D165" s="9" t="str">
        <f>IFERROR(INDEX('CASE MASTER'!$S$2:$S$495,MATCH("Case WB Box 13: G3",'CASE MASTER'!$K$2:$K$495,0)),"")</f>
        <v/>
      </c>
      <c r="E165" s="9" t="str">
        <f>IFERROR(INDEX('CASE MASTER'!$S$2:$S$495,MATCH("Case WB Box 13: G4",'CASE MASTER'!$K$2:$K$495,0)),"")</f>
        <v/>
      </c>
      <c r="F165" s="9" t="str">
        <f>IFERROR(INDEX('CASE MASTER'!$S$2:$S$495,MATCH("Case WB Box 13: G5",'CASE MASTER'!$K$2:$K$495,0)),"")</f>
        <v/>
      </c>
      <c r="G165" s="9" t="str">
        <f>IFERROR(INDEX('CASE MASTER'!$S$2:$S$495,MATCH("Case WB Box 13: G6",'CASE MASTER'!$K$2:$K$495,0)),"")</f>
        <v/>
      </c>
      <c r="H165" s="9" t="str">
        <f>IFERROR(INDEX('CASE MASTER'!$S$2:$S$495,MATCH("Case WB Box 13: G7",'CASE MASTER'!$K$2:$K$495,0)),"")</f>
        <v/>
      </c>
      <c r="I165" s="9" t="str">
        <f>IFERROR(INDEX('CASE MASTER'!$S$2:$S$495,MATCH("Case WB Box 13: G8",'CASE MASTER'!$K$2:$K$495,0)),"")</f>
        <v/>
      </c>
      <c r="J165" s="9" t="str">
        <f>IFERROR(INDEX('CASE MASTER'!$S$2:$S$495,MATCH("Case WB Box 13: G9",'CASE MASTER'!$K$2:$K$495,0)),"")</f>
        <v/>
      </c>
    </row>
    <row r="166" spans="1:10" ht="15" customHeight="1" x14ac:dyDescent="0.35">
      <c r="A166" s="8" t="s">
        <v>35</v>
      </c>
      <c r="B166" s="9" t="str">
        <f>IFERROR(INDEX('CASE MASTER'!$S$2:$S$495,MATCH("Case WB Box 13: H1",'CASE MASTER'!$K$2:$K$495,0)),"")</f>
        <v/>
      </c>
      <c r="C166" s="9" t="str">
        <f>IFERROR(INDEX('CASE MASTER'!$S$2:$S$495,MATCH("Case WB Box 13: H2",'CASE MASTER'!$K$2:$K$495,0)),"")</f>
        <v/>
      </c>
      <c r="D166" s="9" t="str">
        <f>IFERROR(INDEX('CASE MASTER'!$S$2:$S$495,MATCH("Case WB Box 13: H3",'CASE MASTER'!$K$2:$K$495,0)),"")</f>
        <v/>
      </c>
      <c r="E166" s="9" t="str">
        <f>IFERROR(INDEX('CASE MASTER'!$S$2:$S$495,MATCH("Case WB Box 13: H4",'CASE MASTER'!$K$2:$K$495,0)),"")</f>
        <v/>
      </c>
      <c r="F166" s="9" t="str">
        <f>IFERROR(INDEX('CASE MASTER'!$S$2:$S$495,MATCH("Case WB Box 13: H5",'CASE MASTER'!$K$2:$K$495,0)),"")</f>
        <v/>
      </c>
      <c r="G166" s="9" t="str">
        <f>IFERROR(INDEX('CASE MASTER'!$S$2:$S$495,MATCH("Case WB Box 13: H6",'CASE MASTER'!$K$2:$K$495,0)),"")</f>
        <v/>
      </c>
      <c r="H166" s="9" t="str">
        <f>IFERROR(INDEX('CASE MASTER'!$S$2:$S$495,MATCH("Case WB Box 13: H7",'CASE MASTER'!$K$2:$K$495,0)),"")</f>
        <v/>
      </c>
      <c r="I166" s="9" t="str">
        <f>IFERROR(INDEX('CASE MASTER'!$S$2:$S$495,MATCH("Case WB Box 13: H8",'CASE MASTER'!$K$2:$K$495,0)),"")</f>
        <v/>
      </c>
      <c r="J166" s="9" t="str">
        <f>IFERROR(INDEX('CASE MASTER'!$S$2:$S$495,MATCH("Case WB Box 13: H9",'CASE MASTER'!$K$2:$K$495,0)),"")</f>
        <v/>
      </c>
    </row>
    <row r="167" spans="1:10" ht="15" customHeight="1" x14ac:dyDescent="0.35">
      <c r="A167" s="8" t="s">
        <v>81</v>
      </c>
      <c r="B167" s="9" t="str">
        <f>IFERROR(INDEX('CASE MASTER'!$S$2:$S$495,MATCH("Case WB Box 13: I1",'CASE MASTER'!$K$2:$K$495,0)),"")</f>
        <v/>
      </c>
      <c r="C167" s="9" t="str">
        <f>IFERROR(INDEX('CASE MASTER'!$S$2:$S$495,MATCH("Case WB Box 13: I2",'CASE MASTER'!$K$2:$K$495,0)),"")</f>
        <v/>
      </c>
      <c r="D167" s="9" t="str">
        <f>IFERROR(INDEX('CASE MASTER'!$S$2:$S$495,MATCH("Case WB Box 13: I3",'CASE MASTER'!$K$2:$K$495,0)),"")</f>
        <v/>
      </c>
      <c r="E167" s="9" t="str">
        <f>IFERROR(INDEX('CASE MASTER'!$S$2:$S$495,MATCH("Case WB Box 13: I4",'CASE MASTER'!$K$2:$K$495,0)),"")</f>
        <v/>
      </c>
      <c r="F167" s="9" t="str">
        <f>IFERROR(INDEX('CASE MASTER'!$S$2:$S$495,MATCH("Case WB Box 13: I5",'CASE MASTER'!$K$2:$K$495,0)),"")</f>
        <v/>
      </c>
      <c r="G167" s="9" t="str">
        <f>IFERROR(INDEX('CASE MASTER'!$S$2:$S$495,MATCH("Case WB Box 13: I6",'CASE MASTER'!$K$2:$K$495,0)),"")</f>
        <v/>
      </c>
      <c r="H167" s="9" t="str">
        <f>IFERROR(INDEX('CASE MASTER'!$S$2:$S$495,MATCH("Case WB Box 13: I7",'CASE MASTER'!$K$2:$K$495,0)),"")</f>
        <v/>
      </c>
      <c r="I167" s="9" t="str">
        <f>IFERROR(INDEX('CASE MASTER'!$S$2:$S$495,MATCH("Case WB Box 13: I8",'CASE MASTER'!$K$2:$K$495,0)),"")</f>
        <v/>
      </c>
      <c r="J167" s="9" t="str">
        <f>IFERROR(INDEX('CASE MASTER'!$S$2:$S$495,MATCH("Case WB Box 13: I9",'CASE MASTER'!$K$2:$K$495,0)),"")</f>
        <v/>
      </c>
    </row>
    <row r="170" spans="1:10" ht="15" customHeight="1" x14ac:dyDescent="0.35">
      <c r="A170" s="12" t="s">
        <v>110</v>
      </c>
      <c r="B170" s="13"/>
      <c r="C170" s="13"/>
      <c r="D170" s="13"/>
      <c r="E170" s="13"/>
      <c r="F170" s="13"/>
      <c r="G170" s="13"/>
      <c r="H170" s="13"/>
      <c r="I170" s="13"/>
      <c r="J170" s="13"/>
    </row>
    <row r="171" spans="1:10" ht="15" customHeight="1" x14ac:dyDescent="0.35">
      <c r="B171" s="8">
        <v>1</v>
      </c>
      <c r="C171" s="8">
        <v>2</v>
      </c>
      <c r="D171" s="8">
        <v>3</v>
      </c>
      <c r="E171" s="8">
        <v>4</v>
      </c>
      <c r="F171" s="8">
        <v>5</v>
      </c>
      <c r="G171" s="8">
        <v>6</v>
      </c>
      <c r="H171" s="8">
        <v>7</v>
      </c>
      <c r="I171" s="8">
        <v>8</v>
      </c>
      <c r="J171" s="8">
        <v>9</v>
      </c>
    </row>
    <row r="172" spans="1:10" ht="15" customHeight="1" x14ac:dyDescent="0.35">
      <c r="A172" s="8" t="s">
        <v>28</v>
      </c>
      <c r="B172" s="9" t="str">
        <f>IFERROR(INDEX('CASE MASTER'!$S$2:$S$495,MATCH("Case WB Box 14: A1",'CASE MASTER'!$K$2:$K$495,0)),"")</f>
        <v/>
      </c>
      <c r="C172" s="9" t="str">
        <f>IFERROR(INDEX('CASE MASTER'!$S$2:$S$495,MATCH("Case WB Box 14: A2",'CASE MASTER'!$K$2:$K$495,0)),"")</f>
        <v/>
      </c>
      <c r="D172" s="9" t="str">
        <f>IFERROR(INDEX('CASE MASTER'!$S$2:$S$495,MATCH("Case WB Box 14: A3",'CASE MASTER'!$K$2:$K$495,0)),"")</f>
        <v/>
      </c>
      <c r="E172" s="9" t="str">
        <f>IFERROR(INDEX('CASE MASTER'!$S$2:$S$495,MATCH("Case WB Box 14: A4",'CASE MASTER'!$K$2:$K$495,0)),"")</f>
        <v/>
      </c>
      <c r="F172" s="9" t="str">
        <f>IFERROR(INDEX('CASE MASTER'!$S$2:$S$495,MATCH("Case WB Box 14: A5",'CASE MASTER'!$K$2:$K$495,0)),"")</f>
        <v/>
      </c>
      <c r="G172" s="9" t="str">
        <f>IFERROR(INDEX('CASE MASTER'!$S$2:$S$495,MATCH("Case WB Box 14: A6",'CASE MASTER'!$K$2:$K$495,0)),"")</f>
        <v/>
      </c>
      <c r="H172" s="9" t="str">
        <f>IFERROR(INDEX('CASE MASTER'!$S$2:$S$495,MATCH("Case WB Box 14: A7",'CASE MASTER'!$K$2:$K$495,0)),"")</f>
        <v/>
      </c>
      <c r="I172" s="9" t="str">
        <f>IFERROR(INDEX('CASE MASTER'!$S$2:$S$495,MATCH("Case WB Box 14: A8",'CASE MASTER'!$K$2:$K$495,0)),"")</f>
        <v/>
      </c>
      <c r="J172" s="9" t="str">
        <f>IFERROR(INDEX('CASE MASTER'!$S$2:$S$495,MATCH("Case WB Box 14: A9",'CASE MASTER'!$K$2:$K$495,0)),"")</f>
        <v/>
      </c>
    </row>
    <row r="173" spans="1:10" ht="15" customHeight="1" x14ac:dyDescent="0.35">
      <c r="A173" s="8" t="s">
        <v>29</v>
      </c>
      <c r="B173" s="9" t="str">
        <f>IFERROR(INDEX('CASE MASTER'!$S$2:$S$495,MATCH("Case WB Box 14: B1",'CASE MASTER'!$K$2:$K$495,0)),"")</f>
        <v/>
      </c>
      <c r="C173" s="9" t="str">
        <f>IFERROR(INDEX('CASE MASTER'!$S$2:$S$495,MATCH("Case WB Box 14: B2",'CASE MASTER'!$K$2:$K$495,0)),"")</f>
        <v/>
      </c>
      <c r="D173" s="9" t="str">
        <f>IFERROR(INDEX('CASE MASTER'!$S$2:$S$495,MATCH("Case WB Box 14: B3",'CASE MASTER'!$K$2:$K$495,0)),"")</f>
        <v/>
      </c>
      <c r="E173" s="9" t="str">
        <f>IFERROR(INDEX('CASE MASTER'!$S$2:$S$495,MATCH("Case WB Box 14: B4",'CASE MASTER'!$K$2:$K$495,0)),"")</f>
        <v/>
      </c>
      <c r="F173" s="9" t="str">
        <f>IFERROR(INDEX('CASE MASTER'!$S$2:$S$495,MATCH("Case WB Box 14: B5",'CASE MASTER'!$K$2:$K$495,0)),"")</f>
        <v/>
      </c>
      <c r="G173" s="9" t="str">
        <f>IFERROR(INDEX('CASE MASTER'!$S$2:$S$495,MATCH("Case WB Box 14: B6",'CASE MASTER'!$K$2:$K$495,0)),"")</f>
        <v/>
      </c>
      <c r="H173" s="9" t="str">
        <f>IFERROR(INDEX('CASE MASTER'!$S$2:$S$495,MATCH("Case WB Box 14: B7",'CASE MASTER'!$K$2:$K$495,0)),"")</f>
        <v/>
      </c>
      <c r="I173" s="9" t="str">
        <f>IFERROR(INDEX('CASE MASTER'!$S$2:$S$495,MATCH("Case WB Box 14: B8",'CASE MASTER'!$K$2:$K$495,0)),"")</f>
        <v/>
      </c>
      <c r="J173" s="9" t="str">
        <f>IFERROR(INDEX('CASE MASTER'!$S$2:$S$495,MATCH("Case WB Box 14: B9",'CASE MASTER'!$K$2:$K$495,0)),"")</f>
        <v/>
      </c>
    </row>
    <row r="174" spans="1:10" ht="15" customHeight="1" x14ac:dyDescent="0.35">
      <c r="A174" s="8" t="s">
        <v>30</v>
      </c>
      <c r="B174" s="9" t="str">
        <f>IFERROR(INDEX('CASE MASTER'!$S$2:$S$495,MATCH("Case WB Box 14: C1",'CASE MASTER'!$K$2:$K$495,0)),"")</f>
        <v/>
      </c>
      <c r="C174" s="9" t="str">
        <f>IFERROR(INDEX('CASE MASTER'!$S$2:$S$495,MATCH("Case WB Box 14: C2",'CASE MASTER'!$K$2:$K$495,0)),"")</f>
        <v/>
      </c>
      <c r="D174" s="9" t="str">
        <f>IFERROR(INDEX('CASE MASTER'!$S$2:$S$495,MATCH("Case WB Box 14: C3",'CASE MASTER'!$K$2:$K$495,0)),"")</f>
        <v/>
      </c>
      <c r="E174" s="9" t="str">
        <f>IFERROR(INDEX('CASE MASTER'!$S$2:$S$495,MATCH("Case WB Box 14: C4",'CASE MASTER'!$K$2:$K$495,0)),"")</f>
        <v/>
      </c>
      <c r="F174" s="9" t="str">
        <f>IFERROR(INDEX('CASE MASTER'!$S$2:$S$495,MATCH("Case WB Box 14: C5",'CASE MASTER'!$K$2:$K$495,0)),"")</f>
        <v/>
      </c>
      <c r="G174" s="9" t="str">
        <f>IFERROR(INDEX('CASE MASTER'!$S$2:$S$495,MATCH("Case WB Box 14: C6",'CASE MASTER'!$K$2:$K$495,0)),"")</f>
        <v/>
      </c>
      <c r="H174" s="9" t="str">
        <f>IFERROR(INDEX('CASE MASTER'!$S$2:$S$495,MATCH("Case WB Box 14: C7",'CASE MASTER'!$K$2:$K$495,0)),"")</f>
        <v/>
      </c>
      <c r="I174" s="9" t="str">
        <f>IFERROR(INDEX('CASE MASTER'!$S$2:$S$495,MATCH("Case WB Box 14: C8",'CASE MASTER'!$K$2:$K$495,0)),"")</f>
        <v/>
      </c>
      <c r="J174" s="9" t="str">
        <f>IFERROR(INDEX('CASE MASTER'!$S$2:$S$495,MATCH("Case WB Box 14: C9",'CASE MASTER'!$K$2:$K$495,0)),"")</f>
        <v/>
      </c>
    </row>
    <row r="175" spans="1:10" ht="15" customHeight="1" x14ac:dyDescent="0.35">
      <c r="A175" s="8" t="s">
        <v>31</v>
      </c>
      <c r="B175" s="9" t="str">
        <f>IFERROR(INDEX('CASE MASTER'!$S$2:$S$495,MATCH("Case WB Box 14: D1",'CASE MASTER'!$K$2:$K$495,0)),"")</f>
        <v/>
      </c>
      <c r="C175" s="9" t="str">
        <f>IFERROR(INDEX('CASE MASTER'!$S$2:$S$495,MATCH("Case WB Box 14: D2",'CASE MASTER'!$K$2:$K$495,0)),"")</f>
        <v/>
      </c>
      <c r="D175" s="9" t="str">
        <f>IFERROR(INDEX('CASE MASTER'!$S$2:$S$495,MATCH("Case WB Box 14: D3",'CASE MASTER'!$K$2:$K$495,0)),"")</f>
        <v/>
      </c>
      <c r="E175" s="9" t="str">
        <f>IFERROR(INDEX('CASE MASTER'!$S$2:$S$495,MATCH("Case WB Box 14: D4",'CASE MASTER'!$K$2:$K$495,0)),"")</f>
        <v/>
      </c>
      <c r="F175" s="9" t="str">
        <f>IFERROR(INDEX('CASE MASTER'!$S$2:$S$495,MATCH("Case WB Box 14: D5",'CASE MASTER'!$K$2:$K$495,0)),"")</f>
        <v/>
      </c>
      <c r="G175" s="9" t="str">
        <f>IFERROR(INDEX('CASE MASTER'!$S$2:$S$495,MATCH("Case WB Box 14: D6",'CASE MASTER'!$K$2:$K$495,0)),"")</f>
        <v/>
      </c>
      <c r="H175" s="9" t="str">
        <f>IFERROR(INDEX('CASE MASTER'!$S$2:$S$495,MATCH("Case WB Box 14: D7",'CASE MASTER'!$K$2:$K$495,0)),"")</f>
        <v/>
      </c>
      <c r="I175" s="9" t="str">
        <f>IFERROR(INDEX('CASE MASTER'!$S$2:$S$495,MATCH("Case WB Box 14: D8",'CASE MASTER'!$K$2:$K$495,0)),"")</f>
        <v/>
      </c>
      <c r="J175" s="9" t="str">
        <f>IFERROR(INDEX('CASE MASTER'!$S$2:$S$495,MATCH("Case WB Box 14: D9",'CASE MASTER'!$K$2:$K$495,0)),"")</f>
        <v/>
      </c>
    </row>
    <row r="176" spans="1:10" ht="15" customHeight="1" x14ac:dyDescent="0.35">
      <c r="A176" s="8" t="s">
        <v>32</v>
      </c>
      <c r="B176" s="9" t="str">
        <f>IFERROR(INDEX('CASE MASTER'!$S$2:$S$495,MATCH("Case WB Box 14: E1",'CASE MASTER'!$K$2:$K$495,0)),"")</f>
        <v/>
      </c>
      <c r="C176" s="9" t="str">
        <f>IFERROR(INDEX('CASE MASTER'!$S$2:$S$495,MATCH("Case WB Box 14: E2",'CASE MASTER'!$K$2:$K$495,0)),"")</f>
        <v/>
      </c>
      <c r="D176" s="9" t="str">
        <f>IFERROR(INDEX('CASE MASTER'!$S$2:$S$495,MATCH("Case WB Box 14: E3",'CASE MASTER'!$K$2:$K$495,0)),"")</f>
        <v/>
      </c>
      <c r="E176" s="9" t="str">
        <f>IFERROR(INDEX('CASE MASTER'!$S$2:$S$495,MATCH("Case WB Box 14: E4",'CASE MASTER'!$K$2:$K$495,0)),"")</f>
        <v/>
      </c>
      <c r="F176" s="9" t="str">
        <f>IFERROR(INDEX('CASE MASTER'!$S$2:$S$495,MATCH("Case WB Box 14: E5",'CASE MASTER'!$K$2:$K$495,0)),"")</f>
        <v/>
      </c>
      <c r="G176" s="9" t="str">
        <f>IFERROR(INDEX('CASE MASTER'!$S$2:$S$495,MATCH("Case WB Box 14: E6",'CASE MASTER'!$K$2:$K$495,0)),"")</f>
        <v/>
      </c>
      <c r="H176" s="9" t="str">
        <f>IFERROR(INDEX('CASE MASTER'!$S$2:$S$495,MATCH("Case WB Box 14: E7",'CASE MASTER'!$K$2:$K$495,0)),"")</f>
        <v/>
      </c>
      <c r="I176" s="9" t="str">
        <f>IFERROR(INDEX('CASE MASTER'!$S$2:$S$495,MATCH("Case WB Box 14: E8",'CASE MASTER'!$K$2:$K$495,0)),"")</f>
        <v/>
      </c>
      <c r="J176" s="9" t="str">
        <f>IFERROR(INDEX('CASE MASTER'!$S$2:$S$495,MATCH("Case WB Box 14: E9",'CASE MASTER'!$K$2:$K$495,0)),"")</f>
        <v/>
      </c>
    </row>
    <row r="177" spans="1:10" ht="15" customHeight="1" x14ac:dyDescent="0.35">
      <c r="A177" s="8" t="s">
        <v>33</v>
      </c>
      <c r="B177" s="9" t="str">
        <f>IFERROR(INDEX('CASE MASTER'!$S$2:$S$495,MATCH("Case WB Box 14: F1",'CASE MASTER'!$K$2:$K$495,0)),"")</f>
        <v/>
      </c>
      <c r="C177" s="9" t="str">
        <f>IFERROR(INDEX('CASE MASTER'!$S$2:$S$495,MATCH("Case WB Box 14: F2",'CASE MASTER'!$K$2:$K$495,0)),"")</f>
        <v/>
      </c>
      <c r="D177" s="9" t="str">
        <f>IFERROR(INDEX('CASE MASTER'!$S$2:$S$495,MATCH("Case WB Box 14: F3",'CASE MASTER'!$K$2:$K$495,0)),"")</f>
        <v/>
      </c>
      <c r="E177" s="9" t="str">
        <f>IFERROR(INDEX('CASE MASTER'!$S$2:$S$495,MATCH("Case WB Box 14: F4",'CASE MASTER'!$K$2:$K$495,0)),"")</f>
        <v/>
      </c>
      <c r="F177" s="9" t="str">
        <f>IFERROR(INDEX('CASE MASTER'!$S$2:$S$495,MATCH("Case WB Box 14: F5",'CASE MASTER'!$K$2:$K$495,0)),"")</f>
        <v/>
      </c>
      <c r="G177" s="9" t="str">
        <f>IFERROR(INDEX('CASE MASTER'!$S$2:$S$495,MATCH("Case WB Box 14: F6",'CASE MASTER'!$K$2:$K$495,0)),"")</f>
        <v/>
      </c>
      <c r="H177" s="9" t="str">
        <f>IFERROR(INDEX('CASE MASTER'!$S$2:$S$495,MATCH("Case WB Box 14: F7",'CASE MASTER'!$K$2:$K$495,0)),"")</f>
        <v/>
      </c>
      <c r="I177" s="9" t="str">
        <f>IFERROR(INDEX('CASE MASTER'!$S$2:$S$495,MATCH("Case WB Box 14: F8",'CASE MASTER'!$K$2:$K$495,0)),"")</f>
        <v/>
      </c>
      <c r="J177" s="9" t="str">
        <f>IFERROR(INDEX('CASE MASTER'!$S$2:$S$495,MATCH("Case WB Box 14: F9",'CASE MASTER'!$K$2:$K$495,0)),"")</f>
        <v/>
      </c>
    </row>
    <row r="178" spans="1:10" ht="15" customHeight="1" x14ac:dyDescent="0.35">
      <c r="A178" s="8" t="s">
        <v>34</v>
      </c>
      <c r="B178" s="9" t="str">
        <f>IFERROR(INDEX('CASE MASTER'!$S$2:$S$495,MATCH("Case WB Box 14: G1",'CASE MASTER'!$K$2:$K$495,0)),"")</f>
        <v/>
      </c>
      <c r="C178" s="9" t="str">
        <f>IFERROR(INDEX('CASE MASTER'!$S$2:$S$495,MATCH("Case WB Box 14: G2",'CASE MASTER'!$K$2:$K$495,0)),"")</f>
        <v/>
      </c>
      <c r="D178" s="9" t="str">
        <f>IFERROR(INDEX('CASE MASTER'!$S$2:$S$495,MATCH("Case WB Box 14: G3",'CASE MASTER'!$K$2:$K$495,0)),"")</f>
        <v/>
      </c>
      <c r="E178" s="9" t="str">
        <f>IFERROR(INDEX('CASE MASTER'!$S$2:$S$495,MATCH("Case WB Box 14: G4",'CASE MASTER'!$K$2:$K$495,0)),"")</f>
        <v/>
      </c>
      <c r="F178" s="9" t="str">
        <f>IFERROR(INDEX('CASE MASTER'!$S$2:$S$495,MATCH("Case WB Box 14: G5",'CASE MASTER'!$K$2:$K$495,0)),"")</f>
        <v/>
      </c>
      <c r="G178" s="9" t="str">
        <f>IFERROR(INDEX('CASE MASTER'!$S$2:$S$495,MATCH("Case WB Box 14: G6",'CASE MASTER'!$K$2:$K$495,0)),"")</f>
        <v/>
      </c>
      <c r="H178" s="9" t="str">
        <f>IFERROR(INDEX('CASE MASTER'!$S$2:$S$495,MATCH("Case WB Box 14: G7",'CASE MASTER'!$K$2:$K$495,0)),"")</f>
        <v/>
      </c>
      <c r="I178" s="9" t="str">
        <f>IFERROR(INDEX('CASE MASTER'!$S$2:$S$495,MATCH("Case WB Box 14: G8",'CASE MASTER'!$K$2:$K$495,0)),"")</f>
        <v/>
      </c>
      <c r="J178" s="9" t="str">
        <f>IFERROR(INDEX('CASE MASTER'!$S$2:$S$495,MATCH("Case WB Box 14: G9",'CASE MASTER'!$K$2:$K$495,0)),"")</f>
        <v/>
      </c>
    </row>
    <row r="179" spans="1:10" ht="15" customHeight="1" x14ac:dyDescent="0.35">
      <c r="A179" s="8" t="s">
        <v>35</v>
      </c>
      <c r="B179" s="9" t="str">
        <f>IFERROR(INDEX('CASE MASTER'!$S$2:$S$495,MATCH("Case WB Box 14: H1",'CASE MASTER'!$K$2:$K$495,0)),"")</f>
        <v/>
      </c>
      <c r="C179" s="9" t="str">
        <f>IFERROR(INDEX('CASE MASTER'!$S$2:$S$495,MATCH("Case WB Box 14: H2",'CASE MASTER'!$K$2:$K$495,0)),"")</f>
        <v/>
      </c>
      <c r="D179" s="9" t="str">
        <f>IFERROR(INDEX('CASE MASTER'!$S$2:$S$495,MATCH("Case WB Box 14: H3",'CASE MASTER'!$K$2:$K$495,0)),"")</f>
        <v/>
      </c>
      <c r="E179" s="9" t="str">
        <f>IFERROR(INDEX('CASE MASTER'!$S$2:$S$495,MATCH("Case WB Box 14: H4",'CASE MASTER'!$K$2:$K$495,0)),"")</f>
        <v/>
      </c>
      <c r="F179" s="9" t="str">
        <f>IFERROR(INDEX('CASE MASTER'!$S$2:$S$495,MATCH("Case WB Box 14: H5",'CASE MASTER'!$K$2:$K$495,0)),"")</f>
        <v/>
      </c>
      <c r="G179" s="9" t="str">
        <f>IFERROR(INDEX('CASE MASTER'!$S$2:$S$495,MATCH("Case WB Box 14: H6",'CASE MASTER'!$K$2:$K$495,0)),"")</f>
        <v/>
      </c>
      <c r="H179" s="9" t="str">
        <f>IFERROR(INDEX('CASE MASTER'!$S$2:$S$495,MATCH("Case WB Box 14: H7",'CASE MASTER'!$K$2:$K$495,0)),"")</f>
        <v/>
      </c>
      <c r="I179" s="9" t="str">
        <f>IFERROR(INDEX('CASE MASTER'!$S$2:$S$495,MATCH("Case WB Box 14: H8",'CASE MASTER'!$K$2:$K$495,0)),"")</f>
        <v/>
      </c>
      <c r="J179" s="9" t="str">
        <f>IFERROR(INDEX('CASE MASTER'!$S$2:$S$495,MATCH("Case WB Box 14: H9",'CASE MASTER'!$K$2:$K$495,0)),"")</f>
        <v/>
      </c>
    </row>
    <row r="180" spans="1:10" ht="15" customHeight="1" x14ac:dyDescent="0.35">
      <c r="A180" s="8" t="s">
        <v>81</v>
      </c>
      <c r="B180" s="9" t="str">
        <f>IFERROR(INDEX('CASE MASTER'!$S$2:$S$495,MATCH("Case WB Box 14: I1",'CASE MASTER'!$K$2:$K$495,0)),"")</f>
        <v/>
      </c>
      <c r="C180" s="9" t="str">
        <f>IFERROR(INDEX('CASE MASTER'!$S$2:$S$495,MATCH("Case WB Box 14: I2",'CASE MASTER'!$K$2:$K$495,0)),"")</f>
        <v/>
      </c>
      <c r="D180" s="9" t="str">
        <f>IFERROR(INDEX('CASE MASTER'!$S$2:$S$495,MATCH("Case WB Box 14: I3",'CASE MASTER'!$K$2:$K$495,0)),"")</f>
        <v/>
      </c>
      <c r="E180" s="9" t="str">
        <f>IFERROR(INDEX('CASE MASTER'!$S$2:$S$495,MATCH("Case WB Box 14: I4",'CASE MASTER'!$K$2:$K$495,0)),"")</f>
        <v/>
      </c>
      <c r="F180" s="9" t="str">
        <f>IFERROR(INDEX('CASE MASTER'!$S$2:$S$495,MATCH("Case WB Box 14: I5",'CASE MASTER'!$K$2:$K$495,0)),"")</f>
        <v/>
      </c>
      <c r="G180" s="9" t="str">
        <f>IFERROR(INDEX('CASE MASTER'!$S$2:$S$495,MATCH("Case WB Box 14: I6",'CASE MASTER'!$K$2:$K$495,0)),"")</f>
        <v/>
      </c>
      <c r="H180" s="9" t="str">
        <f>IFERROR(INDEX('CASE MASTER'!$S$2:$S$495,MATCH("Case WB Box 14: I7",'CASE MASTER'!$K$2:$K$495,0)),"")</f>
        <v/>
      </c>
      <c r="I180" s="9" t="str">
        <f>IFERROR(INDEX('CASE MASTER'!$S$2:$S$495,MATCH("Case WB Box 14: I8",'CASE MASTER'!$K$2:$K$495,0)),"")</f>
        <v/>
      </c>
      <c r="J180" s="9" t="str">
        <f>IFERROR(INDEX('CASE MASTER'!$S$2:$S$495,MATCH("Case WB Box 14: I9",'CASE MASTER'!$K$2:$K$495,0)),"")</f>
        <v/>
      </c>
    </row>
    <row r="183" spans="1:10" ht="15" customHeight="1" x14ac:dyDescent="0.35">
      <c r="A183" s="12" t="s">
        <v>111</v>
      </c>
      <c r="B183" s="13"/>
      <c r="C183" s="13"/>
      <c r="D183" s="13"/>
      <c r="E183" s="13"/>
      <c r="F183" s="13"/>
      <c r="G183" s="13"/>
      <c r="H183" s="13"/>
      <c r="I183" s="13"/>
      <c r="J183" s="13"/>
    </row>
    <row r="184" spans="1:10" ht="15" customHeight="1" x14ac:dyDescent="0.35">
      <c r="B184" s="8">
        <v>1</v>
      </c>
      <c r="C184" s="8">
        <v>2</v>
      </c>
      <c r="D184" s="8">
        <v>3</v>
      </c>
      <c r="E184" s="8">
        <v>4</v>
      </c>
      <c r="F184" s="8">
        <v>5</v>
      </c>
      <c r="G184" s="8">
        <v>6</v>
      </c>
      <c r="H184" s="8">
        <v>7</v>
      </c>
      <c r="I184" s="8">
        <v>8</v>
      </c>
      <c r="J184" s="8">
        <v>9</v>
      </c>
    </row>
    <row r="185" spans="1:10" ht="15" customHeight="1" x14ac:dyDescent="0.35">
      <c r="A185" s="8" t="s">
        <v>28</v>
      </c>
      <c r="B185" s="9" t="str">
        <f>IFERROR(INDEX('CASE MASTER'!$S$2:$S$495,MATCH("Case WB Box 15: A1",'CASE MASTER'!$K$2:$K$495,0)),"")</f>
        <v/>
      </c>
      <c r="C185" s="9" t="str">
        <f>IFERROR(INDEX('CASE MASTER'!$S$2:$S$495,MATCH("Case WB Box 15: A2",'CASE MASTER'!$K$2:$K$495,0)),"")</f>
        <v/>
      </c>
      <c r="D185" s="9" t="str">
        <f>IFERROR(INDEX('CASE MASTER'!$S$2:$S$495,MATCH("Case WB Box 15: A3",'CASE MASTER'!$K$2:$K$495,0)),"")</f>
        <v/>
      </c>
      <c r="E185" s="9" t="str">
        <f>IFERROR(INDEX('CASE MASTER'!$S$2:$S$495,MATCH("Case WB Box 15: A4",'CASE MASTER'!$K$2:$K$495,0)),"")</f>
        <v/>
      </c>
      <c r="F185" s="9" t="str">
        <f>IFERROR(INDEX('CASE MASTER'!$S$2:$S$495,MATCH("Case WB Box 15: A5",'CASE MASTER'!$K$2:$K$495,0)),"")</f>
        <v/>
      </c>
      <c r="G185" s="9" t="str">
        <f>IFERROR(INDEX('CASE MASTER'!$S$2:$S$495,MATCH("Case WB Box 15: A6",'CASE MASTER'!$K$2:$K$495,0)),"")</f>
        <v/>
      </c>
      <c r="H185" s="9" t="str">
        <f>IFERROR(INDEX('CASE MASTER'!$S$2:$S$495,MATCH("Case WB Box 15: A7",'CASE MASTER'!$K$2:$K$495,0)),"")</f>
        <v/>
      </c>
      <c r="I185" s="9" t="str">
        <f>IFERROR(INDEX('CASE MASTER'!$S$2:$S$495,MATCH("Case WB Box 15: A8",'CASE MASTER'!$K$2:$K$495,0)),"")</f>
        <v/>
      </c>
      <c r="J185" s="9" t="str">
        <f>IFERROR(INDEX('CASE MASTER'!$S$2:$S$495,MATCH("Case WB Box 15: A9",'CASE MASTER'!$K$2:$K$495,0)),"")</f>
        <v/>
      </c>
    </row>
    <row r="186" spans="1:10" ht="15" customHeight="1" x14ac:dyDescent="0.35">
      <c r="A186" s="8" t="s">
        <v>29</v>
      </c>
      <c r="B186" s="9" t="str">
        <f>IFERROR(INDEX('CASE MASTER'!$S$2:$S$495,MATCH("Case WB Box 15: B1",'CASE MASTER'!$K$2:$K$495,0)),"")</f>
        <v/>
      </c>
      <c r="C186" s="9" t="str">
        <f>IFERROR(INDEX('CASE MASTER'!$S$2:$S$495,MATCH("Case WB Box 15: B2",'CASE MASTER'!$K$2:$K$495,0)),"")</f>
        <v/>
      </c>
      <c r="D186" s="9" t="str">
        <f>IFERROR(INDEX('CASE MASTER'!$S$2:$S$495,MATCH("Case WB Box 15: B3",'CASE MASTER'!$K$2:$K$495,0)),"")</f>
        <v/>
      </c>
      <c r="E186" s="9" t="str">
        <f>IFERROR(INDEX('CASE MASTER'!$S$2:$S$495,MATCH("Case WB Box 15: B4",'CASE MASTER'!$K$2:$K$495,0)),"")</f>
        <v/>
      </c>
      <c r="F186" s="9" t="str">
        <f>IFERROR(INDEX('CASE MASTER'!$S$2:$S$495,MATCH("Case WB Box 15: B5",'CASE MASTER'!$K$2:$K$495,0)),"")</f>
        <v/>
      </c>
      <c r="G186" s="9" t="str">
        <f>IFERROR(INDEX('CASE MASTER'!$S$2:$S$495,MATCH("Case WB Box 15: B6",'CASE MASTER'!$K$2:$K$495,0)),"")</f>
        <v/>
      </c>
      <c r="H186" s="9" t="str">
        <f>IFERROR(INDEX('CASE MASTER'!$S$2:$S$495,MATCH("Case WB Box 15: B7",'CASE MASTER'!$K$2:$K$495,0)),"")</f>
        <v/>
      </c>
      <c r="I186" s="9" t="str">
        <f>IFERROR(INDEX('CASE MASTER'!$S$2:$S$495,MATCH("Case WB Box 15: B8",'CASE MASTER'!$K$2:$K$495,0)),"")</f>
        <v/>
      </c>
      <c r="J186" s="9" t="str">
        <f>IFERROR(INDEX('CASE MASTER'!$S$2:$S$495,MATCH("Case WB Box 15: B9",'CASE MASTER'!$K$2:$K$495,0)),"")</f>
        <v/>
      </c>
    </row>
    <row r="187" spans="1:10" ht="15" customHeight="1" x14ac:dyDescent="0.35">
      <c r="A187" s="8" t="s">
        <v>30</v>
      </c>
      <c r="B187" s="9" t="str">
        <f>IFERROR(INDEX('CASE MASTER'!$S$2:$S$495,MATCH("Case WB Box 15: C1",'CASE MASTER'!$K$2:$K$495,0)),"")</f>
        <v/>
      </c>
      <c r="C187" s="9" t="str">
        <f>IFERROR(INDEX('CASE MASTER'!$S$2:$S$495,MATCH("Case WB Box 15: C2",'CASE MASTER'!$K$2:$K$495,0)),"")</f>
        <v/>
      </c>
      <c r="D187" s="9" t="str">
        <f>IFERROR(INDEX('CASE MASTER'!$S$2:$S$495,MATCH("Case WB Box 15: C3",'CASE MASTER'!$K$2:$K$495,0)),"")</f>
        <v/>
      </c>
      <c r="E187" s="9" t="str">
        <f>IFERROR(INDEX('CASE MASTER'!$S$2:$S$495,MATCH("Case WB Box 15: C4",'CASE MASTER'!$K$2:$K$495,0)),"")</f>
        <v/>
      </c>
      <c r="F187" s="9" t="str">
        <f>IFERROR(INDEX('CASE MASTER'!$S$2:$S$495,MATCH("Case WB Box 15: C5",'CASE MASTER'!$K$2:$K$495,0)),"")</f>
        <v/>
      </c>
      <c r="G187" s="9" t="str">
        <f>IFERROR(INDEX('CASE MASTER'!$S$2:$S$495,MATCH("Case WB Box 15: C6",'CASE MASTER'!$K$2:$K$495,0)),"")</f>
        <v/>
      </c>
      <c r="H187" s="9" t="str">
        <f>IFERROR(INDEX('CASE MASTER'!$S$2:$S$495,MATCH("Case WB Box 15: C7",'CASE MASTER'!$K$2:$K$495,0)),"")</f>
        <v/>
      </c>
      <c r="I187" s="9" t="str">
        <f>IFERROR(INDEX('CASE MASTER'!$S$2:$S$495,MATCH("Case WB Box 15: C8",'CASE MASTER'!$K$2:$K$495,0)),"")</f>
        <v/>
      </c>
      <c r="J187" s="9" t="str">
        <f>IFERROR(INDEX('CASE MASTER'!$S$2:$S$495,MATCH("Case WB Box 15: C9",'CASE MASTER'!$K$2:$K$495,0)),"")</f>
        <v/>
      </c>
    </row>
    <row r="188" spans="1:10" ht="15" customHeight="1" x14ac:dyDescent="0.35">
      <c r="A188" s="8" t="s">
        <v>31</v>
      </c>
      <c r="B188" s="9" t="str">
        <f>IFERROR(INDEX('CASE MASTER'!$S$2:$S$495,MATCH("Case WB Box 15: D1",'CASE MASTER'!$K$2:$K$495,0)),"")</f>
        <v/>
      </c>
      <c r="C188" s="9" t="str">
        <f>IFERROR(INDEX('CASE MASTER'!$S$2:$S$495,MATCH("Case WB Box 15: D2",'CASE MASTER'!$K$2:$K$495,0)),"")</f>
        <v/>
      </c>
      <c r="D188" s="9" t="str">
        <f>IFERROR(INDEX('CASE MASTER'!$S$2:$S$495,MATCH("Case WB Box 15: D3",'CASE MASTER'!$K$2:$K$495,0)),"")</f>
        <v/>
      </c>
      <c r="E188" s="9" t="str">
        <f>IFERROR(INDEX('CASE MASTER'!$S$2:$S$495,MATCH("Case WB Box 15: D4",'CASE MASTER'!$K$2:$K$495,0)),"")</f>
        <v/>
      </c>
      <c r="F188" s="9" t="str">
        <f>IFERROR(INDEX('CASE MASTER'!$S$2:$S$495,MATCH("Case WB Box 15: D5",'CASE MASTER'!$K$2:$K$495,0)),"")</f>
        <v/>
      </c>
      <c r="G188" s="9" t="str">
        <f>IFERROR(INDEX('CASE MASTER'!$S$2:$S$495,MATCH("Case WB Box 15: D6",'CASE MASTER'!$K$2:$K$495,0)),"")</f>
        <v/>
      </c>
      <c r="H188" s="9" t="str">
        <f>IFERROR(INDEX('CASE MASTER'!$S$2:$S$495,MATCH("Case WB Box 15: D7",'CASE MASTER'!$K$2:$K$495,0)),"")</f>
        <v/>
      </c>
      <c r="I188" s="9" t="str">
        <f>IFERROR(INDEX('CASE MASTER'!$S$2:$S$495,MATCH("Case WB Box 15: D8",'CASE MASTER'!$K$2:$K$495,0)),"")</f>
        <v/>
      </c>
      <c r="J188" s="9" t="str">
        <f>IFERROR(INDEX('CASE MASTER'!$S$2:$S$495,MATCH("Case WB Box 15: D9",'CASE MASTER'!$K$2:$K$495,0)),"")</f>
        <v/>
      </c>
    </row>
    <row r="189" spans="1:10" ht="15" customHeight="1" x14ac:dyDescent="0.35">
      <c r="A189" s="8" t="s">
        <v>32</v>
      </c>
      <c r="B189" s="9" t="str">
        <f>IFERROR(INDEX('CASE MASTER'!$S$2:$S$495,MATCH("Case WB Box 15: E1",'CASE MASTER'!$K$2:$K$495,0)),"")</f>
        <v/>
      </c>
      <c r="C189" s="9" t="str">
        <f>IFERROR(INDEX('CASE MASTER'!$S$2:$S$495,MATCH("Case WB Box 15: E2",'CASE MASTER'!$K$2:$K$495,0)),"")</f>
        <v/>
      </c>
      <c r="D189" s="9" t="str">
        <f>IFERROR(INDEX('CASE MASTER'!$S$2:$S$495,MATCH("Case WB Box 15: E3",'CASE MASTER'!$K$2:$K$495,0)),"")</f>
        <v/>
      </c>
      <c r="E189" s="9" t="str">
        <f>IFERROR(INDEX('CASE MASTER'!$S$2:$S$495,MATCH("Case WB Box 15: E4",'CASE MASTER'!$K$2:$K$495,0)),"")</f>
        <v/>
      </c>
      <c r="F189" s="9" t="str">
        <f>IFERROR(INDEX('CASE MASTER'!$S$2:$S$495,MATCH("Case WB Box 15: E5",'CASE MASTER'!$K$2:$K$495,0)),"")</f>
        <v/>
      </c>
      <c r="G189" s="9" t="str">
        <f>IFERROR(INDEX('CASE MASTER'!$S$2:$S$495,MATCH("Case WB Box 15: E6",'CASE MASTER'!$K$2:$K$495,0)),"")</f>
        <v/>
      </c>
      <c r="H189" s="9" t="str">
        <f>IFERROR(INDEX('CASE MASTER'!$S$2:$S$495,MATCH("Case WB Box 15: E7",'CASE MASTER'!$K$2:$K$495,0)),"")</f>
        <v/>
      </c>
      <c r="I189" s="9" t="str">
        <f>IFERROR(INDEX('CASE MASTER'!$S$2:$S$495,MATCH("Case WB Box 15: E8",'CASE MASTER'!$K$2:$K$495,0)),"")</f>
        <v/>
      </c>
      <c r="J189" s="9" t="str">
        <f>IFERROR(INDEX('CASE MASTER'!$S$2:$S$495,MATCH("Case WB Box 15: E9",'CASE MASTER'!$K$2:$K$495,0)),"")</f>
        <v/>
      </c>
    </row>
    <row r="190" spans="1:10" ht="15" customHeight="1" x14ac:dyDescent="0.35">
      <c r="A190" s="8" t="s">
        <v>33</v>
      </c>
      <c r="B190" s="9" t="str">
        <f>IFERROR(INDEX('CASE MASTER'!$S$2:$S$495,MATCH("Case WB Box 15: F1",'CASE MASTER'!$K$2:$K$495,0)),"")</f>
        <v/>
      </c>
      <c r="C190" s="9" t="str">
        <f>IFERROR(INDEX('CASE MASTER'!$S$2:$S$495,MATCH("Case WB Box 15: F2",'CASE MASTER'!$K$2:$K$495,0)),"")</f>
        <v/>
      </c>
      <c r="D190" s="9" t="str">
        <f>IFERROR(INDEX('CASE MASTER'!$S$2:$S$495,MATCH("Case WB Box 15: F3",'CASE MASTER'!$K$2:$K$495,0)),"")</f>
        <v/>
      </c>
      <c r="E190" s="9" t="str">
        <f>IFERROR(INDEX('CASE MASTER'!$S$2:$S$495,MATCH("Case WB Box 15: F4",'CASE MASTER'!$K$2:$K$495,0)),"")</f>
        <v/>
      </c>
      <c r="F190" s="9" t="str">
        <f>IFERROR(INDEX('CASE MASTER'!$S$2:$S$495,MATCH("Case WB Box 15: F5",'CASE MASTER'!$K$2:$K$495,0)),"")</f>
        <v/>
      </c>
      <c r="G190" s="9" t="str">
        <f>IFERROR(INDEX('CASE MASTER'!$S$2:$S$495,MATCH("Case WB Box 15: F6",'CASE MASTER'!$K$2:$K$495,0)),"")</f>
        <v/>
      </c>
      <c r="H190" s="9" t="str">
        <f>IFERROR(INDEX('CASE MASTER'!$S$2:$S$495,MATCH("Case WB Box 15: F7",'CASE MASTER'!$K$2:$K$495,0)),"")</f>
        <v/>
      </c>
      <c r="I190" s="9" t="str">
        <f>IFERROR(INDEX('CASE MASTER'!$S$2:$S$495,MATCH("Case WB Box 15: F8",'CASE MASTER'!$K$2:$K$495,0)),"")</f>
        <v/>
      </c>
      <c r="J190" s="9" t="str">
        <f>IFERROR(INDEX('CASE MASTER'!$S$2:$S$495,MATCH("Case WB Box 15: F9",'CASE MASTER'!$K$2:$K$495,0)),"")</f>
        <v/>
      </c>
    </row>
    <row r="191" spans="1:10" ht="15" customHeight="1" x14ac:dyDescent="0.35">
      <c r="A191" s="8" t="s">
        <v>34</v>
      </c>
      <c r="B191" s="9" t="str">
        <f>IFERROR(INDEX('CASE MASTER'!$S$2:$S$495,MATCH("Case WB Box 15: G1",'CASE MASTER'!$K$2:$K$495,0)),"")</f>
        <v/>
      </c>
      <c r="C191" s="9" t="str">
        <f>IFERROR(INDEX('CASE MASTER'!$S$2:$S$495,MATCH("Case WB Box 15: G2",'CASE MASTER'!$K$2:$K$495,0)),"")</f>
        <v/>
      </c>
      <c r="D191" s="9" t="str">
        <f>IFERROR(INDEX('CASE MASTER'!$S$2:$S$495,MATCH("Case WB Box 15: G3",'CASE MASTER'!$K$2:$K$495,0)),"")</f>
        <v/>
      </c>
      <c r="E191" s="9" t="str">
        <f>IFERROR(INDEX('CASE MASTER'!$S$2:$S$495,MATCH("Case WB Box 15: G4",'CASE MASTER'!$K$2:$K$495,0)),"")</f>
        <v/>
      </c>
      <c r="F191" s="9" t="str">
        <f>IFERROR(INDEX('CASE MASTER'!$S$2:$S$495,MATCH("Case WB Box 15: G5",'CASE MASTER'!$K$2:$K$495,0)),"")</f>
        <v/>
      </c>
      <c r="G191" s="9" t="str">
        <f>IFERROR(INDEX('CASE MASTER'!$S$2:$S$495,MATCH("Case WB Box 15: G6",'CASE MASTER'!$K$2:$K$495,0)),"")</f>
        <v/>
      </c>
      <c r="H191" s="9" t="str">
        <f>IFERROR(INDEX('CASE MASTER'!$S$2:$S$495,MATCH("Case WB Box 15: G7",'CASE MASTER'!$K$2:$K$495,0)),"")</f>
        <v/>
      </c>
      <c r="I191" s="9" t="str">
        <f>IFERROR(INDEX('CASE MASTER'!$S$2:$S$495,MATCH("Case WB Box 15: G8",'CASE MASTER'!$K$2:$K$495,0)),"")</f>
        <v/>
      </c>
      <c r="J191" s="9" t="str">
        <f>IFERROR(INDEX('CASE MASTER'!$S$2:$S$495,MATCH("Case WB Box 15: G9",'CASE MASTER'!$K$2:$K$495,0)),"")</f>
        <v/>
      </c>
    </row>
    <row r="192" spans="1:10" ht="15" customHeight="1" x14ac:dyDescent="0.35">
      <c r="A192" s="8" t="s">
        <v>35</v>
      </c>
      <c r="B192" s="9" t="str">
        <f>IFERROR(INDEX('CASE MASTER'!$S$2:$S$495,MATCH("Case WB Box 15: H1",'CASE MASTER'!$K$2:$K$495,0)),"")</f>
        <v/>
      </c>
      <c r="C192" s="9" t="str">
        <f>IFERROR(INDEX('CASE MASTER'!$S$2:$S$495,MATCH("Case WB Box 15: H2",'CASE MASTER'!$K$2:$K$495,0)),"")</f>
        <v/>
      </c>
      <c r="D192" s="9" t="str">
        <f>IFERROR(INDEX('CASE MASTER'!$S$2:$S$495,MATCH("Case WB Box 15: H3",'CASE MASTER'!$K$2:$K$495,0)),"")</f>
        <v/>
      </c>
      <c r="E192" s="9" t="str">
        <f>IFERROR(INDEX('CASE MASTER'!$S$2:$S$495,MATCH("Case WB Box 15: H4",'CASE MASTER'!$K$2:$K$495,0)),"")</f>
        <v/>
      </c>
      <c r="F192" s="9" t="str">
        <f>IFERROR(INDEX('CASE MASTER'!$S$2:$S$495,MATCH("Case WB Box 15: H5",'CASE MASTER'!$K$2:$K$495,0)),"")</f>
        <v/>
      </c>
      <c r="G192" s="9" t="str">
        <f>IFERROR(INDEX('CASE MASTER'!$S$2:$S$495,MATCH("Case WB Box 15: H6",'CASE MASTER'!$K$2:$K$495,0)),"")</f>
        <v/>
      </c>
      <c r="H192" s="9" t="str">
        <f>IFERROR(INDEX('CASE MASTER'!$S$2:$S$495,MATCH("Case WB Box 15: H7",'CASE MASTER'!$K$2:$K$495,0)),"")</f>
        <v/>
      </c>
      <c r="I192" s="9" t="str">
        <f>IFERROR(INDEX('CASE MASTER'!$S$2:$S$495,MATCH("Case WB Box 15: H8",'CASE MASTER'!$K$2:$K$495,0)),"")</f>
        <v/>
      </c>
      <c r="J192" s="9" t="str">
        <f>IFERROR(INDEX('CASE MASTER'!$S$2:$S$495,MATCH("Case WB Box 15: H9",'CASE MASTER'!$K$2:$K$495,0)),"")</f>
        <v/>
      </c>
    </row>
    <row r="193" spans="1:10" ht="15" customHeight="1" x14ac:dyDescent="0.35">
      <c r="A193" s="8" t="s">
        <v>81</v>
      </c>
      <c r="B193" s="9" t="str">
        <f>IFERROR(INDEX('CASE MASTER'!$S$2:$S$495,MATCH("Case WB Box 15: I1",'CASE MASTER'!$K$2:$K$495,0)),"")</f>
        <v/>
      </c>
      <c r="C193" s="9" t="str">
        <f>IFERROR(INDEX('CASE MASTER'!$S$2:$S$495,MATCH("Case WB Box 15: I2",'CASE MASTER'!$K$2:$K$495,0)),"")</f>
        <v/>
      </c>
      <c r="D193" s="9" t="str">
        <f>IFERROR(INDEX('CASE MASTER'!$S$2:$S$495,MATCH("Case WB Box 15: I3",'CASE MASTER'!$K$2:$K$495,0)),"")</f>
        <v/>
      </c>
      <c r="E193" s="9" t="str">
        <f>IFERROR(INDEX('CASE MASTER'!$S$2:$S$495,MATCH("Case WB Box 15: I4",'CASE MASTER'!$K$2:$K$495,0)),"")</f>
        <v/>
      </c>
      <c r="F193" s="9" t="str">
        <f>IFERROR(INDEX('CASE MASTER'!$S$2:$S$495,MATCH("Case WB Box 15: I5",'CASE MASTER'!$K$2:$K$495,0)),"")</f>
        <v/>
      </c>
      <c r="G193" s="9" t="str">
        <f>IFERROR(INDEX('CASE MASTER'!$S$2:$S$495,MATCH("Case WB Box 15: I6",'CASE MASTER'!$K$2:$K$495,0)),"")</f>
        <v/>
      </c>
      <c r="H193" s="9" t="str">
        <f>IFERROR(INDEX('CASE MASTER'!$S$2:$S$495,MATCH("Case WB Box 15: I7",'CASE MASTER'!$K$2:$K$495,0)),"")</f>
        <v/>
      </c>
      <c r="I193" s="9" t="str">
        <f>IFERROR(INDEX('CASE MASTER'!$S$2:$S$495,MATCH("Case WB Box 15: I8",'CASE MASTER'!$K$2:$K$495,0)),"")</f>
        <v/>
      </c>
      <c r="J193" s="9" t="str">
        <f>IFERROR(INDEX('CASE MASTER'!$S$2:$S$495,MATCH("Case WB Box 15: I9",'CASE MASTER'!$K$2:$K$495,0)),"")</f>
        <v/>
      </c>
    </row>
  </sheetData>
  <mergeCells count="15">
    <mergeCell ref="A1:J1"/>
    <mergeCell ref="A118:J118"/>
    <mergeCell ref="A79:J79"/>
    <mergeCell ref="A14:J14"/>
    <mergeCell ref="A40:J40"/>
    <mergeCell ref="A157:J157"/>
    <mergeCell ref="A183:J183"/>
    <mergeCell ref="A170:J170"/>
    <mergeCell ref="A131:J131"/>
    <mergeCell ref="A27:J27"/>
    <mergeCell ref="A144:J144"/>
    <mergeCell ref="A92:J92"/>
    <mergeCell ref="A66:J66"/>
    <mergeCell ref="A53:J53"/>
    <mergeCell ref="A105:J105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0AD47"/>
  </sheetPr>
  <dimension ref="A1:M178"/>
  <sheetViews>
    <sheetView showGridLines="0" zoomScale="80" zoomScaleNormal="80" workbookViewId="0">
      <selection activeCell="B2" sqref="B1:M1048576"/>
    </sheetView>
  </sheetViews>
  <sheetFormatPr defaultColWidth="8.6328125" defaultRowHeight="15" customHeight="1" x14ac:dyDescent="0.35"/>
  <cols>
    <col min="1" max="1" width="5" customWidth="1"/>
    <col min="2" max="13" width="25.6328125" customWidth="1"/>
  </cols>
  <sheetData>
    <row r="1" spans="1:13" ht="15" customHeight="1" x14ac:dyDescent="0.35">
      <c r="A1" s="12" t="s">
        <v>112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</row>
    <row r="2" spans="1:13" ht="15" customHeight="1" x14ac:dyDescent="0.35">
      <c r="B2" s="8">
        <v>1</v>
      </c>
      <c r="C2" s="8">
        <v>2</v>
      </c>
      <c r="D2" s="8">
        <v>3</v>
      </c>
      <c r="E2" s="8">
        <v>4</v>
      </c>
      <c r="F2" s="8">
        <v>5</v>
      </c>
      <c r="G2" s="8">
        <v>6</v>
      </c>
      <c r="H2" s="8">
        <v>7</v>
      </c>
      <c r="I2" s="8">
        <v>8</v>
      </c>
      <c r="J2" s="8">
        <v>9</v>
      </c>
      <c r="K2" s="8">
        <v>10</v>
      </c>
      <c r="L2" s="8">
        <v>11</v>
      </c>
      <c r="M2" s="8">
        <v>12</v>
      </c>
    </row>
    <row r="3" spans="1:13" ht="15" customHeight="1" x14ac:dyDescent="0.35">
      <c r="A3" s="8" t="s">
        <v>28</v>
      </c>
      <c r="B3" s="9" t="str">
        <f>IFERROR(INDEX('CONTROL MASTER'!$Q$2:$Q$495,MATCH("Control CDI Plate 1: A1",'CONTROL MASTER'!$G$2:$G$495,0)),"")</f>
        <v/>
      </c>
      <c r="C3" s="9" t="str">
        <f>IFERROR(INDEX('CONTROL MASTER'!$Q$2:$Q$495,MATCH("Control CDI Plate 1: A2",'CONTROL MASTER'!$G$2:$G$495,0)),"")</f>
        <v/>
      </c>
      <c r="D3" s="9" t="str">
        <f>IFERROR(INDEX('CONTROL MASTER'!$Q$2:$Q$495,MATCH("Control CDI Plate 1: A3",'CONTROL MASTER'!$G$2:$G$495,0)),"")</f>
        <v/>
      </c>
      <c r="E3" s="9" t="str">
        <f>IFERROR(INDEX('CONTROL MASTER'!$Q$2:$Q$495,MATCH("Control CDI Plate 1: A4",'CONTROL MASTER'!$G$2:$G$495,0)),"")</f>
        <v/>
      </c>
      <c r="F3" s="9" t="str">
        <f>IFERROR(INDEX('CONTROL MASTER'!$Q$2:$Q$495,MATCH("Control CDI Plate 1: A5",'CONTROL MASTER'!$G$2:$G$495,0)),"")</f>
        <v/>
      </c>
      <c r="G3" s="9" t="str">
        <f>IFERROR(INDEX('CONTROL MASTER'!$Q$2:$Q$495,MATCH("Control CDI Plate 1: A6",'CONTROL MASTER'!$G$2:$G$495,0)),"")</f>
        <v/>
      </c>
      <c r="H3" s="9" t="str">
        <f>IFERROR(INDEX('CONTROL MASTER'!$Q$2:$Q$495,MATCH("Control CDI Plate 1: A7",'CONTROL MASTER'!$G$2:$G$495,0)),"")</f>
        <v/>
      </c>
      <c r="I3" s="9" t="str">
        <f>IFERROR(INDEX('CONTROL MASTER'!$Q$2:$Q$495,MATCH("Control CDI Plate 1: A8",'CONTROL MASTER'!$G$2:$G$495,0)),"")</f>
        <v/>
      </c>
      <c r="J3" s="9" t="str">
        <f>IFERROR(INDEX('CONTROL MASTER'!$Q$2:$Q$495,MATCH("Control CDI Plate 1: A9",'CONTROL MASTER'!$G$2:$G$495,0)),"")</f>
        <v/>
      </c>
      <c r="K3" s="9" t="str">
        <f>IFERROR(INDEX('CONTROL MASTER'!$Q$2:$Q$495,MATCH("Control CDI Plate 1: A10",'CONTROL MASTER'!$G$2:$G$495,0)),"")</f>
        <v/>
      </c>
      <c r="L3" s="9" t="str">
        <f>IFERROR(INDEX('CONTROL MASTER'!$Q$2:$Q$495,MATCH("Control CDI Plate 1: A11",'CONTROL MASTER'!$G$2:$G$495,0)),"")</f>
        <v/>
      </c>
      <c r="M3" s="9" t="str">
        <f>IFERROR(INDEX('CONTROL MASTER'!$Q$2:$Q$495,MATCH("Control CDI Plate 1: A12",'CONTROL MASTER'!$G$2:$G$495,0)),"")</f>
        <v/>
      </c>
    </row>
    <row r="4" spans="1:13" ht="15" customHeight="1" x14ac:dyDescent="0.35">
      <c r="A4" s="8" t="s">
        <v>29</v>
      </c>
      <c r="B4" s="9" t="str">
        <f>IFERROR(INDEX('CONTROL MASTER'!$Q$2:$Q$495,MATCH("Control CDI Plate 1: B1",'CONTROL MASTER'!$G$2:$G$495,0)),"")</f>
        <v/>
      </c>
      <c r="C4" s="9" t="str">
        <f>IFERROR(INDEX('CONTROL MASTER'!$Q$2:$Q$495,MATCH("Control CDI Plate 1: B2",'CONTROL MASTER'!$G$2:$G$495,0)),"")</f>
        <v/>
      </c>
      <c r="D4" s="9" t="str">
        <f>IFERROR(INDEX('CONTROL MASTER'!$Q$2:$Q$495,MATCH("Control CDI Plate 1: B3",'CONTROL MASTER'!$G$2:$G$495,0)),"")</f>
        <v/>
      </c>
      <c r="E4" s="9" t="str">
        <f>IFERROR(INDEX('CONTROL MASTER'!$Q$2:$Q$495,MATCH("Control CDI Plate 1: B4",'CONTROL MASTER'!$G$2:$G$495,0)),"")</f>
        <v/>
      </c>
      <c r="F4" s="9" t="str">
        <f>IFERROR(INDEX('CONTROL MASTER'!$Q$2:$Q$495,MATCH("Control CDI Plate 1: B5",'CONTROL MASTER'!$G$2:$G$495,0)),"")</f>
        <v/>
      </c>
      <c r="G4" s="9" t="str">
        <f>IFERROR(INDEX('CONTROL MASTER'!$Q$2:$Q$495,MATCH("Control CDI Plate 1: B6",'CONTROL MASTER'!$G$2:$G$495,0)),"")</f>
        <v/>
      </c>
      <c r="H4" s="9" t="str">
        <f>IFERROR(INDEX('CONTROL MASTER'!$Q$2:$Q$495,MATCH("Control CDI Plate 1: B7",'CONTROL MASTER'!$G$2:$G$495,0)),"")</f>
        <v/>
      </c>
      <c r="I4" s="9" t="str">
        <f>IFERROR(INDEX('CONTROL MASTER'!$Q$2:$Q$495,MATCH("Control CDI Plate 1: B8",'CONTROL MASTER'!$G$2:$G$495,0)),"")</f>
        <v/>
      </c>
      <c r="J4" s="9" t="str">
        <f>IFERROR(INDEX('CONTROL MASTER'!$Q$2:$Q$495,MATCH("Control CDI Plate 1: B9",'CONTROL MASTER'!$G$2:$G$495,0)),"")</f>
        <v/>
      </c>
      <c r="K4" s="9" t="str">
        <f>IFERROR(INDEX('CONTROL MASTER'!$Q$2:$Q$495,MATCH("Control CDI Plate 1: B10",'CONTROL MASTER'!$G$2:$G$495,0)),"")</f>
        <v/>
      </c>
      <c r="L4" s="9" t="str">
        <f>IFERROR(INDEX('CONTROL MASTER'!$Q$2:$Q$495,MATCH("Control CDI Plate 1: B11",'CONTROL MASTER'!$G$2:$G$495,0)),"")</f>
        <v/>
      </c>
      <c r="M4" s="9" t="str">
        <f>IFERROR(INDEX('CONTROL MASTER'!$Q$2:$Q$495,MATCH("Control CDI Plate 1: B12",'CONTROL MASTER'!$G$2:$G$495,0)),"")</f>
        <v/>
      </c>
    </row>
    <row r="5" spans="1:13" ht="15" customHeight="1" x14ac:dyDescent="0.35">
      <c r="A5" s="8" t="s">
        <v>30</v>
      </c>
      <c r="B5" s="9" t="str">
        <f>IFERROR(INDEX('CONTROL MASTER'!$Q$2:$Q$495,MATCH("Control CDI Plate 1: C1",'CONTROL MASTER'!$G$2:$G$495,0)),"")</f>
        <v/>
      </c>
      <c r="C5" s="9" t="str">
        <f>IFERROR(INDEX('CONTROL MASTER'!$Q$2:$Q$495,MATCH("Control CDI Plate 1: C2",'CONTROL MASTER'!$G$2:$G$495,0)),"")</f>
        <v/>
      </c>
      <c r="D5" s="9" t="str">
        <f>IFERROR(INDEX('CONTROL MASTER'!$Q$2:$Q$495,MATCH("Control CDI Plate 1: C3",'CONTROL MASTER'!$G$2:$G$495,0)),"")</f>
        <v/>
      </c>
      <c r="E5" s="9" t="str">
        <f>IFERROR(INDEX('CONTROL MASTER'!$Q$2:$Q$495,MATCH("Control CDI Plate 1: C4",'CONTROL MASTER'!$G$2:$G$495,0)),"")</f>
        <v/>
      </c>
      <c r="F5" s="9" t="str">
        <f>IFERROR(INDEX('CONTROL MASTER'!$Q$2:$Q$495,MATCH("Control CDI Plate 1: C5",'CONTROL MASTER'!$G$2:$G$495,0)),"")</f>
        <v/>
      </c>
      <c r="G5" s="9" t="str">
        <f>IFERROR(INDEX('CONTROL MASTER'!$Q$2:$Q$495,MATCH("Control CDI Plate 1: C6",'CONTROL MASTER'!$G$2:$G$495,0)),"")</f>
        <v/>
      </c>
      <c r="H5" s="9" t="str">
        <f>IFERROR(INDEX('CONTROL MASTER'!$Q$2:$Q$495,MATCH("Control CDI Plate 1: C7",'CONTROL MASTER'!$G$2:$G$495,0)),"")</f>
        <v/>
      </c>
      <c r="I5" s="9" t="str">
        <f>IFERROR(INDEX('CONTROL MASTER'!$Q$2:$Q$495,MATCH("Control CDI Plate 1: C8",'CONTROL MASTER'!$G$2:$G$495,0)),"")</f>
        <v/>
      </c>
      <c r="J5" s="9" t="str">
        <f>IFERROR(INDEX('CONTROL MASTER'!$Q$2:$Q$495,MATCH("Control CDI Plate 1: C9",'CONTROL MASTER'!$G$2:$G$495,0)),"")</f>
        <v/>
      </c>
      <c r="K5" s="9" t="str">
        <f>IFERROR(INDEX('CONTROL MASTER'!$Q$2:$Q$495,MATCH("Control CDI Plate 1: C10",'CONTROL MASTER'!$G$2:$G$495,0)),"")</f>
        <v/>
      </c>
      <c r="L5" s="9" t="str">
        <f>IFERROR(INDEX('CONTROL MASTER'!$Q$2:$Q$495,MATCH("Control CDI Plate 1: C11",'CONTROL MASTER'!$G$2:$G$495,0)),"")</f>
        <v/>
      </c>
      <c r="M5" s="9" t="str">
        <f>IFERROR(INDEX('CONTROL MASTER'!$Q$2:$Q$495,MATCH("Control CDI Plate 1: C12",'CONTROL MASTER'!$G$2:$G$495,0)),"")</f>
        <v/>
      </c>
    </row>
    <row r="6" spans="1:13" ht="15" customHeight="1" x14ac:dyDescent="0.35">
      <c r="A6" s="8" t="s">
        <v>31</v>
      </c>
      <c r="B6" s="9" t="str">
        <f>IFERROR(INDEX('CONTROL MASTER'!$Q$2:$Q$495,MATCH("Control CDI Plate 1: D1",'CONTROL MASTER'!$G$2:$G$495,0)),"")</f>
        <v/>
      </c>
      <c r="C6" s="9" t="str">
        <f>IFERROR(INDEX('CONTROL MASTER'!$Q$2:$Q$495,MATCH("Control CDI Plate 1: D2",'CONTROL MASTER'!$G$2:$G$495,0)),"")</f>
        <v/>
      </c>
      <c r="D6" s="9" t="str">
        <f>IFERROR(INDEX('CONTROL MASTER'!$Q$2:$Q$495,MATCH("Control CDI Plate 1: D3",'CONTROL MASTER'!$G$2:$G$495,0)),"")</f>
        <v/>
      </c>
      <c r="E6" s="9" t="str">
        <f>IFERROR(INDEX('CONTROL MASTER'!$Q$2:$Q$495,MATCH("Control CDI Plate 1: D4",'CONTROL MASTER'!$G$2:$G$495,0)),"")</f>
        <v/>
      </c>
      <c r="F6" s="9" t="str">
        <f>IFERROR(INDEX('CONTROL MASTER'!$Q$2:$Q$495,MATCH("Control CDI Plate 1: D5",'CONTROL MASTER'!$G$2:$G$495,0)),"")</f>
        <v/>
      </c>
      <c r="G6" s="9" t="str">
        <f>IFERROR(INDEX('CONTROL MASTER'!$Q$2:$Q$495,MATCH("Control CDI Plate 1: D6",'CONTROL MASTER'!$G$2:$G$495,0)),"")</f>
        <v/>
      </c>
      <c r="H6" s="9" t="str">
        <f>IFERROR(INDEX('CONTROL MASTER'!$Q$2:$Q$495,MATCH("Control CDI Plate 1: D7",'CONTROL MASTER'!$G$2:$G$495,0)),"")</f>
        <v/>
      </c>
      <c r="I6" s="9" t="str">
        <f>IFERROR(INDEX('CONTROL MASTER'!$Q$2:$Q$495,MATCH("Control CDI Plate 1: D8",'CONTROL MASTER'!$G$2:$G$495,0)),"")</f>
        <v/>
      </c>
      <c r="J6" s="9" t="str">
        <f>IFERROR(INDEX('CONTROL MASTER'!$Q$2:$Q$495,MATCH("Control CDI Plate 1: D9",'CONTROL MASTER'!$G$2:$G$495,0)),"")</f>
        <v/>
      </c>
      <c r="K6" s="9" t="str">
        <f>IFERROR(INDEX('CONTROL MASTER'!$Q$2:$Q$495,MATCH("Control CDI Plate 1: D10",'CONTROL MASTER'!$G$2:$G$495,0)),"")</f>
        <v/>
      </c>
      <c r="L6" s="9" t="str">
        <f>IFERROR(INDEX('CONTROL MASTER'!$Q$2:$Q$495,MATCH("Control CDI Plate 1: D11",'CONTROL MASTER'!$G$2:$G$495,0)),"")</f>
        <v/>
      </c>
      <c r="M6" s="9" t="str">
        <f>IFERROR(INDEX('CONTROL MASTER'!$Q$2:$Q$495,MATCH("Control CDI Plate 1: D12",'CONTROL MASTER'!$G$2:$G$495,0)),"")</f>
        <v/>
      </c>
    </row>
    <row r="7" spans="1:13" ht="15" customHeight="1" x14ac:dyDescent="0.35">
      <c r="A7" s="8" t="s">
        <v>32</v>
      </c>
      <c r="B7" s="9" t="str">
        <f>IFERROR(INDEX('CONTROL MASTER'!$Q$2:$Q$495,MATCH("Control CDI Plate 1: E1",'CONTROL MASTER'!$G$2:$G$495,0)),"")</f>
        <v/>
      </c>
      <c r="C7" s="9" t="str">
        <f>IFERROR(INDEX('CONTROL MASTER'!$Q$2:$Q$495,MATCH("Control CDI Plate 1: E2",'CONTROL MASTER'!$G$2:$G$495,0)),"")</f>
        <v/>
      </c>
      <c r="D7" s="9" t="str">
        <f>IFERROR(INDEX('CONTROL MASTER'!$Q$2:$Q$495,MATCH("Control CDI Plate 1: E3",'CONTROL MASTER'!$G$2:$G$495,0)),"")</f>
        <v/>
      </c>
      <c r="E7" s="9" t="str">
        <f>IFERROR(INDEX('CONTROL MASTER'!$Q$2:$Q$495,MATCH("Control CDI Plate 1: E4",'CONTROL MASTER'!$G$2:$G$495,0)),"")</f>
        <v/>
      </c>
      <c r="F7" s="9" t="str">
        <f>IFERROR(INDEX('CONTROL MASTER'!$Q$2:$Q$495,MATCH("Control CDI Plate 1: E5",'CONTROL MASTER'!$G$2:$G$495,0)),"")</f>
        <v/>
      </c>
      <c r="G7" s="9" t="str">
        <f>IFERROR(INDEX('CONTROL MASTER'!$Q$2:$Q$495,MATCH("Control CDI Plate 1: E6",'CONTROL MASTER'!$G$2:$G$495,0)),"")</f>
        <v/>
      </c>
      <c r="H7" s="9" t="str">
        <f>IFERROR(INDEX('CONTROL MASTER'!$Q$2:$Q$495,MATCH("Control CDI Plate 1: E7",'CONTROL MASTER'!$G$2:$G$495,0)),"")</f>
        <v/>
      </c>
      <c r="I7" s="9" t="str">
        <f>IFERROR(INDEX('CONTROL MASTER'!$Q$2:$Q$495,MATCH("Control CDI Plate 1: E8",'CONTROL MASTER'!$G$2:$G$495,0)),"")</f>
        <v/>
      </c>
      <c r="J7" s="9" t="str">
        <f>IFERROR(INDEX('CONTROL MASTER'!$Q$2:$Q$495,MATCH("Control CDI Plate 1: E9",'CONTROL MASTER'!$G$2:$G$495,0)),"")</f>
        <v/>
      </c>
      <c r="K7" s="9" t="str">
        <f>IFERROR(INDEX('CONTROL MASTER'!$Q$2:$Q$495,MATCH("Control CDI Plate 1: E10",'CONTROL MASTER'!$G$2:$G$495,0)),"")</f>
        <v/>
      </c>
      <c r="L7" s="9" t="str">
        <f>IFERROR(INDEX('CONTROL MASTER'!$Q$2:$Q$495,MATCH("Control CDI Plate 1: E11",'CONTROL MASTER'!$G$2:$G$495,0)),"")</f>
        <v/>
      </c>
      <c r="M7" s="9" t="str">
        <f>IFERROR(INDEX('CONTROL MASTER'!$Q$2:$Q$495,MATCH("Control CDI Plate 1: E12",'CONTROL MASTER'!$G$2:$G$495,0)),"")</f>
        <v/>
      </c>
    </row>
    <row r="8" spans="1:13" ht="15" customHeight="1" x14ac:dyDescent="0.35">
      <c r="A8" s="8" t="s">
        <v>33</v>
      </c>
      <c r="B8" s="9" t="str">
        <f>IFERROR(INDEX('CONTROL MASTER'!$Q$2:$Q$495,MATCH("Control CDI Plate 1: F1",'CONTROL MASTER'!$G$2:$G$495,0)),"")</f>
        <v/>
      </c>
      <c r="C8" s="9" t="str">
        <f>IFERROR(INDEX('CONTROL MASTER'!$Q$2:$Q$495,MATCH("Control CDI Plate 1: F2",'CONTROL MASTER'!$G$2:$G$495,0)),"")</f>
        <v/>
      </c>
      <c r="D8" s="9" t="str">
        <f>IFERROR(INDEX('CONTROL MASTER'!$Q$2:$Q$495,MATCH("Control CDI Plate 1: F3",'CONTROL MASTER'!$G$2:$G$495,0)),"")</f>
        <v/>
      </c>
      <c r="E8" s="9" t="str">
        <f>IFERROR(INDEX('CONTROL MASTER'!$Q$2:$Q$495,MATCH("Control CDI Plate 1: F4",'CONTROL MASTER'!$G$2:$G$495,0)),"")</f>
        <v/>
      </c>
      <c r="F8" s="9" t="str">
        <f>IFERROR(INDEX('CONTROL MASTER'!$Q$2:$Q$495,MATCH("Control CDI Plate 1: F5",'CONTROL MASTER'!$G$2:$G$495,0)),"")</f>
        <v/>
      </c>
      <c r="G8" s="9" t="str">
        <f>IFERROR(INDEX('CONTROL MASTER'!$Q$2:$Q$495,MATCH("Control CDI Plate 1: F6",'CONTROL MASTER'!$G$2:$G$495,0)),"")</f>
        <v/>
      </c>
      <c r="H8" s="9" t="str">
        <f>IFERROR(INDEX('CONTROL MASTER'!$Q$2:$Q$495,MATCH("Control CDI Plate 1: F7",'CONTROL MASTER'!$G$2:$G$495,0)),"")</f>
        <v/>
      </c>
      <c r="I8" s="9" t="str">
        <f>IFERROR(INDEX('CONTROL MASTER'!$Q$2:$Q$495,MATCH("Control CDI Plate 1: F8",'CONTROL MASTER'!$G$2:$G$495,0)),"")</f>
        <v/>
      </c>
      <c r="J8" s="9" t="str">
        <f>IFERROR(INDEX('CONTROL MASTER'!$Q$2:$Q$495,MATCH("Control CDI Plate 1: F9",'CONTROL MASTER'!$G$2:$G$495,0)),"")</f>
        <v/>
      </c>
      <c r="K8" s="9" t="str">
        <f>IFERROR(INDEX('CONTROL MASTER'!$Q$2:$Q$495,MATCH("Control CDI Plate 1: F10",'CONTROL MASTER'!$G$2:$G$495,0)),"")</f>
        <v/>
      </c>
      <c r="L8" s="9" t="str">
        <f>IFERROR(INDEX('CONTROL MASTER'!$Q$2:$Q$495,MATCH("Control CDI Plate 1: F11",'CONTROL MASTER'!$G$2:$G$495,0)),"")</f>
        <v/>
      </c>
      <c r="M8" s="9" t="str">
        <f>IFERROR(INDEX('CONTROL MASTER'!$Q$2:$Q$495,MATCH("Control CDI Plate 1: F12",'CONTROL MASTER'!$G$2:$G$495,0)),"")</f>
        <v/>
      </c>
    </row>
    <row r="9" spans="1:13" ht="15" customHeight="1" x14ac:dyDescent="0.35">
      <c r="A9" s="8" t="s">
        <v>34</v>
      </c>
      <c r="B9" s="9" t="str">
        <f>IFERROR(INDEX('CONTROL MASTER'!$Q$2:$Q$495,MATCH("Control CDI Plate 1: G1",'CONTROL MASTER'!$G$2:$G$495,0)),"")</f>
        <v/>
      </c>
      <c r="C9" s="9" t="str">
        <f>IFERROR(INDEX('CONTROL MASTER'!$Q$2:$Q$495,MATCH("Control CDI Plate 1: G2",'CONTROL MASTER'!$G$2:$G$495,0)),"")</f>
        <v/>
      </c>
      <c r="D9" s="9" t="str">
        <f>IFERROR(INDEX('CONTROL MASTER'!$Q$2:$Q$495,MATCH("Control CDI Plate 1: G3",'CONTROL MASTER'!$G$2:$G$495,0)),"")</f>
        <v/>
      </c>
      <c r="E9" s="9" t="str">
        <f>IFERROR(INDEX('CONTROL MASTER'!$Q$2:$Q$495,MATCH("Control CDI Plate 1: G4",'CONTROL MASTER'!$G$2:$G$495,0)),"")</f>
        <v/>
      </c>
      <c r="F9" s="9" t="str">
        <f>IFERROR(INDEX('CONTROL MASTER'!$Q$2:$Q$495,MATCH("Control CDI Plate 1: G5",'CONTROL MASTER'!$G$2:$G$495,0)),"")</f>
        <v/>
      </c>
      <c r="G9" s="9" t="str">
        <f>IFERROR(INDEX('CONTROL MASTER'!$Q$2:$Q$495,MATCH("Control CDI Plate 1: G6",'CONTROL MASTER'!$G$2:$G$495,0)),"")</f>
        <v/>
      </c>
      <c r="H9" s="9" t="str">
        <f>IFERROR(INDEX('CONTROL MASTER'!$Q$2:$Q$495,MATCH("Control CDI Plate 1: G7",'CONTROL MASTER'!$G$2:$G$495,0)),"")</f>
        <v/>
      </c>
      <c r="I9" s="9" t="str">
        <f>IFERROR(INDEX('CONTROL MASTER'!$Q$2:$Q$495,MATCH("Control CDI Plate 1: G8",'CONTROL MASTER'!$G$2:$G$495,0)),"")</f>
        <v/>
      </c>
      <c r="J9" s="9" t="str">
        <f>IFERROR(INDEX('CONTROL MASTER'!$Q$2:$Q$495,MATCH("Control CDI Plate 1: G9",'CONTROL MASTER'!$G$2:$G$495,0)),"")</f>
        <v/>
      </c>
      <c r="K9" s="9" t="str">
        <f>IFERROR(INDEX('CONTROL MASTER'!$Q$2:$Q$495,MATCH("Control CDI Plate 1: G10",'CONTROL MASTER'!$G$2:$G$495,0)),"")</f>
        <v/>
      </c>
      <c r="L9" s="9" t="str">
        <f>IFERROR(INDEX('CONTROL MASTER'!$Q$2:$Q$495,MATCH("Control CDI Plate 1: G11",'CONTROL MASTER'!$G$2:$G$495,0)),"")</f>
        <v/>
      </c>
      <c r="M9" s="9" t="str">
        <f>IFERROR(INDEX('CONTROL MASTER'!$Q$2:$Q$495,MATCH("Control CDI Plate 1: G12",'CONTROL MASTER'!$G$2:$G$495,0)),"")</f>
        <v/>
      </c>
    </row>
    <row r="10" spans="1:13" ht="15" customHeight="1" x14ac:dyDescent="0.35">
      <c r="A10" s="8" t="s">
        <v>35</v>
      </c>
      <c r="B10" s="9" t="str">
        <f>IFERROR(INDEX('CONTROL MASTER'!$Q$2:$Q$495,MATCH("Control CDI Plate 1: H1",'CONTROL MASTER'!$G$2:$G$495,0)),"")</f>
        <v/>
      </c>
      <c r="C10" s="9" t="str">
        <f>IFERROR(INDEX('CONTROL MASTER'!$Q$2:$Q$495,MATCH("Control CDI Plate 1: H2",'CONTROL MASTER'!$G$2:$G$495,0)),"")</f>
        <v/>
      </c>
      <c r="D10" s="9" t="str">
        <f>IFERROR(INDEX('CONTROL MASTER'!$Q$2:$Q$495,MATCH("Control CDI Plate 1: H3",'CONTROL MASTER'!$G$2:$G$495,0)),"")</f>
        <v/>
      </c>
      <c r="E10" s="9" t="str">
        <f>IFERROR(INDEX('CONTROL MASTER'!$Q$2:$Q$495,MATCH("Control CDI Plate 1: H4",'CONTROL MASTER'!$G$2:$G$495,0)),"")</f>
        <v/>
      </c>
      <c r="F10" s="9" t="str">
        <f>IFERROR(INDEX('CONTROL MASTER'!$Q$2:$Q$495,MATCH("Control CDI Plate 1: H5",'CONTROL MASTER'!$G$2:$G$495,0)),"")</f>
        <v/>
      </c>
      <c r="G10" s="9" t="str">
        <f>IFERROR(INDEX('CONTROL MASTER'!$Q$2:$Q$495,MATCH("Control CDI Plate 1: H6",'CONTROL MASTER'!$G$2:$G$495,0)),"")</f>
        <v/>
      </c>
      <c r="H10" s="9" t="str">
        <f>IFERROR(INDEX('CONTROL MASTER'!$Q$2:$Q$495,MATCH("Control CDI Plate 1: H7",'CONTROL MASTER'!$G$2:$G$495,0)),"")</f>
        <v/>
      </c>
      <c r="I10" s="9" t="str">
        <f>IFERROR(INDEX('CONTROL MASTER'!$Q$2:$Q$495,MATCH("Control CDI Plate 1: H8",'CONTROL MASTER'!$G$2:$G$495,0)),"")</f>
        <v/>
      </c>
      <c r="J10" s="9" t="str">
        <f>IFERROR(INDEX('CONTROL MASTER'!$Q$2:$Q$495,MATCH("Control CDI Plate 1: H9",'CONTROL MASTER'!$G$2:$G$495,0)),"")</f>
        <v/>
      </c>
      <c r="K10" s="9" t="str">
        <f>IFERROR(INDEX('CONTROL MASTER'!$Q$2:$Q$495,MATCH("Control CDI Plate 1: H10",'CONTROL MASTER'!$G$2:$G$495,0)),"")</f>
        <v/>
      </c>
      <c r="L10" s="9" t="str">
        <f>IFERROR(INDEX('CONTROL MASTER'!$Q$2:$Q$495,MATCH("Control CDI Plate 1: H11",'CONTROL MASTER'!$G$2:$G$495,0)),"")</f>
        <v/>
      </c>
      <c r="M10" s="9" t="str">
        <f>IFERROR(INDEX('CONTROL MASTER'!$Q$2:$Q$495,MATCH("Control CDI Plate 1: H12",'CONTROL MASTER'!$G$2:$G$495,0)),"")</f>
        <v/>
      </c>
    </row>
    <row r="13" spans="1:13" ht="15" customHeight="1" x14ac:dyDescent="0.35">
      <c r="A13" s="12" t="s">
        <v>113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</row>
    <row r="14" spans="1:13" ht="15" customHeight="1" x14ac:dyDescent="0.35">
      <c r="B14" s="8">
        <v>1</v>
      </c>
      <c r="C14" s="8">
        <v>2</v>
      </c>
      <c r="D14" s="8">
        <v>3</v>
      </c>
      <c r="E14" s="8">
        <v>4</v>
      </c>
      <c r="F14" s="8">
        <v>5</v>
      </c>
      <c r="G14" s="8">
        <v>6</v>
      </c>
      <c r="H14" s="8">
        <v>7</v>
      </c>
      <c r="I14" s="8">
        <v>8</v>
      </c>
      <c r="J14" s="8">
        <v>9</v>
      </c>
      <c r="K14" s="8">
        <v>10</v>
      </c>
      <c r="L14" s="8">
        <v>11</v>
      </c>
      <c r="M14" s="8">
        <v>12</v>
      </c>
    </row>
    <row r="15" spans="1:13" ht="15" customHeight="1" x14ac:dyDescent="0.35">
      <c r="A15" s="8" t="s">
        <v>28</v>
      </c>
      <c r="B15" s="9" t="str">
        <f>IFERROR(INDEX('CONTROL MASTER'!$Q$2:$Q$495,MATCH("Control CDI Plate 2: A1",'CONTROL MASTER'!$G$2:$G$495,0)),"")</f>
        <v/>
      </c>
      <c r="C15" s="9" t="str">
        <f>IFERROR(INDEX('CONTROL MASTER'!$Q$2:$Q$495,MATCH("Control CDI Plate 2: A2",'CONTROL MASTER'!$G$2:$G$495,0)),"")</f>
        <v/>
      </c>
      <c r="D15" s="9" t="str">
        <f>IFERROR(INDEX('CONTROL MASTER'!$Q$2:$Q$495,MATCH("Control CDI Plate 2: A3",'CONTROL MASTER'!$G$2:$G$495,0)),"")</f>
        <v/>
      </c>
      <c r="E15" s="9" t="str">
        <f>IFERROR(INDEX('CONTROL MASTER'!$Q$2:$Q$495,MATCH("Control CDI Plate 2: A4",'CONTROL MASTER'!$G$2:$G$495,0)),"")</f>
        <v/>
      </c>
      <c r="F15" s="9" t="str">
        <f>IFERROR(INDEX('CONTROL MASTER'!$Q$2:$Q$495,MATCH("Control CDI Plate 2: A5",'CONTROL MASTER'!$G$2:$G$495,0)),"")</f>
        <v/>
      </c>
      <c r="G15" s="9" t="str">
        <f>IFERROR(INDEX('CONTROL MASTER'!$Q$2:$Q$495,MATCH("Control CDI Plate 2: A6",'CONTROL MASTER'!$G$2:$G$495,0)),"")</f>
        <v/>
      </c>
      <c r="H15" s="9" t="str">
        <f>IFERROR(INDEX('CONTROL MASTER'!$Q$2:$Q$495,MATCH("Control CDI Plate 2: A7",'CONTROL MASTER'!$G$2:$G$495,0)),"")</f>
        <v/>
      </c>
      <c r="I15" s="9" t="str">
        <f>IFERROR(INDEX('CONTROL MASTER'!$Q$2:$Q$495,MATCH("Control CDI Plate 2: A8",'CONTROL MASTER'!$G$2:$G$495,0)),"")</f>
        <v/>
      </c>
      <c r="J15" s="9" t="str">
        <f>IFERROR(INDEX('CONTROL MASTER'!$Q$2:$Q$495,MATCH("Control CDI Plate 2: A9",'CONTROL MASTER'!$G$2:$G$495,0)),"")</f>
        <v/>
      </c>
      <c r="K15" s="9" t="str">
        <f>IFERROR(INDEX('CONTROL MASTER'!$Q$2:$Q$495,MATCH("Control CDI Plate 2: A10",'CONTROL MASTER'!$G$2:$G$495,0)),"")</f>
        <v/>
      </c>
      <c r="L15" s="9" t="str">
        <f>IFERROR(INDEX('CONTROL MASTER'!$Q$2:$Q$495,MATCH("Control CDI Plate 2: A11",'CONTROL MASTER'!$G$2:$G$495,0)),"")</f>
        <v/>
      </c>
      <c r="M15" s="9" t="str">
        <f>IFERROR(INDEX('CONTROL MASTER'!$Q$2:$Q$495,MATCH("Control CDI Plate 2: A12",'CONTROL MASTER'!$G$2:$G$495,0)),"")</f>
        <v/>
      </c>
    </row>
    <row r="16" spans="1:13" ht="15" customHeight="1" x14ac:dyDescent="0.35">
      <c r="A16" s="8" t="s">
        <v>29</v>
      </c>
      <c r="B16" s="9" t="str">
        <f>IFERROR(INDEX('CONTROL MASTER'!$Q$2:$Q$495,MATCH("Control CDI Plate 2: B1",'CONTROL MASTER'!$G$2:$G$495,0)),"")</f>
        <v/>
      </c>
      <c r="C16" s="9" t="str">
        <f>IFERROR(INDEX('CONTROL MASTER'!$Q$2:$Q$495,MATCH("Control CDI Plate 2: B2",'CONTROL MASTER'!$G$2:$G$495,0)),"")</f>
        <v/>
      </c>
      <c r="D16" s="9" t="str">
        <f>IFERROR(INDEX('CONTROL MASTER'!$Q$2:$Q$495,MATCH("Control CDI Plate 2: B3",'CONTROL MASTER'!$G$2:$G$495,0)),"")</f>
        <v/>
      </c>
      <c r="E16" s="9" t="str">
        <f>IFERROR(INDEX('CONTROL MASTER'!$Q$2:$Q$495,MATCH("Control CDI Plate 2: B4",'CONTROL MASTER'!$G$2:$G$495,0)),"")</f>
        <v/>
      </c>
      <c r="F16" s="9" t="str">
        <f>IFERROR(INDEX('CONTROL MASTER'!$Q$2:$Q$495,MATCH("Control CDI Plate 2: B5",'CONTROL MASTER'!$G$2:$G$495,0)),"")</f>
        <v/>
      </c>
      <c r="G16" s="9" t="str">
        <f>IFERROR(INDEX('CONTROL MASTER'!$Q$2:$Q$495,MATCH("Control CDI Plate 2: B6",'CONTROL MASTER'!$G$2:$G$495,0)),"")</f>
        <v/>
      </c>
      <c r="H16" s="9" t="str">
        <f>IFERROR(INDEX('CONTROL MASTER'!$Q$2:$Q$495,MATCH("Control CDI Plate 2: B7",'CONTROL MASTER'!$G$2:$G$495,0)),"")</f>
        <v/>
      </c>
      <c r="I16" s="9" t="str">
        <f>IFERROR(INDEX('CONTROL MASTER'!$Q$2:$Q$495,MATCH("Control CDI Plate 2: B8",'CONTROL MASTER'!$G$2:$G$495,0)),"")</f>
        <v/>
      </c>
      <c r="J16" s="9" t="str">
        <f>IFERROR(INDEX('CONTROL MASTER'!$Q$2:$Q$495,MATCH("Control CDI Plate 2: B9",'CONTROL MASTER'!$G$2:$G$495,0)),"")</f>
        <v/>
      </c>
      <c r="K16" s="9" t="str">
        <f>IFERROR(INDEX('CONTROL MASTER'!$Q$2:$Q$495,MATCH("Control CDI Plate 2: B10",'CONTROL MASTER'!$G$2:$G$495,0)),"")</f>
        <v/>
      </c>
      <c r="L16" s="9" t="str">
        <f>IFERROR(INDEX('CONTROL MASTER'!$Q$2:$Q$495,MATCH("Control CDI Plate 2: B11",'CONTROL MASTER'!$G$2:$G$495,0)),"")</f>
        <v/>
      </c>
      <c r="M16" s="9" t="str">
        <f>IFERROR(INDEX('CONTROL MASTER'!$Q$2:$Q$495,MATCH("Control CDI Plate 2: B12",'CONTROL MASTER'!$G$2:$G$495,0)),"")</f>
        <v/>
      </c>
    </row>
    <row r="17" spans="1:13" ht="15" customHeight="1" x14ac:dyDescent="0.35">
      <c r="A17" s="8" t="s">
        <v>30</v>
      </c>
      <c r="B17" s="9" t="str">
        <f>IFERROR(INDEX('CONTROL MASTER'!$Q$2:$Q$495,MATCH("Control CDI Plate 2: C1",'CONTROL MASTER'!$G$2:$G$495,0)),"")</f>
        <v/>
      </c>
      <c r="C17" s="9" t="str">
        <f>IFERROR(INDEX('CONTROL MASTER'!$Q$2:$Q$495,MATCH("Control CDI Plate 2: C2",'CONTROL MASTER'!$G$2:$G$495,0)),"")</f>
        <v/>
      </c>
      <c r="D17" s="9" t="str">
        <f>IFERROR(INDEX('CONTROL MASTER'!$Q$2:$Q$495,MATCH("Control CDI Plate 2: C3",'CONTROL MASTER'!$G$2:$G$495,0)),"")</f>
        <v/>
      </c>
      <c r="E17" s="9" t="str">
        <f>IFERROR(INDEX('CONTROL MASTER'!$Q$2:$Q$495,MATCH("Control CDI Plate 2: C4",'CONTROL MASTER'!$G$2:$G$495,0)),"")</f>
        <v/>
      </c>
      <c r="F17" s="9" t="str">
        <f>IFERROR(INDEX('CONTROL MASTER'!$Q$2:$Q$495,MATCH("Control CDI Plate 2: C5",'CONTROL MASTER'!$G$2:$G$495,0)),"")</f>
        <v/>
      </c>
      <c r="G17" s="9" t="str">
        <f>IFERROR(INDEX('CONTROL MASTER'!$Q$2:$Q$495,MATCH("Control CDI Plate 2: C6",'CONTROL MASTER'!$G$2:$G$495,0)),"")</f>
        <v/>
      </c>
      <c r="H17" s="9" t="str">
        <f>IFERROR(INDEX('CONTROL MASTER'!$Q$2:$Q$495,MATCH("Control CDI Plate 2: C7",'CONTROL MASTER'!$G$2:$G$495,0)),"")</f>
        <v/>
      </c>
      <c r="I17" s="9" t="str">
        <f>IFERROR(INDEX('CONTROL MASTER'!$Q$2:$Q$495,MATCH("Control CDI Plate 2: C8",'CONTROL MASTER'!$G$2:$G$495,0)),"")</f>
        <v/>
      </c>
      <c r="J17" s="9" t="str">
        <f>IFERROR(INDEX('CONTROL MASTER'!$Q$2:$Q$495,MATCH("Control CDI Plate 2: C9",'CONTROL MASTER'!$G$2:$G$495,0)),"")</f>
        <v/>
      </c>
      <c r="K17" s="9" t="str">
        <f>IFERROR(INDEX('CONTROL MASTER'!$Q$2:$Q$495,MATCH("Control CDI Plate 2: C10",'CONTROL MASTER'!$G$2:$G$495,0)),"")</f>
        <v/>
      </c>
      <c r="L17" s="9" t="str">
        <f>IFERROR(INDEX('CONTROL MASTER'!$Q$2:$Q$495,MATCH("Control CDI Plate 2: C11",'CONTROL MASTER'!$G$2:$G$495,0)),"")</f>
        <v/>
      </c>
      <c r="M17" s="9" t="str">
        <f>IFERROR(INDEX('CONTROL MASTER'!$Q$2:$Q$495,MATCH("Control CDI Plate 2: C12",'CONTROL MASTER'!$G$2:$G$495,0)),"")</f>
        <v/>
      </c>
    </row>
    <row r="18" spans="1:13" ht="15" customHeight="1" x14ac:dyDescent="0.35">
      <c r="A18" s="8" t="s">
        <v>31</v>
      </c>
      <c r="B18" s="9" t="str">
        <f>IFERROR(INDEX('CONTROL MASTER'!$Q$2:$Q$495,MATCH("Control CDI Plate 2: D1",'CONTROL MASTER'!$G$2:$G$495,0)),"")</f>
        <v/>
      </c>
      <c r="C18" s="9" t="str">
        <f>IFERROR(INDEX('CONTROL MASTER'!$Q$2:$Q$495,MATCH("Control CDI Plate 2: D2",'CONTROL MASTER'!$G$2:$G$495,0)),"")</f>
        <v/>
      </c>
      <c r="D18" s="9" t="str">
        <f>IFERROR(INDEX('CONTROL MASTER'!$Q$2:$Q$495,MATCH("Control CDI Plate 2: D3",'CONTROL MASTER'!$G$2:$G$495,0)),"")</f>
        <v/>
      </c>
      <c r="E18" s="9" t="str">
        <f>IFERROR(INDEX('CONTROL MASTER'!$Q$2:$Q$495,MATCH("Control CDI Plate 2: D4",'CONTROL MASTER'!$G$2:$G$495,0)),"")</f>
        <v/>
      </c>
      <c r="F18" s="9" t="str">
        <f>IFERROR(INDEX('CONTROL MASTER'!$Q$2:$Q$495,MATCH("Control CDI Plate 2: D5",'CONTROL MASTER'!$G$2:$G$495,0)),"")</f>
        <v/>
      </c>
      <c r="G18" s="9" t="str">
        <f>IFERROR(INDEX('CONTROL MASTER'!$Q$2:$Q$495,MATCH("Control CDI Plate 2: D6",'CONTROL MASTER'!$G$2:$G$495,0)),"")</f>
        <v/>
      </c>
      <c r="H18" s="9" t="str">
        <f>IFERROR(INDEX('CONTROL MASTER'!$Q$2:$Q$495,MATCH("Control CDI Plate 2: D7",'CONTROL MASTER'!$G$2:$G$495,0)),"")</f>
        <v/>
      </c>
      <c r="I18" s="9" t="str">
        <f>IFERROR(INDEX('CONTROL MASTER'!$Q$2:$Q$495,MATCH("Control CDI Plate 2: D8",'CONTROL MASTER'!$G$2:$G$495,0)),"")</f>
        <v/>
      </c>
      <c r="J18" s="9" t="str">
        <f>IFERROR(INDEX('CONTROL MASTER'!$Q$2:$Q$495,MATCH("Control CDI Plate 2: D9",'CONTROL MASTER'!$G$2:$G$495,0)),"")</f>
        <v/>
      </c>
      <c r="K18" s="9" t="str">
        <f>IFERROR(INDEX('CONTROL MASTER'!$Q$2:$Q$495,MATCH("Control CDI Plate 2: D10",'CONTROL MASTER'!$G$2:$G$495,0)),"")</f>
        <v/>
      </c>
      <c r="L18" s="9" t="str">
        <f>IFERROR(INDEX('CONTROL MASTER'!$Q$2:$Q$495,MATCH("Control CDI Plate 2: D11",'CONTROL MASTER'!$G$2:$G$495,0)),"")</f>
        <v/>
      </c>
      <c r="M18" s="9" t="str">
        <f>IFERROR(INDEX('CONTROL MASTER'!$Q$2:$Q$495,MATCH("Control CDI Plate 2: D12",'CONTROL MASTER'!$G$2:$G$495,0)),"")</f>
        <v/>
      </c>
    </row>
    <row r="19" spans="1:13" ht="15" customHeight="1" x14ac:dyDescent="0.35">
      <c r="A19" s="8" t="s">
        <v>32</v>
      </c>
      <c r="B19" s="9" t="str">
        <f>IFERROR(INDEX('CONTROL MASTER'!$Q$2:$Q$495,MATCH("Control CDI Plate 2: E1",'CONTROL MASTER'!$G$2:$G$495,0)),"")</f>
        <v/>
      </c>
      <c r="C19" s="9" t="str">
        <f>IFERROR(INDEX('CONTROL MASTER'!$Q$2:$Q$495,MATCH("Control CDI Plate 2: E2",'CONTROL MASTER'!$G$2:$G$495,0)),"")</f>
        <v/>
      </c>
      <c r="D19" s="9" t="str">
        <f>IFERROR(INDEX('CONTROL MASTER'!$Q$2:$Q$495,MATCH("Control CDI Plate 2: E3",'CONTROL MASTER'!$G$2:$G$495,0)),"")</f>
        <v/>
      </c>
      <c r="E19" s="9" t="str">
        <f>IFERROR(INDEX('CONTROL MASTER'!$Q$2:$Q$495,MATCH("Control CDI Plate 2: E4",'CONTROL MASTER'!$G$2:$G$495,0)),"")</f>
        <v/>
      </c>
      <c r="F19" s="9" t="str">
        <f>IFERROR(INDEX('CONTROL MASTER'!$Q$2:$Q$495,MATCH("Control CDI Plate 2: E5",'CONTROL MASTER'!$G$2:$G$495,0)),"")</f>
        <v/>
      </c>
      <c r="G19" s="9" t="str">
        <f>IFERROR(INDEX('CONTROL MASTER'!$Q$2:$Q$495,MATCH("Control CDI Plate 2: E6",'CONTROL MASTER'!$G$2:$G$495,0)),"")</f>
        <v/>
      </c>
      <c r="H19" s="9" t="str">
        <f>IFERROR(INDEX('CONTROL MASTER'!$Q$2:$Q$495,MATCH("Control CDI Plate 2: E7",'CONTROL MASTER'!$G$2:$G$495,0)),"")</f>
        <v/>
      </c>
      <c r="I19" s="9" t="str">
        <f>IFERROR(INDEX('CONTROL MASTER'!$Q$2:$Q$495,MATCH("Control CDI Plate 2: E8",'CONTROL MASTER'!$G$2:$G$495,0)),"")</f>
        <v/>
      </c>
      <c r="J19" s="9" t="str">
        <f>IFERROR(INDEX('CONTROL MASTER'!$Q$2:$Q$495,MATCH("Control CDI Plate 2: E9",'CONTROL MASTER'!$G$2:$G$495,0)),"")</f>
        <v/>
      </c>
      <c r="K19" s="9" t="str">
        <f>IFERROR(INDEX('CONTROL MASTER'!$Q$2:$Q$495,MATCH("Control CDI Plate 2: E10",'CONTROL MASTER'!$G$2:$G$495,0)),"")</f>
        <v/>
      </c>
      <c r="L19" s="9" t="str">
        <f>IFERROR(INDEX('CONTROL MASTER'!$Q$2:$Q$495,MATCH("Control CDI Plate 2: E11",'CONTROL MASTER'!$G$2:$G$495,0)),"")</f>
        <v/>
      </c>
      <c r="M19" s="9" t="str">
        <f>IFERROR(INDEX('CONTROL MASTER'!$Q$2:$Q$495,MATCH("Control CDI Plate 2: E12",'CONTROL MASTER'!$G$2:$G$495,0)),"")</f>
        <v/>
      </c>
    </row>
    <row r="20" spans="1:13" ht="15" customHeight="1" x14ac:dyDescent="0.35">
      <c r="A20" s="8" t="s">
        <v>33</v>
      </c>
      <c r="B20" s="9" t="str">
        <f>IFERROR(INDEX('CONTROL MASTER'!$Q$2:$Q$495,MATCH("Control CDI Plate 2: F1",'CONTROL MASTER'!$G$2:$G$495,0)),"")</f>
        <v/>
      </c>
      <c r="C20" s="9" t="str">
        <f>IFERROR(INDEX('CONTROL MASTER'!$Q$2:$Q$495,MATCH("Control CDI Plate 2: F2",'CONTROL MASTER'!$G$2:$G$495,0)),"")</f>
        <v/>
      </c>
      <c r="D20" s="9" t="str">
        <f>IFERROR(INDEX('CONTROL MASTER'!$Q$2:$Q$495,MATCH("Control CDI Plate 2: F3",'CONTROL MASTER'!$G$2:$G$495,0)),"")</f>
        <v/>
      </c>
      <c r="E20" s="9" t="str">
        <f>IFERROR(INDEX('CONTROL MASTER'!$Q$2:$Q$495,MATCH("Control CDI Plate 2: F4",'CONTROL MASTER'!$G$2:$G$495,0)),"")</f>
        <v/>
      </c>
      <c r="F20" s="9" t="str">
        <f>IFERROR(INDEX('CONTROL MASTER'!$Q$2:$Q$495,MATCH("Control CDI Plate 2: F5",'CONTROL MASTER'!$G$2:$G$495,0)),"")</f>
        <v/>
      </c>
      <c r="G20" s="9" t="str">
        <f>IFERROR(INDEX('CONTROL MASTER'!$Q$2:$Q$495,MATCH("Control CDI Plate 2: F6",'CONTROL MASTER'!$G$2:$G$495,0)),"")</f>
        <v/>
      </c>
      <c r="H20" s="9" t="str">
        <f>IFERROR(INDEX('CONTROL MASTER'!$Q$2:$Q$495,MATCH("Control CDI Plate 2: F7",'CONTROL MASTER'!$G$2:$G$495,0)),"")</f>
        <v/>
      </c>
      <c r="I20" s="9" t="str">
        <f>IFERROR(INDEX('CONTROL MASTER'!$Q$2:$Q$495,MATCH("Control CDI Plate 2: F8",'CONTROL MASTER'!$G$2:$G$495,0)),"")</f>
        <v/>
      </c>
      <c r="J20" s="9" t="str">
        <f>IFERROR(INDEX('CONTROL MASTER'!$Q$2:$Q$495,MATCH("Control CDI Plate 2: F9",'CONTROL MASTER'!$G$2:$G$495,0)),"")</f>
        <v/>
      </c>
      <c r="K20" s="9" t="str">
        <f>IFERROR(INDEX('CONTROL MASTER'!$Q$2:$Q$495,MATCH("Control CDI Plate 2: F10",'CONTROL MASTER'!$G$2:$G$495,0)),"")</f>
        <v/>
      </c>
      <c r="L20" s="9" t="str">
        <f>IFERROR(INDEX('CONTROL MASTER'!$Q$2:$Q$495,MATCH("Control CDI Plate 2: F11",'CONTROL MASTER'!$G$2:$G$495,0)),"")</f>
        <v/>
      </c>
      <c r="M20" s="9" t="str">
        <f>IFERROR(INDEX('CONTROL MASTER'!$Q$2:$Q$495,MATCH("Control CDI Plate 2: F12",'CONTROL MASTER'!$G$2:$G$495,0)),"")</f>
        <v/>
      </c>
    </row>
    <row r="21" spans="1:13" ht="15" customHeight="1" x14ac:dyDescent="0.35">
      <c r="A21" s="8" t="s">
        <v>34</v>
      </c>
      <c r="B21" s="9" t="str">
        <f>IFERROR(INDEX('CONTROL MASTER'!$Q$2:$Q$495,MATCH("Control CDI Plate 2: G1",'CONTROL MASTER'!$G$2:$G$495,0)),"")</f>
        <v/>
      </c>
      <c r="C21" s="9" t="str">
        <f>IFERROR(INDEX('CONTROL MASTER'!$Q$2:$Q$495,MATCH("Control CDI Plate 2: G2",'CONTROL MASTER'!$G$2:$G$495,0)),"")</f>
        <v/>
      </c>
      <c r="D21" s="9" t="str">
        <f>IFERROR(INDEX('CONTROL MASTER'!$Q$2:$Q$495,MATCH("Control CDI Plate 2: G3",'CONTROL MASTER'!$G$2:$G$495,0)),"")</f>
        <v/>
      </c>
      <c r="E21" s="9" t="str">
        <f>IFERROR(INDEX('CONTROL MASTER'!$Q$2:$Q$495,MATCH("Control CDI Plate 2: G4",'CONTROL MASTER'!$G$2:$G$495,0)),"")</f>
        <v/>
      </c>
      <c r="F21" s="9" t="str">
        <f>IFERROR(INDEX('CONTROL MASTER'!$Q$2:$Q$495,MATCH("Control CDI Plate 2: G5",'CONTROL MASTER'!$G$2:$G$495,0)),"")</f>
        <v/>
      </c>
      <c r="G21" s="9" t="str">
        <f>IFERROR(INDEX('CONTROL MASTER'!$Q$2:$Q$495,MATCH("Control CDI Plate 2: G6",'CONTROL MASTER'!$G$2:$G$495,0)),"")</f>
        <v/>
      </c>
      <c r="H21" s="9" t="str">
        <f>IFERROR(INDEX('CONTROL MASTER'!$Q$2:$Q$495,MATCH("Control CDI Plate 2: G7",'CONTROL MASTER'!$G$2:$G$495,0)),"")</f>
        <v/>
      </c>
      <c r="I21" s="9" t="str">
        <f>IFERROR(INDEX('CONTROL MASTER'!$Q$2:$Q$495,MATCH("Control CDI Plate 2: G8",'CONTROL MASTER'!$G$2:$G$495,0)),"")</f>
        <v/>
      </c>
      <c r="J21" s="9" t="str">
        <f>IFERROR(INDEX('CONTROL MASTER'!$Q$2:$Q$495,MATCH("Control CDI Plate 2: G9",'CONTROL MASTER'!$G$2:$G$495,0)),"")</f>
        <v/>
      </c>
      <c r="K21" s="9" t="str">
        <f>IFERROR(INDEX('CONTROL MASTER'!$Q$2:$Q$495,MATCH("Control CDI Plate 2: G10",'CONTROL MASTER'!$G$2:$G$495,0)),"")</f>
        <v/>
      </c>
      <c r="L21" s="9" t="str">
        <f>IFERROR(INDEX('CONTROL MASTER'!$Q$2:$Q$495,MATCH("Control CDI Plate 2: G11",'CONTROL MASTER'!$G$2:$G$495,0)),"")</f>
        <v/>
      </c>
      <c r="M21" s="9" t="str">
        <f>IFERROR(INDEX('CONTROL MASTER'!$Q$2:$Q$495,MATCH("Control CDI Plate 2: G12",'CONTROL MASTER'!$G$2:$G$495,0)),"")</f>
        <v/>
      </c>
    </row>
    <row r="22" spans="1:13" ht="15" customHeight="1" x14ac:dyDescent="0.35">
      <c r="A22" s="8" t="s">
        <v>35</v>
      </c>
      <c r="B22" s="9" t="str">
        <f>IFERROR(INDEX('CONTROL MASTER'!$Q$2:$Q$495,MATCH("Control CDI Plate 2: H1",'CONTROL MASTER'!$G$2:$G$495,0)),"")</f>
        <v/>
      </c>
      <c r="C22" s="9" t="str">
        <f>IFERROR(INDEX('CONTROL MASTER'!$Q$2:$Q$495,MATCH("Control CDI Plate 2: H2",'CONTROL MASTER'!$G$2:$G$495,0)),"")</f>
        <v/>
      </c>
      <c r="D22" s="9" t="str">
        <f>IFERROR(INDEX('CONTROL MASTER'!$Q$2:$Q$495,MATCH("Control CDI Plate 2: H3",'CONTROL MASTER'!$G$2:$G$495,0)),"")</f>
        <v/>
      </c>
      <c r="E22" s="9" t="str">
        <f>IFERROR(INDEX('CONTROL MASTER'!$Q$2:$Q$495,MATCH("Control CDI Plate 2: H4",'CONTROL MASTER'!$G$2:$G$495,0)),"")</f>
        <v/>
      </c>
      <c r="F22" s="9" t="str">
        <f>IFERROR(INDEX('CONTROL MASTER'!$Q$2:$Q$495,MATCH("Control CDI Plate 2: H5",'CONTROL MASTER'!$G$2:$G$495,0)),"")</f>
        <v/>
      </c>
      <c r="G22" s="9" t="str">
        <f>IFERROR(INDEX('CONTROL MASTER'!$Q$2:$Q$495,MATCH("Control CDI Plate 2: H6",'CONTROL MASTER'!$G$2:$G$495,0)),"")</f>
        <v/>
      </c>
      <c r="H22" s="9" t="str">
        <f>IFERROR(INDEX('CONTROL MASTER'!$Q$2:$Q$495,MATCH("Control CDI Plate 2: H7",'CONTROL MASTER'!$G$2:$G$495,0)),"")</f>
        <v/>
      </c>
      <c r="I22" s="9" t="str">
        <f>IFERROR(INDEX('CONTROL MASTER'!$Q$2:$Q$495,MATCH("Control CDI Plate 2: H8",'CONTROL MASTER'!$G$2:$G$495,0)),"")</f>
        <v/>
      </c>
      <c r="J22" s="9" t="str">
        <f>IFERROR(INDEX('CONTROL MASTER'!$Q$2:$Q$495,MATCH("Control CDI Plate 2: H9",'CONTROL MASTER'!$G$2:$G$495,0)),"")</f>
        <v/>
      </c>
      <c r="K22" s="9" t="str">
        <f>IFERROR(INDEX('CONTROL MASTER'!$Q$2:$Q$495,MATCH("Control CDI Plate 2: H10",'CONTROL MASTER'!$G$2:$G$495,0)),"")</f>
        <v/>
      </c>
      <c r="L22" s="9" t="str">
        <f>IFERROR(INDEX('CONTROL MASTER'!$Q$2:$Q$495,MATCH("Control CDI Plate 2: H11",'CONTROL MASTER'!$G$2:$G$495,0)),"")</f>
        <v/>
      </c>
      <c r="M22" s="9" t="str">
        <f>IFERROR(INDEX('CONTROL MASTER'!$Q$2:$Q$495,MATCH("Control CDI Plate 2: H12",'CONTROL MASTER'!$G$2:$G$495,0)),"")</f>
        <v/>
      </c>
    </row>
    <row r="25" spans="1:13" ht="15" customHeight="1" x14ac:dyDescent="0.35">
      <c r="A25" s="12" t="s">
        <v>114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</row>
    <row r="26" spans="1:13" ht="15" customHeight="1" x14ac:dyDescent="0.35">
      <c r="B26" s="8">
        <v>1</v>
      </c>
      <c r="C26" s="8">
        <v>2</v>
      </c>
      <c r="D26" s="8">
        <v>3</v>
      </c>
      <c r="E26" s="8">
        <v>4</v>
      </c>
      <c r="F26" s="8">
        <v>5</v>
      </c>
      <c r="G26" s="8">
        <v>6</v>
      </c>
      <c r="H26" s="8">
        <v>7</v>
      </c>
      <c r="I26" s="8">
        <v>8</v>
      </c>
      <c r="J26" s="8">
        <v>9</v>
      </c>
      <c r="K26" s="8">
        <v>10</v>
      </c>
      <c r="L26" s="8">
        <v>11</v>
      </c>
      <c r="M26" s="8">
        <v>12</v>
      </c>
    </row>
    <row r="27" spans="1:13" ht="15" customHeight="1" x14ac:dyDescent="0.35">
      <c r="A27" s="8" t="s">
        <v>28</v>
      </c>
      <c r="B27" s="9" t="str">
        <f>IFERROR(INDEX('CONTROL MASTER'!$Q$2:$Q$495,MATCH("Control CDI Plate 3: A1",'CONTROL MASTER'!$G$2:$G$495,0)),"")</f>
        <v/>
      </c>
      <c r="C27" s="9" t="str">
        <f>IFERROR(INDEX('CONTROL MASTER'!$Q$2:$Q$495,MATCH("Control CDI Plate 3: A2",'CONTROL MASTER'!$G$2:$G$495,0)),"")</f>
        <v/>
      </c>
      <c r="D27" s="9" t="str">
        <f>IFERROR(INDEX('CONTROL MASTER'!$Q$2:$Q$495,MATCH("Control CDI Plate 3: A3",'CONTROL MASTER'!$G$2:$G$495,0)),"")</f>
        <v/>
      </c>
      <c r="E27" s="9" t="str">
        <f>IFERROR(INDEX('CONTROL MASTER'!$Q$2:$Q$495,MATCH("Control CDI Plate 3: A4",'CONTROL MASTER'!$G$2:$G$495,0)),"")</f>
        <v/>
      </c>
      <c r="F27" s="9" t="str">
        <f>IFERROR(INDEX('CONTROL MASTER'!$Q$2:$Q$495,MATCH("Control CDI Plate 3: A5",'CONTROL MASTER'!$G$2:$G$495,0)),"")</f>
        <v/>
      </c>
      <c r="G27" s="9" t="str">
        <f>IFERROR(INDEX('CONTROL MASTER'!$Q$2:$Q$495,MATCH("Control CDI Plate 3: A6",'CONTROL MASTER'!$G$2:$G$495,0)),"")</f>
        <v/>
      </c>
      <c r="H27" s="9" t="str">
        <f>IFERROR(INDEX('CONTROL MASTER'!$Q$2:$Q$495,MATCH("Control CDI Plate 3: A7",'CONTROL MASTER'!$G$2:$G$495,0)),"")</f>
        <v/>
      </c>
      <c r="I27" s="9" t="str">
        <f>IFERROR(INDEX('CONTROL MASTER'!$Q$2:$Q$495,MATCH("Control CDI Plate 3: A8",'CONTROL MASTER'!$G$2:$G$495,0)),"")</f>
        <v/>
      </c>
      <c r="J27" s="9" t="str">
        <f>IFERROR(INDEX('CONTROL MASTER'!$Q$2:$Q$495,MATCH("Control CDI Plate 3: A9",'CONTROL MASTER'!$G$2:$G$495,0)),"")</f>
        <v/>
      </c>
      <c r="K27" s="9" t="str">
        <f>IFERROR(INDEX('CONTROL MASTER'!$Q$2:$Q$495,MATCH("Control CDI Plate 3: A10",'CONTROL MASTER'!$G$2:$G$495,0)),"")</f>
        <v/>
      </c>
      <c r="L27" s="9" t="str">
        <f>IFERROR(INDEX('CONTROL MASTER'!$Q$2:$Q$495,MATCH("Control CDI Plate 3: A11",'CONTROL MASTER'!$G$2:$G$495,0)),"")</f>
        <v/>
      </c>
      <c r="M27" s="9" t="str">
        <f>IFERROR(INDEX('CONTROL MASTER'!$Q$2:$Q$495,MATCH("Control CDI Plate 3: A12",'CONTROL MASTER'!$G$2:$G$495,0)),"")</f>
        <v/>
      </c>
    </row>
    <row r="28" spans="1:13" ht="15" customHeight="1" x14ac:dyDescent="0.35">
      <c r="A28" s="8" t="s">
        <v>29</v>
      </c>
      <c r="B28" s="9" t="str">
        <f>IFERROR(INDEX('CONTROL MASTER'!$Q$2:$Q$495,MATCH("Control CDI Plate 3: B1",'CONTROL MASTER'!$G$2:$G$495,0)),"")</f>
        <v/>
      </c>
      <c r="C28" s="9" t="str">
        <f>IFERROR(INDEX('CONTROL MASTER'!$Q$2:$Q$495,MATCH("Control CDI Plate 3: B2",'CONTROL MASTER'!$G$2:$G$495,0)),"")</f>
        <v/>
      </c>
      <c r="D28" s="9" t="str">
        <f>IFERROR(INDEX('CONTROL MASTER'!$Q$2:$Q$495,MATCH("Control CDI Plate 3: B3",'CONTROL MASTER'!$G$2:$G$495,0)),"")</f>
        <v/>
      </c>
      <c r="E28" s="9" t="str">
        <f>IFERROR(INDEX('CONTROL MASTER'!$Q$2:$Q$495,MATCH("Control CDI Plate 3: B4",'CONTROL MASTER'!$G$2:$G$495,0)),"")</f>
        <v/>
      </c>
      <c r="F28" s="9" t="str">
        <f>IFERROR(INDEX('CONTROL MASTER'!$Q$2:$Q$495,MATCH("Control CDI Plate 3: B5",'CONTROL MASTER'!$G$2:$G$495,0)),"")</f>
        <v/>
      </c>
      <c r="G28" s="9" t="str">
        <f>IFERROR(INDEX('CONTROL MASTER'!$Q$2:$Q$495,MATCH("Control CDI Plate 3: B6",'CONTROL MASTER'!$G$2:$G$495,0)),"")</f>
        <v/>
      </c>
      <c r="H28" s="9" t="str">
        <f>IFERROR(INDEX('CONTROL MASTER'!$Q$2:$Q$495,MATCH("Control CDI Plate 3: B7",'CONTROL MASTER'!$G$2:$G$495,0)),"")</f>
        <v/>
      </c>
      <c r="I28" s="9" t="str">
        <f>IFERROR(INDEX('CONTROL MASTER'!$Q$2:$Q$495,MATCH("Control CDI Plate 3: B8",'CONTROL MASTER'!$G$2:$G$495,0)),"")</f>
        <v/>
      </c>
      <c r="J28" s="9" t="str">
        <f>IFERROR(INDEX('CONTROL MASTER'!$Q$2:$Q$495,MATCH("Control CDI Plate 3: B9",'CONTROL MASTER'!$G$2:$G$495,0)),"")</f>
        <v/>
      </c>
      <c r="K28" s="9" t="str">
        <f>IFERROR(INDEX('CONTROL MASTER'!$Q$2:$Q$495,MATCH("Control CDI Plate 3: B10",'CONTROL MASTER'!$G$2:$G$495,0)),"")</f>
        <v/>
      </c>
      <c r="L28" s="9" t="str">
        <f>IFERROR(INDEX('CONTROL MASTER'!$Q$2:$Q$495,MATCH("Control CDI Plate 3: B11",'CONTROL MASTER'!$G$2:$G$495,0)),"")</f>
        <v/>
      </c>
      <c r="M28" s="9" t="str">
        <f>IFERROR(INDEX('CONTROL MASTER'!$Q$2:$Q$495,MATCH("Control CDI Plate 3: B12",'CONTROL MASTER'!$G$2:$G$495,0)),"")</f>
        <v/>
      </c>
    </row>
    <row r="29" spans="1:13" ht="15" customHeight="1" x14ac:dyDescent="0.35">
      <c r="A29" s="8" t="s">
        <v>30</v>
      </c>
      <c r="B29" s="9" t="str">
        <f>IFERROR(INDEX('CONTROL MASTER'!$Q$2:$Q$495,MATCH("Control CDI Plate 3: C1",'CONTROL MASTER'!$G$2:$G$495,0)),"")</f>
        <v/>
      </c>
      <c r="C29" s="9" t="str">
        <f>IFERROR(INDEX('CONTROL MASTER'!$Q$2:$Q$495,MATCH("Control CDI Plate 3: C2",'CONTROL MASTER'!$G$2:$G$495,0)),"")</f>
        <v/>
      </c>
      <c r="D29" s="9" t="str">
        <f>IFERROR(INDEX('CONTROL MASTER'!$Q$2:$Q$495,MATCH("Control CDI Plate 3: C3",'CONTROL MASTER'!$G$2:$G$495,0)),"")</f>
        <v/>
      </c>
      <c r="E29" s="9" t="str">
        <f>IFERROR(INDEX('CONTROL MASTER'!$Q$2:$Q$495,MATCH("Control CDI Plate 3: C4",'CONTROL MASTER'!$G$2:$G$495,0)),"")</f>
        <v/>
      </c>
      <c r="F29" s="9" t="str">
        <f>IFERROR(INDEX('CONTROL MASTER'!$Q$2:$Q$495,MATCH("Control CDI Plate 3: C5",'CONTROL MASTER'!$G$2:$G$495,0)),"")</f>
        <v/>
      </c>
      <c r="G29" s="9" t="str">
        <f>IFERROR(INDEX('CONTROL MASTER'!$Q$2:$Q$495,MATCH("Control CDI Plate 3: C6",'CONTROL MASTER'!$G$2:$G$495,0)),"")</f>
        <v/>
      </c>
      <c r="H29" s="9" t="str">
        <f>IFERROR(INDEX('CONTROL MASTER'!$Q$2:$Q$495,MATCH("Control CDI Plate 3: C7",'CONTROL MASTER'!$G$2:$G$495,0)),"")</f>
        <v/>
      </c>
      <c r="I29" s="9" t="str">
        <f>IFERROR(INDEX('CONTROL MASTER'!$Q$2:$Q$495,MATCH("Control CDI Plate 3: C8",'CONTROL MASTER'!$G$2:$G$495,0)),"")</f>
        <v/>
      </c>
      <c r="J29" s="9" t="str">
        <f>IFERROR(INDEX('CONTROL MASTER'!$Q$2:$Q$495,MATCH("Control CDI Plate 3: C9",'CONTROL MASTER'!$G$2:$G$495,0)),"")</f>
        <v/>
      </c>
      <c r="K29" s="9" t="str">
        <f>IFERROR(INDEX('CONTROL MASTER'!$Q$2:$Q$495,MATCH("Control CDI Plate 3: C10",'CONTROL MASTER'!$G$2:$G$495,0)),"")</f>
        <v/>
      </c>
      <c r="L29" s="9" t="str">
        <f>IFERROR(INDEX('CONTROL MASTER'!$Q$2:$Q$495,MATCH("Control CDI Plate 3: C11",'CONTROL MASTER'!$G$2:$G$495,0)),"")</f>
        <v/>
      </c>
      <c r="M29" s="9" t="str">
        <f>IFERROR(INDEX('CONTROL MASTER'!$Q$2:$Q$495,MATCH("Control CDI Plate 3: C12",'CONTROL MASTER'!$G$2:$G$495,0)),"")</f>
        <v/>
      </c>
    </row>
    <row r="30" spans="1:13" ht="15" customHeight="1" x14ac:dyDescent="0.35">
      <c r="A30" s="8" t="s">
        <v>31</v>
      </c>
      <c r="B30" s="9" t="str">
        <f>IFERROR(INDEX('CONTROL MASTER'!$Q$2:$Q$495,MATCH("Control CDI Plate 3: D1",'CONTROL MASTER'!$G$2:$G$495,0)),"")</f>
        <v/>
      </c>
      <c r="C30" s="9" t="str">
        <f>IFERROR(INDEX('CONTROL MASTER'!$Q$2:$Q$495,MATCH("Control CDI Plate 3: D2",'CONTROL MASTER'!$G$2:$G$495,0)),"")</f>
        <v/>
      </c>
      <c r="D30" s="9" t="str">
        <f>IFERROR(INDEX('CONTROL MASTER'!$Q$2:$Q$495,MATCH("Control CDI Plate 3: D3",'CONTROL MASTER'!$G$2:$G$495,0)),"")</f>
        <v/>
      </c>
      <c r="E30" s="9" t="str">
        <f>IFERROR(INDEX('CONTROL MASTER'!$Q$2:$Q$495,MATCH("Control CDI Plate 3: D4",'CONTROL MASTER'!$G$2:$G$495,0)),"")</f>
        <v/>
      </c>
      <c r="F30" s="9" t="str">
        <f>IFERROR(INDEX('CONTROL MASTER'!$Q$2:$Q$495,MATCH("Control CDI Plate 3: D5",'CONTROL MASTER'!$G$2:$G$495,0)),"")</f>
        <v/>
      </c>
      <c r="G30" s="9" t="str">
        <f>IFERROR(INDEX('CONTROL MASTER'!$Q$2:$Q$495,MATCH("Control CDI Plate 3: D6",'CONTROL MASTER'!$G$2:$G$495,0)),"")</f>
        <v/>
      </c>
      <c r="H30" s="9" t="str">
        <f>IFERROR(INDEX('CONTROL MASTER'!$Q$2:$Q$495,MATCH("Control CDI Plate 3: D7",'CONTROL MASTER'!$G$2:$G$495,0)),"")</f>
        <v/>
      </c>
      <c r="I30" s="9" t="str">
        <f>IFERROR(INDEX('CONTROL MASTER'!$Q$2:$Q$495,MATCH("Control CDI Plate 3: D8",'CONTROL MASTER'!$G$2:$G$495,0)),"")</f>
        <v/>
      </c>
      <c r="J30" s="9" t="str">
        <f>IFERROR(INDEX('CONTROL MASTER'!$Q$2:$Q$495,MATCH("Control CDI Plate 3: D9",'CONTROL MASTER'!$G$2:$G$495,0)),"")</f>
        <v/>
      </c>
      <c r="K30" s="9" t="str">
        <f>IFERROR(INDEX('CONTROL MASTER'!$Q$2:$Q$495,MATCH("Control CDI Plate 3: D10",'CONTROL MASTER'!$G$2:$G$495,0)),"")</f>
        <v/>
      </c>
      <c r="L30" s="9" t="str">
        <f>IFERROR(INDEX('CONTROL MASTER'!$Q$2:$Q$495,MATCH("Control CDI Plate 3: D11",'CONTROL MASTER'!$G$2:$G$495,0)),"")</f>
        <v/>
      </c>
      <c r="M30" s="9" t="str">
        <f>IFERROR(INDEX('CONTROL MASTER'!$Q$2:$Q$495,MATCH("Control CDI Plate 3: D12",'CONTROL MASTER'!$G$2:$G$495,0)),"")</f>
        <v/>
      </c>
    </row>
    <row r="31" spans="1:13" ht="15" customHeight="1" x14ac:dyDescent="0.35">
      <c r="A31" s="8" t="s">
        <v>32</v>
      </c>
      <c r="B31" s="9" t="str">
        <f>IFERROR(INDEX('CONTROL MASTER'!$Q$2:$Q$495,MATCH("Control CDI Plate 3: E1",'CONTROL MASTER'!$G$2:$G$495,0)),"")</f>
        <v/>
      </c>
      <c r="C31" s="9" t="str">
        <f>IFERROR(INDEX('CONTROL MASTER'!$Q$2:$Q$495,MATCH("Control CDI Plate 3: E2",'CONTROL MASTER'!$G$2:$G$495,0)),"")</f>
        <v/>
      </c>
      <c r="D31" s="9" t="str">
        <f>IFERROR(INDEX('CONTROL MASTER'!$Q$2:$Q$495,MATCH("Control CDI Plate 3: E3",'CONTROL MASTER'!$G$2:$G$495,0)),"")</f>
        <v/>
      </c>
      <c r="E31" s="9" t="str">
        <f>IFERROR(INDEX('CONTROL MASTER'!$Q$2:$Q$495,MATCH("Control CDI Plate 3: E4",'CONTROL MASTER'!$G$2:$G$495,0)),"")</f>
        <v/>
      </c>
      <c r="F31" s="9" t="str">
        <f>IFERROR(INDEX('CONTROL MASTER'!$Q$2:$Q$495,MATCH("Control CDI Plate 3: E5",'CONTROL MASTER'!$G$2:$G$495,0)),"")</f>
        <v/>
      </c>
      <c r="G31" s="9" t="str">
        <f>IFERROR(INDEX('CONTROL MASTER'!$Q$2:$Q$495,MATCH("Control CDI Plate 3: E6",'CONTROL MASTER'!$G$2:$G$495,0)),"")</f>
        <v/>
      </c>
      <c r="H31" s="9" t="str">
        <f>IFERROR(INDEX('CONTROL MASTER'!$Q$2:$Q$495,MATCH("Control CDI Plate 3: E7",'CONTROL MASTER'!$G$2:$G$495,0)),"")</f>
        <v/>
      </c>
      <c r="I31" s="9" t="str">
        <f>IFERROR(INDEX('CONTROL MASTER'!$Q$2:$Q$495,MATCH("Control CDI Plate 3: E8",'CONTROL MASTER'!$G$2:$G$495,0)),"")</f>
        <v/>
      </c>
      <c r="J31" s="9" t="str">
        <f>IFERROR(INDEX('CONTROL MASTER'!$Q$2:$Q$495,MATCH("Control CDI Plate 3: E9",'CONTROL MASTER'!$G$2:$G$495,0)),"")</f>
        <v/>
      </c>
      <c r="K31" s="9" t="str">
        <f>IFERROR(INDEX('CONTROL MASTER'!$Q$2:$Q$495,MATCH("Control CDI Plate 3: E10",'CONTROL MASTER'!$G$2:$G$495,0)),"")</f>
        <v/>
      </c>
      <c r="L31" s="9" t="str">
        <f>IFERROR(INDEX('CONTROL MASTER'!$Q$2:$Q$495,MATCH("Control CDI Plate 3: E11",'CONTROL MASTER'!$G$2:$G$495,0)),"")</f>
        <v/>
      </c>
      <c r="M31" s="9" t="str">
        <f>IFERROR(INDEX('CONTROL MASTER'!$Q$2:$Q$495,MATCH("Control CDI Plate 3: E12",'CONTROL MASTER'!$G$2:$G$495,0)),"")</f>
        <v/>
      </c>
    </row>
    <row r="32" spans="1:13" ht="15" customHeight="1" x14ac:dyDescent="0.35">
      <c r="A32" s="8" t="s">
        <v>33</v>
      </c>
      <c r="B32" s="9" t="str">
        <f>IFERROR(INDEX('CONTROL MASTER'!$Q$2:$Q$495,MATCH("Control CDI Plate 3: F1",'CONTROL MASTER'!$G$2:$G$495,0)),"")</f>
        <v/>
      </c>
      <c r="C32" s="9" t="str">
        <f>IFERROR(INDEX('CONTROL MASTER'!$Q$2:$Q$495,MATCH("Control CDI Plate 3: F2",'CONTROL MASTER'!$G$2:$G$495,0)),"")</f>
        <v/>
      </c>
      <c r="D32" s="9" t="str">
        <f>IFERROR(INDEX('CONTROL MASTER'!$Q$2:$Q$495,MATCH("Control CDI Plate 3: F3",'CONTROL MASTER'!$G$2:$G$495,0)),"")</f>
        <v/>
      </c>
      <c r="E32" s="9" t="str">
        <f>IFERROR(INDEX('CONTROL MASTER'!$Q$2:$Q$495,MATCH("Control CDI Plate 3: F4",'CONTROL MASTER'!$G$2:$G$495,0)),"")</f>
        <v/>
      </c>
      <c r="F32" s="9" t="str">
        <f>IFERROR(INDEX('CONTROL MASTER'!$Q$2:$Q$495,MATCH("Control CDI Plate 3: F5",'CONTROL MASTER'!$G$2:$G$495,0)),"")</f>
        <v/>
      </c>
      <c r="G32" s="9" t="str">
        <f>IFERROR(INDEX('CONTROL MASTER'!$Q$2:$Q$495,MATCH("Control CDI Plate 3: F6",'CONTROL MASTER'!$G$2:$G$495,0)),"")</f>
        <v/>
      </c>
      <c r="H32" s="9" t="str">
        <f>IFERROR(INDEX('CONTROL MASTER'!$Q$2:$Q$495,MATCH("Control CDI Plate 3: F7",'CONTROL MASTER'!$G$2:$G$495,0)),"")</f>
        <v/>
      </c>
      <c r="I32" s="9" t="str">
        <f>IFERROR(INDEX('CONTROL MASTER'!$Q$2:$Q$495,MATCH("Control CDI Plate 3: F8",'CONTROL MASTER'!$G$2:$G$495,0)),"")</f>
        <v/>
      </c>
      <c r="J32" s="9" t="str">
        <f>IFERROR(INDEX('CONTROL MASTER'!$Q$2:$Q$495,MATCH("Control CDI Plate 3: F9",'CONTROL MASTER'!$G$2:$G$495,0)),"")</f>
        <v/>
      </c>
      <c r="K32" s="9" t="str">
        <f>IFERROR(INDEX('CONTROL MASTER'!$Q$2:$Q$495,MATCH("Control CDI Plate 3: F10",'CONTROL MASTER'!$G$2:$G$495,0)),"")</f>
        <v/>
      </c>
      <c r="L32" s="9" t="str">
        <f>IFERROR(INDEX('CONTROL MASTER'!$Q$2:$Q$495,MATCH("Control CDI Plate 3: F11",'CONTROL MASTER'!$G$2:$G$495,0)),"")</f>
        <v/>
      </c>
      <c r="M32" s="9" t="str">
        <f>IFERROR(INDEX('CONTROL MASTER'!$Q$2:$Q$495,MATCH("Control CDI Plate 3: F12",'CONTROL MASTER'!$G$2:$G$495,0)),"")</f>
        <v/>
      </c>
    </row>
    <row r="33" spans="1:13" ht="15" customHeight="1" x14ac:dyDescent="0.35">
      <c r="A33" s="8" t="s">
        <v>34</v>
      </c>
      <c r="B33" s="9" t="str">
        <f>IFERROR(INDEX('CONTROL MASTER'!$Q$2:$Q$495,MATCH("Control CDI Plate 3: G1",'CONTROL MASTER'!$G$2:$G$495,0)),"")</f>
        <v/>
      </c>
      <c r="C33" s="9" t="str">
        <f>IFERROR(INDEX('CONTROL MASTER'!$Q$2:$Q$495,MATCH("Control CDI Plate 3: G2",'CONTROL MASTER'!$G$2:$G$495,0)),"")</f>
        <v/>
      </c>
      <c r="D33" s="9" t="str">
        <f>IFERROR(INDEX('CONTROL MASTER'!$Q$2:$Q$495,MATCH("Control CDI Plate 3: G3",'CONTROL MASTER'!$G$2:$G$495,0)),"")</f>
        <v/>
      </c>
      <c r="E33" s="9" t="str">
        <f>IFERROR(INDEX('CONTROL MASTER'!$Q$2:$Q$495,MATCH("Control CDI Plate 3: G4",'CONTROL MASTER'!$G$2:$G$495,0)),"")</f>
        <v/>
      </c>
      <c r="F33" s="9" t="str">
        <f>IFERROR(INDEX('CONTROL MASTER'!$Q$2:$Q$495,MATCH("Control CDI Plate 3: G5",'CONTROL MASTER'!$G$2:$G$495,0)),"")</f>
        <v/>
      </c>
      <c r="G33" s="9" t="str">
        <f>IFERROR(INDEX('CONTROL MASTER'!$Q$2:$Q$495,MATCH("Control CDI Plate 3: G6",'CONTROL MASTER'!$G$2:$G$495,0)),"")</f>
        <v/>
      </c>
      <c r="H33" s="9" t="str">
        <f>IFERROR(INDEX('CONTROL MASTER'!$Q$2:$Q$495,MATCH("Control CDI Plate 3: G7",'CONTROL MASTER'!$G$2:$G$495,0)),"")</f>
        <v/>
      </c>
      <c r="I33" s="9" t="str">
        <f>IFERROR(INDEX('CONTROL MASTER'!$Q$2:$Q$495,MATCH("Control CDI Plate 3: G8",'CONTROL MASTER'!$G$2:$G$495,0)),"")</f>
        <v/>
      </c>
      <c r="J33" s="9" t="str">
        <f>IFERROR(INDEX('CONTROL MASTER'!$Q$2:$Q$495,MATCH("Control CDI Plate 3: G9",'CONTROL MASTER'!$G$2:$G$495,0)),"")</f>
        <v/>
      </c>
      <c r="K33" s="9" t="str">
        <f>IFERROR(INDEX('CONTROL MASTER'!$Q$2:$Q$495,MATCH("Control CDI Plate 3: G10",'CONTROL MASTER'!$G$2:$G$495,0)),"")</f>
        <v/>
      </c>
      <c r="L33" s="9" t="str">
        <f>IFERROR(INDEX('CONTROL MASTER'!$Q$2:$Q$495,MATCH("Control CDI Plate 3: G11",'CONTROL MASTER'!$G$2:$G$495,0)),"")</f>
        <v/>
      </c>
      <c r="M33" s="9" t="str">
        <f>IFERROR(INDEX('CONTROL MASTER'!$Q$2:$Q$495,MATCH("Control CDI Plate 3: G12",'CONTROL MASTER'!$G$2:$G$495,0)),"")</f>
        <v/>
      </c>
    </row>
    <row r="34" spans="1:13" ht="15" customHeight="1" x14ac:dyDescent="0.35">
      <c r="A34" s="8" t="s">
        <v>35</v>
      </c>
      <c r="B34" s="9" t="str">
        <f>IFERROR(INDEX('CONTROL MASTER'!$Q$2:$Q$495,MATCH("Control CDI Plate 3: H1",'CONTROL MASTER'!$G$2:$G$495,0)),"")</f>
        <v/>
      </c>
      <c r="C34" s="9" t="str">
        <f>IFERROR(INDEX('CONTROL MASTER'!$Q$2:$Q$495,MATCH("Control CDI Plate 3: H2",'CONTROL MASTER'!$G$2:$G$495,0)),"")</f>
        <v/>
      </c>
      <c r="D34" s="9" t="str">
        <f>IFERROR(INDEX('CONTROL MASTER'!$Q$2:$Q$495,MATCH("Control CDI Plate 3: H3",'CONTROL MASTER'!$G$2:$G$495,0)),"")</f>
        <v/>
      </c>
      <c r="E34" s="9" t="str">
        <f>IFERROR(INDEX('CONTROL MASTER'!$Q$2:$Q$495,MATCH("Control CDI Plate 3: H4",'CONTROL MASTER'!$G$2:$G$495,0)),"")</f>
        <v/>
      </c>
      <c r="F34" s="9" t="str">
        <f>IFERROR(INDEX('CONTROL MASTER'!$Q$2:$Q$495,MATCH("Control CDI Plate 3: H5",'CONTROL MASTER'!$G$2:$G$495,0)),"")</f>
        <v/>
      </c>
      <c r="G34" s="9" t="str">
        <f>IFERROR(INDEX('CONTROL MASTER'!$Q$2:$Q$495,MATCH("Control CDI Plate 3: H6",'CONTROL MASTER'!$G$2:$G$495,0)),"")</f>
        <v/>
      </c>
      <c r="H34" s="9" t="str">
        <f>IFERROR(INDEX('CONTROL MASTER'!$Q$2:$Q$495,MATCH("Control CDI Plate 3: H7",'CONTROL MASTER'!$G$2:$G$495,0)),"")</f>
        <v/>
      </c>
      <c r="I34" s="9" t="str">
        <f>IFERROR(INDEX('CONTROL MASTER'!$Q$2:$Q$495,MATCH("Control CDI Plate 3: H8",'CONTROL MASTER'!$G$2:$G$495,0)),"")</f>
        <v/>
      </c>
      <c r="J34" s="9" t="str">
        <f>IFERROR(INDEX('CONTROL MASTER'!$Q$2:$Q$495,MATCH("Control CDI Plate 3: H9",'CONTROL MASTER'!$G$2:$G$495,0)),"")</f>
        <v/>
      </c>
      <c r="K34" s="9" t="str">
        <f>IFERROR(INDEX('CONTROL MASTER'!$Q$2:$Q$495,MATCH("Control CDI Plate 3: H10",'CONTROL MASTER'!$G$2:$G$495,0)),"")</f>
        <v/>
      </c>
      <c r="L34" s="9" t="str">
        <f>IFERROR(INDEX('CONTROL MASTER'!$Q$2:$Q$495,MATCH("Control CDI Plate 3: H11",'CONTROL MASTER'!$G$2:$G$495,0)),"")</f>
        <v/>
      </c>
      <c r="M34" s="9" t="str">
        <f>IFERROR(INDEX('CONTROL MASTER'!$Q$2:$Q$495,MATCH("Control CDI Plate 3: H12",'CONTROL MASTER'!$G$2:$G$495,0)),"")</f>
        <v/>
      </c>
    </row>
    <row r="37" spans="1:13" ht="15" customHeight="1" x14ac:dyDescent="0.35">
      <c r="A37" s="12" t="s">
        <v>115</v>
      </c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</row>
    <row r="38" spans="1:13" ht="15" customHeight="1" x14ac:dyDescent="0.35">
      <c r="B38" s="8">
        <v>1</v>
      </c>
      <c r="C38" s="8">
        <v>2</v>
      </c>
      <c r="D38" s="8">
        <v>3</v>
      </c>
      <c r="E38" s="8">
        <v>4</v>
      </c>
      <c r="F38" s="8">
        <v>5</v>
      </c>
      <c r="G38" s="8">
        <v>6</v>
      </c>
      <c r="H38" s="8">
        <v>7</v>
      </c>
      <c r="I38" s="8">
        <v>8</v>
      </c>
      <c r="J38" s="8">
        <v>9</v>
      </c>
      <c r="K38" s="8">
        <v>10</v>
      </c>
      <c r="L38" s="8">
        <v>11</v>
      </c>
      <c r="M38" s="8">
        <v>12</v>
      </c>
    </row>
    <row r="39" spans="1:13" ht="15" customHeight="1" x14ac:dyDescent="0.35">
      <c r="A39" s="8" t="s">
        <v>28</v>
      </c>
      <c r="B39" s="9" t="str">
        <f>IFERROR(INDEX('CONTROL MASTER'!$Q$2:$Q$495,MATCH("Control CDI Plate 4: A1",'CONTROL MASTER'!$G$2:$G$495,0)),"")</f>
        <v/>
      </c>
      <c r="C39" s="9" t="str">
        <f>IFERROR(INDEX('CONTROL MASTER'!$Q$2:$Q$495,MATCH("Control CDI Plate 4: A2",'CONTROL MASTER'!$G$2:$G$495,0)),"")</f>
        <v/>
      </c>
      <c r="D39" s="9" t="str">
        <f>IFERROR(INDEX('CONTROL MASTER'!$Q$2:$Q$495,MATCH("Control CDI Plate 4: A3",'CONTROL MASTER'!$G$2:$G$495,0)),"")</f>
        <v/>
      </c>
      <c r="E39" s="9" t="str">
        <f>IFERROR(INDEX('CONTROL MASTER'!$Q$2:$Q$495,MATCH("Control CDI Plate 4: A4",'CONTROL MASTER'!$G$2:$G$495,0)),"")</f>
        <v/>
      </c>
      <c r="F39" s="9" t="str">
        <f>IFERROR(INDEX('CONTROL MASTER'!$Q$2:$Q$495,MATCH("Control CDI Plate 4: A5",'CONTROL MASTER'!$G$2:$G$495,0)),"")</f>
        <v/>
      </c>
      <c r="G39" s="9" t="str">
        <f>IFERROR(INDEX('CONTROL MASTER'!$Q$2:$Q$495,MATCH("Control CDI Plate 4: A6",'CONTROL MASTER'!$G$2:$G$495,0)),"")</f>
        <v/>
      </c>
      <c r="H39" s="9" t="str">
        <f>IFERROR(INDEX('CONTROL MASTER'!$Q$2:$Q$495,MATCH("Control CDI Plate 4: A7",'CONTROL MASTER'!$G$2:$G$495,0)),"")</f>
        <v/>
      </c>
      <c r="I39" s="9" t="str">
        <f>IFERROR(INDEX('CONTROL MASTER'!$Q$2:$Q$495,MATCH("Control CDI Plate 4: A8",'CONTROL MASTER'!$G$2:$G$495,0)),"")</f>
        <v/>
      </c>
      <c r="J39" s="9" t="str">
        <f>IFERROR(INDEX('CONTROL MASTER'!$Q$2:$Q$495,MATCH("Control CDI Plate 4: A9",'CONTROL MASTER'!$G$2:$G$495,0)),"")</f>
        <v/>
      </c>
      <c r="K39" s="9" t="str">
        <f>IFERROR(INDEX('CONTROL MASTER'!$Q$2:$Q$495,MATCH("Control CDI Plate 4: A10",'CONTROL MASTER'!$G$2:$G$495,0)),"")</f>
        <v/>
      </c>
      <c r="L39" s="9" t="str">
        <f>IFERROR(INDEX('CONTROL MASTER'!$Q$2:$Q$495,MATCH("Control CDI Plate 4: A11",'CONTROL MASTER'!$G$2:$G$495,0)),"")</f>
        <v/>
      </c>
      <c r="M39" s="9" t="str">
        <f>IFERROR(INDEX('CONTROL MASTER'!$Q$2:$Q$495,MATCH("Control CDI Plate 4: A12",'CONTROL MASTER'!$G$2:$G$495,0)),"")</f>
        <v/>
      </c>
    </row>
    <row r="40" spans="1:13" ht="15" customHeight="1" x14ac:dyDescent="0.35">
      <c r="A40" s="8" t="s">
        <v>29</v>
      </c>
      <c r="B40" s="9" t="str">
        <f>IFERROR(INDEX('CONTROL MASTER'!$Q$2:$Q$495,MATCH("Control CDI Plate 4: B1",'CONTROL MASTER'!$G$2:$G$495,0)),"")</f>
        <v/>
      </c>
      <c r="C40" s="9" t="str">
        <f>IFERROR(INDEX('CONTROL MASTER'!$Q$2:$Q$495,MATCH("Control CDI Plate 4: B2",'CONTROL MASTER'!$G$2:$G$495,0)),"")</f>
        <v/>
      </c>
      <c r="D40" s="9" t="str">
        <f>IFERROR(INDEX('CONTROL MASTER'!$Q$2:$Q$495,MATCH("Control CDI Plate 4: B3",'CONTROL MASTER'!$G$2:$G$495,0)),"")</f>
        <v/>
      </c>
      <c r="E40" s="9" t="str">
        <f>IFERROR(INDEX('CONTROL MASTER'!$Q$2:$Q$495,MATCH("Control CDI Plate 4: B4",'CONTROL MASTER'!$G$2:$G$495,0)),"")</f>
        <v/>
      </c>
      <c r="F40" s="9" t="str">
        <f>IFERROR(INDEX('CONTROL MASTER'!$Q$2:$Q$495,MATCH("Control CDI Plate 4: B5",'CONTROL MASTER'!$G$2:$G$495,0)),"")</f>
        <v/>
      </c>
      <c r="G40" s="9" t="str">
        <f>IFERROR(INDEX('CONTROL MASTER'!$Q$2:$Q$495,MATCH("Control CDI Plate 4: B6",'CONTROL MASTER'!$G$2:$G$495,0)),"")</f>
        <v/>
      </c>
      <c r="H40" s="9" t="str">
        <f>IFERROR(INDEX('CONTROL MASTER'!$Q$2:$Q$495,MATCH("Control CDI Plate 4: B7",'CONTROL MASTER'!$G$2:$G$495,0)),"")</f>
        <v/>
      </c>
      <c r="I40" s="9" t="str">
        <f>IFERROR(INDEX('CONTROL MASTER'!$Q$2:$Q$495,MATCH("Control CDI Plate 4: B8",'CONTROL MASTER'!$G$2:$G$495,0)),"")</f>
        <v/>
      </c>
      <c r="J40" s="9" t="str">
        <f>IFERROR(INDEX('CONTROL MASTER'!$Q$2:$Q$495,MATCH("Control CDI Plate 4: B9",'CONTROL MASTER'!$G$2:$G$495,0)),"")</f>
        <v/>
      </c>
      <c r="K40" s="9" t="str">
        <f>IFERROR(INDEX('CONTROL MASTER'!$Q$2:$Q$495,MATCH("Control CDI Plate 4: B10",'CONTROL MASTER'!$G$2:$G$495,0)),"")</f>
        <v/>
      </c>
      <c r="L40" s="9" t="str">
        <f>IFERROR(INDEX('CONTROL MASTER'!$Q$2:$Q$495,MATCH("Control CDI Plate 4: B11",'CONTROL MASTER'!$G$2:$G$495,0)),"")</f>
        <v/>
      </c>
      <c r="M40" s="9" t="str">
        <f>IFERROR(INDEX('CONTROL MASTER'!$Q$2:$Q$495,MATCH("Control CDI Plate 4: B12",'CONTROL MASTER'!$G$2:$G$495,0)),"")</f>
        <v/>
      </c>
    </row>
    <row r="41" spans="1:13" ht="15" customHeight="1" x14ac:dyDescent="0.35">
      <c r="A41" s="8" t="s">
        <v>30</v>
      </c>
      <c r="B41" s="9" t="str">
        <f>IFERROR(INDEX('CONTROL MASTER'!$Q$2:$Q$495,MATCH("Control CDI Plate 4: C1",'CONTROL MASTER'!$G$2:$G$495,0)),"")</f>
        <v/>
      </c>
      <c r="C41" s="9" t="str">
        <f>IFERROR(INDEX('CONTROL MASTER'!$Q$2:$Q$495,MATCH("Control CDI Plate 4: C2",'CONTROL MASTER'!$G$2:$G$495,0)),"")</f>
        <v/>
      </c>
      <c r="D41" s="9" t="str">
        <f>IFERROR(INDEX('CONTROL MASTER'!$Q$2:$Q$495,MATCH("Control CDI Plate 4: C3",'CONTROL MASTER'!$G$2:$G$495,0)),"")</f>
        <v/>
      </c>
      <c r="E41" s="9" t="str">
        <f>IFERROR(INDEX('CONTROL MASTER'!$Q$2:$Q$495,MATCH("Control CDI Plate 4: C4",'CONTROL MASTER'!$G$2:$G$495,0)),"")</f>
        <v/>
      </c>
      <c r="F41" s="9" t="str">
        <f>IFERROR(INDEX('CONTROL MASTER'!$Q$2:$Q$495,MATCH("Control CDI Plate 4: C5",'CONTROL MASTER'!$G$2:$G$495,0)),"")</f>
        <v/>
      </c>
      <c r="G41" s="9" t="str">
        <f>IFERROR(INDEX('CONTROL MASTER'!$Q$2:$Q$495,MATCH("Control CDI Plate 4: C6",'CONTROL MASTER'!$G$2:$G$495,0)),"")</f>
        <v/>
      </c>
      <c r="H41" s="9" t="str">
        <f>IFERROR(INDEX('CONTROL MASTER'!$Q$2:$Q$495,MATCH("Control CDI Plate 4: C7",'CONTROL MASTER'!$G$2:$G$495,0)),"")</f>
        <v/>
      </c>
      <c r="I41" s="9" t="str">
        <f>IFERROR(INDEX('CONTROL MASTER'!$Q$2:$Q$495,MATCH("Control CDI Plate 4: C8",'CONTROL MASTER'!$G$2:$G$495,0)),"")</f>
        <v/>
      </c>
      <c r="J41" s="9" t="str">
        <f>IFERROR(INDEX('CONTROL MASTER'!$Q$2:$Q$495,MATCH("Control CDI Plate 4: C9",'CONTROL MASTER'!$G$2:$G$495,0)),"")</f>
        <v/>
      </c>
      <c r="K41" s="9" t="str">
        <f>IFERROR(INDEX('CONTROL MASTER'!$Q$2:$Q$495,MATCH("Control CDI Plate 4: C10",'CONTROL MASTER'!$G$2:$G$495,0)),"")</f>
        <v/>
      </c>
      <c r="L41" s="9" t="str">
        <f>IFERROR(INDEX('CONTROL MASTER'!$Q$2:$Q$495,MATCH("Control CDI Plate 4: C11",'CONTROL MASTER'!$G$2:$G$495,0)),"")</f>
        <v/>
      </c>
      <c r="M41" s="9" t="str">
        <f>IFERROR(INDEX('CONTROL MASTER'!$Q$2:$Q$495,MATCH("Control CDI Plate 4: C12",'CONTROL MASTER'!$G$2:$G$495,0)),"")</f>
        <v/>
      </c>
    </row>
    <row r="42" spans="1:13" ht="15" customHeight="1" x14ac:dyDescent="0.35">
      <c r="A42" s="8" t="s">
        <v>31</v>
      </c>
      <c r="B42" s="9" t="str">
        <f>IFERROR(INDEX('CONTROL MASTER'!$Q$2:$Q$495,MATCH("Control CDI Plate 4: D1",'CONTROL MASTER'!$G$2:$G$495,0)),"")</f>
        <v/>
      </c>
      <c r="C42" s="9" t="str">
        <f>IFERROR(INDEX('CONTROL MASTER'!$Q$2:$Q$495,MATCH("Control CDI Plate 4: D2",'CONTROL MASTER'!$G$2:$G$495,0)),"")</f>
        <v/>
      </c>
      <c r="D42" s="9" t="str">
        <f>IFERROR(INDEX('CONTROL MASTER'!$Q$2:$Q$495,MATCH("Control CDI Plate 4: D3",'CONTROL MASTER'!$G$2:$G$495,0)),"")</f>
        <v/>
      </c>
      <c r="E42" s="9" t="str">
        <f>IFERROR(INDEX('CONTROL MASTER'!$Q$2:$Q$495,MATCH("Control CDI Plate 4: D4",'CONTROL MASTER'!$G$2:$G$495,0)),"")</f>
        <v/>
      </c>
      <c r="F42" s="9" t="str">
        <f>IFERROR(INDEX('CONTROL MASTER'!$Q$2:$Q$495,MATCH("Control CDI Plate 4: D5",'CONTROL MASTER'!$G$2:$G$495,0)),"")</f>
        <v/>
      </c>
      <c r="G42" s="9" t="str">
        <f>IFERROR(INDEX('CONTROL MASTER'!$Q$2:$Q$495,MATCH("Control CDI Plate 4: D6",'CONTROL MASTER'!$G$2:$G$495,0)),"")</f>
        <v/>
      </c>
      <c r="H42" s="9" t="str">
        <f>IFERROR(INDEX('CONTROL MASTER'!$Q$2:$Q$495,MATCH("Control CDI Plate 4: D7",'CONTROL MASTER'!$G$2:$G$495,0)),"")</f>
        <v/>
      </c>
      <c r="I42" s="9" t="str">
        <f>IFERROR(INDEX('CONTROL MASTER'!$Q$2:$Q$495,MATCH("Control CDI Plate 4: D8",'CONTROL MASTER'!$G$2:$G$495,0)),"")</f>
        <v/>
      </c>
      <c r="J42" s="9" t="str">
        <f>IFERROR(INDEX('CONTROL MASTER'!$Q$2:$Q$495,MATCH("Control CDI Plate 4: D9",'CONTROL MASTER'!$G$2:$G$495,0)),"")</f>
        <v/>
      </c>
      <c r="K42" s="9" t="str">
        <f>IFERROR(INDEX('CONTROL MASTER'!$Q$2:$Q$495,MATCH("Control CDI Plate 4: D10",'CONTROL MASTER'!$G$2:$G$495,0)),"")</f>
        <v/>
      </c>
      <c r="L42" s="9" t="str">
        <f>IFERROR(INDEX('CONTROL MASTER'!$Q$2:$Q$495,MATCH("Control CDI Plate 4: D11",'CONTROL MASTER'!$G$2:$G$495,0)),"")</f>
        <v/>
      </c>
      <c r="M42" s="9" t="str">
        <f>IFERROR(INDEX('CONTROL MASTER'!$Q$2:$Q$495,MATCH("Control CDI Plate 4: D12",'CONTROL MASTER'!$G$2:$G$495,0)),"")</f>
        <v/>
      </c>
    </row>
    <row r="43" spans="1:13" ht="15" customHeight="1" x14ac:dyDescent="0.35">
      <c r="A43" s="8" t="s">
        <v>32</v>
      </c>
      <c r="B43" s="9" t="str">
        <f>IFERROR(INDEX('CONTROL MASTER'!$Q$2:$Q$495,MATCH("Control CDI Plate 4: E1",'CONTROL MASTER'!$G$2:$G$495,0)),"")</f>
        <v/>
      </c>
      <c r="C43" s="9" t="str">
        <f>IFERROR(INDEX('CONTROL MASTER'!$Q$2:$Q$495,MATCH("Control CDI Plate 4: E2",'CONTROL MASTER'!$G$2:$G$495,0)),"")</f>
        <v/>
      </c>
      <c r="D43" s="9" t="str">
        <f>IFERROR(INDEX('CONTROL MASTER'!$Q$2:$Q$495,MATCH("Control CDI Plate 4: E3",'CONTROL MASTER'!$G$2:$G$495,0)),"")</f>
        <v/>
      </c>
      <c r="E43" s="9" t="str">
        <f>IFERROR(INDEX('CONTROL MASTER'!$Q$2:$Q$495,MATCH("Control CDI Plate 4: E4",'CONTROL MASTER'!$G$2:$G$495,0)),"")</f>
        <v/>
      </c>
      <c r="F43" s="9" t="str">
        <f>IFERROR(INDEX('CONTROL MASTER'!$Q$2:$Q$495,MATCH("Control CDI Plate 4: E5",'CONTROL MASTER'!$G$2:$G$495,0)),"")</f>
        <v/>
      </c>
      <c r="G43" s="9" t="str">
        <f>IFERROR(INDEX('CONTROL MASTER'!$Q$2:$Q$495,MATCH("Control CDI Plate 4: E6",'CONTROL MASTER'!$G$2:$G$495,0)),"")</f>
        <v/>
      </c>
      <c r="H43" s="9" t="str">
        <f>IFERROR(INDEX('CONTROL MASTER'!$Q$2:$Q$495,MATCH("Control CDI Plate 4: E7",'CONTROL MASTER'!$G$2:$G$495,0)),"")</f>
        <v/>
      </c>
      <c r="I43" s="9" t="str">
        <f>IFERROR(INDEX('CONTROL MASTER'!$Q$2:$Q$495,MATCH("Control CDI Plate 4: E8",'CONTROL MASTER'!$G$2:$G$495,0)),"")</f>
        <v/>
      </c>
      <c r="J43" s="9" t="str">
        <f>IFERROR(INDEX('CONTROL MASTER'!$Q$2:$Q$495,MATCH("Control CDI Plate 4: E9",'CONTROL MASTER'!$G$2:$G$495,0)),"")</f>
        <v/>
      </c>
      <c r="K43" s="9" t="str">
        <f>IFERROR(INDEX('CONTROL MASTER'!$Q$2:$Q$495,MATCH("Control CDI Plate 4: E10",'CONTROL MASTER'!$G$2:$G$495,0)),"")</f>
        <v/>
      </c>
      <c r="L43" s="9" t="str">
        <f>IFERROR(INDEX('CONTROL MASTER'!$Q$2:$Q$495,MATCH("Control CDI Plate 4: E11",'CONTROL MASTER'!$G$2:$G$495,0)),"")</f>
        <v/>
      </c>
      <c r="M43" s="9" t="str">
        <f>IFERROR(INDEX('CONTROL MASTER'!$Q$2:$Q$495,MATCH("Control CDI Plate 4: E12",'CONTROL MASTER'!$G$2:$G$495,0)),"")</f>
        <v/>
      </c>
    </row>
    <row r="44" spans="1:13" ht="15" customHeight="1" x14ac:dyDescent="0.35">
      <c r="A44" s="8" t="s">
        <v>33</v>
      </c>
      <c r="B44" s="9" t="str">
        <f>IFERROR(INDEX('CONTROL MASTER'!$Q$2:$Q$495,MATCH("Control CDI Plate 4: F1",'CONTROL MASTER'!$G$2:$G$495,0)),"")</f>
        <v/>
      </c>
      <c r="C44" s="9" t="str">
        <f>IFERROR(INDEX('CONTROL MASTER'!$Q$2:$Q$495,MATCH("Control CDI Plate 4: F2",'CONTROL MASTER'!$G$2:$G$495,0)),"")</f>
        <v/>
      </c>
      <c r="D44" s="9" t="str">
        <f>IFERROR(INDEX('CONTROL MASTER'!$Q$2:$Q$495,MATCH("Control CDI Plate 4: F3",'CONTROL MASTER'!$G$2:$G$495,0)),"")</f>
        <v/>
      </c>
      <c r="E44" s="9" t="str">
        <f>IFERROR(INDEX('CONTROL MASTER'!$Q$2:$Q$495,MATCH("Control CDI Plate 4: F4",'CONTROL MASTER'!$G$2:$G$495,0)),"")</f>
        <v/>
      </c>
      <c r="F44" s="9" t="str">
        <f>IFERROR(INDEX('CONTROL MASTER'!$Q$2:$Q$495,MATCH("Control CDI Plate 4: F5",'CONTROL MASTER'!$G$2:$G$495,0)),"")</f>
        <v/>
      </c>
      <c r="G44" s="9" t="str">
        <f>IFERROR(INDEX('CONTROL MASTER'!$Q$2:$Q$495,MATCH("Control CDI Plate 4: F6",'CONTROL MASTER'!$G$2:$G$495,0)),"")</f>
        <v/>
      </c>
      <c r="H44" s="9" t="str">
        <f>IFERROR(INDEX('CONTROL MASTER'!$Q$2:$Q$495,MATCH("Control CDI Plate 4: F7",'CONTROL MASTER'!$G$2:$G$495,0)),"")</f>
        <v/>
      </c>
      <c r="I44" s="9" t="str">
        <f>IFERROR(INDEX('CONTROL MASTER'!$Q$2:$Q$495,MATCH("Control CDI Plate 4: F8",'CONTROL MASTER'!$G$2:$G$495,0)),"")</f>
        <v/>
      </c>
      <c r="J44" s="9" t="str">
        <f>IFERROR(INDEX('CONTROL MASTER'!$Q$2:$Q$495,MATCH("Control CDI Plate 4: F9",'CONTROL MASTER'!$G$2:$G$495,0)),"")</f>
        <v/>
      </c>
      <c r="K44" s="9" t="str">
        <f>IFERROR(INDEX('CONTROL MASTER'!$Q$2:$Q$495,MATCH("Control CDI Plate 4: F10",'CONTROL MASTER'!$G$2:$G$495,0)),"")</f>
        <v/>
      </c>
      <c r="L44" s="9" t="str">
        <f>IFERROR(INDEX('CONTROL MASTER'!$Q$2:$Q$495,MATCH("Control CDI Plate 4: F11",'CONTROL MASTER'!$G$2:$G$495,0)),"")</f>
        <v/>
      </c>
      <c r="M44" s="9" t="str">
        <f>IFERROR(INDEX('CONTROL MASTER'!$Q$2:$Q$495,MATCH("Control CDI Plate 4: F12",'CONTROL MASTER'!$G$2:$G$495,0)),"")</f>
        <v/>
      </c>
    </row>
    <row r="45" spans="1:13" ht="15" customHeight="1" x14ac:dyDescent="0.35">
      <c r="A45" s="8" t="s">
        <v>34</v>
      </c>
      <c r="B45" s="9" t="str">
        <f>IFERROR(INDEX('CONTROL MASTER'!$Q$2:$Q$495,MATCH("Control CDI Plate 4: G1",'CONTROL MASTER'!$G$2:$G$495,0)),"")</f>
        <v/>
      </c>
      <c r="C45" s="9" t="str">
        <f>IFERROR(INDEX('CONTROL MASTER'!$Q$2:$Q$495,MATCH("Control CDI Plate 4: G2",'CONTROL MASTER'!$G$2:$G$495,0)),"")</f>
        <v/>
      </c>
      <c r="D45" s="9" t="str">
        <f>IFERROR(INDEX('CONTROL MASTER'!$Q$2:$Q$495,MATCH("Control CDI Plate 4: G3",'CONTROL MASTER'!$G$2:$G$495,0)),"")</f>
        <v/>
      </c>
      <c r="E45" s="9" t="str">
        <f>IFERROR(INDEX('CONTROL MASTER'!$Q$2:$Q$495,MATCH("Control CDI Plate 4: G4",'CONTROL MASTER'!$G$2:$G$495,0)),"")</f>
        <v/>
      </c>
      <c r="F45" s="9" t="str">
        <f>IFERROR(INDEX('CONTROL MASTER'!$Q$2:$Q$495,MATCH("Control CDI Plate 4: G5",'CONTROL MASTER'!$G$2:$G$495,0)),"")</f>
        <v/>
      </c>
      <c r="G45" s="9" t="str">
        <f>IFERROR(INDEX('CONTROL MASTER'!$Q$2:$Q$495,MATCH("Control CDI Plate 4: G6",'CONTROL MASTER'!$G$2:$G$495,0)),"")</f>
        <v/>
      </c>
      <c r="H45" s="9" t="str">
        <f>IFERROR(INDEX('CONTROL MASTER'!$Q$2:$Q$495,MATCH("Control CDI Plate 4: G7",'CONTROL MASTER'!$G$2:$G$495,0)),"")</f>
        <v/>
      </c>
      <c r="I45" s="9" t="str">
        <f>IFERROR(INDEX('CONTROL MASTER'!$Q$2:$Q$495,MATCH("Control CDI Plate 4: G8",'CONTROL MASTER'!$G$2:$G$495,0)),"")</f>
        <v/>
      </c>
      <c r="J45" s="9" t="str">
        <f>IFERROR(INDEX('CONTROL MASTER'!$Q$2:$Q$495,MATCH("Control CDI Plate 4: G9",'CONTROL MASTER'!$G$2:$G$495,0)),"")</f>
        <v/>
      </c>
      <c r="K45" s="9" t="str">
        <f>IFERROR(INDEX('CONTROL MASTER'!$Q$2:$Q$495,MATCH("Control CDI Plate 4: G10",'CONTROL MASTER'!$G$2:$G$495,0)),"")</f>
        <v/>
      </c>
      <c r="L45" s="9" t="str">
        <f>IFERROR(INDEX('CONTROL MASTER'!$Q$2:$Q$495,MATCH("Control CDI Plate 4: G11",'CONTROL MASTER'!$G$2:$G$495,0)),"")</f>
        <v/>
      </c>
      <c r="M45" s="9" t="str">
        <f>IFERROR(INDEX('CONTROL MASTER'!$Q$2:$Q$495,MATCH("Control CDI Plate 4: G12",'CONTROL MASTER'!$G$2:$G$495,0)),"")</f>
        <v/>
      </c>
    </row>
    <row r="46" spans="1:13" ht="15" customHeight="1" x14ac:dyDescent="0.35">
      <c r="A46" s="8" t="s">
        <v>35</v>
      </c>
      <c r="B46" s="9" t="str">
        <f>IFERROR(INDEX('CONTROL MASTER'!$Q$2:$Q$495,MATCH("Control CDI Plate 4: H1",'CONTROL MASTER'!$G$2:$G$495,0)),"")</f>
        <v/>
      </c>
      <c r="C46" s="9" t="str">
        <f>IFERROR(INDEX('CONTROL MASTER'!$Q$2:$Q$495,MATCH("Control CDI Plate 4: H2",'CONTROL MASTER'!$G$2:$G$495,0)),"")</f>
        <v/>
      </c>
      <c r="D46" s="9" t="str">
        <f>IFERROR(INDEX('CONTROL MASTER'!$Q$2:$Q$495,MATCH("Control CDI Plate 4: H3",'CONTROL MASTER'!$G$2:$G$495,0)),"")</f>
        <v/>
      </c>
      <c r="E46" s="9" t="str">
        <f>IFERROR(INDEX('CONTROL MASTER'!$Q$2:$Q$495,MATCH("Control CDI Plate 4: H4",'CONTROL MASTER'!$G$2:$G$495,0)),"")</f>
        <v/>
      </c>
      <c r="F46" s="9" t="str">
        <f>IFERROR(INDEX('CONTROL MASTER'!$Q$2:$Q$495,MATCH("Control CDI Plate 4: H5",'CONTROL MASTER'!$G$2:$G$495,0)),"")</f>
        <v/>
      </c>
      <c r="G46" s="9" t="str">
        <f>IFERROR(INDEX('CONTROL MASTER'!$Q$2:$Q$495,MATCH("Control CDI Plate 4: H6",'CONTROL MASTER'!$G$2:$G$495,0)),"")</f>
        <v/>
      </c>
      <c r="H46" s="9" t="str">
        <f>IFERROR(INDEX('CONTROL MASTER'!$Q$2:$Q$495,MATCH("Control CDI Plate 4: H7",'CONTROL MASTER'!$G$2:$G$495,0)),"")</f>
        <v/>
      </c>
      <c r="I46" s="9" t="str">
        <f>IFERROR(INDEX('CONTROL MASTER'!$Q$2:$Q$495,MATCH("Control CDI Plate 4: H8",'CONTROL MASTER'!$G$2:$G$495,0)),"")</f>
        <v/>
      </c>
      <c r="J46" s="9" t="str">
        <f>IFERROR(INDEX('CONTROL MASTER'!$Q$2:$Q$495,MATCH("Control CDI Plate 4: H9",'CONTROL MASTER'!$G$2:$G$495,0)),"")</f>
        <v/>
      </c>
      <c r="K46" s="9" t="str">
        <f>IFERROR(INDEX('CONTROL MASTER'!$Q$2:$Q$495,MATCH("Control CDI Plate 4: H10",'CONTROL MASTER'!$G$2:$G$495,0)),"")</f>
        <v/>
      </c>
      <c r="L46" s="9" t="str">
        <f>IFERROR(INDEX('CONTROL MASTER'!$Q$2:$Q$495,MATCH("Control CDI Plate 4: H11",'CONTROL MASTER'!$G$2:$G$495,0)),"")</f>
        <v/>
      </c>
      <c r="M46" s="9" t="str">
        <f>IFERROR(INDEX('CONTROL MASTER'!$Q$2:$Q$495,MATCH("Control CDI Plate 4: H12",'CONTROL MASTER'!$G$2:$G$495,0)),"")</f>
        <v/>
      </c>
    </row>
    <row r="49" spans="1:13" ht="15" customHeight="1" x14ac:dyDescent="0.35">
      <c r="A49" s="12" t="s">
        <v>116</v>
      </c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</row>
    <row r="50" spans="1:13" ht="15" customHeight="1" x14ac:dyDescent="0.35">
      <c r="B50" s="8">
        <v>1</v>
      </c>
      <c r="C50" s="8">
        <v>2</v>
      </c>
      <c r="D50" s="8">
        <v>3</v>
      </c>
      <c r="E50" s="8">
        <v>4</v>
      </c>
      <c r="F50" s="8">
        <v>5</v>
      </c>
      <c r="G50" s="8">
        <v>6</v>
      </c>
      <c r="H50" s="8">
        <v>7</v>
      </c>
      <c r="I50" s="8">
        <v>8</v>
      </c>
      <c r="J50" s="8">
        <v>9</v>
      </c>
      <c r="K50" s="8">
        <v>10</v>
      </c>
      <c r="L50" s="8">
        <v>11</v>
      </c>
      <c r="M50" s="8">
        <v>12</v>
      </c>
    </row>
    <row r="51" spans="1:13" ht="15" customHeight="1" x14ac:dyDescent="0.35">
      <c r="A51" s="8" t="s">
        <v>28</v>
      </c>
      <c r="B51" s="9" t="str">
        <f>IFERROR(INDEX('CONTROL MASTER'!$Q$2:$Q$495,MATCH("Control CDI Plate 5: A1",'CONTROL MASTER'!$G$2:$G$495,0)),"")</f>
        <v/>
      </c>
      <c r="C51" s="9" t="str">
        <f>IFERROR(INDEX('CONTROL MASTER'!$Q$2:$Q$495,MATCH("Control CDI Plate 5: A2",'CONTROL MASTER'!$G$2:$G$495,0)),"")</f>
        <v/>
      </c>
      <c r="D51" s="9" t="str">
        <f>IFERROR(INDEX('CONTROL MASTER'!$Q$2:$Q$495,MATCH("Control CDI Plate 5: A3",'CONTROL MASTER'!$G$2:$G$495,0)),"")</f>
        <v/>
      </c>
      <c r="E51" s="9" t="str">
        <f>IFERROR(INDEX('CONTROL MASTER'!$Q$2:$Q$495,MATCH("Control CDI Plate 5: A4",'CONTROL MASTER'!$G$2:$G$495,0)),"")</f>
        <v/>
      </c>
      <c r="F51" s="9" t="str">
        <f>IFERROR(INDEX('CONTROL MASTER'!$Q$2:$Q$495,MATCH("Control CDI Plate 5: A5",'CONTROL MASTER'!$G$2:$G$495,0)),"")</f>
        <v/>
      </c>
      <c r="G51" s="9" t="str">
        <f>IFERROR(INDEX('CONTROL MASTER'!$Q$2:$Q$495,MATCH("Control CDI Plate 5: A6",'CONTROL MASTER'!$G$2:$G$495,0)),"")</f>
        <v/>
      </c>
      <c r="H51" s="9" t="str">
        <f>IFERROR(INDEX('CONTROL MASTER'!$Q$2:$Q$495,MATCH("Control CDI Plate 5: A7",'CONTROL MASTER'!$G$2:$G$495,0)),"")</f>
        <v/>
      </c>
      <c r="I51" s="9" t="str">
        <f>IFERROR(INDEX('CONTROL MASTER'!$Q$2:$Q$495,MATCH("Control CDI Plate 5: A8",'CONTROL MASTER'!$G$2:$G$495,0)),"")</f>
        <v/>
      </c>
      <c r="J51" s="9" t="str">
        <f>IFERROR(INDEX('CONTROL MASTER'!$Q$2:$Q$495,MATCH("Control CDI Plate 5: A9",'CONTROL MASTER'!$G$2:$G$495,0)),"")</f>
        <v/>
      </c>
      <c r="K51" s="9" t="str">
        <f>IFERROR(INDEX('CONTROL MASTER'!$Q$2:$Q$495,MATCH("Control CDI Plate 5: A10",'CONTROL MASTER'!$G$2:$G$495,0)),"")</f>
        <v/>
      </c>
      <c r="L51" s="9" t="str">
        <f>IFERROR(INDEX('CONTROL MASTER'!$Q$2:$Q$495,MATCH("Control CDI Plate 5: A11",'CONTROL MASTER'!$G$2:$G$495,0)),"")</f>
        <v/>
      </c>
      <c r="M51" s="9" t="str">
        <f>IFERROR(INDEX('CONTROL MASTER'!$Q$2:$Q$495,MATCH("Control CDI Plate 5: A12",'CONTROL MASTER'!$G$2:$G$495,0)),"")</f>
        <v/>
      </c>
    </row>
    <row r="52" spans="1:13" ht="15" customHeight="1" x14ac:dyDescent="0.35">
      <c r="A52" s="8" t="s">
        <v>29</v>
      </c>
      <c r="B52" s="9" t="str">
        <f>IFERROR(INDEX('CONTROL MASTER'!$Q$2:$Q$495,MATCH("Control CDI Plate 5: B1",'CONTROL MASTER'!$G$2:$G$495,0)),"")</f>
        <v/>
      </c>
      <c r="C52" s="9" t="str">
        <f>IFERROR(INDEX('CONTROL MASTER'!$Q$2:$Q$495,MATCH("Control CDI Plate 5: B2",'CONTROL MASTER'!$G$2:$G$495,0)),"")</f>
        <v/>
      </c>
      <c r="D52" s="9" t="str">
        <f>IFERROR(INDEX('CONTROL MASTER'!$Q$2:$Q$495,MATCH("Control CDI Plate 5: B3",'CONTROL MASTER'!$G$2:$G$495,0)),"")</f>
        <v/>
      </c>
      <c r="E52" s="9" t="str">
        <f>IFERROR(INDEX('CONTROL MASTER'!$Q$2:$Q$495,MATCH("Control CDI Plate 5: B4",'CONTROL MASTER'!$G$2:$G$495,0)),"")</f>
        <v/>
      </c>
      <c r="F52" s="9" t="str">
        <f>IFERROR(INDEX('CONTROL MASTER'!$Q$2:$Q$495,MATCH("Control CDI Plate 5: B5",'CONTROL MASTER'!$G$2:$G$495,0)),"")</f>
        <v/>
      </c>
      <c r="G52" s="9" t="str">
        <f>IFERROR(INDEX('CONTROL MASTER'!$Q$2:$Q$495,MATCH("Control CDI Plate 5: B6",'CONTROL MASTER'!$G$2:$G$495,0)),"")</f>
        <v/>
      </c>
      <c r="H52" s="9" t="str">
        <f>IFERROR(INDEX('CONTROL MASTER'!$Q$2:$Q$495,MATCH("Control CDI Plate 5: B7",'CONTROL MASTER'!$G$2:$G$495,0)),"")</f>
        <v/>
      </c>
      <c r="I52" s="9" t="str">
        <f>IFERROR(INDEX('CONTROL MASTER'!$Q$2:$Q$495,MATCH("Control CDI Plate 5: B8",'CONTROL MASTER'!$G$2:$G$495,0)),"")</f>
        <v/>
      </c>
      <c r="J52" s="9" t="str">
        <f>IFERROR(INDEX('CONTROL MASTER'!$Q$2:$Q$495,MATCH("Control CDI Plate 5: B9",'CONTROL MASTER'!$G$2:$G$495,0)),"")</f>
        <v/>
      </c>
      <c r="K52" s="9" t="str">
        <f>IFERROR(INDEX('CONTROL MASTER'!$Q$2:$Q$495,MATCH("Control CDI Plate 5: B10",'CONTROL MASTER'!$G$2:$G$495,0)),"")</f>
        <v/>
      </c>
      <c r="L52" s="9" t="str">
        <f>IFERROR(INDEX('CONTROL MASTER'!$Q$2:$Q$495,MATCH("Control CDI Plate 5: B11",'CONTROL MASTER'!$G$2:$G$495,0)),"")</f>
        <v/>
      </c>
      <c r="M52" s="9" t="str">
        <f>IFERROR(INDEX('CONTROL MASTER'!$Q$2:$Q$495,MATCH("Control CDI Plate 5: B12",'CONTROL MASTER'!$G$2:$G$495,0)),"")</f>
        <v/>
      </c>
    </row>
    <row r="53" spans="1:13" ht="15" customHeight="1" x14ac:dyDescent="0.35">
      <c r="A53" s="8" t="s">
        <v>30</v>
      </c>
      <c r="B53" s="9" t="str">
        <f>IFERROR(INDEX('CONTROL MASTER'!$Q$2:$Q$495,MATCH("Control CDI Plate 5: C1",'CONTROL MASTER'!$G$2:$G$495,0)),"")</f>
        <v/>
      </c>
      <c r="C53" s="9" t="str">
        <f>IFERROR(INDEX('CONTROL MASTER'!$Q$2:$Q$495,MATCH("Control CDI Plate 5: C2",'CONTROL MASTER'!$G$2:$G$495,0)),"")</f>
        <v/>
      </c>
      <c r="D53" s="9" t="str">
        <f>IFERROR(INDEX('CONTROL MASTER'!$Q$2:$Q$495,MATCH("Control CDI Plate 5: C3",'CONTROL MASTER'!$G$2:$G$495,0)),"")</f>
        <v/>
      </c>
      <c r="E53" s="9" t="str">
        <f>IFERROR(INDEX('CONTROL MASTER'!$Q$2:$Q$495,MATCH("Control CDI Plate 5: C4",'CONTROL MASTER'!$G$2:$G$495,0)),"")</f>
        <v/>
      </c>
      <c r="F53" s="9" t="str">
        <f>IFERROR(INDEX('CONTROL MASTER'!$Q$2:$Q$495,MATCH("Control CDI Plate 5: C5",'CONTROL MASTER'!$G$2:$G$495,0)),"")</f>
        <v/>
      </c>
      <c r="G53" s="9" t="str">
        <f>IFERROR(INDEX('CONTROL MASTER'!$Q$2:$Q$495,MATCH("Control CDI Plate 5: C6",'CONTROL MASTER'!$G$2:$G$495,0)),"")</f>
        <v/>
      </c>
      <c r="H53" s="9" t="str">
        <f>IFERROR(INDEX('CONTROL MASTER'!$Q$2:$Q$495,MATCH("Control CDI Plate 5: C7",'CONTROL MASTER'!$G$2:$G$495,0)),"")</f>
        <v/>
      </c>
      <c r="I53" s="9" t="str">
        <f>IFERROR(INDEX('CONTROL MASTER'!$Q$2:$Q$495,MATCH("Control CDI Plate 5: C8",'CONTROL MASTER'!$G$2:$G$495,0)),"")</f>
        <v/>
      </c>
      <c r="J53" s="9" t="str">
        <f>IFERROR(INDEX('CONTROL MASTER'!$Q$2:$Q$495,MATCH("Control CDI Plate 5: C9",'CONTROL MASTER'!$G$2:$G$495,0)),"")</f>
        <v/>
      </c>
      <c r="K53" s="9" t="str">
        <f>IFERROR(INDEX('CONTROL MASTER'!$Q$2:$Q$495,MATCH("Control CDI Plate 5: C10",'CONTROL MASTER'!$G$2:$G$495,0)),"")</f>
        <v/>
      </c>
      <c r="L53" s="9" t="str">
        <f>IFERROR(INDEX('CONTROL MASTER'!$Q$2:$Q$495,MATCH("Control CDI Plate 5: C11",'CONTROL MASTER'!$G$2:$G$495,0)),"")</f>
        <v/>
      </c>
      <c r="M53" s="9" t="str">
        <f>IFERROR(INDEX('CONTROL MASTER'!$Q$2:$Q$495,MATCH("Control CDI Plate 5: C12",'CONTROL MASTER'!$G$2:$G$495,0)),"")</f>
        <v/>
      </c>
    </row>
    <row r="54" spans="1:13" ht="15" customHeight="1" x14ac:dyDescent="0.35">
      <c r="A54" s="8" t="s">
        <v>31</v>
      </c>
      <c r="B54" s="9" t="str">
        <f>IFERROR(INDEX('CONTROL MASTER'!$Q$2:$Q$495,MATCH("Control CDI Plate 5: D1",'CONTROL MASTER'!$G$2:$G$495,0)),"")</f>
        <v/>
      </c>
      <c r="C54" s="9" t="str">
        <f>IFERROR(INDEX('CONTROL MASTER'!$Q$2:$Q$495,MATCH("Control CDI Plate 5: D2",'CONTROL MASTER'!$G$2:$G$495,0)),"")</f>
        <v/>
      </c>
      <c r="D54" s="9" t="str">
        <f>IFERROR(INDEX('CONTROL MASTER'!$Q$2:$Q$495,MATCH("Control CDI Plate 5: D3",'CONTROL MASTER'!$G$2:$G$495,0)),"")</f>
        <v/>
      </c>
      <c r="E54" s="9" t="str">
        <f>IFERROR(INDEX('CONTROL MASTER'!$Q$2:$Q$495,MATCH("Control CDI Plate 5: D4",'CONTROL MASTER'!$G$2:$G$495,0)),"")</f>
        <v/>
      </c>
      <c r="F54" s="9" t="str">
        <f>IFERROR(INDEX('CONTROL MASTER'!$Q$2:$Q$495,MATCH("Control CDI Plate 5: D5",'CONTROL MASTER'!$G$2:$G$495,0)),"")</f>
        <v/>
      </c>
      <c r="G54" s="9" t="str">
        <f>IFERROR(INDEX('CONTROL MASTER'!$Q$2:$Q$495,MATCH("Control CDI Plate 5: D6",'CONTROL MASTER'!$G$2:$G$495,0)),"")</f>
        <v/>
      </c>
      <c r="H54" s="9" t="str">
        <f>IFERROR(INDEX('CONTROL MASTER'!$Q$2:$Q$495,MATCH("Control CDI Plate 5: D7",'CONTROL MASTER'!$G$2:$G$495,0)),"")</f>
        <v/>
      </c>
      <c r="I54" s="9" t="str">
        <f>IFERROR(INDEX('CONTROL MASTER'!$Q$2:$Q$495,MATCH("Control CDI Plate 5: D8",'CONTROL MASTER'!$G$2:$G$495,0)),"")</f>
        <v/>
      </c>
      <c r="J54" s="9" t="str">
        <f>IFERROR(INDEX('CONTROL MASTER'!$Q$2:$Q$495,MATCH("Control CDI Plate 5: D9",'CONTROL MASTER'!$G$2:$G$495,0)),"")</f>
        <v/>
      </c>
      <c r="K54" s="9" t="str">
        <f>IFERROR(INDEX('CONTROL MASTER'!$Q$2:$Q$495,MATCH("Control CDI Plate 5: D10",'CONTROL MASTER'!$G$2:$G$495,0)),"")</f>
        <v/>
      </c>
      <c r="L54" s="9" t="str">
        <f>IFERROR(INDEX('CONTROL MASTER'!$Q$2:$Q$495,MATCH("Control CDI Plate 5: D11",'CONTROL MASTER'!$G$2:$G$495,0)),"")</f>
        <v/>
      </c>
      <c r="M54" s="9" t="str">
        <f>IFERROR(INDEX('CONTROL MASTER'!$Q$2:$Q$495,MATCH("Control CDI Plate 5: D12",'CONTROL MASTER'!$G$2:$G$495,0)),"")</f>
        <v/>
      </c>
    </row>
    <row r="55" spans="1:13" ht="15" customHeight="1" x14ac:dyDescent="0.35">
      <c r="A55" s="8" t="s">
        <v>32</v>
      </c>
      <c r="B55" s="9" t="str">
        <f>IFERROR(INDEX('CONTROL MASTER'!$Q$2:$Q$495,MATCH("Control CDI Plate 5: E1",'CONTROL MASTER'!$G$2:$G$495,0)),"")</f>
        <v/>
      </c>
      <c r="C55" s="9" t="str">
        <f>IFERROR(INDEX('CONTROL MASTER'!$Q$2:$Q$495,MATCH("Control CDI Plate 5: E2",'CONTROL MASTER'!$G$2:$G$495,0)),"")</f>
        <v/>
      </c>
      <c r="D55" s="9" t="str">
        <f>IFERROR(INDEX('CONTROL MASTER'!$Q$2:$Q$495,MATCH("Control CDI Plate 5: E3",'CONTROL MASTER'!$G$2:$G$495,0)),"")</f>
        <v/>
      </c>
      <c r="E55" s="9" t="str">
        <f>IFERROR(INDEX('CONTROL MASTER'!$Q$2:$Q$495,MATCH("Control CDI Plate 5: E4",'CONTROL MASTER'!$G$2:$G$495,0)),"")</f>
        <v/>
      </c>
      <c r="F55" s="9" t="str">
        <f>IFERROR(INDEX('CONTROL MASTER'!$Q$2:$Q$495,MATCH("Control CDI Plate 5: E5",'CONTROL MASTER'!$G$2:$G$495,0)),"")</f>
        <v/>
      </c>
      <c r="G55" s="9" t="str">
        <f>IFERROR(INDEX('CONTROL MASTER'!$Q$2:$Q$495,MATCH("Control CDI Plate 5: E6",'CONTROL MASTER'!$G$2:$G$495,0)),"")</f>
        <v/>
      </c>
      <c r="H55" s="9" t="str">
        <f>IFERROR(INDEX('CONTROL MASTER'!$Q$2:$Q$495,MATCH("Control CDI Plate 5: E7",'CONTROL MASTER'!$G$2:$G$495,0)),"")</f>
        <v/>
      </c>
      <c r="I55" s="9" t="str">
        <f>IFERROR(INDEX('CONTROL MASTER'!$Q$2:$Q$495,MATCH("Control CDI Plate 5: E8",'CONTROL MASTER'!$G$2:$G$495,0)),"")</f>
        <v/>
      </c>
      <c r="J55" s="9" t="str">
        <f>IFERROR(INDEX('CONTROL MASTER'!$Q$2:$Q$495,MATCH("Control CDI Plate 5: E9",'CONTROL MASTER'!$G$2:$G$495,0)),"")</f>
        <v/>
      </c>
      <c r="K55" s="9" t="str">
        <f>IFERROR(INDEX('CONTROL MASTER'!$Q$2:$Q$495,MATCH("Control CDI Plate 5: E10",'CONTROL MASTER'!$G$2:$G$495,0)),"")</f>
        <v/>
      </c>
      <c r="L55" s="9" t="str">
        <f>IFERROR(INDEX('CONTROL MASTER'!$Q$2:$Q$495,MATCH("Control CDI Plate 5: E11",'CONTROL MASTER'!$G$2:$G$495,0)),"")</f>
        <v/>
      </c>
      <c r="M55" s="9" t="str">
        <f>IFERROR(INDEX('CONTROL MASTER'!$Q$2:$Q$495,MATCH("Control CDI Plate 5: E12",'CONTROL MASTER'!$G$2:$G$495,0)),"")</f>
        <v/>
      </c>
    </row>
    <row r="56" spans="1:13" ht="15" customHeight="1" x14ac:dyDescent="0.35">
      <c r="A56" s="8" t="s">
        <v>33</v>
      </c>
      <c r="B56" s="9" t="str">
        <f>IFERROR(INDEX('CONTROL MASTER'!$Q$2:$Q$495,MATCH("Control CDI Plate 5: F1",'CONTROL MASTER'!$G$2:$G$495,0)),"")</f>
        <v/>
      </c>
      <c r="C56" s="9" t="str">
        <f>IFERROR(INDEX('CONTROL MASTER'!$Q$2:$Q$495,MATCH("Control CDI Plate 5: F2",'CONTROL MASTER'!$G$2:$G$495,0)),"")</f>
        <v/>
      </c>
      <c r="D56" s="9" t="str">
        <f>IFERROR(INDEX('CONTROL MASTER'!$Q$2:$Q$495,MATCH("Control CDI Plate 5: F3",'CONTROL MASTER'!$G$2:$G$495,0)),"")</f>
        <v/>
      </c>
      <c r="E56" s="9" t="str">
        <f>IFERROR(INDEX('CONTROL MASTER'!$Q$2:$Q$495,MATCH("Control CDI Plate 5: F4",'CONTROL MASTER'!$G$2:$G$495,0)),"")</f>
        <v/>
      </c>
      <c r="F56" s="9" t="str">
        <f>IFERROR(INDEX('CONTROL MASTER'!$Q$2:$Q$495,MATCH("Control CDI Plate 5: F5",'CONTROL MASTER'!$G$2:$G$495,0)),"")</f>
        <v/>
      </c>
      <c r="G56" s="9" t="str">
        <f>IFERROR(INDEX('CONTROL MASTER'!$Q$2:$Q$495,MATCH("Control CDI Plate 5: F6",'CONTROL MASTER'!$G$2:$G$495,0)),"")</f>
        <v/>
      </c>
      <c r="H56" s="9" t="str">
        <f>IFERROR(INDEX('CONTROL MASTER'!$Q$2:$Q$495,MATCH("Control CDI Plate 5: F7",'CONTROL MASTER'!$G$2:$G$495,0)),"")</f>
        <v/>
      </c>
      <c r="I56" s="9" t="str">
        <f>IFERROR(INDEX('CONTROL MASTER'!$Q$2:$Q$495,MATCH("Control CDI Plate 5: F8",'CONTROL MASTER'!$G$2:$G$495,0)),"")</f>
        <v/>
      </c>
      <c r="J56" s="9" t="str">
        <f>IFERROR(INDEX('CONTROL MASTER'!$Q$2:$Q$495,MATCH("Control CDI Plate 5: F9",'CONTROL MASTER'!$G$2:$G$495,0)),"")</f>
        <v/>
      </c>
      <c r="K56" s="9" t="str">
        <f>IFERROR(INDEX('CONTROL MASTER'!$Q$2:$Q$495,MATCH("Control CDI Plate 5: F10",'CONTROL MASTER'!$G$2:$G$495,0)),"")</f>
        <v/>
      </c>
      <c r="L56" s="9" t="str">
        <f>IFERROR(INDEX('CONTROL MASTER'!$Q$2:$Q$495,MATCH("Control CDI Plate 5: F11",'CONTROL MASTER'!$G$2:$G$495,0)),"")</f>
        <v/>
      </c>
      <c r="M56" s="9" t="str">
        <f>IFERROR(INDEX('CONTROL MASTER'!$Q$2:$Q$495,MATCH("Control CDI Plate 5: F12",'CONTROL MASTER'!$G$2:$G$495,0)),"")</f>
        <v/>
      </c>
    </row>
    <row r="57" spans="1:13" ht="15" customHeight="1" x14ac:dyDescent="0.35">
      <c r="A57" s="8" t="s">
        <v>34</v>
      </c>
      <c r="B57" s="9" t="str">
        <f>IFERROR(INDEX('CONTROL MASTER'!$Q$2:$Q$495,MATCH("Control CDI Plate 5: G1",'CONTROL MASTER'!$G$2:$G$495,0)),"")</f>
        <v/>
      </c>
      <c r="C57" s="9" t="str">
        <f>IFERROR(INDEX('CONTROL MASTER'!$Q$2:$Q$495,MATCH("Control CDI Plate 5: G2",'CONTROL MASTER'!$G$2:$G$495,0)),"")</f>
        <v/>
      </c>
      <c r="D57" s="9" t="str">
        <f>IFERROR(INDEX('CONTROL MASTER'!$Q$2:$Q$495,MATCH("Control CDI Plate 5: G3",'CONTROL MASTER'!$G$2:$G$495,0)),"")</f>
        <v/>
      </c>
      <c r="E57" s="9" t="str">
        <f>IFERROR(INDEX('CONTROL MASTER'!$Q$2:$Q$495,MATCH("Control CDI Plate 5: G4",'CONTROL MASTER'!$G$2:$G$495,0)),"")</f>
        <v/>
      </c>
      <c r="F57" s="9" t="str">
        <f>IFERROR(INDEX('CONTROL MASTER'!$Q$2:$Q$495,MATCH("Control CDI Plate 5: G5",'CONTROL MASTER'!$G$2:$G$495,0)),"")</f>
        <v/>
      </c>
      <c r="G57" s="9" t="str">
        <f>IFERROR(INDEX('CONTROL MASTER'!$Q$2:$Q$495,MATCH("Control CDI Plate 5: G6",'CONTROL MASTER'!$G$2:$G$495,0)),"")</f>
        <v/>
      </c>
      <c r="H57" s="9" t="str">
        <f>IFERROR(INDEX('CONTROL MASTER'!$Q$2:$Q$495,MATCH("Control CDI Plate 5: G7",'CONTROL MASTER'!$G$2:$G$495,0)),"")</f>
        <v/>
      </c>
      <c r="I57" s="9" t="str">
        <f>IFERROR(INDEX('CONTROL MASTER'!$Q$2:$Q$495,MATCH("Control CDI Plate 5: G8",'CONTROL MASTER'!$G$2:$G$495,0)),"")</f>
        <v/>
      </c>
      <c r="J57" s="9" t="str">
        <f>IFERROR(INDEX('CONTROL MASTER'!$Q$2:$Q$495,MATCH("Control CDI Plate 5: G9",'CONTROL MASTER'!$G$2:$G$495,0)),"")</f>
        <v/>
      </c>
      <c r="K57" s="9" t="str">
        <f>IFERROR(INDEX('CONTROL MASTER'!$Q$2:$Q$495,MATCH("Control CDI Plate 5: G10",'CONTROL MASTER'!$G$2:$G$495,0)),"")</f>
        <v/>
      </c>
      <c r="L57" s="9" t="str">
        <f>IFERROR(INDEX('CONTROL MASTER'!$Q$2:$Q$495,MATCH("Control CDI Plate 5: G11",'CONTROL MASTER'!$G$2:$G$495,0)),"")</f>
        <v/>
      </c>
      <c r="M57" s="9" t="str">
        <f>IFERROR(INDEX('CONTROL MASTER'!$Q$2:$Q$495,MATCH("Control CDI Plate 5: G12",'CONTROL MASTER'!$G$2:$G$495,0)),"")</f>
        <v/>
      </c>
    </row>
    <row r="58" spans="1:13" ht="15" customHeight="1" x14ac:dyDescent="0.35">
      <c r="A58" s="8" t="s">
        <v>35</v>
      </c>
      <c r="B58" s="9" t="str">
        <f>IFERROR(INDEX('CONTROL MASTER'!$Q$2:$Q$495,MATCH("Control CDI Plate 5: H1",'CONTROL MASTER'!$G$2:$G$495,0)),"")</f>
        <v/>
      </c>
      <c r="C58" s="9" t="str">
        <f>IFERROR(INDEX('CONTROL MASTER'!$Q$2:$Q$495,MATCH("Control CDI Plate 5: H2",'CONTROL MASTER'!$G$2:$G$495,0)),"")</f>
        <v/>
      </c>
      <c r="D58" s="9" t="str">
        <f>IFERROR(INDEX('CONTROL MASTER'!$Q$2:$Q$495,MATCH("Control CDI Plate 5: H3",'CONTROL MASTER'!$G$2:$G$495,0)),"")</f>
        <v/>
      </c>
      <c r="E58" s="9" t="str">
        <f>IFERROR(INDEX('CONTROL MASTER'!$Q$2:$Q$495,MATCH("Control CDI Plate 5: H4",'CONTROL MASTER'!$G$2:$G$495,0)),"")</f>
        <v/>
      </c>
      <c r="F58" s="9" t="str">
        <f>IFERROR(INDEX('CONTROL MASTER'!$Q$2:$Q$495,MATCH("Control CDI Plate 5: H5",'CONTROL MASTER'!$G$2:$G$495,0)),"")</f>
        <v/>
      </c>
      <c r="G58" s="9" t="str">
        <f>IFERROR(INDEX('CONTROL MASTER'!$Q$2:$Q$495,MATCH("Control CDI Plate 5: H6",'CONTROL MASTER'!$G$2:$G$495,0)),"")</f>
        <v/>
      </c>
      <c r="H58" s="9" t="str">
        <f>IFERROR(INDEX('CONTROL MASTER'!$Q$2:$Q$495,MATCH("Control CDI Plate 5: H7",'CONTROL MASTER'!$G$2:$G$495,0)),"")</f>
        <v/>
      </c>
      <c r="I58" s="9" t="str">
        <f>IFERROR(INDEX('CONTROL MASTER'!$Q$2:$Q$495,MATCH("Control CDI Plate 5: H8",'CONTROL MASTER'!$G$2:$G$495,0)),"")</f>
        <v/>
      </c>
      <c r="J58" s="9" t="str">
        <f>IFERROR(INDEX('CONTROL MASTER'!$Q$2:$Q$495,MATCH("Control CDI Plate 5: H9",'CONTROL MASTER'!$G$2:$G$495,0)),"")</f>
        <v/>
      </c>
      <c r="K58" s="9" t="str">
        <f>IFERROR(INDEX('CONTROL MASTER'!$Q$2:$Q$495,MATCH("Control CDI Plate 5: H10",'CONTROL MASTER'!$G$2:$G$495,0)),"")</f>
        <v/>
      </c>
      <c r="L58" s="9" t="str">
        <f>IFERROR(INDEX('CONTROL MASTER'!$Q$2:$Q$495,MATCH("Control CDI Plate 5: H11",'CONTROL MASTER'!$G$2:$G$495,0)),"")</f>
        <v/>
      </c>
      <c r="M58" s="9" t="str">
        <f>IFERROR(INDEX('CONTROL MASTER'!$Q$2:$Q$495,MATCH("Control CDI Plate 5: H12",'CONTROL MASTER'!$G$2:$G$495,0)),"")</f>
        <v/>
      </c>
    </row>
    <row r="61" spans="1:13" ht="15" customHeight="1" x14ac:dyDescent="0.35">
      <c r="A61" s="12" t="s">
        <v>117</v>
      </c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</row>
    <row r="62" spans="1:13" ht="15" customHeight="1" x14ac:dyDescent="0.35">
      <c r="B62" s="8">
        <v>1</v>
      </c>
      <c r="C62" s="8">
        <v>2</v>
      </c>
      <c r="D62" s="8">
        <v>3</v>
      </c>
      <c r="E62" s="8">
        <v>4</v>
      </c>
      <c r="F62" s="8">
        <v>5</v>
      </c>
      <c r="G62" s="8">
        <v>6</v>
      </c>
      <c r="H62" s="8">
        <v>7</v>
      </c>
      <c r="I62" s="8">
        <v>8</v>
      </c>
      <c r="J62" s="8">
        <v>9</v>
      </c>
      <c r="K62" s="8">
        <v>10</v>
      </c>
      <c r="L62" s="8">
        <v>11</v>
      </c>
      <c r="M62" s="8">
        <v>12</v>
      </c>
    </row>
    <row r="63" spans="1:13" ht="15" customHeight="1" x14ac:dyDescent="0.35">
      <c r="A63" s="8" t="s">
        <v>28</v>
      </c>
      <c r="B63" s="9" t="str">
        <f>IFERROR(INDEX('CONTROL MASTER'!$Q$2:$Q$495,MATCH("Control CDI Plate 6: A1",'CONTROL MASTER'!$G$2:$G$495,0)),"")</f>
        <v/>
      </c>
      <c r="C63" s="9" t="str">
        <f>IFERROR(INDEX('CONTROL MASTER'!$Q$2:$Q$495,MATCH("Control CDI Plate 6: A2",'CONTROL MASTER'!$G$2:$G$495,0)),"")</f>
        <v/>
      </c>
      <c r="D63" s="9" t="str">
        <f>IFERROR(INDEX('CONTROL MASTER'!$Q$2:$Q$495,MATCH("Control CDI Plate 6: A3",'CONTROL MASTER'!$G$2:$G$495,0)),"")</f>
        <v/>
      </c>
      <c r="E63" s="9" t="str">
        <f>IFERROR(INDEX('CONTROL MASTER'!$Q$2:$Q$495,MATCH("Control CDI Plate 6: A4",'CONTROL MASTER'!$G$2:$G$495,0)),"")</f>
        <v/>
      </c>
      <c r="F63" s="9" t="str">
        <f>IFERROR(INDEX('CONTROL MASTER'!$Q$2:$Q$495,MATCH("Control CDI Plate 6: A5",'CONTROL MASTER'!$G$2:$G$495,0)),"")</f>
        <v/>
      </c>
      <c r="G63" s="9" t="str">
        <f>IFERROR(INDEX('CONTROL MASTER'!$Q$2:$Q$495,MATCH("Control CDI Plate 6: A6",'CONTROL MASTER'!$G$2:$G$495,0)),"")</f>
        <v/>
      </c>
      <c r="H63" s="9" t="str">
        <f>IFERROR(INDEX('CONTROL MASTER'!$Q$2:$Q$495,MATCH("Control CDI Plate 6: A7",'CONTROL MASTER'!$G$2:$G$495,0)),"")</f>
        <v/>
      </c>
      <c r="I63" s="9" t="str">
        <f>IFERROR(INDEX('CONTROL MASTER'!$Q$2:$Q$495,MATCH("Control CDI Plate 6: A8",'CONTROL MASTER'!$G$2:$G$495,0)),"")</f>
        <v/>
      </c>
      <c r="J63" s="9" t="str">
        <f>IFERROR(INDEX('CONTROL MASTER'!$Q$2:$Q$495,MATCH("Control CDI Plate 6: A9",'CONTROL MASTER'!$G$2:$G$495,0)),"")</f>
        <v/>
      </c>
      <c r="K63" s="9" t="str">
        <f>IFERROR(INDEX('CONTROL MASTER'!$Q$2:$Q$495,MATCH("Control CDI Plate 6: A10",'CONTROL MASTER'!$G$2:$G$495,0)),"")</f>
        <v/>
      </c>
      <c r="L63" s="9" t="str">
        <f>IFERROR(INDEX('CONTROL MASTER'!$Q$2:$Q$495,MATCH("Control CDI Plate 6: A11",'CONTROL MASTER'!$G$2:$G$495,0)),"")</f>
        <v/>
      </c>
      <c r="M63" s="9" t="str">
        <f>IFERROR(INDEX('CONTROL MASTER'!$Q$2:$Q$495,MATCH("Control CDI Plate 6: A12",'CONTROL MASTER'!$G$2:$G$495,0)),"")</f>
        <v/>
      </c>
    </row>
    <row r="64" spans="1:13" ht="15" customHeight="1" x14ac:dyDescent="0.35">
      <c r="A64" s="8" t="s">
        <v>29</v>
      </c>
      <c r="B64" s="9" t="str">
        <f>IFERROR(INDEX('CONTROL MASTER'!$Q$2:$Q$495,MATCH("Control CDI Plate 6: B1",'CONTROL MASTER'!$G$2:$G$495,0)),"")</f>
        <v/>
      </c>
      <c r="C64" s="9" t="str">
        <f>IFERROR(INDEX('CONTROL MASTER'!$Q$2:$Q$495,MATCH("Control CDI Plate 6: B2",'CONTROL MASTER'!$G$2:$G$495,0)),"")</f>
        <v/>
      </c>
      <c r="D64" s="9" t="str">
        <f>IFERROR(INDEX('CONTROL MASTER'!$Q$2:$Q$495,MATCH("Control CDI Plate 6: B3",'CONTROL MASTER'!$G$2:$G$495,0)),"")</f>
        <v/>
      </c>
      <c r="E64" s="9" t="str">
        <f>IFERROR(INDEX('CONTROL MASTER'!$Q$2:$Q$495,MATCH("Control CDI Plate 6: B4",'CONTROL MASTER'!$G$2:$G$495,0)),"")</f>
        <v/>
      </c>
      <c r="F64" s="9" t="str">
        <f>IFERROR(INDEX('CONTROL MASTER'!$Q$2:$Q$495,MATCH("Control CDI Plate 6: B5",'CONTROL MASTER'!$G$2:$G$495,0)),"")</f>
        <v/>
      </c>
      <c r="G64" s="9" t="str">
        <f>IFERROR(INDEX('CONTROL MASTER'!$Q$2:$Q$495,MATCH("Control CDI Plate 6: B6",'CONTROL MASTER'!$G$2:$G$495,0)),"")</f>
        <v/>
      </c>
      <c r="H64" s="9" t="str">
        <f>IFERROR(INDEX('CONTROL MASTER'!$Q$2:$Q$495,MATCH("Control CDI Plate 6: B7",'CONTROL MASTER'!$G$2:$G$495,0)),"")</f>
        <v/>
      </c>
      <c r="I64" s="9" t="str">
        <f>IFERROR(INDEX('CONTROL MASTER'!$Q$2:$Q$495,MATCH("Control CDI Plate 6: B8",'CONTROL MASTER'!$G$2:$G$495,0)),"")</f>
        <v/>
      </c>
      <c r="J64" s="9" t="str">
        <f>IFERROR(INDEX('CONTROL MASTER'!$Q$2:$Q$495,MATCH("Control CDI Plate 6: B9",'CONTROL MASTER'!$G$2:$G$495,0)),"")</f>
        <v/>
      </c>
      <c r="K64" s="9" t="str">
        <f>IFERROR(INDEX('CONTROL MASTER'!$Q$2:$Q$495,MATCH("Control CDI Plate 6: B10",'CONTROL MASTER'!$G$2:$G$495,0)),"")</f>
        <v/>
      </c>
      <c r="L64" s="9" t="str">
        <f>IFERROR(INDEX('CONTROL MASTER'!$Q$2:$Q$495,MATCH("Control CDI Plate 6: B11",'CONTROL MASTER'!$G$2:$G$495,0)),"")</f>
        <v/>
      </c>
      <c r="M64" s="9" t="str">
        <f>IFERROR(INDEX('CONTROL MASTER'!$Q$2:$Q$495,MATCH("Control CDI Plate 6: B12",'CONTROL MASTER'!$G$2:$G$495,0)),"")</f>
        <v/>
      </c>
    </row>
    <row r="65" spans="1:13" ht="15" customHeight="1" x14ac:dyDescent="0.35">
      <c r="A65" s="8" t="s">
        <v>30</v>
      </c>
      <c r="B65" s="9" t="str">
        <f>IFERROR(INDEX('CONTROL MASTER'!$Q$2:$Q$495,MATCH("Control CDI Plate 6: C1",'CONTROL MASTER'!$G$2:$G$495,0)),"")</f>
        <v/>
      </c>
      <c r="C65" s="9" t="str">
        <f>IFERROR(INDEX('CONTROL MASTER'!$Q$2:$Q$495,MATCH("Control CDI Plate 6: C2",'CONTROL MASTER'!$G$2:$G$495,0)),"")</f>
        <v/>
      </c>
      <c r="D65" s="9" t="str">
        <f>IFERROR(INDEX('CONTROL MASTER'!$Q$2:$Q$495,MATCH("Control CDI Plate 6: C3",'CONTROL MASTER'!$G$2:$G$495,0)),"")</f>
        <v/>
      </c>
      <c r="E65" s="9" t="str">
        <f>IFERROR(INDEX('CONTROL MASTER'!$Q$2:$Q$495,MATCH("Control CDI Plate 6: C4",'CONTROL MASTER'!$G$2:$G$495,0)),"")</f>
        <v/>
      </c>
      <c r="F65" s="9" t="str">
        <f>IFERROR(INDEX('CONTROL MASTER'!$Q$2:$Q$495,MATCH("Control CDI Plate 6: C5",'CONTROL MASTER'!$G$2:$G$495,0)),"")</f>
        <v/>
      </c>
      <c r="G65" s="9" t="str">
        <f>IFERROR(INDEX('CONTROL MASTER'!$Q$2:$Q$495,MATCH("Control CDI Plate 6: C6",'CONTROL MASTER'!$G$2:$G$495,0)),"")</f>
        <v/>
      </c>
      <c r="H65" s="9" t="str">
        <f>IFERROR(INDEX('CONTROL MASTER'!$Q$2:$Q$495,MATCH("Control CDI Plate 6: C7",'CONTROL MASTER'!$G$2:$G$495,0)),"")</f>
        <v/>
      </c>
      <c r="I65" s="9" t="str">
        <f>IFERROR(INDEX('CONTROL MASTER'!$Q$2:$Q$495,MATCH("Control CDI Plate 6: C8",'CONTROL MASTER'!$G$2:$G$495,0)),"")</f>
        <v/>
      </c>
      <c r="J65" s="9" t="str">
        <f>IFERROR(INDEX('CONTROL MASTER'!$Q$2:$Q$495,MATCH("Control CDI Plate 6: C9",'CONTROL MASTER'!$G$2:$G$495,0)),"")</f>
        <v/>
      </c>
      <c r="K65" s="9" t="str">
        <f>IFERROR(INDEX('CONTROL MASTER'!$Q$2:$Q$495,MATCH("Control CDI Plate 6: C10",'CONTROL MASTER'!$G$2:$G$495,0)),"")</f>
        <v/>
      </c>
      <c r="L65" s="9" t="str">
        <f>IFERROR(INDEX('CONTROL MASTER'!$Q$2:$Q$495,MATCH("Control CDI Plate 6: C11",'CONTROL MASTER'!$G$2:$G$495,0)),"")</f>
        <v/>
      </c>
      <c r="M65" s="9" t="str">
        <f>IFERROR(INDEX('CONTROL MASTER'!$Q$2:$Q$495,MATCH("Control CDI Plate 6: C12",'CONTROL MASTER'!$G$2:$G$495,0)),"")</f>
        <v/>
      </c>
    </row>
    <row r="66" spans="1:13" ht="15" customHeight="1" x14ac:dyDescent="0.35">
      <c r="A66" s="8" t="s">
        <v>31</v>
      </c>
      <c r="B66" s="9" t="str">
        <f>IFERROR(INDEX('CONTROL MASTER'!$Q$2:$Q$495,MATCH("Control CDI Plate 6: D1",'CONTROL MASTER'!$G$2:$G$495,0)),"")</f>
        <v/>
      </c>
      <c r="C66" s="9" t="str">
        <f>IFERROR(INDEX('CONTROL MASTER'!$Q$2:$Q$495,MATCH("Control CDI Plate 6: D2",'CONTROL MASTER'!$G$2:$G$495,0)),"")</f>
        <v/>
      </c>
      <c r="D66" s="9" t="str">
        <f>IFERROR(INDEX('CONTROL MASTER'!$Q$2:$Q$495,MATCH("Control CDI Plate 6: D3",'CONTROL MASTER'!$G$2:$G$495,0)),"")</f>
        <v/>
      </c>
      <c r="E66" s="9" t="str">
        <f>IFERROR(INDEX('CONTROL MASTER'!$Q$2:$Q$495,MATCH("Control CDI Plate 6: D4",'CONTROL MASTER'!$G$2:$G$495,0)),"")</f>
        <v/>
      </c>
      <c r="F66" s="9" t="str">
        <f>IFERROR(INDEX('CONTROL MASTER'!$Q$2:$Q$495,MATCH("Control CDI Plate 6: D5",'CONTROL MASTER'!$G$2:$G$495,0)),"")</f>
        <v/>
      </c>
      <c r="G66" s="9" t="str">
        <f>IFERROR(INDEX('CONTROL MASTER'!$Q$2:$Q$495,MATCH("Control CDI Plate 6: D6",'CONTROL MASTER'!$G$2:$G$495,0)),"")</f>
        <v/>
      </c>
      <c r="H66" s="9" t="str">
        <f>IFERROR(INDEX('CONTROL MASTER'!$Q$2:$Q$495,MATCH("Control CDI Plate 6: D7",'CONTROL MASTER'!$G$2:$G$495,0)),"")</f>
        <v/>
      </c>
      <c r="I66" s="9" t="str">
        <f>IFERROR(INDEX('CONTROL MASTER'!$Q$2:$Q$495,MATCH("Control CDI Plate 6: D8",'CONTROL MASTER'!$G$2:$G$495,0)),"")</f>
        <v/>
      </c>
      <c r="J66" s="9" t="str">
        <f>IFERROR(INDEX('CONTROL MASTER'!$Q$2:$Q$495,MATCH("Control CDI Plate 6: D9",'CONTROL MASTER'!$G$2:$G$495,0)),"")</f>
        <v/>
      </c>
      <c r="K66" s="9" t="str">
        <f>IFERROR(INDEX('CONTROL MASTER'!$Q$2:$Q$495,MATCH("Control CDI Plate 6: D10",'CONTROL MASTER'!$G$2:$G$495,0)),"")</f>
        <v/>
      </c>
      <c r="L66" s="9" t="str">
        <f>IFERROR(INDEX('CONTROL MASTER'!$Q$2:$Q$495,MATCH("Control CDI Plate 6: D11",'CONTROL MASTER'!$G$2:$G$495,0)),"")</f>
        <v/>
      </c>
      <c r="M66" s="9" t="str">
        <f>IFERROR(INDEX('CONTROL MASTER'!$Q$2:$Q$495,MATCH("Control CDI Plate 6: D12",'CONTROL MASTER'!$G$2:$G$495,0)),"")</f>
        <v/>
      </c>
    </row>
    <row r="67" spans="1:13" ht="15" customHeight="1" x14ac:dyDescent="0.35">
      <c r="A67" s="8" t="s">
        <v>32</v>
      </c>
      <c r="B67" s="9" t="str">
        <f>IFERROR(INDEX('CONTROL MASTER'!$Q$2:$Q$495,MATCH("Control CDI Plate 6: E1",'CONTROL MASTER'!$G$2:$G$495,0)),"")</f>
        <v/>
      </c>
      <c r="C67" s="9" t="str">
        <f>IFERROR(INDEX('CONTROL MASTER'!$Q$2:$Q$495,MATCH("Control CDI Plate 6: E2",'CONTROL MASTER'!$G$2:$G$495,0)),"")</f>
        <v/>
      </c>
      <c r="D67" s="9" t="str">
        <f>IFERROR(INDEX('CONTROL MASTER'!$Q$2:$Q$495,MATCH("Control CDI Plate 6: E3",'CONTROL MASTER'!$G$2:$G$495,0)),"")</f>
        <v/>
      </c>
      <c r="E67" s="9" t="str">
        <f>IFERROR(INDEX('CONTROL MASTER'!$Q$2:$Q$495,MATCH("Control CDI Plate 6: E4",'CONTROL MASTER'!$G$2:$G$495,0)),"")</f>
        <v/>
      </c>
      <c r="F67" s="9" t="str">
        <f>IFERROR(INDEX('CONTROL MASTER'!$Q$2:$Q$495,MATCH("Control CDI Plate 6: E5",'CONTROL MASTER'!$G$2:$G$495,0)),"")</f>
        <v/>
      </c>
      <c r="G67" s="9" t="str">
        <f>IFERROR(INDEX('CONTROL MASTER'!$Q$2:$Q$495,MATCH("Control CDI Plate 6: E6",'CONTROL MASTER'!$G$2:$G$495,0)),"")</f>
        <v/>
      </c>
      <c r="H67" s="9" t="str">
        <f>IFERROR(INDEX('CONTROL MASTER'!$Q$2:$Q$495,MATCH("Control CDI Plate 6: E7",'CONTROL MASTER'!$G$2:$G$495,0)),"")</f>
        <v/>
      </c>
      <c r="I67" s="9" t="str">
        <f>IFERROR(INDEX('CONTROL MASTER'!$Q$2:$Q$495,MATCH("Control CDI Plate 6: E8",'CONTROL MASTER'!$G$2:$G$495,0)),"")</f>
        <v/>
      </c>
      <c r="J67" s="9" t="str">
        <f>IFERROR(INDEX('CONTROL MASTER'!$Q$2:$Q$495,MATCH("Control CDI Plate 6: E9",'CONTROL MASTER'!$G$2:$G$495,0)),"")</f>
        <v/>
      </c>
      <c r="K67" s="9" t="str">
        <f>IFERROR(INDEX('CONTROL MASTER'!$Q$2:$Q$495,MATCH("Control CDI Plate 6: E10",'CONTROL MASTER'!$G$2:$G$495,0)),"")</f>
        <v/>
      </c>
      <c r="L67" s="9" t="str">
        <f>IFERROR(INDEX('CONTROL MASTER'!$Q$2:$Q$495,MATCH("Control CDI Plate 6: E11",'CONTROL MASTER'!$G$2:$G$495,0)),"")</f>
        <v/>
      </c>
      <c r="M67" s="9" t="str">
        <f>IFERROR(INDEX('CONTROL MASTER'!$Q$2:$Q$495,MATCH("Control CDI Plate 6: E12",'CONTROL MASTER'!$G$2:$G$495,0)),"")</f>
        <v/>
      </c>
    </row>
    <row r="68" spans="1:13" ht="15" customHeight="1" x14ac:dyDescent="0.35">
      <c r="A68" s="8" t="s">
        <v>33</v>
      </c>
      <c r="B68" s="9" t="str">
        <f>IFERROR(INDEX('CONTROL MASTER'!$Q$2:$Q$495,MATCH("Control CDI Plate 6: F1",'CONTROL MASTER'!$G$2:$G$495,0)),"")</f>
        <v/>
      </c>
      <c r="C68" s="9" t="str">
        <f>IFERROR(INDEX('CONTROL MASTER'!$Q$2:$Q$495,MATCH("Control CDI Plate 6: F2",'CONTROL MASTER'!$G$2:$G$495,0)),"")</f>
        <v/>
      </c>
      <c r="D68" s="9" t="str">
        <f>IFERROR(INDEX('CONTROL MASTER'!$Q$2:$Q$495,MATCH("Control CDI Plate 6: F3",'CONTROL MASTER'!$G$2:$G$495,0)),"")</f>
        <v/>
      </c>
      <c r="E68" s="9" t="str">
        <f>IFERROR(INDEX('CONTROL MASTER'!$Q$2:$Q$495,MATCH("Control CDI Plate 6: F4",'CONTROL MASTER'!$G$2:$G$495,0)),"")</f>
        <v/>
      </c>
      <c r="F68" s="9" t="str">
        <f>IFERROR(INDEX('CONTROL MASTER'!$Q$2:$Q$495,MATCH("Control CDI Plate 6: F5",'CONTROL MASTER'!$G$2:$G$495,0)),"")</f>
        <v/>
      </c>
      <c r="G68" s="9" t="str">
        <f>IFERROR(INDEX('CONTROL MASTER'!$Q$2:$Q$495,MATCH("Control CDI Plate 6: F6",'CONTROL MASTER'!$G$2:$G$495,0)),"")</f>
        <v/>
      </c>
      <c r="H68" s="9" t="str">
        <f>IFERROR(INDEX('CONTROL MASTER'!$Q$2:$Q$495,MATCH("Control CDI Plate 6: F7",'CONTROL MASTER'!$G$2:$G$495,0)),"")</f>
        <v/>
      </c>
      <c r="I68" s="9" t="str">
        <f>IFERROR(INDEX('CONTROL MASTER'!$Q$2:$Q$495,MATCH("Control CDI Plate 6: F8",'CONTROL MASTER'!$G$2:$G$495,0)),"")</f>
        <v/>
      </c>
      <c r="J68" s="9" t="str">
        <f>IFERROR(INDEX('CONTROL MASTER'!$Q$2:$Q$495,MATCH("Control CDI Plate 6: F9",'CONTROL MASTER'!$G$2:$G$495,0)),"")</f>
        <v/>
      </c>
      <c r="K68" s="9" t="str">
        <f>IFERROR(INDEX('CONTROL MASTER'!$Q$2:$Q$495,MATCH("Control CDI Plate 6: F10",'CONTROL MASTER'!$G$2:$G$495,0)),"")</f>
        <v/>
      </c>
      <c r="L68" s="9" t="str">
        <f>IFERROR(INDEX('CONTROL MASTER'!$Q$2:$Q$495,MATCH("Control CDI Plate 6: F11",'CONTROL MASTER'!$G$2:$G$495,0)),"")</f>
        <v/>
      </c>
      <c r="M68" s="9" t="str">
        <f>IFERROR(INDEX('CONTROL MASTER'!$Q$2:$Q$495,MATCH("Control CDI Plate 6: F12",'CONTROL MASTER'!$G$2:$G$495,0)),"")</f>
        <v/>
      </c>
    </row>
    <row r="69" spans="1:13" ht="15" customHeight="1" x14ac:dyDescent="0.35">
      <c r="A69" s="8" t="s">
        <v>34</v>
      </c>
      <c r="B69" s="9" t="str">
        <f>IFERROR(INDEX('CONTROL MASTER'!$Q$2:$Q$495,MATCH("Control CDI Plate 6: G1",'CONTROL MASTER'!$G$2:$G$495,0)),"")</f>
        <v/>
      </c>
      <c r="C69" s="9" t="str">
        <f>IFERROR(INDEX('CONTROL MASTER'!$Q$2:$Q$495,MATCH("Control CDI Plate 6: G2",'CONTROL MASTER'!$G$2:$G$495,0)),"")</f>
        <v/>
      </c>
      <c r="D69" s="9" t="str">
        <f>IFERROR(INDEX('CONTROL MASTER'!$Q$2:$Q$495,MATCH("Control CDI Plate 6: G3",'CONTROL MASTER'!$G$2:$G$495,0)),"")</f>
        <v/>
      </c>
      <c r="E69" s="9" t="str">
        <f>IFERROR(INDEX('CONTROL MASTER'!$Q$2:$Q$495,MATCH("Control CDI Plate 6: G4",'CONTROL MASTER'!$G$2:$G$495,0)),"")</f>
        <v/>
      </c>
      <c r="F69" s="9" t="str">
        <f>IFERROR(INDEX('CONTROL MASTER'!$Q$2:$Q$495,MATCH("Control CDI Plate 6: G5",'CONTROL MASTER'!$G$2:$G$495,0)),"")</f>
        <v/>
      </c>
      <c r="G69" s="9" t="str">
        <f>IFERROR(INDEX('CONTROL MASTER'!$Q$2:$Q$495,MATCH("Control CDI Plate 6: G6",'CONTROL MASTER'!$G$2:$G$495,0)),"")</f>
        <v/>
      </c>
      <c r="H69" s="9" t="str">
        <f>IFERROR(INDEX('CONTROL MASTER'!$Q$2:$Q$495,MATCH("Control CDI Plate 6: G7",'CONTROL MASTER'!$G$2:$G$495,0)),"")</f>
        <v/>
      </c>
      <c r="I69" s="9" t="str">
        <f>IFERROR(INDEX('CONTROL MASTER'!$Q$2:$Q$495,MATCH("Control CDI Plate 6: G8",'CONTROL MASTER'!$G$2:$G$495,0)),"")</f>
        <v/>
      </c>
      <c r="J69" s="9" t="str">
        <f>IFERROR(INDEX('CONTROL MASTER'!$Q$2:$Q$495,MATCH("Control CDI Plate 6: G9",'CONTROL MASTER'!$G$2:$G$495,0)),"")</f>
        <v/>
      </c>
      <c r="K69" s="9" t="str">
        <f>IFERROR(INDEX('CONTROL MASTER'!$Q$2:$Q$495,MATCH("Control CDI Plate 6: G10",'CONTROL MASTER'!$G$2:$G$495,0)),"")</f>
        <v/>
      </c>
      <c r="L69" s="9" t="str">
        <f>IFERROR(INDEX('CONTROL MASTER'!$Q$2:$Q$495,MATCH("Control CDI Plate 6: G11",'CONTROL MASTER'!$G$2:$G$495,0)),"")</f>
        <v/>
      </c>
      <c r="M69" s="9" t="str">
        <f>IFERROR(INDEX('CONTROL MASTER'!$Q$2:$Q$495,MATCH("Control CDI Plate 6: G12",'CONTROL MASTER'!$G$2:$G$495,0)),"")</f>
        <v/>
      </c>
    </row>
    <row r="70" spans="1:13" ht="15" customHeight="1" x14ac:dyDescent="0.35">
      <c r="A70" s="8" t="s">
        <v>35</v>
      </c>
      <c r="B70" s="9" t="str">
        <f>IFERROR(INDEX('CONTROL MASTER'!$Q$2:$Q$495,MATCH("Control CDI Plate 6: H1",'CONTROL MASTER'!$G$2:$G$495,0)),"")</f>
        <v/>
      </c>
      <c r="C70" s="9" t="str">
        <f>IFERROR(INDEX('CONTROL MASTER'!$Q$2:$Q$495,MATCH("Control CDI Plate 6: H2",'CONTROL MASTER'!$G$2:$G$495,0)),"")</f>
        <v/>
      </c>
      <c r="D70" s="9" t="str">
        <f>IFERROR(INDEX('CONTROL MASTER'!$Q$2:$Q$495,MATCH("Control CDI Plate 6: H3",'CONTROL MASTER'!$G$2:$G$495,0)),"")</f>
        <v/>
      </c>
      <c r="E70" s="9" t="str">
        <f>IFERROR(INDEX('CONTROL MASTER'!$Q$2:$Q$495,MATCH("Control CDI Plate 6: H4",'CONTROL MASTER'!$G$2:$G$495,0)),"")</f>
        <v/>
      </c>
      <c r="F70" s="9" t="str">
        <f>IFERROR(INDEX('CONTROL MASTER'!$Q$2:$Q$495,MATCH("Control CDI Plate 6: H5",'CONTROL MASTER'!$G$2:$G$495,0)),"")</f>
        <v/>
      </c>
      <c r="G70" s="9" t="str">
        <f>IFERROR(INDEX('CONTROL MASTER'!$Q$2:$Q$495,MATCH("Control CDI Plate 6: H6",'CONTROL MASTER'!$G$2:$G$495,0)),"")</f>
        <v/>
      </c>
      <c r="H70" s="9" t="str">
        <f>IFERROR(INDEX('CONTROL MASTER'!$Q$2:$Q$495,MATCH("Control CDI Plate 6: H7",'CONTROL MASTER'!$G$2:$G$495,0)),"")</f>
        <v/>
      </c>
      <c r="I70" s="9" t="str">
        <f>IFERROR(INDEX('CONTROL MASTER'!$Q$2:$Q$495,MATCH("Control CDI Plate 6: H8",'CONTROL MASTER'!$G$2:$G$495,0)),"")</f>
        <v/>
      </c>
      <c r="J70" s="9" t="str">
        <f>IFERROR(INDEX('CONTROL MASTER'!$Q$2:$Q$495,MATCH("Control CDI Plate 6: H9",'CONTROL MASTER'!$G$2:$G$495,0)),"")</f>
        <v/>
      </c>
      <c r="K70" s="9" t="str">
        <f>IFERROR(INDEX('CONTROL MASTER'!$Q$2:$Q$495,MATCH("Control CDI Plate 6: H10",'CONTROL MASTER'!$G$2:$G$495,0)),"")</f>
        <v/>
      </c>
      <c r="L70" s="9" t="str">
        <f>IFERROR(INDEX('CONTROL MASTER'!$Q$2:$Q$495,MATCH("Control CDI Plate 6: H11",'CONTROL MASTER'!$G$2:$G$495,0)),"")</f>
        <v/>
      </c>
      <c r="M70" s="9" t="str">
        <f>IFERROR(INDEX('CONTROL MASTER'!$Q$2:$Q$495,MATCH("Control CDI Plate 6: H12",'CONTROL MASTER'!$G$2:$G$495,0)),"")</f>
        <v/>
      </c>
    </row>
    <row r="73" spans="1:13" ht="15" customHeight="1" x14ac:dyDescent="0.35">
      <c r="A73" s="12" t="s">
        <v>118</v>
      </c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</row>
    <row r="74" spans="1:13" ht="15" customHeight="1" x14ac:dyDescent="0.35">
      <c r="B74" s="8">
        <v>1</v>
      </c>
      <c r="C74" s="8">
        <v>2</v>
      </c>
      <c r="D74" s="8">
        <v>3</v>
      </c>
      <c r="E74" s="8">
        <v>4</v>
      </c>
      <c r="F74" s="8">
        <v>5</v>
      </c>
      <c r="G74" s="8">
        <v>6</v>
      </c>
      <c r="H74" s="8">
        <v>7</v>
      </c>
      <c r="I74" s="8">
        <v>8</v>
      </c>
      <c r="J74" s="8">
        <v>9</v>
      </c>
      <c r="K74" s="8">
        <v>10</v>
      </c>
      <c r="L74" s="8">
        <v>11</v>
      </c>
      <c r="M74" s="8">
        <v>12</v>
      </c>
    </row>
    <row r="75" spans="1:13" ht="15" customHeight="1" x14ac:dyDescent="0.35">
      <c r="A75" s="8" t="s">
        <v>28</v>
      </c>
      <c r="B75" s="9" t="str">
        <f>IFERROR(INDEX('CONTROL MASTER'!$Q$2:$Q$495,MATCH("Control CDI Plate 7: A1",'CONTROL MASTER'!$G$2:$G$495,0)),"")</f>
        <v/>
      </c>
      <c r="C75" s="9" t="str">
        <f>IFERROR(INDEX('CONTROL MASTER'!$Q$2:$Q$495,MATCH("Control CDI Plate 7: A2",'CONTROL MASTER'!$G$2:$G$495,0)),"")</f>
        <v/>
      </c>
      <c r="D75" s="9" t="str">
        <f>IFERROR(INDEX('CONTROL MASTER'!$Q$2:$Q$495,MATCH("Control CDI Plate 7: A3",'CONTROL MASTER'!$G$2:$G$495,0)),"")</f>
        <v/>
      </c>
      <c r="E75" s="9" t="str">
        <f>IFERROR(INDEX('CONTROL MASTER'!$Q$2:$Q$495,MATCH("Control CDI Plate 7: A4",'CONTROL MASTER'!$G$2:$G$495,0)),"")</f>
        <v/>
      </c>
      <c r="F75" s="9" t="str">
        <f>IFERROR(INDEX('CONTROL MASTER'!$Q$2:$Q$495,MATCH("Control CDI Plate 7: A5",'CONTROL MASTER'!$G$2:$G$495,0)),"")</f>
        <v/>
      </c>
      <c r="G75" s="9" t="str">
        <f>IFERROR(INDEX('CONTROL MASTER'!$Q$2:$Q$495,MATCH("Control CDI Plate 7: A6",'CONTROL MASTER'!$G$2:$G$495,0)),"")</f>
        <v/>
      </c>
      <c r="H75" s="9" t="str">
        <f>IFERROR(INDEX('CONTROL MASTER'!$Q$2:$Q$495,MATCH("Control CDI Plate 7: A7",'CONTROL MASTER'!$G$2:$G$495,0)),"")</f>
        <v/>
      </c>
      <c r="I75" s="9" t="str">
        <f>IFERROR(INDEX('CONTROL MASTER'!$Q$2:$Q$495,MATCH("Control CDI Plate 7: A8",'CONTROL MASTER'!$G$2:$G$495,0)),"")</f>
        <v/>
      </c>
      <c r="J75" s="9" t="str">
        <f>IFERROR(INDEX('CONTROL MASTER'!$Q$2:$Q$495,MATCH("Control CDI Plate 7: A9",'CONTROL MASTER'!$G$2:$G$495,0)),"")</f>
        <v/>
      </c>
      <c r="K75" s="9" t="str">
        <f>IFERROR(INDEX('CONTROL MASTER'!$Q$2:$Q$495,MATCH("Control CDI Plate 7: A10",'CONTROL MASTER'!$G$2:$G$495,0)),"")</f>
        <v/>
      </c>
      <c r="L75" s="9" t="str">
        <f>IFERROR(INDEX('CONTROL MASTER'!$Q$2:$Q$495,MATCH("Control CDI Plate 7: A11",'CONTROL MASTER'!$G$2:$G$495,0)),"")</f>
        <v/>
      </c>
      <c r="M75" s="9" t="str">
        <f>IFERROR(INDEX('CONTROL MASTER'!$Q$2:$Q$495,MATCH("Control CDI Plate 7: A12",'CONTROL MASTER'!$G$2:$G$495,0)),"")</f>
        <v/>
      </c>
    </row>
    <row r="76" spans="1:13" ht="15" customHeight="1" x14ac:dyDescent="0.35">
      <c r="A76" s="8" t="s">
        <v>29</v>
      </c>
      <c r="B76" s="9" t="str">
        <f>IFERROR(INDEX('CONTROL MASTER'!$Q$2:$Q$495,MATCH("Control CDI Plate 7: B1",'CONTROL MASTER'!$G$2:$G$495,0)),"")</f>
        <v/>
      </c>
      <c r="C76" s="9" t="str">
        <f>IFERROR(INDEX('CONTROL MASTER'!$Q$2:$Q$495,MATCH("Control CDI Plate 7: B2",'CONTROL MASTER'!$G$2:$G$495,0)),"")</f>
        <v/>
      </c>
      <c r="D76" s="9" t="str">
        <f>IFERROR(INDEX('CONTROL MASTER'!$Q$2:$Q$495,MATCH("Control CDI Plate 7: B3",'CONTROL MASTER'!$G$2:$G$495,0)),"")</f>
        <v/>
      </c>
      <c r="E76" s="9" t="str">
        <f>IFERROR(INDEX('CONTROL MASTER'!$Q$2:$Q$495,MATCH("Control CDI Plate 7: B4",'CONTROL MASTER'!$G$2:$G$495,0)),"")</f>
        <v/>
      </c>
      <c r="F76" s="9" t="str">
        <f>IFERROR(INDEX('CONTROL MASTER'!$Q$2:$Q$495,MATCH("Control CDI Plate 7: B5",'CONTROL MASTER'!$G$2:$G$495,0)),"")</f>
        <v/>
      </c>
      <c r="G76" s="9" t="str">
        <f>IFERROR(INDEX('CONTROL MASTER'!$Q$2:$Q$495,MATCH("Control CDI Plate 7: B6",'CONTROL MASTER'!$G$2:$G$495,0)),"")</f>
        <v/>
      </c>
      <c r="H76" s="9" t="str">
        <f>IFERROR(INDEX('CONTROL MASTER'!$Q$2:$Q$495,MATCH("Control CDI Plate 7: B7",'CONTROL MASTER'!$G$2:$G$495,0)),"")</f>
        <v/>
      </c>
      <c r="I76" s="9" t="str">
        <f>IFERROR(INDEX('CONTROL MASTER'!$Q$2:$Q$495,MATCH("Control CDI Plate 7: B8",'CONTROL MASTER'!$G$2:$G$495,0)),"")</f>
        <v/>
      </c>
      <c r="J76" s="9" t="str">
        <f>IFERROR(INDEX('CONTROL MASTER'!$Q$2:$Q$495,MATCH("Control CDI Plate 7: B9",'CONTROL MASTER'!$G$2:$G$495,0)),"")</f>
        <v/>
      </c>
      <c r="K76" s="9" t="str">
        <f>IFERROR(INDEX('CONTROL MASTER'!$Q$2:$Q$495,MATCH("Control CDI Plate 7: B10",'CONTROL MASTER'!$G$2:$G$495,0)),"")</f>
        <v/>
      </c>
      <c r="L76" s="9" t="str">
        <f>IFERROR(INDEX('CONTROL MASTER'!$Q$2:$Q$495,MATCH("Control CDI Plate 7: B11",'CONTROL MASTER'!$G$2:$G$495,0)),"")</f>
        <v/>
      </c>
      <c r="M76" s="9" t="str">
        <f>IFERROR(INDEX('CONTROL MASTER'!$Q$2:$Q$495,MATCH("Control CDI Plate 7: B12",'CONTROL MASTER'!$G$2:$G$495,0)),"")</f>
        <v/>
      </c>
    </row>
    <row r="77" spans="1:13" ht="15" customHeight="1" x14ac:dyDescent="0.35">
      <c r="A77" s="8" t="s">
        <v>30</v>
      </c>
      <c r="B77" s="9" t="str">
        <f>IFERROR(INDEX('CONTROL MASTER'!$Q$2:$Q$495,MATCH("Control CDI Plate 7: C1",'CONTROL MASTER'!$G$2:$G$495,0)),"")</f>
        <v/>
      </c>
      <c r="C77" s="9" t="str">
        <f>IFERROR(INDEX('CONTROL MASTER'!$Q$2:$Q$495,MATCH("Control CDI Plate 7: C2",'CONTROL MASTER'!$G$2:$G$495,0)),"")</f>
        <v/>
      </c>
      <c r="D77" s="9" t="str">
        <f>IFERROR(INDEX('CONTROL MASTER'!$Q$2:$Q$495,MATCH("Control CDI Plate 7: C3",'CONTROL MASTER'!$G$2:$G$495,0)),"")</f>
        <v/>
      </c>
      <c r="E77" s="9" t="str">
        <f>IFERROR(INDEX('CONTROL MASTER'!$Q$2:$Q$495,MATCH("Control CDI Plate 7: C4",'CONTROL MASTER'!$G$2:$G$495,0)),"")</f>
        <v/>
      </c>
      <c r="F77" s="9" t="str">
        <f>IFERROR(INDEX('CONTROL MASTER'!$Q$2:$Q$495,MATCH("Control CDI Plate 7: C5",'CONTROL MASTER'!$G$2:$G$495,0)),"")</f>
        <v/>
      </c>
      <c r="G77" s="9" t="str">
        <f>IFERROR(INDEX('CONTROL MASTER'!$Q$2:$Q$495,MATCH("Control CDI Plate 7: C6",'CONTROL MASTER'!$G$2:$G$495,0)),"")</f>
        <v/>
      </c>
      <c r="H77" s="9" t="str">
        <f>IFERROR(INDEX('CONTROL MASTER'!$Q$2:$Q$495,MATCH("Control CDI Plate 7: C7",'CONTROL MASTER'!$G$2:$G$495,0)),"")</f>
        <v/>
      </c>
      <c r="I77" s="9" t="str">
        <f>IFERROR(INDEX('CONTROL MASTER'!$Q$2:$Q$495,MATCH("Control CDI Plate 7: C8",'CONTROL MASTER'!$G$2:$G$495,0)),"")</f>
        <v/>
      </c>
      <c r="J77" s="9" t="str">
        <f>IFERROR(INDEX('CONTROL MASTER'!$Q$2:$Q$495,MATCH("Control CDI Plate 7: C9",'CONTROL MASTER'!$G$2:$G$495,0)),"")</f>
        <v/>
      </c>
      <c r="K77" s="9" t="str">
        <f>IFERROR(INDEX('CONTROL MASTER'!$Q$2:$Q$495,MATCH("Control CDI Plate 7: C10",'CONTROL MASTER'!$G$2:$G$495,0)),"")</f>
        <v/>
      </c>
      <c r="L77" s="9" t="str">
        <f>IFERROR(INDEX('CONTROL MASTER'!$Q$2:$Q$495,MATCH("Control CDI Plate 7: C11",'CONTROL MASTER'!$G$2:$G$495,0)),"")</f>
        <v/>
      </c>
      <c r="M77" s="9" t="str">
        <f>IFERROR(INDEX('CONTROL MASTER'!$Q$2:$Q$495,MATCH("Control CDI Plate 7: C12",'CONTROL MASTER'!$G$2:$G$495,0)),"")</f>
        <v/>
      </c>
    </row>
    <row r="78" spans="1:13" ht="15" customHeight="1" x14ac:dyDescent="0.35">
      <c r="A78" s="8" t="s">
        <v>31</v>
      </c>
      <c r="B78" s="9" t="str">
        <f>IFERROR(INDEX('CONTROL MASTER'!$Q$2:$Q$495,MATCH("Control CDI Plate 7: D1",'CONTROL MASTER'!$G$2:$G$495,0)),"")</f>
        <v/>
      </c>
      <c r="C78" s="9" t="str">
        <f>IFERROR(INDEX('CONTROL MASTER'!$Q$2:$Q$495,MATCH("Control CDI Plate 7: D2",'CONTROL MASTER'!$G$2:$G$495,0)),"")</f>
        <v/>
      </c>
      <c r="D78" s="9" t="str">
        <f>IFERROR(INDEX('CONTROL MASTER'!$Q$2:$Q$495,MATCH("Control CDI Plate 7: D3",'CONTROL MASTER'!$G$2:$G$495,0)),"")</f>
        <v/>
      </c>
      <c r="E78" s="9" t="str">
        <f>IFERROR(INDEX('CONTROL MASTER'!$Q$2:$Q$495,MATCH("Control CDI Plate 7: D4",'CONTROL MASTER'!$G$2:$G$495,0)),"")</f>
        <v/>
      </c>
      <c r="F78" s="9" t="str">
        <f>IFERROR(INDEX('CONTROL MASTER'!$Q$2:$Q$495,MATCH("Control CDI Plate 7: D5",'CONTROL MASTER'!$G$2:$G$495,0)),"")</f>
        <v/>
      </c>
      <c r="G78" s="9" t="str">
        <f>IFERROR(INDEX('CONTROL MASTER'!$Q$2:$Q$495,MATCH("Control CDI Plate 7: D6",'CONTROL MASTER'!$G$2:$G$495,0)),"")</f>
        <v/>
      </c>
      <c r="H78" s="9" t="str">
        <f>IFERROR(INDEX('CONTROL MASTER'!$Q$2:$Q$495,MATCH("Control CDI Plate 7: D7",'CONTROL MASTER'!$G$2:$G$495,0)),"")</f>
        <v/>
      </c>
      <c r="I78" s="9" t="str">
        <f>IFERROR(INDEX('CONTROL MASTER'!$Q$2:$Q$495,MATCH("Control CDI Plate 7: D8",'CONTROL MASTER'!$G$2:$G$495,0)),"")</f>
        <v/>
      </c>
      <c r="J78" s="9" t="str">
        <f>IFERROR(INDEX('CONTROL MASTER'!$Q$2:$Q$495,MATCH("Control CDI Plate 7: D9",'CONTROL MASTER'!$G$2:$G$495,0)),"")</f>
        <v/>
      </c>
      <c r="K78" s="9" t="str">
        <f>IFERROR(INDEX('CONTROL MASTER'!$Q$2:$Q$495,MATCH("Control CDI Plate 7: D10",'CONTROL MASTER'!$G$2:$G$495,0)),"")</f>
        <v/>
      </c>
      <c r="L78" s="9" t="str">
        <f>IFERROR(INDEX('CONTROL MASTER'!$Q$2:$Q$495,MATCH("Control CDI Plate 7: D11",'CONTROL MASTER'!$G$2:$G$495,0)),"")</f>
        <v/>
      </c>
      <c r="M78" s="9" t="str">
        <f>IFERROR(INDEX('CONTROL MASTER'!$Q$2:$Q$495,MATCH("Control CDI Plate 7: D12",'CONTROL MASTER'!$G$2:$G$495,0)),"")</f>
        <v/>
      </c>
    </row>
    <row r="79" spans="1:13" ht="15" customHeight="1" x14ac:dyDescent="0.35">
      <c r="A79" s="8" t="s">
        <v>32</v>
      </c>
      <c r="B79" s="9" t="str">
        <f>IFERROR(INDEX('CONTROL MASTER'!$Q$2:$Q$495,MATCH("Control CDI Plate 7: E1",'CONTROL MASTER'!$G$2:$G$495,0)),"")</f>
        <v/>
      </c>
      <c r="C79" s="9" t="str">
        <f>IFERROR(INDEX('CONTROL MASTER'!$Q$2:$Q$495,MATCH("Control CDI Plate 7: E2",'CONTROL MASTER'!$G$2:$G$495,0)),"")</f>
        <v/>
      </c>
      <c r="D79" s="9" t="str">
        <f>IFERROR(INDEX('CONTROL MASTER'!$Q$2:$Q$495,MATCH("Control CDI Plate 7: E3",'CONTROL MASTER'!$G$2:$G$495,0)),"")</f>
        <v/>
      </c>
      <c r="E79" s="9" t="str">
        <f>IFERROR(INDEX('CONTROL MASTER'!$Q$2:$Q$495,MATCH("Control CDI Plate 7: E4",'CONTROL MASTER'!$G$2:$G$495,0)),"")</f>
        <v/>
      </c>
      <c r="F79" s="9" t="str">
        <f>IFERROR(INDEX('CONTROL MASTER'!$Q$2:$Q$495,MATCH("Control CDI Plate 7: E5",'CONTROL MASTER'!$G$2:$G$495,0)),"")</f>
        <v/>
      </c>
      <c r="G79" s="9" t="str">
        <f>IFERROR(INDEX('CONTROL MASTER'!$Q$2:$Q$495,MATCH("Control CDI Plate 7: E6",'CONTROL MASTER'!$G$2:$G$495,0)),"")</f>
        <v/>
      </c>
      <c r="H79" s="9" t="str">
        <f>IFERROR(INDEX('CONTROL MASTER'!$Q$2:$Q$495,MATCH("Control CDI Plate 7: E7",'CONTROL MASTER'!$G$2:$G$495,0)),"")</f>
        <v/>
      </c>
      <c r="I79" s="9" t="str">
        <f>IFERROR(INDEX('CONTROL MASTER'!$Q$2:$Q$495,MATCH("Control CDI Plate 7: E8",'CONTROL MASTER'!$G$2:$G$495,0)),"")</f>
        <v/>
      </c>
      <c r="J79" s="9" t="str">
        <f>IFERROR(INDEX('CONTROL MASTER'!$Q$2:$Q$495,MATCH("Control CDI Plate 7: E9",'CONTROL MASTER'!$G$2:$G$495,0)),"")</f>
        <v/>
      </c>
      <c r="K79" s="9" t="str">
        <f>IFERROR(INDEX('CONTROL MASTER'!$Q$2:$Q$495,MATCH("Control CDI Plate 7: E10",'CONTROL MASTER'!$G$2:$G$495,0)),"")</f>
        <v/>
      </c>
      <c r="L79" s="9" t="str">
        <f>IFERROR(INDEX('CONTROL MASTER'!$Q$2:$Q$495,MATCH("Control CDI Plate 7: E11",'CONTROL MASTER'!$G$2:$G$495,0)),"")</f>
        <v/>
      </c>
      <c r="M79" s="9" t="str">
        <f>IFERROR(INDEX('CONTROL MASTER'!$Q$2:$Q$495,MATCH("Control CDI Plate 7: E12",'CONTROL MASTER'!$G$2:$G$495,0)),"")</f>
        <v/>
      </c>
    </row>
    <row r="80" spans="1:13" ht="15" customHeight="1" x14ac:dyDescent="0.35">
      <c r="A80" s="8" t="s">
        <v>33</v>
      </c>
      <c r="B80" s="9" t="str">
        <f>IFERROR(INDEX('CONTROL MASTER'!$Q$2:$Q$495,MATCH("Control CDI Plate 7: F1",'CONTROL MASTER'!$G$2:$G$495,0)),"")</f>
        <v/>
      </c>
      <c r="C80" s="9" t="str">
        <f>IFERROR(INDEX('CONTROL MASTER'!$Q$2:$Q$495,MATCH("Control CDI Plate 7: F2",'CONTROL MASTER'!$G$2:$G$495,0)),"")</f>
        <v/>
      </c>
      <c r="D80" s="9" t="str">
        <f>IFERROR(INDEX('CONTROL MASTER'!$Q$2:$Q$495,MATCH("Control CDI Plate 7: F3",'CONTROL MASTER'!$G$2:$G$495,0)),"")</f>
        <v/>
      </c>
      <c r="E80" s="9" t="str">
        <f>IFERROR(INDEX('CONTROL MASTER'!$Q$2:$Q$495,MATCH("Control CDI Plate 7: F4",'CONTROL MASTER'!$G$2:$G$495,0)),"")</f>
        <v/>
      </c>
      <c r="F80" s="9" t="str">
        <f>IFERROR(INDEX('CONTROL MASTER'!$Q$2:$Q$495,MATCH("Control CDI Plate 7: F5",'CONTROL MASTER'!$G$2:$G$495,0)),"")</f>
        <v/>
      </c>
      <c r="G80" s="9" t="str">
        <f>IFERROR(INDEX('CONTROL MASTER'!$Q$2:$Q$495,MATCH("Control CDI Plate 7: F6",'CONTROL MASTER'!$G$2:$G$495,0)),"")</f>
        <v/>
      </c>
      <c r="H80" s="9" t="str">
        <f>IFERROR(INDEX('CONTROL MASTER'!$Q$2:$Q$495,MATCH("Control CDI Plate 7: F7",'CONTROL MASTER'!$G$2:$G$495,0)),"")</f>
        <v/>
      </c>
      <c r="I80" s="9" t="str">
        <f>IFERROR(INDEX('CONTROL MASTER'!$Q$2:$Q$495,MATCH("Control CDI Plate 7: F8",'CONTROL MASTER'!$G$2:$G$495,0)),"")</f>
        <v/>
      </c>
      <c r="J80" s="9" t="str">
        <f>IFERROR(INDEX('CONTROL MASTER'!$Q$2:$Q$495,MATCH("Control CDI Plate 7: F9",'CONTROL MASTER'!$G$2:$G$495,0)),"")</f>
        <v/>
      </c>
      <c r="K80" s="9" t="str">
        <f>IFERROR(INDEX('CONTROL MASTER'!$Q$2:$Q$495,MATCH("Control CDI Plate 7: F10",'CONTROL MASTER'!$G$2:$G$495,0)),"")</f>
        <v/>
      </c>
      <c r="L80" s="9" t="str">
        <f>IFERROR(INDEX('CONTROL MASTER'!$Q$2:$Q$495,MATCH("Control CDI Plate 7: F11",'CONTROL MASTER'!$G$2:$G$495,0)),"")</f>
        <v/>
      </c>
      <c r="M80" s="9" t="str">
        <f>IFERROR(INDEX('CONTROL MASTER'!$Q$2:$Q$495,MATCH("Control CDI Plate 7: F12",'CONTROL MASTER'!$G$2:$G$495,0)),"")</f>
        <v/>
      </c>
    </row>
    <row r="81" spans="1:13" ht="15" customHeight="1" x14ac:dyDescent="0.35">
      <c r="A81" s="8" t="s">
        <v>34</v>
      </c>
      <c r="B81" s="9" t="str">
        <f>IFERROR(INDEX('CONTROL MASTER'!$Q$2:$Q$495,MATCH("Control CDI Plate 7: G1",'CONTROL MASTER'!$G$2:$G$495,0)),"")</f>
        <v/>
      </c>
      <c r="C81" s="9" t="str">
        <f>IFERROR(INDEX('CONTROL MASTER'!$Q$2:$Q$495,MATCH("Control CDI Plate 7: G2",'CONTROL MASTER'!$G$2:$G$495,0)),"")</f>
        <v/>
      </c>
      <c r="D81" s="9" t="str">
        <f>IFERROR(INDEX('CONTROL MASTER'!$Q$2:$Q$495,MATCH("Control CDI Plate 7: G3",'CONTROL MASTER'!$G$2:$G$495,0)),"")</f>
        <v/>
      </c>
      <c r="E81" s="9" t="str">
        <f>IFERROR(INDEX('CONTROL MASTER'!$Q$2:$Q$495,MATCH("Control CDI Plate 7: G4",'CONTROL MASTER'!$G$2:$G$495,0)),"")</f>
        <v/>
      </c>
      <c r="F81" s="9" t="str">
        <f>IFERROR(INDEX('CONTROL MASTER'!$Q$2:$Q$495,MATCH("Control CDI Plate 7: G5",'CONTROL MASTER'!$G$2:$G$495,0)),"")</f>
        <v/>
      </c>
      <c r="G81" s="9" t="str">
        <f>IFERROR(INDEX('CONTROL MASTER'!$Q$2:$Q$495,MATCH("Control CDI Plate 7: G6",'CONTROL MASTER'!$G$2:$G$495,0)),"")</f>
        <v/>
      </c>
      <c r="H81" s="9" t="str">
        <f>IFERROR(INDEX('CONTROL MASTER'!$Q$2:$Q$495,MATCH("Control CDI Plate 7: G7",'CONTROL MASTER'!$G$2:$G$495,0)),"")</f>
        <v/>
      </c>
      <c r="I81" s="9" t="str">
        <f>IFERROR(INDEX('CONTROL MASTER'!$Q$2:$Q$495,MATCH("Control CDI Plate 7: G8",'CONTROL MASTER'!$G$2:$G$495,0)),"")</f>
        <v/>
      </c>
      <c r="J81" s="9" t="str">
        <f>IFERROR(INDEX('CONTROL MASTER'!$Q$2:$Q$495,MATCH("Control CDI Plate 7: G9",'CONTROL MASTER'!$G$2:$G$495,0)),"")</f>
        <v/>
      </c>
      <c r="K81" s="9" t="str">
        <f>IFERROR(INDEX('CONTROL MASTER'!$Q$2:$Q$495,MATCH("Control CDI Plate 7: G10",'CONTROL MASTER'!$G$2:$G$495,0)),"")</f>
        <v/>
      </c>
      <c r="L81" s="9" t="str">
        <f>IFERROR(INDEX('CONTROL MASTER'!$Q$2:$Q$495,MATCH("Control CDI Plate 7: G11",'CONTROL MASTER'!$G$2:$G$495,0)),"")</f>
        <v/>
      </c>
      <c r="M81" s="9" t="str">
        <f>IFERROR(INDEX('CONTROL MASTER'!$Q$2:$Q$495,MATCH("Control CDI Plate 7: G12",'CONTROL MASTER'!$G$2:$G$495,0)),"")</f>
        <v/>
      </c>
    </row>
    <row r="82" spans="1:13" ht="15" customHeight="1" x14ac:dyDescent="0.35">
      <c r="A82" s="8" t="s">
        <v>35</v>
      </c>
      <c r="B82" s="9" t="str">
        <f>IFERROR(INDEX('CONTROL MASTER'!$Q$2:$Q$495,MATCH("Control CDI Plate 7: H1",'CONTROL MASTER'!$G$2:$G$495,0)),"")</f>
        <v/>
      </c>
      <c r="C82" s="9" t="str">
        <f>IFERROR(INDEX('CONTROL MASTER'!$Q$2:$Q$495,MATCH("Control CDI Plate 7: H2",'CONTROL MASTER'!$G$2:$G$495,0)),"")</f>
        <v/>
      </c>
      <c r="D82" s="9" t="str">
        <f>IFERROR(INDEX('CONTROL MASTER'!$Q$2:$Q$495,MATCH("Control CDI Plate 7: H3",'CONTROL MASTER'!$G$2:$G$495,0)),"")</f>
        <v/>
      </c>
      <c r="E82" s="9" t="str">
        <f>IFERROR(INDEX('CONTROL MASTER'!$Q$2:$Q$495,MATCH("Control CDI Plate 7: H4",'CONTROL MASTER'!$G$2:$G$495,0)),"")</f>
        <v/>
      </c>
      <c r="F82" s="9" t="str">
        <f>IFERROR(INDEX('CONTROL MASTER'!$Q$2:$Q$495,MATCH("Control CDI Plate 7: H5",'CONTROL MASTER'!$G$2:$G$495,0)),"")</f>
        <v/>
      </c>
      <c r="G82" s="9" t="str">
        <f>IFERROR(INDEX('CONTROL MASTER'!$Q$2:$Q$495,MATCH("Control CDI Plate 7: H6",'CONTROL MASTER'!$G$2:$G$495,0)),"")</f>
        <v/>
      </c>
      <c r="H82" s="9" t="str">
        <f>IFERROR(INDEX('CONTROL MASTER'!$Q$2:$Q$495,MATCH("Control CDI Plate 7: H7",'CONTROL MASTER'!$G$2:$G$495,0)),"")</f>
        <v/>
      </c>
      <c r="I82" s="9" t="str">
        <f>IFERROR(INDEX('CONTROL MASTER'!$Q$2:$Q$495,MATCH("Control CDI Plate 7: H8",'CONTROL MASTER'!$G$2:$G$495,0)),"")</f>
        <v/>
      </c>
      <c r="J82" s="9" t="str">
        <f>IFERROR(INDEX('CONTROL MASTER'!$Q$2:$Q$495,MATCH("Control CDI Plate 7: H9",'CONTROL MASTER'!$G$2:$G$495,0)),"")</f>
        <v/>
      </c>
      <c r="K82" s="9" t="str">
        <f>IFERROR(INDEX('CONTROL MASTER'!$Q$2:$Q$495,MATCH("Control CDI Plate 7: H10",'CONTROL MASTER'!$G$2:$G$495,0)),"")</f>
        <v/>
      </c>
      <c r="L82" s="9" t="str">
        <f>IFERROR(INDEX('CONTROL MASTER'!$Q$2:$Q$495,MATCH("Control CDI Plate 7: H11",'CONTROL MASTER'!$G$2:$G$495,0)),"")</f>
        <v/>
      </c>
      <c r="M82" s="9" t="str">
        <f>IFERROR(INDEX('CONTROL MASTER'!$Q$2:$Q$495,MATCH("Control CDI Plate 7: H12",'CONTROL MASTER'!$G$2:$G$495,0)),"")</f>
        <v/>
      </c>
    </row>
    <row r="85" spans="1:13" ht="15" customHeight="1" x14ac:dyDescent="0.35">
      <c r="A85" s="12" t="s">
        <v>119</v>
      </c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</row>
    <row r="86" spans="1:13" ht="15" customHeight="1" x14ac:dyDescent="0.35">
      <c r="B86" s="8">
        <v>1</v>
      </c>
      <c r="C86" s="8">
        <v>2</v>
      </c>
      <c r="D86" s="8">
        <v>3</v>
      </c>
      <c r="E86" s="8">
        <v>4</v>
      </c>
      <c r="F86" s="8">
        <v>5</v>
      </c>
      <c r="G86" s="8">
        <v>6</v>
      </c>
      <c r="H86" s="8">
        <v>7</v>
      </c>
      <c r="I86" s="8">
        <v>8</v>
      </c>
      <c r="J86" s="8">
        <v>9</v>
      </c>
      <c r="K86" s="8">
        <v>10</v>
      </c>
      <c r="L86" s="8">
        <v>11</v>
      </c>
      <c r="M86" s="8">
        <v>12</v>
      </c>
    </row>
    <row r="87" spans="1:13" ht="15" customHeight="1" x14ac:dyDescent="0.35">
      <c r="A87" s="8" t="s">
        <v>28</v>
      </c>
      <c r="B87" s="9" t="str">
        <f>IFERROR(INDEX('CONTROL MASTER'!$Q$2:$Q$495,MATCH("Control CDI Plate 8: A1",'CONTROL MASTER'!$G$2:$G$495,0)),"")</f>
        <v/>
      </c>
      <c r="C87" s="9" t="str">
        <f>IFERROR(INDEX('CONTROL MASTER'!$Q$2:$Q$495,MATCH("Control CDI Plate 8: A2",'CONTROL MASTER'!$G$2:$G$495,0)),"")</f>
        <v/>
      </c>
      <c r="D87" s="9" t="str">
        <f>IFERROR(INDEX('CONTROL MASTER'!$Q$2:$Q$495,MATCH("Control CDI Plate 8: A3",'CONTROL MASTER'!$G$2:$G$495,0)),"")</f>
        <v/>
      </c>
      <c r="E87" s="9" t="str">
        <f>IFERROR(INDEX('CONTROL MASTER'!$Q$2:$Q$495,MATCH("Control CDI Plate 8: A4",'CONTROL MASTER'!$G$2:$G$495,0)),"")</f>
        <v/>
      </c>
      <c r="F87" s="9" t="str">
        <f>IFERROR(INDEX('CONTROL MASTER'!$Q$2:$Q$495,MATCH("Control CDI Plate 8: A5",'CONTROL MASTER'!$G$2:$G$495,0)),"")</f>
        <v/>
      </c>
      <c r="G87" s="9" t="str">
        <f>IFERROR(INDEX('CONTROL MASTER'!$Q$2:$Q$495,MATCH("Control CDI Plate 8: A6",'CONTROL MASTER'!$G$2:$G$495,0)),"")</f>
        <v/>
      </c>
      <c r="H87" s="9" t="str">
        <f>IFERROR(INDEX('CONTROL MASTER'!$Q$2:$Q$495,MATCH("Control CDI Plate 8: A7",'CONTROL MASTER'!$G$2:$G$495,0)),"")</f>
        <v/>
      </c>
      <c r="I87" s="9" t="str">
        <f>IFERROR(INDEX('CONTROL MASTER'!$Q$2:$Q$495,MATCH("Control CDI Plate 8: A8",'CONTROL MASTER'!$G$2:$G$495,0)),"")</f>
        <v/>
      </c>
      <c r="J87" s="9" t="str">
        <f>IFERROR(INDEX('CONTROL MASTER'!$Q$2:$Q$495,MATCH("Control CDI Plate 8: A9",'CONTROL MASTER'!$G$2:$G$495,0)),"")</f>
        <v/>
      </c>
      <c r="K87" s="9" t="str">
        <f>IFERROR(INDEX('CONTROL MASTER'!$Q$2:$Q$495,MATCH("Control CDI Plate 8: A10",'CONTROL MASTER'!$G$2:$G$495,0)),"")</f>
        <v/>
      </c>
      <c r="L87" s="9" t="str">
        <f>IFERROR(INDEX('CONTROL MASTER'!$Q$2:$Q$495,MATCH("Control CDI Plate 8: A11",'CONTROL MASTER'!$G$2:$G$495,0)),"")</f>
        <v/>
      </c>
      <c r="M87" s="9" t="str">
        <f>IFERROR(INDEX('CONTROL MASTER'!$Q$2:$Q$495,MATCH("Control CDI Plate 8: A12",'CONTROL MASTER'!$G$2:$G$495,0)),"")</f>
        <v/>
      </c>
    </row>
    <row r="88" spans="1:13" ht="15" customHeight="1" x14ac:dyDescent="0.35">
      <c r="A88" s="8" t="s">
        <v>29</v>
      </c>
      <c r="B88" s="9" t="str">
        <f>IFERROR(INDEX('CONTROL MASTER'!$Q$2:$Q$495,MATCH("Control CDI Plate 8: B1",'CONTROL MASTER'!$G$2:$G$495,0)),"")</f>
        <v/>
      </c>
      <c r="C88" s="9" t="str">
        <f>IFERROR(INDEX('CONTROL MASTER'!$Q$2:$Q$495,MATCH("Control CDI Plate 8: B2",'CONTROL MASTER'!$G$2:$G$495,0)),"")</f>
        <v/>
      </c>
      <c r="D88" s="9" t="str">
        <f>IFERROR(INDEX('CONTROL MASTER'!$Q$2:$Q$495,MATCH("Control CDI Plate 8: B3",'CONTROL MASTER'!$G$2:$G$495,0)),"")</f>
        <v/>
      </c>
      <c r="E88" s="9" t="str">
        <f>IFERROR(INDEX('CONTROL MASTER'!$Q$2:$Q$495,MATCH("Control CDI Plate 8: B4",'CONTROL MASTER'!$G$2:$G$495,0)),"")</f>
        <v/>
      </c>
      <c r="F88" s="9" t="str">
        <f>IFERROR(INDEX('CONTROL MASTER'!$Q$2:$Q$495,MATCH("Control CDI Plate 8: B5",'CONTROL MASTER'!$G$2:$G$495,0)),"")</f>
        <v/>
      </c>
      <c r="G88" s="9" t="str">
        <f>IFERROR(INDEX('CONTROL MASTER'!$Q$2:$Q$495,MATCH("Control CDI Plate 8: B6",'CONTROL MASTER'!$G$2:$G$495,0)),"")</f>
        <v/>
      </c>
      <c r="H88" s="9" t="str">
        <f>IFERROR(INDEX('CONTROL MASTER'!$Q$2:$Q$495,MATCH("Control CDI Plate 8: B7",'CONTROL MASTER'!$G$2:$G$495,0)),"")</f>
        <v/>
      </c>
      <c r="I88" s="9" t="str">
        <f>IFERROR(INDEX('CONTROL MASTER'!$Q$2:$Q$495,MATCH("Control CDI Plate 8: B8",'CONTROL MASTER'!$G$2:$G$495,0)),"")</f>
        <v/>
      </c>
      <c r="J88" s="9" t="str">
        <f>IFERROR(INDEX('CONTROL MASTER'!$Q$2:$Q$495,MATCH("Control CDI Plate 8: B9",'CONTROL MASTER'!$G$2:$G$495,0)),"")</f>
        <v/>
      </c>
      <c r="K88" s="9" t="str">
        <f>IFERROR(INDEX('CONTROL MASTER'!$Q$2:$Q$495,MATCH("Control CDI Plate 8: B10",'CONTROL MASTER'!$G$2:$G$495,0)),"")</f>
        <v/>
      </c>
      <c r="L88" s="9" t="str">
        <f>IFERROR(INDEX('CONTROL MASTER'!$Q$2:$Q$495,MATCH("Control CDI Plate 8: B11",'CONTROL MASTER'!$G$2:$G$495,0)),"")</f>
        <v/>
      </c>
      <c r="M88" s="9" t="str">
        <f>IFERROR(INDEX('CONTROL MASTER'!$Q$2:$Q$495,MATCH("Control CDI Plate 8: B12",'CONTROL MASTER'!$G$2:$G$495,0)),"")</f>
        <v/>
      </c>
    </row>
    <row r="89" spans="1:13" ht="15" customHeight="1" x14ac:dyDescent="0.35">
      <c r="A89" s="8" t="s">
        <v>30</v>
      </c>
      <c r="B89" s="9" t="str">
        <f>IFERROR(INDEX('CONTROL MASTER'!$Q$2:$Q$495,MATCH("Control CDI Plate 8: C1",'CONTROL MASTER'!$G$2:$G$495,0)),"")</f>
        <v/>
      </c>
      <c r="C89" s="9" t="str">
        <f>IFERROR(INDEX('CONTROL MASTER'!$Q$2:$Q$495,MATCH("Control CDI Plate 8: C2",'CONTROL MASTER'!$G$2:$G$495,0)),"")</f>
        <v/>
      </c>
      <c r="D89" s="9" t="str">
        <f>IFERROR(INDEX('CONTROL MASTER'!$Q$2:$Q$495,MATCH("Control CDI Plate 8: C3",'CONTROL MASTER'!$G$2:$G$495,0)),"")</f>
        <v/>
      </c>
      <c r="E89" s="9" t="str">
        <f>IFERROR(INDEX('CONTROL MASTER'!$Q$2:$Q$495,MATCH("Control CDI Plate 8: C4",'CONTROL MASTER'!$G$2:$G$495,0)),"")</f>
        <v/>
      </c>
      <c r="F89" s="9" t="str">
        <f>IFERROR(INDEX('CONTROL MASTER'!$Q$2:$Q$495,MATCH("Control CDI Plate 8: C5",'CONTROL MASTER'!$G$2:$G$495,0)),"")</f>
        <v/>
      </c>
      <c r="G89" s="9" t="str">
        <f>IFERROR(INDEX('CONTROL MASTER'!$Q$2:$Q$495,MATCH("Control CDI Plate 8: C6",'CONTROL MASTER'!$G$2:$G$495,0)),"")</f>
        <v/>
      </c>
      <c r="H89" s="9" t="str">
        <f>IFERROR(INDEX('CONTROL MASTER'!$Q$2:$Q$495,MATCH("Control CDI Plate 8: C7",'CONTROL MASTER'!$G$2:$G$495,0)),"")</f>
        <v/>
      </c>
      <c r="I89" s="9" t="str">
        <f>IFERROR(INDEX('CONTROL MASTER'!$Q$2:$Q$495,MATCH("Control CDI Plate 8: C8",'CONTROL MASTER'!$G$2:$G$495,0)),"")</f>
        <v/>
      </c>
      <c r="J89" s="9" t="str">
        <f>IFERROR(INDEX('CONTROL MASTER'!$Q$2:$Q$495,MATCH("Control CDI Plate 8: C9",'CONTROL MASTER'!$G$2:$G$495,0)),"")</f>
        <v/>
      </c>
      <c r="K89" s="9" t="str">
        <f>IFERROR(INDEX('CONTROL MASTER'!$Q$2:$Q$495,MATCH("Control CDI Plate 8: C10",'CONTROL MASTER'!$G$2:$G$495,0)),"")</f>
        <v/>
      </c>
      <c r="L89" s="9" t="str">
        <f>IFERROR(INDEX('CONTROL MASTER'!$Q$2:$Q$495,MATCH("Control CDI Plate 8: C11",'CONTROL MASTER'!$G$2:$G$495,0)),"")</f>
        <v/>
      </c>
      <c r="M89" s="9" t="str">
        <f>IFERROR(INDEX('CONTROL MASTER'!$Q$2:$Q$495,MATCH("Control CDI Plate 8: C12",'CONTROL MASTER'!$G$2:$G$495,0)),"")</f>
        <v/>
      </c>
    </row>
    <row r="90" spans="1:13" ht="15" customHeight="1" x14ac:dyDescent="0.35">
      <c r="A90" s="8" t="s">
        <v>31</v>
      </c>
      <c r="B90" s="9" t="str">
        <f>IFERROR(INDEX('CONTROL MASTER'!$Q$2:$Q$495,MATCH("Control CDI Plate 8: D1",'CONTROL MASTER'!$G$2:$G$495,0)),"")</f>
        <v/>
      </c>
      <c r="C90" s="9" t="str">
        <f>IFERROR(INDEX('CONTROL MASTER'!$Q$2:$Q$495,MATCH("Control CDI Plate 8: D2",'CONTROL MASTER'!$G$2:$G$495,0)),"")</f>
        <v/>
      </c>
      <c r="D90" s="9" t="str">
        <f>IFERROR(INDEX('CONTROL MASTER'!$Q$2:$Q$495,MATCH("Control CDI Plate 8: D3",'CONTROL MASTER'!$G$2:$G$495,0)),"")</f>
        <v/>
      </c>
      <c r="E90" s="9" t="str">
        <f>IFERROR(INDEX('CONTROL MASTER'!$Q$2:$Q$495,MATCH("Control CDI Plate 8: D4",'CONTROL MASTER'!$G$2:$G$495,0)),"")</f>
        <v/>
      </c>
      <c r="F90" s="9" t="str">
        <f>IFERROR(INDEX('CONTROL MASTER'!$Q$2:$Q$495,MATCH("Control CDI Plate 8: D5",'CONTROL MASTER'!$G$2:$G$495,0)),"")</f>
        <v/>
      </c>
      <c r="G90" s="9" t="str">
        <f>IFERROR(INDEX('CONTROL MASTER'!$Q$2:$Q$495,MATCH("Control CDI Plate 8: D6",'CONTROL MASTER'!$G$2:$G$495,0)),"")</f>
        <v/>
      </c>
      <c r="H90" s="9" t="str">
        <f>IFERROR(INDEX('CONTROL MASTER'!$Q$2:$Q$495,MATCH("Control CDI Plate 8: D7",'CONTROL MASTER'!$G$2:$G$495,0)),"")</f>
        <v/>
      </c>
      <c r="I90" s="9" t="str">
        <f>IFERROR(INDEX('CONTROL MASTER'!$Q$2:$Q$495,MATCH("Control CDI Plate 8: D8",'CONTROL MASTER'!$G$2:$G$495,0)),"")</f>
        <v/>
      </c>
      <c r="J90" s="9" t="str">
        <f>IFERROR(INDEX('CONTROL MASTER'!$Q$2:$Q$495,MATCH("Control CDI Plate 8: D9",'CONTROL MASTER'!$G$2:$G$495,0)),"")</f>
        <v/>
      </c>
      <c r="K90" s="9" t="str">
        <f>IFERROR(INDEX('CONTROL MASTER'!$Q$2:$Q$495,MATCH("Control CDI Plate 8: D10",'CONTROL MASTER'!$G$2:$G$495,0)),"")</f>
        <v/>
      </c>
      <c r="L90" s="9" t="str">
        <f>IFERROR(INDEX('CONTROL MASTER'!$Q$2:$Q$495,MATCH("Control CDI Plate 8: D11",'CONTROL MASTER'!$G$2:$G$495,0)),"")</f>
        <v/>
      </c>
      <c r="M90" s="9" t="str">
        <f>IFERROR(INDEX('CONTROL MASTER'!$Q$2:$Q$495,MATCH("Control CDI Plate 8: D12",'CONTROL MASTER'!$G$2:$G$495,0)),"")</f>
        <v/>
      </c>
    </row>
    <row r="91" spans="1:13" ht="15" customHeight="1" x14ac:dyDescent="0.35">
      <c r="A91" s="8" t="s">
        <v>32</v>
      </c>
      <c r="B91" s="9" t="str">
        <f>IFERROR(INDEX('CONTROL MASTER'!$Q$2:$Q$495,MATCH("Control CDI Plate 8: E1",'CONTROL MASTER'!$G$2:$G$495,0)),"")</f>
        <v/>
      </c>
      <c r="C91" s="9" t="str">
        <f>IFERROR(INDEX('CONTROL MASTER'!$Q$2:$Q$495,MATCH("Control CDI Plate 8: E2",'CONTROL MASTER'!$G$2:$G$495,0)),"")</f>
        <v/>
      </c>
      <c r="D91" s="9" t="str">
        <f>IFERROR(INDEX('CONTROL MASTER'!$Q$2:$Q$495,MATCH("Control CDI Plate 8: E3",'CONTROL MASTER'!$G$2:$G$495,0)),"")</f>
        <v/>
      </c>
      <c r="E91" s="9" t="str">
        <f>IFERROR(INDEX('CONTROL MASTER'!$Q$2:$Q$495,MATCH("Control CDI Plate 8: E4",'CONTROL MASTER'!$G$2:$G$495,0)),"")</f>
        <v/>
      </c>
      <c r="F91" s="9" t="str">
        <f>IFERROR(INDEX('CONTROL MASTER'!$Q$2:$Q$495,MATCH("Control CDI Plate 8: E5",'CONTROL MASTER'!$G$2:$G$495,0)),"")</f>
        <v/>
      </c>
      <c r="G91" s="9" t="str">
        <f>IFERROR(INDEX('CONTROL MASTER'!$Q$2:$Q$495,MATCH("Control CDI Plate 8: E6",'CONTROL MASTER'!$G$2:$G$495,0)),"")</f>
        <v/>
      </c>
      <c r="H91" s="9" t="str">
        <f>IFERROR(INDEX('CONTROL MASTER'!$Q$2:$Q$495,MATCH("Control CDI Plate 8: E7",'CONTROL MASTER'!$G$2:$G$495,0)),"")</f>
        <v/>
      </c>
      <c r="I91" s="9" t="str">
        <f>IFERROR(INDEX('CONTROL MASTER'!$Q$2:$Q$495,MATCH("Control CDI Plate 8: E8",'CONTROL MASTER'!$G$2:$G$495,0)),"")</f>
        <v/>
      </c>
      <c r="J91" s="9" t="str">
        <f>IFERROR(INDEX('CONTROL MASTER'!$Q$2:$Q$495,MATCH("Control CDI Plate 8: E9",'CONTROL MASTER'!$G$2:$G$495,0)),"")</f>
        <v/>
      </c>
      <c r="K91" s="9" t="str">
        <f>IFERROR(INDEX('CONTROL MASTER'!$Q$2:$Q$495,MATCH("Control CDI Plate 8: E10",'CONTROL MASTER'!$G$2:$G$495,0)),"")</f>
        <v/>
      </c>
      <c r="L91" s="9" t="str">
        <f>IFERROR(INDEX('CONTROL MASTER'!$Q$2:$Q$495,MATCH("Control CDI Plate 8: E11",'CONTROL MASTER'!$G$2:$G$495,0)),"")</f>
        <v/>
      </c>
      <c r="M91" s="9" t="str">
        <f>IFERROR(INDEX('CONTROL MASTER'!$Q$2:$Q$495,MATCH("Control CDI Plate 8: E12",'CONTROL MASTER'!$G$2:$G$495,0)),"")</f>
        <v/>
      </c>
    </row>
    <row r="92" spans="1:13" ht="15" customHeight="1" x14ac:dyDescent="0.35">
      <c r="A92" s="8" t="s">
        <v>33</v>
      </c>
      <c r="B92" s="9" t="str">
        <f>IFERROR(INDEX('CONTROL MASTER'!$Q$2:$Q$495,MATCH("Control CDI Plate 8: F1",'CONTROL MASTER'!$G$2:$G$495,0)),"")</f>
        <v/>
      </c>
      <c r="C92" s="9" t="str">
        <f>IFERROR(INDEX('CONTROL MASTER'!$Q$2:$Q$495,MATCH("Control CDI Plate 8: F2",'CONTROL MASTER'!$G$2:$G$495,0)),"")</f>
        <v/>
      </c>
      <c r="D92" s="9" t="str">
        <f>IFERROR(INDEX('CONTROL MASTER'!$Q$2:$Q$495,MATCH("Control CDI Plate 8: F3",'CONTROL MASTER'!$G$2:$G$495,0)),"")</f>
        <v/>
      </c>
      <c r="E92" s="9" t="str">
        <f>IFERROR(INDEX('CONTROL MASTER'!$Q$2:$Q$495,MATCH("Control CDI Plate 8: F4",'CONTROL MASTER'!$G$2:$G$495,0)),"")</f>
        <v/>
      </c>
      <c r="F92" s="9" t="str">
        <f>IFERROR(INDEX('CONTROL MASTER'!$Q$2:$Q$495,MATCH("Control CDI Plate 8: F5",'CONTROL MASTER'!$G$2:$G$495,0)),"")</f>
        <v/>
      </c>
      <c r="G92" s="9" t="str">
        <f>IFERROR(INDEX('CONTROL MASTER'!$Q$2:$Q$495,MATCH("Control CDI Plate 8: F6",'CONTROL MASTER'!$G$2:$G$495,0)),"")</f>
        <v/>
      </c>
      <c r="H92" s="9" t="str">
        <f>IFERROR(INDEX('CONTROL MASTER'!$Q$2:$Q$495,MATCH("Control CDI Plate 8: F7",'CONTROL MASTER'!$G$2:$G$495,0)),"")</f>
        <v/>
      </c>
      <c r="I92" s="9" t="str">
        <f>IFERROR(INDEX('CONTROL MASTER'!$Q$2:$Q$495,MATCH("Control CDI Plate 8: F8",'CONTROL MASTER'!$G$2:$G$495,0)),"")</f>
        <v/>
      </c>
      <c r="J92" s="9" t="str">
        <f>IFERROR(INDEX('CONTROL MASTER'!$Q$2:$Q$495,MATCH("Control CDI Plate 8: F9",'CONTROL MASTER'!$G$2:$G$495,0)),"")</f>
        <v/>
      </c>
      <c r="K92" s="9" t="str">
        <f>IFERROR(INDEX('CONTROL MASTER'!$Q$2:$Q$495,MATCH("Control CDI Plate 8: F10",'CONTROL MASTER'!$G$2:$G$495,0)),"")</f>
        <v/>
      </c>
      <c r="L92" s="9" t="str">
        <f>IFERROR(INDEX('CONTROL MASTER'!$Q$2:$Q$495,MATCH("Control CDI Plate 8: F11",'CONTROL MASTER'!$G$2:$G$495,0)),"")</f>
        <v/>
      </c>
      <c r="M92" s="9" t="str">
        <f>IFERROR(INDEX('CONTROL MASTER'!$Q$2:$Q$495,MATCH("Control CDI Plate 8: F12",'CONTROL MASTER'!$G$2:$G$495,0)),"")</f>
        <v/>
      </c>
    </row>
    <row r="93" spans="1:13" ht="15" customHeight="1" x14ac:dyDescent="0.35">
      <c r="A93" s="8" t="s">
        <v>34</v>
      </c>
      <c r="B93" s="9" t="str">
        <f>IFERROR(INDEX('CONTROL MASTER'!$Q$2:$Q$495,MATCH("Control CDI Plate 8: G1",'CONTROL MASTER'!$G$2:$G$495,0)),"")</f>
        <v/>
      </c>
      <c r="C93" s="9" t="str">
        <f>IFERROR(INDEX('CONTROL MASTER'!$Q$2:$Q$495,MATCH("Control CDI Plate 8: G2",'CONTROL MASTER'!$G$2:$G$495,0)),"")</f>
        <v/>
      </c>
      <c r="D93" s="9" t="str">
        <f>IFERROR(INDEX('CONTROL MASTER'!$Q$2:$Q$495,MATCH("Control CDI Plate 8: G3",'CONTROL MASTER'!$G$2:$G$495,0)),"")</f>
        <v/>
      </c>
      <c r="E93" s="9" t="str">
        <f>IFERROR(INDEX('CONTROL MASTER'!$Q$2:$Q$495,MATCH("Control CDI Plate 8: G4",'CONTROL MASTER'!$G$2:$G$495,0)),"")</f>
        <v/>
      </c>
      <c r="F93" s="9" t="str">
        <f>IFERROR(INDEX('CONTROL MASTER'!$Q$2:$Q$495,MATCH("Control CDI Plate 8: G5",'CONTROL MASTER'!$G$2:$G$495,0)),"")</f>
        <v/>
      </c>
      <c r="G93" s="9" t="str">
        <f>IFERROR(INDEX('CONTROL MASTER'!$Q$2:$Q$495,MATCH("Control CDI Plate 8: G6",'CONTROL MASTER'!$G$2:$G$495,0)),"")</f>
        <v/>
      </c>
      <c r="H93" s="9" t="str">
        <f>IFERROR(INDEX('CONTROL MASTER'!$Q$2:$Q$495,MATCH("Control CDI Plate 8: G7",'CONTROL MASTER'!$G$2:$G$495,0)),"")</f>
        <v/>
      </c>
      <c r="I93" s="9" t="str">
        <f>IFERROR(INDEX('CONTROL MASTER'!$Q$2:$Q$495,MATCH("Control CDI Plate 8: G8",'CONTROL MASTER'!$G$2:$G$495,0)),"")</f>
        <v/>
      </c>
      <c r="J93" s="9" t="str">
        <f>IFERROR(INDEX('CONTROL MASTER'!$Q$2:$Q$495,MATCH("Control CDI Plate 8: G9",'CONTROL MASTER'!$G$2:$G$495,0)),"")</f>
        <v/>
      </c>
      <c r="K93" s="9" t="str">
        <f>IFERROR(INDEX('CONTROL MASTER'!$Q$2:$Q$495,MATCH("Control CDI Plate 8: G10",'CONTROL MASTER'!$G$2:$G$495,0)),"")</f>
        <v/>
      </c>
      <c r="L93" s="9" t="str">
        <f>IFERROR(INDEX('CONTROL MASTER'!$Q$2:$Q$495,MATCH("Control CDI Plate 8: G11",'CONTROL MASTER'!$G$2:$G$495,0)),"")</f>
        <v/>
      </c>
      <c r="M93" s="9" t="str">
        <f>IFERROR(INDEX('CONTROL MASTER'!$Q$2:$Q$495,MATCH("Control CDI Plate 8: G12",'CONTROL MASTER'!$G$2:$G$495,0)),"")</f>
        <v/>
      </c>
    </row>
    <row r="94" spans="1:13" ht="15" customHeight="1" x14ac:dyDescent="0.35">
      <c r="A94" s="8" t="s">
        <v>35</v>
      </c>
      <c r="B94" s="9" t="str">
        <f>IFERROR(INDEX('CONTROL MASTER'!$Q$2:$Q$495,MATCH("Control CDI Plate 8: H1",'CONTROL MASTER'!$G$2:$G$495,0)),"")</f>
        <v/>
      </c>
      <c r="C94" s="9" t="str">
        <f>IFERROR(INDEX('CONTROL MASTER'!$Q$2:$Q$495,MATCH("Control CDI Plate 8: H2",'CONTROL MASTER'!$G$2:$G$495,0)),"")</f>
        <v/>
      </c>
      <c r="D94" s="9" t="str">
        <f>IFERROR(INDEX('CONTROL MASTER'!$Q$2:$Q$495,MATCH("Control CDI Plate 8: H3",'CONTROL MASTER'!$G$2:$G$495,0)),"")</f>
        <v/>
      </c>
      <c r="E94" s="9" t="str">
        <f>IFERROR(INDEX('CONTROL MASTER'!$Q$2:$Q$495,MATCH("Control CDI Plate 8: H4",'CONTROL MASTER'!$G$2:$G$495,0)),"")</f>
        <v/>
      </c>
      <c r="F94" s="9" t="str">
        <f>IFERROR(INDEX('CONTROL MASTER'!$Q$2:$Q$495,MATCH("Control CDI Plate 8: H5",'CONTROL MASTER'!$G$2:$G$495,0)),"")</f>
        <v/>
      </c>
      <c r="G94" s="9" t="str">
        <f>IFERROR(INDEX('CONTROL MASTER'!$Q$2:$Q$495,MATCH("Control CDI Plate 8: H6",'CONTROL MASTER'!$G$2:$G$495,0)),"")</f>
        <v/>
      </c>
      <c r="H94" s="9" t="str">
        <f>IFERROR(INDEX('CONTROL MASTER'!$Q$2:$Q$495,MATCH("Control CDI Plate 8: H7",'CONTROL MASTER'!$G$2:$G$495,0)),"")</f>
        <v/>
      </c>
      <c r="I94" s="9" t="str">
        <f>IFERROR(INDEX('CONTROL MASTER'!$Q$2:$Q$495,MATCH("Control CDI Plate 8: H8",'CONTROL MASTER'!$G$2:$G$495,0)),"")</f>
        <v/>
      </c>
      <c r="J94" s="9" t="str">
        <f>IFERROR(INDEX('CONTROL MASTER'!$Q$2:$Q$495,MATCH("Control CDI Plate 8: H9",'CONTROL MASTER'!$G$2:$G$495,0)),"")</f>
        <v/>
      </c>
      <c r="K94" s="9" t="str">
        <f>IFERROR(INDEX('CONTROL MASTER'!$Q$2:$Q$495,MATCH("Control CDI Plate 8: H10",'CONTROL MASTER'!$G$2:$G$495,0)),"")</f>
        <v/>
      </c>
      <c r="L94" s="9" t="str">
        <f>IFERROR(INDEX('CONTROL MASTER'!$Q$2:$Q$495,MATCH("Control CDI Plate 8: H11",'CONTROL MASTER'!$G$2:$G$495,0)),"")</f>
        <v/>
      </c>
      <c r="M94" s="9" t="str">
        <f>IFERROR(INDEX('CONTROL MASTER'!$Q$2:$Q$495,MATCH("Control CDI Plate 8: H12",'CONTROL MASTER'!$G$2:$G$495,0)),"")</f>
        <v/>
      </c>
    </row>
    <row r="97" spans="1:13" ht="15" customHeight="1" x14ac:dyDescent="0.35">
      <c r="A97" s="12" t="s">
        <v>120</v>
      </c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</row>
    <row r="98" spans="1:13" ht="15" customHeight="1" x14ac:dyDescent="0.35">
      <c r="B98" s="8">
        <v>1</v>
      </c>
      <c r="C98" s="8">
        <v>2</v>
      </c>
      <c r="D98" s="8">
        <v>3</v>
      </c>
      <c r="E98" s="8">
        <v>4</v>
      </c>
      <c r="F98" s="8">
        <v>5</v>
      </c>
      <c r="G98" s="8">
        <v>6</v>
      </c>
      <c r="H98" s="8">
        <v>7</v>
      </c>
      <c r="I98" s="8">
        <v>8</v>
      </c>
      <c r="J98" s="8">
        <v>9</v>
      </c>
      <c r="K98" s="8">
        <v>10</v>
      </c>
      <c r="L98" s="8">
        <v>11</v>
      </c>
      <c r="M98" s="8">
        <v>12</v>
      </c>
    </row>
    <row r="99" spans="1:13" ht="15" customHeight="1" x14ac:dyDescent="0.35">
      <c r="A99" s="8" t="s">
        <v>28</v>
      </c>
      <c r="B99" s="9" t="str">
        <f>IFERROR(INDEX('CONTROL MASTER'!$Q$2:$Q$495,MATCH("Control CDI Plate 9: A1",'CONTROL MASTER'!$G$2:$G$495,0)),"")</f>
        <v/>
      </c>
      <c r="C99" s="9" t="str">
        <f>IFERROR(INDEX('CONTROL MASTER'!$Q$2:$Q$495,MATCH("Control CDI Plate 9: A2",'CONTROL MASTER'!$G$2:$G$495,0)),"")</f>
        <v/>
      </c>
      <c r="D99" s="9" t="str">
        <f>IFERROR(INDEX('CONTROL MASTER'!$Q$2:$Q$495,MATCH("Control CDI Plate 9: A3",'CONTROL MASTER'!$G$2:$G$495,0)),"")</f>
        <v/>
      </c>
      <c r="E99" s="9" t="str">
        <f>IFERROR(INDEX('CONTROL MASTER'!$Q$2:$Q$495,MATCH("Control CDI Plate 9: A4",'CONTROL MASTER'!$G$2:$G$495,0)),"")</f>
        <v/>
      </c>
      <c r="F99" s="9" t="str">
        <f>IFERROR(INDEX('CONTROL MASTER'!$Q$2:$Q$495,MATCH("Control CDI Plate 9: A5",'CONTROL MASTER'!$G$2:$G$495,0)),"")</f>
        <v/>
      </c>
      <c r="G99" s="9" t="str">
        <f>IFERROR(INDEX('CONTROL MASTER'!$Q$2:$Q$495,MATCH("Control CDI Plate 9: A6",'CONTROL MASTER'!$G$2:$G$495,0)),"")</f>
        <v/>
      </c>
      <c r="H99" s="9" t="str">
        <f>IFERROR(INDEX('CONTROL MASTER'!$Q$2:$Q$495,MATCH("Control CDI Plate 9: A7",'CONTROL MASTER'!$G$2:$G$495,0)),"")</f>
        <v/>
      </c>
      <c r="I99" s="9" t="str">
        <f>IFERROR(INDEX('CONTROL MASTER'!$Q$2:$Q$495,MATCH("Control CDI Plate 9: A8",'CONTROL MASTER'!$G$2:$G$495,0)),"")</f>
        <v/>
      </c>
      <c r="J99" s="9" t="str">
        <f>IFERROR(INDEX('CONTROL MASTER'!$Q$2:$Q$495,MATCH("Control CDI Plate 9: A9",'CONTROL MASTER'!$G$2:$G$495,0)),"")</f>
        <v/>
      </c>
      <c r="K99" s="9" t="str">
        <f>IFERROR(INDEX('CONTROL MASTER'!$Q$2:$Q$495,MATCH("Control CDI Plate 9: A10",'CONTROL MASTER'!$G$2:$G$495,0)),"")</f>
        <v/>
      </c>
      <c r="L99" s="9" t="str">
        <f>IFERROR(INDEX('CONTROL MASTER'!$Q$2:$Q$495,MATCH("Control CDI Plate 9: A11",'CONTROL MASTER'!$G$2:$G$495,0)),"")</f>
        <v/>
      </c>
      <c r="M99" s="9" t="str">
        <f>IFERROR(INDEX('CONTROL MASTER'!$Q$2:$Q$495,MATCH("Control CDI Plate 9: A12",'CONTROL MASTER'!$G$2:$G$495,0)),"")</f>
        <v/>
      </c>
    </row>
    <row r="100" spans="1:13" ht="15" customHeight="1" x14ac:dyDescent="0.35">
      <c r="A100" s="8" t="s">
        <v>29</v>
      </c>
      <c r="B100" s="9" t="str">
        <f>IFERROR(INDEX('CONTROL MASTER'!$Q$2:$Q$495,MATCH("Control CDI Plate 9: B1",'CONTROL MASTER'!$G$2:$G$495,0)),"")</f>
        <v/>
      </c>
      <c r="C100" s="9" t="str">
        <f>IFERROR(INDEX('CONTROL MASTER'!$Q$2:$Q$495,MATCH("Control CDI Plate 9: B2",'CONTROL MASTER'!$G$2:$G$495,0)),"")</f>
        <v/>
      </c>
      <c r="D100" s="9" t="str">
        <f>IFERROR(INDEX('CONTROL MASTER'!$Q$2:$Q$495,MATCH("Control CDI Plate 9: B3",'CONTROL MASTER'!$G$2:$G$495,0)),"")</f>
        <v/>
      </c>
      <c r="E100" s="9" t="str">
        <f>IFERROR(INDEX('CONTROL MASTER'!$Q$2:$Q$495,MATCH("Control CDI Plate 9: B4",'CONTROL MASTER'!$G$2:$G$495,0)),"")</f>
        <v/>
      </c>
      <c r="F100" s="9" t="str">
        <f>IFERROR(INDEX('CONTROL MASTER'!$Q$2:$Q$495,MATCH("Control CDI Plate 9: B5",'CONTROL MASTER'!$G$2:$G$495,0)),"")</f>
        <v/>
      </c>
      <c r="G100" s="9" t="str">
        <f>IFERROR(INDEX('CONTROL MASTER'!$Q$2:$Q$495,MATCH("Control CDI Plate 9: B6",'CONTROL MASTER'!$G$2:$G$495,0)),"")</f>
        <v/>
      </c>
      <c r="H100" s="9" t="str">
        <f>IFERROR(INDEX('CONTROL MASTER'!$Q$2:$Q$495,MATCH("Control CDI Plate 9: B7",'CONTROL MASTER'!$G$2:$G$495,0)),"")</f>
        <v/>
      </c>
      <c r="I100" s="9" t="str">
        <f>IFERROR(INDEX('CONTROL MASTER'!$Q$2:$Q$495,MATCH("Control CDI Plate 9: B8",'CONTROL MASTER'!$G$2:$G$495,0)),"")</f>
        <v/>
      </c>
      <c r="J100" s="9" t="str">
        <f>IFERROR(INDEX('CONTROL MASTER'!$Q$2:$Q$495,MATCH("Control CDI Plate 9: B9",'CONTROL MASTER'!$G$2:$G$495,0)),"")</f>
        <v/>
      </c>
      <c r="K100" s="9" t="str">
        <f>IFERROR(INDEX('CONTROL MASTER'!$Q$2:$Q$495,MATCH("Control CDI Plate 9: B10",'CONTROL MASTER'!$G$2:$G$495,0)),"")</f>
        <v/>
      </c>
      <c r="L100" s="9" t="str">
        <f>IFERROR(INDEX('CONTROL MASTER'!$Q$2:$Q$495,MATCH("Control CDI Plate 9: B11",'CONTROL MASTER'!$G$2:$G$495,0)),"")</f>
        <v/>
      </c>
      <c r="M100" s="9" t="str">
        <f>IFERROR(INDEX('CONTROL MASTER'!$Q$2:$Q$495,MATCH("Control CDI Plate 9: B12",'CONTROL MASTER'!$G$2:$G$495,0)),"")</f>
        <v/>
      </c>
    </row>
    <row r="101" spans="1:13" ht="15" customHeight="1" x14ac:dyDescent="0.35">
      <c r="A101" s="8" t="s">
        <v>30</v>
      </c>
      <c r="B101" s="9" t="str">
        <f>IFERROR(INDEX('CONTROL MASTER'!$Q$2:$Q$495,MATCH("Control CDI Plate 9: C1",'CONTROL MASTER'!$G$2:$G$495,0)),"")</f>
        <v/>
      </c>
      <c r="C101" s="9" t="str">
        <f>IFERROR(INDEX('CONTROL MASTER'!$Q$2:$Q$495,MATCH("Control CDI Plate 9: C2",'CONTROL MASTER'!$G$2:$G$495,0)),"")</f>
        <v/>
      </c>
      <c r="D101" s="9" t="str">
        <f>IFERROR(INDEX('CONTROL MASTER'!$Q$2:$Q$495,MATCH("Control CDI Plate 9: C3",'CONTROL MASTER'!$G$2:$G$495,0)),"")</f>
        <v/>
      </c>
      <c r="E101" s="9" t="str">
        <f>IFERROR(INDEX('CONTROL MASTER'!$Q$2:$Q$495,MATCH("Control CDI Plate 9: C4",'CONTROL MASTER'!$G$2:$G$495,0)),"")</f>
        <v/>
      </c>
      <c r="F101" s="9" t="str">
        <f>IFERROR(INDEX('CONTROL MASTER'!$Q$2:$Q$495,MATCH("Control CDI Plate 9: C5",'CONTROL MASTER'!$G$2:$G$495,0)),"")</f>
        <v/>
      </c>
      <c r="G101" s="9" t="str">
        <f>IFERROR(INDEX('CONTROL MASTER'!$Q$2:$Q$495,MATCH("Control CDI Plate 9: C6",'CONTROL MASTER'!$G$2:$G$495,0)),"")</f>
        <v/>
      </c>
      <c r="H101" s="9" t="str">
        <f>IFERROR(INDEX('CONTROL MASTER'!$Q$2:$Q$495,MATCH("Control CDI Plate 9: C7",'CONTROL MASTER'!$G$2:$G$495,0)),"")</f>
        <v/>
      </c>
      <c r="I101" s="9" t="str">
        <f>IFERROR(INDEX('CONTROL MASTER'!$Q$2:$Q$495,MATCH("Control CDI Plate 9: C8",'CONTROL MASTER'!$G$2:$G$495,0)),"")</f>
        <v/>
      </c>
      <c r="J101" s="9" t="str">
        <f>IFERROR(INDEX('CONTROL MASTER'!$Q$2:$Q$495,MATCH("Control CDI Plate 9: C9",'CONTROL MASTER'!$G$2:$G$495,0)),"")</f>
        <v/>
      </c>
      <c r="K101" s="9" t="str">
        <f>IFERROR(INDEX('CONTROL MASTER'!$Q$2:$Q$495,MATCH("Control CDI Plate 9: C10",'CONTROL MASTER'!$G$2:$G$495,0)),"")</f>
        <v/>
      </c>
      <c r="L101" s="9" t="str">
        <f>IFERROR(INDEX('CONTROL MASTER'!$Q$2:$Q$495,MATCH("Control CDI Plate 9: C11",'CONTROL MASTER'!$G$2:$G$495,0)),"")</f>
        <v/>
      </c>
      <c r="M101" s="9" t="str">
        <f>IFERROR(INDEX('CONTROL MASTER'!$Q$2:$Q$495,MATCH("Control CDI Plate 9: C12",'CONTROL MASTER'!$G$2:$G$495,0)),"")</f>
        <v/>
      </c>
    </row>
    <row r="102" spans="1:13" ht="15" customHeight="1" x14ac:dyDescent="0.35">
      <c r="A102" s="8" t="s">
        <v>31</v>
      </c>
      <c r="B102" s="9" t="str">
        <f>IFERROR(INDEX('CONTROL MASTER'!$Q$2:$Q$495,MATCH("Control CDI Plate 9: D1",'CONTROL MASTER'!$G$2:$G$495,0)),"")</f>
        <v/>
      </c>
      <c r="C102" s="9" t="str">
        <f>IFERROR(INDEX('CONTROL MASTER'!$Q$2:$Q$495,MATCH("Control CDI Plate 9: D2",'CONTROL MASTER'!$G$2:$G$495,0)),"")</f>
        <v/>
      </c>
      <c r="D102" s="9" t="str">
        <f>IFERROR(INDEX('CONTROL MASTER'!$Q$2:$Q$495,MATCH("Control CDI Plate 9: D3",'CONTROL MASTER'!$G$2:$G$495,0)),"")</f>
        <v/>
      </c>
      <c r="E102" s="9" t="str">
        <f>IFERROR(INDEX('CONTROL MASTER'!$Q$2:$Q$495,MATCH("Control CDI Plate 9: D4",'CONTROL MASTER'!$G$2:$G$495,0)),"")</f>
        <v/>
      </c>
      <c r="F102" s="9" t="str">
        <f>IFERROR(INDEX('CONTROL MASTER'!$Q$2:$Q$495,MATCH("Control CDI Plate 9: D5",'CONTROL MASTER'!$G$2:$G$495,0)),"")</f>
        <v/>
      </c>
      <c r="G102" s="9" t="str">
        <f>IFERROR(INDEX('CONTROL MASTER'!$Q$2:$Q$495,MATCH("Control CDI Plate 9: D6",'CONTROL MASTER'!$G$2:$G$495,0)),"")</f>
        <v/>
      </c>
      <c r="H102" s="9" t="str">
        <f>IFERROR(INDEX('CONTROL MASTER'!$Q$2:$Q$495,MATCH("Control CDI Plate 9: D7",'CONTROL MASTER'!$G$2:$G$495,0)),"")</f>
        <v/>
      </c>
      <c r="I102" s="9" t="str">
        <f>IFERROR(INDEX('CONTROL MASTER'!$Q$2:$Q$495,MATCH("Control CDI Plate 9: D8",'CONTROL MASTER'!$G$2:$G$495,0)),"")</f>
        <v/>
      </c>
      <c r="J102" s="9" t="str">
        <f>IFERROR(INDEX('CONTROL MASTER'!$Q$2:$Q$495,MATCH("Control CDI Plate 9: D9",'CONTROL MASTER'!$G$2:$G$495,0)),"")</f>
        <v/>
      </c>
      <c r="K102" s="9" t="str">
        <f>IFERROR(INDEX('CONTROL MASTER'!$Q$2:$Q$495,MATCH("Control CDI Plate 9: D10",'CONTROL MASTER'!$G$2:$G$495,0)),"")</f>
        <v/>
      </c>
      <c r="L102" s="9" t="str">
        <f>IFERROR(INDEX('CONTROL MASTER'!$Q$2:$Q$495,MATCH("Control CDI Plate 9: D11",'CONTROL MASTER'!$G$2:$G$495,0)),"")</f>
        <v/>
      </c>
      <c r="M102" s="9" t="str">
        <f>IFERROR(INDEX('CONTROL MASTER'!$Q$2:$Q$495,MATCH("Control CDI Plate 9: D12",'CONTROL MASTER'!$G$2:$G$495,0)),"")</f>
        <v/>
      </c>
    </row>
    <row r="103" spans="1:13" ht="15" customHeight="1" x14ac:dyDescent="0.35">
      <c r="A103" s="8" t="s">
        <v>32</v>
      </c>
      <c r="B103" s="9" t="str">
        <f>IFERROR(INDEX('CONTROL MASTER'!$Q$2:$Q$495,MATCH("Control CDI Plate 9: E1",'CONTROL MASTER'!$G$2:$G$495,0)),"")</f>
        <v/>
      </c>
      <c r="C103" s="9" t="str">
        <f>IFERROR(INDEX('CONTROL MASTER'!$Q$2:$Q$495,MATCH("Control CDI Plate 9: E2",'CONTROL MASTER'!$G$2:$G$495,0)),"")</f>
        <v/>
      </c>
      <c r="D103" s="9" t="str">
        <f>IFERROR(INDEX('CONTROL MASTER'!$Q$2:$Q$495,MATCH("Control CDI Plate 9: E3",'CONTROL MASTER'!$G$2:$G$495,0)),"")</f>
        <v/>
      </c>
      <c r="E103" s="9" t="str">
        <f>IFERROR(INDEX('CONTROL MASTER'!$Q$2:$Q$495,MATCH("Control CDI Plate 9: E4",'CONTROL MASTER'!$G$2:$G$495,0)),"")</f>
        <v/>
      </c>
      <c r="F103" s="9" t="str">
        <f>IFERROR(INDEX('CONTROL MASTER'!$Q$2:$Q$495,MATCH("Control CDI Plate 9: E5",'CONTROL MASTER'!$G$2:$G$495,0)),"")</f>
        <v/>
      </c>
      <c r="G103" s="9" t="str">
        <f>IFERROR(INDEX('CONTROL MASTER'!$Q$2:$Q$495,MATCH("Control CDI Plate 9: E6",'CONTROL MASTER'!$G$2:$G$495,0)),"")</f>
        <v/>
      </c>
      <c r="H103" s="9" t="str">
        <f>IFERROR(INDEX('CONTROL MASTER'!$Q$2:$Q$495,MATCH("Control CDI Plate 9: E7",'CONTROL MASTER'!$G$2:$G$495,0)),"")</f>
        <v/>
      </c>
      <c r="I103" s="9" t="str">
        <f>IFERROR(INDEX('CONTROL MASTER'!$Q$2:$Q$495,MATCH("Control CDI Plate 9: E8",'CONTROL MASTER'!$G$2:$G$495,0)),"")</f>
        <v/>
      </c>
      <c r="J103" s="9" t="str">
        <f>IFERROR(INDEX('CONTROL MASTER'!$Q$2:$Q$495,MATCH("Control CDI Plate 9: E9",'CONTROL MASTER'!$G$2:$G$495,0)),"")</f>
        <v/>
      </c>
      <c r="K103" s="9" t="str">
        <f>IFERROR(INDEX('CONTROL MASTER'!$Q$2:$Q$495,MATCH("Control CDI Plate 9: E10",'CONTROL MASTER'!$G$2:$G$495,0)),"")</f>
        <v/>
      </c>
      <c r="L103" s="9" t="str">
        <f>IFERROR(INDEX('CONTROL MASTER'!$Q$2:$Q$495,MATCH("Control CDI Plate 9: E11",'CONTROL MASTER'!$G$2:$G$495,0)),"")</f>
        <v/>
      </c>
      <c r="M103" s="9" t="str">
        <f>IFERROR(INDEX('CONTROL MASTER'!$Q$2:$Q$495,MATCH("Control CDI Plate 9: E12",'CONTROL MASTER'!$G$2:$G$495,0)),"")</f>
        <v/>
      </c>
    </row>
    <row r="104" spans="1:13" ht="15" customHeight="1" x14ac:dyDescent="0.35">
      <c r="A104" s="8" t="s">
        <v>33</v>
      </c>
      <c r="B104" s="9" t="str">
        <f>IFERROR(INDEX('CONTROL MASTER'!$Q$2:$Q$495,MATCH("Control CDI Plate 9: F1",'CONTROL MASTER'!$G$2:$G$495,0)),"")</f>
        <v/>
      </c>
      <c r="C104" s="9" t="str">
        <f>IFERROR(INDEX('CONTROL MASTER'!$Q$2:$Q$495,MATCH("Control CDI Plate 9: F2",'CONTROL MASTER'!$G$2:$G$495,0)),"")</f>
        <v/>
      </c>
      <c r="D104" s="9" t="str">
        <f>IFERROR(INDEX('CONTROL MASTER'!$Q$2:$Q$495,MATCH("Control CDI Plate 9: F3",'CONTROL MASTER'!$G$2:$G$495,0)),"")</f>
        <v/>
      </c>
      <c r="E104" s="9" t="str">
        <f>IFERROR(INDEX('CONTROL MASTER'!$Q$2:$Q$495,MATCH("Control CDI Plate 9: F4",'CONTROL MASTER'!$G$2:$G$495,0)),"")</f>
        <v/>
      </c>
      <c r="F104" s="9" t="str">
        <f>IFERROR(INDEX('CONTROL MASTER'!$Q$2:$Q$495,MATCH("Control CDI Plate 9: F5",'CONTROL MASTER'!$G$2:$G$495,0)),"")</f>
        <v/>
      </c>
      <c r="G104" s="9" t="str">
        <f>IFERROR(INDEX('CONTROL MASTER'!$Q$2:$Q$495,MATCH("Control CDI Plate 9: F6",'CONTROL MASTER'!$G$2:$G$495,0)),"")</f>
        <v/>
      </c>
      <c r="H104" s="9" t="str">
        <f>IFERROR(INDEX('CONTROL MASTER'!$Q$2:$Q$495,MATCH("Control CDI Plate 9: F7",'CONTROL MASTER'!$G$2:$G$495,0)),"")</f>
        <v/>
      </c>
      <c r="I104" s="9" t="str">
        <f>IFERROR(INDEX('CONTROL MASTER'!$Q$2:$Q$495,MATCH("Control CDI Plate 9: F8",'CONTROL MASTER'!$G$2:$G$495,0)),"")</f>
        <v/>
      </c>
      <c r="J104" s="9" t="str">
        <f>IFERROR(INDEX('CONTROL MASTER'!$Q$2:$Q$495,MATCH("Control CDI Plate 9: F9",'CONTROL MASTER'!$G$2:$G$495,0)),"")</f>
        <v/>
      </c>
      <c r="K104" s="9" t="str">
        <f>IFERROR(INDEX('CONTROL MASTER'!$Q$2:$Q$495,MATCH("Control CDI Plate 9: F10",'CONTROL MASTER'!$G$2:$G$495,0)),"")</f>
        <v/>
      </c>
      <c r="L104" s="9" t="str">
        <f>IFERROR(INDEX('CONTROL MASTER'!$Q$2:$Q$495,MATCH("Control CDI Plate 9: F11",'CONTROL MASTER'!$G$2:$G$495,0)),"")</f>
        <v/>
      </c>
      <c r="M104" s="9" t="str">
        <f>IFERROR(INDEX('CONTROL MASTER'!$Q$2:$Q$495,MATCH("Control CDI Plate 9: F12",'CONTROL MASTER'!$G$2:$G$495,0)),"")</f>
        <v/>
      </c>
    </row>
    <row r="105" spans="1:13" ht="15" customHeight="1" x14ac:dyDescent="0.35">
      <c r="A105" s="8" t="s">
        <v>34</v>
      </c>
      <c r="B105" s="9" t="str">
        <f>IFERROR(INDEX('CONTROL MASTER'!$Q$2:$Q$495,MATCH("Control CDI Plate 9: G1",'CONTROL MASTER'!$G$2:$G$495,0)),"")</f>
        <v/>
      </c>
      <c r="C105" s="9" t="str">
        <f>IFERROR(INDEX('CONTROL MASTER'!$Q$2:$Q$495,MATCH("Control CDI Plate 9: G2",'CONTROL MASTER'!$G$2:$G$495,0)),"")</f>
        <v/>
      </c>
      <c r="D105" s="9" t="str">
        <f>IFERROR(INDEX('CONTROL MASTER'!$Q$2:$Q$495,MATCH("Control CDI Plate 9: G3",'CONTROL MASTER'!$G$2:$G$495,0)),"")</f>
        <v/>
      </c>
      <c r="E105" s="9" t="str">
        <f>IFERROR(INDEX('CONTROL MASTER'!$Q$2:$Q$495,MATCH("Control CDI Plate 9: G4",'CONTROL MASTER'!$G$2:$G$495,0)),"")</f>
        <v/>
      </c>
      <c r="F105" s="9" t="str">
        <f>IFERROR(INDEX('CONTROL MASTER'!$Q$2:$Q$495,MATCH("Control CDI Plate 9: G5",'CONTROL MASTER'!$G$2:$G$495,0)),"")</f>
        <v/>
      </c>
      <c r="G105" s="9" t="str">
        <f>IFERROR(INDEX('CONTROL MASTER'!$Q$2:$Q$495,MATCH("Control CDI Plate 9: G6",'CONTROL MASTER'!$G$2:$G$495,0)),"")</f>
        <v/>
      </c>
      <c r="H105" s="9" t="str">
        <f>IFERROR(INDEX('CONTROL MASTER'!$Q$2:$Q$495,MATCH("Control CDI Plate 9: G7",'CONTROL MASTER'!$G$2:$G$495,0)),"")</f>
        <v/>
      </c>
      <c r="I105" s="9" t="str">
        <f>IFERROR(INDEX('CONTROL MASTER'!$Q$2:$Q$495,MATCH("Control CDI Plate 9: G8",'CONTROL MASTER'!$G$2:$G$495,0)),"")</f>
        <v/>
      </c>
      <c r="J105" s="9" t="str">
        <f>IFERROR(INDEX('CONTROL MASTER'!$Q$2:$Q$495,MATCH("Control CDI Plate 9: G9",'CONTROL MASTER'!$G$2:$G$495,0)),"")</f>
        <v/>
      </c>
      <c r="K105" s="9" t="str">
        <f>IFERROR(INDEX('CONTROL MASTER'!$Q$2:$Q$495,MATCH("Control CDI Plate 9: G10",'CONTROL MASTER'!$G$2:$G$495,0)),"")</f>
        <v/>
      </c>
      <c r="L105" s="9" t="str">
        <f>IFERROR(INDEX('CONTROL MASTER'!$Q$2:$Q$495,MATCH("Control CDI Plate 9: G11",'CONTROL MASTER'!$G$2:$G$495,0)),"")</f>
        <v/>
      </c>
      <c r="M105" s="9" t="str">
        <f>IFERROR(INDEX('CONTROL MASTER'!$Q$2:$Q$495,MATCH("Control CDI Plate 9: G12",'CONTROL MASTER'!$G$2:$G$495,0)),"")</f>
        <v/>
      </c>
    </row>
    <row r="106" spans="1:13" ht="15" customHeight="1" x14ac:dyDescent="0.35">
      <c r="A106" s="8" t="s">
        <v>35</v>
      </c>
      <c r="B106" s="9" t="str">
        <f>IFERROR(INDEX('CONTROL MASTER'!$Q$2:$Q$495,MATCH("Control CDI Plate 9: H1",'CONTROL MASTER'!$G$2:$G$495,0)),"")</f>
        <v/>
      </c>
      <c r="C106" s="9" t="str">
        <f>IFERROR(INDEX('CONTROL MASTER'!$Q$2:$Q$495,MATCH("Control CDI Plate 9: H2",'CONTROL MASTER'!$G$2:$G$495,0)),"")</f>
        <v/>
      </c>
      <c r="D106" s="9" t="str">
        <f>IFERROR(INDEX('CONTROL MASTER'!$Q$2:$Q$495,MATCH("Control CDI Plate 9: H3",'CONTROL MASTER'!$G$2:$G$495,0)),"")</f>
        <v/>
      </c>
      <c r="E106" s="9" t="str">
        <f>IFERROR(INDEX('CONTROL MASTER'!$Q$2:$Q$495,MATCH("Control CDI Plate 9: H4",'CONTROL MASTER'!$G$2:$G$495,0)),"")</f>
        <v/>
      </c>
      <c r="F106" s="9" t="str">
        <f>IFERROR(INDEX('CONTROL MASTER'!$Q$2:$Q$495,MATCH("Control CDI Plate 9: H5",'CONTROL MASTER'!$G$2:$G$495,0)),"")</f>
        <v/>
      </c>
      <c r="G106" s="9" t="str">
        <f>IFERROR(INDEX('CONTROL MASTER'!$Q$2:$Q$495,MATCH("Control CDI Plate 9: H6",'CONTROL MASTER'!$G$2:$G$495,0)),"")</f>
        <v/>
      </c>
      <c r="H106" s="9" t="str">
        <f>IFERROR(INDEX('CONTROL MASTER'!$Q$2:$Q$495,MATCH("Control CDI Plate 9: H7",'CONTROL MASTER'!$G$2:$G$495,0)),"")</f>
        <v/>
      </c>
      <c r="I106" s="9" t="str">
        <f>IFERROR(INDEX('CONTROL MASTER'!$Q$2:$Q$495,MATCH("Control CDI Plate 9: H8",'CONTROL MASTER'!$G$2:$G$495,0)),"")</f>
        <v/>
      </c>
      <c r="J106" s="9" t="str">
        <f>IFERROR(INDEX('CONTROL MASTER'!$Q$2:$Q$495,MATCH("Control CDI Plate 9: H9",'CONTROL MASTER'!$G$2:$G$495,0)),"")</f>
        <v/>
      </c>
      <c r="K106" s="9" t="str">
        <f>IFERROR(INDEX('CONTROL MASTER'!$Q$2:$Q$495,MATCH("Control CDI Plate 9: H10",'CONTROL MASTER'!$G$2:$G$495,0)),"")</f>
        <v/>
      </c>
      <c r="L106" s="9" t="str">
        <f>IFERROR(INDEX('CONTROL MASTER'!$Q$2:$Q$495,MATCH("Control CDI Plate 9: H11",'CONTROL MASTER'!$G$2:$G$495,0)),"")</f>
        <v/>
      </c>
      <c r="M106" s="9" t="str">
        <f>IFERROR(INDEX('CONTROL MASTER'!$Q$2:$Q$495,MATCH("Control CDI Plate 9: H12",'CONTROL MASTER'!$G$2:$G$495,0)),"")</f>
        <v/>
      </c>
    </row>
    <row r="109" spans="1:13" ht="15" customHeight="1" x14ac:dyDescent="0.35">
      <c r="A109" s="12" t="s">
        <v>121</v>
      </c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</row>
    <row r="110" spans="1:13" ht="15" customHeight="1" x14ac:dyDescent="0.35">
      <c r="B110" s="8">
        <v>1</v>
      </c>
      <c r="C110" s="8">
        <v>2</v>
      </c>
      <c r="D110" s="8">
        <v>3</v>
      </c>
      <c r="E110" s="8">
        <v>4</v>
      </c>
      <c r="F110" s="8">
        <v>5</v>
      </c>
      <c r="G110" s="8">
        <v>6</v>
      </c>
      <c r="H110" s="8">
        <v>7</v>
      </c>
      <c r="I110" s="8">
        <v>8</v>
      </c>
      <c r="J110" s="8">
        <v>9</v>
      </c>
      <c r="K110" s="8">
        <v>10</v>
      </c>
      <c r="L110" s="8">
        <v>11</v>
      </c>
      <c r="M110" s="8">
        <v>12</v>
      </c>
    </row>
    <row r="111" spans="1:13" ht="15" customHeight="1" x14ac:dyDescent="0.35">
      <c r="A111" s="8" t="s">
        <v>28</v>
      </c>
      <c r="B111" s="9" t="str">
        <f>IFERROR(INDEX('CONTROL MASTER'!$Q$2:$Q$495,MATCH("Control CDI Plate 10: A1",'CONTROL MASTER'!$G$2:$G$495,0)),"")</f>
        <v/>
      </c>
      <c r="C111" s="9" t="str">
        <f>IFERROR(INDEX('CONTROL MASTER'!$Q$2:$Q$495,MATCH("Control CDI Plate 10: A2",'CONTROL MASTER'!$G$2:$G$495,0)),"")</f>
        <v/>
      </c>
      <c r="D111" s="9" t="str">
        <f>IFERROR(INDEX('CONTROL MASTER'!$Q$2:$Q$495,MATCH("Control CDI Plate 10: A3",'CONTROL MASTER'!$G$2:$G$495,0)),"")</f>
        <v/>
      </c>
      <c r="E111" s="9" t="str">
        <f>IFERROR(INDEX('CONTROL MASTER'!$Q$2:$Q$495,MATCH("Control CDI Plate 10: A4",'CONTROL MASTER'!$G$2:$G$495,0)),"")</f>
        <v/>
      </c>
      <c r="F111" s="9" t="str">
        <f>IFERROR(INDEX('CONTROL MASTER'!$Q$2:$Q$495,MATCH("Control CDI Plate 10: A5",'CONTROL MASTER'!$G$2:$G$495,0)),"")</f>
        <v/>
      </c>
      <c r="G111" s="9" t="str">
        <f>IFERROR(INDEX('CONTROL MASTER'!$Q$2:$Q$495,MATCH("Control CDI Plate 10: A6",'CONTROL MASTER'!$G$2:$G$495,0)),"")</f>
        <v/>
      </c>
      <c r="H111" s="9" t="str">
        <f>IFERROR(INDEX('CONTROL MASTER'!$Q$2:$Q$495,MATCH("Control CDI Plate 10: A7",'CONTROL MASTER'!$G$2:$G$495,0)),"")</f>
        <v/>
      </c>
      <c r="I111" s="9" t="str">
        <f>IFERROR(INDEX('CONTROL MASTER'!$Q$2:$Q$495,MATCH("Control CDI Plate 10: A8",'CONTROL MASTER'!$G$2:$G$495,0)),"")</f>
        <v/>
      </c>
      <c r="J111" s="9" t="str">
        <f>IFERROR(INDEX('CONTROL MASTER'!$Q$2:$Q$495,MATCH("Control CDI Plate 10: A9",'CONTROL MASTER'!$G$2:$G$495,0)),"")</f>
        <v/>
      </c>
      <c r="K111" s="9" t="str">
        <f>IFERROR(INDEX('CONTROL MASTER'!$Q$2:$Q$495,MATCH("Control CDI Plate 10: A10",'CONTROL MASTER'!$G$2:$G$495,0)),"")</f>
        <v/>
      </c>
      <c r="L111" s="9" t="str">
        <f>IFERROR(INDEX('CONTROL MASTER'!$Q$2:$Q$495,MATCH("Control CDI Plate 10: A11",'CONTROL MASTER'!$G$2:$G$495,0)),"")</f>
        <v/>
      </c>
      <c r="M111" s="9" t="str">
        <f>IFERROR(INDEX('CONTROL MASTER'!$Q$2:$Q$495,MATCH("Control CDI Plate 10: A12",'CONTROL MASTER'!$G$2:$G$495,0)),"")</f>
        <v/>
      </c>
    </row>
    <row r="112" spans="1:13" ht="15" customHeight="1" x14ac:dyDescent="0.35">
      <c r="A112" s="8" t="s">
        <v>29</v>
      </c>
      <c r="B112" s="9" t="str">
        <f>IFERROR(INDEX('CONTROL MASTER'!$Q$2:$Q$495,MATCH("Control CDI Plate 10: B1",'CONTROL MASTER'!$G$2:$G$495,0)),"")</f>
        <v/>
      </c>
      <c r="C112" s="9" t="str">
        <f>IFERROR(INDEX('CONTROL MASTER'!$Q$2:$Q$495,MATCH("Control CDI Plate 10: B2",'CONTROL MASTER'!$G$2:$G$495,0)),"")</f>
        <v/>
      </c>
      <c r="D112" s="9" t="str">
        <f>IFERROR(INDEX('CONTROL MASTER'!$Q$2:$Q$495,MATCH("Control CDI Plate 10: B3",'CONTROL MASTER'!$G$2:$G$495,0)),"")</f>
        <v/>
      </c>
      <c r="E112" s="9" t="str">
        <f>IFERROR(INDEX('CONTROL MASTER'!$Q$2:$Q$495,MATCH("Control CDI Plate 10: B4",'CONTROL MASTER'!$G$2:$G$495,0)),"")</f>
        <v/>
      </c>
      <c r="F112" s="9" t="str">
        <f>IFERROR(INDEX('CONTROL MASTER'!$Q$2:$Q$495,MATCH("Control CDI Plate 10: B5",'CONTROL MASTER'!$G$2:$G$495,0)),"")</f>
        <v/>
      </c>
      <c r="G112" s="9" t="str">
        <f>IFERROR(INDEX('CONTROL MASTER'!$Q$2:$Q$495,MATCH("Control CDI Plate 10: B6",'CONTROL MASTER'!$G$2:$G$495,0)),"")</f>
        <v/>
      </c>
      <c r="H112" s="9" t="str">
        <f>IFERROR(INDEX('CONTROL MASTER'!$Q$2:$Q$495,MATCH("Control CDI Plate 10: B7",'CONTROL MASTER'!$G$2:$G$495,0)),"")</f>
        <v/>
      </c>
      <c r="I112" s="9" t="str">
        <f>IFERROR(INDEX('CONTROL MASTER'!$Q$2:$Q$495,MATCH("Control CDI Plate 10: B8",'CONTROL MASTER'!$G$2:$G$495,0)),"")</f>
        <v/>
      </c>
      <c r="J112" s="9" t="str">
        <f>IFERROR(INDEX('CONTROL MASTER'!$Q$2:$Q$495,MATCH("Control CDI Plate 10: B9",'CONTROL MASTER'!$G$2:$G$495,0)),"")</f>
        <v/>
      </c>
      <c r="K112" s="9" t="str">
        <f>IFERROR(INDEX('CONTROL MASTER'!$Q$2:$Q$495,MATCH("Control CDI Plate 10: B10",'CONTROL MASTER'!$G$2:$G$495,0)),"")</f>
        <v/>
      </c>
      <c r="L112" s="9" t="str">
        <f>IFERROR(INDEX('CONTROL MASTER'!$Q$2:$Q$495,MATCH("Control CDI Plate 10: B11",'CONTROL MASTER'!$G$2:$G$495,0)),"")</f>
        <v/>
      </c>
      <c r="M112" s="9" t="str">
        <f>IFERROR(INDEX('CONTROL MASTER'!$Q$2:$Q$495,MATCH("Control CDI Plate 10: B12",'CONTROL MASTER'!$G$2:$G$495,0)),"")</f>
        <v/>
      </c>
    </row>
    <row r="113" spans="1:13" ht="15" customHeight="1" x14ac:dyDescent="0.35">
      <c r="A113" s="8" t="s">
        <v>30</v>
      </c>
      <c r="B113" s="9" t="str">
        <f>IFERROR(INDEX('CONTROL MASTER'!$Q$2:$Q$495,MATCH("Control CDI Plate 10: C1",'CONTROL MASTER'!$G$2:$G$495,0)),"")</f>
        <v/>
      </c>
      <c r="C113" s="9" t="str">
        <f>IFERROR(INDEX('CONTROL MASTER'!$Q$2:$Q$495,MATCH("Control CDI Plate 10: C2",'CONTROL MASTER'!$G$2:$G$495,0)),"")</f>
        <v/>
      </c>
      <c r="D113" s="9" t="str">
        <f>IFERROR(INDEX('CONTROL MASTER'!$Q$2:$Q$495,MATCH("Control CDI Plate 10: C3",'CONTROL MASTER'!$G$2:$G$495,0)),"")</f>
        <v/>
      </c>
      <c r="E113" s="9" t="str">
        <f>IFERROR(INDEX('CONTROL MASTER'!$Q$2:$Q$495,MATCH("Control CDI Plate 10: C4",'CONTROL MASTER'!$G$2:$G$495,0)),"")</f>
        <v/>
      </c>
      <c r="F113" s="9" t="str">
        <f>IFERROR(INDEX('CONTROL MASTER'!$Q$2:$Q$495,MATCH("Control CDI Plate 10: C5",'CONTROL MASTER'!$G$2:$G$495,0)),"")</f>
        <v/>
      </c>
      <c r="G113" s="9" t="str">
        <f>IFERROR(INDEX('CONTROL MASTER'!$Q$2:$Q$495,MATCH("Control CDI Plate 10: C6",'CONTROL MASTER'!$G$2:$G$495,0)),"")</f>
        <v/>
      </c>
      <c r="H113" s="9" t="str">
        <f>IFERROR(INDEX('CONTROL MASTER'!$Q$2:$Q$495,MATCH("Control CDI Plate 10: C7",'CONTROL MASTER'!$G$2:$G$495,0)),"")</f>
        <v/>
      </c>
      <c r="I113" s="9" t="str">
        <f>IFERROR(INDEX('CONTROL MASTER'!$Q$2:$Q$495,MATCH("Control CDI Plate 10: C8",'CONTROL MASTER'!$G$2:$G$495,0)),"")</f>
        <v/>
      </c>
      <c r="J113" s="9" t="str">
        <f>IFERROR(INDEX('CONTROL MASTER'!$Q$2:$Q$495,MATCH("Control CDI Plate 10: C9",'CONTROL MASTER'!$G$2:$G$495,0)),"")</f>
        <v/>
      </c>
      <c r="K113" s="9" t="str">
        <f>IFERROR(INDEX('CONTROL MASTER'!$Q$2:$Q$495,MATCH("Control CDI Plate 10: C10",'CONTROL MASTER'!$G$2:$G$495,0)),"")</f>
        <v/>
      </c>
      <c r="L113" s="9" t="str">
        <f>IFERROR(INDEX('CONTROL MASTER'!$Q$2:$Q$495,MATCH("Control CDI Plate 10: C11",'CONTROL MASTER'!$G$2:$G$495,0)),"")</f>
        <v/>
      </c>
      <c r="M113" s="9" t="str">
        <f>IFERROR(INDEX('CONTROL MASTER'!$Q$2:$Q$495,MATCH("Control CDI Plate 10: C12",'CONTROL MASTER'!$G$2:$G$495,0)),"")</f>
        <v/>
      </c>
    </row>
    <row r="114" spans="1:13" ht="15" customHeight="1" x14ac:dyDescent="0.35">
      <c r="A114" s="8" t="s">
        <v>31</v>
      </c>
      <c r="B114" s="9" t="str">
        <f>IFERROR(INDEX('CONTROL MASTER'!$Q$2:$Q$495,MATCH("Control CDI Plate 10: D1",'CONTROL MASTER'!$G$2:$G$495,0)),"")</f>
        <v/>
      </c>
      <c r="C114" s="9" t="str">
        <f>IFERROR(INDEX('CONTROL MASTER'!$Q$2:$Q$495,MATCH("Control CDI Plate 10: D2",'CONTROL MASTER'!$G$2:$G$495,0)),"")</f>
        <v/>
      </c>
      <c r="D114" s="9" t="str">
        <f>IFERROR(INDEX('CONTROL MASTER'!$Q$2:$Q$495,MATCH("Control CDI Plate 10: D3",'CONTROL MASTER'!$G$2:$G$495,0)),"")</f>
        <v/>
      </c>
      <c r="E114" s="9" t="str">
        <f>IFERROR(INDEX('CONTROL MASTER'!$Q$2:$Q$495,MATCH("Control CDI Plate 10: D4",'CONTROL MASTER'!$G$2:$G$495,0)),"")</f>
        <v/>
      </c>
      <c r="F114" s="9" t="str">
        <f>IFERROR(INDEX('CONTROL MASTER'!$Q$2:$Q$495,MATCH("Control CDI Plate 10: D5",'CONTROL MASTER'!$G$2:$G$495,0)),"")</f>
        <v/>
      </c>
      <c r="G114" s="9" t="str">
        <f>IFERROR(INDEX('CONTROL MASTER'!$Q$2:$Q$495,MATCH("Control CDI Plate 10: D6",'CONTROL MASTER'!$G$2:$G$495,0)),"")</f>
        <v/>
      </c>
      <c r="H114" s="9" t="str">
        <f>IFERROR(INDEX('CONTROL MASTER'!$Q$2:$Q$495,MATCH("Control CDI Plate 10: D7",'CONTROL MASTER'!$G$2:$G$495,0)),"")</f>
        <v/>
      </c>
      <c r="I114" s="9" t="str">
        <f>IFERROR(INDEX('CONTROL MASTER'!$Q$2:$Q$495,MATCH("Control CDI Plate 10: D8",'CONTROL MASTER'!$G$2:$G$495,0)),"")</f>
        <v/>
      </c>
      <c r="J114" s="9" t="str">
        <f>IFERROR(INDEX('CONTROL MASTER'!$Q$2:$Q$495,MATCH("Control CDI Plate 10: D9",'CONTROL MASTER'!$G$2:$G$495,0)),"")</f>
        <v/>
      </c>
      <c r="K114" s="9" t="str">
        <f>IFERROR(INDEX('CONTROL MASTER'!$Q$2:$Q$495,MATCH("Control CDI Plate 10: D10",'CONTROL MASTER'!$G$2:$G$495,0)),"")</f>
        <v/>
      </c>
      <c r="L114" s="9" t="str">
        <f>IFERROR(INDEX('CONTROL MASTER'!$Q$2:$Q$495,MATCH("Control CDI Plate 10: D11",'CONTROL MASTER'!$G$2:$G$495,0)),"")</f>
        <v/>
      </c>
      <c r="M114" s="9" t="str">
        <f>IFERROR(INDEX('CONTROL MASTER'!$Q$2:$Q$495,MATCH("Control CDI Plate 10: D12",'CONTROL MASTER'!$G$2:$G$495,0)),"")</f>
        <v/>
      </c>
    </row>
    <row r="115" spans="1:13" ht="15" customHeight="1" x14ac:dyDescent="0.35">
      <c r="A115" s="8" t="s">
        <v>32</v>
      </c>
      <c r="B115" s="9" t="str">
        <f>IFERROR(INDEX('CONTROL MASTER'!$Q$2:$Q$495,MATCH("Control CDI Plate 10: E1",'CONTROL MASTER'!$G$2:$G$495,0)),"")</f>
        <v/>
      </c>
      <c r="C115" s="9" t="str">
        <f>IFERROR(INDEX('CONTROL MASTER'!$Q$2:$Q$495,MATCH("Control CDI Plate 10: E2",'CONTROL MASTER'!$G$2:$G$495,0)),"")</f>
        <v/>
      </c>
      <c r="D115" s="9" t="str">
        <f>IFERROR(INDEX('CONTROL MASTER'!$Q$2:$Q$495,MATCH("Control CDI Plate 10: E3",'CONTROL MASTER'!$G$2:$G$495,0)),"")</f>
        <v/>
      </c>
      <c r="E115" s="9" t="str">
        <f>IFERROR(INDEX('CONTROL MASTER'!$Q$2:$Q$495,MATCH("Control CDI Plate 10: E4",'CONTROL MASTER'!$G$2:$G$495,0)),"")</f>
        <v/>
      </c>
      <c r="F115" s="9" t="str">
        <f>IFERROR(INDEX('CONTROL MASTER'!$Q$2:$Q$495,MATCH("Control CDI Plate 10: E5",'CONTROL MASTER'!$G$2:$G$495,0)),"")</f>
        <v/>
      </c>
      <c r="G115" s="9" t="str">
        <f>IFERROR(INDEX('CONTROL MASTER'!$Q$2:$Q$495,MATCH("Control CDI Plate 10: E6",'CONTROL MASTER'!$G$2:$G$495,0)),"")</f>
        <v/>
      </c>
      <c r="H115" s="9" t="str">
        <f>IFERROR(INDEX('CONTROL MASTER'!$Q$2:$Q$495,MATCH("Control CDI Plate 10: E7",'CONTROL MASTER'!$G$2:$G$495,0)),"")</f>
        <v/>
      </c>
      <c r="I115" s="9" t="str">
        <f>IFERROR(INDEX('CONTROL MASTER'!$Q$2:$Q$495,MATCH("Control CDI Plate 10: E8",'CONTROL MASTER'!$G$2:$G$495,0)),"")</f>
        <v/>
      </c>
      <c r="J115" s="9" t="str">
        <f>IFERROR(INDEX('CONTROL MASTER'!$Q$2:$Q$495,MATCH("Control CDI Plate 10: E9",'CONTROL MASTER'!$G$2:$G$495,0)),"")</f>
        <v/>
      </c>
      <c r="K115" s="9" t="str">
        <f>IFERROR(INDEX('CONTROL MASTER'!$Q$2:$Q$495,MATCH("Control CDI Plate 10: E10",'CONTROL MASTER'!$G$2:$G$495,0)),"")</f>
        <v/>
      </c>
      <c r="L115" s="9" t="str">
        <f>IFERROR(INDEX('CONTROL MASTER'!$Q$2:$Q$495,MATCH("Control CDI Plate 10: E11",'CONTROL MASTER'!$G$2:$G$495,0)),"")</f>
        <v/>
      </c>
      <c r="M115" s="9" t="str">
        <f>IFERROR(INDEX('CONTROL MASTER'!$Q$2:$Q$495,MATCH("Control CDI Plate 10: E12",'CONTROL MASTER'!$G$2:$G$495,0)),"")</f>
        <v/>
      </c>
    </row>
    <row r="116" spans="1:13" ht="15" customHeight="1" x14ac:dyDescent="0.35">
      <c r="A116" s="8" t="s">
        <v>33</v>
      </c>
      <c r="B116" s="9" t="str">
        <f>IFERROR(INDEX('CONTROL MASTER'!$Q$2:$Q$495,MATCH("Control CDI Plate 10: F1",'CONTROL MASTER'!$G$2:$G$495,0)),"")</f>
        <v/>
      </c>
      <c r="C116" s="9" t="str">
        <f>IFERROR(INDEX('CONTROL MASTER'!$Q$2:$Q$495,MATCH("Control CDI Plate 10: F2",'CONTROL MASTER'!$G$2:$G$495,0)),"")</f>
        <v/>
      </c>
      <c r="D116" s="9" t="str">
        <f>IFERROR(INDEX('CONTROL MASTER'!$Q$2:$Q$495,MATCH("Control CDI Plate 10: F3",'CONTROL MASTER'!$G$2:$G$495,0)),"")</f>
        <v/>
      </c>
      <c r="E116" s="9" t="str">
        <f>IFERROR(INDEX('CONTROL MASTER'!$Q$2:$Q$495,MATCH("Control CDI Plate 10: F4",'CONTROL MASTER'!$G$2:$G$495,0)),"")</f>
        <v/>
      </c>
      <c r="F116" s="9" t="str">
        <f>IFERROR(INDEX('CONTROL MASTER'!$Q$2:$Q$495,MATCH("Control CDI Plate 10: F5",'CONTROL MASTER'!$G$2:$G$495,0)),"")</f>
        <v/>
      </c>
      <c r="G116" s="9" t="str">
        <f>IFERROR(INDEX('CONTROL MASTER'!$Q$2:$Q$495,MATCH("Control CDI Plate 10: F6",'CONTROL MASTER'!$G$2:$G$495,0)),"")</f>
        <v/>
      </c>
      <c r="H116" s="9" t="str">
        <f>IFERROR(INDEX('CONTROL MASTER'!$Q$2:$Q$495,MATCH("Control CDI Plate 10: F7",'CONTROL MASTER'!$G$2:$G$495,0)),"")</f>
        <v/>
      </c>
      <c r="I116" s="9" t="str">
        <f>IFERROR(INDEX('CONTROL MASTER'!$Q$2:$Q$495,MATCH("Control CDI Plate 10: F8",'CONTROL MASTER'!$G$2:$G$495,0)),"")</f>
        <v/>
      </c>
      <c r="J116" s="9" t="str">
        <f>IFERROR(INDEX('CONTROL MASTER'!$Q$2:$Q$495,MATCH("Control CDI Plate 10: F9",'CONTROL MASTER'!$G$2:$G$495,0)),"")</f>
        <v/>
      </c>
      <c r="K116" s="9" t="str">
        <f>IFERROR(INDEX('CONTROL MASTER'!$Q$2:$Q$495,MATCH("Control CDI Plate 10: F10",'CONTROL MASTER'!$G$2:$G$495,0)),"")</f>
        <v/>
      </c>
      <c r="L116" s="9" t="str">
        <f>IFERROR(INDEX('CONTROL MASTER'!$Q$2:$Q$495,MATCH("Control CDI Plate 10: F11",'CONTROL MASTER'!$G$2:$G$495,0)),"")</f>
        <v/>
      </c>
      <c r="M116" s="9" t="str">
        <f>IFERROR(INDEX('CONTROL MASTER'!$Q$2:$Q$495,MATCH("Control CDI Plate 10: F12",'CONTROL MASTER'!$G$2:$G$495,0)),"")</f>
        <v/>
      </c>
    </row>
    <row r="117" spans="1:13" ht="15" customHeight="1" x14ac:dyDescent="0.35">
      <c r="A117" s="8" t="s">
        <v>34</v>
      </c>
      <c r="B117" s="9" t="str">
        <f>IFERROR(INDEX('CONTROL MASTER'!$Q$2:$Q$495,MATCH("Control CDI Plate 10: G1",'CONTROL MASTER'!$G$2:$G$495,0)),"")</f>
        <v/>
      </c>
      <c r="C117" s="9" t="str">
        <f>IFERROR(INDEX('CONTROL MASTER'!$Q$2:$Q$495,MATCH("Control CDI Plate 10: G2",'CONTROL MASTER'!$G$2:$G$495,0)),"")</f>
        <v/>
      </c>
      <c r="D117" s="9" t="str">
        <f>IFERROR(INDEX('CONTROL MASTER'!$Q$2:$Q$495,MATCH("Control CDI Plate 10: G3",'CONTROL MASTER'!$G$2:$G$495,0)),"")</f>
        <v/>
      </c>
      <c r="E117" s="9" t="str">
        <f>IFERROR(INDEX('CONTROL MASTER'!$Q$2:$Q$495,MATCH("Control CDI Plate 10: G4",'CONTROL MASTER'!$G$2:$G$495,0)),"")</f>
        <v/>
      </c>
      <c r="F117" s="9" t="str">
        <f>IFERROR(INDEX('CONTROL MASTER'!$Q$2:$Q$495,MATCH("Control CDI Plate 10: G5",'CONTROL MASTER'!$G$2:$G$495,0)),"")</f>
        <v/>
      </c>
      <c r="G117" s="9" t="str">
        <f>IFERROR(INDEX('CONTROL MASTER'!$Q$2:$Q$495,MATCH("Control CDI Plate 10: G6",'CONTROL MASTER'!$G$2:$G$495,0)),"")</f>
        <v/>
      </c>
      <c r="H117" s="9" t="str">
        <f>IFERROR(INDEX('CONTROL MASTER'!$Q$2:$Q$495,MATCH("Control CDI Plate 10: G7",'CONTROL MASTER'!$G$2:$G$495,0)),"")</f>
        <v/>
      </c>
      <c r="I117" s="9" t="str">
        <f>IFERROR(INDEX('CONTROL MASTER'!$Q$2:$Q$495,MATCH("Control CDI Plate 10: G8",'CONTROL MASTER'!$G$2:$G$495,0)),"")</f>
        <v/>
      </c>
      <c r="J117" s="9" t="str">
        <f>IFERROR(INDEX('CONTROL MASTER'!$Q$2:$Q$495,MATCH("Control CDI Plate 10: G9",'CONTROL MASTER'!$G$2:$G$495,0)),"")</f>
        <v/>
      </c>
      <c r="K117" s="9" t="str">
        <f>IFERROR(INDEX('CONTROL MASTER'!$Q$2:$Q$495,MATCH("Control CDI Plate 10: G10",'CONTROL MASTER'!$G$2:$G$495,0)),"")</f>
        <v/>
      </c>
      <c r="L117" s="9" t="str">
        <f>IFERROR(INDEX('CONTROL MASTER'!$Q$2:$Q$495,MATCH("Control CDI Plate 10: G11",'CONTROL MASTER'!$G$2:$G$495,0)),"")</f>
        <v/>
      </c>
      <c r="M117" s="9" t="str">
        <f>IFERROR(INDEX('CONTROL MASTER'!$Q$2:$Q$495,MATCH("Control CDI Plate 10: G12",'CONTROL MASTER'!$G$2:$G$495,0)),"")</f>
        <v/>
      </c>
    </row>
    <row r="118" spans="1:13" ht="15" customHeight="1" x14ac:dyDescent="0.35">
      <c r="A118" s="8" t="s">
        <v>35</v>
      </c>
      <c r="B118" s="9" t="str">
        <f>IFERROR(INDEX('CONTROL MASTER'!$Q$2:$Q$495,MATCH("Control CDI Plate 10: H1",'CONTROL MASTER'!$G$2:$G$495,0)),"")</f>
        <v/>
      </c>
      <c r="C118" s="9" t="str">
        <f>IFERROR(INDEX('CONTROL MASTER'!$Q$2:$Q$495,MATCH("Control CDI Plate 10: H2",'CONTROL MASTER'!$G$2:$G$495,0)),"")</f>
        <v/>
      </c>
      <c r="D118" s="9" t="str">
        <f>IFERROR(INDEX('CONTROL MASTER'!$Q$2:$Q$495,MATCH("Control CDI Plate 10: H3",'CONTROL MASTER'!$G$2:$G$495,0)),"")</f>
        <v/>
      </c>
      <c r="E118" s="9" t="str">
        <f>IFERROR(INDEX('CONTROL MASTER'!$Q$2:$Q$495,MATCH("Control CDI Plate 10: H4",'CONTROL MASTER'!$G$2:$G$495,0)),"")</f>
        <v/>
      </c>
      <c r="F118" s="9" t="str">
        <f>IFERROR(INDEX('CONTROL MASTER'!$Q$2:$Q$495,MATCH("Control CDI Plate 10: H5",'CONTROL MASTER'!$G$2:$G$495,0)),"")</f>
        <v/>
      </c>
      <c r="G118" s="9" t="str">
        <f>IFERROR(INDEX('CONTROL MASTER'!$Q$2:$Q$495,MATCH("Control CDI Plate 10: H6",'CONTROL MASTER'!$G$2:$G$495,0)),"")</f>
        <v/>
      </c>
      <c r="H118" s="9" t="str">
        <f>IFERROR(INDEX('CONTROL MASTER'!$Q$2:$Q$495,MATCH("Control CDI Plate 10: H7",'CONTROL MASTER'!$G$2:$G$495,0)),"")</f>
        <v/>
      </c>
      <c r="I118" s="9" t="str">
        <f>IFERROR(INDEX('CONTROL MASTER'!$Q$2:$Q$495,MATCH("Control CDI Plate 10: H8",'CONTROL MASTER'!$G$2:$G$495,0)),"")</f>
        <v/>
      </c>
      <c r="J118" s="9" t="str">
        <f>IFERROR(INDEX('CONTROL MASTER'!$Q$2:$Q$495,MATCH("Control CDI Plate 10: H9",'CONTROL MASTER'!$G$2:$G$495,0)),"")</f>
        <v/>
      </c>
      <c r="K118" s="9" t="str">
        <f>IFERROR(INDEX('CONTROL MASTER'!$Q$2:$Q$495,MATCH("Control CDI Plate 10: H10",'CONTROL MASTER'!$G$2:$G$495,0)),"")</f>
        <v/>
      </c>
      <c r="L118" s="9" t="str">
        <f>IFERROR(INDEX('CONTROL MASTER'!$Q$2:$Q$495,MATCH("Control CDI Plate 10: H11",'CONTROL MASTER'!$G$2:$G$495,0)),"")</f>
        <v/>
      </c>
      <c r="M118" s="9" t="str">
        <f>IFERROR(INDEX('CONTROL MASTER'!$Q$2:$Q$495,MATCH("Control CDI Plate 10: H12",'CONTROL MASTER'!$G$2:$G$495,0)),"")</f>
        <v/>
      </c>
    </row>
    <row r="121" spans="1:13" ht="15" customHeight="1" x14ac:dyDescent="0.35">
      <c r="A121" s="12" t="s">
        <v>122</v>
      </c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</row>
    <row r="122" spans="1:13" ht="15" customHeight="1" x14ac:dyDescent="0.35">
      <c r="B122" s="8">
        <v>1</v>
      </c>
      <c r="C122" s="8">
        <v>2</v>
      </c>
      <c r="D122" s="8">
        <v>3</v>
      </c>
      <c r="E122" s="8">
        <v>4</v>
      </c>
      <c r="F122" s="8">
        <v>5</v>
      </c>
      <c r="G122" s="8">
        <v>6</v>
      </c>
      <c r="H122" s="8">
        <v>7</v>
      </c>
      <c r="I122" s="8">
        <v>8</v>
      </c>
      <c r="J122" s="8">
        <v>9</v>
      </c>
      <c r="K122" s="8">
        <v>10</v>
      </c>
      <c r="L122" s="8">
        <v>11</v>
      </c>
      <c r="M122" s="8">
        <v>12</v>
      </c>
    </row>
    <row r="123" spans="1:13" ht="15" customHeight="1" x14ac:dyDescent="0.35">
      <c r="A123" s="8" t="s">
        <v>28</v>
      </c>
      <c r="B123" s="9" t="str">
        <f>IFERROR(INDEX('CONTROL MASTER'!$Q$2:$Q$495,MATCH("Control CDI Plate 11: A1",'CONTROL MASTER'!$G$2:$G$495,0)),"")</f>
        <v/>
      </c>
      <c r="C123" s="9" t="str">
        <f>IFERROR(INDEX('CONTROL MASTER'!$Q$2:$Q$495,MATCH("Control CDI Plate 11: A2",'CONTROL MASTER'!$G$2:$G$495,0)),"")</f>
        <v/>
      </c>
      <c r="D123" s="9" t="str">
        <f>IFERROR(INDEX('CONTROL MASTER'!$Q$2:$Q$495,MATCH("Control CDI Plate 11: A3",'CONTROL MASTER'!$G$2:$G$495,0)),"")</f>
        <v/>
      </c>
      <c r="E123" s="9" t="str">
        <f>IFERROR(INDEX('CONTROL MASTER'!$Q$2:$Q$495,MATCH("Control CDI Plate 11: A4",'CONTROL MASTER'!$G$2:$G$495,0)),"")</f>
        <v/>
      </c>
      <c r="F123" s="9" t="str">
        <f>IFERROR(INDEX('CONTROL MASTER'!$Q$2:$Q$495,MATCH("Control CDI Plate 11: A5",'CONTROL MASTER'!$G$2:$G$495,0)),"")</f>
        <v/>
      </c>
      <c r="G123" s="9" t="str">
        <f>IFERROR(INDEX('CONTROL MASTER'!$Q$2:$Q$495,MATCH("Control CDI Plate 11: A6",'CONTROL MASTER'!$G$2:$G$495,0)),"")</f>
        <v/>
      </c>
      <c r="H123" s="9" t="str">
        <f>IFERROR(INDEX('CONTROL MASTER'!$Q$2:$Q$495,MATCH("Control CDI Plate 11: A7",'CONTROL MASTER'!$G$2:$G$495,0)),"")</f>
        <v/>
      </c>
      <c r="I123" s="9" t="str">
        <f>IFERROR(INDEX('CONTROL MASTER'!$Q$2:$Q$495,MATCH("Control CDI Plate 11: A8",'CONTROL MASTER'!$G$2:$G$495,0)),"")</f>
        <v/>
      </c>
      <c r="J123" s="9" t="str">
        <f>IFERROR(INDEX('CONTROL MASTER'!$Q$2:$Q$495,MATCH("Control CDI Plate 11: A9",'CONTROL MASTER'!$G$2:$G$495,0)),"")</f>
        <v/>
      </c>
      <c r="K123" s="9" t="str">
        <f>IFERROR(INDEX('CONTROL MASTER'!$Q$2:$Q$495,MATCH("Control CDI Plate 11: A10",'CONTROL MASTER'!$G$2:$G$495,0)),"")</f>
        <v/>
      </c>
      <c r="L123" s="9" t="str">
        <f>IFERROR(INDEX('CONTROL MASTER'!$Q$2:$Q$495,MATCH("Control CDI Plate 11: A11",'CONTROL MASTER'!$G$2:$G$495,0)),"")</f>
        <v/>
      </c>
      <c r="M123" s="9" t="str">
        <f>IFERROR(INDEX('CONTROL MASTER'!$Q$2:$Q$495,MATCH("Control CDI Plate 11: A12",'CONTROL MASTER'!$G$2:$G$495,0)),"")</f>
        <v/>
      </c>
    </row>
    <row r="124" spans="1:13" ht="15" customHeight="1" x14ac:dyDescent="0.35">
      <c r="A124" s="8" t="s">
        <v>29</v>
      </c>
      <c r="B124" s="9" t="str">
        <f>IFERROR(INDEX('CONTROL MASTER'!$Q$2:$Q$495,MATCH("Control CDI Plate 11: B1",'CONTROL MASTER'!$G$2:$G$495,0)),"")</f>
        <v/>
      </c>
      <c r="C124" s="9" t="str">
        <f>IFERROR(INDEX('CONTROL MASTER'!$Q$2:$Q$495,MATCH("Control CDI Plate 11: B2",'CONTROL MASTER'!$G$2:$G$495,0)),"")</f>
        <v/>
      </c>
      <c r="D124" s="9" t="str">
        <f>IFERROR(INDEX('CONTROL MASTER'!$Q$2:$Q$495,MATCH("Control CDI Plate 11: B3",'CONTROL MASTER'!$G$2:$G$495,0)),"")</f>
        <v/>
      </c>
      <c r="E124" s="9" t="str">
        <f>IFERROR(INDEX('CONTROL MASTER'!$Q$2:$Q$495,MATCH("Control CDI Plate 11: B4",'CONTROL MASTER'!$G$2:$G$495,0)),"")</f>
        <v/>
      </c>
      <c r="F124" s="9" t="str">
        <f>IFERROR(INDEX('CONTROL MASTER'!$Q$2:$Q$495,MATCH("Control CDI Plate 11: B5",'CONTROL MASTER'!$G$2:$G$495,0)),"")</f>
        <v/>
      </c>
      <c r="G124" s="9" t="str">
        <f>IFERROR(INDEX('CONTROL MASTER'!$Q$2:$Q$495,MATCH("Control CDI Plate 11: B6",'CONTROL MASTER'!$G$2:$G$495,0)),"")</f>
        <v/>
      </c>
      <c r="H124" s="9" t="str">
        <f>IFERROR(INDEX('CONTROL MASTER'!$Q$2:$Q$495,MATCH("Control CDI Plate 11: B7",'CONTROL MASTER'!$G$2:$G$495,0)),"")</f>
        <v/>
      </c>
      <c r="I124" s="9" t="str">
        <f>IFERROR(INDEX('CONTROL MASTER'!$Q$2:$Q$495,MATCH("Control CDI Plate 11: B8",'CONTROL MASTER'!$G$2:$G$495,0)),"")</f>
        <v/>
      </c>
      <c r="J124" s="9" t="str">
        <f>IFERROR(INDEX('CONTROL MASTER'!$Q$2:$Q$495,MATCH("Control CDI Plate 11: B9",'CONTROL MASTER'!$G$2:$G$495,0)),"")</f>
        <v/>
      </c>
      <c r="K124" s="9" t="str">
        <f>IFERROR(INDEX('CONTROL MASTER'!$Q$2:$Q$495,MATCH("Control CDI Plate 11: B10",'CONTROL MASTER'!$G$2:$G$495,0)),"")</f>
        <v/>
      </c>
      <c r="L124" s="9" t="str">
        <f>IFERROR(INDEX('CONTROL MASTER'!$Q$2:$Q$495,MATCH("Control CDI Plate 11: B11",'CONTROL MASTER'!$G$2:$G$495,0)),"")</f>
        <v/>
      </c>
      <c r="M124" s="9" t="str">
        <f>IFERROR(INDEX('CONTROL MASTER'!$Q$2:$Q$495,MATCH("Control CDI Plate 11: B12",'CONTROL MASTER'!$G$2:$G$495,0)),"")</f>
        <v/>
      </c>
    </row>
    <row r="125" spans="1:13" ht="15" customHeight="1" x14ac:dyDescent="0.35">
      <c r="A125" s="8" t="s">
        <v>30</v>
      </c>
      <c r="B125" s="9" t="str">
        <f>IFERROR(INDEX('CONTROL MASTER'!$Q$2:$Q$495,MATCH("Control CDI Plate 11: C1",'CONTROL MASTER'!$G$2:$G$495,0)),"")</f>
        <v/>
      </c>
      <c r="C125" s="9" t="str">
        <f>IFERROR(INDEX('CONTROL MASTER'!$Q$2:$Q$495,MATCH("Control CDI Plate 11: C2",'CONTROL MASTER'!$G$2:$G$495,0)),"")</f>
        <v/>
      </c>
      <c r="D125" s="9" t="str">
        <f>IFERROR(INDEX('CONTROL MASTER'!$Q$2:$Q$495,MATCH("Control CDI Plate 11: C3",'CONTROL MASTER'!$G$2:$G$495,0)),"")</f>
        <v/>
      </c>
      <c r="E125" s="9" t="str">
        <f>IFERROR(INDEX('CONTROL MASTER'!$Q$2:$Q$495,MATCH("Control CDI Plate 11: C4",'CONTROL MASTER'!$G$2:$G$495,0)),"")</f>
        <v/>
      </c>
      <c r="F125" s="9" t="str">
        <f>IFERROR(INDEX('CONTROL MASTER'!$Q$2:$Q$495,MATCH("Control CDI Plate 11: C5",'CONTROL MASTER'!$G$2:$G$495,0)),"")</f>
        <v/>
      </c>
      <c r="G125" s="9" t="str">
        <f>IFERROR(INDEX('CONTROL MASTER'!$Q$2:$Q$495,MATCH("Control CDI Plate 11: C6",'CONTROL MASTER'!$G$2:$G$495,0)),"")</f>
        <v/>
      </c>
      <c r="H125" s="9" t="str">
        <f>IFERROR(INDEX('CONTROL MASTER'!$Q$2:$Q$495,MATCH("Control CDI Plate 11: C7",'CONTROL MASTER'!$G$2:$G$495,0)),"")</f>
        <v/>
      </c>
      <c r="I125" s="9" t="str">
        <f>IFERROR(INDEX('CONTROL MASTER'!$Q$2:$Q$495,MATCH("Control CDI Plate 11: C8",'CONTROL MASTER'!$G$2:$G$495,0)),"")</f>
        <v/>
      </c>
      <c r="J125" s="9" t="str">
        <f>IFERROR(INDEX('CONTROL MASTER'!$Q$2:$Q$495,MATCH("Control CDI Plate 11: C9",'CONTROL MASTER'!$G$2:$G$495,0)),"")</f>
        <v/>
      </c>
      <c r="K125" s="9" t="str">
        <f>IFERROR(INDEX('CONTROL MASTER'!$Q$2:$Q$495,MATCH("Control CDI Plate 11: C10",'CONTROL MASTER'!$G$2:$G$495,0)),"")</f>
        <v/>
      </c>
      <c r="L125" s="9" t="str">
        <f>IFERROR(INDEX('CONTROL MASTER'!$Q$2:$Q$495,MATCH("Control CDI Plate 11: C11",'CONTROL MASTER'!$G$2:$G$495,0)),"")</f>
        <v/>
      </c>
      <c r="M125" s="9" t="str">
        <f>IFERROR(INDEX('CONTROL MASTER'!$Q$2:$Q$495,MATCH("Control CDI Plate 11: C12",'CONTROL MASTER'!$G$2:$G$495,0)),"")</f>
        <v/>
      </c>
    </row>
    <row r="126" spans="1:13" ht="15" customHeight="1" x14ac:dyDescent="0.35">
      <c r="A126" s="8" t="s">
        <v>31</v>
      </c>
      <c r="B126" s="9" t="str">
        <f>IFERROR(INDEX('CONTROL MASTER'!$Q$2:$Q$495,MATCH("Control CDI Plate 11: D1",'CONTROL MASTER'!$G$2:$G$495,0)),"")</f>
        <v/>
      </c>
      <c r="C126" s="9" t="str">
        <f>IFERROR(INDEX('CONTROL MASTER'!$Q$2:$Q$495,MATCH("Control CDI Plate 11: D2",'CONTROL MASTER'!$G$2:$G$495,0)),"")</f>
        <v/>
      </c>
      <c r="D126" s="9" t="str">
        <f>IFERROR(INDEX('CONTROL MASTER'!$Q$2:$Q$495,MATCH("Control CDI Plate 11: D3",'CONTROL MASTER'!$G$2:$G$495,0)),"")</f>
        <v/>
      </c>
      <c r="E126" s="9" t="str">
        <f>IFERROR(INDEX('CONTROL MASTER'!$Q$2:$Q$495,MATCH("Control CDI Plate 11: D4",'CONTROL MASTER'!$G$2:$G$495,0)),"")</f>
        <v/>
      </c>
      <c r="F126" s="9" t="str">
        <f>IFERROR(INDEX('CONTROL MASTER'!$Q$2:$Q$495,MATCH("Control CDI Plate 11: D5",'CONTROL MASTER'!$G$2:$G$495,0)),"")</f>
        <v/>
      </c>
      <c r="G126" s="9" t="str">
        <f>IFERROR(INDEX('CONTROL MASTER'!$Q$2:$Q$495,MATCH("Control CDI Plate 11: D6",'CONTROL MASTER'!$G$2:$G$495,0)),"")</f>
        <v/>
      </c>
      <c r="H126" s="9" t="str">
        <f>IFERROR(INDEX('CONTROL MASTER'!$Q$2:$Q$495,MATCH("Control CDI Plate 11: D7",'CONTROL MASTER'!$G$2:$G$495,0)),"")</f>
        <v/>
      </c>
      <c r="I126" s="9" t="str">
        <f>IFERROR(INDEX('CONTROL MASTER'!$Q$2:$Q$495,MATCH("Control CDI Plate 11: D8",'CONTROL MASTER'!$G$2:$G$495,0)),"")</f>
        <v/>
      </c>
      <c r="J126" s="9" t="str">
        <f>IFERROR(INDEX('CONTROL MASTER'!$Q$2:$Q$495,MATCH("Control CDI Plate 11: D9",'CONTROL MASTER'!$G$2:$G$495,0)),"")</f>
        <v/>
      </c>
      <c r="K126" s="9" t="str">
        <f>IFERROR(INDEX('CONTROL MASTER'!$Q$2:$Q$495,MATCH("Control CDI Plate 11: D10",'CONTROL MASTER'!$G$2:$G$495,0)),"")</f>
        <v/>
      </c>
      <c r="L126" s="9" t="str">
        <f>IFERROR(INDEX('CONTROL MASTER'!$Q$2:$Q$495,MATCH("Control CDI Plate 11: D11",'CONTROL MASTER'!$G$2:$G$495,0)),"")</f>
        <v/>
      </c>
      <c r="M126" s="9" t="str">
        <f>IFERROR(INDEX('CONTROL MASTER'!$Q$2:$Q$495,MATCH("Control CDI Plate 11: D12",'CONTROL MASTER'!$G$2:$G$495,0)),"")</f>
        <v/>
      </c>
    </row>
    <row r="127" spans="1:13" ht="15" customHeight="1" x14ac:dyDescent="0.35">
      <c r="A127" s="8" t="s">
        <v>32</v>
      </c>
      <c r="B127" s="9" t="str">
        <f>IFERROR(INDEX('CONTROL MASTER'!$Q$2:$Q$495,MATCH("Control CDI Plate 11: E1",'CONTROL MASTER'!$G$2:$G$495,0)),"")</f>
        <v/>
      </c>
      <c r="C127" s="9" t="str">
        <f>IFERROR(INDEX('CONTROL MASTER'!$Q$2:$Q$495,MATCH("Control CDI Plate 11: E2",'CONTROL MASTER'!$G$2:$G$495,0)),"")</f>
        <v/>
      </c>
      <c r="D127" s="9" t="str">
        <f>IFERROR(INDEX('CONTROL MASTER'!$Q$2:$Q$495,MATCH("Control CDI Plate 11: E3",'CONTROL MASTER'!$G$2:$G$495,0)),"")</f>
        <v/>
      </c>
      <c r="E127" s="9" t="str">
        <f>IFERROR(INDEX('CONTROL MASTER'!$Q$2:$Q$495,MATCH("Control CDI Plate 11: E4",'CONTROL MASTER'!$G$2:$G$495,0)),"")</f>
        <v/>
      </c>
      <c r="F127" s="9" t="str">
        <f>IFERROR(INDEX('CONTROL MASTER'!$Q$2:$Q$495,MATCH("Control CDI Plate 11: E5",'CONTROL MASTER'!$G$2:$G$495,0)),"")</f>
        <v/>
      </c>
      <c r="G127" s="9" t="str">
        <f>IFERROR(INDEX('CONTROL MASTER'!$Q$2:$Q$495,MATCH("Control CDI Plate 11: E6",'CONTROL MASTER'!$G$2:$G$495,0)),"")</f>
        <v/>
      </c>
      <c r="H127" s="9" t="str">
        <f>IFERROR(INDEX('CONTROL MASTER'!$Q$2:$Q$495,MATCH("Control CDI Plate 11: E7",'CONTROL MASTER'!$G$2:$G$495,0)),"")</f>
        <v/>
      </c>
      <c r="I127" s="9" t="str">
        <f>IFERROR(INDEX('CONTROL MASTER'!$Q$2:$Q$495,MATCH("Control CDI Plate 11: E8",'CONTROL MASTER'!$G$2:$G$495,0)),"")</f>
        <v/>
      </c>
      <c r="J127" s="9" t="str">
        <f>IFERROR(INDEX('CONTROL MASTER'!$Q$2:$Q$495,MATCH("Control CDI Plate 11: E9",'CONTROL MASTER'!$G$2:$G$495,0)),"")</f>
        <v/>
      </c>
      <c r="K127" s="9" t="str">
        <f>IFERROR(INDEX('CONTROL MASTER'!$Q$2:$Q$495,MATCH("Control CDI Plate 11: E10",'CONTROL MASTER'!$G$2:$G$495,0)),"")</f>
        <v/>
      </c>
      <c r="L127" s="9" t="str">
        <f>IFERROR(INDEX('CONTROL MASTER'!$Q$2:$Q$495,MATCH("Control CDI Plate 11: E11",'CONTROL MASTER'!$G$2:$G$495,0)),"")</f>
        <v/>
      </c>
      <c r="M127" s="9" t="str">
        <f>IFERROR(INDEX('CONTROL MASTER'!$Q$2:$Q$495,MATCH("Control CDI Plate 11: E12",'CONTROL MASTER'!$G$2:$G$495,0)),"")</f>
        <v/>
      </c>
    </row>
    <row r="128" spans="1:13" ht="15" customHeight="1" x14ac:dyDescent="0.35">
      <c r="A128" s="8" t="s">
        <v>33</v>
      </c>
      <c r="B128" s="9" t="str">
        <f>IFERROR(INDEX('CONTROL MASTER'!$Q$2:$Q$495,MATCH("Control CDI Plate 11: F1",'CONTROL MASTER'!$G$2:$G$495,0)),"")</f>
        <v/>
      </c>
      <c r="C128" s="9" t="str">
        <f>IFERROR(INDEX('CONTROL MASTER'!$Q$2:$Q$495,MATCH("Control CDI Plate 11: F2",'CONTROL MASTER'!$G$2:$G$495,0)),"")</f>
        <v/>
      </c>
      <c r="D128" s="9" t="str">
        <f>IFERROR(INDEX('CONTROL MASTER'!$Q$2:$Q$495,MATCH("Control CDI Plate 11: F3",'CONTROL MASTER'!$G$2:$G$495,0)),"")</f>
        <v/>
      </c>
      <c r="E128" s="9" t="str">
        <f>IFERROR(INDEX('CONTROL MASTER'!$Q$2:$Q$495,MATCH("Control CDI Plate 11: F4",'CONTROL MASTER'!$G$2:$G$495,0)),"")</f>
        <v/>
      </c>
      <c r="F128" s="9" t="str">
        <f>IFERROR(INDEX('CONTROL MASTER'!$Q$2:$Q$495,MATCH("Control CDI Plate 11: F5",'CONTROL MASTER'!$G$2:$G$495,0)),"")</f>
        <v/>
      </c>
      <c r="G128" s="9" t="str">
        <f>IFERROR(INDEX('CONTROL MASTER'!$Q$2:$Q$495,MATCH("Control CDI Plate 11: F6",'CONTROL MASTER'!$G$2:$G$495,0)),"")</f>
        <v/>
      </c>
      <c r="H128" s="9" t="str">
        <f>IFERROR(INDEX('CONTROL MASTER'!$Q$2:$Q$495,MATCH("Control CDI Plate 11: F7",'CONTROL MASTER'!$G$2:$G$495,0)),"")</f>
        <v/>
      </c>
      <c r="I128" s="9" t="str">
        <f>IFERROR(INDEX('CONTROL MASTER'!$Q$2:$Q$495,MATCH("Control CDI Plate 11: F8",'CONTROL MASTER'!$G$2:$G$495,0)),"")</f>
        <v/>
      </c>
      <c r="J128" s="9" t="str">
        <f>IFERROR(INDEX('CONTROL MASTER'!$Q$2:$Q$495,MATCH("Control CDI Plate 11: F9",'CONTROL MASTER'!$G$2:$G$495,0)),"")</f>
        <v/>
      </c>
      <c r="K128" s="9" t="str">
        <f>IFERROR(INDEX('CONTROL MASTER'!$Q$2:$Q$495,MATCH("Control CDI Plate 11: F10",'CONTROL MASTER'!$G$2:$G$495,0)),"")</f>
        <v/>
      </c>
      <c r="L128" s="9" t="str">
        <f>IFERROR(INDEX('CONTROL MASTER'!$Q$2:$Q$495,MATCH("Control CDI Plate 11: F11",'CONTROL MASTER'!$G$2:$G$495,0)),"")</f>
        <v/>
      </c>
      <c r="M128" s="9" t="str">
        <f>IFERROR(INDEX('CONTROL MASTER'!$Q$2:$Q$495,MATCH("Control CDI Plate 11: F12",'CONTROL MASTER'!$G$2:$G$495,0)),"")</f>
        <v/>
      </c>
    </row>
    <row r="129" spans="1:13" ht="15" customHeight="1" x14ac:dyDescent="0.35">
      <c r="A129" s="8" t="s">
        <v>34</v>
      </c>
      <c r="B129" s="9" t="str">
        <f>IFERROR(INDEX('CONTROL MASTER'!$Q$2:$Q$495,MATCH("Control CDI Plate 11: G1",'CONTROL MASTER'!$G$2:$G$495,0)),"")</f>
        <v/>
      </c>
      <c r="C129" s="9" t="str">
        <f>IFERROR(INDEX('CONTROL MASTER'!$Q$2:$Q$495,MATCH("Control CDI Plate 11: G2",'CONTROL MASTER'!$G$2:$G$495,0)),"")</f>
        <v/>
      </c>
      <c r="D129" s="9" t="str">
        <f>IFERROR(INDEX('CONTROL MASTER'!$Q$2:$Q$495,MATCH("Control CDI Plate 11: G3",'CONTROL MASTER'!$G$2:$G$495,0)),"")</f>
        <v/>
      </c>
      <c r="E129" s="9" t="str">
        <f>IFERROR(INDEX('CONTROL MASTER'!$Q$2:$Q$495,MATCH("Control CDI Plate 11: G4",'CONTROL MASTER'!$G$2:$G$495,0)),"")</f>
        <v/>
      </c>
      <c r="F129" s="9" t="str">
        <f>IFERROR(INDEX('CONTROL MASTER'!$Q$2:$Q$495,MATCH("Control CDI Plate 11: G5",'CONTROL MASTER'!$G$2:$G$495,0)),"")</f>
        <v/>
      </c>
      <c r="G129" s="9" t="str">
        <f>IFERROR(INDEX('CONTROL MASTER'!$Q$2:$Q$495,MATCH("Control CDI Plate 11: G6",'CONTROL MASTER'!$G$2:$G$495,0)),"")</f>
        <v/>
      </c>
      <c r="H129" s="9" t="str">
        <f>IFERROR(INDEX('CONTROL MASTER'!$Q$2:$Q$495,MATCH("Control CDI Plate 11: G7",'CONTROL MASTER'!$G$2:$G$495,0)),"")</f>
        <v/>
      </c>
      <c r="I129" s="9" t="str">
        <f>IFERROR(INDEX('CONTROL MASTER'!$Q$2:$Q$495,MATCH("Control CDI Plate 11: G8",'CONTROL MASTER'!$G$2:$G$495,0)),"")</f>
        <v/>
      </c>
      <c r="J129" s="9" t="str">
        <f>IFERROR(INDEX('CONTROL MASTER'!$Q$2:$Q$495,MATCH("Control CDI Plate 11: G9",'CONTROL MASTER'!$G$2:$G$495,0)),"")</f>
        <v/>
      </c>
      <c r="K129" s="9" t="str">
        <f>IFERROR(INDEX('CONTROL MASTER'!$Q$2:$Q$495,MATCH("Control CDI Plate 11: G10",'CONTROL MASTER'!$G$2:$G$495,0)),"")</f>
        <v/>
      </c>
      <c r="L129" s="9" t="str">
        <f>IFERROR(INDEX('CONTROL MASTER'!$Q$2:$Q$495,MATCH("Control CDI Plate 11: G11",'CONTROL MASTER'!$G$2:$G$495,0)),"")</f>
        <v/>
      </c>
      <c r="M129" s="9" t="str">
        <f>IFERROR(INDEX('CONTROL MASTER'!$Q$2:$Q$495,MATCH("Control CDI Plate 11: G12",'CONTROL MASTER'!$G$2:$G$495,0)),"")</f>
        <v/>
      </c>
    </row>
    <row r="130" spans="1:13" ht="15" customHeight="1" x14ac:dyDescent="0.35">
      <c r="A130" s="8" t="s">
        <v>35</v>
      </c>
      <c r="B130" s="9" t="str">
        <f>IFERROR(INDEX('CONTROL MASTER'!$Q$2:$Q$495,MATCH("Control CDI Plate 11: H1",'CONTROL MASTER'!$G$2:$G$495,0)),"")</f>
        <v/>
      </c>
      <c r="C130" s="9" t="str">
        <f>IFERROR(INDEX('CONTROL MASTER'!$Q$2:$Q$495,MATCH("Control CDI Plate 11: H2",'CONTROL MASTER'!$G$2:$G$495,0)),"")</f>
        <v/>
      </c>
      <c r="D130" s="9" t="str">
        <f>IFERROR(INDEX('CONTROL MASTER'!$Q$2:$Q$495,MATCH("Control CDI Plate 11: H3",'CONTROL MASTER'!$G$2:$G$495,0)),"")</f>
        <v/>
      </c>
      <c r="E130" s="9" t="str">
        <f>IFERROR(INDEX('CONTROL MASTER'!$Q$2:$Q$495,MATCH("Control CDI Plate 11: H4",'CONTROL MASTER'!$G$2:$G$495,0)),"")</f>
        <v/>
      </c>
      <c r="F130" s="9" t="str">
        <f>IFERROR(INDEX('CONTROL MASTER'!$Q$2:$Q$495,MATCH("Control CDI Plate 11: H5",'CONTROL MASTER'!$G$2:$G$495,0)),"")</f>
        <v/>
      </c>
      <c r="G130" s="9" t="str">
        <f>IFERROR(INDEX('CONTROL MASTER'!$Q$2:$Q$495,MATCH("Control CDI Plate 11: H6",'CONTROL MASTER'!$G$2:$G$495,0)),"")</f>
        <v/>
      </c>
      <c r="H130" s="9" t="str">
        <f>IFERROR(INDEX('CONTROL MASTER'!$Q$2:$Q$495,MATCH("Control CDI Plate 11: H7",'CONTROL MASTER'!$G$2:$G$495,0)),"")</f>
        <v/>
      </c>
      <c r="I130" s="9" t="str">
        <f>IFERROR(INDEX('CONTROL MASTER'!$Q$2:$Q$495,MATCH("Control CDI Plate 11: H8",'CONTROL MASTER'!$G$2:$G$495,0)),"")</f>
        <v/>
      </c>
      <c r="J130" s="9" t="str">
        <f>IFERROR(INDEX('CONTROL MASTER'!$Q$2:$Q$495,MATCH("Control CDI Plate 11: H9",'CONTROL MASTER'!$G$2:$G$495,0)),"")</f>
        <v/>
      </c>
      <c r="K130" s="9" t="str">
        <f>IFERROR(INDEX('CONTROL MASTER'!$Q$2:$Q$495,MATCH("Control CDI Plate 11: H10",'CONTROL MASTER'!$G$2:$G$495,0)),"")</f>
        <v/>
      </c>
      <c r="L130" s="9" t="str">
        <f>IFERROR(INDEX('CONTROL MASTER'!$Q$2:$Q$495,MATCH("Control CDI Plate 11: H11",'CONTROL MASTER'!$G$2:$G$495,0)),"")</f>
        <v/>
      </c>
      <c r="M130" s="9" t="str">
        <f>IFERROR(INDEX('CONTROL MASTER'!$Q$2:$Q$495,MATCH("Control CDI Plate 11: H12",'CONTROL MASTER'!$G$2:$G$495,0)),"")</f>
        <v/>
      </c>
    </row>
    <row r="133" spans="1:13" ht="15" customHeight="1" x14ac:dyDescent="0.35">
      <c r="A133" s="12" t="s">
        <v>123</v>
      </c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</row>
    <row r="134" spans="1:13" ht="15" customHeight="1" x14ac:dyDescent="0.35">
      <c r="B134" s="8">
        <v>1</v>
      </c>
      <c r="C134" s="8">
        <v>2</v>
      </c>
      <c r="D134" s="8">
        <v>3</v>
      </c>
      <c r="E134" s="8">
        <v>4</v>
      </c>
      <c r="F134" s="8">
        <v>5</v>
      </c>
      <c r="G134" s="8">
        <v>6</v>
      </c>
      <c r="H134" s="8">
        <v>7</v>
      </c>
      <c r="I134" s="8">
        <v>8</v>
      </c>
      <c r="J134" s="8">
        <v>9</v>
      </c>
      <c r="K134" s="8">
        <v>10</v>
      </c>
      <c r="L134" s="8">
        <v>11</v>
      </c>
      <c r="M134" s="8">
        <v>12</v>
      </c>
    </row>
    <row r="135" spans="1:13" ht="15" customHeight="1" x14ac:dyDescent="0.35">
      <c r="A135" s="8" t="s">
        <v>28</v>
      </c>
      <c r="B135" s="9" t="str">
        <f>IFERROR(INDEX('CONTROL MASTER'!$Q$2:$Q$495,MATCH("Control CDI Plate 12: A1",'CONTROL MASTER'!$G$2:$G$495,0)),"")</f>
        <v/>
      </c>
      <c r="C135" s="9" t="str">
        <f>IFERROR(INDEX('CONTROL MASTER'!$Q$2:$Q$495,MATCH("Control CDI Plate 12: A2",'CONTROL MASTER'!$G$2:$G$495,0)),"")</f>
        <v/>
      </c>
      <c r="D135" s="9" t="str">
        <f>IFERROR(INDEX('CONTROL MASTER'!$Q$2:$Q$495,MATCH("Control CDI Plate 12: A3",'CONTROL MASTER'!$G$2:$G$495,0)),"")</f>
        <v/>
      </c>
      <c r="E135" s="9" t="str">
        <f>IFERROR(INDEX('CONTROL MASTER'!$Q$2:$Q$495,MATCH("Control CDI Plate 12: A4",'CONTROL MASTER'!$G$2:$G$495,0)),"")</f>
        <v/>
      </c>
      <c r="F135" s="9" t="str">
        <f>IFERROR(INDEX('CONTROL MASTER'!$Q$2:$Q$495,MATCH("Control CDI Plate 12: A5",'CONTROL MASTER'!$G$2:$G$495,0)),"")</f>
        <v/>
      </c>
      <c r="G135" s="9" t="str">
        <f>IFERROR(INDEX('CONTROL MASTER'!$Q$2:$Q$495,MATCH("Control CDI Plate 12: A6",'CONTROL MASTER'!$G$2:$G$495,0)),"")</f>
        <v/>
      </c>
      <c r="H135" s="9" t="str">
        <f>IFERROR(INDEX('CONTROL MASTER'!$Q$2:$Q$495,MATCH("Control CDI Plate 12: A7",'CONTROL MASTER'!$G$2:$G$495,0)),"")</f>
        <v/>
      </c>
      <c r="I135" s="9" t="str">
        <f>IFERROR(INDEX('CONTROL MASTER'!$Q$2:$Q$495,MATCH("Control CDI Plate 12: A8",'CONTROL MASTER'!$G$2:$G$495,0)),"")</f>
        <v/>
      </c>
      <c r="J135" s="9" t="str">
        <f>IFERROR(INDEX('CONTROL MASTER'!$Q$2:$Q$495,MATCH("Control CDI Plate 12: A9",'CONTROL MASTER'!$G$2:$G$495,0)),"")</f>
        <v/>
      </c>
      <c r="K135" s="9" t="str">
        <f>IFERROR(INDEX('CONTROL MASTER'!$Q$2:$Q$495,MATCH("Control CDI Plate 12: A10",'CONTROL MASTER'!$G$2:$G$495,0)),"")</f>
        <v/>
      </c>
      <c r="L135" s="9" t="str">
        <f>IFERROR(INDEX('CONTROL MASTER'!$Q$2:$Q$495,MATCH("Control CDI Plate 12: A11",'CONTROL MASTER'!$G$2:$G$495,0)),"")</f>
        <v/>
      </c>
      <c r="M135" s="9" t="str">
        <f>IFERROR(INDEX('CONTROL MASTER'!$Q$2:$Q$495,MATCH("Control CDI Plate 12: A12",'CONTROL MASTER'!$G$2:$G$495,0)),"")</f>
        <v/>
      </c>
    </row>
    <row r="136" spans="1:13" ht="15" customHeight="1" x14ac:dyDescent="0.35">
      <c r="A136" s="8" t="s">
        <v>29</v>
      </c>
      <c r="B136" s="9" t="str">
        <f>IFERROR(INDEX('CONTROL MASTER'!$Q$2:$Q$495,MATCH("Control CDI Plate 12: B1",'CONTROL MASTER'!$G$2:$G$495,0)),"")</f>
        <v/>
      </c>
      <c r="C136" s="9" t="str">
        <f>IFERROR(INDEX('CONTROL MASTER'!$Q$2:$Q$495,MATCH("Control CDI Plate 12: B2",'CONTROL MASTER'!$G$2:$G$495,0)),"")</f>
        <v/>
      </c>
      <c r="D136" s="9" t="str">
        <f>IFERROR(INDEX('CONTROL MASTER'!$Q$2:$Q$495,MATCH("Control CDI Plate 12: B3",'CONTROL MASTER'!$G$2:$G$495,0)),"")</f>
        <v/>
      </c>
      <c r="E136" s="9" t="str">
        <f>IFERROR(INDEX('CONTROL MASTER'!$Q$2:$Q$495,MATCH("Control CDI Plate 12: B4",'CONTROL MASTER'!$G$2:$G$495,0)),"")</f>
        <v/>
      </c>
      <c r="F136" s="9" t="str">
        <f>IFERROR(INDEX('CONTROL MASTER'!$Q$2:$Q$495,MATCH("Control CDI Plate 12: B5",'CONTROL MASTER'!$G$2:$G$495,0)),"")</f>
        <v/>
      </c>
      <c r="G136" s="9" t="str">
        <f>IFERROR(INDEX('CONTROL MASTER'!$Q$2:$Q$495,MATCH("Control CDI Plate 12: B6",'CONTROL MASTER'!$G$2:$G$495,0)),"")</f>
        <v/>
      </c>
      <c r="H136" s="9" t="str">
        <f>IFERROR(INDEX('CONTROL MASTER'!$Q$2:$Q$495,MATCH("Control CDI Plate 12: B7",'CONTROL MASTER'!$G$2:$G$495,0)),"")</f>
        <v/>
      </c>
      <c r="I136" s="9" t="str">
        <f>IFERROR(INDEX('CONTROL MASTER'!$Q$2:$Q$495,MATCH("Control CDI Plate 12: B8",'CONTROL MASTER'!$G$2:$G$495,0)),"")</f>
        <v/>
      </c>
      <c r="J136" s="9" t="str">
        <f>IFERROR(INDEX('CONTROL MASTER'!$Q$2:$Q$495,MATCH("Control CDI Plate 12: B9",'CONTROL MASTER'!$G$2:$G$495,0)),"")</f>
        <v/>
      </c>
      <c r="K136" s="9" t="str">
        <f>IFERROR(INDEX('CONTROL MASTER'!$Q$2:$Q$495,MATCH("Control CDI Plate 12: B10",'CONTROL MASTER'!$G$2:$G$495,0)),"")</f>
        <v/>
      </c>
      <c r="L136" s="9" t="str">
        <f>IFERROR(INDEX('CONTROL MASTER'!$Q$2:$Q$495,MATCH("Control CDI Plate 12: B11",'CONTROL MASTER'!$G$2:$G$495,0)),"")</f>
        <v/>
      </c>
      <c r="M136" s="9" t="str">
        <f>IFERROR(INDEX('CONTROL MASTER'!$Q$2:$Q$495,MATCH("Control CDI Plate 12: B12",'CONTROL MASTER'!$G$2:$G$495,0)),"")</f>
        <v/>
      </c>
    </row>
    <row r="137" spans="1:13" ht="15" customHeight="1" x14ac:dyDescent="0.35">
      <c r="A137" s="8" t="s">
        <v>30</v>
      </c>
      <c r="B137" s="9" t="str">
        <f>IFERROR(INDEX('CONTROL MASTER'!$Q$2:$Q$495,MATCH("Control CDI Plate 12: C1",'CONTROL MASTER'!$G$2:$G$495,0)),"")</f>
        <v/>
      </c>
      <c r="C137" s="9" t="str">
        <f>IFERROR(INDEX('CONTROL MASTER'!$Q$2:$Q$495,MATCH("Control CDI Plate 12: C2",'CONTROL MASTER'!$G$2:$G$495,0)),"")</f>
        <v/>
      </c>
      <c r="D137" s="9" t="str">
        <f>IFERROR(INDEX('CONTROL MASTER'!$Q$2:$Q$495,MATCH("Control CDI Plate 12: C3",'CONTROL MASTER'!$G$2:$G$495,0)),"")</f>
        <v/>
      </c>
      <c r="E137" s="9" t="str">
        <f>IFERROR(INDEX('CONTROL MASTER'!$Q$2:$Q$495,MATCH("Control CDI Plate 12: C4",'CONTROL MASTER'!$G$2:$G$495,0)),"")</f>
        <v/>
      </c>
      <c r="F137" s="9" t="str">
        <f>IFERROR(INDEX('CONTROL MASTER'!$Q$2:$Q$495,MATCH("Control CDI Plate 12: C5",'CONTROL MASTER'!$G$2:$G$495,0)),"")</f>
        <v/>
      </c>
      <c r="G137" s="9" t="str">
        <f>IFERROR(INDEX('CONTROL MASTER'!$Q$2:$Q$495,MATCH("Control CDI Plate 12: C6",'CONTROL MASTER'!$G$2:$G$495,0)),"")</f>
        <v/>
      </c>
      <c r="H137" s="9" t="str">
        <f>IFERROR(INDEX('CONTROL MASTER'!$Q$2:$Q$495,MATCH("Control CDI Plate 12: C7",'CONTROL MASTER'!$G$2:$G$495,0)),"")</f>
        <v/>
      </c>
      <c r="I137" s="9" t="str">
        <f>IFERROR(INDEX('CONTROL MASTER'!$Q$2:$Q$495,MATCH("Control CDI Plate 12: C8",'CONTROL MASTER'!$G$2:$G$495,0)),"")</f>
        <v/>
      </c>
      <c r="J137" s="9" t="str">
        <f>IFERROR(INDEX('CONTROL MASTER'!$Q$2:$Q$495,MATCH("Control CDI Plate 12: C9",'CONTROL MASTER'!$G$2:$G$495,0)),"")</f>
        <v/>
      </c>
      <c r="K137" s="9" t="str">
        <f>IFERROR(INDEX('CONTROL MASTER'!$Q$2:$Q$495,MATCH("Control CDI Plate 12: C10",'CONTROL MASTER'!$G$2:$G$495,0)),"")</f>
        <v/>
      </c>
      <c r="L137" s="9" t="str">
        <f>IFERROR(INDEX('CONTROL MASTER'!$Q$2:$Q$495,MATCH("Control CDI Plate 12: C11",'CONTROL MASTER'!$G$2:$G$495,0)),"")</f>
        <v/>
      </c>
      <c r="M137" s="9" t="str">
        <f>IFERROR(INDEX('CONTROL MASTER'!$Q$2:$Q$495,MATCH("Control CDI Plate 12: C12",'CONTROL MASTER'!$G$2:$G$495,0)),"")</f>
        <v/>
      </c>
    </row>
    <row r="138" spans="1:13" ht="15" customHeight="1" x14ac:dyDescent="0.35">
      <c r="A138" s="8" t="s">
        <v>31</v>
      </c>
      <c r="B138" s="9" t="str">
        <f>IFERROR(INDEX('CONTROL MASTER'!$Q$2:$Q$495,MATCH("Control CDI Plate 12: D1",'CONTROL MASTER'!$G$2:$G$495,0)),"")</f>
        <v/>
      </c>
      <c r="C138" s="9" t="str">
        <f>IFERROR(INDEX('CONTROL MASTER'!$Q$2:$Q$495,MATCH("Control CDI Plate 12: D2",'CONTROL MASTER'!$G$2:$G$495,0)),"")</f>
        <v/>
      </c>
      <c r="D138" s="9" t="str">
        <f>IFERROR(INDEX('CONTROL MASTER'!$Q$2:$Q$495,MATCH("Control CDI Plate 12: D3",'CONTROL MASTER'!$G$2:$G$495,0)),"")</f>
        <v/>
      </c>
      <c r="E138" s="9" t="str">
        <f>IFERROR(INDEX('CONTROL MASTER'!$Q$2:$Q$495,MATCH("Control CDI Plate 12: D4",'CONTROL MASTER'!$G$2:$G$495,0)),"")</f>
        <v/>
      </c>
      <c r="F138" s="9" t="str">
        <f>IFERROR(INDEX('CONTROL MASTER'!$Q$2:$Q$495,MATCH("Control CDI Plate 12: D5",'CONTROL MASTER'!$G$2:$G$495,0)),"")</f>
        <v/>
      </c>
      <c r="G138" s="9" t="str">
        <f>IFERROR(INDEX('CONTROL MASTER'!$Q$2:$Q$495,MATCH("Control CDI Plate 12: D6",'CONTROL MASTER'!$G$2:$G$495,0)),"")</f>
        <v/>
      </c>
      <c r="H138" s="9" t="str">
        <f>IFERROR(INDEX('CONTROL MASTER'!$Q$2:$Q$495,MATCH("Control CDI Plate 12: D7",'CONTROL MASTER'!$G$2:$G$495,0)),"")</f>
        <v/>
      </c>
      <c r="I138" s="9" t="str">
        <f>IFERROR(INDEX('CONTROL MASTER'!$Q$2:$Q$495,MATCH("Control CDI Plate 12: D8",'CONTROL MASTER'!$G$2:$G$495,0)),"")</f>
        <v/>
      </c>
      <c r="J138" s="9" t="str">
        <f>IFERROR(INDEX('CONTROL MASTER'!$Q$2:$Q$495,MATCH("Control CDI Plate 12: D9",'CONTROL MASTER'!$G$2:$G$495,0)),"")</f>
        <v/>
      </c>
      <c r="K138" s="9" t="str">
        <f>IFERROR(INDEX('CONTROL MASTER'!$Q$2:$Q$495,MATCH("Control CDI Plate 12: D10",'CONTROL MASTER'!$G$2:$G$495,0)),"")</f>
        <v/>
      </c>
      <c r="L138" s="9" t="str">
        <f>IFERROR(INDEX('CONTROL MASTER'!$Q$2:$Q$495,MATCH("Control CDI Plate 12: D11",'CONTROL MASTER'!$G$2:$G$495,0)),"")</f>
        <v/>
      </c>
      <c r="M138" s="9" t="str">
        <f>IFERROR(INDEX('CONTROL MASTER'!$Q$2:$Q$495,MATCH("Control CDI Plate 12: D12",'CONTROL MASTER'!$G$2:$G$495,0)),"")</f>
        <v/>
      </c>
    </row>
    <row r="139" spans="1:13" ht="15" customHeight="1" x14ac:dyDescent="0.35">
      <c r="A139" s="8" t="s">
        <v>32</v>
      </c>
      <c r="B139" s="9" t="str">
        <f>IFERROR(INDEX('CONTROL MASTER'!$Q$2:$Q$495,MATCH("Control CDI Plate 12: E1",'CONTROL MASTER'!$G$2:$G$495,0)),"")</f>
        <v/>
      </c>
      <c r="C139" s="9" t="str">
        <f>IFERROR(INDEX('CONTROL MASTER'!$Q$2:$Q$495,MATCH("Control CDI Plate 12: E2",'CONTROL MASTER'!$G$2:$G$495,0)),"")</f>
        <v/>
      </c>
      <c r="D139" s="9" t="str">
        <f>IFERROR(INDEX('CONTROL MASTER'!$Q$2:$Q$495,MATCH("Control CDI Plate 12: E3",'CONTROL MASTER'!$G$2:$G$495,0)),"")</f>
        <v/>
      </c>
      <c r="E139" s="9" t="str">
        <f>IFERROR(INDEX('CONTROL MASTER'!$Q$2:$Q$495,MATCH("Control CDI Plate 12: E4",'CONTROL MASTER'!$G$2:$G$495,0)),"")</f>
        <v/>
      </c>
      <c r="F139" s="9" t="str">
        <f>IFERROR(INDEX('CONTROL MASTER'!$Q$2:$Q$495,MATCH("Control CDI Plate 12: E5",'CONTROL MASTER'!$G$2:$G$495,0)),"")</f>
        <v/>
      </c>
      <c r="G139" s="9" t="str">
        <f>IFERROR(INDEX('CONTROL MASTER'!$Q$2:$Q$495,MATCH("Control CDI Plate 12: E6",'CONTROL MASTER'!$G$2:$G$495,0)),"")</f>
        <v/>
      </c>
      <c r="H139" s="9" t="str">
        <f>IFERROR(INDEX('CONTROL MASTER'!$Q$2:$Q$495,MATCH("Control CDI Plate 12: E7",'CONTROL MASTER'!$G$2:$G$495,0)),"")</f>
        <v/>
      </c>
      <c r="I139" s="9" t="str">
        <f>IFERROR(INDEX('CONTROL MASTER'!$Q$2:$Q$495,MATCH("Control CDI Plate 12: E8",'CONTROL MASTER'!$G$2:$G$495,0)),"")</f>
        <v/>
      </c>
      <c r="J139" s="9" t="str">
        <f>IFERROR(INDEX('CONTROL MASTER'!$Q$2:$Q$495,MATCH("Control CDI Plate 12: E9",'CONTROL MASTER'!$G$2:$G$495,0)),"")</f>
        <v/>
      </c>
      <c r="K139" s="9" t="str">
        <f>IFERROR(INDEX('CONTROL MASTER'!$Q$2:$Q$495,MATCH("Control CDI Plate 12: E10",'CONTROL MASTER'!$G$2:$G$495,0)),"")</f>
        <v/>
      </c>
      <c r="L139" s="9" t="str">
        <f>IFERROR(INDEX('CONTROL MASTER'!$Q$2:$Q$495,MATCH("Control CDI Plate 12: E11",'CONTROL MASTER'!$G$2:$G$495,0)),"")</f>
        <v/>
      </c>
      <c r="M139" s="9" t="str">
        <f>IFERROR(INDEX('CONTROL MASTER'!$Q$2:$Q$495,MATCH("Control CDI Plate 12: E12",'CONTROL MASTER'!$G$2:$G$495,0)),"")</f>
        <v/>
      </c>
    </row>
    <row r="140" spans="1:13" ht="15" customHeight="1" x14ac:dyDescent="0.35">
      <c r="A140" s="8" t="s">
        <v>33</v>
      </c>
      <c r="B140" s="9" t="str">
        <f>IFERROR(INDEX('CONTROL MASTER'!$Q$2:$Q$495,MATCH("Control CDI Plate 12: F1",'CONTROL MASTER'!$G$2:$G$495,0)),"")</f>
        <v/>
      </c>
      <c r="C140" s="9" t="str">
        <f>IFERROR(INDEX('CONTROL MASTER'!$Q$2:$Q$495,MATCH("Control CDI Plate 12: F2",'CONTROL MASTER'!$G$2:$G$495,0)),"")</f>
        <v/>
      </c>
      <c r="D140" s="9" t="str">
        <f>IFERROR(INDEX('CONTROL MASTER'!$Q$2:$Q$495,MATCH("Control CDI Plate 12: F3",'CONTROL MASTER'!$G$2:$G$495,0)),"")</f>
        <v/>
      </c>
      <c r="E140" s="9" t="str">
        <f>IFERROR(INDEX('CONTROL MASTER'!$Q$2:$Q$495,MATCH("Control CDI Plate 12: F4",'CONTROL MASTER'!$G$2:$G$495,0)),"")</f>
        <v/>
      </c>
      <c r="F140" s="9" t="str">
        <f>IFERROR(INDEX('CONTROL MASTER'!$Q$2:$Q$495,MATCH("Control CDI Plate 12: F5",'CONTROL MASTER'!$G$2:$G$495,0)),"")</f>
        <v/>
      </c>
      <c r="G140" s="9" t="str">
        <f>IFERROR(INDEX('CONTROL MASTER'!$Q$2:$Q$495,MATCH("Control CDI Plate 12: F6",'CONTROL MASTER'!$G$2:$G$495,0)),"")</f>
        <v/>
      </c>
      <c r="H140" s="9" t="str">
        <f>IFERROR(INDEX('CONTROL MASTER'!$Q$2:$Q$495,MATCH("Control CDI Plate 12: F7",'CONTROL MASTER'!$G$2:$G$495,0)),"")</f>
        <v/>
      </c>
      <c r="I140" s="9" t="str">
        <f>IFERROR(INDEX('CONTROL MASTER'!$Q$2:$Q$495,MATCH("Control CDI Plate 12: F8",'CONTROL MASTER'!$G$2:$G$495,0)),"")</f>
        <v/>
      </c>
      <c r="J140" s="9" t="str">
        <f>IFERROR(INDEX('CONTROL MASTER'!$Q$2:$Q$495,MATCH("Control CDI Plate 12: F9",'CONTROL MASTER'!$G$2:$G$495,0)),"")</f>
        <v/>
      </c>
      <c r="K140" s="9" t="str">
        <f>IFERROR(INDEX('CONTROL MASTER'!$Q$2:$Q$495,MATCH("Control CDI Plate 12: F10",'CONTROL MASTER'!$G$2:$G$495,0)),"")</f>
        <v/>
      </c>
      <c r="L140" s="9" t="str">
        <f>IFERROR(INDEX('CONTROL MASTER'!$Q$2:$Q$495,MATCH("Control CDI Plate 12: F11",'CONTROL MASTER'!$G$2:$G$495,0)),"")</f>
        <v/>
      </c>
      <c r="M140" s="9" t="str">
        <f>IFERROR(INDEX('CONTROL MASTER'!$Q$2:$Q$495,MATCH("Control CDI Plate 12: F12",'CONTROL MASTER'!$G$2:$G$495,0)),"")</f>
        <v/>
      </c>
    </row>
    <row r="141" spans="1:13" ht="15" customHeight="1" x14ac:dyDescent="0.35">
      <c r="A141" s="8" t="s">
        <v>34</v>
      </c>
      <c r="B141" s="9" t="str">
        <f>IFERROR(INDEX('CONTROL MASTER'!$Q$2:$Q$495,MATCH("Control CDI Plate 12: G1",'CONTROL MASTER'!$G$2:$G$495,0)),"")</f>
        <v/>
      </c>
      <c r="C141" s="9" t="str">
        <f>IFERROR(INDEX('CONTROL MASTER'!$Q$2:$Q$495,MATCH("Control CDI Plate 12: G2",'CONTROL MASTER'!$G$2:$G$495,0)),"")</f>
        <v/>
      </c>
      <c r="D141" s="9" t="str">
        <f>IFERROR(INDEX('CONTROL MASTER'!$Q$2:$Q$495,MATCH("Control CDI Plate 12: G3",'CONTROL MASTER'!$G$2:$G$495,0)),"")</f>
        <v/>
      </c>
      <c r="E141" s="9" t="str">
        <f>IFERROR(INDEX('CONTROL MASTER'!$Q$2:$Q$495,MATCH("Control CDI Plate 12: G4",'CONTROL MASTER'!$G$2:$G$495,0)),"")</f>
        <v/>
      </c>
      <c r="F141" s="9" t="str">
        <f>IFERROR(INDEX('CONTROL MASTER'!$Q$2:$Q$495,MATCH("Control CDI Plate 12: G5",'CONTROL MASTER'!$G$2:$G$495,0)),"")</f>
        <v/>
      </c>
      <c r="G141" s="9" t="str">
        <f>IFERROR(INDEX('CONTROL MASTER'!$Q$2:$Q$495,MATCH("Control CDI Plate 12: G6",'CONTROL MASTER'!$G$2:$G$495,0)),"")</f>
        <v/>
      </c>
      <c r="H141" s="9" t="str">
        <f>IFERROR(INDEX('CONTROL MASTER'!$Q$2:$Q$495,MATCH("Control CDI Plate 12: G7",'CONTROL MASTER'!$G$2:$G$495,0)),"")</f>
        <v/>
      </c>
      <c r="I141" s="9" t="str">
        <f>IFERROR(INDEX('CONTROL MASTER'!$Q$2:$Q$495,MATCH("Control CDI Plate 12: G8",'CONTROL MASTER'!$G$2:$G$495,0)),"")</f>
        <v/>
      </c>
      <c r="J141" s="9" t="str">
        <f>IFERROR(INDEX('CONTROL MASTER'!$Q$2:$Q$495,MATCH("Control CDI Plate 12: G9",'CONTROL MASTER'!$G$2:$G$495,0)),"")</f>
        <v/>
      </c>
      <c r="K141" s="9" t="str">
        <f>IFERROR(INDEX('CONTROL MASTER'!$Q$2:$Q$495,MATCH("Control CDI Plate 12: G10",'CONTROL MASTER'!$G$2:$G$495,0)),"")</f>
        <v/>
      </c>
      <c r="L141" s="9" t="str">
        <f>IFERROR(INDEX('CONTROL MASTER'!$Q$2:$Q$495,MATCH("Control CDI Plate 12: G11",'CONTROL MASTER'!$G$2:$G$495,0)),"")</f>
        <v/>
      </c>
      <c r="M141" s="9" t="str">
        <f>IFERROR(INDEX('CONTROL MASTER'!$Q$2:$Q$495,MATCH("Control CDI Plate 12: G12",'CONTROL MASTER'!$G$2:$G$495,0)),"")</f>
        <v/>
      </c>
    </row>
    <row r="142" spans="1:13" ht="15" customHeight="1" x14ac:dyDescent="0.35">
      <c r="A142" s="8" t="s">
        <v>35</v>
      </c>
      <c r="B142" s="9" t="str">
        <f>IFERROR(INDEX('CONTROL MASTER'!$Q$2:$Q$495,MATCH("Control CDI Plate 12: H1",'CONTROL MASTER'!$G$2:$G$495,0)),"")</f>
        <v/>
      </c>
      <c r="C142" s="9" t="str">
        <f>IFERROR(INDEX('CONTROL MASTER'!$Q$2:$Q$495,MATCH("Control CDI Plate 12: H2",'CONTROL MASTER'!$G$2:$G$495,0)),"")</f>
        <v/>
      </c>
      <c r="D142" s="9" t="str">
        <f>IFERROR(INDEX('CONTROL MASTER'!$Q$2:$Q$495,MATCH("Control CDI Plate 12: H3",'CONTROL MASTER'!$G$2:$G$495,0)),"")</f>
        <v/>
      </c>
      <c r="E142" s="9" t="str">
        <f>IFERROR(INDEX('CONTROL MASTER'!$Q$2:$Q$495,MATCH("Control CDI Plate 12: H4",'CONTROL MASTER'!$G$2:$G$495,0)),"")</f>
        <v/>
      </c>
      <c r="F142" s="9" t="str">
        <f>IFERROR(INDEX('CONTROL MASTER'!$Q$2:$Q$495,MATCH("Control CDI Plate 12: H5",'CONTROL MASTER'!$G$2:$G$495,0)),"")</f>
        <v/>
      </c>
      <c r="G142" s="9" t="str">
        <f>IFERROR(INDEX('CONTROL MASTER'!$Q$2:$Q$495,MATCH("Control CDI Plate 12: H6",'CONTROL MASTER'!$G$2:$G$495,0)),"")</f>
        <v/>
      </c>
      <c r="H142" s="9" t="str">
        <f>IFERROR(INDEX('CONTROL MASTER'!$Q$2:$Q$495,MATCH("Control CDI Plate 12: H7",'CONTROL MASTER'!$G$2:$G$495,0)),"")</f>
        <v/>
      </c>
      <c r="I142" s="9" t="str">
        <f>IFERROR(INDEX('CONTROL MASTER'!$Q$2:$Q$495,MATCH("Control CDI Plate 12: H8",'CONTROL MASTER'!$G$2:$G$495,0)),"")</f>
        <v/>
      </c>
      <c r="J142" s="9" t="str">
        <f>IFERROR(INDEX('CONTROL MASTER'!$Q$2:$Q$495,MATCH("Control CDI Plate 12: H9",'CONTROL MASTER'!$G$2:$G$495,0)),"")</f>
        <v/>
      </c>
      <c r="K142" s="9" t="str">
        <f>IFERROR(INDEX('CONTROL MASTER'!$Q$2:$Q$495,MATCH("Control CDI Plate 12: H10",'CONTROL MASTER'!$G$2:$G$495,0)),"")</f>
        <v/>
      </c>
      <c r="L142" s="9" t="str">
        <f>IFERROR(INDEX('CONTROL MASTER'!$Q$2:$Q$495,MATCH("Control CDI Plate 12: H11",'CONTROL MASTER'!$G$2:$G$495,0)),"")</f>
        <v/>
      </c>
      <c r="M142" s="9" t="str">
        <f>IFERROR(INDEX('CONTROL MASTER'!$Q$2:$Q$495,MATCH("Control CDI Plate 12: H12",'CONTROL MASTER'!$G$2:$G$495,0)),"")</f>
        <v/>
      </c>
    </row>
    <row r="145" spans="1:13" ht="15" customHeight="1" x14ac:dyDescent="0.35">
      <c r="A145" s="12" t="s">
        <v>124</v>
      </c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</row>
    <row r="146" spans="1:13" ht="15" customHeight="1" x14ac:dyDescent="0.35">
      <c r="B146" s="8">
        <v>1</v>
      </c>
      <c r="C146" s="8">
        <v>2</v>
      </c>
      <c r="D146" s="8">
        <v>3</v>
      </c>
      <c r="E146" s="8">
        <v>4</v>
      </c>
      <c r="F146" s="8">
        <v>5</v>
      </c>
      <c r="G146" s="8">
        <v>6</v>
      </c>
      <c r="H146" s="8">
        <v>7</v>
      </c>
      <c r="I146" s="8">
        <v>8</v>
      </c>
      <c r="J146" s="8">
        <v>9</v>
      </c>
      <c r="K146" s="8">
        <v>10</v>
      </c>
      <c r="L146" s="8">
        <v>11</v>
      </c>
      <c r="M146" s="8">
        <v>12</v>
      </c>
    </row>
    <row r="147" spans="1:13" ht="15" customHeight="1" x14ac:dyDescent="0.35">
      <c r="A147" s="8" t="s">
        <v>28</v>
      </c>
      <c r="B147" s="9" t="str">
        <f>IFERROR(INDEX('CONTROL MASTER'!$Q$2:$Q$495,MATCH("Control CDI Plate 13: A1",'CONTROL MASTER'!$G$2:$G$495,0)),"")</f>
        <v/>
      </c>
      <c r="C147" s="9" t="str">
        <f>IFERROR(INDEX('CONTROL MASTER'!$Q$2:$Q$495,MATCH("Control CDI Plate 13: A2",'CONTROL MASTER'!$G$2:$G$495,0)),"")</f>
        <v/>
      </c>
      <c r="D147" s="9" t="str">
        <f>IFERROR(INDEX('CONTROL MASTER'!$Q$2:$Q$495,MATCH("Control CDI Plate 13: A3",'CONTROL MASTER'!$G$2:$G$495,0)),"")</f>
        <v/>
      </c>
      <c r="E147" s="9" t="str">
        <f>IFERROR(INDEX('CONTROL MASTER'!$Q$2:$Q$495,MATCH("Control CDI Plate 13: A4",'CONTROL MASTER'!$G$2:$G$495,0)),"")</f>
        <v/>
      </c>
      <c r="F147" s="9" t="str">
        <f>IFERROR(INDEX('CONTROL MASTER'!$Q$2:$Q$495,MATCH("Control CDI Plate 13: A5",'CONTROL MASTER'!$G$2:$G$495,0)),"")</f>
        <v/>
      </c>
      <c r="G147" s="9" t="str">
        <f>IFERROR(INDEX('CONTROL MASTER'!$Q$2:$Q$495,MATCH("Control CDI Plate 13: A6",'CONTROL MASTER'!$G$2:$G$495,0)),"")</f>
        <v/>
      </c>
      <c r="H147" s="9" t="str">
        <f>IFERROR(INDEX('CONTROL MASTER'!$Q$2:$Q$495,MATCH("Control CDI Plate 13: A7",'CONTROL MASTER'!$G$2:$G$495,0)),"")</f>
        <v/>
      </c>
      <c r="I147" s="9" t="str">
        <f>IFERROR(INDEX('CONTROL MASTER'!$Q$2:$Q$495,MATCH("Control CDI Plate 13: A8",'CONTROL MASTER'!$G$2:$G$495,0)),"")</f>
        <v/>
      </c>
      <c r="J147" s="9" t="str">
        <f>IFERROR(INDEX('CONTROL MASTER'!$Q$2:$Q$495,MATCH("Control CDI Plate 13: A9",'CONTROL MASTER'!$G$2:$G$495,0)),"")</f>
        <v/>
      </c>
      <c r="K147" s="9" t="str">
        <f>IFERROR(INDEX('CONTROL MASTER'!$Q$2:$Q$495,MATCH("Control CDI Plate 13: A10",'CONTROL MASTER'!$G$2:$G$495,0)),"")</f>
        <v/>
      </c>
      <c r="L147" s="9" t="str">
        <f>IFERROR(INDEX('CONTROL MASTER'!$Q$2:$Q$495,MATCH("Control CDI Plate 13: A11",'CONTROL MASTER'!$G$2:$G$495,0)),"")</f>
        <v/>
      </c>
      <c r="M147" s="9" t="str">
        <f>IFERROR(INDEX('CONTROL MASTER'!$Q$2:$Q$495,MATCH("Control CDI Plate 13: A12",'CONTROL MASTER'!$G$2:$G$495,0)),"")</f>
        <v/>
      </c>
    </row>
    <row r="148" spans="1:13" ht="15" customHeight="1" x14ac:dyDescent="0.35">
      <c r="A148" s="8" t="s">
        <v>29</v>
      </c>
      <c r="B148" s="9" t="str">
        <f>IFERROR(INDEX('CONTROL MASTER'!$Q$2:$Q$495,MATCH("Control CDI Plate 13: B1",'CONTROL MASTER'!$G$2:$G$495,0)),"")</f>
        <v/>
      </c>
      <c r="C148" s="9" t="str">
        <f>IFERROR(INDEX('CONTROL MASTER'!$Q$2:$Q$495,MATCH("Control CDI Plate 13: B2",'CONTROL MASTER'!$G$2:$G$495,0)),"")</f>
        <v/>
      </c>
      <c r="D148" s="9" t="str">
        <f>IFERROR(INDEX('CONTROL MASTER'!$Q$2:$Q$495,MATCH("Control CDI Plate 13: B3",'CONTROL MASTER'!$G$2:$G$495,0)),"")</f>
        <v/>
      </c>
      <c r="E148" s="9" t="str">
        <f>IFERROR(INDEX('CONTROL MASTER'!$Q$2:$Q$495,MATCH("Control CDI Plate 13: B4",'CONTROL MASTER'!$G$2:$G$495,0)),"")</f>
        <v/>
      </c>
      <c r="F148" s="9" t="str">
        <f>IFERROR(INDEX('CONTROL MASTER'!$Q$2:$Q$495,MATCH("Control CDI Plate 13: B5",'CONTROL MASTER'!$G$2:$G$495,0)),"")</f>
        <v/>
      </c>
      <c r="G148" s="9" t="str">
        <f>IFERROR(INDEX('CONTROL MASTER'!$Q$2:$Q$495,MATCH("Control CDI Plate 13: B6",'CONTROL MASTER'!$G$2:$G$495,0)),"")</f>
        <v/>
      </c>
      <c r="H148" s="9" t="str">
        <f>IFERROR(INDEX('CONTROL MASTER'!$Q$2:$Q$495,MATCH("Control CDI Plate 13: B7",'CONTROL MASTER'!$G$2:$G$495,0)),"")</f>
        <v/>
      </c>
      <c r="I148" s="9" t="str">
        <f>IFERROR(INDEX('CONTROL MASTER'!$Q$2:$Q$495,MATCH("Control CDI Plate 13: B8",'CONTROL MASTER'!$G$2:$G$495,0)),"")</f>
        <v/>
      </c>
      <c r="J148" s="9" t="str">
        <f>IFERROR(INDEX('CONTROL MASTER'!$Q$2:$Q$495,MATCH("Control CDI Plate 13: B9",'CONTROL MASTER'!$G$2:$G$495,0)),"")</f>
        <v/>
      </c>
      <c r="K148" s="9" t="str">
        <f>IFERROR(INDEX('CONTROL MASTER'!$Q$2:$Q$495,MATCH("Control CDI Plate 13: B10",'CONTROL MASTER'!$G$2:$G$495,0)),"")</f>
        <v/>
      </c>
      <c r="L148" s="9" t="str">
        <f>IFERROR(INDEX('CONTROL MASTER'!$Q$2:$Q$495,MATCH("Control CDI Plate 13: B11",'CONTROL MASTER'!$G$2:$G$495,0)),"")</f>
        <v/>
      </c>
      <c r="M148" s="9" t="str">
        <f>IFERROR(INDEX('CONTROL MASTER'!$Q$2:$Q$495,MATCH("Control CDI Plate 13: B12",'CONTROL MASTER'!$G$2:$G$495,0)),"")</f>
        <v/>
      </c>
    </row>
    <row r="149" spans="1:13" ht="15" customHeight="1" x14ac:dyDescent="0.35">
      <c r="A149" s="8" t="s">
        <v>30</v>
      </c>
      <c r="B149" s="9" t="str">
        <f>IFERROR(INDEX('CONTROL MASTER'!$Q$2:$Q$495,MATCH("Control CDI Plate 13: C1",'CONTROL MASTER'!$G$2:$G$495,0)),"")</f>
        <v/>
      </c>
      <c r="C149" s="9" t="str">
        <f>IFERROR(INDEX('CONTROL MASTER'!$Q$2:$Q$495,MATCH("Control CDI Plate 13: C2",'CONTROL MASTER'!$G$2:$G$495,0)),"")</f>
        <v/>
      </c>
      <c r="D149" s="9" t="str">
        <f>IFERROR(INDEX('CONTROL MASTER'!$Q$2:$Q$495,MATCH("Control CDI Plate 13: C3",'CONTROL MASTER'!$G$2:$G$495,0)),"")</f>
        <v/>
      </c>
      <c r="E149" s="9" t="str">
        <f>IFERROR(INDEX('CONTROL MASTER'!$Q$2:$Q$495,MATCH("Control CDI Plate 13: C4",'CONTROL MASTER'!$G$2:$G$495,0)),"")</f>
        <v/>
      </c>
      <c r="F149" s="9" t="str">
        <f>IFERROR(INDEX('CONTROL MASTER'!$Q$2:$Q$495,MATCH("Control CDI Plate 13: C5",'CONTROL MASTER'!$G$2:$G$495,0)),"")</f>
        <v/>
      </c>
      <c r="G149" s="9" t="str">
        <f>IFERROR(INDEX('CONTROL MASTER'!$Q$2:$Q$495,MATCH("Control CDI Plate 13: C6",'CONTROL MASTER'!$G$2:$G$495,0)),"")</f>
        <v/>
      </c>
      <c r="H149" s="9" t="str">
        <f>IFERROR(INDEX('CONTROL MASTER'!$Q$2:$Q$495,MATCH("Control CDI Plate 13: C7",'CONTROL MASTER'!$G$2:$G$495,0)),"")</f>
        <v/>
      </c>
      <c r="I149" s="9" t="str">
        <f>IFERROR(INDEX('CONTROL MASTER'!$Q$2:$Q$495,MATCH("Control CDI Plate 13: C8",'CONTROL MASTER'!$G$2:$G$495,0)),"")</f>
        <v/>
      </c>
      <c r="J149" s="9" t="str">
        <f>IFERROR(INDEX('CONTROL MASTER'!$Q$2:$Q$495,MATCH("Control CDI Plate 13: C9",'CONTROL MASTER'!$G$2:$G$495,0)),"")</f>
        <v/>
      </c>
      <c r="K149" s="9" t="str">
        <f>IFERROR(INDEX('CONTROL MASTER'!$Q$2:$Q$495,MATCH("Control CDI Plate 13: C10",'CONTROL MASTER'!$G$2:$G$495,0)),"")</f>
        <v/>
      </c>
      <c r="L149" s="9" t="str">
        <f>IFERROR(INDEX('CONTROL MASTER'!$Q$2:$Q$495,MATCH("Control CDI Plate 13: C11",'CONTROL MASTER'!$G$2:$G$495,0)),"")</f>
        <v/>
      </c>
      <c r="M149" s="9" t="str">
        <f>IFERROR(INDEX('CONTROL MASTER'!$Q$2:$Q$495,MATCH("Control CDI Plate 13: C12",'CONTROL MASTER'!$G$2:$G$495,0)),"")</f>
        <v/>
      </c>
    </row>
    <row r="150" spans="1:13" ht="15" customHeight="1" x14ac:dyDescent="0.35">
      <c r="A150" s="8" t="s">
        <v>31</v>
      </c>
      <c r="B150" s="9" t="str">
        <f>IFERROR(INDEX('CONTROL MASTER'!$Q$2:$Q$495,MATCH("Control CDI Plate 13: D1",'CONTROL MASTER'!$G$2:$G$495,0)),"")</f>
        <v/>
      </c>
      <c r="C150" s="9" t="str">
        <f>IFERROR(INDEX('CONTROL MASTER'!$Q$2:$Q$495,MATCH("Control CDI Plate 13: D2",'CONTROL MASTER'!$G$2:$G$495,0)),"")</f>
        <v/>
      </c>
      <c r="D150" s="9" t="str">
        <f>IFERROR(INDEX('CONTROL MASTER'!$Q$2:$Q$495,MATCH("Control CDI Plate 13: D3",'CONTROL MASTER'!$G$2:$G$495,0)),"")</f>
        <v/>
      </c>
      <c r="E150" s="9" t="str">
        <f>IFERROR(INDEX('CONTROL MASTER'!$Q$2:$Q$495,MATCH("Control CDI Plate 13: D4",'CONTROL MASTER'!$G$2:$G$495,0)),"")</f>
        <v/>
      </c>
      <c r="F150" s="9" t="str">
        <f>IFERROR(INDEX('CONTROL MASTER'!$Q$2:$Q$495,MATCH("Control CDI Plate 13: D5",'CONTROL MASTER'!$G$2:$G$495,0)),"")</f>
        <v/>
      </c>
      <c r="G150" s="9" t="str">
        <f>IFERROR(INDEX('CONTROL MASTER'!$Q$2:$Q$495,MATCH("Control CDI Plate 13: D6",'CONTROL MASTER'!$G$2:$G$495,0)),"")</f>
        <v/>
      </c>
      <c r="H150" s="9" t="str">
        <f>IFERROR(INDEX('CONTROL MASTER'!$Q$2:$Q$495,MATCH("Control CDI Plate 13: D7",'CONTROL MASTER'!$G$2:$G$495,0)),"")</f>
        <v/>
      </c>
      <c r="I150" s="9" t="str">
        <f>IFERROR(INDEX('CONTROL MASTER'!$Q$2:$Q$495,MATCH("Control CDI Plate 13: D8",'CONTROL MASTER'!$G$2:$G$495,0)),"")</f>
        <v/>
      </c>
      <c r="J150" s="9" t="str">
        <f>IFERROR(INDEX('CONTROL MASTER'!$Q$2:$Q$495,MATCH("Control CDI Plate 13: D9",'CONTROL MASTER'!$G$2:$G$495,0)),"")</f>
        <v/>
      </c>
      <c r="K150" s="9" t="str">
        <f>IFERROR(INDEX('CONTROL MASTER'!$Q$2:$Q$495,MATCH("Control CDI Plate 13: D10",'CONTROL MASTER'!$G$2:$G$495,0)),"")</f>
        <v/>
      </c>
      <c r="L150" s="9" t="str">
        <f>IFERROR(INDEX('CONTROL MASTER'!$Q$2:$Q$495,MATCH("Control CDI Plate 13: D11",'CONTROL MASTER'!$G$2:$G$495,0)),"")</f>
        <v/>
      </c>
      <c r="M150" s="9" t="str">
        <f>IFERROR(INDEX('CONTROL MASTER'!$Q$2:$Q$495,MATCH("Control CDI Plate 13: D12",'CONTROL MASTER'!$G$2:$G$495,0)),"")</f>
        <v/>
      </c>
    </row>
    <row r="151" spans="1:13" ht="15" customHeight="1" x14ac:dyDescent="0.35">
      <c r="A151" s="8" t="s">
        <v>32</v>
      </c>
      <c r="B151" s="9" t="str">
        <f>IFERROR(INDEX('CONTROL MASTER'!$Q$2:$Q$495,MATCH("Control CDI Plate 13: E1",'CONTROL MASTER'!$G$2:$G$495,0)),"")</f>
        <v/>
      </c>
      <c r="C151" s="9" t="str">
        <f>IFERROR(INDEX('CONTROL MASTER'!$Q$2:$Q$495,MATCH("Control CDI Plate 13: E2",'CONTROL MASTER'!$G$2:$G$495,0)),"")</f>
        <v/>
      </c>
      <c r="D151" s="9" t="str">
        <f>IFERROR(INDEX('CONTROL MASTER'!$Q$2:$Q$495,MATCH("Control CDI Plate 13: E3",'CONTROL MASTER'!$G$2:$G$495,0)),"")</f>
        <v/>
      </c>
      <c r="E151" s="9" t="str">
        <f>IFERROR(INDEX('CONTROL MASTER'!$Q$2:$Q$495,MATCH("Control CDI Plate 13: E4",'CONTROL MASTER'!$G$2:$G$495,0)),"")</f>
        <v/>
      </c>
      <c r="F151" s="9" t="str">
        <f>IFERROR(INDEX('CONTROL MASTER'!$Q$2:$Q$495,MATCH("Control CDI Plate 13: E5",'CONTROL MASTER'!$G$2:$G$495,0)),"")</f>
        <v/>
      </c>
      <c r="G151" s="9" t="str">
        <f>IFERROR(INDEX('CONTROL MASTER'!$Q$2:$Q$495,MATCH("Control CDI Plate 13: E6",'CONTROL MASTER'!$G$2:$G$495,0)),"")</f>
        <v/>
      </c>
      <c r="H151" s="9" t="str">
        <f>IFERROR(INDEX('CONTROL MASTER'!$Q$2:$Q$495,MATCH("Control CDI Plate 13: E7",'CONTROL MASTER'!$G$2:$G$495,0)),"")</f>
        <v/>
      </c>
      <c r="I151" s="9" t="str">
        <f>IFERROR(INDEX('CONTROL MASTER'!$Q$2:$Q$495,MATCH("Control CDI Plate 13: E8",'CONTROL MASTER'!$G$2:$G$495,0)),"")</f>
        <v/>
      </c>
      <c r="J151" s="9" t="str">
        <f>IFERROR(INDEX('CONTROL MASTER'!$Q$2:$Q$495,MATCH("Control CDI Plate 13: E9",'CONTROL MASTER'!$G$2:$G$495,0)),"")</f>
        <v/>
      </c>
      <c r="K151" s="9" t="str">
        <f>IFERROR(INDEX('CONTROL MASTER'!$Q$2:$Q$495,MATCH("Control CDI Plate 13: E10",'CONTROL MASTER'!$G$2:$G$495,0)),"")</f>
        <v/>
      </c>
      <c r="L151" s="9" t="str">
        <f>IFERROR(INDEX('CONTROL MASTER'!$Q$2:$Q$495,MATCH("Control CDI Plate 13: E11",'CONTROL MASTER'!$G$2:$G$495,0)),"")</f>
        <v/>
      </c>
      <c r="M151" s="9" t="str">
        <f>IFERROR(INDEX('CONTROL MASTER'!$Q$2:$Q$495,MATCH("Control CDI Plate 13: E12",'CONTROL MASTER'!$G$2:$G$495,0)),"")</f>
        <v/>
      </c>
    </row>
    <row r="152" spans="1:13" ht="15" customHeight="1" x14ac:dyDescent="0.35">
      <c r="A152" s="8" t="s">
        <v>33</v>
      </c>
      <c r="B152" s="9" t="str">
        <f>IFERROR(INDEX('CONTROL MASTER'!$Q$2:$Q$495,MATCH("Control CDI Plate 13: F1",'CONTROL MASTER'!$G$2:$G$495,0)),"")</f>
        <v/>
      </c>
      <c r="C152" s="9" t="str">
        <f>IFERROR(INDEX('CONTROL MASTER'!$Q$2:$Q$495,MATCH("Control CDI Plate 13: F2",'CONTROL MASTER'!$G$2:$G$495,0)),"")</f>
        <v/>
      </c>
      <c r="D152" s="9" t="str">
        <f>IFERROR(INDEX('CONTROL MASTER'!$Q$2:$Q$495,MATCH("Control CDI Plate 13: F3",'CONTROL MASTER'!$G$2:$G$495,0)),"")</f>
        <v/>
      </c>
      <c r="E152" s="9" t="str">
        <f>IFERROR(INDEX('CONTROL MASTER'!$Q$2:$Q$495,MATCH("Control CDI Plate 13: F4",'CONTROL MASTER'!$G$2:$G$495,0)),"")</f>
        <v/>
      </c>
      <c r="F152" s="9" t="str">
        <f>IFERROR(INDEX('CONTROL MASTER'!$Q$2:$Q$495,MATCH("Control CDI Plate 13: F5",'CONTROL MASTER'!$G$2:$G$495,0)),"")</f>
        <v/>
      </c>
      <c r="G152" s="9" t="str">
        <f>IFERROR(INDEX('CONTROL MASTER'!$Q$2:$Q$495,MATCH("Control CDI Plate 13: F6",'CONTROL MASTER'!$G$2:$G$495,0)),"")</f>
        <v/>
      </c>
      <c r="H152" s="9" t="str">
        <f>IFERROR(INDEX('CONTROL MASTER'!$Q$2:$Q$495,MATCH("Control CDI Plate 13: F7",'CONTROL MASTER'!$G$2:$G$495,0)),"")</f>
        <v/>
      </c>
      <c r="I152" s="9" t="str">
        <f>IFERROR(INDEX('CONTROL MASTER'!$Q$2:$Q$495,MATCH("Control CDI Plate 13: F8",'CONTROL MASTER'!$G$2:$G$495,0)),"")</f>
        <v/>
      </c>
      <c r="J152" s="9" t="str">
        <f>IFERROR(INDEX('CONTROL MASTER'!$Q$2:$Q$495,MATCH("Control CDI Plate 13: F9",'CONTROL MASTER'!$G$2:$G$495,0)),"")</f>
        <v/>
      </c>
      <c r="K152" s="9" t="str">
        <f>IFERROR(INDEX('CONTROL MASTER'!$Q$2:$Q$495,MATCH("Control CDI Plate 13: F10",'CONTROL MASTER'!$G$2:$G$495,0)),"")</f>
        <v/>
      </c>
      <c r="L152" s="9" t="str">
        <f>IFERROR(INDEX('CONTROL MASTER'!$Q$2:$Q$495,MATCH("Control CDI Plate 13: F11",'CONTROL MASTER'!$G$2:$G$495,0)),"")</f>
        <v/>
      </c>
      <c r="M152" s="9" t="str">
        <f>IFERROR(INDEX('CONTROL MASTER'!$Q$2:$Q$495,MATCH("Control CDI Plate 13: F12",'CONTROL MASTER'!$G$2:$G$495,0)),"")</f>
        <v/>
      </c>
    </row>
    <row r="153" spans="1:13" ht="15" customHeight="1" x14ac:dyDescent="0.35">
      <c r="A153" s="8" t="s">
        <v>34</v>
      </c>
      <c r="B153" s="9" t="str">
        <f>IFERROR(INDEX('CONTROL MASTER'!$Q$2:$Q$495,MATCH("Control CDI Plate 13: G1",'CONTROL MASTER'!$G$2:$G$495,0)),"")</f>
        <v/>
      </c>
      <c r="C153" s="9" t="str">
        <f>IFERROR(INDEX('CONTROL MASTER'!$Q$2:$Q$495,MATCH("Control CDI Plate 13: G2",'CONTROL MASTER'!$G$2:$G$495,0)),"")</f>
        <v/>
      </c>
      <c r="D153" s="9" t="str">
        <f>IFERROR(INDEX('CONTROL MASTER'!$Q$2:$Q$495,MATCH("Control CDI Plate 13: G3",'CONTROL MASTER'!$G$2:$G$495,0)),"")</f>
        <v/>
      </c>
      <c r="E153" s="9" t="str">
        <f>IFERROR(INDEX('CONTROL MASTER'!$Q$2:$Q$495,MATCH("Control CDI Plate 13: G4",'CONTROL MASTER'!$G$2:$G$495,0)),"")</f>
        <v/>
      </c>
      <c r="F153" s="9" t="str">
        <f>IFERROR(INDEX('CONTROL MASTER'!$Q$2:$Q$495,MATCH("Control CDI Plate 13: G5",'CONTROL MASTER'!$G$2:$G$495,0)),"")</f>
        <v/>
      </c>
      <c r="G153" s="9" t="str">
        <f>IFERROR(INDEX('CONTROL MASTER'!$Q$2:$Q$495,MATCH("Control CDI Plate 13: G6",'CONTROL MASTER'!$G$2:$G$495,0)),"")</f>
        <v/>
      </c>
      <c r="H153" s="9" t="str">
        <f>IFERROR(INDEX('CONTROL MASTER'!$Q$2:$Q$495,MATCH("Control CDI Plate 13: G7",'CONTROL MASTER'!$G$2:$G$495,0)),"")</f>
        <v/>
      </c>
      <c r="I153" s="9" t="str">
        <f>IFERROR(INDEX('CONTROL MASTER'!$Q$2:$Q$495,MATCH("Control CDI Plate 13: G8",'CONTROL MASTER'!$G$2:$G$495,0)),"")</f>
        <v/>
      </c>
      <c r="J153" s="9" t="str">
        <f>IFERROR(INDEX('CONTROL MASTER'!$Q$2:$Q$495,MATCH("Control CDI Plate 13: G9",'CONTROL MASTER'!$G$2:$G$495,0)),"")</f>
        <v/>
      </c>
      <c r="K153" s="9" t="str">
        <f>IFERROR(INDEX('CONTROL MASTER'!$Q$2:$Q$495,MATCH("Control CDI Plate 13: G10",'CONTROL MASTER'!$G$2:$G$495,0)),"")</f>
        <v/>
      </c>
      <c r="L153" s="9" t="str">
        <f>IFERROR(INDEX('CONTROL MASTER'!$Q$2:$Q$495,MATCH("Control CDI Plate 13: G11",'CONTROL MASTER'!$G$2:$G$495,0)),"")</f>
        <v/>
      </c>
      <c r="M153" s="9" t="str">
        <f>IFERROR(INDEX('CONTROL MASTER'!$Q$2:$Q$495,MATCH("Control CDI Plate 13: G12",'CONTROL MASTER'!$G$2:$G$495,0)),"")</f>
        <v/>
      </c>
    </row>
    <row r="154" spans="1:13" ht="15" customHeight="1" x14ac:dyDescent="0.35">
      <c r="A154" s="8" t="s">
        <v>35</v>
      </c>
      <c r="B154" s="9" t="str">
        <f>IFERROR(INDEX('CONTROL MASTER'!$Q$2:$Q$495,MATCH("Control CDI Plate 13: H1",'CONTROL MASTER'!$G$2:$G$495,0)),"")</f>
        <v/>
      </c>
      <c r="C154" s="9" t="str">
        <f>IFERROR(INDEX('CONTROL MASTER'!$Q$2:$Q$495,MATCH("Control CDI Plate 13: H2",'CONTROL MASTER'!$G$2:$G$495,0)),"")</f>
        <v/>
      </c>
      <c r="D154" s="9" t="str">
        <f>IFERROR(INDEX('CONTROL MASTER'!$Q$2:$Q$495,MATCH("Control CDI Plate 13: H3",'CONTROL MASTER'!$G$2:$G$495,0)),"")</f>
        <v/>
      </c>
      <c r="E154" s="9" t="str">
        <f>IFERROR(INDEX('CONTROL MASTER'!$Q$2:$Q$495,MATCH("Control CDI Plate 13: H4",'CONTROL MASTER'!$G$2:$G$495,0)),"")</f>
        <v/>
      </c>
      <c r="F154" s="9" t="str">
        <f>IFERROR(INDEX('CONTROL MASTER'!$Q$2:$Q$495,MATCH("Control CDI Plate 13: H5",'CONTROL MASTER'!$G$2:$G$495,0)),"")</f>
        <v/>
      </c>
      <c r="G154" s="9" t="str">
        <f>IFERROR(INDEX('CONTROL MASTER'!$Q$2:$Q$495,MATCH("Control CDI Plate 13: H6",'CONTROL MASTER'!$G$2:$G$495,0)),"")</f>
        <v/>
      </c>
      <c r="H154" s="9" t="str">
        <f>IFERROR(INDEX('CONTROL MASTER'!$Q$2:$Q$495,MATCH("Control CDI Plate 13: H7",'CONTROL MASTER'!$G$2:$G$495,0)),"")</f>
        <v/>
      </c>
      <c r="I154" s="9" t="str">
        <f>IFERROR(INDEX('CONTROL MASTER'!$Q$2:$Q$495,MATCH("Control CDI Plate 13: H8",'CONTROL MASTER'!$G$2:$G$495,0)),"")</f>
        <v/>
      </c>
      <c r="J154" s="9" t="str">
        <f>IFERROR(INDEX('CONTROL MASTER'!$Q$2:$Q$495,MATCH("Control CDI Plate 13: H9",'CONTROL MASTER'!$G$2:$G$495,0)),"")</f>
        <v/>
      </c>
      <c r="K154" s="9" t="str">
        <f>IFERROR(INDEX('CONTROL MASTER'!$Q$2:$Q$495,MATCH("Control CDI Plate 13: H10",'CONTROL MASTER'!$G$2:$G$495,0)),"")</f>
        <v/>
      </c>
      <c r="L154" s="9" t="str">
        <f>IFERROR(INDEX('CONTROL MASTER'!$Q$2:$Q$495,MATCH("Control CDI Plate 13: H11",'CONTROL MASTER'!$G$2:$G$495,0)),"")</f>
        <v/>
      </c>
      <c r="M154" s="9" t="str">
        <f>IFERROR(INDEX('CONTROL MASTER'!$Q$2:$Q$495,MATCH("Control CDI Plate 13: H12",'CONTROL MASTER'!$G$2:$G$495,0)),"")</f>
        <v/>
      </c>
    </row>
    <row r="157" spans="1:13" ht="15" customHeight="1" x14ac:dyDescent="0.35">
      <c r="A157" s="12" t="s">
        <v>125</v>
      </c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</row>
    <row r="158" spans="1:13" ht="15" customHeight="1" x14ac:dyDescent="0.35">
      <c r="B158" s="8">
        <v>1</v>
      </c>
      <c r="C158" s="8">
        <v>2</v>
      </c>
      <c r="D158" s="8">
        <v>3</v>
      </c>
      <c r="E158" s="8">
        <v>4</v>
      </c>
      <c r="F158" s="8">
        <v>5</v>
      </c>
      <c r="G158" s="8">
        <v>6</v>
      </c>
      <c r="H158" s="8">
        <v>7</v>
      </c>
      <c r="I158" s="8">
        <v>8</v>
      </c>
      <c r="J158" s="8">
        <v>9</v>
      </c>
      <c r="K158" s="8">
        <v>10</v>
      </c>
      <c r="L158" s="8">
        <v>11</v>
      </c>
      <c r="M158" s="8">
        <v>12</v>
      </c>
    </row>
    <row r="159" spans="1:13" ht="15" customHeight="1" x14ac:dyDescent="0.35">
      <c r="A159" s="8" t="s">
        <v>28</v>
      </c>
      <c r="B159" s="9" t="str">
        <f>IFERROR(INDEX('CONTROL MASTER'!$Q$2:$Q$495,MATCH("Control CDI Plate 14: A1",'CONTROL MASTER'!$G$2:$G$495,0)),"")</f>
        <v/>
      </c>
      <c r="C159" s="9" t="str">
        <f>IFERROR(INDEX('CONTROL MASTER'!$Q$2:$Q$495,MATCH("Control CDI Plate 14: A2",'CONTROL MASTER'!$G$2:$G$495,0)),"")</f>
        <v/>
      </c>
      <c r="D159" s="9" t="str">
        <f>IFERROR(INDEX('CONTROL MASTER'!$Q$2:$Q$495,MATCH("Control CDI Plate 14: A3",'CONTROL MASTER'!$G$2:$G$495,0)),"")</f>
        <v/>
      </c>
      <c r="E159" s="9" t="str">
        <f>IFERROR(INDEX('CONTROL MASTER'!$Q$2:$Q$495,MATCH("Control CDI Plate 14: A4",'CONTROL MASTER'!$G$2:$G$495,0)),"")</f>
        <v/>
      </c>
      <c r="F159" s="9" t="str">
        <f>IFERROR(INDEX('CONTROL MASTER'!$Q$2:$Q$495,MATCH("Control CDI Plate 14: A5",'CONTROL MASTER'!$G$2:$G$495,0)),"")</f>
        <v/>
      </c>
      <c r="G159" s="9" t="str">
        <f>IFERROR(INDEX('CONTROL MASTER'!$Q$2:$Q$495,MATCH("Control CDI Plate 14: A6",'CONTROL MASTER'!$G$2:$G$495,0)),"")</f>
        <v/>
      </c>
      <c r="H159" s="9" t="str">
        <f>IFERROR(INDEX('CONTROL MASTER'!$Q$2:$Q$495,MATCH("Control CDI Plate 14: A7",'CONTROL MASTER'!$G$2:$G$495,0)),"")</f>
        <v/>
      </c>
      <c r="I159" s="9" t="str">
        <f>IFERROR(INDEX('CONTROL MASTER'!$Q$2:$Q$495,MATCH("Control CDI Plate 14: A8",'CONTROL MASTER'!$G$2:$G$495,0)),"")</f>
        <v/>
      </c>
      <c r="J159" s="9" t="str">
        <f>IFERROR(INDEX('CONTROL MASTER'!$Q$2:$Q$495,MATCH("Control CDI Plate 14: A9",'CONTROL MASTER'!$G$2:$G$495,0)),"")</f>
        <v/>
      </c>
      <c r="K159" s="9" t="str">
        <f>IFERROR(INDEX('CONTROL MASTER'!$Q$2:$Q$495,MATCH("Control CDI Plate 14: A10",'CONTROL MASTER'!$G$2:$G$495,0)),"")</f>
        <v/>
      </c>
      <c r="L159" s="9" t="str">
        <f>IFERROR(INDEX('CONTROL MASTER'!$Q$2:$Q$495,MATCH("Control CDI Plate 14: A11",'CONTROL MASTER'!$G$2:$G$495,0)),"")</f>
        <v/>
      </c>
      <c r="M159" s="9" t="str">
        <f>IFERROR(INDEX('CONTROL MASTER'!$Q$2:$Q$495,MATCH("Control CDI Plate 14: A12",'CONTROL MASTER'!$G$2:$G$495,0)),"")</f>
        <v/>
      </c>
    </row>
    <row r="160" spans="1:13" ht="15" customHeight="1" x14ac:dyDescent="0.35">
      <c r="A160" s="8" t="s">
        <v>29</v>
      </c>
      <c r="B160" s="9" t="str">
        <f>IFERROR(INDEX('CONTROL MASTER'!$Q$2:$Q$495,MATCH("Control CDI Plate 14: B1",'CONTROL MASTER'!$G$2:$G$495,0)),"")</f>
        <v/>
      </c>
      <c r="C160" s="9" t="str">
        <f>IFERROR(INDEX('CONTROL MASTER'!$Q$2:$Q$495,MATCH("Control CDI Plate 14: B2",'CONTROL MASTER'!$G$2:$G$495,0)),"")</f>
        <v/>
      </c>
      <c r="D160" s="9" t="str">
        <f>IFERROR(INDEX('CONTROL MASTER'!$Q$2:$Q$495,MATCH("Control CDI Plate 14: B3",'CONTROL MASTER'!$G$2:$G$495,0)),"")</f>
        <v/>
      </c>
      <c r="E160" s="9" t="str">
        <f>IFERROR(INDEX('CONTROL MASTER'!$Q$2:$Q$495,MATCH("Control CDI Plate 14: B4",'CONTROL MASTER'!$G$2:$G$495,0)),"")</f>
        <v/>
      </c>
      <c r="F160" s="9" t="str">
        <f>IFERROR(INDEX('CONTROL MASTER'!$Q$2:$Q$495,MATCH("Control CDI Plate 14: B5",'CONTROL MASTER'!$G$2:$G$495,0)),"")</f>
        <v/>
      </c>
      <c r="G160" s="9" t="str">
        <f>IFERROR(INDEX('CONTROL MASTER'!$Q$2:$Q$495,MATCH("Control CDI Plate 14: B6",'CONTROL MASTER'!$G$2:$G$495,0)),"")</f>
        <v/>
      </c>
      <c r="H160" s="9" t="str">
        <f>IFERROR(INDEX('CONTROL MASTER'!$Q$2:$Q$495,MATCH("Control CDI Plate 14: B7",'CONTROL MASTER'!$G$2:$G$495,0)),"")</f>
        <v/>
      </c>
      <c r="I160" s="9" t="str">
        <f>IFERROR(INDEX('CONTROL MASTER'!$Q$2:$Q$495,MATCH("Control CDI Plate 14: B8",'CONTROL MASTER'!$G$2:$G$495,0)),"")</f>
        <v/>
      </c>
      <c r="J160" s="9" t="str">
        <f>IFERROR(INDEX('CONTROL MASTER'!$Q$2:$Q$495,MATCH("Control CDI Plate 14: B9",'CONTROL MASTER'!$G$2:$G$495,0)),"")</f>
        <v/>
      </c>
      <c r="K160" s="9" t="str">
        <f>IFERROR(INDEX('CONTROL MASTER'!$Q$2:$Q$495,MATCH("Control CDI Plate 14: B10",'CONTROL MASTER'!$G$2:$G$495,0)),"")</f>
        <v/>
      </c>
      <c r="L160" s="9" t="str">
        <f>IFERROR(INDEX('CONTROL MASTER'!$Q$2:$Q$495,MATCH("Control CDI Plate 14: B11",'CONTROL MASTER'!$G$2:$G$495,0)),"")</f>
        <v/>
      </c>
      <c r="M160" s="9" t="str">
        <f>IFERROR(INDEX('CONTROL MASTER'!$Q$2:$Q$495,MATCH("Control CDI Plate 14: B12",'CONTROL MASTER'!$G$2:$G$495,0)),"")</f>
        <v/>
      </c>
    </row>
    <row r="161" spans="1:13" ht="15" customHeight="1" x14ac:dyDescent="0.35">
      <c r="A161" s="8" t="s">
        <v>30</v>
      </c>
      <c r="B161" s="9" t="str">
        <f>IFERROR(INDEX('CONTROL MASTER'!$Q$2:$Q$495,MATCH("Control CDI Plate 14: C1",'CONTROL MASTER'!$G$2:$G$495,0)),"")</f>
        <v/>
      </c>
      <c r="C161" s="9" t="str">
        <f>IFERROR(INDEX('CONTROL MASTER'!$Q$2:$Q$495,MATCH("Control CDI Plate 14: C2",'CONTROL MASTER'!$G$2:$G$495,0)),"")</f>
        <v/>
      </c>
      <c r="D161" s="9" t="str">
        <f>IFERROR(INDEX('CONTROL MASTER'!$Q$2:$Q$495,MATCH("Control CDI Plate 14: C3",'CONTROL MASTER'!$G$2:$G$495,0)),"")</f>
        <v/>
      </c>
      <c r="E161" s="9" t="str">
        <f>IFERROR(INDEX('CONTROL MASTER'!$Q$2:$Q$495,MATCH("Control CDI Plate 14: C4",'CONTROL MASTER'!$G$2:$G$495,0)),"")</f>
        <v/>
      </c>
      <c r="F161" s="9" t="str">
        <f>IFERROR(INDEX('CONTROL MASTER'!$Q$2:$Q$495,MATCH("Control CDI Plate 14: C5",'CONTROL MASTER'!$G$2:$G$495,0)),"")</f>
        <v/>
      </c>
      <c r="G161" s="9" t="str">
        <f>IFERROR(INDEX('CONTROL MASTER'!$Q$2:$Q$495,MATCH("Control CDI Plate 14: C6",'CONTROL MASTER'!$G$2:$G$495,0)),"")</f>
        <v/>
      </c>
      <c r="H161" s="9" t="str">
        <f>IFERROR(INDEX('CONTROL MASTER'!$Q$2:$Q$495,MATCH("Control CDI Plate 14: C7",'CONTROL MASTER'!$G$2:$G$495,0)),"")</f>
        <v/>
      </c>
      <c r="I161" s="9" t="str">
        <f>IFERROR(INDEX('CONTROL MASTER'!$Q$2:$Q$495,MATCH("Control CDI Plate 14: C8",'CONTROL MASTER'!$G$2:$G$495,0)),"")</f>
        <v/>
      </c>
      <c r="J161" s="9" t="str">
        <f>IFERROR(INDEX('CONTROL MASTER'!$Q$2:$Q$495,MATCH("Control CDI Plate 14: C9",'CONTROL MASTER'!$G$2:$G$495,0)),"")</f>
        <v/>
      </c>
      <c r="K161" s="9" t="str">
        <f>IFERROR(INDEX('CONTROL MASTER'!$Q$2:$Q$495,MATCH("Control CDI Plate 14: C10",'CONTROL MASTER'!$G$2:$G$495,0)),"")</f>
        <v/>
      </c>
      <c r="L161" s="9" t="str">
        <f>IFERROR(INDEX('CONTROL MASTER'!$Q$2:$Q$495,MATCH("Control CDI Plate 14: C11",'CONTROL MASTER'!$G$2:$G$495,0)),"")</f>
        <v/>
      </c>
      <c r="M161" s="9" t="str">
        <f>IFERROR(INDEX('CONTROL MASTER'!$Q$2:$Q$495,MATCH("Control CDI Plate 14: C12",'CONTROL MASTER'!$G$2:$G$495,0)),"")</f>
        <v/>
      </c>
    </row>
    <row r="162" spans="1:13" ht="15" customHeight="1" x14ac:dyDescent="0.35">
      <c r="A162" s="8" t="s">
        <v>31</v>
      </c>
      <c r="B162" s="9" t="str">
        <f>IFERROR(INDEX('CONTROL MASTER'!$Q$2:$Q$495,MATCH("Control CDI Plate 14: D1",'CONTROL MASTER'!$G$2:$G$495,0)),"")</f>
        <v/>
      </c>
      <c r="C162" s="9" t="str">
        <f>IFERROR(INDEX('CONTROL MASTER'!$Q$2:$Q$495,MATCH("Control CDI Plate 14: D2",'CONTROL MASTER'!$G$2:$G$495,0)),"")</f>
        <v/>
      </c>
      <c r="D162" s="9" t="str">
        <f>IFERROR(INDEX('CONTROL MASTER'!$Q$2:$Q$495,MATCH("Control CDI Plate 14: D3",'CONTROL MASTER'!$G$2:$G$495,0)),"")</f>
        <v/>
      </c>
      <c r="E162" s="9" t="str">
        <f>IFERROR(INDEX('CONTROL MASTER'!$Q$2:$Q$495,MATCH("Control CDI Plate 14: D4",'CONTROL MASTER'!$G$2:$G$495,0)),"")</f>
        <v/>
      </c>
      <c r="F162" s="9" t="str">
        <f>IFERROR(INDEX('CONTROL MASTER'!$Q$2:$Q$495,MATCH("Control CDI Plate 14: D5",'CONTROL MASTER'!$G$2:$G$495,0)),"")</f>
        <v/>
      </c>
      <c r="G162" s="9" t="str">
        <f>IFERROR(INDEX('CONTROL MASTER'!$Q$2:$Q$495,MATCH("Control CDI Plate 14: D6",'CONTROL MASTER'!$G$2:$G$495,0)),"")</f>
        <v/>
      </c>
      <c r="H162" s="9" t="str">
        <f>IFERROR(INDEX('CONTROL MASTER'!$Q$2:$Q$495,MATCH("Control CDI Plate 14: D7",'CONTROL MASTER'!$G$2:$G$495,0)),"")</f>
        <v/>
      </c>
      <c r="I162" s="9" t="str">
        <f>IFERROR(INDEX('CONTROL MASTER'!$Q$2:$Q$495,MATCH("Control CDI Plate 14: D8",'CONTROL MASTER'!$G$2:$G$495,0)),"")</f>
        <v/>
      </c>
      <c r="J162" s="9" t="str">
        <f>IFERROR(INDEX('CONTROL MASTER'!$Q$2:$Q$495,MATCH("Control CDI Plate 14: D9",'CONTROL MASTER'!$G$2:$G$495,0)),"")</f>
        <v/>
      </c>
      <c r="K162" s="9" t="str">
        <f>IFERROR(INDEX('CONTROL MASTER'!$Q$2:$Q$495,MATCH("Control CDI Plate 14: D10",'CONTROL MASTER'!$G$2:$G$495,0)),"")</f>
        <v/>
      </c>
      <c r="L162" s="9" t="str">
        <f>IFERROR(INDEX('CONTROL MASTER'!$Q$2:$Q$495,MATCH("Control CDI Plate 14: D11",'CONTROL MASTER'!$G$2:$G$495,0)),"")</f>
        <v/>
      </c>
      <c r="M162" s="9" t="str">
        <f>IFERROR(INDEX('CONTROL MASTER'!$Q$2:$Q$495,MATCH("Control CDI Plate 14: D12",'CONTROL MASTER'!$G$2:$G$495,0)),"")</f>
        <v/>
      </c>
    </row>
    <row r="163" spans="1:13" ht="15" customHeight="1" x14ac:dyDescent="0.35">
      <c r="A163" s="8" t="s">
        <v>32</v>
      </c>
      <c r="B163" s="9" t="str">
        <f>IFERROR(INDEX('CONTROL MASTER'!$Q$2:$Q$495,MATCH("Control CDI Plate 14: E1",'CONTROL MASTER'!$G$2:$G$495,0)),"")</f>
        <v/>
      </c>
      <c r="C163" s="9" t="str">
        <f>IFERROR(INDEX('CONTROL MASTER'!$Q$2:$Q$495,MATCH("Control CDI Plate 14: E2",'CONTROL MASTER'!$G$2:$G$495,0)),"")</f>
        <v/>
      </c>
      <c r="D163" s="9" t="str">
        <f>IFERROR(INDEX('CONTROL MASTER'!$Q$2:$Q$495,MATCH("Control CDI Plate 14: E3",'CONTROL MASTER'!$G$2:$G$495,0)),"")</f>
        <v/>
      </c>
      <c r="E163" s="9" t="str">
        <f>IFERROR(INDEX('CONTROL MASTER'!$Q$2:$Q$495,MATCH("Control CDI Plate 14: E4",'CONTROL MASTER'!$G$2:$G$495,0)),"")</f>
        <v/>
      </c>
      <c r="F163" s="9" t="str">
        <f>IFERROR(INDEX('CONTROL MASTER'!$Q$2:$Q$495,MATCH("Control CDI Plate 14: E5",'CONTROL MASTER'!$G$2:$G$495,0)),"")</f>
        <v/>
      </c>
      <c r="G163" s="9" t="str">
        <f>IFERROR(INDEX('CONTROL MASTER'!$Q$2:$Q$495,MATCH("Control CDI Plate 14: E6",'CONTROL MASTER'!$G$2:$G$495,0)),"")</f>
        <v/>
      </c>
      <c r="H163" s="9" t="str">
        <f>IFERROR(INDEX('CONTROL MASTER'!$Q$2:$Q$495,MATCH("Control CDI Plate 14: E7",'CONTROL MASTER'!$G$2:$G$495,0)),"")</f>
        <v/>
      </c>
      <c r="I163" s="9" t="str">
        <f>IFERROR(INDEX('CONTROL MASTER'!$Q$2:$Q$495,MATCH("Control CDI Plate 14: E8",'CONTROL MASTER'!$G$2:$G$495,0)),"")</f>
        <v/>
      </c>
      <c r="J163" s="9" t="str">
        <f>IFERROR(INDEX('CONTROL MASTER'!$Q$2:$Q$495,MATCH("Control CDI Plate 14: E9",'CONTROL MASTER'!$G$2:$G$495,0)),"")</f>
        <v/>
      </c>
      <c r="K163" s="9" t="str">
        <f>IFERROR(INDEX('CONTROL MASTER'!$Q$2:$Q$495,MATCH("Control CDI Plate 14: E10",'CONTROL MASTER'!$G$2:$G$495,0)),"")</f>
        <v/>
      </c>
      <c r="L163" s="9" t="str">
        <f>IFERROR(INDEX('CONTROL MASTER'!$Q$2:$Q$495,MATCH("Control CDI Plate 14: E11",'CONTROL MASTER'!$G$2:$G$495,0)),"")</f>
        <v/>
      </c>
      <c r="M163" s="9" t="str">
        <f>IFERROR(INDEX('CONTROL MASTER'!$Q$2:$Q$495,MATCH("Control CDI Plate 14: E12",'CONTROL MASTER'!$G$2:$G$495,0)),"")</f>
        <v/>
      </c>
    </row>
    <row r="164" spans="1:13" ht="15" customHeight="1" x14ac:dyDescent="0.35">
      <c r="A164" s="8" t="s">
        <v>33</v>
      </c>
      <c r="B164" s="9" t="str">
        <f>IFERROR(INDEX('CONTROL MASTER'!$Q$2:$Q$495,MATCH("Control CDI Plate 14: F1",'CONTROL MASTER'!$G$2:$G$495,0)),"")</f>
        <v/>
      </c>
      <c r="C164" s="9" t="str">
        <f>IFERROR(INDEX('CONTROL MASTER'!$Q$2:$Q$495,MATCH("Control CDI Plate 14: F2",'CONTROL MASTER'!$G$2:$G$495,0)),"")</f>
        <v/>
      </c>
      <c r="D164" s="9" t="str">
        <f>IFERROR(INDEX('CONTROL MASTER'!$Q$2:$Q$495,MATCH("Control CDI Plate 14: F3",'CONTROL MASTER'!$G$2:$G$495,0)),"")</f>
        <v/>
      </c>
      <c r="E164" s="9" t="str">
        <f>IFERROR(INDEX('CONTROL MASTER'!$Q$2:$Q$495,MATCH("Control CDI Plate 14: F4",'CONTROL MASTER'!$G$2:$G$495,0)),"")</f>
        <v/>
      </c>
      <c r="F164" s="9" t="str">
        <f>IFERROR(INDEX('CONTROL MASTER'!$Q$2:$Q$495,MATCH("Control CDI Plate 14: F5",'CONTROL MASTER'!$G$2:$G$495,0)),"")</f>
        <v/>
      </c>
      <c r="G164" s="9" t="str">
        <f>IFERROR(INDEX('CONTROL MASTER'!$Q$2:$Q$495,MATCH("Control CDI Plate 14: F6",'CONTROL MASTER'!$G$2:$G$495,0)),"")</f>
        <v/>
      </c>
      <c r="H164" s="9" t="str">
        <f>IFERROR(INDEX('CONTROL MASTER'!$Q$2:$Q$495,MATCH("Control CDI Plate 14: F7",'CONTROL MASTER'!$G$2:$G$495,0)),"")</f>
        <v/>
      </c>
      <c r="I164" s="9" t="str">
        <f>IFERROR(INDEX('CONTROL MASTER'!$Q$2:$Q$495,MATCH("Control CDI Plate 14: F8",'CONTROL MASTER'!$G$2:$G$495,0)),"")</f>
        <v/>
      </c>
      <c r="J164" s="9" t="str">
        <f>IFERROR(INDEX('CONTROL MASTER'!$Q$2:$Q$495,MATCH("Control CDI Plate 14: F9",'CONTROL MASTER'!$G$2:$G$495,0)),"")</f>
        <v/>
      </c>
      <c r="K164" s="9" t="str">
        <f>IFERROR(INDEX('CONTROL MASTER'!$Q$2:$Q$495,MATCH("Control CDI Plate 14: F10",'CONTROL MASTER'!$G$2:$G$495,0)),"")</f>
        <v/>
      </c>
      <c r="L164" s="9" t="str">
        <f>IFERROR(INDEX('CONTROL MASTER'!$Q$2:$Q$495,MATCH("Control CDI Plate 14: F11",'CONTROL MASTER'!$G$2:$G$495,0)),"")</f>
        <v/>
      </c>
      <c r="M164" s="9" t="str">
        <f>IFERROR(INDEX('CONTROL MASTER'!$Q$2:$Q$495,MATCH("Control CDI Plate 14: F12",'CONTROL MASTER'!$G$2:$G$495,0)),"")</f>
        <v/>
      </c>
    </row>
    <row r="165" spans="1:13" ht="15" customHeight="1" x14ac:dyDescent="0.35">
      <c r="A165" s="8" t="s">
        <v>34</v>
      </c>
      <c r="B165" s="9" t="str">
        <f>IFERROR(INDEX('CONTROL MASTER'!$Q$2:$Q$495,MATCH("Control CDI Plate 14: G1",'CONTROL MASTER'!$G$2:$G$495,0)),"")</f>
        <v/>
      </c>
      <c r="C165" s="9" t="str">
        <f>IFERROR(INDEX('CONTROL MASTER'!$Q$2:$Q$495,MATCH("Control CDI Plate 14: G2",'CONTROL MASTER'!$G$2:$G$495,0)),"")</f>
        <v/>
      </c>
      <c r="D165" s="9" t="str">
        <f>IFERROR(INDEX('CONTROL MASTER'!$Q$2:$Q$495,MATCH("Control CDI Plate 14: G3",'CONTROL MASTER'!$G$2:$G$495,0)),"")</f>
        <v/>
      </c>
      <c r="E165" s="9" t="str">
        <f>IFERROR(INDEX('CONTROL MASTER'!$Q$2:$Q$495,MATCH("Control CDI Plate 14: G4",'CONTROL MASTER'!$G$2:$G$495,0)),"")</f>
        <v/>
      </c>
      <c r="F165" s="9" t="str">
        <f>IFERROR(INDEX('CONTROL MASTER'!$Q$2:$Q$495,MATCH("Control CDI Plate 14: G5",'CONTROL MASTER'!$G$2:$G$495,0)),"")</f>
        <v/>
      </c>
      <c r="G165" s="9" t="str">
        <f>IFERROR(INDEX('CONTROL MASTER'!$Q$2:$Q$495,MATCH("Control CDI Plate 14: G6",'CONTROL MASTER'!$G$2:$G$495,0)),"")</f>
        <v/>
      </c>
      <c r="H165" s="9" t="str">
        <f>IFERROR(INDEX('CONTROL MASTER'!$Q$2:$Q$495,MATCH("Control CDI Plate 14: G7",'CONTROL MASTER'!$G$2:$G$495,0)),"")</f>
        <v/>
      </c>
      <c r="I165" s="9" t="str">
        <f>IFERROR(INDEX('CONTROL MASTER'!$Q$2:$Q$495,MATCH("Control CDI Plate 14: G8",'CONTROL MASTER'!$G$2:$G$495,0)),"")</f>
        <v/>
      </c>
      <c r="J165" s="9" t="str">
        <f>IFERROR(INDEX('CONTROL MASTER'!$Q$2:$Q$495,MATCH("Control CDI Plate 14: G9",'CONTROL MASTER'!$G$2:$G$495,0)),"")</f>
        <v/>
      </c>
      <c r="K165" s="9" t="str">
        <f>IFERROR(INDEX('CONTROL MASTER'!$Q$2:$Q$495,MATCH("Control CDI Plate 14: G10",'CONTROL MASTER'!$G$2:$G$495,0)),"")</f>
        <v/>
      </c>
      <c r="L165" s="9" t="str">
        <f>IFERROR(INDEX('CONTROL MASTER'!$Q$2:$Q$495,MATCH("Control CDI Plate 14: G11",'CONTROL MASTER'!$G$2:$G$495,0)),"")</f>
        <v/>
      </c>
      <c r="M165" s="9" t="str">
        <f>IFERROR(INDEX('CONTROL MASTER'!$Q$2:$Q$495,MATCH("Control CDI Plate 14: G12",'CONTROL MASTER'!$G$2:$G$495,0)),"")</f>
        <v/>
      </c>
    </row>
    <row r="166" spans="1:13" ht="15" customHeight="1" x14ac:dyDescent="0.35">
      <c r="A166" s="8" t="s">
        <v>35</v>
      </c>
      <c r="B166" s="9" t="str">
        <f>IFERROR(INDEX('CONTROL MASTER'!$Q$2:$Q$495,MATCH("Control CDI Plate 14: H1",'CONTROL MASTER'!$G$2:$G$495,0)),"")</f>
        <v/>
      </c>
      <c r="C166" s="9" t="str">
        <f>IFERROR(INDEX('CONTROL MASTER'!$Q$2:$Q$495,MATCH("Control CDI Plate 14: H2",'CONTROL MASTER'!$G$2:$G$495,0)),"")</f>
        <v/>
      </c>
      <c r="D166" s="9" t="str">
        <f>IFERROR(INDEX('CONTROL MASTER'!$Q$2:$Q$495,MATCH("Control CDI Plate 14: H3",'CONTROL MASTER'!$G$2:$G$495,0)),"")</f>
        <v/>
      </c>
      <c r="E166" s="9" t="str">
        <f>IFERROR(INDEX('CONTROL MASTER'!$Q$2:$Q$495,MATCH("Control CDI Plate 14: H4",'CONTROL MASTER'!$G$2:$G$495,0)),"")</f>
        <v/>
      </c>
      <c r="F166" s="9" t="str">
        <f>IFERROR(INDEX('CONTROL MASTER'!$Q$2:$Q$495,MATCH("Control CDI Plate 14: H5",'CONTROL MASTER'!$G$2:$G$495,0)),"")</f>
        <v/>
      </c>
      <c r="G166" s="9" t="str">
        <f>IFERROR(INDEX('CONTROL MASTER'!$Q$2:$Q$495,MATCH("Control CDI Plate 14: H6",'CONTROL MASTER'!$G$2:$G$495,0)),"")</f>
        <v/>
      </c>
      <c r="H166" s="9" t="str">
        <f>IFERROR(INDEX('CONTROL MASTER'!$Q$2:$Q$495,MATCH("Control CDI Plate 14: H7",'CONTROL MASTER'!$G$2:$G$495,0)),"")</f>
        <v/>
      </c>
      <c r="I166" s="9" t="str">
        <f>IFERROR(INDEX('CONTROL MASTER'!$Q$2:$Q$495,MATCH("Control CDI Plate 14: H8",'CONTROL MASTER'!$G$2:$G$495,0)),"")</f>
        <v/>
      </c>
      <c r="J166" s="9" t="str">
        <f>IFERROR(INDEX('CONTROL MASTER'!$Q$2:$Q$495,MATCH("Control CDI Plate 14: H9",'CONTROL MASTER'!$G$2:$G$495,0)),"")</f>
        <v/>
      </c>
      <c r="K166" s="9" t="str">
        <f>IFERROR(INDEX('CONTROL MASTER'!$Q$2:$Q$495,MATCH("Control CDI Plate 14: H10",'CONTROL MASTER'!$G$2:$G$495,0)),"")</f>
        <v/>
      </c>
      <c r="L166" s="9" t="str">
        <f>IFERROR(INDEX('CONTROL MASTER'!$Q$2:$Q$495,MATCH("Control CDI Plate 14: H11",'CONTROL MASTER'!$G$2:$G$495,0)),"")</f>
        <v/>
      </c>
      <c r="M166" s="9" t="str">
        <f>IFERROR(INDEX('CONTROL MASTER'!$Q$2:$Q$495,MATCH("Control CDI Plate 14: H12",'CONTROL MASTER'!$G$2:$G$495,0)),"")</f>
        <v/>
      </c>
    </row>
    <row r="169" spans="1:13" ht="15" customHeight="1" x14ac:dyDescent="0.35">
      <c r="A169" s="12" t="s">
        <v>126</v>
      </c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</row>
    <row r="170" spans="1:13" ht="15" customHeight="1" x14ac:dyDescent="0.35">
      <c r="B170" s="8">
        <v>1</v>
      </c>
      <c r="C170" s="8">
        <v>2</v>
      </c>
      <c r="D170" s="8">
        <v>3</v>
      </c>
      <c r="E170" s="8">
        <v>4</v>
      </c>
      <c r="F170" s="8">
        <v>5</v>
      </c>
      <c r="G170" s="8">
        <v>6</v>
      </c>
      <c r="H170" s="8">
        <v>7</v>
      </c>
      <c r="I170" s="8">
        <v>8</v>
      </c>
      <c r="J170" s="8">
        <v>9</v>
      </c>
      <c r="K170" s="8">
        <v>10</v>
      </c>
      <c r="L170" s="8">
        <v>11</v>
      </c>
      <c r="M170" s="8">
        <v>12</v>
      </c>
    </row>
    <row r="171" spans="1:13" ht="15" customHeight="1" x14ac:dyDescent="0.35">
      <c r="A171" s="8" t="s">
        <v>28</v>
      </c>
      <c r="B171" s="9" t="str">
        <f>IFERROR(INDEX('CONTROL MASTER'!$Q$2:$Q$495,MATCH("Control CDI Plate 15: A1",'CONTROL MASTER'!$G$2:$G$495,0)),"")</f>
        <v/>
      </c>
      <c r="C171" s="9" t="str">
        <f>IFERROR(INDEX('CONTROL MASTER'!$Q$2:$Q$495,MATCH("Control CDI Plate 15: A2",'CONTROL MASTER'!$G$2:$G$495,0)),"")</f>
        <v/>
      </c>
      <c r="D171" s="9" t="str">
        <f>IFERROR(INDEX('CONTROL MASTER'!$Q$2:$Q$495,MATCH("Control CDI Plate 15: A3",'CONTROL MASTER'!$G$2:$G$495,0)),"")</f>
        <v/>
      </c>
      <c r="E171" s="9" t="str">
        <f>IFERROR(INDEX('CONTROL MASTER'!$Q$2:$Q$495,MATCH("Control CDI Plate 15: A4",'CONTROL MASTER'!$G$2:$G$495,0)),"")</f>
        <v/>
      </c>
      <c r="F171" s="9" t="str">
        <f>IFERROR(INDEX('CONTROL MASTER'!$Q$2:$Q$495,MATCH("Control CDI Plate 15: A5",'CONTROL MASTER'!$G$2:$G$495,0)),"")</f>
        <v/>
      </c>
      <c r="G171" s="9" t="str">
        <f>IFERROR(INDEX('CONTROL MASTER'!$Q$2:$Q$495,MATCH("Control CDI Plate 15: A6",'CONTROL MASTER'!$G$2:$G$495,0)),"")</f>
        <v/>
      </c>
      <c r="H171" s="9" t="str">
        <f>IFERROR(INDEX('CONTROL MASTER'!$Q$2:$Q$495,MATCH("Control CDI Plate 15: A7",'CONTROL MASTER'!$G$2:$G$495,0)),"")</f>
        <v/>
      </c>
      <c r="I171" s="9" t="str">
        <f>IFERROR(INDEX('CONTROL MASTER'!$Q$2:$Q$495,MATCH("Control CDI Plate 15: A8",'CONTROL MASTER'!$G$2:$G$495,0)),"")</f>
        <v/>
      </c>
      <c r="J171" s="9" t="str">
        <f>IFERROR(INDEX('CONTROL MASTER'!$Q$2:$Q$495,MATCH("Control CDI Plate 15: A9",'CONTROL MASTER'!$G$2:$G$495,0)),"")</f>
        <v/>
      </c>
      <c r="K171" s="9" t="str">
        <f>IFERROR(INDEX('CONTROL MASTER'!$Q$2:$Q$495,MATCH("Control CDI Plate 15: A10",'CONTROL MASTER'!$G$2:$G$495,0)),"")</f>
        <v/>
      </c>
      <c r="L171" s="9" t="str">
        <f>IFERROR(INDEX('CONTROL MASTER'!$Q$2:$Q$495,MATCH("Control CDI Plate 15: A11",'CONTROL MASTER'!$G$2:$G$495,0)),"")</f>
        <v/>
      </c>
      <c r="M171" s="9" t="str">
        <f>IFERROR(INDEX('CONTROL MASTER'!$Q$2:$Q$495,MATCH("Control CDI Plate 15: A12",'CONTROL MASTER'!$G$2:$G$495,0)),"")</f>
        <v/>
      </c>
    </row>
    <row r="172" spans="1:13" ht="15" customHeight="1" x14ac:dyDescent="0.35">
      <c r="A172" s="8" t="s">
        <v>29</v>
      </c>
      <c r="B172" s="9" t="str">
        <f>IFERROR(INDEX('CONTROL MASTER'!$Q$2:$Q$495,MATCH("Control CDI Plate 15: B1",'CONTROL MASTER'!$G$2:$G$495,0)),"")</f>
        <v/>
      </c>
      <c r="C172" s="9" t="str">
        <f>IFERROR(INDEX('CONTROL MASTER'!$Q$2:$Q$495,MATCH("Control CDI Plate 15: B2",'CONTROL MASTER'!$G$2:$G$495,0)),"")</f>
        <v/>
      </c>
      <c r="D172" s="9" t="str">
        <f>IFERROR(INDEX('CONTROL MASTER'!$Q$2:$Q$495,MATCH("Control CDI Plate 15: B3",'CONTROL MASTER'!$G$2:$G$495,0)),"")</f>
        <v/>
      </c>
      <c r="E172" s="9" t="str">
        <f>IFERROR(INDEX('CONTROL MASTER'!$Q$2:$Q$495,MATCH("Control CDI Plate 15: B4",'CONTROL MASTER'!$G$2:$G$495,0)),"")</f>
        <v/>
      </c>
      <c r="F172" s="9" t="str">
        <f>IFERROR(INDEX('CONTROL MASTER'!$Q$2:$Q$495,MATCH("Control CDI Plate 15: B5",'CONTROL MASTER'!$G$2:$G$495,0)),"")</f>
        <v/>
      </c>
      <c r="G172" s="9" t="str">
        <f>IFERROR(INDEX('CONTROL MASTER'!$Q$2:$Q$495,MATCH("Control CDI Plate 15: B6",'CONTROL MASTER'!$G$2:$G$495,0)),"")</f>
        <v/>
      </c>
      <c r="H172" s="9" t="str">
        <f>IFERROR(INDEX('CONTROL MASTER'!$Q$2:$Q$495,MATCH("Control CDI Plate 15: B7",'CONTROL MASTER'!$G$2:$G$495,0)),"")</f>
        <v/>
      </c>
      <c r="I172" s="9" t="str">
        <f>IFERROR(INDEX('CONTROL MASTER'!$Q$2:$Q$495,MATCH("Control CDI Plate 15: B8",'CONTROL MASTER'!$G$2:$G$495,0)),"")</f>
        <v/>
      </c>
      <c r="J172" s="9" t="str">
        <f>IFERROR(INDEX('CONTROL MASTER'!$Q$2:$Q$495,MATCH("Control CDI Plate 15: B9",'CONTROL MASTER'!$G$2:$G$495,0)),"")</f>
        <v/>
      </c>
      <c r="K172" s="9" t="str">
        <f>IFERROR(INDEX('CONTROL MASTER'!$Q$2:$Q$495,MATCH("Control CDI Plate 15: B10",'CONTROL MASTER'!$G$2:$G$495,0)),"")</f>
        <v/>
      </c>
      <c r="L172" s="9" t="str">
        <f>IFERROR(INDEX('CONTROL MASTER'!$Q$2:$Q$495,MATCH("Control CDI Plate 15: B11",'CONTROL MASTER'!$G$2:$G$495,0)),"")</f>
        <v/>
      </c>
      <c r="M172" s="9" t="str">
        <f>IFERROR(INDEX('CONTROL MASTER'!$Q$2:$Q$495,MATCH("Control CDI Plate 15: B12",'CONTROL MASTER'!$G$2:$G$495,0)),"")</f>
        <v/>
      </c>
    </row>
    <row r="173" spans="1:13" ht="15" customHeight="1" x14ac:dyDescent="0.35">
      <c r="A173" s="8" t="s">
        <v>30</v>
      </c>
      <c r="B173" s="9" t="str">
        <f>IFERROR(INDEX('CONTROL MASTER'!$Q$2:$Q$495,MATCH("Control CDI Plate 15: C1",'CONTROL MASTER'!$G$2:$G$495,0)),"")</f>
        <v/>
      </c>
      <c r="C173" s="9" t="str">
        <f>IFERROR(INDEX('CONTROL MASTER'!$Q$2:$Q$495,MATCH("Control CDI Plate 15: C2",'CONTROL MASTER'!$G$2:$G$495,0)),"")</f>
        <v/>
      </c>
      <c r="D173" s="9" t="str">
        <f>IFERROR(INDEX('CONTROL MASTER'!$Q$2:$Q$495,MATCH("Control CDI Plate 15: C3",'CONTROL MASTER'!$G$2:$G$495,0)),"")</f>
        <v/>
      </c>
      <c r="E173" s="9" t="str">
        <f>IFERROR(INDEX('CONTROL MASTER'!$Q$2:$Q$495,MATCH("Control CDI Plate 15: C4",'CONTROL MASTER'!$G$2:$G$495,0)),"")</f>
        <v/>
      </c>
      <c r="F173" s="9" t="str">
        <f>IFERROR(INDEX('CONTROL MASTER'!$Q$2:$Q$495,MATCH("Control CDI Plate 15: C5",'CONTROL MASTER'!$G$2:$G$495,0)),"")</f>
        <v/>
      </c>
      <c r="G173" s="9" t="str">
        <f>IFERROR(INDEX('CONTROL MASTER'!$Q$2:$Q$495,MATCH("Control CDI Plate 15: C6",'CONTROL MASTER'!$G$2:$G$495,0)),"")</f>
        <v/>
      </c>
      <c r="H173" s="9" t="str">
        <f>IFERROR(INDEX('CONTROL MASTER'!$Q$2:$Q$495,MATCH("Control CDI Plate 15: C7",'CONTROL MASTER'!$G$2:$G$495,0)),"")</f>
        <v/>
      </c>
      <c r="I173" s="9" t="str">
        <f>IFERROR(INDEX('CONTROL MASTER'!$Q$2:$Q$495,MATCH("Control CDI Plate 15: C8",'CONTROL MASTER'!$G$2:$G$495,0)),"")</f>
        <v/>
      </c>
      <c r="J173" s="9" t="str">
        <f>IFERROR(INDEX('CONTROL MASTER'!$Q$2:$Q$495,MATCH("Control CDI Plate 15: C9",'CONTROL MASTER'!$G$2:$G$495,0)),"")</f>
        <v/>
      </c>
      <c r="K173" s="9" t="str">
        <f>IFERROR(INDEX('CONTROL MASTER'!$Q$2:$Q$495,MATCH("Control CDI Plate 15: C10",'CONTROL MASTER'!$G$2:$G$495,0)),"")</f>
        <v/>
      </c>
      <c r="L173" s="9" t="str">
        <f>IFERROR(INDEX('CONTROL MASTER'!$Q$2:$Q$495,MATCH("Control CDI Plate 15: C11",'CONTROL MASTER'!$G$2:$G$495,0)),"")</f>
        <v/>
      </c>
      <c r="M173" s="9" t="str">
        <f>IFERROR(INDEX('CONTROL MASTER'!$Q$2:$Q$495,MATCH("Control CDI Plate 15: C12",'CONTROL MASTER'!$G$2:$G$495,0)),"")</f>
        <v/>
      </c>
    </row>
    <row r="174" spans="1:13" ht="15" customHeight="1" x14ac:dyDescent="0.35">
      <c r="A174" s="8" t="s">
        <v>31</v>
      </c>
      <c r="B174" s="9" t="str">
        <f>IFERROR(INDEX('CONTROL MASTER'!$Q$2:$Q$495,MATCH("Control CDI Plate 15: D1",'CONTROL MASTER'!$G$2:$G$495,0)),"")</f>
        <v/>
      </c>
      <c r="C174" s="9" t="str">
        <f>IFERROR(INDEX('CONTROL MASTER'!$Q$2:$Q$495,MATCH("Control CDI Plate 15: D2",'CONTROL MASTER'!$G$2:$G$495,0)),"")</f>
        <v/>
      </c>
      <c r="D174" s="9" t="str">
        <f>IFERROR(INDEX('CONTROL MASTER'!$Q$2:$Q$495,MATCH("Control CDI Plate 15: D3",'CONTROL MASTER'!$G$2:$G$495,0)),"")</f>
        <v/>
      </c>
      <c r="E174" s="9" t="str">
        <f>IFERROR(INDEX('CONTROL MASTER'!$Q$2:$Q$495,MATCH("Control CDI Plate 15: D4",'CONTROL MASTER'!$G$2:$G$495,0)),"")</f>
        <v/>
      </c>
      <c r="F174" s="9" t="str">
        <f>IFERROR(INDEX('CONTROL MASTER'!$Q$2:$Q$495,MATCH("Control CDI Plate 15: D5",'CONTROL MASTER'!$G$2:$G$495,0)),"")</f>
        <v/>
      </c>
      <c r="G174" s="9" t="str">
        <f>IFERROR(INDEX('CONTROL MASTER'!$Q$2:$Q$495,MATCH("Control CDI Plate 15: D6",'CONTROL MASTER'!$G$2:$G$495,0)),"")</f>
        <v/>
      </c>
      <c r="H174" s="9" t="str">
        <f>IFERROR(INDEX('CONTROL MASTER'!$Q$2:$Q$495,MATCH("Control CDI Plate 15: D7",'CONTROL MASTER'!$G$2:$G$495,0)),"")</f>
        <v/>
      </c>
      <c r="I174" s="9" t="str">
        <f>IFERROR(INDEX('CONTROL MASTER'!$Q$2:$Q$495,MATCH("Control CDI Plate 15: D8",'CONTROL MASTER'!$G$2:$G$495,0)),"")</f>
        <v/>
      </c>
      <c r="J174" s="9" t="str">
        <f>IFERROR(INDEX('CONTROL MASTER'!$Q$2:$Q$495,MATCH("Control CDI Plate 15: D9",'CONTROL MASTER'!$G$2:$G$495,0)),"")</f>
        <v/>
      </c>
      <c r="K174" s="9" t="str">
        <f>IFERROR(INDEX('CONTROL MASTER'!$Q$2:$Q$495,MATCH("Control CDI Plate 15: D10",'CONTROL MASTER'!$G$2:$G$495,0)),"")</f>
        <v/>
      </c>
      <c r="L174" s="9" t="str">
        <f>IFERROR(INDEX('CONTROL MASTER'!$Q$2:$Q$495,MATCH("Control CDI Plate 15: D11",'CONTROL MASTER'!$G$2:$G$495,0)),"")</f>
        <v/>
      </c>
      <c r="M174" s="9" t="str">
        <f>IFERROR(INDEX('CONTROL MASTER'!$Q$2:$Q$495,MATCH("Control CDI Plate 15: D12",'CONTROL MASTER'!$G$2:$G$495,0)),"")</f>
        <v/>
      </c>
    </row>
    <row r="175" spans="1:13" ht="15" customHeight="1" x14ac:dyDescent="0.35">
      <c r="A175" s="8" t="s">
        <v>32</v>
      </c>
      <c r="B175" s="9" t="str">
        <f>IFERROR(INDEX('CONTROL MASTER'!$Q$2:$Q$495,MATCH("Control CDI Plate 15: E1",'CONTROL MASTER'!$G$2:$G$495,0)),"")</f>
        <v/>
      </c>
      <c r="C175" s="9" t="str">
        <f>IFERROR(INDEX('CONTROL MASTER'!$Q$2:$Q$495,MATCH("Control CDI Plate 15: E2",'CONTROL MASTER'!$G$2:$G$495,0)),"")</f>
        <v/>
      </c>
      <c r="D175" s="9" t="str">
        <f>IFERROR(INDEX('CONTROL MASTER'!$Q$2:$Q$495,MATCH("Control CDI Plate 15: E3",'CONTROL MASTER'!$G$2:$G$495,0)),"")</f>
        <v/>
      </c>
      <c r="E175" s="9" t="str">
        <f>IFERROR(INDEX('CONTROL MASTER'!$Q$2:$Q$495,MATCH("Control CDI Plate 15: E4",'CONTROL MASTER'!$G$2:$G$495,0)),"")</f>
        <v/>
      </c>
      <c r="F175" s="9" t="str">
        <f>IFERROR(INDEX('CONTROL MASTER'!$Q$2:$Q$495,MATCH("Control CDI Plate 15: E5",'CONTROL MASTER'!$G$2:$G$495,0)),"")</f>
        <v/>
      </c>
      <c r="G175" s="9" t="str">
        <f>IFERROR(INDEX('CONTROL MASTER'!$Q$2:$Q$495,MATCH("Control CDI Plate 15: E6",'CONTROL MASTER'!$G$2:$G$495,0)),"")</f>
        <v/>
      </c>
      <c r="H175" s="9" t="str">
        <f>IFERROR(INDEX('CONTROL MASTER'!$Q$2:$Q$495,MATCH("Control CDI Plate 15: E7",'CONTROL MASTER'!$G$2:$G$495,0)),"")</f>
        <v/>
      </c>
      <c r="I175" s="9" t="str">
        <f>IFERROR(INDEX('CONTROL MASTER'!$Q$2:$Q$495,MATCH("Control CDI Plate 15: E8",'CONTROL MASTER'!$G$2:$G$495,0)),"")</f>
        <v/>
      </c>
      <c r="J175" s="9" t="str">
        <f>IFERROR(INDEX('CONTROL MASTER'!$Q$2:$Q$495,MATCH("Control CDI Plate 15: E9",'CONTROL MASTER'!$G$2:$G$495,0)),"")</f>
        <v/>
      </c>
      <c r="K175" s="9" t="str">
        <f>IFERROR(INDEX('CONTROL MASTER'!$Q$2:$Q$495,MATCH("Control CDI Plate 15: E10",'CONTROL MASTER'!$G$2:$G$495,0)),"")</f>
        <v/>
      </c>
      <c r="L175" s="9" t="str">
        <f>IFERROR(INDEX('CONTROL MASTER'!$Q$2:$Q$495,MATCH("Control CDI Plate 15: E11",'CONTROL MASTER'!$G$2:$G$495,0)),"")</f>
        <v/>
      </c>
      <c r="M175" s="9" t="str">
        <f>IFERROR(INDEX('CONTROL MASTER'!$Q$2:$Q$495,MATCH("Control CDI Plate 15: E12",'CONTROL MASTER'!$G$2:$G$495,0)),"")</f>
        <v/>
      </c>
    </row>
    <row r="176" spans="1:13" ht="15" customHeight="1" x14ac:dyDescent="0.35">
      <c r="A176" s="8" t="s">
        <v>33</v>
      </c>
      <c r="B176" s="9" t="str">
        <f>IFERROR(INDEX('CONTROL MASTER'!$Q$2:$Q$495,MATCH("Control CDI Plate 15: F1",'CONTROL MASTER'!$G$2:$G$495,0)),"")</f>
        <v/>
      </c>
      <c r="C176" s="9" t="str">
        <f>IFERROR(INDEX('CONTROL MASTER'!$Q$2:$Q$495,MATCH("Control CDI Plate 15: F2",'CONTROL MASTER'!$G$2:$G$495,0)),"")</f>
        <v/>
      </c>
      <c r="D176" s="9" t="str">
        <f>IFERROR(INDEX('CONTROL MASTER'!$Q$2:$Q$495,MATCH("Control CDI Plate 15: F3",'CONTROL MASTER'!$G$2:$G$495,0)),"")</f>
        <v/>
      </c>
      <c r="E176" s="9" t="str">
        <f>IFERROR(INDEX('CONTROL MASTER'!$Q$2:$Q$495,MATCH("Control CDI Plate 15: F4",'CONTROL MASTER'!$G$2:$G$495,0)),"")</f>
        <v/>
      </c>
      <c r="F176" s="9" t="str">
        <f>IFERROR(INDEX('CONTROL MASTER'!$Q$2:$Q$495,MATCH("Control CDI Plate 15: F5",'CONTROL MASTER'!$G$2:$G$495,0)),"")</f>
        <v/>
      </c>
      <c r="G176" s="9" t="str">
        <f>IFERROR(INDEX('CONTROL MASTER'!$Q$2:$Q$495,MATCH("Control CDI Plate 15: F6",'CONTROL MASTER'!$G$2:$G$495,0)),"")</f>
        <v/>
      </c>
      <c r="H176" s="9" t="str">
        <f>IFERROR(INDEX('CONTROL MASTER'!$Q$2:$Q$495,MATCH("Control CDI Plate 15: F7",'CONTROL MASTER'!$G$2:$G$495,0)),"")</f>
        <v/>
      </c>
      <c r="I176" s="9" t="str">
        <f>IFERROR(INDEX('CONTROL MASTER'!$Q$2:$Q$495,MATCH("Control CDI Plate 15: F8",'CONTROL MASTER'!$G$2:$G$495,0)),"")</f>
        <v/>
      </c>
      <c r="J176" s="9" t="str">
        <f>IFERROR(INDEX('CONTROL MASTER'!$Q$2:$Q$495,MATCH("Control CDI Plate 15: F9",'CONTROL MASTER'!$G$2:$G$495,0)),"")</f>
        <v/>
      </c>
      <c r="K176" s="9" t="str">
        <f>IFERROR(INDEX('CONTROL MASTER'!$Q$2:$Q$495,MATCH("Control CDI Plate 15: F10",'CONTROL MASTER'!$G$2:$G$495,0)),"")</f>
        <v/>
      </c>
      <c r="L176" s="9" t="str">
        <f>IFERROR(INDEX('CONTROL MASTER'!$Q$2:$Q$495,MATCH("Control CDI Plate 15: F11",'CONTROL MASTER'!$G$2:$G$495,0)),"")</f>
        <v/>
      </c>
      <c r="M176" s="9" t="str">
        <f>IFERROR(INDEX('CONTROL MASTER'!$Q$2:$Q$495,MATCH("Control CDI Plate 15: F12",'CONTROL MASTER'!$G$2:$G$495,0)),"")</f>
        <v/>
      </c>
    </row>
    <row r="177" spans="1:13" ht="15" customHeight="1" x14ac:dyDescent="0.35">
      <c r="A177" s="8" t="s">
        <v>34</v>
      </c>
      <c r="B177" s="9" t="str">
        <f>IFERROR(INDEX('CONTROL MASTER'!$Q$2:$Q$495,MATCH("Control CDI Plate 15: G1",'CONTROL MASTER'!$G$2:$G$495,0)),"")</f>
        <v/>
      </c>
      <c r="C177" s="9" t="str">
        <f>IFERROR(INDEX('CONTROL MASTER'!$Q$2:$Q$495,MATCH("Control CDI Plate 15: G2",'CONTROL MASTER'!$G$2:$G$495,0)),"")</f>
        <v/>
      </c>
      <c r="D177" s="9" t="str">
        <f>IFERROR(INDEX('CONTROL MASTER'!$Q$2:$Q$495,MATCH("Control CDI Plate 15: G3",'CONTROL MASTER'!$G$2:$G$495,0)),"")</f>
        <v/>
      </c>
      <c r="E177" s="9" t="str">
        <f>IFERROR(INDEX('CONTROL MASTER'!$Q$2:$Q$495,MATCH("Control CDI Plate 15: G4",'CONTROL MASTER'!$G$2:$G$495,0)),"")</f>
        <v/>
      </c>
      <c r="F177" s="9" t="str">
        <f>IFERROR(INDEX('CONTROL MASTER'!$Q$2:$Q$495,MATCH("Control CDI Plate 15: G5",'CONTROL MASTER'!$G$2:$G$495,0)),"")</f>
        <v/>
      </c>
      <c r="G177" s="9" t="str">
        <f>IFERROR(INDEX('CONTROL MASTER'!$Q$2:$Q$495,MATCH("Control CDI Plate 15: G6",'CONTROL MASTER'!$G$2:$G$495,0)),"")</f>
        <v/>
      </c>
      <c r="H177" s="9" t="str">
        <f>IFERROR(INDEX('CONTROL MASTER'!$Q$2:$Q$495,MATCH("Control CDI Plate 15: G7",'CONTROL MASTER'!$G$2:$G$495,0)),"")</f>
        <v/>
      </c>
      <c r="I177" s="9" t="str">
        <f>IFERROR(INDEX('CONTROL MASTER'!$Q$2:$Q$495,MATCH("Control CDI Plate 15: G8",'CONTROL MASTER'!$G$2:$G$495,0)),"")</f>
        <v/>
      </c>
      <c r="J177" s="9" t="str">
        <f>IFERROR(INDEX('CONTROL MASTER'!$Q$2:$Q$495,MATCH("Control CDI Plate 15: G9",'CONTROL MASTER'!$G$2:$G$495,0)),"")</f>
        <v/>
      </c>
      <c r="K177" s="9" t="str">
        <f>IFERROR(INDEX('CONTROL MASTER'!$Q$2:$Q$495,MATCH("Control CDI Plate 15: G10",'CONTROL MASTER'!$G$2:$G$495,0)),"")</f>
        <v/>
      </c>
      <c r="L177" s="9" t="str">
        <f>IFERROR(INDEX('CONTROL MASTER'!$Q$2:$Q$495,MATCH("Control CDI Plate 15: G11",'CONTROL MASTER'!$G$2:$G$495,0)),"")</f>
        <v/>
      </c>
      <c r="M177" s="9" t="str">
        <f>IFERROR(INDEX('CONTROL MASTER'!$Q$2:$Q$495,MATCH("Control CDI Plate 15: G12",'CONTROL MASTER'!$G$2:$G$495,0)),"")</f>
        <v/>
      </c>
    </row>
    <row r="178" spans="1:13" ht="15" customHeight="1" x14ac:dyDescent="0.35">
      <c r="A178" s="8" t="s">
        <v>35</v>
      </c>
      <c r="B178" s="9" t="str">
        <f>IFERROR(INDEX('CONTROL MASTER'!$Q$2:$Q$495,MATCH("Control CDI Plate 15: H1",'CONTROL MASTER'!$G$2:$G$495,0)),"")</f>
        <v/>
      </c>
      <c r="C178" s="9" t="str">
        <f>IFERROR(INDEX('CONTROL MASTER'!$Q$2:$Q$495,MATCH("Control CDI Plate 15: H2",'CONTROL MASTER'!$G$2:$G$495,0)),"")</f>
        <v/>
      </c>
      <c r="D178" s="9" t="str">
        <f>IFERROR(INDEX('CONTROL MASTER'!$Q$2:$Q$495,MATCH("Control CDI Plate 15: H3",'CONTROL MASTER'!$G$2:$G$495,0)),"")</f>
        <v/>
      </c>
      <c r="E178" s="9" t="str">
        <f>IFERROR(INDEX('CONTROL MASTER'!$Q$2:$Q$495,MATCH("Control CDI Plate 15: H4",'CONTROL MASTER'!$G$2:$G$495,0)),"")</f>
        <v/>
      </c>
      <c r="F178" s="9" t="str">
        <f>IFERROR(INDEX('CONTROL MASTER'!$Q$2:$Q$495,MATCH("Control CDI Plate 15: H5",'CONTROL MASTER'!$G$2:$G$495,0)),"")</f>
        <v/>
      </c>
      <c r="G178" s="9" t="str">
        <f>IFERROR(INDEX('CONTROL MASTER'!$Q$2:$Q$495,MATCH("Control CDI Plate 15: H6",'CONTROL MASTER'!$G$2:$G$495,0)),"")</f>
        <v/>
      </c>
      <c r="H178" s="9" t="str">
        <f>IFERROR(INDEX('CONTROL MASTER'!$Q$2:$Q$495,MATCH("Control CDI Plate 15: H7",'CONTROL MASTER'!$G$2:$G$495,0)),"")</f>
        <v/>
      </c>
      <c r="I178" s="9" t="str">
        <f>IFERROR(INDEX('CONTROL MASTER'!$Q$2:$Q$495,MATCH("Control CDI Plate 15: H8",'CONTROL MASTER'!$G$2:$G$495,0)),"")</f>
        <v/>
      </c>
      <c r="J178" s="9" t="str">
        <f>IFERROR(INDEX('CONTROL MASTER'!$Q$2:$Q$495,MATCH("Control CDI Plate 15: H9",'CONTROL MASTER'!$G$2:$G$495,0)),"")</f>
        <v/>
      </c>
      <c r="K178" s="9" t="str">
        <f>IFERROR(INDEX('CONTROL MASTER'!$Q$2:$Q$495,MATCH("Control CDI Plate 15: H10",'CONTROL MASTER'!$G$2:$G$495,0)),"")</f>
        <v/>
      </c>
      <c r="L178" s="9" t="str">
        <f>IFERROR(INDEX('CONTROL MASTER'!$Q$2:$Q$495,MATCH("Control CDI Plate 15: H11",'CONTROL MASTER'!$G$2:$G$495,0)),"")</f>
        <v/>
      </c>
      <c r="M178" s="9" t="str">
        <f>IFERROR(INDEX('CONTROL MASTER'!$Q$2:$Q$495,MATCH("Control CDI Plate 15: H12",'CONTROL MASTER'!$G$2:$G$495,0)),"")</f>
        <v/>
      </c>
    </row>
  </sheetData>
  <mergeCells count="15">
    <mergeCell ref="A169:M169"/>
    <mergeCell ref="A13:M13"/>
    <mergeCell ref="A73:M73"/>
    <mergeCell ref="A1:M1"/>
    <mergeCell ref="A133:M133"/>
    <mergeCell ref="A37:M37"/>
    <mergeCell ref="A61:M61"/>
    <mergeCell ref="A97:M97"/>
    <mergeCell ref="A145:M145"/>
    <mergeCell ref="A109:M109"/>
    <mergeCell ref="A25:M25"/>
    <mergeCell ref="A157:M157"/>
    <mergeCell ref="A49:M49"/>
    <mergeCell ref="A121:M121"/>
    <mergeCell ref="A85:M85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0AD47"/>
  </sheetPr>
  <dimension ref="A1:M178"/>
  <sheetViews>
    <sheetView showGridLines="0" zoomScale="80" zoomScaleNormal="80" workbookViewId="0">
      <selection activeCell="B2" sqref="B1:M1048576"/>
    </sheetView>
  </sheetViews>
  <sheetFormatPr defaultColWidth="8.6328125" defaultRowHeight="15" customHeight="1" x14ac:dyDescent="0.35"/>
  <cols>
    <col min="1" max="1" width="5" customWidth="1"/>
    <col min="2" max="13" width="25.6328125" customWidth="1"/>
  </cols>
  <sheetData>
    <row r="1" spans="1:13" ht="15" customHeight="1" x14ac:dyDescent="0.35">
      <c r="A1" s="12" t="s">
        <v>127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</row>
    <row r="2" spans="1:13" ht="15" customHeight="1" x14ac:dyDescent="0.35">
      <c r="B2" s="8">
        <v>1</v>
      </c>
      <c r="C2" s="8">
        <v>2</v>
      </c>
      <c r="D2" s="8">
        <v>3</v>
      </c>
      <c r="E2" s="8">
        <v>4</v>
      </c>
      <c r="F2" s="8">
        <v>5</v>
      </c>
      <c r="G2" s="8">
        <v>6</v>
      </c>
      <c r="H2" s="8">
        <v>7</v>
      </c>
      <c r="I2" s="8">
        <v>8</v>
      </c>
      <c r="J2" s="8">
        <v>9</v>
      </c>
      <c r="K2" s="8">
        <v>10</v>
      </c>
      <c r="L2" s="8">
        <v>11</v>
      </c>
      <c r="M2" s="8">
        <v>12</v>
      </c>
    </row>
    <row r="3" spans="1:13" ht="15" customHeight="1" x14ac:dyDescent="0.35">
      <c r="A3" s="8" t="s">
        <v>28</v>
      </c>
      <c r="B3" s="9" t="str">
        <f>IFERROR(INDEX('CONTROL MASTER'!$Q$2:$Q$495,MATCH("Control NIH Plate 1: A1",'CONTROL MASTER'!$H$2:$H$495,0)),"")</f>
        <v/>
      </c>
      <c r="C3" s="9" t="str">
        <f>IFERROR(INDEX('CONTROL MASTER'!$Q$2:$Q$495,MATCH("Control NIH Plate 1: A2",'CONTROL MASTER'!$H$2:$H$495,0)),"")</f>
        <v/>
      </c>
      <c r="D3" s="9" t="str">
        <f>IFERROR(INDEX('CONTROL MASTER'!$Q$2:$Q$495,MATCH("Control NIH Plate 1: A3",'CONTROL MASTER'!$H$2:$H$495,0)),"")</f>
        <v/>
      </c>
      <c r="E3" s="9" t="str">
        <f>IFERROR(INDEX('CONTROL MASTER'!$Q$2:$Q$495,MATCH("Control NIH Plate 1: A4",'CONTROL MASTER'!$H$2:$H$495,0)),"")</f>
        <v/>
      </c>
      <c r="F3" s="9" t="str">
        <f>IFERROR(INDEX('CONTROL MASTER'!$Q$2:$Q$495,MATCH("Control NIH Plate 1: A5",'CONTROL MASTER'!$H$2:$H$495,0)),"")</f>
        <v/>
      </c>
      <c r="G3" s="9" t="str">
        <f>IFERROR(INDEX('CONTROL MASTER'!$Q$2:$Q$495,MATCH("Control NIH Plate 1: A6",'CONTROL MASTER'!$H$2:$H$495,0)),"")</f>
        <v/>
      </c>
      <c r="H3" s="9" t="str">
        <f>IFERROR(INDEX('CONTROL MASTER'!$Q$2:$Q$495,MATCH("Control NIH Plate 1: A7",'CONTROL MASTER'!$H$2:$H$495,0)),"")</f>
        <v/>
      </c>
      <c r="I3" s="9" t="str">
        <f>IFERROR(INDEX('CONTROL MASTER'!$Q$2:$Q$495,MATCH("Control NIH Plate 1: A8",'CONTROL MASTER'!$H$2:$H$495,0)),"")</f>
        <v/>
      </c>
      <c r="J3" s="9" t="str">
        <f>IFERROR(INDEX('CONTROL MASTER'!$Q$2:$Q$495,MATCH("Control NIH Plate 1: A9",'CONTROL MASTER'!$H$2:$H$495,0)),"")</f>
        <v/>
      </c>
      <c r="K3" s="9" t="str">
        <f>IFERROR(INDEX('CONTROL MASTER'!$Q$2:$Q$495,MATCH("Control NIH Plate 1: A10",'CONTROL MASTER'!$H$2:$H$495,0)),"")</f>
        <v/>
      </c>
      <c r="L3" s="9" t="str">
        <f>IFERROR(INDEX('CONTROL MASTER'!$Q$2:$Q$495,MATCH("Control NIH Plate 1: A11",'CONTROL MASTER'!$H$2:$H$495,0)),"")</f>
        <v/>
      </c>
      <c r="M3" s="9" t="str">
        <f>IFERROR(INDEX('CONTROL MASTER'!$Q$2:$Q$495,MATCH("Control NIH Plate 1: A12",'CONTROL MASTER'!$H$2:$H$495,0)),"")</f>
        <v/>
      </c>
    </row>
    <row r="4" spans="1:13" ht="15" customHeight="1" x14ac:dyDescent="0.35">
      <c r="A4" s="8" t="s">
        <v>29</v>
      </c>
      <c r="B4" s="9" t="str">
        <f>IFERROR(INDEX('CONTROL MASTER'!$Q$2:$Q$495,MATCH("Control NIH Plate 1: B1",'CONTROL MASTER'!$H$2:$H$495,0)),"")</f>
        <v/>
      </c>
      <c r="C4" s="9" t="str">
        <f>IFERROR(INDEX('CONTROL MASTER'!$Q$2:$Q$495,MATCH("Control NIH Plate 1: B2",'CONTROL MASTER'!$H$2:$H$495,0)),"")</f>
        <v/>
      </c>
      <c r="D4" s="9" t="str">
        <f>IFERROR(INDEX('CONTROL MASTER'!$Q$2:$Q$495,MATCH("Control NIH Plate 1: B3",'CONTROL MASTER'!$H$2:$H$495,0)),"")</f>
        <v/>
      </c>
      <c r="E4" s="9" t="str">
        <f>IFERROR(INDEX('CONTROL MASTER'!$Q$2:$Q$495,MATCH("Control NIH Plate 1: B4",'CONTROL MASTER'!$H$2:$H$495,0)),"")</f>
        <v/>
      </c>
      <c r="F4" s="9" t="str">
        <f>IFERROR(INDEX('CONTROL MASTER'!$Q$2:$Q$495,MATCH("Control NIH Plate 1: B5",'CONTROL MASTER'!$H$2:$H$495,0)),"")</f>
        <v/>
      </c>
      <c r="G4" s="9" t="str">
        <f>IFERROR(INDEX('CONTROL MASTER'!$Q$2:$Q$495,MATCH("Control NIH Plate 1: B6",'CONTROL MASTER'!$H$2:$H$495,0)),"")</f>
        <v/>
      </c>
      <c r="H4" s="9" t="str">
        <f>IFERROR(INDEX('CONTROL MASTER'!$Q$2:$Q$495,MATCH("Control NIH Plate 1: B7",'CONTROL MASTER'!$H$2:$H$495,0)),"")</f>
        <v/>
      </c>
      <c r="I4" s="9" t="str">
        <f>IFERROR(INDEX('CONTROL MASTER'!$Q$2:$Q$495,MATCH("Control NIH Plate 1: B8",'CONTROL MASTER'!$H$2:$H$495,0)),"")</f>
        <v/>
      </c>
      <c r="J4" s="9" t="str">
        <f>IFERROR(INDEX('CONTROL MASTER'!$Q$2:$Q$495,MATCH("Control NIH Plate 1: B9",'CONTROL MASTER'!$H$2:$H$495,0)),"")</f>
        <v/>
      </c>
      <c r="K4" s="9" t="str">
        <f>IFERROR(INDEX('CONTROL MASTER'!$Q$2:$Q$495,MATCH("Control NIH Plate 1: B10",'CONTROL MASTER'!$H$2:$H$495,0)),"")</f>
        <v/>
      </c>
      <c r="L4" s="9" t="str">
        <f>IFERROR(INDEX('CONTROL MASTER'!$Q$2:$Q$495,MATCH("Control NIH Plate 1: B11",'CONTROL MASTER'!$H$2:$H$495,0)),"")</f>
        <v/>
      </c>
      <c r="M4" s="9" t="str">
        <f>IFERROR(INDEX('CONTROL MASTER'!$Q$2:$Q$495,MATCH("Control NIH Plate 1: B12",'CONTROL MASTER'!$H$2:$H$495,0)),"")</f>
        <v/>
      </c>
    </row>
    <row r="5" spans="1:13" ht="15" customHeight="1" x14ac:dyDescent="0.35">
      <c r="A5" s="8" t="s">
        <v>30</v>
      </c>
      <c r="B5" s="9" t="str">
        <f>IFERROR(INDEX('CONTROL MASTER'!$Q$2:$Q$495,MATCH("Control NIH Plate 1: C1",'CONTROL MASTER'!$H$2:$H$495,0)),"")</f>
        <v/>
      </c>
      <c r="C5" s="9" t="str">
        <f>IFERROR(INDEX('CONTROL MASTER'!$Q$2:$Q$495,MATCH("Control NIH Plate 1: C2",'CONTROL MASTER'!$H$2:$H$495,0)),"")</f>
        <v/>
      </c>
      <c r="D5" s="9" t="str">
        <f>IFERROR(INDEX('CONTROL MASTER'!$Q$2:$Q$495,MATCH("Control NIH Plate 1: C3",'CONTROL MASTER'!$H$2:$H$495,0)),"")</f>
        <v/>
      </c>
      <c r="E5" s="9" t="str">
        <f>IFERROR(INDEX('CONTROL MASTER'!$Q$2:$Q$495,MATCH("Control NIH Plate 1: C4",'CONTROL MASTER'!$H$2:$H$495,0)),"")</f>
        <v/>
      </c>
      <c r="F5" s="9" t="str">
        <f>IFERROR(INDEX('CONTROL MASTER'!$Q$2:$Q$495,MATCH("Control NIH Plate 1: C5",'CONTROL MASTER'!$H$2:$H$495,0)),"")</f>
        <v/>
      </c>
      <c r="G5" s="9" t="str">
        <f>IFERROR(INDEX('CONTROL MASTER'!$Q$2:$Q$495,MATCH("Control NIH Plate 1: C6",'CONTROL MASTER'!$H$2:$H$495,0)),"")</f>
        <v/>
      </c>
      <c r="H5" s="9" t="str">
        <f>IFERROR(INDEX('CONTROL MASTER'!$Q$2:$Q$495,MATCH("Control NIH Plate 1: C7",'CONTROL MASTER'!$H$2:$H$495,0)),"")</f>
        <v/>
      </c>
      <c r="I5" s="9" t="str">
        <f>IFERROR(INDEX('CONTROL MASTER'!$Q$2:$Q$495,MATCH("Control NIH Plate 1: C8",'CONTROL MASTER'!$H$2:$H$495,0)),"")</f>
        <v/>
      </c>
      <c r="J5" s="9" t="str">
        <f>IFERROR(INDEX('CONTROL MASTER'!$Q$2:$Q$495,MATCH("Control NIH Plate 1: C9",'CONTROL MASTER'!$H$2:$H$495,0)),"")</f>
        <v/>
      </c>
      <c r="K5" s="9" t="str">
        <f>IFERROR(INDEX('CONTROL MASTER'!$Q$2:$Q$495,MATCH("Control NIH Plate 1: C10",'CONTROL MASTER'!$H$2:$H$495,0)),"")</f>
        <v/>
      </c>
      <c r="L5" s="9" t="str">
        <f>IFERROR(INDEX('CONTROL MASTER'!$Q$2:$Q$495,MATCH("Control NIH Plate 1: C11",'CONTROL MASTER'!$H$2:$H$495,0)),"")</f>
        <v/>
      </c>
      <c r="M5" s="9" t="str">
        <f>IFERROR(INDEX('CONTROL MASTER'!$Q$2:$Q$495,MATCH("Control NIH Plate 1: C12",'CONTROL MASTER'!$H$2:$H$495,0)),"")</f>
        <v/>
      </c>
    </row>
    <row r="6" spans="1:13" ht="15" customHeight="1" x14ac:dyDescent="0.35">
      <c r="A6" s="8" t="s">
        <v>31</v>
      </c>
      <c r="B6" s="9" t="str">
        <f>IFERROR(INDEX('CONTROL MASTER'!$Q$2:$Q$495,MATCH("Control NIH Plate 1: D1",'CONTROL MASTER'!$H$2:$H$495,0)),"")</f>
        <v/>
      </c>
      <c r="C6" s="9" t="str">
        <f>IFERROR(INDEX('CONTROL MASTER'!$Q$2:$Q$495,MATCH("Control NIH Plate 1: D2",'CONTROL MASTER'!$H$2:$H$495,0)),"")</f>
        <v/>
      </c>
      <c r="D6" s="9" t="str">
        <f>IFERROR(INDEX('CONTROL MASTER'!$Q$2:$Q$495,MATCH("Control NIH Plate 1: D3",'CONTROL MASTER'!$H$2:$H$495,0)),"")</f>
        <v/>
      </c>
      <c r="E6" s="9" t="str">
        <f>IFERROR(INDEX('CONTROL MASTER'!$Q$2:$Q$495,MATCH("Control NIH Plate 1: D4",'CONTROL MASTER'!$H$2:$H$495,0)),"")</f>
        <v/>
      </c>
      <c r="F6" s="9" t="str">
        <f>IFERROR(INDEX('CONTROL MASTER'!$Q$2:$Q$495,MATCH("Control NIH Plate 1: D5",'CONTROL MASTER'!$H$2:$H$495,0)),"")</f>
        <v/>
      </c>
      <c r="G6" s="9" t="str">
        <f>IFERROR(INDEX('CONTROL MASTER'!$Q$2:$Q$495,MATCH("Control NIH Plate 1: D6",'CONTROL MASTER'!$H$2:$H$495,0)),"")</f>
        <v/>
      </c>
      <c r="H6" s="9" t="str">
        <f>IFERROR(INDEX('CONTROL MASTER'!$Q$2:$Q$495,MATCH("Control NIH Plate 1: D7",'CONTROL MASTER'!$H$2:$H$495,0)),"")</f>
        <v/>
      </c>
      <c r="I6" s="9" t="str">
        <f>IFERROR(INDEX('CONTROL MASTER'!$Q$2:$Q$495,MATCH("Control NIH Plate 1: D8",'CONTROL MASTER'!$H$2:$H$495,0)),"")</f>
        <v/>
      </c>
      <c r="J6" s="9" t="str">
        <f>IFERROR(INDEX('CONTROL MASTER'!$Q$2:$Q$495,MATCH("Control NIH Plate 1: D9",'CONTROL MASTER'!$H$2:$H$495,0)),"")</f>
        <v/>
      </c>
      <c r="K6" s="9" t="str">
        <f>IFERROR(INDEX('CONTROL MASTER'!$Q$2:$Q$495,MATCH("Control NIH Plate 1: D10",'CONTROL MASTER'!$H$2:$H$495,0)),"")</f>
        <v/>
      </c>
      <c r="L6" s="9" t="str">
        <f>IFERROR(INDEX('CONTROL MASTER'!$Q$2:$Q$495,MATCH("Control NIH Plate 1: D11",'CONTROL MASTER'!$H$2:$H$495,0)),"")</f>
        <v/>
      </c>
      <c r="M6" s="9" t="str">
        <f>IFERROR(INDEX('CONTROL MASTER'!$Q$2:$Q$495,MATCH("Control NIH Plate 1: D12",'CONTROL MASTER'!$H$2:$H$495,0)),"")</f>
        <v/>
      </c>
    </row>
    <row r="7" spans="1:13" ht="15" customHeight="1" x14ac:dyDescent="0.35">
      <c r="A7" s="8" t="s">
        <v>32</v>
      </c>
      <c r="B7" s="9" t="str">
        <f>IFERROR(INDEX('CONTROL MASTER'!$Q$2:$Q$495,MATCH("Control NIH Plate 1: E1",'CONTROL MASTER'!$H$2:$H$495,0)),"")</f>
        <v/>
      </c>
      <c r="C7" s="9" t="str">
        <f>IFERROR(INDEX('CONTROL MASTER'!$Q$2:$Q$495,MATCH("Control NIH Plate 1: E2",'CONTROL MASTER'!$H$2:$H$495,0)),"")</f>
        <v/>
      </c>
      <c r="D7" s="9" t="str">
        <f>IFERROR(INDEX('CONTROL MASTER'!$Q$2:$Q$495,MATCH("Control NIH Plate 1: E3",'CONTROL MASTER'!$H$2:$H$495,0)),"")</f>
        <v/>
      </c>
      <c r="E7" s="9" t="str">
        <f>IFERROR(INDEX('CONTROL MASTER'!$Q$2:$Q$495,MATCH("Control NIH Plate 1: E4",'CONTROL MASTER'!$H$2:$H$495,0)),"")</f>
        <v/>
      </c>
      <c r="F7" s="9" t="str">
        <f>IFERROR(INDEX('CONTROL MASTER'!$Q$2:$Q$495,MATCH("Control NIH Plate 1: E5",'CONTROL MASTER'!$H$2:$H$495,0)),"")</f>
        <v/>
      </c>
      <c r="G7" s="9" t="str">
        <f>IFERROR(INDEX('CONTROL MASTER'!$Q$2:$Q$495,MATCH("Control NIH Plate 1: E6",'CONTROL MASTER'!$H$2:$H$495,0)),"")</f>
        <v/>
      </c>
      <c r="H7" s="9" t="str">
        <f>IFERROR(INDEX('CONTROL MASTER'!$Q$2:$Q$495,MATCH("Control NIH Plate 1: E7",'CONTROL MASTER'!$H$2:$H$495,0)),"")</f>
        <v/>
      </c>
      <c r="I7" s="9" t="str">
        <f>IFERROR(INDEX('CONTROL MASTER'!$Q$2:$Q$495,MATCH("Control NIH Plate 1: E8",'CONTROL MASTER'!$H$2:$H$495,0)),"")</f>
        <v/>
      </c>
      <c r="J7" s="9" t="str">
        <f>IFERROR(INDEX('CONTROL MASTER'!$Q$2:$Q$495,MATCH("Control NIH Plate 1: E9",'CONTROL MASTER'!$H$2:$H$495,0)),"")</f>
        <v/>
      </c>
      <c r="K7" s="9" t="str">
        <f>IFERROR(INDEX('CONTROL MASTER'!$Q$2:$Q$495,MATCH("Control NIH Plate 1: E10",'CONTROL MASTER'!$H$2:$H$495,0)),"")</f>
        <v/>
      </c>
      <c r="L7" s="9" t="str">
        <f>IFERROR(INDEX('CONTROL MASTER'!$Q$2:$Q$495,MATCH("Control NIH Plate 1: E11",'CONTROL MASTER'!$H$2:$H$495,0)),"")</f>
        <v/>
      </c>
      <c r="M7" s="9" t="str">
        <f>IFERROR(INDEX('CONTROL MASTER'!$Q$2:$Q$495,MATCH("Control NIH Plate 1: E12",'CONTROL MASTER'!$H$2:$H$495,0)),"")</f>
        <v/>
      </c>
    </row>
    <row r="8" spans="1:13" ht="15" customHeight="1" x14ac:dyDescent="0.35">
      <c r="A8" s="8" t="s">
        <v>33</v>
      </c>
      <c r="B8" s="9" t="str">
        <f>IFERROR(INDEX('CONTROL MASTER'!$Q$2:$Q$495,MATCH("Control NIH Plate 1: F1",'CONTROL MASTER'!$H$2:$H$495,0)),"")</f>
        <v/>
      </c>
      <c r="C8" s="9" t="str">
        <f>IFERROR(INDEX('CONTROL MASTER'!$Q$2:$Q$495,MATCH("Control NIH Plate 1: F2",'CONTROL MASTER'!$H$2:$H$495,0)),"")</f>
        <v/>
      </c>
      <c r="D8" s="9" t="str">
        <f>IFERROR(INDEX('CONTROL MASTER'!$Q$2:$Q$495,MATCH("Control NIH Plate 1: F3",'CONTROL MASTER'!$H$2:$H$495,0)),"")</f>
        <v/>
      </c>
      <c r="E8" s="9" t="str">
        <f>IFERROR(INDEX('CONTROL MASTER'!$Q$2:$Q$495,MATCH("Control NIH Plate 1: F4",'CONTROL MASTER'!$H$2:$H$495,0)),"")</f>
        <v/>
      </c>
      <c r="F8" s="9" t="str">
        <f>IFERROR(INDEX('CONTROL MASTER'!$Q$2:$Q$495,MATCH("Control NIH Plate 1: F5",'CONTROL MASTER'!$H$2:$H$495,0)),"")</f>
        <v/>
      </c>
      <c r="G8" s="9" t="str">
        <f>IFERROR(INDEX('CONTROL MASTER'!$Q$2:$Q$495,MATCH("Control NIH Plate 1: F6",'CONTROL MASTER'!$H$2:$H$495,0)),"")</f>
        <v/>
      </c>
      <c r="H8" s="9" t="str">
        <f>IFERROR(INDEX('CONTROL MASTER'!$Q$2:$Q$495,MATCH("Control NIH Plate 1: F7",'CONTROL MASTER'!$H$2:$H$495,0)),"")</f>
        <v/>
      </c>
      <c r="I8" s="9" t="str">
        <f>IFERROR(INDEX('CONTROL MASTER'!$Q$2:$Q$495,MATCH("Control NIH Plate 1: F8",'CONTROL MASTER'!$H$2:$H$495,0)),"")</f>
        <v/>
      </c>
      <c r="J8" s="9" t="str">
        <f>IFERROR(INDEX('CONTROL MASTER'!$Q$2:$Q$495,MATCH("Control NIH Plate 1: F9",'CONTROL MASTER'!$H$2:$H$495,0)),"")</f>
        <v/>
      </c>
      <c r="K8" s="9" t="str">
        <f>IFERROR(INDEX('CONTROL MASTER'!$Q$2:$Q$495,MATCH("Control NIH Plate 1: F10",'CONTROL MASTER'!$H$2:$H$495,0)),"")</f>
        <v/>
      </c>
      <c r="L8" s="9" t="str">
        <f>IFERROR(INDEX('CONTROL MASTER'!$Q$2:$Q$495,MATCH("Control NIH Plate 1: F11",'CONTROL MASTER'!$H$2:$H$495,0)),"")</f>
        <v/>
      </c>
      <c r="M8" s="9" t="str">
        <f>IFERROR(INDEX('CONTROL MASTER'!$Q$2:$Q$495,MATCH("Control NIH Plate 1: F12",'CONTROL MASTER'!$H$2:$H$495,0)),"")</f>
        <v/>
      </c>
    </row>
    <row r="9" spans="1:13" ht="15" customHeight="1" x14ac:dyDescent="0.35">
      <c r="A9" s="8" t="s">
        <v>34</v>
      </c>
      <c r="B9" s="9" t="str">
        <f>IFERROR(INDEX('CONTROL MASTER'!$Q$2:$Q$495,MATCH("Control NIH Plate 1: G1",'CONTROL MASTER'!$H$2:$H$495,0)),"")</f>
        <v/>
      </c>
      <c r="C9" s="9" t="str">
        <f>IFERROR(INDEX('CONTROL MASTER'!$Q$2:$Q$495,MATCH("Control NIH Plate 1: G2",'CONTROL MASTER'!$H$2:$H$495,0)),"")</f>
        <v/>
      </c>
      <c r="D9" s="9" t="str">
        <f>IFERROR(INDEX('CONTROL MASTER'!$Q$2:$Q$495,MATCH("Control NIH Plate 1: G3",'CONTROL MASTER'!$H$2:$H$495,0)),"")</f>
        <v/>
      </c>
      <c r="E9" s="9" t="str">
        <f>IFERROR(INDEX('CONTROL MASTER'!$Q$2:$Q$495,MATCH("Control NIH Plate 1: G4",'CONTROL MASTER'!$H$2:$H$495,0)),"")</f>
        <v/>
      </c>
      <c r="F9" s="9" t="str">
        <f>IFERROR(INDEX('CONTROL MASTER'!$Q$2:$Q$495,MATCH("Control NIH Plate 1: G5",'CONTROL MASTER'!$H$2:$H$495,0)),"")</f>
        <v/>
      </c>
      <c r="G9" s="9" t="str">
        <f>IFERROR(INDEX('CONTROL MASTER'!$Q$2:$Q$495,MATCH("Control NIH Plate 1: G6",'CONTROL MASTER'!$H$2:$H$495,0)),"")</f>
        <v/>
      </c>
      <c r="H9" s="9" t="str">
        <f>IFERROR(INDEX('CONTROL MASTER'!$Q$2:$Q$495,MATCH("Control NIH Plate 1: G7",'CONTROL MASTER'!$H$2:$H$495,0)),"")</f>
        <v/>
      </c>
      <c r="I9" s="9" t="str">
        <f>IFERROR(INDEX('CONTROL MASTER'!$Q$2:$Q$495,MATCH("Control NIH Plate 1: G8",'CONTROL MASTER'!$H$2:$H$495,0)),"")</f>
        <v/>
      </c>
      <c r="J9" s="9" t="str">
        <f>IFERROR(INDEX('CONTROL MASTER'!$Q$2:$Q$495,MATCH("Control NIH Plate 1: G9",'CONTROL MASTER'!$H$2:$H$495,0)),"")</f>
        <v/>
      </c>
      <c r="K9" s="9" t="str">
        <f>IFERROR(INDEX('CONTROL MASTER'!$Q$2:$Q$495,MATCH("Control NIH Plate 1: G10",'CONTROL MASTER'!$H$2:$H$495,0)),"")</f>
        <v/>
      </c>
      <c r="L9" s="9" t="str">
        <f>IFERROR(INDEX('CONTROL MASTER'!$Q$2:$Q$495,MATCH("Control NIH Plate 1: G11",'CONTROL MASTER'!$H$2:$H$495,0)),"")</f>
        <v/>
      </c>
      <c r="M9" s="9" t="str">
        <f>IFERROR(INDEX('CONTROL MASTER'!$Q$2:$Q$495,MATCH("Control NIH Plate 1: G12",'CONTROL MASTER'!$H$2:$H$495,0)),"")</f>
        <v/>
      </c>
    </row>
    <row r="10" spans="1:13" ht="15" customHeight="1" x14ac:dyDescent="0.35">
      <c r="A10" s="8" t="s">
        <v>35</v>
      </c>
      <c r="B10" s="9" t="str">
        <f>IFERROR(INDEX('CONTROL MASTER'!$Q$2:$Q$495,MATCH("Control NIH Plate 1: H1",'CONTROL MASTER'!$H$2:$H$495,0)),"")</f>
        <v/>
      </c>
      <c r="C10" s="9" t="str">
        <f>IFERROR(INDEX('CONTROL MASTER'!$Q$2:$Q$495,MATCH("Control NIH Plate 1: H2",'CONTROL MASTER'!$H$2:$H$495,0)),"")</f>
        <v/>
      </c>
      <c r="D10" s="9" t="str">
        <f>IFERROR(INDEX('CONTROL MASTER'!$Q$2:$Q$495,MATCH("Control NIH Plate 1: H3",'CONTROL MASTER'!$H$2:$H$495,0)),"")</f>
        <v/>
      </c>
      <c r="E10" s="9" t="str">
        <f>IFERROR(INDEX('CONTROL MASTER'!$Q$2:$Q$495,MATCH("Control NIH Plate 1: H4",'CONTROL MASTER'!$H$2:$H$495,0)),"")</f>
        <v/>
      </c>
      <c r="F10" s="9" t="str">
        <f>IFERROR(INDEX('CONTROL MASTER'!$Q$2:$Q$495,MATCH("Control NIH Plate 1: H5",'CONTROL MASTER'!$H$2:$H$495,0)),"")</f>
        <v/>
      </c>
      <c r="G10" s="9" t="str">
        <f>IFERROR(INDEX('CONTROL MASTER'!$Q$2:$Q$495,MATCH("Control NIH Plate 1: H6",'CONTROL MASTER'!$H$2:$H$495,0)),"")</f>
        <v/>
      </c>
      <c r="H10" s="9" t="str">
        <f>IFERROR(INDEX('CONTROL MASTER'!$Q$2:$Q$495,MATCH("Control NIH Plate 1: H7",'CONTROL MASTER'!$H$2:$H$495,0)),"")</f>
        <v/>
      </c>
      <c r="I10" s="9" t="str">
        <f>IFERROR(INDEX('CONTROL MASTER'!$Q$2:$Q$495,MATCH("Control NIH Plate 1: H8",'CONTROL MASTER'!$H$2:$H$495,0)),"")</f>
        <v/>
      </c>
      <c r="J10" s="9" t="str">
        <f>IFERROR(INDEX('CONTROL MASTER'!$Q$2:$Q$495,MATCH("Control NIH Plate 1: H9",'CONTROL MASTER'!$H$2:$H$495,0)),"")</f>
        <v/>
      </c>
      <c r="K10" s="9" t="str">
        <f>IFERROR(INDEX('CONTROL MASTER'!$Q$2:$Q$495,MATCH("Control NIH Plate 1: H10",'CONTROL MASTER'!$H$2:$H$495,0)),"")</f>
        <v/>
      </c>
      <c r="L10" s="9" t="str">
        <f>IFERROR(INDEX('CONTROL MASTER'!$Q$2:$Q$495,MATCH("Control NIH Plate 1: H11",'CONTROL MASTER'!$H$2:$H$495,0)),"")</f>
        <v/>
      </c>
      <c r="M10" s="9" t="str">
        <f>IFERROR(INDEX('CONTROL MASTER'!$Q$2:$Q$495,MATCH("Control NIH Plate 1: H12",'CONTROL MASTER'!$H$2:$H$495,0)),"")</f>
        <v/>
      </c>
    </row>
    <row r="13" spans="1:13" ht="15" customHeight="1" x14ac:dyDescent="0.35">
      <c r="A13" s="12" t="s">
        <v>128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</row>
    <row r="14" spans="1:13" ht="15" customHeight="1" x14ac:dyDescent="0.35">
      <c r="B14" s="8">
        <v>1</v>
      </c>
      <c r="C14" s="8">
        <v>2</v>
      </c>
      <c r="D14" s="8">
        <v>3</v>
      </c>
      <c r="E14" s="8">
        <v>4</v>
      </c>
      <c r="F14" s="8">
        <v>5</v>
      </c>
      <c r="G14" s="8">
        <v>6</v>
      </c>
      <c r="H14" s="8">
        <v>7</v>
      </c>
      <c r="I14" s="8">
        <v>8</v>
      </c>
      <c r="J14" s="8">
        <v>9</v>
      </c>
      <c r="K14" s="8">
        <v>10</v>
      </c>
      <c r="L14" s="8">
        <v>11</v>
      </c>
      <c r="M14" s="8">
        <v>12</v>
      </c>
    </row>
    <row r="15" spans="1:13" ht="15" customHeight="1" x14ac:dyDescent="0.35">
      <c r="A15" s="8" t="s">
        <v>28</v>
      </c>
      <c r="B15" s="9" t="str">
        <f>IFERROR(INDEX('CONTROL MASTER'!$Q$2:$Q$495,MATCH("Control NIH Plate 2: A1",'CONTROL MASTER'!$H$2:$H$495,0)),"")</f>
        <v/>
      </c>
      <c r="C15" s="9" t="str">
        <f>IFERROR(INDEX('CONTROL MASTER'!$Q$2:$Q$495,MATCH("Control NIH Plate 2: A2",'CONTROL MASTER'!$H$2:$H$495,0)),"")</f>
        <v/>
      </c>
      <c r="D15" s="9" t="str">
        <f>IFERROR(INDEX('CONTROL MASTER'!$Q$2:$Q$495,MATCH("Control NIH Plate 2: A3",'CONTROL MASTER'!$H$2:$H$495,0)),"")</f>
        <v/>
      </c>
      <c r="E15" s="9" t="str">
        <f>IFERROR(INDEX('CONTROL MASTER'!$Q$2:$Q$495,MATCH("Control NIH Plate 2: A4",'CONTROL MASTER'!$H$2:$H$495,0)),"")</f>
        <v/>
      </c>
      <c r="F15" s="9" t="str">
        <f>IFERROR(INDEX('CONTROL MASTER'!$Q$2:$Q$495,MATCH("Control NIH Plate 2: A5",'CONTROL MASTER'!$H$2:$H$495,0)),"")</f>
        <v/>
      </c>
      <c r="G15" s="9" t="str">
        <f>IFERROR(INDEX('CONTROL MASTER'!$Q$2:$Q$495,MATCH("Control NIH Plate 2: A6",'CONTROL MASTER'!$H$2:$H$495,0)),"")</f>
        <v/>
      </c>
      <c r="H15" s="9" t="str">
        <f>IFERROR(INDEX('CONTROL MASTER'!$Q$2:$Q$495,MATCH("Control NIH Plate 2: A7",'CONTROL MASTER'!$H$2:$H$495,0)),"")</f>
        <v/>
      </c>
      <c r="I15" s="9" t="str">
        <f>IFERROR(INDEX('CONTROL MASTER'!$Q$2:$Q$495,MATCH("Control NIH Plate 2: A8",'CONTROL MASTER'!$H$2:$H$495,0)),"")</f>
        <v/>
      </c>
      <c r="J15" s="9" t="str">
        <f>IFERROR(INDEX('CONTROL MASTER'!$Q$2:$Q$495,MATCH("Control NIH Plate 2: A9",'CONTROL MASTER'!$H$2:$H$495,0)),"")</f>
        <v/>
      </c>
      <c r="K15" s="9" t="str">
        <f>IFERROR(INDEX('CONTROL MASTER'!$Q$2:$Q$495,MATCH("Control NIH Plate 2: A10",'CONTROL MASTER'!$H$2:$H$495,0)),"")</f>
        <v/>
      </c>
      <c r="L15" s="9" t="str">
        <f>IFERROR(INDEX('CONTROL MASTER'!$Q$2:$Q$495,MATCH("Control NIH Plate 2: A11",'CONTROL MASTER'!$H$2:$H$495,0)),"")</f>
        <v/>
      </c>
      <c r="M15" s="9" t="str">
        <f>IFERROR(INDEX('CONTROL MASTER'!$Q$2:$Q$495,MATCH("Control NIH Plate 2: A12",'CONTROL MASTER'!$H$2:$H$495,0)),"")</f>
        <v/>
      </c>
    </row>
    <row r="16" spans="1:13" ht="15" customHeight="1" x14ac:dyDescent="0.35">
      <c r="A16" s="8" t="s">
        <v>29</v>
      </c>
      <c r="B16" s="9" t="str">
        <f>IFERROR(INDEX('CONTROL MASTER'!$Q$2:$Q$495,MATCH("Control NIH Plate 2: B1",'CONTROL MASTER'!$H$2:$H$495,0)),"")</f>
        <v/>
      </c>
      <c r="C16" s="9" t="str">
        <f>IFERROR(INDEX('CONTROL MASTER'!$Q$2:$Q$495,MATCH("Control NIH Plate 2: B2",'CONTROL MASTER'!$H$2:$H$495,0)),"")</f>
        <v/>
      </c>
      <c r="D16" s="9" t="str">
        <f>IFERROR(INDEX('CONTROL MASTER'!$Q$2:$Q$495,MATCH("Control NIH Plate 2: B3",'CONTROL MASTER'!$H$2:$H$495,0)),"")</f>
        <v/>
      </c>
      <c r="E16" s="9" t="str">
        <f>IFERROR(INDEX('CONTROL MASTER'!$Q$2:$Q$495,MATCH("Control NIH Plate 2: B4",'CONTROL MASTER'!$H$2:$H$495,0)),"")</f>
        <v/>
      </c>
      <c r="F16" s="9" t="str">
        <f>IFERROR(INDEX('CONTROL MASTER'!$Q$2:$Q$495,MATCH("Control NIH Plate 2: B5",'CONTROL MASTER'!$H$2:$H$495,0)),"")</f>
        <v/>
      </c>
      <c r="G16" s="9" t="str">
        <f>IFERROR(INDEX('CONTROL MASTER'!$Q$2:$Q$495,MATCH("Control NIH Plate 2: B6",'CONTROL MASTER'!$H$2:$H$495,0)),"")</f>
        <v/>
      </c>
      <c r="H16" s="9" t="str">
        <f>IFERROR(INDEX('CONTROL MASTER'!$Q$2:$Q$495,MATCH("Control NIH Plate 2: B7",'CONTROL MASTER'!$H$2:$H$495,0)),"")</f>
        <v/>
      </c>
      <c r="I16" s="9" t="str">
        <f>IFERROR(INDEX('CONTROL MASTER'!$Q$2:$Q$495,MATCH("Control NIH Plate 2: B8",'CONTROL MASTER'!$H$2:$H$495,0)),"")</f>
        <v/>
      </c>
      <c r="J16" s="9" t="str">
        <f>IFERROR(INDEX('CONTROL MASTER'!$Q$2:$Q$495,MATCH("Control NIH Plate 2: B9",'CONTROL MASTER'!$H$2:$H$495,0)),"")</f>
        <v/>
      </c>
      <c r="K16" s="9" t="str">
        <f>IFERROR(INDEX('CONTROL MASTER'!$Q$2:$Q$495,MATCH("Control NIH Plate 2: B10",'CONTROL MASTER'!$H$2:$H$495,0)),"")</f>
        <v/>
      </c>
      <c r="L16" s="9" t="str">
        <f>IFERROR(INDEX('CONTROL MASTER'!$Q$2:$Q$495,MATCH("Control NIH Plate 2: B11",'CONTROL MASTER'!$H$2:$H$495,0)),"")</f>
        <v/>
      </c>
      <c r="M16" s="9" t="str">
        <f>IFERROR(INDEX('CONTROL MASTER'!$Q$2:$Q$495,MATCH("Control NIH Plate 2: B12",'CONTROL MASTER'!$H$2:$H$495,0)),"")</f>
        <v/>
      </c>
    </row>
    <row r="17" spans="1:13" ht="15" customHeight="1" x14ac:dyDescent="0.35">
      <c r="A17" s="8" t="s">
        <v>30</v>
      </c>
      <c r="B17" s="9" t="str">
        <f>IFERROR(INDEX('CONTROL MASTER'!$Q$2:$Q$495,MATCH("Control NIH Plate 2: C1",'CONTROL MASTER'!$H$2:$H$495,0)),"")</f>
        <v/>
      </c>
      <c r="C17" s="9" t="str">
        <f>IFERROR(INDEX('CONTROL MASTER'!$Q$2:$Q$495,MATCH("Control NIH Plate 2: C2",'CONTROL MASTER'!$H$2:$H$495,0)),"")</f>
        <v/>
      </c>
      <c r="D17" s="9" t="str">
        <f>IFERROR(INDEX('CONTROL MASTER'!$Q$2:$Q$495,MATCH("Control NIH Plate 2: C3",'CONTROL MASTER'!$H$2:$H$495,0)),"")</f>
        <v/>
      </c>
      <c r="E17" s="9" t="str">
        <f>IFERROR(INDEX('CONTROL MASTER'!$Q$2:$Q$495,MATCH("Control NIH Plate 2: C4",'CONTROL MASTER'!$H$2:$H$495,0)),"")</f>
        <v/>
      </c>
      <c r="F17" s="9" t="str">
        <f>IFERROR(INDEX('CONTROL MASTER'!$Q$2:$Q$495,MATCH("Control NIH Plate 2: C5",'CONTROL MASTER'!$H$2:$H$495,0)),"")</f>
        <v/>
      </c>
      <c r="G17" s="9" t="str">
        <f>IFERROR(INDEX('CONTROL MASTER'!$Q$2:$Q$495,MATCH("Control NIH Plate 2: C6",'CONTROL MASTER'!$H$2:$H$495,0)),"")</f>
        <v/>
      </c>
      <c r="H17" s="9" t="str">
        <f>IFERROR(INDEX('CONTROL MASTER'!$Q$2:$Q$495,MATCH("Control NIH Plate 2: C7",'CONTROL MASTER'!$H$2:$H$495,0)),"")</f>
        <v/>
      </c>
      <c r="I17" s="9" t="str">
        <f>IFERROR(INDEX('CONTROL MASTER'!$Q$2:$Q$495,MATCH("Control NIH Plate 2: C8",'CONTROL MASTER'!$H$2:$H$495,0)),"")</f>
        <v/>
      </c>
      <c r="J17" s="9" t="str">
        <f>IFERROR(INDEX('CONTROL MASTER'!$Q$2:$Q$495,MATCH("Control NIH Plate 2: C9",'CONTROL MASTER'!$H$2:$H$495,0)),"")</f>
        <v/>
      </c>
      <c r="K17" s="9" t="str">
        <f>IFERROR(INDEX('CONTROL MASTER'!$Q$2:$Q$495,MATCH("Control NIH Plate 2: C10",'CONTROL MASTER'!$H$2:$H$495,0)),"")</f>
        <v/>
      </c>
      <c r="L17" s="9" t="str">
        <f>IFERROR(INDEX('CONTROL MASTER'!$Q$2:$Q$495,MATCH("Control NIH Plate 2: C11",'CONTROL MASTER'!$H$2:$H$495,0)),"")</f>
        <v/>
      </c>
      <c r="M17" s="9" t="str">
        <f>IFERROR(INDEX('CONTROL MASTER'!$Q$2:$Q$495,MATCH("Control NIH Plate 2: C12",'CONTROL MASTER'!$H$2:$H$495,0)),"")</f>
        <v/>
      </c>
    </row>
    <row r="18" spans="1:13" ht="15" customHeight="1" x14ac:dyDescent="0.35">
      <c r="A18" s="8" t="s">
        <v>31</v>
      </c>
      <c r="B18" s="9" t="str">
        <f>IFERROR(INDEX('CONTROL MASTER'!$Q$2:$Q$495,MATCH("Control NIH Plate 2: D1",'CONTROL MASTER'!$H$2:$H$495,0)),"")</f>
        <v/>
      </c>
      <c r="C18" s="9" t="str">
        <f>IFERROR(INDEX('CONTROL MASTER'!$Q$2:$Q$495,MATCH("Control NIH Plate 2: D2",'CONTROL MASTER'!$H$2:$H$495,0)),"")</f>
        <v/>
      </c>
      <c r="D18" s="9" t="str">
        <f>IFERROR(INDEX('CONTROL MASTER'!$Q$2:$Q$495,MATCH("Control NIH Plate 2: D3",'CONTROL MASTER'!$H$2:$H$495,0)),"")</f>
        <v/>
      </c>
      <c r="E18" s="9" t="str">
        <f>IFERROR(INDEX('CONTROL MASTER'!$Q$2:$Q$495,MATCH("Control NIH Plate 2: D4",'CONTROL MASTER'!$H$2:$H$495,0)),"")</f>
        <v/>
      </c>
      <c r="F18" s="9" t="str">
        <f>IFERROR(INDEX('CONTROL MASTER'!$Q$2:$Q$495,MATCH("Control NIH Plate 2: D5",'CONTROL MASTER'!$H$2:$H$495,0)),"")</f>
        <v/>
      </c>
      <c r="G18" s="9" t="str">
        <f>IFERROR(INDEX('CONTROL MASTER'!$Q$2:$Q$495,MATCH("Control NIH Plate 2: D6",'CONTROL MASTER'!$H$2:$H$495,0)),"")</f>
        <v/>
      </c>
      <c r="H18" s="9" t="str">
        <f>IFERROR(INDEX('CONTROL MASTER'!$Q$2:$Q$495,MATCH("Control NIH Plate 2: D7",'CONTROL MASTER'!$H$2:$H$495,0)),"")</f>
        <v/>
      </c>
      <c r="I18" s="9" t="str">
        <f>IFERROR(INDEX('CONTROL MASTER'!$Q$2:$Q$495,MATCH("Control NIH Plate 2: D8",'CONTROL MASTER'!$H$2:$H$495,0)),"")</f>
        <v/>
      </c>
      <c r="J18" s="9" t="str">
        <f>IFERROR(INDEX('CONTROL MASTER'!$Q$2:$Q$495,MATCH("Control NIH Plate 2: D9",'CONTROL MASTER'!$H$2:$H$495,0)),"")</f>
        <v/>
      </c>
      <c r="K18" s="9" t="str">
        <f>IFERROR(INDEX('CONTROL MASTER'!$Q$2:$Q$495,MATCH("Control NIH Plate 2: D10",'CONTROL MASTER'!$H$2:$H$495,0)),"")</f>
        <v/>
      </c>
      <c r="L18" s="9" t="str">
        <f>IFERROR(INDEX('CONTROL MASTER'!$Q$2:$Q$495,MATCH("Control NIH Plate 2: D11",'CONTROL MASTER'!$H$2:$H$495,0)),"")</f>
        <v/>
      </c>
      <c r="M18" s="9" t="str">
        <f>IFERROR(INDEX('CONTROL MASTER'!$Q$2:$Q$495,MATCH("Control NIH Plate 2: D12",'CONTROL MASTER'!$H$2:$H$495,0)),"")</f>
        <v/>
      </c>
    </row>
    <row r="19" spans="1:13" ht="15" customHeight="1" x14ac:dyDescent="0.35">
      <c r="A19" s="8" t="s">
        <v>32</v>
      </c>
      <c r="B19" s="9" t="str">
        <f>IFERROR(INDEX('CONTROL MASTER'!$Q$2:$Q$495,MATCH("Control NIH Plate 2: E1",'CONTROL MASTER'!$H$2:$H$495,0)),"")</f>
        <v/>
      </c>
      <c r="C19" s="9" t="str">
        <f>IFERROR(INDEX('CONTROL MASTER'!$Q$2:$Q$495,MATCH("Control NIH Plate 2: E2",'CONTROL MASTER'!$H$2:$H$495,0)),"")</f>
        <v/>
      </c>
      <c r="D19" s="9" t="str">
        <f>IFERROR(INDEX('CONTROL MASTER'!$Q$2:$Q$495,MATCH("Control NIH Plate 2: E3",'CONTROL MASTER'!$H$2:$H$495,0)),"")</f>
        <v/>
      </c>
      <c r="E19" s="9" t="str">
        <f>IFERROR(INDEX('CONTROL MASTER'!$Q$2:$Q$495,MATCH("Control NIH Plate 2: E4",'CONTROL MASTER'!$H$2:$H$495,0)),"")</f>
        <v/>
      </c>
      <c r="F19" s="9" t="str">
        <f>IFERROR(INDEX('CONTROL MASTER'!$Q$2:$Q$495,MATCH("Control NIH Plate 2: E5",'CONTROL MASTER'!$H$2:$H$495,0)),"")</f>
        <v/>
      </c>
      <c r="G19" s="9" t="str">
        <f>IFERROR(INDEX('CONTROL MASTER'!$Q$2:$Q$495,MATCH("Control NIH Plate 2: E6",'CONTROL MASTER'!$H$2:$H$495,0)),"")</f>
        <v/>
      </c>
      <c r="H19" s="9" t="str">
        <f>IFERROR(INDEX('CONTROL MASTER'!$Q$2:$Q$495,MATCH("Control NIH Plate 2: E7",'CONTROL MASTER'!$H$2:$H$495,0)),"")</f>
        <v/>
      </c>
      <c r="I19" s="9" t="str">
        <f>IFERROR(INDEX('CONTROL MASTER'!$Q$2:$Q$495,MATCH("Control NIH Plate 2: E8",'CONTROL MASTER'!$H$2:$H$495,0)),"")</f>
        <v/>
      </c>
      <c r="J19" s="9" t="str">
        <f>IFERROR(INDEX('CONTROL MASTER'!$Q$2:$Q$495,MATCH("Control NIH Plate 2: E9",'CONTROL MASTER'!$H$2:$H$495,0)),"")</f>
        <v/>
      </c>
      <c r="K19" s="9" t="str">
        <f>IFERROR(INDEX('CONTROL MASTER'!$Q$2:$Q$495,MATCH("Control NIH Plate 2: E10",'CONTROL MASTER'!$H$2:$H$495,0)),"")</f>
        <v/>
      </c>
      <c r="L19" s="9" t="str">
        <f>IFERROR(INDEX('CONTROL MASTER'!$Q$2:$Q$495,MATCH("Control NIH Plate 2: E11",'CONTROL MASTER'!$H$2:$H$495,0)),"")</f>
        <v/>
      </c>
      <c r="M19" s="9" t="str">
        <f>IFERROR(INDEX('CONTROL MASTER'!$Q$2:$Q$495,MATCH("Control NIH Plate 2: E12",'CONTROL MASTER'!$H$2:$H$495,0)),"")</f>
        <v/>
      </c>
    </row>
    <row r="20" spans="1:13" ht="15" customHeight="1" x14ac:dyDescent="0.35">
      <c r="A20" s="8" t="s">
        <v>33</v>
      </c>
      <c r="B20" s="9" t="str">
        <f>IFERROR(INDEX('CONTROL MASTER'!$Q$2:$Q$495,MATCH("Control NIH Plate 2: F1",'CONTROL MASTER'!$H$2:$H$495,0)),"")</f>
        <v/>
      </c>
      <c r="C20" s="9" t="str">
        <f>IFERROR(INDEX('CONTROL MASTER'!$Q$2:$Q$495,MATCH("Control NIH Plate 2: F2",'CONTROL MASTER'!$H$2:$H$495,0)),"")</f>
        <v/>
      </c>
      <c r="D20" s="9" t="str">
        <f>IFERROR(INDEX('CONTROL MASTER'!$Q$2:$Q$495,MATCH("Control NIH Plate 2: F3",'CONTROL MASTER'!$H$2:$H$495,0)),"")</f>
        <v/>
      </c>
      <c r="E20" s="9" t="str">
        <f>IFERROR(INDEX('CONTROL MASTER'!$Q$2:$Q$495,MATCH("Control NIH Plate 2: F4",'CONTROL MASTER'!$H$2:$H$495,0)),"")</f>
        <v/>
      </c>
      <c r="F20" s="9" t="str">
        <f>IFERROR(INDEX('CONTROL MASTER'!$Q$2:$Q$495,MATCH("Control NIH Plate 2: F5",'CONTROL MASTER'!$H$2:$H$495,0)),"")</f>
        <v/>
      </c>
      <c r="G20" s="9" t="str">
        <f>IFERROR(INDEX('CONTROL MASTER'!$Q$2:$Q$495,MATCH("Control NIH Plate 2: F6",'CONTROL MASTER'!$H$2:$H$495,0)),"")</f>
        <v/>
      </c>
      <c r="H20" s="9" t="str">
        <f>IFERROR(INDEX('CONTROL MASTER'!$Q$2:$Q$495,MATCH("Control NIH Plate 2: F7",'CONTROL MASTER'!$H$2:$H$495,0)),"")</f>
        <v/>
      </c>
      <c r="I20" s="9" t="str">
        <f>IFERROR(INDEX('CONTROL MASTER'!$Q$2:$Q$495,MATCH("Control NIH Plate 2: F8",'CONTROL MASTER'!$H$2:$H$495,0)),"")</f>
        <v/>
      </c>
      <c r="J20" s="9" t="str">
        <f>IFERROR(INDEX('CONTROL MASTER'!$Q$2:$Q$495,MATCH("Control NIH Plate 2: F9",'CONTROL MASTER'!$H$2:$H$495,0)),"")</f>
        <v/>
      </c>
      <c r="K20" s="9" t="str">
        <f>IFERROR(INDEX('CONTROL MASTER'!$Q$2:$Q$495,MATCH("Control NIH Plate 2: F10",'CONTROL MASTER'!$H$2:$H$495,0)),"")</f>
        <v/>
      </c>
      <c r="L20" s="9" t="str">
        <f>IFERROR(INDEX('CONTROL MASTER'!$Q$2:$Q$495,MATCH("Control NIH Plate 2: F11",'CONTROL MASTER'!$H$2:$H$495,0)),"")</f>
        <v/>
      </c>
      <c r="M20" s="9" t="str">
        <f>IFERROR(INDEX('CONTROL MASTER'!$Q$2:$Q$495,MATCH("Control NIH Plate 2: F12",'CONTROL MASTER'!$H$2:$H$495,0)),"")</f>
        <v/>
      </c>
    </row>
    <row r="21" spans="1:13" ht="15" customHeight="1" x14ac:dyDescent="0.35">
      <c r="A21" s="8" t="s">
        <v>34</v>
      </c>
      <c r="B21" s="9" t="str">
        <f>IFERROR(INDEX('CONTROL MASTER'!$Q$2:$Q$495,MATCH("Control NIH Plate 2: G1",'CONTROL MASTER'!$H$2:$H$495,0)),"")</f>
        <v/>
      </c>
      <c r="C21" s="9" t="str">
        <f>IFERROR(INDEX('CONTROL MASTER'!$Q$2:$Q$495,MATCH("Control NIH Plate 2: G2",'CONTROL MASTER'!$H$2:$H$495,0)),"")</f>
        <v/>
      </c>
      <c r="D21" s="9" t="str">
        <f>IFERROR(INDEX('CONTROL MASTER'!$Q$2:$Q$495,MATCH("Control NIH Plate 2: G3",'CONTROL MASTER'!$H$2:$H$495,0)),"")</f>
        <v/>
      </c>
      <c r="E21" s="9" t="str">
        <f>IFERROR(INDEX('CONTROL MASTER'!$Q$2:$Q$495,MATCH("Control NIH Plate 2: G4",'CONTROL MASTER'!$H$2:$H$495,0)),"")</f>
        <v/>
      </c>
      <c r="F21" s="9" t="str">
        <f>IFERROR(INDEX('CONTROL MASTER'!$Q$2:$Q$495,MATCH("Control NIH Plate 2: G5",'CONTROL MASTER'!$H$2:$H$495,0)),"")</f>
        <v/>
      </c>
      <c r="G21" s="9" t="str">
        <f>IFERROR(INDEX('CONTROL MASTER'!$Q$2:$Q$495,MATCH("Control NIH Plate 2: G6",'CONTROL MASTER'!$H$2:$H$495,0)),"")</f>
        <v/>
      </c>
      <c r="H21" s="9" t="str">
        <f>IFERROR(INDEX('CONTROL MASTER'!$Q$2:$Q$495,MATCH("Control NIH Plate 2: G7",'CONTROL MASTER'!$H$2:$H$495,0)),"")</f>
        <v/>
      </c>
      <c r="I21" s="9" t="str">
        <f>IFERROR(INDEX('CONTROL MASTER'!$Q$2:$Q$495,MATCH("Control NIH Plate 2: G8",'CONTROL MASTER'!$H$2:$H$495,0)),"")</f>
        <v/>
      </c>
      <c r="J21" s="9" t="str">
        <f>IFERROR(INDEX('CONTROL MASTER'!$Q$2:$Q$495,MATCH("Control NIH Plate 2: G9",'CONTROL MASTER'!$H$2:$H$495,0)),"")</f>
        <v/>
      </c>
      <c r="K21" s="9" t="str">
        <f>IFERROR(INDEX('CONTROL MASTER'!$Q$2:$Q$495,MATCH("Control NIH Plate 2: G10",'CONTROL MASTER'!$H$2:$H$495,0)),"")</f>
        <v/>
      </c>
      <c r="L21" s="9" t="str">
        <f>IFERROR(INDEX('CONTROL MASTER'!$Q$2:$Q$495,MATCH("Control NIH Plate 2: G11",'CONTROL MASTER'!$H$2:$H$495,0)),"")</f>
        <v/>
      </c>
      <c r="M21" s="9" t="str">
        <f>IFERROR(INDEX('CONTROL MASTER'!$Q$2:$Q$495,MATCH("Control NIH Plate 2: G12",'CONTROL MASTER'!$H$2:$H$495,0)),"")</f>
        <v/>
      </c>
    </row>
    <row r="22" spans="1:13" ht="15" customHeight="1" x14ac:dyDescent="0.35">
      <c r="A22" s="8" t="s">
        <v>35</v>
      </c>
      <c r="B22" s="9" t="str">
        <f>IFERROR(INDEX('CONTROL MASTER'!$Q$2:$Q$495,MATCH("Control NIH Plate 2: H1",'CONTROL MASTER'!$H$2:$H$495,0)),"")</f>
        <v/>
      </c>
      <c r="C22" s="9" t="str">
        <f>IFERROR(INDEX('CONTROL MASTER'!$Q$2:$Q$495,MATCH("Control NIH Plate 2: H2",'CONTROL MASTER'!$H$2:$H$495,0)),"")</f>
        <v/>
      </c>
      <c r="D22" s="9" t="str">
        <f>IFERROR(INDEX('CONTROL MASTER'!$Q$2:$Q$495,MATCH("Control NIH Plate 2: H3",'CONTROL MASTER'!$H$2:$H$495,0)),"")</f>
        <v/>
      </c>
      <c r="E22" s="9" t="str">
        <f>IFERROR(INDEX('CONTROL MASTER'!$Q$2:$Q$495,MATCH("Control NIH Plate 2: H4",'CONTROL MASTER'!$H$2:$H$495,0)),"")</f>
        <v/>
      </c>
      <c r="F22" s="9" t="str">
        <f>IFERROR(INDEX('CONTROL MASTER'!$Q$2:$Q$495,MATCH("Control NIH Plate 2: H5",'CONTROL MASTER'!$H$2:$H$495,0)),"")</f>
        <v/>
      </c>
      <c r="G22" s="9" t="str">
        <f>IFERROR(INDEX('CONTROL MASTER'!$Q$2:$Q$495,MATCH("Control NIH Plate 2: H6",'CONTROL MASTER'!$H$2:$H$495,0)),"")</f>
        <v/>
      </c>
      <c r="H22" s="9" t="str">
        <f>IFERROR(INDEX('CONTROL MASTER'!$Q$2:$Q$495,MATCH("Control NIH Plate 2: H7",'CONTROL MASTER'!$H$2:$H$495,0)),"")</f>
        <v/>
      </c>
      <c r="I22" s="9" t="str">
        <f>IFERROR(INDEX('CONTROL MASTER'!$Q$2:$Q$495,MATCH("Control NIH Plate 2: H8",'CONTROL MASTER'!$H$2:$H$495,0)),"")</f>
        <v/>
      </c>
      <c r="J22" s="9" t="str">
        <f>IFERROR(INDEX('CONTROL MASTER'!$Q$2:$Q$495,MATCH("Control NIH Plate 2: H9",'CONTROL MASTER'!$H$2:$H$495,0)),"")</f>
        <v/>
      </c>
      <c r="K22" s="9" t="str">
        <f>IFERROR(INDEX('CONTROL MASTER'!$Q$2:$Q$495,MATCH("Control NIH Plate 2: H10",'CONTROL MASTER'!$H$2:$H$495,0)),"")</f>
        <v/>
      </c>
      <c r="L22" s="9" t="str">
        <f>IFERROR(INDEX('CONTROL MASTER'!$Q$2:$Q$495,MATCH("Control NIH Plate 2: H11",'CONTROL MASTER'!$H$2:$H$495,0)),"")</f>
        <v/>
      </c>
      <c r="M22" s="9" t="str">
        <f>IFERROR(INDEX('CONTROL MASTER'!$Q$2:$Q$495,MATCH("Control NIH Plate 2: H12",'CONTROL MASTER'!$H$2:$H$495,0)),"")</f>
        <v/>
      </c>
    </row>
    <row r="25" spans="1:13" ht="15" customHeight="1" x14ac:dyDescent="0.35">
      <c r="A25" s="12" t="s">
        <v>129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</row>
    <row r="26" spans="1:13" ht="15" customHeight="1" x14ac:dyDescent="0.35">
      <c r="B26" s="8">
        <v>1</v>
      </c>
      <c r="C26" s="8">
        <v>2</v>
      </c>
      <c r="D26" s="8">
        <v>3</v>
      </c>
      <c r="E26" s="8">
        <v>4</v>
      </c>
      <c r="F26" s="8">
        <v>5</v>
      </c>
      <c r="G26" s="8">
        <v>6</v>
      </c>
      <c r="H26" s="8">
        <v>7</v>
      </c>
      <c r="I26" s="8">
        <v>8</v>
      </c>
      <c r="J26" s="8">
        <v>9</v>
      </c>
      <c r="K26" s="8">
        <v>10</v>
      </c>
      <c r="L26" s="8">
        <v>11</v>
      </c>
      <c r="M26" s="8">
        <v>12</v>
      </c>
    </row>
    <row r="27" spans="1:13" ht="15" customHeight="1" x14ac:dyDescent="0.35">
      <c r="A27" s="8" t="s">
        <v>28</v>
      </c>
      <c r="B27" s="9" t="str">
        <f>IFERROR(INDEX('CONTROL MASTER'!$Q$2:$Q$495,MATCH("Control NIH Plate 3: A1",'CONTROL MASTER'!$H$2:$H$495,0)),"")</f>
        <v/>
      </c>
      <c r="C27" s="9" t="str">
        <f>IFERROR(INDEX('CONTROL MASTER'!$Q$2:$Q$495,MATCH("Control NIH Plate 3: A2",'CONTROL MASTER'!$H$2:$H$495,0)),"")</f>
        <v/>
      </c>
      <c r="D27" s="9" t="str">
        <f>IFERROR(INDEX('CONTROL MASTER'!$Q$2:$Q$495,MATCH("Control NIH Plate 3: A3",'CONTROL MASTER'!$H$2:$H$495,0)),"")</f>
        <v/>
      </c>
      <c r="E27" s="9" t="str">
        <f>IFERROR(INDEX('CONTROL MASTER'!$Q$2:$Q$495,MATCH("Control NIH Plate 3: A4",'CONTROL MASTER'!$H$2:$H$495,0)),"")</f>
        <v/>
      </c>
      <c r="F27" s="9" t="str">
        <f>IFERROR(INDEX('CONTROL MASTER'!$Q$2:$Q$495,MATCH("Control NIH Plate 3: A5",'CONTROL MASTER'!$H$2:$H$495,0)),"")</f>
        <v/>
      </c>
      <c r="G27" s="9" t="str">
        <f>IFERROR(INDEX('CONTROL MASTER'!$Q$2:$Q$495,MATCH("Control NIH Plate 3: A6",'CONTROL MASTER'!$H$2:$H$495,0)),"")</f>
        <v/>
      </c>
      <c r="H27" s="9" t="str">
        <f>IFERROR(INDEX('CONTROL MASTER'!$Q$2:$Q$495,MATCH("Control NIH Plate 3: A7",'CONTROL MASTER'!$H$2:$H$495,0)),"")</f>
        <v/>
      </c>
      <c r="I27" s="9" t="str">
        <f>IFERROR(INDEX('CONTROL MASTER'!$Q$2:$Q$495,MATCH("Control NIH Plate 3: A8",'CONTROL MASTER'!$H$2:$H$495,0)),"")</f>
        <v/>
      </c>
      <c r="J27" s="9" t="str">
        <f>IFERROR(INDEX('CONTROL MASTER'!$Q$2:$Q$495,MATCH("Control NIH Plate 3: A9",'CONTROL MASTER'!$H$2:$H$495,0)),"")</f>
        <v/>
      </c>
      <c r="K27" s="9" t="str">
        <f>IFERROR(INDEX('CONTROL MASTER'!$Q$2:$Q$495,MATCH("Control NIH Plate 3: A10",'CONTROL MASTER'!$H$2:$H$495,0)),"")</f>
        <v/>
      </c>
      <c r="L27" s="9" t="str">
        <f>IFERROR(INDEX('CONTROL MASTER'!$Q$2:$Q$495,MATCH("Control NIH Plate 3: A11",'CONTROL MASTER'!$H$2:$H$495,0)),"")</f>
        <v/>
      </c>
      <c r="M27" s="9" t="str">
        <f>IFERROR(INDEX('CONTROL MASTER'!$Q$2:$Q$495,MATCH("Control NIH Plate 3: A12",'CONTROL MASTER'!$H$2:$H$495,0)),"")</f>
        <v/>
      </c>
    </row>
    <row r="28" spans="1:13" ht="15" customHeight="1" x14ac:dyDescent="0.35">
      <c r="A28" s="8" t="s">
        <v>29</v>
      </c>
      <c r="B28" s="9" t="str">
        <f>IFERROR(INDEX('CONTROL MASTER'!$Q$2:$Q$495,MATCH("Control NIH Plate 3: B1",'CONTROL MASTER'!$H$2:$H$495,0)),"")</f>
        <v/>
      </c>
      <c r="C28" s="9" t="str">
        <f>IFERROR(INDEX('CONTROL MASTER'!$Q$2:$Q$495,MATCH("Control NIH Plate 3: B2",'CONTROL MASTER'!$H$2:$H$495,0)),"")</f>
        <v/>
      </c>
      <c r="D28" s="9" t="str">
        <f>IFERROR(INDEX('CONTROL MASTER'!$Q$2:$Q$495,MATCH("Control NIH Plate 3: B3",'CONTROL MASTER'!$H$2:$H$495,0)),"")</f>
        <v/>
      </c>
      <c r="E28" s="9" t="str">
        <f>IFERROR(INDEX('CONTROL MASTER'!$Q$2:$Q$495,MATCH("Control NIH Plate 3: B4",'CONTROL MASTER'!$H$2:$H$495,0)),"")</f>
        <v/>
      </c>
      <c r="F28" s="9" t="str">
        <f>IFERROR(INDEX('CONTROL MASTER'!$Q$2:$Q$495,MATCH("Control NIH Plate 3: B5",'CONTROL MASTER'!$H$2:$H$495,0)),"")</f>
        <v/>
      </c>
      <c r="G28" s="9" t="str">
        <f>IFERROR(INDEX('CONTROL MASTER'!$Q$2:$Q$495,MATCH("Control NIH Plate 3: B6",'CONTROL MASTER'!$H$2:$H$495,0)),"")</f>
        <v/>
      </c>
      <c r="H28" s="9" t="str">
        <f>IFERROR(INDEX('CONTROL MASTER'!$Q$2:$Q$495,MATCH("Control NIH Plate 3: B7",'CONTROL MASTER'!$H$2:$H$495,0)),"")</f>
        <v/>
      </c>
      <c r="I28" s="9" t="str">
        <f>IFERROR(INDEX('CONTROL MASTER'!$Q$2:$Q$495,MATCH("Control NIH Plate 3: B8",'CONTROL MASTER'!$H$2:$H$495,0)),"")</f>
        <v/>
      </c>
      <c r="J28" s="9" t="str">
        <f>IFERROR(INDEX('CONTROL MASTER'!$Q$2:$Q$495,MATCH("Control NIH Plate 3: B9",'CONTROL MASTER'!$H$2:$H$495,0)),"")</f>
        <v/>
      </c>
      <c r="K28" s="9" t="str">
        <f>IFERROR(INDEX('CONTROL MASTER'!$Q$2:$Q$495,MATCH("Control NIH Plate 3: B10",'CONTROL MASTER'!$H$2:$H$495,0)),"")</f>
        <v/>
      </c>
      <c r="L28" s="9" t="str">
        <f>IFERROR(INDEX('CONTROL MASTER'!$Q$2:$Q$495,MATCH("Control NIH Plate 3: B11",'CONTROL MASTER'!$H$2:$H$495,0)),"")</f>
        <v/>
      </c>
      <c r="M28" s="9" t="str">
        <f>IFERROR(INDEX('CONTROL MASTER'!$Q$2:$Q$495,MATCH("Control NIH Plate 3: B12",'CONTROL MASTER'!$H$2:$H$495,0)),"")</f>
        <v/>
      </c>
    </row>
    <row r="29" spans="1:13" ht="15" customHeight="1" x14ac:dyDescent="0.35">
      <c r="A29" s="8" t="s">
        <v>30</v>
      </c>
      <c r="B29" s="9" t="str">
        <f>IFERROR(INDEX('CONTROL MASTER'!$Q$2:$Q$495,MATCH("Control NIH Plate 3: C1",'CONTROL MASTER'!$H$2:$H$495,0)),"")</f>
        <v/>
      </c>
      <c r="C29" s="9" t="str">
        <f>IFERROR(INDEX('CONTROL MASTER'!$Q$2:$Q$495,MATCH("Control NIH Plate 3: C2",'CONTROL MASTER'!$H$2:$H$495,0)),"")</f>
        <v/>
      </c>
      <c r="D29" s="9" t="str">
        <f>IFERROR(INDEX('CONTROL MASTER'!$Q$2:$Q$495,MATCH("Control NIH Plate 3: C3",'CONTROL MASTER'!$H$2:$H$495,0)),"")</f>
        <v/>
      </c>
      <c r="E29" s="9" t="str">
        <f>IFERROR(INDEX('CONTROL MASTER'!$Q$2:$Q$495,MATCH("Control NIH Plate 3: C4",'CONTROL MASTER'!$H$2:$H$495,0)),"")</f>
        <v/>
      </c>
      <c r="F29" s="9" t="str">
        <f>IFERROR(INDEX('CONTROL MASTER'!$Q$2:$Q$495,MATCH("Control NIH Plate 3: C5",'CONTROL MASTER'!$H$2:$H$495,0)),"")</f>
        <v/>
      </c>
      <c r="G29" s="9" t="str">
        <f>IFERROR(INDEX('CONTROL MASTER'!$Q$2:$Q$495,MATCH("Control NIH Plate 3: C6",'CONTROL MASTER'!$H$2:$H$495,0)),"")</f>
        <v/>
      </c>
      <c r="H29" s="9" t="str">
        <f>IFERROR(INDEX('CONTROL MASTER'!$Q$2:$Q$495,MATCH("Control NIH Plate 3: C7",'CONTROL MASTER'!$H$2:$H$495,0)),"")</f>
        <v/>
      </c>
      <c r="I29" s="9" t="str">
        <f>IFERROR(INDEX('CONTROL MASTER'!$Q$2:$Q$495,MATCH("Control NIH Plate 3: C8",'CONTROL MASTER'!$H$2:$H$495,0)),"")</f>
        <v/>
      </c>
      <c r="J29" s="9" t="str">
        <f>IFERROR(INDEX('CONTROL MASTER'!$Q$2:$Q$495,MATCH("Control NIH Plate 3: C9",'CONTROL MASTER'!$H$2:$H$495,0)),"")</f>
        <v/>
      </c>
      <c r="K29" s="9" t="str">
        <f>IFERROR(INDEX('CONTROL MASTER'!$Q$2:$Q$495,MATCH("Control NIH Plate 3: C10",'CONTROL MASTER'!$H$2:$H$495,0)),"")</f>
        <v/>
      </c>
      <c r="L29" s="9" t="str">
        <f>IFERROR(INDEX('CONTROL MASTER'!$Q$2:$Q$495,MATCH("Control NIH Plate 3: C11",'CONTROL MASTER'!$H$2:$H$495,0)),"")</f>
        <v/>
      </c>
      <c r="M29" s="9" t="str">
        <f>IFERROR(INDEX('CONTROL MASTER'!$Q$2:$Q$495,MATCH("Control NIH Plate 3: C12",'CONTROL MASTER'!$H$2:$H$495,0)),"")</f>
        <v/>
      </c>
    </row>
    <row r="30" spans="1:13" ht="15" customHeight="1" x14ac:dyDescent="0.35">
      <c r="A30" s="8" t="s">
        <v>31</v>
      </c>
      <c r="B30" s="9" t="str">
        <f>IFERROR(INDEX('CONTROL MASTER'!$Q$2:$Q$495,MATCH("Control NIH Plate 3: D1",'CONTROL MASTER'!$H$2:$H$495,0)),"")</f>
        <v/>
      </c>
      <c r="C30" s="9" t="str">
        <f>IFERROR(INDEX('CONTROL MASTER'!$Q$2:$Q$495,MATCH("Control NIH Plate 3: D2",'CONTROL MASTER'!$H$2:$H$495,0)),"")</f>
        <v/>
      </c>
      <c r="D30" s="9" t="str">
        <f>IFERROR(INDEX('CONTROL MASTER'!$Q$2:$Q$495,MATCH("Control NIH Plate 3: D3",'CONTROL MASTER'!$H$2:$H$495,0)),"")</f>
        <v/>
      </c>
      <c r="E30" s="9" t="str">
        <f>IFERROR(INDEX('CONTROL MASTER'!$Q$2:$Q$495,MATCH("Control NIH Plate 3: D4",'CONTROL MASTER'!$H$2:$H$495,0)),"")</f>
        <v/>
      </c>
      <c r="F30" s="9" t="str">
        <f>IFERROR(INDEX('CONTROL MASTER'!$Q$2:$Q$495,MATCH("Control NIH Plate 3: D5",'CONTROL MASTER'!$H$2:$H$495,0)),"")</f>
        <v/>
      </c>
      <c r="G30" s="9" t="str">
        <f>IFERROR(INDEX('CONTROL MASTER'!$Q$2:$Q$495,MATCH("Control NIH Plate 3: D6",'CONTROL MASTER'!$H$2:$H$495,0)),"")</f>
        <v/>
      </c>
      <c r="H30" s="9" t="str">
        <f>IFERROR(INDEX('CONTROL MASTER'!$Q$2:$Q$495,MATCH("Control NIH Plate 3: D7",'CONTROL MASTER'!$H$2:$H$495,0)),"")</f>
        <v/>
      </c>
      <c r="I30" s="9" t="str">
        <f>IFERROR(INDEX('CONTROL MASTER'!$Q$2:$Q$495,MATCH("Control NIH Plate 3: D8",'CONTROL MASTER'!$H$2:$H$495,0)),"")</f>
        <v/>
      </c>
      <c r="J30" s="9" t="str">
        <f>IFERROR(INDEX('CONTROL MASTER'!$Q$2:$Q$495,MATCH("Control NIH Plate 3: D9",'CONTROL MASTER'!$H$2:$H$495,0)),"")</f>
        <v/>
      </c>
      <c r="K30" s="9" t="str">
        <f>IFERROR(INDEX('CONTROL MASTER'!$Q$2:$Q$495,MATCH("Control NIH Plate 3: D10",'CONTROL MASTER'!$H$2:$H$495,0)),"")</f>
        <v/>
      </c>
      <c r="L30" s="9" t="str">
        <f>IFERROR(INDEX('CONTROL MASTER'!$Q$2:$Q$495,MATCH("Control NIH Plate 3: D11",'CONTROL MASTER'!$H$2:$H$495,0)),"")</f>
        <v/>
      </c>
      <c r="M30" s="9" t="str">
        <f>IFERROR(INDEX('CONTROL MASTER'!$Q$2:$Q$495,MATCH("Control NIH Plate 3: D12",'CONTROL MASTER'!$H$2:$H$495,0)),"")</f>
        <v/>
      </c>
    </row>
    <row r="31" spans="1:13" ht="15" customHeight="1" x14ac:dyDescent="0.35">
      <c r="A31" s="8" t="s">
        <v>32</v>
      </c>
      <c r="B31" s="9" t="str">
        <f>IFERROR(INDEX('CONTROL MASTER'!$Q$2:$Q$495,MATCH("Control NIH Plate 3: E1",'CONTROL MASTER'!$H$2:$H$495,0)),"")</f>
        <v/>
      </c>
      <c r="C31" s="9" t="str">
        <f>IFERROR(INDEX('CONTROL MASTER'!$Q$2:$Q$495,MATCH("Control NIH Plate 3: E2",'CONTROL MASTER'!$H$2:$H$495,0)),"")</f>
        <v/>
      </c>
      <c r="D31" s="9" t="str">
        <f>IFERROR(INDEX('CONTROL MASTER'!$Q$2:$Q$495,MATCH("Control NIH Plate 3: E3",'CONTROL MASTER'!$H$2:$H$495,0)),"")</f>
        <v/>
      </c>
      <c r="E31" s="9" t="str">
        <f>IFERROR(INDEX('CONTROL MASTER'!$Q$2:$Q$495,MATCH("Control NIH Plate 3: E4",'CONTROL MASTER'!$H$2:$H$495,0)),"")</f>
        <v/>
      </c>
      <c r="F31" s="9" t="str">
        <f>IFERROR(INDEX('CONTROL MASTER'!$Q$2:$Q$495,MATCH("Control NIH Plate 3: E5",'CONTROL MASTER'!$H$2:$H$495,0)),"")</f>
        <v/>
      </c>
      <c r="G31" s="9" t="str">
        <f>IFERROR(INDEX('CONTROL MASTER'!$Q$2:$Q$495,MATCH("Control NIH Plate 3: E6",'CONTROL MASTER'!$H$2:$H$495,0)),"")</f>
        <v/>
      </c>
      <c r="H31" s="9" t="str">
        <f>IFERROR(INDEX('CONTROL MASTER'!$Q$2:$Q$495,MATCH("Control NIH Plate 3: E7",'CONTROL MASTER'!$H$2:$H$495,0)),"")</f>
        <v/>
      </c>
      <c r="I31" s="9" t="str">
        <f>IFERROR(INDEX('CONTROL MASTER'!$Q$2:$Q$495,MATCH("Control NIH Plate 3: E8",'CONTROL MASTER'!$H$2:$H$495,0)),"")</f>
        <v/>
      </c>
      <c r="J31" s="9" t="str">
        <f>IFERROR(INDEX('CONTROL MASTER'!$Q$2:$Q$495,MATCH("Control NIH Plate 3: E9",'CONTROL MASTER'!$H$2:$H$495,0)),"")</f>
        <v/>
      </c>
      <c r="K31" s="9" t="str">
        <f>IFERROR(INDEX('CONTROL MASTER'!$Q$2:$Q$495,MATCH("Control NIH Plate 3: E10",'CONTROL MASTER'!$H$2:$H$495,0)),"")</f>
        <v/>
      </c>
      <c r="L31" s="9" t="str">
        <f>IFERROR(INDEX('CONTROL MASTER'!$Q$2:$Q$495,MATCH("Control NIH Plate 3: E11",'CONTROL MASTER'!$H$2:$H$495,0)),"")</f>
        <v/>
      </c>
      <c r="M31" s="9" t="str">
        <f>IFERROR(INDEX('CONTROL MASTER'!$Q$2:$Q$495,MATCH("Control NIH Plate 3: E12",'CONTROL MASTER'!$H$2:$H$495,0)),"")</f>
        <v/>
      </c>
    </row>
    <row r="32" spans="1:13" ht="15" customHeight="1" x14ac:dyDescent="0.35">
      <c r="A32" s="8" t="s">
        <v>33</v>
      </c>
      <c r="B32" s="9" t="str">
        <f>IFERROR(INDEX('CONTROL MASTER'!$Q$2:$Q$495,MATCH("Control NIH Plate 3: F1",'CONTROL MASTER'!$H$2:$H$495,0)),"")</f>
        <v/>
      </c>
      <c r="C32" s="9" t="str">
        <f>IFERROR(INDEX('CONTROL MASTER'!$Q$2:$Q$495,MATCH("Control NIH Plate 3: F2",'CONTROL MASTER'!$H$2:$H$495,0)),"")</f>
        <v/>
      </c>
      <c r="D32" s="9" t="str">
        <f>IFERROR(INDEX('CONTROL MASTER'!$Q$2:$Q$495,MATCH("Control NIH Plate 3: F3",'CONTROL MASTER'!$H$2:$H$495,0)),"")</f>
        <v/>
      </c>
      <c r="E32" s="9" t="str">
        <f>IFERROR(INDEX('CONTROL MASTER'!$Q$2:$Q$495,MATCH("Control NIH Plate 3: F4",'CONTROL MASTER'!$H$2:$H$495,0)),"")</f>
        <v/>
      </c>
      <c r="F32" s="9" t="str">
        <f>IFERROR(INDEX('CONTROL MASTER'!$Q$2:$Q$495,MATCH("Control NIH Plate 3: F5",'CONTROL MASTER'!$H$2:$H$495,0)),"")</f>
        <v/>
      </c>
      <c r="G32" s="9" t="str">
        <f>IFERROR(INDEX('CONTROL MASTER'!$Q$2:$Q$495,MATCH("Control NIH Plate 3: F6",'CONTROL MASTER'!$H$2:$H$495,0)),"")</f>
        <v/>
      </c>
      <c r="H32" s="9" t="str">
        <f>IFERROR(INDEX('CONTROL MASTER'!$Q$2:$Q$495,MATCH("Control NIH Plate 3: F7",'CONTROL MASTER'!$H$2:$H$495,0)),"")</f>
        <v/>
      </c>
      <c r="I32" s="9" t="str">
        <f>IFERROR(INDEX('CONTROL MASTER'!$Q$2:$Q$495,MATCH("Control NIH Plate 3: F8",'CONTROL MASTER'!$H$2:$H$495,0)),"")</f>
        <v/>
      </c>
      <c r="J32" s="9" t="str">
        <f>IFERROR(INDEX('CONTROL MASTER'!$Q$2:$Q$495,MATCH("Control NIH Plate 3: F9",'CONTROL MASTER'!$H$2:$H$495,0)),"")</f>
        <v/>
      </c>
      <c r="K32" s="9" t="str">
        <f>IFERROR(INDEX('CONTROL MASTER'!$Q$2:$Q$495,MATCH("Control NIH Plate 3: F10",'CONTROL MASTER'!$H$2:$H$495,0)),"")</f>
        <v/>
      </c>
      <c r="L32" s="9" t="str">
        <f>IFERROR(INDEX('CONTROL MASTER'!$Q$2:$Q$495,MATCH("Control NIH Plate 3: F11",'CONTROL MASTER'!$H$2:$H$495,0)),"")</f>
        <v/>
      </c>
      <c r="M32" s="9" t="str">
        <f>IFERROR(INDEX('CONTROL MASTER'!$Q$2:$Q$495,MATCH("Control NIH Plate 3: F12",'CONTROL MASTER'!$H$2:$H$495,0)),"")</f>
        <v/>
      </c>
    </row>
    <row r="33" spans="1:13" ht="15" customHeight="1" x14ac:dyDescent="0.35">
      <c r="A33" s="8" t="s">
        <v>34</v>
      </c>
      <c r="B33" s="9" t="str">
        <f>IFERROR(INDEX('CONTROL MASTER'!$Q$2:$Q$495,MATCH("Control NIH Plate 3: G1",'CONTROL MASTER'!$H$2:$H$495,0)),"")</f>
        <v/>
      </c>
      <c r="C33" s="9" t="str">
        <f>IFERROR(INDEX('CONTROL MASTER'!$Q$2:$Q$495,MATCH("Control NIH Plate 3: G2",'CONTROL MASTER'!$H$2:$H$495,0)),"")</f>
        <v/>
      </c>
      <c r="D33" s="9" t="str">
        <f>IFERROR(INDEX('CONTROL MASTER'!$Q$2:$Q$495,MATCH("Control NIH Plate 3: G3",'CONTROL MASTER'!$H$2:$H$495,0)),"")</f>
        <v/>
      </c>
      <c r="E33" s="9" t="str">
        <f>IFERROR(INDEX('CONTROL MASTER'!$Q$2:$Q$495,MATCH("Control NIH Plate 3: G4",'CONTROL MASTER'!$H$2:$H$495,0)),"")</f>
        <v/>
      </c>
      <c r="F33" s="9" t="str">
        <f>IFERROR(INDEX('CONTROL MASTER'!$Q$2:$Q$495,MATCH("Control NIH Plate 3: G5",'CONTROL MASTER'!$H$2:$H$495,0)),"")</f>
        <v/>
      </c>
      <c r="G33" s="9" t="str">
        <f>IFERROR(INDEX('CONTROL MASTER'!$Q$2:$Q$495,MATCH("Control NIH Plate 3: G6",'CONTROL MASTER'!$H$2:$H$495,0)),"")</f>
        <v/>
      </c>
      <c r="H33" s="9" t="str">
        <f>IFERROR(INDEX('CONTROL MASTER'!$Q$2:$Q$495,MATCH("Control NIH Plate 3: G7",'CONTROL MASTER'!$H$2:$H$495,0)),"")</f>
        <v/>
      </c>
      <c r="I33" s="9" t="str">
        <f>IFERROR(INDEX('CONTROL MASTER'!$Q$2:$Q$495,MATCH("Control NIH Plate 3: G8",'CONTROL MASTER'!$H$2:$H$495,0)),"")</f>
        <v/>
      </c>
      <c r="J33" s="9" t="str">
        <f>IFERROR(INDEX('CONTROL MASTER'!$Q$2:$Q$495,MATCH("Control NIH Plate 3: G9",'CONTROL MASTER'!$H$2:$H$495,0)),"")</f>
        <v/>
      </c>
      <c r="K33" s="9" t="str">
        <f>IFERROR(INDEX('CONTROL MASTER'!$Q$2:$Q$495,MATCH("Control NIH Plate 3: G10",'CONTROL MASTER'!$H$2:$H$495,0)),"")</f>
        <v/>
      </c>
      <c r="L33" s="9" t="str">
        <f>IFERROR(INDEX('CONTROL MASTER'!$Q$2:$Q$495,MATCH("Control NIH Plate 3: G11",'CONTROL MASTER'!$H$2:$H$495,0)),"")</f>
        <v/>
      </c>
      <c r="M33" s="9" t="str">
        <f>IFERROR(INDEX('CONTROL MASTER'!$Q$2:$Q$495,MATCH("Control NIH Plate 3: G12",'CONTROL MASTER'!$H$2:$H$495,0)),"")</f>
        <v/>
      </c>
    </row>
    <row r="34" spans="1:13" ht="15" customHeight="1" x14ac:dyDescent="0.35">
      <c r="A34" s="8" t="s">
        <v>35</v>
      </c>
      <c r="B34" s="9" t="str">
        <f>IFERROR(INDEX('CONTROL MASTER'!$Q$2:$Q$495,MATCH("Control NIH Plate 3: H1",'CONTROL MASTER'!$H$2:$H$495,0)),"")</f>
        <v/>
      </c>
      <c r="C34" s="9" t="str">
        <f>IFERROR(INDEX('CONTROL MASTER'!$Q$2:$Q$495,MATCH("Control NIH Plate 3: H2",'CONTROL MASTER'!$H$2:$H$495,0)),"")</f>
        <v/>
      </c>
      <c r="D34" s="9" t="str">
        <f>IFERROR(INDEX('CONTROL MASTER'!$Q$2:$Q$495,MATCH("Control NIH Plate 3: H3",'CONTROL MASTER'!$H$2:$H$495,0)),"")</f>
        <v/>
      </c>
      <c r="E34" s="9" t="str">
        <f>IFERROR(INDEX('CONTROL MASTER'!$Q$2:$Q$495,MATCH("Control NIH Plate 3: H4",'CONTROL MASTER'!$H$2:$H$495,0)),"")</f>
        <v/>
      </c>
      <c r="F34" s="9" t="str">
        <f>IFERROR(INDEX('CONTROL MASTER'!$Q$2:$Q$495,MATCH("Control NIH Plate 3: H5",'CONTROL MASTER'!$H$2:$H$495,0)),"")</f>
        <v/>
      </c>
      <c r="G34" s="9" t="str">
        <f>IFERROR(INDEX('CONTROL MASTER'!$Q$2:$Q$495,MATCH("Control NIH Plate 3: H6",'CONTROL MASTER'!$H$2:$H$495,0)),"")</f>
        <v/>
      </c>
      <c r="H34" s="9" t="str">
        <f>IFERROR(INDEX('CONTROL MASTER'!$Q$2:$Q$495,MATCH("Control NIH Plate 3: H7",'CONTROL MASTER'!$H$2:$H$495,0)),"")</f>
        <v/>
      </c>
      <c r="I34" s="9" t="str">
        <f>IFERROR(INDEX('CONTROL MASTER'!$Q$2:$Q$495,MATCH("Control NIH Plate 3: H8",'CONTROL MASTER'!$H$2:$H$495,0)),"")</f>
        <v/>
      </c>
      <c r="J34" s="9" t="str">
        <f>IFERROR(INDEX('CONTROL MASTER'!$Q$2:$Q$495,MATCH("Control NIH Plate 3: H9",'CONTROL MASTER'!$H$2:$H$495,0)),"")</f>
        <v/>
      </c>
      <c r="K34" s="9" t="str">
        <f>IFERROR(INDEX('CONTROL MASTER'!$Q$2:$Q$495,MATCH("Control NIH Plate 3: H10",'CONTROL MASTER'!$H$2:$H$495,0)),"")</f>
        <v/>
      </c>
      <c r="L34" s="9" t="str">
        <f>IFERROR(INDEX('CONTROL MASTER'!$Q$2:$Q$495,MATCH("Control NIH Plate 3: H11",'CONTROL MASTER'!$H$2:$H$495,0)),"")</f>
        <v/>
      </c>
      <c r="M34" s="9" t="str">
        <f>IFERROR(INDEX('CONTROL MASTER'!$Q$2:$Q$495,MATCH("Control NIH Plate 3: H12",'CONTROL MASTER'!$H$2:$H$495,0)),"")</f>
        <v/>
      </c>
    </row>
    <row r="37" spans="1:13" ht="15" customHeight="1" x14ac:dyDescent="0.35">
      <c r="A37" s="12" t="s">
        <v>130</v>
      </c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</row>
    <row r="38" spans="1:13" ht="15" customHeight="1" x14ac:dyDescent="0.35">
      <c r="B38" s="8">
        <v>1</v>
      </c>
      <c r="C38" s="8">
        <v>2</v>
      </c>
      <c r="D38" s="8">
        <v>3</v>
      </c>
      <c r="E38" s="8">
        <v>4</v>
      </c>
      <c r="F38" s="8">
        <v>5</v>
      </c>
      <c r="G38" s="8">
        <v>6</v>
      </c>
      <c r="H38" s="8">
        <v>7</v>
      </c>
      <c r="I38" s="8">
        <v>8</v>
      </c>
      <c r="J38" s="8">
        <v>9</v>
      </c>
      <c r="K38" s="8">
        <v>10</v>
      </c>
      <c r="L38" s="8">
        <v>11</v>
      </c>
      <c r="M38" s="8">
        <v>12</v>
      </c>
    </row>
    <row r="39" spans="1:13" ht="15" customHeight="1" x14ac:dyDescent="0.35">
      <c r="A39" s="8" t="s">
        <v>28</v>
      </c>
      <c r="B39" s="9" t="str">
        <f>IFERROR(INDEX('CONTROL MASTER'!$Q$2:$Q$495,MATCH("Control NIH Plate 4: A1",'CONTROL MASTER'!$H$2:$H$495,0)),"")</f>
        <v/>
      </c>
      <c r="C39" s="9" t="str">
        <f>IFERROR(INDEX('CONTROL MASTER'!$Q$2:$Q$495,MATCH("Control NIH Plate 4: A2",'CONTROL MASTER'!$H$2:$H$495,0)),"")</f>
        <v/>
      </c>
      <c r="D39" s="9" t="str">
        <f>IFERROR(INDEX('CONTROL MASTER'!$Q$2:$Q$495,MATCH("Control NIH Plate 4: A3",'CONTROL MASTER'!$H$2:$H$495,0)),"")</f>
        <v/>
      </c>
      <c r="E39" s="9" t="str">
        <f>IFERROR(INDEX('CONTROL MASTER'!$Q$2:$Q$495,MATCH("Control NIH Plate 4: A4",'CONTROL MASTER'!$H$2:$H$495,0)),"")</f>
        <v/>
      </c>
      <c r="F39" s="9" t="str">
        <f>IFERROR(INDEX('CONTROL MASTER'!$Q$2:$Q$495,MATCH("Control NIH Plate 4: A5",'CONTROL MASTER'!$H$2:$H$495,0)),"")</f>
        <v/>
      </c>
      <c r="G39" s="9" t="str">
        <f>IFERROR(INDEX('CONTROL MASTER'!$Q$2:$Q$495,MATCH("Control NIH Plate 4: A6",'CONTROL MASTER'!$H$2:$H$495,0)),"")</f>
        <v/>
      </c>
      <c r="H39" s="9" t="str">
        <f>IFERROR(INDEX('CONTROL MASTER'!$Q$2:$Q$495,MATCH("Control NIH Plate 4: A7",'CONTROL MASTER'!$H$2:$H$495,0)),"")</f>
        <v/>
      </c>
      <c r="I39" s="9" t="str">
        <f>IFERROR(INDEX('CONTROL MASTER'!$Q$2:$Q$495,MATCH("Control NIH Plate 4: A8",'CONTROL MASTER'!$H$2:$H$495,0)),"")</f>
        <v/>
      </c>
      <c r="J39" s="9" t="str">
        <f>IFERROR(INDEX('CONTROL MASTER'!$Q$2:$Q$495,MATCH("Control NIH Plate 4: A9",'CONTROL MASTER'!$H$2:$H$495,0)),"")</f>
        <v/>
      </c>
      <c r="K39" s="9" t="str">
        <f>IFERROR(INDEX('CONTROL MASTER'!$Q$2:$Q$495,MATCH("Control NIH Plate 4: A10",'CONTROL MASTER'!$H$2:$H$495,0)),"")</f>
        <v/>
      </c>
      <c r="L39" s="9" t="str">
        <f>IFERROR(INDEX('CONTROL MASTER'!$Q$2:$Q$495,MATCH("Control NIH Plate 4: A11",'CONTROL MASTER'!$H$2:$H$495,0)),"")</f>
        <v/>
      </c>
      <c r="M39" s="9" t="str">
        <f>IFERROR(INDEX('CONTROL MASTER'!$Q$2:$Q$495,MATCH("Control NIH Plate 4: A12",'CONTROL MASTER'!$H$2:$H$495,0)),"")</f>
        <v/>
      </c>
    </row>
    <row r="40" spans="1:13" ht="15" customHeight="1" x14ac:dyDescent="0.35">
      <c r="A40" s="8" t="s">
        <v>29</v>
      </c>
      <c r="B40" s="9" t="str">
        <f>IFERROR(INDEX('CONTROL MASTER'!$Q$2:$Q$495,MATCH("Control NIH Plate 4: B1",'CONTROL MASTER'!$H$2:$H$495,0)),"")</f>
        <v/>
      </c>
      <c r="C40" s="9" t="str">
        <f>IFERROR(INDEX('CONTROL MASTER'!$Q$2:$Q$495,MATCH("Control NIH Plate 4: B2",'CONTROL MASTER'!$H$2:$H$495,0)),"")</f>
        <v/>
      </c>
      <c r="D40" s="9" t="str">
        <f>IFERROR(INDEX('CONTROL MASTER'!$Q$2:$Q$495,MATCH("Control NIH Plate 4: B3",'CONTROL MASTER'!$H$2:$H$495,0)),"")</f>
        <v/>
      </c>
      <c r="E40" s="9" t="str">
        <f>IFERROR(INDEX('CONTROL MASTER'!$Q$2:$Q$495,MATCH("Control NIH Plate 4: B4",'CONTROL MASTER'!$H$2:$H$495,0)),"")</f>
        <v/>
      </c>
      <c r="F40" s="9" t="str">
        <f>IFERROR(INDEX('CONTROL MASTER'!$Q$2:$Q$495,MATCH("Control NIH Plate 4: B5",'CONTROL MASTER'!$H$2:$H$495,0)),"")</f>
        <v/>
      </c>
      <c r="G40" s="9" t="str">
        <f>IFERROR(INDEX('CONTROL MASTER'!$Q$2:$Q$495,MATCH("Control NIH Plate 4: B6",'CONTROL MASTER'!$H$2:$H$495,0)),"")</f>
        <v/>
      </c>
      <c r="H40" s="9" t="str">
        <f>IFERROR(INDEX('CONTROL MASTER'!$Q$2:$Q$495,MATCH("Control NIH Plate 4: B7",'CONTROL MASTER'!$H$2:$H$495,0)),"")</f>
        <v/>
      </c>
      <c r="I40" s="9" t="str">
        <f>IFERROR(INDEX('CONTROL MASTER'!$Q$2:$Q$495,MATCH("Control NIH Plate 4: B8",'CONTROL MASTER'!$H$2:$H$495,0)),"")</f>
        <v/>
      </c>
      <c r="J40" s="9" t="str">
        <f>IFERROR(INDEX('CONTROL MASTER'!$Q$2:$Q$495,MATCH("Control NIH Plate 4: B9",'CONTROL MASTER'!$H$2:$H$495,0)),"")</f>
        <v/>
      </c>
      <c r="K40" s="9" t="str">
        <f>IFERROR(INDEX('CONTROL MASTER'!$Q$2:$Q$495,MATCH("Control NIH Plate 4: B10",'CONTROL MASTER'!$H$2:$H$495,0)),"")</f>
        <v/>
      </c>
      <c r="L40" s="9" t="str">
        <f>IFERROR(INDEX('CONTROL MASTER'!$Q$2:$Q$495,MATCH("Control NIH Plate 4: B11",'CONTROL MASTER'!$H$2:$H$495,0)),"")</f>
        <v/>
      </c>
      <c r="M40" s="9" t="str">
        <f>IFERROR(INDEX('CONTROL MASTER'!$Q$2:$Q$495,MATCH("Control NIH Plate 4: B12",'CONTROL MASTER'!$H$2:$H$495,0)),"")</f>
        <v/>
      </c>
    </row>
    <row r="41" spans="1:13" ht="15" customHeight="1" x14ac:dyDescent="0.35">
      <c r="A41" s="8" t="s">
        <v>30</v>
      </c>
      <c r="B41" s="9" t="str">
        <f>IFERROR(INDEX('CONTROL MASTER'!$Q$2:$Q$495,MATCH("Control NIH Plate 4: C1",'CONTROL MASTER'!$H$2:$H$495,0)),"")</f>
        <v/>
      </c>
      <c r="C41" s="9" t="str">
        <f>IFERROR(INDEX('CONTROL MASTER'!$Q$2:$Q$495,MATCH("Control NIH Plate 4: C2",'CONTROL MASTER'!$H$2:$H$495,0)),"")</f>
        <v/>
      </c>
      <c r="D41" s="9" t="str">
        <f>IFERROR(INDEX('CONTROL MASTER'!$Q$2:$Q$495,MATCH("Control NIH Plate 4: C3",'CONTROL MASTER'!$H$2:$H$495,0)),"")</f>
        <v/>
      </c>
      <c r="E41" s="9" t="str">
        <f>IFERROR(INDEX('CONTROL MASTER'!$Q$2:$Q$495,MATCH("Control NIH Plate 4: C4",'CONTROL MASTER'!$H$2:$H$495,0)),"")</f>
        <v/>
      </c>
      <c r="F41" s="9" t="str">
        <f>IFERROR(INDEX('CONTROL MASTER'!$Q$2:$Q$495,MATCH("Control NIH Plate 4: C5",'CONTROL MASTER'!$H$2:$H$495,0)),"")</f>
        <v/>
      </c>
      <c r="G41" s="9" t="str">
        <f>IFERROR(INDEX('CONTROL MASTER'!$Q$2:$Q$495,MATCH("Control NIH Plate 4: C6",'CONTROL MASTER'!$H$2:$H$495,0)),"")</f>
        <v/>
      </c>
      <c r="H41" s="9" t="str">
        <f>IFERROR(INDEX('CONTROL MASTER'!$Q$2:$Q$495,MATCH("Control NIH Plate 4: C7",'CONTROL MASTER'!$H$2:$H$495,0)),"")</f>
        <v/>
      </c>
      <c r="I41" s="9" t="str">
        <f>IFERROR(INDEX('CONTROL MASTER'!$Q$2:$Q$495,MATCH("Control NIH Plate 4: C8",'CONTROL MASTER'!$H$2:$H$495,0)),"")</f>
        <v/>
      </c>
      <c r="J41" s="9" t="str">
        <f>IFERROR(INDEX('CONTROL MASTER'!$Q$2:$Q$495,MATCH("Control NIH Plate 4: C9",'CONTROL MASTER'!$H$2:$H$495,0)),"")</f>
        <v/>
      </c>
      <c r="K41" s="9" t="str">
        <f>IFERROR(INDEX('CONTROL MASTER'!$Q$2:$Q$495,MATCH("Control NIH Plate 4: C10",'CONTROL MASTER'!$H$2:$H$495,0)),"")</f>
        <v/>
      </c>
      <c r="L41" s="9" t="str">
        <f>IFERROR(INDEX('CONTROL MASTER'!$Q$2:$Q$495,MATCH("Control NIH Plate 4: C11",'CONTROL MASTER'!$H$2:$H$495,0)),"")</f>
        <v/>
      </c>
      <c r="M41" s="9" t="str">
        <f>IFERROR(INDEX('CONTROL MASTER'!$Q$2:$Q$495,MATCH("Control NIH Plate 4: C12",'CONTROL MASTER'!$H$2:$H$495,0)),"")</f>
        <v/>
      </c>
    </row>
    <row r="42" spans="1:13" ht="15" customHeight="1" x14ac:dyDescent="0.35">
      <c r="A42" s="8" t="s">
        <v>31</v>
      </c>
      <c r="B42" s="9" t="str">
        <f>IFERROR(INDEX('CONTROL MASTER'!$Q$2:$Q$495,MATCH("Control NIH Plate 4: D1",'CONTROL MASTER'!$H$2:$H$495,0)),"")</f>
        <v/>
      </c>
      <c r="C42" s="9" t="str">
        <f>IFERROR(INDEX('CONTROL MASTER'!$Q$2:$Q$495,MATCH("Control NIH Plate 4: D2",'CONTROL MASTER'!$H$2:$H$495,0)),"")</f>
        <v/>
      </c>
      <c r="D42" s="9" t="str">
        <f>IFERROR(INDEX('CONTROL MASTER'!$Q$2:$Q$495,MATCH("Control NIH Plate 4: D3",'CONTROL MASTER'!$H$2:$H$495,0)),"")</f>
        <v/>
      </c>
      <c r="E42" s="9" t="str">
        <f>IFERROR(INDEX('CONTROL MASTER'!$Q$2:$Q$495,MATCH("Control NIH Plate 4: D4",'CONTROL MASTER'!$H$2:$H$495,0)),"")</f>
        <v/>
      </c>
      <c r="F42" s="9" t="str">
        <f>IFERROR(INDEX('CONTROL MASTER'!$Q$2:$Q$495,MATCH("Control NIH Plate 4: D5",'CONTROL MASTER'!$H$2:$H$495,0)),"")</f>
        <v/>
      </c>
      <c r="G42" s="9" t="str">
        <f>IFERROR(INDEX('CONTROL MASTER'!$Q$2:$Q$495,MATCH("Control NIH Plate 4: D6",'CONTROL MASTER'!$H$2:$H$495,0)),"")</f>
        <v/>
      </c>
      <c r="H42" s="9" t="str">
        <f>IFERROR(INDEX('CONTROL MASTER'!$Q$2:$Q$495,MATCH("Control NIH Plate 4: D7",'CONTROL MASTER'!$H$2:$H$495,0)),"")</f>
        <v/>
      </c>
      <c r="I42" s="9" t="str">
        <f>IFERROR(INDEX('CONTROL MASTER'!$Q$2:$Q$495,MATCH("Control NIH Plate 4: D8",'CONTROL MASTER'!$H$2:$H$495,0)),"")</f>
        <v/>
      </c>
      <c r="J42" s="9" t="str">
        <f>IFERROR(INDEX('CONTROL MASTER'!$Q$2:$Q$495,MATCH("Control NIH Plate 4: D9",'CONTROL MASTER'!$H$2:$H$495,0)),"")</f>
        <v/>
      </c>
      <c r="K42" s="9" t="str">
        <f>IFERROR(INDEX('CONTROL MASTER'!$Q$2:$Q$495,MATCH("Control NIH Plate 4: D10",'CONTROL MASTER'!$H$2:$H$495,0)),"")</f>
        <v/>
      </c>
      <c r="L42" s="9" t="str">
        <f>IFERROR(INDEX('CONTROL MASTER'!$Q$2:$Q$495,MATCH("Control NIH Plate 4: D11",'CONTROL MASTER'!$H$2:$H$495,0)),"")</f>
        <v/>
      </c>
      <c r="M42" s="9" t="str">
        <f>IFERROR(INDEX('CONTROL MASTER'!$Q$2:$Q$495,MATCH("Control NIH Plate 4: D12",'CONTROL MASTER'!$H$2:$H$495,0)),"")</f>
        <v/>
      </c>
    </row>
    <row r="43" spans="1:13" ht="15" customHeight="1" x14ac:dyDescent="0.35">
      <c r="A43" s="8" t="s">
        <v>32</v>
      </c>
      <c r="B43" s="9" t="str">
        <f>IFERROR(INDEX('CONTROL MASTER'!$Q$2:$Q$495,MATCH("Control NIH Plate 4: E1",'CONTROL MASTER'!$H$2:$H$495,0)),"")</f>
        <v/>
      </c>
      <c r="C43" s="9" t="str">
        <f>IFERROR(INDEX('CONTROL MASTER'!$Q$2:$Q$495,MATCH("Control NIH Plate 4: E2",'CONTROL MASTER'!$H$2:$H$495,0)),"")</f>
        <v/>
      </c>
      <c r="D43" s="9" t="str">
        <f>IFERROR(INDEX('CONTROL MASTER'!$Q$2:$Q$495,MATCH("Control NIH Plate 4: E3",'CONTROL MASTER'!$H$2:$H$495,0)),"")</f>
        <v/>
      </c>
      <c r="E43" s="9" t="str">
        <f>IFERROR(INDEX('CONTROL MASTER'!$Q$2:$Q$495,MATCH("Control NIH Plate 4: E4",'CONTROL MASTER'!$H$2:$H$495,0)),"")</f>
        <v/>
      </c>
      <c r="F43" s="9" t="str">
        <f>IFERROR(INDEX('CONTROL MASTER'!$Q$2:$Q$495,MATCH("Control NIH Plate 4: E5",'CONTROL MASTER'!$H$2:$H$495,0)),"")</f>
        <v/>
      </c>
      <c r="G43" s="9" t="str">
        <f>IFERROR(INDEX('CONTROL MASTER'!$Q$2:$Q$495,MATCH("Control NIH Plate 4: E6",'CONTROL MASTER'!$H$2:$H$495,0)),"")</f>
        <v/>
      </c>
      <c r="H43" s="9" t="str">
        <f>IFERROR(INDEX('CONTROL MASTER'!$Q$2:$Q$495,MATCH("Control NIH Plate 4: E7",'CONTROL MASTER'!$H$2:$H$495,0)),"")</f>
        <v/>
      </c>
      <c r="I43" s="9" t="str">
        <f>IFERROR(INDEX('CONTROL MASTER'!$Q$2:$Q$495,MATCH("Control NIH Plate 4: E8",'CONTROL MASTER'!$H$2:$H$495,0)),"")</f>
        <v/>
      </c>
      <c r="J43" s="9" t="str">
        <f>IFERROR(INDEX('CONTROL MASTER'!$Q$2:$Q$495,MATCH("Control NIH Plate 4: E9",'CONTROL MASTER'!$H$2:$H$495,0)),"")</f>
        <v/>
      </c>
      <c r="K43" s="9" t="str">
        <f>IFERROR(INDEX('CONTROL MASTER'!$Q$2:$Q$495,MATCH("Control NIH Plate 4: E10",'CONTROL MASTER'!$H$2:$H$495,0)),"")</f>
        <v/>
      </c>
      <c r="L43" s="9" t="str">
        <f>IFERROR(INDEX('CONTROL MASTER'!$Q$2:$Q$495,MATCH("Control NIH Plate 4: E11",'CONTROL MASTER'!$H$2:$H$495,0)),"")</f>
        <v/>
      </c>
      <c r="M43" s="9" t="str">
        <f>IFERROR(INDEX('CONTROL MASTER'!$Q$2:$Q$495,MATCH("Control NIH Plate 4: E12",'CONTROL MASTER'!$H$2:$H$495,0)),"")</f>
        <v/>
      </c>
    </row>
    <row r="44" spans="1:13" ht="15" customHeight="1" x14ac:dyDescent="0.35">
      <c r="A44" s="8" t="s">
        <v>33</v>
      </c>
      <c r="B44" s="9" t="str">
        <f>IFERROR(INDEX('CONTROL MASTER'!$Q$2:$Q$495,MATCH("Control NIH Plate 4: F1",'CONTROL MASTER'!$H$2:$H$495,0)),"")</f>
        <v/>
      </c>
      <c r="C44" s="9" t="str">
        <f>IFERROR(INDEX('CONTROL MASTER'!$Q$2:$Q$495,MATCH("Control NIH Plate 4: F2",'CONTROL MASTER'!$H$2:$H$495,0)),"")</f>
        <v/>
      </c>
      <c r="D44" s="9" t="str">
        <f>IFERROR(INDEX('CONTROL MASTER'!$Q$2:$Q$495,MATCH("Control NIH Plate 4: F3",'CONTROL MASTER'!$H$2:$H$495,0)),"")</f>
        <v/>
      </c>
      <c r="E44" s="9" t="str">
        <f>IFERROR(INDEX('CONTROL MASTER'!$Q$2:$Q$495,MATCH("Control NIH Plate 4: F4",'CONTROL MASTER'!$H$2:$H$495,0)),"")</f>
        <v/>
      </c>
      <c r="F44" s="9" t="str">
        <f>IFERROR(INDEX('CONTROL MASTER'!$Q$2:$Q$495,MATCH("Control NIH Plate 4: F5",'CONTROL MASTER'!$H$2:$H$495,0)),"")</f>
        <v/>
      </c>
      <c r="G44" s="9" t="str">
        <f>IFERROR(INDEX('CONTROL MASTER'!$Q$2:$Q$495,MATCH("Control NIH Plate 4: F6",'CONTROL MASTER'!$H$2:$H$495,0)),"")</f>
        <v/>
      </c>
      <c r="H44" s="9" t="str">
        <f>IFERROR(INDEX('CONTROL MASTER'!$Q$2:$Q$495,MATCH("Control NIH Plate 4: F7",'CONTROL MASTER'!$H$2:$H$495,0)),"")</f>
        <v/>
      </c>
      <c r="I44" s="9" t="str">
        <f>IFERROR(INDEX('CONTROL MASTER'!$Q$2:$Q$495,MATCH("Control NIH Plate 4: F8",'CONTROL MASTER'!$H$2:$H$495,0)),"")</f>
        <v/>
      </c>
      <c r="J44" s="9" t="str">
        <f>IFERROR(INDEX('CONTROL MASTER'!$Q$2:$Q$495,MATCH("Control NIH Plate 4: F9",'CONTROL MASTER'!$H$2:$H$495,0)),"")</f>
        <v/>
      </c>
      <c r="K44" s="9" t="str">
        <f>IFERROR(INDEX('CONTROL MASTER'!$Q$2:$Q$495,MATCH("Control NIH Plate 4: F10",'CONTROL MASTER'!$H$2:$H$495,0)),"")</f>
        <v/>
      </c>
      <c r="L44" s="9" t="str">
        <f>IFERROR(INDEX('CONTROL MASTER'!$Q$2:$Q$495,MATCH("Control NIH Plate 4: F11",'CONTROL MASTER'!$H$2:$H$495,0)),"")</f>
        <v/>
      </c>
      <c r="M44" s="9" t="str">
        <f>IFERROR(INDEX('CONTROL MASTER'!$Q$2:$Q$495,MATCH("Control NIH Plate 4: F12",'CONTROL MASTER'!$H$2:$H$495,0)),"")</f>
        <v/>
      </c>
    </row>
    <row r="45" spans="1:13" ht="15" customHeight="1" x14ac:dyDescent="0.35">
      <c r="A45" s="8" t="s">
        <v>34</v>
      </c>
      <c r="B45" s="9" t="str">
        <f>IFERROR(INDEX('CONTROL MASTER'!$Q$2:$Q$495,MATCH("Control NIH Plate 4: G1",'CONTROL MASTER'!$H$2:$H$495,0)),"")</f>
        <v/>
      </c>
      <c r="C45" s="9" t="str">
        <f>IFERROR(INDEX('CONTROL MASTER'!$Q$2:$Q$495,MATCH("Control NIH Plate 4: G2",'CONTROL MASTER'!$H$2:$H$495,0)),"")</f>
        <v/>
      </c>
      <c r="D45" s="9" t="str">
        <f>IFERROR(INDEX('CONTROL MASTER'!$Q$2:$Q$495,MATCH("Control NIH Plate 4: G3",'CONTROL MASTER'!$H$2:$H$495,0)),"")</f>
        <v/>
      </c>
      <c r="E45" s="9" t="str">
        <f>IFERROR(INDEX('CONTROL MASTER'!$Q$2:$Q$495,MATCH("Control NIH Plate 4: G4",'CONTROL MASTER'!$H$2:$H$495,0)),"")</f>
        <v/>
      </c>
      <c r="F45" s="9" t="str">
        <f>IFERROR(INDEX('CONTROL MASTER'!$Q$2:$Q$495,MATCH("Control NIH Plate 4: G5",'CONTROL MASTER'!$H$2:$H$495,0)),"")</f>
        <v/>
      </c>
      <c r="G45" s="9" t="str">
        <f>IFERROR(INDEX('CONTROL MASTER'!$Q$2:$Q$495,MATCH("Control NIH Plate 4: G6",'CONTROL MASTER'!$H$2:$H$495,0)),"")</f>
        <v/>
      </c>
      <c r="H45" s="9" t="str">
        <f>IFERROR(INDEX('CONTROL MASTER'!$Q$2:$Q$495,MATCH("Control NIH Plate 4: G7",'CONTROL MASTER'!$H$2:$H$495,0)),"")</f>
        <v/>
      </c>
      <c r="I45" s="9" t="str">
        <f>IFERROR(INDEX('CONTROL MASTER'!$Q$2:$Q$495,MATCH("Control NIH Plate 4: G8",'CONTROL MASTER'!$H$2:$H$495,0)),"")</f>
        <v/>
      </c>
      <c r="J45" s="9" t="str">
        <f>IFERROR(INDEX('CONTROL MASTER'!$Q$2:$Q$495,MATCH("Control NIH Plate 4: G9",'CONTROL MASTER'!$H$2:$H$495,0)),"")</f>
        <v/>
      </c>
      <c r="K45" s="9" t="str">
        <f>IFERROR(INDEX('CONTROL MASTER'!$Q$2:$Q$495,MATCH("Control NIH Plate 4: G10",'CONTROL MASTER'!$H$2:$H$495,0)),"")</f>
        <v/>
      </c>
      <c r="L45" s="9" t="str">
        <f>IFERROR(INDEX('CONTROL MASTER'!$Q$2:$Q$495,MATCH("Control NIH Plate 4: G11",'CONTROL MASTER'!$H$2:$H$495,0)),"")</f>
        <v/>
      </c>
      <c r="M45" s="9" t="str">
        <f>IFERROR(INDEX('CONTROL MASTER'!$Q$2:$Q$495,MATCH("Control NIH Plate 4: G12",'CONTROL MASTER'!$H$2:$H$495,0)),"")</f>
        <v/>
      </c>
    </row>
    <row r="46" spans="1:13" ht="15" customHeight="1" x14ac:dyDescent="0.35">
      <c r="A46" s="8" t="s">
        <v>35</v>
      </c>
      <c r="B46" s="9" t="str">
        <f>IFERROR(INDEX('CONTROL MASTER'!$Q$2:$Q$495,MATCH("Control NIH Plate 4: H1",'CONTROL MASTER'!$H$2:$H$495,0)),"")</f>
        <v/>
      </c>
      <c r="C46" s="9" t="str">
        <f>IFERROR(INDEX('CONTROL MASTER'!$Q$2:$Q$495,MATCH("Control NIH Plate 4: H2",'CONTROL MASTER'!$H$2:$H$495,0)),"")</f>
        <v/>
      </c>
      <c r="D46" s="9" t="str">
        <f>IFERROR(INDEX('CONTROL MASTER'!$Q$2:$Q$495,MATCH("Control NIH Plate 4: H3",'CONTROL MASTER'!$H$2:$H$495,0)),"")</f>
        <v/>
      </c>
      <c r="E46" s="9" t="str">
        <f>IFERROR(INDEX('CONTROL MASTER'!$Q$2:$Q$495,MATCH("Control NIH Plate 4: H4",'CONTROL MASTER'!$H$2:$H$495,0)),"")</f>
        <v/>
      </c>
      <c r="F46" s="9" t="str">
        <f>IFERROR(INDEX('CONTROL MASTER'!$Q$2:$Q$495,MATCH("Control NIH Plate 4: H5",'CONTROL MASTER'!$H$2:$H$495,0)),"")</f>
        <v/>
      </c>
      <c r="G46" s="9" t="str">
        <f>IFERROR(INDEX('CONTROL MASTER'!$Q$2:$Q$495,MATCH("Control NIH Plate 4: H6",'CONTROL MASTER'!$H$2:$H$495,0)),"")</f>
        <v/>
      </c>
      <c r="H46" s="9" t="str">
        <f>IFERROR(INDEX('CONTROL MASTER'!$Q$2:$Q$495,MATCH("Control NIH Plate 4: H7",'CONTROL MASTER'!$H$2:$H$495,0)),"")</f>
        <v/>
      </c>
      <c r="I46" s="9" t="str">
        <f>IFERROR(INDEX('CONTROL MASTER'!$Q$2:$Q$495,MATCH("Control NIH Plate 4: H8",'CONTROL MASTER'!$H$2:$H$495,0)),"")</f>
        <v/>
      </c>
      <c r="J46" s="9" t="str">
        <f>IFERROR(INDEX('CONTROL MASTER'!$Q$2:$Q$495,MATCH("Control NIH Plate 4: H9",'CONTROL MASTER'!$H$2:$H$495,0)),"")</f>
        <v/>
      </c>
      <c r="K46" s="9" t="str">
        <f>IFERROR(INDEX('CONTROL MASTER'!$Q$2:$Q$495,MATCH("Control NIH Plate 4: H10",'CONTROL MASTER'!$H$2:$H$495,0)),"")</f>
        <v/>
      </c>
      <c r="L46" s="9" t="str">
        <f>IFERROR(INDEX('CONTROL MASTER'!$Q$2:$Q$495,MATCH("Control NIH Plate 4: H11",'CONTROL MASTER'!$H$2:$H$495,0)),"")</f>
        <v/>
      </c>
      <c r="M46" s="9" t="str">
        <f>IFERROR(INDEX('CONTROL MASTER'!$Q$2:$Q$495,MATCH("Control NIH Plate 4: H12",'CONTROL MASTER'!$H$2:$H$495,0)),"")</f>
        <v/>
      </c>
    </row>
    <row r="49" spans="1:13" ht="15" customHeight="1" x14ac:dyDescent="0.35">
      <c r="A49" s="12" t="s">
        <v>131</v>
      </c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</row>
    <row r="50" spans="1:13" ht="15" customHeight="1" x14ac:dyDescent="0.35">
      <c r="B50" s="8">
        <v>1</v>
      </c>
      <c r="C50" s="8">
        <v>2</v>
      </c>
      <c r="D50" s="8">
        <v>3</v>
      </c>
      <c r="E50" s="8">
        <v>4</v>
      </c>
      <c r="F50" s="8">
        <v>5</v>
      </c>
      <c r="G50" s="8">
        <v>6</v>
      </c>
      <c r="H50" s="8">
        <v>7</v>
      </c>
      <c r="I50" s="8">
        <v>8</v>
      </c>
      <c r="J50" s="8">
        <v>9</v>
      </c>
      <c r="K50" s="8">
        <v>10</v>
      </c>
      <c r="L50" s="8">
        <v>11</v>
      </c>
      <c r="M50" s="8">
        <v>12</v>
      </c>
    </row>
    <row r="51" spans="1:13" ht="15" customHeight="1" x14ac:dyDescent="0.35">
      <c r="A51" s="8" t="s">
        <v>28</v>
      </c>
      <c r="B51" s="9" t="str">
        <f>IFERROR(INDEX('CONTROL MASTER'!$Q$2:$Q$495,MATCH("Control NIH Plate 5: A1",'CONTROL MASTER'!$H$2:$H$495,0)),"")</f>
        <v/>
      </c>
      <c r="C51" s="9" t="str">
        <f>IFERROR(INDEX('CONTROL MASTER'!$Q$2:$Q$495,MATCH("Control NIH Plate 5: A2",'CONTROL MASTER'!$H$2:$H$495,0)),"")</f>
        <v/>
      </c>
      <c r="D51" s="9" t="str">
        <f>IFERROR(INDEX('CONTROL MASTER'!$Q$2:$Q$495,MATCH("Control NIH Plate 5: A3",'CONTROL MASTER'!$H$2:$H$495,0)),"")</f>
        <v/>
      </c>
      <c r="E51" s="9" t="str">
        <f>IFERROR(INDEX('CONTROL MASTER'!$Q$2:$Q$495,MATCH("Control NIH Plate 5: A4",'CONTROL MASTER'!$H$2:$H$495,0)),"")</f>
        <v/>
      </c>
      <c r="F51" s="9" t="str">
        <f>IFERROR(INDEX('CONTROL MASTER'!$Q$2:$Q$495,MATCH("Control NIH Plate 5: A5",'CONTROL MASTER'!$H$2:$H$495,0)),"")</f>
        <v/>
      </c>
      <c r="G51" s="9" t="str">
        <f>IFERROR(INDEX('CONTROL MASTER'!$Q$2:$Q$495,MATCH("Control NIH Plate 5: A6",'CONTROL MASTER'!$H$2:$H$495,0)),"")</f>
        <v/>
      </c>
      <c r="H51" s="9" t="str">
        <f>IFERROR(INDEX('CONTROL MASTER'!$Q$2:$Q$495,MATCH("Control NIH Plate 5: A7",'CONTROL MASTER'!$H$2:$H$495,0)),"")</f>
        <v/>
      </c>
      <c r="I51" s="9" t="str">
        <f>IFERROR(INDEX('CONTROL MASTER'!$Q$2:$Q$495,MATCH("Control NIH Plate 5: A8",'CONTROL MASTER'!$H$2:$H$495,0)),"")</f>
        <v/>
      </c>
      <c r="J51" s="9" t="str">
        <f>IFERROR(INDEX('CONTROL MASTER'!$Q$2:$Q$495,MATCH("Control NIH Plate 5: A9",'CONTROL MASTER'!$H$2:$H$495,0)),"")</f>
        <v/>
      </c>
      <c r="K51" s="9" t="str">
        <f>IFERROR(INDEX('CONTROL MASTER'!$Q$2:$Q$495,MATCH("Control NIH Plate 5: A10",'CONTROL MASTER'!$H$2:$H$495,0)),"")</f>
        <v/>
      </c>
      <c r="L51" s="9" t="str">
        <f>IFERROR(INDEX('CONTROL MASTER'!$Q$2:$Q$495,MATCH("Control NIH Plate 5: A11",'CONTROL MASTER'!$H$2:$H$495,0)),"")</f>
        <v/>
      </c>
      <c r="M51" s="9" t="str">
        <f>IFERROR(INDEX('CONTROL MASTER'!$Q$2:$Q$495,MATCH("Control NIH Plate 5: A12",'CONTROL MASTER'!$H$2:$H$495,0)),"")</f>
        <v/>
      </c>
    </row>
    <row r="52" spans="1:13" ht="15" customHeight="1" x14ac:dyDescent="0.35">
      <c r="A52" s="8" t="s">
        <v>29</v>
      </c>
      <c r="B52" s="9" t="str">
        <f>IFERROR(INDEX('CONTROL MASTER'!$Q$2:$Q$495,MATCH("Control NIH Plate 5: B1",'CONTROL MASTER'!$H$2:$H$495,0)),"")</f>
        <v/>
      </c>
      <c r="C52" s="9" t="str">
        <f>IFERROR(INDEX('CONTROL MASTER'!$Q$2:$Q$495,MATCH("Control NIH Plate 5: B2",'CONTROL MASTER'!$H$2:$H$495,0)),"")</f>
        <v/>
      </c>
      <c r="D52" s="9" t="str">
        <f>IFERROR(INDEX('CONTROL MASTER'!$Q$2:$Q$495,MATCH("Control NIH Plate 5: B3",'CONTROL MASTER'!$H$2:$H$495,0)),"")</f>
        <v/>
      </c>
      <c r="E52" s="9" t="str">
        <f>IFERROR(INDEX('CONTROL MASTER'!$Q$2:$Q$495,MATCH("Control NIH Plate 5: B4",'CONTROL MASTER'!$H$2:$H$495,0)),"")</f>
        <v/>
      </c>
      <c r="F52" s="9" t="str">
        <f>IFERROR(INDEX('CONTROL MASTER'!$Q$2:$Q$495,MATCH("Control NIH Plate 5: B5",'CONTROL MASTER'!$H$2:$H$495,0)),"")</f>
        <v/>
      </c>
      <c r="G52" s="9" t="str">
        <f>IFERROR(INDEX('CONTROL MASTER'!$Q$2:$Q$495,MATCH("Control NIH Plate 5: B6",'CONTROL MASTER'!$H$2:$H$495,0)),"")</f>
        <v/>
      </c>
      <c r="H52" s="9" t="str">
        <f>IFERROR(INDEX('CONTROL MASTER'!$Q$2:$Q$495,MATCH("Control NIH Plate 5: B7",'CONTROL MASTER'!$H$2:$H$495,0)),"")</f>
        <v/>
      </c>
      <c r="I52" s="9" t="str">
        <f>IFERROR(INDEX('CONTROL MASTER'!$Q$2:$Q$495,MATCH("Control NIH Plate 5: B8",'CONTROL MASTER'!$H$2:$H$495,0)),"")</f>
        <v/>
      </c>
      <c r="J52" s="9" t="str">
        <f>IFERROR(INDEX('CONTROL MASTER'!$Q$2:$Q$495,MATCH("Control NIH Plate 5: B9",'CONTROL MASTER'!$H$2:$H$495,0)),"")</f>
        <v/>
      </c>
      <c r="K52" s="9" t="str">
        <f>IFERROR(INDEX('CONTROL MASTER'!$Q$2:$Q$495,MATCH("Control NIH Plate 5: B10",'CONTROL MASTER'!$H$2:$H$495,0)),"")</f>
        <v/>
      </c>
      <c r="L52" s="9" t="str">
        <f>IFERROR(INDEX('CONTROL MASTER'!$Q$2:$Q$495,MATCH("Control NIH Plate 5: B11",'CONTROL MASTER'!$H$2:$H$495,0)),"")</f>
        <v/>
      </c>
      <c r="M52" s="9" t="str">
        <f>IFERROR(INDEX('CONTROL MASTER'!$Q$2:$Q$495,MATCH("Control NIH Plate 5: B12",'CONTROL MASTER'!$H$2:$H$495,0)),"")</f>
        <v/>
      </c>
    </row>
    <row r="53" spans="1:13" ht="15" customHeight="1" x14ac:dyDescent="0.35">
      <c r="A53" s="8" t="s">
        <v>30</v>
      </c>
      <c r="B53" s="9" t="str">
        <f>IFERROR(INDEX('CONTROL MASTER'!$Q$2:$Q$495,MATCH("Control NIH Plate 5: C1",'CONTROL MASTER'!$H$2:$H$495,0)),"")</f>
        <v/>
      </c>
      <c r="C53" s="9" t="str">
        <f>IFERROR(INDEX('CONTROL MASTER'!$Q$2:$Q$495,MATCH("Control NIH Plate 5: C2",'CONTROL MASTER'!$H$2:$H$495,0)),"")</f>
        <v/>
      </c>
      <c r="D53" s="9" t="str">
        <f>IFERROR(INDEX('CONTROL MASTER'!$Q$2:$Q$495,MATCH("Control NIH Plate 5: C3",'CONTROL MASTER'!$H$2:$H$495,0)),"")</f>
        <v/>
      </c>
      <c r="E53" s="9" t="str">
        <f>IFERROR(INDEX('CONTROL MASTER'!$Q$2:$Q$495,MATCH("Control NIH Plate 5: C4",'CONTROL MASTER'!$H$2:$H$495,0)),"")</f>
        <v/>
      </c>
      <c r="F53" s="9" t="str">
        <f>IFERROR(INDEX('CONTROL MASTER'!$Q$2:$Q$495,MATCH("Control NIH Plate 5: C5",'CONTROL MASTER'!$H$2:$H$495,0)),"")</f>
        <v/>
      </c>
      <c r="G53" s="9" t="str">
        <f>IFERROR(INDEX('CONTROL MASTER'!$Q$2:$Q$495,MATCH("Control NIH Plate 5: C6",'CONTROL MASTER'!$H$2:$H$495,0)),"")</f>
        <v/>
      </c>
      <c r="H53" s="9" t="str">
        <f>IFERROR(INDEX('CONTROL MASTER'!$Q$2:$Q$495,MATCH("Control NIH Plate 5: C7",'CONTROL MASTER'!$H$2:$H$495,0)),"")</f>
        <v/>
      </c>
      <c r="I53" s="9" t="str">
        <f>IFERROR(INDEX('CONTROL MASTER'!$Q$2:$Q$495,MATCH("Control NIH Plate 5: C8",'CONTROL MASTER'!$H$2:$H$495,0)),"")</f>
        <v/>
      </c>
      <c r="J53" s="9" t="str">
        <f>IFERROR(INDEX('CONTROL MASTER'!$Q$2:$Q$495,MATCH("Control NIH Plate 5: C9",'CONTROL MASTER'!$H$2:$H$495,0)),"")</f>
        <v/>
      </c>
      <c r="K53" s="9" t="str">
        <f>IFERROR(INDEX('CONTROL MASTER'!$Q$2:$Q$495,MATCH("Control NIH Plate 5: C10",'CONTROL MASTER'!$H$2:$H$495,0)),"")</f>
        <v/>
      </c>
      <c r="L53" s="9" t="str">
        <f>IFERROR(INDEX('CONTROL MASTER'!$Q$2:$Q$495,MATCH("Control NIH Plate 5: C11",'CONTROL MASTER'!$H$2:$H$495,0)),"")</f>
        <v/>
      </c>
      <c r="M53" s="9" t="str">
        <f>IFERROR(INDEX('CONTROL MASTER'!$Q$2:$Q$495,MATCH("Control NIH Plate 5: C12",'CONTROL MASTER'!$H$2:$H$495,0)),"")</f>
        <v/>
      </c>
    </row>
    <row r="54" spans="1:13" ht="15" customHeight="1" x14ac:dyDescent="0.35">
      <c r="A54" s="8" t="s">
        <v>31</v>
      </c>
      <c r="B54" s="9" t="str">
        <f>IFERROR(INDEX('CONTROL MASTER'!$Q$2:$Q$495,MATCH("Control NIH Plate 5: D1",'CONTROL MASTER'!$H$2:$H$495,0)),"")</f>
        <v/>
      </c>
      <c r="C54" s="9" t="str">
        <f>IFERROR(INDEX('CONTROL MASTER'!$Q$2:$Q$495,MATCH("Control NIH Plate 5: D2",'CONTROL MASTER'!$H$2:$H$495,0)),"")</f>
        <v/>
      </c>
      <c r="D54" s="9" t="str">
        <f>IFERROR(INDEX('CONTROL MASTER'!$Q$2:$Q$495,MATCH("Control NIH Plate 5: D3",'CONTROL MASTER'!$H$2:$H$495,0)),"")</f>
        <v/>
      </c>
      <c r="E54" s="9" t="str">
        <f>IFERROR(INDEX('CONTROL MASTER'!$Q$2:$Q$495,MATCH("Control NIH Plate 5: D4",'CONTROL MASTER'!$H$2:$H$495,0)),"")</f>
        <v/>
      </c>
      <c r="F54" s="9" t="str">
        <f>IFERROR(INDEX('CONTROL MASTER'!$Q$2:$Q$495,MATCH("Control NIH Plate 5: D5",'CONTROL MASTER'!$H$2:$H$495,0)),"")</f>
        <v/>
      </c>
      <c r="G54" s="9" t="str">
        <f>IFERROR(INDEX('CONTROL MASTER'!$Q$2:$Q$495,MATCH("Control NIH Plate 5: D6",'CONTROL MASTER'!$H$2:$H$495,0)),"")</f>
        <v/>
      </c>
      <c r="H54" s="9" t="str">
        <f>IFERROR(INDEX('CONTROL MASTER'!$Q$2:$Q$495,MATCH("Control NIH Plate 5: D7",'CONTROL MASTER'!$H$2:$H$495,0)),"")</f>
        <v/>
      </c>
      <c r="I54" s="9" t="str">
        <f>IFERROR(INDEX('CONTROL MASTER'!$Q$2:$Q$495,MATCH("Control NIH Plate 5: D8",'CONTROL MASTER'!$H$2:$H$495,0)),"")</f>
        <v/>
      </c>
      <c r="J54" s="9" t="str">
        <f>IFERROR(INDEX('CONTROL MASTER'!$Q$2:$Q$495,MATCH("Control NIH Plate 5: D9",'CONTROL MASTER'!$H$2:$H$495,0)),"")</f>
        <v/>
      </c>
      <c r="K54" s="9" t="str">
        <f>IFERROR(INDEX('CONTROL MASTER'!$Q$2:$Q$495,MATCH("Control NIH Plate 5: D10",'CONTROL MASTER'!$H$2:$H$495,0)),"")</f>
        <v/>
      </c>
      <c r="L54" s="9" t="str">
        <f>IFERROR(INDEX('CONTROL MASTER'!$Q$2:$Q$495,MATCH("Control NIH Plate 5: D11",'CONTROL MASTER'!$H$2:$H$495,0)),"")</f>
        <v/>
      </c>
      <c r="M54" s="9" t="str">
        <f>IFERROR(INDEX('CONTROL MASTER'!$Q$2:$Q$495,MATCH("Control NIH Plate 5: D12",'CONTROL MASTER'!$H$2:$H$495,0)),"")</f>
        <v/>
      </c>
    </row>
    <row r="55" spans="1:13" ht="15" customHeight="1" x14ac:dyDescent="0.35">
      <c r="A55" s="8" t="s">
        <v>32</v>
      </c>
      <c r="B55" s="9" t="str">
        <f>IFERROR(INDEX('CONTROL MASTER'!$Q$2:$Q$495,MATCH("Control NIH Plate 5: E1",'CONTROL MASTER'!$H$2:$H$495,0)),"")</f>
        <v/>
      </c>
      <c r="C55" s="9" t="str">
        <f>IFERROR(INDEX('CONTROL MASTER'!$Q$2:$Q$495,MATCH("Control NIH Plate 5: E2",'CONTROL MASTER'!$H$2:$H$495,0)),"")</f>
        <v/>
      </c>
      <c r="D55" s="9" t="str">
        <f>IFERROR(INDEX('CONTROL MASTER'!$Q$2:$Q$495,MATCH("Control NIH Plate 5: E3",'CONTROL MASTER'!$H$2:$H$495,0)),"")</f>
        <v/>
      </c>
      <c r="E55" s="9" t="str">
        <f>IFERROR(INDEX('CONTROL MASTER'!$Q$2:$Q$495,MATCH("Control NIH Plate 5: E4",'CONTROL MASTER'!$H$2:$H$495,0)),"")</f>
        <v/>
      </c>
      <c r="F55" s="9" t="str">
        <f>IFERROR(INDEX('CONTROL MASTER'!$Q$2:$Q$495,MATCH("Control NIH Plate 5: E5",'CONTROL MASTER'!$H$2:$H$495,0)),"")</f>
        <v/>
      </c>
      <c r="G55" s="9" t="str">
        <f>IFERROR(INDEX('CONTROL MASTER'!$Q$2:$Q$495,MATCH("Control NIH Plate 5: E6",'CONTROL MASTER'!$H$2:$H$495,0)),"")</f>
        <v/>
      </c>
      <c r="H55" s="9" t="str">
        <f>IFERROR(INDEX('CONTROL MASTER'!$Q$2:$Q$495,MATCH("Control NIH Plate 5: E7",'CONTROL MASTER'!$H$2:$H$495,0)),"")</f>
        <v/>
      </c>
      <c r="I55" s="9" t="str">
        <f>IFERROR(INDEX('CONTROL MASTER'!$Q$2:$Q$495,MATCH("Control NIH Plate 5: E8",'CONTROL MASTER'!$H$2:$H$495,0)),"")</f>
        <v/>
      </c>
      <c r="J55" s="9" t="str">
        <f>IFERROR(INDEX('CONTROL MASTER'!$Q$2:$Q$495,MATCH("Control NIH Plate 5: E9",'CONTROL MASTER'!$H$2:$H$495,0)),"")</f>
        <v/>
      </c>
      <c r="K55" s="9" t="str">
        <f>IFERROR(INDEX('CONTROL MASTER'!$Q$2:$Q$495,MATCH("Control NIH Plate 5: E10",'CONTROL MASTER'!$H$2:$H$495,0)),"")</f>
        <v/>
      </c>
      <c r="L55" s="9" t="str">
        <f>IFERROR(INDEX('CONTROL MASTER'!$Q$2:$Q$495,MATCH("Control NIH Plate 5: E11",'CONTROL MASTER'!$H$2:$H$495,0)),"")</f>
        <v/>
      </c>
      <c r="M55" s="9" t="str">
        <f>IFERROR(INDEX('CONTROL MASTER'!$Q$2:$Q$495,MATCH("Control NIH Plate 5: E12",'CONTROL MASTER'!$H$2:$H$495,0)),"")</f>
        <v/>
      </c>
    </row>
    <row r="56" spans="1:13" ht="15" customHeight="1" x14ac:dyDescent="0.35">
      <c r="A56" s="8" t="s">
        <v>33</v>
      </c>
      <c r="B56" s="9" t="str">
        <f>IFERROR(INDEX('CONTROL MASTER'!$Q$2:$Q$495,MATCH("Control NIH Plate 5: F1",'CONTROL MASTER'!$H$2:$H$495,0)),"")</f>
        <v/>
      </c>
      <c r="C56" s="9" t="str">
        <f>IFERROR(INDEX('CONTROL MASTER'!$Q$2:$Q$495,MATCH("Control NIH Plate 5: F2",'CONTROL MASTER'!$H$2:$H$495,0)),"")</f>
        <v/>
      </c>
      <c r="D56" s="9" t="str">
        <f>IFERROR(INDEX('CONTROL MASTER'!$Q$2:$Q$495,MATCH("Control NIH Plate 5: F3",'CONTROL MASTER'!$H$2:$H$495,0)),"")</f>
        <v/>
      </c>
      <c r="E56" s="9" t="str">
        <f>IFERROR(INDEX('CONTROL MASTER'!$Q$2:$Q$495,MATCH("Control NIH Plate 5: F4",'CONTROL MASTER'!$H$2:$H$495,0)),"")</f>
        <v/>
      </c>
      <c r="F56" s="9" t="str">
        <f>IFERROR(INDEX('CONTROL MASTER'!$Q$2:$Q$495,MATCH("Control NIH Plate 5: F5",'CONTROL MASTER'!$H$2:$H$495,0)),"")</f>
        <v/>
      </c>
      <c r="G56" s="9" t="str">
        <f>IFERROR(INDEX('CONTROL MASTER'!$Q$2:$Q$495,MATCH("Control NIH Plate 5: F6",'CONTROL MASTER'!$H$2:$H$495,0)),"")</f>
        <v/>
      </c>
      <c r="H56" s="9" t="str">
        <f>IFERROR(INDEX('CONTROL MASTER'!$Q$2:$Q$495,MATCH("Control NIH Plate 5: F7",'CONTROL MASTER'!$H$2:$H$495,0)),"")</f>
        <v/>
      </c>
      <c r="I56" s="9" t="str">
        <f>IFERROR(INDEX('CONTROL MASTER'!$Q$2:$Q$495,MATCH("Control NIH Plate 5: F8",'CONTROL MASTER'!$H$2:$H$495,0)),"")</f>
        <v/>
      </c>
      <c r="J56" s="9" t="str">
        <f>IFERROR(INDEX('CONTROL MASTER'!$Q$2:$Q$495,MATCH("Control NIH Plate 5: F9",'CONTROL MASTER'!$H$2:$H$495,0)),"")</f>
        <v/>
      </c>
      <c r="K56" s="9" t="str">
        <f>IFERROR(INDEX('CONTROL MASTER'!$Q$2:$Q$495,MATCH("Control NIH Plate 5: F10",'CONTROL MASTER'!$H$2:$H$495,0)),"")</f>
        <v/>
      </c>
      <c r="L56" s="9" t="str">
        <f>IFERROR(INDEX('CONTROL MASTER'!$Q$2:$Q$495,MATCH("Control NIH Plate 5: F11",'CONTROL MASTER'!$H$2:$H$495,0)),"")</f>
        <v/>
      </c>
      <c r="M56" s="9" t="str">
        <f>IFERROR(INDEX('CONTROL MASTER'!$Q$2:$Q$495,MATCH("Control NIH Plate 5: F12",'CONTROL MASTER'!$H$2:$H$495,0)),"")</f>
        <v/>
      </c>
    </row>
    <row r="57" spans="1:13" ht="15" customHeight="1" x14ac:dyDescent="0.35">
      <c r="A57" s="8" t="s">
        <v>34</v>
      </c>
      <c r="B57" s="9" t="str">
        <f>IFERROR(INDEX('CONTROL MASTER'!$Q$2:$Q$495,MATCH("Control NIH Plate 5: G1",'CONTROL MASTER'!$H$2:$H$495,0)),"")</f>
        <v/>
      </c>
      <c r="C57" s="9" t="str">
        <f>IFERROR(INDEX('CONTROL MASTER'!$Q$2:$Q$495,MATCH("Control NIH Plate 5: G2",'CONTROL MASTER'!$H$2:$H$495,0)),"")</f>
        <v/>
      </c>
      <c r="D57" s="9" t="str">
        <f>IFERROR(INDEX('CONTROL MASTER'!$Q$2:$Q$495,MATCH("Control NIH Plate 5: G3",'CONTROL MASTER'!$H$2:$H$495,0)),"")</f>
        <v/>
      </c>
      <c r="E57" s="9" t="str">
        <f>IFERROR(INDEX('CONTROL MASTER'!$Q$2:$Q$495,MATCH("Control NIH Plate 5: G4",'CONTROL MASTER'!$H$2:$H$495,0)),"")</f>
        <v/>
      </c>
      <c r="F57" s="9" t="str">
        <f>IFERROR(INDEX('CONTROL MASTER'!$Q$2:$Q$495,MATCH("Control NIH Plate 5: G5",'CONTROL MASTER'!$H$2:$H$495,0)),"")</f>
        <v/>
      </c>
      <c r="G57" s="9" t="str">
        <f>IFERROR(INDEX('CONTROL MASTER'!$Q$2:$Q$495,MATCH("Control NIH Plate 5: G6",'CONTROL MASTER'!$H$2:$H$495,0)),"")</f>
        <v/>
      </c>
      <c r="H57" s="9" t="str">
        <f>IFERROR(INDEX('CONTROL MASTER'!$Q$2:$Q$495,MATCH("Control NIH Plate 5: G7",'CONTROL MASTER'!$H$2:$H$495,0)),"")</f>
        <v/>
      </c>
      <c r="I57" s="9" t="str">
        <f>IFERROR(INDEX('CONTROL MASTER'!$Q$2:$Q$495,MATCH("Control NIH Plate 5: G8",'CONTROL MASTER'!$H$2:$H$495,0)),"")</f>
        <v/>
      </c>
      <c r="J57" s="9" t="str">
        <f>IFERROR(INDEX('CONTROL MASTER'!$Q$2:$Q$495,MATCH("Control NIH Plate 5: G9",'CONTROL MASTER'!$H$2:$H$495,0)),"")</f>
        <v/>
      </c>
      <c r="K57" s="9" t="str">
        <f>IFERROR(INDEX('CONTROL MASTER'!$Q$2:$Q$495,MATCH("Control NIH Plate 5: G10",'CONTROL MASTER'!$H$2:$H$495,0)),"")</f>
        <v/>
      </c>
      <c r="L57" s="9" t="str">
        <f>IFERROR(INDEX('CONTROL MASTER'!$Q$2:$Q$495,MATCH("Control NIH Plate 5: G11",'CONTROL MASTER'!$H$2:$H$495,0)),"")</f>
        <v/>
      </c>
      <c r="M57" s="9" t="str">
        <f>IFERROR(INDEX('CONTROL MASTER'!$Q$2:$Q$495,MATCH("Control NIH Plate 5: G12",'CONTROL MASTER'!$H$2:$H$495,0)),"")</f>
        <v/>
      </c>
    </row>
    <row r="58" spans="1:13" ht="15" customHeight="1" x14ac:dyDescent="0.35">
      <c r="A58" s="8" t="s">
        <v>35</v>
      </c>
      <c r="B58" s="9" t="str">
        <f>IFERROR(INDEX('CONTROL MASTER'!$Q$2:$Q$495,MATCH("Control NIH Plate 5: H1",'CONTROL MASTER'!$H$2:$H$495,0)),"")</f>
        <v/>
      </c>
      <c r="C58" s="9" t="str">
        <f>IFERROR(INDEX('CONTROL MASTER'!$Q$2:$Q$495,MATCH("Control NIH Plate 5: H2",'CONTROL MASTER'!$H$2:$H$495,0)),"")</f>
        <v/>
      </c>
      <c r="D58" s="9" t="str">
        <f>IFERROR(INDEX('CONTROL MASTER'!$Q$2:$Q$495,MATCH("Control NIH Plate 5: H3",'CONTROL MASTER'!$H$2:$H$495,0)),"")</f>
        <v/>
      </c>
      <c r="E58" s="9" t="str">
        <f>IFERROR(INDEX('CONTROL MASTER'!$Q$2:$Q$495,MATCH("Control NIH Plate 5: H4",'CONTROL MASTER'!$H$2:$H$495,0)),"")</f>
        <v/>
      </c>
      <c r="F58" s="9" t="str">
        <f>IFERROR(INDEX('CONTROL MASTER'!$Q$2:$Q$495,MATCH("Control NIH Plate 5: H5",'CONTROL MASTER'!$H$2:$H$495,0)),"")</f>
        <v/>
      </c>
      <c r="G58" s="9" t="str">
        <f>IFERROR(INDEX('CONTROL MASTER'!$Q$2:$Q$495,MATCH("Control NIH Plate 5: H6",'CONTROL MASTER'!$H$2:$H$495,0)),"")</f>
        <v/>
      </c>
      <c r="H58" s="9" t="str">
        <f>IFERROR(INDEX('CONTROL MASTER'!$Q$2:$Q$495,MATCH("Control NIH Plate 5: H7",'CONTROL MASTER'!$H$2:$H$495,0)),"")</f>
        <v/>
      </c>
      <c r="I58" s="9" t="str">
        <f>IFERROR(INDEX('CONTROL MASTER'!$Q$2:$Q$495,MATCH("Control NIH Plate 5: H8",'CONTROL MASTER'!$H$2:$H$495,0)),"")</f>
        <v/>
      </c>
      <c r="J58" s="9" t="str">
        <f>IFERROR(INDEX('CONTROL MASTER'!$Q$2:$Q$495,MATCH("Control NIH Plate 5: H9",'CONTROL MASTER'!$H$2:$H$495,0)),"")</f>
        <v/>
      </c>
      <c r="K58" s="9" t="str">
        <f>IFERROR(INDEX('CONTROL MASTER'!$Q$2:$Q$495,MATCH("Control NIH Plate 5: H10",'CONTROL MASTER'!$H$2:$H$495,0)),"")</f>
        <v/>
      </c>
      <c r="L58" s="9" t="str">
        <f>IFERROR(INDEX('CONTROL MASTER'!$Q$2:$Q$495,MATCH("Control NIH Plate 5: H11",'CONTROL MASTER'!$H$2:$H$495,0)),"")</f>
        <v/>
      </c>
      <c r="M58" s="9" t="str">
        <f>IFERROR(INDEX('CONTROL MASTER'!$Q$2:$Q$495,MATCH("Control NIH Plate 5: H12",'CONTROL MASTER'!$H$2:$H$495,0)),"")</f>
        <v/>
      </c>
    </row>
    <row r="61" spans="1:13" ht="15" customHeight="1" x14ac:dyDescent="0.35">
      <c r="A61" s="12" t="s">
        <v>132</v>
      </c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</row>
    <row r="62" spans="1:13" ht="15" customHeight="1" x14ac:dyDescent="0.35">
      <c r="B62" s="8">
        <v>1</v>
      </c>
      <c r="C62" s="8">
        <v>2</v>
      </c>
      <c r="D62" s="8">
        <v>3</v>
      </c>
      <c r="E62" s="8">
        <v>4</v>
      </c>
      <c r="F62" s="8">
        <v>5</v>
      </c>
      <c r="G62" s="8">
        <v>6</v>
      </c>
      <c r="H62" s="8">
        <v>7</v>
      </c>
      <c r="I62" s="8">
        <v>8</v>
      </c>
      <c r="J62" s="8">
        <v>9</v>
      </c>
      <c r="K62" s="8">
        <v>10</v>
      </c>
      <c r="L62" s="8">
        <v>11</v>
      </c>
      <c r="M62" s="8">
        <v>12</v>
      </c>
    </row>
    <row r="63" spans="1:13" ht="15" customHeight="1" x14ac:dyDescent="0.35">
      <c r="A63" s="8" t="s">
        <v>28</v>
      </c>
      <c r="B63" s="9" t="str">
        <f>IFERROR(INDEX('CONTROL MASTER'!$Q$2:$Q$495,MATCH("Control NIH Plate 6: A1",'CONTROL MASTER'!$H$2:$H$495,0)),"")</f>
        <v/>
      </c>
      <c r="C63" s="9" t="str">
        <f>IFERROR(INDEX('CONTROL MASTER'!$Q$2:$Q$495,MATCH("Control NIH Plate 6: A2",'CONTROL MASTER'!$H$2:$H$495,0)),"")</f>
        <v/>
      </c>
      <c r="D63" s="9" t="str">
        <f>IFERROR(INDEX('CONTROL MASTER'!$Q$2:$Q$495,MATCH("Control NIH Plate 6: A3",'CONTROL MASTER'!$H$2:$H$495,0)),"")</f>
        <v/>
      </c>
      <c r="E63" s="9" t="str">
        <f>IFERROR(INDEX('CONTROL MASTER'!$Q$2:$Q$495,MATCH("Control NIH Plate 6: A4",'CONTROL MASTER'!$H$2:$H$495,0)),"")</f>
        <v/>
      </c>
      <c r="F63" s="9" t="str">
        <f>IFERROR(INDEX('CONTROL MASTER'!$Q$2:$Q$495,MATCH("Control NIH Plate 6: A5",'CONTROL MASTER'!$H$2:$H$495,0)),"")</f>
        <v/>
      </c>
      <c r="G63" s="9" t="str">
        <f>IFERROR(INDEX('CONTROL MASTER'!$Q$2:$Q$495,MATCH("Control NIH Plate 6: A6",'CONTROL MASTER'!$H$2:$H$495,0)),"")</f>
        <v/>
      </c>
      <c r="H63" s="9" t="str">
        <f>IFERROR(INDEX('CONTROL MASTER'!$Q$2:$Q$495,MATCH("Control NIH Plate 6: A7",'CONTROL MASTER'!$H$2:$H$495,0)),"")</f>
        <v/>
      </c>
      <c r="I63" s="9" t="str">
        <f>IFERROR(INDEX('CONTROL MASTER'!$Q$2:$Q$495,MATCH("Control NIH Plate 6: A8",'CONTROL MASTER'!$H$2:$H$495,0)),"")</f>
        <v/>
      </c>
      <c r="J63" s="9" t="str">
        <f>IFERROR(INDEX('CONTROL MASTER'!$Q$2:$Q$495,MATCH("Control NIH Plate 6: A9",'CONTROL MASTER'!$H$2:$H$495,0)),"")</f>
        <v/>
      </c>
      <c r="K63" s="9" t="str">
        <f>IFERROR(INDEX('CONTROL MASTER'!$Q$2:$Q$495,MATCH("Control NIH Plate 6: A10",'CONTROL MASTER'!$H$2:$H$495,0)),"")</f>
        <v/>
      </c>
      <c r="L63" s="9" t="str">
        <f>IFERROR(INDEX('CONTROL MASTER'!$Q$2:$Q$495,MATCH("Control NIH Plate 6: A11",'CONTROL MASTER'!$H$2:$H$495,0)),"")</f>
        <v/>
      </c>
      <c r="M63" s="9" t="str">
        <f>IFERROR(INDEX('CONTROL MASTER'!$Q$2:$Q$495,MATCH("Control NIH Plate 6: A12",'CONTROL MASTER'!$H$2:$H$495,0)),"")</f>
        <v/>
      </c>
    </row>
    <row r="64" spans="1:13" ht="15" customHeight="1" x14ac:dyDescent="0.35">
      <c r="A64" s="8" t="s">
        <v>29</v>
      </c>
      <c r="B64" s="9" t="str">
        <f>IFERROR(INDEX('CONTROL MASTER'!$Q$2:$Q$495,MATCH("Control NIH Plate 6: B1",'CONTROL MASTER'!$H$2:$H$495,0)),"")</f>
        <v/>
      </c>
      <c r="C64" s="9" t="str">
        <f>IFERROR(INDEX('CONTROL MASTER'!$Q$2:$Q$495,MATCH("Control NIH Plate 6: B2",'CONTROL MASTER'!$H$2:$H$495,0)),"")</f>
        <v/>
      </c>
      <c r="D64" s="9" t="str">
        <f>IFERROR(INDEX('CONTROL MASTER'!$Q$2:$Q$495,MATCH("Control NIH Plate 6: B3",'CONTROL MASTER'!$H$2:$H$495,0)),"")</f>
        <v/>
      </c>
      <c r="E64" s="9" t="str">
        <f>IFERROR(INDEX('CONTROL MASTER'!$Q$2:$Q$495,MATCH("Control NIH Plate 6: B4",'CONTROL MASTER'!$H$2:$H$495,0)),"")</f>
        <v/>
      </c>
      <c r="F64" s="9" t="str">
        <f>IFERROR(INDEX('CONTROL MASTER'!$Q$2:$Q$495,MATCH("Control NIH Plate 6: B5",'CONTROL MASTER'!$H$2:$H$495,0)),"")</f>
        <v/>
      </c>
      <c r="G64" s="9" t="str">
        <f>IFERROR(INDEX('CONTROL MASTER'!$Q$2:$Q$495,MATCH("Control NIH Plate 6: B6",'CONTROL MASTER'!$H$2:$H$495,0)),"")</f>
        <v/>
      </c>
      <c r="H64" s="9" t="str">
        <f>IFERROR(INDEX('CONTROL MASTER'!$Q$2:$Q$495,MATCH("Control NIH Plate 6: B7",'CONTROL MASTER'!$H$2:$H$495,0)),"")</f>
        <v/>
      </c>
      <c r="I64" s="9" t="str">
        <f>IFERROR(INDEX('CONTROL MASTER'!$Q$2:$Q$495,MATCH("Control NIH Plate 6: B8",'CONTROL MASTER'!$H$2:$H$495,0)),"")</f>
        <v/>
      </c>
      <c r="J64" s="9" t="str">
        <f>IFERROR(INDEX('CONTROL MASTER'!$Q$2:$Q$495,MATCH("Control NIH Plate 6: B9",'CONTROL MASTER'!$H$2:$H$495,0)),"")</f>
        <v/>
      </c>
      <c r="K64" s="9" t="str">
        <f>IFERROR(INDEX('CONTROL MASTER'!$Q$2:$Q$495,MATCH("Control NIH Plate 6: B10",'CONTROL MASTER'!$H$2:$H$495,0)),"")</f>
        <v/>
      </c>
      <c r="L64" s="9" t="str">
        <f>IFERROR(INDEX('CONTROL MASTER'!$Q$2:$Q$495,MATCH("Control NIH Plate 6: B11",'CONTROL MASTER'!$H$2:$H$495,0)),"")</f>
        <v/>
      </c>
      <c r="M64" s="9" t="str">
        <f>IFERROR(INDEX('CONTROL MASTER'!$Q$2:$Q$495,MATCH("Control NIH Plate 6: B12",'CONTROL MASTER'!$H$2:$H$495,0)),"")</f>
        <v/>
      </c>
    </row>
    <row r="65" spans="1:13" ht="15" customHeight="1" x14ac:dyDescent="0.35">
      <c r="A65" s="8" t="s">
        <v>30</v>
      </c>
      <c r="B65" s="9" t="str">
        <f>IFERROR(INDEX('CONTROL MASTER'!$Q$2:$Q$495,MATCH("Control NIH Plate 6: C1",'CONTROL MASTER'!$H$2:$H$495,0)),"")</f>
        <v/>
      </c>
      <c r="C65" s="9" t="str">
        <f>IFERROR(INDEX('CONTROL MASTER'!$Q$2:$Q$495,MATCH("Control NIH Plate 6: C2",'CONTROL MASTER'!$H$2:$H$495,0)),"")</f>
        <v/>
      </c>
      <c r="D65" s="9" t="str">
        <f>IFERROR(INDEX('CONTROL MASTER'!$Q$2:$Q$495,MATCH("Control NIH Plate 6: C3",'CONTROL MASTER'!$H$2:$H$495,0)),"")</f>
        <v/>
      </c>
      <c r="E65" s="9" t="str">
        <f>IFERROR(INDEX('CONTROL MASTER'!$Q$2:$Q$495,MATCH("Control NIH Plate 6: C4",'CONTROL MASTER'!$H$2:$H$495,0)),"")</f>
        <v/>
      </c>
      <c r="F65" s="9" t="str">
        <f>IFERROR(INDEX('CONTROL MASTER'!$Q$2:$Q$495,MATCH("Control NIH Plate 6: C5",'CONTROL MASTER'!$H$2:$H$495,0)),"")</f>
        <v/>
      </c>
      <c r="G65" s="9" t="str">
        <f>IFERROR(INDEX('CONTROL MASTER'!$Q$2:$Q$495,MATCH("Control NIH Plate 6: C6",'CONTROL MASTER'!$H$2:$H$495,0)),"")</f>
        <v/>
      </c>
      <c r="H65" s="9" t="str">
        <f>IFERROR(INDEX('CONTROL MASTER'!$Q$2:$Q$495,MATCH("Control NIH Plate 6: C7",'CONTROL MASTER'!$H$2:$H$495,0)),"")</f>
        <v/>
      </c>
      <c r="I65" s="9" t="str">
        <f>IFERROR(INDEX('CONTROL MASTER'!$Q$2:$Q$495,MATCH("Control NIH Plate 6: C8",'CONTROL MASTER'!$H$2:$H$495,0)),"")</f>
        <v/>
      </c>
      <c r="J65" s="9" t="str">
        <f>IFERROR(INDEX('CONTROL MASTER'!$Q$2:$Q$495,MATCH("Control NIH Plate 6: C9",'CONTROL MASTER'!$H$2:$H$495,0)),"")</f>
        <v/>
      </c>
      <c r="K65" s="9" t="str">
        <f>IFERROR(INDEX('CONTROL MASTER'!$Q$2:$Q$495,MATCH("Control NIH Plate 6: C10",'CONTROL MASTER'!$H$2:$H$495,0)),"")</f>
        <v/>
      </c>
      <c r="L65" s="9" t="str">
        <f>IFERROR(INDEX('CONTROL MASTER'!$Q$2:$Q$495,MATCH("Control NIH Plate 6: C11",'CONTROL MASTER'!$H$2:$H$495,0)),"")</f>
        <v/>
      </c>
      <c r="M65" s="9" t="str">
        <f>IFERROR(INDEX('CONTROL MASTER'!$Q$2:$Q$495,MATCH("Control NIH Plate 6: C12",'CONTROL MASTER'!$H$2:$H$495,0)),"")</f>
        <v/>
      </c>
    </row>
    <row r="66" spans="1:13" ht="15" customHeight="1" x14ac:dyDescent="0.35">
      <c r="A66" s="8" t="s">
        <v>31</v>
      </c>
      <c r="B66" s="9" t="str">
        <f>IFERROR(INDEX('CONTROL MASTER'!$Q$2:$Q$495,MATCH("Control NIH Plate 6: D1",'CONTROL MASTER'!$H$2:$H$495,0)),"")</f>
        <v/>
      </c>
      <c r="C66" s="9" t="str">
        <f>IFERROR(INDEX('CONTROL MASTER'!$Q$2:$Q$495,MATCH("Control NIH Plate 6: D2",'CONTROL MASTER'!$H$2:$H$495,0)),"")</f>
        <v/>
      </c>
      <c r="D66" s="9" t="str">
        <f>IFERROR(INDEX('CONTROL MASTER'!$Q$2:$Q$495,MATCH("Control NIH Plate 6: D3",'CONTROL MASTER'!$H$2:$H$495,0)),"")</f>
        <v/>
      </c>
      <c r="E66" s="9" t="str">
        <f>IFERROR(INDEX('CONTROL MASTER'!$Q$2:$Q$495,MATCH("Control NIH Plate 6: D4",'CONTROL MASTER'!$H$2:$H$495,0)),"")</f>
        <v/>
      </c>
      <c r="F66" s="9" t="str">
        <f>IFERROR(INDEX('CONTROL MASTER'!$Q$2:$Q$495,MATCH("Control NIH Plate 6: D5",'CONTROL MASTER'!$H$2:$H$495,0)),"")</f>
        <v/>
      </c>
      <c r="G66" s="9" t="str">
        <f>IFERROR(INDEX('CONTROL MASTER'!$Q$2:$Q$495,MATCH("Control NIH Plate 6: D6",'CONTROL MASTER'!$H$2:$H$495,0)),"")</f>
        <v/>
      </c>
      <c r="H66" s="9" t="str">
        <f>IFERROR(INDEX('CONTROL MASTER'!$Q$2:$Q$495,MATCH("Control NIH Plate 6: D7",'CONTROL MASTER'!$H$2:$H$495,0)),"")</f>
        <v/>
      </c>
      <c r="I66" s="9" t="str">
        <f>IFERROR(INDEX('CONTROL MASTER'!$Q$2:$Q$495,MATCH("Control NIH Plate 6: D8",'CONTROL MASTER'!$H$2:$H$495,0)),"")</f>
        <v/>
      </c>
      <c r="J66" s="9" t="str">
        <f>IFERROR(INDEX('CONTROL MASTER'!$Q$2:$Q$495,MATCH("Control NIH Plate 6: D9",'CONTROL MASTER'!$H$2:$H$495,0)),"")</f>
        <v/>
      </c>
      <c r="K66" s="9" t="str">
        <f>IFERROR(INDEX('CONTROL MASTER'!$Q$2:$Q$495,MATCH("Control NIH Plate 6: D10",'CONTROL MASTER'!$H$2:$H$495,0)),"")</f>
        <v/>
      </c>
      <c r="L66" s="9" t="str">
        <f>IFERROR(INDEX('CONTROL MASTER'!$Q$2:$Q$495,MATCH("Control NIH Plate 6: D11",'CONTROL MASTER'!$H$2:$H$495,0)),"")</f>
        <v/>
      </c>
      <c r="M66" s="9" t="str">
        <f>IFERROR(INDEX('CONTROL MASTER'!$Q$2:$Q$495,MATCH("Control NIH Plate 6: D12",'CONTROL MASTER'!$H$2:$H$495,0)),"")</f>
        <v/>
      </c>
    </row>
    <row r="67" spans="1:13" ht="15" customHeight="1" x14ac:dyDescent="0.35">
      <c r="A67" s="8" t="s">
        <v>32</v>
      </c>
      <c r="B67" s="9" t="str">
        <f>IFERROR(INDEX('CONTROL MASTER'!$Q$2:$Q$495,MATCH("Control NIH Plate 6: E1",'CONTROL MASTER'!$H$2:$H$495,0)),"")</f>
        <v/>
      </c>
      <c r="C67" s="9" t="str">
        <f>IFERROR(INDEX('CONTROL MASTER'!$Q$2:$Q$495,MATCH("Control NIH Plate 6: E2",'CONTROL MASTER'!$H$2:$H$495,0)),"")</f>
        <v/>
      </c>
      <c r="D67" s="9" t="str">
        <f>IFERROR(INDEX('CONTROL MASTER'!$Q$2:$Q$495,MATCH("Control NIH Plate 6: E3",'CONTROL MASTER'!$H$2:$H$495,0)),"")</f>
        <v/>
      </c>
      <c r="E67" s="9" t="str">
        <f>IFERROR(INDEX('CONTROL MASTER'!$Q$2:$Q$495,MATCH("Control NIH Plate 6: E4",'CONTROL MASTER'!$H$2:$H$495,0)),"")</f>
        <v/>
      </c>
      <c r="F67" s="9" t="str">
        <f>IFERROR(INDEX('CONTROL MASTER'!$Q$2:$Q$495,MATCH("Control NIH Plate 6: E5",'CONTROL MASTER'!$H$2:$H$495,0)),"")</f>
        <v/>
      </c>
      <c r="G67" s="9" t="str">
        <f>IFERROR(INDEX('CONTROL MASTER'!$Q$2:$Q$495,MATCH("Control NIH Plate 6: E6",'CONTROL MASTER'!$H$2:$H$495,0)),"")</f>
        <v/>
      </c>
      <c r="H67" s="9" t="str">
        <f>IFERROR(INDEX('CONTROL MASTER'!$Q$2:$Q$495,MATCH("Control NIH Plate 6: E7",'CONTROL MASTER'!$H$2:$H$495,0)),"")</f>
        <v/>
      </c>
      <c r="I67" s="9" t="str">
        <f>IFERROR(INDEX('CONTROL MASTER'!$Q$2:$Q$495,MATCH("Control NIH Plate 6: E8",'CONTROL MASTER'!$H$2:$H$495,0)),"")</f>
        <v/>
      </c>
      <c r="J67" s="9" t="str">
        <f>IFERROR(INDEX('CONTROL MASTER'!$Q$2:$Q$495,MATCH("Control NIH Plate 6: E9",'CONTROL MASTER'!$H$2:$H$495,0)),"")</f>
        <v/>
      </c>
      <c r="K67" s="9" t="str">
        <f>IFERROR(INDEX('CONTROL MASTER'!$Q$2:$Q$495,MATCH("Control NIH Plate 6: E10",'CONTROL MASTER'!$H$2:$H$495,0)),"")</f>
        <v/>
      </c>
      <c r="L67" s="9" t="str">
        <f>IFERROR(INDEX('CONTROL MASTER'!$Q$2:$Q$495,MATCH("Control NIH Plate 6: E11",'CONTROL MASTER'!$H$2:$H$495,0)),"")</f>
        <v/>
      </c>
      <c r="M67" s="9" t="str">
        <f>IFERROR(INDEX('CONTROL MASTER'!$Q$2:$Q$495,MATCH("Control NIH Plate 6: E12",'CONTROL MASTER'!$H$2:$H$495,0)),"")</f>
        <v/>
      </c>
    </row>
    <row r="68" spans="1:13" ht="15" customHeight="1" x14ac:dyDescent="0.35">
      <c r="A68" s="8" t="s">
        <v>33</v>
      </c>
      <c r="B68" s="9" t="str">
        <f>IFERROR(INDEX('CONTROL MASTER'!$Q$2:$Q$495,MATCH("Control NIH Plate 6: F1",'CONTROL MASTER'!$H$2:$H$495,0)),"")</f>
        <v/>
      </c>
      <c r="C68" s="9" t="str">
        <f>IFERROR(INDEX('CONTROL MASTER'!$Q$2:$Q$495,MATCH("Control NIH Plate 6: F2",'CONTROL MASTER'!$H$2:$H$495,0)),"")</f>
        <v/>
      </c>
      <c r="D68" s="9" t="str">
        <f>IFERROR(INDEX('CONTROL MASTER'!$Q$2:$Q$495,MATCH("Control NIH Plate 6: F3",'CONTROL MASTER'!$H$2:$H$495,0)),"")</f>
        <v/>
      </c>
      <c r="E68" s="9" t="str">
        <f>IFERROR(INDEX('CONTROL MASTER'!$Q$2:$Q$495,MATCH("Control NIH Plate 6: F4",'CONTROL MASTER'!$H$2:$H$495,0)),"")</f>
        <v/>
      </c>
      <c r="F68" s="9" t="str">
        <f>IFERROR(INDEX('CONTROL MASTER'!$Q$2:$Q$495,MATCH("Control NIH Plate 6: F5",'CONTROL MASTER'!$H$2:$H$495,0)),"")</f>
        <v/>
      </c>
      <c r="G68" s="9" t="str">
        <f>IFERROR(INDEX('CONTROL MASTER'!$Q$2:$Q$495,MATCH("Control NIH Plate 6: F6",'CONTROL MASTER'!$H$2:$H$495,0)),"")</f>
        <v/>
      </c>
      <c r="H68" s="9" t="str">
        <f>IFERROR(INDEX('CONTROL MASTER'!$Q$2:$Q$495,MATCH("Control NIH Plate 6: F7",'CONTROL MASTER'!$H$2:$H$495,0)),"")</f>
        <v/>
      </c>
      <c r="I68" s="9" t="str">
        <f>IFERROR(INDEX('CONTROL MASTER'!$Q$2:$Q$495,MATCH("Control NIH Plate 6: F8",'CONTROL MASTER'!$H$2:$H$495,0)),"")</f>
        <v/>
      </c>
      <c r="J68" s="9" t="str">
        <f>IFERROR(INDEX('CONTROL MASTER'!$Q$2:$Q$495,MATCH("Control NIH Plate 6: F9",'CONTROL MASTER'!$H$2:$H$495,0)),"")</f>
        <v/>
      </c>
      <c r="K68" s="9" t="str">
        <f>IFERROR(INDEX('CONTROL MASTER'!$Q$2:$Q$495,MATCH("Control NIH Plate 6: F10",'CONTROL MASTER'!$H$2:$H$495,0)),"")</f>
        <v/>
      </c>
      <c r="L68" s="9" t="str">
        <f>IFERROR(INDEX('CONTROL MASTER'!$Q$2:$Q$495,MATCH("Control NIH Plate 6: F11",'CONTROL MASTER'!$H$2:$H$495,0)),"")</f>
        <v/>
      </c>
      <c r="M68" s="9" t="str">
        <f>IFERROR(INDEX('CONTROL MASTER'!$Q$2:$Q$495,MATCH("Control NIH Plate 6: F12",'CONTROL MASTER'!$H$2:$H$495,0)),"")</f>
        <v/>
      </c>
    </row>
    <row r="69" spans="1:13" ht="15" customHeight="1" x14ac:dyDescent="0.35">
      <c r="A69" s="8" t="s">
        <v>34</v>
      </c>
      <c r="B69" s="9" t="str">
        <f>IFERROR(INDEX('CONTROL MASTER'!$Q$2:$Q$495,MATCH("Control NIH Plate 6: G1",'CONTROL MASTER'!$H$2:$H$495,0)),"")</f>
        <v/>
      </c>
      <c r="C69" s="9" t="str">
        <f>IFERROR(INDEX('CONTROL MASTER'!$Q$2:$Q$495,MATCH("Control NIH Plate 6: G2",'CONTROL MASTER'!$H$2:$H$495,0)),"")</f>
        <v/>
      </c>
      <c r="D69" s="9" t="str">
        <f>IFERROR(INDEX('CONTROL MASTER'!$Q$2:$Q$495,MATCH("Control NIH Plate 6: G3",'CONTROL MASTER'!$H$2:$H$495,0)),"")</f>
        <v/>
      </c>
      <c r="E69" s="9" t="str">
        <f>IFERROR(INDEX('CONTROL MASTER'!$Q$2:$Q$495,MATCH("Control NIH Plate 6: G4",'CONTROL MASTER'!$H$2:$H$495,0)),"")</f>
        <v/>
      </c>
      <c r="F69" s="9" t="str">
        <f>IFERROR(INDEX('CONTROL MASTER'!$Q$2:$Q$495,MATCH("Control NIH Plate 6: G5",'CONTROL MASTER'!$H$2:$H$495,0)),"")</f>
        <v/>
      </c>
      <c r="G69" s="9" t="str">
        <f>IFERROR(INDEX('CONTROL MASTER'!$Q$2:$Q$495,MATCH("Control NIH Plate 6: G6",'CONTROL MASTER'!$H$2:$H$495,0)),"")</f>
        <v/>
      </c>
      <c r="H69" s="9" t="str">
        <f>IFERROR(INDEX('CONTROL MASTER'!$Q$2:$Q$495,MATCH("Control NIH Plate 6: G7",'CONTROL MASTER'!$H$2:$H$495,0)),"")</f>
        <v/>
      </c>
      <c r="I69" s="9" t="str">
        <f>IFERROR(INDEX('CONTROL MASTER'!$Q$2:$Q$495,MATCH("Control NIH Plate 6: G8",'CONTROL MASTER'!$H$2:$H$495,0)),"")</f>
        <v/>
      </c>
      <c r="J69" s="9" t="str">
        <f>IFERROR(INDEX('CONTROL MASTER'!$Q$2:$Q$495,MATCH("Control NIH Plate 6: G9",'CONTROL MASTER'!$H$2:$H$495,0)),"")</f>
        <v/>
      </c>
      <c r="K69" s="9" t="str">
        <f>IFERROR(INDEX('CONTROL MASTER'!$Q$2:$Q$495,MATCH("Control NIH Plate 6: G10",'CONTROL MASTER'!$H$2:$H$495,0)),"")</f>
        <v/>
      </c>
      <c r="L69" s="9" t="str">
        <f>IFERROR(INDEX('CONTROL MASTER'!$Q$2:$Q$495,MATCH("Control NIH Plate 6: G11",'CONTROL MASTER'!$H$2:$H$495,0)),"")</f>
        <v/>
      </c>
      <c r="M69" s="9" t="str">
        <f>IFERROR(INDEX('CONTROL MASTER'!$Q$2:$Q$495,MATCH("Control NIH Plate 6: G12",'CONTROL MASTER'!$H$2:$H$495,0)),"")</f>
        <v/>
      </c>
    </row>
    <row r="70" spans="1:13" ht="15" customHeight="1" x14ac:dyDescent="0.35">
      <c r="A70" s="8" t="s">
        <v>35</v>
      </c>
      <c r="B70" s="9" t="str">
        <f>IFERROR(INDEX('CONTROL MASTER'!$Q$2:$Q$495,MATCH("Control NIH Plate 6: H1",'CONTROL MASTER'!$H$2:$H$495,0)),"")</f>
        <v/>
      </c>
      <c r="C70" s="9" t="str">
        <f>IFERROR(INDEX('CONTROL MASTER'!$Q$2:$Q$495,MATCH("Control NIH Plate 6: H2",'CONTROL MASTER'!$H$2:$H$495,0)),"")</f>
        <v/>
      </c>
      <c r="D70" s="9" t="str">
        <f>IFERROR(INDEX('CONTROL MASTER'!$Q$2:$Q$495,MATCH("Control NIH Plate 6: H3",'CONTROL MASTER'!$H$2:$H$495,0)),"")</f>
        <v/>
      </c>
      <c r="E70" s="9" t="str">
        <f>IFERROR(INDEX('CONTROL MASTER'!$Q$2:$Q$495,MATCH("Control NIH Plate 6: H4",'CONTROL MASTER'!$H$2:$H$495,0)),"")</f>
        <v/>
      </c>
      <c r="F70" s="9" t="str">
        <f>IFERROR(INDEX('CONTROL MASTER'!$Q$2:$Q$495,MATCH("Control NIH Plate 6: H5",'CONTROL MASTER'!$H$2:$H$495,0)),"")</f>
        <v/>
      </c>
      <c r="G70" s="9" t="str">
        <f>IFERROR(INDEX('CONTROL MASTER'!$Q$2:$Q$495,MATCH("Control NIH Plate 6: H6",'CONTROL MASTER'!$H$2:$H$495,0)),"")</f>
        <v/>
      </c>
      <c r="H70" s="9" t="str">
        <f>IFERROR(INDEX('CONTROL MASTER'!$Q$2:$Q$495,MATCH("Control NIH Plate 6: H7",'CONTROL MASTER'!$H$2:$H$495,0)),"")</f>
        <v/>
      </c>
      <c r="I70" s="9" t="str">
        <f>IFERROR(INDEX('CONTROL MASTER'!$Q$2:$Q$495,MATCH("Control NIH Plate 6: H8",'CONTROL MASTER'!$H$2:$H$495,0)),"")</f>
        <v/>
      </c>
      <c r="J70" s="9" t="str">
        <f>IFERROR(INDEX('CONTROL MASTER'!$Q$2:$Q$495,MATCH("Control NIH Plate 6: H9",'CONTROL MASTER'!$H$2:$H$495,0)),"")</f>
        <v/>
      </c>
      <c r="K70" s="9" t="str">
        <f>IFERROR(INDEX('CONTROL MASTER'!$Q$2:$Q$495,MATCH("Control NIH Plate 6: H10",'CONTROL MASTER'!$H$2:$H$495,0)),"")</f>
        <v/>
      </c>
      <c r="L70" s="9" t="str">
        <f>IFERROR(INDEX('CONTROL MASTER'!$Q$2:$Q$495,MATCH("Control NIH Plate 6: H11",'CONTROL MASTER'!$H$2:$H$495,0)),"")</f>
        <v/>
      </c>
      <c r="M70" s="9" t="str">
        <f>IFERROR(INDEX('CONTROL MASTER'!$Q$2:$Q$495,MATCH("Control NIH Plate 6: H12",'CONTROL MASTER'!$H$2:$H$495,0)),"")</f>
        <v/>
      </c>
    </row>
    <row r="73" spans="1:13" ht="15" customHeight="1" x14ac:dyDescent="0.35">
      <c r="A73" s="12" t="s">
        <v>133</v>
      </c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</row>
    <row r="74" spans="1:13" ht="15" customHeight="1" x14ac:dyDescent="0.35">
      <c r="B74" s="8">
        <v>1</v>
      </c>
      <c r="C74" s="8">
        <v>2</v>
      </c>
      <c r="D74" s="8">
        <v>3</v>
      </c>
      <c r="E74" s="8">
        <v>4</v>
      </c>
      <c r="F74" s="8">
        <v>5</v>
      </c>
      <c r="G74" s="8">
        <v>6</v>
      </c>
      <c r="H74" s="8">
        <v>7</v>
      </c>
      <c r="I74" s="8">
        <v>8</v>
      </c>
      <c r="J74" s="8">
        <v>9</v>
      </c>
      <c r="K74" s="8">
        <v>10</v>
      </c>
      <c r="L74" s="8">
        <v>11</v>
      </c>
      <c r="M74" s="8">
        <v>12</v>
      </c>
    </row>
    <row r="75" spans="1:13" ht="15" customHeight="1" x14ac:dyDescent="0.35">
      <c r="A75" s="8" t="s">
        <v>28</v>
      </c>
      <c r="B75" s="9" t="str">
        <f>IFERROR(INDEX('CONTROL MASTER'!$Q$2:$Q$495,MATCH("Control NIH Plate 7: A1",'CONTROL MASTER'!$H$2:$H$495,0)),"")</f>
        <v/>
      </c>
      <c r="C75" s="9" t="str">
        <f>IFERROR(INDEX('CONTROL MASTER'!$Q$2:$Q$495,MATCH("Control NIH Plate 7: A2",'CONTROL MASTER'!$H$2:$H$495,0)),"")</f>
        <v/>
      </c>
      <c r="D75" s="9" t="str">
        <f>IFERROR(INDEX('CONTROL MASTER'!$Q$2:$Q$495,MATCH("Control NIH Plate 7: A3",'CONTROL MASTER'!$H$2:$H$495,0)),"")</f>
        <v/>
      </c>
      <c r="E75" s="9" t="str">
        <f>IFERROR(INDEX('CONTROL MASTER'!$Q$2:$Q$495,MATCH("Control NIH Plate 7: A4",'CONTROL MASTER'!$H$2:$H$495,0)),"")</f>
        <v/>
      </c>
      <c r="F75" s="9" t="str">
        <f>IFERROR(INDEX('CONTROL MASTER'!$Q$2:$Q$495,MATCH("Control NIH Plate 7: A5",'CONTROL MASTER'!$H$2:$H$495,0)),"")</f>
        <v/>
      </c>
      <c r="G75" s="9" t="str">
        <f>IFERROR(INDEX('CONTROL MASTER'!$Q$2:$Q$495,MATCH("Control NIH Plate 7: A6",'CONTROL MASTER'!$H$2:$H$495,0)),"")</f>
        <v/>
      </c>
      <c r="H75" s="9" t="str">
        <f>IFERROR(INDEX('CONTROL MASTER'!$Q$2:$Q$495,MATCH("Control NIH Plate 7: A7",'CONTROL MASTER'!$H$2:$H$495,0)),"")</f>
        <v/>
      </c>
      <c r="I75" s="9" t="str">
        <f>IFERROR(INDEX('CONTROL MASTER'!$Q$2:$Q$495,MATCH("Control NIH Plate 7: A8",'CONTROL MASTER'!$H$2:$H$495,0)),"")</f>
        <v/>
      </c>
      <c r="J75" s="9" t="str">
        <f>IFERROR(INDEX('CONTROL MASTER'!$Q$2:$Q$495,MATCH("Control NIH Plate 7: A9",'CONTROL MASTER'!$H$2:$H$495,0)),"")</f>
        <v/>
      </c>
      <c r="K75" s="9" t="str">
        <f>IFERROR(INDEX('CONTROL MASTER'!$Q$2:$Q$495,MATCH("Control NIH Plate 7: A10",'CONTROL MASTER'!$H$2:$H$495,0)),"")</f>
        <v/>
      </c>
      <c r="L75" s="9" t="str">
        <f>IFERROR(INDEX('CONTROL MASTER'!$Q$2:$Q$495,MATCH("Control NIH Plate 7: A11",'CONTROL MASTER'!$H$2:$H$495,0)),"")</f>
        <v/>
      </c>
      <c r="M75" s="9" t="str">
        <f>IFERROR(INDEX('CONTROL MASTER'!$Q$2:$Q$495,MATCH("Control NIH Plate 7: A12",'CONTROL MASTER'!$H$2:$H$495,0)),"")</f>
        <v/>
      </c>
    </row>
    <row r="76" spans="1:13" ht="15" customHeight="1" x14ac:dyDescent="0.35">
      <c r="A76" s="8" t="s">
        <v>29</v>
      </c>
      <c r="B76" s="9" t="str">
        <f>IFERROR(INDEX('CONTROL MASTER'!$Q$2:$Q$495,MATCH("Control NIH Plate 7: B1",'CONTROL MASTER'!$H$2:$H$495,0)),"")</f>
        <v/>
      </c>
      <c r="C76" s="9" t="str">
        <f>IFERROR(INDEX('CONTROL MASTER'!$Q$2:$Q$495,MATCH("Control NIH Plate 7: B2",'CONTROL MASTER'!$H$2:$H$495,0)),"")</f>
        <v/>
      </c>
      <c r="D76" s="9" t="str">
        <f>IFERROR(INDEX('CONTROL MASTER'!$Q$2:$Q$495,MATCH("Control NIH Plate 7: B3",'CONTROL MASTER'!$H$2:$H$495,0)),"")</f>
        <v/>
      </c>
      <c r="E76" s="9" t="str">
        <f>IFERROR(INDEX('CONTROL MASTER'!$Q$2:$Q$495,MATCH("Control NIH Plate 7: B4",'CONTROL MASTER'!$H$2:$H$495,0)),"")</f>
        <v/>
      </c>
      <c r="F76" s="9" t="str">
        <f>IFERROR(INDEX('CONTROL MASTER'!$Q$2:$Q$495,MATCH("Control NIH Plate 7: B5",'CONTROL MASTER'!$H$2:$H$495,0)),"")</f>
        <v/>
      </c>
      <c r="G76" s="9" t="str">
        <f>IFERROR(INDEX('CONTROL MASTER'!$Q$2:$Q$495,MATCH("Control NIH Plate 7: B6",'CONTROL MASTER'!$H$2:$H$495,0)),"")</f>
        <v/>
      </c>
      <c r="H76" s="9" t="str">
        <f>IFERROR(INDEX('CONTROL MASTER'!$Q$2:$Q$495,MATCH("Control NIH Plate 7: B7",'CONTROL MASTER'!$H$2:$H$495,0)),"")</f>
        <v/>
      </c>
      <c r="I76" s="9" t="str">
        <f>IFERROR(INDEX('CONTROL MASTER'!$Q$2:$Q$495,MATCH("Control NIH Plate 7: B8",'CONTROL MASTER'!$H$2:$H$495,0)),"")</f>
        <v/>
      </c>
      <c r="J76" s="9" t="str">
        <f>IFERROR(INDEX('CONTROL MASTER'!$Q$2:$Q$495,MATCH("Control NIH Plate 7: B9",'CONTROL MASTER'!$H$2:$H$495,0)),"")</f>
        <v/>
      </c>
      <c r="K76" s="9" t="str">
        <f>IFERROR(INDEX('CONTROL MASTER'!$Q$2:$Q$495,MATCH("Control NIH Plate 7: B10",'CONTROL MASTER'!$H$2:$H$495,0)),"")</f>
        <v/>
      </c>
      <c r="L76" s="9" t="str">
        <f>IFERROR(INDEX('CONTROL MASTER'!$Q$2:$Q$495,MATCH("Control NIH Plate 7: B11",'CONTROL MASTER'!$H$2:$H$495,0)),"")</f>
        <v/>
      </c>
      <c r="M76" s="9" t="str">
        <f>IFERROR(INDEX('CONTROL MASTER'!$Q$2:$Q$495,MATCH("Control NIH Plate 7: B12",'CONTROL MASTER'!$H$2:$H$495,0)),"")</f>
        <v/>
      </c>
    </row>
    <row r="77" spans="1:13" ht="15" customHeight="1" x14ac:dyDescent="0.35">
      <c r="A77" s="8" t="s">
        <v>30</v>
      </c>
      <c r="B77" s="9" t="str">
        <f>IFERROR(INDEX('CONTROL MASTER'!$Q$2:$Q$495,MATCH("Control NIH Plate 7: C1",'CONTROL MASTER'!$H$2:$H$495,0)),"")</f>
        <v/>
      </c>
      <c r="C77" s="9" t="str">
        <f>IFERROR(INDEX('CONTROL MASTER'!$Q$2:$Q$495,MATCH("Control NIH Plate 7: C2",'CONTROL MASTER'!$H$2:$H$495,0)),"")</f>
        <v/>
      </c>
      <c r="D77" s="9" t="str">
        <f>IFERROR(INDEX('CONTROL MASTER'!$Q$2:$Q$495,MATCH("Control NIH Plate 7: C3",'CONTROL MASTER'!$H$2:$H$495,0)),"")</f>
        <v/>
      </c>
      <c r="E77" s="9" t="str">
        <f>IFERROR(INDEX('CONTROL MASTER'!$Q$2:$Q$495,MATCH("Control NIH Plate 7: C4",'CONTROL MASTER'!$H$2:$H$495,0)),"")</f>
        <v/>
      </c>
      <c r="F77" s="9" t="str">
        <f>IFERROR(INDEX('CONTROL MASTER'!$Q$2:$Q$495,MATCH("Control NIH Plate 7: C5",'CONTROL MASTER'!$H$2:$H$495,0)),"")</f>
        <v/>
      </c>
      <c r="G77" s="9" t="str">
        <f>IFERROR(INDEX('CONTROL MASTER'!$Q$2:$Q$495,MATCH("Control NIH Plate 7: C6",'CONTROL MASTER'!$H$2:$H$495,0)),"")</f>
        <v/>
      </c>
      <c r="H77" s="9" t="str">
        <f>IFERROR(INDEX('CONTROL MASTER'!$Q$2:$Q$495,MATCH("Control NIH Plate 7: C7",'CONTROL MASTER'!$H$2:$H$495,0)),"")</f>
        <v/>
      </c>
      <c r="I77" s="9" t="str">
        <f>IFERROR(INDEX('CONTROL MASTER'!$Q$2:$Q$495,MATCH("Control NIH Plate 7: C8",'CONTROL MASTER'!$H$2:$H$495,0)),"")</f>
        <v/>
      </c>
      <c r="J77" s="9" t="str">
        <f>IFERROR(INDEX('CONTROL MASTER'!$Q$2:$Q$495,MATCH("Control NIH Plate 7: C9",'CONTROL MASTER'!$H$2:$H$495,0)),"")</f>
        <v/>
      </c>
      <c r="K77" s="9" t="str">
        <f>IFERROR(INDEX('CONTROL MASTER'!$Q$2:$Q$495,MATCH("Control NIH Plate 7: C10",'CONTROL MASTER'!$H$2:$H$495,0)),"")</f>
        <v/>
      </c>
      <c r="L77" s="9" t="str">
        <f>IFERROR(INDEX('CONTROL MASTER'!$Q$2:$Q$495,MATCH("Control NIH Plate 7: C11",'CONTROL MASTER'!$H$2:$H$495,0)),"")</f>
        <v/>
      </c>
      <c r="M77" s="9" t="str">
        <f>IFERROR(INDEX('CONTROL MASTER'!$Q$2:$Q$495,MATCH("Control NIH Plate 7: C12",'CONTROL MASTER'!$H$2:$H$495,0)),"")</f>
        <v/>
      </c>
    </row>
    <row r="78" spans="1:13" ht="15" customHeight="1" x14ac:dyDescent="0.35">
      <c r="A78" s="8" t="s">
        <v>31</v>
      </c>
      <c r="B78" s="9" t="str">
        <f>IFERROR(INDEX('CONTROL MASTER'!$Q$2:$Q$495,MATCH("Control NIH Plate 7: D1",'CONTROL MASTER'!$H$2:$H$495,0)),"")</f>
        <v/>
      </c>
      <c r="C78" s="9" t="str">
        <f>IFERROR(INDEX('CONTROL MASTER'!$Q$2:$Q$495,MATCH("Control NIH Plate 7: D2",'CONTROL MASTER'!$H$2:$H$495,0)),"")</f>
        <v/>
      </c>
      <c r="D78" s="9" t="str">
        <f>IFERROR(INDEX('CONTROL MASTER'!$Q$2:$Q$495,MATCH("Control NIH Plate 7: D3",'CONTROL MASTER'!$H$2:$H$495,0)),"")</f>
        <v/>
      </c>
      <c r="E78" s="9" t="str">
        <f>IFERROR(INDEX('CONTROL MASTER'!$Q$2:$Q$495,MATCH("Control NIH Plate 7: D4",'CONTROL MASTER'!$H$2:$H$495,0)),"")</f>
        <v/>
      </c>
      <c r="F78" s="9" t="str">
        <f>IFERROR(INDEX('CONTROL MASTER'!$Q$2:$Q$495,MATCH("Control NIH Plate 7: D5",'CONTROL MASTER'!$H$2:$H$495,0)),"")</f>
        <v/>
      </c>
      <c r="G78" s="9" t="str">
        <f>IFERROR(INDEX('CONTROL MASTER'!$Q$2:$Q$495,MATCH("Control NIH Plate 7: D6",'CONTROL MASTER'!$H$2:$H$495,0)),"")</f>
        <v/>
      </c>
      <c r="H78" s="9" t="str">
        <f>IFERROR(INDEX('CONTROL MASTER'!$Q$2:$Q$495,MATCH("Control NIH Plate 7: D7",'CONTROL MASTER'!$H$2:$H$495,0)),"")</f>
        <v/>
      </c>
      <c r="I78" s="9" t="str">
        <f>IFERROR(INDEX('CONTROL MASTER'!$Q$2:$Q$495,MATCH("Control NIH Plate 7: D8",'CONTROL MASTER'!$H$2:$H$495,0)),"")</f>
        <v/>
      </c>
      <c r="J78" s="9" t="str">
        <f>IFERROR(INDEX('CONTROL MASTER'!$Q$2:$Q$495,MATCH("Control NIH Plate 7: D9",'CONTROL MASTER'!$H$2:$H$495,0)),"")</f>
        <v/>
      </c>
      <c r="K78" s="9" t="str">
        <f>IFERROR(INDEX('CONTROL MASTER'!$Q$2:$Q$495,MATCH("Control NIH Plate 7: D10",'CONTROL MASTER'!$H$2:$H$495,0)),"")</f>
        <v/>
      </c>
      <c r="L78" s="9" t="str">
        <f>IFERROR(INDEX('CONTROL MASTER'!$Q$2:$Q$495,MATCH("Control NIH Plate 7: D11",'CONTROL MASTER'!$H$2:$H$495,0)),"")</f>
        <v/>
      </c>
      <c r="M78" s="9" t="str">
        <f>IFERROR(INDEX('CONTROL MASTER'!$Q$2:$Q$495,MATCH("Control NIH Plate 7: D12",'CONTROL MASTER'!$H$2:$H$495,0)),"")</f>
        <v/>
      </c>
    </row>
    <row r="79" spans="1:13" ht="15" customHeight="1" x14ac:dyDescent="0.35">
      <c r="A79" s="8" t="s">
        <v>32</v>
      </c>
      <c r="B79" s="9" t="str">
        <f>IFERROR(INDEX('CONTROL MASTER'!$Q$2:$Q$495,MATCH("Control NIH Plate 7: E1",'CONTROL MASTER'!$H$2:$H$495,0)),"")</f>
        <v/>
      </c>
      <c r="C79" s="9" t="str">
        <f>IFERROR(INDEX('CONTROL MASTER'!$Q$2:$Q$495,MATCH("Control NIH Plate 7: E2",'CONTROL MASTER'!$H$2:$H$495,0)),"")</f>
        <v/>
      </c>
      <c r="D79" s="9" t="str">
        <f>IFERROR(INDEX('CONTROL MASTER'!$Q$2:$Q$495,MATCH("Control NIH Plate 7: E3",'CONTROL MASTER'!$H$2:$H$495,0)),"")</f>
        <v/>
      </c>
      <c r="E79" s="9" t="str">
        <f>IFERROR(INDEX('CONTROL MASTER'!$Q$2:$Q$495,MATCH("Control NIH Plate 7: E4",'CONTROL MASTER'!$H$2:$H$495,0)),"")</f>
        <v/>
      </c>
      <c r="F79" s="9" t="str">
        <f>IFERROR(INDEX('CONTROL MASTER'!$Q$2:$Q$495,MATCH("Control NIH Plate 7: E5",'CONTROL MASTER'!$H$2:$H$495,0)),"")</f>
        <v/>
      </c>
      <c r="G79" s="9" t="str">
        <f>IFERROR(INDEX('CONTROL MASTER'!$Q$2:$Q$495,MATCH("Control NIH Plate 7: E6",'CONTROL MASTER'!$H$2:$H$495,0)),"")</f>
        <v/>
      </c>
      <c r="H79" s="9" t="str">
        <f>IFERROR(INDEX('CONTROL MASTER'!$Q$2:$Q$495,MATCH("Control NIH Plate 7: E7",'CONTROL MASTER'!$H$2:$H$495,0)),"")</f>
        <v/>
      </c>
      <c r="I79" s="9" t="str">
        <f>IFERROR(INDEX('CONTROL MASTER'!$Q$2:$Q$495,MATCH("Control NIH Plate 7: E8",'CONTROL MASTER'!$H$2:$H$495,0)),"")</f>
        <v/>
      </c>
      <c r="J79" s="9" t="str">
        <f>IFERROR(INDEX('CONTROL MASTER'!$Q$2:$Q$495,MATCH("Control NIH Plate 7: E9",'CONTROL MASTER'!$H$2:$H$495,0)),"")</f>
        <v/>
      </c>
      <c r="K79" s="9" t="str">
        <f>IFERROR(INDEX('CONTROL MASTER'!$Q$2:$Q$495,MATCH("Control NIH Plate 7: E10",'CONTROL MASTER'!$H$2:$H$495,0)),"")</f>
        <v/>
      </c>
      <c r="L79" s="9" t="str">
        <f>IFERROR(INDEX('CONTROL MASTER'!$Q$2:$Q$495,MATCH("Control NIH Plate 7: E11",'CONTROL MASTER'!$H$2:$H$495,0)),"")</f>
        <v/>
      </c>
      <c r="M79" s="9" t="str">
        <f>IFERROR(INDEX('CONTROL MASTER'!$Q$2:$Q$495,MATCH("Control NIH Plate 7: E12",'CONTROL MASTER'!$H$2:$H$495,0)),"")</f>
        <v/>
      </c>
    </row>
    <row r="80" spans="1:13" ht="15" customHeight="1" x14ac:dyDescent="0.35">
      <c r="A80" s="8" t="s">
        <v>33</v>
      </c>
      <c r="B80" s="9" t="str">
        <f>IFERROR(INDEX('CONTROL MASTER'!$Q$2:$Q$495,MATCH("Control NIH Plate 7: F1",'CONTROL MASTER'!$H$2:$H$495,0)),"")</f>
        <v/>
      </c>
      <c r="C80" s="9" t="str">
        <f>IFERROR(INDEX('CONTROL MASTER'!$Q$2:$Q$495,MATCH("Control NIH Plate 7: F2",'CONTROL MASTER'!$H$2:$H$495,0)),"")</f>
        <v/>
      </c>
      <c r="D80" s="9" t="str">
        <f>IFERROR(INDEX('CONTROL MASTER'!$Q$2:$Q$495,MATCH("Control NIH Plate 7: F3",'CONTROL MASTER'!$H$2:$H$495,0)),"")</f>
        <v/>
      </c>
      <c r="E80" s="9" t="str">
        <f>IFERROR(INDEX('CONTROL MASTER'!$Q$2:$Q$495,MATCH("Control NIH Plate 7: F4",'CONTROL MASTER'!$H$2:$H$495,0)),"")</f>
        <v/>
      </c>
      <c r="F80" s="9" t="str">
        <f>IFERROR(INDEX('CONTROL MASTER'!$Q$2:$Q$495,MATCH("Control NIH Plate 7: F5",'CONTROL MASTER'!$H$2:$H$495,0)),"")</f>
        <v/>
      </c>
      <c r="G80" s="9" t="str">
        <f>IFERROR(INDEX('CONTROL MASTER'!$Q$2:$Q$495,MATCH("Control NIH Plate 7: F6",'CONTROL MASTER'!$H$2:$H$495,0)),"")</f>
        <v/>
      </c>
      <c r="H80" s="9" t="str">
        <f>IFERROR(INDEX('CONTROL MASTER'!$Q$2:$Q$495,MATCH("Control NIH Plate 7: F7",'CONTROL MASTER'!$H$2:$H$495,0)),"")</f>
        <v/>
      </c>
      <c r="I80" s="9" t="str">
        <f>IFERROR(INDEX('CONTROL MASTER'!$Q$2:$Q$495,MATCH("Control NIH Plate 7: F8",'CONTROL MASTER'!$H$2:$H$495,0)),"")</f>
        <v/>
      </c>
      <c r="J80" s="9" t="str">
        <f>IFERROR(INDEX('CONTROL MASTER'!$Q$2:$Q$495,MATCH("Control NIH Plate 7: F9",'CONTROL MASTER'!$H$2:$H$495,0)),"")</f>
        <v/>
      </c>
      <c r="K80" s="9" t="str">
        <f>IFERROR(INDEX('CONTROL MASTER'!$Q$2:$Q$495,MATCH("Control NIH Plate 7: F10",'CONTROL MASTER'!$H$2:$H$495,0)),"")</f>
        <v/>
      </c>
      <c r="L80" s="9" t="str">
        <f>IFERROR(INDEX('CONTROL MASTER'!$Q$2:$Q$495,MATCH("Control NIH Plate 7: F11",'CONTROL MASTER'!$H$2:$H$495,0)),"")</f>
        <v/>
      </c>
      <c r="M80" s="9" t="str">
        <f>IFERROR(INDEX('CONTROL MASTER'!$Q$2:$Q$495,MATCH("Control NIH Plate 7: F12",'CONTROL MASTER'!$H$2:$H$495,0)),"")</f>
        <v/>
      </c>
    </row>
    <row r="81" spans="1:13" ht="15" customHeight="1" x14ac:dyDescent="0.35">
      <c r="A81" s="8" t="s">
        <v>34</v>
      </c>
      <c r="B81" s="9" t="str">
        <f>IFERROR(INDEX('CONTROL MASTER'!$Q$2:$Q$495,MATCH("Control NIH Plate 7: G1",'CONTROL MASTER'!$H$2:$H$495,0)),"")</f>
        <v/>
      </c>
      <c r="C81" s="9" t="str">
        <f>IFERROR(INDEX('CONTROL MASTER'!$Q$2:$Q$495,MATCH("Control NIH Plate 7: G2",'CONTROL MASTER'!$H$2:$H$495,0)),"")</f>
        <v/>
      </c>
      <c r="D81" s="9" t="str">
        <f>IFERROR(INDEX('CONTROL MASTER'!$Q$2:$Q$495,MATCH("Control NIH Plate 7: G3",'CONTROL MASTER'!$H$2:$H$495,0)),"")</f>
        <v/>
      </c>
      <c r="E81" s="9" t="str">
        <f>IFERROR(INDEX('CONTROL MASTER'!$Q$2:$Q$495,MATCH("Control NIH Plate 7: G4",'CONTROL MASTER'!$H$2:$H$495,0)),"")</f>
        <v/>
      </c>
      <c r="F81" s="9" t="str">
        <f>IFERROR(INDEX('CONTROL MASTER'!$Q$2:$Q$495,MATCH("Control NIH Plate 7: G5",'CONTROL MASTER'!$H$2:$H$495,0)),"")</f>
        <v/>
      </c>
      <c r="G81" s="9" t="str">
        <f>IFERROR(INDEX('CONTROL MASTER'!$Q$2:$Q$495,MATCH("Control NIH Plate 7: G6",'CONTROL MASTER'!$H$2:$H$495,0)),"")</f>
        <v/>
      </c>
      <c r="H81" s="9" t="str">
        <f>IFERROR(INDEX('CONTROL MASTER'!$Q$2:$Q$495,MATCH("Control NIH Plate 7: G7",'CONTROL MASTER'!$H$2:$H$495,0)),"")</f>
        <v/>
      </c>
      <c r="I81" s="9" t="str">
        <f>IFERROR(INDEX('CONTROL MASTER'!$Q$2:$Q$495,MATCH("Control NIH Plate 7: G8",'CONTROL MASTER'!$H$2:$H$495,0)),"")</f>
        <v/>
      </c>
      <c r="J81" s="9" t="str">
        <f>IFERROR(INDEX('CONTROL MASTER'!$Q$2:$Q$495,MATCH("Control NIH Plate 7: G9",'CONTROL MASTER'!$H$2:$H$495,0)),"")</f>
        <v/>
      </c>
      <c r="K81" s="9" t="str">
        <f>IFERROR(INDEX('CONTROL MASTER'!$Q$2:$Q$495,MATCH("Control NIH Plate 7: G10",'CONTROL MASTER'!$H$2:$H$495,0)),"")</f>
        <v/>
      </c>
      <c r="L81" s="9" t="str">
        <f>IFERROR(INDEX('CONTROL MASTER'!$Q$2:$Q$495,MATCH("Control NIH Plate 7: G11",'CONTROL MASTER'!$H$2:$H$495,0)),"")</f>
        <v/>
      </c>
      <c r="M81" s="9" t="str">
        <f>IFERROR(INDEX('CONTROL MASTER'!$Q$2:$Q$495,MATCH("Control NIH Plate 7: G12",'CONTROL MASTER'!$H$2:$H$495,0)),"")</f>
        <v/>
      </c>
    </row>
    <row r="82" spans="1:13" ht="15" customHeight="1" x14ac:dyDescent="0.35">
      <c r="A82" s="8" t="s">
        <v>35</v>
      </c>
      <c r="B82" s="9" t="str">
        <f>IFERROR(INDEX('CONTROL MASTER'!$Q$2:$Q$495,MATCH("Control NIH Plate 7: H1",'CONTROL MASTER'!$H$2:$H$495,0)),"")</f>
        <v/>
      </c>
      <c r="C82" s="9" t="str">
        <f>IFERROR(INDEX('CONTROL MASTER'!$Q$2:$Q$495,MATCH("Control NIH Plate 7: H2",'CONTROL MASTER'!$H$2:$H$495,0)),"")</f>
        <v/>
      </c>
      <c r="D82" s="9" t="str">
        <f>IFERROR(INDEX('CONTROL MASTER'!$Q$2:$Q$495,MATCH("Control NIH Plate 7: H3",'CONTROL MASTER'!$H$2:$H$495,0)),"")</f>
        <v/>
      </c>
      <c r="E82" s="9" t="str">
        <f>IFERROR(INDEX('CONTROL MASTER'!$Q$2:$Q$495,MATCH("Control NIH Plate 7: H4",'CONTROL MASTER'!$H$2:$H$495,0)),"")</f>
        <v/>
      </c>
      <c r="F82" s="9" t="str">
        <f>IFERROR(INDEX('CONTROL MASTER'!$Q$2:$Q$495,MATCH("Control NIH Plate 7: H5",'CONTROL MASTER'!$H$2:$H$495,0)),"")</f>
        <v/>
      </c>
      <c r="G82" s="9" t="str">
        <f>IFERROR(INDEX('CONTROL MASTER'!$Q$2:$Q$495,MATCH("Control NIH Plate 7: H6",'CONTROL MASTER'!$H$2:$H$495,0)),"")</f>
        <v/>
      </c>
      <c r="H82" s="9" t="str">
        <f>IFERROR(INDEX('CONTROL MASTER'!$Q$2:$Q$495,MATCH("Control NIH Plate 7: H7",'CONTROL MASTER'!$H$2:$H$495,0)),"")</f>
        <v/>
      </c>
      <c r="I82" s="9" t="str">
        <f>IFERROR(INDEX('CONTROL MASTER'!$Q$2:$Q$495,MATCH("Control NIH Plate 7: H8",'CONTROL MASTER'!$H$2:$H$495,0)),"")</f>
        <v/>
      </c>
      <c r="J82" s="9" t="str">
        <f>IFERROR(INDEX('CONTROL MASTER'!$Q$2:$Q$495,MATCH("Control NIH Plate 7: H9",'CONTROL MASTER'!$H$2:$H$495,0)),"")</f>
        <v/>
      </c>
      <c r="K82" s="9" t="str">
        <f>IFERROR(INDEX('CONTROL MASTER'!$Q$2:$Q$495,MATCH("Control NIH Plate 7: H10",'CONTROL MASTER'!$H$2:$H$495,0)),"")</f>
        <v/>
      </c>
      <c r="L82" s="9" t="str">
        <f>IFERROR(INDEX('CONTROL MASTER'!$Q$2:$Q$495,MATCH("Control NIH Plate 7: H11",'CONTROL MASTER'!$H$2:$H$495,0)),"")</f>
        <v/>
      </c>
      <c r="M82" s="9" t="str">
        <f>IFERROR(INDEX('CONTROL MASTER'!$Q$2:$Q$495,MATCH("Control NIH Plate 7: H12",'CONTROL MASTER'!$H$2:$H$495,0)),"")</f>
        <v/>
      </c>
    </row>
    <row r="85" spans="1:13" ht="15" customHeight="1" x14ac:dyDescent="0.35">
      <c r="A85" s="12" t="s">
        <v>134</v>
      </c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</row>
    <row r="86" spans="1:13" ht="15" customHeight="1" x14ac:dyDescent="0.35">
      <c r="B86" s="8">
        <v>1</v>
      </c>
      <c r="C86" s="8">
        <v>2</v>
      </c>
      <c r="D86" s="8">
        <v>3</v>
      </c>
      <c r="E86" s="8">
        <v>4</v>
      </c>
      <c r="F86" s="8">
        <v>5</v>
      </c>
      <c r="G86" s="8">
        <v>6</v>
      </c>
      <c r="H86" s="8">
        <v>7</v>
      </c>
      <c r="I86" s="8">
        <v>8</v>
      </c>
      <c r="J86" s="8">
        <v>9</v>
      </c>
      <c r="K86" s="8">
        <v>10</v>
      </c>
      <c r="L86" s="8">
        <v>11</v>
      </c>
      <c r="M86" s="8">
        <v>12</v>
      </c>
    </row>
    <row r="87" spans="1:13" ht="15" customHeight="1" x14ac:dyDescent="0.35">
      <c r="A87" s="8" t="s">
        <v>28</v>
      </c>
      <c r="B87" s="9" t="str">
        <f>IFERROR(INDEX('CONTROL MASTER'!$Q$2:$Q$495,MATCH("Control NIH Plate 8: A1",'CONTROL MASTER'!$H$2:$H$495,0)),"")</f>
        <v/>
      </c>
      <c r="C87" s="9" t="str">
        <f>IFERROR(INDEX('CONTROL MASTER'!$Q$2:$Q$495,MATCH("Control NIH Plate 8: A2",'CONTROL MASTER'!$H$2:$H$495,0)),"")</f>
        <v/>
      </c>
      <c r="D87" s="9" t="str">
        <f>IFERROR(INDEX('CONTROL MASTER'!$Q$2:$Q$495,MATCH("Control NIH Plate 8: A3",'CONTROL MASTER'!$H$2:$H$495,0)),"")</f>
        <v/>
      </c>
      <c r="E87" s="9" t="str">
        <f>IFERROR(INDEX('CONTROL MASTER'!$Q$2:$Q$495,MATCH("Control NIH Plate 8: A4",'CONTROL MASTER'!$H$2:$H$495,0)),"")</f>
        <v/>
      </c>
      <c r="F87" s="9" t="str">
        <f>IFERROR(INDEX('CONTROL MASTER'!$Q$2:$Q$495,MATCH("Control NIH Plate 8: A5",'CONTROL MASTER'!$H$2:$H$495,0)),"")</f>
        <v/>
      </c>
      <c r="G87" s="9" t="str">
        <f>IFERROR(INDEX('CONTROL MASTER'!$Q$2:$Q$495,MATCH("Control NIH Plate 8: A6",'CONTROL MASTER'!$H$2:$H$495,0)),"")</f>
        <v/>
      </c>
      <c r="H87" s="9" t="str">
        <f>IFERROR(INDEX('CONTROL MASTER'!$Q$2:$Q$495,MATCH("Control NIH Plate 8: A7",'CONTROL MASTER'!$H$2:$H$495,0)),"")</f>
        <v/>
      </c>
      <c r="I87" s="9" t="str">
        <f>IFERROR(INDEX('CONTROL MASTER'!$Q$2:$Q$495,MATCH("Control NIH Plate 8: A8",'CONTROL MASTER'!$H$2:$H$495,0)),"")</f>
        <v/>
      </c>
      <c r="J87" s="9" t="str">
        <f>IFERROR(INDEX('CONTROL MASTER'!$Q$2:$Q$495,MATCH("Control NIH Plate 8: A9",'CONTROL MASTER'!$H$2:$H$495,0)),"")</f>
        <v/>
      </c>
      <c r="K87" s="9" t="str">
        <f>IFERROR(INDEX('CONTROL MASTER'!$Q$2:$Q$495,MATCH("Control NIH Plate 8: A10",'CONTROL MASTER'!$H$2:$H$495,0)),"")</f>
        <v/>
      </c>
      <c r="L87" s="9" t="str">
        <f>IFERROR(INDEX('CONTROL MASTER'!$Q$2:$Q$495,MATCH("Control NIH Plate 8: A11",'CONTROL MASTER'!$H$2:$H$495,0)),"")</f>
        <v/>
      </c>
      <c r="M87" s="9" t="str">
        <f>IFERROR(INDEX('CONTROL MASTER'!$Q$2:$Q$495,MATCH("Control NIH Plate 8: A12",'CONTROL MASTER'!$H$2:$H$495,0)),"")</f>
        <v/>
      </c>
    </row>
    <row r="88" spans="1:13" ht="15" customHeight="1" x14ac:dyDescent="0.35">
      <c r="A88" s="8" t="s">
        <v>29</v>
      </c>
      <c r="B88" s="9" t="str">
        <f>IFERROR(INDEX('CONTROL MASTER'!$Q$2:$Q$495,MATCH("Control NIH Plate 8: B1",'CONTROL MASTER'!$H$2:$H$495,0)),"")</f>
        <v/>
      </c>
      <c r="C88" s="9" t="str">
        <f>IFERROR(INDEX('CONTROL MASTER'!$Q$2:$Q$495,MATCH("Control NIH Plate 8: B2",'CONTROL MASTER'!$H$2:$H$495,0)),"")</f>
        <v/>
      </c>
      <c r="D88" s="9" t="str">
        <f>IFERROR(INDEX('CONTROL MASTER'!$Q$2:$Q$495,MATCH("Control NIH Plate 8: B3",'CONTROL MASTER'!$H$2:$H$495,0)),"")</f>
        <v/>
      </c>
      <c r="E88" s="9" t="str">
        <f>IFERROR(INDEX('CONTROL MASTER'!$Q$2:$Q$495,MATCH("Control NIH Plate 8: B4",'CONTROL MASTER'!$H$2:$H$495,0)),"")</f>
        <v/>
      </c>
      <c r="F88" s="9" t="str">
        <f>IFERROR(INDEX('CONTROL MASTER'!$Q$2:$Q$495,MATCH("Control NIH Plate 8: B5",'CONTROL MASTER'!$H$2:$H$495,0)),"")</f>
        <v/>
      </c>
      <c r="G88" s="9" t="str">
        <f>IFERROR(INDEX('CONTROL MASTER'!$Q$2:$Q$495,MATCH("Control NIH Plate 8: B6",'CONTROL MASTER'!$H$2:$H$495,0)),"")</f>
        <v/>
      </c>
      <c r="H88" s="9" t="str">
        <f>IFERROR(INDEX('CONTROL MASTER'!$Q$2:$Q$495,MATCH("Control NIH Plate 8: B7",'CONTROL MASTER'!$H$2:$H$495,0)),"")</f>
        <v/>
      </c>
      <c r="I88" s="9" t="str">
        <f>IFERROR(INDEX('CONTROL MASTER'!$Q$2:$Q$495,MATCH("Control NIH Plate 8: B8",'CONTROL MASTER'!$H$2:$H$495,0)),"")</f>
        <v/>
      </c>
      <c r="J88" s="9" t="str">
        <f>IFERROR(INDEX('CONTROL MASTER'!$Q$2:$Q$495,MATCH("Control NIH Plate 8: B9",'CONTROL MASTER'!$H$2:$H$495,0)),"")</f>
        <v/>
      </c>
      <c r="K88" s="9" t="str">
        <f>IFERROR(INDEX('CONTROL MASTER'!$Q$2:$Q$495,MATCH("Control NIH Plate 8: B10",'CONTROL MASTER'!$H$2:$H$495,0)),"")</f>
        <v/>
      </c>
      <c r="L88" s="9" t="str">
        <f>IFERROR(INDEX('CONTROL MASTER'!$Q$2:$Q$495,MATCH("Control NIH Plate 8: B11",'CONTROL MASTER'!$H$2:$H$495,0)),"")</f>
        <v/>
      </c>
      <c r="M88" s="9" t="str">
        <f>IFERROR(INDEX('CONTROL MASTER'!$Q$2:$Q$495,MATCH("Control NIH Plate 8: B12",'CONTROL MASTER'!$H$2:$H$495,0)),"")</f>
        <v/>
      </c>
    </row>
    <row r="89" spans="1:13" ht="15" customHeight="1" x14ac:dyDescent="0.35">
      <c r="A89" s="8" t="s">
        <v>30</v>
      </c>
      <c r="B89" s="9" t="str">
        <f>IFERROR(INDEX('CONTROL MASTER'!$Q$2:$Q$495,MATCH("Control NIH Plate 8: C1",'CONTROL MASTER'!$H$2:$H$495,0)),"")</f>
        <v/>
      </c>
      <c r="C89" s="9" t="str">
        <f>IFERROR(INDEX('CONTROL MASTER'!$Q$2:$Q$495,MATCH("Control NIH Plate 8: C2",'CONTROL MASTER'!$H$2:$H$495,0)),"")</f>
        <v/>
      </c>
      <c r="D89" s="9" t="str">
        <f>IFERROR(INDEX('CONTROL MASTER'!$Q$2:$Q$495,MATCH("Control NIH Plate 8: C3",'CONTROL MASTER'!$H$2:$H$495,0)),"")</f>
        <v/>
      </c>
      <c r="E89" s="9" t="str">
        <f>IFERROR(INDEX('CONTROL MASTER'!$Q$2:$Q$495,MATCH("Control NIH Plate 8: C4",'CONTROL MASTER'!$H$2:$H$495,0)),"")</f>
        <v/>
      </c>
      <c r="F89" s="9" t="str">
        <f>IFERROR(INDEX('CONTROL MASTER'!$Q$2:$Q$495,MATCH("Control NIH Plate 8: C5",'CONTROL MASTER'!$H$2:$H$495,0)),"")</f>
        <v/>
      </c>
      <c r="G89" s="9" t="str">
        <f>IFERROR(INDEX('CONTROL MASTER'!$Q$2:$Q$495,MATCH("Control NIH Plate 8: C6",'CONTROL MASTER'!$H$2:$H$495,0)),"")</f>
        <v/>
      </c>
      <c r="H89" s="9" t="str">
        <f>IFERROR(INDEX('CONTROL MASTER'!$Q$2:$Q$495,MATCH("Control NIH Plate 8: C7",'CONTROL MASTER'!$H$2:$H$495,0)),"")</f>
        <v/>
      </c>
      <c r="I89" s="9" t="str">
        <f>IFERROR(INDEX('CONTROL MASTER'!$Q$2:$Q$495,MATCH("Control NIH Plate 8: C8",'CONTROL MASTER'!$H$2:$H$495,0)),"")</f>
        <v/>
      </c>
      <c r="J89" s="9" t="str">
        <f>IFERROR(INDEX('CONTROL MASTER'!$Q$2:$Q$495,MATCH("Control NIH Plate 8: C9",'CONTROL MASTER'!$H$2:$H$495,0)),"")</f>
        <v/>
      </c>
      <c r="K89" s="9" t="str">
        <f>IFERROR(INDEX('CONTROL MASTER'!$Q$2:$Q$495,MATCH("Control NIH Plate 8: C10",'CONTROL MASTER'!$H$2:$H$495,0)),"")</f>
        <v/>
      </c>
      <c r="L89" s="9" t="str">
        <f>IFERROR(INDEX('CONTROL MASTER'!$Q$2:$Q$495,MATCH("Control NIH Plate 8: C11",'CONTROL MASTER'!$H$2:$H$495,0)),"")</f>
        <v/>
      </c>
      <c r="M89" s="9" t="str">
        <f>IFERROR(INDEX('CONTROL MASTER'!$Q$2:$Q$495,MATCH("Control NIH Plate 8: C12",'CONTROL MASTER'!$H$2:$H$495,0)),"")</f>
        <v/>
      </c>
    </row>
    <row r="90" spans="1:13" ht="15" customHeight="1" x14ac:dyDescent="0.35">
      <c r="A90" s="8" t="s">
        <v>31</v>
      </c>
      <c r="B90" s="9" t="str">
        <f>IFERROR(INDEX('CONTROL MASTER'!$Q$2:$Q$495,MATCH("Control NIH Plate 8: D1",'CONTROL MASTER'!$H$2:$H$495,0)),"")</f>
        <v/>
      </c>
      <c r="C90" s="9" t="str">
        <f>IFERROR(INDEX('CONTROL MASTER'!$Q$2:$Q$495,MATCH("Control NIH Plate 8: D2",'CONTROL MASTER'!$H$2:$H$495,0)),"")</f>
        <v/>
      </c>
      <c r="D90" s="9" t="str">
        <f>IFERROR(INDEX('CONTROL MASTER'!$Q$2:$Q$495,MATCH("Control NIH Plate 8: D3",'CONTROL MASTER'!$H$2:$H$495,0)),"")</f>
        <v/>
      </c>
      <c r="E90" s="9" t="str">
        <f>IFERROR(INDEX('CONTROL MASTER'!$Q$2:$Q$495,MATCH("Control NIH Plate 8: D4",'CONTROL MASTER'!$H$2:$H$495,0)),"")</f>
        <v/>
      </c>
      <c r="F90" s="9" t="str">
        <f>IFERROR(INDEX('CONTROL MASTER'!$Q$2:$Q$495,MATCH("Control NIH Plate 8: D5",'CONTROL MASTER'!$H$2:$H$495,0)),"")</f>
        <v/>
      </c>
      <c r="G90" s="9" t="str">
        <f>IFERROR(INDEX('CONTROL MASTER'!$Q$2:$Q$495,MATCH("Control NIH Plate 8: D6",'CONTROL MASTER'!$H$2:$H$495,0)),"")</f>
        <v/>
      </c>
      <c r="H90" s="9" t="str">
        <f>IFERROR(INDEX('CONTROL MASTER'!$Q$2:$Q$495,MATCH("Control NIH Plate 8: D7",'CONTROL MASTER'!$H$2:$H$495,0)),"")</f>
        <v/>
      </c>
      <c r="I90" s="9" t="str">
        <f>IFERROR(INDEX('CONTROL MASTER'!$Q$2:$Q$495,MATCH("Control NIH Plate 8: D8",'CONTROL MASTER'!$H$2:$H$495,0)),"")</f>
        <v/>
      </c>
      <c r="J90" s="9" t="str">
        <f>IFERROR(INDEX('CONTROL MASTER'!$Q$2:$Q$495,MATCH("Control NIH Plate 8: D9",'CONTROL MASTER'!$H$2:$H$495,0)),"")</f>
        <v/>
      </c>
      <c r="K90" s="9" t="str">
        <f>IFERROR(INDEX('CONTROL MASTER'!$Q$2:$Q$495,MATCH("Control NIH Plate 8: D10",'CONTROL MASTER'!$H$2:$H$495,0)),"")</f>
        <v/>
      </c>
      <c r="L90" s="9" t="str">
        <f>IFERROR(INDEX('CONTROL MASTER'!$Q$2:$Q$495,MATCH("Control NIH Plate 8: D11",'CONTROL MASTER'!$H$2:$H$495,0)),"")</f>
        <v/>
      </c>
      <c r="M90" s="9" t="str">
        <f>IFERROR(INDEX('CONTROL MASTER'!$Q$2:$Q$495,MATCH("Control NIH Plate 8: D12",'CONTROL MASTER'!$H$2:$H$495,0)),"")</f>
        <v/>
      </c>
    </row>
    <row r="91" spans="1:13" ht="15" customHeight="1" x14ac:dyDescent="0.35">
      <c r="A91" s="8" t="s">
        <v>32</v>
      </c>
      <c r="B91" s="9" t="str">
        <f>IFERROR(INDEX('CONTROL MASTER'!$Q$2:$Q$495,MATCH("Control NIH Plate 8: E1",'CONTROL MASTER'!$H$2:$H$495,0)),"")</f>
        <v/>
      </c>
      <c r="C91" s="9" t="str">
        <f>IFERROR(INDEX('CONTROL MASTER'!$Q$2:$Q$495,MATCH("Control NIH Plate 8: E2",'CONTROL MASTER'!$H$2:$H$495,0)),"")</f>
        <v/>
      </c>
      <c r="D91" s="9" t="str">
        <f>IFERROR(INDEX('CONTROL MASTER'!$Q$2:$Q$495,MATCH("Control NIH Plate 8: E3",'CONTROL MASTER'!$H$2:$H$495,0)),"")</f>
        <v/>
      </c>
      <c r="E91" s="9" t="str">
        <f>IFERROR(INDEX('CONTROL MASTER'!$Q$2:$Q$495,MATCH("Control NIH Plate 8: E4",'CONTROL MASTER'!$H$2:$H$495,0)),"")</f>
        <v/>
      </c>
      <c r="F91" s="9" t="str">
        <f>IFERROR(INDEX('CONTROL MASTER'!$Q$2:$Q$495,MATCH("Control NIH Plate 8: E5",'CONTROL MASTER'!$H$2:$H$495,0)),"")</f>
        <v/>
      </c>
      <c r="G91" s="9" t="str">
        <f>IFERROR(INDEX('CONTROL MASTER'!$Q$2:$Q$495,MATCH("Control NIH Plate 8: E6",'CONTROL MASTER'!$H$2:$H$495,0)),"")</f>
        <v/>
      </c>
      <c r="H91" s="9" t="str">
        <f>IFERROR(INDEX('CONTROL MASTER'!$Q$2:$Q$495,MATCH("Control NIH Plate 8: E7",'CONTROL MASTER'!$H$2:$H$495,0)),"")</f>
        <v/>
      </c>
      <c r="I91" s="9" t="str">
        <f>IFERROR(INDEX('CONTROL MASTER'!$Q$2:$Q$495,MATCH("Control NIH Plate 8: E8",'CONTROL MASTER'!$H$2:$H$495,0)),"")</f>
        <v/>
      </c>
      <c r="J91" s="9" t="str">
        <f>IFERROR(INDEX('CONTROL MASTER'!$Q$2:$Q$495,MATCH("Control NIH Plate 8: E9",'CONTROL MASTER'!$H$2:$H$495,0)),"")</f>
        <v/>
      </c>
      <c r="K91" s="9" t="str">
        <f>IFERROR(INDEX('CONTROL MASTER'!$Q$2:$Q$495,MATCH("Control NIH Plate 8: E10",'CONTROL MASTER'!$H$2:$H$495,0)),"")</f>
        <v/>
      </c>
      <c r="L91" s="9" t="str">
        <f>IFERROR(INDEX('CONTROL MASTER'!$Q$2:$Q$495,MATCH("Control NIH Plate 8: E11",'CONTROL MASTER'!$H$2:$H$495,0)),"")</f>
        <v/>
      </c>
      <c r="M91" s="9" t="str">
        <f>IFERROR(INDEX('CONTROL MASTER'!$Q$2:$Q$495,MATCH("Control NIH Plate 8: E12",'CONTROL MASTER'!$H$2:$H$495,0)),"")</f>
        <v/>
      </c>
    </row>
    <row r="92" spans="1:13" ht="15" customHeight="1" x14ac:dyDescent="0.35">
      <c r="A92" s="8" t="s">
        <v>33</v>
      </c>
      <c r="B92" s="9" t="str">
        <f>IFERROR(INDEX('CONTROL MASTER'!$Q$2:$Q$495,MATCH("Control NIH Plate 8: F1",'CONTROL MASTER'!$H$2:$H$495,0)),"")</f>
        <v/>
      </c>
      <c r="C92" s="9" t="str">
        <f>IFERROR(INDEX('CONTROL MASTER'!$Q$2:$Q$495,MATCH("Control NIH Plate 8: F2",'CONTROL MASTER'!$H$2:$H$495,0)),"")</f>
        <v/>
      </c>
      <c r="D92" s="9" t="str">
        <f>IFERROR(INDEX('CONTROL MASTER'!$Q$2:$Q$495,MATCH("Control NIH Plate 8: F3",'CONTROL MASTER'!$H$2:$H$495,0)),"")</f>
        <v/>
      </c>
      <c r="E92" s="9" t="str">
        <f>IFERROR(INDEX('CONTROL MASTER'!$Q$2:$Q$495,MATCH("Control NIH Plate 8: F4",'CONTROL MASTER'!$H$2:$H$495,0)),"")</f>
        <v/>
      </c>
      <c r="F92" s="9" t="str">
        <f>IFERROR(INDEX('CONTROL MASTER'!$Q$2:$Q$495,MATCH("Control NIH Plate 8: F5",'CONTROL MASTER'!$H$2:$H$495,0)),"")</f>
        <v/>
      </c>
      <c r="G92" s="9" t="str">
        <f>IFERROR(INDEX('CONTROL MASTER'!$Q$2:$Q$495,MATCH("Control NIH Plate 8: F6",'CONTROL MASTER'!$H$2:$H$495,0)),"")</f>
        <v/>
      </c>
      <c r="H92" s="9" t="str">
        <f>IFERROR(INDEX('CONTROL MASTER'!$Q$2:$Q$495,MATCH("Control NIH Plate 8: F7",'CONTROL MASTER'!$H$2:$H$495,0)),"")</f>
        <v/>
      </c>
      <c r="I92" s="9" t="str">
        <f>IFERROR(INDEX('CONTROL MASTER'!$Q$2:$Q$495,MATCH("Control NIH Plate 8: F8",'CONTROL MASTER'!$H$2:$H$495,0)),"")</f>
        <v/>
      </c>
      <c r="J92" s="9" t="str">
        <f>IFERROR(INDEX('CONTROL MASTER'!$Q$2:$Q$495,MATCH("Control NIH Plate 8: F9",'CONTROL MASTER'!$H$2:$H$495,0)),"")</f>
        <v/>
      </c>
      <c r="K92" s="9" t="str">
        <f>IFERROR(INDEX('CONTROL MASTER'!$Q$2:$Q$495,MATCH("Control NIH Plate 8: F10",'CONTROL MASTER'!$H$2:$H$495,0)),"")</f>
        <v/>
      </c>
      <c r="L92" s="9" t="str">
        <f>IFERROR(INDEX('CONTROL MASTER'!$Q$2:$Q$495,MATCH("Control NIH Plate 8: F11",'CONTROL MASTER'!$H$2:$H$495,0)),"")</f>
        <v/>
      </c>
      <c r="M92" s="9" t="str">
        <f>IFERROR(INDEX('CONTROL MASTER'!$Q$2:$Q$495,MATCH("Control NIH Plate 8: F12",'CONTROL MASTER'!$H$2:$H$495,0)),"")</f>
        <v/>
      </c>
    </row>
    <row r="93" spans="1:13" ht="15" customHeight="1" x14ac:dyDescent="0.35">
      <c r="A93" s="8" t="s">
        <v>34</v>
      </c>
      <c r="B93" s="9" t="str">
        <f>IFERROR(INDEX('CONTROL MASTER'!$Q$2:$Q$495,MATCH("Control NIH Plate 8: G1",'CONTROL MASTER'!$H$2:$H$495,0)),"")</f>
        <v/>
      </c>
      <c r="C93" s="9" t="str">
        <f>IFERROR(INDEX('CONTROL MASTER'!$Q$2:$Q$495,MATCH("Control NIH Plate 8: G2",'CONTROL MASTER'!$H$2:$H$495,0)),"")</f>
        <v/>
      </c>
      <c r="D93" s="9" t="str">
        <f>IFERROR(INDEX('CONTROL MASTER'!$Q$2:$Q$495,MATCH("Control NIH Plate 8: G3",'CONTROL MASTER'!$H$2:$H$495,0)),"")</f>
        <v/>
      </c>
      <c r="E93" s="9" t="str">
        <f>IFERROR(INDEX('CONTROL MASTER'!$Q$2:$Q$495,MATCH("Control NIH Plate 8: G4",'CONTROL MASTER'!$H$2:$H$495,0)),"")</f>
        <v/>
      </c>
      <c r="F93" s="9" t="str">
        <f>IFERROR(INDEX('CONTROL MASTER'!$Q$2:$Q$495,MATCH("Control NIH Plate 8: G5",'CONTROL MASTER'!$H$2:$H$495,0)),"")</f>
        <v/>
      </c>
      <c r="G93" s="9" t="str">
        <f>IFERROR(INDEX('CONTROL MASTER'!$Q$2:$Q$495,MATCH("Control NIH Plate 8: G6",'CONTROL MASTER'!$H$2:$H$495,0)),"")</f>
        <v/>
      </c>
      <c r="H93" s="9" t="str">
        <f>IFERROR(INDEX('CONTROL MASTER'!$Q$2:$Q$495,MATCH("Control NIH Plate 8: G7",'CONTROL MASTER'!$H$2:$H$495,0)),"")</f>
        <v/>
      </c>
      <c r="I93" s="9" t="str">
        <f>IFERROR(INDEX('CONTROL MASTER'!$Q$2:$Q$495,MATCH("Control NIH Plate 8: G8",'CONTROL MASTER'!$H$2:$H$495,0)),"")</f>
        <v/>
      </c>
      <c r="J93" s="9" t="str">
        <f>IFERROR(INDEX('CONTROL MASTER'!$Q$2:$Q$495,MATCH("Control NIH Plate 8: G9",'CONTROL MASTER'!$H$2:$H$495,0)),"")</f>
        <v/>
      </c>
      <c r="K93" s="9" t="str">
        <f>IFERROR(INDEX('CONTROL MASTER'!$Q$2:$Q$495,MATCH("Control NIH Plate 8: G10",'CONTROL MASTER'!$H$2:$H$495,0)),"")</f>
        <v/>
      </c>
      <c r="L93" s="9" t="str">
        <f>IFERROR(INDEX('CONTROL MASTER'!$Q$2:$Q$495,MATCH("Control NIH Plate 8: G11",'CONTROL MASTER'!$H$2:$H$495,0)),"")</f>
        <v/>
      </c>
      <c r="M93" s="9" t="str">
        <f>IFERROR(INDEX('CONTROL MASTER'!$Q$2:$Q$495,MATCH("Control NIH Plate 8: G12",'CONTROL MASTER'!$H$2:$H$495,0)),"")</f>
        <v/>
      </c>
    </row>
    <row r="94" spans="1:13" ht="15" customHeight="1" x14ac:dyDescent="0.35">
      <c r="A94" s="8" t="s">
        <v>35</v>
      </c>
      <c r="B94" s="9" t="str">
        <f>IFERROR(INDEX('CONTROL MASTER'!$Q$2:$Q$495,MATCH("Control NIH Plate 8: H1",'CONTROL MASTER'!$H$2:$H$495,0)),"")</f>
        <v/>
      </c>
      <c r="C94" s="9" t="str">
        <f>IFERROR(INDEX('CONTROL MASTER'!$Q$2:$Q$495,MATCH("Control NIH Plate 8: H2",'CONTROL MASTER'!$H$2:$H$495,0)),"")</f>
        <v/>
      </c>
      <c r="D94" s="9" t="str">
        <f>IFERROR(INDEX('CONTROL MASTER'!$Q$2:$Q$495,MATCH("Control NIH Plate 8: H3",'CONTROL MASTER'!$H$2:$H$495,0)),"")</f>
        <v/>
      </c>
      <c r="E94" s="9" t="str">
        <f>IFERROR(INDEX('CONTROL MASTER'!$Q$2:$Q$495,MATCH("Control NIH Plate 8: H4",'CONTROL MASTER'!$H$2:$H$495,0)),"")</f>
        <v/>
      </c>
      <c r="F94" s="9" t="str">
        <f>IFERROR(INDEX('CONTROL MASTER'!$Q$2:$Q$495,MATCH("Control NIH Plate 8: H5",'CONTROL MASTER'!$H$2:$H$495,0)),"")</f>
        <v/>
      </c>
      <c r="G94" s="9" t="str">
        <f>IFERROR(INDEX('CONTROL MASTER'!$Q$2:$Q$495,MATCH("Control NIH Plate 8: H6",'CONTROL MASTER'!$H$2:$H$495,0)),"")</f>
        <v/>
      </c>
      <c r="H94" s="9" t="str">
        <f>IFERROR(INDEX('CONTROL MASTER'!$Q$2:$Q$495,MATCH("Control NIH Plate 8: H7",'CONTROL MASTER'!$H$2:$H$495,0)),"")</f>
        <v/>
      </c>
      <c r="I94" s="9" t="str">
        <f>IFERROR(INDEX('CONTROL MASTER'!$Q$2:$Q$495,MATCH("Control NIH Plate 8: H8",'CONTROL MASTER'!$H$2:$H$495,0)),"")</f>
        <v/>
      </c>
      <c r="J94" s="9" t="str">
        <f>IFERROR(INDEX('CONTROL MASTER'!$Q$2:$Q$495,MATCH("Control NIH Plate 8: H9",'CONTROL MASTER'!$H$2:$H$495,0)),"")</f>
        <v/>
      </c>
      <c r="K94" s="9" t="str">
        <f>IFERROR(INDEX('CONTROL MASTER'!$Q$2:$Q$495,MATCH("Control NIH Plate 8: H10",'CONTROL MASTER'!$H$2:$H$495,0)),"")</f>
        <v/>
      </c>
      <c r="L94" s="9" t="str">
        <f>IFERROR(INDEX('CONTROL MASTER'!$Q$2:$Q$495,MATCH("Control NIH Plate 8: H11",'CONTROL MASTER'!$H$2:$H$495,0)),"")</f>
        <v/>
      </c>
      <c r="M94" s="9" t="str">
        <f>IFERROR(INDEX('CONTROL MASTER'!$Q$2:$Q$495,MATCH("Control NIH Plate 8: H12",'CONTROL MASTER'!$H$2:$H$495,0)),"")</f>
        <v/>
      </c>
    </row>
    <row r="97" spans="1:13" ht="15" customHeight="1" x14ac:dyDescent="0.35">
      <c r="A97" s="12" t="s">
        <v>135</v>
      </c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</row>
    <row r="98" spans="1:13" ht="15" customHeight="1" x14ac:dyDescent="0.35">
      <c r="B98" s="8">
        <v>1</v>
      </c>
      <c r="C98" s="8">
        <v>2</v>
      </c>
      <c r="D98" s="8">
        <v>3</v>
      </c>
      <c r="E98" s="8">
        <v>4</v>
      </c>
      <c r="F98" s="8">
        <v>5</v>
      </c>
      <c r="G98" s="8">
        <v>6</v>
      </c>
      <c r="H98" s="8">
        <v>7</v>
      </c>
      <c r="I98" s="8">
        <v>8</v>
      </c>
      <c r="J98" s="8">
        <v>9</v>
      </c>
      <c r="K98" s="8">
        <v>10</v>
      </c>
      <c r="L98" s="8">
        <v>11</v>
      </c>
      <c r="M98" s="8">
        <v>12</v>
      </c>
    </row>
    <row r="99" spans="1:13" ht="15" customHeight="1" x14ac:dyDescent="0.35">
      <c r="A99" s="8" t="s">
        <v>28</v>
      </c>
      <c r="B99" s="9" t="str">
        <f>IFERROR(INDEX('CONTROL MASTER'!$Q$2:$Q$495,MATCH("Control NIH Plate 9: A1",'CONTROL MASTER'!$H$2:$H$495,0)),"")</f>
        <v/>
      </c>
      <c r="C99" s="9" t="str">
        <f>IFERROR(INDEX('CONTROL MASTER'!$Q$2:$Q$495,MATCH("Control NIH Plate 9: A2",'CONTROL MASTER'!$H$2:$H$495,0)),"")</f>
        <v/>
      </c>
      <c r="D99" s="9" t="str">
        <f>IFERROR(INDEX('CONTROL MASTER'!$Q$2:$Q$495,MATCH("Control NIH Plate 9: A3",'CONTROL MASTER'!$H$2:$H$495,0)),"")</f>
        <v/>
      </c>
      <c r="E99" s="9" t="str">
        <f>IFERROR(INDEX('CONTROL MASTER'!$Q$2:$Q$495,MATCH("Control NIH Plate 9: A4",'CONTROL MASTER'!$H$2:$H$495,0)),"")</f>
        <v/>
      </c>
      <c r="F99" s="9" t="str">
        <f>IFERROR(INDEX('CONTROL MASTER'!$Q$2:$Q$495,MATCH("Control NIH Plate 9: A5",'CONTROL MASTER'!$H$2:$H$495,0)),"")</f>
        <v/>
      </c>
      <c r="G99" s="9" t="str">
        <f>IFERROR(INDEX('CONTROL MASTER'!$Q$2:$Q$495,MATCH("Control NIH Plate 9: A6",'CONTROL MASTER'!$H$2:$H$495,0)),"")</f>
        <v/>
      </c>
      <c r="H99" s="9" t="str">
        <f>IFERROR(INDEX('CONTROL MASTER'!$Q$2:$Q$495,MATCH("Control NIH Plate 9: A7",'CONTROL MASTER'!$H$2:$H$495,0)),"")</f>
        <v/>
      </c>
      <c r="I99" s="9" t="str">
        <f>IFERROR(INDEX('CONTROL MASTER'!$Q$2:$Q$495,MATCH("Control NIH Plate 9: A8",'CONTROL MASTER'!$H$2:$H$495,0)),"")</f>
        <v/>
      </c>
      <c r="J99" s="9" t="str">
        <f>IFERROR(INDEX('CONTROL MASTER'!$Q$2:$Q$495,MATCH("Control NIH Plate 9: A9",'CONTROL MASTER'!$H$2:$H$495,0)),"")</f>
        <v/>
      </c>
      <c r="K99" s="9" t="str">
        <f>IFERROR(INDEX('CONTROL MASTER'!$Q$2:$Q$495,MATCH("Control NIH Plate 9: A10",'CONTROL MASTER'!$H$2:$H$495,0)),"")</f>
        <v/>
      </c>
      <c r="L99" s="9" t="str">
        <f>IFERROR(INDEX('CONTROL MASTER'!$Q$2:$Q$495,MATCH("Control NIH Plate 9: A11",'CONTROL MASTER'!$H$2:$H$495,0)),"")</f>
        <v/>
      </c>
      <c r="M99" s="9" t="str">
        <f>IFERROR(INDEX('CONTROL MASTER'!$Q$2:$Q$495,MATCH("Control NIH Plate 9: A12",'CONTROL MASTER'!$H$2:$H$495,0)),"")</f>
        <v/>
      </c>
    </row>
    <row r="100" spans="1:13" ht="15" customHeight="1" x14ac:dyDescent="0.35">
      <c r="A100" s="8" t="s">
        <v>29</v>
      </c>
      <c r="B100" s="9" t="str">
        <f>IFERROR(INDEX('CONTROL MASTER'!$Q$2:$Q$495,MATCH("Control NIH Plate 9: B1",'CONTROL MASTER'!$H$2:$H$495,0)),"")</f>
        <v/>
      </c>
      <c r="C100" s="9" t="str">
        <f>IFERROR(INDEX('CONTROL MASTER'!$Q$2:$Q$495,MATCH("Control NIH Plate 9: B2",'CONTROL MASTER'!$H$2:$H$495,0)),"")</f>
        <v/>
      </c>
      <c r="D100" s="9" t="str">
        <f>IFERROR(INDEX('CONTROL MASTER'!$Q$2:$Q$495,MATCH("Control NIH Plate 9: B3",'CONTROL MASTER'!$H$2:$H$495,0)),"")</f>
        <v/>
      </c>
      <c r="E100" s="9" t="str">
        <f>IFERROR(INDEX('CONTROL MASTER'!$Q$2:$Q$495,MATCH("Control NIH Plate 9: B4",'CONTROL MASTER'!$H$2:$H$495,0)),"")</f>
        <v/>
      </c>
      <c r="F100" s="9" t="str">
        <f>IFERROR(INDEX('CONTROL MASTER'!$Q$2:$Q$495,MATCH("Control NIH Plate 9: B5",'CONTROL MASTER'!$H$2:$H$495,0)),"")</f>
        <v/>
      </c>
      <c r="G100" s="9" t="str">
        <f>IFERROR(INDEX('CONTROL MASTER'!$Q$2:$Q$495,MATCH("Control NIH Plate 9: B6",'CONTROL MASTER'!$H$2:$H$495,0)),"")</f>
        <v/>
      </c>
      <c r="H100" s="9" t="str">
        <f>IFERROR(INDEX('CONTROL MASTER'!$Q$2:$Q$495,MATCH("Control NIH Plate 9: B7",'CONTROL MASTER'!$H$2:$H$495,0)),"")</f>
        <v/>
      </c>
      <c r="I100" s="9" t="str">
        <f>IFERROR(INDEX('CONTROL MASTER'!$Q$2:$Q$495,MATCH("Control NIH Plate 9: B8",'CONTROL MASTER'!$H$2:$H$495,0)),"")</f>
        <v/>
      </c>
      <c r="J100" s="9" t="str">
        <f>IFERROR(INDEX('CONTROL MASTER'!$Q$2:$Q$495,MATCH("Control NIH Plate 9: B9",'CONTROL MASTER'!$H$2:$H$495,0)),"")</f>
        <v/>
      </c>
      <c r="K100" s="9" t="str">
        <f>IFERROR(INDEX('CONTROL MASTER'!$Q$2:$Q$495,MATCH("Control NIH Plate 9: B10",'CONTROL MASTER'!$H$2:$H$495,0)),"")</f>
        <v/>
      </c>
      <c r="L100" s="9" t="str">
        <f>IFERROR(INDEX('CONTROL MASTER'!$Q$2:$Q$495,MATCH("Control NIH Plate 9: B11",'CONTROL MASTER'!$H$2:$H$495,0)),"")</f>
        <v/>
      </c>
      <c r="M100" s="9" t="str">
        <f>IFERROR(INDEX('CONTROL MASTER'!$Q$2:$Q$495,MATCH("Control NIH Plate 9: B12",'CONTROL MASTER'!$H$2:$H$495,0)),"")</f>
        <v/>
      </c>
    </row>
    <row r="101" spans="1:13" ht="15" customHeight="1" x14ac:dyDescent="0.35">
      <c r="A101" s="8" t="s">
        <v>30</v>
      </c>
      <c r="B101" s="9" t="str">
        <f>IFERROR(INDEX('CONTROL MASTER'!$Q$2:$Q$495,MATCH("Control NIH Plate 9: C1",'CONTROL MASTER'!$H$2:$H$495,0)),"")</f>
        <v/>
      </c>
      <c r="C101" s="9" t="str">
        <f>IFERROR(INDEX('CONTROL MASTER'!$Q$2:$Q$495,MATCH("Control NIH Plate 9: C2",'CONTROL MASTER'!$H$2:$H$495,0)),"")</f>
        <v/>
      </c>
      <c r="D101" s="9" t="str">
        <f>IFERROR(INDEX('CONTROL MASTER'!$Q$2:$Q$495,MATCH("Control NIH Plate 9: C3",'CONTROL MASTER'!$H$2:$H$495,0)),"")</f>
        <v/>
      </c>
      <c r="E101" s="9" t="str">
        <f>IFERROR(INDEX('CONTROL MASTER'!$Q$2:$Q$495,MATCH("Control NIH Plate 9: C4",'CONTROL MASTER'!$H$2:$H$495,0)),"")</f>
        <v/>
      </c>
      <c r="F101" s="9" t="str">
        <f>IFERROR(INDEX('CONTROL MASTER'!$Q$2:$Q$495,MATCH("Control NIH Plate 9: C5",'CONTROL MASTER'!$H$2:$H$495,0)),"")</f>
        <v/>
      </c>
      <c r="G101" s="9" t="str">
        <f>IFERROR(INDEX('CONTROL MASTER'!$Q$2:$Q$495,MATCH("Control NIH Plate 9: C6",'CONTROL MASTER'!$H$2:$H$495,0)),"")</f>
        <v/>
      </c>
      <c r="H101" s="9" t="str">
        <f>IFERROR(INDEX('CONTROL MASTER'!$Q$2:$Q$495,MATCH("Control NIH Plate 9: C7",'CONTROL MASTER'!$H$2:$H$495,0)),"")</f>
        <v/>
      </c>
      <c r="I101" s="9" t="str">
        <f>IFERROR(INDEX('CONTROL MASTER'!$Q$2:$Q$495,MATCH("Control NIH Plate 9: C8",'CONTROL MASTER'!$H$2:$H$495,0)),"")</f>
        <v/>
      </c>
      <c r="J101" s="9" t="str">
        <f>IFERROR(INDEX('CONTROL MASTER'!$Q$2:$Q$495,MATCH("Control NIH Plate 9: C9",'CONTROL MASTER'!$H$2:$H$495,0)),"")</f>
        <v/>
      </c>
      <c r="K101" s="9" t="str">
        <f>IFERROR(INDEX('CONTROL MASTER'!$Q$2:$Q$495,MATCH("Control NIH Plate 9: C10",'CONTROL MASTER'!$H$2:$H$495,0)),"")</f>
        <v/>
      </c>
      <c r="L101" s="9" t="str">
        <f>IFERROR(INDEX('CONTROL MASTER'!$Q$2:$Q$495,MATCH("Control NIH Plate 9: C11",'CONTROL MASTER'!$H$2:$H$495,0)),"")</f>
        <v/>
      </c>
      <c r="M101" s="9" t="str">
        <f>IFERROR(INDEX('CONTROL MASTER'!$Q$2:$Q$495,MATCH("Control NIH Plate 9: C12",'CONTROL MASTER'!$H$2:$H$495,0)),"")</f>
        <v/>
      </c>
    </row>
    <row r="102" spans="1:13" ht="15" customHeight="1" x14ac:dyDescent="0.35">
      <c r="A102" s="8" t="s">
        <v>31</v>
      </c>
      <c r="B102" s="9" t="str">
        <f>IFERROR(INDEX('CONTROL MASTER'!$Q$2:$Q$495,MATCH("Control NIH Plate 9: D1",'CONTROL MASTER'!$H$2:$H$495,0)),"")</f>
        <v/>
      </c>
      <c r="C102" s="9" t="str">
        <f>IFERROR(INDEX('CONTROL MASTER'!$Q$2:$Q$495,MATCH("Control NIH Plate 9: D2",'CONTROL MASTER'!$H$2:$H$495,0)),"")</f>
        <v/>
      </c>
      <c r="D102" s="9" t="str">
        <f>IFERROR(INDEX('CONTROL MASTER'!$Q$2:$Q$495,MATCH("Control NIH Plate 9: D3",'CONTROL MASTER'!$H$2:$H$495,0)),"")</f>
        <v/>
      </c>
      <c r="E102" s="9" t="str">
        <f>IFERROR(INDEX('CONTROL MASTER'!$Q$2:$Q$495,MATCH("Control NIH Plate 9: D4",'CONTROL MASTER'!$H$2:$H$495,0)),"")</f>
        <v/>
      </c>
      <c r="F102" s="9" t="str">
        <f>IFERROR(INDEX('CONTROL MASTER'!$Q$2:$Q$495,MATCH("Control NIH Plate 9: D5",'CONTROL MASTER'!$H$2:$H$495,0)),"")</f>
        <v/>
      </c>
      <c r="G102" s="9" t="str">
        <f>IFERROR(INDEX('CONTROL MASTER'!$Q$2:$Q$495,MATCH("Control NIH Plate 9: D6",'CONTROL MASTER'!$H$2:$H$495,0)),"")</f>
        <v/>
      </c>
      <c r="H102" s="9" t="str">
        <f>IFERROR(INDEX('CONTROL MASTER'!$Q$2:$Q$495,MATCH("Control NIH Plate 9: D7",'CONTROL MASTER'!$H$2:$H$495,0)),"")</f>
        <v/>
      </c>
      <c r="I102" s="9" t="str">
        <f>IFERROR(INDEX('CONTROL MASTER'!$Q$2:$Q$495,MATCH("Control NIH Plate 9: D8",'CONTROL MASTER'!$H$2:$H$495,0)),"")</f>
        <v/>
      </c>
      <c r="J102" s="9" t="str">
        <f>IFERROR(INDEX('CONTROL MASTER'!$Q$2:$Q$495,MATCH("Control NIH Plate 9: D9",'CONTROL MASTER'!$H$2:$H$495,0)),"")</f>
        <v/>
      </c>
      <c r="K102" s="9" t="str">
        <f>IFERROR(INDEX('CONTROL MASTER'!$Q$2:$Q$495,MATCH("Control NIH Plate 9: D10",'CONTROL MASTER'!$H$2:$H$495,0)),"")</f>
        <v/>
      </c>
      <c r="L102" s="9" t="str">
        <f>IFERROR(INDEX('CONTROL MASTER'!$Q$2:$Q$495,MATCH("Control NIH Plate 9: D11",'CONTROL MASTER'!$H$2:$H$495,0)),"")</f>
        <v/>
      </c>
      <c r="M102" s="9" t="str">
        <f>IFERROR(INDEX('CONTROL MASTER'!$Q$2:$Q$495,MATCH("Control NIH Plate 9: D12",'CONTROL MASTER'!$H$2:$H$495,0)),"")</f>
        <v/>
      </c>
    </row>
    <row r="103" spans="1:13" ht="15" customHeight="1" x14ac:dyDescent="0.35">
      <c r="A103" s="8" t="s">
        <v>32</v>
      </c>
      <c r="B103" s="9" t="str">
        <f>IFERROR(INDEX('CONTROL MASTER'!$Q$2:$Q$495,MATCH("Control NIH Plate 9: E1",'CONTROL MASTER'!$H$2:$H$495,0)),"")</f>
        <v/>
      </c>
      <c r="C103" s="9" t="str">
        <f>IFERROR(INDEX('CONTROL MASTER'!$Q$2:$Q$495,MATCH("Control NIH Plate 9: E2",'CONTROL MASTER'!$H$2:$H$495,0)),"")</f>
        <v/>
      </c>
      <c r="D103" s="9" t="str">
        <f>IFERROR(INDEX('CONTROL MASTER'!$Q$2:$Q$495,MATCH("Control NIH Plate 9: E3",'CONTROL MASTER'!$H$2:$H$495,0)),"")</f>
        <v/>
      </c>
      <c r="E103" s="9" t="str">
        <f>IFERROR(INDEX('CONTROL MASTER'!$Q$2:$Q$495,MATCH("Control NIH Plate 9: E4",'CONTROL MASTER'!$H$2:$H$495,0)),"")</f>
        <v/>
      </c>
      <c r="F103" s="9" t="str">
        <f>IFERROR(INDEX('CONTROL MASTER'!$Q$2:$Q$495,MATCH("Control NIH Plate 9: E5",'CONTROL MASTER'!$H$2:$H$495,0)),"")</f>
        <v/>
      </c>
      <c r="G103" s="9" t="str">
        <f>IFERROR(INDEX('CONTROL MASTER'!$Q$2:$Q$495,MATCH("Control NIH Plate 9: E6",'CONTROL MASTER'!$H$2:$H$495,0)),"")</f>
        <v/>
      </c>
      <c r="H103" s="9" t="str">
        <f>IFERROR(INDEX('CONTROL MASTER'!$Q$2:$Q$495,MATCH("Control NIH Plate 9: E7",'CONTROL MASTER'!$H$2:$H$495,0)),"")</f>
        <v/>
      </c>
      <c r="I103" s="9" t="str">
        <f>IFERROR(INDEX('CONTROL MASTER'!$Q$2:$Q$495,MATCH("Control NIH Plate 9: E8",'CONTROL MASTER'!$H$2:$H$495,0)),"")</f>
        <v/>
      </c>
      <c r="J103" s="9" t="str">
        <f>IFERROR(INDEX('CONTROL MASTER'!$Q$2:$Q$495,MATCH("Control NIH Plate 9: E9",'CONTROL MASTER'!$H$2:$H$495,0)),"")</f>
        <v/>
      </c>
      <c r="K103" s="9" t="str">
        <f>IFERROR(INDEX('CONTROL MASTER'!$Q$2:$Q$495,MATCH("Control NIH Plate 9: E10",'CONTROL MASTER'!$H$2:$H$495,0)),"")</f>
        <v/>
      </c>
      <c r="L103" s="9" t="str">
        <f>IFERROR(INDEX('CONTROL MASTER'!$Q$2:$Q$495,MATCH("Control NIH Plate 9: E11",'CONTROL MASTER'!$H$2:$H$495,0)),"")</f>
        <v/>
      </c>
      <c r="M103" s="9" t="str">
        <f>IFERROR(INDEX('CONTROL MASTER'!$Q$2:$Q$495,MATCH("Control NIH Plate 9: E12",'CONTROL MASTER'!$H$2:$H$495,0)),"")</f>
        <v/>
      </c>
    </row>
    <row r="104" spans="1:13" ht="15" customHeight="1" x14ac:dyDescent="0.35">
      <c r="A104" s="8" t="s">
        <v>33</v>
      </c>
      <c r="B104" s="9" t="str">
        <f>IFERROR(INDEX('CONTROL MASTER'!$Q$2:$Q$495,MATCH("Control NIH Plate 9: F1",'CONTROL MASTER'!$H$2:$H$495,0)),"")</f>
        <v/>
      </c>
      <c r="C104" s="9" t="str">
        <f>IFERROR(INDEX('CONTROL MASTER'!$Q$2:$Q$495,MATCH("Control NIH Plate 9: F2",'CONTROL MASTER'!$H$2:$H$495,0)),"")</f>
        <v/>
      </c>
      <c r="D104" s="9" t="str">
        <f>IFERROR(INDEX('CONTROL MASTER'!$Q$2:$Q$495,MATCH("Control NIH Plate 9: F3",'CONTROL MASTER'!$H$2:$H$495,0)),"")</f>
        <v/>
      </c>
      <c r="E104" s="9" t="str">
        <f>IFERROR(INDEX('CONTROL MASTER'!$Q$2:$Q$495,MATCH("Control NIH Plate 9: F4",'CONTROL MASTER'!$H$2:$H$495,0)),"")</f>
        <v/>
      </c>
      <c r="F104" s="9" t="str">
        <f>IFERROR(INDEX('CONTROL MASTER'!$Q$2:$Q$495,MATCH("Control NIH Plate 9: F5",'CONTROL MASTER'!$H$2:$H$495,0)),"")</f>
        <v/>
      </c>
      <c r="G104" s="9" t="str">
        <f>IFERROR(INDEX('CONTROL MASTER'!$Q$2:$Q$495,MATCH("Control NIH Plate 9: F6",'CONTROL MASTER'!$H$2:$H$495,0)),"")</f>
        <v/>
      </c>
      <c r="H104" s="9" t="str">
        <f>IFERROR(INDEX('CONTROL MASTER'!$Q$2:$Q$495,MATCH("Control NIH Plate 9: F7",'CONTROL MASTER'!$H$2:$H$495,0)),"")</f>
        <v/>
      </c>
      <c r="I104" s="9" t="str">
        <f>IFERROR(INDEX('CONTROL MASTER'!$Q$2:$Q$495,MATCH("Control NIH Plate 9: F8",'CONTROL MASTER'!$H$2:$H$495,0)),"")</f>
        <v/>
      </c>
      <c r="J104" s="9" t="str">
        <f>IFERROR(INDEX('CONTROL MASTER'!$Q$2:$Q$495,MATCH("Control NIH Plate 9: F9",'CONTROL MASTER'!$H$2:$H$495,0)),"")</f>
        <v/>
      </c>
      <c r="K104" s="9" t="str">
        <f>IFERROR(INDEX('CONTROL MASTER'!$Q$2:$Q$495,MATCH("Control NIH Plate 9: F10",'CONTROL MASTER'!$H$2:$H$495,0)),"")</f>
        <v/>
      </c>
      <c r="L104" s="9" t="str">
        <f>IFERROR(INDEX('CONTROL MASTER'!$Q$2:$Q$495,MATCH("Control NIH Plate 9: F11",'CONTROL MASTER'!$H$2:$H$495,0)),"")</f>
        <v/>
      </c>
      <c r="M104" s="9" t="str">
        <f>IFERROR(INDEX('CONTROL MASTER'!$Q$2:$Q$495,MATCH("Control NIH Plate 9: F12",'CONTROL MASTER'!$H$2:$H$495,0)),"")</f>
        <v/>
      </c>
    </row>
    <row r="105" spans="1:13" ht="15" customHeight="1" x14ac:dyDescent="0.35">
      <c r="A105" s="8" t="s">
        <v>34</v>
      </c>
      <c r="B105" s="9" t="str">
        <f>IFERROR(INDEX('CONTROL MASTER'!$Q$2:$Q$495,MATCH("Control NIH Plate 9: G1",'CONTROL MASTER'!$H$2:$H$495,0)),"")</f>
        <v/>
      </c>
      <c r="C105" s="9" t="str">
        <f>IFERROR(INDEX('CONTROL MASTER'!$Q$2:$Q$495,MATCH("Control NIH Plate 9: G2",'CONTROL MASTER'!$H$2:$H$495,0)),"")</f>
        <v/>
      </c>
      <c r="D105" s="9" t="str">
        <f>IFERROR(INDEX('CONTROL MASTER'!$Q$2:$Q$495,MATCH("Control NIH Plate 9: G3",'CONTROL MASTER'!$H$2:$H$495,0)),"")</f>
        <v/>
      </c>
      <c r="E105" s="9" t="str">
        <f>IFERROR(INDEX('CONTROL MASTER'!$Q$2:$Q$495,MATCH("Control NIH Plate 9: G4",'CONTROL MASTER'!$H$2:$H$495,0)),"")</f>
        <v/>
      </c>
      <c r="F105" s="9" t="str">
        <f>IFERROR(INDEX('CONTROL MASTER'!$Q$2:$Q$495,MATCH("Control NIH Plate 9: G5",'CONTROL MASTER'!$H$2:$H$495,0)),"")</f>
        <v/>
      </c>
      <c r="G105" s="9" t="str">
        <f>IFERROR(INDEX('CONTROL MASTER'!$Q$2:$Q$495,MATCH("Control NIH Plate 9: G6",'CONTROL MASTER'!$H$2:$H$495,0)),"")</f>
        <v/>
      </c>
      <c r="H105" s="9" t="str">
        <f>IFERROR(INDEX('CONTROL MASTER'!$Q$2:$Q$495,MATCH("Control NIH Plate 9: G7",'CONTROL MASTER'!$H$2:$H$495,0)),"")</f>
        <v/>
      </c>
      <c r="I105" s="9" t="str">
        <f>IFERROR(INDEX('CONTROL MASTER'!$Q$2:$Q$495,MATCH("Control NIH Plate 9: G8",'CONTROL MASTER'!$H$2:$H$495,0)),"")</f>
        <v/>
      </c>
      <c r="J105" s="9" t="str">
        <f>IFERROR(INDEX('CONTROL MASTER'!$Q$2:$Q$495,MATCH("Control NIH Plate 9: G9",'CONTROL MASTER'!$H$2:$H$495,0)),"")</f>
        <v/>
      </c>
      <c r="K105" s="9" t="str">
        <f>IFERROR(INDEX('CONTROL MASTER'!$Q$2:$Q$495,MATCH("Control NIH Plate 9: G10",'CONTROL MASTER'!$H$2:$H$495,0)),"")</f>
        <v/>
      </c>
      <c r="L105" s="9" t="str">
        <f>IFERROR(INDEX('CONTROL MASTER'!$Q$2:$Q$495,MATCH("Control NIH Plate 9: G11",'CONTROL MASTER'!$H$2:$H$495,0)),"")</f>
        <v/>
      </c>
      <c r="M105" s="9" t="str">
        <f>IFERROR(INDEX('CONTROL MASTER'!$Q$2:$Q$495,MATCH("Control NIH Plate 9: G12",'CONTROL MASTER'!$H$2:$H$495,0)),"")</f>
        <v/>
      </c>
    </row>
    <row r="106" spans="1:13" ht="15" customHeight="1" x14ac:dyDescent="0.35">
      <c r="A106" s="8" t="s">
        <v>35</v>
      </c>
      <c r="B106" s="9" t="str">
        <f>IFERROR(INDEX('CONTROL MASTER'!$Q$2:$Q$495,MATCH("Control NIH Plate 9: H1",'CONTROL MASTER'!$H$2:$H$495,0)),"")</f>
        <v/>
      </c>
      <c r="C106" s="9" t="str">
        <f>IFERROR(INDEX('CONTROL MASTER'!$Q$2:$Q$495,MATCH("Control NIH Plate 9: H2",'CONTROL MASTER'!$H$2:$H$495,0)),"")</f>
        <v/>
      </c>
      <c r="D106" s="9" t="str">
        <f>IFERROR(INDEX('CONTROL MASTER'!$Q$2:$Q$495,MATCH("Control NIH Plate 9: H3",'CONTROL MASTER'!$H$2:$H$495,0)),"")</f>
        <v/>
      </c>
      <c r="E106" s="9" t="str">
        <f>IFERROR(INDEX('CONTROL MASTER'!$Q$2:$Q$495,MATCH("Control NIH Plate 9: H4",'CONTROL MASTER'!$H$2:$H$495,0)),"")</f>
        <v/>
      </c>
      <c r="F106" s="9" t="str">
        <f>IFERROR(INDEX('CONTROL MASTER'!$Q$2:$Q$495,MATCH("Control NIH Plate 9: H5",'CONTROL MASTER'!$H$2:$H$495,0)),"")</f>
        <v/>
      </c>
      <c r="G106" s="9" t="str">
        <f>IFERROR(INDEX('CONTROL MASTER'!$Q$2:$Q$495,MATCH("Control NIH Plate 9: H6",'CONTROL MASTER'!$H$2:$H$495,0)),"")</f>
        <v/>
      </c>
      <c r="H106" s="9" t="str">
        <f>IFERROR(INDEX('CONTROL MASTER'!$Q$2:$Q$495,MATCH("Control NIH Plate 9: H7",'CONTROL MASTER'!$H$2:$H$495,0)),"")</f>
        <v/>
      </c>
      <c r="I106" s="9" t="str">
        <f>IFERROR(INDEX('CONTROL MASTER'!$Q$2:$Q$495,MATCH("Control NIH Plate 9: H8",'CONTROL MASTER'!$H$2:$H$495,0)),"")</f>
        <v/>
      </c>
      <c r="J106" s="9" t="str">
        <f>IFERROR(INDEX('CONTROL MASTER'!$Q$2:$Q$495,MATCH("Control NIH Plate 9: H9",'CONTROL MASTER'!$H$2:$H$495,0)),"")</f>
        <v/>
      </c>
      <c r="K106" s="9" t="str">
        <f>IFERROR(INDEX('CONTROL MASTER'!$Q$2:$Q$495,MATCH("Control NIH Plate 9: H10",'CONTROL MASTER'!$H$2:$H$495,0)),"")</f>
        <v/>
      </c>
      <c r="L106" s="9" t="str">
        <f>IFERROR(INDEX('CONTROL MASTER'!$Q$2:$Q$495,MATCH("Control NIH Plate 9: H11",'CONTROL MASTER'!$H$2:$H$495,0)),"")</f>
        <v/>
      </c>
      <c r="M106" s="9" t="str">
        <f>IFERROR(INDEX('CONTROL MASTER'!$Q$2:$Q$495,MATCH("Control NIH Plate 9: H12",'CONTROL MASTER'!$H$2:$H$495,0)),"")</f>
        <v/>
      </c>
    </row>
    <row r="109" spans="1:13" ht="15" customHeight="1" x14ac:dyDescent="0.35">
      <c r="A109" s="12" t="s">
        <v>136</v>
      </c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</row>
    <row r="110" spans="1:13" ht="15" customHeight="1" x14ac:dyDescent="0.35">
      <c r="B110" s="8">
        <v>1</v>
      </c>
      <c r="C110" s="8">
        <v>2</v>
      </c>
      <c r="D110" s="8">
        <v>3</v>
      </c>
      <c r="E110" s="8">
        <v>4</v>
      </c>
      <c r="F110" s="8">
        <v>5</v>
      </c>
      <c r="G110" s="8">
        <v>6</v>
      </c>
      <c r="H110" s="8">
        <v>7</v>
      </c>
      <c r="I110" s="8">
        <v>8</v>
      </c>
      <c r="J110" s="8">
        <v>9</v>
      </c>
      <c r="K110" s="8">
        <v>10</v>
      </c>
      <c r="L110" s="8">
        <v>11</v>
      </c>
      <c r="M110" s="8">
        <v>12</v>
      </c>
    </row>
    <row r="111" spans="1:13" ht="15" customHeight="1" x14ac:dyDescent="0.35">
      <c r="A111" s="8" t="s">
        <v>28</v>
      </c>
      <c r="B111" s="9" t="str">
        <f>IFERROR(INDEX('CONTROL MASTER'!$Q$2:$Q$495,MATCH("Control NIH Plate 10: A1",'CONTROL MASTER'!$H$2:$H$495,0)),"")</f>
        <v/>
      </c>
      <c r="C111" s="9" t="str">
        <f>IFERROR(INDEX('CONTROL MASTER'!$Q$2:$Q$495,MATCH("Control NIH Plate 10: A2",'CONTROL MASTER'!$H$2:$H$495,0)),"")</f>
        <v/>
      </c>
      <c r="D111" s="9" t="str">
        <f>IFERROR(INDEX('CONTROL MASTER'!$Q$2:$Q$495,MATCH("Control NIH Plate 10: A3",'CONTROL MASTER'!$H$2:$H$495,0)),"")</f>
        <v/>
      </c>
      <c r="E111" s="9" t="str">
        <f>IFERROR(INDEX('CONTROL MASTER'!$Q$2:$Q$495,MATCH("Control NIH Plate 10: A4",'CONTROL MASTER'!$H$2:$H$495,0)),"")</f>
        <v/>
      </c>
      <c r="F111" s="9" t="str">
        <f>IFERROR(INDEX('CONTROL MASTER'!$Q$2:$Q$495,MATCH("Control NIH Plate 10: A5",'CONTROL MASTER'!$H$2:$H$495,0)),"")</f>
        <v/>
      </c>
      <c r="G111" s="9" t="str">
        <f>IFERROR(INDEX('CONTROL MASTER'!$Q$2:$Q$495,MATCH("Control NIH Plate 10: A6",'CONTROL MASTER'!$H$2:$H$495,0)),"")</f>
        <v/>
      </c>
      <c r="H111" s="9" t="str">
        <f>IFERROR(INDEX('CONTROL MASTER'!$Q$2:$Q$495,MATCH("Control NIH Plate 10: A7",'CONTROL MASTER'!$H$2:$H$495,0)),"")</f>
        <v/>
      </c>
      <c r="I111" s="9" t="str">
        <f>IFERROR(INDEX('CONTROL MASTER'!$Q$2:$Q$495,MATCH("Control NIH Plate 10: A8",'CONTROL MASTER'!$H$2:$H$495,0)),"")</f>
        <v/>
      </c>
      <c r="J111" s="9" t="str">
        <f>IFERROR(INDEX('CONTROL MASTER'!$Q$2:$Q$495,MATCH("Control NIH Plate 10: A9",'CONTROL MASTER'!$H$2:$H$495,0)),"")</f>
        <v/>
      </c>
      <c r="K111" s="9" t="str">
        <f>IFERROR(INDEX('CONTROL MASTER'!$Q$2:$Q$495,MATCH("Control NIH Plate 10: A10",'CONTROL MASTER'!$H$2:$H$495,0)),"")</f>
        <v/>
      </c>
      <c r="L111" s="9" t="str">
        <f>IFERROR(INDEX('CONTROL MASTER'!$Q$2:$Q$495,MATCH("Control NIH Plate 10: A11",'CONTROL MASTER'!$H$2:$H$495,0)),"")</f>
        <v/>
      </c>
      <c r="M111" s="9" t="str">
        <f>IFERROR(INDEX('CONTROL MASTER'!$Q$2:$Q$495,MATCH("Control NIH Plate 10: A12",'CONTROL MASTER'!$H$2:$H$495,0)),"")</f>
        <v/>
      </c>
    </row>
    <row r="112" spans="1:13" ht="15" customHeight="1" x14ac:dyDescent="0.35">
      <c r="A112" s="8" t="s">
        <v>29</v>
      </c>
      <c r="B112" s="9" t="str">
        <f>IFERROR(INDEX('CONTROL MASTER'!$Q$2:$Q$495,MATCH("Control NIH Plate 10: B1",'CONTROL MASTER'!$H$2:$H$495,0)),"")</f>
        <v/>
      </c>
      <c r="C112" s="9" t="str">
        <f>IFERROR(INDEX('CONTROL MASTER'!$Q$2:$Q$495,MATCH("Control NIH Plate 10: B2",'CONTROL MASTER'!$H$2:$H$495,0)),"")</f>
        <v/>
      </c>
      <c r="D112" s="9" t="str">
        <f>IFERROR(INDEX('CONTROL MASTER'!$Q$2:$Q$495,MATCH("Control NIH Plate 10: B3",'CONTROL MASTER'!$H$2:$H$495,0)),"")</f>
        <v/>
      </c>
      <c r="E112" s="9" t="str">
        <f>IFERROR(INDEX('CONTROL MASTER'!$Q$2:$Q$495,MATCH("Control NIH Plate 10: B4",'CONTROL MASTER'!$H$2:$H$495,0)),"")</f>
        <v/>
      </c>
      <c r="F112" s="9" t="str">
        <f>IFERROR(INDEX('CONTROL MASTER'!$Q$2:$Q$495,MATCH("Control NIH Plate 10: B5",'CONTROL MASTER'!$H$2:$H$495,0)),"")</f>
        <v/>
      </c>
      <c r="G112" s="9" t="str">
        <f>IFERROR(INDEX('CONTROL MASTER'!$Q$2:$Q$495,MATCH("Control NIH Plate 10: B6",'CONTROL MASTER'!$H$2:$H$495,0)),"")</f>
        <v/>
      </c>
      <c r="H112" s="9" t="str">
        <f>IFERROR(INDEX('CONTROL MASTER'!$Q$2:$Q$495,MATCH("Control NIH Plate 10: B7",'CONTROL MASTER'!$H$2:$H$495,0)),"")</f>
        <v/>
      </c>
      <c r="I112" s="9" t="str">
        <f>IFERROR(INDEX('CONTROL MASTER'!$Q$2:$Q$495,MATCH("Control NIH Plate 10: B8",'CONTROL MASTER'!$H$2:$H$495,0)),"")</f>
        <v/>
      </c>
      <c r="J112" s="9" t="str">
        <f>IFERROR(INDEX('CONTROL MASTER'!$Q$2:$Q$495,MATCH("Control NIH Plate 10: B9",'CONTROL MASTER'!$H$2:$H$495,0)),"")</f>
        <v/>
      </c>
      <c r="K112" s="9" t="str">
        <f>IFERROR(INDEX('CONTROL MASTER'!$Q$2:$Q$495,MATCH("Control NIH Plate 10: B10",'CONTROL MASTER'!$H$2:$H$495,0)),"")</f>
        <v/>
      </c>
      <c r="L112" s="9" t="str">
        <f>IFERROR(INDEX('CONTROL MASTER'!$Q$2:$Q$495,MATCH("Control NIH Plate 10: B11",'CONTROL MASTER'!$H$2:$H$495,0)),"")</f>
        <v/>
      </c>
      <c r="M112" s="9" t="str">
        <f>IFERROR(INDEX('CONTROL MASTER'!$Q$2:$Q$495,MATCH("Control NIH Plate 10: B12",'CONTROL MASTER'!$H$2:$H$495,0)),"")</f>
        <v/>
      </c>
    </row>
    <row r="113" spans="1:13" ht="15" customHeight="1" x14ac:dyDescent="0.35">
      <c r="A113" s="8" t="s">
        <v>30</v>
      </c>
      <c r="B113" s="9" t="str">
        <f>IFERROR(INDEX('CONTROL MASTER'!$Q$2:$Q$495,MATCH("Control NIH Plate 10: C1",'CONTROL MASTER'!$H$2:$H$495,0)),"")</f>
        <v/>
      </c>
      <c r="C113" s="9" t="str">
        <f>IFERROR(INDEX('CONTROL MASTER'!$Q$2:$Q$495,MATCH("Control NIH Plate 10: C2",'CONTROL MASTER'!$H$2:$H$495,0)),"")</f>
        <v/>
      </c>
      <c r="D113" s="9" t="str">
        <f>IFERROR(INDEX('CONTROL MASTER'!$Q$2:$Q$495,MATCH("Control NIH Plate 10: C3",'CONTROL MASTER'!$H$2:$H$495,0)),"")</f>
        <v/>
      </c>
      <c r="E113" s="9" t="str">
        <f>IFERROR(INDEX('CONTROL MASTER'!$Q$2:$Q$495,MATCH("Control NIH Plate 10: C4",'CONTROL MASTER'!$H$2:$H$495,0)),"")</f>
        <v/>
      </c>
      <c r="F113" s="9" t="str">
        <f>IFERROR(INDEX('CONTROL MASTER'!$Q$2:$Q$495,MATCH("Control NIH Plate 10: C5",'CONTROL MASTER'!$H$2:$H$495,0)),"")</f>
        <v/>
      </c>
      <c r="G113" s="9" t="str">
        <f>IFERROR(INDEX('CONTROL MASTER'!$Q$2:$Q$495,MATCH("Control NIH Plate 10: C6",'CONTROL MASTER'!$H$2:$H$495,0)),"")</f>
        <v/>
      </c>
      <c r="H113" s="9" t="str">
        <f>IFERROR(INDEX('CONTROL MASTER'!$Q$2:$Q$495,MATCH("Control NIH Plate 10: C7",'CONTROL MASTER'!$H$2:$H$495,0)),"")</f>
        <v/>
      </c>
      <c r="I113" s="9" t="str">
        <f>IFERROR(INDEX('CONTROL MASTER'!$Q$2:$Q$495,MATCH("Control NIH Plate 10: C8",'CONTROL MASTER'!$H$2:$H$495,0)),"")</f>
        <v/>
      </c>
      <c r="J113" s="9" t="str">
        <f>IFERROR(INDEX('CONTROL MASTER'!$Q$2:$Q$495,MATCH("Control NIH Plate 10: C9",'CONTROL MASTER'!$H$2:$H$495,0)),"")</f>
        <v/>
      </c>
      <c r="K113" s="9" t="str">
        <f>IFERROR(INDEX('CONTROL MASTER'!$Q$2:$Q$495,MATCH("Control NIH Plate 10: C10",'CONTROL MASTER'!$H$2:$H$495,0)),"")</f>
        <v/>
      </c>
      <c r="L113" s="9" t="str">
        <f>IFERROR(INDEX('CONTROL MASTER'!$Q$2:$Q$495,MATCH("Control NIH Plate 10: C11",'CONTROL MASTER'!$H$2:$H$495,0)),"")</f>
        <v/>
      </c>
      <c r="M113" s="9" t="str">
        <f>IFERROR(INDEX('CONTROL MASTER'!$Q$2:$Q$495,MATCH("Control NIH Plate 10: C12",'CONTROL MASTER'!$H$2:$H$495,0)),"")</f>
        <v/>
      </c>
    </row>
    <row r="114" spans="1:13" ht="15" customHeight="1" x14ac:dyDescent="0.35">
      <c r="A114" s="8" t="s">
        <v>31</v>
      </c>
      <c r="B114" s="9" t="str">
        <f>IFERROR(INDEX('CONTROL MASTER'!$Q$2:$Q$495,MATCH("Control NIH Plate 10: D1",'CONTROL MASTER'!$H$2:$H$495,0)),"")</f>
        <v/>
      </c>
      <c r="C114" s="9" t="str">
        <f>IFERROR(INDEX('CONTROL MASTER'!$Q$2:$Q$495,MATCH("Control NIH Plate 10: D2",'CONTROL MASTER'!$H$2:$H$495,0)),"")</f>
        <v/>
      </c>
      <c r="D114" s="9" t="str">
        <f>IFERROR(INDEX('CONTROL MASTER'!$Q$2:$Q$495,MATCH("Control NIH Plate 10: D3",'CONTROL MASTER'!$H$2:$H$495,0)),"")</f>
        <v/>
      </c>
      <c r="E114" s="9" t="str">
        <f>IFERROR(INDEX('CONTROL MASTER'!$Q$2:$Q$495,MATCH("Control NIH Plate 10: D4",'CONTROL MASTER'!$H$2:$H$495,0)),"")</f>
        <v/>
      </c>
      <c r="F114" s="9" t="str">
        <f>IFERROR(INDEX('CONTROL MASTER'!$Q$2:$Q$495,MATCH("Control NIH Plate 10: D5",'CONTROL MASTER'!$H$2:$H$495,0)),"")</f>
        <v/>
      </c>
      <c r="G114" s="9" t="str">
        <f>IFERROR(INDEX('CONTROL MASTER'!$Q$2:$Q$495,MATCH("Control NIH Plate 10: D6",'CONTROL MASTER'!$H$2:$H$495,0)),"")</f>
        <v/>
      </c>
      <c r="H114" s="9" t="str">
        <f>IFERROR(INDEX('CONTROL MASTER'!$Q$2:$Q$495,MATCH("Control NIH Plate 10: D7",'CONTROL MASTER'!$H$2:$H$495,0)),"")</f>
        <v/>
      </c>
      <c r="I114" s="9" t="str">
        <f>IFERROR(INDEX('CONTROL MASTER'!$Q$2:$Q$495,MATCH("Control NIH Plate 10: D8",'CONTROL MASTER'!$H$2:$H$495,0)),"")</f>
        <v/>
      </c>
      <c r="J114" s="9" t="str">
        <f>IFERROR(INDEX('CONTROL MASTER'!$Q$2:$Q$495,MATCH("Control NIH Plate 10: D9",'CONTROL MASTER'!$H$2:$H$495,0)),"")</f>
        <v/>
      </c>
      <c r="K114" s="9" t="str">
        <f>IFERROR(INDEX('CONTROL MASTER'!$Q$2:$Q$495,MATCH("Control NIH Plate 10: D10",'CONTROL MASTER'!$H$2:$H$495,0)),"")</f>
        <v/>
      </c>
      <c r="L114" s="9" t="str">
        <f>IFERROR(INDEX('CONTROL MASTER'!$Q$2:$Q$495,MATCH("Control NIH Plate 10: D11",'CONTROL MASTER'!$H$2:$H$495,0)),"")</f>
        <v/>
      </c>
      <c r="M114" s="9" t="str">
        <f>IFERROR(INDEX('CONTROL MASTER'!$Q$2:$Q$495,MATCH("Control NIH Plate 10: D12",'CONTROL MASTER'!$H$2:$H$495,0)),"")</f>
        <v/>
      </c>
    </row>
    <row r="115" spans="1:13" ht="15" customHeight="1" x14ac:dyDescent="0.35">
      <c r="A115" s="8" t="s">
        <v>32</v>
      </c>
      <c r="B115" s="9" t="str">
        <f>IFERROR(INDEX('CONTROL MASTER'!$Q$2:$Q$495,MATCH("Control NIH Plate 10: E1",'CONTROL MASTER'!$H$2:$H$495,0)),"")</f>
        <v/>
      </c>
      <c r="C115" s="9" t="str">
        <f>IFERROR(INDEX('CONTROL MASTER'!$Q$2:$Q$495,MATCH("Control NIH Plate 10: E2",'CONTROL MASTER'!$H$2:$H$495,0)),"")</f>
        <v/>
      </c>
      <c r="D115" s="9" t="str">
        <f>IFERROR(INDEX('CONTROL MASTER'!$Q$2:$Q$495,MATCH("Control NIH Plate 10: E3",'CONTROL MASTER'!$H$2:$H$495,0)),"")</f>
        <v/>
      </c>
      <c r="E115" s="9" t="str">
        <f>IFERROR(INDEX('CONTROL MASTER'!$Q$2:$Q$495,MATCH("Control NIH Plate 10: E4",'CONTROL MASTER'!$H$2:$H$495,0)),"")</f>
        <v/>
      </c>
      <c r="F115" s="9" t="str">
        <f>IFERROR(INDEX('CONTROL MASTER'!$Q$2:$Q$495,MATCH("Control NIH Plate 10: E5",'CONTROL MASTER'!$H$2:$H$495,0)),"")</f>
        <v/>
      </c>
      <c r="G115" s="9" t="str">
        <f>IFERROR(INDEX('CONTROL MASTER'!$Q$2:$Q$495,MATCH("Control NIH Plate 10: E6",'CONTROL MASTER'!$H$2:$H$495,0)),"")</f>
        <v/>
      </c>
      <c r="H115" s="9" t="str">
        <f>IFERROR(INDEX('CONTROL MASTER'!$Q$2:$Q$495,MATCH("Control NIH Plate 10: E7",'CONTROL MASTER'!$H$2:$H$495,0)),"")</f>
        <v/>
      </c>
      <c r="I115" s="9" t="str">
        <f>IFERROR(INDEX('CONTROL MASTER'!$Q$2:$Q$495,MATCH("Control NIH Plate 10: E8",'CONTROL MASTER'!$H$2:$H$495,0)),"")</f>
        <v/>
      </c>
      <c r="J115" s="9" t="str">
        <f>IFERROR(INDEX('CONTROL MASTER'!$Q$2:$Q$495,MATCH("Control NIH Plate 10: E9",'CONTROL MASTER'!$H$2:$H$495,0)),"")</f>
        <v/>
      </c>
      <c r="K115" s="9" t="str">
        <f>IFERROR(INDEX('CONTROL MASTER'!$Q$2:$Q$495,MATCH("Control NIH Plate 10: E10",'CONTROL MASTER'!$H$2:$H$495,0)),"")</f>
        <v/>
      </c>
      <c r="L115" s="9" t="str">
        <f>IFERROR(INDEX('CONTROL MASTER'!$Q$2:$Q$495,MATCH("Control NIH Plate 10: E11",'CONTROL MASTER'!$H$2:$H$495,0)),"")</f>
        <v/>
      </c>
      <c r="M115" s="9" t="str">
        <f>IFERROR(INDEX('CONTROL MASTER'!$Q$2:$Q$495,MATCH("Control NIH Plate 10: E12",'CONTROL MASTER'!$H$2:$H$495,0)),"")</f>
        <v/>
      </c>
    </row>
    <row r="116" spans="1:13" ht="15" customHeight="1" x14ac:dyDescent="0.35">
      <c r="A116" s="8" t="s">
        <v>33</v>
      </c>
      <c r="B116" s="9" t="str">
        <f>IFERROR(INDEX('CONTROL MASTER'!$Q$2:$Q$495,MATCH("Control NIH Plate 10: F1",'CONTROL MASTER'!$H$2:$H$495,0)),"")</f>
        <v/>
      </c>
      <c r="C116" s="9" t="str">
        <f>IFERROR(INDEX('CONTROL MASTER'!$Q$2:$Q$495,MATCH("Control NIH Plate 10: F2",'CONTROL MASTER'!$H$2:$H$495,0)),"")</f>
        <v/>
      </c>
      <c r="D116" s="9" t="str">
        <f>IFERROR(INDEX('CONTROL MASTER'!$Q$2:$Q$495,MATCH("Control NIH Plate 10: F3",'CONTROL MASTER'!$H$2:$H$495,0)),"")</f>
        <v/>
      </c>
      <c r="E116" s="9" t="str">
        <f>IFERROR(INDEX('CONTROL MASTER'!$Q$2:$Q$495,MATCH("Control NIH Plate 10: F4",'CONTROL MASTER'!$H$2:$H$495,0)),"")</f>
        <v/>
      </c>
      <c r="F116" s="9" t="str">
        <f>IFERROR(INDEX('CONTROL MASTER'!$Q$2:$Q$495,MATCH("Control NIH Plate 10: F5",'CONTROL MASTER'!$H$2:$H$495,0)),"")</f>
        <v/>
      </c>
      <c r="G116" s="9" t="str">
        <f>IFERROR(INDEX('CONTROL MASTER'!$Q$2:$Q$495,MATCH("Control NIH Plate 10: F6",'CONTROL MASTER'!$H$2:$H$495,0)),"")</f>
        <v/>
      </c>
      <c r="H116" s="9" t="str">
        <f>IFERROR(INDEX('CONTROL MASTER'!$Q$2:$Q$495,MATCH("Control NIH Plate 10: F7",'CONTROL MASTER'!$H$2:$H$495,0)),"")</f>
        <v/>
      </c>
      <c r="I116" s="9" t="str">
        <f>IFERROR(INDEX('CONTROL MASTER'!$Q$2:$Q$495,MATCH("Control NIH Plate 10: F8",'CONTROL MASTER'!$H$2:$H$495,0)),"")</f>
        <v/>
      </c>
      <c r="J116" s="9" t="str">
        <f>IFERROR(INDEX('CONTROL MASTER'!$Q$2:$Q$495,MATCH("Control NIH Plate 10: F9",'CONTROL MASTER'!$H$2:$H$495,0)),"")</f>
        <v/>
      </c>
      <c r="K116" s="9" t="str">
        <f>IFERROR(INDEX('CONTROL MASTER'!$Q$2:$Q$495,MATCH("Control NIH Plate 10: F10",'CONTROL MASTER'!$H$2:$H$495,0)),"")</f>
        <v/>
      </c>
      <c r="L116" s="9" t="str">
        <f>IFERROR(INDEX('CONTROL MASTER'!$Q$2:$Q$495,MATCH("Control NIH Plate 10: F11",'CONTROL MASTER'!$H$2:$H$495,0)),"")</f>
        <v/>
      </c>
      <c r="M116" s="9" t="str">
        <f>IFERROR(INDEX('CONTROL MASTER'!$Q$2:$Q$495,MATCH("Control NIH Plate 10: F12",'CONTROL MASTER'!$H$2:$H$495,0)),"")</f>
        <v/>
      </c>
    </row>
    <row r="117" spans="1:13" ht="15" customHeight="1" x14ac:dyDescent="0.35">
      <c r="A117" s="8" t="s">
        <v>34</v>
      </c>
      <c r="B117" s="9" t="str">
        <f>IFERROR(INDEX('CONTROL MASTER'!$Q$2:$Q$495,MATCH("Control NIH Plate 10: G1",'CONTROL MASTER'!$H$2:$H$495,0)),"")</f>
        <v/>
      </c>
      <c r="C117" s="9" t="str">
        <f>IFERROR(INDEX('CONTROL MASTER'!$Q$2:$Q$495,MATCH("Control NIH Plate 10: G2",'CONTROL MASTER'!$H$2:$H$495,0)),"")</f>
        <v/>
      </c>
      <c r="D117" s="9" t="str">
        <f>IFERROR(INDEX('CONTROL MASTER'!$Q$2:$Q$495,MATCH("Control NIH Plate 10: G3",'CONTROL MASTER'!$H$2:$H$495,0)),"")</f>
        <v/>
      </c>
      <c r="E117" s="9" t="str">
        <f>IFERROR(INDEX('CONTROL MASTER'!$Q$2:$Q$495,MATCH("Control NIH Plate 10: G4",'CONTROL MASTER'!$H$2:$H$495,0)),"")</f>
        <v/>
      </c>
      <c r="F117" s="9" t="str">
        <f>IFERROR(INDEX('CONTROL MASTER'!$Q$2:$Q$495,MATCH("Control NIH Plate 10: G5",'CONTROL MASTER'!$H$2:$H$495,0)),"")</f>
        <v/>
      </c>
      <c r="G117" s="9" t="str">
        <f>IFERROR(INDEX('CONTROL MASTER'!$Q$2:$Q$495,MATCH("Control NIH Plate 10: G6",'CONTROL MASTER'!$H$2:$H$495,0)),"")</f>
        <v/>
      </c>
      <c r="H117" s="9" t="str">
        <f>IFERROR(INDEX('CONTROL MASTER'!$Q$2:$Q$495,MATCH("Control NIH Plate 10: G7",'CONTROL MASTER'!$H$2:$H$495,0)),"")</f>
        <v/>
      </c>
      <c r="I117" s="9" t="str">
        <f>IFERROR(INDEX('CONTROL MASTER'!$Q$2:$Q$495,MATCH("Control NIH Plate 10: G8",'CONTROL MASTER'!$H$2:$H$495,0)),"")</f>
        <v/>
      </c>
      <c r="J117" s="9" t="str">
        <f>IFERROR(INDEX('CONTROL MASTER'!$Q$2:$Q$495,MATCH("Control NIH Plate 10: G9",'CONTROL MASTER'!$H$2:$H$495,0)),"")</f>
        <v/>
      </c>
      <c r="K117" s="9" t="str">
        <f>IFERROR(INDEX('CONTROL MASTER'!$Q$2:$Q$495,MATCH("Control NIH Plate 10: G10",'CONTROL MASTER'!$H$2:$H$495,0)),"")</f>
        <v/>
      </c>
      <c r="L117" s="9" t="str">
        <f>IFERROR(INDEX('CONTROL MASTER'!$Q$2:$Q$495,MATCH("Control NIH Plate 10: G11",'CONTROL MASTER'!$H$2:$H$495,0)),"")</f>
        <v/>
      </c>
      <c r="M117" s="9" t="str">
        <f>IFERROR(INDEX('CONTROL MASTER'!$Q$2:$Q$495,MATCH("Control NIH Plate 10: G12",'CONTROL MASTER'!$H$2:$H$495,0)),"")</f>
        <v/>
      </c>
    </row>
    <row r="118" spans="1:13" ht="15" customHeight="1" x14ac:dyDescent="0.35">
      <c r="A118" s="8" t="s">
        <v>35</v>
      </c>
      <c r="B118" s="9" t="str">
        <f>IFERROR(INDEX('CONTROL MASTER'!$Q$2:$Q$495,MATCH("Control NIH Plate 10: H1",'CONTROL MASTER'!$H$2:$H$495,0)),"")</f>
        <v/>
      </c>
      <c r="C118" s="9" t="str">
        <f>IFERROR(INDEX('CONTROL MASTER'!$Q$2:$Q$495,MATCH("Control NIH Plate 10: H2",'CONTROL MASTER'!$H$2:$H$495,0)),"")</f>
        <v/>
      </c>
      <c r="D118" s="9" t="str">
        <f>IFERROR(INDEX('CONTROL MASTER'!$Q$2:$Q$495,MATCH("Control NIH Plate 10: H3",'CONTROL MASTER'!$H$2:$H$495,0)),"")</f>
        <v/>
      </c>
      <c r="E118" s="9" t="str">
        <f>IFERROR(INDEX('CONTROL MASTER'!$Q$2:$Q$495,MATCH("Control NIH Plate 10: H4",'CONTROL MASTER'!$H$2:$H$495,0)),"")</f>
        <v/>
      </c>
      <c r="F118" s="9" t="str">
        <f>IFERROR(INDEX('CONTROL MASTER'!$Q$2:$Q$495,MATCH("Control NIH Plate 10: H5",'CONTROL MASTER'!$H$2:$H$495,0)),"")</f>
        <v/>
      </c>
      <c r="G118" s="9" t="str">
        <f>IFERROR(INDEX('CONTROL MASTER'!$Q$2:$Q$495,MATCH("Control NIH Plate 10: H6",'CONTROL MASTER'!$H$2:$H$495,0)),"")</f>
        <v/>
      </c>
      <c r="H118" s="9" t="str">
        <f>IFERROR(INDEX('CONTROL MASTER'!$Q$2:$Q$495,MATCH("Control NIH Plate 10: H7",'CONTROL MASTER'!$H$2:$H$495,0)),"")</f>
        <v/>
      </c>
      <c r="I118" s="9" t="str">
        <f>IFERROR(INDEX('CONTROL MASTER'!$Q$2:$Q$495,MATCH("Control NIH Plate 10: H8",'CONTROL MASTER'!$H$2:$H$495,0)),"")</f>
        <v/>
      </c>
      <c r="J118" s="9" t="str">
        <f>IFERROR(INDEX('CONTROL MASTER'!$Q$2:$Q$495,MATCH("Control NIH Plate 10: H9",'CONTROL MASTER'!$H$2:$H$495,0)),"")</f>
        <v/>
      </c>
      <c r="K118" s="9" t="str">
        <f>IFERROR(INDEX('CONTROL MASTER'!$Q$2:$Q$495,MATCH("Control NIH Plate 10: H10",'CONTROL MASTER'!$H$2:$H$495,0)),"")</f>
        <v/>
      </c>
      <c r="L118" s="9" t="str">
        <f>IFERROR(INDEX('CONTROL MASTER'!$Q$2:$Q$495,MATCH("Control NIH Plate 10: H11",'CONTROL MASTER'!$H$2:$H$495,0)),"")</f>
        <v/>
      </c>
      <c r="M118" s="9" t="str">
        <f>IFERROR(INDEX('CONTROL MASTER'!$Q$2:$Q$495,MATCH("Control NIH Plate 10: H12",'CONTROL MASTER'!$H$2:$H$495,0)),"")</f>
        <v/>
      </c>
    </row>
    <row r="121" spans="1:13" ht="15" customHeight="1" x14ac:dyDescent="0.35">
      <c r="A121" s="12" t="s">
        <v>137</v>
      </c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</row>
    <row r="122" spans="1:13" ht="15" customHeight="1" x14ac:dyDescent="0.35">
      <c r="B122" s="8">
        <v>1</v>
      </c>
      <c r="C122" s="8">
        <v>2</v>
      </c>
      <c r="D122" s="8">
        <v>3</v>
      </c>
      <c r="E122" s="8">
        <v>4</v>
      </c>
      <c r="F122" s="8">
        <v>5</v>
      </c>
      <c r="G122" s="8">
        <v>6</v>
      </c>
      <c r="H122" s="8">
        <v>7</v>
      </c>
      <c r="I122" s="8">
        <v>8</v>
      </c>
      <c r="J122" s="8">
        <v>9</v>
      </c>
      <c r="K122" s="8">
        <v>10</v>
      </c>
      <c r="L122" s="8">
        <v>11</v>
      </c>
      <c r="M122" s="8">
        <v>12</v>
      </c>
    </row>
    <row r="123" spans="1:13" ht="15" customHeight="1" x14ac:dyDescent="0.35">
      <c r="A123" s="8" t="s">
        <v>28</v>
      </c>
      <c r="B123" s="9" t="str">
        <f>IFERROR(INDEX('CONTROL MASTER'!$Q$2:$Q$495,MATCH("Control NIH Plate 11: A1",'CONTROL MASTER'!$H$2:$H$495,0)),"")</f>
        <v/>
      </c>
      <c r="C123" s="9" t="str">
        <f>IFERROR(INDEX('CONTROL MASTER'!$Q$2:$Q$495,MATCH("Control NIH Plate 11: A2",'CONTROL MASTER'!$H$2:$H$495,0)),"")</f>
        <v/>
      </c>
      <c r="D123" s="9" t="str">
        <f>IFERROR(INDEX('CONTROL MASTER'!$Q$2:$Q$495,MATCH("Control NIH Plate 11: A3",'CONTROL MASTER'!$H$2:$H$495,0)),"")</f>
        <v/>
      </c>
      <c r="E123" s="9" t="str">
        <f>IFERROR(INDEX('CONTROL MASTER'!$Q$2:$Q$495,MATCH("Control NIH Plate 11: A4",'CONTROL MASTER'!$H$2:$H$495,0)),"")</f>
        <v/>
      </c>
      <c r="F123" s="9" t="str">
        <f>IFERROR(INDEX('CONTROL MASTER'!$Q$2:$Q$495,MATCH("Control NIH Plate 11: A5",'CONTROL MASTER'!$H$2:$H$495,0)),"")</f>
        <v/>
      </c>
      <c r="G123" s="9" t="str">
        <f>IFERROR(INDEX('CONTROL MASTER'!$Q$2:$Q$495,MATCH("Control NIH Plate 11: A6",'CONTROL MASTER'!$H$2:$H$495,0)),"")</f>
        <v/>
      </c>
      <c r="H123" s="9" t="str">
        <f>IFERROR(INDEX('CONTROL MASTER'!$Q$2:$Q$495,MATCH("Control NIH Plate 11: A7",'CONTROL MASTER'!$H$2:$H$495,0)),"")</f>
        <v/>
      </c>
      <c r="I123" s="9" t="str">
        <f>IFERROR(INDEX('CONTROL MASTER'!$Q$2:$Q$495,MATCH("Control NIH Plate 11: A8",'CONTROL MASTER'!$H$2:$H$495,0)),"")</f>
        <v/>
      </c>
      <c r="J123" s="9" t="str">
        <f>IFERROR(INDEX('CONTROL MASTER'!$Q$2:$Q$495,MATCH("Control NIH Plate 11: A9",'CONTROL MASTER'!$H$2:$H$495,0)),"")</f>
        <v/>
      </c>
      <c r="K123" s="9" t="str">
        <f>IFERROR(INDEX('CONTROL MASTER'!$Q$2:$Q$495,MATCH("Control NIH Plate 11: A10",'CONTROL MASTER'!$H$2:$H$495,0)),"")</f>
        <v/>
      </c>
      <c r="L123" s="9" t="str">
        <f>IFERROR(INDEX('CONTROL MASTER'!$Q$2:$Q$495,MATCH("Control NIH Plate 11: A11",'CONTROL MASTER'!$H$2:$H$495,0)),"")</f>
        <v/>
      </c>
      <c r="M123" s="9" t="str">
        <f>IFERROR(INDEX('CONTROL MASTER'!$Q$2:$Q$495,MATCH("Control NIH Plate 11: A12",'CONTROL MASTER'!$H$2:$H$495,0)),"")</f>
        <v/>
      </c>
    </row>
    <row r="124" spans="1:13" ht="15" customHeight="1" x14ac:dyDescent="0.35">
      <c r="A124" s="8" t="s">
        <v>29</v>
      </c>
      <c r="B124" s="9" t="str">
        <f>IFERROR(INDEX('CONTROL MASTER'!$Q$2:$Q$495,MATCH("Control NIH Plate 11: B1",'CONTROL MASTER'!$H$2:$H$495,0)),"")</f>
        <v/>
      </c>
      <c r="C124" s="9" t="str">
        <f>IFERROR(INDEX('CONTROL MASTER'!$Q$2:$Q$495,MATCH("Control NIH Plate 11: B2",'CONTROL MASTER'!$H$2:$H$495,0)),"")</f>
        <v/>
      </c>
      <c r="D124" s="9" t="str">
        <f>IFERROR(INDEX('CONTROL MASTER'!$Q$2:$Q$495,MATCH("Control NIH Plate 11: B3",'CONTROL MASTER'!$H$2:$H$495,0)),"")</f>
        <v/>
      </c>
      <c r="E124" s="9" t="str">
        <f>IFERROR(INDEX('CONTROL MASTER'!$Q$2:$Q$495,MATCH("Control NIH Plate 11: B4",'CONTROL MASTER'!$H$2:$H$495,0)),"")</f>
        <v/>
      </c>
      <c r="F124" s="9" t="str">
        <f>IFERROR(INDEX('CONTROL MASTER'!$Q$2:$Q$495,MATCH("Control NIH Plate 11: B5",'CONTROL MASTER'!$H$2:$H$495,0)),"")</f>
        <v/>
      </c>
      <c r="G124" s="9" t="str">
        <f>IFERROR(INDEX('CONTROL MASTER'!$Q$2:$Q$495,MATCH("Control NIH Plate 11: B6",'CONTROL MASTER'!$H$2:$H$495,0)),"")</f>
        <v/>
      </c>
      <c r="H124" s="9" t="str">
        <f>IFERROR(INDEX('CONTROL MASTER'!$Q$2:$Q$495,MATCH("Control NIH Plate 11: B7",'CONTROL MASTER'!$H$2:$H$495,0)),"")</f>
        <v/>
      </c>
      <c r="I124" s="9" t="str">
        <f>IFERROR(INDEX('CONTROL MASTER'!$Q$2:$Q$495,MATCH("Control NIH Plate 11: B8",'CONTROL MASTER'!$H$2:$H$495,0)),"")</f>
        <v/>
      </c>
      <c r="J124" s="9" t="str">
        <f>IFERROR(INDEX('CONTROL MASTER'!$Q$2:$Q$495,MATCH("Control NIH Plate 11: B9",'CONTROL MASTER'!$H$2:$H$495,0)),"")</f>
        <v/>
      </c>
      <c r="K124" s="9" t="str">
        <f>IFERROR(INDEX('CONTROL MASTER'!$Q$2:$Q$495,MATCH("Control NIH Plate 11: B10",'CONTROL MASTER'!$H$2:$H$495,0)),"")</f>
        <v/>
      </c>
      <c r="L124" s="9" t="str">
        <f>IFERROR(INDEX('CONTROL MASTER'!$Q$2:$Q$495,MATCH("Control NIH Plate 11: B11",'CONTROL MASTER'!$H$2:$H$495,0)),"")</f>
        <v/>
      </c>
      <c r="M124" s="9" t="str">
        <f>IFERROR(INDEX('CONTROL MASTER'!$Q$2:$Q$495,MATCH("Control NIH Plate 11: B12",'CONTROL MASTER'!$H$2:$H$495,0)),"")</f>
        <v/>
      </c>
    </row>
    <row r="125" spans="1:13" ht="15" customHeight="1" x14ac:dyDescent="0.35">
      <c r="A125" s="8" t="s">
        <v>30</v>
      </c>
      <c r="B125" s="9" t="str">
        <f>IFERROR(INDEX('CONTROL MASTER'!$Q$2:$Q$495,MATCH("Control NIH Plate 11: C1",'CONTROL MASTER'!$H$2:$H$495,0)),"")</f>
        <v/>
      </c>
      <c r="C125" s="9" t="str">
        <f>IFERROR(INDEX('CONTROL MASTER'!$Q$2:$Q$495,MATCH("Control NIH Plate 11: C2",'CONTROL MASTER'!$H$2:$H$495,0)),"")</f>
        <v/>
      </c>
      <c r="D125" s="9" t="str">
        <f>IFERROR(INDEX('CONTROL MASTER'!$Q$2:$Q$495,MATCH("Control NIH Plate 11: C3",'CONTROL MASTER'!$H$2:$H$495,0)),"")</f>
        <v/>
      </c>
      <c r="E125" s="9" t="str">
        <f>IFERROR(INDEX('CONTROL MASTER'!$Q$2:$Q$495,MATCH("Control NIH Plate 11: C4",'CONTROL MASTER'!$H$2:$H$495,0)),"")</f>
        <v/>
      </c>
      <c r="F125" s="9" t="str">
        <f>IFERROR(INDEX('CONTROL MASTER'!$Q$2:$Q$495,MATCH("Control NIH Plate 11: C5",'CONTROL MASTER'!$H$2:$H$495,0)),"")</f>
        <v/>
      </c>
      <c r="G125" s="9" t="str">
        <f>IFERROR(INDEX('CONTROL MASTER'!$Q$2:$Q$495,MATCH("Control NIH Plate 11: C6",'CONTROL MASTER'!$H$2:$H$495,0)),"")</f>
        <v/>
      </c>
      <c r="H125" s="9" t="str">
        <f>IFERROR(INDEX('CONTROL MASTER'!$Q$2:$Q$495,MATCH("Control NIH Plate 11: C7",'CONTROL MASTER'!$H$2:$H$495,0)),"")</f>
        <v/>
      </c>
      <c r="I125" s="9" t="str">
        <f>IFERROR(INDEX('CONTROL MASTER'!$Q$2:$Q$495,MATCH("Control NIH Plate 11: C8",'CONTROL MASTER'!$H$2:$H$495,0)),"")</f>
        <v/>
      </c>
      <c r="J125" s="9" t="str">
        <f>IFERROR(INDEX('CONTROL MASTER'!$Q$2:$Q$495,MATCH("Control NIH Plate 11: C9",'CONTROL MASTER'!$H$2:$H$495,0)),"")</f>
        <v/>
      </c>
      <c r="K125" s="9" t="str">
        <f>IFERROR(INDEX('CONTROL MASTER'!$Q$2:$Q$495,MATCH("Control NIH Plate 11: C10",'CONTROL MASTER'!$H$2:$H$495,0)),"")</f>
        <v/>
      </c>
      <c r="L125" s="9" t="str">
        <f>IFERROR(INDEX('CONTROL MASTER'!$Q$2:$Q$495,MATCH("Control NIH Plate 11: C11",'CONTROL MASTER'!$H$2:$H$495,0)),"")</f>
        <v/>
      </c>
      <c r="M125" s="9" t="str">
        <f>IFERROR(INDEX('CONTROL MASTER'!$Q$2:$Q$495,MATCH("Control NIH Plate 11: C12",'CONTROL MASTER'!$H$2:$H$495,0)),"")</f>
        <v/>
      </c>
    </row>
    <row r="126" spans="1:13" ht="15" customHeight="1" x14ac:dyDescent="0.35">
      <c r="A126" s="8" t="s">
        <v>31</v>
      </c>
      <c r="B126" s="9" t="str">
        <f>IFERROR(INDEX('CONTROL MASTER'!$Q$2:$Q$495,MATCH("Control NIH Plate 11: D1",'CONTROL MASTER'!$H$2:$H$495,0)),"")</f>
        <v/>
      </c>
      <c r="C126" s="9" t="str">
        <f>IFERROR(INDEX('CONTROL MASTER'!$Q$2:$Q$495,MATCH("Control NIH Plate 11: D2",'CONTROL MASTER'!$H$2:$H$495,0)),"")</f>
        <v/>
      </c>
      <c r="D126" s="9" t="str">
        <f>IFERROR(INDEX('CONTROL MASTER'!$Q$2:$Q$495,MATCH("Control NIH Plate 11: D3",'CONTROL MASTER'!$H$2:$H$495,0)),"")</f>
        <v/>
      </c>
      <c r="E126" s="9" t="str">
        <f>IFERROR(INDEX('CONTROL MASTER'!$Q$2:$Q$495,MATCH("Control NIH Plate 11: D4",'CONTROL MASTER'!$H$2:$H$495,0)),"")</f>
        <v/>
      </c>
      <c r="F126" s="9" t="str">
        <f>IFERROR(INDEX('CONTROL MASTER'!$Q$2:$Q$495,MATCH("Control NIH Plate 11: D5",'CONTROL MASTER'!$H$2:$H$495,0)),"")</f>
        <v/>
      </c>
      <c r="G126" s="9" t="str">
        <f>IFERROR(INDEX('CONTROL MASTER'!$Q$2:$Q$495,MATCH("Control NIH Plate 11: D6",'CONTROL MASTER'!$H$2:$H$495,0)),"")</f>
        <v/>
      </c>
      <c r="H126" s="9" t="str">
        <f>IFERROR(INDEX('CONTROL MASTER'!$Q$2:$Q$495,MATCH("Control NIH Plate 11: D7",'CONTROL MASTER'!$H$2:$H$495,0)),"")</f>
        <v/>
      </c>
      <c r="I126" s="9" t="str">
        <f>IFERROR(INDEX('CONTROL MASTER'!$Q$2:$Q$495,MATCH("Control NIH Plate 11: D8",'CONTROL MASTER'!$H$2:$H$495,0)),"")</f>
        <v/>
      </c>
      <c r="J126" s="9" t="str">
        <f>IFERROR(INDEX('CONTROL MASTER'!$Q$2:$Q$495,MATCH("Control NIH Plate 11: D9",'CONTROL MASTER'!$H$2:$H$495,0)),"")</f>
        <v/>
      </c>
      <c r="K126" s="9" t="str">
        <f>IFERROR(INDEX('CONTROL MASTER'!$Q$2:$Q$495,MATCH("Control NIH Plate 11: D10",'CONTROL MASTER'!$H$2:$H$495,0)),"")</f>
        <v/>
      </c>
      <c r="L126" s="9" t="str">
        <f>IFERROR(INDEX('CONTROL MASTER'!$Q$2:$Q$495,MATCH("Control NIH Plate 11: D11",'CONTROL MASTER'!$H$2:$H$495,0)),"")</f>
        <v/>
      </c>
      <c r="M126" s="9" t="str">
        <f>IFERROR(INDEX('CONTROL MASTER'!$Q$2:$Q$495,MATCH("Control NIH Plate 11: D12",'CONTROL MASTER'!$H$2:$H$495,0)),"")</f>
        <v/>
      </c>
    </row>
    <row r="127" spans="1:13" ht="15" customHeight="1" x14ac:dyDescent="0.35">
      <c r="A127" s="8" t="s">
        <v>32</v>
      </c>
      <c r="B127" s="9" t="str">
        <f>IFERROR(INDEX('CONTROL MASTER'!$Q$2:$Q$495,MATCH("Control NIH Plate 11: E1",'CONTROL MASTER'!$H$2:$H$495,0)),"")</f>
        <v/>
      </c>
      <c r="C127" s="9" t="str">
        <f>IFERROR(INDEX('CONTROL MASTER'!$Q$2:$Q$495,MATCH("Control NIH Plate 11: E2",'CONTROL MASTER'!$H$2:$H$495,0)),"")</f>
        <v/>
      </c>
      <c r="D127" s="9" t="str">
        <f>IFERROR(INDEX('CONTROL MASTER'!$Q$2:$Q$495,MATCH("Control NIH Plate 11: E3",'CONTROL MASTER'!$H$2:$H$495,0)),"")</f>
        <v/>
      </c>
      <c r="E127" s="9" t="str">
        <f>IFERROR(INDEX('CONTROL MASTER'!$Q$2:$Q$495,MATCH("Control NIH Plate 11: E4",'CONTROL MASTER'!$H$2:$H$495,0)),"")</f>
        <v/>
      </c>
      <c r="F127" s="9" t="str">
        <f>IFERROR(INDEX('CONTROL MASTER'!$Q$2:$Q$495,MATCH("Control NIH Plate 11: E5",'CONTROL MASTER'!$H$2:$H$495,0)),"")</f>
        <v/>
      </c>
      <c r="G127" s="9" t="str">
        <f>IFERROR(INDEX('CONTROL MASTER'!$Q$2:$Q$495,MATCH("Control NIH Plate 11: E6",'CONTROL MASTER'!$H$2:$H$495,0)),"")</f>
        <v/>
      </c>
      <c r="H127" s="9" t="str">
        <f>IFERROR(INDEX('CONTROL MASTER'!$Q$2:$Q$495,MATCH("Control NIH Plate 11: E7",'CONTROL MASTER'!$H$2:$H$495,0)),"")</f>
        <v/>
      </c>
      <c r="I127" s="9" t="str">
        <f>IFERROR(INDEX('CONTROL MASTER'!$Q$2:$Q$495,MATCH("Control NIH Plate 11: E8",'CONTROL MASTER'!$H$2:$H$495,0)),"")</f>
        <v/>
      </c>
      <c r="J127" s="9" t="str">
        <f>IFERROR(INDEX('CONTROL MASTER'!$Q$2:$Q$495,MATCH("Control NIH Plate 11: E9",'CONTROL MASTER'!$H$2:$H$495,0)),"")</f>
        <v/>
      </c>
      <c r="K127" s="9" t="str">
        <f>IFERROR(INDEX('CONTROL MASTER'!$Q$2:$Q$495,MATCH("Control NIH Plate 11: E10",'CONTROL MASTER'!$H$2:$H$495,0)),"")</f>
        <v/>
      </c>
      <c r="L127" s="9" t="str">
        <f>IFERROR(INDEX('CONTROL MASTER'!$Q$2:$Q$495,MATCH("Control NIH Plate 11: E11",'CONTROL MASTER'!$H$2:$H$495,0)),"")</f>
        <v/>
      </c>
      <c r="M127" s="9" t="str">
        <f>IFERROR(INDEX('CONTROL MASTER'!$Q$2:$Q$495,MATCH("Control NIH Plate 11: E12",'CONTROL MASTER'!$H$2:$H$495,0)),"")</f>
        <v/>
      </c>
    </row>
    <row r="128" spans="1:13" ht="15" customHeight="1" x14ac:dyDescent="0.35">
      <c r="A128" s="8" t="s">
        <v>33</v>
      </c>
      <c r="B128" s="9" t="str">
        <f>IFERROR(INDEX('CONTROL MASTER'!$Q$2:$Q$495,MATCH("Control NIH Plate 11: F1",'CONTROL MASTER'!$H$2:$H$495,0)),"")</f>
        <v/>
      </c>
      <c r="C128" s="9" t="str">
        <f>IFERROR(INDEX('CONTROL MASTER'!$Q$2:$Q$495,MATCH("Control NIH Plate 11: F2",'CONTROL MASTER'!$H$2:$H$495,0)),"")</f>
        <v/>
      </c>
      <c r="D128" s="9" t="str">
        <f>IFERROR(INDEX('CONTROL MASTER'!$Q$2:$Q$495,MATCH("Control NIH Plate 11: F3",'CONTROL MASTER'!$H$2:$H$495,0)),"")</f>
        <v/>
      </c>
      <c r="E128" s="9" t="str">
        <f>IFERROR(INDEX('CONTROL MASTER'!$Q$2:$Q$495,MATCH("Control NIH Plate 11: F4",'CONTROL MASTER'!$H$2:$H$495,0)),"")</f>
        <v/>
      </c>
      <c r="F128" s="9" t="str">
        <f>IFERROR(INDEX('CONTROL MASTER'!$Q$2:$Q$495,MATCH("Control NIH Plate 11: F5",'CONTROL MASTER'!$H$2:$H$495,0)),"")</f>
        <v/>
      </c>
      <c r="G128" s="9" t="str">
        <f>IFERROR(INDEX('CONTROL MASTER'!$Q$2:$Q$495,MATCH("Control NIH Plate 11: F6",'CONTROL MASTER'!$H$2:$H$495,0)),"")</f>
        <v/>
      </c>
      <c r="H128" s="9" t="str">
        <f>IFERROR(INDEX('CONTROL MASTER'!$Q$2:$Q$495,MATCH("Control NIH Plate 11: F7",'CONTROL MASTER'!$H$2:$H$495,0)),"")</f>
        <v/>
      </c>
      <c r="I128" s="9" t="str">
        <f>IFERROR(INDEX('CONTROL MASTER'!$Q$2:$Q$495,MATCH("Control NIH Plate 11: F8",'CONTROL MASTER'!$H$2:$H$495,0)),"")</f>
        <v/>
      </c>
      <c r="J128" s="9" t="str">
        <f>IFERROR(INDEX('CONTROL MASTER'!$Q$2:$Q$495,MATCH("Control NIH Plate 11: F9",'CONTROL MASTER'!$H$2:$H$495,0)),"")</f>
        <v/>
      </c>
      <c r="K128" s="9" t="str">
        <f>IFERROR(INDEX('CONTROL MASTER'!$Q$2:$Q$495,MATCH("Control NIH Plate 11: F10",'CONTROL MASTER'!$H$2:$H$495,0)),"")</f>
        <v/>
      </c>
      <c r="L128" s="9" t="str">
        <f>IFERROR(INDEX('CONTROL MASTER'!$Q$2:$Q$495,MATCH("Control NIH Plate 11: F11",'CONTROL MASTER'!$H$2:$H$495,0)),"")</f>
        <v/>
      </c>
      <c r="M128" s="9" t="str">
        <f>IFERROR(INDEX('CONTROL MASTER'!$Q$2:$Q$495,MATCH("Control NIH Plate 11: F12",'CONTROL MASTER'!$H$2:$H$495,0)),"")</f>
        <v/>
      </c>
    </row>
    <row r="129" spans="1:13" ht="15" customHeight="1" x14ac:dyDescent="0.35">
      <c r="A129" s="8" t="s">
        <v>34</v>
      </c>
      <c r="B129" s="9" t="str">
        <f>IFERROR(INDEX('CONTROL MASTER'!$Q$2:$Q$495,MATCH("Control NIH Plate 11: G1",'CONTROL MASTER'!$H$2:$H$495,0)),"")</f>
        <v/>
      </c>
      <c r="C129" s="9" t="str">
        <f>IFERROR(INDEX('CONTROL MASTER'!$Q$2:$Q$495,MATCH("Control NIH Plate 11: G2",'CONTROL MASTER'!$H$2:$H$495,0)),"")</f>
        <v/>
      </c>
      <c r="D129" s="9" t="str">
        <f>IFERROR(INDEX('CONTROL MASTER'!$Q$2:$Q$495,MATCH("Control NIH Plate 11: G3",'CONTROL MASTER'!$H$2:$H$495,0)),"")</f>
        <v/>
      </c>
      <c r="E129" s="9" t="str">
        <f>IFERROR(INDEX('CONTROL MASTER'!$Q$2:$Q$495,MATCH("Control NIH Plate 11: G4",'CONTROL MASTER'!$H$2:$H$495,0)),"")</f>
        <v/>
      </c>
      <c r="F129" s="9" t="str">
        <f>IFERROR(INDEX('CONTROL MASTER'!$Q$2:$Q$495,MATCH("Control NIH Plate 11: G5",'CONTROL MASTER'!$H$2:$H$495,0)),"")</f>
        <v/>
      </c>
      <c r="G129" s="9" t="str">
        <f>IFERROR(INDEX('CONTROL MASTER'!$Q$2:$Q$495,MATCH("Control NIH Plate 11: G6",'CONTROL MASTER'!$H$2:$H$495,0)),"")</f>
        <v/>
      </c>
      <c r="H129" s="9" t="str">
        <f>IFERROR(INDEX('CONTROL MASTER'!$Q$2:$Q$495,MATCH("Control NIH Plate 11: G7",'CONTROL MASTER'!$H$2:$H$495,0)),"")</f>
        <v/>
      </c>
      <c r="I129" s="9" t="str">
        <f>IFERROR(INDEX('CONTROL MASTER'!$Q$2:$Q$495,MATCH("Control NIH Plate 11: G8",'CONTROL MASTER'!$H$2:$H$495,0)),"")</f>
        <v/>
      </c>
      <c r="J129" s="9" t="str">
        <f>IFERROR(INDEX('CONTROL MASTER'!$Q$2:$Q$495,MATCH("Control NIH Plate 11: G9",'CONTROL MASTER'!$H$2:$H$495,0)),"")</f>
        <v/>
      </c>
      <c r="K129" s="9" t="str">
        <f>IFERROR(INDEX('CONTROL MASTER'!$Q$2:$Q$495,MATCH("Control NIH Plate 11: G10",'CONTROL MASTER'!$H$2:$H$495,0)),"")</f>
        <v/>
      </c>
      <c r="L129" s="9" t="str">
        <f>IFERROR(INDEX('CONTROL MASTER'!$Q$2:$Q$495,MATCH("Control NIH Plate 11: G11",'CONTROL MASTER'!$H$2:$H$495,0)),"")</f>
        <v/>
      </c>
      <c r="M129" s="9" t="str">
        <f>IFERROR(INDEX('CONTROL MASTER'!$Q$2:$Q$495,MATCH("Control NIH Plate 11: G12",'CONTROL MASTER'!$H$2:$H$495,0)),"")</f>
        <v/>
      </c>
    </row>
    <row r="130" spans="1:13" ht="15" customHeight="1" x14ac:dyDescent="0.35">
      <c r="A130" s="8" t="s">
        <v>35</v>
      </c>
      <c r="B130" s="9" t="str">
        <f>IFERROR(INDEX('CONTROL MASTER'!$Q$2:$Q$495,MATCH("Control NIH Plate 11: H1",'CONTROL MASTER'!$H$2:$H$495,0)),"")</f>
        <v/>
      </c>
      <c r="C130" s="9" t="str">
        <f>IFERROR(INDEX('CONTROL MASTER'!$Q$2:$Q$495,MATCH("Control NIH Plate 11: H2",'CONTROL MASTER'!$H$2:$H$495,0)),"")</f>
        <v/>
      </c>
      <c r="D130" s="9" t="str">
        <f>IFERROR(INDEX('CONTROL MASTER'!$Q$2:$Q$495,MATCH("Control NIH Plate 11: H3",'CONTROL MASTER'!$H$2:$H$495,0)),"")</f>
        <v/>
      </c>
      <c r="E130" s="9" t="str">
        <f>IFERROR(INDEX('CONTROL MASTER'!$Q$2:$Q$495,MATCH("Control NIH Plate 11: H4",'CONTROL MASTER'!$H$2:$H$495,0)),"")</f>
        <v/>
      </c>
      <c r="F130" s="9" t="str">
        <f>IFERROR(INDEX('CONTROL MASTER'!$Q$2:$Q$495,MATCH("Control NIH Plate 11: H5",'CONTROL MASTER'!$H$2:$H$495,0)),"")</f>
        <v/>
      </c>
      <c r="G130" s="9" t="str">
        <f>IFERROR(INDEX('CONTROL MASTER'!$Q$2:$Q$495,MATCH("Control NIH Plate 11: H6",'CONTROL MASTER'!$H$2:$H$495,0)),"")</f>
        <v/>
      </c>
      <c r="H130" s="9" t="str">
        <f>IFERROR(INDEX('CONTROL MASTER'!$Q$2:$Q$495,MATCH("Control NIH Plate 11: H7",'CONTROL MASTER'!$H$2:$H$495,0)),"")</f>
        <v/>
      </c>
      <c r="I130" s="9" t="str">
        <f>IFERROR(INDEX('CONTROL MASTER'!$Q$2:$Q$495,MATCH("Control NIH Plate 11: H8",'CONTROL MASTER'!$H$2:$H$495,0)),"")</f>
        <v/>
      </c>
      <c r="J130" s="9" t="str">
        <f>IFERROR(INDEX('CONTROL MASTER'!$Q$2:$Q$495,MATCH("Control NIH Plate 11: H9",'CONTROL MASTER'!$H$2:$H$495,0)),"")</f>
        <v/>
      </c>
      <c r="K130" s="9" t="str">
        <f>IFERROR(INDEX('CONTROL MASTER'!$Q$2:$Q$495,MATCH("Control NIH Plate 11: H10",'CONTROL MASTER'!$H$2:$H$495,0)),"")</f>
        <v/>
      </c>
      <c r="L130" s="9" t="str">
        <f>IFERROR(INDEX('CONTROL MASTER'!$Q$2:$Q$495,MATCH("Control NIH Plate 11: H11",'CONTROL MASTER'!$H$2:$H$495,0)),"")</f>
        <v/>
      </c>
      <c r="M130" s="9" t="str">
        <f>IFERROR(INDEX('CONTROL MASTER'!$Q$2:$Q$495,MATCH("Control NIH Plate 11: H12",'CONTROL MASTER'!$H$2:$H$495,0)),"")</f>
        <v/>
      </c>
    </row>
    <row r="133" spans="1:13" ht="15" customHeight="1" x14ac:dyDescent="0.35">
      <c r="A133" s="12" t="s">
        <v>138</v>
      </c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</row>
    <row r="134" spans="1:13" ht="15" customHeight="1" x14ac:dyDescent="0.35">
      <c r="B134" s="8">
        <v>1</v>
      </c>
      <c r="C134" s="8">
        <v>2</v>
      </c>
      <c r="D134" s="8">
        <v>3</v>
      </c>
      <c r="E134" s="8">
        <v>4</v>
      </c>
      <c r="F134" s="8">
        <v>5</v>
      </c>
      <c r="G134" s="8">
        <v>6</v>
      </c>
      <c r="H134" s="8">
        <v>7</v>
      </c>
      <c r="I134" s="8">
        <v>8</v>
      </c>
      <c r="J134" s="8">
        <v>9</v>
      </c>
      <c r="K134" s="8">
        <v>10</v>
      </c>
      <c r="L134" s="8">
        <v>11</v>
      </c>
      <c r="M134" s="8">
        <v>12</v>
      </c>
    </row>
    <row r="135" spans="1:13" ht="15" customHeight="1" x14ac:dyDescent="0.35">
      <c r="A135" s="8" t="s">
        <v>28</v>
      </c>
      <c r="B135" s="9" t="str">
        <f>IFERROR(INDEX('CONTROL MASTER'!$Q$2:$Q$495,MATCH("Control NIH Plate 12: A1",'CONTROL MASTER'!$H$2:$H$495,0)),"")</f>
        <v/>
      </c>
      <c r="C135" s="9" t="str">
        <f>IFERROR(INDEX('CONTROL MASTER'!$Q$2:$Q$495,MATCH("Control NIH Plate 12: A2",'CONTROL MASTER'!$H$2:$H$495,0)),"")</f>
        <v/>
      </c>
      <c r="D135" s="9" t="str">
        <f>IFERROR(INDEX('CONTROL MASTER'!$Q$2:$Q$495,MATCH("Control NIH Plate 12: A3",'CONTROL MASTER'!$H$2:$H$495,0)),"")</f>
        <v/>
      </c>
      <c r="E135" s="9" t="str">
        <f>IFERROR(INDEX('CONTROL MASTER'!$Q$2:$Q$495,MATCH("Control NIH Plate 12: A4",'CONTROL MASTER'!$H$2:$H$495,0)),"")</f>
        <v/>
      </c>
      <c r="F135" s="9" t="str">
        <f>IFERROR(INDEX('CONTROL MASTER'!$Q$2:$Q$495,MATCH("Control NIH Plate 12: A5",'CONTROL MASTER'!$H$2:$H$495,0)),"")</f>
        <v/>
      </c>
      <c r="G135" s="9" t="str">
        <f>IFERROR(INDEX('CONTROL MASTER'!$Q$2:$Q$495,MATCH("Control NIH Plate 12: A6",'CONTROL MASTER'!$H$2:$H$495,0)),"")</f>
        <v/>
      </c>
      <c r="H135" s="9" t="str">
        <f>IFERROR(INDEX('CONTROL MASTER'!$Q$2:$Q$495,MATCH("Control NIH Plate 12: A7",'CONTROL MASTER'!$H$2:$H$495,0)),"")</f>
        <v/>
      </c>
      <c r="I135" s="9" t="str">
        <f>IFERROR(INDEX('CONTROL MASTER'!$Q$2:$Q$495,MATCH("Control NIH Plate 12: A8",'CONTROL MASTER'!$H$2:$H$495,0)),"")</f>
        <v/>
      </c>
      <c r="J135" s="9" t="str">
        <f>IFERROR(INDEX('CONTROL MASTER'!$Q$2:$Q$495,MATCH("Control NIH Plate 12: A9",'CONTROL MASTER'!$H$2:$H$495,0)),"")</f>
        <v/>
      </c>
      <c r="K135" s="9" t="str">
        <f>IFERROR(INDEX('CONTROL MASTER'!$Q$2:$Q$495,MATCH("Control NIH Plate 12: A10",'CONTROL MASTER'!$H$2:$H$495,0)),"")</f>
        <v/>
      </c>
      <c r="L135" s="9" t="str">
        <f>IFERROR(INDEX('CONTROL MASTER'!$Q$2:$Q$495,MATCH("Control NIH Plate 12: A11",'CONTROL MASTER'!$H$2:$H$495,0)),"")</f>
        <v/>
      </c>
      <c r="M135" s="9" t="str">
        <f>IFERROR(INDEX('CONTROL MASTER'!$Q$2:$Q$495,MATCH("Control NIH Plate 12: A12",'CONTROL MASTER'!$H$2:$H$495,0)),"")</f>
        <v/>
      </c>
    </row>
    <row r="136" spans="1:13" ht="15" customHeight="1" x14ac:dyDescent="0.35">
      <c r="A136" s="8" t="s">
        <v>29</v>
      </c>
      <c r="B136" s="9" t="str">
        <f>IFERROR(INDEX('CONTROL MASTER'!$Q$2:$Q$495,MATCH("Control NIH Plate 12: B1",'CONTROL MASTER'!$H$2:$H$495,0)),"")</f>
        <v/>
      </c>
      <c r="C136" s="9" t="str">
        <f>IFERROR(INDEX('CONTROL MASTER'!$Q$2:$Q$495,MATCH("Control NIH Plate 12: B2",'CONTROL MASTER'!$H$2:$H$495,0)),"")</f>
        <v/>
      </c>
      <c r="D136" s="9" t="str">
        <f>IFERROR(INDEX('CONTROL MASTER'!$Q$2:$Q$495,MATCH("Control NIH Plate 12: B3",'CONTROL MASTER'!$H$2:$H$495,0)),"")</f>
        <v/>
      </c>
      <c r="E136" s="9" t="str">
        <f>IFERROR(INDEX('CONTROL MASTER'!$Q$2:$Q$495,MATCH("Control NIH Plate 12: B4",'CONTROL MASTER'!$H$2:$H$495,0)),"")</f>
        <v/>
      </c>
      <c r="F136" s="9" t="str">
        <f>IFERROR(INDEX('CONTROL MASTER'!$Q$2:$Q$495,MATCH("Control NIH Plate 12: B5",'CONTROL MASTER'!$H$2:$H$495,0)),"")</f>
        <v/>
      </c>
      <c r="G136" s="9" t="str">
        <f>IFERROR(INDEX('CONTROL MASTER'!$Q$2:$Q$495,MATCH("Control NIH Plate 12: B6",'CONTROL MASTER'!$H$2:$H$495,0)),"")</f>
        <v/>
      </c>
      <c r="H136" s="9" t="str">
        <f>IFERROR(INDEX('CONTROL MASTER'!$Q$2:$Q$495,MATCH("Control NIH Plate 12: B7",'CONTROL MASTER'!$H$2:$H$495,0)),"")</f>
        <v/>
      </c>
      <c r="I136" s="9" t="str">
        <f>IFERROR(INDEX('CONTROL MASTER'!$Q$2:$Q$495,MATCH("Control NIH Plate 12: B8",'CONTROL MASTER'!$H$2:$H$495,0)),"")</f>
        <v/>
      </c>
      <c r="J136" s="9" t="str">
        <f>IFERROR(INDEX('CONTROL MASTER'!$Q$2:$Q$495,MATCH("Control NIH Plate 12: B9",'CONTROL MASTER'!$H$2:$H$495,0)),"")</f>
        <v/>
      </c>
      <c r="K136" s="9" t="str">
        <f>IFERROR(INDEX('CONTROL MASTER'!$Q$2:$Q$495,MATCH("Control NIH Plate 12: B10",'CONTROL MASTER'!$H$2:$H$495,0)),"")</f>
        <v/>
      </c>
      <c r="L136" s="9" t="str">
        <f>IFERROR(INDEX('CONTROL MASTER'!$Q$2:$Q$495,MATCH("Control NIH Plate 12: B11",'CONTROL MASTER'!$H$2:$H$495,0)),"")</f>
        <v/>
      </c>
      <c r="M136" s="9" t="str">
        <f>IFERROR(INDEX('CONTROL MASTER'!$Q$2:$Q$495,MATCH("Control NIH Plate 12: B12",'CONTROL MASTER'!$H$2:$H$495,0)),"")</f>
        <v/>
      </c>
    </row>
    <row r="137" spans="1:13" ht="15" customHeight="1" x14ac:dyDescent="0.35">
      <c r="A137" s="8" t="s">
        <v>30</v>
      </c>
      <c r="B137" s="9" t="str">
        <f>IFERROR(INDEX('CONTROL MASTER'!$Q$2:$Q$495,MATCH("Control NIH Plate 12: C1",'CONTROL MASTER'!$H$2:$H$495,0)),"")</f>
        <v/>
      </c>
      <c r="C137" s="9" t="str">
        <f>IFERROR(INDEX('CONTROL MASTER'!$Q$2:$Q$495,MATCH("Control NIH Plate 12: C2",'CONTROL MASTER'!$H$2:$H$495,0)),"")</f>
        <v/>
      </c>
      <c r="D137" s="9" t="str">
        <f>IFERROR(INDEX('CONTROL MASTER'!$Q$2:$Q$495,MATCH("Control NIH Plate 12: C3",'CONTROL MASTER'!$H$2:$H$495,0)),"")</f>
        <v/>
      </c>
      <c r="E137" s="9" t="str">
        <f>IFERROR(INDEX('CONTROL MASTER'!$Q$2:$Q$495,MATCH("Control NIH Plate 12: C4",'CONTROL MASTER'!$H$2:$H$495,0)),"")</f>
        <v/>
      </c>
      <c r="F137" s="9" t="str">
        <f>IFERROR(INDEX('CONTROL MASTER'!$Q$2:$Q$495,MATCH("Control NIH Plate 12: C5",'CONTROL MASTER'!$H$2:$H$495,0)),"")</f>
        <v/>
      </c>
      <c r="G137" s="9" t="str">
        <f>IFERROR(INDEX('CONTROL MASTER'!$Q$2:$Q$495,MATCH("Control NIH Plate 12: C6",'CONTROL MASTER'!$H$2:$H$495,0)),"")</f>
        <v/>
      </c>
      <c r="H137" s="9" t="str">
        <f>IFERROR(INDEX('CONTROL MASTER'!$Q$2:$Q$495,MATCH("Control NIH Plate 12: C7",'CONTROL MASTER'!$H$2:$H$495,0)),"")</f>
        <v/>
      </c>
      <c r="I137" s="9" t="str">
        <f>IFERROR(INDEX('CONTROL MASTER'!$Q$2:$Q$495,MATCH("Control NIH Plate 12: C8",'CONTROL MASTER'!$H$2:$H$495,0)),"")</f>
        <v/>
      </c>
      <c r="J137" s="9" t="str">
        <f>IFERROR(INDEX('CONTROL MASTER'!$Q$2:$Q$495,MATCH("Control NIH Plate 12: C9",'CONTROL MASTER'!$H$2:$H$495,0)),"")</f>
        <v/>
      </c>
      <c r="K137" s="9" t="str">
        <f>IFERROR(INDEX('CONTROL MASTER'!$Q$2:$Q$495,MATCH("Control NIH Plate 12: C10",'CONTROL MASTER'!$H$2:$H$495,0)),"")</f>
        <v/>
      </c>
      <c r="L137" s="9" t="str">
        <f>IFERROR(INDEX('CONTROL MASTER'!$Q$2:$Q$495,MATCH("Control NIH Plate 12: C11",'CONTROL MASTER'!$H$2:$H$495,0)),"")</f>
        <v/>
      </c>
      <c r="M137" s="9" t="str">
        <f>IFERROR(INDEX('CONTROL MASTER'!$Q$2:$Q$495,MATCH("Control NIH Plate 12: C12",'CONTROL MASTER'!$H$2:$H$495,0)),"")</f>
        <v/>
      </c>
    </row>
    <row r="138" spans="1:13" ht="15" customHeight="1" x14ac:dyDescent="0.35">
      <c r="A138" s="8" t="s">
        <v>31</v>
      </c>
      <c r="B138" s="9" t="str">
        <f>IFERROR(INDEX('CONTROL MASTER'!$Q$2:$Q$495,MATCH("Control NIH Plate 12: D1",'CONTROL MASTER'!$H$2:$H$495,0)),"")</f>
        <v/>
      </c>
      <c r="C138" s="9" t="str">
        <f>IFERROR(INDEX('CONTROL MASTER'!$Q$2:$Q$495,MATCH("Control NIH Plate 12: D2",'CONTROL MASTER'!$H$2:$H$495,0)),"")</f>
        <v/>
      </c>
      <c r="D138" s="9" t="str">
        <f>IFERROR(INDEX('CONTROL MASTER'!$Q$2:$Q$495,MATCH("Control NIH Plate 12: D3",'CONTROL MASTER'!$H$2:$H$495,0)),"")</f>
        <v/>
      </c>
      <c r="E138" s="9" t="str">
        <f>IFERROR(INDEX('CONTROL MASTER'!$Q$2:$Q$495,MATCH("Control NIH Plate 12: D4",'CONTROL MASTER'!$H$2:$H$495,0)),"")</f>
        <v/>
      </c>
      <c r="F138" s="9" t="str">
        <f>IFERROR(INDEX('CONTROL MASTER'!$Q$2:$Q$495,MATCH("Control NIH Plate 12: D5",'CONTROL MASTER'!$H$2:$H$495,0)),"")</f>
        <v/>
      </c>
      <c r="G138" s="9" t="str">
        <f>IFERROR(INDEX('CONTROL MASTER'!$Q$2:$Q$495,MATCH("Control NIH Plate 12: D6",'CONTROL MASTER'!$H$2:$H$495,0)),"")</f>
        <v/>
      </c>
      <c r="H138" s="9" t="str">
        <f>IFERROR(INDEX('CONTROL MASTER'!$Q$2:$Q$495,MATCH("Control NIH Plate 12: D7",'CONTROL MASTER'!$H$2:$H$495,0)),"")</f>
        <v/>
      </c>
      <c r="I138" s="9" t="str">
        <f>IFERROR(INDEX('CONTROL MASTER'!$Q$2:$Q$495,MATCH("Control NIH Plate 12: D8",'CONTROL MASTER'!$H$2:$H$495,0)),"")</f>
        <v/>
      </c>
      <c r="J138" s="9" t="str">
        <f>IFERROR(INDEX('CONTROL MASTER'!$Q$2:$Q$495,MATCH("Control NIH Plate 12: D9",'CONTROL MASTER'!$H$2:$H$495,0)),"")</f>
        <v/>
      </c>
      <c r="K138" s="9" t="str">
        <f>IFERROR(INDEX('CONTROL MASTER'!$Q$2:$Q$495,MATCH("Control NIH Plate 12: D10",'CONTROL MASTER'!$H$2:$H$495,0)),"")</f>
        <v/>
      </c>
      <c r="L138" s="9" t="str">
        <f>IFERROR(INDEX('CONTROL MASTER'!$Q$2:$Q$495,MATCH("Control NIH Plate 12: D11",'CONTROL MASTER'!$H$2:$H$495,0)),"")</f>
        <v/>
      </c>
      <c r="M138" s="9" t="str">
        <f>IFERROR(INDEX('CONTROL MASTER'!$Q$2:$Q$495,MATCH("Control NIH Plate 12: D12",'CONTROL MASTER'!$H$2:$H$495,0)),"")</f>
        <v/>
      </c>
    </row>
    <row r="139" spans="1:13" ht="15" customHeight="1" x14ac:dyDescent="0.35">
      <c r="A139" s="8" t="s">
        <v>32</v>
      </c>
      <c r="B139" s="9" t="str">
        <f>IFERROR(INDEX('CONTROL MASTER'!$Q$2:$Q$495,MATCH("Control NIH Plate 12: E1",'CONTROL MASTER'!$H$2:$H$495,0)),"")</f>
        <v/>
      </c>
      <c r="C139" s="9" t="str">
        <f>IFERROR(INDEX('CONTROL MASTER'!$Q$2:$Q$495,MATCH("Control NIH Plate 12: E2",'CONTROL MASTER'!$H$2:$H$495,0)),"")</f>
        <v/>
      </c>
      <c r="D139" s="9" t="str">
        <f>IFERROR(INDEX('CONTROL MASTER'!$Q$2:$Q$495,MATCH("Control NIH Plate 12: E3",'CONTROL MASTER'!$H$2:$H$495,0)),"")</f>
        <v/>
      </c>
      <c r="E139" s="9" t="str">
        <f>IFERROR(INDEX('CONTROL MASTER'!$Q$2:$Q$495,MATCH("Control NIH Plate 12: E4",'CONTROL MASTER'!$H$2:$H$495,0)),"")</f>
        <v/>
      </c>
      <c r="F139" s="9" t="str">
        <f>IFERROR(INDEX('CONTROL MASTER'!$Q$2:$Q$495,MATCH("Control NIH Plate 12: E5",'CONTROL MASTER'!$H$2:$H$495,0)),"")</f>
        <v/>
      </c>
      <c r="G139" s="9" t="str">
        <f>IFERROR(INDEX('CONTROL MASTER'!$Q$2:$Q$495,MATCH("Control NIH Plate 12: E6",'CONTROL MASTER'!$H$2:$H$495,0)),"")</f>
        <v/>
      </c>
      <c r="H139" s="9" t="str">
        <f>IFERROR(INDEX('CONTROL MASTER'!$Q$2:$Q$495,MATCH("Control NIH Plate 12: E7",'CONTROL MASTER'!$H$2:$H$495,0)),"")</f>
        <v/>
      </c>
      <c r="I139" s="9" t="str">
        <f>IFERROR(INDEX('CONTROL MASTER'!$Q$2:$Q$495,MATCH("Control NIH Plate 12: E8",'CONTROL MASTER'!$H$2:$H$495,0)),"")</f>
        <v/>
      </c>
      <c r="J139" s="9" t="str">
        <f>IFERROR(INDEX('CONTROL MASTER'!$Q$2:$Q$495,MATCH("Control NIH Plate 12: E9",'CONTROL MASTER'!$H$2:$H$495,0)),"")</f>
        <v/>
      </c>
      <c r="K139" s="9" t="str">
        <f>IFERROR(INDEX('CONTROL MASTER'!$Q$2:$Q$495,MATCH("Control NIH Plate 12: E10",'CONTROL MASTER'!$H$2:$H$495,0)),"")</f>
        <v/>
      </c>
      <c r="L139" s="9" t="str">
        <f>IFERROR(INDEX('CONTROL MASTER'!$Q$2:$Q$495,MATCH("Control NIH Plate 12: E11",'CONTROL MASTER'!$H$2:$H$495,0)),"")</f>
        <v/>
      </c>
      <c r="M139" s="9" t="str">
        <f>IFERROR(INDEX('CONTROL MASTER'!$Q$2:$Q$495,MATCH("Control NIH Plate 12: E12",'CONTROL MASTER'!$H$2:$H$495,0)),"")</f>
        <v/>
      </c>
    </row>
    <row r="140" spans="1:13" ht="15" customHeight="1" x14ac:dyDescent="0.35">
      <c r="A140" s="8" t="s">
        <v>33</v>
      </c>
      <c r="B140" s="9" t="str">
        <f>IFERROR(INDEX('CONTROL MASTER'!$Q$2:$Q$495,MATCH("Control NIH Plate 12: F1",'CONTROL MASTER'!$H$2:$H$495,0)),"")</f>
        <v/>
      </c>
      <c r="C140" s="9" t="str">
        <f>IFERROR(INDEX('CONTROL MASTER'!$Q$2:$Q$495,MATCH("Control NIH Plate 12: F2",'CONTROL MASTER'!$H$2:$H$495,0)),"")</f>
        <v/>
      </c>
      <c r="D140" s="9" t="str">
        <f>IFERROR(INDEX('CONTROL MASTER'!$Q$2:$Q$495,MATCH("Control NIH Plate 12: F3",'CONTROL MASTER'!$H$2:$H$495,0)),"")</f>
        <v/>
      </c>
      <c r="E140" s="9" t="str">
        <f>IFERROR(INDEX('CONTROL MASTER'!$Q$2:$Q$495,MATCH("Control NIH Plate 12: F4",'CONTROL MASTER'!$H$2:$H$495,0)),"")</f>
        <v/>
      </c>
      <c r="F140" s="9" t="str">
        <f>IFERROR(INDEX('CONTROL MASTER'!$Q$2:$Q$495,MATCH("Control NIH Plate 12: F5",'CONTROL MASTER'!$H$2:$H$495,0)),"")</f>
        <v/>
      </c>
      <c r="G140" s="9" t="str">
        <f>IFERROR(INDEX('CONTROL MASTER'!$Q$2:$Q$495,MATCH("Control NIH Plate 12: F6",'CONTROL MASTER'!$H$2:$H$495,0)),"")</f>
        <v/>
      </c>
      <c r="H140" s="9" t="str">
        <f>IFERROR(INDEX('CONTROL MASTER'!$Q$2:$Q$495,MATCH("Control NIH Plate 12: F7",'CONTROL MASTER'!$H$2:$H$495,0)),"")</f>
        <v/>
      </c>
      <c r="I140" s="9" t="str">
        <f>IFERROR(INDEX('CONTROL MASTER'!$Q$2:$Q$495,MATCH("Control NIH Plate 12: F8",'CONTROL MASTER'!$H$2:$H$495,0)),"")</f>
        <v/>
      </c>
      <c r="J140" s="9" t="str">
        <f>IFERROR(INDEX('CONTROL MASTER'!$Q$2:$Q$495,MATCH("Control NIH Plate 12: F9",'CONTROL MASTER'!$H$2:$H$495,0)),"")</f>
        <v/>
      </c>
      <c r="K140" s="9" t="str">
        <f>IFERROR(INDEX('CONTROL MASTER'!$Q$2:$Q$495,MATCH("Control NIH Plate 12: F10",'CONTROL MASTER'!$H$2:$H$495,0)),"")</f>
        <v/>
      </c>
      <c r="L140" s="9" t="str">
        <f>IFERROR(INDEX('CONTROL MASTER'!$Q$2:$Q$495,MATCH("Control NIH Plate 12: F11",'CONTROL MASTER'!$H$2:$H$495,0)),"")</f>
        <v/>
      </c>
      <c r="M140" s="9" t="str">
        <f>IFERROR(INDEX('CONTROL MASTER'!$Q$2:$Q$495,MATCH("Control NIH Plate 12: F12",'CONTROL MASTER'!$H$2:$H$495,0)),"")</f>
        <v/>
      </c>
    </row>
    <row r="141" spans="1:13" ht="15" customHeight="1" x14ac:dyDescent="0.35">
      <c r="A141" s="8" t="s">
        <v>34</v>
      </c>
      <c r="B141" s="9" t="str">
        <f>IFERROR(INDEX('CONTROL MASTER'!$Q$2:$Q$495,MATCH("Control NIH Plate 12: G1",'CONTROL MASTER'!$H$2:$H$495,0)),"")</f>
        <v/>
      </c>
      <c r="C141" s="9" t="str">
        <f>IFERROR(INDEX('CONTROL MASTER'!$Q$2:$Q$495,MATCH("Control NIH Plate 12: G2",'CONTROL MASTER'!$H$2:$H$495,0)),"")</f>
        <v/>
      </c>
      <c r="D141" s="9" t="str">
        <f>IFERROR(INDEX('CONTROL MASTER'!$Q$2:$Q$495,MATCH("Control NIH Plate 12: G3",'CONTROL MASTER'!$H$2:$H$495,0)),"")</f>
        <v/>
      </c>
      <c r="E141" s="9" t="str">
        <f>IFERROR(INDEX('CONTROL MASTER'!$Q$2:$Q$495,MATCH("Control NIH Plate 12: G4",'CONTROL MASTER'!$H$2:$H$495,0)),"")</f>
        <v/>
      </c>
      <c r="F141" s="9" t="str">
        <f>IFERROR(INDEX('CONTROL MASTER'!$Q$2:$Q$495,MATCH("Control NIH Plate 12: G5",'CONTROL MASTER'!$H$2:$H$495,0)),"")</f>
        <v/>
      </c>
      <c r="G141" s="9" t="str">
        <f>IFERROR(INDEX('CONTROL MASTER'!$Q$2:$Q$495,MATCH("Control NIH Plate 12: G6",'CONTROL MASTER'!$H$2:$H$495,0)),"")</f>
        <v/>
      </c>
      <c r="H141" s="9" t="str">
        <f>IFERROR(INDEX('CONTROL MASTER'!$Q$2:$Q$495,MATCH("Control NIH Plate 12: G7",'CONTROL MASTER'!$H$2:$H$495,0)),"")</f>
        <v/>
      </c>
      <c r="I141" s="9" t="str">
        <f>IFERROR(INDEX('CONTROL MASTER'!$Q$2:$Q$495,MATCH("Control NIH Plate 12: G8",'CONTROL MASTER'!$H$2:$H$495,0)),"")</f>
        <v/>
      </c>
      <c r="J141" s="9" t="str">
        <f>IFERROR(INDEX('CONTROL MASTER'!$Q$2:$Q$495,MATCH("Control NIH Plate 12: G9",'CONTROL MASTER'!$H$2:$H$495,0)),"")</f>
        <v/>
      </c>
      <c r="K141" s="9" t="str">
        <f>IFERROR(INDEX('CONTROL MASTER'!$Q$2:$Q$495,MATCH("Control NIH Plate 12: G10",'CONTROL MASTER'!$H$2:$H$495,0)),"")</f>
        <v/>
      </c>
      <c r="L141" s="9" t="str">
        <f>IFERROR(INDEX('CONTROL MASTER'!$Q$2:$Q$495,MATCH("Control NIH Plate 12: G11",'CONTROL MASTER'!$H$2:$H$495,0)),"")</f>
        <v/>
      </c>
      <c r="M141" s="9" t="str">
        <f>IFERROR(INDEX('CONTROL MASTER'!$Q$2:$Q$495,MATCH("Control NIH Plate 12: G12",'CONTROL MASTER'!$H$2:$H$495,0)),"")</f>
        <v/>
      </c>
    </row>
    <row r="142" spans="1:13" ht="15" customHeight="1" x14ac:dyDescent="0.35">
      <c r="A142" s="8" t="s">
        <v>35</v>
      </c>
      <c r="B142" s="9" t="str">
        <f>IFERROR(INDEX('CONTROL MASTER'!$Q$2:$Q$495,MATCH("Control NIH Plate 12: H1",'CONTROL MASTER'!$H$2:$H$495,0)),"")</f>
        <v/>
      </c>
      <c r="C142" s="9" t="str">
        <f>IFERROR(INDEX('CONTROL MASTER'!$Q$2:$Q$495,MATCH("Control NIH Plate 12: H2",'CONTROL MASTER'!$H$2:$H$495,0)),"")</f>
        <v/>
      </c>
      <c r="D142" s="9" t="str">
        <f>IFERROR(INDEX('CONTROL MASTER'!$Q$2:$Q$495,MATCH("Control NIH Plate 12: H3",'CONTROL MASTER'!$H$2:$H$495,0)),"")</f>
        <v/>
      </c>
      <c r="E142" s="9" t="str">
        <f>IFERROR(INDEX('CONTROL MASTER'!$Q$2:$Q$495,MATCH("Control NIH Plate 12: H4",'CONTROL MASTER'!$H$2:$H$495,0)),"")</f>
        <v/>
      </c>
      <c r="F142" s="9" t="str">
        <f>IFERROR(INDEX('CONTROL MASTER'!$Q$2:$Q$495,MATCH("Control NIH Plate 12: H5",'CONTROL MASTER'!$H$2:$H$495,0)),"")</f>
        <v/>
      </c>
      <c r="G142" s="9" t="str">
        <f>IFERROR(INDEX('CONTROL MASTER'!$Q$2:$Q$495,MATCH("Control NIH Plate 12: H6",'CONTROL MASTER'!$H$2:$H$495,0)),"")</f>
        <v/>
      </c>
      <c r="H142" s="9" t="str">
        <f>IFERROR(INDEX('CONTROL MASTER'!$Q$2:$Q$495,MATCH("Control NIH Plate 12: H7",'CONTROL MASTER'!$H$2:$H$495,0)),"")</f>
        <v/>
      </c>
      <c r="I142" s="9" t="str">
        <f>IFERROR(INDEX('CONTROL MASTER'!$Q$2:$Q$495,MATCH("Control NIH Plate 12: H8",'CONTROL MASTER'!$H$2:$H$495,0)),"")</f>
        <v/>
      </c>
      <c r="J142" s="9" t="str">
        <f>IFERROR(INDEX('CONTROL MASTER'!$Q$2:$Q$495,MATCH("Control NIH Plate 12: H9",'CONTROL MASTER'!$H$2:$H$495,0)),"")</f>
        <v/>
      </c>
      <c r="K142" s="9" t="str">
        <f>IFERROR(INDEX('CONTROL MASTER'!$Q$2:$Q$495,MATCH("Control NIH Plate 12: H10",'CONTROL MASTER'!$H$2:$H$495,0)),"")</f>
        <v/>
      </c>
      <c r="L142" s="9" t="str">
        <f>IFERROR(INDEX('CONTROL MASTER'!$Q$2:$Q$495,MATCH("Control NIH Plate 12: H11",'CONTROL MASTER'!$H$2:$H$495,0)),"")</f>
        <v/>
      </c>
      <c r="M142" s="9" t="str">
        <f>IFERROR(INDEX('CONTROL MASTER'!$Q$2:$Q$495,MATCH("Control NIH Plate 12: H12",'CONTROL MASTER'!$H$2:$H$495,0)),"")</f>
        <v/>
      </c>
    </row>
    <row r="145" spans="1:13" ht="15" customHeight="1" x14ac:dyDescent="0.35">
      <c r="A145" s="12" t="s">
        <v>139</v>
      </c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</row>
    <row r="146" spans="1:13" ht="15" customHeight="1" x14ac:dyDescent="0.35">
      <c r="B146" s="8">
        <v>1</v>
      </c>
      <c r="C146" s="8">
        <v>2</v>
      </c>
      <c r="D146" s="8">
        <v>3</v>
      </c>
      <c r="E146" s="8">
        <v>4</v>
      </c>
      <c r="F146" s="8">
        <v>5</v>
      </c>
      <c r="G146" s="8">
        <v>6</v>
      </c>
      <c r="H146" s="8">
        <v>7</v>
      </c>
      <c r="I146" s="8">
        <v>8</v>
      </c>
      <c r="J146" s="8">
        <v>9</v>
      </c>
      <c r="K146" s="8">
        <v>10</v>
      </c>
      <c r="L146" s="8">
        <v>11</v>
      </c>
      <c r="M146" s="8">
        <v>12</v>
      </c>
    </row>
    <row r="147" spans="1:13" ht="15" customHeight="1" x14ac:dyDescent="0.35">
      <c r="A147" s="8" t="s">
        <v>28</v>
      </c>
      <c r="B147" s="9" t="str">
        <f>IFERROR(INDEX('CONTROL MASTER'!$Q$2:$Q$495,MATCH("Control NIH Plate 13: A1",'CONTROL MASTER'!$H$2:$H$495,0)),"")</f>
        <v/>
      </c>
      <c r="C147" s="9" t="str">
        <f>IFERROR(INDEX('CONTROL MASTER'!$Q$2:$Q$495,MATCH("Control NIH Plate 13: A2",'CONTROL MASTER'!$H$2:$H$495,0)),"")</f>
        <v/>
      </c>
      <c r="D147" s="9" t="str">
        <f>IFERROR(INDEX('CONTROL MASTER'!$Q$2:$Q$495,MATCH("Control NIH Plate 13: A3",'CONTROL MASTER'!$H$2:$H$495,0)),"")</f>
        <v/>
      </c>
      <c r="E147" s="9" t="str">
        <f>IFERROR(INDEX('CONTROL MASTER'!$Q$2:$Q$495,MATCH("Control NIH Plate 13: A4",'CONTROL MASTER'!$H$2:$H$495,0)),"")</f>
        <v/>
      </c>
      <c r="F147" s="9" t="str">
        <f>IFERROR(INDEX('CONTROL MASTER'!$Q$2:$Q$495,MATCH("Control NIH Plate 13: A5",'CONTROL MASTER'!$H$2:$H$495,0)),"")</f>
        <v/>
      </c>
      <c r="G147" s="9" t="str">
        <f>IFERROR(INDEX('CONTROL MASTER'!$Q$2:$Q$495,MATCH("Control NIH Plate 13: A6",'CONTROL MASTER'!$H$2:$H$495,0)),"")</f>
        <v/>
      </c>
      <c r="H147" s="9" t="str">
        <f>IFERROR(INDEX('CONTROL MASTER'!$Q$2:$Q$495,MATCH("Control NIH Plate 13: A7",'CONTROL MASTER'!$H$2:$H$495,0)),"")</f>
        <v/>
      </c>
      <c r="I147" s="9" t="str">
        <f>IFERROR(INDEX('CONTROL MASTER'!$Q$2:$Q$495,MATCH("Control NIH Plate 13: A8",'CONTROL MASTER'!$H$2:$H$495,0)),"")</f>
        <v/>
      </c>
      <c r="J147" s="9" t="str">
        <f>IFERROR(INDEX('CONTROL MASTER'!$Q$2:$Q$495,MATCH("Control NIH Plate 13: A9",'CONTROL MASTER'!$H$2:$H$495,0)),"")</f>
        <v/>
      </c>
      <c r="K147" s="9" t="str">
        <f>IFERROR(INDEX('CONTROL MASTER'!$Q$2:$Q$495,MATCH("Control NIH Plate 13: A10",'CONTROL MASTER'!$H$2:$H$495,0)),"")</f>
        <v/>
      </c>
      <c r="L147" s="9" t="str">
        <f>IFERROR(INDEX('CONTROL MASTER'!$Q$2:$Q$495,MATCH("Control NIH Plate 13: A11",'CONTROL MASTER'!$H$2:$H$495,0)),"")</f>
        <v/>
      </c>
      <c r="M147" s="9" t="str">
        <f>IFERROR(INDEX('CONTROL MASTER'!$Q$2:$Q$495,MATCH("Control NIH Plate 13: A12",'CONTROL MASTER'!$H$2:$H$495,0)),"")</f>
        <v/>
      </c>
    </row>
    <row r="148" spans="1:13" ht="15" customHeight="1" x14ac:dyDescent="0.35">
      <c r="A148" s="8" t="s">
        <v>29</v>
      </c>
      <c r="B148" s="9" t="str">
        <f>IFERROR(INDEX('CONTROL MASTER'!$Q$2:$Q$495,MATCH("Control NIH Plate 13: B1",'CONTROL MASTER'!$H$2:$H$495,0)),"")</f>
        <v/>
      </c>
      <c r="C148" s="9" t="str">
        <f>IFERROR(INDEX('CONTROL MASTER'!$Q$2:$Q$495,MATCH("Control NIH Plate 13: B2",'CONTROL MASTER'!$H$2:$H$495,0)),"")</f>
        <v/>
      </c>
      <c r="D148" s="9" t="str">
        <f>IFERROR(INDEX('CONTROL MASTER'!$Q$2:$Q$495,MATCH("Control NIH Plate 13: B3",'CONTROL MASTER'!$H$2:$H$495,0)),"")</f>
        <v/>
      </c>
      <c r="E148" s="9" t="str">
        <f>IFERROR(INDEX('CONTROL MASTER'!$Q$2:$Q$495,MATCH("Control NIH Plate 13: B4",'CONTROL MASTER'!$H$2:$H$495,0)),"")</f>
        <v/>
      </c>
      <c r="F148" s="9" t="str">
        <f>IFERROR(INDEX('CONTROL MASTER'!$Q$2:$Q$495,MATCH("Control NIH Plate 13: B5",'CONTROL MASTER'!$H$2:$H$495,0)),"")</f>
        <v/>
      </c>
      <c r="G148" s="9" t="str">
        <f>IFERROR(INDEX('CONTROL MASTER'!$Q$2:$Q$495,MATCH("Control NIH Plate 13: B6",'CONTROL MASTER'!$H$2:$H$495,0)),"")</f>
        <v/>
      </c>
      <c r="H148" s="9" t="str">
        <f>IFERROR(INDEX('CONTROL MASTER'!$Q$2:$Q$495,MATCH("Control NIH Plate 13: B7",'CONTROL MASTER'!$H$2:$H$495,0)),"")</f>
        <v/>
      </c>
      <c r="I148" s="9" t="str">
        <f>IFERROR(INDEX('CONTROL MASTER'!$Q$2:$Q$495,MATCH("Control NIH Plate 13: B8",'CONTROL MASTER'!$H$2:$H$495,0)),"")</f>
        <v/>
      </c>
      <c r="J148" s="9" t="str">
        <f>IFERROR(INDEX('CONTROL MASTER'!$Q$2:$Q$495,MATCH("Control NIH Plate 13: B9",'CONTROL MASTER'!$H$2:$H$495,0)),"")</f>
        <v/>
      </c>
      <c r="K148" s="9" t="str">
        <f>IFERROR(INDEX('CONTROL MASTER'!$Q$2:$Q$495,MATCH("Control NIH Plate 13: B10",'CONTROL MASTER'!$H$2:$H$495,0)),"")</f>
        <v/>
      </c>
      <c r="L148" s="9" t="str">
        <f>IFERROR(INDEX('CONTROL MASTER'!$Q$2:$Q$495,MATCH("Control NIH Plate 13: B11",'CONTROL MASTER'!$H$2:$H$495,0)),"")</f>
        <v/>
      </c>
      <c r="M148" s="9" t="str">
        <f>IFERROR(INDEX('CONTROL MASTER'!$Q$2:$Q$495,MATCH("Control NIH Plate 13: B12",'CONTROL MASTER'!$H$2:$H$495,0)),"")</f>
        <v/>
      </c>
    </row>
    <row r="149" spans="1:13" ht="15" customHeight="1" x14ac:dyDescent="0.35">
      <c r="A149" s="8" t="s">
        <v>30</v>
      </c>
      <c r="B149" s="9" t="str">
        <f>IFERROR(INDEX('CONTROL MASTER'!$Q$2:$Q$495,MATCH("Control NIH Plate 13: C1",'CONTROL MASTER'!$H$2:$H$495,0)),"")</f>
        <v/>
      </c>
      <c r="C149" s="9" t="str">
        <f>IFERROR(INDEX('CONTROL MASTER'!$Q$2:$Q$495,MATCH("Control NIH Plate 13: C2",'CONTROL MASTER'!$H$2:$H$495,0)),"")</f>
        <v/>
      </c>
      <c r="D149" s="9" t="str">
        <f>IFERROR(INDEX('CONTROL MASTER'!$Q$2:$Q$495,MATCH("Control NIH Plate 13: C3",'CONTROL MASTER'!$H$2:$H$495,0)),"")</f>
        <v/>
      </c>
      <c r="E149" s="9" t="str">
        <f>IFERROR(INDEX('CONTROL MASTER'!$Q$2:$Q$495,MATCH("Control NIH Plate 13: C4",'CONTROL MASTER'!$H$2:$H$495,0)),"")</f>
        <v/>
      </c>
      <c r="F149" s="9" t="str">
        <f>IFERROR(INDEX('CONTROL MASTER'!$Q$2:$Q$495,MATCH("Control NIH Plate 13: C5",'CONTROL MASTER'!$H$2:$H$495,0)),"")</f>
        <v/>
      </c>
      <c r="G149" s="9" t="str">
        <f>IFERROR(INDEX('CONTROL MASTER'!$Q$2:$Q$495,MATCH("Control NIH Plate 13: C6",'CONTROL MASTER'!$H$2:$H$495,0)),"")</f>
        <v/>
      </c>
      <c r="H149" s="9" t="str">
        <f>IFERROR(INDEX('CONTROL MASTER'!$Q$2:$Q$495,MATCH("Control NIH Plate 13: C7",'CONTROL MASTER'!$H$2:$H$495,0)),"")</f>
        <v/>
      </c>
      <c r="I149" s="9" t="str">
        <f>IFERROR(INDEX('CONTROL MASTER'!$Q$2:$Q$495,MATCH("Control NIH Plate 13: C8",'CONTROL MASTER'!$H$2:$H$495,0)),"")</f>
        <v/>
      </c>
      <c r="J149" s="9" t="str">
        <f>IFERROR(INDEX('CONTROL MASTER'!$Q$2:$Q$495,MATCH("Control NIH Plate 13: C9",'CONTROL MASTER'!$H$2:$H$495,0)),"")</f>
        <v/>
      </c>
      <c r="K149" s="9" t="str">
        <f>IFERROR(INDEX('CONTROL MASTER'!$Q$2:$Q$495,MATCH("Control NIH Plate 13: C10",'CONTROL MASTER'!$H$2:$H$495,0)),"")</f>
        <v/>
      </c>
      <c r="L149" s="9" t="str">
        <f>IFERROR(INDEX('CONTROL MASTER'!$Q$2:$Q$495,MATCH("Control NIH Plate 13: C11",'CONTROL MASTER'!$H$2:$H$495,0)),"")</f>
        <v/>
      </c>
      <c r="M149" s="9" t="str">
        <f>IFERROR(INDEX('CONTROL MASTER'!$Q$2:$Q$495,MATCH("Control NIH Plate 13: C12",'CONTROL MASTER'!$H$2:$H$495,0)),"")</f>
        <v/>
      </c>
    </row>
    <row r="150" spans="1:13" ht="15" customHeight="1" x14ac:dyDescent="0.35">
      <c r="A150" s="8" t="s">
        <v>31</v>
      </c>
      <c r="B150" s="9" t="str">
        <f>IFERROR(INDEX('CONTROL MASTER'!$Q$2:$Q$495,MATCH("Control NIH Plate 13: D1",'CONTROL MASTER'!$H$2:$H$495,0)),"")</f>
        <v/>
      </c>
      <c r="C150" s="9" t="str">
        <f>IFERROR(INDEX('CONTROL MASTER'!$Q$2:$Q$495,MATCH("Control NIH Plate 13: D2",'CONTROL MASTER'!$H$2:$H$495,0)),"")</f>
        <v/>
      </c>
      <c r="D150" s="9" t="str">
        <f>IFERROR(INDEX('CONTROL MASTER'!$Q$2:$Q$495,MATCH("Control NIH Plate 13: D3",'CONTROL MASTER'!$H$2:$H$495,0)),"")</f>
        <v/>
      </c>
      <c r="E150" s="9" t="str">
        <f>IFERROR(INDEX('CONTROL MASTER'!$Q$2:$Q$495,MATCH("Control NIH Plate 13: D4",'CONTROL MASTER'!$H$2:$H$495,0)),"")</f>
        <v/>
      </c>
      <c r="F150" s="9" t="str">
        <f>IFERROR(INDEX('CONTROL MASTER'!$Q$2:$Q$495,MATCH("Control NIH Plate 13: D5",'CONTROL MASTER'!$H$2:$H$495,0)),"")</f>
        <v/>
      </c>
      <c r="G150" s="9" t="str">
        <f>IFERROR(INDEX('CONTROL MASTER'!$Q$2:$Q$495,MATCH("Control NIH Plate 13: D6",'CONTROL MASTER'!$H$2:$H$495,0)),"")</f>
        <v/>
      </c>
      <c r="H150" s="9" t="str">
        <f>IFERROR(INDEX('CONTROL MASTER'!$Q$2:$Q$495,MATCH("Control NIH Plate 13: D7",'CONTROL MASTER'!$H$2:$H$495,0)),"")</f>
        <v/>
      </c>
      <c r="I150" s="9" t="str">
        <f>IFERROR(INDEX('CONTROL MASTER'!$Q$2:$Q$495,MATCH("Control NIH Plate 13: D8",'CONTROL MASTER'!$H$2:$H$495,0)),"")</f>
        <v/>
      </c>
      <c r="J150" s="9" t="str">
        <f>IFERROR(INDEX('CONTROL MASTER'!$Q$2:$Q$495,MATCH("Control NIH Plate 13: D9",'CONTROL MASTER'!$H$2:$H$495,0)),"")</f>
        <v/>
      </c>
      <c r="K150" s="9" t="str">
        <f>IFERROR(INDEX('CONTROL MASTER'!$Q$2:$Q$495,MATCH("Control NIH Plate 13: D10",'CONTROL MASTER'!$H$2:$H$495,0)),"")</f>
        <v/>
      </c>
      <c r="L150" s="9" t="str">
        <f>IFERROR(INDEX('CONTROL MASTER'!$Q$2:$Q$495,MATCH("Control NIH Plate 13: D11",'CONTROL MASTER'!$H$2:$H$495,0)),"")</f>
        <v/>
      </c>
      <c r="M150" s="9" t="str">
        <f>IFERROR(INDEX('CONTROL MASTER'!$Q$2:$Q$495,MATCH("Control NIH Plate 13: D12",'CONTROL MASTER'!$H$2:$H$495,0)),"")</f>
        <v/>
      </c>
    </row>
    <row r="151" spans="1:13" ht="15" customHeight="1" x14ac:dyDescent="0.35">
      <c r="A151" s="8" t="s">
        <v>32</v>
      </c>
      <c r="B151" s="9" t="str">
        <f>IFERROR(INDEX('CONTROL MASTER'!$Q$2:$Q$495,MATCH("Control NIH Plate 13: E1",'CONTROL MASTER'!$H$2:$H$495,0)),"")</f>
        <v/>
      </c>
      <c r="C151" s="9" t="str">
        <f>IFERROR(INDEX('CONTROL MASTER'!$Q$2:$Q$495,MATCH("Control NIH Plate 13: E2",'CONTROL MASTER'!$H$2:$H$495,0)),"")</f>
        <v/>
      </c>
      <c r="D151" s="9" t="str">
        <f>IFERROR(INDEX('CONTROL MASTER'!$Q$2:$Q$495,MATCH("Control NIH Plate 13: E3",'CONTROL MASTER'!$H$2:$H$495,0)),"")</f>
        <v/>
      </c>
      <c r="E151" s="9" t="str">
        <f>IFERROR(INDEX('CONTROL MASTER'!$Q$2:$Q$495,MATCH("Control NIH Plate 13: E4",'CONTROL MASTER'!$H$2:$H$495,0)),"")</f>
        <v/>
      </c>
      <c r="F151" s="9" t="str">
        <f>IFERROR(INDEX('CONTROL MASTER'!$Q$2:$Q$495,MATCH("Control NIH Plate 13: E5",'CONTROL MASTER'!$H$2:$H$495,0)),"")</f>
        <v/>
      </c>
      <c r="G151" s="9" t="str">
        <f>IFERROR(INDEX('CONTROL MASTER'!$Q$2:$Q$495,MATCH("Control NIH Plate 13: E6",'CONTROL MASTER'!$H$2:$H$495,0)),"")</f>
        <v/>
      </c>
      <c r="H151" s="9" t="str">
        <f>IFERROR(INDEX('CONTROL MASTER'!$Q$2:$Q$495,MATCH("Control NIH Plate 13: E7",'CONTROL MASTER'!$H$2:$H$495,0)),"")</f>
        <v/>
      </c>
      <c r="I151" s="9" t="str">
        <f>IFERROR(INDEX('CONTROL MASTER'!$Q$2:$Q$495,MATCH("Control NIH Plate 13: E8",'CONTROL MASTER'!$H$2:$H$495,0)),"")</f>
        <v/>
      </c>
      <c r="J151" s="9" t="str">
        <f>IFERROR(INDEX('CONTROL MASTER'!$Q$2:$Q$495,MATCH("Control NIH Plate 13: E9",'CONTROL MASTER'!$H$2:$H$495,0)),"")</f>
        <v/>
      </c>
      <c r="K151" s="9" t="str">
        <f>IFERROR(INDEX('CONTROL MASTER'!$Q$2:$Q$495,MATCH("Control NIH Plate 13: E10",'CONTROL MASTER'!$H$2:$H$495,0)),"")</f>
        <v/>
      </c>
      <c r="L151" s="9" t="str">
        <f>IFERROR(INDEX('CONTROL MASTER'!$Q$2:$Q$495,MATCH("Control NIH Plate 13: E11",'CONTROL MASTER'!$H$2:$H$495,0)),"")</f>
        <v/>
      </c>
      <c r="M151" s="9" t="str">
        <f>IFERROR(INDEX('CONTROL MASTER'!$Q$2:$Q$495,MATCH("Control NIH Plate 13: E12",'CONTROL MASTER'!$H$2:$H$495,0)),"")</f>
        <v/>
      </c>
    </row>
    <row r="152" spans="1:13" ht="15" customHeight="1" x14ac:dyDescent="0.35">
      <c r="A152" s="8" t="s">
        <v>33</v>
      </c>
      <c r="B152" s="9" t="str">
        <f>IFERROR(INDEX('CONTROL MASTER'!$Q$2:$Q$495,MATCH("Control NIH Plate 13: F1",'CONTROL MASTER'!$H$2:$H$495,0)),"")</f>
        <v/>
      </c>
      <c r="C152" s="9" t="str">
        <f>IFERROR(INDEX('CONTROL MASTER'!$Q$2:$Q$495,MATCH("Control NIH Plate 13: F2",'CONTROL MASTER'!$H$2:$H$495,0)),"")</f>
        <v/>
      </c>
      <c r="D152" s="9" t="str">
        <f>IFERROR(INDEX('CONTROL MASTER'!$Q$2:$Q$495,MATCH("Control NIH Plate 13: F3",'CONTROL MASTER'!$H$2:$H$495,0)),"")</f>
        <v/>
      </c>
      <c r="E152" s="9" t="str">
        <f>IFERROR(INDEX('CONTROL MASTER'!$Q$2:$Q$495,MATCH("Control NIH Plate 13: F4",'CONTROL MASTER'!$H$2:$H$495,0)),"")</f>
        <v/>
      </c>
      <c r="F152" s="9" t="str">
        <f>IFERROR(INDEX('CONTROL MASTER'!$Q$2:$Q$495,MATCH("Control NIH Plate 13: F5",'CONTROL MASTER'!$H$2:$H$495,0)),"")</f>
        <v/>
      </c>
      <c r="G152" s="9" t="str">
        <f>IFERROR(INDEX('CONTROL MASTER'!$Q$2:$Q$495,MATCH("Control NIH Plate 13: F6",'CONTROL MASTER'!$H$2:$H$495,0)),"")</f>
        <v/>
      </c>
      <c r="H152" s="9" t="str">
        <f>IFERROR(INDEX('CONTROL MASTER'!$Q$2:$Q$495,MATCH("Control NIH Plate 13: F7",'CONTROL MASTER'!$H$2:$H$495,0)),"")</f>
        <v/>
      </c>
      <c r="I152" s="9" t="str">
        <f>IFERROR(INDEX('CONTROL MASTER'!$Q$2:$Q$495,MATCH("Control NIH Plate 13: F8",'CONTROL MASTER'!$H$2:$H$495,0)),"")</f>
        <v/>
      </c>
      <c r="J152" s="9" t="str">
        <f>IFERROR(INDEX('CONTROL MASTER'!$Q$2:$Q$495,MATCH("Control NIH Plate 13: F9",'CONTROL MASTER'!$H$2:$H$495,0)),"")</f>
        <v/>
      </c>
      <c r="K152" s="9" t="str">
        <f>IFERROR(INDEX('CONTROL MASTER'!$Q$2:$Q$495,MATCH("Control NIH Plate 13: F10",'CONTROL MASTER'!$H$2:$H$495,0)),"")</f>
        <v/>
      </c>
      <c r="L152" s="9" t="str">
        <f>IFERROR(INDEX('CONTROL MASTER'!$Q$2:$Q$495,MATCH("Control NIH Plate 13: F11",'CONTROL MASTER'!$H$2:$H$495,0)),"")</f>
        <v/>
      </c>
      <c r="M152" s="9" t="str">
        <f>IFERROR(INDEX('CONTROL MASTER'!$Q$2:$Q$495,MATCH("Control NIH Plate 13: F12",'CONTROL MASTER'!$H$2:$H$495,0)),"")</f>
        <v/>
      </c>
    </row>
    <row r="153" spans="1:13" ht="15" customHeight="1" x14ac:dyDescent="0.35">
      <c r="A153" s="8" t="s">
        <v>34</v>
      </c>
      <c r="B153" s="9" t="str">
        <f>IFERROR(INDEX('CONTROL MASTER'!$Q$2:$Q$495,MATCH("Control NIH Plate 13: G1",'CONTROL MASTER'!$H$2:$H$495,0)),"")</f>
        <v/>
      </c>
      <c r="C153" s="9" t="str">
        <f>IFERROR(INDEX('CONTROL MASTER'!$Q$2:$Q$495,MATCH("Control NIH Plate 13: G2",'CONTROL MASTER'!$H$2:$H$495,0)),"")</f>
        <v/>
      </c>
      <c r="D153" s="9" t="str">
        <f>IFERROR(INDEX('CONTROL MASTER'!$Q$2:$Q$495,MATCH("Control NIH Plate 13: G3",'CONTROL MASTER'!$H$2:$H$495,0)),"")</f>
        <v/>
      </c>
      <c r="E153" s="9" t="str">
        <f>IFERROR(INDEX('CONTROL MASTER'!$Q$2:$Q$495,MATCH("Control NIH Plate 13: G4",'CONTROL MASTER'!$H$2:$H$495,0)),"")</f>
        <v/>
      </c>
      <c r="F153" s="9" t="str">
        <f>IFERROR(INDEX('CONTROL MASTER'!$Q$2:$Q$495,MATCH("Control NIH Plate 13: G5",'CONTROL MASTER'!$H$2:$H$495,0)),"")</f>
        <v/>
      </c>
      <c r="G153" s="9" t="str">
        <f>IFERROR(INDEX('CONTROL MASTER'!$Q$2:$Q$495,MATCH("Control NIH Plate 13: G6",'CONTROL MASTER'!$H$2:$H$495,0)),"")</f>
        <v/>
      </c>
      <c r="H153" s="9" t="str">
        <f>IFERROR(INDEX('CONTROL MASTER'!$Q$2:$Q$495,MATCH("Control NIH Plate 13: G7",'CONTROL MASTER'!$H$2:$H$495,0)),"")</f>
        <v/>
      </c>
      <c r="I153" s="9" t="str">
        <f>IFERROR(INDEX('CONTROL MASTER'!$Q$2:$Q$495,MATCH("Control NIH Plate 13: G8",'CONTROL MASTER'!$H$2:$H$495,0)),"")</f>
        <v/>
      </c>
      <c r="J153" s="9" t="str">
        <f>IFERROR(INDEX('CONTROL MASTER'!$Q$2:$Q$495,MATCH("Control NIH Plate 13: G9",'CONTROL MASTER'!$H$2:$H$495,0)),"")</f>
        <v/>
      </c>
      <c r="K153" s="9" t="str">
        <f>IFERROR(INDEX('CONTROL MASTER'!$Q$2:$Q$495,MATCH("Control NIH Plate 13: G10",'CONTROL MASTER'!$H$2:$H$495,0)),"")</f>
        <v/>
      </c>
      <c r="L153" s="9" t="str">
        <f>IFERROR(INDEX('CONTROL MASTER'!$Q$2:$Q$495,MATCH("Control NIH Plate 13: G11",'CONTROL MASTER'!$H$2:$H$495,0)),"")</f>
        <v/>
      </c>
      <c r="M153" s="9" t="str">
        <f>IFERROR(INDEX('CONTROL MASTER'!$Q$2:$Q$495,MATCH("Control NIH Plate 13: G12",'CONTROL MASTER'!$H$2:$H$495,0)),"")</f>
        <v/>
      </c>
    </row>
    <row r="154" spans="1:13" ht="15" customHeight="1" x14ac:dyDescent="0.35">
      <c r="A154" s="8" t="s">
        <v>35</v>
      </c>
      <c r="B154" s="9" t="str">
        <f>IFERROR(INDEX('CONTROL MASTER'!$Q$2:$Q$495,MATCH("Control NIH Plate 13: H1",'CONTROL MASTER'!$H$2:$H$495,0)),"")</f>
        <v/>
      </c>
      <c r="C154" s="9" t="str">
        <f>IFERROR(INDEX('CONTROL MASTER'!$Q$2:$Q$495,MATCH("Control NIH Plate 13: H2",'CONTROL MASTER'!$H$2:$H$495,0)),"")</f>
        <v/>
      </c>
      <c r="D154" s="9" t="str">
        <f>IFERROR(INDEX('CONTROL MASTER'!$Q$2:$Q$495,MATCH("Control NIH Plate 13: H3",'CONTROL MASTER'!$H$2:$H$495,0)),"")</f>
        <v/>
      </c>
      <c r="E154" s="9" t="str">
        <f>IFERROR(INDEX('CONTROL MASTER'!$Q$2:$Q$495,MATCH("Control NIH Plate 13: H4",'CONTROL MASTER'!$H$2:$H$495,0)),"")</f>
        <v/>
      </c>
      <c r="F154" s="9" t="str">
        <f>IFERROR(INDEX('CONTROL MASTER'!$Q$2:$Q$495,MATCH("Control NIH Plate 13: H5",'CONTROL MASTER'!$H$2:$H$495,0)),"")</f>
        <v/>
      </c>
      <c r="G154" s="9" t="str">
        <f>IFERROR(INDEX('CONTROL MASTER'!$Q$2:$Q$495,MATCH("Control NIH Plate 13: H6",'CONTROL MASTER'!$H$2:$H$495,0)),"")</f>
        <v/>
      </c>
      <c r="H154" s="9" t="str">
        <f>IFERROR(INDEX('CONTROL MASTER'!$Q$2:$Q$495,MATCH("Control NIH Plate 13: H7",'CONTROL MASTER'!$H$2:$H$495,0)),"")</f>
        <v/>
      </c>
      <c r="I154" s="9" t="str">
        <f>IFERROR(INDEX('CONTROL MASTER'!$Q$2:$Q$495,MATCH("Control NIH Plate 13: H8",'CONTROL MASTER'!$H$2:$H$495,0)),"")</f>
        <v/>
      </c>
      <c r="J154" s="9" t="str">
        <f>IFERROR(INDEX('CONTROL MASTER'!$Q$2:$Q$495,MATCH("Control NIH Plate 13: H9",'CONTROL MASTER'!$H$2:$H$495,0)),"")</f>
        <v/>
      </c>
      <c r="K154" s="9" t="str">
        <f>IFERROR(INDEX('CONTROL MASTER'!$Q$2:$Q$495,MATCH("Control NIH Plate 13: H10",'CONTROL MASTER'!$H$2:$H$495,0)),"")</f>
        <v/>
      </c>
      <c r="L154" s="9" t="str">
        <f>IFERROR(INDEX('CONTROL MASTER'!$Q$2:$Q$495,MATCH("Control NIH Plate 13: H11",'CONTROL MASTER'!$H$2:$H$495,0)),"")</f>
        <v/>
      </c>
      <c r="M154" s="9" t="str">
        <f>IFERROR(INDEX('CONTROL MASTER'!$Q$2:$Q$495,MATCH("Control NIH Plate 13: H12",'CONTROL MASTER'!$H$2:$H$495,0)),"")</f>
        <v/>
      </c>
    </row>
    <row r="157" spans="1:13" ht="15" customHeight="1" x14ac:dyDescent="0.35">
      <c r="A157" s="12" t="s">
        <v>140</v>
      </c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</row>
    <row r="158" spans="1:13" ht="15" customHeight="1" x14ac:dyDescent="0.35">
      <c r="B158" s="8">
        <v>1</v>
      </c>
      <c r="C158" s="8">
        <v>2</v>
      </c>
      <c r="D158" s="8">
        <v>3</v>
      </c>
      <c r="E158" s="8">
        <v>4</v>
      </c>
      <c r="F158" s="8">
        <v>5</v>
      </c>
      <c r="G158" s="8">
        <v>6</v>
      </c>
      <c r="H158" s="8">
        <v>7</v>
      </c>
      <c r="I158" s="8">
        <v>8</v>
      </c>
      <c r="J158" s="8">
        <v>9</v>
      </c>
      <c r="K158" s="8">
        <v>10</v>
      </c>
      <c r="L158" s="8">
        <v>11</v>
      </c>
      <c r="M158" s="8">
        <v>12</v>
      </c>
    </row>
    <row r="159" spans="1:13" ht="15" customHeight="1" x14ac:dyDescent="0.35">
      <c r="A159" s="8" t="s">
        <v>28</v>
      </c>
      <c r="B159" s="9" t="str">
        <f>IFERROR(INDEX('CONTROL MASTER'!$Q$2:$Q$495,MATCH("Control NIH Plate 14: A1",'CONTROL MASTER'!$H$2:$H$495,0)),"")</f>
        <v/>
      </c>
      <c r="C159" s="9" t="str">
        <f>IFERROR(INDEX('CONTROL MASTER'!$Q$2:$Q$495,MATCH("Control NIH Plate 14: A2",'CONTROL MASTER'!$H$2:$H$495,0)),"")</f>
        <v/>
      </c>
      <c r="D159" s="9" t="str">
        <f>IFERROR(INDEX('CONTROL MASTER'!$Q$2:$Q$495,MATCH("Control NIH Plate 14: A3",'CONTROL MASTER'!$H$2:$H$495,0)),"")</f>
        <v/>
      </c>
      <c r="E159" s="9" t="str">
        <f>IFERROR(INDEX('CONTROL MASTER'!$Q$2:$Q$495,MATCH("Control NIH Plate 14: A4",'CONTROL MASTER'!$H$2:$H$495,0)),"")</f>
        <v/>
      </c>
      <c r="F159" s="9" t="str">
        <f>IFERROR(INDEX('CONTROL MASTER'!$Q$2:$Q$495,MATCH("Control NIH Plate 14: A5",'CONTROL MASTER'!$H$2:$H$495,0)),"")</f>
        <v/>
      </c>
      <c r="G159" s="9" t="str">
        <f>IFERROR(INDEX('CONTROL MASTER'!$Q$2:$Q$495,MATCH("Control NIH Plate 14: A6",'CONTROL MASTER'!$H$2:$H$495,0)),"")</f>
        <v/>
      </c>
      <c r="H159" s="9" t="str">
        <f>IFERROR(INDEX('CONTROL MASTER'!$Q$2:$Q$495,MATCH("Control NIH Plate 14: A7",'CONTROL MASTER'!$H$2:$H$495,0)),"")</f>
        <v/>
      </c>
      <c r="I159" s="9" t="str">
        <f>IFERROR(INDEX('CONTROL MASTER'!$Q$2:$Q$495,MATCH("Control NIH Plate 14: A8",'CONTROL MASTER'!$H$2:$H$495,0)),"")</f>
        <v/>
      </c>
      <c r="J159" s="9" t="str">
        <f>IFERROR(INDEX('CONTROL MASTER'!$Q$2:$Q$495,MATCH("Control NIH Plate 14: A9",'CONTROL MASTER'!$H$2:$H$495,0)),"")</f>
        <v/>
      </c>
      <c r="K159" s="9" t="str">
        <f>IFERROR(INDEX('CONTROL MASTER'!$Q$2:$Q$495,MATCH("Control NIH Plate 14: A10",'CONTROL MASTER'!$H$2:$H$495,0)),"")</f>
        <v/>
      </c>
      <c r="L159" s="9" t="str">
        <f>IFERROR(INDEX('CONTROL MASTER'!$Q$2:$Q$495,MATCH("Control NIH Plate 14: A11",'CONTROL MASTER'!$H$2:$H$495,0)),"")</f>
        <v/>
      </c>
      <c r="M159" s="9" t="str">
        <f>IFERROR(INDEX('CONTROL MASTER'!$Q$2:$Q$495,MATCH("Control NIH Plate 14: A12",'CONTROL MASTER'!$H$2:$H$495,0)),"")</f>
        <v/>
      </c>
    </row>
    <row r="160" spans="1:13" ht="15" customHeight="1" x14ac:dyDescent="0.35">
      <c r="A160" s="8" t="s">
        <v>29</v>
      </c>
      <c r="B160" s="9" t="str">
        <f>IFERROR(INDEX('CONTROL MASTER'!$Q$2:$Q$495,MATCH("Control NIH Plate 14: B1",'CONTROL MASTER'!$H$2:$H$495,0)),"")</f>
        <v/>
      </c>
      <c r="C160" s="9" t="str">
        <f>IFERROR(INDEX('CONTROL MASTER'!$Q$2:$Q$495,MATCH("Control NIH Plate 14: B2",'CONTROL MASTER'!$H$2:$H$495,0)),"")</f>
        <v/>
      </c>
      <c r="D160" s="9" t="str">
        <f>IFERROR(INDEX('CONTROL MASTER'!$Q$2:$Q$495,MATCH("Control NIH Plate 14: B3",'CONTROL MASTER'!$H$2:$H$495,0)),"")</f>
        <v/>
      </c>
      <c r="E160" s="9" t="str">
        <f>IFERROR(INDEX('CONTROL MASTER'!$Q$2:$Q$495,MATCH("Control NIH Plate 14: B4",'CONTROL MASTER'!$H$2:$H$495,0)),"")</f>
        <v/>
      </c>
      <c r="F160" s="9" t="str">
        <f>IFERROR(INDEX('CONTROL MASTER'!$Q$2:$Q$495,MATCH("Control NIH Plate 14: B5",'CONTROL MASTER'!$H$2:$H$495,0)),"")</f>
        <v/>
      </c>
      <c r="G160" s="9" t="str">
        <f>IFERROR(INDEX('CONTROL MASTER'!$Q$2:$Q$495,MATCH("Control NIH Plate 14: B6",'CONTROL MASTER'!$H$2:$H$495,0)),"")</f>
        <v/>
      </c>
      <c r="H160" s="9" t="str">
        <f>IFERROR(INDEX('CONTROL MASTER'!$Q$2:$Q$495,MATCH("Control NIH Plate 14: B7",'CONTROL MASTER'!$H$2:$H$495,0)),"")</f>
        <v/>
      </c>
      <c r="I160" s="9" t="str">
        <f>IFERROR(INDEX('CONTROL MASTER'!$Q$2:$Q$495,MATCH("Control NIH Plate 14: B8",'CONTROL MASTER'!$H$2:$H$495,0)),"")</f>
        <v/>
      </c>
      <c r="J160" s="9" t="str">
        <f>IFERROR(INDEX('CONTROL MASTER'!$Q$2:$Q$495,MATCH("Control NIH Plate 14: B9",'CONTROL MASTER'!$H$2:$H$495,0)),"")</f>
        <v/>
      </c>
      <c r="K160" s="9" t="str">
        <f>IFERROR(INDEX('CONTROL MASTER'!$Q$2:$Q$495,MATCH("Control NIH Plate 14: B10",'CONTROL MASTER'!$H$2:$H$495,0)),"")</f>
        <v/>
      </c>
      <c r="L160" s="9" t="str">
        <f>IFERROR(INDEX('CONTROL MASTER'!$Q$2:$Q$495,MATCH("Control NIH Plate 14: B11",'CONTROL MASTER'!$H$2:$H$495,0)),"")</f>
        <v/>
      </c>
      <c r="M160" s="9" t="str">
        <f>IFERROR(INDEX('CONTROL MASTER'!$Q$2:$Q$495,MATCH("Control NIH Plate 14: B12",'CONTROL MASTER'!$H$2:$H$495,0)),"")</f>
        <v/>
      </c>
    </row>
    <row r="161" spans="1:13" ht="15" customHeight="1" x14ac:dyDescent="0.35">
      <c r="A161" s="8" t="s">
        <v>30</v>
      </c>
      <c r="B161" s="9" t="str">
        <f>IFERROR(INDEX('CONTROL MASTER'!$Q$2:$Q$495,MATCH("Control NIH Plate 14: C1",'CONTROL MASTER'!$H$2:$H$495,0)),"")</f>
        <v/>
      </c>
      <c r="C161" s="9" t="str">
        <f>IFERROR(INDEX('CONTROL MASTER'!$Q$2:$Q$495,MATCH("Control NIH Plate 14: C2",'CONTROL MASTER'!$H$2:$H$495,0)),"")</f>
        <v/>
      </c>
      <c r="D161" s="9" t="str">
        <f>IFERROR(INDEX('CONTROL MASTER'!$Q$2:$Q$495,MATCH("Control NIH Plate 14: C3",'CONTROL MASTER'!$H$2:$H$495,0)),"")</f>
        <v/>
      </c>
      <c r="E161" s="9" t="str">
        <f>IFERROR(INDEX('CONTROL MASTER'!$Q$2:$Q$495,MATCH("Control NIH Plate 14: C4",'CONTROL MASTER'!$H$2:$H$495,0)),"")</f>
        <v/>
      </c>
      <c r="F161" s="9" t="str">
        <f>IFERROR(INDEX('CONTROL MASTER'!$Q$2:$Q$495,MATCH("Control NIH Plate 14: C5",'CONTROL MASTER'!$H$2:$H$495,0)),"")</f>
        <v/>
      </c>
      <c r="G161" s="9" t="str">
        <f>IFERROR(INDEX('CONTROL MASTER'!$Q$2:$Q$495,MATCH("Control NIH Plate 14: C6",'CONTROL MASTER'!$H$2:$H$495,0)),"")</f>
        <v/>
      </c>
      <c r="H161" s="9" t="str">
        <f>IFERROR(INDEX('CONTROL MASTER'!$Q$2:$Q$495,MATCH("Control NIH Plate 14: C7",'CONTROL MASTER'!$H$2:$H$495,0)),"")</f>
        <v/>
      </c>
      <c r="I161" s="9" t="str">
        <f>IFERROR(INDEX('CONTROL MASTER'!$Q$2:$Q$495,MATCH("Control NIH Plate 14: C8",'CONTROL MASTER'!$H$2:$H$495,0)),"")</f>
        <v/>
      </c>
      <c r="J161" s="9" t="str">
        <f>IFERROR(INDEX('CONTROL MASTER'!$Q$2:$Q$495,MATCH("Control NIH Plate 14: C9",'CONTROL MASTER'!$H$2:$H$495,0)),"")</f>
        <v/>
      </c>
      <c r="K161" s="9" t="str">
        <f>IFERROR(INDEX('CONTROL MASTER'!$Q$2:$Q$495,MATCH("Control NIH Plate 14: C10",'CONTROL MASTER'!$H$2:$H$495,0)),"")</f>
        <v/>
      </c>
      <c r="L161" s="9" t="str">
        <f>IFERROR(INDEX('CONTROL MASTER'!$Q$2:$Q$495,MATCH("Control NIH Plate 14: C11",'CONTROL MASTER'!$H$2:$H$495,0)),"")</f>
        <v/>
      </c>
      <c r="M161" s="9" t="str">
        <f>IFERROR(INDEX('CONTROL MASTER'!$Q$2:$Q$495,MATCH("Control NIH Plate 14: C12",'CONTROL MASTER'!$H$2:$H$495,0)),"")</f>
        <v/>
      </c>
    </row>
    <row r="162" spans="1:13" ht="15" customHeight="1" x14ac:dyDescent="0.35">
      <c r="A162" s="8" t="s">
        <v>31</v>
      </c>
      <c r="B162" s="9" t="str">
        <f>IFERROR(INDEX('CONTROL MASTER'!$Q$2:$Q$495,MATCH("Control NIH Plate 14: D1",'CONTROL MASTER'!$H$2:$H$495,0)),"")</f>
        <v/>
      </c>
      <c r="C162" s="9" t="str">
        <f>IFERROR(INDEX('CONTROL MASTER'!$Q$2:$Q$495,MATCH("Control NIH Plate 14: D2",'CONTROL MASTER'!$H$2:$H$495,0)),"")</f>
        <v/>
      </c>
      <c r="D162" s="9" t="str">
        <f>IFERROR(INDEX('CONTROL MASTER'!$Q$2:$Q$495,MATCH("Control NIH Plate 14: D3",'CONTROL MASTER'!$H$2:$H$495,0)),"")</f>
        <v/>
      </c>
      <c r="E162" s="9" t="str">
        <f>IFERROR(INDEX('CONTROL MASTER'!$Q$2:$Q$495,MATCH("Control NIH Plate 14: D4",'CONTROL MASTER'!$H$2:$H$495,0)),"")</f>
        <v/>
      </c>
      <c r="F162" s="9" t="str">
        <f>IFERROR(INDEX('CONTROL MASTER'!$Q$2:$Q$495,MATCH("Control NIH Plate 14: D5",'CONTROL MASTER'!$H$2:$H$495,0)),"")</f>
        <v/>
      </c>
      <c r="G162" s="9" t="str">
        <f>IFERROR(INDEX('CONTROL MASTER'!$Q$2:$Q$495,MATCH("Control NIH Plate 14: D6",'CONTROL MASTER'!$H$2:$H$495,0)),"")</f>
        <v/>
      </c>
      <c r="H162" s="9" t="str">
        <f>IFERROR(INDEX('CONTROL MASTER'!$Q$2:$Q$495,MATCH("Control NIH Plate 14: D7",'CONTROL MASTER'!$H$2:$H$495,0)),"")</f>
        <v/>
      </c>
      <c r="I162" s="9" t="str">
        <f>IFERROR(INDEX('CONTROL MASTER'!$Q$2:$Q$495,MATCH("Control NIH Plate 14: D8",'CONTROL MASTER'!$H$2:$H$495,0)),"")</f>
        <v/>
      </c>
      <c r="J162" s="9" t="str">
        <f>IFERROR(INDEX('CONTROL MASTER'!$Q$2:$Q$495,MATCH("Control NIH Plate 14: D9",'CONTROL MASTER'!$H$2:$H$495,0)),"")</f>
        <v/>
      </c>
      <c r="K162" s="9" t="str">
        <f>IFERROR(INDEX('CONTROL MASTER'!$Q$2:$Q$495,MATCH("Control NIH Plate 14: D10",'CONTROL MASTER'!$H$2:$H$495,0)),"")</f>
        <v/>
      </c>
      <c r="L162" s="9" t="str">
        <f>IFERROR(INDEX('CONTROL MASTER'!$Q$2:$Q$495,MATCH("Control NIH Plate 14: D11",'CONTROL MASTER'!$H$2:$H$495,0)),"")</f>
        <v/>
      </c>
      <c r="M162" s="9" t="str">
        <f>IFERROR(INDEX('CONTROL MASTER'!$Q$2:$Q$495,MATCH("Control NIH Plate 14: D12",'CONTROL MASTER'!$H$2:$H$495,0)),"")</f>
        <v/>
      </c>
    </row>
    <row r="163" spans="1:13" ht="15" customHeight="1" x14ac:dyDescent="0.35">
      <c r="A163" s="8" t="s">
        <v>32</v>
      </c>
      <c r="B163" s="9" t="str">
        <f>IFERROR(INDEX('CONTROL MASTER'!$Q$2:$Q$495,MATCH("Control NIH Plate 14: E1",'CONTROL MASTER'!$H$2:$H$495,0)),"")</f>
        <v/>
      </c>
      <c r="C163" s="9" t="str">
        <f>IFERROR(INDEX('CONTROL MASTER'!$Q$2:$Q$495,MATCH("Control NIH Plate 14: E2",'CONTROL MASTER'!$H$2:$H$495,0)),"")</f>
        <v/>
      </c>
      <c r="D163" s="9" t="str">
        <f>IFERROR(INDEX('CONTROL MASTER'!$Q$2:$Q$495,MATCH("Control NIH Plate 14: E3",'CONTROL MASTER'!$H$2:$H$495,0)),"")</f>
        <v/>
      </c>
      <c r="E163" s="9" t="str">
        <f>IFERROR(INDEX('CONTROL MASTER'!$Q$2:$Q$495,MATCH("Control NIH Plate 14: E4",'CONTROL MASTER'!$H$2:$H$495,0)),"")</f>
        <v/>
      </c>
      <c r="F163" s="9" t="str">
        <f>IFERROR(INDEX('CONTROL MASTER'!$Q$2:$Q$495,MATCH("Control NIH Plate 14: E5",'CONTROL MASTER'!$H$2:$H$495,0)),"")</f>
        <v/>
      </c>
      <c r="G163" s="9" t="str">
        <f>IFERROR(INDEX('CONTROL MASTER'!$Q$2:$Q$495,MATCH("Control NIH Plate 14: E6",'CONTROL MASTER'!$H$2:$H$495,0)),"")</f>
        <v/>
      </c>
      <c r="H163" s="9" t="str">
        <f>IFERROR(INDEX('CONTROL MASTER'!$Q$2:$Q$495,MATCH("Control NIH Plate 14: E7",'CONTROL MASTER'!$H$2:$H$495,0)),"")</f>
        <v/>
      </c>
      <c r="I163" s="9" t="str">
        <f>IFERROR(INDEX('CONTROL MASTER'!$Q$2:$Q$495,MATCH("Control NIH Plate 14: E8",'CONTROL MASTER'!$H$2:$H$495,0)),"")</f>
        <v/>
      </c>
      <c r="J163" s="9" t="str">
        <f>IFERROR(INDEX('CONTROL MASTER'!$Q$2:$Q$495,MATCH("Control NIH Plate 14: E9",'CONTROL MASTER'!$H$2:$H$495,0)),"")</f>
        <v/>
      </c>
      <c r="K163" s="9" t="str">
        <f>IFERROR(INDEX('CONTROL MASTER'!$Q$2:$Q$495,MATCH("Control NIH Plate 14: E10",'CONTROL MASTER'!$H$2:$H$495,0)),"")</f>
        <v/>
      </c>
      <c r="L163" s="9" t="str">
        <f>IFERROR(INDEX('CONTROL MASTER'!$Q$2:$Q$495,MATCH("Control NIH Plate 14: E11",'CONTROL MASTER'!$H$2:$H$495,0)),"")</f>
        <v/>
      </c>
      <c r="M163" s="9" t="str">
        <f>IFERROR(INDEX('CONTROL MASTER'!$Q$2:$Q$495,MATCH("Control NIH Plate 14: E12",'CONTROL MASTER'!$H$2:$H$495,0)),"")</f>
        <v/>
      </c>
    </row>
    <row r="164" spans="1:13" ht="15" customHeight="1" x14ac:dyDescent="0.35">
      <c r="A164" s="8" t="s">
        <v>33</v>
      </c>
      <c r="B164" s="9" t="str">
        <f>IFERROR(INDEX('CONTROL MASTER'!$Q$2:$Q$495,MATCH("Control NIH Plate 14: F1",'CONTROL MASTER'!$H$2:$H$495,0)),"")</f>
        <v/>
      </c>
      <c r="C164" s="9" t="str">
        <f>IFERROR(INDEX('CONTROL MASTER'!$Q$2:$Q$495,MATCH("Control NIH Plate 14: F2",'CONTROL MASTER'!$H$2:$H$495,0)),"")</f>
        <v/>
      </c>
      <c r="D164" s="9" t="str">
        <f>IFERROR(INDEX('CONTROL MASTER'!$Q$2:$Q$495,MATCH("Control NIH Plate 14: F3",'CONTROL MASTER'!$H$2:$H$495,0)),"")</f>
        <v/>
      </c>
      <c r="E164" s="9" t="str">
        <f>IFERROR(INDEX('CONTROL MASTER'!$Q$2:$Q$495,MATCH("Control NIH Plate 14: F4",'CONTROL MASTER'!$H$2:$H$495,0)),"")</f>
        <v/>
      </c>
      <c r="F164" s="9" t="str">
        <f>IFERROR(INDEX('CONTROL MASTER'!$Q$2:$Q$495,MATCH("Control NIH Plate 14: F5",'CONTROL MASTER'!$H$2:$H$495,0)),"")</f>
        <v/>
      </c>
      <c r="G164" s="9" t="str">
        <f>IFERROR(INDEX('CONTROL MASTER'!$Q$2:$Q$495,MATCH("Control NIH Plate 14: F6",'CONTROL MASTER'!$H$2:$H$495,0)),"")</f>
        <v/>
      </c>
      <c r="H164" s="9" t="str">
        <f>IFERROR(INDEX('CONTROL MASTER'!$Q$2:$Q$495,MATCH("Control NIH Plate 14: F7",'CONTROL MASTER'!$H$2:$H$495,0)),"")</f>
        <v/>
      </c>
      <c r="I164" s="9" t="str">
        <f>IFERROR(INDEX('CONTROL MASTER'!$Q$2:$Q$495,MATCH("Control NIH Plate 14: F8",'CONTROL MASTER'!$H$2:$H$495,0)),"")</f>
        <v/>
      </c>
      <c r="J164" s="9" t="str">
        <f>IFERROR(INDEX('CONTROL MASTER'!$Q$2:$Q$495,MATCH("Control NIH Plate 14: F9",'CONTROL MASTER'!$H$2:$H$495,0)),"")</f>
        <v/>
      </c>
      <c r="K164" s="9" t="str">
        <f>IFERROR(INDEX('CONTROL MASTER'!$Q$2:$Q$495,MATCH("Control NIH Plate 14: F10",'CONTROL MASTER'!$H$2:$H$495,0)),"")</f>
        <v/>
      </c>
      <c r="L164" s="9" t="str">
        <f>IFERROR(INDEX('CONTROL MASTER'!$Q$2:$Q$495,MATCH("Control NIH Plate 14: F11",'CONTROL MASTER'!$H$2:$H$495,0)),"")</f>
        <v/>
      </c>
      <c r="M164" s="9" t="str">
        <f>IFERROR(INDEX('CONTROL MASTER'!$Q$2:$Q$495,MATCH("Control NIH Plate 14: F12",'CONTROL MASTER'!$H$2:$H$495,0)),"")</f>
        <v/>
      </c>
    </row>
    <row r="165" spans="1:13" ht="15" customHeight="1" x14ac:dyDescent="0.35">
      <c r="A165" s="8" t="s">
        <v>34</v>
      </c>
      <c r="B165" s="9" t="str">
        <f>IFERROR(INDEX('CONTROL MASTER'!$Q$2:$Q$495,MATCH("Control NIH Plate 14: G1",'CONTROL MASTER'!$H$2:$H$495,0)),"")</f>
        <v/>
      </c>
      <c r="C165" s="9" t="str">
        <f>IFERROR(INDEX('CONTROL MASTER'!$Q$2:$Q$495,MATCH("Control NIH Plate 14: G2",'CONTROL MASTER'!$H$2:$H$495,0)),"")</f>
        <v/>
      </c>
      <c r="D165" s="9" t="str">
        <f>IFERROR(INDEX('CONTROL MASTER'!$Q$2:$Q$495,MATCH("Control NIH Plate 14: G3",'CONTROL MASTER'!$H$2:$H$495,0)),"")</f>
        <v/>
      </c>
      <c r="E165" s="9" t="str">
        <f>IFERROR(INDEX('CONTROL MASTER'!$Q$2:$Q$495,MATCH("Control NIH Plate 14: G4",'CONTROL MASTER'!$H$2:$H$495,0)),"")</f>
        <v/>
      </c>
      <c r="F165" s="9" t="str">
        <f>IFERROR(INDEX('CONTROL MASTER'!$Q$2:$Q$495,MATCH("Control NIH Plate 14: G5",'CONTROL MASTER'!$H$2:$H$495,0)),"")</f>
        <v/>
      </c>
      <c r="G165" s="9" t="str">
        <f>IFERROR(INDEX('CONTROL MASTER'!$Q$2:$Q$495,MATCH("Control NIH Plate 14: G6",'CONTROL MASTER'!$H$2:$H$495,0)),"")</f>
        <v/>
      </c>
      <c r="H165" s="9" t="str">
        <f>IFERROR(INDEX('CONTROL MASTER'!$Q$2:$Q$495,MATCH("Control NIH Plate 14: G7",'CONTROL MASTER'!$H$2:$H$495,0)),"")</f>
        <v/>
      </c>
      <c r="I165" s="9" t="str">
        <f>IFERROR(INDEX('CONTROL MASTER'!$Q$2:$Q$495,MATCH("Control NIH Plate 14: G8",'CONTROL MASTER'!$H$2:$H$495,0)),"")</f>
        <v/>
      </c>
      <c r="J165" s="9" t="str">
        <f>IFERROR(INDEX('CONTROL MASTER'!$Q$2:$Q$495,MATCH("Control NIH Plate 14: G9",'CONTROL MASTER'!$H$2:$H$495,0)),"")</f>
        <v/>
      </c>
      <c r="K165" s="9" t="str">
        <f>IFERROR(INDEX('CONTROL MASTER'!$Q$2:$Q$495,MATCH("Control NIH Plate 14: G10",'CONTROL MASTER'!$H$2:$H$495,0)),"")</f>
        <v/>
      </c>
      <c r="L165" s="9" t="str">
        <f>IFERROR(INDEX('CONTROL MASTER'!$Q$2:$Q$495,MATCH("Control NIH Plate 14: G11",'CONTROL MASTER'!$H$2:$H$495,0)),"")</f>
        <v/>
      </c>
      <c r="M165" s="9" t="str">
        <f>IFERROR(INDEX('CONTROL MASTER'!$Q$2:$Q$495,MATCH("Control NIH Plate 14: G12",'CONTROL MASTER'!$H$2:$H$495,0)),"")</f>
        <v/>
      </c>
    </row>
    <row r="166" spans="1:13" ht="15" customHeight="1" x14ac:dyDescent="0.35">
      <c r="A166" s="8" t="s">
        <v>35</v>
      </c>
      <c r="B166" s="9" t="str">
        <f>IFERROR(INDEX('CONTROL MASTER'!$Q$2:$Q$495,MATCH("Control NIH Plate 14: H1",'CONTROL MASTER'!$H$2:$H$495,0)),"")</f>
        <v/>
      </c>
      <c r="C166" s="9" t="str">
        <f>IFERROR(INDEX('CONTROL MASTER'!$Q$2:$Q$495,MATCH("Control NIH Plate 14: H2",'CONTROL MASTER'!$H$2:$H$495,0)),"")</f>
        <v/>
      </c>
      <c r="D166" s="9" t="str">
        <f>IFERROR(INDEX('CONTROL MASTER'!$Q$2:$Q$495,MATCH("Control NIH Plate 14: H3",'CONTROL MASTER'!$H$2:$H$495,0)),"")</f>
        <v/>
      </c>
      <c r="E166" s="9" t="str">
        <f>IFERROR(INDEX('CONTROL MASTER'!$Q$2:$Q$495,MATCH("Control NIH Plate 14: H4",'CONTROL MASTER'!$H$2:$H$495,0)),"")</f>
        <v/>
      </c>
      <c r="F166" s="9" t="str">
        <f>IFERROR(INDEX('CONTROL MASTER'!$Q$2:$Q$495,MATCH("Control NIH Plate 14: H5",'CONTROL MASTER'!$H$2:$H$495,0)),"")</f>
        <v/>
      </c>
      <c r="G166" s="9" t="str">
        <f>IFERROR(INDEX('CONTROL MASTER'!$Q$2:$Q$495,MATCH("Control NIH Plate 14: H6",'CONTROL MASTER'!$H$2:$H$495,0)),"")</f>
        <v/>
      </c>
      <c r="H166" s="9" t="str">
        <f>IFERROR(INDEX('CONTROL MASTER'!$Q$2:$Q$495,MATCH("Control NIH Plate 14: H7",'CONTROL MASTER'!$H$2:$H$495,0)),"")</f>
        <v/>
      </c>
      <c r="I166" s="9" t="str">
        <f>IFERROR(INDEX('CONTROL MASTER'!$Q$2:$Q$495,MATCH("Control NIH Plate 14: H8",'CONTROL MASTER'!$H$2:$H$495,0)),"")</f>
        <v/>
      </c>
      <c r="J166" s="9" t="str">
        <f>IFERROR(INDEX('CONTROL MASTER'!$Q$2:$Q$495,MATCH("Control NIH Plate 14: H9",'CONTROL MASTER'!$H$2:$H$495,0)),"")</f>
        <v/>
      </c>
      <c r="K166" s="9" t="str">
        <f>IFERROR(INDEX('CONTROL MASTER'!$Q$2:$Q$495,MATCH("Control NIH Plate 14: H10",'CONTROL MASTER'!$H$2:$H$495,0)),"")</f>
        <v/>
      </c>
      <c r="L166" s="9" t="str">
        <f>IFERROR(INDEX('CONTROL MASTER'!$Q$2:$Q$495,MATCH("Control NIH Plate 14: H11",'CONTROL MASTER'!$H$2:$H$495,0)),"")</f>
        <v/>
      </c>
      <c r="M166" s="9" t="str">
        <f>IFERROR(INDEX('CONTROL MASTER'!$Q$2:$Q$495,MATCH("Control NIH Plate 14: H12",'CONTROL MASTER'!$H$2:$H$495,0)),"")</f>
        <v/>
      </c>
    </row>
    <row r="169" spans="1:13" ht="15" customHeight="1" x14ac:dyDescent="0.35">
      <c r="A169" s="12" t="s">
        <v>141</v>
      </c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</row>
    <row r="170" spans="1:13" ht="15" customHeight="1" x14ac:dyDescent="0.35">
      <c r="B170" s="8">
        <v>1</v>
      </c>
      <c r="C170" s="8">
        <v>2</v>
      </c>
      <c r="D170" s="8">
        <v>3</v>
      </c>
      <c r="E170" s="8">
        <v>4</v>
      </c>
      <c r="F170" s="8">
        <v>5</v>
      </c>
      <c r="G170" s="8">
        <v>6</v>
      </c>
      <c r="H170" s="8">
        <v>7</v>
      </c>
      <c r="I170" s="8">
        <v>8</v>
      </c>
      <c r="J170" s="8">
        <v>9</v>
      </c>
      <c r="K170" s="8">
        <v>10</v>
      </c>
      <c r="L170" s="8">
        <v>11</v>
      </c>
      <c r="M170" s="8">
        <v>12</v>
      </c>
    </row>
    <row r="171" spans="1:13" ht="15" customHeight="1" x14ac:dyDescent="0.35">
      <c r="A171" s="8" t="s">
        <v>28</v>
      </c>
      <c r="B171" s="9" t="str">
        <f>IFERROR(INDEX('CONTROL MASTER'!$Q$2:$Q$495,MATCH("Control NIH Plate 15: A1",'CONTROL MASTER'!$H$2:$H$495,0)),"")</f>
        <v/>
      </c>
      <c r="C171" s="9" t="str">
        <f>IFERROR(INDEX('CONTROL MASTER'!$Q$2:$Q$495,MATCH("Control NIH Plate 15: A2",'CONTROL MASTER'!$H$2:$H$495,0)),"")</f>
        <v/>
      </c>
      <c r="D171" s="9" t="str">
        <f>IFERROR(INDEX('CONTROL MASTER'!$Q$2:$Q$495,MATCH("Control NIH Plate 15: A3",'CONTROL MASTER'!$H$2:$H$495,0)),"")</f>
        <v/>
      </c>
      <c r="E171" s="9" t="str">
        <f>IFERROR(INDEX('CONTROL MASTER'!$Q$2:$Q$495,MATCH("Control NIH Plate 15: A4",'CONTROL MASTER'!$H$2:$H$495,0)),"")</f>
        <v/>
      </c>
      <c r="F171" s="9" t="str">
        <f>IFERROR(INDEX('CONTROL MASTER'!$Q$2:$Q$495,MATCH("Control NIH Plate 15: A5",'CONTROL MASTER'!$H$2:$H$495,0)),"")</f>
        <v/>
      </c>
      <c r="G171" s="9" t="str">
        <f>IFERROR(INDEX('CONTROL MASTER'!$Q$2:$Q$495,MATCH("Control NIH Plate 15: A6",'CONTROL MASTER'!$H$2:$H$495,0)),"")</f>
        <v/>
      </c>
      <c r="H171" s="9" t="str">
        <f>IFERROR(INDEX('CONTROL MASTER'!$Q$2:$Q$495,MATCH("Control NIH Plate 15: A7",'CONTROL MASTER'!$H$2:$H$495,0)),"")</f>
        <v/>
      </c>
      <c r="I171" s="9" t="str">
        <f>IFERROR(INDEX('CONTROL MASTER'!$Q$2:$Q$495,MATCH("Control NIH Plate 15: A8",'CONTROL MASTER'!$H$2:$H$495,0)),"")</f>
        <v/>
      </c>
      <c r="J171" s="9" t="str">
        <f>IFERROR(INDEX('CONTROL MASTER'!$Q$2:$Q$495,MATCH("Control NIH Plate 15: A9",'CONTROL MASTER'!$H$2:$H$495,0)),"")</f>
        <v/>
      </c>
      <c r="K171" s="9" t="str">
        <f>IFERROR(INDEX('CONTROL MASTER'!$Q$2:$Q$495,MATCH("Control NIH Plate 15: A10",'CONTROL MASTER'!$H$2:$H$495,0)),"")</f>
        <v/>
      </c>
      <c r="L171" s="9" t="str">
        <f>IFERROR(INDEX('CONTROL MASTER'!$Q$2:$Q$495,MATCH("Control NIH Plate 15: A11",'CONTROL MASTER'!$H$2:$H$495,0)),"")</f>
        <v/>
      </c>
      <c r="M171" s="9" t="str">
        <f>IFERROR(INDEX('CONTROL MASTER'!$Q$2:$Q$495,MATCH("Control NIH Plate 15: A12",'CONTROL MASTER'!$H$2:$H$495,0)),"")</f>
        <v/>
      </c>
    </row>
    <row r="172" spans="1:13" ht="15" customHeight="1" x14ac:dyDescent="0.35">
      <c r="A172" s="8" t="s">
        <v>29</v>
      </c>
      <c r="B172" s="9" t="str">
        <f>IFERROR(INDEX('CONTROL MASTER'!$Q$2:$Q$495,MATCH("Control NIH Plate 15: B1",'CONTROL MASTER'!$H$2:$H$495,0)),"")</f>
        <v/>
      </c>
      <c r="C172" s="9" t="str">
        <f>IFERROR(INDEX('CONTROL MASTER'!$Q$2:$Q$495,MATCH("Control NIH Plate 15: B2",'CONTROL MASTER'!$H$2:$H$495,0)),"")</f>
        <v/>
      </c>
      <c r="D172" s="9" t="str">
        <f>IFERROR(INDEX('CONTROL MASTER'!$Q$2:$Q$495,MATCH("Control NIH Plate 15: B3",'CONTROL MASTER'!$H$2:$H$495,0)),"")</f>
        <v/>
      </c>
      <c r="E172" s="9" t="str">
        <f>IFERROR(INDEX('CONTROL MASTER'!$Q$2:$Q$495,MATCH("Control NIH Plate 15: B4",'CONTROL MASTER'!$H$2:$H$495,0)),"")</f>
        <v/>
      </c>
      <c r="F172" s="9" t="str">
        <f>IFERROR(INDEX('CONTROL MASTER'!$Q$2:$Q$495,MATCH("Control NIH Plate 15: B5",'CONTROL MASTER'!$H$2:$H$495,0)),"")</f>
        <v/>
      </c>
      <c r="G172" s="9" t="str">
        <f>IFERROR(INDEX('CONTROL MASTER'!$Q$2:$Q$495,MATCH("Control NIH Plate 15: B6",'CONTROL MASTER'!$H$2:$H$495,0)),"")</f>
        <v/>
      </c>
      <c r="H172" s="9" t="str">
        <f>IFERROR(INDEX('CONTROL MASTER'!$Q$2:$Q$495,MATCH("Control NIH Plate 15: B7",'CONTROL MASTER'!$H$2:$H$495,0)),"")</f>
        <v/>
      </c>
      <c r="I172" s="9" t="str">
        <f>IFERROR(INDEX('CONTROL MASTER'!$Q$2:$Q$495,MATCH("Control NIH Plate 15: B8",'CONTROL MASTER'!$H$2:$H$495,0)),"")</f>
        <v/>
      </c>
      <c r="J172" s="9" t="str">
        <f>IFERROR(INDEX('CONTROL MASTER'!$Q$2:$Q$495,MATCH("Control NIH Plate 15: B9",'CONTROL MASTER'!$H$2:$H$495,0)),"")</f>
        <v/>
      </c>
      <c r="K172" s="9" t="str">
        <f>IFERROR(INDEX('CONTROL MASTER'!$Q$2:$Q$495,MATCH("Control NIH Plate 15: B10",'CONTROL MASTER'!$H$2:$H$495,0)),"")</f>
        <v/>
      </c>
      <c r="L172" s="9" t="str">
        <f>IFERROR(INDEX('CONTROL MASTER'!$Q$2:$Q$495,MATCH("Control NIH Plate 15: B11",'CONTROL MASTER'!$H$2:$H$495,0)),"")</f>
        <v/>
      </c>
      <c r="M172" s="9" t="str">
        <f>IFERROR(INDEX('CONTROL MASTER'!$Q$2:$Q$495,MATCH("Control NIH Plate 15: B12",'CONTROL MASTER'!$H$2:$H$495,0)),"")</f>
        <v/>
      </c>
    </row>
    <row r="173" spans="1:13" ht="15" customHeight="1" x14ac:dyDescent="0.35">
      <c r="A173" s="8" t="s">
        <v>30</v>
      </c>
      <c r="B173" s="9" t="str">
        <f>IFERROR(INDEX('CONTROL MASTER'!$Q$2:$Q$495,MATCH("Control NIH Plate 15: C1",'CONTROL MASTER'!$H$2:$H$495,0)),"")</f>
        <v/>
      </c>
      <c r="C173" s="9" t="str">
        <f>IFERROR(INDEX('CONTROL MASTER'!$Q$2:$Q$495,MATCH("Control NIH Plate 15: C2",'CONTROL MASTER'!$H$2:$H$495,0)),"")</f>
        <v/>
      </c>
      <c r="D173" s="9" t="str">
        <f>IFERROR(INDEX('CONTROL MASTER'!$Q$2:$Q$495,MATCH("Control NIH Plate 15: C3",'CONTROL MASTER'!$H$2:$H$495,0)),"")</f>
        <v/>
      </c>
      <c r="E173" s="9" t="str">
        <f>IFERROR(INDEX('CONTROL MASTER'!$Q$2:$Q$495,MATCH("Control NIH Plate 15: C4",'CONTROL MASTER'!$H$2:$H$495,0)),"")</f>
        <v/>
      </c>
      <c r="F173" s="9" t="str">
        <f>IFERROR(INDEX('CONTROL MASTER'!$Q$2:$Q$495,MATCH("Control NIH Plate 15: C5",'CONTROL MASTER'!$H$2:$H$495,0)),"")</f>
        <v/>
      </c>
      <c r="G173" s="9" t="str">
        <f>IFERROR(INDEX('CONTROL MASTER'!$Q$2:$Q$495,MATCH("Control NIH Plate 15: C6",'CONTROL MASTER'!$H$2:$H$495,0)),"")</f>
        <v/>
      </c>
      <c r="H173" s="9" t="str">
        <f>IFERROR(INDEX('CONTROL MASTER'!$Q$2:$Q$495,MATCH("Control NIH Plate 15: C7",'CONTROL MASTER'!$H$2:$H$495,0)),"")</f>
        <v/>
      </c>
      <c r="I173" s="9" t="str">
        <f>IFERROR(INDEX('CONTROL MASTER'!$Q$2:$Q$495,MATCH("Control NIH Plate 15: C8",'CONTROL MASTER'!$H$2:$H$495,0)),"")</f>
        <v/>
      </c>
      <c r="J173" s="9" t="str">
        <f>IFERROR(INDEX('CONTROL MASTER'!$Q$2:$Q$495,MATCH("Control NIH Plate 15: C9",'CONTROL MASTER'!$H$2:$H$495,0)),"")</f>
        <v/>
      </c>
      <c r="K173" s="9" t="str">
        <f>IFERROR(INDEX('CONTROL MASTER'!$Q$2:$Q$495,MATCH("Control NIH Plate 15: C10",'CONTROL MASTER'!$H$2:$H$495,0)),"")</f>
        <v/>
      </c>
      <c r="L173" s="9" t="str">
        <f>IFERROR(INDEX('CONTROL MASTER'!$Q$2:$Q$495,MATCH("Control NIH Plate 15: C11",'CONTROL MASTER'!$H$2:$H$495,0)),"")</f>
        <v/>
      </c>
      <c r="M173" s="9" t="str">
        <f>IFERROR(INDEX('CONTROL MASTER'!$Q$2:$Q$495,MATCH("Control NIH Plate 15: C12",'CONTROL MASTER'!$H$2:$H$495,0)),"")</f>
        <v/>
      </c>
    </row>
    <row r="174" spans="1:13" ht="15" customHeight="1" x14ac:dyDescent="0.35">
      <c r="A174" s="8" t="s">
        <v>31</v>
      </c>
      <c r="B174" s="9" t="str">
        <f>IFERROR(INDEX('CONTROL MASTER'!$Q$2:$Q$495,MATCH("Control NIH Plate 15: D1",'CONTROL MASTER'!$H$2:$H$495,0)),"")</f>
        <v/>
      </c>
      <c r="C174" s="9" t="str">
        <f>IFERROR(INDEX('CONTROL MASTER'!$Q$2:$Q$495,MATCH("Control NIH Plate 15: D2",'CONTROL MASTER'!$H$2:$H$495,0)),"")</f>
        <v/>
      </c>
      <c r="D174" s="9" t="str">
        <f>IFERROR(INDEX('CONTROL MASTER'!$Q$2:$Q$495,MATCH("Control NIH Plate 15: D3",'CONTROL MASTER'!$H$2:$H$495,0)),"")</f>
        <v/>
      </c>
      <c r="E174" s="9" t="str">
        <f>IFERROR(INDEX('CONTROL MASTER'!$Q$2:$Q$495,MATCH("Control NIH Plate 15: D4",'CONTROL MASTER'!$H$2:$H$495,0)),"")</f>
        <v/>
      </c>
      <c r="F174" s="9" t="str">
        <f>IFERROR(INDEX('CONTROL MASTER'!$Q$2:$Q$495,MATCH("Control NIH Plate 15: D5",'CONTROL MASTER'!$H$2:$H$495,0)),"")</f>
        <v/>
      </c>
      <c r="G174" s="9" t="str">
        <f>IFERROR(INDEX('CONTROL MASTER'!$Q$2:$Q$495,MATCH("Control NIH Plate 15: D6",'CONTROL MASTER'!$H$2:$H$495,0)),"")</f>
        <v/>
      </c>
      <c r="H174" s="9" t="str">
        <f>IFERROR(INDEX('CONTROL MASTER'!$Q$2:$Q$495,MATCH("Control NIH Plate 15: D7",'CONTROL MASTER'!$H$2:$H$495,0)),"")</f>
        <v/>
      </c>
      <c r="I174" s="9" t="str">
        <f>IFERROR(INDEX('CONTROL MASTER'!$Q$2:$Q$495,MATCH("Control NIH Plate 15: D8",'CONTROL MASTER'!$H$2:$H$495,0)),"")</f>
        <v/>
      </c>
      <c r="J174" s="9" t="str">
        <f>IFERROR(INDEX('CONTROL MASTER'!$Q$2:$Q$495,MATCH("Control NIH Plate 15: D9",'CONTROL MASTER'!$H$2:$H$495,0)),"")</f>
        <v/>
      </c>
      <c r="K174" s="9" t="str">
        <f>IFERROR(INDEX('CONTROL MASTER'!$Q$2:$Q$495,MATCH("Control NIH Plate 15: D10",'CONTROL MASTER'!$H$2:$H$495,0)),"")</f>
        <v/>
      </c>
      <c r="L174" s="9" t="str">
        <f>IFERROR(INDEX('CONTROL MASTER'!$Q$2:$Q$495,MATCH("Control NIH Plate 15: D11",'CONTROL MASTER'!$H$2:$H$495,0)),"")</f>
        <v/>
      </c>
      <c r="M174" s="9" t="str">
        <f>IFERROR(INDEX('CONTROL MASTER'!$Q$2:$Q$495,MATCH("Control NIH Plate 15: D12",'CONTROL MASTER'!$H$2:$H$495,0)),"")</f>
        <v/>
      </c>
    </row>
    <row r="175" spans="1:13" ht="15" customHeight="1" x14ac:dyDescent="0.35">
      <c r="A175" s="8" t="s">
        <v>32</v>
      </c>
      <c r="B175" s="9" t="str">
        <f>IFERROR(INDEX('CONTROL MASTER'!$Q$2:$Q$495,MATCH("Control NIH Plate 15: E1",'CONTROL MASTER'!$H$2:$H$495,0)),"")</f>
        <v/>
      </c>
      <c r="C175" s="9" t="str">
        <f>IFERROR(INDEX('CONTROL MASTER'!$Q$2:$Q$495,MATCH("Control NIH Plate 15: E2",'CONTROL MASTER'!$H$2:$H$495,0)),"")</f>
        <v/>
      </c>
      <c r="D175" s="9" t="str">
        <f>IFERROR(INDEX('CONTROL MASTER'!$Q$2:$Q$495,MATCH("Control NIH Plate 15: E3",'CONTROL MASTER'!$H$2:$H$495,0)),"")</f>
        <v/>
      </c>
      <c r="E175" s="9" t="str">
        <f>IFERROR(INDEX('CONTROL MASTER'!$Q$2:$Q$495,MATCH("Control NIH Plate 15: E4",'CONTROL MASTER'!$H$2:$H$495,0)),"")</f>
        <v/>
      </c>
      <c r="F175" s="9" t="str">
        <f>IFERROR(INDEX('CONTROL MASTER'!$Q$2:$Q$495,MATCH("Control NIH Plate 15: E5",'CONTROL MASTER'!$H$2:$H$495,0)),"")</f>
        <v/>
      </c>
      <c r="G175" s="9" t="str">
        <f>IFERROR(INDEX('CONTROL MASTER'!$Q$2:$Q$495,MATCH("Control NIH Plate 15: E6",'CONTROL MASTER'!$H$2:$H$495,0)),"")</f>
        <v/>
      </c>
      <c r="H175" s="9" t="str">
        <f>IFERROR(INDEX('CONTROL MASTER'!$Q$2:$Q$495,MATCH("Control NIH Plate 15: E7",'CONTROL MASTER'!$H$2:$H$495,0)),"")</f>
        <v/>
      </c>
      <c r="I175" s="9" t="str">
        <f>IFERROR(INDEX('CONTROL MASTER'!$Q$2:$Q$495,MATCH("Control NIH Plate 15: E8",'CONTROL MASTER'!$H$2:$H$495,0)),"")</f>
        <v/>
      </c>
      <c r="J175" s="9" t="str">
        <f>IFERROR(INDEX('CONTROL MASTER'!$Q$2:$Q$495,MATCH("Control NIH Plate 15: E9",'CONTROL MASTER'!$H$2:$H$495,0)),"")</f>
        <v/>
      </c>
      <c r="K175" s="9" t="str">
        <f>IFERROR(INDEX('CONTROL MASTER'!$Q$2:$Q$495,MATCH("Control NIH Plate 15: E10",'CONTROL MASTER'!$H$2:$H$495,0)),"")</f>
        <v/>
      </c>
      <c r="L175" s="9" t="str">
        <f>IFERROR(INDEX('CONTROL MASTER'!$Q$2:$Q$495,MATCH("Control NIH Plate 15: E11",'CONTROL MASTER'!$H$2:$H$495,0)),"")</f>
        <v/>
      </c>
      <c r="M175" s="9" t="str">
        <f>IFERROR(INDEX('CONTROL MASTER'!$Q$2:$Q$495,MATCH("Control NIH Plate 15: E12",'CONTROL MASTER'!$H$2:$H$495,0)),"")</f>
        <v/>
      </c>
    </row>
    <row r="176" spans="1:13" ht="15" customHeight="1" x14ac:dyDescent="0.35">
      <c r="A176" s="8" t="s">
        <v>33</v>
      </c>
      <c r="B176" s="9" t="str">
        <f>IFERROR(INDEX('CONTROL MASTER'!$Q$2:$Q$495,MATCH("Control NIH Plate 15: F1",'CONTROL MASTER'!$H$2:$H$495,0)),"")</f>
        <v/>
      </c>
      <c r="C176" s="9" t="str">
        <f>IFERROR(INDEX('CONTROL MASTER'!$Q$2:$Q$495,MATCH("Control NIH Plate 15: F2",'CONTROL MASTER'!$H$2:$H$495,0)),"")</f>
        <v/>
      </c>
      <c r="D176" s="9" t="str">
        <f>IFERROR(INDEX('CONTROL MASTER'!$Q$2:$Q$495,MATCH("Control NIH Plate 15: F3",'CONTROL MASTER'!$H$2:$H$495,0)),"")</f>
        <v/>
      </c>
      <c r="E176" s="9" t="str">
        <f>IFERROR(INDEX('CONTROL MASTER'!$Q$2:$Q$495,MATCH("Control NIH Plate 15: F4",'CONTROL MASTER'!$H$2:$H$495,0)),"")</f>
        <v/>
      </c>
      <c r="F176" s="9" t="str">
        <f>IFERROR(INDEX('CONTROL MASTER'!$Q$2:$Q$495,MATCH("Control NIH Plate 15: F5",'CONTROL MASTER'!$H$2:$H$495,0)),"")</f>
        <v/>
      </c>
      <c r="G176" s="9" t="str">
        <f>IFERROR(INDEX('CONTROL MASTER'!$Q$2:$Q$495,MATCH("Control NIH Plate 15: F6",'CONTROL MASTER'!$H$2:$H$495,0)),"")</f>
        <v/>
      </c>
      <c r="H176" s="9" t="str">
        <f>IFERROR(INDEX('CONTROL MASTER'!$Q$2:$Q$495,MATCH("Control NIH Plate 15: F7",'CONTROL MASTER'!$H$2:$H$495,0)),"")</f>
        <v/>
      </c>
      <c r="I176" s="9" t="str">
        <f>IFERROR(INDEX('CONTROL MASTER'!$Q$2:$Q$495,MATCH("Control NIH Plate 15: F8",'CONTROL MASTER'!$H$2:$H$495,0)),"")</f>
        <v/>
      </c>
      <c r="J176" s="9" t="str">
        <f>IFERROR(INDEX('CONTROL MASTER'!$Q$2:$Q$495,MATCH("Control NIH Plate 15: F9",'CONTROL MASTER'!$H$2:$H$495,0)),"")</f>
        <v/>
      </c>
      <c r="K176" s="9" t="str">
        <f>IFERROR(INDEX('CONTROL MASTER'!$Q$2:$Q$495,MATCH("Control NIH Plate 15: F10",'CONTROL MASTER'!$H$2:$H$495,0)),"")</f>
        <v/>
      </c>
      <c r="L176" s="9" t="str">
        <f>IFERROR(INDEX('CONTROL MASTER'!$Q$2:$Q$495,MATCH("Control NIH Plate 15: F11",'CONTROL MASTER'!$H$2:$H$495,0)),"")</f>
        <v/>
      </c>
      <c r="M176" s="9" t="str">
        <f>IFERROR(INDEX('CONTROL MASTER'!$Q$2:$Q$495,MATCH("Control NIH Plate 15: F12",'CONTROL MASTER'!$H$2:$H$495,0)),"")</f>
        <v/>
      </c>
    </row>
    <row r="177" spans="1:13" ht="15" customHeight="1" x14ac:dyDescent="0.35">
      <c r="A177" s="8" t="s">
        <v>34</v>
      </c>
      <c r="B177" s="9" t="str">
        <f>IFERROR(INDEX('CONTROL MASTER'!$Q$2:$Q$495,MATCH("Control NIH Plate 15: G1",'CONTROL MASTER'!$H$2:$H$495,0)),"")</f>
        <v/>
      </c>
      <c r="C177" s="9" t="str">
        <f>IFERROR(INDEX('CONTROL MASTER'!$Q$2:$Q$495,MATCH("Control NIH Plate 15: G2",'CONTROL MASTER'!$H$2:$H$495,0)),"")</f>
        <v/>
      </c>
      <c r="D177" s="9" t="str">
        <f>IFERROR(INDEX('CONTROL MASTER'!$Q$2:$Q$495,MATCH("Control NIH Plate 15: G3",'CONTROL MASTER'!$H$2:$H$495,0)),"")</f>
        <v/>
      </c>
      <c r="E177" s="9" t="str">
        <f>IFERROR(INDEX('CONTROL MASTER'!$Q$2:$Q$495,MATCH("Control NIH Plate 15: G4",'CONTROL MASTER'!$H$2:$H$495,0)),"")</f>
        <v/>
      </c>
      <c r="F177" s="9" t="str">
        <f>IFERROR(INDEX('CONTROL MASTER'!$Q$2:$Q$495,MATCH("Control NIH Plate 15: G5",'CONTROL MASTER'!$H$2:$H$495,0)),"")</f>
        <v/>
      </c>
      <c r="G177" s="9" t="str">
        <f>IFERROR(INDEX('CONTROL MASTER'!$Q$2:$Q$495,MATCH("Control NIH Plate 15: G6",'CONTROL MASTER'!$H$2:$H$495,0)),"")</f>
        <v/>
      </c>
      <c r="H177" s="9" t="str">
        <f>IFERROR(INDEX('CONTROL MASTER'!$Q$2:$Q$495,MATCH("Control NIH Plate 15: G7",'CONTROL MASTER'!$H$2:$H$495,0)),"")</f>
        <v/>
      </c>
      <c r="I177" s="9" t="str">
        <f>IFERROR(INDEX('CONTROL MASTER'!$Q$2:$Q$495,MATCH("Control NIH Plate 15: G8",'CONTROL MASTER'!$H$2:$H$495,0)),"")</f>
        <v/>
      </c>
      <c r="J177" s="9" t="str">
        <f>IFERROR(INDEX('CONTROL MASTER'!$Q$2:$Q$495,MATCH("Control NIH Plate 15: G9",'CONTROL MASTER'!$H$2:$H$495,0)),"")</f>
        <v/>
      </c>
      <c r="K177" s="9" t="str">
        <f>IFERROR(INDEX('CONTROL MASTER'!$Q$2:$Q$495,MATCH("Control NIH Plate 15: G10",'CONTROL MASTER'!$H$2:$H$495,0)),"")</f>
        <v/>
      </c>
      <c r="L177" s="9" t="str">
        <f>IFERROR(INDEX('CONTROL MASTER'!$Q$2:$Q$495,MATCH("Control NIH Plate 15: G11",'CONTROL MASTER'!$H$2:$H$495,0)),"")</f>
        <v/>
      </c>
      <c r="M177" s="9" t="str">
        <f>IFERROR(INDEX('CONTROL MASTER'!$Q$2:$Q$495,MATCH("Control NIH Plate 15: G12",'CONTROL MASTER'!$H$2:$H$495,0)),"")</f>
        <v/>
      </c>
    </row>
    <row r="178" spans="1:13" ht="15" customHeight="1" x14ac:dyDescent="0.35">
      <c r="A178" s="8" t="s">
        <v>35</v>
      </c>
      <c r="B178" s="9" t="str">
        <f>IFERROR(INDEX('CONTROL MASTER'!$Q$2:$Q$495,MATCH("Control NIH Plate 15: H1",'CONTROL MASTER'!$H$2:$H$495,0)),"")</f>
        <v/>
      </c>
      <c r="C178" s="9" t="str">
        <f>IFERROR(INDEX('CONTROL MASTER'!$Q$2:$Q$495,MATCH("Control NIH Plate 15: H2",'CONTROL MASTER'!$H$2:$H$495,0)),"")</f>
        <v/>
      </c>
      <c r="D178" s="9" t="str">
        <f>IFERROR(INDEX('CONTROL MASTER'!$Q$2:$Q$495,MATCH("Control NIH Plate 15: H3",'CONTROL MASTER'!$H$2:$H$495,0)),"")</f>
        <v/>
      </c>
      <c r="E178" s="9" t="str">
        <f>IFERROR(INDEX('CONTROL MASTER'!$Q$2:$Q$495,MATCH("Control NIH Plate 15: H4",'CONTROL MASTER'!$H$2:$H$495,0)),"")</f>
        <v/>
      </c>
      <c r="F178" s="9" t="str">
        <f>IFERROR(INDEX('CONTROL MASTER'!$Q$2:$Q$495,MATCH("Control NIH Plate 15: H5",'CONTROL MASTER'!$H$2:$H$495,0)),"")</f>
        <v/>
      </c>
      <c r="G178" s="9" t="str">
        <f>IFERROR(INDEX('CONTROL MASTER'!$Q$2:$Q$495,MATCH("Control NIH Plate 15: H6",'CONTROL MASTER'!$H$2:$H$495,0)),"")</f>
        <v/>
      </c>
      <c r="H178" s="9" t="str">
        <f>IFERROR(INDEX('CONTROL MASTER'!$Q$2:$Q$495,MATCH("Control NIH Plate 15: H7",'CONTROL MASTER'!$H$2:$H$495,0)),"")</f>
        <v/>
      </c>
      <c r="I178" s="9" t="str">
        <f>IFERROR(INDEX('CONTROL MASTER'!$Q$2:$Q$495,MATCH("Control NIH Plate 15: H8",'CONTROL MASTER'!$H$2:$H$495,0)),"")</f>
        <v/>
      </c>
      <c r="J178" s="9" t="str">
        <f>IFERROR(INDEX('CONTROL MASTER'!$Q$2:$Q$495,MATCH("Control NIH Plate 15: H9",'CONTROL MASTER'!$H$2:$H$495,0)),"")</f>
        <v/>
      </c>
      <c r="K178" s="9" t="str">
        <f>IFERROR(INDEX('CONTROL MASTER'!$Q$2:$Q$495,MATCH("Control NIH Plate 15: H10",'CONTROL MASTER'!$H$2:$H$495,0)),"")</f>
        <v/>
      </c>
      <c r="L178" s="9" t="str">
        <f>IFERROR(INDEX('CONTROL MASTER'!$Q$2:$Q$495,MATCH("Control NIH Plate 15: H11",'CONTROL MASTER'!$H$2:$H$495,0)),"")</f>
        <v/>
      </c>
      <c r="M178" s="9" t="str">
        <f>IFERROR(INDEX('CONTROL MASTER'!$Q$2:$Q$495,MATCH("Control NIH Plate 15: H12",'CONTROL MASTER'!$H$2:$H$495,0)),"")</f>
        <v/>
      </c>
    </row>
  </sheetData>
  <mergeCells count="15">
    <mergeCell ref="A169:M169"/>
    <mergeCell ref="A13:M13"/>
    <mergeCell ref="A73:M73"/>
    <mergeCell ref="A1:M1"/>
    <mergeCell ref="A133:M133"/>
    <mergeCell ref="A37:M37"/>
    <mergeCell ref="A61:M61"/>
    <mergeCell ref="A97:M97"/>
    <mergeCell ref="A145:M145"/>
    <mergeCell ref="A109:M109"/>
    <mergeCell ref="A25:M25"/>
    <mergeCell ref="A157:M157"/>
    <mergeCell ref="A49:M49"/>
    <mergeCell ref="A121:M121"/>
    <mergeCell ref="A85:M85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70AD47"/>
  </sheetPr>
  <dimension ref="A1:M178"/>
  <sheetViews>
    <sheetView showGridLines="0" zoomScale="80" zoomScaleNormal="80" workbookViewId="0">
      <selection activeCell="B2" sqref="B1:M1048576"/>
    </sheetView>
  </sheetViews>
  <sheetFormatPr defaultColWidth="8.6328125" defaultRowHeight="15" customHeight="1" x14ac:dyDescent="0.35"/>
  <cols>
    <col min="1" max="1" width="5" customWidth="1"/>
    <col min="2" max="13" width="25.6328125" customWidth="1"/>
  </cols>
  <sheetData>
    <row r="1" spans="1:13" ht="15" customHeight="1" x14ac:dyDescent="0.35">
      <c r="A1" s="12" t="s">
        <v>142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</row>
    <row r="2" spans="1:13" ht="15" customHeight="1" x14ac:dyDescent="0.35">
      <c r="B2" s="8">
        <v>1</v>
      </c>
      <c r="C2" s="8">
        <v>2</v>
      </c>
      <c r="D2" s="8">
        <v>3</v>
      </c>
      <c r="E2" s="8">
        <v>4</v>
      </c>
      <c r="F2" s="8">
        <v>5</v>
      </c>
      <c r="G2" s="8">
        <v>6</v>
      </c>
      <c r="H2" s="8">
        <v>7</v>
      </c>
      <c r="I2" s="8">
        <v>8</v>
      </c>
      <c r="J2" s="8">
        <v>9</v>
      </c>
      <c r="K2" s="8">
        <v>10</v>
      </c>
      <c r="L2" s="8">
        <v>11</v>
      </c>
      <c r="M2" s="8">
        <v>12</v>
      </c>
    </row>
    <row r="3" spans="1:13" ht="15" customHeight="1" x14ac:dyDescent="0.35">
      <c r="A3" s="8" t="s">
        <v>28</v>
      </c>
      <c r="B3" s="9" t="str">
        <f>IFERROR(INDEX('CONTROL MASTER'!$Q$2:$Q$495,MATCH("Control MAX Planck Plate 1: A1",'CONTROL MASTER'!$I$2:$I$495,0)),"")</f>
        <v/>
      </c>
      <c r="C3" s="9" t="str">
        <f>IFERROR(INDEX('CONTROL MASTER'!$Q$2:$Q$495,MATCH("Control MAX Planck Plate 1: A2",'CONTROL MASTER'!$I$2:$I$495,0)),"")</f>
        <v/>
      </c>
      <c r="D3" s="9" t="str">
        <f>IFERROR(INDEX('CONTROL MASTER'!$Q$2:$Q$495,MATCH("Control MAX Planck Plate 1: A3",'CONTROL MASTER'!$I$2:$I$495,0)),"")</f>
        <v/>
      </c>
      <c r="E3" s="9" t="str">
        <f>IFERROR(INDEX('CONTROL MASTER'!$Q$2:$Q$495,MATCH("Control MAX Planck Plate 1: A4",'CONTROL MASTER'!$I$2:$I$495,0)),"")</f>
        <v/>
      </c>
      <c r="F3" s="9" t="str">
        <f>IFERROR(INDEX('CONTROL MASTER'!$Q$2:$Q$495,MATCH("Control MAX Planck Plate 1: A5",'CONTROL MASTER'!$I$2:$I$495,0)),"")</f>
        <v/>
      </c>
      <c r="G3" s="9" t="str">
        <f>IFERROR(INDEX('CONTROL MASTER'!$Q$2:$Q$495,MATCH("Control MAX Planck Plate 1: A6",'CONTROL MASTER'!$I$2:$I$495,0)),"")</f>
        <v/>
      </c>
      <c r="H3" s="9" t="str">
        <f>IFERROR(INDEX('CONTROL MASTER'!$Q$2:$Q$495,MATCH("Control MAX Planck Plate 1: A7",'CONTROL MASTER'!$I$2:$I$495,0)),"")</f>
        <v/>
      </c>
      <c r="I3" s="9" t="str">
        <f>IFERROR(INDEX('CONTROL MASTER'!$Q$2:$Q$495,MATCH("Control MAX Planck Plate 1: A8",'CONTROL MASTER'!$I$2:$I$495,0)),"")</f>
        <v/>
      </c>
      <c r="J3" s="9" t="str">
        <f>IFERROR(INDEX('CONTROL MASTER'!$Q$2:$Q$495,MATCH("Control MAX Planck Plate 1: A9",'CONTROL MASTER'!$I$2:$I$495,0)),"")</f>
        <v/>
      </c>
      <c r="K3" s="9" t="str">
        <f>IFERROR(INDEX('CONTROL MASTER'!$Q$2:$Q$495,MATCH("Control MAX Planck Plate 1: A10",'CONTROL MASTER'!$I$2:$I$495,0)),"")</f>
        <v/>
      </c>
      <c r="L3" s="9" t="str">
        <f>IFERROR(INDEX('CONTROL MASTER'!$Q$2:$Q$495,MATCH("Control MAX Planck Plate 1: A11",'CONTROL MASTER'!$I$2:$I$495,0)),"")</f>
        <v/>
      </c>
      <c r="M3" s="9" t="str">
        <f>IFERROR(INDEX('CONTROL MASTER'!$Q$2:$Q$495,MATCH("Control MAX Planck Plate 1: A12",'CONTROL MASTER'!$I$2:$I$495,0)),"")</f>
        <v/>
      </c>
    </row>
    <row r="4" spans="1:13" ht="15" customHeight="1" x14ac:dyDescent="0.35">
      <c r="A4" s="8" t="s">
        <v>29</v>
      </c>
      <c r="B4" s="9" t="str">
        <f>IFERROR(INDEX('CONTROL MASTER'!$Q$2:$Q$495,MATCH("Control MAX Planck Plate 1: B1",'CONTROL MASTER'!$I$2:$I$495,0)),"")</f>
        <v/>
      </c>
      <c r="C4" s="9" t="str">
        <f>IFERROR(INDEX('CONTROL MASTER'!$Q$2:$Q$495,MATCH("Control MAX Planck Plate 1: B2",'CONTROL MASTER'!$I$2:$I$495,0)),"")</f>
        <v/>
      </c>
      <c r="D4" s="9" t="str">
        <f>IFERROR(INDEX('CONTROL MASTER'!$Q$2:$Q$495,MATCH("Control MAX Planck Plate 1: B3",'CONTROL MASTER'!$I$2:$I$495,0)),"")</f>
        <v/>
      </c>
      <c r="E4" s="9" t="str">
        <f>IFERROR(INDEX('CONTROL MASTER'!$Q$2:$Q$495,MATCH("Control MAX Planck Plate 1: B4",'CONTROL MASTER'!$I$2:$I$495,0)),"")</f>
        <v/>
      </c>
      <c r="F4" s="9" t="str">
        <f>IFERROR(INDEX('CONTROL MASTER'!$Q$2:$Q$495,MATCH("Control MAX Planck Plate 1: B5",'CONTROL MASTER'!$I$2:$I$495,0)),"")</f>
        <v/>
      </c>
      <c r="G4" s="9" t="str">
        <f>IFERROR(INDEX('CONTROL MASTER'!$Q$2:$Q$495,MATCH("Control MAX Planck Plate 1: B6",'CONTROL MASTER'!$I$2:$I$495,0)),"")</f>
        <v/>
      </c>
      <c r="H4" s="9" t="str">
        <f>IFERROR(INDEX('CONTROL MASTER'!$Q$2:$Q$495,MATCH("Control MAX Planck Plate 1: B7",'CONTROL MASTER'!$I$2:$I$495,0)),"")</f>
        <v/>
      </c>
      <c r="I4" s="9" t="str">
        <f>IFERROR(INDEX('CONTROL MASTER'!$Q$2:$Q$495,MATCH("Control MAX Planck Plate 1: B8",'CONTROL MASTER'!$I$2:$I$495,0)),"")</f>
        <v/>
      </c>
      <c r="J4" s="9" t="str">
        <f>IFERROR(INDEX('CONTROL MASTER'!$Q$2:$Q$495,MATCH("Control MAX Planck Plate 1: B9",'CONTROL MASTER'!$I$2:$I$495,0)),"")</f>
        <v/>
      </c>
      <c r="K4" s="9" t="str">
        <f>IFERROR(INDEX('CONTROL MASTER'!$Q$2:$Q$495,MATCH("Control MAX Planck Plate 1: B10",'CONTROL MASTER'!$I$2:$I$495,0)),"")</f>
        <v/>
      </c>
      <c r="L4" s="9" t="str">
        <f>IFERROR(INDEX('CONTROL MASTER'!$Q$2:$Q$495,MATCH("Control MAX Planck Plate 1: B11",'CONTROL MASTER'!$I$2:$I$495,0)),"")</f>
        <v/>
      </c>
      <c r="M4" s="9" t="str">
        <f>IFERROR(INDEX('CONTROL MASTER'!$Q$2:$Q$495,MATCH("Control MAX Planck Plate 1: B12",'CONTROL MASTER'!$I$2:$I$495,0)),"")</f>
        <v/>
      </c>
    </row>
    <row r="5" spans="1:13" ht="15" customHeight="1" x14ac:dyDescent="0.35">
      <c r="A5" s="8" t="s">
        <v>30</v>
      </c>
      <c r="B5" s="9" t="str">
        <f>IFERROR(INDEX('CONTROL MASTER'!$Q$2:$Q$495,MATCH("Control MAX Planck Plate 1: C1",'CONTROL MASTER'!$I$2:$I$495,0)),"")</f>
        <v/>
      </c>
      <c r="C5" s="9" t="str">
        <f>IFERROR(INDEX('CONTROL MASTER'!$Q$2:$Q$495,MATCH("Control MAX Planck Plate 1: C2",'CONTROL MASTER'!$I$2:$I$495,0)),"")</f>
        <v/>
      </c>
      <c r="D5" s="9" t="str">
        <f>IFERROR(INDEX('CONTROL MASTER'!$Q$2:$Q$495,MATCH("Control MAX Planck Plate 1: C3",'CONTROL MASTER'!$I$2:$I$495,0)),"")</f>
        <v/>
      </c>
      <c r="E5" s="9" t="str">
        <f>IFERROR(INDEX('CONTROL MASTER'!$Q$2:$Q$495,MATCH("Control MAX Planck Plate 1: C4",'CONTROL MASTER'!$I$2:$I$495,0)),"")</f>
        <v/>
      </c>
      <c r="F5" s="9" t="str">
        <f>IFERROR(INDEX('CONTROL MASTER'!$Q$2:$Q$495,MATCH("Control MAX Planck Plate 1: C5",'CONTROL MASTER'!$I$2:$I$495,0)),"")</f>
        <v/>
      </c>
      <c r="G5" s="9" t="str">
        <f>IFERROR(INDEX('CONTROL MASTER'!$Q$2:$Q$495,MATCH("Control MAX Planck Plate 1: C6",'CONTROL MASTER'!$I$2:$I$495,0)),"")</f>
        <v/>
      </c>
      <c r="H5" s="9" t="str">
        <f>IFERROR(INDEX('CONTROL MASTER'!$Q$2:$Q$495,MATCH("Control MAX Planck Plate 1: C7",'CONTROL MASTER'!$I$2:$I$495,0)),"")</f>
        <v/>
      </c>
      <c r="I5" s="9" t="str">
        <f>IFERROR(INDEX('CONTROL MASTER'!$Q$2:$Q$495,MATCH("Control MAX Planck Plate 1: C8",'CONTROL MASTER'!$I$2:$I$495,0)),"")</f>
        <v/>
      </c>
      <c r="J5" s="9" t="str">
        <f>IFERROR(INDEX('CONTROL MASTER'!$Q$2:$Q$495,MATCH("Control MAX Planck Plate 1: C9",'CONTROL MASTER'!$I$2:$I$495,0)),"")</f>
        <v/>
      </c>
      <c r="K5" s="9" t="str">
        <f>IFERROR(INDEX('CONTROL MASTER'!$Q$2:$Q$495,MATCH("Control MAX Planck Plate 1: C10",'CONTROL MASTER'!$I$2:$I$495,0)),"")</f>
        <v/>
      </c>
      <c r="L5" s="9" t="str">
        <f>IFERROR(INDEX('CONTROL MASTER'!$Q$2:$Q$495,MATCH("Control MAX Planck Plate 1: C11",'CONTROL MASTER'!$I$2:$I$495,0)),"")</f>
        <v/>
      </c>
      <c r="M5" s="9" t="str">
        <f>IFERROR(INDEX('CONTROL MASTER'!$Q$2:$Q$495,MATCH("Control MAX Planck Plate 1: C12",'CONTROL MASTER'!$I$2:$I$495,0)),"")</f>
        <v/>
      </c>
    </row>
    <row r="6" spans="1:13" ht="15" customHeight="1" x14ac:dyDescent="0.35">
      <c r="A6" s="8" t="s">
        <v>31</v>
      </c>
      <c r="B6" s="9" t="str">
        <f>IFERROR(INDEX('CONTROL MASTER'!$Q$2:$Q$495,MATCH("Control MAX Planck Plate 1: D1",'CONTROL MASTER'!$I$2:$I$495,0)),"")</f>
        <v/>
      </c>
      <c r="C6" s="9" t="str">
        <f>IFERROR(INDEX('CONTROL MASTER'!$Q$2:$Q$495,MATCH("Control MAX Planck Plate 1: D2",'CONTROL MASTER'!$I$2:$I$495,0)),"")</f>
        <v/>
      </c>
      <c r="D6" s="9" t="str">
        <f>IFERROR(INDEX('CONTROL MASTER'!$Q$2:$Q$495,MATCH("Control MAX Planck Plate 1: D3",'CONTROL MASTER'!$I$2:$I$495,0)),"")</f>
        <v/>
      </c>
      <c r="E6" s="9" t="str">
        <f>IFERROR(INDEX('CONTROL MASTER'!$Q$2:$Q$495,MATCH("Control MAX Planck Plate 1: D4",'CONTROL MASTER'!$I$2:$I$495,0)),"")</f>
        <v/>
      </c>
      <c r="F6" s="9" t="str">
        <f>IFERROR(INDEX('CONTROL MASTER'!$Q$2:$Q$495,MATCH("Control MAX Planck Plate 1: D5",'CONTROL MASTER'!$I$2:$I$495,0)),"")</f>
        <v/>
      </c>
      <c r="G6" s="9" t="str">
        <f>IFERROR(INDEX('CONTROL MASTER'!$Q$2:$Q$495,MATCH("Control MAX Planck Plate 1: D6",'CONTROL MASTER'!$I$2:$I$495,0)),"")</f>
        <v/>
      </c>
      <c r="H6" s="9" t="str">
        <f>IFERROR(INDEX('CONTROL MASTER'!$Q$2:$Q$495,MATCH("Control MAX Planck Plate 1: D7",'CONTROL MASTER'!$I$2:$I$495,0)),"")</f>
        <v/>
      </c>
      <c r="I6" s="9" t="str">
        <f>IFERROR(INDEX('CONTROL MASTER'!$Q$2:$Q$495,MATCH("Control MAX Planck Plate 1: D8",'CONTROL MASTER'!$I$2:$I$495,0)),"")</f>
        <v/>
      </c>
      <c r="J6" s="9" t="str">
        <f>IFERROR(INDEX('CONTROL MASTER'!$Q$2:$Q$495,MATCH("Control MAX Planck Plate 1: D9",'CONTROL MASTER'!$I$2:$I$495,0)),"")</f>
        <v/>
      </c>
      <c r="K6" s="9" t="str">
        <f>IFERROR(INDEX('CONTROL MASTER'!$Q$2:$Q$495,MATCH("Control MAX Planck Plate 1: D10",'CONTROL MASTER'!$I$2:$I$495,0)),"")</f>
        <v/>
      </c>
      <c r="L6" s="9" t="str">
        <f>IFERROR(INDEX('CONTROL MASTER'!$Q$2:$Q$495,MATCH("Control MAX Planck Plate 1: D11",'CONTROL MASTER'!$I$2:$I$495,0)),"")</f>
        <v/>
      </c>
      <c r="M6" s="9" t="str">
        <f>IFERROR(INDEX('CONTROL MASTER'!$Q$2:$Q$495,MATCH("Control MAX Planck Plate 1: D12",'CONTROL MASTER'!$I$2:$I$495,0)),"")</f>
        <v/>
      </c>
    </row>
    <row r="7" spans="1:13" ht="15" customHeight="1" x14ac:dyDescent="0.35">
      <c r="A7" s="8" t="s">
        <v>32</v>
      </c>
      <c r="B7" s="9" t="str">
        <f>IFERROR(INDEX('CONTROL MASTER'!$Q$2:$Q$495,MATCH("Control MAX Planck Plate 1: E1",'CONTROL MASTER'!$I$2:$I$495,0)),"")</f>
        <v/>
      </c>
      <c r="C7" s="9" t="str">
        <f>IFERROR(INDEX('CONTROL MASTER'!$Q$2:$Q$495,MATCH("Control MAX Planck Plate 1: E2",'CONTROL MASTER'!$I$2:$I$495,0)),"")</f>
        <v/>
      </c>
      <c r="D7" s="9" t="str">
        <f>IFERROR(INDEX('CONTROL MASTER'!$Q$2:$Q$495,MATCH("Control MAX Planck Plate 1: E3",'CONTROL MASTER'!$I$2:$I$495,0)),"")</f>
        <v/>
      </c>
      <c r="E7" s="9" t="str">
        <f>IFERROR(INDEX('CONTROL MASTER'!$Q$2:$Q$495,MATCH("Control MAX Planck Plate 1: E4",'CONTROL MASTER'!$I$2:$I$495,0)),"")</f>
        <v/>
      </c>
      <c r="F7" s="9" t="str">
        <f>IFERROR(INDEX('CONTROL MASTER'!$Q$2:$Q$495,MATCH("Control MAX Planck Plate 1: E5",'CONTROL MASTER'!$I$2:$I$495,0)),"")</f>
        <v/>
      </c>
      <c r="G7" s="9" t="str">
        <f>IFERROR(INDEX('CONTROL MASTER'!$Q$2:$Q$495,MATCH("Control MAX Planck Plate 1: E6",'CONTROL MASTER'!$I$2:$I$495,0)),"")</f>
        <v/>
      </c>
      <c r="H7" s="9" t="str">
        <f>IFERROR(INDEX('CONTROL MASTER'!$Q$2:$Q$495,MATCH("Control MAX Planck Plate 1: E7",'CONTROL MASTER'!$I$2:$I$495,0)),"")</f>
        <v/>
      </c>
      <c r="I7" s="9" t="str">
        <f>IFERROR(INDEX('CONTROL MASTER'!$Q$2:$Q$495,MATCH("Control MAX Planck Plate 1: E8",'CONTROL MASTER'!$I$2:$I$495,0)),"")</f>
        <v/>
      </c>
      <c r="J7" s="9" t="str">
        <f>IFERROR(INDEX('CONTROL MASTER'!$Q$2:$Q$495,MATCH("Control MAX Planck Plate 1: E9",'CONTROL MASTER'!$I$2:$I$495,0)),"")</f>
        <v/>
      </c>
      <c r="K7" s="9" t="str">
        <f>IFERROR(INDEX('CONTROL MASTER'!$Q$2:$Q$495,MATCH("Control MAX Planck Plate 1: E10",'CONTROL MASTER'!$I$2:$I$495,0)),"")</f>
        <v/>
      </c>
      <c r="L7" s="9" t="str">
        <f>IFERROR(INDEX('CONTROL MASTER'!$Q$2:$Q$495,MATCH("Control MAX Planck Plate 1: E11",'CONTROL MASTER'!$I$2:$I$495,0)),"")</f>
        <v/>
      </c>
      <c r="M7" s="9" t="str">
        <f>IFERROR(INDEX('CONTROL MASTER'!$Q$2:$Q$495,MATCH("Control MAX Planck Plate 1: E12",'CONTROL MASTER'!$I$2:$I$495,0)),"")</f>
        <v/>
      </c>
    </row>
    <row r="8" spans="1:13" ht="15" customHeight="1" x14ac:dyDescent="0.35">
      <c r="A8" s="8" t="s">
        <v>33</v>
      </c>
      <c r="B8" s="9" t="str">
        <f>IFERROR(INDEX('CONTROL MASTER'!$Q$2:$Q$495,MATCH("Control MAX Planck Plate 1: F1",'CONTROL MASTER'!$I$2:$I$495,0)),"")</f>
        <v/>
      </c>
      <c r="C8" s="9" t="str">
        <f>IFERROR(INDEX('CONTROL MASTER'!$Q$2:$Q$495,MATCH("Control MAX Planck Plate 1: F2",'CONTROL MASTER'!$I$2:$I$495,0)),"")</f>
        <v/>
      </c>
      <c r="D8" s="9" t="str">
        <f>IFERROR(INDEX('CONTROL MASTER'!$Q$2:$Q$495,MATCH("Control MAX Planck Plate 1: F3",'CONTROL MASTER'!$I$2:$I$495,0)),"")</f>
        <v/>
      </c>
      <c r="E8" s="9" t="str">
        <f>IFERROR(INDEX('CONTROL MASTER'!$Q$2:$Q$495,MATCH("Control MAX Planck Plate 1: F4",'CONTROL MASTER'!$I$2:$I$495,0)),"")</f>
        <v/>
      </c>
      <c r="F8" s="9" t="str">
        <f>IFERROR(INDEX('CONTROL MASTER'!$Q$2:$Q$495,MATCH("Control MAX Planck Plate 1: F5",'CONTROL MASTER'!$I$2:$I$495,0)),"")</f>
        <v/>
      </c>
      <c r="G8" s="9" t="str">
        <f>IFERROR(INDEX('CONTROL MASTER'!$Q$2:$Q$495,MATCH("Control MAX Planck Plate 1: F6",'CONTROL MASTER'!$I$2:$I$495,0)),"")</f>
        <v/>
      </c>
      <c r="H8" s="9" t="str">
        <f>IFERROR(INDEX('CONTROL MASTER'!$Q$2:$Q$495,MATCH("Control MAX Planck Plate 1: F7",'CONTROL MASTER'!$I$2:$I$495,0)),"")</f>
        <v/>
      </c>
      <c r="I8" s="9" t="str">
        <f>IFERROR(INDEX('CONTROL MASTER'!$Q$2:$Q$495,MATCH("Control MAX Planck Plate 1: F8",'CONTROL MASTER'!$I$2:$I$495,0)),"")</f>
        <v/>
      </c>
      <c r="J8" s="9" t="str">
        <f>IFERROR(INDEX('CONTROL MASTER'!$Q$2:$Q$495,MATCH("Control MAX Planck Plate 1: F9",'CONTROL MASTER'!$I$2:$I$495,0)),"")</f>
        <v/>
      </c>
      <c r="K8" s="9" t="str">
        <f>IFERROR(INDEX('CONTROL MASTER'!$Q$2:$Q$495,MATCH("Control MAX Planck Plate 1: F10",'CONTROL MASTER'!$I$2:$I$495,0)),"")</f>
        <v/>
      </c>
      <c r="L8" s="9" t="str">
        <f>IFERROR(INDEX('CONTROL MASTER'!$Q$2:$Q$495,MATCH("Control MAX Planck Plate 1: F11",'CONTROL MASTER'!$I$2:$I$495,0)),"")</f>
        <v/>
      </c>
      <c r="M8" s="9" t="str">
        <f>IFERROR(INDEX('CONTROL MASTER'!$Q$2:$Q$495,MATCH("Control MAX Planck Plate 1: F12",'CONTROL MASTER'!$I$2:$I$495,0)),"")</f>
        <v/>
      </c>
    </row>
    <row r="9" spans="1:13" ht="15" customHeight="1" x14ac:dyDescent="0.35">
      <c r="A9" s="8" t="s">
        <v>34</v>
      </c>
      <c r="B9" s="9" t="str">
        <f>IFERROR(INDEX('CONTROL MASTER'!$Q$2:$Q$495,MATCH("Control MAX Planck Plate 1: G1",'CONTROL MASTER'!$I$2:$I$495,0)),"")</f>
        <v/>
      </c>
      <c r="C9" s="9" t="str">
        <f>IFERROR(INDEX('CONTROL MASTER'!$Q$2:$Q$495,MATCH("Control MAX Planck Plate 1: G2",'CONTROL MASTER'!$I$2:$I$495,0)),"")</f>
        <v/>
      </c>
      <c r="D9" s="9" t="str">
        <f>IFERROR(INDEX('CONTROL MASTER'!$Q$2:$Q$495,MATCH("Control MAX Planck Plate 1: G3",'CONTROL MASTER'!$I$2:$I$495,0)),"")</f>
        <v/>
      </c>
      <c r="E9" s="9" t="str">
        <f>IFERROR(INDEX('CONTROL MASTER'!$Q$2:$Q$495,MATCH("Control MAX Planck Plate 1: G4",'CONTROL MASTER'!$I$2:$I$495,0)),"")</f>
        <v/>
      </c>
      <c r="F9" s="9" t="str">
        <f>IFERROR(INDEX('CONTROL MASTER'!$Q$2:$Q$495,MATCH("Control MAX Planck Plate 1: G5",'CONTROL MASTER'!$I$2:$I$495,0)),"")</f>
        <v/>
      </c>
      <c r="G9" s="9" t="str">
        <f>IFERROR(INDEX('CONTROL MASTER'!$Q$2:$Q$495,MATCH("Control MAX Planck Plate 1: G6",'CONTROL MASTER'!$I$2:$I$495,0)),"")</f>
        <v/>
      </c>
      <c r="H9" s="9" t="str">
        <f>IFERROR(INDEX('CONTROL MASTER'!$Q$2:$Q$495,MATCH("Control MAX Planck Plate 1: G7",'CONTROL MASTER'!$I$2:$I$495,0)),"")</f>
        <v/>
      </c>
      <c r="I9" s="9" t="str">
        <f>IFERROR(INDEX('CONTROL MASTER'!$Q$2:$Q$495,MATCH("Control MAX Planck Plate 1: G8",'CONTROL MASTER'!$I$2:$I$495,0)),"")</f>
        <v/>
      </c>
      <c r="J9" s="9" t="str">
        <f>IFERROR(INDEX('CONTROL MASTER'!$Q$2:$Q$495,MATCH("Control MAX Planck Plate 1: G9",'CONTROL MASTER'!$I$2:$I$495,0)),"")</f>
        <v/>
      </c>
      <c r="K9" s="9" t="str">
        <f>IFERROR(INDEX('CONTROL MASTER'!$Q$2:$Q$495,MATCH("Control MAX Planck Plate 1: G10",'CONTROL MASTER'!$I$2:$I$495,0)),"")</f>
        <v/>
      </c>
      <c r="L9" s="9" t="str">
        <f>IFERROR(INDEX('CONTROL MASTER'!$Q$2:$Q$495,MATCH("Control MAX Planck Plate 1: G11",'CONTROL MASTER'!$I$2:$I$495,0)),"")</f>
        <v/>
      </c>
      <c r="M9" s="9" t="str">
        <f>IFERROR(INDEX('CONTROL MASTER'!$Q$2:$Q$495,MATCH("Control MAX Planck Plate 1: G12",'CONTROL MASTER'!$I$2:$I$495,0)),"")</f>
        <v/>
      </c>
    </row>
    <row r="10" spans="1:13" ht="15" customHeight="1" x14ac:dyDescent="0.35">
      <c r="A10" s="8" t="s">
        <v>35</v>
      </c>
      <c r="B10" s="9" t="str">
        <f>IFERROR(INDEX('CONTROL MASTER'!$Q$2:$Q$495,MATCH("Control MAX Planck Plate 1: H1",'CONTROL MASTER'!$I$2:$I$495,0)),"")</f>
        <v/>
      </c>
      <c r="C10" s="9" t="str">
        <f>IFERROR(INDEX('CONTROL MASTER'!$Q$2:$Q$495,MATCH("Control MAX Planck Plate 1: H2",'CONTROL MASTER'!$I$2:$I$495,0)),"")</f>
        <v/>
      </c>
      <c r="D10" s="9" t="str">
        <f>IFERROR(INDEX('CONTROL MASTER'!$Q$2:$Q$495,MATCH("Control MAX Planck Plate 1: H3",'CONTROL MASTER'!$I$2:$I$495,0)),"")</f>
        <v/>
      </c>
      <c r="E10" s="9" t="str">
        <f>IFERROR(INDEX('CONTROL MASTER'!$Q$2:$Q$495,MATCH("Control MAX Planck Plate 1: H4",'CONTROL MASTER'!$I$2:$I$495,0)),"")</f>
        <v/>
      </c>
      <c r="F10" s="9" t="str">
        <f>IFERROR(INDEX('CONTROL MASTER'!$Q$2:$Q$495,MATCH("Control MAX Planck Plate 1: H5",'CONTROL MASTER'!$I$2:$I$495,0)),"")</f>
        <v/>
      </c>
      <c r="G10" s="9" t="str">
        <f>IFERROR(INDEX('CONTROL MASTER'!$Q$2:$Q$495,MATCH("Control MAX Planck Plate 1: H6",'CONTROL MASTER'!$I$2:$I$495,0)),"")</f>
        <v/>
      </c>
      <c r="H10" s="9" t="str">
        <f>IFERROR(INDEX('CONTROL MASTER'!$Q$2:$Q$495,MATCH("Control MAX Planck Plate 1: H7",'CONTROL MASTER'!$I$2:$I$495,0)),"")</f>
        <v/>
      </c>
      <c r="I10" s="9" t="str">
        <f>IFERROR(INDEX('CONTROL MASTER'!$Q$2:$Q$495,MATCH("Control MAX Planck Plate 1: H8",'CONTROL MASTER'!$I$2:$I$495,0)),"")</f>
        <v/>
      </c>
      <c r="J10" s="9" t="str">
        <f>IFERROR(INDEX('CONTROL MASTER'!$Q$2:$Q$495,MATCH("Control MAX Planck Plate 1: H9",'CONTROL MASTER'!$I$2:$I$495,0)),"")</f>
        <v/>
      </c>
      <c r="K10" s="9" t="str">
        <f>IFERROR(INDEX('CONTROL MASTER'!$Q$2:$Q$495,MATCH("Control MAX Planck Plate 1: H10",'CONTROL MASTER'!$I$2:$I$495,0)),"")</f>
        <v/>
      </c>
      <c r="L10" s="9" t="str">
        <f>IFERROR(INDEX('CONTROL MASTER'!$Q$2:$Q$495,MATCH("Control MAX Planck Plate 1: H11",'CONTROL MASTER'!$I$2:$I$495,0)),"")</f>
        <v/>
      </c>
      <c r="M10" s="9" t="str">
        <f>IFERROR(INDEX('CONTROL MASTER'!$Q$2:$Q$495,MATCH("Control MAX Planck Plate 1: H12",'CONTROL MASTER'!$I$2:$I$495,0)),"")</f>
        <v/>
      </c>
    </row>
    <row r="13" spans="1:13" ht="15" customHeight="1" x14ac:dyDescent="0.35">
      <c r="A13" s="12" t="s">
        <v>143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</row>
    <row r="14" spans="1:13" ht="15" customHeight="1" x14ac:dyDescent="0.35">
      <c r="B14" s="8">
        <v>1</v>
      </c>
      <c r="C14" s="8">
        <v>2</v>
      </c>
      <c r="D14" s="8">
        <v>3</v>
      </c>
      <c r="E14" s="8">
        <v>4</v>
      </c>
      <c r="F14" s="8">
        <v>5</v>
      </c>
      <c r="G14" s="8">
        <v>6</v>
      </c>
      <c r="H14" s="8">
        <v>7</v>
      </c>
      <c r="I14" s="8">
        <v>8</v>
      </c>
      <c r="J14" s="8">
        <v>9</v>
      </c>
      <c r="K14" s="8">
        <v>10</v>
      </c>
      <c r="L14" s="8">
        <v>11</v>
      </c>
      <c r="M14" s="8">
        <v>12</v>
      </c>
    </row>
    <row r="15" spans="1:13" ht="15" customHeight="1" x14ac:dyDescent="0.35">
      <c r="A15" s="8" t="s">
        <v>28</v>
      </c>
      <c r="B15" s="9" t="str">
        <f>IFERROR(INDEX('CONTROL MASTER'!$Q$2:$Q$495,MATCH("Control MAX Planck Plate 2: A1",'CONTROL MASTER'!$I$2:$I$495,0)),"")</f>
        <v/>
      </c>
      <c r="C15" s="9" t="str">
        <f>IFERROR(INDEX('CONTROL MASTER'!$Q$2:$Q$495,MATCH("Control MAX Planck Plate 2: A2",'CONTROL MASTER'!$I$2:$I$495,0)),"")</f>
        <v/>
      </c>
      <c r="D15" s="9" t="str">
        <f>IFERROR(INDEX('CONTROL MASTER'!$Q$2:$Q$495,MATCH("Control MAX Planck Plate 2: A3",'CONTROL MASTER'!$I$2:$I$495,0)),"")</f>
        <v/>
      </c>
      <c r="E15" s="9" t="str">
        <f>IFERROR(INDEX('CONTROL MASTER'!$Q$2:$Q$495,MATCH("Control MAX Planck Plate 2: A4",'CONTROL MASTER'!$I$2:$I$495,0)),"")</f>
        <v/>
      </c>
      <c r="F15" s="9" t="str">
        <f>IFERROR(INDEX('CONTROL MASTER'!$Q$2:$Q$495,MATCH("Control MAX Planck Plate 2: A5",'CONTROL MASTER'!$I$2:$I$495,0)),"")</f>
        <v/>
      </c>
      <c r="G15" s="9" t="str">
        <f>IFERROR(INDEX('CONTROL MASTER'!$Q$2:$Q$495,MATCH("Control MAX Planck Plate 2: A6",'CONTROL MASTER'!$I$2:$I$495,0)),"")</f>
        <v/>
      </c>
      <c r="H15" s="9" t="str">
        <f>IFERROR(INDEX('CONTROL MASTER'!$Q$2:$Q$495,MATCH("Control MAX Planck Plate 2: A7",'CONTROL MASTER'!$I$2:$I$495,0)),"")</f>
        <v/>
      </c>
      <c r="I15" s="9" t="str">
        <f>IFERROR(INDEX('CONTROL MASTER'!$Q$2:$Q$495,MATCH("Control MAX Planck Plate 2: A8",'CONTROL MASTER'!$I$2:$I$495,0)),"")</f>
        <v/>
      </c>
      <c r="J15" s="9" t="str">
        <f>IFERROR(INDEX('CONTROL MASTER'!$Q$2:$Q$495,MATCH("Control MAX Planck Plate 2: A9",'CONTROL MASTER'!$I$2:$I$495,0)),"")</f>
        <v/>
      </c>
      <c r="K15" s="9" t="str">
        <f>IFERROR(INDEX('CONTROL MASTER'!$Q$2:$Q$495,MATCH("Control MAX Planck Plate 2: A10",'CONTROL MASTER'!$I$2:$I$495,0)),"")</f>
        <v/>
      </c>
      <c r="L15" s="9" t="str">
        <f>IFERROR(INDEX('CONTROL MASTER'!$Q$2:$Q$495,MATCH("Control MAX Planck Plate 2: A11",'CONTROL MASTER'!$I$2:$I$495,0)),"")</f>
        <v/>
      </c>
      <c r="M15" s="9" t="str">
        <f>IFERROR(INDEX('CONTROL MASTER'!$Q$2:$Q$495,MATCH("Control MAX Planck Plate 2: A12",'CONTROL MASTER'!$I$2:$I$495,0)),"")</f>
        <v/>
      </c>
    </row>
    <row r="16" spans="1:13" ht="15" customHeight="1" x14ac:dyDescent="0.35">
      <c r="A16" s="8" t="s">
        <v>29</v>
      </c>
      <c r="B16" s="9" t="str">
        <f>IFERROR(INDEX('CONTROL MASTER'!$Q$2:$Q$495,MATCH("Control MAX Planck Plate 2: B1",'CONTROL MASTER'!$I$2:$I$495,0)),"")</f>
        <v/>
      </c>
      <c r="C16" s="9" t="str">
        <f>IFERROR(INDEX('CONTROL MASTER'!$Q$2:$Q$495,MATCH("Control MAX Planck Plate 2: B2",'CONTROL MASTER'!$I$2:$I$495,0)),"")</f>
        <v/>
      </c>
      <c r="D16" s="9" t="str">
        <f>IFERROR(INDEX('CONTROL MASTER'!$Q$2:$Q$495,MATCH("Control MAX Planck Plate 2: B3",'CONTROL MASTER'!$I$2:$I$495,0)),"")</f>
        <v/>
      </c>
      <c r="E16" s="9" t="str">
        <f>IFERROR(INDEX('CONTROL MASTER'!$Q$2:$Q$495,MATCH("Control MAX Planck Plate 2: B4",'CONTROL MASTER'!$I$2:$I$495,0)),"")</f>
        <v/>
      </c>
      <c r="F16" s="9" t="str">
        <f>IFERROR(INDEX('CONTROL MASTER'!$Q$2:$Q$495,MATCH("Control MAX Planck Plate 2: B5",'CONTROL MASTER'!$I$2:$I$495,0)),"")</f>
        <v/>
      </c>
      <c r="G16" s="9" t="str">
        <f>IFERROR(INDEX('CONTROL MASTER'!$Q$2:$Q$495,MATCH("Control MAX Planck Plate 2: B6",'CONTROL MASTER'!$I$2:$I$495,0)),"")</f>
        <v/>
      </c>
      <c r="H16" s="9" t="str">
        <f>IFERROR(INDEX('CONTROL MASTER'!$Q$2:$Q$495,MATCH("Control MAX Planck Plate 2: B7",'CONTROL MASTER'!$I$2:$I$495,0)),"")</f>
        <v/>
      </c>
      <c r="I16" s="9" t="str">
        <f>IFERROR(INDEX('CONTROL MASTER'!$Q$2:$Q$495,MATCH("Control MAX Planck Plate 2: B8",'CONTROL MASTER'!$I$2:$I$495,0)),"")</f>
        <v/>
      </c>
      <c r="J16" s="9" t="str">
        <f>IFERROR(INDEX('CONTROL MASTER'!$Q$2:$Q$495,MATCH("Control MAX Planck Plate 2: B9",'CONTROL MASTER'!$I$2:$I$495,0)),"")</f>
        <v/>
      </c>
      <c r="K16" s="9" t="str">
        <f>IFERROR(INDEX('CONTROL MASTER'!$Q$2:$Q$495,MATCH("Control MAX Planck Plate 2: B10",'CONTROL MASTER'!$I$2:$I$495,0)),"")</f>
        <v/>
      </c>
      <c r="L16" s="9" t="str">
        <f>IFERROR(INDEX('CONTROL MASTER'!$Q$2:$Q$495,MATCH("Control MAX Planck Plate 2: B11",'CONTROL MASTER'!$I$2:$I$495,0)),"")</f>
        <v/>
      </c>
      <c r="M16" s="9" t="str">
        <f>IFERROR(INDEX('CONTROL MASTER'!$Q$2:$Q$495,MATCH("Control MAX Planck Plate 2: B12",'CONTROL MASTER'!$I$2:$I$495,0)),"")</f>
        <v/>
      </c>
    </row>
    <row r="17" spans="1:13" ht="15" customHeight="1" x14ac:dyDescent="0.35">
      <c r="A17" s="8" t="s">
        <v>30</v>
      </c>
      <c r="B17" s="9" t="str">
        <f>IFERROR(INDEX('CONTROL MASTER'!$Q$2:$Q$495,MATCH("Control MAX Planck Plate 2: C1",'CONTROL MASTER'!$I$2:$I$495,0)),"")</f>
        <v/>
      </c>
      <c r="C17" s="9" t="str">
        <f>IFERROR(INDEX('CONTROL MASTER'!$Q$2:$Q$495,MATCH("Control MAX Planck Plate 2: C2",'CONTROL MASTER'!$I$2:$I$495,0)),"")</f>
        <v/>
      </c>
      <c r="D17" s="9" t="str">
        <f>IFERROR(INDEX('CONTROL MASTER'!$Q$2:$Q$495,MATCH("Control MAX Planck Plate 2: C3",'CONTROL MASTER'!$I$2:$I$495,0)),"")</f>
        <v/>
      </c>
      <c r="E17" s="9" t="str">
        <f>IFERROR(INDEX('CONTROL MASTER'!$Q$2:$Q$495,MATCH("Control MAX Planck Plate 2: C4",'CONTROL MASTER'!$I$2:$I$495,0)),"")</f>
        <v/>
      </c>
      <c r="F17" s="9" t="str">
        <f>IFERROR(INDEX('CONTROL MASTER'!$Q$2:$Q$495,MATCH("Control MAX Planck Plate 2: C5",'CONTROL MASTER'!$I$2:$I$495,0)),"")</f>
        <v/>
      </c>
      <c r="G17" s="9" t="str">
        <f>IFERROR(INDEX('CONTROL MASTER'!$Q$2:$Q$495,MATCH("Control MAX Planck Plate 2: C6",'CONTROL MASTER'!$I$2:$I$495,0)),"")</f>
        <v/>
      </c>
      <c r="H17" s="9" t="str">
        <f>IFERROR(INDEX('CONTROL MASTER'!$Q$2:$Q$495,MATCH("Control MAX Planck Plate 2: C7",'CONTROL MASTER'!$I$2:$I$495,0)),"")</f>
        <v/>
      </c>
      <c r="I17" s="9" t="str">
        <f>IFERROR(INDEX('CONTROL MASTER'!$Q$2:$Q$495,MATCH("Control MAX Planck Plate 2: C8",'CONTROL MASTER'!$I$2:$I$495,0)),"")</f>
        <v/>
      </c>
      <c r="J17" s="9" t="str">
        <f>IFERROR(INDEX('CONTROL MASTER'!$Q$2:$Q$495,MATCH("Control MAX Planck Plate 2: C9",'CONTROL MASTER'!$I$2:$I$495,0)),"")</f>
        <v/>
      </c>
      <c r="K17" s="9" t="str">
        <f>IFERROR(INDEX('CONTROL MASTER'!$Q$2:$Q$495,MATCH("Control MAX Planck Plate 2: C10",'CONTROL MASTER'!$I$2:$I$495,0)),"")</f>
        <v/>
      </c>
      <c r="L17" s="9" t="str">
        <f>IFERROR(INDEX('CONTROL MASTER'!$Q$2:$Q$495,MATCH("Control MAX Planck Plate 2: C11",'CONTROL MASTER'!$I$2:$I$495,0)),"")</f>
        <v/>
      </c>
      <c r="M17" s="9" t="str">
        <f>IFERROR(INDEX('CONTROL MASTER'!$Q$2:$Q$495,MATCH("Control MAX Planck Plate 2: C12",'CONTROL MASTER'!$I$2:$I$495,0)),"")</f>
        <v/>
      </c>
    </row>
    <row r="18" spans="1:13" ht="15" customHeight="1" x14ac:dyDescent="0.35">
      <c r="A18" s="8" t="s">
        <v>31</v>
      </c>
      <c r="B18" s="9" t="str">
        <f>IFERROR(INDEX('CONTROL MASTER'!$Q$2:$Q$495,MATCH("Control MAX Planck Plate 2: D1",'CONTROL MASTER'!$I$2:$I$495,0)),"")</f>
        <v/>
      </c>
      <c r="C18" s="9" t="str">
        <f>IFERROR(INDEX('CONTROL MASTER'!$Q$2:$Q$495,MATCH("Control MAX Planck Plate 2: D2",'CONTROL MASTER'!$I$2:$I$495,0)),"")</f>
        <v/>
      </c>
      <c r="D18" s="9" t="str">
        <f>IFERROR(INDEX('CONTROL MASTER'!$Q$2:$Q$495,MATCH("Control MAX Planck Plate 2: D3",'CONTROL MASTER'!$I$2:$I$495,0)),"")</f>
        <v/>
      </c>
      <c r="E18" s="9" t="str">
        <f>IFERROR(INDEX('CONTROL MASTER'!$Q$2:$Q$495,MATCH("Control MAX Planck Plate 2: D4",'CONTROL MASTER'!$I$2:$I$495,0)),"")</f>
        <v/>
      </c>
      <c r="F18" s="9" t="str">
        <f>IFERROR(INDEX('CONTROL MASTER'!$Q$2:$Q$495,MATCH("Control MAX Planck Plate 2: D5",'CONTROL MASTER'!$I$2:$I$495,0)),"")</f>
        <v/>
      </c>
      <c r="G18" s="9" t="str">
        <f>IFERROR(INDEX('CONTROL MASTER'!$Q$2:$Q$495,MATCH("Control MAX Planck Plate 2: D6",'CONTROL MASTER'!$I$2:$I$495,0)),"")</f>
        <v/>
      </c>
      <c r="H18" s="9" t="str">
        <f>IFERROR(INDEX('CONTROL MASTER'!$Q$2:$Q$495,MATCH("Control MAX Planck Plate 2: D7",'CONTROL MASTER'!$I$2:$I$495,0)),"")</f>
        <v/>
      </c>
      <c r="I18" s="9" t="str">
        <f>IFERROR(INDEX('CONTROL MASTER'!$Q$2:$Q$495,MATCH("Control MAX Planck Plate 2: D8",'CONTROL MASTER'!$I$2:$I$495,0)),"")</f>
        <v/>
      </c>
      <c r="J18" s="9" t="str">
        <f>IFERROR(INDEX('CONTROL MASTER'!$Q$2:$Q$495,MATCH("Control MAX Planck Plate 2: D9",'CONTROL MASTER'!$I$2:$I$495,0)),"")</f>
        <v/>
      </c>
      <c r="K18" s="9" t="str">
        <f>IFERROR(INDEX('CONTROL MASTER'!$Q$2:$Q$495,MATCH("Control MAX Planck Plate 2: D10",'CONTROL MASTER'!$I$2:$I$495,0)),"")</f>
        <v/>
      </c>
      <c r="L18" s="9" t="str">
        <f>IFERROR(INDEX('CONTROL MASTER'!$Q$2:$Q$495,MATCH("Control MAX Planck Plate 2: D11",'CONTROL MASTER'!$I$2:$I$495,0)),"")</f>
        <v/>
      </c>
      <c r="M18" s="9" t="str">
        <f>IFERROR(INDEX('CONTROL MASTER'!$Q$2:$Q$495,MATCH("Control MAX Planck Plate 2: D12",'CONTROL MASTER'!$I$2:$I$495,0)),"")</f>
        <v/>
      </c>
    </row>
    <row r="19" spans="1:13" ht="15" customHeight="1" x14ac:dyDescent="0.35">
      <c r="A19" s="8" t="s">
        <v>32</v>
      </c>
      <c r="B19" s="9" t="str">
        <f>IFERROR(INDEX('CONTROL MASTER'!$Q$2:$Q$495,MATCH("Control MAX Planck Plate 2: E1",'CONTROL MASTER'!$I$2:$I$495,0)),"")</f>
        <v/>
      </c>
      <c r="C19" s="9" t="str">
        <f>IFERROR(INDEX('CONTROL MASTER'!$Q$2:$Q$495,MATCH("Control MAX Planck Plate 2: E2",'CONTROL MASTER'!$I$2:$I$495,0)),"")</f>
        <v/>
      </c>
      <c r="D19" s="9" t="str">
        <f>IFERROR(INDEX('CONTROL MASTER'!$Q$2:$Q$495,MATCH("Control MAX Planck Plate 2: E3",'CONTROL MASTER'!$I$2:$I$495,0)),"")</f>
        <v/>
      </c>
      <c r="E19" s="9" t="str">
        <f>IFERROR(INDEX('CONTROL MASTER'!$Q$2:$Q$495,MATCH("Control MAX Planck Plate 2: E4",'CONTROL MASTER'!$I$2:$I$495,0)),"")</f>
        <v/>
      </c>
      <c r="F19" s="9" t="str">
        <f>IFERROR(INDEX('CONTROL MASTER'!$Q$2:$Q$495,MATCH("Control MAX Planck Plate 2: E5",'CONTROL MASTER'!$I$2:$I$495,0)),"")</f>
        <v/>
      </c>
      <c r="G19" s="9" t="str">
        <f>IFERROR(INDEX('CONTROL MASTER'!$Q$2:$Q$495,MATCH("Control MAX Planck Plate 2: E6",'CONTROL MASTER'!$I$2:$I$495,0)),"")</f>
        <v/>
      </c>
      <c r="H19" s="9" t="str">
        <f>IFERROR(INDEX('CONTROL MASTER'!$Q$2:$Q$495,MATCH("Control MAX Planck Plate 2: E7",'CONTROL MASTER'!$I$2:$I$495,0)),"")</f>
        <v/>
      </c>
      <c r="I19" s="9" t="str">
        <f>IFERROR(INDEX('CONTROL MASTER'!$Q$2:$Q$495,MATCH("Control MAX Planck Plate 2: E8",'CONTROL MASTER'!$I$2:$I$495,0)),"")</f>
        <v/>
      </c>
      <c r="J19" s="9" t="str">
        <f>IFERROR(INDEX('CONTROL MASTER'!$Q$2:$Q$495,MATCH("Control MAX Planck Plate 2: E9",'CONTROL MASTER'!$I$2:$I$495,0)),"")</f>
        <v/>
      </c>
      <c r="K19" s="9" t="str">
        <f>IFERROR(INDEX('CONTROL MASTER'!$Q$2:$Q$495,MATCH("Control MAX Planck Plate 2: E10",'CONTROL MASTER'!$I$2:$I$495,0)),"")</f>
        <v/>
      </c>
      <c r="L19" s="9" t="str">
        <f>IFERROR(INDEX('CONTROL MASTER'!$Q$2:$Q$495,MATCH("Control MAX Planck Plate 2: E11",'CONTROL MASTER'!$I$2:$I$495,0)),"")</f>
        <v/>
      </c>
      <c r="M19" s="9" t="str">
        <f>IFERROR(INDEX('CONTROL MASTER'!$Q$2:$Q$495,MATCH("Control MAX Planck Plate 2: E12",'CONTROL MASTER'!$I$2:$I$495,0)),"")</f>
        <v/>
      </c>
    </row>
    <row r="20" spans="1:13" ht="15" customHeight="1" x14ac:dyDescent="0.35">
      <c r="A20" s="8" t="s">
        <v>33</v>
      </c>
      <c r="B20" s="9" t="str">
        <f>IFERROR(INDEX('CONTROL MASTER'!$Q$2:$Q$495,MATCH("Control MAX Planck Plate 2: F1",'CONTROL MASTER'!$I$2:$I$495,0)),"")</f>
        <v/>
      </c>
      <c r="C20" s="9" t="str">
        <f>IFERROR(INDEX('CONTROL MASTER'!$Q$2:$Q$495,MATCH("Control MAX Planck Plate 2: F2",'CONTROL MASTER'!$I$2:$I$495,0)),"")</f>
        <v/>
      </c>
      <c r="D20" s="9" t="str">
        <f>IFERROR(INDEX('CONTROL MASTER'!$Q$2:$Q$495,MATCH("Control MAX Planck Plate 2: F3",'CONTROL MASTER'!$I$2:$I$495,0)),"")</f>
        <v/>
      </c>
      <c r="E20" s="9" t="str">
        <f>IFERROR(INDEX('CONTROL MASTER'!$Q$2:$Q$495,MATCH("Control MAX Planck Plate 2: F4",'CONTROL MASTER'!$I$2:$I$495,0)),"")</f>
        <v/>
      </c>
      <c r="F20" s="9" t="str">
        <f>IFERROR(INDEX('CONTROL MASTER'!$Q$2:$Q$495,MATCH("Control MAX Planck Plate 2: F5",'CONTROL MASTER'!$I$2:$I$495,0)),"")</f>
        <v/>
      </c>
      <c r="G20" s="9" t="str">
        <f>IFERROR(INDEX('CONTROL MASTER'!$Q$2:$Q$495,MATCH("Control MAX Planck Plate 2: F6",'CONTROL MASTER'!$I$2:$I$495,0)),"")</f>
        <v/>
      </c>
      <c r="H20" s="9" t="str">
        <f>IFERROR(INDEX('CONTROL MASTER'!$Q$2:$Q$495,MATCH("Control MAX Planck Plate 2: F7",'CONTROL MASTER'!$I$2:$I$495,0)),"")</f>
        <v/>
      </c>
      <c r="I20" s="9" t="str">
        <f>IFERROR(INDEX('CONTROL MASTER'!$Q$2:$Q$495,MATCH("Control MAX Planck Plate 2: F8",'CONTROL MASTER'!$I$2:$I$495,0)),"")</f>
        <v/>
      </c>
      <c r="J20" s="9" t="str">
        <f>IFERROR(INDEX('CONTROL MASTER'!$Q$2:$Q$495,MATCH("Control MAX Planck Plate 2: F9",'CONTROL MASTER'!$I$2:$I$495,0)),"")</f>
        <v/>
      </c>
      <c r="K20" s="9" t="str">
        <f>IFERROR(INDEX('CONTROL MASTER'!$Q$2:$Q$495,MATCH("Control MAX Planck Plate 2: F10",'CONTROL MASTER'!$I$2:$I$495,0)),"")</f>
        <v/>
      </c>
      <c r="L20" s="9" t="str">
        <f>IFERROR(INDEX('CONTROL MASTER'!$Q$2:$Q$495,MATCH("Control MAX Planck Plate 2: F11",'CONTROL MASTER'!$I$2:$I$495,0)),"")</f>
        <v/>
      </c>
      <c r="M20" s="9" t="str">
        <f>IFERROR(INDEX('CONTROL MASTER'!$Q$2:$Q$495,MATCH("Control MAX Planck Plate 2: F12",'CONTROL MASTER'!$I$2:$I$495,0)),"")</f>
        <v/>
      </c>
    </row>
    <row r="21" spans="1:13" ht="15" customHeight="1" x14ac:dyDescent="0.35">
      <c r="A21" s="8" t="s">
        <v>34</v>
      </c>
      <c r="B21" s="9" t="str">
        <f>IFERROR(INDEX('CONTROL MASTER'!$Q$2:$Q$495,MATCH("Control MAX Planck Plate 2: G1",'CONTROL MASTER'!$I$2:$I$495,0)),"")</f>
        <v/>
      </c>
      <c r="C21" s="9" t="str">
        <f>IFERROR(INDEX('CONTROL MASTER'!$Q$2:$Q$495,MATCH("Control MAX Planck Plate 2: G2",'CONTROL MASTER'!$I$2:$I$495,0)),"")</f>
        <v/>
      </c>
      <c r="D21" s="9" t="str">
        <f>IFERROR(INDEX('CONTROL MASTER'!$Q$2:$Q$495,MATCH("Control MAX Planck Plate 2: G3",'CONTROL MASTER'!$I$2:$I$495,0)),"")</f>
        <v/>
      </c>
      <c r="E21" s="9" t="str">
        <f>IFERROR(INDEX('CONTROL MASTER'!$Q$2:$Q$495,MATCH("Control MAX Planck Plate 2: G4",'CONTROL MASTER'!$I$2:$I$495,0)),"")</f>
        <v/>
      </c>
      <c r="F21" s="9" t="str">
        <f>IFERROR(INDEX('CONTROL MASTER'!$Q$2:$Q$495,MATCH("Control MAX Planck Plate 2: G5",'CONTROL MASTER'!$I$2:$I$495,0)),"")</f>
        <v/>
      </c>
      <c r="G21" s="9" t="str">
        <f>IFERROR(INDEX('CONTROL MASTER'!$Q$2:$Q$495,MATCH("Control MAX Planck Plate 2: G6",'CONTROL MASTER'!$I$2:$I$495,0)),"")</f>
        <v/>
      </c>
      <c r="H21" s="9" t="str">
        <f>IFERROR(INDEX('CONTROL MASTER'!$Q$2:$Q$495,MATCH("Control MAX Planck Plate 2: G7",'CONTROL MASTER'!$I$2:$I$495,0)),"")</f>
        <v/>
      </c>
      <c r="I21" s="9" t="str">
        <f>IFERROR(INDEX('CONTROL MASTER'!$Q$2:$Q$495,MATCH("Control MAX Planck Plate 2: G8",'CONTROL MASTER'!$I$2:$I$495,0)),"")</f>
        <v/>
      </c>
      <c r="J21" s="9" t="str">
        <f>IFERROR(INDEX('CONTROL MASTER'!$Q$2:$Q$495,MATCH("Control MAX Planck Plate 2: G9",'CONTROL MASTER'!$I$2:$I$495,0)),"")</f>
        <v/>
      </c>
      <c r="K21" s="9" t="str">
        <f>IFERROR(INDEX('CONTROL MASTER'!$Q$2:$Q$495,MATCH("Control MAX Planck Plate 2: G10",'CONTROL MASTER'!$I$2:$I$495,0)),"")</f>
        <v/>
      </c>
      <c r="L21" s="9" t="str">
        <f>IFERROR(INDEX('CONTROL MASTER'!$Q$2:$Q$495,MATCH("Control MAX Planck Plate 2: G11",'CONTROL MASTER'!$I$2:$I$495,0)),"")</f>
        <v/>
      </c>
      <c r="M21" s="9" t="str">
        <f>IFERROR(INDEX('CONTROL MASTER'!$Q$2:$Q$495,MATCH("Control MAX Planck Plate 2: G12",'CONTROL MASTER'!$I$2:$I$495,0)),"")</f>
        <v/>
      </c>
    </row>
    <row r="22" spans="1:13" ht="15" customHeight="1" x14ac:dyDescent="0.35">
      <c r="A22" s="8" t="s">
        <v>35</v>
      </c>
      <c r="B22" s="9" t="str">
        <f>IFERROR(INDEX('CONTROL MASTER'!$Q$2:$Q$495,MATCH("Control MAX Planck Plate 2: H1",'CONTROL MASTER'!$I$2:$I$495,0)),"")</f>
        <v/>
      </c>
      <c r="C22" s="9" t="str">
        <f>IFERROR(INDEX('CONTROL MASTER'!$Q$2:$Q$495,MATCH("Control MAX Planck Plate 2: H2",'CONTROL MASTER'!$I$2:$I$495,0)),"")</f>
        <v/>
      </c>
      <c r="D22" s="9" t="str">
        <f>IFERROR(INDEX('CONTROL MASTER'!$Q$2:$Q$495,MATCH("Control MAX Planck Plate 2: H3",'CONTROL MASTER'!$I$2:$I$495,0)),"")</f>
        <v/>
      </c>
      <c r="E22" s="9" t="str">
        <f>IFERROR(INDEX('CONTROL MASTER'!$Q$2:$Q$495,MATCH("Control MAX Planck Plate 2: H4",'CONTROL MASTER'!$I$2:$I$495,0)),"")</f>
        <v/>
      </c>
      <c r="F22" s="9" t="str">
        <f>IFERROR(INDEX('CONTROL MASTER'!$Q$2:$Q$495,MATCH("Control MAX Planck Plate 2: H5",'CONTROL MASTER'!$I$2:$I$495,0)),"")</f>
        <v/>
      </c>
      <c r="G22" s="9" t="str">
        <f>IFERROR(INDEX('CONTROL MASTER'!$Q$2:$Q$495,MATCH("Control MAX Planck Plate 2: H6",'CONTROL MASTER'!$I$2:$I$495,0)),"")</f>
        <v/>
      </c>
      <c r="H22" s="9" t="str">
        <f>IFERROR(INDEX('CONTROL MASTER'!$Q$2:$Q$495,MATCH("Control MAX Planck Plate 2: H7",'CONTROL MASTER'!$I$2:$I$495,0)),"")</f>
        <v/>
      </c>
      <c r="I22" s="9" t="str">
        <f>IFERROR(INDEX('CONTROL MASTER'!$Q$2:$Q$495,MATCH("Control MAX Planck Plate 2: H8",'CONTROL MASTER'!$I$2:$I$495,0)),"")</f>
        <v/>
      </c>
      <c r="J22" s="9" t="str">
        <f>IFERROR(INDEX('CONTROL MASTER'!$Q$2:$Q$495,MATCH("Control MAX Planck Plate 2: H9",'CONTROL MASTER'!$I$2:$I$495,0)),"")</f>
        <v/>
      </c>
      <c r="K22" s="9" t="str">
        <f>IFERROR(INDEX('CONTROL MASTER'!$Q$2:$Q$495,MATCH("Control MAX Planck Plate 2: H10",'CONTROL MASTER'!$I$2:$I$495,0)),"")</f>
        <v/>
      </c>
      <c r="L22" s="9" t="str">
        <f>IFERROR(INDEX('CONTROL MASTER'!$Q$2:$Q$495,MATCH("Control MAX Planck Plate 2: H11",'CONTROL MASTER'!$I$2:$I$495,0)),"")</f>
        <v/>
      </c>
      <c r="M22" s="9" t="str">
        <f>IFERROR(INDEX('CONTROL MASTER'!$Q$2:$Q$495,MATCH("Control MAX Planck Plate 2: H12",'CONTROL MASTER'!$I$2:$I$495,0)),"")</f>
        <v/>
      </c>
    </row>
    <row r="25" spans="1:13" ht="15" customHeight="1" x14ac:dyDescent="0.35">
      <c r="A25" s="12" t="s">
        <v>144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</row>
    <row r="26" spans="1:13" ht="15" customHeight="1" x14ac:dyDescent="0.35">
      <c r="B26" s="8">
        <v>1</v>
      </c>
      <c r="C26" s="8">
        <v>2</v>
      </c>
      <c r="D26" s="8">
        <v>3</v>
      </c>
      <c r="E26" s="8">
        <v>4</v>
      </c>
      <c r="F26" s="8">
        <v>5</v>
      </c>
      <c r="G26" s="8">
        <v>6</v>
      </c>
      <c r="H26" s="8">
        <v>7</v>
      </c>
      <c r="I26" s="8">
        <v>8</v>
      </c>
      <c r="J26" s="8">
        <v>9</v>
      </c>
      <c r="K26" s="8">
        <v>10</v>
      </c>
      <c r="L26" s="8">
        <v>11</v>
      </c>
      <c r="M26" s="8">
        <v>12</v>
      </c>
    </row>
    <row r="27" spans="1:13" ht="15" customHeight="1" x14ac:dyDescent="0.35">
      <c r="A27" s="8" t="s">
        <v>28</v>
      </c>
      <c r="B27" s="9" t="str">
        <f>IFERROR(INDEX('CONTROL MASTER'!$Q$2:$Q$495,MATCH("Control MAX Planck Plate 3: A1",'CONTROL MASTER'!$I$2:$I$495,0)),"")</f>
        <v/>
      </c>
      <c r="C27" s="9" t="str">
        <f>IFERROR(INDEX('CONTROL MASTER'!$Q$2:$Q$495,MATCH("Control MAX Planck Plate 3: A2",'CONTROL MASTER'!$I$2:$I$495,0)),"")</f>
        <v/>
      </c>
      <c r="D27" s="9" t="str">
        <f>IFERROR(INDEX('CONTROL MASTER'!$Q$2:$Q$495,MATCH("Control MAX Planck Plate 3: A3",'CONTROL MASTER'!$I$2:$I$495,0)),"")</f>
        <v/>
      </c>
      <c r="E27" s="9" t="str">
        <f>IFERROR(INDEX('CONTROL MASTER'!$Q$2:$Q$495,MATCH("Control MAX Planck Plate 3: A4",'CONTROL MASTER'!$I$2:$I$495,0)),"")</f>
        <v/>
      </c>
      <c r="F27" s="9" t="str">
        <f>IFERROR(INDEX('CONTROL MASTER'!$Q$2:$Q$495,MATCH("Control MAX Planck Plate 3: A5",'CONTROL MASTER'!$I$2:$I$495,0)),"")</f>
        <v/>
      </c>
      <c r="G27" s="9" t="str">
        <f>IFERROR(INDEX('CONTROL MASTER'!$Q$2:$Q$495,MATCH("Control MAX Planck Plate 3: A6",'CONTROL MASTER'!$I$2:$I$495,0)),"")</f>
        <v/>
      </c>
      <c r="H27" s="9" t="str">
        <f>IFERROR(INDEX('CONTROL MASTER'!$Q$2:$Q$495,MATCH("Control MAX Planck Plate 3: A7",'CONTROL MASTER'!$I$2:$I$495,0)),"")</f>
        <v/>
      </c>
      <c r="I27" s="9" t="str">
        <f>IFERROR(INDEX('CONTROL MASTER'!$Q$2:$Q$495,MATCH("Control MAX Planck Plate 3: A8",'CONTROL MASTER'!$I$2:$I$495,0)),"")</f>
        <v/>
      </c>
      <c r="J27" s="9" t="str">
        <f>IFERROR(INDEX('CONTROL MASTER'!$Q$2:$Q$495,MATCH("Control MAX Planck Plate 3: A9",'CONTROL MASTER'!$I$2:$I$495,0)),"")</f>
        <v/>
      </c>
      <c r="K27" s="9" t="str">
        <f>IFERROR(INDEX('CONTROL MASTER'!$Q$2:$Q$495,MATCH("Control MAX Planck Plate 3: A10",'CONTROL MASTER'!$I$2:$I$495,0)),"")</f>
        <v/>
      </c>
      <c r="L27" s="9" t="str">
        <f>IFERROR(INDEX('CONTROL MASTER'!$Q$2:$Q$495,MATCH("Control MAX Planck Plate 3: A11",'CONTROL MASTER'!$I$2:$I$495,0)),"")</f>
        <v/>
      </c>
      <c r="M27" s="9" t="str">
        <f>IFERROR(INDEX('CONTROL MASTER'!$Q$2:$Q$495,MATCH("Control MAX Planck Plate 3: A12",'CONTROL MASTER'!$I$2:$I$495,0)),"")</f>
        <v/>
      </c>
    </row>
    <row r="28" spans="1:13" ht="15" customHeight="1" x14ac:dyDescent="0.35">
      <c r="A28" s="8" t="s">
        <v>29</v>
      </c>
      <c r="B28" s="9" t="str">
        <f>IFERROR(INDEX('CONTROL MASTER'!$Q$2:$Q$495,MATCH("Control MAX Planck Plate 3: B1",'CONTROL MASTER'!$I$2:$I$495,0)),"")</f>
        <v/>
      </c>
      <c r="C28" s="9" t="str">
        <f>IFERROR(INDEX('CONTROL MASTER'!$Q$2:$Q$495,MATCH("Control MAX Planck Plate 3: B2",'CONTROL MASTER'!$I$2:$I$495,0)),"")</f>
        <v/>
      </c>
      <c r="D28" s="9" t="str">
        <f>IFERROR(INDEX('CONTROL MASTER'!$Q$2:$Q$495,MATCH("Control MAX Planck Plate 3: B3",'CONTROL MASTER'!$I$2:$I$495,0)),"")</f>
        <v/>
      </c>
      <c r="E28" s="9" t="str">
        <f>IFERROR(INDEX('CONTROL MASTER'!$Q$2:$Q$495,MATCH("Control MAX Planck Plate 3: B4",'CONTROL MASTER'!$I$2:$I$495,0)),"")</f>
        <v/>
      </c>
      <c r="F28" s="9" t="str">
        <f>IFERROR(INDEX('CONTROL MASTER'!$Q$2:$Q$495,MATCH("Control MAX Planck Plate 3: B5",'CONTROL MASTER'!$I$2:$I$495,0)),"")</f>
        <v/>
      </c>
      <c r="G28" s="9" t="str">
        <f>IFERROR(INDEX('CONTROL MASTER'!$Q$2:$Q$495,MATCH("Control MAX Planck Plate 3: B6",'CONTROL MASTER'!$I$2:$I$495,0)),"")</f>
        <v/>
      </c>
      <c r="H28" s="9" t="str">
        <f>IFERROR(INDEX('CONTROL MASTER'!$Q$2:$Q$495,MATCH("Control MAX Planck Plate 3: B7",'CONTROL MASTER'!$I$2:$I$495,0)),"")</f>
        <v/>
      </c>
      <c r="I28" s="9" t="str">
        <f>IFERROR(INDEX('CONTROL MASTER'!$Q$2:$Q$495,MATCH("Control MAX Planck Plate 3: B8",'CONTROL MASTER'!$I$2:$I$495,0)),"")</f>
        <v/>
      </c>
      <c r="J28" s="9" t="str">
        <f>IFERROR(INDEX('CONTROL MASTER'!$Q$2:$Q$495,MATCH("Control MAX Planck Plate 3: B9",'CONTROL MASTER'!$I$2:$I$495,0)),"")</f>
        <v/>
      </c>
      <c r="K28" s="9" t="str">
        <f>IFERROR(INDEX('CONTROL MASTER'!$Q$2:$Q$495,MATCH("Control MAX Planck Plate 3: B10",'CONTROL MASTER'!$I$2:$I$495,0)),"")</f>
        <v/>
      </c>
      <c r="L28" s="9" t="str">
        <f>IFERROR(INDEX('CONTROL MASTER'!$Q$2:$Q$495,MATCH("Control MAX Planck Plate 3: B11",'CONTROL MASTER'!$I$2:$I$495,0)),"")</f>
        <v/>
      </c>
      <c r="M28" s="9" t="str">
        <f>IFERROR(INDEX('CONTROL MASTER'!$Q$2:$Q$495,MATCH("Control MAX Planck Plate 3: B12",'CONTROL MASTER'!$I$2:$I$495,0)),"")</f>
        <v/>
      </c>
    </row>
    <row r="29" spans="1:13" ht="15" customHeight="1" x14ac:dyDescent="0.35">
      <c r="A29" s="8" t="s">
        <v>30</v>
      </c>
      <c r="B29" s="9" t="str">
        <f>IFERROR(INDEX('CONTROL MASTER'!$Q$2:$Q$495,MATCH("Control MAX Planck Plate 3: C1",'CONTROL MASTER'!$I$2:$I$495,0)),"")</f>
        <v/>
      </c>
      <c r="C29" s="9" t="str">
        <f>IFERROR(INDEX('CONTROL MASTER'!$Q$2:$Q$495,MATCH("Control MAX Planck Plate 3: C2",'CONTROL MASTER'!$I$2:$I$495,0)),"")</f>
        <v/>
      </c>
      <c r="D29" s="9" t="str">
        <f>IFERROR(INDEX('CONTROL MASTER'!$Q$2:$Q$495,MATCH("Control MAX Planck Plate 3: C3",'CONTROL MASTER'!$I$2:$I$495,0)),"")</f>
        <v/>
      </c>
      <c r="E29" s="9" t="str">
        <f>IFERROR(INDEX('CONTROL MASTER'!$Q$2:$Q$495,MATCH("Control MAX Planck Plate 3: C4",'CONTROL MASTER'!$I$2:$I$495,0)),"")</f>
        <v/>
      </c>
      <c r="F29" s="9" t="str">
        <f>IFERROR(INDEX('CONTROL MASTER'!$Q$2:$Q$495,MATCH("Control MAX Planck Plate 3: C5",'CONTROL MASTER'!$I$2:$I$495,0)),"")</f>
        <v/>
      </c>
      <c r="G29" s="9" t="str">
        <f>IFERROR(INDEX('CONTROL MASTER'!$Q$2:$Q$495,MATCH("Control MAX Planck Plate 3: C6",'CONTROL MASTER'!$I$2:$I$495,0)),"")</f>
        <v/>
      </c>
      <c r="H29" s="9" t="str">
        <f>IFERROR(INDEX('CONTROL MASTER'!$Q$2:$Q$495,MATCH("Control MAX Planck Plate 3: C7",'CONTROL MASTER'!$I$2:$I$495,0)),"")</f>
        <v/>
      </c>
      <c r="I29" s="9" t="str">
        <f>IFERROR(INDEX('CONTROL MASTER'!$Q$2:$Q$495,MATCH("Control MAX Planck Plate 3: C8",'CONTROL MASTER'!$I$2:$I$495,0)),"")</f>
        <v/>
      </c>
      <c r="J29" s="9" t="str">
        <f>IFERROR(INDEX('CONTROL MASTER'!$Q$2:$Q$495,MATCH("Control MAX Planck Plate 3: C9",'CONTROL MASTER'!$I$2:$I$495,0)),"")</f>
        <v/>
      </c>
      <c r="K29" s="9" t="str">
        <f>IFERROR(INDEX('CONTROL MASTER'!$Q$2:$Q$495,MATCH("Control MAX Planck Plate 3: C10",'CONTROL MASTER'!$I$2:$I$495,0)),"")</f>
        <v/>
      </c>
      <c r="L29" s="9" t="str">
        <f>IFERROR(INDEX('CONTROL MASTER'!$Q$2:$Q$495,MATCH("Control MAX Planck Plate 3: C11",'CONTROL MASTER'!$I$2:$I$495,0)),"")</f>
        <v/>
      </c>
      <c r="M29" s="9" t="str">
        <f>IFERROR(INDEX('CONTROL MASTER'!$Q$2:$Q$495,MATCH("Control MAX Planck Plate 3: C12",'CONTROL MASTER'!$I$2:$I$495,0)),"")</f>
        <v/>
      </c>
    </row>
    <row r="30" spans="1:13" ht="15" customHeight="1" x14ac:dyDescent="0.35">
      <c r="A30" s="8" t="s">
        <v>31</v>
      </c>
      <c r="B30" s="9" t="str">
        <f>IFERROR(INDEX('CONTROL MASTER'!$Q$2:$Q$495,MATCH("Control MAX Planck Plate 3: D1",'CONTROL MASTER'!$I$2:$I$495,0)),"")</f>
        <v/>
      </c>
      <c r="C30" s="9" t="str">
        <f>IFERROR(INDEX('CONTROL MASTER'!$Q$2:$Q$495,MATCH("Control MAX Planck Plate 3: D2",'CONTROL MASTER'!$I$2:$I$495,0)),"")</f>
        <v/>
      </c>
      <c r="D30" s="9" t="str">
        <f>IFERROR(INDEX('CONTROL MASTER'!$Q$2:$Q$495,MATCH("Control MAX Planck Plate 3: D3",'CONTROL MASTER'!$I$2:$I$495,0)),"")</f>
        <v/>
      </c>
      <c r="E30" s="9" t="str">
        <f>IFERROR(INDEX('CONTROL MASTER'!$Q$2:$Q$495,MATCH("Control MAX Planck Plate 3: D4",'CONTROL MASTER'!$I$2:$I$495,0)),"")</f>
        <v/>
      </c>
      <c r="F30" s="9" t="str">
        <f>IFERROR(INDEX('CONTROL MASTER'!$Q$2:$Q$495,MATCH("Control MAX Planck Plate 3: D5",'CONTROL MASTER'!$I$2:$I$495,0)),"")</f>
        <v/>
      </c>
      <c r="G30" s="9" t="str">
        <f>IFERROR(INDEX('CONTROL MASTER'!$Q$2:$Q$495,MATCH("Control MAX Planck Plate 3: D6",'CONTROL MASTER'!$I$2:$I$495,0)),"")</f>
        <v/>
      </c>
      <c r="H30" s="9" t="str">
        <f>IFERROR(INDEX('CONTROL MASTER'!$Q$2:$Q$495,MATCH("Control MAX Planck Plate 3: D7",'CONTROL MASTER'!$I$2:$I$495,0)),"")</f>
        <v/>
      </c>
      <c r="I30" s="9" t="str">
        <f>IFERROR(INDEX('CONTROL MASTER'!$Q$2:$Q$495,MATCH("Control MAX Planck Plate 3: D8",'CONTROL MASTER'!$I$2:$I$495,0)),"")</f>
        <v/>
      </c>
      <c r="J30" s="9" t="str">
        <f>IFERROR(INDEX('CONTROL MASTER'!$Q$2:$Q$495,MATCH("Control MAX Planck Plate 3: D9",'CONTROL MASTER'!$I$2:$I$495,0)),"")</f>
        <v/>
      </c>
      <c r="K30" s="9" t="str">
        <f>IFERROR(INDEX('CONTROL MASTER'!$Q$2:$Q$495,MATCH("Control MAX Planck Plate 3: D10",'CONTROL MASTER'!$I$2:$I$495,0)),"")</f>
        <v/>
      </c>
      <c r="L30" s="9" t="str">
        <f>IFERROR(INDEX('CONTROL MASTER'!$Q$2:$Q$495,MATCH("Control MAX Planck Plate 3: D11",'CONTROL MASTER'!$I$2:$I$495,0)),"")</f>
        <v/>
      </c>
      <c r="M30" s="9" t="str">
        <f>IFERROR(INDEX('CONTROL MASTER'!$Q$2:$Q$495,MATCH("Control MAX Planck Plate 3: D12",'CONTROL MASTER'!$I$2:$I$495,0)),"")</f>
        <v/>
      </c>
    </row>
    <row r="31" spans="1:13" ht="15" customHeight="1" x14ac:dyDescent="0.35">
      <c r="A31" s="8" t="s">
        <v>32</v>
      </c>
      <c r="B31" s="9" t="str">
        <f>IFERROR(INDEX('CONTROL MASTER'!$Q$2:$Q$495,MATCH("Control MAX Planck Plate 3: E1",'CONTROL MASTER'!$I$2:$I$495,0)),"")</f>
        <v/>
      </c>
      <c r="C31" s="9" t="str">
        <f>IFERROR(INDEX('CONTROL MASTER'!$Q$2:$Q$495,MATCH("Control MAX Planck Plate 3: E2",'CONTROL MASTER'!$I$2:$I$495,0)),"")</f>
        <v/>
      </c>
      <c r="D31" s="9" t="str">
        <f>IFERROR(INDEX('CONTROL MASTER'!$Q$2:$Q$495,MATCH("Control MAX Planck Plate 3: E3",'CONTROL MASTER'!$I$2:$I$495,0)),"")</f>
        <v/>
      </c>
      <c r="E31" s="9" t="str">
        <f>IFERROR(INDEX('CONTROL MASTER'!$Q$2:$Q$495,MATCH("Control MAX Planck Plate 3: E4",'CONTROL MASTER'!$I$2:$I$495,0)),"")</f>
        <v/>
      </c>
      <c r="F31" s="9" t="str">
        <f>IFERROR(INDEX('CONTROL MASTER'!$Q$2:$Q$495,MATCH("Control MAX Planck Plate 3: E5",'CONTROL MASTER'!$I$2:$I$495,0)),"")</f>
        <v/>
      </c>
      <c r="G31" s="9" t="str">
        <f>IFERROR(INDEX('CONTROL MASTER'!$Q$2:$Q$495,MATCH("Control MAX Planck Plate 3: E6",'CONTROL MASTER'!$I$2:$I$495,0)),"")</f>
        <v/>
      </c>
      <c r="H31" s="9" t="str">
        <f>IFERROR(INDEX('CONTROL MASTER'!$Q$2:$Q$495,MATCH("Control MAX Planck Plate 3: E7",'CONTROL MASTER'!$I$2:$I$495,0)),"")</f>
        <v/>
      </c>
      <c r="I31" s="9" t="str">
        <f>IFERROR(INDEX('CONTROL MASTER'!$Q$2:$Q$495,MATCH("Control MAX Planck Plate 3: E8",'CONTROL MASTER'!$I$2:$I$495,0)),"")</f>
        <v/>
      </c>
      <c r="J31" s="9" t="str">
        <f>IFERROR(INDEX('CONTROL MASTER'!$Q$2:$Q$495,MATCH("Control MAX Planck Plate 3: E9",'CONTROL MASTER'!$I$2:$I$495,0)),"")</f>
        <v/>
      </c>
      <c r="K31" s="9" t="str">
        <f>IFERROR(INDEX('CONTROL MASTER'!$Q$2:$Q$495,MATCH("Control MAX Planck Plate 3: E10",'CONTROL MASTER'!$I$2:$I$495,0)),"")</f>
        <v/>
      </c>
      <c r="L31" s="9" t="str">
        <f>IFERROR(INDEX('CONTROL MASTER'!$Q$2:$Q$495,MATCH("Control MAX Planck Plate 3: E11",'CONTROL MASTER'!$I$2:$I$495,0)),"")</f>
        <v/>
      </c>
      <c r="M31" s="9" t="str">
        <f>IFERROR(INDEX('CONTROL MASTER'!$Q$2:$Q$495,MATCH("Control MAX Planck Plate 3: E12",'CONTROL MASTER'!$I$2:$I$495,0)),"")</f>
        <v/>
      </c>
    </row>
    <row r="32" spans="1:13" ht="15" customHeight="1" x14ac:dyDescent="0.35">
      <c r="A32" s="8" t="s">
        <v>33</v>
      </c>
      <c r="B32" s="9" t="str">
        <f>IFERROR(INDEX('CONTROL MASTER'!$Q$2:$Q$495,MATCH("Control MAX Planck Plate 3: F1",'CONTROL MASTER'!$I$2:$I$495,0)),"")</f>
        <v/>
      </c>
      <c r="C32" s="9" t="str">
        <f>IFERROR(INDEX('CONTROL MASTER'!$Q$2:$Q$495,MATCH("Control MAX Planck Plate 3: F2",'CONTROL MASTER'!$I$2:$I$495,0)),"")</f>
        <v/>
      </c>
      <c r="D32" s="9" t="str">
        <f>IFERROR(INDEX('CONTROL MASTER'!$Q$2:$Q$495,MATCH("Control MAX Planck Plate 3: F3",'CONTROL MASTER'!$I$2:$I$495,0)),"")</f>
        <v/>
      </c>
      <c r="E32" s="9" t="str">
        <f>IFERROR(INDEX('CONTROL MASTER'!$Q$2:$Q$495,MATCH("Control MAX Planck Plate 3: F4",'CONTROL MASTER'!$I$2:$I$495,0)),"")</f>
        <v/>
      </c>
      <c r="F32" s="9" t="str">
        <f>IFERROR(INDEX('CONTROL MASTER'!$Q$2:$Q$495,MATCH("Control MAX Planck Plate 3: F5",'CONTROL MASTER'!$I$2:$I$495,0)),"")</f>
        <v/>
      </c>
      <c r="G32" s="9" t="str">
        <f>IFERROR(INDEX('CONTROL MASTER'!$Q$2:$Q$495,MATCH("Control MAX Planck Plate 3: F6",'CONTROL MASTER'!$I$2:$I$495,0)),"")</f>
        <v/>
      </c>
      <c r="H32" s="9" t="str">
        <f>IFERROR(INDEX('CONTROL MASTER'!$Q$2:$Q$495,MATCH("Control MAX Planck Plate 3: F7",'CONTROL MASTER'!$I$2:$I$495,0)),"")</f>
        <v/>
      </c>
      <c r="I32" s="9" t="str">
        <f>IFERROR(INDEX('CONTROL MASTER'!$Q$2:$Q$495,MATCH("Control MAX Planck Plate 3: F8",'CONTROL MASTER'!$I$2:$I$495,0)),"")</f>
        <v/>
      </c>
      <c r="J32" s="9" t="str">
        <f>IFERROR(INDEX('CONTROL MASTER'!$Q$2:$Q$495,MATCH("Control MAX Planck Plate 3: F9",'CONTROL MASTER'!$I$2:$I$495,0)),"")</f>
        <v/>
      </c>
      <c r="K32" s="9" t="str">
        <f>IFERROR(INDEX('CONTROL MASTER'!$Q$2:$Q$495,MATCH("Control MAX Planck Plate 3: F10",'CONTROL MASTER'!$I$2:$I$495,0)),"")</f>
        <v/>
      </c>
      <c r="L32" s="9" t="str">
        <f>IFERROR(INDEX('CONTROL MASTER'!$Q$2:$Q$495,MATCH("Control MAX Planck Plate 3: F11",'CONTROL MASTER'!$I$2:$I$495,0)),"")</f>
        <v/>
      </c>
      <c r="M32" s="9" t="str">
        <f>IFERROR(INDEX('CONTROL MASTER'!$Q$2:$Q$495,MATCH("Control MAX Planck Plate 3: F12",'CONTROL MASTER'!$I$2:$I$495,0)),"")</f>
        <v/>
      </c>
    </row>
    <row r="33" spans="1:13" ht="15" customHeight="1" x14ac:dyDescent="0.35">
      <c r="A33" s="8" t="s">
        <v>34</v>
      </c>
      <c r="B33" s="9" t="str">
        <f>IFERROR(INDEX('CONTROL MASTER'!$Q$2:$Q$495,MATCH("Control MAX Planck Plate 3: G1",'CONTROL MASTER'!$I$2:$I$495,0)),"")</f>
        <v/>
      </c>
      <c r="C33" s="9" t="str">
        <f>IFERROR(INDEX('CONTROL MASTER'!$Q$2:$Q$495,MATCH("Control MAX Planck Plate 3: G2",'CONTROL MASTER'!$I$2:$I$495,0)),"")</f>
        <v/>
      </c>
      <c r="D33" s="9" t="str">
        <f>IFERROR(INDEX('CONTROL MASTER'!$Q$2:$Q$495,MATCH("Control MAX Planck Plate 3: G3",'CONTROL MASTER'!$I$2:$I$495,0)),"")</f>
        <v/>
      </c>
      <c r="E33" s="9" t="str">
        <f>IFERROR(INDEX('CONTROL MASTER'!$Q$2:$Q$495,MATCH("Control MAX Planck Plate 3: G4",'CONTROL MASTER'!$I$2:$I$495,0)),"")</f>
        <v/>
      </c>
      <c r="F33" s="9" t="str">
        <f>IFERROR(INDEX('CONTROL MASTER'!$Q$2:$Q$495,MATCH("Control MAX Planck Plate 3: G5",'CONTROL MASTER'!$I$2:$I$495,0)),"")</f>
        <v/>
      </c>
      <c r="G33" s="9" t="str">
        <f>IFERROR(INDEX('CONTROL MASTER'!$Q$2:$Q$495,MATCH("Control MAX Planck Plate 3: G6",'CONTROL MASTER'!$I$2:$I$495,0)),"")</f>
        <v/>
      </c>
      <c r="H33" s="9" t="str">
        <f>IFERROR(INDEX('CONTROL MASTER'!$Q$2:$Q$495,MATCH("Control MAX Planck Plate 3: G7",'CONTROL MASTER'!$I$2:$I$495,0)),"")</f>
        <v/>
      </c>
      <c r="I33" s="9" t="str">
        <f>IFERROR(INDEX('CONTROL MASTER'!$Q$2:$Q$495,MATCH("Control MAX Planck Plate 3: G8",'CONTROL MASTER'!$I$2:$I$495,0)),"")</f>
        <v/>
      </c>
      <c r="J33" s="9" t="str">
        <f>IFERROR(INDEX('CONTROL MASTER'!$Q$2:$Q$495,MATCH("Control MAX Planck Plate 3: G9",'CONTROL MASTER'!$I$2:$I$495,0)),"")</f>
        <v/>
      </c>
      <c r="K33" s="9" t="str">
        <f>IFERROR(INDEX('CONTROL MASTER'!$Q$2:$Q$495,MATCH("Control MAX Planck Plate 3: G10",'CONTROL MASTER'!$I$2:$I$495,0)),"")</f>
        <v/>
      </c>
      <c r="L33" s="9" t="str">
        <f>IFERROR(INDEX('CONTROL MASTER'!$Q$2:$Q$495,MATCH("Control MAX Planck Plate 3: G11",'CONTROL MASTER'!$I$2:$I$495,0)),"")</f>
        <v/>
      </c>
      <c r="M33" s="9" t="str">
        <f>IFERROR(INDEX('CONTROL MASTER'!$Q$2:$Q$495,MATCH("Control MAX Planck Plate 3: G12",'CONTROL MASTER'!$I$2:$I$495,0)),"")</f>
        <v/>
      </c>
    </row>
    <row r="34" spans="1:13" ht="15" customHeight="1" x14ac:dyDescent="0.35">
      <c r="A34" s="8" t="s">
        <v>35</v>
      </c>
      <c r="B34" s="9" t="str">
        <f>IFERROR(INDEX('CONTROL MASTER'!$Q$2:$Q$495,MATCH("Control MAX Planck Plate 3: H1",'CONTROL MASTER'!$I$2:$I$495,0)),"")</f>
        <v/>
      </c>
      <c r="C34" s="9" t="str">
        <f>IFERROR(INDEX('CONTROL MASTER'!$Q$2:$Q$495,MATCH("Control MAX Planck Plate 3: H2",'CONTROL MASTER'!$I$2:$I$495,0)),"")</f>
        <v/>
      </c>
      <c r="D34" s="9" t="str">
        <f>IFERROR(INDEX('CONTROL MASTER'!$Q$2:$Q$495,MATCH("Control MAX Planck Plate 3: H3",'CONTROL MASTER'!$I$2:$I$495,0)),"")</f>
        <v/>
      </c>
      <c r="E34" s="9" t="str">
        <f>IFERROR(INDEX('CONTROL MASTER'!$Q$2:$Q$495,MATCH("Control MAX Planck Plate 3: H4",'CONTROL MASTER'!$I$2:$I$495,0)),"")</f>
        <v/>
      </c>
      <c r="F34" s="9" t="str">
        <f>IFERROR(INDEX('CONTROL MASTER'!$Q$2:$Q$495,MATCH("Control MAX Planck Plate 3: H5",'CONTROL MASTER'!$I$2:$I$495,0)),"")</f>
        <v/>
      </c>
      <c r="G34" s="9" t="str">
        <f>IFERROR(INDEX('CONTROL MASTER'!$Q$2:$Q$495,MATCH("Control MAX Planck Plate 3: H6",'CONTROL MASTER'!$I$2:$I$495,0)),"")</f>
        <v/>
      </c>
      <c r="H34" s="9" t="str">
        <f>IFERROR(INDEX('CONTROL MASTER'!$Q$2:$Q$495,MATCH("Control MAX Planck Plate 3: H7",'CONTROL MASTER'!$I$2:$I$495,0)),"")</f>
        <v/>
      </c>
      <c r="I34" s="9" t="str">
        <f>IFERROR(INDEX('CONTROL MASTER'!$Q$2:$Q$495,MATCH("Control MAX Planck Plate 3: H8",'CONTROL MASTER'!$I$2:$I$495,0)),"")</f>
        <v/>
      </c>
      <c r="J34" s="9" t="str">
        <f>IFERROR(INDEX('CONTROL MASTER'!$Q$2:$Q$495,MATCH("Control MAX Planck Plate 3: H9",'CONTROL MASTER'!$I$2:$I$495,0)),"")</f>
        <v/>
      </c>
      <c r="K34" s="9" t="str">
        <f>IFERROR(INDEX('CONTROL MASTER'!$Q$2:$Q$495,MATCH("Control MAX Planck Plate 3: H10",'CONTROL MASTER'!$I$2:$I$495,0)),"")</f>
        <v/>
      </c>
      <c r="L34" s="9" t="str">
        <f>IFERROR(INDEX('CONTROL MASTER'!$Q$2:$Q$495,MATCH("Control MAX Planck Plate 3: H11",'CONTROL MASTER'!$I$2:$I$495,0)),"")</f>
        <v/>
      </c>
      <c r="M34" s="9" t="str">
        <f>IFERROR(INDEX('CONTROL MASTER'!$Q$2:$Q$495,MATCH("Control MAX Planck Plate 3: H12",'CONTROL MASTER'!$I$2:$I$495,0)),"")</f>
        <v/>
      </c>
    </row>
    <row r="37" spans="1:13" ht="15" customHeight="1" x14ac:dyDescent="0.35">
      <c r="A37" s="12" t="s">
        <v>145</v>
      </c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</row>
    <row r="38" spans="1:13" ht="15" customHeight="1" x14ac:dyDescent="0.35">
      <c r="B38" s="8">
        <v>1</v>
      </c>
      <c r="C38" s="8">
        <v>2</v>
      </c>
      <c r="D38" s="8">
        <v>3</v>
      </c>
      <c r="E38" s="8">
        <v>4</v>
      </c>
      <c r="F38" s="8">
        <v>5</v>
      </c>
      <c r="G38" s="8">
        <v>6</v>
      </c>
      <c r="H38" s="8">
        <v>7</v>
      </c>
      <c r="I38" s="8">
        <v>8</v>
      </c>
      <c r="J38" s="8">
        <v>9</v>
      </c>
      <c r="K38" s="8">
        <v>10</v>
      </c>
      <c r="L38" s="8">
        <v>11</v>
      </c>
      <c r="M38" s="8">
        <v>12</v>
      </c>
    </row>
    <row r="39" spans="1:13" ht="15" customHeight="1" x14ac:dyDescent="0.35">
      <c r="A39" s="8" t="s">
        <v>28</v>
      </c>
      <c r="B39" s="9" t="str">
        <f>IFERROR(INDEX('CONTROL MASTER'!$Q$2:$Q$495,MATCH("Control MAX Planck Plate 4: A1",'CONTROL MASTER'!$I$2:$I$495,0)),"")</f>
        <v/>
      </c>
      <c r="C39" s="9" t="str">
        <f>IFERROR(INDEX('CONTROL MASTER'!$Q$2:$Q$495,MATCH("Control MAX Planck Plate 4: A2",'CONTROL MASTER'!$I$2:$I$495,0)),"")</f>
        <v/>
      </c>
      <c r="D39" s="9" t="str">
        <f>IFERROR(INDEX('CONTROL MASTER'!$Q$2:$Q$495,MATCH("Control MAX Planck Plate 4: A3",'CONTROL MASTER'!$I$2:$I$495,0)),"")</f>
        <v/>
      </c>
      <c r="E39" s="9" t="str">
        <f>IFERROR(INDEX('CONTROL MASTER'!$Q$2:$Q$495,MATCH("Control MAX Planck Plate 4: A4",'CONTROL MASTER'!$I$2:$I$495,0)),"")</f>
        <v/>
      </c>
      <c r="F39" s="9" t="str">
        <f>IFERROR(INDEX('CONTROL MASTER'!$Q$2:$Q$495,MATCH("Control MAX Planck Plate 4: A5",'CONTROL MASTER'!$I$2:$I$495,0)),"")</f>
        <v/>
      </c>
      <c r="G39" s="9" t="str">
        <f>IFERROR(INDEX('CONTROL MASTER'!$Q$2:$Q$495,MATCH("Control MAX Planck Plate 4: A6",'CONTROL MASTER'!$I$2:$I$495,0)),"")</f>
        <v/>
      </c>
      <c r="H39" s="9" t="str">
        <f>IFERROR(INDEX('CONTROL MASTER'!$Q$2:$Q$495,MATCH("Control MAX Planck Plate 4: A7",'CONTROL MASTER'!$I$2:$I$495,0)),"")</f>
        <v/>
      </c>
      <c r="I39" s="9" t="str">
        <f>IFERROR(INDEX('CONTROL MASTER'!$Q$2:$Q$495,MATCH("Control MAX Planck Plate 4: A8",'CONTROL MASTER'!$I$2:$I$495,0)),"")</f>
        <v/>
      </c>
      <c r="J39" s="9" t="str">
        <f>IFERROR(INDEX('CONTROL MASTER'!$Q$2:$Q$495,MATCH("Control MAX Planck Plate 4: A9",'CONTROL MASTER'!$I$2:$I$495,0)),"")</f>
        <v/>
      </c>
      <c r="K39" s="9" t="str">
        <f>IFERROR(INDEX('CONTROL MASTER'!$Q$2:$Q$495,MATCH("Control MAX Planck Plate 4: A10",'CONTROL MASTER'!$I$2:$I$495,0)),"")</f>
        <v/>
      </c>
      <c r="L39" s="9" t="str">
        <f>IFERROR(INDEX('CONTROL MASTER'!$Q$2:$Q$495,MATCH("Control MAX Planck Plate 4: A11",'CONTROL MASTER'!$I$2:$I$495,0)),"")</f>
        <v/>
      </c>
      <c r="M39" s="9" t="str">
        <f>IFERROR(INDEX('CONTROL MASTER'!$Q$2:$Q$495,MATCH("Control MAX Planck Plate 4: A12",'CONTROL MASTER'!$I$2:$I$495,0)),"")</f>
        <v/>
      </c>
    </row>
    <row r="40" spans="1:13" ht="15" customHeight="1" x14ac:dyDescent="0.35">
      <c r="A40" s="8" t="s">
        <v>29</v>
      </c>
      <c r="B40" s="9" t="str">
        <f>IFERROR(INDEX('CONTROL MASTER'!$Q$2:$Q$495,MATCH("Control MAX Planck Plate 4: B1",'CONTROL MASTER'!$I$2:$I$495,0)),"")</f>
        <v/>
      </c>
      <c r="C40" s="9" t="str">
        <f>IFERROR(INDEX('CONTROL MASTER'!$Q$2:$Q$495,MATCH("Control MAX Planck Plate 4: B2",'CONTROL MASTER'!$I$2:$I$495,0)),"")</f>
        <v/>
      </c>
      <c r="D40" s="9" t="str">
        <f>IFERROR(INDEX('CONTROL MASTER'!$Q$2:$Q$495,MATCH("Control MAX Planck Plate 4: B3",'CONTROL MASTER'!$I$2:$I$495,0)),"")</f>
        <v/>
      </c>
      <c r="E40" s="9" t="str">
        <f>IFERROR(INDEX('CONTROL MASTER'!$Q$2:$Q$495,MATCH("Control MAX Planck Plate 4: B4",'CONTROL MASTER'!$I$2:$I$495,0)),"")</f>
        <v/>
      </c>
      <c r="F40" s="9" t="str">
        <f>IFERROR(INDEX('CONTROL MASTER'!$Q$2:$Q$495,MATCH("Control MAX Planck Plate 4: B5",'CONTROL MASTER'!$I$2:$I$495,0)),"")</f>
        <v/>
      </c>
      <c r="G40" s="9" t="str">
        <f>IFERROR(INDEX('CONTROL MASTER'!$Q$2:$Q$495,MATCH("Control MAX Planck Plate 4: B6",'CONTROL MASTER'!$I$2:$I$495,0)),"")</f>
        <v/>
      </c>
      <c r="H40" s="9" t="str">
        <f>IFERROR(INDEX('CONTROL MASTER'!$Q$2:$Q$495,MATCH("Control MAX Planck Plate 4: B7",'CONTROL MASTER'!$I$2:$I$495,0)),"")</f>
        <v/>
      </c>
      <c r="I40" s="9" t="str">
        <f>IFERROR(INDEX('CONTROL MASTER'!$Q$2:$Q$495,MATCH("Control MAX Planck Plate 4: B8",'CONTROL MASTER'!$I$2:$I$495,0)),"")</f>
        <v/>
      </c>
      <c r="J40" s="9" t="str">
        <f>IFERROR(INDEX('CONTROL MASTER'!$Q$2:$Q$495,MATCH("Control MAX Planck Plate 4: B9",'CONTROL MASTER'!$I$2:$I$495,0)),"")</f>
        <v/>
      </c>
      <c r="K40" s="9" t="str">
        <f>IFERROR(INDEX('CONTROL MASTER'!$Q$2:$Q$495,MATCH("Control MAX Planck Plate 4: B10",'CONTROL MASTER'!$I$2:$I$495,0)),"")</f>
        <v/>
      </c>
      <c r="L40" s="9" t="str">
        <f>IFERROR(INDEX('CONTROL MASTER'!$Q$2:$Q$495,MATCH("Control MAX Planck Plate 4: B11",'CONTROL MASTER'!$I$2:$I$495,0)),"")</f>
        <v/>
      </c>
      <c r="M40" s="9" t="str">
        <f>IFERROR(INDEX('CONTROL MASTER'!$Q$2:$Q$495,MATCH("Control MAX Planck Plate 4: B12",'CONTROL MASTER'!$I$2:$I$495,0)),"")</f>
        <v/>
      </c>
    </row>
    <row r="41" spans="1:13" ht="15" customHeight="1" x14ac:dyDescent="0.35">
      <c r="A41" s="8" t="s">
        <v>30</v>
      </c>
      <c r="B41" s="9" t="str">
        <f>IFERROR(INDEX('CONTROL MASTER'!$Q$2:$Q$495,MATCH("Control MAX Planck Plate 4: C1",'CONTROL MASTER'!$I$2:$I$495,0)),"")</f>
        <v/>
      </c>
      <c r="C41" s="9" t="str">
        <f>IFERROR(INDEX('CONTROL MASTER'!$Q$2:$Q$495,MATCH("Control MAX Planck Plate 4: C2",'CONTROL MASTER'!$I$2:$I$495,0)),"")</f>
        <v/>
      </c>
      <c r="D41" s="9" t="str">
        <f>IFERROR(INDEX('CONTROL MASTER'!$Q$2:$Q$495,MATCH("Control MAX Planck Plate 4: C3",'CONTROL MASTER'!$I$2:$I$495,0)),"")</f>
        <v/>
      </c>
      <c r="E41" s="9" t="str">
        <f>IFERROR(INDEX('CONTROL MASTER'!$Q$2:$Q$495,MATCH("Control MAX Planck Plate 4: C4",'CONTROL MASTER'!$I$2:$I$495,0)),"")</f>
        <v/>
      </c>
      <c r="F41" s="9" t="str">
        <f>IFERROR(INDEX('CONTROL MASTER'!$Q$2:$Q$495,MATCH("Control MAX Planck Plate 4: C5",'CONTROL MASTER'!$I$2:$I$495,0)),"")</f>
        <v/>
      </c>
      <c r="G41" s="9" t="str">
        <f>IFERROR(INDEX('CONTROL MASTER'!$Q$2:$Q$495,MATCH("Control MAX Planck Plate 4: C6",'CONTROL MASTER'!$I$2:$I$495,0)),"")</f>
        <v/>
      </c>
      <c r="H41" s="9" t="str">
        <f>IFERROR(INDEX('CONTROL MASTER'!$Q$2:$Q$495,MATCH("Control MAX Planck Plate 4: C7",'CONTROL MASTER'!$I$2:$I$495,0)),"")</f>
        <v/>
      </c>
      <c r="I41" s="9" t="str">
        <f>IFERROR(INDEX('CONTROL MASTER'!$Q$2:$Q$495,MATCH("Control MAX Planck Plate 4: C8",'CONTROL MASTER'!$I$2:$I$495,0)),"")</f>
        <v/>
      </c>
      <c r="J41" s="9" t="str">
        <f>IFERROR(INDEX('CONTROL MASTER'!$Q$2:$Q$495,MATCH("Control MAX Planck Plate 4: C9",'CONTROL MASTER'!$I$2:$I$495,0)),"")</f>
        <v/>
      </c>
      <c r="K41" s="9" t="str">
        <f>IFERROR(INDEX('CONTROL MASTER'!$Q$2:$Q$495,MATCH("Control MAX Planck Plate 4: C10",'CONTROL MASTER'!$I$2:$I$495,0)),"")</f>
        <v/>
      </c>
      <c r="L41" s="9" t="str">
        <f>IFERROR(INDEX('CONTROL MASTER'!$Q$2:$Q$495,MATCH("Control MAX Planck Plate 4: C11",'CONTROL MASTER'!$I$2:$I$495,0)),"")</f>
        <v/>
      </c>
      <c r="M41" s="9" t="str">
        <f>IFERROR(INDEX('CONTROL MASTER'!$Q$2:$Q$495,MATCH("Control MAX Planck Plate 4: C12",'CONTROL MASTER'!$I$2:$I$495,0)),"")</f>
        <v/>
      </c>
    </row>
    <row r="42" spans="1:13" ht="15" customHeight="1" x14ac:dyDescent="0.35">
      <c r="A42" s="8" t="s">
        <v>31</v>
      </c>
      <c r="B42" s="9" t="str">
        <f>IFERROR(INDEX('CONTROL MASTER'!$Q$2:$Q$495,MATCH("Control MAX Planck Plate 4: D1",'CONTROL MASTER'!$I$2:$I$495,0)),"")</f>
        <v/>
      </c>
      <c r="C42" s="9" t="str">
        <f>IFERROR(INDEX('CONTROL MASTER'!$Q$2:$Q$495,MATCH("Control MAX Planck Plate 4: D2",'CONTROL MASTER'!$I$2:$I$495,0)),"")</f>
        <v/>
      </c>
      <c r="D42" s="9" t="str">
        <f>IFERROR(INDEX('CONTROL MASTER'!$Q$2:$Q$495,MATCH("Control MAX Planck Plate 4: D3",'CONTROL MASTER'!$I$2:$I$495,0)),"")</f>
        <v/>
      </c>
      <c r="E42" s="9" t="str">
        <f>IFERROR(INDEX('CONTROL MASTER'!$Q$2:$Q$495,MATCH("Control MAX Planck Plate 4: D4",'CONTROL MASTER'!$I$2:$I$495,0)),"")</f>
        <v/>
      </c>
      <c r="F42" s="9" t="str">
        <f>IFERROR(INDEX('CONTROL MASTER'!$Q$2:$Q$495,MATCH("Control MAX Planck Plate 4: D5",'CONTROL MASTER'!$I$2:$I$495,0)),"")</f>
        <v/>
      </c>
      <c r="G42" s="9" t="str">
        <f>IFERROR(INDEX('CONTROL MASTER'!$Q$2:$Q$495,MATCH("Control MAX Planck Plate 4: D6",'CONTROL MASTER'!$I$2:$I$495,0)),"")</f>
        <v/>
      </c>
      <c r="H42" s="9" t="str">
        <f>IFERROR(INDEX('CONTROL MASTER'!$Q$2:$Q$495,MATCH("Control MAX Planck Plate 4: D7",'CONTROL MASTER'!$I$2:$I$495,0)),"")</f>
        <v/>
      </c>
      <c r="I42" s="9" t="str">
        <f>IFERROR(INDEX('CONTROL MASTER'!$Q$2:$Q$495,MATCH("Control MAX Planck Plate 4: D8",'CONTROL MASTER'!$I$2:$I$495,0)),"")</f>
        <v/>
      </c>
      <c r="J42" s="9" t="str">
        <f>IFERROR(INDEX('CONTROL MASTER'!$Q$2:$Q$495,MATCH("Control MAX Planck Plate 4: D9",'CONTROL MASTER'!$I$2:$I$495,0)),"")</f>
        <v/>
      </c>
      <c r="K42" s="9" t="str">
        <f>IFERROR(INDEX('CONTROL MASTER'!$Q$2:$Q$495,MATCH("Control MAX Planck Plate 4: D10",'CONTROL MASTER'!$I$2:$I$495,0)),"")</f>
        <v/>
      </c>
      <c r="L42" s="9" t="str">
        <f>IFERROR(INDEX('CONTROL MASTER'!$Q$2:$Q$495,MATCH("Control MAX Planck Plate 4: D11",'CONTROL MASTER'!$I$2:$I$495,0)),"")</f>
        <v/>
      </c>
      <c r="M42" s="9" t="str">
        <f>IFERROR(INDEX('CONTROL MASTER'!$Q$2:$Q$495,MATCH("Control MAX Planck Plate 4: D12",'CONTROL MASTER'!$I$2:$I$495,0)),"")</f>
        <v/>
      </c>
    </row>
    <row r="43" spans="1:13" ht="15" customHeight="1" x14ac:dyDescent="0.35">
      <c r="A43" s="8" t="s">
        <v>32</v>
      </c>
      <c r="B43" s="9" t="str">
        <f>IFERROR(INDEX('CONTROL MASTER'!$Q$2:$Q$495,MATCH("Control MAX Planck Plate 4: E1",'CONTROL MASTER'!$I$2:$I$495,0)),"")</f>
        <v/>
      </c>
      <c r="C43" s="9" t="str">
        <f>IFERROR(INDEX('CONTROL MASTER'!$Q$2:$Q$495,MATCH("Control MAX Planck Plate 4: E2",'CONTROL MASTER'!$I$2:$I$495,0)),"")</f>
        <v/>
      </c>
      <c r="D43" s="9" t="str">
        <f>IFERROR(INDEX('CONTROL MASTER'!$Q$2:$Q$495,MATCH("Control MAX Planck Plate 4: E3",'CONTROL MASTER'!$I$2:$I$495,0)),"")</f>
        <v/>
      </c>
      <c r="E43" s="9" t="str">
        <f>IFERROR(INDEX('CONTROL MASTER'!$Q$2:$Q$495,MATCH("Control MAX Planck Plate 4: E4",'CONTROL MASTER'!$I$2:$I$495,0)),"")</f>
        <v/>
      </c>
      <c r="F43" s="9" t="str">
        <f>IFERROR(INDEX('CONTROL MASTER'!$Q$2:$Q$495,MATCH("Control MAX Planck Plate 4: E5",'CONTROL MASTER'!$I$2:$I$495,0)),"")</f>
        <v/>
      </c>
      <c r="G43" s="9" t="str">
        <f>IFERROR(INDEX('CONTROL MASTER'!$Q$2:$Q$495,MATCH("Control MAX Planck Plate 4: E6",'CONTROL MASTER'!$I$2:$I$495,0)),"")</f>
        <v/>
      </c>
      <c r="H43" s="9" t="str">
        <f>IFERROR(INDEX('CONTROL MASTER'!$Q$2:$Q$495,MATCH("Control MAX Planck Plate 4: E7",'CONTROL MASTER'!$I$2:$I$495,0)),"")</f>
        <v/>
      </c>
      <c r="I43" s="9" t="str">
        <f>IFERROR(INDEX('CONTROL MASTER'!$Q$2:$Q$495,MATCH("Control MAX Planck Plate 4: E8",'CONTROL MASTER'!$I$2:$I$495,0)),"")</f>
        <v/>
      </c>
      <c r="J43" s="9" t="str">
        <f>IFERROR(INDEX('CONTROL MASTER'!$Q$2:$Q$495,MATCH("Control MAX Planck Plate 4: E9",'CONTROL MASTER'!$I$2:$I$495,0)),"")</f>
        <v/>
      </c>
      <c r="K43" s="9" t="str">
        <f>IFERROR(INDEX('CONTROL MASTER'!$Q$2:$Q$495,MATCH("Control MAX Planck Plate 4: E10",'CONTROL MASTER'!$I$2:$I$495,0)),"")</f>
        <v/>
      </c>
      <c r="L43" s="9" t="str">
        <f>IFERROR(INDEX('CONTROL MASTER'!$Q$2:$Q$495,MATCH("Control MAX Planck Plate 4: E11",'CONTROL MASTER'!$I$2:$I$495,0)),"")</f>
        <v/>
      </c>
      <c r="M43" s="9" t="str">
        <f>IFERROR(INDEX('CONTROL MASTER'!$Q$2:$Q$495,MATCH("Control MAX Planck Plate 4: E12",'CONTROL MASTER'!$I$2:$I$495,0)),"")</f>
        <v/>
      </c>
    </row>
    <row r="44" spans="1:13" ht="15" customHeight="1" x14ac:dyDescent="0.35">
      <c r="A44" s="8" t="s">
        <v>33</v>
      </c>
      <c r="B44" s="9" t="str">
        <f>IFERROR(INDEX('CONTROL MASTER'!$Q$2:$Q$495,MATCH("Control MAX Planck Plate 4: F1",'CONTROL MASTER'!$I$2:$I$495,0)),"")</f>
        <v/>
      </c>
      <c r="C44" s="9" t="str">
        <f>IFERROR(INDEX('CONTROL MASTER'!$Q$2:$Q$495,MATCH("Control MAX Planck Plate 4: F2",'CONTROL MASTER'!$I$2:$I$495,0)),"")</f>
        <v/>
      </c>
      <c r="D44" s="9" t="str">
        <f>IFERROR(INDEX('CONTROL MASTER'!$Q$2:$Q$495,MATCH("Control MAX Planck Plate 4: F3",'CONTROL MASTER'!$I$2:$I$495,0)),"")</f>
        <v/>
      </c>
      <c r="E44" s="9" t="str">
        <f>IFERROR(INDEX('CONTROL MASTER'!$Q$2:$Q$495,MATCH("Control MAX Planck Plate 4: F4",'CONTROL MASTER'!$I$2:$I$495,0)),"")</f>
        <v/>
      </c>
      <c r="F44" s="9" t="str">
        <f>IFERROR(INDEX('CONTROL MASTER'!$Q$2:$Q$495,MATCH("Control MAX Planck Plate 4: F5",'CONTROL MASTER'!$I$2:$I$495,0)),"")</f>
        <v/>
      </c>
      <c r="G44" s="9" t="str">
        <f>IFERROR(INDEX('CONTROL MASTER'!$Q$2:$Q$495,MATCH("Control MAX Planck Plate 4: F6",'CONTROL MASTER'!$I$2:$I$495,0)),"")</f>
        <v/>
      </c>
      <c r="H44" s="9" t="str">
        <f>IFERROR(INDEX('CONTROL MASTER'!$Q$2:$Q$495,MATCH("Control MAX Planck Plate 4: F7",'CONTROL MASTER'!$I$2:$I$495,0)),"")</f>
        <v/>
      </c>
      <c r="I44" s="9" t="str">
        <f>IFERROR(INDEX('CONTROL MASTER'!$Q$2:$Q$495,MATCH("Control MAX Planck Plate 4: F8",'CONTROL MASTER'!$I$2:$I$495,0)),"")</f>
        <v/>
      </c>
      <c r="J44" s="9" t="str">
        <f>IFERROR(INDEX('CONTROL MASTER'!$Q$2:$Q$495,MATCH("Control MAX Planck Plate 4: F9",'CONTROL MASTER'!$I$2:$I$495,0)),"")</f>
        <v/>
      </c>
      <c r="K44" s="9" t="str">
        <f>IFERROR(INDEX('CONTROL MASTER'!$Q$2:$Q$495,MATCH("Control MAX Planck Plate 4: F10",'CONTROL MASTER'!$I$2:$I$495,0)),"")</f>
        <v/>
      </c>
      <c r="L44" s="9" t="str">
        <f>IFERROR(INDEX('CONTROL MASTER'!$Q$2:$Q$495,MATCH("Control MAX Planck Plate 4: F11",'CONTROL MASTER'!$I$2:$I$495,0)),"")</f>
        <v/>
      </c>
      <c r="M44" s="9" t="str">
        <f>IFERROR(INDEX('CONTROL MASTER'!$Q$2:$Q$495,MATCH("Control MAX Planck Plate 4: F12",'CONTROL MASTER'!$I$2:$I$495,0)),"")</f>
        <v/>
      </c>
    </row>
    <row r="45" spans="1:13" ht="15" customHeight="1" x14ac:dyDescent="0.35">
      <c r="A45" s="8" t="s">
        <v>34</v>
      </c>
      <c r="B45" s="9" t="str">
        <f>IFERROR(INDEX('CONTROL MASTER'!$Q$2:$Q$495,MATCH("Control MAX Planck Plate 4: G1",'CONTROL MASTER'!$I$2:$I$495,0)),"")</f>
        <v/>
      </c>
      <c r="C45" s="9" t="str">
        <f>IFERROR(INDEX('CONTROL MASTER'!$Q$2:$Q$495,MATCH("Control MAX Planck Plate 4: G2",'CONTROL MASTER'!$I$2:$I$495,0)),"")</f>
        <v/>
      </c>
      <c r="D45" s="9" t="str">
        <f>IFERROR(INDEX('CONTROL MASTER'!$Q$2:$Q$495,MATCH("Control MAX Planck Plate 4: G3",'CONTROL MASTER'!$I$2:$I$495,0)),"")</f>
        <v/>
      </c>
      <c r="E45" s="9" t="str">
        <f>IFERROR(INDEX('CONTROL MASTER'!$Q$2:$Q$495,MATCH("Control MAX Planck Plate 4: G4",'CONTROL MASTER'!$I$2:$I$495,0)),"")</f>
        <v/>
      </c>
      <c r="F45" s="9" t="str">
        <f>IFERROR(INDEX('CONTROL MASTER'!$Q$2:$Q$495,MATCH("Control MAX Planck Plate 4: G5",'CONTROL MASTER'!$I$2:$I$495,0)),"")</f>
        <v/>
      </c>
      <c r="G45" s="9" t="str">
        <f>IFERROR(INDEX('CONTROL MASTER'!$Q$2:$Q$495,MATCH("Control MAX Planck Plate 4: G6",'CONTROL MASTER'!$I$2:$I$495,0)),"")</f>
        <v/>
      </c>
      <c r="H45" s="9" t="str">
        <f>IFERROR(INDEX('CONTROL MASTER'!$Q$2:$Q$495,MATCH("Control MAX Planck Plate 4: G7",'CONTROL MASTER'!$I$2:$I$495,0)),"")</f>
        <v/>
      </c>
      <c r="I45" s="9" t="str">
        <f>IFERROR(INDEX('CONTROL MASTER'!$Q$2:$Q$495,MATCH("Control MAX Planck Plate 4: G8",'CONTROL MASTER'!$I$2:$I$495,0)),"")</f>
        <v/>
      </c>
      <c r="J45" s="9" t="str">
        <f>IFERROR(INDEX('CONTROL MASTER'!$Q$2:$Q$495,MATCH("Control MAX Planck Plate 4: G9",'CONTROL MASTER'!$I$2:$I$495,0)),"")</f>
        <v/>
      </c>
      <c r="K45" s="9" t="str">
        <f>IFERROR(INDEX('CONTROL MASTER'!$Q$2:$Q$495,MATCH("Control MAX Planck Plate 4: G10",'CONTROL MASTER'!$I$2:$I$495,0)),"")</f>
        <v/>
      </c>
      <c r="L45" s="9" t="str">
        <f>IFERROR(INDEX('CONTROL MASTER'!$Q$2:$Q$495,MATCH("Control MAX Planck Plate 4: G11",'CONTROL MASTER'!$I$2:$I$495,0)),"")</f>
        <v/>
      </c>
      <c r="M45" s="9" t="str">
        <f>IFERROR(INDEX('CONTROL MASTER'!$Q$2:$Q$495,MATCH("Control MAX Planck Plate 4: G12",'CONTROL MASTER'!$I$2:$I$495,0)),"")</f>
        <v/>
      </c>
    </row>
    <row r="46" spans="1:13" ht="15" customHeight="1" x14ac:dyDescent="0.35">
      <c r="A46" s="8" t="s">
        <v>35</v>
      </c>
      <c r="B46" s="9" t="str">
        <f>IFERROR(INDEX('CONTROL MASTER'!$Q$2:$Q$495,MATCH("Control MAX Planck Plate 4: H1",'CONTROL MASTER'!$I$2:$I$495,0)),"")</f>
        <v/>
      </c>
      <c r="C46" s="9" t="str">
        <f>IFERROR(INDEX('CONTROL MASTER'!$Q$2:$Q$495,MATCH("Control MAX Planck Plate 4: H2",'CONTROL MASTER'!$I$2:$I$495,0)),"")</f>
        <v/>
      </c>
      <c r="D46" s="9" t="str">
        <f>IFERROR(INDEX('CONTROL MASTER'!$Q$2:$Q$495,MATCH("Control MAX Planck Plate 4: H3",'CONTROL MASTER'!$I$2:$I$495,0)),"")</f>
        <v/>
      </c>
      <c r="E46" s="9" t="str">
        <f>IFERROR(INDEX('CONTROL MASTER'!$Q$2:$Q$495,MATCH("Control MAX Planck Plate 4: H4",'CONTROL MASTER'!$I$2:$I$495,0)),"")</f>
        <v/>
      </c>
      <c r="F46" s="9" t="str">
        <f>IFERROR(INDEX('CONTROL MASTER'!$Q$2:$Q$495,MATCH("Control MAX Planck Plate 4: H5",'CONTROL MASTER'!$I$2:$I$495,0)),"")</f>
        <v/>
      </c>
      <c r="G46" s="9" t="str">
        <f>IFERROR(INDEX('CONTROL MASTER'!$Q$2:$Q$495,MATCH("Control MAX Planck Plate 4: H6",'CONTROL MASTER'!$I$2:$I$495,0)),"")</f>
        <v/>
      </c>
      <c r="H46" s="9" t="str">
        <f>IFERROR(INDEX('CONTROL MASTER'!$Q$2:$Q$495,MATCH("Control MAX Planck Plate 4: H7",'CONTROL MASTER'!$I$2:$I$495,0)),"")</f>
        <v/>
      </c>
      <c r="I46" s="9" t="str">
        <f>IFERROR(INDEX('CONTROL MASTER'!$Q$2:$Q$495,MATCH("Control MAX Planck Plate 4: H8",'CONTROL MASTER'!$I$2:$I$495,0)),"")</f>
        <v/>
      </c>
      <c r="J46" s="9" t="str">
        <f>IFERROR(INDEX('CONTROL MASTER'!$Q$2:$Q$495,MATCH("Control MAX Planck Plate 4: H9",'CONTROL MASTER'!$I$2:$I$495,0)),"")</f>
        <v/>
      </c>
      <c r="K46" s="9" t="str">
        <f>IFERROR(INDEX('CONTROL MASTER'!$Q$2:$Q$495,MATCH("Control MAX Planck Plate 4: H10",'CONTROL MASTER'!$I$2:$I$495,0)),"")</f>
        <v/>
      </c>
      <c r="L46" s="9" t="str">
        <f>IFERROR(INDEX('CONTROL MASTER'!$Q$2:$Q$495,MATCH("Control MAX Planck Plate 4: H11",'CONTROL MASTER'!$I$2:$I$495,0)),"")</f>
        <v/>
      </c>
      <c r="M46" s="9" t="str">
        <f>IFERROR(INDEX('CONTROL MASTER'!$Q$2:$Q$495,MATCH("Control MAX Planck Plate 4: H12",'CONTROL MASTER'!$I$2:$I$495,0)),"")</f>
        <v/>
      </c>
    </row>
    <row r="49" spans="1:13" ht="15" customHeight="1" x14ac:dyDescent="0.35">
      <c r="A49" s="12" t="s">
        <v>146</v>
      </c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</row>
    <row r="50" spans="1:13" ht="15" customHeight="1" x14ac:dyDescent="0.35">
      <c r="B50" s="8">
        <v>1</v>
      </c>
      <c r="C50" s="8">
        <v>2</v>
      </c>
      <c r="D50" s="8">
        <v>3</v>
      </c>
      <c r="E50" s="8">
        <v>4</v>
      </c>
      <c r="F50" s="8">
        <v>5</v>
      </c>
      <c r="G50" s="8">
        <v>6</v>
      </c>
      <c r="H50" s="8">
        <v>7</v>
      </c>
      <c r="I50" s="8">
        <v>8</v>
      </c>
      <c r="J50" s="8">
        <v>9</v>
      </c>
      <c r="K50" s="8">
        <v>10</v>
      </c>
      <c r="L50" s="8">
        <v>11</v>
      </c>
      <c r="M50" s="8">
        <v>12</v>
      </c>
    </row>
    <row r="51" spans="1:13" ht="15" customHeight="1" x14ac:dyDescent="0.35">
      <c r="A51" s="8" t="s">
        <v>28</v>
      </c>
      <c r="B51" s="9" t="str">
        <f>IFERROR(INDEX('CONTROL MASTER'!$Q$2:$Q$495,MATCH("Control MAX Planck Plate 5: A1",'CONTROL MASTER'!$I$2:$I$495,0)),"")</f>
        <v/>
      </c>
      <c r="C51" s="9" t="str">
        <f>IFERROR(INDEX('CONTROL MASTER'!$Q$2:$Q$495,MATCH("Control MAX Planck Plate 5: A2",'CONTROL MASTER'!$I$2:$I$495,0)),"")</f>
        <v/>
      </c>
      <c r="D51" s="9" t="str">
        <f>IFERROR(INDEX('CONTROL MASTER'!$Q$2:$Q$495,MATCH("Control MAX Planck Plate 5: A3",'CONTROL MASTER'!$I$2:$I$495,0)),"")</f>
        <v/>
      </c>
      <c r="E51" s="9" t="str">
        <f>IFERROR(INDEX('CONTROL MASTER'!$Q$2:$Q$495,MATCH("Control MAX Planck Plate 5: A4",'CONTROL MASTER'!$I$2:$I$495,0)),"")</f>
        <v/>
      </c>
      <c r="F51" s="9" t="str">
        <f>IFERROR(INDEX('CONTROL MASTER'!$Q$2:$Q$495,MATCH("Control MAX Planck Plate 5: A5",'CONTROL MASTER'!$I$2:$I$495,0)),"")</f>
        <v/>
      </c>
      <c r="G51" s="9" t="str">
        <f>IFERROR(INDEX('CONTROL MASTER'!$Q$2:$Q$495,MATCH("Control MAX Planck Plate 5: A6",'CONTROL MASTER'!$I$2:$I$495,0)),"")</f>
        <v/>
      </c>
      <c r="H51" s="9" t="str">
        <f>IFERROR(INDEX('CONTROL MASTER'!$Q$2:$Q$495,MATCH("Control MAX Planck Plate 5: A7",'CONTROL MASTER'!$I$2:$I$495,0)),"")</f>
        <v/>
      </c>
      <c r="I51" s="9" t="str">
        <f>IFERROR(INDEX('CONTROL MASTER'!$Q$2:$Q$495,MATCH("Control MAX Planck Plate 5: A8",'CONTROL MASTER'!$I$2:$I$495,0)),"")</f>
        <v/>
      </c>
      <c r="J51" s="9" t="str">
        <f>IFERROR(INDEX('CONTROL MASTER'!$Q$2:$Q$495,MATCH("Control MAX Planck Plate 5: A9",'CONTROL MASTER'!$I$2:$I$495,0)),"")</f>
        <v/>
      </c>
      <c r="K51" s="9" t="str">
        <f>IFERROR(INDEX('CONTROL MASTER'!$Q$2:$Q$495,MATCH("Control MAX Planck Plate 5: A10",'CONTROL MASTER'!$I$2:$I$495,0)),"")</f>
        <v/>
      </c>
      <c r="L51" s="9" t="str">
        <f>IFERROR(INDEX('CONTROL MASTER'!$Q$2:$Q$495,MATCH("Control MAX Planck Plate 5: A11",'CONTROL MASTER'!$I$2:$I$495,0)),"")</f>
        <v/>
      </c>
      <c r="M51" s="9" t="str">
        <f>IFERROR(INDEX('CONTROL MASTER'!$Q$2:$Q$495,MATCH("Control MAX Planck Plate 5: A12",'CONTROL MASTER'!$I$2:$I$495,0)),"")</f>
        <v/>
      </c>
    </row>
    <row r="52" spans="1:13" ht="15" customHeight="1" x14ac:dyDescent="0.35">
      <c r="A52" s="8" t="s">
        <v>29</v>
      </c>
      <c r="B52" s="9" t="str">
        <f>IFERROR(INDEX('CONTROL MASTER'!$Q$2:$Q$495,MATCH("Control MAX Planck Plate 5: B1",'CONTROL MASTER'!$I$2:$I$495,0)),"")</f>
        <v/>
      </c>
      <c r="C52" s="9" t="str">
        <f>IFERROR(INDEX('CONTROL MASTER'!$Q$2:$Q$495,MATCH("Control MAX Planck Plate 5: B2",'CONTROL MASTER'!$I$2:$I$495,0)),"")</f>
        <v/>
      </c>
      <c r="D52" s="9" t="str">
        <f>IFERROR(INDEX('CONTROL MASTER'!$Q$2:$Q$495,MATCH("Control MAX Planck Plate 5: B3",'CONTROL MASTER'!$I$2:$I$495,0)),"")</f>
        <v/>
      </c>
      <c r="E52" s="9" t="str">
        <f>IFERROR(INDEX('CONTROL MASTER'!$Q$2:$Q$495,MATCH("Control MAX Planck Plate 5: B4",'CONTROL MASTER'!$I$2:$I$495,0)),"")</f>
        <v/>
      </c>
      <c r="F52" s="9" t="str">
        <f>IFERROR(INDEX('CONTROL MASTER'!$Q$2:$Q$495,MATCH("Control MAX Planck Plate 5: B5",'CONTROL MASTER'!$I$2:$I$495,0)),"")</f>
        <v/>
      </c>
      <c r="G52" s="9" t="str">
        <f>IFERROR(INDEX('CONTROL MASTER'!$Q$2:$Q$495,MATCH("Control MAX Planck Plate 5: B6",'CONTROL MASTER'!$I$2:$I$495,0)),"")</f>
        <v/>
      </c>
      <c r="H52" s="9" t="str">
        <f>IFERROR(INDEX('CONTROL MASTER'!$Q$2:$Q$495,MATCH("Control MAX Planck Plate 5: B7",'CONTROL MASTER'!$I$2:$I$495,0)),"")</f>
        <v/>
      </c>
      <c r="I52" s="9" t="str">
        <f>IFERROR(INDEX('CONTROL MASTER'!$Q$2:$Q$495,MATCH("Control MAX Planck Plate 5: B8",'CONTROL MASTER'!$I$2:$I$495,0)),"")</f>
        <v/>
      </c>
      <c r="J52" s="9" t="str">
        <f>IFERROR(INDEX('CONTROL MASTER'!$Q$2:$Q$495,MATCH("Control MAX Planck Plate 5: B9",'CONTROL MASTER'!$I$2:$I$495,0)),"")</f>
        <v/>
      </c>
      <c r="K52" s="9" t="str">
        <f>IFERROR(INDEX('CONTROL MASTER'!$Q$2:$Q$495,MATCH("Control MAX Planck Plate 5: B10",'CONTROL MASTER'!$I$2:$I$495,0)),"")</f>
        <v/>
      </c>
      <c r="L52" s="9" t="str">
        <f>IFERROR(INDEX('CONTROL MASTER'!$Q$2:$Q$495,MATCH("Control MAX Planck Plate 5: B11",'CONTROL MASTER'!$I$2:$I$495,0)),"")</f>
        <v/>
      </c>
      <c r="M52" s="9" t="str">
        <f>IFERROR(INDEX('CONTROL MASTER'!$Q$2:$Q$495,MATCH("Control MAX Planck Plate 5: B12",'CONTROL MASTER'!$I$2:$I$495,0)),"")</f>
        <v/>
      </c>
    </row>
    <row r="53" spans="1:13" ht="15" customHeight="1" x14ac:dyDescent="0.35">
      <c r="A53" s="8" t="s">
        <v>30</v>
      </c>
      <c r="B53" s="9" t="str">
        <f>IFERROR(INDEX('CONTROL MASTER'!$Q$2:$Q$495,MATCH("Control MAX Planck Plate 5: C1",'CONTROL MASTER'!$I$2:$I$495,0)),"")</f>
        <v/>
      </c>
      <c r="C53" s="9" t="str">
        <f>IFERROR(INDEX('CONTROL MASTER'!$Q$2:$Q$495,MATCH("Control MAX Planck Plate 5: C2",'CONTROL MASTER'!$I$2:$I$495,0)),"")</f>
        <v/>
      </c>
      <c r="D53" s="9" t="str">
        <f>IFERROR(INDEX('CONTROL MASTER'!$Q$2:$Q$495,MATCH("Control MAX Planck Plate 5: C3",'CONTROL MASTER'!$I$2:$I$495,0)),"")</f>
        <v/>
      </c>
      <c r="E53" s="9" t="str">
        <f>IFERROR(INDEX('CONTROL MASTER'!$Q$2:$Q$495,MATCH("Control MAX Planck Plate 5: C4",'CONTROL MASTER'!$I$2:$I$495,0)),"")</f>
        <v/>
      </c>
      <c r="F53" s="9" t="str">
        <f>IFERROR(INDEX('CONTROL MASTER'!$Q$2:$Q$495,MATCH("Control MAX Planck Plate 5: C5",'CONTROL MASTER'!$I$2:$I$495,0)),"")</f>
        <v/>
      </c>
      <c r="G53" s="9" t="str">
        <f>IFERROR(INDEX('CONTROL MASTER'!$Q$2:$Q$495,MATCH("Control MAX Planck Plate 5: C6",'CONTROL MASTER'!$I$2:$I$495,0)),"")</f>
        <v/>
      </c>
      <c r="H53" s="9" t="str">
        <f>IFERROR(INDEX('CONTROL MASTER'!$Q$2:$Q$495,MATCH("Control MAX Planck Plate 5: C7",'CONTROL MASTER'!$I$2:$I$495,0)),"")</f>
        <v/>
      </c>
      <c r="I53" s="9" t="str">
        <f>IFERROR(INDEX('CONTROL MASTER'!$Q$2:$Q$495,MATCH("Control MAX Planck Plate 5: C8",'CONTROL MASTER'!$I$2:$I$495,0)),"")</f>
        <v/>
      </c>
      <c r="J53" s="9" t="str">
        <f>IFERROR(INDEX('CONTROL MASTER'!$Q$2:$Q$495,MATCH("Control MAX Planck Plate 5: C9",'CONTROL MASTER'!$I$2:$I$495,0)),"")</f>
        <v/>
      </c>
      <c r="K53" s="9" t="str">
        <f>IFERROR(INDEX('CONTROL MASTER'!$Q$2:$Q$495,MATCH("Control MAX Planck Plate 5: C10",'CONTROL MASTER'!$I$2:$I$495,0)),"")</f>
        <v/>
      </c>
      <c r="L53" s="9" t="str">
        <f>IFERROR(INDEX('CONTROL MASTER'!$Q$2:$Q$495,MATCH("Control MAX Planck Plate 5: C11",'CONTROL MASTER'!$I$2:$I$495,0)),"")</f>
        <v/>
      </c>
      <c r="M53" s="9" t="str">
        <f>IFERROR(INDEX('CONTROL MASTER'!$Q$2:$Q$495,MATCH("Control MAX Planck Plate 5: C12",'CONTROL MASTER'!$I$2:$I$495,0)),"")</f>
        <v/>
      </c>
    </row>
    <row r="54" spans="1:13" ht="15" customHeight="1" x14ac:dyDescent="0.35">
      <c r="A54" s="8" t="s">
        <v>31</v>
      </c>
      <c r="B54" s="9" t="str">
        <f>IFERROR(INDEX('CONTROL MASTER'!$Q$2:$Q$495,MATCH("Control MAX Planck Plate 5: D1",'CONTROL MASTER'!$I$2:$I$495,0)),"")</f>
        <v/>
      </c>
      <c r="C54" s="9" t="str">
        <f>IFERROR(INDEX('CONTROL MASTER'!$Q$2:$Q$495,MATCH("Control MAX Planck Plate 5: D2",'CONTROL MASTER'!$I$2:$I$495,0)),"")</f>
        <v/>
      </c>
      <c r="D54" s="9" t="str">
        <f>IFERROR(INDEX('CONTROL MASTER'!$Q$2:$Q$495,MATCH("Control MAX Planck Plate 5: D3",'CONTROL MASTER'!$I$2:$I$495,0)),"")</f>
        <v/>
      </c>
      <c r="E54" s="9" t="str">
        <f>IFERROR(INDEX('CONTROL MASTER'!$Q$2:$Q$495,MATCH("Control MAX Planck Plate 5: D4",'CONTROL MASTER'!$I$2:$I$495,0)),"")</f>
        <v/>
      </c>
      <c r="F54" s="9" t="str">
        <f>IFERROR(INDEX('CONTROL MASTER'!$Q$2:$Q$495,MATCH("Control MAX Planck Plate 5: D5",'CONTROL MASTER'!$I$2:$I$495,0)),"")</f>
        <v/>
      </c>
      <c r="G54" s="9" t="str">
        <f>IFERROR(INDEX('CONTROL MASTER'!$Q$2:$Q$495,MATCH("Control MAX Planck Plate 5: D6",'CONTROL MASTER'!$I$2:$I$495,0)),"")</f>
        <v/>
      </c>
      <c r="H54" s="9" t="str">
        <f>IFERROR(INDEX('CONTROL MASTER'!$Q$2:$Q$495,MATCH("Control MAX Planck Plate 5: D7",'CONTROL MASTER'!$I$2:$I$495,0)),"")</f>
        <v/>
      </c>
      <c r="I54" s="9" t="str">
        <f>IFERROR(INDEX('CONTROL MASTER'!$Q$2:$Q$495,MATCH("Control MAX Planck Plate 5: D8",'CONTROL MASTER'!$I$2:$I$495,0)),"")</f>
        <v/>
      </c>
      <c r="J54" s="9" t="str">
        <f>IFERROR(INDEX('CONTROL MASTER'!$Q$2:$Q$495,MATCH("Control MAX Planck Plate 5: D9",'CONTROL MASTER'!$I$2:$I$495,0)),"")</f>
        <v/>
      </c>
      <c r="K54" s="9" t="str">
        <f>IFERROR(INDEX('CONTROL MASTER'!$Q$2:$Q$495,MATCH("Control MAX Planck Plate 5: D10",'CONTROL MASTER'!$I$2:$I$495,0)),"")</f>
        <v/>
      </c>
      <c r="L54" s="9" t="str">
        <f>IFERROR(INDEX('CONTROL MASTER'!$Q$2:$Q$495,MATCH("Control MAX Planck Plate 5: D11",'CONTROL MASTER'!$I$2:$I$495,0)),"")</f>
        <v/>
      </c>
      <c r="M54" s="9" t="str">
        <f>IFERROR(INDEX('CONTROL MASTER'!$Q$2:$Q$495,MATCH("Control MAX Planck Plate 5: D12",'CONTROL MASTER'!$I$2:$I$495,0)),"")</f>
        <v/>
      </c>
    </row>
    <row r="55" spans="1:13" ht="15" customHeight="1" x14ac:dyDescent="0.35">
      <c r="A55" s="8" t="s">
        <v>32</v>
      </c>
      <c r="B55" s="9" t="str">
        <f>IFERROR(INDEX('CONTROL MASTER'!$Q$2:$Q$495,MATCH("Control MAX Planck Plate 5: E1",'CONTROL MASTER'!$I$2:$I$495,0)),"")</f>
        <v/>
      </c>
      <c r="C55" s="9" t="str">
        <f>IFERROR(INDEX('CONTROL MASTER'!$Q$2:$Q$495,MATCH("Control MAX Planck Plate 5: E2",'CONTROL MASTER'!$I$2:$I$495,0)),"")</f>
        <v/>
      </c>
      <c r="D55" s="9" t="str">
        <f>IFERROR(INDEX('CONTROL MASTER'!$Q$2:$Q$495,MATCH("Control MAX Planck Plate 5: E3",'CONTROL MASTER'!$I$2:$I$495,0)),"")</f>
        <v/>
      </c>
      <c r="E55" s="9" t="str">
        <f>IFERROR(INDEX('CONTROL MASTER'!$Q$2:$Q$495,MATCH("Control MAX Planck Plate 5: E4",'CONTROL MASTER'!$I$2:$I$495,0)),"")</f>
        <v/>
      </c>
      <c r="F55" s="9" t="str">
        <f>IFERROR(INDEX('CONTROL MASTER'!$Q$2:$Q$495,MATCH("Control MAX Planck Plate 5: E5",'CONTROL MASTER'!$I$2:$I$495,0)),"")</f>
        <v/>
      </c>
      <c r="G55" s="9" t="str">
        <f>IFERROR(INDEX('CONTROL MASTER'!$Q$2:$Q$495,MATCH("Control MAX Planck Plate 5: E6",'CONTROL MASTER'!$I$2:$I$495,0)),"")</f>
        <v/>
      </c>
      <c r="H55" s="9" t="str">
        <f>IFERROR(INDEX('CONTROL MASTER'!$Q$2:$Q$495,MATCH("Control MAX Planck Plate 5: E7",'CONTROL MASTER'!$I$2:$I$495,0)),"")</f>
        <v/>
      </c>
      <c r="I55" s="9" t="str">
        <f>IFERROR(INDEX('CONTROL MASTER'!$Q$2:$Q$495,MATCH("Control MAX Planck Plate 5: E8",'CONTROL MASTER'!$I$2:$I$495,0)),"")</f>
        <v/>
      </c>
      <c r="J55" s="9" t="str">
        <f>IFERROR(INDEX('CONTROL MASTER'!$Q$2:$Q$495,MATCH("Control MAX Planck Plate 5: E9",'CONTROL MASTER'!$I$2:$I$495,0)),"")</f>
        <v/>
      </c>
      <c r="K55" s="9" t="str">
        <f>IFERROR(INDEX('CONTROL MASTER'!$Q$2:$Q$495,MATCH("Control MAX Planck Plate 5: E10",'CONTROL MASTER'!$I$2:$I$495,0)),"")</f>
        <v/>
      </c>
      <c r="L55" s="9" t="str">
        <f>IFERROR(INDEX('CONTROL MASTER'!$Q$2:$Q$495,MATCH("Control MAX Planck Plate 5: E11",'CONTROL MASTER'!$I$2:$I$495,0)),"")</f>
        <v/>
      </c>
      <c r="M55" s="9" t="str">
        <f>IFERROR(INDEX('CONTROL MASTER'!$Q$2:$Q$495,MATCH("Control MAX Planck Plate 5: E12",'CONTROL MASTER'!$I$2:$I$495,0)),"")</f>
        <v/>
      </c>
    </row>
    <row r="56" spans="1:13" ht="15" customHeight="1" x14ac:dyDescent="0.35">
      <c r="A56" s="8" t="s">
        <v>33</v>
      </c>
      <c r="B56" s="9" t="str">
        <f>IFERROR(INDEX('CONTROL MASTER'!$Q$2:$Q$495,MATCH("Control MAX Planck Plate 5: F1",'CONTROL MASTER'!$I$2:$I$495,0)),"")</f>
        <v/>
      </c>
      <c r="C56" s="9" t="str">
        <f>IFERROR(INDEX('CONTROL MASTER'!$Q$2:$Q$495,MATCH("Control MAX Planck Plate 5: F2",'CONTROL MASTER'!$I$2:$I$495,0)),"")</f>
        <v/>
      </c>
      <c r="D56" s="9" t="str">
        <f>IFERROR(INDEX('CONTROL MASTER'!$Q$2:$Q$495,MATCH("Control MAX Planck Plate 5: F3",'CONTROL MASTER'!$I$2:$I$495,0)),"")</f>
        <v/>
      </c>
      <c r="E56" s="9" t="str">
        <f>IFERROR(INDEX('CONTROL MASTER'!$Q$2:$Q$495,MATCH("Control MAX Planck Plate 5: F4",'CONTROL MASTER'!$I$2:$I$495,0)),"")</f>
        <v/>
      </c>
      <c r="F56" s="9" t="str">
        <f>IFERROR(INDEX('CONTROL MASTER'!$Q$2:$Q$495,MATCH("Control MAX Planck Plate 5: F5",'CONTROL MASTER'!$I$2:$I$495,0)),"")</f>
        <v/>
      </c>
      <c r="G56" s="9" t="str">
        <f>IFERROR(INDEX('CONTROL MASTER'!$Q$2:$Q$495,MATCH("Control MAX Planck Plate 5: F6",'CONTROL MASTER'!$I$2:$I$495,0)),"")</f>
        <v/>
      </c>
      <c r="H56" s="9" t="str">
        <f>IFERROR(INDEX('CONTROL MASTER'!$Q$2:$Q$495,MATCH("Control MAX Planck Plate 5: F7",'CONTROL MASTER'!$I$2:$I$495,0)),"")</f>
        <v/>
      </c>
      <c r="I56" s="9" t="str">
        <f>IFERROR(INDEX('CONTROL MASTER'!$Q$2:$Q$495,MATCH("Control MAX Planck Plate 5: F8",'CONTROL MASTER'!$I$2:$I$495,0)),"")</f>
        <v/>
      </c>
      <c r="J56" s="9" t="str">
        <f>IFERROR(INDEX('CONTROL MASTER'!$Q$2:$Q$495,MATCH("Control MAX Planck Plate 5: F9",'CONTROL MASTER'!$I$2:$I$495,0)),"")</f>
        <v/>
      </c>
      <c r="K56" s="9" t="str">
        <f>IFERROR(INDEX('CONTROL MASTER'!$Q$2:$Q$495,MATCH("Control MAX Planck Plate 5: F10",'CONTROL MASTER'!$I$2:$I$495,0)),"")</f>
        <v/>
      </c>
      <c r="L56" s="9" t="str">
        <f>IFERROR(INDEX('CONTROL MASTER'!$Q$2:$Q$495,MATCH("Control MAX Planck Plate 5: F11",'CONTROL MASTER'!$I$2:$I$495,0)),"")</f>
        <v/>
      </c>
      <c r="M56" s="9" t="str">
        <f>IFERROR(INDEX('CONTROL MASTER'!$Q$2:$Q$495,MATCH("Control MAX Planck Plate 5: F12",'CONTROL MASTER'!$I$2:$I$495,0)),"")</f>
        <v/>
      </c>
    </row>
    <row r="57" spans="1:13" ht="15" customHeight="1" x14ac:dyDescent="0.35">
      <c r="A57" s="8" t="s">
        <v>34</v>
      </c>
      <c r="B57" s="9" t="str">
        <f>IFERROR(INDEX('CONTROL MASTER'!$Q$2:$Q$495,MATCH("Control MAX Planck Plate 5: G1",'CONTROL MASTER'!$I$2:$I$495,0)),"")</f>
        <v/>
      </c>
      <c r="C57" s="9" t="str">
        <f>IFERROR(INDEX('CONTROL MASTER'!$Q$2:$Q$495,MATCH("Control MAX Planck Plate 5: G2",'CONTROL MASTER'!$I$2:$I$495,0)),"")</f>
        <v/>
      </c>
      <c r="D57" s="9" t="str">
        <f>IFERROR(INDEX('CONTROL MASTER'!$Q$2:$Q$495,MATCH("Control MAX Planck Plate 5: G3",'CONTROL MASTER'!$I$2:$I$495,0)),"")</f>
        <v/>
      </c>
      <c r="E57" s="9" t="str">
        <f>IFERROR(INDEX('CONTROL MASTER'!$Q$2:$Q$495,MATCH("Control MAX Planck Plate 5: G4",'CONTROL MASTER'!$I$2:$I$495,0)),"")</f>
        <v/>
      </c>
      <c r="F57" s="9" t="str">
        <f>IFERROR(INDEX('CONTROL MASTER'!$Q$2:$Q$495,MATCH("Control MAX Planck Plate 5: G5",'CONTROL MASTER'!$I$2:$I$495,0)),"")</f>
        <v/>
      </c>
      <c r="G57" s="9" t="str">
        <f>IFERROR(INDEX('CONTROL MASTER'!$Q$2:$Q$495,MATCH("Control MAX Planck Plate 5: G6",'CONTROL MASTER'!$I$2:$I$495,0)),"")</f>
        <v/>
      </c>
      <c r="H57" s="9" t="str">
        <f>IFERROR(INDEX('CONTROL MASTER'!$Q$2:$Q$495,MATCH("Control MAX Planck Plate 5: G7",'CONTROL MASTER'!$I$2:$I$495,0)),"")</f>
        <v/>
      </c>
      <c r="I57" s="9" t="str">
        <f>IFERROR(INDEX('CONTROL MASTER'!$Q$2:$Q$495,MATCH("Control MAX Planck Plate 5: G8",'CONTROL MASTER'!$I$2:$I$495,0)),"")</f>
        <v/>
      </c>
      <c r="J57" s="9" t="str">
        <f>IFERROR(INDEX('CONTROL MASTER'!$Q$2:$Q$495,MATCH("Control MAX Planck Plate 5: G9",'CONTROL MASTER'!$I$2:$I$495,0)),"")</f>
        <v/>
      </c>
      <c r="K57" s="9" t="str">
        <f>IFERROR(INDEX('CONTROL MASTER'!$Q$2:$Q$495,MATCH("Control MAX Planck Plate 5: G10",'CONTROL MASTER'!$I$2:$I$495,0)),"")</f>
        <v/>
      </c>
      <c r="L57" s="9" t="str">
        <f>IFERROR(INDEX('CONTROL MASTER'!$Q$2:$Q$495,MATCH("Control MAX Planck Plate 5: G11",'CONTROL MASTER'!$I$2:$I$495,0)),"")</f>
        <v/>
      </c>
      <c r="M57" s="9" t="str">
        <f>IFERROR(INDEX('CONTROL MASTER'!$Q$2:$Q$495,MATCH("Control MAX Planck Plate 5: G12",'CONTROL MASTER'!$I$2:$I$495,0)),"")</f>
        <v/>
      </c>
    </row>
    <row r="58" spans="1:13" ht="15" customHeight="1" x14ac:dyDescent="0.35">
      <c r="A58" s="8" t="s">
        <v>35</v>
      </c>
      <c r="B58" s="9" t="str">
        <f>IFERROR(INDEX('CONTROL MASTER'!$Q$2:$Q$495,MATCH("Control MAX Planck Plate 5: H1",'CONTROL MASTER'!$I$2:$I$495,0)),"")</f>
        <v/>
      </c>
      <c r="C58" s="9" t="str">
        <f>IFERROR(INDEX('CONTROL MASTER'!$Q$2:$Q$495,MATCH("Control MAX Planck Plate 5: H2",'CONTROL MASTER'!$I$2:$I$495,0)),"")</f>
        <v/>
      </c>
      <c r="D58" s="9" t="str">
        <f>IFERROR(INDEX('CONTROL MASTER'!$Q$2:$Q$495,MATCH("Control MAX Planck Plate 5: H3",'CONTROL MASTER'!$I$2:$I$495,0)),"")</f>
        <v/>
      </c>
      <c r="E58" s="9" t="str">
        <f>IFERROR(INDEX('CONTROL MASTER'!$Q$2:$Q$495,MATCH("Control MAX Planck Plate 5: H4",'CONTROL MASTER'!$I$2:$I$495,0)),"")</f>
        <v/>
      </c>
      <c r="F58" s="9" t="str">
        <f>IFERROR(INDEX('CONTROL MASTER'!$Q$2:$Q$495,MATCH("Control MAX Planck Plate 5: H5",'CONTROL MASTER'!$I$2:$I$495,0)),"")</f>
        <v/>
      </c>
      <c r="G58" s="9" t="str">
        <f>IFERROR(INDEX('CONTROL MASTER'!$Q$2:$Q$495,MATCH("Control MAX Planck Plate 5: H6",'CONTROL MASTER'!$I$2:$I$495,0)),"")</f>
        <v/>
      </c>
      <c r="H58" s="9" t="str">
        <f>IFERROR(INDEX('CONTROL MASTER'!$Q$2:$Q$495,MATCH("Control MAX Planck Plate 5: H7",'CONTROL MASTER'!$I$2:$I$495,0)),"")</f>
        <v/>
      </c>
      <c r="I58" s="9" t="str">
        <f>IFERROR(INDEX('CONTROL MASTER'!$Q$2:$Q$495,MATCH("Control MAX Planck Plate 5: H8",'CONTROL MASTER'!$I$2:$I$495,0)),"")</f>
        <v/>
      </c>
      <c r="J58" s="9" t="str">
        <f>IFERROR(INDEX('CONTROL MASTER'!$Q$2:$Q$495,MATCH("Control MAX Planck Plate 5: H9",'CONTROL MASTER'!$I$2:$I$495,0)),"")</f>
        <v/>
      </c>
      <c r="K58" s="9" t="str">
        <f>IFERROR(INDEX('CONTROL MASTER'!$Q$2:$Q$495,MATCH("Control MAX Planck Plate 5: H10",'CONTROL MASTER'!$I$2:$I$495,0)),"")</f>
        <v/>
      </c>
      <c r="L58" s="9" t="str">
        <f>IFERROR(INDEX('CONTROL MASTER'!$Q$2:$Q$495,MATCH("Control MAX Planck Plate 5: H11",'CONTROL MASTER'!$I$2:$I$495,0)),"")</f>
        <v/>
      </c>
      <c r="M58" s="9" t="str">
        <f>IFERROR(INDEX('CONTROL MASTER'!$Q$2:$Q$495,MATCH("Control MAX Planck Plate 5: H12",'CONTROL MASTER'!$I$2:$I$495,0)),"")</f>
        <v/>
      </c>
    </row>
    <row r="61" spans="1:13" ht="15" customHeight="1" x14ac:dyDescent="0.35">
      <c r="A61" s="12" t="s">
        <v>147</v>
      </c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</row>
    <row r="62" spans="1:13" ht="15" customHeight="1" x14ac:dyDescent="0.35">
      <c r="B62" s="8">
        <v>1</v>
      </c>
      <c r="C62" s="8">
        <v>2</v>
      </c>
      <c r="D62" s="8">
        <v>3</v>
      </c>
      <c r="E62" s="8">
        <v>4</v>
      </c>
      <c r="F62" s="8">
        <v>5</v>
      </c>
      <c r="G62" s="8">
        <v>6</v>
      </c>
      <c r="H62" s="8">
        <v>7</v>
      </c>
      <c r="I62" s="8">
        <v>8</v>
      </c>
      <c r="J62" s="8">
        <v>9</v>
      </c>
      <c r="K62" s="8">
        <v>10</v>
      </c>
      <c r="L62" s="8">
        <v>11</v>
      </c>
      <c r="M62" s="8">
        <v>12</v>
      </c>
    </row>
    <row r="63" spans="1:13" ht="15" customHeight="1" x14ac:dyDescent="0.35">
      <c r="A63" s="8" t="s">
        <v>28</v>
      </c>
      <c r="B63" s="9" t="str">
        <f>IFERROR(INDEX('CONTROL MASTER'!$Q$2:$Q$495,MATCH("Control MAX Planck Plate 6: A1",'CONTROL MASTER'!$I$2:$I$495,0)),"")</f>
        <v/>
      </c>
      <c r="C63" s="9" t="str">
        <f>IFERROR(INDEX('CONTROL MASTER'!$Q$2:$Q$495,MATCH("Control MAX Planck Plate 6: A2",'CONTROL MASTER'!$I$2:$I$495,0)),"")</f>
        <v/>
      </c>
      <c r="D63" s="9" t="str">
        <f>IFERROR(INDEX('CONTROL MASTER'!$Q$2:$Q$495,MATCH("Control MAX Planck Plate 6: A3",'CONTROL MASTER'!$I$2:$I$495,0)),"")</f>
        <v/>
      </c>
      <c r="E63" s="9" t="str">
        <f>IFERROR(INDEX('CONTROL MASTER'!$Q$2:$Q$495,MATCH("Control MAX Planck Plate 6: A4",'CONTROL MASTER'!$I$2:$I$495,0)),"")</f>
        <v/>
      </c>
      <c r="F63" s="9" t="str">
        <f>IFERROR(INDEX('CONTROL MASTER'!$Q$2:$Q$495,MATCH("Control MAX Planck Plate 6: A5",'CONTROL MASTER'!$I$2:$I$495,0)),"")</f>
        <v/>
      </c>
      <c r="G63" s="9" t="str">
        <f>IFERROR(INDEX('CONTROL MASTER'!$Q$2:$Q$495,MATCH("Control MAX Planck Plate 6: A6",'CONTROL MASTER'!$I$2:$I$495,0)),"")</f>
        <v/>
      </c>
      <c r="H63" s="9" t="str">
        <f>IFERROR(INDEX('CONTROL MASTER'!$Q$2:$Q$495,MATCH("Control MAX Planck Plate 6: A7",'CONTROL MASTER'!$I$2:$I$495,0)),"")</f>
        <v/>
      </c>
      <c r="I63" s="9" t="str">
        <f>IFERROR(INDEX('CONTROL MASTER'!$Q$2:$Q$495,MATCH("Control MAX Planck Plate 6: A8",'CONTROL MASTER'!$I$2:$I$495,0)),"")</f>
        <v/>
      </c>
      <c r="J63" s="9" t="str">
        <f>IFERROR(INDEX('CONTROL MASTER'!$Q$2:$Q$495,MATCH("Control MAX Planck Plate 6: A9",'CONTROL MASTER'!$I$2:$I$495,0)),"")</f>
        <v/>
      </c>
      <c r="K63" s="9" t="str">
        <f>IFERROR(INDEX('CONTROL MASTER'!$Q$2:$Q$495,MATCH("Control MAX Planck Plate 6: A10",'CONTROL MASTER'!$I$2:$I$495,0)),"")</f>
        <v/>
      </c>
      <c r="L63" s="9" t="str">
        <f>IFERROR(INDEX('CONTROL MASTER'!$Q$2:$Q$495,MATCH("Control MAX Planck Plate 6: A11",'CONTROL MASTER'!$I$2:$I$495,0)),"")</f>
        <v/>
      </c>
      <c r="M63" s="9" t="str">
        <f>IFERROR(INDEX('CONTROL MASTER'!$Q$2:$Q$495,MATCH("Control MAX Planck Plate 6: A12",'CONTROL MASTER'!$I$2:$I$495,0)),"")</f>
        <v/>
      </c>
    </row>
    <row r="64" spans="1:13" ht="15" customHeight="1" x14ac:dyDescent="0.35">
      <c r="A64" s="8" t="s">
        <v>29</v>
      </c>
      <c r="B64" s="9" t="str">
        <f>IFERROR(INDEX('CONTROL MASTER'!$Q$2:$Q$495,MATCH("Control MAX Planck Plate 6: B1",'CONTROL MASTER'!$I$2:$I$495,0)),"")</f>
        <v/>
      </c>
      <c r="C64" s="9" t="str">
        <f>IFERROR(INDEX('CONTROL MASTER'!$Q$2:$Q$495,MATCH("Control MAX Planck Plate 6: B2",'CONTROL MASTER'!$I$2:$I$495,0)),"")</f>
        <v/>
      </c>
      <c r="D64" s="9" t="str">
        <f>IFERROR(INDEX('CONTROL MASTER'!$Q$2:$Q$495,MATCH("Control MAX Planck Plate 6: B3",'CONTROL MASTER'!$I$2:$I$495,0)),"")</f>
        <v/>
      </c>
      <c r="E64" s="9" t="str">
        <f>IFERROR(INDEX('CONTROL MASTER'!$Q$2:$Q$495,MATCH("Control MAX Planck Plate 6: B4",'CONTROL MASTER'!$I$2:$I$495,0)),"")</f>
        <v/>
      </c>
      <c r="F64" s="9" t="str">
        <f>IFERROR(INDEX('CONTROL MASTER'!$Q$2:$Q$495,MATCH("Control MAX Planck Plate 6: B5",'CONTROL MASTER'!$I$2:$I$495,0)),"")</f>
        <v/>
      </c>
      <c r="G64" s="9" t="str">
        <f>IFERROR(INDEX('CONTROL MASTER'!$Q$2:$Q$495,MATCH("Control MAX Planck Plate 6: B6",'CONTROL MASTER'!$I$2:$I$495,0)),"")</f>
        <v/>
      </c>
      <c r="H64" s="9" t="str">
        <f>IFERROR(INDEX('CONTROL MASTER'!$Q$2:$Q$495,MATCH("Control MAX Planck Plate 6: B7",'CONTROL MASTER'!$I$2:$I$495,0)),"")</f>
        <v/>
      </c>
      <c r="I64" s="9" t="str">
        <f>IFERROR(INDEX('CONTROL MASTER'!$Q$2:$Q$495,MATCH("Control MAX Planck Plate 6: B8",'CONTROL MASTER'!$I$2:$I$495,0)),"")</f>
        <v/>
      </c>
      <c r="J64" s="9" t="str">
        <f>IFERROR(INDEX('CONTROL MASTER'!$Q$2:$Q$495,MATCH("Control MAX Planck Plate 6: B9",'CONTROL MASTER'!$I$2:$I$495,0)),"")</f>
        <v/>
      </c>
      <c r="K64" s="9" t="str">
        <f>IFERROR(INDEX('CONTROL MASTER'!$Q$2:$Q$495,MATCH("Control MAX Planck Plate 6: B10",'CONTROL MASTER'!$I$2:$I$495,0)),"")</f>
        <v/>
      </c>
      <c r="L64" s="9" t="str">
        <f>IFERROR(INDEX('CONTROL MASTER'!$Q$2:$Q$495,MATCH("Control MAX Planck Plate 6: B11",'CONTROL MASTER'!$I$2:$I$495,0)),"")</f>
        <v/>
      </c>
      <c r="M64" s="9" t="str">
        <f>IFERROR(INDEX('CONTROL MASTER'!$Q$2:$Q$495,MATCH("Control MAX Planck Plate 6: B12",'CONTROL MASTER'!$I$2:$I$495,0)),"")</f>
        <v/>
      </c>
    </row>
    <row r="65" spans="1:13" ht="15" customHeight="1" x14ac:dyDescent="0.35">
      <c r="A65" s="8" t="s">
        <v>30</v>
      </c>
      <c r="B65" s="9" t="str">
        <f>IFERROR(INDEX('CONTROL MASTER'!$Q$2:$Q$495,MATCH("Control MAX Planck Plate 6: C1",'CONTROL MASTER'!$I$2:$I$495,0)),"")</f>
        <v/>
      </c>
      <c r="C65" s="9" t="str">
        <f>IFERROR(INDEX('CONTROL MASTER'!$Q$2:$Q$495,MATCH("Control MAX Planck Plate 6: C2",'CONTROL MASTER'!$I$2:$I$495,0)),"")</f>
        <v/>
      </c>
      <c r="D65" s="9" t="str">
        <f>IFERROR(INDEX('CONTROL MASTER'!$Q$2:$Q$495,MATCH("Control MAX Planck Plate 6: C3",'CONTROL MASTER'!$I$2:$I$495,0)),"")</f>
        <v/>
      </c>
      <c r="E65" s="9" t="str">
        <f>IFERROR(INDEX('CONTROL MASTER'!$Q$2:$Q$495,MATCH("Control MAX Planck Plate 6: C4",'CONTROL MASTER'!$I$2:$I$495,0)),"")</f>
        <v/>
      </c>
      <c r="F65" s="9" t="str">
        <f>IFERROR(INDEX('CONTROL MASTER'!$Q$2:$Q$495,MATCH("Control MAX Planck Plate 6: C5",'CONTROL MASTER'!$I$2:$I$495,0)),"")</f>
        <v/>
      </c>
      <c r="G65" s="9" t="str">
        <f>IFERROR(INDEX('CONTROL MASTER'!$Q$2:$Q$495,MATCH("Control MAX Planck Plate 6: C6",'CONTROL MASTER'!$I$2:$I$495,0)),"")</f>
        <v/>
      </c>
      <c r="H65" s="9" t="str">
        <f>IFERROR(INDEX('CONTROL MASTER'!$Q$2:$Q$495,MATCH("Control MAX Planck Plate 6: C7",'CONTROL MASTER'!$I$2:$I$495,0)),"")</f>
        <v/>
      </c>
      <c r="I65" s="9" t="str">
        <f>IFERROR(INDEX('CONTROL MASTER'!$Q$2:$Q$495,MATCH("Control MAX Planck Plate 6: C8",'CONTROL MASTER'!$I$2:$I$495,0)),"")</f>
        <v/>
      </c>
      <c r="J65" s="9" t="str">
        <f>IFERROR(INDEX('CONTROL MASTER'!$Q$2:$Q$495,MATCH("Control MAX Planck Plate 6: C9",'CONTROL MASTER'!$I$2:$I$495,0)),"")</f>
        <v/>
      </c>
      <c r="K65" s="9" t="str">
        <f>IFERROR(INDEX('CONTROL MASTER'!$Q$2:$Q$495,MATCH("Control MAX Planck Plate 6: C10",'CONTROL MASTER'!$I$2:$I$495,0)),"")</f>
        <v/>
      </c>
      <c r="L65" s="9" t="str">
        <f>IFERROR(INDEX('CONTROL MASTER'!$Q$2:$Q$495,MATCH("Control MAX Planck Plate 6: C11",'CONTROL MASTER'!$I$2:$I$495,0)),"")</f>
        <v/>
      </c>
      <c r="M65" s="9" t="str">
        <f>IFERROR(INDEX('CONTROL MASTER'!$Q$2:$Q$495,MATCH("Control MAX Planck Plate 6: C12",'CONTROL MASTER'!$I$2:$I$495,0)),"")</f>
        <v/>
      </c>
    </row>
    <row r="66" spans="1:13" ht="15" customHeight="1" x14ac:dyDescent="0.35">
      <c r="A66" s="8" t="s">
        <v>31</v>
      </c>
      <c r="B66" s="9" t="str">
        <f>IFERROR(INDEX('CONTROL MASTER'!$Q$2:$Q$495,MATCH("Control MAX Planck Plate 6: D1",'CONTROL MASTER'!$I$2:$I$495,0)),"")</f>
        <v/>
      </c>
      <c r="C66" s="9" t="str">
        <f>IFERROR(INDEX('CONTROL MASTER'!$Q$2:$Q$495,MATCH("Control MAX Planck Plate 6: D2",'CONTROL MASTER'!$I$2:$I$495,0)),"")</f>
        <v/>
      </c>
      <c r="D66" s="9" t="str">
        <f>IFERROR(INDEX('CONTROL MASTER'!$Q$2:$Q$495,MATCH("Control MAX Planck Plate 6: D3",'CONTROL MASTER'!$I$2:$I$495,0)),"")</f>
        <v/>
      </c>
      <c r="E66" s="9" t="str">
        <f>IFERROR(INDEX('CONTROL MASTER'!$Q$2:$Q$495,MATCH("Control MAX Planck Plate 6: D4",'CONTROL MASTER'!$I$2:$I$495,0)),"")</f>
        <v/>
      </c>
      <c r="F66" s="9" t="str">
        <f>IFERROR(INDEX('CONTROL MASTER'!$Q$2:$Q$495,MATCH("Control MAX Planck Plate 6: D5",'CONTROL MASTER'!$I$2:$I$495,0)),"")</f>
        <v/>
      </c>
      <c r="G66" s="9" t="str">
        <f>IFERROR(INDEX('CONTROL MASTER'!$Q$2:$Q$495,MATCH("Control MAX Planck Plate 6: D6",'CONTROL MASTER'!$I$2:$I$495,0)),"")</f>
        <v/>
      </c>
      <c r="H66" s="9" t="str">
        <f>IFERROR(INDEX('CONTROL MASTER'!$Q$2:$Q$495,MATCH("Control MAX Planck Plate 6: D7",'CONTROL MASTER'!$I$2:$I$495,0)),"")</f>
        <v/>
      </c>
      <c r="I66" s="9" t="str">
        <f>IFERROR(INDEX('CONTROL MASTER'!$Q$2:$Q$495,MATCH("Control MAX Planck Plate 6: D8",'CONTROL MASTER'!$I$2:$I$495,0)),"")</f>
        <v/>
      </c>
      <c r="J66" s="9" t="str">
        <f>IFERROR(INDEX('CONTROL MASTER'!$Q$2:$Q$495,MATCH("Control MAX Planck Plate 6: D9",'CONTROL MASTER'!$I$2:$I$495,0)),"")</f>
        <v/>
      </c>
      <c r="K66" s="9" t="str">
        <f>IFERROR(INDEX('CONTROL MASTER'!$Q$2:$Q$495,MATCH("Control MAX Planck Plate 6: D10",'CONTROL MASTER'!$I$2:$I$495,0)),"")</f>
        <v/>
      </c>
      <c r="L66" s="9" t="str">
        <f>IFERROR(INDEX('CONTROL MASTER'!$Q$2:$Q$495,MATCH("Control MAX Planck Plate 6: D11",'CONTROL MASTER'!$I$2:$I$495,0)),"")</f>
        <v/>
      </c>
      <c r="M66" s="9" t="str">
        <f>IFERROR(INDEX('CONTROL MASTER'!$Q$2:$Q$495,MATCH("Control MAX Planck Plate 6: D12",'CONTROL MASTER'!$I$2:$I$495,0)),"")</f>
        <v/>
      </c>
    </row>
    <row r="67" spans="1:13" ht="15" customHeight="1" x14ac:dyDescent="0.35">
      <c r="A67" s="8" t="s">
        <v>32</v>
      </c>
      <c r="B67" s="9" t="str">
        <f>IFERROR(INDEX('CONTROL MASTER'!$Q$2:$Q$495,MATCH("Control MAX Planck Plate 6: E1",'CONTROL MASTER'!$I$2:$I$495,0)),"")</f>
        <v/>
      </c>
      <c r="C67" s="9" t="str">
        <f>IFERROR(INDEX('CONTROL MASTER'!$Q$2:$Q$495,MATCH("Control MAX Planck Plate 6: E2",'CONTROL MASTER'!$I$2:$I$495,0)),"")</f>
        <v/>
      </c>
      <c r="D67" s="9" t="str">
        <f>IFERROR(INDEX('CONTROL MASTER'!$Q$2:$Q$495,MATCH("Control MAX Planck Plate 6: E3",'CONTROL MASTER'!$I$2:$I$495,0)),"")</f>
        <v/>
      </c>
      <c r="E67" s="9" t="str">
        <f>IFERROR(INDEX('CONTROL MASTER'!$Q$2:$Q$495,MATCH("Control MAX Planck Plate 6: E4",'CONTROL MASTER'!$I$2:$I$495,0)),"")</f>
        <v/>
      </c>
      <c r="F67" s="9" t="str">
        <f>IFERROR(INDEX('CONTROL MASTER'!$Q$2:$Q$495,MATCH("Control MAX Planck Plate 6: E5",'CONTROL MASTER'!$I$2:$I$495,0)),"")</f>
        <v/>
      </c>
      <c r="G67" s="9" t="str">
        <f>IFERROR(INDEX('CONTROL MASTER'!$Q$2:$Q$495,MATCH("Control MAX Planck Plate 6: E6",'CONTROL MASTER'!$I$2:$I$495,0)),"")</f>
        <v/>
      </c>
      <c r="H67" s="9" t="str">
        <f>IFERROR(INDEX('CONTROL MASTER'!$Q$2:$Q$495,MATCH("Control MAX Planck Plate 6: E7",'CONTROL MASTER'!$I$2:$I$495,0)),"")</f>
        <v/>
      </c>
      <c r="I67" s="9" t="str">
        <f>IFERROR(INDEX('CONTROL MASTER'!$Q$2:$Q$495,MATCH("Control MAX Planck Plate 6: E8",'CONTROL MASTER'!$I$2:$I$495,0)),"")</f>
        <v/>
      </c>
      <c r="J67" s="9" t="str">
        <f>IFERROR(INDEX('CONTROL MASTER'!$Q$2:$Q$495,MATCH("Control MAX Planck Plate 6: E9",'CONTROL MASTER'!$I$2:$I$495,0)),"")</f>
        <v/>
      </c>
      <c r="K67" s="9" t="str">
        <f>IFERROR(INDEX('CONTROL MASTER'!$Q$2:$Q$495,MATCH("Control MAX Planck Plate 6: E10",'CONTROL MASTER'!$I$2:$I$495,0)),"")</f>
        <v/>
      </c>
      <c r="L67" s="9" t="str">
        <f>IFERROR(INDEX('CONTROL MASTER'!$Q$2:$Q$495,MATCH("Control MAX Planck Plate 6: E11",'CONTROL MASTER'!$I$2:$I$495,0)),"")</f>
        <v/>
      </c>
      <c r="M67" s="9" t="str">
        <f>IFERROR(INDEX('CONTROL MASTER'!$Q$2:$Q$495,MATCH("Control MAX Planck Plate 6: E12",'CONTROL MASTER'!$I$2:$I$495,0)),"")</f>
        <v/>
      </c>
    </row>
    <row r="68" spans="1:13" ht="15" customHeight="1" x14ac:dyDescent="0.35">
      <c r="A68" s="8" t="s">
        <v>33</v>
      </c>
      <c r="B68" s="9" t="str">
        <f>IFERROR(INDEX('CONTROL MASTER'!$Q$2:$Q$495,MATCH("Control MAX Planck Plate 6: F1",'CONTROL MASTER'!$I$2:$I$495,0)),"")</f>
        <v/>
      </c>
      <c r="C68" s="9" t="str">
        <f>IFERROR(INDEX('CONTROL MASTER'!$Q$2:$Q$495,MATCH("Control MAX Planck Plate 6: F2",'CONTROL MASTER'!$I$2:$I$495,0)),"")</f>
        <v/>
      </c>
      <c r="D68" s="9" t="str">
        <f>IFERROR(INDEX('CONTROL MASTER'!$Q$2:$Q$495,MATCH("Control MAX Planck Plate 6: F3",'CONTROL MASTER'!$I$2:$I$495,0)),"")</f>
        <v/>
      </c>
      <c r="E68" s="9" t="str">
        <f>IFERROR(INDEX('CONTROL MASTER'!$Q$2:$Q$495,MATCH("Control MAX Planck Plate 6: F4",'CONTROL MASTER'!$I$2:$I$495,0)),"")</f>
        <v/>
      </c>
      <c r="F68" s="9" t="str">
        <f>IFERROR(INDEX('CONTROL MASTER'!$Q$2:$Q$495,MATCH("Control MAX Planck Plate 6: F5",'CONTROL MASTER'!$I$2:$I$495,0)),"")</f>
        <v/>
      </c>
      <c r="G68" s="9" t="str">
        <f>IFERROR(INDEX('CONTROL MASTER'!$Q$2:$Q$495,MATCH("Control MAX Planck Plate 6: F6",'CONTROL MASTER'!$I$2:$I$495,0)),"")</f>
        <v/>
      </c>
      <c r="H68" s="9" t="str">
        <f>IFERROR(INDEX('CONTROL MASTER'!$Q$2:$Q$495,MATCH("Control MAX Planck Plate 6: F7",'CONTROL MASTER'!$I$2:$I$495,0)),"")</f>
        <v/>
      </c>
      <c r="I68" s="9" t="str">
        <f>IFERROR(INDEX('CONTROL MASTER'!$Q$2:$Q$495,MATCH("Control MAX Planck Plate 6: F8",'CONTROL MASTER'!$I$2:$I$495,0)),"")</f>
        <v/>
      </c>
      <c r="J68" s="9" t="str">
        <f>IFERROR(INDEX('CONTROL MASTER'!$Q$2:$Q$495,MATCH("Control MAX Planck Plate 6: F9",'CONTROL MASTER'!$I$2:$I$495,0)),"")</f>
        <v/>
      </c>
      <c r="K68" s="9" t="str">
        <f>IFERROR(INDEX('CONTROL MASTER'!$Q$2:$Q$495,MATCH("Control MAX Planck Plate 6: F10",'CONTROL MASTER'!$I$2:$I$495,0)),"")</f>
        <v/>
      </c>
      <c r="L68" s="9" t="str">
        <f>IFERROR(INDEX('CONTROL MASTER'!$Q$2:$Q$495,MATCH("Control MAX Planck Plate 6: F11",'CONTROL MASTER'!$I$2:$I$495,0)),"")</f>
        <v/>
      </c>
      <c r="M68" s="9" t="str">
        <f>IFERROR(INDEX('CONTROL MASTER'!$Q$2:$Q$495,MATCH("Control MAX Planck Plate 6: F12",'CONTROL MASTER'!$I$2:$I$495,0)),"")</f>
        <v/>
      </c>
    </row>
    <row r="69" spans="1:13" ht="15" customHeight="1" x14ac:dyDescent="0.35">
      <c r="A69" s="8" t="s">
        <v>34</v>
      </c>
      <c r="B69" s="9" t="str">
        <f>IFERROR(INDEX('CONTROL MASTER'!$Q$2:$Q$495,MATCH("Control MAX Planck Plate 6: G1",'CONTROL MASTER'!$I$2:$I$495,0)),"")</f>
        <v/>
      </c>
      <c r="C69" s="9" t="str">
        <f>IFERROR(INDEX('CONTROL MASTER'!$Q$2:$Q$495,MATCH("Control MAX Planck Plate 6: G2",'CONTROL MASTER'!$I$2:$I$495,0)),"")</f>
        <v/>
      </c>
      <c r="D69" s="9" t="str">
        <f>IFERROR(INDEX('CONTROL MASTER'!$Q$2:$Q$495,MATCH("Control MAX Planck Plate 6: G3",'CONTROL MASTER'!$I$2:$I$495,0)),"")</f>
        <v/>
      </c>
      <c r="E69" s="9" t="str">
        <f>IFERROR(INDEX('CONTROL MASTER'!$Q$2:$Q$495,MATCH("Control MAX Planck Plate 6: G4",'CONTROL MASTER'!$I$2:$I$495,0)),"")</f>
        <v/>
      </c>
      <c r="F69" s="9" t="str">
        <f>IFERROR(INDEX('CONTROL MASTER'!$Q$2:$Q$495,MATCH("Control MAX Planck Plate 6: G5",'CONTROL MASTER'!$I$2:$I$495,0)),"")</f>
        <v/>
      </c>
      <c r="G69" s="9" t="str">
        <f>IFERROR(INDEX('CONTROL MASTER'!$Q$2:$Q$495,MATCH("Control MAX Planck Plate 6: G6",'CONTROL MASTER'!$I$2:$I$495,0)),"")</f>
        <v/>
      </c>
      <c r="H69" s="9" t="str">
        <f>IFERROR(INDEX('CONTROL MASTER'!$Q$2:$Q$495,MATCH("Control MAX Planck Plate 6: G7",'CONTROL MASTER'!$I$2:$I$495,0)),"")</f>
        <v/>
      </c>
      <c r="I69" s="9" t="str">
        <f>IFERROR(INDEX('CONTROL MASTER'!$Q$2:$Q$495,MATCH("Control MAX Planck Plate 6: G8",'CONTROL MASTER'!$I$2:$I$495,0)),"")</f>
        <v/>
      </c>
      <c r="J69" s="9" t="str">
        <f>IFERROR(INDEX('CONTROL MASTER'!$Q$2:$Q$495,MATCH("Control MAX Planck Plate 6: G9",'CONTROL MASTER'!$I$2:$I$495,0)),"")</f>
        <v/>
      </c>
      <c r="K69" s="9" t="str">
        <f>IFERROR(INDEX('CONTROL MASTER'!$Q$2:$Q$495,MATCH("Control MAX Planck Plate 6: G10",'CONTROL MASTER'!$I$2:$I$495,0)),"")</f>
        <v/>
      </c>
      <c r="L69" s="9" t="str">
        <f>IFERROR(INDEX('CONTROL MASTER'!$Q$2:$Q$495,MATCH("Control MAX Planck Plate 6: G11",'CONTROL MASTER'!$I$2:$I$495,0)),"")</f>
        <v/>
      </c>
      <c r="M69" s="9" t="str">
        <f>IFERROR(INDEX('CONTROL MASTER'!$Q$2:$Q$495,MATCH("Control MAX Planck Plate 6: G12",'CONTROL MASTER'!$I$2:$I$495,0)),"")</f>
        <v/>
      </c>
    </row>
    <row r="70" spans="1:13" ht="15" customHeight="1" x14ac:dyDescent="0.35">
      <c r="A70" s="8" t="s">
        <v>35</v>
      </c>
      <c r="B70" s="9" t="str">
        <f>IFERROR(INDEX('CONTROL MASTER'!$Q$2:$Q$495,MATCH("Control MAX Planck Plate 6: H1",'CONTROL MASTER'!$I$2:$I$495,0)),"")</f>
        <v/>
      </c>
      <c r="C70" s="9" t="str">
        <f>IFERROR(INDEX('CONTROL MASTER'!$Q$2:$Q$495,MATCH("Control MAX Planck Plate 6: H2",'CONTROL MASTER'!$I$2:$I$495,0)),"")</f>
        <v/>
      </c>
      <c r="D70" s="9" t="str">
        <f>IFERROR(INDEX('CONTROL MASTER'!$Q$2:$Q$495,MATCH("Control MAX Planck Plate 6: H3",'CONTROL MASTER'!$I$2:$I$495,0)),"")</f>
        <v/>
      </c>
      <c r="E70" s="9" t="str">
        <f>IFERROR(INDEX('CONTROL MASTER'!$Q$2:$Q$495,MATCH("Control MAX Planck Plate 6: H4",'CONTROL MASTER'!$I$2:$I$495,0)),"")</f>
        <v/>
      </c>
      <c r="F70" s="9" t="str">
        <f>IFERROR(INDEX('CONTROL MASTER'!$Q$2:$Q$495,MATCH("Control MAX Planck Plate 6: H5",'CONTROL MASTER'!$I$2:$I$495,0)),"")</f>
        <v/>
      </c>
      <c r="G70" s="9" t="str">
        <f>IFERROR(INDEX('CONTROL MASTER'!$Q$2:$Q$495,MATCH("Control MAX Planck Plate 6: H6",'CONTROL MASTER'!$I$2:$I$495,0)),"")</f>
        <v/>
      </c>
      <c r="H70" s="9" t="str">
        <f>IFERROR(INDEX('CONTROL MASTER'!$Q$2:$Q$495,MATCH("Control MAX Planck Plate 6: H7",'CONTROL MASTER'!$I$2:$I$495,0)),"")</f>
        <v/>
      </c>
      <c r="I70" s="9" t="str">
        <f>IFERROR(INDEX('CONTROL MASTER'!$Q$2:$Q$495,MATCH("Control MAX Planck Plate 6: H8",'CONTROL MASTER'!$I$2:$I$495,0)),"")</f>
        <v/>
      </c>
      <c r="J70" s="9" t="str">
        <f>IFERROR(INDEX('CONTROL MASTER'!$Q$2:$Q$495,MATCH("Control MAX Planck Plate 6: H9",'CONTROL MASTER'!$I$2:$I$495,0)),"")</f>
        <v/>
      </c>
      <c r="K70" s="9" t="str">
        <f>IFERROR(INDEX('CONTROL MASTER'!$Q$2:$Q$495,MATCH("Control MAX Planck Plate 6: H10",'CONTROL MASTER'!$I$2:$I$495,0)),"")</f>
        <v/>
      </c>
      <c r="L70" s="9" t="str">
        <f>IFERROR(INDEX('CONTROL MASTER'!$Q$2:$Q$495,MATCH("Control MAX Planck Plate 6: H11",'CONTROL MASTER'!$I$2:$I$495,0)),"")</f>
        <v/>
      </c>
      <c r="M70" s="9" t="str">
        <f>IFERROR(INDEX('CONTROL MASTER'!$Q$2:$Q$495,MATCH("Control MAX Planck Plate 6: H12",'CONTROL MASTER'!$I$2:$I$495,0)),"")</f>
        <v/>
      </c>
    </row>
    <row r="73" spans="1:13" ht="15" customHeight="1" x14ac:dyDescent="0.35">
      <c r="A73" s="12" t="s">
        <v>148</v>
      </c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</row>
    <row r="74" spans="1:13" ht="15" customHeight="1" x14ac:dyDescent="0.35">
      <c r="B74" s="8">
        <v>1</v>
      </c>
      <c r="C74" s="8">
        <v>2</v>
      </c>
      <c r="D74" s="8">
        <v>3</v>
      </c>
      <c r="E74" s="8">
        <v>4</v>
      </c>
      <c r="F74" s="8">
        <v>5</v>
      </c>
      <c r="G74" s="8">
        <v>6</v>
      </c>
      <c r="H74" s="8">
        <v>7</v>
      </c>
      <c r="I74" s="8">
        <v>8</v>
      </c>
      <c r="J74" s="8">
        <v>9</v>
      </c>
      <c r="K74" s="8">
        <v>10</v>
      </c>
      <c r="L74" s="8">
        <v>11</v>
      </c>
      <c r="M74" s="8">
        <v>12</v>
      </c>
    </row>
    <row r="75" spans="1:13" ht="15" customHeight="1" x14ac:dyDescent="0.35">
      <c r="A75" s="8" t="s">
        <v>28</v>
      </c>
      <c r="B75" s="9" t="str">
        <f>IFERROR(INDEX('CONTROL MASTER'!$Q$2:$Q$495,MATCH("Control MAX Planck Plate 7: A1",'CONTROL MASTER'!$I$2:$I$495,0)),"")</f>
        <v/>
      </c>
      <c r="C75" s="9" t="str">
        <f>IFERROR(INDEX('CONTROL MASTER'!$Q$2:$Q$495,MATCH("Control MAX Planck Plate 7: A2",'CONTROL MASTER'!$I$2:$I$495,0)),"")</f>
        <v/>
      </c>
      <c r="D75" s="9" t="str">
        <f>IFERROR(INDEX('CONTROL MASTER'!$Q$2:$Q$495,MATCH("Control MAX Planck Plate 7: A3",'CONTROL MASTER'!$I$2:$I$495,0)),"")</f>
        <v/>
      </c>
      <c r="E75" s="9" t="str">
        <f>IFERROR(INDEX('CONTROL MASTER'!$Q$2:$Q$495,MATCH("Control MAX Planck Plate 7: A4",'CONTROL MASTER'!$I$2:$I$495,0)),"")</f>
        <v/>
      </c>
      <c r="F75" s="9" t="str">
        <f>IFERROR(INDEX('CONTROL MASTER'!$Q$2:$Q$495,MATCH("Control MAX Planck Plate 7: A5",'CONTROL MASTER'!$I$2:$I$495,0)),"")</f>
        <v/>
      </c>
      <c r="G75" s="9" t="str">
        <f>IFERROR(INDEX('CONTROL MASTER'!$Q$2:$Q$495,MATCH("Control MAX Planck Plate 7: A6",'CONTROL MASTER'!$I$2:$I$495,0)),"")</f>
        <v/>
      </c>
      <c r="H75" s="9" t="str">
        <f>IFERROR(INDEX('CONTROL MASTER'!$Q$2:$Q$495,MATCH("Control MAX Planck Plate 7: A7",'CONTROL MASTER'!$I$2:$I$495,0)),"")</f>
        <v/>
      </c>
      <c r="I75" s="9" t="str">
        <f>IFERROR(INDEX('CONTROL MASTER'!$Q$2:$Q$495,MATCH("Control MAX Planck Plate 7: A8",'CONTROL MASTER'!$I$2:$I$495,0)),"")</f>
        <v/>
      </c>
      <c r="J75" s="9" t="str">
        <f>IFERROR(INDEX('CONTROL MASTER'!$Q$2:$Q$495,MATCH("Control MAX Planck Plate 7: A9",'CONTROL MASTER'!$I$2:$I$495,0)),"")</f>
        <v/>
      </c>
      <c r="K75" s="9" t="str">
        <f>IFERROR(INDEX('CONTROL MASTER'!$Q$2:$Q$495,MATCH("Control MAX Planck Plate 7: A10",'CONTROL MASTER'!$I$2:$I$495,0)),"")</f>
        <v/>
      </c>
      <c r="L75" s="9" t="str">
        <f>IFERROR(INDEX('CONTROL MASTER'!$Q$2:$Q$495,MATCH("Control MAX Planck Plate 7: A11",'CONTROL MASTER'!$I$2:$I$495,0)),"")</f>
        <v/>
      </c>
      <c r="M75" s="9" t="str">
        <f>IFERROR(INDEX('CONTROL MASTER'!$Q$2:$Q$495,MATCH("Control MAX Planck Plate 7: A12",'CONTROL MASTER'!$I$2:$I$495,0)),"")</f>
        <v/>
      </c>
    </row>
    <row r="76" spans="1:13" ht="15" customHeight="1" x14ac:dyDescent="0.35">
      <c r="A76" s="8" t="s">
        <v>29</v>
      </c>
      <c r="B76" s="9" t="str">
        <f>IFERROR(INDEX('CONTROL MASTER'!$Q$2:$Q$495,MATCH("Control MAX Planck Plate 7: B1",'CONTROL MASTER'!$I$2:$I$495,0)),"")</f>
        <v/>
      </c>
      <c r="C76" s="9" t="str">
        <f>IFERROR(INDEX('CONTROL MASTER'!$Q$2:$Q$495,MATCH("Control MAX Planck Plate 7: B2",'CONTROL MASTER'!$I$2:$I$495,0)),"")</f>
        <v/>
      </c>
      <c r="D76" s="9" t="str">
        <f>IFERROR(INDEX('CONTROL MASTER'!$Q$2:$Q$495,MATCH("Control MAX Planck Plate 7: B3",'CONTROL MASTER'!$I$2:$I$495,0)),"")</f>
        <v/>
      </c>
      <c r="E76" s="9" t="str">
        <f>IFERROR(INDEX('CONTROL MASTER'!$Q$2:$Q$495,MATCH("Control MAX Planck Plate 7: B4",'CONTROL MASTER'!$I$2:$I$495,0)),"")</f>
        <v/>
      </c>
      <c r="F76" s="9" t="str">
        <f>IFERROR(INDEX('CONTROL MASTER'!$Q$2:$Q$495,MATCH("Control MAX Planck Plate 7: B5",'CONTROL MASTER'!$I$2:$I$495,0)),"")</f>
        <v/>
      </c>
      <c r="G76" s="9" t="str">
        <f>IFERROR(INDEX('CONTROL MASTER'!$Q$2:$Q$495,MATCH("Control MAX Planck Plate 7: B6",'CONTROL MASTER'!$I$2:$I$495,0)),"")</f>
        <v/>
      </c>
      <c r="H76" s="9" t="str">
        <f>IFERROR(INDEX('CONTROL MASTER'!$Q$2:$Q$495,MATCH("Control MAX Planck Plate 7: B7",'CONTROL MASTER'!$I$2:$I$495,0)),"")</f>
        <v/>
      </c>
      <c r="I76" s="9" t="str">
        <f>IFERROR(INDEX('CONTROL MASTER'!$Q$2:$Q$495,MATCH("Control MAX Planck Plate 7: B8",'CONTROL MASTER'!$I$2:$I$495,0)),"")</f>
        <v/>
      </c>
      <c r="J76" s="9" t="str">
        <f>IFERROR(INDEX('CONTROL MASTER'!$Q$2:$Q$495,MATCH("Control MAX Planck Plate 7: B9",'CONTROL MASTER'!$I$2:$I$495,0)),"")</f>
        <v/>
      </c>
      <c r="K76" s="9" t="str">
        <f>IFERROR(INDEX('CONTROL MASTER'!$Q$2:$Q$495,MATCH("Control MAX Planck Plate 7: B10",'CONTROL MASTER'!$I$2:$I$495,0)),"")</f>
        <v/>
      </c>
      <c r="L76" s="9" t="str">
        <f>IFERROR(INDEX('CONTROL MASTER'!$Q$2:$Q$495,MATCH("Control MAX Planck Plate 7: B11",'CONTROL MASTER'!$I$2:$I$495,0)),"")</f>
        <v/>
      </c>
      <c r="M76" s="9" t="str">
        <f>IFERROR(INDEX('CONTROL MASTER'!$Q$2:$Q$495,MATCH("Control MAX Planck Plate 7: B12",'CONTROL MASTER'!$I$2:$I$495,0)),"")</f>
        <v/>
      </c>
    </row>
    <row r="77" spans="1:13" ht="15" customHeight="1" x14ac:dyDescent="0.35">
      <c r="A77" s="8" t="s">
        <v>30</v>
      </c>
      <c r="B77" s="9" t="str">
        <f>IFERROR(INDEX('CONTROL MASTER'!$Q$2:$Q$495,MATCH("Control MAX Planck Plate 7: C1",'CONTROL MASTER'!$I$2:$I$495,0)),"")</f>
        <v/>
      </c>
      <c r="C77" s="9" t="str">
        <f>IFERROR(INDEX('CONTROL MASTER'!$Q$2:$Q$495,MATCH("Control MAX Planck Plate 7: C2",'CONTROL MASTER'!$I$2:$I$495,0)),"")</f>
        <v/>
      </c>
      <c r="D77" s="9" t="str">
        <f>IFERROR(INDEX('CONTROL MASTER'!$Q$2:$Q$495,MATCH("Control MAX Planck Plate 7: C3",'CONTROL MASTER'!$I$2:$I$495,0)),"")</f>
        <v/>
      </c>
      <c r="E77" s="9" t="str">
        <f>IFERROR(INDEX('CONTROL MASTER'!$Q$2:$Q$495,MATCH("Control MAX Planck Plate 7: C4",'CONTROL MASTER'!$I$2:$I$495,0)),"")</f>
        <v/>
      </c>
      <c r="F77" s="9" t="str">
        <f>IFERROR(INDEX('CONTROL MASTER'!$Q$2:$Q$495,MATCH("Control MAX Planck Plate 7: C5",'CONTROL MASTER'!$I$2:$I$495,0)),"")</f>
        <v/>
      </c>
      <c r="G77" s="9" t="str">
        <f>IFERROR(INDEX('CONTROL MASTER'!$Q$2:$Q$495,MATCH("Control MAX Planck Plate 7: C6",'CONTROL MASTER'!$I$2:$I$495,0)),"")</f>
        <v/>
      </c>
      <c r="H77" s="9" t="str">
        <f>IFERROR(INDEX('CONTROL MASTER'!$Q$2:$Q$495,MATCH("Control MAX Planck Plate 7: C7",'CONTROL MASTER'!$I$2:$I$495,0)),"")</f>
        <v/>
      </c>
      <c r="I77" s="9" t="str">
        <f>IFERROR(INDEX('CONTROL MASTER'!$Q$2:$Q$495,MATCH("Control MAX Planck Plate 7: C8",'CONTROL MASTER'!$I$2:$I$495,0)),"")</f>
        <v/>
      </c>
      <c r="J77" s="9" t="str">
        <f>IFERROR(INDEX('CONTROL MASTER'!$Q$2:$Q$495,MATCH("Control MAX Planck Plate 7: C9",'CONTROL MASTER'!$I$2:$I$495,0)),"")</f>
        <v/>
      </c>
      <c r="K77" s="9" t="str">
        <f>IFERROR(INDEX('CONTROL MASTER'!$Q$2:$Q$495,MATCH("Control MAX Planck Plate 7: C10",'CONTROL MASTER'!$I$2:$I$495,0)),"")</f>
        <v/>
      </c>
      <c r="L77" s="9" t="str">
        <f>IFERROR(INDEX('CONTROL MASTER'!$Q$2:$Q$495,MATCH("Control MAX Planck Plate 7: C11",'CONTROL MASTER'!$I$2:$I$495,0)),"")</f>
        <v/>
      </c>
      <c r="M77" s="9" t="str">
        <f>IFERROR(INDEX('CONTROL MASTER'!$Q$2:$Q$495,MATCH("Control MAX Planck Plate 7: C12",'CONTROL MASTER'!$I$2:$I$495,0)),"")</f>
        <v/>
      </c>
    </row>
    <row r="78" spans="1:13" ht="15" customHeight="1" x14ac:dyDescent="0.35">
      <c r="A78" s="8" t="s">
        <v>31</v>
      </c>
      <c r="B78" s="9" t="str">
        <f>IFERROR(INDEX('CONTROL MASTER'!$Q$2:$Q$495,MATCH("Control MAX Planck Plate 7: D1",'CONTROL MASTER'!$I$2:$I$495,0)),"")</f>
        <v/>
      </c>
      <c r="C78" s="9" t="str">
        <f>IFERROR(INDEX('CONTROL MASTER'!$Q$2:$Q$495,MATCH("Control MAX Planck Plate 7: D2",'CONTROL MASTER'!$I$2:$I$495,0)),"")</f>
        <v/>
      </c>
      <c r="D78" s="9" t="str">
        <f>IFERROR(INDEX('CONTROL MASTER'!$Q$2:$Q$495,MATCH("Control MAX Planck Plate 7: D3",'CONTROL MASTER'!$I$2:$I$495,0)),"")</f>
        <v/>
      </c>
      <c r="E78" s="9" t="str">
        <f>IFERROR(INDEX('CONTROL MASTER'!$Q$2:$Q$495,MATCH("Control MAX Planck Plate 7: D4",'CONTROL MASTER'!$I$2:$I$495,0)),"")</f>
        <v/>
      </c>
      <c r="F78" s="9" t="str">
        <f>IFERROR(INDEX('CONTROL MASTER'!$Q$2:$Q$495,MATCH("Control MAX Planck Plate 7: D5",'CONTROL MASTER'!$I$2:$I$495,0)),"")</f>
        <v/>
      </c>
      <c r="G78" s="9" t="str">
        <f>IFERROR(INDEX('CONTROL MASTER'!$Q$2:$Q$495,MATCH("Control MAX Planck Plate 7: D6",'CONTROL MASTER'!$I$2:$I$495,0)),"")</f>
        <v/>
      </c>
      <c r="H78" s="9" t="str">
        <f>IFERROR(INDEX('CONTROL MASTER'!$Q$2:$Q$495,MATCH("Control MAX Planck Plate 7: D7",'CONTROL MASTER'!$I$2:$I$495,0)),"")</f>
        <v/>
      </c>
      <c r="I78" s="9" t="str">
        <f>IFERROR(INDEX('CONTROL MASTER'!$Q$2:$Q$495,MATCH("Control MAX Planck Plate 7: D8",'CONTROL MASTER'!$I$2:$I$495,0)),"")</f>
        <v/>
      </c>
      <c r="J78" s="9" t="str">
        <f>IFERROR(INDEX('CONTROL MASTER'!$Q$2:$Q$495,MATCH("Control MAX Planck Plate 7: D9",'CONTROL MASTER'!$I$2:$I$495,0)),"")</f>
        <v/>
      </c>
      <c r="K78" s="9" t="str">
        <f>IFERROR(INDEX('CONTROL MASTER'!$Q$2:$Q$495,MATCH("Control MAX Planck Plate 7: D10",'CONTROL MASTER'!$I$2:$I$495,0)),"")</f>
        <v/>
      </c>
      <c r="L78" s="9" t="str">
        <f>IFERROR(INDEX('CONTROL MASTER'!$Q$2:$Q$495,MATCH("Control MAX Planck Plate 7: D11",'CONTROL MASTER'!$I$2:$I$495,0)),"")</f>
        <v/>
      </c>
      <c r="M78" s="9" t="str">
        <f>IFERROR(INDEX('CONTROL MASTER'!$Q$2:$Q$495,MATCH("Control MAX Planck Plate 7: D12",'CONTROL MASTER'!$I$2:$I$495,0)),"")</f>
        <v/>
      </c>
    </row>
    <row r="79" spans="1:13" ht="15" customHeight="1" x14ac:dyDescent="0.35">
      <c r="A79" s="8" t="s">
        <v>32</v>
      </c>
      <c r="B79" s="9" t="str">
        <f>IFERROR(INDEX('CONTROL MASTER'!$Q$2:$Q$495,MATCH("Control MAX Planck Plate 7: E1",'CONTROL MASTER'!$I$2:$I$495,0)),"")</f>
        <v/>
      </c>
      <c r="C79" s="9" t="str">
        <f>IFERROR(INDEX('CONTROL MASTER'!$Q$2:$Q$495,MATCH("Control MAX Planck Plate 7: E2",'CONTROL MASTER'!$I$2:$I$495,0)),"")</f>
        <v/>
      </c>
      <c r="D79" s="9" t="str">
        <f>IFERROR(INDEX('CONTROL MASTER'!$Q$2:$Q$495,MATCH("Control MAX Planck Plate 7: E3",'CONTROL MASTER'!$I$2:$I$495,0)),"")</f>
        <v/>
      </c>
      <c r="E79" s="9" t="str">
        <f>IFERROR(INDEX('CONTROL MASTER'!$Q$2:$Q$495,MATCH("Control MAX Planck Plate 7: E4",'CONTROL MASTER'!$I$2:$I$495,0)),"")</f>
        <v/>
      </c>
      <c r="F79" s="9" t="str">
        <f>IFERROR(INDEX('CONTROL MASTER'!$Q$2:$Q$495,MATCH("Control MAX Planck Plate 7: E5",'CONTROL MASTER'!$I$2:$I$495,0)),"")</f>
        <v/>
      </c>
      <c r="G79" s="9" t="str">
        <f>IFERROR(INDEX('CONTROL MASTER'!$Q$2:$Q$495,MATCH("Control MAX Planck Plate 7: E6",'CONTROL MASTER'!$I$2:$I$495,0)),"")</f>
        <v/>
      </c>
      <c r="H79" s="9" t="str">
        <f>IFERROR(INDEX('CONTROL MASTER'!$Q$2:$Q$495,MATCH("Control MAX Planck Plate 7: E7",'CONTROL MASTER'!$I$2:$I$495,0)),"")</f>
        <v/>
      </c>
      <c r="I79" s="9" t="str">
        <f>IFERROR(INDEX('CONTROL MASTER'!$Q$2:$Q$495,MATCH("Control MAX Planck Plate 7: E8",'CONTROL MASTER'!$I$2:$I$495,0)),"")</f>
        <v/>
      </c>
      <c r="J79" s="9" t="str">
        <f>IFERROR(INDEX('CONTROL MASTER'!$Q$2:$Q$495,MATCH("Control MAX Planck Plate 7: E9",'CONTROL MASTER'!$I$2:$I$495,0)),"")</f>
        <v/>
      </c>
      <c r="K79" s="9" t="str">
        <f>IFERROR(INDEX('CONTROL MASTER'!$Q$2:$Q$495,MATCH("Control MAX Planck Plate 7: E10",'CONTROL MASTER'!$I$2:$I$495,0)),"")</f>
        <v/>
      </c>
      <c r="L79" s="9" t="str">
        <f>IFERROR(INDEX('CONTROL MASTER'!$Q$2:$Q$495,MATCH("Control MAX Planck Plate 7: E11",'CONTROL MASTER'!$I$2:$I$495,0)),"")</f>
        <v/>
      </c>
      <c r="M79" s="9" t="str">
        <f>IFERROR(INDEX('CONTROL MASTER'!$Q$2:$Q$495,MATCH("Control MAX Planck Plate 7: E12",'CONTROL MASTER'!$I$2:$I$495,0)),"")</f>
        <v/>
      </c>
    </row>
    <row r="80" spans="1:13" ht="15" customHeight="1" x14ac:dyDescent="0.35">
      <c r="A80" s="8" t="s">
        <v>33</v>
      </c>
      <c r="B80" s="9" t="str">
        <f>IFERROR(INDEX('CONTROL MASTER'!$Q$2:$Q$495,MATCH("Control MAX Planck Plate 7: F1",'CONTROL MASTER'!$I$2:$I$495,0)),"")</f>
        <v/>
      </c>
      <c r="C80" s="9" t="str">
        <f>IFERROR(INDEX('CONTROL MASTER'!$Q$2:$Q$495,MATCH("Control MAX Planck Plate 7: F2",'CONTROL MASTER'!$I$2:$I$495,0)),"")</f>
        <v/>
      </c>
      <c r="D80" s="9" t="str">
        <f>IFERROR(INDEX('CONTROL MASTER'!$Q$2:$Q$495,MATCH("Control MAX Planck Plate 7: F3",'CONTROL MASTER'!$I$2:$I$495,0)),"")</f>
        <v/>
      </c>
      <c r="E80" s="9" t="str">
        <f>IFERROR(INDEX('CONTROL MASTER'!$Q$2:$Q$495,MATCH("Control MAX Planck Plate 7: F4",'CONTROL MASTER'!$I$2:$I$495,0)),"")</f>
        <v/>
      </c>
      <c r="F80" s="9" t="str">
        <f>IFERROR(INDEX('CONTROL MASTER'!$Q$2:$Q$495,MATCH("Control MAX Planck Plate 7: F5",'CONTROL MASTER'!$I$2:$I$495,0)),"")</f>
        <v/>
      </c>
      <c r="G80" s="9" t="str">
        <f>IFERROR(INDEX('CONTROL MASTER'!$Q$2:$Q$495,MATCH("Control MAX Planck Plate 7: F6",'CONTROL MASTER'!$I$2:$I$495,0)),"")</f>
        <v/>
      </c>
      <c r="H80" s="9" t="str">
        <f>IFERROR(INDEX('CONTROL MASTER'!$Q$2:$Q$495,MATCH("Control MAX Planck Plate 7: F7",'CONTROL MASTER'!$I$2:$I$495,0)),"")</f>
        <v/>
      </c>
      <c r="I80" s="9" t="str">
        <f>IFERROR(INDEX('CONTROL MASTER'!$Q$2:$Q$495,MATCH("Control MAX Planck Plate 7: F8",'CONTROL MASTER'!$I$2:$I$495,0)),"")</f>
        <v/>
      </c>
      <c r="J80" s="9" t="str">
        <f>IFERROR(INDEX('CONTROL MASTER'!$Q$2:$Q$495,MATCH("Control MAX Planck Plate 7: F9",'CONTROL MASTER'!$I$2:$I$495,0)),"")</f>
        <v/>
      </c>
      <c r="K80" s="9" t="str">
        <f>IFERROR(INDEX('CONTROL MASTER'!$Q$2:$Q$495,MATCH("Control MAX Planck Plate 7: F10",'CONTROL MASTER'!$I$2:$I$495,0)),"")</f>
        <v/>
      </c>
      <c r="L80" s="9" t="str">
        <f>IFERROR(INDEX('CONTROL MASTER'!$Q$2:$Q$495,MATCH("Control MAX Planck Plate 7: F11",'CONTROL MASTER'!$I$2:$I$495,0)),"")</f>
        <v/>
      </c>
      <c r="M80" s="9" t="str">
        <f>IFERROR(INDEX('CONTROL MASTER'!$Q$2:$Q$495,MATCH("Control MAX Planck Plate 7: F12",'CONTROL MASTER'!$I$2:$I$495,0)),"")</f>
        <v/>
      </c>
    </row>
    <row r="81" spans="1:13" ht="15" customHeight="1" x14ac:dyDescent="0.35">
      <c r="A81" s="8" t="s">
        <v>34</v>
      </c>
      <c r="B81" s="9" t="str">
        <f>IFERROR(INDEX('CONTROL MASTER'!$Q$2:$Q$495,MATCH("Control MAX Planck Plate 7: G1",'CONTROL MASTER'!$I$2:$I$495,0)),"")</f>
        <v/>
      </c>
      <c r="C81" s="9" t="str">
        <f>IFERROR(INDEX('CONTROL MASTER'!$Q$2:$Q$495,MATCH("Control MAX Planck Plate 7: G2",'CONTROL MASTER'!$I$2:$I$495,0)),"")</f>
        <v/>
      </c>
      <c r="D81" s="9" t="str">
        <f>IFERROR(INDEX('CONTROL MASTER'!$Q$2:$Q$495,MATCH("Control MAX Planck Plate 7: G3",'CONTROL MASTER'!$I$2:$I$495,0)),"")</f>
        <v/>
      </c>
      <c r="E81" s="9" t="str">
        <f>IFERROR(INDEX('CONTROL MASTER'!$Q$2:$Q$495,MATCH("Control MAX Planck Plate 7: G4",'CONTROL MASTER'!$I$2:$I$495,0)),"")</f>
        <v/>
      </c>
      <c r="F81" s="9" t="str">
        <f>IFERROR(INDEX('CONTROL MASTER'!$Q$2:$Q$495,MATCH("Control MAX Planck Plate 7: G5",'CONTROL MASTER'!$I$2:$I$495,0)),"")</f>
        <v/>
      </c>
      <c r="G81" s="9" t="str">
        <f>IFERROR(INDEX('CONTROL MASTER'!$Q$2:$Q$495,MATCH("Control MAX Planck Plate 7: G6",'CONTROL MASTER'!$I$2:$I$495,0)),"")</f>
        <v/>
      </c>
      <c r="H81" s="9" t="str">
        <f>IFERROR(INDEX('CONTROL MASTER'!$Q$2:$Q$495,MATCH("Control MAX Planck Plate 7: G7",'CONTROL MASTER'!$I$2:$I$495,0)),"")</f>
        <v/>
      </c>
      <c r="I81" s="9" t="str">
        <f>IFERROR(INDEX('CONTROL MASTER'!$Q$2:$Q$495,MATCH("Control MAX Planck Plate 7: G8",'CONTROL MASTER'!$I$2:$I$495,0)),"")</f>
        <v/>
      </c>
      <c r="J81" s="9" t="str">
        <f>IFERROR(INDEX('CONTROL MASTER'!$Q$2:$Q$495,MATCH("Control MAX Planck Plate 7: G9",'CONTROL MASTER'!$I$2:$I$495,0)),"")</f>
        <v/>
      </c>
      <c r="K81" s="9" t="str">
        <f>IFERROR(INDEX('CONTROL MASTER'!$Q$2:$Q$495,MATCH("Control MAX Planck Plate 7: G10",'CONTROL MASTER'!$I$2:$I$495,0)),"")</f>
        <v/>
      </c>
      <c r="L81" s="9" t="str">
        <f>IFERROR(INDEX('CONTROL MASTER'!$Q$2:$Q$495,MATCH("Control MAX Planck Plate 7: G11",'CONTROL MASTER'!$I$2:$I$495,0)),"")</f>
        <v/>
      </c>
      <c r="M81" s="9" t="str">
        <f>IFERROR(INDEX('CONTROL MASTER'!$Q$2:$Q$495,MATCH("Control MAX Planck Plate 7: G12",'CONTROL MASTER'!$I$2:$I$495,0)),"")</f>
        <v/>
      </c>
    </row>
    <row r="82" spans="1:13" ht="15" customHeight="1" x14ac:dyDescent="0.35">
      <c r="A82" s="8" t="s">
        <v>35</v>
      </c>
      <c r="B82" s="9" t="str">
        <f>IFERROR(INDEX('CONTROL MASTER'!$Q$2:$Q$495,MATCH("Control MAX Planck Plate 7: H1",'CONTROL MASTER'!$I$2:$I$495,0)),"")</f>
        <v/>
      </c>
      <c r="C82" s="9" t="str">
        <f>IFERROR(INDEX('CONTROL MASTER'!$Q$2:$Q$495,MATCH("Control MAX Planck Plate 7: H2",'CONTROL MASTER'!$I$2:$I$495,0)),"")</f>
        <v/>
      </c>
      <c r="D82" s="9" t="str">
        <f>IFERROR(INDEX('CONTROL MASTER'!$Q$2:$Q$495,MATCH("Control MAX Planck Plate 7: H3",'CONTROL MASTER'!$I$2:$I$495,0)),"")</f>
        <v/>
      </c>
      <c r="E82" s="9" t="str">
        <f>IFERROR(INDEX('CONTROL MASTER'!$Q$2:$Q$495,MATCH("Control MAX Planck Plate 7: H4",'CONTROL MASTER'!$I$2:$I$495,0)),"")</f>
        <v/>
      </c>
      <c r="F82" s="9" t="str">
        <f>IFERROR(INDEX('CONTROL MASTER'!$Q$2:$Q$495,MATCH("Control MAX Planck Plate 7: H5",'CONTROL MASTER'!$I$2:$I$495,0)),"")</f>
        <v/>
      </c>
      <c r="G82" s="9" t="str">
        <f>IFERROR(INDEX('CONTROL MASTER'!$Q$2:$Q$495,MATCH("Control MAX Planck Plate 7: H6",'CONTROL MASTER'!$I$2:$I$495,0)),"")</f>
        <v/>
      </c>
      <c r="H82" s="9" t="str">
        <f>IFERROR(INDEX('CONTROL MASTER'!$Q$2:$Q$495,MATCH("Control MAX Planck Plate 7: H7",'CONTROL MASTER'!$I$2:$I$495,0)),"")</f>
        <v/>
      </c>
      <c r="I82" s="9" t="str">
        <f>IFERROR(INDEX('CONTROL MASTER'!$Q$2:$Q$495,MATCH("Control MAX Planck Plate 7: H8",'CONTROL MASTER'!$I$2:$I$495,0)),"")</f>
        <v/>
      </c>
      <c r="J82" s="9" t="str">
        <f>IFERROR(INDEX('CONTROL MASTER'!$Q$2:$Q$495,MATCH("Control MAX Planck Plate 7: H9",'CONTROL MASTER'!$I$2:$I$495,0)),"")</f>
        <v/>
      </c>
      <c r="K82" s="9" t="str">
        <f>IFERROR(INDEX('CONTROL MASTER'!$Q$2:$Q$495,MATCH("Control MAX Planck Plate 7: H10",'CONTROL MASTER'!$I$2:$I$495,0)),"")</f>
        <v/>
      </c>
      <c r="L82" s="9" t="str">
        <f>IFERROR(INDEX('CONTROL MASTER'!$Q$2:$Q$495,MATCH("Control MAX Planck Plate 7: H11",'CONTROL MASTER'!$I$2:$I$495,0)),"")</f>
        <v/>
      </c>
      <c r="M82" s="9" t="str">
        <f>IFERROR(INDEX('CONTROL MASTER'!$Q$2:$Q$495,MATCH("Control MAX Planck Plate 7: H12",'CONTROL MASTER'!$I$2:$I$495,0)),"")</f>
        <v/>
      </c>
    </row>
    <row r="85" spans="1:13" ht="15" customHeight="1" x14ac:dyDescent="0.35">
      <c r="A85" s="12" t="s">
        <v>149</v>
      </c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</row>
    <row r="86" spans="1:13" ht="15" customHeight="1" x14ac:dyDescent="0.35">
      <c r="B86" s="8">
        <v>1</v>
      </c>
      <c r="C86" s="8">
        <v>2</v>
      </c>
      <c r="D86" s="8">
        <v>3</v>
      </c>
      <c r="E86" s="8">
        <v>4</v>
      </c>
      <c r="F86" s="8">
        <v>5</v>
      </c>
      <c r="G86" s="8">
        <v>6</v>
      </c>
      <c r="H86" s="8">
        <v>7</v>
      </c>
      <c r="I86" s="8">
        <v>8</v>
      </c>
      <c r="J86" s="8">
        <v>9</v>
      </c>
      <c r="K86" s="8">
        <v>10</v>
      </c>
      <c r="L86" s="8">
        <v>11</v>
      </c>
      <c r="M86" s="8">
        <v>12</v>
      </c>
    </row>
    <row r="87" spans="1:13" ht="15" customHeight="1" x14ac:dyDescent="0.35">
      <c r="A87" s="8" t="s">
        <v>28</v>
      </c>
      <c r="B87" s="9" t="str">
        <f>IFERROR(INDEX('CONTROL MASTER'!$Q$2:$Q$495,MATCH("Control MAX Planck Plate 8: A1",'CONTROL MASTER'!$I$2:$I$495,0)),"")</f>
        <v/>
      </c>
      <c r="C87" s="9" t="str">
        <f>IFERROR(INDEX('CONTROL MASTER'!$Q$2:$Q$495,MATCH("Control MAX Planck Plate 8: A2",'CONTROL MASTER'!$I$2:$I$495,0)),"")</f>
        <v/>
      </c>
      <c r="D87" s="9" t="str">
        <f>IFERROR(INDEX('CONTROL MASTER'!$Q$2:$Q$495,MATCH("Control MAX Planck Plate 8: A3",'CONTROL MASTER'!$I$2:$I$495,0)),"")</f>
        <v/>
      </c>
      <c r="E87" s="9" t="str">
        <f>IFERROR(INDEX('CONTROL MASTER'!$Q$2:$Q$495,MATCH("Control MAX Planck Plate 8: A4",'CONTROL MASTER'!$I$2:$I$495,0)),"")</f>
        <v/>
      </c>
      <c r="F87" s="9" t="str">
        <f>IFERROR(INDEX('CONTROL MASTER'!$Q$2:$Q$495,MATCH("Control MAX Planck Plate 8: A5",'CONTROL MASTER'!$I$2:$I$495,0)),"")</f>
        <v/>
      </c>
      <c r="G87" s="9" t="str">
        <f>IFERROR(INDEX('CONTROL MASTER'!$Q$2:$Q$495,MATCH("Control MAX Planck Plate 8: A6",'CONTROL MASTER'!$I$2:$I$495,0)),"")</f>
        <v/>
      </c>
      <c r="H87" s="9" t="str">
        <f>IFERROR(INDEX('CONTROL MASTER'!$Q$2:$Q$495,MATCH("Control MAX Planck Plate 8: A7",'CONTROL MASTER'!$I$2:$I$495,0)),"")</f>
        <v/>
      </c>
      <c r="I87" s="9" t="str">
        <f>IFERROR(INDEX('CONTROL MASTER'!$Q$2:$Q$495,MATCH("Control MAX Planck Plate 8: A8",'CONTROL MASTER'!$I$2:$I$495,0)),"")</f>
        <v/>
      </c>
      <c r="J87" s="9" t="str">
        <f>IFERROR(INDEX('CONTROL MASTER'!$Q$2:$Q$495,MATCH("Control MAX Planck Plate 8: A9",'CONTROL MASTER'!$I$2:$I$495,0)),"")</f>
        <v/>
      </c>
      <c r="K87" s="9" t="str">
        <f>IFERROR(INDEX('CONTROL MASTER'!$Q$2:$Q$495,MATCH("Control MAX Planck Plate 8: A10",'CONTROL MASTER'!$I$2:$I$495,0)),"")</f>
        <v/>
      </c>
      <c r="L87" s="9" t="str">
        <f>IFERROR(INDEX('CONTROL MASTER'!$Q$2:$Q$495,MATCH("Control MAX Planck Plate 8: A11",'CONTROL MASTER'!$I$2:$I$495,0)),"")</f>
        <v/>
      </c>
      <c r="M87" s="9" t="str">
        <f>IFERROR(INDEX('CONTROL MASTER'!$Q$2:$Q$495,MATCH("Control MAX Planck Plate 8: A12",'CONTROL MASTER'!$I$2:$I$495,0)),"")</f>
        <v/>
      </c>
    </row>
    <row r="88" spans="1:13" ht="15" customHeight="1" x14ac:dyDescent="0.35">
      <c r="A88" s="8" t="s">
        <v>29</v>
      </c>
      <c r="B88" s="9" t="str">
        <f>IFERROR(INDEX('CONTROL MASTER'!$Q$2:$Q$495,MATCH("Control MAX Planck Plate 8: B1",'CONTROL MASTER'!$I$2:$I$495,0)),"")</f>
        <v/>
      </c>
      <c r="C88" s="9" t="str">
        <f>IFERROR(INDEX('CONTROL MASTER'!$Q$2:$Q$495,MATCH("Control MAX Planck Plate 8: B2",'CONTROL MASTER'!$I$2:$I$495,0)),"")</f>
        <v/>
      </c>
      <c r="D88" s="9" t="str">
        <f>IFERROR(INDEX('CONTROL MASTER'!$Q$2:$Q$495,MATCH("Control MAX Planck Plate 8: B3",'CONTROL MASTER'!$I$2:$I$495,0)),"")</f>
        <v/>
      </c>
      <c r="E88" s="9" t="str">
        <f>IFERROR(INDEX('CONTROL MASTER'!$Q$2:$Q$495,MATCH("Control MAX Planck Plate 8: B4",'CONTROL MASTER'!$I$2:$I$495,0)),"")</f>
        <v/>
      </c>
      <c r="F88" s="9" t="str">
        <f>IFERROR(INDEX('CONTROL MASTER'!$Q$2:$Q$495,MATCH("Control MAX Planck Plate 8: B5",'CONTROL MASTER'!$I$2:$I$495,0)),"")</f>
        <v/>
      </c>
      <c r="G88" s="9" t="str">
        <f>IFERROR(INDEX('CONTROL MASTER'!$Q$2:$Q$495,MATCH("Control MAX Planck Plate 8: B6",'CONTROL MASTER'!$I$2:$I$495,0)),"")</f>
        <v/>
      </c>
      <c r="H88" s="9" t="str">
        <f>IFERROR(INDEX('CONTROL MASTER'!$Q$2:$Q$495,MATCH("Control MAX Planck Plate 8: B7",'CONTROL MASTER'!$I$2:$I$495,0)),"")</f>
        <v/>
      </c>
      <c r="I88" s="9" t="str">
        <f>IFERROR(INDEX('CONTROL MASTER'!$Q$2:$Q$495,MATCH("Control MAX Planck Plate 8: B8",'CONTROL MASTER'!$I$2:$I$495,0)),"")</f>
        <v/>
      </c>
      <c r="J88" s="9" t="str">
        <f>IFERROR(INDEX('CONTROL MASTER'!$Q$2:$Q$495,MATCH("Control MAX Planck Plate 8: B9",'CONTROL MASTER'!$I$2:$I$495,0)),"")</f>
        <v/>
      </c>
      <c r="K88" s="9" t="str">
        <f>IFERROR(INDEX('CONTROL MASTER'!$Q$2:$Q$495,MATCH("Control MAX Planck Plate 8: B10",'CONTROL MASTER'!$I$2:$I$495,0)),"")</f>
        <v/>
      </c>
      <c r="L88" s="9" t="str">
        <f>IFERROR(INDEX('CONTROL MASTER'!$Q$2:$Q$495,MATCH("Control MAX Planck Plate 8: B11",'CONTROL MASTER'!$I$2:$I$495,0)),"")</f>
        <v/>
      </c>
      <c r="M88" s="9" t="str">
        <f>IFERROR(INDEX('CONTROL MASTER'!$Q$2:$Q$495,MATCH("Control MAX Planck Plate 8: B12",'CONTROL MASTER'!$I$2:$I$495,0)),"")</f>
        <v/>
      </c>
    </row>
    <row r="89" spans="1:13" ht="15" customHeight="1" x14ac:dyDescent="0.35">
      <c r="A89" s="8" t="s">
        <v>30</v>
      </c>
      <c r="B89" s="9" t="str">
        <f>IFERROR(INDEX('CONTROL MASTER'!$Q$2:$Q$495,MATCH("Control MAX Planck Plate 8: C1",'CONTROL MASTER'!$I$2:$I$495,0)),"")</f>
        <v/>
      </c>
      <c r="C89" s="9" t="str">
        <f>IFERROR(INDEX('CONTROL MASTER'!$Q$2:$Q$495,MATCH("Control MAX Planck Plate 8: C2",'CONTROL MASTER'!$I$2:$I$495,0)),"")</f>
        <v/>
      </c>
      <c r="D89" s="9" t="str">
        <f>IFERROR(INDEX('CONTROL MASTER'!$Q$2:$Q$495,MATCH("Control MAX Planck Plate 8: C3",'CONTROL MASTER'!$I$2:$I$495,0)),"")</f>
        <v/>
      </c>
      <c r="E89" s="9" t="str">
        <f>IFERROR(INDEX('CONTROL MASTER'!$Q$2:$Q$495,MATCH("Control MAX Planck Plate 8: C4",'CONTROL MASTER'!$I$2:$I$495,0)),"")</f>
        <v/>
      </c>
      <c r="F89" s="9" t="str">
        <f>IFERROR(INDEX('CONTROL MASTER'!$Q$2:$Q$495,MATCH("Control MAX Planck Plate 8: C5",'CONTROL MASTER'!$I$2:$I$495,0)),"")</f>
        <v/>
      </c>
      <c r="G89" s="9" t="str">
        <f>IFERROR(INDEX('CONTROL MASTER'!$Q$2:$Q$495,MATCH("Control MAX Planck Plate 8: C6",'CONTROL MASTER'!$I$2:$I$495,0)),"")</f>
        <v/>
      </c>
      <c r="H89" s="9" t="str">
        <f>IFERROR(INDEX('CONTROL MASTER'!$Q$2:$Q$495,MATCH("Control MAX Planck Plate 8: C7",'CONTROL MASTER'!$I$2:$I$495,0)),"")</f>
        <v/>
      </c>
      <c r="I89" s="9" t="str">
        <f>IFERROR(INDEX('CONTROL MASTER'!$Q$2:$Q$495,MATCH("Control MAX Planck Plate 8: C8",'CONTROL MASTER'!$I$2:$I$495,0)),"")</f>
        <v/>
      </c>
      <c r="J89" s="9" t="str">
        <f>IFERROR(INDEX('CONTROL MASTER'!$Q$2:$Q$495,MATCH("Control MAX Planck Plate 8: C9",'CONTROL MASTER'!$I$2:$I$495,0)),"")</f>
        <v/>
      </c>
      <c r="K89" s="9" t="str">
        <f>IFERROR(INDEX('CONTROL MASTER'!$Q$2:$Q$495,MATCH("Control MAX Planck Plate 8: C10",'CONTROL MASTER'!$I$2:$I$495,0)),"")</f>
        <v/>
      </c>
      <c r="L89" s="9" t="str">
        <f>IFERROR(INDEX('CONTROL MASTER'!$Q$2:$Q$495,MATCH("Control MAX Planck Plate 8: C11",'CONTROL MASTER'!$I$2:$I$495,0)),"")</f>
        <v/>
      </c>
      <c r="M89" s="9" t="str">
        <f>IFERROR(INDEX('CONTROL MASTER'!$Q$2:$Q$495,MATCH("Control MAX Planck Plate 8: C12",'CONTROL MASTER'!$I$2:$I$495,0)),"")</f>
        <v/>
      </c>
    </row>
    <row r="90" spans="1:13" ht="15" customHeight="1" x14ac:dyDescent="0.35">
      <c r="A90" s="8" t="s">
        <v>31</v>
      </c>
      <c r="B90" s="9" t="str">
        <f>IFERROR(INDEX('CONTROL MASTER'!$Q$2:$Q$495,MATCH("Control MAX Planck Plate 8: D1",'CONTROL MASTER'!$I$2:$I$495,0)),"")</f>
        <v/>
      </c>
      <c r="C90" s="9" t="str">
        <f>IFERROR(INDEX('CONTROL MASTER'!$Q$2:$Q$495,MATCH("Control MAX Planck Plate 8: D2",'CONTROL MASTER'!$I$2:$I$495,0)),"")</f>
        <v/>
      </c>
      <c r="D90" s="9" t="str">
        <f>IFERROR(INDEX('CONTROL MASTER'!$Q$2:$Q$495,MATCH("Control MAX Planck Plate 8: D3",'CONTROL MASTER'!$I$2:$I$495,0)),"")</f>
        <v/>
      </c>
      <c r="E90" s="9" t="str">
        <f>IFERROR(INDEX('CONTROL MASTER'!$Q$2:$Q$495,MATCH("Control MAX Planck Plate 8: D4",'CONTROL MASTER'!$I$2:$I$495,0)),"")</f>
        <v/>
      </c>
      <c r="F90" s="9" t="str">
        <f>IFERROR(INDEX('CONTROL MASTER'!$Q$2:$Q$495,MATCH("Control MAX Planck Plate 8: D5",'CONTROL MASTER'!$I$2:$I$495,0)),"")</f>
        <v/>
      </c>
      <c r="G90" s="9" t="str">
        <f>IFERROR(INDEX('CONTROL MASTER'!$Q$2:$Q$495,MATCH("Control MAX Planck Plate 8: D6",'CONTROL MASTER'!$I$2:$I$495,0)),"")</f>
        <v/>
      </c>
      <c r="H90" s="9" t="str">
        <f>IFERROR(INDEX('CONTROL MASTER'!$Q$2:$Q$495,MATCH("Control MAX Planck Plate 8: D7",'CONTROL MASTER'!$I$2:$I$495,0)),"")</f>
        <v/>
      </c>
      <c r="I90" s="9" t="str">
        <f>IFERROR(INDEX('CONTROL MASTER'!$Q$2:$Q$495,MATCH("Control MAX Planck Plate 8: D8",'CONTROL MASTER'!$I$2:$I$495,0)),"")</f>
        <v/>
      </c>
      <c r="J90" s="9" t="str">
        <f>IFERROR(INDEX('CONTROL MASTER'!$Q$2:$Q$495,MATCH("Control MAX Planck Plate 8: D9",'CONTROL MASTER'!$I$2:$I$495,0)),"")</f>
        <v/>
      </c>
      <c r="K90" s="9" t="str">
        <f>IFERROR(INDEX('CONTROL MASTER'!$Q$2:$Q$495,MATCH("Control MAX Planck Plate 8: D10",'CONTROL MASTER'!$I$2:$I$495,0)),"")</f>
        <v/>
      </c>
      <c r="L90" s="9" t="str">
        <f>IFERROR(INDEX('CONTROL MASTER'!$Q$2:$Q$495,MATCH("Control MAX Planck Plate 8: D11",'CONTROL MASTER'!$I$2:$I$495,0)),"")</f>
        <v/>
      </c>
      <c r="M90" s="9" t="str">
        <f>IFERROR(INDEX('CONTROL MASTER'!$Q$2:$Q$495,MATCH("Control MAX Planck Plate 8: D12",'CONTROL MASTER'!$I$2:$I$495,0)),"")</f>
        <v/>
      </c>
    </row>
    <row r="91" spans="1:13" ht="15" customHeight="1" x14ac:dyDescent="0.35">
      <c r="A91" s="8" t="s">
        <v>32</v>
      </c>
      <c r="B91" s="9" t="str">
        <f>IFERROR(INDEX('CONTROL MASTER'!$Q$2:$Q$495,MATCH("Control MAX Planck Plate 8: E1",'CONTROL MASTER'!$I$2:$I$495,0)),"")</f>
        <v/>
      </c>
      <c r="C91" s="9" t="str">
        <f>IFERROR(INDEX('CONTROL MASTER'!$Q$2:$Q$495,MATCH("Control MAX Planck Plate 8: E2",'CONTROL MASTER'!$I$2:$I$495,0)),"")</f>
        <v/>
      </c>
      <c r="D91" s="9" t="str">
        <f>IFERROR(INDEX('CONTROL MASTER'!$Q$2:$Q$495,MATCH("Control MAX Planck Plate 8: E3",'CONTROL MASTER'!$I$2:$I$495,0)),"")</f>
        <v/>
      </c>
      <c r="E91" s="9" t="str">
        <f>IFERROR(INDEX('CONTROL MASTER'!$Q$2:$Q$495,MATCH("Control MAX Planck Plate 8: E4",'CONTROL MASTER'!$I$2:$I$495,0)),"")</f>
        <v/>
      </c>
      <c r="F91" s="9" t="str">
        <f>IFERROR(INDEX('CONTROL MASTER'!$Q$2:$Q$495,MATCH("Control MAX Planck Plate 8: E5",'CONTROL MASTER'!$I$2:$I$495,0)),"")</f>
        <v/>
      </c>
      <c r="G91" s="9" t="str">
        <f>IFERROR(INDEX('CONTROL MASTER'!$Q$2:$Q$495,MATCH("Control MAX Planck Plate 8: E6",'CONTROL MASTER'!$I$2:$I$495,0)),"")</f>
        <v/>
      </c>
      <c r="H91" s="9" t="str">
        <f>IFERROR(INDEX('CONTROL MASTER'!$Q$2:$Q$495,MATCH("Control MAX Planck Plate 8: E7",'CONTROL MASTER'!$I$2:$I$495,0)),"")</f>
        <v/>
      </c>
      <c r="I91" s="9" t="str">
        <f>IFERROR(INDEX('CONTROL MASTER'!$Q$2:$Q$495,MATCH("Control MAX Planck Plate 8: E8",'CONTROL MASTER'!$I$2:$I$495,0)),"")</f>
        <v/>
      </c>
      <c r="J91" s="9" t="str">
        <f>IFERROR(INDEX('CONTROL MASTER'!$Q$2:$Q$495,MATCH("Control MAX Planck Plate 8: E9",'CONTROL MASTER'!$I$2:$I$495,0)),"")</f>
        <v/>
      </c>
      <c r="K91" s="9" t="str">
        <f>IFERROR(INDEX('CONTROL MASTER'!$Q$2:$Q$495,MATCH("Control MAX Planck Plate 8: E10",'CONTROL MASTER'!$I$2:$I$495,0)),"")</f>
        <v/>
      </c>
      <c r="L91" s="9" t="str">
        <f>IFERROR(INDEX('CONTROL MASTER'!$Q$2:$Q$495,MATCH("Control MAX Planck Plate 8: E11",'CONTROL MASTER'!$I$2:$I$495,0)),"")</f>
        <v/>
      </c>
      <c r="M91" s="9" t="str">
        <f>IFERROR(INDEX('CONTROL MASTER'!$Q$2:$Q$495,MATCH("Control MAX Planck Plate 8: E12",'CONTROL MASTER'!$I$2:$I$495,0)),"")</f>
        <v/>
      </c>
    </row>
    <row r="92" spans="1:13" ht="15" customHeight="1" x14ac:dyDescent="0.35">
      <c r="A92" s="8" t="s">
        <v>33</v>
      </c>
      <c r="B92" s="9" t="str">
        <f>IFERROR(INDEX('CONTROL MASTER'!$Q$2:$Q$495,MATCH("Control MAX Planck Plate 8: F1",'CONTROL MASTER'!$I$2:$I$495,0)),"")</f>
        <v/>
      </c>
      <c r="C92" s="9" t="str">
        <f>IFERROR(INDEX('CONTROL MASTER'!$Q$2:$Q$495,MATCH("Control MAX Planck Plate 8: F2",'CONTROL MASTER'!$I$2:$I$495,0)),"")</f>
        <v/>
      </c>
      <c r="D92" s="9" t="str">
        <f>IFERROR(INDEX('CONTROL MASTER'!$Q$2:$Q$495,MATCH("Control MAX Planck Plate 8: F3",'CONTROL MASTER'!$I$2:$I$495,0)),"")</f>
        <v/>
      </c>
      <c r="E92" s="9" t="str">
        <f>IFERROR(INDEX('CONTROL MASTER'!$Q$2:$Q$495,MATCH("Control MAX Planck Plate 8: F4",'CONTROL MASTER'!$I$2:$I$495,0)),"")</f>
        <v/>
      </c>
      <c r="F92" s="9" t="str">
        <f>IFERROR(INDEX('CONTROL MASTER'!$Q$2:$Q$495,MATCH("Control MAX Planck Plate 8: F5",'CONTROL MASTER'!$I$2:$I$495,0)),"")</f>
        <v/>
      </c>
      <c r="G92" s="9" t="str">
        <f>IFERROR(INDEX('CONTROL MASTER'!$Q$2:$Q$495,MATCH("Control MAX Planck Plate 8: F6",'CONTROL MASTER'!$I$2:$I$495,0)),"")</f>
        <v/>
      </c>
      <c r="H92" s="9" t="str">
        <f>IFERROR(INDEX('CONTROL MASTER'!$Q$2:$Q$495,MATCH("Control MAX Planck Plate 8: F7",'CONTROL MASTER'!$I$2:$I$495,0)),"")</f>
        <v/>
      </c>
      <c r="I92" s="9" t="str">
        <f>IFERROR(INDEX('CONTROL MASTER'!$Q$2:$Q$495,MATCH("Control MAX Planck Plate 8: F8",'CONTROL MASTER'!$I$2:$I$495,0)),"")</f>
        <v/>
      </c>
      <c r="J92" s="9" t="str">
        <f>IFERROR(INDEX('CONTROL MASTER'!$Q$2:$Q$495,MATCH("Control MAX Planck Plate 8: F9",'CONTROL MASTER'!$I$2:$I$495,0)),"")</f>
        <v/>
      </c>
      <c r="K92" s="9" t="str">
        <f>IFERROR(INDEX('CONTROL MASTER'!$Q$2:$Q$495,MATCH("Control MAX Planck Plate 8: F10",'CONTROL MASTER'!$I$2:$I$495,0)),"")</f>
        <v/>
      </c>
      <c r="L92" s="9" t="str">
        <f>IFERROR(INDEX('CONTROL MASTER'!$Q$2:$Q$495,MATCH("Control MAX Planck Plate 8: F11",'CONTROL MASTER'!$I$2:$I$495,0)),"")</f>
        <v/>
      </c>
      <c r="M92" s="9" t="str">
        <f>IFERROR(INDEX('CONTROL MASTER'!$Q$2:$Q$495,MATCH("Control MAX Planck Plate 8: F12",'CONTROL MASTER'!$I$2:$I$495,0)),"")</f>
        <v/>
      </c>
    </row>
    <row r="93" spans="1:13" ht="15" customHeight="1" x14ac:dyDescent="0.35">
      <c r="A93" s="8" t="s">
        <v>34</v>
      </c>
      <c r="B93" s="9" t="str">
        <f>IFERROR(INDEX('CONTROL MASTER'!$Q$2:$Q$495,MATCH("Control MAX Planck Plate 8: G1",'CONTROL MASTER'!$I$2:$I$495,0)),"")</f>
        <v/>
      </c>
      <c r="C93" s="9" t="str">
        <f>IFERROR(INDEX('CONTROL MASTER'!$Q$2:$Q$495,MATCH("Control MAX Planck Plate 8: G2",'CONTROL MASTER'!$I$2:$I$495,0)),"")</f>
        <v/>
      </c>
      <c r="D93" s="9" t="str">
        <f>IFERROR(INDEX('CONTROL MASTER'!$Q$2:$Q$495,MATCH("Control MAX Planck Plate 8: G3",'CONTROL MASTER'!$I$2:$I$495,0)),"")</f>
        <v/>
      </c>
      <c r="E93" s="9" t="str">
        <f>IFERROR(INDEX('CONTROL MASTER'!$Q$2:$Q$495,MATCH("Control MAX Planck Plate 8: G4",'CONTROL MASTER'!$I$2:$I$495,0)),"")</f>
        <v/>
      </c>
      <c r="F93" s="9" t="str">
        <f>IFERROR(INDEX('CONTROL MASTER'!$Q$2:$Q$495,MATCH("Control MAX Planck Plate 8: G5",'CONTROL MASTER'!$I$2:$I$495,0)),"")</f>
        <v/>
      </c>
      <c r="G93" s="9" t="str">
        <f>IFERROR(INDEX('CONTROL MASTER'!$Q$2:$Q$495,MATCH("Control MAX Planck Plate 8: G6",'CONTROL MASTER'!$I$2:$I$495,0)),"")</f>
        <v/>
      </c>
      <c r="H93" s="9" t="str">
        <f>IFERROR(INDEX('CONTROL MASTER'!$Q$2:$Q$495,MATCH("Control MAX Planck Plate 8: G7",'CONTROL MASTER'!$I$2:$I$495,0)),"")</f>
        <v/>
      </c>
      <c r="I93" s="9" t="str">
        <f>IFERROR(INDEX('CONTROL MASTER'!$Q$2:$Q$495,MATCH("Control MAX Planck Plate 8: G8",'CONTROL MASTER'!$I$2:$I$495,0)),"")</f>
        <v/>
      </c>
      <c r="J93" s="9" t="str">
        <f>IFERROR(INDEX('CONTROL MASTER'!$Q$2:$Q$495,MATCH("Control MAX Planck Plate 8: G9",'CONTROL MASTER'!$I$2:$I$495,0)),"")</f>
        <v/>
      </c>
      <c r="K93" s="9" t="str">
        <f>IFERROR(INDEX('CONTROL MASTER'!$Q$2:$Q$495,MATCH("Control MAX Planck Plate 8: G10",'CONTROL MASTER'!$I$2:$I$495,0)),"")</f>
        <v/>
      </c>
      <c r="L93" s="9" t="str">
        <f>IFERROR(INDEX('CONTROL MASTER'!$Q$2:$Q$495,MATCH("Control MAX Planck Plate 8: G11",'CONTROL MASTER'!$I$2:$I$495,0)),"")</f>
        <v/>
      </c>
      <c r="M93" s="9" t="str">
        <f>IFERROR(INDEX('CONTROL MASTER'!$Q$2:$Q$495,MATCH("Control MAX Planck Plate 8: G12",'CONTROL MASTER'!$I$2:$I$495,0)),"")</f>
        <v/>
      </c>
    </row>
    <row r="94" spans="1:13" ht="15" customHeight="1" x14ac:dyDescent="0.35">
      <c r="A94" s="8" t="s">
        <v>35</v>
      </c>
      <c r="B94" s="9" t="str">
        <f>IFERROR(INDEX('CONTROL MASTER'!$Q$2:$Q$495,MATCH("Control MAX Planck Plate 8: H1",'CONTROL MASTER'!$I$2:$I$495,0)),"")</f>
        <v/>
      </c>
      <c r="C94" s="9" t="str">
        <f>IFERROR(INDEX('CONTROL MASTER'!$Q$2:$Q$495,MATCH("Control MAX Planck Plate 8: H2",'CONTROL MASTER'!$I$2:$I$495,0)),"")</f>
        <v/>
      </c>
      <c r="D94" s="9" t="str">
        <f>IFERROR(INDEX('CONTROL MASTER'!$Q$2:$Q$495,MATCH("Control MAX Planck Plate 8: H3",'CONTROL MASTER'!$I$2:$I$495,0)),"")</f>
        <v/>
      </c>
      <c r="E94" s="9" t="str">
        <f>IFERROR(INDEX('CONTROL MASTER'!$Q$2:$Q$495,MATCH("Control MAX Planck Plate 8: H4",'CONTROL MASTER'!$I$2:$I$495,0)),"")</f>
        <v/>
      </c>
      <c r="F94" s="9" t="str">
        <f>IFERROR(INDEX('CONTROL MASTER'!$Q$2:$Q$495,MATCH("Control MAX Planck Plate 8: H5",'CONTROL MASTER'!$I$2:$I$495,0)),"")</f>
        <v/>
      </c>
      <c r="G94" s="9" t="str">
        <f>IFERROR(INDEX('CONTROL MASTER'!$Q$2:$Q$495,MATCH("Control MAX Planck Plate 8: H6",'CONTROL MASTER'!$I$2:$I$495,0)),"")</f>
        <v/>
      </c>
      <c r="H94" s="9" t="str">
        <f>IFERROR(INDEX('CONTROL MASTER'!$Q$2:$Q$495,MATCH("Control MAX Planck Plate 8: H7",'CONTROL MASTER'!$I$2:$I$495,0)),"")</f>
        <v/>
      </c>
      <c r="I94" s="9" t="str">
        <f>IFERROR(INDEX('CONTROL MASTER'!$Q$2:$Q$495,MATCH("Control MAX Planck Plate 8: H8",'CONTROL MASTER'!$I$2:$I$495,0)),"")</f>
        <v/>
      </c>
      <c r="J94" s="9" t="str">
        <f>IFERROR(INDEX('CONTROL MASTER'!$Q$2:$Q$495,MATCH("Control MAX Planck Plate 8: H9",'CONTROL MASTER'!$I$2:$I$495,0)),"")</f>
        <v/>
      </c>
      <c r="K94" s="9" t="str">
        <f>IFERROR(INDEX('CONTROL MASTER'!$Q$2:$Q$495,MATCH("Control MAX Planck Plate 8: H10",'CONTROL MASTER'!$I$2:$I$495,0)),"")</f>
        <v/>
      </c>
      <c r="L94" s="9" t="str">
        <f>IFERROR(INDEX('CONTROL MASTER'!$Q$2:$Q$495,MATCH("Control MAX Planck Plate 8: H11",'CONTROL MASTER'!$I$2:$I$495,0)),"")</f>
        <v/>
      </c>
      <c r="M94" s="9" t="str">
        <f>IFERROR(INDEX('CONTROL MASTER'!$Q$2:$Q$495,MATCH("Control MAX Planck Plate 8: H12",'CONTROL MASTER'!$I$2:$I$495,0)),"")</f>
        <v/>
      </c>
    </row>
    <row r="97" spans="1:13" ht="15" customHeight="1" x14ac:dyDescent="0.35">
      <c r="A97" s="12" t="s">
        <v>150</v>
      </c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</row>
    <row r="98" spans="1:13" ht="15" customHeight="1" x14ac:dyDescent="0.35">
      <c r="B98" s="8">
        <v>1</v>
      </c>
      <c r="C98" s="8">
        <v>2</v>
      </c>
      <c r="D98" s="8">
        <v>3</v>
      </c>
      <c r="E98" s="8">
        <v>4</v>
      </c>
      <c r="F98" s="8">
        <v>5</v>
      </c>
      <c r="G98" s="8">
        <v>6</v>
      </c>
      <c r="H98" s="8">
        <v>7</v>
      </c>
      <c r="I98" s="8">
        <v>8</v>
      </c>
      <c r="J98" s="8">
        <v>9</v>
      </c>
      <c r="K98" s="8">
        <v>10</v>
      </c>
      <c r="L98" s="8">
        <v>11</v>
      </c>
      <c r="M98" s="8">
        <v>12</v>
      </c>
    </row>
    <row r="99" spans="1:13" ht="15" customHeight="1" x14ac:dyDescent="0.35">
      <c r="A99" s="8" t="s">
        <v>28</v>
      </c>
      <c r="B99" s="9" t="str">
        <f>IFERROR(INDEX('CONTROL MASTER'!$Q$2:$Q$495,MATCH("Control MAX Planck Plate 9: A1",'CONTROL MASTER'!$I$2:$I$495,0)),"")</f>
        <v/>
      </c>
      <c r="C99" s="9" t="str">
        <f>IFERROR(INDEX('CONTROL MASTER'!$Q$2:$Q$495,MATCH("Control MAX Planck Plate 9: A2",'CONTROL MASTER'!$I$2:$I$495,0)),"")</f>
        <v/>
      </c>
      <c r="D99" s="9" t="str">
        <f>IFERROR(INDEX('CONTROL MASTER'!$Q$2:$Q$495,MATCH("Control MAX Planck Plate 9: A3",'CONTROL MASTER'!$I$2:$I$495,0)),"")</f>
        <v/>
      </c>
      <c r="E99" s="9" t="str">
        <f>IFERROR(INDEX('CONTROL MASTER'!$Q$2:$Q$495,MATCH("Control MAX Planck Plate 9: A4",'CONTROL MASTER'!$I$2:$I$495,0)),"")</f>
        <v/>
      </c>
      <c r="F99" s="9" t="str">
        <f>IFERROR(INDEX('CONTROL MASTER'!$Q$2:$Q$495,MATCH("Control MAX Planck Plate 9: A5",'CONTROL MASTER'!$I$2:$I$495,0)),"")</f>
        <v/>
      </c>
      <c r="G99" s="9" t="str">
        <f>IFERROR(INDEX('CONTROL MASTER'!$Q$2:$Q$495,MATCH("Control MAX Planck Plate 9: A6",'CONTROL MASTER'!$I$2:$I$495,0)),"")</f>
        <v/>
      </c>
      <c r="H99" s="9" t="str">
        <f>IFERROR(INDEX('CONTROL MASTER'!$Q$2:$Q$495,MATCH("Control MAX Planck Plate 9: A7",'CONTROL MASTER'!$I$2:$I$495,0)),"")</f>
        <v/>
      </c>
      <c r="I99" s="9" t="str">
        <f>IFERROR(INDEX('CONTROL MASTER'!$Q$2:$Q$495,MATCH("Control MAX Planck Plate 9: A8",'CONTROL MASTER'!$I$2:$I$495,0)),"")</f>
        <v/>
      </c>
      <c r="J99" s="9" t="str">
        <f>IFERROR(INDEX('CONTROL MASTER'!$Q$2:$Q$495,MATCH("Control MAX Planck Plate 9: A9",'CONTROL MASTER'!$I$2:$I$495,0)),"")</f>
        <v/>
      </c>
      <c r="K99" s="9" t="str">
        <f>IFERROR(INDEX('CONTROL MASTER'!$Q$2:$Q$495,MATCH("Control MAX Planck Plate 9: A10",'CONTROL MASTER'!$I$2:$I$495,0)),"")</f>
        <v/>
      </c>
      <c r="L99" s="9" t="str">
        <f>IFERROR(INDEX('CONTROL MASTER'!$Q$2:$Q$495,MATCH("Control MAX Planck Plate 9: A11",'CONTROL MASTER'!$I$2:$I$495,0)),"")</f>
        <v/>
      </c>
      <c r="M99" s="9" t="str">
        <f>IFERROR(INDEX('CONTROL MASTER'!$Q$2:$Q$495,MATCH("Control MAX Planck Plate 9: A12",'CONTROL MASTER'!$I$2:$I$495,0)),"")</f>
        <v/>
      </c>
    </row>
    <row r="100" spans="1:13" ht="15" customHeight="1" x14ac:dyDescent="0.35">
      <c r="A100" s="8" t="s">
        <v>29</v>
      </c>
      <c r="B100" s="9" t="str">
        <f>IFERROR(INDEX('CONTROL MASTER'!$Q$2:$Q$495,MATCH("Control MAX Planck Plate 9: B1",'CONTROL MASTER'!$I$2:$I$495,0)),"")</f>
        <v/>
      </c>
      <c r="C100" s="9" t="str">
        <f>IFERROR(INDEX('CONTROL MASTER'!$Q$2:$Q$495,MATCH("Control MAX Planck Plate 9: B2",'CONTROL MASTER'!$I$2:$I$495,0)),"")</f>
        <v/>
      </c>
      <c r="D100" s="9" t="str">
        <f>IFERROR(INDEX('CONTROL MASTER'!$Q$2:$Q$495,MATCH("Control MAX Planck Plate 9: B3",'CONTROL MASTER'!$I$2:$I$495,0)),"")</f>
        <v/>
      </c>
      <c r="E100" s="9" t="str">
        <f>IFERROR(INDEX('CONTROL MASTER'!$Q$2:$Q$495,MATCH("Control MAX Planck Plate 9: B4",'CONTROL MASTER'!$I$2:$I$495,0)),"")</f>
        <v/>
      </c>
      <c r="F100" s="9" t="str">
        <f>IFERROR(INDEX('CONTROL MASTER'!$Q$2:$Q$495,MATCH("Control MAX Planck Plate 9: B5",'CONTROL MASTER'!$I$2:$I$495,0)),"")</f>
        <v/>
      </c>
      <c r="G100" s="9" t="str">
        <f>IFERROR(INDEX('CONTROL MASTER'!$Q$2:$Q$495,MATCH("Control MAX Planck Plate 9: B6",'CONTROL MASTER'!$I$2:$I$495,0)),"")</f>
        <v/>
      </c>
      <c r="H100" s="9" t="str">
        <f>IFERROR(INDEX('CONTROL MASTER'!$Q$2:$Q$495,MATCH("Control MAX Planck Plate 9: B7",'CONTROL MASTER'!$I$2:$I$495,0)),"")</f>
        <v/>
      </c>
      <c r="I100" s="9" t="str">
        <f>IFERROR(INDEX('CONTROL MASTER'!$Q$2:$Q$495,MATCH("Control MAX Planck Plate 9: B8",'CONTROL MASTER'!$I$2:$I$495,0)),"")</f>
        <v/>
      </c>
      <c r="J100" s="9" t="str">
        <f>IFERROR(INDEX('CONTROL MASTER'!$Q$2:$Q$495,MATCH("Control MAX Planck Plate 9: B9",'CONTROL MASTER'!$I$2:$I$495,0)),"")</f>
        <v/>
      </c>
      <c r="K100" s="9" t="str">
        <f>IFERROR(INDEX('CONTROL MASTER'!$Q$2:$Q$495,MATCH("Control MAX Planck Plate 9: B10",'CONTROL MASTER'!$I$2:$I$495,0)),"")</f>
        <v/>
      </c>
      <c r="L100" s="9" t="str">
        <f>IFERROR(INDEX('CONTROL MASTER'!$Q$2:$Q$495,MATCH("Control MAX Planck Plate 9: B11",'CONTROL MASTER'!$I$2:$I$495,0)),"")</f>
        <v/>
      </c>
      <c r="M100" s="9" t="str">
        <f>IFERROR(INDEX('CONTROL MASTER'!$Q$2:$Q$495,MATCH("Control MAX Planck Plate 9: B12",'CONTROL MASTER'!$I$2:$I$495,0)),"")</f>
        <v/>
      </c>
    </row>
    <row r="101" spans="1:13" ht="15" customHeight="1" x14ac:dyDescent="0.35">
      <c r="A101" s="8" t="s">
        <v>30</v>
      </c>
      <c r="B101" s="9" t="str">
        <f>IFERROR(INDEX('CONTROL MASTER'!$Q$2:$Q$495,MATCH("Control MAX Planck Plate 9: C1",'CONTROL MASTER'!$I$2:$I$495,0)),"")</f>
        <v/>
      </c>
      <c r="C101" s="9" t="str">
        <f>IFERROR(INDEX('CONTROL MASTER'!$Q$2:$Q$495,MATCH("Control MAX Planck Plate 9: C2",'CONTROL MASTER'!$I$2:$I$495,0)),"")</f>
        <v/>
      </c>
      <c r="D101" s="9" t="str">
        <f>IFERROR(INDEX('CONTROL MASTER'!$Q$2:$Q$495,MATCH("Control MAX Planck Plate 9: C3",'CONTROL MASTER'!$I$2:$I$495,0)),"")</f>
        <v/>
      </c>
      <c r="E101" s="9" t="str">
        <f>IFERROR(INDEX('CONTROL MASTER'!$Q$2:$Q$495,MATCH("Control MAX Planck Plate 9: C4",'CONTROL MASTER'!$I$2:$I$495,0)),"")</f>
        <v/>
      </c>
      <c r="F101" s="9" t="str">
        <f>IFERROR(INDEX('CONTROL MASTER'!$Q$2:$Q$495,MATCH("Control MAX Planck Plate 9: C5",'CONTROL MASTER'!$I$2:$I$495,0)),"")</f>
        <v/>
      </c>
      <c r="G101" s="9" t="str">
        <f>IFERROR(INDEX('CONTROL MASTER'!$Q$2:$Q$495,MATCH("Control MAX Planck Plate 9: C6",'CONTROL MASTER'!$I$2:$I$495,0)),"")</f>
        <v/>
      </c>
      <c r="H101" s="9" t="str">
        <f>IFERROR(INDEX('CONTROL MASTER'!$Q$2:$Q$495,MATCH("Control MAX Planck Plate 9: C7",'CONTROL MASTER'!$I$2:$I$495,0)),"")</f>
        <v/>
      </c>
      <c r="I101" s="9" t="str">
        <f>IFERROR(INDEX('CONTROL MASTER'!$Q$2:$Q$495,MATCH("Control MAX Planck Plate 9: C8",'CONTROL MASTER'!$I$2:$I$495,0)),"")</f>
        <v/>
      </c>
      <c r="J101" s="9" t="str">
        <f>IFERROR(INDEX('CONTROL MASTER'!$Q$2:$Q$495,MATCH("Control MAX Planck Plate 9: C9",'CONTROL MASTER'!$I$2:$I$495,0)),"")</f>
        <v/>
      </c>
      <c r="K101" s="9" t="str">
        <f>IFERROR(INDEX('CONTROL MASTER'!$Q$2:$Q$495,MATCH("Control MAX Planck Plate 9: C10",'CONTROL MASTER'!$I$2:$I$495,0)),"")</f>
        <v/>
      </c>
      <c r="L101" s="9" t="str">
        <f>IFERROR(INDEX('CONTROL MASTER'!$Q$2:$Q$495,MATCH("Control MAX Planck Plate 9: C11",'CONTROL MASTER'!$I$2:$I$495,0)),"")</f>
        <v/>
      </c>
      <c r="M101" s="9" t="str">
        <f>IFERROR(INDEX('CONTROL MASTER'!$Q$2:$Q$495,MATCH("Control MAX Planck Plate 9: C12",'CONTROL MASTER'!$I$2:$I$495,0)),"")</f>
        <v/>
      </c>
    </row>
    <row r="102" spans="1:13" ht="15" customHeight="1" x14ac:dyDescent="0.35">
      <c r="A102" s="8" t="s">
        <v>31</v>
      </c>
      <c r="B102" s="9" t="str">
        <f>IFERROR(INDEX('CONTROL MASTER'!$Q$2:$Q$495,MATCH("Control MAX Planck Plate 9: D1",'CONTROL MASTER'!$I$2:$I$495,0)),"")</f>
        <v/>
      </c>
      <c r="C102" s="9" t="str">
        <f>IFERROR(INDEX('CONTROL MASTER'!$Q$2:$Q$495,MATCH("Control MAX Planck Plate 9: D2",'CONTROL MASTER'!$I$2:$I$495,0)),"")</f>
        <v/>
      </c>
      <c r="D102" s="9" t="str">
        <f>IFERROR(INDEX('CONTROL MASTER'!$Q$2:$Q$495,MATCH("Control MAX Planck Plate 9: D3",'CONTROL MASTER'!$I$2:$I$495,0)),"")</f>
        <v/>
      </c>
      <c r="E102" s="9" t="str">
        <f>IFERROR(INDEX('CONTROL MASTER'!$Q$2:$Q$495,MATCH("Control MAX Planck Plate 9: D4",'CONTROL MASTER'!$I$2:$I$495,0)),"")</f>
        <v/>
      </c>
      <c r="F102" s="9" t="str">
        <f>IFERROR(INDEX('CONTROL MASTER'!$Q$2:$Q$495,MATCH("Control MAX Planck Plate 9: D5",'CONTROL MASTER'!$I$2:$I$495,0)),"")</f>
        <v/>
      </c>
      <c r="G102" s="9" t="str">
        <f>IFERROR(INDEX('CONTROL MASTER'!$Q$2:$Q$495,MATCH("Control MAX Planck Plate 9: D6",'CONTROL MASTER'!$I$2:$I$495,0)),"")</f>
        <v/>
      </c>
      <c r="H102" s="9" t="str">
        <f>IFERROR(INDEX('CONTROL MASTER'!$Q$2:$Q$495,MATCH("Control MAX Planck Plate 9: D7",'CONTROL MASTER'!$I$2:$I$495,0)),"")</f>
        <v/>
      </c>
      <c r="I102" s="9" t="str">
        <f>IFERROR(INDEX('CONTROL MASTER'!$Q$2:$Q$495,MATCH("Control MAX Planck Plate 9: D8",'CONTROL MASTER'!$I$2:$I$495,0)),"")</f>
        <v/>
      </c>
      <c r="J102" s="9" t="str">
        <f>IFERROR(INDEX('CONTROL MASTER'!$Q$2:$Q$495,MATCH("Control MAX Planck Plate 9: D9",'CONTROL MASTER'!$I$2:$I$495,0)),"")</f>
        <v/>
      </c>
      <c r="K102" s="9" t="str">
        <f>IFERROR(INDEX('CONTROL MASTER'!$Q$2:$Q$495,MATCH("Control MAX Planck Plate 9: D10",'CONTROL MASTER'!$I$2:$I$495,0)),"")</f>
        <v/>
      </c>
      <c r="L102" s="9" t="str">
        <f>IFERROR(INDEX('CONTROL MASTER'!$Q$2:$Q$495,MATCH("Control MAX Planck Plate 9: D11",'CONTROL MASTER'!$I$2:$I$495,0)),"")</f>
        <v/>
      </c>
      <c r="M102" s="9" t="str">
        <f>IFERROR(INDEX('CONTROL MASTER'!$Q$2:$Q$495,MATCH("Control MAX Planck Plate 9: D12",'CONTROL MASTER'!$I$2:$I$495,0)),"")</f>
        <v/>
      </c>
    </row>
    <row r="103" spans="1:13" ht="15" customHeight="1" x14ac:dyDescent="0.35">
      <c r="A103" s="8" t="s">
        <v>32</v>
      </c>
      <c r="B103" s="9" t="str">
        <f>IFERROR(INDEX('CONTROL MASTER'!$Q$2:$Q$495,MATCH("Control MAX Planck Plate 9: E1",'CONTROL MASTER'!$I$2:$I$495,0)),"")</f>
        <v/>
      </c>
      <c r="C103" s="9" t="str">
        <f>IFERROR(INDEX('CONTROL MASTER'!$Q$2:$Q$495,MATCH("Control MAX Planck Plate 9: E2",'CONTROL MASTER'!$I$2:$I$495,0)),"")</f>
        <v/>
      </c>
      <c r="D103" s="9" t="str">
        <f>IFERROR(INDEX('CONTROL MASTER'!$Q$2:$Q$495,MATCH("Control MAX Planck Plate 9: E3",'CONTROL MASTER'!$I$2:$I$495,0)),"")</f>
        <v/>
      </c>
      <c r="E103" s="9" t="str">
        <f>IFERROR(INDEX('CONTROL MASTER'!$Q$2:$Q$495,MATCH("Control MAX Planck Plate 9: E4",'CONTROL MASTER'!$I$2:$I$495,0)),"")</f>
        <v/>
      </c>
      <c r="F103" s="9" t="str">
        <f>IFERROR(INDEX('CONTROL MASTER'!$Q$2:$Q$495,MATCH("Control MAX Planck Plate 9: E5",'CONTROL MASTER'!$I$2:$I$495,0)),"")</f>
        <v/>
      </c>
      <c r="G103" s="9" t="str">
        <f>IFERROR(INDEX('CONTROL MASTER'!$Q$2:$Q$495,MATCH("Control MAX Planck Plate 9: E6",'CONTROL MASTER'!$I$2:$I$495,0)),"")</f>
        <v/>
      </c>
      <c r="H103" s="9" t="str">
        <f>IFERROR(INDEX('CONTROL MASTER'!$Q$2:$Q$495,MATCH("Control MAX Planck Plate 9: E7",'CONTROL MASTER'!$I$2:$I$495,0)),"")</f>
        <v/>
      </c>
      <c r="I103" s="9" t="str">
        <f>IFERROR(INDEX('CONTROL MASTER'!$Q$2:$Q$495,MATCH("Control MAX Planck Plate 9: E8",'CONTROL MASTER'!$I$2:$I$495,0)),"")</f>
        <v/>
      </c>
      <c r="J103" s="9" t="str">
        <f>IFERROR(INDEX('CONTROL MASTER'!$Q$2:$Q$495,MATCH("Control MAX Planck Plate 9: E9",'CONTROL MASTER'!$I$2:$I$495,0)),"")</f>
        <v/>
      </c>
      <c r="K103" s="9" t="str">
        <f>IFERROR(INDEX('CONTROL MASTER'!$Q$2:$Q$495,MATCH("Control MAX Planck Plate 9: E10",'CONTROL MASTER'!$I$2:$I$495,0)),"")</f>
        <v/>
      </c>
      <c r="L103" s="9" t="str">
        <f>IFERROR(INDEX('CONTROL MASTER'!$Q$2:$Q$495,MATCH("Control MAX Planck Plate 9: E11",'CONTROL MASTER'!$I$2:$I$495,0)),"")</f>
        <v/>
      </c>
      <c r="M103" s="9" t="str">
        <f>IFERROR(INDEX('CONTROL MASTER'!$Q$2:$Q$495,MATCH("Control MAX Planck Plate 9: E12",'CONTROL MASTER'!$I$2:$I$495,0)),"")</f>
        <v/>
      </c>
    </row>
    <row r="104" spans="1:13" ht="15" customHeight="1" x14ac:dyDescent="0.35">
      <c r="A104" s="8" t="s">
        <v>33</v>
      </c>
      <c r="B104" s="9" t="str">
        <f>IFERROR(INDEX('CONTROL MASTER'!$Q$2:$Q$495,MATCH("Control MAX Planck Plate 9: F1",'CONTROL MASTER'!$I$2:$I$495,0)),"")</f>
        <v/>
      </c>
      <c r="C104" s="9" t="str">
        <f>IFERROR(INDEX('CONTROL MASTER'!$Q$2:$Q$495,MATCH("Control MAX Planck Plate 9: F2",'CONTROL MASTER'!$I$2:$I$495,0)),"")</f>
        <v/>
      </c>
      <c r="D104" s="9" t="str">
        <f>IFERROR(INDEX('CONTROL MASTER'!$Q$2:$Q$495,MATCH("Control MAX Planck Plate 9: F3",'CONTROL MASTER'!$I$2:$I$495,0)),"")</f>
        <v/>
      </c>
      <c r="E104" s="9" t="str">
        <f>IFERROR(INDEX('CONTROL MASTER'!$Q$2:$Q$495,MATCH("Control MAX Planck Plate 9: F4",'CONTROL MASTER'!$I$2:$I$495,0)),"")</f>
        <v/>
      </c>
      <c r="F104" s="9" t="str">
        <f>IFERROR(INDEX('CONTROL MASTER'!$Q$2:$Q$495,MATCH("Control MAX Planck Plate 9: F5",'CONTROL MASTER'!$I$2:$I$495,0)),"")</f>
        <v/>
      </c>
      <c r="G104" s="9" t="str">
        <f>IFERROR(INDEX('CONTROL MASTER'!$Q$2:$Q$495,MATCH("Control MAX Planck Plate 9: F6",'CONTROL MASTER'!$I$2:$I$495,0)),"")</f>
        <v/>
      </c>
      <c r="H104" s="9" t="str">
        <f>IFERROR(INDEX('CONTROL MASTER'!$Q$2:$Q$495,MATCH("Control MAX Planck Plate 9: F7",'CONTROL MASTER'!$I$2:$I$495,0)),"")</f>
        <v/>
      </c>
      <c r="I104" s="9" t="str">
        <f>IFERROR(INDEX('CONTROL MASTER'!$Q$2:$Q$495,MATCH("Control MAX Planck Plate 9: F8",'CONTROL MASTER'!$I$2:$I$495,0)),"")</f>
        <v/>
      </c>
      <c r="J104" s="9" t="str">
        <f>IFERROR(INDEX('CONTROL MASTER'!$Q$2:$Q$495,MATCH("Control MAX Planck Plate 9: F9",'CONTROL MASTER'!$I$2:$I$495,0)),"")</f>
        <v/>
      </c>
      <c r="K104" s="9" t="str">
        <f>IFERROR(INDEX('CONTROL MASTER'!$Q$2:$Q$495,MATCH("Control MAX Planck Plate 9: F10",'CONTROL MASTER'!$I$2:$I$495,0)),"")</f>
        <v/>
      </c>
      <c r="L104" s="9" t="str">
        <f>IFERROR(INDEX('CONTROL MASTER'!$Q$2:$Q$495,MATCH("Control MAX Planck Plate 9: F11",'CONTROL MASTER'!$I$2:$I$495,0)),"")</f>
        <v/>
      </c>
      <c r="M104" s="9" t="str">
        <f>IFERROR(INDEX('CONTROL MASTER'!$Q$2:$Q$495,MATCH("Control MAX Planck Plate 9: F12",'CONTROL MASTER'!$I$2:$I$495,0)),"")</f>
        <v/>
      </c>
    </row>
    <row r="105" spans="1:13" ht="15" customHeight="1" x14ac:dyDescent="0.35">
      <c r="A105" s="8" t="s">
        <v>34</v>
      </c>
      <c r="B105" s="9" t="str">
        <f>IFERROR(INDEX('CONTROL MASTER'!$Q$2:$Q$495,MATCH("Control MAX Planck Plate 9: G1",'CONTROL MASTER'!$I$2:$I$495,0)),"")</f>
        <v/>
      </c>
      <c r="C105" s="9" t="str">
        <f>IFERROR(INDEX('CONTROL MASTER'!$Q$2:$Q$495,MATCH("Control MAX Planck Plate 9: G2",'CONTROL MASTER'!$I$2:$I$495,0)),"")</f>
        <v/>
      </c>
      <c r="D105" s="9" t="str">
        <f>IFERROR(INDEX('CONTROL MASTER'!$Q$2:$Q$495,MATCH("Control MAX Planck Plate 9: G3",'CONTROL MASTER'!$I$2:$I$495,0)),"")</f>
        <v/>
      </c>
      <c r="E105" s="9" t="str">
        <f>IFERROR(INDEX('CONTROL MASTER'!$Q$2:$Q$495,MATCH("Control MAX Planck Plate 9: G4",'CONTROL MASTER'!$I$2:$I$495,0)),"")</f>
        <v/>
      </c>
      <c r="F105" s="9" t="str">
        <f>IFERROR(INDEX('CONTROL MASTER'!$Q$2:$Q$495,MATCH("Control MAX Planck Plate 9: G5",'CONTROL MASTER'!$I$2:$I$495,0)),"")</f>
        <v/>
      </c>
      <c r="G105" s="9" t="str">
        <f>IFERROR(INDEX('CONTROL MASTER'!$Q$2:$Q$495,MATCH("Control MAX Planck Plate 9: G6",'CONTROL MASTER'!$I$2:$I$495,0)),"")</f>
        <v/>
      </c>
      <c r="H105" s="9" t="str">
        <f>IFERROR(INDEX('CONTROL MASTER'!$Q$2:$Q$495,MATCH("Control MAX Planck Plate 9: G7",'CONTROL MASTER'!$I$2:$I$495,0)),"")</f>
        <v/>
      </c>
      <c r="I105" s="9" t="str">
        <f>IFERROR(INDEX('CONTROL MASTER'!$Q$2:$Q$495,MATCH("Control MAX Planck Plate 9: G8",'CONTROL MASTER'!$I$2:$I$495,0)),"")</f>
        <v/>
      </c>
      <c r="J105" s="9" t="str">
        <f>IFERROR(INDEX('CONTROL MASTER'!$Q$2:$Q$495,MATCH("Control MAX Planck Plate 9: G9",'CONTROL MASTER'!$I$2:$I$495,0)),"")</f>
        <v/>
      </c>
      <c r="K105" s="9" t="str">
        <f>IFERROR(INDEX('CONTROL MASTER'!$Q$2:$Q$495,MATCH("Control MAX Planck Plate 9: G10",'CONTROL MASTER'!$I$2:$I$495,0)),"")</f>
        <v/>
      </c>
      <c r="L105" s="9" t="str">
        <f>IFERROR(INDEX('CONTROL MASTER'!$Q$2:$Q$495,MATCH("Control MAX Planck Plate 9: G11",'CONTROL MASTER'!$I$2:$I$495,0)),"")</f>
        <v/>
      </c>
      <c r="M105" s="9" t="str">
        <f>IFERROR(INDEX('CONTROL MASTER'!$Q$2:$Q$495,MATCH("Control MAX Planck Plate 9: G12",'CONTROL MASTER'!$I$2:$I$495,0)),"")</f>
        <v/>
      </c>
    </row>
    <row r="106" spans="1:13" ht="15" customHeight="1" x14ac:dyDescent="0.35">
      <c r="A106" s="8" t="s">
        <v>35</v>
      </c>
      <c r="B106" s="9" t="str">
        <f>IFERROR(INDEX('CONTROL MASTER'!$Q$2:$Q$495,MATCH("Control MAX Planck Plate 9: H1",'CONTROL MASTER'!$I$2:$I$495,0)),"")</f>
        <v/>
      </c>
      <c r="C106" s="9" t="str">
        <f>IFERROR(INDEX('CONTROL MASTER'!$Q$2:$Q$495,MATCH("Control MAX Planck Plate 9: H2",'CONTROL MASTER'!$I$2:$I$495,0)),"")</f>
        <v/>
      </c>
      <c r="D106" s="9" t="str">
        <f>IFERROR(INDEX('CONTROL MASTER'!$Q$2:$Q$495,MATCH("Control MAX Planck Plate 9: H3",'CONTROL MASTER'!$I$2:$I$495,0)),"")</f>
        <v/>
      </c>
      <c r="E106" s="9" t="str">
        <f>IFERROR(INDEX('CONTROL MASTER'!$Q$2:$Q$495,MATCH("Control MAX Planck Plate 9: H4",'CONTROL MASTER'!$I$2:$I$495,0)),"")</f>
        <v/>
      </c>
      <c r="F106" s="9" t="str">
        <f>IFERROR(INDEX('CONTROL MASTER'!$Q$2:$Q$495,MATCH("Control MAX Planck Plate 9: H5",'CONTROL MASTER'!$I$2:$I$495,0)),"")</f>
        <v/>
      </c>
      <c r="G106" s="9" t="str">
        <f>IFERROR(INDEX('CONTROL MASTER'!$Q$2:$Q$495,MATCH("Control MAX Planck Plate 9: H6",'CONTROL MASTER'!$I$2:$I$495,0)),"")</f>
        <v/>
      </c>
      <c r="H106" s="9" t="str">
        <f>IFERROR(INDEX('CONTROL MASTER'!$Q$2:$Q$495,MATCH("Control MAX Planck Plate 9: H7",'CONTROL MASTER'!$I$2:$I$495,0)),"")</f>
        <v/>
      </c>
      <c r="I106" s="9" t="str">
        <f>IFERROR(INDEX('CONTROL MASTER'!$Q$2:$Q$495,MATCH("Control MAX Planck Plate 9: H8",'CONTROL MASTER'!$I$2:$I$495,0)),"")</f>
        <v/>
      </c>
      <c r="J106" s="9" t="str">
        <f>IFERROR(INDEX('CONTROL MASTER'!$Q$2:$Q$495,MATCH("Control MAX Planck Plate 9: H9",'CONTROL MASTER'!$I$2:$I$495,0)),"")</f>
        <v/>
      </c>
      <c r="K106" s="9" t="str">
        <f>IFERROR(INDEX('CONTROL MASTER'!$Q$2:$Q$495,MATCH("Control MAX Planck Plate 9: H10",'CONTROL MASTER'!$I$2:$I$495,0)),"")</f>
        <v/>
      </c>
      <c r="L106" s="9" t="str">
        <f>IFERROR(INDEX('CONTROL MASTER'!$Q$2:$Q$495,MATCH("Control MAX Planck Plate 9: H11",'CONTROL MASTER'!$I$2:$I$495,0)),"")</f>
        <v/>
      </c>
      <c r="M106" s="9" t="str">
        <f>IFERROR(INDEX('CONTROL MASTER'!$Q$2:$Q$495,MATCH("Control MAX Planck Plate 9: H12",'CONTROL MASTER'!$I$2:$I$495,0)),"")</f>
        <v/>
      </c>
    </row>
    <row r="109" spans="1:13" ht="15" customHeight="1" x14ac:dyDescent="0.35">
      <c r="A109" s="12" t="s">
        <v>151</v>
      </c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</row>
    <row r="110" spans="1:13" ht="15" customHeight="1" x14ac:dyDescent="0.35">
      <c r="B110" s="8">
        <v>1</v>
      </c>
      <c r="C110" s="8">
        <v>2</v>
      </c>
      <c r="D110" s="8">
        <v>3</v>
      </c>
      <c r="E110" s="8">
        <v>4</v>
      </c>
      <c r="F110" s="8">
        <v>5</v>
      </c>
      <c r="G110" s="8">
        <v>6</v>
      </c>
      <c r="H110" s="8">
        <v>7</v>
      </c>
      <c r="I110" s="8">
        <v>8</v>
      </c>
      <c r="J110" s="8">
        <v>9</v>
      </c>
      <c r="K110" s="8">
        <v>10</v>
      </c>
      <c r="L110" s="8">
        <v>11</v>
      </c>
      <c r="M110" s="8">
        <v>12</v>
      </c>
    </row>
    <row r="111" spans="1:13" ht="15" customHeight="1" x14ac:dyDescent="0.35">
      <c r="A111" s="8" t="s">
        <v>28</v>
      </c>
      <c r="B111" s="9" t="str">
        <f>IFERROR(INDEX('CONTROL MASTER'!$Q$2:$Q$495,MATCH("Control MAX Planck Plate 10: A1",'CONTROL MASTER'!$I$2:$I$495,0)),"")</f>
        <v/>
      </c>
      <c r="C111" s="9" t="str">
        <f>IFERROR(INDEX('CONTROL MASTER'!$Q$2:$Q$495,MATCH("Control MAX Planck Plate 10: A2",'CONTROL MASTER'!$I$2:$I$495,0)),"")</f>
        <v/>
      </c>
      <c r="D111" s="9" t="str">
        <f>IFERROR(INDEX('CONTROL MASTER'!$Q$2:$Q$495,MATCH("Control MAX Planck Plate 10: A3",'CONTROL MASTER'!$I$2:$I$495,0)),"")</f>
        <v/>
      </c>
      <c r="E111" s="9" t="str">
        <f>IFERROR(INDEX('CONTROL MASTER'!$Q$2:$Q$495,MATCH("Control MAX Planck Plate 10: A4",'CONTROL MASTER'!$I$2:$I$495,0)),"")</f>
        <v/>
      </c>
      <c r="F111" s="9" t="str">
        <f>IFERROR(INDEX('CONTROL MASTER'!$Q$2:$Q$495,MATCH("Control MAX Planck Plate 10: A5",'CONTROL MASTER'!$I$2:$I$495,0)),"")</f>
        <v/>
      </c>
      <c r="G111" s="9" t="str">
        <f>IFERROR(INDEX('CONTROL MASTER'!$Q$2:$Q$495,MATCH("Control MAX Planck Plate 10: A6",'CONTROL MASTER'!$I$2:$I$495,0)),"")</f>
        <v/>
      </c>
      <c r="H111" s="9" t="str">
        <f>IFERROR(INDEX('CONTROL MASTER'!$Q$2:$Q$495,MATCH("Control MAX Planck Plate 10: A7",'CONTROL MASTER'!$I$2:$I$495,0)),"")</f>
        <v/>
      </c>
      <c r="I111" s="9" t="str">
        <f>IFERROR(INDEX('CONTROL MASTER'!$Q$2:$Q$495,MATCH("Control MAX Planck Plate 10: A8",'CONTROL MASTER'!$I$2:$I$495,0)),"")</f>
        <v/>
      </c>
      <c r="J111" s="9" t="str">
        <f>IFERROR(INDEX('CONTROL MASTER'!$Q$2:$Q$495,MATCH("Control MAX Planck Plate 10: A9",'CONTROL MASTER'!$I$2:$I$495,0)),"")</f>
        <v/>
      </c>
      <c r="K111" s="9" t="str">
        <f>IFERROR(INDEX('CONTROL MASTER'!$Q$2:$Q$495,MATCH("Control MAX Planck Plate 10: A10",'CONTROL MASTER'!$I$2:$I$495,0)),"")</f>
        <v/>
      </c>
      <c r="L111" s="9" t="str">
        <f>IFERROR(INDEX('CONTROL MASTER'!$Q$2:$Q$495,MATCH("Control MAX Planck Plate 10: A11",'CONTROL MASTER'!$I$2:$I$495,0)),"")</f>
        <v/>
      </c>
      <c r="M111" s="9" t="str">
        <f>IFERROR(INDEX('CONTROL MASTER'!$Q$2:$Q$495,MATCH("Control MAX Planck Plate 10: A12",'CONTROL MASTER'!$I$2:$I$495,0)),"")</f>
        <v/>
      </c>
    </row>
    <row r="112" spans="1:13" ht="15" customHeight="1" x14ac:dyDescent="0.35">
      <c r="A112" s="8" t="s">
        <v>29</v>
      </c>
      <c r="B112" s="9" t="str">
        <f>IFERROR(INDEX('CONTROL MASTER'!$Q$2:$Q$495,MATCH("Control MAX Planck Plate 10: B1",'CONTROL MASTER'!$I$2:$I$495,0)),"")</f>
        <v/>
      </c>
      <c r="C112" s="9" t="str">
        <f>IFERROR(INDEX('CONTROL MASTER'!$Q$2:$Q$495,MATCH("Control MAX Planck Plate 10: B2",'CONTROL MASTER'!$I$2:$I$495,0)),"")</f>
        <v/>
      </c>
      <c r="D112" s="9" t="str">
        <f>IFERROR(INDEX('CONTROL MASTER'!$Q$2:$Q$495,MATCH("Control MAX Planck Plate 10: B3",'CONTROL MASTER'!$I$2:$I$495,0)),"")</f>
        <v/>
      </c>
      <c r="E112" s="9" t="str">
        <f>IFERROR(INDEX('CONTROL MASTER'!$Q$2:$Q$495,MATCH("Control MAX Planck Plate 10: B4",'CONTROL MASTER'!$I$2:$I$495,0)),"")</f>
        <v/>
      </c>
      <c r="F112" s="9" t="str">
        <f>IFERROR(INDEX('CONTROL MASTER'!$Q$2:$Q$495,MATCH("Control MAX Planck Plate 10: B5",'CONTROL MASTER'!$I$2:$I$495,0)),"")</f>
        <v/>
      </c>
      <c r="G112" s="9" t="str">
        <f>IFERROR(INDEX('CONTROL MASTER'!$Q$2:$Q$495,MATCH("Control MAX Planck Plate 10: B6",'CONTROL MASTER'!$I$2:$I$495,0)),"")</f>
        <v/>
      </c>
      <c r="H112" s="9" t="str">
        <f>IFERROR(INDEX('CONTROL MASTER'!$Q$2:$Q$495,MATCH("Control MAX Planck Plate 10: B7",'CONTROL MASTER'!$I$2:$I$495,0)),"")</f>
        <v/>
      </c>
      <c r="I112" s="9" t="str">
        <f>IFERROR(INDEX('CONTROL MASTER'!$Q$2:$Q$495,MATCH("Control MAX Planck Plate 10: B8",'CONTROL MASTER'!$I$2:$I$495,0)),"")</f>
        <v/>
      </c>
      <c r="J112" s="9" t="str">
        <f>IFERROR(INDEX('CONTROL MASTER'!$Q$2:$Q$495,MATCH("Control MAX Planck Plate 10: B9",'CONTROL MASTER'!$I$2:$I$495,0)),"")</f>
        <v/>
      </c>
      <c r="K112" s="9" t="str">
        <f>IFERROR(INDEX('CONTROL MASTER'!$Q$2:$Q$495,MATCH("Control MAX Planck Plate 10: B10",'CONTROL MASTER'!$I$2:$I$495,0)),"")</f>
        <v/>
      </c>
      <c r="L112" s="9" t="str">
        <f>IFERROR(INDEX('CONTROL MASTER'!$Q$2:$Q$495,MATCH("Control MAX Planck Plate 10: B11",'CONTROL MASTER'!$I$2:$I$495,0)),"")</f>
        <v/>
      </c>
      <c r="M112" s="9" t="str">
        <f>IFERROR(INDEX('CONTROL MASTER'!$Q$2:$Q$495,MATCH("Control MAX Planck Plate 10: B12",'CONTROL MASTER'!$I$2:$I$495,0)),"")</f>
        <v/>
      </c>
    </row>
    <row r="113" spans="1:13" ht="15" customHeight="1" x14ac:dyDescent="0.35">
      <c r="A113" s="8" t="s">
        <v>30</v>
      </c>
      <c r="B113" s="9" t="str">
        <f>IFERROR(INDEX('CONTROL MASTER'!$Q$2:$Q$495,MATCH("Control MAX Planck Plate 10: C1",'CONTROL MASTER'!$I$2:$I$495,0)),"")</f>
        <v/>
      </c>
      <c r="C113" s="9" t="str">
        <f>IFERROR(INDEX('CONTROL MASTER'!$Q$2:$Q$495,MATCH("Control MAX Planck Plate 10: C2",'CONTROL MASTER'!$I$2:$I$495,0)),"")</f>
        <v/>
      </c>
      <c r="D113" s="9" t="str">
        <f>IFERROR(INDEX('CONTROL MASTER'!$Q$2:$Q$495,MATCH("Control MAX Planck Plate 10: C3",'CONTROL MASTER'!$I$2:$I$495,0)),"")</f>
        <v/>
      </c>
      <c r="E113" s="9" t="str">
        <f>IFERROR(INDEX('CONTROL MASTER'!$Q$2:$Q$495,MATCH("Control MAX Planck Plate 10: C4",'CONTROL MASTER'!$I$2:$I$495,0)),"")</f>
        <v/>
      </c>
      <c r="F113" s="9" t="str">
        <f>IFERROR(INDEX('CONTROL MASTER'!$Q$2:$Q$495,MATCH("Control MAX Planck Plate 10: C5",'CONTROL MASTER'!$I$2:$I$495,0)),"")</f>
        <v/>
      </c>
      <c r="G113" s="9" t="str">
        <f>IFERROR(INDEX('CONTROL MASTER'!$Q$2:$Q$495,MATCH("Control MAX Planck Plate 10: C6",'CONTROL MASTER'!$I$2:$I$495,0)),"")</f>
        <v/>
      </c>
      <c r="H113" s="9" t="str">
        <f>IFERROR(INDEX('CONTROL MASTER'!$Q$2:$Q$495,MATCH("Control MAX Planck Plate 10: C7",'CONTROL MASTER'!$I$2:$I$495,0)),"")</f>
        <v/>
      </c>
      <c r="I113" s="9" t="str">
        <f>IFERROR(INDEX('CONTROL MASTER'!$Q$2:$Q$495,MATCH("Control MAX Planck Plate 10: C8",'CONTROL MASTER'!$I$2:$I$495,0)),"")</f>
        <v/>
      </c>
      <c r="J113" s="9" t="str">
        <f>IFERROR(INDEX('CONTROL MASTER'!$Q$2:$Q$495,MATCH("Control MAX Planck Plate 10: C9",'CONTROL MASTER'!$I$2:$I$495,0)),"")</f>
        <v/>
      </c>
      <c r="K113" s="9" t="str">
        <f>IFERROR(INDEX('CONTROL MASTER'!$Q$2:$Q$495,MATCH("Control MAX Planck Plate 10: C10",'CONTROL MASTER'!$I$2:$I$495,0)),"")</f>
        <v/>
      </c>
      <c r="L113" s="9" t="str">
        <f>IFERROR(INDEX('CONTROL MASTER'!$Q$2:$Q$495,MATCH("Control MAX Planck Plate 10: C11",'CONTROL MASTER'!$I$2:$I$495,0)),"")</f>
        <v/>
      </c>
      <c r="M113" s="9" t="str">
        <f>IFERROR(INDEX('CONTROL MASTER'!$Q$2:$Q$495,MATCH("Control MAX Planck Plate 10: C12",'CONTROL MASTER'!$I$2:$I$495,0)),"")</f>
        <v/>
      </c>
    </row>
    <row r="114" spans="1:13" ht="15" customHeight="1" x14ac:dyDescent="0.35">
      <c r="A114" s="8" t="s">
        <v>31</v>
      </c>
      <c r="B114" s="9" t="str">
        <f>IFERROR(INDEX('CONTROL MASTER'!$Q$2:$Q$495,MATCH("Control MAX Planck Plate 10: D1",'CONTROL MASTER'!$I$2:$I$495,0)),"")</f>
        <v/>
      </c>
      <c r="C114" s="9" t="str">
        <f>IFERROR(INDEX('CONTROL MASTER'!$Q$2:$Q$495,MATCH("Control MAX Planck Plate 10: D2",'CONTROL MASTER'!$I$2:$I$495,0)),"")</f>
        <v/>
      </c>
      <c r="D114" s="9" t="str">
        <f>IFERROR(INDEX('CONTROL MASTER'!$Q$2:$Q$495,MATCH("Control MAX Planck Plate 10: D3",'CONTROL MASTER'!$I$2:$I$495,0)),"")</f>
        <v/>
      </c>
      <c r="E114" s="9" t="str">
        <f>IFERROR(INDEX('CONTROL MASTER'!$Q$2:$Q$495,MATCH("Control MAX Planck Plate 10: D4",'CONTROL MASTER'!$I$2:$I$495,0)),"")</f>
        <v/>
      </c>
      <c r="F114" s="9" t="str">
        <f>IFERROR(INDEX('CONTROL MASTER'!$Q$2:$Q$495,MATCH("Control MAX Planck Plate 10: D5",'CONTROL MASTER'!$I$2:$I$495,0)),"")</f>
        <v/>
      </c>
      <c r="G114" s="9" t="str">
        <f>IFERROR(INDEX('CONTROL MASTER'!$Q$2:$Q$495,MATCH("Control MAX Planck Plate 10: D6",'CONTROL MASTER'!$I$2:$I$495,0)),"")</f>
        <v/>
      </c>
      <c r="H114" s="9" t="str">
        <f>IFERROR(INDEX('CONTROL MASTER'!$Q$2:$Q$495,MATCH("Control MAX Planck Plate 10: D7",'CONTROL MASTER'!$I$2:$I$495,0)),"")</f>
        <v/>
      </c>
      <c r="I114" s="9" t="str">
        <f>IFERROR(INDEX('CONTROL MASTER'!$Q$2:$Q$495,MATCH("Control MAX Planck Plate 10: D8",'CONTROL MASTER'!$I$2:$I$495,0)),"")</f>
        <v/>
      </c>
      <c r="J114" s="9" t="str">
        <f>IFERROR(INDEX('CONTROL MASTER'!$Q$2:$Q$495,MATCH("Control MAX Planck Plate 10: D9",'CONTROL MASTER'!$I$2:$I$495,0)),"")</f>
        <v/>
      </c>
      <c r="K114" s="9" t="str">
        <f>IFERROR(INDEX('CONTROL MASTER'!$Q$2:$Q$495,MATCH("Control MAX Planck Plate 10: D10",'CONTROL MASTER'!$I$2:$I$495,0)),"")</f>
        <v/>
      </c>
      <c r="L114" s="9" t="str">
        <f>IFERROR(INDEX('CONTROL MASTER'!$Q$2:$Q$495,MATCH("Control MAX Planck Plate 10: D11",'CONTROL MASTER'!$I$2:$I$495,0)),"")</f>
        <v/>
      </c>
      <c r="M114" s="9" t="str">
        <f>IFERROR(INDEX('CONTROL MASTER'!$Q$2:$Q$495,MATCH("Control MAX Planck Plate 10: D12",'CONTROL MASTER'!$I$2:$I$495,0)),"")</f>
        <v/>
      </c>
    </row>
    <row r="115" spans="1:13" ht="15" customHeight="1" x14ac:dyDescent="0.35">
      <c r="A115" s="8" t="s">
        <v>32</v>
      </c>
      <c r="B115" s="9" t="str">
        <f>IFERROR(INDEX('CONTROL MASTER'!$Q$2:$Q$495,MATCH("Control MAX Planck Plate 10: E1",'CONTROL MASTER'!$I$2:$I$495,0)),"")</f>
        <v/>
      </c>
      <c r="C115" s="9" t="str">
        <f>IFERROR(INDEX('CONTROL MASTER'!$Q$2:$Q$495,MATCH("Control MAX Planck Plate 10: E2",'CONTROL MASTER'!$I$2:$I$495,0)),"")</f>
        <v/>
      </c>
      <c r="D115" s="9" t="str">
        <f>IFERROR(INDEX('CONTROL MASTER'!$Q$2:$Q$495,MATCH("Control MAX Planck Plate 10: E3",'CONTROL MASTER'!$I$2:$I$495,0)),"")</f>
        <v/>
      </c>
      <c r="E115" s="9" t="str">
        <f>IFERROR(INDEX('CONTROL MASTER'!$Q$2:$Q$495,MATCH("Control MAX Planck Plate 10: E4",'CONTROL MASTER'!$I$2:$I$495,0)),"")</f>
        <v/>
      </c>
      <c r="F115" s="9" t="str">
        <f>IFERROR(INDEX('CONTROL MASTER'!$Q$2:$Q$495,MATCH("Control MAX Planck Plate 10: E5",'CONTROL MASTER'!$I$2:$I$495,0)),"")</f>
        <v/>
      </c>
      <c r="G115" s="9" t="str">
        <f>IFERROR(INDEX('CONTROL MASTER'!$Q$2:$Q$495,MATCH("Control MAX Planck Plate 10: E6",'CONTROL MASTER'!$I$2:$I$495,0)),"")</f>
        <v/>
      </c>
      <c r="H115" s="9" t="str">
        <f>IFERROR(INDEX('CONTROL MASTER'!$Q$2:$Q$495,MATCH("Control MAX Planck Plate 10: E7",'CONTROL MASTER'!$I$2:$I$495,0)),"")</f>
        <v/>
      </c>
      <c r="I115" s="9" t="str">
        <f>IFERROR(INDEX('CONTROL MASTER'!$Q$2:$Q$495,MATCH("Control MAX Planck Plate 10: E8",'CONTROL MASTER'!$I$2:$I$495,0)),"")</f>
        <v/>
      </c>
      <c r="J115" s="9" t="str">
        <f>IFERROR(INDEX('CONTROL MASTER'!$Q$2:$Q$495,MATCH("Control MAX Planck Plate 10: E9",'CONTROL MASTER'!$I$2:$I$495,0)),"")</f>
        <v/>
      </c>
      <c r="K115" s="9" t="str">
        <f>IFERROR(INDEX('CONTROL MASTER'!$Q$2:$Q$495,MATCH("Control MAX Planck Plate 10: E10",'CONTROL MASTER'!$I$2:$I$495,0)),"")</f>
        <v/>
      </c>
      <c r="L115" s="9" t="str">
        <f>IFERROR(INDEX('CONTROL MASTER'!$Q$2:$Q$495,MATCH("Control MAX Planck Plate 10: E11",'CONTROL MASTER'!$I$2:$I$495,0)),"")</f>
        <v/>
      </c>
      <c r="M115" s="9" t="str">
        <f>IFERROR(INDEX('CONTROL MASTER'!$Q$2:$Q$495,MATCH("Control MAX Planck Plate 10: E12",'CONTROL MASTER'!$I$2:$I$495,0)),"")</f>
        <v/>
      </c>
    </row>
    <row r="116" spans="1:13" ht="15" customHeight="1" x14ac:dyDescent="0.35">
      <c r="A116" s="8" t="s">
        <v>33</v>
      </c>
      <c r="B116" s="9" t="str">
        <f>IFERROR(INDEX('CONTROL MASTER'!$Q$2:$Q$495,MATCH("Control MAX Planck Plate 10: F1",'CONTROL MASTER'!$I$2:$I$495,0)),"")</f>
        <v/>
      </c>
      <c r="C116" s="9" t="str">
        <f>IFERROR(INDEX('CONTROL MASTER'!$Q$2:$Q$495,MATCH("Control MAX Planck Plate 10: F2",'CONTROL MASTER'!$I$2:$I$495,0)),"")</f>
        <v/>
      </c>
      <c r="D116" s="9" t="str">
        <f>IFERROR(INDEX('CONTROL MASTER'!$Q$2:$Q$495,MATCH("Control MAX Planck Plate 10: F3",'CONTROL MASTER'!$I$2:$I$495,0)),"")</f>
        <v/>
      </c>
      <c r="E116" s="9" t="str">
        <f>IFERROR(INDEX('CONTROL MASTER'!$Q$2:$Q$495,MATCH("Control MAX Planck Plate 10: F4",'CONTROL MASTER'!$I$2:$I$495,0)),"")</f>
        <v/>
      </c>
      <c r="F116" s="9" t="str">
        <f>IFERROR(INDEX('CONTROL MASTER'!$Q$2:$Q$495,MATCH("Control MAX Planck Plate 10: F5",'CONTROL MASTER'!$I$2:$I$495,0)),"")</f>
        <v/>
      </c>
      <c r="G116" s="9" t="str">
        <f>IFERROR(INDEX('CONTROL MASTER'!$Q$2:$Q$495,MATCH("Control MAX Planck Plate 10: F6",'CONTROL MASTER'!$I$2:$I$495,0)),"")</f>
        <v/>
      </c>
      <c r="H116" s="9" t="str">
        <f>IFERROR(INDEX('CONTROL MASTER'!$Q$2:$Q$495,MATCH("Control MAX Planck Plate 10: F7",'CONTROL MASTER'!$I$2:$I$495,0)),"")</f>
        <v/>
      </c>
      <c r="I116" s="9" t="str">
        <f>IFERROR(INDEX('CONTROL MASTER'!$Q$2:$Q$495,MATCH("Control MAX Planck Plate 10: F8",'CONTROL MASTER'!$I$2:$I$495,0)),"")</f>
        <v/>
      </c>
      <c r="J116" s="9" t="str">
        <f>IFERROR(INDEX('CONTROL MASTER'!$Q$2:$Q$495,MATCH("Control MAX Planck Plate 10: F9",'CONTROL MASTER'!$I$2:$I$495,0)),"")</f>
        <v/>
      </c>
      <c r="K116" s="9" t="str">
        <f>IFERROR(INDEX('CONTROL MASTER'!$Q$2:$Q$495,MATCH("Control MAX Planck Plate 10: F10",'CONTROL MASTER'!$I$2:$I$495,0)),"")</f>
        <v/>
      </c>
      <c r="L116" s="9" t="str">
        <f>IFERROR(INDEX('CONTROL MASTER'!$Q$2:$Q$495,MATCH("Control MAX Planck Plate 10: F11",'CONTROL MASTER'!$I$2:$I$495,0)),"")</f>
        <v/>
      </c>
      <c r="M116" s="9" t="str">
        <f>IFERROR(INDEX('CONTROL MASTER'!$Q$2:$Q$495,MATCH("Control MAX Planck Plate 10: F12",'CONTROL MASTER'!$I$2:$I$495,0)),"")</f>
        <v/>
      </c>
    </row>
    <row r="117" spans="1:13" ht="15" customHeight="1" x14ac:dyDescent="0.35">
      <c r="A117" s="8" t="s">
        <v>34</v>
      </c>
      <c r="B117" s="9" t="str">
        <f>IFERROR(INDEX('CONTROL MASTER'!$Q$2:$Q$495,MATCH("Control MAX Planck Plate 10: G1",'CONTROL MASTER'!$I$2:$I$495,0)),"")</f>
        <v/>
      </c>
      <c r="C117" s="9" t="str">
        <f>IFERROR(INDEX('CONTROL MASTER'!$Q$2:$Q$495,MATCH("Control MAX Planck Plate 10: G2",'CONTROL MASTER'!$I$2:$I$495,0)),"")</f>
        <v/>
      </c>
      <c r="D117" s="9" t="str">
        <f>IFERROR(INDEX('CONTROL MASTER'!$Q$2:$Q$495,MATCH("Control MAX Planck Plate 10: G3",'CONTROL MASTER'!$I$2:$I$495,0)),"")</f>
        <v/>
      </c>
      <c r="E117" s="9" t="str">
        <f>IFERROR(INDEX('CONTROL MASTER'!$Q$2:$Q$495,MATCH("Control MAX Planck Plate 10: G4",'CONTROL MASTER'!$I$2:$I$495,0)),"")</f>
        <v/>
      </c>
      <c r="F117" s="9" t="str">
        <f>IFERROR(INDEX('CONTROL MASTER'!$Q$2:$Q$495,MATCH("Control MAX Planck Plate 10: G5",'CONTROL MASTER'!$I$2:$I$495,0)),"")</f>
        <v/>
      </c>
      <c r="G117" s="9" t="str">
        <f>IFERROR(INDEX('CONTROL MASTER'!$Q$2:$Q$495,MATCH("Control MAX Planck Plate 10: G6",'CONTROL MASTER'!$I$2:$I$495,0)),"")</f>
        <v/>
      </c>
      <c r="H117" s="9" t="str">
        <f>IFERROR(INDEX('CONTROL MASTER'!$Q$2:$Q$495,MATCH("Control MAX Planck Plate 10: G7",'CONTROL MASTER'!$I$2:$I$495,0)),"")</f>
        <v/>
      </c>
      <c r="I117" s="9" t="str">
        <f>IFERROR(INDEX('CONTROL MASTER'!$Q$2:$Q$495,MATCH("Control MAX Planck Plate 10: G8",'CONTROL MASTER'!$I$2:$I$495,0)),"")</f>
        <v/>
      </c>
      <c r="J117" s="9" t="str">
        <f>IFERROR(INDEX('CONTROL MASTER'!$Q$2:$Q$495,MATCH("Control MAX Planck Plate 10: G9",'CONTROL MASTER'!$I$2:$I$495,0)),"")</f>
        <v/>
      </c>
      <c r="K117" s="9" t="str">
        <f>IFERROR(INDEX('CONTROL MASTER'!$Q$2:$Q$495,MATCH("Control MAX Planck Plate 10: G10",'CONTROL MASTER'!$I$2:$I$495,0)),"")</f>
        <v/>
      </c>
      <c r="L117" s="9" t="str">
        <f>IFERROR(INDEX('CONTROL MASTER'!$Q$2:$Q$495,MATCH("Control MAX Planck Plate 10: G11",'CONTROL MASTER'!$I$2:$I$495,0)),"")</f>
        <v/>
      </c>
      <c r="M117" s="9" t="str">
        <f>IFERROR(INDEX('CONTROL MASTER'!$Q$2:$Q$495,MATCH("Control MAX Planck Plate 10: G12",'CONTROL MASTER'!$I$2:$I$495,0)),"")</f>
        <v/>
      </c>
    </row>
    <row r="118" spans="1:13" ht="15" customHeight="1" x14ac:dyDescent="0.35">
      <c r="A118" s="8" t="s">
        <v>35</v>
      </c>
      <c r="B118" s="9" t="str">
        <f>IFERROR(INDEX('CONTROL MASTER'!$Q$2:$Q$495,MATCH("Control MAX Planck Plate 10: H1",'CONTROL MASTER'!$I$2:$I$495,0)),"")</f>
        <v/>
      </c>
      <c r="C118" s="9" t="str">
        <f>IFERROR(INDEX('CONTROL MASTER'!$Q$2:$Q$495,MATCH("Control MAX Planck Plate 10: H2",'CONTROL MASTER'!$I$2:$I$495,0)),"")</f>
        <v/>
      </c>
      <c r="D118" s="9" t="str">
        <f>IFERROR(INDEX('CONTROL MASTER'!$Q$2:$Q$495,MATCH("Control MAX Planck Plate 10: H3",'CONTROL MASTER'!$I$2:$I$495,0)),"")</f>
        <v/>
      </c>
      <c r="E118" s="9" t="str">
        <f>IFERROR(INDEX('CONTROL MASTER'!$Q$2:$Q$495,MATCH("Control MAX Planck Plate 10: H4",'CONTROL MASTER'!$I$2:$I$495,0)),"")</f>
        <v/>
      </c>
      <c r="F118" s="9" t="str">
        <f>IFERROR(INDEX('CONTROL MASTER'!$Q$2:$Q$495,MATCH("Control MAX Planck Plate 10: H5",'CONTROL MASTER'!$I$2:$I$495,0)),"")</f>
        <v/>
      </c>
      <c r="G118" s="9" t="str">
        <f>IFERROR(INDEX('CONTROL MASTER'!$Q$2:$Q$495,MATCH("Control MAX Planck Plate 10: H6",'CONTROL MASTER'!$I$2:$I$495,0)),"")</f>
        <v/>
      </c>
      <c r="H118" s="9" t="str">
        <f>IFERROR(INDEX('CONTROL MASTER'!$Q$2:$Q$495,MATCH("Control MAX Planck Plate 10: H7",'CONTROL MASTER'!$I$2:$I$495,0)),"")</f>
        <v/>
      </c>
      <c r="I118" s="9" t="str">
        <f>IFERROR(INDEX('CONTROL MASTER'!$Q$2:$Q$495,MATCH("Control MAX Planck Plate 10: H8",'CONTROL MASTER'!$I$2:$I$495,0)),"")</f>
        <v/>
      </c>
      <c r="J118" s="9" t="str">
        <f>IFERROR(INDEX('CONTROL MASTER'!$Q$2:$Q$495,MATCH("Control MAX Planck Plate 10: H9",'CONTROL MASTER'!$I$2:$I$495,0)),"")</f>
        <v/>
      </c>
      <c r="K118" s="9" t="str">
        <f>IFERROR(INDEX('CONTROL MASTER'!$Q$2:$Q$495,MATCH("Control MAX Planck Plate 10: H10",'CONTROL MASTER'!$I$2:$I$495,0)),"")</f>
        <v/>
      </c>
      <c r="L118" s="9" t="str">
        <f>IFERROR(INDEX('CONTROL MASTER'!$Q$2:$Q$495,MATCH("Control MAX Planck Plate 10: H11",'CONTROL MASTER'!$I$2:$I$495,0)),"")</f>
        <v/>
      </c>
      <c r="M118" s="9" t="str">
        <f>IFERROR(INDEX('CONTROL MASTER'!$Q$2:$Q$495,MATCH("Control MAX Planck Plate 10: H12",'CONTROL MASTER'!$I$2:$I$495,0)),"")</f>
        <v/>
      </c>
    </row>
    <row r="121" spans="1:13" ht="15" customHeight="1" x14ac:dyDescent="0.35">
      <c r="A121" s="12" t="s">
        <v>152</v>
      </c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</row>
    <row r="122" spans="1:13" ht="15" customHeight="1" x14ac:dyDescent="0.35">
      <c r="B122" s="8">
        <v>1</v>
      </c>
      <c r="C122" s="8">
        <v>2</v>
      </c>
      <c r="D122" s="8">
        <v>3</v>
      </c>
      <c r="E122" s="8">
        <v>4</v>
      </c>
      <c r="F122" s="8">
        <v>5</v>
      </c>
      <c r="G122" s="8">
        <v>6</v>
      </c>
      <c r="H122" s="8">
        <v>7</v>
      </c>
      <c r="I122" s="8">
        <v>8</v>
      </c>
      <c r="J122" s="8">
        <v>9</v>
      </c>
      <c r="K122" s="8">
        <v>10</v>
      </c>
      <c r="L122" s="8">
        <v>11</v>
      </c>
      <c r="M122" s="8">
        <v>12</v>
      </c>
    </row>
    <row r="123" spans="1:13" ht="15" customHeight="1" x14ac:dyDescent="0.35">
      <c r="A123" s="8" t="s">
        <v>28</v>
      </c>
      <c r="B123" s="9" t="str">
        <f>IFERROR(INDEX('CONTROL MASTER'!$Q$2:$Q$495,MATCH("Control MAX Planck Plate 11: A1",'CONTROL MASTER'!$I$2:$I$495,0)),"")</f>
        <v/>
      </c>
      <c r="C123" s="9" t="str">
        <f>IFERROR(INDEX('CONTROL MASTER'!$Q$2:$Q$495,MATCH("Control MAX Planck Plate 11: A2",'CONTROL MASTER'!$I$2:$I$495,0)),"")</f>
        <v/>
      </c>
      <c r="D123" s="9" t="str">
        <f>IFERROR(INDEX('CONTROL MASTER'!$Q$2:$Q$495,MATCH("Control MAX Planck Plate 11: A3",'CONTROL MASTER'!$I$2:$I$495,0)),"")</f>
        <v/>
      </c>
      <c r="E123" s="9" t="str">
        <f>IFERROR(INDEX('CONTROL MASTER'!$Q$2:$Q$495,MATCH("Control MAX Planck Plate 11: A4",'CONTROL MASTER'!$I$2:$I$495,0)),"")</f>
        <v/>
      </c>
      <c r="F123" s="9" t="str">
        <f>IFERROR(INDEX('CONTROL MASTER'!$Q$2:$Q$495,MATCH("Control MAX Planck Plate 11: A5",'CONTROL MASTER'!$I$2:$I$495,0)),"")</f>
        <v/>
      </c>
      <c r="G123" s="9" t="str">
        <f>IFERROR(INDEX('CONTROL MASTER'!$Q$2:$Q$495,MATCH("Control MAX Planck Plate 11: A6",'CONTROL MASTER'!$I$2:$I$495,0)),"")</f>
        <v/>
      </c>
      <c r="H123" s="9" t="str">
        <f>IFERROR(INDEX('CONTROL MASTER'!$Q$2:$Q$495,MATCH("Control MAX Planck Plate 11: A7",'CONTROL MASTER'!$I$2:$I$495,0)),"")</f>
        <v/>
      </c>
      <c r="I123" s="9" t="str">
        <f>IFERROR(INDEX('CONTROL MASTER'!$Q$2:$Q$495,MATCH("Control MAX Planck Plate 11: A8",'CONTROL MASTER'!$I$2:$I$495,0)),"")</f>
        <v/>
      </c>
      <c r="J123" s="9" t="str">
        <f>IFERROR(INDEX('CONTROL MASTER'!$Q$2:$Q$495,MATCH("Control MAX Planck Plate 11: A9",'CONTROL MASTER'!$I$2:$I$495,0)),"")</f>
        <v/>
      </c>
      <c r="K123" s="9" t="str">
        <f>IFERROR(INDEX('CONTROL MASTER'!$Q$2:$Q$495,MATCH("Control MAX Planck Plate 11: A10",'CONTROL MASTER'!$I$2:$I$495,0)),"")</f>
        <v/>
      </c>
      <c r="L123" s="9" t="str">
        <f>IFERROR(INDEX('CONTROL MASTER'!$Q$2:$Q$495,MATCH("Control MAX Planck Plate 11: A11",'CONTROL MASTER'!$I$2:$I$495,0)),"")</f>
        <v/>
      </c>
      <c r="M123" s="9" t="str">
        <f>IFERROR(INDEX('CONTROL MASTER'!$Q$2:$Q$495,MATCH("Control MAX Planck Plate 11: A12",'CONTROL MASTER'!$I$2:$I$495,0)),"")</f>
        <v/>
      </c>
    </row>
    <row r="124" spans="1:13" ht="15" customHeight="1" x14ac:dyDescent="0.35">
      <c r="A124" s="8" t="s">
        <v>29</v>
      </c>
      <c r="B124" s="9" t="str">
        <f>IFERROR(INDEX('CONTROL MASTER'!$Q$2:$Q$495,MATCH("Control MAX Planck Plate 11: B1",'CONTROL MASTER'!$I$2:$I$495,0)),"")</f>
        <v/>
      </c>
      <c r="C124" s="9" t="str">
        <f>IFERROR(INDEX('CONTROL MASTER'!$Q$2:$Q$495,MATCH("Control MAX Planck Plate 11: B2",'CONTROL MASTER'!$I$2:$I$495,0)),"")</f>
        <v/>
      </c>
      <c r="D124" s="9" t="str">
        <f>IFERROR(INDEX('CONTROL MASTER'!$Q$2:$Q$495,MATCH("Control MAX Planck Plate 11: B3",'CONTROL MASTER'!$I$2:$I$495,0)),"")</f>
        <v/>
      </c>
      <c r="E124" s="9" t="str">
        <f>IFERROR(INDEX('CONTROL MASTER'!$Q$2:$Q$495,MATCH("Control MAX Planck Plate 11: B4",'CONTROL MASTER'!$I$2:$I$495,0)),"")</f>
        <v/>
      </c>
      <c r="F124" s="9" t="str">
        <f>IFERROR(INDEX('CONTROL MASTER'!$Q$2:$Q$495,MATCH("Control MAX Planck Plate 11: B5",'CONTROL MASTER'!$I$2:$I$495,0)),"")</f>
        <v/>
      </c>
      <c r="G124" s="9" t="str">
        <f>IFERROR(INDEX('CONTROL MASTER'!$Q$2:$Q$495,MATCH("Control MAX Planck Plate 11: B6",'CONTROL MASTER'!$I$2:$I$495,0)),"")</f>
        <v/>
      </c>
      <c r="H124" s="9" t="str">
        <f>IFERROR(INDEX('CONTROL MASTER'!$Q$2:$Q$495,MATCH("Control MAX Planck Plate 11: B7",'CONTROL MASTER'!$I$2:$I$495,0)),"")</f>
        <v/>
      </c>
      <c r="I124" s="9" t="str">
        <f>IFERROR(INDEX('CONTROL MASTER'!$Q$2:$Q$495,MATCH("Control MAX Planck Plate 11: B8",'CONTROL MASTER'!$I$2:$I$495,0)),"")</f>
        <v/>
      </c>
      <c r="J124" s="9" t="str">
        <f>IFERROR(INDEX('CONTROL MASTER'!$Q$2:$Q$495,MATCH("Control MAX Planck Plate 11: B9",'CONTROL MASTER'!$I$2:$I$495,0)),"")</f>
        <v/>
      </c>
      <c r="K124" s="9" t="str">
        <f>IFERROR(INDEX('CONTROL MASTER'!$Q$2:$Q$495,MATCH("Control MAX Planck Plate 11: B10",'CONTROL MASTER'!$I$2:$I$495,0)),"")</f>
        <v/>
      </c>
      <c r="L124" s="9" t="str">
        <f>IFERROR(INDEX('CONTROL MASTER'!$Q$2:$Q$495,MATCH("Control MAX Planck Plate 11: B11",'CONTROL MASTER'!$I$2:$I$495,0)),"")</f>
        <v/>
      </c>
      <c r="M124" s="9" t="str">
        <f>IFERROR(INDEX('CONTROL MASTER'!$Q$2:$Q$495,MATCH("Control MAX Planck Plate 11: B12",'CONTROL MASTER'!$I$2:$I$495,0)),"")</f>
        <v/>
      </c>
    </row>
    <row r="125" spans="1:13" ht="15" customHeight="1" x14ac:dyDescent="0.35">
      <c r="A125" s="8" t="s">
        <v>30</v>
      </c>
      <c r="B125" s="9" t="str">
        <f>IFERROR(INDEX('CONTROL MASTER'!$Q$2:$Q$495,MATCH("Control MAX Planck Plate 11: C1",'CONTROL MASTER'!$I$2:$I$495,0)),"")</f>
        <v/>
      </c>
      <c r="C125" s="9" t="str">
        <f>IFERROR(INDEX('CONTROL MASTER'!$Q$2:$Q$495,MATCH("Control MAX Planck Plate 11: C2",'CONTROL MASTER'!$I$2:$I$495,0)),"")</f>
        <v/>
      </c>
      <c r="D125" s="9" t="str">
        <f>IFERROR(INDEX('CONTROL MASTER'!$Q$2:$Q$495,MATCH("Control MAX Planck Plate 11: C3",'CONTROL MASTER'!$I$2:$I$495,0)),"")</f>
        <v/>
      </c>
      <c r="E125" s="9" t="str">
        <f>IFERROR(INDEX('CONTROL MASTER'!$Q$2:$Q$495,MATCH("Control MAX Planck Plate 11: C4",'CONTROL MASTER'!$I$2:$I$495,0)),"")</f>
        <v/>
      </c>
      <c r="F125" s="9" t="str">
        <f>IFERROR(INDEX('CONTROL MASTER'!$Q$2:$Q$495,MATCH("Control MAX Planck Plate 11: C5",'CONTROL MASTER'!$I$2:$I$495,0)),"")</f>
        <v/>
      </c>
      <c r="G125" s="9" t="str">
        <f>IFERROR(INDEX('CONTROL MASTER'!$Q$2:$Q$495,MATCH("Control MAX Planck Plate 11: C6",'CONTROL MASTER'!$I$2:$I$495,0)),"")</f>
        <v/>
      </c>
      <c r="H125" s="9" t="str">
        <f>IFERROR(INDEX('CONTROL MASTER'!$Q$2:$Q$495,MATCH("Control MAX Planck Plate 11: C7",'CONTROL MASTER'!$I$2:$I$495,0)),"")</f>
        <v/>
      </c>
      <c r="I125" s="9" t="str">
        <f>IFERROR(INDEX('CONTROL MASTER'!$Q$2:$Q$495,MATCH("Control MAX Planck Plate 11: C8",'CONTROL MASTER'!$I$2:$I$495,0)),"")</f>
        <v/>
      </c>
      <c r="J125" s="9" t="str">
        <f>IFERROR(INDEX('CONTROL MASTER'!$Q$2:$Q$495,MATCH("Control MAX Planck Plate 11: C9",'CONTROL MASTER'!$I$2:$I$495,0)),"")</f>
        <v/>
      </c>
      <c r="K125" s="9" t="str">
        <f>IFERROR(INDEX('CONTROL MASTER'!$Q$2:$Q$495,MATCH("Control MAX Planck Plate 11: C10",'CONTROL MASTER'!$I$2:$I$495,0)),"")</f>
        <v/>
      </c>
      <c r="L125" s="9" t="str">
        <f>IFERROR(INDEX('CONTROL MASTER'!$Q$2:$Q$495,MATCH("Control MAX Planck Plate 11: C11",'CONTROL MASTER'!$I$2:$I$495,0)),"")</f>
        <v/>
      </c>
      <c r="M125" s="9" t="str">
        <f>IFERROR(INDEX('CONTROL MASTER'!$Q$2:$Q$495,MATCH("Control MAX Planck Plate 11: C12",'CONTROL MASTER'!$I$2:$I$495,0)),"")</f>
        <v/>
      </c>
    </row>
    <row r="126" spans="1:13" ht="15" customHeight="1" x14ac:dyDescent="0.35">
      <c r="A126" s="8" t="s">
        <v>31</v>
      </c>
      <c r="B126" s="9" t="str">
        <f>IFERROR(INDEX('CONTROL MASTER'!$Q$2:$Q$495,MATCH("Control MAX Planck Plate 11: D1",'CONTROL MASTER'!$I$2:$I$495,0)),"")</f>
        <v/>
      </c>
      <c r="C126" s="9" t="str">
        <f>IFERROR(INDEX('CONTROL MASTER'!$Q$2:$Q$495,MATCH("Control MAX Planck Plate 11: D2",'CONTROL MASTER'!$I$2:$I$495,0)),"")</f>
        <v/>
      </c>
      <c r="D126" s="9" t="str">
        <f>IFERROR(INDEX('CONTROL MASTER'!$Q$2:$Q$495,MATCH("Control MAX Planck Plate 11: D3",'CONTROL MASTER'!$I$2:$I$495,0)),"")</f>
        <v/>
      </c>
      <c r="E126" s="9" t="str">
        <f>IFERROR(INDEX('CONTROL MASTER'!$Q$2:$Q$495,MATCH("Control MAX Planck Plate 11: D4",'CONTROL MASTER'!$I$2:$I$495,0)),"")</f>
        <v/>
      </c>
      <c r="F126" s="9" t="str">
        <f>IFERROR(INDEX('CONTROL MASTER'!$Q$2:$Q$495,MATCH("Control MAX Planck Plate 11: D5",'CONTROL MASTER'!$I$2:$I$495,0)),"")</f>
        <v/>
      </c>
      <c r="G126" s="9" t="str">
        <f>IFERROR(INDEX('CONTROL MASTER'!$Q$2:$Q$495,MATCH("Control MAX Planck Plate 11: D6",'CONTROL MASTER'!$I$2:$I$495,0)),"")</f>
        <v/>
      </c>
      <c r="H126" s="9" t="str">
        <f>IFERROR(INDEX('CONTROL MASTER'!$Q$2:$Q$495,MATCH("Control MAX Planck Plate 11: D7",'CONTROL MASTER'!$I$2:$I$495,0)),"")</f>
        <v/>
      </c>
      <c r="I126" s="9" t="str">
        <f>IFERROR(INDEX('CONTROL MASTER'!$Q$2:$Q$495,MATCH("Control MAX Planck Plate 11: D8",'CONTROL MASTER'!$I$2:$I$495,0)),"")</f>
        <v/>
      </c>
      <c r="J126" s="9" t="str">
        <f>IFERROR(INDEX('CONTROL MASTER'!$Q$2:$Q$495,MATCH("Control MAX Planck Plate 11: D9",'CONTROL MASTER'!$I$2:$I$495,0)),"")</f>
        <v/>
      </c>
      <c r="K126" s="9" t="str">
        <f>IFERROR(INDEX('CONTROL MASTER'!$Q$2:$Q$495,MATCH("Control MAX Planck Plate 11: D10",'CONTROL MASTER'!$I$2:$I$495,0)),"")</f>
        <v/>
      </c>
      <c r="L126" s="9" t="str">
        <f>IFERROR(INDEX('CONTROL MASTER'!$Q$2:$Q$495,MATCH("Control MAX Planck Plate 11: D11",'CONTROL MASTER'!$I$2:$I$495,0)),"")</f>
        <v/>
      </c>
      <c r="M126" s="9" t="str">
        <f>IFERROR(INDEX('CONTROL MASTER'!$Q$2:$Q$495,MATCH("Control MAX Planck Plate 11: D12",'CONTROL MASTER'!$I$2:$I$495,0)),"")</f>
        <v/>
      </c>
    </row>
    <row r="127" spans="1:13" ht="15" customHeight="1" x14ac:dyDescent="0.35">
      <c r="A127" s="8" t="s">
        <v>32</v>
      </c>
      <c r="B127" s="9" t="str">
        <f>IFERROR(INDEX('CONTROL MASTER'!$Q$2:$Q$495,MATCH("Control MAX Planck Plate 11: E1",'CONTROL MASTER'!$I$2:$I$495,0)),"")</f>
        <v/>
      </c>
      <c r="C127" s="9" t="str">
        <f>IFERROR(INDEX('CONTROL MASTER'!$Q$2:$Q$495,MATCH("Control MAX Planck Plate 11: E2",'CONTROL MASTER'!$I$2:$I$495,0)),"")</f>
        <v/>
      </c>
      <c r="D127" s="9" t="str">
        <f>IFERROR(INDEX('CONTROL MASTER'!$Q$2:$Q$495,MATCH("Control MAX Planck Plate 11: E3",'CONTROL MASTER'!$I$2:$I$495,0)),"")</f>
        <v/>
      </c>
      <c r="E127" s="9" t="str">
        <f>IFERROR(INDEX('CONTROL MASTER'!$Q$2:$Q$495,MATCH("Control MAX Planck Plate 11: E4",'CONTROL MASTER'!$I$2:$I$495,0)),"")</f>
        <v/>
      </c>
      <c r="F127" s="9" t="str">
        <f>IFERROR(INDEX('CONTROL MASTER'!$Q$2:$Q$495,MATCH("Control MAX Planck Plate 11: E5",'CONTROL MASTER'!$I$2:$I$495,0)),"")</f>
        <v/>
      </c>
      <c r="G127" s="9" t="str">
        <f>IFERROR(INDEX('CONTROL MASTER'!$Q$2:$Q$495,MATCH("Control MAX Planck Plate 11: E6",'CONTROL MASTER'!$I$2:$I$495,0)),"")</f>
        <v/>
      </c>
      <c r="H127" s="9" t="str">
        <f>IFERROR(INDEX('CONTROL MASTER'!$Q$2:$Q$495,MATCH("Control MAX Planck Plate 11: E7",'CONTROL MASTER'!$I$2:$I$495,0)),"")</f>
        <v/>
      </c>
      <c r="I127" s="9" t="str">
        <f>IFERROR(INDEX('CONTROL MASTER'!$Q$2:$Q$495,MATCH("Control MAX Planck Plate 11: E8",'CONTROL MASTER'!$I$2:$I$495,0)),"")</f>
        <v/>
      </c>
      <c r="J127" s="9" t="str">
        <f>IFERROR(INDEX('CONTROL MASTER'!$Q$2:$Q$495,MATCH("Control MAX Planck Plate 11: E9",'CONTROL MASTER'!$I$2:$I$495,0)),"")</f>
        <v/>
      </c>
      <c r="K127" s="9" t="str">
        <f>IFERROR(INDEX('CONTROL MASTER'!$Q$2:$Q$495,MATCH("Control MAX Planck Plate 11: E10",'CONTROL MASTER'!$I$2:$I$495,0)),"")</f>
        <v/>
      </c>
      <c r="L127" s="9" t="str">
        <f>IFERROR(INDEX('CONTROL MASTER'!$Q$2:$Q$495,MATCH("Control MAX Planck Plate 11: E11",'CONTROL MASTER'!$I$2:$I$495,0)),"")</f>
        <v/>
      </c>
      <c r="M127" s="9" t="str">
        <f>IFERROR(INDEX('CONTROL MASTER'!$Q$2:$Q$495,MATCH("Control MAX Planck Plate 11: E12",'CONTROL MASTER'!$I$2:$I$495,0)),"")</f>
        <v/>
      </c>
    </row>
    <row r="128" spans="1:13" ht="15" customHeight="1" x14ac:dyDescent="0.35">
      <c r="A128" s="8" t="s">
        <v>33</v>
      </c>
      <c r="B128" s="9" t="str">
        <f>IFERROR(INDEX('CONTROL MASTER'!$Q$2:$Q$495,MATCH("Control MAX Planck Plate 11: F1",'CONTROL MASTER'!$I$2:$I$495,0)),"")</f>
        <v/>
      </c>
      <c r="C128" s="9" t="str">
        <f>IFERROR(INDEX('CONTROL MASTER'!$Q$2:$Q$495,MATCH("Control MAX Planck Plate 11: F2",'CONTROL MASTER'!$I$2:$I$495,0)),"")</f>
        <v/>
      </c>
      <c r="D128" s="9" t="str">
        <f>IFERROR(INDEX('CONTROL MASTER'!$Q$2:$Q$495,MATCH("Control MAX Planck Plate 11: F3",'CONTROL MASTER'!$I$2:$I$495,0)),"")</f>
        <v/>
      </c>
      <c r="E128" s="9" t="str">
        <f>IFERROR(INDEX('CONTROL MASTER'!$Q$2:$Q$495,MATCH("Control MAX Planck Plate 11: F4",'CONTROL MASTER'!$I$2:$I$495,0)),"")</f>
        <v/>
      </c>
      <c r="F128" s="9" t="str">
        <f>IFERROR(INDEX('CONTROL MASTER'!$Q$2:$Q$495,MATCH("Control MAX Planck Plate 11: F5",'CONTROL MASTER'!$I$2:$I$495,0)),"")</f>
        <v/>
      </c>
      <c r="G128" s="9" t="str">
        <f>IFERROR(INDEX('CONTROL MASTER'!$Q$2:$Q$495,MATCH("Control MAX Planck Plate 11: F6",'CONTROL MASTER'!$I$2:$I$495,0)),"")</f>
        <v/>
      </c>
      <c r="H128" s="9" t="str">
        <f>IFERROR(INDEX('CONTROL MASTER'!$Q$2:$Q$495,MATCH("Control MAX Planck Plate 11: F7",'CONTROL MASTER'!$I$2:$I$495,0)),"")</f>
        <v/>
      </c>
      <c r="I128" s="9" t="str">
        <f>IFERROR(INDEX('CONTROL MASTER'!$Q$2:$Q$495,MATCH("Control MAX Planck Plate 11: F8",'CONTROL MASTER'!$I$2:$I$495,0)),"")</f>
        <v/>
      </c>
      <c r="J128" s="9" t="str">
        <f>IFERROR(INDEX('CONTROL MASTER'!$Q$2:$Q$495,MATCH("Control MAX Planck Plate 11: F9",'CONTROL MASTER'!$I$2:$I$495,0)),"")</f>
        <v/>
      </c>
      <c r="K128" s="9" t="str">
        <f>IFERROR(INDEX('CONTROL MASTER'!$Q$2:$Q$495,MATCH("Control MAX Planck Plate 11: F10",'CONTROL MASTER'!$I$2:$I$495,0)),"")</f>
        <v/>
      </c>
      <c r="L128" s="9" t="str">
        <f>IFERROR(INDEX('CONTROL MASTER'!$Q$2:$Q$495,MATCH("Control MAX Planck Plate 11: F11",'CONTROL MASTER'!$I$2:$I$495,0)),"")</f>
        <v/>
      </c>
      <c r="M128" s="9" t="str">
        <f>IFERROR(INDEX('CONTROL MASTER'!$Q$2:$Q$495,MATCH("Control MAX Planck Plate 11: F12",'CONTROL MASTER'!$I$2:$I$495,0)),"")</f>
        <v/>
      </c>
    </row>
    <row r="129" spans="1:13" ht="15" customHeight="1" x14ac:dyDescent="0.35">
      <c r="A129" s="8" t="s">
        <v>34</v>
      </c>
      <c r="B129" s="9" t="str">
        <f>IFERROR(INDEX('CONTROL MASTER'!$Q$2:$Q$495,MATCH("Control MAX Planck Plate 11: G1",'CONTROL MASTER'!$I$2:$I$495,0)),"")</f>
        <v/>
      </c>
      <c r="C129" s="9" t="str">
        <f>IFERROR(INDEX('CONTROL MASTER'!$Q$2:$Q$495,MATCH("Control MAX Planck Plate 11: G2",'CONTROL MASTER'!$I$2:$I$495,0)),"")</f>
        <v/>
      </c>
      <c r="D129" s="9" t="str">
        <f>IFERROR(INDEX('CONTROL MASTER'!$Q$2:$Q$495,MATCH("Control MAX Planck Plate 11: G3",'CONTROL MASTER'!$I$2:$I$495,0)),"")</f>
        <v/>
      </c>
      <c r="E129" s="9" t="str">
        <f>IFERROR(INDEX('CONTROL MASTER'!$Q$2:$Q$495,MATCH("Control MAX Planck Plate 11: G4",'CONTROL MASTER'!$I$2:$I$495,0)),"")</f>
        <v/>
      </c>
      <c r="F129" s="9" t="str">
        <f>IFERROR(INDEX('CONTROL MASTER'!$Q$2:$Q$495,MATCH("Control MAX Planck Plate 11: G5",'CONTROL MASTER'!$I$2:$I$495,0)),"")</f>
        <v/>
      </c>
      <c r="G129" s="9" t="str">
        <f>IFERROR(INDEX('CONTROL MASTER'!$Q$2:$Q$495,MATCH("Control MAX Planck Plate 11: G6",'CONTROL MASTER'!$I$2:$I$495,0)),"")</f>
        <v/>
      </c>
      <c r="H129" s="9" t="str">
        <f>IFERROR(INDEX('CONTROL MASTER'!$Q$2:$Q$495,MATCH("Control MAX Planck Plate 11: G7",'CONTROL MASTER'!$I$2:$I$495,0)),"")</f>
        <v/>
      </c>
      <c r="I129" s="9" t="str">
        <f>IFERROR(INDEX('CONTROL MASTER'!$Q$2:$Q$495,MATCH("Control MAX Planck Plate 11: G8",'CONTROL MASTER'!$I$2:$I$495,0)),"")</f>
        <v/>
      </c>
      <c r="J129" s="9" t="str">
        <f>IFERROR(INDEX('CONTROL MASTER'!$Q$2:$Q$495,MATCH("Control MAX Planck Plate 11: G9",'CONTROL MASTER'!$I$2:$I$495,0)),"")</f>
        <v/>
      </c>
      <c r="K129" s="9" t="str">
        <f>IFERROR(INDEX('CONTROL MASTER'!$Q$2:$Q$495,MATCH("Control MAX Planck Plate 11: G10",'CONTROL MASTER'!$I$2:$I$495,0)),"")</f>
        <v/>
      </c>
      <c r="L129" s="9" t="str">
        <f>IFERROR(INDEX('CONTROL MASTER'!$Q$2:$Q$495,MATCH("Control MAX Planck Plate 11: G11",'CONTROL MASTER'!$I$2:$I$495,0)),"")</f>
        <v/>
      </c>
      <c r="M129" s="9" t="str">
        <f>IFERROR(INDEX('CONTROL MASTER'!$Q$2:$Q$495,MATCH("Control MAX Planck Plate 11: G12",'CONTROL MASTER'!$I$2:$I$495,0)),"")</f>
        <v/>
      </c>
    </row>
    <row r="130" spans="1:13" ht="15" customHeight="1" x14ac:dyDescent="0.35">
      <c r="A130" s="8" t="s">
        <v>35</v>
      </c>
      <c r="B130" s="9" t="str">
        <f>IFERROR(INDEX('CONTROL MASTER'!$Q$2:$Q$495,MATCH("Control MAX Planck Plate 11: H1",'CONTROL MASTER'!$I$2:$I$495,0)),"")</f>
        <v/>
      </c>
      <c r="C130" s="9" t="str">
        <f>IFERROR(INDEX('CONTROL MASTER'!$Q$2:$Q$495,MATCH("Control MAX Planck Plate 11: H2",'CONTROL MASTER'!$I$2:$I$495,0)),"")</f>
        <v/>
      </c>
      <c r="D130" s="9" t="str">
        <f>IFERROR(INDEX('CONTROL MASTER'!$Q$2:$Q$495,MATCH("Control MAX Planck Plate 11: H3",'CONTROL MASTER'!$I$2:$I$495,0)),"")</f>
        <v/>
      </c>
      <c r="E130" s="9" t="str">
        <f>IFERROR(INDEX('CONTROL MASTER'!$Q$2:$Q$495,MATCH("Control MAX Planck Plate 11: H4",'CONTROL MASTER'!$I$2:$I$495,0)),"")</f>
        <v/>
      </c>
      <c r="F130" s="9" t="str">
        <f>IFERROR(INDEX('CONTROL MASTER'!$Q$2:$Q$495,MATCH("Control MAX Planck Plate 11: H5",'CONTROL MASTER'!$I$2:$I$495,0)),"")</f>
        <v/>
      </c>
      <c r="G130" s="9" t="str">
        <f>IFERROR(INDEX('CONTROL MASTER'!$Q$2:$Q$495,MATCH("Control MAX Planck Plate 11: H6",'CONTROL MASTER'!$I$2:$I$495,0)),"")</f>
        <v/>
      </c>
      <c r="H130" s="9" t="str">
        <f>IFERROR(INDEX('CONTROL MASTER'!$Q$2:$Q$495,MATCH("Control MAX Planck Plate 11: H7",'CONTROL MASTER'!$I$2:$I$495,0)),"")</f>
        <v/>
      </c>
      <c r="I130" s="9" t="str">
        <f>IFERROR(INDEX('CONTROL MASTER'!$Q$2:$Q$495,MATCH("Control MAX Planck Plate 11: H8",'CONTROL MASTER'!$I$2:$I$495,0)),"")</f>
        <v/>
      </c>
      <c r="J130" s="9" t="str">
        <f>IFERROR(INDEX('CONTROL MASTER'!$Q$2:$Q$495,MATCH("Control MAX Planck Plate 11: H9",'CONTROL MASTER'!$I$2:$I$495,0)),"")</f>
        <v/>
      </c>
      <c r="K130" s="9" t="str">
        <f>IFERROR(INDEX('CONTROL MASTER'!$Q$2:$Q$495,MATCH("Control MAX Planck Plate 11: H10",'CONTROL MASTER'!$I$2:$I$495,0)),"")</f>
        <v/>
      </c>
      <c r="L130" s="9" t="str">
        <f>IFERROR(INDEX('CONTROL MASTER'!$Q$2:$Q$495,MATCH("Control MAX Planck Plate 11: H11",'CONTROL MASTER'!$I$2:$I$495,0)),"")</f>
        <v/>
      </c>
      <c r="M130" s="9" t="str">
        <f>IFERROR(INDEX('CONTROL MASTER'!$Q$2:$Q$495,MATCH("Control MAX Planck Plate 11: H12",'CONTROL MASTER'!$I$2:$I$495,0)),"")</f>
        <v/>
      </c>
    </row>
    <row r="133" spans="1:13" ht="15" customHeight="1" x14ac:dyDescent="0.35">
      <c r="A133" s="12" t="s">
        <v>153</v>
      </c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</row>
    <row r="134" spans="1:13" ht="15" customHeight="1" x14ac:dyDescent="0.35">
      <c r="B134" s="8">
        <v>1</v>
      </c>
      <c r="C134" s="8">
        <v>2</v>
      </c>
      <c r="D134" s="8">
        <v>3</v>
      </c>
      <c r="E134" s="8">
        <v>4</v>
      </c>
      <c r="F134" s="8">
        <v>5</v>
      </c>
      <c r="G134" s="8">
        <v>6</v>
      </c>
      <c r="H134" s="8">
        <v>7</v>
      </c>
      <c r="I134" s="8">
        <v>8</v>
      </c>
      <c r="J134" s="8">
        <v>9</v>
      </c>
      <c r="K134" s="8">
        <v>10</v>
      </c>
      <c r="L134" s="8">
        <v>11</v>
      </c>
      <c r="M134" s="8">
        <v>12</v>
      </c>
    </row>
    <row r="135" spans="1:13" ht="15" customHeight="1" x14ac:dyDescent="0.35">
      <c r="A135" s="8" t="s">
        <v>28</v>
      </c>
      <c r="B135" s="9" t="str">
        <f>IFERROR(INDEX('CONTROL MASTER'!$Q$2:$Q$495,MATCH("Control MAX Planck Plate 12: A1",'CONTROL MASTER'!$I$2:$I$495,0)),"")</f>
        <v/>
      </c>
      <c r="C135" s="9" t="str">
        <f>IFERROR(INDEX('CONTROL MASTER'!$Q$2:$Q$495,MATCH("Control MAX Planck Plate 12: A2",'CONTROL MASTER'!$I$2:$I$495,0)),"")</f>
        <v/>
      </c>
      <c r="D135" s="9" t="str">
        <f>IFERROR(INDEX('CONTROL MASTER'!$Q$2:$Q$495,MATCH("Control MAX Planck Plate 12: A3",'CONTROL MASTER'!$I$2:$I$495,0)),"")</f>
        <v/>
      </c>
      <c r="E135" s="9" t="str">
        <f>IFERROR(INDEX('CONTROL MASTER'!$Q$2:$Q$495,MATCH("Control MAX Planck Plate 12: A4",'CONTROL MASTER'!$I$2:$I$495,0)),"")</f>
        <v/>
      </c>
      <c r="F135" s="9" t="str">
        <f>IFERROR(INDEX('CONTROL MASTER'!$Q$2:$Q$495,MATCH("Control MAX Planck Plate 12: A5",'CONTROL MASTER'!$I$2:$I$495,0)),"")</f>
        <v/>
      </c>
      <c r="G135" s="9" t="str">
        <f>IFERROR(INDEX('CONTROL MASTER'!$Q$2:$Q$495,MATCH("Control MAX Planck Plate 12: A6",'CONTROL MASTER'!$I$2:$I$495,0)),"")</f>
        <v/>
      </c>
      <c r="H135" s="9" t="str">
        <f>IFERROR(INDEX('CONTROL MASTER'!$Q$2:$Q$495,MATCH("Control MAX Planck Plate 12: A7",'CONTROL MASTER'!$I$2:$I$495,0)),"")</f>
        <v/>
      </c>
      <c r="I135" s="9" t="str">
        <f>IFERROR(INDEX('CONTROL MASTER'!$Q$2:$Q$495,MATCH("Control MAX Planck Plate 12: A8",'CONTROL MASTER'!$I$2:$I$495,0)),"")</f>
        <v/>
      </c>
      <c r="J135" s="9" t="str">
        <f>IFERROR(INDEX('CONTROL MASTER'!$Q$2:$Q$495,MATCH("Control MAX Planck Plate 12: A9",'CONTROL MASTER'!$I$2:$I$495,0)),"")</f>
        <v/>
      </c>
      <c r="K135" s="9" t="str">
        <f>IFERROR(INDEX('CONTROL MASTER'!$Q$2:$Q$495,MATCH("Control MAX Planck Plate 12: A10",'CONTROL MASTER'!$I$2:$I$495,0)),"")</f>
        <v/>
      </c>
      <c r="L135" s="9" t="str">
        <f>IFERROR(INDEX('CONTROL MASTER'!$Q$2:$Q$495,MATCH("Control MAX Planck Plate 12: A11",'CONTROL MASTER'!$I$2:$I$495,0)),"")</f>
        <v/>
      </c>
      <c r="M135" s="9" t="str">
        <f>IFERROR(INDEX('CONTROL MASTER'!$Q$2:$Q$495,MATCH("Control MAX Planck Plate 12: A12",'CONTROL MASTER'!$I$2:$I$495,0)),"")</f>
        <v/>
      </c>
    </row>
    <row r="136" spans="1:13" ht="15" customHeight="1" x14ac:dyDescent="0.35">
      <c r="A136" s="8" t="s">
        <v>29</v>
      </c>
      <c r="B136" s="9" t="str">
        <f>IFERROR(INDEX('CONTROL MASTER'!$Q$2:$Q$495,MATCH("Control MAX Planck Plate 12: B1",'CONTROL MASTER'!$I$2:$I$495,0)),"")</f>
        <v/>
      </c>
      <c r="C136" s="9" t="str">
        <f>IFERROR(INDEX('CONTROL MASTER'!$Q$2:$Q$495,MATCH("Control MAX Planck Plate 12: B2",'CONTROL MASTER'!$I$2:$I$495,0)),"")</f>
        <v/>
      </c>
      <c r="D136" s="9" t="str">
        <f>IFERROR(INDEX('CONTROL MASTER'!$Q$2:$Q$495,MATCH("Control MAX Planck Plate 12: B3",'CONTROL MASTER'!$I$2:$I$495,0)),"")</f>
        <v/>
      </c>
      <c r="E136" s="9" t="str">
        <f>IFERROR(INDEX('CONTROL MASTER'!$Q$2:$Q$495,MATCH("Control MAX Planck Plate 12: B4",'CONTROL MASTER'!$I$2:$I$495,0)),"")</f>
        <v/>
      </c>
      <c r="F136" s="9" t="str">
        <f>IFERROR(INDEX('CONTROL MASTER'!$Q$2:$Q$495,MATCH("Control MAX Planck Plate 12: B5",'CONTROL MASTER'!$I$2:$I$495,0)),"")</f>
        <v/>
      </c>
      <c r="G136" s="9" t="str">
        <f>IFERROR(INDEX('CONTROL MASTER'!$Q$2:$Q$495,MATCH("Control MAX Planck Plate 12: B6",'CONTROL MASTER'!$I$2:$I$495,0)),"")</f>
        <v/>
      </c>
      <c r="H136" s="9" t="str">
        <f>IFERROR(INDEX('CONTROL MASTER'!$Q$2:$Q$495,MATCH("Control MAX Planck Plate 12: B7",'CONTROL MASTER'!$I$2:$I$495,0)),"")</f>
        <v/>
      </c>
      <c r="I136" s="9" t="str">
        <f>IFERROR(INDEX('CONTROL MASTER'!$Q$2:$Q$495,MATCH("Control MAX Planck Plate 12: B8",'CONTROL MASTER'!$I$2:$I$495,0)),"")</f>
        <v/>
      </c>
      <c r="J136" s="9" t="str">
        <f>IFERROR(INDEX('CONTROL MASTER'!$Q$2:$Q$495,MATCH("Control MAX Planck Plate 12: B9",'CONTROL MASTER'!$I$2:$I$495,0)),"")</f>
        <v/>
      </c>
      <c r="K136" s="9" t="str">
        <f>IFERROR(INDEX('CONTROL MASTER'!$Q$2:$Q$495,MATCH("Control MAX Planck Plate 12: B10",'CONTROL MASTER'!$I$2:$I$495,0)),"")</f>
        <v/>
      </c>
      <c r="L136" s="9" t="str">
        <f>IFERROR(INDEX('CONTROL MASTER'!$Q$2:$Q$495,MATCH("Control MAX Planck Plate 12: B11",'CONTROL MASTER'!$I$2:$I$495,0)),"")</f>
        <v/>
      </c>
      <c r="M136" s="9" t="str">
        <f>IFERROR(INDEX('CONTROL MASTER'!$Q$2:$Q$495,MATCH("Control MAX Planck Plate 12: B12",'CONTROL MASTER'!$I$2:$I$495,0)),"")</f>
        <v/>
      </c>
    </row>
    <row r="137" spans="1:13" ht="15" customHeight="1" x14ac:dyDescent="0.35">
      <c r="A137" s="8" t="s">
        <v>30</v>
      </c>
      <c r="B137" s="9" t="str">
        <f>IFERROR(INDEX('CONTROL MASTER'!$Q$2:$Q$495,MATCH("Control MAX Planck Plate 12: C1",'CONTROL MASTER'!$I$2:$I$495,0)),"")</f>
        <v/>
      </c>
      <c r="C137" s="9" t="str">
        <f>IFERROR(INDEX('CONTROL MASTER'!$Q$2:$Q$495,MATCH("Control MAX Planck Plate 12: C2",'CONTROL MASTER'!$I$2:$I$495,0)),"")</f>
        <v/>
      </c>
      <c r="D137" s="9" t="str">
        <f>IFERROR(INDEX('CONTROL MASTER'!$Q$2:$Q$495,MATCH("Control MAX Planck Plate 12: C3",'CONTROL MASTER'!$I$2:$I$495,0)),"")</f>
        <v/>
      </c>
      <c r="E137" s="9" t="str">
        <f>IFERROR(INDEX('CONTROL MASTER'!$Q$2:$Q$495,MATCH("Control MAX Planck Plate 12: C4",'CONTROL MASTER'!$I$2:$I$495,0)),"")</f>
        <v/>
      </c>
      <c r="F137" s="9" t="str">
        <f>IFERROR(INDEX('CONTROL MASTER'!$Q$2:$Q$495,MATCH("Control MAX Planck Plate 12: C5",'CONTROL MASTER'!$I$2:$I$495,0)),"")</f>
        <v/>
      </c>
      <c r="G137" s="9" t="str">
        <f>IFERROR(INDEX('CONTROL MASTER'!$Q$2:$Q$495,MATCH("Control MAX Planck Plate 12: C6",'CONTROL MASTER'!$I$2:$I$495,0)),"")</f>
        <v/>
      </c>
      <c r="H137" s="9" t="str">
        <f>IFERROR(INDEX('CONTROL MASTER'!$Q$2:$Q$495,MATCH("Control MAX Planck Plate 12: C7",'CONTROL MASTER'!$I$2:$I$495,0)),"")</f>
        <v/>
      </c>
      <c r="I137" s="9" t="str">
        <f>IFERROR(INDEX('CONTROL MASTER'!$Q$2:$Q$495,MATCH("Control MAX Planck Plate 12: C8",'CONTROL MASTER'!$I$2:$I$495,0)),"")</f>
        <v/>
      </c>
      <c r="J137" s="9" t="str">
        <f>IFERROR(INDEX('CONTROL MASTER'!$Q$2:$Q$495,MATCH("Control MAX Planck Plate 12: C9",'CONTROL MASTER'!$I$2:$I$495,0)),"")</f>
        <v/>
      </c>
      <c r="K137" s="9" t="str">
        <f>IFERROR(INDEX('CONTROL MASTER'!$Q$2:$Q$495,MATCH("Control MAX Planck Plate 12: C10",'CONTROL MASTER'!$I$2:$I$495,0)),"")</f>
        <v/>
      </c>
      <c r="L137" s="9" t="str">
        <f>IFERROR(INDEX('CONTROL MASTER'!$Q$2:$Q$495,MATCH("Control MAX Planck Plate 12: C11",'CONTROL MASTER'!$I$2:$I$495,0)),"")</f>
        <v/>
      </c>
      <c r="M137" s="9" t="str">
        <f>IFERROR(INDEX('CONTROL MASTER'!$Q$2:$Q$495,MATCH("Control MAX Planck Plate 12: C12",'CONTROL MASTER'!$I$2:$I$495,0)),"")</f>
        <v/>
      </c>
    </row>
    <row r="138" spans="1:13" ht="15" customHeight="1" x14ac:dyDescent="0.35">
      <c r="A138" s="8" t="s">
        <v>31</v>
      </c>
      <c r="B138" s="9" t="str">
        <f>IFERROR(INDEX('CONTROL MASTER'!$Q$2:$Q$495,MATCH("Control MAX Planck Plate 12: D1",'CONTROL MASTER'!$I$2:$I$495,0)),"")</f>
        <v/>
      </c>
      <c r="C138" s="9" t="str">
        <f>IFERROR(INDEX('CONTROL MASTER'!$Q$2:$Q$495,MATCH("Control MAX Planck Plate 12: D2",'CONTROL MASTER'!$I$2:$I$495,0)),"")</f>
        <v/>
      </c>
      <c r="D138" s="9" t="str">
        <f>IFERROR(INDEX('CONTROL MASTER'!$Q$2:$Q$495,MATCH("Control MAX Planck Plate 12: D3",'CONTROL MASTER'!$I$2:$I$495,0)),"")</f>
        <v/>
      </c>
      <c r="E138" s="9" t="str">
        <f>IFERROR(INDEX('CONTROL MASTER'!$Q$2:$Q$495,MATCH("Control MAX Planck Plate 12: D4",'CONTROL MASTER'!$I$2:$I$495,0)),"")</f>
        <v/>
      </c>
      <c r="F138" s="9" t="str">
        <f>IFERROR(INDEX('CONTROL MASTER'!$Q$2:$Q$495,MATCH("Control MAX Planck Plate 12: D5",'CONTROL MASTER'!$I$2:$I$495,0)),"")</f>
        <v/>
      </c>
      <c r="G138" s="9" t="str">
        <f>IFERROR(INDEX('CONTROL MASTER'!$Q$2:$Q$495,MATCH("Control MAX Planck Plate 12: D6",'CONTROL MASTER'!$I$2:$I$495,0)),"")</f>
        <v/>
      </c>
      <c r="H138" s="9" t="str">
        <f>IFERROR(INDEX('CONTROL MASTER'!$Q$2:$Q$495,MATCH("Control MAX Planck Plate 12: D7",'CONTROL MASTER'!$I$2:$I$495,0)),"")</f>
        <v/>
      </c>
      <c r="I138" s="9" t="str">
        <f>IFERROR(INDEX('CONTROL MASTER'!$Q$2:$Q$495,MATCH("Control MAX Planck Plate 12: D8",'CONTROL MASTER'!$I$2:$I$495,0)),"")</f>
        <v/>
      </c>
      <c r="J138" s="9" t="str">
        <f>IFERROR(INDEX('CONTROL MASTER'!$Q$2:$Q$495,MATCH("Control MAX Planck Plate 12: D9",'CONTROL MASTER'!$I$2:$I$495,0)),"")</f>
        <v/>
      </c>
      <c r="K138" s="9" t="str">
        <f>IFERROR(INDEX('CONTROL MASTER'!$Q$2:$Q$495,MATCH("Control MAX Planck Plate 12: D10",'CONTROL MASTER'!$I$2:$I$495,0)),"")</f>
        <v/>
      </c>
      <c r="L138" s="9" t="str">
        <f>IFERROR(INDEX('CONTROL MASTER'!$Q$2:$Q$495,MATCH("Control MAX Planck Plate 12: D11",'CONTROL MASTER'!$I$2:$I$495,0)),"")</f>
        <v/>
      </c>
      <c r="M138" s="9" t="str">
        <f>IFERROR(INDEX('CONTROL MASTER'!$Q$2:$Q$495,MATCH("Control MAX Planck Plate 12: D12",'CONTROL MASTER'!$I$2:$I$495,0)),"")</f>
        <v/>
      </c>
    </row>
    <row r="139" spans="1:13" ht="15" customHeight="1" x14ac:dyDescent="0.35">
      <c r="A139" s="8" t="s">
        <v>32</v>
      </c>
      <c r="B139" s="9" t="str">
        <f>IFERROR(INDEX('CONTROL MASTER'!$Q$2:$Q$495,MATCH("Control MAX Planck Plate 12: E1",'CONTROL MASTER'!$I$2:$I$495,0)),"")</f>
        <v/>
      </c>
      <c r="C139" s="9" t="str">
        <f>IFERROR(INDEX('CONTROL MASTER'!$Q$2:$Q$495,MATCH("Control MAX Planck Plate 12: E2",'CONTROL MASTER'!$I$2:$I$495,0)),"")</f>
        <v/>
      </c>
      <c r="D139" s="9" t="str">
        <f>IFERROR(INDEX('CONTROL MASTER'!$Q$2:$Q$495,MATCH("Control MAX Planck Plate 12: E3",'CONTROL MASTER'!$I$2:$I$495,0)),"")</f>
        <v/>
      </c>
      <c r="E139" s="9" t="str">
        <f>IFERROR(INDEX('CONTROL MASTER'!$Q$2:$Q$495,MATCH("Control MAX Planck Plate 12: E4",'CONTROL MASTER'!$I$2:$I$495,0)),"")</f>
        <v/>
      </c>
      <c r="F139" s="9" t="str">
        <f>IFERROR(INDEX('CONTROL MASTER'!$Q$2:$Q$495,MATCH("Control MAX Planck Plate 12: E5",'CONTROL MASTER'!$I$2:$I$495,0)),"")</f>
        <v/>
      </c>
      <c r="G139" s="9" t="str">
        <f>IFERROR(INDEX('CONTROL MASTER'!$Q$2:$Q$495,MATCH("Control MAX Planck Plate 12: E6",'CONTROL MASTER'!$I$2:$I$495,0)),"")</f>
        <v/>
      </c>
      <c r="H139" s="9" t="str">
        <f>IFERROR(INDEX('CONTROL MASTER'!$Q$2:$Q$495,MATCH("Control MAX Planck Plate 12: E7",'CONTROL MASTER'!$I$2:$I$495,0)),"")</f>
        <v/>
      </c>
      <c r="I139" s="9" t="str">
        <f>IFERROR(INDEX('CONTROL MASTER'!$Q$2:$Q$495,MATCH("Control MAX Planck Plate 12: E8",'CONTROL MASTER'!$I$2:$I$495,0)),"")</f>
        <v/>
      </c>
      <c r="J139" s="9" t="str">
        <f>IFERROR(INDEX('CONTROL MASTER'!$Q$2:$Q$495,MATCH("Control MAX Planck Plate 12: E9",'CONTROL MASTER'!$I$2:$I$495,0)),"")</f>
        <v/>
      </c>
      <c r="K139" s="9" t="str">
        <f>IFERROR(INDEX('CONTROL MASTER'!$Q$2:$Q$495,MATCH("Control MAX Planck Plate 12: E10",'CONTROL MASTER'!$I$2:$I$495,0)),"")</f>
        <v/>
      </c>
      <c r="L139" s="9" t="str">
        <f>IFERROR(INDEX('CONTROL MASTER'!$Q$2:$Q$495,MATCH("Control MAX Planck Plate 12: E11",'CONTROL MASTER'!$I$2:$I$495,0)),"")</f>
        <v/>
      </c>
      <c r="M139" s="9" t="str">
        <f>IFERROR(INDEX('CONTROL MASTER'!$Q$2:$Q$495,MATCH("Control MAX Planck Plate 12: E12",'CONTROL MASTER'!$I$2:$I$495,0)),"")</f>
        <v/>
      </c>
    </row>
    <row r="140" spans="1:13" ht="15" customHeight="1" x14ac:dyDescent="0.35">
      <c r="A140" s="8" t="s">
        <v>33</v>
      </c>
      <c r="B140" s="9" t="str">
        <f>IFERROR(INDEX('CONTROL MASTER'!$Q$2:$Q$495,MATCH("Control MAX Planck Plate 12: F1",'CONTROL MASTER'!$I$2:$I$495,0)),"")</f>
        <v/>
      </c>
      <c r="C140" s="9" t="str">
        <f>IFERROR(INDEX('CONTROL MASTER'!$Q$2:$Q$495,MATCH("Control MAX Planck Plate 12: F2",'CONTROL MASTER'!$I$2:$I$495,0)),"")</f>
        <v/>
      </c>
      <c r="D140" s="9" t="str">
        <f>IFERROR(INDEX('CONTROL MASTER'!$Q$2:$Q$495,MATCH("Control MAX Planck Plate 12: F3",'CONTROL MASTER'!$I$2:$I$495,0)),"")</f>
        <v/>
      </c>
      <c r="E140" s="9" t="str">
        <f>IFERROR(INDEX('CONTROL MASTER'!$Q$2:$Q$495,MATCH("Control MAX Planck Plate 12: F4",'CONTROL MASTER'!$I$2:$I$495,0)),"")</f>
        <v/>
      </c>
      <c r="F140" s="9" t="str">
        <f>IFERROR(INDEX('CONTROL MASTER'!$Q$2:$Q$495,MATCH("Control MAX Planck Plate 12: F5",'CONTROL MASTER'!$I$2:$I$495,0)),"")</f>
        <v/>
      </c>
      <c r="G140" s="9" t="str">
        <f>IFERROR(INDEX('CONTROL MASTER'!$Q$2:$Q$495,MATCH("Control MAX Planck Plate 12: F6",'CONTROL MASTER'!$I$2:$I$495,0)),"")</f>
        <v/>
      </c>
      <c r="H140" s="9" t="str">
        <f>IFERROR(INDEX('CONTROL MASTER'!$Q$2:$Q$495,MATCH("Control MAX Planck Plate 12: F7",'CONTROL MASTER'!$I$2:$I$495,0)),"")</f>
        <v/>
      </c>
      <c r="I140" s="9" t="str">
        <f>IFERROR(INDEX('CONTROL MASTER'!$Q$2:$Q$495,MATCH("Control MAX Planck Plate 12: F8",'CONTROL MASTER'!$I$2:$I$495,0)),"")</f>
        <v/>
      </c>
      <c r="J140" s="9" t="str">
        <f>IFERROR(INDEX('CONTROL MASTER'!$Q$2:$Q$495,MATCH("Control MAX Planck Plate 12: F9",'CONTROL MASTER'!$I$2:$I$495,0)),"")</f>
        <v/>
      </c>
      <c r="K140" s="9" t="str">
        <f>IFERROR(INDEX('CONTROL MASTER'!$Q$2:$Q$495,MATCH("Control MAX Planck Plate 12: F10",'CONTROL MASTER'!$I$2:$I$495,0)),"")</f>
        <v/>
      </c>
      <c r="L140" s="9" t="str">
        <f>IFERROR(INDEX('CONTROL MASTER'!$Q$2:$Q$495,MATCH("Control MAX Planck Plate 12: F11",'CONTROL MASTER'!$I$2:$I$495,0)),"")</f>
        <v/>
      </c>
      <c r="M140" s="9" t="str">
        <f>IFERROR(INDEX('CONTROL MASTER'!$Q$2:$Q$495,MATCH("Control MAX Planck Plate 12: F12",'CONTROL MASTER'!$I$2:$I$495,0)),"")</f>
        <v/>
      </c>
    </row>
    <row r="141" spans="1:13" ht="15" customHeight="1" x14ac:dyDescent="0.35">
      <c r="A141" s="8" t="s">
        <v>34</v>
      </c>
      <c r="B141" s="9" t="str">
        <f>IFERROR(INDEX('CONTROL MASTER'!$Q$2:$Q$495,MATCH("Control MAX Planck Plate 12: G1",'CONTROL MASTER'!$I$2:$I$495,0)),"")</f>
        <v/>
      </c>
      <c r="C141" s="9" t="str">
        <f>IFERROR(INDEX('CONTROL MASTER'!$Q$2:$Q$495,MATCH("Control MAX Planck Plate 12: G2",'CONTROL MASTER'!$I$2:$I$495,0)),"")</f>
        <v/>
      </c>
      <c r="D141" s="9" t="str">
        <f>IFERROR(INDEX('CONTROL MASTER'!$Q$2:$Q$495,MATCH("Control MAX Planck Plate 12: G3",'CONTROL MASTER'!$I$2:$I$495,0)),"")</f>
        <v/>
      </c>
      <c r="E141" s="9" t="str">
        <f>IFERROR(INDEX('CONTROL MASTER'!$Q$2:$Q$495,MATCH("Control MAX Planck Plate 12: G4",'CONTROL MASTER'!$I$2:$I$495,0)),"")</f>
        <v/>
      </c>
      <c r="F141" s="9" t="str">
        <f>IFERROR(INDEX('CONTROL MASTER'!$Q$2:$Q$495,MATCH("Control MAX Planck Plate 12: G5",'CONTROL MASTER'!$I$2:$I$495,0)),"")</f>
        <v/>
      </c>
      <c r="G141" s="9" t="str">
        <f>IFERROR(INDEX('CONTROL MASTER'!$Q$2:$Q$495,MATCH("Control MAX Planck Plate 12: G6",'CONTROL MASTER'!$I$2:$I$495,0)),"")</f>
        <v/>
      </c>
      <c r="H141" s="9" t="str">
        <f>IFERROR(INDEX('CONTROL MASTER'!$Q$2:$Q$495,MATCH("Control MAX Planck Plate 12: G7",'CONTROL MASTER'!$I$2:$I$495,0)),"")</f>
        <v/>
      </c>
      <c r="I141" s="9" t="str">
        <f>IFERROR(INDEX('CONTROL MASTER'!$Q$2:$Q$495,MATCH("Control MAX Planck Plate 12: G8",'CONTROL MASTER'!$I$2:$I$495,0)),"")</f>
        <v/>
      </c>
      <c r="J141" s="9" t="str">
        <f>IFERROR(INDEX('CONTROL MASTER'!$Q$2:$Q$495,MATCH("Control MAX Planck Plate 12: G9",'CONTROL MASTER'!$I$2:$I$495,0)),"")</f>
        <v/>
      </c>
      <c r="K141" s="9" t="str">
        <f>IFERROR(INDEX('CONTROL MASTER'!$Q$2:$Q$495,MATCH("Control MAX Planck Plate 12: G10",'CONTROL MASTER'!$I$2:$I$495,0)),"")</f>
        <v/>
      </c>
      <c r="L141" s="9" t="str">
        <f>IFERROR(INDEX('CONTROL MASTER'!$Q$2:$Q$495,MATCH("Control MAX Planck Plate 12: G11",'CONTROL MASTER'!$I$2:$I$495,0)),"")</f>
        <v/>
      </c>
      <c r="M141" s="9" t="str">
        <f>IFERROR(INDEX('CONTROL MASTER'!$Q$2:$Q$495,MATCH("Control MAX Planck Plate 12: G12",'CONTROL MASTER'!$I$2:$I$495,0)),"")</f>
        <v/>
      </c>
    </row>
    <row r="142" spans="1:13" ht="15" customHeight="1" x14ac:dyDescent="0.35">
      <c r="A142" s="8" t="s">
        <v>35</v>
      </c>
      <c r="B142" s="9" t="str">
        <f>IFERROR(INDEX('CONTROL MASTER'!$Q$2:$Q$495,MATCH("Control MAX Planck Plate 12: H1",'CONTROL MASTER'!$I$2:$I$495,0)),"")</f>
        <v/>
      </c>
      <c r="C142" s="9" t="str">
        <f>IFERROR(INDEX('CONTROL MASTER'!$Q$2:$Q$495,MATCH("Control MAX Planck Plate 12: H2",'CONTROL MASTER'!$I$2:$I$495,0)),"")</f>
        <v/>
      </c>
      <c r="D142" s="9" t="str">
        <f>IFERROR(INDEX('CONTROL MASTER'!$Q$2:$Q$495,MATCH("Control MAX Planck Plate 12: H3",'CONTROL MASTER'!$I$2:$I$495,0)),"")</f>
        <v/>
      </c>
      <c r="E142" s="9" t="str">
        <f>IFERROR(INDEX('CONTROL MASTER'!$Q$2:$Q$495,MATCH("Control MAX Planck Plate 12: H4",'CONTROL MASTER'!$I$2:$I$495,0)),"")</f>
        <v/>
      </c>
      <c r="F142" s="9" t="str">
        <f>IFERROR(INDEX('CONTROL MASTER'!$Q$2:$Q$495,MATCH("Control MAX Planck Plate 12: H5",'CONTROL MASTER'!$I$2:$I$495,0)),"")</f>
        <v/>
      </c>
      <c r="G142" s="9" t="str">
        <f>IFERROR(INDEX('CONTROL MASTER'!$Q$2:$Q$495,MATCH("Control MAX Planck Plate 12: H6",'CONTROL MASTER'!$I$2:$I$495,0)),"")</f>
        <v/>
      </c>
      <c r="H142" s="9" t="str">
        <f>IFERROR(INDEX('CONTROL MASTER'!$Q$2:$Q$495,MATCH("Control MAX Planck Plate 12: H7",'CONTROL MASTER'!$I$2:$I$495,0)),"")</f>
        <v/>
      </c>
      <c r="I142" s="9" t="str">
        <f>IFERROR(INDEX('CONTROL MASTER'!$Q$2:$Q$495,MATCH("Control MAX Planck Plate 12: H8",'CONTROL MASTER'!$I$2:$I$495,0)),"")</f>
        <v/>
      </c>
      <c r="J142" s="9" t="str">
        <f>IFERROR(INDEX('CONTROL MASTER'!$Q$2:$Q$495,MATCH("Control MAX Planck Plate 12: H9",'CONTROL MASTER'!$I$2:$I$495,0)),"")</f>
        <v/>
      </c>
      <c r="K142" s="9" t="str">
        <f>IFERROR(INDEX('CONTROL MASTER'!$Q$2:$Q$495,MATCH("Control MAX Planck Plate 12: H10",'CONTROL MASTER'!$I$2:$I$495,0)),"")</f>
        <v/>
      </c>
      <c r="L142" s="9" t="str">
        <f>IFERROR(INDEX('CONTROL MASTER'!$Q$2:$Q$495,MATCH("Control MAX Planck Plate 12: H11",'CONTROL MASTER'!$I$2:$I$495,0)),"")</f>
        <v/>
      </c>
      <c r="M142" s="9" t="str">
        <f>IFERROR(INDEX('CONTROL MASTER'!$Q$2:$Q$495,MATCH("Control MAX Planck Plate 12: H12",'CONTROL MASTER'!$I$2:$I$495,0)),"")</f>
        <v/>
      </c>
    </row>
    <row r="145" spans="1:13" ht="15" customHeight="1" x14ac:dyDescent="0.35">
      <c r="A145" s="12" t="s">
        <v>154</v>
      </c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</row>
    <row r="146" spans="1:13" ht="15" customHeight="1" x14ac:dyDescent="0.35">
      <c r="B146" s="8">
        <v>1</v>
      </c>
      <c r="C146" s="8">
        <v>2</v>
      </c>
      <c r="D146" s="8">
        <v>3</v>
      </c>
      <c r="E146" s="8">
        <v>4</v>
      </c>
      <c r="F146" s="8">
        <v>5</v>
      </c>
      <c r="G146" s="8">
        <v>6</v>
      </c>
      <c r="H146" s="8">
        <v>7</v>
      </c>
      <c r="I146" s="8">
        <v>8</v>
      </c>
      <c r="J146" s="8">
        <v>9</v>
      </c>
      <c r="K146" s="8">
        <v>10</v>
      </c>
      <c r="L146" s="8">
        <v>11</v>
      </c>
      <c r="M146" s="8">
        <v>12</v>
      </c>
    </row>
    <row r="147" spans="1:13" ht="15" customHeight="1" x14ac:dyDescent="0.35">
      <c r="A147" s="8" t="s">
        <v>28</v>
      </c>
      <c r="B147" s="9" t="str">
        <f>IFERROR(INDEX('CONTROL MASTER'!$Q$2:$Q$495,MATCH("Control MAX Planck Plate 13: A1",'CONTROL MASTER'!$I$2:$I$495,0)),"")</f>
        <v/>
      </c>
      <c r="C147" s="9" t="str">
        <f>IFERROR(INDEX('CONTROL MASTER'!$Q$2:$Q$495,MATCH("Control MAX Planck Plate 13: A2",'CONTROL MASTER'!$I$2:$I$495,0)),"")</f>
        <v/>
      </c>
      <c r="D147" s="9" t="str">
        <f>IFERROR(INDEX('CONTROL MASTER'!$Q$2:$Q$495,MATCH("Control MAX Planck Plate 13: A3",'CONTROL MASTER'!$I$2:$I$495,0)),"")</f>
        <v/>
      </c>
      <c r="E147" s="9" t="str">
        <f>IFERROR(INDEX('CONTROL MASTER'!$Q$2:$Q$495,MATCH("Control MAX Planck Plate 13: A4",'CONTROL MASTER'!$I$2:$I$495,0)),"")</f>
        <v/>
      </c>
      <c r="F147" s="9" t="str">
        <f>IFERROR(INDEX('CONTROL MASTER'!$Q$2:$Q$495,MATCH("Control MAX Planck Plate 13: A5",'CONTROL MASTER'!$I$2:$I$495,0)),"")</f>
        <v/>
      </c>
      <c r="G147" s="9" t="str">
        <f>IFERROR(INDEX('CONTROL MASTER'!$Q$2:$Q$495,MATCH("Control MAX Planck Plate 13: A6",'CONTROL MASTER'!$I$2:$I$495,0)),"")</f>
        <v/>
      </c>
      <c r="H147" s="9" t="str">
        <f>IFERROR(INDEX('CONTROL MASTER'!$Q$2:$Q$495,MATCH("Control MAX Planck Plate 13: A7",'CONTROL MASTER'!$I$2:$I$495,0)),"")</f>
        <v/>
      </c>
      <c r="I147" s="9" t="str">
        <f>IFERROR(INDEX('CONTROL MASTER'!$Q$2:$Q$495,MATCH("Control MAX Planck Plate 13: A8",'CONTROL MASTER'!$I$2:$I$495,0)),"")</f>
        <v/>
      </c>
      <c r="J147" s="9" t="str">
        <f>IFERROR(INDEX('CONTROL MASTER'!$Q$2:$Q$495,MATCH("Control MAX Planck Plate 13: A9",'CONTROL MASTER'!$I$2:$I$495,0)),"")</f>
        <v/>
      </c>
      <c r="K147" s="9" t="str">
        <f>IFERROR(INDEX('CONTROL MASTER'!$Q$2:$Q$495,MATCH("Control MAX Planck Plate 13: A10",'CONTROL MASTER'!$I$2:$I$495,0)),"")</f>
        <v/>
      </c>
      <c r="L147" s="9" t="str">
        <f>IFERROR(INDEX('CONTROL MASTER'!$Q$2:$Q$495,MATCH("Control MAX Planck Plate 13: A11",'CONTROL MASTER'!$I$2:$I$495,0)),"")</f>
        <v/>
      </c>
      <c r="M147" s="9" t="str">
        <f>IFERROR(INDEX('CONTROL MASTER'!$Q$2:$Q$495,MATCH("Control MAX Planck Plate 13: A12",'CONTROL MASTER'!$I$2:$I$495,0)),"")</f>
        <v/>
      </c>
    </row>
    <row r="148" spans="1:13" ht="15" customHeight="1" x14ac:dyDescent="0.35">
      <c r="A148" s="8" t="s">
        <v>29</v>
      </c>
      <c r="B148" s="9" t="str">
        <f>IFERROR(INDEX('CONTROL MASTER'!$Q$2:$Q$495,MATCH("Control MAX Planck Plate 13: B1",'CONTROL MASTER'!$I$2:$I$495,0)),"")</f>
        <v/>
      </c>
      <c r="C148" s="9" t="str">
        <f>IFERROR(INDEX('CONTROL MASTER'!$Q$2:$Q$495,MATCH("Control MAX Planck Plate 13: B2",'CONTROL MASTER'!$I$2:$I$495,0)),"")</f>
        <v/>
      </c>
      <c r="D148" s="9" t="str">
        <f>IFERROR(INDEX('CONTROL MASTER'!$Q$2:$Q$495,MATCH("Control MAX Planck Plate 13: B3",'CONTROL MASTER'!$I$2:$I$495,0)),"")</f>
        <v/>
      </c>
      <c r="E148" s="9" t="str">
        <f>IFERROR(INDEX('CONTROL MASTER'!$Q$2:$Q$495,MATCH("Control MAX Planck Plate 13: B4",'CONTROL MASTER'!$I$2:$I$495,0)),"")</f>
        <v/>
      </c>
      <c r="F148" s="9" t="str">
        <f>IFERROR(INDEX('CONTROL MASTER'!$Q$2:$Q$495,MATCH("Control MAX Planck Plate 13: B5",'CONTROL MASTER'!$I$2:$I$495,0)),"")</f>
        <v/>
      </c>
      <c r="G148" s="9" t="str">
        <f>IFERROR(INDEX('CONTROL MASTER'!$Q$2:$Q$495,MATCH("Control MAX Planck Plate 13: B6",'CONTROL MASTER'!$I$2:$I$495,0)),"")</f>
        <v/>
      </c>
      <c r="H148" s="9" t="str">
        <f>IFERROR(INDEX('CONTROL MASTER'!$Q$2:$Q$495,MATCH("Control MAX Planck Plate 13: B7",'CONTROL MASTER'!$I$2:$I$495,0)),"")</f>
        <v/>
      </c>
      <c r="I148" s="9" t="str">
        <f>IFERROR(INDEX('CONTROL MASTER'!$Q$2:$Q$495,MATCH("Control MAX Planck Plate 13: B8",'CONTROL MASTER'!$I$2:$I$495,0)),"")</f>
        <v/>
      </c>
      <c r="J148" s="9" t="str">
        <f>IFERROR(INDEX('CONTROL MASTER'!$Q$2:$Q$495,MATCH("Control MAX Planck Plate 13: B9",'CONTROL MASTER'!$I$2:$I$495,0)),"")</f>
        <v/>
      </c>
      <c r="K148" s="9" t="str">
        <f>IFERROR(INDEX('CONTROL MASTER'!$Q$2:$Q$495,MATCH("Control MAX Planck Plate 13: B10",'CONTROL MASTER'!$I$2:$I$495,0)),"")</f>
        <v/>
      </c>
      <c r="L148" s="9" t="str">
        <f>IFERROR(INDEX('CONTROL MASTER'!$Q$2:$Q$495,MATCH("Control MAX Planck Plate 13: B11",'CONTROL MASTER'!$I$2:$I$495,0)),"")</f>
        <v/>
      </c>
      <c r="M148" s="9" t="str">
        <f>IFERROR(INDEX('CONTROL MASTER'!$Q$2:$Q$495,MATCH("Control MAX Planck Plate 13: B12",'CONTROL MASTER'!$I$2:$I$495,0)),"")</f>
        <v/>
      </c>
    </row>
    <row r="149" spans="1:13" ht="15" customHeight="1" x14ac:dyDescent="0.35">
      <c r="A149" s="8" t="s">
        <v>30</v>
      </c>
      <c r="B149" s="9" t="str">
        <f>IFERROR(INDEX('CONTROL MASTER'!$Q$2:$Q$495,MATCH("Control MAX Planck Plate 13: C1",'CONTROL MASTER'!$I$2:$I$495,0)),"")</f>
        <v/>
      </c>
      <c r="C149" s="9" t="str">
        <f>IFERROR(INDEX('CONTROL MASTER'!$Q$2:$Q$495,MATCH("Control MAX Planck Plate 13: C2",'CONTROL MASTER'!$I$2:$I$495,0)),"")</f>
        <v/>
      </c>
      <c r="D149" s="9" t="str">
        <f>IFERROR(INDEX('CONTROL MASTER'!$Q$2:$Q$495,MATCH("Control MAX Planck Plate 13: C3",'CONTROL MASTER'!$I$2:$I$495,0)),"")</f>
        <v/>
      </c>
      <c r="E149" s="9" t="str">
        <f>IFERROR(INDEX('CONTROL MASTER'!$Q$2:$Q$495,MATCH("Control MAX Planck Plate 13: C4",'CONTROL MASTER'!$I$2:$I$495,0)),"")</f>
        <v/>
      </c>
      <c r="F149" s="9" t="str">
        <f>IFERROR(INDEX('CONTROL MASTER'!$Q$2:$Q$495,MATCH("Control MAX Planck Plate 13: C5",'CONTROL MASTER'!$I$2:$I$495,0)),"")</f>
        <v/>
      </c>
      <c r="G149" s="9" t="str">
        <f>IFERROR(INDEX('CONTROL MASTER'!$Q$2:$Q$495,MATCH("Control MAX Planck Plate 13: C6",'CONTROL MASTER'!$I$2:$I$495,0)),"")</f>
        <v/>
      </c>
      <c r="H149" s="9" t="str">
        <f>IFERROR(INDEX('CONTROL MASTER'!$Q$2:$Q$495,MATCH("Control MAX Planck Plate 13: C7",'CONTROL MASTER'!$I$2:$I$495,0)),"")</f>
        <v/>
      </c>
      <c r="I149" s="9" t="str">
        <f>IFERROR(INDEX('CONTROL MASTER'!$Q$2:$Q$495,MATCH("Control MAX Planck Plate 13: C8",'CONTROL MASTER'!$I$2:$I$495,0)),"")</f>
        <v/>
      </c>
      <c r="J149" s="9" t="str">
        <f>IFERROR(INDEX('CONTROL MASTER'!$Q$2:$Q$495,MATCH("Control MAX Planck Plate 13: C9",'CONTROL MASTER'!$I$2:$I$495,0)),"")</f>
        <v/>
      </c>
      <c r="K149" s="9" t="str">
        <f>IFERROR(INDEX('CONTROL MASTER'!$Q$2:$Q$495,MATCH("Control MAX Planck Plate 13: C10",'CONTROL MASTER'!$I$2:$I$495,0)),"")</f>
        <v/>
      </c>
      <c r="L149" s="9" t="str">
        <f>IFERROR(INDEX('CONTROL MASTER'!$Q$2:$Q$495,MATCH("Control MAX Planck Plate 13: C11",'CONTROL MASTER'!$I$2:$I$495,0)),"")</f>
        <v/>
      </c>
      <c r="M149" s="9" t="str">
        <f>IFERROR(INDEX('CONTROL MASTER'!$Q$2:$Q$495,MATCH("Control MAX Planck Plate 13: C12",'CONTROL MASTER'!$I$2:$I$495,0)),"")</f>
        <v/>
      </c>
    </row>
    <row r="150" spans="1:13" ht="15" customHeight="1" x14ac:dyDescent="0.35">
      <c r="A150" s="8" t="s">
        <v>31</v>
      </c>
      <c r="B150" s="9" t="str">
        <f>IFERROR(INDEX('CONTROL MASTER'!$Q$2:$Q$495,MATCH("Control MAX Planck Plate 13: D1",'CONTROL MASTER'!$I$2:$I$495,0)),"")</f>
        <v/>
      </c>
      <c r="C150" s="9" t="str">
        <f>IFERROR(INDEX('CONTROL MASTER'!$Q$2:$Q$495,MATCH("Control MAX Planck Plate 13: D2",'CONTROL MASTER'!$I$2:$I$495,0)),"")</f>
        <v/>
      </c>
      <c r="D150" s="9" t="str">
        <f>IFERROR(INDEX('CONTROL MASTER'!$Q$2:$Q$495,MATCH("Control MAX Planck Plate 13: D3",'CONTROL MASTER'!$I$2:$I$495,0)),"")</f>
        <v/>
      </c>
      <c r="E150" s="9" t="str">
        <f>IFERROR(INDEX('CONTROL MASTER'!$Q$2:$Q$495,MATCH("Control MAX Planck Plate 13: D4",'CONTROL MASTER'!$I$2:$I$495,0)),"")</f>
        <v/>
      </c>
      <c r="F150" s="9" t="str">
        <f>IFERROR(INDEX('CONTROL MASTER'!$Q$2:$Q$495,MATCH("Control MAX Planck Plate 13: D5",'CONTROL MASTER'!$I$2:$I$495,0)),"")</f>
        <v/>
      </c>
      <c r="G150" s="9" t="str">
        <f>IFERROR(INDEX('CONTROL MASTER'!$Q$2:$Q$495,MATCH("Control MAX Planck Plate 13: D6",'CONTROL MASTER'!$I$2:$I$495,0)),"")</f>
        <v/>
      </c>
      <c r="H150" s="9" t="str">
        <f>IFERROR(INDEX('CONTROL MASTER'!$Q$2:$Q$495,MATCH("Control MAX Planck Plate 13: D7",'CONTROL MASTER'!$I$2:$I$495,0)),"")</f>
        <v/>
      </c>
      <c r="I150" s="9" t="str">
        <f>IFERROR(INDEX('CONTROL MASTER'!$Q$2:$Q$495,MATCH("Control MAX Planck Plate 13: D8",'CONTROL MASTER'!$I$2:$I$495,0)),"")</f>
        <v/>
      </c>
      <c r="J150" s="9" t="str">
        <f>IFERROR(INDEX('CONTROL MASTER'!$Q$2:$Q$495,MATCH("Control MAX Planck Plate 13: D9",'CONTROL MASTER'!$I$2:$I$495,0)),"")</f>
        <v/>
      </c>
      <c r="K150" s="9" t="str">
        <f>IFERROR(INDEX('CONTROL MASTER'!$Q$2:$Q$495,MATCH("Control MAX Planck Plate 13: D10",'CONTROL MASTER'!$I$2:$I$495,0)),"")</f>
        <v/>
      </c>
      <c r="L150" s="9" t="str">
        <f>IFERROR(INDEX('CONTROL MASTER'!$Q$2:$Q$495,MATCH("Control MAX Planck Plate 13: D11",'CONTROL MASTER'!$I$2:$I$495,0)),"")</f>
        <v/>
      </c>
      <c r="M150" s="9" t="str">
        <f>IFERROR(INDEX('CONTROL MASTER'!$Q$2:$Q$495,MATCH("Control MAX Planck Plate 13: D12",'CONTROL MASTER'!$I$2:$I$495,0)),"")</f>
        <v/>
      </c>
    </row>
    <row r="151" spans="1:13" ht="15" customHeight="1" x14ac:dyDescent="0.35">
      <c r="A151" s="8" t="s">
        <v>32</v>
      </c>
      <c r="B151" s="9" t="str">
        <f>IFERROR(INDEX('CONTROL MASTER'!$Q$2:$Q$495,MATCH("Control MAX Planck Plate 13: E1",'CONTROL MASTER'!$I$2:$I$495,0)),"")</f>
        <v/>
      </c>
      <c r="C151" s="9" t="str">
        <f>IFERROR(INDEX('CONTROL MASTER'!$Q$2:$Q$495,MATCH("Control MAX Planck Plate 13: E2",'CONTROL MASTER'!$I$2:$I$495,0)),"")</f>
        <v/>
      </c>
      <c r="D151" s="9" t="str">
        <f>IFERROR(INDEX('CONTROL MASTER'!$Q$2:$Q$495,MATCH("Control MAX Planck Plate 13: E3",'CONTROL MASTER'!$I$2:$I$495,0)),"")</f>
        <v/>
      </c>
      <c r="E151" s="9" t="str">
        <f>IFERROR(INDEX('CONTROL MASTER'!$Q$2:$Q$495,MATCH("Control MAX Planck Plate 13: E4",'CONTROL MASTER'!$I$2:$I$495,0)),"")</f>
        <v/>
      </c>
      <c r="F151" s="9" t="str">
        <f>IFERROR(INDEX('CONTROL MASTER'!$Q$2:$Q$495,MATCH("Control MAX Planck Plate 13: E5",'CONTROL MASTER'!$I$2:$I$495,0)),"")</f>
        <v/>
      </c>
      <c r="G151" s="9" t="str">
        <f>IFERROR(INDEX('CONTROL MASTER'!$Q$2:$Q$495,MATCH("Control MAX Planck Plate 13: E6",'CONTROL MASTER'!$I$2:$I$495,0)),"")</f>
        <v/>
      </c>
      <c r="H151" s="9" t="str">
        <f>IFERROR(INDEX('CONTROL MASTER'!$Q$2:$Q$495,MATCH("Control MAX Planck Plate 13: E7",'CONTROL MASTER'!$I$2:$I$495,0)),"")</f>
        <v/>
      </c>
      <c r="I151" s="9" t="str">
        <f>IFERROR(INDEX('CONTROL MASTER'!$Q$2:$Q$495,MATCH("Control MAX Planck Plate 13: E8",'CONTROL MASTER'!$I$2:$I$495,0)),"")</f>
        <v/>
      </c>
      <c r="J151" s="9" t="str">
        <f>IFERROR(INDEX('CONTROL MASTER'!$Q$2:$Q$495,MATCH("Control MAX Planck Plate 13: E9",'CONTROL MASTER'!$I$2:$I$495,0)),"")</f>
        <v/>
      </c>
      <c r="K151" s="9" t="str">
        <f>IFERROR(INDEX('CONTROL MASTER'!$Q$2:$Q$495,MATCH("Control MAX Planck Plate 13: E10",'CONTROL MASTER'!$I$2:$I$495,0)),"")</f>
        <v/>
      </c>
      <c r="L151" s="9" t="str">
        <f>IFERROR(INDEX('CONTROL MASTER'!$Q$2:$Q$495,MATCH("Control MAX Planck Plate 13: E11",'CONTROL MASTER'!$I$2:$I$495,0)),"")</f>
        <v/>
      </c>
      <c r="M151" s="9" t="str">
        <f>IFERROR(INDEX('CONTROL MASTER'!$Q$2:$Q$495,MATCH("Control MAX Planck Plate 13: E12",'CONTROL MASTER'!$I$2:$I$495,0)),"")</f>
        <v/>
      </c>
    </row>
    <row r="152" spans="1:13" ht="15" customHeight="1" x14ac:dyDescent="0.35">
      <c r="A152" s="8" t="s">
        <v>33</v>
      </c>
      <c r="B152" s="9" t="str">
        <f>IFERROR(INDEX('CONTROL MASTER'!$Q$2:$Q$495,MATCH("Control MAX Planck Plate 13: F1",'CONTROL MASTER'!$I$2:$I$495,0)),"")</f>
        <v/>
      </c>
      <c r="C152" s="9" t="str">
        <f>IFERROR(INDEX('CONTROL MASTER'!$Q$2:$Q$495,MATCH("Control MAX Planck Plate 13: F2",'CONTROL MASTER'!$I$2:$I$495,0)),"")</f>
        <v/>
      </c>
      <c r="D152" s="9" t="str">
        <f>IFERROR(INDEX('CONTROL MASTER'!$Q$2:$Q$495,MATCH("Control MAX Planck Plate 13: F3",'CONTROL MASTER'!$I$2:$I$495,0)),"")</f>
        <v/>
      </c>
      <c r="E152" s="9" t="str">
        <f>IFERROR(INDEX('CONTROL MASTER'!$Q$2:$Q$495,MATCH("Control MAX Planck Plate 13: F4",'CONTROL MASTER'!$I$2:$I$495,0)),"")</f>
        <v/>
      </c>
      <c r="F152" s="9" t="str">
        <f>IFERROR(INDEX('CONTROL MASTER'!$Q$2:$Q$495,MATCH("Control MAX Planck Plate 13: F5",'CONTROL MASTER'!$I$2:$I$495,0)),"")</f>
        <v/>
      </c>
      <c r="G152" s="9" t="str">
        <f>IFERROR(INDEX('CONTROL MASTER'!$Q$2:$Q$495,MATCH("Control MAX Planck Plate 13: F6",'CONTROL MASTER'!$I$2:$I$495,0)),"")</f>
        <v/>
      </c>
      <c r="H152" s="9" t="str">
        <f>IFERROR(INDEX('CONTROL MASTER'!$Q$2:$Q$495,MATCH("Control MAX Planck Plate 13: F7",'CONTROL MASTER'!$I$2:$I$495,0)),"")</f>
        <v/>
      </c>
      <c r="I152" s="9" t="str">
        <f>IFERROR(INDEX('CONTROL MASTER'!$Q$2:$Q$495,MATCH("Control MAX Planck Plate 13: F8",'CONTROL MASTER'!$I$2:$I$495,0)),"")</f>
        <v/>
      </c>
      <c r="J152" s="9" t="str">
        <f>IFERROR(INDEX('CONTROL MASTER'!$Q$2:$Q$495,MATCH("Control MAX Planck Plate 13: F9",'CONTROL MASTER'!$I$2:$I$495,0)),"")</f>
        <v/>
      </c>
      <c r="K152" s="9" t="str">
        <f>IFERROR(INDEX('CONTROL MASTER'!$Q$2:$Q$495,MATCH("Control MAX Planck Plate 13: F10",'CONTROL MASTER'!$I$2:$I$495,0)),"")</f>
        <v/>
      </c>
      <c r="L152" s="9" t="str">
        <f>IFERROR(INDEX('CONTROL MASTER'!$Q$2:$Q$495,MATCH("Control MAX Planck Plate 13: F11",'CONTROL MASTER'!$I$2:$I$495,0)),"")</f>
        <v/>
      </c>
      <c r="M152" s="9" t="str">
        <f>IFERROR(INDEX('CONTROL MASTER'!$Q$2:$Q$495,MATCH("Control MAX Planck Plate 13: F12",'CONTROL MASTER'!$I$2:$I$495,0)),"")</f>
        <v/>
      </c>
    </row>
    <row r="153" spans="1:13" ht="15" customHeight="1" x14ac:dyDescent="0.35">
      <c r="A153" s="8" t="s">
        <v>34</v>
      </c>
      <c r="B153" s="9" t="str">
        <f>IFERROR(INDEX('CONTROL MASTER'!$Q$2:$Q$495,MATCH("Control MAX Planck Plate 13: G1",'CONTROL MASTER'!$I$2:$I$495,0)),"")</f>
        <v/>
      </c>
      <c r="C153" s="9" t="str">
        <f>IFERROR(INDEX('CONTROL MASTER'!$Q$2:$Q$495,MATCH("Control MAX Planck Plate 13: G2",'CONTROL MASTER'!$I$2:$I$495,0)),"")</f>
        <v/>
      </c>
      <c r="D153" s="9" t="str">
        <f>IFERROR(INDEX('CONTROL MASTER'!$Q$2:$Q$495,MATCH("Control MAX Planck Plate 13: G3",'CONTROL MASTER'!$I$2:$I$495,0)),"")</f>
        <v/>
      </c>
      <c r="E153" s="9" t="str">
        <f>IFERROR(INDEX('CONTROL MASTER'!$Q$2:$Q$495,MATCH("Control MAX Planck Plate 13: G4",'CONTROL MASTER'!$I$2:$I$495,0)),"")</f>
        <v/>
      </c>
      <c r="F153" s="9" t="str">
        <f>IFERROR(INDEX('CONTROL MASTER'!$Q$2:$Q$495,MATCH("Control MAX Planck Plate 13: G5",'CONTROL MASTER'!$I$2:$I$495,0)),"")</f>
        <v/>
      </c>
      <c r="G153" s="9" t="str">
        <f>IFERROR(INDEX('CONTROL MASTER'!$Q$2:$Q$495,MATCH("Control MAX Planck Plate 13: G6",'CONTROL MASTER'!$I$2:$I$495,0)),"")</f>
        <v/>
      </c>
      <c r="H153" s="9" t="str">
        <f>IFERROR(INDEX('CONTROL MASTER'!$Q$2:$Q$495,MATCH("Control MAX Planck Plate 13: G7",'CONTROL MASTER'!$I$2:$I$495,0)),"")</f>
        <v/>
      </c>
      <c r="I153" s="9" t="str">
        <f>IFERROR(INDEX('CONTROL MASTER'!$Q$2:$Q$495,MATCH("Control MAX Planck Plate 13: G8",'CONTROL MASTER'!$I$2:$I$495,0)),"")</f>
        <v/>
      </c>
      <c r="J153" s="9" t="str">
        <f>IFERROR(INDEX('CONTROL MASTER'!$Q$2:$Q$495,MATCH("Control MAX Planck Plate 13: G9",'CONTROL MASTER'!$I$2:$I$495,0)),"")</f>
        <v/>
      </c>
      <c r="K153" s="9" t="str">
        <f>IFERROR(INDEX('CONTROL MASTER'!$Q$2:$Q$495,MATCH("Control MAX Planck Plate 13: G10",'CONTROL MASTER'!$I$2:$I$495,0)),"")</f>
        <v/>
      </c>
      <c r="L153" s="9" t="str">
        <f>IFERROR(INDEX('CONTROL MASTER'!$Q$2:$Q$495,MATCH("Control MAX Planck Plate 13: G11",'CONTROL MASTER'!$I$2:$I$495,0)),"")</f>
        <v/>
      </c>
      <c r="M153" s="9" t="str">
        <f>IFERROR(INDEX('CONTROL MASTER'!$Q$2:$Q$495,MATCH("Control MAX Planck Plate 13: G12",'CONTROL MASTER'!$I$2:$I$495,0)),"")</f>
        <v/>
      </c>
    </row>
    <row r="154" spans="1:13" ht="15" customHeight="1" x14ac:dyDescent="0.35">
      <c r="A154" s="8" t="s">
        <v>35</v>
      </c>
      <c r="B154" s="9" t="str">
        <f>IFERROR(INDEX('CONTROL MASTER'!$Q$2:$Q$495,MATCH("Control MAX Planck Plate 13: H1",'CONTROL MASTER'!$I$2:$I$495,0)),"")</f>
        <v/>
      </c>
      <c r="C154" s="9" t="str">
        <f>IFERROR(INDEX('CONTROL MASTER'!$Q$2:$Q$495,MATCH("Control MAX Planck Plate 13: H2",'CONTROL MASTER'!$I$2:$I$495,0)),"")</f>
        <v/>
      </c>
      <c r="D154" s="9" t="str">
        <f>IFERROR(INDEX('CONTROL MASTER'!$Q$2:$Q$495,MATCH("Control MAX Planck Plate 13: H3",'CONTROL MASTER'!$I$2:$I$495,0)),"")</f>
        <v/>
      </c>
      <c r="E154" s="9" t="str">
        <f>IFERROR(INDEX('CONTROL MASTER'!$Q$2:$Q$495,MATCH("Control MAX Planck Plate 13: H4",'CONTROL MASTER'!$I$2:$I$495,0)),"")</f>
        <v/>
      </c>
      <c r="F154" s="9" t="str">
        <f>IFERROR(INDEX('CONTROL MASTER'!$Q$2:$Q$495,MATCH("Control MAX Planck Plate 13: H5",'CONTROL MASTER'!$I$2:$I$495,0)),"")</f>
        <v/>
      </c>
      <c r="G154" s="9" t="str">
        <f>IFERROR(INDEX('CONTROL MASTER'!$Q$2:$Q$495,MATCH("Control MAX Planck Plate 13: H6",'CONTROL MASTER'!$I$2:$I$495,0)),"")</f>
        <v/>
      </c>
      <c r="H154" s="9" t="str">
        <f>IFERROR(INDEX('CONTROL MASTER'!$Q$2:$Q$495,MATCH("Control MAX Planck Plate 13: H7",'CONTROL MASTER'!$I$2:$I$495,0)),"")</f>
        <v/>
      </c>
      <c r="I154" s="9" t="str">
        <f>IFERROR(INDEX('CONTROL MASTER'!$Q$2:$Q$495,MATCH("Control MAX Planck Plate 13: H8",'CONTROL MASTER'!$I$2:$I$495,0)),"")</f>
        <v/>
      </c>
      <c r="J154" s="9" t="str">
        <f>IFERROR(INDEX('CONTROL MASTER'!$Q$2:$Q$495,MATCH("Control MAX Planck Plate 13: H9",'CONTROL MASTER'!$I$2:$I$495,0)),"")</f>
        <v/>
      </c>
      <c r="K154" s="9" t="str">
        <f>IFERROR(INDEX('CONTROL MASTER'!$Q$2:$Q$495,MATCH("Control MAX Planck Plate 13: H10",'CONTROL MASTER'!$I$2:$I$495,0)),"")</f>
        <v/>
      </c>
      <c r="L154" s="9" t="str">
        <f>IFERROR(INDEX('CONTROL MASTER'!$Q$2:$Q$495,MATCH("Control MAX Planck Plate 13: H11",'CONTROL MASTER'!$I$2:$I$495,0)),"")</f>
        <v/>
      </c>
      <c r="M154" s="9" t="str">
        <f>IFERROR(INDEX('CONTROL MASTER'!$Q$2:$Q$495,MATCH("Control MAX Planck Plate 13: H12",'CONTROL MASTER'!$I$2:$I$495,0)),"")</f>
        <v/>
      </c>
    </row>
    <row r="157" spans="1:13" ht="15" customHeight="1" x14ac:dyDescent="0.35">
      <c r="A157" s="12" t="s">
        <v>155</v>
      </c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</row>
    <row r="158" spans="1:13" ht="15" customHeight="1" x14ac:dyDescent="0.35">
      <c r="B158" s="8">
        <v>1</v>
      </c>
      <c r="C158" s="8">
        <v>2</v>
      </c>
      <c r="D158" s="8">
        <v>3</v>
      </c>
      <c r="E158" s="8">
        <v>4</v>
      </c>
      <c r="F158" s="8">
        <v>5</v>
      </c>
      <c r="G158" s="8">
        <v>6</v>
      </c>
      <c r="H158" s="8">
        <v>7</v>
      </c>
      <c r="I158" s="8">
        <v>8</v>
      </c>
      <c r="J158" s="8">
        <v>9</v>
      </c>
      <c r="K158" s="8">
        <v>10</v>
      </c>
      <c r="L158" s="8">
        <v>11</v>
      </c>
      <c r="M158" s="8">
        <v>12</v>
      </c>
    </row>
    <row r="159" spans="1:13" ht="15" customHeight="1" x14ac:dyDescent="0.35">
      <c r="A159" s="8" t="s">
        <v>28</v>
      </c>
      <c r="B159" s="9" t="str">
        <f>IFERROR(INDEX('CONTROL MASTER'!$Q$2:$Q$495,MATCH("Control MAX Planck Plate 14: A1",'CONTROL MASTER'!$I$2:$I$495,0)),"")</f>
        <v/>
      </c>
      <c r="C159" s="9" t="str">
        <f>IFERROR(INDEX('CONTROL MASTER'!$Q$2:$Q$495,MATCH("Control MAX Planck Plate 14: A2",'CONTROL MASTER'!$I$2:$I$495,0)),"")</f>
        <v/>
      </c>
      <c r="D159" s="9" t="str">
        <f>IFERROR(INDEX('CONTROL MASTER'!$Q$2:$Q$495,MATCH("Control MAX Planck Plate 14: A3",'CONTROL MASTER'!$I$2:$I$495,0)),"")</f>
        <v/>
      </c>
      <c r="E159" s="9" t="str">
        <f>IFERROR(INDEX('CONTROL MASTER'!$Q$2:$Q$495,MATCH("Control MAX Planck Plate 14: A4",'CONTROL MASTER'!$I$2:$I$495,0)),"")</f>
        <v/>
      </c>
      <c r="F159" s="9" t="str">
        <f>IFERROR(INDEX('CONTROL MASTER'!$Q$2:$Q$495,MATCH("Control MAX Planck Plate 14: A5",'CONTROL MASTER'!$I$2:$I$495,0)),"")</f>
        <v/>
      </c>
      <c r="G159" s="9" t="str">
        <f>IFERROR(INDEX('CONTROL MASTER'!$Q$2:$Q$495,MATCH("Control MAX Planck Plate 14: A6",'CONTROL MASTER'!$I$2:$I$495,0)),"")</f>
        <v/>
      </c>
      <c r="H159" s="9" t="str">
        <f>IFERROR(INDEX('CONTROL MASTER'!$Q$2:$Q$495,MATCH("Control MAX Planck Plate 14: A7",'CONTROL MASTER'!$I$2:$I$495,0)),"")</f>
        <v/>
      </c>
      <c r="I159" s="9" t="str">
        <f>IFERROR(INDEX('CONTROL MASTER'!$Q$2:$Q$495,MATCH("Control MAX Planck Plate 14: A8",'CONTROL MASTER'!$I$2:$I$495,0)),"")</f>
        <v/>
      </c>
      <c r="J159" s="9" t="str">
        <f>IFERROR(INDEX('CONTROL MASTER'!$Q$2:$Q$495,MATCH("Control MAX Planck Plate 14: A9",'CONTROL MASTER'!$I$2:$I$495,0)),"")</f>
        <v/>
      </c>
      <c r="K159" s="9" t="str">
        <f>IFERROR(INDEX('CONTROL MASTER'!$Q$2:$Q$495,MATCH("Control MAX Planck Plate 14: A10",'CONTROL MASTER'!$I$2:$I$495,0)),"")</f>
        <v/>
      </c>
      <c r="L159" s="9" t="str">
        <f>IFERROR(INDEX('CONTROL MASTER'!$Q$2:$Q$495,MATCH("Control MAX Planck Plate 14: A11",'CONTROL MASTER'!$I$2:$I$495,0)),"")</f>
        <v/>
      </c>
      <c r="M159" s="9" t="str">
        <f>IFERROR(INDEX('CONTROL MASTER'!$Q$2:$Q$495,MATCH("Control MAX Planck Plate 14: A12",'CONTROL MASTER'!$I$2:$I$495,0)),"")</f>
        <v/>
      </c>
    </row>
    <row r="160" spans="1:13" ht="15" customHeight="1" x14ac:dyDescent="0.35">
      <c r="A160" s="8" t="s">
        <v>29</v>
      </c>
      <c r="B160" s="9" t="str">
        <f>IFERROR(INDEX('CONTROL MASTER'!$Q$2:$Q$495,MATCH("Control MAX Planck Plate 14: B1",'CONTROL MASTER'!$I$2:$I$495,0)),"")</f>
        <v/>
      </c>
      <c r="C160" s="9" t="str">
        <f>IFERROR(INDEX('CONTROL MASTER'!$Q$2:$Q$495,MATCH("Control MAX Planck Plate 14: B2",'CONTROL MASTER'!$I$2:$I$495,0)),"")</f>
        <v/>
      </c>
      <c r="D160" s="9" t="str">
        <f>IFERROR(INDEX('CONTROL MASTER'!$Q$2:$Q$495,MATCH("Control MAX Planck Plate 14: B3",'CONTROL MASTER'!$I$2:$I$495,0)),"")</f>
        <v/>
      </c>
      <c r="E160" s="9" t="str">
        <f>IFERROR(INDEX('CONTROL MASTER'!$Q$2:$Q$495,MATCH("Control MAX Planck Plate 14: B4",'CONTROL MASTER'!$I$2:$I$495,0)),"")</f>
        <v/>
      </c>
      <c r="F160" s="9" t="str">
        <f>IFERROR(INDEX('CONTROL MASTER'!$Q$2:$Q$495,MATCH("Control MAX Planck Plate 14: B5",'CONTROL MASTER'!$I$2:$I$495,0)),"")</f>
        <v/>
      </c>
      <c r="G160" s="9" t="str">
        <f>IFERROR(INDEX('CONTROL MASTER'!$Q$2:$Q$495,MATCH("Control MAX Planck Plate 14: B6",'CONTROL MASTER'!$I$2:$I$495,0)),"")</f>
        <v/>
      </c>
      <c r="H160" s="9" t="str">
        <f>IFERROR(INDEX('CONTROL MASTER'!$Q$2:$Q$495,MATCH("Control MAX Planck Plate 14: B7",'CONTROL MASTER'!$I$2:$I$495,0)),"")</f>
        <v/>
      </c>
      <c r="I160" s="9" t="str">
        <f>IFERROR(INDEX('CONTROL MASTER'!$Q$2:$Q$495,MATCH("Control MAX Planck Plate 14: B8",'CONTROL MASTER'!$I$2:$I$495,0)),"")</f>
        <v/>
      </c>
      <c r="J160" s="9" t="str">
        <f>IFERROR(INDEX('CONTROL MASTER'!$Q$2:$Q$495,MATCH("Control MAX Planck Plate 14: B9",'CONTROL MASTER'!$I$2:$I$495,0)),"")</f>
        <v/>
      </c>
      <c r="K160" s="9" t="str">
        <f>IFERROR(INDEX('CONTROL MASTER'!$Q$2:$Q$495,MATCH("Control MAX Planck Plate 14: B10",'CONTROL MASTER'!$I$2:$I$495,0)),"")</f>
        <v/>
      </c>
      <c r="L160" s="9" t="str">
        <f>IFERROR(INDEX('CONTROL MASTER'!$Q$2:$Q$495,MATCH("Control MAX Planck Plate 14: B11",'CONTROL MASTER'!$I$2:$I$495,0)),"")</f>
        <v/>
      </c>
      <c r="M160" s="9" t="str">
        <f>IFERROR(INDEX('CONTROL MASTER'!$Q$2:$Q$495,MATCH("Control MAX Planck Plate 14: B12",'CONTROL MASTER'!$I$2:$I$495,0)),"")</f>
        <v/>
      </c>
    </row>
    <row r="161" spans="1:13" ht="15" customHeight="1" x14ac:dyDescent="0.35">
      <c r="A161" s="8" t="s">
        <v>30</v>
      </c>
      <c r="B161" s="9" t="str">
        <f>IFERROR(INDEX('CONTROL MASTER'!$Q$2:$Q$495,MATCH("Control MAX Planck Plate 14: C1",'CONTROL MASTER'!$I$2:$I$495,0)),"")</f>
        <v/>
      </c>
      <c r="C161" s="9" t="str">
        <f>IFERROR(INDEX('CONTROL MASTER'!$Q$2:$Q$495,MATCH("Control MAX Planck Plate 14: C2",'CONTROL MASTER'!$I$2:$I$495,0)),"")</f>
        <v/>
      </c>
      <c r="D161" s="9" t="str">
        <f>IFERROR(INDEX('CONTROL MASTER'!$Q$2:$Q$495,MATCH("Control MAX Planck Plate 14: C3",'CONTROL MASTER'!$I$2:$I$495,0)),"")</f>
        <v/>
      </c>
      <c r="E161" s="9" t="str">
        <f>IFERROR(INDEX('CONTROL MASTER'!$Q$2:$Q$495,MATCH("Control MAX Planck Plate 14: C4",'CONTROL MASTER'!$I$2:$I$495,0)),"")</f>
        <v/>
      </c>
      <c r="F161" s="9" t="str">
        <f>IFERROR(INDEX('CONTROL MASTER'!$Q$2:$Q$495,MATCH("Control MAX Planck Plate 14: C5",'CONTROL MASTER'!$I$2:$I$495,0)),"")</f>
        <v/>
      </c>
      <c r="G161" s="9" t="str">
        <f>IFERROR(INDEX('CONTROL MASTER'!$Q$2:$Q$495,MATCH("Control MAX Planck Plate 14: C6",'CONTROL MASTER'!$I$2:$I$495,0)),"")</f>
        <v/>
      </c>
      <c r="H161" s="9" t="str">
        <f>IFERROR(INDEX('CONTROL MASTER'!$Q$2:$Q$495,MATCH("Control MAX Planck Plate 14: C7",'CONTROL MASTER'!$I$2:$I$495,0)),"")</f>
        <v/>
      </c>
      <c r="I161" s="9" t="str">
        <f>IFERROR(INDEX('CONTROL MASTER'!$Q$2:$Q$495,MATCH("Control MAX Planck Plate 14: C8",'CONTROL MASTER'!$I$2:$I$495,0)),"")</f>
        <v/>
      </c>
      <c r="J161" s="9" t="str">
        <f>IFERROR(INDEX('CONTROL MASTER'!$Q$2:$Q$495,MATCH("Control MAX Planck Plate 14: C9",'CONTROL MASTER'!$I$2:$I$495,0)),"")</f>
        <v/>
      </c>
      <c r="K161" s="9" t="str">
        <f>IFERROR(INDEX('CONTROL MASTER'!$Q$2:$Q$495,MATCH("Control MAX Planck Plate 14: C10",'CONTROL MASTER'!$I$2:$I$495,0)),"")</f>
        <v/>
      </c>
      <c r="L161" s="9" t="str">
        <f>IFERROR(INDEX('CONTROL MASTER'!$Q$2:$Q$495,MATCH("Control MAX Planck Plate 14: C11",'CONTROL MASTER'!$I$2:$I$495,0)),"")</f>
        <v/>
      </c>
      <c r="M161" s="9" t="str">
        <f>IFERROR(INDEX('CONTROL MASTER'!$Q$2:$Q$495,MATCH("Control MAX Planck Plate 14: C12",'CONTROL MASTER'!$I$2:$I$495,0)),"")</f>
        <v/>
      </c>
    </row>
    <row r="162" spans="1:13" ht="15" customHeight="1" x14ac:dyDescent="0.35">
      <c r="A162" s="8" t="s">
        <v>31</v>
      </c>
      <c r="B162" s="9" t="str">
        <f>IFERROR(INDEX('CONTROL MASTER'!$Q$2:$Q$495,MATCH("Control MAX Planck Plate 14: D1",'CONTROL MASTER'!$I$2:$I$495,0)),"")</f>
        <v/>
      </c>
      <c r="C162" s="9" t="str">
        <f>IFERROR(INDEX('CONTROL MASTER'!$Q$2:$Q$495,MATCH("Control MAX Planck Plate 14: D2",'CONTROL MASTER'!$I$2:$I$495,0)),"")</f>
        <v/>
      </c>
      <c r="D162" s="9" t="str">
        <f>IFERROR(INDEX('CONTROL MASTER'!$Q$2:$Q$495,MATCH("Control MAX Planck Plate 14: D3",'CONTROL MASTER'!$I$2:$I$495,0)),"")</f>
        <v/>
      </c>
      <c r="E162" s="9" t="str">
        <f>IFERROR(INDEX('CONTROL MASTER'!$Q$2:$Q$495,MATCH("Control MAX Planck Plate 14: D4",'CONTROL MASTER'!$I$2:$I$495,0)),"")</f>
        <v/>
      </c>
      <c r="F162" s="9" t="str">
        <f>IFERROR(INDEX('CONTROL MASTER'!$Q$2:$Q$495,MATCH("Control MAX Planck Plate 14: D5",'CONTROL MASTER'!$I$2:$I$495,0)),"")</f>
        <v/>
      </c>
      <c r="G162" s="9" t="str">
        <f>IFERROR(INDEX('CONTROL MASTER'!$Q$2:$Q$495,MATCH("Control MAX Planck Plate 14: D6",'CONTROL MASTER'!$I$2:$I$495,0)),"")</f>
        <v/>
      </c>
      <c r="H162" s="9" t="str">
        <f>IFERROR(INDEX('CONTROL MASTER'!$Q$2:$Q$495,MATCH("Control MAX Planck Plate 14: D7",'CONTROL MASTER'!$I$2:$I$495,0)),"")</f>
        <v/>
      </c>
      <c r="I162" s="9" t="str">
        <f>IFERROR(INDEX('CONTROL MASTER'!$Q$2:$Q$495,MATCH("Control MAX Planck Plate 14: D8",'CONTROL MASTER'!$I$2:$I$495,0)),"")</f>
        <v/>
      </c>
      <c r="J162" s="9" t="str">
        <f>IFERROR(INDEX('CONTROL MASTER'!$Q$2:$Q$495,MATCH("Control MAX Planck Plate 14: D9",'CONTROL MASTER'!$I$2:$I$495,0)),"")</f>
        <v/>
      </c>
      <c r="K162" s="9" t="str">
        <f>IFERROR(INDEX('CONTROL MASTER'!$Q$2:$Q$495,MATCH("Control MAX Planck Plate 14: D10",'CONTROL MASTER'!$I$2:$I$495,0)),"")</f>
        <v/>
      </c>
      <c r="L162" s="9" t="str">
        <f>IFERROR(INDEX('CONTROL MASTER'!$Q$2:$Q$495,MATCH("Control MAX Planck Plate 14: D11",'CONTROL MASTER'!$I$2:$I$495,0)),"")</f>
        <v/>
      </c>
      <c r="M162" s="9" t="str">
        <f>IFERROR(INDEX('CONTROL MASTER'!$Q$2:$Q$495,MATCH("Control MAX Planck Plate 14: D12",'CONTROL MASTER'!$I$2:$I$495,0)),"")</f>
        <v/>
      </c>
    </row>
    <row r="163" spans="1:13" ht="15" customHeight="1" x14ac:dyDescent="0.35">
      <c r="A163" s="8" t="s">
        <v>32</v>
      </c>
      <c r="B163" s="9" t="str">
        <f>IFERROR(INDEX('CONTROL MASTER'!$Q$2:$Q$495,MATCH("Control MAX Planck Plate 14: E1",'CONTROL MASTER'!$I$2:$I$495,0)),"")</f>
        <v/>
      </c>
      <c r="C163" s="9" t="str">
        <f>IFERROR(INDEX('CONTROL MASTER'!$Q$2:$Q$495,MATCH("Control MAX Planck Plate 14: E2",'CONTROL MASTER'!$I$2:$I$495,0)),"")</f>
        <v/>
      </c>
      <c r="D163" s="9" t="str">
        <f>IFERROR(INDEX('CONTROL MASTER'!$Q$2:$Q$495,MATCH("Control MAX Planck Plate 14: E3",'CONTROL MASTER'!$I$2:$I$495,0)),"")</f>
        <v/>
      </c>
      <c r="E163" s="9" t="str">
        <f>IFERROR(INDEX('CONTROL MASTER'!$Q$2:$Q$495,MATCH("Control MAX Planck Plate 14: E4",'CONTROL MASTER'!$I$2:$I$495,0)),"")</f>
        <v/>
      </c>
      <c r="F163" s="9" t="str">
        <f>IFERROR(INDEX('CONTROL MASTER'!$Q$2:$Q$495,MATCH("Control MAX Planck Plate 14: E5",'CONTROL MASTER'!$I$2:$I$495,0)),"")</f>
        <v/>
      </c>
      <c r="G163" s="9" t="str">
        <f>IFERROR(INDEX('CONTROL MASTER'!$Q$2:$Q$495,MATCH("Control MAX Planck Plate 14: E6",'CONTROL MASTER'!$I$2:$I$495,0)),"")</f>
        <v/>
      </c>
      <c r="H163" s="9" t="str">
        <f>IFERROR(INDEX('CONTROL MASTER'!$Q$2:$Q$495,MATCH("Control MAX Planck Plate 14: E7",'CONTROL MASTER'!$I$2:$I$495,0)),"")</f>
        <v/>
      </c>
      <c r="I163" s="9" t="str">
        <f>IFERROR(INDEX('CONTROL MASTER'!$Q$2:$Q$495,MATCH("Control MAX Planck Plate 14: E8",'CONTROL MASTER'!$I$2:$I$495,0)),"")</f>
        <v/>
      </c>
      <c r="J163" s="9" t="str">
        <f>IFERROR(INDEX('CONTROL MASTER'!$Q$2:$Q$495,MATCH("Control MAX Planck Plate 14: E9",'CONTROL MASTER'!$I$2:$I$495,0)),"")</f>
        <v/>
      </c>
      <c r="K163" s="9" t="str">
        <f>IFERROR(INDEX('CONTROL MASTER'!$Q$2:$Q$495,MATCH("Control MAX Planck Plate 14: E10",'CONTROL MASTER'!$I$2:$I$495,0)),"")</f>
        <v/>
      </c>
      <c r="L163" s="9" t="str">
        <f>IFERROR(INDEX('CONTROL MASTER'!$Q$2:$Q$495,MATCH("Control MAX Planck Plate 14: E11",'CONTROL MASTER'!$I$2:$I$495,0)),"")</f>
        <v/>
      </c>
      <c r="M163" s="9" t="str">
        <f>IFERROR(INDEX('CONTROL MASTER'!$Q$2:$Q$495,MATCH("Control MAX Planck Plate 14: E12",'CONTROL MASTER'!$I$2:$I$495,0)),"")</f>
        <v/>
      </c>
    </row>
    <row r="164" spans="1:13" ht="15" customHeight="1" x14ac:dyDescent="0.35">
      <c r="A164" s="8" t="s">
        <v>33</v>
      </c>
      <c r="B164" s="9" t="str">
        <f>IFERROR(INDEX('CONTROL MASTER'!$Q$2:$Q$495,MATCH("Control MAX Planck Plate 14: F1",'CONTROL MASTER'!$I$2:$I$495,0)),"")</f>
        <v/>
      </c>
      <c r="C164" s="9" t="str">
        <f>IFERROR(INDEX('CONTROL MASTER'!$Q$2:$Q$495,MATCH("Control MAX Planck Plate 14: F2",'CONTROL MASTER'!$I$2:$I$495,0)),"")</f>
        <v/>
      </c>
      <c r="D164" s="9" t="str">
        <f>IFERROR(INDEX('CONTROL MASTER'!$Q$2:$Q$495,MATCH("Control MAX Planck Plate 14: F3",'CONTROL MASTER'!$I$2:$I$495,0)),"")</f>
        <v/>
      </c>
      <c r="E164" s="9" t="str">
        <f>IFERROR(INDEX('CONTROL MASTER'!$Q$2:$Q$495,MATCH("Control MAX Planck Plate 14: F4",'CONTROL MASTER'!$I$2:$I$495,0)),"")</f>
        <v/>
      </c>
      <c r="F164" s="9" t="str">
        <f>IFERROR(INDEX('CONTROL MASTER'!$Q$2:$Q$495,MATCH("Control MAX Planck Plate 14: F5",'CONTROL MASTER'!$I$2:$I$495,0)),"")</f>
        <v/>
      </c>
      <c r="G164" s="9" t="str">
        <f>IFERROR(INDEX('CONTROL MASTER'!$Q$2:$Q$495,MATCH("Control MAX Planck Plate 14: F6",'CONTROL MASTER'!$I$2:$I$495,0)),"")</f>
        <v/>
      </c>
      <c r="H164" s="9" t="str">
        <f>IFERROR(INDEX('CONTROL MASTER'!$Q$2:$Q$495,MATCH("Control MAX Planck Plate 14: F7",'CONTROL MASTER'!$I$2:$I$495,0)),"")</f>
        <v/>
      </c>
      <c r="I164" s="9" t="str">
        <f>IFERROR(INDEX('CONTROL MASTER'!$Q$2:$Q$495,MATCH("Control MAX Planck Plate 14: F8",'CONTROL MASTER'!$I$2:$I$495,0)),"")</f>
        <v/>
      </c>
      <c r="J164" s="9" t="str">
        <f>IFERROR(INDEX('CONTROL MASTER'!$Q$2:$Q$495,MATCH("Control MAX Planck Plate 14: F9",'CONTROL MASTER'!$I$2:$I$495,0)),"")</f>
        <v/>
      </c>
      <c r="K164" s="9" t="str">
        <f>IFERROR(INDEX('CONTROL MASTER'!$Q$2:$Q$495,MATCH("Control MAX Planck Plate 14: F10",'CONTROL MASTER'!$I$2:$I$495,0)),"")</f>
        <v/>
      </c>
      <c r="L164" s="9" t="str">
        <f>IFERROR(INDEX('CONTROL MASTER'!$Q$2:$Q$495,MATCH("Control MAX Planck Plate 14: F11",'CONTROL MASTER'!$I$2:$I$495,0)),"")</f>
        <v/>
      </c>
      <c r="M164" s="9" t="str">
        <f>IFERROR(INDEX('CONTROL MASTER'!$Q$2:$Q$495,MATCH("Control MAX Planck Plate 14: F12",'CONTROL MASTER'!$I$2:$I$495,0)),"")</f>
        <v/>
      </c>
    </row>
    <row r="165" spans="1:13" ht="15" customHeight="1" x14ac:dyDescent="0.35">
      <c r="A165" s="8" t="s">
        <v>34</v>
      </c>
      <c r="B165" s="9" t="str">
        <f>IFERROR(INDEX('CONTROL MASTER'!$Q$2:$Q$495,MATCH("Control MAX Planck Plate 14: G1",'CONTROL MASTER'!$I$2:$I$495,0)),"")</f>
        <v/>
      </c>
      <c r="C165" s="9" t="str">
        <f>IFERROR(INDEX('CONTROL MASTER'!$Q$2:$Q$495,MATCH("Control MAX Planck Plate 14: G2",'CONTROL MASTER'!$I$2:$I$495,0)),"")</f>
        <v/>
      </c>
      <c r="D165" s="9" t="str">
        <f>IFERROR(INDEX('CONTROL MASTER'!$Q$2:$Q$495,MATCH("Control MAX Planck Plate 14: G3",'CONTROL MASTER'!$I$2:$I$495,0)),"")</f>
        <v/>
      </c>
      <c r="E165" s="9" t="str">
        <f>IFERROR(INDEX('CONTROL MASTER'!$Q$2:$Q$495,MATCH("Control MAX Planck Plate 14: G4",'CONTROL MASTER'!$I$2:$I$495,0)),"")</f>
        <v/>
      </c>
      <c r="F165" s="9" t="str">
        <f>IFERROR(INDEX('CONTROL MASTER'!$Q$2:$Q$495,MATCH("Control MAX Planck Plate 14: G5",'CONTROL MASTER'!$I$2:$I$495,0)),"")</f>
        <v/>
      </c>
      <c r="G165" s="9" t="str">
        <f>IFERROR(INDEX('CONTROL MASTER'!$Q$2:$Q$495,MATCH("Control MAX Planck Plate 14: G6",'CONTROL MASTER'!$I$2:$I$495,0)),"")</f>
        <v/>
      </c>
      <c r="H165" s="9" t="str">
        <f>IFERROR(INDEX('CONTROL MASTER'!$Q$2:$Q$495,MATCH("Control MAX Planck Plate 14: G7",'CONTROL MASTER'!$I$2:$I$495,0)),"")</f>
        <v/>
      </c>
      <c r="I165" s="9" t="str">
        <f>IFERROR(INDEX('CONTROL MASTER'!$Q$2:$Q$495,MATCH("Control MAX Planck Plate 14: G8",'CONTROL MASTER'!$I$2:$I$495,0)),"")</f>
        <v/>
      </c>
      <c r="J165" s="9" t="str">
        <f>IFERROR(INDEX('CONTROL MASTER'!$Q$2:$Q$495,MATCH("Control MAX Planck Plate 14: G9",'CONTROL MASTER'!$I$2:$I$495,0)),"")</f>
        <v/>
      </c>
      <c r="K165" s="9" t="str">
        <f>IFERROR(INDEX('CONTROL MASTER'!$Q$2:$Q$495,MATCH("Control MAX Planck Plate 14: G10",'CONTROL MASTER'!$I$2:$I$495,0)),"")</f>
        <v/>
      </c>
      <c r="L165" s="9" t="str">
        <f>IFERROR(INDEX('CONTROL MASTER'!$Q$2:$Q$495,MATCH("Control MAX Planck Plate 14: G11",'CONTROL MASTER'!$I$2:$I$495,0)),"")</f>
        <v/>
      </c>
      <c r="M165" s="9" t="str">
        <f>IFERROR(INDEX('CONTROL MASTER'!$Q$2:$Q$495,MATCH("Control MAX Planck Plate 14: G12",'CONTROL MASTER'!$I$2:$I$495,0)),"")</f>
        <v/>
      </c>
    </row>
    <row r="166" spans="1:13" ht="15" customHeight="1" x14ac:dyDescent="0.35">
      <c r="A166" s="8" t="s">
        <v>35</v>
      </c>
      <c r="B166" s="9" t="str">
        <f>IFERROR(INDEX('CONTROL MASTER'!$Q$2:$Q$495,MATCH("Control MAX Planck Plate 14: H1",'CONTROL MASTER'!$I$2:$I$495,0)),"")</f>
        <v/>
      </c>
      <c r="C166" s="9" t="str">
        <f>IFERROR(INDEX('CONTROL MASTER'!$Q$2:$Q$495,MATCH("Control MAX Planck Plate 14: H2",'CONTROL MASTER'!$I$2:$I$495,0)),"")</f>
        <v/>
      </c>
      <c r="D166" s="9" t="str">
        <f>IFERROR(INDEX('CONTROL MASTER'!$Q$2:$Q$495,MATCH("Control MAX Planck Plate 14: H3",'CONTROL MASTER'!$I$2:$I$495,0)),"")</f>
        <v/>
      </c>
      <c r="E166" s="9" t="str">
        <f>IFERROR(INDEX('CONTROL MASTER'!$Q$2:$Q$495,MATCH("Control MAX Planck Plate 14: H4",'CONTROL MASTER'!$I$2:$I$495,0)),"")</f>
        <v/>
      </c>
      <c r="F166" s="9" t="str">
        <f>IFERROR(INDEX('CONTROL MASTER'!$Q$2:$Q$495,MATCH("Control MAX Planck Plate 14: H5",'CONTROL MASTER'!$I$2:$I$495,0)),"")</f>
        <v/>
      </c>
      <c r="G166" s="9" t="str">
        <f>IFERROR(INDEX('CONTROL MASTER'!$Q$2:$Q$495,MATCH("Control MAX Planck Plate 14: H6",'CONTROL MASTER'!$I$2:$I$495,0)),"")</f>
        <v/>
      </c>
      <c r="H166" s="9" t="str">
        <f>IFERROR(INDEX('CONTROL MASTER'!$Q$2:$Q$495,MATCH("Control MAX Planck Plate 14: H7",'CONTROL MASTER'!$I$2:$I$495,0)),"")</f>
        <v/>
      </c>
      <c r="I166" s="9" t="str">
        <f>IFERROR(INDEX('CONTROL MASTER'!$Q$2:$Q$495,MATCH("Control MAX Planck Plate 14: H8",'CONTROL MASTER'!$I$2:$I$495,0)),"")</f>
        <v/>
      </c>
      <c r="J166" s="9" t="str">
        <f>IFERROR(INDEX('CONTROL MASTER'!$Q$2:$Q$495,MATCH("Control MAX Planck Plate 14: H9",'CONTROL MASTER'!$I$2:$I$495,0)),"")</f>
        <v/>
      </c>
      <c r="K166" s="9" t="str">
        <f>IFERROR(INDEX('CONTROL MASTER'!$Q$2:$Q$495,MATCH("Control MAX Planck Plate 14: H10",'CONTROL MASTER'!$I$2:$I$495,0)),"")</f>
        <v/>
      </c>
      <c r="L166" s="9" t="str">
        <f>IFERROR(INDEX('CONTROL MASTER'!$Q$2:$Q$495,MATCH("Control MAX Planck Plate 14: H11",'CONTROL MASTER'!$I$2:$I$495,0)),"")</f>
        <v/>
      </c>
      <c r="M166" s="9" t="str">
        <f>IFERROR(INDEX('CONTROL MASTER'!$Q$2:$Q$495,MATCH("Control MAX Planck Plate 14: H12",'CONTROL MASTER'!$I$2:$I$495,0)),"")</f>
        <v/>
      </c>
    </row>
    <row r="169" spans="1:13" ht="15" customHeight="1" x14ac:dyDescent="0.35">
      <c r="A169" s="12" t="s">
        <v>156</v>
      </c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</row>
    <row r="170" spans="1:13" ht="15" customHeight="1" x14ac:dyDescent="0.35">
      <c r="B170" s="8">
        <v>1</v>
      </c>
      <c r="C170" s="8">
        <v>2</v>
      </c>
      <c r="D170" s="8">
        <v>3</v>
      </c>
      <c r="E170" s="8">
        <v>4</v>
      </c>
      <c r="F170" s="8">
        <v>5</v>
      </c>
      <c r="G170" s="8">
        <v>6</v>
      </c>
      <c r="H170" s="8">
        <v>7</v>
      </c>
      <c r="I170" s="8">
        <v>8</v>
      </c>
      <c r="J170" s="8">
        <v>9</v>
      </c>
      <c r="K170" s="8">
        <v>10</v>
      </c>
      <c r="L170" s="8">
        <v>11</v>
      </c>
      <c r="M170" s="8">
        <v>12</v>
      </c>
    </row>
    <row r="171" spans="1:13" ht="15" customHeight="1" x14ac:dyDescent="0.35">
      <c r="A171" s="8" t="s">
        <v>28</v>
      </c>
      <c r="B171" s="9" t="str">
        <f>IFERROR(INDEX('CONTROL MASTER'!$Q$2:$Q$495,MATCH("Control MAX Planck Plate 15: A1",'CONTROL MASTER'!$I$2:$I$495,0)),"")</f>
        <v/>
      </c>
      <c r="C171" s="9" t="str">
        <f>IFERROR(INDEX('CONTROL MASTER'!$Q$2:$Q$495,MATCH("Control MAX Planck Plate 15: A2",'CONTROL MASTER'!$I$2:$I$495,0)),"")</f>
        <v/>
      </c>
      <c r="D171" s="9" t="str">
        <f>IFERROR(INDEX('CONTROL MASTER'!$Q$2:$Q$495,MATCH("Control MAX Planck Plate 15: A3",'CONTROL MASTER'!$I$2:$I$495,0)),"")</f>
        <v/>
      </c>
      <c r="E171" s="9" t="str">
        <f>IFERROR(INDEX('CONTROL MASTER'!$Q$2:$Q$495,MATCH("Control MAX Planck Plate 15: A4",'CONTROL MASTER'!$I$2:$I$495,0)),"")</f>
        <v/>
      </c>
      <c r="F171" s="9" t="str">
        <f>IFERROR(INDEX('CONTROL MASTER'!$Q$2:$Q$495,MATCH("Control MAX Planck Plate 15: A5",'CONTROL MASTER'!$I$2:$I$495,0)),"")</f>
        <v/>
      </c>
      <c r="G171" s="9" t="str">
        <f>IFERROR(INDEX('CONTROL MASTER'!$Q$2:$Q$495,MATCH("Control MAX Planck Plate 15: A6",'CONTROL MASTER'!$I$2:$I$495,0)),"")</f>
        <v/>
      </c>
      <c r="H171" s="9" t="str">
        <f>IFERROR(INDEX('CONTROL MASTER'!$Q$2:$Q$495,MATCH("Control MAX Planck Plate 15: A7",'CONTROL MASTER'!$I$2:$I$495,0)),"")</f>
        <v/>
      </c>
      <c r="I171" s="9" t="str">
        <f>IFERROR(INDEX('CONTROL MASTER'!$Q$2:$Q$495,MATCH("Control MAX Planck Plate 15: A8",'CONTROL MASTER'!$I$2:$I$495,0)),"")</f>
        <v/>
      </c>
      <c r="J171" s="9" t="str">
        <f>IFERROR(INDEX('CONTROL MASTER'!$Q$2:$Q$495,MATCH("Control MAX Planck Plate 15: A9",'CONTROL MASTER'!$I$2:$I$495,0)),"")</f>
        <v/>
      </c>
      <c r="K171" s="9" t="str">
        <f>IFERROR(INDEX('CONTROL MASTER'!$Q$2:$Q$495,MATCH("Control MAX Planck Plate 15: A10",'CONTROL MASTER'!$I$2:$I$495,0)),"")</f>
        <v/>
      </c>
      <c r="L171" s="9" t="str">
        <f>IFERROR(INDEX('CONTROL MASTER'!$Q$2:$Q$495,MATCH("Control MAX Planck Plate 15: A11",'CONTROL MASTER'!$I$2:$I$495,0)),"")</f>
        <v/>
      </c>
      <c r="M171" s="9" t="str">
        <f>IFERROR(INDEX('CONTROL MASTER'!$Q$2:$Q$495,MATCH("Control MAX Planck Plate 15: A12",'CONTROL MASTER'!$I$2:$I$495,0)),"")</f>
        <v/>
      </c>
    </row>
    <row r="172" spans="1:13" ht="15" customHeight="1" x14ac:dyDescent="0.35">
      <c r="A172" s="8" t="s">
        <v>29</v>
      </c>
      <c r="B172" s="9" t="str">
        <f>IFERROR(INDEX('CONTROL MASTER'!$Q$2:$Q$495,MATCH("Control MAX Planck Plate 15: B1",'CONTROL MASTER'!$I$2:$I$495,0)),"")</f>
        <v/>
      </c>
      <c r="C172" s="9" t="str">
        <f>IFERROR(INDEX('CONTROL MASTER'!$Q$2:$Q$495,MATCH("Control MAX Planck Plate 15: B2",'CONTROL MASTER'!$I$2:$I$495,0)),"")</f>
        <v/>
      </c>
      <c r="D172" s="9" t="str">
        <f>IFERROR(INDEX('CONTROL MASTER'!$Q$2:$Q$495,MATCH("Control MAX Planck Plate 15: B3",'CONTROL MASTER'!$I$2:$I$495,0)),"")</f>
        <v/>
      </c>
      <c r="E172" s="9" t="str">
        <f>IFERROR(INDEX('CONTROL MASTER'!$Q$2:$Q$495,MATCH("Control MAX Planck Plate 15: B4",'CONTROL MASTER'!$I$2:$I$495,0)),"")</f>
        <v/>
      </c>
      <c r="F172" s="9" t="str">
        <f>IFERROR(INDEX('CONTROL MASTER'!$Q$2:$Q$495,MATCH("Control MAX Planck Plate 15: B5",'CONTROL MASTER'!$I$2:$I$495,0)),"")</f>
        <v/>
      </c>
      <c r="G172" s="9" t="str">
        <f>IFERROR(INDEX('CONTROL MASTER'!$Q$2:$Q$495,MATCH("Control MAX Planck Plate 15: B6",'CONTROL MASTER'!$I$2:$I$495,0)),"")</f>
        <v/>
      </c>
      <c r="H172" s="9" t="str">
        <f>IFERROR(INDEX('CONTROL MASTER'!$Q$2:$Q$495,MATCH("Control MAX Planck Plate 15: B7",'CONTROL MASTER'!$I$2:$I$495,0)),"")</f>
        <v/>
      </c>
      <c r="I172" s="9" t="str">
        <f>IFERROR(INDEX('CONTROL MASTER'!$Q$2:$Q$495,MATCH("Control MAX Planck Plate 15: B8",'CONTROL MASTER'!$I$2:$I$495,0)),"")</f>
        <v/>
      </c>
      <c r="J172" s="9" t="str">
        <f>IFERROR(INDEX('CONTROL MASTER'!$Q$2:$Q$495,MATCH("Control MAX Planck Plate 15: B9",'CONTROL MASTER'!$I$2:$I$495,0)),"")</f>
        <v/>
      </c>
      <c r="K172" s="9" t="str">
        <f>IFERROR(INDEX('CONTROL MASTER'!$Q$2:$Q$495,MATCH("Control MAX Planck Plate 15: B10",'CONTROL MASTER'!$I$2:$I$495,0)),"")</f>
        <v/>
      </c>
      <c r="L172" s="9" t="str">
        <f>IFERROR(INDEX('CONTROL MASTER'!$Q$2:$Q$495,MATCH("Control MAX Planck Plate 15: B11",'CONTROL MASTER'!$I$2:$I$495,0)),"")</f>
        <v/>
      </c>
      <c r="M172" s="9" t="str">
        <f>IFERROR(INDEX('CONTROL MASTER'!$Q$2:$Q$495,MATCH("Control MAX Planck Plate 15: B12",'CONTROL MASTER'!$I$2:$I$495,0)),"")</f>
        <v/>
      </c>
    </row>
    <row r="173" spans="1:13" ht="15" customHeight="1" x14ac:dyDescent="0.35">
      <c r="A173" s="8" t="s">
        <v>30</v>
      </c>
      <c r="B173" s="9" t="str">
        <f>IFERROR(INDEX('CONTROL MASTER'!$Q$2:$Q$495,MATCH("Control MAX Planck Plate 15: C1",'CONTROL MASTER'!$I$2:$I$495,0)),"")</f>
        <v/>
      </c>
      <c r="C173" s="9" t="str">
        <f>IFERROR(INDEX('CONTROL MASTER'!$Q$2:$Q$495,MATCH("Control MAX Planck Plate 15: C2",'CONTROL MASTER'!$I$2:$I$495,0)),"")</f>
        <v/>
      </c>
      <c r="D173" s="9" t="str">
        <f>IFERROR(INDEX('CONTROL MASTER'!$Q$2:$Q$495,MATCH("Control MAX Planck Plate 15: C3",'CONTROL MASTER'!$I$2:$I$495,0)),"")</f>
        <v/>
      </c>
      <c r="E173" s="9" t="str">
        <f>IFERROR(INDEX('CONTROL MASTER'!$Q$2:$Q$495,MATCH("Control MAX Planck Plate 15: C4",'CONTROL MASTER'!$I$2:$I$495,0)),"")</f>
        <v/>
      </c>
      <c r="F173" s="9" t="str">
        <f>IFERROR(INDEX('CONTROL MASTER'!$Q$2:$Q$495,MATCH("Control MAX Planck Plate 15: C5",'CONTROL MASTER'!$I$2:$I$495,0)),"")</f>
        <v/>
      </c>
      <c r="G173" s="9" t="str">
        <f>IFERROR(INDEX('CONTROL MASTER'!$Q$2:$Q$495,MATCH("Control MAX Planck Plate 15: C6",'CONTROL MASTER'!$I$2:$I$495,0)),"")</f>
        <v/>
      </c>
      <c r="H173" s="9" t="str">
        <f>IFERROR(INDEX('CONTROL MASTER'!$Q$2:$Q$495,MATCH("Control MAX Planck Plate 15: C7",'CONTROL MASTER'!$I$2:$I$495,0)),"")</f>
        <v/>
      </c>
      <c r="I173" s="9" t="str">
        <f>IFERROR(INDEX('CONTROL MASTER'!$Q$2:$Q$495,MATCH("Control MAX Planck Plate 15: C8",'CONTROL MASTER'!$I$2:$I$495,0)),"")</f>
        <v/>
      </c>
      <c r="J173" s="9" t="str">
        <f>IFERROR(INDEX('CONTROL MASTER'!$Q$2:$Q$495,MATCH("Control MAX Planck Plate 15: C9",'CONTROL MASTER'!$I$2:$I$495,0)),"")</f>
        <v/>
      </c>
      <c r="K173" s="9" t="str">
        <f>IFERROR(INDEX('CONTROL MASTER'!$Q$2:$Q$495,MATCH("Control MAX Planck Plate 15: C10",'CONTROL MASTER'!$I$2:$I$495,0)),"")</f>
        <v/>
      </c>
      <c r="L173" s="9" t="str">
        <f>IFERROR(INDEX('CONTROL MASTER'!$Q$2:$Q$495,MATCH("Control MAX Planck Plate 15: C11",'CONTROL MASTER'!$I$2:$I$495,0)),"")</f>
        <v/>
      </c>
      <c r="M173" s="9" t="str">
        <f>IFERROR(INDEX('CONTROL MASTER'!$Q$2:$Q$495,MATCH("Control MAX Planck Plate 15: C12",'CONTROL MASTER'!$I$2:$I$495,0)),"")</f>
        <v/>
      </c>
    </row>
    <row r="174" spans="1:13" ht="15" customHeight="1" x14ac:dyDescent="0.35">
      <c r="A174" s="8" t="s">
        <v>31</v>
      </c>
      <c r="B174" s="9" t="str">
        <f>IFERROR(INDEX('CONTROL MASTER'!$Q$2:$Q$495,MATCH("Control MAX Planck Plate 15: D1",'CONTROL MASTER'!$I$2:$I$495,0)),"")</f>
        <v/>
      </c>
      <c r="C174" s="9" t="str">
        <f>IFERROR(INDEX('CONTROL MASTER'!$Q$2:$Q$495,MATCH("Control MAX Planck Plate 15: D2",'CONTROL MASTER'!$I$2:$I$495,0)),"")</f>
        <v/>
      </c>
      <c r="D174" s="9" t="str">
        <f>IFERROR(INDEX('CONTROL MASTER'!$Q$2:$Q$495,MATCH("Control MAX Planck Plate 15: D3",'CONTROL MASTER'!$I$2:$I$495,0)),"")</f>
        <v/>
      </c>
      <c r="E174" s="9" t="str">
        <f>IFERROR(INDEX('CONTROL MASTER'!$Q$2:$Q$495,MATCH("Control MAX Planck Plate 15: D4",'CONTROL MASTER'!$I$2:$I$495,0)),"")</f>
        <v/>
      </c>
      <c r="F174" s="9" t="str">
        <f>IFERROR(INDEX('CONTROL MASTER'!$Q$2:$Q$495,MATCH("Control MAX Planck Plate 15: D5",'CONTROL MASTER'!$I$2:$I$495,0)),"")</f>
        <v/>
      </c>
      <c r="G174" s="9" t="str">
        <f>IFERROR(INDEX('CONTROL MASTER'!$Q$2:$Q$495,MATCH("Control MAX Planck Plate 15: D6",'CONTROL MASTER'!$I$2:$I$495,0)),"")</f>
        <v/>
      </c>
      <c r="H174" s="9" t="str">
        <f>IFERROR(INDEX('CONTROL MASTER'!$Q$2:$Q$495,MATCH("Control MAX Planck Plate 15: D7",'CONTROL MASTER'!$I$2:$I$495,0)),"")</f>
        <v/>
      </c>
      <c r="I174" s="9" t="str">
        <f>IFERROR(INDEX('CONTROL MASTER'!$Q$2:$Q$495,MATCH("Control MAX Planck Plate 15: D8",'CONTROL MASTER'!$I$2:$I$495,0)),"")</f>
        <v/>
      </c>
      <c r="J174" s="9" t="str">
        <f>IFERROR(INDEX('CONTROL MASTER'!$Q$2:$Q$495,MATCH("Control MAX Planck Plate 15: D9",'CONTROL MASTER'!$I$2:$I$495,0)),"")</f>
        <v/>
      </c>
      <c r="K174" s="9" t="str">
        <f>IFERROR(INDEX('CONTROL MASTER'!$Q$2:$Q$495,MATCH("Control MAX Planck Plate 15: D10",'CONTROL MASTER'!$I$2:$I$495,0)),"")</f>
        <v/>
      </c>
      <c r="L174" s="9" t="str">
        <f>IFERROR(INDEX('CONTROL MASTER'!$Q$2:$Q$495,MATCH("Control MAX Planck Plate 15: D11",'CONTROL MASTER'!$I$2:$I$495,0)),"")</f>
        <v/>
      </c>
      <c r="M174" s="9" t="str">
        <f>IFERROR(INDEX('CONTROL MASTER'!$Q$2:$Q$495,MATCH("Control MAX Planck Plate 15: D12",'CONTROL MASTER'!$I$2:$I$495,0)),"")</f>
        <v/>
      </c>
    </row>
    <row r="175" spans="1:13" ht="15" customHeight="1" x14ac:dyDescent="0.35">
      <c r="A175" s="8" t="s">
        <v>32</v>
      </c>
      <c r="B175" s="9" t="str">
        <f>IFERROR(INDEX('CONTROL MASTER'!$Q$2:$Q$495,MATCH("Control MAX Planck Plate 15: E1",'CONTROL MASTER'!$I$2:$I$495,0)),"")</f>
        <v/>
      </c>
      <c r="C175" s="9" t="str">
        <f>IFERROR(INDEX('CONTROL MASTER'!$Q$2:$Q$495,MATCH("Control MAX Planck Plate 15: E2",'CONTROL MASTER'!$I$2:$I$495,0)),"")</f>
        <v/>
      </c>
      <c r="D175" s="9" t="str">
        <f>IFERROR(INDEX('CONTROL MASTER'!$Q$2:$Q$495,MATCH("Control MAX Planck Plate 15: E3",'CONTROL MASTER'!$I$2:$I$495,0)),"")</f>
        <v/>
      </c>
      <c r="E175" s="9" t="str">
        <f>IFERROR(INDEX('CONTROL MASTER'!$Q$2:$Q$495,MATCH("Control MAX Planck Plate 15: E4",'CONTROL MASTER'!$I$2:$I$495,0)),"")</f>
        <v/>
      </c>
      <c r="F175" s="9" t="str">
        <f>IFERROR(INDEX('CONTROL MASTER'!$Q$2:$Q$495,MATCH("Control MAX Planck Plate 15: E5",'CONTROL MASTER'!$I$2:$I$495,0)),"")</f>
        <v/>
      </c>
      <c r="G175" s="9" t="str">
        <f>IFERROR(INDEX('CONTROL MASTER'!$Q$2:$Q$495,MATCH("Control MAX Planck Plate 15: E6",'CONTROL MASTER'!$I$2:$I$495,0)),"")</f>
        <v/>
      </c>
      <c r="H175" s="9" t="str">
        <f>IFERROR(INDEX('CONTROL MASTER'!$Q$2:$Q$495,MATCH("Control MAX Planck Plate 15: E7",'CONTROL MASTER'!$I$2:$I$495,0)),"")</f>
        <v/>
      </c>
      <c r="I175" s="9" t="str">
        <f>IFERROR(INDEX('CONTROL MASTER'!$Q$2:$Q$495,MATCH("Control MAX Planck Plate 15: E8",'CONTROL MASTER'!$I$2:$I$495,0)),"")</f>
        <v/>
      </c>
      <c r="J175" s="9" t="str">
        <f>IFERROR(INDEX('CONTROL MASTER'!$Q$2:$Q$495,MATCH("Control MAX Planck Plate 15: E9",'CONTROL MASTER'!$I$2:$I$495,0)),"")</f>
        <v/>
      </c>
      <c r="K175" s="9" t="str">
        <f>IFERROR(INDEX('CONTROL MASTER'!$Q$2:$Q$495,MATCH("Control MAX Planck Plate 15: E10",'CONTROL MASTER'!$I$2:$I$495,0)),"")</f>
        <v/>
      </c>
      <c r="L175" s="9" t="str">
        <f>IFERROR(INDEX('CONTROL MASTER'!$Q$2:$Q$495,MATCH("Control MAX Planck Plate 15: E11",'CONTROL MASTER'!$I$2:$I$495,0)),"")</f>
        <v/>
      </c>
      <c r="M175" s="9" t="str">
        <f>IFERROR(INDEX('CONTROL MASTER'!$Q$2:$Q$495,MATCH("Control MAX Planck Plate 15: E12",'CONTROL MASTER'!$I$2:$I$495,0)),"")</f>
        <v/>
      </c>
    </row>
    <row r="176" spans="1:13" ht="15" customHeight="1" x14ac:dyDescent="0.35">
      <c r="A176" s="8" t="s">
        <v>33</v>
      </c>
      <c r="B176" s="9" t="str">
        <f>IFERROR(INDEX('CONTROL MASTER'!$Q$2:$Q$495,MATCH("Control MAX Planck Plate 15: F1",'CONTROL MASTER'!$I$2:$I$495,0)),"")</f>
        <v/>
      </c>
      <c r="C176" s="9" t="str">
        <f>IFERROR(INDEX('CONTROL MASTER'!$Q$2:$Q$495,MATCH("Control MAX Planck Plate 15: F2",'CONTROL MASTER'!$I$2:$I$495,0)),"")</f>
        <v/>
      </c>
      <c r="D176" s="9" t="str">
        <f>IFERROR(INDEX('CONTROL MASTER'!$Q$2:$Q$495,MATCH("Control MAX Planck Plate 15: F3",'CONTROL MASTER'!$I$2:$I$495,0)),"")</f>
        <v/>
      </c>
      <c r="E176" s="9" t="str">
        <f>IFERROR(INDEX('CONTROL MASTER'!$Q$2:$Q$495,MATCH("Control MAX Planck Plate 15: F4",'CONTROL MASTER'!$I$2:$I$495,0)),"")</f>
        <v/>
      </c>
      <c r="F176" s="9" t="str">
        <f>IFERROR(INDEX('CONTROL MASTER'!$Q$2:$Q$495,MATCH("Control MAX Planck Plate 15: F5",'CONTROL MASTER'!$I$2:$I$495,0)),"")</f>
        <v/>
      </c>
      <c r="G176" s="9" t="str">
        <f>IFERROR(INDEX('CONTROL MASTER'!$Q$2:$Q$495,MATCH("Control MAX Planck Plate 15: F6",'CONTROL MASTER'!$I$2:$I$495,0)),"")</f>
        <v/>
      </c>
      <c r="H176" s="9" t="str">
        <f>IFERROR(INDEX('CONTROL MASTER'!$Q$2:$Q$495,MATCH("Control MAX Planck Plate 15: F7",'CONTROL MASTER'!$I$2:$I$495,0)),"")</f>
        <v/>
      </c>
      <c r="I176" s="9" t="str">
        <f>IFERROR(INDEX('CONTROL MASTER'!$Q$2:$Q$495,MATCH("Control MAX Planck Plate 15: F8",'CONTROL MASTER'!$I$2:$I$495,0)),"")</f>
        <v/>
      </c>
      <c r="J176" s="9" t="str">
        <f>IFERROR(INDEX('CONTROL MASTER'!$Q$2:$Q$495,MATCH("Control MAX Planck Plate 15: F9",'CONTROL MASTER'!$I$2:$I$495,0)),"")</f>
        <v/>
      </c>
      <c r="K176" s="9" t="str">
        <f>IFERROR(INDEX('CONTROL MASTER'!$Q$2:$Q$495,MATCH("Control MAX Planck Plate 15: F10",'CONTROL MASTER'!$I$2:$I$495,0)),"")</f>
        <v/>
      </c>
      <c r="L176" s="9" t="str">
        <f>IFERROR(INDEX('CONTROL MASTER'!$Q$2:$Q$495,MATCH("Control MAX Planck Plate 15: F11",'CONTROL MASTER'!$I$2:$I$495,0)),"")</f>
        <v/>
      </c>
      <c r="M176" s="9" t="str">
        <f>IFERROR(INDEX('CONTROL MASTER'!$Q$2:$Q$495,MATCH("Control MAX Planck Plate 15: F12",'CONTROL MASTER'!$I$2:$I$495,0)),"")</f>
        <v/>
      </c>
    </row>
    <row r="177" spans="1:13" ht="15" customHeight="1" x14ac:dyDescent="0.35">
      <c r="A177" s="8" t="s">
        <v>34</v>
      </c>
      <c r="B177" s="9" t="str">
        <f>IFERROR(INDEX('CONTROL MASTER'!$Q$2:$Q$495,MATCH("Control MAX Planck Plate 15: G1",'CONTROL MASTER'!$I$2:$I$495,0)),"")</f>
        <v/>
      </c>
      <c r="C177" s="9" t="str">
        <f>IFERROR(INDEX('CONTROL MASTER'!$Q$2:$Q$495,MATCH("Control MAX Planck Plate 15: G2",'CONTROL MASTER'!$I$2:$I$495,0)),"")</f>
        <v/>
      </c>
      <c r="D177" s="9" t="str">
        <f>IFERROR(INDEX('CONTROL MASTER'!$Q$2:$Q$495,MATCH("Control MAX Planck Plate 15: G3",'CONTROL MASTER'!$I$2:$I$495,0)),"")</f>
        <v/>
      </c>
      <c r="E177" s="9" t="str">
        <f>IFERROR(INDEX('CONTROL MASTER'!$Q$2:$Q$495,MATCH("Control MAX Planck Plate 15: G4",'CONTROL MASTER'!$I$2:$I$495,0)),"")</f>
        <v/>
      </c>
      <c r="F177" s="9" t="str">
        <f>IFERROR(INDEX('CONTROL MASTER'!$Q$2:$Q$495,MATCH("Control MAX Planck Plate 15: G5",'CONTROL MASTER'!$I$2:$I$495,0)),"")</f>
        <v/>
      </c>
      <c r="G177" s="9" t="str">
        <f>IFERROR(INDEX('CONTROL MASTER'!$Q$2:$Q$495,MATCH("Control MAX Planck Plate 15: G6",'CONTROL MASTER'!$I$2:$I$495,0)),"")</f>
        <v/>
      </c>
      <c r="H177" s="9" t="str">
        <f>IFERROR(INDEX('CONTROL MASTER'!$Q$2:$Q$495,MATCH("Control MAX Planck Plate 15: G7",'CONTROL MASTER'!$I$2:$I$495,0)),"")</f>
        <v/>
      </c>
      <c r="I177" s="9" t="str">
        <f>IFERROR(INDEX('CONTROL MASTER'!$Q$2:$Q$495,MATCH("Control MAX Planck Plate 15: G8",'CONTROL MASTER'!$I$2:$I$495,0)),"")</f>
        <v/>
      </c>
      <c r="J177" s="9" t="str">
        <f>IFERROR(INDEX('CONTROL MASTER'!$Q$2:$Q$495,MATCH("Control MAX Planck Plate 15: G9",'CONTROL MASTER'!$I$2:$I$495,0)),"")</f>
        <v/>
      </c>
      <c r="K177" s="9" t="str">
        <f>IFERROR(INDEX('CONTROL MASTER'!$Q$2:$Q$495,MATCH("Control MAX Planck Plate 15: G10",'CONTROL MASTER'!$I$2:$I$495,0)),"")</f>
        <v/>
      </c>
      <c r="L177" s="9" t="str">
        <f>IFERROR(INDEX('CONTROL MASTER'!$Q$2:$Q$495,MATCH("Control MAX Planck Plate 15: G11",'CONTROL MASTER'!$I$2:$I$495,0)),"")</f>
        <v/>
      </c>
      <c r="M177" s="9" t="str">
        <f>IFERROR(INDEX('CONTROL MASTER'!$Q$2:$Q$495,MATCH("Control MAX Planck Plate 15: G12",'CONTROL MASTER'!$I$2:$I$495,0)),"")</f>
        <v/>
      </c>
    </row>
    <row r="178" spans="1:13" ht="15" customHeight="1" x14ac:dyDescent="0.35">
      <c r="A178" s="8" t="s">
        <v>35</v>
      </c>
      <c r="B178" s="9" t="str">
        <f>IFERROR(INDEX('CONTROL MASTER'!$Q$2:$Q$495,MATCH("Control MAX Planck Plate 15: H1",'CONTROL MASTER'!$I$2:$I$495,0)),"")</f>
        <v/>
      </c>
      <c r="C178" s="9" t="str">
        <f>IFERROR(INDEX('CONTROL MASTER'!$Q$2:$Q$495,MATCH("Control MAX Planck Plate 15: H2",'CONTROL MASTER'!$I$2:$I$495,0)),"")</f>
        <v/>
      </c>
      <c r="D178" s="9" t="str">
        <f>IFERROR(INDEX('CONTROL MASTER'!$Q$2:$Q$495,MATCH("Control MAX Planck Plate 15: H3",'CONTROL MASTER'!$I$2:$I$495,0)),"")</f>
        <v/>
      </c>
      <c r="E178" s="9" t="str">
        <f>IFERROR(INDEX('CONTROL MASTER'!$Q$2:$Q$495,MATCH("Control MAX Planck Plate 15: H4",'CONTROL MASTER'!$I$2:$I$495,0)),"")</f>
        <v/>
      </c>
      <c r="F178" s="9" t="str">
        <f>IFERROR(INDEX('CONTROL MASTER'!$Q$2:$Q$495,MATCH("Control MAX Planck Plate 15: H5",'CONTROL MASTER'!$I$2:$I$495,0)),"")</f>
        <v/>
      </c>
      <c r="G178" s="9" t="str">
        <f>IFERROR(INDEX('CONTROL MASTER'!$Q$2:$Q$495,MATCH("Control MAX Planck Plate 15: H6",'CONTROL MASTER'!$I$2:$I$495,0)),"")</f>
        <v/>
      </c>
      <c r="H178" s="9" t="str">
        <f>IFERROR(INDEX('CONTROL MASTER'!$Q$2:$Q$495,MATCH("Control MAX Planck Plate 15: H7",'CONTROL MASTER'!$I$2:$I$495,0)),"")</f>
        <v/>
      </c>
      <c r="I178" s="9" t="str">
        <f>IFERROR(INDEX('CONTROL MASTER'!$Q$2:$Q$495,MATCH("Control MAX Planck Plate 15: H8",'CONTROL MASTER'!$I$2:$I$495,0)),"")</f>
        <v/>
      </c>
      <c r="J178" s="9" t="str">
        <f>IFERROR(INDEX('CONTROL MASTER'!$Q$2:$Q$495,MATCH("Control MAX Planck Plate 15: H9",'CONTROL MASTER'!$I$2:$I$495,0)),"")</f>
        <v/>
      </c>
      <c r="K178" s="9" t="str">
        <f>IFERROR(INDEX('CONTROL MASTER'!$Q$2:$Q$495,MATCH("Control MAX Planck Plate 15: H10",'CONTROL MASTER'!$I$2:$I$495,0)),"")</f>
        <v/>
      </c>
      <c r="L178" s="9" t="str">
        <f>IFERROR(INDEX('CONTROL MASTER'!$Q$2:$Q$495,MATCH("Control MAX Planck Plate 15: H11",'CONTROL MASTER'!$I$2:$I$495,0)),"")</f>
        <v/>
      </c>
      <c r="M178" s="9" t="str">
        <f>IFERROR(INDEX('CONTROL MASTER'!$Q$2:$Q$495,MATCH("Control MAX Planck Plate 15: H12",'CONTROL MASTER'!$I$2:$I$495,0)),"")</f>
        <v/>
      </c>
    </row>
  </sheetData>
  <mergeCells count="15">
    <mergeCell ref="A169:M169"/>
    <mergeCell ref="A13:M13"/>
    <mergeCell ref="A73:M73"/>
    <mergeCell ref="A1:M1"/>
    <mergeCell ref="A133:M133"/>
    <mergeCell ref="A37:M37"/>
    <mergeCell ref="A61:M61"/>
    <mergeCell ref="A97:M97"/>
    <mergeCell ref="A145:M145"/>
    <mergeCell ref="A109:M109"/>
    <mergeCell ref="A25:M25"/>
    <mergeCell ref="A157:M157"/>
    <mergeCell ref="A49:M49"/>
    <mergeCell ref="A121:M121"/>
    <mergeCell ref="A85:M85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70AD47"/>
  </sheetPr>
  <dimension ref="A1:K208"/>
  <sheetViews>
    <sheetView showGridLines="0" zoomScaleNormal="100" workbookViewId="0">
      <selection activeCell="D21" sqref="D21"/>
    </sheetView>
  </sheetViews>
  <sheetFormatPr defaultColWidth="8.6328125" defaultRowHeight="15" customHeight="1" x14ac:dyDescent="0.35"/>
  <cols>
    <col min="1" max="1" width="5" customWidth="1"/>
    <col min="2" max="11" width="25.6328125" customWidth="1"/>
  </cols>
  <sheetData>
    <row r="1" spans="1:11" ht="15" customHeight="1" x14ac:dyDescent="0.35">
      <c r="A1" s="12" t="s">
        <v>157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11" ht="15" customHeight="1" x14ac:dyDescent="0.35">
      <c r="B2" s="8">
        <v>1</v>
      </c>
      <c r="C2" s="8">
        <v>2</v>
      </c>
      <c r="D2" s="8">
        <v>3</v>
      </c>
      <c r="E2" s="8">
        <v>4</v>
      </c>
      <c r="F2" s="8">
        <v>5</v>
      </c>
      <c r="G2" s="8">
        <v>6</v>
      </c>
      <c r="H2" s="8">
        <v>7</v>
      </c>
      <c r="I2" s="8">
        <v>8</v>
      </c>
      <c r="J2" s="8">
        <v>9</v>
      </c>
      <c r="K2" s="8">
        <v>10</v>
      </c>
    </row>
    <row r="3" spans="1:11" ht="15" customHeight="1" x14ac:dyDescent="0.35">
      <c r="A3" s="8" t="s">
        <v>28</v>
      </c>
      <c r="B3" s="10" t="str">
        <f>IFERROR(IF(SUMPRODUCT((('CONTROL MASTER'!$S$2:$S$495=1)*('CONTROL MASTER'!$T$2:$T$495&lt;=1)*('CONTROL MASTER'!$V$2:$V$495&gt;=1)*('CONTROL MASTER'!$U$2:$U$495&lt;=1)*('CONTROL MASTER'!$W$2:$W$495&gt;=1))*ROW('CONTROL MASTER'!$S$2:$S$495))&gt;0,INDEX('CONTROL MASTER'!$X$2:$X$495,(SUMPRODUCT((('CONTROL MASTER'!$S$2:$S$495=1)*('CONTROL MASTER'!$T$2:$T$495&lt;=1)*('CONTROL MASTER'!$V$2:$V$495&gt;=1)*('CONTROL MASTER'!$U$2:$U$495&lt;=1)*('CONTROL MASTER'!$W$2:$W$495&gt;=1))*ROW('CONTROL MASTER'!$S$2:$S$495))-(ROW('CONTROL MASTER'!#REF!)-1)))&amp;TRIM(MID(SUBSTITUTE(SUBSTITUTE(INDEX('CONTROL MASTER'!$N$2:$N$495,(SUMPRODUCT((('CONTROL MASTER'!$S$2:$S$495=1)*('CONTROL MASTER'!$T$2:$T$495&lt;=1)*('CONTROL MASTER'!$V$2:$V$495&gt;=1)*('CONTROL MASTER'!$U$2:$U$495&lt;=1)*('CONTROL MASTER'!$W$2:$W$495&gt;=1))*ROW('CONTROL MASTER'!$S$2:$S$495))-(ROW('CONTROL MASTER'!#REF!)-1))),":",","),",",REPT(" ",50)),((((1-INDEX('CONTROL MASTER'!$T$2:$T$495,(SUMPRODUCT((('CONTROL MASTER'!$S$2:$S$495=1)*('CONTROL MASTER'!$T$2:$T$495&lt;=1)*('CONTROL MASTER'!$V$2:$V$495&gt;=1)*('CONTROL MASTER'!$U$2:$U$495&lt;=1)*('CONTROL MASTER'!$W$2:$W$495&gt;=1))*ROW('CONTROL MASTER'!$S$2:$S$495))-(ROW('CONTROL MASTER'!#REF!)-1))))*(INDEX('CONTROL MASTER'!$W$2:$W$495,(SUMPRODUCT((('CONTROL MASTER'!$S$2:$S$495=1)*('CONTROL MASTER'!$T$2:$T$495&lt;=1)*('CONTROL MASTER'!$V$2:$V$495&gt;=1)*('CONTROL MASTER'!$U$2:$U$495&lt;=1)*('CONTROL MASTER'!$W$2:$W$495&gt;=1))*ROW('CONTROL MASTER'!$S$2:$S$495))-(ROW('CONTROL MASTER'!#REF!)-1)))-INDEX('CONTROL MASTER'!$U$2:$U$495,(SUMPRODUCT((('CONTROL MASTER'!$S$2:$S$495=1)*('CONTROL MASTER'!$T$2:$T$495&lt;=1)*('CONTROL MASTER'!$V$2:$V$495&gt;=1)*('CONTROL MASTER'!$U$2:$U$495&lt;=1)*('CONTROL MASTER'!$W$2:$W$495&gt;=1))*ROW('CONTROL MASTER'!$S$2:$S$495))-(ROW('CONTROL MASTER'!#REF!)-1)))+1)+(1-INDEX('CONTROL MASTER'!$U$2:$U$495,(SUMPRODUCT((('CONTROL MASTER'!$S$2:$S$495=1)*('CONTROL MASTER'!$T$2:$T$495&lt;=1)*('CONTROL MASTER'!$V$2:$V$495&gt;=1)*('CONTROL MASTER'!$U$2:$U$495&lt;=1)*('CONTROL MASTER'!$W$2:$W$495&gt;=1))*ROW('CONTROL MASTER'!$S$2:$S$495))-(ROW('CONTROL MASTER'!#REF!)-1))))+1))-1)*50+1,50))&amp;"_"&amp;INDEX('CONTROL MASTER'!$P$2:$P$495,(SUMPRODUCT((('CONTROL MASTER'!$S$2:$S$495=1)*('CONTROL MASTER'!$T$2:$T$495&lt;=1)*('CONTROL MASTER'!$V$2:$V$495&gt;=1)*('CONTROL MASTER'!$U$2:$U$495&lt;=1)*('CONTROL MASTER'!$W$2:$W$495&gt;=1))*ROW('CONTROL MASTER'!$S$2:$S$495))-(ROW('CONTROL MASTER'!#REF!)-1))),IF(SUMPRODUCT((('CONTROL MASTER'!$S$2:$S$495=1)*('CONTROL MASTER'!$Z$2:$Z$495&lt;=1)*('CONTROL MASTER'!$AB$2:$AB$495&gt;=1)*('CONTROL MASTER'!$AA$2:$AA$495&lt;=1)*('CONTROL MASTER'!$AC$2:$AC$495&gt;=1))*ROW('CONTROL MASTER'!$S$2:$S$495))&gt;0,INDEX('CONTROL MASTER'!$X$2:$X$495,(SUMPRODUCT((('CONTROL MASTER'!$S$2:$S$495=1)*('CONTROL MASTER'!$Z$2:$Z$495&lt;=1)*('CONTROL MASTER'!$AB$2:$AB$495&gt;=1)*('CONTROL MASTER'!$AA$2:$AA$495&lt;=1)*('CONTROL MASTER'!$AC$2:$AC$495&gt;=1))*ROW('CONTROL MASTER'!$S$2:$S$495))-(ROW('CONTROL MASTER'!#REF!)-1)))&amp;TRIM(MID(SUBSTITUTE(SUBSTITUTE(INDEX('CONTROL MASTER'!$N$2:$N$495,(SUMPRODUCT((('CONTROL MASTER'!$S$2:$S$495=1)*('CONTROL MASTER'!$Z$2:$Z$495&lt;=1)*('CONTROL MASTER'!$AB$2:$AB$495&gt;=1)*('CONTROL MASTER'!$AA$2:$AA$495&lt;=1)*('CONTROL MASTER'!$AC$2:$AC$495&gt;=1))*ROW('CONTROL MASTER'!$S$2:$S$495))-(ROW('CONTROL MASTER'!#REF!)-1))),":",","),",",REPT(" ",50)),(((INDEX('CONTROL MASTER'!$Y$2:$Y$495,(SUMPRODUCT((('CONTROL MASTER'!$S$2:$S$495=1)*('CONTROL MASTER'!$Z$2:$Z$495&lt;=1)*('CONTROL MASTER'!$AB$2:$AB$495&gt;=1)*('CONTROL MASTER'!$AA$2:$AA$495&lt;=1)*('CONTROL MASTER'!$AC$2:$AC$495&gt;=1))*ROW('CONTROL MASTER'!$S$2:$S$495))-(ROW('CONTROL MASTER'!#REF!)-1)))+((1-INDEX('CONTROL MASTER'!$Z$2:$Z$495,(SUMPRODUCT((('CONTROL MASTER'!$S$2:$S$495=1)*('CONTROL MASTER'!$Z$2:$Z$495&lt;=1)*('CONTROL MASTER'!$AB$2:$AB$495&gt;=1)*('CONTROL MASTER'!$AA$2:$AA$495&lt;=1)*('CONTROL MASTER'!$AC$2:$AC$495&gt;=1))*ROW('CONTROL MASTER'!$S$2:$S$495))-(ROW('CONTROL MASTER'!#REF!)-1))))*(INDEX('CONTROL MASTER'!$AC$2:$AC$495,(SUMPRODUCT((('CONTROL MASTER'!$S$2:$S$495=1)*('CONTROL MASTER'!$Z$2:$Z$495&lt;=1)*('CONTROL MASTER'!$AB$2:$AB$495&gt;=1)*('CONTROL MASTER'!$AA$2:$AA$495&lt;=1)*('CONTROL MASTER'!$AC$2:$AC$495&gt;=1))*ROW('CONTROL MASTER'!$S$2:$S$495))-(ROW('CONTROL MASTER'!#REF!)-1)))-INDEX('CONTROL MASTER'!$AA$2:$AA$495,(SUMPRODUCT((('CONTROL MASTER'!$S$2:$S$495=1)*('CONTROL MASTER'!$Z$2:$Z$495&lt;=1)*('CONTROL MASTER'!$AB$2:$AB$495&gt;=1)*('CONTROL MASTER'!$AA$2:$AA$495&lt;=1)*('CONTROL MASTER'!$AC$2:$AC$495&gt;=1))*ROW('CONTROL MASTER'!$S$2:$S$495))-(ROW('CONTROL MASTER'!#REF!)-1)))+1)+(1-INDEX('CONTROL MASTER'!$AA$2:$AA$495,(SUMPRODUCT((('CONTROL MASTER'!$S$2:$S$495=1)*('CONTROL MASTER'!$Z$2:$Z$495&lt;=1)*('CONTROL MASTER'!$AB$2:$AB$495&gt;=1)*('CONTROL MASTER'!$AA$2:$AA$495&lt;=1)*('CONTROL MASTER'!$AC$2:$AC$495&gt;=1))*ROW('CONTROL MASTER'!$S$2:$S$495))-(ROW('CONTROL MASTER'!#REF!)-1))))+1)))-1)*50+1,50))&amp;"_"&amp;INDEX('CONTROL MASTER'!$P$2:$P$495,(SUMPRODUCT((('CONTROL MASTER'!$S$2:$S$495=1)*('CONTROL MASTER'!$Z$2:$Z$495&lt;=1)*('CONTROL MASTER'!$AB$2:$AB$495&gt;=1)*('CONTROL MASTER'!$AA$2:$AA$495&lt;=1)*('CONTROL MASTER'!$AC$2:$AC$495&gt;=1))*ROW('CONTROL MASTER'!$S$2:$S$495))-(ROW('CONTROL MASTER'!#REF!)-1))),"")),"")</f>
        <v/>
      </c>
      <c r="C3" s="10" t="str">
        <f>IFERROR(IF(SUMPRODUCT((('CONTROL MASTER'!$S$2:$S$495=1)*('CONTROL MASTER'!$T$2:$T$495&lt;=1)*('CONTROL MASTER'!$V$2:$V$495&gt;=1)*('CONTROL MASTER'!$U$2:$U$495&lt;=2)*('CONTROL MASTER'!$W$2:$W$495&gt;=2))*ROW('CONTROL MASTER'!$S$2:$S$495))&gt;0,INDEX('CONTROL MASTER'!$X$2:$X$495,(SUMPRODUCT((('CONTROL MASTER'!$S$2:$S$495=1)*('CONTROL MASTER'!$T$2:$T$495&lt;=1)*('CONTROL MASTER'!$V$2:$V$495&gt;=1)*('CONTROL MASTER'!$U$2:$U$495&lt;=2)*('CONTROL MASTER'!$W$2:$W$495&gt;=2))*ROW('CONTROL MASTER'!$S$2:$S$495))-(ROW('CONTROL MASTER'!#REF!)-1)))&amp;TRIM(MID(SUBSTITUTE(SUBSTITUTE(INDEX('CONTROL MASTER'!$N$2:$N$495,(SUMPRODUCT((('CONTROL MASTER'!$S$2:$S$495=1)*('CONTROL MASTER'!$T$2:$T$495&lt;=1)*('CONTROL MASTER'!$V$2:$V$495&gt;=1)*('CONTROL MASTER'!$U$2:$U$495&lt;=2)*('CONTROL MASTER'!$W$2:$W$495&gt;=2))*ROW('CONTROL MASTER'!$S$2:$S$495))-(ROW('CONTROL MASTER'!#REF!)-1))),":",","),",",REPT(" ",50)),((((1-INDEX('CONTROL MASTER'!$T$2:$T$495,(SUMPRODUCT((('CONTROL MASTER'!$S$2:$S$495=1)*('CONTROL MASTER'!$T$2:$T$495&lt;=1)*('CONTROL MASTER'!$V$2:$V$495&gt;=1)*('CONTROL MASTER'!$U$2:$U$495&lt;=2)*('CONTROL MASTER'!$W$2:$W$495&gt;=2))*ROW('CONTROL MASTER'!$S$2:$S$495))-(ROW('CONTROL MASTER'!#REF!)-1))))*(INDEX('CONTROL MASTER'!$W$2:$W$495,(SUMPRODUCT((('CONTROL MASTER'!$S$2:$S$495=1)*('CONTROL MASTER'!$T$2:$T$495&lt;=1)*('CONTROL MASTER'!$V$2:$V$495&gt;=1)*('CONTROL MASTER'!$U$2:$U$495&lt;=2)*('CONTROL MASTER'!$W$2:$W$495&gt;=2))*ROW('CONTROL MASTER'!$S$2:$S$495))-(ROW('CONTROL MASTER'!#REF!)-1)))-INDEX('CONTROL MASTER'!$U$2:$U$495,(SUMPRODUCT((('CONTROL MASTER'!$S$2:$S$495=1)*('CONTROL MASTER'!$T$2:$T$495&lt;=1)*('CONTROL MASTER'!$V$2:$V$495&gt;=1)*('CONTROL MASTER'!$U$2:$U$495&lt;=2)*('CONTROL MASTER'!$W$2:$W$495&gt;=2))*ROW('CONTROL MASTER'!$S$2:$S$495))-(ROW('CONTROL MASTER'!#REF!)-1)))+1)+(2-INDEX('CONTROL MASTER'!$U$2:$U$495,(SUMPRODUCT((('CONTROL MASTER'!$S$2:$S$495=1)*('CONTROL MASTER'!$T$2:$T$495&lt;=1)*('CONTROL MASTER'!$V$2:$V$495&gt;=1)*('CONTROL MASTER'!$U$2:$U$495&lt;=2)*('CONTROL MASTER'!$W$2:$W$495&gt;=2))*ROW('CONTROL MASTER'!$S$2:$S$495))-(ROW('CONTROL MASTER'!#REF!)-1))))+1))-1)*50+1,50))&amp;"_"&amp;INDEX('CONTROL MASTER'!$P$2:$P$495,(SUMPRODUCT((('CONTROL MASTER'!$S$2:$S$495=1)*('CONTROL MASTER'!$T$2:$T$495&lt;=1)*('CONTROL MASTER'!$V$2:$V$495&gt;=1)*('CONTROL MASTER'!$U$2:$U$495&lt;=2)*('CONTROL MASTER'!$W$2:$W$495&gt;=2))*ROW('CONTROL MASTER'!$S$2:$S$495))-(ROW('CONTROL MASTER'!#REF!)-1))),IF(SUMPRODUCT((('CONTROL MASTER'!$S$2:$S$495=1)*('CONTROL MASTER'!$Z$2:$Z$495&lt;=1)*('CONTROL MASTER'!$AB$2:$AB$495&gt;=1)*('CONTROL MASTER'!$AA$2:$AA$495&lt;=2)*('CONTROL MASTER'!$AC$2:$AC$495&gt;=2))*ROW('CONTROL MASTER'!$S$2:$S$495))&gt;0,INDEX('CONTROL MASTER'!$X$2:$X$495,(SUMPRODUCT((('CONTROL MASTER'!$S$2:$S$495=1)*('CONTROL MASTER'!$Z$2:$Z$495&lt;=1)*('CONTROL MASTER'!$AB$2:$AB$495&gt;=1)*('CONTROL MASTER'!$AA$2:$AA$495&lt;=2)*('CONTROL MASTER'!$AC$2:$AC$495&gt;=2))*ROW('CONTROL MASTER'!$S$2:$S$495))-(ROW('CONTROL MASTER'!#REF!)-1)))&amp;TRIM(MID(SUBSTITUTE(SUBSTITUTE(INDEX('CONTROL MASTER'!$N$2:$N$495,(SUMPRODUCT((('CONTROL MASTER'!$S$2:$S$495=1)*('CONTROL MASTER'!$Z$2:$Z$495&lt;=1)*('CONTROL MASTER'!$AB$2:$AB$495&gt;=1)*('CONTROL MASTER'!$AA$2:$AA$495&lt;=2)*('CONTROL MASTER'!$AC$2:$AC$495&gt;=2))*ROW('CONTROL MASTER'!$S$2:$S$495))-(ROW('CONTROL MASTER'!#REF!)-1))),":",","),",",REPT(" ",50)),(((INDEX('CONTROL MASTER'!$Y$2:$Y$495,(SUMPRODUCT((('CONTROL MASTER'!$S$2:$S$495=1)*('CONTROL MASTER'!$Z$2:$Z$495&lt;=1)*('CONTROL MASTER'!$AB$2:$AB$495&gt;=1)*('CONTROL MASTER'!$AA$2:$AA$495&lt;=2)*('CONTROL MASTER'!$AC$2:$AC$495&gt;=2))*ROW('CONTROL MASTER'!$S$2:$S$495))-(ROW('CONTROL MASTER'!#REF!)-1)))+((1-INDEX('CONTROL MASTER'!$Z$2:$Z$495,(SUMPRODUCT((('CONTROL MASTER'!$S$2:$S$495=1)*('CONTROL MASTER'!$Z$2:$Z$495&lt;=1)*('CONTROL MASTER'!$AB$2:$AB$495&gt;=1)*('CONTROL MASTER'!$AA$2:$AA$495&lt;=2)*('CONTROL MASTER'!$AC$2:$AC$495&gt;=2))*ROW('CONTROL MASTER'!$S$2:$S$495))-(ROW('CONTROL MASTER'!#REF!)-1))))*(INDEX('CONTROL MASTER'!$AC$2:$AC$495,(SUMPRODUCT((('CONTROL MASTER'!$S$2:$S$495=1)*('CONTROL MASTER'!$Z$2:$Z$495&lt;=1)*('CONTROL MASTER'!$AB$2:$AB$495&gt;=1)*('CONTROL MASTER'!$AA$2:$AA$495&lt;=2)*('CONTROL MASTER'!$AC$2:$AC$495&gt;=2))*ROW('CONTROL MASTER'!$S$2:$S$495))-(ROW('CONTROL MASTER'!#REF!)-1)))-INDEX('CONTROL MASTER'!$AA$2:$AA$495,(SUMPRODUCT((('CONTROL MASTER'!$S$2:$S$495=1)*('CONTROL MASTER'!$Z$2:$Z$495&lt;=1)*('CONTROL MASTER'!$AB$2:$AB$495&gt;=1)*('CONTROL MASTER'!$AA$2:$AA$495&lt;=2)*('CONTROL MASTER'!$AC$2:$AC$495&gt;=2))*ROW('CONTROL MASTER'!$S$2:$S$495))-(ROW('CONTROL MASTER'!#REF!)-1)))+1)+(2-INDEX('CONTROL MASTER'!$AA$2:$AA$495,(SUMPRODUCT((('CONTROL MASTER'!$S$2:$S$495=1)*('CONTROL MASTER'!$Z$2:$Z$495&lt;=1)*('CONTROL MASTER'!$AB$2:$AB$495&gt;=1)*('CONTROL MASTER'!$AA$2:$AA$495&lt;=2)*('CONTROL MASTER'!$AC$2:$AC$495&gt;=2))*ROW('CONTROL MASTER'!$S$2:$S$495))-(ROW('CONTROL MASTER'!#REF!)-1))))+1)))-1)*50+1,50))&amp;"_"&amp;INDEX('CONTROL MASTER'!$P$2:$P$495,(SUMPRODUCT((('CONTROL MASTER'!$S$2:$S$495=1)*('CONTROL MASTER'!$Z$2:$Z$495&lt;=1)*('CONTROL MASTER'!$AB$2:$AB$495&gt;=1)*('CONTROL MASTER'!$AA$2:$AA$495&lt;=2)*('CONTROL MASTER'!$AC$2:$AC$495&gt;=2))*ROW('CONTROL MASTER'!$S$2:$S$495))-(ROW('CONTROL MASTER'!#REF!)-1))),"")),"")</f>
        <v/>
      </c>
      <c r="D3" s="10" t="str">
        <f>IFERROR(IF(SUMPRODUCT((('CONTROL MASTER'!$S$2:$S$495=1)*('CONTROL MASTER'!$T$2:$T$495&lt;=1)*('CONTROL MASTER'!$V$2:$V$495&gt;=1)*('CONTROL MASTER'!$U$2:$U$495&lt;=3)*('CONTROL MASTER'!$W$2:$W$495&gt;=3))*ROW('CONTROL MASTER'!$S$2:$S$495))&gt;0,INDEX('CONTROL MASTER'!$X$2:$X$495,(SUMPRODUCT((('CONTROL MASTER'!$S$2:$S$495=1)*('CONTROL MASTER'!$T$2:$T$495&lt;=1)*('CONTROL MASTER'!$V$2:$V$495&gt;=1)*('CONTROL MASTER'!$U$2:$U$495&lt;=3)*('CONTROL MASTER'!$W$2:$W$495&gt;=3))*ROW('CONTROL MASTER'!$S$2:$S$495))-(ROW('CONTROL MASTER'!#REF!)-1)))&amp;TRIM(MID(SUBSTITUTE(SUBSTITUTE(INDEX('CONTROL MASTER'!$N$2:$N$495,(SUMPRODUCT((('CONTROL MASTER'!$S$2:$S$495=1)*('CONTROL MASTER'!$T$2:$T$495&lt;=1)*('CONTROL MASTER'!$V$2:$V$495&gt;=1)*('CONTROL MASTER'!$U$2:$U$495&lt;=3)*('CONTROL MASTER'!$W$2:$W$495&gt;=3))*ROW('CONTROL MASTER'!$S$2:$S$495))-(ROW('CONTROL MASTER'!#REF!)-1))),":",","),",",REPT(" ",50)),((((1-INDEX('CONTROL MASTER'!$T$2:$T$495,(SUMPRODUCT((('CONTROL MASTER'!$S$2:$S$495=1)*('CONTROL MASTER'!$T$2:$T$495&lt;=1)*('CONTROL MASTER'!$V$2:$V$495&gt;=1)*('CONTROL MASTER'!$U$2:$U$495&lt;=3)*('CONTROL MASTER'!$W$2:$W$495&gt;=3))*ROW('CONTROL MASTER'!$S$2:$S$495))-(ROW('CONTROL MASTER'!#REF!)-1))))*(INDEX('CONTROL MASTER'!$W$2:$W$495,(SUMPRODUCT((('CONTROL MASTER'!$S$2:$S$495=1)*('CONTROL MASTER'!$T$2:$T$495&lt;=1)*('CONTROL MASTER'!$V$2:$V$495&gt;=1)*('CONTROL MASTER'!$U$2:$U$495&lt;=3)*('CONTROL MASTER'!$W$2:$W$495&gt;=3))*ROW('CONTROL MASTER'!$S$2:$S$495))-(ROW('CONTROL MASTER'!#REF!)-1)))-INDEX('CONTROL MASTER'!$U$2:$U$495,(SUMPRODUCT((('CONTROL MASTER'!$S$2:$S$495=1)*('CONTROL MASTER'!$T$2:$T$495&lt;=1)*('CONTROL MASTER'!$V$2:$V$495&gt;=1)*('CONTROL MASTER'!$U$2:$U$495&lt;=3)*('CONTROL MASTER'!$W$2:$W$495&gt;=3))*ROW('CONTROL MASTER'!$S$2:$S$495))-(ROW('CONTROL MASTER'!#REF!)-1)))+1)+(3-INDEX('CONTROL MASTER'!$U$2:$U$495,(SUMPRODUCT((('CONTROL MASTER'!$S$2:$S$495=1)*('CONTROL MASTER'!$T$2:$T$495&lt;=1)*('CONTROL MASTER'!$V$2:$V$495&gt;=1)*('CONTROL MASTER'!$U$2:$U$495&lt;=3)*('CONTROL MASTER'!$W$2:$W$495&gt;=3))*ROW('CONTROL MASTER'!$S$2:$S$495))-(ROW('CONTROL MASTER'!#REF!)-1))))+1))-1)*50+1,50))&amp;"_"&amp;INDEX('CONTROL MASTER'!$P$2:$P$495,(SUMPRODUCT((('CONTROL MASTER'!$S$2:$S$495=1)*('CONTROL MASTER'!$T$2:$T$495&lt;=1)*('CONTROL MASTER'!$V$2:$V$495&gt;=1)*('CONTROL MASTER'!$U$2:$U$495&lt;=3)*('CONTROL MASTER'!$W$2:$W$495&gt;=3))*ROW('CONTROL MASTER'!$S$2:$S$495))-(ROW('CONTROL MASTER'!#REF!)-1))),IF(SUMPRODUCT((('CONTROL MASTER'!$S$2:$S$495=1)*('CONTROL MASTER'!$Z$2:$Z$495&lt;=1)*('CONTROL MASTER'!$AB$2:$AB$495&gt;=1)*('CONTROL MASTER'!$AA$2:$AA$495&lt;=3)*('CONTROL MASTER'!$AC$2:$AC$495&gt;=3))*ROW('CONTROL MASTER'!$S$2:$S$495))&gt;0,INDEX('CONTROL MASTER'!$X$2:$X$495,(SUMPRODUCT((('CONTROL MASTER'!$S$2:$S$495=1)*('CONTROL MASTER'!$Z$2:$Z$495&lt;=1)*('CONTROL MASTER'!$AB$2:$AB$495&gt;=1)*('CONTROL MASTER'!$AA$2:$AA$495&lt;=3)*('CONTROL MASTER'!$AC$2:$AC$495&gt;=3))*ROW('CONTROL MASTER'!$S$2:$S$495))-(ROW('CONTROL MASTER'!#REF!)-1)))&amp;TRIM(MID(SUBSTITUTE(SUBSTITUTE(INDEX('CONTROL MASTER'!$N$2:$N$495,(SUMPRODUCT((('CONTROL MASTER'!$S$2:$S$495=1)*('CONTROL MASTER'!$Z$2:$Z$495&lt;=1)*('CONTROL MASTER'!$AB$2:$AB$495&gt;=1)*('CONTROL MASTER'!$AA$2:$AA$495&lt;=3)*('CONTROL MASTER'!$AC$2:$AC$495&gt;=3))*ROW('CONTROL MASTER'!$S$2:$S$495))-(ROW('CONTROL MASTER'!#REF!)-1))),":",","),",",REPT(" ",50)),(((INDEX('CONTROL MASTER'!$Y$2:$Y$495,(SUMPRODUCT((('CONTROL MASTER'!$S$2:$S$495=1)*('CONTROL MASTER'!$Z$2:$Z$495&lt;=1)*('CONTROL MASTER'!$AB$2:$AB$495&gt;=1)*('CONTROL MASTER'!$AA$2:$AA$495&lt;=3)*('CONTROL MASTER'!$AC$2:$AC$495&gt;=3))*ROW('CONTROL MASTER'!$S$2:$S$495))-(ROW('CONTROL MASTER'!#REF!)-1)))+((1-INDEX('CONTROL MASTER'!$Z$2:$Z$495,(SUMPRODUCT((('CONTROL MASTER'!$S$2:$S$495=1)*('CONTROL MASTER'!$Z$2:$Z$495&lt;=1)*('CONTROL MASTER'!$AB$2:$AB$495&gt;=1)*('CONTROL MASTER'!$AA$2:$AA$495&lt;=3)*('CONTROL MASTER'!$AC$2:$AC$495&gt;=3))*ROW('CONTROL MASTER'!$S$2:$S$495))-(ROW('CONTROL MASTER'!#REF!)-1))))*(INDEX('CONTROL MASTER'!$AC$2:$AC$495,(SUMPRODUCT((('CONTROL MASTER'!$S$2:$S$495=1)*('CONTROL MASTER'!$Z$2:$Z$495&lt;=1)*('CONTROL MASTER'!$AB$2:$AB$495&gt;=1)*('CONTROL MASTER'!$AA$2:$AA$495&lt;=3)*('CONTROL MASTER'!$AC$2:$AC$495&gt;=3))*ROW('CONTROL MASTER'!$S$2:$S$495))-(ROW('CONTROL MASTER'!#REF!)-1)))-INDEX('CONTROL MASTER'!$AA$2:$AA$495,(SUMPRODUCT((('CONTROL MASTER'!$S$2:$S$495=1)*('CONTROL MASTER'!$Z$2:$Z$495&lt;=1)*('CONTROL MASTER'!$AB$2:$AB$495&gt;=1)*('CONTROL MASTER'!$AA$2:$AA$495&lt;=3)*('CONTROL MASTER'!$AC$2:$AC$495&gt;=3))*ROW('CONTROL MASTER'!$S$2:$S$495))-(ROW('CONTROL MASTER'!#REF!)-1)))+1)+(3-INDEX('CONTROL MASTER'!$AA$2:$AA$495,(SUMPRODUCT((('CONTROL MASTER'!$S$2:$S$495=1)*('CONTROL MASTER'!$Z$2:$Z$495&lt;=1)*('CONTROL MASTER'!$AB$2:$AB$495&gt;=1)*('CONTROL MASTER'!$AA$2:$AA$495&lt;=3)*('CONTROL MASTER'!$AC$2:$AC$495&gt;=3))*ROW('CONTROL MASTER'!$S$2:$S$495))-(ROW('CONTROL MASTER'!#REF!)-1))))+1)))-1)*50+1,50))&amp;"_"&amp;INDEX('CONTROL MASTER'!$P$2:$P$495,(SUMPRODUCT((('CONTROL MASTER'!$S$2:$S$495=1)*('CONTROL MASTER'!$Z$2:$Z$495&lt;=1)*('CONTROL MASTER'!$AB$2:$AB$495&gt;=1)*('CONTROL MASTER'!$AA$2:$AA$495&lt;=3)*('CONTROL MASTER'!$AC$2:$AC$495&gt;=3))*ROW('CONTROL MASTER'!$S$2:$S$495))-(ROW('CONTROL MASTER'!#REF!)-1))),"")),"")</f>
        <v/>
      </c>
      <c r="E3" s="10" t="str">
        <f>IFERROR(IF(SUMPRODUCT((('CONTROL MASTER'!$S$2:$S$495=1)*('CONTROL MASTER'!$T$2:$T$495&lt;=1)*('CONTROL MASTER'!$V$2:$V$495&gt;=1)*('CONTROL MASTER'!$U$2:$U$495&lt;=4)*('CONTROL MASTER'!$W$2:$W$495&gt;=4))*ROW('CONTROL MASTER'!$S$2:$S$495))&gt;0,INDEX('CONTROL MASTER'!$X$2:$X$495,(SUMPRODUCT((('CONTROL MASTER'!$S$2:$S$495=1)*('CONTROL MASTER'!$T$2:$T$495&lt;=1)*('CONTROL MASTER'!$V$2:$V$495&gt;=1)*('CONTROL MASTER'!$U$2:$U$495&lt;=4)*('CONTROL MASTER'!$W$2:$W$495&gt;=4))*ROW('CONTROL MASTER'!$S$2:$S$495))-(ROW('CONTROL MASTER'!#REF!)-1)))&amp;TRIM(MID(SUBSTITUTE(SUBSTITUTE(INDEX('CONTROL MASTER'!$N$2:$N$495,(SUMPRODUCT((('CONTROL MASTER'!$S$2:$S$495=1)*('CONTROL MASTER'!$T$2:$T$495&lt;=1)*('CONTROL MASTER'!$V$2:$V$495&gt;=1)*('CONTROL MASTER'!$U$2:$U$495&lt;=4)*('CONTROL MASTER'!$W$2:$W$495&gt;=4))*ROW('CONTROL MASTER'!$S$2:$S$495))-(ROW('CONTROL MASTER'!#REF!)-1))),":",","),",",REPT(" ",50)),((((1-INDEX('CONTROL MASTER'!$T$2:$T$495,(SUMPRODUCT((('CONTROL MASTER'!$S$2:$S$495=1)*('CONTROL MASTER'!$T$2:$T$495&lt;=1)*('CONTROL MASTER'!$V$2:$V$495&gt;=1)*('CONTROL MASTER'!$U$2:$U$495&lt;=4)*('CONTROL MASTER'!$W$2:$W$495&gt;=4))*ROW('CONTROL MASTER'!$S$2:$S$495))-(ROW('CONTROL MASTER'!#REF!)-1))))*(INDEX('CONTROL MASTER'!$W$2:$W$495,(SUMPRODUCT((('CONTROL MASTER'!$S$2:$S$495=1)*('CONTROL MASTER'!$T$2:$T$495&lt;=1)*('CONTROL MASTER'!$V$2:$V$495&gt;=1)*('CONTROL MASTER'!$U$2:$U$495&lt;=4)*('CONTROL MASTER'!$W$2:$W$495&gt;=4))*ROW('CONTROL MASTER'!$S$2:$S$495))-(ROW('CONTROL MASTER'!#REF!)-1)))-INDEX('CONTROL MASTER'!$U$2:$U$495,(SUMPRODUCT((('CONTROL MASTER'!$S$2:$S$495=1)*('CONTROL MASTER'!$T$2:$T$495&lt;=1)*('CONTROL MASTER'!$V$2:$V$495&gt;=1)*('CONTROL MASTER'!$U$2:$U$495&lt;=4)*('CONTROL MASTER'!$W$2:$W$495&gt;=4))*ROW('CONTROL MASTER'!$S$2:$S$495))-(ROW('CONTROL MASTER'!#REF!)-1)))+1)+(4-INDEX('CONTROL MASTER'!$U$2:$U$495,(SUMPRODUCT((('CONTROL MASTER'!$S$2:$S$495=1)*('CONTROL MASTER'!$T$2:$T$495&lt;=1)*('CONTROL MASTER'!$V$2:$V$495&gt;=1)*('CONTROL MASTER'!$U$2:$U$495&lt;=4)*('CONTROL MASTER'!$W$2:$W$495&gt;=4))*ROW('CONTROL MASTER'!$S$2:$S$495))-(ROW('CONTROL MASTER'!#REF!)-1))))+1))-1)*50+1,50))&amp;"_"&amp;INDEX('CONTROL MASTER'!$P$2:$P$495,(SUMPRODUCT((('CONTROL MASTER'!$S$2:$S$495=1)*('CONTROL MASTER'!$T$2:$T$495&lt;=1)*('CONTROL MASTER'!$V$2:$V$495&gt;=1)*('CONTROL MASTER'!$U$2:$U$495&lt;=4)*('CONTROL MASTER'!$W$2:$W$495&gt;=4))*ROW('CONTROL MASTER'!$S$2:$S$495))-(ROW('CONTROL MASTER'!#REF!)-1))),IF(SUMPRODUCT((('CONTROL MASTER'!$S$2:$S$495=1)*('CONTROL MASTER'!$Z$2:$Z$495&lt;=1)*('CONTROL MASTER'!$AB$2:$AB$495&gt;=1)*('CONTROL MASTER'!$AA$2:$AA$495&lt;=4)*('CONTROL MASTER'!$AC$2:$AC$495&gt;=4))*ROW('CONTROL MASTER'!$S$2:$S$495))&gt;0,INDEX('CONTROL MASTER'!$X$2:$X$495,(SUMPRODUCT((('CONTROL MASTER'!$S$2:$S$495=1)*('CONTROL MASTER'!$Z$2:$Z$495&lt;=1)*('CONTROL MASTER'!$AB$2:$AB$495&gt;=1)*('CONTROL MASTER'!$AA$2:$AA$495&lt;=4)*('CONTROL MASTER'!$AC$2:$AC$495&gt;=4))*ROW('CONTROL MASTER'!$S$2:$S$495))-(ROW('CONTROL MASTER'!#REF!)-1)))&amp;TRIM(MID(SUBSTITUTE(SUBSTITUTE(INDEX('CONTROL MASTER'!$N$2:$N$495,(SUMPRODUCT((('CONTROL MASTER'!$S$2:$S$495=1)*('CONTROL MASTER'!$Z$2:$Z$495&lt;=1)*('CONTROL MASTER'!$AB$2:$AB$495&gt;=1)*('CONTROL MASTER'!$AA$2:$AA$495&lt;=4)*('CONTROL MASTER'!$AC$2:$AC$495&gt;=4))*ROW('CONTROL MASTER'!$S$2:$S$495))-(ROW('CONTROL MASTER'!#REF!)-1))),":",","),",",REPT(" ",50)),(((INDEX('CONTROL MASTER'!$Y$2:$Y$495,(SUMPRODUCT((('CONTROL MASTER'!$S$2:$S$495=1)*('CONTROL MASTER'!$Z$2:$Z$495&lt;=1)*('CONTROL MASTER'!$AB$2:$AB$495&gt;=1)*('CONTROL MASTER'!$AA$2:$AA$495&lt;=4)*('CONTROL MASTER'!$AC$2:$AC$495&gt;=4))*ROW('CONTROL MASTER'!$S$2:$S$495))-(ROW('CONTROL MASTER'!#REF!)-1)))+((1-INDEX('CONTROL MASTER'!$Z$2:$Z$495,(SUMPRODUCT((('CONTROL MASTER'!$S$2:$S$495=1)*('CONTROL MASTER'!$Z$2:$Z$495&lt;=1)*('CONTROL MASTER'!$AB$2:$AB$495&gt;=1)*('CONTROL MASTER'!$AA$2:$AA$495&lt;=4)*('CONTROL MASTER'!$AC$2:$AC$495&gt;=4))*ROW('CONTROL MASTER'!$S$2:$S$495))-(ROW('CONTROL MASTER'!#REF!)-1))))*(INDEX('CONTROL MASTER'!$AC$2:$AC$495,(SUMPRODUCT((('CONTROL MASTER'!$S$2:$S$495=1)*('CONTROL MASTER'!$Z$2:$Z$495&lt;=1)*('CONTROL MASTER'!$AB$2:$AB$495&gt;=1)*('CONTROL MASTER'!$AA$2:$AA$495&lt;=4)*('CONTROL MASTER'!$AC$2:$AC$495&gt;=4))*ROW('CONTROL MASTER'!$S$2:$S$495))-(ROW('CONTROL MASTER'!#REF!)-1)))-INDEX('CONTROL MASTER'!$AA$2:$AA$495,(SUMPRODUCT((('CONTROL MASTER'!$S$2:$S$495=1)*('CONTROL MASTER'!$Z$2:$Z$495&lt;=1)*('CONTROL MASTER'!$AB$2:$AB$495&gt;=1)*('CONTROL MASTER'!$AA$2:$AA$495&lt;=4)*('CONTROL MASTER'!$AC$2:$AC$495&gt;=4))*ROW('CONTROL MASTER'!$S$2:$S$495))-(ROW('CONTROL MASTER'!#REF!)-1)))+1)+(4-INDEX('CONTROL MASTER'!$AA$2:$AA$495,(SUMPRODUCT((('CONTROL MASTER'!$S$2:$S$495=1)*('CONTROL MASTER'!$Z$2:$Z$495&lt;=1)*('CONTROL MASTER'!$AB$2:$AB$495&gt;=1)*('CONTROL MASTER'!$AA$2:$AA$495&lt;=4)*('CONTROL MASTER'!$AC$2:$AC$495&gt;=4))*ROW('CONTROL MASTER'!$S$2:$S$495))-(ROW('CONTROL MASTER'!#REF!)-1))))+1)))-1)*50+1,50))&amp;"_"&amp;INDEX('CONTROL MASTER'!$P$2:$P$495,(SUMPRODUCT((('CONTROL MASTER'!$S$2:$S$495=1)*('CONTROL MASTER'!$Z$2:$Z$495&lt;=1)*('CONTROL MASTER'!$AB$2:$AB$495&gt;=1)*('CONTROL MASTER'!$AA$2:$AA$495&lt;=4)*('CONTROL MASTER'!$AC$2:$AC$495&gt;=4))*ROW('CONTROL MASTER'!$S$2:$S$495))-(ROW('CONTROL MASTER'!#REF!)-1))),"")),"")</f>
        <v/>
      </c>
      <c r="F3" s="10" t="str">
        <f>IFERROR(IF(SUMPRODUCT((('CONTROL MASTER'!$S$2:$S$495=1)*('CONTROL MASTER'!$T$2:$T$495&lt;=1)*('CONTROL MASTER'!$V$2:$V$495&gt;=1)*('CONTROL MASTER'!$U$2:$U$495&lt;=5)*('CONTROL MASTER'!$W$2:$W$495&gt;=5))*ROW('CONTROL MASTER'!$S$2:$S$495))&gt;0,INDEX('CONTROL MASTER'!$X$2:$X$495,(SUMPRODUCT((('CONTROL MASTER'!$S$2:$S$495=1)*('CONTROL MASTER'!$T$2:$T$495&lt;=1)*('CONTROL MASTER'!$V$2:$V$495&gt;=1)*('CONTROL MASTER'!$U$2:$U$495&lt;=5)*('CONTROL MASTER'!$W$2:$W$495&gt;=5))*ROW('CONTROL MASTER'!$S$2:$S$495))-(ROW('CONTROL MASTER'!#REF!)-1)))&amp;TRIM(MID(SUBSTITUTE(SUBSTITUTE(INDEX('CONTROL MASTER'!$N$2:$N$495,(SUMPRODUCT((('CONTROL MASTER'!$S$2:$S$495=1)*('CONTROL MASTER'!$T$2:$T$495&lt;=1)*('CONTROL MASTER'!$V$2:$V$495&gt;=1)*('CONTROL MASTER'!$U$2:$U$495&lt;=5)*('CONTROL MASTER'!$W$2:$W$495&gt;=5))*ROW('CONTROL MASTER'!$S$2:$S$495))-(ROW('CONTROL MASTER'!#REF!)-1))),":",","),",",REPT(" ",50)),((((1-INDEX('CONTROL MASTER'!$T$2:$T$495,(SUMPRODUCT((('CONTROL MASTER'!$S$2:$S$495=1)*('CONTROL MASTER'!$T$2:$T$495&lt;=1)*('CONTROL MASTER'!$V$2:$V$495&gt;=1)*('CONTROL MASTER'!$U$2:$U$495&lt;=5)*('CONTROL MASTER'!$W$2:$W$495&gt;=5))*ROW('CONTROL MASTER'!$S$2:$S$495))-(ROW('CONTROL MASTER'!#REF!)-1))))*(INDEX('CONTROL MASTER'!$W$2:$W$495,(SUMPRODUCT((('CONTROL MASTER'!$S$2:$S$495=1)*('CONTROL MASTER'!$T$2:$T$495&lt;=1)*('CONTROL MASTER'!$V$2:$V$495&gt;=1)*('CONTROL MASTER'!$U$2:$U$495&lt;=5)*('CONTROL MASTER'!$W$2:$W$495&gt;=5))*ROW('CONTROL MASTER'!$S$2:$S$495))-(ROW('CONTROL MASTER'!#REF!)-1)))-INDEX('CONTROL MASTER'!$U$2:$U$495,(SUMPRODUCT((('CONTROL MASTER'!$S$2:$S$495=1)*('CONTROL MASTER'!$T$2:$T$495&lt;=1)*('CONTROL MASTER'!$V$2:$V$495&gt;=1)*('CONTROL MASTER'!$U$2:$U$495&lt;=5)*('CONTROL MASTER'!$W$2:$W$495&gt;=5))*ROW('CONTROL MASTER'!$S$2:$S$495))-(ROW('CONTROL MASTER'!#REF!)-1)))+1)+(5-INDEX('CONTROL MASTER'!$U$2:$U$495,(SUMPRODUCT((('CONTROL MASTER'!$S$2:$S$495=1)*('CONTROL MASTER'!$T$2:$T$495&lt;=1)*('CONTROL MASTER'!$V$2:$V$495&gt;=1)*('CONTROL MASTER'!$U$2:$U$495&lt;=5)*('CONTROL MASTER'!$W$2:$W$495&gt;=5))*ROW('CONTROL MASTER'!$S$2:$S$495))-(ROW('CONTROL MASTER'!#REF!)-1))))+1))-1)*50+1,50))&amp;"_"&amp;INDEX('CONTROL MASTER'!$P$2:$P$495,(SUMPRODUCT((('CONTROL MASTER'!$S$2:$S$495=1)*('CONTROL MASTER'!$T$2:$T$495&lt;=1)*('CONTROL MASTER'!$V$2:$V$495&gt;=1)*('CONTROL MASTER'!$U$2:$U$495&lt;=5)*('CONTROL MASTER'!$W$2:$W$495&gt;=5))*ROW('CONTROL MASTER'!$S$2:$S$495))-(ROW('CONTROL MASTER'!#REF!)-1))),IF(SUMPRODUCT((('CONTROL MASTER'!$S$2:$S$495=1)*('CONTROL MASTER'!$Z$2:$Z$495&lt;=1)*('CONTROL MASTER'!$AB$2:$AB$495&gt;=1)*('CONTROL MASTER'!$AA$2:$AA$495&lt;=5)*('CONTROL MASTER'!$AC$2:$AC$495&gt;=5))*ROW('CONTROL MASTER'!$S$2:$S$495))&gt;0,INDEX('CONTROL MASTER'!$X$2:$X$495,(SUMPRODUCT((('CONTROL MASTER'!$S$2:$S$495=1)*('CONTROL MASTER'!$Z$2:$Z$495&lt;=1)*('CONTROL MASTER'!$AB$2:$AB$495&gt;=1)*('CONTROL MASTER'!$AA$2:$AA$495&lt;=5)*('CONTROL MASTER'!$AC$2:$AC$495&gt;=5))*ROW('CONTROL MASTER'!$S$2:$S$495))-(ROW('CONTROL MASTER'!#REF!)-1)))&amp;TRIM(MID(SUBSTITUTE(SUBSTITUTE(INDEX('CONTROL MASTER'!$N$2:$N$495,(SUMPRODUCT((('CONTROL MASTER'!$S$2:$S$495=1)*('CONTROL MASTER'!$Z$2:$Z$495&lt;=1)*('CONTROL MASTER'!$AB$2:$AB$495&gt;=1)*('CONTROL MASTER'!$AA$2:$AA$495&lt;=5)*('CONTROL MASTER'!$AC$2:$AC$495&gt;=5))*ROW('CONTROL MASTER'!$S$2:$S$495))-(ROW('CONTROL MASTER'!#REF!)-1))),":",","),",",REPT(" ",50)),(((INDEX('CONTROL MASTER'!$Y$2:$Y$495,(SUMPRODUCT((('CONTROL MASTER'!$S$2:$S$495=1)*('CONTROL MASTER'!$Z$2:$Z$495&lt;=1)*('CONTROL MASTER'!$AB$2:$AB$495&gt;=1)*('CONTROL MASTER'!$AA$2:$AA$495&lt;=5)*('CONTROL MASTER'!$AC$2:$AC$495&gt;=5))*ROW('CONTROL MASTER'!$S$2:$S$495))-(ROW('CONTROL MASTER'!#REF!)-1)))+((1-INDEX('CONTROL MASTER'!$Z$2:$Z$495,(SUMPRODUCT((('CONTROL MASTER'!$S$2:$S$495=1)*('CONTROL MASTER'!$Z$2:$Z$495&lt;=1)*('CONTROL MASTER'!$AB$2:$AB$495&gt;=1)*('CONTROL MASTER'!$AA$2:$AA$495&lt;=5)*('CONTROL MASTER'!$AC$2:$AC$495&gt;=5))*ROW('CONTROL MASTER'!$S$2:$S$495))-(ROW('CONTROL MASTER'!#REF!)-1))))*(INDEX('CONTROL MASTER'!$AC$2:$AC$495,(SUMPRODUCT((('CONTROL MASTER'!$S$2:$S$495=1)*('CONTROL MASTER'!$Z$2:$Z$495&lt;=1)*('CONTROL MASTER'!$AB$2:$AB$495&gt;=1)*('CONTROL MASTER'!$AA$2:$AA$495&lt;=5)*('CONTROL MASTER'!$AC$2:$AC$495&gt;=5))*ROW('CONTROL MASTER'!$S$2:$S$495))-(ROW('CONTROL MASTER'!#REF!)-1)))-INDEX('CONTROL MASTER'!$AA$2:$AA$495,(SUMPRODUCT((('CONTROL MASTER'!$S$2:$S$495=1)*('CONTROL MASTER'!$Z$2:$Z$495&lt;=1)*('CONTROL MASTER'!$AB$2:$AB$495&gt;=1)*('CONTROL MASTER'!$AA$2:$AA$495&lt;=5)*('CONTROL MASTER'!$AC$2:$AC$495&gt;=5))*ROW('CONTROL MASTER'!$S$2:$S$495))-(ROW('CONTROL MASTER'!#REF!)-1)))+1)+(5-INDEX('CONTROL MASTER'!$AA$2:$AA$495,(SUMPRODUCT((('CONTROL MASTER'!$S$2:$S$495=1)*('CONTROL MASTER'!$Z$2:$Z$495&lt;=1)*('CONTROL MASTER'!$AB$2:$AB$495&gt;=1)*('CONTROL MASTER'!$AA$2:$AA$495&lt;=5)*('CONTROL MASTER'!$AC$2:$AC$495&gt;=5))*ROW('CONTROL MASTER'!$S$2:$S$495))-(ROW('CONTROL MASTER'!#REF!)-1))))+1)))-1)*50+1,50))&amp;"_"&amp;INDEX('CONTROL MASTER'!$P$2:$P$495,(SUMPRODUCT((('CONTROL MASTER'!$S$2:$S$495=1)*('CONTROL MASTER'!$Z$2:$Z$495&lt;=1)*('CONTROL MASTER'!$AB$2:$AB$495&gt;=1)*('CONTROL MASTER'!$AA$2:$AA$495&lt;=5)*('CONTROL MASTER'!$AC$2:$AC$495&gt;=5))*ROW('CONTROL MASTER'!$S$2:$S$495))-(ROW('CONTROL MASTER'!#REF!)-1))),"")),"")</f>
        <v/>
      </c>
      <c r="G3" s="10" t="str">
        <f>IFERROR(IF(SUMPRODUCT((('CONTROL MASTER'!$S$2:$S$495=1)*('CONTROL MASTER'!$T$2:$T$495&lt;=1)*('CONTROL MASTER'!$V$2:$V$495&gt;=1)*('CONTROL MASTER'!$U$2:$U$495&lt;=6)*('CONTROL MASTER'!$W$2:$W$495&gt;=6))*ROW('CONTROL MASTER'!$S$2:$S$495))&gt;0,INDEX('CONTROL MASTER'!$X$2:$X$495,(SUMPRODUCT((('CONTROL MASTER'!$S$2:$S$495=1)*('CONTROL MASTER'!$T$2:$T$495&lt;=1)*('CONTROL MASTER'!$V$2:$V$495&gt;=1)*('CONTROL MASTER'!$U$2:$U$495&lt;=6)*('CONTROL MASTER'!$W$2:$W$495&gt;=6))*ROW('CONTROL MASTER'!$S$2:$S$495))-(ROW('CONTROL MASTER'!#REF!)-1)))&amp;TRIM(MID(SUBSTITUTE(SUBSTITUTE(INDEX('CONTROL MASTER'!$N$2:$N$495,(SUMPRODUCT((('CONTROL MASTER'!$S$2:$S$495=1)*('CONTROL MASTER'!$T$2:$T$495&lt;=1)*('CONTROL MASTER'!$V$2:$V$495&gt;=1)*('CONTROL MASTER'!$U$2:$U$495&lt;=6)*('CONTROL MASTER'!$W$2:$W$495&gt;=6))*ROW('CONTROL MASTER'!$S$2:$S$495))-(ROW('CONTROL MASTER'!#REF!)-1))),":",","),",",REPT(" ",50)),((((1-INDEX('CONTROL MASTER'!$T$2:$T$495,(SUMPRODUCT((('CONTROL MASTER'!$S$2:$S$495=1)*('CONTROL MASTER'!$T$2:$T$495&lt;=1)*('CONTROL MASTER'!$V$2:$V$495&gt;=1)*('CONTROL MASTER'!$U$2:$U$495&lt;=6)*('CONTROL MASTER'!$W$2:$W$495&gt;=6))*ROW('CONTROL MASTER'!$S$2:$S$495))-(ROW('CONTROL MASTER'!#REF!)-1))))*(INDEX('CONTROL MASTER'!$W$2:$W$495,(SUMPRODUCT((('CONTROL MASTER'!$S$2:$S$495=1)*('CONTROL MASTER'!$T$2:$T$495&lt;=1)*('CONTROL MASTER'!$V$2:$V$495&gt;=1)*('CONTROL MASTER'!$U$2:$U$495&lt;=6)*('CONTROL MASTER'!$W$2:$W$495&gt;=6))*ROW('CONTROL MASTER'!$S$2:$S$495))-(ROW('CONTROL MASTER'!#REF!)-1)))-INDEX('CONTROL MASTER'!$U$2:$U$495,(SUMPRODUCT((('CONTROL MASTER'!$S$2:$S$495=1)*('CONTROL MASTER'!$T$2:$T$495&lt;=1)*('CONTROL MASTER'!$V$2:$V$495&gt;=1)*('CONTROL MASTER'!$U$2:$U$495&lt;=6)*('CONTROL MASTER'!$W$2:$W$495&gt;=6))*ROW('CONTROL MASTER'!$S$2:$S$495))-(ROW('CONTROL MASTER'!#REF!)-1)))+1)+(6-INDEX('CONTROL MASTER'!$U$2:$U$495,(SUMPRODUCT((('CONTROL MASTER'!$S$2:$S$495=1)*('CONTROL MASTER'!$T$2:$T$495&lt;=1)*('CONTROL MASTER'!$V$2:$V$495&gt;=1)*('CONTROL MASTER'!$U$2:$U$495&lt;=6)*('CONTROL MASTER'!$W$2:$W$495&gt;=6))*ROW('CONTROL MASTER'!$S$2:$S$495))-(ROW('CONTROL MASTER'!#REF!)-1))))+1))-1)*50+1,50))&amp;"_"&amp;INDEX('CONTROL MASTER'!$P$2:$P$495,(SUMPRODUCT((('CONTROL MASTER'!$S$2:$S$495=1)*('CONTROL MASTER'!$T$2:$T$495&lt;=1)*('CONTROL MASTER'!$V$2:$V$495&gt;=1)*('CONTROL MASTER'!$U$2:$U$495&lt;=6)*('CONTROL MASTER'!$W$2:$W$495&gt;=6))*ROW('CONTROL MASTER'!$S$2:$S$495))-(ROW('CONTROL MASTER'!#REF!)-1))),IF(SUMPRODUCT((('CONTROL MASTER'!$S$2:$S$495=1)*('CONTROL MASTER'!$Z$2:$Z$495&lt;=1)*('CONTROL MASTER'!$AB$2:$AB$495&gt;=1)*('CONTROL MASTER'!$AA$2:$AA$495&lt;=6)*('CONTROL MASTER'!$AC$2:$AC$495&gt;=6))*ROW('CONTROL MASTER'!$S$2:$S$495))&gt;0,INDEX('CONTROL MASTER'!$X$2:$X$495,(SUMPRODUCT((('CONTROL MASTER'!$S$2:$S$495=1)*('CONTROL MASTER'!$Z$2:$Z$495&lt;=1)*('CONTROL MASTER'!$AB$2:$AB$495&gt;=1)*('CONTROL MASTER'!$AA$2:$AA$495&lt;=6)*('CONTROL MASTER'!$AC$2:$AC$495&gt;=6))*ROW('CONTROL MASTER'!$S$2:$S$495))-(ROW('CONTROL MASTER'!#REF!)-1)))&amp;TRIM(MID(SUBSTITUTE(SUBSTITUTE(INDEX('CONTROL MASTER'!$N$2:$N$495,(SUMPRODUCT((('CONTROL MASTER'!$S$2:$S$495=1)*('CONTROL MASTER'!$Z$2:$Z$495&lt;=1)*('CONTROL MASTER'!$AB$2:$AB$495&gt;=1)*('CONTROL MASTER'!$AA$2:$AA$495&lt;=6)*('CONTROL MASTER'!$AC$2:$AC$495&gt;=6))*ROW('CONTROL MASTER'!$S$2:$S$495))-(ROW('CONTROL MASTER'!#REF!)-1))),":",","),",",REPT(" ",50)),(((INDEX('CONTROL MASTER'!$Y$2:$Y$495,(SUMPRODUCT((('CONTROL MASTER'!$S$2:$S$495=1)*('CONTROL MASTER'!$Z$2:$Z$495&lt;=1)*('CONTROL MASTER'!$AB$2:$AB$495&gt;=1)*('CONTROL MASTER'!$AA$2:$AA$495&lt;=6)*('CONTROL MASTER'!$AC$2:$AC$495&gt;=6))*ROW('CONTROL MASTER'!$S$2:$S$495))-(ROW('CONTROL MASTER'!#REF!)-1)))+((1-INDEX('CONTROL MASTER'!$Z$2:$Z$495,(SUMPRODUCT((('CONTROL MASTER'!$S$2:$S$495=1)*('CONTROL MASTER'!$Z$2:$Z$495&lt;=1)*('CONTROL MASTER'!$AB$2:$AB$495&gt;=1)*('CONTROL MASTER'!$AA$2:$AA$495&lt;=6)*('CONTROL MASTER'!$AC$2:$AC$495&gt;=6))*ROW('CONTROL MASTER'!$S$2:$S$495))-(ROW('CONTROL MASTER'!#REF!)-1))))*(INDEX('CONTROL MASTER'!$AC$2:$AC$495,(SUMPRODUCT((('CONTROL MASTER'!$S$2:$S$495=1)*('CONTROL MASTER'!$Z$2:$Z$495&lt;=1)*('CONTROL MASTER'!$AB$2:$AB$495&gt;=1)*('CONTROL MASTER'!$AA$2:$AA$495&lt;=6)*('CONTROL MASTER'!$AC$2:$AC$495&gt;=6))*ROW('CONTROL MASTER'!$S$2:$S$495))-(ROW('CONTROL MASTER'!#REF!)-1)))-INDEX('CONTROL MASTER'!$AA$2:$AA$495,(SUMPRODUCT((('CONTROL MASTER'!$S$2:$S$495=1)*('CONTROL MASTER'!$Z$2:$Z$495&lt;=1)*('CONTROL MASTER'!$AB$2:$AB$495&gt;=1)*('CONTROL MASTER'!$AA$2:$AA$495&lt;=6)*('CONTROL MASTER'!$AC$2:$AC$495&gt;=6))*ROW('CONTROL MASTER'!$S$2:$S$495))-(ROW('CONTROL MASTER'!#REF!)-1)))+1)+(6-INDEX('CONTROL MASTER'!$AA$2:$AA$495,(SUMPRODUCT((('CONTROL MASTER'!$S$2:$S$495=1)*('CONTROL MASTER'!$Z$2:$Z$495&lt;=1)*('CONTROL MASTER'!$AB$2:$AB$495&gt;=1)*('CONTROL MASTER'!$AA$2:$AA$495&lt;=6)*('CONTROL MASTER'!$AC$2:$AC$495&gt;=6))*ROW('CONTROL MASTER'!$S$2:$S$495))-(ROW('CONTROL MASTER'!#REF!)-1))))+1)))-1)*50+1,50))&amp;"_"&amp;INDEX('CONTROL MASTER'!$P$2:$P$495,(SUMPRODUCT((('CONTROL MASTER'!$S$2:$S$495=1)*('CONTROL MASTER'!$Z$2:$Z$495&lt;=1)*('CONTROL MASTER'!$AB$2:$AB$495&gt;=1)*('CONTROL MASTER'!$AA$2:$AA$495&lt;=6)*('CONTROL MASTER'!$AC$2:$AC$495&gt;=6))*ROW('CONTROL MASTER'!$S$2:$S$495))-(ROW('CONTROL MASTER'!#REF!)-1))),"")),"")</f>
        <v/>
      </c>
      <c r="H3" s="10" t="str">
        <f>IFERROR(IF(SUMPRODUCT((('CONTROL MASTER'!$S$2:$S$495=1)*('CONTROL MASTER'!$T$2:$T$495&lt;=1)*('CONTROL MASTER'!$V$2:$V$495&gt;=1)*('CONTROL MASTER'!$U$2:$U$495&lt;=7)*('CONTROL MASTER'!$W$2:$W$495&gt;=7))*ROW('CONTROL MASTER'!$S$2:$S$495))&gt;0,INDEX('CONTROL MASTER'!$X$2:$X$495,(SUMPRODUCT((('CONTROL MASTER'!$S$2:$S$495=1)*('CONTROL MASTER'!$T$2:$T$495&lt;=1)*('CONTROL MASTER'!$V$2:$V$495&gt;=1)*('CONTROL MASTER'!$U$2:$U$495&lt;=7)*('CONTROL MASTER'!$W$2:$W$495&gt;=7))*ROW('CONTROL MASTER'!$S$2:$S$495))-(ROW('CONTROL MASTER'!#REF!)-1)))&amp;TRIM(MID(SUBSTITUTE(SUBSTITUTE(INDEX('CONTROL MASTER'!$N$2:$N$495,(SUMPRODUCT((('CONTROL MASTER'!$S$2:$S$495=1)*('CONTROL MASTER'!$T$2:$T$495&lt;=1)*('CONTROL MASTER'!$V$2:$V$495&gt;=1)*('CONTROL MASTER'!$U$2:$U$495&lt;=7)*('CONTROL MASTER'!$W$2:$W$495&gt;=7))*ROW('CONTROL MASTER'!$S$2:$S$495))-(ROW('CONTROL MASTER'!#REF!)-1))),":",","),",",REPT(" ",50)),((((1-INDEX('CONTROL MASTER'!$T$2:$T$495,(SUMPRODUCT((('CONTROL MASTER'!$S$2:$S$495=1)*('CONTROL MASTER'!$T$2:$T$495&lt;=1)*('CONTROL MASTER'!$V$2:$V$495&gt;=1)*('CONTROL MASTER'!$U$2:$U$495&lt;=7)*('CONTROL MASTER'!$W$2:$W$495&gt;=7))*ROW('CONTROL MASTER'!$S$2:$S$495))-(ROW('CONTROL MASTER'!#REF!)-1))))*(INDEX('CONTROL MASTER'!$W$2:$W$495,(SUMPRODUCT((('CONTROL MASTER'!$S$2:$S$495=1)*('CONTROL MASTER'!$T$2:$T$495&lt;=1)*('CONTROL MASTER'!$V$2:$V$495&gt;=1)*('CONTROL MASTER'!$U$2:$U$495&lt;=7)*('CONTROL MASTER'!$W$2:$W$495&gt;=7))*ROW('CONTROL MASTER'!$S$2:$S$495))-(ROW('CONTROL MASTER'!#REF!)-1)))-INDEX('CONTROL MASTER'!$U$2:$U$495,(SUMPRODUCT((('CONTROL MASTER'!$S$2:$S$495=1)*('CONTROL MASTER'!$T$2:$T$495&lt;=1)*('CONTROL MASTER'!$V$2:$V$495&gt;=1)*('CONTROL MASTER'!$U$2:$U$495&lt;=7)*('CONTROL MASTER'!$W$2:$W$495&gt;=7))*ROW('CONTROL MASTER'!$S$2:$S$495))-(ROW('CONTROL MASTER'!#REF!)-1)))+1)+(7-INDEX('CONTROL MASTER'!$U$2:$U$495,(SUMPRODUCT((('CONTROL MASTER'!$S$2:$S$495=1)*('CONTROL MASTER'!$T$2:$T$495&lt;=1)*('CONTROL MASTER'!$V$2:$V$495&gt;=1)*('CONTROL MASTER'!$U$2:$U$495&lt;=7)*('CONTROL MASTER'!$W$2:$W$495&gt;=7))*ROW('CONTROL MASTER'!$S$2:$S$495))-(ROW('CONTROL MASTER'!#REF!)-1))))+1))-1)*50+1,50))&amp;"_"&amp;INDEX('CONTROL MASTER'!$P$2:$P$495,(SUMPRODUCT((('CONTROL MASTER'!$S$2:$S$495=1)*('CONTROL MASTER'!$T$2:$T$495&lt;=1)*('CONTROL MASTER'!$V$2:$V$495&gt;=1)*('CONTROL MASTER'!$U$2:$U$495&lt;=7)*('CONTROL MASTER'!$W$2:$W$495&gt;=7))*ROW('CONTROL MASTER'!$S$2:$S$495))-(ROW('CONTROL MASTER'!#REF!)-1))),IF(SUMPRODUCT((('CONTROL MASTER'!$S$2:$S$495=1)*('CONTROL MASTER'!$Z$2:$Z$495&lt;=1)*('CONTROL MASTER'!$AB$2:$AB$495&gt;=1)*('CONTROL MASTER'!$AA$2:$AA$495&lt;=7)*('CONTROL MASTER'!$AC$2:$AC$495&gt;=7))*ROW('CONTROL MASTER'!$S$2:$S$495))&gt;0,INDEX('CONTROL MASTER'!$X$2:$X$495,(SUMPRODUCT((('CONTROL MASTER'!$S$2:$S$495=1)*('CONTROL MASTER'!$Z$2:$Z$495&lt;=1)*('CONTROL MASTER'!$AB$2:$AB$495&gt;=1)*('CONTROL MASTER'!$AA$2:$AA$495&lt;=7)*('CONTROL MASTER'!$AC$2:$AC$495&gt;=7))*ROW('CONTROL MASTER'!$S$2:$S$495))-(ROW('CONTROL MASTER'!#REF!)-1)))&amp;TRIM(MID(SUBSTITUTE(SUBSTITUTE(INDEX('CONTROL MASTER'!$N$2:$N$495,(SUMPRODUCT((('CONTROL MASTER'!$S$2:$S$495=1)*('CONTROL MASTER'!$Z$2:$Z$495&lt;=1)*('CONTROL MASTER'!$AB$2:$AB$495&gt;=1)*('CONTROL MASTER'!$AA$2:$AA$495&lt;=7)*('CONTROL MASTER'!$AC$2:$AC$495&gt;=7))*ROW('CONTROL MASTER'!$S$2:$S$495))-(ROW('CONTROL MASTER'!#REF!)-1))),":",","),",",REPT(" ",50)),(((INDEX('CONTROL MASTER'!$Y$2:$Y$495,(SUMPRODUCT((('CONTROL MASTER'!$S$2:$S$495=1)*('CONTROL MASTER'!$Z$2:$Z$495&lt;=1)*('CONTROL MASTER'!$AB$2:$AB$495&gt;=1)*('CONTROL MASTER'!$AA$2:$AA$495&lt;=7)*('CONTROL MASTER'!$AC$2:$AC$495&gt;=7))*ROW('CONTROL MASTER'!$S$2:$S$495))-(ROW('CONTROL MASTER'!#REF!)-1)))+((1-INDEX('CONTROL MASTER'!$Z$2:$Z$495,(SUMPRODUCT((('CONTROL MASTER'!$S$2:$S$495=1)*('CONTROL MASTER'!$Z$2:$Z$495&lt;=1)*('CONTROL MASTER'!$AB$2:$AB$495&gt;=1)*('CONTROL MASTER'!$AA$2:$AA$495&lt;=7)*('CONTROL MASTER'!$AC$2:$AC$495&gt;=7))*ROW('CONTROL MASTER'!$S$2:$S$495))-(ROW('CONTROL MASTER'!#REF!)-1))))*(INDEX('CONTROL MASTER'!$AC$2:$AC$495,(SUMPRODUCT((('CONTROL MASTER'!$S$2:$S$495=1)*('CONTROL MASTER'!$Z$2:$Z$495&lt;=1)*('CONTROL MASTER'!$AB$2:$AB$495&gt;=1)*('CONTROL MASTER'!$AA$2:$AA$495&lt;=7)*('CONTROL MASTER'!$AC$2:$AC$495&gt;=7))*ROW('CONTROL MASTER'!$S$2:$S$495))-(ROW('CONTROL MASTER'!#REF!)-1)))-INDEX('CONTROL MASTER'!$AA$2:$AA$495,(SUMPRODUCT((('CONTROL MASTER'!$S$2:$S$495=1)*('CONTROL MASTER'!$Z$2:$Z$495&lt;=1)*('CONTROL MASTER'!$AB$2:$AB$495&gt;=1)*('CONTROL MASTER'!$AA$2:$AA$495&lt;=7)*('CONTROL MASTER'!$AC$2:$AC$495&gt;=7))*ROW('CONTROL MASTER'!$S$2:$S$495))-(ROW('CONTROL MASTER'!#REF!)-1)))+1)+(7-INDEX('CONTROL MASTER'!$AA$2:$AA$495,(SUMPRODUCT((('CONTROL MASTER'!$S$2:$S$495=1)*('CONTROL MASTER'!$Z$2:$Z$495&lt;=1)*('CONTROL MASTER'!$AB$2:$AB$495&gt;=1)*('CONTROL MASTER'!$AA$2:$AA$495&lt;=7)*('CONTROL MASTER'!$AC$2:$AC$495&gt;=7))*ROW('CONTROL MASTER'!$S$2:$S$495))-(ROW('CONTROL MASTER'!#REF!)-1))))+1)))-1)*50+1,50))&amp;"_"&amp;INDEX('CONTROL MASTER'!$P$2:$P$495,(SUMPRODUCT((('CONTROL MASTER'!$S$2:$S$495=1)*('CONTROL MASTER'!$Z$2:$Z$495&lt;=1)*('CONTROL MASTER'!$AB$2:$AB$495&gt;=1)*('CONTROL MASTER'!$AA$2:$AA$495&lt;=7)*('CONTROL MASTER'!$AC$2:$AC$495&gt;=7))*ROW('CONTROL MASTER'!$S$2:$S$495))-(ROW('CONTROL MASTER'!#REF!)-1))),"")),"")</f>
        <v/>
      </c>
      <c r="I3" s="10" t="str">
        <f>IFERROR(IF(SUMPRODUCT((('CONTROL MASTER'!$S$2:$S$495=1)*('CONTROL MASTER'!$T$2:$T$495&lt;=1)*('CONTROL MASTER'!$V$2:$V$495&gt;=1)*('CONTROL MASTER'!$U$2:$U$495&lt;=8)*('CONTROL MASTER'!$W$2:$W$495&gt;=8))*ROW('CONTROL MASTER'!$S$2:$S$495))&gt;0,INDEX('CONTROL MASTER'!$X$2:$X$495,(SUMPRODUCT((('CONTROL MASTER'!$S$2:$S$495=1)*('CONTROL MASTER'!$T$2:$T$495&lt;=1)*('CONTROL MASTER'!$V$2:$V$495&gt;=1)*('CONTROL MASTER'!$U$2:$U$495&lt;=8)*('CONTROL MASTER'!$W$2:$W$495&gt;=8))*ROW('CONTROL MASTER'!$S$2:$S$495))-(ROW('CONTROL MASTER'!#REF!)-1)))&amp;TRIM(MID(SUBSTITUTE(SUBSTITUTE(INDEX('CONTROL MASTER'!$N$2:$N$495,(SUMPRODUCT((('CONTROL MASTER'!$S$2:$S$495=1)*('CONTROL MASTER'!$T$2:$T$495&lt;=1)*('CONTROL MASTER'!$V$2:$V$495&gt;=1)*('CONTROL MASTER'!$U$2:$U$495&lt;=8)*('CONTROL MASTER'!$W$2:$W$495&gt;=8))*ROW('CONTROL MASTER'!$S$2:$S$495))-(ROW('CONTROL MASTER'!#REF!)-1))),":",","),",",REPT(" ",50)),((((1-INDEX('CONTROL MASTER'!$T$2:$T$495,(SUMPRODUCT((('CONTROL MASTER'!$S$2:$S$495=1)*('CONTROL MASTER'!$T$2:$T$495&lt;=1)*('CONTROL MASTER'!$V$2:$V$495&gt;=1)*('CONTROL MASTER'!$U$2:$U$495&lt;=8)*('CONTROL MASTER'!$W$2:$W$495&gt;=8))*ROW('CONTROL MASTER'!$S$2:$S$495))-(ROW('CONTROL MASTER'!#REF!)-1))))*(INDEX('CONTROL MASTER'!$W$2:$W$495,(SUMPRODUCT((('CONTROL MASTER'!$S$2:$S$495=1)*('CONTROL MASTER'!$T$2:$T$495&lt;=1)*('CONTROL MASTER'!$V$2:$V$495&gt;=1)*('CONTROL MASTER'!$U$2:$U$495&lt;=8)*('CONTROL MASTER'!$W$2:$W$495&gt;=8))*ROW('CONTROL MASTER'!$S$2:$S$495))-(ROW('CONTROL MASTER'!#REF!)-1)))-INDEX('CONTROL MASTER'!$U$2:$U$495,(SUMPRODUCT((('CONTROL MASTER'!$S$2:$S$495=1)*('CONTROL MASTER'!$T$2:$T$495&lt;=1)*('CONTROL MASTER'!$V$2:$V$495&gt;=1)*('CONTROL MASTER'!$U$2:$U$495&lt;=8)*('CONTROL MASTER'!$W$2:$W$495&gt;=8))*ROW('CONTROL MASTER'!$S$2:$S$495))-(ROW('CONTROL MASTER'!#REF!)-1)))+1)+(8-INDEX('CONTROL MASTER'!$U$2:$U$495,(SUMPRODUCT((('CONTROL MASTER'!$S$2:$S$495=1)*('CONTROL MASTER'!$T$2:$T$495&lt;=1)*('CONTROL MASTER'!$V$2:$V$495&gt;=1)*('CONTROL MASTER'!$U$2:$U$495&lt;=8)*('CONTROL MASTER'!$W$2:$W$495&gt;=8))*ROW('CONTROL MASTER'!$S$2:$S$495))-(ROW('CONTROL MASTER'!#REF!)-1))))+1))-1)*50+1,50))&amp;"_"&amp;INDEX('CONTROL MASTER'!$P$2:$P$495,(SUMPRODUCT((('CONTROL MASTER'!$S$2:$S$495=1)*('CONTROL MASTER'!$T$2:$T$495&lt;=1)*('CONTROL MASTER'!$V$2:$V$495&gt;=1)*('CONTROL MASTER'!$U$2:$U$495&lt;=8)*('CONTROL MASTER'!$W$2:$W$495&gt;=8))*ROW('CONTROL MASTER'!$S$2:$S$495))-(ROW('CONTROL MASTER'!#REF!)-1))),IF(SUMPRODUCT((('CONTROL MASTER'!$S$2:$S$495=1)*('CONTROL MASTER'!$Z$2:$Z$495&lt;=1)*('CONTROL MASTER'!$AB$2:$AB$495&gt;=1)*('CONTROL MASTER'!$AA$2:$AA$495&lt;=8)*('CONTROL MASTER'!$AC$2:$AC$495&gt;=8))*ROW('CONTROL MASTER'!$S$2:$S$495))&gt;0,INDEX('CONTROL MASTER'!$X$2:$X$495,(SUMPRODUCT((('CONTROL MASTER'!$S$2:$S$495=1)*('CONTROL MASTER'!$Z$2:$Z$495&lt;=1)*('CONTROL MASTER'!$AB$2:$AB$495&gt;=1)*('CONTROL MASTER'!$AA$2:$AA$495&lt;=8)*('CONTROL MASTER'!$AC$2:$AC$495&gt;=8))*ROW('CONTROL MASTER'!$S$2:$S$495))-(ROW('CONTROL MASTER'!#REF!)-1)))&amp;TRIM(MID(SUBSTITUTE(SUBSTITUTE(INDEX('CONTROL MASTER'!$N$2:$N$495,(SUMPRODUCT((('CONTROL MASTER'!$S$2:$S$495=1)*('CONTROL MASTER'!$Z$2:$Z$495&lt;=1)*('CONTROL MASTER'!$AB$2:$AB$495&gt;=1)*('CONTROL MASTER'!$AA$2:$AA$495&lt;=8)*('CONTROL MASTER'!$AC$2:$AC$495&gt;=8))*ROW('CONTROL MASTER'!$S$2:$S$495))-(ROW('CONTROL MASTER'!#REF!)-1))),":",","),",",REPT(" ",50)),(((INDEX('CONTROL MASTER'!$Y$2:$Y$495,(SUMPRODUCT((('CONTROL MASTER'!$S$2:$S$495=1)*('CONTROL MASTER'!$Z$2:$Z$495&lt;=1)*('CONTROL MASTER'!$AB$2:$AB$495&gt;=1)*('CONTROL MASTER'!$AA$2:$AA$495&lt;=8)*('CONTROL MASTER'!$AC$2:$AC$495&gt;=8))*ROW('CONTROL MASTER'!$S$2:$S$495))-(ROW('CONTROL MASTER'!#REF!)-1)))+((1-INDEX('CONTROL MASTER'!$Z$2:$Z$495,(SUMPRODUCT((('CONTROL MASTER'!$S$2:$S$495=1)*('CONTROL MASTER'!$Z$2:$Z$495&lt;=1)*('CONTROL MASTER'!$AB$2:$AB$495&gt;=1)*('CONTROL MASTER'!$AA$2:$AA$495&lt;=8)*('CONTROL MASTER'!$AC$2:$AC$495&gt;=8))*ROW('CONTROL MASTER'!$S$2:$S$495))-(ROW('CONTROL MASTER'!#REF!)-1))))*(INDEX('CONTROL MASTER'!$AC$2:$AC$495,(SUMPRODUCT((('CONTROL MASTER'!$S$2:$S$495=1)*('CONTROL MASTER'!$Z$2:$Z$495&lt;=1)*('CONTROL MASTER'!$AB$2:$AB$495&gt;=1)*('CONTROL MASTER'!$AA$2:$AA$495&lt;=8)*('CONTROL MASTER'!$AC$2:$AC$495&gt;=8))*ROW('CONTROL MASTER'!$S$2:$S$495))-(ROW('CONTROL MASTER'!#REF!)-1)))-INDEX('CONTROL MASTER'!$AA$2:$AA$495,(SUMPRODUCT((('CONTROL MASTER'!$S$2:$S$495=1)*('CONTROL MASTER'!$Z$2:$Z$495&lt;=1)*('CONTROL MASTER'!$AB$2:$AB$495&gt;=1)*('CONTROL MASTER'!$AA$2:$AA$495&lt;=8)*('CONTROL MASTER'!$AC$2:$AC$495&gt;=8))*ROW('CONTROL MASTER'!$S$2:$S$495))-(ROW('CONTROL MASTER'!#REF!)-1)))+1)+(8-INDEX('CONTROL MASTER'!$AA$2:$AA$495,(SUMPRODUCT((('CONTROL MASTER'!$S$2:$S$495=1)*('CONTROL MASTER'!$Z$2:$Z$495&lt;=1)*('CONTROL MASTER'!$AB$2:$AB$495&gt;=1)*('CONTROL MASTER'!$AA$2:$AA$495&lt;=8)*('CONTROL MASTER'!$AC$2:$AC$495&gt;=8))*ROW('CONTROL MASTER'!$S$2:$S$495))-(ROW('CONTROL MASTER'!#REF!)-1))))+1)))-1)*50+1,50))&amp;"_"&amp;INDEX('CONTROL MASTER'!$P$2:$P$495,(SUMPRODUCT((('CONTROL MASTER'!$S$2:$S$495=1)*('CONTROL MASTER'!$Z$2:$Z$495&lt;=1)*('CONTROL MASTER'!$AB$2:$AB$495&gt;=1)*('CONTROL MASTER'!$AA$2:$AA$495&lt;=8)*('CONTROL MASTER'!$AC$2:$AC$495&gt;=8))*ROW('CONTROL MASTER'!$S$2:$S$495))-(ROW('CONTROL MASTER'!#REF!)-1))),"")),"")</f>
        <v/>
      </c>
      <c r="J3" s="10" t="str">
        <f>IFERROR(IF(SUMPRODUCT((('CONTROL MASTER'!$S$2:$S$495=1)*('CONTROL MASTER'!$T$2:$T$495&lt;=1)*('CONTROL MASTER'!$V$2:$V$495&gt;=1)*('CONTROL MASTER'!$U$2:$U$495&lt;=9)*('CONTROL MASTER'!$W$2:$W$495&gt;=9))*ROW('CONTROL MASTER'!$S$2:$S$495))&gt;0,INDEX('CONTROL MASTER'!$X$2:$X$495,(SUMPRODUCT((('CONTROL MASTER'!$S$2:$S$495=1)*('CONTROL MASTER'!$T$2:$T$495&lt;=1)*('CONTROL MASTER'!$V$2:$V$495&gt;=1)*('CONTROL MASTER'!$U$2:$U$495&lt;=9)*('CONTROL MASTER'!$W$2:$W$495&gt;=9))*ROW('CONTROL MASTER'!$S$2:$S$495))-(ROW('CONTROL MASTER'!#REF!)-1)))&amp;TRIM(MID(SUBSTITUTE(SUBSTITUTE(INDEX('CONTROL MASTER'!$N$2:$N$495,(SUMPRODUCT((('CONTROL MASTER'!$S$2:$S$495=1)*('CONTROL MASTER'!$T$2:$T$495&lt;=1)*('CONTROL MASTER'!$V$2:$V$495&gt;=1)*('CONTROL MASTER'!$U$2:$U$495&lt;=9)*('CONTROL MASTER'!$W$2:$W$495&gt;=9))*ROW('CONTROL MASTER'!$S$2:$S$495))-(ROW('CONTROL MASTER'!#REF!)-1))),":",","),",",REPT(" ",50)),((((1-INDEX('CONTROL MASTER'!$T$2:$T$495,(SUMPRODUCT((('CONTROL MASTER'!$S$2:$S$495=1)*('CONTROL MASTER'!$T$2:$T$495&lt;=1)*('CONTROL MASTER'!$V$2:$V$495&gt;=1)*('CONTROL MASTER'!$U$2:$U$495&lt;=9)*('CONTROL MASTER'!$W$2:$W$495&gt;=9))*ROW('CONTROL MASTER'!$S$2:$S$495))-(ROW('CONTROL MASTER'!#REF!)-1))))*(INDEX('CONTROL MASTER'!$W$2:$W$495,(SUMPRODUCT((('CONTROL MASTER'!$S$2:$S$495=1)*('CONTROL MASTER'!$T$2:$T$495&lt;=1)*('CONTROL MASTER'!$V$2:$V$495&gt;=1)*('CONTROL MASTER'!$U$2:$U$495&lt;=9)*('CONTROL MASTER'!$W$2:$W$495&gt;=9))*ROW('CONTROL MASTER'!$S$2:$S$495))-(ROW('CONTROL MASTER'!#REF!)-1)))-INDEX('CONTROL MASTER'!$U$2:$U$495,(SUMPRODUCT((('CONTROL MASTER'!$S$2:$S$495=1)*('CONTROL MASTER'!$T$2:$T$495&lt;=1)*('CONTROL MASTER'!$V$2:$V$495&gt;=1)*('CONTROL MASTER'!$U$2:$U$495&lt;=9)*('CONTROL MASTER'!$W$2:$W$495&gt;=9))*ROW('CONTROL MASTER'!$S$2:$S$495))-(ROW('CONTROL MASTER'!#REF!)-1)))+1)+(9-INDEX('CONTROL MASTER'!$U$2:$U$495,(SUMPRODUCT((('CONTROL MASTER'!$S$2:$S$495=1)*('CONTROL MASTER'!$T$2:$T$495&lt;=1)*('CONTROL MASTER'!$V$2:$V$495&gt;=1)*('CONTROL MASTER'!$U$2:$U$495&lt;=9)*('CONTROL MASTER'!$W$2:$W$495&gt;=9))*ROW('CONTROL MASTER'!$S$2:$S$495))-(ROW('CONTROL MASTER'!#REF!)-1))))+1))-1)*50+1,50))&amp;"_"&amp;INDEX('CONTROL MASTER'!$P$2:$P$495,(SUMPRODUCT((('CONTROL MASTER'!$S$2:$S$495=1)*('CONTROL MASTER'!$T$2:$T$495&lt;=1)*('CONTROL MASTER'!$V$2:$V$495&gt;=1)*('CONTROL MASTER'!$U$2:$U$495&lt;=9)*('CONTROL MASTER'!$W$2:$W$495&gt;=9))*ROW('CONTROL MASTER'!$S$2:$S$495))-(ROW('CONTROL MASTER'!#REF!)-1))),IF(SUMPRODUCT((('CONTROL MASTER'!$S$2:$S$495=1)*('CONTROL MASTER'!$Z$2:$Z$495&lt;=1)*('CONTROL MASTER'!$AB$2:$AB$495&gt;=1)*('CONTROL MASTER'!$AA$2:$AA$495&lt;=9)*('CONTROL MASTER'!$AC$2:$AC$495&gt;=9))*ROW('CONTROL MASTER'!$S$2:$S$495))&gt;0,INDEX('CONTROL MASTER'!$X$2:$X$495,(SUMPRODUCT((('CONTROL MASTER'!$S$2:$S$495=1)*('CONTROL MASTER'!$Z$2:$Z$495&lt;=1)*('CONTROL MASTER'!$AB$2:$AB$495&gt;=1)*('CONTROL MASTER'!$AA$2:$AA$495&lt;=9)*('CONTROL MASTER'!$AC$2:$AC$495&gt;=9))*ROW('CONTROL MASTER'!$S$2:$S$495))-(ROW('CONTROL MASTER'!#REF!)-1)))&amp;TRIM(MID(SUBSTITUTE(SUBSTITUTE(INDEX('CONTROL MASTER'!$N$2:$N$495,(SUMPRODUCT((('CONTROL MASTER'!$S$2:$S$495=1)*('CONTROL MASTER'!$Z$2:$Z$495&lt;=1)*('CONTROL MASTER'!$AB$2:$AB$495&gt;=1)*('CONTROL MASTER'!$AA$2:$AA$495&lt;=9)*('CONTROL MASTER'!$AC$2:$AC$495&gt;=9))*ROW('CONTROL MASTER'!$S$2:$S$495))-(ROW('CONTROL MASTER'!#REF!)-1))),":",","),",",REPT(" ",50)),(((INDEX('CONTROL MASTER'!$Y$2:$Y$495,(SUMPRODUCT((('CONTROL MASTER'!$S$2:$S$495=1)*('CONTROL MASTER'!$Z$2:$Z$495&lt;=1)*('CONTROL MASTER'!$AB$2:$AB$495&gt;=1)*('CONTROL MASTER'!$AA$2:$AA$495&lt;=9)*('CONTROL MASTER'!$AC$2:$AC$495&gt;=9))*ROW('CONTROL MASTER'!$S$2:$S$495))-(ROW('CONTROL MASTER'!#REF!)-1)))+((1-INDEX('CONTROL MASTER'!$Z$2:$Z$495,(SUMPRODUCT((('CONTROL MASTER'!$S$2:$S$495=1)*('CONTROL MASTER'!$Z$2:$Z$495&lt;=1)*('CONTROL MASTER'!$AB$2:$AB$495&gt;=1)*('CONTROL MASTER'!$AA$2:$AA$495&lt;=9)*('CONTROL MASTER'!$AC$2:$AC$495&gt;=9))*ROW('CONTROL MASTER'!$S$2:$S$495))-(ROW('CONTROL MASTER'!#REF!)-1))))*(INDEX('CONTROL MASTER'!$AC$2:$AC$495,(SUMPRODUCT((('CONTROL MASTER'!$S$2:$S$495=1)*('CONTROL MASTER'!$Z$2:$Z$495&lt;=1)*('CONTROL MASTER'!$AB$2:$AB$495&gt;=1)*('CONTROL MASTER'!$AA$2:$AA$495&lt;=9)*('CONTROL MASTER'!$AC$2:$AC$495&gt;=9))*ROW('CONTROL MASTER'!$S$2:$S$495))-(ROW('CONTROL MASTER'!#REF!)-1)))-INDEX('CONTROL MASTER'!$AA$2:$AA$495,(SUMPRODUCT((('CONTROL MASTER'!$S$2:$S$495=1)*('CONTROL MASTER'!$Z$2:$Z$495&lt;=1)*('CONTROL MASTER'!$AB$2:$AB$495&gt;=1)*('CONTROL MASTER'!$AA$2:$AA$495&lt;=9)*('CONTROL MASTER'!$AC$2:$AC$495&gt;=9))*ROW('CONTROL MASTER'!$S$2:$S$495))-(ROW('CONTROL MASTER'!#REF!)-1)))+1)+(9-INDEX('CONTROL MASTER'!$AA$2:$AA$495,(SUMPRODUCT((('CONTROL MASTER'!$S$2:$S$495=1)*('CONTROL MASTER'!$Z$2:$Z$495&lt;=1)*('CONTROL MASTER'!$AB$2:$AB$495&gt;=1)*('CONTROL MASTER'!$AA$2:$AA$495&lt;=9)*('CONTROL MASTER'!$AC$2:$AC$495&gt;=9))*ROW('CONTROL MASTER'!$S$2:$S$495))-(ROW('CONTROL MASTER'!#REF!)-1))))+1)))-1)*50+1,50))&amp;"_"&amp;INDEX('CONTROL MASTER'!$P$2:$P$495,(SUMPRODUCT((('CONTROL MASTER'!$S$2:$S$495=1)*('CONTROL MASTER'!$Z$2:$Z$495&lt;=1)*('CONTROL MASTER'!$AB$2:$AB$495&gt;=1)*('CONTROL MASTER'!$AA$2:$AA$495&lt;=9)*('CONTROL MASTER'!$AC$2:$AC$495&gt;=9))*ROW('CONTROL MASTER'!$S$2:$S$495))-(ROW('CONTROL MASTER'!#REF!)-1))),"")),"")</f>
        <v/>
      </c>
      <c r="K3" s="10" t="str">
        <f>IFERROR(IF(SUMPRODUCT((('CONTROL MASTER'!$S$2:$S$495=1)*('CONTROL MASTER'!$T$2:$T$495&lt;=1)*('CONTROL MASTER'!$V$2:$V$495&gt;=1)*('CONTROL MASTER'!$U$2:$U$495&lt;=10)*('CONTROL MASTER'!$W$2:$W$495&gt;=10))*ROW('CONTROL MASTER'!$S$2:$S$495))&gt;0,INDEX('CONTROL MASTER'!$X$2:$X$495,(SUMPRODUCT((('CONTROL MASTER'!$S$2:$S$495=1)*('CONTROL MASTER'!$T$2:$T$495&lt;=1)*('CONTROL MASTER'!$V$2:$V$495&gt;=1)*('CONTROL MASTER'!$U$2:$U$495&lt;=10)*('CONTROL MASTER'!$W$2:$W$495&gt;=10))*ROW('CONTROL MASTER'!$S$2:$S$495))-(ROW('CONTROL MASTER'!#REF!)-1)))&amp;TRIM(MID(SUBSTITUTE(SUBSTITUTE(INDEX('CONTROL MASTER'!$N$2:$N$495,(SUMPRODUCT((('CONTROL MASTER'!$S$2:$S$495=1)*('CONTROL MASTER'!$T$2:$T$495&lt;=1)*('CONTROL MASTER'!$V$2:$V$495&gt;=1)*('CONTROL MASTER'!$U$2:$U$495&lt;=10)*('CONTROL MASTER'!$W$2:$W$495&gt;=10))*ROW('CONTROL MASTER'!$S$2:$S$495))-(ROW('CONTROL MASTER'!#REF!)-1))),":",","),",",REPT(" ",50)),((((1-INDEX('CONTROL MASTER'!$T$2:$T$495,(SUMPRODUCT((('CONTROL MASTER'!$S$2:$S$495=1)*('CONTROL MASTER'!$T$2:$T$495&lt;=1)*('CONTROL MASTER'!$V$2:$V$495&gt;=1)*('CONTROL MASTER'!$U$2:$U$495&lt;=10)*('CONTROL MASTER'!$W$2:$W$495&gt;=10))*ROW('CONTROL MASTER'!$S$2:$S$495))-(ROW('CONTROL MASTER'!#REF!)-1))))*(INDEX('CONTROL MASTER'!$W$2:$W$495,(SUMPRODUCT((('CONTROL MASTER'!$S$2:$S$495=1)*('CONTROL MASTER'!$T$2:$T$495&lt;=1)*('CONTROL MASTER'!$V$2:$V$495&gt;=1)*('CONTROL MASTER'!$U$2:$U$495&lt;=10)*('CONTROL MASTER'!$W$2:$W$495&gt;=10))*ROW('CONTROL MASTER'!$S$2:$S$495))-(ROW('CONTROL MASTER'!#REF!)-1)))-INDEX('CONTROL MASTER'!$U$2:$U$495,(SUMPRODUCT((('CONTROL MASTER'!$S$2:$S$495=1)*('CONTROL MASTER'!$T$2:$T$495&lt;=1)*('CONTROL MASTER'!$V$2:$V$495&gt;=1)*('CONTROL MASTER'!$U$2:$U$495&lt;=10)*('CONTROL MASTER'!$W$2:$W$495&gt;=10))*ROW('CONTROL MASTER'!$S$2:$S$495))-(ROW('CONTROL MASTER'!#REF!)-1)))+1)+(10-INDEX('CONTROL MASTER'!$U$2:$U$495,(SUMPRODUCT((('CONTROL MASTER'!$S$2:$S$495=1)*('CONTROL MASTER'!$T$2:$T$495&lt;=1)*('CONTROL MASTER'!$V$2:$V$495&gt;=1)*('CONTROL MASTER'!$U$2:$U$495&lt;=10)*('CONTROL MASTER'!$W$2:$W$495&gt;=10))*ROW('CONTROL MASTER'!$S$2:$S$495))-(ROW('CONTROL MASTER'!#REF!)-1))))+1))-1)*50+1,50))&amp;"_"&amp;INDEX('CONTROL MASTER'!$P$2:$P$495,(SUMPRODUCT((('CONTROL MASTER'!$S$2:$S$495=1)*('CONTROL MASTER'!$T$2:$T$495&lt;=1)*('CONTROL MASTER'!$V$2:$V$495&gt;=1)*('CONTROL MASTER'!$U$2:$U$495&lt;=10)*('CONTROL MASTER'!$W$2:$W$495&gt;=10))*ROW('CONTROL MASTER'!$S$2:$S$495))-(ROW('CONTROL MASTER'!#REF!)-1))),IF(SUMPRODUCT((('CONTROL MASTER'!$S$2:$S$495=1)*('CONTROL MASTER'!$Z$2:$Z$495&lt;=1)*('CONTROL MASTER'!$AB$2:$AB$495&gt;=1)*('CONTROL MASTER'!$AA$2:$AA$495&lt;=10)*('CONTROL MASTER'!$AC$2:$AC$495&gt;=10))*ROW('CONTROL MASTER'!$S$2:$S$495))&gt;0,INDEX('CONTROL MASTER'!$X$2:$X$495,(SUMPRODUCT((('CONTROL MASTER'!$S$2:$S$495=1)*('CONTROL MASTER'!$Z$2:$Z$495&lt;=1)*('CONTROL MASTER'!$AB$2:$AB$495&gt;=1)*('CONTROL MASTER'!$AA$2:$AA$495&lt;=10)*('CONTROL MASTER'!$AC$2:$AC$495&gt;=10))*ROW('CONTROL MASTER'!$S$2:$S$495))-(ROW('CONTROL MASTER'!#REF!)-1)))&amp;TRIM(MID(SUBSTITUTE(SUBSTITUTE(INDEX('CONTROL MASTER'!$N$2:$N$495,(SUMPRODUCT((('CONTROL MASTER'!$S$2:$S$495=1)*('CONTROL MASTER'!$Z$2:$Z$495&lt;=1)*('CONTROL MASTER'!$AB$2:$AB$495&gt;=1)*('CONTROL MASTER'!$AA$2:$AA$495&lt;=10)*('CONTROL MASTER'!$AC$2:$AC$495&gt;=10))*ROW('CONTROL MASTER'!$S$2:$S$495))-(ROW('CONTROL MASTER'!#REF!)-1))),":",","),",",REPT(" ",50)),(((INDEX('CONTROL MASTER'!$Y$2:$Y$495,(SUMPRODUCT((('CONTROL MASTER'!$S$2:$S$495=1)*('CONTROL MASTER'!$Z$2:$Z$495&lt;=1)*('CONTROL MASTER'!$AB$2:$AB$495&gt;=1)*('CONTROL MASTER'!$AA$2:$AA$495&lt;=10)*('CONTROL MASTER'!$AC$2:$AC$495&gt;=10))*ROW('CONTROL MASTER'!$S$2:$S$495))-(ROW('CONTROL MASTER'!#REF!)-1)))+((1-INDEX('CONTROL MASTER'!$Z$2:$Z$495,(SUMPRODUCT((('CONTROL MASTER'!$S$2:$S$495=1)*('CONTROL MASTER'!$Z$2:$Z$495&lt;=1)*('CONTROL MASTER'!$AB$2:$AB$495&gt;=1)*('CONTROL MASTER'!$AA$2:$AA$495&lt;=10)*('CONTROL MASTER'!$AC$2:$AC$495&gt;=10))*ROW('CONTROL MASTER'!$S$2:$S$495))-(ROW('CONTROL MASTER'!#REF!)-1))))*(INDEX('CONTROL MASTER'!$AC$2:$AC$495,(SUMPRODUCT((('CONTROL MASTER'!$S$2:$S$495=1)*('CONTROL MASTER'!$Z$2:$Z$495&lt;=1)*('CONTROL MASTER'!$AB$2:$AB$495&gt;=1)*('CONTROL MASTER'!$AA$2:$AA$495&lt;=10)*('CONTROL MASTER'!$AC$2:$AC$495&gt;=10))*ROW('CONTROL MASTER'!$S$2:$S$495))-(ROW('CONTROL MASTER'!#REF!)-1)))-INDEX('CONTROL MASTER'!$AA$2:$AA$495,(SUMPRODUCT((('CONTROL MASTER'!$S$2:$S$495=1)*('CONTROL MASTER'!$Z$2:$Z$495&lt;=1)*('CONTROL MASTER'!$AB$2:$AB$495&gt;=1)*('CONTROL MASTER'!$AA$2:$AA$495&lt;=10)*('CONTROL MASTER'!$AC$2:$AC$495&gt;=10))*ROW('CONTROL MASTER'!$S$2:$S$495))-(ROW('CONTROL MASTER'!#REF!)-1)))+1)+(10-INDEX('CONTROL MASTER'!$AA$2:$AA$495,(SUMPRODUCT((('CONTROL MASTER'!$S$2:$S$495=1)*('CONTROL MASTER'!$Z$2:$Z$495&lt;=1)*('CONTROL MASTER'!$AB$2:$AB$495&gt;=1)*('CONTROL MASTER'!$AA$2:$AA$495&lt;=10)*('CONTROL MASTER'!$AC$2:$AC$495&gt;=10))*ROW('CONTROL MASTER'!$S$2:$S$495))-(ROW('CONTROL MASTER'!#REF!)-1))))+1)))-1)*50+1,50))&amp;"_"&amp;INDEX('CONTROL MASTER'!$P$2:$P$495,(SUMPRODUCT((('CONTROL MASTER'!$S$2:$S$495=1)*('CONTROL MASTER'!$Z$2:$Z$495&lt;=1)*('CONTROL MASTER'!$AB$2:$AB$495&gt;=1)*('CONTROL MASTER'!$AA$2:$AA$495&lt;=10)*('CONTROL MASTER'!$AC$2:$AC$495&gt;=10))*ROW('CONTROL MASTER'!$S$2:$S$495))-(ROW('CONTROL MASTER'!#REF!)-1))),"")),"")</f>
        <v/>
      </c>
    </row>
    <row r="4" spans="1:11" ht="15" customHeight="1" x14ac:dyDescent="0.35">
      <c r="A4" s="8" t="s">
        <v>29</v>
      </c>
      <c r="B4" s="10" t="str">
        <f>IFERROR(IF(SUMPRODUCT((('CONTROL MASTER'!$S$2:$S$495=1)*('CONTROL MASTER'!$T$2:$T$495&lt;=2)*('CONTROL MASTER'!$V$2:$V$495&gt;=2)*('CONTROL MASTER'!$U$2:$U$495&lt;=1)*('CONTROL MASTER'!$W$2:$W$495&gt;=1))*ROW('CONTROL MASTER'!$S$2:$S$495))&gt;0,INDEX('CONTROL MASTER'!$X$2:$X$495,(SUMPRODUCT((('CONTROL MASTER'!$S$2:$S$495=1)*('CONTROL MASTER'!$T$2:$T$495&lt;=2)*('CONTROL MASTER'!$V$2:$V$495&gt;=2)*('CONTROL MASTER'!$U$2:$U$495&lt;=1)*('CONTROL MASTER'!$W$2:$W$495&gt;=1))*ROW('CONTROL MASTER'!$S$2:$S$495))-(ROW('CONTROL MASTER'!#REF!)-1)))&amp;TRIM(MID(SUBSTITUTE(SUBSTITUTE(INDEX('CONTROL MASTER'!$N$2:$N$495,(SUMPRODUCT((('CONTROL MASTER'!$S$2:$S$495=1)*('CONTROL MASTER'!$T$2:$T$495&lt;=2)*('CONTROL MASTER'!$V$2:$V$495&gt;=2)*('CONTROL MASTER'!$U$2:$U$495&lt;=1)*('CONTROL MASTER'!$W$2:$W$495&gt;=1))*ROW('CONTROL MASTER'!$S$2:$S$495))-(ROW('CONTROL MASTER'!#REF!)-1))),":",","),",",REPT(" ",50)),((((2-INDEX('CONTROL MASTER'!$T$2:$T$495,(SUMPRODUCT((('CONTROL MASTER'!$S$2:$S$495=1)*('CONTROL MASTER'!$T$2:$T$495&lt;=2)*('CONTROL MASTER'!$V$2:$V$495&gt;=2)*('CONTROL MASTER'!$U$2:$U$495&lt;=1)*('CONTROL MASTER'!$W$2:$W$495&gt;=1))*ROW('CONTROL MASTER'!$S$2:$S$495))-(ROW('CONTROL MASTER'!#REF!)-1))))*(INDEX('CONTROL MASTER'!$W$2:$W$495,(SUMPRODUCT((('CONTROL MASTER'!$S$2:$S$495=1)*('CONTROL MASTER'!$T$2:$T$495&lt;=2)*('CONTROL MASTER'!$V$2:$V$495&gt;=2)*('CONTROL MASTER'!$U$2:$U$495&lt;=1)*('CONTROL MASTER'!$W$2:$W$495&gt;=1))*ROW('CONTROL MASTER'!$S$2:$S$495))-(ROW('CONTROL MASTER'!#REF!)-1)))-INDEX('CONTROL MASTER'!$U$2:$U$495,(SUMPRODUCT((('CONTROL MASTER'!$S$2:$S$495=1)*('CONTROL MASTER'!$T$2:$T$495&lt;=2)*('CONTROL MASTER'!$V$2:$V$495&gt;=2)*('CONTROL MASTER'!$U$2:$U$495&lt;=1)*('CONTROL MASTER'!$W$2:$W$495&gt;=1))*ROW('CONTROL MASTER'!$S$2:$S$495))-(ROW('CONTROL MASTER'!#REF!)-1)))+1)+(1-INDEX('CONTROL MASTER'!$U$2:$U$495,(SUMPRODUCT((('CONTROL MASTER'!$S$2:$S$495=1)*('CONTROL MASTER'!$T$2:$T$495&lt;=2)*('CONTROL MASTER'!$V$2:$V$495&gt;=2)*('CONTROL MASTER'!$U$2:$U$495&lt;=1)*('CONTROL MASTER'!$W$2:$W$495&gt;=1))*ROW('CONTROL MASTER'!$S$2:$S$495))-(ROW('CONTROL MASTER'!#REF!)-1))))+1))-1)*50+1,50))&amp;"_"&amp;INDEX('CONTROL MASTER'!$P$2:$P$495,(SUMPRODUCT((('CONTROL MASTER'!$S$2:$S$495=1)*('CONTROL MASTER'!$T$2:$T$495&lt;=2)*('CONTROL MASTER'!$V$2:$V$495&gt;=2)*('CONTROL MASTER'!$U$2:$U$495&lt;=1)*('CONTROL MASTER'!$W$2:$W$495&gt;=1))*ROW('CONTROL MASTER'!$S$2:$S$495))-(ROW('CONTROL MASTER'!#REF!)-1))),IF(SUMPRODUCT((('CONTROL MASTER'!$S$2:$S$495=1)*('CONTROL MASTER'!$Z$2:$Z$495&lt;=2)*('CONTROL MASTER'!$AB$2:$AB$495&gt;=2)*('CONTROL MASTER'!$AA$2:$AA$495&lt;=1)*('CONTROL MASTER'!$AC$2:$AC$495&gt;=1))*ROW('CONTROL MASTER'!$S$2:$S$495))&gt;0,INDEX('CONTROL MASTER'!$X$2:$X$495,(SUMPRODUCT((('CONTROL MASTER'!$S$2:$S$495=1)*('CONTROL MASTER'!$Z$2:$Z$495&lt;=2)*('CONTROL MASTER'!$AB$2:$AB$495&gt;=2)*('CONTROL MASTER'!$AA$2:$AA$495&lt;=1)*('CONTROL MASTER'!$AC$2:$AC$495&gt;=1))*ROW('CONTROL MASTER'!$S$2:$S$495))-(ROW('CONTROL MASTER'!#REF!)-1)))&amp;TRIM(MID(SUBSTITUTE(SUBSTITUTE(INDEX('CONTROL MASTER'!$N$2:$N$495,(SUMPRODUCT((('CONTROL MASTER'!$S$2:$S$495=1)*('CONTROL MASTER'!$Z$2:$Z$495&lt;=2)*('CONTROL MASTER'!$AB$2:$AB$495&gt;=2)*('CONTROL MASTER'!$AA$2:$AA$495&lt;=1)*('CONTROL MASTER'!$AC$2:$AC$495&gt;=1))*ROW('CONTROL MASTER'!$S$2:$S$495))-(ROW('CONTROL MASTER'!#REF!)-1))),":",","),",",REPT(" ",50)),(((INDEX('CONTROL MASTER'!$Y$2:$Y$495,(SUMPRODUCT((('CONTROL MASTER'!$S$2:$S$495=1)*('CONTROL MASTER'!$Z$2:$Z$495&lt;=2)*('CONTROL MASTER'!$AB$2:$AB$495&gt;=2)*('CONTROL MASTER'!$AA$2:$AA$495&lt;=1)*('CONTROL MASTER'!$AC$2:$AC$495&gt;=1))*ROW('CONTROL MASTER'!$S$2:$S$495))-(ROW('CONTROL MASTER'!#REF!)-1)))+((2-INDEX('CONTROL MASTER'!$Z$2:$Z$495,(SUMPRODUCT((('CONTROL MASTER'!$S$2:$S$495=1)*('CONTROL MASTER'!$Z$2:$Z$495&lt;=2)*('CONTROL MASTER'!$AB$2:$AB$495&gt;=2)*('CONTROL MASTER'!$AA$2:$AA$495&lt;=1)*('CONTROL MASTER'!$AC$2:$AC$495&gt;=1))*ROW('CONTROL MASTER'!$S$2:$S$495))-(ROW('CONTROL MASTER'!#REF!)-1))))*(INDEX('CONTROL MASTER'!$AC$2:$AC$495,(SUMPRODUCT((('CONTROL MASTER'!$S$2:$S$495=1)*('CONTROL MASTER'!$Z$2:$Z$495&lt;=2)*('CONTROL MASTER'!$AB$2:$AB$495&gt;=2)*('CONTROL MASTER'!$AA$2:$AA$495&lt;=1)*('CONTROL MASTER'!$AC$2:$AC$495&gt;=1))*ROW('CONTROL MASTER'!$S$2:$S$495))-(ROW('CONTROL MASTER'!#REF!)-1)))-INDEX('CONTROL MASTER'!$AA$2:$AA$495,(SUMPRODUCT((('CONTROL MASTER'!$S$2:$S$495=1)*('CONTROL MASTER'!$Z$2:$Z$495&lt;=2)*('CONTROL MASTER'!$AB$2:$AB$495&gt;=2)*('CONTROL MASTER'!$AA$2:$AA$495&lt;=1)*('CONTROL MASTER'!$AC$2:$AC$495&gt;=1))*ROW('CONTROL MASTER'!$S$2:$S$495))-(ROW('CONTROL MASTER'!#REF!)-1)))+1)+(1-INDEX('CONTROL MASTER'!$AA$2:$AA$495,(SUMPRODUCT((('CONTROL MASTER'!$S$2:$S$495=1)*('CONTROL MASTER'!$Z$2:$Z$495&lt;=2)*('CONTROL MASTER'!$AB$2:$AB$495&gt;=2)*('CONTROL MASTER'!$AA$2:$AA$495&lt;=1)*('CONTROL MASTER'!$AC$2:$AC$495&gt;=1))*ROW('CONTROL MASTER'!$S$2:$S$495))-(ROW('CONTROL MASTER'!#REF!)-1))))+1)))-1)*50+1,50))&amp;"_"&amp;INDEX('CONTROL MASTER'!$P$2:$P$495,(SUMPRODUCT((('CONTROL MASTER'!$S$2:$S$495=1)*('CONTROL MASTER'!$Z$2:$Z$495&lt;=2)*('CONTROL MASTER'!$AB$2:$AB$495&gt;=2)*('CONTROL MASTER'!$AA$2:$AA$495&lt;=1)*('CONTROL MASTER'!$AC$2:$AC$495&gt;=1))*ROW('CONTROL MASTER'!$S$2:$S$495))-(ROW('CONTROL MASTER'!#REF!)-1))),"")),"")</f>
        <v/>
      </c>
      <c r="C4" s="10" t="str">
        <f>IFERROR(IF(SUMPRODUCT((('CONTROL MASTER'!$S$2:$S$495=1)*('CONTROL MASTER'!$T$2:$T$495&lt;=2)*('CONTROL MASTER'!$V$2:$V$495&gt;=2)*('CONTROL MASTER'!$U$2:$U$495&lt;=2)*('CONTROL MASTER'!$W$2:$W$495&gt;=2))*ROW('CONTROL MASTER'!$S$2:$S$495))&gt;0,INDEX('CONTROL MASTER'!$X$2:$X$495,(SUMPRODUCT((('CONTROL MASTER'!$S$2:$S$495=1)*('CONTROL MASTER'!$T$2:$T$495&lt;=2)*('CONTROL MASTER'!$V$2:$V$495&gt;=2)*('CONTROL MASTER'!$U$2:$U$495&lt;=2)*('CONTROL MASTER'!$W$2:$W$495&gt;=2))*ROW('CONTROL MASTER'!$S$2:$S$495))-(ROW('CONTROL MASTER'!#REF!)-1)))&amp;TRIM(MID(SUBSTITUTE(SUBSTITUTE(INDEX('CONTROL MASTER'!$N$2:$N$495,(SUMPRODUCT((('CONTROL MASTER'!$S$2:$S$495=1)*('CONTROL MASTER'!$T$2:$T$495&lt;=2)*('CONTROL MASTER'!$V$2:$V$495&gt;=2)*('CONTROL MASTER'!$U$2:$U$495&lt;=2)*('CONTROL MASTER'!$W$2:$W$495&gt;=2))*ROW('CONTROL MASTER'!$S$2:$S$495))-(ROW('CONTROL MASTER'!#REF!)-1))),":",","),",",REPT(" ",50)),((((2-INDEX('CONTROL MASTER'!$T$2:$T$495,(SUMPRODUCT((('CONTROL MASTER'!$S$2:$S$495=1)*('CONTROL MASTER'!$T$2:$T$495&lt;=2)*('CONTROL MASTER'!$V$2:$V$495&gt;=2)*('CONTROL MASTER'!$U$2:$U$495&lt;=2)*('CONTROL MASTER'!$W$2:$W$495&gt;=2))*ROW('CONTROL MASTER'!$S$2:$S$495))-(ROW('CONTROL MASTER'!#REF!)-1))))*(INDEX('CONTROL MASTER'!$W$2:$W$495,(SUMPRODUCT((('CONTROL MASTER'!$S$2:$S$495=1)*('CONTROL MASTER'!$T$2:$T$495&lt;=2)*('CONTROL MASTER'!$V$2:$V$495&gt;=2)*('CONTROL MASTER'!$U$2:$U$495&lt;=2)*('CONTROL MASTER'!$W$2:$W$495&gt;=2))*ROW('CONTROL MASTER'!$S$2:$S$495))-(ROW('CONTROL MASTER'!#REF!)-1)))-INDEX('CONTROL MASTER'!$U$2:$U$495,(SUMPRODUCT((('CONTROL MASTER'!$S$2:$S$495=1)*('CONTROL MASTER'!$T$2:$T$495&lt;=2)*('CONTROL MASTER'!$V$2:$V$495&gt;=2)*('CONTROL MASTER'!$U$2:$U$495&lt;=2)*('CONTROL MASTER'!$W$2:$W$495&gt;=2))*ROW('CONTROL MASTER'!$S$2:$S$495))-(ROW('CONTROL MASTER'!#REF!)-1)))+1)+(2-INDEX('CONTROL MASTER'!$U$2:$U$495,(SUMPRODUCT((('CONTROL MASTER'!$S$2:$S$495=1)*('CONTROL MASTER'!$T$2:$T$495&lt;=2)*('CONTROL MASTER'!$V$2:$V$495&gt;=2)*('CONTROL MASTER'!$U$2:$U$495&lt;=2)*('CONTROL MASTER'!$W$2:$W$495&gt;=2))*ROW('CONTROL MASTER'!$S$2:$S$495))-(ROW('CONTROL MASTER'!#REF!)-1))))+1))-1)*50+1,50))&amp;"_"&amp;INDEX('CONTROL MASTER'!$P$2:$P$495,(SUMPRODUCT((('CONTROL MASTER'!$S$2:$S$495=1)*('CONTROL MASTER'!$T$2:$T$495&lt;=2)*('CONTROL MASTER'!$V$2:$V$495&gt;=2)*('CONTROL MASTER'!$U$2:$U$495&lt;=2)*('CONTROL MASTER'!$W$2:$W$495&gt;=2))*ROW('CONTROL MASTER'!$S$2:$S$495))-(ROW('CONTROL MASTER'!#REF!)-1))),IF(SUMPRODUCT((('CONTROL MASTER'!$S$2:$S$495=1)*('CONTROL MASTER'!$Z$2:$Z$495&lt;=2)*('CONTROL MASTER'!$AB$2:$AB$495&gt;=2)*('CONTROL MASTER'!$AA$2:$AA$495&lt;=2)*('CONTROL MASTER'!$AC$2:$AC$495&gt;=2))*ROW('CONTROL MASTER'!$S$2:$S$495))&gt;0,INDEX('CONTROL MASTER'!$X$2:$X$495,(SUMPRODUCT((('CONTROL MASTER'!$S$2:$S$495=1)*('CONTROL MASTER'!$Z$2:$Z$495&lt;=2)*('CONTROL MASTER'!$AB$2:$AB$495&gt;=2)*('CONTROL MASTER'!$AA$2:$AA$495&lt;=2)*('CONTROL MASTER'!$AC$2:$AC$495&gt;=2))*ROW('CONTROL MASTER'!$S$2:$S$495))-(ROW('CONTROL MASTER'!#REF!)-1)))&amp;TRIM(MID(SUBSTITUTE(SUBSTITUTE(INDEX('CONTROL MASTER'!$N$2:$N$495,(SUMPRODUCT((('CONTROL MASTER'!$S$2:$S$495=1)*('CONTROL MASTER'!$Z$2:$Z$495&lt;=2)*('CONTROL MASTER'!$AB$2:$AB$495&gt;=2)*('CONTROL MASTER'!$AA$2:$AA$495&lt;=2)*('CONTROL MASTER'!$AC$2:$AC$495&gt;=2))*ROW('CONTROL MASTER'!$S$2:$S$495))-(ROW('CONTROL MASTER'!#REF!)-1))),":",","),",",REPT(" ",50)),(((INDEX('CONTROL MASTER'!$Y$2:$Y$495,(SUMPRODUCT((('CONTROL MASTER'!$S$2:$S$495=1)*('CONTROL MASTER'!$Z$2:$Z$495&lt;=2)*('CONTROL MASTER'!$AB$2:$AB$495&gt;=2)*('CONTROL MASTER'!$AA$2:$AA$495&lt;=2)*('CONTROL MASTER'!$AC$2:$AC$495&gt;=2))*ROW('CONTROL MASTER'!$S$2:$S$495))-(ROW('CONTROL MASTER'!#REF!)-1)))+((2-INDEX('CONTROL MASTER'!$Z$2:$Z$495,(SUMPRODUCT((('CONTROL MASTER'!$S$2:$S$495=1)*('CONTROL MASTER'!$Z$2:$Z$495&lt;=2)*('CONTROL MASTER'!$AB$2:$AB$495&gt;=2)*('CONTROL MASTER'!$AA$2:$AA$495&lt;=2)*('CONTROL MASTER'!$AC$2:$AC$495&gt;=2))*ROW('CONTROL MASTER'!$S$2:$S$495))-(ROW('CONTROL MASTER'!#REF!)-1))))*(INDEX('CONTROL MASTER'!$AC$2:$AC$495,(SUMPRODUCT((('CONTROL MASTER'!$S$2:$S$495=1)*('CONTROL MASTER'!$Z$2:$Z$495&lt;=2)*('CONTROL MASTER'!$AB$2:$AB$495&gt;=2)*('CONTROL MASTER'!$AA$2:$AA$495&lt;=2)*('CONTROL MASTER'!$AC$2:$AC$495&gt;=2))*ROW('CONTROL MASTER'!$S$2:$S$495))-(ROW('CONTROL MASTER'!#REF!)-1)))-INDEX('CONTROL MASTER'!$AA$2:$AA$495,(SUMPRODUCT((('CONTROL MASTER'!$S$2:$S$495=1)*('CONTROL MASTER'!$Z$2:$Z$495&lt;=2)*('CONTROL MASTER'!$AB$2:$AB$495&gt;=2)*('CONTROL MASTER'!$AA$2:$AA$495&lt;=2)*('CONTROL MASTER'!$AC$2:$AC$495&gt;=2))*ROW('CONTROL MASTER'!$S$2:$S$495))-(ROW('CONTROL MASTER'!#REF!)-1)))+1)+(2-INDEX('CONTROL MASTER'!$AA$2:$AA$495,(SUMPRODUCT((('CONTROL MASTER'!$S$2:$S$495=1)*('CONTROL MASTER'!$Z$2:$Z$495&lt;=2)*('CONTROL MASTER'!$AB$2:$AB$495&gt;=2)*('CONTROL MASTER'!$AA$2:$AA$495&lt;=2)*('CONTROL MASTER'!$AC$2:$AC$495&gt;=2))*ROW('CONTROL MASTER'!$S$2:$S$495))-(ROW('CONTROL MASTER'!#REF!)-1))))+1)))-1)*50+1,50))&amp;"_"&amp;INDEX('CONTROL MASTER'!$P$2:$P$495,(SUMPRODUCT((('CONTROL MASTER'!$S$2:$S$495=1)*('CONTROL MASTER'!$Z$2:$Z$495&lt;=2)*('CONTROL MASTER'!$AB$2:$AB$495&gt;=2)*('CONTROL MASTER'!$AA$2:$AA$495&lt;=2)*('CONTROL MASTER'!$AC$2:$AC$495&gt;=2))*ROW('CONTROL MASTER'!$S$2:$S$495))-(ROW('CONTROL MASTER'!#REF!)-1))),"")),"")</f>
        <v/>
      </c>
      <c r="D4" s="10" t="str">
        <f>IFERROR(IF(SUMPRODUCT((('CONTROL MASTER'!$S$2:$S$495=1)*('CONTROL MASTER'!$T$2:$T$495&lt;=2)*('CONTROL MASTER'!$V$2:$V$495&gt;=2)*('CONTROL MASTER'!$U$2:$U$495&lt;=3)*('CONTROL MASTER'!$W$2:$W$495&gt;=3))*ROW('CONTROL MASTER'!$S$2:$S$495))&gt;0,INDEX('CONTROL MASTER'!$X$2:$X$495,(SUMPRODUCT((('CONTROL MASTER'!$S$2:$S$495=1)*('CONTROL MASTER'!$T$2:$T$495&lt;=2)*('CONTROL MASTER'!$V$2:$V$495&gt;=2)*('CONTROL MASTER'!$U$2:$U$495&lt;=3)*('CONTROL MASTER'!$W$2:$W$495&gt;=3))*ROW('CONTROL MASTER'!$S$2:$S$495))-(ROW('CONTROL MASTER'!#REF!)-1)))&amp;TRIM(MID(SUBSTITUTE(SUBSTITUTE(INDEX('CONTROL MASTER'!$N$2:$N$495,(SUMPRODUCT((('CONTROL MASTER'!$S$2:$S$495=1)*('CONTROL MASTER'!$T$2:$T$495&lt;=2)*('CONTROL MASTER'!$V$2:$V$495&gt;=2)*('CONTROL MASTER'!$U$2:$U$495&lt;=3)*('CONTROL MASTER'!$W$2:$W$495&gt;=3))*ROW('CONTROL MASTER'!$S$2:$S$495))-(ROW('CONTROL MASTER'!#REF!)-1))),":",","),",",REPT(" ",50)),((((2-INDEX('CONTROL MASTER'!$T$2:$T$495,(SUMPRODUCT((('CONTROL MASTER'!$S$2:$S$495=1)*('CONTROL MASTER'!$T$2:$T$495&lt;=2)*('CONTROL MASTER'!$V$2:$V$495&gt;=2)*('CONTROL MASTER'!$U$2:$U$495&lt;=3)*('CONTROL MASTER'!$W$2:$W$495&gt;=3))*ROW('CONTROL MASTER'!$S$2:$S$495))-(ROW('CONTROL MASTER'!#REF!)-1))))*(INDEX('CONTROL MASTER'!$W$2:$W$495,(SUMPRODUCT((('CONTROL MASTER'!$S$2:$S$495=1)*('CONTROL MASTER'!$T$2:$T$495&lt;=2)*('CONTROL MASTER'!$V$2:$V$495&gt;=2)*('CONTROL MASTER'!$U$2:$U$495&lt;=3)*('CONTROL MASTER'!$W$2:$W$495&gt;=3))*ROW('CONTROL MASTER'!$S$2:$S$495))-(ROW('CONTROL MASTER'!#REF!)-1)))-INDEX('CONTROL MASTER'!$U$2:$U$495,(SUMPRODUCT((('CONTROL MASTER'!$S$2:$S$495=1)*('CONTROL MASTER'!$T$2:$T$495&lt;=2)*('CONTROL MASTER'!$V$2:$V$495&gt;=2)*('CONTROL MASTER'!$U$2:$U$495&lt;=3)*('CONTROL MASTER'!$W$2:$W$495&gt;=3))*ROW('CONTROL MASTER'!$S$2:$S$495))-(ROW('CONTROL MASTER'!#REF!)-1)))+1)+(3-INDEX('CONTROL MASTER'!$U$2:$U$495,(SUMPRODUCT((('CONTROL MASTER'!$S$2:$S$495=1)*('CONTROL MASTER'!$T$2:$T$495&lt;=2)*('CONTROL MASTER'!$V$2:$V$495&gt;=2)*('CONTROL MASTER'!$U$2:$U$495&lt;=3)*('CONTROL MASTER'!$W$2:$W$495&gt;=3))*ROW('CONTROL MASTER'!$S$2:$S$495))-(ROW('CONTROL MASTER'!#REF!)-1))))+1))-1)*50+1,50))&amp;"_"&amp;INDEX('CONTROL MASTER'!$P$2:$P$495,(SUMPRODUCT((('CONTROL MASTER'!$S$2:$S$495=1)*('CONTROL MASTER'!$T$2:$T$495&lt;=2)*('CONTROL MASTER'!$V$2:$V$495&gt;=2)*('CONTROL MASTER'!$U$2:$U$495&lt;=3)*('CONTROL MASTER'!$W$2:$W$495&gt;=3))*ROW('CONTROL MASTER'!$S$2:$S$495))-(ROW('CONTROL MASTER'!#REF!)-1))),IF(SUMPRODUCT((('CONTROL MASTER'!$S$2:$S$495=1)*('CONTROL MASTER'!$Z$2:$Z$495&lt;=2)*('CONTROL MASTER'!$AB$2:$AB$495&gt;=2)*('CONTROL MASTER'!$AA$2:$AA$495&lt;=3)*('CONTROL MASTER'!$AC$2:$AC$495&gt;=3))*ROW('CONTROL MASTER'!$S$2:$S$495))&gt;0,INDEX('CONTROL MASTER'!$X$2:$X$495,(SUMPRODUCT((('CONTROL MASTER'!$S$2:$S$495=1)*('CONTROL MASTER'!$Z$2:$Z$495&lt;=2)*('CONTROL MASTER'!$AB$2:$AB$495&gt;=2)*('CONTROL MASTER'!$AA$2:$AA$495&lt;=3)*('CONTROL MASTER'!$AC$2:$AC$495&gt;=3))*ROW('CONTROL MASTER'!$S$2:$S$495))-(ROW('CONTROL MASTER'!#REF!)-1)))&amp;TRIM(MID(SUBSTITUTE(SUBSTITUTE(INDEX('CONTROL MASTER'!$N$2:$N$495,(SUMPRODUCT((('CONTROL MASTER'!$S$2:$S$495=1)*('CONTROL MASTER'!$Z$2:$Z$495&lt;=2)*('CONTROL MASTER'!$AB$2:$AB$495&gt;=2)*('CONTROL MASTER'!$AA$2:$AA$495&lt;=3)*('CONTROL MASTER'!$AC$2:$AC$495&gt;=3))*ROW('CONTROL MASTER'!$S$2:$S$495))-(ROW('CONTROL MASTER'!#REF!)-1))),":",","),",",REPT(" ",50)),(((INDEX('CONTROL MASTER'!$Y$2:$Y$495,(SUMPRODUCT((('CONTROL MASTER'!$S$2:$S$495=1)*('CONTROL MASTER'!$Z$2:$Z$495&lt;=2)*('CONTROL MASTER'!$AB$2:$AB$495&gt;=2)*('CONTROL MASTER'!$AA$2:$AA$495&lt;=3)*('CONTROL MASTER'!$AC$2:$AC$495&gt;=3))*ROW('CONTROL MASTER'!$S$2:$S$495))-(ROW('CONTROL MASTER'!#REF!)-1)))+((2-INDEX('CONTROL MASTER'!$Z$2:$Z$495,(SUMPRODUCT((('CONTROL MASTER'!$S$2:$S$495=1)*('CONTROL MASTER'!$Z$2:$Z$495&lt;=2)*('CONTROL MASTER'!$AB$2:$AB$495&gt;=2)*('CONTROL MASTER'!$AA$2:$AA$495&lt;=3)*('CONTROL MASTER'!$AC$2:$AC$495&gt;=3))*ROW('CONTROL MASTER'!$S$2:$S$495))-(ROW('CONTROL MASTER'!#REF!)-1))))*(INDEX('CONTROL MASTER'!$AC$2:$AC$495,(SUMPRODUCT((('CONTROL MASTER'!$S$2:$S$495=1)*('CONTROL MASTER'!$Z$2:$Z$495&lt;=2)*('CONTROL MASTER'!$AB$2:$AB$495&gt;=2)*('CONTROL MASTER'!$AA$2:$AA$495&lt;=3)*('CONTROL MASTER'!$AC$2:$AC$495&gt;=3))*ROW('CONTROL MASTER'!$S$2:$S$495))-(ROW('CONTROL MASTER'!#REF!)-1)))-INDEX('CONTROL MASTER'!$AA$2:$AA$495,(SUMPRODUCT((('CONTROL MASTER'!$S$2:$S$495=1)*('CONTROL MASTER'!$Z$2:$Z$495&lt;=2)*('CONTROL MASTER'!$AB$2:$AB$495&gt;=2)*('CONTROL MASTER'!$AA$2:$AA$495&lt;=3)*('CONTROL MASTER'!$AC$2:$AC$495&gt;=3))*ROW('CONTROL MASTER'!$S$2:$S$495))-(ROW('CONTROL MASTER'!#REF!)-1)))+1)+(3-INDEX('CONTROL MASTER'!$AA$2:$AA$495,(SUMPRODUCT((('CONTROL MASTER'!$S$2:$S$495=1)*('CONTROL MASTER'!$Z$2:$Z$495&lt;=2)*('CONTROL MASTER'!$AB$2:$AB$495&gt;=2)*('CONTROL MASTER'!$AA$2:$AA$495&lt;=3)*('CONTROL MASTER'!$AC$2:$AC$495&gt;=3))*ROW('CONTROL MASTER'!$S$2:$S$495))-(ROW('CONTROL MASTER'!#REF!)-1))))+1)))-1)*50+1,50))&amp;"_"&amp;INDEX('CONTROL MASTER'!$P$2:$P$495,(SUMPRODUCT((('CONTROL MASTER'!$S$2:$S$495=1)*('CONTROL MASTER'!$Z$2:$Z$495&lt;=2)*('CONTROL MASTER'!$AB$2:$AB$495&gt;=2)*('CONTROL MASTER'!$AA$2:$AA$495&lt;=3)*('CONTROL MASTER'!$AC$2:$AC$495&gt;=3))*ROW('CONTROL MASTER'!$S$2:$S$495))-(ROW('CONTROL MASTER'!#REF!)-1))),"")),"")</f>
        <v/>
      </c>
      <c r="E4" s="10" t="str">
        <f>IFERROR(IF(SUMPRODUCT((('CONTROL MASTER'!$S$2:$S$495=1)*('CONTROL MASTER'!$T$2:$T$495&lt;=2)*('CONTROL MASTER'!$V$2:$V$495&gt;=2)*('CONTROL MASTER'!$U$2:$U$495&lt;=4)*('CONTROL MASTER'!$W$2:$W$495&gt;=4))*ROW('CONTROL MASTER'!$S$2:$S$495))&gt;0,INDEX('CONTROL MASTER'!$X$2:$X$495,(SUMPRODUCT((('CONTROL MASTER'!$S$2:$S$495=1)*('CONTROL MASTER'!$T$2:$T$495&lt;=2)*('CONTROL MASTER'!$V$2:$V$495&gt;=2)*('CONTROL MASTER'!$U$2:$U$495&lt;=4)*('CONTROL MASTER'!$W$2:$W$495&gt;=4))*ROW('CONTROL MASTER'!$S$2:$S$495))-(ROW('CONTROL MASTER'!#REF!)-1)))&amp;TRIM(MID(SUBSTITUTE(SUBSTITUTE(INDEX('CONTROL MASTER'!$N$2:$N$495,(SUMPRODUCT((('CONTROL MASTER'!$S$2:$S$495=1)*('CONTROL MASTER'!$T$2:$T$495&lt;=2)*('CONTROL MASTER'!$V$2:$V$495&gt;=2)*('CONTROL MASTER'!$U$2:$U$495&lt;=4)*('CONTROL MASTER'!$W$2:$W$495&gt;=4))*ROW('CONTROL MASTER'!$S$2:$S$495))-(ROW('CONTROL MASTER'!#REF!)-1))),":",","),",",REPT(" ",50)),((((2-INDEX('CONTROL MASTER'!$T$2:$T$495,(SUMPRODUCT((('CONTROL MASTER'!$S$2:$S$495=1)*('CONTROL MASTER'!$T$2:$T$495&lt;=2)*('CONTROL MASTER'!$V$2:$V$495&gt;=2)*('CONTROL MASTER'!$U$2:$U$495&lt;=4)*('CONTROL MASTER'!$W$2:$W$495&gt;=4))*ROW('CONTROL MASTER'!$S$2:$S$495))-(ROW('CONTROL MASTER'!#REF!)-1))))*(INDEX('CONTROL MASTER'!$W$2:$W$495,(SUMPRODUCT((('CONTROL MASTER'!$S$2:$S$495=1)*('CONTROL MASTER'!$T$2:$T$495&lt;=2)*('CONTROL MASTER'!$V$2:$V$495&gt;=2)*('CONTROL MASTER'!$U$2:$U$495&lt;=4)*('CONTROL MASTER'!$W$2:$W$495&gt;=4))*ROW('CONTROL MASTER'!$S$2:$S$495))-(ROW('CONTROL MASTER'!#REF!)-1)))-INDEX('CONTROL MASTER'!$U$2:$U$495,(SUMPRODUCT((('CONTROL MASTER'!$S$2:$S$495=1)*('CONTROL MASTER'!$T$2:$T$495&lt;=2)*('CONTROL MASTER'!$V$2:$V$495&gt;=2)*('CONTROL MASTER'!$U$2:$U$495&lt;=4)*('CONTROL MASTER'!$W$2:$W$495&gt;=4))*ROW('CONTROL MASTER'!$S$2:$S$495))-(ROW('CONTROL MASTER'!#REF!)-1)))+1)+(4-INDEX('CONTROL MASTER'!$U$2:$U$495,(SUMPRODUCT((('CONTROL MASTER'!$S$2:$S$495=1)*('CONTROL MASTER'!$T$2:$T$495&lt;=2)*('CONTROL MASTER'!$V$2:$V$495&gt;=2)*('CONTROL MASTER'!$U$2:$U$495&lt;=4)*('CONTROL MASTER'!$W$2:$W$495&gt;=4))*ROW('CONTROL MASTER'!$S$2:$S$495))-(ROW('CONTROL MASTER'!#REF!)-1))))+1))-1)*50+1,50))&amp;"_"&amp;INDEX('CONTROL MASTER'!$P$2:$P$495,(SUMPRODUCT((('CONTROL MASTER'!$S$2:$S$495=1)*('CONTROL MASTER'!$T$2:$T$495&lt;=2)*('CONTROL MASTER'!$V$2:$V$495&gt;=2)*('CONTROL MASTER'!$U$2:$U$495&lt;=4)*('CONTROL MASTER'!$W$2:$W$495&gt;=4))*ROW('CONTROL MASTER'!$S$2:$S$495))-(ROW('CONTROL MASTER'!#REF!)-1))),IF(SUMPRODUCT((('CONTROL MASTER'!$S$2:$S$495=1)*('CONTROL MASTER'!$Z$2:$Z$495&lt;=2)*('CONTROL MASTER'!$AB$2:$AB$495&gt;=2)*('CONTROL MASTER'!$AA$2:$AA$495&lt;=4)*('CONTROL MASTER'!$AC$2:$AC$495&gt;=4))*ROW('CONTROL MASTER'!$S$2:$S$495))&gt;0,INDEX('CONTROL MASTER'!$X$2:$X$495,(SUMPRODUCT((('CONTROL MASTER'!$S$2:$S$495=1)*('CONTROL MASTER'!$Z$2:$Z$495&lt;=2)*('CONTROL MASTER'!$AB$2:$AB$495&gt;=2)*('CONTROL MASTER'!$AA$2:$AA$495&lt;=4)*('CONTROL MASTER'!$AC$2:$AC$495&gt;=4))*ROW('CONTROL MASTER'!$S$2:$S$495))-(ROW('CONTROL MASTER'!#REF!)-1)))&amp;TRIM(MID(SUBSTITUTE(SUBSTITUTE(INDEX('CONTROL MASTER'!$N$2:$N$495,(SUMPRODUCT((('CONTROL MASTER'!$S$2:$S$495=1)*('CONTROL MASTER'!$Z$2:$Z$495&lt;=2)*('CONTROL MASTER'!$AB$2:$AB$495&gt;=2)*('CONTROL MASTER'!$AA$2:$AA$495&lt;=4)*('CONTROL MASTER'!$AC$2:$AC$495&gt;=4))*ROW('CONTROL MASTER'!$S$2:$S$495))-(ROW('CONTROL MASTER'!#REF!)-1))),":",","),",",REPT(" ",50)),(((INDEX('CONTROL MASTER'!$Y$2:$Y$495,(SUMPRODUCT((('CONTROL MASTER'!$S$2:$S$495=1)*('CONTROL MASTER'!$Z$2:$Z$495&lt;=2)*('CONTROL MASTER'!$AB$2:$AB$495&gt;=2)*('CONTROL MASTER'!$AA$2:$AA$495&lt;=4)*('CONTROL MASTER'!$AC$2:$AC$495&gt;=4))*ROW('CONTROL MASTER'!$S$2:$S$495))-(ROW('CONTROL MASTER'!#REF!)-1)))+((2-INDEX('CONTROL MASTER'!$Z$2:$Z$495,(SUMPRODUCT((('CONTROL MASTER'!$S$2:$S$495=1)*('CONTROL MASTER'!$Z$2:$Z$495&lt;=2)*('CONTROL MASTER'!$AB$2:$AB$495&gt;=2)*('CONTROL MASTER'!$AA$2:$AA$495&lt;=4)*('CONTROL MASTER'!$AC$2:$AC$495&gt;=4))*ROW('CONTROL MASTER'!$S$2:$S$495))-(ROW('CONTROL MASTER'!#REF!)-1))))*(INDEX('CONTROL MASTER'!$AC$2:$AC$495,(SUMPRODUCT((('CONTROL MASTER'!$S$2:$S$495=1)*('CONTROL MASTER'!$Z$2:$Z$495&lt;=2)*('CONTROL MASTER'!$AB$2:$AB$495&gt;=2)*('CONTROL MASTER'!$AA$2:$AA$495&lt;=4)*('CONTROL MASTER'!$AC$2:$AC$495&gt;=4))*ROW('CONTROL MASTER'!$S$2:$S$495))-(ROW('CONTROL MASTER'!#REF!)-1)))-INDEX('CONTROL MASTER'!$AA$2:$AA$495,(SUMPRODUCT((('CONTROL MASTER'!$S$2:$S$495=1)*('CONTROL MASTER'!$Z$2:$Z$495&lt;=2)*('CONTROL MASTER'!$AB$2:$AB$495&gt;=2)*('CONTROL MASTER'!$AA$2:$AA$495&lt;=4)*('CONTROL MASTER'!$AC$2:$AC$495&gt;=4))*ROW('CONTROL MASTER'!$S$2:$S$495))-(ROW('CONTROL MASTER'!#REF!)-1)))+1)+(4-INDEX('CONTROL MASTER'!$AA$2:$AA$495,(SUMPRODUCT((('CONTROL MASTER'!$S$2:$S$495=1)*('CONTROL MASTER'!$Z$2:$Z$495&lt;=2)*('CONTROL MASTER'!$AB$2:$AB$495&gt;=2)*('CONTROL MASTER'!$AA$2:$AA$495&lt;=4)*('CONTROL MASTER'!$AC$2:$AC$495&gt;=4))*ROW('CONTROL MASTER'!$S$2:$S$495))-(ROW('CONTROL MASTER'!#REF!)-1))))+1)))-1)*50+1,50))&amp;"_"&amp;INDEX('CONTROL MASTER'!$P$2:$P$495,(SUMPRODUCT((('CONTROL MASTER'!$S$2:$S$495=1)*('CONTROL MASTER'!$Z$2:$Z$495&lt;=2)*('CONTROL MASTER'!$AB$2:$AB$495&gt;=2)*('CONTROL MASTER'!$AA$2:$AA$495&lt;=4)*('CONTROL MASTER'!$AC$2:$AC$495&gt;=4))*ROW('CONTROL MASTER'!$S$2:$S$495))-(ROW('CONTROL MASTER'!#REF!)-1))),"")),"")</f>
        <v/>
      </c>
      <c r="F4" s="10" t="str">
        <f>IFERROR(IF(SUMPRODUCT((('CONTROL MASTER'!$S$2:$S$495=1)*('CONTROL MASTER'!$T$2:$T$495&lt;=2)*('CONTROL MASTER'!$V$2:$V$495&gt;=2)*('CONTROL MASTER'!$U$2:$U$495&lt;=5)*('CONTROL MASTER'!$W$2:$W$495&gt;=5))*ROW('CONTROL MASTER'!$S$2:$S$495))&gt;0,INDEX('CONTROL MASTER'!$X$2:$X$495,(SUMPRODUCT((('CONTROL MASTER'!$S$2:$S$495=1)*('CONTROL MASTER'!$T$2:$T$495&lt;=2)*('CONTROL MASTER'!$V$2:$V$495&gt;=2)*('CONTROL MASTER'!$U$2:$U$495&lt;=5)*('CONTROL MASTER'!$W$2:$W$495&gt;=5))*ROW('CONTROL MASTER'!$S$2:$S$495))-(ROW('CONTROL MASTER'!#REF!)-1)))&amp;TRIM(MID(SUBSTITUTE(SUBSTITUTE(INDEX('CONTROL MASTER'!$N$2:$N$495,(SUMPRODUCT((('CONTROL MASTER'!$S$2:$S$495=1)*('CONTROL MASTER'!$T$2:$T$495&lt;=2)*('CONTROL MASTER'!$V$2:$V$495&gt;=2)*('CONTROL MASTER'!$U$2:$U$495&lt;=5)*('CONTROL MASTER'!$W$2:$W$495&gt;=5))*ROW('CONTROL MASTER'!$S$2:$S$495))-(ROW('CONTROL MASTER'!#REF!)-1))),":",","),",",REPT(" ",50)),((((2-INDEX('CONTROL MASTER'!$T$2:$T$495,(SUMPRODUCT((('CONTROL MASTER'!$S$2:$S$495=1)*('CONTROL MASTER'!$T$2:$T$495&lt;=2)*('CONTROL MASTER'!$V$2:$V$495&gt;=2)*('CONTROL MASTER'!$U$2:$U$495&lt;=5)*('CONTROL MASTER'!$W$2:$W$495&gt;=5))*ROW('CONTROL MASTER'!$S$2:$S$495))-(ROW('CONTROL MASTER'!#REF!)-1))))*(INDEX('CONTROL MASTER'!$W$2:$W$495,(SUMPRODUCT((('CONTROL MASTER'!$S$2:$S$495=1)*('CONTROL MASTER'!$T$2:$T$495&lt;=2)*('CONTROL MASTER'!$V$2:$V$495&gt;=2)*('CONTROL MASTER'!$U$2:$U$495&lt;=5)*('CONTROL MASTER'!$W$2:$W$495&gt;=5))*ROW('CONTROL MASTER'!$S$2:$S$495))-(ROW('CONTROL MASTER'!#REF!)-1)))-INDEX('CONTROL MASTER'!$U$2:$U$495,(SUMPRODUCT((('CONTROL MASTER'!$S$2:$S$495=1)*('CONTROL MASTER'!$T$2:$T$495&lt;=2)*('CONTROL MASTER'!$V$2:$V$495&gt;=2)*('CONTROL MASTER'!$U$2:$U$495&lt;=5)*('CONTROL MASTER'!$W$2:$W$495&gt;=5))*ROW('CONTROL MASTER'!$S$2:$S$495))-(ROW('CONTROL MASTER'!#REF!)-1)))+1)+(5-INDEX('CONTROL MASTER'!$U$2:$U$495,(SUMPRODUCT((('CONTROL MASTER'!$S$2:$S$495=1)*('CONTROL MASTER'!$T$2:$T$495&lt;=2)*('CONTROL MASTER'!$V$2:$V$495&gt;=2)*('CONTROL MASTER'!$U$2:$U$495&lt;=5)*('CONTROL MASTER'!$W$2:$W$495&gt;=5))*ROW('CONTROL MASTER'!$S$2:$S$495))-(ROW('CONTROL MASTER'!#REF!)-1))))+1))-1)*50+1,50))&amp;"_"&amp;INDEX('CONTROL MASTER'!$P$2:$P$495,(SUMPRODUCT((('CONTROL MASTER'!$S$2:$S$495=1)*('CONTROL MASTER'!$T$2:$T$495&lt;=2)*('CONTROL MASTER'!$V$2:$V$495&gt;=2)*('CONTROL MASTER'!$U$2:$U$495&lt;=5)*('CONTROL MASTER'!$W$2:$W$495&gt;=5))*ROW('CONTROL MASTER'!$S$2:$S$495))-(ROW('CONTROL MASTER'!#REF!)-1))),IF(SUMPRODUCT((('CONTROL MASTER'!$S$2:$S$495=1)*('CONTROL MASTER'!$Z$2:$Z$495&lt;=2)*('CONTROL MASTER'!$AB$2:$AB$495&gt;=2)*('CONTROL MASTER'!$AA$2:$AA$495&lt;=5)*('CONTROL MASTER'!$AC$2:$AC$495&gt;=5))*ROW('CONTROL MASTER'!$S$2:$S$495))&gt;0,INDEX('CONTROL MASTER'!$X$2:$X$495,(SUMPRODUCT((('CONTROL MASTER'!$S$2:$S$495=1)*('CONTROL MASTER'!$Z$2:$Z$495&lt;=2)*('CONTROL MASTER'!$AB$2:$AB$495&gt;=2)*('CONTROL MASTER'!$AA$2:$AA$495&lt;=5)*('CONTROL MASTER'!$AC$2:$AC$495&gt;=5))*ROW('CONTROL MASTER'!$S$2:$S$495))-(ROW('CONTROL MASTER'!#REF!)-1)))&amp;TRIM(MID(SUBSTITUTE(SUBSTITUTE(INDEX('CONTROL MASTER'!$N$2:$N$495,(SUMPRODUCT((('CONTROL MASTER'!$S$2:$S$495=1)*('CONTROL MASTER'!$Z$2:$Z$495&lt;=2)*('CONTROL MASTER'!$AB$2:$AB$495&gt;=2)*('CONTROL MASTER'!$AA$2:$AA$495&lt;=5)*('CONTROL MASTER'!$AC$2:$AC$495&gt;=5))*ROW('CONTROL MASTER'!$S$2:$S$495))-(ROW('CONTROL MASTER'!#REF!)-1))),":",","),",",REPT(" ",50)),(((INDEX('CONTROL MASTER'!$Y$2:$Y$495,(SUMPRODUCT((('CONTROL MASTER'!$S$2:$S$495=1)*('CONTROL MASTER'!$Z$2:$Z$495&lt;=2)*('CONTROL MASTER'!$AB$2:$AB$495&gt;=2)*('CONTROL MASTER'!$AA$2:$AA$495&lt;=5)*('CONTROL MASTER'!$AC$2:$AC$495&gt;=5))*ROW('CONTROL MASTER'!$S$2:$S$495))-(ROW('CONTROL MASTER'!#REF!)-1)))+((2-INDEX('CONTROL MASTER'!$Z$2:$Z$495,(SUMPRODUCT((('CONTROL MASTER'!$S$2:$S$495=1)*('CONTROL MASTER'!$Z$2:$Z$495&lt;=2)*('CONTROL MASTER'!$AB$2:$AB$495&gt;=2)*('CONTROL MASTER'!$AA$2:$AA$495&lt;=5)*('CONTROL MASTER'!$AC$2:$AC$495&gt;=5))*ROW('CONTROL MASTER'!$S$2:$S$495))-(ROW('CONTROL MASTER'!#REF!)-1))))*(INDEX('CONTROL MASTER'!$AC$2:$AC$495,(SUMPRODUCT((('CONTROL MASTER'!$S$2:$S$495=1)*('CONTROL MASTER'!$Z$2:$Z$495&lt;=2)*('CONTROL MASTER'!$AB$2:$AB$495&gt;=2)*('CONTROL MASTER'!$AA$2:$AA$495&lt;=5)*('CONTROL MASTER'!$AC$2:$AC$495&gt;=5))*ROW('CONTROL MASTER'!$S$2:$S$495))-(ROW('CONTROL MASTER'!#REF!)-1)))-INDEX('CONTROL MASTER'!$AA$2:$AA$495,(SUMPRODUCT((('CONTROL MASTER'!$S$2:$S$495=1)*('CONTROL MASTER'!$Z$2:$Z$495&lt;=2)*('CONTROL MASTER'!$AB$2:$AB$495&gt;=2)*('CONTROL MASTER'!$AA$2:$AA$495&lt;=5)*('CONTROL MASTER'!$AC$2:$AC$495&gt;=5))*ROW('CONTROL MASTER'!$S$2:$S$495))-(ROW('CONTROL MASTER'!#REF!)-1)))+1)+(5-INDEX('CONTROL MASTER'!$AA$2:$AA$495,(SUMPRODUCT((('CONTROL MASTER'!$S$2:$S$495=1)*('CONTROL MASTER'!$Z$2:$Z$495&lt;=2)*('CONTROL MASTER'!$AB$2:$AB$495&gt;=2)*('CONTROL MASTER'!$AA$2:$AA$495&lt;=5)*('CONTROL MASTER'!$AC$2:$AC$495&gt;=5))*ROW('CONTROL MASTER'!$S$2:$S$495))-(ROW('CONTROL MASTER'!#REF!)-1))))+1)))-1)*50+1,50))&amp;"_"&amp;INDEX('CONTROL MASTER'!$P$2:$P$495,(SUMPRODUCT((('CONTROL MASTER'!$S$2:$S$495=1)*('CONTROL MASTER'!$Z$2:$Z$495&lt;=2)*('CONTROL MASTER'!$AB$2:$AB$495&gt;=2)*('CONTROL MASTER'!$AA$2:$AA$495&lt;=5)*('CONTROL MASTER'!$AC$2:$AC$495&gt;=5))*ROW('CONTROL MASTER'!$S$2:$S$495))-(ROW('CONTROL MASTER'!#REF!)-1))),"")),"")</f>
        <v/>
      </c>
      <c r="G4" s="10" t="str">
        <f>IFERROR(IF(SUMPRODUCT((('CONTROL MASTER'!$S$2:$S$495=1)*('CONTROL MASTER'!$T$2:$T$495&lt;=2)*('CONTROL MASTER'!$V$2:$V$495&gt;=2)*('CONTROL MASTER'!$U$2:$U$495&lt;=6)*('CONTROL MASTER'!$W$2:$W$495&gt;=6))*ROW('CONTROL MASTER'!$S$2:$S$495))&gt;0,INDEX('CONTROL MASTER'!$X$2:$X$495,(SUMPRODUCT((('CONTROL MASTER'!$S$2:$S$495=1)*('CONTROL MASTER'!$T$2:$T$495&lt;=2)*('CONTROL MASTER'!$V$2:$V$495&gt;=2)*('CONTROL MASTER'!$U$2:$U$495&lt;=6)*('CONTROL MASTER'!$W$2:$W$495&gt;=6))*ROW('CONTROL MASTER'!$S$2:$S$495))-(ROW('CONTROL MASTER'!#REF!)-1)))&amp;TRIM(MID(SUBSTITUTE(SUBSTITUTE(INDEX('CONTROL MASTER'!$N$2:$N$495,(SUMPRODUCT((('CONTROL MASTER'!$S$2:$S$495=1)*('CONTROL MASTER'!$T$2:$T$495&lt;=2)*('CONTROL MASTER'!$V$2:$V$495&gt;=2)*('CONTROL MASTER'!$U$2:$U$495&lt;=6)*('CONTROL MASTER'!$W$2:$W$495&gt;=6))*ROW('CONTROL MASTER'!$S$2:$S$495))-(ROW('CONTROL MASTER'!#REF!)-1))),":",","),",",REPT(" ",50)),((((2-INDEX('CONTROL MASTER'!$T$2:$T$495,(SUMPRODUCT((('CONTROL MASTER'!$S$2:$S$495=1)*('CONTROL MASTER'!$T$2:$T$495&lt;=2)*('CONTROL MASTER'!$V$2:$V$495&gt;=2)*('CONTROL MASTER'!$U$2:$U$495&lt;=6)*('CONTROL MASTER'!$W$2:$W$495&gt;=6))*ROW('CONTROL MASTER'!$S$2:$S$495))-(ROW('CONTROL MASTER'!#REF!)-1))))*(INDEX('CONTROL MASTER'!$W$2:$W$495,(SUMPRODUCT((('CONTROL MASTER'!$S$2:$S$495=1)*('CONTROL MASTER'!$T$2:$T$495&lt;=2)*('CONTROL MASTER'!$V$2:$V$495&gt;=2)*('CONTROL MASTER'!$U$2:$U$495&lt;=6)*('CONTROL MASTER'!$W$2:$W$495&gt;=6))*ROW('CONTROL MASTER'!$S$2:$S$495))-(ROW('CONTROL MASTER'!#REF!)-1)))-INDEX('CONTROL MASTER'!$U$2:$U$495,(SUMPRODUCT((('CONTROL MASTER'!$S$2:$S$495=1)*('CONTROL MASTER'!$T$2:$T$495&lt;=2)*('CONTROL MASTER'!$V$2:$V$495&gt;=2)*('CONTROL MASTER'!$U$2:$U$495&lt;=6)*('CONTROL MASTER'!$W$2:$W$495&gt;=6))*ROW('CONTROL MASTER'!$S$2:$S$495))-(ROW('CONTROL MASTER'!#REF!)-1)))+1)+(6-INDEX('CONTROL MASTER'!$U$2:$U$495,(SUMPRODUCT((('CONTROL MASTER'!$S$2:$S$495=1)*('CONTROL MASTER'!$T$2:$T$495&lt;=2)*('CONTROL MASTER'!$V$2:$V$495&gt;=2)*('CONTROL MASTER'!$U$2:$U$495&lt;=6)*('CONTROL MASTER'!$W$2:$W$495&gt;=6))*ROW('CONTROL MASTER'!$S$2:$S$495))-(ROW('CONTROL MASTER'!#REF!)-1))))+1))-1)*50+1,50))&amp;"_"&amp;INDEX('CONTROL MASTER'!$P$2:$P$495,(SUMPRODUCT((('CONTROL MASTER'!$S$2:$S$495=1)*('CONTROL MASTER'!$T$2:$T$495&lt;=2)*('CONTROL MASTER'!$V$2:$V$495&gt;=2)*('CONTROL MASTER'!$U$2:$U$495&lt;=6)*('CONTROL MASTER'!$W$2:$W$495&gt;=6))*ROW('CONTROL MASTER'!$S$2:$S$495))-(ROW('CONTROL MASTER'!#REF!)-1))),IF(SUMPRODUCT((('CONTROL MASTER'!$S$2:$S$495=1)*('CONTROL MASTER'!$Z$2:$Z$495&lt;=2)*('CONTROL MASTER'!$AB$2:$AB$495&gt;=2)*('CONTROL MASTER'!$AA$2:$AA$495&lt;=6)*('CONTROL MASTER'!$AC$2:$AC$495&gt;=6))*ROW('CONTROL MASTER'!$S$2:$S$495))&gt;0,INDEX('CONTROL MASTER'!$X$2:$X$495,(SUMPRODUCT((('CONTROL MASTER'!$S$2:$S$495=1)*('CONTROL MASTER'!$Z$2:$Z$495&lt;=2)*('CONTROL MASTER'!$AB$2:$AB$495&gt;=2)*('CONTROL MASTER'!$AA$2:$AA$495&lt;=6)*('CONTROL MASTER'!$AC$2:$AC$495&gt;=6))*ROW('CONTROL MASTER'!$S$2:$S$495))-(ROW('CONTROL MASTER'!#REF!)-1)))&amp;TRIM(MID(SUBSTITUTE(SUBSTITUTE(INDEX('CONTROL MASTER'!$N$2:$N$495,(SUMPRODUCT((('CONTROL MASTER'!$S$2:$S$495=1)*('CONTROL MASTER'!$Z$2:$Z$495&lt;=2)*('CONTROL MASTER'!$AB$2:$AB$495&gt;=2)*('CONTROL MASTER'!$AA$2:$AA$495&lt;=6)*('CONTROL MASTER'!$AC$2:$AC$495&gt;=6))*ROW('CONTROL MASTER'!$S$2:$S$495))-(ROW('CONTROL MASTER'!#REF!)-1))),":",","),",",REPT(" ",50)),(((INDEX('CONTROL MASTER'!$Y$2:$Y$495,(SUMPRODUCT((('CONTROL MASTER'!$S$2:$S$495=1)*('CONTROL MASTER'!$Z$2:$Z$495&lt;=2)*('CONTROL MASTER'!$AB$2:$AB$495&gt;=2)*('CONTROL MASTER'!$AA$2:$AA$495&lt;=6)*('CONTROL MASTER'!$AC$2:$AC$495&gt;=6))*ROW('CONTROL MASTER'!$S$2:$S$495))-(ROW('CONTROL MASTER'!#REF!)-1)))+((2-INDEX('CONTROL MASTER'!$Z$2:$Z$495,(SUMPRODUCT((('CONTROL MASTER'!$S$2:$S$495=1)*('CONTROL MASTER'!$Z$2:$Z$495&lt;=2)*('CONTROL MASTER'!$AB$2:$AB$495&gt;=2)*('CONTROL MASTER'!$AA$2:$AA$495&lt;=6)*('CONTROL MASTER'!$AC$2:$AC$495&gt;=6))*ROW('CONTROL MASTER'!$S$2:$S$495))-(ROW('CONTROL MASTER'!#REF!)-1))))*(INDEX('CONTROL MASTER'!$AC$2:$AC$495,(SUMPRODUCT((('CONTROL MASTER'!$S$2:$S$495=1)*('CONTROL MASTER'!$Z$2:$Z$495&lt;=2)*('CONTROL MASTER'!$AB$2:$AB$495&gt;=2)*('CONTROL MASTER'!$AA$2:$AA$495&lt;=6)*('CONTROL MASTER'!$AC$2:$AC$495&gt;=6))*ROW('CONTROL MASTER'!$S$2:$S$495))-(ROW('CONTROL MASTER'!#REF!)-1)))-INDEX('CONTROL MASTER'!$AA$2:$AA$495,(SUMPRODUCT((('CONTROL MASTER'!$S$2:$S$495=1)*('CONTROL MASTER'!$Z$2:$Z$495&lt;=2)*('CONTROL MASTER'!$AB$2:$AB$495&gt;=2)*('CONTROL MASTER'!$AA$2:$AA$495&lt;=6)*('CONTROL MASTER'!$AC$2:$AC$495&gt;=6))*ROW('CONTROL MASTER'!$S$2:$S$495))-(ROW('CONTROL MASTER'!#REF!)-1)))+1)+(6-INDEX('CONTROL MASTER'!$AA$2:$AA$495,(SUMPRODUCT((('CONTROL MASTER'!$S$2:$S$495=1)*('CONTROL MASTER'!$Z$2:$Z$495&lt;=2)*('CONTROL MASTER'!$AB$2:$AB$495&gt;=2)*('CONTROL MASTER'!$AA$2:$AA$495&lt;=6)*('CONTROL MASTER'!$AC$2:$AC$495&gt;=6))*ROW('CONTROL MASTER'!$S$2:$S$495))-(ROW('CONTROL MASTER'!#REF!)-1))))+1)))-1)*50+1,50))&amp;"_"&amp;INDEX('CONTROL MASTER'!$P$2:$P$495,(SUMPRODUCT((('CONTROL MASTER'!$S$2:$S$495=1)*('CONTROL MASTER'!$Z$2:$Z$495&lt;=2)*('CONTROL MASTER'!$AB$2:$AB$495&gt;=2)*('CONTROL MASTER'!$AA$2:$AA$495&lt;=6)*('CONTROL MASTER'!$AC$2:$AC$495&gt;=6))*ROW('CONTROL MASTER'!$S$2:$S$495))-(ROW('CONTROL MASTER'!#REF!)-1))),"")),"")</f>
        <v/>
      </c>
      <c r="H4" s="10" t="str">
        <f>IFERROR(IF(SUMPRODUCT((('CONTROL MASTER'!$S$2:$S$495=1)*('CONTROL MASTER'!$T$2:$T$495&lt;=2)*('CONTROL MASTER'!$V$2:$V$495&gt;=2)*('CONTROL MASTER'!$U$2:$U$495&lt;=7)*('CONTROL MASTER'!$W$2:$W$495&gt;=7))*ROW('CONTROL MASTER'!$S$2:$S$495))&gt;0,INDEX('CONTROL MASTER'!$X$2:$X$495,(SUMPRODUCT((('CONTROL MASTER'!$S$2:$S$495=1)*('CONTROL MASTER'!$T$2:$T$495&lt;=2)*('CONTROL MASTER'!$V$2:$V$495&gt;=2)*('CONTROL MASTER'!$U$2:$U$495&lt;=7)*('CONTROL MASTER'!$W$2:$W$495&gt;=7))*ROW('CONTROL MASTER'!$S$2:$S$495))-(ROW('CONTROL MASTER'!#REF!)-1)))&amp;TRIM(MID(SUBSTITUTE(SUBSTITUTE(INDEX('CONTROL MASTER'!$N$2:$N$495,(SUMPRODUCT((('CONTROL MASTER'!$S$2:$S$495=1)*('CONTROL MASTER'!$T$2:$T$495&lt;=2)*('CONTROL MASTER'!$V$2:$V$495&gt;=2)*('CONTROL MASTER'!$U$2:$U$495&lt;=7)*('CONTROL MASTER'!$W$2:$W$495&gt;=7))*ROW('CONTROL MASTER'!$S$2:$S$495))-(ROW('CONTROL MASTER'!#REF!)-1))),":",","),",",REPT(" ",50)),((((2-INDEX('CONTROL MASTER'!$T$2:$T$495,(SUMPRODUCT((('CONTROL MASTER'!$S$2:$S$495=1)*('CONTROL MASTER'!$T$2:$T$495&lt;=2)*('CONTROL MASTER'!$V$2:$V$495&gt;=2)*('CONTROL MASTER'!$U$2:$U$495&lt;=7)*('CONTROL MASTER'!$W$2:$W$495&gt;=7))*ROW('CONTROL MASTER'!$S$2:$S$495))-(ROW('CONTROL MASTER'!#REF!)-1))))*(INDEX('CONTROL MASTER'!$W$2:$W$495,(SUMPRODUCT((('CONTROL MASTER'!$S$2:$S$495=1)*('CONTROL MASTER'!$T$2:$T$495&lt;=2)*('CONTROL MASTER'!$V$2:$V$495&gt;=2)*('CONTROL MASTER'!$U$2:$U$495&lt;=7)*('CONTROL MASTER'!$W$2:$W$495&gt;=7))*ROW('CONTROL MASTER'!$S$2:$S$495))-(ROW('CONTROL MASTER'!#REF!)-1)))-INDEX('CONTROL MASTER'!$U$2:$U$495,(SUMPRODUCT((('CONTROL MASTER'!$S$2:$S$495=1)*('CONTROL MASTER'!$T$2:$T$495&lt;=2)*('CONTROL MASTER'!$V$2:$V$495&gt;=2)*('CONTROL MASTER'!$U$2:$U$495&lt;=7)*('CONTROL MASTER'!$W$2:$W$495&gt;=7))*ROW('CONTROL MASTER'!$S$2:$S$495))-(ROW('CONTROL MASTER'!#REF!)-1)))+1)+(7-INDEX('CONTROL MASTER'!$U$2:$U$495,(SUMPRODUCT((('CONTROL MASTER'!$S$2:$S$495=1)*('CONTROL MASTER'!$T$2:$T$495&lt;=2)*('CONTROL MASTER'!$V$2:$V$495&gt;=2)*('CONTROL MASTER'!$U$2:$U$495&lt;=7)*('CONTROL MASTER'!$W$2:$W$495&gt;=7))*ROW('CONTROL MASTER'!$S$2:$S$495))-(ROW('CONTROL MASTER'!#REF!)-1))))+1))-1)*50+1,50))&amp;"_"&amp;INDEX('CONTROL MASTER'!$P$2:$P$495,(SUMPRODUCT((('CONTROL MASTER'!$S$2:$S$495=1)*('CONTROL MASTER'!$T$2:$T$495&lt;=2)*('CONTROL MASTER'!$V$2:$V$495&gt;=2)*('CONTROL MASTER'!$U$2:$U$495&lt;=7)*('CONTROL MASTER'!$W$2:$W$495&gt;=7))*ROW('CONTROL MASTER'!$S$2:$S$495))-(ROW('CONTROL MASTER'!#REF!)-1))),IF(SUMPRODUCT((('CONTROL MASTER'!$S$2:$S$495=1)*('CONTROL MASTER'!$Z$2:$Z$495&lt;=2)*('CONTROL MASTER'!$AB$2:$AB$495&gt;=2)*('CONTROL MASTER'!$AA$2:$AA$495&lt;=7)*('CONTROL MASTER'!$AC$2:$AC$495&gt;=7))*ROW('CONTROL MASTER'!$S$2:$S$495))&gt;0,INDEX('CONTROL MASTER'!$X$2:$X$495,(SUMPRODUCT((('CONTROL MASTER'!$S$2:$S$495=1)*('CONTROL MASTER'!$Z$2:$Z$495&lt;=2)*('CONTROL MASTER'!$AB$2:$AB$495&gt;=2)*('CONTROL MASTER'!$AA$2:$AA$495&lt;=7)*('CONTROL MASTER'!$AC$2:$AC$495&gt;=7))*ROW('CONTROL MASTER'!$S$2:$S$495))-(ROW('CONTROL MASTER'!#REF!)-1)))&amp;TRIM(MID(SUBSTITUTE(SUBSTITUTE(INDEX('CONTROL MASTER'!$N$2:$N$495,(SUMPRODUCT((('CONTROL MASTER'!$S$2:$S$495=1)*('CONTROL MASTER'!$Z$2:$Z$495&lt;=2)*('CONTROL MASTER'!$AB$2:$AB$495&gt;=2)*('CONTROL MASTER'!$AA$2:$AA$495&lt;=7)*('CONTROL MASTER'!$AC$2:$AC$495&gt;=7))*ROW('CONTROL MASTER'!$S$2:$S$495))-(ROW('CONTROL MASTER'!#REF!)-1))),":",","),",",REPT(" ",50)),(((INDEX('CONTROL MASTER'!$Y$2:$Y$495,(SUMPRODUCT((('CONTROL MASTER'!$S$2:$S$495=1)*('CONTROL MASTER'!$Z$2:$Z$495&lt;=2)*('CONTROL MASTER'!$AB$2:$AB$495&gt;=2)*('CONTROL MASTER'!$AA$2:$AA$495&lt;=7)*('CONTROL MASTER'!$AC$2:$AC$495&gt;=7))*ROW('CONTROL MASTER'!$S$2:$S$495))-(ROW('CONTROL MASTER'!#REF!)-1)))+((2-INDEX('CONTROL MASTER'!$Z$2:$Z$495,(SUMPRODUCT((('CONTROL MASTER'!$S$2:$S$495=1)*('CONTROL MASTER'!$Z$2:$Z$495&lt;=2)*('CONTROL MASTER'!$AB$2:$AB$495&gt;=2)*('CONTROL MASTER'!$AA$2:$AA$495&lt;=7)*('CONTROL MASTER'!$AC$2:$AC$495&gt;=7))*ROW('CONTROL MASTER'!$S$2:$S$495))-(ROW('CONTROL MASTER'!#REF!)-1))))*(INDEX('CONTROL MASTER'!$AC$2:$AC$495,(SUMPRODUCT((('CONTROL MASTER'!$S$2:$S$495=1)*('CONTROL MASTER'!$Z$2:$Z$495&lt;=2)*('CONTROL MASTER'!$AB$2:$AB$495&gt;=2)*('CONTROL MASTER'!$AA$2:$AA$495&lt;=7)*('CONTROL MASTER'!$AC$2:$AC$495&gt;=7))*ROW('CONTROL MASTER'!$S$2:$S$495))-(ROW('CONTROL MASTER'!#REF!)-1)))-INDEX('CONTROL MASTER'!$AA$2:$AA$495,(SUMPRODUCT((('CONTROL MASTER'!$S$2:$S$495=1)*('CONTROL MASTER'!$Z$2:$Z$495&lt;=2)*('CONTROL MASTER'!$AB$2:$AB$495&gt;=2)*('CONTROL MASTER'!$AA$2:$AA$495&lt;=7)*('CONTROL MASTER'!$AC$2:$AC$495&gt;=7))*ROW('CONTROL MASTER'!$S$2:$S$495))-(ROW('CONTROL MASTER'!#REF!)-1)))+1)+(7-INDEX('CONTROL MASTER'!$AA$2:$AA$495,(SUMPRODUCT((('CONTROL MASTER'!$S$2:$S$495=1)*('CONTROL MASTER'!$Z$2:$Z$495&lt;=2)*('CONTROL MASTER'!$AB$2:$AB$495&gt;=2)*('CONTROL MASTER'!$AA$2:$AA$495&lt;=7)*('CONTROL MASTER'!$AC$2:$AC$495&gt;=7))*ROW('CONTROL MASTER'!$S$2:$S$495))-(ROW('CONTROL MASTER'!#REF!)-1))))+1)))-1)*50+1,50))&amp;"_"&amp;INDEX('CONTROL MASTER'!$P$2:$P$495,(SUMPRODUCT((('CONTROL MASTER'!$S$2:$S$495=1)*('CONTROL MASTER'!$Z$2:$Z$495&lt;=2)*('CONTROL MASTER'!$AB$2:$AB$495&gt;=2)*('CONTROL MASTER'!$AA$2:$AA$495&lt;=7)*('CONTROL MASTER'!$AC$2:$AC$495&gt;=7))*ROW('CONTROL MASTER'!$S$2:$S$495))-(ROW('CONTROL MASTER'!#REF!)-1))),"")),"")</f>
        <v/>
      </c>
      <c r="I4" s="10" t="str">
        <f>IFERROR(IF(SUMPRODUCT((('CONTROL MASTER'!$S$2:$S$495=1)*('CONTROL MASTER'!$T$2:$T$495&lt;=2)*('CONTROL MASTER'!$V$2:$V$495&gt;=2)*('CONTROL MASTER'!$U$2:$U$495&lt;=8)*('CONTROL MASTER'!$W$2:$W$495&gt;=8))*ROW('CONTROL MASTER'!$S$2:$S$495))&gt;0,INDEX('CONTROL MASTER'!$X$2:$X$495,(SUMPRODUCT((('CONTROL MASTER'!$S$2:$S$495=1)*('CONTROL MASTER'!$T$2:$T$495&lt;=2)*('CONTROL MASTER'!$V$2:$V$495&gt;=2)*('CONTROL MASTER'!$U$2:$U$495&lt;=8)*('CONTROL MASTER'!$W$2:$W$495&gt;=8))*ROW('CONTROL MASTER'!$S$2:$S$495))-(ROW('CONTROL MASTER'!#REF!)-1)))&amp;TRIM(MID(SUBSTITUTE(SUBSTITUTE(INDEX('CONTROL MASTER'!$N$2:$N$495,(SUMPRODUCT((('CONTROL MASTER'!$S$2:$S$495=1)*('CONTROL MASTER'!$T$2:$T$495&lt;=2)*('CONTROL MASTER'!$V$2:$V$495&gt;=2)*('CONTROL MASTER'!$U$2:$U$495&lt;=8)*('CONTROL MASTER'!$W$2:$W$495&gt;=8))*ROW('CONTROL MASTER'!$S$2:$S$495))-(ROW('CONTROL MASTER'!#REF!)-1))),":",","),",",REPT(" ",50)),((((2-INDEX('CONTROL MASTER'!$T$2:$T$495,(SUMPRODUCT((('CONTROL MASTER'!$S$2:$S$495=1)*('CONTROL MASTER'!$T$2:$T$495&lt;=2)*('CONTROL MASTER'!$V$2:$V$495&gt;=2)*('CONTROL MASTER'!$U$2:$U$495&lt;=8)*('CONTROL MASTER'!$W$2:$W$495&gt;=8))*ROW('CONTROL MASTER'!$S$2:$S$495))-(ROW('CONTROL MASTER'!#REF!)-1))))*(INDEX('CONTROL MASTER'!$W$2:$W$495,(SUMPRODUCT((('CONTROL MASTER'!$S$2:$S$495=1)*('CONTROL MASTER'!$T$2:$T$495&lt;=2)*('CONTROL MASTER'!$V$2:$V$495&gt;=2)*('CONTROL MASTER'!$U$2:$U$495&lt;=8)*('CONTROL MASTER'!$W$2:$W$495&gt;=8))*ROW('CONTROL MASTER'!$S$2:$S$495))-(ROW('CONTROL MASTER'!#REF!)-1)))-INDEX('CONTROL MASTER'!$U$2:$U$495,(SUMPRODUCT((('CONTROL MASTER'!$S$2:$S$495=1)*('CONTROL MASTER'!$T$2:$T$495&lt;=2)*('CONTROL MASTER'!$V$2:$V$495&gt;=2)*('CONTROL MASTER'!$U$2:$U$495&lt;=8)*('CONTROL MASTER'!$W$2:$W$495&gt;=8))*ROW('CONTROL MASTER'!$S$2:$S$495))-(ROW('CONTROL MASTER'!#REF!)-1)))+1)+(8-INDEX('CONTROL MASTER'!$U$2:$U$495,(SUMPRODUCT((('CONTROL MASTER'!$S$2:$S$495=1)*('CONTROL MASTER'!$T$2:$T$495&lt;=2)*('CONTROL MASTER'!$V$2:$V$495&gt;=2)*('CONTROL MASTER'!$U$2:$U$495&lt;=8)*('CONTROL MASTER'!$W$2:$W$495&gt;=8))*ROW('CONTROL MASTER'!$S$2:$S$495))-(ROW('CONTROL MASTER'!#REF!)-1))))+1))-1)*50+1,50))&amp;"_"&amp;INDEX('CONTROL MASTER'!$P$2:$P$495,(SUMPRODUCT((('CONTROL MASTER'!$S$2:$S$495=1)*('CONTROL MASTER'!$T$2:$T$495&lt;=2)*('CONTROL MASTER'!$V$2:$V$495&gt;=2)*('CONTROL MASTER'!$U$2:$U$495&lt;=8)*('CONTROL MASTER'!$W$2:$W$495&gt;=8))*ROW('CONTROL MASTER'!$S$2:$S$495))-(ROW('CONTROL MASTER'!#REF!)-1))),IF(SUMPRODUCT((('CONTROL MASTER'!$S$2:$S$495=1)*('CONTROL MASTER'!$Z$2:$Z$495&lt;=2)*('CONTROL MASTER'!$AB$2:$AB$495&gt;=2)*('CONTROL MASTER'!$AA$2:$AA$495&lt;=8)*('CONTROL MASTER'!$AC$2:$AC$495&gt;=8))*ROW('CONTROL MASTER'!$S$2:$S$495))&gt;0,INDEX('CONTROL MASTER'!$X$2:$X$495,(SUMPRODUCT((('CONTROL MASTER'!$S$2:$S$495=1)*('CONTROL MASTER'!$Z$2:$Z$495&lt;=2)*('CONTROL MASTER'!$AB$2:$AB$495&gt;=2)*('CONTROL MASTER'!$AA$2:$AA$495&lt;=8)*('CONTROL MASTER'!$AC$2:$AC$495&gt;=8))*ROW('CONTROL MASTER'!$S$2:$S$495))-(ROW('CONTROL MASTER'!#REF!)-1)))&amp;TRIM(MID(SUBSTITUTE(SUBSTITUTE(INDEX('CONTROL MASTER'!$N$2:$N$495,(SUMPRODUCT((('CONTROL MASTER'!$S$2:$S$495=1)*('CONTROL MASTER'!$Z$2:$Z$495&lt;=2)*('CONTROL MASTER'!$AB$2:$AB$495&gt;=2)*('CONTROL MASTER'!$AA$2:$AA$495&lt;=8)*('CONTROL MASTER'!$AC$2:$AC$495&gt;=8))*ROW('CONTROL MASTER'!$S$2:$S$495))-(ROW('CONTROL MASTER'!#REF!)-1))),":",","),",",REPT(" ",50)),(((INDEX('CONTROL MASTER'!$Y$2:$Y$495,(SUMPRODUCT((('CONTROL MASTER'!$S$2:$S$495=1)*('CONTROL MASTER'!$Z$2:$Z$495&lt;=2)*('CONTROL MASTER'!$AB$2:$AB$495&gt;=2)*('CONTROL MASTER'!$AA$2:$AA$495&lt;=8)*('CONTROL MASTER'!$AC$2:$AC$495&gt;=8))*ROW('CONTROL MASTER'!$S$2:$S$495))-(ROW('CONTROL MASTER'!#REF!)-1)))+((2-INDEX('CONTROL MASTER'!$Z$2:$Z$495,(SUMPRODUCT((('CONTROL MASTER'!$S$2:$S$495=1)*('CONTROL MASTER'!$Z$2:$Z$495&lt;=2)*('CONTROL MASTER'!$AB$2:$AB$495&gt;=2)*('CONTROL MASTER'!$AA$2:$AA$495&lt;=8)*('CONTROL MASTER'!$AC$2:$AC$495&gt;=8))*ROW('CONTROL MASTER'!$S$2:$S$495))-(ROW('CONTROL MASTER'!#REF!)-1))))*(INDEX('CONTROL MASTER'!$AC$2:$AC$495,(SUMPRODUCT((('CONTROL MASTER'!$S$2:$S$495=1)*('CONTROL MASTER'!$Z$2:$Z$495&lt;=2)*('CONTROL MASTER'!$AB$2:$AB$495&gt;=2)*('CONTROL MASTER'!$AA$2:$AA$495&lt;=8)*('CONTROL MASTER'!$AC$2:$AC$495&gt;=8))*ROW('CONTROL MASTER'!$S$2:$S$495))-(ROW('CONTROL MASTER'!#REF!)-1)))-INDEX('CONTROL MASTER'!$AA$2:$AA$495,(SUMPRODUCT((('CONTROL MASTER'!$S$2:$S$495=1)*('CONTROL MASTER'!$Z$2:$Z$495&lt;=2)*('CONTROL MASTER'!$AB$2:$AB$495&gt;=2)*('CONTROL MASTER'!$AA$2:$AA$495&lt;=8)*('CONTROL MASTER'!$AC$2:$AC$495&gt;=8))*ROW('CONTROL MASTER'!$S$2:$S$495))-(ROW('CONTROL MASTER'!#REF!)-1)))+1)+(8-INDEX('CONTROL MASTER'!$AA$2:$AA$495,(SUMPRODUCT((('CONTROL MASTER'!$S$2:$S$495=1)*('CONTROL MASTER'!$Z$2:$Z$495&lt;=2)*('CONTROL MASTER'!$AB$2:$AB$495&gt;=2)*('CONTROL MASTER'!$AA$2:$AA$495&lt;=8)*('CONTROL MASTER'!$AC$2:$AC$495&gt;=8))*ROW('CONTROL MASTER'!$S$2:$S$495))-(ROW('CONTROL MASTER'!#REF!)-1))))+1)))-1)*50+1,50))&amp;"_"&amp;INDEX('CONTROL MASTER'!$P$2:$P$495,(SUMPRODUCT((('CONTROL MASTER'!$S$2:$S$495=1)*('CONTROL MASTER'!$Z$2:$Z$495&lt;=2)*('CONTROL MASTER'!$AB$2:$AB$495&gt;=2)*('CONTROL MASTER'!$AA$2:$AA$495&lt;=8)*('CONTROL MASTER'!$AC$2:$AC$495&gt;=8))*ROW('CONTROL MASTER'!$S$2:$S$495))-(ROW('CONTROL MASTER'!#REF!)-1))),"")),"")</f>
        <v/>
      </c>
      <c r="J4" s="10" t="str">
        <f>IFERROR(IF(SUMPRODUCT((('CONTROL MASTER'!$S$2:$S$495=1)*('CONTROL MASTER'!$T$2:$T$495&lt;=2)*('CONTROL MASTER'!$V$2:$V$495&gt;=2)*('CONTROL MASTER'!$U$2:$U$495&lt;=9)*('CONTROL MASTER'!$W$2:$W$495&gt;=9))*ROW('CONTROL MASTER'!$S$2:$S$495))&gt;0,INDEX('CONTROL MASTER'!$X$2:$X$495,(SUMPRODUCT((('CONTROL MASTER'!$S$2:$S$495=1)*('CONTROL MASTER'!$T$2:$T$495&lt;=2)*('CONTROL MASTER'!$V$2:$V$495&gt;=2)*('CONTROL MASTER'!$U$2:$U$495&lt;=9)*('CONTROL MASTER'!$W$2:$W$495&gt;=9))*ROW('CONTROL MASTER'!$S$2:$S$495))-(ROW('CONTROL MASTER'!#REF!)-1)))&amp;TRIM(MID(SUBSTITUTE(SUBSTITUTE(INDEX('CONTROL MASTER'!$N$2:$N$495,(SUMPRODUCT((('CONTROL MASTER'!$S$2:$S$495=1)*('CONTROL MASTER'!$T$2:$T$495&lt;=2)*('CONTROL MASTER'!$V$2:$V$495&gt;=2)*('CONTROL MASTER'!$U$2:$U$495&lt;=9)*('CONTROL MASTER'!$W$2:$W$495&gt;=9))*ROW('CONTROL MASTER'!$S$2:$S$495))-(ROW('CONTROL MASTER'!#REF!)-1))),":",","),",",REPT(" ",50)),((((2-INDEX('CONTROL MASTER'!$T$2:$T$495,(SUMPRODUCT((('CONTROL MASTER'!$S$2:$S$495=1)*('CONTROL MASTER'!$T$2:$T$495&lt;=2)*('CONTROL MASTER'!$V$2:$V$495&gt;=2)*('CONTROL MASTER'!$U$2:$U$495&lt;=9)*('CONTROL MASTER'!$W$2:$W$495&gt;=9))*ROW('CONTROL MASTER'!$S$2:$S$495))-(ROW('CONTROL MASTER'!#REF!)-1))))*(INDEX('CONTROL MASTER'!$W$2:$W$495,(SUMPRODUCT((('CONTROL MASTER'!$S$2:$S$495=1)*('CONTROL MASTER'!$T$2:$T$495&lt;=2)*('CONTROL MASTER'!$V$2:$V$495&gt;=2)*('CONTROL MASTER'!$U$2:$U$495&lt;=9)*('CONTROL MASTER'!$W$2:$W$495&gt;=9))*ROW('CONTROL MASTER'!$S$2:$S$495))-(ROW('CONTROL MASTER'!#REF!)-1)))-INDEX('CONTROL MASTER'!$U$2:$U$495,(SUMPRODUCT((('CONTROL MASTER'!$S$2:$S$495=1)*('CONTROL MASTER'!$T$2:$T$495&lt;=2)*('CONTROL MASTER'!$V$2:$V$495&gt;=2)*('CONTROL MASTER'!$U$2:$U$495&lt;=9)*('CONTROL MASTER'!$W$2:$W$495&gt;=9))*ROW('CONTROL MASTER'!$S$2:$S$495))-(ROW('CONTROL MASTER'!#REF!)-1)))+1)+(9-INDEX('CONTROL MASTER'!$U$2:$U$495,(SUMPRODUCT((('CONTROL MASTER'!$S$2:$S$495=1)*('CONTROL MASTER'!$T$2:$T$495&lt;=2)*('CONTROL MASTER'!$V$2:$V$495&gt;=2)*('CONTROL MASTER'!$U$2:$U$495&lt;=9)*('CONTROL MASTER'!$W$2:$W$495&gt;=9))*ROW('CONTROL MASTER'!$S$2:$S$495))-(ROW('CONTROL MASTER'!#REF!)-1))))+1))-1)*50+1,50))&amp;"_"&amp;INDEX('CONTROL MASTER'!$P$2:$P$495,(SUMPRODUCT((('CONTROL MASTER'!$S$2:$S$495=1)*('CONTROL MASTER'!$T$2:$T$495&lt;=2)*('CONTROL MASTER'!$V$2:$V$495&gt;=2)*('CONTROL MASTER'!$U$2:$U$495&lt;=9)*('CONTROL MASTER'!$W$2:$W$495&gt;=9))*ROW('CONTROL MASTER'!$S$2:$S$495))-(ROW('CONTROL MASTER'!#REF!)-1))),IF(SUMPRODUCT((('CONTROL MASTER'!$S$2:$S$495=1)*('CONTROL MASTER'!$Z$2:$Z$495&lt;=2)*('CONTROL MASTER'!$AB$2:$AB$495&gt;=2)*('CONTROL MASTER'!$AA$2:$AA$495&lt;=9)*('CONTROL MASTER'!$AC$2:$AC$495&gt;=9))*ROW('CONTROL MASTER'!$S$2:$S$495))&gt;0,INDEX('CONTROL MASTER'!$X$2:$X$495,(SUMPRODUCT((('CONTROL MASTER'!$S$2:$S$495=1)*('CONTROL MASTER'!$Z$2:$Z$495&lt;=2)*('CONTROL MASTER'!$AB$2:$AB$495&gt;=2)*('CONTROL MASTER'!$AA$2:$AA$495&lt;=9)*('CONTROL MASTER'!$AC$2:$AC$495&gt;=9))*ROW('CONTROL MASTER'!$S$2:$S$495))-(ROW('CONTROL MASTER'!#REF!)-1)))&amp;TRIM(MID(SUBSTITUTE(SUBSTITUTE(INDEX('CONTROL MASTER'!$N$2:$N$495,(SUMPRODUCT((('CONTROL MASTER'!$S$2:$S$495=1)*('CONTROL MASTER'!$Z$2:$Z$495&lt;=2)*('CONTROL MASTER'!$AB$2:$AB$495&gt;=2)*('CONTROL MASTER'!$AA$2:$AA$495&lt;=9)*('CONTROL MASTER'!$AC$2:$AC$495&gt;=9))*ROW('CONTROL MASTER'!$S$2:$S$495))-(ROW('CONTROL MASTER'!#REF!)-1))),":",","),",",REPT(" ",50)),(((INDEX('CONTROL MASTER'!$Y$2:$Y$495,(SUMPRODUCT((('CONTROL MASTER'!$S$2:$S$495=1)*('CONTROL MASTER'!$Z$2:$Z$495&lt;=2)*('CONTROL MASTER'!$AB$2:$AB$495&gt;=2)*('CONTROL MASTER'!$AA$2:$AA$495&lt;=9)*('CONTROL MASTER'!$AC$2:$AC$495&gt;=9))*ROW('CONTROL MASTER'!$S$2:$S$495))-(ROW('CONTROL MASTER'!#REF!)-1)))+((2-INDEX('CONTROL MASTER'!$Z$2:$Z$495,(SUMPRODUCT((('CONTROL MASTER'!$S$2:$S$495=1)*('CONTROL MASTER'!$Z$2:$Z$495&lt;=2)*('CONTROL MASTER'!$AB$2:$AB$495&gt;=2)*('CONTROL MASTER'!$AA$2:$AA$495&lt;=9)*('CONTROL MASTER'!$AC$2:$AC$495&gt;=9))*ROW('CONTROL MASTER'!$S$2:$S$495))-(ROW('CONTROL MASTER'!#REF!)-1))))*(INDEX('CONTROL MASTER'!$AC$2:$AC$495,(SUMPRODUCT((('CONTROL MASTER'!$S$2:$S$495=1)*('CONTROL MASTER'!$Z$2:$Z$495&lt;=2)*('CONTROL MASTER'!$AB$2:$AB$495&gt;=2)*('CONTROL MASTER'!$AA$2:$AA$495&lt;=9)*('CONTROL MASTER'!$AC$2:$AC$495&gt;=9))*ROW('CONTROL MASTER'!$S$2:$S$495))-(ROW('CONTROL MASTER'!#REF!)-1)))-INDEX('CONTROL MASTER'!$AA$2:$AA$495,(SUMPRODUCT((('CONTROL MASTER'!$S$2:$S$495=1)*('CONTROL MASTER'!$Z$2:$Z$495&lt;=2)*('CONTROL MASTER'!$AB$2:$AB$495&gt;=2)*('CONTROL MASTER'!$AA$2:$AA$495&lt;=9)*('CONTROL MASTER'!$AC$2:$AC$495&gt;=9))*ROW('CONTROL MASTER'!$S$2:$S$495))-(ROW('CONTROL MASTER'!#REF!)-1)))+1)+(9-INDEX('CONTROL MASTER'!$AA$2:$AA$495,(SUMPRODUCT((('CONTROL MASTER'!$S$2:$S$495=1)*('CONTROL MASTER'!$Z$2:$Z$495&lt;=2)*('CONTROL MASTER'!$AB$2:$AB$495&gt;=2)*('CONTROL MASTER'!$AA$2:$AA$495&lt;=9)*('CONTROL MASTER'!$AC$2:$AC$495&gt;=9))*ROW('CONTROL MASTER'!$S$2:$S$495))-(ROW('CONTROL MASTER'!#REF!)-1))))+1)))-1)*50+1,50))&amp;"_"&amp;INDEX('CONTROL MASTER'!$P$2:$P$495,(SUMPRODUCT((('CONTROL MASTER'!$S$2:$S$495=1)*('CONTROL MASTER'!$Z$2:$Z$495&lt;=2)*('CONTROL MASTER'!$AB$2:$AB$495&gt;=2)*('CONTROL MASTER'!$AA$2:$AA$495&lt;=9)*('CONTROL MASTER'!$AC$2:$AC$495&gt;=9))*ROW('CONTROL MASTER'!$S$2:$S$495))-(ROW('CONTROL MASTER'!#REF!)-1))),"")),"")</f>
        <v/>
      </c>
      <c r="K4" s="10" t="str">
        <f>IFERROR(IF(SUMPRODUCT((('CONTROL MASTER'!$S$2:$S$495=1)*('CONTROL MASTER'!$T$2:$T$495&lt;=2)*('CONTROL MASTER'!$V$2:$V$495&gt;=2)*('CONTROL MASTER'!$U$2:$U$495&lt;=10)*('CONTROL MASTER'!$W$2:$W$495&gt;=10))*ROW('CONTROL MASTER'!$S$2:$S$495))&gt;0,INDEX('CONTROL MASTER'!$X$2:$X$495,(SUMPRODUCT((('CONTROL MASTER'!$S$2:$S$495=1)*('CONTROL MASTER'!$T$2:$T$495&lt;=2)*('CONTROL MASTER'!$V$2:$V$495&gt;=2)*('CONTROL MASTER'!$U$2:$U$495&lt;=10)*('CONTROL MASTER'!$W$2:$W$495&gt;=10))*ROW('CONTROL MASTER'!$S$2:$S$495))-(ROW('CONTROL MASTER'!#REF!)-1)))&amp;TRIM(MID(SUBSTITUTE(SUBSTITUTE(INDEX('CONTROL MASTER'!$N$2:$N$495,(SUMPRODUCT((('CONTROL MASTER'!$S$2:$S$495=1)*('CONTROL MASTER'!$T$2:$T$495&lt;=2)*('CONTROL MASTER'!$V$2:$V$495&gt;=2)*('CONTROL MASTER'!$U$2:$U$495&lt;=10)*('CONTROL MASTER'!$W$2:$W$495&gt;=10))*ROW('CONTROL MASTER'!$S$2:$S$495))-(ROW('CONTROL MASTER'!#REF!)-1))),":",","),",",REPT(" ",50)),((((2-INDEX('CONTROL MASTER'!$T$2:$T$495,(SUMPRODUCT((('CONTROL MASTER'!$S$2:$S$495=1)*('CONTROL MASTER'!$T$2:$T$495&lt;=2)*('CONTROL MASTER'!$V$2:$V$495&gt;=2)*('CONTROL MASTER'!$U$2:$U$495&lt;=10)*('CONTROL MASTER'!$W$2:$W$495&gt;=10))*ROW('CONTROL MASTER'!$S$2:$S$495))-(ROW('CONTROL MASTER'!#REF!)-1))))*(INDEX('CONTROL MASTER'!$W$2:$W$495,(SUMPRODUCT((('CONTROL MASTER'!$S$2:$S$495=1)*('CONTROL MASTER'!$T$2:$T$495&lt;=2)*('CONTROL MASTER'!$V$2:$V$495&gt;=2)*('CONTROL MASTER'!$U$2:$U$495&lt;=10)*('CONTROL MASTER'!$W$2:$W$495&gt;=10))*ROW('CONTROL MASTER'!$S$2:$S$495))-(ROW('CONTROL MASTER'!#REF!)-1)))-INDEX('CONTROL MASTER'!$U$2:$U$495,(SUMPRODUCT((('CONTROL MASTER'!$S$2:$S$495=1)*('CONTROL MASTER'!$T$2:$T$495&lt;=2)*('CONTROL MASTER'!$V$2:$V$495&gt;=2)*('CONTROL MASTER'!$U$2:$U$495&lt;=10)*('CONTROL MASTER'!$W$2:$W$495&gt;=10))*ROW('CONTROL MASTER'!$S$2:$S$495))-(ROW('CONTROL MASTER'!#REF!)-1)))+1)+(10-INDEX('CONTROL MASTER'!$U$2:$U$495,(SUMPRODUCT((('CONTROL MASTER'!$S$2:$S$495=1)*('CONTROL MASTER'!$T$2:$T$495&lt;=2)*('CONTROL MASTER'!$V$2:$V$495&gt;=2)*('CONTROL MASTER'!$U$2:$U$495&lt;=10)*('CONTROL MASTER'!$W$2:$W$495&gt;=10))*ROW('CONTROL MASTER'!$S$2:$S$495))-(ROW('CONTROL MASTER'!#REF!)-1))))+1))-1)*50+1,50))&amp;"_"&amp;INDEX('CONTROL MASTER'!$P$2:$P$495,(SUMPRODUCT((('CONTROL MASTER'!$S$2:$S$495=1)*('CONTROL MASTER'!$T$2:$T$495&lt;=2)*('CONTROL MASTER'!$V$2:$V$495&gt;=2)*('CONTROL MASTER'!$U$2:$U$495&lt;=10)*('CONTROL MASTER'!$W$2:$W$495&gt;=10))*ROW('CONTROL MASTER'!$S$2:$S$495))-(ROW('CONTROL MASTER'!#REF!)-1))),IF(SUMPRODUCT((('CONTROL MASTER'!$S$2:$S$495=1)*('CONTROL MASTER'!$Z$2:$Z$495&lt;=2)*('CONTROL MASTER'!$AB$2:$AB$495&gt;=2)*('CONTROL MASTER'!$AA$2:$AA$495&lt;=10)*('CONTROL MASTER'!$AC$2:$AC$495&gt;=10))*ROW('CONTROL MASTER'!$S$2:$S$495))&gt;0,INDEX('CONTROL MASTER'!$X$2:$X$495,(SUMPRODUCT((('CONTROL MASTER'!$S$2:$S$495=1)*('CONTROL MASTER'!$Z$2:$Z$495&lt;=2)*('CONTROL MASTER'!$AB$2:$AB$495&gt;=2)*('CONTROL MASTER'!$AA$2:$AA$495&lt;=10)*('CONTROL MASTER'!$AC$2:$AC$495&gt;=10))*ROW('CONTROL MASTER'!$S$2:$S$495))-(ROW('CONTROL MASTER'!#REF!)-1)))&amp;TRIM(MID(SUBSTITUTE(SUBSTITUTE(INDEX('CONTROL MASTER'!$N$2:$N$495,(SUMPRODUCT((('CONTROL MASTER'!$S$2:$S$495=1)*('CONTROL MASTER'!$Z$2:$Z$495&lt;=2)*('CONTROL MASTER'!$AB$2:$AB$495&gt;=2)*('CONTROL MASTER'!$AA$2:$AA$495&lt;=10)*('CONTROL MASTER'!$AC$2:$AC$495&gt;=10))*ROW('CONTROL MASTER'!$S$2:$S$495))-(ROW('CONTROL MASTER'!#REF!)-1))),":",","),",",REPT(" ",50)),(((INDEX('CONTROL MASTER'!$Y$2:$Y$495,(SUMPRODUCT((('CONTROL MASTER'!$S$2:$S$495=1)*('CONTROL MASTER'!$Z$2:$Z$495&lt;=2)*('CONTROL MASTER'!$AB$2:$AB$495&gt;=2)*('CONTROL MASTER'!$AA$2:$AA$495&lt;=10)*('CONTROL MASTER'!$AC$2:$AC$495&gt;=10))*ROW('CONTROL MASTER'!$S$2:$S$495))-(ROW('CONTROL MASTER'!#REF!)-1)))+((2-INDEX('CONTROL MASTER'!$Z$2:$Z$495,(SUMPRODUCT((('CONTROL MASTER'!$S$2:$S$495=1)*('CONTROL MASTER'!$Z$2:$Z$495&lt;=2)*('CONTROL MASTER'!$AB$2:$AB$495&gt;=2)*('CONTROL MASTER'!$AA$2:$AA$495&lt;=10)*('CONTROL MASTER'!$AC$2:$AC$495&gt;=10))*ROW('CONTROL MASTER'!$S$2:$S$495))-(ROW('CONTROL MASTER'!#REF!)-1))))*(INDEX('CONTROL MASTER'!$AC$2:$AC$495,(SUMPRODUCT((('CONTROL MASTER'!$S$2:$S$495=1)*('CONTROL MASTER'!$Z$2:$Z$495&lt;=2)*('CONTROL MASTER'!$AB$2:$AB$495&gt;=2)*('CONTROL MASTER'!$AA$2:$AA$495&lt;=10)*('CONTROL MASTER'!$AC$2:$AC$495&gt;=10))*ROW('CONTROL MASTER'!$S$2:$S$495))-(ROW('CONTROL MASTER'!#REF!)-1)))-INDEX('CONTROL MASTER'!$AA$2:$AA$495,(SUMPRODUCT((('CONTROL MASTER'!$S$2:$S$495=1)*('CONTROL MASTER'!$Z$2:$Z$495&lt;=2)*('CONTROL MASTER'!$AB$2:$AB$495&gt;=2)*('CONTROL MASTER'!$AA$2:$AA$495&lt;=10)*('CONTROL MASTER'!$AC$2:$AC$495&gt;=10))*ROW('CONTROL MASTER'!$S$2:$S$495))-(ROW('CONTROL MASTER'!#REF!)-1)))+1)+(10-INDEX('CONTROL MASTER'!$AA$2:$AA$495,(SUMPRODUCT((('CONTROL MASTER'!$S$2:$S$495=1)*('CONTROL MASTER'!$Z$2:$Z$495&lt;=2)*('CONTROL MASTER'!$AB$2:$AB$495&gt;=2)*('CONTROL MASTER'!$AA$2:$AA$495&lt;=10)*('CONTROL MASTER'!$AC$2:$AC$495&gt;=10))*ROW('CONTROL MASTER'!$S$2:$S$495))-(ROW('CONTROL MASTER'!#REF!)-1))))+1)))-1)*50+1,50))&amp;"_"&amp;INDEX('CONTROL MASTER'!$P$2:$P$495,(SUMPRODUCT((('CONTROL MASTER'!$S$2:$S$495=1)*('CONTROL MASTER'!$Z$2:$Z$495&lt;=2)*('CONTROL MASTER'!$AB$2:$AB$495&gt;=2)*('CONTROL MASTER'!$AA$2:$AA$495&lt;=10)*('CONTROL MASTER'!$AC$2:$AC$495&gt;=10))*ROW('CONTROL MASTER'!$S$2:$S$495))-(ROW('CONTROL MASTER'!#REF!)-1))),"")),"")</f>
        <v/>
      </c>
    </row>
    <row r="5" spans="1:11" ht="15" customHeight="1" x14ac:dyDescent="0.35">
      <c r="A5" s="8" t="s">
        <v>30</v>
      </c>
      <c r="B5" s="10" t="str">
        <f>IFERROR(IF(SUMPRODUCT((('CONTROL MASTER'!$S$2:$S$495=1)*('CONTROL MASTER'!$T$2:$T$495&lt;=3)*('CONTROL MASTER'!$V$2:$V$495&gt;=3)*('CONTROL MASTER'!$U$2:$U$495&lt;=1)*('CONTROL MASTER'!$W$2:$W$495&gt;=1))*ROW('CONTROL MASTER'!$S$2:$S$495))&gt;0,INDEX('CONTROL MASTER'!$X$2:$X$495,(SUMPRODUCT((('CONTROL MASTER'!$S$2:$S$495=1)*('CONTROL MASTER'!$T$2:$T$495&lt;=3)*('CONTROL MASTER'!$V$2:$V$495&gt;=3)*('CONTROL MASTER'!$U$2:$U$495&lt;=1)*('CONTROL MASTER'!$W$2:$W$495&gt;=1))*ROW('CONTROL MASTER'!$S$2:$S$495))-(ROW('CONTROL MASTER'!#REF!)-1)))&amp;TRIM(MID(SUBSTITUTE(SUBSTITUTE(INDEX('CONTROL MASTER'!$N$2:$N$495,(SUMPRODUCT((('CONTROL MASTER'!$S$2:$S$495=1)*('CONTROL MASTER'!$T$2:$T$495&lt;=3)*('CONTROL MASTER'!$V$2:$V$495&gt;=3)*('CONTROL MASTER'!$U$2:$U$495&lt;=1)*('CONTROL MASTER'!$W$2:$W$495&gt;=1))*ROW('CONTROL MASTER'!$S$2:$S$495))-(ROW('CONTROL MASTER'!#REF!)-1))),":",","),",",REPT(" ",50)),((((3-INDEX('CONTROL MASTER'!$T$2:$T$495,(SUMPRODUCT((('CONTROL MASTER'!$S$2:$S$495=1)*('CONTROL MASTER'!$T$2:$T$495&lt;=3)*('CONTROL MASTER'!$V$2:$V$495&gt;=3)*('CONTROL MASTER'!$U$2:$U$495&lt;=1)*('CONTROL MASTER'!$W$2:$W$495&gt;=1))*ROW('CONTROL MASTER'!$S$2:$S$495))-(ROW('CONTROL MASTER'!#REF!)-1))))*(INDEX('CONTROL MASTER'!$W$2:$W$495,(SUMPRODUCT((('CONTROL MASTER'!$S$2:$S$495=1)*('CONTROL MASTER'!$T$2:$T$495&lt;=3)*('CONTROL MASTER'!$V$2:$V$495&gt;=3)*('CONTROL MASTER'!$U$2:$U$495&lt;=1)*('CONTROL MASTER'!$W$2:$W$495&gt;=1))*ROW('CONTROL MASTER'!$S$2:$S$495))-(ROW('CONTROL MASTER'!#REF!)-1)))-INDEX('CONTROL MASTER'!$U$2:$U$495,(SUMPRODUCT((('CONTROL MASTER'!$S$2:$S$495=1)*('CONTROL MASTER'!$T$2:$T$495&lt;=3)*('CONTROL MASTER'!$V$2:$V$495&gt;=3)*('CONTROL MASTER'!$U$2:$U$495&lt;=1)*('CONTROL MASTER'!$W$2:$W$495&gt;=1))*ROW('CONTROL MASTER'!$S$2:$S$495))-(ROW('CONTROL MASTER'!#REF!)-1)))+1)+(1-INDEX('CONTROL MASTER'!$U$2:$U$495,(SUMPRODUCT((('CONTROL MASTER'!$S$2:$S$495=1)*('CONTROL MASTER'!$T$2:$T$495&lt;=3)*('CONTROL MASTER'!$V$2:$V$495&gt;=3)*('CONTROL MASTER'!$U$2:$U$495&lt;=1)*('CONTROL MASTER'!$W$2:$W$495&gt;=1))*ROW('CONTROL MASTER'!$S$2:$S$495))-(ROW('CONTROL MASTER'!#REF!)-1))))+1))-1)*50+1,50))&amp;"_"&amp;INDEX('CONTROL MASTER'!$P$2:$P$495,(SUMPRODUCT((('CONTROL MASTER'!$S$2:$S$495=1)*('CONTROL MASTER'!$T$2:$T$495&lt;=3)*('CONTROL MASTER'!$V$2:$V$495&gt;=3)*('CONTROL MASTER'!$U$2:$U$495&lt;=1)*('CONTROL MASTER'!$W$2:$W$495&gt;=1))*ROW('CONTROL MASTER'!$S$2:$S$495))-(ROW('CONTROL MASTER'!#REF!)-1))),IF(SUMPRODUCT((('CONTROL MASTER'!$S$2:$S$495=1)*('CONTROL MASTER'!$Z$2:$Z$495&lt;=3)*('CONTROL MASTER'!$AB$2:$AB$495&gt;=3)*('CONTROL MASTER'!$AA$2:$AA$495&lt;=1)*('CONTROL MASTER'!$AC$2:$AC$495&gt;=1))*ROW('CONTROL MASTER'!$S$2:$S$495))&gt;0,INDEX('CONTROL MASTER'!$X$2:$X$495,(SUMPRODUCT((('CONTROL MASTER'!$S$2:$S$495=1)*('CONTROL MASTER'!$Z$2:$Z$495&lt;=3)*('CONTROL MASTER'!$AB$2:$AB$495&gt;=3)*('CONTROL MASTER'!$AA$2:$AA$495&lt;=1)*('CONTROL MASTER'!$AC$2:$AC$495&gt;=1))*ROW('CONTROL MASTER'!$S$2:$S$495))-(ROW('CONTROL MASTER'!#REF!)-1)))&amp;TRIM(MID(SUBSTITUTE(SUBSTITUTE(INDEX('CONTROL MASTER'!$N$2:$N$495,(SUMPRODUCT((('CONTROL MASTER'!$S$2:$S$495=1)*('CONTROL MASTER'!$Z$2:$Z$495&lt;=3)*('CONTROL MASTER'!$AB$2:$AB$495&gt;=3)*('CONTROL MASTER'!$AA$2:$AA$495&lt;=1)*('CONTROL MASTER'!$AC$2:$AC$495&gt;=1))*ROW('CONTROL MASTER'!$S$2:$S$495))-(ROW('CONTROL MASTER'!#REF!)-1))),":",","),",",REPT(" ",50)),(((INDEX('CONTROL MASTER'!$Y$2:$Y$495,(SUMPRODUCT((('CONTROL MASTER'!$S$2:$S$495=1)*('CONTROL MASTER'!$Z$2:$Z$495&lt;=3)*('CONTROL MASTER'!$AB$2:$AB$495&gt;=3)*('CONTROL MASTER'!$AA$2:$AA$495&lt;=1)*('CONTROL MASTER'!$AC$2:$AC$495&gt;=1))*ROW('CONTROL MASTER'!$S$2:$S$495))-(ROW('CONTROL MASTER'!#REF!)-1)))+((3-INDEX('CONTROL MASTER'!$Z$2:$Z$495,(SUMPRODUCT((('CONTROL MASTER'!$S$2:$S$495=1)*('CONTROL MASTER'!$Z$2:$Z$495&lt;=3)*('CONTROL MASTER'!$AB$2:$AB$495&gt;=3)*('CONTROL MASTER'!$AA$2:$AA$495&lt;=1)*('CONTROL MASTER'!$AC$2:$AC$495&gt;=1))*ROW('CONTROL MASTER'!$S$2:$S$495))-(ROW('CONTROL MASTER'!#REF!)-1))))*(INDEX('CONTROL MASTER'!$AC$2:$AC$495,(SUMPRODUCT((('CONTROL MASTER'!$S$2:$S$495=1)*('CONTROL MASTER'!$Z$2:$Z$495&lt;=3)*('CONTROL MASTER'!$AB$2:$AB$495&gt;=3)*('CONTROL MASTER'!$AA$2:$AA$495&lt;=1)*('CONTROL MASTER'!$AC$2:$AC$495&gt;=1))*ROW('CONTROL MASTER'!$S$2:$S$495))-(ROW('CONTROL MASTER'!#REF!)-1)))-INDEX('CONTROL MASTER'!$AA$2:$AA$495,(SUMPRODUCT((('CONTROL MASTER'!$S$2:$S$495=1)*('CONTROL MASTER'!$Z$2:$Z$495&lt;=3)*('CONTROL MASTER'!$AB$2:$AB$495&gt;=3)*('CONTROL MASTER'!$AA$2:$AA$495&lt;=1)*('CONTROL MASTER'!$AC$2:$AC$495&gt;=1))*ROW('CONTROL MASTER'!$S$2:$S$495))-(ROW('CONTROL MASTER'!#REF!)-1)))+1)+(1-INDEX('CONTROL MASTER'!$AA$2:$AA$495,(SUMPRODUCT((('CONTROL MASTER'!$S$2:$S$495=1)*('CONTROL MASTER'!$Z$2:$Z$495&lt;=3)*('CONTROL MASTER'!$AB$2:$AB$495&gt;=3)*('CONTROL MASTER'!$AA$2:$AA$495&lt;=1)*('CONTROL MASTER'!$AC$2:$AC$495&gt;=1))*ROW('CONTROL MASTER'!$S$2:$S$495))-(ROW('CONTROL MASTER'!#REF!)-1))))+1)))-1)*50+1,50))&amp;"_"&amp;INDEX('CONTROL MASTER'!$P$2:$P$495,(SUMPRODUCT((('CONTROL MASTER'!$S$2:$S$495=1)*('CONTROL MASTER'!$Z$2:$Z$495&lt;=3)*('CONTROL MASTER'!$AB$2:$AB$495&gt;=3)*('CONTROL MASTER'!$AA$2:$AA$495&lt;=1)*('CONTROL MASTER'!$AC$2:$AC$495&gt;=1))*ROW('CONTROL MASTER'!$S$2:$S$495))-(ROW('CONTROL MASTER'!#REF!)-1))),"")),"")</f>
        <v/>
      </c>
      <c r="C5" s="10" t="str">
        <f>IFERROR(IF(SUMPRODUCT((('CONTROL MASTER'!$S$2:$S$495=1)*('CONTROL MASTER'!$T$2:$T$495&lt;=3)*('CONTROL MASTER'!$V$2:$V$495&gt;=3)*('CONTROL MASTER'!$U$2:$U$495&lt;=2)*('CONTROL MASTER'!$W$2:$W$495&gt;=2))*ROW('CONTROL MASTER'!$S$2:$S$495))&gt;0,INDEX('CONTROL MASTER'!$X$2:$X$495,(SUMPRODUCT((('CONTROL MASTER'!$S$2:$S$495=1)*('CONTROL MASTER'!$T$2:$T$495&lt;=3)*('CONTROL MASTER'!$V$2:$V$495&gt;=3)*('CONTROL MASTER'!$U$2:$U$495&lt;=2)*('CONTROL MASTER'!$W$2:$W$495&gt;=2))*ROW('CONTROL MASTER'!$S$2:$S$495))-(ROW('CONTROL MASTER'!#REF!)-1)))&amp;TRIM(MID(SUBSTITUTE(SUBSTITUTE(INDEX('CONTROL MASTER'!$N$2:$N$495,(SUMPRODUCT((('CONTROL MASTER'!$S$2:$S$495=1)*('CONTROL MASTER'!$T$2:$T$495&lt;=3)*('CONTROL MASTER'!$V$2:$V$495&gt;=3)*('CONTROL MASTER'!$U$2:$U$495&lt;=2)*('CONTROL MASTER'!$W$2:$W$495&gt;=2))*ROW('CONTROL MASTER'!$S$2:$S$495))-(ROW('CONTROL MASTER'!#REF!)-1))),":",","),",",REPT(" ",50)),((((3-INDEX('CONTROL MASTER'!$T$2:$T$495,(SUMPRODUCT((('CONTROL MASTER'!$S$2:$S$495=1)*('CONTROL MASTER'!$T$2:$T$495&lt;=3)*('CONTROL MASTER'!$V$2:$V$495&gt;=3)*('CONTROL MASTER'!$U$2:$U$495&lt;=2)*('CONTROL MASTER'!$W$2:$W$495&gt;=2))*ROW('CONTROL MASTER'!$S$2:$S$495))-(ROW('CONTROL MASTER'!#REF!)-1))))*(INDEX('CONTROL MASTER'!$W$2:$W$495,(SUMPRODUCT((('CONTROL MASTER'!$S$2:$S$495=1)*('CONTROL MASTER'!$T$2:$T$495&lt;=3)*('CONTROL MASTER'!$V$2:$V$495&gt;=3)*('CONTROL MASTER'!$U$2:$U$495&lt;=2)*('CONTROL MASTER'!$W$2:$W$495&gt;=2))*ROW('CONTROL MASTER'!$S$2:$S$495))-(ROW('CONTROL MASTER'!#REF!)-1)))-INDEX('CONTROL MASTER'!$U$2:$U$495,(SUMPRODUCT((('CONTROL MASTER'!$S$2:$S$495=1)*('CONTROL MASTER'!$T$2:$T$495&lt;=3)*('CONTROL MASTER'!$V$2:$V$495&gt;=3)*('CONTROL MASTER'!$U$2:$U$495&lt;=2)*('CONTROL MASTER'!$W$2:$W$495&gt;=2))*ROW('CONTROL MASTER'!$S$2:$S$495))-(ROW('CONTROL MASTER'!#REF!)-1)))+1)+(2-INDEX('CONTROL MASTER'!$U$2:$U$495,(SUMPRODUCT((('CONTROL MASTER'!$S$2:$S$495=1)*('CONTROL MASTER'!$T$2:$T$495&lt;=3)*('CONTROL MASTER'!$V$2:$V$495&gt;=3)*('CONTROL MASTER'!$U$2:$U$495&lt;=2)*('CONTROL MASTER'!$W$2:$W$495&gt;=2))*ROW('CONTROL MASTER'!$S$2:$S$495))-(ROW('CONTROL MASTER'!#REF!)-1))))+1))-1)*50+1,50))&amp;"_"&amp;INDEX('CONTROL MASTER'!$P$2:$P$495,(SUMPRODUCT((('CONTROL MASTER'!$S$2:$S$495=1)*('CONTROL MASTER'!$T$2:$T$495&lt;=3)*('CONTROL MASTER'!$V$2:$V$495&gt;=3)*('CONTROL MASTER'!$U$2:$U$495&lt;=2)*('CONTROL MASTER'!$W$2:$W$495&gt;=2))*ROW('CONTROL MASTER'!$S$2:$S$495))-(ROW('CONTROL MASTER'!#REF!)-1))),IF(SUMPRODUCT((('CONTROL MASTER'!$S$2:$S$495=1)*('CONTROL MASTER'!$Z$2:$Z$495&lt;=3)*('CONTROL MASTER'!$AB$2:$AB$495&gt;=3)*('CONTROL MASTER'!$AA$2:$AA$495&lt;=2)*('CONTROL MASTER'!$AC$2:$AC$495&gt;=2))*ROW('CONTROL MASTER'!$S$2:$S$495))&gt;0,INDEX('CONTROL MASTER'!$X$2:$X$495,(SUMPRODUCT((('CONTROL MASTER'!$S$2:$S$495=1)*('CONTROL MASTER'!$Z$2:$Z$495&lt;=3)*('CONTROL MASTER'!$AB$2:$AB$495&gt;=3)*('CONTROL MASTER'!$AA$2:$AA$495&lt;=2)*('CONTROL MASTER'!$AC$2:$AC$495&gt;=2))*ROW('CONTROL MASTER'!$S$2:$S$495))-(ROW('CONTROL MASTER'!#REF!)-1)))&amp;TRIM(MID(SUBSTITUTE(SUBSTITUTE(INDEX('CONTROL MASTER'!$N$2:$N$495,(SUMPRODUCT((('CONTROL MASTER'!$S$2:$S$495=1)*('CONTROL MASTER'!$Z$2:$Z$495&lt;=3)*('CONTROL MASTER'!$AB$2:$AB$495&gt;=3)*('CONTROL MASTER'!$AA$2:$AA$495&lt;=2)*('CONTROL MASTER'!$AC$2:$AC$495&gt;=2))*ROW('CONTROL MASTER'!$S$2:$S$495))-(ROW('CONTROL MASTER'!#REF!)-1))),":",","),",",REPT(" ",50)),(((INDEX('CONTROL MASTER'!$Y$2:$Y$495,(SUMPRODUCT((('CONTROL MASTER'!$S$2:$S$495=1)*('CONTROL MASTER'!$Z$2:$Z$495&lt;=3)*('CONTROL MASTER'!$AB$2:$AB$495&gt;=3)*('CONTROL MASTER'!$AA$2:$AA$495&lt;=2)*('CONTROL MASTER'!$AC$2:$AC$495&gt;=2))*ROW('CONTROL MASTER'!$S$2:$S$495))-(ROW('CONTROL MASTER'!#REF!)-1)))+((3-INDEX('CONTROL MASTER'!$Z$2:$Z$495,(SUMPRODUCT((('CONTROL MASTER'!$S$2:$S$495=1)*('CONTROL MASTER'!$Z$2:$Z$495&lt;=3)*('CONTROL MASTER'!$AB$2:$AB$495&gt;=3)*('CONTROL MASTER'!$AA$2:$AA$495&lt;=2)*('CONTROL MASTER'!$AC$2:$AC$495&gt;=2))*ROW('CONTROL MASTER'!$S$2:$S$495))-(ROW('CONTROL MASTER'!#REF!)-1))))*(INDEX('CONTROL MASTER'!$AC$2:$AC$495,(SUMPRODUCT((('CONTROL MASTER'!$S$2:$S$495=1)*('CONTROL MASTER'!$Z$2:$Z$495&lt;=3)*('CONTROL MASTER'!$AB$2:$AB$495&gt;=3)*('CONTROL MASTER'!$AA$2:$AA$495&lt;=2)*('CONTROL MASTER'!$AC$2:$AC$495&gt;=2))*ROW('CONTROL MASTER'!$S$2:$S$495))-(ROW('CONTROL MASTER'!#REF!)-1)))-INDEX('CONTROL MASTER'!$AA$2:$AA$495,(SUMPRODUCT((('CONTROL MASTER'!$S$2:$S$495=1)*('CONTROL MASTER'!$Z$2:$Z$495&lt;=3)*('CONTROL MASTER'!$AB$2:$AB$495&gt;=3)*('CONTROL MASTER'!$AA$2:$AA$495&lt;=2)*('CONTROL MASTER'!$AC$2:$AC$495&gt;=2))*ROW('CONTROL MASTER'!$S$2:$S$495))-(ROW('CONTROL MASTER'!#REF!)-1)))+1)+(2-INDEX('CONTROL MASTER'!$AA$2:$AA$495,(SUMPRODUCT((('CONTROL MASTER'!$S$2:$S$495=1)*('CONTROL MASTER'!$Z$2:$Z$495&lt;=3)*('CONTROL MASTER'!$AB$2:$AB$495&gt;=3)*('CONTROL MASTER'!$AA$2:$AA$495&lt;=2)*('CONTROL MASTER'!$AC$2:$AC$495&gt;=2))*ROW('CONTROL MASTER'!$S$2:$S$495))-(ROW('CONTROL MASTER'!#REF!)-1))))+1)))-1)*50+1,50))&amp;"_"&amp;INDEX('CONTROL MASTER'!$P$2:$P$495,(SUMPRODUCT((('CONTROL MASTER'!$S$2:$S$495=1)*('CONTROL MASTER'!$Z$2:$Z$495&lt;=3)*('CONTROL MASTER'!$AB$2:$AB$495&gt;=3)*('CONTROL MASTER'!$AA$2:$AA$495&lt;=2)*('CONTROL MASTER'!$AC$2:$AC$495&gt;=2))*ROW('CONTROL MASTER'!$S$2:$S$495))-(ROW('CONTROL MASTER'!#REF!)-1))),"")),"")</f>
        <v/>
      </c>
      <c r="D5" s="10" t="str">
        <f>IFERROR(IF(SUMPRODUCT((('CONTROL MASTER'!$S$2:$S$495=1)*('CONTROL MASTER'!$T$2:$T$495&lt;=3)*('CONTROL MASTER'!$V$2:$V$495&gt;=3)*('CONTROL MASTER'!$U$2:$U$495&lt;=3)*('CONTROL MASTER'!$W$2:$W$495&gt;=3))*ROW('CONTROL MASTER'!$S$2:$S$495))&gt;0,INDEX('CONTROL MASTER'!$X$2:$X$495,(SUMPRODUCT((('CONTROL MASTER'!$S$2:$S$495=1)*('CONTROL MASTER'!$T$2:$T$495&lt;=3)*('CONTROL MASTER'!$V$2:$V$495&gt;=3)*('CONTROL MASTER'!$U$2:$U$495&lt;=3)*('CONTROL MASTER'!$W$2:$W$495&gt;=3))*ROW('CONTROL MASTER'!$S$2:$S$495))-(ROW('CONTROL MASTER'!#REF!)-1)))&amp;TRIM(MID(SUBSTITUTE(SUBSTITUTE(INDEX('CONTROL MASTER'!$N$2:$N$495,(SUMPRODUCT((('CONTROL MASTER'!$S$2:$S$495=1)*('CONTROL MASTER'!$T$2:$T$495&lt;=3)*('CONTROL MASTER'!$V$2:$V$495&gt;=3)*('CONTROL MASTER'!$U$2:$U$495&lt;=3)*('CONTROL MASTER'!$W$2:$W$495&gt;=3))*ROW('CONTROL MASTER'!$S$2:$S$495))-(ROW('CONTROL MASTER'!#REF!)-1))),":",","),",",REPT(" ",50)),((((3-INDEX('CONTROL MASTER'!$T$2:$T$495,(SUMPRODUCT((('CONTROL MASTER'!$S$2:$S$495=1)*('CONTROL MASTER'!$T$2:$T$495&lt;=3)*('CONTROL MASTER'!$V$2:$V$495&gt;=3)*('CONTROL MASTER'!$U$2:$U$495&lt;=3)*('CONTROL MASTER'!$W$2:$W$495&gt;=3))*ROW('CONTROL MASTER'!$S$2:$S$495))-(ROW('CONTROL MASTER'!#REF!)-1))))*(INDEX('CONTROL MASTER'!$W$2:$W$495,(SUMPRODUCT((('CONTROL MASTER'!$S$2:$S$495=1)*('CONTROL MASTER'!$T$2:$T$495&lt;=3)*('CONTROL MASTER'!$V$2:$V$495&gt;=3)*('CONTROL MASTER'!$U$2:$U$495&lt;=3)*('CONTROL MASTER'!$W$2:$W$495&gt;=3))*ROW('CONTROL MASTER'!$S$2:$S$495))-(ROW('CONTROL MASTER'!#REF!)-1)))-INDEX('CONTROL MASTER'!$U$2:$U$495,(SUMPRODUCT((('CONTROL MASTER'!$S$2:$S$495=1)*('CONTROL MASTER'!$T$2:$T$495&lt;=3)*('CONTROL MASTER'!$V$2:$V$495&gt;=3)*('CONTROL MASTER'!$U$2:$U$495&lt;=3)*('CONTROL MASTER'!$W$2:$W$495&gt;=3))*ROW('CONTROL MASTER'!$S$2:$S$495))-(ROW('CONTROL MASTER'!#REF!)-1)))+1)+(3-INDEX('CONTROL MASTER'!$U$2:$U$495,(SUMPRODUCT((('CONTROL MASTER'!$S$2:$S$495=1)*('CONTROL MASTER'!$T$2:$T$495&lt;=3)*('CONTROL MASTER'!$V$2:$V$495&gt;=3)*('CONTROL MASTER'!$U$2:$U$495&lt;=3)*('CONTROL MASTER'!$W$2:$W$495&gt;=3))*ROW('CONTROL MASTER'!$S$2:$S$495))-(ROW('CONTROL MASTER'!#REF!)-1))))+1))-1)*50+1,50))&amp;"_"&amp;INDEX('CONTROL MASTER'!$P$2:$P$495,(SUMPRODUCT((('CONTROL MASTER'!$S$2:$S$495=1)*('CONTROL MASTER'!$T$2:$T$495&lt;=3)*('CONTROL MASTER'!$V$2:$V$495&gt;=3)*('CONTROL MASTER'!$U$2:$U$495&lt;=3)*('CONTROL MASTER'!$W$2:$W$495&gt;=3))*ROW('CONTROL MASTER'!$S$2:$S$495))-(ROW('CONTROL MASTER'!#REF!)-1))),IF(SUMPRODUCT((('CONTROL MASTER'!$S$2:$S$495=1)*('CONTROL MASTER'!$Z$2:$Z$495&lt;=3)*('CONTROL MASTER'!$AB$2:$AB$495&gt;=3)*('CONTROL MASTER'!$AA$2:$AA$495&lt;=3)*('CONTROL MASTER'!$AC$2:$AC$495&gt;=3))*ROW('CONTROL MASTER'!$S$2:$S$495))&gt;0,INDEX('CONTROL MASTER'!$X$2:$X$495,(SUMPRODUCT((('CONTROL MASTER'!$S$2:$S$495=1)*('CONTROL MASTER'!$Z$2:$Z$495&lt;=3)*('CONTROL MASTER'!$AB$2:$AB$495&gt;=3)*('CONTROL MASTER'!$AA$2:$AA$495&lt;=3)*('CONTROL MASTER'!$AC$2:$AC$495&gt;=3))*ROW('CONTROL MASTER'!$S$2:$S$495))-(ROW('CONTROL MASTER'!#REF!)-1)))&amp;TRIM(MID(SUBSTITUTE(SUBSTITUTE(INDEX('CONTROL MASTER'!$N$2:$N$495,(SUMPRODUCT((('CONTROL MASTER'!$S$2:$S$495=1)*('CONTROL MASTER'!$Z$2:$Z$495&lt;=3)*('CONTROL MASTER'!$AB$2:$AB$495&gt;=3)*('CONTROL MASTER'!$AA$2:$AA$495&lt;=3)*('CONTROL MASTER'!$AC$2:$AC$495&gt;=3))*ROW('CONTROL MASTER'!$S$2:$S$495))-(ROW('CONTROL MASTER'!#REF!)-1))),":",","),",",REPT(" ",50)),(((INDEX('CONTROL MASTER'!$Y$2:$Y$495,(SUMPRODUCT((('CONTROL MASTER'!$S$2:$S$495=1)*('CONTROL MASTER'!$Z$2:$Z$495&lt;=3)*('CONTROL MASTER'!$AB$2:$AB$495&gt;=3)*('CONTROL MASTER'!$AA$2:$AA$495&lt;=3)*('CONTROL MASTER'!$AC$2:$AC$495&gt;=3))*ROW('CONTROL MASTER'!$S$2:$S$495))-(ROW('CONTROL MASTER'!#REF!)-1)))+((3-INDEX('CONTROL MASTER'!$Z$2:$Z$495,(SUMPRODUCT((('CONTROL MASTER'!$S$2:$S$495=1)*('CONTROL MASTER'!$Z$2:$Z$495&lt;=3)*('CONTROL MASTER'!$AB$2:$AB$495&gt;=3)*('CONTROL MASTER'!$AA$2:$AA$495&lt;=3)*('CONTROL MASTER'!$AC$2:$AC$495&gt;=3))*ROW('CONTROL MASTER'!$S$2:$S$495))-(ROW('CONTROL MASTER'!#REF!)-1))))*(INDEX('CONTROL MASTER'!$AC$2:$AC$495,(SUMPRODUCT((('CONTROL MASTER'!$S$2:$S$495=1)*('CONTROL MASTER'!$Z$2:$Z$495&lt;=3)*('CONTROL MASTER'!$AB$2:$AB$495&gt;=3)*('CONTROL MASTER'!$AA$2:$AA$495&lt;=3)*('CONTROL MASTER'!$AC$2:$AC$495&gt;=3))*ROW('CONTROL MASTER'!$S$2:$S$495))-(ROW('CONTROL MASTER'!#REF!)-1)))-INDEX('CONTROL MASTER'!$AA$2:$AA$495,(SUMPRODUCT((('CONTROL MASTER'!$S$2:$S$495=1)*('CONTROL MASTER'!$Z$2:$Z$495&lt;=3)*('CONTROL MASTER'!$AB$2:$AB$495&gt;=3)*('CONTROL MASTER'!$AA$2:$AA$495&lt;=3)*('CONTROL MASTER'!$AC$2:$AC$495&gt;=3))*ROW('CONTROL MASTER'!$S$2:$S$495))-(ROW('CONTROL MASTER'!#REF!)-1)))+1)+(3-INDEX('CONTROL MASTER'!$AA$2:$AA$495,(SUMPRODUCT((('CONTROL MASTER'!$S$2:$S$495=1)*('CONTROL MASTER'!$Z$2:$Z$495&lt;=3)*('CONTROL MASTER'!$AB$2:$AB$495&gt;=3)*('CONTROL MASTER'!$AA$2:$AA$495&lt;=3)*('CONTROL MASTER'!$AC$2:$AC$495&gt;=3))*ROW('CONTROL MASTER'!$S$2:$S$495))-(ROW('CONTROL MASTER'!#REF!)-1))))+1)))-1)*50+1,50))&amp;"_"&amp;INDEX('CONTROL MASTER'!$P$2:$P$495,(SUMPRODUCT((('CONTROL MASTER'!$S$2:$S$495=1)*('CONTROL MASTER'!$Z$2:$Z$495&lt;=3)*('CONTROL MASTER'!$AB$2:$AB$495&gt;=3)*('CONTROL MASTER'!$AA$2:$AA$495&lt;=3)*('CONTROL MASTER'!$AC$2:$AC$495&gt;=3))*ROW('CONTROL MASTER'!$S$2:$S$495))-(ROW('CONTROL MASTER'!#REF!)-1))),"")),"")</f>
        <v/>
      </c>
      <c r="E5" s="10" t="str">
        <f>IFERROR(IF(SUMPRODUCT((('CONTROL MASTER'!$S$2:$S$495=1)*('CONTROL MASTER'!$T$2:$T$495&lt;=3)*('CONTROL MASTER'!$V$2:$V$495&gt;=3)*('CONTROL MASTER'!$U$2:$U$495&lt;=4)*('CONTROL MASTER'!$W$2:$W$495&gt;=4))*ROW('CONTROL MASTER'!$S$2:$S$495))&gt;0,INDEX('CONTROL MASTER'!$X$2:$X$495,(SUMPRODUCT((('CONTROL MASTER'!$S$2:$S$495=1)*('CONTROL MASTER'!$T$2:$T$495&lt;=3)*('CONTROL MASTER'!$V$2:$V$495&gt;=3)*('CONTROL MASTER'!$U$2:$U$495&lt;=4)*('CONTROL MASTER'!$W$2:$W$495&gt;=4))*ROW('CONTROL MASTER'!$S$2:$S$495))-(ROW('CONTROL MASTER'!#REF!)-1)))&amp;TRIM(MID(SUBSTITUTE(SUBSTITUTE(INDEX('CONTROL MASTER'!$N$2:$N$495,(SUMPRODUCT((('CONTROL MASTER'!$S$2:$S$495=1)*('CONTROL MASTER'!$T$2:$T$495&lt;=3)*('CONTROL MASTER'!$V$2:$V$495&gt;=3)*('CONTROL MASTER'!$U$2:$U$495&lt;=4)*('CONTROL MASTER'!$W$2:$W$495&gt;=4))*ROW('CONTROL MASTER'!$S$2:$S$495))-(ROW('CONTROL MASTER'!#REF!)-1))),":",","),",",REPT(" ",50)),((((3-INDEX('CONTROL MASTER'!$T$2:$T$495,(SUMPRODUCT((('CONTROL MASTER'!$S$2:$S$495=1)*('CONTROL MASTER'!$T$2:$T$495&lt;=3)*('CONTROL MASTER'!$V$2:$V$495&gt;=3)*('CONTROL MASTER'!$U$2:$U$495&lt;=4)*('CONTROL MASTER'!$W$2:$W$495&gt;=4))*ROW('CONTROL MASTER'!$S$2:$S$495))-(ROW('CONTROL MASTER'!#REF!)-1))))*(INDEX('CONTROL MASTER'!$W$2:$W$495,(SUMPRODUCT((('CONTROL MASTER'!$S$2:$S$495=1)*('CONTROL MASTER'!$T$2:$T$495&lt;=3)*('CONTROL MASTER'!$V$2:$V$495&gt;=3)*('CONTROL MASTER'!$U$2:$U$495&lt;=4)*('CONTROL MASTER'!$W$2:$W$495&gt;=4))*ROW('CONTROL MASTER'!$S$2:$S$495))-(ROW('CONTROL MASTER'!#REF!)-1)))-INDEX('CONTROL MASTER'!$U$2:$U$495,(SUMPRODUCT((('CONTROL MASTER'!$S$2:$S$495=1)*('CONTROL MASTER'!$T$2:$T$495&lt;=3)*('CONTROL MASTER'!$V$2:$V$495&gt;=3)*('CONTROL MASTER'!$U$2:$U$495&lt;=4)*('CONTROL MASTER'!$W$2:$W$495&gt;=4))*ROW('CONTROL MASTER'!$S$2:$S$495))-(ROW('CONTROL MASTER'!#REF!)-1)))+1)+(4-INDEX('CONTROL MASTER'!$U$2:$U$495,(SUMPRODUCT((('CONTROL MASTER'!$S$2:$S$495=1)*('CONTROL MASTER'!$T$2:$T$495&lt;=3)*('CONTROL MASTER'!$V$2:$V$495&gt;=3)*('CONTROL MASTER'!$U$2:$U$495&lt;=4)*('CONTROL MASTER'!$W$2:$W$495&gt;=4))*ROW('CONTROL MASTER'!$S$2:$S$495))-(ROW('CONTROL MASTER'!#REF!)-1))))+1))-1)*50+1,50))&amp;"_"&amp;INDEX('CONTROL MASTER'!$P$2:$P$495,(SUMPRODUCT((('CONTROL MASTER'!$S$2:$S$495=1)*('CONTROL MASTER'!$T$2:$T$495&lt;=3)*('CONTROL MASTER'!$V$2:$V$495&gt;=3)*('CONTROL MASTER'!$U$2:$U$495&lt;=4)*('CONTROL MASTER'!$W$2:$W$495&gt;=4))*ROW('CONTROL MASTER'!$S$2:$S$495))-(ROW('CONTROL MASTER'!#REF!)-1))),IF(SUMPRODUCT((('CONTROL MASTER'!$S$2:$S$495=1)*('CONTROL MASTER'!$Z$2:$Z$495&lt;=3)*('CONTROL MASTER'!$AB$2:$AB$495&gt;=3)*('CONTROL MASTER'!$AA$2:$AA$495&lt;=4)*('CONTROL MASTER'!$AC$2:$AC$495&gt;=4))*ROW('CONTROL MASTER'!$S$2:$S$495))&gt;0,INDEX('CONTROL MASTER'!$X$2:$X$495,(SUMPRODUCT((('CONTROL MASTER'!$S$2:$S$495=1)*('CONTROL MASTER'!$Z$2:$Z$495&lt;=3)*('CONTROL MASTER'!$AB$2:$AB$495&gt;=3)*('CONTROL MASTER'!$AA$2:$AA$495&lt;=4)*('CONTROL MASTER'!$AC$2:$AC$495&gt;=4))*ROW('CONTROL MASTER'!$S$2:$S$495))-(ROW('CONTROL MASTER'!#REF!)-1)))&amp;TRIM(MID(SUBSTITUTE(SUBSTITUTE(INDEX('CONTROL MASTER'!$N$2:$N$495,(SUMPRODUCT((('CONTROL MASTER'!$S$2:$S$495=1)*('CONTROL MASTER'!$Z$2:$Z$495&lt;=3)*('CONTROL MASTER'!$AB$2:$AB$495&gt;=3)*('CONTROL MASTER'!$AA$2:$AA$495&lt;=4)*('CONTROL MASTER'!$AC$2:$AC$495&gt;=4))*ROW('CONTROL MASTER'!$S$2:$S$495))-(ROW('CONTROL MASTER'!#REF!)-1))),":",","),",",REPT(" ",50)),(((INDEX('CONTROL MASTER'!$Y$2:$Y$495,(SUMPRODUCT((('CONTROL MASTER'!$S$2:$S$495=1)*('CONTROL MASTER'!$Z$2:$Z$495&lt;=3)*('CONTROL MASTER'!$AB$2:$AB$495&gt;=3)*('CONTROL MASTER'!$AA$2:$AA$495&lt;=4)*('CONTROL MASTER'!$AC$2:$AC$495&gt;=4))*ROW('CONTROL MASTER'!$S$2:$S$495))-(ROW('CONTROL MASTER'!#REF!)-1)))+((3-INDEX('CONTROL MASTER'!$Z$2:$Z$495,(SUMPRODUCT((('CONTROL MASTER'!$S$2:$S$495=1)*('CONTROL MASTER'!$Z$2:$Z$495&lt;=3)*('CONTROL MASTER'!$AB$2:$AB$495&gt;=3)*('CONTROL MASTER'!$AA$2:$AA$495&lt;=4)*('CONTROL MASTER'!$AC$2:$AC$495&gt;=4))*ROW('CONTROL MASTER'!$S$2:$S$495))-(ROW('CONTROL MASTER'!#REF!)-1))))*(INDEX('CONTROL MASTER'!$AC$2:$AC$495,(SUMPRODUCT((('CONTROL MASTER'!$S$2:$S$495=1)*('CONTROL MASTER'!$Z$2:$Z$495&lt;=3)*('CONTROL MASTER'!$AB$2:$AB$495&gt;=3)*('CONTROL MASTER'!$AA$2:$AA$495&lt;=4)*('CONTROL MASTER'!$AC$2:$AC$495&gt;=4))*ROW('CONTROL MASTER'!$S$2:$S$495))-(ROW('CONTROL MASTER'!#REF!)-1)))-INDEX('CONTROL MASTER'!$AA$2:$AA$495,(SUMPRODUCT((('CONTROL MASTER'!$S$2:$S$495=1)*('CONTROL MASTER'!$Z$2:$Z$495&lt;=3)*('CONTROL MASTER'!$AB$2:$AB$495&gt;=3)*('CONTROL MASTER'!$AA$2:$AA$495&lt;=4)*('CONTROL MASTER'!$AC$2:$AC$495&gt;=4))*ROW('CONTROL MASTER'!$S$2:$S$495))-(ROW('CONTROL MASTER'!#REF!)-1)))+1)+(4-INDEX('CONTROL MASTER'!$AA$2:$AA$495,(SUMPRODUCT((('CONTROL MASTER'!$S$2:$S$495=1)*('CONTROL MASTER'!$Z$2:$Z$495&lt;=3)*('CONTROL MASTER'!$AB$2:$AB$495&gt;=3)*('CONTROL MASTER'!$AA$2:$AA$495&lt;=4)*('CONTROL MASTER'!$AC$2:$AC$495&gt;=4))*ROW('CONTROL MASTER'!$S$2:$S$495))-(ROW('CONTROL MASTER'!#REF!)-1))))+1)))-1)*50+1,50))&amp;"_"&amp;INDEX('CONTROL MASTER'!$P$2:$P$495,(SUMPRODUCT((('CONTROL MASTER'!$S$2:$S$495=1)*('CONTROL MASTER'!$Z$2:$Z$495&lt;=3)*('CONTROL MASTER'!$AB$2:$AB$495&gt;=3)*('CONTROL MASTER'!$AA$2:$AA$495&lt;=4)*('CONTROL MASTER'!$AC$2:$AC$495&gt;=4))*ROW('CONTROL MASTER'!$S$2:$S$495))-(ROW('CONTROL MASTER'!#REF!)-1))),"")),"")</f>
        <v/>
      </c>
      <c r="F5" s="10" t="str">
        <f>IFERROR(IF(SUMPRODUCT((('CONTROL MASTER'!$S$2:$S$495=1)*('CONTROL MASTER'!$T$2:$T$495&lt;=3)*('CONTROL MASTER'!$V$2:$V$495&gt;=3)*('CONTROL MASTER'!$U$2:$U$495&lt;=5)*('CONTROL MASTER'!$W$2:$W$495&gt;=5))*ROW('CONTROL MASTER'!$S$2:$S$495))&gt;0,INDEX('CONTROL MASTER'!$X$2:$X$495,(SUMPRODUCT((('CONTROL MASTER'!$S$2:$S$495=1)*('CONTROL MASTER'!$T$2:$T$495&lt;=3)*('CONTROL MASTER'!$V$2:$V$495&gt;=3)*('CONTROL MASTER'!$U$2:$U$495&lt;=5)*('CONTROL MASTER'!$W$2:$W$495&gt;=5))*ROW('CONTROL MASTER'!$S$2:$S$495))-(ROW('CONTROL MASTER'!#REF!)-1)))&amp;TRIM(MID(SUBSTITUTE(SUBSTITUTE(INDEX('CONTROL MASTER'!$N$2:$N$495,(SUMPRODUCT((('CONTROL MASTER'!$S$2:$S$495=1)*('CONTROL MASTER'!$T$2:$T$495&lt;=3)*('CONTROL MASTER'!$V$2:$V$495&gt;=3)*('CONTROL MASTER'!$U$2:$U$495&lt;=5)*('CONTROL MASTER'!$W$2:$W$495&gt;=5))*ROW('CONTROL MASTER'!$S$2:$S$495))-(ROW('CONTROL MASTER'!#REF!)-1))),":",","),",",REPT(" ",50)),((((3-INDEX('CONTROL MASTER'!$T$2:$T$495,(SUMPRODUCT((('CONTROL MASTER'!$S$2:$S$495=1)*('CONTROL MASTER'!$T$2:$T$495&lt;=3)*('CONTROL MASTER'!$V$2:$V$495&gt;=3)*('CONTROL MASTER'!$U$2:$U$495&lt;=5)*('CONTROL MASTER'!$W$2:$W$495&gt;=5))*ROW('CONTROL MASTER'!$S$2:$S$495))-(ROW('CONTROL MASTER'!#REF!)-1))))*(INDEX('CONTROL MASTER'!$W$2:$W$495,(SUMPRODUCT((('CONTROL MASTER'!$S$2:$S$495=1)*('CONTROL MASTER'!$T$2:$T$495&lt;=3)*('CONTROL MASTER'!$V$2:$V$495&gt;=3)*('CONTROL MASTER'!$U$2:$U$495&lt;=5)*('CONTROL MASTER'!$W$2:$W$495&gt;=5))*ROW('CONTROL MASTER'!$S$2:$S$495))-(ROW('CONTROL MASTER'!#REF!)-1)))-INDEX('CONTROL MASTER'!$U$2:$U$495,(SUMPRODUCT((('CONTROL MASTER'!$S$2:$S$495=1)*('CONTROL MASTER'!$T$2:$T$495&lt;=3)*('CONTROL MASTER'!$V$2:$V$495&gt;=3)*('CONTROL MASTER'!$U$2:$U$495&lt;=5)*('CONTROL MASTER'!$W$2:$W$495&gt;=5))*ROW('CONTROL MASTER'!$S$2:$S$495))-(ROW('CONTROL MASTER'!#REF!)-1)))+1)+(5-INDEX('CONTROL MASTER'!$U$2:$U$495,(SUMPRODUCT((('CONTROL MASTER'!$S$2:$S$495=1)*('CONTROL MASTER'!$T$2:$T$495&lt;=3)*('CONTROL MASTER'!$V$2:$V$495&gt;=3)*('CONTROL MASTER'!$U$2:$U$495&lt;=5)*('CONTROL MASTER'!$W$2:$W$495&gt;=5))*ROW('CONTROL MASTER'!$S$2:$S$495))-(ROW('CONTROL MASTER'!#REF!)-1))))+1))-1)*50+1,50))&amp;"_"&amp;INDEX('CONTROL MASTER'!$P$2:$P$495,(SUMPRODUCT((('CONTROL MASTER'!$S$2:$S$495=1)*('CONTROL MASTER'!$T$2:$T$495&lt;=3)*('CONTROL MASTER'!$V$2:$V$495&gt;=3)*('CONTROL MASTER'!$U$2:$U$495&lt;=5)*('CONTROL MASTER'!$W$2:$W$495&gt;=5))*ROW('CONTROL MASTER'!$S$2:$S$495))-(ROW('CONTROL MASTER'!#REF!)-1))),IF(SUMPRODUCT((('CONTROL MASTER'!$S$2:$S$495=1)*('CONTROL MASTER'!$Z$2:$Z$495&lt;=3)*('CONTROL MASTER'!$AB$2:$AB$495&gt;=3)*('CONTROL MASTER'!$AA$2:$AA$495&lt;=5)*('CONTROL MASTER'!$AC$2:$AC$495&gt;=5))*ROW('CONTROL MASTER'!$S$2:$S$495))&gt;0,INDEX('CONTROL MASTER'!$X$2:$X$495,(SUMPRODUCT((('CONTROL MASTER'!$S$2:$S$495=1)*('CONTROL MASTER'!$Z$2:$Z$495&lt;=3)*('CONTROL MASTER'!$AB$2:$AB$495&gt;=3)*('CONTROL MASTER'!$AA$2:$AA$495&lt;=5)*('CONTROL MASTER'!$AC$2:$AC$495&gt;=5))*ROW('CONTROL MASTER'!$S$2:$S$495))-(ROW('CONTROL MASTER'!#REF!)-1)))&amp;TRIM(MID(SUBSTITUTE(SUBSTITUTE(INDEX('CONTROL MASTER'!$N$2:$N$495,(SUMPRODUCT((('CONTROL MASTER'!$S$2:$S$495=1)*('CONTROL MASTER'!$Z$2:$Z$495&lt;=3)*('CONTROL MASTER'!$AB$2:$AB$495&gt;=3)*('CONTROL MASTER'!$AA$2:$AA$495&lt;=5)*('CONTROL MASTER'!$AC$2:$AC$495&gt;=5))*ROW('CONTROL MASTER'!$S$2:$S$495))-(ROW('CONTROL MASTER'!#REF!)-1))),":",","),",",REPT(" ",50)),(((INDEX('CONTROL MASTER'!$Y$2:$Y$495,(SUMPRODUCT((('CONTROL MASTER'!$S$2:$S$495=1)*('CONTROL MASTER'!$Z$2:$Z$495&lt;=3)*('CONTROL MASTER'!$AB$2:$AB$495&gt;=3)*('CONTROL MASTER'!$AA$2:$AA$495&lt;=5)*('CONTROL MASTER'!$AC$2:$AC$495&gt;=5))*ROW('CONTROL MASTER'!$S$2:$S$495))-(ROW('CONTROL MASTER'!#REF!)-1)))+((3-INDEX('CONTROL MASTER'!$Z$2:$Z$495,(SUMPRODUCT((('CONTROL MASTER'!$S$2:$S$495=1)*('CONTROL MASTER'!$Z$2:$Z$495&lt;=3)*('CONTROL MASTER'!$AB$2:$AB$495&gt;=3)*('CONTROL MASTER'!$AA$2:$AA$495&lt;=5)*('CONTROL MASTER'!$AC$2:$AC$495&gt;=5))*ROW('CONTROL MASTER'!$S$2:$S$495))-(ROW('CONTROL MASTER'!#REF!)-1))))*(INDEX('CONTROL MASTER'!$AC$2:$AC$495,(SUMPRODUCT((('CONTROL MASTER'!$S$2:$S$495=1)*('CONTROL MASTER'!$Z$2:$Z$495&lt;=3)*('CONTROL MASTER'!$AB$2:$AB$495&gt;=3)*('CONTROL MASTER'!$AA$2:$AA$495&lt;=5)*('CONTROL MASTER'!$AC$2:$AC$495&gt;=5))*ROW('CONTROL MASTER'!$S$2:$S$495))-(ROW('CONTROL MASTER'!#REF!)-1)))-INDEX('CONTROL MASTER'!$AA$2:$AA$495,(SUMPRODUCT((('CONTROL MASTER'!$S$2:$S$495=1)*('CONTROL MASTER'!$Z$2:$Z$495&lt;=3)*('CONTROL MASTER'!$AB$2:$AB$495&gt;=3)*('CONTROL MASTER'!$AA$2:$AA$495&lt;=5)*('CONTROL MASTER'!$AC$2:$AC$495&gt;=5))*ROW('CONTROL MASTER'!$S$2:$S$495))-(ROW('CONTROL MASTER'!#REF!)-1)))+1)+(5-INDEX('CONTROL MASTER'!$AA$2:$AA$495,(SUMPRODUCT((('CONTROL MASTER'!$S$2:$S$495=1)*('CONTROL MASTER'!$Z$2:$Z$495&lt;=3)*('CONTROL MASTER'!$AB$2:$AB$495&gt;=3)*('CONTROL MASTER'!$AA$2:$AA$495&lt;=5)*('CONTROL MASTER'!$AC$2:$AC$495&gt;=5))*ROW('CONTROL MASTER'!$S$2:$S$495))-(ROW('CONTROL MASTER'!#REF!)-1))))+1)))-1)*50+1,50))&amp;"_"&amp;INDEX('CONTROL MASTER'!$P$2:$P$495,(SUMPRODUCT((('CONTROL MASTER'!$S$2:$S$495=1)*('CONTROL MASTER'!$Z$2:$Z$495&lt;=3)*('CONTROL MASTER'!$AB$2:$AB$495&gt;=3)*('CONTROL MASTER'!$AA$2:$AA$495&lt;=5)*('CONTROL MASTER'!$AC$2:$AC$495&gt;=5))*ROW('CONTROL MASTER'!$S$2:$S$495))-(ROW('CONTROL MASTER'!#REF!)-1))),"")),"")</f>
        <v/>
      </c>
      <c r="G5" s="10" t="str">
        <f>IFERROR(IF(SUMPRODUCT((('CONTROL MASTER'!$S$2:$S$495=1)*('CONTROL MASTER'!$T$2:$T$495&lt;=3)*('CONTROL MASTER'!$V$2:$V$495&gt;=3)*('CONTROL MASTER'!$U$2:$U$495&lt;=6)*('CONTROL MASTER'!$W$2:$W$495&gt;=6))*ROW('CONTROL MASTER'!$S$2:$S$495))&gt;0,INDEX('CONTROL MASTER'!$X$2:$X$495,(SUMPRODUCT((('CONTROL MASTER'!$S$2:$S$495=1)*('CONTROL MASTER'!$T$2:$T$495&lt;=3)*('CONTROL MASTER'!$V$2:$V$495&gt;=3)*('CONTROL MASTER'!$U$2:$U$495&lt;=6)*('CONTROL MASTER'!$W$2:$W$495&gt;=6))*ROW('CONTROL MASTER'!$S$2:$S$495))-(ROW('CONTROL MASTER'!#REF!)-1)))&amp;TRIM(MID(SUBSTITUTE(SUBSTITUTE(INDEX('CONTROL MASTER'!$N$2:$N$495,(SUMPRODUCT((('CONTROL MASTER'!$S$2:$S$495=1)*('CONTROL MASTER'!$T$2:$T$495&lt;=3)*('CONTROL MASTER'!$V$2:$V$495&gt;=3)*('CONTROL MASTER'!$U$2:$U$495&lt;=6)*('CONTROL MASTER'!$W$2:$W$495&gt;=6))*ROW('CONTROL MASTER'!$S$2:$S$495))-(ROW('CONTROL MASTER'!#REF!)-1))),":",","),",",REPT(" ",50)),((((3-INDEX('CONTROL MASTER'!$T$2:$T$495,(SUMPRODUCT((('CONTROL MASTER'!$S$2:$S$495=1)*('CONTROL MASTER'!$T$2:$T$495&lt;=3)*('CONTROL MASTER'!$V$2:$V$495&gt;=3)*('CONTROL MASTER'!$U$2:$U$495&lt;=6)*('CONTROL MASTER'!$W$2:$W$495&gt;=6))*ROW('CONTROL MASTER'!$S$2:$S$495))-(ROW('CONTROL MASTER'!#REF!)-1))))*(INDEX('CONTROL MASTER'!$W$2:$W$495,(SUMPRODUCT((('CONTROL MASTER'!$S$2:$S$495=1)*('CONTROL MASTER'!$T$2:$T$495&lt;=3)*('CONTROL MASTER'!$V$2:$V$495&gt;=3)*('CONTROL MASTER'!$U$2:$U$495&lt;=6)*('CONTROL MASTER'!$W$2:$W$495&gt;=6))*ROW('CONTROL MASTER'!$S$2:$S$495))-(ROW('CONTROL MASTER'!#REF!)-1)))-INDEX('CONTROL MASTER'!$U$2:$U$495,(SUMPRODUCT((('CONTROL MASTER'!$S$2:$S$495=1)*('CONTROL MASTER'!$T$2:$T$495&lt;=3)*('CONTROL MASTER'!$V$2:$V$495&gt;=3)*('CONTROL MASTER'!$U$2:$U$495&lt;=6)*('CONTROL MASTER'!$W$2:$W$495&gt;=6))*ROW('CONTROL MASTER'!$S$2:$S$495))-(ROW('CONTROL MASTER'!#REF!)-1)))+1)+(6-INDEX('CONTROL MASTER'!$U$2:$U$495,(SUMPRODUCT((('CONTROL MASTER'!$S$2:$S$495=1)*('CONTROL MASTER'!$T$2:$T$495&lt;=3)*('CONTROL MASTER'!$V$2:$V$495&gt;=3)*('CONTROL MASTER'!$U$2:$U$495&lt;=6)*('CONTROL MASTER'!$W$2:$W$495&gt;=6))*ROW('CONTROL MASTER'!$S$2:$S$495))-(ROW('CONTROL MASTER'!#REF!)-1))))+1))-1)*50+1,50))&amp;"_"&amp;INDEX('CONTROL MASTER'!$P$2:$P$495,(SUMPRODUCT((('CONTROL MASTER'!$S$2:$S$495=1)*('CONTROL MASTER'!$T$2:$T$495&lt;=3)*('CONTROL MASTER'!$V$2:$V$495&gt;=3)*('CONTROL MASTER'!$U$2:$U$495&lt;=6)*('CONTROL MASTER'!$W$2:$W$495&gt;=6))*ROW('CONTROL MASTER'!$S$2:$S$495))-(ROW('CONTROL MASTER'!#REF!)-1))),IF(SUMPRODUCT((('CONTROL MASTER'!$S$2:$S$495=1)*('CONTROL MASTER'!$Z$2:$Z$495&lt;=3)*('CONTROL MASTER'!$AB$2:$AB$495&gt;=3)*('CONTROL MASTER'!$AA$2:$AA$495&lt;=6)*('CONTROL MASTER'!$AC$2:$AC$495&gt;=6))*ROW('CONTROL MASTER'!$S$2:$S$495))&gt;0,INDEX('CONTROL MASTER'!$X$2:$X$495,(SUMPRODUCT((('CONTROL MASTER'!$S$2:$S$495=1)*('CONTROL MASTER'!$Z$2:$Z$495&lt;=3)*('CONTROL MASTER'!$AB$2:$AB$495&gt;=3)*('CONTROL MASTER'!$AA$2:$AA$495&lt;=6)*('CONTROL MASTER'!$AC$2:$AC$495&gt;=6))*ROW('CONTROL MASTER'!$S$2:$S$495))-(ROW('CONTROL MASTER'!#REF!)-1)))&amp;TRIM(MID(SUBSTITUTE(SUBSTITUTE(INDEX('CONTROL MASTER'!$N$2:$N$495,(SUMPRODUCT((('CONTROL MASTER'!$S$2:$S$495=1)*('CONTROL MASTER'!$Z$2:$Z$495&lt;=3)*('CONTROL MASTER'!$AB$2:$AB$495&gt;=3)*('CONTROL MASTER'!$AA$2:$AA$495&lt;=6)*('CONTROL MASTER'!$AC$2:$AC$495&gt;=6))*ROW('CONTROL MASTER'!$S$2:$S$495))-(ROW('CONTROL MASTER'!#REF!)-1))),":",","),",",REPT(" ",50)),(((INDEX('CONTROL MASTER'!$Y$2:$Y$495,(SUMPRODUCT((('CONTROL MASTER'!$S$2:$S$495=1)*('CONTROL MASTER'!$Z$2:$Z$495&lt;=3)*('CONTROL MASTER'!$AB$2:$AB$495&gt;=3)*('CONTROL MASTER'!$AA$2:$AA$495&lt;=6)*('CONTROL MASTER'!$AC$2:$AC$495&gt;=6))*ROW('CONTROL MASTER'!$S$2:$S$495))-(ROW('CONTROL MASTER'!#REF!)-1)))+((3-INDEX('CONTROL MASTER'!$Z$2:$Z$495,(SUMPRODUCT((('CONTROL MASTER'!$S$2:$S$495=1)*('CONTROL MASTER'!$Z$2:$Z$495&lt;=3)*('CONTROL MASTER'!$AB$2:$AB$495&gt;=3)*('CONTROL MASTER'!$AA$2:$AA$495&lt;=6)*('CONTROL MASTER'!$AC$2:$AC$495&gt;=6))*ROW('CONTROL MASTER'!$S$2:$S$495))-(ROW('CONTROL MASTER'!#REF!)-1))))*(INDEX('CONTROL MASTER'!$AC$2:$AC$495,(SUMPRODUCT((('CONTROL MASTER'!$S$2:$S$495=1)*('CONTROL MASTER'!$Z$2:$Z$495&lt;=3)*('CONTROL MASTER'!$AB$2:$AB$495&gt;=3)*('CONTROL MASTER'!$AA$2:$AA$495&lt;=6)*('CONTROL MASTER'!$AC$2:$AC$495&gt;=6))*ROW('CONTROL MASTER'!$S$2:$S$495))-(ROW('CONTROL MASTER'!#REF!)-1)))-INDEX('CONTROL MASTER'!$AA$2:$AA$495,(SUMPRODUCT((('CONTROL MASTER'!$S$2:$S$495=1)*('CONTROL MASTER'!$Z$2:$Z$495&lt;=3)*('CONTROL MASTER'!$AB$2:$AB$495&gt;=3)*('CONTROL MASTER'!$AA$2:$AA$495&lt;=6)*('CONTROL MASTER'!$AC$2:$AC$495&gt;=6))*ROW('CONTROL MASTER'!$S$2:$S$495))-(ROW('CONTROL MASTER'!#REF!)-1)))+1)+(6-INDEX('CONTROL MASTER'!$AA$2:$AA$495,(SUMPRODUCT((('CONTROL MASTER'!$S$2:$S$495=1)*('CONTROL MASTER'!$Z$2:$Z$495&lt;=3)*('CONTROL MASTER'!$AB$2:$AB$495&gt;=3)*('CONTROL MASTER'!$AA$2:$AA$495&lt;=6)*('CONTROL MASTER'!$AC$2:$AC$495&gt;=6))*ROW('CONTROL MASTER'!$S$2:$S$495))-(ROW('CONTROL MASTER'!#REF!)-1))))+1)))-1)*50+1,50))&amp;"_"&amp;INDEX('CONTROL MASTER'!$P$2:$P$495,(SUMPRODUCT((('CONTROL MASTER'!$S$2:$S$495=1)*('CONTROL MASTER'!$Z$2:$Z$495&lt;=3)*('CONTROL MASTER'!$AB$2:$AB$495&gt;=3)*('CONTROL MASTER'!$AA$2:$AA$495&lt;=6)*('CONTROL MASTER'!$AC$2:$AC$495&gt;=6))*ROW('CONTROL MASTER'!$S$2:$S$495))-(ROW('CONTROL MASTER'!#REF!)-1))),"")),"")</f>
        <v/>
      </c>
      <c r="H5" s="10" t="str">
        <f>IFERROR(IF(SUMPRODUCT((('CONTROL MASTER'!$S$2:$S$495=1)*('CONTROL MASTER'!$T$2:$T$495&lt;=3)*('CONTROL MASTER'!$V$2:$V$495&gt;=3)*('CONTROL MASTER'!$U$2:$U$495&lt;=7)*('CONTROL MASTER'!$W$2:$W$495&gt;=7))*ROW('CONTROL MASTER'!$S$2:$S$495))&gt;0,INDEX('CONTROL MASTER'!$X$2:$X$495,(SUMPRODUCT((('CONTROL MASTER'!$S$2:$S$495=1)*('CONTROL MASTER'!$T$2:$T$495&lt;=3)*('CONTROL MASTER'!$V$2:$V$495&gt;=3)*('CONTROL MASTER'!$U$2:$U$495&lt;=7)*('CONTROL MASTER'!$W$2:$W$495&gt;=7))*ROW('CONTROL MASTER'!$S$2:$S$495))-(ROW('CONTROL MASTER'!#REF!)-1)))&amp;TRIM(MID(SUBSTITUTE(SUBSTITUTE(INDEX('CONTROL MASTER'!$N$2:$N$495,(SUMPRODUCT((('CONTROL MASTER'!$S$2:$S$495=1)*('CONTROL MASTER'!$T$2:$T$495&lt;=3)*('CONTROL MASTER'!$V$2:$V$495&gt;=3)*('CONTROL MASTER'!$U$2:$U$495&lt;=7)*('CONTROL MASTER'!$W$2:$W$495&gt;=7))*ROW('CONTROL MASTER'!$S$2:$S$495))-(ROW('CONTROL MASTER'!#REF!)-1))),":",","),",",REPT(" ",50)),((((3-INDEX('CONTROL MASTER'!$T$2:$T$495,(SUMPRODUCT((('CONTROL MASTER'!$S$2:$S$495=1)*('CONTROL MASTER'!$T$2:$T$495&lt;=3)*('CONTROL MASTER'!$V$2:$V$495&gt;=3)*('CONTROL MASTER'!$U$2:$U$495&lt;=7)*('CONTROL MASTER'!$W$2:$W$495&gt;=7))*ROW('CONTROL MASTER'!$S$2:$S$495))-(ROW('CONTROL MASTER'!#REF!)-1))))*(INDEX('CONTROL MASTER'!$W$2:$W$495,(SUMPRODUCT((('CONTROL MASTER'!$S$2:$S$495=1)*('CONTROL MASTER'!$T$2:$T$495&lt;=3)*('CONTROL MASTER'!$V$2:$V$495&gt;=3)*('CONTROL MASTER'!$U$2:$U$495&lt;=7)*('CONTROL MASTER'!$W$2:$W$495&gt;=7))*ROW('CONTROL MASTER'!$S$2:$S$495))-(ROW('CONTROL MASTER'!#REF!)-1)))-INDEX('CONTROL MASTER'!$U$2:$U$495,(SUMPRODUCT((('CONTROL MASTER'!$S$2:$S$495=1)*('CONTROL MASTER'!$T$2:$T$495&lt;=3)*('CONTROL MASTER'!$V$2:$V$495&gt;=3)*('CONTROL MASTER'!$U$2:$U$495&lt;=7)*('CONTROL MASTER'!$W$2:$W$495&gt;=7))*ROW('CONTROL MASTER'!$S$2:$S$495))-(ROW('CONTROL MASTER'!#REF!)-1)))+1)+(7-INDEX('CONTROL MASTER'!$U$2:$U$495,(SUMPRODUCT((('CONTROL MASTER'!$S$2:$S$495=1)*('CONTROL MASTER'!$T$2:$T$495&lt;=3)*('CONTROL MASTER'!$V$2:$V$495&gt;=3)*('CONTROL MASTER'!$U$2:$U$495&lt;=7)*('CONTROL MASTER'!$W$2:$W$495&gt;=7))*ROW('CONTROL MASTER'!$S$2:$S$495))-(ROW('CONTROL MASTER'!#REF!)-1))))+1))-1)*50+1,50))&amp;"_"&amp;INDEX('CONTROL MASTER'!$P$2:$P$495,(SUMPRODUCT((('CONTROL MASTER'!$S$2:$S$495=1)*('CONTROL MASTER'!$T$2:$T$495&lt;=3)*('CONTROL MASTER'!$V$2:$V$495&gt;=3)*('CONTROL MASTER'!$U$2:$U$495&lt;=7)*('CONTROL MASTER'!$W$2:$W$495&gt;=7))*ROW('CONTROL MASTER'!$S$2:$S$495))-(ROW('CONTROL MASTER'!#REF!)-1))),IF(SUMPRODUCT((('CONTROL MASTER'!$S$2:$S$495=1)*('CONTROL MASTER'!$Z$2:$Z$495&lt;=3)*('CONTROL MASTER'!$AB$2:$AB$495&gt;=3)*('CONTROL MASTER'!$AA$2:$AA$495&lt;=7)*('CONTROL MASTER'!$AC$2:$AC$495&gt;=7))*ROW('CONTROL MASTER'!$S$2:$S$495))&gt;0,INDEX('CONTROL MASTER'!$X$2:$X$495,(SUMPRODUCT((('CONTROL MASTER'!$S$2:$S$495=1)*('CONTROL MASTER'!$Z$2:$Z$495&lt;=3)*('CONTROL MASTER'!$AB$2:$AB$495&gt;=3)*('CONTROL MASTER'!$AA$2:$AA$495&lt;=7)*('CONTROL MASTER'!$AC$2:$AC$495&gt;=7))*ROW('CONTROL MASTER'!$S$2:$S$495))-(ROW('CONTROL MASTER'!#REF!)-1)))&amp;TRIM(MID(SUBSTITUTE(SUBSTITUTE(INDEX('CONTROL MASTER'!$N$2:$N$495,(SUMPRODUCT((('CONTROL MASTER'!$S$2:$S$495=1)*('CONTROL MASTER'!$Z$2:$Z$495&lt;=3)*('CONTROL MASTER'!$AB$2:$AB$495&gt;=3)*('CONTROL MASTER'!$AA$2:$AA$495&lt;=7)*('CONTROL MASTER'!$AC$2:$AC$495&gt;=7))*ROW('CONTROL MASTER'!$S$2:$S$495))-(ROW('CONTROL MASTER'!#REF!)-1))),":",","),",",REPT(" ",50)),(((INDEX('CONTROL MASTER'!$Y$2:$Y$495,(SUMPRODUCT((('CONTROL MASTER'!$S$2:$S$495=1)*('CONTROL MASTER'!$Z$2:$Z$495&lt;=3)*('CONTROL MASTER'!$AB$2:$AB$495&gt;=3)*('CONTROL MASTER'!$AA$2:$AA$495&lt;=7)*('CONTROL MASTER'!$AC$2:$AC$495&gt;=7))*ROW('CONTROL MASTER'!$S$2:$S$495))-(ROW('CONTROL MASTER'!#REF!)-1)))+((3-INDEX('CONTROL MASTER'!$Z$2:$Z$495,(SUMPRODUCT((('CONTROL MASTER'!$S$2:$S$495=1)*('CONTROL MASTER'!$Z$2:$Z$495&lt;=3)*('CONTROL MASTER'!$AB$2:$AB$495&gt;=3)*('CONTROL MASTER'!$AA$2:$AA$495&lt;=7)*('CONTROL MASTER'!$AC$2:$AC$495&gt;=7))*ROW('CONTROL MASTER'!$S$2:$S$495))-(ROW('CONTROL MASTER'!#REF!)-1))))*(INDEX('CONTROL MASTER'!$AC$2:$AC$495,(SUMPRODUCT((('CONTROL MASTER'!$S$2:$S$495=1)*('CONTROL MASTER'!$Z$2:$Z$495&lt;=3)*('CONTROL MASTER'!$AB$2:$AB$495&gt;=3)*('CONTROL MASTER'!$AA$2:$AA$495&lt;=7)*('CONTROL MASTER'!$AC$2:$AC$495&gt;=7))*ROW('CONTROL MASTER'!$S$2:$S$495))-(ROW('CONTROL MASTER'!#REF!)-1)))-INDEX('CONTROL MASTER'!$AA$2:$AA$495,(SUMPRODUCT((('CONTROL MASTER'!$S$2:$S$495=1)*('CONTROL MASTER'!$Z$2:$Z$495&lt;=3)*('CONTROL MASTER'!$AB$2:$AB$495&gt;=3)*('CONTROL MASTER'!$AA$2:$AA$495&lt;=7)*('CONTROL MASTER'!$AC$2:$AC$495&gt;=7))*ROW('CONTROL MASTER'!$S$2:$S$495))-(ROW('CONTROL MASTER'!#REF!)-1)))+1)+(7-INDEX('CONTROL MASTER'!$AA$2:$AA$495,(SUMPRODUCT((('CONTROL MASTER'!$S$2:$S$495=1)*('CONTROL MASTER'!$Z$2:$Z$495&lt;=3)*('CONTROL MASTER'!$AB$2:$AB$495&gt;=3)*('CONTROL MASTER'!$AA$2:$AA$495&lt;=7)*('CONTROL MASTER'!$AC$2:$AC$495&gt;=7))*ROW('CONTROL MASTER'!$S$2:$S$495))-(ROW('CONTROL MASTER'!#REF!)-1))))+1)))-1)*50+1,50))&amp;"_"&amp;INDEX('CONTROL MASTER'!$P$2:$P$495,(SUMPRODUCT((('CONTROL MASTER'!$S$2:$S$495=1)*('CONTROL MASTER'!$Z$2:$Z$495&lt;=3)*('CONTROL MASTER'!$AB$2:$AB$495&gt;=3)*('CONTROL MASTER'!$AA$2:$AA$495&lt;=7)*('CONTROL MASTER'!$AC$2:$AC$495&gt;=7))*ROW('CONTROL MASTER'!$S$2:$S$495))-(ROW('CONTROL MASTER'!#REF!)-1))),"")),"")</f>
        <v/>
      </c>
      <c r="I5" s="10" t="str">
        <f>IFERROR(IF(SUMPRODUCT((('CONTROL MASTER'!$S$2:$S$495=1)*('CONTROL MASTER'!$T$2:$T$495&lt;=3)*('CONTROL MASTER'!$V$2:$V$495&gt;=3)*('CONTROL MASTER'!$U$2:$U$495&lt;=8)*('CONTROL MASTER'!$W$2:$W$495&gt;=8))*ROW('CONTROL MASTER'!$S$2:$S$495))&gt;0,INDEX('CONTROL MASTER'!$X$2:$X$495,(SUMPRODUCT((('CONTROL MASTER'!$S$2:$S$495=1)*('CONTROL MASTER'!$T$2:$T$495&lt;=3)*('CONTROL MASTER'!$V$2:$V$495&gt;=3)*('CONTROL MASTER'!$U$2:$U$495&lt;=8)*('CONTROL MASTER'!$W$2:$W$495&gt;=8))*ROW('CONTROL MASTER'!$S$2:$S$495))-(ROW('CONTROL MASTER'!#REF!)-1)))&amp;TRIM(MID(SUBSTITUTE(SUBSTITUTE(INDEX('CONTROL MASTER'!$N$2:$N$495,(SUMPRODUCT((('CONTROL MASTER'!$S$2:$S$495=1)*('CONTROL MASTER'!$T$2:$T$495&lt;=3)*('CONTROL MASTER'!$V$2:$V$495&gt;=3)*('CONTROL MASTER'!$U$2:$U$495&lt;=8)*('CONTROL MASTER'!$W$2:$W$495&gt;=8))*ROW('CONTROL MASTER'!$S$2:$S$495))-(ROW('CONTROL MASTER'!#REF!)-1))),":",","),",",REPT(" ",50)),((((3-INDEX('CONTROL MASTER'!$T$2:$T$495,(SUMPRODUCT((('CONTROL MASTER'!$S$2:$S$495=1)*('CONTROL MASTER'!$T$2:$T$495&lt;=3)*('CONTROL MASTER'!$V$2:$V$495&gt;=3)*('CONTROL MASTER'!$U$2:$U$495&lt;=8)*('CONTROL MASTER'!$W$2:$W$495&gt;=8))*ROW('CONTROL MASTER'!$S$2:$S$495))-(ROW('CONTROL MASTER'!#REF!)-1))))*(INDEX('CONTROL MASTER'!$W$2:$W$495,(SUMPRODUCT((('CONTROL MASTER'!$S$2:$S$495=1)*('CONTROL MASTER'!$T$2:$T$495&lt;=3)*('CONTROL MASTER'!$V$2:$V$495&gt;=3)*('CONTROL MASTER'!$U$2:$U$495&lt;=8)*('CONTROL MASTER'!$W$2:$W$495&gt;=8))*ROW('CONTROL MASTER'!$S$2:$S$495))-(ROW('CONTROL MASTER'!#REF!)-1)))-INDEX('CONTROL MASTER'!$U$2:$U$495,(SUMPRODUCT((('CONTROL MASTER'!$S$2:$S$495=1)*('CONTROL MASTER'!$T$2:$T$495&lt;=3)*('CONTROL MASTER'!$V$2:$V$495&gt;=3)*('CONTROL MASTER'!$U$2:$U$495&lt;=8)*('CONTROL MASTER'!$W$2:$W$495&gt;=8))*ROW('CONTROL MASTER'!$S$2:$S$495))-(ROW('CONTROL MASTER'!#REF!)-1)))+1)+(8-INDEX('CONTROL MASTER'!$U$2:$U$495,(SUMPRODUCT((('CONTROL MASTER'!$S$2:$S$495=1)*('CONTROL MASTER'!$T$2:$T$495&lt;=3)*('CONTROL MASTER'!$V$2:$V$495&gt;=3)*('CONTROL MASTER'!$U$2:$U$495&lt;=8)*('CONTROL MASTER'!$W$2:$W$495&gt;=8))*ROW('CONTROL MASTER'!$S$2:$S$495))-(ROW('CONTROL MASTER'!#REF!)-1))))+1))-1)*50+1,50))&amp;"_"&amp;INDEX('CONTROL MASTER'!$P$2:$P$495,(SUMPRODUCT((('CONTROL MASTER'!$S$2:$S$495=1)*('CONTROL MASTER'!$T$2:$T$495&lt;=3)*('CONTROL MASTER'!$V$2:$V$495&gt;=3)*('CONTROL MASTER'!$U$2:$U$495&lt;=8)*('CONTROL MASTER'!$W$2:$W$495&gt;=8))*ROW('CONTROL MASTER'!$S$2:$S$495))-(ROW('CONTROL MASTER'!#REF!)-1))),IF(SUMPRODUCT((('CONTROL MASTER'!$S$2:$S$495=1)*('CONTROL MASTER'!$Z$2:$Z$495&lt;=3)*('CONTROL MASTER'!$AB$2:$AB$495&gt;=3)*('CONTROL MASTER'!$AA$2:$AA$495&lt;=8)*('CONTROL MASTER'!$AC$2:$AC$495&gt;=8))*ROW('CONTROL MASTER'!$S$2:$S$495))&gt;0,INDEX('CONTROL MASTER'!$X$2:$X$495,(SUMPRODUCT((('CONTROL MASTER'!$S$2:$S$495=1)*('CONTROL MASTER'!$Z$2:$Z$495&lt;=3)*('CONTROL MASTER'!$AB$2:$AB$495&gt;=3)*('CONTROL MASTER'!$AA$2:$AA$495&lt;=8)*('CONTROL MASTER'!$AC$2:$AC$495&gt;=8))*ROW('CONTROL MASTER'!$S$2:$S$495))-(ROW('CONTROL MASTER'!#REF!)-1)))&amp;TRIM(MID(SUBSTITUTE(SUBSTITUTE(INDEX('CONTROL MASTER'!$N$2:$N$495,(SUMPRODUCT((('CONTROL MASTER'!$S$2:$S$495=1)*('CONTROL MASTER'!$Z$2:$Z$495&lt;=3)*('CONTROL MASTER'!$AB$2:$AB$495&gt;=3)*('CONTROL MASTER'!$AA$2:$AA$495&lt;=8)*('CONTROL MASTER'!$AC$2:$AC$495&gt;=8))*ROW('CONTROL MASTER'!$S$2:$S$495))-(ROW('CONTROL MASTER'!#REF!)-1))),":",","),",",REPT(" ",50)),(((INDEX('CONTROL MASTER'!$Y$2:$Y$495,(SUMPRODUCT((('CONTROL MASTER'!$S$2:$S$495=1)*('CONTROL MASTER'!$Z$2:$Z$495&lt;=3)*('CONTROL MASTER'!$AB$2:$AB$495&gt;=3)*('CONTROL MASTER'!$AA$2:$AA$495&lt;=8)*('CONTROL MASTER'!$AC$2:$AC$495&gt;=8))*ROW('CONTROL MASTER'!$S$2:$S$495))-(ROW('CONTROL MASTER'!#REF!)-1)))+((3-INDEX('CONTROL MASTER'!$Z$2:$Z$495,(SUMPRODUCT((('CONTROL MASTER'!$S$2:$S$495=1)*('CONTROL MASTER'!$Z$2:$Z$495&lt;=3)*('CONTROL MASTER'!$AB$2:$AB$495&gt;=3)*('CONTROL MASTER'!$AA$2:$AA$495&lt;=8)*('CONTROL MASTER'!$AC$2:$AC$495&gt;=8))*ROW('CONTROL MASTER'!$S$2:$S$495))-(ROW('CONTROL MASTER'!#REF!)-1))))*(INDEX('CONTROL MASTER'!$AC$2:$AC$495,(SUMPRODUCT((('CONTROL MASTER'!$S$2:$S$495=1)*('CONTROL MASTER'!$Z$2:$Z$495&lt;=3)*('CONTROL MASTER'!$AB$2:$AB$495&gt;=3)*('CONTROL MASTER'!$AA$2:$AA$495&lt;=8)*('CONTROL MASTER'!$AC$2:$AC$495&gt;=8))*ROW('CONTROL MASTER'!$S$2:$S$495))-(ROW('CONTROL MASTER'!#REF!)-1)))-INDEX('CONTROL MASTER'!$AA$2:$AA$495,(SUMPRODUCT((('CONTROL MASTER'!$S$2:$S$495=1)*('CONTROL MASTER'!$Z$2:$Z$495&lt;=3)*('CONTROL MASTER'!$AB$2:$AB$495&gt;=3)*('CONTROL MASTER'!$AA$2:$AA$495&lt;=8)*('CONTROL MASTER'!$AC$2:$AC$495&gt;=8))*ROW('CONTROL MASTER'!$S$2:$S$495))-(ROW('CONTROL MASTER'!#REF!)-1)))+1)+(8-INDEX('CONTROL MASTER'!$AA$2:$AA$495,(SUMPRODUCT((('CONTROL MASTER'!$S$2:$S$495=1)*('CONTROL MASTER'!$Z$2:$Z$495&lt;=3)*('CONTROL MASTER'!$AB$2:$AB$495&gt;=3)*('CONTROL MASTER'!$AA$2:$AA$495&lt;=8)*('CONTROL MASTER'!$AC$2:$AC$495&gt;=8))*ROW('CONTROL MASTER'!$S$2:$S$495))-(ROW('CONTROL MASTER'!#REF!)-1))))+1)))-1)*50+1,50))&amp;"_"&amp;INDEX('CONTROL MASTER'!$P$2:$P$495,(SUMPRODUCT((('CONTROL MASTER'!$S$2:$S$495=1)*('CONTROL MASTER'!$Z$2:$Z$495&lt;=3)*('CONTROL MASTER'!$AB$2:$AB$495&gt;=3)*('CONTROL MASTER'!$AA$2:$AA$495&lt;=8)*('CONTROL MASTER'!$AC$2:$AC$495&gt;=8))*ROW('CONTROL MASTER'!$S$2:$S$495))-(ROW('CONTROL MASTER'!#REF!)-1))),"")),"")</f>
        <v/>
      </c>
      <c r="J5" s="10" t="str">
        <f>IFERROR(IF(SUMPRODUCT((('CONTROL MASTER'!$S$2:$S$495=1)*('CONTROL MASTER'!$T$2:$T$495&lt;=3)*('CONTROL MASTER'!$V$2:$V$495&gt;=3)*('CONTROL MASTER'!$U$2:$U$495&lt;=9)*('CONTROL MASTER'!$W$2:$W$495&gt;=9))*ROW('CONTROL MASTER'!$S$2:$S$495))&gt;0,INDEX('CONTROL MASTER'!$X$2:$X$495,(SUMPRODUCT((('CONTROL MASTER'!$S$2:$S$495=1)*('CONTROL MASTER'!$T$2:$T$495&lt;=3)*('CONTROL MASTER'!$V$2:$V$495&gt;=3)*('CONTROL MASTER'!$U$2:$U$495&lt;=9)*('CONTROL MASTER'!$W$2:$W$495&gt;=9))*ROW('CONTROL MASTER'!$S$2:$S$495))-(ROW('CONTROL MASTER'!#REF!)-1)))&amp;TRIM(MID(SUBSTITUTE(SUBSTITUTE(INDEX('CONTROL MASTER'!$N$2:$N$495,(SUMPRODUCT((('CONTROL MASTER'!$S$2:$S$495=1)*('CONTROL MASTER'!$T$2:$T$495&lt;=3)*('CONTROL MASTER'!$V$2:$V$495&gt;=3)*('CONTROL MASTER'!$U$2:$U$495&lt;=9)*('CONTROL MASTER'!$W$2:$W$495&gt;=9))*ROW('CONTROL MASTER'!$S$2:$S$495))-(ROW('CONTROL MASTER'!#REF!)-1))),":",","),",",REPT(" ",50)),((((3-INDEX('CONTROL MASTER'!$T$2:$T$495,(SUMPRODUCT((('CONTROL MASTER'!$S$2:$S$495=1)*('CONTROL MASTER'!$T$2:$T$495&lt;=3)*('CONTROL MASTER'!$V$2:$V$495&gt;=3)*('CONTROL MASTER'!$U$2:$U$495&lt;=9)*('CONTROL MASTER'!$W$2:$W$495&gt;=9))*ROW('CONTROL MASTER'!$S$2:$S$495))-(ROW('CONTROL MASTER'!#REF!)-1))))*(INDEX('CONTROL MASTER'!$W$2:$W$495,(SUMPRODUCT((('CONTROL MASTER'!$S$2:$S$495=1)*('CONTROL MASTER'!$T$2:$T$495&lt;=3)*('CONTROL MASTER'!$V$2:$V$495&gt;=3)*('CONTROL MASTER'!$U$2:$U$495&lt;=9)*('CONTROL MASTER'!$W$2:$W$495&gt;=9))*ROW('CONTROL MASTER'!$S$2:$S$495))-(ROW('CONTROL MASTER'!#REF!)-1)))-INDEX('CONTROL MASTER'!$U$2:$U$495,(SUMPRODUCT((('CONTROL MASTER'!$S$2:$S$495=1)*('CONTROL MASTER'!$T$2:$T$495&lt;=3)*('CONTROL MASTER'!$V$2:$V$495&gt;=3)*('CONTROL MASTER'!$U$2:$U$495&lt;=9)*('CONTROL MASTER'!$W$2:$W$495&gt;=9))*ROW('CONTROL MASTER'!$S$2:$S$495))-(ROW('CONTROL MASTER'!#REF!)-1)))+1)+(9-INDEX('CONTROL MASTER'!$U$2:$U$495,(SUMPRODUCT((('CONTROL MASTER'!$S$2:$S$495=1)*('CONTROL MASTER'!$T$2:$T$495&lt;=3)*('CONTROL MASTER'!$V$2:$V$495&gt;=3)*('CONTROL MASTER'!$U$2:$U$495&lt;=9)*('CONTROL MASTER'!$W$2:$W$495&gt;=9))*ROW('CONTROL MASTER'!$S$2:$S$495))-(ROW('CONTROL MASTER'!#REF!)-1))))+1))-1)*50+1,50))&amp;"_"&amp;INDEX('CONTROL MASTER'!$P$2:$P$495,(SUMPRODUCT((('CONTROL MASTER'!$S$2:$S$495=1)*('CONTROL MASTER'!$T$2:$T$495&lt;=3)*('CONTROL MASTER'!$V$2:$V$495&gt;=3)*('CONTROL MASTER'!$U$2:$U$495&lt;=9)*('CONTROL MASTER'!$W$2:$W$495&gt;=9))*ROW('CONTROL MASTER'!$S$2:$S$495))-(ROW('CONTROL MASTER'!#REF!)-1))),IF(SUMPRODUCT((('CONTROL MASTER'!$S$2:$S$495=1)*('CONTROL MASTER'!$Z$2:$Z$495&lt;=3)*('CONTROL MASTER'!$AB$2:$AB$495&gt;=3)*('CONTROL MASTER'!$AA$2:$AA$495&lt;=9)*('CONTROL MASTER'!$AC$2:$AC$495&gt;=9))*ROW('CONTROL MASTER'!$S$2:$S$495))&gt;0,INDEX('CONTROL MASTER'!$X$2:$X$495,(SUMPRODUCT((('CONTROL MASTER'!$S$2:$S$495=1)*('CONTROL MASTER'!$Z$2:$Z$495&lt;=3)*('CONTROL MASTER'!$AB$2:$AB$495&gt;=3)*('CONTROL MASTER'!$AA$2:$AA$495&lt;=9)*('CONTROL MASTER'!$AC$2:$AC$495&gt;=9))*ROW('CONTROL MASTER'!$S$2:$S$495))-(ROW('CONTROL MASTER'!#REF!)-1)))&amp;TRIM(MID(SUBSTITUTE(SUBSTITUTE(INDEX('CONTROL MASTER'!$N$2:$N$495,(SUMPRODUCT((('CONTROL MASTER'!$S$2:$S$495=1)*('CONTROL MASTER'!$Z$2:$Z$495&lt;=3)*('CONTROL MASTER'!$AB$2:$AB$495&gt;=3)*('CONTROL MASTER'!$AA$2:$AA$495&lt;=9)*('CONTROL MASTER'!$AC$2:$AC$495&gt;=9))*ROW('CONTROL MASTER'!$S$2:$S$495))-(ROW('CONTROL MASTER'!#REF!)-1))),":",","),",",REPT(" ",50)),(((INDEX('CONTROL MASTER'!$Y$2:$Y$495,(SUMPRODUCT((('CONTROL MASTER'!$S$2:$S$495=1)*('CONTROL MASTER'!$Z$2:$Z$495&lt;=3)*('CONTROL MASTER'!$AB$2:$AB$495&gt;=3)*('CONTROL MASTER'!$AA$2:$AA$495&lt;=9)*('CONTROL MASTER'!$AC$2:$AC$495&gt;=9))*ROW('CONTROL MASTER'!$S$2:$S$495))-(ROW('CONTROL MASTER'!#REF!)-1)))+((3-INDEX('CONTROL MASTER'!$Z$2:$Z$495,(SUMPRODUCT((('CONTROL MASTER'!$S$2:$S$495=1)*('CONTROL MASTER'!$Z$2:$Z$495&lt;=3)*('CONTROL MASTER'!$AB$2:$AB$495&gt;=3)*('CONTROL MASTER'!$AA$2:$AA$495&lt;=9)*('CONTROL MASTER'!$AC$2:$AC$495&gt;=9))*ROW('CONTROL MASTER'!$S$2:$S$495))-(ROW('CONTROL MASTER'!#REF!)-1))))*(INDEX('CONTROL MASTER'!$AC$2:$AC$495,(SUMPRODUCT((('CONTROL MASTER'!$S$2:$S$495=1)*('CONTROL MASTER'!$Z$2:$Z$495&lt;=3)*('CONTROL MASTER'!$AB$2:$AB$495&gt;=3)*('CONTROL MASTER'!$AA$2:$AA$495&lt;=9)*('CONTROL MASTER'!$AC$2:$AC$495&gt;=9))*ROW('CONTROL MASTER'!$S$2:$S$495))-(ROW('CONTROL MASTER'!#REF!)-1)))-INDEX('CONTROL MASTER'!$AA$2:$AA$495,(SUMPRODUCT((('CONTROL MASTER'!$S$2:$S$495=1)*('CONTROL MASTER'!$Z$2:$Z$495&lt;=3)*('CONTROL MASTER'!$AB$2:$AB$495&gt;=3)*('CONTROL MASTER'!$AA$2:$AA$495&lt;=9)*('CONTROL MASTER'!$AC$2:$AC$495&gt;=9))*ROW('CONTROL MASTER'!$S$2:$S$495))-(ROW('CONTROL MASTER'!#REF!)-1)))+1)+(9-INDEX('CONTROL MASTER'!$AA$2:$AA$495,(SUMPRODUCT((('CONTROL MASTER'!$S$2:$S$495=1)*('CONTROL MASTER'!$Z$2:$Z$495&lt;=3)*('CONTROL MASTER'!$AB$2:$AB$495&gt;=3)*('CONTROL MASTER'!$AA$2:$AA$495&lt;=9)*('CONTROL MASTER'!$AC$2:$AC$495&gt;=9))*ROW('CONTROL MASTER'!$S$2:$S$495))-(ROW('CONTROL MASTER'!#REF!)-1))))+1)))-1)*50+1,50))&amp;"_"&amp;INDEX('CONTROL MASTER'!$P$2:$P$495,(SUMPRODUCT((('CONTROL MASTER'!$S$2:$S$495=1)*('CONTROL MASTER'!$Z$2:$Z$495&lt;=3)*('CONTROL MASTER'!$AB$2:$AB$495&gt;=3)*('CONTROL MASTER'!$AA$2:$AA$495&lt;=9)*('CONTROL MASTER'!$AC$2:$AC$495&gt;=9))*ROW('CONTROL MASTER'!$S$2:$S$495))-(ROW('CONTROL MASTER'!#REF!)-1))),"")),"")</f>
        <v/>
      </c>
      <c r="K5" s="10" t="str">
        <f>IFERROR(IF(SUMPRODUCT((('CONTROL MASTER'!$S$2:$S$495=1)*('CONTROL MASTER'!$T$2:$T$495&lt;=3)*('CONTROL MASTER'!$V$2:$V$495&gt;=3)*('CONTROL MASTER'!$U$2:$U$495&lt;=10)*('CONTROL MASTER'!$W$2:$W$495&gt;=10))*ROW('CONTROL MASTER'!$S$2:$S$495))&gt;0,INDEX('CONTROL MASTER'!$X$2:$X$495,(SUMPRODUCT((('CONTROL MASTER'!$S$2:$S$495=1)*('CONTROL MASTER'!$T$2:$T$495&lt;=3)*('CONTROL MASTER'!$V$2:$V$495&gt;=3)*('CONTROL MASTER'!$U$2:$U$495&lt;=10)*('CONTROL MASTER'!$W$2:$W$495&gt;=10))*ROW('CONTROL MASTER'!$S$2:$S$495))-(ROW('CONTROL MASTER'!#REF!)-1)))&amp;TRIM(MID(SUBSTITUTE(SUBSTITUTE(INDEX('CONTROL MASTER'!$N$2:$N$495,(SUMPRODUCT((('CONTROL MASTER'!$S$2:$S$495=1)*('CONTROL MASTER'!$T$2:$T$495&lt;=3)*('CONTROL MASTER'!$V$2:$V$495&gt;=3)*('CONTROL MASTER'!$U$2:$U$495&lt;=10)*('CONTROL MASTER'!$W$2:$W$495&gt;=10))*ROW('CONTROL MASTER'!$S$2:$S$495))-(ROW('CONTROL MASTER'!#REF!)-1))),":",","),",",REPT(" ",50)),((((3-INDEX('CONTROL MASTER'!$T$2:$T$495,(SUMPRODUCT((('CONTROL MASTER'!$S$2:$S$495=1)*('CONTROL MASTER'!$T$2:$T$495&lt;=3)*('CONTROL MASTER'!$V$2:$V$495&gt;=3)*('CONTROL MASTER'!$U$2:$U$495&lt;=10)*('CONTROL MASTER'!$W$2:$W$495&gt;=10))*ROW('CONTROL MASTER'!$S$2:$S$495))-(ROW('CONTROL MASTER'!#REF!)-1))))*(INDEX('CONTROL MASTER'!$W$2:$W$495,(SUMPRODUCT((('CONTROL MASTER'!$S$2:$S$495=1)*('CONTROL MASTER'!$T$2:$T$495&lt;=3)*('CONTROL MASTER'!$V$2:$V$495&gt;=3)*('CONTROL MASTER'!$U$2:$U$495&lt;=10)*('CONTROL MASTER'!$W$2:$W$495&gt;=10))*ROW('CONTROL MASTER'!$S$2:$S$495))-(ROW('CONTROL MASTER'!#REF!)-1)))-INDEX('CONTROL MASTER'!$U$2:$U$495,(SUMPRODUCT((('CONTROL MASTER'!$S$2:$S$495=1)*('CONTROL MASTER'!$T$2:$T$495&lt;=3)*('CONTROL MASTER'!$V$2:$V$495&gt;=3)*('CONTROL MASTER'!$U$2:$U$495&lt;=10)*('CONTROL MASTER'!$W$2:$W$495&gt;=10))*ROW('CONTROL MASTER'!$S$2:$S$495))-(ROW('CONTROL MASTER'!#REF!)-1)))+1)+(10-INDEX('CONTROL MASTER'!$U$2:$U$495,(SUMPRODUCT((('CONTROL MASTER'!$S$2:$S$495=1)*('CONTROL MASTER'!$T$2:$T$495&lt;=3)*('CONTROL MASTER'!$V$2:$V$495&gt;=3)*('CONTROL MASTER'!$U$2:$U$495&lt;=10)*('CONTROL MASTER'!$W$2:$W$495&gt;=10))*ROW('CONTROL MASTER'!$S$2:$S$495))-(ROW('CONTROL MASTER'!#REF!)-1))))+1))-1)*50+1,50))&amp;"_"&amp;INDEX('CONTROL MASTER'!$P$2:$P$495,(SUMPRODUCT((('CONTROL MASTER'!$S$2:$S$495=1)*('CONTROL MASTER'!$T$2:$T$495&lt;=3)*('CONTROL MASTER'!$V$2:$V$495&gt;=3)*('CONTROL MASTER'!$U$2:$U$495&lt;=10)*('CONTROL MASTER'!$W$2:$W$495&gt;=10))*ROW('CONTROL MASTER'!$S$2:$S$495))-(ROW('CONTROL MASTER'!#REF!)-1))),IF(SUMPRODUCT((('CONTROL MASTER'!$S$2:$S$495=1)*('CONTROL MASTER'!$Z$2:$Z$495&lt;=3)*('CONTROL MASTER'!$AB$2:$AB$495&gt;=3)*('CONTROL MASTER'!$AA$2:$AA$495&lt;=10)*('CONTROL MASTER'!$AC$2:$AC$495&gt;=10))*ROW('CONTROL MASTER'!$S$2:$S$495))&gt;0,INDEX('CONTROL MASTER'!$X$2:$X$495,(SUMPRODUCT((('CONTROL MASTER'!$S$2:$S$495=1)*('CONTROL MASTER'!$Z$2:$Z$495&lt;=3)*('CONTROL MASTER'!$AB$2:$AB$495&gt;=3)*('CONTROL MASTER'!$AA$2:$AA$495&lt;=10)*('CONTROL MASTER'!$AC$2:$AC$495&gt;=10))*ROW('CONTROL MASTER'!$S$2:$S$495))-(ROW('CONTROL MASTER'!#REF!)-1)))&amp;TRIM(MID(SUBSTITUTE(SUBSTITUTE(INDEX('CONTROL MASTER'!$N$2:$N$495,(SUMPRODUCT((('CONTROL MASTER'!$S$2:$S$495=1)*('CONTROL MASTER'!$Z$2:$Z$495&lt;=3)*('CONTROL MASTER'!$AB$2:$AB$495&gt;=3)*('CONTROL MASTER'!$AA$2:$AA$495&lt;=10)*('CONTROL MASTER'!$AC$2:$AC$495&gt;=10))*ROW('CONTROL MASTER'!$S$2:$S$495))-(ROW('CONTROL MASTER'!#REF!)-1))),":",","),",",REPT(" ",50)),(((INDEX('CONTROL MASTER'!$Y$2:$Y$495,(SUMPRODUCT((('CONTROL MASTER'!$S$2:$S$495=1)*('CONTROL MASTER'!$Z$2:$Z$495&lt;=3)*('CONTROL MASTER'!$AB$2:$AB$495&gt;=3)*('CONTROL MASTER'!$AA$2:$AA$495&lt;=10)*('CONTROL MASTER'!$AC$2:$AC$495&gt;=10))*ROW('CONTROL MASTER'!$S$2:$S$495))-(ROW('CONTROL MASTER'!#REF!)-1)))+((3-INDEX('CONTROL MASTER'!$Z$2:$Z$495,(SUMPRODUCT((('CONTROL MASTER'!$S$2:$S$495=1)*('CONTROL MASTER'!$Z$2:$Z$495&lt;=3)*('CONTROL MASTER'!$AB$2:$AB$495&gt;=3)*('CONTROL MASTER'!$AA$2:$AA$495&lt;=10)*('CONTROL MASTER'!$AC$2:$AC$495&gt;=10))*ROW('CONTROL MASTER'!$S$2:$S$495))-(ROW('CONTROL MASTER'!#REF!)-1))))*(INDEX('CONTROL MASTER'!$AC$2:$AC$495,(SUMPRODUCT((('CONTROL MASTER'!$S$2:$S$495=1)*('CONTROL MASTER'!$Z$2:$Z$495&lt;=3)*('CONTROL MASTER'!$AB$2:$AB$495&gt;=3)*('CONTROL MASTER'!$AA$2:$AA$495&lt;=10)*('CONTROL MASTER'!$AC$2:$AC$495&gt;=10))*ROW('CONTROL MASTER'!$S$2:$S$495))-(ROW('CONTROL MASTER'!#REF!)-1)))-INDEX('CONTROL MASTER'!$AA$2:$AA$495,(SUMPRODUCT((('CONTROL MASTER'!$S$2:$S$495=1)*('CONTROL MASTER'!$Z$2:$Z$495&lt;=3)*('CONTROL MASTER'!$AB$2:$AB$495&gt;=3)*('CONTROL MASTER'!$AA$2:$AA$495&lt;=10)*('CONTROL MASTER'!$AC$2:$AC$495&gt;=10))*ROW('CONTROL MASTER'!$S$2:$S$495))-(ROW('CONTROL MASTER'!#REF!)-1)))+1)+(10-INDEX('CONTROL MASTER'!$AA$2:$AA$495,(SUMPRODUCT((('CONTROL MASTER'!$S$2:$S$495=1)*('CONTROL MASTER'!$Z$2:$Z$495&lt;=3)*('CONTROL MASTER'!$AB$2:$AB$495&gt;=3)*('CONTROL MASTER'!$AA$2:$AA$495&lt;=10)*('CONTROL MASTER'!$AC$2:$AC$495&gt;=10))*ROW('CONTROL MASTER'!$S$2:$S$495))-(ROW('CONTROL MASTER'!#REF!)-1))))+1)))-1)*50+1,50))&amp;"_"&amp;INDEX('CONTROL MASTER'!$P$2:$P$495,(SUMPRODUCT((('CONTROL MASTER'!$S$2:$S$495=1)*('CONTROL MASTER'!$Z$2:$Z$495&lt;=3)*('CONTROL MASTER'!$AB$2:$AB$495&gt;=3)*('CONTROL MASTER'!$AA$2:$AA$495&lt;=10)*('CONTROL MASTER'!$AC$2:$AC$495&gt;=10))*ROW('CONTROL MASTER'!$S$2:$S$495))-(ROW('CONTROL MASTER'!#REF!)-1))),"")),"")</f>
        <v/>
      </c>
    </row>
    <row r="6" spans="1:11" ht="15" customHeight="1" x14ac:dyDescent="0.35">
      <c r="A6" s="8" t="s">
        <v>31</v>
      </c>
      <c r="B6" s="10" t="str">
        <f>IFERROR(IF(SUMPRODUCT((('CONTROL MASTER'!$S$2:$S$495=1)*('CONTROL MASTER'!$T$2:$T$495&lt;=4)*('CONTROL MASTER'!$V$2:$V$495&gt;=4)*('CONTROL MASTER'!$U$2:$U$495&lt;=1)*('CONTROL MASTER'!$W$2:$W$495&gt;=1))*ROW('CONTROL MASTER'!$S$2:$S$495))&gt;0,INDEX('CONTROL MASTER'!$X$2:$X$495,(SUMPRODUCT((('CONTROL MASTER'!$S$2:$S$495=1)*('CONTROL MASTER'!$T$2:$T$495&lt;=4)*('CONTROL MASTER'!$V$2:$V$495&gt;=4)*('CONTROL MASTER'!$U$2:$U$495&lt;=1)*('CONTROL MASTER'!$W$2:$W$495&gt;=1))*ROW('CONTROL MASTER'!$S$2:$S$495))-(ROW('CONTROL MASTER'!#REF!)-1)))&amp;TRIM(MID(SUBSTITUTE(SUBSTITUTE(INDEX('CONTROL MASTER'!$N$2:$N$495,(SUMPRODUCT((('CONTROL MASTER'!$S$2:$S$495=1)*('CONTROL MASTER'!$T$2:$T$495&lt;=4)*('CONTROL MASTER'!$V$2:$V$495&gt;=4)*('CONTROL MASTER'!$U$2:$U$495&lt;=1)*('CONTROL MASTER'!$W$2:$W$495&gt;=1))*ROW('CONTROL MASTER'!$S$2:$S$495))-(ROW('CONTROL MASTER'!#REF!)-1))),":",","),",",REPT(" ",50)),((((4-INDEX('CONTROL MASTER'!$T$2:$T$495,(SUMPRODUCT((('CONTROL MASTER'!$S$2:$S$495=1)*('CONTROL MASTER'!$T$2:$T$495&lt;=4)*('CONTROL MASTER'!$V$2:$V$495&gt;=4)*('CONTROL MASTER'!$U$2:$U$495&lt;=1)*('CONTROL MASTER'!$W$2:$W$495&gt;=1))*ROW('CONTROL MASTER'!$S$2:$S$495))-(ROW('CONTROL MASTER'!#REF!)-1))))*(INDEX('CONTROL MASTER'!$W$2:$W$495,(SUMPRODUCT((('CONTROL MASTER'!$S$2:$S$495=1)*('CONTROL MASTER'!$T$2:$T$495&lt;=4)*('CONTROL MASTER'!$V$2:$V$495&gt;=4)*('CONTROL MASTER'!$U$2:$U$495&lt;=1)*('CONTROL MASTER'!$W$2:$W$495&gt;=1))*ROW('CONTROL MASTER'!$S$2:$S$495))-(ROW('CONTROL MASTER'!#REF!)-1)))-INDEX('CONTROL MASTER'!$U$2:$U$495,(SUMPRODUCT((('CONTROL MASTER'!$S$2:$S$495=1)*('CONTROL MASTER'!$T$2:$T$495&lt;=4)*('CONTROL MASTER'!$V$2:$V$495&gt;=4)*('CONTROL MASTER'!$U$2:$U$495&lt;=1)*('CONTROL MASTER'!$W$2:$W$495&gt;=1))*ROW('CONTROL MASTER'!$S$2:$S$495))-(ROW('CONTROL MASTER'!#REF!)-1)))+1)+(1-INDEX('CONTROL MASTER'!$U$2:$U$495,(SUMPRODUCT((('CONTROL MASTER'!$S$2:$S$495=1)*('CONTROL MASTER'!$T$2:$T$495&lt;=4)*('CONTROL MASTER'!$V$2:$V$495&gt;=4)*('CONTROL MASTER'!$U$2:$U$495&lt;=1)*('CONTROL MASTER'!$W$2:$W$495&gt;=1))*ROW('CONTROL MASTER'!$S$2:$S$495))-(ROW('CONTROL MASTER'!#REF!)-1))))+1))-1)*50+1,50))&amp;"_"&amp;INDEX('CONTROL MASTER'!$P$2:$P$495,(SUMPRODUCT((('CONTROL MASTER'!$S$2:$S$495=1)*('CONTROL MASTER'!$T$2:$T$495&lt;=4)*('CONTROL MASTER'!$V$2:$V$495&gt;=4)*('CONTROL MASTER'!$U$2:$U$495&lt;=1)*('CONTROL MASTER'!$W$2:$W$495&gt;=1))*ROW('CONTROL MASTER'!$S$2:$S$495))-(ROW('CONTROL MASTER'!#REF!)-1))),IF(SUMPRODUCT((('CONTROL MASTER'!$S$2:$S$495=1)*('CONTROL MASTER'!$Z$2:$Z$495&lt;=4)*('CONTROL MASTER'!$AB$2:$AB$495&gt;=4)*('CONTROL MASTER'!$AA$2:$AA$495&lt;=1)*('CONTROL MASTER'!$AC$2:$AC$495&gt;=1))*ROW('CONTROL MASTER'!$S$2:$S$495))&gt;0,INDEX('CONTROL MASTER'!$X$2:$X$495,(SUMPRODUCT((('CONTROL MASTER'!$S$2:$S$495=1)*('CONTROL MASTER'!$Z$2:$Z$495&lt;=4)*('CONTROL MASTER'!$AB$2:$AB$495&gt;=4)*('CONTROL MASTER'!$AA$2:$AA$495&lt;=1)*('CONTROL MASTER'!$AC$2:$AC$495&gt;=1))*ROW('CONTROL MASTER'!$S$2:$S$495))-(ROW('CONTROL MASTER'!#REF!)-1)))&amp;TRIM(MID(SUBSTITUTE(SUBSTITUTE(INDEX('CONTROL MASTER'!$N$2:$N$495,(SUMPRODUCT((('CONTROL MASTER'!$S$2:$S$495=1)*('CONTROL MASTER'!$Z$2:$Z$495&lt;=4)*('CONTROL MASTER'!$AB$2:$AB$495&gt;=4)*('CONTROL MASTER'!$AA$2:$AA$495&lt;=1)*('CONTROL MASTER'!$AC$2:$AC$495&gt;=1))*ROW('CONTROL MASTER'!$S$2:$S$495))-(ROW('CONTROL MASTER'!#REF!)-1))),":",","),",",REPT(" ",50)),(((INDEX('CONTROL MASTER'!$Y$2:$Y$495,(SUMPRODUCT((('CONTROL MASTER'!$S$2:$S$495=1)*('CONTROL MASTER'!$Z$2:$Z$495&lt;=4)*('CONTROL MASTER'!$AB$2:$AB$495&gt;=4)*('CONTROL MASTER'!$AA$2:$AA$495&lt;=1)*('CONTROL MASTER'!$AC$2:$AC$495&gt;=1))*ROW('CONTROL MASTER'!$S$2:$S$495))-(ROW('CONTROL MASTER'!#REF!)-1)))+((4-INDEX('CONTROL MASTER'!$Z$2:$Z$495,(SUMPRODUCT((('CONTROL MASTER'!$S$2:$S$495=1)*('CONTROL MASTER'!$Z$2:$Z$495&lt;=4)*('CONTROL MASTER'!$AB$2:$AB$495&gt;=4)*('CONTROL MASTER'!$AA$2:$AA$495&lt;=1)*('CONTROL MASTER'!$AC$2:$AC$495&gt;=1))*ROW('CONTROL MASTER'!$S$2:$S$495))-(ROW('CONTROL MASTER'!#REF!)-1))))*(INDEX('CONTROL MASTER'!$AC$2:$AC$495,(SUMPRODUCT((('CONTROL MASTER'!$S$2:$S$495=1)*('CONTROL MASTER'!$Z$2:$Z$495&lt;=4)*('CONTROL MASTER'!$AB$2:$AB$495&gt;=4)*('CONTROL MASTER'!$AA$2:$AA$495&lt;=1)*('CONTROL MASTER'!$AC$2:$AC$495&gt;=1))*ROW('CONTROL MASTER'!$S$2:$S$495))-(ROW('CONTROL MASTER'!#REF!)-1)))-INDEX('CONTROL MASTER'!$AA$2:$AA$495,(SUMPRODUCT((('CONTROL MASTER'!$S$2:$S$495=1)*('CONTROL MASTER'!$Z$2:$Z$495&lt;=4)*('CONTROL MASTER'!$AB$2:$AB$495&gt;=4)*('CONTROL MASTER'!$AA$2:$AA$495&lt;=1)*('CONTROL MASTER'!$AC$2:$AC$495&gt;=1))*ROW('CONTROL MASTER'!$S$2:$S$495))-(ROW('CONTROL MASTER'!#REF!)-1)))+1)+(1-INDEX('CONTROL MASTER'!$AA$2:$AA$495,(SUMPRODUCT((('CONTROL MASTER'!$S$2:$S$495=1)*('CONTROL MASTER'!$Z$2:$Z$495&lt;=4)*('CONTROL MASTER'!$AB$2:$AB$495&gt;=4)*('CONTROL MASTER'!$AA$2:$AA$495&lt;=1)*('CONTROL MASTER'!$AC$2:$AC$495&gt;=1))*ROW('CONTROL MASTER'!$S$2:$S$495))-(ROW('CONTROL MASTER'!#REF!)-1))))+1)))-1)*50+1,50))&amp;"_"&amp;INDEX('CONTROL MASTER'!$P$2:$P$495,(SUMPRODUCT((('CONTROL MASTER'!$S$2:$S$495=1)*('CONTROL MASTER'!$Z$2:$Z$495&lt;=4)*('CONTROL MASTER'!$AB$2:$AB$495&gt;=4)*('CONTROL MASTER'!$AA$2:$AA$495&lt;=1)*('CONTROL MASTER'!$AC$2:$AC$495&gt;=1))*ROW('CONTROL MASTER'!$S$2:$S$495))-(ROW('CONTROL MASTER'!#REF!)-1))),"")),"")</f>
        <v/>
      </c>
      <c r="C6" s="10" t="str">
        <f>IFERROR(IF(SUMPRODUCT((('CONTROL MASTER'!$S$2:$S$495=1)*('CONTROL MASTER'!$T$2:$T$495&lt;=4)*('CONTROL MASTER'!$V$2:$V$495&gt;=4)*('CONTROL MASTER'!$U$2:$U$495&lt;=2)*('CONTROL MASTER'!$W$2:$W$495&gt;=2))*ROW('CONTROL MASTER'!$S$2:$S$495))&gt;0,INDEX('CONTROL MASTER'!$X$2:$X$495,(SUMPRODUCT((('CONTROL MASTER'!$S$2:$S$495=1)*('CONTROL MASTER'!$T$2:$T$495&lt;=4)*('CONTROL MASTER'!$V$2:$V$495&gt;=4)*('CONTROL MASTER'!$U$2:$U$495&lt;=2)*('CONTROL MASTER'!$W$2:$W$495&gt;=2))*ROW('CONTROL MASTER'!$S$2:$S$495))-(ROW('CONTROL MASTER'!#REF!)-1)))&amp;TRIM(MID(SUBSTITUTE(SUBSTITUTE(INDEX('CONTROL MASTER'!$N$2:$N$495,(SUMPRODUCT((('CONTROL MASTER'!$S$2:$S$495=1)*('CONTROL MASTER'!$T$2:$T$495&lt;=4)*('CONTROL MASTER'!$V$2:$V$495&gt;=4)*('CONTROL MASTER'!$U$2:$U$495&lt;=2)*('CONTROL MASTER'!$W$2:$W$495&gt;=2))*ROW('CONTROL MASTER'!$S$2:$S$495))-(ROW('CONTROL MASTER'!#REF!)-1))),":",","),",",REPT(" ",50)),((((4-INDEX('CONTROL MASTER'!$T$2:$T$495,(SUMPRODUCT((('CONTROL MASTER'!$S$2:$S$495=1)*('CONTROL MASTER'!$T$2:$T$495&lt;=4)*('CONTROL MASTER'!$V$2:$V$495&gt;=4)*('CONTROL MASTER'!$U$2:$U$495&lt;=2)*('CONTROL MASTER'!$W$2:$W$495&gt;=2))*ROW('CONTROL MASTER'!$S$2:$S$495))-(ROW('CONTROL MASTER'!#REF!)-1))))*(INDEX('CONTROL MASTER'!$W$2:$W$495,(SUMPRODUCT((('CONTROL MASTER'!$S$2:$S$495=1)*('CONTROL MASTER'!$T$2:$T$495&lt;=4)*('CONTROL MASTER'!$V$2:$V$495&gt;=4)*('CONTROL MASTER'!$U$2:$U$495&lt;=2)*('CONTROL MASTER'!$W$2:$W$495&gt;=2))*ROW('CONTROL MASTER'!$S$2:$S$495))-(ROW('CONTROL MASTER'!#REF!)-1)))-INDEX('CONTROL MASTER'!$U$2:$U$495,(SUMPRODUCT((('CONTROL MASTER'!$S$2:$S$495=1)*('CONTROL MASTER'!$T$2:$T$495&lt;=4)*('CONTROL MASTER'!$V$2:$V$495&gt;=4)*('CONTROL MASTER'!$U$2:$U$495&lt;=2)*('CONTROL MASTER'!$W$2:$W$495&gt;=2))*ROW('CONTROL MASTER'!$S$2:$S$495))-(ROW('CONTROL MASTER'!#REF!)-1)))+1)+(2-INDEX('CONTROL MASTER'!$U$2:$U$495,(SUMPRODUCT((('CONTROL MASTER'!$S$2:$S$495=1)*('CONTROL MASTER'!$T$2:$T$495&lt;=4)*('CONTROL MASTER'!$V$2:$V$495&gt;=4)*('CONTROL MASTER'!$U$2:$U$495&lt;=2)*('CONTROL MASTER'!$W$2:$W$495&gt;=2))*ROW('CONTROL MASTER'!$S$2:$S$495))-(ROW('CONTROL MASTER'!#REF!)-1))))+1))-1)*50+1,50))&amp;"_"&amp;INDEX('CONTROL MASTER'!$P$2:$P$495,(SUMPRODUCT((('CONTROL MASTER'!$S$2:$S$495=1)*('CONTROL MASTER'!$T$2:$T$495&lt;=4)*('CONTROL MASTER'!$V$2:$V$495&gt;=4)*('CONTROL MASTER'!$U$2:$U$495&lt;=2)*('CONTROL MASTER'!$W$2:$W$495&gt;=2))*ROW('CONTROL MASTER'!$S$2:$S$495))-(ROW('CONTROL MASTER'!#REF!)-1))),IF(SUMPRODUCT((('CONTROL MASTER'!$S$2:$S$495=1)*('CONTROL MASTER'!$Z$2:$Z$495&lt;=4)*('CONTROL MASTER'!$AB$2:$AB$495&gt;=4)*('CONTROL MASTER'!$AA$2:$AA$495&lt;=2)*('CONTROL MASTER'!$AC$2:$AC$495&gt;=2))*ROW('CONTROL MASTER'!$S$2:$S$495))&gt;0,INDEX('CONTROL MASTER'!$X$2:$X$495,(SUMPRODUCT((('CONTROL MASTER'!$S$2:$S$495=1)*('CONTROL MASTER'!$Z$2:$Z$495&lt;=4)*('CONTROL MASTER'!$AB$2:$AB$495&gt;=4)*('CONTROL MASTER'!$AA$2:$AA$495&lt;=2)*('CONTROL MASTER'!$AC$2:$AC$495&gt;=2))*ROW('CONTROL MASTER'!$S$2:$S$495))-(ROW('CONTROL MASTER'!#REF!)-1)))&amp;TRIM(MID(SUBSTITUTE(SUBSTITUTE(INDEX('CONTROL MASTER'!$N$2:$N$495,(SUMPRODUCT((('CONTROL MASTER'!$S$2:$S$495=1)*('CONTROL MASTER'!$Z$2:$Z$495&lt;=4)*('CONTROL MASTER'!$AB$2:$AB$495&gt;=4)*('CONTROL MASTER'!$AA$2:$AA$495&lt;=2)*('CONTROL MASTER'!$AC$2:$AC$495&gt;=2))*ROW('CONTROL MASTER'!$S$2:$S$495))-(ROW('CONTROL MASTER'!#REF!)-1))),":",","),",",REPT(" ",50)),(((INDEX('CONTROL MASTER'!$Y$2:$Y$495,(SUMPRODUCT((('CONTROL MASTER'!$S$2:$S$495=1)*('CONTROL MASTER'!$Z$2:$Z$495&lt;=4)*('CONTROL MASTER'!$AB$2:$AB$495&gt;=4)*('CONTROL MASTER'!$AA$2:$AA$495&lt;=2)*('CONTROL MASTER'!$AC$2:$AC$495&gt;=2))*ROW('CONTROL MASTER'!$S$2:$S$495))-(ROW('CONTROL MASTER'!#REF!)-1)))+((4-INDEX('CONTROL MASTER'!$Z$2:$Z$495,(SUMPRODUCT((('CONTROL MASTER'!$S$2:$S$495=1)*('CONTROL MASTER'!$Z$2:$Z$495&lt;=4)*('CONTROL MASTER'!$AB$2:$AB$495&gt;=4)*('CONTROL MASTER'!$AA$2:$AA$495&lt;=2)*('CONTROL MASTER'!$AC$2:$AC$495&gt;=2))*ROW('CONTROL MASTER'!$S$2:$S$495))-(ROW('CONTROL MASTER'!#REF!)-1))))*(INDEX('CONTROL MASTER'!$AC$2:$AC$495,(SUMPRODUCT((('CONTROL MASTER'!$S$2:$S$495=1)*('CONTROL MASTER'!$Z$2:$Z$495&lt;=4)*('CONTROL MASTER'!$AB$2:$AB$495&gt;=4)*('CONTROL MASTER'!$AA$2:$AA$495&lt;=2)*('CONTROL MASTER'!$AC$2:$AC$495&gt;=2))*ROW('CONTROL MASTER'!$S$2:$S$495))-(ROW('CONTROL MASTER'!#REF!)-1)))-INDEX('CONTROL MASTER'!$AA$2:$AA$495,(SUMPRODUCT((('CONTROL MASTER'!$S$2:$S$495=1)*('CONTROL MASTER'!$Z$2:$Z$495&lt;=4)*('CONTROL MASTER'!$AB$2:$AB$495&gt;=4)*('CONTROL MASTER'!$AA$2:$AA$495&lt;=2)*('CONTROL MASTER'!$AC$2:$AC$495&gt;=2))*ROW('CONTROL MASTER'!$S$2:$S$495))-(ROW('CONTROL MASTER'!#REF!)-1)))+1)+(2-INDEX('CONTROL MASTER'!$AA$2:$AA$495,(SUMPRODUCT((('CONTROL MASTER'!$S$2:$S$495=1)*('CONTROL MASTER'!$Z$2:$Z$495&lt;=4)*('CONTROL MASTER'!$AB$2:$AB$495&gt;=4)*('CONTROL MASTER'!$AA$2:$AA$495&lt;=2)*('CONTROL MASTER'!$AC$2:$AC$495&gt;=2))*ROW('CONTROL MASTER'!$S$2:$S$495))-(ROW('CONTROL MASTER'!#REF!)-1))))+1)))-1)*50+1,50))&amp;"_"&amp;INDEX('CONTROL MASTER'!$P$2:$P$495,(SUMPRODUCT((('CONTROL MASTER'!$S$2:$S$495=1)*('CONTROL MASTER'!$Z$2:$Z$495&lt;=4)*('CONTROL MASTER'!$AB$2:$AB$495&gt;=4)*('CONTROL MASTER'!$AA$2:$AA$495&lt;=2)*('CONTROL MASTER'!$AC$2:$AC$495&gt;=2))*ROW('CONTROL MASTER'!$S$2:$S$495))-(ROW('CONTROL MASTER'!#REF!)-1))),"")),"")</f>
        <v/>
      </c>
      <c r="D6" s="10" t="str">
        <f>IFERROR(IF(SUMPRODUCT((('CONTROL MASTER'!$S$2:$S$495=1)*('CONTROL MASTER'!$T$2:$T$495&lt;=4)*('CONTROL MASTER'!$V$2:$V$495&gt;=4)*('CONTROL MASTER'!$U$2:$U$495&lt;=3)*('CONTROL MASTER'!$W$2:$W$495&gt;=3))*ROW('CONTROL MASTER'!$S$2:$S$495))&gt;0,INDEX('CONTROL MASTER'!$X$2:$X$495,(SUMPRODUCT((('CONTROL MASTER'!$S$2:$S$495=1)*('CONTROL MASTER'!$T$2:$T$495&lt;=4)*('CONTROL MASTER'!$V$2:$V$495&gt;=4)*('CONTROL MASTER'!$U$2:$U$495&lt;=3)*('CONTROL MASTER'!$W$2:$W$495&gt;=3))*ROW('CONTROL MASTER'!$S$2:$S$495))-(ROW('CONTROL MASTER'!#REF!)-1)))&amp;TRIM(MID(SUBSTITUTE(SUBSTITUTE(INDEX('CONTROL MASTER'!$N$2:$N$495,(SUMPRODUCT((('CONTROL MASTER'!$S$2:$S$495=1)*('CONTROL MASTER'!$T$2:$T$495&lt;=4)*('CONTROL MASTER'!$V$2:$V$495&gt;=4)*('CONTROL MASTER'!$U$2:$U$495&lt;=3)*('CONTROL MASTER'!$W$2:$W$495&gt;=3))*ROW('CONTROL MASTER'!$S$2:$S$495))-(ROW('CONTROL MASTER'!#REF!)-1))),":",","),",",REPT(" ",50)),((((4-INDEX('CONTROL MASTER'!$T$2:$T$495,(SUMPRODUCT((('CONTROL MASTER'!$S$2:$S$495=1)*('CONTROL MASTER'!$T$2:$T$495&lt;=4)*('CONTROL MASTER'!$V$2:$V$495&gt;=4)*('CONTROL MASTER'!$U$2:$U$495&lt;=3)*('CONTROL MASTER'!$W$2:$W$495&gt;=3))*ROW('CONTROL MASTER'!$S$2:$S$495))-(ROW('CONTROL MASTER'!#REF!)-1))))*(INDEX('CONTROL MASTER'!$W$2:$W$495,(SUMPRODUCT((('CONTROL MASTER'!$S$2:$S$495=1)*('CONTROL MASTER'!$T$2:$T$495&lt;=4)*('CONTROL MASTER'!$V$2:$V$495&gt;=4)*('CONTROL MASTER'!$U$2:$U$495&lt;=3)*('CONTROL MASTER'!$W$2:$W$495&gt;=3))*ROW('CONTROL MASTER'!$S$2:$S$495))-(ROW('CONTROL MASTER'!#REF!)-1)))-INDEX('CONTROL MASTER'!$U$2:$U$495,(SUMPRODUCT((('CONTROL MASTER'!$S$2:$S$495=1)*('CONTROL MASTER'!$T$2:$T$495&lt;=4)*('CONTROL MASTER'!$V$2:$V$495&gt;=4)*('CONTROL MASTER'!$U$2:$U$495&lt;=3)*('CONTROL MASTER'!$W$2:$W$495&gt;=3))*ROW('CONTROL MASTER'!$S$2:$S$495))-(ROW('CONTROL MASTER'!#REF!)-1)))+1)+(3-INDEX('CONTROL MASTER'!$U$2:$U$495,(SUMPRODUCT((('CONTROL MASTER'!$S$2:$S$495=1)*('CONTROL MASTER'!$T$2:$T$495&lt;=4)*('CONTROL MASTER'!$V$2:$V$495&gt;=4)*('CONTROL MASTER'!$U$2:$U$495&lt;=3)*('CONTROL MASTER'!$W$2:$W$495&gt;=3))*ROW('CONTROL MASTER'!$S$2:$S$495))-(ROW('CONTROL MASTER'!#REF!)-1))))+1))-1)*50+1,50))&amp;"_"&amp;INDEX('CONTROL MASTER'!$P$2:$P$495,(SUMPRODUCT((('CONTROL MASTER'!$S$2:$S$495=1)*('CONTROL MASTER'!$T$2:$T$495&lt;=4)*('CONTROL MASTER'!$V$2:$V$495&gt;=4)*('CONTROL MASTER'!$U$2:$U$495&lt;=3)*('CONTROL MASTER'!$W$2:$W$495&gt;=3))*ROW('CONTROL MASTER'!$S$2:$S$495))-(ROW('CONTROL MASTER'!#REF!)-1))),IF(SUMPRODUCT((('CONTROL MASTER'!$S$2:$S$495=1)*('CONTROL MASTER'!$Z$2:$Z$495&lt;=4)*('CONTROL MASTER'!$AB$2:$AB$495&gt;=4)*('CONTROL MASTER'!$AA$2:$AA$495&lt;=3)*('CONTROL MASTER'!$AC$2:$AC$495&gt;=3))*ROW('CONTROL MASTER'!$S$2:$S$495))&gt;0,INDEX('CONTROL MASTER'!$X$2:$X$495,(SUMPRODUCT((('CONTROL MASTER'!$S$2:$S$495=1)*('CONTROL MASTER'!$Z$2:$Z$495&lt;=4)*('CONTROL MASTER'!$AB$2:$AB$495&gt;=4)*('CONTROL MASTER'!$AA$2:$AA$495&lt;=3)*('CONTROL MASTER'!$AC$2:$AC$495&gt;=3))*ROW('CONTROL MASTER'!$S$2:$S$495))-(ROW('CONTROL MASTER'!#REF!)-1)))&amp;TRIM(MID(SUBSTITUTE(SUBSTITUTE(INDEX('CONTROL MASTER'!$N$2:$N$495,(SUMPRODUCT((('CONTROL MASTER'!$S$2:$S$495=1)*('CONTROL MASTER'!$Z$2:$Z$495&lt;=4)*('CONTROL MASTER'!$AB$2:$AB$495&gt;=4)*('CONTROL MASTER'!$AA$2:$AA$495&lt;=3)*('CONTROL MASTER'!$AC$2:$AC$495&gt;=3))*ROW('CONTROL MASTER'!$S$2:$S$495))-(ROW('CONTROL MASTER'!#REF!)-1))),":",","),",",REPT(" ",50)),(((INDEX('CONTROL MASTER'!$Y$2:$Y$495,(SUMPRODUCT((('CONTROL MASTER'!$S$2:$S$495=1)*('CONTROL MASTER'!$Z$2:$Z$495&lt;=4)*('CONTROL MASTER'!$AB$2:$AB$495&gt;=4)*('CONTROL MASTER'!$AA$2:$AA$495&lt;=3)*('CONTROL MASTER'!$AC$2:$AC$495&gt;=3))*ROW('CONTROL MASTER'!$S$2:$S$495))-(ROW('CONTROL MASTER'!#REF!)-1)))+((4-INDEX('CONTROL MASTER'!$Z$2:$Z$495,(SUMPRODUCT((('CONTROL MASTER'!$S$2:$S$495=1)*('CONTROL MASTER'!$Z$2:$Z$495&lt;=4)*('CONTROL MASTER'!$AB$2:$AB$495&gt;=4)*('CONTROL MASTER'!$AA$2:$AA$495&lt;=3)*('CONTROL MASTER'!$AC$2:$AC$495&gt;=3))*ROW('CONTROL MASTER'!$S$2:$S$495))-(ROW('CONTROL MASTER'!#REF!)-1))))*(INDEX('CONTROL MASTER'!$AC$2:$AC$495,(SUMPRODUCT((('CONTROL MASTER'!$S$2:$S$495=1)*('CONTROL MASTER'!$Z$2:$Z$495&lt;=4)*('CONTROL MASTER'!$AB$2:$AB$495&gt;=4)*('CONTROL MASTER'!$AA$2:$AA$495&lt;=3)*('CONTROL MASTER'!$AC$2:$AC$495&gt;=3))*ROW('CONTROL MASTER'!$S$2:$S$495))-(ROW('CONTROL MASTER'!#REF!)-1)))-INDEX('CONTROL MASTER'!$AA$2:$AA$495,(SUMPRODUCT((('CONTROL MASTER'!$S$2:$S$495=1)*('CONTROL MASTER'!$Z$2:$Z$495&lt;=4)*('CONTROL MASTER'!$AB$2:$AB$495&gt;=4)*('CONTROL MASTER'!$AA$2:$AA$495&lt;=3)*('CONTROL MASTER'!$AC$2:$AC$495&gt;=3))*ROW('CONTROL MASTER'!$S$2:$S$495))-(ROW('CONTROL MASTER'!#REF!)-1)))+1)+(3-INDEX('CONTROL MASTER'!$AA$2:$AA$495,(SUMPRODUCT((('CONTROL MASTER'!$S$2:$S$495=1)*('CONTROL MASTER'!$Z$2:$Z$495&lt;=4)*('CONTROL MASTER'!$AB$2:$AB$495&gt;=4)*('CONTROL MASTER'!$AA$2:$AA$495&lt;=3)*('CONTROL MASTER'!$AC$2:$AC$495&gt;=3))*ROW('CONTROL MASTER'!$S$2:$S$495))-(ROW('CONTROL MASTER'!#REF!)-1))))+1)))-1)*50+1,50))&amp;"_"&amp;INDEX('CONTROL MASTER'!$P$2:$P$495,(SUMPRODUCT((('CONTROL MASTER'!$S$2:$S$495=1)*('CONTROL MASTER'!$Z$2:$Z$495&lt;=4)*('CONTROL MASTER'!$AB$2:$AB$495&gt;=4)*('CONTROL MASTER'!$AA$2:$AA$495&lt;=3)*('CONTROL MASTER'!$AC$2:$AC$495&gt;=3))*ROW('CONTROL MASTER'!$S$2:$S$495))-(ROW('CONTROL MASTER'!#REF!)-1))),"")),"")</f>
        <v/>
      </c>
      <c r="E6" s="10" t="str">
        <f>IFERROR(IF(SUMPRODUCT((('CONTROL MASTER'!$S$2:$S$495=1)*('CONTROL MASTER'!$T$2:$T$495&lt;=4)*('CONTROL MASTER'!$V$2:$V$495&gt;=4)*('CONTROL MASTER'!$U$2:$U$495&lt;=4)*('CONTROL MASTER'!$W$2:$W$495&gt;=4))*ROW('CONTROL MASTER'!$S$2:$S$495))&gt;0,INDEX('CONTROL MASTER'!$X$2:$X$495,(SUMPRODUCT((('CONTROL MASTER'!$S$2:$S$495=1)*('CONTROL MASTER'!$T$2:$T$495&lt;=4)*('CONTROL MASTER'!$V$2:$V$495&gt;=4)*('CONTROL MASTER'!$U$2:$U$495&lt;=4)*('CONTROL MASTER'!$W$2:$W$495&gt;=4))*ROW('CONTROL MASTER'!$S$2:$S$495))-(ROW('CONTROL MASTER'!#REF!)-1)))&amp;TRIM(MID(SUBSTITUTE(SUBSTITUTE(INDEX('CONTROL MASTER'!$N$2:$N$495,(SUMPRODUCT((('CONTROL MASTER'!$S$2:$S$495=1)*('CONTROL MASTER'!$T$2:$T$495&lt;=4)*('CONTROL MASTER'!$V$2:$V$495&gt;=4)*('CONTROL MASTER'!$U$2:$U$495&lt;=4)*('CONTROL MASTER'!$W$2:$W$495&gt;=4))*ROW('CONTROL MASTER'!$S$2:$S$495))-(ROW('CONTROL MASTER'!#REF!)-1))),":",","),",",REPT(" ",50)),((((4-INDEX('CONTROL MASTER'!$T$2:$T$495,(SUMPRODUCT((('CONTROL MASTER'!$S$2:$S$495=1)*('CONTROL MASTER'!$T$2:$T$495&lt;=4)*('CONTROL MASTER'!$V$2:$V$495&gt;=4)*('CONTROL MASTER'!$U$2:$U$495&lt;=4)*('CONTROL MASTER'!$W$2:$W$495&gt;=4))*ROW('CONTROL MASTER'!$S$2:$S$495))-(ROW('CONTROL MASTER'!#REF!)-1))))*(INDEX('CONTROL MASTER'!$W$2:$W$495,(SUMPRODUCT((('CONTROL MASTER'!$S$2:$S$495=1)*('CONTROL MASTER'!$T$2:$T$495&lt;=4)*('CONTROL MASTER'!$V$2:$V$495&gt;=4)*('CONTROL MASTER'!$U$2:$U$495&lt;=4)*('CONTROL MASTER'!$W$2:$W$495&gt;=4))*ROW('CONTROL MASTER'!$S$2:$S$495))-(ROW('CONTROL MASTER'!#REF!)-1)))-INDEX('CONTROL MASTER'!$U$2:$U$495,(SUMPRODUCT((('CONTROL MASTER'!$S$2:$S$495=1)*('CONTROL MASTER'!$T$2:$T$495&lt;=4)*('CONTROL MASTER'!$V$2:$V$495&gt;=4)*('CONTROL MASTER'!$U$2:$U$495&lt;=4)*('CONTROL MASTER'!$W$2:$W$495&gt;=4))*ROW('CONTROL MASTER'!$S$2:$S$495))-(ROW('CONTROL MASTER'!#REF!)-1)))+1)+(4-INDEX('CONTROL MASTER'!$U$2:$U$495,(SUMPRODUCT((('CONTROL MASTER'!$S$2:$S$495=1)*('CONTROL MASTER'!$T$2:$T$495&lt;=4)*('CONTROL MASTER'!$V$2:$V$495&gt;=4)*('CONTROL MASTER'!$U$2:$U$495&lt;=4)*('CONTROL MASTER'!$W$2:$W$495&gt;=4))*ROW('CONTROL MASTER'!$S$2:$S$495))-(ROW('CONTROL MASTER'!#REF!)-1))))+1))-1)*50+1,50))&amp;"_"&amp;INDEX('CONTROL MASTER'!$P$2:$P$495,(SUMPRODUCT((('CONTROL MASTER'!$S$2:$S$495=1)*('CONTROL MASTER'!$T$2:$T$495&lt;=4)*('CONTROL MASTER'!$V$2:$V$495&gt;=4)*('CONTROL MASTER'!$U$2:$U$495&lt;=4)*('CONTROL MASTER'!$W$2:$W$495&gt;=4))*ROW('CONTROL MASTER'!$S$2:$S$495))-(ROW('CONTROL MASTER'!#REF!)-1))),IF(SUMPRODUCT((('CONTROL MASTER'!$S$2:$S$495=1)*('CONTROL MASTER'!$Z$2:$Z$495&lt;=4)*('CONTROL MASTER'!$AB$2:$AB$495&gt;=4)*('CONTROL MASTER'!$AA$2:$AA$495&lt;=4)*('CONTROL MASTER'!$AC$2:$AC$495&gt;=4))*ROW('CONTROL MASTER'!$S$2:$S$495))&gt;0,INDEX('CONTROL MASTER'!$X$2:$X$495,(SUMPRODUCT((('CONTROL MASTER'!$S$2:$S$495=1)*('CONTROL MASTER'!$Z$2:$Z$495&lt;=4)*('CONTROL MASTER'!$AB$2:$AB$495&gt;=4)*('CONTROL MASTER'!$AA$2:$AA$495&lt;=4)*('CONTROL MASTER'!$AC$2:$AC$495&gt;=4))*ROW('CONTROL MASTER'!$S$2:$S$495))-(ROW('CONTROL MASTER'!#REF!)-1)))&amp;TRIM(MID(SUBSTITUTE(SUBSTITUTE(INDEX('CONTROL MASTER'!$N$2:$N$495,(SUMPRODUCT((('CONTROL MASTER'!$S$2:$S$495=1)*('CONTROL MASTER'!$Z$2:$Z$495&lt;=4)*('CONTROL MASTER'!$AB$2:$AB$495&gt;=4)*('CONTROL MASTER'!$AA$2:$AA$495&lt;=4)*('CONTROL MASTER'!$AC$2:$AC$495&gt;=4))*ROW('CONTROL MASTER'!$S$2:$S$495))-(ROW('CONTROL MASTER'!#REF!)-1))),":",","),",",REPT(" ",50)),(((INDEX('CONTROL MASTER'!$Y$2:$Y$495,(SUMPRODUCT((('CONTROL MASTER'!$S$2:$S$495=1)*('CONTROL MASTER'!$Z$2:$Z$495&lt;=4)*('CONTROL MASTER'!$AB$2:$AB$495&gt;=4)*('CONTROL MASTER'!$AA$2:$AA$495&lt;=4)*('CONTROL MASTER'!$AC$2:$AC$495&gt;=4))*ROW('CONTROL MASTER'!$S$2:$S$495))-(ROW('CONTROL MASTER'!#REF!)-1)))+((4-INDEX('CONTROL MASTER'!$Z$2:$Z$495,(SUMPRODUCT((('CONTROL MASTER'!$S$2:$S$495=1)*('CONTROL MASTER'!$Z$2:$Z$495&lt;=4)*('CONTROL MASTER'!$AB$2:$AB$495&gt;=4)*('CONTROL MASTER'!$AA$2:$AA$495&lt;=4)*('CONTROL MASTER'!$AC$2:$AC$495&gt;=4))*ROW('CONTROL MASTER'!$S$2:$S$495))-(ROW('CONTROL MASTER'!#REF!)-1))))*(INDEX('CONTROL MASTER'!$AC$2:$AC$495,(SUMPRODUCT((('CONTROL MASTER'!$S$2:$S$495=1)*('CONTROL MASTER'!$Z$2:$Z$495&lt;=4)*('CONTROL MASTER'!$AB$2:$AB$495&gt;=4)*('CONTROL MASTER'!$AA$2:$AA$495&lt;=4)*('CONTROL MASTER'!$AC$2:$AC$495&gt;=4))*ROW('CONTROL MASTER'!$S$2:$S$495))-(ROW('CONTROL MASTER'!#REF!)-1)))-INDEX('CONTROL MASTER'!$AA$2:$AA$495,(SUMPRODUCT((('CONTROL MASTER'!$S$2:$S$495=1)*('CONTROL MASTER'!$Z$2:$Z$495&lt;=4)*('CONTROL MASTER'!$AB$2:$AB$495&gt;=4)*('CONTROL MASTER'!$AA$2:$AA$495&lt;=4)*('CONTROL MASTER'!$AC$2:$AC$495&gt;=4))*ROW('CONTROL MASTER'!$S$2:$S$495))-(ROW('CONTROL MASTER'!#REF!)-1)))+1)+(4-INDEX('CONTROL MASTER'!$AA$2:$AA$495,(SUMPRODUCT((('CONTROL MASTER'!$S$2:$S$495=1)*('CONTROL MASTER'!$Z$2:$Z$495&lt;=4)*('CONTROL MASTER'!$AB$2:$AB$495&gt;=4)*('CONTROL MASTER'!$AA$2:$AA$495&lt;=4)*('CONTROL MASTER'!$AC$2:$AC$495&gt;=4))*ROW('CONTROL MASTER'!$S$2:$S$495))-(ROW('CONTROL MASTER'!#REF!)-1))))+1)))-1)*50+1,50))&amp;"_"&amp;INDEX('CONTROL MASTER'!$P$2:$P$495,(SUMPRODUCT((('CONTROL MASTER'!$S$2:$S$495=1)*('CONTROL MASTER'!$Z$2:$Z$495&lt;=4)*('CONTROL MASTER'!$AB$2:$AB$495&gt;=4)*('CONTROL MASTER'!$AA$2:$AA$495&lt;=4)*('CONTROL MASTER'!$AC$2:$AC$495&gt;=4))*ROW('CONTROL MASTER'!$S$2:$S$495))-(ROW('CONTROL MASTER'!#REF!)-1))),"")),"")</f>
        <v/>
      </c>
      <c r="F6" s="10" t="str">
        <f>IFERROR(IF(SUMPRODUCT((('CONTROL MASTER'!$S$2:$S$495=1)*('CONTROL MASTER'!$T$2:$T$495&lt;=4)*('CONTROL MASTER'!$V$2:$V$495&gt;=4)*('CONTROL MASTER'!$U$2:$U$495&lt;=5)*('CONTROL MASTER'!$W$2:$W$495&gt;=5))*ROW('CONTROL MASTER'!$S$2:$S$495))&gt;0,INDEX('CONTROL MASTER'!$X$2:$X$495,(SUMPRODUCT((('CONTROL MASTER'!$S$2:$S$495=1)*('CONTROL MASTER'!$T$2:$T$495&lt;=4)*('CONTROL MASTER'!$V$2:$V$495&gt;=4)*('CONTROL MASTER'!$U$2:$U$495&lt;=5)*('CONTROL MASTER'!$W$2:$W$495&gt;=5))*ROW('CONTROL MASTER'!$S$2:$S$495))-(ROW('CONTROL MASTER'!#REF!)-1)))&amp;TRIM(MID(SUBSTITUTE(SUBSTITUTE(INDEX('CONTROL MASTER'!$N$2:$N$495,(SUMPRODUCT((('CONTROL MASTER'!$S$2:$S$495=1)*('CONTROL MASTER'!$T$2:$T$495&lt;=4)*('CONTROL MASTER'!$V$2:$V$495&gt;=4)*('CONTROL MASTER'!$U$2:$U$495&lt;=5)*('CONTROL MASTER'!$W$2:$W$495&gt;=5))*ROW('CONTROL MASTER'!$S$2:$S$495))-(ROW('CONTROL MASTER'!#REF!)-1))),":",","),",",REPT(" ",50)),((((4-INDEX('CONTROL MASTER'!$T$2:$T$495,(SUMPRODUCT((('CONTROL MASTER'!$S$2:$S$495=1)*('CONTROL MASTER'!$T$2:$T$495&lt;=4)*('CONTROL MASTER'!$V$2:$V$495&gt;=4)*('CONTROL MASTER'!$U$2:$U$495&lt;=5)*('CONTROL MASTER'!$W$2:$W$495&gt;=5))*ROW('CONTROL MASTER'!$S$2:$S$495))-(ROW('CONTROL MASTER'!#REF!)-1))))*(INDEX('CONTROL MASTER'!$W$2:$W$495,(SUMPRODUCT((('CONTROL MASTER'!$S$2:$S$495=1)*('CONTROL MASTER'!$T$2:$T$495&lt;=4)*('CONTROL MASTER'!$V$2:$V$495&gt;=4)*('CONTROL MASTER'!$U$2:$U$495&lt;=5)*('CONTROL MASTER'!$W$2:$W$495&gt;=5))*ROW('CONTROL MASTER'!$S$2:$S$495))-(ROW('CONTROL MASTER'!#REF!)-1)))-INDEX('CONTROL MASTER'!$U$2:$U$495,(SUMPRODUCT((('CONTROL MASTER'!$S$2:$S$495=1)*('CONTROL MASTER'!$T$2:$T$495&lt;=4)*('CONTROL MASTER'!$V$2:$V$495&gt;=4)*('CONTROL MASTER'!$U$2:$U$495&lt;=5)*('CONTROL MASTER'!$W$2:$W$495&gt;=5))*ROW('CONTROL MASTER'!$S$2:$S$495))-(ROW('CONTROL MASTER'!#REF!)-1)))+1)+(5-INDEX('CONTROL MASTER'!$U$2:$U$495,(SUMPRODUCT((('CONTROL MASTER'!$S$2:$S$495=1)*('CONTROL MASTER'!$T$2:$T$495&lt;=4)*('CONTROL MASTER'!$V$2:$V$495&gt;=4)*('CONTROL MASTER'!$U$2:$U$495&lt;=5)*('CONTROL MASTER'!$W$2:$W$495&gt;=5))*ROW('CONTROL MASTER'!$S$2:$S$495))-(ROW('CONTROL MASTER'!#REF!)-1))))+1))-1)*50+1,50))&amp;"_"&amp;INDEX('CONTROL MASTER'!$P$2:$P$495,(SUMPRODUCT((('CONTROL MASTER'!$S$2:$S$495=1)*('CONTROL MASTER'!$T$2:$T$495&lt;=4)*('CONTROL MASTER'!$V$2:$V$495&gt;=4)*('CONTROL MASTER'!$U$2:$U$495&lt;=5)*('CONTROL MASTER'!$W$2:$W$495&gt;=5))*ROW('CONTROL MASTER'!$S$2:$S$495))-(ROW('CONTROL MASTER'!#REF!)-1))),IF(SUMPRODUCT((('CONTROL MASTER'!$S$2:$S$495=1)*('CONTROL MASTER'!$Z$2:$Z$495&lt;=4)*('CONTROL MASTER'!$AB$2:$AB$495&gt;=4)*('CONTROL MASTER'!$AA$2:$AA$495&lt;=5)*('CONTROL MASTER'!$AC$2:$AC$495&gt;=5))*ROW('CONTROL MASTER'!$S$2:$S$495))&gt;0,INDEX('CONTROL MASTER'!$X$2:$X$495,(SUMPRODUCT((('CONTROL MASTER'!$S$2:$S$495=1)*('CONTROL MASTER'!$Z$2:$Z$495&lt;=4)*('CONTROL MASTER'!$AB$2:$AB$495&gt;=4)*('CONTROL MASTER'!$AA$2:$AA$495&lt;=5)*('CONTROL MASTER'!$AC$2:$AC$495&gt;=5))*ROW('CONTROL MASTER'!$S$2:$S$495))-(ROW('CONTROL MASTER'!#REF!)-1)))&amp;TRIM(MID(SUBSTITUTE(SUBSTITUTE(INDEX('CONTROL MASTER'!$N$2:$N$495,(SUMPRODUCT((('CONTROL MASTER'!$S$2:$S$495=1)*('CONTROL MASTER'!$Z$2:$Z$495&lt;=4)*('CONTROL MASTER'!$AB$2:$AB$495&gt;=4)*('CONTROL MASTER'!$AA$2:$AA$495&lt;=5)*('CONTROL MASTER'!$AC$2:$AC$495&gt;=5))*ROW('CONTROL MASTER'!$S$2:$S$495))-(ROW('CONTROL MASTER'!#REF!)-1))),":",","),",",REPT(" ",50)),(((INDEX('CONTROL MASTER'!$Y$2:$Y$495,(SUMPRODUCT((('CONTROL MASTER'!$S$2:$S$495=1)*('CONTROL MASTER'!$Z$2:$Z$495&lt;=4)*('CONTROL MASTER'!$AB$2:$AB$495&gt;=4)*('CONTROL MASTER'!$AA$2:$AA$495&lt;=5)*('CONTROL MASTER'!$AC$2:$AC$495&gt;=5))*ROW('CONTROL MASTER'!$S$2:$S$495))-(ROW('CONTROL MASTER'!#REF!)-1)))+((4-INDEX('CONTROL MASTER'!$Z$2:$Z$495,(SUMPRODUCT((('CONTROL MASTER'!$S$2:$S$495=1)*('CONTROL MASTER'!$Z$2:$Z$495&lt;=4)*('CONTROL MASTER'!$AB$2:$AB$495&gt;=4)*('CONTROL MASTER'!$AA$2:$AA$495&lt;=5)*('CONTROL MASTER'!$AC$2:$AC$495&gt;=5))*ROW('CONTROL MASTER'!$S$2:$S$495))-(ROW('CONTROL MASTER'!#REF!)-1))))*(INDEX('CONTROL MASTER'!$AC$2:$AC$495,(SUMPRODUCT((('CONTROL MASTER'!$S$2:$S$495=1)*('CONTROL MASTER'!$Z$2:$Z$495&lt;=4)*('CONTROL MASTER'!$AB$2:$AB$495&gt;=4)*('CONTROL MASTER'!$AA$2:$AA$495&lt;=5)*('CONTROL MASTER'!$AC$2:$AC$495&gt;=5))*ROW('CONTROL MASTER'!$S$2:$S$495))-(ROW('CONTROL MASTER'!#REF!)-1)))-INDEX('CONTROL MASTER'!$AA$2:$AA$495,(SUMPRODUCT((('CONTROL MASTER'!$S$2:$S$495=1)*('CONTROL MASTER'!$Z$2:$Z$495&lt;=4)*('CONTROL MASTER'!$AB$2:$AB$495&gt;=4)*('CONTROL MASTER'!$AA$2:$AA$495&lt;=5)*('CONTROL MASTER'!$AC$2:$AC$495&gt;=5))*ROW('CONTROL MASTER'!$S$2:$S$495))-(ROW('CONTROL MASTER'!#REF!)-1)))+1)+(5-INDEX('CONTROL MASTER'!$AA$2:$AA$495,(SUMPRODUCT((('CONTROL MASTER'!$S$2:$S$495=1)*('CONTROL MASTER'!$Z$2:$Z$495&lt;=4)*('CONTROL MASTER'!$AB$2:$AB$495&gt;=4)*('CONTROL MASTER'!$AA$2:$AA$495&lt;=5)*('CONTROL MASTER'!$AC$2:$AC$495&gt;=5))*ROW('CONTROL MASTER'!$S$2:$S$495))-(ROW('CONTROL MASTER'!#REF!)-1))))+1)))-1)*50+1,50))&amp;"_"&amp;INDEX('CONTROL MASTER'!$P$2:$P$495,(SUMPRODUCT((('CONTROL MASTER'!$S$2:$S$495=1)*('CONTROL MASTER'!$Z$2:$Z$495&lt;=4)*('CONTROL MASTER'!$AB$2:$AB$495&gt;=4)*('CONTROL MASTER'!$AA$2:$AA$495&lt;=5)*('CONTROL MASTER'!$AC$2:$AC$495&gt;=5))*ROW('CONTROL MASTER'!$S$2:$S$495))-(ROW('CONTROL MASTER'!#REF!)-1))),"")),"")</f>
        <v/>
      </c>
      <c r="G6" s="10" t="str">
        <f>IFERROR(IF(SUMPRODUCT((('CONTROL MASTER'!$S$2:$S$495=1)*('CONTROL MASTER'!$T$2:$T$495&lt;=4)*('CONTROL MASTER'!$V$2:$V$495&gt;=4)*('CONTROL MASTER'!$U$2:$U$495&lt;=6)*('CONTROL MASTER'!$W$2:$W$495&gt;=6))*ROW('CONTROL MASTER'!$S$2:$S$495))&gt;0,INDEX('CONTROL MASTER'!$X$2:$X$495,(SUMPRODUCT((('CONTROL MASTER'!$S$2:$S$495=1)*('CONTROL MASTER'!$T$2:$T$495&lt;=4)*('CONTROL MASTER'!$V$2:$V$495&gt;=4)*('CONTROL MASTER'!$U$2:$U$495&lt;=6)*('CONTROL MASTER'!$W$2:$W$495&gt;=6))*ROW('CONTROL MASTER'!$S$2:$S$495))-(ROW('CONTROL MASTER'!#REF!)-1)))&amp;TRIM(MID(SUBSTITUTE(SUBSTITUTE(INDEX('CONTROL MASTER'!$N$2:$N$495,(SUMPRODUCT((('CONTROL MASTER'!$S$2:$S$495=1)*('CONTROL MASTER'!$T$2:$T$495&lt;=4)*('CONTROL MASTER'!$V$2:$V$495&gt;=4)*('CONTROL MASTER'!$U$2:$U$495&lt;=6)*('CONTROL MASTER'!$W$2:$W$495&gt;=6))*ROW('CONTROL MASTER'!$S$2:$S$495))-(ROW('CONTROL MASTER'!#REF!)-1))),":",","),",",REPT(" ",50)),((((4-INDEX('CONTROL MASTER'!$T$2:$T$495,(SUMPRODUCT((('CONTROL MASTER'!$S$2:$S$495=1)*('CONTROL MASTER'!$T$2:$T$495&lt;=4)*('CONTROL MASTER'!$V$2:$V$495&gt;=4)*('CONTROL MASTER'!$U$2:$U$495&lt;=6)*('CONTROL MASTER'!$W$2:$W$495&gt;=6))*ROW('CONTROL MASTER'!$S$2:$S$495))-(ROW('CONTROL MASTER'!#REF!)-1))))*(INDEX('CONTROL MASTER'!$W$2:$W$495,(SUMPRODUCT((('CONTROL MASTER'!$S$2:$S$495=1)*('CONTROL MASTER'!$T$2:$T$495&lt;=4)*('CONTROL MASTER'!$V$2:$V$495&gt;=4)*('CONTROL MASTER'!$U$2:$U$495&lt;=6)*('CONTROL MASTER'!$W$2:$W$495&gt;=6))*ROW('CONTROL MASTER'!$S$2:$S$495))-(ROW('CONTROL MASTER'!#REF!)-1)))-INDEX('CONTROL MASTER'!$U$2:$U$495,(SUMPRODUCT((('CONTROL MASTER'!$S$2:$S$495=1)*('CONTROL MASTER'!$T$2:$T$495&lt;=4)*('CONTROL MASTER'!$V$2:$V$495&gt;=4)*('CONTROL MASTER'!$U$2:$U$495&lt;=6)*('CONTROL MASTER'!$W$2:$W$495&gt;=6))*ROW('CONTROL MASTER'!$S$2:$S$495))-(ROW('CONTROL MASTER'!#REF!)-1)))+1)+(6-INDEX('CONTROL MASTER'!$U$2:$U$495,(SUMPRODUCT((('CONTROL MASTER'!$S$2:$S$495=1)*('CONTROL MASTER'!$T$2:$T$495&lt;=4)*('CONTROL MASTER'!$V$2:$V$495&gt;=4)*('CONTROL MASTER'!$U$2:$U$495&lt;=6)*('CONTROL MASTER'!$W$2:$W$495&gt;=6))*ROW('CONTROL MASTER'!$S$2:$S$495))-(ROW('CONTROL MASTER'!#REF!)-1))))+1))-1)*50+1,50))&amp;"_"&amp;INDEX('CONTROL MASTER'!$P$2:$P$495,(SUMPRODUCT((('CONTROL MASTER'!$S$2:$S$495=1)*('CONTROL MASTER'!$T$2:$T$495&lt;=4)*('CONTROL MASTER'!$V$2:$V$495&gt;=4)*('CONTROL MASTER'!$U$2:$U$495&lt;=6)*('CONTROL MASTER'!$W$2:$W$495&gt;=6))*ROW('CONTROL MASTER'!$S$2:$S$495))-(ROW('CONTROL MASTER'!#REF!)-1))),IF(SUMPRODUCT((('CONTROL MASTER'!$S$2:$S$495=1)*('CONTROL MASTER'!$Z$2:$Z$495&lt;=4)*('CONTROL MASTER'!$AB$2:$AB$495&gt;=4)*('CONTROL MASTER'!$AA$2:$AA$495&lt;=6)*('CONTROL MASTER'!$AC$2:$AC$495&gt;=6))*ROW('CONTROL MASTER'!$S$2:$S$495))&gt;0,INDEX('CONTROL MASTER'!$X$2:$X$495,(SUMPRODUCT((('CONTROL MASTER'!$S$2:$S$495=1)*('CONTROL MASTER'!$Z$2:$Z$495&lt;=4)*('CONTROL MASTER'!$AB$2:$AB$495&gt;=4)*('CONTROL MASTER'!$AA$2:$AA$495&lt;=6)*('CONTROL MASTER'!$AC$2:$AC$495&gt;=6))*ROW('CONTROL MASTER'!$S$2:$S$495))-(ROW('CONTROL MASTER'!#REF!)-1)))&amp;TRIM(MID(SUBSTITUTE(SUBSTITUTE(INDEX('CONTROL MASTER'!$N$2:$N$495,(SUMPRODUCT((('CONTROL MASTER'!$S$2:$S$495=1)*('CONTROL MASTER'!$Z$2:$Z$495&lt;=4)*('CONTROL MASTER'!$AB$2:$AB$495&gt;=4)*('CONTROL MASTER'!$AA$2:$AA$495&lt;=6)*('CONTROL MASTER'!$AC$2:$AC$495&gt;=6))*ROW('CONTROL MASTER'!$S$2:$S$495))-(ROW('CONTROL MASTER'!#REF!)-1))),":",","),",",REPT(" ",50)),(((INDEX('CONTROL MASTER'!$Y$2:$Y$495,(SUMPRODUCT((('CONTROL MASTER'!$S$2:$S$495=1)*('CONTROL MASTER'!$Z$2:$Z$495&lt;=4)*('CONTROL MASTER'!$AB$2:$AB$495&gt;=4)*('CONTROL MASTER'!$AA$2:$AA$495&lt;=6)*('CONTROL MASTER'!$AC$2:$AC$495&gt;=6))*ROW('CONTROL MASTER'!$S$2:$S$495))-(ROW('CONTROL MASTER'!#REF!)-1)))+((4-INDEX('CONTROL MASTER'!$Z$2:$Z$495,(SUMPRODUCT((('CONTROL MASTER'!$S$2:$S$495=1)*('CONTROL MASTER'!$Z$2:$Z$495&lt;=4)*('CONTROL MASTER'!$AB$2:$AB$495&gt;=4)*('CONTROL MASTER'!$AA$2:$AA$495&lt;=6)*('CONTROL MASTER'!$AC$2:$AC$495&gt;=6))*ROW('CONTROL MASTER'!$S$2:$S$495))-(ROW('CONTROL MASTER'!#REF!)-1))))*(INDEX('CONTROL MASTER'!$AC$2:$AC$495,(SUMPRODUCT((('CONTROL MASTER'!$S$2:$S$495=1)*('CONTROL MASTER'!$Z$2:$Z$495&lt;=4)*('CONTROL MASTER'!$AB$2:$AB$495&gt;=4)*('CONTROL MASTER'!$AA$2:$AA$495&lt;=6)*('CONTROL MASTER'!$AC$2:$AC$495&gt;=6))*ROW('CONTROL MASTER'!$S$2:$S$495))-(ROW('CONTROL MASTER'!#REF!)-1)))-INDEX('CONTROL MASTER'!$AA$2:$AA$495,(SUMPRODUCT((('CONTROL MASTER'!$S$2:$S$495=1)*('CONTROL MASTER'!$Z$2:$Z$495&lt;=4)*('CONTROL MASTER'!$AB$2:$AB$495&gt;=4)*('CONTROL MASTER'!$AA$2:$AA$495&lt;=6)*('CONTROL MASTER'!$AC$2:$AC$495&gt;=6))*ROW('CONTROL MASTER'!$S$2:$S$495))-(ROW('CONTROL MASTER'!#REF!)-1)))+1)+(6-INDEX('CONTROL MASTER'!$AA$2:$AA$495,(SUMPRODUCT((('CONTROL MASTER'!$S$2:$S$495=1)*('CONTROL MASTER'!$Z$2:$Z$495&lt;=4)*('CONTROL MASTER'!$AB$2:$AB$495&gt;=4)*('CONTROL MASTER'!$AA$2:$AA$495&lt;=6)*('CONTROL MASTER'!$AC$2:$AC$495&gt;=6))*ROW('CONTROL MASTER'!$S$2:$S$495))-(ROW('CONTROL MASTER'!#REF!)-1))))+1)))-1)*50+1,50))&amp;"_"&amp;INDEX('CONTROL MASTER'!$P$2:$P$495,(SUMPRODUCT((('CONTROL MASTER'!$S$2:$S$495=1)*('CONTROL MASTER'!$Z$2:$Z$495&lt;=4)*('CONTROL MASTER'!$AB$2:$AB$495&gt;=4)*('CONTROL MASTER'!$AA$2:$AA$495&lt;=6)*('CONTROL MASTER'!$AC$2:$AC$495&gt;=6))*ROW('CONTROL MASTER'!$S$2:$S$495))-(ROW('CONTROL MASTER'!#REF!)-1))),"")),"")</f>
        <v/>
      </c>
      <c r="H6" s="10" t="str">
        <f>IFERROR(IF(SUMPRODUCT((('CONTROL MASTER'!$S$2:$S$495=1)*('CONTROL MASTER'!$T$2:$T$495&lt;=4)*('CONTROL MASTER'!$V$2:$V$495&gt;=4)*('CONTROL MASTER'!$U$2:$U$495&lt;=7)*('CONTROL MASTER'!$W$2:$W$495&gt;=7))*ROW('CONTROL MASTER'!$S$2:$S$495))&gt;0,INDEX('CONTROL MASTER'!$X$2:$X$495,(SUMPRODUCT((('CONTROL MASTER'!$S$2:$S$495=1)*('CONTROL MASTER'!$T$2:$T$495&lt;=4)*('CONTROL MASTER'!$V$2:$V$495&gt;=4)*('CONTROL MASTER'!$U$2:$U$495&lt;=7)*('CONTROL MASTER'!$W$2:$W$495&gt;=7))*ROW('CONTROL MASTER'!$S$2:$S$495))-(ROW('CONTROL MASTER'!#REF!)-1)))&amp;TRIM(MID(SUBSTITUTE(SUBSTITUTE(INDEX('CONTROL MASTER'!$N$2:$N$495,(SUMPRODUCT((('CONTROL MASTER'!$S$2:$S$495=1)*('CONTROL MASTER'!$T$2:$T$495&lt;=4)*('CONTROL MASTER'!$V$2:$V$495&gt;=4)*('CONTROL MASTER'!$U$2:$U$495&lt;=7)*('CONTROL MASTER'!$W$2:$W$495&gt;=7))*ROW('CONTROL MASTER'!$S$2:$S$495))-(ROW('CONTROL MASTER'!#REF!)-1))),":",","),",",REPT(" ",50)),((((4-INDEX('CONTROL MASTER'!$T$2:$T$495,(SUMPRODUCT((('CONTROL MASTER'!$S$2:$S$495=1)*('CONTROL MASTER'!$T$2:$T$495&lt;=4)*('CONTROL MASTER'!$V$2:$V$495&gt;=4)*('CONTROL MASTER'!$U$2:$U$495&lt;=7)*('CONTROL MASTER'!$W$2:$W$495&gt;=7))*ROW('CONTROL MASTER'!$S$2:$S$495))-(ROW('CONTROL MASTER'!#REF!)-1))))*(INDEX('CONTROL MASTER'!$W$2:$W$495,(SUMPRODUCT((('CONTROL MASTER'!$S$2:$S$495=1)*('CONTROL MASTER'!$T$2:$T$495&lt;=4)*('CONTROL MASTER'!$V$2:$V$495&gt;=4)*('CONTROL MASTER'!$U$2:$U$495&lt;=7)*('CONTROL MASTER'!$W$2:$W$495&gt;=7))*ROW('CONTROL MASTER'!$S$2:$S$495))-(ROW('CONTROL MASTER'!#REF!)-1)))-INDEX('CONTROL MASTER'!$U$2:$U$495,(SUMPRODUCT((('CONTROL MASTER'!$S$2:$S$495=1)*('CONTROL MASTER'!$T$2:$T$495&lt;=4)*('CONTROL MASTER'!$V$2:$V$495&gt;=4)*('CONTROL MASTER'!$U$2:$U$495&lt;=7)*('CONTROL MASTER'!$W$2:$W$495&gt;=7))*ROW('CONTROL MASTER'!$S$2:$S$495))-(ROW('CONTROL MASTER'!#REF!)-1)))+1)+(7-INDEX('CONTROL MASTER'!$U$2:$U$495,(SUMPRODUCT((('CONTROL MASTER'!$S$2:$S$495=1)*('CONTROL MASTER'!$T$2:$T$495&lt;=4)*('CONTROL MASTER'!$V$2:$V$495&gt;=4)*('CONTROL MASTER'!$U$2:$U$495&lt;=7)*('CONTROL MASTER'!$W$2:$W$495&gt;=7))*ROW('CONTROL MASTER'!$S$2:$S$495))-(ROW('CONTROL MASTER'!#REF!)-1))))+1))-1)*50+1,50))&amp;"_"&amp;INDEX('CONTROL MASTER'!$P$2:$P$495,(SUMPRODUCT((('CONTROL MASTER'!$S$2:$S$495=1)*('CONTROL MASTER'!$T$2:$T$495&lt;=4)*('CONTROL MASTER'!$V$2:$V$495&gt;=4)*('CONTROL MASTER'!$U$2:$U$495&lt;=7)*('CONTROL MASTER'!$W$2:$W$495&gt;=7))*ROW('CONTROL MASTER'!$S$2:$S$495))-(ROW('CONTROL MASTER'!#REF!)-1))),IF(SUMPRODUCT((('CONTROL MASTER'!$S$2:$S$495=1)*('CONTROL MASTER'!$Z$2:$Z$495&lt;=4)*('CONTROL MASTER'!$AB$2:$AB$495&gt;=4)*('CONTROL MASTER'!$AA$2:$AA$495&lt;=7)*('CONTROL MASTER'!$AC$2:$AC$495&gt;=7))*ROW('CONTROL MASTER'!$S$2:$S$495))&gt;0,INDEX('CONTROL MASTER'!$X$2:$X$495,(SUMPRODUCT((('CONTROL MASTER'!$S$2:$S$495=1)*('CONTROL MASTER'!$Z$2:$Z$495&lt;=4)*('CONTROL MASTER'!$AB$2:$AB$495&gt;=4)*('CONTROL MASTER'!$AA$2:$AA$495&lt;=7)*('CONTROL MASTER'!$AC$2:$AC$495&gt;=7))*ROW('CONTROL MASTER'!$S$2:$S$495))-(ROW('CONTROL MASTER'!#REF!)-1)))&amp;TRIM(MID(SUBSTITUTE(SUBSTITUTE(INDEX('CONTROL MASTER'!$N$2:$N$495,(SUMPRODUCT((('CONTROL MASTER'!$S$2:$S$495=1)*('CONTROL MASTER'!$Z$2:$Z$495&lt;=4)*('CONTROL MASTER'!$AB$2:$AB$495&gt;=4)*('CONTROL MASTER'!$AA$2:$AA$495&lt;=7)*('CONTROL MASTER'!$AC$2:$AC$495&gt;=7))*ROW('CONTROL MASTER'!$S$2:$S$495))-(ROW('CONTROL MASTER'!#REF!)-1))),":",","),",",REPT(" ",50)),(((INDEX('CONTROL MASTER'!$Y$2:$Y$495,(SUMPRODUCT((('CONTROL MASTER'!$S$2:$S$495=1)*('CONTROL MASTER'!$Z$2:$Z$495&lt;=4)*('CONTROL MASTER'!$AB$2:$AB$495&gt;=4)*('CONTROL MASTER'!$AA$2:$AA$495&lt;=7)*('CONTROL MASTER'!$AC$2:$AC$495&gt;=7))*ROW('CONTROL MASTER'!$S$2:$S$495))-(ROW('CONTROL MASTER'!#REF!)-1)))+((4-INDEX('CONTROL MASTER'!$Z$2:$Z$495,(SUMPRODUCT((('CONTROL MASTER'!$S$2:$S$495=1)*('CONTROL MASTER'!$Z$2:$Z$495&lt;=4)*('CONTROL MASTER'!$AB$2:$AB$495&gt;=4)*('CONTROL MASTER'!$AA$2:$AA$495&lt;=7)*('CONTROL MASTER'!$AC$2:$AC$495&gt;=7))*ROW('CONTROL MASTER'!$S$2:$S$495))-(ROW('CONTROL MASTER'!#REF!)-1))))*(INDEX('CONTROL MASTER'!$AC$2:$AC$495,(SUMPRODUCT((('CONTROL MASTER'!$S$2:$S$495=1)*('CONTROL MASTER'!$Z$2:$Z$495&lt;=4)*('CONTROL MASTER'!$AB$2:$AB$495&gt;=4)*('CONTROL MASTER'!$AA$2:$AA$495&lt;=7)*('CONTROL MASTER'!$AC$2:$AC$495&gt;=7))*ROW('CONTROL MASTER'!$S$2:$S$495))-(ROW('CONTROL MASTER'!#REF!)-1)))-INDEX('CONTROL MASTER'!$AA$2:$AA$495,(SUMPRODUCT((('CONTROL MASTER'!$S$2:$S$495=1)*('CONTROL MASTER'!$Z$2:$Z$495&lt;=4)*('CONTROL MASTER'!$AB$2:$AB$495&gt;=4)*('CONTROL MASTER'!$AA$2:$AA$495&lt;=7)*('CONTROL MASTER'!$AC$2:$AC$495&gt;=7))*ROW('CONTROL MASTER'!$S$2:$S$495))-(ROW('CONTROL MASTER'!#REF!)-1)))+1)+(7-INDEX('CONTROL MASTER'!$AA$2:$AA$495,(SUMPRODUCT((('CONTROL MASTER'!$S$2:$S$495=1)*('CONTROL MASTER'!$Z$2:$Z$495&lt;=4)*('CONTROL MASTER'!$AB$2:$AB$495&gt;=4)*('CONTROL MASTER'!$AA$2:$AA$495&lt;=7)*('CONTROL MASTER'!$AC$2:$AC$495&gt;=7))*ROW('CONTROL MASTER'!$S$2:$S$495))-(ROW('CONTROL MASTER'!#REF!)-1))))+1)))-1)*50+1,50))&amp;"_"&amp;INDEX('CONTROL MASTER'!$P$2:$P$495,(SUMPRODUCT((('CONTROL MASTER'!$S$2:$S$495=1)*('CONTROL MASTER'!$Z$2:$Z$495&lt;=4)*('CONTROL MASTER'!$AB$2:$AB$495&gt;=4)*('CONTROL MASTER'!$AA$2:$AA$495&lt;=7)*('CONTROL MASTER'!$AC$2:$AC$495&gt;=7))*ROW('CONTROL MASTER'!$S$2:$S$495))-(ROW('CONTROL MASTER'!#REF!)-1))),"")),"")</f>
        <v/>
      </c>
      <c r="I6" s="10" t="str">
        <f>IFERROR(IF(SUMPRODUCT((('CONTROL MASTER'!$S$2:$S$495=1)*('CONTROL MASTER'!$T$2:$T$495&lt;=4)*('CONTROL MASTER'!$V$2:$V$495&gt;=4)*('CONTROL MASTER'!$U$2:$U$495&lt;=8)*('CONTROL MASTER'!$W$2:$W$495&gt;=8))*ROW('CONTROL MASTER'!$S$2:$S$495))&gt;0,INDEX('CONTROL MASTER'!$X$2:$X$495,(SUMPRODUCT((('CONTROL MASTER'!$S$2:$S$495=1)*('CONTROL MASTER'!$T$2:$T$495&lt;=4)*('CONTROL MASTER'!$V$2:$V$495&gt;=4)*('CONTROL MASTER'!$U$2:$U$495&lt;=8)*('CONTROL MASTER'!$W$2:$W$495&gt;=8))*ROW('CONTROL MASTER'!$S$2:$S$495))-(ROW('CONTROL MASTER'!#REF!)-1)))&amp;TRIM(MID(SUBSTITUTE(SUBSTITUTE(INDEX('CONTROL MASTER'!$N$2:$N$495,(SUMPRODUCT((('CONTROL MASTER'!$S$2:$S$495=1)*('CONTROL MASTER'!$T$2:$T$495&lt;=4)*('CONTROL MASTER'!$V$2:$V$495&gt;=4)*('CONTROL MASTER'!$U$2:$U$495&lt;=8)*('CONTROL MASTER'!$W$2:$W$495&gt;=8))*ROW('CONTROL MASTER'!$S$2:$S$495))-(ROW('CONTROL MASTER'!#REF!)-1))),":",","),",",REPT(" ",50)),((((4-INDEX('CONTROL MASTER'!$T$2:$T$495,(SUMPRODUCT((('CONTROL MASTER'!$S$2:$S$495=1)*('CONTROL MASTER'!$T$2:$T$495&lt;=4)*('CONTROL MASTER'!$V$2:$V$495&gt;=4)*('CONTROL MASTER'!$U$2:$U$495&lt;=8)*('CONTROL MASTER'!$W$2:$W$495&gt;=8))*ROW('CONTROL MASTER'!$S$2:$S$495))-(ROW('CONTROL MASTER'!#REF!)-1))))*(INDEX('CONTROL MASTER'!$W$2:$W$495,(SUMPRODUCT((('CONTROL MASTER'!$S$2:$S$495=1)*('CONTROL MASTER'!$T$2:$T$495&lt;=4)*('CONTROL MASTER'!$V$2:$V$495&gt;=4)*('CONTROL MASTER'!$U$2:$U$495&lt;=8)*('CONTROL MASTER'!$W$2:$W$495&gt;=8))*ROW('CONTROL MASTER'!$S$2:$S$495))-(ROW('CONTROL MASTER'!#REF!)-1)))-INDEX('CONTROL MASTER'!$U$2:$U$495,(SUMPRODUCT((('CONTROL MASTER'!$S$2:$S$495=1)*('CONTROL MASTER'!$T$2:$T$495&lt;=4)*('CONTROL MASTER'!$V$2:$V$495&gt;=4)*('CONTROL MASTER'!$U$2:$U$495&lt;=8)*('CONTROL MASTER'!$W$2:$W$495&gt;=8))*ROW('CONTROL MASTER'!$S$2:$S$495))-(ROW('CONTROL MASTER'!#REF!)-1)))+1)+(8-INDEX('CONTROL MASTER'!$U$2:$U$495,(SUMPRODUCT((('CONTROL MASTER'!$S$2:$S$495=1)*('CONTROL MASTER'!$T$2:$T$495&lt;=4)*('CONTROL MASTER'!$V$2:$V$495&gt;=4)*('CONTROL MASTER'!$U$2:$U$495&lt;=8)*('CONTROL MASTER'!$W$2:$W$495&gt;=8))*ROW('CONTROL MASTER'!$S$2:$S$495))-(ROW('CONTROL MASTER'!#REF!)-1))))+1))-1)*50+1,50))&amp;"_"&amp;INDEX('CONTROL MASTER'!$P$2:$P$495,(SUMPRODUCT((('CONTROL MASTER'!$S$2:$S$495=1)*('CONTROL MASTER'!$T$2:$T$495&lt;=4)*('CONTROL MASTER'!$V$2:$V$495&gt;=4)*('CONTROL MASTER'!$U$2:$U$495&lt;=8)*('CONTROL MASTER'!$W$2:$W$495&gt;=8))*ROW('CONTROL MASTER'!$S$2:$S$495))-(ROW('CONTROL MASTER'!#REF!)-1))),IF(SUMPRODUCT((('CONTROL MASTER'!$S$2:$S$495=1)*('CONTROL MASTER'!$Z$2:$Z$495&lt;=4)*('CONTROL MASTER'!$AB$2:$AB$495&gt;=4)*('CONTROL MASTER'!$AA$2:$AA$495&lt;=8)*('CONTROL MASTER'!$AC$2:$AC$495&gt;=8))*ROW('CONTROL MASTER'!$S$2:$S$495))&gt;0,INDEX('CONTROL MASTER'!$X$2:$X$495,(SUMPRODUCT((('CONTROL MASTER'!$S$2:$S$495=1)*('CONTROL MASTER'!$Z$2:$Z$495&lt;=4)*('CONTROL MASTER'!$AB$2:$AB$495&gt;=4)*('CONTROL MASTER'!$AA$2:$AA$495&lt;=8)*('CONTROL MASTER'!$AC$2:$AC$495&gt;=8))*ROW('CONTROL MASTER'!$S$2:$S$495))-(ROW('CONTROL MASTER'!#REF!)-1)))&amp;TRIM(MID(SUBSTITUTE(SUBSTITUTE(INDEX('CONTROL MASTER'!$N$2:$N$495,(SUMPRODUCT((('CONTROL MASTER'!$S$2:$S$495=1)*('CONTROL MASTER'!$Z$2:$Z$495&lt;=4)*('CONTROL MASTER'!$AB$2:$AB$495&gt;=4)*('CONTROL MASTER'!$AA$2:$AA$495&lt;=8)*('CONTROL MASTER'!$AC$2:$AC$495&gt;=8))*ROW('CONTROL MASTER'!$S$2:$S$495))-(ROW('CONTROL MASTER'!#REF!)-1))),":",","),",",REPT(" ",50)),(((INDEX('CONTROL MASTER'!$Y$2:$Y$495,(SUMPRODUCT((('CONTROL MASTER'!$S$2:$S$495=1)*('CONTROL MASTER'!$Z$2:$Z$495&lt;=4)*('CONTROL MASTER'!$AB$2:$AB$495&gt;=4)*('CONTROL MASTER'!$AA$2:$AA$495&lt;=8)*('CONTROL MASTER'!$AC$2:$AC$495&gt;=8))*ROW('CONTROL MASTER'!$S$2:$S$495))-(ROW('CONTROL MASTER'!#REF!)-1)))+((4-INDEX('CONTROL MASTER'!$Z$2:$Z$495,(SUMPRODUCT((('CONTROL MASTER'!$S$2:$S$495=1)*('CONTROL MASTER'!$Z$2:$Z$495&lt;=4)*('CONTROL MASTER'!$AB$2:$AB$495&gt;=4)*('CONTROL MASTER'!$AA$2:$AA$495&lt;=8)*('CONTROL MASTER'!$AC$2:$AC$495&gt;=8))*ROW('CONTROL MASTER'!$S$2:$S$495))-(ROW('CONTROL MASTER'!#REF!)-1))))*(INDEX('CONTROL MASTER'!$AC$2:$AC$495,(SUMPRODUCT((('CONTROL MASTER'!$S$2:$S$495=1)*('CONTROL MASTER'!$Z$2:$Z$495&lt;=4)*('CONTROL MASTER'!$AB$2:$AB$495&gt;=4)*('CONTROL MASTER'!$AA$2:$AA$495&lt;=8)*('CONTROL MASTER'!$AC$2:$AC$495&gt;=8))*ROW('CONTROL MASTER'!$S$2:$S$495))-(ROW('CONTROL MASTER'!#REF!)-1)))-INDEX('CONTROL MASTER'!$AA$2:$AA$495,(SUMPRODUCT((('CONTROL MASTER'!$S$2:$S$495=1)*('CONTROL MASTER'!$Z$2:$Z$495&lt;=4)*('CONTROL MASTER'!$AB$2:$AB$495&gt;=4)*('CONTROL MASTER'!$AA$2:$AA$495&lt;=8)*('CONTROL MASTER'!$AC$2:$AC$495&gt;=8))*ROW('CONTROL MASTER'!$S$2:$S$495))-(ROW('CONTROL MASTER'!#REF!)-1)))+1)+(8-INDEX('CONTROL MASTER'!$AA$2:$AA$495,(SUMPRODUCT((('CONTROL MASTER'!$S$2:$S$495=1)*('CONTROL MASTER'!$Z$2:$Z$495&lt;=4)*('CONTROL MASTER'!$AB$2:$AB$495&gt;=4)*('CONTROL MASTER'!$AA$2:$AA$495&lt;=8)*('CONTROL MASTER'!$AC$2:$AC$495&gt;=8))*ROW('CONTROL MASTER'!$S$2:$S$495))-(ROW('CONTROL MASTER'!#REF!)-1))))+1)))-1)*50+1,50))&amp;"_"&amp;INDEX('CONTROL MASTER'!$P$2:$P$495,(SUMPRODUCT((('CONTROL MASTER'!$S$2:$S$495=1)*('CONTROL MASTER'!$Z$2:$Z$495&lt;=4)*('CONTROL MASTER'!$AB$2:$AB$495&gt;=4)*('CONTROL MASTER'!$AA$2:$AA$495&lt;=8)*('CONTROL MASTER'!$AC$2:$AC$495&gt;=8))*ROW('CONTROL MASTER'!$S$2:$S$495))-(ROW('CONTROL MASTER'!#REF!)-1))),"")),"")</f>
        <v/>
      </c>
      <c r="J6" s="10" t="str">
        <f>IFERROR(IF(SUMPRODUCT((('CONTROL MASTER'!$S$2:$S$495=1)*('CONTROL MASTER'!$T$2:$T$495&lt;=4)*('CONTROL MASTER'!$V$2:$V$495&gt;=4)*('CONTROL MASTER'!$U$2:$U$495&lt;=9)*('CONTROL MASTER'!$W$2:$W$495&gt;=9))*ROW('CONTROL MASTER'!$S$2:$S$495))&gt;0,INDEX('CONTROL MASTER'!$X$2:$X$495,(SUMPRODUCT((('CONTROL MASTER'!$S$2:$S$495=1)*('CONTROL MASTER'!$T$2:$T$495&lt;=4)*('CONTROL MASTER'!$V$2:$V$495&gt;=4)*('CONTROL MASTER'!$U$2:$U$495&lt;=9)*('CONTROL MASTER'!$W$2:$W$495&gt;=9))*ROW('CONTROL MASTER'!$S$2:$S$495))-(ROW('CONTROL MASTER'!#REF!)-1)))&amp;TRIM(MID(SUBSTITUTE(SUBSTITUTE(INDEX('CONTROL MASTER'!$N$2:$N$495,(SUMPRODUCT((('CONTROL MASTER'!$S$2:$S$495=1)*('CONTROL MASTER'!$T$2:$T$495&lt;=4)*('CONTROL MASTER'!$V$2:$V$495&gt;=4)*('CONTROL MASTER'!$U$2:$U$495&lt;=9)*('CONTROL MASTER'!$W$2:$W$495&gt;=9))*ROW('CONTROL MASTER'!$S$2:$S$495))-(ROW('CONTROL MASTER'!#REF!)-1))),":",","),",",REPT(" ",50)),((((4-INDEX('CONTROL MASTER'!$T$2:$T$495,(SUMPRODUCT((('CONTROL MASTER'!$S$2:$S$495=1)*('CONTROL MASTER'!$T$2:$T$495&lt;=4)*('CONTROL MASTER'!$V$2:$V$495&gt;=4)*('CONTROL MASTER'!$U$2:$U$495&lt;=9)*('CONTROL MASTER'!$W$2:$W$495&gt;=9))*ROW('CONTROL MASTER'!$S$2:$S$495))-(ROW('CONTROL MASTER'!#REF!)-1))))*(INDEX('CONTROL MASTER'!$W$2:$W$495,(SUMPRODUCT((('CONTROL MASTER'!$S$2:$S$495=1)*('CONTROL MASTER'!$T$2:$T$495&lt;=4)*('CONTROL MASTER'!$V$2:$V$495&gt;=4)*('CONTROL MASTER'!$U$2:$U$495&lt;=9)*('CONTROL MASTER'!$W$2:$W$495&gt;=9))*ROW('CONTROL MASTER'!$S$2:$S$495))-(ROW('CONTROL MASTER'!#REF!)-1)))-INDEX('CONTROL MASTER'!$U$2:$U$495,(SUMPRODUCT((('CONTROL MASTER'!$S$2:$S$495=1)*('CONTROL MASTER'!$T$2:$T$495&lt;=4)*('CONTROL MASTER'!$V$2:$V$495&gt;=4)*('CONTROL MASTER'!$U$2:$U$495&lt;=9)*('CONTROL MASTER'!$W$2:$W$495&gt;=9))*ROW('CONTROL MASTER'!$S$2:$S$495))-(ROW('CONTROL MASTER'!#REF!)-1)))+1)+(9-INDEX('CONTROL MASTER'!$U$2:$U$495,(SUMPRODUCT((('CONTROL MASTER'!$S$2:$S$495=1)*('CONTROL MASTER'!$T$2:$T$495&lt;=4)*('CONTROL MASTER'!$V$2:$V$495&gt;=4)*('CONTROL MASTER'!$U$2:$U$495&lt;=9)*('CONTROL MASTER'!$W$2:$W$495&gt;=9))*ROW('CONTROL MASTER'!$S$2:$S$495))-(ROW('CONTROL MASTER'!#REF!)-1))))+1))-1)*50+1,50))&amp;"_"&amp;INDEX('CONTROL MASTER'!$P$2:$P$495,(SUMPRODUCT((('CONTROL MASTER'!$S$2:$S$495=1)*('CONTROL MASTER'!$T$2:$T$495&lt;=4)*('CONTROL MASTER'!$V$2:$V$495&gt;=4)*('CONTROL MASTER'!$U$2:$U$495&lt;=9)*('CONTROL MASTER'!$W$2:$W$495&gt;=9))*ROW('CONTROL MASTER'!$S$2:$S$495))-(ROW('CONTROL MASTER'!#REF!)-1))),IF(SUMPRODUCT((('CONTROL MASTER'!$S$2:$S$495=1)*('CONTROL MASTER'!$Z$2:$Z$495&lt;=4)*('CONTROL MASTER'!$AB$2:$AB$495&gt;=4)*('CONTROL MASTER'!$AA$2:$AA$495&lt;=9)*('CONTROL MASTER'!$AC$2:$AC$495&gt;=9))*ROW('CONTROL MASTER'!$S$2:$S$495))&gt;0,INDEX('CONTROL MASTER'!$X$2:$X$495,(SUMPRODUCT((('CONTROL MASTER'!$S$2:$S$495=1)*('CONTROL MASTER'!$Z$2:$Z$495&lt;=4)*('CONTROL MASTER'!$AB$2:$AB$495&gt;=4)*('CONTROL MASTER'!$AA$2:$AA$495&lt;=9)*('CONTROL MASTER'!$AC$2:$AC$495&gt;=9))*ROW('CONTROL MASTER'!$S$2:$S$495))-(ROW('CONTROL MASTER'!#REF!)-1)))&amp;TRIM(MID(SUBSTITUTE(SUBSTITUTE(INDEX('CONTROL MASTER'!$N$2:$N$495,(SUMPRODUCT((('CONTROL MASTER'!$S$2:$S$495=1)*('CONTROL MASTER'!$Z$2:$Z$495&lt;=4)*('CONTROL MASTER'!$AB$2:$AB$495&gt;=4)*('CONTROL MASTER'!$AA$2:$AA$495&lt;=9)*('CONTROL MASTER'!$AC$2:$AC$495&gt;=9))*ROW('CONTROL MASTER'!$S$2:$S$495))-(ROW('CONTROL MASTER'!#REF!)-1))),":",","),",",REPT(" ",50)),(((INDEX('CONTROL MASTER'!$Y$2:$Y$495,(SUMPRODUCT((('CONTROL MASTER'!$S$2:$S$495=1)*('CONTROL MASTER'!$Z$2:$Z$495&lt;=4)*('CONTROL MASTER'!$AB$2:$AB$495&gt;=4)*('CONTROL MASTER'!$AA$2:$AA$495&lt;=9)*('CONTROL MASTER'!$AC$2:$AC$495&gt;=9))*ROW('CONTROL MASTER'!$S$2:$S$495))-(ROW('CONTROL MASTER'!#REF!)-1)))+((4-INDEX('CONTROL MASTER'!$Z$2:$Z$495,(SUMPRODUCT((('CONTROL MASTER'!$S$2:$S$495=1)*('CONTROL MASTER'!$Z$2:$Z$495&lt;=4)*('CONTROL MASTER'!$AB$2:$AB$495&gt;=4)*('CONTROL MASTER'!$AA$2:$AA$495&lt;=9)*('CONTROL MASTER'!$AC$2:$AC$495&gt;=9))*ROW('CONTROL MASTER'!$S$2:$S$495))-(ROW('CONTROL MASTER'!#REF!)-1))))*(INDEX('CONTROL MASTER'!$AC$2:$AC$495,(SUMPRODUCT((('CONTROL MASTER'!$S$2:$S$495=1)*('CONTROL MASTER'!$Z$2:$Z$495&lt;=4)*('CONTROL MASTER'!$AB$2:$AB$495&gt;=4)*('CONTROL MASTER'!$AA$2:$AA$495&lt;=9)*('CONTROL MASTER'!$AC$2:$AC$495&gt;=9))*ROW('CONTROL MASTER'!$S$2:$S$495))-(ROW('CONTROL MASTER'!#REF!)-1)))-INDEX('CONTROL MASTER'!$AA$2:$AA$495,(SUMPRODUCT((('CONTROL MASTER'!$S$2:$S$495=1)*('CONTROL MASTER'!$Z$2:$Z$495&lt;=4)*('CONTROL MASTER'!$AB$2:$AB$495&gt;=4)*('CONTROL MASTER'!$AA$2:$AA$495&lt;=9)*('CONTROL MASTER'!$AC$2:$AC$495&gt;=9))*ROW('CONTROL MASTER'!$S$2:$S$495))-(ROW('CONTROL MASTER'!#REF!)-1)))+1)+(9-INDEX('CONTROL MASTER'!$AA$2:$AA$495,(SUMPRODUCT((('CONTROL MASTER'!$S$2:$S$495=1)*('CONTROL MASTER'!$Z$2:$Z$495&lt;=4)*('CONTROL MASTER'!$AB$2:$AB$495&gt;=4)*('CONTROL MASTER'!$AA$2:$AA$495&lt;=9)*('CONTROL MASTER'!$AC$2:$AC$495&gt;=9))*ROW('CONTROL MASTER'!$S$2:$S$495))-(ROW('CONTROL MASTER'!#REF!)-1))))+1)))-1)*50+1,50))&amp;"_"&amp;INDEX('CONTROL MASTER'!$P$2:$P$495,(SUMPRODUCT((('CONTROL MASTER'!$S$2:$S$495=1)*('CONTROL MASTER'!$Z$2:$Z$495&lt;=4)*('CONTROL MASTER'!$AB$2:$AB$495&gt;=4)*('CONTROL MASTER'!$AA$2:$AA$495&lt;=9)*('CONTROL MASTER'!$AC$2:$AC$495&gt;=9))*ROW('CONTROL MASTER'!$S$2:$S$495))-(ROW('CONTROL MASTER'!#REF!)-1))),"")),"")</f>
        <v/>
      </c>
      <c r="K6" s="10" t="str">
        <f>IFERROR(IF(SUMPRODUCT((('CONTROL MASTER'!$S$2:$S$495=1)*('CONTROL MASTER'!$T$2:$T$495&lt;=4)*('CONTROL MASTER'!$V$2:$V$495&gt;=4)*('CONTROL MASTER'!$U$2:$U$495&lt;=10)*('CONTROL MASTER'!$W$2:$W$495&gt;=10))*ROW('CONTROL MASTER'!$S$2:$S$495))&gt;0,INDEX('CONTROL MASTER'!$X$2:$X$495,(SUMPRODUCT((('CONTROL MASTER'!$S$2:$S$495=1)*('CONTROL MASTER'!$T$2:$T$495&lt;=4)*('CONTROL MASTER'!$V$2:$V$495&gt;=4)*('CONTROL MASTER'!$U$2:$U$495&lt;=10)*('CONTROL MASTER'!$W$2:$W$495&gt;=10))*ROW('CONTROL MASTER'!$S$2:$S$495))-(ROW('CONTROL MASTER'!#REF!)-1)))&amp;TRIM(MID(SUBSTITUTE(SUBSTITUTE(INDEX('CONTROL MASTER'!$N$2:$N$495,(SUMPRODUCT((('CONTROL MASTER'!$S$2:$S$495=1)*('CONTROL MASTER'!$T$2:$T$495&lt;=4)*('CONTROL MASTER'!$V$2:$V$495&gt;=4)*('CONTROL MASTER'!$U$2:$U$495&lt;=10)*('CONTROL MASTER'!$W$2:$W$495&gt;=10))*ROW('CONTROL MASTER'!$S$2:$S$495))-(ROW('CONTROL MASTER'!#REF!)-1))),":",","),",",REPT(" ",50)),((((4-INDEX('CONTROL MASTER'!$T$2:$T$495,(SUMPRODUCT((('CONTROL MASTER'!$S$2:$S$495=1)*('CONTROL MASTER'!$T$2:$T$495&lt;=4)*('CONTROL MASTER'!$V$2:$V$495&gt;=4)*('CONTROL MASTER'!$U$2:$U$495&lt;=10)*('CONTROL MASTER'!$W$2:$W$495&gt;=10))*ROW('CONTROL MASTER'!$S$2:$S$495))-(ROW('CONTROL MASTER'!#REF!)-1))))*(INDEX('CONTROL MASTER'!$W$2:$W$495,(SUMPRODUCT((('CONTROL MASTER'!$S$2:$S$495=1)*('CONTROL MASTER'!$T$2:$T$495&lt;=4)*('CONTROL MASTER'!$V$2:$V$495&gt;=4)*('CONTROL MASTER'!$U$2:$U$495&lt;=10)*('CONTROL MASTER'!$W$2:$W$495&gt;=10))*ROW('CONTROL MASTER'!$S$2:$S$495))-(ROW('CONTROL MASTER'!#REF!)-1)))-INDEX('CONTROL MASTER'!$U$2:$U$495,(SUMPRODUCT((('CONTROL MASTER'!$S$2:$S$495=1)*('CONTROL MASTER'!$T$2:$T$495&lt;=4)*('CONTROL MASTER'!$V$2:$V$495&gt;=4)*('CONTROL MASTER'!$U$2:$U$495&lt;=10)*('CONTROL MASTER'!$W$2:$W$495&gt;=10))*ROW('CONTROL MASTER'!$S$2:$S$495))-(ROW('CONTROL MASTER'!#REF!)-1)))+1)+(10-INDEX('CONTROL MASTER'!$U$2:$U$495,(SUMPRODUCT((('CONTROL MASTER'!$S$2:$S$495=1)*('CONTROL MASTER'!$T$2:$T$495&lt;=4)*('CONTROL MASTER'!$V$2:$V$495&gt;=4)*('CONTROL MASTER'!$U$2:$U$495&lt;=10)*('CONTROL MASTER'!$W$2:$W$495&gt;=10))*ROW('CONTROL MASTER'!$S$2:$S$495))-(ROW('CONTROL MASTER'!#REF!)-1))))+1))-1)*50+1,50))&amp;"_"&amp;INDEX('CONTROL MASTER'!$P$2:$P$495,(SUMPRODUCT((('CONTROL MASTER'!$S$2:$S$495=1)*('CONTROL MASTER'!$T$2:$T$495&lt;=4)*('CONTROL MASTER'!$V$2:$V$495&gt;=4)*('CONTROL MASTER'!$U$2:$U$495&lt;=10)*('CONTROL MASTER'!$W$2:$W$495&gt;=10))*ROW('CONTROL MASTER'!$S$2:$S$495))-(ROW('CONTROL MASTER'!#REF!)-1))),IF(SUMPRODUCT((('CONTROL MASTER'!$S$2:$S$495=1)*('CONTROL MASTER'!$Z$2:$Z$495&lt;=4)*('CONTROL MASTER'!$AB$2:$AB$495&gt;=4)*('CONTROL MASTER'!$AA$2:$AA$495&lt;=10)*('CONTROL MASTER'!$AC$2:$AC$495&gt;=10))*ROW('CONTROL MASTER'!$S$2:$S$495))&gt;0,INDEX('CONTROL MASTER'!$X$2:$X$495,(SUMPRODUCT((('CONTROL MASTER'!$S$2:$S$495=1)*('CONTROL MASTER'!$Z$2:$Z$495&lt;=4)*('CONTROL MASTER'!$AB$2:$AB$495&gt;=4)*('CONTROL MASTER'!$AA$2:$AA$495&lt;=10)*('CONTROL MASTER'!$AC$2:$AC$495&gt;=10))*ROW('CONTROL MASTER'!$S$2:$S$495))-(ROW('CONTROL MASTER'!#REF!)-1)))&amp;TRIM(MID(SUBSTITUTE(SUBSTITUTE(INDEX('CONTROL MASTER'!$N$2:$N$495,(SUMPRODUCT((('CONTROL MASTER'!$S$2:$S$495=1)*('CONTROL MASTER'!$Z$2:$Z$495&lt;=4)*('CONTROL MASTER'!$AB$2:$AB$495&gt;=4)*('CONTROL MASTER'!$AA$2:$AA$495&lt;=10)*('CONTROL MASTER'!$AC$2:$AC$495&gt;=10))*ROW('CONTROL MASTER'!$S$2:$S$495))-(ROW('CONTROL MASTER'!#REF!)-1))),":",","),",",REPT(" ",50)),(((INDEX('CONTROL MASTER'!$Y$2:$Y$495,(SUMPRODUCT((('CONTROL MASTER'!$S$2:$S$495=1)*('CONTROL MASTER'!$Z$2:$Z$495&lt;=4)*('CONTROL MASTER'!$AB$2:$AB$495&gt;=4)*('CONTROL MASTER'!$AA$2:$AA$495&lt;=10)*('CONTROL MASTER'!$AC$2:$AC$495&gt;=10))*ROW('CONTROL MASTER'!$S$2:$S$495))-(ROW('CONTROL MASTER'!#REF!)-1)))+((4-INDEX('CONTROL MASTER'!$Z$2:$Z$495,(SUMPRODUCT((('CONTROL MASTER'!$S$2:$S$495=1)*('CONTROL MASTER'!$Z$2:$Z$495&lt;=4)*('CONTROL MASTER'!$AB$2:$AB$495&gt;=4)*('CONTROL MASTER'!$AA$2:$AA$495&lt;=10)*('CONTROL MASTER'!$AC$2:$AC$495&gt;=10))*ROW('CONTROL MASTER'!$S$2:$S$495))-(ROW('CONTROL MASTER'!#REF!)-1))))*(INDEX('CONTROL MASTER'!$AC$2:$AC$495,(SUMPRODUCT((('CONTROL MASTER'!$S$2:$S$495=1)*('CONTROL MASTER'!$Z$2:$Z$495&lt;=4)*('CONTROL MASTER'!$AB$2:$AB$495&gt;=4)*('CONTROL MASTER'!$AA$2:$AA$495&lt;=10)*('CONTROL MASTER'!$AC$2:$AC$495&gt;=10))*ROW('CONTROL MASTER'!$S$2:$S$495))-(ROW('CONTROL MASTER'!#REF!)-1)))-INDEX('CONTROL MASTER'!$AA$2:$AA$495,(SUMPRODUCT((('CONTROL MASTER'!$S$2:$S$495=1)*('CONTROL MASTER'!$Z$2:$Z$495&lt;=4)*('CONTROL MASTER'!$AB$2:$AB$495&gt;=4)*('CONTROL MASTER'!$AA$2:$AA$495&lt;=10)*('CONTROL MASTER'!$AC$2:$AC$495&gt;=10))*ROW('CONTROL MASTER'!$S$2:$S$495))-(ROW('CONTROL MASTER'!#REF!)-1)))+1)+(10-INDEX('CONTROL MASTER'!$AA$2:$AA$495,(SUMPRODUCT((('CONTROL MASTER'!$S$2:$S$495=1)*('CONTROL MASTER'!$Z$2:$Z$495&lt;=4)*('CONTROL MASTER'!$AB$2:$AB$495&gt;=4)*('CONTROL MASTER'!$AA$2:$AA$495&lt;=10)*('CONTROL MASTER'!$AC$2:$AC$495&gt;=10))*ROW('CONTROL MASTER'!$S$2:$S$495))-(ROW('CONTROL MASTER'!#REF!)-1))))+1)))-1)*50+1,50))&amp;"_"&amp;INDEX('CONTROL MASTER'!$P$2:$P$495,(SUMPRODUCT((('CONTROL MASTER'!$S$2:$S$495=1)*('CONTROL MASTER'!$Z$2:$Z$495&lt;=4)*('CONTROL MASTER'!$AB$2:$AB$495&gt;=4)*('CONTROL MASTER'!$AA$2:$AA$495&lt;=10)*('CONTROL MASTER'!$AC$2:$AC$495&gt;=10))*ROW('CONTROL MASTER'!$S$2:$S$495))-(ROW('CONTROL MASTER'!#REF!)-1))),"")),"")</f>
        <v/>
      </c>
    </row>
    <row r="7" spans="1:11" ht="15" customHeight="1" x14ac:dyDescent="0.35">
      <c r="A7" s="8" t="s">
        <v>32</v>
      </c>
      <c r="B7" s="10" t="str">
        <f>IFERROR(IF(SUMPRODUCT((('CONTROL MASTER'!$S$2:$S$495=1)*('CONTROL MASTER'!$T$2:$T$495&lt;=5)*('CONTROL MASTER'!$V$2:$V$495&gt;=5)*('CONTROL MASTER'!$U$2:$U$495&lt;=1)*('CONTROL MASTER'!$W$2:$W$495&gt;=1))*ROW('CONTROL MASTER'!$S$2:$S$495))&gt;0,INDEX('CONTROL MASTER'!$X$2:$X$495,(SUMPRODUCT((('CONTROL MASTER'!$S$2:$S$495=1)*('CONTROL MASTER'!$T$2:$T$495&lt;=5)*('CONTROL MASTER'!$V$2:$V$495&gt;=5)*('CONTROL MASTER'!$U$2:$U$495&lt;=1)*('CONTROL MASTER'!$W$2:$W$495&gt;=1))*ROW('CONTROL MASTER'!$S$2:$S$495))-(ROW('CONTROL MASTER'!#REF!)-1)))&amp;TRIM(MID(SUBSTITUTE(SUBSTITUTE(INDEX('CONTROL MASTER'!$N$2:$N$495,(SUMPRODUCT((('CONTROL MASTER'!$S$2:$S$495=1)*('CONTROL MASTER'!$T$2:$T$495&lt;=5)*('CONTROL MASTER'!$V$2:$V$495&gt;=5)*('CONTROL MASTER'!$U$2:$U$495&lt;=1)*('CONTROL MASTER'!$W$2:$W$495&gt;=1))*ROW('CONTROL MASTER'!$S$2:$S$495))-(ROW('CONTROL MASTER'!#REF!)-1))),":",","),",",REPT(" ",50)),((((5-INDEX('CONTROL MASTER'!$T$2:$T$495,(SUMPRODUCT((('CONTROL MASTER'!$S$2:$S$495=1)*('CONTROL MASTER'!$T$2:$T$495&lt;=5)*('CONTROL MASTER'!$V$2:$V$495&gt;=5)*('CONTROL MASTER'!$U$2:$U$495&lt;=1)*('CONTROL MASTER'!$W$2:$W$495&gt;=1))*ROW('CONTROL MASTER'!$S$2:$S$495))-(ROW('CONTROL MASTER'!#REF!)-1))))*(INDEX('CONTROL MASTER'!$W$2:$W$495,(SUMPRODUCT((('CONTROL MASTER'!$S$2:$S$495=1)*('CONTROL MASTER'!$T$2:$T$495&lt;=5)*('CONTROL MASTER'!$V$2:$V$495&gt;=5)*('CONTROL MASTER'!$U$2:$U$495&lt;=1)*('CONTROL MASTER'!$W$2:$W$495&gt;=1))*ROW('CONTROL MASTER'!$S$2:$S$495))-(ROW('CONTROL MASTER'!#REF!)-1)))-INDEX('CONTROL MASTER'!$U$2:$U$495,(SUMPRODUCT((('CONTROL MASTER'!$S$2:$S$495=1)*('CONTROL MASTER'!$T$2:$T$495&lt;=5)*('CONTROL MASTER'!$V$2:$V$495&gt;=5)*('CONTROL MASTER'!$U$2:$U$495&lt;=1)*('CONTROL MASTER'!$W$2:$W$495&gt;=1))*ROW('CONTROL MASTER'!$S$2:$S$495))-(ROW('CONTROL MASTER'!#REF!)-1)))+1)+(1-INDEX('CONTROL MASTER'!$U$2:$U$495,(SUMPRODUCT((('CONTROL MASTER'!$S$2:$S$495=1)*('CONTROL MASTER'!$T$2:$T$495&lt;=5)*('CONTROL MASTER'!$V$2:$V$495&gt;=5)*('CONTROL MASTER'!$U$2:$U$495&lt;=1)*('CONTROL MASTER'!$W$2:$W$495&gt;=1))*ROW('CONTROL MASTER'!$S$2:$S$495))-(ROW('CONTROL MASTER'!#REF!)-1))))+1))-1)*50+1,50))&amp;"_"&amp;INDEX('CONTROL MASTER'!$P$2:$P$495,(SUMPRODUCT((('CONTROL MASTER'!$S$2:$S$495=1)*('CONTROL MASTER'!$T$2:$T$495&lt;=5)*('CONTROL MASTER'!$V$2:$V$495&gt;=5)*('CONTROL MASTER'!$U$2:$U$495&lt;=1)*('CONTROL MASTER'!$W$2:$W$495&gt;=1))*ROW('CONTROL MASTER'!$S$2:$S$495))-(ROW('CONTROL MASTER'!#REF!)-1))),IF(SUMPRODUCT((('CONTROL MASTER'!$S$2:$S$495=1)*('CONTROL MASTER'!$Z$2:$Z$495&lt;=5)*('CONTROL MASTER'!$AB$2:$AB$495&gt;=5)*('CONTROL MASTER'!$AA$2:$AA$495&lt;=1)*('CONTROL MASTER'!$AC$2:$AC$495&gt;=1))*ROW('CONTROL MASTER'!$S$2:$S$495))&gt;0,INDEX('CONTROL MASTER'!$X$2:$X$495,(SUMPRODUCT((('CONTROL MASTER'!$S$2:$S$495=1)*('CONTROL MASTER'!$Z$2:$Z$495&lt;=5)*('CONTROL MASTER'!$AB$2:$AB$495&gt;=5)*('CONTROL MASTER'!$AA$2:$AA$495&lt;=1)*('CONTROL MASTER'!$AC$2:$AC$495&gt;=1))*ROW('CONTROL MASTER'!$S$2:$S$495))-(ROW('CONTROL MASTER'!#REF!)-1)))&amp;TRIM(MID(SUBSTITUTE(SUBSTITUTE(INDEX('CONTROL MASTER'!$N$2:$N$495,(SUMPRODUCT((('CONTROL MASTER'!$S$2:$S$495=1)*('CONTROL MASTER'!$Z$2:$Z$495&lt;=5)*('CONTROL MASTER'!$AB$2:$AB$495&gt;=5)*('CONTROL MASTER'!$AA$2:$AA$495&lt;=1)*('CONTROL MASTER'!$AC$2:$AC$495&gt;=1))*ROW('CONTROL MASTER'!$S$2:$S$495))-(ROW('CONTROL MASTER'!#REF!)-1))),":",","),",",REPT(" ",50)),(((INDEX('CONTROL MASTER'!$Y$2:$Y$495,(SUMPRODUCT((('CONTROL MASTER'!$S$2:$S$495=1)*('CONTROL MASTER'!$Z$2:$Z$495&lt;=5)*('CONTROL MASTER'!$AB$2:$AB$495&gt;=5)*('CONTROL MASTER'!$AA$2:$AA$495&lt;=1)*('CONTROL MASTER'!$AC$2:$AC$495&gt;=1))*ROW('CONTROL MASTER'!$S$2:$S$495))-(ROW('CONTROL MASTER'!#REF!)-1)))+((5-INDEX('CONTROL MASTER'!$Z$2:$Z$495,(SUMPRODUCT((('CONTROL MASTER'!$S$2:$S$495=1)*('CONTROL MASTER'!$Z$2:$Z$495&lt;=5)*('CONTROL MASTER'!$AB$2:$AB$495&gt;=5)*('CONTROL MASTER'!$AA$2:$AA$495&lt;=1)*('CONTROL MASTER'!$AC$2:$AC$495&gt;=1))*ROW('CONTROL MASTER'!$S$2:$S$495))-(ROW('CONTROL MASTER'!#REF!)-1))))*(INDEX('CONTROL MASTER'!$AC$2:$AC$495,(SUMPRODUCT((('CONTROL MASTER'!$S$2:$S$495=1)*('CONTROL MASTER'!$Z$2:$Z$495&lt;=5)*('CONTROL MASTER'!$AB$2:$AB$495&gt;=5)*('CONTROL MASTER'!$AA$2:$AA$495&lt;=1)*('CONTROL MASTER'!$AC$2:$AC$495&gt;=1))*ROW('CONTROL MASTER'!$S$2:$S$495))-(ROW('CONTROL MASTER'!#REF!)-1)))-INDEX('CONTROL MASTER'!$AA$2:$AA$495,(SUMPRODUCT((('CONTROL MASTER'!$S$2:$S$495=1)*('CONTROL MASTER'!$Z$2:$Z$495&lt;=5)*('CONTROL MASTER'!$AB$2:$AB$495&gt;=5)*('CONTROL MASTER'!$AA$2:$AA$495&lt;=1)*('CONTROL MASTER'!$AC$2:$AC$495&gt;=1))*ROW('CONTROL MASTER'!$S$2:$S$495))-(ROW('CONTROL MASTER'!#REF!)-1)))+1)+(1-INDEX('CONTROL MASTER'!$AA$2:$AA$495,(SUMPRODUCT((('CONTROL MASTER'!$S$2:$S$495=1)*('CONTROL MASTER'!$Z$2:$Z$495&lt;=5)*('CONTROL MASTER'!$AB$2:$AB$495&gt;=5)*('CONTROL MASTER'!$AA$2:$AA$495&lt;=1)*('CONTROL MASTER'!$AC$2:$AC$495&gt;=1))*ROW('CONTROL MASTER'!$S$2:$S$495))-(ROW('CONTROL MASTER'!#REF!)-1))))+1)))-1)*50+1,50))&amp;"_"&amp;INDEX('CONTROL MASTER'!$P$2:$P$495,(SUMPRODUCT((('CONTROL MASTER'!$S$2:$S$495=1)*('CONTROL MASTER'!$Z$2:$Z$495&lt;=5)*('CONTROL MASTER'!$AB$2:$AB$495&gt;=5)*('CONTROL MASTER'!$AA$2:$AA$495&lt;=1)*('CONTROL MASTER'!$AC$2:$AC$495&gt;=1))*ROW('CONTROL MASTER'!$S$2:$S$495))-(ROW('CONTROL MASTER'!#REF!)-1))),"")),"")</f>
        <v/>
      </c>
      <c r="C7" s="10" t="str">
        <f>IFERROR(IF(SUMPRODUCT((('CONTROL MASTER'!$S$2:$S$495=1)*('CONTROL MASTER'!$T$2:$T$495&lt;=5)*('CONTROL MASTER'!$V$2:$V$495&gt;=5)*('CONTROL MASTER'!$U$2:$U$495&lt;=2)*('CONTROL MASTER'!$W$2:$W$495&gt;=2))*ROW('CONTROL MASTER'!$S$2:$S$495))&gt;0,INDEX('CONTROL MASTER'!$X$2:$X$495,(SUMPRODUCT((('CONTROL MASTER'!$S$2:$S$495=1)*('CONTROL MASTER'!$T$2:$T$495&lt;=5)*('CONTROL MASTER'!$V$2:$V$495&gt;=5)*('CONTROL MASTER'!$U$2:$U$495&lt;=2)*('CONTROL MASTER'!$W$2:$W$495&gt;=2))*ROW('CONTROL MASTER'!$S$2:$S$495))-(ROW('CONTROL MASTER'!#REF!)-1)))&amp;TRIM(MID(SUBSTITUTE(SUBSTITUTE(INDEX('CONTROL MASTER'!$N$2:$N$495,(SUMPRODUCT((('CONTROL MASTER'!$S$2:$S$495=1)*('CONTROL MASTER'!$T$2:$T$495&lt;=5)*('CONTROL MASTER'!$V$2:$V$495&gt;=5)*('CONTROL MASTER'!$U$2:$U$495&lt;=2)*('CONTROL MASTER'!$W$2:$W$495&gt;=2))*ROW('CONTROL MASTER'!$S$2:$S$495))-(ROW('CONTROL MASTER'!#REF!)-1))),":",","),",",REPT(" ",50)),((((5-INDEX('CONTROL MASTER'!$T$2:$T$495,(SUMPRODUCT((('CONTROL MASTER'!$S$2:$S$495=1)*('CONTROL MASTER'!$T$2:$T$495&lt;=5)*('CONTROL MASTER'!$V$2:$V$495&gt;=5)*('CONTROL MASTER'!$U$2:$U$495&lt;=2)*('CONTROL MASTER'!$W$2:$W$495&gt;=2))*ROW('CONTROL MASTER'!$S$2:$S$495))-(ROW('CONTROL MASTER'!#REF!)-1))))*(INDEX('CONTROL MASTER'!$W$2:$W$495,(SUMPRODUCT((('CONTROL MASTER'!$S$2:$S$495=1)*('CONTROL MASTER'!$T$2:$T$495&lt;=5)*('CONTROL MASTER'!$V$2:$V$495&gt;=5)*('CONTROL MASTER'!$U$2:$U$495&lt;=2)*('CONTROL MASTER'!$W$2:$W$495&gt;=2))*ROW('CONTROL MASTER'!$S$2:$S$495))-(ROW('CONTROL MASTER'!#REF!)-1)))-INDEX('CONTROL MASTER'!$U$2:$U$495,(SUMPRODUCT((('CONTROL MASTER'!$S$2:$S$495=1)*('CONTROL MASTER'!$T$2:$T$495&lt;=5)*('CONTROL MASTER'!$V$2:$V$495&gt;=5)*('CONTROL MASTER'!$U$2:$U$495&lt;=2)*('CONTROL MASTER'!$W$2:$W$495&gt;=2))*ROW('CONTROL MASTER'!$S$2:$S$495))-(ROW('CONTROL MASTER'!#REF!)-1)))+1)+(2-INDEX('CONTROL MASTER'!$U$2:$U$495,(SUMPRODUCT((('CONTROL MASTER'!$S$2:$S$495=1)*('CONTROL MASTER'!$T$2:$T$495&lt;=5)*('CONTROL MASTER'!$V$2:$V$495&gt;=5)*('CONTROL MASTER'!$U$2:$U$495&lt;=2)*('CONTROL MASTER'!$W$2:$W$495&gt;=2))*ROW('CONTROL MASTER'!$S$2:$S$495))-(ROW('CONTROL MASTER'!#REF!)-1))))+1))-1)*50+1,50))&amp;"_"&amp;INDEX('CONTROL MASTER'!$P$2:$P$495,(SUMPRODUCT((('CONTROL MASTER'!$S$2:$S$495=1)*('CONTROL MASTER'!$T$2:$T$495&lt;=5)*('CONTROL MASTER'!$V$2:$V$495&gt;=5)*('CONTROL MASTER'!$U$2:$U$495&lt;=2)*('CONTROL MASTER'!$W$2:$W$495&gt;=2))*ROW('CONTROL MASTER'!$S$2:$S$495))-(ROW('CONTROL MASTER'!#REF!)-1))),IF(SUMPRODUCT((('CONTROL MASTER'!$S$2:$S$495=1)*('CONTROL MASTER'!$Z$2:$Z$495&lt;=5)*('CONTROL MASTER'!$AB$2:$AB$495&gt;=5)*('CONTROL MASTER'!$AA$2:$AA$495&lt;=2)*('CONTROL MASTER'!$AC$2:$AC$495&gt;=2))*ROW('CONTROL MASTER'!$S$2:$S$495))&gt;0,INDEX('CONTROL MASTER'!$X$2:$X$495,(SUMPRODUCT((('CONTROL MASTER'!$S$2:$S$495=1)*('CONTROL MASTER'!$Z$2:$Z$495&lt;=5)*('CONTROL MASTER'!$AB$2:$AB$495&gt;=5)*('CONTROL MASTER'!$AA$2:$AA$495&lt;=2)*('CONTROL MASTER'!$AC$2:$AC$495&gt;=2))*ROW('CONTROL MASTER'!$S$2:$S$495))-(ROW('CONTROL MASTER'!#REF!)-1)))&amp;TRIM(MID(SUBSTITUTE(SUBSTITUTE(INDEX('CONTROL MASTER'!$N$2:$N$495,(SUMPRODUCT((('CONTROL MASTER'!$S$2:$S$495=1)*('CONTROL MASTER'!$Z$2:$Z$495&lt;=5)*('CONTROL MASTER'!$AB$2:$AB$495&gt;=5)*('CONTROL MASTER'!$AA$2:$AA$495&lt;=2)*('CONTROL MASTER'!$AC$2:$AC$495&gt;=2))*ROW('CONTROL MASTER'!$S$2:$S$495))-(ROW('CONTROL MASTER'!#REF!)-1))),":",","),",",REPT(" ",50)),(((INDEX('CONTROL MASTER'!$Y$2:$Y$495,(SUMPRODUCT((('CONTROL MASTER'!$S$2:$S$495=1)*('CONTROL MASTER'!$Z$2:$Z$495&lt;=5)*('CONTROL MASTER'!$AB$2:$AB$495&gt;=5)*('CONTROL MASTER'!$AA$2:$AA$495&lt;=2)*('CONTROL MASTER'!$AC$2:$AC$495&gt;=2))*ROW('CONTROL MASTER'!$S$2:$S$495))-(ROW('CONTROL MASTER'!#REF!)-1)))+((5-INDEX('CONTROL MASTER'!$Z$2:$Z$495,(SUMPRODUCT((('CONTROL MASTER'!$S$2:$S$495=1)*('CONTROL MASTER'!$Z$2:$Z$495&lt;=5)*('CONTROL MASTER'!$AB$2:$AB$495&gt;=5)*('CONTROL MASTER'!$AA$2:$AA$495&lt;=2)*('CONTROL MASTER'!$AC$2:$AC$495&gt;=2))*ROW('CONTROL MASTER'!$S$2:$S$495))-(ROW('CONTROL MASTER'!#REF!)-1))))*(INDEX('CONTROL MASTER'!$AC$2:$AC$495,(SUMPRODUCT((('CONTROL MASTER'!$S$2:$S$495=1)*('CONTROL MASTER'!$Z$2:$Z$495&lt;=5)*('CONTROL MASTER'!$AB$2:$AB$495&gt;=5)*('CONTROL MASTER'!$AA$2:$AA$495&lt;=2)*('CONTROL MASTER'!$AC$2:$AC$495&gt;=2))*ROW('CONTROL MASTER'!$S$2:$S$495))-(ROW('CONTROL MASTER'!#REF!)-1)))-INDEX('CONTROL MASTER'!$AA$2:$AA$495,(SUMPRODUCT((('CONTROL MASTER'!$S$2:$S$495=1)*('CONTROL MASTER'!$Z$2:$Z$495&lt;=5)*('CONTROL MASTER'!$AB$2:$AB$495&gt;=5)*('CONTROL MASTER'!$AA$2:$AA$495&lt;=2)*('CONTROL MASTER'!$AC$2:$AC$495&gt;=2))*ROW('CONTROL MASTER'!$S$2:$S$495))-(ROW('CONTROL MASTER'!#REF!)-1)))+1)+(2-INDEX('CONTROL MASTER'!$AA$2:$AA$495,(SUMPRODUCT((('CONTROL MASTER'!$S$2:$S$495=1)*('CONTROL MASTER'!$Z$2:$Z$495&lt;=5)*('CONTROL MASTER'!$AB$2:$AB$495&gt;=5)*('CONTROL MASTER'!$AA$2:$AA$495&lt;=2)*('CONTROL MASTER'!$AC$2:$AC$495&gt;=2))*ROW('CONTROL MASTER'!$S$2:$S$495))-(ROW('CONTROL MASTER'!#REF!)-1))))+1)))-1)*50+1,50))&amp;"_"&amp;INDEX('CONTROL MASTER'!$P$2:$P$495,(SUMPRODUCT((('CONTROL MASTER'!$S$2:$S$495=1)*('CONTROL MASTER'!$Z$2:$Z$495&lt;=5)*('CONTROL MASTER'!$AB$2:$AB$495&gt;=5)*('CONTROL MASTER'!$AA$2:$AA$495&lt;=2)*('CONTROL MASTER'!$AC$2:$AC$495&gt;=2))*ROW('CONTROL MASTER'!$S$2:$S$495))-(ROW('CONTROL MASTER'!#REF!)-1))),"")),"")</f>
        <v/>
      </c>
      <c r="D7" s="10" t="str">
        <f>IFERROR(IF(SUMPRODUCT((('CONTROL MASTER'!$S$2:$S$495=1)*('CONTROL MASTER'!$T$2:$T$495&lt;=5)*('CONTROL MASTER'!$V$2:$V$495&gt;=5)*('CONTROL MASTER'!$U$2:$U$495&lt;=3)*('CONTROL MASTER'!$W$2:$W$495&gt;=3))*ROW('CONTROL MASTER'!$S$2:$S$495))&gt;0,INDEX('CONTROL MASTER'!$X$2:$X$495,(SUMPRODUCT((('CONTROL MASTER'!$S$2:$S$495=1)*('CONTROL MASTER'!$T$2:$T$495&lt;=5)*('CONTROL MASTER'!$V$2:$V$495&gt;=5)*('CONTROL MASTER'!$U$2:$U$495&lt;=3)*('CONTROL MASTER'!$W$2:$W$495&gt;=3))*ROW('CONTROL MASTER'!$S$2:$S$495))-(ROW('CONTROL MASTER'!#REF!)-1)))&amp;TRIM(MID(SUBSTITUTE(SUBSTITUTE(INDEX('CONTROL MASTER'!$N$2:$N$495,(SUMPRODUCT((('CONTROL MASTER'!$S$2:$S$495=1)*('CONTROL MASTER'!$T$2:$T$495&lt;=5)*('CONTROL MASTER'!$V$2:$V$495&gt;=5)*('CONTROL MASTER'!$U$2:$U$495&lt;=3)*('CONTROL MASTER'!$W$2:$W$495&gt;=3))*ROW('CONTROL MASTER'!$S$2:$S$495))-(ROW('CONTROL MASTER'!#REF!)-1))),":",","),",",REPT(" ",50)),((((5-INDEX('CONTROL MASTER'!$T$2:$T$495,(SUMPRODUCT((('CONTROL MASTER'!$S$2:$S$495=1)*('CONTROL MASTER'!$T$2:$T$495&lt;=5)*('CONTROL MASTER'!$V$2:$V$495&gt;=5)*('CONTROL MASTER'!$U$2:$U$495&lt;=3)*('CONTROL MASTER'!$W$2:$W$495&gt;=3))*ROW('CONTROL MASTER'!$S$2:$S$495))-(ROW('CONTROL MASTER'!#REF!)-1))))*(INDEX('CONTROL MASTER'!$W$2:$W$495,(SUMPRODUCT((('CONTROL MASTER'!$S$2:$S$495=1)*('CONTROL MASTER'!$T$2:$T$495&lt;=5)*('CONTROL MASTER'!$V$2:$V$495&gt;=5)*('CONTROL MASTER'!$U$2:$U$495&lt;=3)*('CONTROL MASTER'!$W$2:$W$495&gt;=3))*ROW('CONTROL MASTER'!$S$2:$S$495))-(ROW('CONTROL MASTER'!#REF!)-1)))-INDEX('CONTROL MASTER'!$U$2:$U$495,(SUMPRODUCT((('CONTROL MASTER'!$S$2:$S$495=1)*('CONTROL MASTER'!$T$2:$T$495&lt;=5)*('CONTROL MASTER'!$V$2:$V$495&gt;=5)*('CONTROL MASTER'!$U$2:$U$495&lt;=3)*('CONTROL MASTER'!$W$2:$W$495&gt;=3))*ROW('CONTROL MASTER'!$S$2:$S$495))-(ROW('CONTROL MASTER'!#REF!)-1)))+1)+(3-INDEX('CONTROL MASTER'!$U$2:$U$495,(SUMPRODUCT((('CONTROL MASTER'!$S$2:$S$495=1)*('CONTROL MASTER'!$T$2:$T$495&lt;=5)*('CONTROL MASTER'!$V$2:$V$495&gt;=5)*('CONTROL MASTER'!$U$2:$U$495&lt;=3)*('CONTROL MASTER'!$W$2:$W$495&gt;=3))*ROW('CONTROL MASTER'!$S$2:$S$495))-(ROW('CONTROL MASTER'!#REF!)-1))))+1))-1)*50+1,50))&amp;"_"&amp;INDEX('CONTROL MASTER'!$P$2:$P$495,(SUMPRODUCT((('CONTROL MASTER'!$S$2:$S$495=1)*('CONTROL MASTER'!$T$2:$T$495&lt;=5)*('CONTROL MASTER'!$V$2:$V$495&gt;=5)*('CONTROL MASTER'!$U$2:$U$495&lt;=3)*('CONTROL MASTER'!$W$2:$W$495&gt;=3))*ROW('CONTROL MASTER'!$S$2:$S$495))-(ROW('CONTROL MASTER'!#REF!)-1))),IF(SUMPRODUCT((('CONTROL MASTER'!$S$2:$S$495=1)*('CONTROL MASTER'!$Z$2:$Z$495&lt;=5)*('CONTROL MASTER'!$AB$2:$AB$495&gt;=5)*('CONTROL MASTER'!$AA$2:$AA$495&lt;=3)*('CONTROL MASTER'!$AC$2:$AC$495&gt;=3))*ROW('CONTROL MASTER'!$S$2:$S$495))&gt;0,INDEX('CONTROL MASTER'!$X$2:$X$495,(SUMPRODUCT((('CONTROL MASTER'!$S$2:$S$495=1)*('CONTROL MASTER'!$Z$2:$Z$495&lt;=5)*('CONTROL MASTER'!$AB$2:$AB$495&gt;=5)*('CONTROL MASTER'!$AA$2:$AA$495&lt;=3)*('CONTROL MASTER'!$AC$2:$AC$495&gt;=3))*ROW('CONTROL MASTER'!$S$2:$S$495))-(ROW('CONTROL MASTER'!#REF!)-1)))&amp;TRIM(MID(SUBSTITUTE(SUBSTITUTE(INDEX('CONTROL MASTER'!$N$2:$N$495,(SUMPRODUCT((('CONTROL MASTER'!$S$2:$S$495=1)*('CONTROL MASTER'!$Z$2:$Z$495&lt;=5)*('CONTROL MASTER'!$AB$2:$AB$495&gt;=5)*('CONTROL MASTER'!$AA$2:$AA$495&lt;=3)*('CONTROL MASTER'!$AC$2:$AC$495&gt;=3))*ROW('CONTROL MASTER'!$S$2:$S$495))-(ROW('CONTROL MASTER'!#REF!)-1))),":",","),",",REPT(" ",50)),(((INDEX('CONTROL MASTER'!$Y$2:$Y$495,(SUMPRODUCT((('CONTROL MASTER'!$S$2:$S$495=1)*('CONTROL MASTER'!$Z$2:$Z$495&lt;=5)*('CONTROL MASTER'!$AB$2:$AB$495&gt;=5)*('CONTROL MASTER'!$AA$2:$AA$495&lt;=3)*('CONTROL MASTER'!$AC$2:$AC$495&gt;=3))*ROW('CONTROL MASTER'!$S$2:$S$495))-(ROW('CONTROL MASTER'!#REF!)-1)))+((5-INDEX('CONTROL MASTER'!$Z$2:$Z$495,(SUMPRODUCT((('CONTROL MASTER'!$S$2:$S$495=1)*('CONTROL MASTER'!$Z$2:$Z$495&lt;=5)*('CONTROL MASTER'!$AB$2:$AB$495&gt;=5)*('CONTROL MASTER'!$AA$2:$AA$495&lt;=3)*('CONTROL MASTER'!$AC$2:$AC$495&gt;=3))*ROW('CONTROL MASTER'!$S$2:$S$495))-(ROW('CONTROL MASTER'!#REF!)-1))))*(INDEX('CONTROL MASTER'!$AC$2:$AC$495,(SUMPRODUCT((('CONTROL MASTER'!$S$2:$S$495=1)*('CONTROL MASTER'!$Z$2:$Z$495&lt;=5)*('CONTROL MASTER'!$AB$2:$AB$495&gt;=5)*('CONTROL MASTER'!$AA$2:$AA$495&lt;=3)*('CONTROL MASTER'!$AC$2:$AC$495&gt;=3))*ROW('CONTROL MASTER'!$S$2:$S$495))-(ROW('CONTROL MASTER'!#REF!)-1)))-INDEX('CONTROL MASTER'!$AA$2:$AA$495,(SUMPRODUCT((('CONTROL MASTER'!$S$2:$S$495=1)*('CONTROL MASTER'!$Z$2:$Z$495&lt;=5)*('CONTROL MASTER'!$AB$2:$AB$495&gt;=5)*('CONTROL MASTER'!$AA$2:$AA$495&lt;=3)*('CONTROL MASTER'!$AC$2:$AC$495&gt;=3))*ROW('CONTROL MASTER'!$S$2:$S$495))-(ROW('CONTROL MASTER'!#REF!)-1)))+1)+(3-INDEX('CONTROL MASTER'!$AA$2:$AA$495,(SUMPRODUCT((('CONTROL MASTER'!$S$2:$S$495=1)*('CONTROL MASTER'!$Z$2:$Z$495&lt;=5)*('CONTROL MASTER'!$AB$2:$AB$495&gt;=5)*('CONTROL MASTER'!$AA$2:$AA$495&lt;=3)*('CONTROL MASTER'!$AC$2:$AC$495&gt;=3))*ROW('CONTROL MASTER'!$S$2:$S$495))-(ROW('CONTROL MASTER'!#REF!)-1))))+1)))-1)*50+1,50))&amp;"_"&amp;INDEX('CONTROL MASTER'!$P$2:$P$495,(SUMPRODUCT((('CONTROL MASTER'!$S$2:$S$495=1)*('CONTROL MASTER'!$Z$2:$Z$495&lt;=5)*('CONTROL MASTER'!$AB$2:$AB$495&gt;=5)*('CONTROL MASTER'!$AA$2:$AA$495&lt;=3)*('CONTROL MASTER'!$AC$2:$AC$495&gt;=3))*ROW('CONTROL MASTER'!$S$2:$S$495))-(ROW('CONTROL MASTER'!#REF!)-1))),"")),"")</f>
        <v/>
      </c>
      <c r="E7" s="10" t="str">
        <f>IFERROR(IF(SUMPRODUCT((('CONTROL MASTER'!$S$2:$S$495=1)*('CONTROL MASTER'!$T$2:$T$495&lt;=5)*('CONTROL MASTER'!$V$2:$V$495&gt;=5)*('CONTROL MASTER'!$U$2:$U$495&lt;=4)*('CONTROL MASTER'!$W$2:$W$495&gt;=4))*ROW('CONTROL MASTER'!$S$2:$S$495))&gt;0,INDEX('CONTROL MASTER'!$X$2:$X$495,(SUMPRODUCT((('CONTROL MASTER'!$S$2:$S$495=1)*('CONTROL MASTER'!$T$2:$T$495&lt;=5)*('CONTROL MASTER'!$V$2:$V$495&gt;=5)*('CONTROL MASTER'!$U$2:$U$495&lt;=4)*('CONTROL MASTER'!$W$2:$W$495&gt;=4))*ROW('CONTROL MASTER'!$S$2:$S$495))-(ROW('CONTROL MASTER'!#REF!)-1)))&amp;TRIM(MID(SUBSTITUTE(SUBSTITUTE(INDEX('CONTROL MASTER'!$N$2:$N$495,(SUMPRODUCT((('CONTROL MASTER'!$S$2:$S$495=1)*('CONTROL MASTER'!$T$2:$T$495&lt;=5)*('CONTROL MASTER'!$V$2:$V$495&gt;=5)*('CONTROL MASTER'!$U$2:$U$495&lt;=4)*('CONTROL MASTER'!$W$2:$W$495&gt;=4))*ROW('CONTROL MASTER'!$S$2:$S$495))-(ROW('CONTROL MASTER'!#REF!)-1))),":",","),",",REPT(" ",50)),((((5-INDEX('CONTROL MASTER'!$T$2:$T$495,(SUMPRODUCT((('CONTROL MASTER'!$S$2:$S$495=1)*('CONTROL MASTER'!$T$2:$T$495&lt;=5)*('CONTROL MASTER'!$V$2:$V$495&gt;=5)*('CONTROL MASTER'!$U$2:$U$495&lt;=4)*('CONTROL MASTER'!$W$2:$W$495&gt;=4))*ROW('CONTROL MASTER'!$S$2:$S$495))-(ROW('CONTROL MASTER'!#REF!)-1))))*(INDEX('CONTROL MASTER'!$W$2:$W$495,(SUMPRODUCT((('CONTROL MASTER'!$S$2:$S$495=1)*('CONTROL MASTER'!$T$2:$T$495&lt;=5)*('CONTROL MASTER'!$V$2:$V$495&gt;=5)*('CONTROL MASTER'!$U$2:$U$495&lt;=4)*('CONTROL MASTER'!$W$2:$W$495&gt;=4))*ROW('CONTROL MASTER'!$S$2:$S$495))-(ROW('CONTROL MASTER'!#REF!)-1)))-INDEX('CONTROL MASTER'!$U$2:$U$495,(SUMPRODUCT((('CONTROL MASTER'!$S$2:$S$495=1)*('CONTROL MASTER'!$T$2:$T$495&lt;=5)*('CONTROL MASTER'!$V$2:$V$495&gt;=5)*('CONTROL MASTER'!$U$2:$U$495&lt;=4)*('CONTROL MASTER'!$W$2:$W$495&gt;=4))*ROW('CONTROL MASTER'!$S$2:$S$495))-(ROW('CONTROL MASTER'!#REF!)-1)))+1)+(4-INDEX('CONTROL MASTER'!$U$2:$U$495,(SUMPRODUCT((('CONTROL MASTER'!$S$2:$S$495=1)*('CONTROL MASTER'!$T$2:$T$495&lt;=5)*('CONTROL MASTER'!$V$2:$V$495&gt;=5)*('CONTROL MASTER'!$U$2:$U$495&lt;=4)*('CONTROL MASTER'!$W$2:$W$495&gt;=4))*ROW('CONTROL MASTER'!$S$2:$S$495))-(ROW('CONTROL MASTER'!#REF!)-1))))+1))-1)*50+1,50))&amp;"_"&amp;INDEX('CONTROL MASTER'!$P$2:$P$495,(SUMPRODUCT((('CONTROL MASTER'!$S$2:$S$495=1)*('CONTROL MASTER'!$T$2:$T$495&lt;=5)*('CONTROL MASTER'!$V$2:$V$495&gt;=5)*('CONTROL MASTER'!$U$2:$U$495&lt;=4)*('CONTROL MASTER'!$W$2:$W$495&gt;=4))*ROW('CONTROL MASTER'!$S$2:$S$495))-(ROW('CONTROL MASTER'!#REF!)-1))),IF(SUMPRODUCT((('CONTROL MASTER'!$S$2:$S$495=1)*('CONTROL MASTER'!$Z$2:$Z$495&lt;=5)*('CONTROL MASTER'!$AB$2:$AB$495&gt;=5)*('CONTROL MASTER'!$AA$2:$AA$495&lt;=4)*('CONTROL MASTER'!$AC$2:$AC$495&gt;=4))*ROW('CONTROL MASTER'!$S$2:$S$495))&gt;0,INDEX('CONTROL MASTER'!$X$2:$X$495,(SUMPRODUCT((('CONTROL MASTER'!$S$2:$S$495=1)*('CONTROL MASTER'!$Z$2:$Z$495&lt;=5)*('CONTROL MASTER'!$AB$2:$AB$495&gt;=5)*('CONTROL MASTER'!$AA$2:$AA$495&lt;=4)*('CONTROL MASTER'!$AC$2:$AC$495&gt;=4))*ROW('CONTROL MASTER'!$S$2:$S$495))-(ROW('CONTROL MASTER'!#REF!)-1)))&amp;TRIM(MID(SUBSTITUTE(SUBSTITUTE(INDEX('CONTROL MASTER'!$N$2:$N$495,(SUMPRODUCT((('CONTROL MASTER'!$S$2:$S$495=1)*('CONTROL MASTER'!$Z$2:$Z$495&lt;=5)*('CONTROL MASTER'!$AB$2:$AB$495&gt;=5)*('CONTROL MASTER'!$AA$2:$AA$495&lt;=4)*('CONTROL MASTER'!$AC$2:$AC$495&gt;=4))*ROW('CONTROL MASTER'!$S$2:$S$495))-(ROW('CONTROL MASTER'!#REF!)-1))),":",","),",",REPT(" ",50)),(((INDEX('CONTROL MASTER'!$Y$2:$Y$495,(SUMPRODUCT((('CONTROL MASTER'!$S$2:$S$495=1)*('CONTROL MASTER'!$Z$2:$Z$495&lt;=5)*('CONTROL MASTER'!$AB$2:$AB$495&gt;=5)*('CONTROL MASTER'!$AA$2:$AA$495&lt;=4)*('CONTROL MASTER'!$AC$2:$AC$495&gt;=4))*ROW('CONTROL MASTER'!$S$2:$S$495))-(ROW('CONTROL MASTER'!#REF!)-1)))+((5-INDEX('CONTROL MASTER'!$Z$2:$Z$495,(SUMPRODUCT((('CONTROL MASTER'!$S$2:$S$495=1)*('CONTROL MASTER'!$Z$2:$Z$495&lt;=5)*('CONTROL MASTER'!$AB$2:$AB$495&gt;=5)*('CONTROL MASTER'!$AA$2:$AA$495&lt;=4)*('CONTROL MASTER'!$AC$2:$AC$495&gt;=4))*ROW('CONTROL MASTER'!$S$2:$S$495))-(ROW('CONTROL MASTER'!#REF!)-1))))*(INDEX('CONTROL MASTER'!$AC$2:$AC$495,(SUMPRODUCT((('CONTROL MASTER'!$S$2:$S$495=1)*('CONTROL MASTER'!$Z$2:$Z$495&lt;=5)*('CONTROL MASTER'!$AB$2:$AB$495&gt;=5)*('CONTROL MASTER'!$AA$2:$AA$495&lt;=4)*('CONTROL MASTER'!$AC$2:$AC$495&gt;=4))*ROW('CONTROL MASTER'!$S$2:$S$495))-(ROW('CONTROL MASTER'!#REF!)-1)))-INDEX('CONTROL MASTER'!$AA$2:$AA$495,(SUMPRODUCT((('CONTROL MASTER'!$S$2:$S$495=1)*('CONTROL MASTER'!$Z$2:$Z$495&lt;=5)*('CONTROL MASTER'!$AB$2:$AB$495&gt;=5)*('CONTROL MASTER'!$AA$2:$AA$495&lt;=4)*('CONTROL MASTER'!$AC$2:$AC$495&gt;=4))*ROW('CONTROL MASTER'!$S$2:$S$495))-(ROW('CONTROL MASTER'!#REF!)-1)))+1)+(4-INDEX('CONTROL MASTER'!$AA$2:$AA$495,(SUMPRODUCT((('CONTROL MASTER'!$S$2:$S$495=1)*('CONTROL MASTER'!$Z$2:$Z$495&lt;=5)*('CONTROL MASTER'!$AB$2:$AB$495&gt;=5)*('CONTROL MASTER'!$AA$2:$AA$495&lt;=4)*('CONTROL MASTER'!$AC$2:$AC$495&gt;=4))*ROW('CONTROL MASTER'!$S$2:$S$495))-(ROW('CONTROL MASTER'!#REF!)-1))))+1)))-1)*50+1,50))&amp;"_"&amp;INDEX('CONTROL MASTER'!$P$2:$P$495,(SUMPRODUCT((('CONTROL MASTER'!$S$2:$S$495=1)*('CONTROL MASTER'!$Z$2:$Z$495&lt;=5)*('CONTROL MASTER'!$AB$2:$AB$495&gt;=5)*('CONTROL MASTER'!$AA$2:$AA$495&lt;=4)*('CONTROL MASTER'!$AC$2:$AC$495&gt;=4))*ROW('CONTROL MASTER'!$S$2:$S$495))-(ROW('CONTROL MASTER'!#REF!)-1))),"")),"")</f>
        <v/>
      </c>
      <c r="F7" s="10" t="str">
        <f>IFERROR(IF(SUMPRODUCT((('CONTROL MASTER'!$S$2:$S$495=1)*('CONTROL MASTER'!$T$2:$T$495&lt;=5)*('CONTROL MASTER'!$V$2:$V$495&gt;=5)*('CONTROL MASTER'!$U$2:$U$495&lt;=5)*('CONTROL MASTER'!$W$2:$W$495&gt;=5))*ROW('CONTROL MASTER'!$S$2:$S$495))&gt;0,INDEX('CONTROL MASTER'!$X$2:$X$495,(SUMPRODUCT((('CONTROL MASTER'!$S$2:$S$495=1)*('CONTROL MASTER'!$T$2:$T$495&lt;=5)*('CONTROL MASTER'!$V$2:$V$495&gt;=5)*('CONTROL MASTER'!$U$2:$U$495&lt;=5)*('CONTROL MASTER'!$W$2:$W$495&gt;=5))*ROW('CONTROL MASTER'!$S$2:$S$495))-(ROW('CONTROL MASTER'!#REF!)-1)))&amp;TRIM(MID(SUBSTITUTE(SUBSTITUTE(INDEX('CONTROL MASTER'!$N$2:$N$495,(SUMPRODUCT((('CONTROL MASTER'!$S$2:$S$495=1)*('CONTROL MASTER'!$T$2:$T$495&lt;=5)*('CONTROL MASTER'!$V$2:$V$495&gt;=5)*('CONTROL MASTER'!$U$2:$U$495&lt;=5)*('CONTROL MASTER'!$W$2:$W$495&gt;=5))*ROW('CONTROL MASTER'!$S$2:$S$495))-(ROW('CONTROL MASTER'!#REF!)-1))),":",","),",",REPT(" ",50)),((((5-INDEX('CONTROL MASTER'!$T$2:$T$495,(SUMPRODUCT((('CONTROL MASTER'!$S$2:$S$495=1)*('CONTROL MASTER'!$T$2:$T$495&lt;=5)*('CONTROL MASTER'!$V$2:$V$495&gt;=5)*('CONTROL MASTER'!$U$2:$U$495&lt;=5)*('CONTROL MASTER'!$W$2:$W$495&gt;=5))*ROW('CONTROL MASTER'!$S$2:$S$495))-(ROW('CONTROL MASTER'!#REF!)-1))))*(INDEX('CONTROL MASTER'!$W$2:$W$495,(SUMPRODUCT((('CONTROL MASTER'!$S$2:$S$495=1)*('CONTROL MASTER'!$T$2:$T$495&lt;=5)*('CONTROL MASTER'!$V$2:$V$495&gt;=5)*('CONTROL MASTER'!$U$2:$U$495&lt;=5)*('CONTROL MASTER'!$W$2:$W$495&gt;=5))*ROW('CONTROL MASTER'!$S$2:$S$495))-(ROW('CONTROL MASTER'!#REF!)-1)))-INDEX('CONTROL MASTER'!$U$2:$U$495,(SUMPRODUCT((('CONTROL MASTER'!$S$2:$S$495=1)*('CONTROL MASTER'!$T$2:$T$495&lt;=5)*('CONTROL MASTER'!$V$2:$V$495&gt;=5)*('CONTROL MASTER'!$U$2:$U$495&lt;=5)*('CONTROL MASTER'!$W$2:$W$495&gt;=5))*ROW('CONTROL MASTER'!$S$2:$S$495))-(ROW('CONTROL MASTER'!#REF!)-1)))+1)+(5-INDEX('CONTROL MASTER'!$U$2:$U$495,(SUMPRODUCT((('CONTROL MASTER'!$S$2:$S$495=1)*('CONTROL MASTER'!$T$2:$T$495&lt;=5)*('CONTROL MASTER'!$V$2:$V$495&gt;=5)*('CONTROL MASTER'!$U$2:$U$495&lt;=5)*('CONTROL MASTER'!$W$2:$W$495&gt;=5))*ROW('CONTROL MASTER'!$S$2:$S$495))-(ROW('CONTROL MASTER'!#REF!)-1))))+1))-1)*50+1,50))&amp;"_"&amp;INDEX('CONTROL MASTER'!$P$2:$P$495,(SUMPRODUCT((('CONTROL MASTER'!$S$2:$S$495=1)*('CONTROL MASTER'!$T$2:$T$495&lt;=5)*('CONTROL MASTER'!$V$2:$V$495&gt;=5)*('CONTROL MASTER'!$U$2:$U$495&lt;=5)*('CONTROL MASTER'!$W$2:$W$495&gt;=5))*ROW('CONTROL MASTER'!$S$2:$S$495))-(ROW('CONTROL MASTER'!#REF!)-1))),IF(SUMPRODUCT((('CONTROL MASTER'!$S$2:$S$495=1)*('CONTROL MASTER'!$Z$2:$Z$495&lt;=5)*('CONTROL MASTER'!$AB$2:$AB$495&gt;=5)*('CONTROL MASTER'!$AA$2:$AA$495&lt;=5)*('CONTROL MASTER'!$AC$2:$AC$495&gt;=5))*ROW('CONTROL MASTER'!$S$2:$S$495))&gt;0,INDEX('CONTROL MASTER'!$X$2:$X$495,(SUMPRODUCT((('CONTROL MASTER'!$S$2:$S$495=1)*('CONTROL MASTER'!$Z$2:$Z$495&lt;=5)*('CONTROL MASTER'!$AB$2:$AB$495&gt;=5)*('CONTROL MASTER'!$AA$2:$AA$495&lt;=5)*('CONTROL MASTER'!$AC$2:$AC$495&gt;=5))*ROW('CONTROL MASTER'!$S$2:$S$495))-(ROW('CONTROL MASTER'!#REF!)-1)))&amp;TRIM(MID(SUBSTITUTE(SUBSTITUTE(INDEX('CONTROL MASTER'!$N$2:$N$495,(SUMPRODUCT((('CONTROL MASTER'!$S$2:$S$495=1)*('CONTROL MASTER'!$Z$2:$Z$495&lt;=5)*('CONTROL MASTER'!$AB$2:$AB$495&gt;=5)*('CONTROL MASTER'!$AA$2:$AA$495&lt;=5)*('CONTROL MASTER'!$AC$2:$AC$495&gt;=5))*ROW('CONTROL MASTER'!$S$2:$S$495))-(ROW('CONTROL MASTER'!#REF!)-1))),":",","),",",REPT(" ",50)),(((INDEX('CONTROL MASTER'!$Y$2:$Y$495,(SUMPRODUCT((('CONTROL MASTER'!$S$2:$S$495=1)*('CONTROL MASTER'!$Z$2:$Z$495&lt;=5)*('CONTROL MASTER'!$AB$2:$AB$495&gt;=5)*('CONTROL MASTER'!$AA$2:$AA$495&lt;=5)*('CONTROL MASTER'!$AC$2:$AC$495&gt;=5))*ROW('CONTROL MASTER'!$S$2:$S$495))-(ROW('CONTROL MASTER'!#REF!)-1)))+((5-INDEX('CONTROL MASTER'!$Z$2:$Z$495,(SUMPRODUCT((('CONTROL MASTER'!$S$2:$S$495=1)*('CONTROL MASTER'!$Z$2:$Z$495&lt;=5)*('CONTROL MASTER'!$AB$2:$AB$495&gt;=5)*('CONTROL MASTER'!$AA$2:$AA$495&lt;=5)*('CONTROL MASTER'!$AC$2:$AC$495&gt;=5))*ROW('CONTROL MASTER'!$S$2:$S$495))-(ROW('CONTROL MASTER'!#REF!)-1))))*(INDEX('CONTROL MASTER'!$AC$2:$AC$495,(SUMPRODUCT((('CONTROL MASTER'!$S$2:$S$495=1)*('CONTROL MASTER'!$Z$2:$Z$495&lt;=5)*('CONTROL MASTER'!$AB$2:$AB$495&gt;=5)*('CONTROL MASTER'!$AA$2:$AA$495&lt;=5)*('CONTROL MASTER'!$AC$2:$AC$495&gt;=5))*ROW('CONTROL MASTER'!$S$2:$S$495))-(ROW('CONTROL MASTER'!#REF!)-1)))-INDEX('CONTROL MASTER'!$AA$2:$AA$495,(SUMPRODUCT((('CONTROL MASTER'!$S$2:$S$495=1)*('CONTROL MASTER'!$Z$2:$Z$495&lt;=5)*('CONTROL MASTER'!$AB$2:$AB$495&gt;=5)*('CONTROL MASTER'!$AA$2:$AA$495&lt;=5)*('CONTROL MASTER'!$AC$2:$AC$495&gt;=5))*ROW('CONTROL MASTER'!$S$2:$S$495))-(ROW('CONTROL MASTER'!#REF!)-1)))+1)+(5-INDEX('CONTROL MASTER'!$AA$2:$AA$495,(SUMPRODUCT((('CONTROL MASTER'!$S$2:$S$495=1)*('CONTROL MASTER'!$Z$2:$Z$495&lt;=5)*('CONTROL MASTER'!$AB$2:$AB$495&gt;=5)*('CONTROL MASTER'!$AA$2:$AA$495&lt;=5)*('CONTROL MASTER'!$AC$2:$AC$495&gt;=5))*ROW('CONTROL MASTER'!$S$2:$S$495))-(ROW('CONTROL MASTER'!#REF!)-1))))+1)))-1)*50+1,50))&amp;"_"&amp;INDEX('CONTROL MASTER'!$P$2:$P$495,(SUMPRODUCT((('CONTROL MASTER'!$S$2:$S$495=1)*('CONTROL MASTER'!$Z$2:$Z$495&lt;=5)*('CONTROL MASTER'!$AB$2:$AB$495&gt;=5)*('CONTROL MASTER'!$AA$2:$AA$495&lt;=5)*('CONTROL MASTER'!$AC$2:$AC$495&gt;=5))*ROW('CONTROL MASTER'!$S$2:$S$495))-(ROW('CONTROL MASTER'!#REF!)-1))),"")),"")</f>
        <v/>
      </c>
      <c r="G7" s="10" t="str">
        <f>IFERROR(IF(SUMPRODUCT((('CONTROL MASTER'!$S$2:$S$495=1)*('CONTROL MASTER'!$T$2:$T$495&lt;=5)*('CONTROL MASTER'!$V$2:$V$495&gt;=5)*('CONTROL MASTER'!$U$2:$U$495&lt;=6)*('CONTROL MASTER'!$W$2:$W$495&gt;=6))*ROW('CONTROL MASTER'!$S$2:$S$495))&gt;0,INDEX('CONTROL MASTER'!$X$2:$X$495,(SUMPRODUCT((('CONTROL MASTER'!$S$2:$S$495=1)*('CONTROL MASTER'!$T$2:$T$495&lt;=5)*('CONTROL MASTER'!$V$2:$V$495&gt;=5)*('CONTROL MASTER'!$U$2:$U$495&lt;=6)*('CONTROL MASTER'!$W$2:$W$495&gt;=6))*ROW('CONTROL MASTER'!$S$2:$S$495))-(ROW('CONTROL MASTER'!#REF!)-1)))&amp;TRIM(MID(SUBSTITUTE(SUBSTITUTE(INDEX('CONTROL MASTER'!$N$2:$N$495,(SUMPRODUCT((('CONTROL MASTER'!$S$2:$S$495=1)*('CONTROL MASTER'!$T$2:$T$495&lt;=5)*('CONTROL MASTER'!$V$2:$V$495&gt;=5)*('CONTROL MASTER'!$U$2:$U$495&lt;=6)*('CONTROL MASTER'!$W$2:$W$495&gt;=6))*ROW('CONTROL MASTER'!$S$2:$S$495))-(ROW('CONTROL MASTER'!#REF!)-1))),":",","),",",REPT(" ",50)),((((5-INDEX('CONTROL MASTER'!$T$2:$T$495,(SUMPRODUCT((('CONTROL MASTER'!$S$2:$S$495=1)*('CONTROL MASTER'!$T$2:$T$495&lt;=5)*('CONTROL MASTER'!$V$2:$V$495&gt;=5)*('CONTROL MASTER'!$U$2:$U$495&lt;=6)*('CONTROL MASTER'!$W$2:$W$495&gt;=6))*ROW('CONTROL MASTER'!$S$2:$S$495))-(ROW('CONTROL MASTER'!#REF!)-1))))*(INDEX('CONTROL MASTER'!$W$2:$W$495,(SUMPRODUCT((('CONTROL MASTER'!$S$2:$S$495=1)*('CONTROL MASTER'!$T$2:$T$495&lt;=5)*('CONTROL MASTER'!$V$2:$V$495&gt;=5)*('CONTROL MASTER'!$U$2:$U$495&lt;=6)*('CONTROL MASTER'!$W$2:$W$495&gt;=6))*ROW('CONTROL MASTER'!$S$2:$S$495))-(ROW('CONTROL MASTER'!#REF!)-1)))-INDEX('CONTROL MASTER'!$U$2:$U$495,(SUMPRODUCT((('CONTROL MASTER'!$S$2:$S$495=1)*('CONTROL MASTER'!$T$2:$T$495&lt;=5)*('CONTROL MASTER'!$V$2:$V$495&gt;=5)*('CONTROL MASTER'!$U$2:$U$495&lt;=6)*('CONTROL MASTER'!$W$2:$W$495&gt;=6))*ROW('CONTROL MASTER'!$S$2:$S$495))-(ROW('CONTROL MASTER'!#REF!)-1)))+1)+(6-INDEX('CONTROL MASTER'!$U$2:$U$495,(SUMPRODUCT((('CONTROL MASTER'!$S$2:$S$495=1)*('CONTROL MASTER'!$T$2:$T$495&lt;=5)*('CONTROL MASTER'!$V$2:$V$495&gt;=5)*('CONTROL MASTER'!$U$2:$U$495&lt;=6)*('CONTROL MASTER'!$W$2:$W$495&gt;=6))*ROW('CONTROL MASTER'!$S$2:$S$495))-(ROW('CONTROL MASTER'!#REF!)-1))))+1))-1)*50+1,50))&amp;"_"&amp;INDEX('CONTROL MASTER'!$P$2:$P$495,(SUMPRODUCT((('CONTROL MASTER'!$S$2:$S$495=1)*('CONTROL MASTER'!$T$2:$T$495&lt;=5)*('CONTROL MASTER'!$V$2:$V$495&gt;=5)*('CONTROL MASTER'!$U$2:$U$495&lt;=6)*('CONTROL MASTER'!$W$2:$W$495&gt;=6))*ROW('CONTROL MASTER'!$S$2:$S$495))-(ROW('CONTROL MASTER'!#REF!)-1))),IF(SUMPRODUCT((('CONTROL MASTER'!$S$2:$S$495=1)*('CONTROL MASTER'!$Z$2:$Z$495&lt;=5)*('CONTROL MASTER'!$AB$2:$AB$495&gt;=5)*('CONTROL MASTER'!$AA$2:$AA$495&lt;=6)*('CONTROL MASTER'!$AC$2:$AC$495&gt;=6))*ROW('CONTROL MASTER'!$S$2:$S$495))&gt;0,INDEX('CONTROL MASTER'!$X$2:$X$495,(SUMPRODUCT((('CONTROL MASTER'!$S$2:$S$495=1)*('CONTROL MASTER'!$Z$2:$Z$495&lt;=5)*('CONTROL MASTER'!$AB$2:$AB$495&gt;=5)*('CONTROL MASTER'!$AA$2:$AA$495&lt;=6)*('CONTROL MASTER'!$AC$2:$AC$495&gt;=6))*ROW('CONTROL MASTER'!$S$2:$S$495))-(ROW('CONTROL MASTER'!#REF!)-1)))&amp;TRIM(MID(SUBSTITUTE(SUBSTITUTE(INDEX('CONTROL MASTER'!$N$2:$N$495,(SUMPRODUCT((('CONTROL MASTER'!$S$2:$S$495=1)*('CONTROL MASTER'!$Z$2:$Z$495&lt;=5)*('CONTROL MASTER'!$AB$2:$AB$495&gt;=5)*('CONTROL MASTER'!$AA$2:$AA$495&lt;=6)*('CONTROL MASTER'!$AC$2:$AC$495&gt;=6))*ROW('CONTROL MASTER'!$S$2:$S$495))-(ROW('CONTROL MASTER'!#REF!)-1))),":",","),",",REPT(" ",50)),(((INDEX('CONTROL MASTER'!$Y$2:$Y$495,(SUMPRODUCT((('CONTROL MASTER'!$S$2:$S$495=1)*('CONTROL MASTER'!$Z$2:$Z$495&lt;=5)*('CONTROL MASTER'!$AB$2:$AB$495&gt;=5)*('CONTROL MASTER'!$AA$2:$AA$495&lt;=6)*('CONTROL MASTER'!$AC$2:$AC$495&gt;=6))*ROW('CONTROL MASTER'!$S$2:$S$495))-(ROW('CONTROL MASTER'!#REF!)-1)))+((5-INDEX('CONTROL MASTER'!$Z$2:$Z$495,(SUMPRODUCT((('CONTROL MASTER'!$S$2:$S$495=1)*('CONTROL MASTER'!$Z$2:$Z$495&lt;=5)*('CONTROL MASTER'!$AB$2:$AB$495&gt;=5)*('CONTROL MASTER'!$AA$2:$AA$495&lt;=6)*('CONTROL MASTER'!$AC$2:$AC$495&gt;=6))*ROW('CONTROL MASTER'!$S$2:$S$495))-(ROW('CONTROL MASTER'!#REF!)-1))))*(INDEX('CONTROL MASTER'!$AC$2:$AC$495,(SUMPRODUCT((('CONTROL MASTER'!$S$2:$S$495=1)*('CONTROL MASTER'!$Z$2:$Z$495&lt;=5)*('CONTROL MASTER'!$AB$2:$AB$495&gt;=5)*('CONTROL MASTER'!$AA$2:$AA$495&lt;=6)*('CONTROL MASTER'!$AC$2:$AC$495&gt;=6))*ROW('CONTROL MASTER'!$S$2:$S$495))-(ROW('CONTROL MASTER'!#REF!)-1)))-INDEX('CONTROL MASTER'!$AA$2:$AA$495,(SUMPRODUCT((('CONTROL MASTER'!$S$2:$S$495=1)*('CONTROL MASTER'!$Z$2:$Z$495&lt;=5)*('CONTROL MASTER'!$AB$2:$AB$495&gt;=5)*('CONTROL MASTER'!$AA$2:$AA$495&lt;=6)*('CONTROL MASTER'!$AC$2:$AC$495&gt;=6))*ROW('CONTROL MASTER'!$S$2:$S$495))-(ROW('CONTROL MASTER'!#REF!)-1)))+1)+(6-INDEX('CONTROL MASTER'!$AA$2:$AA$495,(SUMPRODUCT((('CONTROL MASTER'!$S$2:$S$495=1)*('CONTROL MASTER'!$Z$2:$Z$495&lt;=5)*('CONTROL MASTER'!$AB$2:$AB$495&gt;=5)*('CONTROL MASTER'!$AA$2:$AA$495&lt;=6)*('CONTROL MASTER'!$AC$2:$AC$495&gt;=6))*ROW('CONTROL MASTER'!$S$2:$S$495))-(ROW('CONTROL MASTER'!#REF!)-1))))+1)))-1)*50+1,50))&amp;"_"&amp;INDEX('CONTROL MASTER'!$P$2:$P$495,(SUMPRODUCT((('CONTROL MASTER'!$S$2:$S$495=1)*('CONTROL MASTER'!$Z$2:$Z$495&lt;=5)*('CONTROL MASTER'!$AB$2:$AB$495&gt;=5)*('CONTROL MASTER'!$AA$2:$AA$495&lt;=6)*('CONTROL MASTER'!$AC$2:$AC$495&gt;=6))*ROW('CONTROL MASTER'!$S$2:$S$495))-(ROW('CONTROL MASTER'!#REF!)-1))),"")),"")</f>
        <v/>
      </c>
      <c r="H7" s="10" t="str">
        <f>IFERROR(IF(SUMPRODUCT((('CONTROL MASTER'!$S$2:$S$495=1)*('CONTROL MASTER'!$T$2:$T$495&lt;=5)*('CONTROL MASTER'!$V$2:$V$495&gt;=5)*('CONTROL MASTER'!$U$2:$U$495&lt;=7)*('CONTROL MASTER'!$W$2:$W$495&gt;=7))*ROW('CONTROL MASTER'!$S$2:$S$495))&gt;0,INDEX('CONTROL MASTER'!$X$2:$X$495,(SUMPRODUCT((('CONTROL MASTER'!$S$2:$S$495=1)*('CONTROL MASTER'!$T$2:$T$495&lt;=5)*('CONTROL MASTER'!$V$2:$V$495&gt;=5)*('CONTROL MASTER'!$U$2:$U$495&lt;=7)*('CONTROL MASTER'!$W$2:$W$495&gt;=7))*ROW('CONTROL MASTER'!$S$2:$S$495))-(ROW('CONTROL MASTER'!#REF!)-1)))&amp;TRIM(MID(SUBSTITUTE(SUBSTITUTE(INDEX('CONTROL MASTER'!$N$2:$N$495,(SUMPRODUCT((('CONTROL MASTER'!$S$2:$S$495=1)*('CONTROL MASTER'!$T$2:$T$495&lt;=5)*('CONTROL MASTER'!$V$2:$V$495&gt;=5)*('CONTROL MASTER'!$U$2:$U$495&lt;=7)*('CONTROL MASTER'!$W$2:$W$495&gt;=7))*ROW('CONTROL MASTER'!$S$2:$S$495))-(ROW('CONTROL MASTER'!#REF!)-1))),":",","),",",REPT(" ",50)),((((5-INDEX('CONTROL MASTER'!$T$2:$T$495,(SUMPRODUCT((('CONTROL MASTER'!$S$2:$S$495=1)*('CONTROL MASTER'!$T$2:$T$495&lt;=5)*('CONTROL MASTER'!$V$2:$V$495&gt;=5)*('CONTROL MASTER'!$U$2:$U$495&lt;=7)*('CONTROL MASTER'!$W$2:$W$495&gt;=7))*ROW('CONTROL MASTER'!$S$2:$S$495))-(ROW('CONTROL MASTER'!#REF!)-1))))*(INDEX('CONTROL MASTER'!$W$2:$W$495,(SUMPRODUCT((('CONTROL MASTER'!$S$2:$S$495=1)*('CONTROL MASTER'!$T$2:$T$495&lt;=5)*('CONTROL MASTER'!$V$2:$V$495&gt;=5)*('CONTROL MASTER'!$U$2:$U$495&lt;=7)*('CONTROL MASTER'!$W$2:$W$495&gt;=7))*ROW('CONTROL MASTER'!$S$2:$S$495))-(ROW('CONTROL MASTER'!#REF!)-1)))-INDEX('CONTROL MASTER'!$U$2:$U$495,(SUMPRODUCT((('CONTROL MASTER'!$S$2:$S$495=1)*('CONTROL MASTER'!$T$2:$T$495&lt;=5)*('CONTROL MASTER'!$V$2:$V$495&gt;=5)*('CONTROL MASTER'!$U$2:$U$495&lt;=7)*('CONTROL MASTER'!$W$2:$W$495&gt;=7))*ROW('CONTROL MASTER'!$S$2:$S$495))-(ROW('CONTROL MASTER'!#REF!)-1)))+1)+(7-INDEX('CONTROL MASTER'!$U$2:$U$495,(SUMPRODUCT((('CONTROL MASTER'!$S$2:$S$495=1)*('CONTROL MASTER'!$T$2:$T$495&lt;=5)*('CONTROL MASTER'!$V$2:$V$495&gt;=5)*('CONTROL MASTER'!$U$2:$U$495&lt;=7)*('CONTROL MASTER'!$W$2:$W$495&gt;=7))*ROW('CONTROL MASTER'!$S$2:$S$495))-(ROW('CONTROL MASTER'!#REF!)-1))))+1))-1)*50+1,50))&amp;"_"&amp;INDEX('CONTROL MASTER'!$P$2:$P$495,(SUMPRODUCT((('CONTROL MASTER'!$S$2:$S$495=1)*('CONTROL MASTER'!$T$2:$T$495&lt;=5)*('CONTROL MASTER'!$V$2:$V$495&gt;=5)*('CONTROL MASTER'!$U$2:$U$495&lt;=7)*('CONTROL MASTER'!$W$2:$W$495&gt;=7))*ROW('CONTROL MASTER'!$S$2:$S$495))-(ROW('CONTROL MASTER'!#REF!)-1))),IF(SUMPRODUCT((('CONTROL MASTER'!$S$2:$S$495=1)*('CONTROL MASTER'!$Z$2:$Z$495&lt;=5)*('CONTROL MASTER'!$AB$2:$AB$495&gt;=5)*('CONTROL MASTER'!$AA$2:$AA$495&lt;=7)*('CONTROL MASTER'!$AC$2:$AC$495&gt;=7))*ROW('CONTROL MASTER'!$S$2:$S$495))&gt;0,INDEX('CONTROL MASTER'!$X$2:$X$495,(SUMPRODUCT((('CONTROL MASTER'!$S$2:$S$495=1)*('CONTROL MASTER'!$Z$2:$Z$495&lt;=5)*('CONTROL MASTER'!$AB$2:$AB$495&gt;=5)*('CONTROL MASTER'!$AA$2:$AA$495&lt;=7)*('CONTROL MASTER'!$AC$2:$AC$495&gt;=7))*ROW('CONTROL MASTER'!$S$2:$S$495))-(ROW('CONTROL MASTER'!#REF!)-1)))&amp;TRIM(MID(SUBSTITUTE(SUBSTITUTE(INDEX('CONTROL MASTER'!$N$2:$N$495,(SUMPRODUCT((('CONTROL MASTER'!$S$2:$S$495=1)*('CONTROL MASTER'!$Z$2:$Z$495&lt;=5)*('CONTROL MASTER'!$AB$2:$AB$495&gt;=5)*('CONTROL MASTER'!$AA$2:$AA$495&lt;=7)*('CONTROL MASTER'!$AC$2:$AC$495&gt;=7))*ROW('CONTROL MASTER'!$S$2:$S$495))-(ROW('CONTROL MASTER'!#REF!)-1))),":",","),",",REPT(" ",50)),(((INDEX('CONTROL MASTER'!$Y$2:$Y$495,(SUMPRODUCT((('CONTROL MASTER'!$S$2:$S$495=1)*('CONTROL MASTER'!$Z$2:$Z$495&lt;=5)*('CONTROL MASTER'!$AB$2:$AB$495&gt;=5)*('CONTROL MASTER'!$AA$2:$AA$495&lt;=7)*('CONTROL MASTER'!$AC$2:$AC$495&gt;=7))*ROW('CONTROL MASTER'!$S$2:$S$495))-(ROW('CONTROL MASTER'!#REF!)-1)))+((5-INDEX('CONTROL MASTER'!$Z$2:$Z$495,(SUMPRODUCT((('CONTROL MASTER'!$S$2:$S$495=1)*('CONTROL MASTER'!$Z$2:$Z$495&lt;=5)*('CONTROL MASTER'!$AB$2:$AB$495&gt;=5)*('CONTROL MASTER'!$AA$2:$AA$495&lt;=7)*('CONTROL MASTER'!$AC$2:$AC$495&gt;=7))*ROW('CONTROL MASTER'!$S$2:$S$495))-(ROW('CONTROL MASTER'!#REF!)-1))))*(INDEX('CONTROL MASTER'!$AC$2:$AC$495,(SUMPRODUCT((('CONTROL MASTER'!$S$2:$S$495=1)*('CONTROL MASTER'!$Z$2:$Z$495&lt;=5)*('CONTROL MASTER'!$AB$2:$AB$495&gt;=5)*('CONTROL MASTER'!$AA$2:$AA$495&lt;=7)*('CONTROL MASTER'!$AC$2:$AC$495&gt;=7))*ROW('CONTROL MASTER'!$S$2:$S$495))-(ROW('CONTROL MASTER'!#REF!)-1)))-INDEX('CONTROL MASTER'!$AA$2:$AA$495,(SUMPRODUCT((('CONTROL MASTER'!$S$2:$S$495=1)*('CONTROL MASTER'!$Z$2:$Z$495&lt;=5)*('CONTROL MASTER'!$AB$2:$AB$495&gt;=5)*('CONTROL MASTER'!$AA$2:$AA$495&lt;=7)*('CONTROL MASTER'!$AC$2:$AC$495&gt;=7))*ROW('CONTROL MASTER'!$S$2:$S$495))-(ROW('CONTROL MASTER'!#REF!)-1)))+1)+(7-INDEX('CONTROL MASTER'!$AA$2:$AA$495,(SUMPRODUCT((('CONTROL MASTER'!$S$2:$S$495=1)*('CONTROL MASTER'!$Z$2:$Z$495&lt;=5)*('CONTROL MASTER'!$AB$2:$AB$495&gt;=5)*('CONTROL MASTER'!$AA$2:$AA$495&lt;=7)*('CONTROL MASTER'!$AC$2:$AC$495&gt;=7))*ROW('CONTROL MASTER'!$S$2:$S$495))-(ROW('CONTROL MASTER'!#REF!)-1))))+1)))-1)*50+1,50))&amp;"_"&amp;INDEX('CONTROL MASTER'!$P$2:$P$495,(SUMPRODUCT((('CONTROL MASTER'!$S$2:$S$495=1)*('CONTROL MASTER'!$Z$2:$Z$495&lt;=5)*('CONTROL MASTER'!$AB$2:$AB$495&gt;=5)*('CONTROL MASTER'!$AA$2:$AA$495&lt;=7)*('CONTROL MASTER'!$AC$2:$AC$495&gt;=7))*ROW('CONTROL MASTER'!$S$2:$S$495))-(ROW('CONTROL MASTER'!#REF!)-1))),"")),"")</f>
        <v/>
      </c>
      <c r="I7" s="10" t="str">
        <f>IFERROR(IF(SUMPRODUCT((('CONTROL MASTER'!$S$2:$S$495=1)*('CONTROL MASTER'!$T$2:$T$495&lt;=5)*('CONTROL MASTER'!$V$2:$V$495&gt;=5)*('CONTROL MASTER'!$U$2:$U$495&lt;=8)*('CONTROL MASTER'!$W$2:$W$495&gt;=8))*ROW('CONTROL MASTER'!$S$2:$S$495))&gt;0,INDEX('CONTROL MASTER'!$X$2:$X$495,(SUMPRODUCT((('CONTROL MASTER'!$S$2:$S$495=1)*('CONTROL MASTER'!$T$2:$T$495&lt;=5)*('CONTROL MASTER'!$V$2:$V$495&gt;=5)*('CONTROL MASTER'!$U$2:$U$495&lt;=8)*('CONTROL MASTER'!$W$2:$W$495&gt;=8))*ROW('CONTROL MASTER'!$S$2:$S$495))-(ROW('CONTROL MASTER'!#REF!)-1)))&amp;TRIM(MID(SUBSTITUTE(SUBSTITUTE(INDEX('CONTROL MASTER'!$N$2:$N$495,(SUMPRODUCT((('CONTROL MASTER'!$S$2:$S$495=1)*('CONTROL MASTER'!$T$2:$T$495&lt;=5)*('CONTROL MASTER'!$V$2:$V$495&gt;=5)*('CONTROL MASTER'!$U$2:$U$495&lt;=8)*('CONTROL MASTER'!$W$2:$W$495&gt;=8))*ROW('CONTROL MASTER'!$S$2:$S$495))-(ROW('CONTROL MASTER'!#REF!)-1))),":",","),",",REPT(" ",50)),((((5-INDEX('CONTROL MASTER'!$T$2:$T$495,(SUMPRODUCT((('CONTROL MASTER'!$S$2:$S$495=1)*('CONTROL MASTER'!$T$2:$T$495&lt;=5)*('CONTROL MASTER'!$V$2:$V$495&gt;=5)*('CONTROL MASTER'!$U$2:$U$495&lt;=8)*('CONTROL MASTER'!$W$2:$W$495&gt;=8))*ROW('CONTROL MASTER'!$S$2:$S$495))-(ROW('CONTROL MASTER'!#REF!)-1))))*(INDEX('CONTROL MASTER'!$W$2:$W$495,(SUMPRODUCT((('CONTROL MASTER'!$S$2:$S$495=1)*('CONTROL MASTER'!$T$2:$T$495&lt;=5)*('CONTROL MASTER'!$V$2:$V$495&gt;=5)*('CONTROL MASTER'!$U$2:$U$495&lt;=8)*('CONTROL MASTER'!$W$2:$W$495&gt;=8))*ROW('CONTROL MASTER'!$S$2:$S$495))-(ROW('CONTROL MASTER'!#REF!)-1)))-INDEX('CONTROL MASTER'!$U$2:$U$495,(SUMPRODUCT((('CONTROL MASTER'!$S$2:$S$495=1)*('CONTROL MASTER'!$T$2:$T$495&lt;=5)*('CONTROL MASTER'!$V$2:$V$495&gt;=5)*('CONTROL MASTER'!$U$2:$U$495&lt;=8)*('CONTROL MASTER'!$W$2:$W$495&gt;=8))*ROW('CONTROL MASTER'!$S$2:$S$495))-(ROW('CONTROL MASTER'!#REF!)-1)))+1)+(8-INDEX('CONTROL MASTER'!$U$2:$U$495,(SUMPRODUCT((('CONTROL MASTER'!$S$2:$S$495=1)*('CONTROL MASTER'!$T$2:$T$495&lt;=5)*('CONTROL MASTER'!$V$2:$V$495&gt;=5)*('CONTROL MASTER'!$U$2:$U$495&lt;=8)*('CONTROL MASTER'!$W$2:$W$495&gt;=8))*ROW('CONTROL MASTER'!$S$2:$S$495))-(ROW('CONTROL MASTER'!#REF!)-1))))+1))-1)*50+1,50))&amp;"_"&amp;INDEX('CONTROL MASTER'!$P$2:$P$495,(SUMPRODUCT((('CONTROL MASTER'!$S$2:$S$495=1)*('CONTROL MASTER'!$T$2:$T$495&lt;=5)*('CONTROL MASTER'!$V$2:$V$495&gt;=5)*('CONTROL MASTER'!$U$2:$U$495&lt;=8)*('CONTROL MASTER'!$W$2:$W$495&gt;=8))*ROW('CONTROL MASTER'!$S$2:$S$495))-(ROW('CONTROL MASTER'!#REF!)-1))),IF(SUMPRODUCT((('CONTROL MASTER'!$S$2:$S$495=1)*('CONTROL MASTER'!$Z$2:$Z$495&lt;=5)*('CONTROL MASTER'!$AB$2:$AB$495&gt;=5)*('CONTROL MASTER'!$AA$2:$AA$495&lt;=8)*('CONTROL MASTER'!$AC$2:$AC$495&gt;=8))*ROW('CONTROL MASTER'!$S$2:$S$495))&gt;0,INDEX('CONTROL MASTER'!$X$2:$X$495,(SUMPRODUCT((('CONTROL MASTER'!$S$2:$S$495=1)*('CONTROL MASTER'!$Z$2:$Z$495&lt;=5)*('CONTROL MASTER'!$AB$2:$AB$495&gt;=5)*('CONTROL MASTER'!$AA$2:$AA$495&lt;=8)*('CONTROL MASTER'!$AC$2:$AC$495&gt;=8))*ROW('CONTROL MASTER'!$S$2:$S$495))-(ROW('CONTROL MASTER'!#REF!)-1)))&amp;TRIM(MID(SUBSTITUTE(SUBSTITUTE(INDEX('CONTROL MASTER'!$N$2:$N$495,(SUMPRODUCT((('CONTROL MASTER'!$S$2:$S$495=1)*('CONTROL MASTER'!$Z$2:$Z$495&lt;=5)*('CONTROL MASTER'!$AB$2:$AB$495&gt;=5)*('CONTROL MASTER'!$AA$2:$AA$495&lt;=8)*('CONTROL MASTER'!$AC$2:$AC$495&gt;=8))*ROW('CONTROL MASTER'!$S$2:$S$495))-(ROW('CONTROL MASTER'!#REF!)-1))),":",","),",",REPT(" ",50)),(((INDEX('CONTROL MASTER'!$Y$2:$Y$495,(SUMPRODUCT((('CONTROL MASTER'!$S$2:$S$495=1)*('CONTROL MASTER'!$Z$2:$Z$495&lt;=5)*('CONTROL MASTER'!$AB$2:$AB$495&gt;=5)*('CONTROL MASTER'!$AA$2:$AA$495&lt;=8)*('CONTROL MASTER'!$AC$2:$AC$495&gt;=8))*ROW('CONTROL MASTER'!$S$2:$S$495))-(ROW('CONTROL MASTER'!#REF!)-1)))+((5-INDEX('CONTROL MASTER'!$Z$2:$Z$495,(SUMPRODUCT((('CONTROL MASTER'!$S$2:$S$495=1)*('CONTROL MASTER'!$Z$2:$Z$495&lt;=5)*('CONTROL MASTER'!$AB$2:$AB$495&gt;=5)*('CONTROL MASTER'!$AA$2:$AA$495&lt;=8)*('CONTROL MASTER'!$AC$2:$AC$495&gt;=8))*ROW('CONTROL MASTER'!$S$2:$S$495))-(ROW('CONTROL MASTER'!#REF!)-1))))*(INDEX('CONTROL MASTER'!$AC$2:$AC$495,(SUMPRODUCT((('CONTROL MASTER'!$S$2:$S$495=1)*('CONTROL MASTER'!$Z$2:$Z$495&lt;=5)*('CONTROL MASTER'!$AB$2:$AB$495&gt;=5)*('CONTROL MASTER'!$AA$2:$AA$495&lt;=8)*('CONTROL MASTER'!$AC$2:$AC$495&gt;=8))*ROW('CONTROL MASTER'!$S$2:$S$495))-(ROW('CONTROL MASTER'!#REF!)-1)))-INDEX('CONTROL MASTER'!$AA$2:$AA$495,(SUMPRODUCT((('CONTROL MASTER'!$S$2:$S$495=1)*('CONTROL MASTER'!$Z$2:$Z$495&lt;=5)*('CONTROL MASTER'!$AB$2:$AB$495&gt;=5)*('CONTROL MASTER'!$AA$2:$AA$495&lt;=8)*('CONTROL MASTER'!$AC$2:$AC$495&gt;=8))*ROW('CONTROL MASTER'!$S$2:$S$495))-(ROW('CONTROL MASTER'!#REF!)-1)))+1)+(8-INDEX('CONTROL MASTER'!$AA$2:$AA$495,(SUMPRODUCT((('CONTROL MASTER'!$S$2:$S$495=1)*('CONTROL MASTER'!$Z$2:$Z$495&lt;=5)*('CONTROL MASTER'!$AB$2:$AB$495&gt;=5)*('CONTROL MASTER'!$AA$2:$AA$495&lt;=8)*('CONTROL MASTER'!$AC$2:$AC$495&gt;=8))*ROW('CONTROL MASTER'!$S$2:$S$495))-(ROW('CONTROL MASTER'!#REF!)-1))))+1)))-1)*50+1,50))&amp;"_"&amp;INDEX('CONTROL MASTER'!$P$2:$P$495,(SUMPRODUCT((('CONTROL MASTER'!$S$2:$S$495=1)*('CONTROL MASTER'!$Z$2:$Z$495&lt;=5)*('CONTROL MASTER'!$AB$2:$AB$495&gt;=5)*('CONTROL MASTER'!$AA$2:$AA$495&lt;=8)*('CONTROL MASTER'!$AC$2:$AC$495&gt;=8))*ROW('CONTROL MASTER'!$S$2:$S$495))-(ROW('CONTROL MASTER'!#REF!)-1))),"")),"")</f>
        <v/>
      </c>
      <c r="J7" s="10" t="str">
        <f>IFERROR(IF(SUMPRODUCT((('CONTROL MASTER'!$S$2:$S$495=1)*('CONTROL MASTER'!$T$2:$T$495&lt;=5)*('CONTROL MASTER'!$V$2:$V$495&gt;=5)*('CONTROL MASTER'!$U$2:$U$495&lt;=9)*('CONTROL MASTER'!$W$2:$W$495&gt;=9))*ROW('CONTROL MASTER'!$S$2:$S$495))&gt;0,INDEX('CONTROL MASTER'!$X$2:$X$495,(SUMPRODUCT((('CONTROL MASTER'!$S$2:$S$495=1)*('CONTROL MASTER'!$T$2:$T$495&lt;=5)*('CONTROL MASTER'!$V$2:$V$495&gt;=5)*('CONTROL MASTER'!$U$2:$U$495&lt;=9)*('CONTROL MASTER'!$W$2:$W$495&gt;=9))*ROW('CONTROL MASTER'!$S$2:$S$495))-(ROW('CONTROL MASTER'!#REF!)-1)))&amp;TRIM(MID(SUBSTITUTE(SUBSTITUTE(INDEX('CONTROL MASTER'!$N$2:$N$495,(SUMPRODUCT((('CONTROL MASTER'!$S$2:$S$495=1)*('CONTROL MASTER'!$T$2:$T$495&lt;=5)*('CONTROL MASTER'!$V$2:$V$495&gt;=5)*('CONTROL MASTER'!$U$2:$U$495&lt;=9)*('CONTROL MASTER'!$W$2:$W$495&gt;=9))*ROW('CONTROL MASTER'!$S$2:$S$495))-(ROW('CONTROL MASTER'!#REF!)-1))),":",","),",",REPT(" ",50)),((((5-INDEX('CONTROL MASTER'!$T$2:$T$495,(SUMPRODUCT((('CONTROL MASTER'!$S$2:$S$495=1)*('CONTROL MASTER'!$T$2:$T$495&lt;=5)*('CONTROL MASTER'!$V$2:$V$495&gt;=5)*('CONTROL MASTER'!$U$2:$U$495&lt;=9)*('CONTROL MASTER'!$W$2:$W$495&gt;=9))*ROW('CONTROL MASTER'!$S$2:$S$495))-(ROW('CONTROL MASTER'!#REF!)-1))))*(INDEX('CONTROL MASTER'!$W$2:$W$495,(SUMPRODUCT((('CONTROL MASTER'!$S$2:$S$495=1)*('CONTROL MASTER'!$T$2:$T$495&lt;=5)*('CONTROL MASTER'!$V$2:$V$495&gt;=5)*('CONTROL MASTER'!$U$2:$U$495&lt;=9)*('CONTROL MASTER'!$W$2:$W$495&gt;=9))*ROW('CONTROL MASTER'!$S$2:$S$495))-(ROW('CONTROL MASTER'!#REF!)-1)))-INDEX('CONTROL MASTER'!$U$2:$U$495,(SUMPRODUCT((('CONTROL MASTER'!$S$2:$S$495=1)*('CONTROL MASTER'!$T$2:$T$495&lt;=5)*('CONTROL MASTER'!$V$2:$V$495&gt;=5)*('CONTROL MASTER'!$U$2:$U$495&lt;=9)*('CONTROL MASTER'!$W$2:$W$495&gt;=9))*ROW('CONTROL MASTER'!$S$2:$S$495))-(ROW('CONTROL MASTER'!#REF!)-1)))+1)+(9-INDEX('CONTROL MASTER'!$U$2:$U$495,(SUMPRODUCT((('CONTROL MASTER'!$S$2:$S$495=1)*('CONTROL MASTER'!$T$2:$T$495&lt;=5)*('CONTROL MASTER'!$V$2:$V$495&gt;=5)*('CONTROL MASTER'!$U$2:$U$495&lt;=9)*('CONTROL MASTER'!$W$2:$W$495&gt;=9))*ROW('CONTROL MASTER'!$S$2:$S$495))-(ROW('CONTROL MASTER'!#REF!)-1))))+1))-1)*50+1,50))&amp;"_"&amp;INDEX('CONTROL MASTER'!$P$2:$P$495,(SUMPRODUCT((('CONTROL MASTER'!$S$2:$S$495=1)*('CONTROL MASTER'!$T$2:$T$495&lt;=5)*('CONTROL MASTER'!$V$2:$V$495&gt;=5)*('CONTROL MASTER'!$U$2:$U$495&lt;=9)*('CONTROL MASTER'!$W$2:$W$495&gt;=9))*ROW('CONTROL MASTER'!$S$2:$S$495))-(ROW('CONTROL MASTER'!#REF!)-1))),IF(SUMPRODUCT((('CONTROL MASTER'!$S$2:$S$495=1)*('CONTROL MASTER'!$Z$2:$Z$495&lt;=5)*('CONTROL MASTER'!$AB$2:$AB$495&gt;=5)*('CONTROL MASTER'!$AA$2:$AA$495&lt;=9)*('CONTROL MASTER'!$AC$2:$AC$495&gt;=9))*ROW('CONTROL MASTER'!$S$2:$S$495))&gt;0,INDEX('CONTROL MASTER'!$X$2:$X$495,(SUMPRODUCT((('CONTROL MASTER'!$S$2:$S$495=1)*('CONTROL MASTER'!$Z$2:$Z$495&lt;=5)*('CONTROL MASTER'!$AB$2:$AB$495&gt;=5)*('CONTROL MASTER'!$AA$2:$AA$495&lt;=9)*('CONTROL MASTER'!$AC$2:$AC$495&gt;=9))*ROW('CONTROL MASTER'!$S$2:$S$495))-(ROW('CONTROL MASTER'!#REF!)-1)))&amp;TRIM(MID(SUBSTITUTE(SUBSTITUTE(INDEX('CONTROL MASTER'!$N$2:$N$495,(SUMPRODUCT((('CONTROL MASTER'!$S$2:$S$495=1)*('CONTROL MASTER'!$Z$2:$Z$495&lt;=5)*('CONTROL MASTER'!$AB$2:$AB$495&gt;=5)*('CONTROL MASTER'!$AA$2:$AA$495&lt;=9)*('CONTROL MASTER'!$AC$2:$AC$495&gt;=9))*ROW('CONTROL MASTER'!$S$2:$S$495))-(ROW('CONTROL MASTER'!#REF!)-1))),":",","),",",REPT(" ",50)),(((INDEX('CONTROL MASTER'!$Y$2:$Y$495,(SUMPRODUCT((('CONTROL MASTER'!$S$2:$S$495=1)*('CONTROL MASTER'!$Z$2:$Z$495&lt;=5)*('CONTROL MASTER'!$AB$2:$AB$495&gt;=5)*('CONTROL MASTER'!$AA$2:$AA$495&lt;=9)*('CONTROL MASTER'!$AC$2:$AC$495&gt;=9))*ROW('CONTROL MASTER'!$S$2:$S$495))-(ROW('CONTROL MASTER'!#REF!)-1)))+((5-INDEX('CONTROL MASTER'!$Z$2:$Z$495,(SUMPRODUCT((('CONTROL MASTER'!$S$2:$S$495=1)*('CONTROL MASTER'!$Z$2:$Z$495&lt;=5)*('CONTROL MASTER'!$AB$2:$AB$495&gt;=5)*('CONTROL MASTER'!$AA$2:$AA$495&lt;=9)*('CONTROL MASTER'!$AC$2:$AC$495&gt;=9))*ROW('CONTROL MASTER'!$S$2:$S$495))-(ROW('CONTROL MASTER'!#REF!)-1))))*(INDEX('CONTROL MASTER'!$AC$2:$AC$495,(SUMPRODUCT((('CONTROL MASTER'!$S$2:$S$495=1)*('CONTROL MASTER'!$Z$2:$Z$495&lt;=5)*('CONTROL MASTER'!$AB$2:$AB$495&gt;=5)*('CONTROL MASTER'!$AA$2:$AA$495&lt;=9)*('CONTROL MASTER'!$AC$2:$AC$495&gt;=9))*ROW('CONTROL MASTER'!$S$2:$S$495))-(ROW('CONTROL MASTER'!#REF!)-1)))-INDEX('CONTROL MASTER'!$AA$2:$AA$495,(SUMPRODUCT((('CONTROL MASTER'!$S$2:$S$495=1)*('CONTROL MASTER'!$Z$2:$Z$495&lt;=5)*('CONTROL MASTER'!$AB$2:$AB$495&gt;=5)*('CONTROL MASTER'!$AA$2:$AA$495&lt;=9)*('CONTROL MASTER'!$AC$2:$AC$495&gt;=9))*ROW('CONTROL MASTER'!$S$2:$S$495))-(ROW('CONTROL MASTER'!#REF!)-1)))+1)+(9-INDEX('CONTROL MASTER'!$AA$2:$AA$495,(SUMPRODUCT((('CONTROL MASTER'!$S$2:$S$495=1)*('CONTROL MASTER'!$Z$2:$Z$495&lt;=5)*('CONTROL MASTER'!$AB$2:$AB$495&gt;=5)*('CONTROL MASTER'!$AA$2:$AA$495&lt;=9)*('CONTROL MASTER'!$AC$2:$AC$495&gt;=9))*ROW('CONTROL MASTER'!$S$2:$S$495))-(ROW('CONTROL MASTER'!#REF!)-1))))+1)))-1)*50+1,50))&amp;"_"&amp;INDEX('CONTROL MASTER'!$P$2:$P$495,(SUMPRODUCT((('CONTROL MASTER'!$S$2:$S$495=1)*('CONTROL MASTER'!$Z$2:$Z$495&lt;=5)*('CONTROL MASTER'!$AB$2:$AB$495&gt;=5)*('CONTROL MASTER'!$AA$2:$AA$495&lt;=9)*('CONTROL MASTER'!$AC$2:$AC$495&gt;=9))*ROW('CONTROL MASTER'!$S$2:$S$495))-(ROW('CONTROL MASTER'!#REF!)-1))),"")),"")</f>
        <v/>
      </c>
      <c r="K7" s="10" t="str">
        <f>IFERROR(IF(SUMPRODUCT((('CONTROL MASTER'!$S$2:$S$495=1)*('CONTROL MASTER'!$T$2:$T$495&lt;=5)*('CONTROL MASTER'!$V$2:$V$495&gt;=5)*('CONTROL MASTER'!$U$2:$U$495&lt;=10)*('CONTROL MASTER'!$W$2:$W$495&gt;=10))*ROW('CONTROL MASTER'!$S$2:$S$495))&gt;0,INDEX('CONTROL MASTER'!$X$2:$X$495,(SUMPRODUCT((('CONTROL MASTER'!$S$2:$S$495=1)*('CONTROL MASTER'!$T$2:$T$495&lt;=5)*('CONTROL MASTER'!$V$2:$V$495&gt;=5)*('CONTROL MASTER'!$U$2:$U$495&lt;=10)*('CONTROL MASTER'!$W$2:$W$495&gt;=10))*ROW('CONTROL MASTER'!$S$2:$S$495))-(ROW('CONTROL MASTER'!#REF!)-1)))&amp;TRIM(MID(SUBSTITUTE(SUBSTITUTE(INDEX('CONTROL MASTER'!$N$2:$N$495,(SUMPRODUCT((('CONTROL MASTER'!$S$2:$S$495=1)*('CONTROL MASTER'!$T$2:$T$495&lt;=5)*('CONTROL MASTER'!$V$2:$V$495&gt;=5)*('CONTROL MASTER'!$U$2:$U$495&lt;=10)*('CONTROL MASTER'!$W$2:$W$495&gt;=10))*ROW('CONTROL MASTER'!$S$2:$S$495))-(ROW('CONTROL MASTER'!#REF!)-1))),":",","),",",REPT(" ",50)),((((5-INDEX('CONTROL MASTER'!$T$2:$T$495,(SUMPRODUCT((('CONTROL MASTER'!$S$2:$S$495=1)*('CONTROL MASTER'!$T$2:$T$495&lt;=5)*('CONTROL MASTER'!$V$2:$V$495&gt;=5)*('CONTROL MASTER'!$U$2:$U$495&lt;=10)*('CONTROL MASTER'!$W$2:$W$495&gt;=10))*ROW('CONTROL MASTER'!$S$2:$S$495))-(ROW('CONTROL MASTER'!#REF!)-1))))*(INDEX('CONTROL MASTER'!$W$2:$W$495,(SUMPRODUCT((('CONTROL MASTER'!$S$2:$S$495=1)*('CONTROL MASTER'!$T$2:$T$495&lt;=5)*('CONTROL MASTER'!$V$2:$V$495&gt;=5)*('CONTROL MASTER'!$U$2:$U$495&lt;=10)*('CONTROL MASTER'!$W$2:$W$495&gt;=10))*ROW('CONTROL MASTER'!$S$2:$S$495))-(ROW('CONTROL MASTER'!#REF!)-1)))-INDEX('CONTROL MASTER'!$U$2:$U$495,(SUMPRODUCT((('CONTROL MASTER'!$S$2:$S$495=1)*('CONTROL MASTER'!$T$2:$T$495&lt;=5)*('CONTROL MASTER'!$V$2:$V$495&gt;=5)*('CONTROL MASTER'!$U$2:$U$495&lt;=10)*('CONTROL MASTER'!$W$2:$W$495&gt;=10))*ROW('CONTROL MASTER'!$S$2:$S$495))-(ROW('CONTROL MASTER'!#REF!)-1)))+1)+(10-INDEX('CONTROL MASTER'!$U$2:$U$495,(SUMPRODUCT((('CONTROL MASTER'!$S$2:$S$495=1)*('CONTROL MASTER'!$T$2:$T$495&lt;=5)*('CONTROL MASTER'!$V$2:$V$495&gt;=5)*('CONTROL MASTER'!$U$2:$U$495&lt;=10)*('CONTROL MASTER'!$W$2:$W$495&gt;=10))*ROW('CONTROL MASTER'!$S$2:$S$495))-(ROW('CONTROL MASTER'!#REF!)-1))))+1))-1)*50+1,50))&amp;"_"&amp;INDEX('CONTROL MASTER'!$P$2:$P$495,(SUMPRODUCT((('CONTROL MASTER'!$S$2:$S$495=1)*('CONTROL MASTER'!$T$2:$T$495&lt;=5)*('CONTROL MASTER'!$V$2:$V$495&gt;=5)*('CONTROL MASTER'!$U$2:$U$495&lt;=10)*('CONTROL MASTER'!$W$2:$W$495&gt;=10))*ROW('CONTROL MASTER'!$S$2:$S$495))-(ROW('CONTROL MASTER'!#REF!)-1))),IF(SUMPRODUCT((('CONTROL MASTER'!$S$2:$S$495=1)*('CONTROL MASTER'!$Z$2:$Z$495&lt;=5)*('CONTROL MASTER'!$AB$2:$AB$495&gt;=5)*('CONTROL MASTER'!$AA$2:$AA$495&lt;=10)*('CONTROL MASTER'!$AC$2:$AC$495&gt;=10))*ROW('CONTROL MASTER'!$S$2:$S$495))&gt;0,INDEX('CONTROL MASTER'!$X$2:$X$495,(SUMPRODUCT((('CONTROL MASTER'!$S$2:$S$495=1)*('CONTROL MASTER'!$Z$2:$Z$495&lt;=5)*('CONTROL MASTER'!$AB$2:$AB$495&gt;=5)*('CONTROL MASTER'!$AA$2:$AA$495&lt;=10)*('CONTROL MASTER'!$AC$2:$AC$495&gt;=10))*ROW('CONTROL MASTER'!$S$2:$S$495))-(ROW('CONTROL MASTER'!#REF!)-1)))&amp;TRIM(MID(SUBSTITUTE(SUBSTITUTE(INDEX('CONTROL MASTER'!$N$2:$N$495,(SUMPRODUCT((('CONTROL MASTER'!$S$2:$S$495=1)*('CONTROL MASTER'!$Z$2:$Z$495&lt;=5)*('CONTROL MASTER'!$AB$2:$AB$495&gt;=5)*('CONTROL MASTER'!$AA$2:$AA$495&lt;=10)*('CONTROL MASTER'!$AC$2:$AC$495&gt;=10))*ROW('CONTROL MASTER'!$S$2:$S$495))-(ROW('CONTROL MASTER'!#REF!)-1))),":",","),",",REPT(" ",50)),(((INDEX('CONTROL MASTER'!$Y$2:$Y$495,(SUMPRODUCT((('CONTROL MASTER'!$S$2:$S$495=1)*('CONTROL MASTER'!$Z$2:$Z$495&lt;=5)*('CONTROL MASTER'!$AB$2:$AB$495&gt;=5)*('CONTROL MASTER'!$AA$2:$AA$495&lt;=10)*('CONTROL MASTER'!$AC$2:$AC$495&gt;=10))*ROW('CONTROL MASTER'!$S$2:$S$495))-(ROW('CONTROL MASTER'!#REF!)-1)))+((5-INDEX('CONTROL MASTER'!$Z$2:$Z$495,(SUMPRODUCT((('CONTROL MASTER'!$S$2:$S$495=1)*('CONTROL MASTER'!$Z$2:$Z$495&lt;=5)*('CONTROL MASTER'!$AB$2:$AB$495&gt;=5)*('CONTROL MASTER'!$AA$2:$AA$495&lt;=10)*('CONTROL MASTER'!$AC$2:$AC$495&gt;=10))*ROW('CONTROL MASTER'!$S$2:$S$495))-(ROW('CONTROL MASTER'!#REF!)-1))))*(INDEX('CONTROL MASTER'!$AC$2:$AC$495,(SUMPRODUCT((('CONTROL MASTER'!$S$2:$S$495=1)*('CONTROL MASTER'!$Z$2:$Z$495&lt;=5)*('CONTROL MASTER'!$AB$2:$AB$495&gt;=5)*('CONTROL MASTER'!$AA$2:$AA$495&lt;=10)*('CONTROL MASTER'!$AC$2:$AC$495&gt;=10))*ROW('CONTROL MASTER'!$S$2:$S$495))-(ROW('CONTROL MASTER'!#REF!)-1)))-INDEX('CONTROL MASTER'!$AA$2:$AA$495,(SUMPRODUCT((('CONTROL MASTER'!$S$2:$S$495=1)*('CONTROL MASTER'!$Z$2:$Z$495&lt;=5)*('CONTROL MASTER'!$AB$2:$AB$495&gt;=5)*('CONTROL MASTER'!$AA$2:$AA$495&lt;=10)*('CONTROL MASTER'!$AC$2:$AC$495&gt;=10))*ROW('CONTROL MASTER'!$S$2:$S$495))-(ROW('CONTROL MASTER'!#REF!)-1)))+1)+(10-INDEX('CONTROL MASTER'!$AA$2:$AA$495,(SUMPRODUCT((('CONTROL MASTER'!$S$2:$S$495=1)*('CONTROL MASTER'!$Z$2:$Z$495&lt;=5)*('CONTROL MASTER'!$AB$2:$AB$495&gt;=5)*('CONTROL MASTER'!$AA$2:$AA$495&lt;=10)*('CONTROL MASTER'!$AC$2:$AC$495&gt;=10))*ROW('CONTROL MASTER'!$S$2:$S$495))-(ROW('CONTROL MASTER'!#REF!)-1))))+1)))-1)*50+1,50))&amp;"_"&amp;INDEX('CONTROL MASTER'!$P$2:$P$495,(SUMPRODUCT((('CONTROL MASTER'!$S$2:$S$495=1)*('CONTROL MASTER'!$Z$2:$Z$495&lt;=5)*('CONTROL MASTER'!$AB$2:$AB$495&gt;=5)*('CONTROL MASTER'!$AA$2:$AA$495&lt;=10)*('CONTROL MASTER'!$AC$2:$AC$495&gt;=10))*ROW('CONTROL MASTER'!$S$2:$S$495))-(ROW('CONTROL MASTER'!#REF!)-1))),"")),"")</f>
        <v/>
      </c>
    </row>
    <row r="8" spans="1:11" ht="15" customHeight="1" x14ac:dyDescent="0.35">
      <c r="A8" s="8" t="s">
        <v>33</v>
      </c>
      <c r="B8" s="10" t="str">
        <f>IFERROR(IF(SUMPRODUCT((('CONTROL MASTER'!$S$2:$S$495=1)*('CONTROL MASTER'!$T$2:$T$495&lt;=6)*('CONTROL MASTER'!$V$2:$V$495&gt;=6)*('CONTROL MASTER'!$U$2:$U$495&lt;=1)*('CONTROL MASTER'!$W$2:$W$495&gt;=1))*ROW('CONTROL MASTER'!$S$2:$S$495))&gt;0,INDEX('CONTROL MASTER'!$X$2:$X$495,(SUMPRODUCT((('CONTROL MASTER'!$S$2:$S$495=1)*('CONTROL MASTER'!$T$2:$T$495&lt;=6)*('CONTROL MASTER'!$V$2:$V$495&gt;=6)*('CONTROL MASTER'!$U$2:$U$495&lt;=1)*('CONTROL MASTER'!$W$2:$W$495&gt;=1))*ROW('CONTROL MASTER'!$S$2:$S$495))-(ROW('CONTROL MASTER'!#REF!)-1)))&amp;TRIM(MID(SUBSTITUTE(SUBSTITUTE(INDEX('CONTROL MASTER'!$N$2:$N$495,(SUMPRODUCT((('CONTROL MASTER'!$S$2:$S$495=1)*('CONTROL MASTER'!$T$2:$T$495&lt;=6)*('CONTROL MASTER'!$V$2:$V$495&gt;=6)*('CONTROL MASTER'!$U$2:$U$495&lt;=1)*('CONTROL MASTER'!$W$2:$W$495&gt;=1))*ROW('CONTROL MASTER'!$S$2:$S$495))-(ROW('CONTROL MASTER'!#REF!)-1))),":",","),",",REPT(" ",50)),((((6-INDEX('CONTROL MASTER'!$T$2:$T$495,(SUMPRODUCT((('CONTROL MASTER'!$S$2:$S$495=1)*('CONTROL MASTER'!$T$2:$T$495&lt;=6)*('CONTROL MASTER'!$V$2:$V$495&gt;=6)*('CONTROL MASTER'!$U$2:$U$495&lt;=1)*('CONTROL MASTER'!$W$2:$W$495&gt;=1))*ROW('CONTROL MASTER'!$S$2:$S$495))-(ROW('CONTROL MASTER'!#REF!)-1))))*(INDEX('CONTROL MASTER'!$W$2:$W$495,(SUMPRODUCT((('CONTROL MASTER'!$S$2:$S$495=1)*('CONTROL MASTER'!$T$2:$T$495&lt;=6)*('CONTROL MASTER'!$V$2:$V$495&gt;=6)*('CONTROL MASTER'!$U$2:$U$495&lt;=1)*('CONTROL MASTER'!$W$2:$W$495&gt;=1))*ROW('CONTROL MASTER'!$S$2:$S$495))-(ROW('CONTROL MASTER'!#REF!)-1)))-INDEX('CONTROL MASTER'!$U$2:$U$495,(SUMPRODUCT((('CONTROL MASTER'!$S$2:$S$495=1)*('CONTROL MASTER'!$T$2:$T$495&lt;=6)*('CONTROL MASTER'!$V$2:$V$495&gt;=6)*('CONTROL MASTER'!$U$2:$U$495&lt;=1)*('CONTROL MASTER'!$W$2:$W$495&gt;=1))*ROW('CONTROL MASTER'!$S$2:$S$495))-(ROW('CONTROL MASTER'!#REF!)-1)))+1)+(1-INDEX('CONTROL MASTER'!$U$2:$U$495,(SUMPRODUCT((('CONTROL MASTER'!$S$2:$S$495=1)*('CONTROL MASTER'!$T$2:$T$495&lt;=6)*('CONTROL MASTER'!$V$2:$V$495&gt;=6)*('CONTROL MASTER'!$U$2:$U$495&lt;=1)*('CONTROL MASTER'!$W$2:$W$495&gt;=1))*ROW('CONTROL MASTER'!$S$2:$S$495))-(ROW('CONTROL MASTER'!#REF!)-1))))+1))-1)*50+1,50))&amp;"_"&amp;INDEX('CONTROL MASTER'!$P$2:$P$495,(SUMPRODUCT((('CONTROL MASTER'!$S$2:$S$495=1)*('CONTROL MASTER'!$T$2:$T$495&lt;=6)*('CONTROL MASTER'!$V$2:$V$495&gt;=6)*('CONTROL MASTER'!$U$2:$U$495&lt;=1)*('CONTROL MASTER'!$W$2:$W$495&gt;=1))*ROW('CONTROL MASTER'!$S$2:$S$495))-(ROW('CONTROL MASTER'!#REF!)-1))),IF(SUMPRODUCT((('CONTROL MASTER'!$S$2:$S$495=1)*('CONTROL MASTER'!$Z$2:$Z$495&lt;=6)*('CONTROL MASTER'!$AB$2:$AB$495&gt;=6)*('CONTROL MASTER'!$AA$2:$AA$495&lt;=1)*('CONTROL MASTER'!$AC$2:$AC$495&gt;=1))*ROW('CONTROL MASTER'!$S$2:$S$495))&gt;0,INDEX('CONTROL MASTER'!$X$2:$X$495,(SUMPRODUCT((('CONTROL MASTER'!$S$2:$S$495=1)*('CONTROL MASTER'!$Z$2:$Z$495&lt;=6)*('CONTROL MASTER'!$AB$2:$AB$495&gt;=6)*('CONTROL MASTER'!$AA$2:$AA$495&lt;=1)*('CONTROL MASTER'!$AC$2:$AC$495&gt;=1))*ROW('CONTROL MASTER'!$S$2:$S$495))-(ROW('CONTROL MASTER'!#REF!)-1)))&amp;TRIM(MID(SUBSTITUTE(SUBSTITUTE(INDEX('CONTROL MASTER'!$N$2:$N$495,(SUMPRODUCT((('CONTROL MASTER'!$S$2:$S$495=1)*('CONTROL MASTER'!$Z$2:$Z$495&lt;=6)*('CONTROL MASTER'!$AB$2:$AB$495&gt;=6)*('CONTROL MASTER'!$AA$2:$AA$495&lt;=1)*('CONTROL MASTER'!$AC$2:$AC$495&gt;=1))*ROW('CONTROL MASTER'!$S$2:$S$495))-(ROW('CONTROL MASTER'!#REF!)-1))),":",","),",",REPT(" ",50)),(((INDEX('CONTROL MASTER'!$Y$2:$Y$495,(SUMPRODUCT((('CONTROL MASTER'!$S$2:$S$495=1)*('CONTROL MASTER'!$Z$2:$Z$495&lt;=6)*('CONTROL MASTER'!$AB$2:$AB$495&gt;=6)*('CONTROL MASTER'!$AA$2:$AA$495&lt;=1)*('CONTROL MASTER'!$AC$2:$AC$495&gt;=1))*ROW('CONTROL MASTER'!$S$2:$S$495))-(ROW('CONTROL MASTER'!#REF!)-1)))+((6-INDEX('CONTROL MASTER'!$Z$2:$Z$495,(SUMPRODUCT((('CONTROL MASTER'!$S$2:$S$495=1)*('CONTROL MASTER'!$Z$2:$Z$495&lt;=6)*('CONTROL MASTER'!$AB$2:$AB$495&gt;=6)*('CONTROL MASTER'!$AA$2:$AA$495&lt;=1)*('CONTROL MASTER'!$AC$2:$AC$495&gt;=1))*ROW('CONTROL MASTER'!$S$2:$S$495))-(ROW('CONTROL MASTER'!#REF!)-1))))*(INDEX('CONTROL MASTER'!$AC$2:$AC$495,(SUMPRODUCT((('CONTROL MASTER'!$S$2:$S$495=1)*('CONTROL MASTER'!$Z$2:$Z$495&lt;=6)*('CONTROL MASTER'!$AB$2:$AB$495&gt;=6)*('CONTROL MASTER'!$AA$2:$AA$495&lt;=1)*('CONTROL MASTER'!$AC$2:$AC$495&gt;=1))*ROW('CONTROL MASTER'!$S$2:$S$495))-(ROW('CONTROL MASTER'!#REF!)-1)))-INDEX('CONTROL MASTER'!$AA$2:$AA$495,(SUMPRODUCT((('CONTROL MASTER'!$S$2:$S$495=1)*('CONTROL MASTER'!$Z$2:$Z$495&lt;=6)*('CONTROL MASTER'!$AB$2:$AB$495&gt;=6)*('CONTROL MASTER'!$AA$2:$AA$495&lt;=1)*('CONTROL MASTER'!$AC$2:$AC$495&gt;=1))*ROW('CONTROL MASTER'!$S$2:$S$495))-(ROW('CONTROL MASTER'!#REF!)-1)))+1)+(1-INDEX('CONTROL MASTER'!$AA$2:$AA$495,(SUMPRODUCT((('CONTROL MASTER'!$S$2:$S$495=1)*('CONTROL MASTER'!$Z$2:$Z$495&lt;=6)*('CONTROL MASTER'!$AB$2:$AB$495&gt;=6)*('CONTROL MASTER'!$AA$2:$AA$495&lt;=1)*('CONTROL MASTER'!$AC$2:$AC$495&gt;=1))*ROW('CONTROL MASTER'!$S$2:$S$495))-(ROW('CONTROL MASTER'!#REF!)-1))))+1)))-1)*50+1,50))&amp;"_"&amp;INDEX('CONTROL MASTER'!$P$2:$P$495,(SUMPRODUCT((('CONTROL MASTER'!$S$2:$S$495=1)*('CONTROL MASTER'!$Z$2:$Z$495&lt;=6)*('CONTROL MASTER'!$AB$2:$AB$495&gt;=6)*('CONTROL MASTER'!$AA$2:$AA$495&lt;=1)*('CONTROL MASTER'!$AC$2:$AC$495&gt;=1))*ROW('CONTROL MASTER'!$S$2:$S$495))-(ROW('CONTROL MASTER'!#REF!)-1))),"")),"")</f>
        <v/>
      </c>
      <c r="C8" s="10" t="str">
        <f>IFERROR(IF(SUMPRODUCT((('CONTROL MASTER'!$S$2:$S$495=1)*('CONTROL MASTER'!$T$2:$T$495&lt;=6)*('CONTROL MASTER'!$V$2:$V$495&gt;=6)*('CONTROL MASTER'!$U$2:$U$495&lt;=2)*('CONTROL MASTER'!$W$2:$W$495&gt;=2))*ROW('CONTROL MASTER'!$S$2:$S$495))&gt;0,INDEX('CONTROL MASTER'!$X$2:$X$495,(SUMPRODUCT((('CONTROL MASTER'!$S$2:$S$495=1)*('CONTROL MASTER'!$T$2:$T$495&lt;=6)*('CONTROL MASTER'!$V$2:$V$495&gt;=6)*('CONTROL MASTER'!$U$2:$U$495&lt;=2)*('CONTROL MASTER'!$W$2:$W$495&gt;=2))*ROW('CONTROL MASTER'!$S$2:$S$495))-(ROW('CONTROL MASTER'!#REF!)-1)))&amp;TRIM(MID(SUBSTITUTE(SUBSTITUTE(INDEX('CONTROL MASTER'!$N$2:$N$495,(SUMPRODUCT((('CONTROL MASTER'!$S$2:$S$495=1)*('CONTROL MASTER'!$T$2:$T$495&lt;=6)*('CONTROL MASTER'!$V$2:$V$495&gt;=6)*('CONTROL MASTER'!$U$2:$U$495&lt;=2)*('CONTROL MASTER'!$W$2:$W$495&gt;=2))*ROW('CONTROL MASTER'!$S$2:$S$495))-(ROW('CONTROL MASTER'!#REF!)-1))),":",","),",",REPT(" ",50)),((((6-INDEX('CONTROL MASTER'!$T$2:$T$495,(SUMPRODUCT((('CONTROL MASTER'!$S$2:$S$495=1)*('CONTROL MASTER'!$T$2:$T$495&lt;=6)*('CONTROL MASTER'!$V$2:$V$495&gt;=6)*('CONTROL MASTER'!$U$2:$U$495&lt;=2)*('CONTROL MASTER'!$W$2:$W$495&gt;=2))*ROW('CONTROL MASTER'!$S$2:$S$495))-(ROW('CONTROL MASTER'!#REF!)-1))))*(INDEX('CONTROL MASTER'!$W$2:$W$495,(SUMPRODUCT((('CONTROL MASTER'!$S$2:$S$495=1)*('CONTROL MASTER'!$T$2:$T$495&lt;=6)*('CONTROL MASTER'!$V$2:$V$495&gt;=6)*('CONTROL MASTER'!$U$2:$U$495&lt;=2)*('CONTROL MASTER'!$W$2:$W$495&gt;=2))*ROW('CONTROL MASTER'!$S$2:$S$495))-(ROW('CONTROL MASTER'!#REF!)-1)))-INDEX('CONTROL MASTER'!$U$2:$U$495,(SUMPRODUCT((('CONTROL MASTER'!$S$2:$S$495=1)*('CONTROL MASTER'!$T$2:$T$495&lt;=6)*('CONTROL MASTER'!$V$2:$V$495&gt;=6)*('CONTROL MASTER'!$U$2:$U$495&lt;=2)*('CONTROL MASTER'!$W$2:$W$495&gt;=2))*ROW('CONTROL MASTER'!$S$2:$S$495))-(ROW('CONTROL MASTER'!#REF!)-1)))+1)+(2-INDEX('CONTROL MASTER'!$U$2:$U$495,(SUMPRODUCT((('CONTROL MASTER'!$S$2:$S$495=1)*('CONTROL MASTER'!$T$2:$T$495&lt;=6)*('CONTROL MASTER'!$V$2:$V$495&gt;=6)*('CONTROL MASTER'!$U$2:$U$495&lt;=2)*('CONTROL MASTER'!$W$2:$W$495&gt;=2))*ROW('CONTROL MASTER'!$S$2:$S$495))-(ROW('CONTROL MASTER'!#REF!)-1))))+1))-1)*50+1,50))&amp;"_"&amp;INDEX('CONTROL MASTER'!$P$2:$P$495,(SUMPRODUCT((('CONTROL MASTER'!$S$2:$S$495=1)*('CONTROL MASTER'!$T$2:$T$495&lt;=6)*('CONTROL MASTER'!$V$2:$V$495&gt;=6)*('CONTROL MASTER'!$U$2:$U$495&lt;=2)*('CONTROL MASTER'!$W$2:$W$495&gt;=2))*ROW('CONTROL MASTER'!$S$2:$S$495))-(ROW('CONTROL MASTER'!#REF!)-1))),IF(SUMPRODUCT((('CONTROL MASTER'!$S$2:$S$495=1)*('CONTROL MASTER'!$Z$2:$Z$495&lt;=6)*('CONTROL MASTER'!$AB$2:$AB$495&gt;=6)*('CONTROL MASTER'!$AA$2:$AA$495&lt;=2)*('CONTROL MASTER'!$AC$2:$AC$495&gt;=2))*ROW('CONTROL MASTER'!$S$2:$S$495))&gt;0,INDEX('CONTROL MASTER'!$X$2:$X$495,(SUMPRODUCT((('CONTROL MASTER'!$S$2:$S$495=1)*('CONTROL MASTER'!$Z$2:$Z$495&lt;=6)*('CONTROL MASTER'!$AB$2:$AB$495&gt;=6)*('CONTROL MASTER'!$AA$2:$AA$495&lt;=2)*('CONTROL MASTER'!$AC$2:$AC$495&gt;=2))*ROW('CONTROL MASTER'!$S$2:$S$495))-(ROW('CONTROL MASTER'!#REF!)-1)))&amp;TRIM(MID(SUBSTITUTE(SUBSTITUTE(INDEX('CONTROL MASTER'!$N$2:$N$495,(SUMPRODUCT((('CONTROL MASTER'!$S$2:$S$495=1)*('CONTROL MASTER'!$Z$2:$Z$495&lt;=6)*('CONTROL MASTER'!$AB$2:$AB$495&gt;=6)*('CONTROL MASTER'!$AA$2:$AA$495&lt;=2)*('CONTROL MASTER'!$AC$2:$AC$495&gt;=2))*ROW('CONTROL MASTER'!$S$2:$S$495))-(ROW('CONTROL MASTER'!#REF!)-1))),":",","),",",REPT(" ",50)),(((INDEX('CONTROL MASTER'!$Y$2:$Y$495,(SUMPRODUCT((('CONTROL MASTER'!$S$2:$S$495=1)*('CONTROL MASTER'!$Z$2:$Z$495&lt;=6)*('CONTROL MASTER'!$AB$2:$AB$495&gt;=6)*('CONTROL MASTER'!$AA$2:$AA$495&lt;=2)*('CONTROL MASTER'!$AC$2:$AC$495&gt;=2))*ROW('CONTROL MASTER'!$S$2:$S$495))-(ROW('CONTROL MASTER'!#REF!)-1)))+((6-INDEX('CONTROL MASTER'!$Z$2:$Z$495,(SUMPRODUCT((('CONTROL MASTER'!$S$2:$S$495=1)*('CONTROL MASTER'!$Z$2:$Z$495&lt;=6)*('CONTROL MASTER'!$AB$2:$AB$495&gt;=6)*('CONTROL MASTER'!$AA$2:$AA$495&lt;=2)*('CONTROL MASTER'!$AC$2:$AC$495&gt;=2))*ROW('CONTROL MASTER'!$S$2:$S$495))-(ROW('CONTROL MASTER'!#REF!)-1))))*(INDEX('CONTROL MASTER'!$AC$2:$AC$495,(SUMPRODUCT((('CONTROL MASTER'!$S$2:$S$495=1)*('CONTROL MASTER'!$Z$2:$Z$495&lt;=6)*('CONTROL MASTER'!$AB$2:$AB$495&gt;=6)*('CONTROL MASTER'!$AA$2:$AA$495&lt;=2)*('CONTROL MASTER'!$AC$2:$AC$495&gt;=2))*ROW('CONTROL MASTER'!$S$2:$S$495))-(ROW('CONTROL MASTER'!#REF!)-1)))-INDEX('CONTROL MASTER'!$AA$2:$AA$495,(SUMPRODUCT((('CONTROL MASTER'!$S$2:$S$495=1)*('CONTROL MASTER'!$Z$2:$Z$495&lt;=6)*('CONTROL MASTER'!$AB$2:$AB$495&gt;=6)*('CONTROL MASTER'!$AA$2:$AA$495&lt;=2)*('CONTROL MASTER'!$AC$2:$AC$495&gt;=2))*ROW('CONTROL MASTER'!$S$2:$S$495))-(ROW('CONTROL MASTER'!#REF!)-1)))+1)+(2-INDEX('CONTROL MASTER'!$AA$2:$AA$495,(SUMPRODUCT((('CONTROL MASTER'!$S$2:$S$495=1)*('CONTROL MASTER'!$Z$2:$Z$495&lt;=6)*('CONTROL MASTER'!$AB$2:$AB$495&gt;=6)*('CONTROL MASTER'!$AA$2:$AA$495&lt;=2)*('CONTROL MASTER'!$AC$2:$AC$495&gt;=2))*ROW('CONTROL MASTER'!$S$2:$S$495))-(ROW('CONTROL MASTER'!#REF!)-1))))+1)))-1)*50+1,50))&amp;"_"&amp;INDEX('CONTROL MASTER'!$P$2:$P$495,(SUMPRODUCT((('CONTROL MASTER'!$S$2:$S$495=1)*('CONTROL MASTER'!$Z$2:$Z$495&lt;=6)*('CONTROL MASTER'!$AB$2:$AB$495&gt;=6)*('CONTROL MASTER'!$AA$2:$AA$495&lt;=2)*('CONTROL MASTER'!$AC$2:$AC$495&gt;=2))*ROW('CONTROL MASTER'!$S$2:$S$495))-(ROW('CONTROL MASTER'!#REF!)-1))),"")),"")</f>
        <v/>
      </c>
      <c r="D8" s="10" t="str">
        <f>IFERROR(IF(SUMPRODUCT((('CONTROL MASTER'!$S$2:$S$495=1)*('CONTROL MASTER'!$T$2:$T$495&lt;=6)*('CONTROL MASTER'!$V$2:$V$495&gt;=6)*('CONTROL MASTER'!$U$2:$U$495&lt;=3)*('CONTROL MASTER'!$W$2:$W$495&gt;=3))*ROW('CONTROL MASTER'!$S$2:$S$495))&gt;0,INDEX('CONTROL MASTER'!$X$2:$X$495,(SUMPRODUCT((('CONTROL MASTER'!$S$2:$S$495=1)*('CONTROL MASTER'!$T$2:$T$495&lt;=6)*('CONTROL MASTER'!$V$2:$V$495&gt;=6)*('CONTROL MASTER'!$U$2:$U$495&lt;=3)*('CONTROL MASTER'!$W$2:$W$495&gt;=3))*ROW('CONTROL MASTER'!$S$2:$S$495))-(ROW('CONTROL MASTER'!#REF!)-1)))&amp;TRIM(MID(SUBSTITUTE(SUBSTITUTE(INDEX('CONTROL MASTER'!$N$2:$N$495,(SUMPRODUCT((('CONTROL MASTER'!$S$2:$S$495=1)*('CONTROL MASTER'!$T$2:$T$495&lt;=6)*('CONTROL MASTER'!$V$2:$V$495&gt;=6)*('CONTROL MASTER'!$U$2:$U$495&lt;=3)*('CONTROL MASTER'!$W$2:$W$495&gt;=3))*ROW('CONTROL MASTER'!$S$2:$S$495))-(ROW('CONTROL MASTER'!#REF!)-1))),":",","),",",REPT(" ",50)),((((6-INDEX('CONTROL MASTER'!$T$2:$T$495,(SUMPRODUCT((('CONTROL MASTER'!$S$2:$S$495=1)*('CONTROL MASTER'!$T$2:$T$495&lt;=6)*('CONTROL MASTER'!$V$2:$V$495&gt;=6)*('CONTROL MASTER'!$U$2:$U$495&lt;=3)*('CONTROL MASTER'!$W$2:$W$495&gt;=3))*ROW('CONTROL MASTER'!$S$2:$S$495))-(ROW('CONTROL MASTER'!#REF!)-1))))*(INDEX('CONTROL MASTER'!$W$2:$W$495,(SUMPRODUCT((('CONTROL MASTER'!$S$2:$S$495=1)*('CONTROL MASTER'!$T$2:$T$495&lt;=6)*('CONTROL MASTER'!$V$2:$V$495&gt;=6)*('CONTROL MASTER'!$U$2:$U$495&lt;=3)*('CONTROL MASTER'!$W$2:$W$495&gt;=3))*ROW('CONTROL MASTER'!$S$2:$S$495))-(ROW('CONTROL MASTER'!#REF!)-1)))-INDEX('CONTROL MASTER'!$U$2:$U$495,(SUMPRODUCT((('CONTROL MASTER'!$S$2:$S$495=1)*('CONTROL MASTER'!$T$2:$T$495&lt;=6)*('CONTROL MASTER'!$V$2:$V$495&gt;=6)*('CONTROL MASTER'!$U$2:$U$495&lt;=3)*('CONTROL MASTER'!$W$2:$W$495&gt;=3))*ROW('CONTROL MASTER'!$S$2:$S$495))-(ROW('CONTROL MASTER'!#REF!)-1)))+1)+(3-INDEX('CONTROL MASTER'!$U$2:$U$495,(SUMPRODUCT((('CONTROL MASTER'!$S$2:$S$495=1)*('CONTROL MASTER'!$T$2:$T$495&lt;=6)*('CONTROL MASTER'!$V$2:$V$495&gt;=6)*('CONTROL MASTER'!$U$2:$U$495&lt;=3)*('CONTROL MASTER'!$W$2:$W$495&gt;=3))*ROW('CONTROL MASTER'!$S$2:$S$495))-(ROW('CONTROL MASTER'!#REF!)-1))))+1))-1)*50+1,50))&amp;"_"&amp;INDEX('CONTROL MASTER'!$P$2:$P$495,(SUMPRODUCT((('CONTROL MASTER'!$S$2:$S$495=1)*('CONTROL MASTER'!$T$2:$T$495&lt;=6)*('CONTROL MASTER'!$V$2:$V$495&gt;=6)*('CONTROL MASTER'!$U$2:$U$495&lt;=3)*('CONTROL MASTER'!$W$2:$W$495&gt;=3))*ROW('CONTROL MASTER'!$S$2:$S$495))-(ROW('CONTROL MASTER'!#REF!)-1))),IF(SUMPRODUCT((('CONTROL MASTER'!$S$2:$S$495=1)*('CONTROL MASTER'!$Z$2:$Z$495&lt;=6)*('CONTROL MASTER'!$AB$2:$AB$495&gt;=6)*('CONTROL MASTER'!$AA$2:$AA$495&lt;=3)*('CONTROL MASTER'!$AC$2:$AC$495&gt;=3))*ROW('CONTROL MASTER'!$S$2:$S$495))&gt;0,INDEX('CONTROL MASTER'!$X$2:$X$495,(SUMPRODUCT((('CONTROL MASTER'!$S$2:$S$495=1)*('CONTROL MASTER'!$Z$2:$Z$495&lt;=6)*('CONTROL MASTER'!$AB$2:$AB$495&gt;=6)*('CONTROL MASTER'!$AA$2:$AA$495&lt;=3)*('CONTROL MASTER'!$AC$2:$AC$495&gt;=3))*ROW('CONTROL MASTER'!$S$2:$S$495))-(ROW('CONTROL MASTER'!#REF!)-1)))&amp;TRIM(MID(SUBSTITUTE(SUBSTITUTE(INDEX('CONTROL MASTER'!$N$2:$N$495,(SUMPRODUCT((('CONTROL MASTER'!$S$2:$S$495=1)*('CONTROL MASTER'!$Z$2:$Z$495&lt;=6)*('CONTROL MASTER'!$AB$2:$AB$495&gt;=6)*('CONTROL MASTER'!$AA$2:$AA$495&lt;=3)*('CONTROL MASTER'!$AC$2:$AC$495&gt;=3))*ROW('CONTROL MASTER'!$S$2:$S$495))-(ROW('CONTROL MASTER'!#REF!)-1))),":",","),",",REPT(" ",50)),(((INDEX('CONTROL MASTER'!$Y$2:$Y$495,(SUMPRODUCT((('CONTROL MASTER'!$S$2:$S$495=1)*('CONTROL MASTER'!$Z$2:$Z$495&lt;=6)*('CONTROL MASTER'!$AB$2:$AB$495&gt;=6)*('CONTROL MASTER'!$AA$2:$AA$495&lt;=3)*('CONTROL MASTER'!$AC$2:$AC$495&gt;=3))*ROW('CONTROL MASTER'!$S$2:$S$495))-(ROW('CONTROL MASTER'!#REF!)-1)))+((6-INDEX('CONTROL MASTER'!$Z$2:$Z$495,(SUMPRODUCT((('CONTROL MASTER'!$S$2:$S$495=1)*('CONTROL MASTER'!$Z$2:$Z$495&lt;=6)*('CONTROL MASTER'!$AB$2:$AB$495&gt;=6)*('CONTROL MASTER'!$AA$2:$AA$495&lt;=3)*('CONTROL MASTER'!$AC$2:$AC$495&gt;=3))*ROW('CONTROL MASTER'!$S$2:$S$495))-(ROW('CONTROL MASTER'!#REF!)-1))))*(INDEX('CONTROL MASTER'!$AC$2:$AC$495,(SUMPRODUCT((('CONTROL MASTER'!$S$2:$S$495=1)*('CONTROL MASTER'!$Z$2:$Z$495&lt;=6)*('CONTROL MASTER'!$AB$2:$AB$495&gt;=6)*('CONTROL MASTER'!$AA$2:$AA$495&lt;=3)*('CONTROL MASTER'!$AC$2:$AC$495&gt;=3))*ROW('CONTROL MASTER'!$S$2:$S$495))-(ROW('CONTROL MASTER'!#REF!)-1)))-INDEX('CONTROL MASTER'!$AA$2:$AA$495,(SUMPRODUCT((('CONTROL MASTER'!$S$2:$S$495=1)*('CONTROL MASTER'!$Z$2:$Z$495&lt;=6)*('CONTROL MASTER'!$AB$2:$AB$495&gt;=6)*('CONTROL MASTER'!$AA$2:$AA$495&lt;=3)*('CONTROL MASTER'!$AC$2:$AC$495&gt;=3))*ROW('CONTROL MASTER'!$S$2:$S$495))-(ROW('CONTROL MASTER'!#REF!)-1)))+1)+(3-INDEX('CONTROL MASTER'!$AA$2:$AA$495,(SUMPRODUCT((('CONTROL MASTER'!$S$2:$S$495=1)*('CONTROL MASTER'!$Z$2:$Z$495&lt;=6)*('CONTROL MASTER'!$AB$2:$AB$495&gt;=6)*('CONTROL MASTER'!$AA$2:$AA$495&lt;=3)*('CONTROL MASTER'!$AC$2:$AC$495&gt;=3))*ROW('CONTROL MASTER'!$S$2:$S$495))-(ROW('CONTROL MASTER'!#REF!)-1))))+1)))-1)*50+1,50))&amp;"_"&amp;INDEX('CONTROL MASTER'!$P$2:$P$495,(SUMPRODUCT((('CONTROL MASTER'!$S$2:$S$495=1)*('CONTROL MASTER'!$Z$2:$Z$495&lt;=6)*('CONTROL MASTER'!$AB$2:$AB$495&gt;=6)*('CONTROL MASTER'!$AA$2:$AA$495&lt;=3)*('CONTROL MASTER'!$AC$2:$AC$495&gt;=3))*ROW('CONTROL MASTER'!$S$2:$S$495))-(ROW('CONTROL MASTER'!#REF!)-1))),"")),"")</f>
        <v/>
      </c>
      <c r="E8" s="10" t="str">
        <f>IFERROR(IF(SUMPRODUCT((('CONTROL MASTER'!$S$2:$S$495=1)*('CONTROL MASTER'!$T$2:$T$495&lt;=6)*('CONTROL MASTER'!$V$2:$V$495&gt;=6)*('CONTROL MASTER'!$U$2:$U$495&lt;=4)*('CONTROL MASTER'!$W$2:$W$495&gt;=4))*ROW('CONTROL MASTER'!$S$2:$S$495))&gt;0,INDEX('CONTROL MASTER'!$X$2:$X$495,(SUMPRODUCT((('CONTROL MASTER'!$S$2:$S$495=1)*('CONTROL MASTER'!$T$2:$T$495&lt;=6)*('CONTROL MASTER'!$V$2:$V$495&gt;=6)*('CONTROL MASTER'!$U$2:$U$495&lt;=4)*('CONTROL MASTER'!$W$2:$W$495&gt;=4))*ROW('CONTROL MASTER'!$S$2:$S$495))-(ROW('CONTROL MASTER'!#REF!)-1)))&amp;TRIM(MID(SUBSTITUTE(SUBSTITUTE(INDEX('CONTROL MASTER'!$N$2:$N$495,(SUMPRODUCT((('CONTROL MASTER'!$S$2:$S$495=1)*('CONTROL MASTER'!$T$2:$T$495&lt;=6)*('CONTROL MASTER'!$V$2:$V$495&gt;=6)*('CONTROL MASTER'!$U$2:$U$495&lt;=4)*('CONTROL MASTER'!$W$2:$W$495&gt;=4))*ROW('CONTROL MASTER'!$S$2:$S$495))-(ROW('CONTROL MASTER'!#REF!)-1))),":",","),",",REPT(" ",50)),((((6-INDEX('CONTROL MASTER'!$T$2:$T$495,(SUMPRODUCT((('CONTROL MASTER'!$S$2:$S$495=1)*('CONTROL MASTER'!$T$2:$T$495&lt;=6)*('CONTROL MASTER'!$V$2:$V$495&gt;=6)*('CONTROL MASTER'!$U$2:$U$495&lt;=4)*('CONTROL MASTER'!$W$2:$W$495&gt;=4))*ROW('CONTROL MASTER'!$S$2:$S$495))-(ROW('CONTROL MASTER'!#REF!)-1))))*(INDEX('CONTROL MASTER'!$W$2:$W$495,(SUMPRODUCT((('CONTROL MASTER'!$S$2:$S$495=1)*('CONTROL MASTER'!$T$2:$T$495&lt;=6)*('CONTROL MASTER'!$V$2:$V$495&gt;=6)*('CONTROL MASTER'!$U$2:$U$495&lt;=4)*('CONTROL MASTER'!$W$2:$W$495&gt;=4))*ROW('CONTROL MASTER'!$S$2:$S$495))-(ROW('CONTROL MASTER'!#REF!)-1)))-INDEX('CONTROL MASTER'!$U$2:$U$495,(SUMPRODUCT((('CONTROL MASTER'!$S$2:$S$495=1)*('CONTROL MASTER'!$T$2:$T$495&lt;=6)*('CONTROL MASTER'!$V$2:$V$495&gt;=6)*('CONTROL MASTER'!$U$2:$U$495&lt;=4)*('CONTROL MASTER'!$W$2:$W$495&gt;=4))*ROW('CONTROL MASTER'!$S$2:$S$495))-(ROW('CONTROL MASTER'!#REF!)-1)))+1)+(4-INDEX('CONTROL MASTER'!$U$2:$U$495,(SUMPRODUCT((('CONTROL MASTER'!$S$2:$S$495=1)*('CONTROL MASTER'!$T$2:$T$495&lt;=6)*('CONTROL MASTER'!$V$2:$V$495&gt;=6)*('CONTROL MASTER'!$U$2:$U$495&lt;=4)*('CONTROL MASTER'!$W$2:$W$495&gt;=4))*ROW('CONTROL MASTER'!$S$2:$S$495))-(ROW('CONTROL MASTER'!#REF!)-1))))+1))-1)*50+1,50))&amp;"_"&amp;INDEX('CONTROL MASTER'!$P$2:$P$495,(SUMPRODUCT((('CONTROL MASTER'!$S$2:$S$495=1)*('CONTROL MASTER'!$T$2:$T$495&lt;=6)*('CONTROL MASTER'!$V$2:$V$495&gt;=6)*('CONTROL MASTER'!$U$2:$U$495&lt;=4)*('CONTROL MASTER'!$W$2:$W$495&gt;=4))*ROW('CONTROL MASTER'!$S$2:$S$495))-(ROW('CONTROL MASTER'!#REF!)-1))),IF(SUMPRODUCT((('CONTROL MASTER'!$S$2:$S$495=1)*('CONTROL MASTER'!$Z$2:$Z$495&lt;=6)*('CONTROL MASTER'!$AB$2:$AB$495&gt;=6)*('CONTROL MASTER'!$AA$2:$AA$495&lt;=4)*('CONTROL MASTER'!$AC$2:$AC$495&gt;=4))*ROW('CONTROL MASTER'!$S$2:$S$495))&gt;0,INDEX('CONTROL MASTER'!$X$2:$X$495,(SUMPRODUCT((('CONTROL MASTER'!$S$2:$S$495=1)*('CONTROL MASTER'!$Z$2:$Z$495&lt;=6)*('CONTROL MASTER'!$AB$2:$AB$495&gt;=6)*('CONTROL MASTER'!$AA$2:$AA$495&lt;=4)*('CONTROL MASTER'!$AC$2:$AC$495&gt;=4))*ROW('CONTROL MASTER'!$S$2:$S$495))-(ROW('CONTROL MASTER'!#REF!)-1)))&amp;TRIM(MID(SUBSTITUTE(SUBSTITUTE(INDEX('CONTROL MASTER'!$N$2:$N$495,(SUMPRODUCT((('CONTROL MASTER'!$S$2:$S$495=1)*('CONTROL MASTER'!$Z$2:$Z$495&lt;=6)*('CONTROL MASTER'!$AB$2:$AB$495&gt;=6)*('CONTROL MASTER'!$AA$2:$AA$495&lt;=4)*('CONTROL MASTER'!$AC$2:$AC$495&gt;=4))*ROW('CONTROL MASTER'!$S$2:$S$495))-(ROW('CONTROL MASTER'!#REF!)-1))),":",","),",",REPT(" ",50)),(((INDEX('CONTROL MASTER'!$Y$2:$Y$495,(SUMPRODUCT((('CONTROL MASTER'!$S$2:$S$495=1)*('CONTROL MASTER'!$Z$2:$Z$495&lt;=6)*('CONTROL MASTER'!$AB$2:$AB$495&gt;=6)*('CONTROL MASTER'!$AA$2:$AA$495&lt;=4)*('CONTROL MASTER'!$AC$2:$AC$495&gt;=4))*ROW('CONTROL MASTER'!$S$2:$S$495))-(ROW('CONTROL MASTER'!#REF!)-1)))+((6-INDEX('CONTROL MASTER'!$Z$2:$Z$495,(SUMPRODUCT((('CONTROL MASTER'!$S$2:$S$495=1)*('CONTROL MASTER'!$Z$2:$Z$495&lt;=6)*('CONTROL MASTER'!$AB$2:$AB$495&gt;=6)*('CONTROL MASTER'!$AA$2:$AA$495&lt;=4)*('CONTROL MASTER'!$AC$2:$AC$495&gt;=4))*ROW('CONTROL MASTER'!$S$2:$S$495))-(ROW('CONTROL MASTER'!#REF!)-1))))*(INDEX('CONTROL MASTER'!$AC$2:$AC$495,(SUMPRODUCT((('CONTROL MASTER'!$S$2:$S$495=1)*('CONTROL MASTER'!$Z$2:$Z$495&lt;=6)*('CONTROL MASTER'!$AB$2:$AB$495&gt;=6)*('CONTROL MASTER'!$AA$2:$AA$495&lt;=4)*('CONTROL MASTER'!$AC$2:$AC$495&gt;=4))*ROW('CONTROL MASTER'!$S$2:$S$495))-(ROW('CONTROL MASTER'!#REF!)-1)))-INDEX('CONTROL MASTER'!$AA$2:$AA$495,(SUMPRODUCT((('CONTROL MASTER'!$S$2:$S$495=1)*('CONTROL MASTER'!$Z$2:$Z$495&lt;=6)*('CONTROL MASTER'!$AB$2:$AB$495&gt;=6)*('CONTROL MASTER'!$AA$2:$AA$495&lt;=4)*('CONTROL MASTER'!$AC$2:$AC$495&gt;=4))*ROW('CONTROL MASTER'!$S$2:$S$495))-(ROW('CONTROL MASTER'!#REF!)-1)))+1)+(4-INDEX('CONTROL MASTER'!$AA$2:$AA$495,(SUMPRODUCT((('CONTROL MASTER'!$S$2:$S$495=1)*('CONTROL MASTER'!$Z$2:$Z$495&lt;=6)*('CONTROL MASTER'!$AB$2:$AB$495&gt;=6)*('CONTROL MASTER'!$AA$2:$AA$495&lt;=4)*('CONTROL MASTER'!$AC$2:$AC$495&gt;=4))*ROW('CONTROL MASTER'!$S$2:$S$495))-(ROW('CONTROL MASTER'!#REF!)-1))))+1)))-1)*50+1,50))&amp;"_"&amp;INDEX('CONTROL MASTER'!$P$2:$P$495,(SUMPRODUCT((('CONTROL MASTER'!$S$2:$S$495=1)*('CONTROL MASTER'!$Z$2:$Z$495&lt;=6)*('CONTROL MASTER'!$AB$2:$AB$495&gt;=6)*('CONTROL MASTER'!$AA$2:$AA$495&lt;=4)*('CONTROL MASTER'!$AC$2:$AC$495&gt;=4))*ROW('CONTROL MASTER'!$S$2:$S$495))-(ROW('CONTROL MASTER'!#REF!)-1))),"")),"")</f>
        <v/>
      </c>
      <c r="F8" s="10" t="str">
        <f>IFERROR(IF(SUMPRODUCT((('CONTROL MASTER'!$S$2:$S$495=1)*('CONTROL MASTER'!$T$2:$T$495&lt;=6)*('CONTROL MASTER'!$V$2:$V$495&gt;=6)*('CONTROL MASTER'!$U$2:$U$495&lt;=5)*('CONTROL MASTER'!$W$2:$W$495&gt;=5))*ROW('CONTROL MASTER'!$S$2:$S$495))&gt;0,INDEX('CONTROL MASTER'!$X$2:$X$495,(SUMPRODUCT((('CONTROL MASTER'!$S$2:$S$495=1)*('CONTROL MASTER'!$T$2:$T$495&lt;=6)*('CONTROL MASTER'!$V$2:$V$495&gt;=6)*('CONTROL MASTER'!$U$2:$U$495&lt;=5)*('CONTROL MASTER'!$W$2:$W$495&gt;=5))*ROW('CONTROL MASTER'!$S$2:$S$495))-(ROW('CONTROL MASTER'!#REF!)-1)))&amp;TRIM(MID(SUBSTITUTE(SUBSTITUTE(INDEX('CONTROL MASTER'!$N$2:$N$495,(SUMPRODUCT((('CONTROL MASTER'!$S$2:$S$495=1)*('CONTROL MASTER'!$T$2:$T$495&lt;=6)*('CONTROL MASTER'!$V$2:$V$495&gt;=6)*('CONTROL MASTER'!$U$2:$U$495&lt;=5)*('CONTROL MASTER'!$W$2:$W$495&gt;=5))*ROW('CONTROL MASTER'!$S$2:$S$495))-(ROW('CONTROL MASTER'!#REF!)-1))),":",","),",",REPT(" ",50)),((((6-INDEX('CONTROL MASTER'!$T$2:$T$495,(SUMPRODUCT((('CONTROL MASTER'!$S$2:$S$495=1)*('CONTROL MASTER'!$T$2:$T$495&lt;=6)*('CONTROL MASTER'!$V$2:$V$495&gt;=6)*('CONTROL MASTER'!$U$2:$U$495&lt;=5)*('CONTROL MASTER'!$W$2:$W$495&gt;=5))*ROW('CONTROL MASTER'!$S$2:$S$495))-(ROW('CONTROL MASTER'!#REF!)-1))))*(INDEX('CONTROL MASTER'!$W$2:$W$495,(SUMPRODUCT((('CONTROL MASTER'!$S$2:$S$495=1)*('CONTROL MASTER'!$T$2:$T$495&lt;=6)*('CONTROL MASTER'!$V$2:$V$495&gt;=6)*('CONTROL MASTER'!$U$2:$U$495&lt;=5)*('CONTROL MASTER'!$W$2:$W$495&gt;=5))*ROW('CONTROL MASTER'!$S$2:$S$495))-(ROW('CONTROL MASTER'!#REF!)-1)))-INDEX('CONTROL MASTER'!$U$2:$U$495,(SUMPRODUCT((('CONTROL MASTER'!$S$2:$S$495=1)*('CONTROL MASTER'!$T$2:$T$495&lt;=6)*('CONTROL MASTER'!$V$2:$V$495&gt;=6)*('CONTROL MASTER'!$U$2:$U$495&lt;=5)*('CONTROL MASTER'!$W$2:$W$495&gt;=5))*ROW('CONTROL MASTER'!$S$2:$S$495))-(ROW('CONTROL MASTER'!#REF!)-1)))+1)+(5-INDEX('CONTROL MASTER'!$U$2:$U$495,(SUMPRODUCT((('CONTROL MASTER'!$S$2:$S$495=1)*('CONTROL MASTER'!$T$2:$T$495&lt;=6)*('CONTROL MASTER'!$V$2:$V$495&gt;=6)*('CONTROL MASTER'!$U$2:$U$495&lt;=5)*('CONTROL MASTER'!$W$2:$W$495&gt;=5))*ROW('CONTROL MASTER'!$S$2:$S$495))-(ROW('CONTROL MASTER'!#REF!)-1))))+1))-1)*50+1,50))&amp;"_"&amp;INDEX('CONTROL MASTER'!$P$2:$P$495,(SUMPRODUCT((('CONTROL MASTER'!$S$2:$S$495=1)*('CONTROL MASTER'!$T$2:$T$495&lt;=6)*('CONTROL MASTER'!$V$2:$V$495&gt;=6)*('CONTROL MASTER'!$U$2:$U$495&lt;=5)*('CONTROL MASTER'!$W$2:$W$495&gt;=5))*ROW('CONTROL MASTER'!$S$2:$S$495))-(ROW('CONTROL MASTER'!#REF!)-1))),IF(SUMPRODUCT((('CONTROL MASTER'!$S$2:$S$495=1)*('CONTROL MASTER'!$Z$2:$Z$495&lt;=6)*('CONTROL MASTER'!$AB$2:$AB$495&gt;=6)*('CONTROL MASTER'!$AA$2:$AA$495&lt;=5)*('CONTROL MASTER'!$AC$2:$AC$495&gt;=5))*ROW('CONTROL MASTER'!$S$2:$S$495))&gt;0,INDEX('CONTROL MASTER'!$X$2:$X$495,(SUMPRODUCT((('CONTROL MASTER'!$S$2:$S$495=1)*('CONTROL MASTER'!$Z$2:$Z$495&lt;=6)*('CONTROL MASTER'!$AB$2:$AB$495&gt;=6)*('CONTROL MASTER'!$AA$2:$AA$495&lt;=5)*('CONTROL MASTER'!$AC$2:$AC$495&gt;=5))*ROW('CONTROL MASTER'!$S$2:$S$495))-(ROW('CONTROL MASTER'!#REF!)-1)))&amp;TRIM(MID(SUBSTITUTE(SUBSTITUTE(INDEX('CONTROL MASTER'!$N$2:$N$495,(SUMPRODUCT((('CONTROL MASTER'!$S$2:$S$495=1)*('CONTROL MASTER'!$Z$2:$Z$495&lt;=6)*('CONTROL MASTER'!$AB$2:$AB$495&gt;=6)*('CONTROL MASTER'!$AA$2:$AA$495&lt;=5)*('CONTROL MASTER'!$AC$2:$AC$495&gt;=5))*ROW('CONTROL MASTER'!$S$2:$S$495))-(ROW('CONTROL MASTER'!#REF!)-1))),":",","),",",REPT(" ",50)),(((INDEX('CONTROL MASTER'!$Y$2:$Y$495,(SUMPRODUCT((('CONTROL MASTER'!$S$2:$S$495=1)*('CONTROL MASTER'!$Z$2:$Z$495&lt;=6)*('CONTROL MASTER'!$AB$2:$AB$495&gt;=6)*('CONTROL MASTER'!$AA$2:$AA$495&lt;=5)*('CONTROL MASTER'!$AC$2:$AC$495&gt;=5))*ROW('CONTROL MASTER'!$S$2:$S$495))-(ROW('CONTROL MASTER'!#REF!)-1)))+((6-INDEX('CONTROL MASTER'!$Z$2:$Z$495,(SUMPRODUCT((('CONTROL MASTER'!$S$2:$S$495=1)*('CONTROL MASTER'!$Z$2:$Z$495&lt;=6)*('CONTROL MASTER'!$AB$2:$AB$495&gt;=6)*('CONTROL MASTER'!$AA$2:$AA$495&lt;=5)*('CONTROL MASTER'!$AC$2:$AC$495&gt;=5))*ROW('CONTROL MASTER'!$S$2:$S$495))-(ROW('CONTROL MASTER'!#REF!)-1))))*(INDEX('CONTROL MASTER'!$AC$2:$AC$495,(SUMPRODUCT((('CONTROL MASTER'!$S$2:$S$495=1)*('CONTROL MASTER'!$Z$2:$Z$495&lt;=6)*('CONTROL MASTER'!$AB$2:$AB$495&gt;=6)*('CONTROL MASTER'!$AA$2:$AA$495&lt;=5)*('CONTROL MASTER'!$AC$2:$AC$495&gt;=5))*ROW('CONTROL MASTER'!$S$2:$S$495))-(ROW('CONTROL MASTER'!#REF!)-1)))-INDEX('CONTROL MASTER'!$AA$2:$AA$495,(SUMPRODUCT((('CONTROL MASTER'!$S$2:$S$495=1)*('CONTROL MASTER'!$Z$2:$Z$495&lt;=6)*('CONTROL MASTER'!$AB$2:$AB$495&gt;=6)*('CONTROL MASTER'!$AA$2:$AA$495&lt;=5)*('CONTROL MASTER'!$AC$2:$AC$495&gt;=5))*ROW('CONTROL MASTER'!$S$2:$S$495))-(ROW('CONTROL MASTER'!#REF!)-1)))+1)+(5-INDEX('CONTROL MASTER'!$AA$2:$AA$495,(SUMPRODUCT((('CONTROL MASTER'!$S$2:$S$495=1)*('CONTROL MASTER'!$Z$2:$Z$495&lt;=6)*('CONTROL MASTER'!$AB$2:$AB$495&gt;=6)*('CONTROL MASTER'!$AA$2:$AA$495&lt;=5)*('CONTROL MASTER'!$AC$2:$AC$495&gt;=5))*ROW('CONTROL MASTER'!$S$2:$S$495))-(ROW('CONTROL MASTER'!#REF!)-1))))+1)))-1)*50+1,50))&amp;"_"&amp;INDEX('CONTROL MASTER'!$P$2:$P$495,(SUMPRODUCT((('CONTROL MASTER'!$S$2:$S$495=1)*('CONTROL MASTER'!$Z$2:$Z$495&lt;=6)*('CONTROL MASTER'!$AB$2:$AB$495&gt;=6)*('CONTROL MASTER'!$AA$2:$AA$495&lt;=5)*('CONTROL MASTER'!$AC$2:$AC$495&gt;=5))*ROW('CONTROL MASTER'!$S$2:$S$495))-(ROW('CONTROL MASTER'!#REF!)-1))),"")),"")</f>
        <v/>
      </c>
      <c r="G8" s="10" t="str">
        <f>IFERROR(IF(SUMPRODUCT((('CONTROL MASTER'!$S$2:$S$495=1)*('CONTROL MASTER'!$T$2:$T$495&lt;=6)*('CONTROL MASTER'!$V$2:$V$495&gt;=6)*('CONTROL MASTER'!$U$2:$U$495&lt;=6)*('CONTROL MASTER'!$W$2:$W$495&gt;=6))*ROW('CONTROL MASTER'!$S$2:$S$495))&gt;0,INDEX('CONTROL MASTER'!$X$2:$X$495,(SUMPRODUCT((('CONTROL MASTER'!$S$2:$S$495=1)*('CONTROL MASTER'!$T$2:$T$495&lt;=6)*('CONTROL MASTER'!$V$2:$V$495&gt;=6)*('CONTROL MASTER'!$U$2:$U$495&lt;=6)*('CONTROL MASTER'!$W$2:$W$495&gt;=6))*ROW('CONTROL MASTER'!$S$2:$S$495))-(ROW('CONTROL MASTER'!#REF!)-1)))&amp;TRIM(MID(SUBSTITUTE(SUBSTITUTE(INDEX('CONTROL MASTER'!$N$2:$N$495,(SUMPRODUCT((('CONTROL MASTER'!$S$2:$S$495=1)*('CONTROL MASTER'!$T$2:$T$495&lt;=6)*('CONTROL MASTER'!$V$2:$V$495&gt;=6)*('CONTROL MASTER'!$U$2:$U$495&lt;=6)*('CONTROL MASTER'!$W$2:$W$495&gt;=6))*ROW('CONTROL MASTER'!$S$2:$S$495))-(ROW('CONTROL MASTER'!#REF!)-1))),":",","),",",REPT(" ",50)),((((6-INDEX('CONTROL MASTER'!$T$2:$T$495,(SUMPRODUCT((('CONTROL MASTER'!$S$2:$S$495=1)*('CONTROL MASTER'!$T$2:$T$495&lt;=6)*('CONTROL MASTER'!$V$2:$V$495&gt;=6)*('CONTROL MASTER'!$U$2:$U$495&lt;=6)*('CONTROL MASTER'!$W$2:$W$495&gt;=6))*ROW('CONTROL MASTER'!$S$2:$S$495))-(ROW('CONTROL MASTER'!#REF!)-1))))*(INDEX('CONTROL MASTER'!$W$2:$W$495,(SUMPRODUCT((('CONTROL MASTER'!$S$2:$S$495=1)*('CONTROL MASTER'!$T$2:$T$495&lt;=6)*('CONTROL MASTER'!$V$2:$V$495&gt;=6)*('CONTROL MASTER'!$U$2:$U$495&lt;=6)*('CONTROL MASTER'!$W$2:$W$495&gt;=6))*ROW('CONTROL MASTER'!$S$2:$S$495))-(ROW('CONTROL MASTER'!#REF!)-1)))-INDEX('CONTROL MASTER'!$U$2:$U$495,(SUMPRODUCT((('CONTROL MASTER'!$S$2:$S$495=1)*('CONTROL MASTER'!$T$2:$T$495&lt;=6)*('CONTROL MASTER'!$V$2:$V$495&gt;=6)*('CONTROL MASTER'!$U$2:$U$495&lt;=6)*('CONTROL MASTER'!$W$2:$W$495&gt;=6))*ROW('CONTROL MASTER'!$S$2:$S$495))-(ROW('CONTROL MASTER'!#REF!)-1)))+1)+(6-INDEX('CONTROL MASTER'!$U$2:$U$495,(SUMPRODUCT((('CONTROL MASTER'!$S$2:$S$495=1)*('CONTROL MASTER'!$T$2:$T$495&lt;=6)*('CONTROL MASTER'!$V$2:$V$495&gt;=6)*('CONTROL MASTER'!$U$2:$U$495&lt;=6)*('CONTROL MASTER'!$W$2:$W$495&gt;=6))*ROW('CONTROL MASTER'!$S$2:$S$495))-(ROW('CONTROL MASTER'!#REF!)-1))))+1))-1)*50+1,50))&amp;"_"&amp;INDEX('CONTROL MASTER'!$P$2:$P$495,(SUMPRODUCT((('CONTROL MASTER'!$S$2:$S$495=1)*('CONTROL MASTER'!$T$2:$T$495&lt;=6)*('CONTROL MASTER'!$V$2:$V$495&gt;=6)*('CONTROL MASTER'!$U$2:$U$495&lt;=6)*('CONTROL MASTER'!$W$2:$W$495&gt;=6))*ROW('CONTROL MASTER'!$S$2:$S$495))-(ROW('CONTROL MASTER'!#REF!)-1))),IF(SUMPRODUCT((('CONTROL MASTER'!$S$2:$S$495=1)*('CONTROL MASTER'!$Z$2:$Z$495&lt;=6)*('CONTROL MASTER'!$AB$2:$AB$495&gt;=6)*('CONTROL MASTER'!$AA$2:$AA$495&lt;=6)*('CONTROL MASTER'!$AC$2:$AC$495&gt;=6))*ROW('CONTROL MASTER'!$S$2:$S$495))&gt;0,INDEX('CONTROL MASTER'!$X$2:$X$495,(SUMPRODUCT((('CONTROL MASTER'!$S$2:$S$495=1)*('CONTROL MASTER'!$Z$2:$Z$495&lt;=6)*('CONTROL MASTER'!$AB$2:$AB$495&gt;=6)*('CONTROL MASTER'!$AA$2:$AA$495&lt;=6)*('CONTROL MASTER'!$AC$2:$AC$495&gt;=6))*ROW('CONTROL MASTER'!$S$2:$S$495))-(ROW('CONTROL MASTER'!#REF!)-1)))&amp;TRIM(MID(SUBSTITUTE(SUBSTITUTE(INDEX('CONTROL MASTER'!$N$2:$N$495,(SUMPRODUCT((('CONTROL MASTER'!$S$2:$S$495=1)*('CONTROL MASTER'!$Z$2:$Z$495&lt;=6)*('CONTROL MASTER'!$AB$2:$AB$495&gt;=6)*('CONTROL MASTER'!$AA$2:$AA$495&lt;=6)*('CONTROL MASTER'!$AC$2:$AC$495&gt;=6))*ROW('CONTROL MASTER'!$S$2:$S$495))-(ROW('CONTROL MASTER'!#REF!)-1))),":",","),",",REPT(" ",50)),(((INDEX('CONTROL MASTER'!$Y$2:$Y$495,(SUMPRODUCT((('CONTROL MASTER'!$S$2:$S$495=1)*('CONTROL MASTER'!$Z$2:$Z$495&lt;=6)*('CONTROL MASTER'!$AB$2:$AB$495&gt;=6)*('CONTROL MASTER'!$AA$2:$AA$495&lt;=6)*('CONTROL MASTER'!$AC$2:$AC$495&gt;=6))*ROW('CONTROL MASTER'!$S$2:$S$495))-(ROW('CONTROL MASTER'!#REF!)-1)))+((6-INDEX('CONTROL MASTER'!$Z$2:$Z$495,(SUMPRODUCT((('CONTROL MASTER'!$S$2:$S$495=1)*('CONTROL MASTER'!$Z$2:$Z$495&lt;=6)*('CONTROL MASTER'!$AB$2:$AB$495&gt;=6)*('CONTROL MASTER'!$AA$2:$AA$495&lt;=6)*('CONTROL MASTER'!$AC$2:$AC$495&gt;=6))*ROW('CONTROL MASTER'!$S$2:$S$495))-(ROW('CONTROL MASTER'!#REF!)-1))))*(INDEX('CONTROL MASTER'!$AC$2:$AC$495,(SUMPRODUCT((('CONTROL MASTER'!$S$2:$S$495=1)*('CONTROL MASTER'!$Z$2:$Z$495&lt;=6)*('CONTROL MASTER'!$AB$2:$AB$495&gt;=6)*('CONTROL MASTER'!$AA$2:$AA$495&lt;=6)*('CONTROL MASTER'!$AC$2:$AC$495&gt;=6))*ROW('CONTROL MASTER'!$S$2:$S$495))-(ROW('CONTROL MASTER'!#REF!)-1)))-INDEX('CONTROL MASTER'!$AA$2:$AA$495,(SUMPRODUCT((('CONTROL MASTER'!$S$2:$S$495=1)*('CONTROL MASTER'!$Z$2:$Z$495&lt;=6)*('CONTROL MASTER'!$AB$2:$AB$495&gt;=6)*('CONTROL MASTER'!$AA$2:$AA$495&lt;=6)*('CONTROL MASTER'!$AC$2:$AC$495&gt;=6))*ROW('CONTROL MASTER'!$S$2:$S$495))-(ROW('CONTROL MASTER'!#REF!)-1)))+1)+(6-INDEX('CONTROL MASTER'!$AA$2:$AA$495,(SUMPRODUCT((('CONTROL MASTER'!$S$2:$S$495=1)*('CONTROL MASTER'!$Z$2:$Z$495&lt;=6)*('CONTROL MASTER'!$AB$2:$AB$495&gt;=6)*('CONTROL MASTER'!$AA$2:$AA$495&lt;=6)*('CONTROL MASTER'!$AC$2:$AC$495&gt;=6))*ROW('CONTROL MASTER'!$S$2:$S$495))-(ROW('CONTROL MASTER'!#REF!)-1))))+1)))-1)*50+1,50))&amp;"_"&amp;INDEX('CONTROL MASTER'!$P$2:$P$495,(SUMPRODUCT((('CONTROL MASTER'!$S$2:$S$495=1)*('CONTROL MASTER'!$Z$2:$Z$495&lt;=6)*('CONTROL MASTER'!$AB$2:$AB$495&gt;=6)*('CONTROL MASTER'!$AA$2:$AA$495&lt;=6)*('CONTROL MASTER'!$AC$2:$AC$495&gt;=6))*ROW('CONTROL MASTER'!$S$2:$S$495))-(ROW('CONTROL MASTER'!#REF!)-1))),"")),"")</f>
        <v/>
      </c>
      <c r="H8" s="10" t="str">
        <f>IFERROR(IF(SUMPRODUCT((('CONTROL MASTER'!$S$2:$S$495=1)*('CONTROL MASTER'!$T$2:$T$495&lt;=6)*('CONTROL MASTER'!$V$2:$V$495&gt;=6)*('CONTROL MASTER'!$U$2:$U$495&lt;=7)*('CONTROL MASTER'!$W$2:$W$495&gt;=7))*ROW('CONTROL MASTER'!$S$2:$S$495))&gt;0,INDEX('CONTROL MASTER'!$X$2:$X$495,(SUMPRODUCT((('CONTROL MASTER'!$S$2:$S$495=1)*('CONTROL MASTER'!$T$2:$T$495&lt;=6)*('CONTROL MASTER'!$V$2:$V$495&gt;=6)*('CONTROL MASTER'!$U$2:$U$495&lt;=7)*('CONTROL MASTER'!$W$2:$W$495&gt;=7))*ROW('CONTROL MASTER'!$S$2:$S$495))-(ROW('CONTROL MASTER'!#REF!)-1)))&amp;TRIM(MID(SUBSTITUTE(SUBSTITUTE(INDEX('CONTROL MASTER'!$N$2:$N$495,(SUMPRODUCT((('CONTROL MASTER'!$S$2:$S$495=1)*('CONTROL MASTER'!$T$2:$T$495&lt;=6)*('CONTROL MASTER'!$V$2:$V$495&gt;=6)*('CONTROL MASTER'!$U$2:$U$495&lt;=7)*('CONTROL MASTER'!$W$2:$W$495&gt;=7))*ROW('CONTROL MASTER'!$S$2:$S$495))-(ROW('CONTROL MASTER'!#REF!)-1))),":",","),",",REPT(" ",50)),((((6-INDEX('CONTROL MASTER'!$T$2:$T$495,(SUMPRODUCT((('CONTROL MASTER'!$S$2:$S$495=1)*('CONTROL MASTER'!$T$2:$T$495&lt;=6)*('CONTROL MASTER'!$V$2:$V$495&gt;=6)*('CONTROL MASTER'!$U$2:$U$495&lt;=7)*('CONTROL MASTER'!$W$2:$W$495&gt;=7))*ROW('CONTROL MASTER'!$S$2:$S$495))-(ROW('CONTROL MASTER'!#REF!)-1))))*(INDEX('CONTROL MASTER'!$W$2:$W$495,(SUMPRODUCT((('CONTROL MASTER'!$S$2:$S$495=1)*('CONTROL MASTER'!$T$2:$T$495&lt;=6)*('CONTROL MASTER'!$V$2:$V$495&gt;=6)*('CONTROL MASTER'!$U$2:$U$495&lt;=7)*('CONTROL MASTER'!$W$2:$W$495&gt;=7))*ROW('CONTROL MASTER'!$S$2:$S$495))-(ROW('CONTROL MASTER'!#REF!)-1)))-INDEX('CONTROL MASTER'!$U$2:$U$495,(SUMPRODUCT((('CONTROL MASTER'!$S$2:$S$495=1)*('CONTROL MASTER'!$T$2:$T$495&lt;=6)*('CONTROL MASTER'!$V$2:$V$495&gt;=6)*('CONTROL MASTER'!$U$2:$U$495&lt;=7)*('CONTROL MASTER'!$W$2:$W$495&gt;=7))*ROW('CONTROL MASTER'!$S$2:$S$495))-(ROW('CONTROL MASTER'!#REF!)-1)))+1)+(7-INDEX('CONTROL MASTER'!$U$2:$U$495,(SUMPRODUCT((('CONTROL MASTER'!$S$2:$S$495=1)*('CONTROL MASTER'!$T$2:$T$495&lt;=6)*('CONTROL MASTER'!$V$2:$V$495&gt;=6)*('CONTROL MASTER'!$U$2:$U$495&lt;=7)*('CONTROL MASTER'!$W$2:$W$495&gt;=7))*ROW('CONTROL MASTER'!$S$2:$S$495))-(ROW('CONTROL MASTER'!#REF!)-1))))+1))-1)*50+1,50))&amp;"_"&amp;INDEX('CONTROL MASTER'!$P$2:$P$495,(SUMPRODUCT((('CONTROL MASTER'!$S$2:$S$495=1)*('CONTROL MASTER'!$T$2:$T$495&lt;=6)*('CONTROL MASTER'!$V$2:$V$495&gt;=6)*('CONTROL MASTER'!$U$2:$U$495&lt;=7)*('CONTROL MASTER'!$W$2:$W$495&gt;=7))*ROW('CONTROL MASTER'!$S$2:$S$495))-(ROW('CONTROL MASTER'!#REF!)-1))),IF(SUMPRODUCT((('CONTROL MASTER'!$S$2:$S$495=1)*('CONTROL MASTER'!$Z$2:$Z$495&lt;=6)*('CONTROL MASTER'!$AB$2:$AB$495&gt;=6)*('CONTROL MASTER'!$AA$2:$AA$495&lt;=7)*('CONTROL MASTER'!$AC$2:$AC$495&gt;=7))*ROW('CONTROL MASTER'!$S$2:$S$495))&gt;0,INDEX('CONTROL MASTER'!$X$2:$X$495,(SUMPRODUCT((('CONTROL MASTER'!$S$2:$S$495=1)*('CONTROL MASTER'!$Z$2:$Z$495&lt;=6)*('CONTROL MASTER'!$AB$2:$AB$495&gt;=6)*('CONTROL MASTER'!$AA$2:$AA$495&lt;=7)*('CONTROL MASTER'!$AC$2:$AC$495&gt;=7))*ROW('CONTROL MASTER'!$S$2:$S$495))-(ROW('CONTROL MASTER'!#REF!)-1)))&amp;TRIM(MID(SUBSTITUTE(SUBSTITUTE(INDEX('CONTROL MASTER'!$N$2:$N$495,(SUMPRODUCT((('CONTROL MASTER'!$S$2:$S$495=1)*('CONTROL MASTER'!$Z$2:$Z$495&lt;=6)*('CONTROL MASTER'!$AB$2:$AB$495&gt;=6)*('CONTROL MASTER'!$AA$2:$AA$495&lt;=7)*('CONTROL MASTER'!$AC$2:$AC$495&gt;=7))*ROW('CONTROL MASTER'!$S$2:$S$495))-(ROW('CONTROL MASTER'!#REF!)-1))),":",","),",",REPT(" ",50)),(((INDEX('CONTROL MASTER'!$Y$2:$Y$495,(SUMPRODUCT((('CONTROL MASTER'!$S$2:$S$495=1)*('CONTROL MASTER'!$Z$2:$Z$495&lt;=6)*('CONTROL MASTER'!$AB$2:$AB$495&gt;=6)*('CONTROL MASTER'!$AA$2:$AA$495&lt;=7)*('CONTROL MASTER'!$AC$2:$AC$495&gt;=7))*ROW('CONTROL MASTER'!$S$2:$S$495))-(ROW('CONTROL MASTER'!#REF!)-1)))+((6-INDEX('CONTROL MASTER'!$Z$2:$Z$495,(SUMPRODUCT((('CONTROL MASTER'!$S$2:$S$495=1)*('CONTROL MASTER'!$Z$2:$Z$495&lt;=6)*('CONTROL MASTER'!$AB$2:$AB$495&gt;=6)*('CONTROL MASTER'!$AA$2:$AA$495&lt;=7)*('CONTROL MASTER'!$AC$2:$AC$495&gt;=7))*ROW('CONTROL MASTER'!$S$2:$S$495))-(ROW('CONTROL MASTER'!#REF!)-1))))*(INDEX('CONTROL MASTER'!$AC$2:$AC$495,(SUMPRODUCT((('CONTROL MASTER'!$S$2:$S$495=1)*('CONTROL MASTER'!$Z$2:$Z$495&lt;=6)*('CONTROL MASTER'!$AB$2:$AB$495&gt;=6)*('CONTROL MASTER'!$AA$2:$AA$495&lt;=7)*('CONTROL MASTER'!$AC$2:$AC$495&gt;=7))*ROW('CONTROL MASTER'!$S$2:$S$495))-(ROW('CONTROL MASTER'!#REF!)-1)))-INDEX('CONTROL MASTER'!$AA$2:$AA$495,(SUMPRODUCT((('CONTROL MASTER'!$S$2:$S$495=1)*('CONTROL MASTER'!$Z$2:$Z$495&lt;=6)*('CONTROL MASTER'!$AB$2:$AB$495&gt;=6)*('CONTROL MASTER'!$AA$2:$AA$495&lt;=7)*('CONTROL MASTER'!$AC$2:$AC$495&gt;=7))*ROW('CONTROL MASTER'!$S$2:$S$495))-(ROW('CONTROL MASTER'!#REF!)-1)))+1)+(7-INDEX('CONTROL MASTER'!$AA$2:$AA$495,(SUMPRODUCT((('CONTROL MASTER'!$S$2:$S$495=1)*('CONTROL MASTER'!$Z$2:$Z$495&lt;=6)*('CONTROL MASTER'!$AB$2:$AB$495&gt;=6)*('CONTROL MASTER'!$AA$2:$AA$495&lt;=7)*('CONTROL MASTER'!$AC$2:$AC$495&gt;=7))*ROW('CONTROL MASTER'!$S$2:$S$495))-(ROW('CONTROL MASTER'!#REF!)-1))))+1)))-1)*50+1,50))&amp;"_"&amp;INDEX('CONTROL MASTER'!$P$2:$P$495,(SUMPRODUCT((('CONTROL MASTER'!$S$2:$S$495=1)*('CONTROL MASTER'!$Z$2:$Z$495&lt;=6)*('CONTROL MASTER'!$AB$2:$AB$495&gt;=6)*('CONTROL MASTER'!$AA$2:$AA$495&lt;=7)*('CONTROL MASTER'!$AC$2:$AC$495&gt;=7))*ROW('CONTROL MASTER'!$S$2:$S$495))-(ROW('CONTROL MASTER'!#REF!)-1))),"")),"")</f>
        <v/>
      </c>
      <c r="I8" s="10" t="str">
        <f>IFERROR(IF(SUMPRODUCT((('CONTROL MASTER'!$S$2:$S$495=1)*('CONTROL MASTER'!$T$2:$T$495&lt;=6)*('CONTROL MASTER'!$V$2:$V$495&gt;=6)*('CONTROL MASTER'!$U$2:$U$495&lt;=8)*('CONTROL MASTER'!$W$2:$W$495&gt;=8))*ROW('CONTROL MASTER'!$S$2:$S$495))&gt;0,INDEX('CONTROL MASTER'!$X$2:$X$495,(SUMPRODUCT((('CONTROL MASTER'!$S$2:$S$495=1)*('CONTROL MASTER'!$T$2:$T$495&lt;=6)*('CONTROL MASTER'!$V$2:$V$495&gt;=6)*('CONTROL MASTER'!$U$2:$U$495&lt;=8)*('CONTROL MASTER'!$W$2:$W$495&gt;=8))*ROW('CONTROL MASTER'!$S$2:$S$495))-(ROW('CONTROL MASTER'!#REF!)-1)))&amp;TRIM(MID(SUBSTITUTE(SUBSTITUTE(INDEX('CONTROL MASTER'!$N$2:$N$495,(SUMPRODUCT((('CONTROL MASTER'!$S$2:$S$495=1)*('CONTROL MASTER'!$T$2:$T$495&lt;=6)*('CONTROL MASTER'!$V$2:$V$495&gt;=6)*('CONTROL MASTER'!$U$2:$U$495&lt;=8)*('CONTROL MASTER'!$W$2:$W$495&gt;=8))*ROW('CONTROL MASTER'!$S$2:$S$495))-(ROW('CONTROL MASTER'!#REF!)-1))),":",","),",",REPT(" ",50)),((((6-INDEX('CONTROL MASTER'!$T$2:$T$495,(SUMPRODUCT((('CONTROL MASTER'!$S$2:$S$495=1)*('CONTROL MASTER'!$T$2:$T$495&lt;=6)*('CONTROL MASTER'!$V$2:$V$495&gt;=6)*('CONTROL MASTER'!$U$2:$U$495&lt;=8)*('CONTROL MASTER'!$W$2:$W$495&gt;=8))*ROW('CONTROL MASTER'!$S$2:$S$495))-(ROW('CONTROL MASTER'!#REF!)-1))))*(INDEX('CONTROL MASTER'!$W$2:$W$495,(SUMPRODUCT((('CONTROL MASTER'!$S$2:$S$495=1)*('CONTROL MASTER'!$T$2:$T$495&lt;=6)*('CONTROL MASTER'!$V$2:$V$495&gt;=6)*('CONTROL MASTER'!$U$2:$U$495&lt;=8)*('CONTROL MASTER'!$W$2:$W$495&gt;=8))*ROW('CONTROL MASTER'!$S$2:$S$495))-(ROW('CONTROL MASTER'!#REF!)-1)))-INDEX('CONTROL MASTER'!$U$2:$U$495,(SUMPRODUCT((('CONTROL MASTER'!$S$2:$S$495=1)*('CONTROL MASTER'!$T$2:$T$495&lt;=6)*('CONTROL MASTER'!$V$2:$V$495&gt;=6)*('CONTROL MASTER'!$U$2:$U$495&lt;=8)*('CONTROL MASTER'!$W$2:$W$495&gt;=8))*ROW('CONTROL MASTER'!$S$2:$S$495))-(ROW('CONTROL MASTER'!#REF!)-1)))+1)+(8-INDEX('CONTROL MASTER'!$U$2:$U$495,(SUMPRODUCT((('CONTROL MASTER'!$S$2:$S$495=1)*('CONTROL MASTER'!$T$2:$T$495&lt;=6)*('CONTROL MASTER'!$V$2:$V$495&gt;=6)*('CONTROL MASTER'!$U$2:$U$495&lt;=8)*('CONTROL MASTER'!$W$2:$W$495&gt;=8))*ROW('CONTROL MASTER'!$S$2:$S$495))-(ROW('CONTROL MASTER'!#REF!)-1))))+1))-1)*50+1,50))&amp;"_"&amp;INDEX('CONTROL MASTER'!$P$2:$P$495,(SUMPRODUCT((('CONTROL MASTER'!$S$2:$S$495=1)*('CONTROL MASTER'!$T$2:$T$495&lt;=6)*('CONTROL MASTER'!$V$2:$V$495&gt;=6)*('CONTROL MASTER'!$U$2:$U$495&lt;=8)*('CONTROL MASTER'!$W$2:$W$495&gt;=8))*ROW('CONTROL MASTER'!$S$2:$S$495))-(ROW('CONTROL MASTER'!#REF!)-1))),IF(SUMPRODUCT((('CONTROL MASTER'!$S$2:$S$495=1)*('CONTROL MASTER'!$Z$2:$Z$495&lt;=6)*('CONTROL MASTER'!$AB$2:$AB$495&gt;=6)*('CONTROL MASTER'!$AA$2:$AA$495&lt;=8)*('CONTROL MASTER'!$AC$2:$AC$495&gt;=8))*ROW('CONTROL MASTER'!$S$2:$S$495))&gt;0,INDEX('CONTROL MASTER'!$X$2:$X$495,(SUMPRODUCT((('CONTROL MASTER'!$S$2:$S$495=1)*('CONTROL MASTER'!$Z$2:$Z$495&lt;=6)*('CONTROL MASTER'!$AB$2:$AB$495&gt;=6)*('CONTROL MASTER'!$AA$2:$AA$495&lt;=8)*('CONTROL MASTER'!$AC$2:$AC$495&gt;=8))*ROW('CONTROL MASTER'!$S$2:$S$495))-(ROW('CONTROL MASTER'!#REF!)-1)))&amp;TRIM(MID(SUBSTITUTE(SUBSTITUTE(INDEX('CONTROL MASTER'!$N$2:$N$495,(SUMPRODUCT((('CONTROL MASTER'!$S$2:$S$495=1)*('CONTROL MASTER'!$Z$2:$Z$495&lt;=6)*('CONTROL MASTER'!$AB$2:$AB$495&gt;=6)*('CONTROL MASTER'!$AA$2:$AA$495&lt;=8)*('CONTROL MASTER'!$AC$2:$AC$495&gt;=8))*ROW('CONTROL MASTER'!$S$2:$S$495))-(ROW('CONTROL MASTER'!#REF!)-1))),":",","),",",REPT(" ",50)),(((INDEX('CONTROL MASTER'!$Y$2:$Y$495,(SUMPRODUCT((('CONTROL MASTER'!$S$2:$S$495=1)*('CONTROL MASTER'!$Z$2:$Z$495&lt;=6)*('CONTROL MASTER'!$AB$2:$AB$495&gt;=6)*('CONTROL MASTER'!$AA$2:$AA$495&lt;=8)*('CONTROL MASTER'!$AC$2:$AC$495&gt;=8))*ROW('CONTROL MASTER'!$S$2:$S$495))-(ROW('CONTROL MASTER'!#REF!)-1)))+((6-INDEX('CONTROL MASTER'!$Z$2:$Z$495,(SUMPRODUCT((('CONTROL MASTER'!$S$2:$S$495=1)*('CONTROL MASTER'!$Z$2:$Z$495&lt;=6)*('CONTROL MASTER'!$AB$2:$AB$495&gt;=6)*('CONTROL MASTER'!$AA$2:$AA$495&lt;=8)*('CONTROL MASTER'!$AC$2:$AC$495&gt;=8))*ROW('CONTROL MASTER'!$S$2:$S$495))-(ROW('CONTROL MASTER'!#REF!)-1))))*(INDEX('CONTROL MASTER'!$AC$2:$AC$495,(SUMPRODUCT((('CONTROL MASTER'!$S$2:$S$495=1)*('CONTROL MASTER'!$Z$2:$Z$495&lt;=6)*('CONTROL MASTER'!$AB$2:$AB$495&gt;=6)*('CONTROL MASTER'!$AA$2:$AA$495&lt;=8)*('CONTROL MASTER'!$AC$2:$AC$495&gt;=8))*ROW('CONTROL MASTER'!$S$2:$S$495))-(ROW('CONTROL MASTER'!#REF!)-1)))-INDEX('CONTROL MASTER'!$AA$2:$AA$495,(SUMPRODUCT((('CONTROL MASTER'!$S$2:$S$495=1)*('CONTROL MASTER'!$Z$2:$Z$495&lt;=6)*('CONTROL MASTER'!$AB$2:$AB$495&gt;=6)*('CONTROL MASTER'!$AA$2:$AA$495&lt;=8)*('CONTROL MASTER'!$AC$2:$AC$495&gt;=8))*ROW('CONTROL MASTER'!$S$2:$S$495))-(ROW('CONTROL MASTER'!#REF!)-1)))+1)+(8-INDEX('CONTROL MASTER'!$AA$2:$AA$495,(SUMPRODUCT((('CONTROL MASTER'!$S$2:$S$495=1)*('CONTROL MASTER'!$Z$2:$Z$495&lt;=6)*('CONTROL MASTER'!$AB$2:$AB$495&gt;=6)*('CONTROL MASTER'!$AA$2:$AA$495&lt;=8)*('CONTROL MASTER'!$AC$2:$AC$495&gt;=8))*ROW('CONTROL MASTER'!$S$2:$S$495))-(ROW('CONTROL MASTER'!#REF!)-1))))+1)))-1)*50+1,50))&amp;"_"&amp;INDEX('CONTROL MASTER'!$P$2:$P$495,(SUMPRODUCT((('CONTROL MASTER'!$S$2:$S$495=1)*('CONTROL MASTER'!$Z$2:$Z$495&lt;=6)*('CONTROL MASTER'!$AB$2:$AB$495&gt;=6)*('CONTROL MASTER'!$AA$2:$AA$495&lt;=8)*('CONTROL MASTER'!$AC$2:$AC$495&gt;=8))*ROW('CONTROL MASTER'!$S$2:$S$495))-(ROW('CONTROL MASTER'!#REF!)-1))),"")),"")</f>
        <v/>
      </c>
      <c r="J8" s="10" t="str">
        <f>IFERROR(IF(SUMPRODUCT((('CONTROL MASTER'!$S$2:$S$495=1)*('CONTROL MASTER'!$T$2:$T$495&lt;=6)*('CONTROL MASTER'!$V$2:$V$495&gt;=6)*('CONTROL MASTER'!$U$2:$U$495&lt;=9)*('CONTROL MASTER'!$W$2:$W$495&gt;=9))*ROW('CONTROL MASTER'!$S$2:$S$495))&gt;0,INDEX('CONTROL MASTER'!$X$2:$X$495,(SUMPRODUCT((('CONTROL MASTER'!$S$2:$S$495=1)*('CONTROL MASTER'!$T$2:$T$495&lt;=6)*('CONTROL MASTER'!$V$2:$V$495&gt;=6)*('CONTROL MASTER'!$U$2:$U$495&lt;=9)*('CONTROL MASTER'!$W$2:$W$495&gt;=9))*ROW('CONTROL MASTER'!$S$2:$S$495))-(ROW('CONTROL MASTER'!#REF!)-1)))&amp;TRIM(MID(SUBSTITUTE(SUBSTITUTE(INDEX('CONTROL MASTER'!$N$2:$N$495,(SUMPRODUCT((('CONTROL MASTER'!$S$2:$S$495=1)*('CONTROL MASTER'!$T$2:$T$495&lt;=6)*('CONTROL MASTER'!$V$2:$V$495&gt;=6)*('CONTROL MASTER'!$U$2:$U$495&lt;=9)*('CONTROL MASTER'!$W$2:$W$495&gt;=9))*ROW('CONTROL MASTER'!$S$2:$S$495))-(ROW('CONTROL MASTER'!#REF!)-1))),":",","),",",REPT(" ",50)),((((6-INDEX('CONTROL MASTER'!$T$2:$T$495,(SUMPRODUCT((('CONTROL MASTER'!$S$2:$S$495=1)*('CONTROL MASTER'!$T$2:$T$495&lt;=6)*('CONTROL MASTER'!$V$2:$V$495&gt;=6)*('CONTROL MASTER'!$U$2:$U$495&lt;=9)*('CONTROL MASTER'!$W$2:$W$495&gt;=9))*ROW('CONTROL MASTER'!$S$2:$S$495))-(ROW('CONTROL MASTER'!#REF!)-1))))*(INDEX('CONTROL MASTER'!$W$2:$W$495,(SUMPRODUCT((('CONTROL MASTER'!$S$2:$S$495=1)*('CONTROL MASTER'!$T$2:$T$495&lt;=6)*('CONTROL MASTER'!$V$2:$V$495&gt;=6)*('CONTROL MASTER'!$U$2:$U$495&lt;=9)*('CONTROL MASTER'!$W$2:$W$495&gt;=9))*ROW('CONTROL MASTER'!$S$2:$S$495))-(ROW('CONTROL MASTER'!#REF!)-1)))-INDEX('CONTROL MASTER'!$U$2:$U$495,(SUMPRODUCT((('CONTROL MASTER'!$S$2:$S$495=1)*('CONTROL MASTER'!$T$2:$T$495&lt;=6)*('CONTROL MASTER'!$V$2:$V$495&gt;=6)*('CONTROL MASTER'!$U$2:$U$495&lt;=9)*('CONTROL MASTER'!$W$2:$W$495&gt;=9))*ROW('CONTROL MASTER'!$S$2:$S$495))-(ROW('CONTROL MASTER'!#REF!)-1)))+1)+(9-INDEX('CONTROL MASTER'!$U$2:$U$495,(SUMPRODUCT((('CONTROL MASTER'!$S$2:$S$495=1)*('CONTROL MASTER'!$T$2:$T$495&lt;=6)*('CONTROL MASTER'!$V$2:$V$495&gt;=6)*('CONTROL MASTER'!$U$2:$U$495&lt;=9)*('CONTROL MASTER'!$W$2:$W$495&gt;=9))*ROW('CONTROL MASTER'!$S$2:$S$495))-(ROW('CONTROL MASTER'!#REF!)-1))))+1))-1)*50+1,50))&amp;"_"&amp;INDEX('CONTROL MASTER'!$P$2:$P$495,(SUMPRODUCT((('CONTROL MASTER'!$S$2:$S$495=1)*('CONTROL MASTER'!$T$2:$T$495&lt;=6)*('CONTROL MASTER'!$V$2:$V$495&gt;=6)*('CONTROL MASTER'!$U$2:$U$495&lt;=9)*('CONTROL MASTER'!$W$2:$W$495&gt;=9))*ROW('CONTROL MASTER'!$S$2:$S$495))-(ROW('CONTROL MASTER'!#REF!)-1))),IF(SUMPRODUCT((('CONTROL MASTER'!$S$2:$S$495=1)*('CONTROL MASTER'!$Z$2:$Z$495&lt;=6)*('CONTROL MASTER'!$AB$2:$AB$495&gt;=6)*('CONTROL MASTER'!$AA$2:$AA$495&lt;=9)*('CONTROL MASTER'!$AC$2:$AC$495&gt;=9))*ROW('CONTROL MASTER'!$S$2:$S$495))&gt;0,INDEX('CONTROL MASTER'!$X$2:$X$495,(SUMPRODUCT((('CONTROL MASTER'!$S$2:$S$495=1)*('CONTROL MASTER'!$Z$2:$Z$495&lt;=6)*('CONTROL MASTER'!$AB$2:$AB$495&gt;=6)*('CONTROL MASTER'!$AA$2:$AA$495&lt;=9)*('CONTROL MASTER'!$AC$2:$AC$495&gt;=9))*ROW('CONTROL MASTER'!$S$2:$S$495))-(ROW('CONTROL MASTER'!#REF!)-1)))&amp;TRIM(MID(SUBSTITUTE(SUBSTITUTE(INDEX('CONTROL MASTER'!$N$2:$N$495,(SUMPRODUCT((('CONTROL MASTER'!$S$2:$S$495=1)*('CONTROL MASTER'!$Z$2:$Z$495&lt;=6)*('CONTROL MASTER'!$AB$2:$AB$495&gt;=6)*('CONTROL MASTER'!$AA$2:$AA$495&lt;=9)*('CONTROL MASTER'!$AC$2:$AC$495&gt;=9))*ROW('CONTROL MASTER'!$S$2:$S$495))-(ROW('CONTROL MASTER'!#REF!)-1))),":",","),",",REPT(" ",50)),(((INDEX('CONTROL MASTER'!$Y$2:$Y$495,(SUMPRODUCT((('CONTROL MASTER'!$S$2:$S$495=1)*('CONTROL MASTER'!$Z$2:$Z$495&lt;=6)*('CONTROL MASTER'!$AB$2:$AB$495&gt;=6)*('CONTROL MASTER'!$AA$2:$AA$495&lt;=9)*('CONTROL MASTER'!$AC$2:$AC$495&gt;=9))*ROW('CONTROL MASTER'!$S$2:$S$495))-(ROW('CONTROL MASTER'!#REF!)-1)))+((6-INDEX('CONTROL MASTER'!$Z$2:$Z$495,(SUMPRODUCT((('CONTROL MASTER'!$S$2:$S$495=1)*('CONTROL MASTER'!$Z$2:$Z$495&lt;=6)*('CONTROL MASTER'!$AB$2:$AB$495&gt;=6)*('CONTROL MASTER'!$AA$2:$AA$495&lt;=9)*('CONTROL MASTER'!$AC$2:$AC$495&gt;=9))*ROW('CONTROL MASTER'!$S$2:$S$495))-(ROW('CONTROL MASTER'!#REF!)-1))))*(INDEX('CONTROL MASTER'!$AC$2:$AC$495,(SUMPRODUCT((('CONTROL MASTER'!$S$2:$S$495=1)*('CONTROL MASTER'!$Z$2:$Z$495&lt;=6)*('CONTROL MASTER'!$AB$2:$AB$495&gt;=6)*('CONTROL MASTER'!$AA$2:$AA$495&lt;=9)*('CONTROL MASTER'!$AC$2:$AC$495&gt;=9))*ROW('CONTROL MASTER'!$S$2:$S$495))-(ROW('CONTROL MASTER'!#REF!)-1)))-INDEX('CONTROL MASTER'!$AA$2:$AA$495,(SUMPRODUCT((('CONTROL MASTER'!$S$2:$S$495=1)*('CONTROL MASTER'!$Z$2:$Z$495&lt;=6)*('CONTROL MASTER'!$AB$2:$AB$495&gt;=6)*('CONTROL MASTER'!$AA$2:$AA$495&lt;=9)*('CONTROL MASTER'!$AC$2:$AC$495&gt;=9))*ROW('CONTROL MASTER'!$S$2:$S$495))-(ROW('CONTROL MASTER'!#REF!)-1)))+1)+(9-INDEX('CONTROL MASTER'!$AA$2:$AA$495,(SUMPRODUCT((('CONTROL MASTER'!$S$2:$S$495=1)*('CONTROL MASTER'!$Z$2:$Z$495&lt;=6)*('CONTROL MASTER'!$AB$2:$AB$495&gt;=6)*('CONTROL MASTER'!$AA$2:$AA$495&lt;=9)*('CONTROL MASTER'!$AC$2:$AC$495&gt;=9))*ROW('CONTROL MASTER'!$S$2:$S$495))-(ROW('CONTROL MASTER'!#REF!)-1))))+1)))-1)*50+1,50))&amp;"_"&amp;INDEX('CONTROL MASTER'!$P$2:$P$495,(SUMPRODUCT((('CONTROL MASTER'!$S$2:$S$495=1)*('CONTROL MASTER'!$Z$2:$Z$495&lt;=6)*('CONTROL MASTER'!$AB$2:$AB$495&gt;=6)*('CONTROL MASTER'!$AA$2:$AA$495&lt;=9)*('CONTROL MASTER'!$AC$2:$AC$495&gt;=9))*ROW('CONTROL MASTER'!$S$2:$S$495))-(ROW('CONTROL MASTER'!#REF!)-1))),"")),"")</f>
        <v/>
      </c>
      <c r="K8" s="10" t="str">
        <f>IFERROR(IF(SUMPRODUCT((('CONTROL MASTER'!$S$2:$S$495=1)*('CONTROL MASTER'!$T$2:$T$495&lt;=6)*('CONTROL MASTER'!$V$2:$V$495&gt;=6)*('CONTROL MASTER'!$U$2:$U$495&lt;=10)*('CONTROL MASTER'!$W$2:$W$495&gt;=10))*ROW('CONTROL MASTER'!$S$2:$S$495))&gt;0,INDEX('CONTROL MASTER'!$X$2:$X$495,(SUMPRODUCT((('CONTROL MASTER'!$S$2:$S$495=1)*('CONTROL MASTER'!$T$2:$T$495&lt;=6)*('CONTROL MASTER'!$V$2:$V$495&gt;=6)*('CONTROL MASTER'!$U$2:$U$495&lt;=10)*('CONTROL MASTER'!$W$2:$W$495&gt;=10))*ROW('CONTROL MASTER'!$S$2:$S$495))-(ROW('CONTROL MASTER'!#REF!)-1)))&amp;TRIM(MID(SUBSTITUTE(SUBSTITUTE(INDEX('CONTROL MASTER'!$N$2:$N$495,(SUMPRODUCT((('CONTROL MASTER'!$S$2:$S$495=1)*('CONTROL MASTER'!$T$2:$T$495&lt;=6)*('CONTROL MASTER'!$V$2:$V$495&gt;=6)*('CONTROL MASTER'!$U$2:$U$495&lt;=10)*('CONTROL MASTER'!$W$2:$W$495&gt;=10))*ROW('CONTROL MASTER'!$S$2:$S$495))-(ROW('CONTROL MASTER'!#REF!)-1))),":",","),",",REPT(" ",50)),((((6-INDEX('CONTROL MASTER'!$T$2:$T$495,(SUMPRODUCT((('CONTROL MASTER'!$S$2:$S$495=1)*('CONTROL MASTER'!$T$2:$T$495&lt;=6)*('CONTROL MASTER'!$V$2:$V$495&gt;=6)*('CONTROL MASTER'!$U$2:$U$495&lt;=10)*('CONTROL MASTER'!$W$2:$W$495&gt;=10))*ROW('CONTROL MASTER'!$S$2:$S$495))-(ROW('CONTROL MASTER'!#REF!)-1))))*(INDEX('CONTROL MASTER'!$W$2:$W$495,(SUMPRODUCT((('CONTROL MASTER'!$S$2:$S$495=1)*('CONTROL MASTER'!$T$2:$T$495&lt;=6)*('CONTROL MASTER'!$V$2:$V$495&gt;=6)*('CONTROL MASTER'!$U$2:$U$495&lt;=10)*('CONTROL MASTER'!$W$2:$W$495&gt;=10))*ROW('CONTROL MASTER'!$S$2:$S$495))-(ROW('CONTROL MASTER'!#REF!)-1)))-INDEX('CONTROL MASTER'!$U$2:$U$495,(SUMPRODUCT((('CONTROL MASTER'!$S$2:$S$495=1)*('CONTROL MASTER'!$T$2:$T$495&lt;=6)*('CONTROL MASTER'!$V$2:$V$495&gt;=6)*('CONTROL MASTER'!$U$2:$U$495&lt;=10)*('CONTROL MASTER'!$W$2:$W$495&gt;=10))*ROW('CONTROL MASTER'!$S$2:$S$495))-(ROW('CONTROL MASTER'!#REF!)-1)))+1)+(10-INDEX('CONTROL MASTER'!$U$2:$U$495,(SUMPRODUCT((('CONTROL MASTER'!$S$2:$S$495=1)*('CONTROL MASTER'!$T$2:$T$495&lt;=6)*('CONTROL MASTER'!$V$2:$V$495&gt;=6)*('CONTROL MASTER'!$U$2:$U$495&lt;=10)*('CONTROL MASTER'!$W$2:$W$495&gt;=10))*ROW('CONTROL MASTER'!$S$2:$S$495))-(ROW('CONTROL MASTER'!#REF!)-1))))+1))-1)*50+1,50))&amp;"_"&amp;INDEX('CONTROL MASTER'!$P$2:$P$495,(SUMPRODUCT((('CONTROL MASTER'!$S$2:$S$495=1)*('CONTROL MASTER'!$T$2:$T$495&lt;=6)*('CONTROL MASTER'!$V$2:$V$495&gt;=6)*('CONTROL MASTER'!$U$2:$U$495&lt;=10)*('CONTROL MASTER'!$W$2:$W$495&gt;=10))*ROW('CONTROL MASTER'!$S$2:$S$495))-(ROW('CONTROL MASTER'!#REF!)-1))),IF(SUMPRODUCT((('CONTROL MASTER'!$S$2:$S$495=1)*('CONTROL MASTER'!$Z$2:$Z$495&lt;=6)*('CONTROL MASTER'!$AB$2:$AB$495&gt;=6)*('CONTROL MASTER'!$AA$2:$AA$495&lt;=10)*('CONTROL MASTER'!$AC$2:$AC$495&gt;=10))*ROW('CONTROL MASTER'!$S$2:$S$495))&gt;0,INDEX('CONTROL MASTER'!$X$2:$X$495,(SUMPRODUCT((('CONTROL MASTER'!$S$2:$S$495=1)*('CONTROL MASTER'!$Z$2:$Z$495&lt;=6)*('CONTROL MASTER'!$AB$2:$AB$495&gt;=6)*('CONTROL MASTER'!$AA$2:$AA$495&lt;=10)*('CONTROL MASTER'!$AC$2:$AC$495&gt;=10))*ROW('CONTROL MASTER'!$S$2:$S$495))-(ROW('CONTROL MASTER'!#REF!)-1)))&amp;TRIM(MID(SUBSTITUTE(SUBSTITUTE(INDEX('CONTROL MASTER'!$N$2:$N$495,(SUMPRODUCT((('CONTROL MASTER'!$S$2:$S$495=1)*('CONTROL MASTER'!$Z$2:$Z$495&lt;=6)*('CONTROL MASTER'!$AB$2:$AB$495&gt;=6)*('CONTROL MASTER'!$AA$2:$AA$495&lt;=10)*('CONTROL MASTER'!$AC$2:$AC$495&gt;=10))*ROW('CONTROL MASTER'!$S$2:$S$495))-(ROW('CONTROL MASTER'!#REF!)-1))),":",","),",",REPT(" ",50)),(((INDEX('CONTROL MASTER'!$Y$2:$Y$495,(SUMPRODUCT((('CONTROL MASTER'!$S$2:$S$495=1)*('CONTROL MASTER'!$Z$2:$Z$495&lt;=6)*('CONTROL MASTER'!$AB$2:$AB$495&gt;=6)*('CONTROL MASTER'!$AA$2:$AA$495&lt;=10)*('CONTROL MASTER'!$AC$2:$AC$495&gt;=10))*ROW('CONTROL MASTER'!$S$2:$S$495))-(ROW('CONTROL MASTER'!#REF!)-1)))+((6-INDEX('CONTROL MASTER'!$Z$2:$Z$495,(SUMPRODUCT((('CONTROL MASTER'!$S$2:$S$495=1)*('CONTROL MASTER'!$Z$2:$Z$495&lt;=6)*('CONTROL MASTER'!$AB$2:$AB$495&gt;=6)*('CONTROL MASTER'!$AA$2:$AA$495&lt;=10)*('CONTROL MASTER'!$AC$2:$AC$495&gt;=10))*ROW('CONTROL MASTER'!$S$2:$S$495))-(ROW('CONTROL MASTER'!#REF!)-1))))*(INDEX('CONTROL MASTER'!$AC$2:$AC$495,(SUMPRODUCT((('CONTROL MASTER'!$S$2:$S$495=1)*('CONTROL MASTER'!$Z$2:$Z$495&lt;=6)*('CONTROL MASTER'!$AB$2:$AB$495&gt;=6)*('CONTROL MASTER'!$AA$2:$AA$495&lt;=10)*('CONTROL MASTER'!$AC$2:$AC$495&gt;=10))*ROW('CONTROL MASTER'!$S$2:$S$495))-(ROW('CONTROL MASTER'!#REF!)-1)))-INDEX('CONTROL MASTER'!$AA$2:$AA$495,(SUMPRODUCT((('CONTROL MASTER'!$S$2:$S$495=1)*('CONTROL MASTER'!$Z$2:$Z$495&lt;=6)*('CONTROL MASTER'!$AB$2:$AB$495&gt;=6)*('CONTROL MASTER'!$AA$2:$AA$495&lt;=10)*('CONTROL MASTER'!$AC$2:$AC$495&gt;=10))*ROW('CONTROL MASTER'!$S$2:$S$495))-(ROW('CONTROL MASTER'!#REF!)-1)))+1)+(10-INDEX('CONTROL MASTER'!$AA$2:$AA$495,(SUMPRODUCT((('CONTROL MASTER'!$S$2:$S$495=1)*('CONTROL MASTER'!$Z$2:$Z$495&lt;=6)*('CONTROL MASTER'!$AB$2:$AB$495&gt;=6)*('CONTROL MASTER'!$AA$2:$AA$495&lt;=10)*('CONTROL MASTER'!$AC$2:$AC$495&gt;=10))*ROW('CONTROL MASTER'!$S$2:$S$495))-(ROW('CONTROL MASTER'!#REF!)-1))))+1)))-1)*50+1,50))&amp;"_"&amp;INDEX('CONTROL MASTER'!$P$2:$P$495,(SUMPRODUCT((('CONTROL MASTER'!$S$2:$S$495=1)*('CONTROL MASTER'!$Z$2:$Z$495&lt;=6)*('CONTROL MASTER'!$AB$2:$AB$495&gt;=6)*('CONTROL MASTER'!$AA$2:$AA$495&lt;=10)*('CONTROL MASTER'!$AC$2:$AC$495&gt;=10))*ROW('CONTROL MASTER'!$S$2:$S$495))-(ROW('CONTROL MASTER'!#REF!)-1))),"")),"")</f>
        <v/>
      </c>
    </row>
    <row r="9" spans="1:11" ht="15" customHeight="1" x14ac:dyDescent="0.35">
      <c r="A9" s="8" t="s">
        <v>34</v>
      </c>
      <c r="B9" s="10" t="str">
        <f>IFERROR(IF(SUMPRODUCT((('CONTROL MASTER'!$S$2:$S$495=1)*('CONTROL MASTER'!$T$2:$T$495&lt;=7)*('CONTROL MASTER'!$V$2:$V$495&gt;=7)*('CONTROL MASTER'!$U$2:$U$495&lt;=1)*('CONTROL MASTER'!$W$2:$W$495&gt;=1))*ROW('CONTROL MASTER'!$S$2:$S$495))&gt;0,INDEX('CONTROL MASTER'!$X$2:$X$495,(SUMPRODUCT((('CONTROL MASTER'!$S$2:$S$495=1)*('CONTROL MASTER'!$T$2:$T$495&lt;=7)*('CONTROL MASTER'!$V$2:$V$495&gt;=7)*('CONTROL MASTER'!$U$2:$U$495&lt;=1)*('CONTROL MASTER'!$W$2:$W$495&gt;=1))*ROW('CONTROL MASTER'!$S$2:$S$495))-(ROW('CONTROL MASTER'!#REF!)-1)))&amp;TRIM(MID(SUBSTITUTE(SUBSTITUTE(INDEX('CONTROL MASTER'!$N$2:$N$495,(SUMPRODUCT((('CONTROL MASTER'!$S$2:$S$495=1)*('CONTROL MASTER'!$T$2:$T$495&lt;=7)*('CONTROL MASTER'!$V$2:$V$495&gt;=7)*('CONTROL MASTER'!$U$2:$U$495&lt;=1)*('CONTROL MASTER'!$W$2:$W$495&gt;=1))*ROW('CONTROL MASTER'!$S$2:$S$495))-(ROW('CONTROL MASTER'!#REF!)-1))),":",","),",",REPT(" ",50)),((((7-INDEX('CONTROL MASTER'!$T$2:$T$495,(SUMPRODUCT((('CONTROL MASTER'!$S$2:$S$495=1)*('CONTROL MASTER'!$T$2:$T$495&lt;=7)*('CONTROL MASTER'!$V$2:$V$495&gt;=7)*('CONTROL MASTER'!$U$2:$U$495&lt;=1)*('CONTROL MASTER'!$W$2:$W$495&gt;=1))*ROW('CONTROL MASTER'!$S$2:$S$495))-(ROW('CONTROL MASTER'!#REF!)-1))))*(INDEX('CONTROL MASTER'!$W$2:$W$495,(SUMPRODUCT((('CONTROL MASTER'!$S$2:$S$495=1)*('CONTROL MASTER'!$T$2:$T$495&lt;=7)*('CONTROL MASTER'!$V$2:$V$495&gt;=7)*('CONTROL MASTER'!$U$2:$U$495&lt;=1)*('CONTROL MASTER'!$W$2:$W$495&gt;=1))*ROW('CONTROL MASTER'!$S$2:$S$495))-(ROW('CONTROL MASTER'!#REF!)-1)))-INDEX('CONTROL MASTER'!$U$2:$U$495,(SUMPRODUCT((('CONTROL MASTER'!$S$2:$S$495=1)*('CONTROL MASTER'!$T$2:$T$495&lt;=7)*('CONTROL MASTER'!$V$2:$V$495&gt;=7)*('CONTROL MASTER'!$U$2:$U$495&lt;=1)*('CONTROL MASTER'!$W$2:$W$495&gt;=1))*ROW('CONTROL MASTER'!$S$2:$S$495))-(ROW('CONTROL MASTER'!#REF!)-1)))+1)+(1-INDEX('CONTROL MASTER'!$U$2:$U$495,(SUMPRODUCT((('CONTROL MASTER'!$S$2:$S$495=1)*('CONTROL MASTER'!$T$2:$T$495&lt;=7)*('CONTROL MASTER'!$V$2:$V$495&gt;=7)*('CONTROL MASTER'!$U$2:$U$495&lt;=1)*('CONTROL MASTER'!$W$2:$W$495&gt;=1))*ROW('CONTROL MASTER'!$S$2:$S$495))-(ROW('CONTROL MASTER'!#REF!)-1))))+1))-1)*50+1,50))&amp;"_"&amp;INDEX('CONTROL MASTER'!$P$2:$P$495,(SUMPRODUCT((('CONTROL MASTER'!$S$2:$S$495=1)*('CONTROL MASTER'!$T$2:$T$495&lt;=7)*('CONTROL MASTER'!$V$2:$V$495&gt;=7)*('CONTROL MASTER'!$U$2:$U$495&lt;=1)*('CONTROL MASTER'!$W$2:$W$495&gt;=1))*ROW('CONTROL MASTER'!$S$2:$S$495))-(ROW('CONTROL MASTER'!#REF!)-1))),IF(SUMPRODUCT((('CONTROL MASTER'!$S$2:$S$495=1)*('CONTROL MASTER'!$Z$2:$Z$495&lt;=7)*('CONTROL MASTER'!$AB$2:$AB$495&gt;=7)*('CONTROL MASTER'!$AA$2:$AA$495&lt;=1)*('CONTROL MASTER'!$AC$2:$AC$495&gt;=1))*ROW('CONTROL MASTER'!$S$2:$S$495))&gt;0,INDEX('CONTROL MASTER'!$X$2:$X$495,(SUMPRODUCT((('CONTROL MASTER'!$S$2:$S$495=1)*('CONTROL MASTER'!$Z$2:$Z$495&lt;=7)*('CONTROL MASTER'!$AB$2:$AB$495&gt;=7)*('CONTROL MASTER'!$AA$2:$AA$495&lt;=1)*('CONTROL MASTER'!$AC$2:$AC$495&gt;=1))*ROW('CONTROL MASTER'!$S$2:$S$495))-(ROW('CONTROL MASTER'!#REF!)-1)))&amp;TRIM(MID(SUBSTITUTE(SUBSTITUTE(INDEX('CONTROL MASTER'!$N$2:$N$495,(SUMPRODUCT((('CONTROL MASTER'!$S$2:$S$495=1)*('CONTROL MASTER'!$Z$2:$Z$495&lt;=7)*('CONTROL MASTER'!$AB$2:$AB$495&gt;=7)*('CONTROL MASTER'!$AA$2:$AA$495&lt;=1)*('CONTROL MASTER'!$AC$2:$AC$495&gt;=1))*ROW('CONTROL MASTER'!$S$2:$S$495))-(ROW('CONTROL MASTER'!#REF!)-1))),":",","),",",REPT(" ",50)),(((INDEX('CONTROL MASTER'!$Y$2:$Y$495,(SUMPRODUCT((('CONTROL MASTER'!$S$2:$S$495=1)*('CONTROL MASTER'!$Z$2:$Z$495&lt;=7)*('CONTROL MASTER'!$AB$2:$AB$495&gt;=7)*('CONTROL MASTER'!$AA$2:$AA$495&lt;=1)*('CONTROL MASTER'!$AC$2:$AC$495&gt;=1))*ROW('CONTROL MASTER'!$S$2:$S$495))-(ROW('CONTROL MASTER'!#REF!)-1)))+((7-INDEX('CONTROL MASTER'!$Z$2:$Z$495,(SUMPRODUCT((('CONTROL MASTER'!$S$2:$S$495=1)*('CONTROL MASTER'!$Z$2:$Z$495&lt;=7)*('CONTROL MASTER'!$AB$2:$AB$495&gt;=7)*('CONTROL MASTER'!$AA$2:$AA$495&lt;=1)*('CONTROL MASTER'!$AC$2:$AC$495&gt;=1))*ROW('CONTROL MASTER'!$S$2:$S$495))-(ROW('CONTROL MASTER'!#REF!)-1))))*(INDEX('CONTROL MASTER'!$AC$2:$AC$495,(SUMPRODUCT((('CONTROL MASTER'!$S$2:$S$495=1)*('CONTROL MASTER'!$Z$2:$Z$495&lt;=7)*('CONTROL MASTER'!$AB$2:$AB$495&gt;=7)*('CONTROL MASTER'!$AA$2:$AA$495&lt;=1)*('CONTROL MASTER'!$AC$2:$AC$495&gt;=1))*ROW('CONTROL MASTER'!$S$2:$S$495))-(ROW('CONTROL MASTER'!#REF!)-1)))-INDEX('CONTROL MASTER'!$AA$2:$AA$495,(SUMPRODUCT((('CONTROL MASTER'!$S$2:$S$495=1)*('CONTROL MASTER'!$Z$2:$Z$495&lt;=7)*('CONTROL MASTER'!$AB$2:$AB$495&gt;=7)*('CONTROL MASTER'!$AA$2:$AA$495&lt;=1)*('CONTROL MASTER'!$AC$2:$AC$495&gt;=1))*ROW('CONTROL MASTER'!$S$2:$S$495))-(ROW('CONTROL MASTER'!#REF!)-1)))+1)+(1-INDEX('CONTROL MASTER'!$AA$2:$AA$495,(SUMPRODUCT((('CONTROL MASTER'!$S$2:$S$495=1)*('CONTROL MASTER'!$Z$2:$Z$495&lt;=7)*('CONTROL MASTER'!$AB$2:$AB$495&gt;=7)*('CONTROL MASTER'!$AA$2:$AA$495&lt;=1)*('CONTROL MASTER'!$AC$2:$AC$495&gt;=1))*ROW('CONTROL MASTER'!$S$2:$S$495))-(ROW('CONTROL MASTER'!#REF!)-1))))+1)))-1)*50+1,50))&amp;"_"&amp;INDEX('CONTROL MASTER'!$P$2:$P$495,(SUMPRODUCT((('CONTROL MASTER'!$S$2:$S$495=1)*('CONTROL MASTER'!$Z$2:$Z$495&lt;=7)*('CONTROL MASTER'!$AB$2:$AB$495&gt;=7)*('CONTROL MASTER'!$AA$2:$AA$495&lt;=1)*('CONTROL MASTER'!$AC$2:$AC$495&gt;=1))*ROW('CONTROL MASTER'!$S$2:$S$495))-(ROW('CONTROL MASTER'!#REF!)-1))),"")),"")</f>
        <v/>
      </c>
      <c r="C9" s="10" t="str">
        <f>IFERROR(IF(SUMPRODUCT((('CONTROL MASTER'!$S$2:$S$495=1)*('CONTROL MASTER'!$T$2:$T$495&lt;=7)*('CONTROL MASTER'!$V$2:$V$495&gt;=7)*('CONTROL MASTER'!$U$2:$U$495&lt;=2)*('CONTROL MASTER'!$W$2:$W$495&gt;=2))*ROW('CONTROL MASTER'!$S$2:$S$495))&gt;0,INDEX('CONTROL MASTER'!$X$2:$X$495,(SUMPRODUCT((('CONTROL MASTER'!$S$2:$S$495=1)*('CONTROL MASTER'!$T$2:$T$495&lt;=7)*('CONTROL MASTER'!$V$2:$V$495&gt;=7)*('CONTROL MASTER'!$U$2:$U$495&lt;=2)*('CONTROL MASTER'!$W$2:$W$495&gt;=2))*ROW('CONTROL MASTER'!$S$2:$S$495))-(ROW('CONTROL MASTER'!#REF!)-1)))&amp;TRIM(MID(SUBSTITUTE(SUBSTITUTE(INDEX('CONTROL MASTER'!$N$2:$N$495,(SUMPRODUCT((('CONTROL MASTER'!$S$2:$S$495=1)*('CONTROL MASTER'!$T$2:$T$495&lt;=7)*('CONTROL MASTER'!$V$2:$V$495&gt;=7)*('CONTROL MASTER'!$U$2:$U$495&lt;=2)*('CONTROL MASTER'!$W$2:$W$495&gt;=2))*ROW('CONTROL MASTER'!$S$2:$S$495))-(ROW('CONTROL MASTER'!#REF!)-1))),":",","),",",REPT(" ",50)),((((7-INDEX('CONTROL MASTER'!$T$2:$T$495,(SUMPRODUCT((('CONTROL MASTER'!$S$2:$S$495=1)*('CONTROL MASTER'!$T$2:$T$495&lt;=7)*('CONTROL MASTER'!$V$2:$V$495&gt;=7)*('CONTROL MASTER'!$U$2:$U$495&lt;=2)*('CONTROL MASTER'!$W$2:$W$495&gt;=2))*ROW('CONTROL MASTER'!$S$2:$S$495))-(ROW('CONTROL MASTER'!#REF!)-1))))*(INDEX('CONTROL MASTER'!$W$2:$W$495,(SUMPRODUCT((('CONTROL MASTER'!$S$2:$S$495=1)*('CONTROL MASTER'!$T$2:$T$495&lt;=7)*('CONTROL MASTER'!$V$2:$V$495&gt;=7)*('CONTROL MASTER'!$U$2:$U$495&lt;=2)*('CONTROL MASTER'!$W$2:$W$495&gt;=2))*ROW('CONTROL MASTER'!$S$2:$S$495))-(ROW('CONTROL MASTER'!#REF!)-1)))-INDEX('CONTROL MASTER'!$U$2:$U$495,(SUMPRODUCT((('CONTROL MASTER'!$S$2:$S$495=1)*('CONTROL MASTER'!$T$2:$T$495&lt;=7)*('CONTROL MASTER'!$V$2:$V$495&gt;=7)*('CONTROL MASTER'!$U$2:$U$495&lt;=2)*('CONTROL MASTER'!$W$2:$W$495&gt;=2))*ROW('CONTROL MASTER'!$S$2:$S$495))-(ROW('CONTROL MASTER'!#REF!)-1)))+1)+(2-INDEX('CONTROL MASTER'!$U$2:$U$495,(SUMPRODUCT((('CONTROL MASTER'!$S$2:$S$495=1)*('CONTROL MASTER'!$T$2:$T$495&lt;=7)*('CONTROL MASTER'!$V$2:$V$495&gt;=7)*('CONTROL MASTER'!$U$2:$U$495&lt;=2)*('CONTROL MASTER'!$W$2:$W$495&gt;=2))*ROW('CONTROL MASTER'!$S$2:$S$495))-(ROW('CONTROL MASTER'!#REF!)-1))))+1))-1)*50+1,50))&amp;"_"&amp;INDEX('CONTROL MASTER'!$P$2:$P$495,(SUMPRODUCT((('CONTROL MASTER'!$S$2:$S$495=1)*('CONTROL MASTER'!$T$2:$T$495&lt;=7)*('CONTROL MASTER'!$V$2:$V$495&gt;=7)*('CONTROL MASTER'!$U$2:$U$495&lt;=2)*('CONTROL MASTER'!$W$2:$W$495&gt;=2))*ROW('CONTROL MASTER'!$S$2:$S$495))-(ROW('CONTROL MASTER'!#REF!)-1))),IF(SUMPRODUCT((('CONTROL MASTER'!$S$2:$S$495=1)*('CONTROL MASTER'!$Z$2:$Z$495&lt;=7)*('CONTROL MASTER'!$AB$2:$AB$495&gt;=7)*('CONTROL MASTER'!$AA$2:$AA$495&lt;=2)*('CONTROL MASTER'!$AC$2:$AC$495&gt;=2))*ROW('CONTROL MASTER'!$S$2:$S$495))&gt;0,INDEX('CONTROL MASTER'!$X$2:$X$495,(SUMPRODUCT((('CONTROL MASTER'!$S$2:$S$495=1)*('CONTROL MASTER'!$Z$2:$Z$495&lt;=7)*('CONTROL MASTER'!$AB$2:$AB$495&gt;=7)*('CONTROL MASTER'!$AA$2:$AA$495&lt;=2)*('CONTROL MASTER'!$AC$2:$AC$495&gt;=2))*ROW('CONTROL MASTER'!$S$2:$S$495))-(ROW('CONTROL MASTER'!#REF!)-1)))&amp;TRIM(MID(SUBSTITUTE(SUBSTITUTE(INDEX('CONTROL MASTER'!$N$2:$N$495,(SUMPRODUCT((('CONTROL MASTER'!$S$2:$S$495=1)*('CONTROL MASTER'!$Z$2:$Z$495&lt;=7)*('CONTROL MASTER'!$AB$2:$AB$495&gt;=7)*('CONTROL MASTER'!$AA$2:$AA$495&lt;=2)*('CONTROL MASTER'!$AC$2:$AC$495&gt;=2))*ROW('CONTROL MASTER'!$S$2:$S$495))-(ROW('CONTROL MASTER'!#REF!)-1))),":",","),",",REPT(" ",50)),(((INDEX('CONTROL MASTER'!$Y$2:$Y$495,(SUMPRODUCT((('CONTROL MASTER'!$S$2:$S$495=1)*('CONTROL MASTER'!$Z$2:$Z$495&lt;=7)*('CONTROL MASTER'!$AB$2:$AB$495&gt;=7)*('CONTROL MASTER'!$AA$2:$AA$495&lt;=2)*('CONTROL MASTER'!$AC$2:$AC$495&gt;=2))*ROW('CONTROL MASTER'!$S$2:$S$495))-(ROW('CONTROL MASTER'!#REF!)-1)))+((7-INDEX('CONTROL MASTER'!$Z$2:$Z$495,(SUMPRODUCT((('CONTROL MASTER'!$S$2:$S$495=1)*('CONTROL MASTER'!$Z$2:$Z$495&lt;=7)*('CONTROL MASTER'!$AB$2:$AB$495&gt;=7)*('CONTROL MASTER'!$AA$2:$AA$495&lt;=2)*('CONTROL MASTER'!$AC$2:$AC$495&gt;=2))*ROW('CONTROL MASTER'!$S$2:$S$495))-(ROW('CONTROL MASTER'!#REF!)-1))))*(INDEX('CONTROL MASTER'!$AC$2:$AC$495,(SUMPRODUCT((('CONTROL MASTER'!$S$2:$S$495=1)*('CONTROL MASTER'!$Z$2:$Z$495&lt;=7)*('CONTROL MASTER'!$AB$2:$AB$495&gt;=7)*('CONTROL MASTER'!$AA$2:$AA$495&lt;=2)*('CONTROL MASTER'!$AC$2:$AC$495&gt;=2))*ROW('CONTROL MASTER'!$S$2:$S$495))-(ROW('CONTROL MASTER'!#REF!)-1)))-INDEX('CONTROL MASTER'!$AA$2:$AA$495,(SUMPRODUCT((('CONTROL MASTER'!$S$2:$S$495=1)*('CONTROL MASTER'!$Z$2:$Z$495&lt;=7)*('CONTROL MASTER'!$AB$2:$AB$495&gt;=7)*('CONTROL MASTER'!$AA$2:$AA$495&lt;=2)*('CONTROL MASTER'!$AC$2:$AC$495&gt;=2))*ROW('CONTROL MASTER'!$S$2:$S$495))-(ROW('CONTROL MASTER'!#REF!)-1)))+1)+(2-INDEX('CONTROL MASTER'!$AA$2:$AA$495,(SUMPRODUCT((('CONTROL MASTER'!$S$2:$S$495=1)*('CONTROL MASTER'!$Z$2:$Z$495&lt;=7)*('CONTROL MASTER'!$AB$2:$AB$495&gt;=7)*('CONTROL MASTER'!$AA$2:$AA$495&lt;=2)*('CONTROL MASTER'!$AC$2:$AC$495&gt;=2))*ROW('CONTROL MASTER'!$S$2:$S$495))-(ROW('CONTROL MASTER'!#REF!)-1))))+1)))-1)*50+1,50))&amp;"_"&amp;INDEX('CONTROL MASTER'!$P$2:$P$495,(SUMPRODUCT((('CONTROL MASTER'!$S$2:$S$495=1)*('CONTROL MASTER'!$Z$2:$Z$495&lt;=7)*('CONTROL MASTER'!$AB$2:$AB$495&gt;=7)*('CONTROL MASTER'!$AA$2:$AA$495&lt;=2)*('CONTROL MASTER'!$AC$2:$AC$495&gt;=2))*ROW('CONTROL MASTER'!$S$2:$S$495))-(ROW('CONTROL MASTER'!#REF!)-1))),"")),"")</f>
        <v/>
      </c>
      <c r="D9" s="10" t="str">
        <f>IFERROR(IF(SUMPRODUCT((('CONTROL MASTER'!$S$2:$S$495=1)*('CONTROL MASTER'!$T$2:$T$495&lt;=7)*('CONTROL MASTER'!$V$2:$V$495&gt;=7)*('CONTROL MASTER'!$U$2:$U$495&lt;=3)*('CONTROL MASTER'!$W$2:$W$495&gt;=3))*ROW('CONTROL MASTER'!$S$2:$S$495))&gt;0,INDEX('CONTROL MASTER'!$X$2:$X$495,(SUMPRODUCT((('CONTROL MASTER'!$S$2:$S$495=1)*('CONTROL MASTER'!$T$2:$T$495&lt;=7)*('CONTROL MASTER'!$V$2:$V$495&gt;=7)*('CONTROL MASTER'!$U$2:$U$495&lt;=3)*('CONTROL MASTER'!$W$2:$W$495&gt;=3))*ROW('CONTROL MASTER'!$S$2:$S$495))-(ROW('CONTROL MASTER'!#REF!)-1)))&amp;TRIM(MID(SUBSTITUTE(SUBSTITUTE(INDEX('CONTROL MASTER'!$N$2:$N$495,(SUMPRODUCT((('CONTROL MASTER'!$S$2:$S$495=1)*('CONTROL MASTER'!$T$2:$T$495&lt;=7)*('CONTROL MASTER'!$V$2:$V$495&gt;=7)*('CONTROL MASTER'!$U$2:$U$495&lt;=3)*('CONTROL MASTER'!$W$2:$W$495&gt;=3))*ROW('CONTROL MASTER'!$S$2:$S$495))-(ROW('CONTROL MASTER'!#REF!)-1))),":",","),",",REPT(" ",50)),((((7-INDEX('CONTROL MASTER'!$T$2:$T$495,(SUMPRODUCT((('CONTROL MASTER'!$S$2:$S$495=1)*('CONTROL MASTER'!$T$2:$T$495&lt;=7)*('CONTROL MASTER'!$V$2:$V$495&gt;=7)*('CONTROL MASTER'!$U$2:$U$495&lt;=3)*('CONTROL MASTER'!$W$2:$W$495&gt;=3))*ROW('CONTROL MASTER'!$S$2:$S$495))-(ROW('CONTROL MASTER'!#REF!)-1))))*(INDEX('CONTROL MASTER'!$W$2:$W$495,(SUMPRODUCT((('CONTROL MASTER'!$S$2:$S$495=1)*('CONTROL MASTER'!$T$2:$T$495&lt;=7)*('CONTROL MASTER'!$V$2:$V$495&gt;=7)*('CONTROL MASTER'!$U$2:$U$495&lt;=3)*('CONTROL MASTER'!$W$2:$W$495&gt;=3))*ROW('CONTROL MASTER'!$S$2:$S$495))-(ROW('CONTROL MASTER'!#REF!)-1)))-INDEX('CONTROL MASTER'!$U$2:$U$495,(SUMPRODUCT((('CONTROL MASTER'!$S$2:$S$495=1)*('CONTROL MASTER'!$T$2:$T$495&lt;=7)*('CONTROL MASTER'!$V$2:$V$495&gt;=7)*('CONTROL MASTER'!$U$2:$U$495&lt;=3)*('CONTROL MASTER'!$W$2:$W$495&gt;=3))*ROW('CONTROL MASTER'!$S$2:$S$495))-(ROW('CONTROL MASTER'!#REF!)-1)))+1)+(3-INDEX('CONTROL MASTER'!$U$2:$U$495,(SUMPRODUCT((('CONTROL MASTER'!$S$2:$S$495=1)*('CONTROL MASTER'!$T$2:$T$495&lt;=7)*('CONTROL MASTER'!$V$2:$V$495&gt;=7)*('CONTROL MASTER'!$U$2:$U$495&lt;=3)*('CONTROL MASTER'!$W$2:$W$495&gt;=3))*ROW('CONTROL MASTER'!$S$2:$S$495))-(ROW('CONTROL MASTER'!#REF!)-1))))+1))-1)*50+1,50))&amp;"_"&amp;INDEX('CONTROL MASTER'!$P$2:$P$495,(SUMPRODUCT((('CONTROL MASTER'!$S$2:$S$495=1)*('CONTROL MASTER'!$T$2:$T$495&lt;=7)*('CONTROL MASTER'!$V$2:$V$495&gt;=7)*('CONTROL MASTER'!$U$2:$U$495&lt;=3)*('CONTROL MASTER'!$W$2:$W$495&gt;=3))*ROW('CONTROL MASTER'!$S$2:$S$495))-(ROW('CONTROL MASTER'!#REF!)-1))),IF(SUMPRODUCT((('CONTROL MASTER'!$S$2:$S$495=1)*('CONTROL MASTER'!$Z$2:$Z$495&lt;=7)*('CONTROL MASTER'!$AB$2:$AB$495&gt;=7)*('CONTROL MASTER'!$AA$2:$AA$495&lt;=3)*('CONTROL MASTER'!$AC$2:$AC$495&gt;=3))*ROW('CONTROL MASTER'!$S$2:$S$495))&gt;0,INDEX('CONTROL MASTER'!$X$2:$X$495,(SUMPRODUCT((('CONTROL MASTER'!$S$2:$S$495=1)*('CONTROL MASTER'!$Z$2:$Z$495&lt;=7)*('CONTROL MASTER'!$AB$2:$AB$495&gt;=7)*('CONTROL MASTER'!$AA$2:$AA$495&lt;=3)*('CONTROL MASTER'!$AC$2:$AC$495&gt;=3))*ROW('CONTROL MASTER'!$S$2:$S$495))-(ROW('CONTROL MASTER'!#REF!)-1)))&amp;TRIM(MID(SUBSTITUTE(SUBSTITUTE(INDEX('CONTROL MASTER'!$N$2:$N$495,(SUMPRODUCT((('CONTROL MASTER'!$S$2:$S$495=1)*('CONTROL MASTER'!$Z$2:$Z$495&lt;=7)*('CONTROL MASTER'!$AB$2:$AB$495&gt;=7)*('CONTROL MASTER'!$AA$2:$AA$495&lt;=3)*('CONTROL MASTER'!$AC$2:$AC$495&gt;=3))*ROW('CONTROL MASTER'!$S$2:$S$495))-(ROW('CONTROL MASTER'!#REF!)-1))),":",","),",",REPT(" ",50)),(((INDEX('CONTROL MASTER'!$Y$2:$Y$495,(SUMPRODUCT((('CONTROL MASTER'!$S$2:$S$495=1)*('CONTROL MASTER'!$Z$2:$Z$495&lt;=7)*('CONTROL MASTER'!$AB$2:$AB$495&gt;=7)*('CONTROL MASTER'!$AA$2:$AA$495&lt;=3)*('CONTROL MASTER'!$AC$2:$AC$495&gt;=3))*ROW('CONTROL MASTER'!$S$2:$S$495))-(ROW('CONTROL MASTER'!#REF!)-1)))+((7-INDEX('CONTROL MASTER'!$Z$2:$Z$495,(SUMPRODUCT((('CONTROL MASTER'!$S$2:$S$495=1)*('CONTROL MASTER'!$Z$2:$Z$495&lt;=7)*('CONTROL MASTER'!$AB$2:$AB$495&gt;=7)*('CONTROL MASTER'!$AA$2:$AA$495&lt;=3)*('CONTROL MASTER'!$AC$2:$AC$495&gt;=3))*ROW('CONTROL MASTER'!$S$2:$S$495))-(ROW('CONTROL MASTER'!#REF!)-1))))*(INDEX('CONTROL MASTER'!$AC$2:$AC$495,(SUMPRODUCT((('CONTROL MASTER'!$S$2:$S$495=1)*('CONTROL MASTER'!$Z$2:$Z$495&lt;=7)*('CONTROL MASTER'!$AB$2:$AB$495&gt;=7)*('CONTROL MASTER'!$AA$2:$AA$495&lt;=3)*('CONTROL MASTER'!$AC$2:$AC$495&gt;=3))*ROW('CONTROL MASTER'!$S$2:$S$495))-(ROW('CONTROL MASTER'!#REF!)-1)))-INDEX('CONTROL MASTER'!$AA$2:$AA$495,(SUMPRODUCT((('CONTROL MASTER'!$S$2:$S$495=1)*('CONTROL MASTER'!$Z$2:$Z$495&lt;=7)*('CONTROL MASTER'!$AB$2:$AB$495&gt;=7)*('CONTROL MASTER'!$AA$2:$AA$495&lt;=3)*('CONTROL MASTER'!$AC$2:$AC$495&gt;=3))*ROW('CONTROL MASTER'!$S$2:$S$495))-(ROW('CONTROL MASTER'!#REF!)-1)))+1)+(3-INDEX('CONTROL MASTER'!$AA$2:$AA$495,(SUMPRODUCT((('CONTROL MASTER'!$S$2:$S$495=1)*('CONTROL MASTER'!$Z$2:$Z$495&lt;=7)*('CONTROL MASTER'!$AB$2:$AB$495&gt;=7)*('CONTROL MASTER'!$AA$2:$AA$495&lt;=3)*('CONTROL MASTER'!$AC$2:$AC$495&gt;=3))*ROW('CONTROL MASTER'!$S$2:$S$495))-(ROW('CONTROL MASTER'!#REF!)-1))))+1)))-1)*50+1,50))&amp;"_"&amp;INDEX('CONTROL MASTER'!$P$2:$P$495,(SUMPRODUCT((('CONTROL MASTER'!$S$2:$S$495=1)*('CONTROL MASTER'!$Z$2:$Z$495&lt;=7)*('CONTROL MASTER'!$AB$2:$AB$495&gt;=7)*('CONTROL MASTER'!$AA$2:$AA$495&lt;=3)*('CONTROL MASTER'!$AC$2:$AC$495&gt;=3))*ROW('CONTROL MASTER'!$S$2:$S$495))-(ROW('CONTROL MASTER'!#REF!)-1))),"")),"")</f>
        <v/>
      </c>
      <c r="E9" s="10" t="str">
        <f>IFERROR(IF(SUMPRODUCT((('CONTROL MASTER'!$S$2:$S$495=1)*('CONTROL MASTER'!$T$2:$T$495&lt;=7)*('CONTROL MASTER'!$V$2:$V$495&gt;=7)*('CONTROL MASTER'!$U$2:$U$495&lt;=4)*('CONTROL MASTER'!$W$2:$W$495&gt;=4))*ROW('CONTROL MASTER'!$S$2:$S$495))&gt;0,INDEX('CONTROL MASTER'!$X$2:$X$495,(SUMPRODUCT((('CONTROL MASTER'!$S$2:$S$495=1)*('CONTROL MASTER'!$T$2:$T$495&lt;=7)*('CONTROL MASTER'!$V$2:$V$495&gt;=7)*('CONTROL MASTER'!$U$2:$U$495&lt;=4)*('CONTROL MASTER'!$W$2:$W$495&gt;=4))*ROW('CONTROL MASTER'!$S$2:$S$495))-(ROW('CONTROL MASTER'!#REF!)-1)))&amp;TRIM(MID(SUBSTITUTE(SUBSTITUTE(INDEX('CONTROL MASTER'!$N$2:$N$495,(SUMPRODUCT((('CONTROL MASTER'!$S$2:$S$495=1)*('CONTROL MASTER'!$T$2:$T$495&lt;=7)*('CONTROL MASTER'!$V$2:$V$495&gt;=7)*('CONTROL MASTER'!$U$2:$U$495&lt;=4)*('CONTROL MASTER'!$W$2:$W$495&gt;=4))*ROW('CONTROL MASTER'!$S$2:$S$495))-(ROW('CONTROL MASTER'!#REF!)-1))),":",","),",",REPT(" ",50)),((((7-INDEX('CONTROL MASTER'!$T$2:$T$495,(SUMPRODUCT((('CONTROL MASTER'!$S$2:$S$495=1)*('CONTROL MASTER'!$T$2:$T$495&lt;=7)*('CONTROL MASTER'!$V$2:$V$495&gt;=7)*('CONTROL MASTER'!$U$2:$U$495&lt;=4)*('CONTROL MASTER'!$W$2:$W$495&gt;=4))*ROW('CONTROL MASTER'!$S$2:$S$495))-(ROW('CONTROL MASTER'!#REF!)-1))))*(INDEX('CONTROL MASTER'!$W$2:$W$495,(SUMPRODUCT((('CONTROL MASTER'!$S$2:$S$495=1)*('CONTROL MASTER'!$T$2:$T$495&lt;=7)*('CONTROL MASTER'!$V$2:$V$495&gt;=7)*('CONTROL MASTER'!$U$2:$U$495&lt;=4)*('CONTROL MASTER'!$W$2:$W$495&gt;=4))*ROW('CONTROL MASTER'!$S$2:$S$495))-(ROW('CONTROL MASTER'!#REF!)-1)))-INDEX('CONTROL MASTER'!$U$2:$U$495,(SUMPRODUCT((('CONTROL MASTER'!$S$2:$S$495=1)*('CONTROL MASTER'!$T$2:$T$495&lt;=7)*('CONTROL MASTER'!$V$2:$V$495&gt;=7)*('CONTROL MASTER'!$U$2:$U$495&lt;=4)*('CONTROL MASTER'!$W$2:$W$495&gt;=4))*ROW('CONTROL MASTER'!$S$2:$S$495))-(ROW('CONTROL MASTER'!#REF!)-1)))+1)+(4-INDEX('CONTROL MASTER'!$U$2:$U$495,(SUMPRODUCT((('CONTROL MASTER'!$S$2:$S$495=1)*('CONTROL MASTER'!$T$2:$T$495&lt;=7)*('CONTROL MASTER'!$V$2:$V$495&gt;=7)*('CONTROL MASTER'!$U$2:$U$495&lt;=4)*('CONTROL MASTER'!$W$2:$W$495&gt;=4))*ROW('CONTROL MASTER'!$S$2:$S$495))-(ROW('CONTROL MASTER'!#REF!)-1))))+1))-1)*50+1,50))&amp;"_"&amp;INDEX('CONTROL MASTER'!$P$2:$P$495,(SUMPRODUCT((('CONTROL MASTER'!$S$2:$S$495=1)*('CONTROL MASTER'!$T$2:$T$495&lt;=7)*('CONTROL MASTER'!$V$2:$V$495&gt;=7)*('CONTROL MASTER'!$U$2:$U$495&lt;=4)*('CONTROL MASTER'!$W$2:$W$495&gt;=4))*ROW('CONTROL MASTER'!$S$2:$S$495))-(ROW('CONTROL MASTER'!#REF!)-1))),IF(SUMPRODUCT((('CONTROL MASTER'!$S$2:$S$495=1)*('CONTROL MASTER'!$Z$2:$Z$495&lt;=7)*('CONTROL MASTER'!$AB$2:$AB$495&gt;=7)*('CONTROL MASTER'!$AA$2:$AA$495&lt;=4)*('CONTROL MASTER'!$AC$2:$AC$495&gt;=4))*ROW('CONTROL MASTER'!$S$2:$S$495))&gt;0,INDEX('CONTROL MASTER'!$X$2:$X$495,(SUMPRODUCT((('CONTROL MASTER'!$S$2:$S$495=1)*('CONTROL MASTER'!$Z$2:$Z$495&lt;=7)*('CONTROL MASTER'!$AB$2:$AB$495&gt;=7)*('CONTROL MASTER'!$AA$2:$AA$495&lt;=4)*('CONTROL MASTER'!$AC$2:$AC$495&gt;=4))*ROW('CONTROL MASTER'!$S$2:$S$495))-(ROW('CONTROL MASTER'!#REF!)-1)))&amp;TRIM(MID(SUBSTITUTE(SUBSTITUTE(INDEX('CONTROL MASTER'!$N$2:$N$495,(SUMPRODUCT((('CONTROL MASTER'!$S$2:$S$495=1)*('CONTROL MASTER'!$Z$2:$Z$495&lt;=7)*('CONTROL MASTER'!$AB$2:$AB$495&gt;=7)*('CONTROL MASTER'!$AA$2:$AA$495&lt;=4)*('CONTROL MASTER'!$AC$2:$AC$495&gt;=4))*ROW('CONTROL MASTER'!$S$2:$S$495))-(ROW('CONTROL MASTER'!#REF!)-1))),":",","),",",REPT(" ",50)),(((INDEX('CONTROL MASTER'!$Y$2:$Y$495,(SUMPRODUCT((('CONTROL MASTER'!$S$2:$S$495=1)*('CONTROL MASTER'!$Z$2:$Z$495&lt;=7)*('CONTROL MASTER'!$AB$2:$AB$495&gt;=7)*('CONTROL MASTER'!$AA$2:$AA$495&lt;=4)*('CONTROL MASTER'!$AC$2:$AC$495&gt;=4))*ROW('CONTROL MASTER'!$S$2:$S$495))-(ROW('CONTROL MASTER'!#REF!)-1)))+((7-INDEX('CONTROL MASTER'!$Z$2:$Z$495,(SUMPRODUCT((('CONTROL MASTER'!$S$2:$S$495=1)*('CONTROL MASTER'!$Z$2:$Z$495&lt;=7)*('CONTROL MASTER'!$AB$2:$AB$495&gt;=7)*('CONTROL MASTER'!$AA$2:$AA$495&lt;=4)*('CONTROL MASTER'!$AC$2:$AC$495&gt;=4))*ROW('CONTROL MASTER'!$S$2:$S$495))-(ROW('CONTROL MASTER'!#REF!)-1))))*(INDEX('CONTROL MASTER'!$AC$2:$AC$495,(SUMPRODUCT((('CONTROL MASTER'!$S$2:$S$495=1)*('CONTROL MASTER'!$Z$2:$Z$495&lt;=7)*('CONTROL MASTER'!$AB$2:$AB$495&gt;=7)*('CONTROL MASTER'!$AA$2:$AA$495&lt;=4)*('CONTROL MASTER'!$AC$2:$AC$495&gt;=4))*ROW('CONTROL MASTER'!$S$2:$S$495))-(ROW('CONTROL MASTER'!#REF!)-1)))-INDEX('CONTROL MASTER'!$AA$2:$AA$495,(SUMPRODUCT((('CONTROL MASTER'!$S$2:$S$495=1)*('CONTROL MASTER'!$Z$2:$Z$495&lt;=7)*('CONTROL MASTER'!$AB$2:$AB$495&gt;=7)*('CONTROL MASTER'!$AA$2:$AA$495&lt;=4)*('CONTROL MASTER'!$AC$2:$AC$495&gt;=4))*ROW('CONTROL MASTER'!$S$2:$S$495))-(ROW('CONTROL MASTER'!#REF!)-1)))+1)+(4-INDEX('CONTROL MASTER'!$AA$2:$AA$495,(SUMPRODUCT((('CONTROL MASTER'!$S$2:$S$495=1)*('CONTROL MASTER'!$Z$2:$Z$495&lt;=7)*('CONTROL MASTER'!$AB$2:$AB$495&gt;=7)*('CONTROL MASTER'!$AA$2:$AA$495&lt;=4)*('CONTROL MASTER'!$AC$2:$AC$495&gt;=4))*ROW('CONTROL MASTER'!$S$2:$S$495))-(ROW('CONTROL MASTER'!#REF!)-1))))+1)))-1)*50+1,50))&amp;"_"&amp;INDEX('CONTROL MASTER'!$P$2:$P$495,(SUMPRODUCT((('CONTROL MASTER'!$S$2:$S$495=1)*('CONTROL MASTER'!$Z$2:$Z$495&lt;=7)*('CONTROL MASTER'!$AB$2:$AB$495&gt;=7)*('CONTROL MASTER'!$AA$2:$AA$495&lt;=4)*('CONTROL MASTER'!$AC$2:$AC$495&gt;=4))*ROW('CONTROL MASTER'!$S$2:$S$495))-(ROW('CONTROL MASTER'!#REF!)-1))),"")),"")</f>
        <v/>
      </c>
      <c r="F9" s="10" t="str">
        <f>IFERROR(IF(SUMPRODUCT((('CONTROL MASTER'!$S$2:$S$495=1)*('CONTROL MASTER'!$T$2:$T$495&lt;=7)*('CONTROL MASTER'!$V$2:$V$495&gt;=7)*('CONTROL MASTER'!$U$2:$U$495&lt;=5)*('CONTROL MASTER'!$W$2:$W$495&gt;=5))*ROW('CONTROL MASTER'!$S$2:$S$495))&gt;0,INDEX('CONTROL MASTER'!$X$2:$X$495,(SUMPRODUCT((('CONTROL MASTER'!$S$2:$S$495=1)*('CONTROL MASTER'!$T$2:$T$495&lt;=7)*('CONTROL MASTER'!$V$2:$V$495&gt;=7)*('CONTROL MASTER'!$U$2:$U$495&lt;=5)*('CONTROL MASTER'!$W$2:$W$495&gt;=5))*ROW('CONTROL MASTER'!$S$2:$S$495))-(ROW('CONTROL MASTER'!#REF!)-1)))&amp;TRIM(MID(SUBSTITUTE(SUBSTITUTE(INDEX('CONTROL MASTER'!$N$2:$N$495,(SUMPRODUCT((('CONTROL MASTER'!$S$2:$S$495=1)*('CONTROL MASTER'!$T$2:$T$495&lt;=7)*('CONTROL MASTER'!$V$2:$V$495&gt;=7)*('CONTROL MASTER'!$U$2:$U$495&lt;=5)*('CONTROL MASTER'!$W$2:$W$495&gt;=5))*ROW('CONTROL MASTER'!$S$2:$S$495))-(ROW('CONTROL MASTER'!#REF!)-1))),":",","),",",REPT(" ",50)),((((7-INDEX('CONTROL MASTER'!$T$2:$T$495,(SUMPRODUCT((('CONTROL MASTER'!$S$2:$S$495=1)*('CONTROL MASTER'!$T$2:$T$495&lt;=7)*('CONTROL MASTER'!$V$2:$V$495&gt;=7)*('CONTROL MASTER'!$U$2:$U$495&lt;=5)*('CONTROL MASTER'!$W$2:$W$495&gt;=5))*ROW('CONTROL MASTER'!$S$2:$S$495))-(ROW('CONTROL MASTER'!#REF!)-1))))*(INDEX('CONTROL MASTER'!$W$2:$W$495,(SUMPRODUCT((('CONTROL MASTER'!$S$2:$S$495=1)*('CONTROL MASTER'!$T$2:$T$495&lt;=7)*('CONTROL MASTER'!$V$2:$V$495&gt;=7)*('CONTROL MASTER'!$U$2:$U$495&lt;=5)*('CONTROL MASTER'!$W$2:$W$495&gt;=5))*ROW('CONTROL MASTER'!$S$2:$S$495))-(ROW('CONTROL MASTER'!#REF!)-1)))-INDEX('CONTROL MASTER'!$U$2:$U$495,(SUMPRODUCT((('CONTROL MASTER'!$S$2:$S$495=1)*('CONTROL MASTER'!$T$2:$T$495&lt;=7)*('CONTROL MASTER'!$V$2:$V$495&gt;=7)*('CONTROL MASTER'!$U$2:$U$495&lt;=5)*('CONTROL MASTER'!$W$2:$W$495&gt;=5))*ROW('CONTROL MASTER'!$S$2:$S$495))-(ROW('CONTROL MASTER'!#REF!)-1)))+1)+(5-INDEX('CONTROL MASTER'!$U$2:$U$495,(SUMPRODUCT((('CONTROL MASTER'!$S$2:$S$495=1)*('CONTROL MASTER'!$T$2:$T$495&lt;=7)*('CONTROL MASTER'!$V$2:$V$495&gt;=7)*('CONTROL MASTER'!$U$2:$U$495&lt;=5)*('CONTROL MASTER'!$W$2:$W$495&gt;=5))*ROW('CONTROL MASTER'!$S$2:$S$495))-(ROW('CONTROL MASTER'!#REF!)-1))))+1))-1)*50+1,50))&amp;"_"&amp;INDEX('CONTROL MASTER'!$P$2:$P$495,(SUMPRODUCT((('CONTROL MASTER'!$S$2:$S$495=1)*('CONTROL MASTER'!$T$2:$T$495&lt;=7)*('CONTROL MASTER'!$V$2:$V$495&gt;=7)*('CONTROL MASTER'!$U$2:$U$495&lt;=5)*('CONTROL MASTER'!$W$2:$W$495&gt;=5))*ROW('CONTROL MASTER'!$S$2:$S$495))-(ROW('CONTROL MASTER'!#REF!)-1))),IF(SUMPRODUCT((('CONTROL MASTER'!$S$2:$S$495=1)*('CONTROL MASTER'!$Z$2:$Z$495&lt;=7)*('CONTROL MASTER'!$AB$2:$AB$495&gt;=7)*('CONTROL MASTER'!$AA$2:$AA$495&lt;=5)*('CONTROL MASTER'!$AC$2:$AC$495&gt;=5))*ROW('CONTROL MASTER'!$S$2:$S$495))&gt;0,INDEX('CONTROL MASTER'!$X$2:$X$495,(SUMPRODUCT((('CONTROL MASTER'!$S$2:$S$495=1)*('CONTROL MASTER'!$Z$2:$Z$495&lt;=7)*('CONTROL MASTER'!$AB$2:$AB$495&gt;=7)*('CONTROL MASTER'!$AA$2:$AA$495&lt;=5)*('CONTROL MASTER'!$AC$2:$AC$495&gt;=5))*ROW('CONTROL MASTER'!$S$2:$S$495))-(ROW('CONTROL MASTER'!#REF!)-1)))&amp;TRIM(MID(SUBSTITUTE(SUBSTITUTE(INDEX('CONTROL MASTER'!$N$2:$N$495,(SUMPRODUCT((('CONTROL MASTER'!$S$2:$S$495=1)*('CONTROL MASTER'!$Z$2:$Z$495&lt;=7)*('CONTROL MASTER'!$AB$2:$AB$495&gt;=7)*('CONTROL MASTER'!$AA$2:$AA$495&lt;=5)*('CONTROL MASTER'!$AC$2:$AC$495&gt;=5))*ROW('CONTROL MASTER'!$S$2:$S$495))-(ROW('CONTROL MASTER'!#REF!)-1))),":",","),",",REPT(" ",50)),(((INDEX('CONTROL MASTER'!$Y$2:$Y$495,(SUMPRODUCT((('CONTROL MASTER'!$S$2:$S$495=1)*('CONTROL MASTER'!$Z$2:$Z$495&lt;=7)*('CONTROL MASTER'!$AB$2:$AB$495&gt;=7)*('CONTROL MASTER'!$AA$2:$AA$495&lt;=5)*('CONTROL MASTER'!$AC$2:$AC$495&gt;=5))*ROW('CONTROL MASTER'!$S$2:$S$495))-(ROW('CONTROL MASTER'!#REF!)-1)))+((7-INDEX('CONTROL MASTER'!$Z$2:$Z$495,(SUMPRODUCT((('CONTROL MASTER'!$S$2:$S$495=1)*('CONTROL MASTER'!$Z$2:$Z$495&lt;=7)*('CONTROL MASTER'!$AB$2:$AB$495&gt;=7)*('CONTROL MASTER'!$AA$2:$AA$495&lt;=5)*('CONTROL MASTER'!$AC$2:$AC$495&gt;=5))*ROW('CONTROL MASTER'!$S$2:$S$495))-(ROW('CONTROL MASTER'!#REF!)-1))))*(INDEX('CONTROL MASTER'!$AC$2:$AC$495,(SUMPRODUCT((('CONTROL MASTER'!$S$2:$S$495=1)*('CONTROL MASTER'!$Z$2:$Z$495&lt;=7)*('CONTROL MASTER'!$AB$2:$AB$495&gt;=7)*('CONTROL MASTER'!$AA$2:$AA$495&lt;=5)*('CONTROL MASTER'!$AC$2:$AC$495&gt;=5))*ROW('CONTROL MASTER'!$S$2:$S$495))-(ROW('CONTROL MASTER'!#REF!)-1)))-INDEX('CONTROL MASTER'!$AA$2:$AA$495,(SUMPRODUCT((('CONTROL MASTER'!$S$2:$S$495=1)*('CONTROL MASTER'!$Z$2:$Z$495&lt;=7)*('CONTROL MASTER'!$AB$2:$AB$495&gt;=7)*('CONTROL MASTER'!$AA$2:$AA$495&lt;=5)*('CONTROL MASTER'!$AC$2:$AC$495&gt;=5))*ROW('CONTROL MASTER'!$S$2:$S$495))-(ROW('CONTROL MASTER'!#REF!)-1)))+1)+(5-INDEX('CONTROL MASTER'!$AA$2:$AA$495,(SUMPRODUCT((('CONTROL MASTER'!$S$2:$S$495=1)*('CONTROL MASTER'!$Z$2:$Z$495&lt;=7)*('CONTROL MASTER'!$AB$2:$AB$495&gt;=7)*('CONTROL MASTER'!$AA$2:$AA$495&lt;=5)*('CONTROL MASTER'!$AC$2:$AC$495&gt;=5))*ROW('CONTROL MASTER'!$S$2:$S$495))-(ROW('CONTROL MASTER'!#REF!)-1))))+1)))-1)*50+1,50))&amp;"_"&amp;INDEX('CONTROL MASTER'!$P$2:$P$495,(SUMPRODUCT((('CONTROL MASTER'!$S$2:$S$495=1)*('CONTROL MASTER'!$Z$2:$Z$495&lt;=7)*('CONTROL MASTER'!$AB$2:$AB$495&gt;=7)*('CONTROL MASTER'!$AA$2:$AA$495&lt;=5)*('CONTROL MASTER'!$AC$2:$AC$495&gt;=5))*ROW('CONTROL MASTER'!$S$2:$S$495))-(ROW('CONTROL MASTER'!#REF!)-1))),"")),"")</f>
        <v/>
      </c>
      <c r="G9" s="10" t="str">
        <f>IFERROR(IF(SUMPRODUCT((('CONTROL MASTER'!$S$2:$S$495=1)*('CONTROL MASTER'!$T$2:$T$495&lt;=7)*('CONTROL MASTER'!$V$2:$V$495&gt;=7)*('CONTROL MASTER'!$U$2:$U$495&lt;=6)*('CONTROL MASTER'!$W$2:$W$495&gt;=6))*ROW('CONTROL MASTER'!$S$2:$S$495))&gt;0,INDEX('CONTROL MASTER'!$X$2:$X$495,(SUMPRODUCT((('CONTROL MASTER'!$S$2:$S$495=1)*('CONTROL MASTER'!$T$2:$T$495&lt;=7)*('CONTROL MASTER'!$V$2:$V$495&gt;=7)*('CONTROL MASTER'!$U$2:$U$495&lt;=6)*('CONTROL MASTER'!$W$2:$W$495&gt;=6))*ROW('CONTROL MASTER'!$S$2:$S$495))-(ROW('CONTROL MASTER'!#REF!)-1)))&amp;TRIM(MID(SUBSTITUTE(SUBSTITUTE(INDEX('CONTROL MASTER'!$N$2:$N$495,(SUMPRODUCT((('CONTROL MASTER'!$S$2:$S$495=1)*('CONTROL MASTER'!$T$2:$T$495&lt;=7)*('CONTROL MASTER'!$V$2:$V$495&gt;=7)*('CONTROL MASTER'!$U$2:$U$495&lt;=6)*('CONTROL MASTER'!$W$2:$W$495&gt;=6))*ROW('CONTROL MASTER'!$S$2:$S$495))-(ROW('CONTROL MASTER'!#REF!)-1))),":",","),",",REPT(" ",50)),((((7-INDEX('CONTROL MASTER'!$T$2:$T$495,(SUMPRODUCT((('CONTROL MASTER'!$S$2:$S$495=1)*('CONTROL MASTER'!$T$2:$T$495&lt;=7)*('CONTROL MASTER'!$V$2:$V$495&gt;=7)*('CONTROL MASTER'!$U$2:$U$495&lt;=6)*('CONTROL MASTER'!$W$2:$W$495&gt;=6))*ROW('CONTROL MASTER'!$S$2:$S$495))-(ROW('CONTROL MASTER'!#REF!)-1))))*(INDEX('CONTROL MASTER'!$W$2:$W$495,(SUMPRODUCT((('CONTROL MASTER'!$S$2:$S$495=1)*('CONTROL MASTER'!$T$2:$T$495&lt;=7)*('CONTROL MASTER'!$V$2:$V$495&gt;=7)*('CONTROL MASTER'!$U$2:$U$495&lt;=6)*('CONTROL MASTER'!$W$2:$W$495&gt;=6))*ROW('CONTROL MASTER'!$S$2:$S$495))-(ROW('CONTROL MASTER'!#REF!)-1)))-INDEX('CONTROL MASTER'!$U$2:$U$495,(SUMPRODUCT((('CONTROL MASTER'!$S$2:$S$495=1)*('CONTROL MASTER'!$T$2:$T$495&lt;=7)*('CONTROL MASTER'!$V$2:$V$495&gt;=7)*('CONTROL MASTER'!$U$2:$U$495&lt;=6)*('CONTROL MASTER'!$W$2:$W$495&gt;=6))*ROW('CONTROL MASTER'!$S$2:$S$495))-(ROW('CONTROL MASTER'!#REF!)-1)))+1)+(6-INDEX('CONTROL MASTER'!$U$2:$U$495,(SUMPRODUCT((('CONTROL MASTER'!$S$2:$S$495=1)*('CONTROL MASTER'!$T$2:$T$495&lt;=7)*('CONTROL MASTER'!$V$2:$V$495&gt;=7)*('CONTROL MASTER'!$U$2:$U$495&lt;=6)*('CONTROL MASTER'!$W$2:$W$495&gt;=6))*ROW('CONTROL MASTER'!$S$2:$S$495))-(ROW('CONTROL MASTER'!#REF!)-1))))+1))-1)*50+1,50))&amp;"_"&amp;INDEX('CONTROL MASTER'!$P$2:$P$495,(SUMPRODUCT((('CONTROL MASTER'!$S$2:$S$495=1)*('CONTROL MASTER'!$T$2:$T$495&lt;=7)*('CONTROL MASTER'!$V$2:$V$495&gt;=7)*('CONTROL MASTER'!$U$2:$U$495&lt;=6)*('CONTROL MASTER'!$W$2:$W$495&gt;=6))*ROW('CONTROL MASTER'!$S$2:$S$495))-(ROW('CONTROL MASTER'!#REF!)-1))),IF(SUMPRODUCT((('CONTROL MASTER'!$S$2:$S$495=1)*('CONTROL MASTER'!$Z$2:$Z$495&lt;=7)*('CONTROL MASTER'!$AB$2:$AB$495&gt;=7)*('CONTROL MASTER'!$AA$2:$AA$495&lt;=6)*('CONTROL MASTER'!$AC$2:$AC$495&gt;=6))*ROW('CONTROL MASTER'!$S$2:$S$495))&gt;0,INDEX('CONTROL MASTER'!$X$2:$X$495,(SUMPRODUCT((('CONTROL MASTER'!$S$2:$S$495=1)*('CONTROL MASTER'!$Z$2:$Z$495&lt;=7)*('CONTROL MASTER'!$AB$2:$AB$495&gt;=7)*('CONTROL MASTER'!$AA$2:$AA$495&lt;=6)*('CONTROL MASTER'!$AC$2:$AC$495&gt;=6))*ROW('CONTROL MASTER'!$S$2:$S$495))-(ROW('CONTROL MASTER'!#REF!)-1)))&amp;TRIM(MID(SUBSTITUTE(SUBSTITUTE(INDEX('CONTROL MASTER'!$N$2:$N$495,(SUMPRODUCT((('CONTROL MASTER'!$S$2:$S$495=1)*('CONTROL MASTER'!$Z$2:$Z$495&lt;=7)*('CONTROL MASTER'!$AB$2:$AB$495&gt;=7)*('CONTROL MASTER'!$AA$2:$AA$495&lt;=6)*('CONTROL MASTER'!$AC$2:$AC$495&gt;=6))*ROW('CONTROL MASTER'!$S$2:$S$495))-(ROW('CONTROL MASTER'!#REF!)-1))),":",","),",",REPT(" ",50)),(((INDEX('CONTROL MASTER'!$Y$2:$Y$495,(SUMPRODUCT((('CONTROL MASTER'!$S$2:$S$495=1)*('CONTROL MASTER'!$Z$2:$Z$495&lt;=7)*('CONTROL MASTER'!$AB$2:$AB$495&gt;=7)*('CONTROL MASTER'!$AA$2:$AA$495&lt;=6)*('CONTROL MASTER'!$AC$2:$AC$495&gt;=6))*ROW('CONTROL MASTER'!$S$2:$S$495))-(ROW('CONTROL MASTER'!#REF!)-1)))+((7-INDEX('CONTROL MASTER'!$Z$2:$Z$495,(SUMPRODUCT((('CONTROL MASTER'!$S$2:$S$495=1)*('CONTROL MASTER'!$Z$2:$Z$495&lt;=7)*('CONTROL MASTER'!$AB$2:$AB$495&gt;=7)*('CONTROL MASTER'!$AA$2:$AA$495&lt;=6)*('CONTROL MASTER'!$AC$2:$AC$495&gt;=6))*ROW('CONTROL MASTER'!$S$2:$S$495))-(ROW('CONTROL MASTER'!#REF!)-1))))*(INDEX('CONTROL MASTER'!$AC$2:$AC$495,(SUMPRODUCT((('CONTROL MASTER'!$S$2:$S$495=1)*('CONTROL MASTER'!$Z$2:$Z$495&lt;=7)*('CONTROL MASTER'!$AB$2:$AB$495&gt;=7)*('CONTROL MASTER'!$AA$2:$AA$495&lt;=6)*('CONTROL MASTER'!$AC$2:$AC$495&gt;=6))*ROW('CONTROL MASTER'!$S$2:$S$495))-(ROW('CONTROL MASTER'!#REF!)-1)))-INDEX('CONTROL MASTER'!$AA$2:$AA$495,(SUMPRODUCT((('CONTROL MASTER'!$S$2:$S$495=1)*('CONTROL MASTER'!$Z$2:$Z$495&lt;=7)*('CONTROL MASTER'!$AB$2:$AB$495&gt;=7)*('CONTROL MASTER'!$AA$2:$AA$495&lt;=6)*('CONTROL MASTER'!$AC$2:$AC$495&gt;=6))*ROW('CONTROL MASTER'!$S$2:$S$495))-(ROW('CONTROL MASTER'!#REF!)-1)))+1)+(6-INDEX('CONTROL MASTER'!$AA$2:$AA$495,(SUMPRODUCT((('CONTROL MASTER'!$S$2:$S$495=1)*('CONTROL MASTER'!$Z$2:$Z$495&lt;=7)*('CONTROL MASTER'!$AB$2:$AB$495&gt;=7)*('CONTROL MASTER'!$AA$2:$AA$495&lt;=6)*('CONTROL MASTER'!$AC$2:$AC$495&gt;=6))*ROW('CONTROL MASTER'!$S$2:$S$495))-(ROW('CONTROL MASTER'!#REF!)-1))))+1)))-1)*50+1,50))&amp;"_"&amp;INDEX('CONTROL MASTER'!$P$2:$P$495,(SUMPRODUCT((('CONTROL MASTER'!$S$2:$S$495=1)*('CONTROL MASTER'!$Z$2:$Z$495&lt;=7)*('CONTROL MASTER'!$AB$2:$AB$495&gt;=7)*('CONTROL MASTER'!$AA$2:$AA$495&lt;=6)*('CONTROL MASTER'!$AC$2:$AC$495&gt;=6))*ROW('CONTROL MASTER'!$S$2:$S$495))-(ROW('CONTROL MASTER'!#REF!)-1))),"")),"")</f>
        <v/>
      </c>
      <c r="H9" s="10" t="str">
        <f>IFERROR(IF(SUMPRODUCT((('CONTROL MASTER'!$S$2:$S$495=1)*('CONTROL MASTER'!$T$2:$T$495&lt;=7)*('CONTROL MASTER'!$V$2:$V$495&gt;=7)*('CONTROL MASTER'!$U$2:$U$495&lt;=7)*('CONTROL MASTER'!$W$2:$W$495&gt;=7))*ROW('CONTROL MASTER'!$S$2:$S$495))&gt;0,INDEX('CONTROL MASTER'!$X$2:$X$495,(SUMPRODUCT((('CONTROL MASTER'!$S$2:$S$495=1)*('CONTROL MASTER'!$T$2:$T$495&lt;=7)*('CONTROL MASTER'!$V$2:$V$495&gt;=7)*('CONTROL MASTER'!$U$2:$U$495&lt;=7)*('CONTROL MASTER'!$W$2:$W$495&gt;=7))*ROW('CONTROL MASTER'!$S$2:$S$495))-(ROW('CONTROL MASTER'!#REF!)-1)))&amp;TRIM(MID(SUBSTITUTE(SUBSTITUTE(INDEX('CONTROL MASTER'!$N$2:$N$495,(SUMPRODUCT((('CONTROL MASTER'!$S$2:$S$495=1)*('CONTROL MASTER'!$T$2:$T$495&lt;=7)*('CONTROL MASTER'!$V$2:$V$495&gt;=7)*('CONTROL MASTER'!$U$2:$U$495&lt;=7)*('CONTROL MASTER'!$W$2:$W$495&gt;=7))*ROW('CONTROL MASTER'!$S$2:$S$495))-(ROW('CONTROL MASTER'!#REF!)-1))),":",","),",",REPT(" ",50)),((((7-INDEX('CONTROL MASTER'!$T$2:$T$495,(SUMPRODUCT((('CONTROL MASTER'!$S$2:$S$495=1)*('CONTROL MASTER'!$T$2:$T$495&lt;=7)*('CONTROL MASTER'!$V$2:$V$495&gt;=7)*('CONTROL MASTER'!$U$2:$U$495&lt;=7)*('CONTROL MASTER'!$W$2:$W$495&gt;=7))*ROW('CONTROL MASTER'!$S$2:$S$495))-(ROW('CONTROL MASTER'!#REF!)-1))))*(INDEX('CONTROL MASTER'!$W$2:$W$495,(SUMPRODUCT((('CONTROL MASTER'!$S$2:$S$495=1)*('CONTROL MASTER'!$T$2:$T$495&lt;=7)*('CONTROL MASTER'!$V$2:$V$495&gt;=7)*('CONTROL MASTER'!$U$2:$U$495&lt;=7)*('CONTROL MASTER'!$W$2:$W$495&gt;=7))*ROW('CONTROL MASTER'!$S$2:$S$495))-(ROW('CONTROL MASTER'!#REF!)-1)))-INDEX('CONTROL MASTER'!$U$2:$U$495,(SUMPRODUCT((('CONTROL MASTER'!$S$2:$S$495=1)*('CONTROL MASTER'!$T$2:$T$495&lt;=7)*('CONTROL MASTER'!$V$2:$V$495&gt;=7)*('CONTROL MASTER'!$U$2:$U$495&lt;=7)*('CONTROL MASTER'!$W$2:$W$495&gt;=7))*ROW('CONTROL MASTER'!$S$2:$S$495))-(ROW('CONTROL MASTER'!#REF!)-1)))+1)+(7-INDEX('CONTROL MASTER'!$U$2:$U$495,(SUMPRODUCT((('CONTROL MASTER'!$S$2:$S$495=1)*('CONTROL MASTER'!$T$2:$T$495&lt;=7)*('CONTROL MASTER'!$V$2:$V$495&gt;=7)*('CONTROL MASTER'!$U$2:$U$495&lt;=7)*('CONTROL MASTER'!$W$2:$W$495&gt;=7))*ROW('CONTROL MASTER'!$S$2:$S$495))-(ROW('CONTROL MASTER'!#REF!)-1))))+1))-1)*50+1,50))&amp;"_"&amp;INDEX('CONTROL MASTER'!$P$2:$P$495,(SUMPRODUCT((('CONTROL MASTER'!$S$2:$S$495=1)*('CONTROL MASTER'!$T$2:$T$495&lt;=7)*('CONTROL MASTER'!$V$2:$V$495&gt;=7)*('CONTROL MASTER'!$U$2:$U$495&lt;=7)*('CONTROL MASTER'!$W$2:$W$495&gt;=7))*ROW('CONTROL MASTER'!$S$2:$S$495))-(ROW('CONTROL MASTER'!#REF!)-1))),IF(SUMPRODUCT((('CONTROL MASTER'!$S$2:$S$495=1)*('CONTROL MASTER'!$Z$2:$Z$495&lt;=7)*('CONTROL MASTER'!$AB$2:$AB$495&gt;=7)*('CONTROL MASTER'!$AA$2:$AA$495&lt;=7)*('CONTROL MASTER'!$AC$2:$AC$495&gt;=7))*ROW('CONTROL MASTER'!$S$2:$S$495))&gt;0,INDEX('CONTROL MASTER'!$X$2:$X$495,(SUMPRODUCT((('CONTROL MASTER'!$S$2:$S$495=1)*('CONTROL MASTER'!$Z$2:$Z$495&lt;=7)*('CONTROL MASTER'!$AB$2:$AB$495&gt;=7)*('CONTROL MASTER'!$AA$2:$AA$495&lt;=7)*('CONTROL MASTER'!$AC$2:$AC$495&gt;=7))*ROW('CONTROL MASTER'!$S$2:$S$495))-(ROW('CONTROL MASTER'!#REF!)-1)))&amp;TRIM(MID(SUBSTITUTE(SUBSTITUTE(INDEX('CONTROL MASTER'!$N$2:$N$495,(SUMPRODUCT((('CONTROL MASTER'!$S$2:$S$495=1)*('CONTROL MASTER'!$Z$2:$Z$495&lt;=7)*('CONTROL MASTER'!$AB$2:$AB$495&gt;=7)*('CONTROL MASTER'!$AA$2:$AA$495&lt;=7)*('CONTROL MASTER'!$AC$2:$AC$495&gt;=7))*ROW('CONTROL MASTER'!$S$2:$S$495))-(ROW('CONTROL MASTER'!#REF!)-1))),":",","),",",REPT(" ",50)),(((INDEX('CONTROL MASTER'!$Y$2:$Y$495,(SUMPRODUCT((('CONTROL MASTER'!$S$2:$S$495=1)*('CONTROL MASTER'!$Z$2:$Z$495&lt;=7)*('CONTROL MASTER'!$AB$2:$AB$495&gt;=7)*('CONTROL MASTER'!$AA$2:$AA$495&lt;=7)*('CONTROL MASTER'!$AC$2:$AC$495&gt;=7))*ROW('CONTROL MASTER'!$S$2:$S$495))-(ROW('CONTROL MASTER'!#REF!)-1)))+((7-INDEX('CONTROL MASTER'!$Z$2:$Z$495,(SUMPRODUCT((('CONTROL MASTER'!$S$2:$S$495=1)*('CONTROL MASTER'!$Z$2:$Z$495&lt;=7)*('CONTROL MASTER'!$AB$2:$AB$495&gt;=7)*('CONTROL MASTER'!$AA$2:$AA$495&lt;=7)*('CONTROL MASTER'!$AC$2:$AC$495&gt;=7))*ROW('CONTROL MASTER'!$S$2:$S$495))-(ROW('CONTROL MASTER'!#REF!)-1))))*(INDEX('CONTROL MASTER'!$AC$2:$AC$495,(SUMPRODUCT((('CONTROL MASTER'!$S$2:$S$495=1)*('CONTROL MASTER'!$Z$2:$Z$495&lt;=7)*('CONTROL MASTER'!$AB$2:$AB$495&gt;=7)*('CONTROL MASTER'!$AA$2:$AA$495&lt;=7)*('CONTROL MASTER'!$AC$2:$AC$495&gt;=7))*ROW('CONTROL MASTER'!$S$2:$S$495))-(ROW('CONTROL MASTER'!#REF!)-1)))-INDEX('CONTROL MASTER'!$AA$2:$AA$495,(SUMPRODUCT((('CONTROL MASTER'!$S$2:$S$495=1)*('CONTROL MASTER'!$Z$2:$Z$495&lt;=7)*('CONTROL MASTER'!$AB$2:$AB$495&gt;=7)*('CONTROL MASTER'!$AA$2:$AA$495&lt;=7)*('CONTROL MASTER'!$AC$2:$AC$495&gt;=7))*ROW('CONTROL MASTER'!$S$2:$S$495))-(ROW('CONTROL MASTER'!#REF!)-1)))+1)+(7-INDEX('CONTROL MASTER'!$AA$2:$AA$495,(SUMPRODUCT((('CONTROL MASTER'!$S$2:$S$495=1)*('CONTROL MASTER'!$Z$2:$Z$495&lt;=7)*('CONTROL MASTER'!$AB$2:$AB$495&gt;=7)*('CONTROL MASTER'!$AA$2:$AA$495&lt;=7)*('CONTROL MASTER'!$AC$2:$AC$495&gt;=7))*ROW('CONTROL MASTER'!$S$2:$S$495))-(ROW('CONTROL MASTER'!#REF!)-1))))+1)))-1)*50+1,50))&amp;"_"&amp;INDEX('CONTROL MASTER'!$P$2:$P$495,(SUMPRODUCT((('CONTROL MASTER'!$S$2:$S$495=1)*('CONTROL MASTER'!$Z$2:$Z$495&lt;=7)*('CONTROL MASTER'!$AB$2:$AB$495&gt;=7)*('CONTROL MASTER'!$AA$2:$AA$495&lt;=7)*('CONTROL MASTER'!$AC$2:$AC$495&gt;=7))*ROW('CONTROL MASTER'!$S$2:$S$495))-(ROW('CONTROL MASTER'!#REF!)-1))),"")),"")</f>
        <v/>
      </c>
      <c r="I9" s="10" t="str">
        <f>IFERROR(IF(SUMPRODUCT((('CONTROL MASTER'!$S$2:$S$495=1)*('CONTROL MASTER'!$T$2:$T$495&lt;=7)*('CONTROL MASTER'!$V$2:$V$495&gt;=7)*('CONTROL MASTER'!$U$2:$U$495&lt;=8)*('CONTROL MASTER'!$W$2:$W$495&gt;=8))*ROW('CONTROL MASTER'!$S$2:$S$495))&gt;0,INDEX('CONTROL MASTER'!$X$2:$X$495,(SUMPRODUCT((('CONTROL MASTER'!$S$2:$S$495=1)*('CONTROL MASTER'!$T$2:$T$495&lt;=7)*('CONTROL MASTER'!$V$2:$V$495&gt;=7)*('CONTROL MASTER'!$U$2:$U$495&lt;=8)*('CONTROL MASTER'!$W$2:$W$495&gt;=8))*ROW('CONTROL MASTER'!$S$2:$S$495))-(ROW('CONTROL MASTER'!#REF!)-1)))&amp;TRIM(MID(SUBSTITUTE(SUBSTITUTE(INDEX('CONTROL MASTER'!$N$2:$N$495,(SUMPRODUCT((('CONTROL MASTER'!$S$2:$S$495=1)*('CONTROL MASTER'!$T$2:$T$495&lt;=7)*('CONTROL MASTER'!$V$2:$V$495&gt;=7)*('CONTROL MASTER'!$U$2:$U$495&lt;=8)*('CONTROL MASTER'!$W$2:$W$495&gt;=8))*ROW('CONTROL MASTER'!$S$2:$S$495))-(ROW('CONTROL MASTER'!#REF!)-1))),":",","),",",REPT(" ",50)),((((7-INDEX('CONTROL MASTER'!$T$2:$T$495,(SUMPRODUCT((('CONTROL MASTER'!$S$2:$S$495=1)*('CONTROL MASTER'!$T$2:$T$495&lt;=7)*('CONTROL MASTER'!$V$2:$V$495&gt;=7)*('CONTROL MASTER'!$U$2:$U$495&lt;=8)*('CONTROL MASTER'!$W$2:$W$495&gt;=8))*ROW('CONTROL MASTER'!$S$2:$S$495))-(ROW('CONTROL MASTER'!#REF!)-1))))*(INDEX('CONTROL MASTER'!$W$2:$W$495,(SUMPRODUCT((('CONTROL MASTER'!$S$2:$S$495=1)*('CONTROL MASTER'!$T$2:$T$495&lt;=7)*('CONTROL MASTER'!$V$2:$V$495&gt;=7)*('CONTROL MASTER'!$U$2:$U$495&lt;=8)*('CONTROL MASTER'!$W$2:$W$495&gt;=8))*ROW('CONTROL MASTER'!$S$2:$S$495))-(ROW('CONTROL MASTER'!#REF!)-1)))-INDEX('CONTROL MASTER'!$U$2:$U$495,(SUMPRODUCT((('CONTROL MASTER'!$S$2:$S$495=1)*('CONTROL MASTER'!$T$2:$T$495&lt;=7)*('CONTROL MASTER'!$V$2:$V$495&gt;=7)*('CONTROL MASTER'!$U$2:$U$495&lt;=8)*('CONTROL MASTER'!$W$2:$W$495&gt;=8))*ROW('CONTROL MASTER'!$S$2:$S$495))-(ROW('CONTROL MASTER'!#REF!)-1)))+1)+(8-INDEX('CONTROL MASTER'!$U$2:$U$495,(SUMPRODUCT((('CONTROL MASTER'!$S$2:$S$495=1)*('CONTROL MASTER'!$T$2:$T$495&lt;=7)*('CONTROL MASTER'!$V$2:$V$495&gt;=7)*('CONTROL MASTER'!$U$2:$U$495&lt;=8)*('CONTROL MASTER'!$W$2:$W$495&gt;=8))*ROW('CONTROL MASTER'!$S$2:$S$495))-(ROW('CONTROL MASTER'!#REF!)-1))))+1))-1)*50+1,50))&amp;"_"&amp;INDEX('CONTROL MASTER'!$P$2:$P$495,(SUMPRODUCT((('CONTROL MASTER'!$S$2:$S$495=1)*('CONTROL MASTER'!$T$2:$T$495&lt;=7)*('CONTROL MASTER'!$V$2:$V$495&gt;=7)*('CONTROL MASTER'!$U$2:$U$495&lt;=8)*('CONTROL MASTER'!$W$2:$W$495&gt;=8))*ROW('CONTROL MASTER'!$S$2:$S$495))-(ROW('CONTROL MASTER'!#REF!)-1))),IF(SUMPRODUCT((('CONTROL MASTER'!$S$2:$S$495=1)*('CONTROL MASTER'!$Z$2:$Z$495&lt;=7)*('CONTROL MASTER'!$AB$2:$AB$495&gt;=7)*('CONTROL MASTER'!$AA$2:$AA$495&lt;=8)*('CONTROL MASTER'!$AC$2:$AC$495&gt;=8))*ROW('CONTROL MASTER'!$S$2:$S$495))&gt;0,INDEX('CONTROL MASTER'!$X$2:$X$495,(SUMPRODUCT((('CONTROL MASTER'!$S$2:$S$495=1)*('CONTROL MASTER'!$Z$2:$Z$495&lt;=7)*('CONTROL MASTER'!$AB$2:$AB$495&gt;=7)*('CONTROL MASTER'!$AA$2:$AA$495&lt;=8)*('CONTROL MASTER'!$AC$2:$AC$495&gt;=8))*ROW('CONTROL MASTER'!$S$2:$S$495))-(ROW('CONTROL MASTER'!#REF!)-1)))&amp;TRIM(MID(SUBSTITUTE(SUBSTITUTE(INDEX('CONTROL MASTER'!$N$2:$N$495,(SUMPRODUCT((('CONTROL MASTER'!$S$2:$S$495=1)*('CONTROL MASTER'!$Z$2:$Z$495&lt;=7)*('CONTROL MASTER'!$AB$2:$AB$495&gt;=7)*('CONTROL MASTER'!$AA$2:$AA$495&lt;=8)*('CONTROL MASTER'!$AC$2:$AC$495&gt;=8))*ROW('CONTROL MASTER'!$S$2:$S$495))-(ROW('CONTROL MASTER'!#REF!)-1))),":",","),",",REPT(" ",50)),(((INDEX('CONTROL MASTER'!$Y$2:$Y$495,(SUMPRODUCT((('CONTROL MASTER'!$S$2:$S$495=1)*('CONTROL MASTER'!$Z$2:$Z$495&lt;=7)*('CONTROL MASTER'!$AB$2:$AB$495&gt;=7)*('CONTROL MASTER'!$AA$2:$AA$495&lt;=8)*('CONTROL MASTER'!$AC$2:$AC$495&gt;=8))*ROW('CONTROL MASTER'!$S$2:$S$495))-(ROW('CONTROL MASTER'!#REF!)-1)))+((7-INDEX('CONTROL MASTER'!$Z$2:$Z$495,(SUMPRODUCT((('CONTROL MASTER'!$S$2:$S$495=1)*('CONTROL MASTER'!$Z$2:$Z$495&lt;=7)*('CONTROL MASTER'!$AB$2:$AB$495&gt;=7)*('CONTROL MASTER'!$AA$2:$AA$495&lt;=8)*('CONTROL MASTER'!$AC$2:$AC$495&gt;=8))*ROW('CONTROL MASTER'!$S$2:$S$495))-(ROW('CONTROL MASTER'!#REF!)-1))))*(INDEX('CONTROL MASTER'!$AC$2:$AC$495,(SUMPRODUCT((('CONTROL MASTER'!$S$2:$S$495=1)*('CONTROL MASTER'!$Z$2:$Z$495&lt;=7)*('CONTROL MASTER'!$AB$2:$AB$495&gt;=7)*('CONTROL MASTER'!$AA$2:$AA$495&lt;=8)*('CONTROL MASTER'!$AC$2:$AC$495&gt;=8))*ROW('CONTROL MASTER'!$S$2:$S$495))-(ROW('CONTROL MASTER'!#REF!)-1)))-INDEX('CONTROL MASTER'!$AA$2:$AA$495,(SUMPRODUCT((('CONTROL MASTER'!$S$2:$S$495=1)*('CONTROL MASTER'!$Z$2:$Z$495&lt;=7)*('CONTROL MASTER'!$AB$2:$AB$495&gt;=7)*('CONTROL MASTER'!$AA$2:$AA$495&lt;=8)*('CONTROL MASTER'!$AC$2:$AC$495&gt;=8))*ROW('CONTROL MASTER'!$S$2:$S$495))-(ROW('CONTROL MASTER'!#REF!)-1)))+1)+(8-INDEX('CONTROL MASTER'!$AA$2:$AA$495,(SUMPRODUCT((('CONTROL MASTER'!$S$2:$S$495=1)*('CONTROL MASTER'!$Z$2:$Z$495&lt;=7)*('CONTROL MASTER'!$AB$2:$AB$495&gt;=7)*('CONTROL MASTER'!$AA$2:$AA$495&lt;=8)*('CONTROL MASTER'!$AC$2:$AC$495&gt;=8))*ROW('CONTROL MASTER'!$S$2:$S$495))-(ROW('CONTROL MASTER'!#REF!)-1))))+1)))-1)*50+1,50))&amp;"_"&amp;INDEX('CONTROL MASTER'!$P$2:$P$495,(SUMPRODUCT((('CONTROL MASTER'!$S$2:$S$495=1)*('CONTROL MASTER'!$Z$2:$Z$495&lt;=7)*('CONTROL MASTER'!$AB$2:$AB$495&gt;=7)*('CONTROL MASTER'!$AA$2:$AA$495&lt;=8)*('CONTROL MASTER'!$AC$2:$AC$495&gt;=8))*ROW('CONTROL MASTER'!$S$2:$S$495))-(ROW('CONTROL MASTER'!#REF!)-1))),"")),"")</f>
        <v/>
      </c>
      <c r="J9" s="10" t="str">
        <f>IFERROR(IF(SUMPRODUCT((('CONTROL MASTER'!$S$2:$S$495=1)*('CONTROL MASTER'!$T$2:$T$495&lt;=7)*('CONTROL MASTER'!$V$2:$V$495&gt;=7)*('CONTROL MASTER'!$U$2:$U$495&lt;=9)*('CONTROL MASTER'!$W$2:$W$495&gt;=9))*ROW('CONTROL MASTER'!$S$2:$S$495))&gt;0,INDEX('CONTROL MASTER'!$X$2:$X$495,(SUMPRODUCT((('CONTROL MASTER'!$S$2:$S$495=1)*('CONTROL MASTER'!$T$2:$T$495&lt;=7)*('CONTROL MASTER'!$V$2:$V$495&gt;=7)*('CONTROL MASTER'!$U$2:$U$495&lt;=9)*('CONTROL MASTER'!$W$2:$W$495&gt;=9))*ROW('CONTROL MASTER'!$S$2:$S$495))-(ROW('CONTROL MASTER'!#REF!)-1)))&amp;TRIM(MID(SUBSTITUTE(SUBSTITUTE(INDEX('CONTROL MASTER'!$N$2:$N$495,(SUMPRODUCT((('CONTROL MASTER'!$S$2:$S$495=1)*('CONTROL MASTER'!$T$2:$T$495&lt;=7)*('CONTROL MASTER'!$V$2:$V$495&gt;=7)*('CONTROL MASTER'!$U$2:$U$495&lt;=9)*('CONTROL MASTER'!$W$2:$W$495&gt;=9))*ROW('CONTROL MASTER'!$S$2:$S$495))-(ROW('CONTROL MASTER'!#REF!)-1))),":",","),",",REPT(" ",50)),((((7-INDEX('CONTROL MASTER'!$T$2:$T$495,(SUMPRODUCT((('CONTROL MASTER'!$S$2:$S$495=1)*('CONTROL MASTER'!$T$2:$T$495&lt;=7)*('CONTROL MASTER'!$V$2:$V$495&gt;=7)*('CONTROL MASTER'!$U$2:$U$495&lt;=9)*('CONTROL MASTER'!$W$2:$W$495&gt;=9))*ROW('CONTROL MASTER'!$S$2:$S$495))-(ROW('CONTROL MASTER'!#REF!)-1))))*(INDEX('CONTROL MASTER'!$W$2:$W$495,(SUMPRODUCT((('CONTROL MASTER'!$S$2:$S$495=1)*('CONTROL MASTER'!$T$2:$T$495&lt;=7)*('CONTROL MASTER'!$V$2:$V$495&gt;=7)*('CONTROL MASTER'!$U$2:$U$495&lt;=9)*('CONTROL MASTER'!$W$2:$W$495&gt;=9))*ROW('CONTROL MASTER'!$S$2:$S$495))-(ROW('CONTROL MASTER'!#REF!)-1)))-INDEX('CONTROL MASTER'!$U$2:$U$495,(SUMPRODUCT((('CONTROL MASTER'!$S$2:$S$495=1)*('CONTROL MASTER'!$T$2:$T$495&lt;=7)*('CONTROL MASTER'!$V$2:$V$495&gt;=7)*('CONTROL MASTER'!$U$2:$U$495&lt;=9)*('CONTROL MASTER'!$W$2:$W$495&gt;=9))*ROW('CONTROL MASTER'!$S$2:$S$495))-(ROW('CONTROL MASTER'!#REF!)-1)))+1)+(9-INDEX('CONTROL MASTER'!$U$2:$U$495,(SUMPRODUCT((('CONTROL MASTER'!$S$2:$S$495=1)*('CONTROL MASTER'!$T$2:$T$495&lt;=7)*('CONTROL MASTER'!$V$2:$V$495&gt;=7)*('CONTROL MASTER'!$U$2:$U$495&lt;=9)*('CONTROL MASTER'!$W$2:$W$495&gt;=9))*ROW('CONTROL MASTER'!$S$2:$S$495))-(ROW('CONTROL MASTER'!#REF!)-1))))+1))-1)*50+1,50))&amp;"_"&amp;INDEX('CONTROL MASTER'!$P$2:$P$495,(SUMPRODUCT((('CONTROL MASTER'!$S$2:$S$495=1)*('CONTROL MASTER'!$T$2:$T$495&lt;=7)*('CONTROL MASTER'!$V$2:$V$495&gt;=7)*('CONTROL MASTER'!$U$2:$U$495&lt;=9)*('CONTROL MASTER'!$W$2:$W$495&gt;=9))*ROW('CONTROL MASTER'!$S$2:$S$495))-(ROW('CONTROL MASTER'!#REF!)-1))),IF(SUMPRODUCT((('CONTROL MASTER'!$S$2:$S$495=1)*('CONTROL MASTER'!$Z$2:$Z$495&lt;=7)*('CONTROL MASTER'!$AB$2:$AB$495&gt;=7)*('CONTROL MASTER'!$AA$2:$AA$495&lt;=9)*('CONTROL MASTER'!$AC$2:$AC$495&gt;=9))*ROW('CONTROL MASTER'!$S$2:$S$495))&gt;0,INDEX('CONTROL MASTER'!$X$2:$X$495,(SUMPRODUCT((('CONTROL MASTER'!$S$2:$S$495=1)*('CONTROL MASTER'!$Z$2:$Z$495&lt;=7)*('CONTROL MASTER'!$AB$2:$AB$495&gt;=7)*('CONTROL MASTER'!$AA$2:$AA$495&lt;=9)*('CONTROL MASTER'!$AC$2:$AC$495&gt;=9))*ROW('CONTROL MASTER'!$S$2:$S$495))-(ROW('CONTROL MASTER'!#REF!)-1)))&amp;TRIM(MID(SUBSTITUTE(SUBSTITUTE(INDEX('CONTROL MASTER'!$N$2:$N$495,(SUMPRODUCT((('CONTROL MASTER'!$S$2:$S$495=1)*('CONTROL MASTER'!$Z$2:$Z$495&lt;=7)*('CONTROL MASTER'!$AB$2:$AB$495&gt;=7)*('CONTROL MASTER'!$AA$2:$AA$495&lt;=9)*('CONTROL MASTER'!$AC$2:$AC$495&gt;=9))*ROW('CONTROL MASTER'!$S$2:$S$495))-(ROW('CONTROL MASTER'!#REF!)-1))),":",","),",",REPT(" ",50)),(((INDEX('CONTROL MASTER'!$Y$2:$Y$495,(SUMPRODUCT((('CONTROL MASTER'!$S$2:$S$495=1)*('CONTROL MASTER'!$Z$2:$Z$495&lt;=7)*('CONTROL MASTER'!$AB$2:$AB$495&gt;=7)*('CONTROL MASTER'!$AA$2:$AA$495&lt;=9)*('CONTROL MASTER'!$AC$2:$AC$495&gt;=9))*ROW('CONTROL MASTER'!$S$2:$S$495))-(ROW('CONTROL MASTER'!#REF!)-1)))+((7-INDEX('CONTROL MASTER'!$Z$2:$Z$495,(SUMPRODUCT((('CONTROL MASTER'!$S$2:$S$495=1)*('CONTROL MASTER'!$Z$2:$Z$495&lt;=7)*('CONTROL MASTER'!$AB$2:$AB$495&gt;=7)*('CONTROL MASTER'!$AA$2:$AA$495&lt;=9)*('CONTROL MASTER'!$AC$2:$AC$495&gt;=9))*ROW('CONTROL MASTER'!$S$2:$S$495))-(ROW('CONTROL MASTER'!#REF!)-1))))*(INDEX('CONTROL MASTER'!$AC$2:$AC$495,(SUMPRODUCT((('CONTROL MASTER'!$S$2:$S$495=1)*('CONTROL MASTER'!$Z$2:$Z$495&lt;=7)*('CONTROL MASTER'!$AB$2:$AB$495&gt;=7)*('CONTROL MASTER'!$AA$2:$AA$495&lt;=9)*('CONTROL MASTER'!$AC$2:$AC$495&gt;=9))*ROW('CONTROL MASTER'!$S$2:$S$495))-(ROW('CONTROL MASTER'!#REF!)-1)))-INDEX('CONTROL MASTER'!$AA$2:$AA$495,(SUMPRODUCT((('CONTROL MASTER'!$S$2:$S$495=1)*('CONTROL MASTER'!$Z$2:$Z$495&lt;=7)*('CONTROL MASTER'!$AB$2:$AB$495&gt;=7)*('CONTROL MASTER'!$AA$2:$AA$495&lt;=9)*('CONTROL MASTER'!$AC$2:$AC$495&gt;=9))*ROW('CONTROL MASTER'!$S$2:$S$495))-(ROW('CONTROL MASTER'!#REF!)-1)))+1)+(9-INDEX('CONTROL MASTER'!$AA$2:$AA$495,(SUMPRODUCT((('CONTROL MASTER'!$S$2:$S$495=1)*('CONTROL MASTER'!$Z$2:$Z$495&lt;=7)*('CONTROL MASTER'!$AB$2:$AB$495&gt;=7)*('CONTROL MASTER'!$AA$2:$AA$495&lt;=9)*('CONTROL MASTER'!$AC$2:$AC$495&gt;=9))*ROW('CONTROL MASTER'!$S$2:$S$495))-(ROW('CONTROL MASTER'!#REF!)-1))))+1)))-1)*50+1,50))&amp;"_"&amp;INDEX('CONTROL MASTER'!$P$2:$P$495,(SUMPRODUCT((('CONTROL MASTER'!$S$2:$S$495=1)*('CONTROL MASTER'!$Z$2:$Z$495&lt;=7)*('CONTROL MASTER'!$AB$2:$AB$495&gt;=7)*('CONTROL MASTER'!$AA$2:$AA$495&lt;=9)*('CONTROL MASTER'!$AC$2:$AC$495&gt;=9))*ROW('CONTROL MASTER'!$S$2:$S$495))-(ROW('CONTROL MASTER'!#REF!)-1))),"")),"")</f>
        <v/>
      </c>
      <c r="K9" s="10" t="str">
        <f>IFERROR(IF(SUMPRODUCT((('CONTROL MASTER'!$S$2:$S$495=1)*('CONTROL MASTER'!$T$2:$T$495&lt;=7)*('CONTROL MASTER'!$V$2:$V$495&gt;=7)*('CONTROL MASTER'!$U$2:$U$495&lt;=10)*('CONTROL MASTER'!$W$2:$W$495&gt;=10))*ROW('CONTROL MASTER'!$S$2:$S$495))&gt;0,INDEX('CONTROL MASTER'!$X$2:$X$495,(SUMPRODUCT((('CONTROL MASTER'!$S$2:$S$495=1)*('CONTROL MASTER'!$T$2:$T$495&lt;=7)*('CONTROL MASTER'!$V$2:$V$495&gt;=7)*('CONTROL MASTER'!$U$2:$U$495&lt;=10)*('CONTROL MASTER'!$W$2:$W$495&gt;=10))*ROW('CONTROL MASTER'!$S$2:$S$495))-(ROW('CONTROL MASTER'!#REF!)-1)))&amp;TRIM(MID(SUBSTITUTE(SUBSTITUTE(INDEX('CONTROL MASTER'!$N$2:$N$495,(SUMPRODUCT((('CONTROL MASTER'!$S$2:$S$495=1)*('CONTROL MASTER'!$T$2:$T$495&lt;=7)*('CONTROL MASTER'!$V$2:$V$495&gt;=7)*('CONTROL MASTER'!$U$2:$U$495&lt;=10)*('CONTROL MASTER'!$W$2:$W$495&gt;=10))*ROW('CONTROL MASTER'!$S$2:$S$495))-(ROW('CONTROL MASTER'!#REF!)-1))),":",","),",",REPT(" ",50)),((((7-INDEX('CONTROL MASTER'!$T$2:$T$495,(SUMPRODUCT((('CONTROL MASTER'!$S$2:$S$495=1)*('CONTROL MASTER'!$T$2:$T$495&lt;=7)*('CONTROL MASTER'!$V$2:$V$495&gt;=7)*('CONTROL MASTER'!$U$2:$U$495&lt;=10)*('CONTROL MASTER'!$W$2:$W$495&gt;=10))*ROW('CONTROL MASTER'!$S$2:$S$495))-(ROW('CONTROL MASTER'!#REF!)-1))))*(INDEX('CONTROL MASTER'!$W$2:$W$495,(SUMPRODUCT((('CONTROL MASTER'!$S$2:$S$495=1)*('CONTROL MASTER'!$T$2:$T$495&lt;=7)*('CONTROL MASTER'!$V$2:$V$495&gt;=7)*('CONTROL MASTER'!$U$2:$U$495&lt;=10)*('CONTROL MASTER'!$W$2:$W$495&gt;=10))*ROW('CONTROL MASTER'!$S$2:$S$495))-(ROW('CONTROL MASTER'!#REF!)-1)))-INDEX('CONTROL MASTER'!$U$2:$U$495,(SUMPRODUCT((('CONTROL MASTER'!$S$2:$S$495=1)*('CONTROL MASTER'!$T$2:$T$495&lt;=7)*('CONTROL MASTER'!$V$2:$V$495&gt;=7)*('CONTROL MASTER'!$U$2:$U$495&lt;=10)*('CONTROL MASTER'!$W$2:$W$495&gt;=10))*ROW('CONTROL MASTER'!$S$2:$S$495))-(ROW('CONTROL MASTER'!#REF!)-1)))+1)+(10-INDEX('CONTROL MASTER'!$U$2:$U$495,(SUMPRODUCT((('CONTROL MASTER'!$S$2:$S$495=1)*('CONTROL MASTER'!$T$2:$T$495&lt;=7)*('CONTROL MASTER'!$V$2:$V$495&gt;=7)*('CONTROL MASTER'!$U$2:$U$495&lt;=10)*('CONTROL MASTER'!$W$2:$W$495&gt;=10))*ROW('CONTROL MASTER'!$S$2:$S$495))-(ROW('CONTROL MASTER'!#REF!)-1))))+1))-1)*50+1,50))&amp;"_"&amp;INDEX('CONTROL MASTER'!$P$2:$P$495,(SUMPRODUCT((('CONTROL MASTER'!$S$2:$S$495=1)*('CONTROL MASTER'!$T$2:$T$495&lt;=7)*('CONTROL MASTER'!$V$2:$V$495&gt;=7)*('CONTROL MASTER'!$U$2:$U$495&lt;=10)*('CONTROL MASTER'!$W$2:$W$495&gt;=10))*ROW('CONTROL MASTER'!$S$2:$S$495))-(ROW('CONTROL MASTER'!#REF!)-1))),IF(SUMPRODUCT((('CONTROL MASTER'!$S$2:$S$495=1)*('CONTROL MASTER'!$Z$2:$Z$495&lt;=7)*('CONTROL MASTER'!$AB$2:$AB$495&gt;=7)*('CONTROL MASTER'!$AA$2:$AA$495&lt;=10)*('CONTROL MASTER'!$AC$2:$AC$495&gt;=10))*ROW('CONTROL MASTER'!$S$2:$S$495))&gt;0,INDEX('CONTROL MASTER'!$X$2:$X$495,(SUMPRODUCT((('CONTROL MASTER'!$S$2:$S$495=1)*('CONTROL MASTER'!$Z$2:$Z$495&lt;=7)*('CONTROL MASTER'!$AB$2:$AB$495&gt;=7)*('CONTROL MASTER'!$AA$2:$AA$495&lt;=10)*('CONTROL MASTER'!$AC$2:$AC$495&gt;=10))*ROW('CONTROL MASTER'!$S$2:$S$495))-(ROW('CONTROL MASTER'!#REF!)-1)))&amp;TRIM(MID(SUBSTITUTE(SUBSTITUTE(INDEX('CONTROL MASTER'!$N$2:$N$495,(SUMPRODUCT((('CONTROL MASTER'!$S$2:$S$495=1)*('CONTROL MASTER'!$Z$2:$Z$495&lt;=7)*('CONTROL MASTER'!$AB$2:$AB$495&gt;=7)*('CONTROL MASTER'!$AA$2:$AA$495&lt;=10)*('CONTROL MASTER'!$AC$2:$AC$495&gt;=10))*ROW('CONTROL MASTER'!$S$2:$S$495))-(ROW('CONTROL MASTER'!#REF!)-1))),":",","),",",REPT(" ",50)),(((INDEX('CONTROL MASTER'!$Y$2:$Y$495,(SUMPRODUCT((('CONTROL MASTER'!$S$2:$S$495=1)*('CONTROL MASTER'!$Z$2:$Z$495&lt;=7)*('CONTROL MASTER'!$AB$2:$AB$495&gt;=7)*('CONTROL MASTER'!$AA$2:$AA$495&lt;=10)*('CONTROL MASTER'!$AC$2:$AC$495&gt;=10))*ROW('CONTROL MASTER'!$S$2:$S$495))-(ROW('CONTROL MASTER'!#REF!)-1)))+((7-INDEX('CONTROL MASTER'!$Z$2:$Z$495,(SUMPRODUCT((('CONTROL MASTER'!$S$2:$S$495=1)*('CONTROL MASTER'!$Z$2:$Z$495&lt;=7)*('CONTROL MASTER'!$AB$2:$AB$495&gt;=7)*('CONTROL MASTER'!$AA$2:$AA$495&lt;=10)*('CONTROL MASTER'!$AC$2:$AC$495&gt;=10))*ROW('CONTROL MASTER'!$S$2:$S$495))-(ROW('CONTROL MASTER'!#REF!)-1))))*(INDEX('CONTROL MASTER'!$AC$2:$AC$495,(SUMPRODUCT((('CONTROL MASTER'!$S$2:$S$495=1)*('CONTROL MASTER'!$Z$2:$Z$495&lt;=7)*('CONTROL MASTER'!$AB$2:$AB$495&gt;=7)*('CONTROL MASTER'!$AA$2:$AA$495&lt;=10)*('CONTROL MASTER'!$AC$2:$AC$495&gt;=10))*ROW('CONTROL MASTER'!$S$2:$S$495))-(ROW('CONTROL MASTER'!#REF!)-1)))-INDEX('CONTROL MASTER'!$AA$2:$AA$495,(SUMPRODUCT((('CONTROL MASTER'!$S$2:$S$495=1)*('CONTROL MASTER'!$Z$2:$Z$495&lt;=7)*('CONTROL MASTER'!$AB$2:$AB$495&gt;=7)*('CONTROL MASTER'!$AA$2:$AA$495&lt;=10)*('CONTROL MASTER'!$AC$2:$AC$495&gt;=10))*ROW('CONTROL MASTER'!$S$2:$S$495))-(ROW('CONTROL MASTER'!#REF!)-1)))+1)+(10-INDEX('CONTROL MASTER'!$AA$2:$AA$495,(SUMPRODUCT((('CONTROL MASTER'!$S$2:$S$495=1)*('CONTROL MASTER'!$Z$2:$Z$495&lt;=7)*('CONTROL MASTER'!$AB$2:$AB$495&gt;=7)*('CONTROL MASTER'!$AA$2:$AA$495&lt;=10)*('CONTROL MASTER'!$AC$2:$AC$495&gt;=10))*ROW('CONTROL MASTER'!$S$2:$S$495))-(ROW('CONTROL MASTER'!#REF!)-1))))+1)))-1)*50+1,50))&amp;"_"&amp;INDEX('CONTROL MASTER'!$P$2:$P$495,(SUMPRODUCT((('CONTROL MASTER'!$S$2:$S$495=1)*('CONTROL MASTER'!$Z$2:$Z$495&lt;=7)*('CONTROL MASTER'!$AB$2:$AB$495&gt;=7)*('CONTROL MASTER'!$AA$2:$AA$495&lt;=10)*('CONTROL MASTER'!$AC$2:$AC$495&gt;=10))*ROW('CONTROL MASTER'!$S$2:$S$495))-(ROW('CONTROL MASTER'!#REF!)-1))),"")),"")</f>
        <v/>
      </c>
    </row>
    <row r="10" spans="1:11" ht="15" customHeight="1" x14ac:dyDescent="0.35">
      <c r="A10" s="8" t="s">
        <v>35</v>
      </c>
      <c r="B10" s="10" t="str">
        <f>IFERROR(IF(SUMPRODUCT((('CONTROL MASTER'!$S$2:$S$495=1)*('CONTROL MASTER'!$T$2:$T$495&lt;=8)*('CONTROL MASTER'!$V$2:$V$495&gt;=8)*('CONTROL MASTER'!$U$2:$U$495&lt;=1)*('CONTROL MASTER'!$W$2:$W$495&gt;=1))*ROW('CONTROL MASTER'!$S$2:$S$495))&gt;0,INDEX('CONTROL MASTER'!$X$2:$X$495,(SUMPRODUCT((('CONTROL MASTER'!$S$2:$S$495=1)*('CONTROL MASTER'!$T$2:$T$495&lt;=8)*('CONTROL MASTER'!$V$2:$V$495&gt;=8)*('CONTROL MASTER'!$U$2:$U$495&lt;=1)*('CONTROL MASTER'!$W$2:$W$495&gt;=1))*ROW('CONTROL MASTER'!$S$2:$S$495))-(ROW('CONTROL MASTER'!#REF!)-1)))&amp;TRIM(MID(SUBSTITUTE(SUBSTITUTE(INDEX('CONTROL MASTER'!$N$2:$N$495,(SUMPRODUCT((('CONTROL MASTER'!$S$2:$S$495=1)*('CONTROL MASTER'!$T$2:$T$495&lt;=8)*('CONTROL MASTER'!$V$2:$V$495&gt;=8)*('CONTROL MASTER'!$U$2:$U$495&lt;=1)*('CONTROL MASTER'!$W$2:$W$495&gt;=1))*ROW('CONTROL MASTER'!$S$2:$S$495))-(ROW('CONTROL MASTER'!#REF!)-1))),":",","),",",REPT(" ",50)),((((8-INDEX('CONTROL MASTER'!$T$2:$T$495,(SUMPRODUCT((('CONTROL MASTER'!$S$2:$S$495=1)*('CONTROL MASTER'!$T$2:$T$495&lt;=8)*('CONTROL MASTER'!$V$2:$V$495&gt;=8)*('CONTROL MASTER'!$U$2:$U$495&lt;=1)*('CONTROL MASTER'!$W$2:$W$495&gt;=1))*ROW('CONTROL MASTER'!$S$2:$S$495))-(ROW('CONTROL MASTER'!#REF!)-1))))*(INDEX('CONTROL MASTER'!$W$2:$W$495,(SUMPRODUCT((('CONTROL MASTER'!$S$2:$S$495=1)*('CONTROL MASTER'!$T$2:$T$495&lt;=8)*('CONTROL MASTER'!$V$2:$V$495&gt;=8)*('CONTROL MASTER'!$U$2:$U$495&lt;=1)*('CONTROL MASTER'!$W$2:$W$495&gt;=1))*ROW('CONTROL MASTER'!$S$2:$S$495))-(ROW('CONTROL MASTER'!#REF!)-1)))-INDEX('CONTROL MASTER'!$U$2:$U$495,(SUMPRODUCT((('CONTROL MASTER'!$S$2:$S$495=1)*('CONTROL MASTER'!$T$2:$T$495&lt;=8)*('CONTROL MASTER'!$V$2:$V$495&gt;=8)*('CONTROL MASTER'!$U$2:$U$495&lt;=1)*('CONTROL MASTER'!$W$2:$W$495&gt;=1))*ROW('CONTROL MASTER'!$S$2:$S$495))-(ROW('CONTROL MASTER'!#REF!)-1)))+1)+(1-INDEX('CONTROL MASTER'!$U$2:$U$495,(SUMPRODUCT((('CONTROL MASTER'!$S$2:$S$495=1)*('CONTROL MASTER'!$T$2:$T$495&lt;=8)*('CONTROL MASTER'!$V$2:$V$495&gt;=8)*('CONTROL MASTER'!$U$2:$U$495&lt;=1)*('CONTROL MASTER'!$W$2:$W$495&gt;=1))*ROW('CONTROL MASTER'!$S$2:$S$495))-(ROW('CONTROL MASTER'!#REF!)-1))))+1))-1)*50+1,50))&amp;"_"&amp;INDEX('CONTROL MASTER'!$P$2:$P$495,(SUMPRODUCT((('CONTROL MASTER'!$S$2:$S$495=1)*('CONTROL MASTER'!$T$2:$T$495&lt;=8)*('CONTROL MASTER'!$V$2:$V$495&gt;=8)*('CONTROL MASTER'!$U$2:$U$495&lt;=1)*('CONTROL MASTER'!$W$2:$W$495&gt;=1))*ROW('CONTROL MASTER'!$S$2:$S$495))-(ROW('CONTROL MASTER'!#REF!)-1))),IF(SUMPRODUCT((('CONTROL MASTER'!$S$2:$S$495=1)*('CONTROL MASTER'!$Z$2:$Z$495&lt;=8)*('CONTROL MASTER'!$AB$2:$AB$495&gt;=8)*('CONTROL MASTER'!$AA$2:$AA$495&lt;=1)*('CONTROL MASTER'!$AC$2:$AC$495&gt;=1))*ROW('CONTROL MASTER'!$S$2:$S$495))&gt;0,INDEX('CONTROL MASTER'!$X$2:$X$495,(SUMPRODUCT((('CONTROL MASTER'!$S$2:$S$495=1)*('CONTROL MASTER'!$Z$2:$Z$495&lt;=8)*('CONTROL MASTER'!$AB$2:$AB$495&gt;=8)*('CONTROL MASTER'!$AA$2:$AA$495&lt;=1)*('CONTROL MASTER'!$AC$2:$AC$495&gt;=1))*ROW('CONTROL MASTER'!$S$2:$S$495))-(ROW('CONTROL MASTER'!#REF!)-1)))&amp;TRIM(MID(SUBSTITUTE(SUBSTITUTE(INDEX('CONTROL MASTER'!$N$2:$N$495,(SUMPRODUCT((('CONTROL MASTER'!$S$2:$S$495=1)*('CONTROL MASTER'!$Z$2:$Z$495&lt;=8)*('CONTROL MASTER'!$AB$2:$AB$495&gt;=8)*('CONTROL MASTER'!$AA$2:$AA$495&lt;=1)*('CONTROL MASTER'!$AC$2:$AC$495&gt;=1))*ROW('CONTROL MASTER'!$S$2:$S$495))-(ROW('CONTROL MASTER'!#REF!)-1))),":",","),",",REPT(" ",50)),(((INDEX('CONTROL MASTER'!$Y$2:$Y$495,(SUMPRODUCT((('CONTROL MASTER'!$S$2:$S$495=1)*('CONTROL MASTER'!$Z$2:$Z$495&lt;=8)*('CONTROL MASTER'!$AB$2:$AB$495&gt;=8)*('CONTROL MASTER'!$AA$2:$AA$495&lt;=1)*('CONTROL MASTER'!$AC$2:$AC$495&gt;=1))*ROW('CONTROL MASTER'!$S$2:$S$495))-(ROW('CONTROL MASTER'!#REF!)-1)))+((8-INDEX('CONTROL MASTER'!$Z$2:$Z$495,(SUMPRODUCT((('CONTROL MASTER'!$S$2:$S$495=1)*('CONTROL MASTER'!$Z$2:$Z$495&lt;=8)*('CONTROL MASTER'!$AB$2:$AB$495&gt;=8)*('CONTROL MASTER'!$AA$2:$AA$495&lt;=1)*('CONTROL MASTER'!$AC$2:$AC$495&gt;=1))*ROW('CONTROL MASTER'!$S$2:$S$495))-(ROW('CONTROL MASTER'!#REF!)-1))))*(INDEX('CONTROL MASTER'!$AC$2:$AC$495,(SUMPRODUCT((('CONTROL MASTER'!$S$2:$S$495=1)*('CONTROL MASTER'!$Z$2:$Z$495&lt;=8)*('CONTROL MASTER'!$AB$2:$AB$495&gt;=8)*('CONTROL MASTER'!$AA$2:$AA$495&lt;=1)*('CONTROL MASTER'!$AC$2:$AC$495&gt;=1))*ROW('CONTROL MASTER'!$S$2:$S$495))-(ROW('CONTROL MASTER'!#REF!)-1)))-INDEX('CONTROL MASTER'!$AA$2:$AA$495,(SUMPRODUCT((('CONTROL MASTER'!$S$2:$S$495=1)*('CONTROL MASTER'!$Z$2:$Z$495&lt;=8)*('CONTROL MASTER'!$AB$2:$AB$495&gt;=8)*('CONTROL MASTER'!$AA$2:$AA$495&lt;=1)*('CONTROL MASTER'!$AC$2:$AC$495&gt;=1))*ROW('CONTROL MASTER'!$S$2:$S$495))-(ROW('CONTROL MASTER'!#REF!)-1)))+1)+(1-INDEX('CONTROL MASTER'!$AA$2:$AA$495,(SUMPRODUCT((('CONTROL MASTER'!$S$2:$S$495=1)*('CONTROL MASTER'!$Z$2:$Z$495&lt;=8)*('CONTROL MASTER'!$AB$2:$AB$495&gt;=8)*('CONTROL MASTER'!$AA$2:$AA$495&lt;=1)*('CONTROL MASTER'!$AC$2:$AC$495&gt;=1))*ROW('CONTROL MASTER'!$S$2:$S$495))-(ROW('CONTROL MASTER'!#REF!)-1))))+1)))-1)*50+1,50))&amp;"_"&amp;INDEX('CONTROL MASTER'!$P$2:$P$495,(SUMPRODUCT((('CONTROL MASTER'!$S$2:$S$495=1)*('CONTROL MASTER'!$Z$2:$Z$495&lt;=8)*('CONTROL MASTER'!$AB$2:$AB$495&gt;=8)*('CONTROL MASTER'!$AA$2:$AA$495&lt;=1)*('CONTROL MASTER'!$AC$2:$AC$495&gt;=1))*ROW('CONTROL MASTER'!$S$2:$S$495))-(ROW('CONTROL MASTER'!#REF!)-1))),"")),"")</f>
        <v/>
      </c>
      <c r="C10" s="10" t="str">
        <f>IFERROR(IF(SUMPRODUCT((('CONTROL MASTER'!$S$2:$S$495=1)*('CONTROL MASTER'!$T$2:$T$495&lt;=8)*('CONTROL MASTER'!$V$2:$V$495&gt;=8)*('CONTROL MASTER'!$U$2:$U$495&lt;=2)*('CONTROL MASTER'!$W$2:$W$495&gt;=2))*ROW('CONTROL MASTER'!$S$2:$S$495))&gt;0,INDEX('CONTROL MASTER'!$X$2:$X$495,(SUMPRODUCT((('CONTROL MASTER'!$S$2:$S$495=1)*('CONTROL MASTER'!$T$2:$T$495&lt;=8)*('CONTROL MASTER'!$V$2:$V$495&gt;=8)*('CONTROL MASTER'!$U$2:$U$495&lt;=2)*('CONTROL MASTER'!$W$2:$W$495&gt;=2))*ROW('CONTROL MASTER'!$S$2:$S$495))-(ROW('CONTROL MASTER'!#REF!)-1)))&amp;TRIM(MID(SUBSTITUTE(SUBSTITUTE(INDEX('CONTROL MASTER'!$N$2:$N$495,(SUMPRODUCT((('CONTROL MASTER'!$S$2:$S$495=1)*('CONTROL MASTER'!$T$2:$T$495&lt;=8)*('CONTROL MASTER'!$V$2:$V$495&gt;=8)*('CONTROL MASTER'!$U$2:$U$495&lt;=2)*('CONTROL MASTER'!$W$2:$W$495&gt;=2))*ROW('CONTROL MASTER'!$S$2:$S$495))-(ROW('CONTROL MASTER'!#REF!)-1))),":",","),",",REPT(" ",50)),((((8-INDEX('CONTROL MASTER'!$T$2:$T$495,(SUMPRODUCT((('CONTROL MASTER'!$S$2:$S$495=1)*('CONTROL MASTER'!$T$2:$T$495&lt;=8)*('CONTROL MASTER'!$V$2:$V$495&gt;=8)*('CONTROL MASTER'!$U$2:$U$495&lt;=2)*('CONTROL MASTER'!$W$2:$W$495&gt;=2))*ROW('CONTROL MASTER'!$S$2:$S$495))-(ROW('CONTROL MASTER'!#REF!)-1))))*(INDEX('CONTROL MASTER'!$W$2:$W$495,(SUMPRODUCT((('CONTROL MASTER'!$S$2:$S$495=1)*('CONTROL MASTER'!$T$2:$T$495&lt;=8)*('CONTROL MASTER'!$V$2:$V$495&gt;=8)*('CONTROL MASTER'!$U$2:$U$495&lt;=2)*('CONTROL MASTER'!$W$2:$W$495&gt;=2))*ROW('CONTROL MASTER'!$S$2:$S$495))-(ROW('CONTROL MASTER'!#REF!)-1)))-INDEX('CONTROL MASTER'!$U$2:$U$495,(SUMPRODUCT((('CONTROL MASTER'!$S$2:$S$495=1)*('CONTROL MASTER'!$T$2:$T$495&lt;=8)*('CONTROL MASTER'!$V$2:$V$495&gt;=8)*('CONTROL MASTER'!$U$2:$U$495&lt;=2)*('CONTROL MASTER'!$W$2:$W$495&gt;=2))*ROW('CONTROL MASTER'!$S$2:$S$495))-(ROW('CONTROL MASTER'!#REF!)-1)))+1)+(2-INDEX('CONTROL MASTER'!$U$2:$U$495,(SUMPRODUCT((('CONTROL MASTER'!$S$2:$S$495=1)*('CONTROL MASTER'!$T$2:$T$495&lt;=8)*('CONTROL MASTER'!$V$2:$V$495&gt;=8)*('CONTROL MASTER'!$U$2:$U$495&lt;=2)*('CONTROL MASTER'!$W$2:$W$495&gt;=2))*ROW('CONTROL MASTER'!$S$2:$S$495))-(ROW('CONTROL MASTER'!#REF!)-1))))+1))-1)*50+1,50))&amp;"_"&amp;INDEX('CONTROL MASTER'!$P$2:$P$495,(SUMPRODUCT((('CONTROL MASTER'!$S$2:$S$495=1)*('CONTROL MASTER'!$T$2:$T$495&lt;=8)*('CONTROL MASTER'!$V$2:$V$495&gt;=8)*('CONTROL MASTER'!$U$2:$U$495&lt;=2)*('CONTROL MASTER'!$W$2:$W$495&gt;=2))*ROW('CONTROL MASTER'!$S$2:$S$495))-(ROW('CONTROL MASTER'!#REF!)-1))),IF(SUMPRODUCT((('CONTROL MASTER'!$S$2:$S$495=1)*('CONTROL MASTER'!$Z$2:$Z$495&lt;=8)*('CONTROL MASTER'!$AB$2:$AB$495&gt;=8)*('CONTROL MASTER'!$AA$2:$AA$495&lt;=2)*('CONTROL MASTER'!$AC$2:$AC$495&gt;=2))*ROW('CONTROL MASTER'!$S$2:$S$495))&gt;0,INDEX('CONTROL MASTER'!$X$2:$X$495,(SUMPRODUCT((('CONTROL MASTER'!$S$2:$S$495=1)*('CONTROL MASTER'!$Z$2:$Z$495&lt;=8)*('CONTROL MASTER'!$AB$2:$AB$495&gt;=8)*('CONTROL MASTER'!$AA$2:$AA$495&lt;=2)*('CONTROL MASTER'!$AC$2:$AC$495&gt;=2))*ROW('CONTROL MASTER'!$S$2:$S$495))-(ROW('CONTROL MASTER'!#REF!)-1)))&amp;TRIM(MID(SUBSTITUTE(SUBSTITUTE(INDEX('CONTROL MASTER'!$N$2:$N$495,(SUMPRODUCT((('CONTROL MASTER'!$S$2:$S$495=1)*('CONTROL MASTER'!$Z$2:$Z$495&lt;=8)*('CONTROL MASTER'!$AB$2:$AB$495&gt;=8)*('CONTROL MASTER'!$AA$2:$AA$495&lt;=2)*('CONTROL MASTER'!$AC$2:$AC$495&gt;=2))*ROW('CONTROL MASTER'!$S$2:$S$495))-(ROW('CONTROL MASTER'!#REF!)-1))),":",","),",",REPT(" ",50)),(((INDEX('CONTROL MASTER'!$Y$2:$Y$495,(SUMPRODUCT((('CONTROL MASTER'!$S$2:$S$495=1)*('CONTROL MASTER'!$Z$2:$Z$495&lt;=8)*('CONTROL MASTER'!$AB$2:$AB$495&gt;=8)*('CONTROL MASTER'!$AA$2:$AA$495&lt;=2)*('CONTROL MASTER'!$AC$2:$AC$495&gt;=2))*ROW('CONTROL MASTER'!$S$2:$S$495))-(ROW('CONTROL MASTER'!#REF!)-1)))+((8-INDEX('CONTROL MASTER'!$Z$2:$Z$495,(SUMPRODUCT((('CONTROL MASTER'!$S$2:$S$495=1)*('CONTROL MASTER'!$Z$2:$Z$495&lt;=8)*('CONTROL MASTER'!$AB$2:$AB$495&gt;=8)*('CONTROL MASTER'!$AA$2:$AA$495&lt;=2)*('CONTROL MASTER'!$AC$2:$AC$495&gt;=2))*ROW('CONTROL MASTER'!$S$2:$S$495))-(ROW('CONTROL MASTER'!#REF!)-1))))*(INDEX('CONTROL MASTER'!$AC$2:$AC$495,(SUMPRODUCT((('CONTROL MASTER'!$S$2:$S$495=1)*('CONTROL MASTER'!$Z$2:$Z$495&lt;=8)*('CONTROL MASTER'!$AB$2:$AB$495&gt;=8)*('CONTROL MASTER'!$AA$2:$AA$495&lt;=2)*('CONTROL MASTER'!$AC$2:$AC$495&gt;=2))*ROW('CONTROL MASTER'!$S$2:$S$495))-(ROW('CONTROL MASTER'!#REF!)-1)))-INDEX('CONTROL MASTER'!$AA$2:$AA$495,(SUMPRODUCT((('CONTROL MASTER'!$S$2:$S$495=1)*('CONTROL MASTER'!$Z$2:$Z$495&lt;=8)*('CONTROL MASTER'!$AB$2:$AB$495&gt;=8)*('CONTROL MASTER'!$AA$2:$AA$495&lt;=2)*('CONTROL MASTER'!$AC$2:$AC$495&gt;=2))*ROW('CONTROL MASTER'!$S$2:$S$495))-(ROW('CONTROL MASTER'!#REF!)-1)))+1)+(2-INDEX('CONTROL MASTER'!$AA$2:$AA$495,(SUMPRODUCT((('CONTROL MASTER'!$S$2:$S$495=1)*('CONTROL MASTER'!$Z$2:$Z$495&lt;=8)*('CONTROL MASTER'!$AB$2:$AB$495&gt;=8)*('CONTROL MASTER'!$AA$2:$AA$495&lt;=2)*('CONTROL MASTER'!$AC$2:$AC$495&gt;=2))*ROW('CONTROL MASTER'!$S$2:$S$495))-(ROW('CONTROL MASTER'!#REF!)-1))))+1)))-1)*50+1,50))&amp;"_"&amp;INDEX('CONTROL MASTER'!$P$2:$P$495,(SUMPRODUCT((('CONTROL MASTER'!$S$2:$S$495=1)*('CONTROL MASTER'!$Z$2:$Z$495&lt;=8)*('CONTROL MASTER'!$AB$2:$AB$495&gt;=8)*('CONTROL MASTER'!$AA$2:$AA$495&lt;=2)*('CONTROL MASTER'!$AC$2:$AC$495&gt;=2))*ROW('CONTROL MASTER'!$S$2:$S$495))-(ROW('CONTROL MASTER'!#REF!)-1))),"")),"")</f>
        <v/>
      </c>
      <c r="D10" s="10" t="str">
        <f>IFERROR(IF(SUMPRODUCT((('CONTROL MASTER'!$S$2:$S$495=1)*('CONTROL MASTER'!$T$2:$T$495&lt;=8)*('CONTROL MASTER'!$V$2:$V$495&gt;=8)*('CONTROL MASTER'!$U$2:$U$495&lt;=3)*('CONTROL MASTER'!$W$2:$W$495&gt;=3))*ROW('CONTROL MASTER'!$S$2:$S$495))&gt;0,INDEX('CONTROL MASTER'!$X$2:$X$495,(SUMPRODUCT((('CONTROL MASTER'!$S$2:$S$495=1)*('CONTROL MASTER'!$T$2:$T$495&lt;=8)*('CONTROL MASTER'!$V$2:$V$495&gt;=8)*('CONTROL MASTER'!$U$2:$U$495&lt;=3)*('CONTROL MASTER'!$W$2:$W$495&gt;=3))*ROW('CONTROL MASTER'!$S$2:$S$495))-(ROW('CONTROL MASTER'!#REF!)-1)))&amp;TRIM(MID(SUBSTITUTE(SUBSTITUTE(INDEX('CONTROL MASTER'!$N$2:$N$495,(SUMPRODUCT((('CONTROL MASTER'!$S$2:$S$495=1)*('CONTROL MASTER'!$T$2:$T$495&lt;=8)*('CONTROL MASTER'!$V$2:$V$495&gt;=8)*('CONTROL MASTER'!$U$2:$U$495&lt;=3)*('CONTROL MASTER'!$W$2:$W$495&gt;=3))*ROW('CONTROL MASTER'!$S$2:$S$495))-(ROW('CONTROL MASTER'!#REF!)-1))),":",","),",",REPT(" ",50)),((((8-INDEX('CONTROL MASTER'!$T$2:$T$495,(SUMPRODUCT((('CONTROL MASTER'!$S$2:$S$495=1)*('CONTROL MASTER'!$T$2:$T$495&lt;=8)*('CONTROL MASTER'!$V$2:$V$495&gt;=8)*('CONTROL MASTER'!$U$2:$U$495&lt;=3)*('CONTROL MASTER'!$W$2:$W$495&gt;=3))*ROW('CONTROL MASTER'!$S$2:$S$495))-(ROW('CONTROL MASTER'!#REF!)-1))))*(INDEX('CONTROL MASTER'!$W$2:$W$495,(SUMPRODUCT((('CONTROL MASTER'!$S$2:$S$495=1)*('CONTROL MASTER'!$T$2:$T$495&lt;=8)*('CONTROL MASTER'!$V$2:$V$495&gt;=8)*('CONTROL MASTER'!$U$2:$U$495&lt;=3)*('CONTROL MASTER'!$W$2:$W$495&gt;=3))*ROW('CONTROL MASTER'!$S$2:$S$495))-(ROW('CONTROL MASTER'!#REF!)-1)))-INDEX('CONTROL MASTER'!$U$2:$U$495,(SUMPRODUCT((('CONTROL MASTER'!$S$2:$S$495=1)*('CONTROL MASTER'!$T$2:$T$495&lt;=8)*('CONTROL MASTER'!$V$2:$V$495&gt;=8)*('CONTROL MASTER'!$U$2:$U$495&lt;=3)*('CONTROL MASTER'!$W$2:$W$495&gt;=3))*ROW('CONTROL MASTER'!$S$2:$S$495))-(ROW('CONTROL MASTER'!#REF!)-1)))+1)+(3-INDEX('CONTROL MASTER'!$U$2:$U$495,(SUMPRODUCT((('CONTROL MASTER'!$S$2:$S$495=1)*('CONTROL MASTER'!$T$2:$T$495&lt;=8)*('CONTROL MASTER'!$V$2:$V$495&gt;=8)*('CONTROL MASTER'!$U$2:$U$495&lt;=3)*('CONTROL MASTER'!$W$2:$W$495&gt;=3))*ROW('CONTROL MASTER'!$S$2:$S$495))-(ROW('CONTROL MASTER'!#REF!)-1))))+1))-1)*50+1,50))&amp;"_"&amp;INDEX('CONTROL MASTER'!$P$2:$P$495,(SUMPRODUCT((('CONTROL MASTER'!$S$2:$S$495=1)*('CONTROL MASTER'!$T$2:$T$495&lt;=8)*('CONTROL MASTER'!$V$2:$V$495&gt;=8)*('CONTROL MASTER'!$U$2:$U$495&lt;=3)*('CONTROL MASTER'!$W$2:$W$495&gt;=3))*ROW('CONTROL MASTER'!$S$2:$S$495))-(ROW('CONTROL MASTER'!#REF!)-1))),IF(SUMPRODUCT((('CONTROL MASTER'!$S$2:$S$495=1)*('CONTROL MASTER'!$Z$2:$Z$495&lt;=8)*('CONTROL MASTER'!$AB$2:$AB$495&gt;=8)*('CONTROL MASTER'!$AA$2:$AA$495&lt;=3)*('CONTROL MASTER'!$AC$2:$AC$495&gt;=3))*ROW('CONTROL MASTER'!$S$2:$S$495))&gt;0,INDEX('CONTROL MASTER'!$X$2:$X$495,(SUMPRODUCT((('CONTROL MASTER'!$S$2:$S$495=1)*('CONTROL MASTER'!$Z$2:$Z$495&lt;=8)*('CONTROL MASTER'!$AB$2:$AB$495&gt;=8)*('CONTROL MASTER'!$AA$2:$AA$495&lt;=3)*('CONTROL MASTER'!$AC$2:$AC$495&gt;=3))*ROW('CONTROL MASTER'!$S$2:$S$495))-(ROW('CONTROL MASTER'!#REF!)-1)))&amp;TRIM(MID(SUBSTITUTE(SUBSTITUTE(INDEX('CONTROL MASTER'!$N$2:$N$495,(SUMPRODUCT((('CONTROL MASTER'!$S$2:$S$495=1)*('CONTROL MASTER'!$Z$2:$Z$495&lt;=8)*('CONTROL MASTER'!$AB$2:$AB$495&gt;=8)*('CONTROL MASTER'!$AA$2:$AA$495&lt;=3)*('CONTROL MASTER'!$AC$2:$AC$495&gt;=3))*ROW('CONTROL MASTER'!$S$2:$S$495))-(ROW('CONTROL MASTER'!#REF!)-1))),":",","),",",REPT(" ",50)),(((INDEX('CONTROL MASTER'!$Y$2:$Y$495,(SUMPRODUCT((('CONTROL MASTER'!$S$2:$S$495=1)*('CONTROL MASTER'!$Z$2:$Z$495&lt;=8)*('CONTROL MASTER'!$AB$2:$AB$495&gt;=8)*('CONTROL MASTER'!$AA$2:$AA$495&lt;=3)*('CONTROL MASTER'!$AC$2:$AC$495&gt;=3))*ROW('CONTROL MASTER'!$S$2:$S$495))-(ROW('CONTROL MASTER'!#REF!)-1)))+((8-INDEX('CONTROL MASTER'!$Z$2:$Z$495,(SUMPRODUCT((('CONTROL MASTER'!$S$2:$S$495=1)*('CONTROL MASTER'!$Z$2:$Z$495&lt;=8)*('CONTROL MASTER'!$AB$2:$AB$495&gt;=8)*('CONTROL MASTER'!$AA$2:$AA$495&lt;=3)*('CONTROL MASTER'!$AC$2:$AC$495&gt;=3))*ROW('CONTROL MASTER'!$S$2:$S$495))-(ROW('CONTROL MASTER'!#REF!)-1))))*(INDEX('CONTROL MASTER'!$AC$2:$AC$495,(SUMPRODUCT((('CONTROL MASTER'!$S$2:$S$495=1)*('CONTROL MASTER'!$Z$2:$Z$495&lt;=8)*('CONTROL MASTER'!$AB$2:$AB$495&gt;=8)*('CONTROL MASTER'!$AA$2:$AA$495&lt;=3)*('CONTROL MASTER'!$AC$2:$AC$495&gt;=3))*ROW('CONTROL MASTER'!$S$2:$S$495))-(ROW('CONTROL MASTER'!#REF!)-1)))-INDEX('CONTROL MASTER'!$AA$2:$AA$495,(SUMPRODUCT((('CONTROL MASTER'!$S$2:$S$495=1)*('CONTROL MASTER'!$Z$2:$Z$495&lt;=8)*('CONTROL MASTER'!$AB$2:$AB$495&gt;=8)*('CONTROL MASTER'!$AA$2:$AA$495&lt;=3)*('CONTROL MASTER'!$AC$2:$AC$495&gt;=3))*ROW('CONTROL MASTER'!$S$2:$S$495))-(ROW('CONTROL MASTER'!#REF!)-1)))+1)+(3-INDEX('CONTROL MASTER'!$AA$2:$AA$495,(SUMPRODUCT((('CONTROL MASTER'!$S$2:$S$495=1)*('CONTROL MASTER'!$Z$2:$Z$495&lt;=8)*('CONTROL MASTER'!$AB$2:$AB$495&gt;=8)*('CONTROL MASTER'!$AA$2:$AA$495&lt;=3)*('CONTROL MASTER'!$AC$2:$AC$495&gt;=3))*ROW('CONTROL MASTER'!$S$2:$S$495))-(ROW('CONTROL MASTER'!#REF!)-1))))+1)))-1)*50+1,50))&amp;"_"&amp;INDEX('CONTROL MASTER'!$P$2:$P$495,(SUMPRODUCT((('CONTROL MASTER'!$S$2:$S$495=1)*('CONTROL MASTER'!$Z$2:$Z$495&lt;=8)*('CONTROL MASTER'!$AB$2:$AB$495&gt;=8)*('CONTROL MASTER'!$AA$2:$AA$495&lt;=3)*('CONTROL MASTER'!$AC$2:$AC$495&gt;=3))*ROW('CONTROL MASTER'!$S$2:$S$495))-(ROW('CONTROL MASTER'!#REF!)-1))),"")),"")</f>
        <v/>
      </c>
      <c r="E10" s="10" t="str">
        <f>IFERROR(IF(SUMPRODUCT((('CONTROL MASTER'!$S$2:$S$495=1)*('CONTROL MASTER'!$T$2:$T$495&lt;=8)*('CONTROL MASTER'!$V$2:$V$495&gt;=8)*('CONTROL MASTER'!$U$2:$U$495&lt;=4)*('CONTROL MASTER'!$W$2:$W$495&gt;=4))*ROW('CONTROL MASTER'!$S$2:$S$495))&gt;0,INDEX('CONTROL MASTER'!$X$2:$X$495,(SUMPRODUCT((('CONTROL MASTER'!$S$2:$S$495=1)*('CONTROL MASTER'!$T$2:$T$495&lt;=8)*('CONTROL MASTER'!$V$2:$V$495&gt;=8)*('CONTROL MASTER'!$U$2:$U$495&lt;=4)*('CONTROL MASTER'!$W$2:$W$495&gt;=4))*ROW('CONTROL MASTER'!$S$2:$S$495))-(ROW('CONTROL MASTER'!#REF!)-1)))&amp;TRIM(MID(SUBSTITUTE(SUBSTITUTE(INDEX('CONTROL MASTER'!$N$2:$N$495,(SUMPRODUCT((('CONTROL MASTER'!$S$2:$S$495=1)*('CONTROL MASTER'!$T$2:$T$495&lt;=8)*('CONTROL MASTER'!$V$2:$V$495&gt;=8)*('CONTROL MASTER'!$U$2:$U$495&lt;=4)*('CONTROL MASTER'!$W$2:$W$495&gt;=4))*ROW('CONTROL MASTER'!$S$2:$S$495))-(ROW('CONTROL MASTER'!#REF!)-1))),":",","),",",REPT(" ",50)),((((8-INDEX('CONTROL MASTER'!$T$2:$T$495,(SUMPRODUCT((('CONTROL MASTER'!$S$2:$S$495=1)*('CONTROL MASTER'!$T$2:$T$495&lt;=8)*('CONTROL MASTER'!$V$2:$V$495&gt;=8)*('CONTROL MASTER'!$U$2:$U$495&lt;=4)*('CONTROL MASTER'!$W$2:$W$495&gt;=4))*ROW('CONTROL MASTER'!$S$2:$S$495))-(ROW('CONTROL MASTER'!#REF!)-1))))*(INDEX('CONTROL MASTER'!$W$2:$W$495,(SUMPRODUCT((('CONTROL MASTER'!$S$2:$S$495=1)*('CONTROL MASTER'!$T$2:$T$495&lt;=8)*('CONTROL MASTER'!$V$2:$V$495&gt;=8)*('CONTROL MASTER'!$U$2:$U$495&lt;=4)*('CONTROL MASTER'!$W$2:$W$495&gt;=4))*ROW('CONTROL MASTER'!$S$2:$S$495))-(ROW('CONTROL MASTER'!#REF!)-1)))-INDEX('CONTROL MASTER'!$U$2:$U$495,(SUMPRODUCT((('CONTROL MASTER'!$S$2:$S$495=1)*('CONTROL MASTER'!$T$2:$T$495&lt;=8)*('CONTROL MASTER'!$V$2:$V$495&gt;=8)*('CONTROL MASTER'!$U$2:$U$495&lt;=4)*('CONTROL MASTER'!$W$2:$W$495&gt;=4))*ROW('CONTROL MASTER'!$S$2:$S$495))-(ROW('CONTROL MASTER'!#REF!)-1)))+1)+(4-INDEX('CONTROL MASTER'!$U$2:$U$495,(SUMPRODUCT((('CONTROL MASTER'!$S$2:$S$495=1)*('CONTROL MASTER'!$T$2:$T$495&lt;=8)*('CONTROL MASTER'!$V$2:$V$495&gt;=8)*('CONTROL MASTER'!$U$2:$U$495&lt;=4)*('CONTROL MASTER'!$W$2:$W$495&gt;=4))*ROW('CONTROL MASTER'!$S$2:$S$495))-(ROW('CONTROL MASTER'!#REF!)-1))))+1))-1)*50+1,50))&amp;"_"&amp;INDEX('CONTROL MASTER'!$P$2:$P$495,(SUMPRODUCT((('CONTROL MASTER'!$S$2:$S$495=1)*('CONTROL MASTER'!$T$2:$T$495&lt;=8)*('CONTROL MASTER'!$V$2:$V$495&gt;=8)*('CONTROL MASTER'!$U$2:$U$495&lt;=4)*('CONTROL MASTER'!$W$2:$W$495&gt;=4))*ROW('CONTROL MASTER'!$S$2:$S$495))-(ROW('CONTROL MASTER'!#REF!)-1))),IF(SUMPRODUCT((('CONTROL MASTER'!$S$2:$S$495=1)*('CONTROL MASTER'!$Z$2:$Z$495&lt;=8)*('CONTROL MASTER'!$AB$2:$AB$495&gt;=8)*('CONTROL MASTER'!$AA$2:$AA$495&lt;=4)*('CONTROL MASTER'!$AC$2:$AC$495&gt;=4))*ROW('CONTROL MASTER'!$S$2:$S$495))&gt;0,INDEX('CONTROL MASTER'!$X$2:$X$495,(SUMPRODUCT((('CONTROL MASTER'!$S$2:$S$495=1)*('CONTROL MASTER'!$Z$2:$Z$495&lt;=8)*('CONTROL MASTER'!$AB$2:$AB$495&gt;=8)*('CONTROL MASTER'!$AA$2:$AA$495&lt;=4)*('CONTROL MASTER'!$AC$2:$AC$495&gt;=4))*ROW('CONTROL MASTER'!$S$2:$S$495))-(ROW('CONTROL MASTER'!#REF!)-1)))&amp;TRIM(MID(SUBSTITUTE(SUBSTITUTE(INDEX('CONTROL MASTER'!$N$2:$N$495,(SUMPRODUCT((('CONTROL MASTER'!$S$2:$S$495=1)*('CONTROL MASTER'!$Z$2:$Z$495&lt;=8)*('CONTROL MASTER'!$AB$2:$AB$495&gt;=8)*('CONTROL MASTER'!$AA$2:$AA$495&lt;=4)*('CONTROL MASTER'!$AC$2:$AC$495&gt;=4))*ROW('CONTROL MASTER'!$S$2:$S$495))-(ROW('CONTROL MASTER'!#REF!)-1))),":",","),",",REPT(" ",50)),(((INDEX('CONTROL MASTER'!$Y$2:$Y$495,(SUMPRODUCT((('CONTROL MASTER'!$S$2:$S$495=1)*('CONTROL MASTER'!$Z$2:$Z$495&lt;=8)*('CONTROL MASTER'!$AB$2:$AB$495&gt;=8)*('CONTROL MASTER'!$AA$2:$AA$495&lt;=4)*('CONTROL MASTER'!$AC$2:$AC$495&gt;=4))*ROW('CONTROL MASTER'!$S$2:$S$495))-(ROW('CONTROL MASTER'!#REF!)-1)))+((8-INDEX('CONTROL MASTER'!$Z$2:$Z$495,(SUMPRODUCT((('CONTROL MASTER'!$S$2:$S$495=1)*('CONTROL MASTER'!$Z$2:$Z$495&lt;=8)*('CONTROL MASTER'!$AB$2:$AB$495&gt;=8)*('CONTROL MASTER'!$AA$2:$AA$495&lt;=4)*('CONTROL MASTER'!$AC$2:$AC$495&gt;=4))*ROW('CONTROL MASTER'!$S$2:$S$495))-(ROW('CONTROL MASTER'!#REF!)-1))))*(INDEX('CONTROL MASTER'!$AC$2:$AC$495,(SUMPRODUCT((('CONTROL MASTER'!$S$2:$S$495=1)*('CONTROL MASTER'!$Z$2:$Z$495&lt;=8)*('CONTROL MASTER'!$AB$2:$AB$495&gt;=8)*('CONTROL MASTER'!$AA$2:$AA$495&lt;=4)*('CONTROL MASTER'!$AC$2:$AC$495&gt;=4))*ROW('CONTROL MASTER'!$S$2:$S$495))-(ROW('CONTROL MASTER'!#REF!)-1)))-INDEX('CONTROL MASTER'!$AA$2:$AA$495,(SUMPRODUCT((('CONTROL MASTER'!$S$2:$S$495=1)*('CONTROL MASTER'!$Z$2:$Z$495&lt;=8)*('CONTROL MASTER'!$AB$2:$AB$495&gt;=8)*('CONTROL MASTER'!$AA$2:$AA$495&lt;=4)*('CONTROL MASTER'!$AC$2:$AC$495&gt;=4))*ROW('CONTROL MASTER'!$S$2:$S$495))-(ROW('CONTROL MASTER'!#REF!)-1)))+1)+(4-INDEX('CONTROL MASTER'!$AA$2:$AA$495,(SUMPRODUCT((('CONTROL MASTER'!$S$2:$S$495=1)*('CONTROL MASTER'!$Z$2:$Z$495&lt;=8)*('CONTROL MASTER'!$AB$2:$AB$495&gt;=8)*('CONTROL MASTER'!$AA$2:$AA$495&lt;=4)*('CONTROL MASTER'!$AC$2:$AC$495&gt;=4))*ROW('CONTROL MASTER'!$S$2:$S$495))-(ROW('CONTROL MASTER'!#REF!)-1))))+1)))-1)*50+1,50))&amp;"_"&amp;INDEX('CONTROL MASTER'!$P$2:$P$495,(SUMPRODUCT((('CONTROL MASTER'!$S$2:$S$495=1)*('CONTROL MASTER'!$Z$2:$Z$495&lt;=8)*('CONTROL MASTER'!$AB$2:$AB$495&gt;=8)*('CONTROL MASTER'!$AA$2:$AA$495&lt;=4)*('CONTROL MASTER'!$AC$2:$AC$495&gt;=4))*ROW('CONTROL MASTER'!$S$2:$S$495))-(ROW('CONTROL MASTER'!#REF!)-1))),"")),"")</f>
        <v/>
      </c>
      <c r="F10" s="10" t="str">
        <f>IFERROR(IF(SUMPRODUCT((('CONTROL MASTER'!$S$2:$S$495=1)*('CONTROL MASTER'!$T$2:$T$495&lt;=8)*('CONTROL MASTER'!$V$2:$V$495&gt;=8)*('CONTROL MASTER'!$U$2:$U$495&lt;=5)*('CONTROL MASTER'!$W$2:$W$495&gt;=5))*ROW('CONTROL MASTER'!$S$2:$S$495))&gt;0,INDEX('CONTROL MASTER'!$X$2:$X$495,(SUMPRODUCT((('CONTROL MASTER'!$S$2:$S$495=1)*('CONTROL MASTER'!$T$2:$T$495&lt;=8)*('CONTROL MASTER'!$V$2:$V$495&gt;=8)*('CONTROL MASTER'!$U$2:$U$495&lt;=5)*('CONTROL MASTER'!$W$2:$W$495&gt;=5))*ROW('CONTROL MASTER'!$S$2:$S$495))-(ROW('CONTROL MASTER'!#REF!)-1)))&amp;TRIM(MID(SUBSTITUTE(SUBSTITUTE(INDEX('CONTROL MASTER'!$N$2:$N$495,(SUMPRODUCT((('CONTROL MASTER'!$S$2:$S$495=1)*('CONTROL MASTER'!$T$2:$T$495&lt;=8)*('CONTROL MASTER'!$V$2:$V$495&gt;=8)*('CONTROL MASTER'!$U$2:$U$495&lt;=5)*('CONTROL MASTER'!$W$2:$W$495&gt;=5))*ROW('CONTROL MASTER'!$S$2:$S$495))-(ROW('CONTROL MASTER'!#REF!)-1))),":",","),",",REPT(" ",50)),((((8-INDEX('CONTROL MASTER'!$T$2:$T$495,(SUMPRODUCT((('CONTROL MASTER'!$S$2:$S$495=1)*('CONTROL MASTER'!$T$2:$T$495&lt;=8)*('CONTROL MASTER'!$V$2:$V$495&gt;=8)*('CONTROL MASTER'!$U$2:$U$495&lt;=5)*('CONTROL MASTER'!$W$2:$W$495&gt;=5))*ROW('CONTROL MASTER'!$S$2:$S$495))-(ROW('CONTROL MASTER'!#REF!)-1))))*(INDEX('CONTROL MASTER'!$W$2:$W$495,(SUMPRODUCT((('CONTROL MASTER'!$S$2:$S$495=1)*('CONTROL MASTER'!$T$2:$T$495&lt;=8)*('CONTROL MASTER'!$V$2:$V$495&gt;=8)*('CONTROL MASTER'!$U$2:$U$495&lt;=5)*('CONTROL MASTER'!$W$2:$W$495&gt;=5))*ROW('CONTROL MASTER'!$S$2:$S$495))-(ROW('CONTROL MASTER'!#REF!)-1)))-INDEX('CONTROL MASTER'!$U$2:$U$495,(SUMPRODUCT((('CONTROL MASTER'!$S$2:$S$495=1)*('CONTROL MASTER'!$T$2:$T$495&lt;=8)*('CONTROL MASTER'!$V$2:$V$495&gt;=8)*('CONTROL MASTER'!$U$2:$U$495&lt;=5)*('CONTROL MASTER'!$W$2:$W$495&gt;=5))*ROW('CONTROL MASTER'!$S$2:$S$495))-(ROW('CONTROL MASTER'!#REF!)-1)))+1)+(5-INDEX('CONTROL MASTER'!$U$2:$U$495,(SUMPRODUCT((('CONTROL MASTER'!$S$2:$S$495=1)*('CONTROL MASTER'!$T$2:$T$495&lt;=8)*('CONTROL MASTER'!$V$2:$V$495&gt;=8)*('CONTROL MASTER'!$U$2:$U$495&lt;=5)*('CONTROL MASTER'!$W$2:$W$495&gt;=5))*ROW('CONTROL MASTER'!$S$2:$S$495))-(ROW('CONTROL MASTER'!#REF!)-1))))+1))-1)*50+1,50))&amp;"_"&amp;INDEX('CONTROL MASTER'!$P$2:$P$495,(SUMPRODUCT((('CONTROL MASTER'!$S$2:$S$495=1)*('CONTROL MASTER'!$T$2:$T$495&lt;=8)*('CONTROL MASTER'!$V$2:$V$495&gt;=8)*('CONTROL MASTER'!$U$2:$U$495&lt;=5)*('CONTROL MASTER'!$W$2:$W$495&gt;=5))*ROW('CONTROL MASTER'!$S$2:$S$495))-(ROW('CONTROL MASTER'!#REF!)-1))),IF(SUMPRODUCT((('CONTROL MASTER'!$S$2:$S$495=1)*('CONTROL MASTER'!$Z$2:$Z$495&lt;=8)*('CONTROL MASTER'!$AB$2:$AB$495&gt;=8)*('CONTROL MASTER'!$AA$2:$AA$495&lt;=5)*('CONTROL MASTER'!$AC$2:$AC$495&gt;=5))*ROW('CONTROL MASTER'!$S$2:$S$495))&gt;0,INDEX('CONTROL MASTER'!$X$2:$X$495,(SUMPRODUCT((('CONTROL MASTER'!$S$2:$S$495=1)*('CONTROL MASTER'!$Z$2:$Z$495&lt;=8)*('CONTROL MASTER'!$AB$2:$AB$495&gt;=8)*('CONTROL MASTER'!$AA$2:$AA$495&lt;=5)*('CONTROL MASTER'!$AC$2:$AC$495&gt;=5))*ROW('CONTROL MASTER'!$S$2:$S$495))-(ROW('CONTROL MASTER'!#REF!)-1)))&amp;TRIM(MID(SUBSTITUTE(SUBSTITUTE(INDEX('CONTROL MASTER'!$N$2:$N$495,(SUMPRODUCT((('CONTROL MASTER'!$S$2:$S$495=1)*('CONTROL MASTER'!$Z$2:$Z$495&lt;=8)*('CONTROL MASTER'!$AB$2:$AB$495&gt;=8)*('CONTROL MASTER'!$AA$2:$AA$495&lt;=5)*('CONTROL MASTER'!$AC$2:$AC$495&gt;=5))*ROW('CONTROL MASTER'!$S$2:$S$495))-(ROW('CONTROL MASTER'!#REF!)-1))),":",","),",",REPT(" ",50)),(((INDEX('CONTROL MASTER'!$Y$2:$Y$495,(SUMPRODUCT((('CONTROL MASTER'!$S$2:$S$495=1)*('CONTROL MASTER'!$Z$2:$Z$495&lt;=8)*('CONTROL MASTER'!$AB$2:$AB$495&gt;=8)*('CONTROL MASTER'!$AA$2:$AA$495&lt;=5)*('CONTROL MASTER'!$AC$2:$AC$495&gt;=5))*ROW('CONTROL MASTER'!$S$2:$S$495))-(ROW('CONTROL MASTER'!#REF!)-1)))+((8-INDEX('CONTROL MASTER'!$Z$2:$Z$495,(SUMPRODUCT((('CONTROL MASTER'!$S$2:$S$495=1)*('CONTROL MASTER'!$Z$2:$Z$495&lt;=8)*('CONTROL MASTER'!$AB$2:$AB$495&gt;=8)*('CONTROL MASTER'!$AA$2:$AA$495&lt;=5)*('CONTROL MASTER'!$AC$2:$AC$495&gt;=5))*ROW('CONTROL MASTER'!$S$2:$S$495))-(ROW('CONTROL MASTER'!#REF!)-1))))*(INDEX('CONTROL MASTER'!$AC$2:$AC$495,(SUMPRODUCT((('CONTROL MASTER'!$S$2:$S$495=1)*('CONTROL MASTER'!$Z$2:$Z$495&lt;=8)*('CONTROL MASTER'!$AB$2:$AB$495&gt;=8)*('CONTROL MASTER'!$AA$2:$AA$495&lt;=5)*('CONTROL MASTER'!$AC$2:$AC$495&gt;=5))*ROW('CONTROL MASTER'!$S$2:$S$495))-(ROW('CONTROL MASTER'!#REF!)-1)))-INDEX('CONTROL MASTER'!$AA$2:$AA$495,(SUMPRODUCT((('CONTROL MASTER'!$S$2:$S$495=1)*('CONTROL MASTER'!$Z$2:$Z$495&lt;=8)*('CONTROL MASTER'!$AB$2:$AB$495&gt;=8)*('CONTROL MASTER'!$AA$2:$AA$495&lt;=5)*('CONTROL MASTER'!$AC$2:$AC$495&gt;=5))*ROW('CONTROL MASTER'!$S$2:$S$495))-(ROW('CONTROL MASTER'!#REF!)-1)))+1)+(5-INDEX('CONTROL MASTER'!$AA$2:$AA$495,(SUMPRODUCT((('CONTROL MASTER'!$S$2:$S$495=1)*('CONTROL MASTER'!$Z$2:$Z$495&lt;=8)*('CONTROL MASTER'!$AB$2:$AB$495&gt;=8)*('CONTROL MASTER'!$AA$2:$AA$495&lt;=5)*('CONTROL MASTER'!$AC$2:$AC$495&gt;=5))*ROW('CONTROL MASTER'!$S$2:$S$495))-(ROW('CONTROL MASTER'!#REF!)-1))))+1)))-1)*50+1,50))&amp;"_"&amp;INDEX('CONTROL MASTER'!$P$2:$P$495,(SUMPRODUCT((('CONTROL MASTER'!$S$2:$S$495=1)*('CONTROL MASTER'!$Z$2:$Z$495&lt;=8)*('CONTROL MASTER'!$AB$2:$AB$495&gt;=8)*('CONTROL MASTER'!$AA$2:$AA$495&lt;=5)*('CONTROL MASTER'!$AC$2:$AC$495&gt;=5))*ROW('CONTROL MASTER'!$S$2:$S$495))-(ROW('CONTROL MASTER'!#REF!)-1))),"")),"")</f>
        <v/>
      </c>
      <c r="G10" s="10" t="str">
        <f>IFERROR(IF(SUMPRODUCT((('CONTROL MASTER'!$S$2:$S$495=1)*('CONTROL MASTER'!$T$2:$T$495&lt;=8)*('CONTROL MASTER'!$V$2:$V$495&gt;=8)*('CONTROL MASTER'!$U$2:$U$495&lt;=6)*('CONTROL MASTER'!$W$2:$W$495&gt;=6))*ROW('CONTROL MASTER'!$S$2:$S$495))&gt;0,INDEX('CONTROL MASTER'!$X$2:$X$495,(SUMPRODUCT((('CONTROL MASTER'!$S$2:$S$495=1)*('CONTROL MASTER'!$T$2:$T$495&lt;=8)*('CONTROL MASTER'!$V$2:$V$495&gt;=8)*('CONTROL MASTER'!$U$2:$U$495&lt;=6)*('CONTROL MASTER'!$W$2:$W$495&gt;=6))*ROW('CONTROL MASTER'!$S$2:$S$495))-(ROW('CONTROL MASTER'!#REF!)-1)))&amp;TRIM(MID(SUBSTITUTE(SUBSTITUTE(INDEX('CONTROL MASTER'!$N$2:$N$495,(SUMPRODUCT((('CONTROL MASTER'!$S$2:$S$495=1)*('CONTROL MASTER'!$T$2:$T$495&lt;=8)*('CONTROL MASTER'!$V$2:$V$495&gt;=8)*('CONTROL MASTER'!$U$2:$U$495&lt;=6)*('CONTROL MASTER'!$W$2:$W$495&gt;=6))*ROW('CONTROL MASTER'!$S$2:$S$495))-(ROW('CONTROL MASTER'!#REF!)-1))),":",","),",",REPT(" ",50)),((((8-INDEX('CONTROL MASTER'!$T$2:$T$495,(SUMPRODUCT((('CONTROL MASTER'!$S$2:$S$495=1)*('CONTROL MASTER'!$T$2:$T$495&lt;=8)*('CONTROL MASTER'!$V$2:$V$495&gt;=8)*('CONTROL MASTER'!$U$2:$U$495&lt;=6)*('CONTROL MASTER'!$W$2:$W$495&gt;=6))*ROW('CONTROL MASTER'!$S$2:$S$495))-(ROW('CONTROL MASTER'!#REF!)-1))))*(INDEX('CONTROL MASTER'!$W$2:$W$495,(SUMPRODUCT((('CONTROL MASTER'!$S$2:$S$495=1)*('CONTROL MASTER'!$T$2:$T$495&lt;=8)*('CONTROL MASTER'!$V$2:$V$495&gt;=8)*('CONTROL MASTER'!$U$2:$U$495&lt;=6)*('CONTROL MASTER'!$W$2:$W$495&gt;=6))*ROW('CONTROL MASTER'!$S$2:$S$495))-(ROW('CONTROL MASTER'!#REF!)-1)))-INDEX('CONTROL MASTER'!$U$2:$U$495,(SUMPRODUCT((('CONTROL MASTER'!$S$2:$S$495=1)*('CONTROL MASTER'!$T$2:$T$495&lt;=8)*('CONTROL MASTER'!$V$2:$V$495&gt;=8)*('CONTROL MASTER'!$U$2:$U$495&lt;=6)*('CONTROL MASTER'!$W$2:$W$495&gt;=6))*ROW('CONTROL MASTER'!$S$2:$S$495))-(ROW('CONTROL MASTER'!#REF!)-1)))+1)+(6-INDEX('CONTROL MASTER'!$U$2:$U$495,(SUMPRODUCT((('CONTROL MASTER'!$S$2:$S$495=1)*('CONTROL MASTER'!$T$2:$T$495&lt;=8)*('CONTROL MASTER'!$V$2:$V$495&gt;=8)*('CONTROL MASTER'!$U$2:$U$495&lt;=6)*('CONTROL MASTER'!$W$2:$W$495&gt;=6))*ROW('CONTROL MASTER'!$S$2:$S$495))-(ROW('CONTROL MASTER'!#REF!)-1))))+1))-1)*50+1,50))&amp;"_"&amp;INDEX('CONTROL MASTER'!$P$2:$P$495,(SUMPRODUCT((('CONTROL MASTER'!$S$2:$S$495=1)*('CONTROL MASTER'!$T$2:$T$495&lt;=8)*('CONTROL MASTER'!$V$2:$V$495&gt;=8)*('CONTROL MASTER'!$U$2:$U$495&lt;=6)*('CONTROL MASTER'!$W$2:$W$495&gt;=6))*ROW('CONTROL MASTER'!$S$2:$S$495))-(ROW('CONTROL MASTER'!#REF!)-1))),IF(SUMPRODUCT((('CONTROL MASTER'!$S$2:$S$495=1)*('CONTROL MASTER'!$Z$2:$Z$495&lt;=8)*('CONTROL MASTER'!$AB$2:$AB$495&gt;=8)*('CONTROL MASTER'!$AA$2:$AA$495&lt;=6)*('CONTROL MASTER'!$AC$2:$AC$495&gt;=6))*ROW('CONTROL MASTER'!$S$2:$S$495))&gt;0,INDEX('CONTROL MASTER'!$X$2:$X$495,(SUMPRODUCT((('CONTROL MASTER'!$S$2:$S$495=1)*('CONTROL MASTER'!$Z$2:$Z$495&lt;=8)*('CONTROL MASTER'!$AB$2:$AB$495&gt;=8)*('CONTROL MASTER'!$AA$2:$AA$495&lt;=6)*('CONTROL MASTER'!$AC$2:$AC$495&gt;=6))*ROW('CONTROL MASTER'!$S$2:$S$495))-(ROW('CONTROL MASTER'!#REF!)-1)))&amp;TRIM(MID(SUBSTITUTE(SUBSTITUTE(INDEX('CONTROL MASTER'!$N$2:$N$495,(SUMPRODUCT((('CONTROL MASTER'!$S$2:$S$495=1)*('CONTROL MASTER'!$Z$2:$Z$495&lt;=8)*('CONTROL MASTER'!$AB$2:$AB$495&gt;=8)*('CONTROL MASTER'!$AA$2:$AA$495&lt;=6)*('CONTROL MASTER'!$AC$2:$AC$495&gt;=6))*ROW('CONTROL MASTER'!$S$2:$S$495))-(ROW('CONTROL MASTER'!#REF!)-1))),":",","),",",REPT(" ",50)),(((INDEX('CONTROL MASTER'!$Y$2:$Y$495,(SUMPRODUCT((('CONTROL MASTER'!$S$2:$S$495=1)*('CONTROL MASTER'!$Z$2:$Z$495&lt;=8)*('CONTROL MASTER'!$AB$2:$AB$495&gt;=8)*('CONTROL MASTER'!$AA$2:$AA$495&lt;=6)*('CONTROL MASTER'!$AC$2:$AC$495&gt;=6))*ROW('CONTROL MASTER'!$S$2:$S$495))-(ROW('CONTROL MASTER'!#REF!)-1)))+((8-INDEX('CONTROL MASTER'!$Z$2:$Z$495,(SUMPRODUCT((('CONTROL MASTER'!$S$2:$S$495=1)*('CONTROL MASTER'!$Z$2:$Z$495&lt;=8)*('CONTROL MASTER'!$AB$2:$AB$495&gt;=8)*('CONTROL MASTER'!$AA$2:$AA$495&lt;=6)*('CONTROL MASTER'!$AC$2:$AC$495&gt;=6))*ROW('CONTROL MASTER'!$S$2:$S$495))-(ROW('CONTROL MASTER'!#REF!)-1))))*(INDEX('CONTROL MASTER'!$AC$2:$AC$495,(SUMPRODUCT((('CONTROL MASTER'!$S$2:$S$495=1)*('CONTROL MASTER'!$Z$2:$Z$495&lt;=8)*('CONTROL MASTER'!$AB$2:$AB$495&gt;=8)*('CONTROL MASTER'!$AA$2:$AA$495&lt;=6)*('CONTROL MASTER'!$AC$2:$AC$495&gt;=6))*ROW('CONTROL MASTER'!$S$2:$S$495))-(ROW('CONTROL MASTER'!#REF!)-1)))-INDEX('CONTROL MASTER'!$AA$2:$AA$495,(SUMPRODUCT((('CONTROL MASTER'!$S$2:$S$495=1)*('CONTROL MASTER'!$Z$2:$Z$495&lt;=8)*('CONTROL MASTER'!$AB$2:$AB$495&gt;=8)*('CONTROL MASTER'!$AA$2:$AA$495&lt;=6)*('CONTROL MASTER'!$AC$2:$AC$495&gt;=6))*ROW('CONTROL MASTER'!$S$2:$S$495))-(ROW('CONTROL MASTER'!#REF!)-1)))+1)+(6-INDEX('CONTROL MASTER'!$AA$2:$AA$495,(SUMPRODUCT((('CONTROL MASTER'!$S$2:$S$495=1)*('CONTROL MASTER'!$Z$2:$Z$495&lt;=8)*('CONTROL MASTER'!$AB$2:$AB$495&gt;=8)*('CONTROL MASTER'!$AA$2:$AA$495&lt;=6)*('CONTROL MASTER'!$AC$2:$AC$495&gt;=6))*ROW('CONTROL MASTER'!$S$2:$S$495))-(ROW('CONTROL MASTER'!#REF!)-1))))+1)))-1)*50+1,50))&amp;"_"&amp;INDEX('CONTROL MASTER'!$P$2:$P$495,(SUMPRODUCT((('CONTROL MASTER'!$S$2:$S$495=1)*('CONTROL MASTER'!$Z$2:$Z$495&lt;=8)*('CONTROL MASTER'!$AB$2:$AB$495&gt;=8)*('CONTROL MASTER'!$AA$2:$AA$495&lt;=6)*('CONTROL MASTER'!$AC$2:$AC$495&gt;=6))*ROW('CONTROL MASTER'!$S$2:$S$495))-(ROW('CONTROL MASTER'!#REF!)-1))),"")),"")</f>
        <v/>
      </c>
      <c r="H10" s="10" t="str">
        <f>IFERROR(IF(SUMPRODUCT((('CONTROL MASTER'!$S$2:$S$495=1)*('CONTROL MASTER'!$T$2:$T$495&lt;=8)*('CONTROL MASTER'!$V$2:$V$495&gt;=8)*('CONTROL MASTER'!$U$2:$U$495&lt;=7)*('CONTROL MASTER'!$W$2:$W$495&gt;=7))*ROW('CONTROL MASTER'!$S$2:$S$495))&gt;0,INDEX('CONTROL MASTER'!$X$2:$X$495,(SUMPRODUCT((('CONTROL MASTER'!$S$2:$S$495=1)*('CONTROL MASTER'!$T$2:$T$495&lt;=8)*('CONTROL MASTER'!$V$2:$V$495&gt;=8)*('CONTROL MASTER'!$U$2:$U$495&lt;=7)*('CONTROL MASTER'!$W$2:$W$495&gt;=7))*ROW('CONTROL MASTER'!$S$2:$S$495))-(ROW('CONTROL MASTER'!#REF!)-1)))&amp;TRIM(MID(SUBSTITUTE(SUBSTITUTE(INDEX('CONTROL MASTER'!$N$2:$N$495,(SUMPRODUCT((('CONTROL MASTER'!$S$2:$S$495=1)*('CONTROL MASTER'!$T$2:$T$495&lt;=8)*('CONTROL MASTER'!$V$2:$V$495&gt;=8)*('CONTROL MASTER'!$U$2:$U$495&lt;=7)*('CONTROL MASTER'!$W$2:$W$495&gt;=7))*ROW('CONTROL MASTER'!$S$2:$S$495))-(ROW('CONTROL MASTER'!#REF!)-1))),":",","),",",REPT(" ",50)),((((8-INDEX('CONTROL MASTER'!$T$2:$T$495,(SUMPRODUCT((('CONTROL MASTER'!$S$2:$S$495=1)*('CONTROL MASTER'!$T$2:$T$495&lt;=8)*('CONTROL MASTER'!$V$2:$V$495&gt;=8)*('CONTROL MASTER'!$U$2:$U$495&lt;=7)*('CONTROL MASTER'!$W$2:$W$495&gt;=7))*ROW('CONTROL MASTER'!$S$2:$S$495))-(ROW('CONTROL MASTER'!#REF!)-1))))*(INDEX('CONTROL MASTER'!$W$2:$W$495,(SUMPRODUCT((('CONTROL MASTER'!$S$2:$S$495=1)*('CONTROL MASTER'!$T$2:$T$495&lt;=8)*('CONTROL MASTER'!$V$2:$V$495&gt;=8)*('CONTROL MASTER'!$U$2:$U$495&lt;=7)*('CONTROL MASTER'!$W$2:$W$495&gt;=7))*ROW('CONTROL MASTER'!$S$2:$S$495))-(ROW('CONTROL MASTER'!#REF!)-1)))-INDEX('CONTROL MASTER'!$U$2:$U$495,(SUMPRODUCT((('CONTROL MASTER'!$S$2:$S$495=1)*('CONTROL MASTER'!$T$2:$T$495&lt;=8)*('CONTROL MASTER'!$V$2:$V$495&gt;=8)*('CONTROL MASTER'!$U$2:$U$495&lt;=7)*('CONTROL MASTER'!$W$2:$W$495&gt;=7))*ROW('CONTROL MASTER'!$S$2:$S$495))-(ROW('CONTROL MASTER'!#REF!)-1)))+1)+(7-INDEX('CONTROL MASTER'!$U$2:$U$495,(SUMPRODUCT((('CONTROL MASTER'!$S$2:$S$495=1)*('CONTROL MASTER'!$T$2:$T$495&lt;=8)*('CONTROL MASTER'!$V$2:$V$495&gt;=8)*('CONTROL MASTER'!$U$2:$U$495&lt;=7)*('CONTROL MASTER'!$W$2:$W$495&gt;=7))*ROW('CONTROL MASTER'!$S$2:$S$495))-(ROW('CONTROL MASTER'!#REF!)-1))))+1))-1)*50+1,50))&amp;"_"&amp;INDEX('CONTROL MASTER'!$P$2:$P$495,(SUMPRODUCT((('CONTROL MASTER'!$S$2:$S$495=1)*('CONTROL MASTER'!$T$2:$T$495&lt;=8)*('CONTROL MASTER'!$V$2:$V$495&gt;=8)*('CONTROL MASTER'!$U$2:$U$495&lt;=7)*('CONTROL MASTER'!$W$2:$W$495&gt;=7))*ROW('CONTROL MASTER'!$S$2:$S$495))-(ROW('CONTROL MASTER'!#REF!)-1))),IF(SUMPRODUCT((('CONTROL MASTER'!$S$2:$S$495=1)*('CONTROL MASTER'!$Z$2:$Z$495&lt;=8)*('CONTROL MASTER'!$AB$2:$AB$495&gt;=8)*('CONTROL MASTER'!$AA$2:$AA$495&lt;=7)*('CONTROL MASTER'!$AC$2:$AC$495&gt;=7))*ROW('CONTROL MASTER'!$S$2:$S$495))&gt;0,INDEX('CONTROL MASTER'!$X$2:$X$495,(SUMPRODUCT((('CONTROL MASTER'!$S$2:$S$495=1)*('CONTROL MASTER'!$Z$2:$Z$495&lt;=8)*('CONTROL MASTER'!$AB$2:$AB$495&gt;=8)*('CONTROL MASTER'!$AA$2:$AA$495&lt;=7)*('CONTROL MASTER'!$AC$2:$AC$495&gt;=7))*ROW('CONTROL MASTER'!$S$2:$S$495))-(ROW('CONTROL MASTER'!#REF!)-1)))&amp;TRIM(MID(SUBSTITUTE(SUBSTITUTE(INDEX('CONTROL MASTER'!$N$2:$N$495,(SUMPRODUCT((('CONTROL MASTER'!$S$2:$S$495=1)*('CONTROL MASTER'!$Z$2:$Z$495&lt;=8)*('CONTROL MASTER'!$AB$2:$AB$495&gt;=8)*('CONTROL MASTER'!$AA$2:$AA$495&lt;=7)*('CONTROL MASTER'!$AC$2:$AC$495&gt;=7))*ROW('CONTROL MASTER'!$S$2:$S$495))-(ROW('CONTROL MASTER'!#REF!)-1))),":",","),",",REPT(" ",50)),(((INDEX('CONTROL MASTER'!$Y$2:$Y$495,(SUMPRODUCT((('CONTROL MASTER'!$S$2:$S$495=1)*('CONTROL MASTER'!$Z$2:$Z$495&lt;=8)*('CONTROL MASTER'!$AB$2:$AB$495&gt;=8)*('CONTROL MASTER'!$AA$2:$AA$495&lt;=7)*('CONTROL MASTER'!$AC$2:$AC$495&gt;=7))*ROW('CONTROL MASTER'!$S$2:$S$495))-(ROW('CONTROL MASTER'!#REF!)-1)))+((8-INDEX('CONTROL MASTER'!$Z$2:$Z$495,(SUMPRODUCT((('CONTROL MASTER'!$S$2:$S$495=1)*('CONTROL MASTER'!$Z$2:$Z$495&lt;=8)*('CONTROL MASTER'!$AB$2:$AB$495&gt;=8)*('CONTROL MASTER'!$AA$2:$AA$495&lt;=7)*('CONTROL MASTER'!$AC$2:$AC$495&gt;=7))*ROW('CONTROL MASTER'!$S$2:$S$495))-(ROW('CONTROL MASTER'!#REF!)-1))))*(INDEX('CONTROL MASTER'!$AC$2:$AC$495,(SUMPRODUCT((('CONTROL MASTER'!$S$2:$S$495=1)*('CONTROL MASTER'!$Z$2:$Z$495&lt;=8)*('CONTROL MASTER'!$AB$2:$AB$495&gt;=8)*('CONTROL MASTER'!$AA$2:$AA$495&lt;=7)*('CONTROL MASTER'!$AC$2:$AC$495&gt;=7))*ROW('CONTROL MASTER'!$S$2:$S$495))-(ROW('CONTROL MASTER'!#REF!)-1)))-INDEX('CONTROL MASTER'!$AA$2:$AA$495,(SUMPRODUCT((('CONTROL MASTER'!$S$2:$S$495=1)*('CONTROL MASTER'!$Z$2:$Z$495&lt;=8)*('CONTROL MASTER'!$AB$2:$AB$495&gt;=8)*('CONTROL MASTER'!$AA$2:$AA$495&lt;=7)*('CONTROL MASTER'!$AC$2:$AC$495&gt;=7))*ROW('CONTROL MASTER'!$S$2:$S$495))-(ROW('CONTROL MASTER'!#REF!)-1)))+1)+(7-INDEX('CONTROL MASTER'!$AA$2:$AA$495,(SUMPRODUCT((('CONTROL MASTER'!$S$2:$S$495=1)*('CONTROL MASTER'!$Z$2:$Z$495&lt;=8)*('CONTROL MASTER'!$AB$2:$AB$495&gt;=8)*('CONTROL MASTER'!$AA$2:$AA$495&lt;=7)*('CONTROL MASTER'!$AC$2:$AC$495&gt;=7))*ROW('CONTROL MASTER'!$S$2:$S$495))-(ROW('CONTROL MASTER'!#REF!)-1))))+1)))-1)*50+1,50))&amp;"_"&amp;INDEX('CONTROL MASTER'!$P$2:$P$495,(SUMPRODUCT((('CONTROL MASTER'!$S$2:$S$495=1)*('CONTROL MASTER'!$Z$2:$Z$495&lt;=8)*('CONTROL MASTER'!$AB$2:$AB$495&gt;=8)*('CONTROL MASTER'!$AA$2:$AA$495&lt;=7)*('CONTROL MASTER'!$AC$2:$AC$495&gt;=7))*ROW('CONTROL MASTER'!$S$2:$S$495))-(ROW('CONTROL MASTER'!#REF!)-1))),"")),"")</f>
        <v/>
      </c>
      <c r="I10" s="10" t="str">
        <f>IFERROR(IF(SUMPRODUCT((('CONTROL MASTER'!$S$2:$S$495=1)*('CONTROL MASTER'!$T$2:$T$495&lt;=8)*('CONTROL MASTER'!$V$2:$V$495&gt;=8)*('CONTROL MASTER'!$U$2:$U$495&lt;=8)*('CONTROL MASTER'!$W$2:$W$495&gt;=8))*ROW('CONTROL MASTER'!$S$2:$S$495))&gt;0,INDEX('CONTROL MASTER'!$X$2:$X$495,(SUMPRODUCT((('CONTROL MASTER'!$S$2:$S$495=1)*('CONTROL MASTER'!$T$2:$T$495&lt;=8)*('CONTROL MASTER'!$V$2:$V$495&gt;=8)*('CONTROL MASTER'!$U$2:$U$495&lt;=8)*('CONTROL MASTER'!$W$2:$W$495&gt;=8))*ROW('CONTROL MASTER'!$S$2:$S$495))-(ROW('CONTROL MASTER'!#REF!)-1)))&amp;TRIM(MID(SUBSTITUTE(SUBSTITUTE(INDEX('CONTROL MASTER'!$N$2:$N$495,(SUMPRODUCT((('CONTROL MASTER'!$S$2:$S$495=1)*('CONTROL MASTER'!$T$2:$T$495&lt;=8)*('CONTROL MASTER'!$V$2:$V$495&gt;=8)*('CONTROL MASTER'!$U$2:$U$495&lt;=8)*('CONTROL MASTER'!$W$2:$W$495&gt;=8))*ROW('CONTROL MASTER'!$S$2:$S$495))-(ROW('CONTROL MASTER'!#REF!)-1))),":",","),",",REPT(" ",50)),((((8-INDEX('CONTROL MASTER'!$T$2:$T$495,(SUMPRODUCT((('CONTROL MASTER'!$S$2:$S$495=1)*('CONTROL MASTER'!$T$2:$T$495&lt;=8)*('CONTROL MASTER'!$V$2:$V$495&gt;=8)*('CONTROL MASTER'!$U$2:$U$495&lt;=8)*('CONTROL MASTER'!$W$2:$W$495&gt;=8))*ROW('CONTROL MASTER'!$S$2:$S$495))-(ROW('CONTROL MASTER'!#REF!)-1))))*(INDEX('CONTROL MASTER'!$W$2:$W$495,(SUMPRODUCT((('CONTROL MASTER'!$S$2:$S$495=1)*('CONTROL MASTER'!$T$2:$T$495&lt;=8)*('CONTROL MASTER'!$V$2:$V$495&gt;=8)*('CONTROL MASTER'!$U$2:$U$495&lt;=8)*('CONTROL MASTER'!$W$2:$W$495&gt;=8))*ROW('CONTROL MASTER'!$S$2:$S$495))-(ROW('CONTROL MASTER'!#REF!)-1)))-INDEX('CONTROL MASTER'!$U$2:$U$495,(SUMPRODUCT((('CONTROL MASTER'!$S$2:$S$495=1)*('CONTROL MASTER'!$T$2:$T$495&lt;=8)*('CONTROL MASTER'!$V$2:$V$495&gt;=8)*('CONTROL MASTER'!$U$2:$U$495&lt;=8)*('CONTROL MASTER'!$W$2:$W$495&gt;=8))*ROW('CONTROL MASTER'!$S$2:$S$495))-(ROW('CONTROL MASTER'!#REF!)-1)))+1)+(8-INDEX('CONTROL MASTER'!$U$2:$U$495,(SUMPRODUCT((('CONTROL MASTER'!$S$2:$S$495=1)*('CONTROL MASTER'!$T$2:$T$495&lt;=8)*('CONTROL MASTER'!$V$2:$V$495&gt;=8)*('CONTROL MASTER'!$U$2:$U$495&lt;=8)*('CONTROL MASTER'!$W$2:$W$495&gt;=8))*ROW('CONTROL MASTER'!$S$2:$S$495))-(ROW('CONTROL MASTER'!#REF!)-1))))+1))-1)*50+1,50))&amp;"_"&amp;INDEX('CONTROL MASTER'!$P$2:$P$495,(SUMPRODUCT((('CONTROL MASTER'!$S$2:$S$495=1)*('CONTROL MASTER'!$T$2:$T$495&lt;=8)*('CONTROL MASTER'!$V$2:$V$495&gt;=8)*('CONTROL MASTER'!$U$2:$U$495&lt;=8)*('CONTROL MASTER'!$W$2:$W$495&gt;=8))*ROW('CONTROL MASTER'!$S$2:$S$495))-(ROW('CONTROL MASTER'!#REF!)-1))),IF(SUMPRODUCT((('CONTROL MASTER'!$S$2:$S$495=1)*('CONTROL MASTER'!$Z$2:$Z$495&lt;=8)*('CONTROL MASTER'!$AB$2:$AB$495&gt;=8)*('CONTROL MASTER'!$AA$2:$AA$495&lt;=8)*('CONTROL MASTER'!$AC$2:$AC$495&gt;=8))*ROW('CONTROL MASTER'!$S$2:$S$495))&gt;0,INDEX('CONTROL MASTER'!$X$2:$X$495,(SUMPRODUCT((('CONTROL MASTER'!$S$2:$S$495=1)*('CONTROL MASTER'!$Z$2:$Z$495&lt;=8)*('CONTROL MASTER'!$AB$2:$AB$495&gt;=8)*('CONTROL MASTER'!$AA$2:$AA$495&lt;=8)*('CONTROL MASTER'!$AC$2:$AC$495&gt;=8))*ROW('CONTROL MASTER'!$S$2:$S$495))-(ROW('CONTROL MASTER'!#REF!)-1)))&amp;TRIM(MID(SUBSTITUTE(SUBSTITUTE(INDEX('CONTROL MASTER'!$N$2:$N$495,(SUMPRODUCT((('CONTROL MASTER'!$S$2:$S$495=1)*('CONTROL MASTER'!$Z$2:$Z$495&lt;=8)*('CONTROL MASTER'!$AB$2:$AB$495&gt;=8)*('CONTROL MASTER'!$AA$2:$AA$495&lt;=8)*('CONTROL MASTER'!$AC$2:$AC$495&gt;=8))*ROW('CONTROL MASTER'!$S$2:$S$495))-(ROW('CONTROL MASTER'!#REF!)-1))),":",","),",",REPT(" ",50)),(((INDEX('CONTROL MASTER'!$Y$2:$Y$495,(SUMPRODUCT((('CONTROL MASTER'!$S$2:$S$495=1)*('CONTROL MASTER'!$Z$2:$Z$495&lt;=8)*('CONTROL MASTER'!$AB$2:$AB$495&gt;=8)*('CONTROL MASTER'!$AA$2:$AA$495&lt;=8)*('CONTROL MASTER'!$AC$2:$AC$495&gt;=8))*ROW('CONTROL MASTER'!$S$2:$S$495))-(ROW('CONTROL MASTER'!#REF!)-1)))+((8-INDEX('CONTROL MASTER'!$Z$2:$Z$495,(SUMPRODUCT((('CONTROL MASTER'!$S$2:$S$495=1)*('CONTROL MASTER'!$Z$2:$Z$495&lt;=8)*('CONTROL MASTER'!$AB$2:$AB$495&gt;=8)*('CONTROL MASTER'!$AA$2:$AA$495&lt;=8)*('CONTROL MASTER'!$AC$2:$AC$495&gt;=8))*ROW('CONTROL MASTER'!$S$2:$S$495))-(ROW('CONTROL MASTER'!#REF!)-1))))*(INDEX('CONTROL MASTER'!$AC$2:$AC$495,(SUMPRODUCT((('CONTROL MASTER'!$S$2:$S$495=1)*('CONTROL MASTER'!$Z$2:$Z$495&lt;=8)*('CONTROL MASTER'!$AB$2:$AB$495&gt;=8)*('CONTROL MASTER'!$AA$2:$AA$495&lt;=8)*('CONTROL MASTER'!$AC$2:$AC$495&gt;=8))*ROW('CONTROL MASTER'!$S$2:$S$495))-(ROW('CONTROL MASTER'!#REF!)-1)))-INDEX('CONTROL MASTER'!$AA$2:$AA$495,(SUMPRODUCT((('CONTROL MASTER'!$S$2:$S$495=1)*('CONTROL MASTER'!$Z$2:$Z$495&lt;=8)*('CONTROL MASTER'!$AB$2:$AB$495&gt;=8)*('CONTROL MASTER'!$AA$2:$AA$495&lt;=8)*('CONTROL MASTER'!$AC$2:$AC$495&gt;=8))*ROW('CONTROL MASTER'!$S$2:$S$495))-(ROW('CONTROL MASTER'!#REF!)-1)))+1)+(8-INDEX('CONTROL MASTER'!$AA$2:$AA$495,(SUMPRODUCT((('CONTROL MASTER'!$S$2:$S$495=1)*('CONTROL MASTER'!$Z$2:$Z$495&lt;=8)*('CONTROL MASTER'!$AB$2:$AB$495&gt;=8)*('CONTROL MASTER'!$AA$2:$AA$495&lt;=8)*('CONTROL MASTER'!$AC$2:$AC$495&gt;=8))*ROW('CONTROL MASTER'!$S$2:$S$495))-(ROW('CONTROL MASTER'!#REF!)-1))))+1)))-1)*50+1,50))&amp;"_"&amp;INDEX('CONTROL MASTER'!$P$2:$P$495,(SUMPRODUCT((('CONTROL MASTER'!$S$2:$S$495=1)*('CONTROL MASTER'!$Z$2:$Z$495&lt;=8)*('CONTROL MASTER'!$AB$2:$AB$495&gt;=8)*('CONTROL MASTER'!$AA$2:$AA$495&lt;=8)*('CONTROL MASTER'!$AC$2:$AC$495&gt;=8))*ROW('CONTROL MASTER'!$S$2:$S$495))-(ROW('CONTROL MASTER'!#REF!)-1))),"")),"")</f>
        <v/>
      </c>
      <c r="J10" s="10" t="str">
        <f>IFERROR(IF(SUMPRODUCT((('CONTROL MASTER'!$S$2:$S$495=1)*('CONTROL MASTER'!$T$2:$T$495&lt;=8)*('CONTROL MASTER'!$V$2:$V$495&gt;=8)*('CONTROL MASTER'!$U$2:$U$495&lt;=9)*('CONTROL MASTER'!$W$2:$W$495&gt;=9))*ROW('CONTROL MASTER'!$S$2:$S$495))&gt;0,INDEX('CONTROL MASTER'!$X$2:$X$495,(SUMPRODUCT((('CONTROL MASTER'!$S$2:$S$495=1)*('CONTROL MASTER'!$T$2:$T$495&lt;=8)*('CONTROL MASTER'!$V$2:$V$495&gt;=8)*('CONTROL MASTER'!$U$2:$U$495&lt;=9)*('CONTROL MASTER'!$W$2:$W$495&gt;=9))*ROW('CONTROL MASTER'!$S$2:$S$495))-(ROW('CONTROL MASTER'!#REF!)-1)))&amp;TRIM(MID(SUBSTITUTE(SUBSTITUTE(INDEX('CONTROL MASTER'!$N$2:$N$495,(SUMPRODUCT((('CONTROL MASTER'!$S$2:$S$495=1)*('CONTROL MASTER'!$T$2:$T$495&lt;=8)*('CONTROL MASTER'!$V$2:$V$495&gt;=8)*('CONTROL MASTER'!$U$2:$U$495&lt;=9)*('CONTROL MASTER'!$W$2:$W$495&gt;=9))*ROW('CONTROL MASTER'!$S$2:$S$495))-(ROW('CONTROL MASTER'!#REF!)-1))),":",","),",",REPT(" ",50)),((((8-INDEX('CONTROL MASTER'!$T$2:$T$495,(SUMPRODUCT((('CONTROL MASTER'!$S$2:$S$495=1)*('CONTROL MASTER'!$T$2:$T$495&lt;=8)*('CONTROL MASTER'!$V$2:$V$495&gt;=8)*('CONTROL MASTER'!$U$2:$U$495&lt;=9)*('CONTROL MASTER'!$W$2:$W$495&gt;=9))*ROW('CONTROL MASTER'!$S$2:$S$495))-(ROW('CONTROL MASTER'!#REF!)-1))))*(INDEX('CONTROL MASTER'!$W$2:$W$495,(SUMPRODUCT((('CONTROL MASTER'!$S$2:$S$495=1)*('CONTROL MASTER'!$T$2:$T$495&lt;=8)*('CONTROL MASTER'!$V$2:$V$495&gt;=8)*('CONTROL MASTER'!$U$2:$U$495&lt;=9)*('CONTROL MASTER'!$W$2:$W$495&gt;=9))*ROW('CONTROL MASTER'!$S$2:$S$495))-(ROW('CONTROL MASTER'!#REF!)-1)))-INDEX('CONTROL MASTER'!$U$2:$U$495,(SUMPRODUCT((('CONTROL MASTER'!$S$2:$S$495=1)*('CONTROL MASTER'!$T$2:$T$495&lt;=8)*('CONTROL MASTER'!$V$2:$V$495&gt;=8)*('CONTROL MASTER'!$U$2:$U$495&lt;=9)*('CONTROL MASTER'!$W$2:$W$495&gt;=9))*ROW('CONTROL MASTER'!$S$2:$S$495))-(ROW('CONTROL MASTER'!#REF!)-1)))+1)+(9-INDEX('CONTROL MASTER'!$U$2:$U$495,(SUMPRODUCT((('CONTROL MASTER'!$S$2:$S$495=1)*('CONTROL MASTER'!$T$2:$T$495&lt;=8)*('CONTROL MASTER'!$V$2:$V$495&gt;=8)*('CONTROL MASTER'!$U$2:$U$495&lt;=9)*('CONTROL MASTER'!$W$2:$W$495&gt;=9))*ROW('CONTROL MASTER'!$S$2:$S$495))-(ROW('CONTROL MASTER'!#REF!)-1))))+1))-1)*50+1,50))&amp;"_"&amp;INDEX('CONTROL MASTER'!$P$2:$P$495,(SUMPRODUCT((('CONTROL MASTER'!$S$2:$S$495=1)*('CONTROL MASTER'!$T$2:$T$495&lt;=8)*('CONTROL MASTER'!$V$2:$V$495&gt;=8)*('CONTROL MASTER'!$U$2:$U$495&lt;=9)*('CONTROL MASTER'!$W$2:$W$495&gt;=9))*ROW('CONTROL MASTER'!$S$2:$S$495))-(ROW('CONTROL MASTER'!#REF!)-1))),IF(SUMPRODUCT((('CONTROL MASTER'!$S$2:$S$495=1)*('CONTROL MASTER'!$Z$2:$Z$495&lt;=8)*('CONTROL MASTER'!$AB$2:$AB$495&gt;=8)*('CONTROL MASTER'!$AA$2:$AA$495&lt;=9)*('CONTROL MASTER'!$AC$2:$AC$495&gt;=9))*ROW('CONTROL MASTER'!$S$2:$S$495))&gt;0,INDEX('CONTROL MASTER'!$X$2:$X$495,(SUMPRODUCT((('CONTROL MASTER'!$S$2:$S$495=1)*('CONTROL MASTER'!$Z$2:$Z$495&lt;=8)*('CONTROL MASTER'!$AB$2:$AB$495&gt;=8)*('CONTROL MASTER'!$AA$2:$AA$495&lt;=9)*('CONTROL MASTER'!$AC$2:$AC$495&gt;=9))*ROW('CONTROL MASTER'!$S$2:$S$495))-(ROW('CONTROL MASTER'!#REF!)-1)))&amp;TRIM(MID(SUBSTITUTE(SUBSTITUTE(INDEX('CONTROL MASTER'!$N$2:$N$495,(SUMPRODUCT((('CONTROL MASTER'!$S$2:$S$495=1)*('CONTROL MASTER'!$Z$2:$Z$495&lt;=8)*('CONTROL MASTER'!$AB$2:$AB$495&gt;=8)*('CONTROL MASTER'!$AA$2:$AA$495&lt;=9)*('CONTROL MASTER'!$AC$2:$AC$495&gt;=9))*ROW('CONTROL MASTER'!$S$2:$S$495))-(ROW('CONTROL MASTER'!#REF!)-1))),":",","),",",REPT(" ",50)),(((INDEX('CONTROL MASTER'!$Y$2:$Y$495,(SUMPRODUCT((('CONTROL MASTER'!$S$2:$S$495=1)*('CONTROL MASTER'!$Z$2:$Z$495&lt;=8)*('CONTROL MASTER'!$AB$2:$AB$495&gt;=8)*('CONTROL MASTER'!$AA$2:$AA$495&lt;=9)*('CONTROL MASTER'!$AC$2:$AC$495&gt;=9))*ROW('CONTROL MASTER'!$S$2:$S$495))-(ROW('CONTROL MASTER'!#REF!)-1)))+((8-INDEX('CONTROL MASTER'!$Z$2:$Z$495,(SUMPRODUCT((('CONTROL MASTER'!$S$2:$S$495=1)*('CONTROL MASTER'!$Z$2:$Z$495&lt;=8)*('CONTROL MASTER'!$AB$2:$AB$495&gt;=8)*('CONTROL MASTER'!$AA$2:$AA$495&lt;=9)*('CONTROL MASTER'!$AC$2:$AC$495&gt;=9))*ROW('CONTROL MASTER'!$S$2:$S$495))-(ROW('CONTROL MASTER'!#REF!)-1))))*(INDEX('CONTROL MASTER'!$AC$2:$AC$495,(SUMPRODUCT((('CONTROL MASTER'!$S$2:$S$495=1)*('CONTROL MASTER'!$Z$2:$Z$495&lt;=8)*('CONTROL MASTER'!$AB$2:$AB$495&gt;=8)*('CONTROL MASTER'!$AA$2:$AA$495&lt;=9)*('CONTROL MASTER'!$AC$2:$AC$495&gt;=9))*ROW('CONTROL MASTER'!$S$2:$S$495))-(ROW('CONTROL MASTER'!#REF!)-1)))-INDEX('CONTROL MASTER'!$AA$2:$AA$495,(SUMPRODUCT((('CONTROL MASTER'!$S$2:$S$495=1)*('CONTROL MASTER'!$Z$2:$Z$495&lt;=8)*('CONTROL MASTER'!$AB$2:$AB$495&gt;=8)*('CONTROL MASTER'!$AA$2:$AA$495&lt;=9)*('CONTROL MASTER'!$AC$2:$AC$495&gt;=9))*ROW('CONTROL MASTER'!$S$2:$S$495))-(ROW('CONTROL MASTER'!#REF!)-1)))+1)+(9-INDEX('CONTROL MASTER'!$AA$2:$AA$495,(SUMPRODUCT((('CONTROL MASTER'!$S$2:$S$495=1)*('CONTROL MASTER'!$Z$2:$Z$495&lt;=8)*('CONTROL MASTER'!$AB$2:$AB$495&gt;=8)*('CONTROL MASTER'!$AA$2:$AA$495&lt;=9)*('CONTROL MASTER'!$AC$2:$AC$495&gt;=9))*ROW('CONTROL MASTER'!$S$2:$S$495))-(ROW('CONTROL MASTER'!#REF!)-1))))+1)))-1)*50+1,50))&amp;"_"&amp;INDEX('CONTROL MASTER'!$P$2:$P$495,(SUMPRODUCT((('CONTROL MASTER'!$S$2:$S$495=1)*('CONTROL MASTER'!$Z$2:$Z$495&lt;=8)*('CONTROL MASTER'!$AB$2:$AB$495&gt;=8)*('CONTROL MASTER'!$AA$2:$AA$495&lt;=9)*('CONTROL MASTER'!$AC$2:$AC$495&gt;=9))*ROW('CONTROL MASTER'!$S$2:$S$495))-(ROW('CONTROL MASTER'!#REF!)-1))),"")),"")</f>
        <v/>
      </c>
      <c r="K10" s="10" t="str">
        <f>IFERROR(IF(SUMPRODUCT((('CONTROL MASTER'!$S$2:$S$495=1)*('CONTROL MASTER'!$T$2:$T$495&lt;=8)*('CONTROL MASTER'!$V$2:$V$495&gt;=8)*('CONTROL MASTER'!$U$2:$U$495&lt;=10)*('CONTROL MASTER'!$W$2:$W$495&gt;=10))*ROW('CONTROL MASTER'!$S$2:$S$495))&gt;0,INDEX('CONTROL MASTER'!$X$2:$X$495,(SUMPRODUCT((('CONTROL MASTER'!$S$2:$S$495=1)*('CONTROL MASTER'!$T$2:$T$495&lt;=8)*('CONTROL MASTER'!$V$2:$V$495&gt;=8)*('CONTROL MASTER'!$U$2:$U$495&lt;=10)*('CONTROL MASTER'!$W$2:$W$495&gt;=10))*ROW('CONTROL MASTER'!$S$2:$S$495))-(ROW('CONTROL MASTER'!#REF!)-1)))&amp;TRIM(MID(SUBSTITUTE(SUBSTITUTE(INDEX('CONTROL MASTER'!$N$2:$N$495,(SUMPRODUCT((('CONTROL MASTER'!$S$2:$S$495=1)*('CONTROL MASTER'!$T$2:$T$495&lt;=8)*('CONTROL MASTER'!$V$2:$V$495&gt;=8)*('CONTROL MASTER'!$U$2:$U$495&lt;=10)*('CONTROL MASTER'!$W$2:$W$495&gt;=10))*ROW('CONTROL MASTER'!$S$2:$S$495))-(ROW('CONTROL MASTER'!#REF!)-1))),":",","),",",REPT(" ",50)),((((8-INDEX('CONTROL MASTER'!$T$2:$T$495,(SUMPRODUCT((('CONTROL MASTER'!$S$2:$S$495=1)*('CONTROL MASTER'!$T$2:$T$495&lt;=8)*('CONTROL MASTER'!$V$2:$V$495&gt;=8)*('CONTROL MASTER'!$U$2:$U$495&lt;=10)*('CONTROL MASTER'!$W$2:$W$495&gt;=10))*ROW('CONTROL MASTER'!$S$2:$S$495))-(ROW('CONTROL MASTER'!#REF!)-1))))*(INDEX('CONTROL MASTER'!$W$2:$W$495,(SUMPRODUCT((('CONTROL MASTER'!$S$2:$S$495=1)*('CONTROL MASTER'!$T$2:$T$495&lt;=8)*('CONTROL MASTER'!$V$2:$V$495&gt;=8)*('CONTROL MASTER'!$U$2:$U$495&lt;=10)*('CONTROL MASTER'!$W$2:$W$495&gt;=10))*ROW('CONTROL MASTER'!$S$2:$S$495))-(ROW('CONTROL MASTER'!#REF!)-1)))-INDEX('CONTROL MASTER'!$U$2:$U$495,(SUMPRODUCT((('CONTROL MASTER'!$S$2:$S$495=1)*('CONTROL MASTER'!$T$2:$T$495&lt;=8)*('CONTROL MASTER'!$V$2:$V$495&gt;=8)*('CONTROL MASTER'!$U$2:$U$495&lt;=10)*('CONTROL MASTER'!$W$2:$W$495&gt;=10))*ROW('CONTROL MASTER'!$S$2:$S$495))-(ROW('CONTROL MASTER'!#REF!)-1)))+1)+(10-INDEX('CONTROL MASTER'!$U$2:$U$495,(SUMPRODUCT((('CONTROL MASTER'!$S$2:$S$495=1)*('CONTROL MASTER'!$T$2:$T$495&lt;=8)*('CONTROL MASTER'!$V$2:$V$495&gt;=8)*('CONTROL MASTER'!$U$2:$U$495&lt;=10)*('CONTROL MASTER'!$W$2:$W$495&gt;=10))*ROW('CONTROL MASTER'!$S$2:$S$495))-(ROW('CONTROL MASTER'!#REF!)-1))))+1))-1)*50+1,50))&amp;"_"&amp;INDEX('CONTROL MASTER'!$P$2:$P$495,(SUMPRODUCT((('CONTROL MASTER'!$S$2:$S$495=1)*('CONTROL MASTER'!$T$2:$T$495&lt;=8)*('CONTROL MASTER'!$V$2:$V$495&gt;=8)*('CONTROL MASTER'!$U$2:$U$495&lt;=10)*('CONTROL MASTER'!$W$2:$W$495&gt;=10))*ROW('CONTROL MASTER'!$S$2:$S$495))-(ROW('CONTROL MASTER'!#REF!)-1))),IF(SUMPRODUCT((('CONTROL MASTER'!$S$2:$S$495=1)*('CONTROL MASTER'!$Z$2:$Z$495&lt;=8)*('CONTROL MASTER'!$AB$2:$AB$495&gt;=8)*('CONTROL MASTER'!$AA$2:$AA$495&lt;=10)*('CONTROL MASTER'!$AC$2:$AC$495&gt;=10))*ROW('CONTROL MASTER'!$S$2:$S$495))&gt;0,INDEX('CONTROL MASTER'!$X$2:$X$495,(SUMPRODUCT((('CONTROL MASTER'!$S$2:$S$495=1)*('CONTROL MASTER'!$Z$2:$Z$495&lt;=8)*('CONTROL MASTER'!$AB$2:$AB$495&gt;=8)*('CONTROL MASTER'!$AA$2:$AA$495&lt;=10)*('CONTROL MASTER'!$AC$2:$AC$495&gt;=10))*ROW('CONTROL MASTER'!$S$2:$S$495))-(ROW('CONTROL MASTER'!#REF!)-1)))&amp;TRIM(MID(SUBSTITUTE(SUBSTITUTE(INDEX('CONTROL MASTER'!$N$2:$N$495,(SUMPRODUCT((('CONTROL MASTER'!$S$2:$S$495=1)*('CONTROL MASTER'!$Z$2:$Z$495&lt;=8)*('CONTROL MASTER'!$AB$2:$AB$495&gt;=8)*('CONTROL MASTER'!$AA$2:$AA$495&lt;=10)*('CONTROL MASTER'!$AC$2:$AC$495&gt;=10))*ROW('CONTROL MASTER'!$S$2:$S$495))-(ROW('CONTROL MASTER'!#REF!)-1))),":",","),",",REPT(" ",50)),(((INDEX('CONTROL MASTER'!$Y$2:$Y$495,(SUMPRODUCT((('CONTROL MASTER'!$S$2:$S$495=1)*('CONTROL MASTER'!$Z$2:$Z$495&lt;=8)*('CONTROL MASTER'!$AB$2:$AB$495&gt;=8)*('CONTROL MASTER'!$AA$2:$AA$495&lt;=10)*('CONTROL MASTER'!$AC$2:$AC$495&gt;=10))*ROW('CONTROL MASTER'!$S$2:$S$495))-(ROW('CONTROL MASTER'!#REF!)-1)))+((8-INDEX('CONTROL MASTER'!$Z$2:$Z$495,(SUMPRODUCT((('CONTROL MASTER'!$S$2:$S$495=1)*('CONTROL MASTER'!$Z$2:$Z$495&lt;=8)*('CONTROL MASTER'!$AB$2:$AB$495&gt;=8)*('CONTROL MASTER'!$AA$2:$AA$495&lt;=10)*('CONTROL MASTER'!$AC$2:$AC$495&gt;=10))*ROW('CONTROL MASTER'!$S$2:$S$495))-(ROW('CONTROL MASTER'!#REF!)-1))))*(INDEX('CONTROL MASTER'!$AC$2:$AC$495,(SUMPRODUCT((('CONTROL MASTER'!$S$2:$S$495=1)*('CONTROL MASTER'!$Z$2:$Z$495&lt;=8)*('CONTROL MASTER'!$AB$2:$AB$495&gt;=8)*('CONTROL MASTER'!$AA$2:$AA$495&lt;=10)*('CONTROL MASTER'!$AC$2:$AC$495&gt;=10))*ROW('CONTROL MASTER'!$S$2:$S$495))-(ROW('CONTROL MASTER'!#REF!)-1)))-INDEX('CONTROL MASTER'!$AA$2:$AA$495,(SUMPRODUCT((('CONTROL MASTER'!$S$2:$S$495=1)*('CONTROL MASTER'!$Z$2:$Z$495&lt;=8)*('CONTROL MASTER'!$AB$2:$AB$495&gt;=8)*('CONTROL MASTER'!$AA$2:$AA$495&lt;=10)*('CONTROL MASTER'!$AC$2:$AC$495&gt;=10))*ROW('CONTROL MASTER'!$S$2:$S$495))-(ROW('CONTROL MASTER'!#REF!)-1)))+1)+(10-INDEX('CONTROL MASTER'!$AA$2:$AA$495,(SUMPRODUCT((('CONTROL MASTER'!$S$2:$S$495=1)*('CONTROL MASTER'!$Z$2:$Z$495&lt;=8)*('CONTROL MASTER'!$AB$2:$AB$495&gt;=8)*('CONTROL MASTER'!$AA$2:$AA$495&lt;=10)*('CONTROL MASTER'!$AC$2:$AC$495&gt;=10))*ROW('CONTROL MASTER'!$S$2:$S$495))-(ROW('CONTROL MASTER'!#REF!)-1))))+1)))-1)*50+1,50))&amp;"_"&amp;INDEX('CONTROL MASTER'!$P$2:$P$495,(SUMPRODUCT((('CONTROL MASTER'!$S$2:$S$495=1)*('CONTROL MASTER'!$Z$2:$Z$495&lt;=8)*('CONTROL MASTER'!$AB$2:$AB$495&gt;=8)*('CONTROL MASTER'!$AA$2:$AA$495&lt;=10)*('CONTROL MASTER'!$AC$2:$AC$495&gt;=10))*ROW('CONTROL MASTER'!$S$2:$S$495))-(ROW('CONTROL MASTER'!#REF!)-1))),"")),"")</f>
        <v/>
      </c>
    </row>
    <row r="11" spans="1:11" ht="15" customHeight="1" x14ac:dyDescent="0.35">
      <c r="A11" s="8" t="s">
        <v>81</v>
      </c>
      <c r="B11" s="10" t="str">
        <f>IFERROR(IF(SUMPRODUCT((('CONTROL MASTER'!$S$2:$S$495=1)*('CONTROL MASTER'!$T$2:$T$495&lt;=9)*('CONTROL MASTER'!$V$2:$V$495&gt;=9)*('CONTROL MASTER'!$U$2:$U$495&lt;=1)*('CONTROL MASTER'!$W$2:$W$495&gt;=1))*ROW('CONTROL MASTER'!$S$2:$S$495))&gt;0,INDEX('CONTROL MASTER'!$X$2:$X$495,(SUMPRODUCT((('CONTROL MASTER'!$S$2:$S$495=1)*('CONTROL MASTER'!$T$2:$T$495&lt;=9)*('CONTROL MASTER'!$V$2:$V$495&gt;=9)*('CONTROL MASTER'!$U$2:$U$495&lt;=1)*('CONTROL MASTER'!$W$2:$W$495&gt;=1))*ROW('CONTROL MASTER'!$S$2:$S$495))-(ROW('CONTROL MASTER'!#REF!)-1)))&amp;TRIM(MID(SUBSTITUTE(SUBSTITUTE(INDEX('CONTROL MASTER'!$N$2:$N$495,(SUMPRODUCT((('CONTROL MASTER'!$S$2:$S$495=1)*('CONTROL MASTER'!$T$2:$T$495&lt;=9)*('CONTROL MASTER'!$V$2:$V$495&gt;=9)*('CONTROL MASTER'!$U$2:$U$495&lt;=1)*('CONTROL MASTER'!$W$2:$W$495&gt;=1))*ROW('CONTROL MASTER'!$S$2:$S$495))-(ROW('CONTROL MASTER'!#REF!)-1))),":",","),",",REPT(" ",50)),((((9-INDEX('CONTROL MASTER'!$T$2:$T$495,(SUMPRODUCT((('CONTROL MASTER'!$S$2:$S$495=1)*('CONTROL MASTER'!$T$2:$T$495&lt;=9)*('CONTROL MASTER'!$V$2:$V$495&gt;=9)*('CONTROL MASTER'!$U$2:$U$495&lt;=1)*('CONTROL MASTER'!$W$2:$W$495&gt;=1))*ROW('CONTROL MASTER'!$S$2:$S$495))-(ROW('CONTROL MASTER'!#REF!)-1))))*(INDEX('CONTROL MASTER'!$W$2:$W$495,(SUMPRODUCT((('CONTROL MASTER'!$S$2:$S$495=1)*('CONTROL MASTER'!$T$2:$T$495&lt;=9)*('CONTROL MASTER'!$V$2:$V$495&gt;=9)*('CONTROL MASTER'!$U$2:$U$495&lt;=1)*('CONTROL MASTER'!$W$2:$W$495&gt;=1))*ROW('CONTROL MASTER'!$S$2:$S$495))-(ROW('CONTROL MASTER'!#REF!)-1)))-INDEX('CONTROL MASTER'!$U$2:$U$495,(SUMPRODUCT((('CONTROL MASTER'!$S$2:$S$495=1)*('CONTROL MASTER'!$T$2:$T$495&lt;=9)*('CONTROL MASTER'!$V$2:$V$495&gt;=9)*('CONTROL MASTER'!$U$2:$U$495&lt;=1)*('CONTROL MASTER'!$W$2:$W$495&gt;=1))*ROW('CONTROL MASTER'!$S$2:$S$495))-(ROW('CONTROL MASTER'!#REF!)-1)))+1)+(1-INDEX('CONTROL MASTER'!$U$2:$U$495,(SUMPRODUCT((('CONTROL MASTER'!$S$2:$S$495=1)*('CONTROL MASTER'!$T$2:$T$495&lt;=9)*('CONTROL MASTER'!$V$2:$V$495&gt;=9)*('CONTROL MASTER'!$U$2:$U$495&lt;=1)*('CONTROL MASTER'!$W$2:$W$495&gt;=1))*ROW('CONTROL MASTER'!$S$2:$S$495))-(ROW('CONTROL MASTER'!#REF!)-1))))+1))-1)*50+1,50))&amp;"_"&amp;INDEX('CONTROL MASTER'!$P$2:$P$495,(SUMPRODUCT((('CONTROL MASTER'!$S$2:$S$495=1)*('CONTROL MASTER'!$T$2:$T$495&lt;=9)*('CONTROL MASTER'!$V$2:$V$495&gt;=9)*('CONTROL MASTER'!$U$2:$U$495&lt;=1)*('CONTROL MASTER'!$W$2:$W$495&gt;=1))*ROW('CONTROL MASTER'!$S$2:$S$495))-(ROW('CONTROL MASTER'!#REF!)-1))),IF(SUMPRODUCT((('CONTROL MASTER'!$S$2:$S$495=1)*('CONTROL MASTER'!$Z$2:$Z$495&lt;=9)*('CONTROL MASTER'!$AB$2:$AB$495&gt;=9)*('CONTROL MASTER'!$AA$2:$AA$495&lt;=1)*('CONTROL MASTER'!$AC$2:$AC$495&gt;=1))*ROW('CONTROL MASTER'!$S$2:$S$495))&gt;0,INDEX('CONTROL MASTER'!$X$2:$X$495,(SUMPRODUCT((('CONTROL MASTER'!$S$2:$S$495=1)*('CONTROL MASTER'!$Z$2:$Z$495&lt;=9)*('CONTROL MASTER'!$AB$2:$AB$495&gt;=9)*('CONTROL MASTER'!$AA$2:$AA$495&lt;=1)*('CONTROL MASTER'!$AC$2:$AC$495&gt;=1))*ROW('CONTROL MASTER'!$S$2:$S$495))-(ROW('CONTROL MASTER'!#REF!)-1)))&amp;TRIM(MID(SUBSTITUTE(SUBSTITUTE(INDEX('CONTROL MASTER'!$N$2:$N$495,(SUMPRODUCT((('CONTROL MASTER'!$S$2:$S$495=1)*('CONTROL MASTER'!$Z$2:$Z$495&lt;=9)*('CONTROL MASTER'!$AB$2:$AB$495&gt;=9)*('CONTROL MASTER'!$AA$2:$AA$495&lt;=1)*('CONTROL MASTER'!$AC$2:$AC$495&gt;=1))*ROW('CONTROL MASTER'!$S$2:$S$495))-(ROW('CONTROL MASTER'!#REF!)-1))),":",","),",",REPT(" ",50)),(((INDEX('CONTROL MASTER'!$Y$2:$Y$495,(SUMPRODUCT((('CONTROL MASTER'!$S$2:$S$495=1)*('CONTROL MASTER'!$Z$2:$Z$495&lt;=9)*('CONTROL MASTER'!$AB$2:$AB$495&gt;=9)*('CONTROL MASTER'!$AA$2:$AA$495&lt;=1)*('CONTROL MASTER'!$AC$2:$AC$495&gt;=1))*ROW('CONTROL MASTER'!$S$2:$S$495))-(ROW('CONTROL MASTER'!#REF!)-1)))+((9-INDEX('CONTROL MASTER'!$Z$2:$Z$495,(SUMPRODUCT((('CONTROL MASTER'!$S$2:$S$495=1)*('CONTROL MASTER'!$Z$2:$Z$495&lt;=9)*('CONTROL MASTER'!$AB$2:$AB$495&gt;=9)*('CONTROL MASTER'!$AA$2:$AA$495&lt;=1)*('CONTROL MASTER'!$AC$2:$AC$495&gt;=1))*ROW('CONTROL MASTER'!$S$2:$S$495))-(ROW('CONTROL MASTER'!#REF!)-1))))*(INDEX('CONTROL MASTER'!$AC$2:$AC$495,(SUMPRODUCT((('CONTROL MASTER'!$S$2:$S$495=1)*('CONTROL MASTER'!$Z$2:$Z$495&lt;=9)*('CONTROL MASTER'!$AB$2:$AB$495&gt;=9)*('CONTROL MASTER'!$AA$2:$AA$495&lt;=1)*('CONTROL MASTER'!$AC$2:$AC$495&gt;=1))*ROW('CONTROL MASTER'!$S$2:$S$495))-(ROW('CONTROL MASTER'!#REF!)-1)))-INDEX('CONTROL MASTER'!$AA$2:$AA$495,(SUMPRODUCT((('CONTROL MASTER'!$S$2:$S$495=1)*('CONTROL MASTER'!$Z$2:$Z$495&lt;=9)*('CONTROL MASTER'!$AB$2:$AB$495&gt;=9)*('CONTROL MASTER'!$AA$2:$AA$495&lt;=1)*('CONTROL MASTER'!$AC$2:$AC$495&gt;=1))*ROW('CONTROL MASTER'!$S$2:$S$495))-(ROW('CONTROL MASTER'!#REF!)-1)))+1)+(1-INDEX('CONTROL MASTER'!$AA$2:$AA$495,(SUMPRODUCT((('CONTROL MASTER'!$S$2:$S$495=1)*('CONTROL MASTER'!$Z$2:$Z$495&lt;=9)*('CONTROL MASTER'!$AB$2:$AB$495&gt;=9)*('CONTROL MASTER'!$AA$2:$AA$495&lt;=1)*('CONTROL MASTER'!$AC$2:$AC$495&gt;=1))*ROW('CONTROL MASTER'!$S$2:$S$495))-(ROW('CONTROL MASTER'!#REF!)-1))))+1)))-1)*50+1,50))&amp;"_"&amp;INDEX('CONTROL MASTER'!$P$2:$P$495,(SUMPRODUCT((('CONTROL MASTER'!$S$2:$S$495=1)*('CONTROL MASTER'!$Z$2:$Z$495&lt;=9)*('CONTROL MASTER'!$AB$2:$AB$495&gt;=9)*('CONTROL MASTER'!$AA$2:$AA$495&lt;=1)*('CONTROL MASTER'!$AC$2:$AC$495&gt;=1))*ROW('CONTROL MASTER'!$S$2:$S$495))-(ROW('CONTROL MASTER'!#REF!)-1))),"")),"")</f>
        <v/>
      </c>
      <c r="C11" s="10" t="str">
        <f>IFERROR(IF(SUMPRODUCT((('CONTROL MASTER'!$S$2:$S$495=1)*('CONTROL MASTER'!$T$2:$T$495&lt;=9)*('CONTROL MASTER'!$V$2:$V$495&gt;=9)*('CONTROL MASTER'!$U$2:$U$495&lt;=2)*('CONTROL MASTER'!$W$2:$W$495&gt;=2))*ROW('CONTROL MASTER'!$S$2:$S$495))&gt;0,INDEX('CONTROL MASTER'!$X$2:$X$495,(SUMPRODUCT((('CONTROL MASTER'!$S$2:$S$495=1)*('CONTROL MASTER'!$T$2:$T$495&lt;=9)*('CONTROL MASTER'!$V$2:$V$495&gt;=9)*('CONTROL MASTER'!$U$2:$U$495&lt;=2)*('CONTROL MASTER'!$W$2:$W$495&gt;=2))*ROW('CONTROL MASTER'!$S$2:$S$495))-(ROW('CONTROL MASTER'!#REF!)-1)))&amp;TRIM(MID(SUBSTITUTE(SUBSTITUTE(INDEX('CONTROL MASTER'!$N$2:$N$495,(SUMPRODUCT((('CONTROL MASTER'!$S$2:$S$495=1)*('CONTROL MASTER'!$T$2:$T$495&lt;=9)*('CONTROL MASTER'!$V$2:$V$495&gt;=9)*('CONTROL MASTER'!$U$2:$U$495&lt;=2)*('CONTROL MASTER'!$W$2:$W$495&gt;=2))*ROW('CONTROL MASTER'!$S$2:$S$495))-(ROW('CONTROL MASTER'!#REF!)-1))),":",","),",",REPT(" ",50)),((((9-INDEX('CONTROL MASTER'!$T$2:$T$495,(SUMPRODUCT((('CONTROL MASTER'!$S$2:$S$495=1)*('CONTROL MASTER'!$T$2:$T$495&lt;=9)*('CONTROL MASTER'!$V$2:$V$495&gt;=9)*('CONTROL MASTER'!$U$2:$U$495&lt;=2)*('CONTROL MASTER'!$W$2:$W$495&gt;=2))*ROW('CONTROL MASTER'!$S$2:$S$495))-(ROW('CONTROL MASTER'!#REF!)-1))))*(INDEX('CONTROL MASTER'!$W$2:$W$495,(SUMPRODUCT((('CONTROL MASTER'!$S$2:$S$495=1)*('CONTROL MASTER'!$T$2:$T$495&lt;=9)*('CONTROL MASTER'!$V$2:$V$495&gt;=9)*('CONTROL MASTER'!$U$2:$U$495&lt;=2)*('CONTROL MASTER'!$W$2:$W$495&gt;=2))*ROW('CONTROL MASTER'!$S$2:$S$495))-(ROW('CONTROL MASTER'!#REF!)-1)))-INDEX('CONTROL MASTER'!$U$2:$U$495,(SUMPRODUCT((('CONTROL MASTER'!$S$2:$S$495=1)*('CONTROL MASTER'!$T$2:$T$495&lt;=9)*('CONTROL MASTER'!$V$2:$V$495&gt;=9)*('CONTROL MASTER'!$U$2:$U$495&lt;=2)*('CONTROL MASTER'!$W$2:$W$495&gt;=2))*ROW('CONTROL MASTER'!$S$2:$S$495))-(ROW('CONTROL MASTER'!#REF!)-1)))+1)+(2-INDEX('CONTROL MASTER'!$U$2:$U$495,(SUMPRODUCT((('CONTROL MASTER'!$S$2:$S$495=1)*('CONTROL MASTER'!$T$2:$T$495&lt;=9)*('CONTROL MASTER'!$V$2:$V$495&gt;=9)*('CONTROL MASTER'!$U$2:$U$495&lt;=2)*('CONTROL MASTER'!$W$2:$W$495&gt;=2))*ROW('CONTROL MASTER'!$S$2:$S$495))-(ROW('CONTROL MASTER'!#REF!)-1))))+1))-1)*50+1,50))&amp;"_"&amp;INDEX('CONTROL MASTER'!$P$2:$P$495,(SUMPRODUCT((('CONTROL MASTER'!$S$2:$S$495=1)*('CONTROL MASTER'!$T$2:$T$495&lt;=9)*('CONTROL MASTER'!$V$2:$V$495&gt;=9)*('CONTROL MASTER'!$U$2:$U$495&lt;=2)*('CONTROL MASTER'!$W$2:$W$495&gt;=2))*ROW('CONTROL MASTER'!$S$2:$S$495))-(ROW('CONTROL MASTER'!#REF!)-1))),IF(SUMPRODUCT((('CONTROL MASTER'!$S$2:$S$495=1)*('CONTROL MASTER'!$Z$2:$Z$495&lt;=9)*('CONTROL MASTER'!$AB$2:$AB$495&gt;=9)*('CONTROL MASTER'!$AA$2:$AA$495&lt;=2)*('CONTROL MASTER'!$AC$2:$AC$495&gt;=2))*ROW('CONTROL MASTER'!$S$2:$S$495))&gt;0,INDEX('CONTROL MASTER'!$X$2:$X$495,(SUMPRODUCT((('CONTROL MASTER'!$S$2:$S$495=1)*('CONTROL MASTER'!$Z$2:$Z$495&lt;=9)*('CONTROL MASTER'!$AB$2:$AB$495&gt;=9)*('CONTROL MASTER'!$AA$2:$AA$495&lt;=2)*('CONTROL MASTER'!$AC$2:$AC$495&gt;=2))*ROW('CONTROL MASTER'!$S$2:$S$495))-(ROW('CONTROL MASTER'!#REF!)-1)))&amp;TRIM(MID(SUBSTITUTE(SUBSTITUTE(INDEX('CONTROL MASTER'!$N$2:$N$495,(SUMPRODUCT((('CONTROL MASTER'!$S$2:$S$495=1)*('CONTROL MASTER'!$Z$2:$Z$495&lt;=9)*('CONTROL MASTER'!$AB$2:$AB$495&gt;=9)*('CONTROL MASTER'!$AA$2:$AA$495&lt;=2)*('CONTROL MASTER'!$AC$2:$AC$495&gt;=2))*ROW('CONTROL MASTER'!$S$2:$S$495))-(ROW('CONTROL MASTER'!#REF!)-1))),":",","),",",REPT(" ",50)),(((INDEX('CONTROL MASTER'!$Y$2:$Y$495,(SUMPRODUCT((('CONTROL MASTER'!$S$2:$S$495=1)*('CONTROL MASTER'!$Z$2:$Z$495&lt;=9)*('CONTROL MASTER'!$AB$2:$AB$495&gt;=9)*('CONTROL MASTER'!$AA$2:$AA$495&lt;=2)*('CONTROL MASTER'!$AC$2:$AC$495&gt;=2))*ROW('CONTROL MASTER'!$S$2:$S$495))-(ROW('CONTROL MASTER'!#REF!)-1)))+((9-INDEX('CONTROL MASTER'!$Z$2:$Z$495,(SUMPRODUCT((('CONTROL MASTER'!$S$2:$S$495=1)*('CONTROL MASTER'!$Z$2:$Z$495&lt;=9)*('CONTROL MASTER'!$AB$2:$AB$495&gt;=9)*('CONTROL MASTER'!$AA$2:$AA$495&lt;=2)*('CONTROL MASTER'!$AC$2:$AC$495&gt;=2))*ROW('CONTROL MASTER'!$S$2:$S$495))-(ROW('CONTROL MASTER'!#REF!)-1))))*(INDEX('CONTROL MASTER'!$AC$2:$AC$495,(SUMPRODUCT((('CONTROL MASTER'!$S$2:$S$495=1)*('CONTROL MASTER'!$Z$2:$Z$495&lt;=9)*('CONTROL MASTER'!$AB$2:$AB$495&gt;=9)*('CONTROL MASTER'!$AA$2:$AA$495&lt;=2)*('CONTROL MASTER'!$AC$2:$AC$495&gt;=2))*ROW('CONTROL MASTER'!$S$2:$S$495))-(ROW('CONTROL MASTER'!#REF!)-1)))-INDEX('CONTROL MASTER'!$AA$2:$AA$495,(SUMPRODUCT((('CONTROL MASTER'!$S$2:$S$495=1)*('CONTROL MASTER'!$Z$2:$Z$495&lt;=9)*('CONTROL MASTER'!$AB$2:$AB$495&gt;=9)*('CONTROL MASTER'!$AA$2:$AA$495&lt;=2)*('CONTROL MASTER'!$AC$2:$AC$495&gt;=2))*ROW('CONTROL MASTER'!$S$2:$S$495))-(ROW('CONTROL MASTER'!#REF!)-1)))+1)+(2-INDEX('CONTROL MASTER'!$AA$2:$AA$495,(SUMPRODUCT((('CONTROL MASTER'!$S$2:$S$495=1)*('CONTROL MASTER'!$Z$2:$Z$495&lt;=9)*('CONTROL MASTER'!$AB$2:$AB$495&gt;=9)*('CONTROL MASTER'!$AA$2:$AA$495&lt;=2)*('CONTROL MASTER'!$AC$2:$AC$495&gt;=2))*ROW('CONTROL MASTER'!$S$2:$S$495))-(ROW('CONTROL MASTER'!#REF!)-1))))+1)))-1)*50+1,50))&amp;"_"&amp;INDEX('CONTROL MASTER'!$P$2:$P$495,(SUMPRODUCT((('CONTROL MASTER'!$S$2:$S$495=1)*('CONTROL MASTER'!$Z$2:$Z$495&lt;=9)*('CONTROL MASTER'!$AB$2:$AB$495&gt;=9)*('CONTROL MASTER'!$AA$2:$AA$495&lt;=2)*('CONTROL MASTER'!$AC$2:$AC$495&gt;=2))*ROW('CONTROL MASTER'!$S$2:$S$495))-(ROW('CONTROL MASTER'!#REF!)-1))),"")),"")</f>
        <v/>
      </c>
      <c r="D11" s="10" t="str">
        <f>IFERROR(IF(SUMPRODUCT((('CONTROL MASTER'!$S$2:$S$495=1)*('CONTROL MASTER'!$T$2:$T$495&lt;=9)*('CONTROL MASTER'!$V$2:$V$495&gt;=9)*('CONTROL MASTER'!$U$2:$U$495&lt;=3)*('CONTROL MASTER'!$W$2:$W$495&gt;=3))*ROW('CONTROL MASTER'!$S$2:$S$495))&gt;0,INDEX('CONTROL MASTER'!$X$2:$X$495,(SUMPRODUCT((('CONTROL MASTER'!$S$2:$S$495=1)*('CONTROL MASTER'!$T$2:$T$495&lt;=9)*('CONTROL MASTER'!$V$2:$V$495&gt;=9)*('CONTROL MASTER'!$U$2:$U$495&lt;=3)*('CONTROL MASTER'!$W$2:$W$495&gt;=3))*ROW('CONTROL MASTER'!$S$2:$S$495))-(ROW('CONTROL MASTER'!#REF!)-1)))&amp;TRIM(MID(SUBSTITUTE(SUBSTITUTE(INDEX('CONTROL MASTER'!$N$2:$N$495,(SUMPRODUCT((('CONTROL MASTER'!$S$2:$S$495=1)*('CONTROL MASTER'!$T$2:$T$495&lt;=9)*('CONTROL MASTER'!$V$2:$V$495&gt;=9)*('CONTROL MASTER'!$U$2:$U$495&lt;=3)*('CONTROL MASTER'!$W$2:$W$495&gt;=3))*ROW('CONTROL MASTER'!$S$2:$S$495))-(ROW('CONTROL MASTER'!#REF!)-1))),":",","),",",REPT(" ",50)),((((9-INDEX('CONTROL MASTER'!$T$2:$T$495,(SUMPRODUCT((('CONTROL MASTER'!$S$2:$S$495=1)*('CONTROL MASTER'!$T$2:$T$495&lt;=9)*('CONTROL MASTER'!$V$2:$V$495&gt;=9)*('CONTROL MASTER'!$U$2:$U$495&lt;=3)*('CONTROL MASTER'!$W$2:$W$495&gt;=3))*ROW('CONTROL MASTER'!$S$2:$S$495))-(ROW('CONTROL MASTER'!#REF!)-1))))*(INDEX('CONTROL MASTER'!$W$2:$W$495,(SUMPRODUCT((('CONTROL MASTER'!$S$2:$S$495=1)*('CONTROL MASTER'!$T$2:$T$495&lt;=9)*('CONTROL MASTER'!$V$2:$V$495&gt;=9)*('CONTROL MASTER'!$U$2:$U$495&lt;=3)*('CONTROL MASTER'!$W$2:$W$495&gt;=3))*ROW('CONTROL MASTER'!$S$2:$S$495))-(ROW('CONTROL MASTER'!#REF!)-1)))-INDEX('CONTROL MASTER'!$U$2:$U$495,(SUMPRODUCT((('CONTROL MASTER'!$S$2:$S$495=1)*('CONTROL MASTER'!$T$2:$T$495&lt;=9)*('CONTROL MASTER'!$V$2:$V$495&gt;=9)*('CONTROL MASTER'!$U$2:$U$495&lt;=3)*('CONTROL MASTER'!$W$2:$W$495&gt;=3))*ROW('CONTROL MASTER'!$S$2:$S$495))-(ROW('CONTROL MASTER'!#REF!)-1)))+1)+(3-INDEX('CONTROL MASTER'!$U$2:$U$495,(SUMPRODUCT((('CONTROL MASTER'!$S$2:$S$495=1)*('CONTROL MASTER'!$T$2:$T$495&lt;=9)*('CONTROL MASTER'!$V$2:$V$495&gt;=9)*('CONTROL MASTER'!$U$2:$U$495&lt;=3)*('CONTROL MASTER'!$W$2:$W$495&gt;=3))*ROW('CONTROL MASTER'!$S$2:$S$495))-(ROW('CONTROL MASTER'!#REF!)-1))))+1))-1)*50+1,50))&amp;"_"&amp;INDEX('CONTROL MASTER'!$P$2:$P$495,(SUMPRODUCT((('CONTROL MASTER'!$S$2:$S$495=1)*('CONTROL MASTER'!$T$2:$T$495&lt;=9)*('CONTROL MASTER'!$V$2:$V$495&gt;=9)*('CONTROL MASTER'!$U$2:$U$495&lt;=3)*('CONTROL MASTER'!$W$2:$W$495&gt;=3))*ROW('CONTROL MASTER'!$S$2:$S$495))-(ROW('CONTROL MASTER'!#REF!)-1))),IF(SUMPRODUCT((('CONTROL MASTER'!$S$2:$S$495=1)*('CONTROL MASTER'!$Z$2:$Z$495&lt;=9)*('CONTROL MASTER'!$AB$2:$AB$495&gt;=9)*('CONTROL MASTER'!$AA$2:$AA$495&lt;=3)*('CONTROL MASTER'!$AC$2:$AC$495&gt;=3))*ROW('CONTROL MASTER'!$S$2:$S$495))&gt;0,INDEX('CONTROL MASTER'!$X$2:$X$495,(SUMPRODUCT((('CONTROL MASTER'!$S$2:$S$495=1)*('CONTROL MASTER'!$Z$2:$Z$495&lt;=9)*('CONTROL MASTER'!$AB$2:$AB$495&gt;=9)*('CONTROL MASTER'!$AA$2:$AA$495&lt;=3)*('CONTROL MASTER'!$AC$2:$AC$495&gt;=3))*ROW('CONTROL MASTER'!$S$2:$S$495))-(ROW('CONTROL MASTER'!#REF!)-1)))&amp;TRIM(MID(SUBSTITUTE(SUBSTITUTE(INDEX('CONTROL MASTER'!$N$2:$N$495,(SUMPRODUCT((('CONTROL MASTER'!$S$2:$S$495=1)*('CONTROL MASTER'!$Z$2:$Z$495&lt;=9)*('CONTROL MASTER'!$AB$2:$AB$495&gt;=9)*('CONTROL MASTER'!$AA$2:$AA$495&lt;=3)*('CONTROL MASTER'!$AC$2:$AC$495&gt;=3))*ROW('CONTROL MASTER'!$S$2:$S$495))-(ROW('CONTROL MASTER'!#REF!)-1))),":",","),",",REPT(" ",50)),(((INDEX('CONTROL MASTER'!$Y$2:$Y$495,(SUMPRODUCT((('CONTROL MASTER'!$S$2:$S$495=1)*('CONTROL MASTER'!$Z$2:$Z$495&lt;=9)*('CONTROL MASTER'!$AB$2:$AB$495&gt;=9)*('CONTROL MASTER'!$AA$2:$AA$495&lt;=3)*('CONTROL MASTER'!$AC$2:$AC$495&gt;=3))*ROW('CONTROL MASTER'!$S$2:$S$495))-(ROW('CONTROL MASTER'!#REF!)-1)))+((9-INDEX('CONTROL MASTER'!$Z$2:$Z$495,(SUMPRODUCT((('CONTROL MASTER'!$S$2:$S$495=1)*('CONTROL MASTER'!$Z$2:$Z$495&lt;=9)*('CONTROL MASTER'!$AB$2:$AB$495&gt;=9)*('CONTROL MASTER'!$AA$2:$AA$495&lt;=3)*('CONTROL MASTER'!$AC$2:$AC$495&gt;=3))*ROW('CONTROL MASTER'!$S$2:$S$495))-(ROW('CONTROL MASTER'!#REF!)-1))))*(INDEX('CONTROL MASTER'!$AC$2:$AC$495,(SUMPRODUCT((('CONTROL MASTER'!$S$2:$S$495=1)*('CONTROL MASTER'!$Z$2:$Z$495&lt;=9)*('CONTROL MASTER'!$AB$2:$AB$495&gt;=9)*('CONTROL MASTER'!$AA$2:$AA$495&lt;=3)*('CONTROL MASTER'!$AC$2:$AC$495&gt;=3))*ROW('CONTROL MASTER'!$S$2:$S$495))-(ROW('CONTROL MASTER'!#REF!)-1)))-INDEX('CONTROL MASTER'!$AA$2:$AA$495,(SUMPRODUCT((('CONTROL MASTER'!$S$2:$S$495=1)*('CONTROL MASTER'!$Z$2:$Z$495&lt;=9)*('CONTROL MASTER'!$AB$2:$AB$495&gt;=9)*('CONTROL MASTER'!$AA$2:$AA$495&lt;=3)*('CONTROL MASTER'!$AC$2:$AC$495&gt;=3))*ROW('CONTROL MASTER'!$S$2:$S$495))-(ROW('CONTROL MASTER'!#REF!)-1)))+1)+(3-INDEX('CONTROL MASTER'!$AA$2:$AA$495,(SUMPRODUCT((('CONTROL MASTER'!$S$2:$S$495=1)*('CONTROL MASTER'!$Z$2:$Z$495&lt;=9)*('CONTROL MASTER'!$AB$2:$AB$495&gt;=9)*('CONTROL MASTER'!$AA$2:$AA$495&lt;=3)*('CONTROL MASTER'!$AC$2:$AC$495&gt;=3))*ROW('CONTROL MASTER'!$S$2:$S$495))-(ROW('CONTROL MASTER'!#REF!)-1))))+1)))-1)*50+1,50))&amp;"_"&amp;INDEX('CONTROL MASTER'!$P$2:$P$495,(SUMPRODUCT((('CONTROL MASTER'!$S$2:$S$495=1)*('CONTROL MASTER'!$Z$2:$Z$495&lt;=9)*('CONTROL MASTER'!$AB$2:$AB$495&gt;=9)*('CONTROL MASTER'!$AA$2:$AA$495&lt;=3)*('CONTROL MASTER'!$AC$2:$AC$495&gt;=3))*ROW('CONTROL MASTER'!$S$2:$S$495))-(ROW('CONTROL MASTER'!#REF!)-1))),"")),"")</f>
        <v/>
      </c>
      <c r="E11" s="10" t="str">
        <f>IFERROR(IF(SUMPRODUCT((('CONTROL MASTER'!$S$2:$S$495=1)*('CONTROL MASTER'!$T$2:$T$495&lt;=9)*('CONTROL MASTER'!$V$2:$V$495&gt;=9)*('CONTROL MASTER'!$U$2:$U$495&lt;=4)*('CONTROL MASTER'!$W$2:$W$495&gt;=4))*ROW('CONTROL MASTER'!$S$2:$S$495))&gt;0,INDEX('CONTROL MASTER'!$X$2:$X$495,(SUMPRODUCT((('CONTROL MASTER'!$S$2:$S$495=1)*('CONTROL MASTER'!$T$2:$T$495&lt;=9)*('CONTROL MASTER'!$V$2:$V$495&gt;=9)*('CONTROL MASTER'!$U$2:$U$495&lt;=4)*('CONTROL MASTER'!$W$2:$W$495&gt;=4))*ROW('CONTROL MASTER'!$S$2:$S$495))-(ROW('CONTROL MASTER'!#REF!)-1)))&amp;TRIM(MID(SUBSTITUTE(SUBSTITUTE(INDEX('CONTROL MASTER'!$N$2:$N$495,(SUMPRODUCT((('CONTROL MASTER'!$S$2:$S$495=1)*('CONTROL MASTER'!$T$2:$T$495&lt;=9)*('CONTROL MASTER'!$V$2:$V$495&gt;=9)*('CONTROL MASTER'!$U$2:$U$495&lt;=4)*('CONTROL MASTER'!$W$2:$W$495&gt;=4))*ROW('CONTROL MASTER'!$S$2:$S$495))-(ROW('CONTROL MASTER'!#REF!)-1))),":",","),",",REPT(" ",50)),((((9-INDEX('CONTROL MASTER'!$T$2:$T$495,(SUMPRODUCT((('CONTROL MASTER'!$S$2:$S$495=1)*('CONTROL MASTER'!$T$2:$T$495&lt;=9)*('CONTROL MASTER'!$V$2:$V$495&gt;=9)*('CONTROL MASTER'!$U$2:$U$495&lt;=4)*('CONTROL MASTER'!$W$2:$W$495&gt;=4))*ROW('CONTROL MASTER'!$S$2:$S$495))-(ROW('CONTROL MASTER'!#REF!)-1))))*(INDEX('CONTROL MASTER'!$W$2:$W$495,(SUMPRODUCT((('CONTROL MASTER'!$S$2:$S$495=1)*('CONTROL MASTER'!$T$2:$T$495&lt;=9)*('CONTROL MASTER'!$V$2:$V$495&gt;=9)*('CONTROL MASTER'!$U$2:$U$495&lt;=4)*('CONTROL MASTER'!$W$2:$W$495&gt;=4))*ROW('CONTROL MASTER'!$S$2:$S$495))-(ROW('CONTROL MASTER'!#REF!)-1)))-INDEX('CONTROL MASTER'!$U$2:$U$495,(SUMPRODUCT((('CONTROL MASTER'!$S$2:$S$495=1)*('CONTROL MASTER'!$T$2:$T$495&lt;=9)*('CONTROL MASTER'!$V$2:$V$495&gt;=9)*('CONTROL MASTER'!$U$2:$U$495&lt;=4)*('CONTROL MASTER'!$W$2:$W$495&gt;=4))*ROW('CONTROL MASTER'!$S$2:$S$495))-(ROW('CONTROL MASTER'!#REF!)-1)))+1)+(4-INDEX('CONTROL MASTER'!$U$2:$U$495,(SUMPRODUCT((('CONTROL MASTER'!$S$2:$S$495=1)*('CONTROL MASTER'!$T$2:$T$495&lt;=9)*('CONTROL MASTER'!$V$2:$V$495&gt;=9)*('CONTROL MASTER'!$U$2:$U$495&lt;=4)*('CONTROL MASTER'!$W$2:$W$495&gt;=4))*ROW('CONTROL MASTER'!$S$2:$S$495))-(ROW('CONTROL MASTER'!#REF!)-1))))+1))-1)*50+1,50))&amp;"_"&amp;INDEX('CONTROL MASTER'!$P$2:$P$495,(SUMPRODUCT((('CONTROL MASTER'!$S$2:$S$495=1)*('CONTROL MASTER'!$T$2:$T$495&lt;=9)*('CONTROL MASTER'!$V$2:$V$495&gt;=9)*('CONTROL MASTER'!$U$2:$U$495&lt;=4)*('CONTROL MASTER'!$W$2:$W$495&gt;=4))*ROW('CONTROL MASTER'!$S$2:$S$495))-(ROW('CONTROL MASTER'!#REF!)-1))),IF(SUMPRODUCT((('CONTROL MASTER'!$S$2:$S$495=1)*('CONTROL MASTER'!$Z$2:$Z$495&lt;=9)*('CONTROL MASTER'!$AB$2:$AB$495&gt;=9)*('CONTROL MASTER'!$AA$2:$AA$495&lt;=4)*('CONTROL MASTER'!$AC$2:$AC$495&gt;=4))*ROW('CONTROL MASTER'!$S$2:$S$495))&gt;0,INDEX('CONTROL MASTER'!$X$2:$X$495,(SUMPRODUCT((('CONTROL MASTER'!$S$2:$S$495=1)*('CONTROL MASTER'!$Z$2:$Z$495&lt;=9)*('CONTROL MASTER'!$AB$2:$AB$495&gt;=9)*('CONTROL MASTER'!$AA$2:$AA$495&lt;=4)*('CONTROL MASTER'!$AC$2:$AC$495&gt;=4))*ROW('CONTROL MASTER'!$S$2:$S$495))-(ROW('CONTROL MASTER'!#REF!)-1)))&amp;TRIM(MID(SUBSTITUTE(SUBSTITUTE(INDEX('CONTROL MASTER'!$N$2:$N$495,(SUMPRODUCT((('CONTROL MASTER'!$S$2:$S$495=1)*('CONTROL MASTER'!$Z$2:$Z$495&lt;=9)*('CONTROL MASTER'!$AB$2:$AB$495&gt;=9)*('CONTROL MASTER'!$AA$2:$AA$495&lt;=4)*('CONTROL MASTER'!$AC$2:$AC$495&gt;=4))*ROW('CONTROL MASTER'!$S$2:$S$495))-(ROW('CONTROL MASTER'!#REF!)-1))),":",","),",",REPT(" ",50)),(((INDEX('CONTROL MASTER'!$Y$2:$Y$495,(SUMPRODUCT((('CONTROL MASTER'!$S$2:$S$495=1)*('CONTROL MASTER'!$Z$2:$Z$495&lt;=9)*('CONTROL MASTER'!$AB$2:$AB$495&gt;=9)*('CONTROL MASTER'!$AA$2:$AA$495&lt;=4)*('CONTROL MASTER'!$AC$2:$AC$495&gt;=4))*ROW('CONTROL MASTER'!$S$2:$S$495))-(ROW('CONTROL MASTER'!#REF!)-1)))+((9-INDEX('CONTROL MASTER'!$Z$2:$Z$495,(SUMPRODUCT((('CONTROL MASTER'!$S$2:$S$495=1)*('CONTROL MASTER'!$Z$2:$Z$495&lt;=9)*('CONTROL MASTER'!$AB$2:$AB$495&gt;=9)*('CONTROL MASTER'!$AA$2:$AA$495&lt;=4)*('CONTROL MASTER'!$AC$2:$AC$495&gt;=4))*ROW('CONTROL MASTER'!$S$2:$S$495))-(ROW('CONTROL MASTER'!#REF!)-1))))*(INDEX('CONTROL MASTER'!$AC$2:$AC$495,(SUMPRODUCT((('CONTROL MASTER'!$S$2:$S$495=1)*('CONTROL MASTER'!$Z$2:$Z$495&lt;=9)*('CONTROL MASTER'!$AB$2:$AB$495&gt;=9)*('CONTROL MASTER'!$AA$2:$AA$495&lt;=4)*('CONTROL MASTER'!$AC$2:$AC$495&gt;=4))*ROW('CONTROL MASTER'!$S$2:$S$495))-(ROW('CONTROL MASTER'!#REF!)-1)))-INDEX('CONTROL MASTER'!$AA$2:$AA$495,(SUMPRODUCT((('CONTROL MASTER'!$S$2:$S$495=1)*('CONTROL MASTER'!$Z$2:$Z$495&lt;=9)*('CONTROL MASTER'!$AB$2:$AB$495&gt;=9)*('CONTROL MASTER'!$AA$2:$AA$495&lt;=4)*('CONTROL MASTER'!$AC$2:$AC$495&gt;=4))*ROW('CONTROL MASTER'!$S$2:$S$495))-(ROW('CONTROL MASTER'!#REF!)-1)))+1)+(4-INDEX('CONTROL MASTER'!$AA$2:$AA$495,(SUMPRODUCT((('CONTROL MASTER'!$S$2:$S$495=1)*('CONTROL MASTER'!$Z$2:$Z$495&lt;=9)*('CONTROL MASTER'!$AB$2:$AB$495&gt;=9)*('CONTROL MASTER'!$AA$2:$AA$495&lt;=4)*('CONTROL MASTER'!$AC$2:$AC$495&gt;=4))*ROW('CONTROL MASTER'!$S$2:$S$495))-(ROW('CONTROL MASTER'!#REF!)-1))))+1)))-1)*50+1,50))&amp;"_"&amp;INDEX('CONTROL MASTER'!$P$2:$P$495,(SUMPRODUCT((('CONTROL MASTER'!$S$2:$S$495=1)*('CONTROL MASTER'!$Z$2:$Z$495&lt;=9)*('CONTROL MASTER'!$AB$2:$AB$495&gt;=9)*('CONTROL MASTER'!$AA$2:$AA$495&lt;=4)*('CONTROL MASTER'!$AC$2:$AC$495&gt;=4))*ROW('CONTROL MASTER'!$S$2:$S$495))-(ROW('CONTROL MASTER'!#REF!)-1))),"")),"")</f>
        <v/>
      </c>
      <c r="F11" s="10" t="str">
        <f>IFERROR(IF(SUMPRODUCT((('CONTROL MASTER'!$S$2:$S$495=1)*('CONTROL MASTER'!$T$2:$T$495&lt;=9)*('CONTROL MASTER'!$V$2:$V$495&gt;=9)*('CONTROL MASTER'!$U$2:$U$495&lt;=5)*('CONTROL MASTER'!$W$2:$W$495&gt;=5))*ROW('CONTROL MASTER'!$S$2:$S$495))&gt;0,INDEX('CONTROL MASTER'!$X$2:$X$495,(SUMPRODUCT((('CONTROL MASTER'!$S$2:$S$495=1)*('CONTROL MASTER'!$T$2:$T$495&lt;=9)*('CONTROL MASTER'!$V$2:$V$495&gt;=9)*('CONTROL MASTER'!$U$2:$U$495&lt;=5)*('CONTROL MASTER'!$W$2:$W$495&gt;=5))*ROW('CONTROL MASTER'!$S$2:$S$495))-(ROW('CONTROL MASTER'!#REF!)-1)))&amp;TRIM(MID(SUBSTITUTE(SUBSTITUTE(INDEX('CONTROL MASTER'!$N$2:$N$495,(SUMPRODUCT((('CONTROL MASTER'!$S$2:$S$495=1)*('CONTROL MASTER'!$T$2:$T$495&lt;=9)*('CONTROL MASTER'!$V$2:$V$495&gt;=9)*('CONTROL MASTER'!$U$2:$U$495&lt;=5)*('CONTROL MASTER'!$W$2:$W$495&gt;=5))*ROW('CONTROL MASTER'!$S$2:$S$495))-(ROW('CONTROL MASTER'!#REF!)-1))),":",","),",",REPT(" ",50)),((((9-INDEX('CONTROL MASTER'!$T$2:$T$495,(SUMPRODUCT((('CONTROL MASTER'!$S$2:$S$495=1)*('CONTROL MASTER'!$T$2:$T$495&lt;=9)*('CONTROL MASTER'!$V$2:$V$495&gt;=9)*('CONTROL MASTER'!$U$2:$U$495&lt;=5)*('CONTROL MASTER'!$W$2:$W$495&gt;=5))*ROW('CONTROL MASTER'!$S$2:$S$495))-(ROW('CONTROL MASTER'!#REF!)-1))))*(INDEX('CONTROL MASTER'!$W$2:$W$495,(SUMPRODUCT((('CONTROL MASTER'!$S$2:$S$495=1)*('CONTROL MASTER'!$T$2:$T$495&lt;=9)*('CONTROL MASTER'!$V$2:$V$495&gt;=9)*('CONTROL MASTER'!$U$2:$U$495&lt;=5)*('CONTROL MASTER'!$W$2:$W$495&gt;=5))*ROW('CONTROL MASTER'!$S$2:$S$495))-(ROW('CONTROL MASTER'!#REF!)-1)))-INDEX('CONTROL MASTER'!$U$2:$U$495,(SUMPRODUCT((('CONTROL MASTER'!$S$2:$S$495=1)*('CONTROL MASTER'!$T$2:$T$495&lt;=9)*('CONTROL MASTER'!$V$2:$V$495&gt;=9)*('CONTROL MASTER'!$U$2:$U$495&lt;=5)*('CONTROL MASTER'!$W$2:$W$495&gt;=5))*ROW('CONTROL MASTER'!$S$2:$S$495))-(ROW('CONTROL MASTER'!#REF!)-1)))+1)+(5-INDEX('CONTROL MASTER'!$U$2:$U$495,(SUMPRODUCT((('CONTROL MASTER'!$S$2:$S$495=1)*('CONTROL MASTER'!$T$2:$T$495&lt;=9)*('CONTROL MASTER'!$V$2:$V$495&gt;=9)*('CONTROL MASTER'!$U$2:$U$495&lt;=5)*('CONTROL MASTER'!$W$2:$W$495&gt;=5))*ROW('CONTROL MASTER'!$S$2:$S$495))-(ROW('CONTROL MASTER'!#REF!)-1))))+1))-1)*50+1,50))&amp;"_"&amp;INDEX('CONTROL MASTER'!$P$2:$P$495,(SUMPRODUCT((('CONTROL MASTER'!$S$2:$S$495=1)*('CONTROL MASTER'!$T$2:$T$495&lt;=9)*('CONTROL MASTER'!$V$2:$V$495&gt;=9)*('CONTROL MASTER'!$U$2:$U$495&lt;=5)*('CONTROL MASTER'!$W$2:$W$495&gt;=5))*ROW('CONTROL MASTER'!$S$2:$S$495))-(ROW('CONTROL MASTER'!#REF!)-1))),IF(SUMPRODUCT((('CONTROL MASTER'!$S$2:$S$495=1)*('CONTROL MASTER'!$Z$2:$Z$495&lt;=9)*('CONTROL MASTER'!$AB$2:$AB$495&gt;=9)*('CONTROL MASTER'!$AA$2:$AA$495&lt;=5)*('CONTROL MASTER'!$AC$2:$AC$495&gt;=5))*ROW('CONTROL MASTER'!$S$2:$S$495))&gt;0,INDEX('CONTROL MASTER'!$X$2:$X$495,(SUMPRODUCT((('CONTROL MASTER'!$S$2:$S$495=1)*('CONTROL MASTER'!$Z$2:$Z$495&lt;=9)*('CONTROL MASTER'!$AB$2:$AB$495&gt;=9)*('CONTROL MASTER'!$AA$2:$AA$495&lt;=5)*('CONTROL MASTER'!$AC$2:$AC$495&gt;=5))*ROW('CONTROL MASTER'!$S$2:$S$495))-(ROW('CONTROL MASTER'!#REF!)-1)))&amp;TRIM(MID(SUBSTITUTE(SUBSTITUTE(INDEX('CONTROL MASTER'!$N$2:$N$495,(SUMPRODUCT((('CONTROL MASTER'!$S$2:$S$495=1)*('CONTROL MASTER'!$Z$2:$Z$495&lt;=9)*('CONTROL MASTER'!$AB$2:$AB$495&gt;=9)*('CONTROL MASTER'!$AA$2:$AA$495&lt;=5)*('CONTROL MASTER'!$AC$2:$AC$495&gt;=5))*ROW('CONTROL MASTER'!$S$2:$S$495))-(ROW('CONTROL MASTER'!#REF!)-1))),":",","),",",REPT(" ",50)),(((INDEX('CONTROL MASTER'!$Y$2:$Y$495,(SUMPRODUCT((('CONTROL MASTER'!$S$2:$S$495=1)*('CONTROL MASTER'!$Z$2:$Z$495&lt;=9)*('CONTROL MASTER'!$AB$2:$AB$495&gt;=9)*('CONTROL MASTER'!$AA$2:$AA$495&lt;=5)*('CONTROL MASTER'!$AC$2:$AC$495&gt;=5))*ROW('CONTROL MASTER'!$S$2:$S$495))-(ROW('CONTROL MASTER'!#REF!)-1)))+((9-INDEX('CONTROL MASTER'!$Z$2:$Z$495,(SUMPRODUCT((('CONTROL MASTER'!$S$2:$S$495=1)*('CONTROL MASTER'!$Z$2:$Z$495&lt;=9)*('CONTROL MASTER'!$AB$2:$AB$495&gt;=9)*('CONTROL MASTER'!$AA$2:$AA$495&lt;=5)*('CONTROL MASTER'!$AC$2:$AC$495&gt;=5))*ROW('CONTROL MASTER'!$S$2:$S$495))-(ROW('CONTROL MASTER'!#REF!)-1))))*(INDEX('CONTROL MASTER'!$AC$2:$AC$495,(SUMPRODUCT((('CONTROL MASTER'!$S$2:$S$495=1)*('CONTROL MASTER'!$Z$2:$Z$495&lt;=9)*('CONTROL MASTER'!$AB$2:$AB$495&gt;=9)*('CONTROL MASTER'!$AA$2:$AA$495&lt;=5)*('CONTROL MASTER'!$AC$2:$AC$495&gt;=5))*ROW('CONTROL MASTER'!$S$2:$S$495))-(ROW('CONTROL MASTER'!#REF!)-1)))-INDEX('CONTROL MASTER'!$AA$2:$AA$495,(SUMPRODUCT((('CONTROL MASTER'!$S$2:$S$495=1)*('CONTROL MASTER'!$Z$2:$Z$495&lt;=9)*('CONTROL MASTER'!$AB$2:$AB$495&gt;=9)*('CONTROL MASTER'!$AA$2:$AA$495&lt;=5)*('CONTROL MASTER'!$AC$2:$AC$495&gt;=5))*ROW('CONTROL MASTER'!$S$2:$S$495))-(ROW('CONTROL MASTER'!#REF!)-1)))+1)+(5-INDEX('CONTROL MASTER'!$AA$2:$AA$495,(SUMPRODUCT((('CONTROL MASTER'!$S$2:$S$495=1)*('CONTROL MASTER'!$Z$2:$Z$495&lt;=9)*('CONTROL MASTER'!$AB$2:$AB$495&gt;=9)*('CONTROL MASTER'!$AA$2:$AA$495&lt;=5)*('CONTROL MASTER'!$AC$2:$AC$495&gt;=5))*ROW('CONTROL MASTER'!$S$2:$S$495))-(ROW('CONTROL MASTER'!#REF!)-1))))+1)))-1)*50+1,50))&amp;"_"&amp;INDEX('CONTROL MASTER'!$P$2:$P$495,(SUMPRODUCT((('CONTROL MASTER'!$S$2:$S$495=1)*('CONTROL MASTER'!$Z$2:$Z$495&lt;=9)*('CONTROL MASTER'!$AB$2:$AB$495&gt;=9)*('CONTROL MASTER'!$AA$2:$AA$495&lt;=5)*('CONTROL MASTER'!$AC$2:$AC$495&gt;=5))*ROW('CONTROL MASTER'!$S$2:$S$495))-(ROW('CONTROL MASTER'!#REF!)-1))),"")),"")</f>
        <v/>
      </c>
      <c r="G11" s="10" t="str">
        <f>IFERROR(IF(SUMPRODUCT((('CONTROL MASTER'!$S$2:$S$495=1)*('CONTROL MASTER'!$T$2:$T$495&lt;=9)*('CONTROL MASTER'!$V$2:$V$495&gt;=9)*('CONTROL MASTER'!$U$2:$U$495&lt;=6)*('CONTROL MASTER'!$W$2:$W$495&gt;=6))*ROW('CONTROL MASTER'!$S$2:$S$495))&gt;0,INDEX('CONTROL MASTER'!$X$2:$X$495,(SUMPRODUCT((('CONTROL MASTER'!$S$2:$S$495=1)*('CONTROL MASTER'!$T$2:$T$495&lt;=9)*('CONTROL MASTER'!$V$2:$V$495&gt;=9)*('CONTROL MASTER'!$U$2:$U$495&lt;=6)*('CONTROL MASTER'!$W$2:$W$495&gt;=6))*ROW('CONTROL MASTER'!$S$2:$S$495))-(ROW('CONTROL MASTER'!#REF!)-1)))&amp;TRIM(MID(SUBSTITUTE(SUBSTITUTE(INDEX('CONTROL MASTER'!$N$2:$N$495,(SUMPRODUCT((('CONTROL MASTER'!$S$2:$S$495=1)*('CONTROL MASTER'!$T$2:$T$495&lt;=9)*('CONTROL MASTER'!$V$2:$V$495&gt;=9)*('CONTROL MASTER'!$U$2:$U$495&lt;=6)*('CONTROL MASTER'!$W$2:$W$495&gt;=6))*ROW('CONTROL MASTER'!$S$2:$S$495))-(ROW('CONTROL MASTER'!#REF!)-1))),":",","),",",REPT(" ",50)),((((9-INDEX('CONTROL MASTER'!$T$2:$T$495,(SUMPRODUCT((('CONTROL MASTER'!$S$2:$S$495=1)*('CONTROL MASTER'!$T$2:$T$495&lt;=9)*('CONTROL MASTER'!$V$2:$V$495&gt;=9)*('CONTROL MASTER'!$U$2:$U$495&lt;=6)*('CONTROL MASTER'!$W$2:$W$495&gt;=6))*ROW('CONTROL MASTER'!$S$2:$S$495))-(ROW('CONTROL MASTER'!#REF!)-1))))*(INDEX('CONTROL MASTER'!$W$2:$W$495,(SUMPRODUCT((('CONTROL MASTER'!$S$2:$S$495=1)*('CONTROL MASTER'!$T$2:$T$495&lt;=9)*('CONTROL MASTER'!$V$2:$V$495&gt;=9)*('CONTROL MASTER'!$U$2:$U$495&lt;=6)*('CONTROL MASTER'!$W$2:$W$495&gt;=6))*ROW('CONTROL MASTER'!$S$2:$S$495))-(ROW('CONTROL MASTER'!#REF!)-1)))-INDEX('CONTROL MASTER'!$U$2:$U$495,(SUMPRODUCT((('CONTROL MASTER'!$S$2:$S$495=1)*('CONTROL MASTER'!$T$2:$T$495&lt;=9)*('CONTROL MASTER'!$V$2:$V$495&gt;=9)*('CONTROL MASTER'!$U$2:$U$495&lt;=6)*('CONTROL MASTER'!$W$2:$W$495&gt;=6))*ROW('CONTROL MASTER'!$S$2:$S$495))-(ROW('CONTROL MASTER'!#REF!)-1)))+1)+(6-INDEX('CONTROL MASTER'!$U$2:$U$495,(SUMPRODUCT((('CONTROL MASTER'!$S$2:$S$495=1)*('CONTROL MASTER'!$T$2:$T$495&lt;=9)*('CONTROL MASTER'!$V$2:$V$495&gt;=9)*('CONTROL MASTER'!$U$2:$U$495&lt;=6)*('CONTROL MASTER'!$W$2:$W$495&gt;=6))*ROW('CONTROL MASTER'!$S$2:$S$495))-(ROW('CONTROL MASTER'!#REF!)-1))))+1))-1)*50+1,50))&amp;"_"&amp;INDEX('CONTROL MASTER'!$P$2:$P$495,(SUMPRODUCT((('CONTROL MASTER'!$S$2:$S$495=1)*('CONTROL MASTER'!$T$2:$T$495&lt;=9)*('CONTROL MASTER'!$V$2:$V$495&gt;=9)*('CONTROL MASTER'!$U$2:$U$495&lt;=6)*('CONTROL MASTER'!$W$2:$W$495&gt;=6))*ROW('CONTROL MASTER'!$S$2:$S$495))-(ROW('CONTROL MASTER'!#REF!)-1))),IF(SUMPRODUCT((('CONTROL MASTER'!$S$2:$S$495=1)*('CONTROL MASTER'!$Z$2:$Z$495&lt;=9)*('CONTROL MASTER'!$AB$2:$AB$495&gt;=9)*('CONTROL MASTER'!$AA$2:$AA$495&lt;=6)*('CONTROL MASTER'!$AC$2:$AC$495&gt;=6))*ROW('CONTROL MASTER'!$S$2:$S$495))&gt;0,INDEX('CONTROL MASTER'!$X$2:$X$495,(SUMPRODUCT((('CONTROL MASTER'!$S$2:$S$495=1)*('CONTROL MASTER'!$Z$2:$Z$495&lt;=9)*('CONTROL MASTER'!$AB$2:$AB$495&gt;=9)*('CONTROL MASTER'!$AA$2:$AA$495&lt;=6)*('CONTROL MASTER'!$AC$2:$AC$495&gt;=6))*ROW('CONTROL MASTER'!$S$2:$S$495))-(ROW('CONTROL MASTER'!#REF!)-1)))&amp;TRIM(MID(SUBSTITUTE(SUBSTITUTE(INDEX('CONTROL MASTER'!$N$2:$N$495,(SUMPRODUCT((('CONTROL MASTER'!$S$2:$S$495=1)*('CONTROL MASTER'!$Z$2:$Z$495&lt;=9)*('CONTROL MASTER'!$AB$2:$AB$495&gt;=9)*('CONTROL MASTER'!$AA$2:$AA$495&lt;=6)*('CONTROL MASTER'!$AC$2:$AC$495&gt;=6))*ROW('CONTROL MASTER'!$S$2:$S$495))-(ROW('CONTROL MASTER'!#REF!)-1))),":",","),",",REPT(" ",50)),(((INDEX('CONTROL MASTER'!$Y$2:$Y$495,(SUMPRODUCT((('CONTROL MASTER'!$S$2:$S$495=1)*('CONTROL MASTER'!$Z$2:$Z$495&lt;=9)*('CONTROL MASTER'!$AB$2:$AB$495&gt;=9)*('CONTROL MASTER'!$AA$2:$AA$495&lt;=6)*('CONTROL MASTER'!$AC$2:$AC$495&gt;=6))*ROW('CONTROL MASTER'!$S$2:$S$495))-(ROW('CONTROL MASTER'!#REF!)-1)))+((9-INDEX('CONTROL MASTER'!$Z$2:$Z$495,(SUMPRODUCT((('CONTROL MASTER'!$S$2:$S$495=1)*('CONTROL MASTER'!$Z$2:$Z$495&lt;=9)*('CONTROL MASTER'!$AB$2:$AB$495&gt;=9)*('CONTROL MASTER'!$AA$2:$AA$495&lt;=6)*('CONTROL MASTER'!$AC$2:$AC$495&gt;=6))*ROW('CONTROL MASTER'!$S$2:$S$495))-(ROW('CONTROL MASTER'!#REF!)-1))))*(INDEX('CONTROL MASTER'!$AC$2:$AC$495,(SUMPRODUCT((('CONTROL MASTER'!$S$2:$S$495=1)*('CONTROL MASTER'!$Z$2:$Z$495&lt;=9)*('CONTROL MASTER'!$AB$2:$AB$495&gt;=9)*('CONTROL MASTER'!$AA$2:$AA$495&lt;=6)*('CONTROL MASTER'!$AC$2:$AC$495&gt;=6))*ROW('CONTROL MASTER'!$S$2:$S$495))-(ROW('CONTROL MASTER'!#REF!)-1)))-INDEX('CONTROL MASTER'!$AA$2:$AA$495,(SUMPRODUCT((('CONTROL MASTER'!$S$2:$S$495=1)*('CONTROL MASTER'!$Z$2:$Z$495&lt;=9)*('CONTROL MASTER'!$AB$2:$AB$495&gt;=9)*('CONTROL MASTER'!$AA$2:$AA$495&lt;=6)*('CONTROL MASTER'!$AC$2:$AC$495&gt;=6))*ROW('CONTROL MASTER'!$S$2:$S$495))-(ROW('CONTROL MASTER'!#REF!)-1)))+1)+(6-INDEX('CONTROL MASTER'!$AA$2:$AA$495,(SUMPRODUCT((('CONTROL MASTER'!$S$2:$S$495=1)*('CONTROL MASTER'!$Z$2:$Z$495&lt;=9)*('CONTROL MASTER'!$AB$2:$AB$495&gt;=9)*('CONTROL MASTER'!$AA$2:$AA$495&lt;=6)*('CONTROL MASTER'!$AC$2:$AC$495&gt;=6))*ROW('CONTROL MASTER'!$S$2:$S$495))-(ROW('CONTROL MASTER'!#REF!)-1))))+1)))-1)*50+1,50))&amp;"_"&amp;INDEX('CONTROL MASTER'!$P$2:$P$495,(SUMPRODUCT((('CONTROL MASTER'!$S$2:$S$495=1)*('CONTROL MASTER'!$Z$2:$Z$495&lt;=9)*('CONTROL MASTER'!$AB$2:$AB$495&gt;=9)*('CONTROL MASTER'!$AA$2:$AA$495&lt;=6)*('CONTROL MASTER'!$AC$2:$AC$495&gt;=6))*ROW('CONTROL MASTER'!$S$2:$S$495))-(ROW('CONTROL MASTER'!#REF!)-1))),"")),"")</f>
        <v/>
      </c>
      <c r="H11" s="10" t="str">
        <f>IFERROR(IF(SUMPRODUCT((('CONTROL MASTER'!$S$2:$S$495=1)*('CONTROL MASTER'!$T$2:$T$495&lt;=9)*('CONTROL MASTER'!$V$2:$V$495&gt;=9)*('CONTROL MASTER'!$U$2:$U$495&lt;=7)*('CONTROL MASTER'!$W$2:$W$495&gt;=7))*ROW('CONTROL MASTER'!$S$2:$S$495))&gt;0,INDEX('CONTROL MASTER'!$X$2:$X$495,(SUMPRODUCT((('CONTROL MASTER'!$S$2:$S$495=1)*('CONTROL MASTER'!$T$2:$T$495&lt;=9)*('CONTROL MASTER'!$V$2:$V$495&gt;=9)*('CONTROL MASTER'!$U$2:$U$495&lt;=7)*('CONTROL MASTER'!$W$2:$W$495&gt;=7))*ROW('CONTROL MASTER'!$S$2:$S$495))-(ROW('CONTROL MASTER'!#REF!)-1)))&amp;TRIM(MID(SUBSTITUTE(SUBSTITUTE(INDEX('CONTROL MASTER'!$N$2:$N$495,(SUMPRODUCT((('CONTROL MASTER'!$S$2:$S$495=1)*('CONTROL MASTER'!$T$2:$T$495&lt;=9)*('CONTROL MASTER'!$V$2:$V$495&gt;=9)*('CONTROL MASTER'!$U$2:$U$495&lt;=7)*('CONTROL MASTER'!$W$2:$W$495&gt;=7))*ROW('CONTROL MASTER'!$S$2:$S$495))-(ROW('CONTROL MASTER'!#REF!)-1))),":",","),",",REPT(" ",50)),((((9-INDEX('CONTROL MASTER'!$T$2:$T$495,(SUMPRODUCT((('CONTROL MASTER'!$S$2:$S$495=1)*('CONTROL MASTER'!$T$2:$T$495&lt;=9)*('CONTROL MASTER'!$V$2:$V$495&gt;=9)*('CONTROL MASTER'!$U$2:$U$495&lt;=7)*('CONTROL MASTER'!$W$2:$W$495&gt;=7))*ROW('CONTROL MASTER'!$S$2:$S$495))-(ROW('CONTROL MASTER'!#REF!)-1))))*(INDEX('CONTROL MASTER'!$W$2:$W$495,(SUMPRODUCT((('CONTROL MASTER'!$S$2:$S$495=1)*('CONTROL MASTER'!$T$2:$T$495&lt;=9)*('CONTROL MASTER'!$V$2:$V$495&gt;=9)*('CONTROL MASTER'!$U$2:$U$495&lt;=7)*('CONTROL MASTER'!$W$2:$W$495&gt;=7))*ROW('CONTROL MASTER'!$S$2:$S$495))-(ROW('CONTROL MASTER'!#REF!)-1)))-INDEX('CONTROL MASTER'!$U$2:$U$495,(SUMPRODUCT((('CONTROL MASTER'!$S$2:$S$495=1)*('CONTROL MASTER'!$T$2:$T$495&lt;=9)*('CONTROL MASTER'!$V$2:$V$495&gt;=9)*('CONTROL MASTER'!$U$2:$U$495&lt;=7)*('CONTROL MASTER'!$W$2:$W$495&gt;=7))*ROW('CONTROL MASTER'!$S$2:$S$495))-(ROW('CONTROL MASTER'!#REF!)-1)))+1)+(7-INDEX('CONTROL MASTER'!$U$2:$U$495,(SUMPRODUCT((('CONTROL MASTER'!$S$2:$S$495=1)*('CONTROL MASTER'!$T$2:$T$495&lt;=9)*('CONTROL MASTER'!$V$2:$V$495&gt;=9)*('CONTROL MASTER'!$U$2:$U$495&lt;=7)*('CONTROL MASTER'!$W$2:$W$495&gt;=7))*ROW('CONTROL MASTER'!$S$2:$S$495))-(ROW('CONTROL MASTER'!#REF!)-1))))+1))-1)*50+1,50))&amp;"_"&amp;INDEX('CONTROL MASTER'!$P$2:$P$495,(SUMPRODUCT((('CONTROL MASTER'!$S$2:$S$495=1)*('CONTROL MASTER'!$T$2:$T$495&lt;=9)*('CONTROL MASTER'!$V$2:$V$495&gt;=9)*('CONTROL MASTER'!$U$2:$U$495&lt;=7)*('CONTROL MASTER'!$W$2:$W$495&gt;=7))*ROW('CONTROL MASTER'!$S$2:$S$495))-(ROW('CONTROL MASTER'!#REF!)-1))),IF(SUMPRODUCT((('CONTROL MASTER'!$S$2:$S$495=1)*('CONTROL MASTER'!$Z$2:$Z$495&lt;=9)*('CONTROL MASTER'!$AB$2:$AB$495&gt;=9)*('CONTROL MASTER'!$AA$2:$AA$495&lt;=7)*('CONTROL MASTER'!$AC$2:$AC$495&gt;=7))*ROW('CONTROL MASTER'!$S$2:$S$495))&gt;0,INDEX('CONTROL MASTER'!$X$2:$X$495,(SUMPRODUCT((('CONTROL MASTER'!$S$2:$S$495=1)*('CONTROL MASTER'!$Z$2:$Z$495&lt;=9)*('CONTROL MASTER'!$AB$2:$AB$495&gt;=9)*('CONTROL MASTER'!$AA$2:$AA$495&lt;=7)*('CONTROL MASTER'!$AC$2:$AC$495&gt;=7))*ROW('CONTROL MASTER'!$S$2:$S$495))-(ROW('CONTROL MASTER'!#REF!)-1)))&amp;TRIM(MID(SUBSTITUTE(SUBSTITUTE(INDEX('CONTROL MASTER'!$N$2:$N$495,(SUMPRODUCT((('CONTROL MASTER'!$S$2:$S$495=1)*('CONTROL MASTER'!$Z$2:$Z$495&lt;=9)*('CONTROL MASTER'!$AB$2:$AB$495&gt;=9)*('CONTROL MASTER'!$AA$2:$AA$495&lt;=7)*('CONTROL MASTER'!$AC$2:$AC$495&gt;=7))*ROW('CONTROL MASTER'!$S$2:$S$495))-(ROW('CONTROL MASTER'!#REF!)-1))),":",","),",",REPT(" ",50)),(((INDEX('CONTROL MASTER'!$Y$2:$Y$495,(SUMPRODUCT((('CONTROL MASTER'!$S$2:$S$495=1)*('CONTROL MASTER'!$Z$2:$Z$495&lt;=9)*('CONTROL MASTER'!$AB$2:$AB$495&gt;=9)*('CONTROL MASTER'!$AA$2:$AA$495&lt;=7)*('CONTROL MASTER'!$AC$2:$AC$495&gt;=7))*ROW('CONTROL MASTER'!$S$2:$S$495))-(ROW('CONTROL MASTER'!#REF!)-1)))+((9-INDEX('CONTROL MASTER'!$Z$2:$Z$495,(SUMPRODUCT((('CONTROL MASTER'!$S$2:$S$495=1)*('CONTROL MASTER'!$Z$2:$Z$495&lt;=9)*('CONTROL MASTER'!$AB$2:$AB$495&gt;=9)*('CONTROL MASTER'!$AA$2:$AA$495&lt;=7)*('CONTROL MASTER'!$AC$2:$AC$495&gt;=7))*ROW('CONTROL MASTER'!$S$2:$S$495))-(ROW('CONTROL MASTER'!#REF!)-1))))*(INDEX('CONTROL MASTER'!$AC$2:$AC$495,(SUMPRODUCT((('CONTROL MASTER'!$S$2:$S$495=1)*('CONTROL MASTER'!$Z$2:$Z$495&lt;=9)*('CONTROL MASTER'!$AB$2:$AB$495&gt;=9)*('CONTROL MASTER'!$AA$2:$AA$495&lt;=7)*('CONTROL MASTER'!$AC$2:$AC$495&gt;=7))*ROW('CONTROL MASTER'!$S$2:$S$495))-(ROW('CONTROL MASTER'!#REF!)-1)))-INDEX('CONTROL MASTER'!$AA$2:$AA$495,(SUMPRODUCT((('CONTROL MASTER'!$S$2:$S$495=1)*('CONTROL MASTER'!$Z$2:$Z$495&lt;=9)*('CONTROL MASTER'!$AB$2:$AB$495&gt;=9)*('CONTROL MASTER'!$AA$2:$AA$495&lt;=7)*('CONTROL MASTER'!$AC$2:$AC$495&gt;=7))*ROW('CONTROL MASTER'!$S$2:$S$495))-(ROW('CONTROL MASTER'!#REF!)-1)))+1)+(7-INDEX('CONTROL MASTER'!$AA$2:$AA$495,(SUMPRODUCT((('CONTROL MASTER'!$S$2:$S$495=1)*('CONTROL MASTER'!$Z$2:$Z$495&lt;=9)*('CONTROL MASTER'!$AB$2:$AB$495&gt;=9)*('CONTROL MASTER'!$AA$2:$AA$495&lt;=7)*('CONTROL MASTER'!$AC$2:$AC$495&gt;=7))*ROW('CONTROL MASTER'!$S$2:$S$495))-(ROW('CONTROL MASTER'!#REF!)-1))))+1)))-1)*50+1,50))&amp;"_"&amp;INDEX('CONTROL MASTER'!$P$2:$P$495,(SUMPRODUCT((('CONTROL MASTER'!$S$2:$S$495=1)*('CONTROL MASTER'!$Z$2:$Z$495&lt;=9)*('CONTROL MASTER'!$AB$2:$AB$495&gt;=9)*('CONTROL MASTER'!$AA$2:$AA$495&lt;=7)*('CONTROL MASTER'!$AC$2:$AC$495&gt;=7))*ROW('CONTROL MASTER'!$S$2:$S$495))-(ROW('CONTROL MASTER'!#REF!)-1))),"")),"")</f>
        <v/>
      </c>
      <c r="I11" s="10" t="str">
        <f>IFERROR(IF(SUMPRODUCT((('CONTROL MASTER'!$S$2:$S$495=1)*('CONTROL MASTER'!$T$2:$T$495&lt;=9)*('CONTROL MASTER'!$V$2:$V$495&gt;=9)*('CONTROL MASTER'!$U$2:$U$495&lt;=8)*('CONTROL MASTER'!$W$2:$W$495&gt;=8))*ROW('CONTROL MASTER'!$S$2:$S$495))&gt;0,INDEX('CONTROL MASTER'!$X$2:$X$495,(SUMPRODUCT((('CONTROL MASTER'!$S$2:$S$495=1)*('CONTROL MASTER'!$T$2:$T$495&lt;=9)*('CONTROL MASTER'!$V$2:$V$495&gt;=9)*('CONTROL MASTER'!$U$2:$U$495&lt;=8)*('CONTROL MASTER'!$W$2:$W$495&gt;=8))*ROW('CONTROL MASTER'!$S$2:$S$495))-(ROW('CONTROL MASTER'!#REF!)-1)))&amp;TRIM(MID(SUBSTITUTE(SUBSTITUTE(INDEX('CONTROL MASTER'!$N$2:$N$495,(SUMPRODUCT((('CONTROL MASTER'!$S$2:$S$495=1)*('CONTROL MASTER'!$T$2:$T$495&lt;=9)*('CONTROL MASTER'!$V$2:$V$495&gt;=9)*('CONTROL MASTER'!$U$2:$U$495&lt;=8)*('CONTROL MASTER'!$W$2:$W$495&gt;=8))*ROW('CONTROL MASTER'!$S$2:$S$495))-(ROW('CONTROL MASTER'!#REF!)-1))),":",","),",",REPT(" ",50)),((((9-INDEX('CONTROL MASTER'!$T$2:$T$495,(SUMPRODUCT((('CONTROL MASTER'!$S$2:$S$495=1)*('CONTROL MASTER'!$T$2:$T$495&lt;=9)*('CONTROL MASTER'!$V$2:$V$495&gt;=9)*('CONTROL MASTER'!$U$2:$U$495&lt;=8)*('CONTROL MASTER'!$W$2:$W$495&gt;=8))*ROW('CONTROL MASTER'!$S$2:$S$495))-(ROW('CONTROL MASTER'!#REF!)-1))))*(INDEX('CONTROL MASTER'!$W$2:$W$495,(SUMPRODUCT((('CONTROL MASTER'!$S$2:$S$495=1)*('CONTROL MASTER'!$T$2:$T$495&lt;=9)*('CONTROL MASTER'!$V$2:$V$495&gt;=9)*('CONTROL MASTER'!$U$2:$U$495&lt;=8)*('CONTROL MASTER'!$W$2:$W$495&gt;=8))*ROW('CONTROL MASTER'!$S$2:$S$495))-(ROW('CONTROL MASTER'!#REF!)-1)))-INDEX('CONTROL MASTER'!$U$2:$U$495,(SUMPRODUCT((('CONTROL MASTER'!$S$2:$S$495=1)*('CONTROL MASTER'!$T$2:$T$495&lt;=9)*('CONTROL MASTER'!$V$2:$V$495&gt;=9)*('CONTROL MASTER'!$U$2:$U$495&lt;=8)*('CONTROL MASTER'!$W$2:$W$495&gt;=8))*ROW('CONTROL MASTER'!$S$2:$S$495))-(ROW('CONTROL MASTER'!#REF!)-1)))+1)+(8-INDEX('CONTROL MASTER'!$U$2:$U$495,(SUMPRODUCT((('CONTROL MASTER'!$S$2:$S$495=1)*('CONTROL MASTER'!$T$2:$T$495&lt;=9)*('CONTROL MASTER'!$V$2:$V$495&gt;=9)*('CONTROL MASTER'!$U$2:$U$495&lt;=8)*('CONTROL MASTER'!$W$2:$W$495&gt;=8))*ROW('CONTROL MASTER'!$S$2:$S$495))-(ROW('CONTROL MASTER'!#REF!)-1))))+1))-1)*50+1,50))&amp;"_"&amp;INDEX('CONTROL MASTER'!$P$2:$P$495,(SUMPRODUCT((('CONTROL MASTER'!$S$2:$S$495=1)*('CONTROL MASTER'!$T$2:$T$495&lt;=9)*('CONTROL MASTER'!$V$2:$V$495&gt;=9)*('CONTROL MASTER'!$U$2:$U$495&lt;=8)*('CONTROL MASTER'!$W$2:$W$495&gt;=8))*ROW('CONTROL MASTER'!$S$2:$S$495))-(ROW('CONTROL MASTER'!#REF!)-1))),IF(SUMPRODUCT((('CONTROL MASTER'!$S$2:$S$495=1)*('CONTROL MASTER'!$Z$2:$Z$495&lt;=9)*('CONTROL MASTER'!$AB$2:$AB$495&gt;=9)*('CONTROL MASTER'!$AA$2:$AA$495&lt;=8)*('CONTROL MASTER'!$AC$2:$AC$495&gt;=8))*ROW('CONTROL MASTER'!$S$2:$S$495))&gt;0,INDEX('CONTROL MASTER'!$X$2:$X$495,(SUMPRODUCT((('CONTROL MASTER'!$S$2:$S$495=1)*('CONTROL MASTER'!$Z$2:$Z$495&lt;=9)*('CONTROL MASTER'!$AB$2:$AB$495&gt;=9)*('CONTROL MASTER'!$AA$2:$AA$495&lt;=8)*('CONTROL MASTER'!$AC$2:$AC$495&gt;=8))*ROW('CONTROL MASTER'!$S$2:$S$495))-(ROW('CONTROL MASTER'!#REF!)-1)))&amp;TRIM(MID(SUBSTITUTE(SUBSTITUTE(INDEX('CONTROL MASTER'!$N$2:$N$495,(SUMPRODUCT((('CONTROL MASTER'!$S$2:$S$495=1)*('CONTROL MASTER'!$Z$2:$Z$495&lt;=9)*('CONTROL MASTER'!$AB$2:$AB$495&gt;=9)*('CONTROL MASTER'!$AA$2:$AA$495&lt;=8)*('CONTROL MASTER'!$AC$2:$AC$495&gt;=8))*ROW('CONTROL MASTER'!$S$2:$S$495))-(ROW('CONTROL MASTER'!#REF!)-1))),":",","),",",REPT(" ",50)),(((INDEX('CONTROL MASTER'!$Y$2:$Y$495,(SUMPRODUCT((('CONTROL MASTER'!$S$2:$S$495=1)*('CONTROL MASTER'!$Z$2:$Z$495&lt;=9)*('CONTROL MASTER'!$AB$2:$AB$495&gt;=9)*('CONTROL MASTER'!$AA$2:$AA$495&lt;=8)*('CONTROL MASTER'!$AC$2:$AC$495&gt;=8))*ROW('CONTROL MASTER'!$S$2:$S$495))-(ROW('CONTROL MASTER'!#REF!)-1)))+((9-INDEX('CONTROL MASTER'!$Z$2:$Z$495,(SUMPRODUCT((('CONTROL MASTER'!$S$2:$S$495=1)*('CONTROL MASTER'!$Z$2:$Z$495&lt;=9)*('CONTROL MASTER'!$AB$2:$AB$495&gt;=9)*('CONTROL MASTER'!$AA$2:$AA$495&lt;=8)*('CONTROL MASTER'!$AC$2:$AC$495&gt;=8))*ROW('CONTROL MASTER'!$S$2:$S$495))-(ROW('CONTROL MASTER'!#REF!)-1))))*(INDEX('CONTROL MASTER'!$AC$2:$AC$495,(SUMPRODUCT((('CONTROL MASTER'!$S$2:$S$495=1)*('CONTROL MASTER'!$Z$2:$Z$495&lt;=9)*('CONTROL MASTER'!$AB$2:$AB$495&gt;=9)*('CONTROL MASTER'!$AA$2:$AA$495&lt;=8)*('CONTROL MASTER'!$AC$2:$AC$495&gt;=8))*ROW('CONTROL MASTER'!$S$2:$S$495))-(ROW('CONTROL MASTER'!#REF!)-1)))-INDEX('CONTROL MASTER'!$AA$2:$AA$495,(SUMPRODUCT((('CONTROL MASTER'!$S$2:$S$495=1)*('CONTROL MASTER'!$Z$2:$Z$495&lt;=9)*('CONTROL MASTER'!$AB$2:$AB$495&gt;=9)*('CONTROL MASTER'!$AA$2:$AA$495&lt;=8)*('CONTROL MASTER'!$AC$2:$AC$495&gt;=8))*ROW('CONTROL MASTER'!$S$2:$S$495))-(ROW('CONTROL MASTER'!#REF!)-1)))+1)+(8-INDEX('CONTROL MASTER'!$AA$2:$AA$495,(SUMPRODUCT((('CONTROL MASTER'!$S$2:$S$495=1)*('CONTROL MASTER'!$Z$2:$Z$495&lt;=9)*('CONTROL MASTER'!$AB$2:$AB$495&gt;=9)*('CONTROL MASTER'!$AA$2:$AA$495&lt;=8)*('CONTROL MASTER'!$AC$2:$AC$495&gt;=8))*ROW('CONTROL MASTER'!$S$2:$S$495))-(ROW('CONTROL MASTER'!#REF!)-1))))+1)))-1)*50+1,50))&amp;"_"&amp;INDEX('CONTROL MASTER'!$P$2:$P$495,(SUMPRODUCT((('CONTROL MASTER'!$S$2:$S$495=1)*('CONTROL MASTER'!$Z$2:$Z$495&lt;=9)*('CONTROL MASTER'!$AB$2:$AB$495&gt;=9)*('CONTROL MASTER'!$AA$2:$AA$495&lt;=8)*('CONTROL MASTER'!$AC$2:$AC$495&gt;=8))*ROW('CONTROL MASTER'!$S$2:$S$495))-(ROW('CONTROL MASTER'!#REF!)-1))),"")),"")</f>
        <v/>
      </c>
      <c r="J11" s="10" t="str">
        <f>IFERROR(IF(SUMPRODUCT((('CONTROL MASTER'!$S$2:$S$495=1)*('CONTROL MASTER'!$T$2:$T$495&lt;=9)*('CONTROL MASTER'!$V$2:$V$495&gt;=9)*('CONTROL MASTER'!$U$2:$U$495&lt;=9)*('CONTROL MASTER'!$W$2:$W$495&gt;=9))*ROW('CONTROL MASTER'!$S$2:$S$495))&gt;0,INDEX('CONTROL MASTER'!$X$2:$X$495,(SUMPRODUCT((('CONTROL MASTER'!$S$2:$S$495=1)*('CONTROL MASTER'!$T$2:$T$495&lt;=9)*('CONTROL MASTER'!$V$2:$V$495&gt;=9)*('CONTROL MASTER'!$U$2:$U$495&lt;=9)*('CONTROL MASTER'!$W$2:$W$495&gt;=9))*ROW('CONTROL MASTER'!$S$2:$S$495))-(ROW('CONTROL MASTER'!#REF!)-1)))&amp;TRIM(MID(SUBSTITUTE(SUBSTITUTE(INDEX('CONTROL MASTER'!$N$2:$N$495,(SUMPRODUCT((('CONTROL MASTER'!$S$2:$S$495=1)*('CONTROL MASTER'!$T$2:$T$495&lt;=9)*('CONTROL MASTER'!$V$2:$V$495&gt;=9)*('CONTROL MASTER'!$U$2:$U$495&lt;=9)*('CONTROL MASTER'!$W$2:$W$495&gt;=9))*ROW('CONTROL MASTER'!$S$2:$S$495))-(ROW('CONTROL MASTER'!#REF!)-1))),":",","),",",REPT(" ",50)),((((9-INDEX('CONTROL MASTER'!$T$2:$T$495,(SUMPRODUCT((('CONTROL MASTER'!$S$2:$S$495=1)*('CONTROL MASTER'!$T$2:$T$495&lt;=9)*('CONTROL MASTER'!$V$2:$V$495&gt;=9)*('CONTROL MASTER'!$U$2:$U$495&lt;=9)*('CONTROL MASTER'!$W$2:$W$495&gt;=9))*ROW('CONTROL MASTER'!$S$2:$S$495))-(ROW('CONTROL MASTER'!#REF!)-1))))*(INDEX('CONTROL MASTER'!$W$2:$W$495,(SUMPRODUCT((('CONTROL MASTER'!$S$2:$S$495=1)*('CONTROL MASTER'!$T$2:$T$495&lt;=9)*('CONTROL MASTER'!$V$2:$V$495&gt;=9)*('CONTROL MASTER'!$U$2:$U$495&lt;=9)*('CONTROL MASTER'!$W$2:$W$495&gt;=9))*ROW('CONTROL MASTER'!$S$2:$S$495))-(ROW('CONTROL MASTER'!#REF!)-1)))-INDEX('CONTROL MASTER'!$U$2:$U$495,(SUMPRODUCT((('CONTROL MASTER'!$S$2:$S$495=1)*('CONTROL MASTER'!$T$2:$T$495&lt;=9)*('CONTROL MASTER'!$V$2:$V$495&gt;=9)*('CONTROL MASTER'!$U$2:$U$495&lt;=9)*('CONTROL MASTER'!$W$2:$W$495&gt;=9))*ROW('CONTROL MASTER'!$S$2:$S$495))-(ROW('CONTROL MASTER'!#REF!)-1)))+1)+(9-INDEX('CONTROL MASTER'!$U$2:$U$495,(SUMPRODUCT((('CONTROL MASTER'!$S$2:$S$495=1)*('CONTROL MASTER'!$T$2:$T$495&lt;=9)*('CONTROL MASTER'!$V$2:$V$495&gt;=9)*('CONTROL MASTER'!$U$2:$U$495&lt;=9)*('CONTROL MASTER'!$W$2:$W$495&gt;=9))*ROW('CONTROL MASTER'!$S$2:$S$495))-(ROW('CONTROL MASTER'!#REF!)-1))))+1))-1)*50+1,50))&amp;"_"&amp;INDEX('CONTROL MASTER'!$P$2:$P$495,(SUMPRODUCT((('CONTROL MASTER'!$S$2:$S$495=1)*('CONTROL MASTER'!$T$2:$T$495&lt;=9)*('CONTROL MASTER'!$V$2:$V$495&gt;=9)*('CONTROL MASTER'!$U$2:$U$495&lt;=9)*('CONTROL MASTER'!$W$2:$W$495&gt;=9))*ROW('CONTROL MASTER'!$S$2:$S$495))-(ROW('CONTROL MASTER'!#REF!)-1))),IF(SUMPRODUCT((('CONTROL MASTER'!$S$2:$S$495=1)*('CONTROL MASTER'!$Z$2:$Z$495&lt;=9)*('CONTROL MASTER'!$AB$2:$AB$495&gt;=9)*('CONTROL MASTER'!$AA$2:$AA$495&lt;=9)*('CONTROL MASTER'!$AC$2:$AC$495&gt;=9))*ROW('CONTROL MASTER'!$S$2:$S$495))&gt;0,INDEX('CONTROL MASTER'!$X$2:$X$495,(SUMPRODUCT((('CONTROL MASTER'!$S$2:$S$495=1)*('CONTROL MASTER'!$Z$2:$Z$495&lt;=9)*('CONTROL MASTER'!$AB$2:$AB$495&gt;=9)*('CONTROL MASTER'!$AA$2:$AA$495&lt;=9)*('CONTROL MASTER'!$AC$2:$AC$495&gt;=9))*ROW('CONTROL MASTER'!$S$2:$S$495))-(ROW('CONTROL MASTER'!#REF!)-1)))&amp;TRIM(MID(SUBSTITUTE(SUBSTITUTE(INDEX('CONTROL MASTER'!$N$2:$N$495,(SUMPRODUCT((('CONTROL MASTER'!$S$2:$S$495=1)*('CONTROL MASTER'!$Z$2:$Z$495&lt;=9)*('CONTROL MASTER'!$AB$2:$AB$495&gt;=9)*('CONTROL MASTER'!$AA$2:$AA$495&lt;=9)*('CONTROL MASTER'!$AC$2:$AC$495&gt;=9))*ROW('CONTROL MASTER'!$S$2:$S$495))-(ROW('CONTROL MASTER'!#REF!)-1))),":",","),",",REPT(" ",50)),(((INDEX('CONTROL MASTER'!$Y$2:$Y$495,(SUMPRODUCT((('CONTROL MASTER'!$S$2:$S$495=1)*('CONTROL MASTER'!$Z$2:$Z$495&lt;=9)*('CONTROL MASTER'!$AB$2:$AB$495&gt;=9)*('CONTROL MASTER'!$AA$2:$AA$495&lt;=9)*('CONTROL MASTER'!$AC$2:$AC$495&gt;=9))*ROW('CONTROL MASTER'!$S$2:$S$495))-(ROW('CONTROL MASTER'!#REF!)-1)))+((9-INDEX('CONTROL MASTER'!$Z$2:$Z$495,(SUMPRODUCT((('CONTROL MASTER'!$S$2:$S$495=1)*('CONTROL MASTER'!$Z$2:$Z$495&lt;=9)*('CONTROL MASTER'!$AB$2:$AB$495&gt;=9)*('CONTROL MASTER'!$AA$2:$AA$495&lt;=9)*('CONTROL MASTER'!$AC$2:$AC$495&gt;=9))*ROW('CONTROL MASTER'!$S$2:$S$495))-(ROW('CONTROL MASTER'!#REF!)-1))))*(INDEX('CONTROL MASTER'!$AC$2:$AC$495,(SUMPRODUCT((('CONTROL MASTER'!$S$2:$S$495=1)*('CONTROL MASTER'!$Z$2:$Z$495&lt;=9)*('CONTROL MASTER'!$AB$2:$AB$495&gt;=9)*('CONTROL MASTER'!$AA$2:$AA$495&lt;=9)*('CONTROL MASTER'!$AC$2:$AC$495&gt;=9))*ROW('CONTROL MASTER'!$S$2:$S$495))-(ROW('CONTROL MASTER'!#REF!)-1)))-INDEX('CONTROL MASTER'!$AA$2:$AA$495,(SUMPRODUCT((('CONTROL MASTER'!$S$2:$S$495=1)*('CONTROL MASTER'!$Z$2:$Z$495&lt;=9)*('CONTROL MASTER'!$AB$2:$AB$495&gt;=9)*('CONTROL MASTER'!$AA$2:$AA$495&lt;=9)*('CONTROL MASTER'!$AC$2:$AC$495&gt;=9))*ROW('CONTROL MASTER'!$S$2:$S$495))-(ROW('CONTROL MASTER'!#REF!)-1)))+1)+(9-INDEX('CONTROL MASTER'!$AA$2:$AA$495,(SUMPRODUCT((('CONTROL MASTER'!$S$2:$S$495=1)*('CONTROL MASTER'!$Z$2:$Z$495&lt;=9)*('CONTROL MASTER'!$AB$2:$AB$495&gt;=9)*('CONTROL MASTER'!$AA$2:$AA$495&lt;=9)*('CONTROL MASTER'!$AC$2:$AC$495&gt;=9))*ROW('CONTROL MASTER'!$S$2:$S$495))-(ROW('CONTROL MASTER'!#REF!)-1))))+1)))-1)*50+1,50))&amp;"_"&amp;INDEX('CONTROL MASTER'!$P$2:$P$495,(SUMPRODUCT((('CONTROL MASTER'!$S$2:$S$495=1)*('CONTROL MASTER'!$Z$2:$Z$495&lt;=9)*('CONTROL MASTER'!$AB$2:$AB$495&gt;=9)*('CONTROL MASTER'!$AA$2:$AA$495&lt;=9)*('CONTROL MASTER'!$AC$2:$AC$495&gt;=9))*ROW('CONTROL MASTER'!$S$2:$S$495))-(ROW('CONTROL MASTER'!#REF!)-1))),"")),"")</f>
        <v/>
      </c>
      <c r="K11" s="10" t="str">
        <f>IFERROR(IF(SUMPRODUCT((('CONTROL MASTER'!$S$2:$S$495=1)*('CONTROL MASTER'!$T$2:$T$495&lt;=9)*('CONTROL MASTER'!$V$2:$V$495&gt;=9)*('CONTROL MASTER'!$U$2:$U$495&lt;=10)*('CONTROL MASTER'!$W$2:$W$495&gt;=10))*ROW('CONTROL MASTER'!$S$2:$S$495))&gt;0,INDEX('CONTROL MASTER'!$X$2:$X$495,(SUMPRODUCT((('CONTROL MASTER'!$S$2:$S$495=1)*('CONTROL MASTER'!$T$2:$T$495&lt;=9)*('CONTROL MASTER'!$V$2:$V$495&gt;=9)*('CONTROL MASTER'!$U$2:$U$495&lt;=10)*('CONTROL MASTER'!$W$2:$W$495&gt;=10))*ROW('CONTROL MASTER'!$S$2:$S$495))-(ROW('CONTROL MASTER'!#REF!)-1)))&amp;TRIM(MID(SUBSTITUTE(SUBSTITUTE(INDEX('CONTROL MASTER'!$N$2:$N$495,(SUMPRODUCT((('CONTROL MASTER'!$S$2:$S$495=1)*('CONTROL MASTER'!$T$2:$T$495&lt;=9)*('CONTROL MASTER'!$V$2:$V$495&gt;=9)*('CONTROL MASTER'!$U$2:$U$495&lt;=10)*('CONTROL MASTER'!$W$2:$W$495&gt;=10))*ROW('CONTROL MASTER'!$S$2:$S$495))-(ROW('CONTROL MASTER'!#REF!)-1))),":",","),",",REPT(" ",50)),((((9-INDEX('CONTROL MASTER'!$T$2:$T$495,(SUMPRODUCT((('CONTROL MASTER'!$S$2:$S$495=1)*('CONTROL MASTER'!$T$2:$T$495&lt;=9)*('CONTROL MASTER'!$V$2:$V$495&gt;=9)*('CONTROL MASTER'!$U$2:$U$495&lt;=10)*('CONTROL MASTER'!$W$2:$W$495&gt;=10))*ROW('CONTROL MASTER'!$S$2:$S$495))-(ROW('CONTROL MASTER'!#REF!)-1))))*(INDEX('CONTROL MASTER'!$W$2:$W$495,(SUMPRODUCT((('CONTROL MASTER'!$S$2:$S$495=1)*('CONTROL MASTER'!$T$2:$T$495&lt;=9)*('CONTROL MASTER'!$V$2:$V$495&gt;=9)*('CONTROL MASTER'!$U$2:$U$495&lt;=10)*('CONTROL MASTER'!$W$2:$W$495&gt;=10))*ROW('CONTROL MASTER'!$S$2:$S$495))-(ROW('CONTROL MASTER'!#REF!)-1)))-INDEX('CONTROL MASTER'!$U$2:$U$495,(SUMPRODUCT((('CONTROL MASTER'!$S$2:$S$495=1)*('CONTROL MASTER'!$T$2:$T$495&lt;=9)*('CONTROL MASTER'!$V$2:$V$495&gt;=9)*('CONTROL MASTER'!$U$2:$U$495&lt;=10)*('CONTROL MASTER'!$W$2:$W$495&gt;=10))*ROW('CONTROL MASTER'!$S$2:$S$495))-(ROW('CONTROL MASTER'!#REF!)-1)))+1)+(10-INDEX('CONTROL MASTER'!$U$2:$U$495,(SUMPRODUCT((('CONTROL MASTER'!$S$2:$S$495=1)*('CONTROL MASTER'!$T$2:$T$495&lt;=9)*('CONTROL MASTER'!$V$2:$V$495&gt;=9)*('CONTROL MASTER'!$U$2:$U$495&lt;=10)*('CONTROL MASTER'!$W$2:$W$495&gt;=10))*ROW('CONTROL MASTER'!$S$2:$S$495))-(ROW('CONTROL MASTER'!#REF!)-1))))+1))-1)*50+1,50))&amp;"_"&amp;INDEX('CONTROL MASTER'!$P$2:$P$495,(SUMPRODUCT((('CONTROL MASTER'!$S$2:$S$495=1)*('CONTROL MASTER'!$T$2:$T$495&lt;=9)*('CONTROL MASTER'!$V$2:$V$495&gt;=9)*('CONTROL MASTER'!$U$2:$U$495&lt;=10)*('CONTROL MASTER'!$W$2:$W$495&gt;=10))*ROW('CONTROL MASTER'!$S$2:$S$495))-(ROW('CONTROL MASTER'!#REF!)-1))),IF(SUMPRODUCT((('CONTROL MASTER'!$S$2:$S$495=1)*('CONTROL MASTER'!$Z$2:$Z$495&lt;=9)*('CONTROL MASTER'!$AB$2:$AB$495&gt;=9)*('CONTROL MASTER'!$AA$2:$AA$495&lt;=10)*('CONTROL MASTER'!$AC$2:$AC$495&gt;=10))*ROW('CONTROL MASTER'!$S$2:$S$495))&gt;0,INDEX('CONTROL MASTER'!$X$2:$X$495,(SUMPRODUCT((('CONTROL MASTER'!$S$2:$S$495=1)*('CONTROL MASTER'!$Z$2:$Z$495&lt;=9)*('CONTROL MASTER'!$AB$2:$AB$495&gt;=9)*('CONTROL MASTER'!$AA$2:$AA$495&lt;=10)*('CONTROL MASTER'!$AC$2:$AC$495&gt;=10))*ROW('CONTROL MASTER'!$S$2:$S$495))-(ROW('CONTROL MASTER'!#REF!)-1)))&amp;TRIM(MID(SUBSTITUTE(SUBSTITUTE(INDEX('CONTROL MASTER'!$N$2:$N$495,(SUMPRODUCT((('CONTROL MASTER'!$S$2:$S$495=1)*('CONTROL MASTER'!$Z$2:$Z$495&lt;=9)*('CONTROL MASTER'!$AB$2:$AB$495&gt;=9)*('CONTROL MASTER'!$AA$2:$AA$495&lt;=10)*('CONTROL MASTER'!$AC$2:$AC$495&gt;=10))*ROW('CONTROL MASTER'!$S$2:$S$495))-(ROW('CONTROL MASTER'!#REF!)-1))),":",","),",",REPT(" ",50)),(((INDEX('CONTROL MASTER'!$Y$2:$Y$495,(SUMPRODUCT((('CONTROL MASTER'!$S$2:$S$495=1)*('CONTROL MASTER'!$Z$2:$Z$495&lt;=9)*('CONTROL MASTER'!$AB$2:$AB$495&gt;=9)*('CONTROL MASTER'!$AA$2:$AA$495&lt;=10)*('CONTROL MASTER'!$AC$2:$AC$495&gt;=10))*ROW('CONTROL MASTER'!$S$2:$S$495))-(ROW('CONTROL MASTER'!#REF!)-1)))+((9-INDEX('CONTROL MASTER'!$Z$2:$Z$495,(SUMPRODUCT((('CONTROL MASTER'!$S$2:$S$495=1)*('CONTROL MASTER'!$Z$2:$Z$495&lt;=9)*('CONTROL MASTER'!$AB$2:$AB$495&gt;=9)*('CONTROL MASTER'!$AA$2:$AA$495&lt;=10)*('CONTROL MASTER'!$AC$2:$AC$495&gt;=10))*ROW('CONTROL MASTER'!$S$2:$S$495))-(ROW('CONTROL MASTER'!#REF!)-1))))*(INDEX('CONTROL MASTER'!$AC$2:$AC$495,(SUMPRODUCT((('CONTROL MASTER'!$S$2:$S$495=1)*('CONTROL MASTER'!$Z$2:$Z$495&lt;=9)*('CONTROL MASTER'!$AB$2:$AB$495&gt;=9)*('CONTROL MASTER'!$AA$2:$AA$495&lt;=10)*('CONTROL MASTER'!$AC$2:$AC$495&gt;=10))*ROW('CONTROL MASTER'!$S$2:$S$495))-(ROW('CONTROL MASTER'!#REF!)-1)))-INDEX('CONTROL MASTER'!$AA$2:$AA$495,(SUMPRODUCT((('CONTROL MASTER'!$S$2:$S$495=1)*('CONTROL MASTER'!$Z$2:$Z$495&lt;=9)*('CONTROL MASTER'!$AB$2:$AB$495&gt;=9)*('CONTROL MASTER'!$AA$2:$AA$495&lt;=10)*('CONTROL MASTER'!$AC$2:$AC$495&gt;=10))*ROW('CONTROL MASTER'!$S$2:$S$495))-(ROW('CONTROL MASTER'!#REF!)-1)))+1)+(10-INDEX('CONTROL MASTER'!$AA$2:$AA$495,(SUMPRODUCT((('CONTROL MASTER'!$S$2:$S$495=1)*('CONTROL MASTER'!$Z$2:$Z$495&lt;=9)*('CONTROL MASTER'!$AB$2:$AB$495&gt;=9)*('CONTROL MASTER'!$AA$2:$AA$495&lt;=10)*('CONTROL MASTER'!$AC$2:$AC$495&gt;=10))*ROW('CONTROL MASTER'!$S$2:$S$495))-(ROW('CONTROL MASTER'!#REF!)-1))))+1)))-1)*50+1,50))&amp;"_"&amp;INDEX('CONTROL MASTER'!$P$2:$P$495,(SUMPRODUCT((('CONTROL MASTER'!$S$2:$S$495=1)*('CONTROL MASTER'!$Z$2:$Z$495&lt;=9)*('CONTROL MASTER'!$AB$2:$AB$495&gt;=9)*('CONTROL MASTER'!$AA$2:$AA$495&lt;=10)*('CONTROL MASTER'!$AC$2:$AC$495&gt;=10))*ROW('CONTROL MASTER'!$S$2:$S$495))-(ROW('CONTROL MASTER'!#REF!)-1))),"")),"")</f>
        <v/>
      </c>
    </row>
    <row r="12" spans="1:11" ht="15" customHeight="1" x14ac:dyDescent="0.35">
      <c r="A12" s="8" t="s">
        <v>82</v>
      </c>
      <c r="B12" s="10" t="str">
        <f>IFERROR(IF(SUMPRODUCT((('CONTROL MASTER'!$S$2:$S$495=1)*('CONTROL MASTER'!$T$2:$T$495&lt;=10)*('CONTROL MASTER'!$V$2:$V$495&gt;=10)*('CONTROL MASTER'!$U$2:$U$495&lt;=1)*('CONTROL MASTER'!$W$2:$W$495&gt;=1))*ROW('CONTROL MASTER'!$S$2:$S$495))&gt;0,INDEX('CONTROL MASTER'!$X$2:$X$495,(SUMPRODUCT((('CONTROL MASTER'!$S$2:$S$495=1)*('CONTROL MASTER'!$T$2:$T$495&lt;=10)*('CONTROL MASTER'!$V$2:$V$495&gt;=10)*('CONTROL MASTER'!$U$2:$U$495&lt;=1)*('CONTROL MASTER'!$W$2:$W$495&gt;=1))*ROW('CONTROL MASTER'!$S$2:$S$495))-(ROW('CONTROL MASTER'!#REF!)-1)))&amp;TRIM(MID(SUBSTITUTE(SUBSTITUTE(INDEX('CONTROL MASTER'!$N$2:$N$495,(SUMPRODUCT((('CONTROL MASTER'!$S$2:$S$495=1)*('CONTROL MASTER'!$T$2:$T$495&lt;=10)*('CONTROL MASTER'!$V$2:$V$495&gt;=10)*('CONTROL MASTER'!$U$2:$U$495&lt;=1)*('CONTROL MASTER'!$W$2:$W$495&gt;=1))*ROW('CONTROL MASTER'!$S$2:$S$495))-(ROW('CONTROL MASTER'!#REF!)-1))),":",","),",",REPT(" ",50)),((((10-INDEX('CONTROL MASTER'!$T$2:$T$495,(SUMPRODUCT((('CONTROL MASTER'!$S$2:$S$495=1)*('CONTROL MASTER'!$T$2:$T$495&lt;=10)*('CONTROL MASTER'!$V$2:$V$495&gt;=10)*('CONTROL MASTER'!$U$2:$U$495&lt;=1)*('CONTROL MASTER'!$W$2:$W$495&gt;=1))*ROW('CONTROL MASTER'!$S$2:$S$495))-(ROW('CONTROL MASTER'!#REF!)-1))))*(INDEX('CONTROL MASTER'!$W$2:$W$495,(SUMPRODUCT((('CONTROL MASTER'!$S$2:$S$495=1)*('CONTROL MASTER'!$T$2:$T$495&lt;=10)*('CONTROL MASTER'!$V$2:$V$495&gt;=10)*('CONTROL MASTER'!$U$2:$U$495&lt;=1)*('CONTROL MASTER'!$W$2:$W$495&gt;=1))*ROW('CONTROL MASTER'!$S$2:$S$495))-(ROW('CONTROL MASTER'!#REF!)-1)))-INDEX('CONTROL MASTER'!$U$2:$U$495,(SUMPRODUCT((('CONTROL MASTER'!$S$2:$S$495=1)*('CONTROL MASTER'!$T$2:$T$495&lt;=10)*('CONTROL MASTER'!$V$2:$V$495&gt;=10)*('CONTROL MASTER'!$U$2:$U$495&lt;=1)*('CONTROL MASTER'!$W$2:$W$495&gt;=1))*ROW('CONTROL MASTER'!$S$2:$S$495))-(ROW('CONTROL MASTER'!#REF!)-1)))+1)+(1-INDEX('CONTROL MASTER'!$U$2:$U$495,(SUMPRODUCT((('CONTROL MASTER'!$S$2:$S$495=1)*('CONTROL MASTER'!$T$2:$T$495&lt;=10)*('CONTROL MASTER'!$V$2:$V$495&gt;=10)*('CONTROL MASTER'!$U$2:$U$495&lt;=1)*('CONTROL MASTER'!$W$2:$W$495&gt;=1))*ROW('CONTROL MASTER'!$S$2:$S$495))-(ROW('CONTROL MASTER'!#REF!)-1))))+1))-1)*50+1,50))&amp;"_"&amp;INDEX('CONTROL MASTER'!$P$2:$P$495,(SUMPRODUCT((('CONTROL MASTER'!$S$2:$S$495=1)*('CONTROL MASTER'!$T$2:$T$495&lt;=10)*('CONTROL MASTER'!$V$2:$V$495&gt;=10)*('CONTROL MASTER'!$U$2:$U$495&lt;=1)*('CONTROL MASTER'!$W$2:$W$495&gt;=1))*ROW('CONTROL MASTER'!$S$2:$S$495))-(ROW('CONTROL MASTER'!#REF!)-1))),IF(SUMPRODUCT((('CONTROL MASTER'!$S$2:$S$495=1)*('CONTROL MASTER'!$Z$2:$Z$495&lt;=10)*('CONTROL MASTER'!$AB$2:$AB$495&gt;=10)*('CONTROL MASTER'!$AA$2:$AA$495&lt;=1)*('CONTROL MASTER'!$AC$2:$AC$495&gt;=1))*ROW('CONTROL MASTER'!$S$2:$S$495))&gt;0,INDEX('CONTROL MASTER'!$X$2:$X$495,(SUMPRODUCT((('CONTROL MASTER'!$S$2:$S$495=1)*('CONTROL MASTER'!$Z$2:$Z$495&lt;=10)*('CONTROL MASTER'!$AB$2:$AB$495&gt;=10)*('CONTROL MASTER'!$AA$2:$AA$495&lt;=1)*('CONTROL MASTER'!$AC$2:$AC$495&gt;=1))*ROW('CONTROL MASTER'!$S$2:$S$495))-(ROW('CONTROL MASTER'!#REF!)-1)))&amp;TRIM(MID(SUBSTITUTE(SUBSTITUTE(INDEX('CONTROL MASTER'!$N$2:$N$495,(SUMPRODUCT((('CONTROL MASTER'!$S$2:$S$495=1)*('CONTROL MASTER'!$Z$2:$Z$495&lt;=10)*('CONTROL MASTER'!$AB$2:$AB$495&gt;=10)*('CONTROL MASTER'!$AA$2:$AA$495&lt;=1)*('CONTROL MASTER'!$AC$2:$AC$495&gt;=1))*ROW('CONTROL MASTER'!$S$2:$S$495))-(ROW('CONTROL MASTER'!#REF!)-1))),":",","),",",REPT(" ",50)),(((INDEX('CONTROL MASTER'!$Y$2:$Y$495,(SUMPRODUCT((('CONTROL MASTER'!$S$2:$S$495=1)*('CONTROL MASTER'!$Z$2:$Z$495&lt;=10)*('CONTROL MASTER'!$AB$2:$AB$495&gt;=10)*('CONTROL MASTER'!$AA$2:$AA$495&lt;=1)*('CONTROL MASTER'!$AC$2:$AC$495&gt;=1))*ROW('CONTROL MASTER'!$S$2:$S$495))-(ROW('CONTROL MASTER'!#REF!)-1)))+((10-INDEX('CONTROL MASTER'!$Z$2:$Z$495,(SUMPRODUCT((('CONTROL MASTER'!$S$2:$S$495=1)*('CONTROL MASTER'!$Z$2:$Z$495&lt;=10)*('CONTROL MASTER'!$AB$2:$AB$495&gt;=10)*('CONTROL MASTER'!$AA$2:$AA$495&lt;=1)*('CONTROL MASTER'!$AC$2:$AC$495&gt;=1))*ROW('CONTROL MASTER'!$S$2:$S$495))-(ROW('CONTROL MASTER'!#REF!)-1))))*(INDEX('CONTROL MASTER'!$AC$2:$AC$495,(SUMPRODUCT((('CONTROL MASTER'!$S$2:$S$495=1)*('CONTROL MASTER'!$Z$2:$Z$495&lt;=10)*('CONTROL MASTER'!$AB$2:$AB$495&gt;=10)*('CONTROL MASTER'!$AA$2:$AA$495&lt;=1)*('CONTROL MASTER'!$AC$2:$AC$495&gt;=1))*ROW('CONTROL MASTER'!$S$2:$S$495))-(ROW('CONTROL MASTER'!#REF!)-1)))-INDEX('CONTROL MASTER'!$AA$2:$AA$495,(SUMPRODUCT((('CONTROL MASTER'!$S$2:$S$495=1)*('CONTROL MASTER'!$Z$2:$Z$495&lt;=10)*('CONTROL MASTER'!$AB$2:$AB$495&gt;=10)*('CONTROL MASTER'!$AA$2:$AA$495&lt;=1)*('CONTROL MASTER'!$AC$2:$AC$495&gt;=1))*ROW('CONTROL MASTER'!$S$2:$S$495))-(ROW('CONTROL MASTER'!#REF!)-1)))+1)+(1-INDEX('CONTROL MASTER'!$AA$2:$AA$495,(SUMPRODUCT((('CONTROL MASTER'!$S$2:$S$495=1)*('CONTROL MASTER'!$Z$2:$Z$495&lt;=10)*('CONTROL MASTER'!$AB$2:$AB$495&gt;=10)*('CONTROL MASTER'!$AA$2:$AA$495&lt;=1)*('CONTROL MASTER'!$AC$2:$AC$495&gt;=1))*ROW('CONTROL MASTER'!$S$2:$S$495))-(ROW('CONTROL MASTER'!#REF!)-1))))+1)))-1)*50+1,50))&amp;"_"&amp;INDEX('CONTROL MASTER'!$P$2:$P$495,(SUMPRODUCT((('CONTROL MASTER'!$S$2:$S$495=1)*('CONTROL MASTER'!$Z$2:$Z$495&lt;=10)*('CONTROL MASTER'!$AB$2:$AB$495&gt;=10)*('CONTROL MASTER'!$AA$2:$AA$495&lt;=1)*('CONTROL MASTER'!$AC$2:$AC$495&gt;=1))*ROW('CONTROL MASTER'!$S$2:$S$495))-(ROW('CONTROL MASTER'!#REF!)-1))),"")),"")</f>
        <v/>
      </c>
      <c r="C12" s="10" t="str">
        <f>IFERROR(IF(SUMPRODUCT((('CONTROL MASTER'!$S$2:$S$495=1)*('CONTROL MASTER'!$T$2:$T$495&lt;=10)*('CONTROL MASTER'!$V$2:$V$495&gt;=10)*('CONTROL MASTER'!$U$2:$U$495&lt;=2)*('CONTROL MASTER'!$W$2:$W$495&gt;=2))*ROW('CONTROL MASTER'!$S$2:$S$495))&gt;0,INDEX('CONTROL MASTER'!$X$2:$X$495,(SUMPRODUCT((('CONTROL MASTER'!$S$2:$S$495=1)*('CONTROL MASTER'!$T$2:$T$495&lt;=10)*('CONTROL MASTER'!$V$2:$V$495&gt;=10)*('CONTROL MASTER'!$U$2:$U$495&lt;=2)*('CONTROL MASTER'!$W$2:$W$495&gt;=2))*ROW('CONTROL MASTER'!$S$2:$S$495))-(ROW('CONTROL MASTER'!#REF!)-1)))&amp;TRIM(MID(SUBSTITUTE(SUBSTITUTE(INDEX('CONTROL MASTER'!$N$2:$N$495,(SUMPRODUCT((('CONTROL MASTER'!$S$2:$S$495=1)*('CONTROL MASTER'!$T$2:$T$495&lt;=10)*('CONTROL MASTER'!$V$2:$V$495&gt;=10)*('CONTROL MASTER'!$U$2:$U$495&lt;=2)*('CONTROL MASTER'!$W$2:$W$495&gt;=2))*ROW('CONTROL MASTER'!$S$2:$S$495))-(ROW('CONTROL MASTER'!#REF!)-1))),":",","),",",REPT(" ",50)),((((10-INDEX('CONTROL MASTER'!$T$2:$T$495,(SUMPRODUCT((('CONTROL MASTER'!$S$2:$S$495=1)*('CONTROL MASTER'!$T$2:$T$495&lt;=10)*('CONTROL MASTER'!$V$2:$V$495&gt;=10)*('CONTROL MASTER'!$U$2:$U$495&lt;=2)*('CONTROL MASTER'!$W$2:$W$495&gt;=2))*ROW('CONTROL MASTER'!$S$2:$S$495))-(ROW('CONTROL MASTER'!#REF!)-1))))*(INDEX('CONTROL MASTER'!$W$2:$W$495,(SUMPRODUCT((('CONTROL MASTER'!$S$2:$S$495=1)*('CONTROL MASTER'!$T$2:$T$495&lt;=10)*('CONTROL MASTER'!$V$2:$V$495&gt;=10)*('CONTROL MASTER'!$U$2:$U$495&lt;=2)*('CONTROL MASTER'!$W$2:$W$495&gt;=2))*ROW('CONTROL MASTER'!$S$2:$S$495))-(ROW('CONTROL MASTER'!#REF!)-1)))-INDEX('CONTROL MASTER'!$U$2:$U$495,(SUMPRODUCT((('CONTROL MASTER'!$S$2:$S$495=1)*('CONTROL MASTER'!$T$2:$T$495&lt;=10)*('CONTROL MASTER'!$V$2:$V$495&gt;=10)*('CONTROL MASTER'!$U$2:$U$495&lt;=2)*('CONTROL MASTER'!$W$2:$W$495&gt;=2))*ROW('CONTROL MASTER'!$S$2:$S$495))-(ROW('CONTROL MASTER'!#REF!)-1)))+1)+(2-INDEX('CONTROL MASTER'!$U$2:$U$495,(SUMPRODUCT((('CONTROL MASTER'!$S$2:$S$495=1)*('CONTROL MASTER'!$T$2:$T$495&lt;=10)*('CONTROL MASTER'!$V$2:$V$495&gt;=10)*('CONTROL MASTER'!$U$2:$U$495&lt;=2)*('CONTROL MASTER'!$W$2:$W$495&gt;=2))*ROW('CONTROL MASTER'!$S$2:$S$495))-(ROW('CONTROL MASTER'!#REF!)-1))))+1))-1)*50+1,50))&amp;"_"&amp;INDEX('CONTROL MASTER'!$P$2:$P$495,(SUMPRODUCT((('CONTROL MASTER'!$S$2:$S$495=1)*('CONTROL MASTER'!$T$2:$T$495&lt;=10)*('CONTROL MASTER'!$V$2:$V$495&gt;=10)*('CONTROL MASTER'!$U$2:$U$495&lt;=2)*('CONTROL MASTER'!$W$2:$W$495&gt;=2))*ROW('CONTROL MASTER'!$S$2:$S$495))-(ROW('CONTROL MASTER'!#REF!)-1))),IF(SUMPRODUCT((('CONTROL MASTER'!$S$2:$S$495=1)*('CONTROL MASTER'!$Z$2:$Z$495&lt;=10)*('CONTROL MASTER'!$AB$2:$AB$495&gt;=10)*('CONTROL MASTER'!$AA$2:$AA$495&lt;=2)*('CONTROL MASTER'!$AC$2:$AC$495&gt;=2))*ROW('CONTROL MASTER'!$S$2:$S$495))&gt;0,INDEX('CONTROL MASTER'!$X$2:$X$495,(SUMPRODUCT((('CONTROL MASTER'!$S$2:$S$495=1)*('CONTROL MASTER'!$Z$2:$Z$495&lt;=10)*('CONTROL MASTER'!$AB$2:$AB$495&gt;=10)*('CONTROL MASTER'!$AA$2:$AA$495&lt;=2)*('CONTROL MASTER'!$AC$2:$AC$495&gt;=2))*ROW('CONTROL MASTER'!$S$2:$S$495))-(ROW('CONTROL MASTER'!#REF!)-1)))&amp;TRIM(MID(SUBSTITUTE(SUBSTITUTE(INDEX('CONTROL MASTER'!$N$2:$N$495,(SUMPRODUCT((('CONTROL MASTER'!$S$2:$S$495=1)*('CONTROL MASTER'!$Z$2:$Z$495&lt;=10)*('CONTROL MASTER'!$AB$2:$AB$495&gt;=10)*('CONTROL MASTER'!$AA$2:$AA$495&lt;=2)*('CONTROL MASTER'!$AC$2:$AC$495&gt;=2))*ROW('CONTROL MASTER'!$S$2:$S$495))-(ROW('CONTROL MASTER'!#REF!)-1))),":",","),",",REPT(" ",50)),(((INDEX('CONTROL MASTER'!$Y$2:$Y$495,(SUMPRODUCT((('CONTROL MASTER'!$S$2:$S$495=1)*('CONTROL MASTER'!$Z$2:$Z$495&lt;=10)*('CONTROL MASTER'!$AB$2:$AB$495&gt;=10)*('CONTROL MASTER'!$AA$2:$AA$495&lt;=2)*('CONTROL MASTER'!$AC$2:$AC$495&gt;=2))*ROW('CONTROL MASTER'!$S$2:$S$495))-(ROW('CONTROL MASTER'!#REF!)-1)))+((10-INDEX('CONTROL MASTER'!$Z$2:$Z$495,(SUMPRODUCT((('CONTROL MASTER'!$S$2:$S$495=1)*('CONTROL MASTER'!$Z$2:$Z$495&lt;=10)*('CONTROL MASTER'!$AB$2:$AB$495&gt;=10)*('CONTROL MASTER'!$AA$2:$AA$495&lt;=2)*('CONTROL MASTER'!$AC$2:$AC$495&gt;=2))*ROW('CONTROL MASTER'!$S$2:$S$495))-(ROW('CONTROL MASTER'!#REF!)-1))))*(INDEX('CONTROL MASTER'!$AC$2:$AC$495,(SUMPRODUCT((('CONTROL MASTER'!$S$2:$S$495=1)*('CONTROL MASTER'!$Z$2:$Z$495&lt;=10)*('CONTROL MASTER'!$AB$2:$AB$495&gt;=10)*('CONTROL MASTER'!$AA$2:$AA$495&lt;=2)*('CONTROL MASTER'!$AC$2:$AC$495&gt;=2))*ROW('CONTROL MASTER'!$S$2:$S$495))-(ROW('CONTROL MASTER'!#REF!)-1)))-INDEX('CONTROL MASTER'!$AA$2:$AA$495,(SUMPRODUCT((('CONTROL MASTER'!$S$2:$S$495=1)*('CONTROL MASTER'!$Z$2:$Z$495&lt;=10)*('CONTROL MASTER'!$AB$2:$AB$495&gt;=10)*('CONTROL MASTER'!$AA$2:$AA$495&lt;=2)*('CONTROL MASTER'!$AC$2:$AC$495&gt;=2))*ROW('CONTROL MASTER'!$S$2:$S$495))-(ROW('CONTROL MASTER'!#REF!)-1)))+1)+(2-INDEX('CONTROL MASTER'!$AA$2:$AA$495,(SUMPRODUCT((('CONTROL MASTER'!$S$2:$S$495=1)*('CONTROL MASTER'!$Z$2:$Z$495&lt;=10)*('CONTROL MASTER'!$AB$2:$AB$495&gt;=10)*('CONTROL MASTER'!$AA$2:$AA$495&lt;=2)*('CONTROL MASTER'!$AC$2:$AC$495&gt;=2))*ROW('CONTROL MASTER'!$S$2:$S$495))-(ROW('CONTROL MASTER'!#REF!)-1))))+1)))-1)*50+1,50))&amp;"_"&amp;INDEX('CONTROL MASTER'!$P$2:$P$495,(SUMPRODUCT((('CONTROL MASTER'!$S$2:$S$495=1)*('CONTROL MASTER'!$Z$2:$Z$495&lt;=10)*('CONTROL MASTER'!$AB$2:$AB$495&gt;=10)*('CONTROL MASTER'!$AA$2:$AA$495&lt;=2)*('CONTROL MASTER'!$AC$2:$AC$495&gt;=2))*ROW('CONTROL MASTER'!$S$2:$S$495))-(ROW('CONTROL MASTER'!#REF!)-1))),"")),"")</f>
        <v/>
      </c>
      <c r="D12" s="10" t="str">
        <f>IFERROR(IF(SUMPRODUCT((('CONTROL MASTER'!$S$2:$S$495=1)*('CONTROL MASTER'!$T$2:$T$495&lt;=10)*('CONTROL MASTER'!$V$2:$V$495&gt;=10)*('CONTROL MASTER'!$U$2:$U$495&lt;=3)*('CONTROL MASTER'!$W$2:$W$495&gt;=3))*ROW('CONTROL MASTER'!$S$2:$S$495))&gt;0,INDEX('CONTROL MASTER'!$X$2:$X$495,(SUMPRODUCT((('CONTROL MASTER'!$S$2:$S$495=1)*('CONTROL MASTER'!$T$2:$T$495&lt;=10)*('CONTROL MASTER'!$V$2:$V$495&gt;=10)*('CONTROL MASTER'!$U$2:$U$495&lt;=3)*('CONTROL MASTER'!$W$2:$W$495&gt;=3))*ROW('CONTROL MASTER'!$S$2:$S$495))-(ROW('CONTROL MASTER'!#REF!)-1)))&amp;TRIM(MID(SUBSTITUTE(SUBSTITUTE(INDEX('CONTROL MASTER'!$N$2:$N$495,(SUMPRODUCT((('CONTROL MASTER'!$S$2:$S$495=1)*('CONTROL MASTER'!$T$2:$T$495&lt;=10)*('CONTROL MASTER'!$V$2:$V$495&gt;=10)*('CONTROL MASTER'!$U$2:$U$495&lt;=3)*('CONTROL MASTER'!$W$2:$W$495&gt;=3))*ROW('CONTROL MASTER'!$S$2:$S$495))-(ROW('CONTROL MASTER'!#REF!)-1))),":",","),",",REPT(" ",50)),((((10-INDEX('CONTROL MASTER'!$T$2:$T$495,(SUMPRODUCT((('CONTROL MASTER'!$S$2:$S$495=1)*('CONTROL MASTER'!$T$2:$T$495&lt;=10)*('CONTROL MASTER'!$V$2:$V$495&gt;=10)*('CONTROL MASTER'!$U$2:$U$495&lt;=3)*('CONTROL MASTER'!$W$2:$W$495&gt;=3))*ROW('CONTROL MASTER'!$S$2:$S$495))-(ROW('CONTROL MASTER'!#REF!)-1))))*(INDEX('CONTROL MASTER'!$W$2:$W$495,(SUMPRODUCT((('CONTROL MASTER'!$S$2:$S$495=1)*('CONTROL MASTER'!$T$2:$T$495&lt;=10)*('CONTROL MASTER'!$V$2:$V$495&gt;=10)*('CONTROL MASTER'!$U$2:$U$495&lt;=3)*('CONTROL MASTER'!$W$2:$W$495&gt;=3))*ROW('CONTROL MASTER'!$S$2:$S$495))-(ROW('CONTROL MASTER'!#REF!)-1)))-INDEX('CONTROL MASTER'!$U$2:$U$495,(SUMPRODUCT((('CONTROL MASTER'!$S$2:$S$495=1)*('CONTROL MASTER'!$T$2:$T$495&lt;=10)*('CONTROL MASTER'!$V$2:$V$495&gt;=10)*('CONTROL MASTER'!$U$2:$U$495&lt;=3)*('CONTROL MASTER'!$W$2:$W$495&gt;=3))*ROW('CONTROL MASTER'!$S$2:$S$495))-(ROW('CONTROL MASTER'!#REF!)-1)))+1)+(3-INDEX('CONTROL MASTER'!$U$2:$U$495,(SUMPRODUCT((('CONTROL MASTER'!$S$2:$S$495=1)*('CONTROL MASTER'!$T$2:$T$495&lt;=10)*('CONTROL MASTER'!$V$2:$V$495&gt;=10)*('CONTROL MASTER'!$U$2:$U$495&lt;=3)*('CONTROL MASTER'!$W$2:$W$495&gt;=3))*ROW('CONTROL MASTER'!$S$2:$S$495))-(ROW('CONTROL MASTER'!#REF!)-1))))+1))-1)*50+1,50))&amp;"_"&amp;INDEX('CONTROL MASTER'!$P$2:$P$495,(SUMPRODUCT((('CONTROL MASTER'!$S$2:$S$495=1)*('CONTROL MASTER'!$T$2:$T$495&lt;=10)*('CONTROL MASTER'!$V$2:$V$495&gt;=10)*('CONTROL MASTER'!$U$2:$U$495&lt;=3)*('CONTROL MASTER'!$W$2:$W$495&gt;=3))*ROW('CONTROL MASTER'!$S$2:$S$495))-(ROW('CONTROL MASTER'!#REF!)-1))),IF(SUMPRODUCT((('CONTROL MASTER'!$S$2:$S$495=1)*('CONTROL MASTER'!$Z$2:$Z$495&lt;=10)*('CONTROL MASTER'!$AB$2:$AB$495&gt;=10)*('CONTROL MASTER'!$AA$2:$AA$495&lt;=3)*('CONTROL MASTER'!$AC$2:$AC$495&gt;=3))*ROW('CONTROL MASTER'!$S$2:$S$495))&gt;0,INDEX('CONTROL MASTER'!$X$2:$X$495,(SUMPRODUCT((('CONTROL MASTER'!$S$2:$S$495=1)*('CONTROL MASTER'!$Z$2:$Z$495&lt;=10)*('CONTROL MASTER'!$AB$2:$AB$495&gt;=10)*('CONTROL MASTER'!$AA$2:$AA$495&lt;=3)*('CONTROL MASTER'!$AC$2:$AC$495&gt;=3))*ROW('CONTROL MASTER'!$S$2:$S$495))-(ROW('CONTROL MASTER'!#REF!)-1)))&amp;TRIM(MID(SUBSTITUTE(SUBSTITUTE(INDEX('CONTROL MASTER'!$N$2:$N$495,(SUMPRODUCT((('CONTROL MASTER'!$S$2:$S$495=1)*('CONTROL MASTER'!$Z$2:$Z$495&lt;=10)*('CONTROL MASTER'!$AB$2:$AB$495&gt;=10)*('CONTROL MASTER'!$AA$2:$AA$495&lt;=3)*('CONTROL MASTER'!$AC$2:$AC$495&gt;=3))*ROW('CONTROL MASTER'!$S$2:$S$495))-(ROW('CONTROL MASTER'!#REF!)-1))),":",","),",",REPT(" ",50)),(((INDEX('CONTROL MASTER'!$Y$2:$Y$495,(SUMPRODUCT((('CONTROL MASTER'!$S$2:$S$495=1)*('CONTROL MASTER'!$Z$2:$Z$495&lt;=10)*('CONTROL MASTER'!$AB$2:$AB$495&gt;=10)*('CONTROL MASTER'!$AA$2:$AA$495&lt;=3)*('CONTROL MASTER'!$AC$2:$AC$495&gt;=3))*ROW('CONTROL MASTER'!$S$2:$S$495))-(ROW('CONTROL MASTER'!#REF!)-1)))+((10-INDEX('CONTROL MASTER'!$Z$2:$Z$495,(SUMPRODUCT((('CONTROL MASTER'!$S$2:$S$495=1)*('CONTROL MASTER'!$Z$2:$Z$495&lt;=10)*('CONTROL MASTER'!$AB$2:$AB$495&gt;=10)*('CONTROL MASTER'!$AA$2:$AA$495&lt;=3)*('CONTROL MASTER'!$AC$2:$AC$495&gt;=3))*ROW('CONTROL MASTER'!$S$2:$S$495))-(ROW('CONTROL MASTER'!#REF!)-1))))*(INDEX('CONTROL MASTER'!$AC$2:$AC$495,(SUMPRODUCT((('CONTROL MASTER'!$S$2:$S$495=1)*('CONTROL MASTER'!$Z$2:$Z$495&lt;=10)*('CONTROL MASTER'!$AB$2:$AB$495&gt;=10)*('CONTROL MASTER'!$AA$2:$AA$495&lt;=3)*('CONTROL MASTER'!$AC$2:$AC$495&gt;=3))*ROW('CONTROL MASTER'!$S$2:$S$495))-(ROW('CONTROL MASTER'!#REF!)-1)))-INDEX('CONTROL MASTER'!$AA$2:$AA$495,(SUMPRODUCT((('CONTROL MASTER'!$S$2:$S$495=1)*('CONTROL MASTER'!$Z$2:$Z$495&lt;=10)*('CONTROL MASTER'!$AB$2:$AB$495&gt;=10)*('CONTROL MASTER'!$AA$2:$AA$495&lt;=3)*('CONTROL MASTER'!$AC$2:$AC$495&gt;=3))*ROW('CONTROL MASTER'!$S$2:$S$495))-(ROW('CONTROL MASTER'!#REF!)-1)))+1)+(3-INDEX('CONTROL MASTER'!$AA$2:$AA$495,(SUMPRODUCT((('CONTROL MASTER'!$S$2:$S$495=1)*('CONTROL MASTER'!$Z$2:$Z$495&lt;=10)*('CONTROL MASTER'!$AB$2:$AB$495&gt;=10)*('CONTROL MASTER'!$AA$2:$AA$495&lt;=3)*('CONTROL MASTER'!$AC$2:$AC$495&gt;=3))*ROW('CONTROL MASTER'!$S$2:$S$495))-(ROW('CONTROL MASTER'!#REF!)-1))))+1)))-1)*50+1,50))&amp;"_"&amp;INDEX('CONTROL MASTER'!$P$2:$P$495,(SUMPRODUCT((('CONTROL MASTER'!$S$2:$S$495=1)*('CONTROL MASTER'!$Z$2:$Z$495&lt;=10)*('CONTROL MASTER'!$AB$2:$AB$495&gt;=10)*('CONTROL MASTER'!$AA$2:$AA$495&lt;=3)*('CONTROL MASTER'!$AC$2:$AC$495&gt;=3))*ROW('CONTROL MASTER'!$S$2:$S$495))-(ROW('CONTROL MASTER'!#REF!)-1))),"")),"")</f>
        <v/>
      </c>
      <c r="E12" s="10" t="str">
        <f>IFERROR(IF(SUMPRODUCT((('CONTROL MASTER'!$S$2:$S$495=1)*('CONTROL MASTER'!$T$2:$T$495&lt;=10)*('CONTROL MASTER'!$V$2:$V$495&gt;=10)*('CONTROL MASTER'!$U$2:$U$495&lt;=4)*('CONTROL MASTER'!$W$2:$W$495&gt;=4))*ROW('CONTROL MASTER'!$S$2:$S$495))&gt;0,INDEX('CONTROL MASTER'!$X$2:$X$495,(SUMPRODUCT((('CONTROL MASTER'!$S$2:$S$495=1)*('CONTROL MASTER'!$T$2:$T$495&lt;=10)*('CONTROL MASTER'!$V$2:$V$495&gt;=10)*('CONTROL MASTER'!$U$2:$U$495&lt;=4)*('CONTROL MASTER'!$W$2:$W$495&gt;=4))*ROW('CONTROL MASTER'!$S$2:$S$495))-(ROW('CONTROL MASTER'!#REF!)-1)))&amp;TRIM(MID(SUBSTITUTE(SUBSTITUTE(INDEX('CONTROL MASTER'!$N$2:$N$495,(SUMPRODUCT((('CONTROL MASTER'!$S$2:$S$495=1)*('CONTROL MASTER'!$T$2:$T$495&lt;=10)*('CONTROL MASTER'!$V$2:$V$495&gt;=10)*('CONTROL MASTER'!$U$2:$U$495&lt;=4)*('CONTROL MASTER'!$W$2:$W$495&gt;=4))*ROW('CONTROL MASTER'!$S$2:$S$495))-(ROW('CONTROL MASTER'!#REF!)-1))),":",","),",",REPT(" ",50)),((((10-INDEX('CONTROL MASTER'!$T$2:$T$495,(SUMPRODUCT((('CONTROL MASTER'!$S$2:$S$495=1)*('CONTROL MASTER'!$T$2:$T$495&lt;=10)*('CONTROL MASTER'!$V$2:$V$495&gt;=10)*('CONTROL MASTER'!$U$2:$U$495&lt;=4)*('CONTROL MASTER'!$W$2:$W$495&gt;=4))*ROW('CONTROL MASTER'!$S$2:$S$495))-(ROW('CONTROL MASTER'!#REF!)-1))))*(INDEX('CONTROL MASTER'!$W$2:$W$495,(SUMPRODUCT((('CONTROL MASTER'!$S$2:$S$495=1)*('CONTROL MASTER'!$T$2:$T$495&lt;=10)*('CONTROL MASTER'!$V$2:$V$495&gt;=10)*('CONTROL MASTER'!$U$2:$U$495&lt;=4)*('CONTROL MASTER'!$W$2:$W$495&gt;=4))*ROW('CONTROL MASTER'!$S$2:$S$495))-(ROW('CONTROL MASTER'!#REF!)-1)))-INDEX('CONTROL MASTER'!$U$2:$U$495,(SUMPRODUCT((('CONTROL MASTER'!$S$2:$S$495=1)*('CONTROL MASTER'!$T$2:$T$495&lt;=10)*('CONTROL MASTER'!$V$2:$V$495&gt;=10)*('CONTROL MASTER'!$U$2:$U$495&lt;=4)*('CONTROL MASTER'!$W$2:$W$495&gt;=4))*ROW('CONTROL MASTER'!$S$2:$S$495))-(ROW('CONTROL MASTER'!#REF!)-1)))+1)+(4-INDEX('CONTROL MASTER'!$U$2:$U$495,(SUMPRODUCT((('CONTROL MASTER'!$S$2:$S$495=1)*('CONTROL MASTER'!$T$2:$T$495&lt;=10)*('CONTROL MASTER'!$V$2:$V$495&gt;=10)*('CONTROL MASTER'!$U$2:$U$495&lt;=4)*('CONTROL MASTER'!$W$2:$W$495&gt;=4))*ROW('CONTROL MASTER'!$S$2:$S$495))-(ROW('CONTROL MASTER'!#REF!)-1))))+1))-1)*50+1,50))&amp;"_"&amp;INDEX('CONTROL MASTER'!$P$2:$P$495,(SUMPRODUCT((('CONTROL MASTER'!$S$2:$S$495=1)*('CONTROL MASTER'!$T$2:$T$495&lt;=10)*('CONTROL MASTER'!$V$2:$V$495&gt;=10)*('CONTROL MASTER'!$U$2:$U$495&lt;=4)*('CONTROL MASTER'!$W$2:$W$495&gt;=4))*ROW('CONTROL MASTER'!$S$2:$S$495))-(ROW('CONTROL MASTER'!#REF!)-1))),IF(SUMPRODUCT((('CONTROL MASTER'!$S$2:$S$495=1)*('CONTROL MASTER'!$Z$2:$Z$495&lt;=10)*('CONTROL MASTER'!$AB$2:$AB$495&gt;=10)*('CONTROL MASTER'!$AA$2:$AA$495&lt;=4)*('CONTROL MASTER'!$AC$2:$AC$495&gt;=4))*ROW('CONTROL MASTER'!$S$2:$S$495))&gt;0,INDEX('CONTROL MASTER'!$X$2:$X$495,(SUMPRODUCT((('CONTROL MASTER'!$S$2:$S$495=1)*('CONTROL MASTER'!$Z$2:$Z$495&lt;=10)*('CONTROL MASTER'!$AB$2:$AB$495&gt;=10)*('CONTROL MASTER'!$AA$2:$AA$495&lt;=4)*('CONTROL MASTER'!$AC$2:$AC$495&gt;=4))*ROW('CONTROL MASTER'!$S$2:$S$495))-(ROW('CONTROL MASTER'!#REF!)-1)))&amp;TRIM(MID(SUBSTITUTE(SUBSTITUTE(INDEX('CONTROL MASTER'!$N$2:$N$495,(SUMPRODUCT((('CONTROL MASTER'!$S$2:$S$495=1)*('CONTROL MASTER'!$Z$2:$Z$495&lt;=10)*('CONTROL MASTER'!$AB$2:$AB$495&gt;=10)*('CONTROL MASTER'!$AA$2:$AA$495&lt;=4)*('CONTROL MASTER'!$AC$2:$AC$495&gt;=4))*ROW('CONTROL MASTER'!$S$2:$S$495))-(ROW('CONTROL MASTER'!#REF!)-1))),":",","),",",REPT(" ",50)),(((INDEX('CONTROL MASTER'!$Y$2:$Y$495,(SUMPRODUCT((('CONTROL MASTER'!$S$2:$S$495=1)*('CONTROL MASTER'!$Z$2:$Z$495&lt;=10)*('CONTROL MASTER'!$AB$2:$AB$495&gt;=10)*('CONTROL MASTER'!$AA$2:$AA$495&lt;=4)*('CONTROL MASTER'!$AC$2:$AC$495&gt;=4))*ROW('CONTROL MASTER'!$S$2:$S$495))-(ROW('CONTROL MASTER'!#REF!)-1)))+((10-INDEX('CONTROL MASTER'!$Z$2:$Z$495,(SUMPRODUCT((('CONTROL MASTER'!$S$2:$S$495=1)*('CONTROL MASTER'!$Z$2:$Z$495&lt;=10)*('CONTROL MASTER'!$AB$2:$AB$495&gt;=10)*('CONTROL MASTER'!$AA$2:$AA$495&lt;=4)*('CONTROL MASTER'!$AC$2:$AC$495&gt;=4))*ROW('CONTROL MASTER'!$S$2:$S$495))-(ROW('CONTROL MASTER'!#REF!)-1))))*(INDEX('CONTROL MASTER'!$AC$2:$AC$495,(SUMPRODUCT((('CONTROL MASTER'!$S$2:$S$495=1)*('CONTROL MASTER'!$Z$2:$Z$495&lt;=10)*('CONTROL MASTER'!$AB$2:$AB$495&gt;=10)*('CONTROL MASTER'!$AA$2:$AA$495&lt;=4)*('CONTROL MASTER'!$AC$2:$AC$495&gt;=4))*ROW('CONTROL MASTER'!$S$2:$S$495))-(ROW('CONTROL MASTER'!#REF!)-1)))-INDEX('CONTROL MASTER'!$AA$2:$AA$495,(SUMPRODUCT((('CONTROL MASTER'!$S$2:$S$495=1)*('CONTROL MASTER'!$Z$2:$Z$495&lt;=10)*('CONTROL MASTER'!$AB$2:$AB$495&gt;=10)*('CONTROL MASTER'!$AA$2:$AA$495&lt;=4)*('CONTROL MASTER'!$AC$2:$AC$495&gt;=4))*ROW('CONTROL MASTER'!$S$2:$S$495))-(ROW('CONTROL MASTER'!#REF!)-1)))+1)+(4-INDEX('CONTROL MASTER'!$AA$2:$AA$495,(SUMPRODUCT((('CONTROL MASTER'!$S$2:$S$495=1)*('CONTROL MASTER'!$Z$2:$Z$495&lt;=10)*('CONTROL MASTER'!$AB$2:$AB$495&gt;=10)*('CONTROL MASTER'!$AA$2:$AA$495&lt;=4)*('CONTROL MASTER'!$AC$2:$AC$495&gt;=4))*ROW('CONTROL MASTER'!$S$2:$S$495))-(ROW('CONTROL MASTER'!#REF!)-1))))+1)))-1)*50+1,50))&amp;"_"&amp;INDEX('CONTROL MASTER'!$P$2:$P$495,(SUMPRODUCT((('CONTROL MASTER'!$S$2:$S$495=1)*('CONTROL MASTER'!$Z$2:$Z$495&lt;=10)*('CONTROL MASTER'!$AB$2:$AB$495&gt;=10)*('CONTROL MASTER'!$AA$2:$AA$495&lt;=4)*('CONTROL MASTER'!$AC$2:$AC$495&gt;=4))*ROW('CONTROL MASTER'!$S$2:$S$495))-(ROW('CONTROL MASTER'!#REF!)-1))),"")),"")</f>
        <v/>
      </c>
      <c r="F12" s="10" t="str">
        <f>IFERROR(IF(SUMPRODUCT((('CONTROL MASTER'!$S$2:$S$495=1)*('CONTROL MASTER'!$T$2:$T$495&lt;=10)*('CONTROL MASTER'!$V$2:$V$495&gt;=10)*('CONTROL MASTER'!$U$2:$U$495&lt;=5)*('CONTROL MASTER'!$W$2:$W$495&gt;=5))*ROW('CONTROL MASTER'!$S$2:$S$495))&gt;0,INDEX('CONTROL MASTER'!$X$2:$X$495,(SUMPRODUCT((('CONTROL MASTER'!$S$2:$S$495=1)*('CONTROL MASTER'!$T$2:$T$495&lt;=10)*('CONTROL MASTER'!$V$2:$V$495&gt;=10)*('CONTROL MASTER'!$U$2:$U$495&lt;=5)*('CONTROL MASTER'!$W$2:$W$495&gt;=5))*ROW('CONTROL MASTER'!$S$2:$S$495))-(ROW('CONTROL MASTER'!#REF!)-1)))&amp;TRIM(MID(SUBSTITUTE(SUBSTITUTE(INDEX('CONTROL MASTER'!$N$2:$N$495,(SUMPRODUCT((('CONTROL MASTER'!$S$2:$S$495=1)*('CONTROL MASTER'!$T$2:$T$495&lt;=10)*('CONTROL MASTER'!$V$2:$V$495&gt;=10)*('CONTROL MASTER'!$U$2:$U$495&lt;=5)*('CONTROL MASTER'!$W$2:$W$495&gt;=5))*ROW('CONTROL MASTER'!$S$2:$S$495))-(ROW('CONTROL MASTER'!#REF!)-1))),":",","),",",REPT(" ",50)),((((10-INDEX('CONTROL MASTER'!$T$2:$T$495,(SUMPRODUCT((('CONTROL MASTER'!$S$2:$S$495=1)*('CONTROL MASTER'!$T$2:$T$495&lt;=10)*('CONTROL MASTER'!$V$2:$V$495&gt;=10)*('CONTROL MASTER'!$U$2:$U$495&lt;=5)*('CONTROL MASTER'!$W$2:$W$495&gt;=5))*ROW('CONTROL MASTER'!$S$2:$S$495))-(ROW('CONTROL MASTER'!#REF!)-1))))*(INDEX('CONTROL MASTER'!$W$2:$W$495,(SUMPRODUCT((('CONTROL MASTER'!$S$2:$S$495=1)*('CONTROL MASTER'!$T$2:$T$495&lt;=10)*('CONTROL MASTER'!$V$2:$V$495&gt;=10)*('CONTROL MASTER'!$U$2:$U$495&lt;=5)*('CONTROL MASTER'!$W$2:$W$495&gt;=5))*ROW('CONTROL MASTER'!$S$2:$S$495))-(ROW('CONTROL MASTER'!#REF!)-1)))-INDEX('CONTROL MASTER'!$U$2:$U$495,(SUMPRODUCT((('CONTROL MASTER'!$S$2:$S$495=1)*('CONTROL MASTER'!$T$2:$T$495&lt;=10)*('CONTROL MASTER'!$V$2:$V$495&gt;=10)*('CONTROL MASTER'!$U$2:$U$495&lt;=5)*('CONTROL MASTER'!$W$2:$W$495&gt;=5))*ROW('CONTROL MASTER'!$S$2:$S$495))-(ROW('CONTROL MASTER'!#REF!)-1)))+1)+(5-INDEX('CONTROL MASTER'!$U$2:$U$495,(SUMPRODUCT((('CONTROL MASTER'!$S$2:$S$495=1)*('CONTROL MASTER'!$T$2:$T$495&lt;=10)*('CONTROL MASTER'!$V$2:$V$495&gt;=10)*('CONTROL MASTER'!$U$2:$U$495&lt;=5)*('CONTROL MASTER'!$W$2:$W$495&gt;=5))*ROW('CONTROL MASTER'!$S$2:$S$495))-(ROW('CONTROL MASTER'!#REF!)-1))))+1))-1)*50+1,50))&amp;"_"&amp;INDEX('CONTROL MASTER'!$P$2:$P$495,(SUMPRODUCT((('CONTROL MASTER'!$S$2:$S$495=1)*('CONTROL MASTER'!$T$2:$T$495&lt;=10)*('CONTROL MASTER'!$V$2:$V$495&gt;=10)*('CONTROL MASTER'!$U$2:$U$495&lt;=5)*('CONTROL MASTER'!$W$2:$W$495&gt;=5))*ROW('CONTROL MASTER'!$S$2:$S$495))-(ROW('CONTROL MASTER'!#REF!)-1))),IF(SUMPRODUCT((('CONTROL MASTER'!$S$2:$S$495=1)*('CONTROL MASTER'!$Z$2:$Z$495&lt;=10)*('CONTROL MASTER'!$AB$2:$AB$495&gt;=10)*('CONTROL MASTER'!$AA$2:$AA$495&lt;=5)*('CONTROL MASTER'!$AC$2:$AC$495&gt;=5))*ROW('CONTROL MASTER'!$S$2:$S$495))&gt;0,INDEX('CONTROL MASTER'!$X$2:$X$495,(SUMPRODUCT((('CONTROL MASTER'!$S$2:$S$495=1)*('CONTROL MASTER'!$Z$2:$Z$495&lt;=10)*('CONTROL MASTER'!$AB$2:$AB$495&gt;=10)*('CONTROL MASTER'!$AA$2:$AA$495&lt;=5)*('CONTROL MASTER'!$AC$2:$AC$495&gt;=5))*ROW('CONTROL MASTER'!$S$2:$S$495))-(ROW('CONTROL MASTER'!#REF!)-1)))&amp;TRIM(MID(SUBSTITUTE(SUBSTITUTE(INDEX('CONTROL MASTER'!$N$2:$N$495,(SUMPRODUCT((('CONTROL MASTER'!$S$2:$S$495=1)*('CONTROL MASTER'!$Z$2:$Z$495&lt;=10)*('CONTROL MASTER'!$AB$2:$AB$495&gt;=10)*('CONTROL MASTER'!$AA$2:$AA$495&lt;=5)*('CONTROL MASTER'!$AC$2:$AC$495&gt;=5))*ROW('CONTROL MASTER'!$S$2:$S$495))-(ROW('CONTROL MASTER'!#REF!)-1))),":",","),",",REPT(" ",50)),(((INDEX('CONTROL MASTER'!$Y$2:$Y$495,(SUMPRODUCT((('CONTROL MASTER'!$S$2:$S$495=1)*('CONTROL MASTER'!$Z$2:$Z$495&lt;=10)*('CONTROL MASTER'!$AB$2:$AB$495&gt;=10)*('CONTROL MASTER'!$AA$2:$AA$495&lt;=5)*('CONTROL MASTER'!$AC$2:$AC$495&gt;=5))*ROW('CONTROL MASTER'!$S$2:$S$495))-(ROW('CONTROL MASTER'!#REF!)-1)))+((10-INDEX('CONTROL MASTER'!$Z$2:$Z$495,(SUMPRODUCT((('CONTROL MASTER'!$S$2:$S$495=1)*('CONTROL MASTER'!$Z$2:$Z$495&lt;=10)*('CONTROL MASTER'!$AB$2:$AB$495&gt;=10)*('CONTROL MASTER'!$AA$2:$AA$495&lt;=5)*('CONTROL MASTER'!$AC$2:$AC$495&gt;=5))*ROW('CONTROL MASTER'!$S$2:$S$495))-(ROW('CONTROL MASTER'!#REF!)-1))))*(INDEX('CONTROL MASTER'!$AC$2:$AC$495,(SUMPRODUCT((('CONTROL MASTER'!$S$2:$S$495=1)*('CONTROL MASTER'!$Z$2:$Z$495&lt;=10)*('CONTROL MASTER'!$AB$2:$AB$495&gt;=10)*('CONTROL MASTER'!$AA$2:$AA$495&lt;=5)*('CONTROL MASTER'!$AC$2:$AC$495&gt;=5))*ROW('CONTROL MASTER'!$S$2:$S$495))-(ROW('CONTROL MASTER'!#REF!)-1)))-INDEX('CONTROL MASTER'!$AA$2:$AA$495,(SUMPRODUCT((('CONTROL MASTER'!$S$2:$S$495=1)*('CONTROL MASTER'!$Z$2:$Z$495&lt;=10)*('CONTROL MASTER'!$AB$2:$AB$495&gt;=10)*('CONTROL MASTER'!$AA$2:$AA$495&lt;=5)*('CONTROL MASTER'!$AC$2:$AC$495&gt;=5))*ROW('CONTROL MASTER'!$S$2:$S$495))-(ROW('CONTROL MASTER'!#REF!)-1)))+1)+(5-INDEX('CONTROL MASTER'!$AA$2:$AA$495,(SUMPRODUCT((('CONTROL MASTER'!$S$2:$S$495=1)*('CONTROL MASTER'!$Z$2:$Z$495&lt;=10)*('CONTROL MASTER'!$AB$2:$AB$495&gt;=10)*('CONTROL MASTER'!$AA$2:$AA$495&lt;=5)*('CONTROL MASTER'!$AC$2:$AC$495&gt;=5))*ROW('CONTROL MASTER'!$S$2:$S$495))-(ROW('CONTROL MASTER'!#REF!)-1))))+1)))-1)*50+1,50))&amp;"_"&amp;INDEX('CONTROL MASTER'!$P$2:$P$495,(SUMPRODUCT((('CONTROL MASTER'!$S$2:$S$495=1)*('CONTROL MASTER'!$Z$2:$Z$495&lt;=10)*('CONTROL MASTER'!$AB$2:$AB$495&gt;=10)*('CONTROL MASTER'!$AA$2:$AA$495&lt;=5)*('CONTROL MASTER'!$AC$2:$AC$495&gt;=5))*ROW('CONTROL MASTER'!$S$2:$S$495))-(ROW('CONTROL MASTER'!#REF!)-1))),"")),"")</f>
        <v/>
      </c>
      <c r="G12" s="10" t="str">
        <f>IFERROR(IF(SUMPRODUCT((('CONTROL MASTER'!$S$2:$S$495=1)*('CONTROL MASTER'!$T$2:$T$495&lt;=10)*('CONTROL MASTER'!$V$2:$V$495&gt;=10)*('CONTROL MASTER'!$U$2:$U$495&lt;=6)*('CONTROL MASTER'!$W$2:$W$495&gt;=6))*ROW('CONTROL MASTER'!$S$2:$S$495))&gt;0,INDEX('CONTROL MASTER'!$X$2:$X$495,(SUMPRODUCT((('CONTROL MASTER'!$S$2:$S$495=1)*('CONTROL MASTER'!$T$2:$T$495&lt;=10)*('CONTROL MASTER'!$V$2:$V$495&gt;=10)*('CONTROL MASTER'!$U$2:$U$495&lt;=6)*('CONTROL MASTER'!$W$2:$W$495&gt;=6))*ROW('CONTROL MASTER'!$S$2:$S$495))-(ROW('CONTROL MASTER'!#REF!)-1)))&amp;TRIM(MID(SUBSTITUTE(SUBSTITUTE(INDEX('CONTROL MASTER'!$N$2:$N$495,(SUMPRODUCT((('CONTROL MASTER'!$S$2:$S$495=1)*('CONTROL MASTER'!$T$2:$T$495&lt;=10)*('CONTROL MASTER'!$V$2:$V$495&gt;=10)*('CONTROL MASTER'!$U$2:$U$495&lt;=6)*('CONTROL MASTER'!$W$2:$W$495&gt;=6))*ROW('CONTROL MASTER'!$S$2:$S$495))-(ROW('CONTROL MASTER'!#REF!)-1))),":",","),",",REPT(" ",50)),((((10-INDEX('CONTROL MASTER'!$T$2:$T$495,(SUMPRODUCT((('CONTROL MASTER'!$S$2:$S$495=1)*('CONTROL MASTER'!$T$2:$T$495&lt;=10)*('CONTROL MASTER'!$V$2:$V$495&gt;=10)*('CONTROL MASTER'!$U$2:$U$495&lt;=6)*('CONTROL MASTER'!$W$2:$W$495&gt;=6))*ROW('CONTROL MASTER'!$S$2:$S$495))-(ROW('CONTROL MASTER'!#REF!)-1))))*(INDEX('CONTROL MASTER'!$W$2:$W$495,(SUMPRODUCT((('CONTROL MASTER'!$S$2:$S$495=1)*('CONTROL MASTER'!$T$2:$T$495&lt;=10)*('CONTROL MASTER'!$V$2:$V$495&gt;=10)*('CONTROL MASTER'!$U$2:$U$495&lt;=6)*('CONTROL MASTER'!$W$2:$W$495&gt;=6))*ROW('CONTROL MASTER'!$S$2:$S$495))-(ROW('CONTROL MASTER'!#REF!)-1)))-INDEX('CONTROL MASTER'!$U$2:$U$495,(SUMPRODUCT((('CONTROL MASTER'!$S$2:$S$495=1)*('CONTROL MASTER'!$T$2:$T$495&lt;=10)*('CONTROL MASTER'!$V$2:$V$495&gt;=10)*('CONTROL MASTER'!$U$2:$U$495&lt;=6)*('CONTROL MASTER'!$W$2:$W$495&gt;=6))*ROW('CONTROL MASTER'!$S$2:$S$495))-(ROW('CONTROL MASTER'!#REF!)-1)))+1)+(6-INDEX('CONTROL MASTER'!$U$2:$U$495,(SUMPRODUCT((('CONTROL MASTER'!$S$2:$S$495=1)*('CONTROL MASTER'!$T$2:$T$495&lt;=10)*('CONTROL MASTER'!$V$2:$V$495&gt;=10)*('CONTROL MASTER'!$U$2:$U$495&lt;=6)*('CONTROL MASTER'!$W$2:$W$495&gt;=6))*ROW('CONTROL MASTER'!$S$2:$S$495))-(ROW('CONTROL MASTER'!#REF!)-1))))+1))-1)*50+1,50))&amp;"_"&amp;INDEX('CONTROL MASTER'!$P$2:$P$495,(SUMPRODUCT((('CONTROL MASTER'!$S$2:$S$495=1)*('CONTROL MASTER'!$T$2:$T$495&lt;=10)*('CONTROL MASTER'!$V$2:$V$495&gt;=10)*('CONTROL MASTER'!$U$2:$U$495&lt;=6)*('CONTROL MASTER'!$W$2:$W$495&gt;=6))*ROW('CONTROL MASTER'!$S$2:$S$495))-(ROW('CONTROL MASTER'!#REF!)-1))),IF(SUMPRODUCT((('CONTROL MASTER'!$S$2:$S$495=1)*('CONTROL MASTER'!$Z$2:$Z$495&lt;=10)*('CONTROL MASTER'!$AB$2:$AB$495&gt;=10)*('CONTROL MASTER'!$AA$2:$AA$495&lt;=6)*('CONTROL MASTER'!$AC$2:$AC$495&gt;=6))*ROW('CONTROL MASTER'!$S$2:$S$495))&gt;0,INDEX('CONTROL MASTER'!$X$2:$X$495,(SUMPRODUCT((('CONTROL MASTER'!$S$2:$S$495=1)*('CONTROL MASTER'!$Z$2:$Z$495&lt;=10)*('CONTROL MASTER'!$AB$2:$AB$495&gt;=10)*('CONTROL MASTER'!$AA$2:$AA$495&lt;=6)*('CONTROL MASTER'!$AC$2:$AC$495&gt;=6))*ROW('CONTROL MASTER'!$S$2:$S$495))-(ROW('CONTROL MASTER'!#REF!)-1)))&amp;TRIM(MID(SUBSTITUTE(SUBSTITUTE(INDEX('CONTROL MASTER'!$N$2:$N$495,(SUMPRODUCT((('CONTROL MASTER'!$S$2:$S$495=1)*('CONTROL MASTER'!$Z$2:$Z$495&lt;=10)*('CONTROL MASTER'!$AB$2:$AB$495&gt;=10)*('CONTROL MASTER'!$AA$2:$AA$495&lt;=6)*('CONTROL MASTER'!$AC$2:$AC$495&gt;=6))*ROW('CONTROL MASTER'!$S$2:$S$495))-(ROW('CONTROL MASTER'!#REF!)-1))),":",","),",",REPT(" ",50)),(((INDEX('CONTROL MASTER'!$Y$2:$Y$495,(SUMPRODUCT((('CONTROL MASTER'!$S$2:$S$495=1)*('CONTROL MASTER'!$Z$2:$Z$495&lt;=10)*('CONTROL MASTER'!$AB$2:$AB$495&gt;=10)*('CONTROL MASTER'!$AA$2:$AA$495&lt;=6)*('CONTROL MASTER'!$AC$2:$AC$495&gt;=6))*ROW('CONTROL MASTER'!$S$2:$S$495))-(ROW('CONTROL MASTER'!#REF!)-1)))+((10-INDEX('CONTROL MASTER'!$Z$2:$Z$495,(SUMPRODUCT((('CONTROL MASTER'!$S$2:$S$495=1)*('CONTROL MASTER'!$Z$2:$Z$495&lt;=10)*('CONTROL MASTER'!$AB$2:$AB$495&gt;=10)*('CONTROL MASTER'!$AA$2:$AA$495&lt;=6)*('CONTROL MASTER'!$AC$2:$AC$495&gt;=6))*ROW('CONTROL MASTER'!$S$2:$S$495))-(ROW('CONTROL MASTER'!#REF!)-1))))*(INDEX('CONTROL MASTER'!$AC$2:$AC$495,(SUMPRODUCT((('CONTROL MASTER'!$S$2:$S$495=1)*('CONTROL MASTER'!$Z$2:$Z$495&lt;=10)*('CONTROL MASTER'!$AB$2:$AB$495&gt;=10)*('CONTROL MASTER'!$AA$2:$AA$495&lt;=6)*('CONTROL MASTER'!$AC$2:$AC$495&gt;=6))*ROW('CONTROL MASTER'!$S$2:$S$495))-(ROW('CONTROL MASTER'!#REF!)-1)))-INDEX('CONTROL MASTER'!$AA$2:$AA$495,(SUMPRODUCT((('CONTROL MASTER'!$S$2:$S$495=1)*('CONTROL MASTER'!$Z$2:$Z$495&lt;=10)*('CONTROL MASTER'!$AB$2:$AB$495&gt;=10)*('CONTROL MASTER'!$AA$2:$AA$495&lt;=6)*('CONTROL MASTER'!$AC$2:$AC$495&gt;=6))*ROW('CONTROL MASTER'!$S$2:$S$495))-(ROW('CONTROL MASTER'!#REF!)-1)))+1)+(6-INDEX('CONTROL MASTER'!$AA$2:$AA$495,(SUMPRODUCT((('CONTROL MASTER'!$S$2:$S$495=1)*('CONTROL MASTER'!$Z$2:$Z$495&lt;=10)*('CONTROL MASTER'!$AB$2:$AB$495&gt;=10)*('CONTROL MASTER'!$AA$2:$AA$495&lt;=6)*('CONTROL MASTER'!$AC$2:$AC$495&gt;=6))*ROW('CONTROL MASTER'!$S$2:$S$495))-(ROW('CONTROL MASTER'!#REF!)-1))))+1)))-1)*50+1,50))&amp;"_"&amp;INDEX('CONTROL MASTER'!$P$2:$P$495,(SUMPRODUCT((('CONTROL MASTER'!$S$2:$S$495=1)*('CONTROL MASTER'!$Z$2:$Z$495&lt;=10)*('CONTROL MASTER'!$AB$2:$AB$495&gt;=10)*('CONTROL MASTER'!$AA$2:$AA$495&lt;=6)*('CONTROL MASTER'!$AC$2:$AC$495&gt;=6))*ROW('CONTROL MASTER'!$S$2:$S$495))-(ROW('CONTROL MASTER'!#REF!)-1))),"")),"")</f>
        <v/>
      </c>
      <c r="H12" s="10" t="str">
        <f>IFERROR(IF(SUMPRODUCT((('CONTROL MASTER'!$S$2:$S$495=1)*('CONTROL MASTER'!$T$2:$T$495&lt;=10)*('CONTROL MASTER'!$V$2:$V$495&gt;=10)*('CONTROL MASTER'!$U$2:$U$495&lt;=7)*('CONTROL MASTER'!$W$2:$W$495&gt;=7))*ROW('CONTROL MASTER'!$S$2:$S$495))&gt;0,INDEX('CONTROL MASTER'!$X$2:$X$495,(SUMPRODUCT((('CONTROL MASTER'!$S$2:$S$495=1)*('CONTROL MASTER'!$T$2:$T$495&lt;=10)*('CONTROL MASTER'!$V$2:$V$495&gt;=10)*('CONTROL MASTER'!$U$2:$U$495&lt;=7)*('CONTROL MASTER'!$W$2:$W$495&gt;=7))*ROW('CONTROL MASTER'!$S$2:$S$495))-(ROW('CONTROL MASTER'!#REF!)-1)))&amp;TRIM(MID(SUBSTITUTE(SUBSTITUTE(INDEX('CONTROL MASTER'!$N$2:$N$495,(SUMPRODUCT((('CONTROL MASTER'!$S$2:$S$495=1)*('CONTROL MASTER'!$T$2:$T$495&lt;=10)*('CONTROL MASTER'!$V$2:$V$495&gt;=10)*('CONTROL MASTER'!$U$2:$U$495&lt;=7)*('CONTROL MASTER'!$W$2:$W$495&gt;=7))*ROW('CONTROL MASTER'!$S$2:$S$495))-(ROW('CONTROL MASTER'!#REF!)-1))),":",","),",",REPT(" ",50)),((((10-INDEX('CONTROL MASTER'!$T$2:$T$495,(SUMPRODUCT((('CONTROL MASTER'!$S$2:$S$495=1)*('CONTROL MASTER'!$T$2:$T$495&lt;=10)*('CONTROL MASTER'!$V$2:$V$495&gt;=10)*('CONTROL MASTER'!$U$2:$U$495&lt;=7)*('CONTROL MASTER'!$W$2:$W$495&gt;=7))*ROW('CONTROL MASTER'!$S$2:$S$495))-(ROW('CONTROL MASTER'!#REF!)-1))))*(INDEX('CONTROL MASTER'!$W$2:$W$495,(SUMPRODUCT((('CONTROL MASTER'!$S$2:$S$495=1)*('CONTROL MASTER'!$T$2:$T$495&lt;=10)*('CONTROL MASTER'!$V$2:$V$495&gt;=10)*('CONTROL MASTER'!$U$2:$U$495&lt;=7)*('CONTROL MASTER'!$W$2:$W$495&gt;=7))*ROW('CONTROL MASTER'!$S$2:$S$495))-(ROW('CONTROL MASTER'!#REF!)-1)))-INDEX('CONTROL MASTER'!$U$2:$U$495,(SUMPRODUCT((('CONTROL MASTER'!$S$2:$S$495=1)*('CONTROL MASTER'!$T$2:$T$495&lt;=10)*('CONTROL MASTER'!$V$2:$V$495&gt;=10)*('CONTROL MASTER'!$U$2:$U$495&lt;=7)*('CONTROL MASTER'!$W$2:$W$495&gt;=7))*ROW('CONTROL MASTER'!$S$2:$S$495))-(ROW('CONTROL MASTER'!#REF!)-1)))+1)+(7-INDEX('CONTROL MASTER'!$U$2:$U$495,(SUMPRODUCT((('CONTROL MASTER'!$S$2:$S$495=1)*('CONTROL MASTER'!$T$2:$T$495&lt;=10)*('CONTROL MASTER'!$V$2:$V$495&gt;=10)*('CONTROL MASTER'!$U$2:$U$495&lt;=7)*('CONTROL MASTER'!$W$2:$W$495&gt;=7))*ROW('CONTROL MASTER'!$S$2:$S$495))-(ROW('CONTROL MASTER'!#REF!)-1))))+1))-1)*50+1,50))&amp;"_"&amp;INDEX('CONTROL MASTER'!$P$2:$P$495,(SUMPRODUCT((('CONTROL MASTER'!$S$2:$S$495=1)*('CONTROL MASTER'!$T$2:$T$495&lt;=10)*('CONTROL MASTER'!$V$2:$V$495&gt;=10)*('CONTROL MASTER'!$U$2:$U$495&lt;=7)*('CONTROL MASTER'!$W$2:$W$495&gt;=7))*ROW('CONTROL MASTER'!$S$2:$S$495))-(ROW('CONTROL MASTER'!#REF!)-1))),IF(SUMPRODUCT((('CONTROL MASTER'!$S$2:$S$495=1)*('CONTROL MASTER'!$Z$2:$Z$495&lt;=10)*('CONTROL MASTER'!$AB$2:$AB$495&gt;=10)*('CONTROL MASTER'!$AA$2:$AA$495&lt;=7)*('CONTROL MASTER'!$AC$2:$AC$495&gt;=7))*ROW('CONTROL MASTER'!$S$2:$S$495))&gt;0,INDEX('CONTROL MASTER'!$X$2:$X$495,(SUMPRODUCT((('CONTROL MASTER'!$S$2:$S$495=1)*('CONTROL MASTER'!$Z$2:$Z$495&lt;=10)*('CONTROL MASTER'!$AB$2:$AB$495&gt;=10)*('CONTROL MASTER'!$AA$2:$AA$495&lt;=7)*('CONTROL MASTER'!$AC$2:$AC$495&gt;=7))*ROW('CONTROL MASTER'!$S$2:$S$495))-(ROW('CONTROL MASTER'!#REF!)-1)))&amp;TRIM(MID(SUBSTITUTE(SUBSTITUTE(INDEX('CONTROL MASTER'!$N$2:$N$495,(SUMPRODUCT((('CONTROL MASTER'!$S$2:$S$495=1)*('CONTROL MASTER'!$Z$2:$Z$495&lt;=10)*('CONTROL MASTER'!$AB$2:$AB$495&gt;=10)*('CONTROL MASTER'!$AA$2:$AA$495&lt;=7)*('CONTROL MASTER'!$AC$2:$AC$495&gt;=7))*ROW('CONTROL MASTER'!$S$2:$S$495))-(ROW('CONTROL MASTER'!#REF!)-1))),":",","),",",REPT(" ",50)),(((INDEX('CONTROL MASTER'!$Y$2:$Y$495,(SUMPRODUCT((('CONTROL MASTER'!$S$2:$S$495=1)*('CONTROL MASTER'!$Z$2:$Z$495&lt;=10)*('CONTROL MASTER'!$AB$2:$AB$495&gt;=10)*('CONTROL MASTER'!$AA$2:$AA$495&lt;=7)*('CONTROL MASTER'!$AC$2:$AC$495&gt;=7))*ROW('CONTROL MASTER'!$S$2:$S$495))-(ROW('CONTROL MASTER'!#REF!)-1)))+((10-INDEX('CONTROL MASTER'!$Z$2:$Z$495,(SUMPRODUCT((('CONTROL MASTER'!$S$2:$S$495=1)*('CONTROL MASTER'!$Z$2:$Z$495&lt;=10)*('CONTROL MASTER'!$AB$2:$AB$495&gt;=10)*('CONTROL MASTER'!$AA$2:$AA$495&lt;=7)*('CONTROL MASTER'!$AC$2:$AC$495&gt;=7))*ROW('CONTROL MASTER'!$S$2:$S$495))-(ROW('CONTROL MASTER'!#REF!)-1))))*(INDEX('CONTROL MASTER'!$AC$2:$AC$495,(SUMPRODUCT((('CONTROL MASTER'!$S$2:$S$495=1)*('CONTROL MASTER'!$Z$2:$Z$495&lt;=10)*('CONTROL MASTER'!$AB$2:$AB$495&gt;=10)*('CONTROL MASTER'!$AA$2:$AA$495&lt;=7)*('CONTROL MASTER'!$AC$2:$AC$495&gt;=7))*ROW('CONTROL MASTER'!$S$2:$S$495))-(ROW('CONTROL MASTER'!#REF!)-1)))-INDEX('CONTROL MASTER'!$AA$2:$AA$495,(SUMPRODUCT((('CONTROL MASTER'!$S$2:$S$495=1)*('CONTROL MASTER'!$Z$2:$Z$495&lt;=10)*('CONTROL MASTER'!$AB$2:$AB$495&gt;=10)*('CONTROL MASTER'!$AA$2:$AA$495&lt;=7)*('CONTROL MASTER'!$AC$2:$AC$495&gt;=7))*ROW('CONTROL MASTER'!$S$2:$S$495))-(ROW('CONTROL MASTER'!#REF!)-1)))+1)+(7-INDEX('CONTROL MASTER'!$AA$2:$AA$495,(SUMPRODUCT((('CONTROL MASTER'!$S$2:$S$495=1)*('CONTROL MASTER'!$Z$2:$Z$495&lt;=10)*('CONTROL MASTER'!$AB$2:$AB$495&gt;=10)*('CONTROL MASTER'!$AA$2:$AA$495&lt;=7)*('CONTROL MASTER'!$AC$2:$AC$495&gt;=7))*ROW('CONTROL MASTER'!$S$2:$S$495))-(ROW('CONTROL MASTER'!#REF!)-1))))+1)))-1)*50+1,50))&amp;"_"&amp;INDEX('CONTROL MASTER'!$P$2:$P$495,(SUMPRODUCT((('CONTROL MASTER'!$S$2:$S$495=1)*('CONTROL MASTER'!$Z$2:$Z$495&lt;=10)*('CONTROL MASTER'!$AB$2:$AB$495&gt;=10)*('CONTROL MASTER'!$AA$2:$AA$495&lt;=7)*('CONTROL MASTER'!$AC$2:$AC$495&gt;=7))*ROW('CONTROL MASTER'!$S$2:$S$495))-(ROW('CONTROL MASTER'!#REF!)-1))),"")),"")</f>
        <v/>
      </c>
      <c r="I12" s="10" t="str">
        <f>IFERROR(IF(SUMPRODUCT((('CONTROL MASTER'!$S$2:$S$495=1)*('CONTROL MASTER'!$T$2:$T$495&lt;=10)*('CONTROL MASTER'!$V$2:$V$495&gt;=10)*('CONTROL MASTER'!$U$2:$U$495&lt;=8)*('CONTROL MASTER'!$W$2:$W$495&gt;=8))*ROW('CONTROL MASTER'!$S$2:$S$495))&gt;0,INDEX('CONTROL MASTER'!$X$2:$X$495,(SUMPRODUCT((('CONTROL MASTER'!$S$2:$S$495=1)*('CONTROL MASTER'!$T$2:$T$495&lt;=10)*('CONTROL MASTER'!$V$2:$V$495&gt;=10)*('CONTROL MASTER'!$U$2:$U$495&lt;=8)*('CONTROL MASTER'!$W$2:$W$495&gt;=8))*ROW('CONTROL MASTER'!$S$2:$S$495))-(ROW('CONTROL MASTER'!#REF!)-1)))&amp;TRIM(MID(SUBSTITUTE(SUBSTITUTE(INDEX('CONTROL MASTER'!$N$2:$N$495,(SUMPRODUCT((('CONTROL MASTER'!$S$2:$S$495=1)*('CONTROL MASTER'!$T$2:$T$495&lt;=10)*('CONTROL MASTER'!$V$2:$V$495&gt;=10)*('CONTROL MASTER'!$U$2:$U$495&lt;=8)*('CONTROL MASTER'!$W$2:$W$495&gt;=8))*ROW('CONTROL MASTER'!$S$2:$S$495))-(ROW('CONTROL MASTER'!#REF!)-1))),":",","),",",REPT(" ",50)),((((10-INDEX('CONTROL MASTER'!$T$2:$T$495,(SUMPRODUCT((('CONTROL MASTER'!$S$2:$S$495=1)*('CONTROL MASTER'!$T$2:$T$495&lt;=10)*('CONTROL MASTER'!$V$2:$V$495&gt;=10)*('CONTROL MASTER'!$U$2:$U$495&lt;=8)*('CONTROL MASTER'!$W$2:$W$495&gt;=8))*ROW('CONTROL MASTER'!$S$2:$S$495))-(ROW('CONTROL MASTER'!#REF!)-1))))*(INDEX('CONTROL MASTER'!$W$2:$W$495,(SUMPRODUCT((('CONTROL MASTER'!$S$2:$S$495=1)*('CONTROL MASTER'!$T$2:$T$495&lt;=10)*('CONTROL MASTER'!$V$2:$V$495&gt;=10)*('CONTROL MASTER'!$U$2:$U$495&lt;=8)*('CONTROL MASTER'!$W$2:$W$495&gt;=8))*ROW('CONTROL MASTER'!$S$2:$S$495))-(ROW('CONTROL MASTER'!#REF!)-1)))-INDEX('CONTROL MASTER'!$U$2:$U$495,(SUMPRODUCT((('CONTROL MASTER'!$S$2:$S$495=1)*('CONTROL MASTER'!$T$2:$T$495&lt;=10)*('CONTROL MASTER'!$V$2:$V$495&gt;=10)*('CONTROL MASTER'!$U$2:$U$495&lt;=8)*('CONTROL MASTER'!$W$2:$W$495&gt;=8))*ROW('CONTROL MASTER'!$S$2:$S$495))-(ROW('CONTROL MASTER'!#REF!)-1)))+1)+(8-INDEX('CONTROL MASTER'!$U$2:$U$495,(SUMPRODUCT((('CONTROL MASTER'!$S$2:$S$495=1)*('CONTROL MASTER'!$T$2:$T$495&lt;=10)*('CONTROL MASTER'!$V$2:$V$495&gt;=10)*('CONTROL MASTER'!$U$2:$U$495&lt;=8)*('CONTROL MASTER'!$W$2:$W$495&gt;=8))*ROW('CONTROL MASTER'!$S$2:$S$495))-(ROW('CONTROL MASTER'!#REF!)-1))))+1))-1)*50+1,50))&amp;"_"&amp;INDEX('CONTROL MASTER'!$P$2:$P$495,(SUMPRODUCT((('CONTROL MASTER'!$S$2:$S$495=1)*('CONTROL MASTER'!$T$2:$T$495&lt;=10)*('CONTROL MASTER'!$V$2:$V$495&gt;=10)*('CONTROL MASTER'!$U$2:$U$495&lt;=8)*('CONTROL MASTER'!$W$2:$W$495&gt;=8))*ROW('CONTROL MASTER'!$S$2:$S$495))-(ROW('CONTROL MASTER'!#REF!)-1))),IF(SUMPRODUCT((('CONTROL MASTER'!$S$2:$S$495=1)*('CONTROL MASTER'!$Z$2:$Z$495&lt;=10)*('CONTROL MASTER'!$AB$2:$AB$495&gt;=10)*('CONTROL MASTER'!$AA$2:$AA$495&lt;=8)*('CONTROL MASTER'!$AC$2:$AC$495&gt;=8))*ROW('CONTROL MASTER'!$S$2:$S$495))&gt;0,INDEX('CONTROL MASTER'!$X$2:$X$495,(SUMPRODUCT((('CONTROL MASTER'!$S$2:$S$495=1)*('CONTROL MASTER'!$Z$2:$Z$495&lt;=10)*('CONTROL MASTER'!$AB$2:$AB$495&gt;=10)*('CONTROL MASTER'!$AA$2:$AA$495&lt;=8)*('CONTROL MASTER'!$AC$2:$AC$495&gt;=8))*ROW('CONTROL MASTER'!$S$2:$S$495))-(ROW('CONTROL MASTER'!#REF!)-1)))&amp;TRIM(MID(SUBSTITUTE(SUBSTITUTE(INDEX('CONTROL MASTER'!$N$2:$N$495,(SUMPRODUCT((('CONTROL MASTER'!$S$2:$S$495=1)*('CONTROL MASTER'!$Z$2:$Z$495&lt;=10)*('CONTROL MASTER'!$AB$2:$AB$495&gt;=10)*('CONTROL MASTER'!$AA$2:$AA$495&lt;=8)*('CONTROL MASTER'!$AC$2:$AC$495&gt;=8))*ROW('CONTROL MASTER'!$S$2:$S$495))-(ROW('CONTROL MASTER'!#REF!)-1))),":",","),",",REPT(" ",50)),(((INDEX('CONTROL MASTER'!$Y$2:$Y$495,(SUMPRODUCT((('CONTROL MASTER'!$S$2:$S$495=1)*('CONTROL MASTER'!$Z$2:$Z$495&lt;=10)*('CONTROL MASTER'!$AB$2:$AB$495&gt;=10)*('CONTROL MASTER'!$AA$2:$AA$495&lt;=8)*('CONTROL MASTER'!$AC$2:$AC$495&gt;=8))*ROW('CONTROL MASTER'!$S$2:$S$495))-(ROW('CONTROL MASTER'!#REF!)-1)))+((10-INDEX('CONTROL MASTER'!$Z$2:$Z$495,(SUMPRODUCT((('CONTROL MASTER'!$S$2:$S$495=1)*('CONTROL MASTER'!$Z$2:$Z$495&lt;=10)*('CONTROL MASTER'!$AB$2:$AB$495&gt;=10)*('CONTROL MASTER'!$AA$2:$AA$495&lt;=8)*('CONTROL MASTER'!$AC$2:$AC$495&gt;=8))*ROW('CONTROL MASTER'!$S$2:$S$495))-(ROW('CONTROL MASTER'!#REF!)-1))))*(INDEX('CONTROL MASTER'!$AC$2:$AC$495,(SUMPRODUCT((('CONTROL MASTER'!$S$2:$S$495=1)*('CONTROL MASTER'!$Z$2:$Z$495&lt;=10)*('CONTROL MASTER'!$AB$2:$AB$495&gt;=10)*('CONTROL MASTER'!$AA$2:$AA$495&lt;=8)*('CONTROL MASTER'!$AC$2:$AC$495&gt;=8))*ROW('CONTROL MASTER'!$S$2:$S$495))-(ROW('CONTROL MASTER'!#REF!)-1)))-INDEX('CONTROL MASTER'!$AA$2:$AA$495,(SUMPRODUCT((('CONTROL MASTER'!$S$2:$S$495=1)*('CONTROL MASTER'!$Z$2:$Z$495&lt;=10)*('CONTROL MASTER'!$AB$2:$AB$495&gt;=10)*('CONTROL MASTER'!$AA$2:$AA$495&lt;=8)*('CONTROL MASTER'!$AC$2:$AC$495&gt;=8))*ROW('CONTROL MASTER'!$S$2:$S$495))-(ROW('CONTROL MASTER'!#REF!)-1)))+1)+(8-INDEX('CONTROL MASTER'!$AA$2:$AA$495,(SUMPRODUCT((('CONTROL MASTER'!$S$2:$S$495=1)*('CONTROL MASTER'!$Z$2:$Z$495&lt;=10)*('CONTROL MASTER'!$AB$2:$AB$495&gt;=10)*('CONTROL MASTER'!$AA$2:$AA$495&lt;=8)*('CONTROL MASTER'!$AC$2:$AC$495&gt;=8))*ROW('CONTROL MASTER'!$S$2:$S$495))-(ROW('CONTROL MASTER'!#REF!)-1))))+1)))-1)*50+1,50))&amp;"_"&amp;INDEX('CONTROL MASTER'!$P$2:$P$495,(SUMPRODUCT((('CONTROL MASTER'!$S$2:$S$495=1)*('CONTROL MASTER'!$Z$2:$Z$495&lt;=10)*('CONTROL MASTER'!$AB$2:$AB$495&gt;=10)*('CONTROL MASTER'!$AA$2:$AA$495&lt;=8)*('CONTROL MASTER'!$AC$2:$AC$495&gt;=8))*ROW('CONTROL MASTER'!$S$2:$S$495))-(ROW('CONTROL MASTER'!#REF!)-1))),"")),"")</f>
        <v/>
      </c>
      <c r="J12" s="10" t="str">
        <f>IFERROR(IF(SUMPRODUCT((('CONTROL MASTER'!$S$2:$S$495=1)*('CONTROL MASTER'!$T$2:$T$495&lt;=10)*('CONTROL MASTER'!$V$2:$V$495&gt;=10)*('CONTROL MASTER'!$U$2:$U$495&lt;=9)*('CONTROL MASTER'!$W$2:$W$495&gt;=9))*ROW('CONTROL MASTER'!$S$2:$S$495))&gt;0,INDEX('CONTROL MASTER'!$X$2:$X$495,(SUMPRODUCT((('CONTROL MASTER'!$S$2:$S$495=1)*('CONTROL MASTER'!$T$2:$T$495&lt;=10)*('CONTROL MASTER'!$V$2:$V$495&gt;=10)*('CONTROL MASTER'!$U$2:$U$495&lt;=9)*('CONTROL MASTER'!$W$2:$W$495&gt;=9))*ROW('CONTROL MASTER'!$S$2:$S$495))-(ROW('CONTROL MASTER'!#REF!)-1)))&amp;TRIM(MID(SUBSTITUTE(SUBSTITUTE(INDEX('CONTROL MASTER'!$N$2:$N$495,(SUMPRODUCT((('CONTROL MASTER'!$S$2:$S$495=1)*('CONTROL MASTER'!$T$2:$T$495&lt;=10)*('CONTROL MASTER'!$V$2:$V$495&gt;=10)*('CONTROL MASTER'!$U$2:$U$495&lt;=9)*('CONTROL MASTER'!$W$2:$W$495&gt;=9))*ROW('CONTROL MASTER'!$S$2:$S$495))-(ROW('CONTROL MASTER'!#REF!)-1))),":",","),",",REPT(" ",50)),((((10-INDEX('CONTROL MASTER'!$T$2:$T$495,(SUMPRODUCT((('CONTROL MASTER'!$S$2:$S$495=1)*('CONTROL MASTER'!$T$2:$T$495&lt;=10)*('CONTROL MASTER'!$V$2:$V$495&gt;=10)*('CONTROL MASTER'!$U$2:$U$495&lt;=9)*('CONTROL MASTER'!$W$2:$W$495&gt;=9))*ROW('CONTROL MASTER'!$S$2:$S$495))-(ROW('CONTROL MASTER'!#REF!)-1))))*(INDEX('CONTROL MASTER'!$W$2:$W$495,(SUMPRODUCT((('CONTROL MASTER'!$S$2:$S$495=1)*('CONTROL MASTER'!$T$2:$T$495&lt;=10)*('CONTROL MASTER'!$V$2:$V$495&gt;=10)*('CONTROL MASTER'!$U$2:$U$495&lt;=9)*('CONTROL MASTER'!$W$2:$W$495&gt;=9))*ROW('CONTROL MASTER'!$S$2:$S$495))-(ROW('CONTROL MASTER'!#REF!)-1)))-INDEX('CONTROL MASTER'!$U$2:$U$495,(SUMPRODUCT((('CONTROL MASTER'!$S$2:$S$495=1)*('CONTROL MASTER'!$T$2:$T$495&lt;=10)*('CONTROL MASTER'!$V$2:$V$495&gt;=10)*('CONTROL MASTER'!$U$2:$U$495&lt;=9)*('CONTROL MASTER'!$W$2:$W$495&gt;=9))*ROW('CONTROL MASTER'!$S$2:$S$495))-(ROW('CONTROL MASTER'!#REF!)-1)))+1)+(9-INDEX('CONTROL MASTER'!$U$2:$U$495,(SUMPRODUCT((('CONTROL MASTER'!$S$2:$S$495=1)*('CONTROL MASTER'!$T$2:$T$495&lt;=10)*('CONTROL MASTER'!$V$2:$V$495&gt;=10)*('CONTROL MASTER'!$U$2:$U$495&lt;=9)*('CONTROL MASTER'!$W$2:$W$495&gt;=9))*ROW('CONTROL MASTER'!$S$2:$S$495))-(ROW('CONTROL MASTER'!#REF!)-1))))+1))-1)*50+1,50))&amp;"_"&amp;INDEX('CONTROL MASTER'!$P$2:$P$495,(SUMPRODUCT((('CONTROL MASTER'!$S$2:$S$495=1)*('CONTROL MASTER'!$T$2:$T$495&lt;=10)*('CONTROL MASTER'!$V$2:$V$495&gt;=10)*('CONTROL MASTER'!$U$2:$U$495&lt;=9)*('CONTROL MASTER'!$W$2:$W$495&gt;=9))*ROW('CONTROL MASTER'!$S$2:$S$495))-(ROW('CONTROL MASTER'!#REF!)-1))),IF(SUMPRODUCT((('CONTROL MASTER'!$S$2:$S$495=1)*('CONTROL MASTER'!$Z$2:$Z$495&lt;=10)*('CONTROL MASTER'!$AB$2:$AB$495&gt;=10)*('CONTROL MASTER'!$AA$2:$AA$495&lt;=9)*('CONTROL MASTER'!$AC$2:$AC$495&gt;=9))*ROW('CONTROL MASTER'!$S$2:$S$495))&gt;0,INDEX('CONTROL MASTER'!$X$2:$X$495,(SUMPRODUCT((('CONTROL MASTER'!$S$2:$S$495=1)*('CONTROL MASTER'!$Z$2:$Z$495&lt;=10)*('CONTROL MASTER'!$AB$2:$AB$495&gt;=10)*('CONTROL MASTER'!$AA$2:$AA$495&lt;=9)*('CONTROL MASTER'!$AC$2:$AC$495&gt;=9))*ROW('CONTROL MASTER'!$S$2:$S$495))-(ROW('CONTROL MASTER'!#REF!)-1)))&amp;TRIM(MID(SUBSTITUTE(SUBSTITUTE(INDEX('CONTROL MASTER'!$N$2:$N$495,(SUMPRODUCT((('CONTROL MASTER'!$S$2:$S$495=1)*('CONTROL MASTER'!$Z$2:$Z$495&lt;=10)*('CONTROL MASTER'!$AB$2:$AB$495&gt;=10)*('CONTROL MASTER'!$AA$2:$AA$495&lt;=9)*('CONTROL MASTER'!$AC$2:$AC$495&gt;=9))*ROW('CONTROL MASTER'!$S$2:$S$495))-(ROW('CONTROL MASTER'!#REF!)-1))),":",","),",",REPT(" ",50)),(((INDEX('CONTROL MASTER'!$Y$2:$Y$495,(SUMPRODUCT((('CONTROL MASTER'!$S$2:$S$495=1)*('CONTROL MASTER'!$Z$2:$Z$495&lt;=10)*('CONTROL MASTER'!$AB$2:$AB$495&gt;=10)*('CONTROL MASTER'!$AA$2:$AA$495&lt;=9)*('CONTROL MASTER'!$AC$2:$AC$495&gt;=9))*ROW('CONTROL MASTER'!$S$2:$S$495))-(ROW('CONTROL MASTER'!#REF!)-1)))+((10-INDEX('CONTROL MASTER'!$Z$2:$Z$495,(SUMPRODUCT((('CONTROL MASTER'!$S$2:$S$495=1)*('CONTROL MASTER'!$Z$2:$Z$495&lt;=10)*('CONTROL MASTER'!$AB$2:$AB$495&gt;=10)*('CONTROL MASTER'!$AA$2:$AA$495&lt;=9)*('CONTROL MASTER'!$AC$2:$AC$495&gt;=9))*ROW('CONTROL MASTER'!$S$2:$S$495))-(ROW('CONTROL MASTER'!#REF!)-1))))*(INDEX('CONTROL MASTER'!$AC$2:$AC$495,(SUMPRODUCT((('CONTROL MASTER'!$S$2:$S$495=1)*('CONTROL MASTER'!$Z$2:$Z$495&lt;=10)*('CONTROL MASTER'!$AB$2:$AB$495&gt;=10)*('CONTROL MASTER'!$AA$2:$AA$495&lt;=9)*('CONTROL MASTER'!$AC$2:$AC$495&gt;=9))*ROW('CONTROL MASTER'!$S$2:$S$495))-(ROW('CONTROL MASTER'!#REF!)-1)))-INDEX('CONTROL MASTER'!$AA$2:$AA$495,(SUMPRODUCT((('CONTROL MASTER'!$S$2:$S$495=1)*('CONTROL MASTER'!$Z$2:$Z$495&lt;=10)*('CONTROL MASTER'!$AB$2:$AB$495&gt;=10)*('CONTROL MASTER'!$AA$2:$AA$495&lt;=9)*('CONTROL MASTER'!$AC$2:$AC$495&gt;=9))*ROW('CONTROL MASTER'!$S$2:$S$495))-(ROW('CONTROL MASTER'!#REF!)-1)))+1)+(9-INDEX('CONTROL MASTER'!$AA$2:$AA$495,(SUMPRODUCT((('CONTROL MASTER'!$S$2:$S$495=1)*('CONTROL MASTER'!$Z$2:$Z$495&lt;=10)*('CONTROL MASTER'!$AB$2:$AB$495&gt;=10)*('CONTROL MASTER'!$AA$2:$AA$495&lt;=9)*('CONTROL MASTER'!$AC$2:$AC$495&gt;=9))*ROW('CONTROL MASTER'!$S$2:$S$495))-(ROW('CONTROL MASTER'!#REF!)-1))))+1)))-1)*50+1,50))&amp;"_"&amp;INDEX('CONTROL MASTER'!$P$2:$P$495,(SUMPRODUCT((('CONTROL MASTER'!$S$2:$S$495=1)*('CONTROL MASTER'!$Z$2:$Z$495&lt;=10)*('CONTROL MASTER'!$AB$2:$AB$495&gt;=10)*('CONTROL MASTER'!$AA$2:$AA$495&lt;=9)*('CONTROL MASTER'!$AC$2:$AC$495&gt;=9))*ROW('CONTROL MASTER'!$S$2:$S$495))-(ROW('CONTROL MASTER'!#REF!)-1))),"")),"")</f>
        <v/>
      </c>
      <c r="K12" s="10" t="str">
        <f>IFERROR(IF(SUMPRODUCT((('CONTROL MASTER'!$S$2:$S$495=1)*('CONTROL MASTER'!$T$2:$T$495&lt;=10)*('CONTROL MASTER'!$V$2:$V$495&gt;=10)*('CONTROL MASTER'!$U$2:$U$495&lt;=10)*('CONTROL MASTER'!$W$2:$W$495&gt;=10))*ROW('CONTROL MASTER'!$S$2:$S$495))&gt;0,INDEX('CONTROL MASTER'!$X$2:$X$495,(SUMPRODUCT((('CONTROL MASTER'!$S$2:$S$495=1)*('CONTROL MASTER'!$T$2:$T$495&lt;=10)*('CONTROL MASTER'!$V$2:$V$495&gt;=10)*('CONTROL MASTER'!$U$2:$U$495&lt;=10)*('CONTROL MASTER'!$W$2:$W$495&gt;=10))*ROW('CONTROL MASTER'!$S$2:$S$495))-(ROW('CONTROL MASTER'!#REF!)-1)))&amp;TRIM(MID(SUBSTITUTE(SUBSTITUTE(INDEX('CONTROL MASTER'!$N$2:$N$495,(SUMPRODUCT((('CONTROL MASTER'!$S$2:$S$495=1)*('CONTROL MASTER'!$T$2:$T$495&lt;=10)*('CONTROL MASTER'!$V$2:$V$495&gt;=10)*('CONTROL MASTER'!$U$2:$U$495&lt;=10)*('CONTROL MASTER'!$W$2:$W$495&gt;=10))*ROW('CONTROL MASTER'!$S$2:$S$495))-(ROW('CONTROL MASTER'!#REF!)-1))),":",","),",",REPT(" ",50)),((((10-INDEX('CONTROL MASTER'!$T$2:$T$495,(SUMPRODUCT((('CONTROL MASTER'!$S$2:$S$495=1)*('CONTROL MASTER'!$T$2:$T$495&lt;=10)*('CONTROL MASTER'!$V$2:$V$495&gt;=10)*('CONTROL MASTER'!$U$2:$U$495&lt;=10)*('CONTROL MASTER'!$W$2:$W$495&gt;=10))*ROW('CONTROL MASTER'!$S$2:$S$495))-(ROW('CONTROL MASTER'!#REF!)-1))))*(INDEX('CONTROL MASTER'!$W$2:$W$495,(SUMPRODUCT((('CONTROL MASTER'!$S$2:$S$495=1)*('CONTROL MASTER'!$T$2:$T$495&lt;=10)*('CONTROL MASTER'!$V$2:$V$495&gt;=10)*('CONTROL MASTER'!$U$2:$U$495&lt;=10)*('CONTROL MASTER'!$W$2:$W$495&gt;=10))*ROW('CONTROL MASTER'!$S$2:$S$495))-(ROW('CONTROL MASTER'!#REF!)-1)))-INDEX('CONTROL MASTER'!$U$2:$U$495,(SUMPRODUCT((('CONTROL MASTER'!$S$2:$S$495=1)*('CONTROL MASTER'!$T$2:$T$495&lt;=10)*('CONTROL MASTER'!$V$2:$V$495&gt;=10)*('CONTROL MASTER'!$U$2:$U$495&lt;=10)*('CONTROL MASTER'!$W$2:$W$495&gt;=10))*ROW('CONTROL MASTER'!$S$2:$S$495))-(ROW('CONTROL MASTER'!#REF!)-1)))+1)+(10-INDEX('CONTROL MASTER'!$U$2:$U$495,(SUMPRODUCT((('CONTROL MASTER'!$S$2:$S$495=1)*('CONTROL MASTER'!$T$2:$T$495&lt;=10)*('CONTROL MASTER'!$V$2:$V$495&gt;=10)*('CONTROL MASTER'!$U$2:$U$495&lt;=10)*('CONTROL MASTER'!$W$2:$W$495&gt;=10))*ROW('CONTROL MASTER'!$S$2:$S$495))-(ROW('CONTROL MASTER'!#REF!)-1))))+1))-1)*50+1,50))&amp;"_"&amp;INDEX('CONTROL MASTER'!$P$2:$P$495,(SUMPRODUCT((('CONTROL MASTER'!$S$2:$S$495=1)*('CONTROL MASTER'!$T$2:$T$495&lt;=10)*('CONTROL MASTER'!$V$2:$V$495&gt;=10)*('CONTROL MASTER'!$U$2:$U$495&lt;=10)*('CONTROL MASTER'!$W$2:$W$495&gt;=10))*ROW('CONTROL MASTER'!$S$2:$S$495))-(ROW('CONTROL MASTER'!#REF!)-1))),IF(SUMPRODUCT((('CONTROL MASTER'!$S$2:$S$495=1)*('CONTROL MASTER'!$Z$2:$Z$495&lt;=10)*('CONTROL MASTER'!$AB$2:$AB$495&gt;=10)*('CONTROL MASTER'!$AA$2:$AA$495&lt;=10)*('CONTROL MASTER'!$AC$2:$AC$495&gt;=10))*ROW('CONTROL MASTER'!$S$2:$S$495))&gt;0,INDEX('CONTROL MASTER'!$X$2:$X$495,(SUMPRODUCT((('CONTROL MASTER'!$S$2:$S$495=1)*('CONTROL MASTER'!$Z$2:$Z$495&lt;=10)*('CONTROL MASTER'!$AB$2:$AB$495&gt;=10)*('CONTROL MASTER'!$AA$2:$AA$495&lt;=10)*('CONTROL MASTER'!$AC$2:$AC$495&gt;=10))*ROW('CONTROL MASTER'!$S$2:$S$495))-(ROW('CONTROL MASTER'!#REF!)-1)))&amp;TRIM(MID(SUBSTITUTE(SUBSTITUTE(INDEX('CONTROL MASTER'!$N$2:$N$495,(SUMPRODUCT((('CONTROL MASTER'!$S$2:$S$495=1)*('CONTROL MASTER'!$Z$2:$Z$495&lt;=10)*('CONTROL MASTER'!$AB$2:$AB$495&gt;=10)*('CONTROL MASTER'!$AA$2:$AA$495&lt;=10)*('CONTROL MASTER'!$AC$2:$AC$495&gt;=10))*ROW('CONTROL MASTER'!$S$2:$S$495))-(ROW('CONTROL MASTER'!#REF!)-1))),":",","),",",REPT(" ",50)),(((INDEX('CONTROL MASTER'!$Y$2:$Y$495,(SUMPRODUCT((('CONTROL MASTER'!$S$2:$S$495=1)*('CONTROL MASTER'!$Z$2:$Z$495&lt;=10)*('CONTROL MASTER'!$AB$2:$AB$495&gt;=10)*('CONTROL MASTER'!$AA$2:$AA$495&lt;=10)*('CONTROL MASTER'!$AC$2:$AC$495&gt;=10))*ROW('CONTROL MASTER'!$S$2:$S$495))-(ROW('CONTROL MASTER'!#REF!)-1)))+((10-INDEX('CONTROL MASTER'!$Z$2:$Z$495,(SUMPRODUCT((('CONTROL MASTER'!$S$2:$S$495=1)*('CONTROL MASTER'!$Z$2:$Z$495&lt;=10)*('CONTROL MASTER'!$AB$2:$AB$495&gt;=10)*('CONTROL MASTER'!$AA$2:$AA$495&lt;=10)*('CONTROL MASTER'!$AC$2:$AC$495&gt;=10))*ROW('CONTROL MASTER'!$S$2:$S$495))-(ROW('CONTROL MASTER'!#REF!)-1))))*(INDEX('CONTROL MASTER'!$AC$2:$AC$495,(SUMPRODUCT((('CONTROL MASTER'!$S$2:$S$495=1)*('CONTROL MASTER'!$Z$2:$Z$495&lt;=10)*('CONTROL MASTER'!$AB$2:$AB$495&gt;=10)*('CONTROL MASTER'!$AA$2:$AA$495&lt;=10)*('CONTROL MASTER'!$AC$2:$AC$495&gt;=10))*ROW('CONTROL MASTER'!$S$2:$S$495))-(ROW('CONTROL MASTER'!#REF!)-1)))-INDEX('CONTROL MASTER'!$AA$2:$AA$495,(SUMPRODUCT((('CONTROL MASTER'!$S$2:$S$495=1)*('CONTROL MASTER'!$Z$2:$Z$495&lt;=10)*('CONTROL MASTER'!$AB$2:$AB$495&gt;=10)*('CONTROL MASTER'!$AA$2:$AA$495&lt;=10)*('CONTROL MASTER'!$AC$2:$AC$495&gt;=10))*ROW('CONTROL MASTER'!$S$2:$S$495))-(ROW('CONTROL MASTER'!#REF!)-1)))+1)+(10-INDEX('CONTROL MASTER'!$AA$2:$AA$495,(SUMPRODUCT((('CONTROL MASTER'!$S$2:$S$495=1)*('CONTROL MASTER'!$Z$2:$Z$495&lt;=10)*('CONTROL MASTER'!$AB$2:$AB$495&gt;=10)*('CONTROL MASTER'!$AA$2:$AA$495&lt;=10)*('CONTROL MASTER'!$AC$2:$AC$495&gt;=10))*ROW('CONTROL MASTER'!$S$2:$S$495))-(ROW('CONTROL MASTER'!#REF!)-1))))+1)))-1)*50+1,50))&amp;"_"&amp;INDEX('CONTROL MASTER'!$P$2:$P$495,(SUMPRODUCT((('CONTROL MASTER'!$S$2:$S$495=1)*('CONTROL MASTER'!$Z$2:$Z$495&lt;=10)*('CONTROL MASTER'!$AB$2:$AB$495&gt;=10)*('CONTROL MASTER'!$AA$2:$AA$495&lt;=10)*('CONTROL MASTER'!$AC$2:$AC$495&gt;=10))*ROW('CONTROL MASTER'!$S$2:$S$495))-(ROW('CONTROL MASTER'!#REF!)-1))),"")),"")</f>
        <v/>
      </c>
    </row>
    <row r="15" spans="1:11" ht="15" customHeight="1" x14ac:dyDescent="0.35">
      <c r="A15" s="12" t="s">
        <v>158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</row>
    <row r="16" spans="1:11" ht="15" customHeight="1" x14ac:dyDescent="0.35">
      <c r="B16" s="8">
        <v>1</v>
      </c>
      <c r="C16" s="8">
        <v>2</v>
      </c>
      <c r="D16" s="8">
        <v>3</v>
      </c>
      <c r="E16" s="8">
        <v>4</v>
      </c>
      <c r="F16" s="8">
        <v>5</v>
      </c>
      <c r="G16" s="8">
        <v>6</v>
      </c>
      <c r="H16" s="8">
        <v>7</v>
      </c>
      <c r="I16" s="8">
        <v>8</v>
      </c>
      <c r="J16" s="8">
        <v>9</v>
      </c>
      <c r="K16" s="8">
        <v>10</v>
      </c>
    </row>
    <row r="17" spans="1:11" ht="15" customHeight="1" x14ac:dyDescent="0.35">
      <c r="A17" s="8" t="s">
        <v>28</v>
      </c>
      <c r="B17" s="10" t="str">
        <f>IFERROR(IF(SUMPRODUCT((('CONTROL MASTER'!$S$2:$S$495=2)*('CONTROL MASTER'!$T$2:$T$495&lt;=1)*('CONTROL MASTER'!$V$2:$V$495&gt;=1)*('CONTROL MASTER'!$U$2:$U$495&lt;=1)*('CONTROL MASTER'!$W$2:$W$495&gt;=1))*ROW('CONTROL MASTER'!$S$2:$S$495))&gt;0,INDEX('CONTROL MASTER'!$X$2:$X$495,(SUMPRODUCT((('CONTROL MASTER'!$S$2:$S$495=2)*('CONTROL MASTER'!$T$2:$T$495&lt;=1)*('CONTROL MASTER'!$V$2:$V$495&gt;=1)*('CONTROL MASTER'!$U$2:$U$495&lt;=1)*('CONTROL MASTER'!$W$2:$W$495&gt;=1))*ROW('CONTROL MASTER'!$S$2:$S$495))-(ROW('CONTROL MASTER'!#REF!)-1)))&amp;TRIM(MID(SUBSTITUTE(SUBSTITUTE(INDEX('CONTROL MASTER'!$N$2:$N$495,(SUMPRODUCT((('CONTROL MASTER'!$S$2:$S$495=2)*('CONTROL MASTER'!$T$2:$T$495&lt;=1)*('CONTROL MASTER'!$V$2:$V$495&gt;=1)*('CONTROL MASTER'!$U$2:$U$495&lt;=1)*('CONTROL MASTER'!$W$2:$W$495&gt;=1))*ROW('CONTROL MASTER'!$S$2:$S$495))-(ROW('CONTROL MASTER'!#REF!)-1))),":",","),",",REPT(" ",50)),((((1-INDEX('CONTROL MASTER'!$T$2:$T$495,(SUMPRODUCT((('CONTROL MASTER'!$S$2:$S$495=2)*('CONTROL MASTER'!$T$2:$T$495&lt;=1)*('CONTROL MASTER'!$V$2:$V$495&gt;=1)*('CONTROL MASTER'!$U$2:$U$495&lt;=1)*('CONTROL MASTER'!$W$2:$W$495&gt;=1))*ROW('CONTROL MASTER'!$S$2:$S$495))-(ROW('CONTROL MASTER'!#REF!)-1))))*(INDEX('CONTROL MASTER'!$W$2:$W$495,(SUMPRODUCT((('CONTROL MASTER'!$S$2:$S$495=2)*('CONTROL MASTER'!$T$2:$T$495&lt;=1)*('CONTROL MASTER'!$V$2:$V$495&gt;=1)*('CONTROL MASTER'!$U$2:$U$495&lt;=1)*('CONTROL MASTER'!$W$2:$W$495&gt;=1))*ROW('CONTROL MASTER'!$S$2:$S$495))-(ROW('CONTROL MASTER'!#REF!)-1)))-INDEX('CONTROL MASTER'!$U$2:$U$495,(SUMPRODUCT((('CONTROL MASTER'!$S$2:$S$495=2)*('CONTROL MASTER'!$T$2:$T$495&lt;=1)*('CONTROL MASTER'!$V$2:$V$495&gt;=1)*('CONTROL MASTER'!$U$2:$U$495&lt;=1)*('CONTROL MASTER'!$W$2:$W$495&gt;=1))*ROW('CONTROL MASTER'!$S$2:$S$495))-(ROW('CONTROL MASTER'!#REF!)-1)))+1)+(1-INDEX('CONTROL MASTER'!$U$2:$U$495,(SUMPRODUCT((('CONTROL MASTER'!$S$2:$S$495=2)*('CONTROL MASTER'!$T$2:$T$495&lt;=1)*('CONTROL MASTER'!$V$2:$V$495&gt;=1)*('CONTROL MASTER'!$U$2:$U$495&lt;=1)*('CONTROL MASTER'!$W$2:$W$495&gt;=1))*ROW('CONTROL MASTER'!$S$2:$S$495))-(ROW('CONTROL MASTER'!#REF!)-1))))+1))-1)*50+1,50))&amp;"_"&amp;INDEX('CONTROL MASTER'!$P$2:$P$495,(SUMPRODUCT((('CONTROL MASTER'!$S$2:$S$495=2)*('CONTROL MASTER'!$T$2:$T$495&lt;=1)*('CONTROL MASTER'!$V$2:$V$495&gt;=1)*('CONTROL MASTER'!$U$2:$U$495&lt;=1)*('CONTROL MASTER'!$W$2:$W$495&gt;=1))*ROW('CONTROL MASTER'!$S$2:$S$495))-(ROW('CONTROL MASTER'!#REF!)-1))),IF(SUMPRODUCT((('CONTROL MASTER'!$S$2:$S$495=2)*('CONTROL MASTER'!$Z$2:$Z$495&lt;=1)*('CONTROL MASTER'!$AB$2:$AB$495&gt;=1)*('CONTROL MASTER'!$AA$2:$AA$495&lt;=1)*('CONTROL MASTER'!$AC$2:$AC$495&gt;=1))*ROW('CONTROL MASTER'!$S$2:$S$495))&gt;0,INDEX('CONTROL MASTER'!$X$2:$X$495,(SUMPRODUCT((('CONTROL MASTER'!$S$2:$S$495=2)*('CONTROL MASTER'!$Z$2:$Z$495&lt;=1)*('CONTROL MASTER'!$AB$2:$AB$495&gt;=1)*('CONTROL MASTER'!$AA$2:$AA$495&lt;=1)*('CONTROL MASTER'!$AC$2:$AC$495&gt;=1))*ROW('CONTROL MASTER'!$S$2:$S$495))-(ROW('CONTROL MASTER'!#REF!)-1)))&amp;TRIM(MID(SUBSTITUTE(SUBSTITUTE(INDEX('CONTROL MASTER'!$N$2:$N$495,(SUMPRODUCT((('CONTROL MASTER'!$S$2:$S$495=2)*('CONTROL MASTER'!$Z$2:$Z$495&lt;=1)*('CONTROL MASTER'!$AB$2:$AB$495&gt;=1)*('CONTROL MASTER'!$AA$2:$AA$495&lt;=1)*('CONTROL MASTER'!$AC$2:$AC$495&gt;=1))*ROW('CONTROL MASTER'!$S$2:$S$495))-(ROW('CONTROL MASTER'!#REF!)-1))),":",","),",",REPT(" ",50)),(((INDEX('CONTROL MASTER'!$Y$2:$Y$495,(SUMPRODUCT((('CONTROL MASTER'!$S$2:$S$495=2)*('CONTROL MASTER'!$Z$2:$Z$495&lt;=1)*('CONTROL MASTER'!$AB$2:$AB$495&gt;=1)*('CONTROL MASTER'!$AA$2:$AA$495&lt;=1)*('CONTROL MASTER'!$AC$2:$AC$495&gt;=1))*ROW('CONTROL MASTER'!$S$2:$S$495))-(ROW('CONTROL MASTER'!#REF!)-1)))+((1-INDEX('CONTROL MASTER'!$Z$2:$Z$495,(SUMPRODUCT((('CONTROL MASTER'!$S$2:$S$495=2)*('CONTROL MASTER'!$Z$2:$Z$495&lt;=1)*('CONTROL MASTER'!$AB$2:$AB$495&gt;=1)*('CONTROL MASTER'!$AA$2:$AA$495&lt;=1)*('CONTROL MASTER'!$AC$2:$AC$495&gt;=1))*ROW('CONTROL MASTER'!$S$2:$S$495))-(ROW('CONTROL MASTER'!#REF!)-1))))*(INDEX('CONTROL MASTER'!$AC$2:$AC$495,(SUMPRODUCT((('CONTROL MASTER'!$S$2:$S$495=2)*('CONTROL MASTER'!$Z$2:$Z$495&lt;=1)*('CONTROL MASTER'!$AB$2:$AB$495&gt;=1)*('CONTROL MASTER'!$AA$2:$AA$495&lt;=1)*('CONTROL MASTER'!$AC$2:$AC$495&gt;=1))*ROW('CONTROL MASTER'!$S$2:$S$495))-(ROW('CONTROL MASTER'!#REF!)-1)))-INDEX('CONTROL MASTER'!$AA$2:$AA$495,(SUMPRODUCT((('CONTROL MASTER'!$S$2:$S$495=2)*('CONTROL MASTER'!$Z$2:$Z$495&lt;=1)*('CONTROL MASTER'!$AB$2:$AB$495&gt;=1)*('CONTROL MASTER'!$AA$2:$AA$495&lt;=1)*('CONTROL MASTER'!$AC$2:$AC$495&gt;=1))*ROW('CONTROL MASTER'!$S$2:$S$495))-(ROW('CONTROL MASTER'!#REF!)-1)))+1)+(1-INDEX('CONTROL MASTER'!$AA$2:$AA$495,(SUMPRODUCT((('CONTROL MASTER'!$S$2:$S$495=2)*('CONTROL MASTER'!$Z$2:$Z$495&lt;=1)*('CONTROL MASTER'!$AB$2:$AB$495&gt;=1)*('CONTROL MASTER'!$AA$2:$AA$495&lt;=1)*('CONTROL MASTER'!$AC$2:$AC$495&gt;=1))*ROW('CONTROL MASTER'!$S$2:$S$495))-(ROW('CONTROL MASTER'!#REF!)-1))))+1)))-1)*50+1,50))&amp;"_"&amp;INDEX('CONTROL MASTER'!$P$2:$P$495,(SUMPRODUCT((('CONTROL MASTER'!$S$2:$S$495=2)*('CONTROL MASTER'!$Z$2:$Z$495&lt;=1)*('CONTROL MASTER'!$AB$2:$AB$495&gt;=1)*('CONTROL MASTER'!$AA$2:$AA$495&lt;=1)*('CONTROL MASTER'!$AC$2:$AC$495&gt;=1))*ROW('CONTROL MASTER'!$S$2:$S$495))-(ROW('CONTROL MASTER'!#REF!)-1))),"")),"")</f>
        <v/>
      </c>
      <c r="C17" s="10" t="str">
        <f>IFERROR(IF(SUMPRODUCT((('CONTROL MASTER'!$S$2:$S$495=2)*('CONTROL MASTER'!$T$2:$T$495&lt;=1)*('CONTROL MASTER'!$V$2:$V$495&gt;=1)*('CONTROL MASTER'!$U$2:$U$495&lt;=2)*('CONTROL MASTER'!$W$2:$W$495&gt;=2))*ROW('CONTROL MASTER'!$S$2:$S$495))&gt;0,INDEX('CONTROL MASTER'!$X$2:$X$495,(SUMPRODUCT((('CONTROL MASTER'!$S$2:$S$495=2)*('CONTROL MASTER'!$T$2:$T$495&lt;=1)*('CONTROL MASTER'!$V$2:$V$495&gt;=1)*('CONTROL MASTER'!$U$2:$U$495&lt;=2)*('CONTROL MASTER'!$W$2:$W$495&gt;=2))*ROW('CONTROL MASTER'!$S$2:$S$495))-(ROW('CONTROL MASTER'!#REF!)-1)))&amp;TRIM(MID(SUBSTITUTE(SUBSTITUTE(INDEX('CONTROL MASTER'!$N$2:$N$495,(SUMPRODUCT((('CONTROL MASTER'!$S$2:$S$495=2)*('CONTROL MASTER'!$T$2:$T$495&lt;=1)*('CONTROL MASTER'!$V$2:$V$495&gt;=1)*('CONTROL MASTER'!$U$2:$U$495&lt;=2)*('CONTROL MASTER'!$W$2:$W$495&gt;=2))*ROW('CONTROL MASTER'!$S$2:$S$495))-(ROW('CONTROL MASTER'!#REF!)-1))),":",","),",",REPT(" ",50)),((((1-INDEX('CONTROL MASTER'!$T$2:$T$495,(SUMPRODUCT((('CONTROL MASTER'!$S$2:$S$495=2)*('CONTROL MASTER'!$T$2:$T$495&lt;=1)*('CONTROL MASTER'!$V$2:$V$495&gt;=1)*('CONTROL MASTER'!$U$2:$U$495&lt;=2)*('CONTROL MASTER'!$W$2:$W$495&gt;=2))*ROW('CONTROL MASTER'!$S$2:$S$495))-(ROW('CONTROL MASTER'!#REF!)-1))))*(INDEX('CONTROL MASTER'!$W$2:$W$495,(SUMPRODUCT((('CONTROL MASTER'!$S$2:$S$495=2)*('CONTROL MASTER'!$T$2:$T$495&lt;=1)*('CONTROL MASTER'!$V$2:$V$495&gt;=1)*('CONTROL MASTER'!$U$2:$U$495&lt;=2)*('CONTROL MASTER'!$W$2:$W$495&gt;=2))*ROW('CONTROL MASTER'!$S$2:$S$495))-(ROW('CONTROL MASTER'!#REF!)-1)))-INDEX('CONTROL MASTER'!$U$2:$U$495,(SUMPRODUCT((('CONTROL MASTER'!$S$2:$S$495=2)*('CONTROL MASTER'!$T$2:$T$495&lt;=1)*('CONTROL MASTER'!$V$2:$V$495&gt;=1)*('CONTROL MASTER'!$U$2:$U$495&lt;=2)*('CONTROL MASTER'!$W$2:$W$495&gt;=2))*ROW('CONTROL MASTER'!$S$2:$S$495))-(ROW('CONTROL MASTER'!#REF!)-1)))+1)+(2-INDEX('CONTROL MASTER'!$U$2:$U$495,(SUMPRODUCT((('CONTROL MASTER'!$S$2:$S$495=2)*('CONTROL MASTER'!$T$2:$T$495&lt;=1)*('CONTROL MASTER'!$V$2:$V$495&gt;=1)*('CONTROL MASTER'!$U$2:$U$495&lt;=2)*('CONTROL MASTER'!$W$2:$W$495&gt;=2))*ROW('CONTROL MASTER'!$S$2:$S$495))-(ROW('CONTROL MASTER'!#REF!)-1))))+1))-1)*50+1,50))&amp;"_"&amp;INDEX('CONTROL MASTER'!$P$2:$P$495,(SUMPRODUCT((('CONTROL MASTER'!$S$2:$S$495=2)*('CONTROL MASTER'!$T$2:$T$495&lt;=1)*('CONTROL MASTER'!$V$2:$V$495&gt;=1)*('CONTROL MASTER'!$U$2:$U$495&lt;=2)*('CONTROL MASTER'!$W$2:$W$495&gt;=2))*ROW('CONTROL MASTER'!$S$2:$S$495))-(ROW('CONTROL MASTER'!#REF!)-1))),IF(SUMPRODUCT((('CONTROL MASTER'!$S$2:$S$495=2)*('CONTROL MASTER'!$Z$2:$Z$495&lt;=1)*('CONTROL MASTER'!$AB$2:$AB$495&gt;=1)*('CONTROL MASTER'!$AA$2:$AA$495&lt;=2)*('CONTROL MASTER'!$AC$2:$AC$495&gt;=2))*ROW('CONTROL MASTER'!$S$2:$S$495))&gt;0,INDEX('CONTROL MASTER'!$X$2:$X$495,(SUMPRODUCT((('CONTROL MASTER'!$S$2:$S$495=2)*('CONTROL MASTER'!$Z$2:$Z$495&lt;=1)*('CONTROL MASTER'!$AB$2:$AB$495&gt;=1)*('CONTROL MASTER'!$AA$2:$AA$495&lt;=2)*('CONTROL MASTER'!$AC$2:$AC$495&gt;=2))*ROW('CONTROL MASTER'!$S$2:$S$495))-(ROW('CONTROL MASTER'!#REF!)-1)))&amp;TRIM(MID(SUBSTITUTE(SUBSTITUTE(INDEX('CONTROL MASTER'!$N$2:$N$495,(SUMPRODUCT((('CONTROL MASTER'!$S$2:$S$495=2)*('CONTROL MASTER'!$Z$2:$Z$495&lt;=1)*('CONTROL MASTER'!$AB$2:$AB$495&gt;=1)*('CONTROL MASTER'!$AA$2:$AA$495&lt;=2)*('CONTROL MASTER'!$AC$2:$AC$495&gt;=2))*ROW('CONTROL MASTER'!$S$2:$S$495))-(ROW('CONTROL MASTER'!#REF!)-1))),":",","),",",REPT(" ",50)),(((INDEX('CONTROL MASTER'!$Y$2:$Y$495,(SUMPRODUCT((('CONTROL MASTER'!$S$2:$S$495=2)*('CONTROL MASTER'!$Z$2:$Z$495&lt;=1)*('CONTROL MASTER'!$AB$2:$AB$495&gt;=1)*('CONTROL MASTER'!$AA$2:$AA$495&lt;=2)*('CONTROL MASTER'!$AC$2:$AC$495&gt;=2))*ROW('CONTROL MASTER'!$S$2:$S$495))-(ROW('CONTROL MASTER'!#REF!)-1)))+((1-INDEX('CONTROL MASTER'!$Z$2:$Z$495,(SUMPRODUCT((('CONTROL MASTER'!$S$2:$S$495=2)*('CONTROL MASTER'!$Z$2:$Z$495&lt;=1)*('CONTROL MASTER'!$AB$2:$AB$495&gt;=1)*('CONTROL MASTER'!$AA$2:$AA$495&lt;=2)*('CONTROL MASTER'!$AC$2:$AC$495&gt;=2))*ROW('CONTROL MASTER'!$S$2:$S$495))-(ROW('CONTROL MASTER'!#REF!)-1))))*(INDEX('CONTROL MASTER'!$AC$2:$AC$495,(SUMPRODUCT((('CONTROL MASTER'!$S$2:$S$495=2)*('CONTROL MASTER'!$Z$2:$Z$495&lt;=1)*('CONTROL MASTER'!$AB$2:$AB$495&gt;=1)*('CONTROL MASTER'!$AA$2:$AA$495&lt;=2)*('CONTROL MASTER'!$AC$2:$AC$495&gt;=2))*ROW('CONTROL MASTER'!$S$2:$S$495))-(ROW('CONTROL MASTER'!#REF!)-1)))-INDEX('CONTROL MASTER'!$AA$2:$AA$495,(SUMPRODUCT((('CONTROL MASTER'!$S$2:$S$495=2)*('CONTROL MASTER'!$Z$2:$Z$495&lt;=1)*('CONTROL MASTER'!$AB$2:$AB$495&gt;=1)*('CONTROL MASTER'!$AA$2:$AA$495&lt;=2)*('CONTROL MASTER'!$AC$2:$AC$495&gt;=2))*ROW('CONTROL MASTER'!$S$2:$S$495))-(ROW('CONTROL MASTER'!#REF!)-1)))+1)+(2-INDEX('CONTROL MASTER'!$AA$2:$AA$495,(SUMPRODUCT((('CONTROL MASTER'!$S$2:$S$495=2)*('CONTROL MASTER'!$Z$2:$Z$495&lt;=1)*('CONTROL MASTER'!$AB$2:$AB$495&gt;=1)*('CONTROL MASTER'!$AA$2:$AA$495&lt;=2)*('CONTROL MASTER'!$AC$2:$AC$495&gt;=2))*ROW('CONTROL MASTER'!$S$2:$S$495))-(ROW('CONTROL MASTER'!#REF!)-1))))+1)))-1)*50+1,50))&amp;"_"&amp;INDEX('CONTROL MASTER'!$P$2:$P$495,(SUMPRODUCT((('CONTROL MASTER'!$S$2:$S$495=2)*('CONTROL MASTER'!$Z$2:$Z$495&lt;=1)*('CONTROL MASTER'!$AB$2:$AB$495&gt;=1)*('CONTROL MASTER'!$AA$2:$AA$495&lt;=2)*('CONTROL MASTER'!$AC$2:$AC$495&gt;=2))*ROW('CONTROL MASTER'!$S$2:$S$495))-(ROW('CONTROL MASTER'!#REF!)-1))),"")),"")</f>
        <v/>
      </c>
      <c r="D17" s="10" t="str">
        <f>IFERROR(IF(SUMPRODUCT((('CONTROL MASTER'!$S$2:$S$495=2)*('CONTROL MASTER'!$T$2:$T$495&lt;=1)*('CONTROL MASTER'!$V$2:$V$495&gt;=1)*('CONTROL MASTER'!$U$2:$U$495&lt;=3)*('CONTROL MASTER'!$W$2:$W$495&gt;=3))*ROW('CONTROL MASTER'!$S$2:$S$495))&gt;0,INDEX('CONTROL MASTER'!$X$2:$X$495,(SUMPRODUCT((('CONTROL MASTER'!$S$2:$S$495=2)*('CONTROL MASTER'!$T$2:$T$495&lt;=1)*('CONTROL MASTER'!$V$2:$V$495&gt;=1)*('CONTROL MASTER'!$U$2:$U$495&lt;=3)*('CONTROL MASTER'!$W$2:$W$495&gt;=3))*ROW('CONTROL MASTER'!$S$2:$S$495))-(ROW('CONTROL MASTER'!#REF!)-1)))&amp;TRIM(MID(SUBSTITUTE(SUBSTITUTE(INDEX('CONTROL MASTER'!$N$2:$N$495,(SUMPRODUCT((('CONTROL MASTER'!$S$2:$S$495=2)*('CONTROL MASTER'!$T$2:$T$495&lt;=1)*('CONTROL MASTER'!$V$2:$V$495&gt;=1)*('CONTROL MASTER'!$U$2:$U$495&lt;=3)*('CONTROL MASTER'!$W$2:$W$495&gt;=3))*ROW('CONTROL MASTER'!$S$2:$S$495))-(ROW('CONTROL MASTER'!#REF!)-1))),":",","),",",REPT(" ",50)),((((1-INDEX('CONTROL MASTER'!$T$2:$T$495,(SUMPRODUCT((('CONTROL MASTER'!$S$2:$S$495=2)*('CONTROL MASTER'!$T$2:$T$495&lt;=1)*('CONTROL MASTER'!$V$2:$V$495&gt;=1)*('CONTROL MASTER'!$U$2:$U$495&lt;=3)*('CONTROL MASTER'!$W$2:$W$495&gt;=3))*ROW('CONTROL MASTER'!$S$2:$S$495))-(ROW('CONTROL MASTER'!#REF!)-1))))*(INDEX('CONTROL MASTER'!$W$2:$W$495,(SUMPRODUCT((('CONTROL MASTER'!$S$2:$S$495=2)*('CONTROL MASTER'!$T$2:$T$495&lt;=1)*('CONTROL MASTER'!$V$2:$V$495&gt;=1)*('CONTROL MASTER'!$U$2:$U$495&lt;=3)*('CONTROL MASTER'!$W$2:$W$495&gt;=3))*ROW('CONTROL MASTER'!$S$2:$S$495))-(ROW('CONTROL MASTER'!#REF!)-1)))-INDEX('CONTROL MASTER'!$U$2:$U$495,(SUMPRODUCT((('CONTROL MASTER'!$S$2:$S$495=2)*('CONTROL MASTER'!$T$2:$T$495&lt;=1)*('CONTROL MASTER'!$V$2:$V$495&gt;=1)*('CONTROL MASTER'!$U$2:$U$495&lt;=3)*('CONTROL MASTER'!$W$2:$W$495&gt;=3))*ROW('CONTROL MASTER'!$S$2:$S$495))-(ROW('CONTROL MASTER'!#REF!)-1)))+1)+(3-INDEX('CONTROL MASTER'!$U$2:$U$495,(SUMPRODUCT((('CONTROL MASTER'!$S$2:$S$495=2)*('CONTROL MASTER'!$T$2:$T$495&lt;=1)*('CONTROL MASTER'!$V$2:$V$495&gt;=1)*('CONTROL MASTER'!$U$2:$U$495&lt;=3)*('CONTROL MASTER'!$W$2:$W$495&gt;=3))*ROW('CONTROL MASTER'!$S$2:$S$495))-(ROW('CONTROL MASTER'!#REF!)-1))))+1))-1)*50+1,50))&amp;"_"&amp;INDEX('CONTROL MASTER'!$P$2:$P$495,(SUMPRODUCT((('CONTROL MASTER'!$S$2:$S$495=2)*('CONTROL MASTER'!$T$2:$T$495&lt;=1)*('CONTROL MASTER'!$V$2:$V$495&gt;=1)*('CONTROL MASTER'!$U$2:$U$495&lt;=3)*('CONTROL MASTER'!$W$2:$W$495&gt;=3))*ROW('CONTROL MASTER'!$S$2:$S$495))-(ROW('CONTROL MASTER'!#REF!)-1))),IF(SUMPRODUCT((('CONTROL MASTER'!$S$2:$S$495=2)*('CONTROL MASTER'!$Z$2:$Z$495&lt;=1)*('CONTROL MASTER'!$AB$2:$AB$495&gt;=1)*('CONTROL MASTER'!$AA$2:$AA$495&lt;=3)*('CONTROL MASTER'!$AC$2:$AC$495&gt;=3))*ROW('CONTROL MASTER'!$S$2:$S$495))&gt;0,INDEX('CONTROL MASTER'!$X$2:$X$495,(SUMPRODUCT((('CONTROL MASTER'!$S$2:$S$495=2)*('CONTROL MASTER'!$Z$2:$Z$495&lt;=1)*('CONTROL MASTER'!$AB$2:$AB$495&gt;=1)*('CONTROL MASTER'!$AA$2:$AA$495&lt;=3)*('CONTROL MASTER'!$AC$2:$AC$495&gt;=3))*ROW('CONTROL MASTER'!$S$2:$S$495))-(ROW('CONTROL MASTER'!#REF!)-1)))&amp;TRIM(MID(SUBSTITUTE(SUBSTITUTE(INDEX('CONTROL MASTER'!$N$2:$N$495,(SUMPRODUCT((('CONTROL MASTER'!$S$2:$S$495=2)*('CONTROL MASTER'!$Z$2:$Z$495&lt;=1)*('CONTROL MASTER'!$AB$2:$AB$495&gt;=1)*('CONTROL MASTER'!$AA$2:$AA$495&lt;=3)*('CONTROL MASTER'!$AC$2:$AC$495&gt;=3))*ROW('CONTROL MASTER'!$S$2:$S$495))-(ROW('CONTROL MASTER'!#REF!)-1))),":",","),",",REPT(" ",50)),(((INDEX('CONTROL MASTER'!$Y$2:$Y$495,(SUMPRODUCT((('CONTROL MASTER'!$S$2:$S$495=2)*('CONTROL MASTER'!$Z$2:$Z$495&lt;=1)*('CONTROL MASTER'!$AB$2:$AB$495&gt;=1)*('CONTROL MASTER'!$AA$2:$AA$495&lt;=3)*('CONTROL MASTER'!$AC$2:$AC$495&gt;=3))*ROW('CONTROL MASTER'!$S$2:$S$495))-(ROW('CONTROL MASTER'!#REF!)-1)))+((1-INDEX('CONTROL MASTER'!$Z$2:$Z$495,(SUMPRODUCT((('CONTROL MASTER'!$S$2:$S$495=2)*('CONTROL MASTER'!$Z$2:$Z$495&lt;=1)*('CONTROL MASTER'!$AB$2:$AB$495&gt;=1)*('CONTROL MASTER'!$AA$2:$AA$495&lt;=3)*('CONTROL MASTER'!$AC$2:$AC$495&gt;=3))*ROW('CONTROL MASTER'!$S$2:$S$495))-(ROW('CONTROL MASTER'!#REF!)-1))))*(INDEX('CONTROL MASTER'!$AC$2:$AC$495,(SUMPRODUCT((('CONTROL MASTER'!$S$2:$S$495=2)*('CONTROL MASTER'!$Z$2:$Z$495&lt;=1)*('CONTROL MASTER'!$AB$2:$AB$495&gt;=1)*('CONTROL MASTER'!$AA$2:$AA$495&lt;=3)*('CONTROL MASTER'!$AC$2:$AC$495&gt;=3))*ROW('CONTROL MASTER'!$S$2:$S$495))-(ROW('CONTROL MASTER'!#REF!)-1)))-INDEX('CONTROL MASTER'!$AA$2:$AA$495,(SUMPRODUCT((('CONTROL MASTER'!$S$2:$S$495=2)*('CONTROL MASTER'!$Z$2:$Z$495&lt;=1)*('CONTROL MASTER'!$AB$2:$AB$495&gt;=1)*('CONTROL MASTER'!$AA$2:$AA$495&lt;=3)*('CONTROL MASTER'!$AC$2:$AC$495&gt;=3))*ROW('CONTROL MASTER'!$S$2:$S$495))-(ROW('CONTROL MASTER'!#REF!)-1)))+1)+(3-INDEX('CONTROL MASTER'!$AA$2:$AA$495,(SUMPRODUCT((('CONTROL MASTER'!$S$2:$S$495=2)*('CONTROL MASTER'!$Z$2:$Z$495&lt;=1)*('CONTROL MASTER'!$AB$2:$AB$495&gt;=1)*('CONTROL MASTER'!$AA$2:$AA$495&lt;=3)*('CONTROL MASTER'!$AC$2:$AC$495&gt;=3))*ROW('CONTROL MASTER'!$S$2:$S$495))-(ROW('CONTROL MASTER'!#REF!)-1))))+1)))-1)*50+1,50))&amp;"_"&amp;INDEX('CONTROL MASTER'!$P$2:$P$495,(SUMPRODUCT((('CONTROL MASTER'!$S$2:$S$495=2)*('CONTROL MASTER'!$Z$2:$Z$495&lt;=1)*('CONTROL MASTER'!$AB$2:$AB$495&gt;=1)*('CONTROL MASTER'!$AA$2:$AA$495&lt;=3)*('CONTROL MASTER'!$AC$2:$AC$495&gt;=3))*ROW('CONTROL MASTER'!$S$2:$S$495))-(ROW('CONTROL MASTER'!#REF!)-1))),"")),"")</f>
        <v/>
      </c>
      <c r="E17" s="10" t="str">
        <f>IFERROR(IF(SUMPRODUCT((('CONTROL MASTER'!$S$2:$S$495=2)*('CONTROL MASTER'!$T$2:$T$495&lt;=1)*('CONTROL MASTER'!$V$2:$V$495&gt;=1)*('CONTROL MASTER'!$U$2:$U$495&lt;=4)*('CONTROL MASTER'!$W$2:$W$495&gt;=4))*ROW('CONTROL MASTER'!$S$2:$S$495))&gt;0,INDEX('CONTROL MASTER'!$X$2:$X$495,(SUMPRODUCT((('CONTROL MASTER'!$S$2:$S$495=2)*('CONTROL MASTER'!$T$2:$T$495&lt;=1)*('CONTROL MASTER'!$V$2:$V$495&gt;=1)*('CONTROL MASTER'!$U$2:$U$495&lt;=4)*('CONTROL MASTER'!$W$2:$W$495&gt;=4))*ROW('CONTROL MASTER'!$S$2:$S$495))-(ROW('CONTROL MASTER'!#REF!)-1)))&amp;TRIM(MID(SUBSTITUTE(SUBSTITUTE(INDEX('CONTROL MASTER'!$N$2:$N$495,(SUMPRODUCT((('CONTROL MASTER'!$S$2:$S$495=2)*('CONTROL MASTER'!$T$2:$T$495&lt;=1)*('CONTROL MASTER'!$V$2:$V$495&gt;=1)*('CONTROL MASTER'!$U$2:$U$495&lt;=4)*('CONTROL MASTER'!$W$2:$W$495&gt;=4))*ROW('CONTROL MASTER'!$S$2:$S$495))-(ROW('CONTROL MASTER'!#REF!)-1))),":",","),",",REPT(" ",50)),((((1-INDEX('CONTROL MASTER'!$T$2:$T$495,(SUMPRODUCT((('CONTROL MASTER'!$S$2:$S$495=2)*('CONTROL MASTER'!$T$2:$T$495&lt;=1)*('CONTROL MASTER'!$V$2:$V$495&gt;=1)*('CONTROL MASTER'!$U$2:$U$495&lt;=4)*('CONTROL MASTER'!$W$2:$W$495&gt;=4))*ROW('CONTROL MASTER'!$S$2:$S$495))-(ROW('CONTROL MASTER'!#REF!)-1))))*(INDEX('CONTROL MASTER'!$W$2:$W$495,(SUMPRODUCT((('CONTROL MASTER'!$S$2:$S$495=2)*('CONTROL MASTER'!$T$2:$T$495&lt;=1)*('CONTROL MASTER'!$V$2:$V$495&gt;=1)*('CONTROL MASTER'!$U$2:$U$495&lt;=4)*('CONTROL MASTER'!$W$2:$W$495&gt;=4))*ROW('CONTROL MASTER'!$S$2:$S$495))-(ROW('CONTROL MASTER'!#REF!)-1)))-INDEX('CONTROL MASTER'!$U$2:$U$495,(SUMPRODUCT((('CONTROL MASTER'!$S$2:$S$495=2)*('CONTROL MASTER'!$T$2:$T$495&lt;=1)*('CONTROL MASTER'!$V$2:$V$495&gt;=1)*('CONTROL MASTER'!$U$2:$U$495&lt;=4)*('CONTROL MASTER'!$W$2:$W$495&gt;=4))*ROW('CONTROL MASTER'!$S$2:$S$495))-(ROW('CONTROL MASTER'!#REF!)-1)))+1)+(4-INDEX('CONTROL MASTER'!$U$2:$U$495,(SUMPRODUCT((('CONTROL MASTER'!$S$2:$S$495=2)*('CONTROL MASTER'!$T$2:$T$495&lt;=1)*('CONTROL MASTER'!$V$2:$V$495&gt;=1)*('CONTROL MASTER'!$U$2:$U$495&lt;=4)*('CONTROL MASTER'!$W$2:$W$495&gt;=4))*ROW('CONTROL MASTER'!$S$2:$S$495))-(ROW('CONTROL MASTER'!#REF!)-1))))+1))-1)*50+1,50))&amp;"_"&amp;INDEX('CONTROL MASTER'!$P$2:$P$495,(SUMPRODUCT((('CONTROL MASTER'!$S$2:$S$495=2)*('CONTROL MASTER'!$T$2:$T$495&lt;=1)*('CONTROL MASTER'!$V$2:$V$495&gt;=1)*('CONTROL MASTER'!$U$2:$U$495&lt;=4)*('CONTROL MASTER'!$W$2:$W$495&gt;=4))*ROW('CONTROL MASTER'!$S$2:$S$495))-(ROW('CONTROL MASTER'!#REF!)-1))),IF(SUMPRODUCT((('CONTROL MASTER'!$S$2:$S$495=2)*('CONTROL MASTER'!$Z$2:$Z$495&lt;=1)*('CONTROL MASTER'!$AB$2:$AB$495&gt;=1)*('CONTROL MASTER'!$AA$2:$AA$495&lt;=4)*('CONTROL MASTER'!$AC$2:$AC$495&gt;=4))*ROW('CONTROL MASTER'!$S$2:$S$495))&gt;0,INDEX('CONTROL MASTER'!$X$2:$X$495,(SUMPRODUCT((('CONTROL MASTER'!$S$2:$S$495=2)*('CONTROL MASTER'!$Z$2:$Z$495&lt;=1)*('CONTROL MASTER'!$AB$2:$AB$495&gt;=1)*('CONTROL MASTER'!$AA$2:$AA$495&lt;=4)*('CONTROL MASTER'!$AC$2:$AC$495&gt;=4))*ROW('CONTROL MASTER'!$S$2:$S$495))-(ROW('CONTROL MASTER'!#REF!)-1)))&amp;TRIM(MID(SUBSTITUTE(SUBSTITUTE(INDEX('CONTROL MASTER'!$N$2:$N$495,(SUMPRODUCT((('CONTROL MASTER'!$S$2:$S$495=2)*('CONTROL MASTER'!$Z$2:$Z$495&lt;=1)*('CONTROL MASTER'!$AB$2:$AB$495&gt;=1)*('CONTROL MASTER'!$AA$2:$AA$495&lt;=4)*('CONTROL MASTER'!$AC$2:$AC$495&gt;=4))*ROW('CONTROL MASTER'!$S$2:$S$495))-(ROW('CONTROL MASTER'!#REF!)-1))),":",","),",",REPT(" ",50)),(((INDEX('CONTROL MASTER'!$Y$2:$Y$495,(SUMPRODUCT((('CONTROL MASTER'!$S$2:$S$495=2)*('CONTROL MASTER'!$Z$2:$Z$495&lt;=1)*('CONTROL MASTER'!$AB$2:$AB$495&gt;=1)*('CONTROL MASTER'!$AA$2:$AA$495&lt;=4)*('CONTROL MASTER'!$AC$2:$AC$495&gt;=4))*ROW('CONTROL MASTER'!$S$2:$S$495))-(ROW('CONTROL MASTER'!#REF!)-1)))+((1-INDEX('CONTROL MASTER'!$Z$2:$Z$495,(SUMPRODUCT((('CONTROL MASTER'!$S$2:$S$495=2)*('CONTROL MASTER'!$Z$2:$Z$495&lt;=1)*('CONTROL MASTER'!$AB$2:$AB$495&gt;=1)*('CONTROL MASTER'!$AA$2:$AA$495&lt;=4)*('CONTROL MASTER'!$AC$2:$AC$495&gt;=4))*ROW('CONTROL MASTER'!$S$2:$S$495))-(ROW('CONTROL MASTER'!#REF!)-1))))*(INDEX('CONTROL MASTER'!$AC$2:$AC$495,(SUMPRODUCT((('CONTROL MASTER'!$S$2:$S$495=2)*('CONTROL MASTER'!$Z$2:$Z$495&lt;=1)*('CONTROL MASTER'!$AB$2:$AB$495&gt;=1)*('CONTROL MASTER'!$AA$2:$AA$495&lt;=4)*('CONTROL MASTER'!$AC$2:$AC$495&gt;=4))*ROW('CONTROL MASTER'!$S$2:$S$495))-(ROW('CONTROL MASTER'!#REF!)-1)))-INDEX('CONTROL MASTER'!$AA$2:$AA$495,(SUMPRODUCT((('CONTROL MASTER'!$S$2:$S$495=2)*('CONTROL MASTER'!$Z$2:$Z$495&lt;=1)*('CONTROL MASTER'!$AB$2:$AB$495&gt;=1)*('CONTROL MASTER'!$AA$2:$AA$495&lt;=4)*('CONTROL MASTER'!$AC$2:$AC$495&gt;=4))*ROW('CONTROL MASTER'!$S$2:$S$495))-(ROW('CONTROL MASTER'!#REF!)-1)))+1)+(4-INDEX('CONTROL MASTER'!$AA$2:$AA$495,(SUMPRODUCT((('CONTROL MASTER'!$S$2:$S$495=2)*('CONTROL MASTER'!$Z$2:$Z$495&lt;=1)*('CONTROL MASTER'!$AB$2:$AB$495&gt;=1)*('CONTROL MASTER'!$AA$2:$AA$495&lt;=4)*('CONTROL MASTER'!$AC$2:$AC$495&gt;=4))*ROW('CONTROL MASTER'!$S$2:$S$495))-(ROW('CONTROL MASTER'!#REF!)-1))))+1)))-1)*50+1,50))&amp;"_"&amp;INDEX('CONTROL MASTER'!$P$2:$P$495,(SUMPRODUCT((('CONTROL MASTER'!$S$2:$S$495=2)*('CONTROL MASTER'!$Z$2:$Z$495&lt;=1)*('CONTROL MASTER'!$AB$2:$AB$495&gt;=1)*('CONTROL MASTER'!$AA$2:$AA$495&lt;=4)*('CONTROL MASTER'!$AC$2:$AC$495&gt;=4))*ROW('CONTROL MASTER'!$S$2:$S$495))-(ROW('CONTROL MASTER'!#REF!)-1))),"")),"")</f>
        <v/>
      </c>
      <c r="F17" s="10" t="str">
        <f>IFERROR(IF(SUMPRODUCT((('CONTROL MASTER'!$S$2:$S$495=2)*('CONTROL MASTER'!$T$2:$T$495&lt;=1)*('CONTROL MASTER'!$V$2:$V$495&gt;=1)*('CONTROL MASTER'!$U$2:$U$495&lt;=5)*('CONTROL MASTER'!$W$2:$W$495&gt;=5))*ROW('CONTROL MASTER'!$S$2:$S$495))&gt;0,INDEX('CONTROL MASTER'!$X$2:$X$495,(SUMPRODUCT((('CONTROL MASTER'!$S$2:$S$495=2)*('CONTROL MASTER'!$T$2:$T$495&lt;=1)*('CONTROL MASTER'!$V$2:$V$495&gt;=1)*('CONTROL MASTER'!$U$2:$U$495&lt;=5)*('CONTROL MASTER'!$W$2:$W$495&gt;=5))*ROW('CONTROL MASTER'!$S$2:$S$495))-(ROW('CONTROL MASTER'!#REF!)-1)))&amp;TRIM(MID(SUBSTITUTE(SUBSTITUTE(INDEX('CONTROL MASTER'!$N$2:$N$495,(SUMPRODUCT((('CONTROL MASTER'!$S$2:$S$495=2)*('CONTROL MASTER'!$T$2:$T$495&lt;=1)*('CONTROL MASTER'!$V$2:$V$495&gt;=1)*('CONTROL MASTER'!$U$2:$U$495&lt;=5)*('CONTROL MASTER'!$W$2:$W$495&gt;=5))*ROW('CONTROL MASTER'!$S$2:$S$495))-(ROW('CONTROL MASTER'!#REF!)-1))),":",","),",",REPT(" ",50)),((((1-INDEX('CONTROL MASTER'!$T$2:$T$495,(SUMPRODUCT((('CONTROL MASTER'!$S$2:$S$495=2)*('CONTROL MASTER'!$T$2:$T$495&lt;=1)*('CONTROL MASTER'!$V$2:$V$495&gt;=1)*('CONTROL MASTER'!$U$2:$U$495&lt;=5)*('CONTROL MASTER'!$W$2:$W$495&gt;=5))*ROW('CONTROL MASTER'!$S$2:$S$495))-(ROW('CONTROL MASTER'!#REF!)-1))))*(INDEX('CONTROL MASTER'!$W$2:$W$495,(SUMPRODUCT((('CONTROL MASTER'!$S$2:$S$495=2)*('CONTROL MASTER'!$T$2:$T$495&lt;=1)*('CONTROL MASTER'!$V$2:$V$495&gt;=1)*('CONTROL MASTER'!$U$2:$U$495&lt;=5)*('CONTROL MASTER'!$W$2:$W$495&gt;=5))*ROW('CONTROL MASTER'!$S$2:$S$495))-(ROW('CONTROL MASTER'!#REF!)-1)))-INDEX('CONTROL MASTER'!$U$2:$U$495,(SUMPRODUCT((('CONTROL MASTER'!$S$2:$S$495=2)*('CONTROL MASTER'!$T$2:$T$495&lt;=1)*('CONTROL MASTER'!$V$2:$V$495&gt;=1)*('CONTROL MASTER'!$U$2:$U$495&lt;=5)*('CONTROL MASTER'!$W$2:$W$495&gt;=5))*ROW('CONTROL MASTER'!$S$2:$S$495))-(ROW('CONTROL MASTER'!#REF!)-1)))+1)+(5-INDEX('CONTROL MASTER'!$U$2:$U$495,(SUMPRODUCT((('CONTROL MASTER'!$S$2:$S$495=2)*('CONTROL MASTER'!$T$2:$T$495&lt;=1)*('CONTROL MASTER'!$V$2:$V$495&gt;=1)*('CONTROL MASTER'!$U$2:$U$495&lt;=5)*('CONTROL MASTER'!$W$2:$W$495&gt;=5))*ROW('CONTROL MASTER'!$S$2:$S$495))-(ROW('CONTROL MASTER'!#REF!)-1))))+1))-1)*50+1,50))&amp;"_"&amp;INDEX('CONTROL MASTER'!$P$2:$P$495,(SUMPRODUCT((('CONTROL MASTER'!$S$2:$S$495=2)*('CONTROL MASTER'!$T$2:$T$495&lt;=1)*('CONTROL MASTER'!$V$2:$V$495&gt;=1)*('CONTROL MASTER'!$U$2:$U$495&lt;=5)*('CONTROL MASTER'!$W$2:$W$495&gt;=5))*ROW('CONTROL MASTER'!$S$2:$S$495))-(ROW('CONTROL MASTER'!#REF!)-1))),IF(SUMPRODUCT((('CONTROL MASTER'!$S$2:$S$495=2)*('CONTROL MASTER'!$Z$2:$Z$495&lt;=1)*('CONTROL MASTER'!$AB$2:$AB$495&gt;=1)*('CONTROL MASTER'!$AA$2:$AA$495&lt;=5)*('CONTROL MASTER'!$AC$2:$AC$495&gt;=5))*ROW('CONTROL MASTER'!$S$2:$S$495))&gt;0,INDEX('CONTROL MASTER'!$X$2:$X$495,(SUMPRODUCT((('CONTROL MASTER'!$S$2:$S$495=2)*('CONTROL MASTER'!$Z$2:$Z$495&lt;=1)*('CONTROL MASTER'!$AB$2:$AB$495&gt;=1)*('CONTROL MASTER'!$AA$2:$AA$495&lt;=5)*('CONTROL MASTER'!$AC$2:$AC$495&gt;=5))*ROW('CONTROL MASTER'!$S$2:$S$495))-(ROW('CONTROL MASTER'!#REF!)-1)))&amp;TRIM(MID(SUBSTITUTE(SUBSTITUTE(INDEX('CONTROL MASTER'!$N$2:$N$495,(SUMPRODUCT((('CONTROL MASTER'!$S$2:$S$495=2)*('CONTROL MASTER'!$Z$2:$Z$495&lt;=1)*('CONTROL MASTER'!$AB$2:$AB$495&gt;=1)*('CONTROL MASTER'!$AA$2:$AA$495&lt;=5)*('CONTROL MASTER'!$AC$2:$AC$495&gt;=5))*ROW('CONTROL MASTER'!$S$2:$S$495))-(ROW('CONTROL MASTER'!#REF!)-1))),":",","),",",REPT(" ",50)),(((INDEX('CONTROL MASTER'!$Y$2:$Y$495,(SUMPRODUCT((('CONTROL MASTER'!$S$2:$S$495=2)*('CONTROL MASTER'!$Z$2:$Z$495&lt;=1)*('CONTROL MASTER'!$AB$2:$AB$495&gt;=1)*('CONTROL MASTER'!$AA$2:$AA$495&lt;=5)*('CONTROL MASTER'!$AC$2:$AC$495&gt;=5))*ROW('CONTROL MASTER'!$S$2:$S$495))-(ROW('CONTROL MASTER'!#REF!)-1)))+((1-INDEX('CONTROL MASTER'!$Z$2:$Z$495,(SUMPRODUCT((('CONTROL MASTER'!$S$2:$S$495=2)*('CONTROL MASTER'!$Z$2:$Z$495&lt;=1)*('CONTROL MASTER'!$AB$2:$AB$495&gt;=1)*('CONTROL MASTER'!$AA$2:$AA$495&lt;=5)*('CONTROL MASTER'!$AC$2:$AC$495&gt;=5))*ROW('CONTROL MASTER'!$S$2:$S$495))-(ROW('CONTROL MASTER'!#REF!)-1))))*(INDEX('CONTROL MASTER'!$AC$2:$AC$495,(SUMPRODUCT((('CONTROL MASTER'!$S$2:$S$495=2)*('CONTROL MASTER'!$Z$2:$Z$495&lt;=1)*('CONTROL MASTER'!$AB$2:$AB$495&gt;=1)*('CONTROL MASTER'!$AA$2:$AA$495&lt;=5)*('CONTROL MASTER'!$AC$2:$AC$495&gt;=5))*ROW('CONTROL MASTER'!$S$2:$S$495))-(ROW('CONTROL MASTER'!#REF!)-1)))-INDEX('CONTROL MASTER'!$AA$2:$AA$495,(SUMPRODUCT((('CONTROL MASTER'!$S$2:$S$495=2)*('CONTROL MASTER'!$Z$2:$Z$495&lt;=1)*('CONTROL MASTER'!$AB$2:$AB$495&gt;=1)*('CONTROL MASTER'!$AA$2:$AA$495&lt;=5)*('CONTROL MASTER'!$AC$2:$AC$495&gt;=5))*ROW('CONTROL MASTER'!$S$2:$S$495))-(ROW('CONTROL MASTER'!#REF!)-1)))+1)+(5-INDEX('CONTROL MASTER'!$AA$2:$AA$495,(SUMPRODUCT((('CONTROL MASTER'!$S$2:$S$495=2)*('CONTROL MASTER'!$Z$2:$Z$495&lt;=1)*('CONTROL MASTER'!$AB$2:$AB$495&gt;=1)*('CONTROL MASTER'!$AA$2:$AA$495&lt;=5)*('CONTROL MASTER'!$AC$2:$AC$495&gt;=5))*ROW('CONTROL MASTER'!$S$2:$S$495))-(ROW('CONTROL MASTER'!#REF!)-1))))+1)))-1)*50+1,50))&amp;"_"&amp;INDEX('CONTROL MASTER'!$P$2:$P$495,(SUMPRODUCT((('CONTROL MASTER'!$S$2:$S$495=2)*('CONTROL MASTER'!$Z$2:$Z$495&lt;=1)*('CONTROL MASTER'!$AB$2:$AB$495&gt;=1)*('CONTROL MASTER'!$AA$2:$AA$495&lt;=5)*('CONTROL MASTER'!$AC$2:$AC$495&gt;=5))*ROW('CONTROL MASTER'!$S$2:$S$495))-(ROW('CONTROL MASTER'!#REF!)-1))),"")),"")</f>
        <v/>
      </c>
      <c r="G17" s="10" t="str">
        <f>IFERROR(IF(SUMPRODUCT((('CONTROL MASTER'!$S$2:$S$495=2)*('CONTROL MASTER'!$T$2:$T$495&lt;=1)*('CONTROL MASTER'!$V$2:$V$495&gt;=1)*('CONTROL MASTER'!$U$2:$U$495&lt;=6)*('CONTROL MASTER'!$W$2:$W$495&gt;=6))*ROW('CONTROL MASTER'!$S$2:$S$495))&gt;0,INDEX('CONTROL MASTER'!$X$2:$X$495,(SUMPRODUCT((('CONTROL MASTER'!$S$2:$S$495=2)*('CONTROL MASTER'!$T$2:$T$495&lt;=1)*('CONTROL MASTER'!$V$2:$V$495&gt;=1)*('CONTROL MASTER'!$U$2:$U$495&lt;=6)*('CONTROL MASTER'!$W$2:$W$495&gt;=6))*ROW('CONTROL MASTER'!$S$2:$S$495))-(ROW('CONTROL MASTER'!#REF!)-1)))&amp;TRIM(MID(SUBSTITUTE(SUBSTITUTE(INDEX('CONTROL MASTER'!$N$2:$N$495,(SUMPRODUCT((('CONTROL MASTER'!$S$2:$S$495=2)*('CONTROL MASTER'!$T$2:$T$495&lt;=1)*('CONTROL MASTER'!$V$2:$V$495&gt;=1)*('CONTROL MASTER'!$U$2:$U$495&lt;=6)*('CONTROL MASTER'!$W$2:$W$495&gt;=6))*ROW('CONTROL MASTER'!$S$2:$S$495))-(ROW('CONTROL MASTER'!#REF!)-1))),":",","),",",REPT(" ",50)),((((1-INDEX('CONTROL MASTER'!$T$2:$T$495,(SUMPRODUCT((('CONTROL MASTER'!$S$2:$S$495=2)*('CONTROL MASTER'!$T$2:$T$495&lt;=1)*('CONTROL MASTER'!$V$2:$V$495&gt;=1)*('CONTROL MASTER'!$U$2:$U$495&lt;=6)*('CONTROL MASTER'!$W$2:$W$495&gt;=6))*ROW('CONTROL MASTER'!$S$2:$S$495))-(ROW('CONTROL MASTER'!#REF!)-1))))*(INDEX('CONTROL MASTER'!$W$2:$W$495,(SUMPRODUCT((('CONTROL MASTER'!$S$2:$S$495=2)*('CONTROL MASTER'!$T$2:$T$495&lt;=1)*('CONTROL MASTER'!$V$2:$V$495&gt;=1)*('CONTROL MASTER'!$U$2:$U$495&lt;=6)*('CONTROL MASTER'!$W$2:$W$495&gt;=6))*ROW('CONTROL MASTER'!$S$2:$S$495))-(ROW('CONTROL MASTER'!#REF!)-1)))-INDEX('CONTROL MASTER'!$U$2:$U$495,(SUMPRODUCT((('CONTROL MASTER'!$S$2:$S$495=2)*('CONTROL MASTER'!$T$2:$T$495&lt;=1)*('CONTROL MASTER'!$V$2:$V$495&gt;=1)*('CONTROL MASTER'!$U$2:$U$495&lt;=6)*('CONTROL MASTER'!$W$2:$W$495&gt;=6))*ROW('CONTROL MASTER'!$S$2:$S$495))-(ROW('CONTROL MASTER'!#REF!)-1)))+1)+(6-INDEX('CONTROL MASTER'!$U$2:$U$495,(SUMPRODUCT((('CONTROL MASTER'!$S$2:$S$495=2)*('CONTROL MASTER'!$T$2:$T$495&lt;=1)*('CONTROL MASTER'!$V$2:$V$495&gt;=1)*('CONTROL MASTER'!$U$2:$U$495&lt;=6)*('CONTROL MASTER'!$W$2:$W$495&gt;=6))*ROW('CONTROL MASTER'!$S$2:$S$495))-(ROW('CONTROL MASTER'!#REF!)-1))))+1))-1)*50+1,50))&amp;"_"&amp;INDEX('CONTROL MASTER'!$P$2:$P$495,(SUMPRODUCT((('CONTROL MASTER'!$S$2:$S$495=2)*('CONTROL MASTER'!$T$2:$T$495&lt;=1)*('CONTROL MASTER'!$V$2:$V$495&gt;=1)*('CONTROL MASTER'!$U$2:$U$495&lt;=6)*('CONTROL MASTER'!$W$2:$W$495&gt;=6))*ROW('CONTROL MASTER'!$S$2:$S$495))-(ROW('CONTROL MASTER'!#REF!)-1))),IF(SUMPRODUCT((('CONTROL MASTER'!$S$2:$S$495=2)*('CONTROL MASTER'!$Z$2:$Z$495&lt;=1)*('CONTROL MASTER'!$AB$2:$AB$495&gt;=1)*('CONTROL MASTER'!$AA$2:$AA$495&lt;=6)*('CONTROL MASTER'!$AC$2:$AC$495&gt;=6))*ROW('CONTROL MASTER'!$S$2:$S$495))&gt;0,INDEX('CONTROL MASTER'!$X$2:$X$495,(SUMPRODUCT((('CONTROL MASTER'!$S$2:$S$495=2)*('CONTROL MASTER'!$Z$2:$Z$495&lt;=1)*('CONTROL MASTER'!$AB$2:$AB$495&gt;=1)*('CONTROL MASTER'!$AA$2:$AA$495&lt;=6)*('CONTROL MASTER'!$AC$2:$AC$495&gt;=6))*ROW('CONTROL MASTER'!$S$2:$S$495))-(ROW('CONTROL MASTER'!#REF!)-1)))&amp;TRIM(MID(SUBSTITUTE(SUBSTITUTE(INDEX('CONTROL MASTER'!$N$2:$N$495,(SUMPRODUCT((('CONTROL MASTER'!$S$2:$S$495=2)*('CONTROL MASTER'!$Z$2:$Z$495&lt;=1)*('CONTROL MASTER'!$AB$2:$AB$495&gt;=1)*('CONTROL MASTER'!$AA$2:$AA$495&lt;=6)*('CONTROL MASTER'!$AC$2:$AC$495&gt;=6))*ROW('CONTROL MASTER'!$S$2:$S$495))-(ROW('CONTROL MASTER'!#REF!)-1))),":",","),",",REPT(" ",50)),(((INDEX('CONTROL MASTER'!$Y$2:$Y$495,(SUMPRODUCT((('CONTROL MASTER'!$S$2:$S$495=2)*('CONTROL MASTER'!$Z$2:$Z$495&lt;=1)*('CONTROL MASTER'!$AB$2:$AB$495&gt;=1)*('CONTROL MASTER'!$AA$2:$AA$495&lt;=6)*('CONTROL MASTER'!$AC$2:$AC$495&gt;=6))*ROW('CONTROL MASTER'!$S$2:$S$495))-(ROW('CONTROL MASTER'!#REF!)-1)))+((1-INDEX('CONTROL MASTER'!$Z$2:$Z$495,(SUMPRODUCT((('CONTROL MASTER'!$S$2:$S$495=2)*('CONTROL MASTER'!$Z$2:$Z$495&lt;=1)*('CONTROL MASTER'!$AB$2:$AB$495&gt;=1)*('CONTROL MASTER'!$AA$2:$AA$495&lt;=6)*('CONTROL MASTER'!$AC$2:$AC$495&gt;=6))*ROW('CONTROL MASTER'!$S$2:$S$495))-(ROW('CONTROL MASTER'!#REF!)-1))))*(INDEX('CONTROL MASTER'!$AC$2:$AC$495,(SUMPRODUCT((('CONTROL MASTER'!$S$2:$S$495=2)*('CONTROL MASTER'!$Z$2:$Z$495&lt;=1)*('CONTROL MASTER'!$AB$2:$AB$495&gt;=1)*('CONTROL MASTER'!$AA$2:$AA$495&lt;=6)*('CONTROL MASTER'!$AC$2:$AC$495&gt;=6))*ROW('CONTROL MASTER'!$S$2:$S$495))-(ROW('CONTROL MASTER'!#REF!)-1)))-INDEX('CONTROL MASTER'!$AA$2:$AA$495,(SUMPRODUCT((('CONTROL MASTER'!$S$2:$S$495=2)*('CONTROL MASTER'!$Z$2:$Z$495&lt;=1)*('CONTROL MASTER'!$AB$2:$AB$495&gt;=1)*('CONTROL MASTER'!$AA$2:$AA$495&lt;=6)*('CONTROL MASTER'!$AC$2:$AC$495&gt;=6))*ROW('CONTROL MASTER'!$S$2:$S$495))-(ROW('CONTROL MASTER'!#REF!)-1)))+1)+(6-INDEX('CONTROL MASTER'!$AA$2:$AA$495,(SUMPRODUCT((('CONTROL MASTER'!$S$2:$S$495=2)*('CONTROL MASTER'!$Z$2:$Z$495&lt;=1)*('CONTROL MASTER'!$AB$2:$AB$495&gt;=1)*('CONTROL MASTER'!$AA$2:$AA$495&lt;=6)*('CONTROL MASTER'!$AC$2:$AC$495&gt;=6))*ROW('CONTROL MASTER'!$S$2:$S$495))-(ROW('CONTROL MASTER'!#REF!)-1))))+1)))-1)*50+1,50))&amp;"_"&amp;INDEX('CONTROL MASTER'!$P$2:$P$495,(SUMPRODUCT((('CONTROL MASTER'!$S$2:$S$495=2)*('CONTROL MASTER'!$Z$2:$Z$495&lt;=1)*('CONTROL MASTER'!$AB$2:$AB$495&gt;=1)*('CONTROL MASTER'!$AA$2:$AA$495&lt;=6)*('CONTROL MASTER'!$AC$2:$AC$495&gt;=6))*ROW('CONTROL MASTER'!$S$2:$S$495))-(ROW('CONTROL MASTER'!#REF!)-1))),"")),"")</f>
        <v/>
      </c>
      <c r="H17" s="10" t="str">
        <f>IFERROR(IF(SUMPRODUCT((('CONTROL MASTER'!$S$2:$S$495=2)*('CONTROL MASTER'!$T$2:$T$495&lt;=1)*('CONTROL MASTER'!$V$2:$V$495&gt;=1)*('CONTROL MASTER'!$U$2:$U$495&lt;=7)*('CONTROL MASTER'!$W$2:$W$495&gt;=7))*ROW('CONTROL MASTER'!$S$2:$S$495))&gt;0,INDEX('CONTROL MASTER'!$X$2:$X$495,(SUMPRODUCT((('CONTROL MASTER'!$S$2:$S$495=2)*('CONTROL MASTER'!$T$2:$T$495&lt;=1)*('CONTROL MASTER'!$V$2:$V$495&gt;=1)*('CONTROL MASTER'!$U$2:$U$495&lt;=7)*('CONTROL MASTER'!$W$2:$W$495&gt;=7))*ROW('CONTROL MASTER'!$S$2:$S$495))-(ROW('CONTROL MASTER'!#REF!)-1)))&amp;TRIM(MID(SUBSTITUTE(SUBSTITUTE(INDEX('CONTROL MASTER'!$N$2:$N$495,(SUMPRODUCT((('CONTROL MASTER'!$S$2:$S$495=2)*('CONTROL MASTER'!$T$2:$T$495&lt;=1)*('CONTROL MASTER'!$V$2:$V$495&gt;=1)*('CONTROL MASTER'!$U$2:$U$495&lt;=7)*('CONTROL MASTER'!$W$2:$W$495&gt;=7))*ROW('CONTROL MASTER'!$S$2:$S$495))-(ROW('CONTROL MASTER'!#REF!)-1))),":",","),",",REPT(" ",50)),((((1-INDEX('CONTROL MASTER'!$T$2:$T$495,(SUMPRODUCT((('CONTROL MASTER'!$S$2:$S$495=2)*('CONTROL MASTER'!$T$2:$T$495&lt;=1)*('CONTROL MASTER'!$V$2:$V$495&gt;=1)*('CONTROL MASTER'!$U$2:$U$495&lt;=7)*('CONTROL MASTER'!$W$2:$W$495&gt;=7))*ROW('CONTROL MASTER'!$S$2:$S$495))-(ROW('CONTROL MASTER'!#REF!)-1))))*(INDEX('CONTROL MASTER'!$W$2:$W$495,(SUMPRODUCT((('CONTROL MASTER'!$S$2:$S$495=2)*('CONTROL MASTER'!$T$2:$T$495&lt;=1)*('CONTROL MASTER'!$V$2:$V$495&gt;=1)*('CONTROL MASTER'!$U$2:$U$495&lt;=7)*('CONTROL MASTER'!$W$2:$W$495&gt;=7))*ROW('CONTROL MASTER'!$S$2:$S$495))-(ROW('CONTROL MASTER'!#REF!)-1)))-INDEX('CONTROL MASTER'!$U$2:$U$495,(SUMPRODUCT((('CONTROL MASTER'!$S$2:$S$495=2)*('CONTROL MASTER'!$T$2:$T$495&lt;=1)*('CONTROL MASTER'!$V$2:$V$495&gt;=1)*('CONTROL MASTER'!$U$2:$U$495&lt;=7)*('CONTROL MASTER'!$W$2:$W$495&gt;=7))*ROW('CONTROL MASTER'!$S$2:$S$495))-(ROW('CONTROL MASTER'!#REF!)-1)))+1)+(7-INDEX('CONTROL MASTER'!$U$2:$U$495,(SUMPRODUCT((('CONTROL MASTER'!$S$2:$S$495=2)*('CONTROL MASTER'!$T$2:$T$495&lt;=1)*('CONTROL MASTER'!$V$2:$V$495&gt;=1)*('CONTROL MASTER'!$U$2:$U$495&lt;=7)*('CONTROL MASTER'!$W$2:$W$495&gt;=7))*ROW('CONTROL MASTER'!$S$2:$S$495))-(ROW('CONTROL MASTER'!#REF!)-1))))+1))-1)*50+1,50))&amp;"_"&amp;INDEX('CONTROL MASTER'!$P$2:$P$495,(SUMPRODUCT((('CONTROL MASTER'!$S$2:$S$495=2)*('CONTROL MASTER'!$T$2:$T$495&lt;=1)*('CONTROL MASTER'!$V$2:$V$495&gt;=1)*('CONTROL MASTER'!$U$2:$U$495&lt;=7)*('CONTROL MASTER'!$W$2:$W$495&gt;=7))*ROW('CONTROL MASTER'!$S$2:$S$495))-(ROW('CONTROL MASTER'!#REF!)-1))),IF(SUMPRODUCT((('CONTROL MASTER'!$S$2:$S$495=2)*('CONTROL MASTER'!$Z$2:$Z$495&lt;=1)*('CONTROL MASTER'!$AB$2:$AB$495&gt;=1)*('CONTROL MASTER'!$AA$2:$AA$495&lt;=7)*('CONTROL MASTER'!$AC$2:$AC$495&gt;=7))*ROW('CONTROL MASTER'!$S$2:$S$495))&gt;0,INDEX('CONTROL MASTER'!$X$2:$X$495,(SUMPRODUCT((('CONTROL MASTER'!$S$2:$S$495=2)*('CONTROL MASTER'!$Z$2:$Z$495&lt;=1)*('CONTROL MASTER'!$AB$2:$AB$495&gt;=1)*('CONTROL MASTER'!$AA$2:$AA$495&lt;=7)*('CONTROL MASTER'!$AC$2:$AC$495&gt;=7))*ROW('CONTROL MASTER'!$S$2:$S$495))-(ROW('CONTROL MASTER'!#REF!)-1)))&amp;TRIM(MID(SUBSTITUTE(SUBSTITUTE(INDEX('CONTROL MASTER'!$N$2:$N$495,(SUMPRODUCT((('CONTROL MASTER'!$S$2:$S$495=2)*('CONTROL MASTER'!$Z$2:$Z$495&lt;=1)*('CONTROL MASTER'!$AB$2:$AB$495&gt;=1)*('CONTROL MASTER'!$AA$2:$AA$495&lt;=7)*('CONTROL MASTER'!$AC$2:$AC$495&gt;=7))*ROW('CONTROL MASTER'!$S$2:$S$495))-(ROW('CONTROL MASTER'!#REF!)-1))),":",","),",",REPT(" ",50)),(((INDEX('CONTROL MASTER'!$Y$2:$Y$495,(SUMPRODUCT((('CONTROL MASTER'!$S$2:$S$495=2)*('CONTROL MASTER'!$Z$2:$Z$495&lt;=1)*('CONTROL MASTER'!$AB$2:$AB$495&gt;=1)*('CONTROL MASTER'!$AA$2:$AA$495&lt;=7)*('CONTROL MASTER'!$AC$2:$AC$495&gt;=7))*ROW('CONTROL MASTER'!$S$2:$S$495))-(ROW('CONTROL MASTER'!#REF!)-1)))+((1-INDEX('CONTROL MASTER'!$Z$2:$Z$495,(SUMPRODUCT((('CONTROL MASTER'!$S$2:$S$495=2)*('CONTROL MASTER'!$Z$2:$Z$495&lt;=1)*('CONTROL MASTER'!$AB$2:$AB$495&gt;=1)*('CONTROL MASTER'!$AA$2:$AA$495&lt;=7)*('CONTROL MASTER'!$AC$2:$AC$495&gt;=7))*ROW('CONTROL MASTER'!$S$2:$S$495))-(ROW('CONTROL MASTER'!#REF!)-1))))*(INDEX('CONTROL MASTER'!$AC$2:$AC$495,(SUMPRODUCT((('CONTROL MASTER'!$S$2:$S$495=2)*('CONTROL MASTER'!$Z$2:$Z$495&lt;=1)*('CONTROL MASTER'!$AB$2:$AB$495&gt;=1)*('CONTROL MASTER'!$AA$2:$AA$495&lt;=7)*('CONTROL MASTER'!$AC$2:$AC$495&gt;=7))*ROW('CONTROL MASTER'!$S$2:$S$495))-(ROW('CONTROL MASTER'!#REF!)-1)))-INDEX('CONTROL MASTER'!$AA$2:$AA$495,(SUMPRODUCT((('CONTROL MASTER'!$S$2:$S$495=2)*('CONTROL MASTER'!$Z$2:$Z$495&lt;=1)*('CONTROL MASTER'!$AB$2:$AB$495&gt;=1)*('CONTROL MASTER'!$AA$2:$AA$495&lt;=7)*('CONTROL MASTER'!$AC$2:$AC$495&gt;=7))*ROW('CONTROL MASTER'!$S$2:$S$495))-(ROW('CONTROL MASTER'!#REF!)-1)))+1)+(7-INDEX('CONTROL MASTER'!$AA$2:$AA$495,(SUMPRODUCT((('CONTROL MASTER'!$S$2:$S$495=2)*('CONTROL MASTER'!$Z$2:$Z$495&lt;=1)*('CONTROL MASTER'!$AB$2:$AB$495&gt;=1)*('CONTROL MASTER'!$AA$2:$AA$495&lt;=7)*('CONTROL MASTER'!$AC$2:$AC$495&gt;=7))*ROW('CONTROL MASTER'!$S$2:$S$495))-(ROW('CONTROL MASTER'!#REF!)-1))))+1)))-1)*50+1,50))&amp;"_"&amp;INDEX('CONTROL MASTER'!$P$2:$P$495,(SUMPRODUCT((('CONTROL MASTER'!$S$2:$S$495=2)*('CONTROL MASTER'!$Z$2:$Z$495&lt;=1)*('CONTROL MASTER'!$AB$2:$AB$495&gt;=1)*('CONTROL MASTER'!$AA$2:$AA$495&lt;=7)*('CONTROL MASTER'!$AC$2:$AC$495&gt;=7))*ROW('CONTROL MASTER'!$S$2:$S$495))-(ROW('CONTROL MASTER'!#REF!)-1))),"")),"")</f>
        <v/>
      </c>
      <c r="I17" s="10" t="str">
        <f>IFERROR(IF(SUMPRODUCT((('CONTROL MASTER'!$S$2:$S$495=2)*('CONTROL MASTER'!$T$2:$T$495&lt;=1)*('CONTROL MASTER'!$V$2:$V$495&gt;=1)*('CONTROL MASTER'!$U$2:$U$495&lt;=8)*('CONTROL MASTER'!$W$2:$W$495&gt;=8))*ROW('CONTROL MASTER'!$S$2:$S$495))&gt;0,INDEX('CONTROL MASTER'!$X$2:$X$495,(SUMPRODUCT((('CONTROL MASTER'!$S$2:$S$495=2)*('CONTROL MASTER'!$T$2:$T$495&lt;=1)*('CONTROL MASTER'!$V$2:$V$495&gt;=1)*('CONTROL MASTER'!$U$2:$U$495&lt;=8)*('CONTROL MASTER'!$W$2:$W$495&gt;=8))*ROW('CONTROL MASTER'!$S$2:$S$495))-(ROW('CONTROL MASTER'!#REF!)-1)))&amp;TRIM(MID(SUBSTITUTE(SUBSTITUTE(INDEX('CONTROL MASTER'!$N$2:$N$495,(SUMPRODUCT((('CONTROL MASTER'!$S$2:$S$495=2)*('CONTROL MASTER'!$T$2:$T$495&lt;=1)*('CONTROL MASTER'!$V$2:$V$495&gt;=1)*('CONTROL MASTER'!$U$2:$U$495&lt;=8)*('CONTROL MASTER'!$W$2:$W$495&gt;=8))*ROW('CONTROL MASTER'!$S$2:$S$495))-(ROW('CONTROL MASTER'!#REF!)-1))),":",","),",",REPT(" ",50)),((((1-INDEX('CONTROL MASTER'!$T$2:$T$495,(SUMPRODUCT((('CONTROL MASTER'!$S$2:$S$495=2)*('CONTROL MASTER'!$T$2:$T$495&lt;=1)*('CONTROL MASTER'!$V$2:$V$495&gt;=1)*('CONTROL MASTER'!$U$2:$U$495&lt;=8)*('CONTROL MASTER'!$W$2:$W$495&gt;=8))*ROW('CONTROL MASTER'!$S$2:$S$495))-(ROW('CONTROL MASTER'!#REF!)-1))))*(INDEX('CONTROL MASTER'!$W$2:$W$495,(SUMPRODUCT((('CONTROL MASTER'!$S$2:$S$495=2)*('CONTROL MASTER'!$T$2:$T$495&lt;=1)*('CONTROL MASTER'!$V$2:$V$495&gt;=1)*('CONTROL MASTER'!$U$2:$U$495&lt;=8)*('CONTROL MASTER'!$W$2:$W$495&gt;=8))*ROW('CONTROL MASTER'!$S$2:$S$495))-(ROW('CONTROL MASTER'!#REF!)-1)))-INDEX('CONTROL MASTER'!$U$2:$U$495,(SUMPRODUCT((('CONTROL MASTER'!$S$2:$S$495=2)*('CONTROL MASTER'!$T$2:$T$495&lt;=1)*('CONTROL MASTER'!$V$2:$V$495&gt;=1)*('CONTROL MASTER'!$U$2:$U$495&lt;=8)*('CONTROL MASTER'!$W$2:$W$495&gt;=8))*ROW('CONTROL MASTER'!$S$2:$S$495))-(ROW('CONTROL MASTER'!#REF!)-1)))+1)+(8-INDEX('CONTROL MASTER'!$U$2:$U$495,(SUMPRODUCT((('CONTROL MASTER'!$S$2:$S$495=2)*('CONTROL MASTER'!$T$2:$T$495&lt;=1)*('CONTROL MASTER'!$V$2:$V$495&gt;=1)*('CONTROL MASTER'!$U$2:$U$495&lt;=8)*('CONTROL MASTER'!$W$2:$W$495&gt;=8))*ROW('CONTROL MASTER'!$S$2:$S$495))-(ROW('CONTROL MASTER'!#REF!)-1))))+1))-1)*50+1,50))&amp;"_"&amp;INDEX('CONTROL MASTER'!$P$2:$P$495,(SUMPRODUCT((('CONTROL MASTER'!$S$2:$S$495=2)*('CONTROL MASTER'!$T$2:$T$495&lt;=1)*('CONTROL MASTER'!$V$2:$V$495&gt;=1)*('CONTROL MASTER'!$U$2:$U$495&lt;=8)*('CONTROL MASTER'!$W$2:$W$495&gt;=8))*ROW('CONTROL MASTER'!$S$2:$S$495))-(ROW('CONTROL MASTER'!#REF!)-1))),IF(SUMPRODUCT((('CONTROL MASTER'!$S$2:$S$495=2)*('CONTROL MASTER'!$Z$2:$Z$495&lt;=1)*('CONTROL MASTER'!$AB$2:$AB$495&gt;=1)*('CONTROL MASTER'!$AA$2:$AA$495&lt;=8)*('CONTROL MASTER'!$AC$2:$AC$495&gt;=8))*ROW('CONTROL MASTER'!$S$2:$S$495))&gt;0,INDEX('CONTROL MASTER'!$X$2:$X$495,(SUMPRODUCT((('CONTROL MASTER'!$S$2:$S$495=2)*('CONTROL MASTER'!$Z$2:$Z$495&lt;=1)*('CONTROL MASTER'!$AB$2:$AB$495&gt;=1)*('CONTROL MASTER'!$AA$2:$AA$495&lt;=8)*('CONTROL MASTER'!$AC$2:$AC$495&gt;=8))*ROW('CONTROL MASTER'!$S$2:$S$495))-(ROW('CONTROL MASTER'!#REF!)-1)))&amp;TRIM(MID(SUBSTITUTE(SUBSTITUTE(INDEX('CONTROL MASTER'!$N$2:$N$495,(SUMPRODUCT((('CONTROL MASTER'!$S$2:$S$495=2)*('CONTROL MASTER'!$Z$2:$Z$495&lt;=1)*('CONTROL MASTER'!$AB$2:$AB$495&gt;=1)*('CONTROL MASTER'!$AA$2:$AA$495&lt;=8)*('CONTROL MASTER'!$AC$2:$AC$495&gt;=8))*ROW('CONTROL MASTER'!$S$2:$S$495))-(ROW('CONTROL MASTER'!#REF!)-1))),":",","),",",REPT(" ",50)),(((INDEX('CONTROL MASTER'!$Y$2:$Y$495,(SUMPRODUCT((('CONTROL MASTER'!$S$2:$S$495=2)*('CONTROL MASTER'!$Z$2:$Z$495&lt;=1)*('CONTROL MASTER'!$AB$2:$AB$495&gt;=1)*('CONTROL MASTER'!$AA$2:$AA$495&lt;=8)*('CONTROL MASTER'!$AC$2:$AC$495&gt;=8))*ROW('CONTROL MASTER'!$S$2:$S$495))-(ROW('CONTROL MASTER'!#REF!)-1)))+((1-INDEX('CONTROL MASTER'!$Z$2:$Z$495,(SUMPRODUCT((('CONTROL MASTER'!$S$2:$S$495=2)*('CONTROL MASTER'!$Z$2:$Z$495&lt;=1)*('CONTROL MASTER'!$AB$2:$AB$495&gt;=1)*('CONTROL MASTER'!$AA$2:$AA$495&lt;=8)*('CONTROL MASTER'!$AC$2:$AC$495&gt;=8))*ROW('CONTROL MASTER'!$S$2:$S$495))-(ROW('CONTROL MASTER'!#REF!)-1))))*(INDEX('CONTROL MASTER'!$AC$2:$AC$495,(SUMPRODUCT((('CONTROL MASTER'!$S$2:$S$495=2)*('CONTROL MASTER'!$Z$2:$Z$495&lt;=1)*('CONTROL MASTER'!$AB$2:$AB$495&gt;=1)*('CONTROL MASTER'!$AA$2:$AA$495&lt;=8)*('CONTROL MASTER'!$AC$2:$AC$495&gt;=8))*ROW('CONTROL MASTER'!$S$2:$S$495))-(ROW('CONTROL MASTER'!#REF!)-1)))-INDEX('CONTROL MASTER'!$AA$2:$AA$495,(SUMPRODUCT((('CONTROL MASTER'!$S$2:$S$495=2)*('CONTROL MASTER'!$Z$2:$Z$495&lt;=1)*('CONTROL MASTER'!$AB$2:$AB$495&gt;=1)*('CONTROL MASTER'!$AA$2:$AA$495&lt;=8)*('CONTROL MASTER'!$AC$2:$AC$495&gt;=8))*ROW('CONTROL MASTER'!$S$2:$S$495))-(ROW('CONTROL MASTER'!#REF!)-1)))+1)+(8-INDEX('CONTROL MASTER'!$AA$2:$AA$495,(SUMPRODUCT((('CONTROL MASTER'!$S$2:$S$495=2)*('CONTROL MASTER'!$Z$2:$Z$495&lt;=1)*('CONTROL MASTER'!$AB$2:$AB$495&gt;=1)*('CONTROL MASTER'!$AA$2:$AA$495&lt;=8)*('CONTROL MASTER'!$AC$2:$AC$495&gt;=8))*ROW('CONTROL MASTER'!$S$2:$S$495))-(ROW('CONTROL MASTER'!#REF!)-1))))+1)))-1)*50+1,50))&amp;"_"&amp;INDEX('CONTROL MASTER'!$P$2:$P$495,(SUMPRODUCT((('CONTROL MASTER'!$S$2:$S$495=2)*('CONTROL MASTER'!$Z$2:$Z$495&lt;=1)*('CONTROL MASTER'!$AB$2:$AB$495&gt;=1)*('CONTROL MASTER'!$AA$2:$AA$495&lt;=8)*('CONTROL MASTER'!$AC$2:$AC$495&gt;=8))*ROW('CONTROL MASTER'!$S$2:$S$495))-(ROW('CONTROL MASTER'!#REF!)-1))),"")),"")</f>
        <v/>
      </c>
      <c r="J17" s="10" t="str">
        <f>IFERROR(IF(SUMPRODUCT((('CONTROL MASTER'!$S$2:$S$495=2)*('CONTROL MASTER'!$T$2:$T$495&lt;=1)*('CONTROL MASTER'!$V$2:$V$495&gt;=1)*('CONTROL MASTER'!$U$2:$U$495&lt;=9)*('CONTROL MASTER'!$W$2:$W$495&gt;=9))*ROW('CONTROL MASTER'!$S$2:$S$495))&gt;0,INDEX('CONTROL MASTER'!$X$2:$X$495,(SUMPRODUCT((('CONTROL MASTER'!$S$2:$S$495=2)*('CONTROL MASTER'!$T$2:$T$495&lt;=1)*('CONTROL MASTER'!$V$2:$V$495&gt;=1)*('CONTROL MASTER'!$U$2:$U$495&lt;=9)*('CONTROL MASTER'!$W$2:$W$495&gt;=9))*ROW('CONTROL MASTER'!$S$2:$S$495))-(ROW('CONTROL MASTER'!#REF!)-1)))&amp;TRIM(MID(SUBSTITUTE(SUBSTITUTE(INDEX('CONTROL MASTER'!$N$2:$N$495,(SUMPRODUCT((('CONTROL MASTER'!$S$2:$S$495=2)*('CONTROL MASTER'!$T$2:$T$495&lt;=1)*('CONTROL MASTER'!$V$2:$V$495&gt;=1)*('CONTROL MASTER'!$U$2:$U$495&lt;=9)*('CONTROL MASTER'!$W$2:$W$495&gt;=9))*ROW('CONTROL MASTER'!$S$2:$S$495))-(ROW('CONTROL MASTER'!#REF!)-1))),":",","),",",REPT(" ",50)),((((1-INDEX('CONTROL MASTER'!$T$2:$T$495,(SUMPRODUCT((('CONTROL MASTER'!$S$2:$S$495=2)*('CONTROL MASTER'!$T$2:$T$495&lt;=1)*('CONTROL MASTER'!$V$2:$V$495&gt;=1)*('CONTROL MASTER'!$U$2:$U$495&lt;=9)*('CONTROL MASTER'!$W$2:$W$495&gt;=9))*ROW('CONTROL MASTER'!$S$2:$S$495))-(ROW('CONTROL MASTER'!#REF!)-1))))*(INDEX('CONTROL MASTER'!$W$2:$W$495,(SUMPRODUCT((('CONTROL MASTER'!$S$2:$S$495=2)*('CONTROL MASTER'!$T$2:$T$495&lt;=1)*('CONTROL MASTER'!$V$2:$V$495&gt;=1)*('CONTROL MASTER'!$U$2:$U$495&lt;=9)*('CONTROL MASTER'!$W$2:$W$495&gt;=9))*ROW('CONTROL MASTER'!$S$2:$S$495))-(ROW('CONTROL MASTER'!#REF!)-1)))-INDEX('CONTROL MASTER'!$U$2:$U$495,(SUMPRODUCT((('CONTROL MASTER'!$S$2:$S$495=2)*('CONTROL MASTER'!$T$2:$T$495&lt;=1)*('CONTROL MASTER'!$V$2:$V$495&gt;=1)*('CONTROL MASTER'!$U$2:$U$495&lt;=9)*('CONTROL MASTER'!$W$2:$W$495&gt;=9))*ROW('CONTROL MASTER'!$S$2:$S$495))-(ROW('CONTROL MASTER'!#REF!)-1)))+1)+(9-INDEX('CONTROL MASTER'!$U$2:$U$495,(SUMPRODUCT((('CONTROL MASTER'!$S$2:$S$495=2)*('CONTROL MASTER'!$T$2:$T$495&lt;=1)*('CONTROL MASTER'!$V$2:$V$495&gt;=1)*('CONTROL MASTER'!$U$2:$U$495&lt;=9)*('CONTROL MASTER'!$W$2:$W$495&gt;=9))*ROW('CONTROL MASTER'!$S$2:$S$495))-(ROW('CONTROL MASTER'!#REF!)-1))))+1))-1)*50+1,50))&amp;"_"&amp;INDEX('CONTROL MASTER'!$P$2:$P$495,(SUMPRODUCT((('CONTROL MASTER'!$S$2:$S$495=2)*('CONTROL MASTER'!$T$2:$T$495&lt;=1)*('CONTROL MASTER'!$V$2:$V$495&gt;=1)*('CONTROL MASTER'!$U$2:$U$495&lt;=9)*('CONTROL MASTER'!$W$2:$W$495&gt;=9))*ROW('CONTROL MASTER'!$S$2:$S$495))-(ROW('CONTROL MASTER'!#REF!)-1))),IF(SUMPRODUCT((('CONTROL MASTER'!$S$2:$S$495=2)*('CONTROL MASTER'!$Z$2:$Z$495&lt;=1)*('CONTROL MASTER'!$AB$2:$AB$495&gt;=1)*('CONTROL MASTER'!$AA$2:$AA$495&lt;=9)*('CONTROL MASTER'!$AC$2:$AC$495&gt;=9))*ROW('CONTROL MASTER'!$S$2:$S$495))&gt;0,INDEX('CONTROL MASTER'!$X$2:$X$495,(SUMPRODUCT((('CONTROL MASTER'!$S$2:$S$495=2)*('CONTROL MASTER'!$Z$2:$Z$495&lt;=1)*('CONTROL MASTER'!$AB$2:$AB$495&gt;=1)*('CONTROL MASTER'!$AA$2:$AA$495&lt;=9)*('CONTROL MASTER'!$AC$2:$AC$495&gt;=9))*ROW('CONTROL MASTER'!$S$2:$S$495))-(ROW('CONTROL MASTER'!#REF!)-1)))&amp;TRIM(MID(SUBSTITUTE(SUBSTITUTE(INDEX('CONTROL MASTER'!$N$2:$N$495,(SUMPRODUCT((('CONTROL MASTER'!$S$2:$S$495=2)*('CONTROL MASTER'!$Z$2:$Z$495&lt;=1)*('CONTROL MASTER'!$AB$2:$AB$495&gt;=1)*('CONTROL MASTER'!$AA$2:$AA$495&lt;=9)*('CONTROL MASTER'!$AC$2:$AC$495&gt;=9))*ROW('CONTROL MASTER'!$S$2:$S$495))-(ROW('CONTROL MASTER'!#REF!)-1))),":",","),",",REPT(" ",50)),(((INDEX('CONTROL MASTER'!$Y$2:$Y$495,(SUMPRODUCT((('CONTROL MASTER'!$S$2:$S$495=2)*('CONTROL MASTER'!$Z$2:$Z$495&lt;=1)*('CONTROL MASTER'!$AB$2:$AB$495&gt;=1)*('CONTROL MASTER'!$AA$2:$AA$495&lt;=9)*('CONTROL MASTER'!$AC$2:$AC$495&gt;=9))*ROW('CONTROL MASTER'!$S$2:$S$495))-(ROW('CONTROL MASTER'!#REF!)-1)))+((1-INDEX('CONTROL MASTER'!$Z$2:$Z$495,(SUMPRODUCT((('CONTROL MASTER'!$S$2:$S$495=2)*('CONTROL MASTER'!$Z$2:$Z$495&lt;=1)*('CONTROL MASTER'!$AB$2:$AB$495&gt;=1)*('CONTROL MASTER'!$AA$2:$AA$495&lt;=9)*('CONTROL MASTER'!$AC$2:$AC$495&gt;=9))*ROW('CONTROL MASTER'!$S$2:$S$495))-(ROW('CONTROL MASTER'!#REF!)-1))))*(INDEX('CONTROL MASTER'!$AC$2:$AC$495,(SUMPRODUCT((('CONTROL MASTER'!$S$2:$S$495=2)*('CONTROL MASTER'!$Z$2:$Z$495&lt;=1)*('CONTROL MASTER'!$AB$2:$AB$495&gt;=1)*('CONTROL MASTER'!$AA$2:$AA$495&lt;=9)*('CONTROL MASTER'!$AC$2:$AC$495&gt;=9))*ROW('CONTROL MASTER'!$S$2:$S$495))-(ROW('CONTROL MASTER'!#REF!)-1)))-INDEX('CONTROL MASTER'!$AA$2:$AA$495,(SUMPRODUCT((('CONTROL MASTER'!$S$2:$S$495=2)*('CONTROL MASTER'!$Z$2:$Z$495&lt;=1)*('CONTROL MASTER'!$AB$2:$AB$495&gt;=1)*('CONTROL MASTER'!$AA$2:$AA$495&lt;=9)*('CONTROL MASTER'!$AC$2:$AC$495&gt;=9))*ROW('CONTROL MASTER'!$S$2:$S$495))-(ROW('CONTROL MASTER'!#REF!)-1)))+1)+(9-INDEX('CONTROL MASTER'!$AA$2:$AA$495,(SUMPRODUCT((('CONTROL MASTER'!$S$2:$S$495=2)*('CONTROL MASTER'!$Z$2:$Z$495&lt;=1)*('CONTROL MASTER'!$AB$2:$AB$495&gt;=1)*('CONTROL MASTER'!$AA$2:$AA$495&lt;=9)*('CONTROL MASTER'!$AC$2:$AC$495&gt;=9))*ROW('CONTROL MASTER'!$S$2:$S$495))-(ROW('CONTROL MASTER'!#REF!)-1))))+1)))-1)*50+1,50))&amp;"_"&amp;INDEX('CONTROL MASTER'!$P$2:$P$495,(SUMPRODUCT((('CONTROL MASTER'!$S$2:$S$495=2)*('CONTROL MASTER'!$Z$2:$Z$495&lt;=1)*('CONTROL MASTER'!$AB$2:$AB$495&gt;=1)*('CONTROL MASTER'!$AA$2:$AA$495&lt;=9)*('CONTROL MASTER'!$AC$2:$AC$495&gt;=9))*ROW('CONTROL MASTER'!$S$2:$S$495))-(ROW('CONTROL MASTER'!#REF!)-1))),"")),"")</f>
        <v/>
      </c>
      <c r="K17" s="10" t="str">
        <f>IFERROR(IF(SUMPRODUCT((('CONTROL MASTER'!$S$2:$S$495=2)*('CONTROL MASTER'!$T$2:$T$495&lt;=1)*('CONTROL MASTER'!$V$2:$V$495&gt;=1)*('CONTROL MASTER'!$U$2:$U$495&lt;=10)*('CONTROL MASTER'!$W$2:$W$495&gt;=10))*ROW('CONTROL MASTER'!$S$2:$S$495))&gt;0,INDEX('CONTROL MASTER'!$X$2:$X$495,(SUMPRODUCT((('CONTROL MASTER'!$S$2:$S$495=2)*('CONTROL MASTER'!$T$2:$T$495&lt;=1)*('CONTROL MASTER'!$V$2:$V$495&gt;=1)*('CONTROL MASTER'!$U$2:$U$495&lt;=10)*('CONTROL MASTER'!$W$2:$W$495&gt;=10))*ROW('CONTROL MASTER'!$S$2:$S$495))-(ROW('CONTROL MASTER'!#REF!)-1)))&amp;TRIM(MID(SUBSTITUTE(SUBSTITUTE(INDEX('CONTROL MASTER'!$N$2:$N$495,(SUMPRODUCT((('CONTROL MASTER'!$S$2:$S$495=2)*('CONTROL MASTER'!$T$2:$T$495&lt;=1)*('CONTROL MASTER'!$V$2:$V$495&gt;=1)*('CONTROL MASTER'!$U$2:$U$495&lt;=10)*('CONTROL MASTER'!$W$2:$W$495&gt;=10))*ROW('CONTROL MASTER'!$S$2:$S$495))-(ROW('CONTROL MASTER'!#REF!)-1))),":",","),",",REPT(" ",50)),((((1-INDEX('CONTROL MASTER'!$T$2:$T$495,(SUMPRODUCT((('CONTROL MASTER'!$S$2:$S$495=2)*('CONTROL MASTER'!$T$2:$T$495&lt;=1)*('CONTROL MASTER'!$V$2:$V$495&gt;=1)*('CONTROL MASTER'!$U$2:$U$495&lt;=10)*('CONTROL MASTER'!$W$2:$W$495&gt;=10))*ROW('CONTROL MASTER'!$S$2:$S$495))-(ROW('CONTROL MASTER'!#REF!)-1))))*(INDEX('CONTROL MASTER'!$W$2:$W$495,(SUMPRODUCT((('CONTROL MASTER'!$S$2:$S$495=2)*('CONTROL MASTER'!$T$2:$T$495&lt;=1)*('CONTROL MASTER'!$V$2:$V$495&gt;=1)*('CONTROL MASTER'!$U$2:$U$495&lt;=10)*('CONTROL MASTER'!$W$2:$W$495&gt;=10))*ROW('CONTROL MASTER'!$S$2:$S$495))-(ROW('CONTROL MASTER'!#REF!)-1)))-INDEX('CONTROL MASTER'!$U$2:$U$495,(SUMPRODUCT((('CONTROL MASTER'!$S$2:$S$495=2)*('CONTROL MASTER'!$T$2:$T$495&lt;=1)*('CONTROL MASTER'!$V$2:$V$495&gt;=1)*('CONTROL MASTER'!$U$2:$U$495&lt;=10)*('CONTROL MASTER'!$W$2:$W$495&gt;=10))*ROW('CONTROL MASTER'!$S$2:$S$495))-(ROW('CONTROL MASTER'!#REF!)-1)))+1)+(10-INDEX('CONTROL MASTER'!$U$2:$U$495,(SUMPRODUCT((('CONTROL MASTER'!$S$2:$S$495=2)*('CONTROL MASTER'!$T$2:$T$495&lt;=1)*('CONTROL MASTER'!$V$2:$V$495&gt;=1)*('CONTROL MASTER'!$U$2:$U$495&lt;=10)*('CONTROL MASTER'!$W$2:$W$495&gt;=10))*ROW('CONTROL MASTER'!$S$2:$S$495))-(ROW('CONTROL MASTER'!#REF!)-1))))+1))-1)*50+1,50))&amp;"_"&amp;INDEX('CONTROL MASTER'!$P$2:$P$495,(SUMPRODUCT((('CONTROL MASTER'!$S$2:$S$495=2)*('CONTROL MASTER'!$T$2:$T$495&lt;=1)*('CONTROL MASTER'!$V$2:$V$495&gt;=1)*('CONTROL MASTER'!$U$2:$U$495&lt;=10)*('CONTROL MASTER'!$W$2:$W$495&gt;=10))*ROW('CONTROL MASTER'!$S$2:$S$495))-(ROW('CONTROL MASTER'!#REF!)-1))),IF(SUMPRODUCT((('CONTROL MASTER'!$S$2:$S$495=2)*('CONTROL MASTER'!$Z$2:$Z$495&lt;=1)*('CONTROL MASTER'!$AB$2:$AB$495&gt;=1)*('CONTROL MASTER'!$AA$2:$AA$495&lt;=10)*('CONTROL MASTER'!$AC$2:$AC$495&gt;=10))*ROW('CONTROL MASTER'!$S$2:$S$495))&gt;0,INDEX('CONTROL MASTER'!$X$2:$X$495,(SUMPRODUCT((('CONTROL MASTER'!$S$2:$S$495=2)*('CONTROL MASTER'!$Z$2:$Z$495&lt;=1)*('CONTROL MASTER'!$AB$2:$AB$495&gt;=1)*('CONTROL MASTER'!$AA$2:$AA$495&lt;=10)*('CONTROL MASTER'!$AC$2:$AC$495&gt;=10))*ROW('CONTROL MASTER'!$S$2:$S$495))-(ROW('CONTROL MASTER'!#REF!)-1)))&amp;TRIM(MID(SUBSTITUTE(SUBSTITUTE(INDEX('CONTROL MASTER'!$N$2:$N$495,(SUMPRODUCT((('CONTROL MASTER'!$S$2:$S$495=2)*('CONTROL MASTER'!$Z$2:$Z$495&lt;=1)*('CONTROL MASTER'!$AB$2:$AB$495&gt;=1)*('CONTROL MASTER'!$AA$2:$AA$495&lt;=10)*('CONTROL MASTER'!$AC$2:$AC$495&gt;=10))*ROW('CONTROL MASTER'!$S$2:$S$495))-(ROW('CONTROL MASTER'!#REF!)-1))),":",","),",",REPT(" ",50)),(((INDEX('CONTROL MASTER'!$Y$2:$Y$495,(SUMPRODUCT((('CONTROL MASTER'!$S$2:$S$495=2)*('CONTROL MASTER'!$Z$2:$Z$495&lt;=1)*('CONTROL MASTER'!$AB$2:$AB$495&gt;=1)*('CONTROL MASTER'!$AA$2:$AA$495&lt;=10)*('CONTROL MASTER'!$AC$2:$AC$495&gt;=10))*ROW('CONTROL MASTER'!$S$2:$S$495))-(ROW('CONTROL MASTER'!#REF!)-1)))+((1-INDEX('CONTROL MASTER'!$Z$2:$Z$495,(SUMPRODUCT((('CONTROL MASTER'!$S$2:$S$495=2)*('CONTROL MASTER'!$Z$2:$Z$495&lt;=1)*('CONTROL MASTER'!$AB$2:$AB$495&gt;=1)*('CONTROL MASTER'!$AA$2:$AA$495&lt;=10)*('CONTROL MASTER'!$AC$2:$AC$495&gt;=10))*ROW('CONTROL MASTER'!$S$2:$S$495))-(ROW('CONTROL MASTER'!#REF!)-1))))*(INDEX('CONTROL MASTER'!$AC$2:$AC$495,(SUMPRODUCT((('CONTROL MASTER'!$S$2:$S$495=2)*('CONTROL MASTER'!$Z$2:$Z$495&lt;=1)*('CONTROL MASTER'!$AB$2:$AB$495&gt;=1)*('CONTROL MASTER'!$AA$2:$AA$495&lt;=10)*('CONTROL MASTER'!$AC$2:$AC$495&gt;=10))*ROW('CONTROL MASTER'!$S$2:$S$495))-(ROW('CONTROL MASTER'!#REF!)-1)))-INDEX('CONTROL MASTER'!$AA$2:$AA$495,(SUMPRODUCT((('CONTROL MASTER'!$S$2:$S$495=2)*('CONTROL MASTER'!$Z$2:$Z$495&lt;=1)*('CONTROL MASTER'!$AB$2:$AB$495&gt;=1)*('CONTROL MASTER'!$AA$2:$AA$495&lt;=10)*('CONTROL MASTER'!$AC$2:$AC$495&gt;=10))*ROW('CONTROL MASTER'!$S$2:$S$495))-(ROW('CONTROL MASTER'!#REF!)-1)))+1)+(10-INDEX('CONTROL MASTER'!$AA$2:$AA$495,(SUMPRODUCT((('CONTROL MASTER'!$S$2:$S$495=2)*('CONTROL MASTER'!$Z$2:$Z$495&lt;=1)*('CONTROL MASTER'!$AB$2:$AB$495&gt;=1)*('CONTROL MASTER'!$AA$2:$AA$495&lt;=10)*('CONTROL MASTER'!$AC$2:$AC$495&gt;=10))*ROW('CONTROL MASTER'!$S$2:$S$495))-(ROW('CONTROL MASTER'!#REF!)-1))))+1)))-1)*50+1,50))&amp;"_"&amp;INDEX('CONTROL MASTER'!$P$2:$P$495,(SUMPRODUCT((('CONTROL MASTER'!$S$2:$S$495=2)*('CONTROL MASTER'!$Z$2:$Z$495&lt;=1)*('CONTROL MASTER'!$AB$2:$AB$495&gt;=1)*('CONTROL MASTER'!$AA$2:$AA$495&lt;=10)*('CONTROL MASTER'!$AC$2:$AC$495&gt;=10))*ROW('CONTROL MASTER'!$S$2:$S$495))-(ROW('CONTROL MASTER'!#REF!)-1))),"")),"")</f>
        <v/>
      </c>
    </row>
    <row r="18" spans="1:11" ht="15" customHeight="1" x14ac:dyDescent="0.35">
      <c r="A18" s="8" t="s">
        <v>29</v>
      </c>
      <c r="B18" s="10" t="str">
        <f>IFERROR(IF(SUMPRODUCT((('CONTROL MASTER'!$S$2:$S$495=2)*('CONTROL MASTER'!$T$2:$T$495&lt;=2)*('CONTROL MASTER'!$V$2:$V$495&gt;=2)*('CONTROL MASTER'!$U$2:$U$495&lt;=1)*('CONTROL MASTER'!$W$2:$W$495&gt;=1))*ROW('CONTROL MASTER'!$S$2:$S$495))&gt;0,INDEX('CONTROL MASTER'!$X$2:$X$495,(SUMPRODUCT((('CONTROL MASTER'!$S$2:$S$495=2)*('CONTROL MASTER'!$T$2:$T$495&lt;=2)*('CONTROL MASTER'!$V$2:$V$495&gt;=2)*('CONTROL MASTER'!$U$2:$U$495&lt;=1)*('CONTROL MASTER'!$W$2:$W$495&gt;=1))*ROW('CONTROL MASTER'!$S$2:$S$495))-(ROW('CONTROL MASTER'!#REF!)-1)))&amp;TRIM(MID(SUBSTITUTE(SUBSTITUTE(INDEX('CONTROL MASTER'!$N$2:$N$495,(SUMPRODUCT((('CONTROL MASTER'!$S$2:$S$495=2)*('CONTROL MASTER'!$T$2:$T$495&lt;=2)*('CONTROL MASTER'!$V$2:$V$495&gt;=2)*('CONTROL MASTER'!$U$2:$U$495&lt;=1)*('CONTROL MASTER'!$W$2:$W$495&gt;=1))*ROW('CONTROL MASTER'!$S$2:$S$495))-(ROW('CONTROL MASTER'!#REF!)-1))),":",","),",",REPT(" ",50)),((((2-INDEX('CONTROL MASTER'!$T$2:$T$495,(SUMPRODUCT((('CONTROL MASTER'!$S$2:$S$495=2)*('CONTROL MASTER'!$T$2:$T$495&lt;=2)*('CONTROL MASTER'!$V$2:$V$495&gt;=2)*('CONTROL MASTER'!$U$2:$U$495&lt;=1)*('CONTROL MASTER'!$W$2:$W$495&gt;=1))*ROW('CONTROL MASTER'!$S$2:$S$495))-(ROW('CONTROL MASTER'!#REF!)-1))))*(INDEX('CONTROL MASTER'!$W$2:$W$495,(SUMPRODUCT((('CONTROL MASTER'!$S$2:$S$495=2)*('CONTROL MASTER'!$T$2:$T$495&lt;=2)*('CONTROL MASTER'!$V$2:$V$495&gt;=2)*('CONTROL MASTER'!$U$2:$U$495&lt;=1)*('CONTROL MASTER'!$W$2:$W$495&gt;=1))*ROW('CONTROL MASTER'!$S$2:$S$495))-(ROW('CONTROL MASTER'!#REF!)-1)))-INDEX('CONTROL MASTER'!$U$2:$U$495,(SUMPRODUCT((('CONTROL MASTER'!$S$2:$S$495=2)*('CONTROL MASTER'!$T$2:$T$495&lt;=2)*('CONTROL MASTER'!$V$2:$V$495&gt;=2)*('CONTROL MASTER'!$U$2:$U$495&lt;=1)*('CONTROL MASTER'!$W$2:$W$495&gt;=1))*ROW('CONTROL MASTER'!$S$2:$S$495))-(ROW('CONTROL MASTER'!#REF!)-1)))+1)+(1-INDEX('CONTROL MASTER'!$U$2:$U$495,(SUMPRODUCT((('CONTROL MASTER'!$S$2:$S$495=2)*('CONTROL MASTER'!$T$2:$T$495&lt;=2)*('CONTROL MASTER'!$V$2:$V$495&gt;=2)*('CONTROL MASTER'!$U$2:$U$495&lt;=1)*('CONTROL MASTER'!$W$2:$W$495&gt;=1))*ROW('CONTROL MASTER'!$S$2:$S$495))-(ROW('CONTROL MASTER'!#REF!)-1))))+1))-1)*50+1,50))&amp;"_"&amp;INDEX('CONTROL MASTER'!$P$2:$P$495,(SUMPRODUCT((('CONTROL MASTER'!$S$2:$S$495=2)*('CONTROL MASTER'!$T$2:$T$495&lt;=2)*('CONTROL MASTER'!$V$2:$V$495&gt;=2)*('CONTROL MASTER'!$U$2:$U$495&lt;=1)*('CONTROL MASTER'!$W$2:$W$495&gt;=1))*ROW('CONTROL MASTER'!$S$2:$S$495))-(ROW('CONTROL MASTER'!#REF!)-1))),IF(SUMPRODUCT((('CONTROL MASTER'!$S$2:$S$495=2)*('CONTROL MASTER'!$Z$2:$Z$495&lt;=2)*('CONTROL MASTER'!$AB$2:$AB$495&gt;=2)*('CONTROL MASTER'!$AA$2:$AA$495&lt;=1)*('CONTROL MASTER'!$AC$2:$AC$495&gt;=1))*ROW('CONTROL MASTER'!$S$2:$S$495))&gt;0,INDEX('CONTROL MASTER'!$X$2:$X$495,(SUMPRODUCT((('CONTROL MASTER'!$S$2:$S$495=2)*('CONTROL MASTER'!$Z$2:$Z$495&lt;=2)*('CONTROL MASTER'!$AB$2:$AB$495&gt;=2)*('CONTROL MASTER'!$AA$2:$AA$495&lt;=1)*('CONTROL MASTER'!$AC$2:$AC$495&gt;=1))*ROW('CONTROL MASTER'!$S$2:$S$495))-(ROW('CONTROL MASTER'!#REF!)-1)))&amp;TRIM(MID(SUBSTITUTE(SUBSTITUTE(INDEX('CONTROL MASTER'!$N$2:$N$495,(SUMPRODUCT((('CONTROL MASTER'!$S$2:$S$495=2)*('CONTROL MASTER'!$Z$2:$Z$495&lt;=2)*('CONTROL MASTER'!$AB$2:$AB$495&gt;=2)*('CONTROL MASTER'!$AA$2:$AA$495&lt;=1)*('CONTROL MASTER'!$AC$2:$AC$495&gt;=1))*ROW('CONTROL MASTER'!$S$2:$S$495))-(ROW('CONTROL MASTER'!#REF!)-1))),":",","),",",REPT(" ",50)),(((INDEX('CONTROL MASTER'!$Y$2:$Y$495,(SUMPRODUCT((('CONTROL MASTER'!$S$2:$S$495=2)*('CONTROL MASTER'!$Z$2:$Z$495&lt;=2)*('CONTROL MASTER'!$AB$2:$AB$495&gt;=2)*('CONTROL MASTER'!$AA$2:$AA$495&lt;=1)*('CONTROL MASTER'!$AC$2:$AC$495&gt;=1))*ROW('CONTROL MASTER'!$S$2:$S$495))-(ROW('CONTROL MASTER'!#REF!)-1)))+((2-INDEX('CONTROL MASTER'!$Z$2:$Z$495,(SUMPRODUCT((('CONTROL MASTER'!$S$2:$S$495=2)*('CONTROL MASTER'!$Z$2:$Z$495&lt;=2)*('CONTROL MASTER'!$AB$2:$AB$495&gt;=2)*('CONTROL MASTER'!$AA$2:$AA$495&lt;=1)*('CONTROL MASTER'!$AC$2:$AC$495&gt;=1))*ROW('CONTROL MASTER'!$S$2:$S$495))-(ROW('CONTROL MASTER'!#REF!)-1))))*(INDEX('CONTROL MASTER'!$AC$2:$AC$495,(SUMPRODUCT((('CONTROL MASTER'!$S$2:$S$495=2)*('CONTROL MASTER'!$Z$2:$Z$495&lt;=2)*('CONTROL MASTER'!$AB$2:$AB$495&gt;=2)*('CONTROL MASTER'!$AA$2:$AA$495&lt;=1)*('CONTROL MASTER'!$AC$2:$AC$495&gt;=1))*ROW('CONTROL MASTER'!$S$2:$S$495))-(ROW('CONTROL MASTER'!#REF!)-1)))-INDEX('CONTROL MASTER'!$AA$2:$AA$495,(SUMPRODUCT((('CONTROL MASTER'!$S$2:$S$495=2)*('CONTROL MASTER'!$Z$2:$Z$495&lt;=2)*('CONTROL MASTER'!$AB$2:$AB$495&gt;=2)*('CONTROL MASTER'!$AA$2:$AA$495&lt;=1)*('CONTROL MASTER'!$AC$2:$AC$495&gt;=1))*ROW('CONTROL MASTER'!$S$2:$S$495))-(ROW('CONTROL MASTER'!#REF!)-1)))+1)+(1-INDEX('CONTROL MASTER'!$AA$2:$AA$495,(SUMPRODUCT((('CONTROL MASTER'!$S$2:$S$495=2)*('CONTROL MASTER'!$Z$2:$Z$495&lt;=2)*('CONTROL MASTER'!$AB$2:$AB$495&gt;=2)*('CONTROL MASTER'!$AA$2:$AA$495&lt;=1)*('CONTROL MASTER'!$AC$2:$AC$495&gt;=1))*ROW('CONTROL MASTER'!$S$2:$S$495))-(ROW('CONTROL MASTER'!#REF!)-1))))+1)))-1)*50+1,50))&amp;"_"&amp;INDEX('CONTROL MASTER'!$P$2:$P$495,(SUMPRODUCT((('CONTROL MASTER'!$S$2:$S$495=2)*('CONTROL MASTER'!$Z$2:$Z$495&lt;=2)*('CONTROL MASTER'!$AB$2:$AB$495&gt;=2)*('CONTROL MASTER'!$AA$2:$AA$495&lt;=1)*('CONTROL MASTER'!$AC$2:$AC$495&gt;=1))*ROW('CONTROL MASTER'!$S$2:$S$495))-(ROW('CONTROL MASTER'!#REF!)-1))),"")),"")</f>
        <v/>
      </c>
      <c r="C18" s="10" t="str">
        <f>IFERROR(IF(SUMPRODUCT((('CONTROL MASTER'!$S$2:$S$495=2)*('CONTROL MASTER'!$T$2:$T$495&lt;=2)*('CONTROL MASTER'!$V$2:$V$495&gt;=2)*('CONTROL MASTER'!$U$2:$U$495&lt;=2)*('CONTROL MASTER'!$W$2:$W$495&gt;=2))*ROW('CONTROL MASTER'!$S$2:$S$495))&gt;0,INDEX('CONTROL MASTER'!$X$2:$X$495,(SUMPRODUCT((('CONTROL MASTER'!$S$2:$S$495=2)*('CONTROL MASTER'!$T$2:$T$495&lt;=2)*('CONTROL MASTER'!$V$2:$V$495&gt;=2)*('CONTROL MASTER'!$U$2:$U$495&lt;=2)*('CONTROL MASTER'!$W$2:$W$495&gt;=2))*ROW('CONTROL MASTER'!$S$2:$S$495))-(ROW('CONTROL MASTER'!#REF!)-1)))&amp;TRIM(MID(SUBSTITUTE(SUBSTITUTE(INDEX('CONTROL MASTER'!$N$2:$N$495,(SUMPRODUCT((('CONTROL MASTER'!$S$2:$S$495=2)*('CONTROL MASTER'!$T$2:$T$495&lt;=2)*('CONTROL MASTER'!$V$2:$V$495&gt;=2)*('CONTROL MASTER'!$U$2:$U$495&lt;=2)*('CONTROL MASTER'!$W$2:$W$495&gt;=2))*ROW('CONTROL MASTER'!$S$2:$S$495))-(ROW('CONTROL MASTER'!#REF!)-1))),":",","),",",REPT(" ",50)),((((2-INDEX('CONTROL MASTER'!$T$2:$T$495,(SUMPRODUCT((('CONTROL MASTER'!$S$2:$S$495=2)*('CONTROL MASTER'!$T$2:$T$495&lt;=2)*('CONTROL MASTER'!$V$2:$V$495&gt;=2)*('CONTROL MASTER'!$U$2:$U$495&lt;=2)*('CONTROL MASTER'!$W$2:$W$495&gt;=2))*ROW('CONTROL MASTER'!$S$2:$S$495))-(ROW('CONTROL MASTER'!#REF!)-1))))*(INDEX('CONTROL MASTER'!$W$2:$W$495,(SUMPRODUCT((('CONTROL MASTER'!$S$2:$S$495=2)*('CONTROL MASTER'!$T$2:$T$495&lt;=2)*('CONTROL MASTER'!$V$2:$V$495&gt;=2)*('CONTROL MASTER'!$U$2:$U$495&lt;=2)*('CONTROL MASTER'!$W$2:$W$495&gt;=2))*ROW('CONTROL MASTER'!$S$2:$S$495))-(ROW('CONTROL MASTER'!#REF!)-1)))-INDEX('CONTROL MASTER'!$U$2:$U$495,(SUMPRODUCT((('CONTROL MASTER'!$S$2:$S$495=2)*('CONTROL MASTER'!$T$2:$T$495&lt;=2)*('CONTROL MASTER'!$V$2:$V$495&gt;=2)*('CONTROL MASTER'!$U$2:$U$495&lt;=2)*('CONTROL MASTER'!$W$2:$W$495&gt;=2))*ROW('CONTROL MASTER'!$S$2:$S$495))-(ROW('CONTROL MASTER'!#REF!)-1)))+1)+(2-INDEX('CONTROL MASTER'!$U$2:$U$495,(SUMPRODUCT((('CONTROL MASTER'!$S$2:$S$495=2)*('CONTROL MASTER'!$T$2:$T$495&lt;=2)*('CONTROL MASTER'!$V$2:$V$495&gt;=2)*('CONTROL MASTER'!$U$2:$U$495&lt;=2)*('CONTROL MASTER'!$W$2:$W$495&gt;=2))*ROW('CONTROL MASTER'!$S$2:$S$495))-(ROW('CONTROL MASTER'!#REF!)-1))))+1))-1)*50+1,50))&amp;"_"&amp;INDEX('CONTROL MASTER'!$P$2:$P$495,(SUMPRODUCT((('CONTROL MASTER'!$S$2:$S$495=2)*('CONTROL MASTER'!$T$2:$T$495&lt;=2)*('CONTROL MASTER'!$V$2:$V$495&gt;=2)*('CONTROL MASTER'!$U$2:$U$495&lt;=2)*('CONTROL MASTER'!$W$2:$W$495&gt;=2))*ROW('CONTROL MASTER'!$S$2:$S$495))-(ROW('CONTROL MASTER'!#REF!)-1))),IF(SUMPRODUCT((('CONTROL MASTER'!$S$2:$S$495=2)*('CONTROL MASTER'!$Z$2:$Z$495&lt;=2)*('CONTROL MASTER'!$AB$2:$AB$495&gt;=2)*('CONTROL MASTER'!$AA$2:$AA$495&lt;=2)*('CONTROL MASTER'!$AC$2:$AC$495&gt;=2))*ROW('CONTROL MASTER'!$S$2:$S$495))&gt;0,INDEX('CONTROL MASTER'!$X$2:$X$495,(SUMPRODUCT((('CONTROL MASTER'!$S$2:$S$495=2)*('CONTROL MASTER'!$Z$2:$Z$495&lt;=2)*('CONTROL MASTER'!$AB$2:$AB$495&gt;=2)*('CONTROL MASTER'!$AA$2:$AA$495&lt;=2)*('CONTROL MASTER'!$AC$2:$AC$495&gt;=2))*ROW('CONTROL MASTER'!$S$2:$S$495))-(ROW('CONTROL MASTER'!#REF!)-1)))&amp;TRIM(MID(SUBSTITUTE(SUBSTITUTE(INDEX('CONTROL MASTER'!$N$2:$N$495,(SUMPRODUCT((('CONTROL MASTER'!$S$2:$S$495=2)*('CONTROL MASTER'!$Z$2:$Z$495&lt;=2)*('CONTROL MASTER'!$AB$2:$AB$495&gt;=2)*('CONTROL MASTER'!$AA$2:$AA$495&lt;=2)*('CONTROL MASTER'!$AC$2:$AC$495&gt;=2))*ROW('CONTROL MASTER'!$S$2:$S$495))-(ROW('CONTROL MASTER'!#REF!)-1))),":",","),",",REPT(" ",50)),(((INDEX('CONTROL MASTER'!$Y$2:$Y$495,(SUMPRODUCT((('CONTROL MASTER'!$S$2:$S$495=2)*('CONTROL MASTER'!$Z$2:$Z$495&lt;=2)*('CONTROL MASTER'!$AB$2:$AB$495&gt;=2)*('CONTROL MASTER'!$AA$2:$AA$495&lt;=2)*('CONTROL MASTER'!$AC$2:$AC$495&gt;=2))*ROW('CONTROL MASTER'!$S$2:$S$495))-(ROW('CONTROL MASTER'!#REF!)-1)))+((2-INDEX('CONTROL MASTER'!$Z$2:$Z$495,(SUMPRODUCT((('CONTROL MASTER'!$S$2:$S$495=2)*('CONTROL MASTER'!$Z$2:$Z$495&lt;=2)*('CONTROL MASTER'!$AB$2:$AB$495&gt;=2)*('CONTROL MASTER'!$AA$2:$AA$495&lt;=2)*('CONTROL MASTER'!$AC$2:$AC$495&gt;=2))*ROW('CONTROL MASTER'!$S$2:$S$495))-(ROW('CONTROL MASTER'!#REF!)-1))))*(INDEX('CONTROL MASTER'!$AC$2:$AC$495,(SUMPRODUCT((('CONTROL MASTER'!$S$2:$S$495=2)*('CONTROL MASTER'!$Z$2:$Z$495&lt;=2)*('CONTROL MASTER'!$AB$2:$AB$495&gt;=2)*('CONTROL MASTER'!$AA$2:$AA$495&lt;=2)*('CONTROL MASTER'!$AC$2:$AC$495&gt;=2))*ROW('CONTROL MASTER'!$S$2:$S$495))-(ROW('CONTROL MASTER'!#REF!)-1)))-INDEX('CONTROL MASTER'!$AA$2:$AA$495,(SUMPRODUCT((('CONTROL MASTER'!$S$2:$S$495=2)*('CONTROL MASTER'!$Z$2:$Z$495&lt;=2)*('CONTROL MASTER'!$AB$2:$AB$495&gt;=2)*('CONTROL MASTER'!$AA$2:$AA$495&lt;=2)*('CONTROL MASTER'!$AC$2:$AC$495&gt;=2))*ROW('CONTROL MASTER'!$S$2:$S$495))-(ROW('CONTROL MASTER'!#REF!)-1)))+1)+(2-INDEX('CONTROL MASTER'!$AA$2:$AA$495,(SUMPRODUCT((('CONTROL MASTER'!$S$2:$S$495=2)*('CONTROL MASTER'!$Z$2:$Z$495&lt;=2)*('CONTROL MASTER'!$AB$2:$AB$495&gt;=2)*('CONTROL MASTER'!$AA$2:$AA$495&lt;=2)*('CONTROL MASTER'!$AC$2:$AC$495&gt;=2))*ROW('CONTROL MASTER'!$S$2:$S$495))-(ROW('CONTROL MASTER'!#REF!)-1))))+1)))-1)*50+1,50))&amp;"_"&amp;INDEX('CONTROL MASTER'!$P$2:$P$495,(SUMPRODUCT((('CONTROL MASTER'!$S$2:$S$495=2)*('CONTROL MASTER'!$Z$2:$Z$495&lt;=2)*('CONTROL MASTER'!$AB$2:$AB$495&gt;=2)*('CONTROL MASTER'!$AA$2:$AA$495&lt;=2)*('CONTROL MASTER'!$AC$2:$AC$495&gt;=2))*ROW('CONTROL MASTER'!$S$2:$S$495))-(ROW('CONTROL MASTER'!#REF!)-1))),"")),"")</f>
        <v/>
      </c>
      <c r="D18" s="10" t="str">
        <f>IFERROR(IF(SUMPRODUCT((('CONTROL MASTER'!$S$2:$S$495=2)*('CONTROL MASTER'!$T$2:$T$495&lt;=2)*('CONTROL MASTER'!$V$2:$V$495&gt;=2)*('CONTROL MASTER'!$U$2:$U$495&lt;=3)*('CONTROL MASTER'!$W$2:$W$495&gt;=3))*ROW('CONTROL MASTER'!$S$2:$S$495))&gt;0,INDEX('CONTROL MASTER'!$X$2:$X$495,(SUMPRODUCT((('CONTROL MASTER'!$S$2:$S$495=2)*('CONTROL MASTER'!$T$2:$T$495&lt;=2)*('CONTROL MASTER'!$V$2:$V$495&gt;=2)*('CONTROL MASTER'!$U$2:$U$495&lt;=3)*('CONTROL MASTER'!$W$2:$W$495&gt;=3))*ROW('CONTROL MASTER'!$S$2:$S$495))-(ROW('CONTROL MASTER'!#REF!)-1)))&amp;TRIM(MID(SUBSTITUTE(SUBSTITUTE(INDEX('CONTROL MASTER'!$N$2:$N$495,(SUMPRODUCT((('CONTROL MASTER'!$S$2:$S$495=2)*('CONTROL MASTER'!$T$2:$T$495&lt;=2)*('CONTROL MASTER'!$V$2:$V$495&gt;=2)*('CONTROL MASTER'!$U$2:$U$495&lt;=3)*('CONTROL MASTER'!$W$2:$W$495&gt;=3))*ROW('CONTROL MASTER'!$S$2:$S$495))-(ROW('CONTROL MASTER'!#REF!)-1))),":",","),",",REPT(" ",50)),((((2-INDEX('CONTROL MASTER'!$T$2:$T$495,(SUMPRODUCT((('CONTROL MASTER'!$S$2:$S$495=2)*('CONTROL MASTER'!$T$2:$T$495&lt;=2)*('CONTROL MASTER'!$V$2:$V$495&gt;=2)*('CONTROL MASTER'!$U$2:$U$495&lt;=3)*('CONTROL MASTER'!$W$2:$W$495&gt;=3))*ROW('CONTROL MASTER'!$S$2:$S$495))-(ROW('CONTROL MASTER'!#REF!)-1))))*(INDEX('CONTROL MASTER'!$W$2:$W$495,(SUMPRODUCT((('CONTROL MASTER'!$S$2:$S$495=2)*('CONTROL MASTER'!$T$2:$T$495&lt;=2)*('CONTROL MASTER'!$V$2:$V$495&gt;=2)*('CONTROL MASTER'!$U$2:$U$495&lt;=3)*('CONTROL MASTER'!$W$2:$W$495&gt;=3))*ROW('CONTROL MASTER'!$S$2:$S$495))-(ROW('CONTROL MASTER'!#REF!)-1)))-INDEX('CONTROL MASTER'!$U$2:$U$495,(SUMPRODUCT((('CONTROL MASTER'!$S$2:$S$495=2)*('CONTROL MASTER'!$T$2:$T$495&lt;=2)*('CONTROL MASTER'!$V$2:$V$495&gt;=2)*('CONTROL MASTER'!$U$2:$U$495&lt;=3)*('CONTROL MASTER'!$W$2:$W$495&gt;=3))*ROW('CONTROL MASTER'!$S$2:$S$495))-(ROW('CONTROL MASTER'!#REF!)-1)))+1)+(3-INDEX('CONTROL MASTER'!$U$2:$U$495,(SUMPRODUCT((('CONTROL MASTER'!$S$2:$S$495=2)*('CONTROL MASTER'!$T$2:$T$495&lt;=2)*('CONTROL MASTER'!$V$2:$V$495&gt;=2)*('CONTROL MASTER'!$U$2:$U$495&lt;=3)*('CONTROL MASTER'!$W$2:$W$495&gt;=3))*ROW('CONTROL MASTER'!$S$2:$S$495))-(ROW('CONTROL MASTER'!#REF!)-1))))+1))-1)*50+1,50))&amp;"_"&amp;INDEX('CONTROL MASTER'!$P$2:$P$495,(SUMPRODUCT((('CONTROL MASTER'!$S$2:$S$495=2)*('CONTROL MASTER'!$T$2:$T$495&lt;=2)*('CONTROL MASTER'!$V$2:$V$495&gt;=2)*('CONTROL MASTER'!$U$2:$U$495&lt;=3)*('CONTROL MASTER'!$W$2:$W$495&gt;=3))*ROW('CONTROL MASTER'!$S$2:$S$495))-(ROW('CONTROL MASTER'!#REF!)-1))),IF(SUMPRODUCT((('CONTROL MASTER'!$S$2:$S$495=2)*('CONTROL MASTER'!$Z$2:$Z$495&lt;=2)*('CONTROL MASTER'!$AB$2:$AB$495&gt;=2)*('CONTROL MASTER'!$AA$2:$AA$495&lt;=3)*('CONTROL MASTER'!$AC$2:$AC$495&gt;=3))*ROW('CONTROL MASTER'!$S$2:$S$495))&gt;0,INDEX('CONTROL MASTER'!$X$2:$X$495,(SUMPRODUCT((('CONTROL MASTER'!$S$2:$S$495=2)*('CONTROL MASTER'!$Z$2:$Z$495&lt;=2)*('CONTROL MASTER'!$AB$2:$AB$495&gt;=2)*('CONTROL MASTER'!$AA$2:$AA$495&lt;=3)*('CONTROL MASTER'!$AC$2:$AC$495&gt;=3))*ROW('CONTROL MASTER'!$S$2:$S$495))-(ROW('CONTROL MASTER'!#REF!)-1)))&amp;TRIM(MID(SUBSTITUTE(SUBSTITUTE(INDEX('CONTROL MASTER'!$N$2:$N$495,(SUMPRODUCT((('CONTROL MASTER'!$S$2:$S$495=2)*('CONTROL MASTER'!$Z$2:$Z$495&lt;=2)*('CONTROL MASTER'!$AB$2:$AB$495&gt;=2)*('CONTROL MASTER'!$AA$2:$AA$495&lt;=3)*('CONTROL MASTER'!$AC$2:$AC$495&gt;=3))*ROW('CONTROL MASTER'!$S$2:$S$495))-(ROW('CONTROL MASTER'!#REF!)-1))),":",","),",",REPT(" ",50)),(((INDEX('CONTROL MASTER'!$Y$2:$Y$495,(SUMPRODUCT((('CONTROL MASTER'!$S$2:$S$495=2)*('CONTROL MASTER'!$Z$2:$Z$495&lt;=2)*('CONTROL MASTER'!$AB$2:$AB$495&gt;=2)*('CONTROL MASTER'!$AA$2:$AA$495&lt;=3)*('CONTROL MASTER'!$AC$2:$AC$495&gt;=3))*ROW('CONTROL MASTER'!$S$2:$S$495))-(ROW('CONTROL MASTER'!#REF!)-1)))+((2-INDEX('CONTROL MASTER'!$Z$2:$Z$495,(SUMPRODUCT((('CONTROL MASTER'!$S$2:$S$495=2)*('CONTROL MASTER'!$Z$2:$Z$495&lt;=2)*('CONTROL MASTER'!$AB$2:$AB$495&gt;=2)*('CONTROL MASTER'!$AA$2:$AA$495&lt;=3)*('CONTROL MASTER'!$AC$2:$AC$495&gt;=3))*ROW('CONTROL MASTER'!$S$2:$S$495))-(ROW('CONTROL MASTER'!#REF!)-1))))*(INDEX('CONTROL MASTER'!$AC$2:$AC$495,(SUMPRODUCT((('CONTROL MASTER'!$S$2:$S$495=2)*('CONTROL MASTER'!$Z$2:$Z$495&lt;=2)*('CONTROL MASTER'!$AB$2:$AB$495&gt;=2)*('CONTROL MASTER'!$AA$2:$AA$495&lt;=3)*('CONTROL MASTER'!$AC$2:$AC$495&gt;=3))*ROW('CONTROL MASTER'!$S$2:$S$495))-(ROW('CONTROL MASTER'!#REF!)-1)))-INDEX('CONTROL MASTER'!$AA$2:$AA$495,(SUMPRODUCT((('CONTROL MASTER'!$S$2:$S$495=2)*('CONTROL MASTER'!$Z$2:$Z$495&lt;=2)*('CONTROL MASTER'!$AB$2:$AB$495&gt;=2)*('CONTROL MASTER'!$AA$2:$AA$495&lt;=3)*('CONTROL MASTER'!$AC$2:$AC$495&gt;=3))*ROW('CONTROL MASTER'!$S$2:$S$495))-(ROW('CONTROL MASTER'!#REF!)-1)))+1)+(3-INDEX('CONTROL MASTER'!$AA$2:$AA$495,(SUMPRODUCT((('CONTROL MASTER'!$S$2:$S$495=2)*('CONTROL MASTER'!$Z$2:$Z$495&lt;=2)*('CONTROL MASTER'!$AB$2:$AB$495&gt;=2)*('CONTROL MASTER'!$AA$2:$AA$495&lt;=3)*('CONTROL MASTER'!$AC$2:$AC$495&gt;=3))*ROW('CONTROL MASTER'!$S$2:$S$495))-(ROW('CONTROL MASTER'!#REF!)-1))))+1)))-1)*50+1,50))&amp;"_"&amp;INDEX('CONTROL MASTER'!$P$2:$P$495,(SUMPRODUCT((('CONTROL MASTER'!$S$2:$S$495=2)*('CONTROL MASTER'!$Z$2:$Z$495&lt;=2)*('CONTROL MASTER'!$AB$2:$AB$495&gt;=2)*('CONTROL MASTER'!$AA$2:$AA$495&lt;=3)*('CONTROL MASTER'!$AC$2:$AC$495&gt;=3))*ROW('CONTROL MASTER'!$S$2:$S$495))-(ROW('CONTROL MASTER'!#REF!)-1))),"")),"")</f>
        <v/>
      </c>
      <c r="E18" s="10" t="str">
        <f>IFERROR(IF(SUMPRODUCT((('CONTROL MASTER'!$S$2:$S$495=2)*('CONTROL MASTER'!$T$2:$T$495&lt;=2)*('CONTROL MASTER'!$V$2:$V$495&gt;=2)*('CONTROL MASTER'!$U$2:$U$495&lt;=4)*('CONTROL MASTER'!$W$2:$W$495&gt;=4))*ROW('CONTROL MASTER'!$S$2:$S$495))&gt;0,INDEX('CONTROL MASTER'!$X$2:$X$495,(SUMPRODUCT((('CONTROL MASTER'!$S$2:$S$495=2)*('CONTROL MASTER'!$T$2:$T$495&lt;=2)*('CONTROL MASTER'!$V$2:$V$495&gt;=2)*('CONTROL MASTER'!$U$2:$U$495&lt;=4)*('CONTROL MASTER'!$W$2:$W$495&gt;=4))*ROW('CONTROL MASTER'!$S$2:$S$495))-(ROW('CONTROL MASTER'!#REF!)-1)))&amp;TRIM(MID(SUBSTITUTE(SUBSTITUTE(INDEX('CONTROL MASTER'!$N$2:$N$495,(SUMPRODUCT((('CONTROL MASTER'!$S$2:$S$495=2)*('CONTROL MASTER'!$T$2:$T$495&lt;=2)*('CONTROL MASTER'!$V$2:$V$495&gt;=2)*('CONTROL MASTER'!$U$2:$U$495&lt;=4)*('CONTROL MASTER'!$W$2:$W$495&gt;=4))*ROW('CONTROL MASTER'!$S$2:$S$495))-(ROW('CONTROL MASTER'!#REF!)-1))),":",","),",",REPT(" ",50)),((((2-INDEX('CONTROL MASTER'!$T$2:$T$495,(SUMPRODUCT((('CONTROL MASTER'!$S$2:$S$495=2)*('CONTROL MASTER'!$T$2:$T$495&lt;=2)*('CONTROL MASTER'!$V$2:$V$495&gt;=2)*('CONTROL MASTER'!$U$2:$U$495&lt;=4)*('CONTROL MASTER'!$W$2:$W$495&gt;=4))*ROW('CONTROL MASTER'!$S$2:$S$495))-(ROW('CONTROL MASTER'!#REF!)-1))))*(INDEX('CONTROL MASTER'!$W$2:$W$495,(SUMPRODUCT((('CONTROL MASTER'!$S$2:$S$495=2)*('CONTROL MASTER'!$T$2:$T$495&lt;=2)*('CONTROL MASTER'!$V$2:$V$495&gt;=2)*('CONTROL MASTER'!$U$2:$U$495&lt;=4)*('CONTROL MASTER'!$W$2:$W$495&gt;=4))*ROW('CONTROL MASTER'!$S$2:$S$495))-(ROW('CONTROL MASTER'!#REF!)-1)))-INDEX('CONTROL MASTER'!$U$2:$U$495,(SUMPRODUCT((('CONTROL MASTER'!$S$2:$S$495=2)*('CONTROL MASTER'!$T$2:$T$495&lt;=2)*('CONTROL MASTER'!$V$2:$V$495&gt;=2)*('CONTROL MASTER'!$U$2:$U$495&lt;=4)*('CONTROL MASTER'!$W$2:$W$495&gt;=4))*ROW('CONTROL MASTER'!$S$2:$S$495))-(ROW('CONTROL MASTER'!#REF!)-1)))+1)+(4-INDEX('CONTROL MASTER'!$U$2:$U$495,(SUMPRODUCT((('CONTROL MASTER'!$S$2:$S$495=2)*('CONTROL MASTER'!$T$2:$T$495&lt;=2)*('CONTROL MASTER'!$V$2:$V$495&gt;=2)*('CONTROL MASTER'!$U$2:$U$495&lt;=4)*('CONTROL MASTER'!$W$2:$W$495&gt;=4))*ROW('CONTROL MASTER'!$S$2:$S$495))-(ROW('CONTROL MASTER'!#REF!)-1))))+1))-1)*50+1,50))&amp;"_"&amp;INDEX('CONTROL MASTER'!$P$2:$P$495,(SUMPRODUCT((('CONTROL MASTER'!$S$2:$S$495=2)*('CONTROL MASTER'!$T$2:$T$495&lt;=2)*('CONTROL MASTER'!$V$2:$V$495&gt;=2)*('CONTROL MASTER'!$U$2:$U$495&lt;=4)*('CONTROL MASTER'!$W$2:$W$495&gt;=4))*ROW('CONTROL MASTER'!$S$2:$S$495))-(ROW('CONTROL MASTER'!#REF!)-1))),IF(SUMPRODUCT((('CONTROL MASTER'!$S$2:$S$495=2)*('CONTROL MASTER'!$Z$2:$Z$495&lt;=2)*('CONTROL MASTER'!$AB$2:$AB$495&gt;=2)*('CONTROL MASTER'!$AA$2:$AA$495&lt;=4)*('CONTROL MASTER'!$AC$2:$AC$495&gt;=4))*ROW('CONTROL MASTER'!$S$2:$S$495))&gt;0,INDEX('CONTROL MASTER'!$X$2:$X$495,(SUMPRODUCT((('CONTROL MASTER'!$S$2:$S$495=2)*('CONTROL MASTER'!$Z$2:$Z$495&lt;=2)*('CONTROL MASTER'!$AB$2:$AB$495&gt;=2)*('CONTROL MASTER'!$AA$2:$AA$495&lt;=4)*('CONTROL MASTER'!$AC$2:$AC$495&gt;=4))*ROW('CONTROL MASTER'!$S$2:$S$495))-(ROW('CONTROL MASTER'!#REF!)-1)))&amp;TRIM(MID(SUBSTITUTE(SUBSTITUTE(INDEX('CONTROL MASTER'!$N$2:$N$495,(SUMPRODUCT((('CONTROL MASTER'!$S$2:$S$495=2)*('CONTROL MASTER'!$Z$2:$Z$495&lt;=2)*('CONTROL MASTER'!$AB$2:$AB$495&gt;=2)*('CONTROL MASTER'!$AA$2:$AA$495&lt;=4)*('CONTROL MASTER'!$AC$2:$AC$495&gt;=4))*ROW('CONTROL MASTER'!$S$2:$S$495))-(ROW('CONTROL MASTER'!#REF!)-1))),":",","),",",REPT(" ",50)),(((INDEX('CONTROL MASTER'!$Y$2:$Y$495,(SUMPRODUCT((('CONTROL MASTER'!$S$2:$S$495=2)*('CONTROL MASTER'!$Z$2:$Z$495&lt;=2)*('CONTROL MASTER'!$AB$2:$AB$495&gt;=2)*('CONTROL MASTER'!$AA$2:$AA$495&lt;=4)*('CONTROL MASTER'!$AC$2:$AC$495&gt;=4))*ROW('CONTROL MASTER'!$S$2:$S$495))-(ROW('CONTROL MASTER'!#REF!)-1)))+((2-INDEX('CONTROL MASTER'!$Z$2:$Z$495,(SUMPRODUCT((('CONTROL MASTER'!$S$2:$S$495=2)*('CONTROL MASTER'!$Z$2:$Z$495&lt;=2)*('CONTROL MASTER'!$AB$2:$AB$495&gt;=2)*('CONTROL MASTER'!$AA$2:$AA$495&lt;=4)*('CONTROL MASTER'!$AC$2:$AC$495&gt;=4))*ROW('CONTROL MASTER'!$S$2:$S$495))-(ROW('CONTROL MASTER'!#REF!)-1))))*(INDEX('CONTROL MASTER'!$AC$2:$AC$495,(SUMPRODUCT((('CONTROL MASTER'!$S$2:$S$495=2)*('CONTROL MASTER'!$Z$2:$Z$495&lt;=2)*('CONTROL MASTER'!$AB$2:$AB$495&gt;=2)*('CONTROL MASTER'!$AA$2:$AA$495&lt;=4)*('CONTROL MASTER'!$AC$2:$AC$495&gt;=4))*ROW('CONTROL MASTER'!$S$2:$S$495))-(ROW('CONTROL MASTER'!#REF!)-1)))-INDEX('CONTROL MASTER'!$AA$2:$AA$495,(SUMPRODUCT((('CONTROL MASTER'!$S$2:$S$495=2)*('CONTROL MASTER'!$Z$2:$Z$495&lt;=2)*('CONTROL MASTER'!$AB$2:$AB$495&gt;=2)*('CONTROL MASTER'!$AA$2:$AA$495&lt;=4)*('CONTROL MASTER'!$AC$2:$AC$495&gt;=4))*ROW('CONTROL MASTER'!$S$2:$S$495))-(ROW('CONTROL MASTER'!#REF!)-1)))+1)+(4-INDEX('CONTROL MASTER'!$AA$2:$AA$495,(SUMPRODUCT((('CONTROL MASTER'!$S$2:$S$495=2)*('CONTROL MASTER'!$Z$2:$Z$495&lt;=2)*('CONTROL MASTER'!$AB$2:$AB$495&gt;=2)*('CONTROL MASTER'!$AA$2:$AA$495&lt;=4)*('CONTROL MASTER'!$AC$2:$AC$495&gt;=4))*ROW('CONTROL MASTER'!$S$2:$S$495))-(ROW('CONTROL MASTER'!#REF!)-1))))+1)))-1)*50+1,50))&amp;"_"&amp;INDEX('CONTROL MASTER'!$P$2:$P$495,(SUMPRODUCT((('CONTROL MASTER'!$S$2:$S$495=2)*('CONTROL MASTER'!$Z$2:$Z$495&lt;=2)*('CONTROL MASTER'!$AB$2:$AB$495&gt;=2)*('CONTROL MASTER'!$AA$2:$AA$495&lt;=4)*('CONTROL MASTER'!$AC$2:$AC$495&gt;=4))*ROW('CONTROL MASTER'!$S$2:$S$495))-(ROW('CONTROL MASTER'!#REF!)-1))),"")),"")</f>
        <v/>
      </c>
      <c r="F18" s="10" t="str">
        <f>IFERROR(IF(SUMPRODUCT((('CONTROL MASTER'!$S$2:$S$495=2)*('CONTROL MASTER'!$T$2:$T$495&lt;=2)*('CONTROL MASTER'!$V$2:$V$495&gt;=2)*('CONTROL MASTER'!$U$2:$U$495&lt;=5)*('CONTROL MASTER'!$W$2:$W$495&gt;=5))*ROW('CONTROL MASTER'!$S$2:$S$495))&gt;0,INDEX('CONTROL MASTER'!$X$2:$X$495,(SUMPRODUCT((('CONTROL MASTER'!$S$2:$S$495=2)*('CONTROL MASTER'!$T$2:$T$495&lt;=2)*('CONTROL MASTER'!$V$2:$V$495&gt;=2)*('CONTROL MASTER'!$U$2:$U$495&lt;=5)*('CONTROL MASTER'!$W$2:$W$495&gt;=5))*ROW('CONTROL MASTER'!$S$2:$S$495))-(ROW('CONTROL MASTER'!#REF!)-1)))&amp;TRIM(MID(SUBSTITUTE(SUBSTITUTE(INDEX('CONTROL MASTER'!$N$2:$N$495,(SUMPRODUCT((('CONTROL MASTER'!$S$2:$S$495=2)*('CONTROL MASTER'!$T$2:$T$495&lt;=2)*('CONTROL MASTER'!$V$2:$V$495&gt;=2)*('CONTROL MASTER'!$U$2:$U$495&lt;=5)*('CONTROL MASTER'!$W$2:$W$495&gt;=5))*ROW('CONTROL MASTER'!$S$2:$S$495))-(ROW('CONTROL MASTER'!#REF!)-1))),":",","),",",REPT(" ",50)),((((2-INDEX('CONTROL MASTER'!$T$2:$T$495,(SUMPRODUCT((('CONTROL MASTER'!$S$2:$S$495=2)*('CONTROL MASTER'!$T$2:$T$495&lt;=2)*('CONTROL MASTER'!$V$2:$V$495&gt;=2)*('CONTROL MASTER'!$U$2:$U$495&lt;=5)*('CONTROL MASTER'!$W$2:$W$495&gt;=5))*ROW('CONTROL MASTER'!$S$2:$S$495))-(ROW('CONTROL MASTER'!#REF!)-1))))*(INDEX('CONTROL MASTER'!$W$2:$W$495,(SUMPRODUCT((('CONTROL MASTER'!$S$2:$S$495=2)*('CONTROL MASTER'!$T$2:$T$495&lt;=2)*('CONTROL MASTER'!$V$2:$V$495&gt;=2)*('CONTROL MASTER'!$U$2:$U$495&lt;=5)*('CONTROL MASTER'!$W$2:$W$495&gt;=5))*ROW('CONTROL MASTER'!$S$2:$S$495))-(ROW('CONTROL MASTER'!#REF!)-1)))-INDEX('CONTROL MASTER'!$U$2:$U$495,(SUMPRODUCT((('CONTROL MASTER'!$S$2:$S$495=2)*('CONTROL MASTER'!$T$2:$T$495&lt;=2)*('CONTROL MASTER'!$V$2:$V$495&gt;=2)*('CONTROL MASTER'!$U$2:$U$495&lt;=5)*('CONTROL MASTER'!$W$2:$W$495&gt;=5))*ROW('CONTROL MASTER'!$S$2:$S$495))-(ROW('CONTROL MASTER'!#REF!)-1)))+1)+(5-INDEX('CONTROL MASTER'!$U$2:$U$495,(SUMPRODUCT((('CONTROL MASTER'!$S$2:$S$495=2)*('CONTROL MASTER'!$T$2:$T$495&lt;=2)*('CONTROL MASTER'!$V$2:$V$495&gt;=2)*('CONTROL MASTER'!$U$2:$U$495&lt;=5)*('CONTROL MASTER'!$W$2:$W$495&gt;=5))*ROW('CONTROL MASTER'!$S$2:$S$495))-(ROW('CONTROL MASTER'!#REF!)-1))))+1))-1)*50+1,50))&amp;"_"&amp;INDEX('CONTROL MASTER'!$P$2:$P$495,(SUMPRODUCT((('CONTROL MASTER'!$S$2:$S$495=2)*('CONTROL MASTER'!$T$2:$T$495&lt;=2)*('CONTROL MASTER'!$V$2:$V$495&gt;=2)*('CONTROL MASTER'!$U$2:$U$495&lt;=5)*('CONTROL MASTER'!$W$2:$W$495&gt;=5))*ROW('CONTROL MASTER'!$S$2:$S$495))-(ROW('CONTROL MASTER'!#REF!)-1))),IF(SUMPRODUCT((('CONTROL MASTER'!$S$2:$S$495=2)*('CONTROL MASTER'!$Z$2:$Z$495&lt;=2)*('CONTROL MASTER'!$AB$2:$AB$495&gt;=2)*('CONTROL MASTER'!$AA$2:$AA$495&lt;=5)*('CONTROL MASTER'!$AC$2:$AC$495&gt;=5))*ROW('CONTROL MASTER'!$S$2:$S$495))&gt;0,INDEX('CONTROL MASTER'!$X$2:$X$495,(SUMPRODUCT((('CONTROL MASTER'!$S$2:$S$495=2)*('CONTROL MASTER'!$Z$2:$Z$495&lt;=2)*('CONTROL MASTER'!$AB$2:$AB$495&gt;=2)*('CONTROL MASTER'!$AA$2:$AA$495&lt;=5)*('CONTROL MASTER'!$AC$2:$AC$495&gt;=5))*ROW('CONTROL MASTER'!$S$2:$S$495))-(ROW('CONTROL MASTER'!#REF!)-1)))&amp;TRIM(MID(SUBSTITUTE(SUBSTITUTE(INDEX('CONTROL MASTER'!$N$2:$N$495,(SUMPRODUCT((('CONTROL MASTER'!$S$2:$S$495=2)*('CONTROL MASTER'!$Z$2:$Z$495&lt;=2)*('CONTROL MASTER'!$AB$2:$AB$495&gt;=2)*('CONTROL MASTER'!$AA$2:$AA$495&lt;=5)*('CONTROL MASTER'!$AC$2:$AC$495&gt;=5))*ROW('CONTROL MASTER'!$S$2:$S$495))-(ROW('CONTROL MASTER'!#REF!)-1))),":",","),",",REPT(" ",50)),(((INDEX('CONTROL MASTER'!$Y$2:$Y$495,(SUMPRODUCT((('CONTROL MASTER'!$S$2:$S$495=2)*('CONTROL MASTER'!$Z$2:$Z$495&lt;=2)*('CONTROL MASTER'!$AB$2:$AB$495&gt;=2)*('CONTROL MASTER'!$AA$2:$AA$495&lt;=5)*('CONTROL MASTER'!$AC$2:$AC$495&gt;=5))*ROW('CONTROL MASTER'!$S$2:$S$495))-(ROW('CONTROL MASTER'!#REF!)-1)))+((2-INDEX('CONTROL MASTER'!$Z$2:$Z$495,(SUMPRODUCT((('CONTROL MASTER'!$S$2:$S$495=2)*('CONTROL MASTER'!$Z$2:$Z$495&lt;=2)*('CONTROL MASTER'!$AB$2:$AB$495&gt;=2)*('CONTROL MASTER'!$AA$2:$AA$495&lt;=5)*('CONTROL MASTER'!$AC$2:$AC$495&gt;=5))*ROW('CONTROL MASTER'!$S$2:$S$495))-(ROW('CONTROL MASTER'!#REF!)-1))))*(INDEX('CONTROL MASTER'!$AC$2:$AC$495,(SUMPRODUCT((('CONTROL MASTER'!$S$2:$S$495=2)*('CONTROL MASTER'!$Z$2:$Z$495&lt;=2)*('CONTROL MASTER'!$AB$2:$AB$495&gt;=2)*('CONTROL MASTER'!$AA$2:$AA$495&lt;=5)*('CONTROL MASTER'!$AC$2:$AC$495&gt;=5))*ROW('CONTROL MASTER'!$S$2:$S$495))-(ROW('CONTROL MASTER'!#REF!)-1)))-INDEX('CONTROL MASTER'!$AA$2:$AA$495,(SUMPRODUCT((('CONTROL MASTER'!$S$2:$S$495=2)*('CONTROL MASTER'!$Z$2:$Z$495&lt;=2)*('CONTROL MASTER'!$AB$2:$AB$495&gt;=2)*('CONTROL MASTER'!$AA$2:$AA$495&lt;=5)*('CONTROL MASTER'!$AC$2:$AC$495&gt;=5))*ROW('CONTROL MASTER'!$S$2:$S$495))-(ROW('CONTROL MASTER'!#REF!)-1)))+1)+(5-INDEX('CONTROL MASTER'!$AA$2:$AA$495,(SUMPRODUCT((('CONTROL MASTER'!$S$2:$S$495=2)*('CONTROL MASTER'!$Z$2:$Z$495&lt;=2)*('CONTROL MASTER'!$AB$2:$AB$495&gt;=2)*('CONTROL MASTER'!$AA$2:$AA$495&lt;=5)*('CONTROL MASTER'!$AC$2:$AC$495&gt;=5))*ROW('CONTROL MASTER'!$S$2:$S$495))-(ROW('CONTROL MASTER'!#REF!)-1))))+1)))-1)*50+1,50))&amp;"_"&amp;INDEX('CONTROL MASTER'!$P$2:$P$495,(SUMPRODUCT((('CONTROL MASTER'!$S$2:$S$495=2)*('CONTROL MASTER'!$Z$2:$Z$495&lt;=2)*('CONTROL MASTER'!$AB$2:$AB$495&gt;=2)*('CONTROL MASTER'!$AA$2:$AA$495&lt;=5)*('CONTROL MASTER'!$AC$2:$AC$495&gt;=5))*ROW('CONTROL MASTER'!$S$2:$S$495))-(ROW('CONTROL MASTER'!#REF!)-1))),"")),"")</f>
        <v/>
      </c>
      <c r="G18" s="10" t="str">
        <f>IFERROR(IF(SUMPRODUCT((('CONTROL MASTER'!$S$2:$S$495=2)*('CONTROL MASTER'!$T$2:$T$495&lt;=2)*('CONTROL MASTER'!$V$2:$V$495&gt;=2)*('CONTROL MASTER'!$U$2:$U$495&lt;=6)*('CONTROL MASTER'!$W$2:$W$495&gt;=6))*ROW('CONTROL MASTER'!$S$2:$S$495))&gt;0,INDEX('CONTROL MASTER'!$X$2:$X$495,(SUMPRODUCT((('CONTROL MASTER'!$S$2:$S$495=2)*('CONTROL MASTER'!$T$2:$T$495&lt;=2)*('CONTROL MASTER'!$V$2:$V$495&gt;=2)*('CONTROL MASTER'!$U$2:$U$495&lt;=6)*('CONTROL MASTER'!$W$2:$W$495&gt;=6))*ROW('CONTROL MASTER'!$S$2:$S$495))-(ROW('CONTROL MASTER'!#REF!)-1)))&amp;TRIM(MID(SUBSTITUTE(SUBSTITUTE(INDEX('CONTROL MASTER'!$N$2:$N$495,(SUMPRODUCT((('CONTROL MASTER'!$S$2:$S$495=2)*('CONTROL MASTER'!$T$2:$T$495&lt;=2)*('CONTROL MASTER'!$V$2:$V$495&gt;=2)*('CONTROL MASTER'!$U$2:$U$495&lt;=6)*('CONTROL MASTER'!$W$2:$W$495&gt;=6))*ROW('CONTROL MASTER'!$S$2:$S$495))-(ROW('CONTROL MASTER'!#REF!)-1))),":",","),",",REPT(" ",50)),((((2-INDEX('CONTROL MASTER'!$T$2:$T$495,(SUMPRODUCT((('CONTROL MASTER'!$S$2:$S$495=2)*('CONTROL MASTER'!$T$2:$T$495&lt;=2)*('CONTROL MASTER'!$V$2:$V$495&gt;=2)*('CONTROL MASTER'!$U$2:$U$495&lt;=6)*('CONTROL MASTER'!$W$2:$W$495&gt;=6))*ROW('CONTROL MASTER'!$S$2:$S$495))-(ROW('CONTROL MASTER'!#REF!)-1))))*(INDEX('CONTROL MASTER'!$W$2:$W$495,(SUMPRODUCT((('CONTROL MASTER'!$S$2:$S$495=2)*('CONTROL MASTER'!$T$2:$T$495&lt;=2)*('CONTROL MASTER'!$V$2:$V$495&gt;=2)*('CONTROL MASTER'!$U$2:$U$495&lt;=6)*('CONTROL MASTER'!$W$2:$W$495&gt;=6))*ROW('CONTROL MASTER'!$S$2:$S$495))-(ROW('CONTROL MASTER'!#REF!)-1)))-INDEX('CONTROL MASTER'!$U$2:$U$495,(SUMPRODUCT((('CONTROL MASTER'!$S$2:$S$495=2)*('CONTROL MASTER'!$T$2:$T$495&lt;=2)*('CONTROL MASTER'!$V$2:$V$495&gt;=2)*('CONTROL MASTER'!$U$2:$U$495&lt;=6)*('CONTROL MASTER'!$W$2:$W$495&gt;=6))*ROW('CONTROL MASTER'!$S$2:$S$495))-(ROW('CONTROL MASTER'!#REF!)-1)))+1)+(6-INDEX('CONTROL MASTER'!$U$2:$U$495,(SUMPRODUCT((('CONTROL MASTER'!$S$2:$S$495=2)*('CONTROL MASTER'!$T$2:$T$495&lt;=2)*('CONTROL MASTER'!$V$2:$V$495&gt;=2)*('CONTROL MASTER'!$U$2:$U$495&lt;=6)*('CONTROL MASTER'!$W$2:$W$495&gt;=6))*ROW('CONTROL MASTER'!$S$2:$S$495))-(ROW('CONTROL MASTER'!#REF!)-1))))+1))-1)*50+1,50))&amp;"_"&amp;INDEX('CONTROL MASTER'!$P$2:$P$495,(SUMPRODUCT((('CONTROL MASTER'!$S$2:$S$495=2)*('CONTROL MASTER'!$T$2:$T$495&lt;=2)*('CONTROL MASTER'!$V$2:$V$495&gt;=2)*('CONTROL MASTER'!$U$2:$U$495&lt;=6)*('CONTROL MASTER'!$W$2:$W$495&gt;=6))*ROW('CONTROL MASTER'!$S$2:$S$495))-(ROW('CONTROL MASTER'!#REF!)-1))),IF(SUMPRODUCT((('CONTROL MASTER'!$S$2:$S$495=2)*('CONTROL MASTER'!$Z$2:$Z$495&lt;=2)*('CONTROL MASTER'!$AB$2:$AB$495&gt;=2)*('CONTROL MASTER'!$AA$2:$AA$495&lt;=6)*('CONTROL MASTER'!$AC$2:$AC$495&gt;=6))*ROW('CONTROL MASTER'!$S$2:$S$495))&gt;0,INDEX('CONTROL MASTER'!$X$2:$X$495,(SUMPRODUCT((('CONTROL MASTER'!$S$2:$S$495=2)*('CONTROL MASTER'!$Z$2:$Z$495&lt;=2)*('CONTROL MASTER'!$AB$2:$AB$495&gt;=2)*('CONTROL MASTER'!$AA$2:$AA$495&lt;=6)*('CONTROL MASTER'!$AC$2:$AC$495&gt;=6))*ROW('CONTROL MASTER'!$S$2:$S$495))-(ROW('CONTROL MASTER'!#REF!)-1)))&amp;TRIM(MID(SUBSTITUTE(SUBSTITUTE(INDEX('CONTROL MASTER'!$N$2:$N$495,(SUMPRODUCT((('CONTROL MASTER'!$S$2:$S$495=2)*('CONTROL MASTER'!$Z$2:$Z$495&lt;=2)*('CONTROL MASTER'!$AB$2:$AB$495&gt;=2)*('CONTROL MASTER'!$AA$2:$AA$495&lt;=6)*('CONTROL MASTER'!$AC$2:$AC$495&gt;=6))*ROW('CONTROL MASTER'!$S$2:$S$495))-(ROW('CONTROL MASTER'!#REF!)-1))),":",","),",",REPT(" ",50)),(((INDEX('CONTROL MASTER'!$Y$2:$Y$495,(SUMPRODUCT((('CONTROL MASTER'!$S$2:$S$495=2)*('CONTROL MASTER'!$Z$2:$Z$495&lt;=2)*('CONTROL MASTER'!$AB$2:$AB$495&gt;=2)*('CONTROL MASTER'!$AA$2:$AA$495&lt;=6)*('CONTROL MASTER'!$AC$2:$AC$495&gt;=6))*ROW('CONTROL MASTER'!$S$2:$S$495))-(ROW('CONTROL MASTER'!#REF!)-1)))+((2-INDEX('CONTROL MASTER'!$Z$2:$Z$495,(SUMPRODUCT((('CONTROL MASTER'!$S$2:$S$495=2)*('CONTROL MASTER'!$Z$2:$Z$495&lt;=2)*('CONTROL MASTER'!$AB$2:$AB$495&gt;=2)*('CONTROL MASTER'!$AA$2:$AA$495&lt;=6)*('CONTROL MASTER'!$AC$2:$AC$495&gt;=6))*ROW('CONTROL MASTER'!$S$2:$S$495))-(ROW('CONTROL MASTER'!#REF!)-1))))*(INDEX('CONTROL MASTER'!$AC$2:$AC$495,(SUMPRODUCT((('CONTROL MASTER'!$S$2:$S$495=2)*('CONTROL MASTER'!$Z$2:$Z$495&lt;=2)*('CONTROL MASTER'!$AB$2:$AB$495&gt;=2)*('CONTROL MASTER'!$AA$2:$AA$495&lt;=6)*('CONTROL MASTER'!$AC$2:$AC$495&gt;=6))*ROW('CONTROL MASTER'!$S$2:$S$495))-(ROW('CONTROL MASTER'!#REF!)-1)))-INDEX('CONTROL MASTER'!$AA$2:$AA$495,(SUMPRODUCT((('CONTROL MASTER'!$S$2:$S$495=2)*('CONTROL MASTER'!$Z$2:$Z$495&lt;=2)*('CONTROL MASTER'!$AB$2:$AB$495&gt;=2)*('CONTROL MASTER'!$AA$2:$AA$495&lt;=6)*('CONTROL MASTER'!$AC$2:$AC$495&gt;=6))*ROW('CONTROL MASTER'!$S$2:$S$495))-(ROW('CONTROL MASTER'!#REF!)-1)))+1)+(6-INDEX('CONTROL MASTER'!$AA$2:$AA$495,(SUMPRODUCT((('CONTROL MASTER'!$S$2:$S$495=2)*('CONTROL MASTER'!$Z$2:$Z$495&lt;=2)*('CONTROL MASTER'!$AB$2:$AB$495&gt;=2)*('CONTROL MASTER'!$AA$2:$AA$495&lt;=6)*('CONTROL MASTER'!$AC$2:$AC$495&gt;=6))*ROW('CONTROL MASTER'!$S$2:$S$495))-(ROW('CONTROL MASTER'!#REF!)-1))))+1)))-1)*50+1,50))&amp;"_"&amp;INDEX('CONTROL MASTER'!$P$2:$P$495,(SUMPRODUCT((('CONTROL MASTER'!$S$2:$S$495=2)*('CONTROL MASTER'!$Z$2:$Z$495&lt;=2)*('CONTROL MASTER'!$AB$2:$AB$495&gt;=2)*('CONTROL MASTER'!$AA$2:$AA$495&lt;=6)*('CONTROL MASTER'!$AC$2:$AC$495&gt;=6))*ROW('CONTROL MASTER'!$S$2:$S$495))-(ROW('CONTROL MASTER'!#REF!)-1))),"")),"")</f>
        <v/>
      </c>
      <c r="H18" s="10" t="str">
        <f>IFERROR(IF(SUMPRODUCT((('CONTROL MASTER'!$S$2:$S$495=2)*('CONTROL MASTER'!$T$2:$T$495&lt;=2)*('CONTROL MASTER'!$V$2:$V$495&gt;=2)*('CONTROL MASTER'!$U$2:$U$495&lt;=7)*('CONTROL MASTER'!$W$2:$W$495&gt;=7))*ROW('CONTROL MASTER'!$S$2:$S$495))&gt;0,INDEX('CONTROL MASTER'!$X$2:$X$495,(SUMPRODUCT((('CONTROL MASTER'!$S$2:$S$495=2)*('CONTROL MASTER'!$T$2:$T$495&lt;=2)*('CONTROL MASTER'!$V$2:$V$495&gt;=2)*('CONTROL MASTER'!$U$2:$U$495&lt;=7)*('CONTROL MASTER'!$W$2:$W$495&gt;=7))*ROW('CONTROL MASTER'!$S$2:$S$495))-(ROW('CONTROL MASTER'!#REF!)-1)))&amp;TRIM(MID(SUBSTITUTE(SUBSTITUTE(INDEX('CONTROL MASTER'!$N$2:$N$495,(SUMPRODUCT((('CONTROL MASTER'!$S$2:$S$495=2)*('CONTROL MASTER'!$T$2:$T$495&lt;=2)*('CONTROL MASTER'!$V$2:$V$495&gt;=2)*('CONTROL MASTER'!$U$2:$U$495&lt;=7)*('CONTROL MASTER'!$W$2:$W$495&gt;=7))*ROW('CONTROL MASTER'!$S$2:$S$495))-(ROW('CONTROL MASTER'!#REF!)-1))),":",","),",",REPT(" ",50)),((((2-INDEX('CONTROL MASTER'!$T$2:$T$495,(SUMPRODUCT((('CONTROL MASTER'!$S$2:$S$495=2)*('CONTROL MASTER'!$T$2:$T$495&lt;=2)*('CONTROL MASTER'!$V$2:$V$495&gt;=2)*('CONTROL MASTER'!$U$2:$U$495&lt;=7)*('CONTROL MASTER'!$W$2:$W$495&gt;=7))*ROW('CONTROL MASTER'!$S$2:$S$495))-(ROW('CONTROL MASTER'!#REF!)-1))))*(INDEX('CONTROL MASTER'!$W$2:$W$495,(SUMPRODUCT((('CONTROL MASTER'!$S$2:$S$495=2)*('CONTROL MASTER'!$T$2:$T$495&lt;=2)*('CONTROL MASTER'!$V$2:$V$495&gt;=2)*('CONTROL MASTER'!$U$2:$U$495&lt;=7)*('CONTROL MASTER'!$W$2:$W$495&gt;=7))*ROW('CONTROL MASTER'!$S$2:$S$495))-(ROW('CONTROL MASTER'!#REF!)-1)))-INDEX('CONTROL MASTER'!$U$2:$U$495,(SUMPRODUCT((('CONTROL MASTER'!$S$2:$S$495=2)*('CONTROL MASTER'!$T$2:$T$495&lt;=2)*('CONTROL MASTER'!$V$2:$V$495&gt;=2)*('CONTROL MASTER'!$U$2:$U$495&lt;=7)*('CONTROL MASTER'!$W$2:$W$495&gt;=7))*ROW('CONTROL MASTER'!$S$2:$S$495))-(ROW('CONTROL MASTER'!#REF!)-1)))+1)+(7-INDEX('CONTROL MASTER'!$U$2:$U$495,(SUMPRODUCT((('CONTROL MASTER'!$S$2:$S$495=2)*('CONTROL MASTER'!$T$2:$T$495&lt;=2)*('CONTROL MASTER'!$V$2:$V$495&gt;=2)*('CONTROL MASTER'!$U$2:$U$495&lt;=7)*('CONTROL MASTER'!$W$2:$W$495&gt;=7))*ROW('CONTROL MASTER'!$S$2:$S$495))-(ROW('CONTROL MASTER'!#REF!)-1))))+1))-1)*50+1,50))&amp;"_"&amp;INDEX('CONTROL MASTER'!$P$2:$P$495,(SUMPRODUCT((('CONTROL MASTER'!$S$2:$S$495=2)*('CONTROL MASTER'!$T$2:$T$495&lt;=2)*('CONTROL MASTER'!$V$2:$V$495&gt;=2)*('CONTROL MASTER'!$U$2:$U$495&lt;=7)*('CONTROL MASTER'!$W$2:$W$495&gt;=7))*ROW('CONTROL MASTER'!$S$2:$S$495))-(ROW('CONTROL MASTER'!#REF!)-1))),IF(SUMPRODUCT((('CONTROL MASTER'!$S$2:$S$495=2)*('CONTROL MASTER'!$Z$2:$Z$495&lt;=2)*('CONTROL MASTER'!$AB$2:$AB$495&gt;=2)*('CONTROL MASTER'!$AA$2:$AA$495&lt;=7)*('CONTROL MASTER'!$AC$2:$AC$495&gt;=7))*ROW('CONTROL MASTER'!$S$2:$S$495))&gt;0,INDEX('CONTROL MASTER'!$X$2:$X$495,(SUMPRODUCT((('CONTROL MASTER'!$S$2:$S$495=2)*('CONTROL MASTER'!$Z$2:$Z$495&lt;=2)*('CONTROL MASTER'!$AB$2:$AB$495&gt;=2)*('CONTROL MASTER'!$AA$2:$AA$495&lt;=7)*('CONTROL MASTER'!$AC$2:$AC$495&gt;=7))*ROW('CONTROL MASTER'!$S$2:$S$495))-(ROW('CONTROL MASTER'!#REF!)-1)))&amp;TRIM(MID(SUBSTITUTE(SUBSTITUTE(INDEX('CONTROL MASTER'!$N$2:$N$495,(SUMPRODUCT((('CONTROL MASTER'!$S$2:$S$495=2)*('CONTROL MASTER'!$Z$2:$Z$495&lt;=2)*('CONTROL MASTER'!$AB$2:$AB$495&gt;=2)*('CONTROL MASTER'!$AA$2:$AA$495&lt;=7)*('CONTROL MASTER'!$AC$2:$AC$495&gt;=7))*ROW('CONTROL MASTER'!$S$2:$S$495))-(ROW('CONTROL MASTER'!#REF!)-1))),":",","),",",REPT(" ",50)),(((INDEX('CONTROL MASTER'!$Y$2:$Y$495,(SUMPRODUCT((('CONTROL MASTER'!$S$2:$S$495=2)*('CONTROL MASTER'!$Z$2:$Z$495&lt;=2)*('CONTROL MASTER'!$AB$2:$AB$495&gt;=2)*('CONTROL MASTER'!$AA$2:$AA$495&lt;=7)*('CONTROL MASTER'!$AC$2:$AC$495&gt;=7))*ROW('CONTROL MASTER'!$S$2:$S$495))-(ROW('CONTROL MASTER'!#REF!)-1)))+((2-INDEX('CONTROL MASTER'!$Z$2:$Z$495,(SUMPRODUCT((('CONTROL MASTER'!$S$2:$S$495=2)*('CONTROL MASTER'!$Z$2:$Z$495&lt;=2)*('CONTROL MASTER'!$AB$2:$AB$495&gt;=2)*('CONTROL MASTER'!$AA$2:$AA$495&lt;=7)*('CONTROL MASTER'!$AC$2:$AC$495&gt;=7))*ROW('CONTROL MASTER'!$S$2:$S$495))-(ROW('CONTROL MASTER'!#REF!)-1))))*(INDEX('CONTROL MASTER'!$AC$2:$AC$495,(SUMPRODUCT((('CONTROL MASTER'!$S$2:$S$495=2)*('CONTROL MASTER'!$Z$2:$Z$495&lt;=2)*('CONTROL MASTER'!$AB$2:$AB$495&gt;=2)*('CONTROL MASTER'!$AA$2:$AA$495&lt;=7)*('CONTROL MASTER'!$AC$2:$AC$495&gt;=7))*ROW('CONTROL MASTER'!$S$2:$S$495))-(ROW('CONTROL MASTER'!#REF!)-1)))-INDEX('CONTROL MASTER'!$AA$2:$AA$495,(SUMPRODUCT((('CONTROL MASTER'!$S$2:$S$495=2)*('CONTROL MASTER'!$Z$2:$Z$495&lt;=2)*('CONTROL MASTER'!$AB$2:$AB$495&gt;=2)*('CONTROL MASTER'!$AA$2:$AA$495&lt;=7)*('CONTROL MASTER'!$AC$2:$AC$495&gt;=7))*ROW('CONTROL MASTER'!$S$2:$S$495))-(ROW('CONTROL MASTER'!#REF!)-1)))+1)+(7-INDEX('CONTROL MASTER'!$AA$2:$AA$495,(SUMPRODUCT((('CONTROL MASTER'!$S$2:$S$495=2)*('CONTROL MASTER'!$Z$2:$Z$495&lt;=2)*('CONTROL MASTER'!$AB$2:$AB$495&gt;=2)*('CONTROL MASTER'!$AA$2:$AA$495&lt;=7)*('CONTROL MASTER'!$AC$2:$AC$495&gt;=7))*ROW('CONTROL MASTER'!$S$2:$S$495))-(ROW('CONTROL MASTER'!#REF!)-1))))+1)))-1)*50+1,50))&amp;"_"&amp;INDEX('CONTROL MASTER'!$P$2:$P$495,(SUMPRODUCT((('CONTROL MASTER'!$S$2:$S$495=2)*('CONTROL MASTER'!$Z$2:$Z$495&lt;=2)*('CONTROL MASTER'!$AB$2:$AB$495&gt;=2)*('CONTROL MASTER'!$AA$2:$AA$495&lt;=7)*('CONTROL MASTER'!$AC$2:$AC$495&gt;=7))*ROW('CONTROL MASTER'!$S$2:$S$495))-(ROW('CONTROL MASTER'!#REF!)-1))),"")),"")</f>
        <v/>
      </c>
      <c r="I18" s="10" t="str">
        <f>IFERROR(IF(SUMPRODUCT((('CONTROL MASTER'!$S$2:$S$495=2)*('CONTROL MASTER'!$T$2:$T$495&lt;=2)*('CONTROL MASTER'!$V$2:$V$495&gt;=2)*('CONTROL MASTER'!$U$2:$U$495&lt;=8)*('CONTROL MASTER'!$W$2:$W$495&gt;=8))*ROW('CONTROL MASTER'!$S$2:$S$495))&gt;0,INDEX('CONTROL MASTER'!$X$2:$X$495,(SUMPRODUCT((('CONTROL MASTER'!$S$2:$S$495=2)*('CONTROL MASTER'!$T$2:$T$495&lt;=2)*('CONTROL MASTER'!$V$2:$V$495&gt;=2)*('CONTROL MASTER'!$U$2:$U$495&lt;=8)*('CONTROL MASTER'!$W$2:$W$495&gt;=8))*ROW('CONTROL MASTER'!$S$2:$S$495))-(ROW('CONTROL MASTER'!#REF!)-1)))&amp;TRIM(MID(SUBSTITUTE(SUBSTITUTE(INDEX('CONTROL MASTER'!$N$2:$N$495,(SUMPRODUCT((('CONTROL MASTER'!$S$2:$S$495=2)*('CONTROL MASTER'!$T$2:$T$495&lt;=2)*('CONTROL MASTER'!$V$2:$V$495&gt;=2)*('CONTROL MASTER'!$U$2:$U$495&lt;=8)*('CONTROL MASTER'!$W$2:$W$495&gt;=8))*ROW('CONTROL MASTER'!$S$2:$S$495))-(ROW('CONTROL MASTER'!#REF!)-1))),":",","),",",REPT(" ",50)),((((2-INDEX('CONTROL MASTER'!$T$2:$T$495,(SUMPRODUCT((('CONTROL MASTER'!$S$2:$S$495=2)*('CONTROL MASTER'!$T$2:$T$495&lt;=2)*('CONTROL MASTER'!$V$2:$V$495&gt;=2)*('CONTROL MASTER'!$U$2:$U$495&lt;=8)*('CONTROL MASTER'!$W$2:$W$495&gt;=8))*ROW('CONTROL MASTER'!$S$2:$S$495))-(ROW('CONTROL MASTER'!#REF!)-1))))*(INDEX('CONTROL MASTER'!$W$2:$W$495,(SUMPRODUCT((('CONTROL MASTER'!$S$2:$S$495=2)*('CONTROL MASTER'!$T$2:$T$495&lt;=2)*('CONTROL MASTER'!$V$2:$V$495&gt;=2)*('CONTROL MASTER'!$U$2:$U$495&lt;=8)*('CONTROL MASTER'!$W$2:$W$495&gt;=8))*ROW('CONTROL MASTER'!$S$2:$S$495))-(ROW('CONTROL MASTER'!#REF!)-1)))-INDEX('CONTROL MASTER'!$U$2:$U$495,(SUMPRODUCT((('CONTROL MASTER'!$S$2:$S$495=2)*('CONTROL MASTER'!$T$2:$T$495&lt;=2)*('CONTROL MASTER'!$V$2:$V$495&gt;=2)*('CONTROL MASTER'!$U$2:$U$495&lt;=8)*('CONTROL MASTER'!$W$2:$W$495&gt;=8))*ROW('CONTROL MASTER'!$S$2:$S$495))-(ROW('CONTROL MASTER'!#REF!)-1)))+1)+(8-INDEX('CONTROL MASTER'!$U$2:$U$495,(SUMPRODUCT((('CONTROL MASTER'!$S$2:$S$495=2)*('CONTROL MASTER'!$T$2:$T$495&lt;=2)*('CONTROL MASTER'!$V$2:$V$495&gt;=2)*('CONTROL MASTER'!$U$2:$U$495&lt;=8)*('CONTROL MASTER'!$W$2:$W$495&gt;=8))*ROW('CONTROL MASTER'!$S$2:$S$495))-(ROW('CONTROL MASTER'!#REF!)-1))))+1))-1)*50+1,50))&amp;"_"&amp;INDEX('CONTROL MASTER'!$P$2:$P$495,(SUMPRODUCT((('CONTROL MASTER'!$S$2:$S$495=2)*('CONTROL MASTER'!$T$2:$T$495&lt;=2)*('CONTROL MASTER'!$V$2:$V$495&gt;=2)*('CONTROL MASTER'!$U$2:$U$495&lt;=8)*('CONTROL MASTER'!$W$2:$W$495&gt;=8))*ROW('CONTROL MASTER'!$S$2:$S$495))-(ROW('CONTROL MASTER'!#REF!)-1))),IF(SUMPRODUCT((('CONTROL MASTER'!$S$2:$S$495=2)*('CONTROL MASTER'!$Z$2:$Z$495&lt;=2)*('CONTROL MASTER'!$AB$2:$AB$495&gt;=2)*('CONTROL MASTER'!$AA$2:$AA$495&lt;=8)*('CONTROL MASTER'!$AC$2:$AC$495&gt;=8))*ROW('CONTROL MASTER'!$S$2:$S$495))&gt;0,INDEX('CONTROL MASTER'!$X$2:$X$495,(SUMPRODUCT((('CONTROL MASTER'!$S$2:$S$495=2)*('CONTROL MASTER'!$Z$2:$Z$495&lt;=2)*('CONTROL MASTER'!$AB$2:$AB$495&gt;=2)*('CONTROL MASTER'!$AA$2:$AA$495&lt;=8)*('CONTROL MASTER'!$AC$2:$AC$495&gt;=8))*ROW('CONTROL MASTER'!$S$2:$S$495))-(ROW('CONTROL MASTER'!#REF!)-1)))&amp;TRIM(MID(SUBSTITUTE(SUBSTITUTE(INDEX('CONTROL MASTER'!$N$2:$N$495,(SUMPRODUCT((('CONTROL MASTER'!$S$2:$S$495=2)*('CONTROL MASTER'!$Z$2:$Z$495&lt;=2)*('CONTROL MASTER'!$AB$2:$AB$495&gt;=2)*('CONTROL MASTER'!$AA$2:$AA$495&lt;=8)*('CONTROL MASTER'!$AC$2:$AC$495&gt;=8))*ROW('CONTROL MASTER'!$S$2:$S$495))-(ROW('CONTROL MASTER'!#REF!)-1))),":",","),",",REPT(" ",50)),(((INDEX('CONTROL MASTER'!$Y$2:$Y$495,(SUMPRODUCT((('CONTROL MASTER'!$S$2:$S$495=2)*('CONTROL MASTER'!$Z$2:$Z$495&lt;=2)*('CONTROL MASTER'!$AB$2:$AB$495&gt;=2)*('CONTROL MASTER'!$AA$2:$AA$495&lt;=8)*('CONTROL MASTER'!$AC$2:$AC$495&gt;=8))*ROW('CONTROL MASTER'!$S$2:$S$495))-(ROW('CONTROL MASTER'!#REF!)-1)))+((2-INDEX('CONTROL MASTER'!$Z$2:$Z$495,(SUMPRODUCT((('CONTROL MASTER'!$S$2:$S$495=2)*('CONTROL MASTER'!$Z$2:$Z$495&lt;=2)*('CONTROL MASTER'!$AB$2:$AB$495&gt;=2)*('CONTROL MASTER'!$AA$2:$AA$495&lt;=8)*('CONTROL MASTER'!$AC$2:$AC$495&gt;=8))*ROW('CONTROL MASTER'!$S$2:$S$495))-(ROW('CONTROL MASTER'!#REF!)-1))))*(INDEX('CONTROL MASTER'!$AC$2:$AC$495,(SUMPRODUCT((('CONTROL MASTER'!$S$2:$S$495=2)*('CONTROL MASTER'!$Z$2:$Z$495&lt;=2)*('CONTROL MASTER'!$AB$2:$AB$495&gt;=2)*('CONTROL MASTER'!$AA$2:$AA$495&lt;=8)*('CONTROL MASTER'!$AC$2:$AC$495&gt;=8))*ROW('CONTROL MASTER'!$S$2:$S$495))-(ROW('CONTROL MASTER'!#REF!)-1)))-INDEX('CONTROL MASTER'!$AA$2:$AA$495,(SUMPRODUCT((('CONTROL MASTER'!$S$2:$S$495=2)*('CONTROL MASTER'!$Z$2:$Z$495&lt;=2)*('CONTROL MASTER'!$AB$2:$AB$495&gt;=2)*('CONTROL MASTER'!$AA$2:$AA$495&lt;=8)*('CONTROL MASTER'!$AC$2:$AC$495&gt;=8))*ROW('CONTROL MASTER'!$S$2:$S$495))-(ROW('CONTROL MASTER'!#REF!)-1)))+1)+(8-INDEX('CONTROL MASTER'!$AA$2:$AA$495,(SUMPRODUCT((('CONTROL MASTER'!$S$2:$S$495=2)*('CONTROL MASTER'!$Z$2:$Z$495&lt;=2)*('CONTROL MASTER'!$AB$2:$AB$495&gt;=2)*('CONTROL MASTER'!$AA$2:$AA$495&lt;=8)*('CONTROL MASTER'!$AC$2:$AC$495&gt;=8))*ROW('CONTROL MASTER'!$S$2:$S$495))-(ROW('CONTROL MASTER'!#REF!)-1))))+1)))-1)*50+1,50))&amp;"_"&amp;INDEX('CONTROL MASTER'!$P$2:$P$495,(SUMPRODUCT((('CONTROL MASTER'!$S$2:$S$495=2)*('CONTROL MASTER'!$Z$2:$Z$495&lt;=2)*('CONTROL MASTER'!$AB$2:$AB$495&gt;=2)*('CONTROL MASTER'!$AA$2:$AA$495&lt;=8)*('CONTROL MASTER'!$AC$2:$AC$495&gt;=8))*ROW('CONTROL MASTER'!$S$2:$S$495))-(ROW('CONTROL MASTER'!#REF!)-1))),"")),"")</f>
        <v/>
      </c>
      <c r="J18" s="10" t="str">
        <f>IFERROR(IF(SUMPRODUCT((('CONTROL MASTER'!$S$2:$S$495=2)*('CONTROL MASTER'!$T$2:$T$495&lt;=2)*('CONTROL MASTER'!$V$2:$V$495&gt;=2)*('CONTROL MASTER'!$U$2:$U$495&lt;=9)*('CONTROL MASTER'!$W$2:$W$495&gt;=9))*ROW('CONTROL MASTER'!$S$2:$S$495))&gt;0,INDEX('CONTROL MASTER'!$X$2:$X$495,(SUMPRODUCT((('CONTROL MASTER'!$S$2:$S$495=2)*('CONTROL MASTER'!$T$2:$T$495&lt;=2)*('CONTROL MASTER'!$V$2:$V$495&gt;=2)*('CONTROL MASTER'!$U$2:$U$495&lt;=9)*('CONTROL MASTER'!$W$2:$W$495&gt;=9))*ROW('CONTROL MASTER'!$S$2:$S$495))-(ROW('CONTROL MASTER'!#REF!)-1)))&amp;TRIM(MID(SUBSTITUTE(SUBSTITUTE(INDEX('CONTROL MASTER'!$N$2:$N$495,(SUMPRODUCT((('CONTROL MASTER'!$S$2:$S$495=2)*('CONTROL MASTER'!$T$2:$T$495&lt;=2)*('CONTROL MASTER'!$V$2:$V$495&gt;=2)*('CONTROL MASTER'!$U$2:$U$495&lt;=9)*('CONTROL MASTER'!$W$2:$W$495&gt;=9))*ROW('CONTROL MASTER'!$S$2:$S$495))-(ROW('CONTROL MASTER'!#REF!)-1))),":",","),",",REPT(" ",50)),((((2-INDEX('CONTROL MASTER'!$T$2:$T$495,(SUMPRODUCT((('CONTROL MASTER'!$S$2:$S$495=2)*('CONTROL MASTER'!$T$2:$T$495&lt;=2)*('CONTROL MASTER'!$V$2:$V$495&gt;=2)*('CONTROL MASTER'!$U$2:$U$495&lt;=9)*('CONTROL MASTER'!$W$2:$W$495&gt;=9))*ROW('CONTROL MASTER'!$S$2:$S$495))-(ROW('CONTROL MASTER'!#REF!)-1))))*(INDEX('CONTROL MASTER'!$W$2:$W$495,(SUMPRODUCT((('CONTROL MASTER'!$S$2:$S$495=2)*('CONTROL MASTER'!$T$2:$T$495&lt;=2)*('CONTROL MASTER'!$V$2:$V$495&gt;=2)*('CONTROL MASTER'!$U$2:$U$495&lt;=9)*('CONTROL MASTER'!$W$2:$W$495&gt;=9))*ROW('CONTROL MASTER'!$S$2:$S$495))-(ROW('CONTROL MASTER'!#REF!)-1)))-INDEX('CONTROL MASTER'!$U$2:$U$495,(SUMPRODUCT((('CONTROL MASTER'!$S$2:$S$495=2)*('CONTROL MASTER'!$T$2:$T$495&lt;=2)*('CONTROL MASTER'!$V$2:$V$495&gt;=2)*('CONTROL MASTER'!$U$2:$U$495&lt;=9)*('CONTROL MASTER'!$W$2:$W$495&gt;=9))*ROW('CONTROL MASTER'!$S$2:$S$495))-(ROW('CONTROL MASTER'!#REF!)-1)))+1)+(9-INDEX('CONTROL MASTER'!$U$2:$U$495,(SUMPRODUCT((('CONTROL MASTER'!$S$2:$S$495=2)*('CONTROL MASTER'!$T$2:$T$495&lt;=2)*('CONTROL MASTER'!$V$2:$V$495&gt;=2)*('CONTROL MASTER'!$U$2:$U$495&lt;=9)*('CONTROL MASTER'!$W$2:$W$495&gt;=9))*ROW('CONTROL MASTER'!$S$2:$S$495))-(ROW('CONTROL MASTER'!#REF!)-1))))+1))-1)*50+1,50))&amp;"_"&amp;INDEX('CONTROL MASTER'!$P$2:$P$495,(SUMPRODUCT((('CONTROL MASTER'!$S$2:$S$495=2)*('CONTROL MASTER'!$T$2:$T$495&lt;=2)*('CONTROL MASTER'!$V$2:$V$495&gt;=2)*('CONTROL MASTER'!$U$2:$U$495&lt;=9)*('CONTROL MASTER'!$W$2:$W$495&gt;=9))*ROW('CONTROL MASTER'!$S$2:$S$495))-(ROW('CONTROL MASTER'!#REF!)-1))),IF(SUMPRODUCT((('CONTROL MASTER'!$S$2:$S$495=2)*('CONTROL MASTER'!$Z$2:$Z$495&lt;=2)*('CONTROL MASTER'!$AB$2:$AB$495&gt;=2)*('CONTROL MASTER'!$AA$2:$AA$495&lt;=9)*('CONTROL MASTER'!$AC$2:$AC$495&gt;=9))*ROW('CONTROL MASTER'!$S$2:$S$495))&gt;0,INDEX('CONTROL MASTER'!$X$2:$X$495,(SUMPRODUCT((('CONTROL MASTER'!$S$2:$S$495=2)*('CONTROL MASTER'!$Z$2:$Z$495&lt;=2)*('CONTROL MASTER'!$AB$2:$AB$495&gt;=2)*('CONTROL MASTER'!$AA$2:$AA$495&lt;=9)*('CONTROL MASTER'!$AC$2:$AC$495&gt;=9))*ROW('CONTROL MASTER'!$S$2:$S$495))-(ROW('CONTROL MASTER'!#REF!)-1)))&amp;TRIM(MID(SUBSTITUTE(SUBSTITUTE(INDEX('CONTROL MASTER'!$N$2:$N$495,(SUMPRODUCT((('CONTROL MASTER'!$S$2:$S$495=2)*('CONTROL MASTER'!$Z$2:$Z$495&lt;=2)*('CONTROL MASTER'!$AB$2:$AB$495&gt;=2)*('CONTROL MASTER'!$AA$2:$AA$495&lt;=9)*('CONTROL MASTER'!$AC$2:$AC$495&gt;=9))*ROW('CONTROL MASTER'!$S$2:$S$495))-(ROW('CONTROL MASTER'!#REF!)-1))),":",","),",",REPT(" ",50)),(((INDEX('CONTROL MASTER'!$Y$2:$Y$495,(SUMPRODUCT((('CONTROL MASTER'!$S$2:$S$495=2)*('CONTROL MASTER'!$Z$2:$Z$495&lt;=2)*('CONTROL MASTER'!$AB$2:$AB$495&gt;=2)*('CONTROL MASTER'!$AA$2:$AA$495&lt;=9)*('CONTROL MASTER'!$AC$2:$AC$495&gt;=9))*ROW('CONTROL MASTER'!$S$2:$S$495))-(ROW('CONTROL MASTER'!#REF!)-1)))+((2-INDEX('CONTROL MASTER'!$Z$2:$Z$495,(SUMPRODUCT((('CONTROL MASTER'!$S$2:$S$495=2)*('CONTROL MASTER'!$Z$2:$Z$495&lt;=2)*('CONTROL MASTER'!$AB$2:$AB$495&gt;=2)*('CONTROL MASTER'!$AA$2:$AA$495&lt;=9)*('CONTROL MASTER'!$AC$2:$AC$495&gt;=9))*ROW('CONTROL MASTER'!$S$2:$S$495))-(ROW('CONTROL MASTER'!#REF!)-1))))*(INDEX('CONTROL MASTER'!$AC$2:$AC$495,(SUMPRODUCT((('CONTROL MASTER'!$S$2:$S$495=2)*('CONTROL MASTER'!$Z$2:$Z$495&lt;=2)*('CONTROL MASTER'!$AB$2:$AB$495&gt;=2)*('CONTROL MASTER'!$AA$2:$AA$495&lt;=9)*('CONTROL MASTER'!$AC$2:$AC$495&gt;=9))*ROW('CONTROL MASTER'!$S$2:$S$495))-(ROW('CONTROL MASTER'!#REF!)-1)))-INDEX('CONTROL MASTER'!$AA$2:$AA$495,(SUMPRODUCT((('CONTROL MASTER'!$S$2:$S$495=2)*('CONTROL MASTER'!$Z$2:$Z$495&lt;=2)*('CONTROL MASTER'!$AB$2:$AB$495&gt;=2)*('CONTROL MASTER'!$AA$2:$AA$495&lt;=9)*('CONTROL MASTER'!$AC$2:$AC$495&gt;=9))*ROW('CONTROL MASTER'!$S$2:$S$495))-(ROW('CONTROL MASTER'!#REF!)-1)))+1)+(9-INDEX('CONTROL MASTER'!$AA$2:$AA$495,(SUMPRODUCT((('CONTROL MASTER'!$S$2:$S$495=2)*('CONTROL MASTER'!$Z$2:$Z$495&lt;=2)*('CONTROL MASTER'!$AB$2:$AB$495&gt;=2)*('CONTROL MASTER'!$AA$2:$AA$495&lt;=9)*('CONTROL MASTER'!$AC$2:$AC$495&gt;=9))*ROW('CONTROL MASTER'!$S$2:$S$495))-(ROW('CONTROL MASTER'!#REF!)-1))))+1)))-1)*50+1,50))&amp;"_"&amp;INDEX('CONTROL MASTER'!$P$2:$P$495,(SUMPRODUCT((('CONTROL MASTER'!$S$2:$S$495=2)*('CONTROL MASTER'!$Z$2:$Z$495&lt;=2)*('CONTROL MASTER'!$AB$2:$AB$495&gt;=2)*('CONTROL MASTER'!$AA$2:$AA$495&lt;=9)*('CONTROL MASTER'!$AC$2:$AC$495&gt;=9))*ROW('CONTROL MASTER'!$S$2:$S$495))-(ROW('CONTROL MASTER'!#REF!)-1))),"")),"")</f>
        <v/>
      </c>
      <c r="K18" s="10" t="str">
        <f>IFERROR(IF(SUMPRODUCT((('CONTROL MASTER'!$S$2:$S$495=2)*('CONTROL MASTER'!$T$2:$T$495&lt;=2)*('CONTROL MASTER'!$V$2:$V$495&gt;=2)*('CONTROL MASTER'!$U$2:$U$495&lt;=10)*('CONTROL MASTER'!$W$2:$W$495&gt;=10))*ROW('CONTROL MASTER'!$S$2:$S$495))&gt;0,INDEX('CONTROL MASTER'!$X$2:$X$495,(SUMPRODUCT((('CONTROL MASTER'!$S$2:$S$495=2)*('CONTROL MASTER'!$T$2:$T$495&lt;=2)*('CONTROL MASTER'!$V$2:$V$495&gt;=2)*('CONTROL MASTER'!$U$2:$U$495&lt;=10)*('CONTROL MASTER'!$W$2:$W$495&gt;=10))*ROW('CONTROL MASTER'!$S$2:$S$495))-(ROW('CONTROL MASTER'!#REF!)-1)))&amp;TRIM(MID(SUBSTITUTE(SUBSTITUTE(INDEX('CONTROL MASTER'!$N$2:$N$495,(SUMPRODUCT((('CONTROL MASTER'!$S$2:$S$495=2)*('CONTROL MASTER'!$T$2:$T$495&lt;=2)*('CONTROL MASTER'!$V$2:$V$495&gt;=2)*('CONTROL MASTER'!$U$2:$U$495&lt;=10)*('CONTROL MASTER'!$W$2:$W$495&gt;=10))*ROW('CONTROL MASTER'!$S$2:$S$495))-(ROW('CONTROL MASTER'!#REF!)-1))),":",","),",",REPT(" ",50)),((((2-INDEX('CONTROL MASTER'!$T$2:$T$495,(SUMPRODUCT((('CONTROL MASTER'!$S$2:$S$495=2)*('CONTROL MASTER'!$T$2:$T$495&lt;=2)*('CONTROL MASTER'!$V$2:$V$495&gt;=2)*('CONTROL MASTER'!$U$2:$U$495&lt;=10)*('CONTROL MASTER'!$W$2:$W$495&gt;=10))*ROW('CONTROL MASTER'!$S$2:$S$495))-(ROW('CONTROL MASTER'!#REF!)-1))))*(INDEX('CONTROL MASTER'!$W$2:$W$495,(SUMPRODUCT((('CONTROL MASTER'!$S$2:$S$495=2)*('CONTROL MASTER'!$T$2:$T$495&lt;=2)*('CONTROL MASTER'!$V$2:$V$495&gt;=2)*('CONTROL MASTER'!$U$2:$U$495&lt;=10)*('CONTROL MASTER'!$W$2:$W$495&gt;=10))*ROW('CONTROL MASTER'!$S$2:$S$495))-(ROW('CONTROL MASTER'!#REF!)-1)))-INDEX('CONTROL MASTER'!$U$2:$U$495,(SUMPRODUCT((('CONTROL MASTER'!$S$2:$S$495=2)*('CONTROL MASTER'!$T$2:$T$495&lt;=2)*('CONTROL MASTER'!$V$2:$V$495&gt;=2)*('CONTROL MASTER'!$U$2:$U$495&lt;=10)*('CONTROL MASTER'!$W$2:$W$495&gt;=10))*ROW('CONTROL MASTER'!$S$2:$S$495))-(ROW('CONTROL MASTER'!#REF!)-1)))+1)+(10-INDEX('CONTROL MASTER'!$U$2:$U$495,(SUMPRODUCT((('CONTROL MASTER'!$S$2:$S$495=2)*('CONTROL MASTER'!$T$2:$T$495&lt;=2)*('CONTROL MASTER'!$V$2:$V$495&gt;=2)*('CONTROL MASTER'!$U$2:$U$495&lt;=10)*('CONTROL MASTER'!$W$2:$W$495&gt;=10))*ROW('CONTROL MASTER'!$S$2:$S$495))-(ROW('CONTROL MASTER'!#REF!)-1))))+1))-1)*50+1,50))&amp;"_"&amp;INDEX('CONTROL MASTER'!$P$2:$P$495,(SUMPRODUCT((('CONTROL MASTER'!$S$2:$S$495=2)*('CONTROL MASTER'!$T$2:$T$495&lt;=2)*('CONTROL MASTER'!$V$2:$V$495&gt;=2)*('CONTROL MASTER'!$U$2:$U$495&lt;=10)*('CONTROL MASTER'!$W$2:$W$495&gt;=10))*ROW('CONTROL MASTER'!$S$2:$S$495))-(ROW('CONTROL MASTER'!#REF!)-1))),IF(SUMPRODUCT((('CONTROL MASTER'!$S$2:$S$495=2)*('CONTROL MASTER'!$Z$2:$Z$495&lt;=2)*('CONTROL MASTER'!$AB$2:$AB$495&gt;=2)*('CONTROL MASTER'!$AA$2:$AA$495&lt;=10)*('CONTROL MASTER'!$AC$2:$AC$495&gt;=10))*ROW('CONTROL MASTER'!$S$2:$S$495))&gt;0,INDEX('CONTROL MASTER'!$X$2:$X$495,(SUMPRODUCT((('CONTROL MASTER'!$S$2:$S$495=2)*('CONTROL MASTER'!$Z$2:$Z$495&lt;=2)*('CONTROL MASTER'!$AB$2:$AB$495&gt;=2)*('CONTROL MASTER'!$AA$2:$AA$495&lt;=10)*('CONTROL MASTER'!$AC$2:$AC$495&gt;=10))*ROW('CONTROL MASTER'!$S$2:$S$495))-(ROW('CONTROL MASTER'!#REF!)-1)))&amp;TRIM(MID(SUBSTITUTE(SUBSTITUTE(INDEX('CONTROL MASTER'!$N$2:$N$495,(SUMPRODUCT((('CONTROL MASTER'!$S$2:$S$495=2)*('CONTROL MASTER'!$Z$2:$Z$495&lt;=2)*('CONTROL MASTER'!$AB$2:$AB$495&gt;=2)*('CONTROL MASTER'!$AA$2:$AA$495&lt;=10)*('CONTROL MASTER'!$AC$2:$AC$495&gt;=10))*ROW('CONTROL MASTER'!$S$2:$S$495))-(ROW('CONTROL MASTER'!#REF!)-1))),":",","),",",REPT(" ",50)),(((INDEX('CONTROL MASTER'!$Y$2:$Y$495,(SUMPRODUCT((('CONTROL MASTER'!$S$2:$S$495=2)*('CONTROL MASTER'!$Z$2:$Z$495&lt;=2)*('CONTROL MASTER'!$AB$2:$AB$495&gt;=2)*('CONTROL MASTER'!$AA$2:$AA$495&lt;=10)*('CONTROL MASTER'!$AC$2:$AC$495&gt;=10))*ROW('CONTROL MASTER'!$S$2:$S$495))-(ROW('CONTROL MASTER'!#REF!)-1)))+((2-INDEX('CONTROL MASTER'!$Z$2:$Z$495,(SUMPRODUCT((('CONTROL MASTER'!$S$2:$S$495=2)*('CONTROL MASTER'!$Z$2:$Z$495&lt;=2)*('CONTROL MASTER'!$AB$2:$AB$495&gt;=2)*('CONTROL MASTER'!$AA$2:$AA$495&lt;=10)*('CONTROL MASTER'!$AC$2:$AC$495&gt;=10))*ROW('CONTROL MASTER'!$S$2:$S$495))-(ROW('CONTROL MASTER'!#REF!)-1))))*(INDEX('CONTROL MASTER'!$AC$2:$AC$495,(SUMPRODUCT((('CONTROL MASTER'!$S$2:$S$495=2)*('CONTROL MASTER'!$Z$2:$Z$495&lt;=2)*('CONTROL MASTER'!$AB$2:$AB$495&gt;=2)*('CONTROL MASTER'!$AA$2:$AA$495&lt;=10)*('CONTROL MASTER'!$AC$2:$AC$495&gt;=10))*ROW('CONTROL MASTER'!$S$2:$S$495))-(ROW('CONTROL MASTER'!#REF!)-1)))-INDEX('CONTROL MASTER'!$AA$2:$AA$495,(SUMPRODUCT((('CONTROL MASTER'!$S$2:$S$495=2)*('CONTROL MASTER'!$Z$2:$Z$495&lt;=2)*('CONTROL MASTER'!$AB$2:$AB$495&gt;=2)*('CONTROL MASTER'!$AA$2:$AA$495&lt;=10)*('CONTROL MASTER'!$AC$2:$AC$495&gt;=10))*ROW('CONTROL MASTER'!$S$2:$S$495))-(ROW('CONTROL MASTER'!#REF!)-1)))+1)+(10-INDEX('CONTROL MASTER'!$AA$2:$AA$495,(SUMPRODUCT((('CONTROL MASTER'!$S$2:$S$495=2)*('CONTROL MASTER'!$Z$2:$Z$495&lt;=2)*('CONTROL MASTER'!$AB$2:$AB$495&gt;=2)*('CONTROL MASTER'!$AA$2:$AA$495&lt;=10)*('CONTROL MASTER'!$AC$2:$AC$495&gt;=10))*ROW('CONTROL MASTER'!$S$2:$S$495))-(ROW('CONTROL MASTER'!#REF!)-1))))+1)))-1)*50+1,50))&amp;"_"&amp;INDEX('CONTROL MASTER'!$P$2:$P$495,(SUMPRODUCT((('CONTROL MASTER'!$S$2:$S$495=2)*('CONTROL MASTER'!$Z$2:$Z$495&lt;=2)*('CONTROL MASTER'!$AB$2:$AB$495&gt;=2)*('CONTROL MASTER'!$AA$2:$AA$495&lt;=10)*('CONTROL MASTER'!$AC$2:$AC$495&gt;=10))*ROW('CONTROL MASTER'!$S$2:$S$495))-(ROW('CONTROL MASTER'!#REF!)-1))),"")),"")</f>
        <v/>
      </c>
    </row>
    <row r="19" spans="1:11" ht="15" customHeight="1" x14ac:dyDescent="0.35">
      <c r="A19" s="8" t="s">
        <v>30</v>
      </c>
      <c r="B19" s="10" t="str">
        <f>IFERROR(IF(SUMPRODUCT((('CONTROL MASTER'!$S$2:$S$495=2)*('CONTROL MASTER'!$T$2:$T$495&lt;=3)*('CONTROL MASTER'!$V$2:$V$495&gt;=3)*('CONTROL MASTER'!$U$2:$U$495&lt;=1)*('CONTROL MASTER'!$W$2:$W$495&gt;=1))*ROW('CONTROL MASTER'!$S$2:$S$495))&gt;0,INDEX('CONTROL MASTER'!$X$2:$X$495,(SUMPRODUCT((('CONTROL MASTER'!$S$2:$S$495=2)*('CONTROL MASTER'!$T$2:$T$495&lt;=3)*('CONTROL MASTER'!$V$2:$V$495&gt;=3)*('CONTROL MASTER'!$U$2:$U$495&lt;=1)*('CONTROL MASTER'!$W$2:$W$495&gt;=1))*ROW('CONTROL MASTER'!$S$2:$S$495))-(ROW('CONTROL MASTER'!#REF!)-1)))&amp;TRIM(MID(SUBSTITUTE(SUBSTITUTE(INDEX('CONTROL MASTER'!$N$2:$N$495,(SUMPRODUCT((('CONTROL MASTER'!$S$2:$S$495=2)*('CONTROL MASTER'!$T$2:$T$495&lt;=3)*('CONTROL MASTER'!$V$2:$V$495&gt;=3)*('CONTROL MASTER'!$U$2:$U$495&lt;=1)*('CONTROL MASTER'!$W$2:$W$495&gt;=1))*ROW('CONTROL MASTER'!$S$2:$S$495))-(ROW('CONTROL MASTER'!#REF!)-1))),":",","),",",REPT(" ",50)),((((3-INDEX('CONTROL MASTER'!$T$2:$T$495,(SUMPRODUCT((('CONTROL MASTER'!$S$2:$S$495=2)*('CONTROL MASTER'!$T$2:$T$495&lt;=3)*('CONTROL MASTER'!$V$2:$V$495&gt;=3)*('CONTROL MASTER'!$U$2:$U$495&lt;=1)*('CONTROL MASTER'!$W$2:$W$495&gt;=1))*ROW('CONTROL MASTER'!$S$2:$S$495))-(ROW('CONTROL MASTER'!#REF!)-1))))*(INDEX('CONTROL MASTER'!$W$2:$W$495,(SUMPRODUCT((('CONTROL MASTER'!$S$2:$S$495=2)*('CONTROL MASTER'!$T$2:$T$495&lt;=3)*('CONTROL MASTER'!$V$2:$V$495&gt;=3)*('CONTROL MASTER'!$U$2:$U$495&lt;=1)*('CONTROL MASTER'!$W$2:$W$495&gt;=1))*ROW('CONTROL MASTER'!$S$2:$S$495))-(ROW('CONTROL MASTER'!#REF!)-1)))-INDEX('CONTROL MASTER'!$U$2:$U$495,(SUMPRODUCT((('CONTROL MASTER'!$S$2:$S$495=2)*('CONTROL MASTER'!$T$2:$T$495&lt;=3)*('CONTROL MASTER'!$V$2:$V$495&gt;=3)*('CONTROL MASTER'!$U$2:$U$495&lt;=1)*('CONTROL MASTER'!$W$2:$W$495&gt;=1))*ROW('CONTROL MASTER'!$S$2:$S$495))-(ROW('CONTROL MASTER'!#REF!)-1)))+1)+(1-INDEX('CONTROL MASTER'!$U$2:$U$495,(SUMPRODUCT((('CONTROL MASTER'!$S$2:$S$495=2)*('CONTROL MASTER'!$T$2:$T$495&lt;=3)*('CONTROL MASTER'!$V$2:$V$495&gt;=3)*('CONTROL MASTER'!$U$2:$U$495&lt;=1)*('CONTROL MASTER'!$W$2:$W$495&gt;=1))*ROW('CONTROL MASTER'!$S$2:$S$495))-(ROW('CONTROL MASTER'!#REF!)-1))))+1))-1)*50+1,50))&amp;"_"&amp;INDEX('CONTROL MASTER'!$P$2:$P$495,(SUMPRODUCT((('CONTROL MASTER'!$S$2:$S$495=2)*('CONTROL MASTER'!$T$2:$T$495&lt;=3)*('CONTROL MASTER'!$V$2:$V$495&gt;=3)*('CONTROL MASTER'!$U$2:$U$495&lt;=1)*('CONTROL MASTER'!$W$2:$W$495&gt;=1))*ROW('CONTROL MASTER'!$S$2:$S$495))-(ROW('CONTROL MASTER'!#REF!)-1))),IF(SUMPRODUCT((('CONTROL MASTER'!$S$2:$S$495=2)*('CONTROL MASTER'!$Z$2:$Z$495&lt;=3)*('CONTROL MASTER'!$AB$2:$AB$495&gt;=3)*('CONTROL MASTER'!$AA$2:$AA$495&lt;=1)*('CONTROL MASTER'!$AC$2:$AC$495&gt;=1))*ROW('CONTROL MASTER'!$S$2:$S$495))&gt;0,INDEX('CONTROL MASTER'!$X$2:$X$495,(SUMPRODUCT((('CONTROL MASTER'!$S$2:$S$495=2)*('CONTROL MASTER'!$Z$2:$Z$495&lt;=3)*('CONTROL MASTER'!$AB$2:$AB$495&gt;=3)*('CONTROL MASTER'!$AA$2:$AA$495&lt;=1)*('CONTROL MASTER'!$AC$2:$AC$495&gt;=1))*ROW('CONTROL MASTER'!$S$2:$S$495))-(ROW('CONTROL MASTER'!#REF!)-1)))&amp;TRIM(MID(SUBSTITUTE(SUBSTITUTE(INDEX('CONTROL MASTER'!$N$2:$N$495,(SUMPRODUCT((('CONTROL MASTER'!$S$2:$S$495=2)*('CONTROL MASTER'!$Z$2:$Z$495&lt;=3)*('CONTROL MASTER'!$AB$2:$AB$495&gt;=3)*('CONTROL MASTER'!$AA$2:$AA$495&lt;=1)*('CONTROL MASTER'!$AC$2:$AC$495&gt;=1))*ROW('CONTROL MASTER'!$S$2:$S$495))-(ROW('CONTROL MASTER'!#REF!)-1))),":",","),",",REPT(" ",50)),(((INDEX('CONTROL MASTER'!$Y$2:$Y$495,(SUMPRODUCT((('CONTROL MASTER'!$S$2:$S$495=2)*('CONTROL MASTER'!$Z$2:$Z$495&lt;=3)*('CONTROL MASTER'!$AB$2:$AB$495&gt;=3)*('CONTROL MASTER'!$AA$2:$AA$495&lt;=1)*('CONTROL MASTER'!$AC$2:$AC$495&gt;=1))*ROW('CONTROL MASTER'!$S$2:$S$495))-(ROW('CONTROL MASTER'!#REF!)-1)))+((3-INDEX('CONTROL MASTER'!$Z$2:$Z$495,(SUMPRODUCT((('CONTROL MASTER'!$S$2:$S$495=2)*('CONTROL MASTER'!$Z$2:$Z$495&lt;=3)*('CONTROL MASTER'!$AB$2:$AB$495&gt;=3)*('CONTROL MASTER'!$AA$2:$AA$495&lt;=1)*('CONTROL MASTER'!$AC$2:$AC$495&gt;=1))*ROW('CONTROL MASTER'!$S$2:$S$495))-(ROW('CONTROL MASTER'!#REF!)-1))))*(INDEX('CONTROL MASTER'!$AC$2:$AC$495,(SUMPRODUCT((('CONTROL MASTER'!$S$2:$S$495=2)*('CONTROL MASTER'!$Z$2:$Z$495&lt;=3)*('CONTROL MASTER'!$AB$2:$AB$495&gt;=3)*('CONTROL MASTER'!$AA$2:$AA$495&lt;=1)*('CONTROL MASTER'!$AC$2:$AC$495&gt;=1))*ROW('CONTROL MASTER'!$S$2:$S$495))-(ROW('CONTROL MASTER'!#REF!)-1)))-INDEX('CONTROL MASTER'!$AA$2:$AA$495,(SUMPRODUCT((('CONTROL MASTER'!$S$2:$S$495=2)*('CONTROL MASTER'!$Z$2:$Z$495&lt;=3)*('CONTROL MASTER'!$AB$2:$AB$495&gt;=3)*('CONTROL MASTER'!$AA$2:$AA$495&lt;=1)*('CONTROL MASTER'!$AC$2:$AC$495&gt;=1))*ROW('CONTROL MASTER'!$S$2:$S$495))-(ROW('CONTROL MASTER'!#REF!)-1)))+1)+(1-INDEX('CONTROL MASTER'!$AA$2:$AA$495,(SUMPRODUCT((('CONTROL MASTER'!$S$2:$S$495=2)*('CONTROL MASTER'!$Z$2:$Z$495&lt;=3)*('CONTROL MASTER'!$AB$2:$AB$495&gt;=3)*('CONTROL MASTER'!$AA$2:$AA$495&lt;=1)*('CONTROL MASTER'!$AC$2:$AC$495&gt;=1))*ROW('CONTROL MASTER'!$S$2:$S$495))-(ROW('CONTROL MASTER'!#REF!)-1))))+1)))-1)*50+1,50))&amp;"_"&amp;INDEX('CONTROL MASTER'!$P$2:$P$495,(SUMPRODUCT((('CONTROL MASTER'!$S$2:$S$495=2)*('CONTROL MASTER'!$Z$2:$Z$495&lt;=3)*('CONTROL MASTER'!$AB$2:$AB$495&gt;=3)*('CONTROL MASTER'!$AA$2:$AA$495&lt;=1)*('CONTROL MASTER'!$AC$2:$AC$495&gt;=1))*ROW('CONTROL MASTER'!$S$2:$S$495))-(ROW('CONTROL MASTER'!#REF!)-1))),"")),"")</f>
        <v/>
      </c>
      <c r="C19" s="10" t="str">
        <f>IFERROR(IF(SUMPRODUCT((('CONTROL MASTER'!$S$2:$S$495=2)*('CONTROL MASTER'!$T$2:$T$495&lt;=3)*('CONTROL MASTER'!$V$2:$V$495&gt;=3)*('CONTROL MASTER'!$U$2:$U$495&lt;=2)*('CONTROL MASTER'!$W$2:$W$495&gt;=2))*ROW('CONTROL MASTER'!$S$2:$S$495))&gt;0,INDEX('CONTROL MASTER'!$X$2:$X$495,(SUMPRODUCT((('CONTROL MASTER'!$S$2:$S$495=2)*('CONTROL MASTER'!$T$2:$T$495&lt;=3)*('CONTROL MASTER'!$V$2:$V$495&gt;=3)*('CONTROL MASTER'!$U$2:$U$495&lt;=2)*('CONTROL MASTER'!$W$2:$W$495&gt;=2))*ROW('CONTROL MASTER'!$S$2:$S$495))-(ROW('CONTROL MASTER'!#REF!)-1)))&amp;TRIM(MID(SUBSTITUTE(SUBSTITUTE(INDEX('CONTROL MASTER'!$N$2:$N$495,(SUMPRODUCT((('CONTROL MASTER'!$S$2:$S$495=2)*('CONTROL MASTER'!$T$2:$T$495&lt;=3)*('CONTROL MASTER'!$V$2:$V$495&gt;=3)*('CONTROL MASTER'!$U$2:$U$495&lt;=2)*('CONTROL MASTER'!$W$2:$W$495&gt;=2))*ROW('CONTROL MASTER'!$S$2:$S$495))-(ROW('CONTROL MASTER'!#REF!)-1))),":",","),",",REPT(" ",50)),((((3-INDEX('CONTROL MASTER'!$T$2:$T$495,(SUMPRODUCT((('CONTROL MASTER'!$S$2:$S$495=2)*('CONTROL MASTER'!$T$2:$T$495&lt;=3)*('CONTROL MASTER'!$V$2:$V$495&gt;=3)*('CONTROL MASTER'!$U$2:$U$495&lt;=2)*('CONTROL MASTER'!$W$2:$W$495&gt;=2))*ROW('CONTROL MASTER'!$S$2:$S$495))-(ROW('CONTROL MASTER'!#REF!)-1))))*(INDEX('CONTROL MASTER'!$W$2:$W$495,(SUMPRODUCT((('CONTROL MASTER'!$S$2:$S$495=2)*('CONTROL MASTER'!$T$2:$T$495&lt;=3)*('CONTROL MASTER'!$V$2:$V$495&gt;=3)*('CONTROL MASTER'!$U$2:$U$495&lt;=2)*('CONTROL MASTER'!$W$2:$W$495&gt;=2))*ROW('CONTROL MASTER'!$S$2:$S$495))-(ROW('CONTROL MASTER'!#REF!)-1)))-INDEX('CONTROL MASTER'!$U$2:$U$495,(SUMPRODUCT((('CONTROL MASTER'!$S$2:$S$495=2)*('CONTROL MASTER'!$T$2:$T$495&lt;=3)*('CONTROL MASTER'!$V$2:$V$495&gt;=3)*('CONTROL MASTER'!$U$2:$U$495&lt;=2)*('CONTROL MASTER'!$W$2:$W$495&gt;=2))*ROW('CONTROL MASTER'!$S$2:$S$495))-(ROW('CONTROL MASTER'!#REF!)-1)))+1)+(2-INDEX('CONTROL MASTER'!$U$2:$U$495,(SUMPRODUCT((('CONTROL MASTER'!$S$2:$S$495=2)*('CONTROL MASTER'!$T$2:$T$495&lt;=3)*('CONTROL MASTER'!$V$2:$V$495&gt;=3)*('CONTROL MASTER'!$U$2:$U$495&lt;=2)*('CONTROL MASTER'!$W$2:$W$495&gt;=2))*ROW('CONTROL MASTER'!$S$2:$S$495))-(ROW('CONTROL MASTER'!#REF!)-1))))+1))-1)*50+1,50))&amp;"_"&amp;INDEX('CONTROL MASTER'!$P$2:$P$495,(SUMPRODUCT((('CONTROL MASTER'!$S$2:$S$495=2)*('CONTROL MASTER'!$T$2:$T$495&lt;=3)*('CONTROL MASTER'!$V$2:$V$495&gt;=3)*('CONTROL MASTER'!$U$2:$U$495&lt;=2)*('CONTROL MASTER'!$W$2:$W$495&gt;=2))*ROW('CONTROL MASTER'!$S$2:$S$495))-(ROW('CONTROL MASTER'!#REF!)-1))),IF(SUMPRODUCT((('CONTROL MASTER'!$S$2:$S$495=2)*('CONTROL MASTER'!$Z$2:$Z$495&lt;=3)*('CONTROL MASTER'!$AB$2:$AB$495&gt;=3)*('CONTROL MASTER'!$AA$2:$AA$495&lt;=2)*('CONTROL MASTER'!$AC$2:$AC$495&gt;=2))*ROW('CONTROL MASTER'!$S$2:$S$495))&gt;0,INDEX('CONTROL MASTER'!$X$2:$X$495,(SUMPRODUCT((('CONTROL MASTER'!$S$2:$S$495=2)*('CONTROL MASTER'!$Z$2:$Z$495&lt;=3)*('CONTROL MASTER'!$AB$2:$AB$495&gt;=3)*('CONTROL MASTER'!$AA$2:$AA$495&lt;=2)*('CONTROL MASTER'!$AC$2:$AC$495&gt;=2))*ROW('CONTROL MASTER'!$S$2:$S$495))-(ROW('CONTROL MASTER'!#REF!)-1)))&amp;TRIM(MID(SUBSTITUTE(SUBSTITUTE(INDEX('CONTROL MASTER'!$N$2:$N$495,(SUMPRODUCT((('CONTROL MASTER'!$S$2:$S$495=2)*('CONTROL MASTER'!$Z$2:$Z$495&lt;=3)*('CONTROL MASTER'!$AB$2:$AB$495&gt;=3)*('CONTROL MASTER'!$AA$2:$AA$495&lt;=2)*('CONTROL MASTER'!$AC$2:$AC$495&gt;=2))*ROW('CONTROL MASTER'!$S$2:$S$495))-(ROW('CONTROL MASTER'!#REF!)-1))),":",","),",",REPT(" ",50)),(((INDEX('CONTROL MASTER'!$Y$2:$Y$495,(SUMPRODUCT((('CONTROL MASTER'!$S$2:$S$495=2)*('CONTROL MASTER'!$Z$2:$Z$495&lt;=3)*('CONTROL MASTER'!$AB$2:$AB$495&gt;=3)*('CONTROL MASTER'!$AA$2:$AA$495&lt;=2)*('CONTROL MASTER'!$AC$2:$AC$495&gt;=2))*ROW('CONTROL MASTER'!$S$2:$S$495))-(ROW('CONTROL MASTER'!#REF!)-1)))+((3-INDEX('CONTROL MASTER'!$Z$2:$Z$495,(SUMPRODUCT((('CONTROL MASTER'!$S$2:$S$495=2)*('CONTROL MASTER'!$Z$2:$Z$495&lt;=3)*('CONTROL MASTER'!$AB$2:$AB$495&gt;=3)*('CONTROL MASTER'!$AA$2:$AA$495&lt;=2)*('CONTROL MASTER'!$AC$2:$AC$495&gt;=2))*ROW('CONTROL MASTER'!$S$2:$S$495))-(ROW('CONTROL MASTER'!#REF!)-1))))*(INDEX('CONTROL MASTER'!$AC$2:$AC$495,(SUMPRODUCT((('CONTROL MASTER'!$S$2:$S$495=2)*('CONTROL MASTER'!$Z$2:$Z$495&lt;=3)*('CONTROL MASTER'!$AB$2:$AB$495&gt;=3)*('CONTROL MASTER'!$AA$2:$AA$495&lt;=2)*('CONTROL MASTER'!$AC$2:$AC$495&gt;=2))*ROW('CONTROL MASTER'!$S$2:$S$495))-(ROW('CONTROL MASTER'!#REF!)-1)))-INDEX('CONTROL MASTER'!$AA$2:$AA$495,(SUMPRODUCT((('CONTROL MASTER'!$S$2:$S$495=2)*('CONTROL MASTER'!$Z$2:$Z$495&lt;=3)*('CONTROL MASTER'!$AB$2:$AB$495&gt;=3)*('CONTROL MASTER'!$AA$2:$AA$495&lt;=2)*('CONTROL MASTER'!$AC$2:$AC$495&gt;=2))*ROW('CONTROL MASTER'!$S$2:$S$495))-(ROW('CONTROL MASTER'!#REF!)-1)))+1)+(2-INDEX('CONTROL MASTER'!$AA$2:$AA$495,(SUMPRODUCT((('CONTROL MASTER'!$S$2:$S$495=2)*('CONTROL MASTER'!$Z$2:$Z$495&lt;=3)*('CONTROL MASTER'!$AB$2:$AB$495&gt;=3)*('CONTROL MASTER'!$AA$2:$AA$495&lt;=2)*('CONTROL MASTER'!$AC$2:$AC$495&gt;=2))*ROW('CONTROL MASTER'!$S$2:$S$495))-(ROW('CONTROL MASTER'!#REF!)-1))))+1)))-1)*50+1,50))&amp;"_"&amp;INDEX('CONTROL MASTER'!$P$2:$P$495,(SUMPRODUCT((('CONTROL MASTER'!$S$2:$S$495=2)*('CONTROL MASTER'!$Z$2:$Z$495&lt;=3)*('CONTROL MASTER'!$AB$2:$AB$495&gt;=3)*('CONTROL MASTER'!$AA$2:$AA$495&lt;=2)*('CONTROL MASTER'!$AC$2:$AC$495&gt;=2))*ROW('CONTROL MASTER'!$S$2:$S$495))-(ROW('CONTROL MASTER'!#REF!)-1))),"")),"")</f>
        <v/>
      </c>
      <c r="D19" s="10" t="str">
        <f>IFERROR(IF(SUMPRODUCT((('CONTROL MASTER'!$S$2:$S$495=2)*('CONTROL MASTER'!$T$2:$T$495&lt;=3)*('CONTROL MASTER'!$V$2:$V$495&gt;=3)*('CONTROL MASTER'!$U$2:$U$495&lt;=3)*('CONTROL MASTER'!$W$2:$W$495&gt;=3))*ROW('CONTROL MASTER'!$S$2:$S$495))&gt;0,INDEX('CONTROL MASTER'!$X$2:$X$495,(SUMPRODUCT((('CONTROL MASTER'!$S$2:$S$495=2)*('CONTROL MASTER'!$T$2:$T$495&lt;=3)*('CONTROL MASTER'!$V$2:$V$495&gt;=3)*('CONTROL MASTER'!$U$2:$U$495&lt;=3)*('CONTROL MASTER'!$W$2:$W$495&gt;=3))*ROW('CONTROL MASTER'!$S$2:$S$495))-(ROW('CONTROL MASTER'!#REF!)-1)))&amp;TRIM(MID(SUBSTITUTE(SUBSTITUTE(INDEX('CONTROL MASTER'!$N$2:$N$495,(SUMPRODUCT((('CONTROL MASTER'!$S$2:$S$495=2)*('CONTROL MASTER'!$T$2:$T$495&lt;=3)*('CONTROL MASTER'!$V$2:$V$495&gt;=3)*('CONTROL MASTER'!$U$2:$U$495&lt;=3)*('CONTROL MASTER'!$W$2:$W$495&gt;=3))*ROW('CONTROL MASTER'!$S$2:$S$495))-(ROW('CONTROL MASTER'!#REF!)-1))),":",","),",",REPT(" ",50)),((((3-INDEX('CONTROL MASTER'!$T$2:$T$495,(SUMPRODUCT((('CONTROL MASTER'!$S$2:$S$495=2)*('CONTROL MASTER'!$T$2:$T$495&lt;=3)*('CONTROL MASTER'!$V$2:$V$495&gt;=3)*('CONTROL MASTER'!$U$2:$U$495&lt;=3)*('CONTROL MASTER'!$W$2:$W$495&gt;=3))*ROW('CONTROL MASTER'!$S$2:$S$495))-(ROW('CONTROL MASTER'!#REF!)-1))))*(INDEX('CONTROL MASTER'!$W$2:$W$495,(SUMPRODUCT((('CONTROL MASTER'!$S$2:$S$495=2)*('CONTROL MASTER'!$T$2:$T$495&lt;=3)*('CONTROL MASTER'!$V$2:$V$495&gt;=3)*('CONTROL MASTER'!$U$2:$U$495&lt;=3)*('CONTROL MASTER'!$W$2:$W$495&gt;=3))*ROW('CONTROL MASTER'!$S$2:$S$495))-(ROW('CONTROL MASTER'!#REF!)-1)))-INDEX('CONTROL MASTER'!$U$2:$U$495,(SUMPRODUCT((('CONTROL MASTER'!$S$2:$S$495=2)*('CONTROL MASTER'!$T$2:$T$495&lt;=3)*('CONTROL MASTER'!$V$2:$V$495&gt;=3)*('CONTROL MASTER'!$U$2:$U$495&lt;=3)*('CONTROL MASTER'!$W$2:$W$495&gt;=3))*ROW('CONTROL MASTER'!$S$2:$S$495))-(ROW('CONTROL MASTER'!#REF!)-1)))+1)+(3-INDEX('CONTROL MASTER'!$U$2:$U$495,(SUMPRODUCT((('CONTROL MASTER'!$S$2:$S$495=2)*('CONTROL MASTER'!$T$2:$T$495&lt;=3)*('CONTROL MASTER'!$V$2:$V$495&gt;=3)*('CONTROL MASTER'!$U$2:$U$495&lt;=3)*('CONTROL MASTER'!$W$2:$W$495&gt;=3))*ROW('CONTROL MASTER'!$S$2:$S$495))-(ROW('CONTROL MASTER'!#REF!)-1))))+1))-1)*50+1,50))&amp;"_"&amp;INDEX('CONTROL MASTER'!$P$2:$P$495,(SUMPRODUCT((('CONTROL MASTER'!$S$2:$S$495=2)*('CONTROL MASTER'!$T$2:$T$495&lt;=3)*('CONTROL MASTER'!$V$2:$V$495&gt;=3)*('CONTROL MASTER'!$U$2:$U$495&lt;=3)*('CONTROL MASTER'!$W$2:$W$495&gt;=3))*ROW('CONTROL MASTER'!$S$2:$S$495))-(ROW('CONTROL MASTER'!#REF!)-1))),IF(SUMPRODUCT((('CONTROL MASTER'!$S$2:$S$495=2)*('CONTROL MASTER'!$Z$2:$Z$495&lt;=3)*('CONTROL MASTER'!$AB$2:$AB$495&gt;=3)*('CONTROL MASTER'!$AA$2:$AA$495&lt;=3)*('CONTROL MASTER'!$AC$2:$AC$495&gt;=3))*ROW('CONTROL MASTER'!$S$2:$S$495))&gt;0,INDEX('CONTROL MASTER'!$X$2:$X$495,(SUMPRODUCT((('CONTROL MASTER'!$S$2:$S$495=2)*('CONTROL MASTER'!$Z$2:$Z$495&lt;=3)*('CONTROL MASTER'!$AB$2:$AB$495&gt;=3)*('CONTROL MASTER'!$AA$2:$AA$495&lt;=3)*('CONTROL MASTER'!$AC$2:$AC$495&gt;=3))*ROW('CONTROL MASTER'!$S$2:$S$495))-(ROW('CONTROL MASTER'!#REF!)-1)))&amp;TRIM(MID(SUBSTITUTE(SUBSTITUTE(INDEX('CONTROL MASTER'!$N$2:$N$495,(SUMPRODUCT((('CONTROL MASTER'!$S$2:$S$495=2)*('CONTROL MASTER'!$Z$2:$Z$495&lt;=3)*('CONTROL MASTER'!$AB$2:$AB$495&gt;=3)*('CONTROL MASTER'!$AA$2:$AA$495&lt;=3)*('CONTROL MASTER'!$AC$2:$AC$495&gt;=3))*ROW('CONTROL MASTER'!$S$2:$S$495))-(ROW('CONTROL MASTER'!#REF!)-1))),":",","),",",REPT(" ",50)),(((INDEX('CONTROL MASTER'!$Y$2:$Y$495,(SUMPRODUCT((('CONTROL MASTER'!$S$2:$S$495=2)*('CONTROL MASTER'!$Z$2:$Z$495&lt;=3)*('CONTROL MASTER'!$AB$2:$AB$495&gt;=3)*('CONTROL MASTER'!$AA$2:$AA$495&lt;=3)*('CONTROL MASTER'!$AC$2:$AC$495&gt;=3))*ROW('CONTROL MASTER'!$S$2:$S$495))-(ROW('CONTROL MASTER'!#REF!)-1)))+((3-INDEX('CONTROL MASTER'!$Z$2:$Z$495,(SUMPRODUCT((('CONTROL MASTER'!$S$2:$S$495=2)*('CONTROL MASTER'!$Z$2:$Z$495&lt;=3)*('CONTROL MASTER'!$AB$2:$AB$495&gt;=3)*('CONTROL MASTER'!$AA$2:$AA$495&lt;=3)*('CONTROL MASTER'!$AC$2:$AC$495&gt;=3))*ROW('CONTROL MASTER'!$S$2:$S$495))-(ROW('CONTROL MASTER'!#REF!)-1))))*(INDEX('CONTROL MASTER'!$AC$2:$AC$495,(SUMPRODUCT((('CONTROL MASTER'!$S$2:$S$495=2)*('CONTROL MASTER'!$Z$2:$Z$495&lt;=3)*('CONTROL MASTER'!$AB$2:$AB$495&gt;=3)*('CONTROL MASTER'!$AA$2:$AA$495&lt;=3)*('CONTROL MASTER'!$AC$2:$AC$495&gt;=3))*ROW('CONTROL MASTER'!$S$2:$S$495))-(ROW('CONTROL MASTER'!#REF!)-1)))-INDEX('CONTROL MASTER'!$AA$2:$AA$495,(SUMPRODUCT((('CONTROL MASTER'!$S$2:$S$495=2)*('CONTROL MASTER'!$Z$2:$Z$495&lt;=3)*('CONTROL MASTER'!$AB$2:$AB$495&gt;=3)*('CONTROL MASTER'!$AA$2:$AA$495&lt;=3)*('CONTROL MASTER'!$AC$2:$AC$495&gt;=3))*ROW('CONTROL MASTER'!$S$2:$S$495))-(ROW('CONTROL MASTER'!#REF!)-1)))+1)+(3-INDEX('CONTROL MASTER'!$AA$2:$AA$495,(SUMPRODUCT((('CONTROL MASTER'!$S$2:$S$495=2)*('CONTROL MASTER'!$Z$2:$Z$495&lt;=3)*('CONTROL MASTER'!$AB$2:$AB$495&gt;=3)*('CONTROL MASTER'!$AA$2:$AA$495&lt;=3)*('CONTROL MASTER'!$AC$2:$AC$495&gt;=3))*ROW('CONTROL MASTER'!$S$2:$S$495))-(ROW('CONTROL MASTER'!#REF!)-1))))+1)))-1)*50+1,50))&amp;"_"&amp;INDEX('CONTROL MASTER'!$P$2:$P$495,(SUMPRODUCT((('CONTROL MASTER'!$S$2:$S$495=2)*('CONTROL MASTER'!$Z$2:$Z$495&lt;=3)*('CONTROL MASTER'!$AB$2:$AB$495&gt;=3)*('CONTROL MASTER'!$AA$2:$AA$495&lt;=3)*('CONTROL MASTER'!$AC$2:$AC$495&gt;=3))*ROW('CONTROL MASTER'!$S$2:$S$495))-(ROW('CONTROL MASTER'!#REF!)-1))),"")),"")</f>
        <v/>
      </c>
      <c r="E19" s="10" t="str">
        <f>IFERROR(IF(SUMPRODUCT((('CONTROL MASTER'!$S$2:$S$495=2)*('CONTROL MASTER'!$T$2:$T$495&lt;=3)*('CONTROL MASTER'!$V$2:$V$495&gt;=3)*('CONTROL MASTER'!$U$2:$U$495&lt;=4)*('CONTROL MASTER'!$W$2:$W$495&gt;=4))*ROW('CONTROL MASTER'!$S$2:$S$495))&gt;0,INDEX('CONTROL MASTER'!$X$2:$X$495,(SUMPRODUCT((('CONTROL MASTER'!$S$2:$S$495=2)*('CONTROL MASTER'!$T$2:$T$495&lt;=3)*('CONTROL MASTER'!$V$2:$V$495&gt;=3)*('CONTROL MASTER'!$U$2:$U$495&lt;=4)*('CONTROL MASTER'!$W$2:$W$495&gt;=4))*ROW('CONTROL MASTER'!$S$2:$S$495))-(ROW('CONTROL MASTER'!#REF!)-1)))&amp;TRIM(MID(SUBSTITUTE(SUBSTITUTE(INDEX('CONTROL MASTER'!$N$2:$N$495,(SUMPRODUCT((('CONTROL MASTER'!$S$2:$S$495=2)*('CONTROL MASTER'!$T$2:$T$495&lt;=3)*('CONTROL MASTER'!$V$2:$V$495&gt;=3)*('CONTROL MASTER'!$U$2:$U$495&lt;=4)*('CONTROL MASTER'!$W$2:$W$495&gt;=4))*ROW('CONTROL MASTER'!$S$2:$S$495))-(ROW('CONTROL MASTER'!#REF!)-1))),":",","),",",REPT(" ",50)),((((3-INDEX('CONTROL MASTER'!$T$2:$T$495,(SUMPRODUCT((('CONTROL MASTER'!$S$2:$S$495=2)*('CONTROL MASTER'!$T$2:$T$495&lt;=3)*('CONTROL MASTER'!$V$2:$V$495&gt;=3)*('CONTROL MASTER'!$U$2:$U$495&lt;=4)*('CONTROL MASTER'!$W$2:$W$495&gt;=4))*ROW('CONTROL MASTER'!$S$2:$S$495))-(ROW('CONTROL MASTER'!#REF!)-1))))*(INDEX('CONTROL MASTER'!$W$2:$W$495,(SUMPRODUCT((('CONTROL MASTER'!$S$2:$S$495=2)*('CONTROL MASTER'!$T$2:$T$495&lt;=3)*('CONTROL MASTER'!$V$2:$V$495&gt;=3)*('CONTROL MASTER'!$U$2:$U$495&lt;=4)*('CONTROL MASTER'!$W$2:$W$495&gt;=4))*ROW('CONTROL MASTER'!$S$2:$S$495))-(ROW('CONTROL MASTER'!#REF!)-1)))-INDEX('CONTROL MASTER'!$U$2:$U$495,(SUMPRODUCT((('CONTROL MASTER'!$S$2:$S$495=2)*('CONTROL MASTER'!$T$2:$T$495&lt;=3)*('CONTROL MASTER'!$V$2:$V$495&gt;=3)*('CONTROL MASTER'!$U$2:$U$495&lt;=4)*('CONTROL MASTER'!$W$2:$W$495&gt;=4))*ROW('CONTROL MASTER'!$S$2:$S$495))-(ROW('CONTROL MASTER'!#REF!)-1)))+1)+(4-INDEX('CONTROL MASTER'!$U$2:$U$495,(SUMPRODUCT((('CONTROL MASTER'!$S$2:$S$495=2)*('CONTROL MASTER'!$T$2:$T$495&lt;=3)*('CONTROL MASTER'!$V$2:$V$495&gt;=3)*('CONTROL MASTER'!$U$2:$U$495&lt;=4)*('CONTROL MASTER'!$W$2:$W$495&gt;=4))*ROW('CONTROL MASTER'!$S$2:$S$495))-(ROW('CONTROL MASTER'!#REF!)-1))))+1))-1)*50+1,50))&amp;"_"&amp;INDEX('CONTROL MASTER'!$P$2:$P$495,(SUMPRODUCT((('CONTROL MASTER'!$S$2:$S$495=2)*('CONTROL MASTER'!$T$2:$T$495&lt;=3)*('CONTROL MASTER'!$V$2:$V$495&gt;=3)*('CONTROL MASTER'!$U$2:$U$495&lt;=4)*('CONTROL MASTER'!$W$2:$W$495&gt;=4))*ROW('CONTROL MASTER'!$S$2:$S$495))-(ROW('CONTROL MASTER'!#REF!)-1))),IF(SUMPRODUCT((('CONTROL MASTER'!$S$2:$S$495=2)*('CONTROL MASTER'!$Z$2:$Z$495&lt;=3)*('CONTROL MASTER'!$AB$2:$AB$495&gt;=3)*('CONTROL MASTER'!$AA$2:$AA$495&lt;=4)*('CONTROL MASTER'!$AC$2:$AC$495&gt;=4))*ROW('CONTROL MASTER'!$S$2:$S$495))&gt;0,INDEX('CONTROL MASTER'!$X$2:$X$495,(SUMPRODUCT((('CONTROL MASTER'!$S$2:$S$495=2)*('CONTROL MASTER'!$Z$2:$Z$495&lt;=3)*('CONTROL MASTER'!$AB$2:$AB$495&gt;=3)*('CONTROL MASTER'!$AA$2:$AA$495&lt;=4)*('CONTROL MASTER'!$AC$2:$AC$495&gt;=4))*ROW('CONTROL MASTER'!$S$2:$S$495))-(ROW('CONTROL MASTER'!#REF!)-1)))&amp;TRIM(MID(SUBSTITUTE(SUBSTITUTE(INDEX('CONTROL MASTER'!$N$2:$N$495,(SUMPRODUCT((('CONTROL MASTER'!$S$2:$S$495=2)*('CONTROL MASTER'!$Z$2:$Z$495&lt;=3)*('CONTROL MASTER'!$AB$2:$AB$495&gt;=3)*('CONTROL MASTER'!$AA$2:$AA$495&lt;=4)*('CONTROL MASTER'!$AC$2:$AC$495&gt;=4))*ROW('CONTROL MASTER'!$S$2:$S$495))-(ROW('CONTROL MASTER'!#REF!)-1))),":",","),",",REPT(" ",50)),(((INDEX('CONTROL MASTER'!$Y$2:$Y$495,(SUMPRODUCT((('CONTROL MASTER'!$S$2:$S$495=2)*('CONTROL MASTER'!$Z$2:$Z$495&lt;=3)*('CONTROL MASTER'!$AB$2:$AB$495&gt;=3)*('CONTROL MASTER'!$AA$2:$AA$495&lt;=4)*('CONTROL MASTER'!$AC$2:$AC$495&gt;=4))*ROW('CONTROL MASTER'!$S$2:$S$495))-(ROW('CONTROL MASTER'!#REF!)-1)))+((3-INDEX('CONTROL MASTER'!$Z$2:$Z$495,(SUMPRODUCT((('CONTROL MASTER'!$S$2:$S$495=2)*('CONTROL MASTER'!$Z$2:$Z$495&lt;=3)*('CONTROL MASTER'!$AB$2:$AB$495&gt;=3)*('CONTROL MASTER'!$AA$2:$AA$495&lt;=4)*('CONTROL MASTER'!$AC$2:$AC$495&gt;=4))*ROW('CONTROL MASTER'!$S$2:$S$495))-(ROW('CONTROL MASTER'!#REF!)-1))))*(INDEX('CONTROL MASTER'!$AC$2:$AC$495,(SUMPRODUCT((('CONTROL MASTER'!$S$2:$S$495=2)*('CONTROL MASTER'!$Z$2:$Z$495&lt;=3)*('CONTROL MASTER'!$AB$2:$AB$495&gt;=3)*('CONTROL MASTER'!$AA$2:$AA$495&lt;=4)*('CONTROL MASTER'!$AC$2:$AC$495&gt;=4))*ROW('CONTROL MASTER'!$S$2:$S$495))-(ROW('CONTROL MASTER'!#REF!)-1)))-INDEX('CONTROL MASTER'!$AA$2:$AA$495,(SUMPRODUCT((('CONTROL MASTER'!$S$2:$S$495=2)*('CONTROL MASTER'!$Z$2:$Z$495&lt;=3)*('CONTROL MASTER'!$AB$2:$AB$495&gt;=3)*('CONTROL MASTER'!$AA$2:$AA$495&lt;=4)*('CONTROL MASTER'!$AC$2:$AC$495&gt;=4))*ROW('CONTROL MASTER'!$S$2:$S$495))-(ROW('CONTROL MASTER'!#REF!)-1)))+1)+(4-INDEX('CONTROL MASTER'!$AA$2:$AA$495,(SUMPRODUCT((('CONTROL MASTER'!$S$2:$S$495=2)*('CONTROL MASTER'!$Z$2:$Z$495&lt;=3)*('CONTROL MASTER'!$AB$2:$AB$495&gt;=3)*('CONTROL MASTER'!$AA$2:$AA$495&lt;=4)*('CONTROL MASTER'!$AC$2:$AC$495&gt;=4))*ROW('CONTROL MASTER'!$S$2:$S$495))-(ROW('CONTROL MASTER'!#REF!)-1))))+1)))-1)*50+1,50))&amp;"_"&amp;INDEX('CONTROL MASTER'!$P$2:$P$495,(SUMPRODUCT((('CONTROL MASTER'!$S$2:$S$495=2)*('CONTROL MASTER'!$Z$2:$Z$495&lt;=3)*('CONTROL MASTER'!$AB$2:$AB$495&gt;=3)*('CONTROL MASTER'!$AA$2:$AA$495&lt;=4)*('CONTROL MASTER'!$AC$2:$AC$495&gt;=4))*ROW('CONTROL MASTER'!$S$2:$S$495))-(ROW('CONTROL MASTER'!#REF!)-1))),"")),"")</f>
        <v/>
      </c>
      <c r="F19" s="10" t="str">
        <f>IFERROR(IF(SUMPRODUCT((('CONTROL MASTER'!$S$2:$S$495=2)*('CONTROL MASTER'!$T$2:$T$495&lt;=3)*('CONTROL MASTER'!$V$2:$V$495&gt;=3)*('CONTROL MASTER'!$U$2:$U$495&lt;=5)*('CONTROL MASTER'!$W$2:$W$495&gt;=5))*ROW('CONTROL MASTER'!$S$2:$S$495))&gt;0,INDEX('CONTROL MASTER'!$X$2:$X$495,(SUMPRODUCT((('CONTROL MASTER'!$S$2:$S$495=2)*('CONTROL MASTER'!$T$2:$T$495&lt;=3)*('CONTROL MASTER'!$V$2:$V$495&gt;=3)*('CONTROL MASTER'!$U$2:$U$495&lt;=5)*('CONTROL MASTER'!$W$2:$W$495&gt;=5))*ROW('CONTROL MASTER'!$S$2:$S$495))-(ROW('CONTROL MASTER'!#REF!)-1)))&amp;TRIM(MID(SUBSTITUTE(SUBSTITUTE(INDEX('CONTROL MASTER'!$N$2:$N$495,(SUMPRODUCT((('CONTROL MASTER'!$S$2:$S$495=2)*('CONTROL MASTER'!$T$2:$T$495&lt;=3)*('CONTROL MASTER'!$V$2:$V$495&gt;=3)*('CONTROL MASTER'!$U$2:$U$495&lt;=5)*('CONTROL MASTER'!$W$2:$W$495&gt;=5))*ROW('CONTROL MASTER'!$S$2:$S$495))-(ROW('CONTROL MASTER'!#REF!)-1))),":",","),",",REPT(" ",50)),((((3-INDEX('CONTROL MASTER'!$T$2:$T$495,(SUMPRODUCT((('CONTROL MASTER'!$S$2:$S$495=2)*('CONTROL MASTER'!$T$2:$T$495&lt;=3)*('CONTROL MASTER'!$V$2:$V$495&gt;=3)*('CONTROL MASTER'!$U$2:$U$495&lt;=5)*('CONTROL MASTER'!$W$2:$W$495&gt;=5))*ROW('CONTROL MASTER'!$S$2:$S$495))-(ROW('CONTROL MASTER'!#REF!)-1))))*(INDEX('CONTROL MASTER'!$W$2:$W$495,(SUMPRODUCT((('CONTROL MASTER'!$S$2:$S$495=2)*('CONTROL MASTER'!$T$2:$T$495&lt;=3)*('CONTROL MASTER'!$V$2:$V$495&gt;=3)*('CONTROL MASTER'!$U$2:$U$495&lt;=5)*('CONTROL MASTER'!$W$2:$W$495&gt;=5))*ROW('CONTROL MASTER'!$S$2:$S$495))-(ROW('CONTROL MASTER'!#REF!)-1)))-INDEX('CONTROL MASTER'!$U$2:$U$495,(SUMPRODUCT((('CONTROL MASTER'!$S$2:$S$495=2)*('CONTROL MASTER'!$T$2:$T$495&lt;=3)*('CONTROL MASTER'!$V$2:$V$495&gt;=3)*('CONTROL MASTER'!$U$2:$U$495&lt;=5)*('CONTROL MASTER'!$W$2:$W$495&gt;=5))*ROW('CONTROL MASTER'!$S$2:$S$495))-(ROW('CONTROL MASTER'!#REF!)-1)))+1)+(5-INDEX('CONTROL MASTER'!$U$2:$U$495,(SUMPRODUCT((('CONTROL MASTER'!$S$2:$S$495=2)*('CONTROL MASTER'!$T$2:$T$495&lt;=3)*('CONTROL MASTER'!$V$2:$V$495&gt;=3)*('CONTROL MASTER'!$U$2:$U$495&lt;=5)*('CONTROL MASTER'!$W$2:$W$495&gt;=5))*ROW('CONTROL MASTER'!$S$2:$S$495))-(ROW('CONTROL MASTER'!#REF!)-1))))+1))-1)*50+1,50))&amp;"_"&amp;INDEX('CONTROL MASTER'!$P$2:$P$495,(SUMPRODUCT((('CONTROL MASTER'!$S$2:$S$495=2)*('CONTROL MASTER'!$T$2:$T$495&lt;=3)*('CONTROL MASTER'!$V$2:$V$495&gt;=3)*('CONTROL MASTER'!$U$2:$U$495&lt;=5)*('CONTROL MASTER'!$W$2:$W$495&gt;=5))*ROW('CONTROL MASTER'!$S$2:$S$495))-(ROW('CONTROL MASTER'!#REF!)-1))),IF(SUMPRODUCT((('CONTROL MASTER'!$S$2:$S$495=2)*('CONTROL MASTER'!$Z$2:$Z$495&lt;=3)*('CONTROL MASTER'!$AB$2:$AB$495&gt;=3)*('CONTROL MASTER'!$AA$2:$AA$495&lt;=5)*('CONTROL MASTER'!$AC$2:$AC$495&gt;=5))*ROW('CONTROL MASTER'!$S$2:$S$495))&gt;0,INDEX('CONTROL MASTER'!$X$2:$X$495,(SUMPRODUCT((('CONTROL MASTER'!$S$2:$S$495=2)*('CONTROL MASTER'!$Z$2:$Z$495&lt;=3)*('CONTROL MASTER'!$AB$2:$AB$495&gt;=3)*('CONTROL MASTER'!$AA$2:$AA$495&lt;=5)*('CONTROL MASTER'!$AC$2:$AC$495&gt;=5))*ROW('CONTROL MASTER'!$S$2:$S$495))-(ROW('CONTROL MASTER'!#REF!)-1)))&amp;TRIM(MID(SUBSTITUTE(SUBSTITUTE(INDEX('CONTROL MASTER'!$N$2:$N$495,(SUMPRODUCT((('CONTROL MASTER'!$S$2:$S$495=2)*('CONTROL MASTER'!$Z$2:$Z$495&lt;=3)*('CONTROL MASTER'!$AB$2:$AB$495&gt;=3)*('CONTROL MASTER'!$AA$2:$AA$495&lt;=5)*('CONTROL MASTER'!$AC$2:$AC$495&gt;=5))*ROW('CONTROL MASTER'!$S$2:$S$495))-(ROW('CONTROL MASTER'!#REF!)-1))),":",","),",",REPT(" ",50)),(((INDEX('CONTROL MASTER'!$Y$2:$Y$495,(SUMPRODUCT((('CONTROL MASTER'!$S$2:$S$495=2)*('CONTROL MASTER'!$Z$2:$Z$495&lt;=3)*('CONTROL MASTER'!$AB$2:$AB$495&gt;=3)*('CONTROL MASTER'!$AA$2:$AA$495&lt;=5)*('CONTROL MASTER'!$AC$2:$AC$495&gt;=5))*ROW('CONTROL MASTER'!$S$2:$S$495))-(ROW('CONTROL MASTER'!#REF!)-1)))+((3-INDEX('CONTROL MASTER'!$Z$2:$Z$495,(SUMPRODUCT((('CONTROL MASTER'!$S$2:$S$495=2)*('CONTROL MASTER'!$Z$2:$Z$495&lt;=3)*('CONTROL MASTER'!$AB$2:$AB$495&gt;=3)*('CONTROL MASTER'!$AA$2:$AA$495&lt;=5)*('CONTROL MASTER'!$AC$2:$AC$495&gt;=5))*ROW('CONTROL MASTER'!$S$2:$S$495))-(ROW('CONTROL MASTER'!#REF!)-1))))*(INDEX('CONTROL MASTER'!$AC$2:$AC$495,(SUMPRODUCT((('CONTROL MASTER'!$S$2:$S$495=2)*('CONTROL MASTER'!$Z$2:$Z$495&lt;=3)*('CONTROL MASTER'!$AB$2:$AB$495&gt;=3)*('CONTROL MASTER'!$AA$2:$AA$495&lt;=5)*('CONTROL MASTER'!$AC$2:$AC$495&gt;=5))*ROW('CONTROL MASTER'!$S$2:$S$495))-(ROW('CONTROL MASTER'!#REF!)-1)))-INDEX('CONTROL MASTER'!$AA$2:$AA$495,(SUMPRODUCT((('CONTROL MASTER'!$S$2:$S$495=2)*('CONTROL MASTER'!$Z$2:$Z$495&lt;=3)*('CONTROL MASTER'!$AB$2:$AB$495&gt;=3)*('CONTROL MASTER'!$AA$2:$AA$495&lt;=5)*('CONTROL MASTER'!$AC$2:$AC$495&gt;=5))*ROW('CONTROL MASTER'!$S$2:$S$495))-(ROW('CONTROL MASTER'!#REF!)-1)))+1)+(5-INDEX('CONTROL MASTER'!$AA$2:$AA$495,(SUMPRODUCT((('CONTROL MASTER'!$S$2:$S$495=2)*('CONTROL MASTER'!$Z$2:$Z$495&lt;=3)*('CONTROL MASTER'!$AB$2:$AB$495&gt;=3)*('CONTROL MASTER'!$AA$2:$AA$495&lt;=5)*('CONTROL MASTER'!$AC$2:$AC$495&gt;=5))*ROW('CONTROL MASTER'!$S$2:$S$495))-(ROW('CONTROL MASTER'!#REF!)-1))))+1)))-1)*50+1,50))&amp;"_"&amp;INDEX('CONTROL MASTER'!$P$2:$P$495,(SUMPRODUCT((('CONTROL MASTER'!$S$2:$S$495=2)*('CONTROL MASTER'!$Z$2:$Z$495&lt;=3)*('CONTROL MASTER'!$AB$2:$AB$495&gt;=3)*('CONTROL MASTER'!$AA$2:$AA$495&lt;=5)*('CONTROL MASTER'!$AC$2:$AC$495&gt;=5))*ROW('CONTROL MASTER'!$S$2:$S$495))-(ROW('CONTROL MASTER'!#REF!)-1))),"")),"")</f>
        <v/>
      </c>
      <c r="G19" s="10" t="str">
        <f>IFERROR(IF(SUMPRODUCT((('CONTROL MASTER'!$S$2:$S$495=2)*('CONTROL MASTER'!$T$2:$T$495&lt;=3)*('CONTROL MASTER'!$V$2:$V$495&gt;=3)*('CONTROL MASTER'!$U$2:$U$495&lt;=6)*('CONTROL MASTER'!$W$2:$W$495&gt;=6))*ROW('CONTROL MASTER'!$S$2:$S$495))&gt;0,INDEX('CONTROL MASTER'!$X$2:$X$495,(SUMPRODUCT((('CONTROL MASTER'!$S$2:$S$495=2)*('CONTROL MASTER'!$T$2:$T$495&lt;=3)*('CONTROL MASTER'!$V$2:$V$495&gt;=3)*('CONTROL MASTER'!$U$2:$U$495&lt;=6)*('CONTROL MASTER'!$W$2:$W$495&gt;=6))*ROW('CONTROL MASTER'!$S$2:$S$495))-(ROW('CONTROL MASTER'!#REF!)-1)))&amp;TRIM(MID(SUBSTITUTE(SUBSTITUTE(INDEX('CONTROL MASTER'!$N$2:$N$495,(SUMPRODUCT((('CONTROL MASTER'!$S$2:$S$495=2)*('CONTROL MASTER'!$T$2:$T$495&lt;=3)*('CONTROL MASTER'!$V$2:$V$495&gt;=3)*('CONTROL MASTER'!$U$2:$U$495&lt;=6)*('CONTROL MASTER'!$W$2:$W$495&gt;=6))*ROW('CONTROL MASTER'!$S$2:$S$495))-(ROW('CONTROL MASTER'!#REF!)-1))),":",","),",",REPT(" ",50)),((((3-INDEX('CONTROL MASTER'!$T$2:$T$495,(SUMPRODUCT((('CONTROL MASTER'!$S$2:$S$495=2)*('CONTROL MASTER'!$T$2:$T$495&lt;=3)*('CONTROL MASTER'!$V$2:$V$495&gt;=3)*('CONTROL MASTER'!$U$2:$U$495&lt;=6)*('CONTROL MASTER'!$W$2:$W$495&gt;=6))*ROW('CONTROL MASTER'!$S$2:$S$495))-(ROW('CONTROL MASTER'!#REF!)-1))))*(INDEX('CONTROL MASTER'!$W$2:$W$495,(SUMPRODUCT((('CONTROL MASTER'!$S$2:$S$495=2)*('CONTROL MASTER'!$T$2:$T$495&lt;=3)*('CONTROL MASTER'!$V$2:$V$495&gt;=3)*('CONTROL MASTER'!$U$2:$U$495&lt;=6)*('CONTROL MASTER'!$W$2:$W$495&gt;=6))*ROW('CONTROL MASTER'!$S$2:$S$495))-(ROW('CONTROL MASTER'!#REF!)-1)))-INDEX('CONTROL MASTER'!$U$2:$U$495,(SUMPRODUCT((('CONTROL MASTER'!$S$2:$S$495=2)*('CONTROL MASTER'!$T$2:$T$495&lt;=3)*('CONTROL MASTER'!$V$2:$V$495&gt;=3)*('CONTROL MASTER'!$U$2:$U$495&lt;=6)*('CONTROL MASTER'!$W$2:$W$495&gt;=6))*ROW('CONTROL MASTER'!$S$2:$S$495))-(ROW('CONTROL MASTER'!#REF!)-1)))+1)+(6-INDEX('CONTROL MASTER'!$U$2:$U$495,(SUMPRODUCT((('CONTROL MASTER'!$S$2:$S$495=2)*('CONTROL MASTER'!$T$2:$T$495&lt;=3)*('CONTROL MASTER'!$V$2:$V$495&gt;=3)*('CONTROL MASTER'!$U$2:$U$495&lt;=6)*('CONTROL MASTER'!$W$2:$W$495&gt;=6))*ROW('CONTROL MASTER'!$S$2:$S$495))-(ROW('CONTROL MASTER'!#REF!)-1))))+1))-1)*50+1,50))&amp;"_"&amp;INDEX('CONTROL MASTER'!$P$2:$P$495,(SUMPRODUCT((('CONTROL MASTER'!$S$2:$S$495=2)*('CONTROL MASTER'!$T$2:$T$495&lt;=3)*('CONTROL MASTER'!$V$2:$V$495&gt;=3)*('CONTROL MASTER'!$U$2:$U$495&lt;=6)*('CONTROL MASTER'!$W$2:$W$495&gt;=6))*ROW('CONTROL MASTER'!$S$2:$S$495))-(ROW('CONTROL MASTER'!#REF!)-1))),IF(SUMPRODUCT((('CONTROL MASTER'!$S$2:$S$495=2)*('CONTROL MASTER'!$Z$2:$Z$495&lt;=3)*('CONTROL MASTER'!$AB$2:$AB$495&gt;=3)*('CONTROL MASTER'!$AA$2:$AA$495&lt;=6)*('CONTROL MASTER'!$AC$2:$AC$495&gt;=6))*ROW('CONTROL MASTER'!$S$2:$S$495))&gt;0,INDEX('CONTROL MASTER'!$X$2:$X$495,(SUMPRODUCT((('CONTROL MASTER'!$S$2:$S$495=2)*('CONTROL MASTER'!$Z$2:$Z$495&lt;=3)*('CONTROL MASTER'!$AB$2:$AB$495&gt;=3)*('CONTROL MASTER'!$AA$2:$AA$495&lt;=6)*('CONTROL MASTER'!$AC$2:$AC$495&gt;=6))*ROW('CONTROL MASTER'!$S$2:$S$495))-(ROW('CONTROL MASTER'!#REF!)-1)))&amp;TRIM(MID(SUBSTITUTE(SUBSTITUTE(INDEX('CONTROL MASTER'!$N$2:$N$495,(SUMPRODUCT((('CONTROL MASTER'!$S$2:$S$495=2)*('CONTROL MASTER'!$Z$2:$Z$495&lt;=3)*('CONTROL MASTER'!$AB$2:$AB$495&gt;=3)*('CONTROL MASTER'!$AA$2:$AA$495&lt;=6)*('CONTROL MASTER'!$AC$2:$AC$495&gt;=6))*ROW('CONTROL MASTER'!$S$2:$S$495))-(ROW('CONTROL MASTER'!#REF!)-1))),":",","),",",REPT(" ",50)),(((INDEX('CONTROL MASTER'!$Y$2:$Y$495,(SUMPRODUCT((('CONTROL MASTER'!$S$2:$S$495=2)*('CONTROL MASTER'!$Z$2:$Z$495&lt;=3)*('CONTROL MASTER'!$AB$2:$AB$495&gt;=3)*('CONTROL MASTER'!$AA$2:$AA$495&lt;=6)*('CONTROL MASTER'!$AC$2:$AC$495&gt;=6))*ROW('CONTROL MASTER'!$S$2:$S$495))-(ROW('CONTROL MASTER'!#REF!)-1)))+((3-INDEX('CONTROL MASTER'!$Z$2:$Z$495,(SUMPRODUCT((('CONTROL MASTER'!$S$2:$S$495=2)*('CONTROL MASTER'!$Z$2:$Z$495&lt;=3)*('CONTROL MASTER'!$AB$2:$AB$495&gt;=3)*('CONTROL MASTER'!$AA$2:$AA$495&lt;=6)*('CONTROL MASTER'!$AC$2:$AC$495&gt;=6))*ROW('CONTROL MASTER'!$S$2:$S$495))-(ROW('CONTROL MASTER'!#REF!)-1))))*(INDEX('CONTROL MASTER'!$AC$2:$AC$495,(SUMPRODUCT((('CONTROL MASTER'!$S$2:$S$495=2)*('CONTROL MASTER'!$Z$2:$Z$495&lt;=3)*('CONTROL MASTER'!$AB$2:$AB$495&gt;=3)*('CONTROL MASTER'!$AA$2:$AA$495&lt;=6)*('CONTROL MASTER'!$AC$2:$AC$495&gt;=6))*ROW('CONTROL MASTER'!$S$2:$S$495))-(ROW('CONTROL MASTER'!#REF!)-1)))-INDEX('CONTROL MASTER'!$AA$2:$AA$495,(SUMPRODUCT((('CONTROL MASTER'!$S$2:$S$495=2)*('CONTROL MASTER'!$Z$2:$Z$495&lt;=3)*('CONTROL MASTER'!$AB$2:$AB$495&gt;=3)*('CONTROL MASTER'!$AA$2:$AA$495&lt;=6)*('CONTROL MASTER'!$AC$2:$AC$495&gt;=6))*ROW('CONTROL MASTER'!$S$2:$S$495))-(ROW('CONTROL MASTER'!#REF!)-1)))+1)+(6-INDEX('CONTROL MASTER'!$AA$2:$AA$495,(SUMPRODUCT((('CONTROL MASTER'!$S$2:$S$495=2)*('CONTROL MASTER'!$Z$2:$Z$495&lt;=3)*('CONTROL MASTER'!$AB$2:$AB$495&gt;=3)*('CONTROL MASTER'!$AA$2:$AA$495&lt;=6)*('CONTROL MASTER'!$AC$2:$AC$495&gt;=6))*ROW('CONTROL MASTER'!$S$2:$S$495))-(ROW('CONTROL MASTER'!#REF!)-1))))+1)))-1)*50+1,50))&amp;"_"&amp;INDEX('CONTROL MASTER'!$P$2:$P$495,(SUMPRODUCT((('CONTROL MASTER'!$S$2:$S$495=2)*('CONTROL MASTER'!$Z$2:$Z$495&lt;=3)*('CONTROL MASTER'!$AB$2:$AB$495&gt;=3)*('CONTROL MASTER'!$AA$2:$AA$495&lt;=6)*('CONTROL MASTER'!$AC$2:$AC$495&gt;=6))*ROW('CONTROL MASTER'!$S$2:$S$495))-(ROW('CONTROL MASTER'!#REF!)-1))),"")),"")</f>
        <v/>
      </c>
      <c r="H19" s="10" t="str">
        <f>IFERROR(IF(SUMPRODUCT((('CONTROL MASTER'!$S$2:$S$495=2)*('CONTROL MASTER'!$T$2:$T$495&lt;=3)*('CONTROL MASTER'!$V$2:$V$495&gt;=3)*('CONTROL MASTER'!$U$2:$U$495&lt;=7)*('CONTROL MASTER'!$W$2:$W$495&gt;=7))*ROW('CONTROL MASTER'!$S$2:$S$495))&gt;0,INDEX('CONTROL MASTER'!$X$2:$X$495,(SUMPRODUCT((('CONTROL MASTER'!$S$2:$S$495=2)*('CONTROL MASTER'!$T$2:$T$495&lt;=3)*('CONTROL MASTER'!$V$2:$V$495&gt;=3)*('CONTROL MASTER'!$U$2:$U$495&lt;=7)*('CONTROL MASTER'!$W$2:$W$495&gt;=7))*ROW('CONTROL MASTER'!$S$2:$S$495))-(ROW('CONTROL MASTER'!#REF!)-1)))&amp;TRIM(MID(SUBSTITUTE(SUBSTITUTE(INDEX('CONTROL MASTER'!$N$2:$N$495,(SUMPRODUCT((('CONTROL MASTER'!$S$2:$S$495=2)*('CONTROL MASTER'!$T$2:$T$495&lt;=3)*('CONTROL MASTER'!$V$2:$V$495&gt;=3)*('CONTROL MASTER'!$U$2:$U$495&lt;=7)*('CONTROL MASTER'!$W$2:$W$495&gt;=7))*ROW('CONTROL MASTER'!$S$2:$S$495))-(ROW('CONTROL MASTER'!#REF!)-1))),":",","),",",REPT(" ",50)),((((3-INDEX('CONTROL MASTER'!$T$2:$T$495,(SUMPRODUCT((('CONTROL MASTER'!$S$2:$S$495=2)*('CONTROL MASTER'!$T$2:$T$495&lt;=3)*('CONTROL MASTER'!$V$2:$V$495&gt;=3)*('CONTROL MASTER'!$U$2:$U$495&lt;=7)*('CONTROL MASTER'!$W$2:$W$495&gt;=7))*ROW('CONTROL MASTER'!$S$2:$S$495))-(ROW('CONTROL MASTER'!#REF!)-1))))*(INDEX('CONTROL MASTER'!$W$2:$W$495,(SUMPRODUCT((('CONTROL MASTER'!$S$2:$S$495=2)*('CONTROL MASTER'!$T$2:$T$495&lt;=3)*('CONTROL MASTER'!$V$2:$V$495&gt;=3)*('CONTROL MASTER'!$U$2:$U$495&lt;=7)*('CONTROL MASTER'!$W$2:$W$495&gt;=7))*ROW('CONTROL MASTER'!$S$2:$S$495))-(ROW('CONTROL MASTER'!#REF!)-1)))-INDEX('CONTROL MASTER'!$U$2:$U$495,(SUMPRODUCT((('CONTROL MASTER'!$S$2:$S$495=2)*('CONTROL MASTER'!$T$2:$T$495&lt;=3)*('CONTROL MASTER'!$V$2:$V$495&gt;=3)*('CONTROL MASTER'!$U$2:$U$495&lt;=7)*('CONTROL MASTER'!$W$2:$W$495&gt;=7))*ROW('CONTROL MASTER'!$S$2:$S$495))-(ROW('CONTROL MASTER'!#REF!)-1)))+1)+(7-INDEX('CONTROL MASTER'!$U$2:$U$495,(SUMPRODUCT((('CONTROL MASTER'!$S$2:$S$495=2)*('CONTROL MASTER'!$T$2:$T$495&lt;=3)*('CONTROL MASTER'!$V$2:$V$495&gt;=3)*('CONTROL MASTER'!$U$2:$U$495&lt;=7)*('CONTROL MASTER'!$W$2:$W$495&gt;=7))*ROW('CONTROL MASTER'!$S$2:$S$495))-(ROW('CONTROL MASTER'!#REF!)-1))))+1))-1)*50+1,50))&amp;"_"&amp;INDEX('CONTROL MASTER'!$P$2:$P$495,(SUMPRODUCT((('CONTROL MASTER'!$S$2:$S$495=2)*('CONTROL MASTER'!$T$2:$T$495&lt;=3)*('CONTROL MASTER'!$V$2:$V$495&gt;=3)*('CONTROL MASTER'!$U$2:$U$495&lt;=7)*('CONTROL MASTER'!$W$2:$W$495&gt;=7))*ROW('CONTROL MASTER'!$S$2:$S$495))-(ROW('CONTROL MASTER'!#REF!)-1))),IF(SUMPRODUCT((('CONTROL MASTER'!$S$2:$S$495=2)*('CONTROL MASTER'!$Z$2:$Z$495&lt;=3)*('CONTROL MASTER'!$AB$2:$AB$495&gt;=3)*('CONTROL MASTER'!$AA$2:$AA$495&lt;=7)*('CONTROL MASTER'!$AC$2:$AC$495&gt;=7))*ROW('CONTROL MASTER'!$S$2:$S$495))&gt;0,INDEX('CONTROL MASTER'!$X$2:$X$495,(SUMPRODUCT((('CONTROL MASTER'!$S$2:$S$495=2)*('CONTROL MASTER'!$Z$2:$Z$495&lt;=3)*('CONTROL MASTER'!$AB$2:$AB$495&gt;=3)*('CONTROL MASTER'!$AA$2:$AA$495&lt;=7)*('CONTROL MASTER'!$AC$2:$AC$495&gt;=7))*ROW('CONTROL MASTER'!$S$2:$S$495))-(ROW('CONTROL MASTER'!#REF!)-1)))&amp;TRIM(MID(SUBSTITUTE(SUBSTITUTE(INDEX('CONTROL MASTER'!$N$2:$N$495,(SUMPRODUCT((('CONTROL MASTER'!$S$2:$S$495=2)*('CONTROL MASTER'!$Z$2:$Z$495&lt;=3)*('CONTROL MASTER'!$AB$2:$AB$495&gt;=3)*('CONTROL MASTER'!$AA$2:$AA$495&lt;=7)*('CONTROL MASTER'!$AC$2:$AC$495&gt;=7))*ROW('CONTROL MASTER'!$S$2:$S$495))-(ROW('CONTROL MASTER'!#REF!)-1))),":",","),",",REPT(" ",50)),(((INDEX('CONTROL MASTER'!$Y$2:$Y$495,(SUMPRODUCT((('CONTROL MASTER'!$S$2:$S$495=2)*('CONTROL MASTER'!$Z$2:$Z$495&lt;=3)*('CONTROL MASTER'!$AB$2:$AB$495&gt;=3)*('CONTROL MASTER'!$AA$2:$AA$495&lt;=7)*('CONTROL MASTER'!$AC$2:$AC$495&gt;=7))*ROW('CONTROL MASTER'!$S$2:$S$495))-(ROW('CONTROL MASTER'!#REF!)-1)))+((3-INDEX('CONTROL MASTER'!$Z$2:$Z$495,(SUMPRODUCT((('CONTROL MASTER'!$S$2:$S$495=2)*('CONTROL MASTER'!$Z$2:$Z$495&lt;=3)*('CONTROL MASTER'!$AB$2:$AB$495&gt;=3)*('CONTROL MASTER'!$AA$2:$AA$495&lt;=7)*('CONTROL MASTER'!$AC$2:$AC$495&gt;=7))*ROW('CONTROL MASTER'!$S$2:$S$495))-(ROW('CONTROL MASTER'!#REF!)-1))))*(INDEX('CONTROL MASTER'!$AC$2:$AC$495,(SUMPRODUCT((('CONTROL MASTER'!$S$2:$S$495=2)*('CONTROL MASTER'!$Z$2:$Z$495&lt;=3)*('CONTROL MASTER'!$AB$2:$AB$495&gt;=3)*('CONTROL MASTER'!$AA$2:$AA$495&lt;=7)*('CONTROL MASTER'!$AC$2:$AC$495&gt;=7))*ROW('CONTROL MASTER'!$S$2:$S$495))-(ROW('CONTROL MASTER'!#REF!)-1)))-INDEX('CONTROL MASTER'!$AA$2:$AA$495,(SUMPRODUCT((('CONTROL MASTER'!$S$2:$S$495=2)*('CONTROL MASTER'!$Z$2:$Z$495&lt;=3)*('CONTROL MASTER'!$AB$2:$AB$495&gt;=3)*('CONTROL MASTER'!$AA$2:$AA$495&lt;=7)*('CONTROL MASTER'!$AC$2:$AC$495&gt;=7))*ROW('CONTROL MASTER'!$S$2:$S$495))-(ROW('CONTROL MASTER'!#REF!)-1)))+1)+(7-INDEX('CONTROL MASTER'!$AA$2:$AA$495,(SUMPRODUCT((('CONTROL MASTER'!$S$2:$S$495=2)*('CONTROL MASTER'!$Z$2:$Z$495&lt;=3)*('CONTROL MASTER'!$AB$2:$AB$495&gt;=3)*('CONTROL MASTER'!$AA$2:$AA$495&lt;=7)*('CONTROL MASTER'!$AC$2:$AC$495&gt;=7))*ROW('CONTROL MASTER'!$S$2:$S$495))-(ROW('CONTROL MASTER'!#REF!)-1))))+1)))-1)*50+1,50))&amp;"_"&amp;INDEX('CONTROL MASTER'!$P$2:$P$495,(SUMPRODUCT((('CONTROL MASTER'!$S$2:$S$495=2)*('CONTROL MASTER'!$Z$2:$Z$495&lt;=3)*('CONTROL MASTER'!$AB$2:$AB$495&gt;=3)*('CONTROL MASTER'!$AA$2:$AA$495&lt;=7)*('CONTROL MASTER'!$AC$2:$AC$495&gt;=7))*ROW('CONTROL MASTER'!$S$2:$S$495))-(ROW('CONTROL MASTER'!#REF!)-1))),"")),"")</f>
        <v/>
      </c>
      <c r="I19" s="10" t="str">
        <f>IFERROR(IF(SUMPRODUCT((('CONTROL MASTER'!$S$2:$S$495=2)*('CONTROL MASTER'!$T$2:$T$495&lt;=3)*('CONTROL MASTER'!$V$2:$V$495&gt;=3)*('CONTROL MASTER'!$U$2:$U$495&lt;=8)*('CONTROL MASTER'!$W$2:$W$495&gt;=8))*ROW('CONTROL MASTER'!$S$2:$S$495))&gt;0,INDEX('CONTROL MASTER'!$X$2:$X$495,(SUMPRODUCT((('CONTROL MASTER'!$S$2:$S$495=2)*('CONTROL MASTER'!$T$2:$T$495&lt;=3)*('CONTROL MASTER'!$V$2:$V$495&gt;=3)*('CONTROL MASTER'!$U$2:$U$495&lt;=8)*('CONTROL MASTER'!$W$2:$W$495&gt;=8))*ROW('CONTROL MASTER'!$S$2:$S$495))-(ROW('CONTROL MASTER'!#REF!)-1)))&amp;TRIM(MID(SUBSTITUTE(SUBSTITUTE(INDEX('CONTROL MASTER'!$N$2:$N$495,(SUMPRODUCT((('CONTROL MASTER'!$S$2:$S$495=2)*('CONTROL MASTER'!$T$2:$T$495&lt;=3)*('CONTROL MASTER'!$V$2:$V$495&gt;=3)*('CONTROL MASTER'!$U$2:$U$495&lt;=8)*('CONTROL MASTER'!$W$2:$W$495&gt;=8))*ROW('CONTROL MASTER'!$S$2:$S$495))-(ROW('CONTROL MASTER'!#REF!)-1))),":",","),",",REPT(" ",50)),((((3-INDEX('CONTROL MASTER'!$T$2:$T$495,(SUMPRODUCT((('CONTROL MASTER'!$S$2:$S$495=2)*('CONTROL MASTER'!$T$2:$T$495&lt;=3)*('CONTROL MASTER'!$V$2:$V$495&gt;=3)*('CONTROL MASTER'!$U$2:$U$495&lt;=8)*('CONTROL MASTER'!$W$2:$W$495&gt;=8))*ROW('CONTROL MASTER'!$S$2:$S$495))-(ROW('CONTROL MASTER'!#REF!)-1))))*(INDEX('CONTROL MASTER'!$W$2:$W$495,(SUMPRODUCT((('CONTROL MASTER'!$S$2:$S$495=2)*('CONTROL MASTER'!$T$2:$T$495&lt;=3)*('CONTROL MASTER'!$V$2:$V$495&gt;=3)*('CONTROL MASTER'!$U$2:$U$495&lt;=8)*('CONTROL MASTER'!$W$2:$W$495&gt;=8))*ROW('CONTROL MASTER'!$S$2:$S$495))-(ROW('CONTROL MASTER'!#REF!)-1)))-INDEX('CONTROL MASTER'!$U$2:$U$495,(SUMPRODUCT((('CONTROL MASTER'!$S$2:$S$495=2)*('CONTROL MASTER'!$T$2:$T$495&lt;=3)*('CONTROL MASTER'!$V$2:$V$495&gt;=3)*('CONTROL MASTER'!$U$2:$U$495&lt;=8)*('CONTROL MASTER'!$W$2:$W$495&gt;=8))*ROW('CONTROL MASTER'!$S$2:$S$495))-(ROW('CONTROL MASTER'!#REF!)-1)))+1)+(8-INDEX('CONTROL MASTER'!$U$2:$U$495,(SUMPRODUCT((('CONTROL MASTER'!$S$2:$S$495=2)*('CONTROL MASTER'!$T$2:$T$495&lt;=3)*('CONTROL MASTER'!$V$2:$V$495&gt;=3)*('CONTROL MASTER'!$U$2:$U$495&lt;=8)*('CONTROL MASTER'!$W$2:$W$495&gt;=8))*ROW('CONTROL MASTER'!$S$2:$S$495))-(ROW('CONTROL MASTER'!#REF!)-1))))+1))-1)*50+1,50))&amp;"_"&amp;INDEX('CONTROL MASTER'!$P$2:$P$495,(SUMPRODUCT((('CONTROL MASTER'!$S$2:$S$495=2)*('CONTROL MASTER'!$T$2:$T$495&lt;=3)*('CONTROL MASTER'!$V$2:$V$495&gt;=3)*('CONTROL MASTER'!$U$2:$U$495&lt;=8)*('CONTROL MASTER'!$W$2:$W$495&gt;=8))*ROW('CONTROL MASTER'!$S$2:$S$495))-(ROW('CONTROL MASTER'!#REF!)-1))),IF(SUMPRODUCT((('CONTROL MASTER'!$S$2:$S$495=2)*('CONTROL MASTER'!$Z$2:$Z$495&lt;=3)*('CONTROL MASTER'!$AB$2:$AB$495&gt;=3)*('CONTROL MASTER'!$AA$2:$AA$495&lt;=8)*('CONTROL MASTER'!$AC$2:$AC$495&gt;=8))*ROW('CONTROL MASTER'!$S$2:$S$495))&gt;0,INDEX('CONTROL MASTER'!$X$2:$X$495,(SUMPRODUCT((('CONTROL MASTER'!$S$2:$S$495=2)*('CONTROL MASTER'!$Z$2:$Z$495&lt;=3)*('CONTROL MASTER'!$AB$2:$AB$495&gt;=3)*('CONTROL MASTER'!$AA$2:$AA$495&lt;=8)*('CONTROL MASTER'!$AC$2:$AC$495&gt;=8))*ROW('CONTROL MASTER'!$S$2:$S$495))-(ROW('CONTROL MASTER'!#REF!)-1)))&amp;TRIM(MID(SUBSTITUTE(SUBSTITUTE(INDEX('CONTROL MASTER'!$N$2:$N$495,(SUMPRODUCT((('CONTROL MASTER'!$S$2:$S$495=2)*('CONTROL MASTER'!$Z$2:$Z$495&lt;=3)*('CONTROL MASTER'!$AB$2:$AB$495&gt;=3)*('CONTROL MASTER'!$AA$2:$AA$495&lt;=8)*('CONTROL MASTER'!$AC$2:$AC$495&gt;=8))*ROW('CONTROL MASTER'!$S$2:$S$495))-(ROW('CONTROL MASTER'!#REF!)-1))),":",","),",",REPT(" ",50)),(((INDEX('CONTROL MASTER'!$Y$2:$Y$495,(SUMPRODUCT((('CONTROL MASTER'!$S$2:$S$495=2)*('CONTROL MASTER'!$Z$2:$Z$495&lt;=3)*('CONTROL MASTER'!$AB$2:$AB$495&gt;=3)*('CONTROL MASTER'!$AA$2:$AA$495&lt;=8)*('CONTROL MASTER'!$AC$2:$AC$495&gt;=8))*ROW('CONTROL MASTER'!$S$2:$S$495))-(ROW('CONTROL MASTER'!#REF!)-1)))+((3-INDEX('CONTROL MASTER'!$Z$2:$Z$495,(SUMPRODUCT((('CONTROL MASTER'!$S$2:$S$495=2)*('CONTROL MASTER'!$Z$2:$Z$495&lt;=3)*('CONTROL MASTER'!$AB$2:$AB$495&gt;=3)*('CONTROL MASTER'!$AA$2:$AA$495&lt;=8)*('CONTROL MASTER'!$AC$2:$AC$495&gt;=8))*ROW('CONTROL MASTER'!$S$2:$S$495))-(ROW('CONTROL MASTER'!#REF!)-1))))*(INDEX('CONTROL MASTER'!$AC$2:$AC$495,(SUMPRODUCT((('CONTROL MASTER'!$S$2:$S$495=2)*('CONTROL MASTER'!$Z$2:$Z$495&lt;=3)*('CONTROL MASTER'!$AB$2:$AB$495&gt;=3)*('CONTROL MASTER'!$AA$2:$AA$495&lt;=8)*('CONTROL MASTER'!$AC$2:$AC$495&gt;=8))*ROW('CONTROL MASTER'!$S$2:$S$495))-(ROW('CONTROL MASTER'!#REF!)-1)))-INDEX('CONTROL MASTER'!$AA$2:$AA$495,(SUMPRODUCT((('CONTROL MASTER'!$S$2:$S$495=2)*('CONTROL MASTER'!$Z$2:$Z$495&lt;=3)*('CONTROL MASTER'!$AB$2:$AB$495&gt;=3)*('CONTROL MASTER'!$AA$2:$AA$495&lt;=8)*('CONTROL MASTER'!$AC$2:$AC$495&gt;=8))*ROW('CONTROL MASTER'!$S$2:$S$495))-(ROW('CONTROL MASTER'!#REF!)-1)))+1)+(8-INDEX('CONTROL MASTER'!$AA$2:$AA$495,(SUMPRODUCT((('CONTROL MASTER'!$S$2:$S$495=2)*('CONTROL MASTER'!$Z$2:$Z$495&lt;=3)*('CONTROL MASTER'!$AB$2:$AB$495&gt;=3)*('CONTROL MASTER'!$AA$2:$AA$495&lt;=8)*('CONTROL MASTER'!$AC$2:$AC$495&gt;=8))*ROW('CONTROL MASTER'!$S$2:$S$495))-(ROW('CONTROL MASTER'!#REF!)-1))))+1)))-1)*50+1,50))&amp;"_"&amp;INDEX('CONTROL MASTER'!$P$2:$P$495,(SUMPRODUCT((('CONTROL MASTER'!$S$2:$S$495=2)*('CONTROL MASTER'!$Z$2:$Z$495&lt;=3)*('CONTROL MASTER'!$AB$2:$AB$495&gt;=3)*('CONTROL MASTER'!$AA$2:$AA$495&lt;=8)*('CONTROL MASTER'!$AC$2:$AC$495&gt;=8))*ROW('CONTROL MASTER'!$S$2:$S$495))-(ROW('CONTROL MASTER'!#REF!)-1))),"")),"")</f>
        <v/>
      </c>
      <c r="J19" s="10" t="str">
        <f>IFERROR(IF(SUMPRODUCT((('CONTROL MASTER'!$S$2:$S$495=2)*('CONTROL MASTER'!$T$2:$T$495&lt;=3)*('CONTROL MASTER'!$V$2:$V$495&gt;=3)*('CONTROL MASTER'!$U$2:$U$495&lt;=9)*('CONTROL MASTER'!$W$2:$W$495&gt;=9))*ROW('CONTROL MASTER'!$S$2:$S$495))&gt;0,INDEX('CONTROL MASTER'!$X$2:$X$495,(SUMPRODUCT((('CONTROL MASTER'!$S$2:$S$495=2)*('CONTROL MASTER'!$T$2:$T$495&lt;=3)*('CONTROL MASTER'!$V$2:$V$495&gt;=3)*('CONTROL MASTER'!$U$2:$U$495&lt;=9)*('CONTROL MASTER'!$W$2:$W$495&gt;=9))*ROW('CONTROL MASTER'!$S$2:$S$495))-(ROW('CONTROL MASTER'!#REF!)-1)))&amp;TRIM(MID(SUBSTITUTE(SUBSTITUTE(INDEX('CONTROL MASTER'!$N$2:$N$495,(SUMPRODUCT((('CONTROL MASTER'!$S$2:$S$495=2)*('CONTROL MASTER'!$T$2:$T$495&lt;=3)*('CONTROL MASTER'!$V$2:$V$495&gt;=3)*('CONTROL MASTER'!$U$2:$U$495&lt;=9)*('CONTROL MASTER'!$W$2:$W$495&gt;=9))*ROW('CONTROL MASTER'!$S$2:$S$495))-(ROW('CONTROL MASTER'!#REF!)-1))),":",","),",",REPT(" ",50)),((((3-INDEX('CONTROL MASTER'!$T$2:$T$495,(SUMPRODUCT((('CONTROL MASTER'!$S$2:$S$495=2)*('CONTROL MASTER'!$T$2:$T$495&lt;=3)*('CONTROL MASTER'!$V$2:$V$495&gt;=3)*('CONTROL MASTER'!$U$2:$U$495&lt;=9)*('CONTROL MASTER'!$W$2:$W$495&gt;=9))*ROW('CONTROL MASTER'!$S$2:$S$495))-(ROW('CONTROL MASTER'!#REF!)-1))))*(INDEX('CONTROL MASTER'!$W$2:$W$495,(SUMPRODUCT((('CONTROL MASTER'!$S$2:$S$495=2)*('CONTROL MASTER'!$T$2:$T$495&lt;=3)*('CONTROL MASTER'!$V$2:$V$495&gt;=3)*('CONTROL MASTER'!$U$2:$U$495&lt;=9)*('CONTROL MASTER'!$W$2:$W$495&gt;=9))*ROW('CONTROL MASTER'!$S$2:$S$495))-(ROW('CONTROL MASTER'!#REF!)-1)))-INDEX('CONTROL MASTER'!$U$2:$U$495,(SUMPRODUCT((('CONTROL MASTER'!$S$2:$S$495=2)*('CONTROL MASTER'!$T$2:$T$495&lt;=3)*('CONTROL MASTER'!$V$2:$V$495&gt;=3)*('CONTROL MASTER'!$U$2:$U$495&lt;=9)*('CONTROL MASTER'!$W$2:$W$495&gt;=9))*ROW('CONTROL MASTER'!$S$2:$S$495))-(ROW('CONTROL MASTER'!#REF!)-1)))+1)+(9-INDEX('CONTROL MASTER'!$U$2:$U$495,(SUMPRODUCT((('CONTROL MASTER'!$S$2:$S$495=2)*('CONTROL MASTER'!$T$2:$T$495&lt;=3)*('CONTROL MASTER'!$V$2:$V$495&gt;=3)*('CONTROL MASTER'!$U$2:$U$495&lt;=9)*('CONTROL MASTER'!$W$2:$W$495&gt;=9))*ROW('CONTROL MASTER'!$S$2:$S$495))-(ROW('CONTROL MASTER'!#REF!)-1))))+1))-1)*50+1,50))&amp;"_"&amp;INDEX('CONTROL MASTER'!$P$2:$P$495,(SUMPRODUCT((('CONTROL MASTER'!$S$2:$S$495=2)*('CONTROL MASTER'!$T$2:$T$495&lt;=3)*('CONTROL MASTER'!$V$2:$V$495&gt;=3)*('CONTROL MASTER'!$U$2:$U$495&lt;=9)*('CONTROL MASTER'!$W$2:$W$495&gt;=9))*ROW('CONTROL MASTER'!$S$2:$S$495))-(ROW('CONTROL MASTER'!#REF!)-1))),IF(SUMPRODUCT((('CONTROL MASTER'!$S$2:$S$495=2)*('CONTROL MASTER'!$Z$2:$Z$495&lt;=3)*('CONTROL MASTER'!$AB$2:$AB$495&gt;=3)*('CONTROL MASTER'!$AA$2:$AA$495&lt;=9)*('CONTROL MASTER'!$AC$2:$AC$495&gt;=9))*ROW('CONTROL MASTER'!$S$2:$S$495))&gt;0,INDEX('CONTROL MASTER'!$X$2:$X$495,(SUMPRODUCT((('CONTROL MASTER'!$S$2:$S$495=2)*('CONTROL MASTER'!$Z$2:$Z$495&lt;=3)*('CONTROL MASTER'!$AB$2:$AB$495&gt;=3)*('CONTROL MASTER'!$AA$2:$AA$495&lt;=9)*('CONTROL MASTER'!$AC$2:$AC$495&gt;=9))*ROW('CONTROL MASTER'!$S$2:$S$495))-(ROW('CONTROL MASTER'!#REF!)-1)))&amp;TRIM(MID(SUBSTITUTE(SUBSTITUTE(INDEX('CONTROL MASTER'!$N$2:$N$495,(SUMPRODUCT((('CONTROL MASTER'!$S$2:$S$495=2)*('CONTROL MASTER'!$Z$2:$Z$495&lt;=3)*('CONTROL MASTER'!$AB$2:$AB$495&gt;=3)*('CONTROL MASTER'!$AA$2:$AA$495&lt;=9)*('CONTROL MASTER'!$AC$2:$AC$495&gt;=9))*ROW('CONTROL MASTER'!$S$2:$S$495))-(ROW('CONTROL MASTER'!#REF!)-1))),":",","),",",REPT(" ",50)),(((INDEX('CONTROL MASTER'!$Y$2:$Y$495,(SUMPRODUCT((('CONTROL MASTER'!$S$2:$S$495=2)*('CONTROL MASTER'!$Z$2:$Z$495&lt;=3)*('CONTROL MASTER'!$AB$2:$AB$495&gt;=3)*('CONTROL MASTER'!$AA$2:$AA$495&lt;=9)*('CONTROL MASTER'!$AC$2:$AC$495&gt;=9))*ROW('CONTROL MASTER'!$S$2:$S$495))-(ROW('CONTROL MASTER'!#REF!)-1)))+((3-INDEX('CONTROL MASTER'!$Z$2:$Z$495,(SUMPRODUCT((('CONTROL MASTER'!$S$2:$S$495=2)*('CONTROL MASTER'!$Z$2:$Z$495&lt;=3)*('CONTROL MASTER'!$AB$2:$AB$495&gt;=3)*('CONTROL MASTER'!$AA$2:$AA$495&lt;=9)*('CONTROL MASTER'!$AC$2:$AC$495&gt;=9))*ROW('CONTROL MASTER'!$S$2:$S$495))-(ROW('CONTROL MASTER'!#REF!)-1))))*(INDEX('CONTROL MASTER'!$AC$2:$AC$495,(SUMPRODUCT((('CONTROL MASTER'!$S$2:$S$495=2)*('CONTROL MASTER'!$Z$2:$Z$495&lt;=3)*('CONTROL MASTER'!$AB$2:$AB$495&gt;=3)*('CONTROL MASTER'!$AA$2:$AA$495&lt;=9)*('CONTROL MASTER'!$AC$2:$AC$495&gt;=9))*ROW('CONTROL MASTER'!$S$2:$S$495))-(ROW('CONTROL MASTER'!#REF!)-1)))-INDEX('CONTROL MASTER'!$AA$2:$AA$495,(SUMPRODUCT((('CONTROL MASTER'!$S$2:$S$495=2)*('CONTROL MASTER'!$Z$2:$Z$495&lt;=3)*('CONTROL MASTER'!$AB$2:$AB$495&gt;=3)*('CONTROL MASTER'!$AA$2:$AA$495&lt;=9)*('CONTROL MASTER'!$AC$2:$AC$495&gt;=9))*ROW('CONTROL MASTER'!$S$2:$S$495))-(ROW('CONTROL MASTER'!#REF!)-1)))+1)+(9-INDEX('CONTROL MASTER'!$AA$2:$AA$495,(SUMPRODUCT((('CONTROL MASTER'!$S$2:$S$495=2)*('CONTROL MASTER'!$Z$2:$Z$495&lt;=3)*('CONTROL MASTER'!$AB$2:$AB$495&gt;=3)*('CONTROL MASTER'!$AA$2:$AA$495&lt;=9)*('CONTROL MASTER'!$AC$2:$AC$495&gt;=9))*ROW('CONTROL MASTER'!$S$2:$S$495))-(ROW('CONTROL MASTER'!#REF!)-1))))+1)))-1)*50+1,50))&amp;"_"&amp;INDEX('CONTROL MASTER'!$P$2:$P$495,(SUMPRODUCT((('CONTROL MASTER'!$S$2:$S$495=2)*('CONTROL MASTER'!$Z$2:$Z$495&lt;=3)*('CONTROL MASTER'!$AB$2:$AB$495&gt;=3)*('CONTROL MASTER'!$AA$2:$AA$495&lt;=9)*('CONTROL MASTER'!$AC$2:$AC$495&gt;=9))*ROW('CONTROL MASTER'!$S$2:$S$495))-(ROW('CONTROL MASTER'!#REF!)-1))),"")),"")</f>
        <v/>
      </c>
      <c r="K19" s="10" t="str">
        <f>IFERROR(IF(SUMPRODUCT((('CONTROL MASTER'!$S$2:$S$495=2)*('CONTROL MASTER'!$T$2:$T$495&lt;=3)*('CONTROL MASTER'!$V$2:$V$495&gt;=3)*('CONTROL MASTER'!$U$2:$U$495&lt;=10)*('CONTROL MASTER'!$W$2:$W$495&gt;=10))*ROW('CONTROL MASTER'!$S$2:$S$495))&gt;0,INDEX('CONTROL MASTER'!$X$2:$X$495,(SUMPRODUCT((('CONTROL MASTER'!$S$2:$S$495=2)*('CONTROL MASTER'!$T$2:$T$495&lt;=3)*('CONTROL MASTER'!$V$2:$V$495&gt;=3)*('CONTROL MASTER'!$U$2:$U$495&lt;=10)*('CONTROL MASTER'!$W$2:$W$495&gt;=10))*ROW('CONTROL MASTER'!$S$2:$S$495))-(ROW('CONTROL MASTER'!#REF!)-1)))&amp;TRIM(MID(SUBSTITUTE(SUBSTITUTE(INDEX('CONTROL MASTER'!$N$2:$N$495,(SUMPRODUCT((('CONTROL MASTER'!$S$2:$S$495=2)*('CONTROL MASTER'!$T$2:$T$495&lt;=3)*('CONTROL MASTER'!$V$2:$V$495&gt;=3)*('CONTROL MASTER'!$U$2:$U$495&lt;=10)*('CONTROL MASTER'!$W$2:$W$495&gt;=10))*ROW('CONTROL MASTER'!$S$2:$S$495))-(ROW('CONTROL MASTER'!#REF!)-1))),":",","),",",REPT(" ",50)),((((3-INDEX('CONTROL MASTER'!$T$2:$T$495,(SUMPRODUCT((('CONTROL MASTER'!$S$2:$S$495=2)*('CONTROL MASTER'!$T$2:$T$495&lt;=3)*('CONTROL MASTER'!$V$2:$V$495&gt;=3)*('CONTROL MASTER'!$U$2:$U$495&lt;=10)*('CONTROL MASTER'!$W$2:$W$495&gt;=10))*ROW('CONTROL MASTER'!$S$2:$S$495))-(ROW('CONTROL MASTER'!#REF!)-1))))*(INDEX('CONTROL MASTER'!$W$2:$W$495,(SUMPRODUCT((('CONTROL MASTER'!$S$2:$S$495=2)*('CONTROL MASTER'!$T$2:$T$495&lt;=3)*('CONTROL MASTER'!$V$2:$V$495&gt;=3)*('CONTROL MASTER'!$U$2:$U$495&lt;=10)*('CONTROL MASTER'!$W$2:$W$495&gt;=10))*ROW('CONTROL MASTER'!$S$2:$S$495))-(ROW('CONTROL MASTER'!#REF!)-1)))-INDEX('CONTROL MASTER'!$U$2:$U$495,(SUMPRODUCT((('CONTROL MASTER'!$S$2:$S$495=2)*('CONTROL MASTER'!$T$2:$T$495&lt;=3)*('CONTROL MASTER'!$V$2:$V$495&gt;=3)*('CONTROL MASTER'!$U$2:$U$495&lt;=10)*('CONTROL MASTER'!$W$2:$W$495&gt;=10))*ROW('CONTROL MASTER'!$S$2:$S$495))-(ROW('CONTROL MASTER'!#REF!)-1)))+1)+(10-INDEX('CONTROL MASTER'!$U$2:$U$495,(SUMPRODUCT((('CONTROL MASTER'!$S$2:$S$495=2)*('CONTROL MASTER'!$T$2:$T$495&lt;=3)*('CONTROL MASTER'!$V$2:$V$495&gt;=3)*('CONTROL MASTER'!$U$2:$U$495&lt;=10)*('CONTROL MASTER'!$W$2:$W$495&gt;=10))*ROW('CONTROL MASTER'!$S$2:$S$495))-(ROW('CONTROL MASTER'!#REF!)-1))))+1))-1)*50+1,50))&amp;"_"&amp;INDEX('CONTROL MASTER'!$P$2:$P$495,(SUMPRODUCT((('CONTROL MASTER'!$S$2:$S$495=2)*('CONTROL MASTER'!$T$2:$T$495&lt;=3)*('CONTROL MASTER'!$V$2:$V$495&gt;=3)*('CONTROL MASTER'!$U$2:$U$495&lt;=10)*('CONTROL MASTER'!$W$2:$W$495&gt;=10))*ROW('CONTROL MASTER'!$S$2:$S$495))-(ROW('CONTROL MASTER'!#REF!)-1))),IF(SUMPRODUCT((('CONTROL MASTER'!$S$2:$S$495=2)*('CONTROL MASTER'!$Z$2:$Z$495&lt;=3)*('CONTROL MASTER'!$AB$2:$AB$495&gt;=3)*('CONTROL MASTER'!$AA$2:$AA$495&lt;=10)*('CONTROL MASTER'!$AC$2:$AC$495&gt;=10))*ROW('CONTROL MASTER'!$S$2:$S$495))&gt;0,INDEX('CONTROL MASTER'!$X$2:$X$495,(SUMPRODUCT((('CONTROL MASTER'!$S$2:$S$495=2)*('CONTROL MASTER'!$Z$2:$Z$495&lt;=3)*('CONTROL MASTER'!$AB$2:$AB$495&gt;=3)*('CONTROL MASTER'!$AA$2:$AA$495&lt;=10)*('CONTROL MASTER'!$AC$2:$AC$495&gt;=10))*ROW('CONTROL MASTER'!$S$2:$S$495))-(ROW('CONTROL MASTER'!#REF!)-1)))&amp;TRIM(MID(SUBSTITUTE(SUBSTITUTE(INDEX('CONTROL MASTER'!$N$2:$N$495,(SUMPRODUCT((('CONTROL MASTER'!$S$2:$S$495=2)*('CONTROL MASTER'!$Z$2:$Z$495&lt;=3)*('CONTROL MASTER'!$AB$2:$AB$495&gt;=3)*('CONTROL MASTER'!$AA$2:$AA$495&lt;=10)*('CONTROL MASTER'!$AC$2:$AC$495&gt;=10))*ROW('CONTROL MASTER'!$S$2:$S$495))-(ROW('CONTROL MASTER'!#REF!)-1))),":",","),",",REPT(" ",50)),(((INDEX('CONTROL MASTER'!$Y$2:$Y$495,(SUMPRODUCT((('CONTROL MASTER'!$S$2:$S$495=2)*('CONTROL MASTER'!$Z$2:$Z$495&lt;=3)*('CONTROL MASTER'!$AB$2:$AB$495&gt;=3)*('CONTROL MASTER'!$AA$2:$AA$495&lt;=10)*('CONTROL MASTER'!$AC$2:$AC$495&gt;=10))*ROW('CONTROL MASTER'!$S$2:$S$495))-(ROW('CONTROL MASTER'!#REF!)-1)))+((3-INDEX('CONTROL MASTER'!$Z$2:$Z$495,(SUMPRODUCT((('CONTROL MASTER'!$S$2:$S$495=2)*('CONTROL MASTER'!$Z$2:$Z$495&lt;=3)*('CONTROL MASTER'!$AB$2:$AB$495&gt;=3)*('CONTROL MASTER'!$AA$2:$AA$495&lt;=10)*('CONTROL MASTER'!$AC$2:$AC$495&gt;=10))*ROW('CONTROL MASTER'!$S$2:$S$495))-(ROW('CONTROL MASTER'!#REF!)-1))))*(INDEX('CONTROL MASTER'!$AC$2:$AC$495,(SUMPRODUCT((('CONTROL MASTER'!$S$2:$S$495=2)*('CONTROL MASTER'!$Z$2:$Z$495&lt;=3)*('CONTROL MASTER'!$AB$2:$AB$495&gt;=3)*('CONTROL MASTER'!$AA$2:$AA$495&lt;=10)*('CONTROL MASTER'!$AC$2:$AC$495&gt;=10))*ROW('CONTROL MASTER'!$S$2:$S$495))-(ROW('CONTROL MASTER'!#REF!)-1)))-INDEX('CONTROL MASTER'!$AA$2:$AA$495,(SUMPRODUCT((('CONTROL MASTER'!$S$2:$S$495=2)*('CONTROL MASTER'!$Z$2:$Z$495&lt;=3)*('CONTROL MASTER'!$AB$2:$AB$495&gt;=3)*('CONTROL MASTER'!$AA$2:$AA$495&lt;=10)*('CONTROL MASTER'!$AC$2:$AC$495&gt;=10))*ROW('CONTROL MASTER'!$S$2:$S$495))-(ROW('CONTROL MASTER'!#REF!)-1)))+1)+(10-INDEX('CONTROL MASTER'!$AA$2:$AA$495,(SUMPRODUCT((('CONTROL MASTER'!$S$2:$S$495=2)*('CONTROL MASTER'!$Z$2:$Z$495&lt;=3)*('CONTROL MASTER'!$AB$2:$AB$495&gt;=3)*('CONTROL MASTER'!$AA$2:$AA$495&lt;=10)*('CONTROL MASTER'!$AC$2:$AC$495&gt;=10))*ROW('CONTROL MASTER'!$S$2:$S$495))-(ROW('CONTROL MASTER'!#REF!)-1))))+1)))-1)*50+1,50))&amp;"_"&amp;INDEX('CONTROL MASTER'!$P$2:$P$495,(SUMPRODUCT((('CONTROL MASTER'!$S$2:$S$495=2)*('CONTROL MASTER'!$Z$2:$Z$495&lt;=3)*('CONTROL MASTER'!$AB$2:$AB$495&gt;=3)*('CONTROL MASTER'!$AA$2:$AA$495&lt;=10)*('CONTROL MASTER'!$AC$2:$AC$495&gt;=10))*ROW('CONTROL MASTER'!$S$2:$S$495))-(ROW('CONTROL MASTER'!#REF!)-1))),"")),"")</f>
        <v/>
      </c>
    </row>
    <row r="20" spans="1:11" ht="15" customHeight="1" x14ac:dyDescent="0.35">
      <c r="A20" s="8" t="s">
        <v>31</v>
      </c>
      <c r="B20" s="10" t="str">
        <f>IFERROR(IF(SUMPRODUCT((('CONTROL MASTER'!$S$2:$S$495=2)*('CONTROL MASTER'!$T$2:$T$495&lt;=4)*('CONTROL MASTER'!$V$2:$V$495&gt;=4)*('CONTROL MASTER'!$U$2:$U$495&lt;=1)*('CONTROL MASTER'!$W$2:$W$495&gt;=1))*ROW('CONTROL MASTER'!$S$2:$S$495))&gt;0,INDEX('CONTROL MASTER'!$X$2:$X$495,(SUMPRODUCT((('CONTROL MASTER'!$S$2:$S$495=2)*('CONTROL MASTER'!$T$2:$T$495&lt;=4)*('CONTROL MASTER'!$V$2:$V$495&gt;=4)*('CONTROL MASTER'!$U$2:$U$495&lt;=1)*('CONTROL MASTER'!$W$2:$W$495&gt;=1))*ROW('CONTROL MASTER'!$S$2:$S$495))-(ROW('CONTROL MASTER'!#REF!)-1)))&amp;TRIM(MID(SUBSTITUTE(SUBSTITUTE(INDEX('CONTROL MASTER'!$N$2:$N$495,(SUMPRODUCT((('CONTROL MASTER'!$S$2:$S$495=2)*('CONTROL MASTER'!$T$2:$T$495&lt;=4)*('CONTROL MASTER'!$V$2:$V$495&gt;=4)*('CONTROL MASTER'!$U$2:$U$495&lt;=1)*('CONTROL MASTER'!$W$2:$W$495&gt;=1))*ROW('CONTROL MASTER'!$S$2:$S$495))-(ROW('CONTROL MASTER'!#REF!)-1))),":",","),",",REPT(" ",50)),((((4-INDEX('CONTROL MASTER'!$T$2:$T$495,(SUMPRODUCT((('CONTROL MASTER'!$S$2:$S$495=2)*('CONTROL MASTER'!$T$2:$T$495&lt;=4)*('CONTROL MASTER'!$V$2:$V$495&gt;=4)*('CONTROL MASTER'!$U$2:$U$495&lt;=1)*('CONTROL MASTER'!$W$2:$W$495&gt;=1))*ROW('CONTROL MASTER'!$S$2:$S$495))-(ROW('CONTROL MASTER'!#REF!)-1))))*(INDEX('CONTROL MASTER'!$W$2:$W$495,(SUMPRODUCT((('CONTROL MASTER'!$S$2:$S$495=2)*('CONTROL MASTER'!$T$2:$T$495&lt;=4)*('CONTROL MASTER'!$V$2:$V$495&gt;=4)*('CONTROL MASTER'!$U$2:$U$495&lt;=1)*('CONTROL MASTER'!$W$2:$W$495&gt;=1))*ROW('CONTROL MASTER'!$S$2:$S$495))-(ROW('CONTROL MASTER'!#REF!)-1)))-INDEX('CONTROL MASTER'!$U$2:$U$495,(SUMPRODUCT((('CONTROL MASTER'!$S$2:$S$495=2)*('CONTROL MASTER'!$T$2:$T$495&lt;=4)*('CONTROL MASTER'!$V$2:$V$495&gt;=4)*('CONTROL MASTER'!$U$2:$U$495&lt;=1)*('CONTROL MASTER'!$W$2:$W$495&gt;=1))*ROW('CONTROL MASTER'!$S$2:$S$495))-(ROW('CONTROL MASTER'!#REF!)-1)))+1)+(1-INDEX('CONTROL MASTER'!$U$2:$U$495,(SUMPRODUCT((('CONTROL MASTER'!$S$2:$S$495=2)*('CONTROL MASTER'!$T$2:$T$495&lt;=4)*('CONTROL MASTER'!$V$2:$V$495&gt;=4)*('CONTROL MASTER'!$U$2:$U$495&lt;=1)*('CONTROL MASTER'!$W$2:$W$495&gt;=1))*ROW('CONTROL MASTER'!$S$2:$S$495))-(ROW('CONTROL MASTER'!#REF!)-1))))+1))-1)*50+1,50))&amp;"_"&amp;INDEX('CONTROL MASTER'!$P$2:$P$495,(SUMPRODUCT((('CONTROL MASTER'!$S$2:$S$495=2)*('CONTROL MASTER'!$T$2:$T$495&lt;=4)*('CONTROL MASTER'!$V$2:$V$495&gt;=4)*('CONTROL MASTER'!$U$2:$U$495&lt;=1)*('CONTROL MASTER'!$W$2:$W$495&gt;=1))*ROW('CONTROL MASTER'!$S$2:$S$495))-(ROW('CONTROL MASTER'!#REF!)-1))),IF(SUMPRODUCT((('CONTROL MASTER'!$S$2:$S$495=2)*('CONTROL MASTER'!$Z$2:$Z$495&lt;=4)*('CONTROL MASTER'!$AB$2:$AB$495&gt;=4)*('CONTROL MASTER'!$AA$2:$AA$495&lt;=1)*('CONTROL MASTER'!$AC$2:$AC$495&gt;=1))*ROW('CONTROL MASTER'!$S$2:$S$495))&gt;0,INDEX('CONTROL MASTER'!$X$2:$X$495,(SUMPRODUCT((('CONTROL MASTER'!$S$2:$S$495=2)*('CONTROL MASTER'!$Z$2:$Z$495&lt;=4)*('CONTROL MASTER'!$AB$2:$AB$495&gt;=4)*('CONTROL MASTER'!$AA$2:$AA$495&lt;=1)*('CONTROL MASTER'!$AC$2:$AC$495&gt;=1))*ROW('CONTROL MASTER'!$S$2:$S$495))-(ROW('CONTROL MASTER'!#REF!)-1)))&amp;TRIM(MID(SUBSTITUTE(SUBSTITUTE(INDEX('CONTROL MASTER'!$N$2:$N$495,(SUMPRODUCT((('CONTROL MASTER'!$S$2:$S$495=2)*('CONTROL MASTER'!$Z$2:$Z$495&lt;=4)*('CONTROL MASTER'!$AB$2:$AB$495&gt;=4)*('CONTROL MASTER'!$AA$2:$AA$495&lt;=1)*('CONTROL MASTER'!$AC$2:$AC$495&gt;=1))*ROW('CONTROL MASTER'!$S$2:$S$495))-(ROW('CONTROL MASTER'!#REF!)-1))),":",","),",",REPT(" ",50)),(((INDEX('CONTROL MASTER'!$Y$2:$Y$495,(SUMPRODUCT((('CONTROL MASTER'!$S$2:$S$495=2)*('CONTROL MASTER'!$Z$2:$Z$495&lt;=4)*('CONTROL MASTER'!$AB$2:$AB$495&gt;=4)*('CONTROL MASTER'!$AA$2:$AA$495&lt;=1)*('CONTROL MASTER'!$AC$2:$AC$495&gt;=1))*ROW('CONTROL MASTER'!$S$2:$S$495))-(ROW('CONTROL MASTER'!#REF!)-1)))+((4-INDEX('CONTROL MASTER'!$Z$2:$Z$495,(SUMPRODUCT((('CONTROL MASTER'!$S$2:$S$495=2)*('CONTROL MASTER'!$Z$2:$Z$495&lt;=4)*('CONTROL MASTER'!$AB$2:$AB$495&gt;=4)*('CONTROL MASTER'!$AA$2:$AA$495&lt;=1)*('CONTROL MASTER'!$AC$2:$AC$495&gt;=1))*ROW('CONTROL MASTER'!$S$2:$S$495))-(ROW('CONTROL MASTER'!#REF!)-1))))*(INDEX('CONTROL MASTER'!$AC$2:$AC$495,(SUMPRODUCT((('CONTROL MASTER'!$S$2:$S$495=2)*('CONTROL MASTER'!$Z$2:$Z$495&lt;=4)*('CONTROL MASTER'!$AB$2:$AB$495&gt;=4)*('CONTROL MASTER'!$AA$2:$AA$495&lt;=1)*('CONTROL MASTER'!$AC$2:$AC$495&gt;=1))*ROW('CONTROL MASTER'!$S$2:$S$495))-(ROW('CONTROL MASTER'!#REF!)-1)))-INDEX('CONTROL MASTER'!$AA$2:$AA$495,(SUMPRODUCT((('CONTROL MASTER'!$S$2:$S$495=2)*('CONTROL MASTER'!$Z$2:$Z$495&lt;=4)*('CONTROL MASTER'!$AB$2:$AB$495&gt;=4)*('CONTROL MASTER'!$AA$2:$AA$495&lt;=1)*('CONTROL MASTER'!$AC$2:$AC$495&gt;=1))*ROW('CONTROL MASTER'!$S$2:$S$495))-(ROW('CONTROL MASTER'!#REF!)-1)))+1)+(1-INDEX('CONTROL MASTER'!$AA$2:$AA$495,(SUMPRODUCT((('CONTROL MASTER'!$S$2:$S$495=2)*('CONTROL MASTER'!$Z$2:$Z$495&lt;=4)*('CONTROL MASTER'!$AB$2:$AB$495&gt;=4)*('CONTROL MASTER'!$AA$2:$AA$495&lt;=1)*('CONTROL MASTER'!$AC$2:$AC$495&gt;=1))*ROW('CONTROL MASTER'!$S$2:$S$495))-(ROW('CONTROL MASTER'!#REF!)-1))))+1)))-1)*50+1,50))&amp;"_"&amp;INDEX('CONTROL MASTER'!$P$2:$P$495,(SUMPRODUCT((('CONTROL MASTER'!$S$2:$S$495=2)*('CONTROL MASTER'!$Z$2:$Z$495&lt;=4)*('CONTROL MASTER'!$AB$2:$AB$495&gt;=4)*('CONTROL MASTER'!$AA$2:$AA$495&lt;=1)*('CONTROL MASTER'!$AC$2:$AC$495&gt;=1))*ROW('CONTROL MASTER'!$S$2:$S$495))-(ROW('CONTROL MASTER'!#REF!)-1))),"")),"")</f>
        <v/>
      </c>
      <c r="C20" s="10" t="str">
        <f>IFERROR(IF(SUMPRODUCT((('CONTROL MASTER'!$S$2:$S$495=2)*('CONTROL MASTER'!$T$2:$T$495&lt;=4)*('CONTROL MASTER'!$V$2:$V$495&gt;=4)*('CONTROL MASTER'!$U$2:$U$495&lt;=2)*('CONTROL MASTER'!$W$2:$W$495&gt;=2))*ROW('CONTROL MASTER'!$S$2:$S$495))&gt;0,INDEX('CONTROL MASTER'!$X$2:$X$495,(SUMPRODUCT((('CONTROL MASTER'!$S$2:$S$495=2)*('CONTROL MASTER'!$T$2:$T$495&lt;=4)*('CONTROL MASTER'!$V$2:$V$495&gt;=4)*('CONTROL MASTER'!$U$2:$U$495&lt;=2)*('CONTROL MASTER'!$W$2:$W$495&gt;=2))*ROW('CONTROL MASTER'!$S$2:$S$495))-(ROW('CONTROL MASTER'!#REF!)-1)))&amp;TRIM(MID(SUBSTITUTE(SUBSTITUTE(INDEX('CONTROL MASTER'!$N$2:$N$495,(SUMPRODUCT((('CONTROL MASTER'!$S$2:$S$495=2)*('CONTROL MASTER'!$T$2:$T$495&lt;=4)*('CONTROL MASTER'!$V$2:$V$495&gt;=4)*('CONTROL MASTER'!$U$2:$U$495&lt;=2)*('CONTROL MASTER'!$W$2:$W$495&gt;=2))*ROW('CONTROL MASTER'!$S$2:$S$495))-(ROW('CONTROL MASTER'!#REF!)-1))),":",","),",",REPT(" ",50)),((((4-INDEX('CONTROL MASTER'!$T$2:$T$495,(SUMPRODUCT((('CONTROL MASTER'!$S$2:$S$495=2)*('CONTROL MASTER'!$T$2:$T$495&lt;=4)*('CONTROL MASTER'!$V$2:$V$495&gt;=4)*('CONTROL MASTER'!$U$2:$U$495&lt;=2)*('CONTROL MASTER'!$W$2:$W$495&gt;=2))*ROW('CONTROL MASTER'!$S$2:$S$495))-(ROW('CONTROL MASTER'!#REF!)-1))))*(INDEX('CONTROL MASTER'!$W$2:$W$495,(SUMPRODUCT((('CONTROL MASTER'!$S$2:$S$495=2)*('CONTROL MASTER'!$T$2:$T$495&lt;=4)*('CONTROL MASTER'!$V$2:$V$495&gt;=4)*('CONTROL MASTER'!$U$2:$U$495&lt;=2)*('CONTROL MASTER'!$W$2:$W$495&gt;=2))*ROW('CONTROL MASTER'!$S$2:$S$495))-(ROW('CONTROL MASTER'!#REF!)-1)))-INDEX('CONTROL MASTER'!$U$2:$U$495,(SUMPRODUCT((('CONTROL MASTER'!$S$2:$S$495=2)*('CONTROL MASTER'!$T$2:$T$495&lt;=4)*('CONTROL MASTER'!$V$2:$V$495&gt;=4)*('CONTROL MASTER'!$U$2:$U$495&lt;=2)*('CONTROL MASTER'!$W$2:$W$495&gt;=2))*ROW('CONTROL MASTER'!$S$2:$S$495))-(ROW('CONTROL MASTER'!#REF!)-1)))+1)+(2-INDEX('CONTROL MASTER'!$U$2:$U$495,(SUMPRODUCT((('CONTROL MASTER'!$S$2:$S$495=2)*('CONTROL MASTER'!$T$2:$T$495&lt;=4)*('CONTROL MASTER'!$V$2:$V$495&gt;=4)*('CONTROL MASTER'!$U$2:$U$495&lt;=2)*('CONTROL MASTER'!$W$2:$W$495&gt;=2))*ROW('CONTROL MASTER'!$S$2:$S$495))-(ROW('CONTROL MASTER'!#REF!)-1))))+1))-1)*50+1,50))&amp;"_"&amp;INDEX('CONTROL MASTER'!$P$2:$P$495,(SUMPRODUCT((('CONTROL MASTER'!$S$2:$S$495=2)*('CONTROL MASTER'!$T$2:$T$495&lt;=4)*('CONTROL MASTER'!$V$2:$V$495&gt;=4)*('CONTROL MASTER'!$U$2:$U$495&lt;=2)*('CONTROL MASTER'!$W$2:$W$495&gt;=2))*ROW('CONTROL MASTER'!$S$2:$S$495))-(ROW('CONTROL MASTER'!#REF!)-1))),IF(SUMPRODUCT((('CONTROL MASTER'!$S$2:$S$495=2)*('CONTROL MASTER'!$Z$2:$Z$495&lt;=4)*('CONTROL MASTER'!$AB$2:$AB$495&gt;=4)*('CONTROL MASTER'!$AA$2:$AA$495&lt;=2)*('CONTROL MASTER'!$AC$2:$AC$495&gt;=2))*ROW('CONTROL MASTER'!$S$2:$S$495))&gt;0,INDEX('CONTROL MASTER'!$X$2:$X$495,(SUMPRODUCT((('CONTROL MASTER'!$S$2:$S$495=2)*('CONTROL MASTER'!$Z$2:$Z$495&lt;=4)*('CONTROL MASTER'!$AB$2:$AB$495&gt;=4)*('CONTROL MASTER'!$AA$2:$AA$495&lt;=2)*('CONTROL MASTER'!$AC$2:$AC$495&gt;=2))*ROW('CONTROL MASTER'!$S$2:$S$495))-(ROW('CONTROL MASTER'!#REF!)-1)))&amp;TRIM(MID(SUBSTITUTE(SUBSTITUTE(INDEX('CONTROL MASTER'!$N$2:$N$495,(SUMPRODUCT((('CONTROL MASTER'!$S$2:$S$495=2)*('CONTROL MASTER'!$Z$2:$Z$495&lt;=4)*('CONTROL MASTER'!$AB$2:$AB$495&gt;=4)*('CONTROL MASTER'!$AA$2:$AA$495&lt;=2)*('CONTROL MASTER'!$AC$2:$AC$495&gt;=2))*ROW('CONTROL MASTER'!$S$2:$S$495))-(ROW('CONTROL MASTER'!#REF!)-1))),":",","),",",REPT(" ",50)),(((INDEX('CONTROL MASTER'!$Y$2:$Y$495,(SUMPRODUCT((('CONTROL MASTER'!$S$2:$S$495=2)*('CONTROL MASTER'!$Z$2:$Z$495&lt;=4)*('CONTROL MASTER'!$AB$2:$AB$495&gt;=4)*('CONTROL MASTER'!$AA$2:$AA$495&lt;=2)*('CONTROL MASTER'!$AC$2:$AC$495&gt;=2))*ROW('CONTROL MASTER'!$S$2:$S$495))-(ROW('CONTROL MASTER'!#REF!)-1)))+((4-INDEX('CONTROL MASTER'!$Z$2:$Z$495,(SUMPRODUCT((('CONTROL MASTER'!$S$2:$S$495=2)*('CONTROL MASTER'!$Z$2:$Z$495&lt;=4)*('CONTROL MASTER'!$AB$2:$AB$495&gt;=4)*('CONTROL MASTER'!$AA$2:$AA$495&lt;=2)*('CONTROL MASTER'!$AC$2:$AC$495&gt;=2))*ROW('CONTROL MASTER'!$S$2:$S$495))-(ROW('CONTROL MASTER'!#REF!)-1))))*(INDEX('CONTROL MASTER'!$AC$2:$AC$495,(SUMPRODUCT((('CONTROL MASTER'!$S$2:$S$495=2)*('CONTROL MASTER'!$Z$2:$Z$495&lt;=4)*('CONTROL MASTER'!$AB$2:$AB$495&gt;=4)*('CONTROL MASTER'!$AA$2:$AA$495&lt;=2)*('CONTROL MASTER'!$AC$2:$AC$495&gt;=2))*ROW('CONTROL MASTER'!$S$2:$S$495))-(ROW('CONTROL MASTER'!#REF!)-1)))-INDEX('CONTROL MASTER'!$AA$2:$AA$495,(SUMPRODUCT((('CONTROL MASTER'!$S$2:$S$495=2)*('CONTROL MASTER'!$Z$2:$Z$495&lt;=4)*('CONTROL MASTER'!$AB$2:$AB$495&gt;=4)*('CONTROL MASTER'!$AA$2:$AA$495&lt;=2)*('CONTROL MASTER'!$AC$2:$AC$495&gt;=2))*ROW('CONTROL MASTER'!$S$2:$S$495))-(ROW('CONTROL MASTER'!#REF!)-1)))+1)+(2-INDEX('CONTROL MASTER'!$AA$2:$AA$495,(SUMPRODUCT((('CONTROL MASTER'!$S$2:$S$495=2)*('CONTROL MASTER'!$Z$2:$Z$495&lt;=4)*('CONTROL MASTER'!$AB$2:$AB$495&gt;=4)*('CONTROL MASTER'!$AA$2:$AA$495&lt;=2)*('CONTROL MASTER'!$AC$2:$AC$495&gt;=2))*ROW('CONTROL MASTER'!$S$2:$S$495))-(ROW('CONTROL MASTER'!#REF!)-1))))+1)))-1)*50+1,50))&amp;"_"&amp;INDEX('CONTROL MASTER'!$P$2:$P$495,(SUMPRODUCT((('CONTROL MASTER'!$S$2:$S$495=2)*('CONTROL MASTER'!$Z$2:$Z$495&lt;=4)*('CONTROL MASTER'!$AB$2:$AB$495&gt;=4)*('CONTROL MASTER'!$AA$2:$AA$495&lt;=2)*('CONTROL MASTER'!$AC$2:$AC$495&gt;=2))*ROW('CONTROL MASTER'!$S$2:$S$495))-(ROW('CONTROL MASTER'!#REF!)-1))),"")),"")</f>
        <v/>
      </c>
      <c r="D20" s="10" t="str">
        <f>IFERROR(IF(SUMPRODUCT((('CONTROL MASTER'!$S$2:$S$495=2)*('CONTROL MASTER'!$T$2:$T$495&lt;=4)*('CONTROL MASTER'!$V$2:$V$495&gt;=4)*('CONTROL MASTER'!$U$2:$U$495&lt;=3)*('CONTROL MASTER'!$W$2:$W$495&gt;=3))*ROW('CONTROL MASTER'!$S$2:$S$495))&gt;0,INDEX('CONTROL MASTER'!$X$2:$X$495,(SUMPRODUCT((('CONTROL MASTER'!$S$2:$S$495=2)*('CONTROL MASTER'!$T$2:$T$495&lt;=4)*('CONTROL MASTER'!$V$2:$V$495&gt;=4)*('CONTROL MASTER'!$U$2:$U$495&lt;=3)*('CONTROL MASTER'!$W$2:$W$495&gt;=3))*ROW('CONTROL MASTER'!$S$2:$S$495))-(ROW('CONTROL MASTER'!#REF!)-1)))&amp;TRIM(MID(SUBSTITUTE(SUBSTITUTE(INDEX('CONTROL MASTER'!$N$2:$N$495,(SUMPRODUCT((('CONTROL MASTER'!$S$2:$S$495=2)*('CONTROL MASTER'!$T$2:$T$495&lt;=4)*('CONTROL MASTER'!$V$2:$V$495&gt;=4)*('CONTROL MASTER'!$U$2:$U$495&lt;=3)*('CONTROL MASTER'!$W$2:$W$495&gt;=3))*ROW('CONTROL MASTER'!$S$2:$S$495))-(ROW('CONTROL MASTER'!#REF!)-1))),":",","),",",REPT(" ",50)),((((4-INDEX('CONTROL MASTER'!$T$2:$T$495,(SUMPRODUCT((('CONTROL MASTER'!$S$2:$S$495=2)*('CONTROL MASTER'!$T$2:$T$495&lt;=4)*('CONTROL MASTER'!$V$2:$V$495&gt;=4)*('CONTROL MASTER'!$U$2:$U$495&lt;=3)*('CONTROL MASTER'!$W$2:$W$495&gt;=3))*ROW('CONTROL MASTER'!$S$2:$S$495))-(ROW('CONTROL MASTER'!#REF!)-1))))*(INDEX('CONTROL MASTER'!$W$2:$W$495,(SUMPRODUCT((('CONTROL MASTER'!$S$2:$S$495=2)*('CONTROL MASTER'!$T$2:$T$495&lt;=4)*('CONTROL MASTER'!$V$2:$V$495&gt;=4)*('CONTROL MASTER'!$U$2:$U$495&lt;=3)*('CONTROL MASTER'!$W$2:$W$495&gt;=3))*ROW('CONTROL MASTER'!$S$2:$S$495))-(ROW('CONTROL MASTER'!#REF!)-1)))-INDEX('CONTROL MASTER'!$U$2:$U$495,(SUMPRODUCT((('CONTROL MASTER'!$S$2:$S$495=2)*('CONTROL MASTER'!$T$2:$T$495&lt;=4)*('CONTROL MASTER'!$V$2:$V$495&gt;=4)*('CONTROL MASTER'!$U$2:$U$495&lt;=3)*('CONTROL MASTER'!$W$2:$W$495&gt;=3))*ROW('CONTROL MASTER'!$S$2:$S$495))-(ROW('CONTROL MASTER'!#REF!)-1)))+1)+(3-INDEX('CONTROL MASTER'!$U$2:$U$495,(SUMPRODUCT((('CONTROL MASTER'!$S$2:$S$495=2)*('CONTROL MASTER'!$T$2:$T$495&lt;=4)*('CONTROL MASTER'!$V$2:$V$495&gt;=4)*('CONTROL MASTER'!$U$2:$U$495&lt;=3)*('CONTROL MASTER'!$W$2:$W$495&gt;=3))*ROW('CONTROL MASTER'!$S$2:$S$495))-(ROW('CONTROL MASTER'!#REF!)-1))))+1))-1)*50+1,50))&amp;"_"&amp;INDEX('CONTROL MASTER'!$P$2:$P$495,(SUMPRODUCT((('CONTROL MASTER'!$S$2:$S$495=2)*('CONTROL MASTER'!$T$2:$T$495&lt;=4)*('CONTROL MASTER'!$V$2:$V$495&gt;=4)*('CONTROL MASTER'!$U$2:$U$495&lt;=3)*('CONTROL MASTER'!$W$2:$W$495&gt;=3))*ROW('CONTROL MASTER'!$S$2:$S$495))-(ROW('CONTROL MASTER'!#REF!)-1))),IF(SUMPRODUCT((('CONTROL MASTER'!$S$2:$S$495=2)*('CONTROL MASTER'!$Z$2:$Z$495&lt;=4)*('CONTROL MASTER'!$AB$2:$AB$495&gt;=4)*('CONTROL MASTER'!$AA$2:$AA$495&lt;=3)*('CONTROL MASTER'!$AC$2:$AC$495&gt;=3))*ROW('CONTROL MASTER'!$S$2:$S$495))&gt;0,INDEX('CONTROL MASTER'!$X$2:$X$495,(SUMPRODUCT((('CONTROL MASTER'!$S$2:$S$495=2)*('CONTROL MASTER'!$Z$2:$Z$495&lt;=4)*('CONTROL MASTER'!$AB$2:$AB$495&gt;=4)*('CONTROL MASTER'!$AA$2:$AA$495&lt;=3)*('CONTROL MASTER'!$AC$2:$AC$495&gt;=3))*ROW('CONTROL MASTER'!$S$2:$S$495))-(ROW('CONTROL MASTER'!#REF!)-1)))&amp;TRIM(MID(SUBSTITUTE(SUBSTITUTE(INDEX('CONTROL MASTER'!$N$2:$N$495,(SUMPRODUCT((('CONTROL MASTER'!$S$2:$S$495=2)*('CONTROL MASTER'!$Z$2:$Z$495&lt;=4)*('CONTROL MASTER'!$AB$2:$AB$495&gt;=4)*('CONTROL MASTER'!$AA$2:$AA$495&lt;=3)*('CONTROL MASTER'!$AC$2:$AC$495&gt;=3))*ROW('CONTROL MASTER'!$S$2:$S$495))-(ROW('CONTROL MASTER'!#REF!)-1))),":",","),",",REPT(" ",50)),(((INDEX('CONTROL MASTER'!$Y$2:$Y$495,(SUMPRODUCT((('CONTROL MASTER'!$S$2:$S$495=2)*('CONTROL MASTER'!$Z$2:$Z$495&lt;=4)*('CONTROL MASTER'!$AB$2:$AB$495&gt;=4)*('CONTROL MASTER'!$AA$2:$AA$495&lt;=3)*('CONTROL MASTER'!$AC$2:$AC$495&gt;=3))*ROW('CONTROL MASTER'!$S$2:$S$495))-(ROW('CONTROL MASTER'!#REF!)-1)))+((4-INDEX('CONTROL MASTER'!$Z$2:$Z$495,(SUMPRODUCT((('CONTROL MASTER'!$S$2:$S$495=2)*('CONTROL MASTER'!$Z$2:$Z$495&lt;=4)*('CONTROL MASTER'!$AB$2:$AB$495&gt;=4)*('CONTROL MASTER'!$AA$2:$AA$495&lt;=3)*('CONTROL MASTER'!$AC$2:$AC$495&gt;=3))*ROW('CONTROL MASTER'!$S$2:$S$495))-(ROW('CONTROL MASTER'!#REF!)-1))))*(INDEX('CONTROL MASTER'!$AC$2:$AC$495,(SUMPRODUCT((('CONTROL MASTER'!$S$2:$S$495=2)*('CONTROL MASTER'!$Z$2:$Z$495&lt;=4)*('CONTROL MASTER'!$AB$2:$AB$495&gt;=4)*('CONTROL MASTER'!$AA$2:$AA$495&lt;=3)*('CONTROL MASTER'!$AC$2:$AC$495&gt;=3))*ROW('CONTROL MASTER'!$S$2:$S$495))-(ROW('CONTROL MASTER'!#REF!)-1)))-INDEX('CONTROL MASTER'!$AA$2:$AA$495,(SUMPRODUCT((('CONTROL MASTER'!$S$2:$S$495=2)*('CONTROL MASTER'!$Z$2:$Z$495&lt;=4)*('CONTROL MASTER'!$AB$2:$AB$495&gt;=4)*('CONTROL MASTER'!$AA$2:$AA$495&lt;=3)*('CONTROL MASTER'!$AC$2:$AC$495&gt;=3))*ROW('CONTROL MASTER'!$S$2:$S$495))-(ROW('CONTROL MASTER'!#REF!)-1)))+1)+(3-INDEX('CONTROL MASTER'!$AA$2:$AA$495,(SUMPRODUCT((('CONTROL MASTER'!$S$2:$S$495=2)*('CONTROL MASTER'!$Z$2:$Z$495&lt;=4)*('CONTROL MASTER'!$AB$2:$AB$495&gt;=4)*('CONTROL MASTER'!$AA$2:$AA$495&lt;=3)*('CONTROL MASTER'!$AC$2:$AC$495&gt;=3))*ROW('CONTROL MASTER'!$S$2:$S$495))-(ROW('CONTROL MASTER'!#REF!)-1))))+1)))-1)*50+1,50))&amp;"_"&amp;INDEX('CONTROL MASTER'!$P$2:$P$495,(SUMPRODUCT((('CONTROL MASTER'!$S$2:$S$495=2)*('CONTROL MASTER'!$Z$2:$Z$495&lt;=4)*('CONTROL MASTER'!$AB$2:$AB$495&gt;=4)*('CONTROL MASTER'!$AA$2:$AA$495&lt;=3)*('CONTROL MASTER'!$AC$2:$AC$495&gt;=3))*ROW('CONTROL MASTER'!$S$2:$S$495))-(ROW('CONTROL MASTER'!#REF!)-1))),"")),"")</f>
        <v/>
      </c>
      <c r="E20" s="10" t="str">
        <f>IFERROR(IF(SUMPRODUCT((('CONTROL MASTER'!$S$2:$S$495=2)*('CONTROL MASTER'!$T$2:$T$495&lt;=4)*('CONTROL MASTER'!$V$2:$V$495&gt;=4)*('CONTROL MASTER'!$U$2:$U$495&lt;=4)*('CONTROL MASTER'!$W$2:$W$495&gt;=4))*ROW('CONTROL MASTER'!$S$2:$S$495))&gt;0,INDEX('CONTROL MASTER'!$X$2:$X$495,(SUMPRODUCT((('CONTROL MASTER'!$S$2:$S$495=2)*('CONTROL MASTER'!$T$2:$T$495&lt;=4)*('CONTROL MASTER'!$V$2:$V$495&gt;=4)*('CONTROL MASTER'!$U$2:$U$495&lt;=4)*('CONTROL MASTER'!$W$2:$W$495&gt;=4))*ROW('CONTROL MASTER'!$S$2:$S$495))-(ROW('CONTROL MASTER'!#REF!)-1)))&amp;TRIM(MID(SUBSTITUTE(SUBSTITUTE(INDEX('CONTROL MASTER'!$N$2:$N$495,(SUMPRODUCT((('CONTROL MASTER'!$S$2:$S$495=2)*('CONTROL MASTER'!$T$2:$T$495&lt;=4)*('CONTROL MASTER'!$V$2:$V$495&gt;=4)*('CONTROL MASTER'!$U$2:$U$495&lt;=4)*('CONTROL MASTER'!$W$2:$W$495&gt;=4))*ROW('CONTROL MASTER'!$S$2:$S$495))-(ROW('CONTROL MASTER'!#REF!)-1))),":",","),",",REPT(" ",50)),((((4-INDEX('CONTROL MASTER'!$T$2:$T$495,(SUMPRODUCT((('CONTROL MASTER'!$S$2:$S$495=2)*('CONTROL MASTER'!$T$2:$T$495&lt;=4)*('CONTROL MASTER'!$V$2:$V$495&gt;=4)*('CONTROL MASTER'!$U$2:$U$495&lt;=4)*('CONTROL MASTER'!$W$2:$W$495&gt;=4))*ROW('CONTROL MASTER'!$S$2:$S$495))-(ROW('CONTROL MASTER'!#REF!)-1))))*(INDEX('CONTROL MASTER'!$W$2:$W$495,(SUMPRODUCT((('CONTROL MASTER'!$S$2:$S$495=2)*('CONTROL MASTER'!$T$2:$T$495&lt;=4)*('CONTROL MASTER'!$V$2:$V$495&gt;=4)*('CONTROL MASTER'!$U$2:$U$495&lt;=4)*('CONTROL MASTER'!$W$2:$W$495&gt;=4))*ROW('CONTROL MASTER'!$S$2:$S$495))-(ROW('CONTROL MASTER'!#REF!)-1)))-INDEX('CONTROL MASTER'!$U$2:$U$495,(SUMPRODUCT((('CONTROL MASTER'!$S$2:$S$495=2)*('CONTROL MASTER'!$T$2:$T$495&lt;=4)*('CONTROL MASTER'!$V$2:$V$495&gt;=4)*('CONTROL MASTER'!$U$2:$U$495&lt;=4)*('CONTROL MASTER'!$W$2:$W$495&gt;=4))*ROW('CONTROL MASTER'!$S$2:$S$495))-(ROW('CONTROL MASTER'!#REF!)-1)))+1)+(4-INDEX('CONTROL MASTER'!$U$2:$U$495,(SUMPRODUCT((('CONTROL MASTER'!$S$2:$S$495=2)*('CONTROL MASTER'!$T$2:$T$495&lt;=4)*('CONTROL MASTER'!$V$2:$V$495&gt;=4)*('CONTROL MASTER'!$U$2:$U$495&lt;=4)*('CONTROL MASTER'!$W$2:$W$495&gt;=4))*ROW('CONTROL MASTER'!$S$2:$S$495))-(ROW('CONTROL MASTER'!#REF!)-1))))+1))-1)*50+1,50))&amp;"_"&amp;INDEX('CONTROL MASTER'!$P$2:$P$495,(SUMPRODUCT((('CONTROL MASTER'!$S$2:$S$495=2)*('CONTROL MASTER'!$T$2:$T$495&lt;=4)*('CONTROL MASTER'!$V$2:$V$495&gt;=4)*('CONTROL MASTER'!$U$2:$U$495&lt;=4)*('CONTROL MASTER'!$W$2:$W$495&gt;=4))*ROW('CONTROL MASTER'!$S$2:$S$495))-(ROW('CONTROL MASTER'!#REF!)-1))),IF(SUMPRODUCT((('CONTROL MASTER'!$S$2:$S$495=2)*('CONTROL MASTER'!$Z$2:$Z$495&lt;=4)*('CONTROL MASTER'!$AB$2:$AB$495&gt;=4)*('CONTROL MASTER'!$AA$2:$AA$495&lt;=4)*('CONTROL MASTER'!$AC$2:$AC$495&gt;=4))*ROW('CONTROL MASTER'!$S$2:$S$495))&gt;0,INDEX('CONTROL MASTER'!$X$2:$X$495,(SUMPRODUCT((('CONTROL MASTER'!$S$2:$S$495=2)*('CONTROL MASTER'!$Z$2:$Z$495&lt;=4)*('CONTROL MASTER'!$AB$2:$AB$495&gt;=4)*('CONTROL MASTER'!$AA$2:$AA$495&lt;=4)*('CONTROL MASTER'!$AC$2:$AC$495&gt;=4))*ROW('CONTROL MASTER'!$S$2:$S$495))-(ROW('CONTROL MASTER'!#REF!)-1)))&amp;TRIM(MID(SUBSTITUTE(SUBSTITUTE(INDEX('CONTROL MASTER'!$N$2:$N$495,(SUMPRODUCT((('CONTROL MASTER'!$S$2:$S$495=2)*('CONTROL MASTER'!$Z$2:$Z$495&lt;=4)*('CONTROL MASTER'!$AB$2:$AB$495&gt;=4)*('CONTROL MASTER'!$AA$2:$AA$495&lt;=4)*('CONTROL MASTER'!$AC$2:$AC$495&gt;=4))*ROW('CONTROL MASTER'!$S$2:$S$495))-(ROW('CONTROL MASTER'!#REF!)-1))),":",","),",",REPT(" ",50)),(((INDEX('CONTROL MASTER'!$Y$2:$Y$495,(SUMPRODUCT((('CONTROL MASTER'!$S$2:$S$495=2)*('CONTROL MASTER'!$Z$2:$Z$495&lt;=4)*('CONTROL MASTER'!$AB$2:$AB$495&gt;=4)*('CONTROL MASTER'!$AA$2:$AA$495&lt;=4)*('CONTROL MASTER'!$AC$2:$AC$495&gt;=4))*ROW('CONTROL MASTER'!$S$2:$S$495))-(ROW('CONTROL MASTER'!#REF!)-1)))+((4-INDEX('CONTROL MASTER'!$Z$2:$Z$495,(SUMPRODUCT((('CONTROL MASTER'!$S$2:$S$495=2)*('CONTROL MASTER'!$Z$2:$Z$495&lt;=4)*('CONTROL MASTER'!$AB$2:$AB$495&gt;=4)*('CONTROL MASTER'!$AA$2:$AA$495&lt;=4)*('CONTROL MASTER'!$AC$2:$AC$495&gt;=4))*ROW('CONTROL MASTER'!$S$2:$S$495))-(ROW('CONTROL MASTER'!#REF!)-1))))*(INDEX('CONTROL MASTER'!$AC$2:$AC$495,(SUMPRODUCT((('CONTROL MASTER'!$S$2:$S$495=2)*('CONTROL MASTER'!$Z$2:$Z$495&lt;=4)*('CONTROL MASTER'!$AB$2:$AB$495&gt;=4)*('CONTROL MASTER'!$AA$2:$AA$495&lt;=4)*('CONTROL MASTER'!$AC$2:$AC$495&gt;=4))*ROW('CONTROL MASTER'!$S$2:$S$495))-(ROW('CONTROL MASTER'!#REF!)-1)))-INDEX('CONTROL MASTER'!$AA$2:$AA$495,(SUMPRODUCT((('CONTROL MASTER'!$S$2:$S$495=2)*('CONTROL MASTER'!$Z$2:$Z$495&lt;=4)*('CONTROL MASTER'!$AB$2:$AB$495&gt;=4)*('CONTROL MASTER'!$AA$2:$AA$495&lt;=4)*('CONTROL MASTER'!$AC$2:$AC$495&gt;=4))*ROW('CONTROL MASTER'!$S$2:$S$495))-(ROW('CONTROL MASTER'!#REF!)-1)))+1)+(4-INDEX('CONTROL MASTER'!$AA$2:$AA$495,(SUMPRODUCT((('CONTROL MASTER'!$S$2:$S$495=2)*('CONTROL MASTER'!$Z$2:$Z$495&lt;=4)*('CONTROL MASTER'!$AB$2:$AB$495&gt;=4)*('CONTROL MASTER'!$AA$2:$AA$495&lt;=4)*('CONTROL MASTER'!$AC$2:$AC$495&gt;=4))*ROW('CONTROL MASTER'!$S$2:$S$495))-(ROW('CONTROL MASTER'!#REF!)-1))))+1)))-1)*50+1,50))&amp;"_"&amp;INDEX('CONTROL MASTER'!$P$2:$P$495,(SUMPRODUCT((('CONTROL MASTER'!$S$2:$S$495=2)*('CONTROL MASTER'!$Z$2:$Z$495&lt;=4)*('CONTROL MASTER'!$AB$2:$AB$495&gt;=4)*('CONTROL MASTER'!$AA$2:$AA$495&lt;=4)*('CONTROL MASTER'!$AC$2:$AC$495&gt;=4))*ROW('CONTROL MASTER'!$S$2:$S$495))-(ROW('CONTROL MASTER'!#REF!)-1))),"")),"")</f>
        <v/>
      </c>
      <c r="F20" s="10" t="str">
        <f>IFERROR(IF(SUMPRODUCT((('CONTROL MASTER'!$S$2:$S$495=2)*('CONTROL MASTER'!$T$2:$T$495&lt;=4)*('CONTROL MASTER'!$V$2:$V$495&gt;=4)*('CONTROL MASTER'!$U$2:$U$495&lt;=5)*('CONTROL MASTER'!$W$2:$W$495&gt;=5))*ROW('CONTROL MASTER'!$S$2:$S$495))&gt;0,INDEX('CONTROL MASTER'!$X$2:$X$495,(SUMPRODUCT((('CONTROL MASTER'!$S$2:$S$495=2)*('CONTROL MASTER'!$T$2:$T$495&lt;=4)*('CONTROL MASTER'!$V$2:$V$495&gt;=4)*('CONTROL MASTER'!$U$2:$U$495&lt;=5)*('CONTROL MASTER'!$W$2:$W$495&gt;=5))*ROW('CONTROL MASTER'!$S$2:$S$495))-(ROW('CONTROL MASTER'!#REF!)-1)))&amp;TRIM(MID(SUBSTITUTE(SUBSTITUTE(INDEX('CONTROL MASTER'!$N$2:$N$495,(SUMPRODUCT((('CONTROL MASTER'!$S$2:$S$495=2)*('CONTROL MASTER'!$T$2:$T$495&lt;=4)*('CONTROL MASTER'!$V$2:$V$495&gt;=4)*('CONTROL MASTER'!$U$2:$U$495&lt;=5)*('CONTROL MASTER'!$W$2:$W$495&gt;=5))*ROW('CONTROL MASTER'!$S$2:$S$495))-(ROW('CONTROL MASTER'!#REF!)-1))),":",","),",",REPT(" ",50)),((((4-INDEX('CONTROL MASTER'!$T$2:$T$495,(SUMPRODUCT((('CONTROL MASTER'!$S$2:$S$495=2)*('CONTROL MASTER'!$T$2:$T$495&lt;=4)*('CONTROL MASTER'!$V$2:$V$495&gt;=4)*('CONTROL MASTER'!$U$2:$U$495&lt;=5)*('CONTROL MASTER'!$W$2:$W$495&gt;=5))*ROW('CONTROL MASTER'!$S$2:$S$495))-(ROW('CONTROL MASTER'!#REF!)-1))))*(INDEX('CONTROL MASTER'!$W$2:$W$495,(SUMPRODUCT((('CONTROL MASTER'!$S$2:$S$495=2)*('CONTROL MASTER'!$T$2:$T$495&lt;=4)*('CONTROL MASTER'!$V$2:$V$495&gt;=4)*('CONTROL MASTER'!$U$2:$U$495&lt;=5)*('CONTROL MASTER'!$W$2:$W$495&gt;=5))*ROW('CONTROL MASTER'!$S$2:$S$495))-(ROW('CONTROL MASTER'!#REF!)-1)))-INDEX('CONTROL MASTER'!$U$2:$U$495,(SUMPRODUCT((('CONTROL MASTER'!$S$2:$S$495=2)*('CONTROL MASTER'!$T$2:$T$495&lt;=4)*('CONTROL MASTER'!$V$2:$V$495&gt;=4)*('CONTROL MASTER'!$U$2:$U$495&lt;=5)*('CONTROL MASTER'!$W$2:$W$495&gt;=5))*ROW('CONTROL MASTER'!$S$2:$S$495))-(ROW('CONTROL MASTER'!#REF!)-1)))+1)+(5-INDEX('CONTROL MASTER'!$U$2:$U$495,(SUMPRODUCT((('CONTROL MASTER'!$S$2:$S$495=2)*('CONTROL MASTER'!$T$2:$T$495&lt;=4)*('CONTROL MASTER'!$V$2:$V$495&gt;=4)*('CONTROL MASTER'!$U$2:$U$495&lt;=5)*('CONTROL MASTER'!$W$2:$W$495&gt;=5))*ROW('CONTROL MASTER'!$S$2:$S$495))-(ROW('CONTROL MASTER'!#REF!)-1))))+1))-1)*50+1,50))&amp;"_"&amp;INDEX('CONTROL MASTER'!$P$2:$P$495,(SUMPRODUCT((('CONTROL MASTER'!$S$2:$S$495=2)*('CONTROL MASTER'!$T$2:$T$495&lt;=4)*('CONTROL MASTER'!$V$2:$V$495&gt;=4)*('CONTROL MASTER'!$U$2:$U$495&lt;=5)*('CONTROL MASTER'!$W$2:$W$495&gt;=5))*ROW('CONTROL MASTER'!$S$2:$S$495))-(ROW('CONTROL MASTER'!#REF!)-1))),IF(SUMPRODUCT((('CONTROL MASTER'!$S$2:$S$495=2)*('CONTROL MASTER'!$Z$2:$Z$495&lt;=4)*('CONTROL MASTER'!$AB$2:$AB$495&gt;=4)*('CONTROL MASTER'!$AA$2:$AA$495&lt;=5)*('CONTROL MASTER'!$AC$2:$AC$495&gt;=5))*ROW('CONTROL MASTER'!$S$2:$S$495))&gt;0,INDEX('CONTROL MASTER'!$X$2:$X$495,(SUMPRODUCT((('CONTROL MASTER'!$S$2:$S$495=2)*('CONTROL MASTER'!$Z$2:$Z$495&lt;=4)*('CONTROL MASTER'!$AB$2:$AB$495&gt;=4)*('CONTROL MASTER'!$AA$2:$AA$495&lt;=5)*('CONTROL MASTER'!$AC$2:$AC$495&gt;=5))*ROW('CONTROL MASTER'!$S$2:$S$495))-(ROW('CONTROL MASTER'!#REF!)-1)))&amp;TRIM(MID(SUBSTITUTE(SUBSTITUTE(INDEX('CONTROL MASTER'!$N$2:$N$495,(SUMPRODUCT((('CONTROL MASTER'!$S$2:$S$495=2)*('CONTROL MASTER'!$Z$2:$Z$495&lt;=4)*('CONTROL MASTER'!$AB$2:$AB$495&gt;=4)*('CONTROL MASTER'!$AA$2:$AA$495&lt;=5)*('CONTROL MASTER'!$AC$2:$AC$495&gt;=5))*ROW('CONTROL MASTER'!$S$2:$S$495))-(ROW('CONTROL MASTER'!#REF!)-1))),":",","),",",REPT(" ",50)),(((INDEX('CONTROL MASTER'!$Y$2:$Y$495,(SUMPRODUCT((('CONTROL MASTER'!$S$2:$S$495=2)*('CONTROL MASTER'!$Z$2:$Z$495&lt;=4)*('CONTROL MASTER'!$AB$2:$AB$495&gt;=4)*('CONTROL MASTER'!$AA$2:$AA$495&lt;=5)*('CONTROL MASTER'!$AC$2:$AC$495&gt;=5))*ROW('CONTROL MASTER'!$S$2:$S$495))-(ROW('CONTROL MASTER'!#REF!)-1)))+((4-INDEX('CONTROL MASTER'!$Z$2:$Z$495,(SUMPRODUCT((('CONTROL MASTER'!$S$2:$S$495=2)*('CONTROL MASTER'!$Z$2:$Z$495&lt;=4)*('CONTROL MASTER'!$AB$2:$AB$495&gt;=4)*('CONTROL MASTER'!$AA$2:$AA$495&lt;=5)*('CONTROL MASTER'!$AC$2:$AC$495&gt;=5))*ROW('CONTROL MASTER'!$S$2:$S$495))-(ROW('CONTROL MASTER'!#REF!)-1))))*(INDEX('CONTROL MASTER'!$AC$2:$AC$495,(SUMPRODUCT((('CONTROL MASTER'!$S$2:$S$495=2)*('CONTROL MASTER'!$Z$2:$Z$495&lt;=4)*('CONTROL MASTER'!$AB$2:$AB$495&gt;=4)*('CONTROL MASTER'!$AA$2:$AA$495&lt;=5)*('CONTROL MASTER'!$AC$2:$AC$495&gt;=5))*ROW('CONTROL MASTER'!$S$2:$S$495))-(ROW('CONTROL MASTER'!#REF!)-1)))-INDEX('CONTROL MASTER'!$AA$2:$AA$495,(SUMPRODUCT((('CONTROL MASTER'!$S$2:$S$495=2)*('CONTROL MASTER'!$Z$2:$Z$495&lt;=4)*('CONTROL MASTER'!$AB$2:$AB$495&gt;=4)*('CONTROL MASTER'!$AA$2:$AA$495&lt;=5)*('CONTROL MASTER'!$AC$2:$AC$495&gt;=5))*ROW('CONTROL MASTER'!$S$2:$S$495))-(ROW('CONTROL MASTER'!#REF!)-1)))+1)+(5-INDEX('CONTROL MASTER'!$AA$2:$AA$495,(SUMPRODUCT((('CONTROL MASTER'!$S$2:$S$495=2)*('CONTROL MASTER'!$Z$2:$Z$495&lt;=4)*('CONTROL MASTER'!$AB$2:$AB$495&gt;=4)*('CONTROL MASTER'!$AA$2:$AA$495&lt;=5)*('CONTROL MASTER'!$AC$2:$AC$495&gt;=5))*ROW('CONTROL MASTER'!$S$2:$S$495))-(ROW('CONTROL MASTER'!#REF!)-1))))+1)))-1)*50+1,50))&amp;"_"&amp;INDEX('CONTROL MASTER'!$P$2:$P$495,(SUMPRODUCT((('CONTROL MASTER'!$S$2:$S$495=2)*('CONTROL MASTER'!$Z$2:$Z$495&lt;=4)*('CONTROL MASTER'!$AB$2:$AB$495&gt;=4)*('CONTROL MASTER'!$AA$2:$AA$495&lt;=5)*('CONTROL MASTER'!$AC$2:$AC$495&gt;=5))*ROW('CONTROL MASTER'!$S$2:$S$495))-(ROW('CONTROL MASTER'!#REF!)-1))),"")),"")</f>
        <v/>
      </c>
      <c r="G20" s="10" t="str">
        <f>IFERROR(IF(SUMPRODUCT((('CONTROL MASTER'!$S$2:$S$495=2)*('CONTROL MASTER'!$T$2:$T$495&lt;=4)*('CONTROL MASTER'!$V$2:$V$495&gt;=4)*('CONTROL MASTER'!$U$2:$U$495&lt;=6)*('CONTROL MASTER'!$W$2:$W$495&gt;=6))*ROW('CONTROL MASTER'!$S$2:$S$495))&gt;0,INDEX('CONTROL MASTER'!$X$2:$X$495,(SUMPRODUCT((('CONTROL MASTER'!$S$2:$S$495=2)*('CONTROL MASTER'!$T$2:$T$495&lt;=4)*('CONTROL MASTER'!$V$2:$V$495&gt;=4)*('CONTROL MASTER'!$U$2:$U$495&lt;=6)*('CONTROL MASTER'!$W$2:$W$495&gt;=6))*ROW('CONTROL MASTER'!$S$2:$S$495))-(ROW('CONTROL MASTER'!#REF!)-1)))&amp;TRIM(MID(SUBSTITUTE(SUBSTITUTE(INDEX('CONTROL MASTER'!$N$2:$N$495,(SUMPRODUCT((('CONTROL MASTER'!$S$2:$S$495=2)*('CONTROL MASTER'!$T$2:$T$495&lt;=4)*('CONTROL MASTER'!$V$2:$V$495&gt;=4)*('CONTROL MASTER'!$U$2:$U$495&lt;=6)*('CONTROL MASTER'!$W$2:$W$495&gt;=6))*ROW('CONTROL MASTER'!$S$2:$S$495))-(ROW('CONTROL MASTER'!#REF!)-1))),":",","),",",REPT(" ",50)),((((4-INDEX('CONTROL MASTER'!$T$2:$T$495,(SUMPRODUCT((('CONTROL MASTER'!$S$2:$S$495=2)*('CONTROL MASTER'!$T$2:$T$495&lt;=4)*('CONTROL MASTER'!$V$2:$V$495&gt;=4)*('CONTROL MASTER'!$U$2:$U$495&lt;=6)*('CONTROL MASTER'!$W$2:$W$495&gt;=6))*ROW('CONTROL MASTER'!$S$2:$S$495))-(ROW('CONTROL MASTER'!#REF!)-1))))*(INDEX('CONTROL MASTER'!$W$2:$W$495,(SUMPRODUCT((('CONTROL MASTER'!$S$2:$S$495=2)*('CONTROL MASTER'!$T$2:$T$495&lt;=4)*('CONTROL MASTER'!$V$2:$V$495&gt;=4)*('CONTROL MASTER'!$U$2:$U$495&lt;=6)*('CONTROL MASTER'!$W$2:$W$495&gt;=6))*ROW('CONTROL MASTER'!$S$2:$S$495))-(ROW('CONTROL MASTER'!#REF!)-1)))-INDEX('CONTROL MASTER'!$U$2:$U$495,(SUMPRODUCT((('CONTROL MASTER'!$S$2:$S$495=2)*('CONTROL MASTER'!$T$2:$T$495&lt;=4)*('CONTROL MASTER'!$V$2:$V$495&gt;=4)*('CONTROL MASTER'!$U$2:$U$495&lt;=6)*('CONTROL MASTER'!$W$2:$W$495&gt;=6))*ROW('CONTROL MASTER'!$S$2:$S$495))-(ROW('CONTROL MASTER'!#REF!)-1)))+1)+(6-INDEX('CONTROL MASTER'!$U$2:$U$495,(SUMPRODUCT((('CONTROL MASTER'!$S$2:$S$495=2)*('CONTROL MASTER'!$T$2:$T$495&lt;=4)*('CONTROL MASTER'!$V$2:$V$495&gt;=4)*('CONTROL MASTER'!$U$2:$U$495&lt;=6)*('CONTROL MASTER'!$W$2:$W$495&gt;=6))*ROW('CONTROL MASTER'!$S$2:$S$495))-(ROW('CONTROL MASTER'!#REF!)-1))))+1))-1)*50+1,50))&amp;"_"&amp;INDEX('CONTROL MASTER'!$P$2:$P$495,(SUMPRODUCT((('CONTROL MASTER'!$S$2:$S$495=2)*('CONTROL MASTER'!$T$2:$T$495&lt;=4)*('CONTROL MASTER'!$V$2:$V$495&gt;=4)*('CONTROL MASTER'!$U$2:$U$495&lt;=6)*('CONTROL MASTER'!$W$2:$W$495&gt;=6))*ROW('CONTROL MASTER'!$S$2:$S$495))-(ROW('CONTROL MASTER'!#REF!)-1))),IF(SUMPRODUCT((('CONTROL MASTER'!$S$2:$S$495=2)*('CONTROL MASTER'!$Z$2:$Z$495&lt;=4)*('CONTROL MASTER'!$AB$2:$AB$495&gt;=4)*('CONTROL MASTER'!$AA$2:$AA$495&lt;=6)*('CONTROL MASTER'!$AC$2:$AC$495&gt;=6))*ROW('CONTROL MASTER'!$S$2:$S$495))&gt;0,INDEX('CONTROL MASTER'!$X$2:$X$495,(SUMPRODUCT((('CONTROL MASTER'!$S$2:$S$495=2)*('CONTROL MASTER'!$Z$2:$Z$495&lt;=4)*('CONTROL MASTER'!$AB$2:$AB$495&gt;=4)*('CONTROL MASTER'!$AA$2:$AA$495&lt;=6)*('CONTROL MASTER'!$AC$2:$AC$495&gt;=6))*ROW('CONTROL MASTER'!$S$2:$S$495))-(ROW('CONTROL MASTER'!#REF!)-1)))&amp;TRIM(MID(SUBSTITUTE(SUBSTITUTE(INDEX('CONTROL MASTER'!$N$2:$N$495,(SUMPRODUCT((('CONTROL MASTER'!$S$2:$S$495=2)*('CONTROL MASTER'!$Z$2:$Z$495&lt;=4)*('CONTROL MASTER'!$AB$2:$AB$495&gt;=4)*('CONTROL MASTER'!$AA$2:$AA$495&lt;=6)*('CONTROL MASTER'!$AC$2:$AC$495&gt;=6))*ROW('CONTROL MASTER'!$S$2:$S$495))-(ROW('CONTROL MASTER'!#REF!)-1))),":",","),",",REPT(" ",50)),(((INDEX('CONTROL MASTER'!$Y$2:$Y$495,(SUMPRODUCT((('CONTROL MASTER'!$S$2:$S$495=2)*('CONTROL MASTER'!$Z$2:$Z$495&lt;=4)*('CONTROL MASTER'!$AB$2:$AB$495&gt;=4)*('CONTROL MASTER'!$AA$2:$AA$495&lt;=6)*('CONTROL MASTER'!$AC$2:$AC$495&gt;=6))*ROW('CONTROL MASTER'!$S$2:$S$495))-(ROW('CONTROL MASTER'!#REF!)-1)))+((4-INDEX('CONTROL MASTER'!$Z$2:$Z$495,(SUMPRODUCT((('CONTROL MASTER'!$S$2:$S$495=2)*('CONTROL MASTER'!$Z$2:$Z$495&lt;=4)*('CONTROL MASTER'!$AB$2:$AB$495&gt;=4)*('CONTROL MASTER'!$AA$2:$AA$495&lt;=6)*('CONTROL MASTER'!$AC$2:$AC$495&gt;=6))*ROW('CONTROL MASTER'!$S$2:$S$495))-(ROW('CONTROL MASTER'!#REF!)-1))))*(INDEX('CONTROL MASTER'!$AC$2:$AC$495,(SUMPRODUCT((('CONTROL MASTER'!$S$2:$S$495=2)*('CONTROL MASTER'!$Z$2:$Z$495&lt;=4)*('CONTROL MASTER'!$AB$2:$AB$495&gt;=4)*('CONTROL MASTER'!$AA$2:$AA$495&lt;=6)*('CONTROL MASTER'!$AC$2:$AC$495&gt;=6))*ROW('CONTROL MASTER'!$S$2:$S$495))-(ROW('CONTROL MASTER'!#REF!)-1)))-INDEX('CONTROL MASTER'!$AA$2:$AA$495,(SUMPRODUCT((('CONTROL MASTER'!$S$2:$S$495=2)*('CONTROL MASTER'!$Z$2:$Z$495&lt;=4)*('CONTROL MASTER'!$AB$2:$AB$495&gt;=4)*('CONTROL MASTER'!$AA$2:$AA$495&lt;=6)*('CONTROL MASTER'!$AC$2:$AC$495&gt;=6))*ROW('CONTROL MASTER'!$S$2:$S$495))-(ROW('CONTROL MASTER'!#REF!)-1)))+1)+(6-INDEX('CONTROL MASTER'!$AA$2:$AA$495,(SUMPRODUCT((('CONTROL MASTER'!$S$2:$S$495=2)*('CONTROL MASTER'!$Z$2:$Z$495&lt;=4)*('CONTROL MASTER'!$AB$2:$AB$495&gt;=4)*('CONTROL MASTER'!$AA$2:$AA$495&lt;=6)*('CONTROL MASTER'!$AC$2:$AC$495&gt;=6))*ROW('CONTROL MASTER'!$S$2:$S$495))-(ROW('CONTROL MASTER'!#REF!)-1))))+1)))-1)*50+1,50))&amp;"_"&amp;INDEX('CONTROL MASTER'!$P$2:$P$495,(SUMPRODUCT((('CONTROL MASTER'!$S$2:$S$495=2)*('CONTROL MASTER'!$Z$2:$Z$495&lt;=4)*('CONTROL MASTER'!$AB$2:$AB$495&gt;=4)*('CONTROL MASTER'!$AA$2:$AA$495&lt;=6)*('CONTROL MASTER'!$AC$2:$AC$495&gt;=6))*ROW('CONTROL MASTER'!$S$2:$S$495))-(ROW('CONTROL MASTER'!#REF!)-1))),"")),"")</f>
        <v/>
      </c>
      <c r="H20" s="10" t="str">
        <f>IFERROR(IF(SUMPRODUCT((('CONTROL MASTER'!$S$2:$S$495=2)*('CONTROL MASTER'!$T$2:$T$495&lt;=4)*('CONTROL MASTER'!$V$2:$V$495&gt;=4)*('CONTROL MASTER'!$U$2:$U$495&lt;=7)*('CONTROL MASTER'!$W$2:$W$495&gt;=7))*ROW('CONTROL MASTER'!$S$2:$S$495))&gt;0,INDEX('CONTROL MASTER'!$X$2:$X$495,(SUMPRODUCT((('CONTROL MASTER'!$S$2:$S$495=2)*('CONTROL MASTER'!$T$2:$T$495&lt;=4)*('CONTROL MASTER'!$V$2:$V$495&gt;=4)*('CONTROL MASTER'!$U$2:$U$495&lt;=7)*('CONTROL MASTER'!$W$2:$W$495&gt;=7))*ROW('CONTROL MASTER'!$S$2:$S$495))-(ROW('CONTROL MASTER'!#REF!)-1)))&amp;TRIM(MID(SUBSTITUTE(SUBSTITUTE(INDEX('CONTROL MASTER'!$N$2:$N$495,(SUMPRODUCT((('CONTROL MASTER'!$S$2:$S$495=2)*('CONTROL MASTER'!$T$2:$T$495&lt;=4)*('CONTROL MASTER'!$V$2:$V$495&gt;=4)*('CONTROL MASTER'!$U$2:$U$495&lt;=7)*('CONTROL MASTER'!$W$2:$W$495&gt;=7))*ROW('CONTROL MASTER'!$S$2:$S$495))-(ROW('CONTROL MASTER'!#REF!)-1))),":",","),",",REPT(" ",50)),((((4-INDEX('CONTROL MASTER'!$T$2:$T$495,(SUMPRODUCT((('CONTROL MASTER'!$S$2:$S$495=2)*('CONTROL MASTER'!$T$2:$T$495&lt;=4)*('CONTROL MASTER'!$V$2:$V$495&gt;=4)*('CONTROL MASTER'!$U$2:$U$495&lt;=7)*('CONTROL MASTER'!$W$2:$W$495&gt;=7))*ROW('CONTROL MASTER'!$S$2:$S$495))-(ROW('CONTROL MASTER'!#REF!)-1))))*(INDEX('CONTROL MASTER'!$W$2:$W$495,(SUMPRODUCT((('CONTROL MASTER'!$S$2:$S$495=2)*('CONTROL MASTER'!$T$2:$T$495&lt;=4)*('CONTROL MASTER'!$V$2:$V$495&gt;=4)*('CONTROL MASTER'!$U$2:$U$495&lt;=7)*('CONTROL MASTER'!$W$2:$W$495&gt;=7))*ROW('CONTROL MASTER'!$S$2:$S$495))-(ROW('CONTROL MASTER'!#REF!)-1)))-INDEX('CONTROL MASTER'!$U$2:$U$495,(SUMPRODUCT((('CONTROL MASTER'!$S$2:$S$495=2)*('CONTROL MASTER'!$T$2:$T$495&lt;=4)*('CONTROL MASTER'!$V$2:$V$495&gt;=4)*('CONTROL MASTER'!$U$2:$U$495&lt;=7)*('CONTROL MASTER'!$W$2:$W$495&gt;=7))*ROW('CONTROL MASTER'!$S$2:$S$495))-(ROW('CONTROL MASTER'!#REF!)-1)))+1)+(7-INDEX('CONTROL MASTER'!$U$2:$U$495,(SUMPRODUCT((('CONTROL MASTER'!$S$2:$S$495=2)*('CONTROL MASTER'!$T$2:$T$495&lt;=4)*('CONTROL MASTER'!$V$2:$V$495&gt;=4)*('CONTROL MASTER'!$U$2:$U$495&lt;=7)*('CONTROL MASTER'!$W$2:$W$495&gt;=7))*ROW('CONTROL MASTER'!$S$2:$S$495))-(ROW('CONTROL MASTER'!#REF!)-1))))+1))-1)*50+1,50))&amp;"_"&amp;INDEX('CONTROL MASTER'!$P$2:$P$495,(SUMPRODUCT((('CONTROL MASTER'!$S$2:$S$495=2)*('CONTROL MASTER'!$T$2:$T$495&lt;=4)*('CONTROL MASTER'!$V$2:$V$495&gt;=4)*('CONTROL MASTER'!$U$2:$U$495&lt;=7)*('CONTROL MASTER'!$W$2:$W$495&gt;=7))*ROW('CONTROL MASTER'!$S$2:$S$495))-(ROW('CONTROL MASTER'!#REF!)-1))),IF(SUMPRODUCT((('CONTROL MASTER'!$S$2:$S$495=2)*('CONTROL MASTER'!$Z$2:$Z$495&lt;=4)*('CONTROL MASTER'!$AB$2:$AB$495&gt;=4)*('CONTROL MASTER'!$AA$2:$AA$495&lt;=7)*('CONTROL MASTER'!$AC$2:$AC$495&gt;=7))*ROW('CONTROL MASTER'!$S$2:$S$495))&gt;0,INDEX('CONTROL MASTER'!$X$2:$X$495,(SUMPRODUCT((('CONTROL MASTER'!$S$2:$S$495=2)*('CONTROL MASTER'!$Z$2:$Z$495&lt;=4)*('CONTROL MASTER'!$AB$2:$AB$495&gt;=4)*('CONTROL MASTER'!$AA$2:$AA$495&lt;=7)*('CONTROL MASTER'!$AC$2:$AC$495&gt;=7))*ROW('CONTROL MASTER'!$S$2:$S$495))-(ROW('CONTROL MASTER'!#REF!)-1)))&amp;TRIM(MID(SUBSTITUTE(SUBSTITUTE(INDEX('CONTROL MASTER'!$N$2:$N$495,(SUMPRODUCT((('CONTROL MASTER'!$S$2:$S$495=2)*('CONTROL MASTER'!$Z$2:$Z$495&lt;=4)*('CONTROL MASTER'!$AB$2:$AB$495&gt;=4)*('CONTROL MASTER'!$AA$2:$AA$495&lt;=7)*('CONTROL MASTER'!$AC$2:$AC$495&gt;=7))*ROW('CONTROL MASTER'!$S$2:$S$495))-(ROW('CONTROL MASTER'!#REF!)-1))),":",","),",",REPT(" ",50)),(((INDEX('CONTROL MASTER'!$Y$2:$Y$495,(SUMPRODUCT((('CONTROL MASTER'!$S$2:$S$495=2)*('CONTROL MASTER'!$Z$2:$Z$495&lt;=4)*('CONTROL MASTER'!$AB$2:$AB$495&gt;=4)*('CONTROL MASTER'!$AA$2:$AA$495&lt;=7)*('CONTROL MASTER'!$AC$2:$AC$495&gt;=7))*ROW('CONTROL MASTER'!$S$2:$S$495))-(ROW('CONTROL MASTER'!#REF!)-1)))+((4-INDEX('CONTROL MASTER'!$Z$2:$Z$495,(SUMPRODUCT((('CONTROL MASTER'!$S$2:$S$495=2)*('CONTROL MASTER'!$Z$2:$Z$495&lt;=4)*('CONTROL MASTER'!$AB$2:$AB$495&gt;=4)*('CONTROL MASTER'!$AA$2:$AA$495&lt;=7)*('CONTROL MASTER'!$AC$2:$AC$495&gt;=7))*ROW('CONTROL MASTER'!$S$2:$S$495))-(ROW('CONTROL MASTER'!#REF!)-1))))*(INDEX('CONTROL MASTER'!$AC$2:$AC$495,(SUMPRODUCT((('CONTROL MASTER'!$S$2:$S$495=2)*('CONTROL MASTER'!$Z$2:$Z$495&lt;=4)*('CONTROL MASTER'!$AB$2:$AB$495&gt;=4)*('CONTROL MASTER'!$AA$2:$AA$495&lt;=7)*('CONTROL MASTER'!$AC$2:$AC$495&gt;=7))*ROW('CONTROL MASTER'!$S$2:$S$495))-(ROW('CONTROL MASTER'!#REF!)-1)))-INDEX('CONTROL MASTER'!$AA$2:$AA$495,(SUMPRODUCT((('CONTROL MASTER'!$S$2:$S$495=2)*('CONTROL MASTER'!$Z$2:$Z$495&lt;=4)*('CONTROL MASTER'!$AB$2:$AB$495&gt;=4)*('CONTROL MASTER'!$AA$2:$AA$495&lt;=7)*('CONTROL MASTER'!$AC$2:$AC$495&gt;=7))*ROW('CONTROL MASTER'!$S$2:$S$495))-(ROW('CONTROL MASTER'!#REF!)-1)))+1)+(7-INDEX('CONTROL MASTER'!$AA$2:$AA$495,(SUMPRODUCT((('CONTROL MASTER'!$S$2:$S$495=2)*('CONTROL MASTER'!$Z$2:$Z$495&lt;=4)*('CONTROL MASTER'!$AB$2:$AB$495&gt;=4)*('CONTROL MASTER'!$AA$2:$AA$495&lt;=7)*('CONTROL MASTER'!$AC$2:$AC$495&gt;=7))*ROW('CONTROL MASTER'!$S$2:$S$495))-(ROW('CONTROL MASTER'!#REF!)-1))))+1)))-1)*50+1,50))&amp;"_"&amp;INDEX('CONTROL MASTER'!$P$2:$P$495,(SUMPRODUCT((('CONTROL MASTER'!$S$2:$S$495=2)*('CONTROL MASTER'!$Z$2:$Z$495&lt;=4)*('CONTROL MASTER'!$AB$2:$AB$495&gt;=4)*('CONTROL MASTER'!$AA$2:$AA$495&lt;=7)*('CONTROL MASTER'!$AC$2:$AC$495&gt;=7))*ROW('CONTROL MASTER'!$S$2:$S$495))-(ROW('CONTROL MASTER'!#REF!)-1))),"")),"")</f>
        <v/>
      </c>
      <c r="I20" s="10" t="str">
        <f>IFERROR(IF(SUMPRODUCT((('CONTROL MASTER'!$S$2:$S$495=2)*('CONTROL MASTER'!$T$2:$T$495&lt;=4)*('CONTROL MASTER'!$V$2:$V$495&gt;=4)*('CONTROL MASTER'!$U$2:$U$495&lt;=8)*('CONTROL MASTER'!$W$2:$W$495&gt;=8))*ROW('CONTROL MASTER'!$S$2:$S$495))&gt;0,INDEX('CONTROL MASTER'!$X$2:$X$495,(SUMPRODUCT((('CONTROL MASTER'!$S$2:$S$495=2)*('CONTROL MASTER'!$T$2:$T$495&lt;=4)*('CONTROL MASTER'!$V$2:$V$495&gt;=4)*('CONTROL MASTER'!$U$2:$U$495&lt;=8)*('CONTROL MASTER'!$W$2:$W$495&gt;=8))*ROW('CONTROL MASTER'!$S$2:$S$495))-(ROW('CONTROL MASTER'!#REF!)-1)))&amp;TRIM(MID(SUBSTITUTE(SUBSTITUTE(INDEX('CONTROL MASTER'!$N$2:$N$495,(SUMPRODUCT((('CONTROL MASTER'!$S$2:$S$495=2)*('CONTROL MASTER'!$T$2:$T$495&lt;=4)*('CONTROL MASTER'!$V$2:$V$495&gt;=4)*('CONTROL MASTER'!$U$2:$U$495&lt;=8)*('CONTROL MASTER'!$W$2:$W$495&gt;=8))*ROW('CONTROL MASTER'!$S$2:$S$495))-(ROW('CONTROL MASTER'!#REF!)-1))),":",","),",",REPT(" ",50)),((((4-INDEX('CONTROL MASTER'!$T$2:$T$495,(SUMPRODUCT((('CONTROL MASTER'!$S$2:$S$495=2)*('CONTROL MASTER'!$T$2:$T$495&lt;=4)*('CONTROL MASTER'!$V$2:$V$495&gt;=4)*('CONTROL MASTER'!$U$2:$U$495&lt;=8)*('CONTROL MASTER'!$W$2:$W$495&gt;=8))*ROW('CONTROL MASTER'!$S$2:$S$495))-(ROW('CONTROL MASTER'!#REF!)-1))))*(INDEX('CONTROL MASTER'!$W$2:$W$495,(SUMPRODUCT((('CONTROL MASTER'!$S$2:$S$495=2)*('CONTROL MASTER'!$T$2:$T$495&lt;=4)*('CONTROL MASTER'!$V$2:$V$495&gt;=4)*('CONTROL MASTER'!$U$2:$U$495&lt;=8)*('CONTROL MASTER'!$W$2:$W$495&gt;=8))*ROW('CONTROL MASTER'!$S$2:$S$495))-(ROW('CONTROL MASTER'!#REF!)-1)))-INDEX('CONTROL MASTER'!$U$2:$U$495,(SUMPRODUCT((('CONTROL MASTER'!$S$2:$S$495=2)*('CONTROL MASTER'!$T$2:$T$495&lt;=4)*('CONTROL MASTER'!$V$2:$V$495&gt;=4)*('CONTROL MASTER'!$U$2:$U$495&lt;=8)*('CONTROL MASTER'!$W$2:$W$495&gt;=8))*ROW('CONTROL MASTER'!$S$2:$S$495))-(ROW('CONTROL MASTER'!#REF!)-1)))+1)+(8-INDEX('CONTROL MASTER'!$U$2:$U$495,(SUMPRODUCT((('CONTROL MASTER'!$S$2:$S$495=2)*('CONTROL MASTER'!$T$2:$T$495&lt;=4)*('CONTROL MASTER'!$V$2:$V$495&gt;=4)*('CONTROL MASTER'!$U$2:$U$495&lt;=8)*('CONTROL MASTER'!$W$2:$W$495&gt;=8))*ROW('CONTROL MASTER'!$S$2:$S$495))-(ROW('CONTROL MASTER'!#REF!)-1))))+1))-1)*50+1,50))&amp;"_"&amp;INDEX('CONTROL MASTER'!$P$2:$P$495,(SUMPRODUCT((('CONTROL MASTER'!$S$2:$S$495=2)*('CONTROL MASTER'!$T$2:$T$495&lt;=4)*('CONTROL MASTER'!$V$2:$V$495&gt;=4)*('CONTROL MASTER'!$U$2:$U$495&lt;=8)*('CONTROL MASTER'!$W$2:$W$495&gt;=8))*ROW('CONTROL MASTER'!$S$2:$S$495))-(ROW('CONTROL MASTER'!#REF!)-1))),IF(SUMPRODUCT((('CONTROL MASTER'!$S$2:$S$495=2)*('CONTROL MASTER'!$Z$2:$Z$495&lt;=4)*('CONTROL MASTER'!$AB$2:$AB$495&gt;=4)*('CONTROL MASTER'!$AA$2:$AA$495&lt;=8)*('CONTROL MASTER'!$AC$2:$AC$495&gt;=8))*ROW('CONTROL MASTER'!$S$2:$S$495))&gt;0,INDEX('CONTROL MASTER'!$X$2:$X$495,(SUMPRODUCT((('CONTROL MASTER'!$S$2:$S$495=2)*('CONTROL MASTER'!$Z$2:$Z$495&lt;=4)*('CONTROL MASTER'!$AB$2:$AB$495&gt;=4)*('CONTROL MASTER'!$AA$2:$AA$495&lt;=8)*('CONTROL MASTER'!$AC$2:$AC$495&gt;=8))*ROW('CONTROL MASTER'!$S$2:$S$495))-(ROW('CONTROL MASTER'!#REF!)-1)))&amp;TRIM(MID(SUBSTITUTE(SUBSTITUTE(INDEX('CONTROL MASTER'!$N$2:$N$495,(SUMPRODUCT((('CONTROL MASTER'!$S$2:$S$495=2)*('CONTROL MASTER'!$Z$2:$Z$495&lt;=4)*('CONTROL MASTER'!$AB$2:$AB$495&gt;=4)*('CONTROL MASTER'!$AA$2:$AA$495&lt;=8)*('CONTROL MASTER'!$AC$2:$AC$495&gt;=8))*ROW('CONTROL MASTER'!$S$2:$S$495))-(ROW('CONTROL MASTER'!#REF!)-1))),":",","),",",REPT(" ",50)),(((INDEX('CONTROL MASTER'!$Y$2:$Y$495,(SUMPRODUCT((('CONTROL MASTER'!$S$2:$S$495=2)*('CONTROL MASTER'!$Z$2:$Z$495&lt;=4)*('CONTROL MASTER'!$AB$2:$AB$495&gt;=4)*('CONTROL MASTER'!$AA$2:$AA$495&lt;=8)*('CONTROL MASTER'!$AC$2:$AC$495&gt;=8))*ROW('CONTROL MASTER'!$S$2:$S$495))-(ROW('CONTROL MASTER'!#REF!)-1)))+((4-INDEX('CONTROL MASTER'!$Z$2:$Z$495,(SUMPRODUCT((('CONTROL MASTER'!$S$2:$S$495=2)*('CONTROL MASTER'!$Z$2:$Z$495&lt;=4)*('CONTROL MASTER'!$AB$2:$AB$495&gt;=4)*('CONTROL MASTER'!$AA$2:$AA$495&lt;=8)*('CONTROL MASTER'!$AC$2:$AC$495&gt;=8))*ROW('CONTROL MASTER'!$S$2:$S$495))-(ROW('CONTROL MASTER'!#REF!)-1))))*(INDEX('CONTROL MASTER'!$AC$2:$AC$495,(SUMPRODUCT((('CONTROL MASTER'!$S$2:$S$495=2)*('CONTROL MASTER'!$Z$2:$Z$495&lt;=4)*('CONTROL MASTER'!$AB$2:$AB$495&gt;=4)*('CONTROL MASTER'!$AA$2:$AA$495&lt;=8)*('CONTROL MASTER'!$AC$2:$AC$495&gt;=8))*ROW('CONTROL MASTER'!$S$2:$S$495))-(ROW('CONTROL MASTER'!#REF!)-1)))-INDEX('CONTROL MASTER'!$AA$2:$AA$495,(SUMPRODUCT((('CONTROL MASTER'!$S$2:$S$495=2)*('CONTROL MASTER'!$Z$2:$Z$495&lt;=4)*('CONTROL MASTER'!$AB$2:$AB$495&gt;=4)*('CONTROL MASTER'!$AA$2:$AA$495&lt;=8)*('CONTROL MASTER'!$AC$2:$AC$495&gt;=8))*ROW('CONTROL MASTER'!$S$2:$S$495))-(ROW('CONTROL MASTER'!#REF!)-1)))+1)+(8-INDEX('CONTROL MASTER'!$AA$2:$AA$495,(SUMPRODUCT((('CONTROL MASTER'!$S$2:$S$495=2)*('CONTROL MASTER'!$Z$2:$Z$495&lt;=4)*('CONTROL MASTER'!$AB$2:$AB$495&gt;=4)*('CONTROL MASTER'!$AA$2:$AA$495&lt;=8)*('CONTROL MASTER'!$AC$2:$AC$495&gt;=8))*ROW('CONTROL MASTER'!$S$2:$S$495))-(ROW('CONTROL MASTER'!#REF!)-1))))+1)))-1)*50+1,50))&amp;"_"&amp;INDEX('CONTROL MASTER'!$P$2:$P$495,(SUMPRODUCT((('CONTROL MASTER'!$S$2:$S$495=2)*('CONTROL MASTER'!$Z$2:$Z$495&lt;=4)*('CONTROL MASTER'!$AB$2:$AB$495&gt;=4)*('CONTROL MASTER'!$AA$2:$AA$495&lt;=8)*('CONTROL MASTER'!$AC$2:$AC$495&gt;=8))*ROW('CONTROL MASTER'!$S$2:$S$495))-(ROW('CONTROL MASTER'!#REF!)-1))),"")),"")</f>
        <v/>
      </c>
      <c r="J20" s="10" t="str">
        <f>IFERROR(IF(SUMPRODUCT((('CONTROL MASTER'!$S$2:$S$495=2)*('CONTROL MASTER'!$T$2:$T$495&lt;=4)*('CONTROL MASTER'!$V$2:$V$495&gt;=4)*('CONTROL MASTER'!$U$2:$U$495&lt;=9)*('CONTROL MASTER'!$W$2:$W$495&gt;=9))*ROW('CONTROL MASTER'!$S$2:$S$495))&gt;0,INDEX('CONTROL MASTER'!$X$2:$X$495,(SUMPRODUCT((('CONTROL MASTER'!$S$2:$S$495=2)*('CONTROL MASTER'!$T$2:$T$495&lt;=4)*('CONTROL MASTER'!$V$2:$V$495&gt;=4)*('CONTROL MASTER'!$U$2:$U$495&lt;=9)*('CONTROL MASTER'!$W$2:$W$495&gt;=9))*ROW('CONTROL MASTER'!$S$2:$S$495))-(ROW('CONTROL MASTER'!#REF!)-1)))&amp;TRIM(MID(SUBSTITUTE(SUBSTITUTE(INDEX('CONTROL MASTER'!$N$2:$N$495,(SUMPRODUCT((('CONTROL MASTER'!$S$2:$S$495=2)*('CONTROL MASTER'!$T$2:$T$495&lt;=4)*('CONTROL MASTER'!$V$2:$V$495&gt;=4)*('CONTROL MASTER'!$U$2:$U$495&lt;=9)*('CONTROL MASTER'!$W$2:$W$495&gt;=9))*ROW('CONTROL MASTER'!$S$2:$S$495))-(ROW('CONTROL MASTER'!#REF!)-1))),":",","),",",REPT(" ",50)),((((4-INDEX('CONTROL MASTER'!$T$2:$T$495,(SUMPRODUCT((('CONTROL MASTER'!$S$2:$S$495=2)*('CONTROL MASTER'!$T$2:$T$495&lt;=4)*('CONTROL MASTER'!$V$2:$V$495&gt;=4)*('CONTROL MASTER'!$U$2:$U$495&lt;=9)*('CONTROL MASTER'!$W$2:$W$495&gt;=9))*ROW('CONTROL MASTER'!$S$2:$S$495))-(ROW('CONTROL MASTER'!#REF!)-1))))*(INDEX('CONTROL MASTER'!$W$2:$W$495,(SUMPRODUCT((('CONTROL MASTER'!$S$2:$S$495=2)*('CONTROL MASTER'!$T$2:$T$495&lt;=4)*('CONTROL MASTER'!$V$2:$V$495&gt;=4)*('CONTROL MASTER'!$U$2:$U$495&lt;=9)*('CONTROL MASTER'!$W$2:$W$495&gt;=9))*ROW('CONTROL MASTER'!$S$2:$S$495))-(ROW('CONTROL MASTER'!#REF!)-1)))-INDEX('CONTROL MASTER'!$U$2:$U$495,(SUMPRODUCT((('CONTROL MASTER'!$S$2:$S$495=2)*('CONTROL MASTER'!$T$2:$T$495&lt;=4)*('CONTROL MASTER'!$V$2:$V$495&gt;=4)*('CONTROL MASTER'!$U$2:$U$495&lt;=9)*('CONTROL MASTER'!$W$2:$W$495&gt;=9))*ROW('CONTROL MASTER'!$S$2:$S$495))-(ROW('CONTROL MASTER'!#REF!)-1)))+1)+(9-INDEX('CONTROL MASTER'!$U$2:$U$495,(SUMPRODUCT((('CONTROL MASTER'!$S$2:$S$495=2)*('CONTROL MASTER'!$T$2:$T$495&lt;=4)*('CONTROL MASTER'!$V$2:$V$495&gt;=4)*('CONTROL MASTER'!$U$2:$U$495&lt;=9)*('CONTROL MASTER'!$W$2:$W$495&gt;=9))*ROW('CONTROL MASTER'!$S$2:$S$495))-(ROW('CONTROL MASTER'!#REF!)-1))))+1))-1)*50+1,50))&amp;"_"&amp;INDEX('CONTROL MASTER'!$P$2:$P$495,(SUMPRODUCT((('CONTROL MASTER'!$S$2:$S$495=2)*('CONTROL MASTER'!$T$2:$T$495&lt;=4)*('CONTROL MASTER'!$V$2:$V$495&gt;=4)*('CONTROL MASTER'!$U$2:$U$495&lt;=9)*('CONTROL MASTER'!$W$2:$W$495&gt;=9))*ROW('CONTROL MASTER'!$S$2:$S$495))-(ROW('CONTROL MASTER'!#REF!)-1))),IF(SUMPRODUCT((('CONTROL MASTER'!$S$2:$S$495=2)*('CONTROL MASTER'!$Z$2:$Z$495&lt;=4)*('CONTROL MASTER'!$AB$2:$AB$495&gt;=4)*('CONTROL MASTER'!$AA$2:$AA$495&lt;=9)*('CONTROL MASTER'!$AC$2:$AC$495&gt;=9))*ROW('CONTROL MASTER'!$S$2:$S$495))&gt;0,INDEX('CONTROL MASTER'!$X$2:$X$495,(SUMPRODUCT((('CONTROL MASTER'!$S$2:$S$495=2)*('CONTROL MASTER'!$Z$2:$Z$495&lt;=4)*('CONTROL MASTER'!$AB$2:$AB$495&gt;=4)*('CONTROL MASTER'!$AA$2:$AA$495&lt;=9)*('CONTROL MASTER'!$AC$2:$AC$495&gt;=9))*ROW('CONTROL MASTER'!$S$2:$S$495))-(ROW('CONTROL MASTER'!#REF!)-1)))&amp;TRIM(MID(SUBSTITUTE(SUBSTITUTE(INDEX('CONTROL MASTER'!$N$2:$N$495,(SUMPRODUCT((('CONTROL MASTER'!$S$2:$S$495=2)*('CONTROL MASTER'!$Z$2:$Z$495&lt;=4)*('CONTROL MASTER'!$AB$2:$AB$495&gt;=4)*('CONTROL MASTER'!$AA$2:$AA$495&lt;=9)*('CONTROL MASTER'!$AC$2:$AC$495&gt;=9))*ROW('CONTROL MASTER'!$S$2:$S$495))-(ROW('CONTROL MASTER'!#REF!)-1))),":",","),",",REPT(" ",50)),(((INDEX('CONTROL MASTER'!$Y$2:$Y$495,(SUMPRODUCT((('CONTROL MASTER'!$S$2:$S$495=2)*('CONTROL MASTER'!$Z$2:$Z$495&lt;=4)*('CONTROL MASTER'!$AB$2:$AB$495&gt;=4)*('CONTROL MASTER'!$AA$2:$AA$495&lt;=9)*('CONTROL MASTER'!$AC$2:$AC$495&gt;=9))*ROW('CONTROL MASTER'!$S$2:$S$495))-(ROW('CONTROL MASTER'!#REF!)-1)))+((4-INDEX('CONTROL MASTER'!$Z$2:$Z$495,(SUMPRODUCT((('CONTROL MASTER'!$S$2:$S$495=2)*('CONTROL MASTER'!$Z$2:$Z$495&lt;=4)*('CONTROL MASTER'!$AB$2:$AB$495&gt;=4)*('CONTROL MASTER'!$AA$2:$AA$495&lt;=9)*('CONTROL MASTER'!$AC$2:$AC$495&gt;=9))*ROW('CONTROL MASTER'!$S$2:$S$495))-(ROW('CONTROL MASTER'!#REF!)-1))))*(INDEX('CONTROL MASTER'!$AC$2:$AC$495,(SUMPRODUCT((('CONTROL MASTER'!$S$2:$S$495=2)*('CONTROL MASTER'!$Z$2:$Z$495&lt;=4)*('CONTROL MASTER'!$AB$2:$AB$495&gt;=4)*('CONTROL MASTER'!$AA$2:$AA$495&lt;=9)*('CONTROL MASTER'!$AC$2:$AC$495&gt;=9))*ROW('CONTROL MASTER'!$S$2:$S$495))-(ROW('CONTROL MASTER'!#REF!)-1)))-INDEX('CONTROL MASTER'!$AA$2:$AA$495,(SUMPRODUCT((('CONTROL MASTER'!$S$2:$S$495=2)*('CONTROL MASTER'!$Z$2:$Z$495&lt;=4)*('CONTROL MASTER'!$AB$2:$AB$495&gt;=4)*('CONTROL MASTER'!$AA$2:$AA$495&lt;=9)*('CONTROL MASTER'!$AC$2:$AC$495&gt;=9))*ROW('CONTROL MASTER'!$S$2:$S$495))-(ROW('CONTROL MASTER'!#REF!)-1)))+1)+(9-INDEX('CONTROL MASTER'!$AA$2:$AA$495,(SUMPRODUCT((('CONTROL MASTER'!$S$2:$S$495=2)*('CONTROL MASTER'!$Z$2:$Z$495&lt;=4)*('CONTROL MASTER'!$AB$2:$AB$495&gt;=4)*('CONTROL MASTER'!$AA$2:$AA$495&lt;=9)*('CONTROL MASTER'!$AC$2:$AC$495&gt;=9))*ROW('CONTROL MASTER'!$S$2:$S$495))-(ROW('CONTROL MASTER'!#REF!)-1))))+1)))-1)*50+1,50))&amp;"_"&amp;INDEX('CONTROL MASTER'!$P$2:$P$495,(SUMPRODUCT((('CONTROL MASTER'!$S$2:$S$495=2)*('CONTROL MASTER'!$Z$2:$Z$495&lt;=4)*('CONTROL MASTER'!$AB$2:$AB$495&gt;=4)*('CONTROL MASTER'!$AA$2:$AA$495&lt;=9)*('CONTROL MASTER'!$AC$2:$AC$495&gt;=9))*ROW('CONTROL MASTER'!$S$2:$S$495))-(ROW('CONTROL MASTER'!#REF!)-1))),"")),"")</f>
        <v/>
      </c>
      <c r="K20" s="10" t="str">
        <f>IFERROR(IF(SUMPRODUCT((('CONTROL MASTER'!$S$2:$S$495=2)*('CONTROL MASTER'!$T$2:$T$495&lt;=4)*('CONTROL MASTER'!$V$2:$V$495&gt;=4)*('CONTROL MASTER'!$U$2:$U$495&lt;=10)*('CONTROL MASTER'!$W$2:$W$495&gt;=10))*ROW('CONTROL MASTER'!$S$2:$S$495))&gt;0,INDEX('CONTROL MASTER'!$X$2:$X$495,(SUMPRODUCT((('CONTROL MASTER'!$S$2:$S$495=2)*('CONTROL MASTER'!$T$2:$T$495&lt;=4)*('CONTROL MASTER'!$V$2:$V$495&gt;=4)*('CONTROL MASTER'!$U$2:$U$495&lt;=10)*('CONTROL MASTER'!$W$2:$W$495&gt;=10))*ROW('CONTROL MASTER'!$S$2:$S$495))-(ROW('CONTROL MASTER'!#REF!)-1)))&amp;TRIM(MID(SUBSTITUTE(SUBSTITUTE(INDEX('CONTROL MASTER'!$N$2:$N$495,(SUMPRODUCT((('CONTROL MASTER'!$S$2:$S$495=2)*('CONTROL MASTER'!$T$2:$T$495&lt;=4)*('CONTROL MASTER'!$V$2:$V$495&gt;=4)*('CONTROL MASTER'!$U$2:$U$495&lt;=10)*('CONTROL MASTER'!$W$2:$W$495&gt;=10))*ROW('CONTROL MASTER'!$S$2:$S$495))-(ROW('CONTROL MASTER'!#REF!)-1))),":",","),",",REPT(" ",50)),((((4-INDEX('CONTROL MASTER'!$T$2:$T$495,(SUMPRODUCT((('CONTROL MASTER'!$S$2:$S$495=2)*('CONTROL MASTER'!$T$2:$T$495&lt;=4)*('CONTROL MASTER'!$V$2:$V$495&gt;=4)*('CONTROL MASTER'!$U$2:$U$495&lt;=10)*('CONTROL MASTER'!$W$2:$W$495&gt;=10))*ROW('CONTROL MASTER'!$S$2:$S$495))-(ROW('CONTROL MASTER'!#REF!)-1))))*(INDEX('CONTROL MASTER'!$W$2:$W$495,(SUMPRODUCT((('CONTROL MASTER'!$S$2:$S$495=2)*('CONTROL MASTER'!$T$2:$T$495&lt;=4)*('CONTROL MASTER'!$V$2:$V$495&gt;=4)*('CONTROL MASTER'!$U$2:$U$495&lt;=10)*('CONTROL MASTER'!$W$2:$W$495&gt;=10))*ROW('CONTROL MASTER'!$S$2:$S$495))-(ROW('CONTROL MASTER'!#REF!)-1)))-INDEX('CONTROL MASTER'!$U$2:$U$495,(SUMPRODUCT((('CONTROL MASTER'!$S$2:$S$495=2)*('CONTROL MASTER'!$T$2:$T$495&lt;=4)*('CONTROL MASTER'!$V$2:$V$495&gt;=4)*('CONTROL MASTER'!$U$2:$U$495&lt;=10)*('CONTROL MASTER'!$W$2:$W$495&gt;=10))*ROW('CONTROL MASTER'!$S$2:$S$495))-(ROW('CONTROL MASTER'!#REF!)-1)))+1)+(10-INDEX('CONTROL MASTER'!$U$2:$U$495,(SUMPRODUCT((('CONTROL MASTER'!$S$2:$S$495=2)*('CONTROL MASTER'!$T$2:$T$495&lt;=4)*('CONTROL MASTER'!$V$2:$V$495&gt;=4)*('CONTROL MASTER'!$U$2:$U$495&lt;=10)*('CONTROL MASTER'!$W$2:$W$495&gt;=10))*ROW('CONTROL MASTER'!$S$2:$S$495))-(ROW('CONTROL MASTER'!#REF!)-1))))+1))-1)*50+1,50))&amp;"_"&amp;INDEX('CONTROL MASTER'!$P$2:$P$495,(SUMPRODUCT((('CONTROL MASTER'!$S$2:$S$495=2)*('CONTROL MASTER'!$T$2:$T$495&lt;=4)*('CONTROL MASTER'!$V$2:$V$495&gt;=4)*('CONTROL MASTER'!$U$2:$U$495&lt;=10)*('CONTROL MASTER'!$W$2:$W$495&gt;=10))*ROW('CONTROL MASTER'!$S$2:$S$495))-(ROW('CONTROL MASTER'!#REF!)-1))),IF(SUMPRODUCT((('CONTROL MASTER'!$S$2:$S$495=2)*('CONTROL MASTER'!$Z$2:$Z$495&lt;=4)*('CONTROL MASTER'!$AB$2:$AB$495&gt;=4)*('CONTROL MASTER'!$AA$2:$AA$495&lt;=10)*('CONTROL MASTER'!$AC$2:$AC$495&gt;=10))*ROW('CONTROL MASTER'!$S$2:$S$495))&gt;0,INDEX('CONTROL MASTER'!$X$2:$X$495,(SUMPRODUCT((('CONTROL MASTER'!$S$2:$S$495=2)*('CONTROL MASTER'!$Z$2:$Z$495&lt;=4)*('CONTROL MASTER'!$AB$2:$AB$495&gt;=4)*('CONTROL MASTER'!$AA$2:$AA$495&lt;=10)*('CONTROL MASTER'!$AC$2:$AC$495&gt;=10))*ROW('CONTROL MASTER'!$S$2:$S$495))-(ROW('CONTROL MASTER'!#REF!)-1)))&amp;TRIM(MID(SUBSTITUTE(SUBSTITUTE(INDEX('CONTROL MASTER'!$N$2:$N$495,(SUMPRODUCT((('CONTROL MASTER'!$S$2:$S$495=2)*('CONTROL MASTER'!$Z$2:$Z$495&lt;=4)*('CONTROL MASTER'!$AB$2:$AB$495&gt;=4)*('CONTROL MASTER'!$AA$2:$AA$495&lt;=10)*('CONTROL MASTER'!$AC$2:$AC$495&gt;=10))*ROW('CONTROL MASTER'!$S$2:$S$495))-(ROW('CONTROL MASTER'!#REF!)-1))),":",","),",",REPT(" ",50)),(((INDEX('CONTROL MASTER'!$Y$2:$Y$495,(SUMPRODUCT((('CONTROL MASTER'!$S$2:$S$495=2)*('CONTROL MASTER'!$Z$2:$Z$495&lt;=4)*('CONTROL MASTER'!$AB$2:$AB$495&gt;=4)*('CONTROL MASTER'!$AA$2:$AA$495&lt;=10)*('CONTROL MASTER'!$AC$2:$AC$495&gt;=10))*ROW('CONTROL MASTER'!$S$2:$S$495))-(ROW('CONTROL MASTER'!#REF!)-1)))+((4-INDEX('CONTROL MASTER'!$Z$2:$Z$495,(SUMPRODUCT((('CONTROL MASTER'!$S$2:$S$495=2)*('CONTROL MASTER'!$Z$2:$Z$495&lt;=4)*('CONTROL MASTER'!$AB$2:$AB$495&gt;=4)*('CONTROL MASTER'!$AA$2:$AA$495&lt;=10)*('CONTROL MASTER'!$AC$2:$AC$495&gt;=10))*ROW('CONTROL MASTER'!$S$2:$S$495))-(ROW('CONTROL MASTER'!#REF!)-1))))*(INDEX('CONTROL MASTER'!$AC$2:$AC$495,(SUMPRODUCT((('CONTROL MASTER'!$S$2:$S$495=2)*('CONTROL MASTER'!$Z$2:$Z$495&lt;=4)*('CONTROL MASTER'!$AB$2:$AB$495&gt;=4)*('CONTROL MASTER'!$AA$2:$AA$495&lt;=10)*('CONTROL MASTER'!$AC$2:$AC$495&gt;=10))*ROW('CONTROL MASTER'!$S$2:$S$495))-(ROW('CONTROL MASTER'!#REF!)-1)))-INDEX('CONTROL MASTER'!$AA$2:$AA$495,(SUMPRODUCT((('CONTROL MASTER'!$S$2:$S$495=2)*('CONTROL MASTER'!$Z$2:$Z$495&lt;=4)*('CONTROL MASTER'!$AB$2:$AB$495&gt;=4)*('CONTROL MASTER'!$AA$2:$AA$495&lt;=10)*('CONTROL MASTER'!$AC$2:$AC$495&gt;=10))*ROW('CONTROL MASTER'!$S$2:$S$495))-(ROW('CONTROL MASTER'!#REF!)-1)))+1)+(10-INDEX('CONTROL MASTER'!$AA$2:$AA$495,(SUMPRODUCT((('CONTROL MASTER'!$S$2:$S$495=2)*('CONTROL MASTER'!$Z$2:$Z$495&lt;=4)*('CONTROL MASTER'!$AB$2:$AB$495&gt;=4)*('CONTROL MASTER'!$AA$2:$AA$495&lt;=10)*('CONTROL MASTER'!$AC$2:$AC$495&gt;=10))*ROW('CONTROL MASTER'!$S$2:$S$495))-(ROW('CONTROL MASTER'!#REF!)-1))))+1)))-1)*50+1,50))&amp;"_"&amp;INDEX('CONTROL MASTER'!$P$2:$P$495,(SUMPRODUCT((('CONTROL MASTER'!$S$2:$S$495=2)*('CONTROL MASTER'!$Z$2:$Z$495&lt;=4)*('CONTROL MASTER'!$AB$2:$AB$495&gt;=4)*('CONTROL MASTER'!$AA$2:$AA$495&lt;=10)*('CONTROL MASTER'!$AC$2:$AC$495&gt;=10))*ROW('CONTROL MASTER'!$S$2:$S$495))-(ROW('CONTROL MASTER'!#REF!)-1))),"")),"")</f>
        <v/>
      </c>
    </row>
    <row r="21" spans="1:11" ht="15" customHeight="1" x14ac:dyDescent="0.35">
      <c r="A21" s="8" t="s">
        <v>32</v>
      </c>
      <c r="B21" s="10" t="str">
        <f>IFERROR(IF(SUMPRODUCT((('CONTROL MASTER'!$S$2:$S$495=2)*('CONTROL MASTER'!$T$2:$T$495&lt;=5)*('CONTROL MASTER'!$V$2:$V$495&gt;=5)*('CONTROL MASTER'!$U$2:$U$495&lt;=1)*('CONTROL MASTER'!$W$2:$W$495&gt;=1))*ROW('CONTROL MASTER'!$S$2:$S$495))&gt;0,INDEX('CONTROL MASTER'!$X$2:$X$495,(SUMPRODUCT((('CONTROL MASTER'!$S$2:$S$495=2)*('CONTROL MASTER'!$T$2:$T$495&lt;=5)*('CONTROL MASTER'!$V$2:$V$495&gt;=5)*('CONTROL MASTER'!$U$2:$U$495&lt;=1)*('CONTROL MASTER'!$W$2:$W$495&gt;=1))*ROW('CONTROL MASTER'!$S$2:$S$495))-(ROW('CONTROL MASTER'!#REF!)-1)))&amp;TRIM(MID(SUBSTITUTE(SUBSTITUTE(INDEX('CONTROL MASTER'!$N$2:$N$495,(SUMPRODUCT((('CONTROL MASTER'!$S$2:$S$495=2)*('CONTROL MASTER'!$T$2:$T$495&lt;=5)*('CONTROL MASTER'!$V$2:$V$495&gt;=5)*('CONTROL MASTER'!$U$2:$U$495&lt;=1)*('CONTROL MASTER'!$W$2:$W$495&gt;=1))*ROW('CONTROL MASTER'!$S$2:$S$495))-(ROW('CONTROL MASTER'!#REF!)-1))),":",","),",",REPT(" ",50)),((((5-INDEX('CONTROL MASTER'!$T$2:$T$495,(SUMPRODUCT((('CONTROL MASTER'!$S$2:$S$495=2)*('CONTROL MASTER'!$T$2:$T$495&lt;=5)*('CONTROL MASTER'!$V$2:$V$495&gt;=5)*('CONTROL MASTER'!$U$2:$U$495&lt;=1)*('CONTROL MASTER'!$W$2:$W$495&gt;=1))*ROW('CONTROL MASTER'!$S$2:$S$495))-(ROW('CONTROL MASTER'!#REF!)-1))))*(INDEX('CONTROL MASTER'!$W$2:$W$495,(SUMPRODUCT((('CONTROL MASTER'!$S$2:$S$495=2)*('CONTROL MASTER'!$T$2:$T$495&lt;=5)*('CONTROL MASTER'!$V$2:$V$495&gt;=5)*('CONTROL MASTER'!$U$2:$U$495&lt;=1)*('CONTROL MASTER'!$W$2:$W$495&gt;=1))*ROW('CONTROL MASTER'!$S$2:$S$495))-(ROW('CONTROL MASTER'!#REF!)-1)))-INDEX('CONTROL MASTER'!$U$2:$U$495,(SUMPRODUCT((('CONTROL MASTER'!$S$2:$S$495=2)*('CONTROL MASTER'!$T$2:$T$495&lt;=5)*('CONTROL MASTER'!$V$2:$V$495&gt;=5)*('CONTROL MASTER'!$U$2:$U$495&lt;=1)*('CONTROL MASTER'!$W$2:$W$495&gt;=1))*ROW('CONTROL MASTER'!$S$2:$S$495))-(ROW('CONTROL MASTER'!#REF!)-1)))+1)+(1-INDEX('CONTROL MASTER'!$U$2:$U$495,(SUMPRODUCT((('CONTROL MASTER'!$S$2:$S$495=2)*('CONTROL MASTER'!$T$2:$T$495&lt;=5)*('CONTROL MASTER'!$V$2:$V$495&gt;=5)*('CONTROL MASTER'!$U$2:$U$495&lt;=1)*('CONTROL MASTER'!$W$2:$W$495&gt;=1))*ROW('CONTROL MASTER'!$S$2:$S$495))-(ROW('CONTROL MASTER'!#REF!)-1))))+1))-1)*50+1,50))&amp;"_"&amp;INDEX('CONTROL MASTER'!$P$2:$P$495,(SUMPRODUCT((('CONTROL MASTER'!$S$2:$S$495=2)*('CONTROL MASTER'!$T$2:$T$495&lt;=5)*('CONTROL MASTER'!$V$2:$V$495&gt;=5)*('CONTROL MASTER'!$U$2:$U$495&lt;=1)*('CONTROL MASTER'!$W$2:$W$495&gt;=1))*ROW('CONTROL MASTER'!$S$2:$S$495))-(ROW('CONTROL MASTER'!#REF!)-1))),IF(SUMPRODUCT((('CONTROL MASTER'!$S$2:$S$495=2)*('CONTROL MASTER'!$Z$2:$Z$495&lt;=5)*('CONTROL MASTER'!$AB$2:$AB$495&gt;=5)*('CONTROL MASTER'!$AA$2:$AA$495&lt;=1)*('CONTROL MASTER'!$AC$2:$AC$495&gt;=1))*ROW('CONTROL MASTER'!$S$2:$S$495))&gt;0,INDEX('CONTROL MASTER'!$X$2:$X$495,(SUMPRODUCT((('CONTROL MASTER'!$S$2:$S$495=2)*('CONTROL MASTER'!$Z$2:$Z$495&lt;=5)*('CONTROL MASTER'!$AB$2:$AB$495&gt;=5)*('CONTROL MASTER'!$AA$2:$AA$495&lt;=1)*('CONTROL MASTER'!$AC$2:$AC$495&gt;=1))*ROW('CONTROL MASTER'!$S$2:$S$495))-(ROW('CONTROL MASTER'!#REF!)-1)))&amp;TRIM(MID(SUBSTITUTE(SUBSTITUTE(INDEX('CONTROL MASTER'!$N$2:$N$495,(SUMPRODUCT((('CONTROL MASTER'!$S$2:$S$495=2)*('CONTROL MASTER'!$Z$2:$Z$495&lt;=5)*('CONTROL MASTER'!$AB$2:$AB$495&gt;=5)*('CONTROL MASTER'!$AA$2:$AA$495&lt;=1)*('CONTROL MASTER'!$AC$2:$AC$495&gt;=1))*ROW('CONTROL MASTER'!$S$2:$S$495))-(ROW('CONTROL MASTER'!#REF!)-1))),":",","),",",REPT(" ",50)),(((INDEX('CONTROL MASTER'!$Y$2:$Y$495,(SUMPRODUCT((('CONTROL MASTER'!$S$2:$S$495=2)*('CONTROL MASTER'!$Z$2:$Z$495&lt;=5)*('CONTROL MASTER'!$AB$2:$AB$495&gt;=5)*('CONTROL MASTER'!$AA$2:$AA$495&lt;=1)*('CONTROL MASTER'!$AC$2:$AC$495&gt;=1))*ROW('CONTROL MASTER'!$S$2:$S$495))-(ROW('CONTROL MASTER'!#REF!)-1)))+((5-INDEX('CONTROL MASTER'!$Z$2:$Z$495,(SUMPRODUCT((('CONTROL MASTER'!$S$2:$S$495=2)*('CONTROL MASTER'!$Z$2:$Z$495&lt;=5)*('CONTROL MASTER'!$AB$2:$AB$495&gt;=5)*('CONTROL MASTER'!$AA$2:$AA$495&lt;=1)*('CONTROL MASTER'!$AC$2:$AC$495&gt;=1))*ROW('CONTROL MASTER'!$S$2:$S$495))-(ROW('CONTROL MASTER'!#REF!)-1))))*(INDEX('CONTROL MASTER'!$AC$2:$AC$495,(SUMPRODUCT((('CONTROL MASTER'!$S$2:$S$495=2)*('CONTROL MASTER'!$Z$2:$Z$495&lt;=5)*('CONTROL MASTER'!$AB$2:$AB$495&gt;=5)*('CONTROL MASTER'!$AA$2:$AA$495&lt;=1)*('CONTROL MASTER'!$AC$2:$AC$495&gt;=1))*ROW('CONTROL MASTER'!$S$2:$S$495))-(ROW('CONTROL MASTER'!#REF!)-1)))-INDEX('CONTROL MASTER'!$AA$2:$AA$495,(SUMPRODUCT((('CONTROL MASTER'!$S$2:$S$495=2)*('CONTROL MASTER'!$Z$2:$Z$495&lt;=5)*('CONTROL MASTER'!$AB$2:$AB$495&gt;=5)*('CONTROL MASTER'!$AA$2:$AA$495&lt;=1)*('CONTROL MASTER'!$AC$2:$AC$495&gt;=1))*ROW('CONTROL MASTER'!$S$2:$S$495))-(ROW('CONTROL MASTER'!#REF!)-1)))+1)+(1-INDEX('CONTROL MASTER'!$AA$2:$AA$495,(SUMPRODUCT((('CONTROL MASTER'!$S$2:$S$495=2)*('CONTROL MASTER'!$Z$2:$Z$495&lt;=5)*('CONTROL MASTER'!$AB$2:$AB$495&gt;=5)*('CONTROL MASTER'!$AA$2:$AA$495&lt;=1)*('CONTROL MASTER'!$AC$2:$AC$495&gt;=1))*ROW('CONTROL MASTER'!$S$2:$S$495))-(ROW('CONTROL MASTER'!#REF!)-1))))+1)))-1)*50+1,50))&amp;"_"&amp;INDEX('CONTROL MASTER'!$P$2:$P$495,(SUMPRODUCT((('CONTROL MASTER'!$S$2:$S$495=2)*('CONTROL MASTER'!$Z$2:$Z$495&lt;=5)*('CONTROL MASTER'!$AB$2:$AB$495&gt;=5)*('CONTROL MASTER'!$AA$2:$AA$495&lt;=1)*('CONTROL MASTER'!$AC$2:$AC$495&gt;=1))*ROW('CONTROL MASTER'!$S$2:$S$495))-(ROW('CONTROL MASTER'!#REF!)-1))),"")),"")</f>
        <v/>
      </c>
      <c r="C21" s="10" t="str">
        <f>IFERROR(IF(SUMPRODUCT((('CONTROL MASTER'!$S$2:$S$495=2)*('CONTROL MASTER'!$T$2:$T$495&lt;=5)*('CONTROL MASTER'!$V$2:$V$495&gt;=5)*('CONTROL MASTER'!$U$2:$U$495&lt;=2)*('CONTROL MASTER'!$W$2:$W$495&gt;=2))*ROW('CONTROL MASTER'!$S$2:$S$495))&gt;0,INDEX('CONTROL MASTER'!$X$2:$X$495,(SUMPRODUCT((('CONTROL MASTER'!$S$2:$S$495=2)*('CONTROL MASTER'!$T$2:$T$495&lt;=5)*('CONTROL MASTER'!$V$2:$V$495&gt;=5)*('CONTROL MASTER'!$U$2:$U$495&lt;=2)*('CONTROL MASTER'!$W$2:$W$495&gt;=2))*ROW('CONTROL MASTER'!$S$2:$S$495))-(ROW('CONTROL MASTER'!#REF!)-1)))&amp;TRIM(MID(SUBSTITUTE(SUBSTITUTE(INDEX('CONTROL MASTER'!$N$2:$N$495,(SUMPRODUCT((('CONTROL MASTER'!$S$2:$S$495=2)*('CONTROL MASTER'!$T$2:$T$495&lt;=5)*('CONTROL MASTER'!$V$2:$V$495&gt;=5)*('CONTROL MASTER'!$U$2:$U$495&lt;=2)*('CONTROL MASTER'!$W$2:$W$495&gt;=2))*ROW('CONTROL MASTER'!$S$2:$S$495))-(ROW('CONTROL MASTER'!#REF!)-1))),":",","),",",REPT(" ",50)),((((5-INDEX('CONTROL MASTER'!$T$2:$T$495,(SUMPRODUCT((('CONTROL MASTER'!$S$2:$S$495=2)*('CONTROL MASTER'!$T$2:$T$495&lt;=5)*('CONTROL MASTER'!$V$2:$V$495&gt;=5)*('CONTROL MASTER'!$U$2:$U$495&lt;=2)*('CONTROL MASTER'!$W$2:$W$495&gt;=2))*ROW('CONTROL MASTER'!$S$2:$S$495))-(ROW('CONTROL MASTER'!#REF!)-1))))*(INDEX('CONTROL MASTER'!$W$2:$W$495,(SUMPRODUCT((('CONTROL MASTER'!$S$2:$S$495=2)*('CONTROL MASTER'!$T$2:$T$495&lt;=5)*('CONTROL MASTER'!$V$2:$V$495&gt;=5)*('CONTROL MASTER'!$U$2:$U$495&lt;=2)*('CONTROL MASTER'!$W$2:$W$495&gt;=2))*ROW('CONTROL MASTER'!$S$2:$S$495))-(ROW('CONTROL MASTER'!#REF!)-1)))-INDEX('CONTROL MASTER'!$U$2:$U$495,(SUMPRODUCT((('CONTROL MASTER'!$S$2:$S$495=2)*('CONTROL MASTER'!$T$2:$T$495&lt;=5)*('CONTROL MASTER'!$V$2:$V$495&gt;=5)*('CONTROL MASTER'!$U$2:$U$495&lt;=2)*('CONTROL MASTER'!$W$2:$W$495&gt;=2))*ROW('CONTROL MASTER'!$S$2:$S$495))-(ROW('CONTROL MASTER'!#REF!)-1)))+1)+(2-INDEX('CONTROL MASTER'!$U$2:$U$495,(SUMPRODUCT((('CONTROL MASTER'!$S$2:$S$495=2)*('CONTROL MASTER'!$T$2:$T$495&lt;=5)*('CONTROL MASTER'!$V$2:$V$495&gt;=5)*('CONTROL MASTER'!$U$2:$U$495&lt;=2)*('CONTROL MASTER'!$W$2:$W$495&gt;=2))*ROW('CONTROL MASTER'!$S$2:$S$495))-(ROW('CONTROL MASTER'!#REF!)-1))))+1))-1)*50+1,50))&amp;"_"&amp;INDEX('CONTROL MASTER'!$P$2:$P$495,(SUMPRODUCT((('CONTROL MASTER'!$S$2:$S$495=2)*('CONTROL MASTER'!$T$2:$T$495&lt;=5)*('CONTROL MASTER'!$V$2:$V$495&gt;=5)*('CONTROL MASTER'!$U$2:$U$495&lt;=2)*('CONTROL MASTER'!$W$2:$W$495&gt;=2))*ROW('CONTROL MASTER'!$S$2:$S$495))-(ROW('CONTROL MASTER'!#REF!)-1))),IF(SUMPRODUCT((('CONTROL MASTER'!$S$2:$S$495=2)*('CONTROL MASTER'!$Z$2:$Z$495&lt;=5)*('CONTROL MASTER'!$AB$2:$AB$495&gt;=5)*('CONTROL MASTER'!$AA$2:$AA$495&lt;=2)*('CONTROL MASTER'!$AC$2:$AC$495&gt;=2))*ROW('CONTROL MASTER'!$S$2:$S$495))&gt;0,INDEX('CONTROL MASTER'!$X$2:$X$495,(SUMPRODUCT((('CONTROL MASTER'!$S$2:$S$495=2)*('CONTROL MASTER'!$Z$2:$Z$495&lt;=5)*('CONTROL MASTER'!$AB$2:$AB$495&gt;=5)*('CONTROL MASTER'!$AA$2:$AA$495&lt;=2)*('CONTROL MASTER'!$AC$2:$AC$495&gt;=2))*ROW('CONTROL MASTER'!$S$2:$S$495))-(ROW('CONTROL MASTER'!#REF!)-1)))&amp;TRIM(MID(SUBSTITUTE(SUBSTITUTE(INDEX('CONTROL MASTER'!$N$2:$N$495,(SUMPRODUCT((('CONTROL MASTER'!$S$2:$S$495=2)*('CONTROL MASTER'!$Z$2:$Z$495&lt;=5)*('CONTROL MASTER'!$AB$2:$AB$495&gt;=5)*('CONTROL MASTER'!$AA$2:$AA$495&lt;=2)*('CONTROL MASTER'!$AC$2:$AC$495&gt;=2))*ROW('CONTROL MASTER'!$S$2:$S$495))-(ROW('CONTROL MASTER'!#REF!)-1))),":",","),",",REPT(" ",50)),(((INDEX('CONTROL MASTER'!$Y$2:$Y$495,(SUMPRODUCT((('CONTROL MASTER'!$S$2:$S$495=2)*('CONTROL MASTER'!$Z$2:$Z$495&lt;=5)*('CONTROL MASTER'!$AB$2:$AB$495&gt;=5)*('CONTROL MASTER'!$AA$2:$AA$495&lt;=2)*('CONTROL MASTER'!$AC$2:$AC$495&gt;=2))*ROW('CONTROL MASTER'!$S$2:$S$495))-(ROW('CONTROL MASTER'!#REF!)-1)))+((5-INDEX('CONTROL MASTER'!$Z$2:$Z$495,(SUMPRODUCT((('CONTROL MASTER'!$S$2:$S$495=2)*('CONTROL MASTER'!$Z$2:$Z$495&lt;=5)*('CONTROL MASTER'!$AB$2:$AB$495&gt;=5)*('CONTROL MASTER'!$AA$2:$AA$495&lt;=2)*('CONTROL MASTER'!$AC$2:$AC$495&gt;=2))*ROW('CONTROL MASTER'!$S$2:$S$495))-(ROW('CONTROL MASTER'!#REF!)-1))))*(INDEX('CONTROL MASTER'!$AC$2:$AC$495,(SUMPRODUCT((('CONTROL MASTER'!$S$2:$S$495=2)*('CONTROL MASTER'!$Z$2:$Z$495&lt;=5)*('CONTROL MASTER'!$AB$2:$AB$495&gt;=5)*('CONTROL MASTER'!$AA$2:$AA$495&lt;=2)*('CONTROL MASTER'!$AC$2:$AC$495&gt;=2))*ROW('CONTROL MASTER'!$S$2:$S$495))-(ROW('CONTROL MASTER'!#REF!)-1)))-INDEX('CONTROL MASTER'!$AA$2:$AA$495,(SUMPRODUCT((('CONTROL MASTER'!$S$2:$S$495=2)*('CONTROL MASTER'!$Z$2:$Z$495&lt;=5)*('CONTROL MASTER'!$AB$2:$AB$495&gt;=5)*('CONTROL MASTER'!$AA$2:$AA$495&lt;=2)*('CONTROL MASTER'!$AC$2:$AC$495&gt;=2))*ROW('CONTROL MASTER'!$S$2:$S$495))-(ROW('CONTROL MASTER'!#REF!)-1)))+1)+(2-INDEX('CONTROL MASTER'!$AA$2:$AA$495,(SUMPRODUCT((('CONTROL MASTER'!$S$2:$S$495=2)*('CONTROL MASTER'!$Z$2:$Z$495&lt;=5)*('CONTROL MASTER'!$AB$2:$AB$495&gt;=5)*('CONTROL MASTER'!$AA$2:$AA$495&lt;=2)*('CONTROL MASTER'!$AC$2:$AC$495&gt;=2))*ROW('CONTROL MASTER'!$S$2:$S$495))-(ROW('CONTROL MASTER'!#REF!)-1))))+1)))-1)*50+1,50))&amp;"_"&amp;INDEX('CONTROL MASTER'!$P$2:$P$495,(SUMPRODUCT((('CONTROL MASTER'!$S$2:$S$495=2)*('CONTROL MASTER'!$Z$2:$Z$495&lt;=5)*('CONTROL MASTER'!$AB$2:$AB$495&gt;=5)*('CONTROL MASTER'!$AA$2:$AA$495&lt;=2)*('CONTROL MASTER'!$AC$2:$AC$495&gt;=2))*ROW('CONTROL MASTER'!$S$2:$S$495))-(ROW('CONTROL MASTER'!#REF!)-1))),"")),"")</f>
        <v/>
      </c>
      <c r="D21" s="10" t="str">
        <f>IFERROR(IF(SUMPRODUCT((('CONTROL MASTER'!$S$2:$S$495=2)*('CONTROL MASTER'!$T$2:$T$495&lt;=5)*('CONTROL MASTER'!$V$2:$V$495&gt;=5)*('CONTROL MASTER'!$U$2:$U$495&lt;=3)*('CONTROL MASTER'!$W$2:$W$495&gt;=3))*ROW('CONTROL MASTER'!$S$2:$S$495))&gt;0,INDEX('CONTROL MASTER'!$X$2:$X$495,(SUMPRODUCT((('CONTROL MASTER'!$S$2:$S$495=2)*('CONTROL MASTER'!$T$2:$T$495&lt;=5)*('CONTROL MASTER'!$V$2:$V$495&gt;=5)*('CONTROL MASTER'!$U$2:$U$495&lt;=3)*('CONTROL MASTER'!$W$2:$W$495&gt;=3))*ROW('CONTROL MASTER'!$S$2:$S$495))-(ROW('CONTROL MASTER'!#REF!)-1)))&amp;TRIM(MID(SUBSTITUTE(SUBSTITUTE(INDEX('CONTROL MASTER'!$N$2:$N$495,(SUMPRODUCT((('CONTROL MASTER'!$S$2:$S$495=2)*('CONTROL MASTER'!$T$2:$T$495&lt;=5)*('CONTROL MASTER'!$V$2:$V$495&gt;=5)*('CONTROL MASTER'!$U$2:$U$495&lt;=3)*('CONTROL MASTER'!$W$2:$W$495&gt;=3))*ROW('CONTROL MASTER'!$S$2:$S$495))-(ROW('CONTROL MASTER'!#REF!)-1))),":",","),",",REPT(" ",50)),((((5-INDEX('CONTROL MASTER'!$T$2:$T$495,(SUMPRODUCT((('CONTROL MASTER'!$S$2:$S$495=2)*('CONTROL MASTER'!$T$2:$T$495&lt;=5)*('CONTROL MASTER'!$V$2:$V$495&gt;=5)*('CONTROL MASTER'!$U$2:$U$495&lt;=3)*('CONTROL MASTER'!$W$2:$W$495&gt;=3))*ROW('CONTROL MASTER'!$S$2:$S$495))-(ROW('CONTROL MASTER'!#REF!)-1))))*(INDEX('CONTROL MASTER'!$W$2:$W$495,(SUMPRODUCT((('CONTROL MASTER'!$S$2:$S$495=2)*('CONTROL MASTER'!$T$2:$T$495&lt;=5)*('CONTROL MASTER'!$V$2:$V$495&gt;=5)*('CONTROL MASTER'!$U$2:$U$495&lt;=3)*('CONTROL MASTER'!$W$2:$W$495&gt;=3))*ROW('CONTROL MASTER'!$S$2:$S$495))-(ROW('CONTROL MASTER'!#REF!)-1)))-INDEX('CONTROL MASTER'!$U$2:$U$495,(SUMPRODUCT((('CONTROL MASTER'!$S$2:$S$495=2)*('CONTROL MASTER'!$T$2:$T$495&lt;=5)*('CONTROL MASTER'!$V$2:$V$495&gt;=5)*('CONTROL MASTER'!$U$2:$U$495&lt;=3)*('CONTROL MASTER'!$W$2:$W$495&gt;=3))*ROW('CONTROL MASTER'!$S$2:$S$495))-(ROW('CONTROL MASTER'!#REF!)-1)))+1)+(3-INDEX('CONTROL MASTER'!$U$2:$U$495,(SUMPRODUCT((('CONTROL MASTER'!$S$2:$S$495=2)*('CONTROL MASTER'!$T$2:$T$495&lt;=5)*('CONTROL MASTER'!$V$2:$V$495&gt;=5)*('CONTROL MASTER'!$U$2:$U$495&lt;=3)*('CONTROL MASTER'!$W$2:$W$495&gt;=3))*ROW('CONTROL MASTER'!$S$2:$S$495))-(ROW('CONTROL MASTER'!#REF!)-1))))+1))-1)*50+1,50))&amp;"_"&amp;INDEX('CONTROL MASTER'!$P$2:$P$495,(SUMPRODUCT((('CONTROL MASTER'!$S$2:$S$495=2)*('CONTROL MASTER'!$T$2:$T$495&lt;=5)*('CONTROL MASTER'!$V$2:$V$495&gt;=5)*('CONTROL MASTER'!$U$2:$U$495&lt;=3)*('CONTROL MASTER'!$W$2:$W$495&gt;=3))*ROW('CONTROL MASTER'!$S$2:$S$495))-(ROW('CONTROL MASTER'!#REF!)-1))),IF(SUMPRODUCT((('CONTROL MASTER'!$S$2:$S$495=2)*('CONTROL MASTER'!$Z$2:$Z$495&lt;=5)*('CONTROL MASTER'!$AB$2:$AB$495&gt;=5)*('CONTROL MASTER'!$AA$2:$AA$495&lt;=3)*('CONTROL MASTER'!$AC$2:$AC$495&gt;=3))*ROW('CONTROL MASTER'!$S$2:$S$495))&gt;0,INDEX('CONTROL MASTER'!$X$2:$X$495,(SUMPRODUCT((('CONTROL MASTER'!$S$2:$S$495=2)*('CONTROL MASTER'!$Z$2:$Z$495&lt;=5)*('CONTROL MASTER'!$AB$2:$AB$495&gt;=5)*('CONTROL MASTER'!$AA$2:$AA$495&lt;=3)*('CONTROL MASTER'!$AC$2:$AC$495&gt;=3))*ROW('CONTROL MASTER'!$S$2:$S$495))-(ROW('CONTROL MASTER'!#REF!)-1)))&amp;TRIM(MID(SUBSTITUTE(SUBSTITUTE(INDEX('CONTROL MASTER'!$N$2:$N$495,(SUMPRODUCT((('CONTROL MASTER'!$S$2:$S$495=2)*('CONTROL MASTER'!$Z$2:$Z$495&lt;=5)*('CONTROL MASTER'!$AB$2:$AB$495&gt;=5)*('CONTROL MASTER'!$AA$2:$AA$495&lt;=3)*('CONTROL MASTER'!$AC$2:$AC$495&gt;=3))*ROW('CONTROL MASTER'!$S$2:$S$495))-(ROW('CONTROL MASTER'!#REF!)-1))),":",","),",",REPT(" ",50)),(((INDEX('CONTROL MASTER'!$Y$2:$Y$495,(SUMPRODUCT((('CONTROL MASTER'!$S$2:$S$495=2)*('CONTROL MASTER'!$Z$2:$Z$495&lt;=5)*('CONTROL MASTER'!$AB$2:$AB$495&gt;=5)*('CONTROL MASTER'!$AA$2:$AA$495&lt;=3)*('CONTROL MASTER'!$AC$2:$AC$495&gt;=3))*ROW('CONTROL MASTER'!$S$2:$S$495))-(ROW('CONTROL MASTER'!#REF!)-1)))+((5-INDEX('CONTROL MASTER'!$Z$2:$Z$495,(SUMPRODUCT((('CONTROL MASTER'!$S$2:$S$495=2)*('CONTROL MASTER'!$Z$2:$Z$495&lt;=5)*('CONTROL MASTER'!$AB$2:$AB$495&gt;=5)*('CONTROL MASTER'!$AA$2:$AA$495&lt;=3)*('CONTROL MASTER'!$AC$2:$AC$495&gt;=3))*ROW('CONTROL MASTER'!$S$2:$S$495))-(ROW('CONTROL MASTER'!#REF!)-1))))*(INDEX('CONTROL MASTER'!$AC$2:$AC$495,(SUMPRODUCT((('CONTROL MASTER'!$S$2:$S$495=2)*('CONTROL MASTER'!$Z$2:$Z$495&lt;=5)*('CONTROL MASTER'!$AB$2:$AB$495&gt;=5)*('CONTROL MASTER'!$AA$2:$AA$495&lt;=3)*('CONTROL MASTER'!$AC$2:$AC$495&gt;=3))*ROW('CONTROL MASTER'!$S$2:$S$495))-(ROW('CONTROL MASTER'!#REF!)-1)))-INDEX('CONTROL MASTER'!$AA$2:$AA$495,(SUMPRODUCT((('CONTROL MASTER'!$S$2:$S$495=2)*('CONTROL MASTER'!$Z$2:$Z$495&lt;=5)*('CONTROL MASTER'!$AB$2:$AB$495&gt;=5)*('CONTROL MASTER'!$AA$2:$AA$495&lt;=3)*('CONTROL MASTER'!$AC$2:$AC$495&gt;=3))*ROW('CONTROL MASTER'!$S$2:$S$495))-(ROW('CONTROL MASTER'!#REF!)-1)))+1)+(3-INDEX('CONTROL MASTER'!$AA$2:$AA$495,(SUMPRODUCT((('CONTROL MASTER'!$S$2:$S$495=2)*('CONTROL MASTER'!$Z$2:$Z$495&lt;=5)*('CONTROL MASTER'!$AB$2:$AB$495&gt;=5)*('CONTROL MASTER'!$AA$2:$AA$495&lt;=3)*('CONTROL MASTER'!$AC$2:$AC$495&gt;=3))*ROW('CONTROL MASTER'!$S$2:$S$495))-(ROW('CONTROL MASTER'!#REF!)-1))))+1)))-1)*50+1,50))&amp;"_"&amp;INDEX('CONTROL MASTER'!$P$2:$P$495,(SUMPRODUCT((('CONTROL MASTER'!$S$2:$S$495=2)*('CONTROL MASTER'!$Z$2:$Z$495&lt;=5)*('CONTROL MASTER'!$AB$2:$AB$495&gt;=5)*('CONTROL MASTER'!$AA$2:$AA$495&lt;=3)*('CONTROL MASTER'!$AC$2:$AC$495&gt;=3))*ROW('CONTROL MASTER'!$S$2:$S$495))-(ROW('CONTROL MASTER'!#REF!)-1))),"")),"")</f>
        <v/>
      </c>
      <c r="E21" s="10" t="str">
        <f>IFERROR(IF(SUMPRODUCT((('CONTROL MASTER'!$S$2:$S$495=2)*('CONTROL MASTER'!$T$2:$T$495&lt;=5)*('CONTROL MASTER'!$V$2:$V$495&gt;=5)*('CONTROL MASTER'!$U$2:$U$495&lt;=4)*('CONTROL MASTER'!$W$2:$W$495&gt;=4))*ROW('CONTROL MASTER'!$S$2:$S$495))&gt;0,INDEX('CONTROL MASTER'!$X$2:$X$495,(SUMPRODUCT((('CONTROL MASTER'!$S$2:$S$495=2)*('CONTROL MASTER'!$T$2:$T$495&lt;=5)*('CONTROL MASTER'!$V$2:$V$495&gt;=5)*('CONTROL MASTER'!$U$2:$U$495&lt;=4)*('CONTROL MASTER'!$W$2:$W$495&gt;=4))*ROW('CONTROL MASTER'!$S$2:$S$495))-(ROW('CONTROL MASTER'!#REF!)-1)))&amp;TRIM(MID(SUBSTITUTE(SUBSTITUTE(INDEX('CONTROL MASTER'!$N$2:$N$495,(SUMPRODUCT((('CONTROL MASTER'!$S$2:$S$495=2)*('CONTROL MASTER'!$T$2:$T$495&lt;=5)*('CONTROL MASTER'!$V$2:$V$495&gt;=5)*('CONTROL MASTER'!$U$2:$U$495&lt;=4)*('CONTROL MASTER'!$W$2:$W$495&gt;=4))*ROW('CONTROL MASTER'!$S$2:$S$495))-(ROW('CONTROL MASTER'!#REF!)-1))),":",","),",",REPT(" ",50)),((((5-INDEX('CONTROL MASTER'!$T$2:$T$495,(SUMPRODUCT((('CONTROL MASTER'!$S$2:$S$495=2)*('CONTROL MASTER'!$T$2:$T$495&lt;=5)*('CONTROL MASTER'!$V$2:$V$495&gt;=5)*('CONTROL MASTER'!$U$2:$U$495&lt;=4)*('CONTROL MASTER'!$W$2:$W$495&gt;=4))*ROW('CONTROL MASTER'!$S$2:$S$495))-(ROW('CONTROL MASTER'!#REF!)-1))))*(INDEX('CONTROL MASTER'!$W$2:$W$495,(SUMPRODUCT((('CONTROL MASTER'!$S$2:$S$495=2)*('CONTROL MASTER'!$T$2:$T$495&lt;=5)*('CONTROL MASTER'!$V$2:$V$495&gt;=5)*('CONTROL MASTER'!$U$2:$U$495&lt;=4)*('CONTROL MASTER'!$W$2:$W$495&gt;=4))*ROW('CONTROL MASTER'!$S$2:$S$495))-(ROW('CONTROL MASTER'!#REF!)-1)))-INDEX('CONTROL MASTER'!$U$2:$U$495,(SUMPRODUCT((('CONTROL MASTER'!$S$2:$S$495=2)*('CONTROL MASTER'!$T$2:$T$495&lt;=5)*('CONTROL MASTER'!$V$2:$V$495&gt;=5)*('CONTROL MASTER'!$U$2:$U$495&lt;=4)*('CONTROL MASTER'!$W$2:$W$495&gt;=4))*ROW('CONTROL MASTER'!$S$2:$S$495))-(ROW('CONTROL MASTER'!#REF!)-1)))+1)+(4-INDEX('CONTROL MASTER'!$U$2:$U$495,(SUMPRODUCT((('CONTROL MASTER'!$S$2:$S$495=2)*('CONTROL MASTER'!$T$2:$T$495&lt;=5)*('CONTROL MASTER'!$V$2:$V$495&gt;=5)*('CONTROL MASTER'!$U$2:$U$495&lt;=4)*('CONTROL MASTER'!$W$2:$W$495&gt;=4))*ROW('CONTROL MASTER'!$S$2:$S$495))-(ROW('CONTROL MASTER'!#REF!)-1))))+1))-1)*50+1,50))&amp;"_"&amp;INDEX('CONTROL MASTER'!$P$2:$P$495,(SUMPRODUCT((('CONTROL MASTER'!$S$2:$S$495=2)*('CONTROL MASTER'!$T$2:$T$495&lt;=5)*('CONTROL MASTER'!$V$2:$V$495&gt;=5)*('CONTROL MASTER'!$U$2:$U$495&lt;=4)*('CONTROL MASTER'!$W$2:$W$495&gt;=4))*ROW('CONTROL MASTER'!$S$2:$S$495))-(ROW('CONTROL MASTER'!#REF!)-1))),IF(SUMPRODUCT((('CONTROL MASTER'!$S$2:$S$495=2)*('CONTROL MASTER'!$Z$2:$Z$495&lt;=5)*('CONTROL MASTER'!$AB$2:$AB$495&gt;=5)*('CONTROL MASTER'!$AA$2:$AA$495&lt;=4)*('CONTROL MASTER'!$AC$2:$AC$495&gt;=4))*ROW('CONTROL MASTER'!$S$2:$S$495))&gt;0,INDEX('CONTROL MASTER'!$X$2:$X$495,(SUMPRODUCT((('CONTROL MASTER'!$S$2:$S$495=2)*('CONTROL MASTER'!$Z$2:$Z$495&lt;=5)*('CONTROL MASTER'!$AB$2:$AB$495&gt;=5)*('CONTROL MASTER'!$AA$2:$AA$495&lt;=4)*('CONTROL MASTER'!$AC$2:$AC$495&gt;=4))*ROW('CONTROL MASTER'!$S$2:$S$495))-(ROW('CONTROL MASTER'!#REF!)-1)))&amp;TRIM(MID(SUBSTITUTE(SUBSTITUTE(INDEX('CONTROL MASTER'!$N$2:$N$495,(SUMPRODUCT((('CONTROL MASTER'!$S$2:$S$495=2)*('CONTROL MASTER'!$Z$2:$Z$495&lt;=5)*('CONTROL MASTER'!$AB$2:$AB$495&gt;=5)*('CONTROL MASTER'!$AA$2:$AA$495&lt;=4)*('CONTROL MASTER'!$AC$2:$AC$495&gt;=4))*ROW('CONTROL MASTER'!$S$2:$S$495))-(ROW('CONTROL MASTER'!#REF!)-1))),":",","),",",REPT(" ",50)),(((INDEX('CONTROL MASTER'!$Y$2:$Y$495,(SUMPRODUCT((('CONTROL MASTER'!$S$2:$S$495=2)*('CONTROL MASTER'!$Z$2:$Z$495&lt;=5)*('CONTROL MASTER'!$AB$2:$AB$495&gt;=5)*('CONTROL MASTER'!$AA$2:$AA$495&lt;=4)*('CONTROL MASTER'!$AC$2:$AC$495&gt;=4))*ROW('CONTROL MASTER'!$S$2:$S$495))-(ROW('CONTROL MASTER'!#REF!)-1)))+((5-INDEX('CONTROL MASTER'!$Z$2:$Z$495,(SUMPRODUCT((('CONTROL MASTER'!$S$2:$S$495=2)*('CONTROL MASTER'!$Z$2:$Z$495&lt;=5)*('CONTROL MASTER'!$AB$2:$AB$495&gt;=5)*('CONTROL MASTER'!$AA$2:$AA$495&lt;=4)*('CONTROL MASTER'!$AC$2:$AC$495&gt;=4))*ROW('CONTROL MASTER'!$S$2:$S$495))-(ROW('CONTROL MASTER'!#REF!)-1))))*(INDEX('CONTROL MASTER'!$AC$2:$AC$495,(SUMPRODUCT((('CONTROL MASTER'!$S$2:$S$495=2)*('CONTROL MASTER'!$Z$2:$Z$495&lt;=5)*('CONTROL MASTER'!$AB$2:$AB$495&gt;=5)*('CONTROL MASTER'!$AA$2:$AA$495&lt;=4)*('CONTROL MASTER'!$AC$2:$AC$495&gt;=4))*ROW('CONTROL MASTER'!$S$2:$S$495))-(ROW('CONTROL MASTER'!#REF!)-1)))-INDEX('CONTROL MASTER'!$AA$2:$AA$495,(SUMPRODUCT((('CONTROL MASTER'!$S$2:$S$495=2)*('CONTROL MASTER'!$Z$2:$Z$495&lt;=5)*('CONTROL MASTER'!$AB$2:$AB$495&gt;=5)*('CONTROL MASTER'!$AA$2:$AA$495&lt;=4)*('CONTROL MASTER'!$AC$2:$AC$495&gt;=4))*ROW('CONTROL MASTER'!$S$2:$S$495))-(ROW('CONTROL MASTER'!#REF!)-1)))+1)+(4-INDEX('CONTROL MASTER'!$AA$2:$AA$495,(SUMPRODUCT((('CONTROL MASTER'!$S$2:$S$495=2)*('CONTROL MASTER'!$Z$2:$Z$495&lt;=5)*('CONTROL MASTER'!$AB$2:$AB$495&gt;=5)*('CONTROL MASTER'!$AA$2:$AA$495&lt;=4)*('CONTROL MASTER'!$AC$2:$AC$495&gt;=4))*ROW('CONTROL MASTER'!$S$2:$S$495))-(ROW('CONTROL MASTER'!#REF!)-1))))+1)))-1)*50+1,50))&amp;"_"&amp;INDEX('CONTROL MASTER'!$P$2:$P$495,(SUMPRODUCT((('CONTROL MASTER'!$S$2:$S$495=2)*('CONTROL MASTER'!$Z$2:$Z$495&lt;=5)*('CONTROL MASTER'!$AB$2:$AB$495&gt;=5)*('CONTROL MASTER'!$AA$2:$AA$495&lt;=4)*('CONTROL MASTER'!$AC$2:$AC$495&gt;=4))*ROW('CONTROL MASTER'!$S$2:$S$495))-(ROW('CONTROL MASTER'!#REF!)-1))),"")),"")</f>
        <v/>
      </c>
      <c r="F21" s="10" t="str">
        <f>IFERROR(IF(SUMPRODUCT((('CONTROL MASTER'!$S$2:$S$495=2)*('CONTROL MASTER'!$T$2:$T$495&lt;=5)*('CONTROL MASTER'!$V$2:$V$495&gt;=5)*('CONTROL MASTER'!$U$2:$U$495&lt;=5)*('CONTROL MASTER'!$W$2:$W$495&gt;=5))*ROW('CONTROL MASTER'!$S$2:$S$495))&gt;0,INDEX('CONTROL MASTER'!$X$2:$X$495,(SUMPRODUCT((('CONTROL MASTER'!$S$2:$S$495=2)*('CONTROL MASTER'!$T$2:$T$495&lt;=5)*('CONTROL MASTER'!$V$2:$V$495&gt;=5)*('CONTROL MASTER'!$U$2:$U$495&lt;=5)*('CONTROL MASTER'!$W$2:$W$495&gt;=5))*ROW('CONTROL MASTER'!$S$2:$S$495))-(ROW('CONTROL MASTER'!#REF!)-1)))&amp;TRIM(MID(SUBSTITUTE(SUBSTITUTE(INDEX('CONTROL MASTER'!$N$2:$N$495,(SUMPRODUCT((('CONTROL MASTER'!$S$2:$S$495=2)*('CONTROL MASTER'!$T$2:$T$495&lt;=5)*('CONTROL MASTER'!$V$2:$V$495&gt;=5)*('CONTROL MASTER'!$U$2:$U$495&lt;=5)*('CONTROL MASTER'!$W$2:$W$495&gt;=5))*ROW('CONTROL MASTER'!$S$2:$S$495))-(ROW('CONTROL MASTER'!#REF!)-1))),":",","),",",REPT(" ",50)),((((5-INDEX('CONTROL MASTER'!$T$2:$T$495,(SUMPRODUCT((('CONTROL MASTER'!$S$2:$S$495=2)*('CONTROL MASTER'!$T$2:$T$495&lt;=5)*('CONTROL MASTER'!$V$2:$V$495&gt;=5)*('CONTROL MASTER'!$U$2:$U$495&lt;=5)*('CONTROL MASTER'!$W$2:$W$495&gt;=5))*ROW('CONTROL MASTER'!$S$2:$S$495))-(ROW('CONTROL MASTER'!#REF!)-1))))*(INDEX('CONTROL MASTER'!$W$2:$W$495,(SUMPRODUCT((('CONTROL MASTER'!$S$2:$S$495=2)*('CONTROL MASTER'!$T$2:$T$495&lt;=5)*('CONTROL MASTER'!$V$2:$V$495&gt;=5)*('CONTROL MASTER'!$U$2:$U$495&lt;=5)*('CONTROL MASTER'!$W$2:$W$495&gt;=5))*ROW('CONTROL MASTER'!$S$2:$S$495))-(ROW('CONTROL MASTER'!#REF!)-1)))-INDEX('CONTROL MASTER'!$U$2:$U$495,(SUMPRODUCT((('CONTROL MASTER'!$S$2:$S$495=2)*('CONTROL MASTER'!$T$2:$T$495&lt;=5)*('CONTROL MASTER'!$V$2:$V$495&gt;=5)*('CONTROL MASTER'!$U$2:$U$495&lt;=5)*('CONTROL MASTER'!$W$2:$W$495&gt;=5))*ROW('CONTROL MASTER'!$S$2:$S$495))-(ROW('CONTROL MASTER'!#REF!)-1)))+1)+(5-INDEX('CONTROL MASTER'!$U$2:$U$495,(SUMPRODUCT((('CONTROL MASTER'!$S$2:$S$495=2)*('CONTROL MASTER'!$T$2:$T$495&lt;=5)*('CONTROL MASTER'!$V$2:$V$495&gt;=5)*('CONTROL MASTER'!$U$2:$U$495&lt;=5)*('CONTROL MASTER'!$W$2:$W$495&gt;=5))*ROW('CONTROL MASTER'!$S$2:$S$495))-(ROW('CONTROL MASTER'!#REF!)-1))))+1))-1)*50+1,50))&amp;"_"&amp;INDEX('CONTROL MASTER'!$P$2:$P$495,(SUMPRODUCT((('CONTROL MASTER'!$S$2:$S$495=2)*('CONTROL MASTER'!$T$2:$T$495&lt;=5)*('CONTROL MASTER'!$V$2:$V$495&gt;=5)*('CONTROL MASTER'!$U$2:$U$495&lt;=5)*('CONTROL MASTER'!$W$2:$W$495&gt;=5))*ROW('CONTROL MASTER'!$S$2:$S$495))-(ROW('CONTROL MASTER'!#REF!)-1))),IF(SUMPRODUCT((('CONTROL MASTER'!$S$2:$S$495=2)*('CONTROL MASTER'!$Z$2:$Z$495&lt;=5)*('CONTROL MASTER'!$AB$2:$AB$495&gt;=5)*('CONTROL MASTER'!$AA$2:$AA$495&lt;=5)*('CONTROL MASTER'!$AC$2:$AC$495&gt;=5))*ROW('CONTROL MASTER'!$S$2:$S$495))&gt;0,INDEX('CONTROL MASTER'!$X$2:$X$495,(SUMPRODUCT((('CONTROL MASTER'!$S$2:$S$495=2)*('CONTROL MASTER'!$Z$2:$Z$495&lt;=5)*('CONTROL MASTER'!$AB$2:$AB$495&gt;=5)*('CONTROL MASTER'!$AA$2:$AA$495&lt;=5)*('CONTROL MASTER'!$AC$2:$AC$495&gt;=5))*ROW('CONTROL MASTER'!$S$2:$S$495))-(ROW('CONTROL MASTER'!#REF!)-1)))&amp;TRIM(MID(SUBSTITUTE(SUBSTITUTE(INDEX('CONTROL MASTER'!$N$2:$N$495,(SUMPRODUCT((('CONTROL MASTER'!$S$2:$S$495=2)*('CONTROL MASTER'!$Z$2:$Z$495&lt;=5)*('CONTROL MASTER'!$AB$2:$AB$495&gt;=5)*('CONTROL MASTER'!$AA$2:$AA$495&lt;=5)*('CONTROL MASTER'!$AC$2:$AC$495&gt;=5))*ROW('CONTROL MASTER'!$S$2:$S$495))-(ROW('CONTROL MASTER'!#REF!)-1))),":",","),",",REPT(" ",50)),(((INDEX('CONTROL MASTER'!$Y$2:$Y$495,(SUMPRODUCT((('CONTROL MASTER'!$S$2:$S$495=2)*('CONTROL MASTER'!$Z$2:$Z$495&lt;=5)*('CONTROL MASTER'!$AB$2:$AB$495&gt;=5)*('CONTROL MASTER'!$AA$2:$AA$495&lt;=5)*('CONTROL MASTER'!$AC$2:$AC$495&gt;=5))*ROW('CONTROL MASTER'!$S$2:$S$495))-(ROW('CONTROL MASTER'!#REF!)-1)))+((5-INDEX('CONTROL MASTER'!$Z$2:$Z$495,(SUMPRODUCT((('CONTROL MASTER'!$S$2:$S$495=2)*('CONTROL MASTER'!$Z$2:$Z$495&lt;=5)*('CONTROL MASTER'!$AB$2:$AB$495&gt;=5)*('CONTROL MASTER'!$AA$2:$AA$495&lt;=5)*('CONTROL MASTER'!$AC$2:$AC$495&gt;=5))*ROW('CONTROL MASTER'!$S$2:$S$495))-(ROW('CONTROL MASTER'!#REF!)-1))))*(INDEX('CONTROL MASTER'!$AC$2:$AC$495,(SUMPRODUCT((('CONTROL MASTER'!$S$2:$S$495=2)*('CONTROL MASTER'!$Z$2:$Z$495&lt;=5)*('CONTROL MASTER'!$AB$2:$AB$495&gt;=5)*('CONTROL MASTER'!$AA$2:$AA$495&lt;=5)*('CONTROL MASTER'!$AC$2:$AC$495&gt;=5))*ROW('CONTROL MASTER'!$S$2:$S$495))-(ROW('CONTROL MASTER'!#REF!)-1)))-INDEX('CONTROL MASTER'!$AA$2:$AA$495,(SUMPRODUCT((('CONTROL MASTER'!$S$2:$S$495=2)*('CONTROL MASTER'!$Z$2:$Z$495&lt;=5)*('CONTROL MASTER'!$AB$2:$AB$495&gt;=5)*('CONTROL MASTER'!$AA$2:$AA$495&lt;=5)*('CONTROL MASTER'!$AC$2:$AC$495&gt;=5))*ROW('CONTROL MASTER'!$S$2:$S$495))-(ROW('CONTROL MASTER'!#REF!)-1)))+1)+(5-INDEX('CONTROL MASTER'!$AA$2:$AA$495,(SUMPRODUCT((('CONTROL MASTER'!$S$2:$S$495=2)*('CONTROL MASTER'!$Z$2:$Z$495&lt;=5)*('CONTROL MASTER'!$AB$2:$AB$495&gt;=5)*('CONTROL MASTER'!$AA$2:$AA$495&lt;=5)*('CONTROL MASTER'!$AC$2:$AC$495&gt;=5))*ROW('CONTROL MASTER'!$S$2:$S$495))-(ROW('CONTROL MASTER'!#REF!)-1))))+1)))-1)*50+1,50))&amp;"_"&amp;INDEX('CONTROL MASTER'!$P$2:$P$495,(SUMPRODUCT((('CONTROL MASTER'!$S$2:$S$495=2)*('CONTROL MASTER'!$Z$2:$Z$495&lt;=5)*('CONTROL MASTER'!$AB$2:$AB$495&gt;=5)*('CONTROL MASTER'!$AA$2:$AA$495&lt;=5)*('CONTROL MASTER'!$AC$2:$AC$495&gt;=5))*ROW('CONTROL MASTER'!$S$2:$S$495))-(ROW('CONTROL MASTER'!#REF!)-1))),"")),"")</f>
        <v/>
      </c>
      <c r="G21" s="10" t="str">
        <f>IFERROR(IF(SUMPRODUCT((('CONTROL MASTER'!$S$2:$S$495=2)*('CONTROL MASTER'!$T$2:$T$495&lt;=5)*('CONTROL MASTER'!$V$2:$V$495&gt;=5)*('CONTROL MASTER'!$U$2:$U$495&lt;=6)*('CONTROL MASTER'!$W$2:$W$495&gt;=6))*ROW('CONTROL MASTER'!$S$2:$S$495))&gt;0,INDEX('CONTROL MASTER'!$X$2:$X$495,(SUMPRODUCT((('CONTROL MASTER'!$S$2:$S$495=2)*('CONTROL MASTER'!$T$2:$T$495&lt;=5)*('CONTROL MASTER'!$V$2:$V$495&gt;=5)*('CONTROL MASTER'!$U$2:$U$495&lt;=6)*('CONTROL MASTER'!$W$2:$W$495&gt;=6))*ROW('CONTROL MASTER'!$S$2:$S$495))-(ROW('CONTROL MASTER'!#REF!)-1)))&amp;TRIM(MID(SUBSTITUTE(SUBSTITUTE(INDEX('CONTROL MASTER'!$N$2:$N$495,(SUMPRODUCT((('CONTROL MASTER'!$S$2:$S$495=2)*('CONTROL MASTER'!$T$2:$T$495&lt;=5)*('CONTROL MASTER'!$V$2:$V$495&gt;=5)*('CONTROL MASTER'!$U$2:$U$495&lt;=6)*('CONTROL MASTER'!$W$2:$W$495&gt;=6))*ROW('CONTROL MASTER'!$S$2:$S$495))-(ROW('CONTROL MASTER'!#REF!)-1))),":",","),",",REPT(" ",50)),((((5-INDEX('CONTROL MASTER'!$T$2:$T$495,(SUMPRODUCT((('CONTROL MASTER'!$S$2:$S$495=2)*('CONTROL MASTER'!$T$2:$T$495&lt;=5)*('CONTROL MASTER'!$V$2:$V$495&gt;=5)*('CONTROL MASTER'!$U$2:$U$495&lt;=6)*('CONTROL MASTER'!$W$2:$W$495&gt;=6))*ROW('CONTROL MASTER'!$S$2:$S$495))-(ROW('CONTROL MASTER'!#REF!)-1))))*(INDEX('CONTROL MASTER'!$W$2:$W$495,(SUMPRODUCT((('CONTROL MASTER'!$S$2:$S$495=2)*('CONTROL MASTER'!$T$2:$T$495&lt;=5)*('CONTROL MASTER'!$V$2:$V$495&gt;=5)*('CONTROL MASTER'!$U$2:$U$495&lt;=6)*('CONTROL MASTER'!$W$2:$W$495&gt;=6))*ROW('CONTROL MASTER'!$S$2:$S$495))-(ROW('CONTROL MASTER'!#REF!)-1)))-INDEX('CONTROL MASTER'!$U$2:$U$495,(SUMPRODUCT((('CONTROL MASTER'!$S$2:$S$495=2)*('CONTROL MASTER'!$T$2:$T$495&lt;=5)*('CONTROL MASTER'!$V$2:$V$495&gt;=5)*('CONTROL MASTER'!$U$2:$U$495&lt;=6)*('CONTROL MASTER'!$W$2:$W$495&gt;=6))*ROW('CONTROL MASTER'!$S$2:$S$495))-(ROW('CONTROL MASTER'!#REF!)-1)))+1)+(6-INDEX('CONTROL MASTER'!$U$2:$U$495,(SUMPRODUCT((('CONTROL MASTER'!$S$2:$S$495=2)*('CONTROL MASTER'!$T$2:$T$495&lt;=5)*('CONTROL MASTER'!$V$2:$V$495&gt;=5)*('CONTROL MASTER'!$U$2:$U$495&lt;=6)*('CONTROL MASTER'!$W$2:$W$495&gt;=6))*ROW('CONTROL MASTER'!$S$2:$S$495))-(ROW('CONTROL MASTER'!#REF!)-1))))+1))-1)*50+1,50))&amp;"_"&amp;INDEX('CONTROL MASTER'!$P$2:$P$495,(SUMPRODUCT((('CONTROL MASTER'!$S$2:$S$495=2)*('CONTROL MASTER'!$T$2:$T$495&lt;=5)*('CONTROL MASTER'!$V$2:$V$495&gt;=5)*('CONTROL MASTER'!$U$2:$U$495&lt;=6)*('CONTROL MASTER'!$W$2:$W$495&gt;=6))*ROW('CONTROL MASTER'!$S$2:$S$495))-(ROW('CONTROL MASTER'!#REF!)-1))),IF(SUMPRODUCT((('CONTROL MASTER'!$S$2:$S$495=2)*('CONTROL MASTER'!$Z$2:$Z$495&lt;=5)*('CONTROL MASTER'!$AB$2:$AB$495&gt;=5)*('CONTROL MASTER'!$AA$2:$AA$495&lt;=6)*('CONTROL MASTER'!$AC$2:$AC$495&gt;=6))*ROW('CONTROL MASTER'!$S$2:$S$495))&gt;0,INDEX('CONTROL MASTER'!$X$2:$X$495,(SUMPRODUCT((('CONTROL MASTER'!$S$2:$S$495=2)*('CONTROL MASTER'!$Z$2:$Z$495&lt;=5)*('CONTROL MASTER'!$AB$2:$AB$495&gt;=5)*('CONTROL MASTER'!$AA$2:$AA$495&lt;=6)*('CONTROL MASTER'!$AC$2:$AC$495&gt;=6))*ROW('CONTROL MASTER'!$S$2:$S$495))-(ROW('CONTROL MASTER'!#REF!)-1)))&amp;TRIM(MID(SUBSTITUTE(SUBSTITUTE(INDEX('CONTROL MASTER'!$N$2:$N$495,(SUMPRODUCT((('CONTROL MASTER'!$S$2:$S$495=2)*('CONTROL MASTER'!$Z$2:$Z$495&lt;=5)*('CONTROL MASTER'!$AB$2:$AB$495&gt;=5)*('CONTROL MASTER'!$AA$2:$AA$495&lt;=6)*('CONTROL MASTER'!$AC$2:$AC$495&gt;=6))*ROW('CONTROL MASTER'!$S$2:$S$495))-(ROW('CONTROL MASTER'!#REF!)-1))),":",","),",",REPT(" ",50)),(((INDEX('CONTROL MASTER'!$Y$2:$Y$495,(SUMPRODUCT((('CONTROL MASTER'!$S$2:$S$495=2)*('CONTROL MASTER'!$Z$2:$Z$495&lt;=5)*('CONTROL MASTER'!$AB$2:$AB$495&gt;=5)*('CONTROL MASTER'!$AA$2:$AA$495&lt;=6)*('CONTROL MASTER'!$AC$2:$AC$495&gt;=6))*ROW('CONTROL MASTER'!$S$2:$S$495))-(ROW('CONTROL MASTER'!#REF!)-1)))+((5-INDEX('CONTROL MASTER'!$Z$2:$Z$495,(SUMPRODUCT((('CONTROL MASTER'!$S$2:$S$495=2)*('CONTROL MASTER'!$Z$2:$Z$495&lt;=5)*('CONTROL MASTER'!$AB$2:$AB$495&gt;=5)*('CONTROL MASTER'!$AA$2:$AA$495&lt;=6)*('CONTROL MASTER'!$AC$2:$AC$495&gt;=6))*ROW('CONTROL MASTER'!$S$2:$S$495))-(ROW('CONTROL MASTER'!#REF!)-1))))*(INDEX('CONTROL MASTER'!$AC$2:$AC$495,(SUMPRODUCT((('CONTROL MASTER'!$S$2:$S$495=2)*('CONTROL MASTER'!$Z$2:$Z$495&lt;=5)*('CONTROL MASTER'!$AB$2:$AB$495&gt;=5)*('CONTROL MASTER'!$AA$2:$AA$495&lt;=6)*('CONTROL MASTER'!$AC$2:$AC$495&gt;=6))*ROW('CONTROL MASTER'!$S$2:$S$495))-(ROW('CONTROL MASTER'!#REF!)-1)))-INDEX('CONTROL MASTER'!$AA$2:$AA$495,(SUMPRODUCT((('CONTROL MASTER'!$S$2:$S$495=2)*('CONTROL MASTER'!$Z$2:$Z$495&lt;=5)*('CONTROL MASTER'!$AB$2:$AB$495&gt;=5)*('CONTROL MASTER'!$AA$2:$AA$495&lt;=6)*('CONTROL MASTER'!$AC$2:$AC$495&gt;=6))*ROW('CONTROL MASTER'!$S$2:$S$495))-(ROW('CONTROL MASTER'!#REF!)-1)))+1)+(6-INDEX('CONTROL MASTER'!$AA$2:$AA$495,(SUMPRODUCT((('CONTROL MASTER'!$S$2:$S$495=2)*('CONTROL MASTER'!$Z$2:$Z$495&lt;=5)*('CONTROL MASTER'!$AB$2:$AB$495&gt;=5)*('CONTROL MASTER'!$AA$2:$AA$495&lt;=6)*('CONTROL MASTER'!$AC$2:$AC$495&gt;=6))*ROW('CONTROL MASTER'!$S$2:$S$495))-(ROW('CONTROL MASTER'!#REF!)-1))))+1)))-1)*50+1,50))&amp;"_"&amp;INDEX('CONTROL MASTER'!$P$2:$P$495,(SUMPRODUCT((('CONTROL MASTER'!$S$2:$S$495=2)*('CONTROL MASTER'!$Z$2:$Z$495&lt;=5)*('CONTROL MASTER'!$AB$2:$AB$495&gt;=5)*('CONTROL MASTER'!$AA$2:$AA$495&lt;=6)*('CONTROL MASTER'!$AC$2:$AC$495&gt;=6))*ROW('CONTROL MASTER'!$S$2:$S$495))-(ROW('CONTROL MASTER'!#REF!)-1))),"")),"")</f>
        <v/>
      </c>
      <c r="H21" s="10" t="str">
        <f>IFERROR(IF(SUMPRODUCT((('CONTROL MASTER'!$S$2:$S$495=2)*('CONTROL MASTER'!$T$2:$T$495&lt;=5)*('CONTROL MASTER'!$V$2:$V$495&gt;=5)*('CONTROL MASTER'!$U$2:$U$495&lt;=7)*('CONTROL MASTER'!$W$2:$W$495&gt;=7))*ROW('CONTROL MASTER'!$S$2:$S$495))&gt;0,INDEX('CONTROL MASTER'!$X$2:$X$495,(SUMPRODUCT((('CONTROL MASTER'!$S$2:$S$495=2)*('CONTROL MASTER'!$T$2:$T$495&lt;=5)*('CONTROL MASTER'!$V$2:$V$495&gt;=5)*('CONTROL MASTER'!$U$2:$U$495&lt;=7)*('CONTROL MASTER'!$W$2:$W$495&gt;=7))*ROW('CONTROL MASTER'!$S$2:$S$495))-(ROW('CONTROL MASTER'!#REF!)-1)))&amp;TRIM(MID(SUBSTITUTE(SUBSTITUTE(INDEX('CONTROL MASTER'!$N$2:$N$495,(SUMPRODUCT((('CONTROL MASTER'!$S$2:$S$495=2)*('CONTROL MASTER'!$T$2:$T$495&lt;=5)*('CONTROL MASTER'!$V$2:$V$495&gt;=5)*('CONTROL MASTER'!$U$2:$U$495&lt;=7)*('CONTROL MASTER'!$W$2:$W$495&gt;=7))*ROW('CONTROL MASTER'!$S$2:$S$495))-(ROW('CONTROL MASTER'!#REF!)-1))),":",","),",",REPT(" ",50)),((((5-INDEX('CONTROL MASTER'!$T$2:$T$495,(SUMPRODUCT((('CONTROL MASTER'!$S$2:$S$495=2)*('CONTROL MASTER'!$T$2:$T$495&lt;=5)*('CONTROL MASTER'!$V$2:$V$495&gt;=5)*('CONTROL MASTER'!$U$2:$U$495&lt;=7)*('CONTROL MASTER'!$W$2:$W$495&gt;=7))*ROW('CONTROL MASTER'!$S$2:$S$495))-(ROW('CONTROL MASTER'!#REF!)-1))))*(INDEX('CONTROL MASTER'!$W$2:$W$495,(SUMPRODUCT((('CONTROL MASTER'!$S$2:$S$495=2)*('CONTROL MASTER'!$T$2:$T$495&lt;=5)*('CONTROL MASTER'!$V$2:$V$495&gt;=5)*('CONTROL MASTER'!$U$2:$U$495&lt;=7)*('CONTROL MASTER'!$W$2:$W$495&gt;=7))*ROW('CONTROL MASTER'!$S$2:$S$495))-(ROW('CONTROL MASTER'!#REF!)-1)))-INDEX('CONTROL MASTER'!$U$2:$U$495,(SUMPRODUCT((('CONTROL MASTER'!$S$2:$S$495=2)*('CONTROL MASTER'!$T$2:$T$495&lt;=5)*('CONTROL MASTER'!$V$2:$V$495&gt;=5)*('CONTROL MASTER'!$U$2:$U$495&lt;=7)*('CONTROL MASTER'!$W$2:$W$495&gt;=7))*ROW('CONTROL MASTER'!$S$2:$S$495))-(ROW('CONTROL MASTER'!#REF!)-1)))+1)+(7-INDEX('CONTROL MASTER'!$U$2:$U$495,(SUMPRODUCT((('CONTROL MASTER'!$S$2:$S$495=2)*('CONTROL MASTER'!$T$2:$T$495&lt;=5)*('CONTROL MASTER'!$V$2:$V$495&gt;=5)*('CONTROL MASTER'!$U$2:$U$495&lt;=7)*('CONTROL MASTER'!$W$2:$W$495&gt;=7))*ROW('CONTROL MASTER'!$S$2:$S$495))-(ROW('CONTROL MASTER'!#REF!)-1))))+1))-1)*50+1,50))&amp;"_"&amp;INDEX('CONTROL MASTER'!$P$2:$P$495,(SUMPRODUCT((('CONTROL MASTER'!$S$2:$S$495=2)*('CONTROL MASTER'!$T$2:$T$495&lt;=5)*('CONTROL MASTER'!$V$2:$V$495&gt;=5)*('CONTROL MASTER'!$U$2:$U$495&lt;=7)*('CONTROL MASTER'!$W$2:$W$495&gt;=7))*ROW('CONTROL MASTER'!$S$2:$S$495))-(ROW('CONTROL MASTER'!#REF!)-1))),IF(SUMPRODUCT((('CONTROL MASTER'!$S$2:$S$495=2)*('CONTROL MASTER'!$Z$2:$Z$495&lt;=5)*('CONTROL MASTER'!$AB$2:$AB$495&gt;=5)*('CONTROL MASTER'!$AA$2:$AA$495&lt;=7)*('CONTROL MASTER'!$AC$2:$AC$495&gt;=7))*ROW('CONTROL MASTER'!$S$2:$S$495))&gt;0,INDEX('CONTROL MASTER'!$X$2:$X$495,(SUMPRODUCT((('CONTROL MASTER'!$S$2:$S$495=2)*('CONTROL MASTER'!$Z$2:$Z$495&lt;=5)*('CONTROL MASTER'!$AB$2:$AB$495&gt;=5)*('CONTROL MASTER'!$AA$2:$AA$495&lt;=7)*('CONTROL MASTER'!$AC$2:$AC$495&gt;=7))*ROW('CONTROL MASTER'!$S$2:$S$495))-(ROW('CONTROL MASTER'!#REF!)-1)))&amp;TRIM(MID(SUBSTITUTE(SUBSTITUTE(INDEX('CONTROL MASTER'!$N$2:$N$495,(SUMPRODUCT((('CONTROL MASTER'!$S$2:$S$495=2)*('CONTROL MASTER'!$Z$2:$Z$495&lt;=5)*('CONTROL MASTER'!$AB$2:$AB$495&gt;=5)*('CONTROL MASTER'!$AA$2:$AA$495&lt;=7)*('CONTROL MASTER'!$AC$2:$AC$495&gt;=7))*ROW('CONTROL MASTER'!$S$2:$S$495))-(ROW('CONTROL MASTER'!#REF!)-1))),":",","),",",REPT(" ",50)),(((INDEX('CONTROL MASTER'!$Y$2:$Y$495,(SUMPRODUCT((('CONTROL MASTER'!$S$2:$S$495=2)*('CONTROL MASTER'!$Z$2:$Z$495&lt;=5)*('CONTROL MASTER'!$AB$2:$AB$495&gt;=5)*('CONTROL MASTER'!$AA$2:$AA$495&lt;=7)*('CONTROL MASTER'!$AC$2:$AC$495&gt;=7))*ROW('CONTROL MASTER'!$S$2:$S$495))-(ROW('CONTROL MASTER'!#REF!)-1)))+((5-INDEX('CONTROL MASTER'!$Z$2:$Z$495,(SUMPRODUCT((('CONTROL MASTER'!$S$2:$S$495=2)*('CONTROL MASTER'!$Z$2:$Z$495&lt;=5)*('CONTROL MASTER'!$AB$2:$AB$495&gt;=5)*('CONTROL MASTER'!$AA$2:$AA$495&lt;=7)*('CONTROL MASTER'!$AC$2:$AC$495&gt;=7))*ROW('CONTROL MASTER'!$S$2:$S$495))-(ROW('CONTROL MASTER'!#REF!)-1))))*(INDEX('CONTROL MASTER'!$AC$2:$AC$495,(SUMPRODUCT((('CONTROL MASTER'!$S$2:$S$495=2)*('CONTROL MASTER'!$Z$2:$Z$495&lt;=5)*('CONTROL MASTER'!$AB$2:$AB$495&gt;=5)*('CONTROL MASTER'!$AA$2:$AA$495&lt;=7)*('CONTROL MASTER'!$AC$2:$AC$495&gt;=7))*ROW('CONTROL MASTER'!$S$2:$S$495))-(ROW('CONTROL MASTER'!#REF!)-1)))-INDEX('CONTROL MASTER'!$AA$2:$AA$495,(SUMPRODUCT((('CONTROL MASTER'!$S$2:$S$495=2)*('CONTROL MASTER'!$Z$2:$Z$495&lt;=5)*('CONTROL MASTER'!$AB$2:$AB$495&gt;=5)*('CONTROL MASTER'!$AA$2:$AA$495&lt;=7)*('CONTROL MASTER'!$AC$2:$AC$495&gt;=7))*ROW('CONTROL MASTER'!$S$2:$S$495))-(ROW('CONTROL MASTER'!#REF!)-1)))+1)+(7-INDEX('CONTROL MASTER'!$AA$2:$AA$495,(SUMPRODUCT((('CONTROL MASTER'!$S$2:$S$495=2)*('CONTROL MASTER'!$Z$2:$Z$495&lt;=5)*('CONTROL MASTER'!$AB$2:$AB$495&gt;=5)*('CONTROL MASTER'!$AA$2:$AA$495&lt;=7)*('CONTROL MASTER'!$AC$2:$AC$495&gt;=7))*ROW('CONTROL MASTER'!$S$2:$S$495))-(ROW('CONTROL MASTER'!#REF!)-1))))+1)))-1)*50+1,50))&amp;"_"&amp;INDEX('CONTROL MASTER'!$P$2:$P$495,(SUMPRODUCT((('CONTROL MASTER'!$S$2:$S$495=2)*('CONTROL MASTER'!$Z$2:$Z$495&lt;=5)*('CONTROL MASTER'!$AB$2:$AB$495&gt;=5)*('CONTROL MASTER'!$AA$2:$AA$495&lt;=7)*('CONTROL MASTER'!$AC$2:$AC$495&gt;=7))*ROW('CONTROL MASTER'!$S$2:$S$495))-(ROW('CONTROL MASTER'!#REF!)-1))),"")),"")</f>
        <v/>
      </c>
      <c r="I21" s="10" t="str">
        <f>IFERROR(IF(SUMPRODUCT((('CONTROL MASTER'!$S$2:$S$495=2)*('CONTROL MASTER'!$T$2:$T$495&lt;=5)*('CONTROL MASTER'!$V$2:$V$495&gt;=5)*('CONTROL MASTER'!$U$2:$U$495&lt;=8)*('CONTROL MASTER'!$W$2:$W$495&gt;=8))*ROW('CONTROL MASTER'!$S$2:$S$495))&gt;0,INDEX('CONTROL MASTER'!$X$2:$X$495,(SUMPRODUCT((('CONTROL MASTER'!$S$2:$S$495=2)*('CONTROL MASTER'!$T$2:$T$495&lt;=5)*('CONTROL MASTER'!$V$2:$V$495&gt;=5)*('CONTROL MASTER'!$U$2:$U$495&lt;=8)*('CONTROL MASTER'!$W$2:$W$495&gt;=8))*ROW('CONTROL MASTER'!$S$2:$S$495))-(ROW('CONTROL MASTER'!#REF!)-1)))&amp;TRIM(MID(SUBSTITUTE(SUBSTITUTE(INDEX('CONTROL MASTER'!$N$2:$N$495,(SUMPRODUCT((('CONTROL MASTER'!$S$2:$S$495=2)*('CONTROL MASTER'!$T$2:$T$495&lt;=5)*('CONTROL MASTER'!$V$2:$V$495&gt;=5)*('CONTROL MASTER'!$U$2:$U$495&lt;=8)*('CONTROL MASTER'!$W$2:$W$495&gt;=8))*ROW('CONTROL MASTER'!$S$2:$S$495))-(ROW('CONTROL MASTER'!#REF!)-1))),":",","),",",REPT(" ",50)),((((5-INDEX('CONTROL MASTER'!$T$2:$T$495,(SUMPRODUCT((('CONTROL MASTER'!$S$2:$S$495=2)*('CONTROL MASTER'!$T$2:$T$495&lt;=5)*('CONTROL MASTER'!$V$2:$V$495&gt;=5)*('CONTROL MASTER'!$U$2:$U$495&lt;=8)*('CONTROL MASTER'!$W$2:$W$495&gt;=8))*ROW('CONTROL MASTER'!$S$2:$S$495))-(ROW('CONTROL MASTER'!#REF!)-1))))*(INDEX('CONTROL MASTER'!$W$2:$W$495,(SUMPRODUCT((('CONTROL MASTER'!$S$2:$S$495=2)*('CONTROL MASTER'!$T$2:$T$495&lt;=5)*('CONTROL MASTER'!$V$2:$V$495&gt;=5)*('CONTROL MASTER'!$U$2:$U$495&lt;=8)*('CONTROL MASTER'!$W$2:$W$495&gt;=8))*ROW('CONTROL MASTER'!$S$2:$S$495))-(ROW('CONTROL MASTER'!#REF!)-1)))-INDEX('CONTROL MASTER'!$U$2:$U$495,(SUMPRODUCT((('CONTROL MASTER'!$S$2:$S$495=2)*('CONTROL MASTER'!$T$2:$T$495&lt;=5)*('CONTROL MASTER'!$V$2:$V$495&gt;=5)*('CONTROL MASTER'!$U$2:$U$495&lt;=8)*('CONTROL MASTER'!$W$2:$W$495&gt;=8))*ROW('CONTROL MASTER'!$S$2:$S$495))-(ROW('CONTROL MASTER'!#REF!)-1)))+1)+(8-INDEX('CONTROL MASTER'!$U$2:$U$495,(SUMPRODUCT((('CONTROL MASTER'!$S$2:$S$495=2)*('CONTROL MASTER'!$T$2:$T$495&lt;=5)*('CONTROL MASTER'!$V$2:$V$495&gt;=5)*('CONTROL MASTER'!$U$2:$U$495&lt;=8)*('CONTROL MASTER'!$W$2:$W$495&gt;=8))*ROW('CONTROL MASTER'!$S$2:$S$495))-(ROW('CONTROL MASTER'!#REF!)-1))))+1))-1)*50+1,50))&amp;"_"&amp;INDEX('CONTROL MASTER'!$P$2:$P$495,(SUMPRODUCT((('CONTROL MASTER'!$S$2:$S$495=2)*('CONTROL MASTER'!$T$2:$T$495&lt;=5)*('CONTROL MASTER'!$V$2:$V$495&gt;=5)*('CONTROL MASTER'!$U$2:$U$495&lt;=8)*('CONTROL MASTER'!$W$2:$W$495&gt;=8))*ROW('CONTROL MASTER'!$S$2:$S$495))-(ROW('CONTROL MASTER'!#REF!)-1))),IF(SUMPRODUCT((('CONTROL MASTER'!$S$2:$S$495=2)*('CONTROL MASTER'!$Z$2:$Z$495&lt;=5)*('CONTROL MASTER'!$AB$2:$AB$495&gt;=5)*('CONTROL MASTER'!$AA$2:$AA$495&lt;=8)*('CONTROL MASTER'!$AC$2:$AC$495&gt;=8))*ROW('CONTROL MASTER'!$S$2:$S$495))&gt;0,INDEX('CONTROL MASTER'!$X$2:$X$495,(SUMPRODUCT((('CONTROL MASTER'!$S$2:$S$495=2)*('CONTROL MASTER'!$Z$2:$Z$495&lt;=5)*('CONTROL MASTER'!$AB$2:$AB$495&gt;=5)*('CONTROL MASTER'!$AA$2:$AA$495&lt;=8)*('CONTROL MASTER'!$AC$2:$AC$495&gt;=8))*ROW('CONTROL MASTER'!$S$2:$S$495))-(ROW('CONTROL MASTER'!#REF!)-1)))&amp;TRIM(MID(SUBSTITUTE(SUBSTITUTE(INDEX('CONTROL MASTER'!$N$2:$N$495,(SUMPRODUCT((('CONTROL MASTER'!$S$2:$S$495=2)*('CONTROL MASTER'!$Z$2:$Z$495&lt;=5)*('CONTROL MASTER'!$AB$2:$AB$495&gt;=5)*('CONTROL MASTER'!$AA$2:$AA$495&lt;=8)*('CONTROL MASTER'!$AC$2:$AC$495&gt;=8))*ROW('CONTROL MASTER'!$S$2:$S$495))-(ROW('CONTROL MASTER'!#REF!)-1))),":",","),",",REPT(" ",50)),(((INDEX('CONTROL MASTER'!$Y$2:$Y$495,(SUMPRODUCT((('CONTROL MASTER'!$S$2:$S$495=2)*('CONTROL MASTER'!$Z$2:$Z$495&lt;=5)*('CONTROL MASTER'!$AB$2:$AB$495&gt;=5)*('CONTROL MASTER'!$AA$2:$AA$495&lt;=8)*('CONTROL MASTER'!$AC$2:$AC$495&gt;=8))*ROW('CONTROL MASTER'!$S$2:$S$495))-(ROW('CONTROL MASTER'!#REF!)-1)))+((5-INDEX('CONTROL MASTER'!$Z$2:$Z$495,(SUMPRODUCT((('CONTROL MASTER'!$S$2:$S$495=2)*('CONTROL MASTER'!$Z$2:$Z$495&lt;=5)*('CONTROL MASTER'!$AB$2:$AB$495&gt;=5)*('CONTROL MASTER'!$AA$2:$AA$495&lt;=8)*('CONTROL MASTER'!$AC$2:$AC$495&gt;=8))*ROW('CONTROL MASTER'!$S$2:$S$495))-(ROW('CONTROL MASTER'!#REF!)-1))))*(INDEX('CONTROL MASTER'!$AC$2:$AC$495,(SUMPRODUCT((('CONTROL MASTER'!$S$2:$S$495=2)*('CONTROL MASTER'!$Z$2:$Z$495&lt;=5)*('CONTROL MASTER'!$AB$2:$AB$495&gt;=5)*('CONTROL MASTER'!$AA$2:$AA$495&lt;=8)*('CONTROL MASTER'!$AC$2:$AC$495&gt;=8))*ROW('CONTROL MASTER'!$S$2:$S$495))-(ROW('CONTROL MASTER'!#REF!)-1)))-INDEX('CONTROL MASTER'!$AA$2:$AA$495,(SUMPRODUCT((('CONTROL MASTER'!$S$2:$S$495=2)*('CONTROL MASTER'!$Z$2:$Z$495&lt;=5)*('CONTROL MASTER'!$AB$2:$AB$495&gt;=5)*('CONTROL MASTER'!$AA$2:$AA$495&lt;=8)*('CONTROL MASTER'!$AC$2:$AC$495&gt;=8))*ROW('CONTROL MASTER'!$S$2:$S$495))-(ROW('CONTROL MASTER'!#REF!)-1)))+1)+(8-INDEX('CONTROL MASTER'!$AA$2:$AA$495,(SUMPRODUCT((('CONTROL MASTER'!$S$2:$S$495=2)*('CONTROL MASTER'!$Z$2:$Z$495&lt;=5)*('CONTROL MASTER'!$AB$2:$AB$495&gt;=5)*('CONTROL MASTER'!$AA$2:$AA$495&lt;=8)*('CONTROL MASTER'!$AC$2:$AC$495&gt;=8))*ROW('CONTROL MASTER'!$S$2:$S$495))-(ROW('CONTROL MASTER'!#REF!)-1))))+1)))-1)*50+1,50))&amp;"_"&amp;INDEX('CONTROL MASTER'!$P$2:$P$495,(SUMPRODUCT((('CONTROL MASTER'!$S$2:$S$495=2)*('CONTROL MASTER'!$Z$2:$Z$495&lt;=5)*('CONTROL MASTER'!$AB$2:$AB$495&gt;=5)*('CONTROL MASTER'!$AA$2:$AA$495&lt;=8)*('CONTROL MASTER'!$AC$2:$AC$495&gt;=8))*ROW('CONTROL MASTER'!$S$2:$S$495))-(ROW('CONTROL MASTER'!#REF!)-1))),"")),"")</f>
        <v/>
      </c>
      <c r="J21" s="10" t="str">
        <f>IFERROR(IF(SUMPRODUCT((('CONTROL MASTER'!$S$2:$S$495=2)*('CONTROL MASTER'!$T$2:$T$495&lt;=5)*('CONTROL MASTER'!$V$2:$V$495&gt;=5)*('CONTROL MASTER'!$U$2:$U$495&lt;=9)*('CONTROL MASTER'!$W$2:$W$495&gt;=9))*ROW('CONTROL MASTER'!$S$2:$S$495))&gt;0,INDEX('CONTROL MASTER'!$X$2:$X$495,(SUMPRODUCT((('CONTROL MASTER'!$S$2:$S$495=2)*('CONTROL MASTER'!$T$2:$T$495&lt;=5)*('CONTROL MASTER'!$V$2:$V$495&gt;=5)*('CONTROL MASTER'!$U$2:$U$495&lt;=9)*('CONTROL MASTER'!$W$2:$W$495&gt;=9))*ROW('CONTROL MASTER'!$S$2:$S$495))-(ROW('CONTROL MASTER'!#REF!)-1)))&amp;TRIM(MID(SUBSTITUTE(SUBSTITUTE(INDEX('CONTROL MASTER'!$N$2:$N$495,(SUMPRODUCT((('CONTROL MASTER'!$S$2:$S$495=2)*('CONTROL MASTER'!$T$2:$T$495&lt;=5)*('CONTROL MASTER'!$V$2:$V$495&gt;=5)*('CONTROL MASTER'!$U$2:$U$495&lt;=9)*('CONTROL MASTER'!$W$2:$W$495&gt;=9))*ROW('CONTROL MASTER'!$S$2:$S$495))-(ROW('CONTROL MASTER'!#REF!)-1))),":",","),",",REPT(" ",50)),((((5-INDEX('CONTROL MASTER'!$T$2:$T$495,(SUMPRODUCT((('CONTROL MASTER'!$S$2:$S$495=2)*('CONTROL MASTER'!$T$2:$T$495&lt;=5)*('CONTROL MASTER'!$V$2:$V$495&gt;=5)*('CONTROL MASTER'!$U$2:$U$495&lt;=9)*('CONTROL MASTER'!$W$2:$W$495&gt;=9))*ROW('CONTROL MASTER'!$S$2:$S$495))-(ROW('CONTROL MASTER'!#REF!)-1))))*(INDEX('CONTROL MASTER'!$W$2:$W$495,(SUMPRODUCT((('CONTROL MASTER'!$S$2:$S$495=2)*('CONTROL MASTER'!$T$2:$T$495&lt;=5)*('CONTROL MASTER'!$V$2:$V$495&gt;=5)*('CONTROL MASTER'!$U$2:$U$495&lt;=9)*('CONTROL MASTER'!$W$2:$W$495&gt;=9))*ROW('CONTROL MASTER'!$S$2:$S$495))-(ROW('CONTROL MASTER'!#REF!)-1)))-INDEX('CONTROL MASTER'!$U$2:$U$495,(SUMPRODUCT((('CONTROL MASTER'!$S$2:$S$495=2)*('CONTROL MASTER'!$T$2:$T$495&lt;=5)*('CONTROL MASTER'!$V$2:$V$495&gt;=5)*('CONTROL MASTER'!$U$2:$U$495&lt;=9)*('CONTROL MASTER'!$W$2:$W$495&gt;=9))*ROW('CONTROL MASTER'!$S$2:$S$495))-(ROW('CONTROL MASTER'!#REF!)-1)))+1)+(9-INDEX('CONTROL MASTER'!$U$2:$U$495,(SUMPRODUCT((('CONTROL MASTER'!$S$2:$S$495=2)*('CONTROL MASTER'!$T$2:$T$495&lt;=5)*('CONTROL MASTER'!$V$2:$V$495&gt;=5)*('CONTROL MASTER'!$U$2:$U$495&lt;=9)*('CONTROL MASTER'!$W$2:$W$495&gt;=9))*ROW('CONTROL MASTER'!$S$2:$S$495))-(ROW('CONTROL MASTER'!#REF!)-1))))+1))-1)*50+1,50))&amp;"_"&amp;INDEX('CONTROL MASTER'!$P$2:$P$495,(SUMPRODUCT((('CONTROL MASTER'!$S$2:$S$495=2)*('CONTROL MASTER'!$T$2:$T$495&lt;=5)*('CONTROL MASTER'!$V$2:$V$495&gt;=5)*('CONTROL MASTER'!$U$2:$U$495&lt;=9)*('CONTROL MASTER'!$W$2:$W$495&gt;=9))*ROW('CONTROL MASTER'!$S$2:$S$495))-(ROW('CONTROL MASTER'!#REF!)-1))),IF(SUMPRODUCT((('CONTROL MASTER'!$S$2:$S$495=2)*('CONTROL MASTER'!$Z$2:$Z$495&lt;=5)*('CONTROL MASTER'!$AB$2:$AB$495&gt;=5)*('CONTROL MASTER'!$AA$2:$AA$495&lt;=9)*('CONTROL MASTER'!$AC$2:$AC$495&gt;=9))*ROW('CONTROL MASTER'!$S$2:$S$495))&gt;0,INDEX('CONTROL MASTER'!$X$2:$X$495,(SUMPRODUCT((('CONTROL MASTER'!$S$2:$S$495=2)*('CONTROL MASTER'!$Z$2:$Z$495&lt;=5)*('CONTROL MASTER'!$AB$2:$AB$495&gt;=5)*('CONTROL MASTER'!$AA$2:$AA$495&lt;=9)*('CONTROL MASTER'!$AC$2:$AC$495&gt;=9))*ROW('CONTROL MASTER'!$S$2:$S$495))-(ROW('CONTROL MASTER'!#REF!)-1)))&amp;TRIM(MID(SUBSTITUTE(SUBSTITUTE(INDEX('CONTROL MASTER'!$N$2:$N$495,(SUMPRODUCT((('CONTROL MASTER'!$S$2:$S$495=2)*('CONTROL MASTER'!$Z$2:$Z$495&lt;=5)*('CONTROL MASTER'!$AB$2:$AB$495&gt;=5)*('CONTROL MASTER'!$AA$2:$AA$495&lt;=9)*('CONTROL MASTER'!$AC$2:$AC$495&gt;=9))*ROW('CONTROL MASTER'!$S$2:$S$495))-(ROW('CONTROL MASTER'!#REF!)-1))),":",","),",",REPT(" ",50)),(((INDEX('CONTROL MASTER'!$Y$2:$Y$495,(SUMPRODUCT((('CONTROL MASTER'!$S$2:$S$495=2)*('CONTROL MASTER'!$Z$2:$Z$495&lt;=5)*('CONTROL MASTER'!$AB$2:$AB$495&gt;=5)*('CONTROL MASTER'!$AA$2:$AA$495&lt;=9)*('CONTROL MASTER'!$AC$2:$AC$495&gt;=9))*ROW('CONTROL MASTER'!$S$2:$S$495))-(ROW('CONTROL MASTER'!#REF!)-1)))+((5-INDEX('CONTROL MASTER'!$Z$2:$Z$495,(SUMPRODUCT((('CONTROL MASTER'!$S$2:$S$495=2)*('CONTROL MASTER'!$Z$2:$Z$495&lt;=5)*('CONTROL MASTER'!$AB$2:$AB$495&gt;=5)*('CONTROL MASTER'!$AA$2:$AA$495&lt;=9)*('CONTROL MASTER'!$AC$2:$AC$495&gt;=9))*ROW('CONTROL MASTER'!$S$2:$S$495))-(ROW('CONTROL MASTER'!#REF!)-1))))*(INDEX('CONTROL MASTER'!$AC$2:$AC$495,(SUMPRODUCT((('CONTROL MASTER'!$S$2:$S$495=2)*('CONTROL MASTER'!$Z$2:$Z$495&lt;=5)*('CONTROL MASTER'!$AB$2:$AB$495&gt;=5)*('CONTROL MASTER'!$AA$2:$AA$495&lt;=9)*('CONTROL MASTER'!$AC$2:$AC$495&gt;=9))*ROW('CONTROL MASTER'!$S$2:$S$495))-(ROW('CONTROL MASTER'!#REF!)-1)))-INDEX('CONTROL MASTER'!$AA$2:$AA$495,(SUMPRODUCT((('CONTROL MASTER'!$S$2:$S$495=2)*('CONTROL MASTER'!$Z$2:$Z$495&lt;=5)*('CONTROL MASTER'!$AB$2:$AB$495&gt;=5)*('CONTROL MASTER'!$AA$2:$AA$495&lt;=9)*('CONTROL MASTER'!$AC$2:$AC$495&gt;=9))*ROW('CONTROL MASTER'!$S$2:$S$495))-(ROW('CONTROL MASTER'!#REF!)-1)))+1)+(9-INDEX('CONTROL MASTER'!$AA$2:$AA$495,(SUMPRODUCT((('CONTROL MASTER'!$S$2:$S$495=2)*('CONTROL MASTER'!$Z$2:$Z$495&lt;=5)*('CONTROL MASTER'!$AB$2:$AB$495&gt;=5)*('CONTROL MASTER'!$AA$2:$AA$495&lt;=9)*('CONTROL MASTER'!$AC$2:$AC$495&gt;=9))*ROW('CONTROL MASTER'!$S$2:$S$495))-(ROW('CONTROL MASTER'!#REF!)-1))))+1)))-1)*50+1,50))&amp;"_"&amp;INDEX('CONTROL MASTER'!$P$2:$P$495,(SUMPRODUCT((('CONTROL MASTER'!$S$2:$S$495=2)*('CONTROL MASTER'!$Z$2:$Z$495&lt;=5)*('CONTROL MASTER'!$AB$2:$AB$495&gt;=5)*('CONTROL MASTER'!$AA$2:$AA$495&lt;=9)*('CONTROL MASTER'!$AC$2:$AC$495&gt;=9))*ROW('CONTROL MASTER'!$S$2:$S$495))-(ROW('CONTROL MASTER'!#REF!)-1))),"")),"")</f>
        <v/>
      </c>
      <c r="K21" s="10" t="str">
        <f>IFERROR(IF(SUMPRODUCT((('CONTROL MASTER'!$S$2:$S$495=2)*('CONTROL MASTER'!$T$2:$T$495&lt;=5)*('CONTROL MASTER'!$V$2:$V$495&gt;=5)*('CONTROL MASTER'!$U$2:$U$495&lt;=10)*('CONTROL MASTER'!$W$2:$W$495&gt;=10))*ROW('CONTROL MASTER'!$S$2:$S$495))&gt;0,INDEX('CONTROL MASTER'!$X$2:$X$495,(SUMPRODUCT((('CONTROL MASTER'!$S$2:$S$495=2)*('CONTROL MASTER'!$T$2:$T$495&lt;=5)*('CONTROL MASTER'!$V$2:$V$495&gt;=5)*('CONTROL MASTER'!$U$2:$U$495&lt;=10)*('CONTROL MASTER'!$W$2:$W$495&gt;=10))*ROW('CONTROL MASTER'!$S$2:$S$495))-(ROW('CONTROL MASTER'!#REF!)-1)))&amp;TRIM(MID(SUBSTITUTE(SUBSTITUTE(INDEX('CONTROL MASTER'!$N$2:$N$495,(SUMPRODUCT((('CONTROL MASTER'!$S$2:$S$495=2)*('CONTROL MASTER'!$T$2:$T$495&lt;=5)*('CONTROL MASTER'!$V$2:$V$495&gt;=5)*('CONTROL MASTER'!$U$2:$U$495&lt;=10)*('CONTROL MASTER'!$W$2:$W$495&gt;=10))*ROW('CONTROL MASTER'!$S$2:$S$495))-(ROW('CONTROL MASTER'!#REF!)-1))),":",","),",",REPT(" ",50)),((((5-INDEX('CONTROL MASTER'!$T$2:$T$495,(SUMPRODUCT((('CONTROL MASTER'!$S$2:$S$495=2)*('CONTROL MASTER'!$T$2:$T$495&lt;=5)*('CONTROL MASTER'!$V$2:$V$495&gt;=5)*('CONTROL MASTER'!$U$2:$U$495&lt;=10)*('CONTROL MASTER'!$W$2:$W$495&gt;=10))*ROW('CONTROL MASTER'!$S$2:$S$495))-(ROW('CONTROL MASTER'!#REF!)-1))))*(INDEX('CONTROL MASTER'!$W$2:$W$495,(SUMPRODUCT((('CONTROL MASTER'!$S$2:$S$495=2)*('CONTROL MASTER'!$T$2:$T$495&lt;=5)*('CONTROL MASTER'!$V$2:$V$495&gt;=5)*('CONTROL MASTER'!$U$2:$U$495&lt;=10)*('CONTROL MASTER'!$W$2:$W$495&gt;=10))*ROW('CONTROL MASTER'!$S$2:$S$495))-(ROW('CONTROL MASTER'!#REF!)-1)))-INDEX('CONTROL MASTER'!$U$2:$U$495,(SUMPRODUCT((('CONTROL MASTER'!$S$2:$S$495=2)*('CONTROL MASTER'!$T$2:$T$495&lt;=5)*('CONTROL MASTER'!$V$2:$V$495&gt;=5)*('CONTROL MASTER'!$U$2:$U$495&lt;=10)*('CONTROL MASTER'!$W$2:$W$495&gt;=10))*ROW('CONTROL MASTER'!$S$2:$S$495))-(ROW('CONTROL MASTER'!#REF!)-1)))+1)+(10-INDEX('CONTROL MASTER'!$U$2:$U$495,(SUMPRODUCT((('CONTROL MASTER'!$S$2:$S$495=2)*('CONTROL MASTER'!$T$2:$T$495&lt;=5)*('CONTROL MASTER'!$V$2:$V$495&gt;=5)*('CONTROL MASTER'!$U$2:$U$495&lt;=10)*('CONTROL MASTER'!$W$2:$W$495&gt;=10))*ROW('CONTROL MASTER'!$S$2:$S$495))-(ROW('CONTROL MASTER'!#REF!)-1))))+1))-1)*50+1,50))&amp;"_"&amp;INDEX('CONTROL MASTER'!$P$2:$P$495,(SUMPRODUCT((('CONTROL MASTER'!$S$2:$S$495=2)*('CONTROL MASTER'!$T$2:$T$495&lt;=5)*('CONTROL MASTER'!$V$2:$V$495&gt;=5)*('CONTROL MASTER'!$U$2:$U$495&lt;=10)*('CONTROL MASTER'!$W$2:$W$495&gt;=10))*ROW('CONTROL MASTER'!$S$2:$S$495))-(ROW('CONTROL MASTER'!#REF!)-1))),IF(SUMPRODUCT((('CONTROL MASTER'!$S$2:$S$495=2)*('CONTROL MASTER'!$Z$2:$Z$495&lt;=5)*('CONTROL MASTER'!$AB$2:$AB$495&gt;=5)*('CONTROL MASTER'!$AA$2:$AA$495&lt;=10)*('CONTROL MASTER'!$AC$2:$AC$495&gt;=10))*ROW('CONTROL MASTER'!$S$2:$S$495))&gt;0,INDEX('CONTROL MASTER'!$X$2:$X$495,(SUMPRODUCT((('CONTROL MASTER'!$S$2:$S$495=2)*('CONTROL MASTER'!$Z$2:$Z$495&lt;=5)*('CONTROL MASTER'!$AB$2:$AB$495&gt;=5)*('CONTROL MASTER'!$AA$2:$AA$495&lt;=10)*('CONTROL MASTER'!$AC$2:$AC$495&gt;=10))*ROW('CONTROL MASTER'!$S$2:$S$495))-(ROW('CONTROL MASTER'!#REF!)-1)))&amp;TRIM(MID(SUBSTITUTE(SUBSTITUTE(INDEX('CONTROL MASTER'!$N$2:$N$495,(SUMPRODUCT((('CONTROL MASTER'!$S$2:$S$495=2)*('CONTROL MASTER'!$Z$2:$Z$495&lt;=5)*('CONTROL MASTER'!$AB$2:$AB$495&gt;=5)*('CONTROL MASTER'!$AA$2:$AA$495&lt;=10)*('CONTROL MASTER'!$AC$2:$AC$495&gt;=10))*ROW('CONTROL MASTER'!$S$2:$S$495))-(ROW('CONTROL MASTER'!#REF!)-1))),":",","),",",REPT(" ",50)),(((INDEX('CONTROL MASTER'!$Y$2:$Y$495,(SUMPRODUCT((('CONTROL MASTER'!$S$2:$S$495=2)*('CONTROL MASTER'!$Z$2:$Z$495&lt;=5)*('CONTROL MASTER'!$AB$2:$AB$495&gt;=5)*('CONTROL MASTER'!$AA$2:$AA$495&lt;=10)*('CONTROL MASTER'!$AC$2:$AC$495&gt;=10))*ROW('CONTROL MASTER'!$S$2:$S$495))-(ROW('CONTROL MASTER'!#REF!)-1)))+((5-INDEX('CONTROL MASTER'!$Z$2:$Z$495,(SUMPRODUCT((('CONTROL MASTER'!$S$2:$S$495=2)*('CONTROL MASTER'!$Z$2:$Z$495&lt;=5)*('CONTROL MASTER'!$AB$2:$AB$495&gt;=5)*('CONTROL MASTER'!$AA$2:$AA$495&lt;=10)*('CONTROL MASTER'!$AC$2:$AC$495&gt;=10))*ROW('CONTROL MASTER'!$S$2:$S$495))-(ROW('CONTROL MASTER'!#REF!)-1))))*(INDEX('CONTROL MASTER'!$AC$2:$AC$495,(SUMPRODUCT((('CONTROL MASTER'!$S$2:$S$495=2)*('CONTROL MASTER'!$Z$2:$Z$495&lt;=5)*('CONTROL MASTER'!$AB$2:$AB$495&gt;=5)*('CONTROL MASTER'!$AA$2:$AA$495&lt;=10)*('CONTROL MASTER'!$AC$2:$AC$495&gt;=10))*ROW('CONTROL MASTER'!$S$2:$S$495))-(ROW('CONTROL MASTER'!#REF!)-1)))-INDEX('CONTROL MASTER'!$AA$2:$AA$495,(SUMPRODUCT((('CONTROL MASTER'!$S$2:$S$495=2)*('CONTROL MASTER'!$Z$2:$Z$495&lt;=5)*('CONTROL MASTER'!$AB$2:$AB$495&gt;=5)*('CONTROL MASTER'!$AA$2:$AA$495&lt;=10)*('CONTROL MASTER'!$AC$2:$AC$495&gt;=10))*ROW('CONTROL MASTER'!$S$2:$S$495))-(ROW('CONTROL MASTER'!#REF!)-1)))+1)+(10-INDEX('CONTROL MASTER'!$AA$2:$AA$495,(SUMPRODUCT((('CONTROL MASTER'!$S$2:$S$495=2)*('CONTROL MASTER'!$Z$2:$Z$495&lt;=5)*('CONTROL MASTER'!$AB$2:$AB$495&gt;=5)*('CONTROL MASTER'!$AA$2:$AA$495&lt;=10)*('CONTROL MASTER'!$AC$2:$AC$495&gt;=10))*ROW('CONTROL MASTER'!$S$2:$S$495))-(ROW('CONTROL MASTER'!#REF!)-1))))+1)))-1)*50+1,50))&amp;"_"&amp;INDEX('CONTROL MASTER'!$P$2:$P$495,(SUMPRODUCT((('CONTROL MASTER'!$S$2:$S$495=2)*('CONTROL MASTER'!$Z$2:$Z$495&lt;=5)*('CONTROL MASTER'!$AB$2:$AB$495&gt;=5)*('CONTROL MASTER'!$AA$2:$AA$495&lt;=10)*('CONTROL MASTER'!$AC$2:$AC$495&gt;=10))*ROW('CONTROL MASTER'!$S$2:$S$495))-(ROW('CONTROL MASTER'!#REF!)-1))),"")),"")</f>
        <v/>
      </c>
    </row>
    <row r="22" spans="1:11" ht="15" customHeight="1" x14ac:dyDescent="0.35">
      <c r="A22" s="8" t="s">
        <v>33</v>
      </c>
      <c r="B22" s="10" t="str">
        <f>IFERROR(IF(SUMPRODUCT((('CONTROL MASTER'!$S$2:$S$495=2)*('CONTROL MASTER'!$T$2:$T$495&lt;=6)*('CONTROL MASTER'!$V$2:$V$495&gt;=6)*('CONTROL MASTER'!$U$2:$U$495&lt;=1)*('CONTROL MASTER'!$W$2:$W$495&gt;=1))*ROW('CONTROL MASTER'!$S$2:$S$495))&gt;0,INDEX('CONTROL MASTER'!$X$2:$X$495,(SUMPRODUCT((('CONTROL MASTER'!$S$2:$S$495=2)*('CONTROL MASTER'!$T$2:$T$495&lt;=6)*('CONTROL MASTER'!$V$2:$V$495&gt;=6)*('CONTROL MASTER'!$U$2:$U$495&lt;=1)*('CONTROL MASTER'!$W$2:$W$495&gt;=1))*ROW('CONTROL MASTER'!$S$2:$S$495))-(ROW('CONTROL MASTER'!#REF!)-1)))&amp;TRIM(MID(SUBSTITUTE(SUBSTITUTE(INDEX('CONTROL MASTER'!$N$2:$N$495,(SUMPRODUCT((('CONTROL MASTER'!$S$2:$S$495=2)*('CONTROL MASTER'!$T$2:$T$495&lt;=6)*('CONTROL MASTER'!$V$2:$V$495&gt;=6)*('CONTROL MASTER'!$U$2:$U$495&lt;=1)*('CONTROL MASTER'!$W$2:$W$495&gt;=1))*ROW('CONTROL MASTER'!$S$2:$S$495))-(ROW('CONTROL MASTER'!#REF!)-1))),":",","),",",REPT(" ",50)),((((6-INDEX('CONTROL MASTER'!$T$2:$T$495,(SUMPRODUCT((('CONTROL MASTER'!$S$2:$S$495=2)*('CONTROL MASTER'!$T$2:$T$495&lt;=6)*('CONTROL MASTER'!$V$2:$V$495&gt;=6)*('CONTROL MASTER'!$U$2:$U$495&lt;=1)*('CONTROL MASTER'!$W$2:$W$495&gt;=1))*ROW('CONTROL MASTER'!$S$2:$S$495))-(ROW('CONTROL MASTER'!#REF!)-1))))*(INDEX('CONTROL MASTER'!$W$2:$W$495,(SUMPRODUCT((('CONTROL MASTER'!$S$2:$S$495=2)*('CONTROL MASTER'!$T$2:$T$495&lt;=6)*('CONTROL MASTER'!$V$2:$V$495&gt;=6)*('CONTROL MASTER'!$U$2:$U$495&lt;=1)*('CONTROL MASTER'!$W$2:$W$495&gt;=1))*ROW('CONTROL MASTER'!$S$2:$S$495))-(ROW('CONTROL MASTER'!#REF!)-1)))-INDEX('CONTROL MASTER'!$U$2:$U$495,(SUMPRODUCT((('CONTROL MASTER'!$S$2:$S$495=2)*('CONTROL MASTER'!$T$2:$T$495&lt;=6)*('CONTROL MASTER'!$V$2:$V$495&gt;=6)*('CONTROL MASTER'!$U$2:$U$495&lt;=1)*('CONTROL MASTER'!$W$2:$W$495&gt;=1))*ROW('CONTROL MASTER'!$S$2:$S$495))-(ROW('CONTROL MASTER'!#REF!)-1)))+1)+(1-INDEX('CONTROL MASTER'!$U$2:$U$495,(SUMPRODUCT((('CONTROL MASTER'!$S$2:$S$495=2)*('CONTROL MASTER'!$T$2:$T$495&lt;=6)*('CONTROL MASTER'!$V$2:$V$495&gt;=6)*('CONTROL MASTER'!$U$2:$U$495&lt;=1)*('CONTROL MASTER'!$W$2:$W$495&gt;=1))*ROW('CONTROL MASTER'!$S$2:$S$495))-(ROW('CONTROL MASTER'!#REF!)-1))))+1))-1)*50+1,50))&amp;"_"&amp;INDEX('CONTROL MASTER'!$P$2:$P$495,(SUMPRODUCT((('CONTROL MASTER'!$S$2:$S$495=2)*('CONTROL MASTER'!$T$2:$T$495&lt;=6)*('CONTROL MASTER'!$V$2:$V$495&gt;=6)*('CONTROL MASTER'!$U$2:$U$495&lt;=1)*('CONTROL MASTER'!$W$2:$W$495&gt;=1))*ROW('CONTROL MASTER'!$S$2:$S$495))-(ROW('CONTROL MASTER'!#REF!)-1))),IF(SUMPRODUCT((('CONTROL MASTER'!$S$2:$S$495=2)*('CONTROL MASTER'!$Z$2:$Z$495&lt;=6)*('CONTROL MASTER'!$AB$2:$AB$495&gt;=6)*('CONTROL MASTER'!$AA$2:$AA$495&lt;=1)*('CONTROL MASTER'!$AC$2:$AC$495&gt;=1))*ROW('CONTROL MASTER'!$S$2:$S$495))&gt;0,INDEX('CONTROL MASTER'!$X$2:$X$495,(SUMPRODUCT((('CONTROL MASTER'!$S$2:$S$495=2)*('CONTROL MASTER'!$Z$2:$Z$495&lt;=6)*('CONTROL MASTER'!$AB$2:$AB$495&gt;=6)*('CONTROL MASTER'!$AA$2:$AA$495&lt;=1)*('CONTROL MASTER'!$AC$2:$AC$495&gt;=1))*ROW('CONTROL MASTER'!$S$2:$S$495))-(ROW('CONTROL MASTER'!#REF!)-1)))&amp;TRIM(MID(SUBSTITUTE(SUBSTITUTE(INDEX('CONTROL MASTER'!$N$2:$N$495,(SUMPRODUCT((('CONTROL MASTER'!$S$2:$S$495=2)*('CONTROL MASTER'!$Z$2:$Z$495&lt;=6)*('CONTROL MASTER'!$AB$2:$AB$495&gt;=6)*('CONTROL MASTER'!$AA$2:$AA$495&lt;=1)*('CONTROL MASTER'!$AC$2:$AC$495&gt;=1))*ROW('CONTROL MASTER'!$S$2:$S$495))-(ROW('CONTROL MASTER'!#REF!)-1))),":",","),",",REPT(" ",50)),(((INDEX('CONTROL MASTER'!$Y$2:$Y$495,(SUMPRODUCT((('CONTROL MASTER'!$S$2:$S$495=2)*('CONTROL MASTER'!$Z$2:$Z$495&lt;=6)*('CONTROL MASTER'!$AB$2:$AB$495&gt;=6)*('CONTROL MASTER'!$AA$2:$AA$495&lt;=1)*('CONTROL MASTER'!$AC$2:$AC$495&gt;=1))*ROW('CONTROL MASTER'!$S$2:$S$495))-(ROW('CONTROL MASTER'!#REF!)-1)))+((6-INDEX('CONTROL MASTER'!$Z$2:$Z$495,(SUMPRODUCT((('CONTROL MASTER'!$S$2:$S$495=2)*('CONTROL MASTER'!$Z$2:$Z$495&lt;=6)*('CONTROL MASTER'!$AB$2:$AB$495&gt;=6)*('CONTROL MASTER'!$AA$2:$AA$495&lt;=1)*('CONTROL MASTER'!$AC$2:$AC$495&gt;=1))*ROW('CONTROL MASTER'!$S$2:$S$495))-(ROW('CONTROL MASTER'!#REF!)-1))))*(INDEX('CONTROL MASTER'!$AC$2:$AC$495,(SUMPRODUCT((('CONTROL MASTER'!$S$2:$S$495=2)*('CONTROL MASTER'!$Z$2:$Z$495&lt;=6)*('CONTROL MASTER'!$AB$2:$AB$495&gt;=6)*('CONTROL MASTER'!$AA$2:$AA$495&lt;=1)*('CONTROL MASTER'!$AC$2:$AC$495&gt;=1))*ROW('CONTROL MASTER'!$S$2:$S$495))-(ROW('CONTROL MASTER'!#REF!)-1)))-INDEX('CONTROL MASTER'!$AA$2:$AA$495,(SUMPRODUCT((('CONTROL MASTER'!$S$2:$S$495=2)*('CONTROL MASTER'!$Z$2:$Z$495&lt;=6)*('CONTROL MASTER'!$AB$2:$AB$495&gt;=6)*('CONTROL MASTER'!$AA$2:$AA$495&lt;=1)*('CONTROL MASTER'!$AC$2:$AC$495&gt;=1))*ROW('CONTROL MASTER'!$S$2:$S$495))-(ROW('CONTROL MASTER'!#REF!)-1)))+1)+(1-INDEX('CONTROL MASTER'!$AA$2:$AA$495,(SUMPRODUCT((('CONTROL MASTER'!$S$2:$S$495=2)*('CONTROL MASTER'!$Z$2:$Z$495&lt;=6)*('CONTROL MASTER'!$AB$2:$AB$495&gt;=6)*('CONTROL MASTER'!$AA$2:$AA$495&lt;=1)*('CONTROL MASTER'!$AC$2:$AC$495&gt;=1))*ROW('CONTROL MASTER'!$S$2:$S$495))-(ROW('CONTROL MASTER'!#REF!)-1))))+1)))-1)*50+1,50))&amp;"_"&amp;INDEX('CONTROL MASTER'!$P$2:$P$495,(SUMPRODUCT((('CONTROL MASTER'!$S$2:$S$495=2)*('CONTROL MASTER'!$Z$2:$Z$495&lt;=6)*('CONTROL MASTER'!$AB$2:$AB$495&gt;=6)*('CONTROL MASTER'!$AA$2:$AA$495&lt;=1)*('CONTROL MASTER'!$AC$2:$AC$495&gt;=1))*ROW('CONTROL MASTER'!$S$2:$S$495))-(ROW('CONTROL MASTER'!#REF!)-1))),"")),"")</f>
        <v/>
      </c>
      <c r="C22" s="10" t="str">
        <f>IFERROR(IF(SUMPRODUCT((('CONTROL MASTER'!$S$2:$S$495=2)*('CONTROL MASTER'!$T$2:$T$495&lt;=6)*('CONTROL MASTER'!$V$2:$V$495&gt;=6)*('CONTROL MASTER'!$U$2:$U$495&lt;=2)*('CONTROL MASTER'!$W$2:$W$495&gt;=2))*ROW('CONTROL MASTER'!$S$2:$S$495))&gt;0,INDEX('CONTROL MASTER'!$X$2:$X$495,(SUMPRODUCT((('CONTROL MASTER'!$S$2:$S$495=2)*('CONTROL MASTER'!$T$2:$T$495&lt;=6)*('CONTROL MASTER'!$V$2:$V$495&gt;=6)*('CONTROL MASTER'!$U$2:$U$495&lt;=2)*('CONTROL MASTER'!$W$2:$W$495&gt;=2))*ROW('CONTROL MASTER'!$S$2:$S$495))-(ROW('CONTROL MASTER'!#REF!)-1)))&amp;TRIM(MID(SUBSTITUTE(SUBSTITUTE(INDEX('CONTROL MASTER'!$N$2:$N$495,(SUMPRODUCT((('CONTROL MASTER'!$S$2:$S$495=2)*('CONTROL MASTER'!$T$2:$T$495&lt;=6)*('CONTROL MASTER'!$V$2:$V$495&gt;=6)*('CONTROL MASTER'!$U$2:$U$495&lt;=2)*('CONTROL MASTER'!$W$2:$W$495&gt;=2))*ROW('CONTROL MASTER'!$S$2:$S$495))-(ROW('CONTROL MASTER'!#REF!)-1))),":",","),",",REPT(" ",50)),((((6-INDEX('CONTROL MASTER'!$T$2:$T$495,(SUMPRODUCT((('CONTROL MASTER'!$S$2:$S$495=2)*('CONTROL MASTER'!$T$2:$T$495&lt;=6)*('CONTROL MASTER'!$V$2:$V$495&gt;=6)*('CONTROL MASTER'!$U$2:$U$495&lt;=2)*('CONTROL MASTER'!$W$2:$W$495&gt;=2))*ROW('CONTROL MASTER'!$S$2:$S$495))-(ROW('CONTROL MASTER'!#REF!)-1))))*(INDEX('CONTROL MASTER'!$W$2:$W$495,(SUMPRODUCT((('CONTROL MASTER'!$S$2:$S$495=2)*('CONTROL MASTER'!$T$2:$T$495&lt;=6)*('CONTROL MASTER'!$V$2:$V$495&gt;=6)*('CONTROL MASTER'!$U$2:$U$495&lt;=2)*('CONTROL MASTER'!$W$2:$W$495&gt;=2))*ROW('CONTROL MASTER'!$S$2:$S$495))-(ROW('CONTROL MASTER'!#REF!)-1)))-INDEX('CONTROL MASTER'!$U$2:$U$495,(SUMPRODUCT((('CONTROL MASTER'!$S$2:$S$495=2)*('CONTROL MASTER'!$T$2:$T$495&lt;=6)*('CONTROL MASTER'!$V$2:$V$495&gt;=6)*('CONTROL MASTER'!$U$2:$U$495&lt;=2)*('CONTROL MASTER'!$W$2:$W$495&gt;=2))*ROW('CONTROL MASTER'!$S$2:$S$495))-(ROW('CONTROL MASTER'!#REF!)-1)))+1)+(2-INDEX('CONTROL MASTER'!$U$2:$U$495,(SUMPRODUCT((('CONTROL MASTER'!$S$2:$S$495=2)*('CONTROL MASTER'!$T$2:$T$495&lt;=6)*('CONTROL MASTER'!$V$2:$V$495&gt;=6)*('CONTROL MASTER'!$U$2:$U$495&lt;=2)*('CONTROL MASTER'!$W$2:$W$495&gt;=2))*ROW('CONTROL MASTER'!$S$2:$S$495))-(ROW('CONTROL MASTER'!#REF!)-1))))+1))-1)*50+1,50))&amp;"_"&amp;INDEX('CONTROL MASTER'!$P$2:$P$495,(SUMPRODUCT((('CONTROL MASTER'!$S$2:$S$495=2)*('CONTROL MASTER'!$T$2:$T$495&lt;=6)*('CONTROL MASTER'!$V$2:$V$495&gt;=6)*('CONTROL MASTER'!$U$2:$U$495&lt;=2)*('CONTROL MASTER'!$W$2:$W$495&gt;=2))*ROW('CONTROL MASTER'!$S$2:$S$495))-(ROW('CONTROL MASTER'!#REF!)-1))),IF(SUMPRODUCT((('CONTROL MASTER'!$S$2:$S$495=2)*('CONTROL MASTER'!$Z$2:$Z$495&lt;=6)*('CONTROL MASTER'!$AB$2:$AB$495&gt;=6)*('CONTROL MASTER'!$AA$2:$AA$495&lt;=2)*('CONTROL MASTER'!$AC$2:$AC$495&gt;=2))*ROW('CONTROL MASTER'!$S$2:$S$495))&gt;0,INDEX('CONTROL MASTER'!$X$2:$X$495,(SUMPRODUCT((('CONTROL MASTER'!$S$2:$S$495=2)*('CONTROL MASTER'!$Z$2:$Z$495&lt;=6)*('CONTROL MASTER'!$AB$2:$AB$495&gt;=6)*('CONTROL MASTER'!$AA$2:$AA$495&lt;=2)*('CONTROL MASTER'!$AC$2:$AC$495&gt;=2))*ROW('CONTROL MASTER'!$S$2:$S$495))-(ROW('CONTROL MASTER'!#REF!)-1)))&amp;TRIM(MID(SUBSTITUTE(SUBSTITUTE(INDEX('CONTROL MASTER'!$N$2:$N$495,(SUMPRODUCT((('CONTROL MASTER'!$S$2:$S$495=2)*('CONTROL MASTER'!$Z$2:$Z$495&lt;=6)*('CONTROL MASTER'!$AB$2:$AB$495&gt;=6)*('CONTROL MASTER'!$AA$2:$AA$495&lt;=2)*('CONTROL MASTER'!$AC$2:$AC$495&gt;=2))*ROW('CONTROL MASTER'!$S$2:$S$495))-(ROW('CONTROL MASTER'!#REF!)-1))),":",","),",",REPT(" ",50)),(((INDEX('CONTROL MASTER'!$Y$2:$Y$495,(SUMPRODUCT((('CONTROL MASTER'!$S$2:$S$495=2)*('CONTROL MASTER'!$Z$2:$Z$495&lt;=6)*('CONTROL MASTER'!$AB$2:$AB$495&gt;=6)*('CONTROL MASTER'!$AA$2:$AA$495&lt;=2)*('CONTROL MASTER'!$AC$2:$AC$495&gt;=2))*ROW('CONTROL MASTER'!$S$2:$S$495))-(ROW('CONTROL MASTER'!#REF!)-1)))+((6-INDEX('CONTROL MASTER'!$Z$2:$Z$495,(SUMPRODUCT((('CONTROL MASTER'!$S$2:$S$495=2)*('CONTROL MASTER'!$Z$2:$Z$495&lt;=6)*('CONTROL MASTER'!$AB$2:$AB$495&gt;=6)*('CONTROL MASTER'!$AA$2:$AA$495&lt;=2)*('CONTROL MASTER'!$AC$2:$AC$495&gt;=2))*ROW('CONTROL MASTER'!$S$2:$S$495))-(ROW('CONTROL MASTER'!#REF!)-1))))*(INDEX('CONTROL MASTER'!$AC$2:$AC$495,(SUMPRODUCT((('CONTROL MASTER'!$S$2:$S$495=2)*('CONTROL MASTER'!$Z$2:$Z$495&lt;=6)*('CONTROL MASTER'!$AB$2:$AB$495&gt;=6)*('CONTROL MASTER'!$AA$2:$AA$495&lt;=2)*('CONTROL MASTER'!$AC$2:$AC$495&gt;=2))*ROW('CONTROL MASTER'!$S$2:$S$495))-(ROW('CONTROL MASTER'!#REF!)-1)))-INDEX('CONTROL MASTER'!$AA$2:$AA$495,(SUMPRODUCT((('CONTROL MASTER'!$S$2:$S$495=2)*('CONTROL MASTER'!$Z$2:$Z$495&lt;=6)*('CONTROL MASTER'!$AB$2:$AB$495&gt;=6)*('CONTROL MASTER'!$AA$2:$AA$495&lt;=2)*('CONTROL MASTER'!$AC$2:$AC$495&gt;=2))*ROW('CONTROL MASTER'!$S$2:$S$495))-(ROW('CONTROL MASTER'!#REF!)-1)))+1)+(2-INDEX('CONTROL MASTER'!$AA$2:$AA$495,(SUMPRODUCT((('CONTROL MASTER'!$S$2:$S$495=2)*('CONTROL MASTER'!$Z$2:$Z$495&lt;=6)*('CONTROL MASTER'!$AB$2:$AB$495&gt;=6)*('CONTROL MASTER'!$AA$2:$AA$495&lt;=2)*('CONTROL MASTER'!$AC$2:$AC$495&gt;=2))*ROW('CONTROL MASTER'!$S$2:$S$495))-(ROW('CONTROL MASTER'!#REF!)-1))))+1)))-1)*50+1,50))&amp;"_"&amp;INDEX('CONTROL MASTER'!$P$2:$P$495,(SUMPRODUCT((('CONTROL MASTER'!$S$2:$S$495=2)*('CONTROL MASTER'!$Z$2:$Z$495&lt;=6)*('CONTROL MASTER'!$AB$2:$AB$495&gt;=6)*('CONTROL MASTER'!$AA$2:$AA$495&lt;=2)*('CONTROL MASTER'!$AC$2:$AC$495&gt;=2))*ROW('CONTROL MASTER'!$S$2:$S$495))-(ROW('CONTROL MASTER'!#REF!)-1))),"")),"")</f>
        <v/>
      </c>
      <c r="D22" s="10" t="str">
        <f>IFERROR(IF(SUMPRODUCT((('CONTROL MASTER'!$S$2:$S$495=2)*('CONTROL MASTER'!$T$2:$T$495&lt;=6)*('CONTROL MASTER'!$V$2:$V$495&gt;=6)*('CONTROL MASTER'!$U$2:$U$495&lt;=3)*('CONTROL MASTER'!$W$2:$W$495&gt;=3))*ROW('CONTROL MASTER'!$S$2:$S$495))&gt;0,INDEX('CONTROL MASTER'!$X$2:$X$495,(SUMPRODUCT((('CONTROL MASTER'!$S$2:$S$495=2)*('CONTROL MASTER'!$T$2:$T$495&lt;=6)*('CONTROL MASTER'!$V$2:$V$495&gt;=6)*('CONTROL MASTER'!$U$2:$U$495&lt;=3)*('CONTROL MASTER'!$W$2:$W$495&gt;=3))*ROW('CONTROL MASTER'!$S$2:$S$495))-(ROW('CONTROL MASTER'!#REF!)-1)))&amp;TRIM(MID(SUBSTITUTE(SUBSTITUTE(INDEX('CONTROL MASTER'!$N$2:$N$495,(SUMPRODUCT((('CONTROL MASTER'!$S$2:$S$495=2)*('CONTROL MASTER'!$T$2:$T$495&lt;=6)*('CONTROL MASTER'!$V$2:$V$495&gt;=6)*('CONTROL MASTER'!$U$2:$U$495&lt;=3)*('CONTROL MASTER'!$W$2:$W$495&gt;=3))*ROW('CONTROL MASTER'!$S$2:$S$495))-(ROW('CONTROL MASTER'!#REF!)-1))),":",","),",",REPT(" ",50)),((((6-INDEX('CONTROL MASTER'!$T$2:$T$495,(SUMPRODUCT((('CONTROL MASTER'!$S$2:$S$495=2)*('CONTROL MASTER'!$T$2:$T$495&lt;=6)*('CONTROL MASTER'!$V$2:$V$495&gt;=6)*('CONTROL MASTER'!$U$2:$U$495&lt;=3)*('CONTROL MASTER'!$W$2:$W$495&gt;=3))*ROW('CONTROL MASTER'!$S$2:$S$495))-(ROW('CONTROL MASTER'!#REF!)-1))))*(INDEX('CONTROL MASTER'!$W$2:$W$495,(SUMPRODUCT((('CONTROL MASTER'!$S$2:$S$495=2)*('CONTROL MASTER'!$T$2:$T$495&lt;=6)*('CONTROL MASTER'!$V$2:$V$495&gt;=6)*('CONTROL MASTER'!$U$2:$U$495&lt;=3)*('CONTROL MASTER'!$W$2:$W$495&gt;=3))*ROW('CONTROL MASTER'!$S$2:$S$495))-(ROW('CONTROL MASTER'!#REF!)-1)))-INDEX('CONTROL MASTER'!$U$2:$U$495,(SUMPRODUCT((('CONTROL MASTER'!$S$2:$S$495=2)*('CONTROL MASTER'!$T$2:$T$495&lt;=6)*('CONTROL MASTER'!$V$2:$V$495&gt;=6)*('CONTROL MASTER'!$U$2:$U$495&lt;=3)*('CONTROL MASTER'!$W$2:$W$495&gt;=3))*ROW('CONTROL MASTER'!$S$2:$S$495))-(ROW('CONTROL MASTER'!#REF!)-1)))+1)+(3-INDEX('CONTROL MASTER'!$U$2:$U$495,(SUMPRODUCT((('CONTROL MASTER'!$S$2:$S$495=2)*('CONTROL MASTER'!$T$2:$T$495&lt;=6)*('CONTROL MASTER'!$V$2:$V$495&gt;=6)*('CONTROL MASTER'!$U$2:$U$495&lt;=3)*('CONTROL MASTER'!$W$2:$W$495&gt;=3))*ROW('CONTROL MASTER'!$S$2:$S$495))-(ROW('CONTROL MASTER'!#REF!)-1))))+1))-1)*50+1,50))&amp;"_"&amp;INDEX('CONTROL MASTER'!$P$2:$P$495,(SUMPRODUCT((('CONTROL MASTER'!$S$2:$S$495=2)*('CONTROL MASTER'!$T$2:$T$495&lt;=6)*('CONTROL MASTER'!$V$2:$V$495&gt;=6)*('CONTROL MASTER'!$U$2:$U$495&lt;=3)*('CONTROL MASTER'!$W$2:$W$495&gt;=3))*ROW('CONTROL MASTER'!$S$2:$S$495))-(ROW('CONTROL MASTER'!#REF!)-1))),IF(SUMPRODUCT((('CONTROL MASTER'!$S$2:$S$495=2)*('CONTROL MASTER'!$Z$2:$Z$495&lt;=6)*('CONTROL MASTER'!$AB$2:$AB$495&gt;=6)*('CONTROL MASTER'!$AA$2:$AA$495&lt;=3)*('CONTROL MASTER'!$AC$2:$AC$495&gt;=3))*ROW('CONTROL MASTER'!$S$2:$S$495))&gt;0,INDEX('CONTROL MASTER'!$X$2:$X$495,(SUMPRODUCT((('CONTROL MASTER'!$S$2:$S$495=2)*('CONTROL MASTER'!$Z$2:$Z$495&lt;=6)*('CONTROL MASTER'!$AB$2:$AB$495&gt;=6)*('CONTROL MASTER'!$AA$2:$AA$495&lt;=3)*('CONTROL MASTER'!$AC$2:$AC$495&gt;=3))*ROW('CONTROL MASTER'!$S$2:$S$495))-(ROW('CONTROL MASTER'!#REF!)-1)))&amp;TRIM(MID(SUBSTITUTE(SUBSTITUTE(INDEX('CONTROL MASTER'!$N$2:$N$495,(SUMPRODUCT((('CONTROL MASTER'!$S$2:$S$495=2)*('CONTROL MASTER'!$Z$2:$Z$495&lt;=6)*('CONTROL MASTER'!$AB$2:$AB$495&gt;=6)*('CONTROL MASTER'!$AA$2:$AA$495&lt;=3)*('CONTROL MASTER'!$AC$2:$AC$495&gt;=3))*ROW('CONTROL MASTER'!$S$2:$S$495))-(ROW('CONTROL MASTER'!#REF!)-1))),":",","),",",REPT(" ",50)),(((INDEX('CONTROL MASTER'!$Y$2:$Y$495,(SUMPRODUCT((('CONTROL MASTER'!$S$2:$S$495=2)*('CONTROL MASTER'!$Z$2:$Z$495&lt;=6)*('CONTROL MASTER'!$AB$2:$AB$495&gt;=6)*('CONTROL MASTER'!$AA$2:$AA$495&lt;=3)*('CONTROL MASTER'!$AC$2:$AC$495&gt;=3))*ROW('CONTROL MASTER'!$S$2:$S$495))-(ROW('CONTROL MASTER'!#REF!)-1)))+((6-INDEX('CONTROL MASTER'!$Z$2:$Z$495,(SUMPRODUCT((('CONTROL MASTER'!$S$2:$S$495=2)*('CONTROL MASTER'!$Z$2:$Z$495&lt;=6)*('CONTROL MASTER'!$AB$2:$AB$495&gt;=6)*('CONTROL MASTER'!$AA$2:$AA$495&lt;=3)*('CONTROL MASTER'!$AC$2:$AC$495&gt;=3))*ROW('CONTROL MASTER'!$S$2:$S$495))-(ROW('CONTROL MASTER'!#REF!)-1))))*(INDEX('CONTROL MASTER'!$AC$2:$AC$495,(SUMPRODUCT((('CONTROL MASTER'!$S$2:$S$495=2)*('CONTROL MASTER'!$Z$2:$Z$495&lt;=6)*('CONTROL MASTER'!$AB$2:$AB$495&gt;=6)*('CONTROL MASTER'!$AA$2:$AA$495&lt;=3)*('CONTROL MASTER'!$AC$2:$AC$495&gt;=3))*ROW('CONTROL MASTER'!$S$2:$S$495))-(ROW('CONTROL MASTER'!#REF!)-1)))-INDEX('CONTROL MASTER'!$AA$2:$AA$495,(SUMPRODUCT((('CONTROL MASTER'!$S$2:$S$495=2)*('CONTROL MASTER'!$Z$2:$Z$495&lt;=6)*('CONTROL MASTER'!$AB$2:$AB$495&gt;=6)*('CONTROL MASTER'!$AA$2:$AA$495&lt;=3)*('CONTROL MASTER'!$AC$2:$AC$495&gt;=3))*ROW('CONTROL MASTER'!$S$2:$S$495))-(ROW('CONTROL MASTER'!#REF!)-1)))+1)+(3-INDEX('CONTROL MASTER'!$AA$2:$AA$495,(SUMPRODUCT((('CONTROL MASTER'!$S$2:$S$495=2)*('CONTROL MASTER'!$Z$2:$Z$495&lt;=6)*('CONTROL MASTER'!$AB$2:$AB$495&gt;=6)*('CONTROL MASTER'!$AA$2:$AA$495&lt;=3)*('CONTROL MASTER'!$AC$2:$AC$495&gt;=3))*ROW('CONTROL MASTER'!$S$2:$S$495))-(ROW('CONTROL MASTER'!#REF!)-1))))+1)))-1)*50+1,50))&amp;"_"&amp;INDEX('CONTROL MASTER'!$P$2:$P$495,(SUMPRODUCT((('CONTROL MASTER'!$S$2:$S$495=2)*('CONTROL MASTER'!$Z$2:$Z$495&lt;=6)*('CONTROL MASTER'!$AB$2:$AB$495&gt;=6)*('CONTROL MASTER'!$AA$2:$AA$495&lt;=3)*('CONTROL MASTER'!$AC$2:$AC$495&gt;=3))*ROW('CONTROL MASTER'!$S$2:$S$495))-(ROW('CONTROL MASTER'!#REF!)-1))),"")),"")</f>
        <v/>
      </c>
      <c r="E22" s="10" t="str">
        <f>IFERROR(IF(SUMPRODUCT((('CONTROL MASTER'!$S$2:$S$495=2)*('CONTROL MASTER'!$T$2:$T$495&lt;=6)*('CONTROL MASTER'!$V$2:$V$495&gt;=6)*('CONTROL MASTER'!$U$2:$U$495&lt;=4)*('CONTROL MASTER'!$W$2:$W$495&gt;=4))*ROW('CONTROL MASTER'!$S$2:$S$495))&gt;0,INDEX('CONTROL MASTER'!$X$2:$X$495,(SUMPRODUCT((('CONTROL MASTER'!$S$2:$S$495=2)*('CONTROL MASTER'!$T$2:$T$495&lt;=6)*('CONTROL MASTER'!$V$2:$V$495&gt;=6)*('CONTROL MASTER'!$U$2:$U$495&lt;=4)*('CONTROL MASTER'!$W$2:$W$495&gt;=4))*ROW('CONTROL MASTER'!$S$2:$S$495))-(ROW('CONTROL MASTER'!#REF!)-1)))&amp;TRIM(MID(SUBSTITUTE(SUBSTITUTE(INDEX('CONTROL MASTER'!$N$2:$N$495,(SUMPRODUCT((('CONTROL MASTER'!$S$2:$S$495=2)*('CONTROL MASTER'!$T$2:$T$495&lt;=6)*('CONTROL MASTER'!$V$2:$V$495&gt;=6)*('CONTROL MASTER'!$U$2:$U$495&lt;=4)*('CONTROL MASTER'!$W$2:$W$495&gt;=4))*ROW('CONTROL MASTER'!$S$2:$S$495))-(ROW('CONTROL MASTER'!#REF!)-1))),":",","),",",REPT(" ",50)),((((6-INDEX('CONTROL MASTER'!$T$2:$T$495,(SUMPRODUCT((('CONTROL MASTER'!$S$2:$S$495=2)*('CONTROL MASTER'!$T$2:$T$495&lt;=6)*('CONTROL MASTER'!$V$2:$V$495&gt;=6)*('CONTROL MASTER'!$U$2:$U$495&lt;=4)*('CONTROL MASTER'!$W$2:$W$495&gt;=4))*ROW('CONTROL MASTER'!$S$2:$S$495))-(ROW('CONTROL MASTER'!#REF!)-1))))*(INDEX('CONTROL MASTER'!$W$2:$W$495,(SUMPRODUCT((('CONTROL MASTER'!$S$2:$S$495=2)*('CONTROL MASTER'!$T$2:$T$495&lt;=6)*('CONTROL MASTER'!$V$2:$V$495&gt;=6)*('CONTROL MASTER'!$U$2:$U$495&lt;=4)*('CONTROL MASTER'!$W$2:$W$495&gt;=4))*ROW('CONTROL MASTER'!$S$2:$S$495))-(ROW('CONTROL MASTER'!#REF!)-1)))-INDEX('CONTROL MASTER'!$U$2:$U$495,(SUMPRODUCT((('CONTROL MASTER'!$S$2:$S$495=2)*('CONTROL MASTER'!$T$2:$T$495&lt;=6)*('CONTROL MASTER'!$V$2:$V$495&gt;=6)*('CONTROL MASTER'!$U$2:$U$495&lt;=4)*('CONTROL MASTER'!$W$2:$W$495&gt;=4))*ROW('CONTROL MASTER'!$S$2:$S$495))-(ROW('CONTROL MASTER'!#REF!)-1)))+1)+(4-INDEX('CONTROL MASTER'!$U$2:$U$495,(SUMPRODUCT((('CONTROL MASTER'!$S$2:$S$495=2)*('CONTROL MASTER'!$T$2:$T$495&lt;=6)*('CONTROL MASTER'!$V$2:$V$495&gt;=6)*('CONTROL MASTER'!$U$2:$U$495&lt;=4)*('CONTROL MASTER'!$W$2:$W$495&gt;=4))*ROW('CONTROL MASTER'!$S$2:$S$495))-(ROW('CONTROL MASTER'!#REF!)-1))))+1))-1)*50+1,50))&amp;"_"&amp;INDEX('CONTROL MASTER'!$P$2:$P$495,(SUMPRODUCT((('CONTROL MASTER'!$S$2:$S$495=2)*('CONTROL MASTER'!$T$2:$T$495&lt;=6)*('CONTROL MASTER'!$V$2:$V$495&gt;=6)*('CONTROL MASTER'!$U$2:$U$495&lt;=4)*('CONTROL MASTER'!$W$2:$W$495&gt;=4))*ROW('CONTROL MASTER'!$S$2:$S$495))-(ROW('CONTROL MASTER'!#REF!)-1))),IF(SUMPRODUCT((('CONTROL MASTER'!$S$2:$S$495=2)*('CONTROL MASTER'!$Z$2:$Z$495&lt;=6)*('CONTROL MASTER'!$AB$2:$AB$495&gt;=6)*('CONTROL MASTER'!$AA$2:$AA$495&lt;=4)*('CONTROL MASTER'!$AC$2:$AC$495&gt;=4))*ROW('CONTROL MASTER'!$S$2:$S$495))&gt;0,INDEX('CONTROL MASTER'!$X$2:$X$495,(SUMPRODUCT((('CONTROL MASTER'!$S$2:$S$495=2)*('CONTROL MASTER'!$Z$2:$Z$495&lt;=6)*('CONTROL MASTER'!$AB$2:$AB$495&gt;=6)*('CONTROL MASTER'!$AA$2:$AA$495&lt;=4)*('CONTROL MASTER'!$AC$2:$AC$495&gt;=4))*ROW('CONTROL MASTER'!$S$2:$S$495))-(ROW('CONTROL MASTER'!#REF!)-1)))&amp;TRIM(MID(SUBSTITUTE(SUBSTITUTE(INDEX('CONTROL MASTER'!$N$2:$N$495,(SUMPRODUCT((('CONTROL MASTER'!$S$2:$S$495=2)*('CONTROL MASTER'!$Z$2:$Z$495&lt;=6)*('CONTROL MASTER'!$AB$2:$AB$495&gt;=6)*('CONTROL MASTER'!$AA$2:$AA$495&lt;=4)*('CONTROL MASTER'!$AC$2:$AC$495&gt;=4))*ROW('CONTROL MASTER'!$S$2:$S$495))-(ROW('CONTROL MASTER'!#REF!)-1))),":",","),",",REPT(" ",50)),(((INDEX('CONTROL MASTER'!$Y$2:$Y$495,(SUMPRODUCT((('CONTROL MASTER'!$S$2:$S$495=2)*('CONTROL MASTER'!$Z$2:$Z$495&lt;=6)*('CONTROL MASTER'!$AB$2:$AB$495&gt;=6)*('CONTROL MASTER'!$AA$2:$AA$495&lt;=4)*('CONTROL MASTER'!$AC$2:$AC$495&gt;=4))*ROW('CONTROL MASTER'!$S$2:$S$495))-(ROW('CONTROL MASTER'!#REF!)-1)))+((6-INDEX('CONTROL MASTER'!$Z$2:$Z$495,(SUMPRODUCT((('CONTROL MASTER'!$S$2:$S$495=2)*('CONTROL MASTER'!$Z$2:$Z$495&lt;=6)*('CONTROL MASTER'!$AB$2:$AB$495&gt;=6)*('CONTROL MASTER'!$AA$2:$AA$495&lt;=4)*('CONTROL MASTER'!$AC$2:$AC$495&gt;=4))*ROW('CONTROL MASTER'!$S$2:$S$495))-(ROW('CONTROL MASTER'!#REF!)-1))))*(INDEX('CONTROL MASTER'!$AC$2:$AC$495,(SUMPRODUCT((('CONTROL MASTER'!$S$2:$S$495=2)*('CONTROL MASTER'!$Z$2:$Z$495&lt;=6)*('CONTROL MASTER'!$AB$2:$AB$495&gt;=6)*('CONTROL MASTER'!$AA$2:$AA$495&lt;=4)*('CONTROL MASTER'!$AC$2:$AC$495&gt;=4))*ROW('CONTROL MASTER'!$S$2:$S$495))-(ROW('CONTROL MASTER'!#REF!)-1)))-INDEX('CONTROL MASTER'!$AA$2:$AA$495,(SUMPRODUCT((('CONTROL MASTER'!$S$2:$S$495=2)*('CONTROL MASTER'!$Z$2:$Z$495&lt;=6)*('CONTROL MASTER'!$AB$2:$AB$495&gt;=6)*('CONTROL MASTER'!$AA$2:$AA$495&lt;=4)*('CONTROL MASTER'!$AC$2:$AC$495&gt;=4))*ROW('CONTROL MASTER'!$S$2:$S$495))-(ROW('CONTROL MASTER'!#REF!)-1)))+1)+(4-INDEX('CONTROL MASTER'!$AA$2:$AA$495,(SUMPRODUCT((('CONTROL MASTER'!$S$2:$S$495=2)*('CONTROL MASTER'!$Z$2:$Z$495&lt;=6)*('CONTROL MASTER'!$AB$2:$AB$495&gt;=6)*('CONTROL MASTER'!$AA$2:$AA$495&lt;=4)*('CONTROL MASTER'!$AC$2:$AC$495&gt;=4))*ROW('CONTROL MASTER'!$S$2:$S$495))-(ROW('CONTROL MASTER'!#REF!)-1))))+1)))-1)*50+1,50))&amp;"_"&amp;INDEX('CONTROL MASTER'!$P$2:$P$495,(SUMPRODUCT((('CONTROL MASTER'!$S$2:$S$495=2)*('CONTROL MASTER'!$Z$2:$Z$495&lt;=6)*('CONTROL MASTER'!$AB$2:$AB$495&gt;=6)*('CONTROL MASTER'!$AA$2:$AA$495&lt;=4)*('CONTROL MASTER'!$AC$2:$AC$495&gt;=4))*ROW('CONTROL MASTER'!$S$2:$S$495))-(ROW('CONTROL MASTER'!#REF!)-1))),"")),"")</f>
        <v/>
      </c>
      <c r="F22" s="10" t="str">
        <f>IFERROR(IF(SUMPRODUCT((('CONTROL MASTER'!$S$2:$S$495=2)*('CONTROL MASTER'!$T$2:$T$495&lt;=6)*('CONTROL MASTER'!$V$2:$V$495&gt;=6)*('CONTROL MASTER'!$U$2:$U$495&lt;=5)*('CONTROL MASTER'!$W$2:$W$495&gt;=5))*ROW('CONTROL MASTER'!$S$2:$S$495))&gt;0,INDEX('CONTROL MASTER'!$X$2:$X$495,(SUMPRODUCT((('CONTROL MASTER'!$S$2:$S$495=2)*('CONTROL MASTER'!$T$2:$T$495&lt;=6)*('CONTROL MASTER'!$V$2:$V$495&gt;=6)*('CONTROL MASTER'!$U$2:$U$495&lt;=5)*('CONTROL MASTER'!$W$2:$W$495&gt;=5))*ROW('CONTROL MASTER'!$S$2:$S$495))-(ROW('CONTROL MASTER'!#REF!)-1)))&amp;TRIM(MID(SUBSTITUTE(SUBSTITUTE(INDEX('CONTROL MASTER'!$N$2:$N$495,(SUMPRODUCT((('CONTROL MASTER'!$S$2:$S$495=2)*('CONTROL MASTER'!$T$2:$T$495&lt;=6)*('CONTROL MASTER'!$V$2:$V$495&gt;=6)*('CONTROL MASTER'!$U$2:$U$495&lt;=5)*('CONTROL MASTER'!$W$2:$W$495&gt;=5))*ROW('CONTROL MASTER'!$S$2:$S$495))-(ROW('CONTROL MASTER'!#REF!)-1))),":",","),",",REPT(" ",50)),((((6-INDEX('CONTROL MASTER'!$T$2:$T$495,(SUMPRODUCT((('CONTROL MASTER'!$S$2:$S$495=2)*('CONTROL MASTER'!$T$2:$T$495&lt;=6)*('CONTROL MASTER'!$V$2:$V$495&gt;=6)*('CONTROL MASTER'!$U$2:$U$495&lt;=5)*('CONTROL MASTER'!$W$2:$W$495&gt;=5))*ROW('CONTROL MASTER'!$S$2:$S$495))-(ROW('CONTROL MASTER'!#REF!)-1))))*(INDEX('CONTROL MASTER'!$W$2:$W$495,(SUMPRODUCT((('CONTROL MASTER'!$S$2:$S$495=2)*('CONTROL MASTER'!$T$2:$T$495&lt;=6)*('CONTROL MASTER'!$V$2:$V$495&gt;=6)*('CONTROL MASTER'!$U$2:$U$495&lt;=5)*('CONTROL MASTER'!$W$2:$W$495&gt;=5))*ROW('CONTROL MASTER'!$S$2:$S$495))-(ROW('CONTROL MASTER'!#REF!)-1)))-INDEX('CONTROL MASTER'!$U$2:$U$495,(SUMPRODUCT((('CONTROL MASTER'!$S$2:$S$495=2)*('CONTROL MASTER'!$T$2:$T$495&lt;=6)*('CONTROL MASTER'!$V$2:$V$495&gt;=6)*('CONTROL MASTER'!$U$2:$U$495&lt;=5)*('CONTROL MASTER'!$W$2:$W$495&gt;=5))*ROW('CONTROL MASTER'!$S$2:$S$495))-(ROW('CONTROL MASTER'!#REF!)-1)))+1)+(5-INDEX('CONTROL MASTER'!$U$2:$U$495,(SUMPRODUCT((('CONTROL MASTER'!$S$2:$S$495=2)*('CONTROL MASTER'!$T$2:$T$495&lt;=6)*('CONTROL MASTER'!$V$2:$V$495&gt;=6)*('CONTROL MASTER'!$U$2:$U$495&lt;=5)*('CONTROL MASTER'!$W$2:$W$495&gt;=5))*ROW('CONTROL MASTER'!$S$2:$S$495))-(ROW('CONTROL MASTER'!#REF!)-1))))+1))-1)*50+1,50))&amp;"_"&amp;INDEX('CONTROL MASTER'!$P$2:$P$495,(SUMPRODUCT((('CONTROL MASTER'!$S$2:$S$495=2)*('CONTROL MASTER'!$T$2:$T$495&lt;=6)*('CONTROL MASTER'!$V$2:$V$495&gt;=6)*('CONTROL MASTER'!$U$2:$U$495&lt;=5)*('CONTROL MASTER'!$W$2:$W$495&gt;=5))*ROW('CONTROL MASTER'!$S$2:$S$495))-(ROW('CONTROL MASTER'!#REF!)-1))),IF(SUMPRODUCT((('CONTROL MASTER'!$S$2:$S$495=2)*('CONTROL MASTER'!$Z$2:$Z$495&lt;=6)*('CONTROL MASTER'!$AB$2:$AB$495&gt;=6)*('CONTROL MASTER'!$AA$2:$AA$495&lt;=5)*('CONTROL MASTER'!$AC$2:$AC$495&gt;=5))*ROW('CONTROL MASTER'!$S$2:$S$495))&gt;0,INDEX('CONTROL MASTER'!$X$2:$X$495,(SUMPRODUCT((('CONTROL MASTER'!$S$2:$S$495=2)*('CONTROL MASTER'!$Z$2:$Z$495&lt;=6)*('CONTROL MASTER'!$AB$2:$AB$495&gt;=6)*('CONTROL MASTER'!$AA$2:$AA$495&lt;=5)*('CONTROL MASTER'!$AC$2:$AC$495&gt;=5))*ROW('CONTROL MASTER'!$S$2:$S$495))-(ROW('CONTROL MASTER'!#REF!)-1)))&amp;TRIM(MID(SUBSTITUTE(SUBSTITUTE(INDEX('CONTROL MASTER'!$N$2:$N$495,(SUMPRODUCT((('CONTROL MASTER'!$S$2:$S$495=2)*('CONTROL MASTER'!$Z$2:$Z$495&lt;=6)*('CONTROL MASTER'!$AB$2:$AB$495&gt;=6)*('CONTROL MASTER'!$AA$2:$AA$495&lt;=5)*('CONTROL MASTER'!$AC$2:$AC$495&gt;=5))*ROW('CONTROL MASTER'!$S$2:$S$495))-(ROW('CONTROL MASTER'!#REF!)-1))),":",","),",",REPT(" ",50)),(((INDEX('CONTROL MASTER'!$Y$2:$Y$495,(SUMPRODUCT((('CONTROL MASTER'!$S$2:$S$495=2)*('CONTROL MASTER'!$Z$2:$Z$495&lt;=6)*('CONTROL MASTER'!$AB$2:$AB$495&gt;=6)*('CONTROL MASTER'!$AA$2:$AA$495&lt;=5)*('CONTROL MASTER'!$AC$2:$AC$495&gt;=5))*ROW('CONTROL MASTER'!$S$2:$S$495))-(ROW('CONTROL MASTER'!#REF!)-1)))+((6-INDEX('CONTROL MASTER'!$Z$2:$Z$495,(SUMPRODUCT((('CONTROL MASTER'!$S$2:$S$495=2)*('CONTROL MASTER'!$Z$2:$Z$495&lt;=6)*('CONTROL MASTER'!$AB$2:$AB$495&gt;=6)*('CONTROL MASTER'!$AA$2:$AA$495&lt;=5)*('CONTROL MASTER'!$AC$2:$AC$495&gt;=5))*ROW('CONTROL MASTER'!$S$2:$S$495))-(ROW('CONTROL MASTER'!#REF!)-1))))*(INDEX('CONTROL MASTER'!$AC$2:$AC$495,(SUMPRODUCT((('CONTROL MASTER'!$S$2:$S$495=2)*('CONTROL MASTER'!$Z$2:$Z$495&lt;=6)*('CONTROL MASTER'!$AB$2:$AB$495&gt;=6)*('CONTROL MASTER'!$AA$2:$AA$495&lt;=5)*('CONTROL MASTER'!$AC$2:$AC$495&gt;=5))*ROW('CONTROL MASTER'!$S$2:$S$495))-(ROW('CONTROL MASTER'!#REF!)-1)))-INDEX('CONTROL MASTER'!$AA$2:$AA$495,(SUMPRODUCT((('CONTROL MASTER'!$S$2:$S$495=2)*('CONTROL MASTER'!$Z$2:$Z$495&lt;=6)*('CONTROL MASTER'!$AB$2:$AB$495&gt;=6)*('CONTROL MASTER'!$AA$2:$AA$495&lt;=5)*('CONTROL MASTER'!$AC$2:$AC$495&gt;=5))*ROW('CONTROL MASTER'!$S$2:$S$495))-(ROW('CONTROL MASTER'!#REF!)-1)))+1)+(5-INDEX('CONTROL MASTER'!$AA$2:$AA$495,(SUMPRODUCT((('CONTROL MASTER'!$S$2:$S$495=2)*('CONTROL MASTER'!$Z$2:$Z$495&lt;=6)*('CONTROL MASTER'!$AB$2:$AB$495&gt;=6)*('CONTROL MASTER'!$AA$2:$AA$495&lt;=5)*('CONTROL MASTER'!$AC$2:$AC$495&gt;=5))*ROW('CONTROL MASTER'!$S$2:$S$495))-(ROW('CONTROL MASTER'!#REF!)-1))))+1)))-1)*50+1,50))&amp;"_"&amp;INDEX('CONTROL MASTER'!$P$2:$P$495,(SUMPRODUCT((('CONTROL MASTER'!$S$2:$S$495=2)*('CONTROL MASTER'!$Z$2:$Z$495&lt;=6)*('CONTROL MASTER'!$AB$2:$AB$495&gt;=6)*('CONTROL MASTER'!$AA$2:$AA$495&lt;=5)*('CONTROL MASTER'!$AC$2:$AC$495&gt;=5))*ROW('CONTROL MASTER'!$S$2:$S$495))-(ROW('CONTROL MASTER'!#REF!)-1))),"")),"")</f>
        <v/>
      </c>
      <c r="G22" s="10" t="str">
        <f>IFERROR(IF(SUMPRODUCT((('CONTROL MASTER'!$S$2:$S$495=2)*('CONTROL MASTER'!$T$2:$T$495&lt;=6)*('CONTROL MASTER'!$V$2:$V$495&gt;=6)*('CONTROL MASTER'!$U$2:$U$495&lt;=6)*('CONTROL MASTER'!$W$2:$W$495&gt;=6))*ROW('CONTROL MASTER'!$S$2:$S$495))&gt;0,INDEX('CONTROL MASTER'!$X$2:$X$495,(SUMPRODUCT((('CONTROL MASTER'!$S$2:$S$495=2)*('CONTROL MASTER'!$T$2:$T$495&lt;=6)*('CONTROL MASTER'!$V$2:$V$495&gt;=6)*('CONTROL MASTER'!$U$2:$U$495&lt;=6)*('CONTROL MASTER'!$W$2:$W$495&gt;=6))*ROW('CONTROL MASTER'!$S$2:$S$495))-(ROW('CONTROL MASTER'!#REF!)-1)))&amp;TRIM(MID(SUBSTITUTE(SUBSTITUTE(INDEX('CONTROL MASTER'!$N$2:$N$495,(SUMPRODUCT((('CONTROL MASTER'!$S$2:$S$495=2)*('CONTROL MASTER'!$T$2:$T$495&lt;=6)*('CONTROL MASTER'!$V$2:$V$495&gt;=6)*('CONTROL MASTER'!$U$2:$U$495&lt;=6)*('CONTROL MASTER'!$W$2:$W$495&gt;=6))*ROW('CONTROL MASTER'!$S$2:$S$495))-(ROW('CONTROL MASTER'!#REF!)-1))),":",","),",",REPT(" ",50)),((((6-INDEX('CONTROL MASTER'!$T$2:$T$495,(SUMPRODUCT((('CONTROL MASTER'!$S$2:$S$495=2)*('CONTROL MASTER'!$T$2:$T$495&lt;=6)*('CONTROL MASTER'!$V$2:$V$495&gt;=6)*('CONTROL MASTER'!$U$2:$U$495&lt;=6)*('CONTROL MASTER'!$W$2:$W$495&gt;=6))*ROW('CONTROL MASTER'!$S$2:$S$495))-(ROW('CONTROL MASTER'!#REF!)-1))))*(INDEX('CONTROL MASTER'!$W$2:$W$495,(SUMPRODUCT((('CONTROL MASTER'!$S$2:$S$495=2)*('CONTROL MASTER'!$T$2:$T$495&lt;=6)*('CONTROL MASTER'!$V$2:$V$495&gt;=6)*('CONTROL MASTER'!$U$2:$U$495&lt;=6)*('CONTROL MASTER'!$W$2:$W$495&gt;=6))*ROW('CONTROL MASTER'!$S$2:$S$495))-(ROW('CONTROL MASTER'!#REF!)-1)))-INDEX('CONTROL MASTER'!$U$2:$U$495,(SUMPRODUCT((('CONTROL MASTER'!$S$2:$S$495=2)*('CONTROL MASTER'!$T$2:$T$495&lt;=6)*('CONTROL MASTER'!$V$2:$V$495&gt;=6)*('CONTROL MASTER'!$U$2:$U$495&lt;=6)*('CONTROL MASTER'!$W$2:$W$495&gt;=6))*ROW('CONTROL MASTER'!$S$2:$S$495))-(ROW('CONTROL MASTER'!#REF!)-1)))+1)+(6-INDEX('CONTROL MASTER'!$U$2:$U$495,(SUMPRODUCT((('CONTROL MASTER'!$S$2:$S$495=2)*('CONTROL MASTER'!$T$2:$T$495&lt;=6)*('CONTROL MASTER'!$V$2:$V$495&gt;=6)*('CONTROL MASTER'!$U$2:$U$495&lt;=6)*('CONTROL MASTER'!$W$2:$W$495&gt;=6))*ROW('CONTROL MASTER'!$S$2:$S$495))-(ROW('CONTROL MASTER'!#REF!)-1))))+1))-1)*50+1,50))&amp;"_"&amp;INDEX('CONTROL MASTER'!$P$2:$P$495,(SUMPRODUCT((('CONTROL MASTER'!$S$2:$S$495=2)*('CONTROL MASTER'!$T$2:$T$495&lt;=6)*('CONTROL MASTER'!$V$2:$V$495&gt;=6)*('CONTROL MASTER'!$U$2:$U$495&lt;=6)*('CONTROL MASTER'!$W$2:$W$495&gt;=6))*ROW('CONTROL MASTER'!$S$2:$S$495))-(ROW('CONTROL MASTER'!#REF!)-1))),IF(SUMPRODUCT((('CONTROL MASTER'!$S$2:$S$495=2)*('CONTROL MASTER'!$Z$2:$Z$495&lt;=6)*('CONTROL MASTER'!$AB$2:$AB$495&gt;=6)*('CONTROL MASTER'!$AA$2:$AA$495&lt;=6)*('CONTROL MASTER'!$AC$2:$AC$495&gt;=6))*ROW('CONTROL MASTER'!$S$2:$S$495))&gt;0,INDEX('CONTROL MASTER'!$X$2:$X$495,(SUMPRODUCT((('CONTROL MASTER'!$S$2:$S$495=2)*('CONTROL MASTER'!$Z$2:$Z$495&lt;=6)*('CONTROL MASTER'!$AB$2:$AB$495&gt;=6)*('CONTROL MASTER'!$AA$2:$AA$495&lt;=6)*('CONTROL MASTER'!$AC$2:$AC$495&gt;=6))*ROW('CONTROL MASTER'!$S$2:$S$495))-(ROW('CONTROL MASTER'!#REF!)-1)))&amp;TRIM(MID(SUBSTITUTE(SUBSTITUTE(INDEX('CONTROL MASTER'!$N$2:$N$495,(SUMPRODUCT((('CONTROL MASTER'!$S$2:$S$495=2)*('CONTROL MASTER'!$Z$2:$Z$495&lt;=6)*('CONTROL MASTER'!$AB$2:$AB$495&gt;=6)*('CONTROL MASTER'!$AA$2:$AA$495&lt;=6)*('CONTROL MASTER'!$AC$2:$AC$495&gt;=6))*ROW('CONTROL MASTER'!$S$2:$S$495))-(ROW('CONTROL MASTER'!#REF!)-1))),":",","),",",REPT(" ",50)),(((INDEX('CONTROL MASTER'!$Y$2:$Y$495,(SUMPRODUCT((('CONTROL MASTER'!$S$2:$S$495=2)*('CONTROL MASTER'!$Z$2:$Z$495&lt;=6)*('CONTROL MASTER'!$AB$2:$AB$495&gt;=6)*('CONTROL MASTER'!$AA$2:$AA$495&lt;=6)*('CONTROL MASTER'!$AC$2:$AC$495&gt;=6))*ROW('CONTROL MASTER'!$S$2:$S$495))-(ROW('CONTROL MASTER'!#REF!)-1)))+((6-INDEX('CONTROL MASTER'!$Z$2:$Z$495,(SUMPRODUCT((('CONTROL MASTER'!$S$2:$S$495=2)*('CONTROL MASTER'!$Z$2:$Z$495&lt;=6)*('CONTROL MASTER'!$AB$2:$AB$495&gt;=6)*('CONTROL MASTER'!$AA$2:$AA$495&lt;=6)*('CONTROL MASTER'!$AC$2:$AC$495&gt;=6))*ROW('CONTROL MASTER'!$S$2:$S$495))-(ROW('CONTROL MASTER'!#REF!)-1))))*(INDEX('CONTROL MASTER'!$AC$2:$AC$495,(SUMPRODUCT((('CONTROL MASTER'!$S$2:$S$495=2)*('CONTROL MASTER'!$Z$2:$Z$495&lt;=6)*('CONTROL MASTER'!$AB$2:$AB$495&gt;=6)*('CONTROL MASTER'!$AA$2:$AA$495&lt;=6)*('CONTROL MASTER'!$AC$2:$AC$495&gt;=6))*ROW('CONTROL MASTER'!$S$2:$S$495))-(ROW('CONTROL MASTER'!#REF!)-1)))-INDEX('CONTROL MASTER'!$AA$2:$AA$495,(SUMPRODUCT((('CONTROL MASTER'!$S$2:$S$495=2)*('CONTROL MASTER'!$Z$2:$Z$495&lt;=6)*('CONTROL MASTER'!$AB$2:$AB$495&gt;=6)*('CONTROL MASTER'!$AA$2:$AA$495&lt;=6)*('CONTROL MASTER'!$AC$2:$AC$495&gt;=6))*ROW('CONTROL MASTER'!$S$2:$S$495))-(ROW('CONTROL MASTER'!#REF!)-1)))+1)+(6-INDEX('CONTROL MASTER'!$AA$2:$AA$495,(SUMPRODUCT((('CONTROL MASTER'!$S$2:$S$495=2)*('CONTROL MASTER'!$Z$2:$Z$495&lt;=6)*('CONTROL MASTER'!$AB$2:$AB$495&gt;=6)*('CONTROL MASTER'!$AA$2:$AA$495&lt;=6)*('CONTROL MASTER'!$AC$2:$AC$495&gt;=6))*ROW('CONTROL MASTER'!$S$2:$S$495))-(ROW('CONTROL MASTER'!#REF!)-1))))+1)))-1)*50+1,50))&amp;"_"&amp;INDEX('CONTROL MASTER'!$P$2:$P$495,(SUMPRODUCT((('CONTROL MASTER'!$S$2:$S$495=2)*('CONTROL MASTER'!$Z$2:$Z$495&lt;=6)*('CONTROL MASTER'!$AB$2:$AB$495&gt;=6)*('CONTROL MASTER'!$AA$2:$AA$495&lt;=6)*('CONTROL MASTER'!$AC$2:$AC$495&gt;=6))*ROW('CONTROL MASTER'!$S$2:$S$495))-(ROW('CONTROL MASTER'!#REF!)-1))),"")),"")</f>
        <v/>
      </c>
      <c r="H22" s="10" t="str">
        <f>IFERROR(IF(SUMPRODUCT((('CONTROL MASTER'!$S$2:$S$495=2)*('CONTROL MASTER'!$T$2:$T$495&lt;=6)*('CONTROL MASTER'!$V$2:$V$495&gt;=6)*('CONTROL MASTER'!$U$2:$U$495&lt;=7)*('CONTROL MASTER'!$W$2:$W$495&gt;=7))*ROW('CONTROL MASTER'!$S$2:$S$495))&gt;0,INDEX('CONTROL MASTER'!$X$2:$X$495,(SUMPRODUCT((('CONTROL MASTER'!$S$2:$S$495=2)*('CONTROL MASTER'!$T$2:$T$495&lt;=6)*('CONTROL MASTER'!$V$2:$V$495&gt;=6)*('CONTROL MASTER'!$U$2:$U$495&lt;=7)*('CONTROL MASTER'!$W$2:$W$495&gt;=7))*ROW('CONTROL MASTER'!$S$2:$S$495))-(ROW('CONTROL MASTER'!#REF!)-1)))&amp;TRIM(MID(SUBSTITUTE(SUBSTITUTE(INDEX('CONTROL MASTER'!$N$2:$N$495,(SUMPRODUCT((('CONTROL MASTER'!$S$2:$S$495=2)*('CONTROL MASTER'!$T$2:$T$495&lt;=6)*('CONTROL MASTER'!$V$2:$V$495&gt;=6)*('CONTROL MASTER'!$U$2:$U$495&lt;=7)*('CONTROL MASTER'!$W$2:$W$495&gt;=7))*ROW('CONTROL MASTER'!$S$2:$S$495))-(ROW('CONTROL MASTER'!#REF!)-1))),":",","),",",REPT(" ",50)),((((6-INDEX('CONTROL MASTER'!$T$2:$T$495,(SUMPRODUCT((('CONTROL MASTER'!$S$2:$S$495=2)*('CONTROL MASTER'!$T$2:$T$495&lt;=6)*('CONTROL MASTER'!$V$2:$V$495&gt;=6)*('CONTROL MASTER'!$U$2:$U$495&lt;=7)*('CONTROL MASTER'!$W$2:$W$495&gt;=7))*ROW('CONTROL MASTER'!$S$2:$S$495))-(ROW('CONTROL MASTER'!#REF!)-1))))*(INDEX('CONTROL MASTER'!$W$2:$W$495,(SUMPRODUCT((('CONTROL MASTER'!$S$2:$S$495=2)*('CONTROL MASTER'!$T$2:$T$495&lt;=6)*('CONTROL MASTER'!$V$2:$V$495&gt;=6)*('CONTROL MASTER'!$U$2:$U$495&lt;=7)*('CONTROL MASTER'!$W$2:$W$495&gt;=7))*ROW('CONTROL MASTER'!$S$2:$S$495))-(ROW('CONTROL MASTER'!#REF!)-1)))-INDEX('CONTROL MASTER'!$U$2:$U$495,(SUMPRODUCT((('CONTROL MASTER'!$S$2:$S$495=2)*('CONTROL MASTER'!$T$2:$T$495&lt;=6)*('CONTROL MASTER'!$V$2:$V$495&gt;=6)*('CONTROL MASTER'!$U$2:$U$495&lt;=7)*('CONTROL MASTER'!$W$2:$W$495&gt;=7))*ROW('CONTROL MASTER'!$S$2:$S$495))-(ROW('CONTROL MASTER'!#REF!)-1)))+1)+(7-INDEX('CONTROL MASTER'!$U$2:$U$495,(SUMPRODUCT((('CONTROL MASTER'!$S$2:$S$495=2)*('CONTROL MASTER'!$T$2:$T$495&lt;=6)*('CONTROL MASTER'!$V$2:$V$495&gt;=6)*('CONTROL MASTER'!$U$2:$U$495&lt;=7)*('CONTROL MASTER'!$W$2:$W$495&gt;=7))*ROW('CONTROL MASTER'!$S$2:$S$495))-(ROW('CONTROL MASTER'!#REF!)-1))))+1))-1)*50+1,50))&amp;"_"&amp;INDEX('CONTROL MASTER'!$P$2:$P$495,(SUMPRODUCT((('CONTROL MASTER'!$S$2:$S$495=2)*('CONTROL MASTER'!$T$2:$T$495&lt;=6)*('CONTROL MASTER'!$V$2:$V$495&gt;=6)*('CONTROL MASTER'!$U$2:$U$495&lt;=7)*('CONTROL MASTER'!$W$2:$W$495&gt;=7))*ROW('CONTROL MASTER'!$S$2:$S$495))-(ROW('CONTROL MASTER'!#REF!)-1))),IF(SUMPRODUCT((('CONTROL MASTER'!$S$2:$S$495=2)*('CONTROL MASTER'!$Z$2:$Z$495&lt;=6)*('CONTROL MASTER'!$AB$2:$AB$495&gt;=6)*('CONTROL MASTER'!$AA$2:$AA$495&lt;=7)*('CONTROL MASTER'!$AC$2:$AC$495&gt;=7))*ROW('CONTROL MASTER'!$S$2:$S$495))&gt;0,INDEX('CONTROL MASTER'!$X$2:$X$495,(SUMPRODUCT((('CONTROL MASTER'!$S$2:$S$495=2)*('CONTROL MASTER'!$Z$2:$Z$495&lt;=6)*('CONTROL MASTER'!$AB$2:$AB$495&gt;=6)*('CONTROL MASTER'!$AA$2:$AA$495&lt;=7)*('CONTROL MASTER'!$AC$2:$AC$495&gt;=7))*ROW('CONTROL MASTER'!$S$2:$S$495))-(ROW('CONTROL MASTER'!#REF!)-1)))&amp;TRIM(MID(SUBSTITUTE(SUBSTITUTE(INDEX('CONTROL MASTER'!$N$2:$N$495,(SUMPRODUCT((('CONTROL MASTER'!$S$2:$S$495=2)*('CONTROL MASTER'!$Z$2:$Z$495&lt;=6)*('CONTROL MASTER'!$AB$2:$AB$495&gt;=6)*('CONTROL MASTER'!$AA$2:$AA$495&lt;=7)*('CONTROL MASTER'!$AC$2:$AC$495&gt;=7))*ROW('CONTROL MASTER'!$S$2:$S$495))-(ROW('CONTROL MASTER'!#REF!)-1))),":",","),",",REPT(" ",50)),(((INDEX('CONTROL MASTER'!$Y$2:$Y$495,(SUMPRODUCT((('CONTROL MASTER'!$S$2:$S$495=2)*('CONTROL MASTER'!$Z$2:$Z$495&lt;=6)*('CONTROL MASTER'!$AB$2:$AB$495&gt;=6)*('CONTROL MASTER'!$AA$2:$AA$495&lt;=7)*('CONTROL MASTER'!$AC$2:$AC$495&gt;=7))*ROW('CONTROL MASTER'!$S$2:$S$495))-(ROW('CONTROL MASTER'!#REF!)-1)))+((6-INDEX('CONTROL MASTER'!$Z$2:$Z$495,(SUMPRODUCT((('CONTROL MASTER'!$S$2:$S$495=2)*('CONTROL MASTER'!$Z$2:$Z$495&lt;=6)*('CONTROL MASTER'!$AB$2:$AB$495&gt;=6)*('CONTROL MASTER'!$AA$2:$AA$495&lt;=7)*('CONTROL MASTER'!$AC$2:$AC$495&gt;=7))*ROW('CONTROL MASTER'!$S$2:$S$495))-(ROW('CONTROL MASTER'!#REF!)-1))))*(INDEX('CONTROL MASTER'!$AC$2:$AC$495,(SUMPRODUCT((('CONTROL MASTER'!$S$2:$S$495=2)*('CONTROL MASTER'!$Z$2:$Z$495&lt;=6)*('CONTROL MASTER'!$AB$2:$AB$495&gt;=6)*('CONTROL MASTER'!$AA$2:$AA$495&lt;=7)*('CONTROL MASTER'!$AC$2:$AC$495&gt;=7))*ROW('CONTROL MASTER'!$S$2:$S$495))-(ROW('CONTROL MASTER'!#REF!)-1)))-INDEX('CONTROL MASTER'!$AA$2:$AA$495,(SUMPRODUCT((('CONTROL MASTER'!$S$2:$S$495=2)*('CONTROL MASTER'!$Z$2:$Z$495&lt;=6)*('CONTROL MASTER'!$AB$2:$AB$495&gt;=6)*('CONTROL MASTER'!$AA$2:$AA$495&lt;=7)*('CONTROL MASTER'!$AC$2:$AC$495&gt;=7))*ROW('CONTROL MASTER'!$S$2:$S$495))-(ROW('CONTROL MASTER'!#REF!)-1)))+1)+(7-INDEX('CONTROL MASTER'!$AA$2:$AA$495,(SUMPRODUCT((('CONTROL MASTER'!$S$2:$S$495=2)*('CONTROL MASTER'!$Z$2:$Z$495&lt;=6)*('CONTROL MASTER'!$AB$2:$AB$495&gt;=6)*('CONTROL MASTER'!$AA$2:$AA$495&lt;=7)*('CONTROL MASTER'!$AC$2:$AC$495&gt;=7))*ROW('CONTROL MASTER'!$S$2:$S$495))-(ROW('CONTROL MASTER'!#REF!)-1))))+1)))-1)*50+1,50))&amp;"_"&amp;INDEX('CONTROL MASTER'!$P$2:$P$495,(SUMPRODUCT((('CONTROL MASTER'!$S$2:$S$495=2)*('CONTROL MASTER'!$Z$2:$Z$495&lt;=6)*('CONTROL MASTER'!$AB$2:$AB$495&gt;=6)*('CONTROL MASTER'!$AA$2:$AA$495&lt;=7)*('CONTROL MASTER'!$AC$2:$AC$495&gt;=7))*ROW('CONTROL MASTER'!$S$2:$S$495))-(ROW('CONTROL MASTER'!#REF!)-1))),"")),"")</f>
        <v/>
      </c>
      <c r="I22" s="10" t="str">
        <f>IFERROR(IF(SUMPRODUCT((('CONTROL MASTER'!$S$2:$S$495=2)*('CONTROL MASTER'!$T$2:$T$495&lt;=6)*('CONTROL MASTER'!$V$2:$V$495&gt;=6)*('CONTROL MASTER'!$U$2:$U$495&lt;=8)*('CONTROL MASTER'!$W$2:$W$495&gt;=8))*ROW('CONTROL MASTER'!$S$2:$S$495))&gt;0,INDEX('CONTROL MASTER'!$X$2:$X$495,(SUMPRODUCT((('CONTROL MASTER'!$S$2:$S$495=2)*('CONTROL MASTER'!$T$2:$T$495&lt;=6)*('CONTROL MASTER'!$V$2:$V$495&gt;=6)*('CONTROL MASTER'!$U$2:$U$495&lt;=8)*('CONTROL MASTER'!$W$2:$W$495&gt;=8))*ROW('CONTROL MASTER'!$S$2:$S$495))-(ROW('CONTROL MASTER'!#REF!)-1)))&amp;TRIM(MID(SUBSTITUTE(SUBSTITUTE(INDEX('CONTROL MASTER'!$N$2:$N$495,(SUMPRODUCT((('CONTROL MASTER'!$S$2:$S$495=2)*('CONTROL MASTER'!$T$2:$T$495&lt;=6)*('CONTROL MASTER'!$V$2:$V$495&gt;=6)*('CONTROL MASTER'!$U$2:$U$495&lt;=8)*('CONTROL MASTER'!$W$2:$W$495&gt;=8))*ROW('CONTROL MASTER'!$S$2:$S$495))-(ROW('CONTROL MASTER'!#REF!)-1))),":",","),",",REPT(" ",50)),((((6-INDEX('CONTROL MASTER'!$T$2:$T$495,(SUMPRODUCT((('CONTROL MASTER'!$S$2:$S$495=2)*('CONTROL MASTER'!$T$2:$T$495&lt;=6)*('CONTROL MASTER'!$V$2:$V$495&gt;=6)*('CONTROL MASTER'!$U$2:$U$495&lt;=8)*('CONTROL MASTER'!$W$2:$W$495&gt;=8))*ROW('CONTROL MASTER'!$S$2:$S$495))-(ROW('CONTROL MASTER'!#REF!)-1))))*(INDEX('CONTROL MASTER'!$W$2:$W$495,(SUMPRODUCT((('CONTROL MASTER'!$S$2:$S$495=2)*('CONTROL MASTER'!$T$2:$T$495&lt;=6)*('CONTROL MASTER'!$V$2:$V$495&gt;=6)*('CONTROL MASTER'!$U$2:$U$495&lt;=8)*('CONTROL MASTER'!$W$2:$W$495&gt;=8))*ROW('CONTROL MASTER'!$S$2:$S$495))-(ROW('CONTROL MASTER'!#REF!)-1)))-INDEX('CONTROL MASTER'!$U$2:$U$495,(SUMPRODUCT((('CONTROL MASTER'!$S$2:$S$495=2)*('CONTROL MASTER'!$T$2:$T$495&lt;=6)*('CONTROL MASTER'!$V$2:$V$495&gt;=6)*('CONTROL MASTER'!$U$2:$U$495&lt;=8)*('CONTROL MASTER'!$W$2:$W$495&gt;=8))*ROW('CONTROL MASTER'!$S$2:$S$495))-(ROW('CONTROL MASTER'!#REF!)-1)))+1)+(8-INDEX('CONTROL MASTER'!$U$2:$U$495,(SUMPRODUCT((('CONTROL MASTER'!$S$2:$S$495=2)*('CONTROL MASTER'!$T$2:$T$495&lt;=6)*('CONTROL MASTER'!$V$2:$V$495&gt;=6)*('CONTROL MASTER'!$U$2:$U$495&lt;=8)*('CONTROL MASTER'!$W$2:$W$495&gt;=8))*ROW('CONTROL MASTER'!$S$2:$S$495))-(ROW('CONTROL MASTER'!#REF!)-1))))+1))-1)*50+1,50))&amp;"_"&amp;INDEX('CONTROL MASTER'!$P$2:$P$495,(SUMPRODUCT((('CONTROL MASTER'!$S$2:$S$495=2)*('CONTROL MASTER'!$T$2:$T$495&lt;=6)*('CONTROL MASTER'!$V$2:$V$495&gt;=6)*('CONTROL MASTER'!$U$2:$U$495&lt;=8)*('CONTROL MASTER'!$W$2:$W$495&gt;=8))*ROW('CONTROL MASTER'!$S$2:$S$495))-(ROW('CONTROL MASTER'!#REF!)-1))),IF(SUMPRODUCT((('CONTROL MASTER'!$S$2:$S$495=2)*('CONTROL MASTER'!$Z$2:$Z$495&lt;=6)*('CONTROL MASTER'!$AB$2:$AB$495&gt;=6)*('CONTROL MASTER'!$AA$2:$AA$495&lt;=8)*('CONTROL MASTER'!$AC$2:$AC$495&gt;=8))*ROW('CONTROL MASTER'!$S$2:$S$495))&gt;0,INDEX('CONTROL MASTER'!$X$2:$X$495,(SUMPRODUCT((('CONTROL MASTER'!$S$2:$S$495=2)*('CONTROL MASTER'!$Z$2:$Z$495&lt;=6)*('CONTROL MASTER'!$AB$2:$AB$495&gt;=6)*('CONTROL MASTER'!$AA$2:$AA$495&lt;=8)*('CONTROL MASTER'!$AC$2:$AC$495&gt;=8))*ROW('CONTROL MASTER'!$S$2:$S$495))-(ROW('CONTROL MASTER'!#REF!)-1)))&amp;TRIM(MID(SUBSTITUTE(SUBSTITUTE(INDEX('CONTROL MASTER'!$N$2:$N$495,(SUMPRODUCT((('CONTROL MASTER'!$S$2:$S$495=2)*('CONTROL MASTER'!$Z$2:$Z$495&lt;=6)*('CONTROL MASTER'!$AB$2:$AB$495&gt;=6)*('CONTROL MASTER'!$AA$2:$AA$495&lt;=8)*('CONTROL MASTER'!$AC$2:$AC$495&gt;=8))*ROW('CONTROL MASTER'!$S$2:$S$495))-(ROW('CONTROL MASTER'!#REF!)-1))),":",","),",",REPT(" ",50)),(((INDEX('CONTROL MASTER'!$Y$2:$Y$495,(SUMPRODUCT((('CONTROL MASTER'!$S$2:$S$495=2)*('CONTROL MASTER'!$Z$2:$Z$495&lt;=6)*('CONTROL MASTER'!$AB$2:$AB$495&gt;=6)*('CONTROL MASTER'!$AA$2:$AA$495&lt;=8)*('CONTROL MASTER'!$AC$2:$AC$495&gt;=8))*ROW('CONTROL MASTER'!$S$2:$S$495))-(ROW('CONTROL MASTER'!#REF!)-1)))+((6-INDEX('CONTROL MASTER'!$Z$2:$Z$495,(SUMPRODUCT((('CONTROL MASTER'!$S$2:$S$495=2)*('CONTROL MASTER'!$Z$2:$Z$495&lt;=6)*('CONTROL MASTER'!$AB$2:$AB$495&gt;=6)*('CONTROL MASTER'!$AA$2:$AA$495&lt;=8)*('CONTROL MASTER'!$AC$2:$AC$495&gt;=8))*ROW('CONTROL MASTER'!$S$2:$S$495))-(ROW('CONTROL MASTER'!#REF!)-1))))*(INDEX('CONTROL MASTER'!$AC$2:$AC$495,(SUMPRODUCT((('CONTROL MASTER'!$S$2:$S$495=2)*('CONTROL MASTER'!$Z$2:$Z$495&lt;=6)*('CONTROL MASTER'!$AB$2:$AB$495&gt;=6)*('CONTROL MASTER'!$AA$2:$AA$495&lt;=8)*('CONTROL MASTER'!$AC$2:$AC$495&gt;=8))*ROW('CONTROL MASTER'!$S$2:$S$495))-(ROW('CONTROL MASTER'!#REF!)-1)))-INDEX('CONTROL MASTER'!$AA$2:$AA$495,(SUMPRODUCT((('CONTROL MASTER'!$S$2:$S$495=2)*('CONTROL MASTER'!$Z$2:$Z$495&lt;=6)*('CONTROL MASTER'!$AB$2:$AB$495&gt;=6)*('CONTROL MASTER'!$AA$2:$AA$495&lt;=8)*('CONTROL MASTER'!$AC$2:$AC$495&gt;=8))*ROW('CONTROL MASTER'!$S$2:$S$495))-(ROW('CONTROL MASTER'!#REF!)-1)))+1)+(8-INDEX('CONTROL MASTER'!$AA$2:$AA$495,(SUMPRODUCT((('CONTROL MASTER'!$S$2:$S$495=2)*('CONTROL MASTER'!$Z$2:$Z$495&lt;=6)*('CONTROL MASTER'!$AB$2:$AB$495&gt;=6)*('CONTROL MASTER'!$AA$2:$AA$495&lt;=8)*('CONTROL MASTER'!$AC$2:$AC$495&gt;=8))*ROW('CONTROL MASTER'!$S$2:$S$495))-(ROW('CONTROL MASTER'!#REF!)-1))))+1)))-1)*50+1,50))&amp;"_"&amp;INDEX('CONTROL MASTER'!$P$2:$P$495,(SUMPRODUCT((('CONTROL MASTER'!$S$2:$S$495=2)*('CONTROL MASTER'!$Z$2:$Z$495&lt;=6)*('CONTROL MASTER'!$AB$2:$AB$495&gt;=6)*('CONTROL MASTER'!$AA$2:$AA$495&lt;=8)*('CONTROL MASTER'!$AC$2:$AC$495&gt;=8))*ROW('CONTROL MASTER'!$S$2:$S$495))-(ROW('CONTROL MASTER'!#REF!)-1))),"")),"")</f>
        <v/>
      </c>
      <c r="J22" s="10" t="str">
        <f>IFERROR(IF(SUMPRODUCT((('CONTROL MASTER'!$S$2:$S$495=2)*('CONTROL MASTER'!$T$2:$T$495&lt;=6)*('CONTROL MASTER'!$V$2:$V$495&gt;=6)*('CONTROL MASTER'!$U$2:$U$495&lt;=9)*('CONTROL MASTER'!$W$2:$W$495&gt;=9))*ROW('CONTROL MASTER'!$S$2:$S$495))&gt;0,INDEX('CONTROL MASTER'!$X$2:$X$495,(SUMPRODUCT((('CONTROL MASTER'!$S$2:$S$495=2)*('CONTROL MASTER'!$T$2:$T$495&lt;=6)*('CONTROL MASTER'!$V$2:$V$495&gt;=6)*('CONTROL MASTER'!$U$2:$U$495&lt;=9)*('CONTROL MASTER'!$W$2:$W$495&gt;=9))*ROW('CONTROL MASTER'!$S$2:$S$495))-(ROW('CONTROL MASTER'!#REF!)-1)))&amp;TRIM(MID(SUBSTITUTE(SUBSTITUTE(INDEX('CONTROL MASTER'!$N$2:$N$495,(SUMPRODUCT((('CONTROL MASTER'!$S$2:$S$495=2)*('CONTROL MASTER'!$T$2:$T$495&lt;=6)*('CONTROL MASTER'!$V$2:$V$495&gt;=6)*('CONTROL MASTER'!$U$2:$U$495&lt;=9)*('CONTROL MASTER'!$W$2:$W$495&gt;=9))*ROW('CONTROL MASTER'!$S$2:$S$495))-(ROW('CONTROL MASTER'!#REF!)-1))),":",","),",",REPT(" ",50)),((((6-INDEX('CONTROL MASTER'!$T$2:$T$495,(SUMPRODUCT((('CONTROL MASTER'!$S$2:$S$495=2)*('CONTROL MASTER'!$T$2:$T$495&lt;=6)*('CONTROL MASTER'!$V$2:$V$495&gt;=6)*('CONTROL MASTER'!$U$2:$U$495&lt;=9)*('CONTROL MASTER'!$W$2:$W$495&gt;=9))*ROW('CONTROL MASTER'!$S$2:$S$495))-(ROW('CONTROL MASTER'!#REF!)-1))))*(INDEX('CONTROL MASTER'!$W$2:$W$495,(SUMPRODUCT((('CONTROL MASTER'!$S$2:$S$495=2)*('CONTROL MASTER'!$T$2:$T$495&lt;=6)*('CONTROL MASTER'!$V$2:$V$495&gt;=6)*('CONTROL MASTER'!$U$2:$U$495&lt;=9)*('CONTROL MASTER'!$W$2:$W$495&gt;=9))*ROW('CONTROL MASTER'!$S$2:$S$495))-(ROW('CONTROL MASTER'!#REF!)-1)))-INDEX('CONTROL MASTER'!$U$2:$U$495,(SUMPRODUCT((('CONTROL MASTER'!$S$2:$S$495=2)*('CONTROL MASTER'!$T$2:$T$495&lt;=6)*('CONTROL MASTER'!$V$2:$V$495&gt;=6)*('CONTROL MASTER'!$U$2:$U$495&lt;=9)*('CONTROL MASTER'!$W$2:$W$495&gt;=9))*ROW('CONTROL MASTER'!$S$2:$S$495))-(ROW('CONTROL MASTER'!#REF!)-1)))+1)+(9-INDEX('CONTROL MASTER'!$U$2:$U$495,(SUMPRODUCT((('CONTROL MASTER'!$S$2:$S$495=2)*('CONTROL MASTER'!$T$2:$T$495&lt;=6)*('CONTROL MASTER'!$V$2:$V$495&gt;=6)*('CONTROL MASTER'!$U$2:$U$495&lt;=9)*('CONTROL MASTER'!$W$2:$W$495&gt;=9))*ROW('CONTROL MASTER'!$S$2:$S$495))-(ROW('CONTROL MASTER'!#REF!)-1))))+1))-1)*50+1,50))&amp;"_"&amp;INDEX('CONTROL MASTER'!$P$2:$P$495,(SUMPRODUCT((('CONTROL MASTER'!$S$2:$S$495=2)*('CONTROL MASTER'!$T$2:$T$495&lt;=6)*('CONTROL MASTER'!$V$2:$V$495&gt;=6)*('CONTROL MASTER'!$U$2:$U$495&lt;=9)*('CONTROL MASTER'!$W$2:$W$495&gt;=9))*ROW('CONTROL MASTER'!$S$2:$S$495))-(ROW('CONTROL MASTER'!#REF!)-1))),IF(SUMPRODUCT((('CONTROL MASTER'!$S$2:$S$495=2)*('CONTROL MASTER'!$Z$2:$Z$495&lt;=6)*('CONTROL MASTER'!$AB$2:$AB$495&gt;=6)*('CONTROL MASTER'!$AA$2:$AA$495&lt;=9)*('CONTROL MASTER'!$AC$2:$AC$495&gt;=9))*ROW('CONTROL MASTER'!$S$2:$S$495))&gt;0,INDEX('CONTROL MASTER'!$X$2:$X$495,(SUMPRODUCT((('CONTROL MASTER'!$S$2:$S$495=2)*('CONTROL MASTER'!$Z$2:$Z$495&lt;=6)*('CONTROL MASTER'!$AB$2:$AB$495&gt;=6)*('CONTROL MASTER'!$AA$2:$AA$495&lt;=9)*('CONTROL MASTER'!$AC$2:$AC$495&gt;=9))*ROW('CONTROL MASTER'!$S$2:$S$495))-(ROW('CONTROL MASTER'!#REF!)-1)))&amp;TRIM(MID(SUBSTITUTE(SUBSTITUTE(INDEX('CONTROL MASTER'!$N$2:$N$495,(SUMPRODUCT((('CONTROL MASTER'!$S$2:$S$495=2)*('CONTROL MASTER'!$Z$2:$Z$495&lt;=6)*('CONTROL MASTER'!$AB$2:$AB$495&gt;=6)*('CONTROL MASTER'!$AA$2:$AA$495&lt;=9)*('CONTROL MASTER'!$AC$2:$AC$495&gt;=9))*ROW('CONTROL MASTER'!$S$2:$S$495))-(ROW('CONTROL MASTER'!#REF!)-1))),":",","),",",REPT(" ",50)),(((INDEX('CONTROL MASTER'!$Y$2:$Y$495,(SUMPRODUCT((('CONTROL MASTER'!$S$2:$S$495=2)*('CONTROL MASTER'!$Z$2:$Z$495&lt;=6)*('CONTROL MASTER'!$AB$2:$AB$495&gt;=6)*('CONTROL MASTER'!$AA$2:$AA$495&lt;=9)*('CONTROL MASTER'!$AC$2:$AC$495&gt;=9))*ROW('CONTROL MASTER'!$S$2:$S$495))-(ROW('CONTROL MASTER'!#REF!)-1)))+((6-INDEX('CONTROL MASTER'!$Z$2:$Z$495,(SUMPRODUCT((('CONTROL MASTER'!$S$2:$S$495=2)*('CONTROL MASTER'!$Z$2:$Z$495&lt;=6)*('CONTROL MASTER'!$AB$2:$AB$495&gt;=6)*('CONTROL MASTER'!$AA$2:$AA$495&lt;=9)*('CONTROL MASTER'!$AC$2:$AC$495&gt;=9))*ROW('CONTROL MASTER'!$S$2:$S$495))-(ROW('CONTROL MASTER'!#REF!)-1))))*(INDEX('CONTROL MASTER'!$AC$2:$AC$495,(SUMPRODUCT((('CONTROL MASTER'!$S$2:$S$495=2)*('CONTROL MASTER'!$Z$2:$Z$495&lt;=6)*('CONTROL MASTER'!$AB$2:$AB$495&gt;=6)*('CONTROL MASTER'!$AA$2:$AA$495&lt;=9)*('CONTROL MASTER'!$AC$2:$AC$495&gt;=9))*ROW('CONTROL MASTER'!$S$2:$S$495))-(ROW('CONTROL MASTER'!#REF!)-1)))-INDEX('CONTROL MASTER'!$AA$2:$AA$495,(SUMPRODUCT((('CONTROL MASTER'!$S$2:$S$495=2)*('CONTROL MASTER'!$Z$2:$Z$495&lt;=6)*('CONTROL MASTER'!$AB$2:$AB$495&gt;=6)*('CONTROL MASTER'!$AA$2:$AA$495&lt;=9)*('CONTROL MASTER'!$AC$2:$AC$495&gt;=9))*ROW('CONTROL MASTER'!$S$2:$S$495))-(ROW('CONTROL MASTER'!#REF!)-1)))+1)+(9-INDEX('CONTROL MASTER'!$AA$2:$AA$495,(SUMPRODUCT((('CONTROL MASTER'!$S$2:$S$495=2)*('CONTROL MASTER'!$Z$2:$Z$495&lt;=6)*('CONTROL MASTER'!$AB$2:$AB$495&gt;=6)*('CONTROL MASTER'!$AA$2:$AA$495&lt;=9)*('CONTROL MASTER'!$AC$2:$AC$495&gt;=9))*ROW('CONTROL MASTER'!$S$2:$S$495))-(ROW('CONTROL MASTER'!#REF!)-1))))+1)))-1)*50+1,50))&amp;"_"&amp;INDEX('CONTROL MASTER'!$P$2:$P$495,(SUMPRODUCT((('CONTROL MASTER'!$S$2:$S$495=2)*('CONTROL MASTER'!$Z$2:$Z$495&lt;=6)*('CONTROL MASTER'!$AB$2:$AB$495&gt;=6)*('CONTROL MASTER'!$AA$2:$AA$495&lt;=9)*('CONTROL MASTER'!$AC$2:$AC$495&gt;=9))*ROW('CONTROL MASTER'!$S$2:$S$495))-(ROW('CONTROL MASTER'!#REF!)-1))),"")),"")</f>
        <v/>
      </c>
      <c r="K22" s="10" t="str">
        <f>IFERROR(IF(SUMPRODUCT((('CONTROL MASTER'!$S$2:$S$495=2)*('CONTROL MASTER'!$T$2:$T$495&lt;=6)*('CONTROL MASTER'!$V$2:$V$495&gt;=6)*('CONTROL MASTER'!$U$2:$U$495&lt;=10)*('CONTROL MASTER'!$W$2:$W$495&gt;=10))*ROW('CONTROL MASTER'!$S$2:$S$495))&gt;0,INDEX('CONTROL MASTER'!$X$2:$X$495,(SUMPRODUCT((('CONTROL MASTER'!$S$2:$S$495=2)*('CONTROL MASTER'!$T$2:$T$495&lt;=6)*('CONTROL MASTER'!$V$2:$V$495&gt;=6)*('CONTROL MASTER'!$U$2:$U$495&lt;=10)*('CONTROL MASTER'!$W$2:$W$495&gt;=10))*ROW('CONTROL MASTER'!$S$2:$S$495))-(ROW('CONTROL MASTER'!#REF!)-1)))&amp;TRIM(MID(SUBSTITUTE(SUBSTITUTE(INDEX('CONTROL MASTER'!$N$2:$N$495,(SUMPRODUCT((('CONTROL MASTER'!$S$2:$S$495=2)*('CONTROL MASTER'!$T$2:$T$495&lt;=6)*('CONTROL MASTER'!$V$2:$V$495&gt;=6)*('CONTROL MASTER'!$U$2:$U$495&lt;=10)*('CONTROL MASTER'!$W$2:$W$495&gt;=10))*ROW('CONTROL MASTER'!$S$2:$S$495))-(ROW('CONTROL MASTER'!#REF!)-1))),":",","),",",REPT(" ",50)),((((6-INDEX('CONTROL MASTER'!$T$2:$T$495,(SUMPRODUCT((('CONTROL MASTER'!$S$2:$S$495=2)*('CONTROL MASTER'!$T$2:$T$495&lt;=6)*('CONTROL MASTER'!$V$2:$V$495&gt;=6)*('CONTROL MASTER'!$U$2:$U$495&lt;=10)*('CONTROL MASTER'!$W$2:$W$495&gt;=10))*ROW('CONTROL MASTER'!$S$2:$S$495))-(ROW('CONTROL MASTER'!#REF!)-1))))*(INDEX('CONTROL MASTER'!$W$2:$W$495,(SUMPRODUCT((('CONTROL MASTER'!$S$2:$S$495=2)*('CONTROL MASTER'!$T$2:$T$495&lt;=6)*('CONTROL MASTER'!$V$2:$V$495&gt;=6)*('CONTROL MASTER'!$U$2:$U$495&lt;=10)*('CONTROL MASTER'!$W$2:$W$495&gt;=10))*ROW('CONTROL MASTER'!$S$2:$S$495))-(ROW('CONTROL MASTER'!#REF!)-1)))-INDEX('CONTROL MASTER'!$U$2:$U$495,(SUMPRODUCT((('CONTROL MASTER'!$S$2:$S$495=2)*('CONTROL MASTER'!$T$2:$T$495&lt;=6)*('CONTROL MASTER'!$V$2:$V$495&gt;=6)*('CONTROL MASTER'!$U$2:$U$495&lt;=10)*('CONTROL MASTER'!$W$2:$W$495&gt;=10))*ROW('CONTROL MASTER'!$S$2:$S$495))-(ROW('CONTROL MASTER'!#REF!)-1)))+1)+(10-INDEX('CONTROL MASTER'!$U$2:$U$495,(SUMPRODUCT((('CONTROL MASTER'!$S$2:$S$495=2)*('CONTROL MASTER'!$T$2:$T$495&lt;=6)*('CONTROL MASTER'!$V$2:$V$495&gt;=6)*('CONTROL MASTER'!$U$2:$U$495&lt;=10)*('CONTROL MASTER'!$W$2:$W$495&gt;=10))*ROW('CONTROL MASTER'!$S$2:$S$495))-(ROW('CONTROL MASTER'!#REF!)-1))))+1))-1)*50+1,50))&amp;"_"&amp;INDEX('CONTROL MASTER'!$P$2:$P$495,(SUMPRODUCT((('CONTROL MASTER'!$S$2:$S$495=2)*('CONTROL MASTER'!$T$2:$T$495&lt;=6)*('CONTROL MASTER'!$V$2:$V$495&gt;=6)*('CONTROL MASTER'!$U$2:$U$495&lt;=10)*('CONTROL MASTER'!$W$2:$W$495&gt;=10))*ROW('CONTROL MASTER'!$S$2:$S$495))-(ROW('CONTROL MASTER'!#REF!)-1))),IF(SUMPRODUCT((('CONTROL MASTER'!$S$2:$S$495=2)*('CONTROL MASTER'!$Z$2:$Z$495&lt;=6)*('CONTROL MASTER'!$AB$2:$AB$495&gt;=6)*('CONTROL MASTER'!$AA$2:$AA$495&lt;=10)*('CONTROL MASTER'!$AC$2:$AC$495&gt;=10))*ROW('CONTROL MASTER'!$S$2:$S$495))&gt;0,INDEX('CONTROL MASTER'!$X$2:$X$495,(SUMPRODUCT((('CONTROL MASTER'!$S$2:$S$495=2)*('CONTROL MASTER'!$Z$2:$Z$495&lt;=6)*('CONTROL MASTER'!$AB$2:$AB$495&gt;=6)*('CONTROL MASTER'!$AA$2:$AA$495&lt;=10)*('CONTROL MASTER'!$AC$2:$AC$495&gt;=10))*ROW('CONTROL MASTER'!$S$2:$S$495))-(ROW('CONTROL MASTER'!#REF!)-1)))&amp;TRIM(MID(SUBSTITUTE(SUBSTITUTE(INDEX('CONTROL MASTER'!$N$2:$N$495,(SUMPRODUCT((('CONTROL MASTER'!$S$2:$S$495=2)*('CONTROL MASTER'!$Z$2:$Z$495&lt;=6)*('CONTROL MASTER'!$AB$2:$AB$495&gt;=6)*('CONTROL MASTER'!$AA$2:$AA$495&lt;=10)*('CONTROL MASTER'!$AC$2:$AC$495&gt;=10))*ROW('CONTROL MASTER'!$S$2:$S$495))-(ROW('CONTROL MASTER'!#REF!)-1))),":",","),",",REPT(" ",50)),(((INDEX('CONTROL MASTER'!$Y$2:$Y$495,(SUMPRODUCT((('CONTROL MASTER'!$S$2:$S$495=2)*('CONTROL MASTER'!$Z$2:$Z$495&lt;=6)*('CONTROL MASTER'!$AB$2:$AB$495&gt;=6)*('CONTROL MASTER'!$AA$2:$AA$495&lt;=10)*('CONTROL MASTER'!$AC$2:$AC$495&gt;=10))*ROW('CONTROL MASTER'!$S$2:$S$495))-(ROW('CONTROL MASTER'!#REF!)-1)))+((6-INDEX('CONTROL MASTER'!$Z$2:$Z$495,(SUMPRODUCT((('CONTROL MASTER'!$S$2:$S$495=2)*('CONTROL MASTER'!$Z$2:$Z$495&lt;=6)*('CONTROL MASTER'!$AB$2:$AB$495&gt;=6)*('CONTROL MASTER'!$AA$2:$AA$495&lt;=10)*('CONTROL MASTER'!$AC$2:$AC$495&gt;=10))*ROW('CONTROL MASTER'!$S$2:$S$495))-(ROW('CONTROL MASTER'!#REF!)-1))))*(INDEX('CONTROL MASTER'!$AC$2:$AC$495,(SUMPRODUCT((('CONTROL MASTER'!$S$2:$S$495=2)*('CONTROL MASTER'!$Z$2:$Z$495&lt;=6)*('CONTROL MASTER'!$AB$2:$AB$495&gt;=6)*('CONTROL MASTER'!$AA$2:$AA$495&lt;=10)*('CONTROL MASTER'!$AC$2:$AC$495&gt;=10))*ROW('CONTROL MASTER'!$S$2:$S$495))-(ROW('CONTROL MASTER'!#REF!)-1)))-INDEX('CONTROL MASTER'!$AA$2:$AA$495,(SUMPRODUCT((('CONTROL MASTER'!$S$2:$S$495=2)*('CONTROL MASTER'!$Z$2:$Z$495&lt;=6)*('CONTROL MASTER'!$AB$2:$AB$495&gt;=6)*('CONTROL MASTER'!$AA$2:$AA$495&lt;=10)*('CONTROL MASTER'!$AC$2:$AC$495&gt;=10))*ROW('CONTROL MASTER'!$S$2:$S$495))-(ROW('CONTROL MASTER'!#REF!)-1)))+1)+(10-INDEX('CONTROL MASTER'!$AA$2:$AA$495,(SUMPRODUCT((('CONTROL MASTER'!$S$2:$S$495=2)*('CONTROL MASTER'!$Z$2:$Z$495&lt;=6)*('CONTROL MASTER'!$AB$2:$AB$495&gt;=6)*('CONTROL MASTER'!$AA$2:$AA$495&lt;=10)*('CONTROL MASTER'!$AC$2:$AC$495&gt;=10))*ROW('CONTROL MASTER'!$S$2:$S$495))-(ROW('CONTROL MASTER'!#REF!)-1))))+1)))-1)*50+1,50))&amp;"_"&amp;INDEX('CONTROL MASTER'!$P$2:$P$495,(SUMPRODUCT((('CONTROL MASTER'!$S$2:$S$495=2)*('CONTROL MASTER'!$Z$2:$Z$495&lt;=6)*('CONTROL MASTER'!$AB$2:$AB$495&gt;=6)*('CONTROL MASTER'!$AA$2:$AA$495&lt;=10)*('CONTROL MASTER'!$AC$2:$AC$495&gt;=10))*ROW('CONTROL MASTER'!$S$2:$S$495))-(ROW('CONTROL MASTER'!#REF!)-1))),"")),"")</f>
        <v/>
      </c>
    </row>
    <row r="23" spans="1:11" ht="15" customHeight="1" x14ac:dyDescent="0.35">
      <c r="A23" s="8" t="s">
        <v>34</v>
      </c>
      <c r="B23" s="10" t="str">
        <f>IFERROR(IF(SUMPRODUCT((('CONTROL MASTER'!$S$2:$S$495=2)*('CONTROL MASTER'!$T$2:$T$495&lt;=7)*('CONTROL MASTER'!$V$2:$V$495&gt;=7)*('CONTROL MASTER'!$U$2:$U$495&lt;=1)*('CONTROL MASTER'!$W$2:$W$495&gt;=1))*ROW('CONTROL MASTER'!$S$2:$S$495))&gt;0,INDEX('CONTROL MASTER'!$X$2:$X$495,(SUMPRODUCT((('CONTROL MASTER'!$S$2:$S$495=2)*('CONTROL MASTER'!$T$2:$T$495&lt;=7)*('CONTROL MASTER'!$V$2:$V$495&gt;=7)*('CONTROL MASTER'!$U$2:$U$495&lt;=1)*('CONTROL MASTER'!$W$2:$W$495&gt;=1))*ROW('CONTROL MASTER'!$S$2:$S$495))-(ROW('CONTROL MASTER'!#REF!)-1)))&amp;TRIM(MID(SUBSTITUTE(SUBSTITUTE(INDEX('CONTROL MASTER'!$N$2:$N$495,(SUMPRODUCT((('CONTROL MASTER'!$S$2:$S$495=2)*('CONTROL MASTER'!$T$2:$T$495&lt;=7)*('CONTROL MASTER'!$V$2:$V$495&gt;=7)*('CONTROL MASTER'!$U$2:$U$495&lt;=1)*('CONTROL MASTER'!$W$2:$W$495&gt;=1))*ROW('CONTROL MASTER'!$S$2:$S$495))-(ROW('CONTROL MASTER'!#REF!)-1))),":",","),",",REPT(" ",50)),((((7-INDEX('CONTROL MASTER'!$T$2:$T$495,(SUMPRODUCT((('CONTROL MASTER'!$S$2:$S$495=2)*('CONTROL MASTER'!$T$2:$T$495&lt;=7)*('CONTROL MASTER'!$V$2:$V$495&gt;=7)*('CONTROL MASTER'!$U$2:$U$495&lt;=1)*('CONTROL MASTER'!$W$2:$W$495&gt;=1))*ROW('CONTROL MASTER'!$S$2:$S$495))-(ROW('CONTROL MASTER'!#REF!)-1))))*(INDEX('CONTROL MASTER'!$W$2:$W$495,(SUMPRODUCT((('CONTROL MASTER'!$S$2:$S$495=2)*('CONTROL MASTER'!$T$2:$T$495&lt;=7)*('CONTROL MASTER'!$V$2:$V$495&gt;=7)*('CONTROL MASTER'!$U$2:$U$495&lt;=1)*('CONTROL MASTER'!$W$2:$W$495&gt;=1))*ROW('CONTROL MASTER'!$S$2:$S$495))-(ROW('CONTROL MASTER'!#REF!)-1)))-INDEX('CONTROL MASTER'!$U$2:$U$495,(SUMPRODUCT((('CONTROL MASTER'!$S$2:$S$495=2)*('CONTROL MASTER'!$T$2:$T$495&lt;=7)*('CONTROL MASTER'!$V$2:$V$495&gt;=7)*('CONTROL MASTER'!$U$2:$U$495&lt;=1)*('CONTROL MASTER'!$W$2:$W$495&gt;=1))*ROW('CONTROL MASTER'!$S$2:$S$495))-(ROW('CONTROL MASTER'!#REF!)-1)))+1)+(1-INDEX('CONTROL MASTER'!$U$2:$U$495,(SUMPRODUCT((('CONTROL MASTER'!$S$2:$S$495=2)*('CONTROL MASTER'!$T$2:$T$495&lt;=7)*('CONTROL MASTER'!$V$2:$V$495&gt;=7)*('CONTROL MASTER'!$U$2:$U$495&lt;=1)*('CONTROL MASTER'!$W$2:$W$495&gt;=1))*ROW('CONTROL MASTER'!$S$2:$S$495))-(ROW('CONTROL MASTER'!#REF!)-1))))+1))-1)*50+1,50))&amp;"_"&amp;INDEX('CONTROL MASTER'!$P$2:$P$495,(SUMPRODUCT((('CONTROL MASTER'!$S$2:$S$495=2)*('CONTROL MASTER'!$T$2:$T$495&lt;=7)*('CONTROL MASTER'!$V$2:$V$495&gt;=7)*('CONTROL MASTER'!$U$2:$U$495&lt;=1)*('CONTROL MASTER'!$W$2:$W$495&gt;=1))*ROW('CONTROL MASTER'!$S$2:$S$495))-(ROW('CONTROL MASTER'!#REF!)-1))),IF(SUMPRODUCT((('CONTROL MASTER'!$S$2:$S$495=2)*('CONTROL MASTER'!$Z$2:$Z$495&lt;=7)*('CONTROL MASTER'!$AB$2:$AB$495&gt;=7)*('CONTROL MASTER'!$AA$2:$AA$495&lt;=1)*('CONTROL MASTER'!$AC$2:$AC$495&gt;=1))*ROW('CONTROL MASTER'!$S$2:$S$495))&gt;0,INDEX('CONTROL MASTER'!$X$2:$X$495,(SUMPRODUCT((('CONTROL MASTER'!$S$2:$S$495=2)*('CONTROL MASTER'!$Z$2:$Z$495&lt;=7)*('CONTROL MASTER'!$AB$2:$AB$495&gt;=7)*('CONTROL MASTER'!$AA$2:$AA$495&lt;=1)*('CONTROL MASTER'!$AC$2:$AC$495&gt;=1))*ROW('CONTROL MASTER'!$S$2:$S$495))-(ROW('CONTROL MASTER'!#REF!)-1)))&amp;TRIM(MID(SUBSTITUTE(SUBSTITUTE(INDEX('CONTROL MASTER'!$N$2:$N$495,(SUMPRODUCT((('CONTROL MASTER'!$S$2:$S$495=2)*('CONTROL MASTER'!$Z$2:$Z$495&lt;=7)*('CONTROL MASTER'!$AB$2:$AB$495&gt;=7)*('CONTROL MASTER'!$AA$2:$AA$495&lt;=1)*('CONTROL MASTER'!$AC$2:$AC$495&gt;=1))*ROW('CONTROL MASTER'!$S$2:$S$495))-(ROW('CONTROL MASTER'!#REF!)-1))),":",","),",",REPT(" ",50)),(((INDEX('CONTROL MASTER'!$Y$2:$Y$495,(SUMPRODUCT((('CONTROL MASTER'!$S$2:$S$495=2)*('CONTROL MASTER'!$Z$2:$Z$495&lt;=7)*('CONTROL MASTER'!$AB$2:$AB$495&gt;=7)*('CONTROL MASTER'!$AA$2:$AA$495&lt;=1)*('CONTROL MASTER'!$AC$2:$AC$495&gt;=1))*ROW('CONTROL MASTER'!$S$2:$S$495))-(ROW('CONTROL MASTER'!#REF!)-1)))+((7-INDEX('CONTROL MASTER'!$Z$2:$Z$495,(SUMPRODUCT((('CONTROL MASTER'!$S$2:$S$495=2)*('CONTROL MASTER'!$Z$2:$Z$495&lt;=7)*('CONTROL MASTER'!$AB$2:$AB$495&gt;=7)*('CONTROL MASTER'!$AA$2:$AA$495&lt;=1)*('CONTROL MASTER'!$AC$2:$AC$495&gt;=1))*ROW('CONTROL MASTER'!$S$2:$S$495))-(ROW('CONTROL MASTER'!#REF!)-1))))*(INDEX('CONTROL MASTER'!$AC$2:$AC$495,(SUMPRODUCT((('CONTROL MASTER'!$S$2:$S$495=2)*('CONTROL MASTER'!$Z$2:$Z$495&lt;=7)*('CONTROL MASTER'!$AB$2:$AB$495&gt;=7)*('CONTROL MASTER'!$AA$2:$AA$495&lt;=1)*('CONTROL MASTER'!$AC$2:$AC$495&gt;=1))*ROW('CONTROL MASTER'!$S$2:$S$495))-(ROW('CONTROL MASTER'!#REF!)-1)))-INDEX('CONTROL MASTER'!$AA$2:$AA$495,(SUMPRODUCT((('CONTROL MASTER'!$S$2:$S$495=2)*('CONTROL MASTER'!$Z$2:$Z$495&lt;=7)*('CONTROL MASTER'!$AB$2:$AB$495&gt;=7)*('CONTROL MASTER'!$AA$2:$AA$495&lt;=1)*('CONTROL MASTER'!$AC$2:$AC$495&gt;=1))*ROW('CONTROL MASTER'!$S$2:$S$495))-(ROW('CONTROL MASTER'!#REF!)-1)))+1)+(1-INDEX('CONTROL MASTER'!$AA$2:$AA$495,(SUMPRODUCT((('CONTROL MASTER'!$S$2:$S$495=2)*('CONTROL MASTER'!$Z$2:$Z$495&lt;=7)*('CONTROL MASTER'!$AB$2:$AB$495&gt;=7)*('CONTROL MASTER'!$AA$2:$AA$495&lt;=1)*('CONTROL MASTER'!$AC$2:$AC$495&gt;=1))*ROW('CONTROL MASTER'!$S$2:$S$495))-(ROW('CONTROL MASTER'!#REF!)-1))))+1)))-1)*50+1,50))&amp;"_"&amp;INDEX('CONTROL MASTER'!$P$2:$P$495,(SUMPRODUCT((('CONTROL MASTER'!$S$2:$S$495=2)*('CONTROL MASTER'!$Z$2:$Z$495&lt;=7)*('CONTROL MASTER'!$AB$2:$AB$495&gt;=7)*('CONTROL MASTER'!$AA$2:$AA$495&lt;=1)*('CONTROL MASTER'!$AC$2:$AC$495&gt;=1))*ROW('CONTROL MASTER'!$S$2:$S$495))-(ROW('CONTROL MASTER'!#REF!)-1))),"")),"")</f>
        <v/>
      </c>
      <c r="C23" s="10" t="str">
        <f>IFERROR(IF(SUMPRODUCT((('CONTROL MASTER'!$S$2:$S$495=2)*('CONTROL MASTER'!$T$2:$T$495&lt;=7)*('CONTROL MASTER'!$V$2:$V$495&gt;=7)*('CONTROL MASTER'!$U$2:$U$495&lt;=2)*('CONTROL MASTER'!$W$2:$W$495&gt;=2))*ROW('CONTROL MASTER'!$S$2:$S$495))&gt;0,INDEX('CONTROL MASTER'!$X$2:$X$495,(SUMPRODUCT((('CONTROL MASTER'!$S$2:$S$495=2)*('CONTROL MASTER'!$T$2:$T$495&lt;=7)*('CONTROL MASTER'!$V$2:$V$495&gt;=7)*('CONTROL MASTER'!$U$2:$U$495&lt;=2)*('CONTROL MASTER'!$W$2:$W$495&gt;=2))*ROW('CONTROL MASTER'!$S$2:$S$495))-(ROW('CONTROL MASTER'!#REF!)-1)))&amp;TRIM(MID(SUBSTITUTE(SUBSTITUTE(INDEX('CONTROL MASTER'!$N$2:$N$495,(SUMPRODUCT((('CONTROL MASTER'!$S$2:$S$495=2)*('CONTROL MASTER'!$T$2:$T$495&lt;=7)*('CONTROL MASTER'!$V$2:$V$495&gt;=7)*('CONTROL MASTER'!$U$2:$U$495&lt;=2)*('CONTROL MASTER'!$W$2:$W$495&gt;=2))*ROW('CONTROL MASTER'!$S$2:$S$495))-(ROW('CONTROL MASTER'!#REF!)-1))),":",","),",",REPT(" ",50)),((((7-INDEX('CONTROL MASTER'!$T$2:$T$495,(SUMPRODUCT((('CONTROL MASTER'!$S$2:$S$495=2)*('CONTROL MASTER'!$T$2:$T$495&lt;=7)*('CONTROL MASTER'!$V$2:$V$495&gt;=7)*('CONTROL MASTER'!$U$2:$U$495&lt;=2)*('CONTROL MASTER'!$W$2:$W$495&gt;=2))*ROW('CONTROL MASTER'!$S$2:$S$495))-(ROW('CONTROL MASTER'!#REF!)-1))))*(INDEX('CONTROL MASTER'!$W$2:$W$495,(SUMPRODUCT((('CONTROL MASTER'!$S$2:$S$495=2)*('CONTROL MASTER'!$T$2:$T$495&lt;=7)*('CONTROL MASTER'!$V$2:$V$495&gt;=7)*('CONTROL MASTER'!$U$2:$U$495&lt;=2)*('CONTROL MASTER'!$W$2:$W$495&gt;=2))*ROW('CONTROL MASTER'!$S$2:$S$495))-(ROW('CONTROL MASTER'!#REF!)-1)))-INDEX('CONTROL MASTER'!$U$2:$U$495,(SUMPRODUCT((('CONTROL MASTER'!$S$2:$S$495=2)*('CONTROL MASTER'!$T$2:$T$495&lt;=7)*('CONTROL MASTER'!$V$2:$V$495&gt;=7)*('CONTROL MASTER'!$U$2:$U$495&lt;=2)*('CONTROL MASTER'!$W$2:$W$495&gt;=2))*ROW('CONTROL MASTER'!$S$2:$S$495))-(ROW('CONTROL MASTER'!#REF!)-1)))+1)+(2-INDEX('CONTROL MASTER'!$U$2:$U$495,(SUMPRODUCT((('CONTROL MASTER'!$S$2:$S$495=2)*('CONTROL MASTER'!$T$2:$T$495&lt;=7)*('CONTROL MASTER'!$V$2:$V$495&gt;=7)*('CONTROL MASTER'!$U$2:$U$495&lt;=2)*('CONTROL MASTER'!$W$2:$W$495&gt;=2))*ROW('CONTROL MASTER'!$S$2:$S$495))-(ROW('CONTROL MASTER'!#REF!)-1))))+1))-1)*50+1,50))&amp;"_"&amp;INDEX('CONTROL MASTER'!$P$2:$P$495,(SUMPRODUCT((('CONTROL MASTER'!$S$2:$S$495=2)*('CONTROL MASTER'!$T$2:$T$495&lt;=7)*('CONTROL MASTER'!$V$2:$V$495&gt;=7)*('CONTROL MASTER'!$U$2:$U$495&lt;=2)*('CONTROL MASTER'!$W$2:$W$495&gt;=2))*ROW('CONTROL MASTER'!$S$2:$S$495))-(ROW('CONTROL MASTER'!#REF!)-1))),IF(SUMPRODUCT((('CONTROL MASTER'!$S$2:$S$495=2)*('CONTROL MASTER'!$Z$2:$Z$495&lt;=7)*('CONTROL MASTER'!$AB$2:$AB$495&gt;=7)*('CONTROL MASTER'!$AA$2:$AA$495&lt;=2)*('CONTROL MASTER'!$AC$2:$AC$495&gt;=2))*ROW('CONTROL MASTER'!$S$2:$S$495))&gt;0,INDEX('CONTROL MASTER'!$X$2:$X$495,(SUMPRODUCT((('CONTROL MASTER'!$S$2:$S$495=2)*('CONTROL MASTER'!$Z$2:$Z$495&lt;=7)*('CONTROL MASTER'!$AB$2:$AB$495&gt;=7)*('CONTROL MASTER'!$AA$2:$AA$495&lt;=2)*('CONTROL MASTER'!$AC$2:$AC$495&gt;=2))*ROW('CONTROL MASTER'!$S$2:$S$495))-(ROW('CONTROL MASTER'!#REF!)-1)))&amp;TRIM(MID(SUBSTITUTE(SUBSTITUTE(INDEX('CONTROL MASTER'!$N$2:$N$495,(SUMPRODUCT((('CONTROL MASTER'!$S$2:$S$495=2)*('CONTROL MASTER'!$Z$2:$Z$495&lt;=7)*('CONTROL MASTER'!$AB$2:$AB$495&gt;=7)*('CONTROL MASTER'!$AA$2:$AA$495&lt;=2)*('CONTROL MASTER'!$AC$2:$AC$495&gt;=2))*ROW('CONTROL MASTER'!$S$2:$S$495))-(ROW('CONTROL MASTER'!#REF!)-1))),":",","),",",REPT(" ",50)),(((INDEX('CONTROL MASTER'!$Y$2:$Y$495,(SUMPRODUCT((('CONTROL MASTER'!$S$2:$S$495=2)*('CONTROL MASTER'!$Z$2:$Z$495&lt;=7)*('CONTROL MASTER'!$AB$2:$AB$495&gt;=7)*('CONTROL MASTER'!$AA$2:$AA$495&lt;=2)*('CONTROL MASTER'!$AC$2:$AC$495&gt;=2))*ROW('CONTROL MASTER'!$S$2:$S$495))-(ROW('CONTROL MASTER'!#REF!)-1)))+((7-INDEX('CONTROL MASTER'!$Z$2:$Z$495,(SUMPRODUCT((('CONTROL MASTER'!$S$2:$S$495=2)*('CONTROL MASTER'!$Z$2:$Z$495&lt;=7)*('CONTROL MASTER'!$AB$2:$AB$495&gt;=7)*('CONTROL MASTER'!$AA$2:$AA$495&lt;=2)*('CONTROL MASTER'!$AC$2:$AC$495&gt;=2))*ROW('CONTROL MASTER'!$S$2:$S$495))-(ROW('CONTROL MASTER'!#REF!)-1))))*(INDEX('CONTROL MASTER'!$AC$2:$AC$495,(SUMPRODUCT((('CONTROL MASTER'!$S$2:$S$495=2)*('CONTROL MASTER'!$Z$2:$Z$495&lt;=7)*('CONTROL MASTER'!$AB$2:$AB$495&gt;=7)*('CONTROL MASTER'!$AA$2:$AA$495&lt;=2)*('CONTROL MASTER'!$AC$2:$AC$495&gt;=2))*ROW('CONTROL MASTER'!$S$2:$S$495))-(ROW('CONTROL MASTER'!#REF!)-1)))-INDEX('CONTROL MASTER'!$AA$2:$AA$495,(SUMPRODUCT((('CONTROL MASTER'!$S$2:$S$495=2)*('CONTROL MASTER'!$Z$2:$Z$495&lt;=7)*('CONTROL MASTER'!$AB$2:$AB$495&gt;=7)*('CONTROL MASTER'!$AA$2:$AA$495&lt;=2)*('CONTROL MASTER'!$AC$2:$AC$495&gt;=2))*ROW('CONTROL MASTER'!$S$2:$S$495))-(ROW('CONTROL MASTER'!#REF!)-1)))+1)+(2-INDEX('CONTROL MASTER'!$AA$2:$AA$495,(SUMPRODUCT((('CONTROL MASTER'!$S$2:$S$495=2)*('CONTROL MASTER'!$Z$2:$Z$495&lt;=7)*('CONTROL MASTER'!$AB$2:$AB$495&gt;=7)*('CONTROL MASTER'!$AA$2:$AA$495&lt;=2)*('CONTROL MASTER'!$AC$2:$AC$495&gt;=2))*ROW('CONTROL MASTER'!$S$2:$S$495))-(ROW('CONTROL MASTER'!#REF!)-1))))+1)))-1)*50+1,50))&amp;"_"&amp;INDEX('CONTROL MASTER'!$P$2:$P$495,(SUMPRODUCT((('CONTROL MASTER'!$S$2:$S$495=2)*('CONTROL MASTER'!$Z$2:$Z$495&lt;=7)*('CONTROL MASTER'!$AB$2:$AB$495&gt;=7)*('CONTROL MASTER'!$AA$2:$AA$495&lt;=2)*('CONTROL MASTER'!$AC$2:$AC$495&gt;=2))*ROW('CONTROL MASTER'!$S$2:$S$495))-(ROW('CONTROL MASTER'!#REF!)-1))),"")),"")</f>
        <v/>
      </c>
      <c r="D23" s="10" t="str">
        <f>IFERROR(IF(SUMPRODUCT((('CONTROL MASTER'!$S$2:$S$495=2)*('CONTROL MASTER'!$T$2:$T$495&lt;=7)*('CONTROL MASTER'!$V$2:$V$495&gt;=7)*('CONTROL MASTER'!$U$2:$U$495&lt;=3)*('CONTROL MASTER'!$W$2:$W$495&gt;=3))*ROW('CONTROL MASTER'!$S$2:$S$495))&gt;0,INDEX('CONTROL MASTER'!$X$2:$X$495,(SUMPRODUCT((('CONTROL MASTER'!$S$2:$S$495=2)*('CONTROL MASTER'!$T$2:$T$495&lt;=7)*('CONTROL MASTER'!$V$2:$V$495&gt;=7)*('CONTROL MASTER'!$U$2:$U$495&lt;=3)*('CONTROL MASTER'!$W$2:$W$495&gt;=3))*ROW('CONTROL MASTER'!$S$2:$S$495))-(ROW('CONTROL MASTER'!#REF!)-1)))&amp;TRIM(MID(SUBSTITUTE(SUBSTITUTE(INDEX('CONTROL MASTER'!$N$2:$N$495,(SUMPRODUCT((('CONTROL MASTER'!$S$2:$S$495=2)*('CONTROL MASTER'!$T$2:$T$495&lt;=7)*('CONTROL MASTER'!$V$2:$V$495&gt;=7)*('CONTROL MASTER'!$U$2:$U$495&lt;=3)*('CONTROL MASTER'!$W$2:$W$495&gt;=3))*ROW('CONTROL MASTER'!$S$2:$S$495))-(ROW('CONTROL MASTER'!#REF!)-1))),":",","),",",REPT(" ",50)),((((7-INDEX('CONTROL MASTER'!$T$2:$T$495,(SUMPRODUCT((('CONTROL MASTER'!$S$2:$S$495=2)*('CONTROL MASTER'!$T$2:$T$495&lt;=7)*('CONTROL MASTER'!$V$2:$V$495&gt;=7)*('CONTROL MASTER'!$U$2:$U$495&lt;=3)*('CONTROL MASTER'!$W$2:$W$495&gt;=3))*ROW('CONTROL MASTER'!$S$2:$S$495))-(ROW('CONTROL MASTER'!#REF!)-1))))*(INDEX('CONTROL MASTER'!$W$2:$W$495,(SUMPRODUCT((('CONTROL MASTER'!$S$2:$S$495=2)*('CONTROL MASTER'!$T$2:$T$495&lt;=7)*('CONTROL MASTER'!$V$2:$V$495&gt;=7)*('CONTROL MASTER'!$U$2:$U$495&lt;=3)*('CONTROL MASTER'!$W$2:$W$495&gt;=3))*ROW('CONTROL MASTER'!$S$2:$S$495))-(ROW('CONTROL MASTER'!#REF!)-1)))-INDEX('CONTROL MASTER'!$U$2:$U$495,(SUMPRODUCT((('CONTROL MASTER'!$S$2:$S$495=2)*('CONTROL MASTER'!$T$2:$T$495&lt;=7)*('CONTROL MASTER'!$V$2:$V$495&gt;=7)*('CONTROL MASTER'!$U$2:$U$495&lt;=3)*('CONTROL MASTER'!$W$2:$W$495&gt;=3))*ROW('CONTROL MASTER'!$S$2:$S$495))-(ROW('CONTROL MASTER'!#REF!)-1)))+1)+(3-INDEX('CONTROL MASTER'!$U$2:$U$495,(SUMPRODUCT((('CONTROL MASTER'!$S$2:$S$495=2)*('CONTROL MASTER'!$T$2:$T$495&lt;=7)*('CONTROL MASTER'!$V$2:$V$495&gt;=7)*('CONTROL MASTER'!$U$2:$U$495&lt;=3)*('CONTROL MASTER'!$W$2:$W$495&gt;=3))*ROW('CONTROL MASTER'!$S$2:$S$495))-(ROW('CONTROL MASTER'!#REF!)-1))))+1))-1)*50+1,50))&amp;"_"&amp;INDEX('CONTROL MASTER'!$P$2:$P$495,(SUMPRODUCT((('CONTROL MASTER'!$S$2:$S$495=2)*('CONTROL MASTER'!$T$2:$T$495&lt;=7)*('CONTROL MASTER'!$V$2:$V$495&gt;=7)*('CONTROL MASTER'!$U$2:$U$495&lt;=3)*('CONTROL MASTER'!$W$2:$W$495&gt;=3))*ROW('CONTROL MASTER'!$S$2:$S$495))-(ROW('CONTROL MASTER'!#REF!)-1))),IF(SUMPRODUCT((('CONTROL MASTER'!$S$2:$S$495=2)*('CONTROL MASTER'!$Z$2:$Z$495&lt;=7)*('CONTROL MASTER'!$AB$2:$AB$495&gt;=7)*('CONTROL MASTER'!$AA$2:$AA$495&lt;=3)*('CONTROL MASTER'!$AC$2:$AC$495&gt;=3))*ROW('CONTROL MASTER'!$S$2:$S$495))&gt;0,INDEX('CONTROL MASTER'!$X$2:$X$495,(SUMPRODUCT((('CONTROL MASTER'!$S$2:$S$495=2)*('CONTROL MASTER'!$Z$2:$Z$495&lt;=7)*('CONTROL MASTER'!$AB$2:$AB$495&gt;=7)*('CONTROL MASTER'!$AA$2:$AA$495&lt;=3)*('CONTROL MASTER'!$AC$2:$AC$495&gt;=3))*ROW('CONTROL MASTER'!$S$2:$S$495))-(ROW('CONTROL MASTER'!#REF!)-1)))&amp;TRIM(MID(SUBSTITUTE(SUBSTITUTE(INDEX('CONTROL MASTER'!$N$2:$N$495,(SUMPRODUCT((('CONTROL MASTER'!$S$2:$S$495=2)*('CONTROL MASTER'!$Z$2:$Z$495&lt;=7)*('CONTROL MASTER'!$AB$2:$AB$495&gt;=7)*('CONTROL MASTER'!$AA$2:$AA$495&lt;=3)*('CONTROL MASTER'!$AC$2:$AC$495&gt;=3))*ROW('CONTROL MASTER'!$S$2:$S$495))-(ROW('CONTROL MASTER'!#REF!)-1))),":",","),",",REPT(" ",50)),(((INDEX('CONTROL MASTER'!$Y$2:$Y$495,(SUMPRODUCT((('CONTROL MASTER'!$S$2:$S$495=2)*('CONTROL MASTER'!$Z$2:$Z$495&lt;=7)*('CONTROL MASTER'!$AB$2:$AB$495&gt;=7)*('CONTROL MASTER'!$AA$2:$AA$495&lt;=3)*('CONTROL MASTER'!$AC$2:$AC$495&gt;=3))*ROW('CONTROL MASTER'!$S$2:$S$495))-(ROW('CONTROL MASTER'!#REF!)-1)))+((7-INDEX('CONTROL MASTER'!$Z$2:$Z$495,(SUMPRODUCT((('CONTROL MASTER'!$S$2:$S$495=2)*('CONTROL MASTER'!$Z$2:$Z$495&lt;=7)*('CONTROL MASTER'!$AB$2:$AB$495&gt;=7)*('CONTROL MASTER'!$AA$2:$AA$495&lt;=3)*('CONTROL MASTER'!$AC$2:$AC$495&gt;=3))*ROW('CONTROL MASTER'!$S$2:$S$495))-(ROW('CONTROL MASTER'!#REF!)-1))))*(INDEX('CONTROL MASTER'!$AC$2:$AC$495,(SUMPRODUCT((('CONTROL MASTER'!$S$2:$S$495=2)*('CONTROL MASTER'!$Z$2:$Z$495&lt;=7)*('CONTROL MASTER'!$AB$2:$AB$495&gt;=7)*('CONTROL MASTER'!$AA$2:$AA$495&lt;=3)*('CONTROL MASTER'!$AC$2:$AC$495&gt;=3))*ROW('CONTROL MASTER'!$S$2:$S$495))-(ROW('CONTROL MASTER'!#REF!)-1)))-INDEX('CONTROL MASTER'!$AA$2:$AA$495,(SUMPRODUCT((('CONTROL MASTER'!$S$2:$S$495=2)*('CONTROL MASTER'!$Z$2:$Z$495&lt;=7)*('CONTROL MASTER'!$AB$2:$AB$495&gt;=7)*('CONTROL MASTER'!$AA$2:$AA$495&lt;=3)*('CONTROL MASTER'!$AC$2:$AC$495&gt;=3))*ROW('CONTROL MASTER'!$S$2:$S$495))-(ROW('CONTROL MASTER'!#REF!)-1)))+1)+(3-INDEX('CONTROL MASTER'!$AA$2:$AA$495,(SUMPRODUCT((('CONTROL MASTER'!$S$2:$S$495=2)*('CONTROL MASTER'!$Z$2:$Z$495&lt;=7)*('CONTROL MASTER'!$AB$2:$AB$495&gt;=7)*('CONTROL MASTER'!$AA$2:$AA$495&lt;=3)*('CONTROL MASTER'!$AC$2:$AC$495&gt;=3))*ROW('CONTROL MASTER'!$S$2:$S$495))-(ROW('CONTROL MASTER'!#REF!)-1))))+1)))-1)*50+1,50))&amp;"_"&amp;INDEX('CONTROL MASTER'!$P$2:$P$495,(SUMPRODUCT((('CONTROL MASTER'!$S$2:$S$495=2)*('CONTROL MASTER'!$Z$2:$Z$495&lt;=7)*('CONTROL MASTER'!$AB$2:$AB$495&gt;=7)*('CONTROL MASTER'!$AA$2:$AA$495&lt;=3)*('CONTROL MASTER'!$AC$2:$AC$495&gt;=3))*ROW('CONTROL MASTER'!$S$2:$S$495))-(ROW('CONTROL MASTER'!#REF!)-1))),"")),"")</f>
        <v/>
      </c>
      <c r="E23" s="10" t="str">
        <f>IFERROR(IF(SUMPRODUCT((('CONTROL MASTER'!$S$2:$S$495=2)*('CONTROL MASTER'!$T$2:$T$495&lt;=7)*('CONTROL MASTER'!$V$2:$V$495&gt;=7)*('CONTROL MASTER'!$U$2:$U$495&lt;=4)*('CONTROL MASTER'!$W$2:$W$495&gt;=4))*ROW('CONTROL MASTER'!$S$2:$S$495))&gt;0,INDEX('CONTROL MASTER'!$X$2:$X$495,(SUMPRODUCT((('CONTROL MASTER'!$S$2:$S$495=2)*('CONTROL MASTER'!$T$2:$T$495&lt;=7)*('CONTROL MASTER'!$V$2:$V$495&gt;=7)*('CONTROL MASTER'!$U$2:$U$495&lt;=4)*('CONTROL MASTER'!$W$2:$W$495&gt;=4))*ROW('CONTROL MASTER'!$S$2:$S$495))-(ROW('CONTROL MASTER'!#REF!)-1)))&amp;TRIM(MID(SUBSTITUTE(SUBSTITUTE(INDEX('CONTROL MASTER'!$N$2:$N$495,(SUMPRODUCT((('CONTROL MASTER'!$S$2:$S$495=2)*('CONTROL MASTER'!$T$2:$T$495&lt;=7)*('CONTROL MASTER'!$V$2:$V$495&gt;=7)*('CONTROL MASTER'!$U$2:$U$495&lt;=4)*('CONTROL MASTER'!$W$2:$W$495&gt;=4))*ROW('CONTROL MASTER'!$S$2:$S$495))-(ROW('CONTROL MASTER'!#REF!)-1))),":",","),",",REPT(" ",50)),((((7-INDEX('CONTROL MASTER'!$T$2:$T$495,(SUMPRODUCT((('CONTROL MASTER'!$S$2:$S$495=2)*('CONTROL MASTER'!$T$2:$T$495&lt;=7)*('CONTROL MASTER'!$V$2:$V$495&gt;=7)*('CONTROL MASTER'!$U$2:$U$495&lt;=4)*('CONTROL MASTER'!$W$2:$W$495&gt;=4))*ROW('CONTROL MASTER'!$S$2:$S$495))-(ROW('CONTROL MASTER'!#REF!)-1))))*(INDEX('CONTROL MASTER'!$W$2:$W$495,(SUMPRODUCT((('CONTROL MASTER'!$S$2:$S$495=2)*('CONTROL MASTER'!$T$2:$T$495&lt;=7)*('CONTROL MASTER'!$V$2:$V$495&gt;=7)*('CONTROL MASTER'!$U$2:$U$495&lt;=4)*('CONTROL MASTER'!$W$2:$W$495&gt;=4))*ROW('CONTROL MASTER'!$S$2:$S$495))-(ROW('CONTROL MASTER'!#REF!)-1)))-INDEX('CONTROL MASTER'!$U$2:$U$495,(SUMPRODUCT((('CONTROL MASTER'!$S$2:$S$495=2)*('CONTROL MASTER'!$T$2:$T$495&lt;=7)*('CONTROL MASTER'!$V$2:$V$495&gt;=7)*('CONTROL MASTER'!$U$2:$U$495&lt;=4)*('CONTROL MASTER'!$W$2:$W$495&gt;=4))*ROW('CONTROL MASTER'!$S$2:$S$495))-(ROW('CONTROL MASTER'!#REF!)-1)))+1)+(4-INDEX('CONTROL MASTER'!$U$2:$U$495,(SUMPRODUCT((('CONTROL MASTER'!$S$2:$S$495=2)*('CONTROL MASTER'!$T$2:$T$495&lt;=7)*('CONTROL MASTER'!$V$2:$V$495&gt;=7)*('CONTROL MASTER'!$U$2:$U$495&lt;=4)*('CONTROL MASTER'!$W$2:$W$495&gt;=4))*ROW('CONTROL MASTER'!$S$2:$S$495))-(ROW('CONTROL MASTER'!#REF!)-1))))+1))-1)*50+1,50))&amp;"_"&amp;INDEX('CONTROL MASTER'!$P$2:$P$495,(SUMPRODUCT((('CONTROL MASTER'!$S$2:$S$495=2)*('CONTROL MASTER'!$T$2:$T$495&lt;=7)*('CONTROL MASTER'!$V$2:$V$495&gt;=7)*('CONTROL MASTER'!$U$2:$U$495&lt;=4)*('CONTROL MASTER'!$W$2:$W$495&gt;=4))*ROW('CONTROL MASTER'!$S$2:$S$495))-(ROW('CONTROL MASTER'!#REF!)-1))),IF(SUMPRODUCT((('CONTROL MASTER'!$S$2:$S$495=2)*('CONTROL MASTER'!$Z$2:$Z$495&lt;=7)*('CONTROL MASTER'!$AB$2:$AB$495&gt;=7)*('CONTROL MASTER'!$AA$2:$AA$495&lt;=4)*('CONTROL MASTER'!$AC$2:$AC$495&gt;=4))*ROW('CONTROL MASTER'!$S$2:$S$495))&gt;0,INDEX('CONTROL MASTER'!$X$2:$X$495,(SUMPRODUCT((('CONTROL MASTER'!$S$2:$S$495=2)*('CONTROL MASTER'!$Z$2:$Z$495&lt;=7)*('CONTROL MASTER'!$AB$2:$AB$495&gt;=7)*('CONTROL MASTER'!$AA$2:$AA$495&lt;=4)*('CONTROL MASTER'!$AC$2:$AC$495&gt;=4))*ROW('CONTROL MASTER'!$S$2:$S$495))-(ROW('CONTROL MASTER'!#REF!)-1)))&amp;TRIM(MID(SUBSTITUTE(SUBSTITUTE(INDEX('CONTROL MASTER'!$N$2:$N$495,(SUMPRODUCT((('CONTROL MASTER'!$S$2:$S$495=2)*('CONTROL MASTER'!$Z$2:$Z$495&lt;=7)*('CONTROL MASTER'!$AB$2:$AB$495&gt;=7)*('CONTROL MASTER'!$AA$2:$AA$495&lt;=4)*('CONTROL MASTER'!$AC$2:$AC$495&gt;=4))*ROW('CONTROL MASTER'!$S$2:$S$495))-(ROW('CONTROL MASTER'!#REF!)-1))),":",","),",",REPT(" ",50)),(((INDEX('CONTROL MASTER'!$Y$2:$Y$495,(SUMPRODUCT((('CONTROL MASTER'!$S$2:$S$495=2)*('CONTROL MASTER'!$Z$2:$Z$495&lt;=7)*('CONTROL MASTER'!$AB$2:$AB$495&gt;=7)*('CONTROL MASTER'!$AA$2:$AA$495&lt;=4)*('CONTROL MASTER'!$AC$2:$AC$495&gt;=4))*ROW('CONTROL MASTER'!$S$2:$S$495))-(ROW('CONTROL MASTER'!#REF!)-1)))+((7-INDEX('CONTROL MASTER'!$Z$2:$Z$495,(SUMPRODUCT((('CONTROL MASTER'!$S$2:$S$495=2)*('CONTROL MASTER'!$Z$2:$Z$495&lt;=7)*('CONTROL MASTER'!$AB$2:$AB$495&gt;=7)*('CONTROL MASTER'!$AA$2:$AA$495&lt;=4)*('CONTROL MASTER'!$AC$2:$AC$495&gt;=4))*ROW('CONTROL MASTER'!$S$2:$S$495))-(ROW('CONTROL MASTER'!#REF!)-1))))*(INDEX('CONTROL MASTER'!$AC$2:$AC$495,(SUMPRODUCT((('CONTROL MASTER'!$S$2:$S$495=2)*('CONTROL MASTER'!$Z$2:$Z$495&lt;=7)*('CONTROL MASTER'!$AB$2:$AB$495&gt;=7)*('CONTROL MASTER'!$AA$2:$AA$495&lt;=4)*('CONTROL MASTER'!$AC$2:$AC$495&gt;=4))*ROW('CONTROL MASTER'!$S$2:$S$495))-(ROW('CONTROL MASTER'!#REF!)-1)))-INDEX('CONTROL MASTER'!$AA$2:$AA$495,(SUMPRODUCT((('CONTROL MASTER'!$S$2:$S$495=2)*('CONTROL MASTER'!$Z$2:$Z$495&lt;=7)*('CONTROL MASTER'!$AB$2:$AB$495&gt;=7)*('CONTROL MASTER'!$AA$2:$AA$495&lt;=4)*('CONTROL MASTER'!$AC$2:$AC$495&gt;=4))*ROW('CONTROL MASTER'!$S$2:$S$495))-(ROW('CONTROL MASTER'!#REF!)-1)))+1)+(4-INDEX('CONTROL MASTER'!$AA$2:$AA$495,(SUMPRODUCT((('CONTROL MASTER'!$S$2:$S$495=2)*('CONTROL MASTER'!$Z$2:$Z$495&lt;=7)*('CONTROL MASTER'!$AB$2:$AB$495&gt;=7)*('CONTROL MASTER'!$AA$2:$AA$495&lt;=4)*('CONTROL MASTER'!$AC$2:$AC$495&gt;=4))*ROW('CONTROL MASTER'!$S$2:$S$495))-(ROW('CONTROL MASTER'!#REF!)-1))))+1)))-1)*50+1,50))&amp;"_"&amp;INDEX('CONTROL MASTER'!$P$2:$P$495,(SUMPRODUCT((('CONTROL MASTER'!$S$2:$S$495=2)*('CONTROL MASTER'!$Z$2:$Z$495&lt;=7)*('CONTROL MASTER'!$AB$2:$AB$495&gt;=7)*('CONTROL MASTER'!$AA$2:$AA$495&lt;=4)*('CONTROL MASTER'!$AC$2:$AC$495&gt;=4))*ROW('CONTROL MASTER'!$S$2:$S$495))-(ROW('CONTROL MASTER'!#REF!)-1))),"")),"")</f>
        <v/>
      </c>
      <c r="F23" s="10" t="str">
        <f>IFERROR(IF(SUMPRODUCT((('CONTROL MASTER'!$S$2:$S$495=2)*('CONTROL MASTER'!$T$2:$T$495&lt;=7)*('CONTROL MASTER'!$V$2:$V$495&gt;=7)*('CONTROL MASTER'!$U$2:$U$495&lt;=5)*('CONTROL MASTER'!$W$2:$W$495&gt;=5))*ROW('CONTROL MASTER'!$S$2:$S$495))&gt;0,INDEX('CONTROL MASTER'!$X$2:$X$495,(SUMPRODUCT((('CONTROL MASTER'!$S$2:$S$495=2)*('CONTROL MASTER'!$T$2:$T$495&lt;=7)*('CONTROL MASTER'!$V$2:$V$495&gt;=7)*('CONTROL MASTER'!$U$2:$U$495&lt;=5)*('CONTROL MASTER'!$W$2:$W$495&gt;=5))*ROW('CONTROL MASTER'!$S$2:$S$495))-(ROW('CONTROL MASTER'!#REF!)-1)))&amp;TRIM(MID(SUBSTITUTE(SUBSTITUTE(INDEX('CONTROL MASTER'!$N$2:$N$495,(SUMPRODUCT((('CONTROL MASTER'!$S$2:$S$495=2)*('CONTROL MASTER'!$T$2:$T$495&lt;=7)*('CONTROL MASTER'!$V$2:$V$495&gt;=7)*('CONTROL MASTER'!$U$2:$U$495&lt;=5)*('CONTROL MASTER'!$W$2:$W$495&gt;=5))*ROW('CONTROL MASTER'!$S$2:$S$495))-(ROW('CONTROL MASTER'!#REF!)-1))),":",","),",",REPT(" ",50)),((((7-INDEX('CONTROL MASTER'!$T$2:$T$495,(SUMPRODUCT((('CONTROL MASTER'!$S$2:$S$495=2)*('CONTROL MASTER'!$T$2:$T$495&lt;=7)*('CONTROL MASTER'!$V$2:$V$495&gt;=7)*('CONTROL MASTER'!$U$2:$U$495&lt;=5)*('CONTROL MASTER'!$W$2:$W$495&gt;=5))*ROW('CONTROL MASTER'!$S$2:$S$495))-(ROW('CONTROL MASTER'!#REF!)-1))))*(INDEX('CONTROL MASTER'!$W$2:$W$495,(SUMPRODUCT((('CONTROL MASTER'!$S$2:$S$495=2)*('CONTROL MASTER'!$T$2:$T$495&lt;=7)*('CONTROL MASTER'!$V$2:$V$495&gt;=7)*('CONTROL MASTER'!$U$2:$U$495&lt;=5)*('CONTROL MASTER'!$W$2:$W$495&gt;=5))*ROW('CONTROL MASTER'!$S$2:$S$495))-(ROW('CONTROL MASTER'!#REF!)-1)))-INDEX('CONTROL MASTER'!$U$2:$U$495,(SUMPRODUCT((('CONTROL MASTER'!$S$2:$S$495=2)*('CONTROL MASTER'!$T$2:$T$495&lt;=7)*('CONTROL MASTER'!$V$2:$V$495&gt;=7)*('CONTROL MASTER'!$U$2:$U$495&lt;=5)*('CONTROL MASTER'!$W$2:$W$495&gt;=5))*ROW('CONTROL MASTER'!$S$2:$S$495))-(ROW('CONTROL MASTER'!#REF!)-1)))+1)+(5-INDEX('CONTROL MASTER'!$U$2:$U$495,(SUMPRODUCT((('CONTROL MASTER'!$S$2:$S$495=2)*('CONTROL MASTER'!$T$2:$T$495&lt;=7)*('CONTROL MASTER'!$V$2:$V$495&gt;=7)*('CONTROL MASTER'!$U$2:$U$495&lt;=5)*('CONTROL MASTER'!$W$2:$W$495&gt;=5))*ROW('CONTROL MASTER'!$S$2:$S$495))-(ROW('CONTROL MASTER'!#REF!)-1))))+1))-1)*50+1,50))&amp;"_"&amp;INDEX('CONTROL MASTER'!$P$2:$P$495,(SUMPRODUCT((('CONTROL MASTER'!$S$2:$S$495=2)*('CONTROL MASTER'!$T$2:$T$495&lt;=7)*('CONTROL MASTER'!$V$2:$V$495&gt;=7)*('CONTROL MASTER'!$U$2:$U$495&lt;=5)*('CONTROL MASTER'!$W$2:$W$495&gt;=5))*ROW('CONTROL MASTER'!$S$2:$S$495))-(ROW('CONTROL MASTER'!#REF!)-1))),IF(SUMPRODUCT((('CONTROL MASTER'!$S$2:$S$495=2)*('CONTROL MASTER'!$Z$2:$Z$495&lt;=7)*('CONTROL MASTER'!$AB$2:$AB$495&gt;=7)*('CONTROL MASTER'!$AA$2:$AA$495&lt;=5)*('CONTROL MASTER'!$AC$2:$AC$495&gt;=5))*ROW('CONTROL MASTER'!$S$2:$S$495))&gt;0,INDEX('CONTROL MASTER'!$X$2:$X$495,(SUMPRODUCT((('CONTROL MASTER'!$S$2:$S$495=2)*('CONTROL MASTER'!$Z$2:$Z$495&lt;=7)*('CONTROL MASTER'!$AB$2:$AB$495&gt;=7)*('CONTROL MASTER'!$AA$2:$AA$495&lt;=5)*('CONTROL MASTER'!$AC$2:$AC$495&gt;=5))*ROW('CONTROL MASTER'!$S$2:$S$495))-(ROW('CONTROL MASTER'!#REF!)-1)))&amp;TRIM(MID(SUBSTITUTE(SUBSTITUTE(INDEX('CONTROL MASTER'!$N$2:$N$495,(SUMPRODUCT((('CONTROL MASTER'!$S$2:$S$495=2)*('CONTROL MASTER'!$Z$2:$Z$495&lt;=7)*('CONTROL MASTER'!$AB$2:$AB$495&gt;=7)*('CONTROL MASTER'!$AA$2:$AA$495&lt;=5)*('CONTROL MASTER'!$AC$2:$AC$495&gt;=5))*ROW('CONTROL MASTER'!$S$2:$S$495))-(ROW('CONTROL MASTER'!#REF!)-1))),":",","),",",REPT(" ",50)),(((INDEX('CONTROL MASTER'!$Y$2:$Y$495,(SUMPRODUCT((('CONTROL MASTER'!$S$2:$S$495=2)*('CONTROL MASTER'!$Z$2:$Z$495&lt;=7)*('CONTROL MASTER'!$AB$2:$AB$495&gt;=7)*('CONTROL MASTER'!$AA$2:$AA$495&lt;=5)*('CONTROL MASTER'!$AC$2:$AC$495&gt;=5))*ROW('CONTROL MASTER'!$S$2:$S$495))-(ROW('CONTROL MASTER'!#REF!)-1)))+((7-INDEX('CONTROL MASTER'!$Z$2:$Z$495,(SUMPRODUCT((('CONTROL MASTER'!$S$2:$S$495=2)*('CONTROL MASTER'!$Z$2:$Z$495&lt;=7)*('CONTROL MASTER'!$AB$2:$AB$495&gt;=7)*('CONTROL MASTER'!$AA$2:$AA$495&lt;=5)*('CONTROL MASTER'!$AC$2:$AC$495&gt;=5))*ROW('CONTROL MASTER'!$S$2:$S$495))-(ROW('CONTROL MASTER'!#REF!)-1))))*(INDEX('CONTROL MASTER'!$AC$2:$AC$495,(SUMPRODUCT((('CONTROL MASTER'!$S$2:$S$495=2)*('CONTROL MASTER'!$Z$2:$Z$495&lt;=7)*('CONTROL MASTER'!$AB$2:$AB$495&gt;=7)*('CONTROL MASTER'!$AA$2:$AA$495&lt;=5)*('CONTROL MASTER'!$AC$2:$AC$495&gt;=5))*ROW('CONTROL MASTER'!$S$2:$S$495))-(ROW('CONTROL MASTER'!#REF!)-1)))-INDEX('CONTROL MASTER'!$AA$2:$AA$495,(SUMPRODUCT((('CONTROL MASTER'!$S$2:$S$495=2)*('CONTROL MASTER'!$Z$2:$Z$495&lt;=7)*('CONTROL MASTER'!$AB$2:$AB$495&gt;=7)*('CONTROL MASTER'!$AA$2:$AA$495&lt;=5)*('CONTROL MASTER'!$AC$2:$AC$495&gt;=5))*ROW('CONTROL MASTER'!$S$2:$S$495))-(ROW('CONTROL MASTER'!#REF!)-1)))+1)+(5-INDEX('CONTROL MASTER'!$AA$2:$AA$495,(SUMPRODUCT((('CONTROL MASTER'!$S$2:$S$495=2)*('CONTROL MASTER'!$Z$2:$Z$495&lt;=7)*('CONTROL MASTER'!$AB$2:$AB$495&gt;=7)*('CONTROL MASTER'!$AA$2:$AA$495&lt;=5)*('CONTROL MASTER'!$AC$2:$AC$495&gt;=5))*ROW('CONTROL MASTER'!$S$2:$S$495))-(ROW('CONTROL MASTER'!#REF!)-1))))+1)))-1)*50+1,50))&amp;"_"&amp;INDEX('CONTROL MASTER'!$P$2:$P$495,(SUMPRODUCT((('CONTROL MASTER'!$S$2:$S$495=2)*('CONTROL MASTER'!$Z$2:$Z$495&lt;=7)*('CONTROL MASTER'!$AB$2:$AB$495&gt;=7)*('CONTROL MASTER'!$AA$2:$AA$495&lt;=5)*('CONTROL MASTER'!$AC$2:$AC$495&gt;=5))*ROW('CONTROL MASTER'!$S$2:$S$495))-(ROW('CONTROL MASTER'!#REF!)-1))),"")),"")</f>
        <v/>
      </c>
      <c r="G23" s="10" t="str">
        <f>IFERROR(IF(SUMPRODUCT((('CONTROL MASTER'!$S$2:$S$495=2)*('CONTROL MASTER'!$T$2:$T$495&lt;=7)*('CONTROL MASTER'!$V$2:$V$495&gt;=7)*('CONTROL MASTER'!$U$2:$U$495&lt;=6)*('CONTROL MASTER'!$W$2:$W$495&gt;=6))*ROW('CONTROL MASTER'!$S$2:$S$495))&gt;0,INDEX('CONTROL MASTER'!$X$2:$X$495,(SUMPRODUCT((('CONTROL MASTER'!$S$2:$S$495=2)*('CONTROL MASTER'!$T$2:$T$495&lt;=7)*('CONTROL MASTER'!$V$2:$V$495&gt;=7)*('CONTROL MASTER'!$U$2:$U$495&lt;=6)*('CONTROL MASTER'!$W$2:$W$495&gt;=6))*ROW('CONTROL MASTER'!$S$2:$S$495))-(ROW('CONTROL MASTER'!#REF!)-1)))&amp;TRIM(MID(SUBSTITUTE(SUBSTITUTE(INDEX('CONTROL MASTER'!$N$2:$N$495,(SUMPRODUCT((('CONTROL MASTER'!$S$2:$S$495=2)*('CONTROL MASTER'!$T$2:$T$495&lt;=7)*('CONTROL MASTER'!$V$2:$V$495&gt;=7)*('CONTROL MASTER'!$U$2:$U$495&lt;=6)*('CONTROL MASTER'!$W$2:$W$495&gt;=6))*ROW('CONTROL MASTER'!$S$2:$S$495))-(ROW('CONTROL MASTER'!#REF!)-1))),":",","),",",REPT(" ",50)),((((7-INDEX('CONTROL MASTER'!$T$2:$T$495,(SUMPRODUCT((('CONTROL MASTER'!$S$2:$S$495=2)*('CONTROL MASTER'!$T$2:$T$495&lt;=7)*('CONTROL MASTER'!$V$2:$V$495&gt;=7)*('CONTROL MASTER'!$U$2:$U$495&lt;=6)*('CONTROL MASTER'!$W$2:$W$495&gt;=6))*ROW('CONTROL MASTER'!$S$2:$S$495))-(ROW('CONTROL MASTER'!#REF!)-1))))*(INDEX('CONTROL MASTER'!$W$2:$W$495,(SUMPRODUCT((('CONTROL MASTER'!$S$2:$S$495=2)*('CONTROL MASTER'!$T$2:$T$495&lt;=7)*('CONTROL MASTER'!$V$2:$V$495&gt;=7)*('CONTROL MASTER'!$U$2:$U$495&lt;=6)*('CONTROL MASTER'!$W$2:$W$495&gt;=6))*ROW('CONTROL MASTER'!$S$2:$S$495))-(ROW('CONTROL MASTER'!#REF!)-1)))-INDEX('CONTROL MASTER'!$U$2:$U$495,(SUMPRODUCT((('CONTROL MASTER'!$S$2:$S$495=2)*('CONTROL MASTER'!$T$2:$T$495&lt;=7)*('CONTROL MASTER'!$V$2:$V$495&gt;=7)*('CONTROL MASTER'!$U$2:$U$495&lt;=6)*('CONTROL MASTER'!$W$2:$W$495&gt;=6))*ROW('CONTROL MASTER'!$S$2:$S$495))-(ROW('CONTROL MASTER'!#REF!)-1)))+1)+(6-INDEX('CONTROL MASTER'!$U$2:$U$495,(SUMPRODUCT((('CONTROL MASTER'!$S$2:$S$495=2)*('CONTROL MASTER'!$T$2:$T$495&lt;=7)*('CONTROL MASTER'!$V$2:$V$495&gt;=7)*('CONTROL MASTER'!$U$2:$U$495&lt;=6)*('CONTROL MASTER'!$W$2:$W$495&gt;=6))*ROW('CONTROL MASTER'!$S$2:$S$495))-(ROW('CONTROL MASTER'!#REF!)-1))))+1))-1)*50+1,50))&amp;"_"&amp;INDEX('CONTROL MASTER'!$P$2:$P$495,(SUMPRODUCT((('CONTROL MASTER'!$S$2:$S$495=2)*('CONTROL MASTER'!$T$2:$T$495&lt;=7)*('CONTROL MASTER'!$V$2:$V$495&gt;=7)*('CONTROL MASTER'!$U$2:$U$495&lt;=6)*('CONTROL MASTER'!$W$2:$W$495&gt;=6))*ROW('CONTROL MASTER'!$S$2:$S$495))-(ROW('CONTROL MASTER'!#REF!)-1))),IF(SUMPRODUCT((('CONTROL MASTER'!$S$2:$S$495=2)*('CONTROL MASTER'!$Z$2:$Z$495&lt;=7)*('CONTROL MASTER'!$AB$2:$AB$495&gt;=7)*('CONTROL MASTER'!$AA$2:$AA$495&lt;=6)*('CONTROL MASTER'!$AC$2:$AC$495&gt;=6))*ROW('CONTROL MASTER'!$S$2:$S$495))&gt;0,INDEX('CONTROL MASTER'!$X$2:$X$495,(SUMPRODUCT((('CONTROL MASTER'!$S$2:$S$495=2)*('CONTROL MASTER'!$Z$2:$Z$495&lt;=7)*('CONTROL MASTER'!$AB$2:$AB$495&gt;=7)*('CONTROL MASTER'!$AA$2:$AA$495&lt;=6)*('CONTROL MASTER'!$AC$2:$AC$495&gt;=6))*ROW('CONTROL MASTER'!$S$2:$S$495))-(ROW('CONTROL MASTER'!#REF!)-1)))&amp;TRIM(MID(SUBSTITUTE(SUBSTITUTE(INDEX('CONTROL MASTER'!$N$2:$N$495,(SUMPRODUCT((('CONTROL MASTER'!$S$2:$S$495=2)*('CONTROL MASTER'!$Z$2:$Z$495&lt;=7)*('CONTROL MASTER'!$AB$2:$AB$495&gt;=7)*('CONTROL MASTER'!$AA$2:$AA$495&lt;=6)*('CONTROL MASTER'!$AC$2:$AC$495&gt;=6))*ROW('CONTROL MASTER'!$S$2:$S$495))-(ROW('CONTROL MASTER'!#REF!)-1))),":",","),",",REPT(" ",50)),(((INDEX('CONTROL MASTER'!$Y$2:$Y$495,(SUMPRODUCT((('CONTROL MASTER'!$S$2:$S$495=2)*('CONTROL MASTER'!$Z$2:$Z$495&lt;=7)*('CONTROL MASTER'!$AB$2:$AB$495&gt;=7)*('CONTROL MASTER'!$AA$2:$AA$495&lt;=6)*('CONTROL MASTER'!$AC$2:$AC$495&gt;=6))*ROW('CONTROL MASTER'!$S$2:$S$495))-(ROW('CONTROL MASTER'!#REF!)-1)))+((7-INDEX('CONTROL MASTER'!$Z$2:$Z$495,(SUMPRODUCT((('CONTROL MASTER'!$S$2:$S$495=2)*('CONTROL MASTER'!$Z$2:$Z$495&lt;=7)*('CONTROL MASTER'!$AB$2:$AB$495&gt;=7)*('CONTROL MASTER'!$AA$2:$AA$495&lt;=6)*('CONTROL MASTER'!$AC$2:$AC$495&gt;=6))*ROW('CONTROL MASTER'!$S$2:$S$495))-(ROW('CONTROL MASTER'!#REF!)-1))))*(INDEX('CONTROL MASTER'!$AC$2:$AC$495,(SUMPRODUCT((('CONTROL MASTER'!$S$2:$S$495=2)*('CONTROL MASTER'!$Z$2:$Z$495&lt;=7)*('CONTROL MASTER'!$AB$2:$AB$495&gt;=7)*('CONTROL MASTER'!$AA$2:$AA$495&lt;=6)*('CONTROL MASTER'!$AC$2:$AC$495&gt;=6))*ROW('CONTROL MASTER'!$S$2:$S$495))-(ROW('CONTROL MASTER'!#REF!)-1)))-INDEX('CONTROL MASTER'!$AA$2:$AA$495,(SUMPRODUCT((('CONTROL MASTER'!$S$2:$S$495=2)*('CONTROL MASTER'!$Z$2:$Z$495&lt;=7)*('CONTROL MASTER'!$AB$2:$AB$495&gt;=7)*('CONTROL MASTER'!$AA$2:$AA$495&lt;=6)*('CONTROL MASTER'!$AC$2:$AC$495&gt;=6))*ROW('CONTROL MASTER'!$S$2:$S$495))-(ROW('CONTROL MASTER'!#REF!)-1)))+1)+(6-INDEX('CONTROL MASTER'!$AA$2:$AA$495,(SUMPRODUCT((('CONTROL MASTER'!$S$2:$S$495=2)*('CONTROL MASTER'!$Z$2:$Z$495&lt;=7)*('CONTROL MASTER'!$AB$2:$AB$495&gt;=7)*('CONTROL MASTER'!$AA$2:$AA$495&lt;=6)*('CONTROL MASTER'!$AC$2:$AC$495&gt;=6))*ROW('CONTROL MASTER'!$S$2:$S$495))-(ROW('CONTROL MASTER'!#REF!)-1))))+1)))-1)*50+1,50))&amp;"_"&amp;INDEX('CONTROL MASTER'!$P$2:$P$495,(SUMPRODUCT((('CONTROL MASTER'!$S$2:$S$495=2)*('CONTROL MASTER'!$Z$2:$Z$495&lt;=7)*('CONTROL MASTER'!$AB$2:$AB$495&gt;=7)*('CONTROL MASTER'!$AA$2:$AA$495&lt;=6)*('CONTROL MASTER'!$AC$2:$AC$495&gt;=6))*ROW('CONTROL MASTER'!$S$2:$S$495))-(ROW('CONTROL MASTER'!#REF!)-1))),"")),"")</f>
        <v/>
      </c>
      <c r="H23" s="10" t="str">
        <f>IFERROR(IF(SUMPRODUCT((('CONTROL MASTER'!$S$2:$S$495=2)*('CONTROL MASTER'!$T$2:$T$495&lt;=7)*('CONTROL MASTER'!$V$2:$V$495&gt;=7)*('CONTROL MASTER'!$U$2:$U$495&lt;=7)*('CONTROL MASTER'!$W$2:$W$495&gt;=7))*ROW('CONTROL MASTER'!$S$2:$S$495))&gt;0,INDEX('CONTROL MASTER'!$X$2:$X$495,(SUMPRODUCT((('CONTROL MASTER'!$S$2:$S$495=2)*('CONTROL MASTER'!$T$2:$T$495&lt;=7)*('CONTROL MASTER'!$V$2:$V$495&gt;=7)*('CONTROL MASTER'!$U$2:$U$495&lt;=7)*('CONTROL MASTER'!$W$2:$W$495&gt;=7))*ROW('CONTROL MASTER'!$S$2:$S$495))-(ROW('CONTROL MASTER'!#REF!)-1)))&amp;TRIM(MID(SUBSTITUTE(SUBSTITUTE(INDEX('CONTROL MASTER'!$N$2:$N$495,(SUMPRODUCT((('CONTROL MASTER'!$S$2:$S$495=2)*('CONTROL MASTER'!$T$2:$T$495&lt;=7)*('CONTROL MASTER'!$V$2:$V$495&gt;=7)*('CONTROL MASTER'!$U$2:$U$495&lt;=7)*('CONTROL MASTER'!$W$2:$W$495&gt;=7))*ROW('CONTROL MASTER'!$S$2:$S$495))-(ROW('CONTROL MASTER'!#REF!)-1))),":",","),",",REPT(" ",50)),((((7-INDEX('CONTROL MASTER'!$T$2:$T$495,(SUMPRODUCT((('CONTROL MASTER'!$S$2:$S$495=2)*('CONTROL MASTER'!$T$2:$T$495&lt;=7)*('CONTROL MASTER'!$V$2:$V$495&gt;=7)*('CONTROL MASTER'!$U$2:$U$495&lt;=7)*('CONTROL MASTER'!$W$2:$W$495&gt;=7))*ROW('CONTROL MASTER'!$S$2:$S$495))-(ROW('CONTROL MASTER'!#REF!)-1))))*(INDEX('CONTROL MASTER'!$W$2:$W$495,(SUMPRODUCT((('CONTROL MASTER'!$S$2:$S$495=2)*('CONTROL MASTER'!$T$2:$T$495&lt;=7)*('CONTROL MASTER'!$V$2:$V$495&gt;=7)*('CONTROL MASTER'!$U$2:$U$495&lt;=7)*('CONTROL MASTER'!$W$2:$W$495&gt;=7))*ROW('CONTROL MASTER'!$S$2:$S$495))-(ROW('CONTROL MASTER'!#REF!)-1)))-INDEX('CONTROL MASTER'!$U$2:$U$495,(SUMPRODUCT((('CONTROL MASTER'!$S$2:$S$495=2)*('CONTROL MASTER'!$T$2:$T$495&lt;=7)*('CONTROL MASTER'!$V$2:$V$495&gt;=7)*('CONTROL MASTER'!$U$2:$U$495&lt;=7)*('CONTROL MASTER'!$W$2:$W$495&gt;=7))*ROW('CONTROL MASTER'!$S$2:$S$495))-(ROW('CONTROL MASTER'!#REF!)-1)))+1)+(7-INDEX('CONTROL MASTER'!$U$2:$U$495,(SUMPRODUCT((('CONTROL MASTER'!$S$2:$S$495=2)*('CONTROL MASTER'!$T$2:$T$495&lt;=7)*('CONTROL MASTER'!$V$2:$V$495&gt;=7)*('CONTROL MASTER'!$U$2:$U$495&lt;=7)*('CONTROL MASTER'!$W$2:$W$495&gt;=7))*ROW('CONTROL MASTER'!$S$2:$S$495))-(ROW('CONTROL MASTER'!#REF!)-1))))+1))-1)*50+1,50))&amp;"_"&amp;INDEX('CONTROL MASTER'!$P$2:$P$495,(SUMPRODUCT((('CONTROL MASTER'!$S$2:$S$495=2)*('CONTROL MASTER'!$T$2:$T$495&lt;=7)*('CONTROL MASTER'!$V$2:$V$495&gt;=7)*('CONTROL MASTER'!$U$2:$U$495&lt;=7)*('CONTROL MASTER'!$W$2:$W$495&gt;=7))*ROW('CONTROL MASTER'!$S$2:$S$495))-(ROW('CONTROL MASTER'!#REF!)-1))),IF(SUMPRODUCT((('CONTROL MASTER'!$S$2:$S$495=2)*('CONTROL MASTER'!$Z$2:$Z$495&lt;=7)*('CONTROL MASTER'!$AB$2:$AB$495&gt;=7)*('CONTROL MASTER'!$AA$2:$AA$495&lt;=7)*('CONTROL MASTER'!$AC$2:$AC$495&gt;=7))*ROW('CONTROL MASTER'!$S$2:$S$495))&gt;0,INDEX('CONTROL MASTER'!$X$2:$X$495,(SUMPRODUCT((('CONTROL MASTER'!$S$2:$S$495=2)*('CONTROL MASTER'!$Z$2:$Z$495&lt;=7)*('CONTROL MASTER'!$AB$2:$AB$495&gt;=7)*('CONTROL MASTER'!$AA$2:$AA$495&lt;=7)*('CONTROL MASTER'!$AC$2:$AC$495&gt;=7))*ROW('CONTROL MASTER'!$S$2:$S$495))-(ROW('CONTROL MASTER'!#REF!)-1)))&amp;TRIM(MID(SUBSTITUTE(SUBSTITUTE(INDEX('CONTROL MASTER'!$N$2:$N$495,(SUMPRODUCT((('CONTROL MASTER'!$S$2:$S$495=2)*('CONTROL MASTER'!$Z$2:$Z$495&lt;=7)*('CONTROL MASTER'!$AB$2:$AB$495&gt;=7)*('CONTROL MASTER'!$AA$2:$AA$495&lt;=7)*('CONTROL MASTER'!$AC$2:$AC$495&gt;=7))*ROW('CONTROL MASTER'!$S$2:$S$495))-(ROW('CONTROL MASTER'!#REF!)-1))),":",","),",",REPT(" ",50)),(((INDEX('CONTROL MASTER'!$Y$2:$Y$495,(SUMPRODUCT((('CONTROL MASTER'!$S$2:$S$495=2)*('CONTROL MASTER'!$Z$2:$Z$495&lt;=7)*('CONTROL MASTER'!$AB$2:$AB$495&gt;=7)*('CONTROL MASTER'!$AA$2:$AA$495&lt;=7)*('CONTROL MASTER'!$AC$2:$AC$495&gt;=7))*ROW('CONTROL MASTER'!$S$2:$S$495))-(ROW('CONTROL MASTER'!#REF!)-1)))+((7-INDEX('CONTROL MASTER'!$Z$2:$Z$495,(SUMPRODUCT((('CONTROL MASTER'!$S$2:$S$495=2)*('CONTROL MASTER'!$Z$2:$Z$495&lt;=7)*('CONTROL MASTER'!$AB$2:$AB$495&gt;=7)*('CONTROL MASTER'!$AA$2:$AA$495&lt;=7)*('CONTROL MASTER'!$AC$2:$AC$495&gt;=7))*ROW('CONTROL MASTER'!$S$2:$S$495))-(ROW('CONTROL MASTER'!#REF!)-1))))*(INDEX('CONTROL MASTER'!$AC$2:$AC$495,(SUMPRODUCT((('CONTROL MASTER'!$S$2:$S$495=2)*('CONTROL MASTER'!$Z$2:$Z$495&lt;=7)*('CONTROL MASTER'!$AB$2:$AB$495&gt;=7)*('CONTROL MASTER'!$AA$2:$AA$495&lt;=7)*('CONTROL MASTER'!$AC$2:$AC$495&gt;=7))*ROW('CONTROL MASTER'!$S$2:$S$495))-(ROW('CONTROL MASTER'!#REF!)-1)))-INDEX('CONTROL MASTER'!$AA$2:$AA$495,(SUMPRODUCT((('CONTROL MASTER'!$S$2:$S$495=2)*('CONTROL MASTER'!$Z$2:$Z$495&lt;=7)*('CONTROL MASTER'!$AB$2:$AB$495&gt;=7)*('CONTROL MASTER'!$AA$2:$AA$495&lt;=7)*('CONTROL MASTER'!$AC$2:$AC$495&gt;=7))*ROW('CONTROL MASTER'!$S$2:$S$495))-(ROW('CONTROL MASTER'!#REF!)-1)))+1)+(7-INDEX('CONTROL MASTER'!$AA$2:$AA$495,(SUMPRODUCT((('CONTROL MASTER'!$S$2:$S$495=2)*('CONTROL MASTER'!$Z$2:$Z$495&lt;=7)*('CONTROL MASTER'!$AB$2:$AB$495&gt;=7)*('CONTROL MASTER'!$AA$2:$AA$495&lt;=7)*('CONTROL MASTER'!$AC$2:$AC$495&gt;=7))*ROW('CONTROL MASTER'!$S$2:$S$495))-(ROW('CONTROL MASTER'!#REF!)-1))))+1)))-1)*50+1,50))&amp;"_"&amp;INDEX('CONTROL MASTER'!$P$2:$P$495,(SUMPRODUCT((('CONTROL MASTER'!$S$2:$S$495=2)*('CONTROL MASTER'!$Z$2:$Z$495&lt;=7)*('CONTROL MASTER'!$AB$2:$AB$495&gt;=7)*('CONTROL MASTER'!$AA$2:$AA$495&lt;=7)*('CONTROL MASTER'!$AC$2:$AC$495&gt;=7))*ROW('CONTROL MASTER'!$S$2:$S$495))-(ROW('CONTROL MASTER'!#REF!)-1))),"")),"")</f>
        <v/>
      </c>
      <c r="I23" s="10" t="str">
        <f>IFERROR(IF(SUMPRODUCT((('CONTROL MASTER'!$S$2:$S$495=2)*('CONTROL MASTER'!$T$2:$T$495&lt;=7)*('CONTROL MASTER'!$V$2:$V$495&gt;=7)*('CONTROL MASTER'!$U$2:$U$495&lt;=8)*('CONTROL MASTER'!$W$2:$W$495&gt;=8))*ROW('CONTROL MASTER'!$S$2:$S$495))&gt;0,INDEX('CONTROL MASTER'!$X$2:$X$495,(SUMPRODUCT((('CONTROL MASTER'!$S$2:$S$495=2)*('CONTROL MASTER'!$T$2:$T$495&lt;=7)*('CONTROL MASTER'!$V$2:$V$495&gt;=7)*('CONTROL MASTER'!$U$2:$U$495&lt;=8)*('CONTROL MASTER'!$W$2:$W$495&gt;=8))*ROW('CONTROL MASTER'!$S$2:$S$495))-(ROW('CONTROL MASTER'!#REF!)-1)))&amp;TRIM(MID(SUBSTITUTE(SUBSTITUTE(INDEX('CONTROL MASTER'!$N$2:$N$495,(SUMPRODUCT((('CONTROL MASTER'!$S$2:$S$495=2)*('CONTROL MASTER'!$T$2:$T$495&lt;=7)*('CONTROL MASTER'!$V$2:$V$495&gt;=7)*('CONTROL MASTER'!$U$2:$U$495&lt;=8)*('CONTROL MASTER'!$W$2:$W$495&gt;=8))*ROW('CONTROL MASTER'!$S$2:$S$495))-(ROW('CONTROL MASTER'!#REF!)-1))),":",","),",",REPT(" ",50)),((((7-INDEX('CONTROL MASTER'!$T$2:$T$495,(SUMPRODUCT((('CONTROL MASTER'!$S$2:$S$495=2)*('CONTROL MASTER'!$T$2:$T$495&lt;=7)*('CONTROL MASTER'!$V$2:$V$495&gt;=7)*('CONTROL MASTER'!$U$2:$U$495&lt;=8)*('CONTROL MASTER'!$W$2:$W$495&gt;=8))*ROW('CONTROL MASTER'!$S$2:$S$495))-(ROW('CONTROL MASTER'!#REF!)-1))))*(INDEX('CONTROL MASTER'!$W$2:$W$495,(SUMPRODUCT((('CONTROL MASTER'!$S$2:$S$495=2)*('CONTROL MASTER'!$T$2:$T$495&lt;=7)*('CONTROL MASTER'!$V$2:$V$495&gt;=7)*('CONTROL MASTER'!$U$2:$U$495&lt;=8)*('CONTROL MASTER'!$W$2:$W$495&gt;=8))*ROW('CONTROL MASTER'!$S$2:$S$495))-(ROW('CONTROL MASTER'!#REF!)-1)))-INDEX('CONTROL MASTER'!$U$2:$U$495,(SUMPRODUCT((('CONTROL MASTER'!$S$2:$S$495=2)*('CONTROL MASTER'!$T$2:$T$495&lt;=7)*('CONTROL MASTER'!$V$2:$V$495&gt;=7)*('CONTROL MASTER'!$U$2:$U$495&lt;=8)*('CONTROL MASTER'!$W$2:$W$495&gt;=8))*ROW('CONTROL MASTER'!$S$2:$S$495))-(ROW('CONTROL MASTER'!#REF!)-1)))+1)+(8-INDEX('CONTROL MASTER'!$U$2:$U$495,(SUMPRODUCT((('CONTROL MASTER'!$S$2:$S$495=2)*('CONTROL MASTER'!$T$2:$T$495&lt;=7)*('CONTROL MASTER'!$V$2:$V$495&gt;=7)*('CONTROL MASTER'!$U$2:$U$495&lt;=8)*('CONTROL MASTER'!$W$2:$W$495&gt;=8))*ROW('CONTROL MASTER'!$S$2:$S$495))-(ROW('CONTROL MASTER'!#REF!)-1))))+1))-1)*50+1,50))&amp;"_"&amp;INDEX('CONTROL MASTER'!$P$2:$P$495,(SUMPRODUCT((('CONTROL MASTER'!$S$2:$S$495=2)*('CONTROL MASTER'!$T$2:$T$495&lt;=7)*('CONTROL MASTER'!$V$2:$V$495&gt;=7)*('CONTROL MASTER'!$U$2:$U$495&lt;=8)*('CONTROL MASTER'!$W$2:$W$495&gt;=8))*ROW('CONTROL MASTER'!$S$2:$S$495))-(ROW('CONTROL MASTER'!#REF!)-1))),IF(SUMPRODUCT((('CONTROL MASTER'!$S$2:$S$495=2)*('CONTROL MASTER'!$Z$2:$Z$495&lt;=7)*('CONTROL MASTER'!$AB$2:$AB$495&gt;=7)*('CONTROL MASTER'!$AA$2:$AA$495&lt;=8)*('CONTROL MASTER'!$AC$2:$AC$495&gt;=8))*ROW('CONTROL MASTER'!$S$2:$S$495))&gt;0,INDEX('CONTROL MASTER'!$X$2:$X$495,(SUMPRODUCT((('CONTROL MASTER'!$S$2:$S$495=2)*('CONTROL MASTER'!$Z$2:$Z$495&lt;=7)*('CONTROL MASTER'!$AB$2:$AB$495&gt;=7)*('CONTROL MASTER'!$AA$2:$AA$495&lt;=8)*('CONTROL MASTER'!$AC$2:$AC$495&gt;=8))*ROW('CONTROL MASTER'!$S$2:$S$495))-(ROW('CONTROL MASTER'!#REF!)-1)))&amp;TRIM(MID(SUBSTITUTE(SUBSTITUTE(INDEX('CONTROL MASTER'!$N$2:$N$495,(SUMPRODUCT((('CONTROL MASTER'!$S$2:$S$495=2)*('CONTROL MASTER'!$Z$2:$Z$495&lt;=7)*('CONTROL MASTER'!$AB$2:$AB$495&gt;=7)*('CONTROL MASTER'!$AA$2:$AA$495&lt;=8)*('CONTROL MASTER'!$AC$2:$AC$495&gt;=8))*ROW('CONTROL MASTER'!$S$2:$S$495))-(ROW('CONTROL MASTER'!#REF!)-1))),":",","),",",REPT(" ",50)),(((INDEX('CONTROL MASTER'!$Y$2:$Y$495,(SUMPRODUCT((('CONTROL MASTER'!$S$2:$S$495=2)*('CONTROL MASTER'!$Z$2:$Z$495&lt;=7)*('CONTROL MASTER'!$AB$2:$AB$495&gt;=7)*('CONTROL MASTER'!$AA$2:$AA$495&lt;=8)*('CONTROL MASTER'!$AC$2:$AC$495&gt;=8))*ROW('CONTROL MASTER'!$S$2:$S$495))-(ROW('CONTROL MASTER'!#REF!)-1)))+((7-INDEX('CONTROL MASTER'!$Z$2:$Z$495,(SUMPRODUCT((('CONTROL MASTER'!$S$2:$S$495=2)*('CONTROL MASTER'!$Z$2:$Z$495&lt;=7)*('CONTROL MASTER'!$AB$2:$AB$495&gt;=7)*('CONTROL MASTER'!$AA$2:$AA$495&lt;=8)*('CONTROL MASTER'!$AC$2:$AC$495&gt;=8))*ROW('CONTROL MASTER'!$S$2:$S$495))-(ROW('CONTROL MASTER'!#REF!)-1))))*(INDEX('CONTROL MASTER'!$AC$2:$AC$495,(SUMPRODUCT((('CONTROL MASTER'!$S$2:$S$495=2)*('CONTROL MASTER'!$Z$2:$Z$495&lt;=7)*('CONTROL MASTER'!$AB$2:$AB$495&gt;=7)*('CONTROL MASTER'!$AA$2:$AA$495&lt;=8)*('CONTROL MASTER'!$AC$2:$AC$495&gt;=8))*ROW('CONTROL MASTER'!$S$2:$S$495))-(ROW('CONTROL MASTER'!#REF!)-1)))-INDEX('CONTROL MASTER'!$AA$2:$AA$495,(SUMPRODUCT((('CONTROL MASTER'!$S$2:$S$495=2)*('CONTROL MASTER'!$Z$2:$Z$495&lt;=7)*('CONTROL MASTER'!$AB$2:$AB$495&gt;=7)*('CONTROL MASTER'!$AA$2:$AA$495&lt;=8)*('CONTROL MASTER'!$AC$2:$AC$495&gt;=8))*ROW('CONTROL MASTER'!$S$2:$S$495))-(ROW('CONTROL MASTER'!#REF!)-1)))+1)+(8-INDEX('CONTROL MASTER'!$AA$2:$AA$495,(SUMPRODUCT((('CONTROL MASTER'!$S$2:$S$495=2)*('CONTROL MASTER'!$Z$2:$Z$495&lt;=7)*('CONTROL MASTER'!$AB$2:$AB$495&gt;=7)*('CONTROL MASTER'!$AA$2:$AA$495&lt;=8)*('CONTROL MASTER'!$AC$2:$AC$495&gt;=8))*ROW('CONTROL MASTER'!$S$2:$S$495))-(ROW('CONTROL MASTER'!#REF!)-1))))+1)))-1)*50+1,50))&amp;"_"&amp;INDEX('CONTROL MASTER'!$P$2:$P$495,(SUMPRODUCT((('CONTROL MASTER'!$S$2:$S$495=2)*('CONTROL MASTER'!$Z$2:$Z$495&lt;=7)*('CONTROL MASTER'!$AB$2:$AB$495&gt;=7)*('CONTROL MASTER'!$AA$2:$AA$495&lt;=8)*('CONTROL MASTER'!$AC$2:$AC$495&gt;=8))*ROW('CONTROL MASTER'!$S$2:$S$495))-(ROW('CONTROL MASTER'!#REF!)-1))),"")),"")</f>
        <v/>
      </c>
      <c r="J23" s="10" t="str">
        <f>IFERROR(IF(SUMPRODUCT((('CONTROL MASTER'!$S$2:$S$495=2)*('CONTROL MASTER'!$T$2:$T$495&lt;=7)*('CONTROL MASTER'!$V$2:$V$495&gt;=7)*('CONTROL MASTER'!$U$2:$U$495&lt;=9)*('CONTROL MASTER'!$W$2:$W$495&gt;=9))*ROW('CONTROL MASTER'!$S$2:$S$495))&gt;0,INDEX('CONTROL MASTER'!$X$2:$X$495,(SUMPRODUCT((('CONTROL MASTER'!$S$2:$S$495=2)*('CONTROL MASTER'!$T$2:$T$495&lt;=7)*('CONTROL MASTER'!$V$2:$V$495&gt;=7)*('CONTROL MASTER'!$U$2:$U$495&lt;=9)*('CONTROL MASTER'!$W$2:$W$495&gt;=9))*ROW('CONTROL MASTER'!$S$2:$S$495))-(ROW('CONTROL MASTER'!#REF!)-1)))&amp;TRIM(MID(SUBSTITUTE(SUBSTITUTE(INDEX('CONTROL MASTER'!$N$2:$N$495,(SUMPRODUCT((('CONTROL MASTER'!$S$2:$S$495=2)*('CONTROL MASTER'!$T$2:$T$495&lt;=7)*('CONTROL MASTER'!$V$2:$V$495&gt;=7)*('CONTROL MASTER'!$U$2:$U$495&lt;=9)*('CONTROL MASTER'!$W$2:$W$495&gt;=9))*ROW('CONTROL MASTER'!$S$2:$S$495))-(ROW('CONTROL MASTER'!#REF!)-1))),":",","),",",REPT(" ",50)),((((7-INDEX('CONTROL MASTER'!$T$2:$T$495,(SUMPRODUCT((('CONTROL MASTER'!$S$2:$S$495=2)*('CONTROL MASTER'!$T$2:$T$495&lt;=7)*('CONTROL MASTER'!$V$2:$V$495&gt;=7)*('CONTROL MASTER'!$U$2:$U$495&lt;=9)*('CONTROL MASTER'!$W$2:$W$495&gt;=9))*ROW('CONTROL MASTER'!$S$2:$S$495))-(ROW('CONTROL MASTER'!#REF!)-1))))*(INDEX('CONTROL MASTER'!$W$2:$W$495,(SUMPRODUCT((('CONTROL MASTER'!$S$2:$S$495=2)*('CONTROL MASTER'!$T$2:$T$495&lt;=7)*('CONTROL MASTER'!$V$2:$V$495&gt;=7)*('CONTROL MASTER'!$U$2:$U$495&lt;=9)*('CONTROL MASTER'!$W$2:$W$495&gt;=9))*ROW('CONTROL MASTER'!$S$2:$S$495))-(ROW('CONTROL MASTER'!#REF!)-1)))-INDEX('CONTROL MASTER'!$U$2:$U$495,(SUMPRODUCT((('CONTROL MASTER'!$S$2:$S$495=2)*('CONTROL MASTER'!$T$2:$T$495&lt;=7)*('CONTROL MASTER'!$V$2:$V$495&gt;=7)*('CONTROL MASTER'!$U$2:$U$495&lt;=9)*('CONTROL MASTER'!$W$2:$W$495&gt;=9))*ROW('CONTROL MASTER'!$S$2:$S$495))-(ROW('CONTROL MASTER'!#REF!)-1)))+1)+(9-INDEX('CONTROL MASTER'!$U$2:$U$495,(SUMPRODUCT((('CONTROL MASTER'!$S$2:$S$495=2)*('CONTROL MASTER'!$T$2:$T$495&lt;=7)*('CONTROL MASTER'!$V$2:$V$495&gt;=7)*('CONTROL MASTER'!$U$2:$U$495&lt;=9)*('CONTROL MASTER'!$W$2:$W$495&gt;=9))*ROW('CONTROL MASTER'!$S$2:$S$495))-(ROW('CONTROL MASTER'!#REF!)-1))))+1))-1)*50+1,50))&amp;"_"&amp;INDEX('CONTROL MASTER'!$P$2:$P$495,(SUMPRODUCT((('CONTROL MASTER'!$S$2:$S$495=2)*('CONTROL MASTER'!$T$2:$T$495&lt;=7)*('CONTROL MASTER'!$V$2:$V$495&gt;=7)*('CONTROL MASTER'!$U$2:$U$495&lt;=9)*('CONTROL MASTER'!$W$2:$W$495&gt;=9))*ROW('CONTROL MASTER'!$S$2:$S$495))-(ROW('CONTROL MASTER'!#REF!)-1))),IF(SUMPRODUCT((('CONTROL MASTER'!$S$2:$S$495=2)*('CONTROL MASTER'!$Z$2:$Z$495&lt;=7)*('CONTROL MASTER'!$AB$2:$AB$495&gt;=7)*('CONTROL MASTER'!$AA$2:$AA$495&lt;=9)*('CONTROL MASTER'!$AC$2:$AC$495&gt;=9))*ROW('CONTROL MASTER'!$S$2:$S$495))&gt;0,INDEX('CONTROL MASTER'!$X$2:$X$495,(SUMPRODUCT((('CONTROL MASTER'!$S$2:$S$495=2)*('CONTROL MASTER'!$Z$2:$Z$495&lt;=7)*('CONTROL MASTER'!$AB$2:$AB$495&gt;=7)*('CONTROL MASTER'!$AA$2:$AA$495&lt;=9)*('CONTROL MASTER'!$AC$2:$AC$495&gt;=9))*ROW('CONTROL MASTER'!$S$2:$S$495))-(ROW('CONTROL MASTER'!#REF!)-1)))&amp;TRIM(MID(SUBSTITUTE(SUBSTITUTE(INDEX('CONTROL MASTER'!$N$2:$N$495,(SUMPRODUCT((('CONTROL MASTER'!$S$2:$S$495=2)*('CONTROL MASTER'!$Z$2:$Z$495&lt;=7)*('CONTROL MASTER'!$AB$2:$AB$495&gt;=7)*('CONTROL MASTER'!$AA$2:$AA$495&lt;=9)*('CONTROL MASTER'!$AC$2:$AC$495&gt;=9))*ROW('CONTROL MASTER'!$S$2:$S$495))-(ROW('CONTROL MASTER'!#REF!)-1))),":",","),",",REPT(" ",50)),(((INDEX('CONTROL MASTER'!$Y$2:$Y$495,(SUMPRODUCT((('CONTROL MASTER'!$S$2:$S$495=2)*('CONTROL MASTER'!$Z$2:$Z$495&lt;=7)*('CONTROL MASTER'!$AB$2:$AB$495&gt;=7)*('CONTROL MASTER'!$AA$2:$AA$495&lt;=9)*('CONTROL MASTER'!$AC$2:$AC$495&gt;=9))*ROW('CONTROL MASTER'!$S$2:$S$495))-(ROW('CONTROL MASTER'!#REF!)-1)))+((7-INDEX('CONTROL MASTER'!$Z$2:$Z$495,(SUMPRODUCT((('CONTROL MASTER'!$S$2:$S$495=2)*('CONTROL MASTER'!$Z$2:$Z$495&lt;=7)*('CONTROL MASTER'!$AB$2:$AB$495&gt;=7)*('CONTROL MASTER'!$AA$2:$AA$495&lt;=9)*('CONTROL MASTER'!$AC$2:$AC$495&gt;=9))*ROW('CONTROL MASTER'!$S$2:$S$495))-(ROW('CONTROL MASTER'!#REF!)-1))))*(INDEX('CONTROL MASTER'!$AC$2:$AC$495,(SUMPRODUCT((('CONTROL MASTER'!$S$2:$S$495=2)*('CONTROL MASTER'!$Z$2:$Z$495&lt;=7)*('CONTROL MASTER'!$AB$2:$AB$495&gt;=7)*('CONTROL MASTER'!$AA$2:$AA$495&lt;=9)*('CONTROL MASTER'!$AC$2:$AC$495&gt;=9))*ROW('CONTROL MASTER'!$S$2:$S$495))-(ROW('CONTROL MASTER'!#REF!)-1)))-INDEX('CONTROL MASTER'!$AA$2:$AA$495,(SUMPRODUCT((('CONTROL MASTER'!$S$2:$S$495=2)*('CONTROL MASTER'!$Z$2:$Z$495&lt;=7)*('CONTROL MASTER'!$AB$2:$AB$495&gt;=7)*('CONTROL MASTER'!$AA$2:$AA$495&lt;=9)*('CONTROL MASTER'!$AC$2:$AC$495&gt;=9))*ROW('CONTROL MASTER'!$S$2:$S$495))-(ROW('CONTROL MASTER'!#REF!)-1)))+1)+(9-INDEX('CONTROL MASTER'!$AA$2:$AA$495,(SUMPRODUCT((('CONTROL MASTER'!$S$2:$S$495=2)*('CONTROL MASTER'!$Z$2:$Z$495&lt;=7)*('CONTROL MASTER'!$AB$2:$AB$495&gt;=7)*('CONTROL MASTER'!$AA$2:$AA$495&lt;=9)*('CONTROL MASTER'!$AC$2:$AC$495&gt;=9))*ROW('CONTROL MASTER'!$S$2:$S$495))-(ROW('CONTROL MASTER'!#REF!)-1))))+1)))-1)*50+1,50))&amp;"_"&amp;INDEX('CONTROL MASTER'!$P$2:$P$495,(SUMPRODUCT((('CONTROL MASTER'!$S$2:$S$495=2)*('CONTROL MASTER'!$Z$2:$Z$495&lt;=7)*('CONTROL MASTER'!$AB$2:$AB$495&gt;=7)*('CONTROL MASTER'!$AA$2:$AA$495&lt;=9)*('CONTROL MASTER'!$AC$2:$AC$495&gt;=9))*ROW('CONTROL MASTER'!$S$2:$S$495))-(ROW('CONTROL MASTER'!#REF!)-1))),"")),"")</f>
        <v/>
      </c>
      <c r="K23" s="10" t="str">
        <f>IFERROR(IF(SUMPRODUCT((('CONTROL MASTER'!$S$2:$S$495=2)*('CONTROL MASTER'!$T$2:$T$495&lt;=7)*('CONTROL MASTER'!$V$2:$V$495&gt;=7)*('CONTROL MASTER'!$U$2:$U$495&lt;=10)*('CONTROL MASTER'!$W$2:$W$495&gt;=10))*ROW('CONTROL MASTER'!$S$2:$S$495))&gt;0,INDEX('CONTROL MASTER'!$X$2:$X$495,(SUMPRODUCT((('CONTROL MASTER'!$S$2:$S$495=2)*('CONTROL MASTER'!$T$2:$T$495&lt;=7)*('CONTROL MASTER'!$V$2:$V$495&gt;=7)*('CONTROL MASTER'!$U$2:$U$495&lt;=10)*('CONTROL MASTER'!$W$2:$W$495&gt;=10))*ROW('CONTROL MASTER'!$S$2:$S$495))-(ROW('CONTROL MASTER'!#REF!)-1)))&amp;TRIM(MID(SUBSTITUTE(SUBSTITUTE(INDEX('CONTROL MASTER'!$N$2:$N$495,(SUMPRODUCT((('CONTROL MASTER'!$S$2:$S$495=2)*('CONTROL MASTER'!$T$2:$T$495&lt;=7)*('CONTROL MASTER'!$V$2:$V$495&gt;=7)*('CONTROL MASTER'!$U$2:$U$495&lt;=10)*('CONTROL MASTER'!$W$2:$W$495&gt;=10))*ROW('CONTROL MASTER'!$S$2:$S$495))-(ROW('CONTROL MASTER'!#REF!)-1))),":",","),",",REPT(" ",50)),((((7-INDEX('CONTROL MASTER'!$T$2:$T$495,(SUMPRODUCT((('CONTROL MASTER'!$S$2:$S$495=2)*('CONTROL MASTER'!$T$2:$T$495&lt;=7)*('CONTROL MASTER'!$V$2:$V$495&gt;=7)*('CONTROL MASTER'!$U$2:$U$495&lt;=10)*('CONTROL MASTER'!$W$2:$W$495&gt;=10))*ROW('CONTROL MASTER'!$S$2:$S$495))-(ROW('CONTROL MASTER'!#REF!)-1))))*(INDEX('CONTROL MASTER'!$W$2:$W$495,(SUMPRODUCT((('CONTROL MASTER'!$S$2:$S$495=2)*('CONTROL MASTER'!$T$2:$T$495&lt;=7)*('CONTROL MASTER'!$V$2:$V$495&gt;=7)*('CONTROL MASTER'!$U$2:$U$495&lt;=10)*('CONTROL MASTER'!$W$2:$W$495&gt;=10))*ROW('CONTROL MASTER'!$S$2:$S$495))-(ROW('CONTROL MASTER'!#REF!)-1)))-INDEX('CONTROL MASTER'!$U$2:$U$495,(SUMPRODUCT((('CONTROL MASTER'!$S$2:$S$495=2)*('CONTROL MASTER'!$T$2:$T$495&lt;=7)*('CONTROL MASTER'!$V$2:$V$495&gt;=7)*('CONTROL MASTER'!$U$2:$U$495&lt;=10)*('CONTROL MASTER'!$W$2:$W$495&gt;=10))*ROW('CONTROL MASTER'!$S$2:$S$495))-(ROW('CONTROL MASTER'!#REF!)-1)))+1)+(10-INDEX('CONTROL MASTER'!$U$2:$U$495,(SUMPRODUCT((('CONTROL MASTER'!$S$2:$S$495=2)*('CONTROL MASTER'!$T$2:$T$495&lt;=7)*('CONTROL MASTER'!$V$2:$V$495&gt;=7)*('CONTROL MASTER'!$U$2:$U$495&lt;=10)*('CONTROL MASTER'!$W$2:$W$495&gt;=10))*ROW('CONTROL MASTER'!$S$2:$S$495))-(ROW('CONTROL MASTER'!#REF!)-1))))+1))-1)*50+1,50))&amp;"_"&amp;INDEX('CONTROL MASTER'!$P$2:$P$495,(SUMPRODUCT((('CONTROL MASTER'!$S$2:$S$495=2)*('CONTROL MASTER'!$T$2:$T$495&lt;=7)*('CONTROL MASTER'!$V$2:$V$495&gt;=7)*('CONTROL MASTER'!$U$2:$U$495&lt;=10)*('CONTROL MASTER'!$W$2:$W$495&gt;=10))*ROW('CONTROL MASTER'!$S$2:$S$495))-(ROW('CONTROL MASTER'!#REF!)-1))),IF(SUMPRODUCT((('CONTROL MASTER'!$S$2:$S$495=2)*('CONTROL MASTER'!$Z$2:$Z$495&lt;=7)*('CONTROL MASTER'!$AB$2:$AB$495&gt;=7)*('CONTROL MASTER'!$AA$2:$AA$495&lt;=10)*('CONTROL MASTER'!$AC$2:$AC$495&gt;=10))*ROW('CONTROL MASTER'!$S$2:$S$495))&gt;0,INDEX('CONTROL MASTER'!$X$2:$X$495,(SUMPRODUCT((('CONTROL MASTER'!$S$2:$S$495=2)*('CONTROL MASTER'!$Z$2:$Z$495&lt;=7)*('CONTROL MASTER'!$AB$2:$AB$495&gt;=7)*('CONTROL MASTER'!$AA$2:$AA$495&lt;=10)*('CONTROL MASTER'!$AC$2:$AC$495&gt;=10))*ROW('CONTROL MASTER'!$S$2:$S$495))-(ROW('CONTROL MASTER'!#REF!)-1)))&amp;TRIM(MID(SUBSTITUTE(SUBSTITUTE(INDEX('CONTROL MASTER'!$N$2:$N$495,(SUMPRODUCT((('CONTROL MASTER'!$S$2:$S$495=2)*('CONTROL MASTER'!$Z$2:$Z$495&lt;=7)*('CONTROL MASTER'!$AB$2:$AB$495&gt;=7)*('CONTROL MASTER'!$AA$2:$AA$495&lt;=10)*('CONTROL MASTER'!$AC$2:$AC$495&gt;=10))*ROW('CONTROL MASTER'!$S$2:$S$495))-(ROW('CONTROL MASTER'!#REF!)-1))),":",","),",",REPT(" ",50)),(((INDEX('CONTROL MASTER'!$Y$2:$Y$495,(SUMPRODUCT((('CONTROL MASTER'!$S$2:$S$495=2)*('CONTROL MASTER'!$Z$2:$Z$495&lt;=7)*('CONTROL MASTER'!$AB$2:$AB$495&gt;=7)*('CONTROL MASTER'!$AA$2:$AA$495&lt;=10)*('CONTROL MASTER'!$AC$2:$AC$495&gt;=10))*ROW('CONTROL MASTER'!$S$2:$S$495))-(ROW('CONTROL MASTER'!#REF!)-1)))+((7-INDEX('CONTROL MASTER'!$Z$2:$Z$495,(SUMPRODUCT((('CONTROL MASTER'!$S$2:$S$495=2)*('CONTROL MASTER'!$Z$2:$Z$495&lt;=7)*('CONTROL MASTER'!$AB$2:$AB$495&gt;=7)*('CONTROL MASTER'!$AA$2:$AA$495&lt;=10)*('CONTROL MASTER'!$AC$2:$AC$495&gt;=10))*ROW('CONTROL MASTER'!$S$2:$S$495))-(ROW('CONTROL MASTER'!#REF!)-1))))*(INDEX('CONTROL MASTER'!$AC$2:$AC$495,(SUMPRODUCT((('CONTROL MASTER'!$S$2:$S$495=2)*('CONTROL MASTER'!$Z$2:$Z$495&lt;=7)*('CONTROL MASTER'!$AB$2:$AB$495&gt;=7)*('CONTROL MASTER'!$AA$2:$AA$495&lt;=10)*('CONTROL MASTER'!$AC$2:$AC$495&gt;=10))*ROW('CONTROL MASTER'!$S$2:$S$495))-(ROW('CONTROL MASTER'!#REF!)-1)))-INDEX('CONTROL MASTER'!$AA$2:$AA$495,(SUMPRODUCT((('CONTROL MASTER'!$S$2:$S$495=2)*('CONTROL MASTER'!$Z$2:$Z$495&lt;=7)*('CONTROL MASTER'!$AB$2:$AB$495&gt;=7)*('CONTROL MASTER'!$AA$2:$AA$495&lt;=10)*('CONTROL MASTER'!$AC$2:$AC$495&gt;=10))*ROW('CONTROL MASTER'!$S$2:$S$495))-(ROW('CONTROL MASTER'!#REF!)-1)))+1)+(10-INDEX('CONTROL MASTER'!$AA$2:$AA$495,(SUMPRODUCT((('CONTROL MASTER'!$S$2:$S$495=2)*('CONTROL MASTER'!$Z$2:$Z$495&lt;=7)*('CONTROL MASTER'!$AB$2:$AB$495&gt;=7)*('CONTROL MASTER'!$AA$2:$AA$495&lt;=10)*('CONTROL MASTER'!$AC$2:$AC$495&gt;=10))*ROW('CONTROL MASTER'!$S$2:$S$495))-(ROW('CONTROL MASTER'!#REF!)-1))))+1)))-1)*50+1,50))&amp;"_"&amp;INDEX('CONTROL MASTER'!$P$2:$P$495,(SUMPRODUCT((('CONTROL MASTER'!$S$2:$S$495=2)*('CONTROL MASTER'!$Z$2:$Z$495&lt;=7)*('CONTROL MASTER'!$AB$2:$AB$495&gt;=7)*('CONTROL MASTER'!$AA$2:$AA$495&lt;=10)*('CONTROL MASTER'!$AC$2:$AC$495&gt;=10))*ROW('CONTROL MASTER'!$S$2:$S$495))-(ROW('CONTROL MASTER'!#REF!)-1))),"")),"")</f>
        <v/>
      </c>
    </row>
    <row r="24" spans="1:11" ht="15" customHeight="1" x14ac:dyDescent="0.35">
      <c r="A24" s="8" t="s">
        <v>35</v>
      </c>
      <c r="B24" s="10" t="str">
        <f>IFERROR(IF(SUMPRODUCT((('CONTROL MASTER'!$S$2:$S$495=2)*('CONTROL MASTER'!$T$2:$T$495&lt;=8)*('CONTROL MASTER'!$V$2:$V$495&gt;=8)*('CONTROL MASTER'!$U$2:$U$495&lt;=1)*('CONTROL MASTER'!$W$2:$W$495&gt;=1))*ROW('CONTROL MASTER'!$S$2:$S$495))&gt;0,INDEX('CONTROL MASTER'!$X$2:$X$495,(SUMPRODUCT((('CONTROL MASTER'!$S$2:$S$495=2)*('CONTROL MASTER'!$T$2:$T$495&lt;=8)*('CONTROL MASTER'!$V$2:$V$495&gt;=8)*('CONTROL MASTER'!$U$2:$U$495&lt;=1)*('CONTROL MASTER'!$W$2:$W$495&gt;=1))*ROW('CONTROL MASTER'!$S$2:$S$495))-(ROW('CONTROL MASTER'!#REF!)-1)))&amp;TRIM(MID(SUBSTITUTE(SUBSTITUTE(INDEX('CONTROL MASTER'!$N$2:$N$495,(SUMPRODUCT((('CONTROL MASTER'!$S$2:$S$495=2)*('CONTROL MASTER'!$T$2:$T$495&lt;=8)*('CONTROL MASTER'!$V$2:$V$495&gt;=8)*('CONTROL MASTER'!$U$2:$U$495&lt;=1)*('CONTROL MASTER'!$W$2:$W$495&gt;=1))*ROW('CONTROL MASTER'!$S$2:$S$495))-(ROW('CONTROL MASTER'!#REF!)-1))),":",","),",",REPT(" ",50)),((((8-INDEX('CONTROL MASTER'!$T$2:$T$495,(SUMPRODUCT((('CONTROL MASTER'!$S$2:$S$495=2)*('CONTROL MASTER'!$T$2:$T$495&lt;=8)*('CONTROL MASTER'!$V$2:$V$495&gt;=8)*('CONTROL MASTER'!$U$2:$U$495&lt;=1)*('CONTROL MASTER'!$W$2:$W$495&gt;=1))*ROW('CONTROL MASTER'!$S$2:$S$495))-(ROW('CONTROL MASTER'!#REF!)-1))))*(INDEX('CONTROL MASTER'!$W$2:$W$495,(SUMPRODUCT((('CONTROL MASTER'!$S$2:$S$495=2)*('CONTROL MASTER'!$T$2:$T$495&lt;=8)*('CONTROL MASTER'!$V$2:$V$495&gt;=8)*('CONTROL MASTER'!$U$2:$U$495&lt;=1)*('CONTROL MASTER'!$W$2:$W$495&gt;=1))*ROW('CONTROL MASTER'!$S$2:$S$495))-(ROW('CONTROL MASTER'!#REF!)-1)))-INDEX('CONTROL MASTER'!$U$2:$U$495,(SUMPRODUCT((('CONTROL MASTER'!$S$2:$S$495=2)*('CONTROL MASTER'!$T$2:$T$495&lt;=8)*('CONTROL MASTER'!$V$2:$V$495&gt;=8)*('CONTROL MASTER'!$U$2:$U$495&lt;=1)*('CONTROL MASTER'!$W$2:$W$495&gt;=1))*ROW('CONTROL MASTER'!$S$2:$S$495))-(ROW('CONTROL MASTER'!#REF!)-1)))+1)+(1-INDEX('CONTROL MASTER'!$U$2:$U$495,(SUMPRODUCT((('CONTROL MASTER'!$S$2:$S$495=2)*('CONTROL MASTER'!$T$2:$T$495&lt;=8)*('CONTROL MASTER'!$V$2:$V$495&gt;=8)*('CONTROL MASTER'!$U$2:$U$495&lt;=1)*('CONTROL MASTER'!$W$2:$W$495&gt;=1))*ROW('CONTROL MASTER'!$S$2:$S$495))-(ROW('CONTROL MASTER'!#REF!)-1))))+1))-1)*50+1,50))&amp;"_"&amp;INDEX('CONTROL MASTER'!$P$2:$P$495,(SUMPRODUCT((('CONTROL MASTER'!$S$2:$S$495=2)*('CONTROL MASTER'!$T$2:$T$495&lt;=8)*('CONTROL MASTER'!$V$2:$V$495&gt;=8)*('CONTROL MASTER'!$U$2:$U$495&lt;=1)*('CONTROL MASTER'!$W$2:$W$495&gt;=1))*ROW('CONTROL MASTER'!$S$2:$S$495))-(ROW('CONTROL MASTER'!#REF!)-1))),IF(SUMPRODUCT((('CONTROL MASTER'!$S$2:$S$495=2)*('CONTROL MASTER'!$Z$2:$Z$495&lt;=8)*('CONTROL MASTER'!$AB$2:$AB$495&gt;=8)*('CONTROL MASTER'!$AA$2:$AA$495&lt;=1)*('CONTROL MASTER'!$AC$2:$AC$495&gt;=1))*ROW('CONTROL MASTER'!$S$2:$S$495))&gt;0,INDEX('CONTROL MASTER'!$X$2:$X$495,(SUMPRODUCT((('CONTROL MASTER'!$S$2:$S$495=2)*('CONTROL MASTER'!$Z$2:$Z$495&lt;=8)*('CONTROL MASTER'!$AB$2:$AB$495&gt;=8)*('CONTROL MASTER'!$AA$2:$AA$495&lt;=1)*('CONTROL MASTER'!$AC$2:$AC$495&gt;=1))*ROW('CONTROL MASTER'!$S$2:$S$495))-(ROW('CONTROL MASTER'!#REF!)-1)))&amp;TRIM(MID(SUBSTITUTE(SUBSTITUTE(INDEX('CONTROL MASTER'!$N$2:$N$495,(SUMPRODUCT((('CONTROL MASTER'!$S$2:$S$495=2)*('CONTROL MASTER'!$Z$2:$Z$495&lt;=8)*('CONTROL MASTER'!$AB$2:$AB$495&gt;=8)*('CONTROL MASTER'!$AA$2:$AA$495&lt;=1)*('CONTROL MASTER'!$AC$2:$AC$495&gt;=1))*ROW('CONTROL MASTER'!$S$2:$S$495))-(ROW('CONTROL MASTER'!#REF!)-1))),":",","),",",REPT(" ",50)),(((INDEX('CONTROL MASTER'!$Y$2:$Y$495,(SUMPRODUCT((('CONTROL MASTER'!$S$2:$S$495=2)*('CONTROL MASTER'!$Z$2:$Z$495&lt;=8)*('CONTROL MASTER'!$AB$2:$AB$495&gt;=8)*('CONTROL MASTER'!$AA$2:$AA$495&lt;=1)*('CONTROL MASTER'!$AC$2:$AC$495&gt;=1))*ROW('CONTROL MASTER'!$S$2:$S$495))-(ROW('CONTROL MASTER'!#REF!)-1)))+((8-INDEX('CONTROL MASTER'!$Z$2:$Z$495,(SUMPRODUCT((('CONTROL MASTER'!$S$2:$S$495=2)*('CONTROL MASTER'!$Z$2:$Z$495&lt;=8)*('CONTROL MASTER'!$AB$2:$AB$495&gt;=8)*('CONTROL MASTER'!$AA$2:$AA$495&lt;=1)*('CONTROL MASTER'!$AC$2:$AC$495&gt;=1))*ROW('CONTROL MASTER'!$S$2:$S$495))-(ROW('CONTROL MASTER'!#REF!)-1))))*(INDEX('CONTROL MASTER'!$AC$2:$AC$495,(SUMPRODUCT((('CONTROL MASTER'!$S$2:$S$495=2)*('CONTROL MASTER'!$Z$2:$Z$495&lt;=8)*('CONTROL MASTER'!$AB$2:$AB$495&gt;=8)*('CONTROL MASTER'!$AA$2:$AA$495&lt;=1)*('CONTROL MASTER'!$AC$2:$AC$495&gt;=1))*ROW('CONTROL MASTER'!$S$2:$S$495))-(ROW('CONTROL MASTER'!#REF!)-1)))-INDEX('CONTROL MASTER'!$AA$2:$AA$495,(SUMPRODUCT((('CONTROL MASTER'!$S$2:$S$495=2)*('CONTROL MASTER'!$Z$2:$Z$495&lt;=8)*('CONTROL MASTER'!$AB$2:$AB$495&gt;=8)*('CONTROL MASTER'!$AA$2:$AA$495&lt;=1)*('CONTROL MASTER'!$AC$2:$AC$495&gt;=1))*ROW('CONTROL MASTER'!$S$2:$S$495))-(ROW('CONTROL MASTER'!#REF!)-1)))+1)+(1-INDEX('CONTROL MASTER'!$AA$2:$AA$495,(SUMPRODUCT((('CONTROL MASTER'!$S$2:$S$495=2)*('CONTROL MASTER'!$Z$2:$Z$495&lt;=8)*('CONTROL MASTER'!$AB$2:$AB$495&gt;=8)*('CONTROL MASTER'!$AA$2:$AA$495&lt;=1)*('CONTROL MASTER'!$AC$2:$AC$495&gt;=1))*ROW('CONTROL MASTER'!$S$2:$S$495))-(ROW('CONTROL MASTER'!#REF!)-1))))+1)))-1)*50+1,50))&amp;"_"&amp;INDEX('CONTROL MASTER'!$P$2:$P$495,(SUMPRODUCT((('CONTROL MASTER'!$S$2:$S$495=2)*('CONTROL MASTER'!$Z$2:$Z$495&lt;=8)*('CONTROL MASTER'!$AB$2:$AB$495&gt;=8)*('CONTROL MASTER'!$AA$2:$AA$495&lt;=1)*('CONTROL MASTER'!$AC$2:$AC$495&gt;=1))*ROW('CONTROL MASTER'!$S$2:$S$495))-(ROW('CONTROL MASTER'!#REF!)-1))),"")),"")</f>
        <v/>
      </c>
      <c r="C24" s="10" t="str">
        <f>IFERROR(IF(SUMPRODUCT((('CONTROL MASTER'!$S$2:$S$495=2)*('CONTROL MASTER'!$T$2:$T$495&lt;=8)*('CONTROL MASTER'!$V$2:$V$495&gt;=8)*('CONTROL MASTER'!$U$2:$U$495&lt;=2)*('CONTROL MASTER'!$W$2:$W$495&gt;=2))*ROW('CONTROL MASTER'!$S$2:$S$495))&gt;0,INDEX('CONTROL MASTER'!$X$2:$X$495,(SUMPRODUCT((('CONTROL MASTER'!$S$2:$S$495=2)*('CONTROL MASTER'!$T$2:$T$495&lt;=8)*('CONTROL MASTER'!$V$2:$V$495&gt;=8)*('CONTROL MASTER'!$U$2:$U$495&lt;=2)*('CONTROL MASTER'!$W$2:$W$495&gt;=2))*ROW('CONTROL MASTER'!$S$2:$S$495))-(ROW('CONTROL MASTER'!#REF!)-1)))&amp;TRIM(MID(SUBSTITUTE(SUBSTITUTE(INDEX('CONTROL MASTER'!$N$2:$N$495,(SUMPRODUCT((('CONTROL MASTER'!$S$2:$S$495=2)*('CONTROL MASTER'!$T$2:$T$495&lt;=8)*('CONTROL MASTER'!$V$2:$V$495&gt;=8)*('CONTROL MASTER'!$U$2:$U$495&lt;=2)*('CONTROL MASTER'!$W$2:$W$495&gt;=2))*ROW('CONTROL MASTER'!$S$2:$S$495))-(ROW('CONTROL MASTER'!#REF!)-1))),":",","),",",REPT(" ",50)),((((8-INDEX('CONTROL MASTER'!$T$2:$T$495,(SUMPRODUCT((('CONTROL MASTER'!$S$2:$S$495=2)*('CONTROL MASTER'!$T$2:$T$495&lt;=8)*('CONTROL MASTER'!$V$2:$V$495&gt;=8)*('CONTROL MASTER'!$U$2:$U$495&lt;=2)*('CONTROL MASTER'!$W$2:$W$495&gt;=2))*ROW('CONTROL MASTER'!$S$2:$S$495))-(ROW('CONTROL MASTER'!#REF!)-1))))*(INDEX('CONTROL MASTER'!$W$2:$W$495,(SUMPRODUCT((('CONTROL MASTER'!$S$2:$S$495=2)*('CONTROL MASTER'!$T$2:$T$495&lt;=8)*('CONTROL MASTER'!$V$2:$V$495&gt;=8)*('CONTROL MASTER'!$U$2:$U$495&lt;=2)*('CONTROL MASTER'!$W$2:$W$495&gt;=2))*ROW('CONTROL MASTER'!$S$2:$S$495))-(ROW('CONTROL MASTER'!#REF!)-1)))-INDEX('CONTROL MASTER'!$U$2:$U$495,(SUMPRODUCT((('CONTROL MASTER'!$S$2:$S$495=2)*('CONTROL MASTER'!$T$2:$T$495&lt;=8)*('CONTROL MASTER'!$V$2:$V$495&gt;=8)*('CONTROL MASTER'!$U$2:$U$495&lt;=2)*('CONTROL MASTER'!$W$2:$W$495&gt;=2))*ROW('CONTROL MASTER'!$S$2:$S$495))-(ROW('CONTROL MASTER'!#REF!)-1)))+1)+(2-INDEX('CONTROL MASTER'!$U$2:$U$495,(SUMPRODUCT((('CONTROL MASTER'!$S$2:$S$495=2)*('CONTROL MASTER'!$T$2:$T$495&lt;=8)*('CONTROL MASTER'!$V$2:$V$495&gt;=8)*('CONTROL MASTER'!$U$2:$U$495&lt;=2)*('CONTROL MASTER'!$W$2:$W$495&gt;=2))*ROW('CONTROL MASTER'!$S$2:$S$495))-(ROW('CONTROL MASTER'!#REF!)-1))))+1))-1)*50+1,50))&amp;"_"&amp;INDEX('CONTROL MASTER'!$P$2:$P$495,(SUMPRODUCT((('CONTROL MASTER'!$S$2:$S$495=2)*('CONTROL MASTER'!$T$2:$T$495&lt;=8)*('CONTROL MASTER'!$V$2:$V$495&gt;=8)*('CONTROL MASTER'!$U$2:$U$495&lt;=2)*('CONTROL MASTER'!$W$2:$W$495&gt;=2))*ROW('CONTROL MASTER'!$S$2:$S$495))-(ROW('CONTROL MASTER'!#REF!)-1))),IF(SUMPRODUCT((('CONTROL MASTER'!$S$2:$S$495=2)*('CONTROL MASTER'!$Z$2:$Z$495&lt;=8)*('CONTROL MASTER'!$AB$2:$AB$495&gt;=8)*('CONTROL MASTER'!$AA$2:$AA$495&lt;=2)*('CONTROL MASTER'!$AC$2:$AC$495&gt;=2))*ROW('CONTROL MASTER'!$S$2:$S$495))&gt;0,INDEX('CONTROL MASTER'!$X$2:$X$495,(SUMPRODUCT((('CONTROL MASTER'!$S$2:$S$495=2)*('CONTROL MASTER'!$Z$2:$Z$495&lt;=8)*('CONTROL MASTER'!$AB$2:$AB$495&gt;=8)*('CONTROL MASTER'!$AA$2:$AA$495&lt;=2)*('CONTROL MASTER'!$AC$2:$AC$495&gt;=2))*ROW('CONTROL MASTER'!$S$2:$S$495))-(ROW('CONTROL MASTER'!#REF!)-1)))&amp;TRIM(MID(SUBSTITUTE(SUBSTITUTE(INDEX('CONTROL MASTER'!$N$2:$N$495,(SUMPRODUCT((('CONTROL MASTER'!$S$2:$S$495=2)*('CONTROL MASTER'!$Z$2:$Z$495&lt;=8)*('CONTROL MASTER'!$AB$2:$AB$495&gt;=8)*('CONTROL MASTER'!$AA$2:$AA$495&lt;=2)*('CONTROL MASTER'!$AC$2:$AC$495&gt;=2))*ROW('CONTROL MASTER'!$S$2:$S$495))-(ROW('CONTROL MASTER'!#REF!)-1))),":",","),",",REPT(" ",50)),(((INDEX('CONTROL MASTER'!$Y$2:$Y$495,(SUMPRODUCT((('CONTROL MASTER'!$S$2:$S$495=2)*('CONTROL MASTER'!$Z$2:$Z$495&lt;=8)*('CONTROL MASTER'!$AB$2:$AB$495&gt;=8)*('CONTROL MASTER'!$AA$2:$AA$495&lt;=2)*('CONTROL MASTER'!$AC$2:$AC$495&gt;=2))*ROW('CONTROL MASTER'!$S$2:$S$495))-(ROW('CONTROL MASTER'!#REF!)-1)))+((8-INDEX('CONTROL MASTER'!$Z$2:$Z$495,(SUMPRODUCT((('CONTROL MASTER'!$S$2:$S$495=2)*('CONTROL MASTER'!$Z$2:$Z$495&lt;=8)*('CONTROL MASTER'!$AB$2:$AB$495&gt;=8)*('CONTROL MASTER'!$AA$2:$AA$495&lt;=2)*('CONTROL MASTER'!$AC$2:$AC$495&gt;=2))*ROW('CONTROL MASTER'!$S$2:$S$495))-(ROW('CONTROL MASTER'!#REF!)-1))))*(INDEX('CONTROL MASTER'!$AC$2:$AC$495,(SUMPRODUCT((('CONTROL MASTER'!$S$2:$S$495=2)*('CONTROL MASTER'!$Z$2:$Z$495&lt;=8)*('CONTROL MASTER'!$AB$2:$AB$495&gt;=8)*('CONTROL MASTER'!$AA$2:$AA$495&lt;=2)*('CONTROL MASTER'!$AC$2:$AC$495&gt;=2))*ROW('CONTROL MASTER'!$S$2:$S$495))-(ROW('CONTROL MASTER'!#REF!)-1)))-INDEX('CONTROL MASTER'!$AA$2:$AA$495,(SUMPRODUCT((('CONTROL MASTER'!$S$2:$S$495=2)*('CONTROL MASTER'!$Z$2:$Z$495&lt;=8)*('CONTROL MASTER'!$AB$2:$AB$495&gt;=8)*('CONTROL MASTER'!$AA$2:$AA$495&lt;=2)*('CONTROL MASTER'!$AC$2:$AC$495&gt;=2))*ROW('CONTROL MASTER'!$S$2:$S$495))-(ROW('CONTROL MASTER'!#REF!)-1)))+1)+(2-INDEX('CONTROL MASTER'!$AA$2:$AA$495,(SUMPRODUCT((('CONTROL MASTER'!$S$2:$S$495=2)*('CONTROL MASTER'!$Z$2:$Z$495&lt;=8)*('CONTROL MASTER'!$AB$2:$AB$495&gt;=8)*('CONTROL MASTER'!$AA$2:$AA$495&lt;=2)*('CONTROL MASTER'!$AC$2:$AC$495&gt;=2))*ROW('CONTROL MASTER'!$S$2:$S$495))-(ROW('CONTROL MASTER'!#REF!)-1))))+1)))-1)*50+1,50))&amp;"_"&amp;INDEX('CONTROL MASTER'!$P$2:$P$495,(SUMPRODUCT((('CONTROL MASTER'!$S$2:$S$495=2)*('CONTROL MASTER'!$Z$2:$Z$495&lt;=8)*('CONTROL MASTER'!$AB$2:$AB$495&gt;=8)*('CONTROL MASTER'!$AA$2:$AA$495&lt;=2)*('CONTROL MASTER'!$AC$2:$AC$495&gt;=2))*ROW('CONTROL MASTER'!$S$2:$S$495))-(ROW('CONTROL MASTER'!#REF!)-1))),"")),"")</f>
        <v/>
      </c>
      <c r="D24" s="10" t="str">
        <f>IFERROR(IF(SUMPRODUCT((('CONTROL MASTER'!$S$2:$S$495=2)*('CONTROL MASTER'!$T$2:$T$495&lt;=8)*('CONTROL MASTER'!$V$2:$V$495&gt;=8)*('CONTROL MASTER'!$U$2:$U$495&lt;=3)*('CONTROL MASTER'!$W$2:$W$495&gt;=3))*ROW('CONTROL MASTER'!$S$2:$S$495))&gt;0,INDEX('CONTROL MASTER'!$X$2:$X$495,(SUMPRODUCT((('CONTROL MASTER'!$S$2:$S$495=2)*('CONTROL MASTER'!$T$2:$T$495&lt;=8)*('CONTROL MASTER'!$V$2:$V$495&gt;=8)*('CONTROL MASTER'!$U$2:$U$495&lt;=3)*('CONTROL MASTER'!$W$2:$W$495&gt;=3))*ROW('CONTROL MASTER'!$S$2:$S$495))-(ROW('CONTROL MASTER'!#REF!)-1)))&amp;TRIM(MID(SUBSTITUTE(SUBSTITUTE(INDEX('CONTROL MASTER'!$N$2:$N$495,(SUMPRODUCT((('CONTROL MASTER'!$S$2:$S$495=2)*('CONTROL MASTER'!$T$2:$T$495&lt;=8)*('CONTROL MASTER'!$V$2:$V$495&gt;=8)*('CONTROL MASTER'!$U$2:$U$495&lt;=3)*('CONTROL MASTER'!$W$2:$W$495&gt;=3))*ROW('CONTROL MASTER'!$S$2:$S$495))-(ROW('CONTROL MASTER'!#REF!)-1))),":",","),",",REPT(" ",50)),((((8-INDEX('CONTROL MASTER'!$T$2:$T$495,(SUMPRODUCT((('CONTROL MASTER'!$S$2:$S$495=2)*('CONTROL MASTER'!$T$2:$T$495&lt;=8)*('CONTROL MASTER'!$V$2:$V$495&gt;=8)*('CONTROL MASTER'!$U$2:$U$495&lt;=3)*('CONTROL MASTER'!$W$2:$W$495&gt;=3))*ROW('CONTROL MASTER'!$S$2:$S$495))-(ROW('CONTROL MASTER'!#REF!)-1))))*(INDEX('CONTROL MASTER'!$W$2:$W$495,(SUMPRODUCT((('CONTROL MASTER'!$S$2:$S$495=2)*('CONTROL MASTER'!$T$2:$T$495&lt;=8)*('CONTROL MASTER'!$V$2:$V$495&gt;=8)*('CONTROL MASTER'!$U$2:$U$495&lt;=3)*('CONTROL MASTER'!$W$2:$W$495&gt;=3))*ROW('CONTROL MASTER'!$S$2:$S$495))-(ROW('CONTROL MASTER'!#REF!)-1)))-INDEX('CONTROL MASTER'!$U$2:$U$495,(SUMPRODUCT((('CONTROL MASTER'!$S$2:$S$495=2)*('CONTROL MASTER'!$T$2:$T$495&lt;=8)*('CONTROL MASTER'!$V$2:$V$495&gt;=8)*('CONTROL MASTER'!$U$2:$U$495&lt;=3)*('CONTROL MASTER'!$W$2:$W$495&gt;=3))*ROW('CONTROL MASTER'!$S$2:$S$495))-(ROW('CONTROL MASTER'!#REF!)-1)))+1)+(3-INDEX('CONTROL MASTER'!$U$2:$U$495,(SUMPRODUCT((('CONTROL MASTER'!$S$2:$S$495=2)*('CONTROL MASTER'!$T$2:$T$495&lt;=8)*('CONTROL MASTER'!$V$2:$V$495&gt;=8)*('CONTROL MASTER'!$U$2:$U$495&lt;=3)*('CONTROL MASTER'!$W$2:$W$495&gt;=3))*ROW('CONTROL MASTER'!$S$2:$S$495))-(ROW('CONTROL MASTER'!#REF!)-1))))+1))-1)*50+1,50))&amp;"_"&amp;INDEX('CONTROL MASTER'!$P$2:$P$495,(SUMPRODUCT((('CONTROL MASTER'!$S$2:$S$495=2)*('CONTROL MASTER'!$T$2:$T$495&lt;=8)*('CONTROL MASTER'!$V$2:$V$495&gt;=8)*('CONTROL MASTER'!$U$2:$U$495&lt;=3)*('CONTROL MASTER'!$W$2:$W$495&gt;=3))*ROW('CONTROL MASTER'!$S$2:$S$495))-(ROW('CONTROL MASTER'!#REF!)-1))),IF(SUMPRODUCT((('CONTROL MASTER'!$S$2:$S$495=2)*('CONTROL MASTER'!$Z$2:$Z$495&lt;=8)*('CONTROL MASTER'!$AB$2:$AB$495&gt;=8)*('CONTROL MASTER'!$AA$2:$AA$495&lt;=3)*('CONTROL MASTER'!$AC$2:$AC$495&gt;=3))*ROW('CONTROL MASTER'!$S$2:$S$495))&gt;0,INDEX('CONTROL MASTER'!$X$2:$X$495,(SUMPRODUCT((('CONTROL MASTER'!$S$2:$S$495=2)*('CONTROL MASTER'!$Z$2:$Z$495&lt;=8)*('CONTROL MASTER'!$AB$2:$AB$495&gt;=8)*('CONTROL MASTER'!$AA$2:$AA$495&lt;=3)*('CONTROL MASTER'!$AC$2:$AC$495&gt;=3))*ROW('CONTROL MASTER'!$S$2:$S$495))-(ROW('CONTROL MASTER'!#REF!)-1)))&amp;TRIM(MID(SUBSTITUTE(SUBSTITUTE(INDEX('CONTROL MASTER'!$N$2:$N$495,(SUMPRODUCT((('CONTROL MASTER'!$S$2:$S$495=2)*('CONTROL MASTER'!$Z$2:$Z$495&lt;=8)*('CONTROL MASTER'!$AB$2:$AB$495&gt;=8)*('CONTROL MASTER'!$AA$2:$AA$495&lt;=3)*('CONTROL MASTER'!$AC$2:$AC$495&gt;=3))*ROW('CONTROL MASTER'!$S$2:$S$495))-(ROW('CONTROL MASTER'!#REF!)-1))),":",","),",",REPT(" ",50)),(((INDEX('CONTROL MASTER'!$Y$2:$Y$495,(SUMPRODUCT((('CONTROL MASTER'!$S$2:$S$495=2)*('CONTROL MASTER'!$Z$2:$Z$495&lt;=8)*('CONTROL MASTER'!$AB$2:$AB$495&gt;=8)*('CONTROL MASTER'!$AA$2:$AA$495&lt;=3)*('CONTROL MASTER'!$AC$2:$AC$495&gt;=3))*ROW('CONTROL MASTER'!$S$2:$S$495))-(ROW('CONTROL MASTER'!#REF!)-1)))+((8-INDEX('CONTROL MASTER'!$Z$2:$Z$495,(SUMPRODUCT((('CONTROL MASTER'!$S$2:$S$495=2)*('CONTROL MASTER'!$Z$2:$Z$495&lt;=8)*('CONTROL MASTER'!$AB$2:$AB$495&gt;=8)*('CONTROL MASTER'!$AA$2:$AA$495&lt;=3)*('CONTROL MASTER'!$AC$2:$AC$495&gt;=3))*ROW('CONTROL MASTER'!$S$2:$S$495))-(ROW('CONTROL MASTER'!#REF!)-1))))*(INDEX('CONTROL MASTER'!$AC$2:$AC$495,(SUMPRODUCT((('CONTROL MASTER'!$S$2:$S$495=2)*('CONTROL MASTER'!$Z$2:$Z$495&lt;=8)*('CONTROL MASTER'!$AB$2:$AB$495&gt;=8)*('CONTROL MASTER'!$AA$2:$AA$495&lt;=3)*('CONTROL MASTER'!$AC$2:$AC$495&gt;=3))*ROW('CONTROL MASTER'!$S$2:$S$495))-(ROW('CONTROL MASTER'!#REF!)-1)))-INDEX('CONTROL MASTER'!$AA$2:$AA$495,(SUMPRODUCT((('CONTROL MASTER'!$S$2:$S$495=2)*('CONTROL MASTER'!$Z$2:$Z$495&lt;=8)*('CONTROL MASTER'!$AB$2:$AB$495&gt;=8)*('CONTROL MASTER'!$AA$2:$AA$495&lt;=3)*('CONTROL MASTER'!$AC$2:$AC$495&gt;=3))*ROW('CONTROL MASTER'!$S$2:$S$495))-(ROW('CONTROL MASTER'!#REF!)-1)))+1)+(3-INDEX('CONTROL MASTER'!$AA$2:$AA$495,(SUMPRODUCT((('CONTROL MASTER'!$S$2:$S$495=2)*('CONTROL MASTER'!$Z$2:$Z$495&lt;=8)*('CONTROL MASTER'!$AB$2:$AB$495&gt;=8)*('CONTROL MASTER'!$AA$2:$AA$495&lt;=3)*('CONTROL MASTER'!$AC$2:$AC$495&gt;=3))*ROW('CONTROL MASTER'!$S$2:$S$495))-(ROW('CONTROL MASTER'!#REF!)-1))))+1)))-1)*50+1,50))&amp;"_"&amp;INDEX('CONTROL MASTER'!$P$2:$P$495,(SUMPRODUCT((('CONTROL MASTER'!$S$2:$S$495=2)*('CONTROL MASTER'!$Z$2:$Z$495&lt;=8)*('CONTROL MASTER'!$AB$2:$AB$495&gt;=8)*('CONTROL MASTER'!$AA$2:$AA$495&lt;=3)*('CONTROL MASTER'!$AC$2:$AC$495&gt;=3))*ROW('CONTROL MASTER'!$S$2:$S$495))-(ROW('CONTROL MASTER'!#REF!)-1))),"")),"")</f>
        <v/>
      </c>
      <c r="E24" s="10" t="str">
        <f>IFERROR(IF(SUMPRODUCT((('CONTROL MASTER'!$S$2:$S$495=2)*('CONTROL MASTER'!$T$2:$T$495&lt;=8)*('CONTROL MASTER'!$V$2:$V$495&gt;=8)*('CONTROL MASTER'!$U$2:$U$495&lt;=4)*('CONTROL MASTER'!$W$2:$W$495&gt;=4))*ROW('CONTROL MASTER'!$S$2:$S$495))&gt;0,INDEX('CONTROL MASTER'!$X$2:$X$495,(SUMPRODUCT((('CONTROL MASTER'!$S$2:$S$495=2)*('CONTROL MASTER'!$T$2:$T$495&lt;=8)*('CONTROL MASTER'!$V$2:$V$495&gt;=8)*('CONTROL MASTER'!$U$2:$U$495&lt;=4)*('CONTROL MASTER'!$W$2:$W$495&gt;=4))*ROW('CONTROL MASTER'!$S$2:$S$495))-(ROW('CONTROL MASTER'!#REF!)-1)))&amp;TRIM(MID(SUBSTITUTE(SUBSTITUTE(INDEX('CONTROL MASTER'!$N$2:$N$495,(SUMPRODUCT((('CONTROL MASTER'!$S$2:$S$495=2)*('CONTROL MASTER'!$T$2:$T$495&lt;=8)*('CONTROL MASTER'!$V$2:$V$495&gt;=8)*('CONTROL MASTER'!$U$2:$U$495&lt;=4)*('CONTROL MASTER'!$W$2:$W$495&gt;=4))*ROW('CONTROL MASTER'!$S$2:$S$495))-(ROW('CONTROL MASTER'!#REF!)-1))),":",","),",",REPT(" ",50)),((((8-INDEX('CONTROL MASTER'!$T$2:$T$495,(SUMPRODUCT((('CONTROL MASTER'!$S$2:$S$495=2)*('CONTROL MASTER'!$T$2:$T$495&lt;=8)*('CONTROL MASTER'!$V$2:$V$495&gt;=8)*('CONTROL MASTER'!$U$2:$U$495&lt;=4)*('CONTROL MASTER'!$W$2:$W$495&gt;=4))*ROW('CONTROL MASTER'!$S$2:$S$495))-(ROW('CONTROL MASTER'!#REF!)-1))))*(INDEX('CONTROL MASTER'!$W$2:$W$495,(SUMPRODUCT((('CONTROL MASTER'!$S$2:$S$495=2)*('CONTROL MASTER'!$T$2:$T$495&lt;=8)*('CONTROL MASTER'!$V$2:$V$495&gt;=8)*('CONTROL MASTER'!$U$2:$U$495&lt;=4)*('CONTROL MASTER'!$W$2:$W$495&gt;=4))*ROW('CONTROL MASTER'!$S$2:$S$495))-(ROW('CONTROL MASTER'!#REF!)-1)))-INDEX('CONTROL MASTER'!$U$2:$U$495,(SUMPRODUCT((('CONTROL MASTER'!$S$2:$S$495=2)*('CONTROL MASTER'!$T$2:$T$495&lt;=8)*('CONTROL MASTER'!$V$2:$V$495&gt;=8)*('CONTROL MASTER'!$U$2:$U$495&lt;=4)*('CONTROL MASTER'!$W$2:$W$495&gt;=4))*ROW('CONTROL MASTER'!$S$2:$S$495))-(ROW('CONTROL MASTER'!#REF!)-1)))+1)+(4-INDEX('CONTROL MASTER'!$U$2:$U$495,(SUMPRODUCT((('CONTROL MASTER'!$S$2:$S$495=2)*('CONTROL MASTER'!$T$2:$T$495&lt;=8)*('CONTROL MASTER'!$V$2:$V$495&gt;=8)*('CONTROL MASTER'!$U$2:$U$495&lt;=4)*('CONTROL MASTER'!$W$2:$W$495&gt;=4))*ROW('CONTROL MASTER'!$S$2:$S$495))-(ROW('CONTROL MASTER'!#REF!)-1))))+1))-1)*50+1,50))&amp;"_"&amp;INDEX('CONTROL MASTER'!$P$2:$P$495,(SUMPRODUCT((('CONTROL MASTER'!$S$2:$S$495=2)*('CONTROL MASTER'!$T$2:$T$495&lt;=8)*('CONTROL MASTER'!$V$2:$V$495&gt;=8)*('CONTROL MASTER'!$U$2:$U$495&lt;=4)*('CONTROL MASTER'!$W$2:$W$495&gt;=4))*ROW('CONTROL MASTER'!$S$2:$S$495))-(ROW('CONTROL MASTER'!#REF!)-1))),IF(SUMPRODUCT((('CONTROL MASTER'!$S$2:$S$495=2)*('CONTROL MASTER'!$Z$2:$Z$495&lt;=8)*('CONTROL MASTER'!$AB$2:$AB$495&gt;=8)*('CONTROL MASTER'!$AA$2:$AA$495&lt;=4)*('CONTROL MASTER'!$AC$2:$AC$495&gt;=4))*ROW('CONTROL MASTER'!$S$2:$S$495))&gt;0,INDEX('CONTROL MASTER'!$X$2:$X$495,(SUMPRODUCT((('CONTROL MASTER'!$S$2:$S$495=2)*('CONTROL MASTER'!$Z$2:$Z$495&lt;=8)*('CONTROL MASTER'!$AB$2:$AB$495&gt;=8)*('CONTROL MASTER'!$AA$2:$AA$495&lt;=4)*('CONTROL MASTER'!$AC$2:$AC$495&gt;=4))*ROW('CONTROL MASTER'!$S$2:$S$495))-(ROW('CONTROL MASTER'!#REF!)-1)))&amp;TRIM(MID(SUBSTITUTE(SUBSTITUTE(INDEX('CONTROL MASTER'!$N$2:$N$495,(SUMPRODUCT((('CONTROL MASTER'!$S$2:$S$495=2)*('CONTROL MASTER'!$Z$2:$Z$495&lt;=8)*('CONTROL MASTER'!$AB$2:$AB$495&gt;=8)*('CONTROL MASTER'!$AA$2:$AA$495&lt;=4)*('CONTROL MASTER'!$AC$2:$AC$495&gt;=4))*ROW('CONTROL MASTER'!$S$2:$S$495))-(ROW('CONTROL MASTER'!#REF!)-1))),":",","),",",REPT(" ",50)),(((INDEX('CONTROL MASTER'!$Y$2:$Y$495,(SUMPRODUCT((('CONTROL MASTER'!$S$2:$S$495=2)*('CONTROL MASTER'!$Z$2:$Z$495&lt;=8)*('CONTROL MASTER'!$AB$2:$AB$495&gt;=8)*('CONTROL MASTER'!$AA$2:$AA$495&lt;=4)*('CONTROL MASTER'!$AC$2:$AC$495&gt;=4))*ROW('CONTROL MASTER'!$S$2:$S$495))-(ROW('CONTROL MASTER'!#REF!)-1)))+((8-INDEX('CONTROL MASTER'!$Z$2:$Z$495,(SUMPRODUCT((('CONTROL MASTER'!$S$2:$S$495=2)*('CONTROL MASTER'!$Z$2:$Z$495&lt;=8)*('CONTROL MASTER'!$AB$2:$AB$495&gt;=8)*('CONTROL MASTER'!$AA$2:$AA$495&lt;=4)*('CONTROL MASTER'!$AC$2:$AC$495&gt;=4))*ROW('CONTROL MASTER'!$S$2:$S$495))-(ROW('CONTROL MASTER'!#REF!)-1))))*(INDEX('CONTROL MASTER'!$AC$2:$AC$495,(SUMPRODUCT((('CONTROL MASTER'!$S$2:$S$495=2)*('CONTROL MASTER'!$Z$2:$Z$495&lt;=8)*('CONTROL MASTER'!$AB$2:$AB$495&gt;=8)*('CONTROL MASTER'!$AA$2:$AA$495&lt;=4)*('CONTROL MASTER'!$AC$2:$AC$495&gt;=4))*ROW('CONTROL MASTER'!$S$2:$S$495))-(ROW('CONTROL MASTER'!#REF!)-1)))-INDEX('CONTROL MASTER'!$AA$2:$AA$495,(SUMPRODUCT((('CONTROL MASTER'!$S$2:$S$495=2)*('CONTROL MASTER'!$Z$2:$Z$495&lt;=8)*('CONTROL MASTER'!$AB$2:$AB$495&gt;=8)*('CONTROL MASTER'!$AA$2:$AA$495&lt;=4)*('CONTROL MASTER'!$AC$2:$AC$495&gt;=4))*ROW('CONTROL MASTER'!$S$2:$S$495))-(ROW('CONTROL MASTER'!#REF!)-1)))+1)+(4-INDEX('CONTROL MASTER'!$AA$2:$AA$495,(SUMPRODUCT((('CONTROL MASTER'!$S$2:$S$495=2)*('CONTROL MASTER'!$Z$2:$Z$495&lt;=8)*('CONTROL MASTER'!$AB$2:$AB$495&gt;=8)*('CONTROL MASTER'!$AA$2:$AA$495&lt;=4)*('CONTROL MASTER'!$AC$2:$AC$495&gt;=4))*ROW('CONTROL MASTER'!$S$2:$S$495))-(ROW('CONTROL MASTER'!#REF!)-1))))+1)))-1)*50+1,50))&amp;"_"&amp;INDEX('CONTROL MASTER'!$P$2:$P$495,(SUMPRODUCT((('CONTROL MASTER'!$S$2:$S$495=2)*('CONTROL MASTER'!$Z$2:$Z$495&lt;=8)*('CONTROL MASTER'!$AB$2:$AB$495&gt;=8)*('CONTROL MASTER'!$AA$2:$AA$495&lt;=4)*('CONTROL MASTER'!$AC$2:$AC$495&gt;=4))*ROW('CONTROL MASTER'!$S$2:$S$495))-(ROW('CONTROL MASTER'!#REF!)-1))),"")),"")</f>
        <v/>
      </c>
      <c r="F24" s="10" t="str">
        <f>IFERROR(IF(SUMPRODUCT((('CONTROL MASTER'!$S$2:$S$495=2)*('CONTROL MASTER'!$T$2:$T$495&lt;=8)*('CONTROL MASTER'!$V$2:$V$495&gt;=8)*('CONTROL MASTER'!$U$2:$U$495&lt;=5)*('CONTROL MASTER'!$W$2:$W$495&gt;=5))*ROW('CONTROL MASTER'!$S$2:$S$495))&gt;0,INDEX('CONTROL MASTER'!$X$2:$X$495,(SUMPRODUCT((('CONTROL MASTER'!$S$2:$S$495=2)*('CONTROL MASTER'!$T$2:$T$495&lt;=8)*('CONTROL MASTER'!$V$2:$V$495&gt;=8)*('CONTROL MASTER'!$U$2:$U$495&lt;=5)*('CONTROL MASTER'!$W$2:$W$495&gt;=5))*ROW('CONTROL MASTER'!$S$2:$S$495))-(ROW('CONTROL MASTER'!#REF!)-1)))&amp;TRIM(MID(SUBSTITUTE(SUBSTITUTE(INDEX('CONTROL MASTER'!$N$2:$N$495,(SUMPRODUCT((('CONTROL MASTER'!$S$2:$S$495=2)*('CONTROL MASTER'!$T$2:$T$495&lt;=8)*('CONTROL MASTER'!$V$2:$V$495&gt;=8)*('CONTROL MASTER'!$U$2:$U$495&lt;=5)*('CONTROL MASTER'!$W$2:$W$495&gt;=5))*ROW('CONTROL MASTER'!$S$2:$S$495))-(ROW('CONTROL MASTER'!#REF!)-1))),":",","),",",REPT(" ",50)),((((8-INDEX('CONTROL MASTER'!$T$2:$T$495,(SUMPRODUCT((('CONTROL MASTER'!$S$2:$S$495=2)*('CONTROL MASTER'!$T$2:$T$495&lt;=8)*('CONTROL MASTER'!$V$2:$V$495&gt;=8)*('CONTROL MASTER'!$U$2:$U$495&lt;=5)*('CONTROL MASTER'!$W$2:$W$495&gt;=5))*ROW('CONTROL MASTER'!$S$2:$S$495))-(ROW('CONTROL MASTER'!#REF!)-1))))*(INDEX('CONTROL MASTER'!$W$2:$W$495,(SUMPRODUCT((('CONTROL MASTER'!$S$2:$S$495=2)*('CONTROL MASTER'!$T$2:$T$495&lt;=8)*('CONTROL MASTER'!$V$2:$V$495&gt;=8)*('CONTROL MASTER'!$U$2:$U$495&lt;=5)*('CONTROL MASTER'!$W$2:$W$495&gt;=5))*ROW('CONTROL MASTER'!$S$2:$S$495))-(ROW('CONTROL MASTER'!#REF!)-1)))-INDEX('CONTROL MASTER'!$U$2:$U$495,(SUMPRODUCT((('CONTROL MASTER'!$S$2:$S$495=2)*('CONTROL MASTER'!$T$2:$T$495&lt;=8)*('CONTROL MASTER'!$V$2:$V$495&gt;=8)*('CONTROL MASTER'!$U$2:$U$495&lt;=5)*('CONTROL MASTER'!$W$2:$W$495&gt;=5))*ROW('CONTROL MASTER'!$S$2:$S$495))-(ROW('CONTROL MASTER'!#REF!)-1)))+1)+(5-INDEX('CONTROL MASTER'!$U$2:$U$495,(SUMPRODUCT((('CONTROL MASTER'!$S$2:$S$495=2)*('CONTROL MASTER'!$T$2:$T$495&lt;=8)*('CONTROL MASTER'!$V$2:$V$495&gt;=8)*('CONTROL MASTER'!$U$2:$U$495&lt;=5)*('CONTROL MASTER'!$W$2:$W$495&gt;=5))*ROW('CONTROL MASTER'!$S$2:$S$495))-(ROW('CONTROL MASTER'!#REF!)-1))))+1))-1)*50+1,50))&amp;"_"&amp;INDEX('CONTROL MASTER'!$P$2:$P$495,(SUMPRODUCT((('CONTROL MASTER'!$S$2:$S$495=2)*('CONTROL MASTER'!$T$2:$T$495&lt;=8)*('CONTROL MASTER'!$V$2:$V$495&gt;=8)*('CONTROL MASTER'!$U$2:$U$495&lt;=5)*('CONTROL MASTER'!$W$2:$W$495&gt;=5))*ROW('CONTROL MASTER'!$S$2:$S$495))-(ROW('CONTROL MASTER'!#REF!)-1))),IF(SUMPRODUCT((('CONTROL MASTER'!$S$2:$S$495=2)*('CONTROL MASTER'!$Z$2:$Z$495&lt;=8)*('CONTROL MASTER'!$AB$2:$AB$495&gt;=8)*('CONTROL MASTER'!$AA$2:$AA$495&lt;=5)*('CONTROL MASTER'!$AC$2:$AC$495&gt;=5))*ROW('CONTROL MASTER'!$S$2:$S$495))&gt;0,INDEX('CONTROL MASTER'!$X$2:$X$495,(SUMPRODUCT((('CONTROL MASTER'!$S$2:$S$495=2)*('CONTROL MASTER'!$Z$2:$Z$495&lt;=8)*('CONTROL MASTER'!$AB$2:$AB$495&gt;=8)*('CONTROL MASTER'!$AA$2:$AA$495&lt;=5)*('CONTROL MASTER'!$AC$2:$AC$495&gt;=5))*ROW('CONTROL MASTER'!$S$2:$S$495))-(ROW('CONTROL MASTER'!#REF!)-1)))&amp;TRIM(MID(SUBSTITUTE(SUBSTITUTE(INDEX('CONTROL MASTER'!$N$2:$N$495,(SUMPRODUCT((('CONTROL MASTER'!$S$2:$S$495=2)*('CONTROL MASTER'!$Z$2:$Z$495&lt;=8)*('CONTROL MASTER'!$AB$2:$AB$495&gt;=8)*('CONTROL MASTER'!$AA$2:$AA$495&lt;=5)*('CONTROL MASTER'!$AC$2:$AC$495&gt;=5))*ROW('CONTROL MASTER'!$S$2:$S$495))-(ROW('CONTROL MASTER'!#REF!)-1))),":",","),",",REPT(" ",50)),(((INDEX('CONTROL MASTER'!$Y$2:$Y$495,(SUMPRODUCT((('CONTROL MASTER'!$S$2:$S$495=2)*('CONTROL MASTER'!$Z$2:$Z$495&lt;=8)*('CONTROL MASTER'!$AB$2:$AB$495&gt;=8)*('CONTROL MASTER'!$AA$2:$AA$495&lt;=5)*('CONTROL MASTER'!$AC$2:$AC$495&gt;=5))*ROW('CONTROL MASTER'!$S$2:$S$495))-(ROW('CONTROL MASTER'!#REF!)-1)))+((8-INDEX('CONTROL MASTER'!$Z$2:$Z$495,(SUMPRODUCT((('CONTROL MASTER'!$S$2:$S$495=2)*('CONTROL MASTER'!$Z$2:$Z$495&lt;=8)*('CONTROL MASTER'!$AB$2:$AB$495&gt;=8)*('CONTROL MASTER'!$AA$2:$AA$495&lt;=5)*('CONTROL MASTER'!$AC$2:$AC$495&gt;=5))*ROW('CONTROL MASTER'!$S$2:$S$495))-(ROW('CONTROL MASTER'!#REF!)-1))))*(INDEX('CONTROL MASTER'!$AC$2:$AC$495,(SUMPRODUCT((('CONTROL MASTER'!$S$2:$S$495=2)*('CONTROL MASTER'!$Z$2:$Z$495&lt;=8)*('CONTROL MASTER'!$AB$2:$AB$495&gt;=8)*('CONTROL MASTER'!$AA$2:$AA$495&lt;=5)*('CONTROL MASTER'!$AC$2:$AC$495&gt;=5))*ROW('CONTROL MASTER'!$S$2:$S$495))-(ROW('CONTROL MASTER'!#REF!)-1)))-INDEX('CONTROL MASTER'!$AA$2:$AA$495,(SUMPRODUCT((('CONTROL MASTER'!$S$2:$S$495=2)*('CONTROL MASTER'!$Z$2:$Z$495&lt;=8)*('CONTROL MASTER'!$AB$2:$AB$495&gt;=8)*('CONTROL MASTER'!$AA$2:$AA$495&lt;=5)*('CONTROL MASTER'!$AC$2:$AC$495&gt;=5))*ROW('CONTROL MASTER'!$S$2:$S$495))-(ROW('CONTROL MASTER'!#REF!)-1)))+1)+(5-INDEX('CONTROL MASTER'!$AA$2:$AA$495,(SUMPRODUCT((('CONTROL MASTER'!$S$2:$S$495=2)*('CONTROL MASTER'!$Z$2:$Z$495&lt;=8)*('CONTROL MASTER'!$AB$2:$AB$495&gt;=8)*('CONTROL MASTER'!$AA$2:$AA$495&lt;=5)*('CONTROL MASTER'!$AC$2:$AC$495&gt;=5))*ROW('CONTROL MASTER'!$S$2:$S$495))-(ROW('CONTROL MASTER'!#REF!)-1))))+1)))-1)*50+1,50))&amp;"_"&amp;INDEX('CONTROL MASTER'!$P$2:$P$495,(SUMPRODUCT((('CONTROL MASTER'!$S$2:$S$495=2)*('CONTROL MASTER'!$Z$2:$Z$495&lt;=8)*('CONTROL MASTER'!$AB$2:$AB$495&gt;=8)*('CONTROL MASTER'!$AA$2:$AA$495&lt;=5)*('CONTROL MASTER'!$AC$2:$AC$495&gt;=5))*ROW('CONTROL MASTER'!$S$2:$S$495))-(ROW('CONTROL MASTER'!#REF!)-1))),"")),"")</f>
        <v/>
      </c>
      <c r="G24" s="10" t="str">
        <f>IFERROR(IF(SUMPRODUCT((('CONTROL MASTER'!$S$2:$S$495=2)*('CONTROL MASTER'!$T$2:$T$495&lt;=8)*('CONTROL MASTER'!$V$2:$V$495&gt;=8)*('CONTROL MASTER'!$U$2:$U$495&lt;=6)*('CONTROL MASTER'!$W$2:$W$495&gt;=6))*ROW('CONTROL MASTER'!$S$2:$S$495))&gt;0,INDEX('CONTROL MASTER'!$X$2:$X$495,(SUMPRODUCT((('CONTROL MASTER'!$S$2:$S$495=2)*('CONTROL MASTER'!$T$2:$T$495&lt;=8)*('CONTROL MASTER'!$V$2:$V$495&gt;=8)*('CONTROL MASTER'!$U$2:$U$495&lt;=6)*('CONTROL MASTER'!$W$2:$W$495&gt;=6))*ROW('CONTROL MASTER'!$S$2:$S$495))-(ROW('CONTROL MASTER'!#REF!)-1)))&amp;TRIM(MID(SUBSTITUTE(SUBSTITUTE(INDEX('CONTROL MASTER'!$N$2:$N$495,(SUMPRODUCT((('CONTROL MASTER'!$S$2:$S$495=2)*('CONTROL MASTER'!$T$2:$T$495&lt;=8)*('CONTROL MASTER'!$V$2:$V$495&gt;=8)*('CONTROL MASTER'!$U$2:$U$495&lt;=6)*('CONTROL MASTER'!$W$2:$W$495&gt;=6))*ROW('CONTROL MASTER'!$S$2:$S$495))-(ROW('CONTROL MASTER'!#REF!)-1))),":",","),",",REPT(" ",50)),((((8-INDEX('CONTROL MASTER'!$T$2:$T$495,(SUMPRODUCT((('CONTROL MASTER'!$S$2:$S$495=2)*('CONTROL MASTER'!$T$2:$T$495&lt;=8)*('CONTROL MASTER'!$V$2:$V$495&gt;=8)*('CONTROL MASTER'!$U$2:$U$495&lt;=6)*('CONTROL MASTER'!$W$2:$W$495&gt;=6))*ROW('CONTROL MASTER'!$S$2:$S$495))-(ROW('CONTROL MASTER'!#REF!)-1))))*(INDEX('CONTROL MASTER'!$W$2:$W$495,(SUMPRODUCT((('CONTROL MASTER'!$S$2:$S$495=2)*('CONTROL MASTER'!$T$2:$T$495&lt;=8)*('CONTROL MASTER'!$V$2:$V$495&gt;=8)*('CONTROL MASTER'!$U$2:$U$495&lt;=6)*('CONTROL MASTER'!$W$2:$W$495&gt;=6))*ROW('CONTROL MASTER'!$S$2:$S$495))-(ROW('CONTROL MASTER'!#REF!)-1)))-INDEX('CONTROL MASTER'!$U$2:$U$495,(SUMPRODUCT((('CONTROL MASTER'!$S$2:$S$495=2)*('CONTROL MASTER'!$T$2:$T$495&lt;=8)*('CONTROL MASTER'!$V$2:$V$495&gt;=8)*('CONTROL MASTER'!$U$2:$U$495&lt;=6)*('CONTROL MASTER'!$W$2:$W$495&gt;=6))*ROW('CONTROL MASTER'!$S$2:$S$495))-(ROW('CONTROL MASTER'!#REF!)-1)))+1)+(6-INDEX('CONTROL MASTER'!$U$2:$U$495,(SUMPRODUCT((('CONTROL MASTER'!$S$2:$S$495=2)*('CONTROL MASTER'!$T$2:$T$495&lt;=8)*('CONTROL MASTER'!$V$2:$V$495&gt;=8)*('CONTROL MASTER'!$U$2:$U$495&lt;=6)*('CONTROL MASTER'!$W$2:$W$495&gt;=6))*ROW('CONTROL MASTER'!$S$2:$S$495))-(ROW('CONTROL MASTER'!#REF!)-1))))+1))-1)*50+1,50))&amp;"_"&amp;INDEX('CONTROL MASTER'!$P$2:$P$495,(SUMPRODUCT((('CONTROL MASTER'!$S$2:$S$495=2)*('CONTROL MASTER'!$T$2:$T$495&lt;=8)*('CONTROL MASTER'!$V$2:$V$495&gt;=8)*('CONTROL MASTER'!$U$2:$U$495&lt;=6)*('CONTROL MASTER'!$W$2:$W$495&gt;=6))*ROW('CONTROL MASTER'!$S$2:$S$495))-(ROW('CONTROL MASTER'!#REF!)-1))),IF(SUMPRODUCT((('CONTROL MASTER'!$S$2:$S$495=2)*('CONTROL MASTER'!$Z$2:$Z$495&lt;=8)*('CONTROL MASTER'!$AB$2:$AB$495&gt;=8)*('CONTROL MASTER'!$AA$2:$AA$495&lt;=6)*('CONTROL MASTER'!$AC$2:$AC$495&gt;=6))*ROW('CONTROL MASTER'!$S$2:$S$495))&gt;0,INDEX('CONTROL MASTER'!$X$2:$X$495,(SUMPRODUCT((('CONTROL MASTER'!$S$2:$S$495=2)*('CONTROL MASTER'!$Z$2:$Z$495&lt;=8)*('CONTROL MASTER'!$AB$2:$AB$495&gt;=8)*('CONTROL MASTER'!$AA$2:$AA$495&lt;=6)*('CONTROL MASTER'!$AC$2:$AC$495&gt;=6))*ROW('CONTROL MASTER'!$S$2:$S$495))-(ROW('CONTROL MASTER'!#REF!)-1)))&amp;TRIM(MID(SUBSTITUTE(SUBSTITUTE(INDEX('CONTROL MASTER'!$N$2:$N$495,(SUMPRODUCT((('CONTROL MASTER'!$S$2:$S$495=2)*('CONTROL MASTER'!$Z$2:$Z$495&lt;=8)*('CONTROL MASTER'!$AB$2:$AB$495&gt;=8)*('CONTROL MASTER'!$AA$2:$AA$495&lt;=6)*('CONTROL MASTER'!$AC$2:$AC$495&gt;=6))*ROW('CONTROL MASTER'!$S$2:$S$495))-(ROW('CONTROL MASTER'!#REF!)-1))),":",","),",",REPT(" ",50)),(((INDEX('CONTROL MASTER'!$Y$2:$Y$495,(SUMPRODUCT((('CONTROL MASTER'!$S$2:$S$495=2)*('CONTROL MASTER'!$Z$2:$Z$495&lt;=8)*('CONTROL MASTER'!$AB$2:$AB$495&gt;=8)*('CONTROL MASTER'!$AA$2:$AA$495&lt;=6)*('CONTROL MASTER'!$AC$2:$AC$495&gt;=6))*ROW('CONTROL MASTER'!$S$2:$S$495))-(ROW('CONTROL MASTER'!#REF!)-1)))+((8-INDEX('CONTROL MASTER'!$Z$2:$Z$495,(SUMPRODUCT((('CONTROL MASTER'!$S$2:$S$495=2)*('CONTROL MASTER'!$Z$2:$Z$495&lt;=8)*('CONTROL MASTER'!$AB$2:$AB$495&gt;=8)*('CONTROL MASTER'!$AA$2:$AA$495&lt;=6)*('CONTROL MASTER'!$AC$2:$AC$495&gt;=6))*ROW('CONTROL MASTER'!$S$2:$S$495))-(ROW('CONTROL MASTER'!#REF!)-1))))*(INDEX('CONTROL MASTER'!$AC$2:$AC$495,(SUMPRODUCT((('CONTROL MASTER'!$S$2:$S$495=2)*('CONTROL MASTER'!$Z$2:$Z$495&lt;=8)*('CONTROL MASTER'!$AB$2:$AB$495&gt;=8)*('CONTROL MASTER'!$AA$2:$AA$495&lt;=6)*('CONTROL MASTER'!$AC$2:$AC$495&gt;=6))*ROW('CONTROL MASTER'!$S$2:$S$495))-(ROW('CONTROL MASTER'!#REF!)-1)))-INDEX('CONTROL MASTER'!$AA$2:$AA$495,(SUMPRODUCT((('CONTROL MASTER'!$S$2:$S$495=2)*('CONTROL MASTER'!$Z$2:$Z$495&lt;=8)*('CONTROL MASTER'!$AB$2:$AB$495&gt;=8)*('CONTROL MASTER'!$AA$2:$AA$495&lt;=6)*('CONTROL MASTER'!$AC$2:$AC$495&gt;=6))*ROW('CONTROL MASTER'!$S$2:$S$495))-(ROW('CONTROL MASTER'!#REF!)-1)))+1)+(6-INDEX('CONTROL MASTER'!$AA$2:$AA$495,(SUMPRODUCT((('CONTROL MASTER'!$S$2:$S$495=2)*('CONTROL MASTER'!$Z$2:$Z$495&lt;=8)*('CONTROL MASTER'!$AB$2:$AB$495&gt;=8)*('CONTROL MASTER'!$AA$2:$AA$495&lt;=6)*('CONTROL MASTER'!$AC$2:$AC$495&gt;=6))*ROW('CONTROL MASTER'!$S$2:$S$495))-(ROW('CONTROL MASTER'!#REF!)-1))))+1)))-1)*50+1,50))&amp;"_"&amp;INDEX('CONTROL MASTER'!$P$2:$P$495,(SUMPRODUCT((('CONTROL MASTER'!$S$2:$S$495=2)*('CONTROL MASTER'!$Z$2:$Z$495&lt;=8)*('CONTROL MASTER'!$AB$2:$AB$495&gt;=8)*('CONTROL MASTER'!$AA$2:$AA$495&lt;=6)*('CONTROL MASTER'!$AC$2:$AC$495&gt;=6))*ROW('CONTROL MASTER'!$S$2:$S$495))-(ROW('CONTROL MASTER'!#REF!)-1))),"")),"")</f>
        <v/>
      </c>
      <c r="H24" s="10" t="str">
        <f>IFERROR(IF(SUMPRODUCT((('CONTROL MASTER'!$S$2:$S$495=2)*('CONTROL MASTER'!$T$2:$T$495&lt;=8)*('CONTROL MASTER'!$V$2:$V$495&gt;=8)*('CONTROL MASTER'!$U$2:$U$495&lt;=7)*('CONTROL MASTER'!$W$2:$W$495&gt;=7))*ROW('CONTROL MASTER'!$S$2:$S$495))&gt;0,INDEX('CONTROL MASTER'!$X$2:$X$495,(SUMPRODUCT((('CONTROL MASTER'!$S$2:$S$495=2)*('CONTROL MASTER'!$T$2:$T$495&lt;=8)*('CONTROL MASTER'!$V$2:$V$495&gt;=8)*('CONTROL MASTER'!$U$2:$U$495&lt;=7)*('CONTROL MASTER'!$W$2:$W$495&gt;=7))*ROW('CONTROL MASTER'!$S$2:$S$495))-(ROW('CONTROL MASTER'!#REF!)-1)))&amp;TRIM(MID(SUBSTITUTE(SUBSTITUTE(INDEX('CONTROL MASTER'!$N$2:$N$495,(SUMPRODUCT((('CONTROL MASTER'!$S$2:$S$495=2)*('CONTROL MASTER'!$T$2:$T$495&lt;=8)*('CONTROL MASTER'!$V$2:$V$495&gt;=8)*('CONTROL MASTER'!$U$2:$U$495&lt;=7)*('CONTROL MASTER'!$W$2:$W$495&gt;=7))*ROW('CONTROL MASTER'!$S$2:$S$495))-(ROW('CONTROL MASTER'!#REF!)-1))),":",","),",",REPT(" ",50)),((((8-INDEX('CONTROL MASTER'!$T$2:$T$495,(SUMPRODUCT((('CONTROL MASTER'!$S$2:$S$495=2)*('CONTROL MASTER'!$T$2:$T$495&lt;=8)*('CONTROL MASTER'!$V$2:$V$495&gt;=8)*('CONTROL MASTER'!$U$2:$U$495&lt;=7)*('CONTROL MASTER'!$W$2:$W$495&gt;=7))*ROW('CONTROL MASTER'!$S$2:$S$495))-(ROW('CONTROL MASTER'!#REF!)-1))))*(INDEX('CONTROL MASTER'!$W$2:$W$495,(SUMPRODUCT((('CONTROL MASTER'!$S$2:$S$495=2)*('CONTROL MASTER'!$T$2:$T$495&lt;=8)*('CONTROL MASTER'!$V$2:$V$495&gt;=8)*('CONTROL MASTER'!$U$2:$U$495&lt;=7)*('CONTROL MASTER'!$W$2:$W$495&gt;=7))*ROW('CONTROL MASTER'!$S$2:$S$495))-(ROW('CONTROL MASTER'!#REF!)-1)))-INDEX('CONTROL MASTER'!$U$2:$U$495,(SUMPRODUCT((('CONTROL MASTER'!$S$2:$S$495=2)*('CONTROL MASTER'!$T$2:$T$495&lt;=8)*('CONTROL MASTER'!$V$2:$V$495&gt;=8)*('CONTROL MASTER'!$U$2:$U$495&lt;=7)*('CONTROL MASTER'!$W$2:$W$495&gt;=7))*ROW('CONTROL MASTER'!$S$2:$S$495))-(ROW('CONTROL MASTER'!#REF!)-1)))+1)+(7-INDEX('CONTROL MASTER'!$U$2:$U$495,(SUMPRODUCT((('CONTROL MASTER'!$S$2:$S$495=2)*('CONTROL MASTER'!$T$2:$T$495&lt;=8)*('CONTROL MASTER'!$V$2:$V$495&gt;=8)*('CONTROL MASTER'!$U$2:$U$495&lt;=7)*('CONTROL MASTER'!$W$2:$W$495&gt;=7))*ROW('CONTROL MASTER'!$S$2:$S$495))-(ROW('CONTROL MASTER'!#REF!)-1))))+1))-1)*50+1,50))&amp;"_"&amp;INDEX('CONTROL MASTER'!$P$2:$P$495,(SUMPRODUCT((('CONTROL MASTER'!$S$2:$S$495=2)*('CONTROL MASTER'!$T$2:$T$495&lt;=8)*('CONTROL MASTER'!$V$2:$V$495&gt;=8)*('CONTROL MASTER'!$U$2:$U$495&lt;=7)*('CONTROL MASTER'!$W$2:$W$495&gt;=7))*ROW('CONTROL MASTER'!$S$2:$S$495))-(ROW('CONTROL MASTER'!#REF!)-1))),IF(SUMPRODUCT((('CONTROL MASTER'!$S$2:$S$495=2)*('CONTROL MASTER'!$Z$2:$Z$495&lt;=8)*('CONTROL MASTER'!$AB$2:$AB$495&gt;=8)*('CONTROL MASTER'!$AA$2:$AA$495&lt;=7)*('CONTROL MASTER'!$AC$2:$AC$495&gt;=7))*ROW('CONTROL MASTER'!$S$2:$S$495))&gt;0,INDEX('CONTROL MASTER'!$X$2:$X$495,(SUMPRODUCT((('CONTROL MASTER'!$S$2:$S$495=2)*('CONTROL MASTER'!$Z$2:$Z$495&lt;=8)*('CONTROL MASTER'!$AB$2:$AB$495&gt;=8)*('CONTROL MASTER'!$AA$2:$AA$495&lt;=7)*('CONTROL MASTER'!$AC$2:$AC$495&gt;=7))*ROW('CONTROL MASTER'!$S$2:$S$495))-(ROW('CONTROL MASTER'!#REF!)-1)))&amp;TRIM(MID(SUBSTITUTE(SUBSTITUTE(INDEX('CONTROL MASTER'!$N$2:$N$495,(SUMPRODUCT((('CONTROL MASTER'!$S$2:$S$495=2)*('CONTROL MASTER'!$Z$2:$Z$495&lt;=8)*('CONTROL MASTER'!$AB$2:$AB$495&gt;=8)*('CONTROL MASTER'!$AA$2:$AA$495&lt;=7)*('CONTROL MASTER'!$AC$2:$AC$495&gt;=7))*ROW('CONTROL MASTER'!$S$2:$S$495))-(ROW('CONTROL MASTER'!#REF!)-1))),":",","),",",REPT(" ",50)),(((INDEX('CONTROL MASTER'!$Y$2:$Y$495,(SUMPRODUCT((('CONTROL MASTER'!$S$2:$S$495=2)*('CONTROL MASTER'!$Z$2:$Z$495&lt;=8)*('CONTROL MASTER'!$AB$2:$AB$495&gt;=8)*('CONTROL MASTER'!$AA$2:$AA$495&lt;=7)*('CONTROL MASTER'!$AC$2:$AC$495&gt;=7))*ROW('CONTROL MASTER'!$S$2:$S$495))-(ROW('CONTROL MASTER'!#REF!)-1)))+((8-INDEX('CONTROL MASTER'!$Z$2:$Z$495,(SUMPRODUCT((('CONTROL MASTER'!$S$2:$S$495=2)*('CONTROL MASTER'!$Z$2:$Z$495&lt;=8)*('CONTROL MASTER'!$AB$2:$AB$495&gt;=8)*('CONTROL MASTER'!$AA$2:$AA$495&lt;=7)*('CONTROL MASTER'!$AC$2:$AC$495&gt;=7))*ROW('CONTROL MASTER'!$S$2:$S$495))-(ROW('CONTROL MASTER'!#REF!)-1))))*(INDEX('CONTROL MASTER'!$AC$2:$AC$495,(SUMPRODUCT((('CONTROL MASTER'!$S$2:$S$495=2)*('CONTROL MASTER'!$Z$2:$Z$495&lt;=8)*('CONTROL MASTER'!$AB$2:$AB$495&gt;=8)*('CONTROL MASTER'!$AA$2:$AA$495&lt;=7)*('CONTROL MASTER'!$AC$2:$AC$495&gt;=7))*ROW('CONTROL MASTER'!$S$2:$S$495))-(ROW('CONTROL MASTER'!#REF!)-1)))-INDEX('CONTROL MASTER'!$AA$2:$AA$495,(SUMPRODUCT((('CONTROL MASTER'!$S$2:$S$495=2)*('CONTROL MASTER'!$Z$2:$Z$495&lt;=8)*('CONTROL MASTER'!$AB$2:$AB$495&gt;=8)*('CONTROL MASTER'!$AA$2:$AA$495&lt;=7)*('CONTROL MASTER'!$AC$2:$AC$495&gt;=7))*ROW('CONTROL MASTER'!$S$2:$S$495))-(ROW('CONTROL MASTER'!#REF!)-1)))+1)+(7-INDEX('CONTROL MASTER'!$AA$2:$AA$495,(SUMPRODUCT((('CONTROL MASTER'!$S$2:$S$495=2)*('CONTROL MASTER'!$Z$2:$Z$495&lt;=8)*('CONTROL MASTER'!$AB$2:$AB$495&gt;=8)*('CONTROL MASTER'!$AA$2:$AA$495&lt;=7)*('CONTROL MASTER'!$AC$2:$AC$495&gt;=7))*ROW('CONTROL MASTER'!$S$2:$S$495))-(ROW('CONTROL MASTER'!#REF!)-1))))+1)))-1)*50+1,50))&amp;"_"&amp;INDEX('CONTROL MASTER'!$P$2:$P$495,(SUMPRODUCT((('CONTROL MASTER'!$S$2:$S$495=2)*('CONTROL MASTER'!$Z$2:$Z$495&lt;=8)*('CONTROL MASTER'!$AB$2:$AB$495&gt;=8)*('CONTROL MASTER'!$AA$2:$AA$495&lt;=7)*('CONTROL MASTER'!$AC$2:$AC$495&gt;=7))*ROW('CONTROL MASTER'!$S$2:$S$495))-(ROW('CONTROL MASTER'!#REF!)-1))),"")),"")</f>
        <v/>
      </c>
      <c r="I24" s="10" t="str">
        <f>IFERROR(IF(SUMPRODUCT((('CONTROL MASTER'!$S$2:$S$495=2)*('CONTROL MASTER'!$T$2:$T$495&lt;=8)*('CONTROL MASTER'!$V$2:$V$495&gt;=8)*('CONTROL MASTER'!$U$2:$U$495&lt;=8)*('CONTROL MASTER'!$W$2:$W$495&gt;=8))*ROW('CONTROL MASTER'!$S$2:$S$495))&gt;0,INDEX('CONTROL MASTER'!$X$2:$X$495,(SUMPRODUCT((('CONTROL MASTER'!$S$2:$S$495=2)*('CONTROL MASTER'!$T$2:$T$495&lt;=8)*('CONTROL MASTER'!$V$2:$V$495&gt;=8)*('CONTROL MASTER'!$U$2:$U$495&lt;=8)*('CONTROL MASTER'!$W$2:$W$495&gt;=8))*ROW('CONTROL MASTER'!$S$2:$S$495))-(ROW('CONTROL MASTER'!#REF!)-1)))&amp;TRIM(MID(SUBSTITUTE(SUBSTITUTE(INDEX('CONTROL MASTER'!$N$2:$N$495,(SUMPRODUCT((('CONTROL MASTER'!$S$2:$S$495=2)*('CONTROL MASTER'!$T$2:$T$495&lt;=8)*('CONTROL MASTER'!$V$2:$V$495&gt;=8)*('CONTROL MASTER'!$U$2:$U$495&lt;=8)*('CONTROL MASTER'!$W$2:$W$495&gt;=8))*ROW('CONTROL MASTER'!$S$2:$S$495))-(ROW('CONTROL MASTER'!#REF!)-1))),":",","),",",REPT(" ",50)),((((8-INDEX('CONTROL MASTER'!$T$2:$T$495,(SUMPRODUCT((('CONTROL MASTER'!$S$2:$S$495=2)*('CONTROL MASTER'!$T$2:$T$495&lt;=8)*('CONTROL MASTER'!$V$2:$V$495&gt;=8)*('CONTROL MASTER'!$U$2:$U$495&lt;=8)*('CONTROL MASTER'!$W$2:$W$495&gt;=8))*ROW('CONTROL MASTER'!$S$2:$S$495))-(ROW('CONTROL MASTER'!#REF!)-1))))*(INDEX('CONTROL MASTER'!$W$2:$W$495,(SUMPRODUCT((('CONTROL MASTER'!$S$2:$S$495=2)*('CONTROL MASTER'!$T$2:$T$495&lt;=8)*('CONTROL MASTER'!$V$2:$V$495&gt;=8)*('CONTROL MASTER'!$U$2:$U$495&lt;=8)*('CONTROL MASTER'!$W$2:$W$495&gt;=8))*ROW('CONTROL MASTER'!$S$2:$S$495))-(ROW('CONTROL MASTER'!#REF!)-1)))-INDEX('CONTROL MASTER'!$U$2:$U$495,(SUMPRODUCT((('CONTROL MASTER'!$S$2:$S$495=2)*('CONTROL MASTER'!$T$2:$T$495&lt;=8)*('CONTROL MASTER'!$V$2:$V$495&gt;=8)*('CONTROL MASTER'!$U$2:$U$495&lt;=8)*('CONTROL MASTER'!$W$2:$W$495&gt;=8))*ROW('CONTROL MASTER'!$S$2:$S$495))-(ROW('CONTROL MASTER'!#REF!)-1)))+1)+(8-INDEX('CONTROL MASTER'!$U$2:$U$495,(SUMPRODUCT((('CONTROL MASTER'!$S$2:$S$495=2)*('CONTROL MASTER'!$T$2:$T$495&lt;=8)*('CONTROL MASTER'!$V$2:$V$495&gt;=8)*('CONTROL MASTER'!$U$2:$U$495&lt;=8)*('CONTROL MASTER'!$W$2:$W$495&gt;=8))*ROW('CONTROL MASTER'!$S$2:$S$495))-(ROW('CONTROL MASTER'!#REF!)-1))))+1))-1)*50+1,50))&amp;"_"&amp;INDEX('CONTROL MASTER'!$P$2:$P$495,(SUMPRODUCT((('CONTROL MASTER'!$S$2:$S$495=2)*('CONTROL MASTER'!$T$2:$T$495&lt;=8)*('CONTROL MASTER'!$V$2:$V$495&gt;=8)*('CONTROL MASTER'!$U$2:$U$495&lt;=8)*('CONTROL MASTER'!$W$2:$W$495&gt;=8))*ROW('CONTROL MASTER'!$S$2:$S$495))-(ROW('CONTROL MASTER'!#REF!)-1))),IF(SUMPRODUCT((('CONTROL MASTER'!$S$2:$S$495=2)*('CONTROL MASTER'!$Z$2:$Z$495&lt;=8)*('CONTROL MASTER'!$AB$2:$AB$495&gt;=8)*('CONTROL MASTER'!$AA$2:$AA$495&lt;=8)*('CONTROL MASTER'!$AC$2:$AC$495&gt;=8))*ROW('CONTROL MASTER'!$S$2:$S$495))&gt;0,INDEX('CONTROL MASTER'!$X$2:$X$495,(SUMPRODUCT((('CONTROL MASTER'!$S$2:$S$495=2)*('CONTROL MASTER'!$Z$2:$Z$495&lt;=8)*('CONTROL MASTER'!$AB$2:$AB$495&gt;=8)*('CONTROL MASTER'!$AA$2:$AA$495&lt;=8)*('CONTROL MASTER'!$AC$2:$AC$495&gt;=8))*ROW('CONTROL MASTER'!$S$2:$S$495))-(ROW('CONTROL MASTER'!#REF!)-1)))&amp;TRIM(MID(SUBSTITUTE(SUBSTITUTE(INDEX('CONTROL MASTER'!$N$2:$N$495,(SUMPRODUCT((('CONTROL MASTER'!$S$2:$S$495=2)*('CONTROL MASTER'!$Z$2:$Z$495&lt;=8)*('CONTROL MASTER'!$AB$2:$AB$495&gt;=8)*('CONTROL MASTER'!$AA$2:$AA$495&lt;=8)*('CONTROL MASTER'!$AC$2:$AC$495&gt;=8))*ROW('CONTROL MASTER'!$S$2:$S$495))-(ROW('CONTROL MASTER'!#REF!)-1))),":",","),",",REPT(" ",50)),(((INDEX('CONTROL MASTER'!$Y$2:$Y$495,(SUMPRODUCT((('CONTROL MASTER'!$S$2:$S$495=2)*('CONTROL MASTER'!$Z$2:$Z$495&lt;=8)*('CONTROL MASTER'!$AB$2:$AB$495&gt;=8)*('CONTROL MASTER'!$AA$2:$AA$495&lt;=8)*('CONTROL MASTER'!$AC$2:$AC$495&gt;=8))*ROW('CONTROL MASTER'!$S$2:$S$495))-(ROW('CONTROL MASTER'!#REF!)-1)))+((8-INDEX('CONTROL MASTER'!$Z$2:$Z$495,(SUMPRODUCT((('CONTROL MASTER'!$S$2:$S$495=2)*('CONTROL MASTER'!$Z$2:$Z$495&lt;=8)*('CONTROL MASTER'!$AB$2:$AB$495&gt;=8)*('CONTROL MASTER'!$AA$2:$AA$495&lt;=8)*('CONTROL MASTER'!$AC$2:$AC$495&gt;=8))*ROW('CONTROL MASTER'!$S$2:$S$495))-(ROW('CONTROL MASTER'!#REF!)-1))))*(INDEX('CONTROL MASTER'!$AC$2:$AC$495,(SUMPRODUCT((('CONTROL MASTER'!$S$2:$S$495=2)*('CONTROL MASTER'!$Z$2:$Z$495&lt;=8)*('CONTROL MASTER'!$AB$2:$AB$495&gt;=8)*('CONTROL MASTER'!$AA$2:$AA$495&lt;=8)*('CONTROL MASTER'!$AC$2:$AC$495&gt;=8))*ROW('CONTROL MASTER'!$S$2:$S$495))-(ROW('CONTROL MASTER'!#REF!)-1)))-INDEX('CONTROL MASTER'!$AA$2:$AA$495,(SUMPRODUCT((('CONTROL MASTER'!$S$2:$S$495=2)*('CONTROL MASTER'!$Z$2:$Z$495&lt;=8)*('CONTROL MASTER'!$AB$2:$AB$495&gt;=8)*('CONTROL MASTER'!$AA$2:$AA$495&lt;=8)*('CONTROL MASTER'!$AC$2:$AC$495&gt;=8))*ROW('CONTROL MASTER'!$S$2:$S$495))-(ROW('CONTROL MASTER'!#REF!)-1)))+1)+(8-INDEX('CONTROL MASTER'!$AA$2:$AA$495,(SUMPRODUCT((('CONTROL MASTER'!$S$2:$S$495=2)*('CONTROL MASTER'!$Z$2:$Z$495&lt;=8)*('CONTROL MASTER'!$AB$2:$AB$495&gt;=8)*('CONTROL MASTER'!$AA$2:$AA$495&lt;=8)*('CONTROL MASTER'!$AC$2:$AC$495&gt;=8))*ROW('CONTROL MASTER'!$S$2:$S$495))-(ROW('CONTROL MASTER'!#REF!)-1))))+1)))-1)*50+1,50))&amp;"_"&amp;INDEX('CONTROL MASTER'!$P$2:$P$495,(SUMPRODUCT((('CONTROL MASTER'!$S$2:$S$495=2)*('CONTROL MASTER'!$Z$2:$Z$495&lt;=8)*('CONTROL MASTER'!$AB$2:$AB$495&gt;=8)*('CONTROL MASTER'!$AA$2:$AA$495&lt;=8)*('CONTROL MASTER'!$AC$2:$AC$495&gt;=8))*ROW('CONTROL MASTER'!$S$2:$S$495))-(ROW('CONTROL MASTER'!#REF!)-1))),"")),"")</f>
        <v/>
      </c>
      <c r="J24" s="10" t="str">
        <f>IFERROR(IF(SUMPRODUCT((('CONTROL MASTER'!$S$2:$S$495=2)*('CONTROL MASTER'!$T$2:$T$495&lt;=8)*('CONTROL MASTER'!$V$2:$V$495&gt;=8)*('CONTROL MASTER'!$U$2:$U$495&lt;=9)*('CONTROL MASTER'!$W$2:$W$495&gt;=9))*ROW('CONTROL MASTER'!$S$2:$S$495))&gt;0,INDEX('CONTROL MASTER'!$X$2:$X$495,(SUMPRODUCT((('CONTROL MASTER'!$S$2:$S$495=2)*('CONTROL MASTER'!$T$2:$T$495&lt;=8)*('CONTROL MASTER'!$V$2:$V$495&gt;=8)*('CONTROL MASTER'!$U$2:$U$495&lt;=9)*('CONTROL MASTER'!$W$2:$W$495&gt;=9))*ROW('CONTROL MASTER'!$S$2:$S$495))-(ROW('CONTROL MASTER'!#REF!)-1)))&amp;TRIM(MID(SUBSTITUTE(SUBSTITUTE(INDEX('CONTROL MASTER'!$N$2:$N$495,(SUMPRODUCT((('CONTROL MASTER'!$S$2:$S$495=2)*('CONTROL MASTER'!$T$2:$T$495&lt;=8)*('CONTROL MASTER'!$V$2:$V$495&gt;=8)*('CONTROL MASTER'!$U$2:$U$495&lt;=9)*('CONTROL MASTER'!$W$2:$W$495&gt;=9))*ROW('CONTROL MASTER'!$S$2:$S$495))-(ROW('CONTROL MASTER'!#REF!)-1))),":",","),",",REPT(" ",50)),((((8-INDEX('CONTROL MASTER'!$T$2:$T$495,(SUMPRODUCT((('CONTROL MASTER'!$S$2:$S$495=2)*('CONTROL MASTER'!$T$2:$T$495&lt;=8)*('CONTROL MASTER'!$V$2:$V$495&gt;=8)*('CONTROL MASTER'!$U$2:$U$495&lt;=9)*('CONTROL MASTER'!$W$2:$W$495&gt;=9))*ROW('CONTROL MASTER'!$S$2:$S$495))-(ROW('CONTROL MASTER'!#REF!)-1))))*(INDEX('CONTROL MASTER'!$W$2:$W$495,(SUMPRODUCT((('CONTROL MASTER'!$S$2:$S$495=2)*('CONTROL MASTER'!$T$2:$T$495&lt;=8)*('CONTROL MASTER'!$V$2:$V$495&gt;=8)*('CONTROL MASTER'!$U$2:$U$495&lt;=9)*('CONTROL MASTER'!$W$2:$W$495&gt;=9))*ROW('CONTROL MASTER'!$S$2:$S$495))-(ROW('CONTROL MASTER'!#REF!)-1)))-INDEX('CONTROL MASTER'!$U$2:$U$495,(SUMPRODUCT((('CONTROL MASTER'!$S$2:$S$495=2)*('CONTROL MASTER'!$T$2:$T$495&lt;=8)*('CONTROL MASTER'!$V$2:$V$495&gt;=8)*('CONTROL MASTER'!$U$2:$U$495&lt;=9)*('CONTROL MASTER'!$W$2:$W$495&gt;=9))*ROW('CONTROL MASTER'!$S$2:$S$495))-(ROW('CONTROL MASTER'!#REF!)-1)))+1)+(9-INDEX('CONTROL MASTER'!$U$2:$U$495,(SUMPRODUCT((('CONTROL MASTER'!$S$2:$S$495=2)*('CONTROL MASTER'!$T$2:$T$495&lt;=8)*('CONTROL MASTER'!$V$2:$V$495&gt;=8)*('CONTROL MASTER'!$U$2:$U$495&lt;=9)*('CONTROL MASTER'!$W$2:$W$495&gt;=9))*ROW('CONTROL MASTER'!$S$2:$S$495))-(ROW('CONTROL MASTER'!#REF!)-1))))+1))-1)*50+1,50))&amp;"_"&amp;INDEX('CONTROL MASTER'!$P$2:$P$495,(SUMPRODUCT((('CONTROL MASTER'!$S$2:$S$495=2)*('CONTROL MASTER'!$T$2:$T$495&lt;=8)*('CONTROL MASTER'!$V$2:$V$495&gt;=8)*('CONTROL MASTER'!$U$2:$U$495&lt;=9)*('CONTROL MASTER'!$W$2:$W$495&gt;=9))*ROW('CONTROL MASTER'!$S$2:$S$495))-(ROW('CONTROL MASTER'!#REF!)-1))),IF(SUMPRODUCT((('CONTROL MASTER'!$S$2:$S$495=2)*('CONTROL MASTER'!$Z$2:$Z$495&lt;=8)*('CONTROL MASTER'!$AB$2:$AB$495&gt;=8)*('CONTROL MASTER'!$AA$2:$AA$495&lt;=9)*('CONTROL MASTER'!$AC$2:$AC$495&gt;=9))*ROW('CONTROL MASTER'!$S$2:$S$495))&gt;0,INDEX('CONTROL MASTER'!$X$2:$X$495,(SUMPRODUCT((('CONTROL MASTER'!$S$2:$S$495=2)*('CONTROL MASTER'!$Z$2:$Z$495&lt;=8)*('CONTROL MASTER'!$AB$2:$AB$495&gt;=8)*('CONTROL MASTER'!$AA$2:$AA$495&lt;=9)*('CONTROL MASTER'!$AC$2:$AC$495&gt;=9))*ROW('CONTROL MASTER'!$S$2:$S$495))-(ROW('CONTROL MASTER'!#REF!)-1)))&amp;TRIM(MID(SUBSTITUTE(SUBSTITUTE(INDEX('CONTROL MASTER'!$N$2:$N$495,(SUMPRODUCT((('CONTROL MASTER'!$S$2:$S$495=2)*('CONTROL MASTER'!$Z$2:$Z$495&lt;=8)*('CONTROL MASTER'!$AB$2:$AB$495&gt;=8)*('CONTROL MASTER'!$AA$2:$AA$495&lt;=9)*('CONTROL MASTER'!$AC$2:$AC$495&gt;=9))*ROW('CONTROL MASTER'!$S$2:$S$495))-(ROW('CONTROL MASTER'!#REF!)-1))),":",","),",",REPT(" ",50)),(((INDEX('CONTROL MASTER'!$Y$2:$Y$495,(SUMPRODUCT((('CONTROL MASTER'!$S$2:$S$495=2)*('CONTROL MASTER'!$Z$2:$Z$495&lt;=8)*('CONTROL MASTER'!$AB$2:$AB$495&gt;=8)*('CONTROL MASTER'!$AA$2:$AA$495&lt;=9)*('CONTROL MASTER'!$AC$2:$AC$495&gt;=9))*ROW('CONTROL MASTER'!$S$2:$S$495))-(ROW('CONTROL MASTER'!#REF!)-1)))+((8-INDEX('CONTROL MASTER'!$Z$2:$Z$495,(SUMPRODUCT((('CONTROL MASTER'!$S$2:$S$495=2)*('CONTROL MASTER'!$Z$2:$Z$495&lt;=8)*('CONTROL MASTER'!$AB$2:$AB$495&gt;=8)*('CONTROL MASTER'!$AA$2:$AA$495&lt;=9)*('CONTROL MASTER'!$AC$2:$AC$495&gt;=9))*ROW('CONTROL MASTER'!$S$2:$S$495))-(ROW('CONTROL MASTER'!#REF!)-1))))*(INDEX('CONTROL MASTER'!$AC$2:$AC$495,(SUMPRODUCT((('CONTROL MASTER'!$S$2:$S$495=2)*('CONTROL MASTER'!$Z$2:$Z$495&lt;=8)*('CONTROL MASTER'!$AB$2:$AB$495&gt;=8)*('CONTROL MASTER'!$AA$2:$AA$495&lt;=9)*('CONTROL MASTER'!$AC$2:$AC$495&gt;=9))*ROW('CONTROL MASTER'!$S$2:$S$495))-(ROW('CONTROL MASTER'!#REF!)-1)))-INDEX('CONTROL MASTER'!$AA$2:$AA$495,(SUMPRODUCT((('CONTROL MASTER'!$S$2:$S$495=2)*('CONTROL MASTER'!$Z$2:$Z$495&lt;=8)*('CONTROL MASTER'!$AB$2:$AB$495&gt;=8)*('CONTROL MASTER'!$AA$2:$AA$495&lt;=9)*('CONTROL MASTER'!$AC$2:$AC$495&gt;=9))*ROW('CONTROL MASTER'!$S$2:$S$495))-(ROW('CONTROL MASTER'!#REF!)-1)))+1)+(9-INDEX('CONTROL MASTER'!$AA$2:$AA$495,(SUMPRODUCT((('CONTROL MASTER'!$S$2:$S$495=2)*('CONTROL MASTER'!$Z$2:$Z$495&lt;=8)*('CONTROL MASTER'!$AB$2:$AB$495&gt;=8)*('CONTROL MASTER'!$AA$2:$AA$495&lt;=9)*('CONTROL MASTER'!$AC$2:$AC$495&gt;=9))*ROW('CONTROL MASTER'!$S$2:$S$495))-(ROW('CONTROL MASTER'!#REF!)-1))))+1)))-1)*50+1,50))&amp;"_"&amp;INDEX('CONTROL MASTER'!$P$2:$P$495,(SUMPRODUCT((('CONTROL MASTER'!$S$2:$S$495=2)*('CONTROL MASTER'!$Z$2:$Z$495&lt;=8)*('CONTROL MASTER'!$AB$2:$AB$495&gt;=8)*('CONTROL MASTER'!$AA$2:$AA$495&lt;=9)*('CONTROL MASTER'!$AC$2:$AC$495&gt;=9))*ROW('CONTROL MASTER'!$S$2:$S$495))-(ROW('CONTROL MASTER'!#REF!)-1))),"")),"")</f>
        <v/>
      </c>
      <c r="K24" s="10" t="str">
        <f>IFERROR(IF(SUMPRODUCT((('CONTROL MASTER'!$S$2:$S$495=2)*('CONTROL MASTER'!$T$2:$T$495&lt;=8)*('CONTROL MASTER'!$V$2:$V$495&gt;=8)*('CONTROL MASTER'!$U$2:$U$495&lt;=10)*('CONTROL MASTER'!$W$2:$W$495&gt;=10))*ROW('CONTROL MASTER'!$S$2:$S$495))&gt;0,INDEX('CONTROL MASTER'!$X$2:$X$495,(SUMPRODUCT((('CONTROL MASTER'!$S$2:$S$495=2)*('CONTROL MASTER'!$T$2:$T$495&lt;=8)*('CONTROL MASTER'!$V$2:$V$495&gt;=8)*('CONTROL MASTER'!$U$2:$U$495&lt;=10)*('CONTROL MASTER'!$W$2:$W$495&gt;=10))*ROW('CONTROL MASTER'!$S$2:$S$495))-(ROW('CONTROL MASTER'!#REF!)-1)))&amp;TRIM(MID(SUBSTITUTE(SUBSTITUTE(INDEX('CONTROL MASTER'!$N$2:$N$495,(SUMPRODUCT((('CONTROL MASTER'!$S$2:$S$495=2)*('CONTROL MASTER'!$T$2:$T$495&lt;=8)*('CONTROL MASTER'!$V$2:$V$495&gt;=8)*('CONTROL MASTER'!$U$2:$U$495&lt;=10)*('CONTROL MASTER'!$W$2:$W$495&gt;=10))*ROW('CONTROL MASTER'!$S$2:$S$495))-(ROW('CONTROL MASTER'!#REF!)-1))),":",","),",",REPT(" ",50)),((((8-INDEX('CONTROL MASTER'!$T$2:$T$495,(SUMPRODUCT((('CONTROL MASTER'!$S$2:$S$495=2)*('CONTROL MASTER'!$T$2:$T$495&lt;=8)*('CONTROL MASTER'!$V$2:$V$495&gt;=8)*('CONTROL MASTER'!$U$2:$U$495&lt;=10)*('CONTROL MASTER'!$W$2:$W$495&gt;=10))*ROW('CONTROL MASTER'!$S$2:$S$495))-(ROW('CONTROL MASTER'!#REF!)-1))))*(INDEX('CONTROL MASTER'!$W$2:$W$495,(SUMPRODUCT((('CONTROL MASTER'!$S$2:$S$495=2)*('CONTROL MASTER'!$T$2:$T$495&lt;=8)*('CONTROL MASTER'!$V$2:$V$495&gt;=8)*('CONTROL MASTER'!$U$2:$U$495&lt;=10)*('CONTROL MASTER'!$W$2:$W$495&gt;=10))*ROW('CONTROL MASTER'!$S$2:$S$495))-(ROW('CONTROL MASTER'!#REF!)-1)))-INDEX('CONTROL MASTER'!$U$2:$U$495,(SUMPRODUCT((('CONTROL MASTER'!$S$2:$S$495=2)*('CONTROL MASTER'!$T$2:$T$495&lt;=8)*('CONTROL MASTER'!$V$2:$V$495&gt;=8)*('CONTROL MASTER'!$U$2:$U$495&lt;=10)*('CONTROL MASTER'!$W$2:$W$495&gt;=10))*ROW('CONTROL MASTER'!$S$2:$S$495))-(ROW('CONTROL MASTER'!#REF!)-1)))+1)+(10-INDEX('CONTROL MASTER'!$U$2:$U$495,(SUMPRODUCT((('CONTROL MASTER'!$S$2:$S$495=2)*('CONTROL MASTER'!$T$2:$T$495&lt;=8)*('CONTROL MASTER'!$V$2:$V$495&gt;=8)*('CONTROL MASTER'!$U$2:$U$495&lt;=10)*('CONTROL MASTER'!$W$2:$W$495&gt;=10))*ROW('CONTROL MASTER'!$S$2:$S$495))-(ROW('CONTROL MASTER'!#REF!)-1))))+1))-1)*50+1,50))&amp;"_"&amp;INDEX('CONTROL MASTER'!$P$2:$P$495,(SUMPRODUCT((('CONTROL MASTER'!$S$2:$S$495=2)*('CONTROL MASTER'!$T$2:$T$495&lt;=8)*('CONTROL MASTER'!$V$2:$V$495&gt;=8)*('CONTROL MASTER'!$U$2:$U$495&lt;=10)*('CONTROL MASTER'!$W$2:$W$495&gt;=10))*ROW('CONTROL MASTER'!$S$2:$S$495))-(ROW('CONTROL MASTER'!#REF!)-1))),IF(SUMPRODUCT((('CONTROL MASTER'!$S$2:$S$495=2)*('CONTROL MASTER'!$Z$2:$Z$495&lt;=8)*('CONTROL MASTER'!$AB$2:$AB$495&gt;=8)*('CONTROL MASTER'!$AA$2:$AA$495&lt;=10)*('CONTROL MASTER'!$AC$2:$AC$495&gt;=10))*ROW('CONTROL MASTER'!$S$2:$S$495))&gt;0,INDEX('CONTROL MASTER'!$X$2:$X$495,(SUMPRODUCT((('CONTROL MASTER'!$S$2:$S$495=2)*('CONTROL MASTER'!$Z$2:$Z$495&lt;=8)*('CONTROL MASTER'!$AB$2:$AB$495&gt;=8)*('CONTROL MASTER'!$AA$2:$AA$495&lt;=10)*('CONTROL MASTER'!$AC$2:$AC$495&gt;=10))*ROW('CONTROL MASTER'!$S$2:$S$495))-(ROW('CONTROL MASTER'!#REF!)-1)))&amp;TRIM(MID(SUBSTITUTE(SUBSTITUTE(INDEX('CONTROL MASTER'!$N$2:$N$495,(SUMPRODUCT((('CONTROL MASTER'!$S$2:$S$495=2)*('CONTROL MASTER'!$Z$2:$Z$495&lt;=8)*('CONTROL MASTER'!$AB$2:$AB$495&gt;=8)*('CONTROL MASTER'!$AA$2:$AA$495&lt;=10)*('CONTROL MASTER'!$AC$2:$AC$495&gt;=10))*ROW('CONTROL MASTER'!$S$2:$S$495))-(ROW('CONTROL MASTER'!#REF!)-1))),":",","),",",REPT(" ",50)),(((INDEX('CONTROL MASTER'!$Y$2:$Y$495,(SUMPRODUCT((('CONTROL MASTER'!$S$2:$S$495=2)*('CONTROL MASTER'!$Z$2:$Z$495&lt;=8)*('CONTROL MASTER'!$AB$2:$AB$495&gt;=8)*('CONTROL MASTER'!$AA$2:$AA$495&lt;=10)*('CONTROL MASTER'!$AC$2:$AC$495&gt;=10))*ROW('CONTROL MASTER'!$S$2:$S$495))-(ROW('CONTROL MASTER'!#REF!)-1)))+((8-INDEX('CONTROL MASTER'!$Z$2:$Z$495,(SUMPRODUCT((('CONTROL MASTER'!$S$2:$S$495=2)*('CONTROL MASTER'!$Z$2:$Z$495&lt;=8)*('CONTROL MASTER'!$AB$2:$AB$495&gt;=8)*('CONTROL MASTER'!$AA$2:$AA$495&lt;=10)*('CONTROL MASTER'!$AC$2:$AC$495&gt;=10))*ROW('CONTROL MASTER'!$S$2:$S$495))-(ROW('CONTROL MASTER'!#REF!)-1))))*(INDEX('CONTROL MASTER'!$AC$2:$AC$495,(SUMPRODUCT((('CONTROL MASTER'!$S$2:$S$495=2)*('CONTROL MASTER'!$Z$2:$Z$495&lt;=8)*('CONTROL MASTER'!$AB$2:$AB$495&gt;=8)*('CONTROL MASTER'!$AA$2:$AA$495&lt;=10)*('CONTROL MASTER'!$AC$2:$AC$495&gt;=10))*ROW('CONTROL MASTER'!$S$2:$S$495))-(ROW('CONTROL MASTER'!#REF!)-1)))-INDEX('CONTROL MASTER'!$AA$2:$AA$495,(SUMPRODUCT((('CONTROL MASTER'!$S$2:$S$495=2)*('CONTROL MASTER'!$Z$2:$Z$495&lt;=8)*('CONTROL MASTER'!$AB$2:$AB$495&gt;=8)*('CONTROL MASTER'!$AA$2:$AA$495&lt;=10)*('CONTROL MASTER'!$AC$2:$AC$495&gt;=10))*ROW('CONTROL MASTER'!$S$2:$S$495))-(ROW('CONTROL MASTER'!#REF!)-1)))+1)+(10-INDEX('CONTROL MASTER'!$AA$2:$AA$495,(SUMPRODUCT((('CONTROL MASTER'!$S$2:$S$495=2)*('CONTROL MASTER'!$Z$2:$Z$495&lt;=8)*('CONTROL MASTER'!$AB$2:$AB$495&gt;=8)*('CONTROL MASTER'!$AA$2:$AA$495&lt;=10)*('CONTROL MASTER'!$AC$2:$AC$495&gt;=10))*ROW('CONTROL MASTER'!$S$2:$S$495))-(ROW('CONTROL MASTER'!#REF!)-1))))+1)))-1)*50+1,50))&amp;"_"&amp;INDEX('CONTROL MASTER'!$P$2:$P$495,(SUMPRODUCT((('CONTROL MASTER'!$S$2:$S$495=2)*('CONTROL MASTER'!$Z$2:$Z$495&lt;=8)*('CONTROL MASTER'!$AB$2:$AB$495&gt;=8)*('CONTROL MASTER'!$AA$2:$AA$495&lt;=10)*('CONTROL MASTER'!$AC$2:$AC$495&gt;=10))*ROW('CONTROL MASTER'!$S$2:$S$495))-(ROW('CONTROL MASTER'!#REF!)-1))),"")),"")</f>
        <v/>
      </c>
    </row>
    <row r="25" spans="1:11" ht="15" customHeight="1" x14ac:dyDescent="0.35">
      <c r="A25" s="8" t="s">
        <v>81</v>
      </c>
      <c r="B25" s="10" t="str">
        <f>IFERROR(IF(SUMPRODUCT((('CONTROL MASTER'!$S$2:$S$495=2)*('CONTROL MASTER'!$T$2:$T$495&lt;=9)*('CONTROL MASTER'!$V$2:$V$495&gt;=9)*('CONTROL MASTER'!$U$2:$U$495&lt;=1)*('CONTROL MASTER'!$W$2:$W$495&gt;=1))*ROW('CONTROL MASTER'!$S$2:$S$495))&gt;0,INDEX('CONTROL MASTER'!$X$2:$X$495,(SUMPRODUCT((('CONTROL MASTER'!$S$2:$S$495=2)*('CONTROL MASTER'!$T$2:$T$495&lt;=9)*('CONTROL MASTER'!$V$2:$V$495&gt;=9)*('CONTROL MASTER'!$U$2:$U$495&lt;=1)*('CONTROL MASTER'!$W$2:$W$495&gt;=1))*ROW('CONTROL MASTER'!$S$2:$S$495))-(ROW('CONTROL MASTER'!#REF!)-1)))&amp;TRIM(MID(SUBSTITUTE(SUBSTITUTE(INDEX('CONTROL MASTER'!$N$2:$N$495,(SUMPRODUCT((('CONTROL MASTER'!$S$2:$S$495=2)*('CONTROL MASTER'!$T$2:$T$495&lt;=9)*('CONTROL MASTER'!$V$2:$V$495&gt;=9)*('CONTROL MASTER'!$U$2:$U$495&lt;=1)*('CONTROL MASTER'!$W$2:$W$495&gt;=1))*ROW('CONTROL MASTER'!$S$2:$S$495))-(ROW('CONTROL MASTER'!#REF!)-1))),":",","),",",REPT(" ",50)),((((9-INDEX('CONTROL MASTER'!$T$2:$T$495,(SUMPRODUCT((('CONTROL MASTER'!$S$2:$S$495=2)*('CONTROL MASTER'!$T$2:$T$495&lt;=9)*('CONTROL MASTER'!$V$2:$V$495&gt;=9)*('CONTROL MASTER'!$U$2:$U$495&lt;=1)*('CONTROL MASTER'!$W$2:$W$495&gt;=1))*ROW('CONTROL MASTER'!$S$2:$S$495))-(ROW('CONTROL MASTER'!#REF!)-1))))*(INDEX('CONTROL MASTER'!$W$2:$W$495,(SUMPRODUCT((('CONTROL MASTER'!$S$2:$S$495=2)*('CONTROL MASTER'!$T$2:$T$495&lt;=9)*('CONTROL MASTER'!$V$2:$V$495&gt;=9)*('CONTROL MASTER'!$U$2:$U$495&lt;=1)*('CONTROL MASTER'!$W$2:$W$495&gt;=1))*ROW('CONTROL MASTER'!$S$2:$S$495))-(ROW('CONTROL MASTER'!#REF!)-1)))-INDEX('CONTROL MASTER'!$U$2:$U$495,(SUMPRODUCT((('CONTROL MASTER'!$S$2:$S$495=2)*('CONTROL MASTER'!$T$2:$T$495&lt;=9)*('CONTROL MASTER'!$V$2:$V$495&gt;=9)*('CONTROL MASTER'!$U$2:$U$495&lt;=1)*('CONTROL MASTER'!$W$2:$W$495&gt;=1))*ROW('CONTROL MASTER'!$S$2:$S$495))-(ROW('CONTROL MASTER'!#REF!)-1)))+1)+(1-INDEX('CONTROL MASTER'!$U$2:$U$495,(SUMPRODUCT((('CONTROL MASTER'!$S$2:$S$495=2)*('CONTROL MASTER'!$T$2:$T$495&lt;=9)*('CONTROL MASTER'!$V$2:$V$495&gt;=9)*('CONTROL MASTER'!$U$2:$U$495&lt;=1)*('CONTROL MASTER'!$W$2:$W$495&gt;=1))*ROW('CONTROL MASTER'!$S$2:$S$495))-(ROW('CONTROL MASTER'!#REF!)-1))))+1))-1)*50+1,50))&amp;"_"&amp;INDEX('CONTROL MASTER'!$P$2:$P$495,(SUMPRODUCT((('CONTROL MASTER'!$S$2:$S$495=2)*('CONTROL MASTER'!$T$2:$T$495&lt;=9)*('CONTROL MASTER'!$V$2:$V$495&gt;=9)*('CONTROL MASTER'!$U$2:$U$495&lt;=1)*('CONTROL MASTER'!$W$2:$W$495&gt;=1))*ROW('CONTROL MASTER'!$S$2:$S$495))-(ROW('CONTROL MASTER'!#REF!)-1))),IF(SUMPRODUCT((('CONTROL MASTER'!$S$2:$S$495=2)*('CONTROL MASTER'!$Z$2:$Z$495&lt;=9)*('CONTROL MASTER'!$AB$2:$AB$495&gt;=9)*('CONTROL MASTER'!$AA$2:$AA$495&lt;=1)*('CONTROL MASTER'!$AC$2:$AC$495&gt;=1))*ROW('CONTROL MASTER'!$S$2:$S$495))&gt;0,INDEX('CONTROL MASTER'!$X$2:$X$495,(SUMPRODUCT((('CONTROL MASTER'!$S$2:$S$495=2)*('CONTROL MASTER'!$Z$2:$Z$495&lt;=9)*('CONTROL MASTER'!$AB$2:$AB$495&gt;=9)*('CONTROL MASTER'!$AA$2:$AA$495&lt;=1)*('CONTROL MASTER'!$AC$2:$AC$495&gt;=1))*ROW('CONTROL MASTER'!$S$2:$S$495))-(ROW('CONTROL MASTER'!#REF!)-1)))&amp;TRIM(MID(SUBSTITUTE(SUBSTITUTE(INDEX('CONTROL MASTER'!$N$2:$N$495,(SUMPRODUCT((('CONTROL MASTER'!$S$2:$S$495=2)*('CONTROL MASTER'!$Z$2:$Z$495&lt;=9)*('CONTROL MASTER'!$AB$2:$AB$495&gt;=9)*('CONTROL MASTER'!$AA$2:$AA$495&lt;=1)*('CONTROL MASTER'!$AC$2:$AC$495&gt;=1))*ROW('CONTROL MASTER'!$S$2:$S$495))-(ROW('CONTROL MASTER'!#REF!)-1))),":",","),",",REPT(" ",50)),(((INDEX('CONTROL MASTER'!$Y$2:$Y$495,(SUMPRODUCT((('CONTROL MASTER'!$S$2:$S$495=2)*('CONTROL MASTER'!$Z$2:$Z$495&lt;=9)*('CONTROL MASTER'!$AB$2:$AB$495&gt;=9)*('CONTROL MASTER'!$AA$2:$AA$495&lt;=1)*('CONTROL MASTER'!$AC$2:$AC$495&gt;=1))*ROW('CONTROL MASTER'!$S$2:$S$495))-(ROW('CONTROL MASTER'!#REF!)-1)))+((9-INDEX('CONTROL MASTER'!$Z$2:$Z$495,(SUMPRODUCT((('CONTROL MASTER'!$S$2:$S$495=2)*('CONTROL MASTER'!$Z$2:$Z$495&lt;=9)*('CONTROL MASTER'!$AB$2:$AB$495&gt;=9)*('CONTROL MASTER'!$AA$2:$AA$495&lt;=1)*('CONTROL MASTER'!$AC$2:$AC$495&gt;=1))*ROW('CONTROL MASTER'!$S$2:$S$495))-(ROW('CONTROL MASTER'!#REF!)-1))))*(INDEX('CONTROL MASTER'!$AC$2:$AC$495,(SUMPRODUCT((('CONTROL MASTER'!$S$2:$S$495=2)*('CONTROL MASTER'!$Z$2:$Z$495&lt;=9)*('CONTROL MASTER'!$AB$2:$AB$495&gt;=9)*('CONTROL MASTER'!$AA$2:$AA$495&lt;=1)*('CONTROL MASTER'!$AC$2:$AC$495&gt;=1))*ROW('CONTROL MASTER'!$S$2:$S$495))-(ROW('CONTROL MASTER'!#REF!)-1)))-INDEX('CONTROL MASTER'!$AA$2:$AA$495,(SUMPRODUCT((('CONTROL MASTER'!$S$2:$S$495=2)*('CONTROL MASTER'!$Z$2:$Z$495&lt;=9)*('CONTROL MASTER'!$AB$2:$AB$495&gt;=9)*('CONTROL MASTER'!$AA$2:$AA$495&lt;=1)*('CONTROL MASTER'!$AC$2:$AC$495&gt;=1))*ROW('CONTROL MASTER'!$S$2:$S$495))-(ROW('CONTROL MASTER'!#REF!)-1)))+1)+(1-INDEX('CONTROL MASTER'!$AA$2:$AA$495,(SUMPRODUCT((('CONTROL MASTER'!$S$2:$S$495=2)*('CONTROL MASTER'!$Z$2:$Z$495&lt;=9)*('CONTROL MASTER'!$AB$2:$AB$495&gt;=9)*('CONTROL MASTER'!$AA$2:$AA$495&lt;=1)*('CONTROL MASTER'!$AC$2:$AC$495&gt;=1))*ROW('CONTROL MASTER'!$S$2:$S$495))-(ROW('CONTROL MASTER'!#REF!)-1))))+1)))-1)*50+1,50))&amp;"_"&amp;INDEX('CONTROL MASTER'!$P$2:$P$495,(SUMPRODUCT((('CONTROL MASTER'!$S$2:$S$495=2)*('CONTROL MASTER'!$Z$2:$Z$495&lt;=9)*('CONTROL MASTER'!$AB$2:$AB$495&gt;=9)*('CONTROL MASTER'!$AA$2:$AA$495&lt;=1)*('CONTROL MASTER'!$AC$2:$AC$495&gt;=1))*ROW('CONTROL MASTER'!$S$2:$S$495))-(ROW('CONTROL MASTER'!#REF!)-1))),"")),"")</f>
        <v/>
      </c>
      <c r="C25" s="10" t="str">
        <f>IFERROR(IF(SUMPRODUCT((('CONTROL MASTER'!$S$2:$S$495=2)*('CONTROL MASTER'!$T$2:$T$495&lt;=9)*('CONTROL MASTER'!$V$2:$V$495&gt;=9)*('CONTROL MASTER'!$U$2:$U$495&lt;=2)*('CONTROL MASTER'!$W$2:$W$495&gt;=2))*ROW('CONTROL MASTER'!$S$2:$S$495))&gt;0,INDEX('CONTROL MASTER'!$X$2:$X$495,(SUMPRODUCT((('CONTROL MASTER'!$S$2:$S$495=2)*('CONTROL MASTER'!$T$2:$T$495&lt;=9)*('CONTROL MASTER'!$V$2:$V$495&gt;=9)*('CONTROL MASTER'!$U$2:$U$495&lt;=2)*('CONTROL MASTER'!$W$2:$W$495&gt;=2))*ROW('CONTROL MASTER'!$S$2:$S$495))-(ROW('CONTROL MASTER'!#REF!)-1)))&amp;TRIM(MID(SUBSTITUTE(SUBSTITUTE(INDEX('CONTROL MASTER'!$N$2:$N$495,(SUMPRODUCT((('CONTROL MASTER'!$S$2:$S$495=2)*('CONTROL MASTER'!$T$2:$T$495&lt;=9)*('CONTROL MASTER'!$V$2:$V$495&gt;=9)*('CONTROL MASTER'!$U$2:$U$495&lt;=2)*('CONTROL MASTER'!$W$2:$W$495&gt;=2))*ROW('CONTROL MASTER'!$S$2:$S$495))-(ROW('CONTROL MASTER'!#REF!)-1))),":",","),",",REPT(" ",50)),((((9-INDEX('CONTROL MASTER'!$T$2:$T$495,(SUMPRODUCT((('CONTROL MASTER'!$S$2:$S$495=2)*('CONTROL MASTER'!$T$2:$T$495&lt;=9)*('CONTROL MASTER'!$V$2:$V$495&gt;=9)*('CONTROL MASTER'!$U$2:$U$495&lt;=2)*('CONTROL MASTER'!$W$2:$W$495&gt;=2))*ROW('CONTROL MASTER'!$S$2:$S$495))-(ROW('CONTROL MASTER'!#REF!)-1))))*(INDEX('CONTROL MASTER'!$W$2:$W$495,(SUMPRODUCT((('CONTROL MASTER'!$S$2:$S$495=2)*('CONTROL MASTER'!$T$2:$T$495&lt;=9)*('CONTROL MASTER'!$V$2:$V$495&gt;=9)*('CONTROL MASTER'!$U$2:$U$495&lt;=2)*('CONTROL MASTER'!$W$2:$W$495&gt;=2))*ROW('CONTROL MASTER'!$S$2:$S$495))-(ROW('CONTROL MASTER'!#REF!)-1)))-INDEX('CONTROL MASTER'!$U$2:$U$495,(SUMPRODUCT((('CONTROL MASTER'!$S$2:$S$495=2)*('CONTROL MASTER'!$T$2:$T$495&lt;=9)*('CONTROL MASTER'!$V$2:$V$495&gt;=9)*('CONTROL MASTER'!$U$2:$U$495&lt;=2)*('CONTROL MASTER'!$W$2:$W$495&gt;=2))*ROW('CONTROL MASTER'!$S$2:$S$495))-(ROW('CONTROL MASTER'!#REF!)-1)))+1)+(2-INDEX('CONTROL MASTER'!$U$2:$U$495,(SUMPRODUCT((('CONTROL MASTER'!$S$2:$S$495=2)*('CONTROL MASTER'!$T$2:$T$495&lt;=9)*('CONTROL MASTER'!$V$2:$V$495&gt;=9)*('CONTROL MASTER'!$U$2:$U$495&lt;=2)*('CONTROL MASTER'!$W$2:$W$495&gt;=2))*ROW('CONTROL MASTER'!$S$2:$S$495))-(ROW('CONTROL MASTER'!#REF!)-1))))+1))-1)*50+1,50))&amp;"_"&amp;INDEX('CONTROL MASTER'!$P$2:$P$495,(SUMPRODUCT((('CONTROL MASTER'!$S$2:$S$495=2)*('CONTROL MASTER'!$T$2:$T$495&lt;=9)*('CONTROL MASTER'!$V$2:$V$495&gt;=9)*('CONTROL MASTER'!$U$2:$U$495&lt;=2)*('CONTROL MASTER'!$W$2:$W$495&gt;=2))*ROW('CONTROL MASTER'!$S$2:$S$495))-(ROW('CONTROL MASTER'!#REF!)-1))),IF(SUMPRODUCT((('CONTROL MASTER'!$S$2:$S$495=2)*('CONTROL MASTER'!$Z$2:$Z$495&lt;=9)*('CONTROL MASTER'!$AB$2:$AB$495&gt;=9)*('CONTROL MASTER'!$AA$2:$AA$495&lt;=2)*('CONTROL MASTER'!$AC$2:$AC$495&gt;=2))*ROW('CONTROL MASTER'!$S$2:$S$495))&gt;0,INDEX('CONTROL MASTER'!$X$2:$X$495,(SUMPRODUCT((('CONTROL MASTER'!$S$2:$S$495=2)*('CONTROL MASTER'!$Z$2:$Z$495&lt;=9)*('CONTROL MASTER'!$AB$2:$AB$495&gt;=9)*('CONTROL MASTER'!$AA$2:$AA$495&lt;=2)*('CONTROL MASTER'!$AC$2:$AC$495&gt;=2))*ROW('CONTROL MASTER'!$S$2:$S$495))-(ROW('CONTROL MASTER'!#REF!)-1)))&amp;TRIM(MID(SUBSTITUTE(SUBSTITUTE(INDEX('CONTROL MASTER'!$N$2:$N$495,(SUMPRODUCT((('CONTROL MASTER'!$S$2:$S$495=2)*('CONTROL MASTER'!$Z$2:$Z$495&lt;=9)*('CONTROL MASTER'!$AB$2:$AB$495&gt;=9)*('CONTROL MASTER'!$AA$2:$AA$495&lt;=2)*('CONTROL MASTER'!$AC$2:$AC$495&gt;=2))*ROW('CONTROL MASTER'!$S$2:$S$495))-(ROW('CONTROL MASTER'!#REF!)-1))),":",","),",",REPT(" ",50)),(((INDEX('CONTROL MASTER'!$Y$2:$Y$495,(SUMPRODUCT((('CONTROL MASTER'!$S$2:$S$495=2)*('CONTROL MASTER'!$Z$2:$Z$495&lt;=9)*('CONTROL MASTER'!$AB$2:$AB$495&gt;=9)*('CONTROL MASTER'!$AA$2:$AA$495&lt;=2)*('CONTROL MASTER'!$AC$2:$AC$495&gt;=2))*ROW('CONTROL MASTER'!$S$2:$S$495))-(ROW('CONTROL MASTER'!#REF!)-1)))+((9-INDEX('CONTROL MASTER'!$Z$2:$Z$495,(SUMPRODUCT((('CONTROL MASTER'!$S$2:$S$495=2)*('CONTROL MASTER'!$Z$2:$Z$495&lt;=9)*('CONTROL MASTER'!$AB$2:$AB$495&gt;=9)*('CONTROL MASTER'!$AA$2:$AA$495&lt;=2)*('CONTROL MASTER'!$AC$2:$AC$495&gt;=2))*ROW('CONTROL MASTER'!$S$2:$S$495))-(ROW('CONTROL MASTER'!#REF!)-1))))*(INDEX('CONTROL MASTER'!$AC$2:$AC$495,(SUMPRODUCT((('CONTROL MASTER'!$S$2:$S$495=2)*('CONTROL MASTER'!$Z$2:$Z$495&lt;=9)*('CONTROL MASTER'!$AB$2:$AB$495&gt;=9)*('CONTROL MASTER'!$AA$2:$AA$495&lt;=2)*('CONTROL MASTER'!$AC$2:$AC$495&gt;=2))*ROW('CONTROL MASTER'!$S$2:$S$495))-(ROW('CONTROL MASTER'!#REF!)-1)))-INDEX('CONTROL MASTER'!$AA$2:$AA$495,(SUMPRODUCT((('CONTROL MASTER'!$S$2:$S$495=2)*('CONTROL MASTER'!$Z$2:$Z$495&lt;=9)*('CONTROL MASTER'!$AB$2:$AB$495&gt;=9)*('CONTROL MASTER'!$AA$2:$AA$495&lt;=2)*('CONTROL MASTER'!$AC$2:$AC$495&gt;=2))*ROW('CONTROL MASTER'!$S$2:$S$495))-(ROW('CONTROL MASTER'!#REF!)-1)))+1)+(2-INDEX('CONTROL MASTER'!$AA$2:$AA$495,(SUMPRODUCT((('CONTROL MASTER'!$S$2:$S$495=2)*('CONTROL MASTER'!$Z$2:$Z$495&lt;=9)*('CONTROL MASTER'!$AB$2:$AB$495&gt;=9)*('CONTROL MASTER'!$AA$2:$AA$495&lt;=2)*('CONTROL MASTER'!$AC$2:$AC$495&gt;=2))*ROW('CONTROL MASTER'!$S$2:$S$495))-(ROW('CONTROL MASTER'!#REF!)-1))))+1)))-1)*50+1,50))&amp;"_"&amp;INDEX('CONTROL MASTER'!$P$2:$P$495,(SUMPRODUCT((('CONTROL MASTER'!$S$2:$S$495=2)*('CONTROL MASTER'!$Z$2:$Z$495&lt;=9)*('CONTROL MASTER'!$AB$2:$AB$495&gt;=9)*('CONTROL MASTER'!$AA$2:$AA$495&lt;=2)*('CONTROL MASTER'!$AC$2:$AC$495&gt;=2))*ROW('CONTROL MASTER'!$S$2:$S$495))-(ROW('CONTROL MASTER'!#REF!)-1))),"")),"")</f>
        <v/>
      </c>
      <c r="D25" s="10" t="str">
        <f>IFERROR(IF(SUMPRODUCT((('CONTROL MASTER'!$S$2:$S$495=2)*('CONTROL MASTER'!$T$2:$T$495&lt;=9)*('CONTROL MASTER'!$V$2:$V$495&gt;=9)*('CONTROL MASTER'!$U$2:$U$495&lt;=3)*('CONTROL MASTER'!$W$2:$W$495&gt;=3))*ROW('CONTROL MASTER'!$S$2:$S$495))&gt;0,INDEX('CONTROL MASTER'!$X$2:$X$495,(SUMPRODUCT((('CONTROL MASTER'!$S$2:$S$495=2)*('CONTROL MASTER'!$T$2:$T$495&lt;=9)*('CONTROL MASTER'!$V$2:$V$495&gt;=9)*('CONTROL MASTER'!$U$2:$U$495&lt;=3)*('CONTROL MASTER'!$W$2:$W$495&gt;=3))*ROW('CONTROL MASTER'!$S$2:$S$495))-(ROW('CONTROL MASTER'!#REF!)-1)))&amp;TRIM(MID(SUBSTITUTE(SUBSTITUTE(INDEX('CONTROL MASTER'!$N$2:$N$495,(SUMPRODUCT((('CONTROL MASTER'!$S$2:$S$495=2)*('CONTROL MASTER'!$T$2:$T$495&lt;=9)*('CONTROL MASTER'!$V$2:$V$495&gt;=9)*('CONTROL MASTER'!$U$2:$U$495&lt;=3)*('CONTROL MASTER'!$W$2:$W$495&gt;=3))*ROW('CONTROL MASTER'!$S$2:$S$495))-(ROW('CONTROL MASTER'!#REF!)-1))),":",","),",",REPT(" ",50)),((((9-INDEX('CONTROL MASTER'!$T$2:$T$495,(SUMPRODUCT((('CONTROL MASTER'!$S$2:$S$495=2)*('CONTROL MASTER'!$T$2:$T$495&lt;=9)*('CONTROL MASTER'!$V$2:$V$495&gt;=9)*('CONTROL MASTER'!$U$2:$U$495&lt;=3)*('CONTROL MASTER'!$W$2:$W$495&gt;=3))*ROW('CONTROL MASTER'!$S$2:$S$495))-(ROW('CONTROL MASTER'!#REF!)-1))))*(INDEX('CONTROL MASTER'!$W$2:$W$495,(SUMPRODUCT((('CONTROL MASTER'!$S$2:$S$495=2)*('CONTROL MASTER'!$T$2:$T$495&lt;=9)*('CONTROL MASTER'!$V$2:$V$495&gt;=9)*('CONTROL MASTER'!$U$2:$U$495&lt;=3)*('CONTROL MASTER'!$W$2:$W$495&gt;=3))*ROW('CONTROL MASTER'!$S$2:$S$495))-(ROW('CONTROL MASTER'!#REF!)-1)))-INDEX('CONTROL MASTER'!$U$2:$U$495,(SUMPRODUCT((('CONTROL MASTER'!$S$2:$S$495=2)*('CONTROL MASTER'!$T$2:$T$495&lt;=9)*('CONTROL MASTER'!$V$2:$V$495&gt;=9)*('CONTROL MASTER'!$U$2:$U$495&lt;=3)*('CONTROL MASTER'!$W$2:$W$495&gt;=3))*ROW('CONTROL MASTER'!$S$2:$S$495))-(ROW('CONTROL MASTER'!#REF!)-1)))+1)+(3-INDEX('CONTROL MASTER'!$U$2:$U$495,(SUMPRODUCT((('CONTROL MASTER'!$S$2:$S$495=2)*('CONTROL MASTER'!$T$2:$T$495&lt;=9)*('CONTROL MASTER'!$V$2:$V$495&gt;=9)*('CONTROL MASTER'!$U$2:$U$495&lt;=3)*('CONTROL MASTER'!$W$2:$W$495&gt;=3))*ROW('CONTROL MASTER'!$S$2:$S$495))-(ROW('CONTROL MASTER'!#REF!)-1))))+1))-1)*50+1,50))&amp;"_"&amp;INDEX('CONTROL MASTER'!$P$2:$P$495,(SUMPRODUCT((('CONTROL MASTER'!$S$2:$S$495=2)*('CONTROL MASTER'!$T$2:$T$495&lt;=9)*('CONTROL MASTER'!$V$2:$V$495&gt;=9)*('CONTROL MASTER'!$U$2:$U$495&lt;=3)*('CONTROL MASTER'!$W$2:$W$495&gt;=3))*ROW('CONTROL MASTER'!$S$2:$S$495))-(ROW('CONTROL MASTER'!#REF!)-1))),IF(SUMPRODUCT((('CONTROL MASTER'!$S$2:$S$495=2)*('CONTROL MASTER'!$Z$2:$Z$495&lt;=9)*('CONTROL MASTER'!$AB$2:$AB$495&gt;=9)*('CONTROL MASTER'!$AA$2:$AA$495&lt;=3)*('CONTROL MASTER'!$AC$2:$AC$495&gt;=3))*ROW('CONTROL MASTER'!$S$2:$S$495))&gt;0,INDEX('CONTROL MASTER'!$X$2:$X$495,(SUMPRODUCT((('CONTROL MASTER'!$S$2:$S$495=2)*('CONTROL MASTER'!$Z$2:$Z$495&lt;=9)*('CONTROL MASTER'!$AB$2:$AB$495&gt;=9)*('CONTROL MASTER'!$AA$2:$AA$495&lt;=3)*('CONTROL MASTER'!$AC$2:$AC$495&gt;=3))*ROW('CONTROL MASTER'!$S$2:$S$495))-(ROW('CONTROL MASTER'!#REF!)-1)))&amp;TRIM(MID(SUBSTITUTE(SUBSTITUTE(INDEX('CONTROL MASTER'!$N$2:$N$495,(SUMPRODUCT((('CONTROL MASTER'!$S$2:$S$495=2)*('CONTROL MASTER'!$Z$2:$Z$495&lt;=9)*('CONTROL MASTER'!$AB$2:$AB$495&gt;=9)*('CONTROL MASTER'!$AA$2:$AA$495&lt;=3)*('CONTROL MASTER'!$AC$2:$AC$495&gt;=3))*ROW('CONTROL MASTER'!$S$2:$S$495))-(ROW('CONTROL MASTER'!#REF!)-1))),":",","),",",REPT(" ",50)),(((INDEX('CONTROL MASTER'!$Y$2:$Y$495,(SUMPRODUCT((('CONTROL MASTER'!$S$2:$S$495=2)*('CONTROL MASTER'!$Z$2:$Z$495&lt;=9)*('CONTROL MASTER'!$AB$2:$AB$495&gt;=9)*('CONTROL MASTER'!$AA$2:$AA$495&lt;=3)*('CONTROL MASTER'!$AC$2:$AC$495&gt;=3))*ROW('CONTROL MASTER'!$S$2:$S$495))-(ROW('CONTROL MASTER'!#REF!)-1)))+((9-INDEX('CONTROL MASTER'!$Z$2:$Z$495,(SUMPRODUCT((('CONTROL MASTER'!$S$2:$S$495=2)*('CONTROL MASTER'!$Z$2:$Z$495&lt;=9)*('CONTROL MASTER'!$AB$2:$AB$495&gt;=9)*('CONTROL MASTER'!$AA$2:$AA$495&lt;=3)*('CONTROL MASTER'!$AC$2:$AC$495&gt;=3))*ROW('CONTROL MASTER'!$S$2:$S$495))-(ROW('CONTROL MASTER'!#REF!)-1))))*(INDEX('CONTROL MASTER'!$AC$2:$AC$495,(SUMPRODUCT((('CONTROL MASTER'!$S$2:$S$495=2)*('CONTROL MASTER'!$Z$2:$Z$495&lt;=9)*('CONTROL MASTER'!$AB$2:$AB$495&gt;=9)*('CONTROL MASTER'!$AA$2:$AA$495&lt;=3)*('CONTROL MASTER'!$AC$2:$AC$495&gt;=3))*ROW('CONTROL MASTER'!$S$2:$S$495))-(ROW('CONTROL MASTER'!#REF!)-1)))-INDEX('CONTROL MASTER'!$AA$2:$AA$495,(SUMPRODUCT((('CONTROL MASTER'!$S$2:$S$495=2)*('CONTROL MASTER'!$Z$2:$Z$495&lt;=9)*('CONTROL MASTER'!$AB$2:$AB$495&gt;=9)*('CONTROL MASTER'!$AA$2:$AA$495&lt;=3)*('CONTROL MASTER'!$AC$2:$AC$495&gt;=3))*ROW('CONTROL MASTER'!$S$2:$S$495))-(ROW('CONTROL MASTER'!#REF!)-1)))+1)+(3-INDEX('CONTROL MASTER'!$AA$2:$AA$495,(SUMPRODUCT((('CONTROL MASTER'!$S$2:$S$495=2)*('CONTROL MASTER'!$Z$2:$Z$495&lt;=9)*('CONTROL MASTER'!$AB$2:$AB$495&gt;=9)*('CONTROL MASTER'!$AA$2:$AA$495&lt;=3)*('CONTROL MASTER'!$AC$2:$AC$495&gt;=3))*ROW('CONTROL MASTER'!$S$2:$S$495))-(ROW('CONTROL MASTER'!#REF!)-1))))+1)))-1)*50+1,50))&amp;"_"&amp;INDEX('CONTROL MASTER'!$P$2:$P$495,(SUMPRODUCT((('CONTROL MASTER'!$S$2:$S$495=2)*('CONTROL MASTER'!$Z$2:$Z$495&lt;=9)*('CONTROL MASTER'!$AB$2:$AB$495&gt;=9)*('CONTROL MASTER'!$AA$2:$AA$495&lt;=3)*('CONTROL MASTER'!$AC$2:$AC$495&gt;=3))*ROW('CONTROL MASTER'!$S$2:$S$495))-(ROW('CONTROL MASTER'!#REF!)-1))),"")),"")</f>
        <v/>
      </c>
      <c r="E25" s="10" t="str">
        <f>IFERROR(IF(SUMPRODUCT((('CONTROL MASTER'!$S$2:$S$495=2)*('CONTROL MASTER'!$T$2:$T$495&lt;=9)*('CONTROL MASTER'!$V$2:$V$495&gt;=9)*('CONTROL MASTER'!$U$2:$U$495&lt;=4)*('CONTROL MASTER'!$W$2:$W$495&gt;=4))*ROW('CONTROL MASTER'!$S$2:$S$495))&gt;0,INDEX('CONTROL MASTER'!$X$2:$X$495,(SUMPRODUCT((('CONTROL MASTER'!$S$2:$S$495=2)*('CONTROL MASTER'!$T$2:$T$495&lt;=9)*('CONTROL MASTER'!$V$2:$V$495&gt;=9)*('CONTROL MASTER'!$U$2:$U$495&lt;=4)*('CONTROL MASTER'!$W$2:$W$495&gt;=4))*ROW('CONTROL MASTER'!$S$2:$S$495))-(ROW('CONTROL MASTER'!#REF!)-1)))&amp;TRIM(MID(SUBSTITUTE(SUBSTITUTE(INDEX('CONTROL MASTER'!$N$2:$N$495,(SUMPRODUCT((('CONTROL MASTER'!$S$2:$S$495=2)*('CONTROL MASTER'!$T$2:$T$495&lt;=9)*('CONTROL MASTER'!$V$2:$V$495&gt;=9)*('CONTROL MASTER'!$U$2:$U$495&lt;=4)*('CONTROL MASTER'!$W$2:$W$495&gt;=4))*ROW('CONTROL MASTER'!$S$2:$S$495))-(ROW('CONTROL MASTER'!#REF!)-1))),":",","),",",REPT(" ",50)),((((9-INDEX('CONTROL MASTER'!$T$2:$T$495,(SUMPRODUCT((('CONTROL MASTER'!$S$2:$S$495=2)*('CONTROL MASTER'!$T$2:$T$495&lt;=9)*('CONTROL MASTER'!$V$2:$V$495&gt;=9)*('CONTROL MASTER'!$U$2:$U$495&lt;=4)*('CONTROL MASTER'!$W$2:$W$495&gt;=4))*ROW('CONTROL MASTER'!$S$2:$S$495))-(ROW('CONTROL MASTER'!#REF!)-1))))*(INDEX('CONTROL MASTER'!$W$2:$W$495,(SUMPRODUCT((('CONTROL MASTER'!$S$2:$S$495=2)*('CONTROL MASTER'!$T$2:$T$495&lt;=9)*('CONTROL MASTER'!$V$2:$V$495&gt;=9)*('CONTROL MASTER'!$U$2:$U$495&lt;=4)*('CONTROL MASTER'!$W$2:$W$495&gt;=4))*ROW('CONTROL MASTER'!$S$2:$S$495))-(ROW('CONTROL MASTER'!#REF!)-1)))-INDEX('CONTROL MASTER'!$U$2:$U$495,(SUMPRODUCT((('CONTROL MASTER'!$S$2:$S$495=2)*('CONTROL MASTER'!$T$2:$T$495&lt;=9)*('CONTROL MASTER'!$V$2:$V$495&gt;=9)*('CONTROL MASTER'!$U$2:$U$495&lt;=4)*('CONTROL MASTER'!$W$2:$W$495&gt;=4))*ROW('CONTROL MASTER'!$S$2:$S$495))-(ROW('CONTROL MASTER'!#REF!)-1)))+1)+(4-INDEX('CONTROL MASTER'!$U$2:$U$495,(SUMPRODUCT((('CONTROL MASTER'!$S$2:$S$495=2)*('CONTROL MASTER'!$T$2:$T$495&lt;=9)*('CONTROL MASTER'!$V$2:$V$495&gt;=9)*('CONTROL MASTER'!$U$2:$U$495&lt;=4)*('CONTROL MASTER'!$W$2:$W$495&gt;=4))*ROW('CONTROL MASTER'!$S$2:$S$495))-(ROW('CONTROL MASTER'!#REF!)-1))))+1))-1)*50+1,50))&amp;"_"&amp;INDEX('CONTROL MASTER'!$P$2:$P$495,(SUMPRODUCT((('CONTROL MASTER'!$S$2:$S$495=2)*('CONTROL MASTER'!$T$2:$T$495&lt;=9)*('CONTROL MASTER'!$V$2:$V$495&gt;=9)*('CONTROL MASTER'!$U$2:$U$495&lt;=4)*('CONTROL MASTER'!$W$2:$W$495&gt;=4))*ROW('CONTROL MASTER'!$S$2:$S$495))-(ROW('CONTROL MASTER'!#REF!)-1))),IF(SUMPRODUCT((('CONTROL MASTER'!$S$2:$S$495=2)*('CONTROL MASTER'!$Z$2:$Z$495&lt;=9)*('CONTROL MASTER'!$AB$2:$AB$495&gt;=9)*('CONTROL MASTER'!$AA$2:$AA$495&lt;=4)*('CONTROL MASTER'!$AC$2:$AC$495&gt;=4))*ROW('CONTROL MASTER'!$S$2:$S$495))&gt;0,INDEX('CONTROL MASTER'!$X$2:$X$495,(SUMPRODUCT((('CONTROL MASTER'!$S$2:$S$495=2)*('CONTROL MASTER'!$Z$2:$Z$495&lt;=9)*('CONTROL MASTER'!$AB$2:$AB$495&gt;=9)*('CONTROL MASTER'!$AA$2:$AA$495&lt;=4)*('CONTROL MASTER'!$AC$2:$AC$495&gt;=4))*ROW('CONTROL MASTER'!$S$2:$S$495))-(ROW('CONTROL MASTER'!#REF!)-1)))&amp;TRIM(MID(SUBSTITUTE(SUBSTITUTE(INDEX('CONTROL MASTER'!$N$2:$N$495,(SUMPRODUCT((('CONTROL MASTER'!$S$2:$S$495=2)*('CONTROL MASTER'!$Z$2:$Z$495&lt;=9)*('CONTROL MASTER'!$AB$2:$AB$495&gt;=9)*('CONTROL MASTER'!$AA$2:$AA$495&lt;=4)*('CONTROL MASTER'!$AC$2:$AC$495&gt;=4))*ROW('CONTROL MASTER'!$S$2:$S$495))-(ROW('CONTROL MASTER'!#REF!)-1))),":",","),",",REPT(" ",50)),(((INDEX('CONTROL MASTER'!$Y$2:$Y$495,(SUMPRODUCT((('CONTROL MASTER'!$S$2:$S$495=2)*('CONTROL MASTER'!$Z$2:$Z$495&lt;=9)*('CONTROL MASTER'!$AB$2:$AB$495&gt;=9)*('CONTROL MASTER'!$AA$2:$AA$495&lt;=4)*('CONTROL MASTER'!$AC$2:$AC$495&gt;=4))*ROW('CONTROL MASTER'!$S$2:$S$495))-(ROW('CONTROL MASTER'!#REF!)-1)))+((9-INDEX('CONTROL MASTER'!$Z$2:$Z$495,(SUMPRODUCT((('CONTROL MASTER'!$S$2:$S$495=2)*('CONTROL MASTER'!$Z$2:$Z$495&lt;=9)*('CONTROL MASTER'!$AB$2:$AB$495&gt;=9)*('CONTROL MASTER'!$AA$2:$AA$495&lt;=4)*('CONTROL MASTER'!$AC$2:$AC$495&gt;=4))*ROW('CONTROL MASTER'!$S$2:$S$495))-(ROW('CONTROL MASTER'!#REF!)-1))))*(INDEX('CONTROL MASTER'!$AC$2:$AC$495,(SUMPRODUCT((('CONTROL MASTER'!$S$2:$S$495=2)*('CONTROL MASTER'!$Z$2:$Z$495&lt;=9)*('CONTROL MASTER'!$AB$2:$AB$495&gt;=9)*('CONTROL MASTER'!$AA$2:$AA$495&lt;=4)*('CONTROL MASTER'!$AC$2:$AC$495&gt;=4))*ROW('CONTROL MASTER'!$S$2:$S$495))-(ROW('CONTROL MASTER'!#REF!)-1)))-INDEX('CONTROL MASTER'!$AA$2:$AA$495,(SUMPRODUCT((('CONTROL MASTER'!$S$2:$S$495=2)*('CONTROL MASTER'!$Z$2:$Z$495&lt;=9)*('CONTROL MASTER'!$AB$2:$AB$495&gt;=9)*('CONTROL MASTER'!$AA$2:$AA$495&lt;=4)*('CONTROL MASTER'!$AC$2:$AC$495&gt;=4))*ROW('CONTROL MASTER'!$S$2:$S$495))-(ROW('CONTROL MASTER'!#REF!)-1)))+1)+(4-INDEX('CONTROL MASTER'!$AA$2:$AA$495,(SUMPRODUCT((('CONTROL MASTER'!$S$2:$S$495=2)*('CONTROL MASTER'!$Z$2:$Z$495&lt;=9)*('CONTROL MASTER'!$AB$2:$AB$495&gt;=9)*('CONTROL MASTER'!$AA$2:$AA$495&lt;=4)*('CONTROL MASTER'!$AC$2:$AC$495&gt;=4))*ROW('CONTROL MASTER'!$S$2:$S$495))-(ROW('CONTROL MASTER'!#REF!)-1))))+1)))-1)*50+1,50))&amp;"_"&amp;INDEX('CONTROL MASTER'!$P$2:$P$495,(SUMPRODUCT((('CONTROL MASTER'!$S$2:$S$495=2)*('CONTROL MASTER'!$Z$2:$Z$495&lt;=9)*('CONTROL MASTER'!$AB$2:$AB$495&gt;=9)*('CONTROL MASTER'!$AA$2:$AA$495&lt;=4)*('CONTROL MASTER'!$AC$2:$AC$495&gt;=4))*ROW('CONTROL MASTER'!$S$2:$S$495))-(ROW('CONTROL MASTER'!#REF!)-1))),"")),"")</f>
        <v/>
      </c>
      <c r="F25" s="10" t="str">
        <f>IFERROR(IF(SUMPRODUCT((('CONTROL MASTER'!$S$2:$S$495=2)*('CONTROL MASTER'!$T$2:$T$495&lt;=9)*('CONTROL MASTER'!$V$2:$V$495&gt;=9)*('CONTROL MASTER'!$U$2:$U$495&lt;=5)*('CONTROL MASTER'!$W$2:$W$495&gt;=5))*ROW('CONTROL MASTER'!$S$2:$S$495))&gt;0,INDEX('CONTROL MASTER'!$X$2:$X$495,(SUMPRODUCT((('CONTROL MASTER'!$S$2:$S$495=2)*('CONTROL MASTER'!$T$2:$T$495&lt;=9)*('CONTROL MASTER'!$V$2:$V$495&gt;=9)*('CONTROL MASTER'!$U$2:$U$495&lt;=5)*('CONTROL MASTER'!$W$2:$W$495&gt;=5))*ROW('CONTROL MASTER'!$S$2:$S$495))-(ROW('CONTROL MASTER'!#REF!)-1)))&amp;TRIM(MID(SUBSTITUTE(SUBSTITUTE(INDEX('CONTROL MASTER'!$N$2:$N$495,(SUMPRODUCT((('CONTROL MASTER'!$S$2:$S$495=2)*('CONTROL MASTER'!$T$2:$T$495&lt;=9)*('CONTROL MASTER'!$V$2:$V$495&gt;=9)*('CONTROL MASTER'!$U$2:$U$495&lt;=5)*('CONTROL MASTER'!$W$2:$W$495&gt;=5))*ROW('CONTROL MASTER'!$S$2:$S$495))-(ROW('CONTROL MASTER'!#REF!)-1))),":",","),",",REPT(" ",50)),((((9-INDEX('CONTROL MASTER'!$T$2:$T$495,(SUMPRODUCT((('CONTROL MASTER'!$S$2:$S$495=2)*('CONTROL MASTER'!$T$2:$T$495&lt;=9)*('CONTROL MASTER'!$V$2:$V$495&gt;=9)*('CONTROL MASTER'!$U$2:$U$495&lt;=5)*('CONTROL MASTER'!$W$2:$W$495&gt;=5))*ROW('CONTROL MASTER'!$S$2:$S$495))-(ROW('CONTROL MASTER'!#REF!)-1))))*(INDEX('CONTROL MASTER'!$W$2:$W$495,(SUMPRODUCT((('CONTROL MASTER'!$S$2:$S$495=2)*('CONTROL MASTER'!$T$2:$T$495&lt;=9)*('CONTROL MASTER'!$V$2:$V$495&gt;=9)*('CONTROL MASTER'!$U$2:$U$495&lt;=5)*('CONTROL MASTER'!$W$2:$W$495&gt;=5))*ROW('CONTROL MASTER'!$S$2:$S$495))-(ROW('CONTROL MASTER'!#REF!)-1)))-INDEX('CONTROL MASTER'!$U$2:$U$495,(SUMPRODUCT((('CONTROL MASTER'!$S$2:$S$495=2)*('CONTROL MASTER'!$T$2:$T$495&lt;=9)*('CONTROL MASTER'!$V$2:$V$495&gt;=9)*('CONTROL MASTER'!$U$2:$U$495&lt;=5)*('CONTROL MASTER'!$W$2:$W$495&gt;=5))*ROW('CONTROL MASTER'!$S$2:$S$495))-(ROW('CONTROL MASTER'!#REF!)-1)))+1)+(5-INDEX('CONTROL MASTER'!$U$2:$U$495,(SUMPRODUCT((('CONTROL MASTER'!$S$2:$S$495=2)*('CONTROL MASTER'!$T$2:$T$495&lt;=9)*('CONTROL MASTER'!$V$2:$V$495&gt;=9)*('CONTROL MASTER'!$U$2:$U$495&lt;=5)*('CONTROL MASTER'!$W$2:$W$495&gt;=5))*ROW('CONTROL MASTER'!$S$2:$S$495))-(ROW('CONTROL MASTER'!#REF!)-1))))+1))-1)*50+1,50))&amp;"_"&amp;INDEX('CONTROL MASTER'!$P$2:$P$495,(SUMPRODUCT((('CONTROL MASTER'!$S$2:$S$495=2)*('CONTROL MASTER'!$T$2:$T$495&lt;=9)*('CONTROL MASTER'!$V$2:$V$495&gt;=9)*('CONTROL MASTER'!$U$2:$U$495&lt;=5)*('CONTROL MASTER'!$W$2:$W$495&gt;=5))*ROW('CONTROL MASTER'!$S$2:$S$495))-(ROW('CONTROL MASTER'!#REF!)-1))),IF(SUMPRODUCT((('CONTROL MASTER'!$S$2:$S$495=2)*('CONTROL MASTER'!$Z$2:$Z$495&lt;=9)*('CONTROL MASTER'!$AB$2:$AB$495&gt;=9)*('CONTROL MASTER'!$AA$2:$AA$495&lt;=5)*('CONTROL MASTER'!$AC$2:$AC$495&gt;=5))*ROW('CONTROL MASTER'!$S$2:$S$495))&gt;0,INDEX('CONTROL MASTER'!$X$2:$X$495,(SUMPRODUCT((('CONTROL MASTER'!$S$2:$S$495=2)*('CONTROL MASTER'!$Z$2:$Z$495&lt;=9)*('CONTROL MASTER'!$AB$2:$AB$495&gt;=9)*('CONTROL MASTER'!$AA$2:$AA$495&lt;=5)*('CONTROL MASTER'!$AC$2:$AC$495&gt;=5))*ROW('CONTROL MASTER'!$S$2:$S$495))-(ROW('CONTROL MASTER'!#REF!)-1)))&amp;TRIM(MID(SUBSTITUTE(SUBSTITUTE(INDEX('CONTROL MASTER'!$N$2:$N$495,(SUMPRODUCT((('CONTROL MASTER'!$S$2:$S$495=2)*('CONTROL MASTER'!$Z$2:$Z$495&lt;=9)*('CONTROL MASTER'!$AB$2:$AB$495&gt;=9)*('CONTROL MASTER'!$AA$2:$AA$495&lt;=5)*('CONTROL MASTER'!$AC$2:$AC$495&gt;=5))*ROW('CONTROL MASTER'!$S$2:$S$495))-(ROW('CONTROL MASTER'!#REF!)-1))),":",","),",",REPT(" ",50)),(((INDEX('CONTROL MASTER'!$Y$2:$Y$495,(SUMPRODUCT((('CONTROL MASTER'!$S$2:$S$495=2)*('CONTROL MASTER'!$Z$2:$Z$495&lt;=9)*('CONTROL MASTER'!$AB$2:$AB$495&gt;=9)*('CONTROL MASTER'!$AA$2:$AA$495&lt;=5)*('CONTROL MASTER'!$AC$2:$AC$495&gt;=5))*ROW('CONTROL MASTER'!$S$2:$S$495))-(ROW('CONTROL MASTER'!#REF!)-1)))+((9-INDEX('CONTROL MASTER'!$Z$2:$Z$495,(SUMPRODUCT((('CONTROL MASTER'!$S$2:$S$495=2)*('CONTROL MASTER'!$Z$2:$Z$495&lt;=9)*('CONTROL MASTER'!$AB$2:$AB$495&gt;=9)*('CONTROL MASTER'!$AA$2:$AA$495&lt;=5)*('CONTROL MASTER'!$AC$2:$AC$495&gt;=5))*ROW('CONTROL MASTER'!$S$2:$S$495))-(ROW('CONTROL MASTER'!#REF!)-1))))*(INDEX('CONTROL MASTER'!$AC$2:$AC$495,(SUMPRODUCT((('CONTROL MASTER'!$S$2:$S$495=2)*('CONTROL MASTER'!$Z$2:$Z$495&lt;=9)*('CONTROL MASTER'!$AB$2:$AB$495&gt;=9)*('CONTROL MASTER'!$AA$2:$AA$495&lt;=5)*('CONTROL MASTER'!$AC$2:$AC$495&gt;=5))*ROW('CONTROL MASTER'!$S$2:$S$495))-(ROW('CONTROL MASTER'!#REF!)-1)))-INDEX('CONTROL MASTER'!$AA$2:$AA$495,(SUMPRODUCT((('CONTROL MASTER'!$S$2:$S$495=2)*('CONTROL MASTER'!$Z$2:$Z$495&lt;=9)*('CONTROL MASTER'!$AB$2:$AB$495&gt;=9)*('CONTROL MASTER'!$AA$2:$AA$495&lt;=5)*('CONTROL MASTER'!$AC$2:$AC$495&gt;=5))*ROW('CONTROL MASTER'!$S$2:$S$495))-(ROW('CONTROL MASTER'!#REF!)-1)))+1)+(5-INDEX('CONTROL MASTER'!$AA$2:$AA$495,(SUMPRODUCT((('CONTROL MASTER'!$S$2:$S$495=2)*('CONTROL MASTER'!$Z$2:$Z$495&lt;=9)*('CONTROL MASTER'!$AB$2:$AB$495&gt;=9)*('CONTROL MASTER'!$AA$2:$AA$495&lt;=5)*('CONTROL MASTER'!$AC$2:$AC$495&gt;=5))*ROW('CONTROL MASTER'!$S$2:$S$495))-(ROW('CONTROL MASTER'!#REF!)-1))))+1)))-1)*50+1,50))&amp;"_"&amp;INDEX('CONTROL MASTER'!$P$2:$P$495,(SUMPRODUCT((('CONTROL MASTER'!$S$2:$S$495=2)*('CONTROL MASTER'!$Z$2:$Z$495&lt;=9)*('CONTROL MASTER'!$AB$2:$AB$495&gt;=9)*('CONTROL MASTER'!$AA$2:$AA$495&lt;=5)*('CONTROL MASTER'!$AC$2:$AC$495&gt;=5))*ROW('CONTROL MASTER'!$S$2:$S$495))-(ROW('CONTROL MASTER'!#REF!)-1))),"")),"")</f>
        <v/>
      </c>
      <c r="G25" s="10" t="str">
        <f>IFERROR(IF(SUMPRODUCT((('CONTROL MASTER'!$S$2:$S$495=2)*('CONTROL MASTER'!$T$2:$T$495&lt;=9)*('CONTROL MASTER'!$V$2:$V$495&gt;=9)*('CONTROL MASTER'!$U$2:$U$495&lt;=6)*('CONTROL MASTER'!$W$2:$W$495&gt;=6))*ROW('CONTROL MASTER'!$S$2:$S$495))&gt;0,INDEX('CONTROL MASTER'!$X$2:$X$495,(SUMPRODUCT((('CONTROL MASTER'!$S$2:$S$495=2)*('CONTROL MASTER'!$T$2:$T$495&lt;=9)*('CONTROL MASTER'!$V$2:$V$495&gt;=9)*('CONTROL MASTER'!$U$2:$U$495&lt;=6)*('CONTROL MASTER'!$W$2:$W$495&gt;=6))*ROW('CONTROL MASTER'!$S$2:$S$495))-(ROW('CONTROL MASTER'!#REF!)-1)))&amp;TRIM(MID(SUBSTITUTE(SUBSTITUTE(INDEX('CONTROL MASTER'!$N$2:$N$495,(SUMPRODUCT((('CONTROL MASTER'!$S$2:$S$495=2)*('CONTROL MASTER'!$T$2:$T$495&lt;=9)*('CONTROL MASTER'!$V$2:$V$495&gt;=9)*('CONTROL MASTER'!$U$2:$U$495&lt;=6)*('CONTROL MASTER'!$W$2:$W$495&gt;=6))*ROW('CONTROL MASTER'!$S$2:$S$495))-(ROW('CONTROL MASTER'!#REF!)-1))),":",","),",",REPT(" ",50)),((((9-INDEX('CONTROL MASTER'!$T$2:$T$495,(SUMPRODUCT((('CONTROL MASTER'!$S$2:$S$495=2)*('CONTROL MASTER'!$T$2:$T$495&lt;=9)*('CONTROL MASTER'!$V$2:$V$495&gt;=9)*('CONTROL MASTER'!$U$2:$U$495&lt;=6)*('CONTROL MASTER'!$W$2:$W$495&gt;=6))*ROW('CONTROL MASTER'!$S$2:$S$495))-(ROW('CONTROL MASTER'!#REF!)-1))))*(INDEX('CONTROL MASTER'!$W$2:$W$495,(SUMPRODUCT((('CONTROL MASTER'!$S$2:$S$495=2)*('CONTROL MASTER'!$T$2:$T$495&lt;=9)*('CONTROL MASTER'!$V$2:$V$495&gt;=9)*('CONTROL MASTER'!$U$2:$U$495&lt;=6)*('CONTROL MASTER'!$W$2:$W$495&gt;=6))*ROW('CONTROL MASTER'!$S$2:$S$495))-(ROW('CONTROL MASTER'!#REF!)-1)))-INDEX('CONTROL MASTER'!$U$2:$U$495,(SUMPRODUCT((('CONTROL MASTER'!$S$2:$S$495=2)*('CONTROL MASTER'!$T$2:$T$495&lt;=9)*('CONTROL MASTER'!$V$2:$V$495&gt;=9)*('CONTROL MASTER'!$U$2:$U$495&lt;=6)*('CONTROL MASTER'!$W$2:$W$495&gt;=6))*ROW('CONTROL MASTER'!$S$2:$S$495))-(ROW('CONTROL MASTER'!#REF!)-1)))+1)+(6-INDEX('CONTROL MASTER'!$U$2:$U$495,(SUMPRODUCT((('CONTROL MASTER'!$S$2:$S$495=2)*('CONTROL MASTER'!$T$2:$T$495&lt;=9)*('CONTROL MASTER'!$V$2:$V$495&gt;=9)*('CONTROL MASTER'!$U$2:$U$495&lt;=6)*('CONTROL MASTER'!$W$2:$W$495&gt;=6))*ROW('CONTROL MASTER'!$S$2:$S$495))-(ROW('CONTROL MASTER'!#REF!)-1))))+1))-1)*50+1,50))&amp;"_"&amp;INDEX('CONTROL MASTER'!$P$2:$P$495,(SUMPRODUCT((('CONTROL MASTER'!$S$2:$S$495=2)*('CONTROL MASTER'!$T$2:$T$495&lt;=9)*('CONTROL MASTER'!$V$2:$V$495&gt;=9)*('CONTROL MASTER'!$U$2:$U$495&lt;=6)*('CONTROL MASTER'!$W$2:$W$495&gt;=6))*ROW('CONTROL MASTER'!$S$2:$S$495))-(ROW('CONTROL MASTER'!#REF!)-1))),IF(SUMPRODUCT((('CONTROL MASTER'!$S$2:$S$495=2)*('CONTROL MASTER'!$Z$2:$Z$495&lt;=9)*('CONTROL MASTER'!$AB$2:$AB$495&gt;=9)*('CONTROL MASTER'!$AA$2:$AA$495&lt;=6)*('CONTROL MASTER'!$AC$2:$AC$495&gt;=6))*ROW('CONTROL MASTER'!$S$2:$S$495))&gt;0,INDEX('CONTROL MASTER'!$X$2:$X$495,(SUMPRODUCT((('CONTROL MASTER'!$S$2:$S$495=2)*('CONTROL MASTER'!$Z$2:$Z$495&lt;=9)*('CONTROL MASTER'!$AB$2:$AB$495&gt;=9)*('CONTROL MASTER'!$AA$2:$AA$495&lt;=6)*('CONTROL MASTER'!$AC$2:$AC$495&gt;=6))*ROW('CONTROL MASTER'!$S$2:$S$495))-(ROW('CONTROL MASTER'!#REF!)-1)))&amp;TRIM(MID(SUBSTITUTE(SUBSTITUTE(INDEX('CONTROL MASTER'!$N$2:$N$495,(SUMPRODUCT((('CONTROL MASTER'!$S$2:$S$495=2)*('CONTROL MASTER'!$Z$2:$Z$495&lt;=9)*('CONTROL MASTER'!$AB$2:$AB$495&gt;=9)*('CONTROL MASTER'!$AA$2:$AA$495&lt;=6)*('CONTROL MASTER'!$AC$2:$AC$495&gt;=6))*ROW('CONTROL MASTER'!$S$2:$S$495))-(ROW('CONTROL MASTER'!#REF!)-1))),":",","),",",REPT(" ",50)),(((INDEX('CONTROL MASTER'!$Y$2:$Y$495,(SUMPRODUCT((('CONTROL MASTER'!$S$2:$S$495=2)*('CONTROL MASTER'!$Z$2:$Z$495&lt;=9)*('CONTROL MASTER'!$AB$2:$AB$495&gt;=9)*('CONTROL MASTER'!$AA$2:$AA$495&lt;=6)*('CONTROL MASTER'!$AC$2:$AC$495&gt;=6))*ROW('CONTROL MASTER'!$S$2:$S$495))-(ROW('CONTROL MASTER'!#REF!)-1)))+((9-INDEX('CONTROL MASTER'!$Z$2:$Z$495,(SUMPRODUCT((('CONTROL MASTER'!$S$2:$S$495=2)*('CONTROL MASTER'!$Z$2:$Z$495&lt;=9)*('CONTROL MASTER'!$AB$2:$AB$495&gt;=9)*('CONTROL MASTER'!$AA$2:$AA$495&lt;=6)*('CONTROL MASTER'!$AC$2:$AC$495&gt;=6))*ROW('CONTROL MASTER'!$S$2:$S$495))-(ROW('CONTROL MASTER'!#REF!)-1))))*(INDEX('CONTROL MASTER'!$AC$2:$AC$495,(SUMPRODUCT((('CONTROL MASTER'!$S$2:$S$495=2)*('CONTROL MASTER'!$Z$2:$Z$495&lt;=9)*('CONTROL MASTER'!$AB$2:$AB$495&gt;=9)*('CONTROL MASTER'!$AA$2:$AA$495&lt;=6)*('CONTROL MASTER'!$AC$2:$AC$495&gt;=6))*ROW('CONTROL MASTER'!$S$2:$S$495))-(ROW('CONTROL MASTER'!#REF!)-1)))-INDEX('CONTROL MASTER'!$AA$2:$AA$495,(SUMPRODUCT((('CONTROL MASTER'!$S$2:$S$495=2)*('CONTROL MASTER'!$Z$2:$Z$495&lt;=9)*('CONTROL MASTER'!$AB$2:$AB$495&gt;=9)*('CONTROL MASTER'!$AA$2:$AA$495&lt;=6)*('CONTROL MASTER'!$AC$2:$AC$495&gt;=6))*ROW('CONTROL MASTER'!$S$2:$S$495))-(ROW('CONTROL MASTER'!#REF!)-1)))+1)+(6-INDEX('CONTROL MASTER'!$AA$2:$AA$495,(SUMPRODUCT((('CONTROL MASTER'!$S$2:$S$495=2)*('CONTROL MASTER'!$Z$2:$Z$495&lt;=9)*('CONTROL MASTER'!$AB$2:$AB$495&gt;=9)*('CONTROL MASTER'!$AA$2:$AA$495&lt;=6)*('CONTROL MASTER'!$AC$2:$AC$495&gt;=6))*ROW('CONTROL MASTER'!$S$2:$S$495))-(ROW('CONTROL MASTER'!#REF!)-1))))+1)))-1)*50+1,50))&amp;"_"&amp;INDEX('CONTROL MASTER'!$P$2:$P$495,(SUMPRODUCT((('CONTROL MASTER'!$S$2:$S$495=2)*('CONTROL MASTER'!$Z$2:$Z$495&lt;=9)*('CONTROL MASTER'!$AB$2:$AB$495&gt;=9)*('CONTROL MASTER'!$AA$2:$AA$495&lt;=6)*('CONTROL MASTER'!$AC$2:$AC$495&gt;=6))*ROW('CONTROL MASTER'!$S$2:$S$495))-(ROW('CONTROL MASTER'!#REF!)-1))),"")),"")</f>
        <v/>
      </c>
      <c r="H25" s="10" t="str">
        <f>IFERROR(IF(SUMPRODUCT((('CONTROL MASTER'!$S$2:$S$495=2)*('CONTROL MASTER'!$T$2:$T$495&lt;=9)*('CONTROL MASTER'!$V$2:$V$495&gt;=9)*('CONTROL MASTER'!$U$2:$U$495&lt;=7)*('CONTROL MASTER'!$W$2:$W$495&gt;=7))*ROW('CONTROL MASTER'!$S$2:$S$495))&gt;0,INDEX('CONTROL MASTER'!$X$2:$X$495,(SUMPRODUCT((('CONTROL MASTER'!$S$2:$S$495=2)*('CONTROL MASTER'!$T$2:$T$495&lt;=9)*('CONTROL MASTER'!$V$2:$V$495&gt;=9)*('CONTROL MASTER'!$U$2:$U$495&lt;=7)*('CONTROL MASTER'!$W$2:$W$495&gt;=7))*ROW('CONTROL MASTER'!$S$2:$S$495))-(ROW('CONTROL MASTER'!#REF!)-1)))&amp;TRIM(MID(SUBSTITUTE(SUBSTITUTE(INDEX('CONTROL MASTER'!$N$2:$N$495,(SUMPRODUCT((('CONTROL MASTER'!$S$2:$S$495=2)*('CONTROL MASTER'!$T$2:$T$495&lt;=9)*('CONTROL MASTER'!$V$2:$V$495&gt;=9)*('CONTROL MASTER'!$U$2:$U$495&lt;=7)*('CONTROL MASTER'!$W$2:$W$495&gt;=7))*ROW('CONTROL MASTER'!$S$2:$S$495))-(ROW('CONTROL MASTER'!#REF!)-1))),":",","),",",REPT(" ",50)),((((9-INDEX('CONTROL MASTER'!$T$2:$T$495,(SUMPRODUCT((('CONTROL MASTER'!$S$2:$S$495=2)*('CONTROL MASTER'!$T$2:$T$495&lt;=9)*('CONTROL MASTER'!$V$2:$V$495&gt;=9)*('CONTROL MASTER'!$U$2:$U$495&lt;=7)*('CONTROL MASTER'!$W$2:$W$495&gt;=7))*ROW('CONTROL MASTER'!$S$2:$S$495))-(ROW('CONTROL MASTER'!#REF!)-1))))*(INDEX('CONTROL MASTER'!$W$2:$W$495,(SUMPRODUCT((('CONTROL MASTER'!$S$2:$S$495=2)*('CONTROL MASTER'!$T$2:$T$495&lt;=9)*('CONTROL MASTER'!$V$2:$V$495&gt;=9)*('CONTROL MASTER'!$U$2:$U$495&lt;=7)*('CONTROL MASTER'!$W$2:$W$495&gt;=7))*ROW('CONTROL MASTER'!$S$2:$S$495))-(ROW('CONTROL MASTER'!#REF!)-1)))-INDEX('CONTROL MASTER'!$U$2:$U$495,(SUMPRODUCT((('CONTROL MASTER'!$S$2:$S$495=2)*('CONTROL MASTER'!$T$2:$T$495&lt;=9)*('CONTROL MASTER'!$V$2:$V$495&gt;=9)*('CONTROL MASTER'!$U$2:$U$495&lt;=7)*('CONTROL MASTER'!$W$2:$W$495&gt;=7))*ROW('CONTROL MASTER'!$S$2:$S$495))-(ROW('CONTROL MASTER'!#REF!)-1)))+1)+(7-INDEX('CONTROL MASTER'!$U$2:$U$495,(SUMPRODUCT((('CONTROL MASTER'!$S$2:$S$495=2)*('CONTROL MASTER'!$T$2:$T$495&lt;=9)*('CONTROL MASTER'!$V$2:$V$495&gt;=9)*('CONTROL MASTER'!$U$2:$U$495&lt;=7)*('CONTROL MASTER'!$W$2:$W$495&gt;=7))*ROW('CONTROL MASTER'!$S$2:$S$495))-(ROW('CONTROL MASTER'!#REF!)-1))))+1))-1)*50+1,50))&amp;"_"&amp;INDEX('CONTROL MASTER'!$P$2:$P$495,(SUMPRODUCT((('CONTROL MASTER'!$S$2:$S$495=2)*('CONTROL MASTER'!$T$2:$T$495&lt;=9)*('CONTROL MASTER'!$V$2:$V$495&gt;=9)*('CONTROL MASTER'!$U$2:$U$495&lt;=7)*('CONTROL MASTER'!$W$2:$W$495&gt;=7))*ROW('CONTROL MASTER'!$S$2:$S$495))-(ROW('CONTROL MASTER'!#REF!)-1))),IF(SUMPRODUCT((('CONTROL MASTER'!$S$2:$S$495=2)*('CONTROL MASTER'!$Z$2:$Z$495&lt;=9)*('CONTROL MASTER'!$AB$2:$AB$495&gt;=9)*('CONTROL MASTER'!$AA$2:$AA$495&lt;=7)*('CONTROL MASTER'!$AC$2:$AC$495&gt;=7))*ROW('CONTROL MASTER'!$S$2:$S$495))&gt;0,INDEX('CONTROL MASTER'!$X$2:$X$495,(SUMPRODUCT((('CONTROL MASTER'!$S$2:$S$495=2)*('CONTROL MASTER'!$Z$2:$Z$495&lt;=9)*('CONTROL MASTER'!$AB$2:$AB$495&gt;=9)*('CONTROL MASTER'!$AA$2:$AA$495&lt;=7)*('CONTROL MASTER'!$AC$2:$AC$495&gt;=7))*ROW('CONTROL MASTER'!$S$2:$S$495))-(ROW('CONTROL MASTER'!#REF!)-1)))&amp;TRIM(MID(SUBSTITUTE(SUBSTITUTE(INDEX('CONTROL MASTER'!$N$2:$N$495,(SUMPRODUCT((('CONTROL MASTER'!$S$2:$S$495=2)*('CONTROL MASTER'!$Z$2:$Z$495&lt;=9)*('CONTROL MASTER'!$AB$2:$AB$495&gt;=9)*('CONTROL MASTER'!$AA$2:$AA$495&lt;=7)*('CONTROL MASTER'!$AC$2:$AC$495&gt;=7))*ROW('CONTROL MASTER'!$S$2:$S$495))-(ROW('CONTROL MASTER'!#REF!)-1))),":",","),",",REPT(" ",50)),(((INDEX('CONTROL MASTER'!$Y$2:$Y$495,(SUMPRODUCT((('CONTROL MASTER'!$S$2:$S$495=2)*('CONTROL MASTER'!$Z$2:$Z$495&lt;=9)*('CONTROL MASTER'!$AB$2:$AB$495&gt;=9)*('CONTROL MASTER'!$AA$2:$AA$495&lt;=7)*('CONTROL MASTER'!$AC$2:$AC$495&gt;=7))*ROW('CONTROL MASTER'!$S$2:$S$495))-(ROW('CONTROL MASTER'!#REF!)-1)))+((9-INDEX('CONTROL MASTER'!$Z$2:$Z$495,(SUMPRODUCT((('CONTROL MASTER'!$S$2:$S$495=2)*('CONTROL MASTER'!$Z$2:$Z$495&lt;=9)*('CONTROL MASTER'!$AB$2:$AB$495&gt;=9)*('CONTROL MASTER'!$AA$2:$AA$495&lt;=7)*('CONTROL MASTER'!$AC$2:$AC$495&gt;=7))*ROW('CONTROL MASTER'!$S$2:$S$495))-(ROW('CONTROL MASTER'!#REF!)-1))))*(INDEX('CONTROL MASTER'!$AC$2:$AC$495,(SUMPRODUCT((('CONTROL MASTER'!$S$2:$S$495=2)*('CONTROL MASTER'!$Z$2:$Z$495&lt;=9)*('CONTROL MASTER'!$AB$2:$AB$495&gt;=9)*('CONTROL MASTER'!$AA$2:$AA$495&lt;=7)*('CONTROL MASTER'!$AC$2:$AC$495&gt;=7))*ROW('CONTROL MASTER'!$S$2:$S$495))-(ROW('CONTROL MASTER'!#REF!)-1)))-INDEX('CONTROL MASTER'!$AA$2:$AA$495,(SUMPRODUCT((('CONTROL MASTER'!$S$2:$S$495=2)*('CONTROL MASTER'!$Z$2:$Z$495&lt;=9)*('CONTROL MASTER'!$AB$2:$AB$495&gt;=9)*('CONTROL MASTER'!$AA$2:$AA$495&lt;=7)*('CONTROL MASTER'!$AC$2:$AC$495&gt;=7))*ROW('CONTROL MASTER'!$S$2:$S$495))-(ROW('CONTROL MASTER'!#REF!)-1)))+1)+(7-INDEX('CONTROL MASTER'!$AA$2:$AA$495,(SUMPRODUCT((('CONTROL MASTER'!$S$2:$S$495=2)*('CONTROL MASTER'!$Z$2:$Z$495&lt;=9)*('CONTROL MASTER'!$AB$2:$AB$495&gt;=9)*('CONTROL MASTER'!$AA$2:$AA$495&lt;=7)*('CONTROL MASTER'!$AC$2:$AC$495&gt;=7))*ROW('CONTROL MASTER'!$S$2:$S$495))-(ROW('CONTROL MASTER'!#REF!)-1))))+1)))-1)*50+1,50))&amp;"_"&amp;INDEX('CONTROL MASTER'!$P$2:$P$495,(SUMPRODUCT((('CONTROL MASTER'!$S$2:$S$495=2)*('CONTROL MASTER'!$Z$2:$Z$495&lt;=9)*('CONTROL MASTER'!$AB$2:$AB$495&gt;=9)*('CONTROL MASTER'!$AA$2:$AA$495&lt;=7)*('CONTROL MASTER'!$AC$2:$AC$495&gt;=7))*ROW('CONTROL MASTER'!$S$2:$S$495))-(ROW('CONTROL MASTER'!#REF!)-1))),"")),"")</f>
        <v/>
      </c>
      <c r="I25" s="10" t="str">
        <f>IFERROR(IF(SUMPRODUCT((('CONTROL MASTER'!$S$2:$S$495=2)*('CONTROL MASTER'!$T$2:$T$495&lt;=9)*('CONTROL MASTER'!$V$2:$V$495&gt;=9)*('CONTROL MASTER'!$U$2:$U$495&lt;=8)*('CONTROL MASTER'!$W$2:$W$495&gt;=8))*ROW('CONTROL MASTER'!$S$2:$S$495))&gt;0,INDEX('CONTROL MASTER'!$X$2:$X$495,(SUMPRODUCT((('CONTROL MASTER'!$S$2:$S$495=2)*('CONTROL MASTER'!$T$2:$T$495&lt;=9)*('CONTROL MASTER'!$V$2:$V$495&gt;=9)*('CONTROL MASTER'!$U$2:$U$495&lt;=8)*('CONTROL MASTER'!$W$2:$W$495&gt;=8))*ROW('CONTROL MASTER'!$S$2:$S$495))-(ROW('CONTROL MASTER'!#REF!)-1)))&amp;TRIM(MID(SUBSTITUTE(SUBSTITUTE(INDEX('CONTROL MASTER'!$N$2:$N$495,(SUMPRODUCT((('CONTROL MASTER'!$S$2:$S$495=2)*('CONTROL MASTER'!$T$2:$T$495&lt;=9)*('CONTROL MASTER'!$V$2:$V$495&gt;=9)*('CONTROL MASTER'!$U$2:$U$495&lt;=8)*('CONTROL MASTER'!$W$2:$W$495&gt;=8))*ROW('CONTROL MASTER'!$S$2:$S$495))-(ROW('CONTROL MASTER'!#REF!)-1))),":",","),",",REPT(" ",50)),((((9-INDEX('CONTROL MASTER'!$T$2:$T$495,(SUMPRODUCT((('CONTROL MASTER'!$S$2:$S$495=2)*('CONTROL MASTER'!$T$2:$T$495&lt;=9)*('CONTROL MASTER'!$V$2:$V$495&gt;=9)*('CONTROL MASTER'!$U$2:$U$495&lt;=8)*('CONTROL MASTER'!$W$2:$W$495&gt;=8))*ROW('CONTROL MASTER'!$S$2:$S$495))-(ROW('CONTROL MASTER'!#REF!)-1))))*(INDEX('CONTROL MASTER'!$W$2:$W$495,(SUMPRODUCT((('CONTROL MASTER'!$S$2:$S$495=2)*('CONTROL MASTER'!$T$2:$T$495&lt;=9)*('CONTROL MASTER'!$V$2:$V$495&gt;=9)*('CONTROL MASTER'!$U$2:$U$495&lt;=8)*('CONTROL MASTER'!$W$2:$W$495&gt;=8))*ROW('CONTROL MASTER'!$S$2:$S$495))-(ROW('CONTROL MASTER'!#REF!)-1)))-INDEX('CONTROL MASTER'!$U$2:$U$495,(SUMPRODUCT((('CONTROL MASTER'!$S$2:$S$495=2)*('CONTROL MASTER'!$T$2:$T$495&lt;=9)*('CONTROL MASTER'!$V$2:$V$495&gt;=9)*('CONTROL MASTER'!$U$2:$U$495&lt;=8)*('CONTROL MASTER'!$W$2:$W$495&gt;=8))*ROW('CONTROL MASTER'!$S$2:$S$495))-(ROW('CONTROL MASTER'!#REF!)-1)))+1)+(8-INDEX('CONTROL MASTER'!$U$2:$U$495,(SUMPRODUCT((('CONTROL MASTER'!$S$2:$S$495=2)*('CONTROL MASTER'!$T$2:$T$495&lt;=9)*('CONTROL MASTER'!$V$2:$V$495&gt;=9)*('CONTROL MASTER'!$U$2:$U$495&lt;=8)*('CONTROL MASTER'!$W$2:$W$495&gt;=8))*ROW('CONTROL MASTER'!$S$2:$S$495))-(ROW('CONTROL MASTER'!#REF!)-1))))+1))-1)*50+1,50))&amp;"_"&amp;INDEX('CONTROL MASTER'!$P$2:$P$495,(SUMPRODUCT((('CONTROL MASTER'!$S$2:$S$495=2)*('CONTROL MASTER'!$T$2:$T$495&lt;=9)*('CONTROL MASTER'!$V$2:$V$495&gt;=9)*('CONTROL MASTER'!$U$2:$U$495&lt;=8)*('CONTROL MASTER'!$W$2:$W$495&gt;=8))*ROW('CONTROL MASTER'!$S$2:$S$495))-(ROW('CONTROL MASTER'!#REF!)-1))),IF(SUMPRODUCT((('CONTROL MASTER'!$S$2:$S$495=2)*('CONTROL MASTER'!$Z$2:$Z$495&lt;=9)*('CONTROL MASTER'!$AB$2:$AB$495&gt;=9)*('CONTROL MASTER'!$AA$2:$AA$495&lt;=8)*('CONTROL MASTER'!$AC$2:$AC$495&gt;=8))*ROW('CONTROL MASTER'!$S$2:$S$495))&gt;0,INDEX('CONTROL MASTER'!$X$2:$X$495,(SUMPRODUCT((('CONTROL MASTER'!$S$2:$S$495=2)*('CONTROL MASTER'!$Z$2:$Z$495&lt;=9)*('CONTROL MASTER'!$AB$2:$AB$495&gt;=9)*('CONTROL MASTER'!$AA$2:$AA$495&lt;=8)*('CONTROL MASTER'!$AC$2:$AC$495&gt;=8))*ROW('CONTROL MASTER'!$S$2:$S$495))-(ROW('CONTROL MASTER'!#REF!)-1)))&amp;TRIM(MID(SUBSTITUTE(SUBSTITUTE(INDEX('CONTROL MASTER'!$N$2:$N$495,(SUMPRODUCT((('CONTROL MASTER'!$S$2:$S$495=2)*('CONTROL MASTER'!$Z$2:$Z$495&lt;=9)*('CONTROL MASTER'!$AB$2:$AB$495&gt;=9)*('CONTROL MASTER'!$AA$2:$AA$495&lt;=8)*('CONTROL MASTER'!$AC$2:$AC$495&gt;=8))*ROW('CONTROL MASTER'!$S$2:$S$495))-(ROW('CONTROL MASTER'!#REF!)-1))),":",","),",",REPT(" ",50)),(((INDEX('CONTROL MASTER'!$Y$2:$Y$495,(SUMPRODUCT((('CONTROL MASTER'!$S$2:$S$495=2)*('CONTROL MASTER'!$Z$2:$Z$495&lt;=9)*('CONTROL MASTER'!$AB$2:$AB$495&gt;=9)*('CONTROL MASTER'!$AA$2:$AA$495&lt;=8)*('CONTROL MASTER'!$AC$2:$AC$495&gt;=8))*ROW('CONTROL MASTER'!$S$2:$S$495))-(ROW('CONTROL MASTER'!#REF!)-1)))+((9-INDEX('CONTROL MASTER'!$Z$2:$Z$495,(SUMPRODUCT((('CONTROL MASTER'!$S$2:$S$495=2)*('CONTROL MASTER'!$Z$2:$Z$495&lt;=9)*('CONTROL MASTER'!$AB$2:$AB$495&gt;=9)*('CONTROL MASTER'!$AA$2:$AA$495&lt;=8)*('CONTROL MASTER'!$AC$2:$AC$495&gt;=8))*ROW('CONTROL MASTER'!$S$2:$S$495))-(ROW('CONTROL MASTER'!#REF!)-1))))*(INDEX('CONTROL MASTER'!$AC$2:$AC$495,(SUMPRODUCT((('CONTROL MASTER'!$S$2:$S$495=2)*('CONTROL MASTER'!$Z$2:$Z$495&lt;=9)*('CONTROL MASTER'!$AB$2:$AB$495&gt;=9)*('CONTROL MASTER'!$AA$2:$AA$495&lt;=8)*('CONTROL MASTER'!$AC$2:$AC$495&gt;=8))*ROW('CONTROL MASTER'!$S$2:$S$495))-(ROW('CONTROL MASTER'!#REF!)-1)))-INDEX('CONTROL MASTER'!$AA$2:$AA$495,(SUMPRODUCT((('CONTROL MASTER'!$S$2:$S$495=2)*('CONTROL MASTER'!$Z$2:$Z$495&lt;=9)*('CONTROL MASTER'!$AB$2:$AB$495&gt;=9)*('CONTROL MASTER'!$AA$2:$AA$495&lt;=8)*('CONTROL MASTER'!$AC$2:$AC$495&gt;=8))*ROW('CONTROL MASTER'!$S$2:$S$495))-(ROW('CONTROL MASTER'!#REF!)-1)))+1)+(8-INDEX('CONTROL MASTER'!$AA$2:$AA$495,(SUMPRODUCT((('CONTROL MASTER'!$S$2:$S$495=2)*('CONTROL MASTER'!$Z$2:$Z$495&lt;=9)*('CONTROL MASTER'!$AB$2:$AB$495&gt;=9)*('CONTROL MASTER'!$AA$2:$AA$495&lt;=8)*('CONTROL MASTER'!$AC$2:$AC$495&gt;=8))*ROW('CONTROL MASTER'!$S$2:$S$495))-(ROW('CONTROL MASTER'!#REF!)-1))))+1)))-1)*50+1,50))&amp;"_"&amp;INDEX('CONTROL MASTER'!$P$2:$P$495,(SUMPRODUCT((('CONTROL MASTER'!$S$2:$S$495=2)*('CONTROL MASTER'!$Z$2:$Z$495&lt;=9)*('CONTROL MASTER'!$AB$2:$AB$495&gt;=9)*('CONTROL MASTER'!$AA$2:$AA$495&lt;=8)*('CONTROL MASTER'!$AC$2:$AC$495&gt;=8))*ROW('CONTROL MASTER'!$S$2:$S$495))-(ROW('CONTROL MASTER'!#REF!)-1))),"")),"")</f>
        <v/>
      </c>
      <c r="J25" s="10" t="str">
        <f>IFERROR(IF(SUMPRODUCT((('CONTROL MASTER'!$S$2:$S$495=2)*('CONTROL MASTER'!$T$2:$T$495&lt;=9)*('CONTROL MASTER'!$V$2:$V$495&gt;=9)*('CONTROL MASTER'!$U$2:$U$495&lt;=9)*('CONTROL MASTER'!$W$2:$W$495&gt;=9))*ROW('CONTROL MASTER'!$S$2:$S$495))&gt;0,INDEX('CONTROL MASTER'!$X$2:$X$495,(SUMPRODUCT((('CONTROL MASTER'!$S$2:$S$495=2)*('CONTROL MASTER'!$T$2:$T$495&lt;=9)*('CONTROL MASTER'!$V$2:$V$495&gt;=9)*('CONTROL MASTER'!$U$2:$U$495&lt;=9)*('CONTROL MASTER'!$W$2:$W$495&gt;=9))*ROW('CONTROL MASTER'!$S$2:$S$495))-(ROW('CONTROL MASTER'!#REF!)-1)))&amp;TRIM(MID(SUBSTITUTE(SUBSTITUTE(INDEX('CONTROL MASTER'!$N$2:$N$495,(SUMPRODUCT((('CONTROL MASTER'!$S$2:$S$495=2)*('CONTROL MASTER'!$T$2:$T$495&lt;=9)*('CONTROL MASTER'!$V$2:$V$495&gt;=9)*('CONTROL MASTER'!$U$2:$U$495&lt;=9)*('CONTROL MASTER'!$W$2:$W$495&gt;=9))*ROW('CONTROL MASTER'!$S$2:$S$495))-(ROW('CONTROL MASTER'!#REF!)-1))),":",","),",",REPT(" ",50)),((((9-INDEX('CONTROL MASTER'!$T$2:$T$495,(SUMPRODUCT((('CONTROL MASTER'!$S$2:$S$495=2)*('CONTROL MASTER'!$T$2:$T$495&lt;=9)*('CONTROL MASTER'!$V$2:$V$495&gt;=9)*('CONTROL MASTER'!$U$2:$U$495&lt;=9)*('CONTROL MASTER'!$W$2:$W$495&gt;=9))*ROW('CONTROL MASTER'!$S$2:$S$495))-(ROW('CONTROL MASTER'!#REF!)-1))))*(INDEX('CONTROL MASTER'!$W$2:$W$495,(SUMPRODUCT((('CONTROL MASTER'!$S$2:$S$495=2)*('CONTROL MASTER'!$T$2:$T$495&lt;=9)*('CONTROL MASTER'!$V$2:$V$495&gt;=9)*('CONTROL MASTER'!$U$2:$U$495&lt;=9)*('CONTROL MASTER'!$W$2:$W$495&gt;=9))*ROW('CONTROL MASTER'!$S$2:$S$495))-(ROW('CONTROL MASTER'!#REF!)-1)))-INDEX('CONTROL MASTER'!$U$2:$U$495,(SUMPRODUCT((('CONTROL MASTER'!$S$2:$S$495=2)*('CONTROL MASTER'!$T$2:$T$495&lt;=9)*('CONTROL MASTER'!$V$2:$V$495&gt;=9)*('CONTROL MASTER'!$U$2:$U$495&lt;=9)*('CONTROL MASTER'!$W$2:$W$495&gt;=9))*ROW('CONTROL MASTER'!$S$2:$S$495))-(ROW('CONTROL MASTER'!#REF!)-1)))+1)+(9-INDEX('CONTROL MASTER'!$U$2:$U$495,(SUMPRODUCT((('CONTROL MASTER'!$S$2:$S$495=2)*('CONTROL MASTER'!$T$2:$T$495&lt;=9)*('CONTROL MASTER'!$V$2:$V$495&gt;=9)*('CONTROL MASTER'!$U$2:$U$495&lt;=9)*('CONTROL MASTER'!$W$2:$W$495&gt;=9))*ROW('CONTROL MASTER'!$S$2:$S$495))-(ROW('CONTROL MASTER'!#REF!)-1))))+1))-1)*50+1,50))&amp;"_"&amp;INDEX('CONTROL MASTER'!$P$2:$P$495,(SUMPRODUCT((('CONTROL MASTER'!$S$2:$S$495=2)*('CONTROL MASTER'!$T$2:$T$495&lt;=9)*('CONTROL MASTER'!$V$2:$V$495&gt;=9)*('CONTROL MASTER'!$U$2:$U$495&lt;=9)*('CONTROL MASTER'!$W$2:$W$495&gt;=9))*ROW('CONTROL MASTER'!$S$2:$S$495))-(ROW('CONTROL MASTER'!#REF!)-1))),IF(SUMPRODUCT((('CONTROL MASTER'!$S$2:$S$495=2)*('CONTROL MASTER'!$Z$2:$Z$495&lt;=9)*('CONTROL MASTER'!$AB$2:$AB$495&gt;=9)*('CONTROL MASTER'!$AA$2:$AA$495&lt;=9)*('CONTROL MASTER'!$AC$2:$AC$495&gt;=9))*ROW('CONTROL MASTER'!$S$2:$S$495))&gt;0,INDEX('CONTROL MASTER'!$X$2:$X$495,(SUMPRODUCT((('CONTROL MASTER'!$S$2:$S$495=2)*('CONTROL MASTER'!$Z$2:$Z$495&lt;=9)*('CONTROL MASTER'!$AB$2:$AB$495&gt;=9)*('CONTROL MASTER'!$AA$2:$AA$495&lt;=9)*('CONTROL MASTER'!$AC$2:$AC$495&gt;=9))*ROW('CONTROL MASTER'!$S$2:$S$495))-(ROW('CONTROL MASTER'!#REF!)-1)))&amp;TRIM(MID(SUBSTITUTE(SUBSTITUTE(INDEX('CONTROL MASTER'!$N$2:$N$495,(SUMPRODUCT((('CONTROL MASTER'!$S$2:$S$495=2)*('CONTROL MASTER'!$Z$2:$Z$495&lt;=9)*('CONTROL MASTER'!$AB$2:$AB$495&gt;=9)*('CONTROL MASTER'!$AA$2:$AA$495&lt;=9)*('CONTROL MASTER'!$AC$2:$AC$495&gt;=9))*ROW('CONTROL MASTER'!$S$2:$S$495))-(ROW('CONTROL MASTER'!#REF!)-1))),":",","),",",REPT(" ",50)),(((INDEX('CONTROL MASTER'!$Y$2:$Y$495,(SUMPRODUCT((('CONTROL MASTER'!$S$2:$S$495=2)*('CONTROL MASTER'!$Z$2:$Z$495&lt;=9)*('CONTROL MASTER'!$AB$2:$AB$495&gt;=9)*('CONTROL MASTER'!$AA$2:$AA$495&lt;=9)*('CONTROL MASTER'!$AC$2:$AC$495&gt;=9))*ROW('CONTROL MASTER'!$S$2:$S$495))-(ROW('CONTROL MASTER'!#REF!)-1)))+((9-INDEX('CONTROL MASTER'!$Z$2:$Z$495,(SUMPRODUCT((('CONTROL MASTER'!$S$2:$S$495=2)*('CONTROL MASTER'!$Z$2:$Z$495&lt;=9)*('CONTROL MASTER'!$AB$2:$AB$495&gt;=9)*('CONTROL MASTER'!$AA$2:$AA$495&lt;=9)*('CONTROL MASTER'!$AC$2:$AC$495&gt;=9))*ROW('CONTROL MASTER'!$S$2:$S$495))-(ROW('CONTROL MASTER'!#REF!)-1))))*(INDEX('CONTROL MASTER'!$AC$2:$AC$495,(SUMPRODUCT((('CONTROL MASTER'!$S$2:$S$495=2)*('CONTROL MASTER'!$Z$2:$Z$495&lt;=9)*('CONTROL MASTER'!$AB$2:$AB$495&gt;=9)*('CONTROL MASTER'!$AA$2:$AA$495&lt;=9)*('CONTROL MASTER'!$AC$2:$AC$495&gt;=9))*ROW('CONTROL MASTER'!$S$2:$S$495))-(ROW('CONTROL MASTER'!#REF!)-1)))-INDEX('CONTROL MASTER'!$AA$2:$AA$495,(SUMPRODUCT((('CONTROL MASTER'!$S$2:$S$495=2)*('CONTROL MASTER'!$Z$2:$Z$495&lt;=9)*('CONTROL MASTER'!$AB$2:$AB$495&gt;=9)*('CONTROL MASTER'!$AA$2:$AA$495&lt;=9)*('CONTROL MASTER'!$AC$2:$AC$495&gt;=9))*ROW('CONTROL MASTER'!$S$2:$S$495))-(ROW('CONTROL MASTER'!#REF!)-1)))+1)+(9-INDEX('CONTROL MASTER'!$AA$2:$AA$495,(SUMPRODUCT((('CONTROL MASTER'!$S$2:$S$495=2)*('CONTROL MASTER'!$Z$2:$Z$495&lt;=9)*('CONTROL MASTER'!$AB$2:$AB$495&gt;=9)*('CONTROL MASTER'!$AA$2:$AA$495&lt;=9)*('CONTROL MASTER'!$AC$2:$AC$495&gt;=9))*ROW('CONTROL MASTER'!$S$2:$S$495))-(ROW('CONTROL MASTER'!#REF!)-1))))+1)))-1)*50+1,50))&amp;"_"&amp;INDEX('CONTROL MASTER'!$P$2:$P$495,(SUMPRODUCT((('CONTROL MASTER'!$S$2:$S$495=2)*('CONTROL MASTER'!$Z$2:$Z$495&lt;=9)*('CONTROL MASTER'!$AB$2:$AB$495&gt;=9)*('CONTROL MASTER'!$AA$2:$AA$495&lt;=9)*('CONTROL MASTER'!$AC$2:$AC$495&gt;=9))*ROW('CONTROL MASTER'!$S$2:$S$495))-(ROW('CONTROL MASTER'!#REF!)-1))),"")),"")</f>
        <v/>
      </c>
      <c r="K25" s="10" t="str">
        <f>IFERROR(IF(SUMPRODUCT((('CONTROL MASTER'!$S$2:$S$495=2)*('CONTROL MASTER'!$T$2:$T$495&lt;=9)*('CONTROL MASTER'!$V$2:$V$495&gt;=9)*('CONTROL MASTER'!$U$2:$U$495&lt;=10)*('CONTROL MASTER'!$W$2:$W$495&gt;=10))*ROW('CONTROL MASTER'!$S$2:$S$495))&gt;0,INDEX('CONTROL MASTER'!$X$2:$X$495,(SUMPRODUCT((('CONTROL MASTER'!$S$2:$S$495=2)*('CONTROL MASTER'!$T$2:$T$495&lt;=9)*('CONTROL MASTER'!$V$2:$V$495&gt;=9)*('CONTROL MASTER'!$U$2:$U$495&lt;=10)*('CONTROL MASTER'!$W$2:$W$495&gt;=10))*ROW('CONTROL MASTER'!$S$2:$S$495))-(ROW('CONTROL MASTER'!#REF!)-1)))&amp;TRIM(MID(SUBSTITUTE(SUBSTITUTE(INDEX('CONTROL MASTER'!$N$2:$N$495,(SUMPRODUCT((('CONTROL MASTER'!$S$2:$S$495=2)*('CONTROL MASTER'!$T$2:$T$495&lt;=9)*('CONTROL MASTER'!$V$2:$V$495&gt;=9)*('CONTROL MASTER'!$U$2:$U$495&lt;=10)*('CONTROL MASTER'!$W$2:$W$495&gt;=10))*ROW('CONTROL MASTER'!$S$2:$S$495))-(ROW('CONTROL MASTER'!#REF!)-1))),":",","),",",REPT(" ",50)),((((9-INDEX('CONTROL MASTER'!$T$2:$T$495,(SUMPRODUCT((('CONTROL MASTER'!$S$2:$S$495=2)*('CONTROL MASTER'!$T$2:$T$495&lt;=9)*('CONTROL MASTER'!$V$2:$V$495&gt;=9)*('CONTROL MASTER'!$U$2:$U$495&lt;=10)*('CONTROL MASTER'!$W$2:$W$495&gt;=10))*ROW('CONTROL MASTER'!$S$2:$S$495))-(ROW('CONTROL MASTER'!#REF!)-1))))*(INDEX('CONTROL MASTER'!$W$2:$W$495,(SUMPRODUCT((('CONTROL MASTER'!$S$2:$S$495=2)*('CONTROL MASTER'!$T$2:$T$495&lt;=9)*('CONTROL MASTER'!$V$2:$V$495&gt;=9)*('CONTROL MASTER'!$U$2:$U$495&lt;=10)*('CONTROL MASTER'!$W$2:$W$495&gt;=10))*ROW('CONTROL MASTER'!$S$2:$S$495))-(ROW('CONTROL MASTER'!#REF!)-1)))-INDEX('CONTROL MASTER'!$U$2:$U$495,(SUMPRODUCT((('CONTROL MASTER'!$S$2:$S$495=2)*('CONTROL MASTER'!$T$2:$T$495&lt;=9)*('CONTROL MASTER'!$V$2:$V$495&gt;=9)*('CONTROL MASTER'!$U$2:$U$495&lt;=10)*('CONTROL MASTER'!$W$2:$W$495&gt;=10))*ROW('CONTROL MASTER'!$S$2:$S$495))-(ROW('CONTROL MASTER'!#REF!)-1)))+1)+(10-INDEX('CONTROL MASTER'!$U$2:$U$495,(SUMPRODUCT((('CONTROL MASTER'!$S$2:$S$495=2)*('CONTROL MASTER'!$T$2:$T$495&lt;=9)*('CONTROL MASTER'!$V$2:$V$495&gt;=9)*('CONTROL MASTER'!$U$2:$U$495&lt;=10)*('CONTROL MASTER'!$W$2:$W$495&gt;=10))*ROW('CONTROL MASTER'!$S$2:$S$495))-(ROW('CONTROL MASTER'!#REF!)-1))))+1))-1)*50+1,50))&amp;"_"&amp;INDEX('CONTROL MASTER'!$P$2:$P$495,(SUMPRODUCT((('CONTROL MASTER'!$S$2:$S$495=2)*('CONTROL MASTER'!$T$2:$T$495&lt;=9)*('CONTROL MASTER'!$V$2:$V$495&gt;=9)*('CONTROL MASTER'!$U$2:$U$495&lt;=10)*('CONTROL MASTER'!$W$2:$W$495&gt;=10))*ROW('CONTROL MASTER'!$S$2:$S$495))-(ROW('CONTROL MASTER'!#REF!)-1))),IF(SUMPRODUCT((('CONTROL MASTER'!$S$2:$S$495=2)*('CONTROL MASTER'!$Z$2:$Z$495&lt;=9)*('CONTROL MASTER'!$AB$2:$AB$495&gt;=9)*('CONTROL MASTER'!$AA$2:$AA$495&lt;=10)*('CONTROL MASTER'!$AC$2:$AC$495&gt;=10))*ROW('CONTROL MASTER'!$S$2:$S$495))&gt;0,INDEX('CONTROL MASTER'!$X$2:$X$495,(SUMPRODUCT((('CONTROL MASTER'!$S$2:$S$495=2)*('CONTROL MASTER'!$Z$2:$Z$495&lt;=9)*('CONTROL MASTER'!$AB$2:$AB$495&gt;=9)*('CONTROL MASTER'!$AA$2:$AA$495&lt;=10)*('CONTROL MASTER'!$AC$2:$AC$495&gt;=10))*ROW('CONTROL MASTER'!$S$2:$S$495))-(ROW('CONTROL MASTER'!#REF!)-1)))&amp;TRIM(MID(SUBSTITUTE(SUBSTITUTE(INDEX('CONTROL MASTER'!$N$2:$N$495,(SUMPRODUCT((('CONTROL MASTER'!$S$2:$S$495=2)*('CONTROL MASTER'!$Z$2:$Z$495&lt;=9)*('CONTROL MASTER'!$AB$2:$AB$495&gt;=9)*('CONTROL MASTER'!$AA$2:$AA$495&lt;=10)*('CONTROL MASTER'!$AC$2:$AC$495&gt;=10))*ROW('CONTROL MASTER'!$S$2:$S$495))-(ROW('CONTROL MASTER'!#REF!)-1))),":",","),",",REPT(" ",50)),(((INDEX('CONTROL MASTER'!$Y$2:$Y$495,(SUMPRODUCT((('CONTROL MASTER'!$S$2:$S$495=2)*('CONTROL MASTER'!$Z$2:$Z$495&lt;=9)*('CONTROL MASTER'!$AB$2:$AB$495&gt;=9)*('CONTROL MASTER'!$AA$2:$AA$495&lt;=10)*('CONTROL MASTER'!$AC$2:$AC$495&gt;=10))*ROW('CONTROL MASTER'!$S$2:$S$495))-(ROW('CONTROL MASTER'!#REF!)-1)))+((9-INDEX('CONTROL MASTER'!$Z$2:$Z$495,(SUMPRODUCT((('CONTROL MASTER'!$S$2:$S$495=2)*('CONTROL MASTER'!$Z$2:$Z$495&lt;=9)*('CONTROL MASTER'!$AB$2:$AB$495&gt;=9)*('CONTROL MASTER'!$AA$2:$AA$495&lt;=10)*('CONTROL MASTER'!$AC$2:$AC$495&gt;=10))*ROW('CONTROL MASTER'!$S$2:$S$495))-(ROW('CONTROL MASTER'!#REF!)-1))))*(INDEX('CONTROL MASTER'!$AC$2:$AC$495,(SUMPRODUCT((('CONTROL MASTER'!$S$2:$S$495=2)*('CONTROL MASTER'!$Z$2:$Z$495&lt;=9)*('CONTROL MASTER'!$AB$2:$AB$495&gt;=9)*('CONTROL MASTER'!$AA$2:$AA$495&lt;=10)*('CONTROL MASTER'!$AC$2:$AC$495&gt;=10))*ROW('CONTROL MASTER'!$S$2:$S$495))-(ROW('CONTROL MASTER'!#REF!)-1)))-INDEX('CONTROL MASTER'!$AA$2:$AA$495,(SUMPRODUCT((('CONTROL MASTER'!$S$2:$S$495=2)*('CONTROL MASTER'!$Z$2:$Z$495&lt;=9)*('CONTROL MASTER'!$AB$2:$AB$495&gt;=9)*('CONTROL MASTER'!$AA$2:$AA$495&lt;=10)*('CONTROL MASTER'!$AC$2:$AC$495&gt;=10))*ROW('CONTROL MASTER'!$S$2:$S$495))-(ROW('CONTROL MASTER'!#REF!)-1)))+1)+(10-INDEX('CONTROL MASTER'!$AA$2:$AA$495,(SUMPRODUCT((('CONTROL MASTER'!$S$2:$S$495=2)*('CONTROL MASTER'!$Z$2:$Z$495&lt;=9)*('CONTROL MASTER'!$AB$2:$AB$495&gt;=9)*('CONTROL MASTER'!$AA$2:$AA$495&lt;=10)*('CONTROL MASTER'!$AC$2:$AC$495&gt;=10))*ROW('CONTROL MASTER'!$S$2:$S$495))-(ROW('CONTROL MASTER'!#REF!)-1))))+1)))-1)*50+1,50))&amp;"_"&amp;INDEX('CONTROL MASTER'!$P$2:$P$495,(SUMPRODUCT((('CONTROL MASTER'!$S$2:$S$495=2)*('CONTROL MASTER'!$Z$2:$Z$495&lt;=9)*('CONTROL MASTER'!$AB$2:$AB$495&gt;=9)*('CONTROL MASTER'!$AA$2:$AA$495&lt;=10)*('CONTROL MASTER'!$AC$2:$AC$495&gt;=10))*ROW('CONTROL MASTER'!$S$2:$S$495))-(ROW('CONTROL MASTER'!#REF!)-1))),"")),"")</f>
        <v/>
      </c>
    </row>
    <row r="26" spans="1:11" ht="15" customHeight="1" x14ac:dyDescent="0.35">
      <c r="A26" s="8" t="s">
        <v>82</v>
      </c>
      <c r="B26" s="10" t="str">
        <f>IFERROR(IF(SUMPRODUCT((('CONTROL MASTER'!$S$2:$S$495=2)*('CONTROL MASTER'!$T$2:$T$495&lt;=10)*('CONTROL MASTER'!$V$2:$V$495&gt;=10)*('CONTROL MASTER'!$U$2:$U$495&lt;=1)*('CONTROL MASTER'!$W$2:$W$495&gt;=1))*ROW('CONTROL MASTER'!$S$2:$S$495))&gt;0,INDEX('CONTROL MASTER'!$X$2:$X$495,(SUMPRODUCT((('CONTROL MASTER'!$S$2:$S$495=2)*('CONTROL MASTER'!$T$2:$T$495&lt;=10)*('CONTROL MASTER'!$V$2:$V$495&gt;=10)*('CONTROL MASTER'!$U$2:$U$495&lt;=1)*('CONTROL MASTER'!$W$2:$W$495&gt;=1))*ROW('CONTROL MASTER'!$S$2:$S$495))-(ROW('CONTROL MASTER'!#REF!)-1)))&amp;TRIM(MID(SUBSTITUTE(SUBSTITUTE(INDEX('CONTROL MASTER'!$N$2:$N$495,(SUMPRODUCT((('CONTROL MASTER'!$S$2:$S$495=2)*('CONTROL MASTER'!$T$2:$T$495&lt;=10)*('CONTROL MASTER'!$V$2:$V$495&gt;=10)*('CONTROL MASTER'!$U$2:$U$495&lt;=1)*('CONTROL MASTER'!$W$2:$W$495&gt;=1))*ROW('CONTROL MASTER'!$S$2:$S$495))-(ROW('CONTROL MASTER'!#REF!)-1))),":",","),",",REPT(" ",50)),((((10-INDEX('CONTROL MASTER'!$T$2:$T$495,(SUMPRODUCT((('CONTROL MASTER'!$S$2:$S$495=2)*('CONTROL MASTER'!$T$2:$T$495&lt;=10)*('CONTROL MASTER'!$V$2:$V$495&gt;=10)*('CONTROL MASTER'!$U$2:$U$495&lt;=1)*('CONTROL MASTER'!$W$2:$W$495&gt;=1))*ROW('CONTROL MASTER'!$S$2:$S$495))-(ROW('CONTROL MASTER'!#REF!)-1))))*(INDEX('CONTROL MASTER'!$W$2:$W$495,(SUMPRODUCT((('CONTROL MASTER'!$S$2:$S$495=2)*('CONTROL MASTER'!$T$2:$T$495&lt;=10)*('CONTROL MASTER'!$V$2:$V$495&gt;=10)*('CONTROL MASTER'!$U$2:$U$495&lt;=1)*('CONTROL MASTER'!$W$2:$W$495&gt;=1))*ROW('CONTROL MASTER'!$S$2:$S$495))-(ROW('CONTROL MASTER'!#REF!)-1)))-INDEX('CONTROL MASTER'!$U$2:$U$495,(SUMPRODUCT((('CONTROL MASTER'!$S$2:$S$495=2)*('CONTROL MASTER'!$T$2:$T$495&lt;=10)*('CONTROL MASTER'!$V$2:$V$495&gt;=10)*('CONTROL MASTER'!$U$2:$U$495&lt;=1)*('CONTROL MASTER'!$W$2:$W$495&gt;=1))*ROW('CONTROL MASTER'!$S$2:$S$495))-(ROW('CONTROL MASTER'!#REF!)-1)))+1)+(1-INDEX('CONTROL MASTER'!$U$2:$U$495,(SUMPRODUCT((('CONTROL MASTER'!$S$2:$S$495=2)*('CONTROL MASTER'!$T$2:$T$495&lt;=10)*('CONTROL MASTER'!$V$2:$V$495&gt;=10)*('CONTROL MASTER'!$U$2:$U$495&lt;=1)*('CONTROL MASTER'!$W$2:$W$495&gt;=1))*ROW('CONTROL MASTER'!$S$2:$S$495))-(ROW('CONTROL MASTER'!#REF!)-1))))+1))-1)*50+1,50))&amp;"_"&amp;INDEX('CONTROL MASTER'!$P$2:$P$495,(SUMPRODUCT((('CONTROL MASTER'!$S$2:$S$495=2)*('CONTROL MASTER'!$T$2:$T$495&lt;=10)*('CONTROL MASTER'!$V$2:$V$495&gt;=10)*('CONTROL MASTER'!$U$2:$U$495&lt;=1)*('CONTROL MASTER'!$W$2:$W$495&gt;=1))*ROW('CONTROL MASTER'!$S$2:$S$495))-(ROW('CONTROL MASTER'!#REF!)-1))),IF(SUMPRODUCT((('CONTROL MASTER'!$S$2:$S$495=2)*('CONTROL MASTER'!$Z$2:$Z$495&lt;=10)*('CONTROL MASTER'!$AB$2:$AB$495&gt;=10)*('CONTROL MASTER'!$AA$2:$AA$495&lt;=1)*('CONTROL MASTER'!$AC$2:$AC$495&gt;=1))*ROW('CONTROL MASTER'!$S$2:$S$495))&gt;0,INDEX('CONTROL MASTER'!$X$2:$X$495,(SUMPRODUCT((('CONTROL MASTER'!$S$2:$S$495=2)*('CONTROL MASTER'!$Z$2:$Z$495&lt;=10)*('CONTROL MASTER'!$AB$2:$AB$495&gt;=10)*('CONTROL MASTER'!$AA$2:$AA$495&lt;=1)*('CONTROL MASTER'!$AC$2:$AC$495&gt;=1))*ROW('CONTROL MASTER'!$S$2:$S$495))-(ROW('CONTROL MASTER'!#REF!)-1)))&amp;TRIM(MID(SUBSTITUTE(SUBSTITUTE(INDEX('CONTROL MASTER'!$N$2:$N$495,(SUMPRODUCT((('CONTROL MASTER'!$S$2:$S$495=2)*('CONTROL MASTER'!$Z$2:$Z$495&lt;=10)*('CONTROL MASTER'!$AB$2:$AB$495&gt;=10)*('CONTROL MASTER'!$AA$2:$AA$495&lt;=1)*('CONTROL MASTER'!$AC$2:$AC$495&gt;=1))*ROW('CONTROL MASTER'!$S$2:$S$495))-(ROW('CONTROL MASTER'!#REF!)-1))),":",","),",",REPT(" ",50)),(((INDEX('CONTROL MASTER'!$Y$2:$Y$495,(SUMPRODUCT((('CONTROL MASTER'!$S$2:$S$495=2)*('CONTROL MASTER'!$Z$2:$Z$495&lt;=10)*('CONTROL MASTER'!$AB$2:$AB$495&gt;=10)*('CONTROL MASTER'!$AA$2:$AA$495&lt;=1)*('CONTROL MASTER'!$AC$2:$AC$495&gt;=1))*ROW('CONTROL MASTER'!$S$2:$S$495))-(ROW('CONTROL MASTER'!#REF!)-1)))+((10-INDEX('CONTROL MASTER'!$Z$2:$Z$495,(SUMPRODUCT((('CONTROL MASTER'!$S$2:$S$495=2)*('CONTROL MASTER'!$Z$2:$Z$495&lt;=10)*('CONTROL MASTER'!$AB$2:$AB$495&gt;=10)*('CONTROL MASTER'!$AA$2:$AA$495&lt;=1)*('CONTROL MASTER'!$AC$2:$AC$495&gt;=1))*ROW('CONTROL MASTER'!$S$2:$S$495))-(ROW('CONTROL MASTER'!#REF!)-1))))*(INDEX('CONTROL MASTER'!$AC$2:$AC$495,(SUMPRODUCT((('CONTROL MASTER'!$S$2:$S$495=2)*('CONTROL MASTER'!$Z$2:$Z$495&lt;=10)*('CONTROL MASTER'!$AB$2:$AB$495&gt;=10)*('CONTROL MASTER'!$AA$2:$AA$495&lt;=1)*('CONTROL MASTER'!$AC$2:$AC$495&gt;=1))*ROW('CONTROL MASTER'!$S$2:$S$495))-(ROW('CONTROL MASTER'!#REF!)-1)))-INDEX('CONTROL MASTER'!$AA$2:$AA$495,(SUMPRODUCT((('CONTROL MASTER'!$S$2:$S$495=2)*('CONTROL MASTER'!$Z$2:$Z$495&lt;=10)*('CONTROL MASTER'!$AB$2:$AB$495&gt;=10)*('CONTROL MASTER'!$AA$2:$AA$495&lt;=1)*('CONTROL MASTER'!$AC$2:$AC$495&gt;=1))*ROW('CONTROL MASTER'!$S$2:$S$495))-(ROW('CONTROL MASTER'!#REF!)-1)))+1)+(1-INDEX('CONTROL MASTER'!$AA$2:$AA$495,(SUMPRODUCT((('CONTROL MASTER'!$S$2:$S$495=2)*('CONTROL MASTER'!$Z$2:$Z$495&lt;=10)*('CONTROL MASTER'!$AB$2:$AB$495&gt;=10)*('CONTROL MASTER'!$AA$2:$AA$495&lt;=1)*('CONTROL MASTER'!$AC$2:$AC$495&gt;=1))*ROW('CONTROL MASTER'!$S$2:$S$495))-(ROW('CONTROL MASTER'!#REF!)-1))))+1)))-1)*50+1,50))&amp;"_"&amp;INDEX('CONTROL MASTER'!$P$2:$P$495,(SUMPRODUCT((('CONTROL MASTER'!$S$2:$S$495=2)*('CONTROL MASTER'!$Z$2:$Z$495&lt;=10)*('CONTROL MASTER'!$AB$2:$AB$495&gt;=10)*('CONTROL MASTER'!$AA$2:$AA$495&lt;=1)*('CONTROL MASTER'!$AC$2:$AC$495&gt;=1))*ROW('CONTROL MASTER'!$S$2:$S$495))-(ROW('CONTROL MASTER'!#REF!)-1))),"")),"")</f>
        <v/>
      </c>
      <c r="C26" s="10" t="str">
        <f>IFERROR(IF(SUMPRODUCT((('CONTROL MASTER'!$S$2:$S$495=2)*('CONTROL MASTER'!$T$2:$T$495&lt;=10)*('CONTROL MASTER'!$V$2:$V$495&gt;=10)*('CONTROL MASTER'!$U$2:$U$495&lt;=2)*('CONTROL MASTER'!$W$2:$W$495&gt;=2))*ROW('CONTROL MASTER'!$S$2:$S$495))&gt;0,INDEX('CONTROL MASTER'!$X$2:$X$495,(SUMPRODUCT((('CONTROL MASTER'!$S$2:$S$495=2)*('CONTROL MASTER'!$T$2:$T$495&lt;=10)*('CONTROL MASTER'!$V$2:$V$495&gt;=10)*('CONTROL MASTER'!$U$2:$U$495&lt;=2)*('CONTROL MASTER'!$W$2:$W$495&gt;=2))*ROW('CONTROL MASTER'!$S$2:$S$495))-(ROW('CONTROL MASTER'!#REF!)-1)))&amp;TRIM(MID(SUBSTITUTE(SUBSTITUTE(INDEX('CONTROL MASTER'!$N$2:$N$495,(SUMPRODUCT((('CONTROL MASTER'!$S$2:$S$495=2)*('CONTROL MASTER'!$T$2:$T$495&lt;=10)*('CONTROL MASTER'!$V$2:$V$495&gt;=10)*('CONTROL MASTER'!$U$2:$U$495&lt;=2)*('CONTROL MASTER'!$W$2:$W$495&gt;=2))*ROW('CONTROL MASTER'!$S$2:$S$495))-(ROW('CONTROL MASTER'!#REF!)-1))),":",","),",",REPT(" ",50)),((((10-INDEX('CONTROL MASTER'!$T$2:$T$495,(SUMPRODUCT((('CONTROL MASTER'!$S$2:$S$495=2)*('CONTROL MASTER'!$T$2:$T$495&lt;=10)*('CONTROL MASTER'!$V$2:$V$495&gt;=10)*('CONTROL MASTER'!$U$2:$U$495&lt;=2)*('CONTROL MASTER'!$W$2:$W$495&gt;=2))*ROW('CONTROL MASTER'!$S$2:$S$495))-(ROW('CONTROL MASTER'!#REF!)-1))))*(INDEX('CONTROL MASTER'!$W$2:$W$495,(SUMPRODUCT((('CONTROL MASTER'!$S$2:$S$495=2)*('CONTROL MASTER'!$T$2:$T$495&lt;=10)*('CONTROL MASTER'!$V$2:$V$495&gt;=10)*('CONTROL MASTER'!$U$2:$U$495&lt;=2)*('CONTROL MASTER'!$W$2:$W$495&gt;=2))*ROW('CONTROL MASTER'!$S$2:$S$495))-(ROW('CONTROL MASTER'!#REF!)-1)))-INDEX('CONTROL MASTER'!$U$2:$U$495,(SUMPRODUCT((('CONTROL MASTER'!$S$2:$S$495=2)*('CONTROL MASTER'!$T$2:$T$495&lt;=10)*('CONTROL MASTER'!$V$2:$V$495&gt;=10)*('CONTROL MASTER'!$U$2:$U$495&lt;=2)*('CONTROL MASTER'!$W$2:$W$495&gt;=2))*ROW('CONTROL MASTER'!$S$2:$S$495))-(ROW('CONTROL MASTER'!#REF!)-1)))+1)+(2-INDEX('CONTROL MASTER'!$U$2:$U$495,(SUMPRODUCT((('CONTROL MASTER'!$S$2:$S$495=2)*('CONTROL MASTER'!$T$2:$T$495&lt;=10)*('CONTROL MASTER'!$V$2:$V$495&gt;=10)*('CONTROL MASTER'!$U$2:$U$495&lt;=2)*('CONTROL MASTER'!$W$2:$W$495&gt;=2))*ROW('CONTROL MASTER'!$S$2:$S$495))-(ROW('CONTROL MASTER'!#REF!)-1))))+1))-1)*50+1,50))&amp;"_"&amp;INDEX('CONTROL MASTER'!$P$2:$P$495,(SUMPRODUCT((('CONTROL MASTER'!$S$2:$S$495=2)*('CONTROL MASTER'!$T$2:$T$495&lt;=10)*('CONTROL MASTER'!$V$2:$V$495&gt;=10)*('CONTROL MASTER'!$U$2:$U$495&lt;=2)*('CONTROL MASTER'!$W$2:$W$495&gt;=2))*ROW('CONTROL MASTER'!$S$2:$S$495))-(ROW('CONTROL MASTER'!#REF!)-1))),IF(SUMPRODUCT((('CONTROL MASTER'!$S$2:$S$495=2)*('CONTROL MASTER'!$Z$2:$Z$495&lt;=10)*('CONTROL MASTER'!$AB$2:$AB$495&gt;=10)*('CONTROL MASTER'!$AA$2:$AA$495&lt;=2)*('CONTROL MASTER'!$AC$2:$AC$495&gt;=2))*ROW('CONTROL MASTER'!$S$2:$S$495))&gt;0,INDEX('CONTROL MASTER'!$X$2:$X$495,(SUMPRODUCT((('CONTROL MASTER'!$S$2:$S$495=2)*('CONTROL MASTER'!$Z$2:$Z$495&lt;=10)*('CONTROL MASTER'!$AB$2:$AB$495&gt;=10)*('CONTROL MASTER'!$AA$2:$AA$495&lt;=2)*('CONTROL MASTER'!$AC$2:$AC$495&gt;=2))*ROW('CONTROL MASTER'!$S$2:$S$495))-(ROW('CONTROL MASTER'!#REF!)-1)))&amp;TRIM(MID(SUBSTITUTE(SUBSTITUTE(INDEX('CONTROL MASTER'!$N$2:$N$495,(SUMPRODUCT((('CONTROL MASTER'!$S$2:$S$495=2)*('CONTROL MASTER'!$Z$2:$Z$495&lt;=10)*('CONTROL MASTER'!$AB$2:$AB$495&gt;=10)*('CONTROL MASTER'!$AA$2:$AA$495&lt;=2)*('CONTROL MASTER'!$AC$2:$AC$495&gt;=2))*ROW('CONTROL MASTER'!$S$2:$S$495))-(ROW('CONTROL MASTER'!#REF!)-1))),":",","),",",REPT(" ",50)),(((INDEX('CONTROL MASTER'!$Y$2:$Y$495,(SUMPRODUCT((('CONTROL MASTER'!$S$2:$S$495=2)*('CONTROL MASTER'!$Z$2:$Z$495&lt;=10)*('CONTROL MASTER'!$AB$2:$AB$495&gt;=10)*('CONTROL MASTER'!$AA$2:$AA$495&lt;=2)*('CONTROL MASTER'!$AC$2:$AC$495&gt;=2))*ROW('CONTROL MASTER'!$S$2:$S$495))-(ROW('CONTROL MASTER'!#REF!)-1)))+((10-INDEX('CONTROL MASTER'!$Z$2:$Z$495,(SUMPRODUCT((('CONTROL MASTER'!$S$2:$S$495=2)*('CONTROL MASTER'!$Z$2:$Z$495&lt;=10)*('CONTROL MASTER'!$AB$2:$AB$495&gt;=10)*('CONTROL MASTER'!$AA$2:$AA$495&lt;=2)*('CONTROL MASTER'!$AC$2:$AC$495&gt;=2))*ROW('CONTROL MASTER'!$S$2:$S$495))-(ROW('CONTROL MASTER'!#REF!)-1))))*(INDEX('CONTROL MASTER'!$AC$2:$AC$495,(SUMPRODUCT((('CONTROL MASTER'!$S$2:$S$495=2)*('CONTROL MASTER'!$Z$2:$Z$495&lt;=10)*('CONTROL MASTER'!$AB$2:$AB$495&gt;=10)*('CONTROL MASTER'!$AA$2:$AA$495&lt;=2)*('CONTROL MASTER'!$AC$2:$AC$495&gt;=2))*ROW('CONTROL MASTER'!$S$2:$S$495))-(ROW('CONTROL MASTER'!#REF!)-1)))-INDEX('CONTROL MASTER'!$AA$2:$AA$495,(SUMPRODUCT((('CONTROL MASTER'!$S$2:$S$495=2)*('CONTROL MASTER'!$Z$2:$Z$495&lt;=10)*('CONTROL MASTER'!$AB$2:$AB$495&gt;=10)*('CONTROL MASTER'!$AA$2:$AA$495&lt;=2)*('CONTROL MASTER'!$AC$2:$AC$495&gt;=2))*ROW('CONTROL MASTER'!$S$2:$S$495))-(ROW('CONTROL MASTER'!#REF!)-1)))+1)+(2-INDEX('CONTROL MASTER'!$AA$2:$AA$495,(SUMPRODUCT((('CONTROL MASTER'!$S$2:$S$495=2)*('CONTROL MASTER'!$Z$2:$Z$495&lt;=10)*('CONTROL MASTER'!$AB$2:$AB$495&gt;=10)*('CONTROL MASTER'!$AA$2:$AA$495&lt;=2)*('CONTROL MASTER'!$AC$2:$AC$495&gt;=2))*ROW('CONTROL MASTER'!$S$2:$S$495))-(ROW('CONTROL MASTER'!#REF!)-1))))+1)))-1)*50+1,50))&amp;"_"&amp;INDEX('CONTROL MASTER'!$P$2:$P$495,(SUMPRODUCT((('CONTROL MASTER'!$S$2:$S$495=2)*('CONTROL MASTER'!$Z$2:$Z$495&lt;=10)*('CONTROL MASTER'!$AB$2:$AB$495&gt;=10)*('CONTROL MASTER'!$AA$2:$AA$495&lt;=2)*('CONTROL MASTER'!$AC$2:$AC$495&gt;=2))*ROW('CONTROL MASTER'!$S$2:$S$495))-(ROW('CONTROL MASTER'!#REF!)-1))),"")),"")</f>
        <v/>
      </c>
      <c r="D26" s="10" t="str">
        <f>IFERROR(IF(SUMPRODUCT((('CONTROL MASTER'!$S$2:$S$495=2)*('CONTROL MASTER'!$T$2:$T$495&lt;=10)*('CONTROL MASTER'!$V$2:$V$495&gt;=10)*('CONTROL MASTER'!$U$2:$U$495&lt;=3)*('CONTROL MASTER'!$W$2:$W$495&gt;=3))*ROW('CONTROL MASTER'!$S$2:$S$495))&gt;0,INDEX('CONTROL MASTER'!$X$2:$X$495,(SUMPRODUCT((('CONTROL MASTER'!$S$2:$S$495=2)*('CONTROL MASTER'!$T$2:$T$495&lt;=10)*('CONTROL MASTER'!$V$2:$V$495&gt;=10)*('CONTROL MASTER'!$U$2:$U$495&lt;=3)*('CONTROL MASTER'!$W$2:$W$495&gt;=3))*ROW('CONTROL MASTER'!$S$2:$S$495))-(ROW('CONTROL MASTER'!#REF!)-1)))&amp;TRIM(MID(SUBSTITUTE(SUBSTITUTE(INDEX('CONTROL MASTER'!$N$2:$N$495,(SUMPRODUCT((('CONTROL MASTER'!$S$2:$S$495=2)*('CONTROL MASTER'!$T$2:$T$495&lt;=10)*('CONTROL MASTER'!$V$2:$V$495&gt;=10)*('CONTROL MASTER'!$U$2:$U$495&lt;=3)*('CONTROL MASTER'!$W$2:$W$495&gt;=3))*ROW('CONTROL MASTER'!$S$2:$S$495))-(ROW('CONTROL MASTER'!#REF!)-1))),":",","),",",REPT(" ",50)),((((10-INDEX('CONTROL MASTER'!$T$2:$T$495,(SUMPRODUCT((('CONTROL MASTER'!$S$2:$S$495=2)*('CONTROL MASTER'!$T$2:$T$495&lt;=10)*('CONTROL MASTER'!$V$2:$V$495&gt;=10)*('CONTROL MASTER'!$U$2:$U$495&lt;=3)*('CONTROL MASTER'!$W$2:$W$495&gt;=3))*ROW('CONTROL MASTER'!$S$2:$S$495))-(ROW('CONTROL MASTER'!#REF!)-1))))*(INDEX('CONTROL MASTER'!$W$2:$W$495,(SUMPRODUCT((('CONTROL MASTER'!$S$2:$S$495=2)*('CONTROL MASTER'!$T$2:$T$495&lt;=10)*('CONTROL MASTER'!$V$2:$V$495&gt;=10)*('CONTROL MASTER'!$U$2:$U$495&lt;=3)*('CONTROL MASTER'!$W$2:$W$495&gt;=3))*ROW('CONTROL MASTER'!$S$2:$S$495))-(ROW('CONTROL MASTER'!#REF!)-1)))-INDEX('CONTROL MASTER'!$U$2:$U$495,(SUMPRODUCT((('CONTROL MASTER'!$S$2:$S$495=2)*('CONTROL MASTER'!$T$2:$T$495&lt;=10)*('CONTROL MASTER'!$V$2:$V$495&gt;=10)*('CONTROL MASTER'!$U$2:$U$495&lt;=3)*('CONTROL MASTER'!$W$2:$W$495&gt;=3))*ROW('CONTROL MASTER'!$S$2:$S$495))-(ROW('CONTROL MASTER'!#REF!)-1)))+1)+(3-INDEX('CONTROL MASTER'!$U$2:$U$495,(SUMPRODUCT((('CONTROL MASTER'!$S$2:$S$495=2)*('CONTROL MASTER'!$T$2:$T$495&lt;=10)*('CONTROL MASTER'!$V$2:$V$495&gt;=10)*('CONTROL MASTER'!$U$2:$U$495&lt;=3)*('CONTROL MASTER'!$W$2:$W$495&gt;=3))*ROW('CONTROL MASTER'!$S$2:$S$495))-(ROW('CONTROL MASTER'!#REF!)-1))))+1))-1)*50+1,50))&amp;"_"&amp;INDEX('CONTROL MASTER'!$P$2:$P$495,(SUMPRODUCT((('CONTROL MASTER'!$S$2:$S$495=2)*('CONTROL MASTER'!$T$2:$T$495&lt;=10)*('CONTROL MASTER'!$V$2:$V$495&gt;=10)*('CONTROL MASTER'!$U$2:$U$495&lt;=3)*('CONTROL MASTER'!$W$2:$W$495&gt;=3))*ROW('CONTROL MASTER'!$S$2:$S$495))-(ROW('CONTROL MASTER'!#REF!)-1))),IF(SUMPRODUCT((('CONTROL MASTER'!$S$2:$S$495=2)*('CONTROL MASTER'!$Z$2:$Z$495&lt;=10)*('CONTROL MASTER'!$AB$2:$AB$495&gt;=10)*('CONTROL MASTER'!$AA$2:$AA$495&lt;=3)*('CONTROL MASTER'!$AC$2:$AC$495&gt;=3))*ROW('CONTROL MASTER'!$S$2:$S$495))&gt;0,INDEX('CONTROL MASTER'!$X$2:$X$495,(SUMPRODUCT((('CONTROL MASTER'!$S$2:$S$495=2)*('CONTROL MASTER'!$Z$2:$Z$495&lt;=10)*('CONTROL MASTER'!$AB$2:$AB$495&gt;=10)*('CONTROL MASTER'!$AA$2:$AA$495&lt;=3)*('CONTROL MASTER'!$AC$2:$AC$495&gt;=3))*ROW('CONTROL MASTER'!$S$2:$S$495))-(ROW('CONTROL MASTER'!#REF!)-1)))&amp;TRIM(MID(SUBSTITUTE(SUBSTITUTE(INDEX('CONTROL MASTER'!$N$2:$N$495,(SUMPRODUCT((('CONTROL MASTER'!$S$2:$S$495=2)*('CONTROL MASTER'!$Z$2:$Z$495&lt;=10)*('CONTROL MASTER'!$AB$2:$AB$495&gt;=10)*('CONTROL MASTER'!$AA$2:$AA$495&lt;=3)*('CONTROL MASTER'!$AC$2:$AC$495&gt;=3))*ROW('CONTROL MASTER'!$S$2:$S$495))-(ROW('CONTROL MASTER'!#REF!)-1))),":",","),",",REPT(" ",50)),(((INDEX('CONTROL MASTER'!$Y$2:$Y$495,(SUMPRODUCT((('CONTROL MASTER'!$S$2:$S$495=2)*('CONTROL MASTER'!$Z$2:$Z$495&lt;=10)*('CONTROL MASTER'!$AB$2:$AB$495&gt;=10)*('CONTROL MASTER'!$AA$2:$AA$495&lt;=3)*('CONTROL MASTER'!$AC$2:$AC$495&gt;=3))*ROW('CONTROL MASTER'!$S$2:$S$495))-(ROW('CONTROL MASTER'!#REF!)-1)))+((10-INDEX('CONTROL MASTER'!$Z$2:$Z$495,(SUMPRODUCT((('CONTROL MASTER'!$S$2:$S$495=2)*('CONTROL MASTER'!$Z$2:$Z$495&lt;=10)*('CONTROL MASTER'!$AB$2:$AB$495&gt;=10)*('CONTROL MASTER'!$AA$2:$AA$495&lt;=3)*('CONTROL MASTER'!$AC$2:$AC$495&gt;=3))*ROW('CONTROL MASTER'!$S$2:$S$495))-(ROW('CONTROL MASTER'!#REF!)-1))))*(INDEX('CONTROL MASTER'!$AC$2:$AC$495,(SUMPRODUCT((('CONTROL MASTER'!$S$2:$S$495=2)*('CONTROL MASTER'!$Z$2:$Z$495&lt;=10)*('CONTROL MASTER'!$AB$2:$AB$495&gt;=10)*('CONTROL MASTER'!$AA$2:$AA$495&lt;=3)*('CONTROL MASTER'!$AC$2:$AC$495&gt;=3))*ROW('CONTROL MASTER'!$S$2:$S$495))-(ROW('CONTROL MASTER'!#REF!)-1)))-INDEX('CONTROL MASTER'!$AA$2:$AA$495,(SUMPRODUCT((('CONTROL MASTER'!$S$2:$S$495=2)*('CONTROL MASTER'!$Z$2:$Z$495&lt;=10)*('CONTROL MASTER'!$AB$2:$AB$495&gt;=10)*('CONTROL MASTER'!$AA$2:$AA$495&lt;=3)*('CONTROL MASTER'!$AC$2:$AC$495&gt;=3))*ROW('CONTROL MASTER'!$S$2:$S$495))-(ROW('CONTROL MASTER'!#REF!)-1)))+1)+(3-INDEX('CONTROL MASTER'!$AA$2:$AA$495,(SUMPRODUCT((('CONTROL MASTER'!$S$2:$S$495=2)*('CONTROL MASTER'!$Z$2:$Z$495&lt;=10)*('CONTROL MASTER'!$AB$2:$AB$495&gt;=10)*('CONTROL MASTER'!$AA$2:$AA$495&lt;=3)*('CONTROL MASTER'!$AC$2:$AC$495&gt;=3))*ROW('CONTROL MASTER'!$S$2:$S$495))-(ROW('CONTROL MASTER'!#REF!)-1))))+1)))-1)*50+1,50))&amp;"_"&amp;INDEX('CONTROL MASTER'!$P$2:$P$495,(SUMPRODUCT((('CONTROL MASTER'!$S$2:$S$495=2)*('CONTROL MASTER'!$Z$2:$Z$495&lt;=10)*('CONTROL MASTER'!$AB$2:$AB$495&gt;=10)*('CONTROL MASTER'!$AA$2:$AA$495&lt;=3)*('CONTROL MASTER'!$AC$2:$AC$495&gt;=3))*ROW('CONTROL MASTER'!$S$2:$S$495))-(ROW('CONTROL MASTER'!#REF!)-1))),"")),"")</f>
        <v/>
      </c>
      <c r="E26" s="10" t="str">
        <f>IFERROR(IF(SUMPRODUCT((('CONTROL MASTER'!$S$2:$S$495=2)*('CONTROL MASTER'!$T$2:$T$495&lt;=10)*('CONTROL MASTER'!$V$2:$V$495&gt;=10)*('CONTROL MASTER'!$U$2:$U$495&lt;=4)*('CONTROL MASTER'!$W$2:$W$495&gt;=4))*ROW('CONTROL MASTER'!$S$2:$S$495))&gt;0,INDEX('CONTROL MASTER'!$X$2:$X$495,(SUMPRODUCT((('CONTROL MASTER'!$S$2:$S$495=2)*('CONTROL MASTER'!$T$2:$T$495&lt;=10)*('CONTROL MASTER'!$V$2:$V$495&gt;=10)*('CONTROL MASTER'!$U$2:$U$495&lt;=4)*('CONTROL MASTER'!$W$2:$W$495&gt;=4))*ROW('CONTROL MASTER'!$S$2:$S$495))-(ROW('CONTROL MASTER'!#REF!)-1)))&amp;TRIM(MID(SUBSTITUTE(SUBSTITUTE(INDEX('CONTROL MASTER'!$N$2:$N$495,(SUMPRODUCT((('CONTROL MASTER'!$S$2:$S$495=2)*('CONTROL MASTER'!$T$2:$T$495&lt;=10)*('CONTROL MASTER'!$V$2:$V$495&gt;=10)*('CONTROL MASTER'!$U$2:$U$495&lt;=4)*('CONTROL MASTER'!$W$2:$W$495&gt;=4))*ROW('CONTROL MASTER'!$S$2:$S$495))-(ROW('CONTROL MASTER'!#REF!)-1))),":",","),",",REPT(" ",50)),((((10-INDEX('CONTROL MASTER'!$T$2:$T$495,(SUMPRODUCT((('CONTROL MASTER'!$S$2:$S$495=2)*('CONTROL MASTER'!$T$2:$T$495&lt;=10)*('CONTROL MASTER'!$V$2:$V$495&gt;=10)*('CONTROL MASTER'!$U$2:$U$495&lt;=4)*('CONTROL MASTER'!$W$2:$W$495&gt;=4))*ROW('CONTROL MASTER'!$S$2:$S$495))-(ROW('CONTROL MASTER'!#REF!)-1))))*(INDEX('CONTROL MASTER'!$W$2:$W$495,(SUMPRODUCT((('CONTROL MASTER'!$S$2:$S$495=2)*('CONTROL MASTER'!$T$2:$T$495&lt;=10)*('CONTROL MASTER'!$V$2:$V$495&gt;=10)*('CONTROL MASTER'!$U$2:$U$495&lt;=4)*('CONTROL MASTER'!$W$2:$W$495&gt;=4))*ROW('CONTROL MASTER'!$S$2:$S$495))-(ROW('CONTROL MASTER'!#REF!)-1)))-INDEX('CONTROL MASTER'!$U$2:$U$495,(SUMPRODUCT((('CONTROL MASTER'!$S$2:$S$495=2)*('CONTROL MASTER'!$T$2:$T$495&lt;=10)*('CONTROL MASTER'!$V$2:$V$495&gt;=10)*('CONTROL MASTER'!$U$2:$U$495&lt;=4)*('CONTROL MASTER'!$W$2:$W$495&gt;=4))*ROW('CONTROL MASTER'!$S$2:$S$495))-(ROW('CONTROL MASTER'!#REF!)-1)))+1)+(4-INDEX('CONTROL MASTER'!$U$2:$U$495,(SUMPRODUCT((('CONTROL MASTER'!$S$2:$S$495=2)*('CONTROL MASTER'!$T$2:$T$495&lt;=10)*('CONTROL MASTER'!$V$2:$V$495&gt;=10)*('CONTROL MASTER'!$U$2:$U$495&lt;=4)*('CONTROL MASTER'!$W$2:$W$495&gt;=4))*ROW('CONTROL MASTER'!$S$2:$S$495))-(ROW('CONTROL MASTER'!#REF!)-1))))+1))-1)*50+1,50))&amp;"_"&amp;INDEX('CONTROL MASTER'!$P$2:$P$495,(SUMPRODUCT((('CONTROL MASTER'!$S$2:$S$495=2)*('CONTROL MASTER'!$T$2:$T$495&lt;=10)*('CONTROL MASTER'!$V$2:$V$495&gt;=10)*('CONTROL MASTER'!$U$2:$U$495&lt;=4)*('CONTROL MASTER'!$W$2:$W$495&gt;=4))*ROW('CONTROL MASTER'!$S$2:$S$495))-(ROW('CONTROL MASTER'!#REF!)-1))),IF(SUMPRODUCT((('CONTROL MASTER'!$S$2:$S$495=2)*('CONTROL MASTER'!$Z$2:$Z$495&lt;=10)*('CONTROL MASTER'!$AB$2:$AB$495&gt;=10)*('CONTROL MASTER'!$AA$2:$AA$495&lt;=4)*('CONTROL MASTER'!$AC$2:$AC$495&gt;=4))*ROW('CONTROL MASTER'!$S$2:$S$495))&gt;0,INDEX('CONTROL MASTER'!$X$2:$X$495,(SUMPRODUCT((('CONTROL MASTER'!$S$2:$S$495=2)*('CONTROL MASTER'!$Z$2:$Z$495&lt;=10)*('CONTROL MASTER'!$AB$2:$AB$495&gt;=10)*('CONTROL MASTER'!$AA$2:$AA$495&lt;=4)*('CONTROL MASTER'!$AC$2:$AC$495&gt;=4))*ROW('CONTROL MASTER'!$S$2:$S$495))-(ROW('CONTROL MASTER'!#REF!)-1)))&amp;TRIM(MID(SUBSTITUTE(SUBSTITUTE(INDEX('CONTROL MASTER'!$N$2:$N$495,(SUMPRODUCT((('CONTROL MASTER'!$S$2:$S$495=2)*('CONTROL MASTER'!$Z$2:$Z$495&lt;=10)*('CONTROL MASTER'!$AB$2:$AB$495&gt;=10)*('CONTROL MASTER'!$AA$2:$AA$495&lt;=4)*('CONTROL MASTER'!$AC$2:$AC$495&gt;=4))*ROW('CONTROL MASTER'!$S$2:$S$495))-(ROW('CONTROL MASTER'!#REF!)-1))),":",","),",",REPT(" ",50)),(((INDEX('CONTROL MASTER'!$Y$2:$Y$495,(SUMPRODUCT((('CONTROL MASTER'!$S$2:$S$495=2)*('CONTROL MASTER'!$Z$2:$Z$495&lt;=10)*('CONTROL MASTER'!$AB$2:$AB$495&gt;=10)*('CONTROL MASTER'!$AA$2:$AA$495&lt;=4)*('CONTROL MASTER'!$AC$2:$AC$495&gt;=4))*ROW('CONTROL MASTER'!$S$2:$S$495))-(ROW('CONTROL MASTER'!#REF!)-1)))+((10-INDEX('CONTROL MASTER'!$Z$2:$Z$495,(SUMPRODUCT((('CONTROL MASTER'!$S$2:$S$495=2)*('CONTROL MASTER'!$Z$2:$Z$495&lt;=10)*('CONTROL MASTER'!$AB$2:$AB$495&gt;=10)*('CONTROL MASTER'!$AA$2:$AA$495&lt;=4)*('CONTROL MASTER'!$AC$2:$AC$495&gt;=4))*ROW('CONTROL MASTER'!$S$2:$S$495))-(ROW('CONTROL MASTER'!#REF!)-1))))*(INDEX('CONTROL MASTER'!$AC$2:$AC$495,(SUMPRODUCT((('CONTROL MASTER'!$S$2:$S$495=2)*('CONTROL MASTER'!$Z$2:$Z$495&lt;=10)*('CONTROL MASTER'!$AB$2:$AB$495&gt;=10)*('CONTROL MASTER'!$AA$2:$AA$495&lt;=4)*('CONTROL MASTER'!$AC$2:$AC$495&gt;=4))*ROW('CONTROL MASTER'!$S$2:$S$495))-(ROW('CONTROL MASTER'!#REF!)-1)))-INDEX('CONTROL MASTER'!$AA$2:$AA$495,(SUMPRODUCT((('CONTROL MASTER'!$S$2:$S$495=2)*('CONTROL MASTER'!$Z$2:$Z$495&lt;=10)*('CONTROL MASTER'!$AB$2:$AB$495&gt;=10)*('CONTROL MASTER'!$AA$2:$AA$495&lt;=4)*('CONTROL MASTER'!$AC$2:$AC$495&gt;=4))*ROW('CONTROL MASTER'!$S$2:$S$495))-(ROW('CONTROL MASTER'!#REF!)-1)))+1)+(4-INDEX('CONTROL MASTER'!$AA$2:$AA$495,(SUMPRODUCT((('CONTROL MASTER'!$S$2:$S$495=2)*('CONTROL MASTER'!$Z$2:$Z$495&lt;=10)*('CONTROL MASTER'!$AB$2:$AB$495&gt;=10)*('CONTROL MASTER'!$AA$2:$AA$495&lt;=4)*('CONTROL MASTER'!$AC$2:$AC$495&gt;=4))*ROW('CONTROL MASTER'!$S$2:$S$495))-(ROW('CONTROL MASTER'!#REF!)-1))))+1)))-1)*50+1,50))&amp;"_"&amp;INDEX('CONTROL MASTER'!$P$2:$P$495,(SUMPRODUCT((('CONTROL MASTER'!$S$2:$S$495=2)*('CONTROL MASTER'!$Z$2:$Z$495&lt;=10)*('CONTROL MASTER'!$AB$2:$AB$495&gt;=10)*('CONTROL MASTER'!$AA$2:$AA$495&lt;=4)*('CONTROL MASTER'!$AC$2:$AC$495&gt;=4))*ROW('CONTROL MASTER'!$S$2:$S$495))-(ROW('CONTROL MASTER'!#REF!)-1))),"")),"")</f>
        <v/>
      </c>
      <c r="F26" s="10" t="str">
        <f>IFERROR(IF(SUMPRODUCT((('CONTROL MASTER'!$S$2:$S$495=2)*('CONTROL MASTER'!$T$2:$T$495&lt;=10)*('CONTROL MASTER'!$V$2:$V$495&gt;=10)*('CONTROL MASTER'!$U$2:$U$495&lt;=5)*('CONTROL MASTER'!$W$2:$W$495&gt;=5))*ROW('CONTROL MASTER'!$S$2:$S$495))&gt;0,INDEX('CONTROL MASTER'!$X$2:$X$495,(SUMPRODUCT((('CONTROL MASTER'!$S$2:$S$495=2)*('CONTROL MASTER'!$T$2:$T$495&lt;=10)*('CONTROL MASTER'!$V$2:$V$495&gt;=10)*('CONTROL MASTER'!$U$2:$U$495&lt;=5)*('CONTROL MASTER'!$W$2:$W$495&gt;=5))*ROW('CONTROL MASTER'!$S$2:$S$495))-(ROW('CONTROL MASTER'!#REF!)-1)))&amp;TRIM(MID(SUBSTITUTE(SUBSTITUTE(INDEX('CONTROL MASTER'!$N$2:$N$495,(SUMPRODUCT((('CONTROL MASTER'!$S$2:$S$495=2)*('CONTROL MASTER'!$T$2:$T$495&lt;=10)*('CONTROL MASTER'!$V$2:$V$495&gt;=10)*('CONTROL MASTER'!$U$2:$U$495&lt;=5)*('CONTROL MASTER'!$W$2:$W$495&gt;=5))*ROW('CONTROL MASTER'!$S$2:$S$495))-(ROW('CONTROL MASTER'!#REF!)-1))),":",","),",",REPT(" ",50)),((((10-INDEX('CONTROL MASTER'!$T$2:$T$495,(SUMPRODUCT((('CONTROL MASTER'!$S$2:$S$495=2)*('CONTROL MASTER'!$T$2:$T$495&lt;=10)*('CONTROL MASTER'!$V$2:$V$495&gt;=10)*('CONTROL MASTER'!$U$2:$U$495&lt;=5)*('CONTROL MASTER'!$W$2:$W$495&gt;=5))*ROW('CONTROL MASTER'!$S$2:$S$495))-(ROW('CONTROL MASTER'!#REF!)-1))))*(INDEX('CONTROL MASTER'!$W$2:$W$495,(SUMPRODUCT((('CONTROL MASTER'!$S$2:$S$495=2)*('CONTROL MASTER'!$T$2:$T$495&lt;=10)*('CONTROL MASTER'!$V$2:$V$495&gt;=10)*('CONTROL MASTER'!$U$2:$U$495&lt;=5)*('CONTROL MASTER'!$W$2:$W$495&gt;=5))*ROW('CONTROL MASTER'!$S$2:$S$495))-(ROW('CONTROL MASTER'!#REF!)-1)))-INDEX('CONTROL MASTER'!$U$2:$U$495,(SUMPRODUCT((('CONTROL MASTER'!$S$2:$S$495=2)*('CONTROL MASTER'!$T$2:$T$495&lt;=10)*('CONTROL MASTER'!$V$2:$V$495&gt;=10)*('CONTROL MASTER'!$U$2:$U$495&lt;=5)*('CONTROL MASTER'!$W$2:$W$495&gt;=5))*ROW('CONTROL MASTER'!$S$2:$S$495))-(ROW('CONTROL MASTER'!#REF!)-1)))+1)+(5-INDEX('CONTROL MASTER'!$U$2:$U$495,(SUMPRODUCT((('CONTROL MASTER'!$S$2:$S$495=2)*('CONTROL MASTER'!$T$2:$T$495&lt;=10)*('CONTROL MASTER'!$V$2:$V$495&gt;=10)*('CONTROL MASTER'!$U$2:$U$495&lt;=5)*('CONTROL MASTER'!$W$2:$W$495&gt;=5))*ROW('CONTROL MASTER'!$S$2:$S$495))-(ROW('CONTROL MASTER'!#REF!)-1))))+1))-1)*50+1,50))&amp;"_"&amp;INDEX('CONTROL MASTER'!$P$2:$P$495,(SUMPRODUCT((('CONTROL MASTER'!$S$2:$S$495=2)*('CONTROL MASTER'!$T$2:$T$495&lt;=10)*('CONTROL MASTER'!$V$2:$V$495&gt;=10)*('CONTROL MASTER'!$U$2:$U$495&lt;=5)*('CONTROL MASTER'!$W$2:$W$495&gt;=5))*ROW('CONTROL MASTER'!$S$2:$S$495))-(ROW('CONTROL MASTER'!#REF!)-1))),IF(SUMPRODUCT((('CONTROL MASTER'!$S$2:$S$495=2)*('CONTROL MASTER'!$Z$2:$Z$495&lt;=10)*('CONTROL MASTER'!$AB$2:$AB$495&gt;=10)*('CONTROL MASTER'!$AA$2:$AA$495&lt;=5)*('CONTROL MASTER'!$AC$2:$AC$495&gt;=5))*ROW('CONTROL MASTER'!$S$2:$S$495))&gt;0,INDEX('CONTROL MASTER'!$X$2:$X$495,(SUMPRODUCT((('CONTROL MASTER'!$S$2:$S$495=2)*('CONTROL MASTER'!$Z$2:$Z$495&lt;=10)*('CONTROL MASTER'!$AB$2:$AB$495&gt;=10)*('CONTROL MASTER'!$AA$2:$AA$495&lt;=5)*('CONTROL MASTER'!$AC$2:$AC$495&gt;=5))*ROW('CONTROL MASTER'!$S$2:$S$495))-(ROW('CONTROL MASTER'!#REF!)-1)))&amp;TRIM(MID(SUBSTITUTE(SUBSTITUTE(INDEX('CONTROL MASTER'!$N$2:$N$495,(SUMPRODUCT((('CONTROL MASTER'!$S$2:$S$495=2)*('CONTROL MASTER'!$Z$2:$Z$495&lt;=10)*('CONTROL MASTER'!$AB$2:$AB$495&gt;=10)*('CONTROL MASTER'!$AA$2:$AA$495&lt;=5)*('CONTROL MASTER'!$AC$2:$AC$495&gt;=5))*ROW('CONTROL MASTER'!$S$2:$S$495))-(ROW('CONTROL MASTER'!#REF!)-1))),":",","),",",REPT(" ",50)),(((INDEX('CONTROL MASTER'!$Y$2:$Y$495,(SUMPRODUCT((('CONTROL MASTER'!$S$2:$S$495=2)*('CONTROL MASTER'!$Z$2:$Z$495&lt;=10)*('CONTROL MASTER'!$AB$2:$AB$495&gt;=10)*('CONTROL MASTER'!$AA$2:$AA$495&lt;=5)*('CONTROL MASTER'!$AC$2:$AC$495&gt;=5))*ROW('CONTROL MASTER'!$S$2:$S$495))-(ROW('CONTROL MASTER'!#REF!)-1)))+((10-INDEX('CONTROL MASTER'!$Z$2:$Z$495,(SUMPRODUCT((('CONTROL MASTER'!$S$2:$S$495=2)*('CONTROL MASTER'!$Z$2:$Z$495&lt;=10)*('CONTROL MASTER'!$AB$2:$AB$495&gt;=10)*('CONTROL MASTER'!$AA$2:$AA$495&lt;=5)*('CONTROL MASTER'!$AC$2:$AC$495&gt;=5))*ROW('CONTROL MASTER'!$S$2:$S$495))-(ROW('CONTROL MASTER'!#REF!)-1))))*(INDEX('CONTROL MASTER'!$AC$2:$AC$495,(SUMPRODUCT((('CONTROL MASTER'!$S$2:$S$495=2)*('CONTROL MASTER'!$Z$2:$Z$495&lt;=10)*('CONTROL MASTER'!$AB$2:$AB$495&gt;=10)*('CONTROL MASTER'!$AA$2:$AA$495&lt;=5)*('CONTROL MASTER'!$AC$2:$AC$495&gt;=5))*ROW('CONTROL MASTER'!$S$2:$S$495))-(ROW('CONTROL MASTER'!#REF!)-1)))-INDEX('CONTROL MASTER'!$AA$2:$AA$495,(SUMPRODUCT((('CONTROL MASTER'!$S$2:$S$495=2)*('CONTROL MASTER'!$Z$2:$Z$495&lt;=10)*('CONTROL MASTER'!$AB$2:$AB$495&gt;=10)*('CONTROL MASTER'!$AA$2:$AA$495&lt;=5)*('CONTROL MASTER'!$AC$2:$AC$495&gt;=5))*ROW('CONTROL MASTER'!$S$2:$S$495))-(ROW('CONTROL MASTER'!#REF!)-1)))+1)+(5-INDEX('CONTROL MASTER'!$AA$2:$AA$495,(SUMPRODUCT((('CONTROL MASTER'!$S$2:$S$495=2)*('CONTROL MASTER'!$Z$2:$Z$495&lt;=10)*('CONTROL MASTER'!$AB$2:$AB$495&gt;=10)*('CONTROL MASTER'!$AA$2:$AA$495&lt;=5)*('CONTROL MASTER'!$AC$2:$AC$495&gt;=5))*ROW('CONTROL MASTER'!$S$2:$S$495))-(ROW('CONTROL MASTER'!#REF!)-1))))+1)))-1)*50+1,50))&amp;"_"&amp;INDEX('CONTROL MASTER'!$P$2:$P$495,(SUMPRODUCT((('CONTROL MASTER'!$S$2:$S$495=2)*('CONTROL MASTER'!$Z$2:$Z$495&lt;=10)*('CONTROL MASTER'!$AB$2:$AB$495&gt;=10)*('CONTROL MASTER'!$AA$2:$AA$495&lt;=5)*('CONTROL MASTER'!$AC$2:$AC$495&gt;=5))*ROW('CONTROL MASTER'!$S$2:$S$495))-(ROW('CONTROL MASTER'!#REF!)-1))),"")),"")</f>
        <v/>
      </c>
      <c r="G26" s="10" t="str">
        <f>IFERROR(IF(SUMPRODUCT((('CONTROL MASTER'!$S$2:$S$495=2)*('CONTROL MASTER'!$T$2:$T$495&lt;=10)*('CONTROL MASTER'!$V$2:$V$495&gt;=10)*('CONTROL MASTER'!$U$2:$U$495&lt;=6)*('CONTROL MASTER'!$W$2:$W$495&gt;=6))*ROW('CONTROL MASTER'!$S$2:$S$495))&gt;0,INDEX('CONTROL MASTER'!$X$2:$X$495,(SUMPRODUCT((('CONTROL MASTER'!$S$2:$S$495=2)*('CONTROL MASTER'!$T$2:$T$495&lt;=10)*('CONTROL MASTER'!$V$2:$V$495&gt;=10)*('CONTROL MASTER'!$U$2:$U$495&lt;=6)*('CONTROL MASTER'!$W$2:$W$495&gt;=6))*ROW('CONTROL MASTER'!$S$2:$S$495))-(ROW('CONTROL MASTER'!#REF!)-1)))&amp;TRIM(MID(SUBSTITUTE(SUBSTITUTE(INDEX('CONTROL MASTER'!$N$2:$N$495,(SUMPRODUCT((('CONTROL MASTER'!$S$2:$S$495=2)*('CONTROL MASTER'!$T$2:$T$495&lt;=10)*('CONTROL MASTER'!$V$2:$V$495&gt;=10)*('CONTROL MASTER'!$U$2:$U$495&lt;=6)*('CONTROL MASTER'!$W$2:$W$495&gt;=6))*ROW('CONTROL MASTER'!$S$2:$S$495))-(ROW('CONTROL MASTER'!#REF!)-1))),":",","),",",REPT(" ",50)),((((10-INDEX('CONTROL MASTER'!$T$2:$T$495,(SUMPRODUCT((('CONTROL MASTER'!$S$2:$S$495=2)*('CONTROL MASTER'!$T$2:$T$495&lt;=10)*('CONTROL MASTER'!$V$2:$V$495&gt;=10)*('CONTROL MASTER'!$U$2:$U$495&lt;=6)*('CONTROL MASTER'!$W$2:$W$495&gt;=6))*ROW('CONTROL MASTER'!$S$2:$S$495))-(ROW('CONTROL MASTER'!#REF!)-1))))*(INDEX('CONTROL MASTER'!$W$2:$W$495,(SUMPRODUCT((('CONTROL MASTER'!$S$2:$S$495=2)*('CONTROL MASTER'!$T$2:$T$495&lt;=10)*('CONTROL MASTER'!$V$2:$V$495&gt;=10)*('CONTROL MASTER'!$U$2:$U$495&lt;=6)*('CONTROL MASTER'!$W$2:$W$495&gt;=6))*ROW('CONTROL MASTER'!$S$2:$S$495))-(ROW('CONTROL MASTER'!#REF!)-1)))-INDEX('CONTROL MASTER'!$U$2:$U$495,(SUMPRODUCT((('CONTROL MASTER'!$S$2:$S$495=2)*('CONTROL MASTER'!$T$2:$T$495&lt;=10)*('CONTROL MASTER'!$V$2:$V$495&gt;=10)*('CONTROL MASTER'!$U$2:$U$495&lt;=6)*('CONTROL MASTER'!$W$2:$W$495&gt;=6))*ROW('CONTROL MASTER'!$S$2:$S$495))-(ROW('CONTROL MASTER'!#REF!)-1)))+1)+(6-INDEX('CONTROL MASTER'!$U$2:$U$495,(SUMPRODUCT((('CONTROL MASTER'!$S$2:$S$495=2)*('CONTROL MASTER'!$T$2:$T$495&lt;=10)*('CONTROL MASTER'!$V$2:$V$495&gt;=10)*('CONTROL MASTER'!$U$2:$U$495&lt;=6)*('CONTROL MASTER'!$W$2:$W$495&gt;=6))*ROW('CONTROL MASTER'!$S$2:$S$495))-(ROW('CONTROL MASTER'!#REF!)-1))))+1))-1)*50+1,50))&amp;"_"&amp;INDEX('CONTROL MASTER'!$P$2:$P$495,(SUMPRODUCT((('CONTROL MASTER'!$S$2:$S$495=2)*('CONTROL MASTER'!$T$2:$T$495&lt;=10)*('CONTROL MASTER'!$V$2:$V$495&gt;=10)*('CONTROL MASTER'!$U$2:$U$495&lt;=6)*('CONTROL MASTER'!$W$2:$W$495&gt;=6))*ROW('CONTROL MASTER'!$S$2:$S$495))-(ROW('CONTROL MASTER'!#REF!)-1))),IF(SUMPRODUCT((('CONTROL MASTER'!$S$2:$S$495=2)*('CONTROL MASTER'!$Z$2:$Z$495&lt;=10)*('CONTROL MASTER'!$AB$2:$AB$495&gt;=10)*('CONTROL MASTER'!$AA$2:$AA$495&lt;=6)*('CONTROL MASTER'!$AC$2:$AC$495&gt;=6))*ROW('CONTROL MASTER'!$S$2:$S$495))&gt;0,INDEX('CONTROL MASTER'!$X$2:$X$495,(SUMPRODUCT((('CONTROL MASTER'!$S$2:$S$495=2)*('CONTROL MASTER'!$Z$2:$Z$495&lt;=10)*('CONTROL MASTER'!$AB$2:$AB$495&gt;=10)*('CONTROL MASTER'!$AA$2:$AA$495&lt;=6)*('CONTROL MASTER'!$AC$2:$AC$495&gt;=6))*ROW('CONTROL MASTER'!$S$2:$S$495))-(ROW('CONTROL MASTER'!#REF!)-1)))&amp;TRIM(MID(SUBSTITUTE(SUBSTITUTE(INDEX('CONTROL MASTER'!$N$2:$N$495,(SUMPRODUCT((('CONTROL MASTER'!$S$2:$S$495=2)*('CONTROL MASTER'!$Z$2:$Z$495&lt;=10)*('CONTROL MASTER'!$AB$2:$AB$495&gt;=10)*('CONTROL MASTER'!$AA$2:$AA$495&lt;=6)*('CONTROL MASTER'!$AC$2:$AC$495&gt;=6))*ROW('CONTROL MASTER'!$S$2:$S$495))-(ROW('CONTROL MASTER'!#REF!)-1))),":",","),",",REPT(" ",50)),(((INDEX('CONTROL MASTER'!$Y$2:$Y$495,(SUMPRODUCT((('CONTROL MASTER'!$S$2:$S$495=2)*('CONTROL MASTER'!$Z$2:$Z$495&lt;=10)*('CONTROL MASTER'!$AB$2:$AB$495&gt;=10)*('CONTROL MASTER'!$AA$2:$AA$495&lt;=6)*('CONTROL MASTER'!$AC$2:$AC$495&gt;=6))*ROW('CONTROL MASTER'!$S$2:$S$495))-(ROW('CONTROL MASTER'!#REF!)-1)))+((10-INDEX('CONTROL MASTER'!$Z$2:$Z$495,(SUMPRODUCT((('CONTROL MASTER'!$S$2:$S$495=2)*('CONTROL MASTER'!$Z$2:$Z$495&lt;=10)*('CONTROL MASTER'!$AB$2:$AB$495&gt;=10)*('CONTROL MASTER'!$AA$2:$AA$495&lt;=6)*('CONTROL MASTER'!$AC$2:$AC$495&gt;=6))*ROW('CONTROL MASTER'!$S$2:$S$495))-(ROW('CONTROL MASTER'!#REF!)-1))))*(INDEX('CONTROL MASTER'!$AC$2:$AC$495,(SUMPRODUCT((('CONTROL MASTER'!$S$2:$S$495=2)*('CONTROL MASTER'!$Z$2:$Z$495&lt;=10)*('CONTROL MASTER'!$AB$2:$AB$495&gt;=10)*('CONTROL MASTER'!$AA$2:$AA$495&lt;=6)*('CONTROL MASTER'!$AC$2:$AC$495&gt;=6))*ROW('CONTROL MASTER'!$S$2:$S$495))-(ROW('CONTROL MASTER'!#REF!)-1)))-INDEX('CONTROL MASTER'!$AA$2:$AA$495,(SUMPRODUCT((('CONTROL MASTER'!$S$2:$S$495=2)*('CONTROL MASTER'!$Z$2:$Z$495&lt;=10)*('CONTROL MASTER'!$AB$2:$AB$495&gt;=10)*('CONTROL MASTER'!$AA$2:$AA$495&lt;=6)*('CONTROL MASTER'!$AC$2:$AC$495&gt;=6))*ROW('CONTROL MASTER'!$S$2:$S$495))-(ROW('CONTROL MASTER'!#REF!)-1)))+1)+(6-INDEX('CONTROL MASTER'!$AA$2:$AA$495,(SUMPRODUCT((('CONTROL MASTER'!$S$2:$S$495=2)*('CONTROL MASTER'!$Z$2:$Z$495&lt;=10)*('CONTROL MASTER'!$AB$2:$AB$495&gt;=10)*('CONTROL MASTER'!$AA$2:$AA$495&lt;=6)*('CONTROL MASTER'!$AC$2:$AC$495&gt;=6))*ROW('CONTROL MASTER'!$S$2:$S$495))-(ROW('CONTROL MASTER'!#REF!)-1))))+1)))-1)*50+1,50))&amp;"_"&amp;INDEX('CONTROL MASTER'!$P$2:$P$495,(SUMPRODUCT((('CONTROL MASTER'!$S$2:$S$495=2)*('CONTROL MASTER'!$Z$2:$Z$495&lt;=10)*('CONTROL MASTER'!$AB$2:$AB$495&gt;=10)*('CONTROL MASTER'!$AA$2:$AA$495&lt;=6)*('CONTROL MASTER'!$AC$2:$AC$495&gt;=6))*ROW('CONTROL MASTER'!$S$2:$S$495))-(ROW('CONTROL MASTER'!#REF!)-1))),"")),"")</f>
        <v/>
      </c>
      <c r="H26" s="10" t="str">
        <f>IFERROR(IF(SUMPRODUCT((('CONTROL MASTER'!$S$2:$S$495=2)*('CONTROL MASTER'!$T$2:$T$495&lt;=10)*('CONTROL MASTER'!$V$2:$V$495&gt;=10)*('CONTROL MASTER'!$U$2:$U$495&lt;=7)*('CONTROL MASTER'!$W$2:$W$495&gt;=7))*ROW('CONTROL MASTER'!$S$2:$S$495))&gt;0,INDEX('CONTROL MASTER'!$X$2:$X$495,(SUMPRODUCT((('CONTROL MASTER'!$S$2:$S$495=2)*('CONTROL MASTER'!$T$2:$T$495&lt;=10)*('CONTROL MASTER'!$V$2:$V$495&gt;=10)*('CONTROL MASTER'!$U$2:$U$495&lt;=7)*('CONTROL MASTER'!$W$2:$W$495&gt;=7))*ROW('CONTROL MASTER'!$S$2:$S$495))-(ROW('CONTROL MASTER'!#REF!)-1)))&amp;TRIM(MID(SUBSTITUTE(SUBSTITUTE(INDEX('CONTROL MASTER'!$N$2:$N$495,(SUMPRODUCT((('CONTROL MASTER'!$S$2:$S$495=2)*('CONTROL MASTER'!$T$2:$T$495&lt;=10)*('CONTROL MASTER'!$V$2:$V$495&gt;=10)*('CONTROL MASTER'!$U$2:$U$495&lt;=7)*('CONTROL MASTER'!$W$2:$W$495&gt;=7))*ROW('CONTROL MASTER'!$S$2:$S$495))-(ROW('CONTROL MASTER'!#REF!)-1))),":",","),",",REPT(" ",50)),((((10-INDEX('CONTROL MASTER'!$T$2:$T$495,(SUMPRODUCT((('CONTROL MASTER'!$S$2:$S$495=2)*('CONTROL MASTER'!$T$2:$T$495&lt;=10)*('CONTROL MASTER'!$V$2:$V$495&gt;=10)*('CONTROL MASTER'!$U$2:$U$495&lt;=7)*('CONTROL MASTER'!$W$2:$W$495&gt;=7))*ROW('CONTROL MASTER'!$S$2:$S$495))-(ROW('CONTROL MASTER'!#REF!)-1))))*(INDEX('CONTROL MASTER'!$W$2:$W$495,(SUMPRODUCT((('CONTROL MASTER'!$S$2:$S$495=2)*('CONTROL MASTER'!$T$2:$T$495&lt;=10)*('CONTROL MASTER'!$V$2:$V$495&gt;=10)*('CONTROL MASTER'!$U$2:$U$495&lt;=7)*('CONTROL MASTER'!$W$2:$W$495&gt;=7))*ROW('CONTROL MASTER'!$S$2:$S$495))-(ROW('CONTROL MASTER'!#REF!)-1)))-INDEX('CONTROL MASTER'!$U$2:$U$495,(SUMPRODUCT((('CONTROL MASTER'!$S$2:$S$495=2)*('CONTROL MASTER'!$T$2:$T$495&lt;=10)*('CONTROL MASTER'!$V$2:$V$495&gt;=10)*('CONTROL MASTER'!$U$2:$U$495&lt;=7)*('CONTROL MASTER'!$W$2:$W$495&gt;=7))*ROW('CONTROL MASTER'!$S$2:$S$495))-(ROW('CONTROL MASTER'!#REF!)-1)))+1)+(7-INDEX('CONTROL MASTER'!$U$2:$U$495,(SUMPRODUCT((('CONTROL MASTER'!$S$2:$S$495=2)*('CONTROL MASTER'!$T$2:$T$495&lt;=10)*('CONTROL MASTER'!$V$2:$V$495&gt;=10)*('CONTROL MASTER'!$U$2:$U$495&lt;=7)*('CONTROL MASTER'!$W$2:$W$495&gt;=7))*ROW('CONTROL MASTER'!$S$2:$S$495))-(ROW('CONTROL MASTER'!#REF!)-1))))+1))-1)*50+1,50))&amp;"_"&amp;INDEX('CONTROL MASTER'!$P$2:$P$495,(SUMPRODUCT((('CONTROL MASTER'!$S$2:$S$495=2)*('CONTROL MASTER'!$T$2:$T$495&lt;=10)*('CONTROL MASTER'!$V$2:$V$495&gt;=10)*('CONTROL MASTER'!$U$2:$U$495&lt;=7)*('CONTROL MASTER'!$W$2:$W$495&gt;=7))*ROW('CONTROL MASTER'!$S$2:$S$495))-(ROW('CONTROL MASTER'!#REF!)-1))),IF(SUMPRODUCT((('CONTROL MASTER'!$S$2:$S$495=2)*('CONTROL MASTER'!$Z$2:$Z$495&lt;=10)*('CONTROL MASTER'!$AB$2:$AB$495&gt;=10)*('CONTROL MASTER'!$AA$2:$AA$495&lt;=7)*('CONTROL MASTER'!$AC$2:$AC$495&gt;=7))*ROW('CONTROL MASTER'!$S$2:$S$495))&gt;0,INDEX('CONTROL MASTER'!$X$2:$X$495,(SUMPRODUCT((('CONTROL MASTER'!$S$2:$S$495=2)*('CONTROL MASTER'!$Z$2:$Z$495&lt;=10)*('CONTROL MASTER'!$AB$2:$AB$495&gt;=10)*('CONTROL MASTER'!$AA$2:$AA$495&lt;=7)*('CONTROL MASTER'!$AC$2:$AC$495&gt;=7))*ROW('CONTROL MASTER'!$S$2:$S$495))-(ROW('CONTROL MASTER'!#REF!)-1)))&amp;TRIM(MID(SUBSTITUTE(SUBSTITUTE(INDEX('CONTROL MASTER'!$N$2:$N$495,(SUMPRODUCT((('CONTROL MASTER'!$S$2:$S$495=2)*('CONTROL MASTER'!$Z$2:$Z$495&lt;=10)*('CONTROL MASTER'!$AB$2:$AB$495&gt;=10)*('CONTROL MASTER'!$AA$2:$AA$495&lt;=7)*('CONTROL MASTER'!$AC$2:$AC$495&gt;=7))*ROW('CONTROL MASTER'!$S$2:$S$495))-(ROW('CONTROL MASTER'!#REF!)-1))),":",","),",",REPT(" ",50)),(((INDEX('CONTROL MASTER'!$Y$2:$Y$495,(SUMPRODUCT((('CONTROL MASTER'!$S$2:$S$495=2)*('CONTROL MASTER'!$Z$2:$Z$495&lt;=10)*('CONTROL MASTER'!$AB$2:$AB$495&gt;=10)*('CONTROL MASTER'!$AA$2:$AA$495&lt;=7)*('CONTROL MASTER'!$AC$2:$AC$495&gt;=7))*ROW('CONTROL MASTER'!$S$2:$S$495))-(ROW('CONTROL MASTER'!#REF!)-1)))+((10-INDEX('CONTROL MASTER'!$Z$2:$Z$495,(SUMPRODUCT((('CONTROL MASTER'!$S$2:$S$495=2)*('CONTROL MASTER'!$Z$2:$Z$495&lt;=10)*('CONTROL MASTER'!$AB$2:$AB$495&gt;=10)*('CONTROL MASTER'!$AA$2:$AA$495&lt;=7)*('CONTROL MASTER'!$AC$2:$AC$495&gt;=7))*ROW('CONTROL MASTER'!$S$2:$S$495))-(ROW('CONTROL MASTER'!#REF!)-1))))*(INDEX('CONTROL MASTER'!$AC$2:$AC$495,(SUMPRODUCT((('CONTROL MASTER'!$S$2:$S$495=2)*('CONTROL MASTER'!$Z$2:$Z$495&lt;=10)*('CONTROL MASTER'!$AB$2:$AB$495&gt;=10)*('CONTROL MASTER'!$AA$2:$AA$495&lt;=7)*('CONTROL MASTER'!$AC$2:$AC$495&gt;=7))*ROW('CONTROL MASTER'!$S$2:$S$495))-(ROW('CONTROL MASTER'!#REF!)-1)))-INDEX('CONTROL MASTER'!$AA$2:$AA$495,(SUMPRODUCT((('CONTROL MASTER'!$S$2:$S$495=2)*('CONTROL MASTER'!$Z$2:$Z$495&lt;=10)*('CONTROL MASTER'!$AB$2:$AB$495&gt;=10)*('CONTROL MASTER'!$AA$2:$AA$495&lt;=7)*('CONTROL MASTER'!$AC$2:$AC$495&gt;=7))*ROW('CONTROL MASTER'!$S$2:$S$495))-(ROW('CONTROL MASTER'!#REF!)-1)))+1)+(7-INDEX('CONTROL MASTER'!$AA$2:$AA$495,(SUMPRODUCT((('CONTROL MASTER'!$S$2:$S$495=2)*('CONTROL MASTER'!$Z$2:$Z$495&lt;=10)*('CONTROL MASTER'!$AB$2:$AB$495&gt;=10)*('CONTROL MASTER'!$AA$2:$AA$495&lt;=7)*('CONTROL MASTER'!$AC$2:$AC$495&gt;=7))*ROW('CONTROL MASTER'!$S$2:$S$495))-(ROW('CONTROL MASTER'!#REF!)-1))))+1)))-1)*50+1,50))&amp;"_"&amp;INDEX('CONTROL MASTER'!$P$2:$P$495,(SUMPRODUCT((('CONTROL MASTER'!$S$2:$S$495=2)*('CONTROL MASTER'!$Z$2:$Z$495&lt;=10)*('CONTROL MASTER'!$AB$2:$AB$495&gt;=10)*('CONTROL MASTER'!$AA$2:$AA$495&lt;=7)*('CONTROL MASTER'!$AC$2:$AC$495&gt;=7))*ROW('CONTROL MASTER'!$S$2:$S$495))-(ROW('CONTROL MASTER'!#REF!)-1))),"")),"")</f>
        <v/>
      </c>
      <c r="I26" s="10" t="str">
        <f>IFERROR(IF(SUMPRODUCT((('CONTROL MASTER'!$S$2:$S$495=2)*('CONTROL MASTER'!$T$2:$T$495&lt;=10)*('CONTROL MASTER'!$V$2:$V$495&gt;=10)*('CONTROL MASTER'!$U$2:$U$495&lt;=8)*('CONTROL MASTER'!$W$2:$W$495&gt;=8))*ROW('CONTROL MASTER'!$S$2:$S$495))&gt;0,INDEX('CONTROL MASTER'!$X$2:$X$495,(SUMPRODUCT((('CONTROL MASTER'!$S$2:$S$495=2)*('CONTROL MASTER'!$T$2:$T$495&lt;=10)*('CONTROL MASTER'!$V$2:$V$495&gt;=10)*('CONTROL MASTER'!$U$2:$U$495&lt;=8)*('CONTROL MASTER'!$W$2:$W$495&gt;=8))*ROW('CONTROL MASTER'!$S$2:$S$495))-(ROW('CONTROL MASTER'!#REF!)-1)))&amp;TRIM(MID(SUBSTITUTE(SUBSTITUTE(INDEX('CONTROL MASTER'!$N$2:$N$495,(SUMPRODUCT((('CONTROL MASTER'!$S$2:$S$495=2)*('CONTROL MASTER'!$T$2:$T$495&lt;=10)*('CONTROL MASTER'!$V$2:$V$495&gt;=10)*('CONTROL MASTER'!$U$2:$U$495&lt;=8)*('CONTROL MASTER'!$W$2:$W$495&gt;=8))*ROW('CONTROL MASTER'!$S$2:$S$495))-(ROW('CONTROL MASTER'!#REF!)-1))),":",","),",",REPT(" ",50)),((((10-INDEX('CONTROL MASTER'!$T$2:$T$495,(SUMPRODUCT((('CONTROL MASTER'!$S$2:$S$495=2)*('CONTROL MASTER'!$T$2:$T$495&lt;=10)*('CONTROL MASTER'!$V$2:$V$495&gt;=10)*('CONTROL MASTER'!$U$2:$U$495&lt;=8)*('CONTROL MASTER'!$W$2:$W$495&gt;=8))*ROW('CONTROL MASTER'!$S$2:$S$495))-(ROW('CONTROL MASTER'!#REF!)-1))))*(INDEX('CONTROL MASTER'!$W$2:$W$495,(SUMPRODUCT((('CONTROL MASTER'!$S$2:$S$495=2)*('CONTROL MASTER'!$T$2:$T$495&lt;=10)*('CONTROL MASTER'!$V$2:$V$495&gt;=10)*('CONTROL MASTER'!$U$2:$U$495&lt;=8)*('CONTROL MASTER'!$W$2:$W$495&gt;=8))*ROW('CONTROL MASTER'!$S$2:$S$495))-(ROW('CONTROL MASTER'!#REF!)-1)))-INDEX('CONTROL MASTER'!$U$2:$U$495,(SUMPRODUCT((('CONTROL MASTER'!$S$2:$S$495=2)*('CONTROL MASTER'!$T$2:$T$495&lt;=10)*('CONTROL MASTER'!$V$2:$V$495&gt;=10)*('CONTROL MASTER'!$U$2:$U$495&lt;=8)*('CONTROL MASTER'!$W$2:$W$495&gt;=8))*ROW('CONTROL MASTER'!$S$2:$S$495))-(ROW('CONTROL MASTER'!#REF!)-1)))+1)+(8-INDEX('CONTROL MASTER'!$U$2:$U$495,(SUMPRODUCT((('CONTROL MASTER'!$S$2:$S$495=2)*('CONTROL MASTER'!$T$2:$T$495&lt;=10)*('CONTROL MASTER'!$V$2:$V$495&gt;=10)*('CONTROL MASTER'!$U$2:$U$495&lt;=8)*('CONTROL MASTER'!$W$2:$W$495&gt;=8))*ROW('CONTROL MASTER'!$S$2:$S$495))-(ROW('CONTROL MASTER'!#REF!)-1))))+1))-1)*50+1,50))&amp;"_"&amp;INDEX('CONTROL MASTER'!$P$2:$P$495,(SUMPRODUCT((('CONTROL MASTER'!$S$2:$S$495=2)*('CONTROL MASTER'!$T$2:$T$495&lt;=10)*('CONTROL MASTER'!$V$2:$V$495&gt;=10)*('CONTROL MASTER'!$U$2:$U$495&lt;=8)*('CONTROL MASTER'!$W$2:$W$495&gt;=8))*ROW('CONTROL MASTER'!$S$2:$S$495))-(ROW('CONTROL MASTER'!#REF!)-1))),IF(SUMPRODUCT((('CONTROL MASTER'!$S$2:$S$495=2)*('CONTROL MASTER'!$Z$2:$Z$495&lt;=10)*('CONTROL MASTER'!$AB$2:$AB$495&gt;=10)*('CONTROL MASTER'!$AA$2:$AA$495&lt;=8)*('CONTROL MASTER'!$AC$2:$AC$495&gt;=8))*ROW('CONTROL MASTER'!$S$2:$S$495))&gt;0,INDEX('CONTROL MASTER'!$X$2:$X$495,(SUMPRODUCT((('CONTROL MASTER'!$S$2:$S$495=2)*('CONTROL MASTER'!$Z$2:$Z$495&lt;=10)*('CONTROL MASTER'!$AB$2:$AB$495&gt;=10)*('CONTROL MASTER'!$AA$2:$AA$495&lt;=8)*('CONTROL MASTER'!$AC$2:$AC$495&gt;=8))*ROW('CONTROL MASTER'!$S$2:$S$495))-(ROW('CONTROL MASTER'!#REF!)-1)))&amp;TRIM(MID(SUBSTITUTE(SUBSTITUTE(INDEX('CONTROL MASTER'!$N$2:$N$495,(SUMPRODUCT((('CONTROL MASTER'!$S$2:$S$495=2)*('CONTROL MASTER'!$Z$2:$Z$495&lt;=10)*('CONTROL MASTER'!$AB$2:$AB$495&gt;=10)*('CONTROL MASTER'!$AA$2:$AA$495&lt;=8)*('CONTROL MASTER'!$AC$2:$AC$495&gt;=8))*ROW('CONTROL MASTER'!$S$2:$S$495))-(ROW('CONTROL MASTER'!#REF!)-1))),":",","),",",REPT(" ",50)),(((INDEX('CONTROL MASTER'!$Y$2:$Y$495,(SUMPRODUCT((('CONTROL MASTER'!$S$2:$S$495=2)*('CONTROL MASTER'!$Z$2:$Z$495&lt;=10)*('CONTROL MASTER'!$AB$2:$AB$495&gt;=10)*('CONTROL MASTER'!$AA$2:$AA$495&lt;=8)*('CONTROL MASTER'!$AC$2:$AC$495&gt;=8))*ROW('CONTROL MASTER'!$S$2:$S$495))-(ROW('CONTROL MASTER'!#REF!)-1)))+((10-INDEX('CONTROL MASTER'!$Z$2:$Z$495,(SUMPRODUCT((('CONTROL MASTER'!$S$2:$S$495=2)*('CONTROL MASTER'!$Z$2:$Z$495&lt;=10)*('CONTROL MASTER'!$AB$2:$AB$495&gt;=10)*('CONTROL MASTER'!$AA$2:$AA$495&lt;=8)*('CONTROL MASTER'!$AC$2:$AC$495&gt;=8))*ROW('CONTROL MASTER'!$S$2:$S$495))-(ROW('CONTROL MASTER'!#REF!)-1))))*(INDEX('CONTROL MASTER'!$AC$2:$AC$495,(SUMPRODUCT((('CONTROL MASTER'!$S$2:$S$495=2)*('CONTROL MASTER'!$Z$2:$Z$495&lt;=10)*('CONTROL MASTER'!$AB$2:$AB$495&gt;=10)*('CONTROL MASTER'!$AA$2:$AA$495&lt;=8)*('CONTROL MASTER'!$AC$2:$AC$495&gt;=8))*ROW('CONTROL MASTER'!$S$2:$S$495))-(ROW('CONTROL MASTER'!#REF!)-1)))-INDEX('CONTROL MASTER'!$AA$2:$AA$495,(SUMPRODUCT((('CONTROL MASTER'!$S$2:$S$495=2)*('CONTROL MASTER'!$Z$2:$Z$495&lt;=10)*('CONTROL MASTER'!$AB$2:$AB$495&gt;=10)*('CONTROL MASTER'!$AA$2:$AA$495&lt;=8)*('CONTROL MASTER'!$AC$2:$AC$495&gt;=8))*ROW('CONTROL MASTER'!$S$2:$S$495))-(ROW('CONTROL MASTER'!#REF!)-1)))+1)+(8-INDEX('CONTROL MASTER'!$AA$2:$AA$495,(SUMPRODUCT((('CONTROL MASTER'!$S$2:$S$495=2)*('CONTROL MASTER'!$Z$2:$Z$495&lt;=10)*('CONTROL MASTER'!$AB$2:$AB$495&gt;=10)*('CONTROL MASTER'!$AA$2:$AA$495&lt;=8)*('CONTROL MASTER'!$AC$2:$AC$495&gt;=8))*ROW('CONTROL MASTER'!$S$2:$S$495))-(ROW('CONTROL MASTER'!#REF!)-1))))+1)))-1)*50+1,50))&amp;"_"&amp;INDEX('CONTROL MASTER'!$P$2:$P$495,(SUMPRODUCT((('CONTROL MASTER'!$S$2:$S$495=2)*('CONTROL MASTER'!$Z$2:$Z$495&lt;=10)*('CONTROL MASTER'!$AB$2:$AB$495&gt;=10)*('CONTROL MASTER'!$AA$2:$AA$495&lt;=8)*('CONTROL MASTER'!$AC$2:$AC$495&gt;=8))*ROW('CONTROL MASTER'!$S$2:$S$495))-(ROW('CONTROL MASTER'!#REF!)-1))),"")),"")</f>
        <v/>
      </c>
      <c r="J26" s="10" t="str">
        <f>IFERROR(IF(SUMPRODUCT((('CONTROL MASTER'!$S$2:$S$495=2)*('CONTROL MASTER'!$T$2:$T$495&lt;=10)*('CONTROL MASTER'!$V$2:$V$495&gt;=10)*('CONTROL MASTER'!$U$2:$U$495&lt;=9)*('CONTROL MASTER'!$W$2:$W$495&gt;=9))*ROW('CONTROL MASTER'!$S$2:$S$495))&gt;0,INDEX('CONTROL MASTER'!$X$2:$X$495,(SUMPRODUCT((('CONTROL MASTER'!$S$2:$S$495=2)*('CONTROL MASTER'!$T$2:$T$495&lt;=10)*('CONTROL MASTER'!$V$2:$V$495&gt;=10)*('CONTROL MASTER'!$U$2:$U$495&lt;=9)*('CONTROL MASTER'!$W$2:$W$495&gt;=9))*ROW('CONTROL MASTER'!$S$2:$S$495))-(ROW('CONTROL MASTER'!#REF!)-1)))&amp;TRIM(MID(SUBSTITUTE(SUBSTITUTE(INDEX('CONTROL MASTER'!$N$2:$N$495,(SUMPRODUCT((('CONTROL MASTER'!$S$2:$S$495=2)*('CONTROL MASTER'!$T$2:$T$495&lt;=10)*('CONTROL MASTER'!$V$2:$V$495&gt;=10)*('CONTROL MASTER'!$U$2:$U$495&lt;=9)*('CONTROL MASTER'!$W$2:$W$495&gt;=9))*ROW('CONTROL MASTER'!$S$2:$S$495))-(ROW('CONTROL MASTER'!#REF!)-1))),":",","),",",REPT(" ",50)),((((10-INDEX('CONTROL MASTER'!$T$2:$T$495,(SUMPRODUCT((('CONTROL MASTER'!$S$2:$S$495=2)*('CONTROL MASTER'!$T$2:$T$495&lt;=10)*('CONTROL MASTER'!$V$2:$V$495&gt;=10)*('CONTROL MASTER'!$U$2:$U$495&lt;=9)*('CONTROL MASTER'!$W$2:$W$495&gt;=9))*ROW('CONTROL MASTER'!$S$2:$S$495))-(ROW('CONTROL MASTER'!#REF!)-1))))*(INDEX('CONTROL MASTER'!$W$2:$W$495,(SUMPRODUCT((('CONTROL MASTER'!$S$2:$S$495=2)*('CONTROL MASTER'!$T$2:$T$495&lt;=10)*('CONTROL MASTER'!$V$2:$V$495&gt;=10)*('CONTROL MASTER'!$U$2:$U$495&lt;=9)*('CONTROL MASTER'!$W$2:$W$495&gt;=9))*ROW('CONTROL MASTER'!$S$2:$S$495))-(ROW('CONTROL MASTER'!#REF!)-1)))-INDEX('CONTROL MASTER'!$U$2:$U$495,(SUMPRODUCT((('CONTROL MASTER'!$S$2:$S$495=2)*('CONTROL MASTER'!$T$2:$T$495&lt;=10)*('CONTROL MASTER'!$V$2:$V$495&gt;=10)*('CONTROL MASTER'!$U$2:$U$495&lt;=9)*('CONTROL MASTER'!$W$2:$W$495&gt;=9))*ROW('CONTROL MASTER'!$S$2:$S$495))-(ROW('CONTROL MASTER'!#REF!)-1)))+1)+(9-INDEX('CONTROL MASTER'!$U$2:$U$495,(SUMPRODUCT((('CONTROL MASTER'!$S$2:$S$495=2)*('CONTROL MASTER'!$T$2:$T$495&lt;=10)*('CONTROL MASTER'!$V$2:$V$495&gt;=10)*('CONTROL MASTER'!$U$2:$U$495&lt;=9)*('CONTROL MASTER'!$W$2:$W$495&gt;=9))*ROW('CONTROL MASTER'!$S$2:$S$495))-(ROW('CONTROL MASTER'!#REF!)-1))))+1))-1)*50+1,50))&amp;"_"&amp;INDEX('CONTROL MASTER'!$P$2:$P$495,(SUMPRODUCT((('CONTROL MASTER'!$S$2:$S$495=2)*('CONTROL MASTER'!$T$2:$T$495&lt;=10)*('CONTROL MASTER'!$V$2:$V$495&gt;=10)*('CONTROL MASTER'!$U$2:$U$495&lt;=9)*('CONTROL MASTER'!$W$2:$W$495&gt;=9))*ROW('CONTROL MASTER'!$S$2:$S$495))-(ROW('CONTROL MASTER'!#REF!)-1))),IF(SUMPRODUCT((('CONTROL MASTER'!$S$2:$S$495=2)*('CONTROL MASTER'!$Z$2:$Z$495&lt;=10)*('CONTROL MASTER'!$AB$2:$AB$495&gt;=10)*('CONTROL MASTER'!$AA$2:$AA$495&lt;=9)*('CONTROL MASTER'!$AC$2:$AC$495&gt;=9))*ROW('CONTROL MASTER'!$S$2:$S$495))&gt;0,INDEX('CONTROL MASTER'!$X$2:$X$495,(SUMPRODUCT((('CONTROL MASTER'!$S$2:$S$495=2)*('CONTROL MASTER'!$Z$2:$Z$495&lt;=10)*('CONTROL MASTER'!$AB$2:$AB$495&gt;=10)*('CONTROL MASTER'!$AA$2:$AA$495&lt;=9)*('CONTROL MASTER'!$AC$2:$AC$495&gt;=9))*ROW('CONTROL MASTER'!$S$2:$S$495))-(ROW('CONTROL MASTER'!#REF!)-1)))&amp;TRIM(MID(SUBSTITUTE(SUBSTITUTE(INDEX('CONTROL MASTER'!$N$2:$N$495,(SUMPRODUCT((('CONTROL MASTER'!$S$2:$S$495=2)*('CONTROL MASTER'!$Z$2:$Z$495&lt;=10)*('CONTROL MASTER'!$AB$2:$AB$495&gt;=10)*('CONTROL MASTER'!$AA$2:$AA$495&lt;=9)*('CONTROL MASTER'!$AC$2:$AC$495&gt;=9))*ROW('CONTROL MASTER'!$S$2:$S$495))-(ROW('CONTROL MASTER'!#REF!)-1))),":",","),",",REPT(" ",50)),(((INDEX('CONTROL MASTER'!$Y$2:$Y$495,(SUMPRODUCT((('CONTROL MASTER'!$S$2:$S$495=2)*('CONTROL MASTER'!$Z$2:$Z$495&lt;=10)*('CONTROL MASTER'!$AB$2:$AB$495&gt;=10)*('CONTROL MASTER'!$AA$2:$AA$495&lt;=9)*('CONTROL MASTER'!$AC$2:$AC$495&gt;=9))*ROW('CONTROL MASTER'!$S$2:$S$495))-(ROW('CONTROL MASTER'!#REF!)-1)))+((10-INDEX('CONTROL MASTER'!$Z$2:$Z$495,(SUMPRODUCT((('CONTROL MASTER'!$S$2:$S$495=2)*('CONTROL MASTER'!$Z$2:$Z$495&lt;=10)*('CONTROL MASTER'!$AB$2:$AB$495&gt;=10)*('CONTROL MASTER'!$AA$2:$AA$495&lt;=9)*('CONTROL MASTER'!$AC$2:$AC$495&gt;=9))*ROW('CONTROL MASTER'!$S$2:$S$495))-(ROW('CONTROL MASTER'!#REF!)-1))))*(INDEX('CONTROL MASTER'!$AC$2:$AC$495,(SUMPRODUCT((('CONTROL MASTER'!$S$2:$S$495=2)*('CONTROL MASTER'!$Z$2:$Z$495&lt;=10)*('CONTROL MASTER'!$AB$2:$AB$495&gt;=10)*('CONTROL MASTER'!$AA$2:$AA$495&lt;=9)*('CONTROL MASTER'!$AC$2:$AC$495&gt;=9))*ROW('CONTROL MASTER'!$S$2:$S$495))-(ROW('CONTROL MASTER'!#REF!)-1)))-INDEX('CONTROL MASTER'!$AA$2:$AA$495,(SUMPRODUCT((('CONTROL MASTER'!$S$2:$S$495=2)*('CONTROL MASTER'!$Z$2:$Z$495&lt;=10)*('CONTROL MASTER'!$AB$2:$AB$495&gt;=10)*('CONTROL MASTER'!$AA$2:$AA$495&lt;=9)*('CONTROL MASTER'!$AC$2:$AC$495&gt;=9))*ROW('CONTROL MASTER'!$S$2:$S$495))-(ROW('CONTROL MASTER'!#REF!)-1)))+1)+(9-INDEX('CONTROL MASTER'!$AA$2:$AA$495,(SUMPRODUCT((('CONTROL MASTER'!$S$2:$S$495=2)*('CONTROL MASTER'!$Z$2:$Z$495&lt;=10)*('CONTROL MASTER'!$AB$2:$AB$495&gt;=10)*('CONTROL MASTER'!$AA$2:$AA$495&lt;=9)*('CONTROL MASTER'!$AC$2:$AC$495&gt;=9))*ROW('CONTROL MASTER'!$S$2:$S$495))-(ROW('CONTROL MASTER'!#REF!)-1))))+1)))-1)*50+1,50))&amp;"_"&amp;INDEX('CONTROL MASTER'!$P$2:$P$495,(SUMPRODUCT((('CONTROL MASTER'!$S$2:$S$495=2)*('CONTROL MASTER'!$Z$2:$Z$495&lt;=10)*('CONTROL MASTER'!$AB$2:$AB$495&gt;=10)*('CONTROL MASTER'!$AA$2:$AA$495&lt;=9)*('CONTROL MASTER'!$AC$2:$AC$495&gt;=9))*ROW('CONTROL MASTER'!$S$2:$S$495))-(ROW('CONTROL MASTER'!#REF!)-1))),"")),"")</f>
        <v/>
      </c>
      <c r="K26" s="10" t="str">
        <f>IFERROR(IF(SUMPRODUCT((('CONTROL MASTER'!$S$2:$S$495=2)*('CONTROL MASTER'!$T$2:$T$495&lt;=10)*('CONTROL MASTER'!$V$2:$V$495&gt;=10)*('CONTROL MASTER'!$U$2:$U$495&lt;=10)*('CONTROL MASTER'!$W$2:$W$495&gt;=10))*ROW('CONTROL MASTER'!$S$2:$S$495))&gt;0,INDEX('CONTROL MASTER'!$X$2:$X$495,(SUMPRODUCT((('CONTROL MASTER'!$S$2:$S$495=2)*('CONTROL MASTER'!$T$2:$T$495&lt;=10)*('CONTROL MASTER'!$V$2:$V$495&gt;=10)*('CONTROL MASTER'!$U$2:$U$495&lt;=10)*('CONTROL MASTER'!$W$2:$W$495&gt;=10))*ROW('CONTROL MASTER'!$S$2:$S$495))-(ROW('CONTROL MASTER'!#REF!)-1)))&amp;TRIM(MID(SUBSTITUTE(SUBSTITUTE(INDEX('CONTROL MASTER'!$N$2:$N$495,(SUMPRODUCT((('CONTROL MASTER'!$S$2:$S$495=2)*('CONTROL MASTER'!$T$2:$T$495&lt;=10)*('CONTROL MASTER'!$V$2:$V$495&gt;=10)*('CONTROL MASTER'!$U$2:$U$495&lt;=10)*('CONTROL MASTER'!$W$2:$W$495&gt;=10))*ROW('CONTROL MASTER'!$S$2:$S$495))-(ROW('CONTROL MASTER'!#REF!)-1))),":",","),",",REPT(" ",50)),((((10-INDEX('CONTROL MASTER'!$T$2:$T$495,(SUMPRODUCT((('CONTROL MASTER'!$S$2:$S$495=2)*('CONTROL MASTER'!$T$2:$T$495&lt;=10)*('CONTROL MASTER'!$V$2:$V$495&gt;=10)*('CONTROL MASTER'!$U$2:$U$495&lt;=10)*('CONTROL MASTER'!$W$2:$W$495&gt;=10))*ROW('CONTROL MASTER'!$S$2:$S$495))-(ROW('CONTROL MASTER'!#REF!)-1))))*(INDEX('CONTROL MASTER'!$W$2:$W$495,(SUMPRODUCT((('CONTROL MASTER'!$S$2:$S$495=2)*('CONTROL MASTER'!$T$2:$T$495&lt;=10)*('CONTROL MASTER'!$V$2:$V$495&gt;=10)*('CONTROL MASTER'!$U$2:$U$495&lt;=10)*('CONTROL MASTER'!$W$2:$W$495&gt;=10))*ROW('CONTROL MASTER'!$S$2:$S$495))-(ROW('CONTROL MASTER'!#REF!)-1)))-INDEX('CONTROL MASTER'!$U$2:$U$495,(SUMPRODUCT((('CONTROL MASTER'!$S$2:$S$495=2)*('CONTROL MASTER'!$T$2:$T$495&lt;=10)*('CONTROL MASTER'!$V$2:$V$495&gt;=10)*('CONTROL MASTER'!$U$2:$U$495&lt;=10)*('CONTROL MASTER'!$W$2:$W$495&gt;=10))*ROW('CONTROL MASTER'!$S$2:$S$495))-(ROW('CONTROL MASTER'!#REF!)-1)))+1)+(10-INDEX('CONTROL MASTER'!$U$2:$U$495,(SUMPRODUCT((('CONTROL MASTER'!$S$2:$S$495=2)*('CONTROL MASTER'!$T$2:$T$495&lt;=10)*('CONTROL MASTER'!$V$2:$V$495&gt;=10)*('CONTROL MASTER'!$U$2:$U$495&lt;=10)*('CONTROL MASTER'!$W$2:$W$495&gt;=10))*ROW('CONTROL MASTER'!$S$2:$S$495))-(ROW('CONTROL MASTER'!#REF!)-1))))+1))-1)*50+1,50))&amp;"_"&amp;INDEX('CONTROL MASTER'!$P$2:$P$495,(SUMPRODUCT((('CONTROL MASTER'!$S$2:$S$495=2)*('CONTROL MASTER'!$T$2:$T$495&lt;=10)*('CONTROL MASTER'!$V$2:$V$495&gt;=10)*('CONTROL MASTER'!$U$2:$U$495&lt;=10)*('CONTROL MASTER'!$W$2:$W$495&gt;=10))*ROW('CONTROL MASTER'!$S$2:$S$495))-(ROW('CONTROL MASTER'!#REF!)-1))),IF(SUMPRODUCT((('CONTROL MASTER'!$S$2:$S$495=2)*('CONTROL MASTER'!$Z$2:$Z$495&lt;=10)*('CONTROL MASTER'!$AB$2:$AB$495&gt;=10)*('CONTROL MASTER'!$AA$2:$AA$495&lt;=10)*('CONTROL MASTER'!$AC$2:$AC$495&gt;=10))*ROW('CONTROL MASTER'!$S$2:$S$495))&gt;0,INDEX('CONTROL MASTER'!$X$2:$X$495,(SUMPRODUCT((('CONTROL MASTER'!$S$2:$S$495=2)*('CONTROL MASTER'!$Z$2:$Z$495&lt;=10)*('CONTROL MASTER'!$AB$2:$AB$495&gt;=10)*('CONTROL MASTER'!$AA$2:$AA$495&lt;=10)*('CONTROL MASTER'!$AC$2:$AC$495&gt;=10))*ROW('CONTROL MASTER'!$S$2:$S$495))-(ROW('CONTROL MASTER'!#REF!)-1)))&amp;TRIM(MID(SUBSTITUTE(SUBSTITUTE(INDEX('CONTROL MASTER'!$N$2:$N$495,(SUMPRODUCT((('CONTROL MASTER'!$S$2:$S$495=2)*('CONTROL MASTER'!$Z$2:$Z$495&lt;=10)*('CONTROL MASTER'!$AB$2:$AB$495&gt;=10)*('CONTROL MASTER'!$AA$2:$AA$495&lt;=10)*('CONTROL MASTER'!$AC$2:$AC$495&gt;=10))*ROW('CONTROL MASTER'!$S$2:$S$495))-(ROW('CONTROL MASTER'!#REF!)-1))),":",","),",",REPT(" ",50)),(((INDEX('CONTROL MASTER'!$Y$2:$Y$495,(SUMPRODUCT((('CONTROL MASTER'!$S$2:$S$495=2)*('CONTROL MASTER'!$Z$2:$Z$495&lt;=10)*('CONTROL MASTER'!$AB$2:$AB$495&gt;=10)*('CONTROL MASTER'!$AA$2:$AA$495&lt;=10)*('CONTROL MASTER'!$AC$2:$AC$495&gt;=10))*ROW('CONTROL MASTER'!$S$2:$S$495))-(ROW('CONTROL MASTER'!#REF!)-1)))+((10-INDEX('CONTROL MASTER'!$Z$2:$Z$495,(SUMPRODUCT((('CONTROL MASTER'!$S$2:$S$495=2)*('CONTROL MASTER'!$Z$2:$Z$495&lt;=10)*('CONTROL MASTER'!$AB$2:$AB$495&gt;=10)*('CONTROL MASTER'!$AA$2:$AA$495&lt;=10)*('CONTROL MASTER'!$AC$2:$AC$495&gt;=10))*ROW('CONTROL MASTER'!$S$2:$S$495))-(ROW('CONTROL MASTER'!#REF!)-1))))*(INDEX('CONTROL MASTER'!$AC$2:$AC$495,(SUMPRODUCT((('CONTROL MASTER'!$S$2:$S$495=2)*('CONTROL MASTER'!$Z$2:$Z$495&lt;=10)*('CONTROL MASTER'!$AB$2:$AB$495&gt;=10)*('CONTROL MASTER'!$AA$2:$AA$495&lt;=10)*('CONTROL MASTER'!$AC$2:$AC$495&gt;=10))*ROW('CONTROL MASTER'!$S$2:$S$495))-(ROW('CONTROL MASTER'!#REF!)-1)))-INDEX('CONTROL MASTER'!$AA$2:$AA$495,(SUMPRODUCT((('CONTROL MASTER'!$S$2:$S$495=2)*('CONTROL MASTER'!$Z$2:$Z$495&lt;=10)*('CONTROL MASTER'!$AB$2:$AB$495&gt;=10)*('CONTROL MASTER'!$AA$2:$AA$495&lt;=10)*('CONTROL MASTER'!$AC$2:$AC$495&gt;=10))*ROW('CONTROL MASTER'!$S$2:$S$495))-(ROW('CONTROL MASTER'!#REF!)-1)))+1)+(10-INDEX('CONTROL MASTER'!$AA$2:$AA$495,(SUMPRODUCT((('CONTROL MASTER'!$S$2:$S$495=2)*('CONTROL MASTER'!$Z$2:$Z$495&lt;=10)*('CONTROL MASTER'!$AB$2:$AB$495&gt;=10)*('CONTROL MASTER'!$AA$2:$AA$495&lt;=10)*('CONTROL MASTER'!$AC$2:$AC$495&gt;=10))*ROW('CONTROL MASTER'!$S$2:$S$495))-(ROW('CONTROL MASTER'!#REF!)-1))))+1)))-1)*50+1,50))&amp;"_"&amp;INDEX('CONTROL MASTER'!$P$2:$P$495,(SUMPRODUCT((('CONTROL MASTER'!$S$2:$S$495=2)*('CONTROL MASTER'!$Z$2:$Z$495&lt;=10)*('CONTROL MASTER'!$AB$2:$AB$495&gt;=10)*('CONTROL MASTER'!$AA$2:$AA$495&lt;=10)*('CONTROL MASTER'!$AC$2:$AC$495&gt;=10))*ROW('CONTROL MASTER'!$S$2:$S$495))-(ROW('CONTROL MASTER'!#REF!)-1))),"")),"")</f>
        <v/>
      </c>
    </row>
    <row r="29" spans="1:11" ht="15" customHeight="1" x14ac:dyDescent="0.35">
      <c r="A29" s="12" t="s">
        <v>159</v>
      </c>
      <c r="B29" s="13"/>
      <c r="C29" s="13"/>
      <c r="D29" s="13"/>
      <c r="E29" s="13"/>
      <c r="F29" s="13"/>
      <c r="G29" s="13"/>
      <c r="H29" s="13"/>
      <c r="I29" s="13"/>
      <c r="J29" s="13"/>
      <c r="K29" s="13"/>
    </row>
    <row r="30" spans="1:11" ht="15" customHeight="1" x14ac:dyDescent="0.35">
      <c r="B30" s="8">
        <v>1</v>
      </c>
      <c r="C30" s="8">
        <v>2</v>
      </c>
      <c r="D30" s="8">
        <v>3</v>
      </c>
      <c r="E30" s="8">
        <v>4</v>
      </c>
      <c r="F30" s="8">
        <v>5</v>
      </c>
      <c r="G30" s="8">
        <v>6</v>
      </c>
      <c r="H30" s="8">
        <v>7</v>
      </c>
      <c r="I30" s="8">
        <v>8</v>
      </c>
      <c r="J30" s="8">
        <v>9</v>
      </c>
      <c r="K30" s="8">
        <v>10</v>
      </c>
    </row>
    <row r="31" spans="1:11" ht="15" customHeight="1" x14ac:dyDescent="0.35">
      <c r="A31" s="8" t="s">
        <v>28</v>
      </c>
      <c r="B31" s="10" t="str">
        <f>IFERROR(IF(SUMPRODUCT((('CONTROL MASTER'!$S$2:$S$495=3)*('CONTROL MASTER'!$T$2:$T$495&lt;=1)*('CONTROL MASTER'!$V$2:$V$495&gt;=1)*('CONTROL MASTER'!$U$2:$U$495&lt;=1)*('CONTROL MASTER'!$W$2:$W$495&gt;=1))*ROW('CONTROL MASTER'!$S$2:$S$495))&gt;0,INDEX('CONTROL MASTER'!$X$2:$X$495,(SUMPRODUCT((('CONTROL MASTER'!$S$2:$S$495=3)*('CONTROL MASTER'!$T$2:$T$495&lt;=1)*('CONTROL MASTER'!$V$2:$V$495&gt;=1)*('CONTROL MASTER'!$U$2:$U$495&lt;=1)*('CONTROL MASTER'!$W$2:$W$495&gt;=1))*ROW('CONTROL MASTER'!$S$2:$S$495))-(ROW('CONTROL MASTER'!#REF!)-1)))&amp;TRIM(MID(SUBSTITUTE(SUBSTITUTE(INDEX('CONTROL MASTER'!$N$2:$N$495,(SUMPRODUCT((('CONTROL MASTER'!$S$2:$S$495=3)*('CONTROL MASTER'!$T$2:$T$495&lt;=1)*('CONTROL MASTER'!$V$2:$V$495&gt;=1)*('CONTROL MASTER'!$U$2:$U$495&lt;=1)*('CONTROL MASTER'!$W$2:$W$495&gt;=1))*ROW('CONTROL MASTER'!$S$2:$S$495))-(ROW('CONTROL MASTER'!#REF!)-1))),":",","),",",REPT(" ",50)),((((1-INDEX('CONTROL MASTER'!$T$2:$T$495,(SUMPRODUCT((('CONTROL MASTER'!$S$2:$S$495=3)*('CONTROL MASTER'!$T$2:$T$495&lt;=1)*('CONTROL MASTER'!$V$2:$V$495&gt;=1)*('CONTROL MASTER'!$U$2:$U$495&lt;=1)*('CONTROL MASTER'!$W$2:$W$495&gt;=1))*ROW('CONTROL MASTER'!$S$2:$S$495))-(ROW('CONTROL MASTER'!#REF!)-1))))*(INDEX('CONTROL MASTER'!$W$2:$W$495,(SUMPRODUCT((('CONTROL MASTER'!$S$2:$S$495=3)*('CONTROL MASTER'!$T$2:$T$495&lt;=1)*('CONTROL MASTER'!$V$2:$V$495&gt;=1)*('CONTROL MASTER'!$U$2:$U$495&lt;=1)*('CONTROL MASTER'!$W$2:$W$495&gt;=1))*ROW('CONTROL MASTER'!$S$2:$S$495))-(ROW('CONTROL MASTER'!#REF!)-1)))-INDEX('CONTROL MASTER'!$U$2:$U$495,(SUMPRODUCT((('CONTROL MASTER'!$S$2:$S$495=3)*('CONTROL MASTER'!$T$2:$T$495&lt;=1)*('CONTROL MASTER'!$V$2:$V$495&gt;=1)*('CONTROL MASTER'!$U$2:$U$495&lt;=1)*('CONTROL MASTER'!$W$2:$W$495&gt;=1))*ROW('CONTROL MASTER'!$S$2:$S$495))-(ROW('CONTROL MASTER'!#REF!)-1)))+1)+(1-INDEX('CONTROL MASTER'!$U$2:$U$495,(SUMPRODUCT((('CONTROL MASTER'!$S$2:$S$495=3)*('CONTROL MASTER'!$T$2:$T$495&lt;=1)*('CONTROL MASTER'!$V$2:$V$495&gt;=1)*('CONTROL MASTER'!$U$2:$U$495&lt;=1)*('CONTROL MASTER'!$W$2:$W$495&gt;=1))*ROW('CONTROL MASTER'!$S$2:$S$495))-(ROW('CONTROL MASTER'!#REF!)-1))))+1))-1)*50+1,50))&amp;"_"&amp;INDEX('CONTROL MASTER'!$P$2:$P$495,(SUMPRODUCT((('CONTROL MASTER'!$S$2:$S$495=3)*('CONTROL MASTER'!$T$2:$T$495&lt;=1)*('CONTROL MASTER'!$V$2:$V$495&gt;=1)*('CONTROL MASTER'!$U$2:$U$495&lt;=1)*('CONTROL MASTER'!$W$2:$W$495&gt;=1))*ROW('CONTROL MASTER'!$S$2:$S$495))-(ROW('CONTROL MASTER'!#REF!)-1))),IF(SUMPRODUCT((('CONTROL MASTER'!$S$2:$S$495=3)*('CONTROL MASTER'!$Z$2:$Z$495&lt;=1)*('CONTROL MASTER'!$AB$2:$AB$495&gt;=1)*('CONTROL MASTER'!$AA$2:$AA$495&lt;=1)*('CONTROL MASTER'!$AC$2:$AC$495&gt;=1))*ROW('CONTROL MASTER'!$S$2:$S$495))&gt;0,INDEX('CONTROL MASTER'!$X$2:$X$495,(SUMPRODUCT((('CONTROL MASTER'!$S$2:$S$495=3)*('CONTROL MASTER'!$Z$2:$Z$495&lt;=1)*('CONTROL MASTER'!$AB$2:$AB$495&gt;=1)*('CONTROL MASTER'!$AA$2:$AA$495&lt;=1)*('CONTROL MASTER'!$AC$2:$AC$495&gt;=1))*ROW('CONTROL MASTER'!$S$2:$S$495))-(ROW('CONTROL MASTER'!#REF!)-1)))&amp;TRIM(MID(SUBSTITUTE(SUBSTITUTE(INDEX('CONTROL MASTER'!$N$2:$N$495,(SUMPRODUCT((('CONTROL MASTER'!$S$2:$S$495=3)*('CONTROL MASTER'!$Z$2:$Z$495&lt;=1)*('CONTROL MASTER'!$AB$2:$AB$495&gt;=1)*('CONTROL MASTER'!$AA$2:$AA$495&lt;=1)*('CONTROL MASTER'!$AC$2:$AC$495&gt;=1))*ROW('CONTROL MASTER'!$S$2:$S$495))-(ROW('CONTROL MASTER'!#REF!)-1))),":",","),",",REPT(" ",50)),(((INDEX('CONTROL MASTER'!$Y$2:$Y$495,(SUMPRODUCT((('CONTROL MASTER'!$S$2:$S$495=3)*('CONTROL MASTER'!$Z$2:$Z$495&lt;=1)*('CONTROL MASTER'!$AB$2:$AB$495&gt;=1)*('CONTROL MASTER'!$AA$2:$AA$495&lt;=1)*('CONTROL MASTER'!$AC$2:$AC$495&gt;=1))*ROW('CONTROL MASTER'!$S$2:$S$495))-(ROW('CONTROL MASTER'!#REF!)-1)))+((1-INDEX('CONTROL MASTER'!$Z$2:$Z$495,(SUMPRODUCT((('CONTROL MASTER'!$S$2:$S$495=3)*('CONTROL MASTER'!$Z$2:$Z$495&lt;=1)*('CONTROL MASTER'!$AB$2:$AB$495&gt;=1)*('CONTROL MASTER'!$AA$2:$AA$495&lt;=1)*('CONTROL MASTER'!$AC$2:$AC$495&gt;=1))*ROW('CONTROL MASTER'!$S$2:$S$495))-(ROW('CONTROL MASTER'!#REF!)-1))))*(INDEX('CONTROL MASTER'!$AC$2:$AC$495,(SUMPRODUCT((('CONTROL MASTER'!$S$2:$S$495=3)*('CONTROL MASTER'!$Z$2:$Z$495&lt;=1)*('CONTROL MASTER'!$AB$2:$AB$495&gt;=1)*('CONTROL MASTER'!$AA$2:$AA$495&lt;=1)*('CONTROL MASTER'!$AC$2:$AC$495&gt;=1))*ROW('CONTROL MASTER'!$S$2:$S$495))-(ROW('CONTROL MASTER'!#REF!)-1)))-INDEX('CONTROL MASTER'!$AA$2:$AA$495,(SUMPRODUCT((('CONTROL MASTER'!$S$2:$S$495=3)*('CONTROL MASTER'!$Z$2:$Z$495&lt;=1)*('CONTROL MASTER'!$AB$2:$AB$495&gt;=1)*('CONTROL MASTER'!$AA$2:$AA$495&lt;=1)*('CONTROL MASTER'!$AC$2:$AC$495&gt;=1))*ROW('CONTROL MASTER'!$S$2:$S$495))-(ROW('CONTROL MASTER'!#REF!)-1)))+1)+(1-INDEX('CONTROL MASTER'!$AA$2:$AA$495,(SUMPRODUCT((('CONTROL MASTER'!$S$2:$S$495=3)*('CONTROL MASTER'!$Z$2:$Z$495&lt;=1)*('CONTROL MASTER'!$AB$2:$AB$495&gt;=1)*('CONTROL MASTER'!$AA$2:$AA$495&lt;=1)*('CONTROL MASTER'!$AC$2:$AC$495&gt;=1))*ROW('CONTROL MASTER'!$S$2:$S$495))-(ROW('CONTROL MASTER'!#REF!)-1))))+1)))-1)*50+1,50))&amp;"_"&amp;INDEX('CONTROL MASTER'!$P$2:$P$495,(SUMPRODUCT((('CONTROL MASTER'!$S$2:$S$495=3)*('CONTROL MASTER'!$Z$2:$Z$495&lt;=1)*('CONTROL MASTER'!$AB$2:$AB$495&gt;=1)*('CONTROL MASTER'!$AA$2:$AA$495&lt;=1)*('CONTROL MASTER'!$AC$2:$AC$495&gt;=1))*ROW('CONTROL MASTER'!$S$2:$S$495))-(ROW('CONTROL MASTER'!#REF!)-1))),"")),"")</f>
        <v/>
      </c>
      <c r="C31" s="10" t="str">
        <f>IFERROR(IF(SUMPRODUCT((('CONTROL MASTER'!$S$2:$S$495=3)*('CONTROL MASTER'!$T$2:$T$495&lt;=1)*('CONTROL MASTER'!$V$2:$V$495&gt;=1)*('CONTROL MASTER'!$U$2:$U$495&lt;=2)*('CONTROL MASTER'!$W$2:$W$495&gt;=2))*ROW('CONTROL MASTER'!$S$2:$S$495))&gt;0,INDEX('CONTROL MASTER'!$X$2:$X$495,(SUMPRODUCT((('CONTROL MASTER'!$S$2:$S$495=3)*('CONTROL MASTER'!$T$2:$T$495&lt;=1)*('CONTROL MASTER'!$V$2:$V$495&gt;=1)*('CONTROL MASTER'!$U$2:$U$495&lt;=2)*('CONTROL MASTER'!$W$2:$W$495&gt;=2))*ROW('CONTROL MASTER'!$S$2:$S$495))-(ROW('CONTROL MASTER'!#REF!)-1)))&amp;TRIM(MID(SUBSTITUTE(SUBSTITUTE(INDEX('CONTROL MASTER'!$N$2:$N$495,(SUMPRODUCT((('CONTROL MASTER'!$S$2:$S$495=3)*('CONTROL MASTER'!$T$2:$T$495&lt;=1)*('CONTROL MASTER'!$V$2:$V$495&gt;=1)*('CONTROL MASTER'!$U$2:$U$495&lt;=2)*('CONTROL MASTER'!$W$2:$W$495&gt;=2))*ROW('CONTROL MASTER'!$S$2:$S$495))-(ROW('CONTROL MASTER'!#REF!)-1))),":",","),",",REPT(" ",50)),((((1-INDEX('CONTROL MASTER'!$T$2:$T$495,(SUMPRODUCT((('CONTROL MASTER'!$S$2:$S$495=3)*('CONTROL MASTER'!$T$2:$T$495&lt;=1)*('CONTROL MASTER'!$V$2:$V$495&gt;=1)*('CONTROL MASTER'!$U$2:$U$495&lt;=2)*('CONTROL MASTER'!$W$2:$W$495&gt;=2))*ROW('CONTROL MASTER'!$S$2:$S$495))-(ROW('CONTROL MASTER'!#REF!)-1))))*(INDEX('CONTROL MASTER'!$W$2:$W$495,(SUMPRODUCT((('CONTROL MASTER'!$S$2:$S$495=3)*('CONTROL MASTER'!$T$2:$T$495&lt;=1)*('CONTROL MASTER'!$V$2:$V$495&gt;=1)*('CONTROL MASTER'!$U$2:$U$495&lt;=2)*('CONTROL MASTER'!$W$2:$W$495&gt;=2))*ROW('CONTROL MASTER'!$S$2:$S$495))-(ROW('CONTROL MASTER'!#REF!)-1)))-INDEX('CONTROL MASTER'!$U$2:$U$495,(SUMPRODUCT((('CONTROL MASTER'!$S$2:$S$495=3)*('CONTROL MASTER'!$T$2:$T$495&lt;=1)*('CONTROL MASTER'!$V$2:$V$495&gt;=1)*('CONTROL MASTER'!$U$2:$U$495&lt;=2)*('CONTROL MASTER'!$W$2:$W$495&gt;=2))*ROW('CONTROL MASTER'!$S$2:$S$495))-(ROW('CONTROL MASTER'!#REF!)-1)))+1)+(2-INDEX('CONTROL MASTER'!$U$2:$U$495,(SUMPRODUCT((('CONTROL MASTER'!$S$2:$S$495=3)*('CONTROL MASTER'!$T$2:$T$495&lt;=1)*('CONTROL MASTER'!$V$2:$V$495&gt;=1)*('CONTROL MASTER'!$U$2:$U$495&lt;=2)*('CONTROL MASTER'!$W$2:$W$495&gt;=2))*ROW('CONTROL MASTER'!$S$2:$S$495))-(ROW('CONTROL MASTER'!#REF!)-1))))+1))-1)*50+1,50))&amp;"_"&amp;INDEX('CONTROL MASTER'!$P$2:$P$495,(SUMPRODUCT((('CONTROL MASTER'!$S$2:$S$495=3)*('CONTROL MASTER'!$T$2:$T$495&lt;=1)*('CONTROL MASTER'!$V$2:$V$495&gt;=1)*('CONTROL MASTER'!$U$2:$U$495&lt;=2)*('CONTROL MASTER'!$W$2:$W$495&gt;=2))*ROW('CONTROL MASTER'!$S$2:$S$495))-(ROW('CONTROL MASTER'!#REF!)-1))),IF(SUMPRODUCT((('CONTROL MASTER'!$S$2:$S$495=3)*('CONTROL MASTER'!$Z$2:$Z$495&lt;=1)*('CONTROL MASTER'!$AB$2:$AB$495&gt;=1)*('CONTROL MASTER'!$AA$2:$AA$495&lt;=2)*('CONTROL MASTER'!$AC$2:$AC$495&gt;=2))*ROW('CONTROL MASTER'!$S$2:$S$495))&gt;0,INDEX('CONTROL MASTER'!$X$2:$X$495,(SUMPRODUCT((('CONTROL MASTER'!$S$2:$S$495=3)*('CONTROL MASTER'!$Z$2:$Z$495&lt;=1)*('CONTROL MASTER'!$AB$2:$AB$495&gt;=1)*('CONTROL MASTER'!$AA$2:$AA$495&lt;=2)*('CONTROL MASTER'!$AC$2:$AC$495&gt;=2))*ROW('CONTROL MASTER'!$S$2:$S$495))-(ROW('CONTROL MASTER'!#REF!)-1)))&amp;TRIM(MID(SUBSTITUTE(SUBSTITUTE(INDEX('CONTROL MASTER'!$N$2:$N$495,(SUMPRODUCT((('CONTROL MASTER'!$S$2:$S$495=3)*('CONTROL MASTER'!$Z$2:$Z$495&lt;=1)*('CONTROL MASTER'!$AB$2:$AB$495&gt;=1)*('CONTROL MASTER'!$AA$2:$AA$495&lt;=2)*('CONTROL MASTER'!$AC$2:$AC$495&gt;=2))*ROW('CONTROL MASTER'!$S$2:$S$495))-(ROW('CONTROL MASTER'!#REF!)-1))),":",","),",",REPT(" ",50)),(((INDEX('CONTROL MASTER'!$Y$2:$Y$495,(SUMPRODUCT((('CONTROL MASTER'!$S$2:$S$495=3)*('CONTROL MASTER'!$Z$2:$Z$495&lt;=1)*('CONTROL MASTER'!$AB$2:$AB$495&gt;=1)*('CONTROL MASTER'!$AA$2:$AA$495&lt;=2)*('CONTROL MASTER'!$AC$2:$AC$495&gt;=2))*ROW('CONTROL MASTER'!$S$2:$S$495))-(ROW('CONTROL MASTER'!#REF!)-1)))+((1-INDEX('CONTROL MASTER'!$Z$2:$Z$495,(SUMPRODUCT((('CONTROL MASTER'!$S$2:$S$495=3)*('CONTROL MASTER'!$Z$2:$Z$495&lt;=1)*('CONTROL MASTER'!$AB$2:$AB$495&gt;=1)*('CONTROL MASTER'!$AA$2:$AA$495&lt;=2)*('CONTROL MASTER'!$AC$2:$AC$495&gt;=2))*ROW('CONTROL MASTER'!$S$2:$S$495))-(ROW('CONTROL MASTER'!#REF!)-1))))*(INDEX('CONTROL MASTER'!$AC$2:$AC$495,(SUMPRODUCT((('CONTROL MASTER'!$S$2:$S$495=3)*('CONTROL MASTER'!$Z$2:$Z$495&lt;=1)*('CONTROL MASTER'!$AB$2:$AB$495&gt;=1)*('CONTROL MASTER'!$AA$2:$AA$495&lt;=2)*('CONTROL MASTER'!$AC$2:$AC$495&gt;=2))*ROW('CONTROL MASTER'!$S$2:$S$495))-(ROW('CONTROL MASTER'!#REF!)-1)))-INDEX('CONTROL MASTER'!$AA$2:$AA$495,(SUMPRODUCT((('CONTROL MASTER'!$S$2:$S$495=3)*('CONTROL MASTER'!$Z$2:$Z$495&lt;=1)*('CONTROL MASTER'!$AB$2:$AB$495&gt;=1)*('CONTROL MASTER'!$AA$2:$AA$495&lt;=2)*('CONTROL MASTER'!$AC$2:$AC$495&gt;=2))*ROW('CONTROL MASTER'!$S$2:$S$495))-(ROW('CONTROL MASTER'!#REF!)-1)))+1)+(2-INDEX('CONTROL MASTER'!$AA$2:$AA$495,(SUMPRODUCT((('CONTROL MASTER'!$S$2:$S$495=3)*('CONTROL MASTER'!$Z$2:$Z$495&lt;=1)*('CONTROL MASTER'!$AB$2:$AB$495&gt;=1)*('CONTROL MASTER'!$AA$2:$AA$495&lt;=2)*('CONTROL MASTER'!$AC$2:$AC$495&gt;=2))*ROW('CONTROL MASTER'!$S$2:$S$495))-(ROW('CONTROL MASTER'!#REF!)-1))))+1)))-1)*50+1,50))&amp;"_"&amp;INDEX('CONTROL MASTER'!$P$2:$P$495,(SUMPRODUCT((('CONTROL MASTER'!$S$2:$S$495=3)*('CONTROL MASTER'!$Z$2:$Z$495&lt;=1)*('CONTROL MASTER'!$AB$2:$AB$495&gt;=1)*('CONTROL MASTER'!$AA$2:$AA$495&lt;=2)*('CONTROL MASTER'!$AC$2:$AC$495&gt;=2))*ROW('CONTROL MASTER'!$S$2:$S$495))-(ROW('CONTROL MASTER'!#REF!)-1))),"")),"")</f>
        <v/>
      </c>
      <c r="D31" s="10" t="str">
        <f>IFERROR(IF(SUMPRODUCT((('CONTROL MASTER'!$S$2:$S$495=3)*('CONTROL MASTER'!$T$2:$T$495&lt;=1)*('CONTROL MASTER'!$V$2:$V$495&gt;=1)*('CONTROL MASTER'!$U$2:$U$495&lt;=3)*('CONTROL MASTER'!$W$2:$W$495&gt;=3))*ROW('CONTROL MASTER'!$S$2:$S$495))&gt;0,INDEX('CONTROL MASTER'!$X$2:$X$495,(SUMPRODUCT((('CONTROL MASTER'!$S$2:$S$495=3)*('CONTROL MASTER'!$T$2:$T$495&lt;=1)*('CONTROL MASTER'!$V$2:$V$495&gt;=1)*('CONTROL MASTER'!$U$2:$U$495&lt;=3)*('CONTROL MASTER'!$W$2:$W$495&gt;=3))*ROW('CONTROL MASTER'!$S$2:$S$495))-(ROW('CONTROL MASTER'!#REF!)-1)))&amp;TRIM(MID(SUBSTITUTE(SUBSTITUTE(INDEX('CONTROL MASTER'!$N$2:$N$495,(SUMPRODUCT((('CONTROL MASTER'!$S$2:$S$495=3)*('CONTROL MASTER'!$T$2:$T$495&lt;=1)*('CONTROL MASTER'!$V$2:$V$495&gt;=1)*('CONTROL MASTER'!$U$2:$U$495&lt;=3)*('CONTROL MASTER'!$W$2:$W$495&gt;=3))*ROW('CONTROL MASTER'!$S$2:$S$495))-(ROW('CONTROL MASTER'!#REF!)-1))),":",","),",",REPT(" ",50)),((((1-INDEX('CONTROL MASTER'!$T$2:$T$495,(SUMPRODUCT((('CONTROL MASTER'!$S$2:$S$495=3)*('CONTROL MASTER'!$T$2:$T$495&lt;=1)*('CONTROL MASTER'!$V$2:$V$495&gt;=1)*('CONTROL MASTER'!$U$2:$U$495&lt;=3)*('CONTROL MASTER'!$W$2:$W$495&gt;=3))*ROW('CONTROL MASTER'!$S$2:$S$495))-(ROW('CONTROL MASTER'!#REF!)-1))))*(INDEX('CONTROL MASTER'!$W$2:$W$495,(SUMPRODUCT((('CONTROL MASTER'!$S$2:$S$495=3)*('CONTROL MASTER'!$T$2:$T$495&lt;=1)*('CONTROL MASTER'!$V$2:$V$495&gt;=1)*('CONTROL MASTER'!$U$2:$U$495&lt;=3)*('CONTROL MASTER'!$W$2:$W$495&gt;=3))*ROW('CONTROL MASTER'!$S$2:$S$495))-(ROW('CONTROL MASTER'!#REF!)-1)))-INDEX('CONTROL MASTER'!$U$2:$U$495,(SUMPRODUCT((('CONTROL MASTER'!$S$2:$S$495=3)*('CONTROL MASTER'!$T$2:$T$495&lt;=1)*('CONTROL MASTER'!$V$2:$V$495&gt;=1)*('CONTROL MASTER'!$U$2:$U$495&lt;=3)*('CONTROL MASTER'!$W$2:$W$495&gt;=3))*ROW('CONTROL MASTER'!$S$2:$S$495))-(ROW('CONTROL MASTER'!#REF!)-1)))+1)+(3-INDEX('CONTROL MASTER'!$U$2:$U$495,(SUMPRODUCT((('CONTROL MASTER'!$S$2:$S$495=3)*('CONTROL MASTER'!$T$2:$T$495&lt;=1)*('CONTROL MASTER'!$V$2:$V$495&gt;=1)*('CONTROL MASTER'!$U$2:$U$495&lt;=3)*('CONTROL MASTER'!$W$2:$W$495&gt;=3))*ROW('CONTROL MASTER'!$S$2:$S$495))-(ROW('CONTROL MASTER'!#REF!)-1))))+1))-1)*50+1,50))&amp;"_"&amp;INDEX('CONTROL MASTER'!$P$2:$P$495,(SUMPRODUCT((('CONTROL MASTER'!$S$2:$S$495=3)*('CONTROL MASTER'!$T$2:$T$495&lt;=1)*('CONTROL MASTER'!$V$2:$V$495&gt;=1)*('CONTROL MASTER'!$U$2:$U$495&lt;=3)*('CONTROL MASTER'!$W$2:$W$495&gt;=3))*ROW('CONTROL MASTER'!$S$2:$S$495))-(ROW('CONTROL MASTER'!#REF!)-1))),IF(SUMPRODUCT((('CONTROL MASTER'!$S$2:$S$495=3)*('CONTROL MASTER'!$Z$2:$Z$495&lt;=1)*('CONTROL MASTER'!$AB$2:$AB$495&gt;=1)*('CONTROL MASTER'!$AA$2:$AA$495&lt;=3)*('CONTROL MASTER'!$AC$2:$AC$495&gt;=3))*ROW('CONTROL MASTER'!$S$2:$S$495))&gt;0,INDEX('CONTROL MASTER'!$X$2:$X$495,(SUMPRODUCT((('CONTROL MASTER'!$S$2:$S$495=3)*('CONTROL MASTER'!$Z$2:$Z$495&lt;=1)*('CONTROL MASTER'!$AB$2:$AB$495&gt;=1)*('CONTROL MASTER'!$AA$2:$AA$495&lt;=3)*('CONTROL MASTER'!$AC$2:$AC$495&gt;=3))*ROW('CONTROL MASTER'!$S$2:$S$495))-(ROW('CONTROL MASTER'!#REF!)-1)))&amp;TRIM(MID(SUBSTITUTE(SUBSTITUTE(INDEX('CONTROL MASTER'!$N$2:$N$495,(SUMPRODUCT((('CONTROL MASTER'!$S$2:$S$495=3)*('CONTROL MASTER'!$Z$2:$Z$495&lt;=1)*('CONTROL MASTER'!$AB$2:$AB$495&gt;=1)*('CONTROL MASTER'!$AA$2:$AA$495&lt;=3)*('CONTROL MASTER'!$AC$2:$AC$495&gt;=3))*ROW('CONTROL MASTER'!$S$2:$S$495))-(ROW('CONTROL MASTER'!#REF!)-1))),":",","),",",REPT(" ",50)),(((INDEX('CONTROL MASTER'!$Y$2:$Y$495,(SUMPRODUCT((('CONTROL MASTER'!$S$2:$S$495=3)*('CONTROL MASTER'!$Z$2:$Z$495&lt;=1)*('CONTROL MASTER'!$AB$2:$AB$495&gt;=1)*('CONTROL MASTER'!$AA$2:$AA$495&lt;=3)*('CONTROL MASTER'!$AC$2:$AC$495&gt;=3))*ROW('CONTROL MASTER'!$S$2:$S$495))-(ROW('CONTROL MASTER'!#REF!)-1)))+((1-INDEX('CONTROL MASTER'!$Z$2:$Z$495,(SUMPRODUCT((('CONTROL MASTER'!$S$2:$S$495=3)*('CONTROL MASTER'!$Z$2:$Z$495&lt;=1)*('CONTROL MASTER'!$AB$2:$AB$495&gt;=1)*('CONTROL MASTER'!$AA$2:$AA$495&lt;=3)*('CONTROL MASTER'!$AC$2:$AC$495&gt;=3))*ROW('CONTROL MASTER'!$S$2:$S$495))-(ROW('CONTROL MASTER'!#REF!)-1))))*(INDEX('CONTROL MASTER'!$AC$2:$AC$495,(SUMPRODUCT((('CONTROL MASTER'!$S$2:$S$495=3)*('CONTROL MASTER'!$Z$2:$Z$495&lt;=1)*('CONTROL MASTER'!$AB$2:$AB$495&gt;=1)*('CONTROL MASTER'!$AA$2:$AA$495&lt;=3)*('CONTROL MASTER'!$AC$2:$AC$495&gt;=3))*ROW('CONTROL MASTER'!$S$2:$S$495))-(ROW('CONTROL MASTER'!#REF!)-1)))-INDEX('CONTROL MASTER'!$AA$2:$AA$495,(SUMPRODUCT((('CONTROL MASTER'!$S$2:$S$495=3)*('CONTROL MASTER'!$Z$2:$Z$495&lt;=1)*('CONTROL MASTER'!$AB$2:$AB$495&gt;=1)*('CONTROL MASTER'!$AA$2:$AA$495&lt;=3)*('CONTROL MASTER'!$AC$2:$AC$495&gt;=3))*ROW('CONTROL MASTER'!$S$2:$S$495))-(ROW('CONTROL MASTER'!#REF!)-1)))+1)+(3-INDEX('CONTROL MASTER'!$AA$2:$AA$495,(SUMPRODUCT((('CONTROL MASTER'!$S$2:$S$495=3)*('CONTROL MASTER'!$Z$2:$Z$495&lt;=1)*('CONTROL MASTER'!$AB$2:$AB$495&gt;=1)*('CONTROL MASTER'!$AA$2:$AA$495&lt;=3)*('CONTROL MASTER'!$AC$2:$AC$495&gt;=3))*ROW('CONTROL MASTER'!$S$2:$S$495))-(ROW('CONTROL MASTER'!#REF!)-1))))+1)))-1)*50+1,50))&amp;"_"&amp;INDEX('CONTROL MASTER'!$P$2:$P$495,(SUMPRODUCT((('CONTROL MASTER'!$S$2:$S$495=3)*('CONTROL MASTER'!$Z$2:$Z$495&lt;=1)*('CONTROL MASTER'!$AB$2:$AB$495&gt;=1)*('CONTROL MASTER'!$AA$2:$AA$495&lt;=3)*('CONTROL MASTER'!$AC$2:$AC$495&gt;=3))*ROW('CONTROL MASTER'!$S$2:$S$495))-(ROW('CONTROL MASTER'!#REF!)-1))),"")),"")</f>
        <v/>
      </c>
      <c r="E31" s="10" t="str">
        <f>IFERROR(IF(SUMPRODUCT((('CONTROL MASTER'!$S$2:$S$495=3)*('CONTROL MASTER'!$T$2:$T$495&lt;=1)*('CONTROL MASTER'!$V$2:$V$495&gt;=1)*('CONTROL MASTER'!$U$2:$U$495&lt;=4)*('CONTROL MASTER'!$W$2:$W$495&gt;=4))*ROW('CONTROL MASTER'!$S$2:$S$495))&gt;0,INDEX('CONTROL MASTER'!$X$2:$X$495,(SUMPRODUCT((('CONTROL MASTER'!$S$2:$S$495=3)*('CONTROL MASTER'!$T$2:$T$495&lt;=1)*('CONTROL MASTER'!$V$2:$V$495&gt;=1)*('CONTROL MASTER'!$U$2:$U$495&lt;=4)*('CONTROL MASTER'!$W$2:$W$495&gt;=4))*ROW('CONTROL MASTER'!$S$2:$S$495))-(ROW('CONTROL MASTER'!#REF!)-1)))&amp;TRIM(MID(SUBSTITUTE(SUBSTITUTE(INDEX('CONTROL MASTER'!$N$2:$N$495,(SUMPRODUCT((('CONTROL MASTER'!$S$2:$S$495=3)*('CONTROL MASTER'!$T$2:$T$495&lt;=1)*('CONTROL MASTER'!$V$2:$V$495&gt;=1)*('CONTROL MASTER'!$U$2:$U$495&lt;=4)*('CONTROL MASTER'!$W$2:$W$495&gt;=4))*ROW('CONTROL MASTER'!$S$2:$S$495))-(ROW('CONTROL MASTER'!#REF!)-1))),":",","),",",REPT(" ",50)),((((1-INDEX('CONTROL MASTER'!$T$2:$T$495,(SUMPRODUCT((('CONTROL MASTER'!$S$2:$S$495=3)*('CONTROL MASTER'!$T$2:$T$495&lt;=1)*('CONTROL MASTER'!$V$2:$V$495&gt;=1)*('CONTROL MASTER'!$U$2:$U$495&lt;=4)*('CONTROL MASTER'!$W$2:$W$495&gt;=4))*ROW('CONTROL MASTER'!$S$2:$S$495))-(ROW('CONTROL MASTER'!#REF!)-1))))*(INDEX('CONTROL MASTER'!$W$2:$W$495,(SUMPRODUCT((('CONTROL MASTER'!$S$2:$S$495=3)*('CONTROL MASTER'!$T$2:$T$495&lt;=1)*('CONTROL MASTER'!$V$2:$V$495&gt;=1)*('CONTROL MASTER'!$U$2:$U$495&lt;=4)*('CONTROL MASTER'!$W$2:$W$495&gt;=4))*ROW('CONTROL MASTER'!$S$2:$S$495))-(ROW('CONTROL MASTER'!#REF!)-1)))-INDEX('CONTROL MASTER'!$U$2:$U$495,(SUMPRODUCT((('CONTROL MASTER'!$S$2:$S$495=3)*('CONTROL MASTER'!$T$2:$T$495&lt;=1)*('CONTROL MASTER'!$V$2:$V$495&gt;=1)*('CONTROL MASTER'!$U$2:$U$495&lt;=4)*('CONTROL MASTER'!$W$2:$W$495&gt;=4))*ROW('CONTROL MASTER'!$S$2:$S$495))-(ROW('CONTROL MASTER'!#REF!)-1)))+1)+(4-INDEX('CONTROL MASTER'!$U$2:$U$495,(SUMPRODUCT((('CONTROL MASTER'!$S$2:$S$495=3)*('CONTROL MASTER'!$T$2:$T$495&lt;=1)*('CONTROL MASTER'!$V$2:$V$495&gt;=1)*('CONTROL MASTER'!$U$2:$U$495&lt;=4)*('CONTROL MASTER'!$W$2:$W$495&gt;=4))*ROW('CONTROL MASTER'!$S$2:$S$495))-(ROW('CONTROL MASTER'!#REF!)-1))))+1))-1)*50+1,50))&amp;"_"&amp;INDEX('CONTROL MASTER'!$P$2:$P$495,(SUMPRODUCT((('CONTROL MASTER'!$S$2:$S$495=3)*('CONTROL MASTER'!$T$2:$T$495&lt;=1)*('CONTROL MASTER'!$V$2:$V$495&gt;=1)*('CONTROL MASTER'!$U$2:$U$495&lt;=4)*('CONTROL MASTER'!$W$2:$W$495&gt;=4))*ROW('CONTROL MASTER'!$S$2:$S$495))-(ROW('CONTROL MASTER'!#REF!)-1))),IF(SUMPRODUCT((('CONTROL MASTER'!$S$2:$S$495=3)*('CONTROL MASTER'!$Z$2:$Z$495&lt;=1)*('CONTROL MASTER'!$AB$2:$AB$495&gt;=1)*('CONTROL MASTER'!$AA$2:$AA$495&lt;=4)*('CONTROL MASTER'!$AC$2:$AC$495&gt;=4))*ROW('CONTROL MASTER'!$S$2:$S$495))&gt;0,INDEX('CONTROL MASTER'!$X$2:$X$495,(SUMPRODUCT((('CONTROL MASTER'!$S$2:$S$495=3)*('CONTROL MASTER'!$Z$2:$Z$495&lt;=1)*('CONTROL MASTER'!$AB$2:$AB$495&gt;=1)*('CONTROL MASTER'!$AA$2:$AA$495&lt;=4)*('CONTROL MASTER'!$AC$2:$AC$495&gt;=4))*ROW('CONTROL MASTER'!$S$2:$S$495))-(ROW('CONTROL MASTER'!#REF!)-1)))&amp;TRIM(MID(SUBSTITUTE(SUBSTITUTE(INDEX('CONTROL MASTER'!$N$2:$N$495,(SUMPRODUCT((('CONTROL MASTER'!$S$2:$S$495=3)*('CONTROL MASTER'!$Z$2:$Z$495&lt;=1)*('CONTROL MASTER'!$AB$2:$AB$495&gt;=1)*('CONTROL MASTER'!$AA$2:$AA$495&lt;=4)*('CONTROL MASTER'!$AC$2:$AC$495&gt;=4))*ROW('CONTROL MASTER'!$S$2:$S$495))-(ROW('CONTROL MASTER'!#REF!)-1))),":",","),",",REPT(" ",50)),(((INDEX('CONTROL MASTER'!$Y$2:$Y$495,(SUMPRODUCT((('CONTROL MASTER'!$S$2:$S$495=3)*('CONTROL MASTER'!$Z$2:$Z$495&lt;=1)*('CONTROL MASTER'!$AB$2:$AB$495&gt;=1)*('CONTROL MASTER'!$AA$2:$AA$495&lt;=4)*('CONTROL MASTER'!$AC$2:$AC$495&gt;=4))*ROW('CONTROL MASTER'!$S$2:$S$495))-(ROW('CONTROL MASTER'!#REF!)-1)))+((1-INDEX('CONTROL MASTER'!$Z$2:$Z$495,(SUMPRODUCT((('CONTROL MASTER'!$S$2:$S$495=3)*('CONTROL MASTER'!$Z$2:$Z$495&lt;=1)*('CONTROL MASTER'!$AB$2:$AB$495&gt;=1)*('CONTROL MASTER'!$AA$2:$AA$495&lt;=4)*('CONTROL MASTER'!$AC$2:$AC$495&gt;=4))*ROW('CONTROL MASTER'!$S$2:$S$495))-(ROW('CONTROL MASTER'!#REF!)-1))))*(INDEX('CONTROL MASTER'!$AC$2:$AC$495,(SUMPRODUCT((('CONTROL MASTER'!$S$2:$S$495=3)*('CONTROL MASTER'!$Z$2:$Z$495&lt;=1)*('CONTROL MASTER'!$AB$2:$AB$495&gt;=1)*('CONTROL MASTER'!$AA$2:$AA$495&lt;=4)*('CONTROL MASTER'!$AC$2:$AC$495&gt;=4))*ROW('CONTROL MASTER'!$S$2:$S$495))-(ROW('CONTROL MASTER'!#REF!)-1)))-INDEX('CONTROL MASTER'!$AA$2:$AA$495,(SUMPRODUCT((('CONTROL MASTER'!$S$2:$S$495=3)*('CONTROL MASTER'!$Z$2:$Z$495&lt;=1)*('CONTROL MASTER'!$AB$2:$AB$495&gt;=1)*('CONTROL MASTER'!$AA$2:$AA$495&lt;=4)*('CONTROL MASTER'!$AC$2:$AC$495&gt;=4))*ROW('CONTROL MASTER'!$S$2:$S$495))-(ROW('CONTROL MASTER'!#REF!)-1)))+1)+(4-INDEX('CONTROL MASTER'!$AA$2:$AA$495,(SUMPRODUCT((('CONTROL MASTER'!$S$2:$S$495=3)*('CONTROL MASTER'!$Z$2:$Z$495&lt;=1)*('CONTROL MASTER'!$AB$2:$AB$495&gt;=1)*('CONTROL MASTER'!$AA$2:$AA$495&lt;=4)*('CONTROL MASTER'!$AC$2:$AC$495&gt;=4))*ROW('CONTROL MASTER'!$S$2:$S$495))-(ROW('CONTROL MASTER'!#REF!)-1))))+1)))-1)*50+1,50))&amp;"_"&amp;INDEX('CONTROL MASTER'!$P$2:$P$495,(SUMPRODUCT((('CONTROL MASTER'!$S$2:$S$495=3)*('CONTROL MASTER'!$Z$2:$Z$495&lt;=1)*('CONTROL MASTER'!$AB$2:$AB$495&gt;=1)*('CONTROL MASTER'!$AA$2:$AA$495&lt;=4)*('CONTROL MASTER'!$AC$2:$AC$495&gt;=4))*ROW('CONTROL MASTER'!$S$2:$S$495))-(ROW('CONTROL MASTER'!#REF!)-1))),"")),"")</f>
        <v/>
      </c>
      <c r="F31" s="10" t="str">
        <f>IFERROR(IF(SUMPRODUCT((('CONTROL MASTER'!$S$2:$S$495=3)*('CONTROL MASTER'!$T$2:$T$495&lt;=1)*('CONTROL MASTER'!$V$2:$V$495&gt;=1)*('CONTROL MASTER'!$U$2:$U$495&lt;=5)*('CONTROL MASTER'!$W$2:$W$495&gt;=5))*ROW('CONTROL MASTER'!$S$2:$S$495))&gt;0,INDEX('CONTROL MASTER'!$X$2:$X$495,(SUMPRODUCT((('CONTROL MASTER'!$S$2:$S$495=3)*('CONTROL MASTER'!$T$2:$T$495&lt;=1)*('CONTROL MASTER'!$V$2:$V$495&gt;=1)*('CONTROL MASTER'!$U$2:$U$495&lt;=5)*('CONTROL MASTER'!$W$2:$W$495&gt;=5))*ROW('CONTROL MASTER'!$S$2:$S$495))-(ROW('CONTROL MASTER'!#REF!)-1)))&amp;TRIM(MID(SUBSTITUTE(SUBSTITUTE(INDEX('CONTROL MASTER'!$N$2:$N$495,(SUMPRODUCT((('CONTROL MASTER'!$S$2:$S$495=3)*('CONTROL MASTER'!$T$2:$T$495&lt;=1)*('CONTROL MASTER'!$V$2:$V$495&gt;=1)*('CONTROL MASTER'!$U$2:$U$495&lt;=5)*('CONTROL MASTER'!$W$2:$W$495&gt;=5))*ROW('CONTROL MASTER'!$S$2:$S$495))-(ROW('CONTROL MASTER'!#REF!)-1))),":",","),",",REPT(" ",50)),((((1-INDEX('CONTROL MASTER'!$T$2:$T$495,(SUMPRODUCT((('CONTROL MASTER'!$S$2:$S$495=3)*('CONTROL MASTER'!$T$2:$T$495&lt;=1)*('CONTROL MASTER'!$V$2:$V$495&gt;=1)*('CONTROL MASTER'!$U$2:$U$495&lt;=5)*('CONTROL MASTER'!$W$2:$W$495&gt;=5))*ROW('CONTROL MASTER'!$S$2:$S$495))-(ROW('CONTROL MASTER'!#REF!)-1))))*(INDEX('CONTROL MASTER'!$W$2:$W$495,(SUMPRODUCT((('CONTROL MASTER'!$S$2:$S$495=3)*('CONTROL MASTER'!$T$2:$T$495&lt;=1)*('CONTROL MASTER'!$V$2:$V$495&gt;=1)*('CONTROL MASTER'!$U$2:$U$495&lt;=5)*('CONTROL MASTER'!$W$2:$W$495&gt;=5))*ROW('CONTROL MASTER'!$S$2:$S$495))-(ROW('CONTROL MASTER'!#REF!)-1)))-INDEX('CONTROL MASTER'!$U$2:$U$495,(SUMPRODUCT((('CONTROL MASTER'!$S$2:$S$495=3)*('CONTROL MASTER'!$T$2:$T$495&lt;=1)*('CONTROL MASTER'!$V$2:$V$495&gt;=1)*('CONTROL MASTER'!$U$2:$U$495&lt;=5)*('CONTROL MASTER'!$W$2:$W$495&gt;=5))*ROW('CONTROL MASTER'!$S$2:$S$495))-(ROW('CONTROL MASTER'!#REF!)-1)))+1)+(5-INDEX('CONTROL MASTER'!$U$2:$U$495,(SUMPRODUCT((('CONTROL MASTER'!$S$2:$S$495=3)*('CONTROL MASTER'!$T$2:$T$495&lt;=1)*('CONTROL MASTER'!$V$2:$V$495&gt;=1)*('CONTROL MASTER'!$U$2:$U$495&lt;=5)*('CONTROL MASTER'!$W$2:$W$495&gt;=5))*ROW('CONTROL MASTER'!$S$2:$S$495))-(ROW('CONTROL MASTER'!#REF!)-1))))+1))-1)*50+1,50))&amp;"_"&amp;INDEX('CONTROL MASTER'!$P$2:$P$495,(SUMPRODUCT((('CONTROL MASTER'!$S$2:$S$495=3)*('CONTROL MASTER'!$T$2:$T$495&lt;=1)*('CONTROL MASTER'!$V$2:$V$495&gt;=1)*('CONTROL MASTER'!$U$2:$U$495&lt;=5)*('CONTROL MASTER'!$W$2:$W$495&gt;=5))*ROW('CONTROL MASTER'!$S$2:$S$495))-(ROW('CONTROL MASTER'!#REF!)-1))),IF(SUMPRODUCT((('CONTROL MASTER'!$S$2:$S$495=3)*('CONTROL MASTER'!$Z$2:$Z$495&lt;=1)*('CONTROL MASTER'!$AB$2:$AB$495&gt;=1)*('CONTROL MASTER'!$AA$2:$AA$495&lt;=5)*('CONTROL MASTER'!$AC$2:$AC$495&gt;=5))*ROW('CONTROL MASTER'!$S$2:$S$495))&gt;0,INDEX('CONTROL MASTER'!$X$2:$X$495,(SUMPRODUCT((('CONTROL MASTER'!$S$2:$S$495=3)*('CONTROL MASTER'!$Z$2:$Z$495&lt;=1)*('CONTROL MASTER'!$AB$2:$AB$495&gt;=1)*('CONTROL MASTER'!$AA$2:$AA$495&lt;=5)*('CONTROL MASTER'!$AC$2:$AC$495&gt;=5))*ROW('CONTROL MASTER'!$S$2:$S$495))-(ROW('CONTROL MASTER'!#REF!)-1)))&amp;TRIM(MID(SUBSTITUTE(SUBSTITUTE(INDEX('CONTROL MASTER'!$N$2:$N$495,(SUMPRODUCT((('CONTROL MASTER'!$S$2:$S$495=3)*('CONTROL MASTER'!$Z$2:$Z$495&lt;=1)*('CONTROL MASTER'!$AB$2:$AB$495&gt;=1)*('CONTROL MASTER'!$AA$2:$AA$495&lt;=5)*('CONTROL MASTER'!$AC$2:$AC$495&gt;=5))*ROW('CONTROL MASTER'!$S$2:$S$495))-(ROW('CONTROL MASTER'!#REF!)-1))),":",","),",",REPT(" ",50)),(((INDEX('CONTROL MASTER'!$Y$2:$Y$495,(SUMPRODUCT((('CONTROL MASTER'!$S$2:$S$495=3)*('CONTROL MASTER'!$Z$2:$Z$495&lt;=1)*('CONTROL MASTER'!$AB$2:$AB$495&gt;=1)*('CONTROL MASTER'!$AA$2:$AA$495&lt;=5)*('CONTROL MASTER'!$AC$2:$AC$495&gt;=5))*ROW('CONTROL MASTER'!$S$2:$S$495))-(ROW('CONTROL MASTER'!#REF!)-1)))+((1-INDEX('CONTROL MASTER'!$Z$2:$Z$495,(SUMPRODUCT((('CONTROL MASTER'!$S$2:$S$495=3)*('CONTROL MASTER'!$Z$2:$Z$495&lt;=1)*('CONTROL MASTER'!$AB$2:$AB$495&gt;=1)*('CONTROL MASTER'!$AA$2:$AA$495&lt;=5)*('CONTROL MASTER'!$AC$2:$AC$495&gt;=5))*ROW('CONTROL MASTER'!$S$2:$S$495))-(ROW('CONTROL MASTER'!#REF!)-1))))*(INDEX('CONTROL MASTER'!$AC$2:$AC$495,(SUMPRODUCT((('CONTROL MASTER'!$S$2:$S$495=3)*('CONTROL MASTER'!$Z$2:$Z$495&lt;=1)*('CONTROL MASTER'!$AB$2:$AB$495&gt;=1)*('CONTROL MASTER'!$AA$2:$AA$495&lt;=5)*('CONTROL MASTER'!$AC$2:$AC$495&gt;=5))*ROW('CONTROL MASTER'!$S$2:$S$495))-(ROW('CONTROL MASTER'!#REF!)-1)))-INDEX('CONTROL MASTER'!$AA$2:$AA$495,(SUMPRODUCT((('CONTROL MASTER'!$S$2:$S$495=3)*('CONTROL MASTER'!$Z$2:$Z$495&lt;=1)*('CONTROL MASTER'!$AB$2:$AB$495&gt;=1)*('CONTROL MASTER'!$AA$2:$AA$495&lt;=5)*('CONTROL MASTER'!$AC$2:$AC$495&gt;=5))*ROW('CONTROL MASTER'!$S$2:$S$495))-(ROW('CONTROL MASTER'!#REF!)-1)))+1)+(5-INDEX('CONTROL MASTER'!$AA$2:$AA$495,(SUMPRODUCT((('CONTROL MASTER'!$S$2:$S$495=3)*('CONTROL MASTER'!$Z$2:$Z$495&lt;=1)*('CONTROL MASTER'!$AB$2:$AB$495&gt;=1)*('CONTROL MASTER'!$AA$2:$AA$495&lt;=5)*('CONTROL MASTER'!$AC$2:$AC$495&gt;=5))*ROW('CONTROL MASTER'!$S$2:$S$495))-(ROW('CONTROL MASTER'!#REF!)-1))))+1)))-1)*50+1,50))&amp;"_"&amp;INDEX('CONTROL MASTER'!$P$2:$P$495,(SUMPRODUCT((('CONTROL MASTER'!$S$2:$S$495=3)*('CONTROL MASTER'!$Z$2:$Z$495&lt;=1)*('CONTROL MASTER'!$AB$2:$AB$495&gt;=1)*('CONTROL MASTER'!$AA$2:$AA$495&lt;=5)*('CONTROL MASTER'!$AC$2:$AC$495&gt;=5))*ROW('CONTROL MASTER'!$S$2:$S$495))-(ROW('CONTROL MASTER'!#REF!)-1))),"")),"")</f>
        <v/>
      </c>
      <c r="G31" s="10" t="str">
        <f>IFERROR(IF(SUMPRODUCT((('CONTROL MASTER'!$S$2:$S$495=3)*('CONTROL MASTER'!$T$2:$T$495&lt;=1)*('CONTROL MASTER'!$V$2:$V$495&gt;=1)*('CONTROL MASTER'!$U$2:$U$495&lt;=6)*('CONTROL MASTER'!$W$2:$W$495&gt;=6))*ROW('CONTROL MASTER'!$S$2:$S$495))&gt;0,INDEX('CONTROL MASTER'!$X$2:$X$495,(SUMPRODUCT((('CONTROL MASTER'!$S$2:$S$495=3)*('CONTROL MASTER'!$T$2:$T$495&lt;=1)*('CONTROL MASTER'!$V$2:$V$495&gt;=1)*('CONTROL MASTER'!$U$2:$U$495&lt;=6)*('CONTROL MASTER'!$W$2:$W$495&gt;=6))*ROW('CONTROL MASTER'!$S$2:$S$495))-(ROW('CONTROL MASTER'!#REF!)-1)))&amp;TRIM(MID(SUBSTITUTE(SUBSTITUTE(INDEX('CONTROL MASTER'!$N$2:$N$495,(SUMPRODUCT((('CONTROL MASTER'!$S$2:$S$495=3)*('CONTROL MASTER'!$T$2:$T$495&lt;=1)*('CONTROL MASTER'!$V$2:$V$495&gt;=1)*('CONTROL MASTER'!$U$2:$U$495&lt;=6)*('CONTROL MASTER'!$W$2:$W$495&gt;=6))*ROW('CONTROL MASTER'!$S$2:$S$495))-(ROW('CONTROL MASTER'!#REF!)-1))),":",","),",",REPT(" ",50)),((((1-INDEX('CONTROL MASTER'!$T$2:$T$495,(SUMPRODUCT((('CONTROL MASTER'!$S$2:$S$495=3)*('CONTROL MASTER'!$T$2:$T$495&lt;=1)*('CONTROL MASTER'!$V$2:$V$495&gt;=1)*('CONTROL MASTER'!$U$2:$U$495&lt;=6)*('CONTROL MASTER'!$W$2:$W$495&gt;=6))*ROW('CONTROL MASTER'!$S$2:$S$495))-(ROW('CONTROL MASTER'!#REF!)-1))))*(INDEX('CONTROL MASTER'!$W$2:$W$495,(SUMPRODUCT((('CONTROL MASTER'!$S$2:$S$495=3)*('CONTROL MASTER'!$T$2:$T$495&lt;=1)*('CONTROL MASTER'!$V$2:$V$495&gt;=1)*('CONTROL MASTER'!$U$2:$U$495&lt;=6)*('CONTROL MASTER'!$W$2:$W$495&gt;=6))*ROW('CONTROL MASTER'!$S$2:$S$495))-(ROW('CONTROL MASTER'!#REF!)-1)))-INDEX('CONTROL MASTER'!$U$2:$U$495,(SUMPRODUCT((('CONTROL MASTER'!$S$2:$S$495=3)*('CONTROL MASTER'!$T$2:$T$495&lt;=1)*('CONTROL MASTER'!$V$2:$V$495&gt;=1)*('CONTROL MASTER'!$U$2:$U$495&lt;=6)*('CONTROL MASTER'!$W$2:$W$495&gt;=6))*ROW('CONTROL MASTER'!$S$2:$S$495))-(ROW('CONTROL MASTER'!#REF!)-1)))+1)+(6-INDEX('CONTROL MASTER'!$U$2:$U$495,(SUMPRODUCT((('CONTROL MASTER'!$S$2:$S$495=3)*('CONTROL MASTER'!$T$2:$T$495&lt;=1)*('CONTROL MASTER'!$V$2:$V$495&gt;=1)*('CONTROL MASTER'!$U$2:$U$495&lt;=6)*('CONTROL MASTER'!$W$2:$W$495&gt;=6))*ROW('CONTROL MASTER'!$S$2:$S$495))-(ROW('CONTROL MASTER'!#REF!)-1))))+1))-1)*50+1,50))&amp;"_"&amp;INDEX('CONTROL MASTER'!$P$2:$P$495,(SUMPRODUCT((('CONTROL MASTER'!$S$2:$S$495=3)*('CONTROL MASTER'!$T$2:$T$495&lt;=1)*('CONTROL MASTER'!$V$2:$V$495&gt;=1)*('CONTROL MASTER'!$U$2:$U$495&lt;=6)*('CONTROL MASTER'!$W$2:$W$495&gt;=6))*ROW('CONTROL MASTER'!$S$2:$S$495))-(ROW('CONTROL MASTER'!#REF!)-1))),IF(SUMPRODUCT((('CONTROL MASTER'!$S$2:$S$495=3)*('CONTROL MASTER'!$Z$2:$Z$495&lt;=1)*('CONTROL MASTER'!$AB$2:$AB$495&gt;=1)*('CONTROL MASTER'!$AA$2:$AA$495&lt;=6)*('CONTROL MASTER'!$AC$2:$AC$495&gt;=6))*ROW('CONTROL MASTER'!$S$2:$S$495))&gt;0,INDEX('CONTROL MASTER'!$X$2:$X$495,(SUMPRODUCT((('CONTROL MASTER'!$S$2:$S$495=3)*('CONTROL MASTER'!$Z$2:$Z$495&lt;=1)*('CONTROL MASTER'!$AB$2:$AB$495&gt;=1)*('CONTROL MASTER'!$AA$2:$AA$495&lt;=6)*('CONTROL MASTER'!$AC$2:$AC$495&gt;=6))*ROW('CONTROL MASTER'!$S$2:$S$495))-(ROW('CONTROL MASTER'!#REF!)-1)))&amp;TRIM(MID(SUBSTITUTE(SUBSTITUTE(INDEX('CONTROL MASTER'!$N$2:$N$495,(SUMPRODUCT((('CONTROL MASTER'!$S$2:$S$495=3)*('CONTROL MASTER'!$Z$2:$Z$495&lt;=1)*('CONTROL MASTER'!$AB$2:$AB$495&gt;=1)*('CONTROL MASTER'!$AA$2:$AA$495&lt;=6)*('CONTROL MASTER'!$AC$2:$AC$495&gt;=6))*ROW('CONTROL MASTER'!$S$2:$S$495))-(ROW('CONTROL MASTER'!#REF!)-1))),":",","),",",REPT(" ",50)),(((INDEX('CONTROL MASTER'!$Y$2:$Y$495,(SUMPRODUCT((('CONTROL MASTER'!$S$2:$S$495=3)*('CONTROL MASTER'!$Z$2:$Z$495&lt;=1)*('CONTROL MASTER'!$AB$2:$AB$495&gt;=1)*('CONTROL MASTER'!$AA$2:$AA$495&lt;=6)*('CONTROL MASTER'!$AC$2:$AC$495&gt;=6))*ROW('CONTROL MASTER'!$S$2:$S$495))-(ROW('CONTROL MASTER'!#REF!)-1)))+((1-INDEX('CONTROL MASTER'!$Z$2:$Z$495,(SUMPRODUCT((('CONTROL MASTER'!$S$2:$S$495=3)*('CONTROL MASTER'!$Z$2:$Z$495&lt;=1)*('CONTROL MASTER'!$AB$2:$AB$495&gt;=1)*('CONTROL MASTER'!$AA$2:$AA$495&lt;=6)*('CONTROL MASTER'!$AC$2:$AC$495&gt;=6))*ROW('CONTROL MASTER'!$S$2:$S$495))-(ROW('CONTROL MASTER'!#REF!)-1))))*(INDEX('CONTROL MASTER'!$AC$2:$AC$495,(SUMPRODUCT((('CONTROL MASTER'!$S$2:$S$495=3)*('CONTROL MASTER'!$Z$2:$Z$495&lt;=1)*('CONTROL MASTER'!$AB$2:$AB$495&gt;=1)*('CONTROL MASTER'!$AA$2:$AA$495&lt;=6)*('CONTROL MASTER'!$AC$2:$AC$495&gt;=6))*ROW('CONTROL MASTER'!$S$2:$S$495))-(ROW('CONTROL MASTER'!#REF!)-1)))-INDEX('CONTROL MASTER'!$AA$2:$AA$495,(SUMPRODUCT((('CONTROL MASTER'!$S$2:$S$495=3)*('CONTROL MASTER'!$Z$2:$Z$495&lt;=1)*('CONTROL MASTER'!$AB$2:$AB$495&gt;=1)*('CONTROL MASTER'!$AA$2:$AA$495&lt;=6)*('CONTROL MASTER'!$AC$2:$AC$495&gt;=6))*ROW('CONTROL MASTER'!$S$2:$S$495))-(ROW('CONTROL MASTER'!#REF!)-1)))+1)+(6-INDEX('CONTROL MASTER'!$AA$2:$AA$495,(SUMPRODUCT((('CONTROL MASTER'!$S$2:$S$495=3)*('CONTROL MASTER'!$Z$2:$Z$495&lt;=1)*('CONTROL MASTER'!$AB$2:$AB$495&gt;=1)*('CONTROL MASTER'!$AA$2:$AA$495&lt;=6)*('CONTROL MASTER'!$AC$2:$AC$495&gt;=6))*ROW('CONTROL MASTER'!$S$2:$S$495))-(ROW('CONTROL MASTER'!#REF!)-1))))+1)))-1)*50+1,50))&amp;"_"&amp;INDEX('CONTROL MASTER'!$P$2:$P$495,(SUMPRODUCT((('CONTROL MASTER'!$S$2:$S$495=3)*('CONTROL MASTER'!$Z$2:$Z$495&lt;=1)*('CONTROL MASTER'!$AB$2:$AB$495&gt;=1)*('CONTROL MASTER'!$AA$2:$AA$495&lt;=6)*('CONTROL MASTER'!$AC$2:$AC$495&gt;=6))*ROW('CONTROL MASTER'!$S$2:$S$495))-(ROW('CONTROL MASTER'!#REF!)-1))),"")),"")</f>
        <v/>
      </c>
      <c r="H31" s="10" t="str">
        <f>IFERROR(IF(SUMPRODUCT((('CONTROL MASTER'!$S$2:$S$495=3)*('CONTROL MASTER'!$T$2:$T$495&lt;=1)*('CONTROL MASTER'!$V$2:$V$495&gt;=1)*('CONTROL MASTER'!$U$2:$U$495&lt;=7)*('CONTROL MASTER'!$W$2:$W$495&gt;=7))*ROW('CONTROL MASTER'!$S$2:$S$495))&gt;0,INDEX('CONTROL MASTER'!$X$2:$X$495,(SUMPRODUCT((('CONTROL MASTER'!$S$2:$S$495=3)*('CONTROL MASTER'!$T$2:$T$495&lt;=1)*('CONTROL MASTER'!$V$2:$V$495&gt;=1)*('CONTROL MASTER'!$U$2:$U$495&lt;=7)*('CONTROL MASTER'!$W$2:$W$495&gt;=7))*ROW('CONTROL MASTER'!$S$2:$S$495))-(ROW('CONTROL MASTER'!#REF!)-1)))&amp;TRIM(MID(SUBSTITUTE(SUBSTITUTE(INDEX('CONTROL MASTER'!$N$2:$N$495,(SUMPRODUCT((('CONTROL MASTER'!$S$2:$S$495=3)*('CONTROL MASTER'!$T$2:$T$495&lt;=1)*('CONTROL MASTER'!$V$2:$V$495&gt;=1)*('CONTROL MASTER'!$U$2:$U$495&lt;=7)*('CONTROL MASTER'!$W$2:$W$495&gt;=7))*ROW('CONTROL MASTER'!$S$2:$S$495))-(ROW('CONTROL MASTER'!#REF!)-1))),":",","),",",REPT(" ",50)),((((1-INDEX('CONTROL MASTER'!$T$2:$T$495,(SUMPRODUCT((('CONTROL MASTER'!$S$2:$S$495=3)*('CONTROL MASTER'!$T$2:$T$495&lt;=1)*('CONTROL MASTER'!$V$2:$V$495&gt;=1)*('CONTROL MASTER'!$U$2:$U$495&lt;=7)*('CONTROL MASTER'!$W$2:$W$495&gt;=7))*ROW('CONTROL MASTER'!$S$2:$S$495))-(ROW('CONTROL MASTER'!#REF!)-1))))*(INDEX('CONTROL MASTER'!$W$2:$W$495,(SUMPRODUCT((('CONTROL MASTER'!$S$2:$S$495=3)*('CONTROL MASTER'!$T$2:$T$495&lt;=1)*('CONTROL MASTER'!$V$2:$V$495&gt;=1)*('CONTROL MASTER'!$U$2:$U$495&lt;=7)*('CONTROL MASTER'!$W$2:$W$495&gt;=7))*ROW('CONTROL MASTER'!$S$2:$S$495))-(ROW('CONTROL MASTER'!#REF!)-1)))-INDEX('CONTROL MASTER'!$U$2:$U$495,(SUMPRODUCT((('CONTROL MASTER'!$S$2:$S$495=3)*('CONTROL MASTER'!$T$2:$T$495&lt;=1)*('CONTROL MASTER'!$V$2:$V$495&gt;=1)*('CONTROL MASTER'!$U$2:$U$495&lt;=7)*('CONTROL MASTER'!$W$2:$W$495&gt;=7))*ROW('CONTROL MASTER'!$S$2:$S$495))-(ROW('CONTROL MASTER'!#REF!)-1)))+1)+(7-INDEX('CONTROL MASTER'!$U$2:$U$495,(SUMPRODUCT((('CONTROL MASTER'!$S$2:$S$495=3)*('CONTROL MASTER'!$T$2:$T$495&lt;=1)*('CONTROL MASTER'!$V$2:$V$495&gt;=1)*('CONTROL MASTER'!$U$2:$U$495&lt;=7)*('CONTROL MASTER'!$W$2:$W$495&gt;=7))*ROW('CONTROL MASTER'!$S$2:$S$495))-(ROW('CONTROL MASTER'!#REF!)-1))))+1))-1)*50+1,50))&amp;"_"&amp;INDEX('CONTROL MASTER'!$P$2:$P$495,(SUMPRODUCT((('CONTROL MASTER'!$S$2:$S$495=3)*('CONTROL MASTER'!$T$2:$T$495&lt;=1)*('CONTROL MASTER'!$V$2:$V$495&gt;=1)*('CONTROL MASTER'!$U$2:$U$495&lt;=7)*('CONTROL MASTER'!$W$2:$W$495&gt;=7))*ROW('CONTROL MASTER'!$S$2:$S$495))-(ROW('CONTROL MASTER'!#REF!)-1))),IF(SUMPRODUCT((('CONTROL MASTER'!$S$2:$S$495=3)*('CONTROL MASTER'!$Z$2:$Z$495&lt;=1)*('CONTROL MASTER'!$AB$2:$AB$495&gt;=1)*('CONTROL MASTER'!$AA$2:$AA$495&lt;=7)*('CONTROL MASTER'!$AC$2:$AC$495&gt;=7))*ROW('CONTROL MASTER'!$S$2:$S$495))&gt;0,INDEX('CONTROL MASTER'!$X$2:$X$495,(SUMPRODUCT((('CONTROL MASTER'!$S$2:$S$495=3)*('CONTROL MASTER'!$Z$2:$Z$495&lt;=1)*('CONTROL MASTER'!$AB$2:$AB$495&gt;=1)*('CONTROL MASTER'!$AA$2:$AA$495&lt;=7)*('CONTROL MASTER'!$AC$2:$AC$495&gt;=7))*ROW('CONTROL MASTER'!$S$2:$S$495))-(ROW('CONTROL MASTER'!#REF!)-1)))&amp;TRIM(MID(SUBSTITUTE(SUBSTITUTE(INDEX('CONTROL MASTER'!$N$2:$N$495,(SUMPRODUCT((('CONTROL MASTER'!$S$2:$S$495=3)*('CONTROL MASTER'!$Z$2:$Z$495&lt;=1)*('CONTROL MASTER'!$AB$2:$AB$495&gt;=1)*('CONTROL MASTER'!$AA$2:$AA$495&lt;=7)*('CONTROL MASTER'!$AC$2:$AC$495&gt;=7))*ROW('CONTROL MASTER'!$S$2:$S$495))-(ROW('CONTROL MASTER'!#REF!)-1))),":",","),",",REPT(" ",50)),(((INDEX('CONTROL MASTER'!$Y$2:$Y$495,(SUMPRODUCT((('CONTROL MASTER'!$S$2:$S$495=3)*('CONTROL MASTER'!$Z$2:$Z$495&lt;=1)*('CONTROL MASTER'!$AB$2:$AB$495&gt;=1)*('CONTROL MASTER'!$AA$2:$AA$495&lt;=7)*('CONTROL MASTER'!$AC$2:$AC$495&gt;=7))*ROW('CONTROL MASTER'!$S$2:$S$495))-(ROW('CONTROL MASTER'!#REF!)-1)))+((1-INDEX('CONTROL MASTER'!$Z$2:$Z$495,(SUMPRODUCT((('CONTROL MASTER'!$S$2:$S$495=3)*('CONTROL MASTER'!$Z$2:$Z$495&lt;=1)*('CONTROL MASTER'!$AB$2:$AB$495&gt;=1)*('CONTROL MASTER'!$AA$2:$AA$495&lt;=7)*('CONTROL MASTER'!$AC$2:$AC$495&gt;=7))*ROW('CONTROL MASTER'!$S$2:$S$495))-(ROW('CONTROL MASTER'!#REF!)-1))))*(INDEX('CONTROL MASTER'!$AC$2:$AC$495,(SUMPRODUCT((('CONTROL MASTER'!$S$2:$S$495=3)*('CONTROL MASTER'!$Z$2:$Z$495&lt;=1)*('CONTROL MASTER'!$AB$2:$AB$495&gt;=1)*('CONTROL MASTER'!$AA$2:$AA$495&lt;=7)*('CONTROL MASTER'!$AC$2:$AC$495&gt;=7))*ROW('CONTROL MASTER'!$S$2:$S$495))-(ROW('CONTROL MASTER'!#REF!)-1)))-INDEX('CONTROL MASTER'!$AA$2:$AA$495,(SUMPRODUCT((('CONTROL MASTER'!$S$2:$S$495=3)*('CONTROL MASTER'!$Z$2:$Z$495&lt;=1)*('CONTROL MASTER'!$AB$2:$AB$495&gt;=1)*('CONTROL MASTER'!$AA$2:$AA$495&lt;=7)*('CONTROL MASTER'!$AC$2:$AC$495&gt;=7))*ROW('CONTROL MASTER'!$S$2:$S$495))-(ROW('CONTROL MASTER'!#REF!)-1)))+1)+(7-INDEX('CONTROL MASTER'!$AA$2:$AA$495,(SUMPRODUCT((('CONTROL MASTER'!$S$2:$S$495=3)*('CONTROL MASTER'!$Z$2:$Z$495&lt;=1)*('CONTROL MASTER'!$AB$2:$AB$495&gt;=1)*('CONTROL MASTER'!$AA$2:$AA$495&lt;=7)*('CONTROL MASTER'!$AC$2:$AC$495&gt;=7))*ROW('CONTROL MASTER'!$S$2:$S$495))-(ROW('CONTROL MASTER'!#REF!)-1))))+1)))-1)*50+1,50))&amp;"_"&amp;INDEX('CONTROL MASTER'!$P$2:$P$495,(SUMPRODUCT((('CONTROL MASTER'!$S$2:$S$495=3)*('CONTROL MASTER'!$Z$2:$Z$495&lt;=1)*('CONTROL MASTER'!$AB$2:$AB$495&gt;=1)*('CONTROL MASTER'!$AA$2:$AA$495&lt;=7)*('CONTROL MASTER'!$AC$2:$AC$495&gt;=7))*ROW('CONTROL MASTER'!$S$2:$S$495))-(ROW('CONTROL MASTER'!#REF!)-1))),"")),"")</f>
        <v/>
      </c>
      <c r="I31" s="10" t="str">
        <f>IFERROR(IF(SUMPRODUCT((('CONTROL MASTER'!$S$2:$S$495=3)*('CONTROL MASTER'!$T$2:$T$495&lt;=1)*('CONTROL MASTER'!$V$2:$V$495&gt;=1)*('CONTROL MASTER'!$U$2:$U$495&lt;=8)*('CONTROL MASTER'!$W$2:$W$495&gt;=8))*ROW('CONTROL MASTER'!$S$2:$S$495))&gt;0,INDEX('CONTROL MASTER'!$X$2:$X$495,(SUMPRODUCT((('CONTROL MASTER'!$S$2:$S$495=3)*('CONTROL MASTER'!$T$2:$T$495&lt;=1)*('CONTROL MASTER'!$V$2:$V$495&gt;=1)*('CONTROL MASTER'!$U$2:$U$495&lt;=8)*('CONTROL MASTER'!$W$2:$W$495&gt;=8))*ROW('CONTROL MASTER'!$S$2:$S$495))-(ROW('CONTROL MASTER'!#REF!)-1)))&amp;TRIM(MID(SUBSTITUTE(SUBSTITUTE(INDEX('CONTROL MASTER'!$N$2:$N$495,(SUMPRODUCT((('CONTROL MASTER'!$S$2:$S$495=3)*('CONTROL MASTER'!$T$2:$T$495&lt;=1)*('CONTROL MASTER'!$V$2:$V$495&gt;=1)*('CONTROL MASTER'!$U$2:$U$495&lt;=8)*('CONTROL MASTER'!$W$2:$W$495&gt;=8))*ROW('CONTROL MASTER'!$S$2:$S$495))-(ROW('CONTROL MASTER'!#REF!)-1))),":",","),",",REPT(" ",50)),((((1-INDEX('CONTROL MASTER'!$T$2:$T$495,(SUMPRODUCT((('CONTROL MASTER'!$S$2:$S$495=3)*('CONTROL MASTER'!$T$2:$T$495&lt;=1)*('CONTROL MASTER'!$V$2:$V$495&gt;=1)*('CONTROL MASTER'!$U$2:$U$495&lt;=8)*('CONTROL MASTER'!$W$2:$W$495&gt;=8))*ROW('CONTROL MASTER'!$S$2:$S$495))-(ROW('CONTROL MASTER'!#REF!)-1))))*(INDEX('CONTROL MASTER'!$W$2:$W$495,(SUMPRODUCT((('CONTROL MASTER'!$S$2:$S$495=3)*('CONTROL MASTER'!$T$2:$T$495&lt;=1)*('CONTROL MASTER'!$V$2:$V$495&gt;=1)*('CONTROL MASTER'!$U$2:$U$495&lt;=8)*('CONTROL MASTER'!$W$2:$W$495&gt;=8))*ROW('CONTROL MASTER'!$S$2:$S$495))-(ROW('CONTROL MASTER'!#REF!)-1)))-INDEX('CONTROL MASTER'!$U$2:$U$495,(SUMPRODUCT((('CONTROL MASTER'!$S$2:$S$495=3)*('CONTROL MASTER'!$T$2:$T$495&lt;=1)*('CONTROL MASTER'!$V$2:$V$495&gt;=1)*('CONTROL MASTER'!$U$2:$U$495&lt;=8)*('CONTROL MASTER'!$W$2:$W$495&gt;=8))*ROW('CONTROL MASTER'!$S$2:$S$495))-(ROW('CONTROL MASTER'!#REF!)-1)))+1)+(8-INDEX('CONTROL MASTER'!$U$2:$U$495,(SUMPRODUCT((('CONTROL MASTER'!$S$2:$S$495=3)*('CONTROL MASTER'!$T$2:$T$495&lt;=1)*('CONTROL MASTER'!$V$2:$V$495&gt;=1)*('CONTROL MASTER'!$U$2:$U$495&lt;=8)*('CONTROL MASTER'!$W$2:$W$495&gt;=8))*ROW('CONTROL MASTER'!$S$2:$S$495))-(ROW('CONTROL MASTER'!#REF!)-1))))+1))-1)*50+1,50))&amp;"_"&amp;INDEX('CONTROL MASTER'!$P$2:$P$495,(SUMPRODUCT((('CONTROL MASTER'!$S$2:$S$495=3)*('CONTROL MASTER'!$T$2:$T$495&lt;=1)*('CONTROL MASTER'!$V$2:$V$495&gt;=1)*('CONTROL MASTER'!$U$2:$U$495&lt;=8)*('CONTROL MASTER'!$W$2:$W$495&gt;=8))*ROW('CONTROL MASTER'!$S$2:$S$495))-(ROW('CONTROL MASTER'!#REF!)-1))),IF(SUMPRODUCT((('CONTROL MASTER'!$S$2:$S$495=3)*('CONTROL MASTER'!$Z$2:$Z$495&lt;=1)*('CONTROL MASTER'!$AB$2:$AB$495&gt;=1)*('CONTROL MASTER'!$AA$2:$AA$495&lt;=8)*('CONTROL MASTER'!$AC$2:$AC$495&gt;=8))*ROW('CONTROL MASTER'!$S$2:$S$495))&gt;0,INDEX('CONTROL MASTER'!$X$2:$X$495,(SUMPRODUCT((('CONTROL MASTER'!$S$2:$S$495=3)*('CONTROL MASTER'!$Z$2:$Z$495&lt;=1)*('CONTROL MASTER'!$AB$2:$AB$495&gt;=1)*('CONTROL MASTER'!$AA$2:$AA$495&lt;=8)*('CONTROL MASTER'!$AC$2:$AC$495&gt;=8))*ROW('CONTROL MASTER'!$S$2:$S$495))-(ROW('CONTROL MASTER'!#REF!)-1)))&amp;TRIM(MID(SUBSTITUTE(SUBSTITUTE(INDEX('CONTROL MASTER'!$N$2:$N$495,(SUMPRODUCT((('CONTROL MASTER'!$S$2:$S$495=3)*('CONTROL MASTER'!$Z$2:$Z$495&lt;=1)*('CONTROL MASTER'!$AB$2:$AB$495&gt;=1)*('CONTROL MASTER'!$AA$2:$AA$495&lt;=8)*('CONTROL MASTER'!$AC$2:$AC$495&gt;=8))*ROW('CONTROL MASTER'!$S$2:$S$495))-(ROW('CONTROL MASTER'!#REF!)-1))),":",","),",",REPT(" ",50)),(((INDEX('CONTROL MASTER'!$Y$2:$Y$495,(SUMPRODUCT((('CONTROL MASTER'!$S$2:$S$495=3)*('CONTROL MASTER'!$Z$2:$Z$495&lt;=1)*('CONTROL MASTER'!$AB$2:$AB$495&gt;=1)*('CONTROL MASTER'!$AA$2:$AA$495&lt;=8)*('CONTROL MASTER'!$AC$2:$AC$495&gt;=8))*ROW('CONTROL MASTER'!$S$2:$S$495))-(ROW('CONTROL MASTER'!#REF!)-1)))+((1-INDEX('CONTROL MASTER'!$Z$2:$Z$495,(SUMPRODUCT((('CONTROL MASTER'!$S$2:$S$495=3)*('CONTROL MASTER'!$Z$2:$Z$495&lt;=1)*('CONTROL MASTER'!$AB$2:$AB$495&gt;=1)*('CONTROL MASTER'!$AA$2:$AA$495&lt;=8)*('CONTROL MASTER'!$AC$2:$AC$495&gt;=8))*ROW('CONTROL MASTER'!$S$2:$S$495))-(ROW('CONTROL MASTER'!#REF!)-1))))*(INDEX('CONTROL MASTER'!$AC$2:$AC$495,(SUMPRODUCT((('CONTROL MASTER'!$S$2:$S$495=3)*('CONTROL MASTER'!$Z$2:$Z$495&lt;=1)*('CONTROL MASTER'!$AB$2:$AB$495&gt;=1)*('CONTROL MASTER'!$AA$2:$AA$495&lt;=8)*('CONTROL MASTER'!$AC$2:$AC$495&gt;=8))*ROW('CONTROL MASTER'!$S$2:$S$495))-(ROW('CONTROL MASTER'!#REF!)-1)))-INDEX('CONTROL MASTER'!$AA$2:$AA$495,(SUMPRODUCT((('CONTROL MASTER'!$S$2:$S$495=3)*('CONTROL MASTER'!$Z$2:$Z$495&lt;=1)*('CONTROL MASTER'!$AB$2:$AB$495&gt;=1)*('CONTROL MASTER'!$AA$2:$AA$495&lt;=8)*('CONTROL MASTER'!$AC$2:$AC$495&gt;=8))*ROW('CONTROL MASTER'!$S$2:$S$495))-(ROW('CONTROL MASTER'!#REF!)-1)))+1)+(8-INDEX('CONTROL MASTER'!$AA$2:$AA$495,(SUMPRODUCT((('CONTROL MASTER'!$S$2:$S$495=3)*('CONTROL MASTER'!$Z$2:$Z$495&lt;=1)*('CONTROL MASTER'!$AB$2:$AB$495&gt;=1)*('CONTROL MASTER'!$AA$2:$AA$495&lt;=8)*('CONTROL MASTER'!$AC$2:$AC$495&gt;=8))*ROW('CONTROL MASTER'!$S$2:$S$495))-(ROW('CONTROL MASTER'!#REF!)-1))))+1)))-1)*50+1,50))&amp;"_"&amp;INDEX('CONTROL MASTER'!$P$2:$P$495,(SUMPRODUCT((('CONTROL MASTER'!$S$2:$S$495=3)*('CONTROL MASTER'!$Z$2:$Z$495&lt;=1)*('CONTROL MASTER'!$AB$2:$AB$495&gt;=1)*('CONTROL MASTER'!$AA$2:$AA$495&lt;=8)*('CONTROL MASTER'!$AC$2:$AC$495&gt;=8))*ROW('CONTROL MASTER'!$S$2:$S$495))-(ROW('CONTROL MASTER'!#REF!)-1))),"")),"")</f>
        <v/>
      </c>
      <c r="J31" s="10" t="str">
        <f>IFERROR(IF(SUMPRODUCT((('CONTROL MASTER'!$S$2:$S$495=3)*('CONTROL MASTER'!$T$2:$T$495&lt;=1)*('CONTROL MASTER'!$V$2:$V$495&gt;=1)*('CONTROL MASTER'!$U$2:$U$495&lt;=9)*('CONTROL MASTER'!$W$2:$W$495&gt;=9))*ROW('CONTROL MASTER'!$S$2:$S$495))&gt;0,INDEX('CONTROL MASTER'!$X$2:$X$495,(SUMPRODUCT((('CONTROL MASTER'!$S$2:$S$495=3)*('CONTROL MASTER'!$T$2:$T$495&lt;=1)*('CONTROL MASTER'!$V$2:$V$495&gt;=1)*('CONTROL MASTER'!$U$2:$U$495&lt;=9)*('CONTROL MASTER'!$W$2:$W$495&gt;=9))*ROW('CONTROL MASTER'!$S$2:$S$495))-(ROW('CONTROL MASTER'!#REF!)-1)))&amp;TRIM(MID(SUBSTITUTE(SUBSTITUTE(INDEX('CONTROL MASTER'!$N$2:$N$495,(SUMPRODUCT((('CONTROL MASTER'!$S$2:$S$495=3)*('CONTROL MASTER'!$T$2:$T$495&lt;=1)*('CONTROL MASTER'!$V$2:$V$495&gt;=1)*('CONTROL MASTER'!$U$2:$U$495&lt;=9)*('CONTROL MASTER'!$W$2:$W$495&gt;=9))*ROW('CONTROL MASTER'!$S$2:$S$495))-(ROW('CONTROL MASTER'!#REF!)-1))),":",","),",",REPT(" ",50)),((((1-INDEX('CONTROL MASTER'!$T$2:$T$495,(SUMPRODUCT((('CONTROL MASTER'!$S$2:$S$495=3)*('CONTROL MASTER'!$T$2:$T$495&lt;=1)*('CONTROL MASTER'!$V$2:$V$495&gt;=1)*('CONTROL MASTER'!$U$2:$U$495&lt;=9)*('CONTROL MASTER'!$W$2:$W$495&gt;=9))*ROW('CONTROL MASTER'!$S$2:$S$495))-(ROW('CONTROL MASTER'!#REF!)-1))))*(INDEX('CONTROL MASTER'!$W$2:$W$495,(SUMPRODUCT((('CONTROL MASTER'!$S$2:$S$495=3)*('CONTROL MASTER'!$T$2:$T$495&lt;=1)*('CONTROL MASTER'!$V$2:$V$495&gt;=1)*('CONTROL MASTER'!$U$2:$U$495&lt;=9)*('CONTROL MASTER'!$W$2:$W$495&gt;=9))*ROW('CONTROL MASTER'!$S$2:$S$495))-(ROW('CONTROL MASTER'!#REF!)-1)))-INDEX('CONTROL MASTER'!$U$2:$U$495,(SUMPRODUCT((('CONTROL MASTER'!$S$2:$S$495=3)*('CONTROL MASTER'!$T$2:$T$495&lt;=1)*('CONTROL MASTER'!$V$2:$V$495&gt;=1)*('CONTROL MASTER'!$U$2:$U$495&lt;=9)*('CONTROL MASTER'!$W$2:$W$495&gt;=9))*ROW('CONTROL MASTER'!$S$2:$S$495))-(ROW('CONTROL MASTER'!#REF!)-1)))+1)+(9-INDEX('CONTROL MASTER'!$U$2:$U$495,(SUMPRODUCT((('CONTROL MASTER'!$S$2:$S$495=3)*('CONTROL MASTER'!$T$2:$T$495&lt;=1)*('CONTROL MASTER'!$V$2:$V$495&gt;=1)*('CONTROL MASTER'!$U$2:$U$495&lt;=9)*('CONTROL MASTER'!$W$2:$W$495&gt;=9))*ROW('CONTROL MASTER'!$S$2:$S$495))-(ROW('CONTROL MASTER'!#REF!)-1))))+1))-1)*50+1,50))&amp;"_"&amp;INDEX('CONTROL MASTER'!$P$2:$P$495,(SUMPRODUCT((('CONTROL MASTER'!$S$2:$S$495=3)*('CONTROL MASTER'!$T$2:$T$495&lt;=1)*('CONTROL MASTER'!$V$2:$V$495&gt;=1)*('CONTROL MASTER'!$U$2:$U$495&lt;=9)*('CONTROL MASTER'!$W$2:$W$495&gt;=9))*ROW('CONTROL MASTER'!$S$2:$S$495))-(ROW('CONTROL MASTER'!#REF!)-1))),IF(SUMPRODUCT((('CONTROL MASTER'!$S$2:$S$495=3)*('CONTROL MASTER'!$Z$2:$Z$495&lt;=1)*('CONTROL MASTER'!$AB$2:$AB$495&gt;=1)*('CONTROL MASTER'!$AA$2:$AA$495&lt;=9)*('CONTROL MASTER'!$AC$2:$AC$495&gt;=9))*ROW('CONTROL MASTER'!$S$2:$S$495))&gt;0,INDEX('CONTROL MASTER'!$X$2:$X$495,(SUMPRODUCT((('CONTROL MASTER'!$S$2:$S$495=3)*('CONTROL MASTER'!$Z$2:$Z$495&lt;=1)*('CONTROL MASTER'!$AB$2:$AB$495&gt;=1)*('CONTROL MASTER'!$AA$2:$AA$495&lt;=9)*('CONTROL MASTER'!$AC$2:$AC$495&gt;=9))*ROW('CONTROL MASTER'!$S$2:$S$495))-(ROW('CONTROL MASTER'!#REF!)-1)))&amp;TRIM(MID(SUBSTITUTE(SUBSTITUTE(INDEX('CONTROL MASTER'!$N$2:$N$495,(SUMPRODUCT((('CONTROL MASTER'!$S$2:$S$495=3)*('CONTROL MASTER'!$Z$2:$Z$495&lt;=1)*('CONTROL MASTER'!$AB$2:$AB$495&gt;=1)*('CONTROL MASTER'!$AA$2:$AA$495&lt;=9)*('CONTROL MASTER'!$AC$2:$AC$495&gt;=9))*ROW('CONTROL MASTER'!$S$2:$S$495))-(ROW('CONTROL MASTER'!#REF!)-1))),":",","),",",REPT(" ",50)),(((INDEX('CONTROL MASTER'!$Y$2:$Y$495,(SUMPRODUCT((('CONTROL MASTER'!$S$2:$S$495=3)*('CONTROL MASTER'!$Z$2:$Z$495&lt;=1)*('CONTROL MASTER'!$AB$2:$AB$495&gt;=1)*('CONTROL MASTER'!$AA$2:$AA$495&lt;=9)*('CONTROL MASTER'!$AC$2:$AC$495&gt;=9))*ROW('CONTROL MASTER'!$S$2:$S$495))-(ROW('CONTROL MASTER'!#REF!)-1)))+((1-INDEX('CONTROL MASTER'!$Z$2:$Z$495,(SUMPRODUCT((('CONTROL MASTER'!$S$2:$S$495=3)*('CONTROL MASTER'!$Z$2:$Z$495&lt;=1)*('CONTROL MASTER'!$AB$2:$AB$495&gt;=1)*('CONTROL MASTER'!$AA$2:$AA$495&lt;=9)*('CONTROL MASTER'!$AC$2:$AC$495&gt;=9))*ROW('CONTROL MASTER'!$S$2:$S$495))-(ROW('CONTROL MASTER'!#REF!)-1))))*(INDEX('CONTROL MASTER'!$AC$2:$AC$495,(SUMPRODUCT((('CONTROL MASTER'!$S$2:$S$495=3)*('CONTROL MASTER'!$Z$2:$Z$495&lt;=1)*('CONTROL MASTER'!$AB$2:$AB$495&gt;=1)*('CONTROL MASTER'!$AA$2:$AA$495&lt;=9)*('CONTROL MASTER'!$AC$2:$AC$495&gt;=9))*ROW('CONTROL MASTER'!$S$2:$S$495))-(ROW('CONTROL MASTER'!#REF!)-1)))-INDEX('CONTROL MASTER'!$AA$2:$AA$495,(SUMPRODUCT((('CONTROL MASTER'!$S$2:$S$495=3)*('CONTROL MASTER'!$Z$2:$Z$495&lt;=1)*('CONTROL MASTER'!$AB$2:$AB$495&gt;=1)*('CONTROL MASTER'!$AA$2:$AA$495&lt;=9)*('CONTROL MASTER'!$AC$2:$AC$495&gt;=9))*ROW('CONTROL MASTER'!$S$2:$S$495))-(ROW('CONTROL MASTER'!#REF!)-1)))+1)+(9-INDEX('CONTROL MASTER'!$AA$2:$AA$495,(SUMPRODUCT((('CONTROL MASTER'!$S$2:$S$495=3)*('CONTROL MASTER'!$Z$2:$Z$495&lt;=1)*('CONTROL MASTER'!$AB$2:$AB$495&gt;=1)*('CONTROL MASTER'!$AA$2:$AA$495&lt;=9)*('CONTROL MASTER'!$AC$2:$AC$495&gt;=9))*ROW('CONTROL MASTER'!$S$2:$S$495))-(ROW('CONTROL MASTER'!#REF!)-1))))+1)))-1)*50+1,50))&amp;"_"&amp;INDEX('CONTROL MASTER'!$P$2:$P$495,(SUMPRODUCT((('CONTROL MASTER'!$S$2:$S$495=3)*('CONTROL MASTER'!$Z$2:$Z$495&lt;=1)*('CONTROL MASTER'!$AB$2:$AB$495&gt;=1)*('CONTROL MASTER'!$AA$2:$AA$495&lt;=9)*('CONTROL MASTER'!$AC$2:$AC$495&gt;=9))*ROW('CONTROL MASTER'!$S$2:$S$495))-(ROW('CONTROL MASTER'!#REF!)-1))),"")),"")</f>
        <v/>
      </c>
      <c r="K31" s="10" t="str">
        <f>IFERROR(IF(SUMPRODUCT((('CONTROL MASTER'!$S$2:$S$495=3)*('CONTROL MASTER'!$T$2:$T$495&lt;=1)*('CONTROL MASTER'!$V$2:$V$495&gt;=1)*('CONTROL MASTER'!$U$2:$U$495&lt;=10)*('CONTROL MASTER'!$W$2:$W$495&gt;=10))*ROW('CONTROL MASTER'!$S$2:$S$495))&gt;0,INDEX('CONTROL MASTER'!$X$2:$X$495,(SUMPRODUCT((('CONTROL MASTER'!$S$2:$S$495=3)*('CONTROL MASTER'!$T$2:$T$495&lt;=1)*('CONTROL MASTER'!$V$2:$V$495&gt;=1)*('CONTROL MASTER'!$U$2:$U$495&lt;=10)*('CONTROL MASTER'!$W$2:$W$495&gt;=10))*ROW('CONTROL MASTER'!$S$2:$S$495))-(ROW('CONTROL MASTER'!#REF!)-1)))&amp;TRIM(MID(SUBSTITUTE(SUBSTITUTE(INDEX('CONTROL MASTER'!$N$2:$N$495,(SUMPRODUCT((('CONTROL MASTER'!$S$2:$S$495=3)*('CONTROL MASTER'!$T$2:$T$495&lt;=1)*('CONTROL MASTER'!$V$2:$V$495&gt;=1)*('CONTROL MASTER'!$U$2:$U$495&lt;=10)*('CONTROL MASTER'!$W$2:$W$495&gt;=10))*ROW('CONTROL MASTER'!$S$2:$S$495))-(ROW('CONTROL MASTER'!#REF!)-1))),":",","),",",REPT(" ",50)),((((1-INDEX('CONTROL MASTER'!$T$2:$T$495,(SUMPRODUCT((('CONTROL MASTER'!$S$2:$S$495=3)*('CONTROL MASTER'!$T$2:$T$495&lt;=1)*('CONTROL MASTER'!$V$2:$V$495&gt;=1)*('CONTROL MASTER'!$U$2:$U$495&lt;=10)*('CONTROL MASTER'!$W$2:$W$495&gt;=10))*ROW('CONTROL MASTER'!$S$2:$S$495))-(ROW('CONTROL MASTER'!#REF!)-1))))*(INDEX('CONTROL MASTER'!$W$2:$W$495,(SUMPRODUCT((('CONTROL MASTER'!$S$2:$S$495=3)*('CONTROL MASTER'!$T$2:$T$495&lt;=1)*('CONTROL MASTER'!$V$2:$V$495&gt;=1)*('CONTROL MASTER'!$U$2:$U$495&lt;=10)*('CONTROL MASTER'!$W$2:$W$495&gt;=10))*ROW('CONTROL MASTER'!$S$2:$S$495))-(ROW('CONTROL MASTER'!#REF!)-1)))-INDEX('CONTROL MASTER'!$U$2:$U$495,(SUMPRODUCT((('CONTROL MASTER'!$S$2:$S$495=3)*('CONTROL MASTER'!$T$2:$T$495&lt;=1)*('CONTROL MASTER'!$V$2:$V$495&gt;=1)*('CONTROL MASTER'!$U$2:$U$495&lt;=10)*('CONTROL MASTER'!$W$2:$W$495&gt;=10))*ROW('CONTROL MASTER'!$S$2:$S$495))-(ROW('CONTROL MASTER'!#REF!)-1)))+1)+(10-INDEX('CONTROL MASTER'!$U$2:$U$495,(SUMPRODUCT((('CONTROL MASTER'!$S$2:$S$495=3)*('CONTROL MASTER'!$T$2:$T$495&lt;=1)*('CONTROL MASTER'!$V$2:$V$495&gt;=1)*('CONTROL MASTER'!$U$2:$U$495&lt;=10)*('CONTROL MASTER'!$W$2:$W$495&gt;=10))*ROW('CONTROL MASTER'!$S$2:$S$495))-(ROW('CONTROL MASTER'!#REF!)-1))))+1))-1)*50+1,50))&amp;"_"&amp;INDEX('CONTROL MASTER'!$P$2:$P$495,(SUMPRODUCT((('CONTROL MASTER'!$S$2:$S$495=3)*('CONTROL MASTER'!$T$2:$T$495&lt;=1)*('CONTROL MASTER'!$V$2:$V$495&gt;=1)*('CONTROL MASTER'!$U$2:$U$495&lt;=10)*('CONTROL MASTER'!$W$2:$W$495&gt;=10))*ROW('CONTROL MASTER'!$S$2:$S$495))-(ROW('CONTROL MASTER'!#REF!)-1))),IF(SUMPRODUCT((('CONTROL MASTER'!$S$2:$S$495=3)*('CONTROL MASTER'!$Z$2:$Z$495&lt;=1)*('CONTROL MASTER'!$AB$2:$AB$495&gt;=1)*('CONTROL MASTER'!$AA$2:$AA$495&lt;=10)*('CONTROL MASTER'!$AC$2:$AC$495&gt;=10))*ROW('CONTROL MASTER'!$S$2:$S$495))&gt;0,INDEX('CONTROL MASTER'!$X$2:$X$495,(SUMPRODUCT((('CONTROL MASTER'!$S$2:$S$495=3)*('CONTROL MASTER'!$Z$2:$Z$495&lt;=1)*('CONTROL MASTER'!$AB$2:$AB$495&gt;=1)*('CONTROL MASTER'!$AA$2:$AA$495&lt;=10)*('CONTROL MASTER'!$AC$2:$AC$495&gt;=10))*ROW('CONTROL MASTER'!$S$2:$S$495))-(ROW('CONTROL MASTER'!#REF!)-1)))&amp;TRIM(MID(SUBSTITUTE(SUBSTITUTE(INDEX('CONTROL MASTER'!$N$2:$N$495,(SUMPRODUCT((('CONTROL MASTER'!$S$2:$S$495=3)*('CONTROL MASTER'!$Z$2:$Z$495&lt;=1)*('CONTROL MASTER'!$AB$2:$AB$495&gt;=1)*('CONTROL MASTER'!$AA$2:$AA$495&lt;=10)*('CONTROL MASTER'!$AC$2:$AC$495&gt;=10))*ROW('CONTROL MASTER'!$S$2:$S$495))-(ROW('CONTROL MASTER'!#REF!)-1))),":",","),",",REPT(" ",50)),(((INDEX('CONTROL MASTER'!$Y$2:$Y$495,(SUMPRODUCT((('CONTROL MASTER'!$S$2:$S$495=3)*('CONTROL MASTER'!$Z$2:$Z$495&lt;=1)*('CONTROL MASTER'!$AB$2:$AB$495&gt;=1)*('CONTROL MASTER'!$AA$2:$AA$495&lt;=10)*('CONTROL MASTER'!$AC$2:$AC$495&gt;=10))*ROW('CONTROL MASTER'!$S$2:$S$495))-(ROW('CONTROL MASTER'!#REF!)-1)))+((1-INDEX('CONTROL MASTER'!$Z$2:$Z$495,(SUMPRODUCT((('CONTROL MASTER'!$S$2:$S$495=3)*('CONTROL MASTER'!$Z$2:$Z$495&lt;=1)*('CONTROL MASTER'!$AB$2:$AB$495&gt;=1)*('CONTROL MASTER'!$AA$2:$AA$495&lt;=10)*('CONTROL MASTER'!$AC$2:$AC$495&gt;=10))*ROW('CONTROL MASTER'!$S$2:$S$495))-(ROW('CONTROL MASTER'!#REF!)-1))))*(INDEX('CONTROL MASTER'!$AC$2:$AC$495,(SUMPRODUCT((('CONTROL MASTER'!$S$2:$S$495=3)*('CONTROL MASTER'!$Z$2:$Z$495&lt;=1)*('CONTROL MASTER'!$AB$2:$AB$495&gt;=1)*('CONTROL MASTER'!$AA$2:$AA$495&lt;=10)*('CONTROL MASTER'!$AC$2:$AC$495&gt;=10))*ROW('CONTROL MASTER'!$S$2:$S$495))-(ROW('CONTROL MASTER'!#REF!)-1)))-INDEX('CONTROL MASTER'!$AA$2:$AA$495,(SUMPRODUCT((('CONTROL MASTER'!$S$2:$S$495=3)*('CONTROL MASTER'!$Z$2:$Z$495&lt;=1)*('CONTROL MASTER'!$AB$2:$AB$495&gt;=1)*('CONTROL MASTER'!$AA$2:$AA$495&lt;=10)*('CONTROL MASTER'!$AC$2:$AC$495&gt;=10))*ROW('CONTROL MASTER'!$S$2:$S$495))-(ROW('CONTROL MASTER'!#REF!)-1)))+1)+(10-INDEX('CONTROL MASTER'!$AA$2:$AA$495,(SUMPRODUCT((('CONTROL MASTER'!$S$2:$S$495=3)*('CONTROL MASTER'!$Z$2:$Z$495&lt;=1)*('CONTROL MASTER'!$AB$2:$AB$495&gt;=1)*('CONTROL MASTER'!$AA$2:$AA$495&lt;=10)*('CONTROL MASTER'!$AC$2:$AC$495&gt;=10))*ROW('CONTROL MASTER'!$S$2:$S$495))-(ROW('CONTROL MASTER'!#REF!)-1))))+1)))-1)*50+1,50))&amp;"_"&amp;INDEX('CONTROL MASTER'!$P$2:$P$495,(SUMPRODUCT((('CONTROL MASTER'!$S$2:$S$495=3)*('CONTROL MASTER'!$Z$2:$Z$495&lt;=1)*('CONTROL MASTER'!$AB$2:$AB$495&gt;=1)*('CONTROL MASTER'!$AA$2:$AA$495&lt;=10)*('CONTROL MASTER'!$AC$2:$AC$495&gt;=10))*ROW('CONTROL MASTER'!$S$2:$S$495))-(ROW('CONTROL MASTER'!#REF!)-1))),"")),"")</f>
        <v/>
      </c>
    </row>
    <row r="32" spans="1:11" ht="15" customHeight="1" x14ac:dyDescent="0.35">
      <c r="A32" s="8" t="s">
        <v>29</v>
      </c>
      <c r="B32" s="10" t="str">
        <f>IFERROR(IF(SUMPRODUCT((('CONTROL MASTER'!$S$2:$S$495=3)*('CONTROL MASTER'!$T$2:$T$495&lt;=2)*('CONTROL MASTER'!$V$2:$V$495&gt;=2)*('CONTROL MASTER'!$U$2:$U$495&lt;=1)*('CONTROL MASTER'!$W$2:$W$495&gt;=1))*ROW('CONTROL MASTER'!$S$2:$S$495))&gt;0,INDEX('CONTROL MASTER'!$X$2:$X$495,(SUMPRODUCT((('CONTROL MASTER'!$S$2:$S$495=3)*('CONTROL MASTER'!$T$2:$T$495&lt;=2)*('CONTROL MASTER'!$V$2:$V$495&gt;=2)*('CONTROL MASTER'!$U$2:$U$495&lt;=1)*('CONTROL MASTER'!$W$2:$W$495&gt;=1))*ROW('CONTROL MASTER'!$S$2:$S$495))-(ROW('CONTROL MASTER'!#REF!)-1)))&amp;TRIM(MID(SUBSTITUTE(SUBSTITUTE(INDEX('CONTROL MASTER'!$N$2:$N$495,(SUMPRODUCT((('CONTROL MASTER'!$S$2:$S$495=3)*('CONTROL MASTER'!$T$2:$T$495&lt;=2)*('CONTROL MASTER'!$V$2:$V$495&gt;=2)*('CONTROL MASTER'!$U$2:$U$495&lt;=1)*('CONTROL MASTER'!$W$2:$W$495&gt;=1))*ROW('CONTROL MASTER'!$S$2:$S$495))-(ROW('CONTROL MASTER'!#REF!)-1))),":",","),",",REPT(" ",50)),((((2-INDEX('CONTROL MASTER'!$T$2:$T$495,(SUMPRODUCT((('CONTROL MASTER'!$S$2:$S$495=3)*('CONTROL MASTER'!$T$2:$T$495&lt;=2)*('CONTROL MASTER'!$V$2:$V$495&gt;=2)*('CONTROL MASTER'!$U$2:$U$495&lt;=1)*('CONTROL MASTER'!$W$2:$W$495&gt;=1))*ROW('CONTROL MASTER'!$S$2:$S$495))-(ROW('CONTROL MASTER'!#REF!)-1))))*(INDEX('CONTROL MASTER'!$W$2:$W$495,(SUMPRODUCT((('CONTROL MASTER'!$S$2:$S$495=3)*('CONTROL MASTER'!$T$2:$T$495&lt;=2)*('CONTROL MASTER'!$V$2:$V$495&gt;=2)*('CONTROL MASTER'!$U$2:$U$495&lt;=1)*('CONTROL MASTER'!$W$2:$W$495&gt;=1))*ROW('CONTROL MASTER'!$S$2:$S$495))-(ROW('CONTROL MASTER'!#REF!)-1)))-INDEX('CONTROL MASTER'!$U$2:$U$495,(SUMPRODUCT((('CONTROL MASTER'!$S$2:$S$495=3)*('CONTROL MASTER'!$T$2:$T$495&lt;=2)*('CONTROL MASTER'!$V$2:$V$495&gt;=2)*('CONTROL MASTER'!$U$2:$U$495&lt;=1)*('CONTROL MASTER'!$W$2:$W$495&gt;=1))*ROW('CONTROL MASTER'!$S$2:$S$495))-(ROW('CONTROL MASTER'!#REF!)-1)))+1)+(1-INDEX('CONTROL MASTER'!$U$2:$U$495,(SUMPRODUCT((('CONTROL MASTER'!$S$2:$S$495=3)*('CONTROL MASTER'!$T$2:$T$495&lt;=2)*('CONTROL MASTER'!$V$2:$V$495&gt;=2)*('CONTROL MASTER'!$U$2:$U$495&lt;=1)*('CONTROL MASTER'!$W$2:$W$495&gt;=1))*ROW('CONTROL MASTER'!$S$2:$S$495))-(ROW('CONTROL MASTER'!#REF!)-1))))+1))-1)*50+1,50))&amp;"_"&amp;INDEX('CONTROL MASTER'!$P$2:$P$495,(SUMPRODUCT((('CONTROL MASTER'!$S$2:$S$495=3)*('CONTROL MASTER'!$T$2:$T$495&lt;=2)*('CONTROL MASTER'!$V$2:$V$495&gt;=2)*('CONTROL MASTER'!$U$2:$U$495&lt;=1)*('CONTROL MASTER'!$W$2:$W$495&gt;=1))*ROW('CONTROL MASTER'!$S$2:$S$495))-(ROW('CONTROL MASTER'!#REF!)-1))),IF(SUMPRODUCT((('CONTROL MASTER'!$S$2:$S$495=3)*('CONTROL MASTER'!$Z$2:$Z$495&lt;=2)*('CONTROL MASTER'!$AB$2:$AB$495&gt;=2)*('CONTROL MASTER'!$AA$2:$AA$495&lt;=1)*('CONTROL MASTER'!$AC$2:$AC$495&gt;=1))*ROW('CONTROL MASTER'!$S$2:$S$495))&gt;0,INDEX('CONTROL MASTER'!$X$2:$X$495,(SUMPRODUCT((('CONTROL MASTER'!$S$2:$S$495=3)*('CONTROL MASTER'!$Z$2:$Z$495&lt;=2)*('CONTROL MASTER'!$AB$2:$AB$495&gt;=2)*('CONTROL MASTER'!$AA$2:$AA$495&lt;=1)*('CONTROL MASTER'!$AC$2:$AC$495&gt;=1))*ROW('CONTROL MASTER'!$S$2:$S$495))-(ROW('CONTROL MASTER'!#REF!)-1)))&amp;TRIM(MID(SUBSTITUTE(SUBSTITUTE(INDEX('CONTROL MASTER'!$N$2:$N$495,(SUMPRODUCT((('CONTROL MASTER'!$S$2:$S$495=3)*('CONTROL MASTER'!$Z$2:$Z$495&lt;=2)*('CONTROL MASTER'!$AB$2:$AB$495&gt;=2)*('CONTROL MASTER'!$AA$2:$AA$495&lt;=1)*('CONTROL MASTER'!$AC$2:$AC$495&gt;=1))*ROW('CONTROL MASTER'!$S$2:$S$495))-(ROW('CONTROL MASTER'!#REF!)-1))),":",","),",",REPT(" ",50)),(((INDEX('CONTROL MASTER'!$Y$2:$Y$495,(SUMPRODUCT((('CONTROL MASTER'!$S$2:$S$495=3)*('CONTROL MASTER'!$Z$2:$Z$495&lt;=2)*('CONTROL MASTER'!$AB$2:$AB$495&gt;=2)*('CONTROL MASTER'!$AA$2:$AA$495&lt;=1)*('CONTROL MASTER'!$AC$2:$AC$495&gt;=1))*ROW('CONTROL MASTER'!$S$2:$S$495))-(ROW('CONTROL MASTER'!#REF!)-1)))+((2-INDEX('CONTROL MASTER'!$Z$2:$Z$495,(SUMPRODUCT((('CONTROL MASTER'!$S$2:$S$495=3)*('CONTROL MASTER'!$Z$2:$Z$495&lt;=2)*('CONTROL MASTER'!$AB$2:$AB$495&gt;=2)*('CONTROL MASTER'!$AA$2:$AA$495&lt;=1)*('CONTROL MASTER'!$AC$2:$AC$495&gt;=1))*ROW('CONTROL MASTER'!$S$2:$S$495))-(ROW('CONTROL MASTER'!#REF!)-1))))*(INDEX('CONTROL MASTER'!$AC$2:$AC$495,(SUMPRODUCT((('CONTROL MASTER'!$S$2:$S$495=3)*('CONTROL MASTER'!$Z$2:$Z$495&lt;=2)*('CONTROL MASTER'!$AB$2:$AB$495&gt;=2)*('CONTROL MASTER'!$AA$2:$AA$495&lt;=1)*('CONTROL MASTER'!$AC$2:$AC$495&gt;=1))*ROW('CONTROL MASTER'!$S$2:$S$495))-(ROW('CONTROL MASTER'!#REF!)-1)))-INDEX('CONTROL MASTER'!$AA$2:$AA$495,(SUMPRODUCT((('CONTROL MASTER'!$S$2:$S$495=3)*('CONTROL MASTER'!$Z$2:$Z$495&lt;=2)*('CONTROL MASTER'!$AB$2:$AB$495&gt;=2)*('CONTROL MASTER'!$AA$2:$AA$495&lt;=1)*('CONTROL MASTER'!$AC$2:$AC$495&gt;=1))*ROW('CONTROL MASTER'!$S$2:$S$495))-(ROW('CONTROL MASTER'!#REF!)-1)))+1)+(1-INDEX('CONTROL MASTER'!$AA$2:$AA$495,(SUMPRODUCT((('CONTROL MASTER'!$S$2:$S$495=3)*('CONTROL MASTER'!$Z$2:$Z$495&lt;=2)*('CONTROL MASTER'!$AB$2:$AB$495&gt;=2)*('CONTROL MASTER'!$AA$2:$AA$495&lt;=1)*('CONTROL MASTER'!$AC$2:$AC$495&gt;=1))*ROW('CONTROL MASTER'!$S$2:$S$495))-(ROW('CONTROL MASTER'!#REF!)-1))))+1)))-1)*50+1,50))&amp;"_"&amp;INDEX('CONTROL MASTER'!$P$2:$P$495,(SUMPRODUCT((('CONTROL MASTER'!$S$2:$S$495=3)*('CONTROL MASTER'!$Z$2:$Z$495&lt;=2)*('CONTROL MASTER'!$AB$2:$AB$495&gt;=2)*('CONTROL MASTER'!$AA$2:$AA$495&lt;=1)*('CONTROL MASTER'!$AC$2:$AC$495&gt;=1))*ROW('CONTROL MASTER'!$S$2:$S$495))-(ROW('CONTROL MASTER'!#REF!)-1))),"")),"")</f>
        <v/>
      </c>
      <c r="C32" s="10" t="str">
        <f>IFERROR(IF(SUMPRODUCT((('CONTROL MASTER'!$S$2:$S$495=3)*('CONTROL MASTER'!$T$2:$T$495&lt;=2)*('CONTROL MASTER'!$V$2:$V$495&gt;=2)*('CONTROL MASTER'!$U$2:$U$495&lt;=2)*('CONTROL MASTER'!$W$2:$W$495&gt;=2))*ROW('CONTROL MASTER'!$S$2:$S$495))&gt;0,INDEX('CONTROL MASTER'!$X$2:$X$495,(SUMPRODUCT((('CONTROL MASTER'!$S$2:$S$495=3)*('CONTROL MASTER'!$T$2:$T$495&lt;=2)*('CONTROL MASTER'!$V$2:$V$495&gt;=2)*('CONTROL MASTER'!$U$2:$U$495&lt;=2)*('CONTROL MASTER'!$W$2:$W$495&gt;=2))*ROW('CONTROL MASTER'!$S$2:$S$495))-(ROW('CONTROL MASTER'!#REF!)-1)))&amp;TRIM(MID(SUBSTITUTE(SUBSTITUTE(INDEX('CONTROL MASTER'!$N$2:$N$495,(SUMPRODUCT((('CONTROL MASTER'!$S$2:$S$495=3)*('CONTROL MASTER'!$T$2:$T$495&lt;=2)*('CONTROL MASTER'!$V$2:$V$495&gt;=2)*('CONTROL MASTER'!$U$2:$U$495&lt;=2)*('CONTROL MASTER'!$W$2:$W$495&gt;=2))*ROW('CONTROL MASTER'!$S$2:$S$495))-(ROW('CONTROL MASTER'!#REF!)-1))),":",","),",",REPT(" ",50)),((((2-INDEX('CONTROL MASTER'!$T$2:$T$495,(SUMPRODUCT((('CONTROL MASTER'!$S$2:$S$495=3)*('CONTROL MASTER'!$T$2:$T$495&lt;=2)*('CONTROL MASTER'!$V$2:$V$495&gt;=2)*('CONTROL MASTER'!$U$2:$U$495&lt;=2)*('CONTROL MASTER'!$W$2:$W$495&gt;=2))*ROW('CONTROL MASTER'!$S$2:$S$495))-(ROW('CONTROL MASTER'!#REF!)-1))))*(INDEX('CONTROL MASTER'!$W$2:$W$495,(SUMPRODUCT((('CONTROL MASTER'!$S$2:$S$495=3)*('CONTROL MASTER'!$T$2:$T$495&lt;=2)*('CONTROL MASTER'!$V$2:$V$495&gt;=2)*('CONTROL MASTER'!$U$2:$U$495&lt;=2)*('CONTROL MASTER'!$W$2:$W$495&gt;=2))*ROW('CONTROL MASTER'!$S$2:$S$495))-(ROW('CONTROL MASTER'!#REF!)-1)))-INDEX('CONTROL MASTER'!$U$2:$U$495,(SUMPRODUCT((('CONTROL MASTER'!$S$2:$S$495=3)*('CONTROL MASTER'!$T$2:$T$495&lt;=2)*('CONTROL MASTER'!$V$2:$V$495&gt;=2)*('CONTROL MASTER'!$U$2:$U$495&lt;=2)*('CONTROL MASTER'!$W$2:$W$495&gt;=2))*ROW('CONTROL MASTER'!$S$2:$S$495))-(ROW('CONTROL MASTER'!#REF!)-1)))+1)+(2-INDEX('CONTROL MASTER'!$U$2:$U$495,(SUMPRODUCT((('CONTROL MASTER'!$S$2:$S$495=3)*('CONTROL MASTER'!$T$2:$T$495&lt;=2)*('CONTROL MASTER'!$V$2:$V$495&gt;=2)*('CONTROL MASTER'!$U$2:$U$495&lt;=2)*('CONTROL MASTER'!$W$2:$W$495&gt;=2))*ROW('CONTROL MASTER'!$S$2:$S$495))-(ROW('CONTROL MASTER'!#REF!)-1))))+1))-1)*50+1,50))&amp;"_"&amp;INDEX('CONTROL MASTER'!$P$2:$P$495,(SUMPRODUCT((('CONTROL MASTER'!$S$2:$S$495=3)*('CONTROL MASTER'!$T$2:$T$495&lt;=2)*('CONTROL MASTER'!$V$2:$V$495&gt;=2)*('CONTROL MASTER'!$U$2:$U$495&lt;=2)*('CONTROL MASTER'!$W$2:$W$495&gt;=2))*ROW('CONTROL MASTER'!$S$2:$S$495))-(ROW('CONTROL MASTER'!#REF!)-1))),IF(SUMPRODUCT((('CONTROL MASTER'!$S$2:$S$495=3)*('CONTROL MASTER'!$Z$2:$Z$495&lt;=2)*('CONTROL MASTER'!$AB$2:$AB$495&gt;=2)*('CONTROL MASTER'!$AA$2:$AA$495&lt;=2)*('CONTROL MASTER'!$AC$2:$AC$495&gt;=2))*ROW('CONTROL MASTER'!$S$2:$S$495))&gt;0,INDEX('CONTROL MASTER'!$X$2:$X$495,(SUMPRODUCT((('CONTROL MASTER'!$S$2:$S$495=3)*('CONTROL MASTER'!$Z$2:$Z$495&lt;=2)*('CONTROL MASTER'!$AB$2:$AB$495&gt;=2)*('CONTROL MASTER'!$AA$2:$AA$495&lt;=2)*('CONTROL MASTER'!$AC$2:$AC$495&gt;=2))*ROW('CONTROL MASTER'!$S$2:$S$495))-(ROW('CONTROL MASTER'!#REF!)-1)))&amp;TRIM(MID(SUBSTITUTE(SUBSTITUTE(INDEX('CONTROL MASTER'!$N$2:$N$495,(SUMPRODUCT((('CONTROL MASTER'!$S$2:$S$495=3)*('CONTROL MASTER'!$Z$2:$Z$495&lt;=2)*('CONTROL MASTER'!$AB$2:$AB$495&gt;=2)*('CONTROL MASTER'!$AA$2:$AA$495&lt;=2)*('CONTROL MASTER'!$AC$2:$AC$495&gt;=2))*ROW('CONTROL MASTER'!$S$2:$S$495))-(ROW('CONTROL MASTER'!#REF!)-1))),":",","),",",REPT(" ",50)),(((INDEX('CONTROL MASTER'!$Y$2:$Y$495,(SUMPRODUCT((('CONTROL MASTER'!$S$2:$S$495=3)*('CONTROL MASTER'!$Z$2:$Z$495&lt;=2)*('CONTROL MASTER'!$AB$2:$AB$495&gt;=2)*('CONTROL MASTER'!$AA$2:$AA$495&lt;=2)*('CONTROL MASTER'!$AC$2:$AC$495&gt;=2))*ROW('CONTROL MASTER'!$S$2:$S$495))-(ROW('CONTROL MASTER'!#REF!)-1)))+((2-INDEX('CONTROL MASTER'!$Z$2:$Z$495,(SUMPRODUCT((('CONTROL MASTER'!$S$2:$S$495=3)*('CONTROL MASTER'!$Z$2:$Z$495&lt;=2)*('CONTROL MASTER'!$AB$2:$AB$495&gt;=2)*('CONTROL MASTER'!$AA$2:$AA$495&lt;=2)*('CONTROL MASTER'!$AC$2:$AC$495&gt;=2))*ROW('CONTROL MASTER'!$S$2:$S$495))-(ROW('CONTROL MASTER'!#REF!)-1))))*(INDEX('CONTROL MASTER'!$AC$2:$AC$495,(SUMPRODUCT((('CONTROL MASTER'!$S$2:$S$495=3)*('CONTROL MASTER'!$Z$2:$Z$495&lt;=2)*('CONTROL MASTER'!$AB$2:$AB$495&gt;=2)*('CONTROL MASTER'!$AA$2:$AA$495&lt;=2)*('CONTROL MASTER'!$AC$2:$AC$495&gt;=2))*ROW('CONTROL MASTER'!$S$2:$S$495))-(ROW('CONTROL MASTER'!#REF!)-1)))-INDEX('CONTROL MASTER'!$AA$2:$AA$495,(SUMPRODUCT((('CONTROL MASTER'!$S$2:$S$495=3)*('CONTROL MASTER'!$Z$2:$Z$495&lt;=2)*('CONTROL MASTER'!$AB$2:$AB$495&gt;=2)*('CONTROL MASTER'!$AA$2:$AA$495&lt;=2)*('CONTROL MASTER'!$AC$2:$AC$495&gt;=2))*ROW('CONTROL MASTER'!$S$2:$S$495))-(ROW('CONTROL MASTER'!#REF!)-1)))+1)+(2-INDEX('CONTROL MASTER'!$AA$2:$AA$495,(SUMPRODUCT((('CONTROL MASTER'!$S$2:$S$495=3)*('CONTROL MASTER'!$Z$2:$Z$495&lt;=2)*('CONTROL MASTER'!$AB$2:$AB$495&gt;=2)*('CONTROL MASTER'!$AA$2:$AA$495&lt;=2)*('CONTROL MASTER'!$AC$2:$AC$495&gt;=2))*ROW('CONTROL MASTER'!$S$2:$S$495))-(ROW('CONTROL MASTER'!#REF!)-1))))+1)))-1)*50+1,50))&amp;"_"&amp;INDEX('CONTROL MASTER'!$P$2:$P$495,(SUMPRODUCT((('CONTROL MASTER'!$S$2:$S$495=3)*('CONTROL MASTER'!$Z$2:$Z$495&lt;=2)*('CONTROL MASTER'!$AB$2:$AB$495&gt;=2)*('CONTROL MASTER'!$AA$2:$AA$495&lt;=2)*('CONTROL MASTER'!$AC$2:$AC$495&gt;=2))*ROW('CONTROL MASTER'!$S$2:$S$495))-(ROW('CONTROL MASTER'!#REF!)-1))),"")),"")</f>
        <v/>
      </c>
      <c r="D32" s="10" t="str">
        <f>IFERROR(IF(SUMPRODUCT((('CONTROL MASTER'!$S$2:$S$495=3)*('CONTROL MASTER'!$T$2:$T$495&lt;=2)*('CONTROL MASTER'!$V$2:$V$495&gt;=2)*('CONTROL MASTER'!$U$2:$U$495&lt;=3)*('CONTROL MASTER'!$W$2:$W$495&gt;=3))*ROW('CONTROL MASTER'!$S$2:$S$495))&gt;0,INDEX('CONTROL MASTER'!$X$2:$X$495,(SUMPRODUCT((('CONTROL MASTER'!$S$2:$S$495=3)*('CONTROL MASTER'!$T$2:$T$495&lt;=2)*('CONTROL MASTER'!$V$2:$V$495&gt;=2)*('CONTROL MASTER'!$U$2:$U$495&lt;=3)*('CONTROL MASTER'!$W$2:$W$495&gt;=3))*ROW('CONTROL MASTER'!$S$2:$S$495))-(ROW('CONTROL MASTER'!#REF!)-1)))&amp;TRIM(MID(SUBSTITUTE(SUBSTITUTE(INDEX('CONTROL MASTER'!$N$2:$N$495,(SUMPRODUCT((('CONTROL MASTER'!$S$2:$S$495=3)*('CONTROL MASTER'!$T$2:$T$495&lt;=2)*('CONTROL MASTER'!$V$2:$V$495&gt;=2)*('CONTROL MASTER'!$U$2:$U$495&lt;=3)*('CONTROL MASTER'!$W$2:$W$495&gt;=3))*ROW('CONTROL MASTER'!$S$2:$S$495))-(ROW('CONTROL MASTER'!#REF!)-1))),":",","),",",REPT(" ",50)),((((2-INDEX('CONTROL MASTER'!$T$2:$T$495,(SUMPRODUCT((('CONTROL MASTER'!$S$2:$S$495=3)*('CONTROL MASTER'!$T$2:$T$495&lt;=2)*('CONTROL MASTER'!$V$2:$V$495&gt;=2)*('CONTROL MASTER'!$U$2:$U$495&lt;=3)*('CONTROL MASTER'!$W$2:$W$495&gt;=3))*ROW('CONTROL MASTER'!$S$2:$S$495))-(ROW('CONTROL MASTER'!#REF!)-1))))*(INDEX('CONTROL MASTER'!$W$2:$W$495,(SUMPRODUCT((('CONTROL MASTER'!$S$2:$S$495=3)*('CONTROL MASTER'!$T$2:$T$495&lt;=2)*('CONTROL MASTER'!$V$2:$V$495&gt;=2)*('CONTROL MASTER'!$U$2:$U$495&lt;=3)*('CONTROL MASTER'!$W$2:$W$495&gt;=3))*ROW('CONTROL MASTER'!$S$2:$S$495))-(ROW('CONTROL MASTER'!#REF!)-1)))-INDEX('CONTROL MASTER'!$U$2:$U$495,(SUMPRODUCT((('CONTROL MASTER'!$S$2:$S$495=3)*('CONTROL MASTER'!$T$2:$T$495&lt;=2)*('CONTROL MASTER'!$V$2:$V$495&gt;=2)*('CONTROL MASTER'!$U$2:$U$495&lt;=3)*('CONTROL MASTER'!$W$2:$W$495&gt;=3))*ROW('CONTROL MASTER'!$S$2:$S$495))-(ROW('CONTROL MASTER'!#REF!)-1)))+1)+(3-INDEX('CONTROL MASTER'!$U$2:$U$495,(SUMPRODUCT((('CONTROL MASTER'!$S$2:$S$495=3)*('CONTROL MASTER'!$T$2:$T$495&lt;=2)*('CONTROL MASTER'!$V$2:$V$495&gt;=2)*('CONTROL MASTER'!$U$2:$U$495&lt;=3)*('CONTROL MASTER'!$W$2:$W$495&gt;=3))*ROW('CONTROL MASTER'!$S$2:$S$495))-(ROW('CONTROL MASTER'!#REF!)-1))))+1))-1)*50+1,50))&amp;"_"&amp;INDEX('CONTROL MASTER'!$P$2:$P$495,(SUMPRODUCT((('CONTROL MASTER'!$S$2:$S$495=3)*('CONTROL MASTER'!$T$2:$T$495&lt;=2)*('CONTROL MASTER'!$V$2:$V$495&gt;=2)*('CONTROL MASTER'!$U$2:$U$495&lt;=3)*('CONTROL MASTER'!$W$2:$W$495&gt;=3))*ROW('CONTROL MASTER'!$S$2:$S$495))-(ROW('CONTROL MASTER'!#REF!)-1))),IF(SUMPRODUCT((('CONTROL MASTER'!$S$2:$S$495=3)*('CONTROL MASTER'!$Z$2:$Z$495&lt;=2)*('CONTROL MASTER'!$AB$2:$AB$495&gt;=2)*('CONTROL MASTER'!$AA$2:$AA$495&lt;=3)*('CONTROL MASTER'!$AC$2:$AC$495&gt;=3))*ROW('CONTROL MASTER'!$S$2:$S$495))&gt;0,INDEX('CONTROL MASTER'!$X$2:$X$495,(SUMPRODUCT((('CONTROL MASTER'!$S$2:$S$495=3)*('CONTROL MASTER'!$Z$2:$Z$495&lt;=2)*('CONTROL MASTER'!$AB$2:$AB$495&gt;=2)*('CONTROL MASTER'!$AA$2:$AA$495&lt;=3)*('CONTROL MASTER'!$AC$2:$AC$495&gt;=3))*ROW('CONTROL MASTER'!$S$2:$S$495))-(ROW('CONTROL MASTER'!#REF!)-1)))&amp;TRIM(MID(SUBSTITUTE(SUBSTITUTE(INDEX('CONTROL MASTER'!$N$2:$N$495,(SUMPRODUCT((('CONTROL MASTER'!$S$2:$S$495=3)*('CONTROL MASTER'!$Z$2:$Z$495&lt;=2)*('CONTROL MASTER'!$AB$2:$AB$495&gt;=2)*('CONTROL MASTER'!$AA$2:$AA$495&lt;=3)*('CONTROL MASTER'!$AC$2:$AC$495&gt;=3))*ROW('CONTROL MASTER'!$S$2:$S$495))-(ROW('CONTROL MASTER'!#REF!)-1))),":",","),",",REPT(" ",50)),(((INDEX('CONTROL MASTER'!$Y$2:$Y$495,(SUMPRODUCT((('CONTROL MASTER'!$S$2:$S$495=3)*('CONTROL MASTER'!$Z$2:$Z$495&lt;=2)*('CONTROL MASTER'!$AB$2:$AB$495&gt;=2)*('CONTROL MASTER'!$AA$2:$AA$495&lt;=3)*('CONTROL MASTER'!$AC$2:$AC$495&gt;=3))*ROW('CONTROL MASTER'!$S$2:$S$495))-(ROW('CONTROL MASTER'!#REF!)-1)))+((2-INDEX('CONTROL MASTER'!$Z$2:$Z$495,(SUMPRODUCT((('CONTROL MASTER'!$S$2:$S$495=3)*('CONTROL MASTER'!$Z$2:$Z$495&lt;=2)*('CONTROL MASTER'!$AB$2:$AB$495&gt;=2)*('CONTROL MASTER'!$AA$2:$AA$495&lt;=3)*('CONTROL MASTER'!$AC$2:$AC$495&gt;=3))*ROW('CONTROL MASTER'!$S$2:$S$495))-(ROW('CONTROL MASTER'!#REF!)-1))))*(INDEX('CONTROL MASTER'!$AC$2:$AC$495,(SUMPRODUCT((('CONTROL MASTER'!$S$2:$S$495=3)*('CONTROL MASTER'!$Z$2:$Z$495&lt;=2)*('CONTROL MASTER'!$AB$2:$AB$495&gt;=2)*('CONTROL MASTER'!$AA$2:$AA$495&lt;=3)*('CONTROL MASTER'!$AC$2:$AC$495&gt;=3))*ROW('CONTROL MASTER'!$S$2:$S$495))-(ROW('CONTROL MASTER'!#REF!)-1)))-INDEX('CONTROL MASTER'!$AA$2:$AA$495,(SUMPRODUCT((('CONTROL MASTER'!$S$2:$S$495=3)*('CONTROL MASTER'!$Z$2:$Z$495&lt;=2)*('CONTROL MASTER'!$AB$2:$AB$495&gt;=2)*('CONTROL MASTER'!$AA$2:$AA$495&lt;=3)*('CONTROL MASTER'!$AC$2:$AC$495&gt;=3))*ROW('CONTROL MASTER'!$S$2:$S$495))-(ROW('CONTROL MASTER'!#REF!)-1)))+1)+(3-INDEX('CONTROL MASTER'!$AA$2:$AA$495,(SUMPRODUCT((('CONTROL MASTER'!$S$2:$S$495=3)*('CONTROL MASTER'!$Z$2:$Z$495&lt;=2)*('CONTROL MASTER'!$AB$2:$AB$495&gt;=2)*('CONTROL MASTER'!$AA$2:$AA$495&lt;=3)*('CONTROL MASTER'!$AC$2:$AC$495&gt;=3))*ROW('CONTROL MASTER'!$S$2:$S$495))-(ROW('CONTROL MASTER'!#REF!)-1))))+1)))-1)*50+1,50))&amp;"_"&amp;INDEX('CONTROL MASTER'!$P$2:$P$495,(SUMPRODUCT((('CONTROL MASTER'!$S$2:$S$495=3)*('CONTROL MASTER'!$Z$2:$Z$495&lt;=2)*('CONTROL MASTER'!$AB$2:$AB$495&gt;=2)*('CONTROL MASTER'!$AA$2:$AA$495&lt;=3)*('CONTROL MASTER'!$AC$2:$AC$495&gt;=3))*ROW('CONTROL MASTER'!$S$2:$S$495))-(ROW('CONTROL MASTER'!#REF!)-1))),"")),"")</f>
        <v/>
      </c>
      <c r="E32" s="10" t="str">
        <f>IFERROR(IF(SUMPRODUCT((('CONTROL MASTER'!$S$2:$S$495=3)*('CONTROL MASTER'!$T$2:$T$495&lt;=2)*('CONTROL MASTER'!$V$2:$V$495&gt;=2)*('CONTROL MASTER'!$U$2:$U$495&lt;=4)*('CONTROL MASTER'!$W$2:$W$495&gt;=4))*ROW('CONTROL MASTER'!$S$2:$S$495))&gt;0,INDEX('CONTROL MASTER'!$X$2:$X$495,(SUMPRODUCT((('CONTROL MASTER'!$S$2:$S$495=3)*('CONTROL MASTER'!$T$2:$T$495&lt;=2)*('CONTROL MASTER'!$V$2:$V$495&gt;=2)*('CONTROL MASTER'!$U$2:$U$495&lt;=4)*('CONTROL MASTER'!$W$2:$W$495&gt;=4))*ROW('CONTROL MASTER'!$S$2:$S$495))-(ROW('CONTROL MASTER'!#REF!)-1)))&amp;TRIM(MID(SUBSTITUTE(SUBSTITUTE(INDEX('CONTROL MASTER'!$N$2:$N$495,(SUMPRODUCT((('CONTROL MASTER'!$S$2:$S$495=3)*('CONTROL MASTER'!$T$2:$T$495&lt;=2)*('CONTROL MASTER'!$V$2:$V$495&gt;=2)*('CONTROL MASTER'!$U$2:$U$495&lt;=4)*('CONTROL MASTER'!$W$2:$W$495&gt;=4))*ROW('CONTROL MASTER'!$S$2:$S$495))-(ROW('CONTROL MASTER'!#REF!)-1))),":",","),",",REPT(" ",50)),((((2-INDEX('CONTROL MASTER'!$T$2:$T$495,(SUMPRODUCT((('CONTROL MASTER'!$S$2:$S$495=3)*('CONTROL MASTER'!$T$2:$T$495&lt;=2)*('CONTROL MASTER'!$V$2:$V$495&gt;=2)*('CONTROL MASTER'!$U$2:$U$495&lt;=4)*('CONTROL MASTER'!$W$2:$W$495&gt;=4))*ROW('CONTROL MASTER'!$S$2:$S$495))-(ROW('CONTROL MASTER'!#REF!)-1))))*(INDEX('CONTROL MASTER'!$W$2:$W$495,(SUMPRODUCT((('CONTROL MASTER'!$S$2:$S$495=3)*('CONTROL MASTER'!$T$2:$T$495&lt;=2)*('CONTROL MASTER'!$V$2:$V$495&gt;=2)*('CONTROL MASTER'!$U$2:$U$495&lt;=4)*('CONTROL MASTER'!$W$2:$W$495&gt;=4))*ROW('CONTROL MASTER'!$S$2:$S$495))-(ROW('CONTROL MASTER'!#REF!)-1)))-INDEX('CONTROL MASTER'!$U$2:$U$495,(SUMPRODUCT((('CONTROL MASTER'!$S$2:$S$495=3)*('CONTROL MASTER'!$T$2:$T$495&lt;=2)*('CONTROL MASTER'!$V$2:$V$495&gt;=2)*('CONTROL MASTER'!$U$2:$U$495&lt;=4)*('CONTROL MASTER'!$W$2:$W$495&gt;=4))*ROW('CONTROL MASTER'!$S$2:$S$495))-(ROW('CONTROL MASTER'!#REF!)-1)))+1)+(4-INDEX('CONTROL MASTER'!$U$2:$U$495,(SUMPRODUCT((('CONTROL MASTER'!$S$2:$S$495=3)*('CONTROL MASTER'!$T$2:$T$495&lt;=2)*('CONTROL MASTER'!$V$2:$V$495&gt;=2)*('CONTROL MASTER'!$U$2:$U$495&lt;=4)*('CONTROL MASTER'!$W$2:$W$495&gt;=4))*ROW('CONTROL MASTER'!$S$2:$S$495))-(ROW('CONTROL MASTER'!#REF!)-1))))+1))-1)*50+1,50))&amp;"_"&amp;INDEX('CONTROL MASTER'!$P$2:$P$495,(SUMPRODUCT((('CONTROL MASTER'!$S$2:$S$495=3)*('CONTROL MASTER'!$T$2:$T$495&lt;=2)*('CONTROL MASTER'!$V$2:$V$495&gt;=2)*('CONTROL MASTER'!$U$2:$U$495&lt;=4)*('CONTROL MASTER'!$W$2:$W$495&gt;=4))*ROW('CONTROL MASTER'!$S$2:$S$495))-(ROW('CONTROL MASTER'!#REF!)-1))),IF(SUMPRODUCT((('CONTROL MASTER'!$S$2:$S$495=3)*('CONTROL MASTER'!$Z$2:$Z$495&lt;=2)*('CONTROL MASTER'!$AB$2:$AB$495&gt;=2)*('CONTROL MASTER'!$AA$2:$AA$495&lt;=4)*('CONTROL MASTER'!$AC$2:$AC$495&gt;=4))*ROW('CONTROL MASTER'!$S$2:$S$495))&gt;0,INDEX('CONTROL MASTER'!$X$2:$X$495,(SUMPRODUCT((('CONTROL MASTER'!$S$2:$S$495=3)*('CONTROL MASTER'!$Z$2:$Z$495&lt;=2)*('CONTROL MASTER'!$AB$2:$AB$495&gt;=2)*('CONTROL MASTER'!$AA$2:$AA$495&lt;=4)*('CONTROL MASTER'!$AC$2:$AC$495&gt;=4))*ROW('CONTROL MASTER'!$S$2:$S$495))-(ROW('CONTROL MASTER'!#REF!)-1)))&amp;TRIM(MID(SUBSTITUTE(SUBSTITUTE(INDEX('CONTROL MASTER'!$N$2:$N$495,(SUMPRODUCT((('CONTROL MASTER'!$S$2:$S$495=3)*('CONTROL MASTER'!$Z$2:$Z$495&lt;=2)*('CONTROL MASTER'!$AB$2:$AB$495&gt;=2)*('CONTROL MASTER'!$AA$2:$AA$495&lt;=4)*('CONTROL MASTER'!$AC$2:$AC$495&gt;=4))*ROW('CONTROL MASTER'!$S$2:$S$495))-(ROW('CONTROL MASTER'!#REF!)-1))),":",","),",",REPT(" ",50)),(((INDEX('CONTROL MASTER'!$Y$2:$Y$495,(SUMPRODUCT((('CONTROL MASTER'!$S$2:$S$495=3)*('CONTROL MASTER'!$Z$2:$Z$495&lt;=2)*('CONTROL MASTER'!$AB$2:$AB$495&gt;=2)*('CONTROL MASTER'!$AA$2:$AA$495&lt;=4)*('CONTROL MASTER'!$AC$2:$AC$495&gt;=4))*ROW('CONTROL MASTER'!$S$2:$S$495))-(ROW('CONTROL MASTER'!#REF!)-1)))+((2-INDEX('CONTROL MASTER'!$Z$2:$Z$495,(SUMPRODUCT((('CONTROL MASTER'!$S$2:$S$495=3)*('CONTROL MASTER'!$Z$2:$Z$495&lt;=2)*('CONTROL MASTER'!$AB$2:$AB$495&gt;=2)*('CONTROL MASTER'!$AA$2:$AA$495&lt;=4)*('CONTROL MASTER'!$AC$2:$AC$495&gt;=4))*ROW('CONTROL MASTER'!$S$2:$S$495))-(ROW('CONTROL MASTER'!#REF!)-1))))*(INDEX('CONTROL MASTER'!$AC$2:$AC$495,(SUMPRODUCT((('CONTROL MASTER'!$S$2:$S$495=3)*('CONTROL MASTER'!$Z$2:$Z$495&lt;=2)*('CONTROL MASTER'!$AB$2:$AB$495&gt;=2)*('CONTROL MASTER'!$AA$2:$AA$495&lt;=4)*('CONTROL MASTER'!$AC$2:$AC$495&gt;=4))*ROW('CONTROL MASTER'!$S$2:$S$495))-(ROW('CONTROL MASTER'!#REF!)-1)))-INDEX('CONTROL MASTER'!$AA$2:$AA$495,(SUMPRODUCT((('CONTROL MASTER'!$S$2:$S$495=3)*('CONTROL MASTER'!$Z$2:$Z$495&lt;=2)*('CONTROL MASTER'!$AB$2:$AB$495&gt;=2)*('CONTROL MASTER'!$AA$2:$AA$495&lt;=4)*('CONTROL MASTER'!$AC$2:$AC$495&gt;=4))*ROW('CONTROL MASTER'!$S$2:$S$495))-(ROW('CONTROL MASTER'!#REF!)-1)))+1)+(4-INDEX('CONTROL MASTER'!$AA$2:$AA$495,(SUMPRODUCT((('CONTROL MASTER'!$S$2:$S$495=3)*('CONTROL MASTER'!$Z$2:$Z$495&lt;=2)*('CONTROL MASTER'!$AB$2:$AB$495&gt;=2)*('CONTROL MASTER'!$AA$2:$AA$495&lt;=4)*('CONTROL MASTER'!$AC$2:$AC$495&gt;=4))*ROW('CONTROL MASTER'!$S$2:$S$495))-(ROW('CONTROL MASTER'!#REF!)-1))))+1)))-1)*50+1,50))&amp;"_"&amp;INDEX('CONTROL MASTER'!$P$2:$P$495,(SUMPRODUCT((('CONTROL MASTER'!$S$2:$S$495=3)*('CONTROL MASTER'!$Z$2:$Z$495&lt;=2)*('CONTROL MASTER'!$AB$2:$AB$495&gt;=2)*('CONTROL MASTER'!$AA$2:$AA$495&lt;=4)*('CONTROL MASTER'!$AC$2:$AC$495&gt;=4))*ROW('CONTROL MASTER'!$S$2:$S$495))-(ROW('CONTROL MASTER'!#REF!)-1))),"")),"")</f>
        <v/>
      </c>
      <c r="F32" s="10" t="str">
        <f>IFERROR(IF(SUMPRODUCT((('CONTROL MASTER'!$S$2:$S$495=3)*('CONTROL MASTER'!$T$2:$T$495&lt;=2)*('CONTROL MASTER'!$V$2:$V$495&gt;=2)*('CONTROL MASTER'!$U$2:$U$495&lt;=5)*('CONTROL MASTER'!$W$2:$W$495&gt;=5))*ROW('CONTROL MASTER'!$S$2:$S$495))&gt;0,INDEX('CONTROL MASTER'!$X$2:$X$495,(SUMPRODUCT((('CONTROL MASTER'!$S$2:$S$495=3)*('CONTROL MASTER'!$T$2:$T$495&lt;=2)*('CONTROL MASTER'!$V$2:$V$495&gt;=2)*('CONTROL MASTER'!$U$2:$U$495&lt;=5)*('CONTROL MASTER'!$W$2:$W$495&gt;=5))*ROW('CONTROL MASTER'!$S$2:$S$495))-(ROW('CONTROL MASTER'!#REF!)-1)))&amp;TRIM(MID(SUBSTITUTE(SUBSTITUTE(INDEX('CONTROL MASTER'!$N$2:$N$495,(SUMPRODUCT((('CONTROL MASTER'!$S$2:$S$495=3)*('CONTROL MASTER'!$T$2:$T$495&lt;=2)*('CONTROL MASTER'!$V$2:$V$495&gt;=2)*('CONTROL MASTER'!$U$2:$U$495&lt;=5)*('CONTROL MASTER'!$W$2:$W$495&gt;=5))*ROW('CONTROL MASTER'!$S$2:$S$495))-(ROW('CONTROL MASTER'!#REF!)-1))),":",","),",",REPT(" ",50)),((((2-INDEX('CONTROL MASTER'!$T$2:$T$495,(SUMPRODUCT((('CONTROL MASTER'!$S$2:$S$495=3)*('CONTROL MASTER'!$T$2:$T$495&lt;=2)*('CONTROL MASTER'!$V$2:$V$495&gt;=2)*('CONTROL MASTER'!$U$2:$U$495&lt;=5)*('CONTROL MASTER'!$W$2:$W$495&gt;=5))*ROW('CONTROL MASTER'!$S$2:$S$495))-(ROW('CONTROL MASTER'!#REF!)-1))))*(INDEX('CONTROL MASTER'!$W$2:$W$495,(SUMPRODUCT((('CONTROL MASTER'!$S$2:$S$495=3)*('CONTROL MASTER'!$T$2:$T$495&lt;=2)*('CONTROL MASTER'!$V$2:$V$495&gt;=2)*('CONTROL MASTER'!$U$2:$U$495&lt;=5)*('CONTROL MASTER'!$W$2:$W$495&gt;=5))*ROW('CONTROL MASTER'!$S$2:$S$495))-(ROW('CONTROL MASTER'!#REF!)-1)))-INDEX('CONTROL MASTER'!$U$2:$U$495,(SUMPRODUCT((('CONTROL MASTER'!$S$2:$S$495=3)*('CONTROL MASTER'!$T$2:$T$495&lt;=2)*('CONTROL MASTER'!$V$2:$V$495&gt;=2)*('CONTROL MASTER'!$U$2:$U$495&lt;=5)*('CONTROL MASTER'!$W$2:$W$495&gt;=5))*ROW('CONTROL MASTER'!$S$2:$S$495))-(ROW('CONTROL MASTER'!#REF!)-1)))+1)+(5-INDEX('CONTROL MASTER'!$U$2:$U$495,(SUMPRODUCT((('CONTROL MASTER'!$S$2:$S$495=3)*('CONTROL MASTER'!$T$2:$T$495&lt;=2)*('CONTROL MASTER'!$V$2:$V$495&gt;=2)*('CONTROL MASTER'!$U$2:$U$495&lt;=5)*('CONTROL MASTER'!$W$2:$W$495&gt;=5))*ROW('CONTROL MASTER'!$S$2:$S$495))-(ROW('CONTROL MASTER'!#REF!)-1))))+1))-1)*50+1,50))&amp;"_"&amp;INDEX('CONTROL MASTER'!$P$2:$P$495,(SUMPRODUCT((('CONTROL MASTER'!$S$2:$S$495=3)*('CONTROL MASTER'!$T$2:$T$495&lt;=2)*('CONTROL MASTER'!$V$2:$V$495&gt;=2)*('CONTROL MASTER'!$U$2:$U$495&lt;=5)*('CONTROL MASTER'!$W$2:$W$495&gt;=5))*ROW('CONTROL MASTER'!$S$2:$S$495))-(ROW('CONTROL MASTER'!#REF!)-1))),IF(SUMPRODUCT((('CONTROL MASTER'!$S$2:$S$495=3)*('CONTROL MASTER'!$Z$2:$Z$495&lt;=2)*('CONTROL MASTER'!$AB$2:$AB$495&gt;=2)*('CONTROL MASTER'!$AA$2:$AA$495&lt;=5)*('CONTROL MASTER'!$AC$2:$AC$495&gt;=5))*ROW('CONTROL MASTER'!$S$2:$S$495))&gt;0,INDEX('CONTROL MASTER'!$X$2:$X$495,(SUMPRODUCT((('CONTROL MASTER'!$S$2:$S$495=3)*('CONTROL MASTER'!$Z$2:$Z$495&lt;=2)*('CONTROL MASTER'!$AB$2:$AB$495&gt;=2)*('CONTROL MASTER'!$AA$2:$AA$495&lt;=5)*('CONTROL MASTER'!$AC$2:$AC$495&gt;=5))*ROW('CONTROL MASTER'!$S$2:$S$495))-(ROW('CONTROL MASTER'!#REF!)-1)))&amp;TRIM(MID(SUBSTITUTE(SUBSTITUTE(INDEX('CONTROL MASTER'!$N$2:$N$495,(SUMPRODUCT((('CONTROL MASTER'!$S$2:$S$495=3)*('CONTROL MASTER'!$Z$2:$Z$495&lt;=2)*('CONTROL MASTER'!$AB$2:$AB$495&gt;=2)*('CONTROL MASTER'!$AA$2:$AA$495&lt;=5)*('CONTROL MASTER'!$AC$2:$AC$495&gt;=5))*ROW('CONTROL MASTER'!$S$2:$S$495))-(ROW('CONTROL MASTER'!#REF!)-1))),":",","),",",REPT(" ",50)),(((INDEX('CONTROL MASTER'!$Y$2:$Y$495,(SUMPRODUCT((('CONTROL MASTER'!$S$2:$S$495=3)*('CONTROL MASTER'!$Z$2:$Z$495&lt;=2)*('CONTROL MASTER'!$AB$2:$AB$495&gt;=2)*('CONTROL MASTER'!$AA$2:$AA$495&lt;=5)*('CONTROL MASTER'!$AC$2:$AC$495&gt;=5))*ROW('CONTROL MASTER'!$S$2:$S$495))-(ROW('CONTROL MASTER'!#REF!)-1)))+((2-INDEX('CONTROL MASTER'!$Z$2:$Z$495,(SUMPRODUCT((('CONTROL MASTER'!$S$2:$S$495=3)*('CONTROL MASTER'!$Z$2:$Z$495&lt;=2)*('CONTROL MASTER'!$AB$2:$AB$495&gt;=2)*('CONTROL MASTER'!$AA$2:$AA$495&lt;=5)*('CONTROL MASTER'!$AC$2:$AC$495&gt;=5))*ROW('CONTROL MASTER'!$S$2:$S$495))-(ROW('CONTROL MASTER'!#REF!)-1))))*(INDEX('CONTROL MASTER'!$AC$2:$AC$495,(SUMPRODUCT((('CONTROL MASTER'!$S$2:$S$495=3)*('CONTROL MASTER'!$Z$2:$Z$495&lt;=2)*('CONTROL MASTER'!$AB$2:$AB$495&gt;=2)*('CONTROL MASTER'!$AA$2:$AA$495&lt;=5)*('CONTROL MASTER'!$AC$2:$AC$495&gt;=5))*ROW('CONTROL MASTER'!$S$2:$S$495))-(ROW('CONTROL MASTER'!#REF!)-1)))-INDEX('CONTROL MASTER'!$AA$2:$AA$495,(SUMPRODUCT((('CONTROL MASTER'!$S$2:$S$495=3)*('CONTROL MASTER'!$Z$2:$Z$495&lt;=2)*('CONTROL MASTER'!$AB$2:$AB$495&gt;=2)*('CONTROL MASTER'!$AA$2:$AA$495&lt;=5)*('CONTROL MASTER'!$AC$2:$AC$495&gt;=5))*ROW('CONTROL MASTER'!$S$2:$S$495))-(ROW('CONTROL MASTER'!#REF!)-1)))+1)+(5-INDEX('CONTROL MASTER'!$AA$2:$AA$495,(SUMPRODUCT((('CONTROL MASTER'!$S$2:$S$495=3)*('CONTROL MASTER'!$Z$2:$Z$495&lt;=2)*('CONTROL MASTER'!$AB$2:$AB$495&gt;=2)*('CONTROL MASTER'!$AA$2:$AA$495&lt;=5)*('CONTROL MASTER'!$AC$2:$AC$495&gt;=5))*ROW('CONTROL MASTER'!$S$2:$S$495))-(ROW('CONTROL MASTER'!#REF!)-1))))+1)))-1)*50+1,50))&amp;"_"&amp;INDEX('CONTROL MASTER'!$P$2:$P$495,(SUMPRODUCT((('CONTROL MASTER'!$S$2:$S$495=3)*('CONTROL MASTER'!$Z$2:$Z$495&lt;=2)*('CONTROL MASTER'!$AB$2:$AB$495&gt;=2)*('CONTROL MASTER'!$AA$2:$AA$495&lt;=5)*('CONTROL MASTER'!$AC$2:$AC$495&gt;=5))*ROW('CONTROL MASTER'!$S$2:$S$495))-(ROW('CONTROL MASTER'!#REF!)-1))),"")),"")</f>
        <v/>
      </c>
      <c r="G32" s="10" t="str">
        <f>IFERROR(IF(SUMPRODUCT((('CONTROL MASTER'!$S$2:$S$495=3)*('CONTROL MASTER'!$T$2:$T$495&lt;=2)*('CONTROL MASTER'!$V$2:$V$495&gt;=2)*('CONTROL MASTER'!$U$2:$U$495&lt;=6)*('CONTROL MASTER'!$W$2:$W$495&gt;=6))*ROW('CONTROL MASTER'!$S$2:$S$495))&gt;0,INDEX('CONTROL MASTER'!$X$2:$X$495,(SUMPRODUCT((('CONTROL MASTER'!$S$2:$S$495=3)*('CONTROL MASTER'!$T$2:$T$495&lt;=2)*('CONTROL MASTER'!$V$2:$V$495&gt;=2)*('CONTROL MASTER'!$U$2:$U$495&lt;=6)*('CONTROL MASTER'!$W$2:$W$495&gt;=6))*ROW('CONTROL MASTER'!$S$2:$S$495))-(ROW('CONTROL MASTER'!#REF!)-1)))&amp;TRIM(MID(SUBSTITUTE(SUBSTITUTE(INDEX('CONTROL MASTER'!$N$2:$N$495,(SUMPRODUCT((('CONTROL MASTER'!$S$2:$S$495=3)*('CONTROL MASTER'!$T$2:$T$495&lt;=2)*('CONTROL MASTER'!$V$2:$V$495&gt;=2)*('CONTROL MASTER'!$U$2:$U$495&lt;=6)*('CONTROL MASTER'!$W$2:$W$495&gt;=6))*ROW('CONTROL MASTER'!$S$2:$S$495))-(ROW('CONTROL MASTER'!#REF!)-1))),":",","),",",REPT(" ",50)),((((2-INDEX('CONTROL MASTER'!$T$2:$T$495,(SUMPRODUCT((('CONTROL MASTER'!$S$2:$S$495=3)*('CONTROL MASTER'!$T$2:$T$495&lt;=2)*('CONTROL MASTER'!$V$2:$V$495&gt;=2)*('CONTROL MASTER'!$U$2:$U$495&lt;=6)*('CONTROL MASTER'!$W$2:$W$495&gt;=6))*ROW('CONTROL MASTER'!$S$2:$S$495))-(ROW('CONTROL MASTER'!#REF!)-1))))*(INDEX('CONTROL MASTER'!$W$2:$W$495,(SUMPRODUCT((('CONTROL MASTER'!$S$2:$S$495=3)*('CONTROL MASTER'!$T$2:$T$495&lt;=2)*('CONTROL MASTER'!$V$2:$V$495&gt;=2)*('CONTROL MASTER'!$U$2:$U$495&lt;=6)*('CONTROL MASTER'!$W$2:$W$495&gt;=6))*ROW('CONTROL MASTER'!$S$2:$S$495))-(ROW('CONTROL MASTER'!#REF!)-1)))-INDEX('CONTROL MASTER'!$U$2:$U$495,(SUMPRODUCT((('CONTROL MASTER'!$S$2:$S$495=3)*('CONTROL MASTER'!$T$2:$T$495&lt;=2)*('CONTROL MASTER'!$V$2:$V$495&gt;=2)*('CONTROL MASTER'!$U$2:$U$495&lt;=6)*('CONTROL MASTER'!$W$2:$W$495&gt;=6))*ROW('CONTROL MASTER'!$S$2:$S$495))-(ROW('CONTROL MASTER'!#REF!)-1)))+1)+(6-INDEX('CONTROL MASTER'!$U$2:$U$495,(SUMPRODUCT((('CONTROL MASTER'!$S$2:$S$495=3)*('CONTROL MASTER'!$T$2:$T$495&lt;=2)*('CONTROL MASTER'!$V$2:$V$495&gt;=2)*('CONTROL MASTER'!$U$2:$U$495&lt;=6)*('CONTROL MASTER'!$W$2:$W$495&gt;=6))*ROW('CONTROL MASTER'!$S$2:$S$495))-(ROW('CONTROL MASTER'!#REF!)-1))))+1))-1)*50+1,50))&amp;"_"&amp;INDEX('CONTROL MASTER'!$P$2:$P$495,(SUMPRODUCT((('CONTROL MASTER'!$S$2:$S$495=3)*('CONTROL MASTER'!$T$2:$T$495&lt;=2)*('CONTROL MASTER'!$V$2:$V$495&gt;=2)*('CONTROL MASTER'!$U$2:$U$495&lt;=6)*('CONTROL MASTER'!$W$2:$W$495&gt;=6))*ROW('CONTROL MASTER'!$S$2:$S$495))-(ROW('CONTROL MASTER'!#REF!)-1))),IF(SUMPRODUCT((('CONTROL MASTER'!$S$2:$S$495=3)*('CONTROL MASTER'!$Z$2:$Z$495&lt;=2)*('CONTROL MASTER'!$AB$2:$AB$495&gt;=2)*('CONTROL MASTER'!$AA$2:$AA$495&lt;=6)*('CONTROL MASTER'!$AC$2:$AC$495&gt;=6))*ROW('CONTROL MASTER'!$S$2:$S$495))&gt;0,INDEX('CONTROL MASTER'!$X$2:$X$495,(SUMPRODUCT((('CONTROL MASTER'!$S$2:$S$495=3)*('CONTROL MASTER'!$Z$2:$Z$495&lt;=2)*('CONTROL MASTER'!$AB$2:$AB$495&gt;=2)*('CONTROL MASTER'!$AA$2:$AA$495&lt;=6)*('CONTROL MASTER'!$AC$2:$AC$495&gt;=6))*ROW('CONTROL MASTER'!$S$2:$S$495))-(ROW('CONTROL MASTER'!#REF!)-1)))&amp;TRIM(MID(SUBSTITUTE(SUBSTITUTE(INDEX('CONTROL MASTER'!$N$2:$N$495,(SUMPRODUCT((('CONTROL MASTER'!$S$2:$S$495=3)*('CONTROL MASTER'!$Z$2:$Z$495&lt;=2)*('CONTROL MASTER'!$AB$2:$AB$495&gt;=2)*('CONTROL MASTER'!$AA$2:$AA$495&lt;=6)*('CONTROL MASTER'!$AC$2:$AC$495&gt;=6))*ROW('CONTROL MASTER'!$S$2:$S$495))-(ROW('CONTROL MASTER'!#REF!)-1))),":",","),",",REPT(" ",50)),(((INDEX('CONTROL MASTER'!$Y$2:$Y$495,(SUMPRODUCT((('CONTROL MASTER'!$S$2:$S$495=3)*('CONTROL MASTER'!$Z$2:$Z$495&lt;=2)*('CONTROL MASTER'!$AB$2:$AB$495&gt;=2)*('CONTROL MASTER'!$AA$2:$AA$495&lt;=6)*('CONTROL MASTER'!$AC$2:$AC$495&gt;=6))*ROW('CONTROL MASTER'!$S$2:$S$495))-(ROW('CONTROL MASTER'!#REF!)-1)))+((2-INDEX('CONTROL MASTER'!$Z$2:$Z$495,(SUMPRODUCT((('CONTROL MASTER'!$S$2:$S$495=3)*('CONTROL MASTER'!$Z$2:$Z$495&lt;=2)*('CONTROL MASTER'!$AB$2:$AB$495&gt;=2)*('CONTROL MASTER'!$AA$2:$AA$495&lt;=6)*('CONTROL MASTER'!$AC$2:$AC$495&gt;=6))*ROW('CONTROL MASTER'!$S$2:$S$495))-(ROW('CONTROL MASTER'!#REF!)-1))))*(INDEX('CONTROL MASTER'!$AC$2:$AC$495,(SUMPRODUCT((('CONTROL MASTER'!$S$2:$S$495=3)*('CONTROL MASTER'!$Z$2:$Z$495&lt;=2)*('CONTROL MASTER'!$AB$2:$AB$495&gt;=2)*('CONTROL MASTER'!$AA$2:$AA$495&lt;=6)*('CONTROL MASTER'!$AC$2:$AC$495&gt;=6))*ROW('CONTROL MASTER'!$S$2:$S$495))-(ROW('CONTROL MASTER'!#REF!)-1)))-INDEX('CONTROL MASTER'!$AA$2:$AA$495,(SUMPRODUCT((('CONTROL MASTER'!$S$2:$S$495=3)*('CONTROL MASTER'!$Z$2:$Z$495&lt;=2)*('CONTROL MASTER'!$AB$2:$AB$495&gt;=2)*('CONTROL MASTER'!$AA$2:$AA$495&lt;=6)*('CONTROL MASTER'!$AC$2:$AC$495&gt;=6))*ROW('CONTROL MASTER'!$S$2:$S$495))-(ROW('CONTROL MASTER'!#REF!)-1)))+1)+(6-INDEX('CONTROL MASTER'!$AA$2:$AA$495,(SUMPRODUCT((('CONTROL MASTER'!$S$2:$S$495=3)*('CONTROL MASTER'!$Z$2:$Z$495&lt;=2)*('CONTROL MASTER'!$AB$2:$AB$495&gt;=2)*('CONTROL MASTER'!$AA$2:$AA$495&lt;=6)*('CONTROL MASTER'!$AC$2:$AC$495&gt;=6))*ROW('CONTROL MASTER'!$S$2:$S$495))-(ROW('CONTROL MASTER'!#REF!)-1))))+1)))-1)*50+1,50))&amp;"_"&amp;INDEX('CONTROL MASTER'!$P$2:$P$495,(SUMPRODUCT((('CONTROL MASTER'!$S$2:$S$495=3)*('CONTROL MASTER'!$Z$2:$Z$495&lt;=2)*('CONTROL MASTER'!$AB$2:$AB$495&gt;=2)*('CONTROL MASTER'!$AA$2:$AA$495&lt;=6)*('CONTROL MASTER'!$AC$2:$AC$495&gt;=6))*ROW('CONTROL MASTER'!$S$2:$S$495))-(ROW('CONTROL MASTER'!#REF!)-1))),"")),"")</f>
        <v/>
      </c>
      <c r="H32" s="10" t="str">
        <f>IFERROR(IF(SUMPRODUCT((('CONTROL MASTER'!$S$2:$S$495=3)*('CONTROL MASTER'!$T$2:$T$495&lt;=2)*('CONTROL MASTER'!$V$2:$V$495&gt;=2)*('CONTROL MASTER'!$U$2:$U$495&lt;=7)*('CONTROL MASTER'!$W$2:$W$495&gt;=7))*ROW('CONTROL MASTER'!$S$2:$S$495))&gt;0,INDEX('CONTROL MASTER'!$X$2:$X$495,(SUMPRODUCT((('CONTROL MASTER'!$S$2:$S$495=3)*('CONTROL MASTER'!$T$2:$T$495&lt;=2)*('CONTROL MASTER'!$V$2:$V$495&gt;=2)*('CONTROL MASTER'!$U$2:$U$495&lt;=7)*('CONTROL MASTER'!$W$2:$W$495&gt;=7))*ROW('CONTROL MASTER'!$S$2:$S$495))-(ROW('CONTROL MASTER'!#REF!)-1)))&amp;TRIM(MID(SUBSTITUTE(SUBSTITUTE(INDEX('CONTROL MASTER'!$N$2:$N$495,(SUMPRODUCT((('CONTROL MASTER'!$S$2:$S$495=3)*('CONTROL MASTER'!$T$2:$T$495&lt;=2)*('CONTROL MASTER'!$V$2:$V$495&gt;=2)*('CONTROL MASTER'!$U$2:$U$495&lt;=7)*('CONTROL MASTER'!$W$2:$W$495&gt;=7))*ROW('CONTROL MASTER'!$S$2:$S$495))-(ROW('CONTROL MASTER'!#REF!)-1))),":",","),",",REPT(" ",50)),((((2-INDEX('CONTROL MASTER'!$T$2:$T$495,(SUMPRODUCT((('CONTROL MASTER'!$S$2:$S$495=3)*('CONTROL MASTER'!$T$2:$T$495&lt;=2)*('CONTROL MASTER'!$V$2:$V$495&gt;=2)*('CONTROL MASTER'!$U$2:$U$495&lt;=7)*('CONTROL MASTER'!$W$2:$W$495&gt;=7))*ROW('CONTROL MASTER'!$S$2:$S$495))-(ROW('CONTROL MASTER'!#REF!)-1))))*(INDEX('CONTROL MASTER'!$W$2:$W$495,(SUMPRODUCT((('CONTROL MASTER'!$S$2:$S$495=3)*('CONTROL MASTER'!$T$2:$T$495&lt;=2)*('CONTROL MASTER'!$V$2:$V$495&gt;=2)*('CONTROL MASTER'!$U$2:$U$495&lt;=7)*('CONTROL MASTER'!$W$2:$W$495&gt;=7))*ROW('CONTROL MASTER'!$S$2:$S$495))-(ROW('CONTROL MASTER'!#REF!)-1)))-INDEX('CONTROL MASTER'!$U$2:$U$495,(SUMPRODUCT((('CONTROL MASTER'!$S$2:$S$495=3)*('CONTROL MASTER'!$T$2:$T$495&lt;=2)*('CONTROL MASTER'!$V$2:$V$495&gt;=2)*('CONTROL MASTER'!$U$2:$U$495&lt;=7)*('CONTROL MASTER'!$W$2:$W$495&gt;=7))*ROW('CONTROL MASTER'!$S$2:$S$495))-(ROW('CONTROL MASTER'!#REF!)-1)))+1)+(7-INDEX('CONTROL MASTER'!$U$2:$U$495,(SUMPRODUCT((('CONTROL MASTER'!$S$2:$S$495=3)*('CONTROL MASTER'!$T$2:$T$495&lt;=2)*('CONTROL MASTER'!$V$2:$V$495&gt;=2)*('CONTROL MASTER'!$U$2:$U$495&lt;=7)*('CONTROL MASTER'!$W$2:$W$495&gt;=7))*ROW('CONTROL MASTER'!$S$2:$S$495))-(ROW('CONTROL MASTER'!#REF!)-1))))+1))-1)*50+1,50))&amp;"_"&amp;INDEX('CONTROL MASTER'!$P$2:$P$495,(SUMPRODUCT((('CONTROL MASTER'!$S$2:$S$495=3)*('CONTROL MASTER'!$T$2:$T$495&lt;=2)*('CONTROL MASTER'!$V$2:$V$495&gt;=2)*('CONTROL MASTER'!$U$2:$U$495&lt;=7)*('CONTROL MASTER'!$W$2:$W$495&gt;=7))*ROW('CONTROL MASTER'!$S$2:$S$495))-(ROW('CONTROL MASTER'!#REF!)-1))),IF(SUMPRODUCT((('CONTROL MASTER'!$S$2:$S$495=3)*('CONTROL MASTER'!$Z$2:$Z$495&lt;=2)*('CONTROL MASTER'!$AB$2:$AB$495&gt;=2)*('CONTROL MASTER'!$AA$2:$AA$495&lt;=7)*('CONTROL MASTER'!$AC$2:$AC$495&gt;=7))*ROW('CONTROL MASTER'!$S$2:$S$495))&gt;0,INDEX('CONTROL MASTER'!$X$2:$X$495,(SUMPRODUCT((('CONTROL MASTER'!$S$2:$S$495=3)*('CONTROL MASTER'!$Z$2:$Z$495&lt;=2)*('CONTROL MASTER'!$AB$2:$AB$495&gt;=2)*('CONTROL MASTER'!$AA$2:$AA$495&lt;=7)*('CONTROL MASTER'!$AC$2:$AC$495&gt;=7))*ROW('CONTROL MASTER'!$S$2:$S$495))-(ROW('CONTROL MASTER'!#REF!)-1)))&amp;TRIM(MID(SUBSTITUTE(SUBSTITUTE(INDEX('CONTROL MASTER'!$N$2:$N$495,(SUMPRODUCT((('CONTROL MASTER'!$S$2:$S$495=3)*('CONTROL MASTER'!$Z$2:$Z$495&lt;=2)*('CONTROL MASTER'!$AB$2:$AB$495&gt;=2)*('CONTROL MASTER'!$AA$2:$AA$495&lt;=7)*('CONTROL MASTER'!$AC$2:$AC$495&gt;=7))*ROW('CONTROL MASTER'!$S$2:$S$495))-(ROW('CONTROL MASTER'!#REF!)-1))),":",","),",",REPT(" ",50)),(((INDEX('CONTROL MASTER'!$Y$2:$Y$495,(SUMPRODUCT((('CONTROL MASTER'!$S$2:$S$495=3)*('CONTROL MASTER'!$Z$2:$Z$495&lt;=2)*('CONTROL MASTER'!$AB$2:$AB$495&gt;=2)*('CONTROL MASTER'!$AA$2:$AA$495&lt;=7)*('CONTROL MASTER'!$AC$2:$AC$495&gt;=7))*ROW('CONTROL MASTER'!$S$2:$S$495))-(ROW('CONTROL MASTER'!#REF!)-1)))+((2-INDEX('CONTROL MASTER'!$Z$2:$Z$495,(SUMPRODUCT((('CONTROL MASTER'!$S$2:$S$495=3)*('CONTROL MASTER'!$Z$2:$Z$495&lt;=2)*('CONTROL MASTER'!$AB$2:$AB$495&gt;=2)*('CONTROL MASTER'!$AA$2:$AA$495&lt;=7)*('CONTROL MASTER'!$AC$2:$AC$495&gt;=7))*ROW('CONTROL MASTER'!$S$2:$S$495))-(ROW('CONTROL MASTER'!#REF!)-1))))*(INDEX('CONTROL MASTER'!$AC$2:$AC$495,(SUMPRODUCT((('CONTROL MASTER'!$S$2:$S$495=3)*('CONTROL MASTER'!$Z$2:$Z$495&lt;=2)*('CONTROL MASTER'!$AB$2:$AB$495&gt;=2)*('CONTROL MASTER'!$AA$2:$AA$495&lt;=7)*('CONTROL MASTER'!$AC$2:$AC$495&gt;=7))*ROW('CONTROL MASTER'!$S$2:$S$495))-(ROW('CONTROL MASTER'!#REF!)-1)))-INDEX('CONTROL MASTER'!$AA$2:$AA$495,(SUMPRODUCT((('CONTROL MASTER'!$S$2:$S$495=3)*('CONTROL MASTER'!$Z$2:$Z$495&lt;=2)*('CONTROL MASTER'!$AB$2:$AB$495&gt;=2)*('CONTROL MASTER'!$AA$2:$AA$495&lt;=7)*('CONTROL MASTER'!$AC$2:$AC$495&gt;=7))*ROW('CONTROL MASTER'!$S$2:$S$495))-(ROW('CONTROL MASTER'!#REF!)-1)))+1)+(7-INDEX('CONTROL MASTER'!$AA$2:$AA$495,(SUMPRODUCT((('CONTROL MASTER'!$S$2:$S$495=3)*('CONTROL MASTER'!$Z$2:$Z$495&lt;=2)*('CONTROL MASTER'!$AB$2:$AB$495&gt;=2)*('CONTROL MASTER'!$AA$2:$AA$495&lt;=7)*('CONTROL MASTER'!$AC$2:$AC$495&gt;=7))*ROW('CONTROL MASTER'!$S$2:$S$495))-(ROW('CONTROL MASTER'!#REF!)-1))))+1)))-1)*50+1,50))&amp;"_"&amp;INDEX('CONTROL MASTER'!$P$2:$P$495,(SUMPRODUCT((('CONTROL MASTER'!$S$2:$S$495=3)*('CONTROL MASTER'!$Z$2:$Z$495&lt;=2)*('CONTROL MASTER'!$AB$2:$AB$495&gt;=2)*('CONTROL MASTER'!$AA$2:$AA$495&lt;=7)*('CONTROL MASTER'!$AC$2:$AC$495&gt;=7))*ROW('CONTROL MASTER'!$S$2:$S$495))-(ROW('CONTROL MASTER'!#REF!)-1))),"")),"")</f>
        <v/>
      </c>
      <c r="I32" s="10" t="str">
        <f>IFERROR(IF(SUMPRODUCT((('CONTROL MASTER'!$S$2:$S$495=3)*('CONTROL MASTER'!$T$2:$T$495&lt;=2)*('CONTROL MASTER'!$V$2:$V$495&gt;=2)*('CONTROL MASTER'!$U$2:$U$495&lt;=8)*('CONTROL MASTER'!$W$2:$W$495&gt;=8))*ROW('CONTROL MASTER'!$S$2:$S$495))&gt;0,INDEX('CONTROL MASTER'!$X$2:$X$495,(SUMPRODUCT((('CONTROL MASTER'!$S$2:$S$495=3)*('CONTROL MASTER'!$T$2:$T$495&lt;=2)*('CONTROL MASTER'!$V$2:$V$495&gt;=2)*('CONTROL MASTER'!$U$2:$U$495&lt;=8)*('CONTROL MASTER'!$W$2:$W$495&gt;=8))*ROW('CONTROL MASTER'!$S$2:$S$495))-(ROW('CONTROL MASTER'!#REF!)-1)))&amp;TRIM(MID(SUBSTITUTE(SUBSTITUTE(INDEX('CONTROL MASTER'!$N$2:$N$495,(SUMPRODUCT((('CONTROL MASTER'!$S$2:$S$495=3)*('CONTROL MASTER'!$T$2:$T$495&lt;=2)*('CONTROL MASTER'!$V$2:$V$495&gt;=2)*('CONTROL MASTER'!$U$2:$U$495&lt;=8)*('CONTROL MASTER'!$W$2:$W$495&gt;=8))*ROW('CONTROL MASTER'!$S$2:$S$495))-(ROW('CONTROL MASTER'!#REF!)-1))),":",","),",",REPT(" ",50)),((((2-INDEX('CONTROL MASTER'!$T$2:$T$495,(SUMPRODUCT((('CONTROL MASTER'!$S$2:$S$495=3)*('CONTROL MASTER'!$T$2:$T$495&lt;=2)*('CONTROL MASTER'!$V$2:$V$495&gt;=2)*('CONTROL MASTER'!$U$2:$U$495&lt;=8)*('CONTROL MASTER'!$W$2:$W$495&gt;=8))*ROW('CONTROL MASTER'!$S$2:$S$495))-(ROW('CONTROL MASTER'!#REF!)-1))))*(INDEX('CONTROL MASTER'!$W$2:$W$495,(SUMPRODUCT((('CONTROL MASTER'!$S$2:$S$495=3)*('CONTROL MASTER'!$T$2:$T$495&lt;=2)*('CONTROL MASTER'!$V$2:$V$495&gt;=2)*('CONTROL MASTER'!$U$2:$U$495&lt;=8)*('CONTROL MASTER'!$W$2:$W$495&gt;=8))*ROW('CONTROL MASTER'!$S$2:$S$495))-(ROW('CONTROL MASTER'!#REF!)-1)))-INDEX('CONTROL MASTER'!$U$2:$U$495,(SUMPRODUCT((('CONTROL MASTER'!$S$2:$S$495=3)*('CONTROL MASTER'!$T$2:$T$495&lt;=2)*('CONTROL MASTER'!$V$2:$V$495&gt;=2)*('CONTROL MASTER'!$U$2:$U$495&lt;=8)*('CONTROL MASTER'!$W$2:$W$495&gt;=8))*ROW('CONTROL MASTER'!$S$2:$S$495))-(ROW('CONTROL MASTER'!#REF!)-1)))+1)+(8-INDEX('CONTROL MASTER'!$U$2:$U$495,(SUMPRODUCT((('CONTROL MASTER'!$S$2:$S$495=3)*('CONTROL MASTER'!$T$2:$T$495&lt;=2)*('CONTROL MASTER'!$V$2:$V$495&gt;=2)*('CONTROL MASTER'!$U$2:$U$495&lt;=8)*('CONTROL MASTER'!$W$2:$W$495&gt;=8))*ROW('CONTROL MASTER'!$S$2:$S$495))-(ROW('CONTROL MASTER'!#REF!)-1))))+1))-1)*50+1,50))&amp;"_"&amp;INDEX('CONTROL MASTER'!$P$2:$P$495,(SUMPRODUCT((('CONTROL MASTER'!$S$2:$S$495=3)*('CONTROL MASTER'!$T$2:$T$495&lt;=2)*('CONTROL MASTER'!$V$2:$V$495&gt;=2)*('CONTROL MASTER'!$U$2:$U$495&lt;=8)*('CONTROL MASTER'!$W$2:$W$495&gt;=8))*ROW('CONTROL MASTER'!$S$2:$S$495))-(ROW('CONTROL MASTER'!#REF!)-1))),IF(SUMPRODUCT((('CONTROL MASTER'!$S$2:$S$495=3)*('CONTROL MASTER'!$Z$2:$Z$495&lt;=2)*('CONTROL MASTER'!$AB$2:$AB$495&gt;=2)*('CONTROL MASTER'!$AA$2:$AA$495&lt;=8)*('CONTROL MASTER'!$AC$2:$AC$495&gt;=8))*ROW('CONTROL MASTER'!$S$2:$S$495))&gt;0,INDEX('CONTROL MASTER'!$X$2:$X$495,(SUMPRODUCT((('CONTROL MASTER'!$S$2:$S$495=3)*('CONTROL MASTER'!$Z$2:$Z$495&lt;=2)*('CONTROL MASTER'!$AB$2:$AB$495&gt;=2)*('CONTROL MASTER'!$AA$2:$AA$495&lt;=8)*('CONTROL MASTER'!$AC$2:$AC$495&gt;=8))*ROW('CONTROL MASTER'!$S$2:$S$495))-(ROW('CONTROL MASTER'!#REF!)-1)))&amp;TRIM(MID(SUBSTITUTE(SUBSTITUTE(INDEX('CONTROL MASTER'!$N$2:$N$495,(SUMPRODUCT((('CONTROL MASTER'!$S$2:$S$495=3)*('CONTROL MASTER'!$Z$2:$Z$495&lt;=2)*('CONTROL MASTER'!$AB$2:$AB$495&gt;=2)*('CONTROL MASTER'!$AA$2:$AA$495&lt;=8)*('CONTROL MASTER'!$AC$2:$AC$495&gt;=8))*ROW('CONTROL MASTER'!$S$2:$S$495))-(ROW('CONTROL MASTER'!#REF!)-1))),":",","),",",REPT(" ",50)),(((INDEX('CONTROL MASTER'!$Y$2:$Y$495,(SUMPRODUCT((('CONTROL MASTER'!$S$2:$S$495=3)*('CONTROL MASTER'!$Z$2:$Z$495&lt;=2)*('CONTROL MASTER'!$AB$2:$AB$495&gt;=2)*('CONTROL MASTER'!$AA$2:$AA$495&lt;=8)*('CONTROL MASTER'!$AC$2:$AC$495&gt;=8))*ROW('CONTROL MASTER'!$S$2:$S$495))-(ROW('CONTROL MASTER'!#REF!)-1)))+((2-INDEX('CONTROL MASTER'!$Z$2:$Z$495,(SUMPRODUCT((('CONTROL MASTER'!$S$2:$S$495=3)*('CONTROL MASTER'!$Z$2:$Z$495&lt;=2)*('CONTROL MASTER'!$AB$2:$AB$495&gt;=2)*('CONTROL MASTER'!$AA$2:$AA$495&lt;=8)*('CONTROL MASTER'!$AC$2:$AC$495&gt;=8))*ROW('CONTROL MASTER'!$S$2:$S$495))-(ROW('CONTROL MASTER'!#REF!)-1))))*(INDEX('CONTROL MASTER'!$AC$2:$AC$495,(SUMPRODUCT((('CONTROL MASTER'!$S$2:$S$495=3)*('CONTROL MASTER'!$Z$2:$Z$495&lt;=2)*('CONTROL MASTER'!$AB$2:$AB$495&gt;=2)*('CONTROL MASTER'!$AA$2:$AA$495&lt;=8)*('CONTROL MASTER'!$AC$2:$AC$495&gt;=8))*ROW('CONTROL MASTER'!$S$2:$S$495))-(ROW('CONTROL MASTER'!#REF!)-1)))-INDEX('CONTROL MASTER'!$AA$2:$AA$495,(SUMPRODUCT((('CONTROL MASTER'!$S$2:$S$495=3)*('CONTROL MASTER'!$Z$2:$Z$495&lt;=2)*('CONTROL MASTER'!$AB$2:$AB$495&gt;=2)*('CONTROL MASTER'!$AA$2:$AA$495&lt;=8)*('CONTROL MASTER'!$AC$2:$AC$495&gt;=8))*ROW('CONTROL MASTER'!$S$2:$S$495))-(ROW('CONTROL MASTER'!#REF!)-1)))+1)+(8-INDEX('CONTROL MASTER'!$AA$2:$AA$495,(SUMPRODUCT((('CONTROL MASTER'!$S$2:$S$495=3)*('CONTROL MASTER'!$Z$2:$Z$495&lt;=2)*('CONTROL MASTER'!$AB$2:$AB$495&gt;=2)*('CONTROL MASTER'!$AA$2:$AA$495&lt;=8)*('CONTROL MASTER'!$AC$2:$AC$495&gt;=8))*ROW('CONTROL MASTER'!$S$2:$S$495))-(ROW('CONTROL MASTER'!#REF!)-1))))+1)))-1)*50+1,50))&amp;"_"&amp;INDEX('CONTROL MASTER'!$P$2:$P$495,(SUMPRODUCT((('CONTROL MASTER'!$S$2:$S$495=3)*('CONTROL MASTER'!$Z$2:$Z$495&lt;=2)*('CONTROL MASTER'!$AB$2:$AB$495&gt;=2)*('CONTROL MASTER'!$AA$2:$AA$495&lt;=8)*('CONTROL MASTER'!$AC$2:$AC$495&gt;=8))*ROW('CONTROL MASTER'!$S$2:$S$495))-(ROW('CONTROL MASTER'!#REF!)-1))),"")),"")</f>
        <v/>
      </c>
      <c r="J32" s="10" t="str">
        <f>IFERROR(IF(SUMPRODUCT((('CONTROL MASTER'!$S$2:$S$495=3)*('CONTROL MASTER'!$T$2:$T$495&lt;=2)*('CONTROL MASTER'!$V$2:$V$495&gt;=2)*('CONTROL MASTER'!$U$2:$U$495&lt;=9)*('CONTROL MASTER'!$W$2:$W$495&gt;=9))*ROW('CONTROL MASTER'!$S$2:$S$495))&gt;0,INDEX('CONTROL MASTER'!$X$2:$X$495,(SUMPRODUCT((('CONTROL MASTER'!$S$2:$S$495=3)*('CONTROL MASTER'!$T$2:$T$495&lt;=2)*('CONTROL MASTER'!$V$2:$V$495&gt;=2)*('CONTROL MASTER'!$U$2:$U$495&lt;=9)*('CONTROL MASTER'!$W$2:$W$495&gt;=9))*ROW('CONTROL MASTER'!$S$2:$S$495))-(ROW('CONTROL MASTER'!#REF!)-1)))&amp;TRIM(MID(SUBSTITUTE(SUBSTITUTE(INDEX('CONTROL MASTER'!$N$2:$N$495,(SUMPRODUCT((('CONTROL MASTER'!$S$2:$S$495=3)*('CONTROL MASTER'!$T$2:$T$495&lt;=2)*('CONTROL MASTER'!$V$2:$V$495&gt;=2)*('CONTROL MASTER'!$U$2:$U$495&lt;=9)*('CONTROL MASTER'!$W$2:$W$495&gt;=9))*ROW('CONTROL MASTER'!$S$2:$S$495))-(ROW('CONTROL MASTER'!#REF!)-1))),":",","),",",REPT(" ",50)),((((2-INDEX('CONTROL MASTER'!$T$2:$T$495,(SUMPRODUCT((('CONTROL MASTER'!$S$2:$S$495=3)*('CONTROL MASTER'!$T$2:$T$495&lt;=2)*('CONTROL MASTER'!$V$2:$V$495&gt;=2)*('CONTROL MASTER'!$U$2:$U$495&lt;=9)*('CONTROL MASTER'!$W$2:$W$495&gt;=9))*ROW('CONTROL MASTER'!$S$2:$S$495))-(ROW('CONTROL MASTER'!#REF!)-1))))*(INDEX('CONTROL MASTER'!$W$2:$W$495,(SUMPRODUCT((('CONTROL MASTER'!$S$2:$S$495=3)*('CONTROL MASTER'!$T$2:$T$495&lt;=2)*('CONTROL MASTER'!$V$2:$V$495&gt;=2)*('CONTROL MASTER'!$U$2:$U$495&lt;=9)*('CONTROL MASTER'!$W$2:$W$495&gt;=9))*ROW('CONTROL MASTER'!$S$2:$S$495))-(ROW('CONTROL MASTER'!#REF!)-1)))-INDEX('CONTROL MASTER'!$U$2:$U$495,(SUMPRODUCT((('CONTROL MASTER'!$S$2:$S$495=3)*('CONTROL MASTER'!$T$2:$T$495&lt;=2)*('CONTROL MASTER'!$V$2:$V$495&gt;=2)*('CONTROL MASTER'!$U$2:$U$495&lt;=9)*('CONTROL MASTER'!$W$2:$W$495&gt;=9))*ROW('CONTROL MASTER'!$S$2:$S$495))-(ROW('CONTROL MASTER'!#REF!)-1)))+1)+(9-INDEX('CONTROL MASTER'!$U$2:$U$495,(SUMPRODUCT((('CONTROL MASTER'!$S$2:$S$495=3)*('CONTROL MASTER'!$T$2:$T$495&lt;=2)*('CONTROL MASTER'!$V$2:$V$495&gt;=2)*('CONTROL MASTER'!$U$2:$U$495&lt;=9)*('CONTROL MASTER'!$W$2:$W$495&gt;=9))*ROW('CONTROL MASTER'!$S$2:$S$495))-(ROW('CONTROL MASTER'!#REF!)-1))))+1))-1)*50+1,50))&amp;"_"&amp;INDEX('CONTROL MASTER'!$P$2:$P$495,(SUMPRODUCT((('CONTROL MASTER'!$S$2:$S$495=3)*('CONTROL MASTER'!$T$2:$T$495&lt;=2)*('CONTROL MASTER'!$V$2:$V$495&gt;=2)*('CONTROL MASTER'!$U$2:$U$495&lt;=9)*('CONTROL MASTER'!$W$2:$W$495&gt;=9))*ROW('CONTROL MASTER'!$S$2:$S$495))-(ROW('CONTROL MASTER'!#REF!)-1))),IF(SUMPRODUCT((('CONTROL MASTER'!$S$2:$S$495=3)*('CONTROL MASTER'!$Z$2:$Z$495&lt;=2)*('CONTROL MASTER'!$AB$2:$AB$495&gt;=2)*('CONTROL MASTER'!$AA$2:$AA$495&lt;=9)*('CONTROL MASTER'!$AC$2:$AC$495&gt;=9))*ROW('CONTROL MASTER'!$S$2:$S$495))&gt;0,INDEX('CONTROL MASTER'!$X$2:$X$495,(SUMPRODUCT((('CONTROL MASTER'!$S$2:$S$495=3)*('CONTROL MASTER'!$Z$2:$Z$495&lt;=2)*('CONTROL MASTER'!$AB$2:$AB$495&gt;=2)*('CONTROL MASTER'!$AA$2:$AA$495&lt;=9)*('CONTROL MASTER'!$AC$2:$AC$495&gt;=9))*ROW('CONTROL MASTER'!$S$2:$S$495))-(ROW('CONTROL MASTER'!#REF!)-1)))&amp;TRIM(MID(SUBSTITUTE(SUBSTITUTE(INDEX('CONTROL MASTER'!$N$2:$N$495,(SUMPRODUCT((('CONTROL MASTER'!$S$2:$S$495=3)*('CONTROL MASTER'!$Z$2:$Z$495&lt;=2)*('CONTROL MASTER'!$AB$2:$AB$495&gt;=2)*('CONTROL MASTER'!$AA$2:$AA$495&lt;=9)*('CONTROL MASTER'!$AC$2:$AC$495&gt;=9))*ROW('CONTROL MASTER'!$S$2:$S$495))-(ROW('CONTROL MASTER'!#REF!)-1))),":",","),",",REPT(" ",50)),(((INDEX('CONTROL MASTER'!$Y$2:$Y$495,(SUMPRODUCT((('CONTROL MASTER'!$S$2:$S$495=3)*('CONTROL MASTER'!$Z$2:$Z$495&lt;=2)*('CONTROL MASTER'!$AB$2:$AB$495&gt;=2)*('CONTROL MASTER'!$AA$2:$AA$495&lt;=9)*('CONTROL MASTER'!$AC$2:$AC$495&gt;=9))*ROW('CONTROL MASTER'!$S$2:$S$495))-(ROW('CONTROL MASTER'!#REF!)-1)))+((2-INDEX('CONTROL MASTER'!$Z$2:$Z$495,(SUMPRODUCT((('CONTROL MASTER'!$S$2:$S$495=3)*('CONTROL MASTER'!$Z$2:$Z$495&lt;=2)*('CONTROL MASTER'!$AB$2:$AB$495&gt;=2)*('CONTROL MASTER'!$AA$2:$AA$495&lt;=9)*('CONTROL MASTER'!$AC$2:$AC$495&gt;=9))*ROW('CONTROL MASTER'!$S$2:$S$495))-(ROW('CONTROL MASTER'!#REF!)-1))))*(INDEX('CONTROL MASTER'!$AC$2:$AC$495,(SUMPRODUCT((('CONTROL MASTER'!$S$2:$S$495=3)*('CONTROL MASTER'!$Z$2:$Z$495&lt;=2)*('CONTROL MASTER'!$AB$2:$AB$495&gt;=2)*('CONTROL MASTER'!$AA$2:$AA$495&lt;=9)*('CONTROL MASTER'!$AC$2:$AC$495&gt;=9))*ROW('CONTROL MASTER'!$S$2:$S$495))-(ROW('CONTROL MASTER'!#REF!)-1)))-INDEX('CONTROL MASTER'!$AA$2:$AA$495,(SUMPRODUCT((('CONTROL MASTER'!$S$2:$S$495=3)*('CONTROL MASTER'!$Z$2:$Z$495&lt;=2)*('CONTROL MASTER'!$AB$2:$AB$495&gt;=2)*('CONTROL MASTER'!$AA$2:$AA$495&lt;=9)*('CONTROL MASTER'!$AC$2:$AC$495&gt;=9))*ROW('CONTROL MASTER'!$S$2:$S$495))-(ROW('CONTROL MASTER'!#REF!)-1)))+1)+(9-INDEX('CONTROL MASTER'!$AA$2:$AA$495,(SUMPRODUCT((('CONTROL MASTER'!$S$2:$S$495=3)*('CONTROL MASTER'!$Z$2:$Z$495&lt;=2)*('CONTROL MASTER'!$AB$2:$AB$495&gt;=2)*('CONTROL MASTER'!$AA$2:$AA$495&lt;=9)*('CONTROL MASTER'!$AC$2:$AC$495&gt;=9))*ROW('CONTROL MASTER'!$S$2:$S$495))-(ROW('CONTROL MASTER'!#REF!)-1))))+1)))-1)*50+1,50))&amp;"_"&amp;INDEX('CONTROL MASTER'!$P$2:$P$495,(SUMPRODUCT((('CONTROL MASTER'!$S$2:$S$495=3)*('CONTROL MASTER'!$Z$2:$Z$495&lt;=2)*('CONTROL MASTER'!$AB$2:$AB$495&gt;=2)*('CONTROL MASTER'!$AA$2:$AA$495&lt;=9)*('CONTROL MASTER'!$AC$2:$AC$495&gt;=9))*ROW('CONTROL MASTER'!$S$2:$S$495))-(ROW('CONTROL MASTER'!#REF!)-1))),"")),"")</f>
        <v/>
      </c>
      <c r="K32" s="10" t="str">
        <f>IFERROR(IF(SUMPRODUCT((('CONTROL MASTER'!$S$2:$S$495=3)*('CONTROL MASTER'!$T$2:$T$495&lt;=2)*('CONTROL MASTER'!$V$2:$V$495&gt;=2)*('CONTROL MASTER'!$U$2:$U$495&lt;=10)*('CONTROL MASTER'!$W$2:$W$495&gt;=10))*ROW('CONTROL MASTER'!$S$2:$S$495))&gt;0,INDEX('CONTROL MASTER'!$X$2:$X$495,(SUMPRODUCT((('CONTROL MASTER'!$S$2:$S$495=3)*('CONTROL MASTER'!$T$2:$T$495&lt;=2)*('CONTROL MASTER'!$V$2:$V$495&gt;=2)*('CONTROL MASTER'!$U$2:$U$495&lt;=10)*('CONTROL MASTER'!$W$2:$W$495&gt;=10))*ROW('CONTROL MASTER'!$S$2:$S$495))-(ROW('CONTROL MASTER'!#REF!)-1)))&amp;TRIM(MID(SUBSTITUTE(SUBSTITUTE(INDEX('CONTROL MASTER'!$N$2:$N$495,(SUMPRODUCT((('CONTROL MASTER'!$S$2:$S$495=3)*('CONTROL MASTER'!$T$2:$T$495&lt;=2)*('CONTROL MASTER'!$V$2:$V$495&gt;=2)*('CONTROL MASTER'!$U$2:$U$495&lt;=10)*('CONTROL MASTER'!$W$2:$W$495&gt;=10))*ROW('CONTROL MASTER'!$S$2:$S$495))-(ROW('CONTROL MASTER'!#REF!)-1))),":",","),",",REPT(" ",50)),((((2-INDEX('CONTROL MASTER'!$T$2:$T$495,(SUMPRODUCT((('CONTROL MASTER'!$S$2:$S$495=3)*('CONTROL MASTER'!$T$2:$T$495&lt;=2)*('CONTROL MASTER'!$V$2:$V$495&gt;=2)*('CONTROL MASTER'!$U$2:$U$495&lt;=10)*('CONTROL MASTER'!$W$2:$W$495&gt;=10))*ROW('CONTROL MASTER'!$S$2:$S$495))-(ROW('CONTROL MASTER'!#REF!)-1))))*(INDEX('CONTROL MASTER'!$W$2:$W$495,(SUMPRODUCT((('CONTROL MASTER'!$S$2:$S$495=3)*('CONTROL MASTER'!$T$2:$T$495&lt;=2)*('CONTROL MASTER'!$V$2:$V$495&gt;=2)*('CONTROL MASTER'!$U$2:$U$495&lt;=10)*('CONTROL MASTER'!$W$2:$W$495&gt;=10))*ROW('CONTROL MASTER'!$S$2:$S$495))-(ROW('CONTROL MASTER'!#REF!)-1)))-INDEX('CONTROL MASTER'!$U$2:$U$495,(SUMPRODUCT((('CONTROL MASTER'!$S$2:$S$495=3)*('CONTROL MASTER'!$T$2:$T$495&lt;=2)*('CONTROL MASTER'!$V$2:$V$495&gt;=2)*('CONTROL MASTER'!$U$2:$U$495&lt;=10)*('CONTROL MASTER'!$W$2:$W$495&gt;=10))*ROW('CONTROL MASTER'!$S$2:$S$495))-(ROW('CONTROL MASTER'!#REF!)-1)))+1)+(10-INDEX('CONTROL MASTER'!$U$2:$U$495,(SUMPRODUCT((('CONTROL MASTER'!$S$2:$S$495=3)*('CONTROL MASTER'!$T$2:$T$495&lt;=2)*('CONTROL MASTER'!$V$2:$V$495&gt;=2)*('CONTROL MASTER'!$U$2:$U$495&lt;=10)*('CONTROL MASTER'!$W$2:$W$495&gt;=10))*ROW('CONTROL MASTER'!$S$2:$S$495))-(ROW('CONTROL MASTER'!#REF!)-1))))+1))-1)*50+1,50))&amp;"_"&amp;INDEX('CONTROL MASTER'!$P$2:$P$495,(SUMPRODUCT((('CONTROL MASTER'!$S$2:$S$495=3)*('CONTROL MASTER'!$T$2:$T$495&lt;=2)*('CONTROL MASTER'!$V$2:$V$495&gt;=2)*('CONTROL MASTER'!$U$2:$U$495&lt;=10)*('CONTROL MASTER'!$W$2:$W$495&gt;=10))*ROW('CONTROL MASTER'!$S$2:$S$495))-(ROW('CONTROL MASTER'!#REF!)-1))),IF(SUMPRODUCT((('CONTROL MASTER'!$S$2:$S$495=3)*('CONTROL MASTER'!$Z$2:$Z$495&lt;=2)*('CONTROL MASTER'!$AB$2:$AB$495&gt;=2)*('CONTROL MASTER'!$AA$2:$AA$495&lt;=10)*('CONTROL MASTER'!$AC$2:$AC$495&gt;=10))*ROW('CONTROL MASTER'!$S$2:$S$495))&gt;0,INDEX('CONTROL MASTER'!$X$2:$X$495,(SUMPRODUCT((('CONTROL MASTER'!$S$2:$S$495=3)*('CONTROL MASTER'!$Z$2:$Z$495&lt;=2)*('CONTROL MASTER'!$AB$2:$AB$495&gt;=2)*('CONTROL MASTER'!$AA$2:$AA$495&lt;=10)*('CONTROL MASTER'!$AC$2:$AC$495&gt;=10))*ROW('CONTROL MASTER'!$S$2:$S$495))-(ROW('CONTROL MASTER'!#REF!)-1)))&amp;TRIM(MID(SUBSTITUTE(SUBSTITUTE(INDEX('CONTROL MASTER'!$N$2:$N$495,(SUMPRODUCT((('CONTROL MASTER'!$S$2:$S$495=3)*('CONTROL MASTER'!$Z$2:$Z$495&lt;=2)*('CONTROL MASTER'!$AB$2:$AB$495&gt;=2)*('CONTROL MASTER'!$AA$2:$AA$495&lt;=10)*('CONTROL MASTER'!$AC$2:$AC$495&gt;=10))*ROW('CONTROL MASTER'!$S$2:$S$495))-(ROW('CONTROL MASTER'!#REF!)-1))),":",","),",",REPT(" ",50)),(((INDEX('CONTROL MASTER'!$Y$2:$Y$495,(SUMPRODUCT((('CONTROL MASTER'!$S$2:$S$495=3)*('CONTROL MASTER'!$Z$2:$Z$495&lt;=2)*('CONTROL MASTER'!$AB$2:$AB$495&gt;=2)*('CONTROL MASTER'!$AA$2:$AA$495&lt;=10)*('CONTROL MASTER'!$AC$2:$AC$495&gt;=10))*ROW('CONTROL MASTER'!$S$2:$S$495))-(ROW('CONTROL MASTER'!#REF!)-1)))+((2-INDEX('CONTROL MASTER'!$Z$2:$Z$495,(SUMPRODUCT((('CONTROL MASTER'!$S$2:$S$495=3)*('CONTROL MASTER'!$Z$2:$Z$495&lt;=2)*('CONTROL MASTER'!$AB$2:$AB$495&gt;=2)*('CONTROL MASTER'!$AA$2:$AA$495&lt;=10)*('CONTROL MASTER'!$AC$2:$AC$495&gt;=10))*ROW('CONTROL MASTER'!$S$2:$S$495))-(ROW('CONTROL MASTER'!#REF!)-1))))*(INDEX('CONTROL MASTER'!$AC$2:$AC$495,(SUMPRODUCT((('CONTROL MASTER'!$S$2:$S$495=3)*('CONTROL MASTER'!$Z$2:$Z$495&lt;=2)*('CONTROL MASTER'!$AB$2:$AB$495&gt;=2)*('CONTROL MASTER'!$AA$2:$AA$495&lt;=10)*('CONTROL MASTER'!$AC$2:$AC$495&gt;=10))*ROW('CONTROL MASTER'!$S$2:$S$495))-(ROW('CONTROL MASTER'!#REF!)-1)))-INDEX('CONTROL MASTER'!$AA$2:$AA$495,(SUMPRODUCT((('CONTROL MASTER'!$S$2:$S$495=3)*('CONTROL MASTER'!$Z$2:$Z$495&lt;=2)*('CONTROL MASTER'!$AB$2:$AB$495&gt;=2)*('CONTROL MASTER'!$AA$2:$AA$495&lt;=10)*('CONTROL MASTER'!$AC$2:$AC$495&gt;=10))*ROW('CONTROL MASTER'!$S$2:$S$495))-(ROW('CONTROL MASTER'!#REF!)-1)))+1)+(10-INDEX('CONTROL MASTER'!$AA$2:$AA$495,(SUMPRODUCT((('CONTROL MASTER'!$S$2:$S$495=3)*('CONTROL MASTER'!$Z$2:$Z$495&lt;=2)*('CONTROL MASTER'!$AB$2:$AB$495&gt;=2)*('CONTROL MASTER'!$AA$2:$AA$495&lt;=10)*('CONTROL MASTER'!$AC$2:$AC$495&gt;=10))*ROW('CONTROL MASTER'!$S$2:$S$495))-(ROW('CONTROL MASTER'!#REF!)-1))))+1)))-1)*50+1,50))&amp;"_"&amp;INDEX('CONTROL MASTER'!$P$2:$P$495,(SUMPRODUCT((('CONTROL MASTER'!$S$2:$S$495=3)*('CONTROL MASTER'!$Z$2:$Z$495&lt;=2)*('CONTROL MASTER'!$AB$2:$AB$495&gt;=2)*('CONTROL MASTER'!$AA$2:$AA$495&lt;=10)*('CONTROL MASTER'!$AC$2:$AC$495&gt;=10))*ROW('CONTROL MASTER'!$S$2:$S$495))-(ROW('CONTROL MASTER'!#REF!)-1))),"")),"")</f>
        <v/>
      </c>
    </row>
    <row r="33" spans="1:11" ht="15" customHeight="1" x14ac:dyDescent="0.35">
      <c r="A33" s="8" t="s">
        <v>30</v>
      </c>
      <c r="B33" s="10" t="str">
        <f>IFERROR(IF(SUMPRODUCT((('CONTROL MASTER'!$S$2:$S$495=3)*('CONTROL MASTER'!$T$2:$T$495&lt;=3)*('CONTROL MASTER'!$V$2:$V$495&gt;=3)*('CONTROL MASTER'!$U$2:$U$495&lt;=1)*('CONTROL MASTER'!$W$2:$W$495&gt;=1))*ROW('CONTROL MASTER'!$S$2:$S$495))&gt;0,INDEX('CONTROL MASTER'!$X$2:$X$495,(SUMPRODUCT((('CONTROL MASTER'!$S$2:$S$495=3)*('CONTROL MASTER'!$T$2:$T$495&lt;=3)*('CONTROL MASTER'!$V$2:$V$495&gt;=3)*('CONTROL MASTER'!$U$2:$U$495&lt;=1)*('CONTROL MASTER'!$W$2:$W$495&gt;=1))*ROW('CONTROL MASTER'!$S$2:$S$495))-(ROW('CONTROL MASTER'!#REF!)-1)))&amp;TRIM(MID(SUBSTITUTE(SUBSTITUTE(INDEX('CONTROL MASTER'!$N$2:$N$495,(SUMPRODUCT((('CONTROL MASTER'!$S$2:$S$495=3)*('CONTROL MASTER'!$T$2:$T$495&lt;=3)*('CONTROL MASTER'!$V$2:$V$495&gt;=3)*('CONTROL MASTER'!$U$2:$U$495&lt;=1)*('CONTROL MASTER'!$W$2:$W$495&gt;=1))*ROW('CONTROL MASTER'!$S$2:$S$495))-(ROW('CONTROL MASTER'!#REF!)-1))),":",","),",",REPT(" ",50)),((((3-INDEX('CONTROL MASTER'!$T$2:$T$495,(SUMPRODUCT((('CONTROL MASTER'!$S$2:$S$495=3)*('CONTROL MASTER'!$T$2:$T$495&lt;=3)*('CONTROL MASTER'!$V$2:$V$495&gt;=3)*('CONTROL MASTER'!$U$2:$U$495&lt;=1)*('CONTROL MASTER'!$W$2:$W$495&gt;=1))*ROW('CONTROL MASTER'!$S$2:$S$495))-(ROW('CONTROL MASTER'!#REF!)-1))))*(INDEX('CONTROL MASTER'!$W$2:$W$495,(SUMPRODUCT((('CONTROL MASTER'!$S$2:$S$495=3)*('CONTROL MASTER'!$T$2:$T$495&lt;=3)*('CONTROL MASTER'!$V$2:$V$495&gt;=3)*('CONTROL MASTER'!$U$2:$U$495&lt;=1)*('CONTROL MASTER'!$W$2:$W$495&gt;=1))*ROW('CONTROL MASTER'!$S$2:$S$495))-(ROW('CONTROL MASTER'!#REF!)-1)))-INDEX('CONTROL MASTER'!$U$2:$U$495,(SUMPRODUCT((('CONTROL MASTER'!$S$2:$S$495=3)*('CONTROL MASTER'!$T$2:$T$495&lt;=3)*('CONTROL MASTER'!$V$2:$V$495&gt;=3)*('CONTROL MASTER'!$U$2:$U$495&lt;=1)*('CONTROL MASTER'!$W$2:$W$495&gt;=1))*ROW('CONTROL MASTER'!$S$2:$S$495))-(ROW('CONTROL MASTER'!#REF!)-1)))+1)+(1-INDEX('CONTROL MASTER'!$U$2:$U$495,(SUMPRODUCT((('CONTROL MASTER'!$S$2:$S$495=3)*('CONTROL MASTER'!$T$2:$T$495&lt;=3)*('CONTROL MASTER'!$V$2:$V$495&gt;=3)*('CONTROL MASTER'!$U$2:$U$495&lt;=1)*('CONTROL MASTER'!$W$2:$W$495&gt;=1))*ROW('CONTROL MASTER'!$S$2:$S$495))-(ROW('CONTROL MASTER'!#REF!)-1))))+1))-1)*50+1,50))&amp;"_"&amp;INDEX('CONTROL MASTER'!$P$2:$P$495,(SUMPRODUCT((('CONTROL MASTER'!$S$2:$S$495=3)*('CONTROL MASTER'!$T$2:$T$495&lt;=3)*('CONTROL MASTER'!$V$2:$V$495&gt;=3)*('CONTROL MASTER'!$U$2:$U$495&lt;=1)*('CONTROL MASTER'!$W$2:$W$495&gt;=1))*ROW('CONTROL MASTER'!$S$2:$S$495))-(ROW('CONTROL MASTER'!#REF!)-1))),IF(SUMPRODUCT((('CONTROL MASTER'!$S$2:$S$495=3)*('CONTROL MASTER'!$Z$2:$Z$495&lt;=3)*('CONTROL MASTER'!$AB$2:$AB$495&gt;=3)*('CONTROL MASTER'!$AA$2:$AA$495&lt;=1)*('CONTROL MASTER'!$AC$2:$AC$495&gt;=1))*ROW('CONTROL MASTER'!$S$2:$S$495))&gt;0,INDEX('CONTROL MASTER'!$X$2:$X$495,(SUMPRODUCT((('CONTROL MASTER'!$S$2:$S$495=3)*('CONTROL MASTER'!$Z$2:$Z$495&lt;=3)*('CONTROL MASTER'!$AB$2:$AB$495&gt;=3)*('CONTROL MASTER'!$AA$2:$AA$495&lt;=1)*('CONTROL MASTER'!$AC$2:$AC$495&gt;=1))*ROW('CONTROL MASTER'!$S$2:$S$495))-(ROW('CONTROL MASTER'!#REF!)-1)))&amp;TRIM(MID(SUBSTITUTE(SUBSTITUTE(INDEX('CONTROL MASTER'!$N$2:$N$495,(SUMPRODUCT((('CONTROL MASTER'!$S$2:$S$495=3)*('CONTROL MASTER'!$Z$2:$Z$495&lt;=3)*('CONTROL MASTER'!$AB$2:$AB$495&gt;=3)*('CONTROL MASTER'!$AA$2:$AA$495&lt;=1)*('CONTROL MASTER'!$AC$2:$AC$495&gt;=1))*ROW('CONTROL MASTER'!$S$2:$S$495))-(ROW('CONTROL MASTER'!#REF!)-1))),":",","),",",REPT(" ",50)),(((INDEX('CONTROL MASTER'!$Y$2:$Y$495,(SUMPRODUCT((('CONTROL MASTER'!$S$2:$S$495=3)*('CONTROL MASTER'!$Z$2:$Z$495&lt;=3)*('CONTROL MASTER'!$AB$2:$AB$495&gt;=3)*('CONTROL MASTER'!$AA$2:$AA$495&lt;=1)*('CONTROL MASTER'!$AC$2:$AC$495&gt;=1))*ROW('CONTROL MASTER'!$S$2:$S$495))-(ROW('CONTROL MASTER'!#REF!)-1)))+((3-INDEX('CONTROL MASTER'!$Z$2:$Z$495,(SUMPRODUCT((('CONTROL MASTER'!$S$2:$S$495=3)*('CONTROL MASTER'!$Z$2:$Z$495&lt;=3)*('CONTROL MASTER'!$AB$2:$AB$495&gt;=3)*('CONTROL MASTER'!$AA$2:$AA$495&lt;=1)*('CONTROL MASTER'!$AC$2:$AC$495&gt;=1))*ROW('CONTROL MASTER'!$S$2:$S$495))-(ROW('CONTROL MASTER'!#REF!)-1))))*(INDEX('CONTROL MASTER'!$AC$2:$AC$495,(SUMPRODUCT((('CONTROL MASTER'!$S$2:$S$495=3)*('CONTROL MASTER'!$Z$2:$Z$495&lt;=3)*('CONTROL MASTER'!$AB$2:$AB$495&gt;=3)*('CONTROL MASTER'!$AA$2:$AA$495&lt;=1)*('CONTROL MASTER'!$AC$2:$AC$495&gt;=1))*ROW('CONTROL MASTER'!$S$2:$S$495))-(ROW('CONTROL MASTER'!#REF!)-1)))-INDEX('CONTROL MASTER'!$AA$2:$AA$495,(SUMPRODUCT((('CONTROL MASTER'!$S$2:$S$495=3)*('CONTROL MASTER'!$Z$2:$Z$495&lt;=3)*('CONTROL MASTER'!$AB$2:$AB$495&gt;=3)*('CONTROL MASTER'!$AA$2:$AA$495&lt;=1)*('CONTROL MASTER'!$AC$2:$AC$495&gt;=1))*ROW('CONTROL MASTER'!$S$2:$S$495))-(ROW('CONTROL MASTER'!#REF!)-1)))+1)+(1-INDEX('CONTROL MASTER'!$AA$2:$AA$495,(SUMPRODUCT((('CONTROL MASTER'!$S$2:$S$495=3)*('CONTROL MASTER'!$Z$2:$Z$495&lt;=3)*('CONTROL MASTER'!$AB$2:$AB$495&gt;=3)*('CONTROL MASTER'!$AA$2:$AA$495&lt;=1)*('CONTROL MASTER'!$AC$2:$AC$495&gt;=1))*ROW('CONTROL MASTER'!$S$2:$S$495))-(ROW('CONTROL MASTER'!#REF!)-1))))+1)))-1)*50+1,50))&amp;"_"&amp;INDEX('CONTROL MASTER'!$P$2:$P$495,(SUMPRODUCT((('CONTROL MASTER'!$S$2:$S$495=3)*('CONTROL MASTER'!$Z$2:$Z$495&lt;=3)*('CONTROL MASTER'!$AB$2:$AB$495&gt;=3)*('CONTROL MASTER'!$AA$2:$AA$495&lt;=1)*('CONTROL MASTER'!$AC$2:$AC$495&gt;=1))*ROW('CONTROL MASTER'!$S$2:$S$495))-(ROW('CONTROL MASTER'!#REF!)-1))),"")),"")</f>
        <v/>
      </c>
      <c r="C33" s="10" t="str">
        <f>IFERROR(IF(SUMPRODUCT((('CONTROL MASTER'!$S$2:$S$495=3)*('CONTROL MASTER'!$T$2:$T$495&lt;=3)*('CONTROL MASTER'!$V$2:$V$495&gt;=3)*('CONTROL MASTER'!$U$2:$U$495&lt;=2)*('CONTROL MASTER'!$W$2:$W$495&gt;=2))*ROW('CONTROL MASTER'!$S$2:$S$495))&gt;0,INDEX('CONTROL MASTER'!$X$2:$X$495,(SUMPRODUCT((('CONTROL MASTER'!$S$2:$S$495=3)*('CONTROL MASTER'!$T$2:$T$495&lt;=3)*('CONTROL MASTER'!$V$2:$V$495&gt;=3)*('CONTROL MASTER'!$U$2:$U$495&lt;=2)*('CONTROL MASTER'!$W$2:$W$495&gt;=2))*ROW('CONTROL MASTER'!$S$2:$S$495))-(ROW('CONTROL MASTER'!#REF!)-1)))&amp;TRIM(MID(SUBSTITUTE(SUBSTITUTE(INDEX('CONTROL MASTER'!$N$2:$N$495,(SUMPRODUCT((('CONTROL MASTER'!$S$2:$S$495=3)*('CONTROL MASTER'!$T$2:$T$495&lt;=3)*('CONTROL MASTER'!$V$2:$V$495&gt;=3)*('CONTROL MASTER'!$U$2:$U$495&lt;=2)*('CONTROL MASTER'!$W$2:$W$495&gt;=2))*ROW('CONTROL MASTER'!$S$2:$S$495))-(ROW('CONTROL MASTER'!#REF!)-1))),":",","),",",REPT(" ",50)),((((3-INDEX('CONTROL MASTER'!$T$2:$T$495,(SUMPRODUCT((('CONTROL MASTER'!$S$2:$S$495=3)*('CONTROL MASTER'!$T$2:$T$495&lt;=3)*('CONTROL MASTER'!$V$2:$V$495&gt;=3)*('CONTROL MASTER'!$U$2:$U$495&lt;=2)*('CONTROL MASTER'!$W$2:$W$495&gt;=2))*ROW('CONTROL MASTER'!$S$2:$S$495))-(ROW('CONTROL MASTER'!#REF!)-1))))*(INDEX('CONTROL MASTER'!$W$2:$W$495,(SUMPRODUCT((('CONTROL MASTER'!$S$2:$S$495=3)*('CONTROL MASTER'!$T$2:$T$495&lt;=3)*('CONTROL MASTER'!$V$2:$V$495&gt;=3)*('CONTROL MASTER'!$U$2:$U$495&lt;=2)*('CONTROL MASTER'!$W$2:$W$495&gt;=2))*ROW('CONTROL MASTER'!$S$2:$S$495))-(ROW('CONTROL MASTER'!#REF!)-1)))-INDEX('CONTROL MASTER'!$U$2:$U$495,(SUMPRODUCT((('CONTROL MASTER'!$S$2:$S$495=3)*('CONTROL MASTER'!$T$2:$T$495&lt;=3)*('CONTROL MASTER'!$V$2:$V$495&gt;=3)*('CONTROL MASTER'!$U$2:$U$495&lt;=2)*('CONTROL MASTER'!$W$2:$W$495&gt;=2))*ROW('CONTROL MASTER'!$S$2:$S$495))-(ROW('CONTROL MASTER'!#REF!)-1)))+1)+(2-INDEX('CONTROL MASTER'!$U$2:$U$495,(SUMPRODUCT((('CONTROL MASTER'!$S$2:$S$495=3)*('CONTROL MASTER'!$T$2:$T$495&lt;=3)*('CONTROL MASTER'!$V$2:$V$495&gt;=3)*('CONTROL MASTER'!$U$2:$U$495&lt;=2)*('CONTROL MASTER'!$W$2:$W$495&gt;=2))*ROW('CONTROL MASTER'!$S$2:$S$495))-(ROW('CONTROL MASTER'!#REF!)-1))))+1))-1)*50+1,50))&amp;"_"&amp;INDEX('CONTROL MASTER'!$P$2:$P$495,(SUMPRODUCT((('CONTROL MASTER'!$S$2:$S$495=3)*('CONTROL MASTER'!$T$2:$T$495&lt;=3)*('CONTROL MASTER'!$V$2:$V$495&gt;=3)*('CONTROL MASTER'!$U$2:$U$495&lt;=2)*('CONTROL MASTER'!$W$2:$W$495&gt;=2))*ROW('CONTROL MASTER'!$S$2:$S$495))-(ROW('CONTROL MASTER'!#REF!)-1))),IF(SUMPRODUCT((('CONTROL MASTER'!$S$2:$S$495=3)*('CONTROL MASTER'!$Z$2:$Z$495&lt;=3)*('CONTROL MASTER'!$AB$2:$AB$495&gt;=3)*('CONTROL MASTER'!$AA$2:$AA$495&lt;=2)*('CONTROL MASTER'!$AC$2:$AC$495&gt;=2))*ROW('CONTROL MASTER'!$S$2:$S$495))&gt;0,INDEX('CONTROL MASTER'!$X$2:$X$495,(SUMPRODUCT((('CONTROL MASTER'!$S$2:$S$495=3)*('CONTROL MASTER'!$Z$2:$Z$495&lt;=3)*('CONTROL MASTER'!$AB$2:$AB$495&gt;=3)*('CONTROL MASTER'!$AA$2:$AA$495&lt;=2)*('CONTROL MASTER'!$AC$2:$AC$495&gt;=2))*ROW('CONTROL MASTER'!$S$2:$S$495))-(ROW('CONTROL MASTER'!#REF!)-1)))&amp;TRIM(MID(SUBSTITUTE(SUBSTITUTE(INDEX('CONTROL MASTER'!$N$2:$N$495,(SUMPRODUCT((('CONTROL MASTER'!$S$2:$S$495=3)*('CONTROL MASTER'!$Z$2:$Z$495&lt;=3)*('CONTROL MASTER'!$AB$2:$AB$495&gt;=3)*('CONTROL MASTER'!$AA$2:$AA$495&lt;=2)*('CONTROL MASTER'!$AC$2:$AC$495&gt;=2))*ROW('CONTROL MASTER'!$S$2:$S$495))-(ROW('CONTROL MASTER'!#REF!)-1))),":",","),",",REPT(" ",50)),(((INDEX('CONTROL MASTER'!$Y$2:$Y$495,(SUMPRODUCT((('CONTROL MASTER'!$S$2:$S$495=3)*('CONTROL MASTER'!$Z$2:$Z$495&lt;=3)*('CONTROL MASTER'!$AB$2:$AB$495&gt;=3)*('CONTROL MASTER'!$AA$2:$AA$495&lt;=2)*('CONTROL MASTER'!$AC$2:$AC$495&gt;=2))*ROW('CONTROL MASTER'!$S$2:$S$495))-(ROW('CONTROL MASTER'!#REF!)-1)))+((3-INDEX('CONTROL MASTER'!$Z$2:$Z$495,(SUMPRODUCT((('CONTROL MASTER'!$S$2:$S$495=3)*('CONTROL MASTER'!$Z$2:$Z$495&lt;=3)*('CONTROL MASTER'!$AB$2:$AB$495&gt;=3)*('CONTROL MASTER'!$AA$2:$AA$495&lt;=2)*('CONTROL MASTER'!$AC$2:$AC$495&gt;=2))*ROW('CONTROL MASTER'!$S$2:$S$495))-(ROW('CONTROL MASTER'!#REF!)-1))))*(INDEX('CONTROL MASTER'!$AC$2:$AC$495,(SUMPRODUCT((('CONTROL MASTER'!$S$2:$S$495=3)*('CONTROL MASTER'!$Z$2:$Z$495&lt;=3)*('CONTROL MASTER'!$AB$2:$AB$495&gt;=3)*('CONTROL MASTER'!$AA$2:$AA$495&lt;=2)*('CONTROL MASTER'!$AC$2:$AC$495&gt;=2))*ROW('CONTROL MASTER'!$S$2:$S$495))-(ROW('CONTROL MASTER'!#REF!)-1)))-INDEX('CONTROL MASTER'!$AA$2:$AA$495,(SUMPRODUCT((('CONTROL MASTER'!$S$2:$S$495=3)*('CONTROL MASTER'!$Z$2:$Z$495&lt;=3)*('CONTROL MASTER'!$AB$2:$AB$495&gt;=3)*('CONTROL MASTER'!$AA$2:$AA$495&lt;=2)*('CONTROL MASTER'!$AC$2:$AC$495&gt;=2))*ROW('CONTROL MASTER'!$S$2:$S$495))-(ROW('CONTROL MASTER'!#REF!)-1)))+1)+(2-INDEX('CONTROL MASTER'!$AA$2:$AA$495,(SUMPRODUCT((('CONTROL MASTER'!$S$2:$S$495=3)*('CONTROL MASTER'!$Z$2:$Z$495&lt;=3)*('CONTROL MASTER'!$AB$2:$AB$495&gt;=3)*('CONTROL MASTER'!$AA$2:$AA$495&lt;=2)*('CONTROL MASTER'!$AC$2:$AC$495&gt;=2))*ROW('CONTROL MASTER'!$S$2:$S$495))-(ROW('CONTROL MASTER'!#REF!)-1))))+1)))-1)*50+1,50))&amp;"_"&amp;INDEX('CONTROL MASTER'!$P$2:$P$495,(SUMPRODUCT((('CONTROL MASTER'!$S$2:$S$495=3)*('CONTROL MASTER'!$Z$2:$Z$495&lt;=3)*('CONTROL MASTER'!$AB$2:$AB$495&gt;=3)*('CONTROL MASTER'!$AA$2:$AA$495&lt;=2)*('CONTROL MASTER'!$AC$2:$AC$495&gt;=2))*ROW('CONTROL MASTER'!$S$2:$S$495))-(ROW('CONTROL MASTER'!#REF!)-1))),"")),"")</f>
        <v/>
      </c>
      <c r="D33" s="10" t="str">
        <f>IFERROR(IF(SUMPRODUCT((('CONTROL MASTER'!$S$2:$S$495=3)*('CONTROL MASTER'!$T$2:$T$495&lt;=3)*('CONTROL MASTER'!$V$2:$V$495&gt;=3)*('CONTROL MASTER'!$U$2:$U$495&lt;=3)*('CONTROL MASTER'!$W$2:$W$495&gt;=3))*ROW('CONTROL MASTER'!$S$2:$S$495))&gt;0,INDEX('CONTROL MASTER'!$X$2:$X$495,(SUMPRODUCT((('CONTROL MASTER'!$S$2:$S$495=3)*('CONTROL MASTER'!$T$2:$T$495&lt;=3)*('CONTROL MASTER'!$V$2:$V$495&gt;=3)*('CONTROL MASTER'!$U$2:$U$495&lt;=3)*('CONTROL MASTER'!$W$2:$W$495&gt;=3))*ROW('CONTROL MASTER'!$S$2:$S$495))-(ROW('CONTROL MASTER'!#REF!)-1)))&amp;TRIM(MID(SUBSTITUTE(SUBSTITUTE(INDEX('CONTROL MASTER'!$N$2:$N$495,(SUMPRODUCT((('CONTROL MASTER'!$S$2:$S$495=3)*('CONTROL MASTER'!$T$2:$T$495&lt;=3)*('CONTROL MASTER'!$V$2:$V$495&gt;=3)*('CONTROL MASTER'!$U$2:$U$495&lt;=3)*('CONTROL MASTER'!$W$2:$W$495&gt;=3))*ROW('CONTROL MASTER'!$S$2:$S$495))-(ROW('CONTROL MASTER'!#REF!)-1))),":",","),",",REPT(" ",50)),((((3-INDEX('CONTROL MASTER'!$T$2:$T$495,(SUMPRODUCT((('CONTROL MASTER'!$S$2:$S$495=3)*('CONTROL MASTER'!$T$2:$T$495&lt;=3)*('CONTROL MASTER'!$V$2:$V$495&gt;=3)*('CONTROL MASTER'!$U$2:$U$495&lt;=3)*('CONTROL MASTER'!$W$2:$W$495&gt;=3))*ROW('CONTROL MASTER'!$S$2:$S$495))-(ROW('CONTROL MASTER'!#REF!)-1))))*(INDEX('CONTROL MASTER'!$W$2:$W$495,(SUMPRODUCT((('CONTROL MASTER'!$S$2:$S$495=3)*('CONTROL MASTER'!$T$2:$T$495&lt;=3)*('CONTROL MASTER'!$V$2:$V$495&gt;=3)*('CONTROL MASTER'!$U$2:$U$495&lt;=3)*('CONTROL MASTER'!$W$2:$W$495&gt;=3))*ROW('CONTROL MASTER'!$S$2:$S$495))-(ROW('CONTROL MASTER'!#REF!)-1)))-INDEX('CONTROL MASTER'!$U$2:$U$495,(SUMPRODUCT((('CONTROL MASTER'!$S$2:$S$495=3)*('CONTROL MASTER'!$T$2:$T$495&lt;=3)*('CONTROL MASTER'!$V$2:$V$495&gt;=3)*('CONTROL MASTER'!$U$2:$U$495&lt;=3)*('CONTROL MASTER'!$W$2:$W$495&gt;=3))*ROW('CONTROL MASTER'!$S$2:$S$495))-(ROW('CONTROL MASTER'!#REF!)-1)))+1)+(3-INDEX('CONTROL MASTER'!$U$2:$U$495,(SUMPRODUCT((('CONTROL MASTER'!$S$2:$S$495=3)*('CONTROL MASTER'!$T$2:$T$495&lt;=3)*('CONTROL MASTER'!$V$2:$V$495&gt;=3)*('CONTROL MASTER'!$U$2:$U$495&lt;=3)*('CONTROL MASTER'!$W$2:$W$495&gt;=3))*ROW('CONTROL MASTER'!$S$2:$S$495))-(ROW('CONTROL MASTER'!#REF!)-1))))+1))-1)*50+1,50))&amp;"_"&amp;INDEX('CONTROL MASTER'!$P$2:$P$495,(SUMPRODUCT((('CONTROL MASTER'!$S$2:$S$495=3)*('CONTROL MASTER'!$T$2:$T$495&lt;=3)*('CONTROL MASTER'!$V$2:$V$495&gt;=3)*('CONTROL MASTER'!$U$2:$U$495&lt;=3)*('CONTROL MASTER'!$W$2:$W$495&gt;=3))*ROW('CONTROL MASTER'!$S$2:$S$495))-(ROW('CONTROL MASTER'!#REF!)-1))),IF(SUMPRODUCT((('CONTROL MASTER'!$S$2:$S$495=3)*('CONTROL MASTER'!$Z$2:$Z$495&lt;=3)*('CONTROL MASTER'!$AB$2:$AB$495&gt;=3)*('CONTROL MASTER'!$AA$2:$AA$495&lt;=3)*('CONTROL MASTER'!$AC$2:$AC$495&gt;=3))*ROW('CONTROL MASTER'!$S$2:$S$495))&gt;0,INDEX('CONTROL MASTER'!$X$2:$X$495,(SUMPRODUCT((('CONTROL MASTER'!$S$2:$S$495=3)*('CONTROL MASTER'!$Z$2:$Z$495&lt;=3)*('CONTROL MASTER'!$AB$2:$AB$495&gt;=3)*('CONTROL MASTER'!$AA$2:$AA$495&lt;=3)*('CONTROL MASTER'!$AC$2:$AC$495&gt;=3))*ROW('CONTROL MASTER'!$S$2:$S$495))-(ROW('CONTROL MASTER'!#REF!)-1)))&amp;TRIM(MID(SUBSTITUTE(SUBSTITUTE(INDEX('CONTROL MASTER'!$N$2:$N$495,(SUMPRODUCT((('CONTROL MASTER'!$S$2:$S$495=3)*('CONTROL MASTER'!$Z$2:$Z$495&lt;=3)*('CONTROL MASTER'!$AB$2:$AB$495&gt;=3)*('CONTROL MASTER'!$AA$2:$AA$495&lt;=3)*('CONTROL MASTER'!$AC$2:$AC$495&gt;=3))*ROW('CONTROL MASTER'!$S$2:$S$495))-(ROW('CONTROL MASTER'!#REF!)-1))),":",","),",",REPT(" ",50)),(((INDEX('CONTROL MASTER'!$Y$2:$Y$495,(SUMPRODUCT((('CONTROL MASTER'!$S$2:$S$495=3)*('CONTROL MASTER'!$Z$2:$Z$495&lt;=3)*('CONTROL MASTER'!$AB$2:$AB$495&gt;=3)*('CONTROL MASTER'!$AA$2:$AA$495&lt;=3)*('CONTROL MASTER'!$AC$2:$AC$495&gt;=3))*ROW('CONTROL MASTER'!$S$2:$S$495))-(ROW('CONTROL MASTER'!#REF!)-1)))+((3-INDEX('CONTROL MASTER'!$Z$2:$Z$495,(SUMPRODUCT((('CONTROL MASTER'!$S$2:$S$495=3)*('CONTROL MASTER'!$Z$2:$Z$495&lt;=3)*('CONTROL MASTER'!$AB$2:$AB$495&gt;=3)*('CONTROL MASTER'!$AA$2:$AA$495&lt;=3)*('CONTROL MASTER'!$AC$2:$AC$495&gt;=3))*ROW('CONTROL MASTER'!$S$2:$S$495))-(ROW('CONTROL MASTER'!#REF!)-1))))*(INDEX('CONTROL MASTER'!$AC$2:$AC$495,(SUMPRODUCT((('CONTROL MASTER'!$S$2:$S$495=3)*('CONTROL MASTER'!$Z$2:$Z$495&lt;=3)*('CONTROL MASTER'!$AB$2:$AB$495&gt;=3)*('CONTROL MASTER'!$AA$2:$AA$495&lt;=3)*('CONTROL MASTER'!$AC$2:$AC$495&gt;=3))*ROW('CONTROL MASTER'!$S$2:$S$495))-(ROW('CONTROL MASTER'!#REF!)-1)))-INDEX('CONTROL MASTER'!$AA$2:$AA$495,(SUMPRODUCT((('CONTROL MASTER'!$S$2:$S$495=3)*('CONTROL MASTER'!$Z$2:$Z$495&lt;=3)*('CONTROL MASTER'!$AB$2:$AB$495&gt;=3)*('CONTROL MASTER'!$AA$2:$AA$495&lt;=3)*('CONTROL MASTER'!$AC$2:$AC$495&gt;=3))*ROW('CONTROL MASTER'!$S$2:$S$495))-(ROW('CONTROL MASTER'!#REF!)-1)))+1)+(3-INDEX('CONTROL MASTER'!$AA$2:$AA$495,(SUMPRODUCT((('CONTROL MASTER'!$S$2:$S$495=3)*('CONTROL MASTER'!$Z$2:$Z$495&lt;=3)*('CONTROL MASTER'!$AB$2:$AB$495&gt;=3)*('CONTROL MASTER'!$AA$2:$AA$495&lt;=3)*('CONTROL MASTER'!$AC$2:$AC$495&gt;=3))*ROW('CONTROL MASTER'!$S$2:$S$495))-(ROW('CONTROL MASTER'!#REF!)-1))))+1)))-1)*50+1,50))&amp;"_"&amp;INDEX('CONTROL MASTER'!$P$2:$P$495,(SUMPRODUCT((('CONTROL MASTER'!$S$2:$S$495=3)*('CONTROL MASTER'!$Z$2:$Z$495&lt;=3)*('CONTROL MASTER'!$AB$2:$AB$495&gt;=3)*('CONTROL MASTER'!$AA$2:$AA$495&lt;=3)*('CONTROL MASTER'!$AC$2:$AC$495&gt;=3))*ROW('CONTROL MASTER'!$S$2:$S$495))-(ROW('CONTROL MASTER'!#REF!)-1))),"")),"")</f>
        <v/>
      </c>
      <c r="E33" s="10" t="str">
        <f>IFERROR(IF(SUMPRODUCT((('CONTROL MASTER'!$S$2:$S$495=3)*('CONTROL MASTER'!$T$2:$T$495&lt;=3)*('CONTROL MASTER'!$V$2:$V$495&gt;=3)*('CONTROL MASTER'!$U$2:$U$495&lt;=4)*('CONTROL MASTER'!$W$2:$W$495&gt;=4))*ROW('CONTROL MASTER'!$S$2:$S$495))&gt;0,INDEX('CONTROL MASTER'!$X$2:$X$495,(SUMPRODUCT((('CONTROL MASTER'!$S$2:$S$495=3)*('CONTROL MASTER'!$T$2:$T$495&lt;=3)*('CONTROL MASTER'!$V$2:$V$495&gt;=3)*('CONTROL MASTER'!$U$2:$U$495&lt;=4)*('CONTROL MASTER'!$W$2:$W$495&gt;=4))*ROW('CONTROL MASTER'!$S$2:$S$495))-(ROW('CONTROL MASTER'!#REF!)-1)))&amp;TRIM(MID(SUBSTITUTE(SUBSTITUTE(INDEX('CONTROL MASTER'!$N$2:$N$495,(SUMPRODUCT((('CONTROL MASTER'!$S$2:$S$495=3)*('CONTROL MASTER'!$T$2:$T$495&lt;=3)*('CONTROL MASTER'!$V$2:$V$495&gt;=3)*('CONTROL MASTER'!$U$2:$U$495&lt;=4)*('CONTROL MASTER'!$W$2:$W$495&gt;=4))*ROW('CONTROL MASTER'!$S$2:$S$495))-(ROW('CONTROL MASTER'!#REF!)-1))),":",","),",",REPT(" ",50)),((((3-INDEX('CONTROL MASTER'!$T$2:$T$495,(SUMPRODUCT((('CONTROL MASTER'!$S$2:$S$495=3)*('CONTROL MASTER'!$T$2:$T$495&lt;=3)*('CONTROL MASTER'!$V$2:$V$495&gt;=3)*('CONTROL MASTER'!$U$2:$U$495&lt;=4)*('CONTROL MASTER'!$W$2:$W$495&gt;=4))*ROW('CONTROL MASTER'!$S$2:$S$495))-(ROW('CONTROL MASTER'!#REF!)-1))))*(INDEX('CONTROL MASTER'!$W$2:$W$495,(SUMPRODUCT((('CONTROL MASTER'!$S$2:$S$495=3)*('CONTROL MASTER'!$T$2:$T$495&lt;=3)*('CONTROL MASTER'!$V$2:$V$495&gt;=3)*('CONTROL MASTER'!$U$2:$U$495&lt;=4)*('CONTROL MASTER'!$W$2:$W$495&gt;=4))*ROW('CONTROL MASTER'!$S$2:$S$495))-(ROW('CONTROL MASTER'!#REF!)-1)))-INDEX('CONTROL MASTER'!$U$2:$U$495,(SUMPRODUCT((('CONTROL MASTER'!$S$2:$S$495=3)*('CONTROL MASTER'!$T$2:$T$495&lt;=3)*('CONTROL MASTER'!$V$2:$V$495&gt;=3)*('CONTROL MASTER'!$U$2:$U$495&lt;=4)*('CONTROL MASTER'!$W$2:$W$495&gt;=4))*ROW('CONTROL MASTER'!$S$2:$S$495))-(ROW('CONTROL MASTER'!#REF!)-1)))+1)+(4-INDEX('CONTROL MASTER'!$U$2:$U$495,(SUMPRODUCT((('CONTROL MASTER'!$S$2:$S$495=3)*('CONTROL MASTER'!$T$2:$T$495&lt;=3)*('CONTROL MASTER'!$V$2:$V$495&gt;=3)*('CONTROL MASTER'!$U$2:$U$495&lt;=4)*('CONTROL MASTER'!$W$2:$W$495&gt;=4))*ROW('CONTROL MASTER'!$S$2:$S$495))-(ROW('CONTROL MASTER'!#REF!)-1))))+1))-1)*50+1,50))&amp;"_"&amp;INDEX('CONTROL MASTER'!$P$2:$P$495,(SUMPRODUCT((('CONTROL MASTER'!$S$2:$S$495=3)*('CONTROL MASTER'!$T$2:$T$495&lt;=3)*('CONTROL MASTER'!$V$2:$V$495&gt;=3)*('CONTROL MASTER'!$U$2:$U$495&lt;=4)*('CONTROL MASTER'!$W$2:$W$495&gt;=4))*ROW('CONTROL MASTER'!$S$2:$S$495))-(ROW('CONTROL MASTER'!#REF!)-1))),IF(SUMPRODUCT((('CONTROL MASTER'!$S$2:$S$495=3)*('CONTROL MASTER'!$Z$2:$Z$495&lt;=3)*('CONTROL MASTER'!$AB$2:$AB$495&gt;=3)*('CONTROL MASTER'!$AA$2:$AA$495&lt;=4)*('CONTROL MASTER'!$AC$2:$AC$495&gt;=4))*ROW('CONTROL MASTER'!$S$2:$S$495))&gt;0,INDEX('CONTROL MASTER'!$X$2:$X$495,(SUMPRODUCT((('CONTROL MASTER'!$S$2:$S$495=3)*('CONTROL MASTER'!$Z$2:$Z$495&lt;=3)*('CONTROL MASTER'!$AB$2:$AB$495&gt;=3)*('CONTROL MASTER'!$AA$2:$AA$495&lt;=4)*('CONTROL MASTER'!$AC$2:$AC$495&gt;=4))*ROW('CONTROL MASTER'!$S$2:$S$495))-(ROW('CONTROL MASTER'!#REF!)-1)))&amp;TRIM(MID(SUBSTITUTE(SUBSTITUTE(INDEX('CONTROL MASTER'!$N$2:$N$495,(SUMPRODUCT((('CONTROL MASTER'!$S$2:$S$495=3)*('CONTROL MASTER'!$Z$2:$Z$495&lt;=3)*('CONTROL MASTER'!$AB$2:$AB$495&gt;=3)*('CONTROL MASTER'!$AA$2:$AA$495&lt;=4)*('CONTROL MASTER'!$AC$2:$AC$495&gt;=4))*ROW('CONTROL MASTER'!$S$2:$S$495))-(ROW('CONTROL MASTER'!#REF!)-1))),":",","),",",REPT(" ",50)),(((INDEX('CONTROL MASTER'!$Y$2:$Y$495,(SUMPRODUCT((('CONTROL MASTER'!$S$2:$S$495=3)*('CONTROL MASTER'!$Z$2:$Z$495&lt;=3)*('CONTROL MASTER'!$AB$2:$AB$495&gt;=3)*('CONTROL MASTER'!$AA$2:$AA$495&lt;=4)*('CONTROL MASTER'!$AC$2:$AC$495&gt;=4))*ROW('CONTROL MASTER'!$S$2:$S$495))-(ROW('CONTROL MASTER'!#REF!)-1)))+((3-INDEX('CONTROL MASTER'!$Z$2:$Z$495,(SUMPRODUCT((('CONTROL MASTER'!$S$2:$S$495=3)*('CONTROL MASTER'!$Z$2:$Z$495&lt;=3)*('CONTROL MASTER'!$AB$2:$AB$495&gt;=3)*('CONTROL MASTER'!$AA$2:$AA$495&lt;=4)*('CONTROL MASTER'!$AC$2:$AC$495&gt;=4))*ROW('CONTROL MASTER'!$S$2:$S$495))-(ROW('CONTROL MASTER'!#REF!)-1))))*(INDEX('CONTROL MASTER'!$AC$2:$AC$495,(SUMPRODUCT((('CONTROL MASTER'!$S$2:$S$495=3)*('CONTROL MASTER'!$Z$2:$Z$495&lt;=3)*('CONTROL MASTER'!$AB$2:$AB$495&gt;=3)*('CONTROL MASTER'!$AA$2:$AA$495&lt;=4)*('CONTROL MASTER'!$AC$2:$AC$495&gt;=4))*ROW('CONTROL MASTER'!$S$2:$S$495))-(ROW('CONTROL MASTER'!#REF!)-1)))-INDEX('CONTROL MASTER'!$AA$2:$AA$495,(SUMPRODUCT((('CONTROL MASTER'!$S$2:$S$495=3)*('CONTROL MASTER'!$Z$2:$Z$495&lt;=3)*('CONTROL MASTER'!$AB$2:$AB$495&gt;=3)*('CONTROL MASTER'!$AA$2:$AA$495&lt;=4)*('CONTROL MASTER'!$AC$2:$AC$495&gt;=4))*ROW('CONTROL MASTER'!$S$2:$S$495))-(ROW('CONTROL MASTER'!#REF!)-1)))+1)+(4-INDEX('CONTROL MASTER'!$AA$2:$AA$495,(SUMPRODUCT((('CONTROL MASTER'!$S$2:$S$495=3)*('CONTROL MASTER'!$Z$2:$Z$495&lt;=3)*('CONTROL MASTER'!$AB$2:$AB$495&gt;=3)*('CONTROL MASTER'!$AA$2:$AA$495&lt;=4)*('CONTROL MASTER'!$AC$2:$AC$495&gt;=4))*ROW('CONTROL MASTER'!$S$2:$S$495))-(ROW('CONTROL MASTER'!#REF!)-1))))+1)))-1)*50+1,50))&amp;"_"&amp;INDEX('CONTROL MASTER'!$P$2:$P$495,(SUMPRODUCT((('CONTROL MASTER'!$S$2:$S$495=3)*('CONTROL MASTER'!$Z$2:$Z$495&lt;=3)*('CONTROL MASTER'!$AB$2:$AB$495&gt;=3)*('CONTROL MASTER'!$AA$2:$AA$495&lt;=4)*('CONTROL MASTER'!$AC$2:$AC$495&gt;=4))*ROW('CONTROL MASTER'!$S$2:$S$495))-(ROW('CONTROL MASTER'!#REF!)-1))),"")),"")</f>
        <v/>
      </c>
      <c r="F33" s="10" t="str">
        <f>IFERROR(IF(SUMPRODUCT((('CONTROL MASTER'!$S$2:$S$495=3)*('CONTROL MASTER'!$T$2:$T$495&lt;=3)*('CONTROL MASTER'!$V$2:$V$495&gt;=3)*('CONTROL MASTER'!$U$2:$U$495&lt;=5)*('CONTROL MASTER'!$W$2:$W$495&gt;=5))*ROW('CONTROL MASTER'!$S$2:$S$495))&gt;0,INDEX('CONTROL MASTER'!$X$2:$X$495,(SUMPRODUCT((('CONTROL MASTER'!$S$2:$S$495=3)*('CONTROL MASTER'!$T$2:$T$495&lt;=3)*('CONTROL MASTER'!$V$2:$V$495&gt;=3)*('CONTROL MASTER'!$U$2:$U$495&lt;=5)*('CONTROL MASTER'!$W$2:$W$495&gt;=5))*ROW('CONTROL MASTER'!$S$2:$S$495))-(ROW('CONTROL MASTER'!#REF!)-1)))&amp;TRIM(MID(SUBSTITUTE(SUBSTITUTE(INDEX('CONTROL MASTER'!$N$2:$N$495,(SUMPRODUCT((('CONTROL MASTER'!$S$2:$S$495=3)*('CONTROL MASTER'!$T$2:$T$495&lt;=3)*('CONTROL MASTER'!$V$2:$V$495&gt;=3)*('CONTROL MASTER'!$U$2:$U$495&lt;=5)*('CONTROL MASTER'!$W$2:$W$495&gt;=5))*ROW('CONTROL MASTER'!$S$2:$S$495))-(ROW('CONTROL MASTER'!#REF!)-1))),":",","),",",REPT(" ",50)),((((3-INDEX('CONTROL MASTER'!$T$2:$T$495,(SUMPRODUCT((('CONTROL MASTER'!$S$2:$S$495=3)*('CONTROL MASTER'!$T$2:$T$495&lt;=3)*('CONTROL MASTER'!$V$2:$V$495&gt;=3)*('CONTROL MASTER'!$U$2:$U$495&lt;=5)*('CONTROL MASTER'!$W$2:$W$495&gt;=5))*ROW('CONTROL MASTER'!$S$2:$S$495))-(ROW('CONTROL MASTER'!#REF!)-1))))*(INDEX('CONTROL MASTER'!$W$2:$W$495,(SUMPRODUCT((('CONTROL MASTER'!$S$2:$S$495=3)*('CONTROL MASTER'!$T$2:$T$495&lt;=3)*('CONTROL MASTER'!$V$2:$V$495&gt;=3)*('CONTROL MASTER'!$U$2:$U$495&lt;=5)*('CONTROL MASTER'!$W$2:$W$495&gt;=5))*ROW('CONTROL MASTER'!$S$2:$S$495))-(ROW('CONTROL MASTER'!#REF!)-1)))-INDEX('CONTROL MASTER'!$U$2:$U$495,(SUMPRODUCT((('CONTROL MASTER'!$S$2:$S$495=3)*('CONTROL MASTER'!$T$2:$T$495&lt;=3)*('CONTROL MASTER'!$V$2:$V$495&gt;=3)*('CONTROL MASTER'!$U$2:$U$495&lt;=5)*('CONTROL MASTER'!$W$2:$W$495&gt;=5))*ROW('CONTROL MASTER'!$S$2:$S$495))-(ROW('CONTROL MASTER'!#REF!)-1)))+1)+(5-INDEX('CONTROL MASTER'!$U$2:$U$495,(SUMPRODUCT((('CONTROL MASTER'!$S$2:$S$495=3)*('CONTROL MASTER'!$T$2:$T$495&lt;=3)*('CONTROL MASTER'!$V$2:$V$495&gt;=3)*('CONTROL MASTER'!$U$2:$U$495&lt;=5)*('CONTROL MASTER'!$W$2:$W$495&gt;=5))*ROW('CONTROL MASTER'!$S$2:$S$495))-(ROW('CONTROL MASTER'!#REF!)-1))))+1))-1)*50+1,50))&amp;"_"&amp;INDEX('CONTROL MASTER'!$P$2:$P$495,(SUMPRODUCT((('CONTROL MASTER'!$S$2:$S$495=3)*('CONTROL MASTER'!$T$2:$T$495&lt;=3)*('CONTROL MASTER'!$V$2:$V$495&gt;=3)*('CONTROL MASTER'!$U$2:$U$495&lt;=5)*('CONTROL MASTER'!$W$2:$W$495&gt;=5))*ROW('CONTROL MASTER'!$S$2:$S$495))-(ROW('CONTROL MASTER'!#REF!)-1))),IF(SUMPRODUCT((('CONTROL MASTER'!$S$2:$S$495=3)*('CONTROL MASTER'!$Z$2:$Z$495&lt;=3)*('CONTROL MASTER'!$AB$2:$AB$495&gt;=3)*('CONTROL MASTER'!$AA$2:$AA$495&lt;=5)*('CONTROL MASTER'!$AC$2:$AC$495&gt;=5))*ROW('CONTROL MASTER'!$S$2:$S$495))&gt;0,INDEX('CONTROL MASTER'!$X$2:$X$495,(SUMPRODUCT((('CONTROL MASTER'!$S$2:$S$495=3)*('CONTROL MASTER'!$Z$2:$Z$495&lt;=3)*('CONTROL MASTER'!$AB$2:$AB$495&gt;=3)*('CONTROL MASTER'!$AA$2:$AA$495&lt;=5)*('CONTROL MASTER'!$AC$2:$AC$495&gt;=5))*ROW('CONTROL MASTER'!$S$2:$S$495))-(ROW('CONTROL MASTER'!#REF!)-1)))&amp;TRIM(MID(SUBSTITUTE(SUBSTITUTE(INDEX('CONTROL MASTER'!$N$2:$N$495,(SUMPRODUCT((('CONTROL MASTER'!$S$2:$S$495=3)*('CONTROL MASTER'!$Z$2:$Z$495&lt;=3)*('CONTROL MASTER'!$AB$2:$AB$495&gt;=3)*('CONTROL MASTER'!$AA$2:$AA$495&lt;=5)*('CONTROL MASTER'!$AC$2:$AC$495&gt;=5))*ROW('CONTROL MASTER'!$S$2:$S$495))-(ROW('CONTROL MASTER'!#REF!)-1))),":",","),",",REPT(" ",50)),(((INDEX('CONTROL MASTER'!$Y$2:$Y$495,(SUMPRODUCT((('CONTROL MASTER'!$S$2:$S$495=3)*('CONTROL MASTER'!$Z$2:$Z$495&lt;=3)*('CONTROL MASTER'!$AB$2:$AB$495&gt;=3)*('CONTROL MASTER'!$AA$2:$AA$495&lt;=5)*('CONTROL MASTER'!$AC$2:$AC$495&gt;=5))*ROW('CONTROL MASTER'!$S$2:$S$495))-(ROW('CONTROL MASTER'!#REF!)-1)))+((3-INDEX('CONTROL MASTER'!$Z$2:$Z$495,(SUMPRODUCT((('CONTROL MASTER'!$S$2:$S$495=3)*('CONTROL MASTER'!$Z$2:$Z$495&lt;=3)*('CONTROL MASTER'!$AB$2:$AB$495&gt;=3)*('CONTROL MASTER'!$AA$2:$AA$495&lt;=5)*('CONTROL MASTER'!$AC$2:$AC$495&gt;=5))*ROW('CONTROL MASTER'!$S$2:$S$495))-(ROW('CONTROL MASTER'!#REF!)-1))))*(INDEX('CONTROL MASTER'!$AC$2:$AC$495,(SUMPRODUCT((('CONTROL MASTER'!$S$2:$S$495=3)*('CONTROL MASTER'!$Z$2:$Z$495&lt;=3)*('CONTROL MASTER'!$AB$2:$AB$495&gt;=3)*('CONTROL MASTER'!$AA$2:$AA$495&lt;=5)*('CONTROL MASTER'!$AC$2:$AC$495&gt;=5))*ROW('CONTROL MASTER'!$S$2:$S$495))-(ROW('CONTROL MASTER'!#REF!)-1)))-INDEX('CONTROL MASTER'!$AA$2:$AA$495,(SUMPRODUCT((('CONTROL MASTER'!$S$2:$S$495=3)*('CONTROL MASTER'!$Z$2:$Z$495&lt;=3)*('CONTROL MASTER'!$AB$2:$AB$495&gt;=3)*('CONTROL MASTER'!$AA$2:$AA$495&lt;=5)*('CONTROL MASTER'!$AC$2:$AC$495&gt;=5))*ROW('CONTROL MASTER'!$S$2:$S$495))-(ROW('CONTROL MASTER'!#REF!)-1)))+1)+(5-INDEX('CONTROL MASTER'!$AA$2:$AA$495,(SUMPRODUCT((('CONTROL MASTER'!$S$2:$S$495=3)*('CONTROL MASTER'!$Z$2:$Z$495&lt;=3)*('CONTROL MASTER'!$AB$2:$AB$495&gt;=3)*('CONTROL MASTER'!$AA$2:$AA$495&lt;=5)*('CONTROL MASTER'!$AC$2:$AC$495&gt;=5))*ROW('CONTROL MASTER'!$S$2:$S$495))-(ROW('CONTROL MASTER'!#REF!)-1))))+1)))-1)*50+1,50))&amp;"_"&amp;INDEX('CONTROL MASTER'!$P$2:$P$495,(SUMPRODUCT((('CONTROL MASTER'!$S$2:$S$495=3)*('CONTROL MASTER'!$Z$2:$Z$495&lt;=3)*('CONTROL MASTER'!$AB$2:$AB$495&gt;=3)*('CONTROL MASTER'!$AA$2:$AA$495&lt;=5)*('CONTROL MASTER'!$AC$2:$AC$495&gt;=5))*ROW('CONTROL MASTER'!$S$2:$S$495))-(ROW('CONTROL MASTER'!#REF!)-1))),"")),"")</f>
        <v/>
      </c>
      <c r="G33" s="10" t="str">
        <f>IFERROR(IF(SUMPRODUCT((('CONTROL MASTER'!$S$2:$S$495=3)*('CONTROL MASTER'!$T$2:$T$495&lt;=3)*('CONTROL MASTER'!$V$2:$V$495&gt;=3)*('CONTROL MASTER'!$U$2:$U$495&lt;=6)*('CONTROL MASTER'!$W$2:$W$495&gt;=6))*ROW('CONTROL MASTER'!$S$2:$S$495))&gt;0,INDEX('CONTROL MASTER'!$X$2:$X$495,(SUMPRODUCT((('CONTROL MASTER'!$S$2:$S$495=3)*('CONTROL MASTER'!$T$2:$T$495&lt;=3)*('CONTROL MASTER'!$V$2:$V$495&gt;=3)*('CONTROL MASTER'!$U$2:$U$495&lt;=6)*('CONTROL MASTER'!$W$2:$W$495&gt;=6))*ROW('CONTROL MASTER'!$S$2:$S$495))-(ROW('CONTROL MASTER'!#REF!)-1)))&amp;TRIM(MID(SUBSTITUTE(SUBSTITUTE(INDEX('CONTROL MASTER'!$N$2:$N$495,(SUMPRODUCT((('CONTROL MASTER'!$S$2:$S$495=3)*('CONTROL MASTER'!$T$2:$T$495&lt;=3)*('CONTROL MASTER'!$V$2:$V$495&gt;=3)*('CONTROL MASTER'!$U$2:$U$495&lt;=6)*('CONTROL MASTER'!$W$2:$W$495&gt;=6))*ROW('CONTROL MASTER'!$S$2:$S$495))-(ROW('CONTROL MASTER'!#REF!)-1))),":",","),",",REPT(" ",50)),((((3-INDEX('CONTROL MASTER'!$T$2:$T$495,(SUMPRODUCT((('CONTROL MASTER'!$S$2:$S$495=3)*('CONTROL MASTER'!$T$2:$T$495&lt;=3)*('CONTROL MASTER'!$V$2:$V$495&gt;=3)*('CONTROL MASTER'!$U$2:$U$495&lt;=6)*('CONTROL MASTER'!$W$2:$W$495&gt;=6))*ROW('CONTROL MASTER'!$S$2:$S$495))-(ROW('CONTROL MASTER'!#REF!)-1))))*(INDEX('CONTROL MASTER'!$W$2:$W$495,(SUMPRODUCT((('CONTROL MASTER'!$S$2:$S$495=3)*('CONTROL MASTER'!$T$2:$T$495&lt;=3)*('CONTROL MASTER'!$V$2:$V$495&gt;=3)*('CONTROL MASTER'!$U$2:$U$495&lt;=6)*('CONTROL MASTER'!$W$2:$W$495&gt;=6))*ROW('CONTROL MASTER'!$S$2:$S$495))-(ROW('CONTROL MASTER'!#REF!)-1)))-INDEX('CONTROL MASTER'!$U$2:$U$495,(SUMPRODUCT((('CONTROL MASTER'!$S$2:$S$495=3)*('CONTROL MASTER'!$T$2:$T$495&lt;=3)*('CONTROL MASTER'!$V$2:$V$495&gt;=3)*('CONTROL MASTER'!$U$2:$U$495&lt;=6)*('CONTROL MASTER'!$W$2:$W$495&gt;=6))*ROW('CONTROL MASTER'!$S$2:$S$495))-(ROW('CONTROL MASTER'!#REF!)-1)))+1)+(6-INDEX('CONTROL MASTER'!$U$2:$U$495,(SUMPRODUCT((('CONTROL MASTER'!$S$2:$S$495=3)*('CONTROL MASTER'!$T$2:$T$495&lt;=3)*('CONTROL MASTER'!$V$2:$V$495&gt;=3)*('CONTROL MASTER'!$U$2:$U$495&lt;=6)*('CONTROL MASTER'!$W$2:$W$495&gt;=6))*ROW('CONTROL MASTER'!$S$2:$S$495))-(ROW('CONTROL MASTER'!#REF!)-1))))+1))-1)*50+1,50))&amp;"_"&amp;INDEX('CONTROL MASTER'!$P$2:$P$495,(SUMPRODUCT((('CONTROL MASTER'!$S$2:$S$495=3)*('CONTROL MASTER'!$T$2:$T$495&lt;=3)*('CONTROL MASTER'!$V$2:$V$495&gt;=3)*('CONTROL MASTER'!$U$2:$U$495&lt;=6)*('CONTROL MASTER'!$W$2:$W$495&gt;=6))*ROW('CONTROL MASTER'!$S$2:$S$495))-(ROW('CONTROL MASTER'!#REF!)-1))),IF(SUMPRODUCT((('CONTROL MASTER'!$S$2:$S$495=3)*('CONTROL MASTER'!$Z$2:$Z$495&lt;=3)*('CONTROL MASTER'!$AB$2:$AB$495&gt;=3)*('CONTROL MASTER'!$AA$2:$AA$495&lt;=6)*('CONTROL MASTER'!$AC$2:$AC$495&gt;=6))*ROW('CONTROL MASTER'!$S$2:$S$495))&gt;0,INDEX('CONTROL MASTER'!$X$2:$X$495,(SUMPRODUCT((('CONTROL MASTER'!$S$2:$S$495=3)*('CONTROL MASTER'!$Z$2:$Z$495&lt;=3)*('CONTROL MASTER'!$AB$2:$AB$495&gt;=3)*('CONTROL MASTER'!$AA$2:$AA$495&lt;=6)*('CONTROL MASTER'!$AC$2:$AC$495&gt;=6))*ROW('CONTROL MASTER'!$S$2:$S$495))-(ROW('CONTROL MASTER'!#REF!)-1)))&amp;TRIM(MID(SUBSTITUTE(SUBSTITUTE(INDEX('CONTROL MASTER'!$N$2:$N$495,(SUMPRODUCT((('CONTROL MASTER'!$S$2:$S$495=3)*('CONTROL MASTER'!$Z$2:$Z$495&lt;=3)*('CONTROL MASTER'!$AB$2:$AB$495&gt;=3)*('CONTROL MASTER'!$AA$2:$AA$495&lt;=6)*('CONTROL MASTER'!$AC$2:$AC$495&gt;=6))*ROW('CONTROL MASTER'!$S$2:$S$495))-(ROW('CONTROL MASTER'!#REF!)-1))),":",","),",",REPT(" ",50)),(((INDEX('CONTROL MASTER'!$Y$2:$Y$495,(SUMPRODUCT((('CONTROL MASTER'!$S$2:$S$495=3)*('CONTROL MASTER'!$Z$2:$Z$495&lt;=3)*('CONTROL MASTER'!$AB$2:$AB$495&gt;=3)*('CONTROL MASTER'!$AA$2:$AA$495&lt;=6)*('CONTROL MASTER'!$AC$2:$AC$495&gt;=6))*ROW('CONTROL MASTER'!$S$2:$S$495))-(ROW('CONTROL MASTER'!#REF!)-1)))+((3-INDEX('CONTROL MASTER'!$Z$2:$Z$495,(SUMPRODUCT((('CONTROL MASTER'!$S$2:$S$495=3)*('CONTROL MASTER'!$Z$2:$Z$495&lt;=3)*('CONTROL MASTER'!$AB$2:$AB$495&gt;=3)*('CONTROL MASTER'!$AA$2:$AA$495&lt;=6)*('CONTROL MASTER'!$AC$2:$AC$495&gt;=6))*ROW('CONTROL MASTER'!$S$2:$S$495))-(ROW('CONTROL MASTER'!#REF!)-1))))*(INDEX('CONTROL MASTER'!$AC$2:$AC$495,(SUMPRODUCT((('CONTROL MASTER'!$S$2:$S$495=3)*('CONTROL MASTER'!$Z$2:$Z$495&lt;=3)*('CONTROL MASTER'!$AB$2:$AB$495&gt;=3)*('CONTROL MASTER'!$AA$2:$AA$495&lt;=6)*('CONTROL MASTER'!$AC$2:$AC$495&gt;=6))*ROW('CONTROL MASTER'!$S$2:$S$495))-(ROW('CONTROL MASTER'!#REF!)-1)))-INDEX('CONTROL MASTER'!$AA$2:$AA$495,(SUMPRODUCT((('CONTROL MASTER'!$S$2:$S$495=3)*('CONTROL MASTER'!$Z$2:$Z$495&lt;=3)*('CONTROL MASTER'!$AB$2:$AB$495&gt;=3)*('CONTROL MASTER'!$AA$2:$AA$495&lt;=6)*('CONTROL MASTER'!$AC$2:$AC$495&gt;=6))*ROW('CONTROL MASTER'!$S$2:$S$495))-(ROW('CONTROL MASTER'!#REF!)-1)))+1)+(6-INDEX('CONTROL MASTER'!$AA$2:$AA$495,(SUMPRODUCT((('CONTROL MASTER'!$S$2:$S$495=3)*('CONTROL MASTER'!$Z$2:$Z$495&lt;=3)*('CONTROL MASTER'!$AB$2:$AB$495&gt;=3)*('CONTROL MASTER'!$AA$2:$AA$495&lt;=6)*('CONTROL MASTER'!$AC$2:$AC$495&gt;=6))*ROW('CONTROL MASTER'!$S$2:$S$495))-(ROW('CONTROL MASTER'!#REF!)-1))))+1)))-1)*50+1,50))&amp;"_"&amp;INDEX('CONTROL MASTER'!$P$2:$P$495,(SUMPRODUCT((('CONTROL MASTER'!$S$2:$S$495=3)*('CONTROL MASTER'!$Z$2:$Z$495&lt;=3)*('CONTROL MASTER'!$AB$2:$AB$495&gt;=3)*('CONTROL MASTER'!$AA$2:$AA$495&lt;=6)*('CONTROL MASTER'!$AC$2:$AC$495&gt;=6))*ROW('CONTROL MASTER'!$S$2:$S$495))-(ROW('CONTROL MASTER'!#REF!)-1))),"")),"")</f>
        <v/>
      </c>
      <c r="H33" s="10" t="str">
        <f>IFERROR(IF(SUMPRODUCT((('CONTROL MASTER'!$S$2:$S$495=3)*('CONTROL MASTER'!$T$2:$T$495&lt;=3)*('CONTROL MASTER'!$V$2:$V$495&gt;=3)*('CONTROL MASTER'!$U$2:$U$495&lt;=7)*('CONTROL MASTER'!$W$2:$W$495&gt;=7))*ROW('CONTROL MASTER'!$S$2:$S$495))&gt;0,INDEX('CONTROL MASTER'!$X$2:$X$495,(SUMPRODUCT((('CONTROL MASTER'!$S$2:$S$495=3)*('CONTROL MASTER'!$T$2:$T$495&lt;=3)*('CONTROL MASTER'!$V$2:$V$495&gt;=3)*('CONTROL MASTER'!$U$2:$U$495&lt;=7)*('CONTROL MASTER'!$W$2:$W$495&gt;=7))*ROW('CONTROL MASTER'!$S$2:$S$495))-(ROW('CONTROL MASTER'!#REF!)-1)))&amp;TRIM(MID(SUBSTITUTE(SUBSTITUTE(INDEX('CONTROL MASTER'!$N$2:$N$495,(SUMPRODUCT((('CONTROL MASTER'!$S$2:$S$495=3)*('CONTROL MASTER'!$T$2:$T$495&lt;=3)*('CONTROL MASTER'!$V$2:$V$495&gt;=3)*('CONTROL MASTER'!$U$2:$U$495&lt;=7)*('CONTROL MASTER'!$W$2:$W$495&gt;=7))*ROW('CONTROL MASTER'!$S$2:$S$495))-(ROW('CONTROL MASTER'!#REF!)-1))),":",","),",",REPT(" ",50)),((((3-INDEX('CONTROL MASTER'!$T$2:$T$495,(SUMPRODUCT((('CONTROL MASTER'!$S$2:$S$495=3)*('CONTROL MASTER'!$T$2:$T$495&lt;=3)*('CONTROL MASTER'!$V$2:$V$495&gt;=3)*('CONTROL MASTER'!$U$2:$U$495&lt;=7)*('CONTROL MASTER'!$W$2:$W$495&gt;=7))*ROW('CONTROL MASTER'!$S$2:$S$495))-(ROW('CONTROL MASTER'!#REF!)-1))))*(INDEX('CONTROL MASTER'!$W$2:$W$495,(SUMPRODUCT((('CONTROL MASTER'!$S$2:$S$495=3)*('CONTROL MASTER'!$T$2:$T$495&lt;=3)*('CONTROL MASTER'!$V$2:$V$495&gt;=3)*('CONTROL MASTER'!$U$2:$U$495&lt;=7)*('CONTROL MASTER'!$W$2:$W$495&gt;=7))*ROW('CONTROL MASTER'!$S$2:$S$495))-(ROW('CONTROL MASTER'!#REF!)-1)))-INDEX('CONTROL MASTER'!$U$2:$U$495,(SUMPRODUCT((('CONTROL MASTER'!$S$2:$S$495=3)*('CONTROL MASTER'!$T$2:$T$495&lt;=3)*('CONTROL MASTER'!$V$2:$V$495&gt;=3)*('CONTROL MASTER'!$U$2:$U$495&lt;=7)*('CONTROL MASTER'!$W$2:$W$495&gt;=7))*ROW('CONTROL MASTER'!$S$2:$S$495))-(ROW('CONTROL MASTER'!#REF!)-1)))+1)+(7-INDEX('CONTROL MASTER'!$U$2:$U$495,(SUMPRODUCT((('CONTROL MASTER'!$S$2:$S$495=3)*('CONTROL MASTER'!$T$2:$T$495&lt;=3)*('CONTROL MASTER'!$V$2:$V$495&gt;=3)*('CONTROL MASTER'!$U$2:$U$495&lt;=7)*('CONTROL MASTER'!$W$2:$W$495&gt;=7))*ROW('CONTROL MASTER'!$S$2:$S$495))-(ROW('CONTROL MASTER'!#REF!)-1))))+1))-1)*50+1,50))&amp;"_"&amp;INDEX('CONTROL MASTER'!$P$2:$P$495,(SUMPRODUCT((('CONTROL MASTER'!$S$2:$S$495=3)*('CONTROL MASTER'!$T$2:$T$495&lt;=3)*('CONTROL MASTER'!$V$2:$V$495&gt;=3)*('CONTROL MASTER'!$U$2:$U$495&lt;=7)*('CONTROL MASTER'!$W$2:$W$495&gt;=7))*ROW('CONTROL MASTER'!$S$2:$S$495))-(ROW('CONTROL MASTER'!#REF!)-1))),IF(SUMPRODUCT((('CONTROL MASTER'!$S$2:$S$495=3)*('CONTROL MASTER'!$Z$2:$Z$495&lt;=3)*('CONTROL MASTER'!$AB$2:$AB$495&gt;=3)*('CONTROL MASTER'!$AA$2:$AA$495&lt;=7)*('CONTROL MASTER'!$AC$2:$AC$495&gt;=7))*ROW('CONTROL MASTER'!$S$2:$S$495))&gt;0,INDEX('CONTROL MASTER'!$X$2:$X$495,(SUMPRODUCT((('CONTROL MASTER'!$S$2:$S$495=3)*('CONTROL MASTER'!$Z$2:$Z$495&lt;=3)*('CONTROL MASTER'!$AB$2:$AB$495&gt;=3)*('CONTROL MASTER'!$AA$2:$AA$495&lt;=7)*('CONTROL MASTER'!$AC$2:$AC$495&gt;=7))*ROW('CONTROL MASTER'!$S$2:$S$495))-(ROW('CONTROL MASTER'!#REF!)-1)))&amp;TRIM(MID(SUBSTITUTE(SUBSTITUTE(INDEX('CONTROL MASTER'!$N$2:$N$495,(SUMPRODUCT((('CONTROL MASTER'!$S$2:$S$495=3)*('CONTROL MASTER'!$Z$2:$Z$495&lt;=3)*('CONTROL MASTER'!$AB$2:$AB$495&gt;=3)*('CONTROL MASTER'!$AA$2:$AA$495&lt;=7)*('CONTROL MASTER'!$AC$2:$AC$495&gt;=7))*ROW('CONTROL MASTER'!$S$2:$S$495))-(ROW('CONTROL MASTER'!#REF!)-1))),":",","),",",REPT(" ",50)),(((INDEX('CONTROL MASTER'!$Y$2:$Y$495,(SUMPRODUCT((('CONTROL MASTER'!$S$2:$S$495=3)*('CONTROL MASTER'!$Z$2:$Z$495&lt;=3)*('CONTROL MASTER'!$AB$2:$AB$495&gt;=3)*('CONTROL MASTER'!$AA$2:$AA$495&lt;=7)*('CONTROL MASTER'!$AC$2:$AC$495&gt;=7))*ROW('CONTROL MASTER'!$S$2:$S$495))-(ROW('CONTROL MASTER'!#REF!)-1)))+((3-INDEX('CONTROL MASTER'!$Z$2:$Z$495,(SUMPRODUCT((('CONTROL MASTER'!$S$2:$S$495=3)*('CONTROL MASTER'!$Z$2:$Z$495&lt;=3)*('CONTROL MASTER'!$AB$2:$AB$495&gt;=3)*('CONTROL MASTER'!$AA$2:$AA$495&lt;=7)*('CONTROL MASTER'!$AC$2:$AC$495&gt;=7))*ROW('CONTROL MASTER'!$S$2:$S$495))-(ROW('CONTROL MASTER'!#REF!)-1))))*(INDEX('CONTROL MASTER'!$AC$2:$AC$495,(SUMPRODUCT((('CONTROL MASTER'!$S$2:$S$495=3)*('CONTROL MASTER'!$Z$2:$Z$495&lt;=3)*('CONTROL MASTER'!$AB$2:$AB$495&gt;=3)*('CONTROL MASTER'!$AA$2:$AA$495&lt;=7)*('CONTROL MASTER'!$AC$2:$AC$495&gt;=7))*ROW('CONTROL MASTER'!$S$2:$S$495))-(ROW('CONTROL MASTER'!#REF!)-1)))-INDEX('CONTROL MASTER'!$AA$2:$AA$495,(SUMPRODUCT((('CONTROL MASTER'!$S$2:$S$495=3)*('CONTROL MASTER'!$Z$2:$Z$495&lt;=3)*('CONTROL MASTER'!$AB$2:$AB$495&gt;=3)*('CONTROL MASTER'!$AA$2:$AA$495&lt;=7)*('CONTROL MASTER'!$AC$2:$AC$495&gt;=7))*ROW('CONTROL MASTER'!$S$2:$S$495))-(ROW('CONTROL MASTER'!#REF!)-1)))+1)+(7-INDEX('CONTROL MASTER'!$AA$2:$AA$495,(SUMPRODUCT((('CONTROL MASTER'!$S$2:$S$495=3)*('CONTROL MASTER'!$Z$2:$Z$495&lt;=3)*('CONTROL MASTER'!$AB$2:$AB$495&gt;=3)*('CONTROL MASTER'!$AA$2:$AA$495&lt;=7)*('CONTROL MASTER'!$AC$2:$AC$495&gt;=7))*ROW('CONTROL MASTER'!$S$2:$S$495))-(ROW('CONTROL MASTER'!#REF!)-1))))+1)))-1)*50+1,50))&amp;"_"&amp;INDEX('CONTROL MASTER'!$P$2:$P$495,(SUMPRODUCT((('CONTROL MASTER'!$S$2:$S$495=3)*('CONTROL MASTER'!$Z$2:$Z$495&lt;=3)*('CONTROL MASTER'!$AB$2:$AB$495&gt;=3)*('CONTROL MASTER'!$AA$2:$AA$495&lt;=7)*('CONTROL MASTER'!$AC$2:$AC$495&gt;=7))*ROW('CONTROL MASTER'!$S$2:$S$495))-(ROW('CONTROL MASTER'!#REF!)-1))),"")),"")</f>
        <v/>
      </c>
      <c r="I33" s="10" t="str">
        <f>IFERROR(IF(SUMPRODUCT((('CONTROL MASTER'!$S$2:$S$495=3)*('CONTROL MASTER'!$T$2:$T$495&lt;=3)*('CONTROL MASTER'!$V$2:$V$495&gt;=3)*('CONTROL MASTER'!$U$2:$U$495&lt;=8)*('CONTROL MASTER'!$W$2:$W$495&gt;=8))*ROW('CONTROL MASTER'!$S$2:$S$495))&gt;0,INDEX('CONTROL MASTER'!$X$2:$X$495,(SUMPRODUCT((('CONTROL MASTER'!$S$2:$S$495=3)*('CONTROL MASTER'!$T$2:$T$495&lt;=3)*('CONTROL MASTER'!$V$2:$V$495&gt;=3)*('CONTROL MASTER'!$U$2:$U$495&lt;=8)*('CONTROL MASTER'!$W$2:$W$495&gt;=8))*ROW('CONTROL MASTER'!$S$2:$S$495))-(ROW('CONTROL MASTER'!#REF!)-1)))&amp;TRIM(MID(SUBSTITUTE(SUBSTITUTE(INDEX('CONTROL MASTER'!$N$2:$N$495,(SUMPRODUCT((('CONTROL MASTER'!$S$2:$S$495=3)*('CONTROL MASTER'!$T$2:$T$495&lt;=3)*('CONTROL MASTER'!$V$2:$V$495&gt;=3)*('CONTROL MASTER'!$U$2:$U$495&lt;=8)*('CONTROL MASTER'!$W$2:$W$495&gt;=8))*ROW('CONTROL MASTER'!$S$2:$S$495))-(ROW('CONTROL MASTER'!#REF!)-1))),":",","),",",REPT(" ",50)),((((3-INDEX('CONTROL MASTER'!$T$2:$T$495,(SUMPRODUCT((('CONTROL MASTER'!$S$2:$S$495=3)*('CONTROL MASTER'!$T$2:$T$495&lt;=3)*('CONTROL MASTER'!$V$2:$V$495&gt;=3)*('CONTROL MASTER'!$U$2:$U$495&lt;=8)*('CONTROL MASTER'!$W$2:$W$495&gt;=8))*ROW('CONTROL MASTER'!$S$2:$S$495))-(ROW('CONTROL MASTER'!#REF!)-1))))*(INDEX('CONTROL MASTER'!$W$2:$W$495,(SUMPRODUCT((('CONTROL MASTER'!$S$2:$S$495=3)*('CONTROL MASTER'!$T$2:$T$495&lt;=3)*('CONTROL MASTER'!$V$2:$V$495&gt;=3)*('CONTROL MASTER'!$U$2:$U$495&lt;=8)*('CONTROL MASTER'!$W$2:$W$495&gt;=8))*ROW('CONTROL MASTER'!$S$2:$S$495))-(ROW('CONTROL MASTER'!#REF!)-1)))-INDEX('CONTROL MASTER'!$U$2:$U$495,(SUMPRODUCT((('CONTROL MASTER'!$S$2:$S$495=3)*('CONTROL MASTER'!$T$2:$T$495&lt;=3)*('CONTROL MASTER'!$V$2:$V$495&gt;=3)*('CONTROL MASTER'!$U$2:$U$495&lt;=8)*('CONTROL MASTER'!$W$2:$W$495&gt;=8))*ROW('CONTROL MASTER'!$S$2:$S$495))-(ROW('CONTROL MASTER'!#REF!)-1)))+1)+(8-INDEX('CONTROL MASTER'!$U$2:$U$495,(SUMPRODUCT((('CONTROL MASTER'!$S$2:$S$495=3)*('CONTROL MASTER'!$T$2:$T$495&lt;=3)*('CONTROL MASTER'!$V$2:$V$495&gt;=3)*('CONTROL MASTER'!$U$2:$U$495&lt;=8)*('CONTROL MASTER'!$W$2:$W$495&gt;=8))*ROW('CONTROL MASTER'!$S$2:$S$495))-(ROW('CONTROL MASTER'!#REF!)-1))))+1))-1)*50+1,50))&amp;"_"&amp;INDEX('CONTROL MASTER'!$P$2:$P$495,(SUMPRODUCT((('CONTROL MASTER'!$S$2:$S$495=3)*('CONTROL MASTER'!$T$2:$T$495&lt;=3)*('CONTROL MASTER'!$V$2:$V$495&gt;=3)*('CONTROL MASTER'!$U$2:$U$495&lt;=8)*('CONTROL MASTER'!$W$2:$W$495&gt;=8))*ROW('CONTROL MASTER'!$S$2:$S$495))-(ROW('CONTROL MASTER'!#REF!)-1))),IF(SUMPRODUCT((('CONTROL MASTER'!$S$2:$S$495=3)*('CONTROL MASTER'!$Z$2:$Z$495&lt;=3)*('CONTROL MASTER'!$AB$2:$AB$495&gt;=3)*('CONTROL MASTER'!$AA$2:$AA$495&lt;=8)*('CONTROL MASTER'!$AC$2:$AC$495&gt;=8))*ROW('CONTROL MASTER'!$S$2:$S$495))&gt;0,INDEX('CONTROL MASTER'!$X$2:$X$495,(SUMPRODUCT((('CONTROL MASTER'!$S$2:$S$495=3)*('CONTROL MASTER'!$Z$2:$Z$495&lt;=3)*('CONTROL MASTER'!$AB$2:$AB$495&gt;=3)*('CONTROL MASTER'!$AA$2:$AA$495&lt;=8)*('CONTROL MASTER'!$AC$2:$AC$495&gt;=8))*ROW('CONTROL MASTER'!$S$2:$S$495))-(ROW('CONTROL MASTER'!#REF!)-1)))&amp;TRIM(MID(SUBSTITUTE(SUBSTITUTE(INDEX('CONTROL MASTER'!$N$2:$N$495,(SUMPRODUCT((('CONTROL MASTER'!$S$2:$S$495=3)*('CONTROL MASTER'!$Z$2:$Z$495&lt;=3)*('CONTROL MASTER'!$AB$2:$AB$495&gt;=3)*('CONTROL MASTER'!$AA$2:$AA$495&lt;=8)*('CONTROL MASTER'!$AC$2:$AC$495&gt;=8))*ROW('CONTROL MASTER'!$S$2:$S$495))-(ROW('CONTROL MASTER'!#REF!)-1))),":",","),",",REPT(" ",50)),(((INDEX('CONTROL MASTER'!$Y$2:$Y$495,(SUMPRODUCT((('CONTROL MASTER'!$S$2:$S$495=3)*('CONTROL MASTER'!$Z$2:$Z$495&lt;=3)*('CONTROL MASTER'!$AB$2:$AB$495&gt;=3)*('CONTROL MASTER'!$AA$2:$AA$495&lt;=8)*('CONTROL MASTER'!$AC$2:$AC$495&gt;=8))*ROW('CONTROL MASTER'!$S$2:$S$495))-(ROW('CONTROL MASTER'!#REF!)-1)))+((3-INDEX('CONTROL MASTER'!$Z$2:$Z$495,(SUMPRODUCT((('CONTROL MASTER'!$S$2:$S$495=3)*('CONTROL MASTER'!$Z$2:$Z$495&lt;=3)*('CONTROL MASTER'!$AB$2:$AB$495&gt;=3)*('CONTROL MASTER'!$AA$2:$AA$495&lt;=8)*('CONTROL MASTER'!$AC$2:$AC$495&gt;=8))*ROW('CONTROL MASTER'!$S$2:$S$495))-(ROW('CONTROL MASTER'!#REF!)-1))))*(INDEX('CONTROL MASTER'!$AC$2:$AC$495,(SUMPRODUCT((('CONTROL MASTER'!$S$2:$S$495=3)*('CONTROL MASTER'!$Z$2:$Z$495&lt;=3)*('CONTROL MASTER'!$AB$2:$AB$495&gt;=3)*('CONTROL MASTER'!$AA$2:$AA$495&lt;=8)*('CONTROL MASTER'!$AC$2:$AC$495&gt;=8))*ROW('CONTROL MASTER'!$S$2:$S$495))-(ROW('CONTROL MASTER'!#REF!)-1)))-INDEX('CONTROL MASTER'!$AA$2:$AA$495,(SUMPRODUCT((('CONTROL MASTER'!$S$2:$S$495=3)*('CONTROL MASTER'!$Z$2:$Z$495&lt;=3)*('CONTROL MASTER'!$AB$2:$AB$495&gt;=3)*('CONTROL MASTER'!$AA$2:$AA$495&lt;=8)*('CONTROL MASTER'!$AC$2:$AC$495&gt;=8))*ROW('CONTROL MASTER'!$S$2:$S$495))-(ROW('CONTROL MASTER'!#REF!)-1)))+1)+(8-INDEX('CONTROL MASTER'!$AA$2:$AA$495,(SUMPRODUCT((('CONTROL MASTER'!$S$2:$S$495=3)*('CONTROL MASTER'!$Z$2:$Z$495&lt;=3)*('CONTROL MASTER'!$AB$2:$AB$495&gt;=3)*('CONTROL MASTER'!$AA$2:$AA$495&lt;=8)*('CONTROL MASTER'!$AC$2:$AC$495&gt;=8))*ROW('CONTROL MASTER'!$S$2:$S$495))-(ROW('CONTROL MASTER'!#REF!)-1))))+1)))-1)*50+1,50))&amp;"_"&amp;INDEX('CONTROL MASTER'!$P$2:$P$495,(SUMPRODUCT((('CONTROL MASTER'!$S$2:$S$495=3)*('CONTROL MASTER'!$Z$2:$Z$495&lt;=3)*('CONTROL MASTER'!$AB$2:$AB$495&gt;=3)*('CONTROL MASTER'!$AA$2:$AA$495&lt;=8)*('CONTROL MASTER'!$AC$2:$AC$495&gt;=8))*ROW('CONTROL MASTER'!$S$2:$S$495))-(ROW('CONTROL MASTER'!#REF!)-1))),"")),"")</f>
        <v/>
      </c>
      <c r="J33" s="10" t="str">
        <f>IFERROR(IF(SUMPRODUCT((('CONTROL MASTER'!$S$2:$S$495=3)*('CONTROL MASTER'!$T$2:$T$495&lt;=3)*('CONTROL MASTER'!$V$2:$V$495&gt;=3)*('CONTROL MASTER'!$U$2:$U$495&lt;=9)*('CONTROL MASTER'!$W$2:$W$495&gt;=9))*ROW('CONTROL MASTER'!$S$2:$S$495))&gt;0,INDEX('CONTROL MASTER'!$X$2:$X$495,(SUMPRODUCT((('CONTROL MASTER'!$S$2:$S$495=3)*('CONTROL MASTER'!$T$2:$T$495&lt;=3)*('CONTROL MASTER'!$V$2:$V$495&gt;=3)*('CONTROL MASTER'!$U$2:$U$495&lt;=9)*('CONTROL MASTER'!$W$2:$W$495&gt;=9))*ROW('CONTROL MASTER'!$S$2:$S$495))-(ROW('CONTROL MASTER'!#REF!)-1)))&amp;TRIM(MID(SUBSTITUTE(SUBSTITUTE(INDEX('CONTROL MASTER'!$N$2:$N$495,(SUMPRODUCT((('CONTROL MASTER'!$S$2:$S$495=3)*('CONTROL MASTER'!$T$2:$T$495&lt;=3)*('CONTROL MASTER'!$V$2:$V$495&gt;=3)*('CONTROL MASTER'!$U$2:$U$495&lt;=9)*('CONTROL MASTER'!$W$2:$W$495&gt;=9))*ROW('CONTROL MASTER'!$S$2:$S$495))-(ROW('CONTROL MASTER'!#REF!)-1))),":",","),",",REPT(" ",50)),((((3-INDEX('CONTROL MASTER'!$T$2:$T$495,(SUMPRODUCT((('CONTROL MASTER'!$S$2:$S$495=3)*('CONTROL MASTER'!$T$2:$T$495&lt;=3)*('CONTROL MASTER'!$V$2:$V$495&gt;=3)*('CONTROL MASTER'!$U$2:$U$495&lt;=9)*('CONTROL MASTER'!$W$2:$W$495&gt;=9))*ROW('CONTROL MASTER'!$S$2:$S$495))-(ROW('CONTROL MASTER'!#REF!)-1))))*(INDEX('CONTROL MASTER'!$W$2:$W$495,(SUMPRODUCT((('CONTROL MASTER'!$S$2:$S$495=3)*('CONTROL MASTER'!$T$2:$T$495&lt;=3)*('CONTROL MASTER'!$V$2:$V$495&gt;=3)*('CONTROL MASTER'!$U$2:$U$495&lt;=9)*('CONTROL MASTER'!$W$2:$W$495&gt;=9))*ROW('CONTROL MASTER'!$S$2:$S$495))-(ROW('CONTROL MASTER'!#REF!)-1)))-INDEX('CONTROL MASTER'!$U$2:$U$495,(SUMPRODUCT((('CONTROL MASTER'!$S$2:$S$495=3)*('CONTROL MASTER'!$T$2:$T$495&lt;=3)*('CONTROL MASTER'!$V$2:$V$495&gt;=3)*('CONTROL MASTER'!$U$2:$U$495&lt;=9)*('CONTROL MASTER'!$W$2:$W$495&gt;=9))*ROW('CONTROL MASTER'!$S$2:$S$495))-(ROW('CONTROL MASTER'!#REF!)-1)))+1)+(9-INDEX('CONTROL MASTER'!$U$2:$U$495,(SUMPRODUCT((('CONTROL MASTER'!$S$2:$S$495=3)*('CONTROL MASTER'!$T$2:$T$495&lt;=3)*('CONTROL MASTER'!$V$2:$V$495&gt;=3)*('CONTROL MASTER'!$U$2:$U$495&lt;=9)*('CONTROL MASTER'!$W$2:$W$495&gt;=9))*ROW('CONTROL MASTER'!$S$2:$S$495))-(ROW('CONTROL MASTER'!#REF!)-1))))+1))-1)*50+1,50))&amp;"_"&amp;INDEX('CONTROL MASTER'!$P$2:$P$495,(SUMPRODUCT((('CONTROL MASTER'!$S$2:$S$495=3)*('CONTROL MASTER'!$T$2:$T$495&lt;=3)*('CONTROL MASTER'!$V$2:$V$495&gt;=3)*('CONTROL MASTER'!$U$2:$U$495&lt;=9)*('CONTROL MASTER'!$W$2:$W$495&gt;=9))*ROW('CONTROL MASTER'!$S$2:$S$495))-(ROW('CONTROL MASTER'!#REF!)-1))),IF(SUMPRODUCT((('CONTROL MASTER'!$S$2:$S$495=3)*('CONTROL MASTER'!$Z$2:$Z$495&lt;=3)*('CONTROL MASTER'!$AB$2:$AB$495&gt;=3)*('CONTROL MASTER'!$AA$2:$AA$495&lt;=9)*('CONTROL MASTER'!$AC$2:$AC$495&gt;=9))*ROW('CONTROL MASTER'!$S$2:$S$495))&gt;0,INDEX('CONTROL MASTER'!$X$2:$X$495,(SUMPRODUCT((('CONTROL MASTER'!$S$2:$S$495=3)*('CONTROL MASTER'!$Z$2:$Z$495&lt;=3)*('CONTROL MASTER'!$AB$2:$AB$495&gt;=3)*('CONTROL MASTER'!$AA$2:$AA$495&lt;=9)*('CONTROL MASTER'!$AC$2:$AC$495&gt;=9))*ROW('CONTROL MASTER'!$S$2:$S$495))-(ROW('CONTROL MASTER'!#REF!)-1)))&amp;TRIM(MID(SUBSTITUTE(SUBSTITUTE(INDEX('CONTROL MASTER'!$N$2:$N$495,(SUMPRODUCT((('CONTROL MASTER'!$S$2:$S$495=3)*('CONTROL MASTER'!$Z$2:$Z$495&lt;=3)*('CONTROL MASTER'!$AB$2:$AB$495&gt;=3)*('CONTROL MASTER'!$AA$2:$AA$495&lt;=9)*('CONTROL MASTER'!$AC$2:$AC$495&gt;=9))*ROW('CONTROL MASTER'!$S$2:$S$495))-(ROW('CONTROL MASTER'!#REF!)-1))),":",","),",",REPT(" ",50)),(((INDEX('CONTROL MASTER'!$Y$2:$Y$495,(SUMPRODUCT((('CONTROL MASTER'!$S$2:$S$495=3)*('CONTROL MASTER'!$Z$2:$Z$495&lt;=3)*('CONTROL MASTER'!$AB$2:$AB$495&gt;=3)*('CONTROL MASTER'!$AA$2:$AA$495&lt;=9)*('CONTROL MASTER'!$AC$2:$AC$495&gt;=9))*ROW('CONTROL MASTER'!$S$2:$S$495))-(ROW('CONTROL MASTER'!#REF!)-1)))+((3-INDEX('CONTROL MASTER'!$Z$2:$Z$495,(SUMPRODUCT((('CONTROL MASTER'!$S$2:$S$495=3)*('CONTROL MASTER'!$Z$2:$Z$495&lt;=3)*('CONTROL MASTER'!$AB$2:$AB$495&gt;=3)*('CONTROL MASTER'!$AA$2:$AA$495&lt;=9)*('CONTROL MASTER'!$AC$2:$AC$495&gt;=9))*ROW('CONTROL MASTER'!$S$2:$S$495))-(ROW('CONTROL MASTER'!#REF!)-1))))*(INDEX('CONTROL MASTER'!$AC$2:$AC$495,(SUMPRODUCT((('CONTROL MASTER'!$S$2:$S$495=3)*('CONTROL MASTER'!$Z$2:$Z$495&lt;=3)*('CONTROL MASTER'!$AB$2:$AB$495&gt;=3)*('CONTROL MASTER'!$AA$2:$AA$495&lt;=9)*('CONTROL MASTER'!$AC$2:$AC$495&gt;=9))*ROW('CONTROL MASTER'!$S$2:$S$495))-(ROW('CONTROL MASTER'!#REF!)-1)))-INDEX('CONTROL MASTER'!$AA$2:$AA$495,(SUMPRODUCT((('CONTROL MASTER'!$S$2:$S$495=3)*('CONTROL MASTER'!$Z$2:$Z$495&lt;=3)*('CONTROL MASTER'!$AB$2:$AB$495&gt;=3)*('CONTROL MASTER'!$AA$2:$AA$495&lt;=9)*('CONTROL MASTER'!$AC$2:$AC$495&gt;=9))*ROW('CONTROL MASTER'!$S$2:$S$495))-(ROW('CONTROL MASTER'!#REF!)-1)))+1)+(9-INDEX('CONTROL MASTER'!$AA$2:$AA$495,(SUMPRODUCT((('CONTROL MASTER'!$S$2:$S$495=3)*('CONTROL MASTER'!$Z$2:$Z$495&lt;=3)*('CONTROL MASTER'!$AB$2:$AB$495&gt;=3)*('CONTROL MASTER'!$AA$2:$AA$495&lt;=9)*('CONTROL MASTER'!$AC$2:$AC$495&gt;=9))*ROW('CONTROL MASTER'!$S$2:$S$495))-(ROW('CONTROL MASTER'!#REF!)-1))))+1)))-1)*50+1,50))&amp;"_"&amp;INDEX('CONTROL MASTER'!$P$2:$P$495,(SUMPRODUCT((('CONTROL MASTER'!$S$2:$S$495=3)*('CONTROL MASTER'!$Z$2:$Z$495&lt;=3)*('CONTROL MASTER'!$AB$2:$AB$495&gt;=3)*('CONTROL MASTER'!$AA$2:$AA$495&lt;=9)*('CONTROL MASTER'!$AC$2:$AC$495&gt;=9))*ROW('CONTROL MASTER'!$S$2:$S$495))-(ROW('CONTROL MASTER'!#REF!)-1))),"")),"")</f>
        <v/>
      </c>
      <c r="K33" s="10" t="str">
        <f>IFERROR(IF(SUMPRODUCT((('CONTROL MASTER'!$S$2:$S$495=3)*('CONTROL MASTER'!$T$2:$T$495&lt;=3)*('CONTROL MASTER'!$V$2:$V$495&gt;=3)*('CONTROL MASTER'!$U$2:$U$495&lt;=10)*('CONTROL MASTER'!$W$2:$W$495&gt;=10))*ROW('CONTROL MASTER'!$S$2:$S$495))&gt;0,INDEX('CONTROL MASTER'!$X$2:$X$495,(SUMPRODUCT((('CONTROL MASTER'!$S$2:$S$495=3)*('CONTROL MASTER'!$T$2:$T$495&lt;=3)*('CONTROL MASTER'!$V$2:$V$495&gt;=3)*('CONTROL MASTER'!$U$2:$U$495&lt;=10)*('CONTROL MASTER'!$W$2:$W$495&gt;=10))*ROW('CONTROL MASTER'!$S$2:$S$495))-(ROW('CONTROL MASTER'!#REF!)-1)))&amp;TRIM(MID(SUBSTITUTE(SUBSTITUTE(INDEX('CONTROL MASTER'!$N$2:$N$495,(SUMPRODUCT((('CONTROL MASTER'!$S$2:$S$495=3)*('CONTROL MASTER'!$T$2:$T$495&lt;=3)*('CONTROL MASTER'!$V$2:$V$495&gt;=3)*('CONTROL MASTER'!$U$2:$U$495&lt;=10)*('CONTROL MASTER'!$W$2:$W$495&gt;=10))*ROW('CONTROL MASTER'!$S$2:$S$495))-(ROW('CONTROL MASTER'!#REF!)-1))),":",","),",",REPT(" ",50)),((((3-INDEX('CONTROL MASTER'!$T$2:$T$495,(SUMPRODUCT((('CONTROL MASTER'!$S$2:$S$495=3)*('CONTROL MASTER'!$T$2:$T$495&lt;=3)*('CONTROL MASTER'!$V$2:$V$495&gt;=3)*('CONTROL MASTER'!$U$2:$U$495&lt;=10)*('CONTROL MASTER'!$W$2:$W$495&gt;=10))*ROW('CONTROL MASTER'!$S$2:$S$495))-(ROW('CONTROL MASTER'!#REF!)-1))))*(INDEX('CONTROL MASTER'!$W$2:$W$495,(SUMPRODUCT((('CONTROL MASTER'!$S$2:$S$495=3)*('CONTROL MASTER'!$T$2:$T$495&lt;=3)*('CONTROL MASTER'!$V$2:$V$495&gt;=3)*('CONTROL MASTER'!$U$2:$U$495&lt;=10)*('CONTROL MASTER'!$W$2:$W$495&gt;=10))*ROW('CONTROL MASTER'!$S$2:$S$495))-(ROW('CONTROL MASTER'!#REF!)-1)))-INDEX('CONTROL MASTER'!$U$2:$U$495,(SUMPRODUCT((('CONTROL MASTER'!$S$2:$S$495=3)*('CONTROL MASTER'!$T$2:$T$495&lt;=3)*('CONTROL MASTER'!$V$2:$V$495&gt;=3)*('CONTROL MASTER'!$U$2:$U$495&lt;=10)*('CONTROL MASTER'!$W$2:$W$495&gt;=10))*ROW('CONTROL MASTER'!$S$2:$S$495))-(ROW('CONTROL MASTER'!#REF!)-1)))+1)+(10-INDEX('CONTROL MASTER'!$U$2:$U$495,(SUMPRODUCT((('CONTROL MASTER'!$S$2:$S$495=3)*('CONTROL MASTER'!$T$2:$T$495&lt;=3)*('CONTROL MASTER'!$V$2:$V$495&gt;=3)*('CONTROL MASTER'!$U$2:$U$495&lt;=10)*('CONTROL MASTER'!$W$2:$W$495&gt;=10))*ROW('CONTROL MASTER'!$S$2:$S$495))-(ROW('CONTROL MASTER'!#REF!)-1))))+1))-1)*50+1,50))&amp;"_"&amp;INDEX('CONTROL MASTER'!$P$2:$P$495,(SUMPRODUCT((('CONTROL MASTER'!$S$2:$S$495=3)*('CONTROL MASTER'!$T$2:$T$495&lt;=3)*('CONTROL MASTER'!$V$2:$V$495&gt;=3)*('CONTROL MASTER'!$U$2:$U$495&lt;=10)*('CONTROL MASTER'!$W$2:$W$495&gt;=10))*ROW('CONTROL MASTER'!$S$2:$S$495))-(ROW('CONTROL MASTER'!#REF!)-1))),IF(SUMPRODUCT((('CONTROL MASTER'!$S$2:$S$495=3)*('CONTROL MASTER'!$Z$2:$Z$495&lt;=3)*('CONTROL MASTER'!$AB$2:$AB$495&gt;=3)*('CONTROL MASTER'!$AA$2:$AA$495&lt;=10)*('CONTROL MASTER'!$AC$2:$AC$495&gt;=10))*ROW('CONTROL MASTER'!$S$2:$S$495))&gt;0,INDEX('CONTROL MASTER'!$X$2:$X$495,(SUMPRODUCT((('CONTROL MASTER'!$S$2:$S$495=3)*('CONTROL MASTER'!$Z$2:$Z$495&lt;=3)*('CONTROL MASTER'!$AB$2:$AB$495&gt;=3)*('CONTROL MASTER'!$AA$2:$AA$495&lt;=10)*('CONTROL MASTER'!$AC$2:$AC$495&gt;=10))*ROW('CONTROL MASTER'!$S$2:$S$495))-(ROW('CONTROL MASTER'!#REF!)-1)))&amp;TRIM(MID(SUBSTITUTE(SUBSTITUTE(INDEX('CONTROL MASTER'!$N$2:$N$495,(SUMPRODUCT((('CONTROL MASTER'!$S$2:$S$495=3)*('CONTROL MASTER'!$Z$2:$Z$495&lt;=3)*('CONTROL MASTER'!$AB$2:$AB$495&gt;=3)*('CONTROL MASTER'!$AA$2:$AA$495&lt;=10)*('CONTROL MASTER'!$AC$2:$AC$495&gt;=10))*ROW('CONTROL MASTER'!$S$2:$S$495))-(ROW('CONTROL MASTER'!#REF!)-1))),":",","),",",REPT(" ",50)),(((INDEX('CONTROL MASTER'!$Y$2:$Y$495,(SUMPRODUCT((('CONTROL MASTER'!$S$2:$S$495=3)*('CONTROL MASTER'!$Z$2:$Z$495&lt;=3)*('CONTROL MASTER'!$AB$2:$AB$495&gt;=3)*('CONTROL MASTER'!$AA$2:$AA$495&lt;=10)*('CONTROL MASTER'!$AC$2:$AC$495&gt;=10))*ROW('CONTROL MASTER'!$S$2:$S$495))-(ROW('CONTROL MASTER'!#REF!)-1)))+((3-INDEX('CONTROL MASTER'!$Z$2:$Z$495,(SUMPRODUCT((('CONTROL MASTER'!$S$2:$S$495=3)*('CONTROL MASTER'!$Z$2:$Z$495&lt;=3)*('CONTROL MASTER'!$AB$2:$AB$495&gt;=3)*('CONTROL MASTER'!$AA$2:$AA$495&lt;=10)*('CONTROL MASTER'!$AC$2:$AC$495&gt;=10))*ROW('CONTROL MASTER'!$S$2:$S$495))-(ROW('CONTROL MASTER'!#REF!)-1))))*(INDEX('CONTROL MASTER'!$AC$2:$AC$495,(SUMPRODUCT((('CONTROL MASTER'!$S$2:$S$495=3)*('CONTROL MASTER'!$Z$2:$Z$495&lt;=3)*('CONTROL MASTER'!$AB$2:$AB$495&gt;=3)*('CONTROL MASTER'!$AA$2:$AA$495&lt;=10)*('CONTROL MASTER'!$AC$2:$AC$495&gt;=10))*ROW('CONTROL MASTER'!$S$2:$S$495))-(ROW('CONTROL MASTER'!#REF!)-1)))-INDEX('CONTROL MASTER'!$AA$2:$AA$495,(SUMPRODUCT((('CONTROL MASTER'!$S$2:$S$495=3)*('CONTROL MASTER'!$Z$2:$Z$495&lt;=3)*('CONTROL MASTER'!$AB$2:$AB$495&gt;=3)*('CONTROL MASTER'!$AA$2:$AA$495&lt;=10)*('CONTROL MASTER'!$AC$2:$AC$495&gt;=10))*ROW('CONTROL MASTER'!$S$2:$S$495))-(ROW('CONTROL MASTER'!#REF!)-1)))+1)+(10-INDEX('CONTROL MASTER'!$AA$2:$AA$495,(SUMPRODUCT((('CONTROL MASTER'!$S$2:$S$495=3)*('CONTROL MASTER'!$Z$2:$Z$495&lt;=3)*('CONTROL MASTER'!$AB$2:$AB$495&gt;=3)*('CONTROL MASTER'!$AA$2:$AA$495&lt;=10)*('CONTROL MASTER'!$AC$2:$AC$495&gt;=10))*ROW('CONTROL MASTER'!$S$2:$S$495))-(ROW('CONTROL MASTER'!#REF!)-1))))+1)))-1)*50+1,50))&amp;"_"&amp;INDEX('CONTROL MASTER'!$P$2:$P$495,(SUMPRODUCT((('CONTROL MASTER'!$S$2:$S$495=3)*('CONTROL MASTER'!$Z$2:$Z$495&lt;=3)*('CONTROL MASTER'!$AB$2:$AB$495&gt;=3)*('CONTROL MASTER'!$AA$2:$AA$495&lt;=10)*('CONTROL MASTER'!$AC$2:$AC$495&gt;=10))*ROW('CONTROL MASTER'!$S$2:$S$495))-(ROW('CONTROL MASTER'!#REF!)-1))),"")),"")</f>
        <v/>
      </c>
    </row>
    <row r="34" spans="1:11" ht="15" customHeight="1" x14ac:dyDescent="0.35">
      <c r="A34" s="8" t="s">
        <v>31</v>
      </c>
      <c r="B34" s="10" t="str">
        <f>IFERROR(IF(SUMPRODUCT((('CONTROL MASTER'!$S$2:$S$495=3)*('CONTROL MASTER'!$T$2:$T$495&lt;=4)*('CONTROL MASTER'!$V$2:$V$495&gt;=4)*('CONTROL MASTER'!$U$2:$U$495&lt;=1)*('CONTROL MASTER'!$W$2:$W$495&gt;=1))*ROW('CONTROL MASTER'!$S$2:$S$495))&gt;0,INDEX('CONTROL MASTER'!$X$2:$X$495,(SUMPRODUCT((('CONTROL MASTER'!$S$2:$S$495=3)*('CONTROL MASTER'!$T$2:$T$495&lt;=4)*('CONTROL MASTER'!$V$2:$V$495&gt;=4)*('CONTROL MASTER'!$U$2:$U$495&lt;=1)*('CONTROL MASTER'!$W$2:$W$495&gt;=1))*ROW('CONTROL MASTER'!$S$2:$S$495))-(ROW('CONTROL MASTER'!#REF!)-1)))&amp;TRIM(MID(SUBSTITUTE(SUBSTITUTE(INDEX('CONTROL MASTER'!$N$2:$N$495,(SUMPRODUCT((('CONTROL MASTER'!$S$2:$S$495=3)*('CONTROL MASTER'!$T$2:$T$495&lt;=4)*('CONTROL MASTER'!$V$2:$V$495&gt;=4)*('CONTROL MASTER'!$U$2:$U$495&lt;=1)*('CONTROL MASTER'!$W$2:$W$495&gt;=1))*ROW('CONTROL MASTER'!$S$2:$S$495))-(ROW('CONTROL MASTER'!#REF!)-1))),":",","),",",REPT(" ",50)),((((4-INDEX('CONTROL MASTER'!$T$2:$T$495,(SUMPRODUCT((('CONTROL MASTER'!$S$2:$S$495=3)*('CONTROL MASTER'!$T$2:$T$495&lt;=4)*('CONTROL MASTER'!$V$2:$V$495&gt;=4)*('CONTROL MASTER'!$U$2:$U$495&lt;=1)*('CONTROL MASTER'!$W$2:$W$495&gt;=1))*ROW('CONTROL MASTER'!$S$2:$S$495))-(ROW('CONTROL MASTER'!#REF!)-1))))*(INDEX('CONTROL MASTER'!$W$2:$W$495,(SUMPRODUCT((('CONTROL MASTER'!$S$2:$S$495=3)*('CONTROL MASTER'!$T$2:$T$495&lt;=4)*('CONTROL MASTER'!$V$2:$V$495&gt;=4)*('CONTROL MASTER'!$U$2:$U$495&lt;=1)*('CONTROL MASTER'!$W$2:$W$495&gt;=1))*ROW('CONTROL MASTER'!$S$2:$S$495))-(ROW('CONTROL MASTER'!#REF!)-1)))-INDEX('CONTROL MASTER'!$U$2:$U$495,(SUMPRODUCT((('CONTROL MASTER'!$S$2:$S$495=3)*('CONTROL MASTER'!$T$2:$T$495&lt;=4)*('CONTROL MASTER'!$V$2:$V$495&gt;=4)*('CONTROL MASTER'!$U$2:$U$495&lt;=1)*('CONTROL MASTER'!$W$2:$W$495&gt;=1))*ROW('CONTROL MASTER'!$S$2:$S$495))-(ROW('CONTROL MASTER'!#REF!)-1)))+1)+(1-INDEX('CONTROL MASTER'!$U$2:$U$495,(SUMPRODUCT((('CONTROL MASTER'!$S$2:$S$495=3)*('CONTROL MASTER'!$T$2:$T$495&lt;=4)*('CONTROL MASTER'!$V$2:$V$495&gt;=4)*('CONTROL MASTER'!$U$2:$U$495&lt;=1)*('CONTROL MASTER'!$W$2:$W$495&gt;=1))*ROW('CONTROL MASTER'!$S$2:$S$495))-(ROW('CONTROL MASTER'!#REF!)-1))))+1))-1)*50+1,50))&amp;"_"&amp;INDEX('CONTROL MASTER'!$P$2:$P$495,(SUMPRODUCT((('CONTROL MASTER'!$S$2:$S$495=3)*('CONTROL MASTER'!$T$2:$T$495&lt;=4)*('CONTROL MASTER'!$V$2:$V$495&gt;=4)*('CONTROL MASTER'!$U$2:$U$495&lt;=1)*('CONTROL MASTER'!$W$2:$W$495&gt;=1))*ROW('CONTROL MASTER'!$S$2:$S$495))-(ROW('CONTROL MASTER'!#REF!)-1))),IF(SUMPRODUCT((('CONTROL MASTER'!$S$2:$S$495=3)*('CONTROL MASTER'!$Z$2:$Z$495&lt;=4)*('CONTROL MASTER'!$AB$2:$AB$495&gt;=4)*('CONTROL MASTER'!$AA$2:$AA$495&lt;=1)*('CONTROL MASTER'!$AC$2:$AC$495&gt;=1))*ROW('CONTROL MASTER'!$S$2:$S$495))&gt;0,INDEX('CONTROL MASTER'!$X$2:$X$495,(SUMPRODUCT((('CONTROL MASTER'!$S$2:$S$495=3)*('CONTROL MASTER'!$Z$2:$Z$495&lt;=4)*('CONTROL MASTER'!$AB$2:$AB$495&gt;=4)*('CONTROL MASTER'!$AA$2:$AA$495&lt;=1)*('CONTROL MASTER'!$AC$2:$AC$495&gt;=1))*ROW('CONTROL MASTER'!$S$2:$S$495))-(ROW('CONTROL MASTER'!#REF!)-1)))&amp;TRIM(MID(SUBSTITUTE(SUBSTITUTE(INDEX('CONTROL MASTER'!$N$2:$N$495,(SUMPRODUCT((('CONTROL MASTER'!$S$2:$S$495=3)*('CONTROL MASTER'!$Z$2:$Z$495&lt;=4)*('CONTROL MASTER'!$AB$2:$AB$495&gt;=4)*('CONTROL MASTER'!$AA$2:$AA$495&lt;=1)*('CONTROL MASTER'!$AC$2:$AC$495&gt;=1))*ROW('CONTROL MASTER'!$S$2:$S$495))-(ROW('CONTROL MASTER'!#REF!)-1))),":",","),",",REPT(" ",50)),(((INDEX('CONTROL MASTER'!$Y$2:$Y$495,(SUMPRODUCT((('CONTROL MASTER'!$S$2:$S$495=3)*('CONTROL MASTER'!$Z$2:$Z$495&lt;=4)*('CONTROL MASTER'!$AB$2:$AB$495&gt;=4)*('CONTROL MASTER'!$AA$2:$AA$495&lt;=1)*('CONTROL MASTER'!$AC$2:$AC$495&gt;=1))*ROW('CONTROL MASTER'!$S$2:$S$495))-(ROW('CONTROL MASTER'!#REF!)-1)))+((4-INDEX('CONTROL MASTER'!$Z$2:$Z$495,(SUMPRODUCT((('CONTROL MASTER'!$S$2:$S$495=3)*('CONTROL MASTER'!$Z$2:$Z$495&lt;=4)*('CONTROL MASTER'!$AB$2:$AB$495&gt;=4)*('CONTROL MASTER'!$AA$2:$AA$495&lt;=1)*('CONTROL MASTER'!$AC$2:$AC$495&gt;=1))*ROW('CONTROL MASTER'!$S$2:$S$495))-(ROW('CONTROL MASTER'!#REF!)-1))))*(INDEX('CONTROL MASTER'!$AC$2:$AC$495,(SUMPRODUCT((('CONTROL MASTER'!$S$2:$S$495=3)*('CONTROL MASTER'!$Z$2:$Z$495&lt;=4)*('CONTROL MASTER'!$AB$2:$AB$495&gt;=4)*('CONTROL MASTER'!$AA$2:$AA$495&lt;=1)*('CONTROL MASTER'!$AC$2:$AC$495&gt;=1))*ROW('CONTROL MASTER'!$S$2:$S$495))-(ROW('CONTROL MASTER'!#REF!)-1)))-INDEX('CONTROL MASTER'!$AA$2:$AA$495,(SUMPRODUCT((('CONTROL MASTER'!$S$2:$S$495=3)*('CONTROL MASTER'!$Z$2:$Z$495&lt;=4)*('CONTROL MASTER'!$AB$2:$AB$495&gt;=4)*('CONTROL MASTER'!$AA$2:$AA$495&lt;=1)*('CONTROL MASTER'!$AC$2:$AC$495&gt;=1))*ROW('CONTROL MASTER'!$S$2:$S$495))-(ROW('CONTROL MASTER'!#REF!)-1)))+1)+(1-INDEX('CONTROL MASTER'!$AA$2:$AA$495,(SUMPRODUCT((('CONTROL MASTER'!$S$2:$S$495=3)*('CONTROL MASTER'!$Z$2:$Z$495&lt;=4)*('CONTROL MASTER'!$AB$2:$AB$495&gt;=4)*('CONTROL MASTER'!$AA$2:$AA$495&lt;=1)*('CONTROL MASTER'!$AC$2:$AC$495&gt;=1))*ROW('CONTROL MASTER'!$S$2:$S$495))-(ROW('CONTROL MASTER'!#REF!)-1))))+1)))-1)*50+1,50))&amp;"_"&amp;INDEX('CONTROL MASTER'!$P$2:$P$495,(SUMPRODUCT((('CONTROL MASTER'!$S$2:$S$495=3)*('CONTROL MASTER'!$Z$2:$Z$495&lt;=4)*('CONTROL MASTER'!$AB$2:$AB$495&gt;=4)*('CONTROL MASTER'!$AA$2:$AA$495&lt;=1)*('CONTROL MASTER'!$AC$2:$AC$495&gt;=1))*ROW('CONTROL MASTER'!$S$2:$S$495))-(ROW('CONTROL MASTER'!#REF!)-1))),"")),"")</f>
        <v/>
      </c>
      <c r="C34" s="10" t="str">
        <f>IFERROR(IF(SUMPRODUCT((('CONTROL MASTER'!$S$2:$S$495=3)*('CONTROL MASTER'!$T$2:$T$495&lt;=4)*('CONTROL MASTER'!$V$2:$V$495&gt;=4)*('CONTROL MASTER'!$U$2:$U$495&lt;=2)*('CONTROL MASTER'!$W$2:$W$495&gt;=2))*ROW('CONTROL MASTER'!$S$2:$S$495))&gt;0,INDEX('CONTROL MASTER'!$X$2:$X$495,(SUMPRODUCT((('CONTROL MASTER'!$S$2:$S$495=3)*('CONTROL MASTER'!$T$2:$T$495&lt;=4)*('CONTROL MASTER'!$V$2:$V$495&gt;=4)*('CONTROL MASTER'!$U$2:$U$495&lt;=2)*('CONTROL MASTER'!$W$2:$W$495&gt;=2))*ROW('CONTROL MASTER'!$S$2:$S$495))-(ROW('CONTROL MASTER'!#REF!)-1)))&amp;TRIM(MID(SUBSTITUTE(SUBSTITUTE(INDEX('CONTROL MASTER'!$N$2:$N$495,(SUMPRODUCT((('CONTROL MASTER'!$S$2:$S$495=3)*('CONTROL MASTER'!$T$2:$T$495&lt;=4)*('CONTROL MASTER'!$V$2:$V$495&gt;=4)*('CONTROL MASTER'!$U$2:$U$495&lt;=2)*('CONTROL MASTER'!$W$2:$W$495&gt;=2))*ROW('CONTROL MASTER'!$S$2:$S$495))-(ROW('CONTROL MASTER'!#REF!)-1))),":",","),",",REPT(" ",50)),((((4-INDEX('CONTROL MASTER'!$T$2:$T$495,(SUMPRODUCT((('CONTROL MASTER'!$S$2:$S$495=3)*('CONTROL MASTER'!$T$2:$T$495&lt;=4)*('CONTROL MASTER'!$V$2:$V$495&gt;=4)*('CONTROL MASTER'!$U$2:$U$495&lt;=2)*('CONTROL MASTER'!$W$2:$W$495&gt;=2))*ROW('CONTROL MASTER'!$S$2:$S$495))-(ROW('CONTROL MASTER'!#REF!)-1))))*(INDEX('CONTROL MASTER'!$W$2:$W$495,(SUMPRODUCT((('CONTROL MASTER'!$S$2:$S$495=3)*('CONTROL MASTER'!$T$2:$T$495&lt;=4)*('CONTROL MASTER'!$V$2:$V$495&gt;=4)*('CONTROL MASTER'!$U$2:$U$495&lt;=2)*('CONTROL MASTER'!$W$2:$W$495&gt;=2))*ROW('CONTROL MASTER'!$S$2:$S$495))-(ROW('CONTROL MASTER'!#REF!)-1)))-INDEX('CONTROL MASTER'!$U$2:$U$495,(SUMPRODUCT((('CONTROL MASTER'!$S$2:$S$495=3)*('CONTROL MASTER'!$T$2:$T$495&lt;=4)*('CONTROL MASTER'!$V$2:$V$495&gt;=4)*('CONTROL MASTER'!$U$2:$U$495&lt;=2)*('CONTROL MASTER'!$W$2:$W$495&gt;=2))*ROW('CONTROL MASTER'!$S$2:$S$495))-(ROW('CONTROL MASTER'!#REF!)-1)))+1)+(2-INDEX('CONTROL MASTER'!$U$2:$U$495,(SUMPRODUCT((('CONTROL MASTER'!$S$2:$S$495=3)*('CONTROL MASTER'!$T$2:$T$495&lt;=4)*('CONTROL MASTER'!$V$2:$V$495&gt;=4)*('CONTROL MASTER'!$U$2:$U$495&lt;=2)*('CONTROL MASTER'!$W$2:$W$495&gt;=2))*ROW('CONTROL MASTER'!$S$2:$S$495))-(ROW('CONTROL MASTER'!#REF!)-1))))+1))-1)*50+1,50))&amp;"_"&amp;INDEX('CONTROL MASTER'!$P$2:$P$495,(SUMPRODUCT((('CONTROL MASTER'!$S$2:$S$495=3)*('CONTROL MASTER'!$T$2:$T$495&lt;=4)*('CONTROL MASTER'!$V$2:$V$495&gt;=4)*('CONTROL MASTER'!$U$2:$U$495&lt;=2)*('CONTROL MASTER'!$W$2:$W$495&gt;=2))*ROW('CONTROL MASTER'!$S$2:$S$495))-(ROW('CONTROL MASTER'!#REF!)-1))),IF(SUMPRODUCT((('CONTROL MASTER'!$S$2:$S$495=3)*('CONTROL MASTER'!$Z$2:$Z$495&lt;=4)*('CONTROL MASTER'!$AB$2:$AB$495&gt;=4)*('CONTROL MASTER'!$AA$2:$AA$495&lt;=2)*('CONTROL MASTER'!$AC$2:$AC$495&gt;=2))*ROW('CONTROL MASTER'!$S$2:$S$495))&gt;0,INDEX('CONTROL MASTER'!$X$2:$X$495,(SUMPRODUCT((('CONTROL MASTER'!$S$2:$S$495=3)*('CONTROL MASTER'!$Z$2:$Z$495&lt;=4)*('CONTROL MASTER'!$AB$2:$AB$495&gt;=4)*('CONTROL MASTER'!$AA$2:$AA$495&lt;=2)*('CONTROL MASTER'!$AC$2:$AC$495&gt;=2))*ROW('CONTROL MASTER'!$S$2:$S$495))-(ROW('CONTROL MASTER'!#REF!)-1)))&amp;TRIM(MID(SUBSTITUTE(SUBSTITUTE(INDEX('CONTROL MASTER'!$N$2:$N$495,(SUMPRODUCT((('CONTROL MASTER'!$S$2:$S$495=3)*('CONTROL MASTER'!$Z$2:$Z$495&lt;=4)*('CONTROL MASTER'!$AB$2:$AB$495&gt;=4)*('CONTROL MASTER'!$AA$2:$AA$495&lt;=2)*('CONTROL MASTER'!$AC$2:$AC$495&gt;=2))*ROW('CONTROL MASTER'!$S$2:$S$495))-(ROW('CONTROL MASTER'!#REF!)-1))),":",","),",",REPT(" ",50)),(((INDEX('CONTROL MASTER'!$Y$2:$Y$495,(SUMPRODUCT((('CONTROL MASTER'!$S$2:$S$495=3)*('CONTROL MASTER'!$Z$2:$Z$495&lt;=4)*('CONTROL MASTER'!$AB$2:$AB$495&gt;=4)*('CONTROL MASTER'!$AA$2:$AA$495&lt;=2)*('CONTROL MASTER'!$AC$2:$AC$495&gt;=2))*ROW('CONTROL MASTER'!$S$2:$S$495))-(ROW('CONTROL MASTER'!#REF!)-1)))+((4-INDEX('CONTROL MASTER'!$Z$2:$Z$495,(SUMPRODUCT((('CONTROL MASTER'!$S$2:$S$495=3)*('CONTROL MASTER'!$Z$2:$Z$495&lt;=4)*('CONTROL MASTER'!$AB$2:$AB$495&gt;=4)*('CONTROL MASTER'!$AA$2:$AA$495&lt;=2)*('CONTROL MASTER'!$AC$2:$AC$495&gt;=2))*ROW('CONTROL MASTER'!$S$2:$S$495))-(ROW('CONTROL MASTER'!#REF!)-1))))*(INDEX('CONTROL MASTER'!$AC$2:$AC$495,(SUMPRODUCT((('CONTROL MASTER'!$S$2:$S$495=3)*('CONTROL MASTER'!$Z$2:$Z$495&lt;=4)*('CONTROL MASTER'!$AB$2:$AB$495&gt;=4)*('CONTROL MASTER'!$AA$2:$AA$495&lt;=2)*('CONTROL MASTER'!$AC$2:$AC$495&gt;=2))*ROW('CONTROL MASTER'!$S$2:$S$495))-(ROW('CONTROL MASTER'!#REF!)-1)))-INDEX('CONTROL MASTER'!$AA$2:$AA$495,(SUMPRODUCT((('CONTROL MASTER'!$S$2:$S$495=3)*('CONTROL MASTER'!$Z$2:$Z$495&lt;=4)*('CONTROL MASTER'!$AB$2:$AB$495&gt;=4)*('CONTROL MASTER'!$AA$2:$AA$495&lt;=2)*('CONTROL MASTER'!$AC$2:$AC$495&gt;=2))*ROW('CONTROL MASTER'!$S$2:$S$495))-(ROW('CONTROL MASTER'!#REF!)-1)))+1)+(2-INDEX('CONTROL MASTER'!$AA$2:$AA$495,(SUMPRODUCT((('CONTROL MASTER'!$S$2:$S$495=3)*('CONTROL MASTER'!$Z$2:$Z$495&lt;=4)*('CONTROL MASTER'!$AB$2:$AB$495&gt;=4)*('CONTROL MASTER'!$AA$2:$AA$495&lt;=2)*('CONTROL MASTER'!$AC$2:$AC$495&gt;=2))*ROW('CONTROL MASTER'!$S$2:$S$495))-(ROW('CONTROL MASTER'!#REF!)-1))))+1)))-1)*50+1,50))&amp;"_"&amp;INDEX('CONTROL MASTER'!$P$2:$P$495,(SUMPRODUCT((('CONTROL MASTER'!$S$2:$S$495=3)*('CONTROL MASTER'!$Z$2:$Z$495&lt;=4)*('CONTROL MASTER'!$AB$2:$AB$495&gt;=4)*('CONTROL MASTER'!$AA$2:$AA$495&lt;=2)*('CONTROL MASTER'!$AC$2:$AC$495&gt;=2))*ROW('CONTROL MASTER'!$S$2:$S$495))-(ROW('CONTROL MASTER'!#REF!)-1))),"")),"")</f>
        <v/>
      </c>
      <c r="D34" s="10" t="str">
        <f>IFERROR(IF(SUMPRODUCT((('CONTROL MASTER'!$S$2:$S$495=3)*('CONTROL MASTER'!$T$2:$T$495&lt;=4)*('CONTROL MASTER'!$V$2:$V$495&gt;=4)*('CONTROL MASTER'!$U$2:$U$495&lt;=3)*('CONTROL MASTER'!$W$2:$W$495&gt;=3))*ROW('CONTROL MASTER'!$S$2:$S$495))&gt;0,INDEX('CONTROL MASTER'!$X$2:$X$495,(SUMPRODUCT((('CONTROL MASTER'!$S$2:$S$495=3)*('CONTROL MASTER'!$T$2:$T$495&lt;=4)*('CONTROL MASTER'!$V$2:$V$495&gt;=4)*('CONTROL MASTER'!$U$2:$U$495&lt;=3)*('CONTROL MASTER'!$W$2:$W$495&gt;=3))*ROW('CONTROL MASTER'!$S$2:$S$495))-(ROW('CONTROL MASTER'!#REF!)-1)))&amp;TRIM(MID(SUBSTITUTE(SUBSTITUTE(INDEX('CONTROL MASTER'!$N$2:$N$495,(SUMPRODUCT((('CONTROL MASTER'!$S$2:$S$495=3)*('CONTROL MASTER'!$T$2:$T$495&lt;=4)*('CONTROL MASTER'!$V$2:$V$495&gt;=4)*('CONTROL MASTER'!$U$2:$U$495&lt;=3)*('CONTROL MASTER'!$W$2:$W$495&gt;=3))*ROW('CONTROL MASTER'!$S$2:$S$495))-(ROW('CONTROL MASTER'!#REF!)-1))),":",","),",",REPT(" ",50)),((((4-INDEX('CONTROL MASTER'!$T$2:$T$495,(SUMPRODUCT((('CONTROL MASTER'!$S$2:$S$495=3)*('CONTROL MASTER'!$T$2:$T$495&lt;=4)*('CONTROL MASTER'!$V$2:$V$495&gt;=4)*('CONTROL MASTER'!$U$2:$U$495&lt;=3)*('CONTROL MASTER'!$W$2:$W$495&gt;=3))*ROW('CONTROL MASTER'!$S$2:$S$495))-(ROW('CONTROL MASTER'!#REF!)-1))))*(INDEX('CONTROL MASTER'!$W$2:$W$495,(SUMPRODUCT((('CONTROL MASTER'!$S$2:$S$495=3)*('CONTROL MASTER'!$T$2:$T$495&lt;=4)*('CONTROL MASTER'!$V$2:$V$495&gt;=4)*('CONTROL MASTER'!$U$2:$U$495&lt;=3)*('CONTROL MASTER'!$W$2:$W$495&gt;=3))*ROW('CONTROL MASTER'!$S$2:$S$495))-(ROW('CONTROL MASTER'!#REF!)-1)))-INDEX('CONTROL MASTER'!$U$2:$U$495,(SUMPRODUCT((('CONTROL MASTER'!$S$2:$S$495=3)*('CONTROL MASTER'!$T$2:$T$495&lt;=4)*('CONTROL MASTER'!$V$2:$V$495&gt;=4)*('CONTROL MASTER'!$U$2:$U$495&lt;=3)*('CONTROL MASTER'!$W$2:$W$495&gt;=3))*ROW('CONTROL MASTER'!$S$2:$S$495))-(ROW('CONTROL MASTER'!#REF!)-1)))+1)+(3-INDEX('CONTROL MASTER'!$U$2:$U$495,(SUMPRODUCT((('CONTROL MASTER'!$S$2:$S$495=3)*('CONTROL MASTER'!$T$2:$T$495&lt;=4)*('CONTROL MASTER'!$V$2:$V$495&gt;=4)*('CONTROL MASTER'!$U$2:$U$495&lt;=3)*('CONTROL MASTER'!$W$2:$W$495&gt;=3))*ROW('CONTROL MASTER'!$S$2:$S$495))-(ROW('CONTROL MASTER'!#REF!)-1))))+1))-1)*50+1,50))&amp;"_"&amp;INDEX('CONTROL MASTER'!$P$2:$P$495,(SUMPRODUCT((('CONTROL MASTER'!$S$2:$S$495=3)*('CONTROL MASTER'!$T$2:$T$495&lt;=4)*('CONTROL MASTER'!$V$2:$V$495&gt;=4)*('CONTROL MASTER'!$U$2:$U$495&lt;=3)*('CONTROL MASTER'!$W$2:$W$495&gt;=3))*ROW('CONTROL MASTER'!$S$2:$S$495))-(ROW('CONTROL MASTER'!#REF!)-1))),IF(SUMPRODUCT((('CONTROL MASTER'!$S$2:$S$495=3)*('CONTROL MASTER'!$Z$2:$Z$495&lt;=4)*('CONTROL MASTER'!$AB$2:$AB$495&gt;=4)*('CONTROL MASTER'!$AA$2:$AA$495&lt;=3)*('CONTROL MASTER'!$AC$2:$AC$495&gt;=3))*ROW('CONTROL MASTER'!$S$2:$S$495))&gt;0,INDEX('CONTROL MASTER'!$X$2:$X$495,(SUMPRODUCT((('CONTROL MASTER'!$S$2:$S$495=3)*('CONTROL MASTER'!$Z$2:$Z$495&lt;=4)*('CONTROL MASTER'!$AB$2:$AB$495&gt;=4)*('CONTROL MASTER'!$AA$2:$AA$495&lt;=3)*('CONTROL MASTER'!$AC$2:$AC$495&gt;=3))*ROW('CONTROL MASTER'!$S$2:$S$495))-(ROW('CONTROL MASTER'!#REF!)-1)))&amp;TRIM(MID(SUBSTITUTE(SUBSTITUTE(INDEX('CONTROL MASTER'!$N$2:$N$495,(SUMPRODUCT((('CONTROL MASTER'!$S$2:$S$495=3)*('CONTROL MASTER'!$Z$2:$Z$495&lt;=4)*('CONTROL MASTER'!$AB$2:$AB$495&gt;=4)*('CONTROL MASTER'!$AA$2:$AA$495&lt;=3)*('CONTROL MASTER'!$AC$2:$AC$495&gt;=3))*ROW('CONTROL MASTER'!$S$2:$S$495))-(ROW('CONTROL MASTER'!#REF!)-1))),":",","),",",REPT(" ",50)),(((INDEX('CONTROL MASTER'!$Y$2:$Y$495,(SUMPRODUCT((('CONTROL MASTER'!$S$2:$S$495=3)*('CONTROL MASTER'!$Z$2:$Z$495&lt;=4)*('CONTROL MASTER'!$AB$2:$AB$495&gt;=4)*('CONTROL MASTER'!$AA$2:$AA$495&lt;=3)*('CONTROL MASTER'!$AC$2:$AC$495&gt;=3))*ROW('CONTROL MASTER'!$S$2:$S$495))-(ROW('CONTROL MASTER'!#REF!)-1)))+((4-INDEX('CONTROL MASTER'!$Z$2:$Z$495,(SUMPRODUCT((('CONTROL MASTER'!$S$2:$S$495=3)*('CONTROL MASTER'!$Z$2:$Z$495&lt;=4)*('CONTROL MASTER'!$AB$2:$AB$495&gt;=4)*('CONTROL MASTER'!$AA$2:$AA$495&lt;=3)*('CONTROL MASTER'!$AC$2:$AC$495&gt;=3))*ROW('CONTROL MASTER'!$S$2:$S$495))-(ROW('CONTROL MASTER'!#REF!)-1))))*(INDEX('CONTROL MASTER'!$AC$2:$AC$495,(SUMPRODUCT((('CONTROL MASTER'!$S$2:$S$495=3)*('CONTROL MASTER'!$Z$2:$Z$495&lt;=4)*('CONTROL MASTER'!$AB$2:$AB$495&gt;=4)*('CONTROL MASTER'!$AA$2:$AA$495&lt;=3)*('CONTROL MASTER'!$AC$2:$AC$495&gt;=3))*ROW('CONTROL MASTER'!$S$2:$S$495))-(ROW('CONTROL MASTER'!#REF!)-1)))-INDEX('CONTROL MASTER'!$AA$2:$AA$495,(SUMPRODUCT((('CONTROL MASTER'!$S$2:$S$495=3)*('CONTROL MASTER'!$Z$2:$Z$495&lt;=4)*('CONTROL MASTER'!$AB$2:$AB$495&gt;=4)*('CONTROL MASTER'!$AA$2:$AA$495&lt;=3)*('CONTROL MASTER'!$AC$2:$AC$495&gt;=3))*ROW('CONTROL MASTER'!$S$2:$S$495))-(ROW('CONTROL MASTER'!#REF!)-1)))+1)+(3-INDEX('CONTROL MASTER'!$AA$2:$AA$495,(SUMPRODUCT((('CONTROL MASTER'!$S$2:$S$495=3)*('CONTROL MASTER'!$Z$2:$Z$495&lt;=4)*('CONTROL MASTER'!$AB$2:$AB$495&gt;=4)*('CONTROL MASTER'!$AA$2:$AA$495&lt;=3)*('CONTROL MASTER'!$AC$2:$AC$495&gt;=3))*ROW('CONTROL MASTER'!$S$2:$S$495))-(ROW('CONTROL MASTER'!#REF!)-1))))+1)))-1)*50+1,50))&amp;"_"&amp;INDEX('CONTROL MASTER'!$P$2:$P$495,(SUMPRODUCT((('CONTROL MASTER'!$S$2:$S$495=3)*('CONTROL MASTER'!$Z$2:$Z$495&lt;=4)*('CONTROL MASTER'!$AB$2:$AB$495&gt;=4)*('CONTROL MASTER'!$AA$2:$AA$495&lt;=3)*('CONTROL MASTER'!$AC$2:$AC$495&gt;=3))*ROW('CONTROL MASTER'!$S$2:$S$495))-(ROW('CONTROL MASTER'!#REF!)-1))),"")),"")</f>
        <v/>
      </c>
      <c r="E34" s="10" t="str">
        <f>IFERROR(IF(SUMPRODUCT((('CONTROL MASTER'!$S$2:$S$495=3)*('CONTROL MASTER'!$T$2:$T$495&lt;=4)*('CONTROL MASTER'!$V$2:$V$495&gt;=4)*('CONTROL MASTER'!$U$2:$U$495&lt;=4)*('CONTROL MASTER'!$W$2:$W$495&gt;=4))*ROW('CONTROL MASTER'!$S$2:$S$495))&gt;0,INDEX('CONTROL MASTER'!$X$2:$X$495,(SUMPRODUCT((('CONTROL MASTER'!$S$2:$S$495=3)*('CONTROL MASTER'!$T$2:$T$495&lt;=4)*('CONTROL MASTER'!$V$2:$V$495&gt;=4)*('CONTROL MASTER'!$U$2:$U$495&lt;=4)*('CONTROL MASTER'!$W$2:$W$495&gt;=4))*ROW('CONTROL MASTER'!$S$2:$S$495))-(ROW('CONTROL MASTER'!#REF!)-1)))&amp;TRIM(MID(SUBSTITUTE(SUBSTITUTE(INDEX('CONTROL MASTER'!$N$2:$N$495,(SUMPRODUCT((('CONTROL MASTER'!$S$2:$S$495=3)*('CONTROL MASTER'!$T$2:$T$495&lt;=4)*('CONTROL MASTER'!$V$2:$V$495&gt;=4)*('CONTROL MASTER'!$U$2:$U$495&lt;=4)*('CONTROL MASTER'!$W$2:$W$495&gt;=4))*ROW('CONTROL MASTER'!$S$2:$S$495))-(ROW('CONTROL MASTER'!#REF!)-1))),":",","),",",REPT(" ",50)),((((4-INDEX('CONTROL MASTER'!$T$2:$T$495,(SUMPRODUCT((('CONTROL MASTER'!$S$2:$S$495=3)*('CONTROL MASTER'!$T$2:$T$495&lt;=4)*('CONTROL MASTER'!$V$2:$V$495&gt;=4)*('CONTROL MASTER'!$U$2:$U$495&lt;=4)*('CONTROL MASTER'!$W$2:$W$495&gt;=4))*ROW('CONTROL MASTER'!$S$2:$S$495))-(ROW('CONTROL MASTER'!#REF!)-1))))*(INDEX('CONTROL MASTER'!$W$2:$W$495,(SUMPRODUCT((('CONTROL MASTER'!$S$2:$S$495=3)*('CONTROL MASTER'!$T$2:$T$495&lt;=4)*('CONTROL MASTER'!$V$2:$V$495&gt;=4)*('CONTROL MASTER'!$U$2:$U$495&lt;=4)*('CONTROL MASTER'!$W$2:$W$495&gt;=4))*ROW('CONTROL MASTER'!$S$2:$S$495))-(ROW('CONTROL MASTER'!#REF!)-1)))-INDEX('CONTROL MASTER'!$U$2:$U$495,(SUMPRODUCT((('CONTROL MASTER'!$S$2:$S$495=3)*('CONTROL MASTER'!$T$2:$T$495&lt;=4)*('CONTROL MASTER'!$V$2:$V$495&gt;=4)*('CONTROL MASTER'!$U$2:$U$495&lt;=4)*('CONTROL MASTER'!$W$2:$W$495&gt;=4))*ROW('CONTROL MASTER'!$S$2:$S$495))-(ROW('CONTROL MASTER'!#REF!)-1)))+1)+(4-INDEX('CONTROL MASTER'!$U$2:$U$495,(SUMPRODUCT((('CONTROL MASTER'!$S$2:$S$495=3)*('CONTROL MASTER'!$T$2:$T$495&lt;=4)*('CONTROL MASTER'!$V$2:$V$495&gt;=4)*('CONTROL MASTER'!$U$2:$U$495&lt;=4)*('CONTROL MASTER'!$W$2:$W$495&gt;=4))*ROW('CONTROL MASTER'!$S$2:$S$495))-(ROW('CONTROL MASTER'!#REF!)-1))))+1))-1)*50+1,50))&amp;"_"&amp;INDEX('CONTROL MASTER'!$P$2:$P$495,(SUMPRODUCT((('CONTROL MASTER'!$S$2:$S$495=3)*('CONTROL MASTER'!$T$2:$T$495&lt;=4)*('CONTROL MASTER'!$V$2:$V$495&gt;=4)*('CONTROL MASTER'!$U$2:$U$495&lt;=4)*('CONTROL MASTER'!$W$2:$W$495&gt;=4))*ROW('CONTROL MASTER'!$S$2:$S$495))-(ROW('CONTROL MASTER'!#REF!)-1))),IF(SUMPRODUCT((('CONTROL MASTER'!$S$2:$S$495=3)*('CONTROL MASTER'!$Z$2:$Z$495&lt;=4)*('CONTROL MASTER'!$AB$2:$AB$495&gt;=4)*('CONTROL MASTER'!$AA$2:$AA$495&lt;=4)*('CONTROL MASTER'!$AC$2:$AC$495&gt;=4))*ROW('CONTROL MASTER'!$S$2:$S$495))&gt;0,INDEX('CONTROL MASTER'!$X$2:$X$495,(SUMPRODUCT((('CONTROL MASTER'!$S$2:$S$495=3)*('CONTROL MASTER'!$Z$2:$Z$495&lt;=4)*('CONTROL MASTER'!$AB$2:$AB$495&gt;=4)*('CONTROL MASTER'!$AA$2:$AA$495&lt;=4)*('CONTROL MASTER'!$AC$2:$AC$495&gt;=4))*ROW('CONTROL MASTER'!$S$2:$S$495))-(ROW('CONTROL MASTER'!#REF!)-1)))&amp;TRIM(MID(SUBSTITUTE(SUBSTITUTE(INDEX('CONTROL MASTER'!$N$2:$N$495,(SUMPRODUCT((('CONTROL MASTER'!$S$2:$S$495=3)*('CONTROL MASTER'!$Z$2:$Z$495&lt;=4)*('CONTROL MASTER'!$AB$2:$AB$495&gt;=4)*('CONTROL MASTER'!$AA$2:$AA$495&lt;=4)*('CONTROL MASTER'!$AC$2:$AC$495&gt;=4))*ROW('CONTROL MASTER'!$S$2:$S$495))-(ROW('CONTROL MASTER'!#REF!)-1))),":",","),",",REPT(" ",50)),(((INDEX('CONTROL MASTER'!$Y$2:$Y$495,(SUMPRODUCT((('CONTROL MASTER'!$S$2:$S$495=3)*('CONTROL MASTER'!$Z$2:$Z$495&lt;=4)*('CONTROL MASTER'!$AB$2:$AB$495&gt;=4)*('CONTROL MASTER'!$AA$2:$AA$495&lt;=4)*('CONTROL MASTER'!$AC$2:$AC$495&gt;=4))*ROW('CONTROL MASTER'!$S$2:$S$495))-(ROW('CONTROL MASTER'!#REF!)-1)))+((4-INDEX('CONTROL MASTER'!$Z$2:$Z$495,(SUMPRODUCT((('CONTROL MASTER'!$S$2:$S$495=3)*('CONTROL MASTER'!$Z$2:$Z$495&lt;=4)*('CONTROL MASTER'!$AB$2:$AB$495&gt;=4)*('CONTROL MASTER'!$AA$2:$AA$495&lt;=4)*('CONTROL MASTER'!$AC$2:$AC$495&gt;=4))*ROW('CONTROL MASTER'!$S$2:$S$495))-(ROW('CONTROL MASTER'!#REF!)-1))))*(INDEX('CONTROL MASTER'!$AC$2:$AC$495,(SUMPRODUCT((('CONTROL MASTER'!$S$2:$S$495=3)*('CONTROL MASTER'!$Z$2:$Z$495&lt;=4)*('CONTROL MASTER'!$AB$2:$AB$495&gt;=4)*('CONTROL MASTER'!$AA$2:$AA$495&lt;=4)*('CONTROL MASTER'!$AC$2:$AC$495&gt;=4))*ROW('CONTROL MASTER'!$S$2:$S$495))-(ROW('CONTROL MASTER'!#REF!)-1)))-INDEX('CONTROL MASTER'!$AA$2:$AA$495,(SUMPRODUCT((('CONTROL MASTER'!$S$2:$S$495=3)*('CONTROL MASTER'!$Z$2:$Z$495&lt;=4)*('CONTROL MASTER'!$AB$2:$AB$495&gt;=4)*('CONTROL MASTER'!$AA$2:$AA$495&lt;=4)*('CONTROL MASTER'!$AC$2:$AC$495&gt;=4))*ROW('CONTROL MASTER'!$S$2:$S$495))-(ROW('CONTROL MASTER'!#REF!)-1)))+1)+(4-INDEX('CONTROL MASTER'!$AA$2:$AA$495,(SUMPRODUCT((('CONTROL MASTER'!$S$2:$S$495=3)*('CONTROL MASTER'!$Z$2:$Z$495&lt;=4)*('CONTROL MASTER'!$AB$2:$AB$495&gt;=4)*('CONTROL MASTER'!$AA$2:$AA$495&lt;=4)*('CONTROL MASTER'!$AC$2:$AC$495&gt;=4))*ROW('CONTROL MASTER'!$S$2:$S$495))-(ROW('CONTROL MASTER'!#REF!)-1))))+1)))-1)*50+1,50))&amp;"_"&amp;INDEX('CONTROL MASTER'!$P$2:$P$495,(SUMPRODUCT((('CONTROL MASTER'!$S$2:$S$495=3)*('CONTROL MASTER'!$Z$2:$Z$495&lt;=4)*('CONTROL MASTER'!$AB$2:$AB$495&gt;=4)*('CONTROL MASTER'!$AA$2:$AA$495&lt;=4)*('CONTROL MASTER'!$AC$2:$AC$495&gt;=4))*ROW('CONTROL MASTER'!$S$2:$S$495))-(ROW('CONTROL MASTER'!#REF!)-1))),"")),"")</f>
        <v/>
      </c>
      <c r="F34" s="10" t="str">
        <f>IFERROR(IF(SUMPRODUCT((('CONTROL MASTER'!$S$2:$S$495=3)*('CONTROL MASTER'!$T$2:$T$495&lt;=4)*('CONTROL MASTER'!$V$2:$V$495&gt;=4)*('CONTROL MASTER'!$U$2:$U$495&lt;=5)*('CONTROL MASTER'!$W$2:$W$495&gt;=5))*ROW('CONTROL MASTER'!$S$2:$S$495))&gt;0,INDEX('CONTROL MASTER'!$X$2:$X$495,(SUMPRODUCT((('CONTROL MASTER'!$S$2:$S$495=3)*('CONTROL MASTER'!$T$2:$T$495&lt;=4)*('CONTROL MASTER'!$V$2:$V$495&gt;=4)*('CONTROL MASTER'!$U$2:$U$495&lt;=5)*('CONTROL MASTER'!$W$2:$W$495&gt;=5))*ROW('CONTROL MASTER'!$S$2:$S$495))-(ROW('CONTROL MASTER'!#REF!)-1)))&amp;TRIM(MID(SUBSTITUTE(SUBSTITUTE(INDEX('CONTROL MASTER'!$N$2:$N$495,(SUMPRODUCT((('CONTROL MASTER'!$S$2:$S$495=3)*('CONTROL MASTER'!$T$2:$T$495&lt;=4)*('CONTROL MASTER'!$V$2:$V$495&gt;=4)*('CONTROL MASTER'!$U$2:$U$495&lt;=5)*('CONTROL MASTER'!$W$2:$W$495&gt;=5))*ROW('CONTROL MASTER'!$S$2:$S$495))-(ROW('CONTROL MASTER'!#REF!)-1))),":",","),",",REPT(" ",50)),((((4-INDEX('CONTROL MASTER'!$T$2:$T$495,(SUMPRODUCT((('CONTROL MASTER'!$S$2:$S$495=3)*('CONTROL MASTER'!$T$2:$T$495&lt;=4)*('CONTROL MASTER'!$V$2:$V$495&gt;=4)*('CONTROL MASTER'!$U$2:$U$495&lt;=5)*('CONTROL MASTER'!$W$2:$W$495&gt;=5))*ROW('CONTROL MASTER'!$S$2:$S$495))-(ROW('CONTROL MASTER'!#REF!)-1))))*(INDEX('CONTROL MASTER'!$W$2:$W$495,(SUMPRODUCT((('CONTROL MASTER'!$S$2:$S$495=3)*('CONTROL MASTER'!$T$2:$T$495&lt;=4)*('CONTROL MASTER'!$V$2:$V$495&gt;=4)*('CONTROL MASTER'!$U$2:$U$495&lt;=5)*('CONTROL MASTER'!$W$2:$W$495&gt;=5))*ROW('CONTROL MASTER'!$S$2:$S$495))-(ROW('CONTROL MASTER'!#REF!)-1)))-INDEX('CONTROL MASTER'!$U$2:$U$495,(SUMPRODUCT((('CONTROL MASTER'!$S$2:$S$495=3)*('CONTROL MASTER'!$T$2:$T$495&lt;=4)*('CONTROL MASTER'!$V$2:$V$495&gt;=4)*('CONTROL MASTER'!$U$2:$U$495&lt;=5)*('CONTROL MASTER'!$W$2:$W$495&gt;=5))*ROW('CONTROL MASTER'!$S$2:$S$495))-(ROW('CONTROL MASTER'!#REF!)-1)))+1)+(5-INDEX('CONTROL MASTER'!$U$2:$U$495,(SUMPRODUCT((('CONTROL MASTER'!$S$2:$S$495=3)*('CONTROL MASTER'!$T$2:$T$495&lt;=4)*('CONTROL MASTER'!$V$2:$V$495&gt;=4)*('CONTROL MASTER'!$U$2:$U$495&lt;=5)*('CONTROL MASTER'!$W$2:$W$495&gt;=5))*ROW('CONTROL MASTER'!$S$2:$S$495))-(ROW('CONTROL MASTER'!#REF!)-1))))+1))-1)*50+1,50))&amp;"_"&amp;INDEX('CONTROL MASTER'!$P$2:$P$495,(SUMPRODUCT((('CONTROL MASTER'!$S$2:$S$495=3)*('CONTROL MASTER'!$T$2:$T$495&lt;=4)*('CONTROL MASTER'!$V$2:$V$495&gt;=4)*('CONTROL MASTER'!$U$2:$U$495&lt;=5)*('CONTROL MASTER'!$W$2:$W$495&gt;=5))*ROW('CONTROL MASTER'!$S$2:$S$495))-(ROW('CONTROL MASTER'!#REF!)-1))),IF(SUMPRODUCT((('CONTROL MASTER'!$S$2:$S$495=3)*('CONTROL MASTER'!$Z$2:$Z$495&lt;=4)*('CONTROL MASTER'!$AB$2:$AB$495&gt;=4)*('CONTROL MASTER'!$AA$2:$AA$495&lt;=5)*('CONTROL MASTER'!$AC$2:$AC$495&gt;=5))*ROW('CONTROL MASTER'!$S$2:$S$495))&gt;0,INDEX('CONTROL MASTER'!$X$2:$X$495,(SUMPRODUCT((('CONTROL MASTER'!$S$2:$S$495=3)*('CONTROL MASTER'!$Z$2:$Z$495&lt;=4)*('CONTROL MASTER'!$AB$2:$AB$495&gt;=4)*('CONTROL MASTER'!$AA$2:$AA$495&lt;=5)*('CONTROL MASTER'!$AC$2:$AC$495&gt;=5))*ROW('CONTROL MASTER'!$S$2:$S$495))-(ROW('CONTROL MASTER'!#REF!)-1)))&amp;TRIM(MID(SUBSTITUTE(SUBSTITUTE(INDEX('CONTROL MASTER'!$N$2:$N$495,(SUMPRODUCT((('CONTROL MASTER'!$S$2:$S$495=3)*('CONTROL MASTER'!$Z$2:$Z$495&lt;=4)*('CONTROL MASTER'!$AB$2:$AB$495&gt;=4)*('CONTROL MASTER'!$AA$2:$AA$495&lt;=5)*('CONTROL MASTER'!$AC$2:$AC$495&gt;=5))*ROW('CONTROL MASTER'!$S$2:$S$495))-(ROW('CONTROL MASTER'!#REF!)-1))),":",","),",",REPT(" ",50)),(((INDEX('CONTROL MASTER'!$Y$2:$Y$495,(SUMPRODUCT((('CONTROL MASTER'!$S$2:$S$495=3)*('CONTROL MASTER'!$Z$2:$Z$495&lt;=4)*('CONTROL MASTER'!$AB$2:$AB$495&gt;=4)*('CONTROL MASTER'!$AA$2:$AA$495&lt;=5)*('CONTROL MASTER'!$AC$2:$AC$495&gt;=5))*ROW('CONTROL MASTER'!$S$2:$S$495))-(ROW('CONTROL MASTER'!#REF!)-1)))+((4-INDEX('CONTROL MASTER'!$Z$2:$Z$495,(SUMPRODUCT((('CONTROL MASTER'!$S$2:$S$495=3)*('CONTROL MASTER'!$Z$2:$Z$495&lt;=4)*('CONTROL MASTER'!$AB$2:$AB$495&gt;=4)*('CONTROL MASTER'!$AA$2:$AA$495&lt;=5)*('CONTROL MASTER'!$AC$2:$AC$495&gt;=5))*ROW('CONTROL MASTER'!$S$2:$S$495))-(ROW('CONTROL MASTER'!#REF!)-1))))*(INDEX('CONTROL MASTER'!$AC$2:$AC$495,(SUMPRODUCT((('CONTROL MASTER'!$S$2:$S$495=3)*('CONTROL MASTER'!$Z$2:$Z$495&lt;=4)*('CONTROL MASTER'!$AB$2:$AB$495&gt;=4)*('CONTROL MASTER'!$AA$2:$AA$495&lt;=5)*('CONTROL MASTER'!$AC$2:$AC$495&gt;=5))*ROW('CONTROL MASTER'!$S$2:$S$495))-(ROW('CONTROL MASTER'!#REF!)-1)))-INDEX('CONTROL MASTER'!$AA$2:$AA$495,(SUMPRODUCT((('CONTROL MASTER'!$S$2:$S$495=3)*('CONTROL MASTER'!$Z$2:$Z$495&lt;=4)*('CONTROL MASTER'!$AB$2:$AB$495&gt;=4)*('CONTROL MASTER'!$AA$2:$AA$495&lt;=5)*('CONTROL MASTER'!$AC$2:$AC$495&gt;=5))*ROW('CONTROL MASTER'!$S$2:$S$495))-(ROW('CONTROL MASTER'!#REF!)-1)))+1)+(5-INDEX('CONTROL MASTER'!$AA$2:$AA$495,(SUMPRODUCT((('CONTROL MASTER'!$S$2:$S$495=3)*('CONTROL MASTER'!$Z$2:$Z$495&lt;=4)*('CONTROL MASTER'!$AB$2:$AB$495&gt;=4)*('CONTROL MASTER'!$AA$2:$AA$495&lt;=5)*('CONTROL MASTER'!$AC$2:$AC$495&gt;=5))*ROW('CONTROL MASTER'!$S$2:$S$495))-(ROW('CONTROL MASTER'!#REF!)-1))))+1)))-1)*50+1,50))&amp;"_"&amp;INDEX('CONTROL MASTER'!$P$2:$P$495,(SUMPRODUCT((('CONTROL MASTER'!$S$2:$S$495=3)*('CONTROL MASTER'!$Z$2:$Z$495&lt;=4)*('CONTROL MASTER'!$AB$2:$AB$495&gt;=4)*('CONTROL MASTER'!$AA$2:$AA$495&lt;=5)*('CONTROL MASTER'!$AC$2:$AC$495&gt;=5))*ROW('CONTROL MASTER'!$S$2:$S$495))-(ROW('CONTROL MASTER'!#REF!)-1))),"")),"")</f>
        <v/>
      </c>
      <c r="G34" s="10" t="str">
        <f>IFERROR(IF(SUMPRODUCT((('CONTROL MASTER'!$S$2:$S$495=3)*('CONTROL MASTER'!$T$2:$T$495&lt;=4)*('CONTROL MASTER'!$V$2:$V$495&gt;=4)*('CONTROL MASTER'!$U$2:$U$495&lt;=6)*('CONTROL MASTER'!$W$2:$W$495&gt;=6))*ROW('CONTROL MASTER'!$S$2:$S$495))&gt;0,INDEX('CONTROL MASTER'!$X$2:$X$495,(SUMPRODUCT((('CONTROL MASTER'!$S$2:$S$495=3)*('CONTROL MASTER'!$T$2:$T$495&lt;=4)*('CONTROL MASTER'!$V$2:$V$495&gt;=4)*('CONTROL MASTER'!$U$2:$U$495&lt;=6)*('CONTROL MASTER'!$W$2:$W$495&gt;=6))*ROW('CONTROL MASTER'!$S$2:$S$495))-(ROW('CONTROL MASTER'!#REF!)-1)))&amp;TRIM(MID(SUBSTITUTE(SUBSTITUTE(INDEX('CONTROL MASTER'!$N$2:$N$495,(SUMPRODUCT((('CONTROL MASTER'!$S$2:$S$495=3)*('CONTROL MASTER'!$T$2:$T$495&lt;=4)*('CONTROL MASTER'!$V$2:$V$495&gt;=4)*('CONTROL MASTER'!$U$2:$U$495&lt;=6)*('CONTROL MASTER'!$W$2:$W$495&gt;=6))*ROW('CONTROL MASTER'!$S$2:$S$495))-(ROW('CONTROL MASTER'!#REF!)-1))),":",","),",",REPT(" ",50)),((((4-INDEX('CONTROL MASTER'!$T$2:$T$495,(SUMPRODUCT((('CONTROL MASTER'!$S$2:$S$495=3)*('CONTROL MASTER'!$T$2:$T$495&lt;=4)*('CONTROL MASTER'!$V$2:$V$495&gt;=4)*('CONTROL MASTER'!$U$2:$U$495&lt;=6)*('CONTROL MASTER'!$W$2:$W$495&gt;=6))*ROW('CONTROL MASTER'!$S$2:$S$495))-(ROW('CONTROL MASTER'!#REF!)-1))))*(INDEX('CONTROL MASTER'!$W$2:$W$495,(SUMPRODUCT((('CONTROL MASTER'!$S$2:$S$495=3)*('CONTROL MASTER'!$T$2:$T$495&lt;=4)*('CONTROL MASTER'!$V$2:$V$495&gt;=4)*('CONTROL MASTER'!$U$2:$U$495&lt;=6)*('CONTROL MASTER'!$W$2:$W$495&gt;=6))*ROW('CONTROL MASTER'!$S$2:$S$495))-(ROW('CONTROL MASTER'!#REF!)-1)))-INDEX('CONTROL MASTER'!$U$2:$U$495,(SUMPRODUCT((('CONTROL MASTER'!$S$2:$S$495=3)*('CONTROL MASTER'!$T$2:$T$495&lt;=4)*('CONTROL MASTER'!$V$2:$V$495&gt;=4)*('CONTROL MASTER'!$U$2:$U$495&lt;=6)*('CONTROL MASTER'!$W$2:$W$495&gt;=6))*ROW('CONTROL MASTER'!$S$2:$S$495))-(ROW('CONTROL MASTER'!#REF!)-1)))+1)+(6-INDEX('CONTROL MASTER'!$U$2:$U$495,(SUMPRODUCT((('CONTROL MASTER'!$S$2:$S$495=3)*('CONTROL MASTER'!$T$2:$T$495&lt;=4)*('CONTROL MASTER'!$V$2:$V$495&gt;=4)*('CONTROL MASTER'!$U$2:$U$495&lt;=6)*('CONTROL MASTER'!$W$2:$W$495&gt;=6))*ROW('CONTROL MASTER'!$S$2:$S$495))-(ROW('CONTROL MASTER'!#REF!)-1))))+1))-1)*50+1,50))&amp;"_"&amp;INDEX('CONTROL MASTER'!$P$2:$P$495,(SUMPRODUCT((('CONTROL MASTER'!$S$2:$S$495=3)*('CONTROL MASTER'!$T$2:$T$495&lt;=4)*('CONTROL MASTER'!$V$2:$V$495&gt;=4)*('CONTROL MASTER'!$U$2:$U$495&lt;=6)*('CONTROL MASTER'!$W$2:$W$495&gt;=6))*ROW('CONTROL MASTER'!$S$2:$S$495))-(ROW('CONTROL MASTER'!#REF!)-1))),IF(SUMPRODUCT((('CONTROL MASTER'!$S$2:$S$495=3)*('CONTROL MASTER'!$Z$2:$Z$495&lt;=4)*('CONTROL MASTER'!$AB$2:$AB$495&gt;=4)*('CONTROL MASTER'!$AA$2:$AA$495&lt;=6)*('CONTROL MASTER'!$AC$2:$AC$495&gt;=6))*ROW('CONTROL MASTER'!$S$2:$S$495))&gt;0,INDEX('CONTROL MASTER'!$X$2:$X$495,(SUMPRODUCT((('CONTROL MASTER'!$S$2:$S$495=3)*('CONTROL MASTER'!$Z$2:$Z$495&lt;=4)*('CONTROL MASTER'!$AB$2:$AB$495&gt;=4)*('CONTROL MASTER'!$AA$2:$AA$495&lt;=6)*('CONTROL MASTER'!$AC$2:$AC$495&gt;=6))*ROW('CONTROL MASTER'!$S$2:$S$495))-(ROW('CONTROL MASTER'!#REF!)-1)))&amp;TRIM(MID(SUBSTITUTE(SUBSTITUTE(INDEX('CONTROL MASTER'!$N$2:$N$495,(SUMPRODUCT((('CONTROL MASTER'!$S$2:$S$495=3)*('CONTROL MASTER'!$Z$2:$Z$495&lt;=4)*('CONTROL MASTER'!$AB$2:$AB$495&gt;=4)*('CONTROL MASTER'!$AA$2:$AA$495&lt;=6)*('CONTROL MASTER'!$AC$2:$AC$495&gt;=6))*ROW('CONTROL MASTER'!$S$2:$S$495))-(ROW('CONTROL MASTER'!#REF!)-1))),":",","),",",REPT(" ",50)),(((INDEX('CONTROL MASTER'!$Y$2:$Y$495,(SUMPRODUCT((('CONTROL MASTER'!$S$2:$S$495=3)*('CONTROL MASTER'!$Z$2:$Z$495&lt;=4)*('CONTROL MASTER'!$AB$2:$AB$495&gt;=4)*('CONTROL MASTER'!$AA$2:$AA$495&lt;=6)*('CONTROL MASTER'!$AC$2:$AC$495&gt;=6))*ROW('CONTROL MASTER'!$S$2:$S$495))-(ROW('CONTROL MASTER'!#REF!)-1)))+((4-INDEX('CONTROL MASTER'!$Z$2:$Z$495,(SUMPRODUCT((('CONTROL MASTER'!$S$2:$S$495=3)*('CONTROL MASTER'!$Z$2:$Z$495&lt;=4)*('CONTROL MASTER'!$AB$2:$AB$495&gt;=4)*('CONTROL MASTER'!$AA$2:$AA$495&lt;=6)*('CONTROL MASTER'!$AC$2:$AC$495&gt;=6))*ROW('CONTROL MASTER'!$S$2:$S$495))-(ROW('CONTROL MASTER'!#REF!)-1))))*(INDEX('CONTROL MASTER'!$AC$2:$AC$495,(SUMPRODUCT((('CONTROL MASTER'!$S$2:$S$495=3)*('CONTROL MASTER'!$Z$2:$Z$495&lt;=4)*('CONTROL MASTER'!$AB$2:$AB$495&gt;=4)*('CONTROL MASTER'!$AA$2:$AA$495&lt;=6)*('CONTROL MASTER'!$AC$2:$AC$495&gt;=6))*ROW('CONTROL MASTER'!$S$2:$S$495))-(ROW('CONTROL MASTER'!#REF!)-1)))-INDEX('CONTROL MASTER'!$AA$2:$AA$495,(SUMPRODUCT((('CONTROL MASTER'!$S$2:$S$495=3)*('CONTROL MASTER'!$Z$2:$Z$495&lt;=4)*('CONTROL MASTER'!$AB$2:$AB$495&gt;=4)*('CONTROL MASTER'!$AA$2:$AA$495&lt;=6)*('CONTROL MASTER'!$AC$2:$AC$495&gt;=6))*ROW('CONTROL MASTER'!$S$2:$S$495))-(ROW('CONTROL MASTER'!#REF!)-1)))+1)+(6-INDEX('CONTROL MASTER'!$AA$2:$AA$495,(SUMPRODUCT((('CONTROL MASTER'!$S$2:$S$495=3)*('CONTROL MASTER'!$Z$2:$Z$495&lt;=4)*('CONTROL MASTER'!$AB$2:$AB$495&gt;=4)*('CONTROL MASTER'!$AA$2:$AA$495&lt;=6)*('CONTROL MASTER'!$AC$2:$AC$495&gt;=6))*ROW('CONTROL MASTER'!$S$2:$S$495))-(ROW('CONTROL MASTER'!#REF!)-1))))+1)))-1)*50+1,50))&amp;"_"&amp;INDEX('CONTROL MASTER'!$P$2:$P$495,(SUMPRODUCT((('CONTROL MASTER'!$S$2:$S$495=3)*('CONTROL MASTER'!$Z$2:$Z$495&lt;=4)*('CONTROL MASTER'!$AB$2:$AB$495&gt;=4)*('CONTROL MASTER'!$AA$2:$AA$495&lt;=6)*('CONTROL MASTER'!$AC$2:$AC$495&gt;=6))*ROW('CONTROL MASTER'!$S$2:$S$495))-(ROW('CONTROL MASTER'!#REF!)-1))),"")),"")</f>
        <v/>
      </c>
      <c r="H34" s="10" t="str">
        <f>IFERROR(IF(SUMPRODUCT((('CONTROL MASTER'!$S$2:$S$495=3)*('CONTROL MASTER'!$T$2:$T$495&lt;=4)*('CONTROL MASTER'!$V$2:$V$495&gt;=4)*('CONTROL MASTER'!$U$2:$U$495&lt;=7)*('CONTROL MASTER'!$W$2:$W$495&gt;=7))*ROW('CONTROL MASTER'!$S$2:$S$495))&gt;0,INDEX('CONTROL MASTER'!$X$2:$X$495,(SUMPRODUCT((('CONTROL MASTER'!$S$2:$S$495=3)*('CONTROL MASTER'!$T$2:$T$495&lt;=4)*('CONTROL MASTER'!$V$2:$V$495&gt;=4)*('CONTROL MASTER'!$U$2:$U$495&lt;=7)*('CONTROL MASTER'!$W$2:$W$495&gt;=7))*ROW('CONTROL MASTER'!$S$2:$S$495))-(ROW('CONTROL MASTER'!#REF!)-1)))&amp;TRIM(MID(SUBSTITUTE(SUBSTITUTE(INDEX('CONTROL MASTER'!$N$2:$N$495,(SUMPRODUCT((('CONTROL MASTER'!$S$2:$S$495=3)*('CONTROL MASTER'!$T$2:$T$495&lt;=4)*('CONTROL MASTER'!$V$2:$V$495&gt;=4)*('CONTROL MASTER'!$U$2:$U$495&lt;=7)*('CONTROL MASTER'!$W$2:$W$495&gt;=7))*ROW('CONTROL MASTER'!$S$2:$S$495))-(ROW('CONTROL MASTER'!#REF!)-1))),":",","),",",REPT(" ",50)),((((4-INDEX('CONTROL MASTER'!$T$2:$T$495,(SUMPRODUCT((('CONTROL MASTER'!$S$2:$S$495=3)*('CONTROL MASTER'!$T$2:$T$495&lt;=4)*('CONTROL MASTER'!$V$2:$V$495&gt;=4)*('CONTROL MASTER'!$U$2:$U$495&lt;=7)*('CONTROL MASTER'!$W$2:$W$495&gt;=7))*ROW('CONTROL MASTER'!$S$2:$S$495))-(ROW('CONTROL MASTER'!#REF!)-1))))*(INDEX('CONTROL MASTER'!$W$2:$W$495,(SUMPRODUCT((('CONTROL MASTER'!$S$2:$S$495=3)*('CONTROL MASTER'!$T$2:$T$495&lt;=4)*('CONTROL MASTER'!$V$2:$V$495&gt;=4)*('CONTROL MASTER'!$U$2:$U$495&lt;=7)*('CONTROL MASTER'!$W$2:$W$495&gt;=7))*ROW('CONTROL MASTER'!$S$2:$S$495))-(ROW('CONTROL MASTER'!#REF!)-1)))-INDEX('CONTROL MASTER'!$U$2:$U$495,(SUMPRODUCT((('CONTROL MASTER'!$S$2:$S$495=3)*('CONTROL MASTER'!$T$2:$T$495&lt;=4)*('CONTROL MASTER'!$V$2:$V$495&gt;=4)*('CONTROL MASTER'!$U$2:$U$495&lt;=7)*('CONTROL MASTER'!$W$2:$W$495&gt;=7))*ROW('CONTROL MASTER'!$S$2:$S$495))-(ROW('CONTROL MASTER'!#REF!)-1)))+1)+(7-INDEX('CONTROL MASTER'!$U$2:$U$495,(SUMPRODUCT((('CONTROL MASTER'!$S$2:$S$495=3)*('CONTROL MASTER'!$T$2:$T$495&lt;=4)*('CONTROL MASTER'!$V$2:$V$495&gt;=4)*('CONTROL MASTER'!$U$2:$U$495&lt;=7)*('CONTROL MASTER'!$W$2:$W$495&gt;=7))*ROW('CONTROL MASTER'!$S$2:$S$495))-(ROW('CONTROL MASTER'!#REF!)-1))))+1))-1)*50+1,50))&amp;"_"&amp;INDEX('CONTROL MASTER'!$P$2:$P$495,(SUMPRODUCT((('CONTROL MASTER'!$S$2:$S$495=3)*('CONTROL MASTER'!$T$2:$T$495&lt;=4)*('CONTROL MASTER'!$V$2:$V$495&gt;=4)*('CONTROL MASTER'!$U$2:$U$495&lt;=7)*('CONTROL MASTER'!$W$2:$W$495&gt;=7))*ROW('CONTROL MASTER'!$S$2:$S$495))-(ROW('CONTROL MASTER'!#REF!)-1))),IF(SUMPRODUCT((('CONTROL MASTER'!$S$2:$S$495=3)*('CONTROL MASTER'!$Z$2:$Z$495&lt;=4)*('CONTROL MASTER'!$AB$2:$AB$495&gt;=4)*('CONTROL MASTER'!$AA$2:$AA$495&lt;=7)*('CONTROL MASTER'!$AC$2:$AC$495&gt;=7))*ROW('CONTROL MASTER'!$S$2:$S$495))&gt;0,INDEX('CONTROL MASTER'!$X$2:$X$495,(SUMPRODUCT((('CONTROL MASTER'!$S$2:$S$495=3)*('CONTROL MASTER'!$Z$2:$Z$495&lt;=4)*('CONTROL MASTER'!$AB$2:$AB$495&gt;=4)*('CONTROL MASTER'!$AA$2:$AA$495&lt;=7)*('CONTROL MASTER'!$AC$2:$AC$495&gt;=7))*ROW('CONTROL MASTER'!$S$2:$S$495))-(ROW('CONTROL MASTER'!#REF!)-1)))&amp;TRIM(MID(SUBSTITUTE(SUBSTITUTE(INDEX('CONTROL MASTER'!$N$2:$N$495,(SUMPRODUCT((('CONTROL MASTER'!$S$2:$S$495=3)*('CONTROL MASTER'!$Z$2:$Z$495&lt;=4)*('CONTROL MASTER'!$AB$2:$AB$495&gt;=4)*('CONTROL MASTER'!$AA$2:$AA$495&lt;=7)*('CONTROL MASTER'!$AC$2:$AC$495&gt;=7))*ROW('CONTROL MASTER'!$S$2:$S$495))-(ROW('CONTROL MASTER'!#REF!)-1))),":",","),",",REPT(" ",50)),(((INDEX('CONTROL MASTER'!$Y$2:$Y$495,(SUMPRODUCT((('CONTROL MASTER'!$S$2:$S$495=3)*('CONTROL MASTER'!$Z$2:$Z$495&lt;=4)*('CONTROL MASTER'!$AB$2:$AB$495&gt;=4)*('CONTROL MASTER'!$AA$2:$AA$495&lt;=7)*('CONTROL MASTER'!$AC$2:$AC$495&gt;=7))*ROW('CONTROL MASTER'!$S$2:$S$495))-(ROW('CONTROL MASTER'!#REF!)-1)))+((4-INDEX('CONTROL MASTER'!$Z$2:$Z$495,(SUMPRODUCT((('CONTROL MASTER'!$S$2:$S$495=3)*('CONTROL MASTER'!$Z$2:$Z$495&lt;=4)*('CONTROL MASTER'!$AB$2:$AB$495&gt;=4)*('CONTROL MASTER'!$AA$2:$AA$495&lt;=7)*('CONTROL MASTER'!$AC$2:$AC$495&gt;=7))*ROW('CONTROL MASTER'!$S$2:$S$495))-(ROW('CONTROL MASTER'!#REF!)-1))))*(INDEX('CONTROL MASTER'!$AC$2:$AC$495,(SUMPRODUCT((('CONTROL MASTER'!$S$2:$S$495=3)*('CONTROL MASTER'!$Z$2:$Z$495&lt;=4)*('CONTROL MASTER'!$AB$2:$AB$495&gt;=4)*('CONTROL MASTER'!$AA$2:$AA$495&lt;=7)*('CONTROL MASTER'!$AC$2:$AC$495&gt;=7))*ROW('CONTROL MASTER'!$S$2:$S$495))-(ROW('CONTROL MASTER'!#REF!)-1)))-INDEX('CONTROL MASTER'!$AA$2:$AA$495,(SUMPRODUCT((('CONTROL MASTER'!$S$2:$S$495=3)*('CONTROL MASTER'!$Z$2:$Z$495&lt;=4)*('CONTROL MASTER'!$AB$2:$AB$495&gt;=4)*('CONTROL MASTER'!$AA$2:$AA$495&lt;=7)*('CONTROL MASTER'!$AC$2:$AC$495&gt;=7))*ROW('CONTROL MASTER'!$S$2:$S$495))-(ROW('CONTROL MASTER'!#REF!)-1)))+1)+(7-INDEX('CONTROL MASTER'!$AA$2:$AA$495,(SUMPRODUCT((('CONTROL MASTER'!$S$2:$S$495=3)*('CONTROL MASTER'!$Z$2:$Z$495&lt;=4)*('CONTROL MASTER'!$AB$2:$AB$495&gt;=4)*('CONTROL MASTER'!$AA$2:$AA$495&lt;=7)*('CONTROL MASTER'!$AC$2:$AC$495&gt;=7))*ROW('CONTROL MASTER'!$S$2:$S$495))-(ROW('CONTROL MASTER'!#REF!)-1))))+1)))-1)*50+1,50))&amp;"_"&amp;INDEX('CONTROL MASTER'!$P$2:$P$495,(SUMPRODUCT((('CONTROL MASTER'!$S$2:$S$495=3)*('CONTROL MASTER'!$Z$2:$Z$495&lt;=4)*('CONTROL MASTER'!$AB$2:$AB$495&gt;=4)*('CONTROL MASTER'!$AA$2:$AA$495&lt;=7)*('CONTROL MASTER'!$AC$2:$AC$495&gt;=7))*ROW('CONTROL MASTER'!$S$2:$S$495))-(ROW('CONTROL MASTER'!#REF!)-1))),"")),"")</f>
        <v/>
      </c>
      <c r="I34" s="10" t="str">
        <f>IFERROR(IF(SUMPRODUCT((('CONTROL MASTER'!$S$2:$S$495=3)*('CONTROL MASTER'!$T$2:$T$495&lt;=4)*('CONTROL MASTER'!$V$2:$V$495&gt;=4)*('CONTROL MASTER'!$U$2:$U$495&lt;=8)*('CONTROL MASTER'!$W$2:$W$495&gt;=8))*ROW('CONTROL MASTER'!$S$2:$S$495))&gt;0,INDEX('CONTROL MASTER'!$X$2:$X$495,(SUMPRODUCT((('CONTROL MASTER'!$S$2:$S$495=3)*('CONTROL MASTER'!$T$2:$T$495&lt;=4)*('CONTROL MASTER'!$V$2:$V$495&gt;=4)*('CONTROL MASTER'!$U$2:$U$495&lt;=8)*('CONTROL MASTER'!$W$2:$W$495&gt;=8))*ROW('CONTROL MASTER'!$S$2:$S$495))-(ROW('CONTROL MASTER'!#REF!)-1)))&amp;TRIM(MID(SUBSTITUTE(SUBSTITUTE(INDEX('CONTROL MASTER'!$N$2:$N$495,(SUMPRODUCT((('CONTROL MASTER'!$S$2:$S$495=3)*('CONTROL MASTER'!$T$2:$T$495&lt;=4)*('CONTROL MASTER'!$V$2:$V$495&gt;=4)*('CONTROL MASTER'!$U$2:$U$495&lt;=8)*('CONTROL MASTER'!$W$2:$W$495&gt;=8))*ROW('CONTROL MASTER'!$S$2:$S$495))-(ROW('CONTROL MASTER'!#REF!)-1))),":",","),",",REPT(" ",50)),((((4-INDEX('CONTROL MASTER'!$T$2:$T$495,(SUMPRODUCT((('CONTROL MASTER'!$S$2:$S$495=3)*('CONTROL MASTER'!$T$2:$T$495&lt;=4)*('CONTROL MASTER'!$V$2:$V$495&gt;=4)*('CONTROL MASTER'!$U$2:$U$495&lt;=8)*('CONTROL MASTER'!$W$2:$W$495&gt;=8))*ROW('CONTROL MASTER'!$S$2:$S$495))-(ROW('CONTROL MASTER'!#REF!)-1))))*(INDEX('CONTROL MASTER'!$W$2:$W$495,(SUMPRODUCT((('CONTROL MASTER'!$S$2:$S$495=3)*('CONTROL MASTER'!$T$2:$T$495&lt;=4)*('CONTROL MASTER'!$V$2:$V$495&gt;=4)*('CONTROL MASTER'!$U$2:$U$495&lt;=8)*('CONTROL MASTER'!$W$2:$W$495&gt;=8))*ROW('CONTROL MASTER'!$S$2:$S$495))-(ROW('CONTROL MASTER'!#REF!)-1)))-INDEX('CONTROL MASTER'!$U$2:$U$495,(SUMPRODUCT((('CONTROL MASTER'!$S$2:$S$495=3)*('CONTROL MASTER'!$T$2:$T$495&lt;=4)*('CONTROL MASTER'!$V$2:$V$495&gt;=4)*('CONTROL MASTER'!$U$2:$U$495&lt;=8)*('CONTROL MASTER'!$W$2:$W$495&gt;=8))*ROW('CONTROL MASTER'!$S$2:$S$495))-(ROW('CONTROL MASTER'!#REF!)-1)))+1)+(8-INDEX('CONTROL MASTER'!$U$2:$U$495,(SUMPRODUCT((('CONTROL MASTER'!$S$2:$S$495=3)*('CONTROL MASTER'!$T$2:$T$495&lt;=4)*('CONTROL MASTER'!$V$2:$V$495&gt;=4)*('CONTROL MASTER'!$U$2:$U$495&lt;=8)*('CONTROL MASTER'!$W$2:$W$495&gt;=8))*ROW('CONTROL MASTER'!$S$2:$S$495))-(ROW('CONTROL MASTER'!#REF!)-1))))+1))-1)*50+1,50))&amp;"_"&amp;INDEX('CONTROL MASTER'!$P$2:$P$495,(SUMPRODUCT((('CONTROL MASTER'!$S$2:$S$495=3)*('CONTROL MASTER'!$T$2:$T$495&lt;=4)*('CONTROL MASTER'!$V$2:$V$495&gt;=4)*('CONTROL MASTER'!$U$2:$U$495&lt;=8)*('CONTROL MASTER'!$W$2:$W$495&gt;=8))*ROW('CONTROL MASTER'!$S$2:$S$495))-(ROW('CONTROL MASTER'!#REF!)-1))),IF(SUMPRODUCT((('CONTROL MASTER'!$S$2:$S$495=3)*('CONTROL MASTER'!$Z$2:$Z$495&lt;=4)*('CONTROL MASTER'!$AB$2:$AB$495&gt;=4)*('CONTROL MASTER'!$AA$2:$AA$495&lt;=8)*('CONTROL MASTER'!$AC$2:$AC$495&gt;=8))*ROW('CONTROL MASTER'!$S$2:$S$495))&gt;0,INDEX('CONTROL MASTER'!$X$2:$X$495,(SUMPRODUCT((('CONTROL MASTER'!$S$2:$S$495=3)*('CONTROL MASTER'!$Z$2:$Z$495&lt;=4)*('CONTROL MASTER'!$AB$2:$AB$495&gt;=4)*('CONTROL MASTER'!$AA$2:$AA$495&lt;=8)*('CONTROL MASTER'!$AC$2:$AC$495&gt;=8))*ROW('CONTROL MASTER'!$S$2:$S$495))-(ROW('CONTROL MASTER'!#REF!)-1)))&amp;TRIM(MID(SUBSTITUTE(SUBSTITUTE(INDEX('CONTROL MASTER'!$N$2:$N$495,(SUMPRODUCT((('CONTROL MASTER'!$S$2:$S$495=3)*('CONTROL MASTER'!$Z$2:$Z$495&lt;=4)*('CONTROL MASTER'!$AB$2:$AB$495&gt;=4)*('CONTROL MASTER'!$AA$2:$AA$495&lt;=8)*('CONTROL MASTER'!$AC$2:$AC$495&gt;=8))*ROW('CONTROL MASTER'!$S$2:$S$495))-(ROW('CONTROL MASTER'!#REF!)-1))),":",","),",",REPT(" ",50)),(((INDEX('CONTROL MASTER'!$Y$2:$Y$495,(SUMPRODUCT((('CONTROL MASTER'!$S$2:$S$495=3)*('CONTROL MASTER'!$Z$2:$Z$495&lt;=4)*('CONTROL MASTER'!$AB$2:$AB$495&gt;=4)*('CONTROL MASTER'!$AA$2:$AA$495&lt;=8)*('CONTROL MASTER'!$AC$2:$AC$495&gt;=8))*ROW('CONTROL MASTER'!$S$2:$S$495))-(ROW('CONTROL MASTER'!#REF!)-1)))+((4-INDEX('CONTROL MASTER'!$Z$2:$Z$495,(SUMPRODUCT((('CONTROL MASTER'!$S$2:$S$495=3)*('CONTROL MASTER'!$Z$2:$Z$495&lt;=4)*('CONTROL MASTER'!$AB$2:$AB$495&gt;=4)*('CONTROL MASTER'!$AA$2:$AA$495&lt;=8)*('CONTROL MASTER'!$AC$2:$AC$495&gt;=8))*ROW('CONTROL MASTER'!$S$2:$S$495))-(ROW('CONTROL MASTER'!#REF!)-1))))*(INDEX('CONTROL MASTER'!$AC$2:$AC$495,(SUMPRODUCT((('CONTROL MASTER'!$S$2:$S$495=3)*('CONTROL MASTER'!$Z$2:$Z$495&lt;=4)*('CONTROL MASTER'!$AB$2:$AB$495&gt;=4)*('CONTROL MASTER'!$AA$2:$AA$495&lt;=8)*('CONTROL MASTER'!$AC$2:$AC$495&gt;=8))*ROW('CONTROL MASTER'!$S$2:$S$495))-(ROW('CONTROL MASTER'!#REF!)-1)))-INDEX('CONTROL MASTER'!$AA$2:$AA$495,(SUMPRODUCT((('CONTROL MASTER'!$S$2:$S$495=3)*('CONTROL MASTER'!$Z$2:$Z$495&lt;=4)*('CONTROL MASTER'!$AB$2:$AB$495&gt;=4)*('CONTROL MASTER'!$AA$2:$AA$495&lt;=8)*('CONTROL MASTER'!$AC$2:$AC$495&gt;=8))*ROW('CONTROL MASTER'!$S$2:$S$495))-(ROW('CONTROL MASTER'!#REF!)-1)))+1)+(8-INDEX('CONTROL MASTER'!$AA$2:$AA$495,(SUMPRODUCT((('CONTROL MASTER'!$S$2:$S$495=3)*('CONTROL MASTER'!$Z$2:$Z$495&lt;=4)*('CONTROL MASTER'!$AB$2:$AB$495&gt;=4)*('CONTROL MASTER'!$AA$2:$AA$495&lt;=8)*('CONTROL MASTER'!$AC$2:$AC$495&gt;=8))*ROW('CONTROL MASTER'!$S$2:$S$495))-(ROW('CONTROL MASTER'!#REF!)-1))))+1)))-1)*50+1,50))&amp;"_"&amp;INDEX('CONTROL MASTER'!$P$2:$P$495,(SUMPRODUCT((('CONTROL MASTER'!$S$2:$S$495=3)*('CONTROL MASTER'!$Z$2:$Z$495&lt;=4)*('CONTROL MASTER'!$AB$2:$AB$495&gt;=4)*('CONTROL MASTER'!$AA$2:$AA$495&lt;=8)*('CONTROL MASTER'!$AC$2:$AC$495&gt;=8))*ROW('CONTROL MASTER'!$S$2:$S$495))-(ROW('CONTROL MASTER'!#REF!)-1))),"")),"")</f>
        <v/>
      </c>
      <c r="J34" s="10" t="str">
        <f>IFERROR(IF(SUMPRODUCT((('CONTROL MASTER'!$S$2:$S$495=3)*('CONTROL MASTER'!$T$2:$T$495&lt;=4)*('CONTROL MASTER'!$V$2:$V$495&gt;=4)*('CONTROL MASTER'!$U$2:$U$495&lt;=9)*('CONTROL MASTER'!$W$2:$W$495&gt;=9))*ROW('CONTROL MASTER'!$S$2:$S$495))&gt;0,INDEX('CONTROL MASTER'!$X$2:$X$495,(SUMPRODUCT((('CONTROL MASTER'!$S$2:$S$495=3)*('CONTROL MASTER'!$T$2:$T$495&lt;=4)*('CONTROL MASTER'!$V$2:$V$495&gt;=4)*('CONTROL MASTER'!$U$2:$U$495&lt;=9)*('CONTROL MASTER'!$W$2:$W$495&gt;=9))*ROW('CONTROL MASTER'!$S$2:$S$495))-(ROW('CONTROL MASTER'!#REF!)-1)))&amp;TRIM(MID(SUBSTITUTE(SUBSTITUTE(INDEX('CONTROL MASTER'!$N$2:$N$495,(SUMPRODUCT((('CONTROL MASTER'!$S$2:$S$495=3)*('CONTROL MASTER'!$T$2:$T$495&lt;=4)*('CONTROL MASTER'!$V$2:$V$495&gt;=4)*('CONTROL MASTER'!$U$2:$U$495&lt;=9)*('CONTROL MASTER'!$W$2:$W$495&gt;=9))*ROW('CONTROL MASTER'!$S$2:$S$495))-(ROW('CONTROL MASTER'!#REF!)-1))),":",","),",",REPT(" ",50)),((((4-INDEX('CONTROL MASTER'!$T$2:$T$495,(SUMPRODUCT((('CONTROL MASTER'!$S$2:$S$495=3)*('CONTROL MASTER'!$T$2:$T$495&lt;=4)*('CONTROL MASTER'!$V$2:$V$495&gt;=4)*('CONTROL MASTER'!$U$2:$U$495&lt;=9)*('CONTROL MASTER'!$W$2:$W$495&gt;=9))*ROW('CONTROL MASTER'!$S$2:$S$495))-(ROW('CONTROL MASTER'!#REF!)-1))))*(INDEX('CONTROL MASTER'!$W$2:$W$495,(SUMPRODUCT((('CONTROL MASTER'!$S$2:$S$495=3)*('CONTROL MASTER'!$T$2:$T$495&lt;=4)*('CONTROL MASTER'!$V$2:$V$495&gt;=4)*('CONTROL MASTER'!$U$2:$U$495&lt;=9)*('CONTROL MASTER'!$W$2:$W$495&gt;=9))*ROW('CONTROL MASTER'!$S$2:$S$495))-(ROW('CONTROL MASTER'!#REF!)-1)))-INDEX('CONTROL MASTER'!$U$2:$U$495,(SUMPRODUCT((('CONTROL MASTER'!$S$2:$S$495=3)*('CONTROL MASTER'!$T$2:$T$495&lt;=4)*('CONTROL MASTER'!$V$2:$V$495&gt;=4)*('CONTROL MASTER'!$U$2:$U$495&lt;=9)*('CONTROL MASTER'!$W$2:$W$495&gt;=9))*ROW('CONTROL MASTER'!$S$2:$S$495))-(ROW('CONTROL MASTER'!#REF!)-1)))+1)+(9-INDEX('CONTROL MASTER'!$U$2:$U$495,(SUMPRODUCT((('CONTROL MASTER'!$S$2:$S$495=3)*('CONTROL MASTER'!$T$2:$T$495&lt;=4)*('CONTROL MASTER'!$V$2:$V$495&gt;=4)*('CONTROL MASTER'!$U$2:$U$495&lt;=9)*('CONTROL MASTER'!$W$2:$W$495&gt;=9))*ROW('CONTROL MASTER'!$S$2:$S$495))-(ROW('CONTROL MASTER'!#REF!)-1))))+1))-1)*50+1,50))&amp;"_"&amp;INDEX('CONTROL MASTER'!$P$2:$P$495,(SUMPRODUCT((('CONTROL MASTER'!$S$2:$S$495=3)*('CONTROL MASTER'!$T$2:$T$495&lt;=4)*('CONTROL MASTER'!$V$2:$V$495&gt;=4)*('CONTROL MASTER'!$U$2:$U$495&lt;=9)*('CONTROL MASTER'!$W$2:$W$495&gt;=9))*ROW('CONTROL MASTER'!$S$2:$S$495))-(ROW('CONTROL MASTER'!#REF!)-1))),IF(SUMPRODUCT((('CONTROL MASTER'!$S$2:$S$495=3)*('CONTROL MASTER'!$Z$2:$Z$495&lt;=4)*('CONTROL MASTER'!$AB$2:$AB$495&gt;=4)*('CONTROL MASTER'!$AA$2:$AA$495&lt;=9)*('CONTROL MASTER'!$AC$2:$AC$495&gt;=9))*ROW('CONTROL MASTER'!$S$2:$S$495))&gt;0,INDEX('CONTROL MASTER'!$X$2:$X$495,(SUMPRODUCT((('CONTROL MASTER'!$S$2:$S$495=3)*('CONTROL MASTER'!$Z$2:$Z$495&lt;=4)*('CONTROL MASTER'!$AB$2:$AB$495&gt;=4)*('CONTROL MASTER'!$AA$2:$AA$495&lt;=9)*('CONTROL MASTER'!$AC$2:$AC$495&gt;=9))*ROW('CONTROL MASTER'!$S$2:$S$495))-(ROW('CONTROL MASTER'!#REF!)-1)))&amp;TRIM(MID(SUBSTITUTE(SUBSTITUTE(INDEX('CONTROL MASTER'!$N$2:$N$495,(SUMPRODUCT((('CONTROL MASTER'!$S$2:$S$495=3)*('CONTROL MASTER'!$Z$2:$Z$495&lt;=4)*('CONTROL MASTER'!$AB$2:$AB$495&gt;=4)*('CONTROL MASTER'!$AA$2:$AA$495&lt;=9)*('CONTROL MASTER'!$AC$2:$AC$495&gt;=9))*ROW('CONTROL MASTER'!$S$2:$S$495))-(ROW('CONTROL MASTER'!#REF!)-1))),":",","),",",REPT(" ",50)),(((INDEX('CONTROL MASTER'!$Y$2:$Y$495,(SUMPRODUCT((('CONTROL MASTER'!$S$2:$S$495=3)*('CONTROL MASTER'!$Z$2:$Z$495&lt;=4)*('CONTROL MASTER'!$AB$2:$AB$495&gt;=4)*('CONTROL MASTER'!$AA$2:$AA$495&lt;=9)*('CONTROL MASTER'!$AC$2:$AC$495&gt;=9))*ROW('CONTROL MASTER'!$S$2:$S$495))-(ROW('CONTROL MASTER'!#REF!)-1)))+((4-INDEX('CONTROL MASTER'!$Z$2:$Z$495,(SUMPRODUCT((('CONTROL MASTER'!$S$2:$S$495=3)*('CONTROL MASTER'!$Z$2:$Z$495&lt;=4)*('CONTROL MASTER'!$AB$2:$AB$495&gt;=4)*('CONTROL MASTER'!$AA$2:$AA$495&lt;=9)*('CONTROL MASTER'!$AC$2:$AC$495&gt;=9))*ROW('CONTROL MASTER'!$S$2:$S$495))-(ROW('CONTROL MASTER'!#REF!)-1))))*(INDEX('CONTROL MASTER'!$AC$2:$AC$495,(SUMPRODUCT((('CONTROL MASTER'!$S$2:$S$495=3)*('CONTROL MASTER'!$Z$2:$Z$495&lt;=4)*('CONTROL MASTER'!$AB$2:$AB$495&gt;=4)*('CONTROL MASTER'!$AA$2:$AA$495&lt;=9)*('CONTROL MASTER'!$AC$2:$AC$495&gt;=9))*ROW('CONTROL MASTER'!$S$2:$S$495))-(ROW('CONTROL MASTER'!#REF!)-1)))-INDEX('CONTROL MASTER'!$AA$2:$AA$495,(SUMPRODUCT((('CONTROL MASTER'!$S$2:$S$495=3)*('CONTROL MASTER'!$Z$2:$Z$495&lt;=4)*('CONTROL MASTER'!$AB$2:$AB$495&gt;=4)*('CONTROL MASTER'!$AA$2:$AA$495&lt;=9)*('CONTROL MASTER'!$AC$2:$AC$495&gt;=9))*ROW('CONTROL MASTER'!$S$2:$S$495))-(ROW('CONTROL MASTER'!#REF!)-1)))+1)+(9-INDEX('CONTROL MASTER'!$AA$2:$AA$495,(SUMPRODUCT((('CONTROL MASTER'!$S$2:$S$495=3)*('CONTROL MASTER'!$Z$2:$Z$495&lt;=4)*('CONTROL MASTER'!$AB$2:$AB$495&gt;=4)*('CONTROL MASTER'!$AA$2:$AA$495&lt;=9)*('CONTROL MASTER'!$AC$2:$AC$495&gt;=9))*ROW('CONTROL MASTER'!$S$2:$S$495))-(ROW('CONTROL MASTER'!#REF!)-1))))+1)))-1)*50+1,50))&amp;"_"&amp;INDEX('CONTROL MASTER'!$P$2:$P$495,(SUMPRODUCT((('CONTROL MASTER'!$S$2:$S$495=3)*('CONTROL MASTER'!$Z$2:$Z$495&lt;=4)*('CONTROL MASTER'!$AB$2:$AB$495&gt;=4)*('CONTROL MASTER'!$AA$2:$AA$495&lt;=9)*('CONTROL MASTER'!$AC$2:$AC$495&gt;=9))*ROW('CONTROL MASTER'!$S$2:$S$495))-(ROW('CONTROL MASTER'!#REF!)-1))),"")),"")</f>
        <v/>
      </c>
      <c r="K34" s="10" t="str">
        <f>IFERROR(IF(SUMPRODUCT((('CONTROL MASTER'!$S$2:$S$495=3)*('CONTROL MASTER'!$T$2:$T$495&lt;=4)*('CONTROL MASTER'!$V$2:$V$495&gt;=4)*('CONTROL MASTER'!$U$2:$U$495&lt;=10)*('CONTROL MASTER'!$W$2:$W$495&gt;=10))*ROW('CONTROL MASTER'!$S$2:$S$495))&gt;0,INDEX('CONTROL MASTER'!$X$2:$X$495,(SUMPRODUCT((('CONTROL MASTER'!$S$2:$S$495=3)*('CONTROL MASTER'!$T$2:$T$495&lt;=4)*('CONTROL MASTER'!$V$2:$V$495&gt;=4)*('CONTROL MASTER'!$U$2:$U$495&lt;=10)*('CONTROL MASTER'!$W$2:$W$495&gt;=10))*ROW('CONTROL MASTER'!$S$2:$S$495))-(ROW('CONTROL MASTER'!#REF!)-1)))&amp;TRIM(MID(SUBSTITUTE(SUBSTITUTE(INDEX('CONTROL MASTER'!$N$2:$N$495,(SUMPRODUCT((('CONTROL MASTER'!$S$2:$S$495=3)*('CONTROL MASTER'!$T$2:$T$495&lt;=4)*('CONTROL MASTER'!$V$2:$V$495&gt;=4)*('CONTROL MASTER'!$U$2:$U$495&lt;=10)*('CONTROL MASTER'!$W$2:$W$495&gt;=10))*ROW('CONTROL MASTER'!$S$2:$S$495))-(ROW('CONTROL MASTER'!#REF!)-1))),":",","),",",REPT(" ",50)),((((4-INDEX('CONTROL MASTER'!$T$2:$T$495,(SUMPRODUCT((('CONTROL MASTER'!$S$2:$S$495=3)*('CONTROL MASTER'!$T$2:$T$495&lt;=4)*('CONTROL MASTER'!$V$2:$V$495&gt;=4)*('CONTROL MASTER'!$U$2:$U$495&lt;=10)*('CONTROL MASTER'!$W$2:$W$495&gt;=10))*ROW('CONTROL MASTER'!$S$2:$S$495))-(ROW('CONTROL MASTER'!#REF!)-1))))*(INDEX('CONTROL MASTER'!$W$2:$W$495,(SUMPRODUCT((('CONTROL MASTER'!$S$2:$S$495=3)*('CONTROL MASTER'!$T$2:$T$495&lt;=4)*('CONTROL MASTER'!$V$2:$V$495&gt;=4)*('CONTROL MASTER'!$U$2:$U$495&lt;=10)*('CONTROL MASTER'!$W$2:$W$495&gt;=10))*ROW('CONTROL MASTER'!$S$2:$S$495))-(ROW('CONTROL MASTER'!#REF!)-1)))-INDEX('CONTROL MASTER'!$U$2:$U$495,(SUMPRODUCT((('CONTROL MASTER'!$S$2:$S$495=3)*('CONTROL MASTER'!$T$2:$T$495&lt;=4)*('CONTROL MASTER'!$V$2:$V$495&gt;=4)*('CONTROL MASTER'!$U$2:$U$495&lt;=10)*('CONTROL MASTER'!$W$2:$W$495&gt;=10))*ROW('CONTROL MASTER'!$S$2:$S$495))-(ROW('CONTROL MASTER'!#REF!)-1)))+1)+(10-INDEX('CONTROL MASTER'!$U$2:$U$495,(SUMPRODUCT((('CONTROL MASTER'!$S$2:$S$495=3)*('CONTROL MASTER'!$T$2:$T$495&lt;=4)*('CONTROL MASTER'!$V$2:$V$495&gt;=4)*('CONTROL MASTER'!$U$2:$U$495&lt;=10)*('CONTROL MASTER'!$W$2:$W$495&gt;=10))*ROW('CONTROL MASTER'!$S$2:$S$495))-(ROW('CONTROL MASTER'!#REF!)-1))))+1))-1)*50+1,50))&amp;"_"&amp;INDEX('CONTROL MASTER'!$P$2:$P$495,(SUMPRODUCT((('CONTROL MASTER'!$S$2:$S$495=3)*('CONTROL MASTER'!$T$2:$T$495&lt;=4)*('CONTROL MASTER'!$V$2:$V$495&gt;=4)*('CONTROL MASTER'!$U$2:$U$495&lt;=10)*('CONTROL MASTER'!$W$2:$W$495&gt;=10))*ROW('CONTROL MASTER'!$S$2:$S$495))-(ROW('CONTROL MASTER'!#REF!)-1))),IF(SUMPRODUCT((('CONTROL MASTER'!$S$2:$S$495=3)*('CONTROL MASTER'!$Z$2:$Z$495&lt;=4)*('CONTROL MASTER'!$AB$2:$AB$495&gt;=4)*('CONTROL MASTER'!$AA$2:$AA$495&lt;=10)*('CONTROL MASTER'!$AC$2:$AC$495&gt;=10))*ROW('CONTROL MASTER'!$S$2:$S$495))&gt;0,INDEX('CONTROL MASTER'!$X$2:$X$495,(SUMPRODUCT((('CONTROL MASTER'!$S$2:$S$495=3)*('CONTROL MASTER'!$Z$2:$Z$495&lt;=4)*('CONTROL MASTER'!$AB$2:$AB$495&gt;=4)*('CONTROL MASTER'!$AA$2:$AA$495&lt;=10)*('CONTROL MASTER'!$AC$2:$AC$495&gt;=10))*ROW('CONTROL MASTER'!$S$2:$S$495))-(ROW('CONTROL MASTER'!#REF!)-1)))&amp;TRIM(MID(SUBSTITUTE(SUBSTITUTE(INDEX('CONTROL MASTER'!$N$2:$N$495,(SUMPRODUCT((('CONTROL MASTER'!$S$2:$S$495=3)*('CONTROL MASTER'!$Z$2:$Z$495&lt;=4)*('CONTROL MASTER'!$AB$2:$AB$495&gt;=4)*('CONTROL MASTER'!$AA$2:$AA$495&lt;=10)*('CONTROL MASTER'!$AC$2:$AC$495&gt;=10))*ROW('CONTROL MASTER'!$S$2:$S$495))-(ROW('CONTROL MASTER'!#REF!)-1))),":",","),",",REPT(" ",50)),(((INDEX('CONTROL MASTER'!$Y$2:$Y$495,(SUMPRODUCT((('CONTROL MASTER'!$S$2:$S$495=3)*('CONTROL MASTER'!$Z$2:$Z$495&lt;=4)*('CONTROL MASTER'!$AB$2:$AB$495&gt;=4)*('CONTROL MASTER'!$AA$2:$AA$495&lt;=10)*('CONTROL MASTER'!$AC$2:$AC$495&gt;=10))*ROW('CONTROL MASTER'!$S$2:$S$495))-(ROW('CONTROL MASTER'!#REF!)-1)))+((4-INDEX('CONTROL MASTER'!$Z$2:$Z$495,(SUMPRODUCT((('CONTROL MASTER'!$S$2:$S$495=3)*('CONTROL MASTER'!$Z$2:$Z$495&lt;=4)*('CONTROL MASTER'!$AB$2:$AB$495&gt;=4)*('CONTROL MASTER'!$AA$2:$AA$495&lt;=10)*('CONTROL MASTER'!$AC$2:$AC$495&gt;=10))*ROW('CONTROL MASTER'!$S$2:$S$495))-(ROW('CONTROL MASTER'!#REF!)-1))))*(INDEX('CONTROL MASTER'!$AC$2:$AC$495,(SUMPRODUCT((('CONTROL MASTER'!$S$2:$S$495=3)*('CONTROL MASTER'!$Z$2:$Z$495&lt;=4)*('CONTROL MASTER'!$AB$2:$AB$495&gt;=4)*('CONTROL MASTER'!$AA$2:$AA$495&lt;=10)*('CONTROL MASTER'!$AC$2:$AC$495&gt;=10))*ROW('CONTROL MASTER'!$S$2:$S$495))-(ROW('CONTROL MASTER'!#REF!)-1)))-INDEX('CONTROL MASTER'!$AA$2:$AA$495,(SUMPRODUCT((('CONTROL MASTER'!$S$2:$S$495=3)*('CONTROL MASTER'!$Z$2:$Z$495&lt;=4)*('CONTROL MASTER'!$AB$2:$AB$495&gt;=4)*('CONTROL MASTER'!$AA$2:$AA$495&lt;=10)*('CONTROL MASTER'!$AC$2:$AC$495&gt;=10))*ROW('CONTROL MASTER'!$S$2:$S$495))-(ROW('CONTROL MASTER'!#REF!)-1)))+1)+(10-INDEX('CONTROL MASTER'!$AA$2:$AA$495,(SUMPRODUCT((('CONTROL MASTER'!$S$2:$S$495=3)*('CONTROL MASTER'!$Z$2:$Z$495&lt;=4)*('CONTROL MASTER'!$AB$2:$AB$495&gt;=4)*('CONTROL MASTER'!$AA$2:$AA$495&lt;=10)*('CONTROL MASTER'!$AC$2:$AC$495&gt;=10))*ROW('CONTROL MASTER'!$S$2:$S$495))-(ROW('CONTROL MASTER'!#REF!)-1))))+1)))-1)*50+1,50))&amp;"_"&amp;INDEX('CONTROL MASTER'!$P$2:$P$495,(SUMPRODUCT((('CONTROL MASTER'!$S$2:$S$495=3)*('CONTROL MASTER'!$Z$2:$Z$495&lt;=4)*('CONTROL MASTER'!$AB$2:$AB$495&gt;=4)*('CONTROL MASTER'!$AA$2:$AA$495&lt;=10)*('CONTROL MASTER'!$AC$2:$AC$495&gt;=10))*ROW('CONTROL MASTER'!$S$2:$S$495))-(ROW('CONTROL MASTER'!#REF!)-1))),"")),"")</f>
        <v/>
      </c>
    </row>
    <row r="35" spans="1:11" ht="15" customHeight="1" x14ac:dyDescent="0.35">
      <c r="A35" s="8" t="s">
        <v>32</v>
      </c>
      <c r="B35" s="10" t="str">
        <f>IFERROR(IF(SUMPRODUCT((('CONTROL MASTER'!$S$2:$S$495=3)*('CONTROL MASTER'!$T$2:$T$495&lt;=5)*('CONTROL MASTER'!$V$2:$V$495&gt;=5)*('CONTROL MASTER'!$U$2:$U$495&lt;=1)*('CONTROL MASTER'!$W$2:$W$495&gt;=1))*ROW('CONTROL MASTER'!$S$2:$S$495))&gt;0,INDEX('CONTROL MASTER'!$X$2:$X$495,(SUMPRODUCT((('CONTROL MASTER'!$S$2:$S$495=3)*('CONTROL MASTER'!$T$2:$T$495&lt;=5)*('CONTROL MASTER'!$V$2:$V$495&gt;=5)*('CONTROL MASTER'!$U$2:$U$495&lt;=1)*('CONTROL MASTER'!$W$2:$W$495&gt;=1))*ROW('CONTROL MASTER'!$S$2:$S$495))-(ROW('CONTROL MASTER'!#REF!)-1)))&amp;TRIM(MID(SUBSTITUTE(SUBSTITUTE(INDEX('CONTROL MASTER'!$N$2:$N$495,(SUMPRODUCT((('CONTROL MASTER'!$S$2:$S$495=3)*('CONTROL MASTER'!$T$2:$T$495&lt;=5)*('CONTROL MASTER'!$V$2:$V$495&gt;=5)*('CONTROL MASTER'!$U$2:$U$495&lt;=1)*('CONTROL MASTER'!$W$2:$W$495&gt;=1))*ROW('CONTROL MASTER'!$S$2:$S$495))-(ROW('CONTROL MASTER'!#REF!)-1))),":",","),",",REPT(" ",50)),((((5-INDEX('CONTROL MASTER'!$T$2:$T$495,(SUMPRODUCT((('CONTROL MASTER'!$S$2:$S$495=3)*('CONTROL MASTER'!$T$2:$T$495&lt;=5)*('CONTROL MASTER'!$V$2:$V$495&gt;=5)*('CONTROL MASTER'!$U$2:$U$495&lt;=1)*('CONTROL MASTER'!$W$2:$W$495&gt;=1))*ROW('CONTROL MASTER'!$S$2:$S$495))-(ROW('CONTROL MASTER'!#REF!)-1))))*(INDEX('CONTROL MASTER'!$W$2:$W$495,(SUMPRODUCT((('CONTROL MASTER'!$S$2:$S$495=3)*('CONTROL MASTER'!$T$2:$T$495&lt;=5)*('CONTROL MASTER'!$V$2:$V$495&gt;=5)*('CONTROL MASTER'!$U$2:$U$495&lt;=1)*('CONTROL MASTER'!$W$2:$W$495&gt;=1))*ROW('CONTROL MASTER'!$S$2:$S$495))-(ROW('CONTROL MASTER'!#REF!)-1)))-INDEX('CONTROL MASTER'!$U$2:$U$495,(SUMPRODUCT((('CONTROL MASTER'!$S$2:$S$495=3)*('CONTROL MASTER'!$T$2:$T$495&lt;=5)*('CONTROL MASTER'!$V$2:$V$495&gt;=5)*('CONTROL MASTER'!$U$2:$U$495&lt;=1)*('CONTROL MASTER'!$W$2:$W$495&gt;=1))*ROW('CONTROL MASTER'!$S$2:$S$495))-(ROW('CONTROL MASTER'!#REF!)-1)))+1)+(1-INDEX('CONTROL MASTER'!$U$2:$U$495,(SUMPRODUCT((('CONTROL MASTER'!$S$2:$S$495=3)*('CONTROL MASTER'!$T$2:$T$495&lt;=5)*('CONTROL MASTER'!$V$2:$V$495&gt;=5)*('CONTROL MASTER'!$U$2:$U$495&lt;=1)*('CONTROL MASTER'!$W$2:$W$495&gt;=1))*ROW('CONTROL MASTER'!$S$2:$S$495))-(ROW('CONTROL MASTER'!#REF!)-1))))+1))-1)*50+1,50))&amp;"_"&amp;INDEX('CONTROL MASTER'!$P$2:$P$495,(SUMPRODUCT((('CONTROL MASTER'!$S$2:$S$495=3)*('CONTROL MASTER'!$T$2:$T$495&lt;=5)*('CONTROL MASTER'!$V$2:$V$495&gt;=5)*('CONTROL MASTER'!$U$2:$U$495&lt;=1)*('CONTROL MASTER'!$W$2:$W$495&gt;=1))*ROW('CONTROL MASTER'!$S$2:$S$495))-(ROW('CONTROL MASTER'!#REF!)-1))),IF(SUMPRODUCT((('CONTROL MASTER'!$S$2:$S$495=3)*('CONTROL MASTER'!$Z$2:$Z$495&lt;=5)*('CONTROL MASTER'!$AB$2:$AB$495&gt;=5)*('CONTROL MASTER'!$AA$2:$AA$495&lt;=1)*('CONTROL MASTER'!$AC$2:$AC$495&gt;=1))*ROW('CONTROL MASTER'!$S$2:$S$495))&gt;0,INDEX('CONTROL MASTER'!$X$2:$X$495,(SUMPRODUCT((('CONTROL MASTER'!$S$2:$S$495=3)*('CONTROL MASTER'!$Z$2:$Z$495&lt;=5)*('CONTROL MASTER'!$AB$2:$AB$495&gt;=5)*('CONTROL MASTER'!$AA$2:$AA$495&lt;=1)*('CONTROL MASTER'!$AC$2:$AC$495&gt;=1))*ROW('CONTROL MASTER'!$S$2:$S$495))-(ROW('CONTROL MASTER'!#REF!)-1)))&amp;TRIM(MID(SUBSTITUTE(SUBSTITUTE(INDEX('CONTROL MASTER'!$N$2:$N$495,(SUMPRODUCT((('CONTROL MASTER'!$S$2:$S$495=3)*('CONTROL MASTER'!$Z$2:$Z$495&lt;=5)*('CONTROL MASTER'!$AB$2:$AB$495&gt;=5)*('CONTROL MASTER'!$AA$2:$AA$495&lt;=1)*('CONTROL MASTER'!$AC$2:$AC$495&gt;=1))*ROW('CONTROL MASTER'!$S$2:$S$495))-(ROW('CONTROL MASTER'!#REF!)-1))),":",","),",",REPT(" ",50)),(((INDEX('CONTROL MASTER'!$Y$2:$Y$495,(SUMPRODUCT((('CONTROL MASTER'!$S$2:$S$495=3)*('CONTROL MASTER'!$Z$2:$Z$495&lt;=5)*('CONTROL MASTER'!$AB$2:$AB$495&gt;=5)*('CONTROL MASTER'!$AA$2:$AA$495&lt;=1)*('CONTROL MASTER'!$AC$2:$AC$495&gt;=1))*ROW('CONTROL MASTER'!$S$2:$S$495))-(ROW('CONTROL MASTER'!#REF!)-1)))+((5-INDEX('CONTROL MASTER'!$Z$2:$Z$495,(SUMPRODUCT((('CONTROL MASTER'!$S$2:$S$495=3)*('CONTROL MASTER'!$Z$2:$Z$495&lt;=5)*('CONTROL MASTER'!$AB$2:$AB$495&gt;=5)*('CONTROL MASTER'!$AA$2:$AA$495&lt;=1)*('CONTROL MASTER'!$AC$2:$AC$495&gt;=1))*ROW('CONTROL MASTER'!$S$2:$S$495))-(ROW('CONTROL MASTER'!#REF!)-1))))*(INDEX('CONTROL MASTER'!$AC$2:$AC$495,(SUMPRODUCT((('CONTROL MASTER'!$S$2:$S$495=3)*('CONTROL MASTER'!$Z$2:$Z$495&lt;=5)*('CONTROL MASTER'!$AB$2:$AB$495&gt;=5)*('CONTROL MASTER'!$AA$2:$AA$495&lt;=1)*('CONTROL MASTER'!$AC$2:$AC$495&gt;=1))*ROW('CONTROL MASTER'!$S$2:$S$495))-(ROW('CONTROL MASTER'!#REF!)-1)))-INDEX('CONTROL MASTER'!$AA$2:$AA$495,(SUMPRODUCT((('CONTROL MASTER'!$S$2:$S$495=3)*('CONTROL MASTER'!$Z$2:$Z$495&lt;=5)*('CONTROL MASTER'!$AB$2:$AB$495&gt;=5)*('CONTROL MASTER'!$AA$2:$AA$495&lt;=1)*('CONTROL MASTER'!$AC$2:$AC$495&gt;=1))*ROW('CONTROL MASTER'!$S$2:$S$495))-(ROW('CONTROL MASTER'!#REF!)-1)))+1)+(1-INDEX('CONTROL MASTER'!$AA$2:$AA$495,(SUMPRODUCT((('CONTROL MASTER'!$S$2:$S$495=3)*('CONTROL MASTER'!$Z$2:$Z$495&lt;=5)*('CONTROL MASTER'!$AB$2:$AB$495&gt;=5)*('CONTROL MASTER'!$AA$2:$AA$495&lt;=1)*('CONTROL MASTER'!$AC$2:$AC$495&gt;=1))*ROW('CONTROL MASTER'!$S$2:$S$495))-(ROW('CONTROL MASTER'!#REF!)-1))))+1)))-1)*50+1,50))&amp;"_"&amp;INDEX('CONTROL MASTER'!$P$2:$P$495,(SUMPRODUCT((('CONTROL MASTER'!$S$2:$S$495=3)*('CONTROL MASTER'!$Z$2:$Z$495&lt;=5)*('CONTROL MASTER'!$AB$2:$AB$495&gt;=5)*('CONTROL MASTER'!$AA$2:$AA$495&lt;=1)*('CONTROL MASTER'!$AC$2:$AC$495&gt;=1))*ROW('CONTROL MASTER'!$S$2:$S$495))-(ROW('CONTROL MASTER'!#REF!)-1))),"")),"")</f>
        <v/>
      </c>
      <c r="C35" s="10" t="str">
        <f>IFERROR(IF(SUMPRODUCT((('CONTROL MASTER'!$S$2:$S$495=3)*('CONTROL MASTER'!$T$2:$T$495&lt;=5)*('CONTROL MASTER'!$V$2:$V$495&gt;=5)*('CONTROL MASTER'!$U$2:$U$495&lt;=2)*('CONTROL MASTER'!$W$2:$W$495&gt;=2))*ROW('CONTROL MASTER'!$S$2:$S$495))&gt;0,INDEX('CONTROL MASTER'!$X$2:$X$495,(SUMPRODUCT((('CONTROL MASTER'!$S$2:$S$495=3)*('CONTROL MASTER'!$T$2:$T$495&lt;=5)*('CONTROL MASTER'!$V$2:$V$495&gt;=5)*('CONTROL MASTER'!$U$2:$U$495&lt;=2)*('CONTROL MASTER'!$W$2:$W$495&gt;=2))*ROW('CONTROL MASTER'!$S$2:$S$495))-(ROW('CONTROL MASTER'!#REF!)-1)))&amp;TRIM(MID(SUBSTITUTE(SUBSTITUTE(INDEX('CONTROL MASTER'!$N$2:$N$495,(SUMPRODUCT((('CONTROL MASTER'!$S$2:$S$495=3)*('CONTROL MASTER'!$T$2:$T$495&lt;=5)*('CONTROL MASTER'!$V$2:$V$495&gt;=5)*('CONTROL MASTER'!$U$2:$U$495&lt;=2)*('CONTROL MASTER'!$W$2:$W$495&gt;=2))*ROW('CONTROL MASTER'!$S$2:$S$495))-(ROW('CONTROL MASTER'!#REF!)-1))),":",","),",",REPT(" ",50)),((((5-INDEX('CONTROL MASTER'!$T$2:$T$495,(SUMPRODUCT((('CONTROL MASTER'!$S$2:$S$495=3)*('CONTROL MASTER'!$T$2:$T$495&lt;=5)*('CONTROL MASTER'!$V$2:$V$495&gt;=5)*('CONTROL MASTER'!$U$2:$U$495&lt;=2)*('CONTROL MASTER'!$W$2:$W$495&gt;=2))*ROW('CONTROL MASTER'!$S$2:$S$495))-(ROW('CONTROL MASTER'!#REF!)-1))))*(INDEX('CONTROL MASTER'!$W$2:$W$495,(SUMPRODUCT((('CONTROL MASTER'!$S$2:$S$495=3)*('CONTROL MASTER'!$T$2:$T$495&lt;=5)*('CONTROL MASTER'!$V$2:$V$495&gt;=5)*('CONTROL MASTER'!$U$2:$U$495&lt;=2)*('CONTROL MASTER'!$W$2:$W$495&gt;=2))*ROW('CONTROL MASTER'!$S$2:$S$495))-(ROW('CONTROL MASTER'!#REF!)-1)))-INDEX('CONTROL MASTER'!$U$2:$U$495,(SUMPRODUCT((('CONTROL MASTER'!$S$2:$S$495=3)*('CONTROL MASTER'!$T$2:$T$495&lt;=5)*('CONTROL MASTER'!$V$2:$V$495&gt;=5)*('CONTROL MASTER'!$U$2:$U$495&lt;=2)*('CONTROL MASTER'!$W$2:$W$495&gt;=2))*ROW('CONTROL MASTER'!$S$2:$S$495))-(ROW('CONTROL MASTER'!#REF!)-1)))+1)+(2-INDEX('CONTROL MASTER'!$U$2:$U$495,(SUMPRODUCT((('CONTROL MASTER'!$S$2:$S$495=3)*('CONTROL MASTER'!$T$2:$T$495&lt;=5)*('CONTROL MASTER'!$V$2:$V$495&gt;=5)*('CONTROL MASTER'!$U$2:$U$495&lt;=2)*('CONTROL MASTER'!$W$2:$W$495&gt;=2))*ROW('CONTROL MASTER'!$S$2:$S$495))-(ROW('CONTROL MASTER'!#REF!)-1))))+1))-1)*50+1,50))&amp;"_"&amp;INDEX('CONTROL MASTER'!$P$2:$P$495,(SUMPRODUCT((('CONTROL MASTER'!$S$2:$S$495=3)*('CONTROL MASTER'!$T$2:$T$495&lt;=5)*('CONTROL MASTER'!$V$2:$V$495&gt;=5)*('CONTROL MASTER'!$U$2:$U$495&lt;=2)*('CONTROL MASTER'!$W$2:$W$495&gt;=2))*ROW('CONTROL MASTER'!$S$2:$S$495))-(ROW('CONTROL MASTER'!#REF!)-1))),IF(SUMPRODUCT((('CONTROL MASTER'!$S$2:$S$495=3)*('CONTROL MASTER'!$Z$2:$Z$495&lt;=5)*('CONTROL MASTER'!$AB$2:$AB$495&gt;=5)*('CONTROL MASTER'!$AA$2:$AA$495&lt;=2)*('CONTROL MASTER'!$AC$2:$AC$495&gt;=2))*ROW('CONTROL MASTER'!$S$2:$S$495))&gt;0,INDEX('CONTROL MASTER'!$X$2:$X$495,(SUMPRODUCT((('CONTROL MASTER'!$S$2:$S$495=3)*('CONTROL MASTER'!$Z$2:$Z$495&lt;=5)*('CONTROL MASTER'!$AB$2:$AB$495&gt;=5)*('CONTROL MASTER'!$AA$2:$AA$495&lt;=2)*('CONTROL MASTER'!$AC$2:$AC$495&gt;=2))*ROW('CONTROL MASTER'!$S$2:$S$495))-(ROW('CONTROL MASTER'!#REF!)-1)))&amp;TRIM(MID(SUBSTITUTE(SUBSTITUTE(INDEX('CONTROL MASTER'!$N$2:$N$495,(SUMPRODUCT((('CONTROL MASTER'!$S$2:$S$495=3)*('CONTROL MASTER'!$Z$2:$Z$495&lt;=5)*('CONTROL MASTER'!$AB$2:$AB$495&gt;=5)*('CONTROL MASTER'!$AA$2:$AA$495&lt;=2)*('CONTROL MASTER'!$AC$2:$AC$495&gt;=2))*ROW('CONTROL MASTER'!$S$2:$S$495))-(ROW('CONTROL MASTER'!#REF!)-1))),":",","),",",REPT(" ",50)),(((INDEX('CONTROL MASTER'!$Y$2:$Y$495,(SUMPRODUCT((('CONTROL MASTER'!$S$2:$S$495=3)*('CONTROL MASTER'!$Z$2:$Z$495&lt;=5)*('CONTROL MASTER'!$AB$2:$AB$495&gt;=5)*('CONTROL MASTER'!$AA$2:$AA$495&lt;=2)*('CONTROL MASTER'!$AC$2:$AC$495&gt;=2))*ROW('CONTROL MASTER'!$S$2:$S$495))-(ROW('CONTROL MASTER'!#REF!)-1)))+((5-INDEX('CONTROL MASTER'!$Z$2:$Z$495,(SUMPRODUCT((('CONTROL MASTER'!$S$2:$S$495=3)*('CONTROL MASTER'!$Z$2:$Z$495&lt;=5)*('CONTROL MASTER'!$AB$2:$AB$495&gt;=5)*('CONTROL MASTER'!$AA$2:$AA$495&lt;=2)*('CONTROL MASTER'!$AC$2:$AC$495&gt;=2))*ROW('CONTROL MASTER'!$S$2:$S$495))-(ROW('CONTROL MASTER'!#REF!)-1))))*(INDEX('CONTROL MASTER'!$AC$2:$AC$495,(SUMPRODUCT((('CONTROL MASTER'!$S$2:$S$495=3)*('CONTROL MASTER'!$Z$2:$Z$495&lt;=5)*('CONTROL MASTER'!$AB$2:$AB$495&gt;=5)*('CONTROL MASTER'!$AA$2:$AA$495&lt;=2)*('CONTROL MASTER'!$AC$2:$AC$495&gt;=2))*ROW('CONTROL MASTER'!$S$2:$S$495))-(ROW('CONTROL MASTER'!#REF!)-1)))-INDEX('CONTROL MASTER'!$AA$2:$AA$495,(SUMPRODUCT((('CONTROL MASTER'!$S$2:$S$495=3)*('CONTROL MASTER'!$Z$2:$Z$495&lt;=5)*('CONTROL MASTER'!$AB$2:$AB$495&gt;=5)*('CONTROL MASTER'!$AA$2:$AA$495&lt;=2)*('CONTROL MASTER'!$AC$2:$AC$495&gt;=2))*ROW('CONTROL MASTER'!$S$2:$S$495))-(ROW('CONTROL MASTER'!#REF!)-1)))+1)+(2-INDEX('CONTROL MASTER'!$AA$2:$AA$495,(SUMPRODUCT((('CONTROL MASTER'!$S$2:$S$495=3)*('CONTROL MASTER'!$Z$2:$Z$495&lt;=5)*('CONTROL MASTER'!$AB$2:$AB$495&gt;=5)*('CONTROL MASTER'!$AA$2:$AA$495&lt;=2)*('CONTROL MASTER'!$AC$2:$AC$495&gt;=2))*ROW('CONTROL MASTER'!$S$2:$S$495))-(ROW('CONTROL MASTER'!#REF!)-1))))+1)))-1)*50+1,50))&amp;"_"&amp;INDEX('CONTROL MASTER'!$P$2:$P$495,(SUMPRODUCT((('CONTROL MASTER'!$S$2:$S$495=3)*('CONTROL MASTER'!$Z$2:$Z$495&lt;=5)*('CONTROL MASTER'!$AB$2:$AB$495&gt;=5)*('CONTROL MASTER'!$AA$2:$AA$495&lt;=2)*('CONTROL MASTER'!$AC$2:$AC$495&gt;=2))*ROW('CONTROL MASTER'!$S$2:$S$495))-(ROW('CONTROL MASTER'!#REF!)-1))),"")),"")</f>
        <v/>
      </c>
      <c r="D35" s="10" t="str">
        <f>IFERROR(IF(SUMPRODUCT((('CONTROL MASTER'!$S$2:$S$495=3)*('CONTROL MASTER'!$T$2:$T$495&lt;=5)*('CONTROL MASTER'!$V$2:$V$495&gt;=5)*('CONTROL MASTER'!$U$2:$U$495&lt;=3)*('CONTROL MASTER'!$W$2:$W$495&gt;=3))*ROW('CONTROL MASTER'!$S$2:$S$495))&gt;0,INDEX('CONTROL MASTER'!$X$2:$X$495,(SUMPRODUCT((('CONTROL MASTER'!$S$2:$S$495=3)*('CONTROL MASTER'!$T$2:$T$495&lt;=5)*('CONTROL MASTER'!$V$2:$V$495&gt;=5)*('CONTROL MASTER'!$U$2:$U$495&lt;=3)*('CONTROL MASTER'!$W$2:$W$495&gt;=3))*ROW('CONTROL MASTER'!$S$2:$S$495))-(ROW('CONTROL MASTER'!#REF!)-1)))&amp;TRIM(MID(SUBSTITUTE(SUBSTITUTE(INDEX('CONTROL MASTER'!$N$2:$N$495,(SUMPRODUCT((('CONTROL MASTER'!$S$2:$S$495=3)*('CONTROL MASTER'!$T$2:$T$495&lt;=5)*('CONTROL MASTER'!$V$2:$V$495&gt;=5)*('CONTROL MASTER'!$U$2:$U$495&lt;=3)*('CONTROL MASTER'!$W$2:$W$495&gt;=3))*ROW('CONTROL MASTER'!$S$2:$S$495))-(ROW('CONTROL MASTER'!#REF!)-1))),":",","),",",REPT(" ",50)),((((5-INDEX('CONTROL MASTER'!$T$2:$T$495,(SUMPRODUCT((('CONTROL MASTER'!$S$2:$S$495=3)*('CONTROL MASTER'!$T$2:$T$495&lt;=5)*('CONTROL MASTER'!$V$2:$V$495&gt;=5)*('CONTROL MASTER'!$U$2:$U$495&lt;=3)*('CONTROL MASTER'!$W$2:$W$495&gt;=3))*ROW('CONTROL MASTER'!$S$2:$S$495))-(ROW('CONTROL MASTER'!#REF!)-1))))*(INDEX('CONTROL MASTER'!$W$2:$W$495,(SUMPRODUCT((('CONTROL MASTER'!$S$2:$S$495=3)*('CONTROL MASTER'!$T$2:$T$495&lt;=5)*('CONTROL MASTER'!$V$2:$V$495&gt;=5)*('CONTROL MASTER'!$U$2:$U$495&lt;=3)*('CONTROL MASTER'!$W$2:$W$495&gt;=3))*ROW('CONTROL MASTER'!$S$2:$S$495))-(ROW('CONTROL MASTER'!#REF!)-1)))-INDEX('CONTROL MASTER'!$U$2:$U$495,(SUMPRODUCT((('CONTROL MASTER'!$S$2:$S$495=3)*('CONTROL MASTER'!$T$2:$T$495&lt;=5)*('CONTROL MASTER'!$V$2:$V$495&gt;=5)*('CONTROL MASTER'!$U$2:$U$495&lt;=3)*('CONTROL MASTER'!$W$2:$W$495&gt;=3))*ROW('CONTROL MASTER'!$S$2:$S$495))-(ROW('CONTROL MASTER'!#REF!)-1)))+1)+(3-INDEX('CONTROL MASTER'!$U$2:$U$495,(SUMPRODUCT((('CONTROL MASTER'!$S$2:$S$495=3)*('CONTROL MASTER'!$T$2:$T$495&lt;=5)*('CONTROL MASTER'!$V$2:$V$495&gt;=5)*('CONTROL MASTER'!$U$2:$U$495&lt;=3)*('CONTROL MASTER'!$W$2:$W$495&gt;=3))*ROW('CONTROL MASTER'!$S$2:$S$495))-(ROW('CONTROL MASTER'!#REF!)-1))))+1))-1)*50+1,50))&amp;"_"&amp;INDEX('CONTROL MASTER'!$P$2:$P$495,(SUMPRODUCT((('CONTROL MASTER'!$S$2:$S$495=3)*('CONTROL MASTER'!$T$2:$T$495&lt;=5)*('CONTROL MASTER'!$V$2:$V$495&gt;=5)*('CONTROL MASTER'!$U$2:$U$495&lt;=3)*('CONTROL MASTER'!$W$2:$W$495&gt;=3))*ROW('CONTROL MASTER'!$S$2:$S$495))-(ROW('CONTROL MASTER'!#REF!)-1))),IF(SUMPRODUCT((('CONTROL MASTER'!$S$2:$S$495=3)*('CONTROL MASTER'!$Z$2:$Z$495&lt;=5)*('CONTROL MASTER'!$AB$2:$AB$495&gt;=5)*('CONTROL MASTER'!$AA$2:$AA$495&lt;=3)*('CONTROL MASTER'!$AC$2:$AC$495&gt;=3))*ROW('CONTROL MASTER'!$S$2:$S$495))&gt;0,INDEX('CONTROL MASTER'!$X$2:$X$495,(SUMPRODUCT((('CONTROL MASTER'!$S$2:$S$495=3)*('CONTROL MASTER'!$Z$2:$Z$495&lt;=5)*('CONTROL MASTER'!$AB$2:$AB$495&gt;=5)*('CONTROL MASTER'!$AA$2:$AA$495&lt;=3)*('CONTROL MASTER'!$AC$2:$AC$495&gt;=3))*ROW('CONTROL MASTER'!$S$2:$S$495))-(ROW('CONTROL MASTER'!#REF!)-1)))&amp;TRIM(MID(SUBSTITUTE(SUBSTITUTE(INDEX('CONTROL MASTER'!$N$2:$N$495,(SUMPRODUCT((('CONTROL MASTER'!$S$2:$S$495=3)*('CONTROL MASTER'!$Z$2:$Z$495&lt;=5)*('CONTROL MASTER'!$AB$2:$AB$495&gt;=5)*('CONTROL MASTER'!$AA$2:$AA$495&lt;=3)*('CONTROL MASTER'!$AC$2:$AC$495&gt;=3))*ROW('CONTROL MASTER'!$S$2:$S$495))-(ROW('CONTROL MASTER'!#REF!)-1))),":",","),",",REPT(" ",50)),(((INDEX('CONTROL MASTER'!$Y$2:$Y$495,(SUMPRODUCT((('CONTROL MASTER'!$S$2:$S$495=3)*('CONTROL MASTER'!$Z$2:$Z$495&lt;=5)*('CONTROL MASTER'!$AB$2:$AB$495&gt;=5)*('CONTROL MASTER'!$AA$2:$AA$495&lt;=3)*('CONTROL MASTER'!$AC$2:$AC$495&gt;=3))*ROW('CONTROL MASTER'!$S$2:$S$495))-(ROW('CONTROL MASTER'!#REF!)-1)))+((5-INDEX('CONTROL MASTER'!$Z$2:$Z$495,(SUMPRODUCT((('CONTROL MASTER'!$S$2:$S$495=3)*('CONTROL MASTER'!$Z$2:$Z$495&lt;=5)*('CONTROL MASTER'!$AB$2:$AB$495&gt;=5)*('CONTROL MASTER'!$AA$2:$AA$495&lt;=3)*('CONTROL MASTER'!$AC$2:$AC$495&gt;=3))*ROW('CONTROL MASTER'!$S$2:$S$495))-(ROW('CONTROL MASTER'!#REF!)-1))))*(INDEX('CONTROL MASTER'!$AC$2:$AC$495,(SUMPRODUCT((('CONTROL MASTER'!$S$2:$S$495=3)*('CONTROL MASTER'!$Z$2:$Z$495&lt;=5)*('CONTROL MASTER'!$AB$2:$AB$495&gt;=5)*('CONTROL MASTER'!$AA$2:$AA$495&lt;=3)*('CONTROL MASTER'!$AC$2:$AC$495&gt;=3))*ROW('CONTROL MASTER'!$S$2:$S$495))-(ROW('CONTROL MASTER'!#REF!)-1)))-INDEX('CONTROL MASTER'!$AA$2:$AA$495,(SUMPRODUCT((('CONTROL MASTER'!$S$2:$S$495=3)*('CONTROL MASTER'!$Z$2:$Z$495&lt;=5)*('CONTROL MASTER'!$AB$2:$AB$495&gt;=5)*('CONTROL MASTER'!$AA$2:$AA$495&lt;=3)*('CONTROL MASTER'!$AC$2:$AC$495&gt;=3))*ROW('CONTROL MASTER'!$S$2:$S$495))-(ROW('CONTROL MASTER'!#REF!)-1)))+1)+(3-INDEX('CONTROL MASTER'!$AA$2:$AA$495,(SUMPRODUCT((('CONTROL MASTER'!$S$2:$S$495=3)*('CONTROL MASTER'!$Z$2:$Z$495&lt;=5)*('CONTROL MASTER'!$AB$2:$AB$495&gt;=5)*('CONTROL MASTER'!$AA$2:$AA$495&lt;=3)*('CONTROL MASTER'!$AC$2:$AC$495&gt;=3))*ROW('CONTROL MASTER'!$S$2:$S$495))-(ROW('CONTROL MASTER'!#REF!)-1))))+1)))-1)*50+1,50))&amp;"_"&amp;INDEX('CONTROL MASTER'!$P$2:$P$495,(SUMPRODUCT((('CONTROL MASTER'!$S$2:$S$495=3)*('CONTROL MASTER'!$Z$2:$Z$495&lt;=5)*('CONTROL MASTER'!$AB$2:$AB$495&gt;=5)*('CONTROL MASTER'!$AA$2:$AA$495&lt;=3)*('CONTROL MASTER'!$AC$2:$AC$495&gt;=3))*ROW('CONTROL MASTER'!$S$2:$S$495))-(ROW('CONTROL MASTER'!#REF!)-1))),"")),"")</f>
        <v/>
      </c>
      <c r="E35" s="10" t="str">
        <f>IFERROR(IF(SUMPRODUCT((('CONTROL MASTER'!$S$2:$S$495=3)*('CONTROL MASTER'!$T$2:$T$495&lt;=5)*('CONTROL MASTER'!$V$2:$V$495&gt;=5)*('CONTROL MASTER'!$U$2:$U$495&lt;=4)*('CONTROL MASTER'!$W$2:$W$495&gt;=4))*ROW('CONTROL MASTER'!$S$2:$S$495))&gt;0,INDEX('CONTROL MASTER'!$X$2:$X$495,(SUMPRODUCT((('CONTROL MASTER'!$S$2:$S$495=3)*('CONTROL MASTER'!$T$2:$T$495&lt;=5)*('CONTROL MASTER'!$V$2:$V$495&gt;=5)*('CONTROL MASTER'!$U$2:$U$495&lt;=4)*('CONTROL MASTER'!$W$2:$W$495&gt;=4))*ROW('CONTROL MASTER'!$S$2:$S$495))-(ROW('CONTROL MASTER'!#REF!)-1)))&amp;TRIM(MID(SUBSTITUTE(SUBSTITUTE(INDEX('CONTROL MASTER'!$N$2:$N$495,(SUMPRODUCT((('CONTROL MASTER'!$S$2:$S$495=3)*('CONTROL MASTER'!$T$2:$T$495&lt;=5)*('CONTROL MASTER'!$V$2:$V$495&gt;=5)*('CONTROL MASTER'!$U$2:$U$495&lt;=4)*('CONTROL MASTER'!$W$2:$W$495&gt;=4))*ROW('CONTROL MASTER'!$S$2:$S$495))-(ROW('CONTROL MASTER'!#REF!)-1))),":",","),",",REPT(" ",50)),((((5-INDEX('CONTROL MASTER'!$T$2:$T$495,(SUMPRODUCT((('CONTROL MASTER'!$S$2:$S$495=3)*('CONTROL MASTER'!$T$2:$T$495&lt;=5)*('CONTROL MASTER'!$V$2:$V$495&gt;=5)*('CONTROL MASTER'!$U$2:$U$495&lt;=4)*('CONTROL MASTER'!$W$2:$W$495&gt;=4))*ROW('CONTROL MASTER'!$S$2:$S$495))-(ROW('CONTROL MASTER'!#REF!)-1))))*(INDEX('CONTROL MASTER'!$W$2:$W$495,(SUMPRODUCT((('CONTROL MASTER'!$S$2:$S$495=3)*('CONTROL MASTER'!$T$2:$T$495&lt;=5)*('CONTROL MASTER'!$V$2:$V$495&gt;=5)*('CONTROL MASTER'!$U$2:$U$495&lt;=4)*('CONTROL MASTER'!$W$2:$W$495&gt;=4))*ROW('CONTROL MASTER'!$S$2:$S$495))-(ROW('CONTROL MASTER'!#REF!)-1)))-INDEX('CONTROL MASTER'!$U$2:$U$495,(SUMPRODUCT((('CONTROL MASTER'!$S$2:$S$495=3)*('CONTROL MASTER'!$T$2:$T$495&lt;=5)*('CONTROL MASTER'!$V$2:$V$495&gt;=5)*('CONTROL MASTER'!$U$2:$U$495&lt;=4)*('CONTROL MASTER'!$W$2:$W$495&gt;=4))*ROW('CONTROL MASTER'!$S$2:$S$495))-(ROW('CONTROL MASTER'!#REF!)-1)))+1)+(4-INDEX('CONTROL MASTER'!$U$2:$U$495,(SUMPRODUCT((('CONTROL MASTER'!$S$2:$S$495=3)*('CONTROL MASTER'!$T$2:$T$495&lt;=5)*('CONTROL MASTER'!$V$2:$V$495&gt;=5)*('CONTROL MASTER'!$U$2:$U$495&lt;=4)*('CONTROL MASTER'!$W$2:$W$495&gt;=4))*ROW('CONTROL MASTER'!$S$2:$S$495))-(ROW('CONTROL MASTER'!#REF!)-1))))+1))-1)*50+1,50))&amp;"_"&amp;INDEX('CONTROL MASTER'!$P$2:$P$495,(SUMPRODUCT((('CONTROL MASTER'!$S$2:$S$495=3)*('CONTROL MASTER'!$T$2:$T$495&lt;=5)*('CONTROL MASTER'!$V$2:$V$495&gt;=5)*('CONTROL MASTER'!$U$2:$U$495&lt;=4)*('CONTROL MASTER'!$W$2:$W$495&gt;=4))*ROW('CONTROL MASTER'!$S$2:$S$495))-(ROW('CONTROL MASTER'!#REF!)-1))),IF(SUMPRODUCT((('CONTROL MASTER'!$S$2:$S$495=3)*('CONTROL MASTER'!$Z$2:$Z$495&lt;=5)*('CONTROL MASTER'!$AB$2:$AB$495&gt;=5)*('CONTROL MASTER'!$AA$2:$AA$495&lt;=4)*('CONTROL MASTER'!$AC$2:$AC$495&gt;=4))*ROW('CONTROL MASTER'!$S$2:$S$495))&gt;0,INDEX('CONTROL MASTER'!$X$2:$X$495,(SUMPRODUCT((('CONTROL MASTER'!$S$2:$S$495=3)*('CONTROL MASTER'!$Z$2:$Z$495&lt;=5)*('CONTROL MASTER'!$AB$2:$AB$495&gt;=5)*('CONTROL MASTER'!$AA$2:$AA$495&lt;=4)*('CONTROL MASTER'!$AC$2:$AC$495&gt;=4))*ROW('CONTROL MASTER'!$S$2:$S$495))-(ROW('CONTROL MASTER'!#REF!)-1)))&amp;TRIM(MID(SUBSTITUTE(SUBSTITUTE(INDEX('CONTROL MASTER'!$N$2:$N$495,(SUMPRODUCT((('CONTROL MASTER'!$S$2:$S$495=3)*('CONTROL MASTER'!$Z$2:$Z$495&lt;=5)*('CONTROL MASTER'!$AB$2:$AB$495&gt;=5)*('CONTROL MASTER'!$AA$2:$AA$495&lt;=4)*('CONTROL MASTER'!$AC$2:$AC$495&gt;=4))*ROW('CONTROL MASTER'!$S$2:$S$495))-(ROW('CONTROL MASTER'!#REF!)-1))),":",","),",",REPT(" ",50)),(((INDEX('CONTROL MASTER'!$Y$2:$Y$495,(SUMPRODUCT((('CONTROL MASTER'!$S$2:$S$495=3)*('CONTROL MASTER'!$Z$2:$Z$495&lt;=5)*('CONTROL MASTER'!$AB$2:$AB$495&gt;=5)*('CONTROL MASTER'!$AA$2:$AA$495&lt;=4)*('CONTROL MASTER'!$AC$2:$AC$495&gt;=4))*ROW('CONTROL MASTER'!$S$2:$S$495))-(ROW('CONTROL MASTER'!#REF!)-1)))+((5-INDEX('CONTROL MASTER'!$Z$2:$Z$495,(SUMPRODUCT((('CONTROL MASTER'!$S$2:$S$495=3)*('CONTROL MASTER'!$Z$2:$Z$495&lt;=5)*('CONTROL MASTER'!$AB$2:$AB$495&gt;=5)*('CONTROL MASTER'!$AA$2:$AA$495&lt;=4)*('CONTROL MASTER'!$AC$2:$AC$495&gt;=4))*ROW('CONTROL MASTER'!$S$2:$S$495))-(ROW('CONTROL MASTER'!#REF!)-1))))*(INDEX('CONTROL MASTER'!$AC$2:$AC$495,(SUMPRODUCT((('CONTROL MASTER'!$S$2:$S$495=3)*('CONTROL MASTER'!$Z$2:$Z$495&lt;=5)*('CONTROL MASTER'!$AB$2:$AB$495&gt;=5)*('CONTROL MASTER'!$AA$2:$AA$495&lt;=4)*('CONTROL MASTER'!$AC$2:$AC$495&gt;=4))*ROW('CONTROL MASTER'!$S$2:$S$495))-(ROW('CONTROL MASTER'!#REF!)-1)))-INDEX('CONTROL MASTER'!$AA$2:$AA$495,(SUMPRODUCT((('CONTROL MASTER'!$S$2:$S$495=3)*('CONTROL MASTER'!$Z$2:$Z$495&lt;=5)*('CONTROL MASTER'!$AB$2:$AB$495&gt;=5)*('CONTROL MASTER'!$AA$2:$AA$495&lt;=4)*('CONTROL MASTER'!$AC$2:$AC$495&gt;=4))*ROW('CONTROL MASTER'!$S$2:$S$495))-(ROW('CONTROL MASTER'!#REF!)-1)))+1)+(4-INDEX('CONTROL MASTER'!$AA$2:$AA$495,(SUMPRODUCT((('CONTROL MASTER'!$S$2:$S$495=3)*('CONTROL MASTER'!$Z$2:$Z$495&lt;=5)*('CONTROL MASTER'!$AB$2:$AB$495&gt;=5)*('CONTROL MASTER'!$AA$2:$AA$495&lt;=4)*('CONTROL MASTER'!$AC$2:$AC$495&gt;=4))*ROW('CONTROL MASTER'!$S$2:$S$495))-(ROW('CONTROL MASTER'!#REF!)-1))))+1)))-1)*50+1,50))&amp;"_"&amp;INDEX('CONTROL MASTER'!$P$2:$P$495,(SUMPRODUCT((('CONTROL MASTER'!$S$2:$S$495=3)*('CONTROL MASTER'!$Z$2:$Z$495&lt;=5)*('CONTROL MASTER'!$AB$2:$AB$495&gt;=5)*('CONTROL MASTER'!$AA$2:$AA$495&lt;=4)*('CONTROL MASTER'!$AC$2:$AC$495&gt;=4))*ROW('CONTROL MASTER'!$S$2:$S$495))-(ROW('CONTROL MASTER'!#REF!)-1))),"")),"")</f>
        <v/>
      </c>
      <c r="F35" s="10" t="str">
        <f>IFERROR(IF(SUMPRODUCT((('CONTROL MASTER'!$S$2:$S$495=3)*('CONTROL MASTER'!$T$2:$T$495&lt;=5)*('CONTROL MASTER'!$V$2:$V$495&gt;=5)*('CONTROL MASTER'!$U$2:$U$495&lt;=5)*('CONTROL MASTER'!$W$2:$W$495&gt;=5))*ROW('CONTROL MASTER'!$S$2:$S$495))&gt;0,INDEX('CONTROL MASTER'!$X$2:$X$495,(SUMPRODUCT((('CONTROL MASTER'!$S$2:$S$495=3)*('CONTROL MASTER'!$T$2:$T$495&lt;=5)*('CONTROL MASTER'!$V$2:$V$495&gt;=5)*('CONTROL MASTER'!$U$2:$U$495&lt;=5)*('CONTROL MASTER'!$W$2:$W$495&gt;=5))*ROW('CONTROL MASTER'!$S$2:$S$495))-(ROW('CONTROL MASTER'!#REF!)-1)))&amp;TRIM(MID(SUBSTITUTE(SUBSTITUTE(INDEX('CONTROL MASTER'!$N$2:$N$495,(SUMPRODUCT((('CONTROL MASTER'!$S$2:$S$495=3)*('CONTROL MASTER'!$T$2:$T$495&lt;=5)*('CONTROL MASTER'!$V$2:$V$495&gt;=5)*('CONTROL MASTER'!$U$2:$U$495&lt;=5)*('CONTROL MASTER'!$W$2:$W$495&gt;=5))*ROW('CONTROL MASTER'!$S$2:$S$495))-(ROW('CONTROL MASTER'!#REF!)-1))),":",","),",",REPT(" ",50)),((((5-INDEX('CONTROL MASTER'!$T$2:$T$495,(SUMPRODUCT((('CONTROL MASTER'!$S$2:$S$495=3)*('CONTROL MASTER'!$T$2:$T$495&lt;=5)*('CONTROL MASTER'!$V$2:$V$495&gt;=5)*('CONTROL MASTER'!$U$2:$U$495&lt;=5)*('CONTROL MASTER'!$W$2:$W$495&gt;=5))*ROW('CONTROL MASTER'!$S$2:$S$495))-(ROW('CONTROL MASTER'!#REF!)-1))))*(INDEX('CONTROL MASTER'!$W$2:$W$495,(SUMPRODUCT((('CONTROL MASTER'!$S$2:$S$495=3)*('CONTROL MASTER'!$T$2:$T$495&lt;=5)*('CONTROL MASTER'!$V$2:$V$495&gt;=5)*('CONTROL MASTER'!$U$2:$U$495&lt;=5)*('CONTROL MASTER'!$W$2:$W$495&gt;=5))*ROW('CONTROL MASTER'!$S$2:$S$495))-(ROW('CONTROL MASTER'!#REF!)-1)))-INDEX('CONTROL MASTER'!$U$2:$U$495,(SUMPRODUCT((('CONTROL MASTER'!$S$2:$S$495=3)*('CONTROL MASTER'!$T$2:$T$495&lt;=5)*('CONTROL MASTER'!$V$2:$V$495&gt;=5)*('CONTROL MASTER'!$U$2:$U$495&lt;=5)*('CONTROL MASTER'!$W$2:$W$495&gt;=5))*ROW('CONTROL MASTER'!$S$2:$S$495))-(ROW('CONTROL MASTER'!#REF!)-1)))+1)+(5-INDEX('CONTROL MASTER'!$U$2:$U$495,(SUMPRODUCT((('CONTROL MASTER'!$S$2:$S$495=3)*('CONTROL MASTER'!$T$2:$T$495&lt;=5)*('CONTROL MASTER'!$V$2:$V$495&gt;=5)*('CONTROL MASTER'!$U$2:$U$495&lt;=5)*('CONTROL MASTER'!$W$2:$W$495&gt;=5))*ROW('CONTROL MASTER'!$S$2:$S$495))-(ROW('CONTROL MASTER'!#REF!)-1))))+1))-1)*50+1,50))&amp;"_"&amp;INDEX('CONTROL MASTER'!$P$2:$P$495,(SUMPRODUCT((('CONTROL MASTER'!$S$2:$S$495=3)*('CONTROL MASTER'!$T$2:$T$495&lt;=5)*('CONTROL MASTER'!$V$2:$V$495&gt;=5)*('CONTROL MASTER'!$U$2:$U$495&lt;=5)*('CONTROL MASTER'!$W$2:$W$495&gt;=5))*ROW('CONTROL MASTER'!$S$2:$S$495))-(ROW('CONTROL MASTER'!#REF!)-1))),IF(SUMPRODUCT((('CONTROL MASTER'!$S$2:$S$495=3)*('CONTROL MASTER'!$Z$2:$Z$495&lt;=5)*('CONTROL MASTER'!$AB$2:$AB$495&gt;=5)*('CONTROL MASTER'!$AA$2:$AA$495&lt;=5)*('CONTROL MASTER'!$AC$2:$AC$495&gt;=5))*ROW('CONTROL MASTER'!$S$2:$S$495))&gt;0,INDEX('CONTROL MASTER'!$X$2:$X$495,(SUMPRODUCT((('CONTROL MASTER'!$S$2:$S$495=3)*('CONTROL MASTER'!$Z$2:$Z$495&lt;=5)*('CONTROL MASTER'!$AB$2:$AB$495&gt;=5)*('CONTROL MASTER'!$AA$2:$AA$495&lt;=5)*('CONTROL MASTER'!$AC$2:$AC$495&gt;=5))*ROW('CONTROL MASTER'!$S$2:$S$495))-(ROW('CONTROL MASTER'!#REF!)-1)))&amp;TRIM(MID(SUBSTITUTE(SUBSTITUTE(INDEX('CONTROL MASTER'!$N$2:$N$495,(SUMPRODUCT((('CONTROL MASTER'!$S$2:$S$495=3)*('CONTROL MASTER'!$Z$2:$Z$495&lt;=5)*('CONTROL MASTER'!$AB$2:$AB$495&gt;=5)*('CONTROL MASTER'!$AA$2:$AA$495&lt;=5)*('CONTROL MASTER'!$AC$2:$AC$495&gt;=5))*ROW('CONTROL MASTER'!$S$2:$S$495))-(ROW('CONTROL MASTER'!#REF!)-1))),":",","),",",REPT(" ",50)),(((INDEX('CONTROL MASTER'!$Y$2:$Y$495,(SUMPRODUCT((('CONTROL MASTER'!$S$2:$S$495=3)*('CONTROL MASTER'!$Z$2:$Z$495&lt;=5)*('CONTROL MASTER'!$AB$2:$AB$495&gt;=5)*('CONTROL MASTER'!$AA$2:$AA$495&lt;=5)*('CONTROL MASTER'!$AC$2:$AC$495&gt;=5))*ROW('CONTROL MASTER'!$S$2:$S$495))-(ROW('CONTROL MASTER'!#REF!)-1)))+((5-INDEX('CONTROL MASTER'!$Z$2:$Z$495,(SUMPRODUCT((('CONTROL MASTER'!$S$2:$S$495=3)*('CONTROL MASTER'!$Z$2:$Z$495&lt;=5)*('CONTROL MASTER'!$AB$2:$AB$495&gt;=5)*('CONTROL MASTER'!$AA$2:$AA$495&lt;=5)*('CONTROL MASTER'!$AC$2:$AC$495&gt;=5))*ROW('CONTROL MASTER'!$S$2:$S$495))-(ROW('CONTROL MASTER'!#REF!)-1))))*(INDEX('CONTROL MASTER'!$AC$2:$AC$495,(SUMPRODUCT((('CONTROL MASTER'!$S$2:$S$495=3)*('CONTROL MASTER'!$Z$2:$Z$495&lt;=5)*('CONTROL MASTER'!$AB$2:$AB$495&gt;=5)*('CONTROL MASTER'!$AA$2:$AA$495&lt;=5)*('CONTROL MASTER'!$AC$2:$AC$495&gt;=5))*ROW('CONTROL MASTER'!$S$2:$S$495))-(ROW('CONTROL MASTER'!#REF!)-1)))-INDEX('CONTROL MASTER'!$AA$2:$AA$495,(SUMPRODUCT((('CONTROL MASTER'!$S$2:$S$495=3)*('CONTROL MASTER'!$Z$2:$Z$495&lt;=5)*('CONTROL MASTER'!$AB$2:$AB$495&gt;=5)*('CONTROL MASTER'!$AA$2:$AA$495&lt;=5)*('CONTROL MASTER'!$AC$2:$AC$495&gt;=5))*ROW('CONTROL MASTER'!$S$2:$S$495))-(ROW('CONTROL MASTER'!#REF!)-1)))+1)+(5-INDEX('CONTROL MASTER'!$AA$2:$AA$495,(SUMPRODUCT((('CONTROL MASTER'!$S$2:$S$495=3)*('CONTROL MASTER'!$Z$2:$Z$495&lt;=5)*('CONTROL MASTER'!$AB$2:$AB$495&gt;=5)*('CONTROL MASTER'!$AA$2:$AA$495&lt;=5)*('CONTROL MASTER'!$AC$2:$AC$495&gt;=5))*ROW('CONTROL MASTER'!$S$2:$S$495))-(ROW('CONTROL MASTER'!#REF!)-1))))+1)))-1)*50+1,50))&amp;"_"&amp;INDEX('CONTROL MASTER'!$P$2:$P$495,(SUMPRODUCT((('CONTROL MASTER'!$S$2:$S$495=3)*('CONTROL MASTER'!$Z$2:$Z$495&lt;=5)*('CONTROL MASTER'!$AB$2:$AB$495&gt;=5)*('CONTROL MASTER'!$AA$2:$AA$495&lt;=5)*('CONTROL MASTER'!$AC$2:$AC$495&gt;=5))*ROW('CONTROL MASTER'!$S$2:$S$495))-(ROW('CONTROL MASTER'!#REF!)-1))),"")),"")</f>
        <v/>
      </c>
      <c r="G35" s="10" t="str">
        <f>IFERROR(IF(SUMPRODUCT((('CONTROL MASTER'!$S$2:$S$495=3)*('CONTROL MASTER'!$T$2:$T$495&lt;=5)*('CONTROL MASTER'!$V$2:$V$495&gt;=5)*('CONTROL MASTER'!$U$2:$U$495&lt;=6)*('CONTROL MASTER'!$W$2:$W$495&gt;=6))*ROW('CONTROL MASTER'!$S$2:$S$495))&gt;0,INDEX('CONTROL MASTER'!$X$2:$X$495,(SUMPRODUCT((('CONTROL MASTER'!$S$2:$S$495=3)*('CONTROL MASTER'!$T$2:$T$495&lt;=5)*('CONTROL MASTER'!$V$2:$V$495&gt;=5)*('CONTROL MASTER'!$U$2:$U$495&lt;=6)*('CONTROL MASTER'!$W$2:$W$495&gt;=6))*ROW('CONTROL MASTER'!$S$2:$S$495))-(ROW('CONTROL MASTER'!#REF!)-1)))&amp;TRIM(MID(SUBSTITUTE(SUBSTITUTE(INDEX('CONTROL MASTER'!$N$2:$N$495,(SUMPRODUCT((('CONTROL MASTER'!$S$2:$S$495=3)*('CONTROL MASTER'!$T$2:$T$495&lt;=5)*('CONTROL MASTER'!$V$2:$V$495&gt;=5)*('CONTROL MASTER'!$U$2:$U$495&lt;=6)*('CONTROL MASTER'!$W$2:$W$495&gt;=6))*ROW('CONTROL MASTER'!$S$2:$S$495))-(ROW('CONTROL MASTER'!#REF!)-1))),":",","),",",REPT(" ",50)),((((5-INDEX('CONTROL MASTER'!$T$2:$T$495,(SUMPRODUCT((('CONTROL MASTER'!$S$2:$S$495=3)*('CONTROL MASTER'!$T$2:$T$495&lt;=5)*('CONTROL MASTER'!$V$2:$V$495&gt;=5)*('CONTROL MASTER'!$U$2:$U$495&lt;=6)*('CONTROL MASTER'!$W$2:$W$495&gt;=6))*ROW('CONTROL MASTER'!$S$2:$S$495))-(ROW('CONTROL MASTER'!#REF!)-1))))*(INDEX('CONTROL MASTER'!$W$2:$W$495,(SUMPRODUCT((('CONTROL MASTER'!$S$2:$S$495=3)*('CONTROL MASTER'!$T$2:$T$495&lt;=5)*('CONTROL MASTER'!$V$2:$V$495&gt;=5)*('CONTROL MASTER'!$U$2:$U$495&lt;=6)*('CONTROL MASTER'!$W$2:$W$495&gt;=6))*ROW('CONTROL MASTER'!$S$2:$S$495))-(ROW('CONTROL MASTER'!#REF!)-1)))-INDEX('CONTROL MASTER'!$U$2:$U$495,(SUMPRODUCT((('CONTROL MASTER'!$S$2:$S$495=3)*('CONTROL MASTER'!$T$2:$T$495&lt;=5)*('CONTROL MASTER'!$V$2:$V$495&gt;=5)*('CONTROL MASTER'!$U$2:$U$495&lt;=6)*('CONTROL MASTER'!$W$2:$W$495&gt;=6))*ROW('CONTROL MASTER'!$S$2:$S$495))-(ROW('CONTROL MASTER'!#REF!)-1)))+1)+(6-INDEX('CONTROL MASTER'!$U$2:$U$495,(SUMPRODUCT((('CONTROL MASTER'!$S$2:$S$495=3)*('CONTROL MASTER'!$T$2:$T$495&lt;=5)*('CONTROL MASTER'!$V$2:$V$495&gt;=5)*('CONTROL MASTER'!$U$2:$U$495&lt;=6)*('CONTROL MASTER'!$W$2:$W$495&gt;=6))*ROW('CONTROL MASTER'!$S$2:$S$495))-(ROW('CONTROL MASTER'!#REF!)-1))))+1))-1)*50+1,50))&amp;"_"&amp;INDEX('CONTROL MASTER'!$P$2:$P$495,(SUMPRODUCT((('CONTROL MASTER'!$S$2:$S$495=3)*('CONTROL MASTER'!$T$2:$T$495&lt;=5)*('CONTROL MASTER'!$V$2:$V$495&gt;=5)*('CONTROL MASTER'!$U$2:$U$495&lt;=6)*('CONTROL MASTER'!$W$2:$W$495&gt;=6))*ROW('CONTROL MASTER'!$S$2:$S$495))-(ROW('CONTROL MASTER'!#REF!)-1))),IF(SUMPRODUCT((('CONTROL MASTER'!$S$2:$S$495=3)*('CONTROL MASTER'!$Z$2:$Z$495&lt;=5)*('CONTROL MASTER'!$AB$2:$AB$495&gt;=5)*('CONTROL MASTER'!$AA$2:$AA$495&lt;=6)*('CONTROL MASTER'!$AC$2:$AC$495&gt;=6))*ROW('CONTROL MASTER'!$S$2:$S$495))&gt;0,INDEX('CONTROL MASTER'!$X$2:$X$495,(SUMPRODUCT((('CONTROL MASTER'!$S$2:$S$495=3)*('CONTROL MASTER'!$Z$2:$Z$495&lt;=5)*('CONTROL MASTER'!$AB$2:$AB$495&gt;=5)*('CONTROL MASTER'!$AA$2:$AA$495&lt;=6)*('CONTROL MASTER'!$AC$2:$AC$495&gt;=6))*ROW('CONTROL MASTER'!$S$2:$S$495))-(ROW('CONTROL MASTER'!#REF!)-1)))&amp;TRIM(MID(SUBSTITUTE(SUBSTITUTE(INDEX('CONTROL MASTER'!$N$2:$N$495,(SUMPRODUCT((('CONTROL MASTER'!$S$2:$S$495=3)*('CONTROL MASTER'!$Z$2:$Z$495&lt;=5)*('CONTROL MASTER'!$AB$2:$AB$495&gt;=5)*('CONTROL MASTER'!$AA$2:$AA$495&lt;=6)*('CONTROL MASTER'!$AC$2:$AC$495&gt;=6))*ROW('CONTROL MASTER'!$S$2:$S$495))-(ROW('CONTROL MASTER'!#REF!)-1))),":",","),",",REPT(" ",50)),(((INDEX('CONTROL MASTER'!$Y$2:$Y$495,(SUMPRODUCT((('CONTROL MASTER'!$S$2:$S$495=3)*('CONTROL MASTER'!$Z$2:$Z$495&lt;=5)*('CONTROL MASTER'!$AB$2:$AB$495&gt;=5)*('CONTROL MASTER'!$AA$2:$AA$495&lt;=6)*('CONTROL MASTER'!$AC$2:$AC$495&gt;=6))*ROW('CONTROL MASTER'!$S$2:$S$495))-(ROW('CONTROL MASTER'!#REF!)-1)))+((5-INDEX('CONTROL MASTER'!$Z$2:$Z$495,(SUMPRODUCT((('CONTROL MASTER'!$S$2:$S$495=3)*('CONTROL MASTER'!$Z$2:$Z$495&lt;=5)*('CONTROL MASTER'!$AB$2:$AB$495&gt;=5)*('CONTROL MASTER'!$AA$2:$AA$495&lt;=6)*('CONTROL MASTER'!$AC$2:$AC$495&gt;=6))*ROW('CONTROL MASTER'!$S$2:$S$495))-(ROW('CONTROL MASTER'!#REF!)-1))))*(INDEX('CONTROL MASTER'!$AC$2:$AC$495,(SUMPRODUCT((('CONTROL MASTER'!$S$2:$S$495=3)*('CONTROL MASTER'!$Z$2:$Z$495&lt;=5)*('CONTROL MASTER'!$AB$2:$AB$495&gt;=5)*('CONTROL MASTER'!$AA$2:$AA$495&lt;=6)*('CONTROL MASTER'!$AC$2:$AC$495&gt;=6))*ROW('CONTROL MASTER'!$S$2:$S$495))-(ROW('CONTROL MASTER'!#REF!)-1)))-INDEX('CONTROL MASTER'!$AA$2:$AA$495,(SUMPRODUCT((('CONTROL MASTER'!$S$2:$S$495=3)*('CONTROL MASTER'!$Z$2:$Z$495&lt;=5)*('CONTROL MASTER'!$AB$2:$AB$495&gt;=5)*('CONTROL MASTER'!$AA$2:$AA$495&lt;=6)*('CONTROL MASTER'!$AC$2:$AC$495&gt;=6))*ROW('CONTROL MASTER'!$S$2:$S$495))-(ROW('CONTROL MASTER'!#REF!)-1)))+1)+(6-INDEX('CONTROL MASTER'!$AA$2:$AA$495,(SUMPRODUCT((('CONTROL MASTER'!$S$2:$S$495=3)*('CONTROL MASTER'!$Z$2:$Z$495&lt;=5)*('CONTROL MASTER'!$AB$2:$AB$495&gt;=5)*('CONTROL MASTER'!$AA$2:$AA$495&lt;=6)*('CONTROL MASTER'!$AC$2:$AC$495&gt;=6))*ROW('CONTROL MASTER'!$S$2:$S$495))-(ROW('CONTROL MASTER'!#REF!)-1))))+1)))-1)*50+1,50))&amp;"_"&amp;INDEX('CONTROL MASTER'!$P$2:$P$495,(SUMPRODUCT((('CONTROL MASTER'!$S$2:$S$495=3)*('CONTROL MASTER'!$Z$2:$Z$495&lt;=5)*('CONTROL MASTER'!$AB$2:$AB$495&gt;=5)*('CONTROL MASTER'!$AA$2:$AA$495&lt;=6)*('CONTROL MASTER'!$AC$2:$AC$495&gt;=6))*ROW('CONTROL MASTER'!$S$2:$S$495))-(ROW('CONTROL MASTER'!#REF!)-1))),"")),"")</f>
        <v/>
      </c>
      <c r="H35" s="10" t="str">
        <f>IFERROR(IF(SUMPRODUCT((('CONTROL MASTER'!$S$2:$S$495=3)*('CONTROL MASTER'!$T$2:$T$495&lt;=5)*('CONTROL MASTER'!$V$2:$V$495&gt;=5)*('CONTROL MASTER'!$U$2:$U$495&lt;=7)*('CONTROL MASTER'!$W$2:$W$495&gt;=7))*ROW('CONTROL MASTER'!$S$2:$S$495))&gt;0,INDEX('CONTROL MASTER'!$X$2:$X$495,(SUMPRODUCT((('CONTROL MASTER'!$S$2:$S$495=3)*('CONTROL MASTER'!$T$2:$T$495&lt;=5)*('CONTROL MASTER'!$V$2:$V$495&gt;=5)*('CONTROL MASTER'!$U$2:$U$495&lt;=7)*('CONTROL MASTER'!$W$2:$W$495&gt;=7))*ROW('CONTROL MASTER'!$S$2:$S$495))-(ROW('CONTROL MASTER'!#REF!)-1)))&amp;TRIM(MID(SUBSTITUTE(SUBSTITUTE(INDEX('CONTROL MASTER'!$N$2:$N$495,(SUMPRODUCT((('CONTROL MASTER'!$S$2:$S$495=3)*('CONTROL MASTER'!$T$2:$T$495&lt;=5)*('CONTROL MASTER'!$V$2:$V$495&gt;=5)*('CONTROL MASTER'!$U$2:$U$495&lt;=7)*('CONTROL MASTER'!$W$2:$W$495&gt;=7))*ROW('CONTROL MASTER'!$S$2:$S$495))-(ROW('CONTROL MASTER'!#REF!)-1))),":",","),",",REPT(" ",50)),((((5-INDEX('CONTROL MASTER'!$T$2:$T$495,(SUMPRODUCT((('CONTROL MASTER'!$S$2:$S$495=3)*('CONTROL MASTER'!$T$2:$T$495&lt;=5)*('CONTROL MASTER'!$V$2:$V$495&gt;=5)*('CONTROL MASTER'!$U$2:$U$495&lt;=7)*('CONTROL MASTER'!$W$2:$W$495&gt;=7))*ROW('CONTROL MASTER'!$S$2:$S$495))-(ROW('CONTROL MASTER'!#REF!)-1))))*(INDEX('CONTROL MASTER'!$W$2:$W$495,(SUMPRODUCT((('CONTROL MASTER'!$S$2:$S$495=3)*('CONTROL MASTER'!$T$2:$T$495&lt;=5)*('CONTROL MASTER'!$V$2:$V$495&gt;=5)*('CONTROL MASTER'!$U$2:$U$495&lt;=7)*('CONTROL MASTER'!$W$2:$W$495&gt;=7))*ROW('CONTROL MASTER'!$S$2:$S$495))-(ROW('CONTROL MASTER'!#REF!)-1)))-INDEX('CONTROL MASTER'!$U$2:$U$495,(SUMPRODUCT((('CONTROL MASTER'!$S$2:$S$495=3)*('CONTROL MASTER'!$T$2:$T$495&lt;=5)*('CONTROL MASTER'!$V$2:$V$495&gt;=5)*('CONTROL MASTER'!$U$2:$U$495&lt;=7)*('CONTROL MASTER'!$W$2:$W$495&gt;=7))*ROW('CONTROL MASTER'!$S$2:$S$495))-(ROW('CONTROL MASTER'!#REF!)-1)))+1)+(7-INDEX('CONTROL MASTER'!$U$2:$U$495,(SUMPRODUCT((('CONTROL MASTER'!$S$2:$S$495=3)*('CONTROL MASTER'!$T$2:$T$495&lt;=5)*('CONTROL MASTER'!$V$2:$V$495&gt;=5)*('CONTROL MASTER'!$U$2:$U$495&lt;=7)*('CONTROL MASTER'!$W$2:$W$495&gt;=7))*ROW('CONTROL MASTER'!$S$2:$S$495))-(ROW('CONTROL MASTER'!#REF!)-1))))+1))-1)*50+1,50))&amp;"_"&amp;INDEX('CONTROL MASTER'!$P$2:$P$495,(SUMPRODUCT((('CONTROL MASTER'!$S$2:$S$495=3)*('CONTROL MASTER'!$T$2:$T$495&lt;=5)*('CONTROL MASTER'!$V$2:$V$495&gt;=5)*('CONTROL MASTER'!$U$2:$U$495&lt;=7)*('CONTROL MASTER'!$W$2:$W$495&gt;=7))*ROW('CONTROL MASTER'!$S$2:$S$495))-(ROW('CONTROL MASTER'!#REF!)-1))),IF(SUMPRODUCT((('CONTROL MASTER'!$S$2:$S$495=3)*('CONTROL MASTER'!$Z$2:$Z$495&lt;=5)*('CONTROL MASTER'!$AB$2:$AB$495&gt;=5)*('CONTROL MASTER'!$AA$2:$AA$495&lt;=7)*('CONTROL MASTER'!$AC$2:$AC$495&gt;=7))*ROW('CONTROL MASTER'!$S$2:$S$495))&gt;0,INDEX('CONTROL MASTER'!$X$2:$X$495,(SUMPRODUCT((('CONTROL MASTER'!$S$2:$S$495=3)*('CONTROL MASTER'!$Z$2:$Z$495&lt;=5)*('CONTROL MASTER'!$AB$2:$AB$495&gt;=5)*('CONTROL MASTER'!$AA$2:$AA$495&lt;=7)*('CONTROL MASTER'!$AC$2:$AC$495&gt;=7))*ROW('CONTROL MASTER'!$S$2:$S$495))-(ROW('CONTROL MASTER'!#REF!)-1)))&amp;TRIM(MID(SUBSTITUTE(SUBSTITUTE(INDEX('CONTROL MASTER'!$N$2:$N$495,(SUMPRODUCT((('CONTROL MASTER'!$S$2:$S$495=3)*('CONTROL MASTER'!$Z$2:$Z$495&lt;=5)*('CONTROL MASTER'!$AB$2:$AB$495&gt;=5)*('CONTROL MASTER'!$AA$2:$AA$495&lt;=7)*('CONTROL MASTER'!$AC$2:$AC$495&gt;=7))*ROW('CONTROL MASTER'!$S$2:$S$495))-(ROW('CONTROL MASTER'!#REF!)-1))),":",","),",",REPT(" ",50)),(((INDEX('CONTROL MASTER'!$Y$2:$Y$495,(SUMPRODUCT((('CONTROL MASTER'!$S$2:$S$495=3)*('CONTROL MASTER'!$Z$2:$Z$495&lt;=5)*('CONTROL MASTER'!$AB$2:$AB$495&gt;=5)*('CONTROL MASTER'!$AA$2:$AA$495&lt;=7)*('CONTROL MASTER'!$AC$2:$AC$495&gt;=7))*ROW('CONTROL MASTER'!$S$2:$S$495))-(ROW('CONTROL MASTER'!#REF!)-1)))+((5-INDEX('CONTROL MASTER'!$Z$2:$Z$495,(SUMPRODUCT((('CONTROL MASTER'!$S$2:$S$495=3)*('CONTROL MASTER'!$Z$2:$Z$495&lt;=5)*('CONTROL MASTER'!$AB$2:$AB$495&gt;=5)*('CONTROL MASTER'!$AA$2:$AA$495&lt;=7)*('CONTROL MASTER'!$AC$2:$AC$495&gt;=7))*ROW('CONTROL MASTER'!$S$2:$S$495))-(ROW('CONTROL MASTER'!#REF!)-1))))*(INDEX('CONTROL MASTER'!$AC$2:$AC$495,(SUMPRODUCT((('CONTROL MASTER'!$S$2:$S$495=3)*('CONTROL MASTER'!$Z$2:$Z$495&lt;=5)*('CONTROL MASTER'!$AB$2:$AB$495&gt;=5)*('CONTROL MASTER'!$AA$2:$AA$495&lt;=7)*('CONTROL MASTER'!$AC$2:$AC$495&gt;=7))*ROW('CONTROL MASTER'!$S$2:$S$495))-(ROW('CONTROL MASTER'!#REF!)-1)))-INDEX('CONTROL MASTER'!$AA$2:$AA$495,(SUMPRODUCT((('CONTROL MASTER'!$S$2:$S$495=3)*('CONTROL MASTER'!$Z$2:$Z$495&lt;=5)*('CONTROL MASTER'!$AB$2:$AB$495&gt;=5)*('CONTROL MASTER'!$AA$2:$AA$495&lt;=7)*('CONTROL MASTER'!$AC$2:$AC$495&gt;=7))*ROW('CONTROL MASTER'!$S$2:$S$495))-(ROW('CONTROL MASTER'!#REF!)-1)))+1)+(7-INDEX('CONTROL MASTER'!$AA$2:$AA$495,(SUMPRODUCT((('CONTROL MASTER'!$S$2:$S$495=3)*('CONTROL MASTER'!$Z$2:$Z$495&lt;=5)*('CONTROL MASTER'!$AB$2:$AB$495&gt;=5)*('CONTROL MASTER'!$AA$2:$AA$495&lt;=7)*('CONTROL MASTER'!$AC$2:$AC$495&gt;=7))*ROW('CONTROL MASTER'!$S$2:$S$495))-(ROW('CONTROL MASTER'!#REF!)-1))))+1)))-1)*50+1,50))&amp;"_"&amp;INDEX('CONTROL MASTER'!$P$2:$P$495,(SUMPRODUCT((('CONTROL MASTER'!$S$2:$S$495=3)*('CONTROL MASTER'!$Z$2:$Z$495&lt;=5)*('CONTROL MASTER'!$AB$2:$AB$495&gt;=5)*('CONTROL MASTER'!$AA$2:$AA$495&lt;=7)*('CONTROL MASTER'!$AC$2:$AC$495&gt;=7))*ROW('CONTROL MASTER'!$S$2:$S$495))-(ROW('CONTROL MASTER'!#REF!)-1))),"")),"")</f>
        <v/>
      </c>
      <c r="I35" s="10" t="str">
        <f>IFERROR(IF(SUMPRODUCT((('CONTROL MASTER'!$S$2:$S$495=3)*('CONTROL MASTER'!$T$2:$T$495&lt;=5)*('CONTROL MASTER'!$V$2:$V$495&gt;=5)*('CONTROL MASTER'!$U$2:$U$495&lt;=8)*('CONTROL MASTER'!$W$2:$W$495&gt;=8))*ROW('CONTROL MASTER'!$S$2:$S$495))&gt;0,INDEX('CONTROL MASTER'!$X$2:$X$495,(SUMPRODUCT((('CONTROL MASTER'!$S$2:$S$495=3)*('CONTROL MASTER'!$T$2:$T$495&lt;=5)*('CONTROL MASTER'!$V$2:$V$495&gt;=5)*('CONTROL MASTER'!$U$2:$U$495&lt;=8)*('CONTROL MASTER'!$W$2:$W$495&gt;=8))*ROW('CONTROL MASTER'!$S$2:$S$495))-(ROW('CONTROL MASTER'!#REF!)-1)))&amp;TRIM(MID(SUBSTITUTE(SUBSTITUTE(INDEX('CONTROL MASTER'!$N$2:$N$495,(SUMPRODUCT((('CONTROL MASTER'!$S$2:$S$495=3)*('CONTROL MASTER'!$T$2:$T$495&lt;=5)*('CONTROL MASTER'!$V$2:$V$495&gt;=5)*('CONTROL MASTER'!$U$2:$U$495&lt;=8)*('CONTROL MASTER'!$W$2:$W$495&gt;=8))*ROW('CONTROL MASTER'!$S$2:$S$495))-(ROW('CONTROL MASTER'!#REF!)-1))),":",","),",",REPT(" ",50)),((((5-INDEX('CONTROL MASTER'!$T$2:$T$495,(SUMPRODUCT((('CONTROL MASTER'!$S$2:$S$495=3)*('CONTROL MASTER'!$T$2:$T$495&lt;=5)*('CONTROL MASTER'!$V$2:$V$495&gt;=5)*('CONTROL MASTER'!$U$2:$U$495&lt;=8)*('CONTROL MASTER'!$W$2:$W$495&gt;=8))*ROW('CONTROL MASTER'!$S$2:$S$495))-(ROW('CONTROL MASTER'!#REF!)-1))))*(INDEX('CONTROL MASTER'!$W$2:$W$495,(SUMPRODUCT((('CONTROL MASTER'!$S$2:$S$495=3)*('CONTROL MASTER'!$T$2:$T$495&lt;=5)*('CONTROL MASTER'!$V$2:$V$495&gt;=5)*('CONTROL MASTER'!$U$2:$U$495&lt;=8)*('CONTROL MASTER'!$W$2:$W$495&gt;=8))*ROW('CONTROL MASTER'!$S$2:$S$495))-(ROW('CONTROL MASTER'!#REF!)-1)))-INDEX('CONTROL MASTER'!$U$2:$U$495,(SUMPRODUCT((('CONTROL MASTER'!$S$2:$S$495=3)*('CONTROL MASTER'!$T$2:$T$495&lt;=5)*('CONTROL MASTER'!$V$2:$V$495&gt;=5)*('CONTROL MASTER'!$U$2:$U$495&lt;=8)*('CONTROL MASTER'!$W$2:$W$495&gt;=8))*ROW('CONTROL MASTER'!$S$2:$S$495))-(ROW('CONTROL MASTER'!#REF!)-1)))+1)+(8-INDEX('CONTROL MASTER'!$U$2:$U$495,(SUMPRODUCT((('CONTROL MASTER'!$S$2:$S$495=3)*('CONTROL MASTER'!$T$2:$T$495&lt;=5)*('CONTROL MASTER'!$V$2:$V$495&gt;=5)*('CONTROL MASTER'!$U$2:$U$495&lt;=8)*('CONTROL MASTER'!$W$2:$W$495&gt;=8))*ROW('CONTROL MASTER'!$S$2:$S$495))-(ROW('CONTROL MASTER'!#REF!)-1))))+1))-1)*50+1,50))&amp;"_"&amp;INDEX('CONTROL MASTER'!$P$2:$P$495,(SUMPRODUCT((('CONTROL MASTER'!$S$2:$S$495=3)*('CONTROL MASTER'!$T$2:$T$495&lt;=5)*('CONTROL MASTER'!$V$2:$V$495&gt;=5)*('CONTROL MASTER'!$U$2:$U$495&lt;=8)*('CONTROL MASTER'!$W$2:$W$495&gt;=8))*ROW('CONTROL MASTER'!$S$2:$S$495))-(ROW('CONTROL MASTER'!#REF!)-1))),IF(SUMPRODUCT((('CONTROL MASTER'!$S$2:$S$495=3)*('CONTROL MASTER'!$Z$2:$Z$495&lt;=5)*('CONTROL MASTER'!$AB$2:$AB$495&gt;=5)*('CONTROL MASTER'!$AA$2:$AA$495&lt;=8)*('CONTROL MASTER'!$AC$2:$AC$495&gt;=8))*ROW('CONTROL MASTER'!$S$2:$S$495))&gt;0,INDEX('CONTROL MASTER'!$X$2:$X$495,(SUMPRODUCT((('CONTROL MASTER'!$S$2:$S$495=3)*('CONTROL MASTER'!$Z$2:$Z$495&lt;=5)*('CONTROL MASTER'!$AB$2:$AB$495&gt;=5)*('CONTROL MASTER'!$AA$2:$AA$495&lt;=8)*('CONTROL MASTER'!$AC$2:$AC$495&gt;=8))*ROW('CONTROL MASTER'!$S$2:$S$495))-(ROW('CONTROL MASTER'!#REF!)-1)))&amp;TRIM(MID(SUBSTITUTE(SUBSTITUTE(INDEX('CONTROL MASTER'!$N$2:$N$495,(SUMPRODUCT((('CONTROL MASTER'!$S$2:$S$495=3)*('CONTROL MASTER'!$Z$2:$Z$495&lt;=5)*('CONTROL MASTER'!$AB$2:$AB$495&gt;=5)*('CONTROL MASTER'!$AA$2:$AA$495&lt;=8)*('CONTROL MASTER'!$AC$2:$AC$495&gt;=8))*ROW('CONTROL MASTER'!$S$2:$S$495))-(ROW('CONTROL MASTER'!#REF!)-1))),":",","),",",REPT(" ",50)),(((INDEX('CONTROL MASTER'!$Y$2:$Y$495,(SUMPRODUCT((('CONTROL MASTER'!$S$2:$S$495=3)*('CONTROL MASTER'!$Z$2:$Z$495&lt;=5)*('CONTROL MASTER'!$AB$2:$AB$495&gt;=5)*('CONTROL MASTER'!$AA$2:$AA$495&lt;=8)*('CONTROL MASTER'!$AC$2:$AC$495&gt;=8))*ROW('CONTROL MASTER'!$S$2:$S$495))-(ROW('CONTROL MASTER'!#REF!)-1)))+((5-INDEX('CONTROL MASTER'!$Z$2:$Z$495,(SUMPRODUCT((('CONTROL MASTER'!$S$2:$S$495=3)*('CONTROL MASTER'!$Z$2:$Z$495&lt;=5)*('CONTROL MASTER'!$AB$2:$AB$495&gt;=5)*('CONTROL MASTER'!$AA$2:$AA$495&lt;=8)*('CONTROL MASTER'!$AC$2:$AC$495&gt;=8))*ROW('CONTROL MASTER'!$S$2:$S$495))-(ROW('CONTROL MASTER'!#REF!)-1))))*(INDEX('CONTROL MASTER'!$AC$2:$AC$495,(SUMPRODUCT((('CONTROL MASTER'!$S$2:$S$495=3)*('CONTROL MASTER'!$Z$2:$Z$495&lt;=5)*('CONTROL MASTER'!$AB$2:$AB$495&gt;=5)*('CONTROL MASTER'!$AA$2:$AA$495&lt;=8)*('CONTROL MASTER'!$AC$2:$AC$495&gt;=8))*ROW('CONTROL MASTER'!$S$2:$S$495))-(ROW('CONTROL MASTER'!#REF!)-1)))-INDEX('CONTROL MASTER'!$AA$2:$AA$495,(SUMPRODUCT((('CONTROL MASTER'!$S$2:$S$495=3)*('CONTROL MASTER'!$Z$2:$Z$495&lt;=5)*('CONTROL MASTER'!$AB$2:$AB$495&gt;=5)*('CONTROL MASTER'!$AA$2:$AA$495&lt;=8)*('CONTROL MASTER'!$AC$2:$AC$495&gt;=8))*ROW('CONTROL MASTER'!$S$2:$S$495))-(ROW('CONTROL MASTER'!#REF!)-1)))+1)+(8-INDEX('CONTROL MASTER'!$AA$2:$AA$495,(SUMPRODUCT((('CONTROL MASTER'!$S$2:$S$495=3)*('CONTROL MASTER'!$Z$2:$Z$495&lt;=5)*('CONTROL MASTER'!$AB$2:$AB$495&gt;=5)*('CONTROL MASTER'!$AA$2:$AA$495&lt;=8)*('CONTROL MASTER'!$AC$2:$AC$495&gt;=8))*ROW('CONTROL MASTER'!$S$2:$S$495))-(ROW('CONTROL MASTER'!#REF!)-1))))+1)))-1)*50+1,50))&amp;"_"&amp;INDEX('CONTROL MASTER'!$P$2:$P$495,(SUMPRODUCT((('CONTROL MASTER'!$S$2:$S$495=3)*('CONTROL MASTER'!$Z$2:$Z$495&lt;=5)*('CONTROL MASTER'!$AB$2:$AB$495&gt;=5)*('CONTROL MASTER'!$AA$2:$AA$495&lt;=8)*('CONTROL MASTER'!$AC$2:$AC$495&gt;=8))*ROW('CONTROL MASTER'!$S$2:$S$495))-(ROW('CONTROL MASTER'!#REF!)-1))),"")),"")</f>
        <v/>
      </c>
      <c r="J35" s="10" t="str">
        <f>IFERROR(IF(SUMPRODUCT((('CONTROL MASTER'!$S$2:$S$495=3)*('CONTROL MASTER'!$T$2:$T$495&lt;=5)*('CONTROL MASTER'!$V$2:$V$495&gt;=5)*('CONTROL MASTER'!$U$2:$U$495&lt;=9)*('CONTROL MASTER'!$W$2:$W$495&gt;=9))*ROW('CONTROL MASTER'!$S$2:$S$495))&gt;0,INDEX('CONTROL MASTER'!$X$2:$X$495,(SUMPRODUCT((('CONTROL MASTER'!$S$2:$S$495=3)*('CONTROL MASTER'!$T$2:$T$495&lt;=5)*('CONTROL MASTER'!$V$2:$V$495&gt;=5)*('CONTROL MASTER'!$U$2:$U$495&lt;=9)*('CONTROL MASTER'!$W$2:$W$495&gt;=9))*ROW('CONTROL MASTER'!$S$2:$S$495))-(ROW('CONTROL MASTER'!#REF!)-1)))&amp;TRIM(MID(SUBSTITUTE(SUBSTITUTE(INDEX('CONTROL MASTER'!$N$2:$N$495,(SUMPRODUCT((('CONTROL MASTER'!$S$2:$S$495=3)*('CONTROL MASTER'!$T$2:$T$495&lt;=5)*('CONTROL MASTER'!$V$2:$V$495&gt;=5)*('CONTROL MASTER'!$U$2:$U$495&lt;=9)*('CONTROL MASTER'!$W$2:$W$495&gt;=9))*ROW('CONTROL MASTER'!$S$2:$S$495))-(ROW('CONTROL MASTER'!#REF!)-1))),":",","),",",REPT(" ",50)),((((5-INDEX('CONTROL MASTER'!$T$2:$T$495,(SUMPRODUCT((('CONTROL MASTER'!$S$2:$S$495=3)*('CONTROL MASTER'!$T$2:$T$495&lt;=5)*('CONTROL MASTER'!$V$2:$V$495&gt;=5)*('CONTROL MASTER'!$U$2:$U$495&lt;=9)*('CONTROL MASTER'!$W$2:$W$495&gt;=9))*ROW('CONTROL MASTER'!$S$2:$S$495))-(ROW('CONTROL MASTER'!#REF!)-1))))*(INDEX('CONTROL MASTER'!$W$2:$W$495,(SUMPRODUCT((('CONTROL MASTER'!$S$2:$S$495=3)*('CONTROL MASTER'!$T$2:$T$495&lt;=5)*('CONTROL MASTER'!$V$2:$V$495&gt;=5)*('CONTROL MASTER'!$U$2:$U$495&lt;=9)*('CONTROL MASTER'!$W$2:$W$495&gt;=9))*ROW('CONTROL MASTER'!$S$2:$S$495))-(ROW('CONTROL MASTER'!#REF!)-1)))-INDEX('CONTROL MASTER'!$U$2:$U$495,(SUMPRODUCT((('CONTROL MASTER'!$S$2:$S$495=3)*('CONTROL MASTER'!$T$2:$T$495&lt;=5)*('CONTROL MASTER'!$V$2:$V$495&gt;=5)*('CONTROL MASTER'!$U$2:$U$495&lt;=9)*('CONTROL MASTER'!$W$2:$W$495&gt;=9))*ROW('CONTROL MASTER'!$S$2:$S$495))-(ROW('CONTROL MASTER'!#REF!)-1)))+1)+(9-INDEX('CONTROL MASTER'!$U$2:$U$495,(SUMPRODUCT((('CONTROL MASTER'!$S$2:$S$495=3)*('CONTROL MASTER'!$T$2:$T$495&lt;=5)*('CONTROL MASTER'!$V$2:$V$495&gt;=5)*('CONTROL MASTER'!$U$2:$U$495&lt;=9)*('CONTROL MASTER'!$W$2:$W$495&gt;=9))*ROW('CONTROL MASTER'!$S$2:$S$495))-(ROW('CONTROL MASTER'!#REF!)-1))))+1))-1)*50+1,50))&amp;"_"&amp;INDEX('CONTROL MASTER'!$P$2:$P$495,(SUMPRODUCT((('CONTROL MASTER'!$S$2:$S$495=3)*('CONTROL MASTER'!$T$2:$T$495&lt;=5)*('CONTROL MASTER'!$V$2:$V$495&gt;=5)*('CONTROL MASTER'!$U$2:$U$495&lt;=9)*('CONTROL MASTER'!$W$2:$W$495&gt;=9))*ROW('CONTROL MASTER'!$S$2:$S$495))-(ROW('CONTROL MASTER'!#REF!)-1))),IF(SUMPRODUCT((('CONTROL MASTER'!$S$2:$S$495=3)*('CONTROL MASTER'!$Z$2:$Z$495&lt;=5)*('CONTROL MASTER'!$AB$2:$AB$495&gt;=5)*('CONTROL MASTER'!$AA$2:$AA$495&lt;=9)*('CONTROL MASTER'!$AC$2:$AC$495&gt;=9))*ROW('CONTROL MASTER'!$S$2:$S$495))&gt;0,INDEX('CONTROL MASTER'!$X$2:$X$495,(SUMPRODUCT((('CONTROL MASTER'!$S$2:$S$495=3)*('CONTROL MASTER'!$Z$2:$Z$495&lt;=5)*('CONTROL MASTER'!$AB$2:$AB$495&gt;=5)*('CONTROL MASTER'!$AA$2:$AA$495&lt;=9)*('CONTROL MASTER'!$AC$2:$AC$495&gt;=9))*ROW('CONTROL MASTER'!$S$2:$S$495))-(ROW('CONTROL MASTER'!#REF!)-1)))&amp;TRIM(MID(SUBSTITUTE(SUBSTITUTE(INDEX('CONTROL MASTER'!$N$2:$N$495,(SUMPRODUCT((('CONTROL MASTER'!$S$2:$S$495=3)*('CONTROL MASTER'!$Z$2:$Z$495&lt;=5)*('CONTROL MASTER'!$AB$2:$AB$495&gt;=5)*('CONTROL MASTER'!$AA$2:$AA$495&lt;=9)*('CONTROL MASTER'!$AC$2:$AC$495&gt;=9))*ROW('CONTROL MASTER'!$S$2:$S$495))-(ROW('CONTROL MASTER'!#REF!)-1))),":",","),",",REPT(" ",50)),(((INDEX('CONTROL MASTER'!$Y$2:$Y$495,(SUMPRODUCT((('CONTROL MASTER'!$S$2:$S$495=3)*('CONTROL MASTER'!$Z$2:$Z$495&lt;=5)*('CONTROL MASTER'!$AB$2:$AB$495&gt;=5)*('CONTROL MASTER'!$AA$2:$AA$495&lt;=9)*('CONTROL MASTER'!$AC$2:$AC$495&gt;=9))*ROW('CONTROL MASTER'!$S$2:$S$495))-(ROW('CONTROL MASTER'!#REF!)-1)))+((5-INDEX('CONTROL MASTER'!$Z$2:$Z$495,(SUMPRODUCT((('CONTROL MASTER'!$S$2:$S$495=3)*('CONTROL MASTER'!$Z$2:$Z$495&lt;=5)*('CONTROL MASTER'!$AB$2:$AB$495&gt;=5)*('CONTROL MASTER'!$AA$2:$AA$495&lt;=9)*('CONTROL MASTER'!$AC$2:$AC$495&gt;=9))*ROW('CONTROL MASTER'!$S$2:$S$495))-(ROW('CONTROL MASTER'!#REF!)-1))))*(INDEX('CONTROL MASTER'!$AC$2:$AC$495,(SUMPRODUCT((('CONTROL MASTER'!$S$2:$S$495=3)*('CONTROL MASTER'!$Z$2:$Z$495&lt;=5)*('CONTROL MASTER'!$AB$2:$AB$495&gt;=5)*('CONTROL MASTER'!$AA$2:$AA$495&lt;=9)*('CONTROL MASTER'!$AC$2:$AC$495&gt;=9))*ROW('CONTROL MASTER'!$S$2:$S$495))-(ROW('CONTROL MASTER'!#REF!)-1)))-INDEX('CONTROL MASTER'!$AA$2:$AA$495,(SUMPRODUCT((('CONTROL MASTER'!$S$2:$S$495=3)*('CONTROL MASTER'!$Z$2:$Z$495&lt;=5)*('CONTROL MASTER'!$AB$2:$AB$495&gt;=5)*('CONTROL MASTER'!$AA$2:$AA$495&lt;=9)*('CONTROL MASTER'!$AC$2:$AC$495&gt;=9))*ROW('CONTROL MASTER'!$S$2:$S$495))-(ROW('CONTROL MASTER'!#REF!)-1)))+1)+(9-INDEX('CONTROL MASTER'!$AA$2:$AA$495,(SUMPRODUCT((('CONTROL MASTER'!$S$2:$S$495=3)*('CONTROL MASTER'!$Z$2:$Z$495&lt;=5)*('CONTROL MASTER'!$AB$2:$AB$495&gt;=5)*('CONTROL MASTER'!$AA$2:$AA$495&lt;=9)*('CONTROL MASTER'!$AC$2:$AC$495&gt;=9))*ROW('CONTROL MASTER'!$S$2:$S$495))-(ROW('CONTROL MASTER'!#REF!)-1))))+1)))-1)*50+1,50))&amp;"_"&amp;INDEX('CONTROL MASTER'!$P$2:$P$495,(SUMPRODUCT((('CONTROL MASTER'!$S$2:$S$495=3)*('CONTROL MASTER'!$Z$2:$Z$495&lt;=5)*('CONTROL MASTER'!$AB$2:$AB$495&gt;=5)*('CONTROL MASTER'!$AA$2:$AA$495&lt;=9)*('CONTROL MASTER'!$AC$2:$AC$495&gt;=9))*ROW('CONTROL MASTER'!$S$2:$S$495))-(ROW('CONTROL MASTER'!#REF!)-1))),"")),"")</f>
        <v/>
      </c>
      <c r="K35" s="10" t="str">
        <f>IFERROR(IF(SUMPRODUCT((('CONTROL MASTER'!$S$2:$S$495=3)*('CONTROL MASTER'!$T$2:$T$495&lt;=5)*('CONTROL MASTER'!$V$2:$V$495&gt;=5)*('CONTROL MASTER'!$U$2:$U$495&lt;=10)*('CONTROL MASTER'!$W$2:$W$495&gt;=10))*ROW('CONTROL MASTER'!$S$2:$S$495))&gt;0,INDEX('CONTROL MASTER'!$X$2:$X$495,(SUMPRODUCT((('CONTROL MASTER'!$S$2:$S$495=3)*('CONTROL MASTER'!$T$2:$T$495&lt;=5)*('CONTROL MASTER'!$V$2:$V$495&gt;=5)*('CONTROL MASTER'!$U$2:$U$495&lt;=10)*('CONTROL MASTER'!$W$2:$W$495&gt;=10))*ROW('CONTROL MASTER'!$S$2:$S$495))-(ROW('CONTROL MASTER'!#REF!)-1)))&amp;TRIM(MID(SUBSTITUTE(SUBSTITUTE(INDEX('CONTROL MASTER'!$N$2:$N$495,(SUMPRODUCT((('CONTROL MASTER'!$S$2:$S$495=3)*('CONTROL MASTER'!$T$2:$T$495&lt;=5)*('CONTROL MASTER'!$V$2:$V$495&gt;=5)*('CONTROL MASTER'!$U$2:$U$495&lt;=10)*('CONTROL MASTER'!$W$2:$W$495&gt;=10))*ROW('CONTROL MASTER'!$S$2:$S$495))-(ROW('CONTROL MASTER'!#REF!)-1))),":",","),",",REPT(" ",50)),((((5-INDEX('CONTROL MASTER'!$T$2:$T$495,(SUMPRODUCT((('CONTROL MASTER'!$S$2:$S$495=3)*('CONTROL MASTER'!$T$2:$T$495&lt;=5)*('CONTROL MASTER'!$V$2:$V$495&gt;=5)*('CONTROL MASTER'!$U$2:$U$495&lt;=10)*('CONTROL MASTER'!$W$2:$W$495&gt;=10))*ROW('CONTROL MASTER'!$S$2:$S$495))-(ROW('CONTROL MASTER'!#REF!)-1))))*(INDEX('CONTROL MASTER'!$W$2:$W$495,(SUMPRODUCT((('CONTROL MASTER'!$S$2:$S$495=3)*('CONTROL MASTER'!$T$2:$T$495&lt;=5)*('CONTROL MASTER'!$V$2:$V$495&gt;=5)*('CONTROL MASTER'!$U$2:$U$495&lt;=10)*('CONTROL MASTER'!$W$2:$W$495&gt;=10))*ROW('CONTROL MASTER'!$S$2:$S$495))-(ROW('CONTROL MASTER'!#REF!)-1)))-INDEX('CONTROL MASTER'!$U$2:$U$495,(SUMPRODUCT((('CONTROL MASTER'!$S$2:$S$495=3)*('CONTROL MASTER'!$T$2:$T$495&lt;=5)*('CONTROL MASTER'!$V$2:$V$495&gt;=5)*('CONTROL MASTER'!$U$2:$U$495&lt;=10)*('CONTROL MASTER'!$W$2:$W$495&gt;=10))*ROW('CONTROL MASTER'!$S$2:$S$495))-(ROW('CONTROL MASTER'!#REF!)-1)))+1)+(10-INDEX('CONTROL MASTER'!$U$2:$U$495,(SUMPRODUCT((('CONTROL MASTER'!$S$2:$S$495=3)*('CONTROL MASTER'!$T$2:$T$495&lt;=5)*('CONTROL MASTER'!$V$2:$V$495&gt;=5)*('CONTROL MASTER'!$U$2:$U$495&lt;=10)*('CONTROL MASTER'!$W$2:$W$495&gt;=10))*ROW('CONTROL MASTER'!$S$2:$S$495))-(ROW('CONTROL MASTER'!#REF!)-1))))+1))-1)*50+1,50))&amp;"_"&amp;INDEX('CONTROL MASTER'!$P$2:$P$495,(SUMPRODUCT((('CONTROL MASTER'!$S$2:$S$495=3)*('CONTROL MASTER'!$T$2:$T$495&lt;=5)*('CONTROL MASTER'!$V$2:$V$495&gt;=5)*('CONTROL MASTER'!$U$2:$U$495&lt;=10)*('CONTROL MASTER'!$W$2:$W$495&gt;=10))*ROW('CONTROL MASTER'!$S$2:$S$495))-(ROW('CONTROL MASTER'!#REF!)-1))),IF(SUMPRODUCT((('CONTROL MASTER'!$S$2:$S$495=3)*('CONTROL MASTER'!$Z$2:$Z$495&lt;=5)*('CONTROL MASTER'!$AB$2:$AB$495&gt;=5)*('CONTROL MASTER'!$AA$2:$AA$495&lt;=10)*('CONTROL MASTER'!$AC$2:$AC$495&gt;=10))*ROW('CONTROL MASTER'!$S$2:$S$495))&gt;0,INDEX('CONTROL MASTER'!$X$2:$X$495,(SUMPRODUCT((('CONTROL MASTER'!$S$2:$S$495=3)*('CONTROL MASTER'!$Z$2:$Z$495&lt;=5)*('CONTROL MASTER'!$AB$2:$AB$495&gt;=5)*('CONTROL MASTER'!$AA$2:$AA$495&lt;=10)*('CONTROL MASTER'!$AC$2:$AC$495&gt;=10))*ROW('CONTROL MASTER'!$S$2:$S$495))-(ROW('CONTROL MASTER'!#REF!)-1)))&amp;TRIM(MID(SUBSTITUTE(SUBSTITUTE(INDEX('CONTROL MASTER'!$N$2:$N$495,(SUMPRODUCT((('CONTROL MASTER'!$S$2:$S$495=3)*('CONTROL MASTER'!$Z$2:$Z$495&lt;=5)*('CONTROL MASTER'!$AB$2:$AB$495&gt;=5)*('CONTROL MASTER'!$AA$2:$AA$495&lt;=10)*('CONTROL MASTER'!$AC$2:$AC$495&gt;=10))*ROW('CONTROL MASTER'!$S$2:$S$495))-(ROW('CONTROL MASTER'!#REF!)-1))),":",","),",",REPT(" ",50)),(((INDEX('CONTROL MASTER'!$Y$2:$Y$495,(SUMPRODUCT((('CONTROL MASTER'!$S$2:$S$495=3)*('CONTROL MASTER'!$Z$2:$Z$495&lt;=5)*('CONTROL MASTER'!$AB$2:$AB$495&gt;=5)*('CONTROL MASTER'!$AA$2:$AA$495&lt;=10)*('CONTROL MASTER'!$AC$2:$AC$495&gt;=10))*ROW('CONTROL MASTER'!$S$2:$S$495))-(ROW('CONTROL MASTER'!#REF!)-1)))+((5-INDEX('CONTROL MASTER'!$Z$2:$Z$495,(SUMPRODUCT((('CONTROL MASTER'!$S$2:$S$495=3)*('CONTROL MASTER'!$Z$2:$Z$495&lt;=5)*('CONTROL MASTER'!$AB$2:$AB$495&gt;=5)*('CONTROL MASTER'!$AA$2:$AA$495&lt;=10)*('CONTROL MASTER'!$AC$2:$AC$495&gt;=10))*ROW('CONTROL MASTER'!$S$2:$S$495))-(ROW('CONTROL MASTER'!#REF!)-1))))*(INDEX('CONTROL MASTER'!$AC$2:$AC$495,(SUMPRODUCT((('CONTROL MASTER'!$S$2:$S$495=3)*('CONTROL MASTER'!$Z$2:$Z$495&lt;=5)*('CONTROL MASTER'!$AB$2:$AB$495&gt;=5)*('CONTROL MASTER'!$AA$2:$AA$495&lt;=10)*('CONTROL MASTER'!$AC$2:$AC$495&gt;=10))*ROW('CONTROL MASTER'!$S$2:$S$495))-(ROW('CONTROL MASTER'!#REF!)-1)))-INDEX('CONTROL MASTER'!$AA$2:$AA$495,(SUMPRODUCT((('CONTROL MASTER'!$S$2:$S$495=3)*('CONTROL MASTER'!$Z$2:$Z$495&lt;=5)*('CONTROL MASTER'!$AB$2:$AB$495&gt;=5)*('CONTROL MASTER'!$AA$2:$AA$495&lt;=10)*('CONTROL MASTER'!$AC$2:$AC$495&gt;=10))*ROW('CONTROL MASTER'!$S$2:$S$495))-(ROW('CONTROL MASTER'!#REF!)-1)))+1)+(10-INDEX('CONTROL MASTER'!$AA$2:$AA$495,(SUMPRODUCT((('CONTROL MASTER'!$S$2:$S$495=3)*('CONTROL MASTER'!$Z$2:$Z$495&lt;=5)*('CONTROL MASTER'!$AB$2:$AB$495&gt;=5)*('CONTROL MASTER'!$AA$2:$AA$495&lt;=10)*('CONTROL MASTER'!$AC$2:$AC$495&gt;=10))*ROW('CONTROL MASTER'!$S$2:$S$495))-(ROW('CONTROL MASTER'!#REF!)-1))))+1)))-1)*50+1,50))&amp;"_"&amp;INDEX('CONTROL MASTER'!$P$2:$P$495,(SUMPRODUCT((('CONTROL MASTER'!$S$2:$S$495=3)*('CONTROL MASTER'!$Z$2:$Z$495&lt;=5)*('CONTROL MASTER'!$AB$2:$AB$495&gt;=5)*('CONTROL MASTER'!$AA$2:$AA$495&lt;=10)*('CONTROL MASTER'!$AC$2:$AC$495&gt;=10))*ROW('CONTROL MASTER'!$S$2:$S$495))-(ROW('CONTROL MASTER'!#REF!)-1))),"")),"")</f>
        <v/>
      </c>
    </row>
    <row r="36" spans="1:11" ht="15" customHeight="1" x14ac:dyDescent="0.35">
      <c r="A36" s="8" t="s">
        <v>33</v>
      </c>
      <c r="B36" s="10" t="str">
        <f>IFERROR(IF(SUMPRODUCT((('CONTROL MASTER'!$S$2:$S$495=3)*('CONTROL MASTER'!$T$2:$T$495&lt;=6)*('CONTROL MASTER'!$V$2:$V$495&gt;=6)*('CONTROL MASTER'!$U$2:$U$495&lt;=1)*('CONTROL MASTER'!$W$2:$W$495&gt;=1))*ROW('CONTROL MASTER'!$S$2:$S$495))&gt;0,INDEX('CONTROL MASTER'!$X$2:$X$495,(SUMPRODUCT((('CONTROL MASTER'!$S$2:$S$495=3)*('CONTROL MASTER'!$T$2:$T$495&lt;=6)*('CONTROL MASTER'!$V$2:$V$495&gt;=6)*('CONTROL MASTER'!$U$2:$U$495&lt;=1)*('CONTROL MASTER'!$W$2:$W$495&gt;=1))*ROW('CONTROL MASTER'!$S$2:$S$495))-(ROW('CONTROL MASTER'!#REF!)-1)))&amp;TRIM(MID(SUBSTITUTE(SUBSTITUTE(INDEX('CONTROL MASTER'!$N$2:$N$495,(SUMPRODUCT((('CONTROL MASTER'!$S$2:$S$495=3)*('CONTROL MASTER'!$T$2:$T$495&lt;=6)*('CONTROL MASTER'!$V$2:$V$495&gt;=6)*('CONTROL MASTER'!$U$2:$U$495&lt;=1)*('CONTROL MASTER'!$W$2:$W$495&gt;=1))*ROW('CONTROL MASTER'!$S$2:$S$495))-(ROW('CONTROL MASTER'!#REF!)-1))),":",","),",",REPT(" ",50)),((((6-INDEX('CONTROL MASTER'!$T$2:$T$495,(SUMPRODUCT((('CONTROL MASTER'!$S$2:$S$495=3)*('CONTROL MASTER'!$T$2:$T$495&lt;=6)*('CONTROL MASTER'!$V$2:$V$495&gt;=6)*('CONTROL MASTER'!$U$2:$U$495&lt;=1)*('CONTROL MASTER'!$W$2:$W$495&gt;=1))*ROW('CONTROL MASTER'!$S$2:$S$495))-(ROW('CONTROL MASTER'!#REF!)-1))))*(INDEX('CONTROL MASTER'!$W$2:$W$495,(SUMPRODUCT((('CONTROL MASTER'!$S$2:$S$495=3)*('CONTROL MASTER'!$T$2:$T$495&lt;=6)*('CONTROL MASTER'!$V$2:$V$495&gt;=6)*('CONTROL MASTER'!$U$2:$U$495&lt;=1)*('CONTROL MASTER'!$W$2:$W$495&gt;=1))*ROW('CONTROL MASTER'!$S$2:$S$495))-(ROW('CONTROL MASTER'!#REF!)-1)))-INDEX('CONTROL MASTER'!$U$2:$U$495,(SUMPRODUCT((('CONTROL MASTER'!$S$2:$S$495=3)*('CONTROL MASTER'!$T$2:$T$495&lt;=6)*('CONTROL MASTER'!$V$2:$V$495&gt;=6)*('CONTROL MASTER'!$U$2:$U$495&lt;=1)*('CONTROL MASTER'!$W$2:$W$495&gt;=1))*ROW('CONTROL MASTER'!$S$2:$S$495))-(ROW('CONTROL MASTER'!#REF!)-1)))+1)+(1-INDEX('CONTROL MASTER'!$U$2:$U$495,(SUMPRODUCT((('CONTROL MASTER'!$S$2:$S$495=3)*('CONTROL MASTER'!$T$2:$T$495&lt;=6)*('CONTROL MASTER'!$V$2:$V$495&gt;=6)*('CONTROL MASTER'!$U$2:$U$495&lt;=1)*('CONTROL MASTER'!$W$2:$W$495&gt;=1))*ROW('CONTROL MASTER'!$S$2:$S$495))-(ROW('CONTROL MASTER'!#REF!)-1))))+1))-1)*50+1,50))&amp;"_"&amp;INDEX('CONTROL MASTER'!$P$2:$P$495,(SUMPRODUCT((('CONTROL MASTER'!$S$2:$S$495=3)*('CONTROL MASTER'!$T$2:$T$495&lt;=6)*('CONTROL MASTER'!$V$2:$V$495&gt;=6)*('CONTROL MASTER'!$U$2:$U$495&lt;=1)*('CONTROL MASTER'!$W$2:$W$495&gt;=1))*ROW('CONTROL MASTER'!$S$2:$S$495))-(ROW('CONTROL MASTER'!#REF!)-1))),IF(SUMPRODUCT((('CONTROL MASTER'!$S$2:$S$495=3)*('CONTROL MASTER'!$Z$2:$Z$495&lt;=6)*('CONTROL MASTER'!$AB$2:$AB$495&gt;=6)*('CONTROL MASTER'!$AA$2:$AA$495&lt;=1)*('CONTROL MASTER'!$AC$2:$AC$495&gt;=1))*ROW('CONTROL MASTER'!$S$2:$S$495))&gt;0,INDEX('CONTROL MASTER'!$X$2:$X$495,(SUMPRODUCT((('CONTROL MASTER'!$S$2:$S$495=3)*('CONTROL MASTER'!$Z$2:$Z$495&lt;=6)*('CONTROL MASTER'!$AB$2:$AB$495&gt;=6)*('CONTROL MASTER'!$AA$2:$AA$495&lt;=1)*('CONTROL MASTER'!$AC$2:$AC$495&gt;=1))*ROW('CONTROL MASTER'!$S$2:$S$495))-(ROW('CONTROL MASTER'!#REF!)-1)))&amp;TRIM(MID(SUBSTITUTE(SUBSTITUTE(INDEX('CONTROL MASTER'!$N$2:$N$495,(SUMPRODUCT((('CONTROL MASTER'!$S$2:$S$495=3)*('CONTROL MASTER'!$Z$2:$Z$495&lt;=6)*('CONTROL MASTER'!$AB$2:$AB$495&gt;=6)*('CONTROL MASTER'!$AA$2:$AA$495&lt;=1)*('CONTROL MASTER'!$AC$2:$AC$495&gt;=1))*ROW('CONTROL MASTER'!$S$2:$S$495))-(ROW('CONTROL MASTER'!#REF!)-1))),":",","),",",REPT(" ",50)),(((INDEX('CONTROL MASTER'!$Y$2:$Y$495,(SUMPRODUCT((('CONTROL MASTER'!$S$2:$S$495=3)*('CONTROL MASTER'!$Z$2:$Z$495&lt;=6)*('CONTROL MASTER'!$AB$2:$AB$495&gt;=6)*('CONTROL MASTER'!$AA$2:$AA$495&lt;=1)*('CONTROL MASTER'!$AC$2:$AC$495&gt;=1))*ROW('CONTROL MASTER'!$S$2:$S$495))-(ROW('CONTROL MASTER'!#REF!)-1)))+((6-INDEX('CONTROL MASTER'!$Z$2:$Z$495,(SUMPRODUCT((('CONTROL MASTER'!$S$2:$S$495=3)*('CONTROL MASTER'!$Z$2:$Z$495&lt;=6)*('CONTROL MASTER'!$AB$2:$AB$495&gt;=6)*('CONTROL MASTER'!$AA$2:$AA$495&lt;=1)*('CONTROL MASTER'!$AC$2:$AC$495&gt;=1))*ROW('CONTROL MASTER'!$S$2:$S$495))-(ROW('CONTROL MASTER'!#REF!)-1))))*(INDEX('CONTROL MASTER'!$AC$2:$AC$495,(SUMPRODUCT((('CONTROL MASTER'!$S$2:$S$495=3)*('CONTROL MASTER'!$Z$2:$Z$495&lt;=6)*('CONTROL MASTER'!$AB$2:$AB$495&gt;=6)*('CONTROL MASTER'!$AA$2:$AA$495&lt;=1)*('CONTROL MASTER'!$AC$2:$AC$495&gt;=1))*ROW('CONTROL MASTER'!$S$2:$S$495))-(ROW('CONTROL MASTER'!#REF!)-1)))-INDEX('CONTROL MASTER'!$AA$2:$AA$495,(SUMPRODUCT((('CONTROL MASTER'!$S$2:$S$495=3)*('CONTROL MASTER'!$Z$2:$Z$495&lt;=6)*('CONTROL MASTER'!$AB$2:$AB$495&gt;=6)*('CONTROL MASTER'!$AA$2:$AA$495&lt;=1)*('CONTROL MASTER'!$AC$2:$AC$495&gt;=1))*ROW('CONTROL MASTER'!$S$2:$S$495))-(ROW('CONTROL MASTER'!#REF!)-1)))+1)+(1-INDEX('CONTROL MASTER'!$AA$2:$AA$495,(SUMPRODUCT((('CONTROL MASTER'!$S$2:$S$495=3)*('CONTROL MASTER'!$Z$2:$Z$495&lt;=6)*('CONTROL MASTER'!$AB$2:$AB$495&gt;=6)*('CONTROL MASTER'!$AA$2:$AA$495&lt;=1)*('CONTROL MASTER'!$AC$2:$AC$495&gt;=1))*ROW('CONTROL MASTER'!$S$2:$S$495))-(ROW('CONTROL MASTER'!#REF!)-1))))+1)))-1)*50+1,50))&amp;"_"&amp;INDEX('CONTROL MASTER'!$P$2:$P$495,(SUMPRODUCT((('CONTROL MASTER'!$S$2:$S$495=3)*('CONTROL MASTER'!$Z$2:$Z$495&lt;=6)*('CONTROL MASTER'!$AB$2:$AB$495&gt;=6)*('CONTROL MASTER'!$AA$2:$AA$495&lt;=1)*('CONTROL MASTER'!$AC$2:$AC$495&gt;=1))*ROW('CONTROL MASTER'!$S$2:$S$495))-(ROW('CONTROL MASTER'!#REF!)-1))),"")),"")</f>
        <v/>
      </c>
      <c r="C36" s="10" t="str">
        <f>IFERROR(IF(SUMPRODUCT((('CONTROL MASTER'!$S$2:$S$495=3)*('CONTROL MASTER'!$T$2:$T$495&lt;=6)*('CONTROL MASTER'!$V$2:$V$495&gt;=6)*('CONTROL MASTER'!$U$2:$U$495&lt;=2)*('CONTROL MASTER'!$W$2:$W$495&gt;=2))*ROW('CONTROL MASTER'!$S$2:$S$495))&gt;0,INDEX('CONTROL MASTER'!$X$2:$X$495,(SUMPRODUCT((('CONTROL MASTER'!$S$2:$S$495=3)*('CONTROL MASTER'!$T$2:$T$495&lt;=6)*('CONTROL MASTER'!$V$2:$V$495&gt;=6)*('CONTROL MASTER'!$U$2:$U$495&lt;=2)*('CONTROL MASTER'!$W$2:$W$495&gt;=2))*ROW('CONTROL MASTER'!$S$2:$S$495))-(ROW('CONTROL MASTER'!#REF!)-1)))&amp;TRIM(MID(SUBSTITUTE(SUBSTITUTE(INDEX('CONTROL MASTER'!$N$2:$N$495,(SUMPRODUCT((('CONTROL MASTER'!$S$2:$S$495=3)*('CONTROL MASTER'!$T$2:$T$495&lt;=6)*('CONTROL MASTER'!$V$2:$V$495&gt;=6)*('CONTROL MASTER'!$U$2:$U$495&lt;=2)*('CONTROL MASTER'!$W$2:$W$495&gt;=2))*ROW('CONTROL MASTER'!$S$2:$S$495))-(ROW('CONTROL MASTER'!#REF!)-1))),":",","),",",REPT(" ",50)),((((6-INDEX('CONTROL MASTER'!$T$2:$T$495,(SUMPRODUCT((('CONTROL MASTER'!$S$2:$S$495=3)*('CONTROL MASTER'!$T$2:$T$495&lt;=6)*('CONTROL MASTER'!$V$2:$V$495&gt;=6)*('CONTROL MASTER'!$U$2:$U$495&lt;=2)*('CONTROL MASTER'!$W$2:$W$495&gt;=2))*ROW('CONTROL MASTER'!$S$2:$S$495))-(ROW('CONTROL MASTER'!#REF!)-1))))*(INDEX('CONTROL MASTER'!$W$2:$W$495,(SUMPRODUCT((('CONTROL MASTER'!$S$2:$S$495=3)*('CONTROL MASTER'!$T$2:$T$495&lt;=6)*('CONTROL MASTER'!$V$2:$V$495&gt;=6)*('CONTROL MASTER'!$U$2:$U$495&lt;=2)*('CONTROL MASTER'!$W$2:$W$495&gt;=2))*ROW('CONTROL MASTER'!$S$2:$S$495))-(ROW('CONTROL MASTER'!#REF!)-1)))-INDEX('CONTROL MASTER'!$U$2:$U$495,(SUMPRODUCT((('CONTROL MASTER'!$S$2:$S$495=3)*('CONTROL MASTER'!$T$2:$T$495&lt;=6)*('CONTROL MASTER'!$V$2:$V$495&gt;=6)*('CONTROL MASTER'!$U$2:$U$495&lt;=2)*('CONTROL MASTER'!$W$2:$W$495&gt;=2))*ROW('CONTROL MASTER'!$S$2:$S$495))-(ROW('CONTROL MASTER'!#REF!)-1)))+1)+(2-INDEX('CONTROL MASTER'!$U$2:$U$495,(SUMPRODUCT((('CONTROL MASTER'!$S$2:$S$495=3)*('CONTROL MASTER'!$T$2:$T$495&lt;=6)*('CONTROL MASTER'!$V$2:$V$495&gt;=6)*('CONTROL MASTER'!$U$2:$U$495&lt;=2)*('CONTROL MASTER'!$W$2:$W$495&gt;=2))*ROW('CONTROL MASTER'!$S$2:$S$495))-(ROW('CONTROL MASTER'!#REF!)-1))))+1))-1)*50+1,50))&amp;"_"&amp;INDEX('CONTROL MASTER'!$P$2:$P$495,(SUMPRODUCT((('CONTROL MASTER'!$S$2:$S$495=3)*('CONTROL MASTER'!$T$2:$T$495&lt;=6)*('CONTROL MASTER'!$V$2:$V$495&gt;=6)*('CONTROL MASTER'!$U$2:$U$495&lt;=2)*('CONTROL MASTER'!$W$2:$W$495&gt;=2))*ROW('CONTROL MASTER'!$S$2:$S$495))-(ROW('CONTROL MASTER'!#REF!)-1))),IF(SUMPRODUCT((('CONTROL MASTER'!$S$2:$S$495=3)*('CONTROL MASTER'!$Z$2:$Z$495&lt;=6)*('CONTROL MASTER'!$AB$2:$AB$495&gt;=6)*('CONTROL MASTER'!$AA$2:$AA$495&lt;=2)*('CONTROL MASTER'!$AC$2:$AC$495&gt;=2))*ROW('CONTROL MASTER'!$S$2:$S$495))&gt;0,INDEX('CONTROL MASTER'!$X$2:$X$495,(SUMPRODUCT((('CONTROL MASTER'!$S$2:$S$495=3)*('CONTROL MASTER'!$Z$2:$Z$495&lt;=6)*('CONTROL MASTER'!$AB$2:$AB$495&gt;=6)*('CONTROL MASTER'!$AA$2:$AA$495&lt;=2)*('CONTROL MASTER'!$AC$2:$AC$495&gt;=2))*ROW('CONTROL MASTER'!$S$2:$S$495))-(ROW('CONTROL MASTER'!#REF!)-1)))&amp;TRIM(MID(SUBSTITUTE(SUBSTITUTE(INDEX('CONTROL MASTER'!$N$2:$N$495,(SUMPRODUCT((('CONTROL MASTER'!$S$2:$S$495=3)*('CONTROL MASTER'!$Z$2:$Z$495&lt;=6)*('CONTROL MASTER'!$AB$2:$AB$495&gt;=6)*('CONTROL MASTER'!$AA$2:$AA$495&lt;=2)*('CONTROL MASTER'!$AC$2:$AC$495&gt;=2))*ROW('CONTROL MASTER'!$S$2:$S$495))-(ROW('CONTROL MASTER'!#REF!)-1))),":",","),",",REPT(" ",50)),(((INDEX('CONTROL MASTER'!$Y$2:$Y$495,(SUMPRODUCT((('CONTROL MASTER'!$S$2:$S$495=3)*('CONTROL MASTER'!$Z$2:$Z$495&lt;=6)*('CONTROL MASTER'!$AB$2:$AB$495&gt;=6)*('CONTROL MASTER'!$AA$2:$AA$495&lt;=2)*('CONTROL MASTER'!$AC$2:$AC$495&gt;=2))*ROW('CONTROL MASTER'!$S$2:$S$495))-(ROW('CONTROL MASTER'!#REF!)-1)))+((6-INDEX('CONTROL MASTER'!$Z$2:$Z$495,(SUMPRODUCT((('CONTROL MASTER'!$S$2:$S$495=3)*('CONTROL MASTER'!$Z$2:$Z$495&lt;=6)*('CONTROL MASTER'!$AB$2:$AB$495&gt;=6)*('CONTROL MASTER'!$AA$2:$AA$495&lt;=2)*('CONTROL MASTER'!$AC$2:$AC$495&gt;=2))*ROW('CONTROL MASTER'!$S$2:$S$495))-(ROW('CONTROL MASTER'!#REF!)-1))))*(INDEX('CONTROL MASTER'!$AC$2:$AC$495,(SUMPRODUCT((('CONTROL MASTER'!$S$2:$S$495=3)*('CONTROL MASTER'!$Z$2:$Z$495&lt;=6)*('CONTROL MASTER'!$AB$2:$AB$495&gt;=6)*('CONTROL MASTER'!$AA$2:$AA$495&lt;=2)*('CONTROL MASTER'!$AC$2:$AC$495&gt;=2))*ROW('CONTROL MASTER'!$S$2:$S$495))-(ROW('CONTROL MASTER'!#REF!)-1)))-INDEX('CONTROL MASTER'!$AA$2:$AA$495,(SUMPRODUCT((('CONTROL MASTER'!$S$2:$S$495=3)*('CONTROL MASTER'!$Z$2:$Z$495&lt;=6)*('CONTROL MASTER'!$AB$2:$AB$495&gt;=6)*('CONTROL MASTER'!$AA$2:$AA$495&lt;=2)*('CONTROL MASTER'!$AC$2:$AC$495&gt;=2))*ROW('CONTROL MASTER'!$S$2:$S$495))-(ROW('CONTROL MASTER'!#REF!)-1)))+1)+(2-INDEX('CONTROL MASTER'!$AA$2:$AA$495,(SUMPRODUCT((('CONTROL MASTER'!$S$2:$S$495=3)*('CONTROL MASTER'!$Z$2:$Z$495&lt;=6)*('CONTROL MASTER'!$AB$2:$AB$495&gt;=6)*('CONTROL MASTER'!$AA$2:$AA$495&lt;=2)*('CONTROL MASTER'!$AC$2:$AC$495&gt;=2))*ROW('CONTROL MASTER'!$S$2:$S$495))-(ROW('CONTROL MASTER'!#REF!)-1))))+1)))-1)*50+1,50))&amp;"_"&amp;INDEX('CONTROL MASTER'!$P$2:$P$495,(SUMPRODUCT((('CONTROL MASTER'!$S$2:$S$495=3)*('CONTROL MASTER'!$Z$2:$Z$495&lt;=6)*('CONTROL MASTER'!$AB$2:$AB$495&gt;=6)*('CONTROL MASTER'!$AA$2:$AA$495&lt;=2)*('CONTROL MASTER'!$AC$2:$AC$495&gt;=2))*ROW('CONTROL MASTER'!$S$2:$S$495))-(ROW('CONTROL MASTER'!#REF!)-1))),"")),"")</f>
        <v/>
      </c>
      <c r="D36" s="10" t="str">
        <f>IFERROR(IF(SUMPRODUCT((('CONTROL MASTER'!$S$2:$S$495=3)*('CONTROL MASTER'!$T$2:$T$495&lt;=6)*('CONTROL MASTER'!$V$2:$V$495&gt;=6)*('CONTROL MASTER'!$U$2:$U$495&lt;=3)*('CONTROL MASTER'!$W$2:$W$495&gt;=3))*ROW('CONTROL MASTER'!$S$2:$S$495))&gt;0,INDEX('CONTROL MASTER'!$X$2:$X$495,(SUMPRODUCT((('CONTROL MASTER'!$S$2:$S$495=3)*('CONTROL MASTER'!$T$2:$T$495&lt;=6)*('CONTROL MASTER'!$V$2:$V$495&gt;=6)*('CONTROL MASTER'!$U$2:$U$495&lt;=3)*('CONTROL MASTER'!$W$2:$W$495&gt;=3))*ROW('CONTROL MASTER'!$S$2:$S$495))-(ROW('CONTROL MASTER'!#REF!)-1)))&amp;TRIM(MID(SUBSTITUTE(SUBSTITUTE(INDEX('CONTROL MASTER'!$N$2:$N$495,(SUMPRODUCT((('CONTROL MASTER'!$S$2:$S$495=3)*('CONTROL MASTER'!$T$2:$T$495&lt;=6)*('CONTROL MASTER'!$V$2:$V$495&gt;=6)*('CONTROL MASTER'!$U$2:$U$495&lt;=3)*('CONTROL MASTER'!$W$2:$W$495&gt;=3))*ROW('CONTROL MASTER'!$S$2:$S$495))-(ROW('CONTROL MASTER'!#REF!)-1))),":",","),",",REPT(" ",50)),((((6-INDEX('CONTROL MASTER'!$T$2:$T$495,(SUMPRODUCT((('CONTROL MASTER'!$S$2:$S$495=3)*('CONTROL MASTER'!$T$2:$T$495&lt;=6)*('CONTROL MASTER'!$V$2:$V$495&gt;=6)*('CONTROL MASTER'!$U$2:$U$495&lt;=3)*('CONTROL MASTER'!$W$2:$W$495&gt;=3))*ROW('CONTROL MASTER'!$S$2:$S$495))-(ROW('CONTROL MASTER'!#REF!)-1))))*(INDEX('CONTROL MASTER'!$W$2:$W$495,(SUMPRODUCT((('CONTROL MASTER'!$S$2:$S$495=3)*('CONTROL MASTER'!$T$2:$T$495&lt;=6)*('CONTROL MASTER'!$V$2:$V$495&gt;=6)*('CONTROL MASTER'!$U$2:$U$495&lt;=3)*('CONTROL MASTER'!$W$2:$W$495&gt;=3))*ROW('CONTROL MASTER'!$S$2:$S$495))-(ROW('CONTROL MASTER'!#REF!)-1)))-INDEX('CONTROL MASTER'!$U$2:$U$495,(SUMPRODUCT((('CONTROL MASTER'!$S$2:$S$495=3)*('CONTROL MASTER'!$T$2:$T$495&lt;=6)*('CONTROL MASTER'!$V$2:$V$495&gt;=6)*('CONTROL MASTER'!$U$2:$U$495&lt;=3)*('CONTROL MASTER'!$W$2:$W$495&gt;=3))*ROW('CONTROL MASTER'!$S$2:$S$495))-(ROW('CONTROL MASTER'!#REF!)-1)))+1)+(3-INDEX('CONTROL MASTER'!$U$2:$U$495,(SUMPRODUCT((('CONTROL MASTER'!$S$2:$S$495=3)*('CONTROL MASTER'!$T$2:$T$495&lt;=6)*('CONTROL MASTER'!$V$2:$V$495&gt;=6)*('CONTROL MASTER'!$U$2:$U$495&lt;=3)*('CONTROL MASTER'!$W$2:$W$495&gt;=3))*ROW('CONTROL MASTER'!$S$2:$S$495))-(ROW('CONTROL MASTER'!#REF!)-1))))+1))-1)*50+1,50))&amp;"_"&amp;INDEX('CONTROL MASTER'!$P$2:$P$495,(SUMPRODUCT((('CONTROL MASTER'!$S$2:$S$495=3)*('CONTROL MASTER'!$T$2:$T$495&lt;=6)*('CONTROL MASTER'!$V$2:$V$495&gt;=6)*('CONTROL MASTER'!$U$2:$U$495&lt;=3)*('CONTROL MASTER'!$W$2:$W$495&gt;=3))*ROW('CONTROL MASTER'!$S$2:$S$495))-(ROW('CONTROL MASTER'!#REF!)-1))),IF(SUMPRODUCT((('CONTROL MASTER'!$S$2:$S$495=3)*('CONTROL MASTER'!$Z$2:$Z$495&lt;=6)*('CONTROL MASTER'!$AB$2:$AB$495&gt;=6)*('CONTROL MASTER'!$AA$2:$AA$495&lt;=3)*('CONTROL MASTER'!$AC$2:$AC$495&gt;=3))*ROW('CONTROL MASTER'!$S$2:$S$495))&gt;0,INDEX('CONTROL MASTER'!$X$2:$X$495,(SUMPRODUCT((('CONTROL MASTER'!$S$2:$S$495=3)*('CONTROL MASTER'!$Z$2:$Z$495&lt;=6)*('CONTROL MASTER'!$AB$2:$AB$495&gt;=6)*('CONTROL MASTER'!$AA$2:$AA$495&lt;=3)*('CONTROL MASTER'!$AC$2:$AC$495&gt;=3))*ROW('CONTROL MASTER'!$S$2:$S$495))-(ROW('CONTROL MASTER'!#REF!)-1)))&amp;TRIM(MID(SUBSTITUTE(SUBSTITUTE(INDEX('CONTROL MASTER'!$N$2:$N$495,(SUMPRODUCT((('CONTROL MASTER'!$S$2:$S$495=3)*('CONTROL MASTER'!$Z$2:$Z$495&lt;=6)*('CONTROL MASTER'!$AB$2:$AB$495&gt;=6)*('CONTROL MASTER'!$AA$2:$AA$495&lt;=3)*('CONTROL MASTER'!$AC$2:$AC$495&gt;=3))*ROW('CONTROL MASTER'!$S$2:$S$495))-(ROW('CONTROL MASTER'!#REF!)-1))),":",","),",",REPT(" ",50)),(((INDEX('CONTROL MASTER'!$Y$2:$Y$495,(SUMPRODUCT((('CONTROL MASTER'!$S$2:$S$495=3)*('CONTROL MASTER'!$Z$2:$Z$495&lt;=6)*('CONTROL MASTER'!$AB$2:$AB$495&gt;=6)*('CONTROL MASTER'!$AA$2:$AA$495&lt;=3)*('CONTROL MASTER'!$AC$2:$AC$495&gt;=3))*ROW('CONTROL MASTER'!$S$2:$S$495))-(ROW('CONTROL MASTER'!#REF!)-1)))+((6-INDEX('CONTROL MASTER'!$Z$2:$Z$495,(SUMPRODUCT((('CONTROL MASTER'!$S$2:$S$495=3)*('CONTROL MASTER'!$Z$2:$Z$495&lt;=6)*('CONTROL MASTER'!$AB$2:$AB$495&gt;=6)*('CONTROL MASTER'!$AA$2:$AA$495&lt;=3)*('CONTROL MASTER'!$AC$2:$AC$495&gt;=3))*ROW('CONTROL MASTER'!$S$2:$S$495))-(ROW('CONTROL MASTER'!#REF!)-1))))*(INDEX('CONTROL MASTER'!$AC$2:$AC$495,(SUMPRODUCT((('CONTROL MASTER'!$S$2:$S$495=3)*('CONTROL MASTER'!$Z$2:$Z$495&lt;=6)*('CONTROL MASTER'!$AB$2:$AB$495&gt;=6)*('CONTROL MASTER'!$AA$2:$AA$495&lt;=3)*('CONTROL MASTER'!$AC$2:$AC$495&gt;=3))*ROW('CONTROL MASTER'!$S$2:$S$495))-(ROW('CONTROL MASTER'!#REF!)-1)))-INDEX('CONTROL MASTER'!$AA$2:$AA$495,(SUMPRODUCT((('CONTROL MASTER'!$S$2:$S$495=3)*('CONTROL MASTER'!$Z$2:$Z$495&lt;=6)*('CONTROL MASTER'!$AB$2:$AB$495&gt;=6)*('CONTROL MASTER'!$AA$2:$AA$495&lt;=3)*('CONTROL MASTER'!$AC$2:$AC$495&gt;=3))*ROW('CONTROL MASTER'!$S$2:$S$495))-(ROW('CONTROL MASTER'!#REF!)-1)))+1)+(3-INDEX('CONTROL MASTER'!$AA$2:$AA$495,(SUMPRODUCT((('CONTROL MASTER'!$S$2:$S$495=3)*('CONTROL MASTER'!$Z$2:$Z$495&lt;=6)*('CONTROL MASTER'!$AB$2:$AB$495&gt;=6)*('CONTROL MASTER'!$AA$2:$AA$495&lt;=3)*('CONTROL MASTER'!$AC$2:$AC$495&gt;=3))*ROW('CONTROL MASTER'!$S$2:$S$495))-(ROW('CONTROL MASTER'!#REF!)-1))))+1)))-1)*50+1,50))&amp;"_"&amp;INDEX('CONTROL MASTER'!$P$2:$P$495,(SUMPRODUCT((('CONTROL MASTER'!$S$2:$S$495=3)*('CONTROL MASTER'!$Z$2:$Z$495&lt;=6)*('CONTROL MASTER'!$AB$2:$AB$495&gt;=6)*('CONTROL MASTER'!$AA$2:$AA$495&lt;=3)*('CONTROL MASTER'!$AC$2:$AC$495&gt;=3))*ROW('CONTROL MASTER'!$S$2:$S$495))-(ROW('CONTROL MASTER'!#REF!)-1))),"")),"")</f>
        <v/>
      </c>
      <c r="E36" s="10" t="str">
        <f>IFERROR(IF(SUMPRODUCT((('CONTROL MASTER'!$S$2:$S$495=3)*('CONTROL MASTER'!$T$2:$T$495&lt;=6)*('CONTROL MASTER'!$V$2:$V$495&gt;=6)*('CONTROL MASTER'!$U$2:$U$495&lt;=4)*('CONTROL MASTER'!$W$2:$W$495&gt;=4))*ROW('CONTROL MASTER'!$S$2:$S$495))&gt;0,INDEX('CONTROL MASTER'!$X$2:$X$495,(SUMPRODUCT((('CONTROL MASTER'!$S$2:$S$495=3)*('CONTROL MASTER'!$T$2:$T$495&lt;=6)*('CONTROL MASTER'!$V$2:$V$495&gt;=6)*('CONTROL MASTER'!$U$2:$U$495&lt;=4)*('CONTROL MASTER'!$W$2:$W$495&gt;=4))*ROW('CONTROL MASTER'!$S$2:$S$495))-(ROW('CONTROL MASTER'!#REF!)-1)))&amp;TRIM(MID(SUBSTITUTE(SUBSTITUTE(INDEX('CONTROL MASTER'!$N$2:$N$495,(SUMPRODUCT((('CONTROL MASTER'!$S$2:$S$495=3)*('CONTROL MASTER'!$T$2:$T$495&lt;=6)*('CONTROL MASTER'!$V$2:$V$495&gt;=6)*('CONTROL MASTER'!$U$2:$U$495&lt;=4)*('CONTROL MASTER'!$W$2:$W$495&gt;=4))*ROW('CONTROL MASTER'!$S$2:$S$495))-(ROW('CONTROL MASTER'!#REF!)-1))),":",","),",",REPT(" ",50)),((((6-INDEX('CONTROL MASTER'!$T$2:$T$495,(SUMPRODUCT((('CONTROL MASTER'!$S$2:$S$495=3)*('CONTROL MASTER'!$T$2:$T$495&lt;=6)*('CONTROL MASTER'!$V$2:$V$495&gt;=6)*('CONTROL MASTER'!$U$2:$U$495&lt;=4)*('CONTROL MASTER'!$W$2:$W$495&gt;=4))*ROW('CONTROL MASTER'!$S$2:$S$495))-(ROW('CONTROL MASTER'!#REF!)-1))))*(INDEX('CONTROL MASTER'!$W$2:$W$495,(SUMPRODUCT((('CONTROL MASTER'!$S$2:$S$495=3)*('CONTROL MASTER'!$T$2:$T$495&lt;=6)*('CONTROL MASTER'!$V$2:$V$495&gt;=6)*('CONTROL MASTER'!$U$2:$U$495&lt;=4)*('CONTROL MASTER'!$W$2:$W$495&gt;=4))*ROW('CONTROL MASTER'!$S$2:$S$495))-(ROW('CONTROL MASTER'!#REF!)-1)))-INDEX('CONTROL MASTER'!$U$2:$U$495,(SUMPRODUCT((('CONTROL MASTER'!$S$2:$S$495=3)*('CONTROL MASTER'!$T$2:$T$495&lt;=6)*('CONTROL MASTER'!$V$2:$V$495&gt;=6)*('CONTROL MASTER'!$U$2:$U$495&lt;=4)*('CONTROL MASTER'!$W$2:$W$495&gt;=4))*ROW('CONTROL MASTER'!$S$2:$S$495))-(ROW('CONTROL MASTER'!#REF!)-1)))+1)+(4-INDEX('CONTROL MASTER'!$U$2:$U$495,(SUMPRODUCT((('CONTROL MASTER'!$S$2:$S$495=3)*('CONTROL MASTER'!$T$2:$T$495&lt;=6)*('CONTROL MASTER'!$V$2:$V$495&gt;=6)*('CONTROL MASTER'!$U$2:$U$495&lt;=4)*('CONTROL MASTER'!$W$2:$W$495&gt;=4))*ROW('CONTROL MASTER'!$S$2:$S$495))-(ROW('CONTROL MASTER'!#REF!)-1))))+1))-1)*50+1,50))&amp;"_"&amp;INDEX('CONTROL MASTER'!$P$2:$P$495,(SUMPRODUCT((('CONTROL MASTER'!$S$2:$S$495=3)*('CONTROL MASTER'!$T$2:$T$495&lt;=6)*('CONTROL MASTER'!$V$2:$V$495&gt;=6)*('CONTROL MASTER'!$U$2:$U$495&lt;=4)*('CONTROL MASTER'!$W$2:$W$495&gt;=4))*ROW('CONTROL MASTER'!$S$2:$S$495))-(ROW('CONTROL MASTER'!#REF!)-1))),IF(SUMPRODUCT((('CONTROL MASTER'!$S$2:$S$495=3)*('CONTROL MASTER'!$Z$2:$Z$495&lt;=6)*('CONTROL MASTER'!$AB$2:$AB$495&gt;=6)*('CONTROL MASTER'!$AA$2:$AA$495&lt;=4)*('CONTROL MASTER'!$AC$2:$AC$495&gt;=4))*ROW('CONTROL MASTER'!$S$2:$S$495))&gt;0,INDEX('CONTROL MASTER'!$X$2:$X$495,(SUMPRODUCT((('CONTROL MASTER'!$S$2:$S$495=3)*('CONTROL MASTER'!$Z$2:$Z$495&lt;=6)*('CONTROL MASTER'!$AB$2:$AB$495&gt;=6)*('CONTROL MASTER'!$AA$2:$AA$495&lt;=4)*('CONTROL MASTER'!$AC$2:$AC$495&gt;=4))*ROW('CONTROL MASTER'!$S$2:$S$495))-(ROW('CONTROL MASTER'!#REF!)-1)))&amp;TRIM(MID(SUBSTITUTE(SUBSTITUTE(INDEX('CONTROL MASTER'!$N$2:$N$495,(SUMPRODUCT((('CONTROL MASTER'!$S$2:$S$495=3)*('CONTROL MASTER'!$Z$2:$Z$495&lt;=6)*('CONTROL MASTER'!$AB$2:$AB$495&gt;=6)*('CONTROL MASTER'!$AA$2:$AA$495&lt;=4)*('CONTROL MASTER'!$AC$2:$AC$495&gt;=4))*ROW('CONTROL MASTER'!$S$2:$S$495))-(ROW('CONTROL MASTER'!#REF!)-1))),":",","),",",REPT(" ",50)),(((INDEX('CONTROL MASTER'!$Y$2:$Y$495,(SUMPRODUCT((('CONTROL MASTER'!$S$2:$S$495=3)*('CONTROL MASTER'!$Z$2:$Z$495&lt;=6)*('CONTROL MASTER'!$AB$2:$AB$495&gt;=6)*('CONTROL MASTER'!$AA$2:$AA$495&lt;=4)*('CONTROL MASTER'!$AC$2:$AC$495&gt;=4))*ROW('CONTROL MASTER'!$S$2:$S$495))-(ROW('CONTROL MASTER'!#REF!)-1)))+((6-INDEX('CONTROL MASTER'!$Z$2:$Z$495,(SUMPRODUCT((('CONTROL MASTER'!$S$2:$S$495=3)*('CONTROL MASTER'!$Z$2:$Z$495&lt;=6)*('CONTROL MASTER'!$AB$2:$AB$495&gt;=6)*('CONTROL MASTER'!$AA$2:$AA$495&lt;=4)*('CONTROL MASTER'!$AC$2:$AC$495&gt;=4))*ROW('CONTROL MASTER'!$S$2:$S$495))-(ROW('CONTROL MASTER'!#REF!)-1))))*(INDEX('CONTROL MASTER'!$AC$2:$AC$495,(SUMPRODUCT((('CONTROL MASTER'!$S$2:$S$495=3)*('CONTROL MASTER'!$Z$2:$Z$495&lt;=6)*('CONTROL MASTER'!$AB$2:$AB$495&gt;=6)*('CONTROL MASTER'!$AA$2:$AA$495&lt;=4)*('CONTROL MASTER'!$AC$2:$AC$495&gt;=4))*ROW('CONTROL MASTER'!$S$2:$S$495))-(ROW('CONTROL MASTER'!#REF!)-1)))-INDEX('CONTROL MASTER'!$AA$2:$AA$495,(SUMPRODUCT((('CONTROL MASTER'!$S$2:$S$495=3)*('CONTROL MASTER'!$Z$2:$Z$495&lt;=6)*('CONTROL MASTER'!$AB$2:$AB$495&gt;=6)*('CONTROL MASTER'!$AA$2:$AA$495&lt;=4)*('CONTROL MASTER'!$AC$2:$AC$495&gt;=4))*ROW('CONTROL MASTER'!$S$2:$S$495))-(ROW('CONTROL MASTER'!#REF!)-1)))+1)+(4-INDEX('CONTROL MASTER'!$AA$2:$AA$495,(SUMPRODUCT((('CONTROL MASTER'!$S$2:$S$495=3)*('CONTROL MASTER'!$Z$2:$Z$495&lt;=6)*('CONTROL MASTER'!$AB$2:$AB$495&gt;=6)*('CONTROL MASTER'!$AA$2:$AA$495&lt;=4)*('CONTROL MASTER'!$AC$2:$AC$495&gt;=4))*ROW('CONTROL MASTER'!$S$2:$S$495))-(ROW('CONTROL MASTER'!#REF!)-1))))+1)))-1)*50+1,50))&amp;"_"&amp;INDEX('CONTROL MASTER'!$P$2:$P$495,(SUMPRODUCT((('CONTROL MASTER'!$S$2:$S$495=3)*('CONTROL MASTER'!$Z$2:$Z$495&lt;=6)*('CONTROL MASTER'!$AB$2:$AB$495&gt;=6)*('CONTROL MASTER'!$AA$2:$AA$495&lt;=4)*('CONTROL MASTER'!$AC$2:$AC$495&gt;=4))*ROW('CONTROL MASTER'!$S$2:$S$495))-(ROW('CONTROL MASTER'!#REF!)-1))),"")),"")</f>
        <v/>
      </c>
      <c r="F36" s="10" t="str">
        <f>IFERROR(IF(SUMPRODUCT((('CONTROL MASTER'!$S$2:$S$495=3)*('CONTROL MASTER'!$T$2:$T$495&lt;=6)*('CONTROL MASTER'!$V$2:$V$495&gt;=6)*('CONTROL MASTER'!$U$2:$U$495&lt;=5)*('CONTROL MASTER'!$W$2:$W$495&gt;=5))*ROW('CONTROL MASTER'!$S$2:$S$495))&gt;0,INDEX('CONTROL MASTER'!$X$2:$X$495,(SUMPRODUCT((('CONTROL MASTER'!$S$2:$S$495=3)*('CONTROL MASTER'!$T$2:$T$495&lt;=6)*('CONTROL MASTER'!$V$2:$V$495&gt;=6)*('CONTROL MASTER'!$U$2:$U$495&lt;=5)*('CONTROL MASTER'!$W$2:$W$495&gt;=5))*ROW('CONTROL MASTER'!$S$2:$S$495))-(ROW('CONTROL MASTER'!#REF!)-1)))&amp;TRIM(MID(SUBSTITUTE(SUBSTITUTE(INDEX('CONTROL MASTER'!$N$2:$N$495,(SUMPRODUCT((('CONTROL MASTER'!$S$2:$S$495=3)*('CONTROL MASTER'!$T$2:$T$495&lt;=6)*('CONTROL MASTER'!$V$2:$V$495&gt;=6)*('CONTROL MASTER'!$U$2:$U$495&lt;=5)*('CONTROL MASTER'!$W$2:$W$495&gt;=5))*ROW('CONTROL MASTER'!$S$2:$S$495))-(ROW('CONTROL MASTER'!#REF!)-1))),":",","),",",REPT(" ",50)),((((6-INDEX('CONTROL MASTER'!$T$2:$T$495,(SUMPRODUCT((('CONTROL MASTER'!$S$2:$S$495=3)*('CONTROL MASTER'!$T$2:$T$495&lt;=6)*('CONTROL MASTER'!$V$2:$V$495&gt;=6)*('CONTROL MASTER'!$U$2:$U$495&lt;=5)*('CONTROL MASTER'!$W$2:$W$495&gt;=5))*ROW('CONTROL MASTER'!$S$2:$S$495))-(ROW('CONTROL MASTER'!#REF!)-1))))*(INDEX('CONTROL MASTER'!$W$2:$W$495,(SUMPRODUCT((('CONTROL MASTER'!$S$2:$S$495=3)*('CONTROL MASTER'!$T$2:$T$495&lt;=6)*('CONTROL MASTER'!$V$2:$V$495&gt;=6)*('CONTROL MASTER'!$U$2:$U$495&lt;=5)*('CONTROL MASTER'!$W$2:$W$495&gt;=5))*ROW('CONTROL MASTER'!$S$2:$S$495))-(ROW('CONTROL MASTER'!#REF!)-1)))-INDEX('CONTROL MASTER'!$U$2:$U$495,(SUMPRODUCT((('CONTROL MASTER'!$S$2:$S$495=3)*('CONTROL MASTER'!$T$2:$T$495&lt;=6)*('CONTROL MASTER'!$V$2:$V$495&gt;=6)*('CONTROL MASTER'!$U$2:$U$495&lt;=5)*('CONTROL MASTER'!$W$2:$W$495&gt;=5))*ROW('CONTROL MASTER'!$S$2:$S$495))-(ROW('CONTROL MASTER'!#REF!)-1)))+1)+(5-INDEX('CONTROL MASTER'!$U$2:$U$495,(SUMPRODUCT((('CONTROL MASTER'!$S$2:$S$495=3)*('CONTROL MASTER'!$T$2:$T$495&lt;=6)*('CONTROL MASTER'!$V$2:$V$495&gt;=6)*('CONTROL MASTER'!$U$2:$U$495&lt;=5)*('CONTROL MASTER'!$W$2:$W$495&gt;=5))*ROW('CONTROL MASTER'!$S$2:$S$495))-(ROW('CONTROL MASTER'!#REF!)-1))))+1))-1)*50+1,50))&amp;"_"&amp;INDEX('CONTROL MASTER'!$P$2:$P$495,(SUMPRODUCT((('CONTROL MASTER'!$S$2:$S$495=3)*('CONTROL MASTER'!$T$2:$T$495&lt;=6)*('CONTROL MASTER'!$V$2:$V$495&gt;=6)*('CONTROL MASTER'!$U$2:$U$495&lt;=5)*('CONTROL MASTER'!$W$2:$W$495&gt;=5))*ROW('CONTROL MASTER'!$S$2:$S$495))-(ROW('CONTROL MASTER'!#REF!)-1))),IF(SUMPRODUCT((('CONTROL MASTER'!$S$2:$S$495=3)*('CONTROL MASTER'!$Z$2:$Z$495&lt;=6)*('CONTROL MASTER'!$AB$2:$AB$495&gt;=6)*('CONTROL MASTER'!$AA$2:$AA$495&lt;=5)*('CONTROL MASTER'!$AC$2:$AC$495&gt;=5))*ROW('CONTROL MASTER'!$S$2:$S$495))&gt;0,INDEX('CONTROL MASTER'!$X$2:$X$495,(SUMPRODUCT((('CONTROL MASTER'!$S$2:$S$495=3)*('CONTROL MASTER'!$Z$2:$Z$495&lt;=6)*('CONTROL MASTER'!$AB$2:$AB$495&gt;=6)*('CONTROL MASTER'!$AA$2:$AA$495&lt;=5)*('CONTROL MASTER'!$AC$2:$AC$495&gt;=5))*ROW('CONTROL MASTER'!$S$2:$S$495))-(ROW('CONTROL MASTER'!#REF!)-1)))&amp;TRIM(MID(SUBSTITUTE(SUBSTITUTE(INDEX('CONTROL MASTER'!$N$2:$N$495,(SUMPRODUCT((('CONTROL MASTER'!$S$2:$S$495=3)*('CONTROL MASTER'!$Z$2:$Z$495&lt;=6)*('CONTROL MASTER'!$AB$2:$AB$495&gt;=6)*('CONTROL MASTER'!$AA$2:$AA$495&lt;=5)*('CONTROL MASTER'!$AC$2:$AC$495&gt;=5))*ROW('CONTROL MASTER'!$S$2:$S$495))-(ROW('CONTROL MASTER'!#REF!)-1))),":",","),",",REPT(" ",50)),(((INDEX('CONTROL MASTER'!$Y$2:$Y$495,(SUMPRODUCT((('CONTROL MASTER'!$S$2:$S$495=3)*('CONTROL MASTER'!$Z$2:$Z$495&lt;=6)*('CONTROL MASTER'!$AB$2:$AB$495&gt;=6)*('CONTROL MASTER'!$AA$2:$AA$495&lt;=5)*('CONTROL MASTER'!$AC$2:$AC$495&gt;=5))*ROW('CONTROL MASTER'!$S$2:$S$495))-(ROW('CONTROL MASTER'!#REF!)-1)))+((6-INDEX('CONTROL MASTER'!$Z$2:$Z$495,(SUMPRODUCT((('CONTROL MASTER'!$S$2:$S$495=3)*('CONTROL MASTER'!$Z$2:$Z$495&lt;=6)*('CONTROL MASTER'!$AB$2:$AB$495&gt;=6)*('CONTROL MASTER'!$AA$2:$AA$495&lt;=5)*('CONTROL MASTER'!$AC$2:$AC$495&gt;=5))*ROW('CONTROL MASTER'!$S$2:$S$495))-(ROW('CONTROL MASTER'!#REF!)-1))))*(INDEX('CONTROL MASTER'!$AC$2:$AC$495,(SUMPRODUCT((('CONTROL MASTER'!$S$2:$S$495=3)*('CONTROL MASTER'!$Z$2:$Z$495&lt;=6)*('CONTROL MASTER'!$AB$2:$AB$495&gt;=6)*('CONTROL MASTER'!$AA$2:$AA$495&lt;=5)*('CONTROL MASTER'!$AC$2:$AC$495&gt;=5))*ROW('CONTROL MASTER'!$S$2:$S$495))-(ROW('CONTROL MASTER'!#REF!)-1)))-INDEX('CONTROL MASTER'!$AA$2:$AA$495,(SUMPRODUCT((('CONTROL MASTER'!$S$2:$S$495=3)*('CONTROL MASTER'!$Z$2:$Z$495&lt;=6)*('CONTROL MASTER'!$AB$2:$AB$495&gt;=6)*('CONTROL MASTER'!$AA$2:$AA$495&lt;=5)*('CONTROL MASTER'!$AC$2:$AC$495&gt;=5))*ROW('CONTROL MASTER'!$S$2:$S$495))-(ROW('CONTROL MASTER'!#REF!)-1)))+1)+(5-INDEX('CONTROL MASTER'!$AA$2:$AA$495,(SUMPRODUCT((('CONTROL MASTER'!$S$2:$S$495=3)*('CONTROL MASTER'!$Z$2:$Z$495&lt;=6)*('CONTROL MASTER'!$AB$2:$AB$495&gt;=6)*('CONTROL MASTER'!$AA$2:$AA$495&lt;=5)*('CONTROL MASTER'!$AC$2:$AC$495&gt;=5))*ROW('CONTROL MASTER'!$S$2:$S$495))-(ROW('CONTROL MASTER'!#REF!)-1))))+1)))-1)*50+1,50))&amp;"_"&amp;INDEX('CONTROL MASTER'!$P$2:$P$495,(SUMPRODUCT((('CONTROL MASTER'!$S$2:$S$495=3)*('CONTROL MASTER'!$Z$2:$Z$495&lt;=6)*('CONTROL MASTER'!$AB$2:$AB$495&gt;=6)*('CONTROL MASTER'!$AA$2:$AA$495&lt;=5)*('CONTROL MASTER'!$AC$2:$AC$495&gt;=5))*ROW('CONTROL MASTER'!$S$2:$S$495))-(ROW('CONTROL MASTER'!#REF!)-1))),"")),"")</f>
        <v/>
      </c>
      <c r="G36" s="10" t="str">
        <f>IFERROR(IF(SUMPRODUCT((('CONTROL MASTER'!$S$2:$S$495=3)*('CONTROL MASTER'!$T$2:$T$495&lt;=6)*('CONTROL MASTER'!$V$2:$V$495&gt;=6)*('CONTROL MASTER'!$U$2:$U$495&lt;=6)*('CONTROL MASTER'!$W$2:$W$495&gt;=6))*ROW('CONTROL MASTER'!$S$2:$S$495))&gt;0,INDEX('CONTROL MASTER'!$X$2:$X$495,(SUMPRODUCT((('CONTROL MASTER'!$S$2:$S$495=3)*('CONTROL MASTER'!$T$2:$T$495&lt;=6)*('CONTROL MASTER'!$V$2:$V$495&gt;=6)*('CONTROL MASTER'!$U$2:$U$495&lt;=6)*('CONTROL MASTER'!$W$2:$W$495&gt;=6))*ROW('CONTROL MASTER'!$S$2:$S$495))-(ROW('CONTROL MASTER'!#REF!)-1)))&amp;TRIM(MID(SUBSTITUTE(SUBSTITUTE(INDEX('CONTROL MASTER'!$N$2:$N$495,(SUMPRODUCT((('CONTROL MASTER'!$S$2:$S$495=3)*('CONTROL MASTER'!$T$2:$T$495&lt;=6)*('CONTROL MASTER'!$V$2:$V$495&gt;=6)*('CONTROL MASTER'!$U$2:$U$495&lt;=6)*('CONTROL MASTER'!$W$2:$W$495&gt;=6))*ROW('CONTROL MASTER'!$S$2:$S$495))-(ROW('CONTROL MASTER'!#REF!)-1))),":",","),",",REPT(" ",50)),((((6-INDEX('CONTROL MASTER'!$T$2:$T$495,(SUMPRODUCT((('CONTROL MASTER'!$S$2:$S$495=3)*('CONTROL MASTER'!$T$2:$T$495&lt;=6)*('CONTROL MASTER'!$V$2:$V$495&gt;=6)*('CONTROL MASTER'!$U$2:$U$495&lt;=6)*('CONTROL MASTER'!$W$2:$W$495&gt;=6))*ROW('CONTROL MASTER'!$S$2:$S$495))-(ROW('CONTROL MASTER'!#REF!)-1))))*(INDEX('CONTROL MASTER'!$W$2:$W$495,(SUMPRODUCT((('CONTROL MASTER'!$S$2:$S$495=3)*('CONTROL MASTER'!$T$2:$T$495&lt;=6)*('CONTROL MASTER'!$V$2:$V$495&gt;=6)*('CONTROL MASTER'!$U$2:$U$495&lt;=6)*('CONTROL MASTER'!$W$2:$W$495&gt;=6))*ROW('CONTROL MASTER'!$S$2:$S$495))-(ROW('CONTROL MASTER'!#REF!)-1)))-INDEX('CONTROL MASTER'!$U$2:$U$495,(SUMPRODUCT((('CONTROL MASTER'!$S$2:$S$495=3)*('CONTROL MASTER'!$T$2:$T$495&lt;=6)*('CONTROL MASTER'!$V$2:$V$495&gt;=6)*('CONTROL MASTER'!$U$2:$U$495&lt;=6)*('CONTROL MASTER'!$W$2:$W$495&gt;=6))*ROW('CONTROL MASTER'!$S$2:$S$495))-(ROW('CONTROL MASTER'!#REF!)-1)))+1)+(6-INDEX('CONTROL MASTER'!$U$2:$U$495,(SUMPRODUCT((('CONTROL MASTER'!$S$2:$S$495=3)*('CONTROL MASTER'!$T$2:$T$495&lt;=6)*('CONTROL MASTER'!$V$2:$V$495&gt;=6)*('CONTROL MASTER'!$U$2:$U$495&lt;=6)*('CONTROL MASTER'!$W$2:$W$495&gt;=6))*ROW('CONTROL MASTER'!$S$2:$S$495))-(ROW('CONTROL MASTER'!#REF!)-1))))+1))-1)*50+1,50))&amp;"_"&amp;INDEX('CONTROL MASTER'!$P$2:$P$495,(SUMPRODUCT((('CONTROL MASTER'!$S$2:$S$495=3)*('CONTROL MASTER'!$T$2:$T$495&lt;=6)*('CONTROL MASTER'!$V$2:$V$495&gt;=6)*('CONTROL MASTER'!$U$2:$U$495&lt;=6)*('CONTROL MASTER'!$W$2:$W$495&gt;=6))*ROW('CONTROL MASTER'!$S$2:$S$495))-(ROW('CONTROL MASTER'!#REF!)-1))),IF(SUMPRODUCT((('CONTROL MASTER'!$S$2:$S$495=3)*('CONTROL MASTER'!$Z$2:$Z$495&lt;=6)*('CONTROL MASTER'!$AB$2:$AB$495&gt;=6)*('CONTROL MASTER'!$AA$2:$AA$495&lt;=6)*('CONTROL MASTER'!$AC$2:$AC$495&gt;=6))*ROW('CONTROL MASTER'!$S$2:$S$495))&gt;0,INDEX('CONTROL MASTER'!$X$2:$X$495,(SUMPRODUCT((('CONTROL MASTER'!$S$2:$S$495=3)*('CONTROL MASTER'!$Z$2:$Z$495&lt;=6)*('CONTROL MASTER'!$AB$2:$AB$495&gt;=6)*('CONTROL MASTER'!$AA$2:$AA$495&lt;=6)*('CONTROL MASTER'!$AC$2:$AC$495&gt;=6))*ROW('CONTROL MASTER'!$S$2:$S$495))-(ROW('CONTROL MASTER'!#REF!)-1)))&amp;TRIM(MID(SUBSTITUTE(SUBSTITUTE(INDEX('CONTROL MASTER'!$N$2:$N$495,(SUMPRODUCT((('CONTROL MASTER'!$S$2:$S$495=3)*('CONTROL MASTER'!$Z$2:$Z$495&lt;=6)*('CONTROL MASTER'!$AB$2:$AB$495&gt;=6)*('CONTROL MASTER'!$AA$2:$AA$495&lt;=6)*('CONTROL MASTER'!$AC$2:$AC$495&gt;=6))*ROW('CONTROL MASTER'!$S$2:$S$495))-(ROW('CONTROL MASTER'!#REF!)-1))),":",","),",",REPT(" ",50)),(((INDEX('CONTROL MASTER'!$Y$2:$Y$495,(SUMPRODUCT((('CONTROL MASTER'!$S$2:$S$495=3)*('CONTROL MASTER'!$Z$2:$Z$495&lt;=6)*('CONTROL MASTER'!$AB$2:$AB$495&gt;=6)*('CONTROL MASTER'!$AA$2:$AA$495&lt;=6)*('CONTROL MASTER'!$AC$2:$AC$495&gt;=6))*ROW('CONTROL MASTER'!$S$2:$S$495))-(ROW('CONTROL MASTER'!#REF!)-1)))+((6-INDEX('CONTROL MASTER'!$Z$2:$Z$495,(SUMPRODUCT((('CONTROL MASTER'!$S$2:$S$495=3)*('CONTROL MASTER'!$Z$2:$Z$495&lt;=6)*('CONTROL MASTER'!$AB$2:$AB$495&gt;=6)*('CONTROL MASTER'!$AA$2:$AA$495&lt;=6)*('CONTROL MASTER'!$AC$2:$AC$495&gt;=6))*ROW('CONTROL MASTER'!$S$2:$S$495))-(ROW('CONTROL MASTER'!#REF!)-1))))*(INDEX('CONTROL MASTER'!$AC$2:$AC$495,(SUMPRODUCT((('CONTROL MASTER'!$S$2:$S$495=3)*('CONTROL MASTER'!$Z$2:$Z$495&lt;=6)*('CONTROL MASTER'!$AB$2:$AB$495&gt;=6)*('CONTROL MASTER'!$AA$2:$AA$495&lt;=6)*('CONTROL MASTER'!$AC$2:$AC$495&gt;=6))*ROW('CONTROL MASTER'!$S$2:$S$495))-(ROW('CONTROL MASTER'!#REF!)-1)))-INDEX('CONTROL MASTER'!$AA$2:$AA$495,(SUMPRODUCT((('CONTROL MASTER'!$S$2:$S$495=3)*('CONTROL MASTER'!$Z$2:$Z$495&lt;=6)*('CONTROL MASTER'!$AB$2:$AB$495&gt;=6)*('CONTROL MASTER'!$AA$2:$AA$495&lt;=6)*('CONTROL MASTER'!$AC$2:$AC$495&gt;=6))*ROW('CONTROL MASTER'!$S$2:$S$495))-(ROW('CONTROL MASTER'!#REF!)-1)))+1)+(6-INDEX('CONTROL MASTER'!$AA$2:$AA$495,(SUMPRODUCT((('CONTROL MASTER'!$S$2:$S$495=3)*('CONTROL MASTER'!$Z$2:$Z$495&lt;=6)*('CONTROL MASTER'!$AB$2:$AB$495&gt;=6)*('CONTROL MASTER'!$AA$2:$AA$495&lt;=6)*('CONTROL MASTER'!$AC$2:$AC$495&gt;=6))*ROW('CONTROL MASTER'!$S$2:$S$495))-(ROW('CONTROL MASTER'!#REF!)-1))))+1)))-1)*50+1,50))&amp;"_"&amp;INDEX('CONTROL MASTER'!$P$2:$P$495,(SUMPRODUCT((('CONTROL MASTER'!$S$2:$S$495=3)*('CONTROL MASTER'!$Z$2:$Z$495&lt;=6)*('CONTROL MASTER'!$AB$2:$AB$495&gt;=6)*('CONTROL MASTER'!$AA$2:$AA$495&lt;=6)*('CONTROL MASTER'!$AC$2:$AC$495&gt;=6))*ROW('CONTROL MASTER'!$S$2:$S$495))-(ROW('CONTROL MASTER'!#REF!)-1))),"")),"")</f>
        <v/>
      </c>
      <c r="H36" s="10" t="str">
        <f>IFERROR(IF(SUMPRODUCT((('CONTROL MASTER'!$S$2:$S$495=3)*('CONTROL MASTER'!$T$2:$T$495&lt;=6)*('CONTROL MASTER'!$V$2:$V$495&gt;=6)*('CONTROL MASTER'!$U$2:$U$495&lt;=7)*('CONTROL MASTER'!$W$2:$W$495&gt;=7))*ROW('CONTROL MASTER'!$S$2:$S$495))&gt;0,INDEX('CONTROL MASTER'!$X$2:$X$495,(SUMPRODUCT((('CONTROL MASTER'!$S$2:$S$495=3)*('CONTROL MASTER'!$T$2:$T$495&lt;=6)*('CONTROL MASTER'!$V$2:$V$495&gt;=6)*('CONTROL MASTER'!$U$2:$U$495&lt;=7)*('CONTROL MASTER'!$W$2:$W$495&gt;=7))*ROW('CONTROL MASTER'!$S$2:$S$495))-(ROW('CONTROL MASTER'!#REF!)-1)))&amp;TRIM(MID(SUBSTITUTE(SUBSTITUTE(INDEX('CONTROL MASTER'!$N$2:$N$495,(SUMPRODUCT((('CONTROL MASTER'!$S$2:$S$495=3)*('CONTROL MASTER'!$T$2:$T$495&lt;=6)*('CONTROL MASTER'!$V$2:$V$495&gt;=6)*('CONTROL MASTER'!$U$2:$U$495&lt;=7)*('CONTROL MASTER'!$W$2:$W$495&gt;=7))*ROW('CONTROL MASTER'!$S$2:$S$495))-(ROW('CONTROL MASTER'!#REF!)-1))),":",","),",",REPT(" ",50)),((((6-INDEX('CONTROL MASTER'!$T$2:$T$495,(SUMPRODUCT((('CONTROL MASTER'!$S$2:$S$495=3)*('CONTROL MASTER'!$T$2:$T$495&lt;=6)*('CONTROL MASTER'!$V$2:$V$495&gt;=6)*('CONTROL MASTER'!$U$2:$U$495&lt;=7)*('CONTROL MASTER'!$W$2:$W$495&gt;=7))*ROW('CONTROL MASTER'!$S$2:$S$495))-(ROW('CONTROL MASTER'!#REF!)-1))))*(INDEX('CONTROL MASTER'!$W$2:$W$495,(SUMPRODUCT((('CONTROL MASTER'!$S$2:$S$495=3)*('CONTROL MASTER'!$T$2:$T$495&lt;=6)*('CONTROL MASTER'!$V$2:$V$495&gt;=6)*('CONTROL MASTER'!$U$2:$U$495&lt;=7)*('CONTROL MASTER'!$W$2:$W$495&gt;=7))*ROW('CONTROL MASTER'!$S$2:$S$495))-(ROW('CONTROL MASTER'!#REF!)-1)))-INDEX('CONTROL MASTER'!$U$2:$U$495,(SUMPRODUCT((('CONTROL MASTER'!$S$2:$S$495=3)*('CONTROL MASTER'!$T$2:$T$495&lt;=6)*('CONTROL MASTER'!$V$2:$V$495&gt;=6)*('CONTROL MASTER'!$U$2:$U$495&lt;=7)*('CONTROL MASTER'!$W$2:$W$495&gt;=7))*ROW('CONTROL MASTER'!$S$2:$S$495))-(ROW('CONTROL MASTER'!#REF!)-1)))+1)+(7-INDEX('CONTROL MASTER'!$U$2:$U$495,(SUMPRODUCT((('CONTROL MASTER'!$S$2:$S$495=3)*('CONTROL MASTER'!$T$2:$T$495&lt;=6)*('CONTROL MASTER'!$V$2:$V$495&gt;=6)*('CONTROL MASTER'!$U$2:$U$495&lt;=7)*('CONTROL MASTER'!$W$2:$W$495&gt;=7))*ROW('CONTROL MASTER'!$S$2:$S$495))-(ROW('CONTROL MASTER'!#REF!)-1))))+1))-1)*50+1,50))&amp;"_"&amp;INDEX('CONTROL MASTER'!$P$2:$P$495,(SUMPRODUCT((('CONTROL MASTER'!$S$2:$S$495=3)*('CONTROL MASTER'!$T$2:$T$495&lt;=6)*('CONTROL MASTER'!$V$2:$V$495&gt;=6)*('CONTROL MASTER'!$U$2:$U$495&lt;=7)*('CONTROL MASTER'!$W$2:$W$495&gt;=7))*ROW('CONTROL MASTER'!$S$2:$S$495))-(ROW('CONTROL MASTER'!#REF!)-1))),IF(SUMPRODUCT((('CONTROL MASTER'!$S$2:$S$495=3)*('CONTROL MASTER'!$Z$2:$Z$495&lt;=6)*('CONTROL MASTER'!$AB$2:$AB$495&gt;=6)*('CONTROL MASTER'!$AA$2:$AA$495&lt;=7)*('CONTROL MASTER'!$AC$2:$AC$495&gt;=7))*ROW('CONTROL MASTER'!$S$2:$S$495))&gt;0,INDEX('CONTROL MASTER'!$X$2:$X$495,(SUMPRODUCT((('CONTROL MASTER'!$S$2:$S$495=3)*('CONTROL MASTER'!$Z$2:$Z$495&lt;=6)*('CONTROL MASTER'!$AB$2:$AB$495&gt;=6)*('CONTROL MASTER'!$AA$2:$AA$495&lt;=7)*('CONTROL MASTER'!$AC$2:$AC$495&gt;=7))*ROW('CONTROL MASTER'!$S$2:$S$495))-(ROW('CONTROL MASTER'!#REF!)-1)))&amp;TRIM(MID(SUBSTITUTE(SUBSTITUTE(INDEX('CONTROL MASTER'!$N$2:$N$495,(SUMPRODUCT((('CONTROL MASTER'!$S$2:$S$495=3)*('CONTROL MASTER'!$Z$2:$Z$495&lt;=6)*('CONTROL MASTER'!$AB$2:$AB$495&gt;=6)*('CONTROL MASTER'!$AA$2:$AA$495&lt;=7)*('CONTROL MASTER'!$AC$2:$AC$495&gt;=7))*ROW('CONTROL MASTER'!$S$2:$S$495))-(ROW('CONTROL MASTER'!#REF!)-1))),":",","),",",REPT(" ",50)),(((INDEX('CONTROL MASTER'!$Y$2:$Y$495,(SUMPRODUCT((('CONTROL MASTER'!$S$2:$S$495=3)*('CONTROL MASTER'!$Z$2:$Z$495&lt;=6)*('CONTROL MASTER'!$AB$2:$AB$495&gt;=6)*('CONTROL MASTER'!$AA$2:$AA$495&lt;=7)*('CONTROL MASTER'!$AC$2:$AC$495&gt;=7))*ROW('CONTROL MASTER'!$S$2:$S$495))-(ROW('CONTROL MASTER'!#REF!)-1)))+((6-INDEX('CONTROL MASTER'!$Z$2:$Z$495,(SUMPRODUCT((('CONTROL MASTER'!$S$2:$S$495=3)*('CONTROL MASTER'!$Z$2:$Z$495&lt;=6)*('CONTROL MASTER'!$AB$2:$AB$495&gt;=6)*('CONTROL MASTER'!$AA$2:$AA$495&lt;=7)*('CONTROL MASTER'!$AC$2:$AC$495&gt;=7))*ROW('CONTROL MASTER'!$S$2:$S$495))-(ROW('CONTROL MASTER'!#REF!)-1))))*(INDEX('CONTROL MASTER'!$AC$2:$AC$495,(SUMPRODUCT((('CONTROL MASTER'!$S$2:$S$495=3)*('CONTROL MASTER'!$Z$2:$Z$495&lt;=6)*('CONTROL MASTER'!$AB$2:$AB$495&gt;=6)*('CONTROL MASTER'!$AA$2:$AA$495&lt;=7)*('CONTROL MASTER'!$AC$2:$AC$495&gt;=7))*ROW('CONTROL MASTER'!$S$2:$S$495))-(ROW('CONTROL MASTER'!#REF!)-1)))-INDEX('CONTROL MASTER'!$AA$2:$AA$495,(SUMPRODUCT((('CONTROL MASTER'!$S$2:$S$495=3)*('CONTROL MASTER'!$Z$2:$Z$495&lt;=6)*('CONTROL MASTER'!$AB$2:$AB$495&gt;=6)*('CONTROL MASTER'!$AA$2:$AA$495&lt;=7)*('CONTROL MASTER'!$AC$2:$AC$495&gt;=7))*ROW('CONTROL MASTER'!$S$2:$S$495))-(ROW('CONTROL MASTER'!#REF!)-1)))+1)+(7-INDEX('CONTROL MASTER'!$AA$2:$AA$495,(SUMPRODUCT((('CONTROL MASTER'!$S$2:$S$495=3)*('CONTROL MASTER'!$Z$2:$Z$495&lt;=6)*('CONTROL MASTER'!$AB$2:$AB$495&gt;=6)*('CONTROL MASTER'!$AA$2:$AA$495&lt;=7)*('CONTROL MASTER'!$AC$2:$AC$495&gt;=7))*ROW('CONTROL MASTER'!$S$2:$S$495))-(ROW('CONTROL MASTER'!#REF!)-1))))+1)))-1)*50+1,50))&amp;"_"&amp;INDEX('CONTROL MASTER'!$P$2:$P$495,(SUMPRODUCT((('CONTROL MASTER'!$S$2:$S$495=3)*('CONTROL MASTER'!$Z$2:$Z$495&lt;=6)*('CONTROL MASTER'!$AB$2:$AB$495&gt;=6)*('CONTROL MASTER'!$AA$2:$AA$495&lt;=7)*('CONTROL MASTER'!$AC$2:$AC$495&gt;=7))*ROW('CONTROL MASTER'!$S$2:$S$495))-(ROW('CONTROL MASTER'!#REF!)-1))),"")),"")</f>
        <v/>
      </c>
      <c r="I36" s="10" t="str">
        <f>IFERROR(IF(SUMPRODUCT((('CONTROL MASTER'!$S$2:$S$495=3)*('CONTROL MASTER'!$T$2:$T$495&lt;=6)*('CONTROL MASTER'!$V$2:$V$495&gt;=6)*('CONTROL MASTER'!$U$2:$U$495&lt;=8)*('CONTROL MASTER'!$W$2:$W$495&gt;=8))*ROW('CONTROL MASTER'!$S$2:$S$495))&gt;0,INDEX('CONTROL MASTER'!$X$2:$X$495,(SUMPRODUCT((('CONTROL MASTER'!$S$2:$S$495=3)*('CONTROL MASTER'!$T$2:$T$495&lt;=6)*('CONTROL MASTER'!$V$2:$V$495&gt;=6)*('CONTROL MASTER'!$U$2:$U$495&lt;=8)*('CONTROL MASTER'!$W$2:$W$495&gt;=8))*ROW('CONTROL MASTER'!$S$2:$S$495))-(ROW('CONTROL MASTER'!#REF!)-1)))&amp;TRIM(MID(SUBSTITUTE(SUBSTITUTE(INDEX('CONTROL MASTER'!$N$2:$N$495,(SUMPRODUCT((('CONTROL MASTER'!$S$2:$S$495=3)*('CONTROL MASTER'!$T$2:$T$495&lt;=6)*('CONTROL MASTER'!$V$2:$V$495&gt;=6)*('CONTROL MASTER'!$U$2:$U$495&lt;=8)*('CONTROL MASTER'!$W$2:$W$495&gt;=8))*ROW('CONTROL MASTER'!$S$2:$S$495))-(ROW('CONTROL MASTER'!#REF!)-1))),":",","),",",REPT(" ",50)),((((6-INDEX('CONTROL MASTER'!$T$2:$T$495,(SUMPRODUCT((('CONTROL MASTER'!$S$2:$S$495=3)*('CONTROL MASTER'!$T$2:$T$495&lt;=6)*('CONTROL MASTER'!$V$2:$V$495&gt;=6)*('CONTROL MASTER'!$U$2:$U$495&lt;=8)*('CONTROL MASTER'!$W$2:$W$495&gt;=8))*ROW('CONTROL MASTER'!$S$2:$S$495))-(ROW('CONTROL MASTER'!#REF!)-1))))*(INDEX('CONTROL MASTER'!$W$2:$W$495,(SUMPRODUCT((('CONTROL MASTER'!$S$2:$S$495=3)*('CONTROL MASTER'!$T$2:$T$495&lt;=6)*('CONTROL MASTER'!$V$2:$V$495&gt;=6)*('CONTROL MASTER'!$U$2:$U$495&lt;=8)*('CONTROL MASTER'!$W$2:$W$495&gt;=8))*ROW('CONTROL MASTER'!$S$2:$S$495))-(ROW('CONTROL MASTER'!#REF!)-1)))-INDEX('CONTROL MASTER'!$U$2:$U$495,(SUMPRODUCT((('CONTROL MASTER'!$S$2:$S$495=3)*('CONTROL MASTER'!$T$2:$T$495&lt;=6)*('CONTROL MASTER'!$V$2:$V$495&gt;=6)*('CONTROL MASTER'!$U$2:$U$495&lt;=8)*('CONTROL MASTER'!$W$2:$W$495&gt;=8))*ROW('CONTROL MASTER'!$S$2:$S$495))-(ROW('CONTROL MASTER'!#REF!)-1)))+1)+(8-INDEX('CONTROL MASTER'!$U$2:$U$495,(SUMPRODUCT((('CONTROL MASTER'!$S$2:$S$495=3)*('CONTROL MASTER'!$T$2:$T$495&lt;=6)*('CONTROL MASTER'!$V$2:$V$495&gt;=6)*('CONTROL MASTER'!$U$2:$U$495&lt;=8)*('CONTROL MASTER'!$W$2:$W$495&gt;=8))*ROW('CONTROL MASTER'!$S$2:$S$495))-(ROW('CONTROL MASTER'!#REF!)-1))))+1))-1)*50+1,50))&amp;"_"&amp;INDEX('CONTROL MASTER'!$P$2:$P$495,(SUMPRODUCT((('CONTROL MASTER'!$S$2:$S$495=3)*('CONTROL MASTER'!$T$2:$T$495&lt;=6)*('CONTROL MASTER'!$V$2:$V$495&gt;=6)*('CONTROL MASTER'!$U$2:$U$495&lt;=8)*('CONTROL MASTER'!$W$2:$W$495&gt;=8))*ROW('CONTROL MASTER'!$S$2:$S$495))-(ROW('CONTROL MASTER'!#REF!)-1))),IF(SUMPRODUCT((('CONTROL MASTER'!$S$2:$S$495=3)*('CONTROL MASTER'!$Z$2:$Z$495&lt;=6)*('CONTROL MASTER'!$AB$2:$AB$495&gt;=6)*('CONTROL MASTER'!$AA$2:$AA$495&lt;=8)*('CONTROL MASTER'!$AC$2:$AC$495&gt;=8))*ROW('CONTROL MASTER'!$S$2:$S$495))&gt;0,INDEX('CONTROL MASTER'!$X$2:$X$495,(SUMPRODUCT((('CONTROL MASTER'!$S$2:$S$495=3)*('CONTROL MASTER'!$Z$2:$Z$495&lt;=6)*('CONTROL MASTER'!$AB$2:$AB$495&gt;=6)*('CONTROL MASTER'!$AA$2:$AA$495&lt;=8)*('CONTROL MASTER'!$AC$2:$AC$495&gt;=8))*ROW('CONTROL MASTER'!$S$2:$S$495))-(ROW('CONTROL MASTER'!#REF!)-1)))&amp;TRIM(MID(SUBSTITUTE(SUBSTITUTE(INDEX('CONTROL MASTER'!$N$2:$N$495,(SUMPRODUCT((('CONTROL MASTER'!$S$2:$S$495=3)*('CONTROL MASTER'!$Z$2:$Z$495&lt;=6)*('CONTROL MASTER'!$AB$2:$AB$495&gt;=6)*('CONTROL MASTER'!$AA$2:$AA$495&lt;=8)*('CONTROL MASTER'!$AC$2:$AC$495&gt;=8))*ROW('CONTROL MASTER'!$S$2:$S$495))-(ROW('CONTROL MASTER'!#REF!)-1))),":",","),",",REPT(" ",50)),(((INDEX('CONTROL MASTER'!$Y$2:$Y$495,(SUMPRODUCT((('CONTROL MASTER'!$S$2:$S$495=3)*('CONTROL MASTER'!$Z$2:$Z$495&lt;=6)*('CONTROL MASTER'!$AB$2:$AB$495&gt;=6)*('CONTROL MASTER'!$AA$2:$AA$495&lt;=8)*('CONTROL MASTER'!$AC$2:$AC$495&gt;=8))*ROW('CONTROL MASTER'!$S$2:$S$495))-(ROW('CONTROL MASTER'!#REF!)-1)))+((6-INDEX('CONTROL MASTER'!$Z$2:$Z$495,(SUMPRODUCT((('CONTROL MASTER'!$S$2:$S$495=3)*('CONTROL MASTER'!$Z$2:$Z$495&lt;=6)*('CONTROL MASTER'!$AB$2:$AB$495&gt;=6)*('CONTROL MASTER'!$AA$2:$AA$495&lt;=8)*('CONTROL MASTER'!$AC$2:$AC$495&gt;=8))*ROW('CONTROL MASTER'!$S$2:$S$495))-(ROW('CONTROL MASTER'!#REF!)-1))))*(INDEX('CONTROL MASTER'!$AC$2:$AC$495,(SUMPRODUCT((('CONTROL MASTER'!$S$2:$S$495=3)*('CONTROL MASTER'!$Z$2:$Z$495&lt;=6)*('CONTROL MASTER'!$AB$2:$AB$495&gt;=6)*('CONTROL MASTER'!$AA$2:$AA$495&lt;=8)*('CONTROL MASTER'!$AC$2:$AC$495&gt;=8))*ROW('CONTROL MASTER'!$S$2:$S$495))-(ROW('CONTROL MASTER'!#REF!)-1)))-INDEX('CONTROL MASTER'!$AA$2:$AA$495,(SUMPRODUCT((('CONTROL MASTER'!$S$2:$S$495=3)*('CONTROL MASTER'!$Z$2:$Z$495&lt;=6)*('CONTROL MASTER'!$AB$2:$AB$495&gt;=6)*('CONTROL MASTER'!$AA$2:$AA$495&lt;=8)*('CONTROL MASTER'!$AC$2:$AC$495&gt;=8))*ROW('CONTROL MASTER'!$S$2:$S$495))-(ROW('CONTROL MASTER'!#REF!)-1)))+1)+(8-INDEX('CONTROL MASTER'!$AA$2:$AA$495,(SUMPRODUCT((('CONTROL MASTER'!$S$2:$S$495=3)*('CONTROL MASTER'!$Z$2:$Z$495&lt;=6)*('CONTROL MASTER'!$AB$2:$AB$495&gt;=6)*('CONTROL MASTER'!$AA$2:$AA$495&lt;=8)*('CONTROL MASTER'!$AC$2:$AC$495&gt;=8))*ROW('CONTROL MASTER'!$S$2:$S$495))-(ROW('CONTROL MASTER'!#REF!)-1))))+1)))-1)*50+1,50))&amp;"_"&amp;INDEX('CONTROL MASTER'!$P$2:$P$495,(SUMPRODUCT((('CONTROL MASTER'!$S$2:$S$495=3)*('CONTROL MASTER'!$Z$2:$Z$495&lt;=6)*('CONTROL MASTER'!$AB$2:$AB$495&gt;=6)*('CONTROL MASTER'!$AA$2:$AA$495&lt;=8)*('CONTROL MASTER'!$AC$2:$AC$495&gt;=8))*ROW('CONTROL MASTER'!$S$2:$S$495))-(ROW('CONTROL MASTER'!#REF!)-1))),"")),"")</f>
        <v/>
      </c>
      <c r="J36" s="10" t="str">
        <f>IFERROR(IF(SUMPRODUCT((('CONTROL MASTER'!$S$2:$S$495=3)*('CONTROL MASTER'!$T$2:$T$495&lt;=6)*('CONTROL MASTER'!$V$2:$V$495&gt;=6)*('CONTROL MASTER'!$U$2:$U$495&lt;=9)*('CONTROL MASTER'!$W$2:$W$495&gt;=9))*ROW('CONTROL MASTER'!$S$2:$S$495))&gt;0,INDEX('CONTROL MASTER'!$X$2:$X$495,(SUMPRODUCT((('CONTROL MASTER'!$S$2:$S$495=3)*('CONTROL MASTER'!$T$2:$T$495&lt;=6)*('CONTROL MASTER'!$V$2:$V$495&gt;=6)*('CONTROL MASTER'!$U$2:$U$495&lt;=9)*('CONTROL MASTER'!$W$2:$W$495&gt;=9))*ROW('CONTROL MASTER'!$S$2:$S$495))-(ROW('CONTROL MASTER'!#REF!)-1)))&amp;TRIM(MID(SUBSTITUTE(SUBSTITUTE(INDEX('CONTROL MASTER'!$N$2:$N$495,(SUMPRODUCT((('CONTROL MASTER'!$S$2:$S$495=3)*('CONTROL MASTER'!$T$2:$T$495&lt;=6)*('CONTROL MASTER'!$V$2:$V$495&gt;=6)*('CONTROL MASTER'!$U$2:$U$495&lt;=9)*('CONTROL MASTER'!$W$2:$W$495&gt;=9))*ROW('CONTROL MASTER'!$S$2:$S$495))-(ROW('CONTROL MASTER'!#REF!)-1))),":",","),",",REPT(" ",50)),((((6-INDEX('CONTROL MASTER'!$T$2:$T$495,(SUMPRODUCT((('CONTROL MASTER'!$S$2:$S$495=3)*('CONTROL MASTER'!$T$2:$T$495&lt;=6)*('CONTROL MASTER'!$V$2:$V$495&gt;=6)*('CONTROL MASTER'!$U$2:$U$495&lt;=9)*('CONTROL MASTER'!$W$2:$W$495&gt;=9))*ROW('CONTROL MASTER'!$S$2:$S$495))-(ROW('CONTROL MASTER'!#REF!)-1))))*(INDEX('CONTROL MASTER'!$W$2:$W$495,(SUMPRODUCT((('CONTROL MASTER'!$S$2:$S$495=3)*('CONTROL MASTER'!$T$2:$T$495&lt;=6)*('CONTROL MASTER'!$V$2:$V$495&gt;=6)*('CONTROL MASTER'!$U$2:$U$495&lt;=9)*('CONTROL MASTER'!$W$2:$W$495&gt;=9))*ROW('CONTROL MASTER'!$S$2:$S$495))-(ROW('CONTROL MASTER'!#REF!)-1)))-INDEX('CONTROL MASTER'!$U$2:$U$495,(SUMPRODUCT((('CONTROL MASTER'!$S$2:$S$495=3)*('CONTROL MASTER'!$T$2:$T$495&lt;=6)*('CONTROL MASTER'!$V$2:$V$495&gt;=6)*('CONTROL MASTER'!$U$2:$U$495&lt;=9)*('CONTROL MASTER'!$W$2:$W$495&gt;=9))*ROW('CONTROL MASTER'!$S$2:$S$495))-(ROW('CONTROL MASTER'!#REF!)-1)))+1)+(9-INDEX('CONTROL MASTER'!$U$2:$U$495,(SUMPRODUCT((('CONTROL MASTER'!$S$2:$S$495=3)*('CONTROL MASTER'!$T$2:$T$495&lt;=6)*('CONTROL MASTER'!$V$2:$V$495&gt;=6)*('CONTROL MASTER'!$U$2:$U$495&lt;=9)*('CONTROL MASTER'!$W$2:$W$495&gt;=9))*ROW('CONTROL MASTER'!$S$2:$S$495))-(ROW('CONTROL MASTER'!#REF!)-1))))+1))-1)*50+1,50))&amp;"_"&amp;INDEX('CONTROL MASTER'!$P$2:$P$495,(SUMPRODUCT((('CONTROL MASTER'!$S$2:$S$495=3)*('CONTROL MASTER'!$T$2:$T$495&lt;=6)*('CONTROL MASTER'!$V$2:$V$495&gt;=6)*('CONTROL MASTER'!$U$2:$U$495&lt;=9)*('CONTROL MASTER'!$W$2:$W$495&gt;=9))*ROW('CONTROL MASTER'!$S$2:$S$495))-(ROW('CONTROL MASTER'!#REF!)-1))),IF(SUMPRODUCT((('CONTROL MASTER'!$S$2:$S$495=3)*('CONTROL MASTER'!$Z$2:$Z$495&lt;=6)*('CONTROL MASTER'!$AB$2:$AB$495&gt;=6)*('CONTROL MASTER'!$AA$2:$AA$495&lt;=9)*('CONTROL MASTER'!$AC$2:$AC$495&gt;=9))*ROW('CONTROL MASTER'!$S$2:$S$495))&gt;0,INDEX('CONTROL MASTER'!$X$2:$X$495,(SUMPRODUCT((('CONTROL MASTER'!$S$2:$S$495=3)*('CONTROL MASTER'!$Z$2:$Z$495&lt;=6)*('CONTROL MASTER'!$AB$2:$AB$495&gt;=6)*('CONTROL MASTER'!$AA$2:$AA$495&lt;=9)*('CONTROL MASTER'!$AC$2:$AC$495&gt;=9))*ROW('CONTROL MASTER'!$S$2:$S$495))-(ROW('CONTROL MASTER'!#REF!)-1)))&amp;TRIM(MID(SUBSTITUTE(SUBSTITUTE(INDEX('CONTROL MASTER'!$N$2:$N$495,(SUMPRODUCT((('CONTROL MASTER'!$S$2:$S$495=3)*('CONTROL MASTER'!$Z$2:$Z$495&lt;=6)*('CONTROL MASTER'!$AB$2:$AB$495&gt;=6)*('CONTROL MASTER'!$AA$2:$AA$495&lt;=9)*('CONTROL MASTER'!$AC$2:$AC$495&gt;=9))*ROW('CONTROL MASTER'!$S$2:$S$495))-(ROW('CONTROL MASTER'!#REF!)-1))),":",","),",",REPT(" ",50)),(((INDEX('CONTROL MASTER'!$Y$2:$Y$495,(SUMPRODUCT((('CONTROL MASTER'!$S$2:$S$495=3)*('CONTROL MASTER'!$Z$2:$Z$495&lt;=6)*('CONTROL MASTER'!$AB$2:$AB$495&gt;=6)*('CONTROL MASTER'!$AA$2:$AA$495&lt;=9)*('CONTROL MASTER'!$AC$2:$AC$495&gt;=9))*ROW('CONTROL MASTER'!$S$2:$S$495))-(ROW('CONTROL MASTER'!#REF!)-1)))+((6-INDEX('CONTROL MASTER'!$Z$2:$Z$495,(SUMPRODUCT((('CONTROL MASTER'!$S$2:$S$495=3)*('CONTROL MASTER'!$Z$2:$Z$495&lt;=6)*('CONTROL MASTER'!$AB$2:$AB$495&gt;=6)*('CONTROL MASTER'!$AA$2:$AA$495&lt;=9)*('CONTROL MASTER'!$AC$2:$AC$495&gt;=9))*ROW('CONTROL MASTER'!$S$2:$S$495))-(ROW('CONTROL MASTER'!#REF!)-1))))*(INDEX('CONTROL MASTER'!$AC$2:$AC$495,(SUMPRODUCT((('CONTROL MASTER'!$S$2:$S$495=3)*('CONTROL MASTER'!$Z$2:$Z$495&lt;=6)*('CONTROL MASTER'!$AB$2:$AB$495&gt;=6)*('CONTROL MASTER'!$AA$2:$AA$495&lt;=9)*('CONTROL MASTER'!$AC$2:$AC$495&gt;=9))*ROW('CONTROL MASTER'!$S$2:$S$495))-(ROW('CONTROL MASTER'!#REF!)-1)))-INDEX('CONTROL MASTER'!$AA$2:$AA$495,(SUMPRODUCT((('CONTROL MASTER'!$S$2:$S$495=3)*('CONTROL MASTER'!$Z$2:$Z$495&lt;=6)*('CONTROL MASTER'!$AB$2:$AB$495&gt;=6)*('CONTROL MASTER'!$AA$2:$AA$495&lt;=9)*('CONTROL MASTER'!$AC$2:$AC$495&gt;=9))*ROW('CONTROL MASTER'!$S$2:$S$495))-(ROW('CONTROL MASTER'!#REF!)-1)))+1)+(9-INDEX('CONTROL MASTER'!$AA$2:$AA$495,(SUMPRODUCT((('CONTROL MASTER'!$S$2:$S$495=3)*('CONTROL MASTER'!$Z$2:$Z$495&lt;=6)*('CONTROL MASTER'!$AB$2:$AB$495&gt;=6)*('CONTROL MASTER'!$AA$2:$AA$495&lt;=9)*('CONTROL MASTER'!$AC$2:$AC$495&gt;=9))*ROW('CONTROL MASTER'!$S$2:$S$495))-(ROW('CONTROL MASTER'!#REF!)-1))))+1)))-1)*50+1,50))&amp;"_"&amp;INDEX('CONTROL MASTER'!$P$2:$P$495,(SUMPRODUCT((('CONTROL MASTER'!$S$2:$S$495=3)*('CONTROL MASTER'!$Z$2:$Z$495&lt;=6)*('CONTROL MASTER'!$AB$2:$AB$495&gt;=6)*('CONTROL MASTER'!$AA$2:$AA$495&lt;=9)*('CONTROL MASTER'!$AC$2:$AC$495&gt;=9))*ROW('CONTROL MASTER'!$S$2:$S$495))-(ROW('CONTROL MASTER'!#REF!)-1))),"")),"")</f>
        <v/>
      </c>
      <c r="K36" s="10" t="str">
        <f>IFERROR(IF(SUMPRODUCT((('CONTROL MASTER'!$S$2:$S$495=3)*('CONTROL MASTER'!$T$2:$T$495&lt;=6)*('CONTROL MASTER'!$V$2:$V$495&gt;=6)*('CONTROL MASTER'!$U$2:$U$495&lt;=10)*('CONTROL MASTER'!$W$2:$W$495&gt;=10))*ROW('CONTROL MASTER'!$S$2:$S$495))&gt;0,INDEX('CONTROL MASTER'!$X$2:$X$495,(SUMPRODUCT((('CONTROL MASTER'!$S$2:$S$495=3)*('CONTROL MASTER'!$T$2:$T$495&lt;=6)*('CONTROL MASTER'!$V$2:$V$495&gt;=6)*('CONTROL MASTER'!$U$2:$U$495&lt;=10)*('CONTROL MASTER'!$W$2:$W$495&gt;=10))*ROW('CONTROL MASTER'!$S$2:$S$495))-(ROW('CONTROL MASTER'!#REF!)-1)))&amp;TRIM(MID(SUBSTITUTE(SUBSTITUTE(INDEX('CONTROL MASTER'!$N$2:$N$495,(SUMPRODUCT((('CONTROL MASTER'!$S$2:$S$495=3)*('CONTROL MASTER'!$T$2:$T$495&lt;=6)*('CONTROL MASTER'!$V$2:$V$495&gt;=6)*('CONTROL MASTER'!$U$2:$U$495&lt;=10)*('CONTROL MASTER'!$W$2:$W$495&gt;=10))*ROW('CONTROL MASTER'!$S$2:$S$495))-(ROW('CONTROL MASTER'!#REF!)-1))),":",","),",",REPT(" ",50)),((((6-INDEX('CONTROL MASTER'!$T$2:$T$495,(SUMPRODUCT((('CONTROL MASTER'!$S$2:$S$495=3)*('CONTROL MASTER'!$T$2:$T$495&lt;=6)*('CONTROL MASTER'!$V$2:$V$495&gt;=6)*('CONTROL MASTER'!$U$2:$U$495&lt;=10)*('CONTROL MASTER'!$W$2:$W$495&gt;=10))*ROW('CONTROL MASTER'!$S$2:$S$495))-(ROW('CONTROL MASTER'!#REF!)-1))))*(INDEX('CONTROL MASTER'!$W$2:$W$495,(SUMPRODUCT((('CONTROL MASTER'!$S$2:$S$495=3)*('CONTROL MASTER'!$T$2:$T$495&lt;=6)*('CONTROL MASTER'!$V$2:$V$495&gt;=6)*('CONTROL MASTER'!$U$2:$U$495&lt;=10)*('CONTROL MASTER'!$W$2:$W$495&gt;=10))*ROW('CONTROL MASTER'!$S$2:$S$495))-(ROW('CONTROL MASTER'!#REF!)-1)))-INDEX('CONTROL MASTER'!$U$2:$U$495,(SUMPRODUCT((('CONTROL MASTER'!$S$2:$S$495=3)*('CONTROL MASTER'!$T$2:$T$495&lt;=6)*('CONTROL MASTER'!$V$2:$V$495&gt;=6)*('CONTROL MASTER'!$U$2:$U$495&lt;=10)*('CONTROL MASTER'!$W$2:$W$495&gt;=10))*ROW('CONTROL MASTER'!$S$2:$S$495))-(ROW('CONTROL MASTER'!#REF!)-1)))+1)+(10-INDEX('CONTROL MASTER'!$U$2:$U$495,(SUMPRODUCT((('CONTROL MASTER'!$S$2:$S$495=3)*('CONTROL MASTER'!$T$2:$T$495&lt;=6)*('CONTROL MASTER'!$V$2:$V$495&gt;=6)*('CONTROL MASTER'!$U$2:$U$495&lt;=10)*('CONTROL MASTER'!$W$2:$W$495&gt;=10))*ROW('CONTROL MASTER'!$S$2:$S$495))-(ROW('CONTROL MASTER'!#REF!)-1))))+1))-1)*50+1,50))&amp;"_"&amp;INDEX('CONTROL MASTER'!$P$2:$P$495,(SUMPRODUCT((('CONTROL MASTER'!$S$2:$S$495=3)*('CONTROL MASTER'!$T$2:$T$495&lt;=6)*('CONTROL MASTER'!$V$2:$V$495&gt;=6)*('CONTROL MASTER'!$U$2:$U$495&lt;=10)*('CONTROL MASTER'!$W$2:$W$495&gt;=10))*ROW('CONTROL MASTER'!$S$2:$S$495))-(ROW('CONTROL MASTER'!#REF!)-1))),IF(SUMPRODUCT((('CONTROL MASTER'!$S$2:$S$495=3)*('CONTROL MASTER'!$Z$2:$Z$495&lt;=6)*('CONTROL MASTER'!$AB$2:$AB$495&gt;=6)*('CONTROL MASTER'!$AA$2:$AA$495&lt;=10)*('CONTROL MASTER'!$AC$2:$AC$495&gt;=10))*ROW('CONTROL MASTER'!$S$2:$S$495))&gt;0,INDEX('CONTROL MASTER'!$X$2:$X$495,(SUMPRODUCT((('CONTROL MASTER'!$S$2:$S$495=3)*('CONTROL MASTER'!$Z$2:$Z$495&lt;=6)*('CONTROL MASTER'!$AB$2:$AB$495&gt;=6)*('CONTROL MASTER'!$AA$2:$AA$495&lt;=10)*('CONTROL MASTER'!$AC$2:$AC$495&gt;=10))*ROW('CONTROL MASTER'!$S$2:$S$495))-(ROW('CONTROL MASTER'!#REF!)-1)))&amp;TRIM(MID(SUBSTITUTE(SUBSTITUTE(INDEX('CONTROL MASTER'!$N$2:$N$495,(SUMPRODUCT((('CONTROL MASTER'!$S$2:$S$495=3)*('CONTROL MASTER'!$Z$2:$Z$495&lt;=6)*('CONTROL MASTER'!$AB$2:$AB$495&gt;=6)*('CONTROL MASTER'!$AA$2:$AA$495&lt;=10)*('CONTROL MASTER'!$AC$2:$AC$495&gt;=10))*ROW('CONTROL MASTER'!$S$2:$S$495))-(ROW('CONTROL MASTER'!#REF!)-1))),":",","),",",REPT(" ",50)),(((INDEX('CONTROL MASTER'!$Y$2:$Y$495,(SUMPRODUCT((('CONTROL MASTER'!$S$2:$S$495=3)*('CONTROL MASTER'!$Z$2:$Z$495&lt;=6)*('CONTROL MASTER'!$AB$2:$AB$495&gt;=6)*('CONTROL MASTER'!$AA$2:$AA$495&lt;=10)*('CONTROL MASTER'!$AC$2:$AC$495&gt;=10))*ROW('CONTROL MASTER'!$S$2:$S$495))-(ROW('CONTROL MASTER'!#REF!)-1)))+((6-INDEX('CONTROL MASTER'!$Z$2:$Z$495,(SUMPRODUCT((('CONTROL MASTER'!$S$2:$S$495=3)*('CONTROL MASTER'!$Z$2:$Z$495&lt;=6)*('CONTROL MASTER'!$AB$2:$AB$495&gt;=6)*('CONTROL MASTER'!$AA$2:$AA$495&lt;=10)*('CONTROL MASTER'!$AC$2:$AC$495&gt;=10))*ROW('CONTROL MASTER'!$S$2:$S$495))-(ROW('CONTROL MASTER'!#REF!)-1))))*(INDEX('CONTROL MASTER'!$AC$2:$AC$495,(SUMPRODUCT((('CONTROL MASTER'!$S$2:$S$495=3)*('CONTROL MASTER'!$Z$2:$Z$495&lt;=6)*('CONTROL MASTER'!$AB$2:$AB$495&gt;=6)*('CONTROL MASTER'!$AA$2:$AA$495&lt;=10)*('CONTROL MASTER'!$AC$2:$AC$495&gt;=10))*ROW('CONTROL MASTER'!$S$2:$S$495))-(ROW('CONTROL MASTER'!#REF!)-1)))-INDEX('CONTROL MASTER'!$AA$2:$AA$495,(SUMPRODUCT((('CONTROL MASTER'!$S$2:$S$495=3)*('CONTROL MASTER'!$Z$2:$Z$495&lt;=6)*('CONTROL MASTER'!$AB$2:$AB$495&gt;=6)*('CONTROL MASTER'!$AA$2:$AA$495&lt;=10)*('CONTROL MASTER'!$AC$2:$AC$495&gt;=10))*ROW('CONTROL MASTER'!$S$2:$S$495))-(ROW('CONTROL MASTER'!#REF!)-1)))+1)+(10-INDEX('CONTROL MASTER'!$AA$2:$AA$495,(SUMPRODUCT((('CONTROL MASTER'!$S$2:$S$495=3)*('CONTROL MASTER'!$Z$2:$Z$495&lt;=6)*('CONTROL MASTER'!$AB$2:$AB$495&gt;=6)*('CONTROL MASTER'!$AA$2:$AA$495&lt;=10)*('CONTROL MASTER'!$AC$2:$AC$495&gt;=10))*ROW('CONTROL MASTER'!$S$2:$S$495))-(ROW('CONTROL MASTER'!#REF!)-1))))+1)))-1)*50+1,50))&amp;"_"&amp;INDEX('CONTROL MASTER'!$P$2:$P$495,(SUMPRODUCT((('CONTROL MASTER'!$S$2:$S$495=3)*('CONTROL MASTER'!$Z$2:$Z$495&lt;=6)*('CONTROL MASTER'!$AB$2:$AB$495&gt;=6)*('CONTROL MASTER'!$AA$2:$AA$495&lt;=10)*('CONTROL MASTER'!$AC$2:$AC$495&gt;=10))*ROW('CONTROL MASTER'!$S$2:$S$495))-(ROW('CONTROL MASTER'!#REF!)-1))),"")),"")</f>
        <v/>
      </c>
    </row>
    <row r="37" spans="1:11" ht="15" customHeight="1" x14ac:dyDescent="0.35">
      <c r="A37" s="8" t="s">
        <v>34</v>
      </c>
      <c r="B37" s="10" t="str">
        <f>IFERROR(IF(SUMPRODUCT((('CONTROL MASTER'!$S$2:$S$495=3)*('CONTROL MASTER'!$T$2:$T$495&lt;=7)*('CONTROL MASTER'!$V$2:$V$495&gt;=7)*('CONTROL MASTER'!$U$2:$U$495&lt;=1)*('CONTROL MASTER'!$W$2:$W$495&gt;=1))*ROW('CONTROL MASTER'!$S$2:$S$495))&gt;0,INDEX('CONTROL MASTER'!$X$2:$X$495,(SUMPRODUCT((('CONTROL MASTER'!$S$2:$S$495=3)*('CONTROL MASTER'!$T$2:$T$495&lt;=7)*('CONTROL MASTER'!$V$2:$V$495&gt;=7)*('CONTROL MASTER'!$U$2:$U$495&lt;=1)*('CONTROL MASTER'!$W$2:$W$495&gt;=1))*ROW('CONTROL MASTER'!$S$2:$S$495))-(ROW('CONTROL MASTER'!#REF!)-1)))&amp;TRIM(MID(SUBSTITUTE(SUBSTITUTE(INDEX('CONTROL MASTER'!$N$2:$N$495,(SUMPRODUCT((('CONTROL MASTER'!$S$2:$S$495=3)*('CONTROL MASTER'!$T$2:$T$495&lt;=7)*('CONTROL MASTER'!$V$2:$V$495&gt;=7)*('CONTROL MASTER'!$U$2:$U$495&lt;=1)*('CONTROL MASTER'!$W$2:$W$495&gt;=1))*ROW('CONTROL MASTER'!$S$2:$S$495))-(ROW('CONTROL MASTER'!#REF!)-1))),":",","),",",REPT(" ",50)),((((7-INDEX('CONTROL MASTER'!$T$2:$T$495,(SUMPRODUCT((('CONTROL MASTER'!$S$2:$S$495=3)*('CONTROL MASTER'!$T$2:$T$495&lt;=7)*('CONTROL MASTER'!$V$2:$V$495&gt;=7)*('CONTROL MASTER'!$U$2:$U$495&lt;=1)*('CONTROL MASTER'!$W$2:$W$495&gt;=1))*ROW('CONTROL MASTER'!$S$2:$S$495))-(ROW('CONTROL MASTER'!#REF!)-1))))*(INDEX('CONTROL MASTER'!$W$2:$W$495,(SUMPRODUCT((('CONTROL MASTER'!$S$2:$S$495=3)*('CONTROL MASTER'!$T$2:$T$495&lt;=7)*('CONTROL MASTER'!$V$2:$V$495&gt;=7)*('CONTROL MASTER'!$U$2:$U$495&lt;=1)*('CONTROL MASTER'!$W$2:$W$495&gt;=1))*ROW('CONTROL MASTER'!$S$2:$S$495))-(ROW('CONTROL MASTER'!#REF!)-1)))-INDEX('CONTROL MASTER'!$U$2:$U$495,(SUMPRODUCT((('CONTROL MASTER'!$S$2:$S$495=3)*('CONTROL MASTER'!$T$2:$T$495&lt;=7)*('CONTROL MASTER'!$V$2:$V$495&gt;=7)*('CONTROL MASTER'!$U$2:$U$495&lt;=1)*('CONTROL MASTER'!$W$2:$W$495&gt;=1))*ROW('CONTROL MASTER'!$S$2:$S$495))-(ROW('CONTROL MASTER'!#REF!)-1)))+1)+(1-INDEX('CONTROL MASTER'!$U$2:$U$495,(SUMPRODUCT((('CONTROL MASTER'!$S$2:$S$495=3)*('CONTROL MASTER'!$T$2:$T$495&lt;=7)*('CONTROL MASTER'!$V$2:$V$495&gt;=7)*('CONTROL MASTER'!$U$2:$U$495&lt;=1)*('CONTROL MASTER'!$W$2:$W$495&gt;=1))*ROW('CONTROL MASTER'!$S$2:$S$495))-(ROW('CONTROL MASTER'!#REF!)-1))))+1))-1)*50+1,50))&amp;"_"&amp;INDEX('CONTROL MASTER'!$P$2:$P$495,(SUMPRODUCT((('CONTROL MASTER'!$S$2:$S$495=3)*('CONTROL MASTER'!$T$2:$T$495&lt;=7)*('CONTROL MASTER'!$V$2:$V$495&gt;=7)*('CONTROL MASTER'!$U$2:$U$495&lt;=1)*('CONTROL MASTER'!$W$2:$W$495&gt;=1))*ROW('CONTROL MASTER'!$S$2:$S$495))-(ROW('CONTROL MASTER'!#REF!)-1))),IF(SUMPRODUCT((('CONTROL MASTER'!$S$2:$S$495=3)*('CONTROL MASTER'!$Z$2:$Z$495&lt;=7)*('CONTROL MASTER'!$AB$2:$AB$495&gt;=7)*('CONTROL MASTER'!$AA$2:$AA$495&lt;=1)*('CONTROL MASTER'!$AC$2:$AC$495&gt;=1))*ROW('CONTROL MASTER'!$S$2:$S$495))&gt;0,INDEX('CONTROL MASTER'!$X$2:$X$495,(SUMPRODUCT((('CONTROL MASTER'!$S$2:$S$495=3)*('CONTROL MASTER'!$Z$2:$Z$495&lt;=7)*('CONTROL MASTER'!$AB$2:$AB$495&gt;=7)*('CONTROL MASTER'!$AA$2:$AA$495&lt;=1)*('CONTROL MASTER'!$AC$2:$AC$495&gt;=1))*ROW('CONTROL MASTER'!$S$2:$S$495))-(ROW('CONTROL MASTER'!#REF!)-1)))&amp;TRIM(MID(SUBSTITUTE(SUBSTITUTE(INDEX('CONTROL MASTER'!$N$2:$N$495,(SUMPRODUCT((('CONTROL MASTER'!$S$2:$S$495=3)*('CONTROL MASTER'!$Z$2:$Z$495&lt;=7)*('CONTROL MASTER'!$AB$2:$AB$495&gt;=7)*('CONTROL MASTER'!$AA$2:$AA$495&lt;=1)*('CONTROL MASTER'!$AC$2:$AC$495&gt;=1))*ROW('CONTROL MASTER'!$S$2:$S$495))-(ROW('CONTROL MASTER'!#REF!)-1))),":",","),",",REPT(" ",50)),(((INDEX('CONTROL MASTER'!$Y$2:$Y$495,(SUMPRODUCT((('CONTROL MASTER'!$S$2:$S$495=3)*('CONTROL MASTER'!$Z$2:$Z$495&lt;=7)*('CONTROL MASTER'!$AB$2:$AB$495&gt;=7)*('CONTROL MASTER'!$AA$2:$AA$495&lt;=1)*('CONTROL MASTER'!$AC$2:$AC$495&gt;=1))*ROW('CONTROL MASTER'!$S$2:$S$495))-(ROW('CONTROL MASTER'!#REF!)-1)))+((7-INDEX('CONTROL MASTER'!$Z$2:$Z$495,(SUMPRODUCT((('CONTROL MASTER'!$S$2:$S$495=3)*('CONTROL MASTER'!$Z$2:$Z$495&lt;=7)*('CONTROL MASTER'!$AB$2:$AB$495&gt;=7)*('CONTROL MASTER'!$AA$2:$AA$495&lt;=1)*('CONTROL MASTER'!$AC$2:$AC$495&gt;=1))*ROW('CONTROL MASTER'!$S$2:$S$495))-(ROW('CONTROL MASTER'!#REF!)-1))))*(INDEX('CONTROL MASTER'!$AC$2:$AC$495,(SUMPRODUCT((('CONTROL MASTER'!$S$2:$S$495=3)*('CONTROL MASTER'!$Z$2:$Z$495&lt;=7)*('CONTROL MASTER'!$AB$2:$AB$495&gt;=7)*('CONTROL MASTER'!$AA$2:$AA$495&lt;=1)*('CONTROL MASTER'!$AC$2:$AC$495&gt;=1))*ROW('CONTROL MASTER'!$S$2:$S$495))-(ROW('CONTROL MASTER'!#REF!)-1)))-INDEX('CONTROL MASTER'!$AA$2:$AA$495,(SUMPRODUCT((('CONTROL MASTER'!$S$2:$S$495=3)*('CONTROL MASTER'!$Z$2:$Z$495&lt;=7)*('CONTROL MASTER'!$AB$2:$AB$495&gt;=7)*('CONTROL MASTER'!$AA$2:$AA$495&lt;=1)*('CONTROL MASTER'!$AC$2:$AC$495&gt;=1))*ROW('CONTROL MASTER'!$S$2:$S$495))-(ROW('CONTROL MASTER'!#REF!)-1)))+1)+(1-INDEX('CONTROL MASTER'!$AA$2:$AA$495,(SUMPRODUCT((('CONTROL MASTER'!$S$2:$S$495=3)*('CONTROL MASTER'!$Z$2:$Z$495&lt;=7)*('CONTROL MASTER'!$AB$2:$AB$495&gt;=7)*('CONTROL MASTER'!$AA$2:$AA$495&lt;=1)*('CONTROL MASTER'!$AC$2:$AC$495&gt;=1))*ROW('CONTROL MASTER'!$S$2:$S$495))-(ROW('CONTROL MASTER'!#REF!)-1))))+1)))-1)*50+1,50))&amp;"_"&amp;INDEX('CONTROL MASTER'!$P$2:$P$495,(SUMPRODUCT((('CONTROL MASTER'!$S$2:$S$495=3)*('CONTROL MASTER'!$Z$2:$Z$495&lt;=7)*('CONTROL MASTER'!$AB$2:$AB$495&gt;=7)*('CONTROL MASTER'!$AA$2:$AA$495&lt;=1)*('CONTROL MASTER'!$AC$2:$AC$495&gt;=1))*ROW('CONTROL MASTER'!$S$2:$S$495))-(ROW('CONTROL MASTER'!#REF!)-1))),"")),"")</f>
        <v/>
      </c>
      <c r="C37" s="10" t="str">
        <f>IFERROR(IF(SUMPRODUCT((('CONTROL MASTER'!$S$2:$S$495=3)*('CONTROL MASTER'!$T$2:$T$495&lt;=7)*('CONTROL MASTER'!$V$2:$V$495&gt;=7)*('CONTROL MASTER'!$U$2:$U$495&lt;=2)*('CONTROL MASTER'!$W$2:$W$495&gt;=2))*ROW('CONTROL MASTER'!$S$2:$S$495))&gt;0,INDEX('CONTROL MASTER'!$X$2:$X$495,(SUMPRODUCT((('CONTROL MASTER'!$S$2:$S$495=3)*('CONTROL MASTER'!$T$2:$T$495&lt;=7)*('CONTROL MASTER'!$V$2:$V$495&gt;=7)*('CONTROL MASTER'!$U$2:$U$495&lt;=2)*('CONTROL MASTER'!$W$2:$W$495&gt;=2))*ROW('CONTROL MASTER'!$S$2:$S$495))-(ROW('CONTROL MASTER'!#REF!)-1)))&amp;TRIM(MID(SUBSTITUTE(SUBSTITUTE(INDEX('CONTROL MASTER'!$N$2:$N$495,(SUMPRODUCT((('CONTROL MASTER'!$S$2:$S$495=3)*('CONTROL MASTER'!$T$2:$T$495&lt;=7)*('CONTROL MASTER'!$V$2:$V$495&gt;=7)*('CONTROL MASTER'!$U$2:$U$495&lt;=2)*('CONTROL MASTER'!$W$2:$W$495&gt;=2))*ROW('CONTROL MASTER'!$S$2:$S$495))-(ROW('CONTROL MASTER'!#REF!)-1))),":",","),",",REPT(" ",50)),((((7-INDEX('CONTROL MASTER'!$T$2:$T$495,(SUMPRODUCT((('CONTROL MASTER'!$S$2:$S$495=3)*('CONTROL MASTER'!$T$2:$T$495&lt;=7)*('CONTROL MASTER'!$V$2:$V$495&gt;=7)*('CONTROL MASTER'!$U$2:$U$495&lt;=2)*('CONTROL MASTER'!$W$2:$W$495&gt;=2))*ROW('CONTROL MASTER'!$S$2:$S$495))-(ROW('CONTROL MASTER'!#REF!)-1))))*(INDEX('CONTROL MASTER'!$W$2:$W$495,(SUMPRODUCT((('CONTROL MASTER'!$S$2:$S$495=3)*('CONTROL MASTER'!$T$2:$T$495&lt;=7)*('CONTROL MASTER'!$V$2:$V$495&gt;=7)*('CONTROL MASTER'!$U$2:$U$495&lt;=2)*('CONTROL MASTER'!$W$2:$W$495&gt;=2))*ROW('CONTROL MASTER'!$S$2:$S$495))-(ROW('CONTROL MASTER'!#REF!)-1)))-INDEX('CONTROL MASTER'!$U$2:$U$495,(SUMPRODUCT((('CONTROL MASTER'!$S$2:$S$495=3)*('CONTROL MASTER'!$T$2:$T$495&lt;=7)*('CONTROL MASTER'!$V$2:$V$495&gt;=7)*('CONTROL MASTER'!$U$2:$U$495&lt;=2)*('CONTROL MASTER'!$W$2:$W$495&gt;=2))*ROW('CONTROL MASTER'!$S$2:$S$495))-(ROW('CONTROL MASTER'!#REF!)-1)))+1)+(2-INDEX('CONTROL MASTER'!$U$2:$U$495,(SUMPRODUCT((('CONTROL MASTER'!$S$2:$S$495=3)*('CONTROL MASTER'!$T$2:$T$495&lt;=7)*('CONTROL MASTER'!$V$2:$V$495&gt;=7)*('CONTROL MASTER'!$U$2:$U$495&lt;=2)*('CONTROL MASTER'!$W$2:$W$495&gt;=2))*ROW('CONTROL MASTER'!$S$2:$S$495))-(ROW('CONTROL MASTER'!#REF!)-1))))+1))-1)*50+1,50))&amp;"_"&amp;INDEX('CONTROL MASTER'!$P$2:$P$495,(SUMPRODUCT((('CONTROL MASTER'!$S$2:$S$495=3)*('CONTROL MASTER'!$T$2:$T$495&lt;=7)*('CONTROL MASTER'!$V$2:$V$495&gt;=7)*('CONTROL MASTER'!$U$2:$U$495&lt;=2)*('CONTROL MASTER'!$W$2:$W$495&gt;=2))*ROW('CONTROL MASTER'!$S$2:$S$495))-(ROW('CONTROL MASTER'!#REF!)-1))),IF(SUMPRODUCT((('CONTROL MASTER'!$S$2:$S$495=3)*('CONTROL MASTER'!$Z$2:$Z$495&lt;=7)*('CONTROL MASTER'!$AB$2:$AB$495&gt;=7)*('CONTROL MASTER'!$AA$2:$AA$495&lt;=2)*('CONTROL MASTER'!$AC$2:$AC$495&gt;=2))*ROW('CONTROL MASTER'!$S$2:$S$495))&gt;0,INDEX('CONTROL MASTER'!$X$2:$X$495,(SUMPRODUCT((('CONTROL MASTER'!$S$2:$S$495=3)*('CONTROL MASTER'!$Z$2:$Z$495&lt;=7)*('CONTROL MASTER'!$AB$2:$AB$495&gt;=7)*('CONTROL MASTER'!$AA$2:$AA$495&lt;=2)*('CONTROL MASTER'!$AC$2:$AC$495&gt;=2))*ROW('CONTROL MASTER'!$S$2:$S$495))-(ROW('CONTROL MASTER'!#REF!)-1)))&amp;TRIM(MID(SUBSTITUTE(SUBSTITUTE(INDEX('CONTROL MASTER'!$N$2:$N$495,(SUMPRODUCT((('CONTROL MASTER'!$S$2:$S$495=3)*('CONTROL MASTER'!$Z$2:$Z$495&lt;=7)*('CONTROL MASTER'!$AB$2:$AB$495&gt;=7)*('CONTROL MASTER'!$AA$2:$AA$495&lt;=2)*('CONTROL MASTER'!$AC$2:$AC$495&gt;=2))*ROW('CONTROL MASTER'!$S$2:$S$495))-(ROW('CONTROL MASTER'!#REF!)-1))),":",","),",",REPT(" ",50)),(((INDEX('CONTROL MASTER'!$Y$2:$Y$495,(SUMPRODUCT((('CONTROL MASTER'!$S$2:$S$495=3)*('CONTROL MASTER'!$Z$2:$Z$495&lt;=7)*('CONTROL MASTER'!$AB$2:$AB$495&gt;=7)*('CONTROL MASTER'!$AA$2:$AA$495&lt;=2)*('CONTROL MASTER'!$AC$2:$AC$495&gt;=2))*ROW('CONTROL MASTER'!$S$2:$S$495))-(ROW('CONTROL MASTER'!#REF!)-1)))+((7-INDEX('CONTROL MASTER'!$Z$2:$Z$495,(SUMPRODUCT((('CONTROL MASTER'!$S$2:$S$495=3)*('CONTROL MASTER'!$Z$2:$Z$495&lt;=7)*('CONTROL MASTER'!$AB$2:$AB$495&gt;=7)*('CONTROL MASTER'!$AA$2:$AA$495&lt;=2)*('CONTROL MASTER'!$AC$2:$AC$495&gt;=2))*ROW('CONTROL MASTER'!$S$2:$S$495))-(ROW('CONTROL MASTER'!#REF!)-1))))*(INDEX('CONTROL MASTER'!$AC$2:$AC$495,(SUMPRODUCT((('CONTROL MASTER'!$S$2:$S$495=3)*('CONTROL MASTER'!$Z$2:$Z$495&lt;=7)*('CONTROL MASTER'!$AB$2:$AB$495&gt;=7)*('CONTROL MASTER'!$AA$2:$AA$495&lt;=2)*('CONTROL MASTER'!$AC$2:$AC$495&gt;=2))*ROW('CONTROL MASTER'!$S$2:$S$495))-(ROW('CONTROL MASTER'!#REF!)-1)))-INDEX('CONTROL MASTER'!$AA$2:$AA$495,(SUMPRODUCT((('CONTROL MASTER'!$S$2:$S$495=3)*('CONTROL MASTER'!$Z$2:$Z$495&lt;=7)*('CONTROL MASTER'!$AB$2:$AB$495&gt;=7)*('CONTROL MASTER'!$AA$2:$AA$495&lt;=2)*('CONTROL MASTER'!$AC$2:$AC$495&gt;=2))*ROW('CONTROL MASTER'!$S$2:$S$495))-(ROW('CONTROL MASTER'!#REF!)-1)))+1)+(2-INDEX('CONTROL MASTER'!$AA$2:$AA$495,(SUMPRODUCT((('CONTROL MASTER'!$S$2:$S$495=3)*('CONTROL MASTER'!$Z$2:$Z$495&lt;=7)*('CONTROL MASTER'!$AB$2:$AB$495&gt;=7)*('CONTROL MASTER'!$AA$2:$AA$495&lt;=2)*('CONTROL MASTER'!$AC$2:$AC$495&gt;=2))*ROW('CONTROL MASTER'!$S$2:$S$495))-(ROW('CONTROL MASTER'!#REF!)-1))))+1)))-1)*50+1,50))&amp;"_"&amp;INDEX('CONTROL MASTER'!$P$2:$P$495,(SUMPRODUCT((('CONTROL MASTER'!$S$2:$S$495=3)*('CONTROL MASTER'!$Z$2:$Z$495&lt;=7)*('CONTROL MASTER'!$AB$2:$AB$495&gt;=7)*('CONTROL MASTER'!$AA$2:$AA$495&lt;=2)*('CONTROL MASTER'!$AC$2:$AC$495&gt;=2))*ROW('CONTROL MASTER'!$S$2:$S$495))-(ROW('CONTROL MASTER'!#REF!)-1))),"")),"")</f>
        <v/>
      </c>
      <c r="D37" s="10" t="str">
        <f>IFERROR(IF(SUMPRODUCT((('CONTROL MASTER'!$S$2:$S$495=3)*('CONTROL MASTER'!$T$2:$T$495&lt;=7)*('CONTROL MASTER'!$V$2:$V$495&gt;=7)*('CONTROL MASTER'!$U$2:$U$495&lt;=3)*('CONTROL MASTER'!$W$2:$W$495&gt;=3))*ROW('CONTROL MASTER'!$S$2:$S$495))&gt;0,INDEX('CONTROL MASTER'!$X$2:$X$495,(SUMPRODUCT((('CONTROL MASTER'!$S$2:$S$495=3)*('CONTROL MASTER'!$T$2:$T$495&lt;=7)*('CONTROL MASTER'!$V$2:$V$495&gt;=7)*('CONTROL MASTER'!$U$2:$U$495&lt;=3)*('CONTROL MASTER'!$W$2:$W$495&gt;=3))*ROW('CONTROL MASTER'!$S$2:$S$495))-(ROW('CONTROL MASTER'!#REF!)-1)))&amp;TRIM(MID(SUBSTITUTE(SUBSTITUTE(INDEX('CONTROL MASTER'!$N$2:$N$495,(SUMPRODUCT((('CONTROL MASTER'!$S$2:$S$495=3)*('CONTROL MASTER'!$T$2:$T$495&lt;=7)*('CONTROL MASTER'!$V$2:$V$495&gt;=7)*('CONTROL MASTER'!$U$2:$U$495&lt;=3)*('CONTROL MASTER'!$W$2:$W$495&gt;=3))*ROW('CONTROL MASTER'!$S$2:$S$495))-(ROW('CONTROL MASTER'!#REF!)-1))),":",","),",",REPT(" ",50)),((((7-INDEX('CONTROL MASTER'!$T$2:$T$495,(SUMPRODUCT((('CONTROL MASTER'!$S$2:$S$495=3)*('CONTROL MASTER'!$T$2:$T$495&lt;=7)*('CONTROL MASTER'!$V$2:$V$495&gt;=7)*('CONTROL MASTER'!$U$2:$U$495&lt;=3)*('CONTROL MASTER'!$W$2:$W$495&gt;=3))*ROW('CONTROL MASTER'!$S$2:$S$495))-(ROW('CONTROL MASTER'!#REF!)-1))))*(INDEX('CONTROL MASTER'!$W$2:$W$495,(SUMPRODUCT((('CONTROL MASTER'!$S$2:$S$495=3)*('CONTROL MASTER'!$T$2:$T$495&lt;=7)*('CONTROL MASTER'!$V$2:$V$495&gt;=7)*('CONTROL MASTER'!$U$2:$U$495&lt;=3)*('CONTROL MASTER'!$W$2:$W$495&gt;=3))*ROW('CONTROL MASTER'!$S$2:$S$495))-(ROW('CONTROL MASTER'!#REF!)-1)))-INDEX('CONTROL MASTER'!$U$2:$U$495,(SUMPRODUCT((('CONTROL MASTER'!$S$2:$S$495=3)*('CONTROL MASTER'!$T$2:$T$495&lt;=7)*('CONTROL MASTER'!$V$2:$V$495&gt;=7)*('CONTROL MASTER'!$U$2:$U$495&lt;=3)*('CONTROL MASTER'!$W$2:$W$495&gt;=3))*ROW('CONTROL MASTER'!$S$2:$S$495))-(ROW('CONTROL MASTER'!#REF!)-1)))+1)+(3-INDEX('CONTROL MASTER'!$U$2:$U$495,(SUMPRODUCT((('CONTROL MASTER'!$S$2:$S$495=3)*('CONTROL MASTER'!$T$2:$T$495&lt;=7)*('CONTROL MASTER'!$V$2:$V$495&gt;=7)*('CONTROL MASTER'!$U$2:$U$495&lt;=3)*('CONTROL MASTER'!$W$2:$W$495&gt;=3))*ROW('CONTROL MASTER'!$S$2:$S$495))-(ROW('CONTROL MASTER'!#REF!)-1))))+1))-1)*50+1,50))&amp;"_"&amp;INDEX('CONTROL MASTER'!$P$2:$P$495,(SUMPRODUCT((('CONTROL MASTER'!$S$2:$S$495=3)*('CONTROL MASTER'!$T$2:$T$495&lt;=7)*('CONTROL MASTER'!$V$2:$V$495&gt;=7)*('CONTROL MASTER'!$U$2:$U$495&lt;=3)*('CONTROL MASTER'!$W$2:$W$495&gt;=3))*ROW('CONTROL MASTER'!$S$2:$S$495))-(ROW('CONTROL MASTER'!#REF!)-1))),IF(SUMPRODUCT((('CONTROL MASTER'!$S$2:$S$495=3)*('CONTROL MASTER'!$Z$2:$Z$495&lt;=7)*('CONTROL MASTER'!$AB$2:$AB$495&gt;=7)*('CONTROL MASTER'!$AA$2:$AA$495&lt;=3)*('CONTROL MASTER'!$AC$2:$AC$495&gt;=3))*ROW('CONTROL MASTER'!$S$2:$S$495))&gt;0,INDEX('CONTROL MASTER'!$X$2:$X$495,(SUMPRODUCT((('CONTROL MASTER'!$S$2:$S$495=3)*('CONTROL MASTER'!$Z$2:$Z$495&lt;=7)*('CONTROL MASTER'!$AB$2:$AB$495&gt;=7)*('CONTROL MASTER'!$AA$2:$AA$495&lt;=3)*('CONTROL MASTER'!$AC$2:$AC$495&gt;=3))*ROW('CONTROL MASTER'!$S$2:$S$495))-(ROW('CONTROL MASTER'!#REF!)-1)))&amp;TRIM(MID(SUBSTITUTE(SUBSTITUTE(INDEX('CONTROL MASTER'!$N$2:$N$495,(SUMPRODUCT((('CONTROL MASTER'!$S$2:$S$495=3)*('CONTROL MASTER'!$Z$2:$Z$495&lt;=7)*('CONTROL MASTER'!$AB$2:$AB$495&gt;=7)*('CONTROL MASTER'!$AA$2:$AA$495&lt;=3)*('CONTROL MASTER'!$AC$2:$AC$495&gt;=3))*ROW('CONTROL MASTER'!$S$2:$S$495))-(ROW('CONTROL MASTER'!#REF!)-1))),":",","),",",REPT(" ",50)),(((INDEX('CONTROL MASTER'!$Y$2:$Y$495,(SUMPRODUCT((('CONTROL MASTER'!$S$2:$S$495=3)*('CONTROL MASTER'!$Z$2:$Z$495&lt;=7)*('CONTROL MASTER'!$AB$2:$AB$495&gt;=7)*('CONTROL MASTER'!$AA$2:$AA$495&lt;=3)*('CONTROL MASTER'!$AC$2:$AC$495&gt;=3))*ROW('CONTROL MASTER'!$S$2:$S$495))-(ROW('CONTROL MASTER'!#REF!)-1)))+((7-INDEX('CONTROL MASTER'!$Z$2:$Z$495,(SUMPRODUCT((('CONTROL MASTER'!$S$2:$S$495=3)*('CONTROL MASTER'!$Z$2:$Z$495&lt;=7)*('CONTROL MASTER'!$AB$2:$AB$495&gt;=7)*('CONTROL MASTER'!$AA$2:$AA$495&lt;=3)*('CONTROL MASTER'!$AC$2:$AC$495&gt;=3))*ROW('CONTROL MASTER'!$S$2:$S$495))-(ROW('CONTROL MASTER'!#REF!)-1))))*(INDEX('CONTROL MASTER'!$AC$2:$AC$495,(SUMPRODUCT((('CONTROL MASTER'!$S$2:$S$495=3)*('CONTROL MASTER'!$Z$2:$Z$495&lt;=7)*('CONTROL MASTER'!$AB$2:$AB$495&gt;=7)*('CONTROL MASTER'!$AA$2:$AA$495&lt;=3)*('CONTROL MASTER'!$AC$2:$AC$495&gt;=3))*ROW('CONTROL MASTER'!$S$2:$S$495))-(ROW('CONTROL MASTER'!#REF!)-1)))-INDEX('CONTROL MASTER'!$AA$2:$AA$495,(SUMPRODUCT((('CONTROL MASTER'!$S$2:$S$495=3)*('CONTROL MASTER'!$Z$2:$Z$495&lt;=7)*('CONTROL MASTER'!$AB$2:$AB$495&gt;=7)*('CONTROL MASTER'!$AA$2:$AA$495&lt;=3)*('CONTROL MASTER'!$AC$2:$AC$495&gt;=3))*ROW('CONTROL MASTER'!$S$2:$S$495))-(ROW('CONTROL MASTER'!#REF!)-1)))+1)+(3-INDEX('CONTROL MASTER'!$AA$2:$AA$495,(SUMPRODUCT((('CONTROL MASTER'!$S$2:$S$495=3)*('CONTROL MASTER'!$Z$2:$Z$495&lt;=7)*('CONTROL MASTER'!$AB$2:$AB$495&gt;=7)*('CONTROL MASTER'!$AA$2:$AA$495&lt;=3)*('CONTROL MASTER'!$AC$2:$AC$495&gt;=3))*ROW('CONTROL MASTER'!$S$2:$S$495))-(ROW('CONTROL MASTER'!#REF!)-1))))+1)))-1)*50+1,50))&amp;"_"&amp;INDEX('CONTROL MASTER'!$P$2:$P$495,(SUMPRODUCT((('CONTROL MASTER'!$S$2:$S$495=3)*('CONTROL MASTER'!$Z$2:$Z$495&lt;=7)*('CONTROL MASTER'!$AB$2:$AB$495&gt;=7)*('CONTROL MASTER'!$AA$2:$AA$495&lt;=3)*('CONTROL MASTER'!$AC$2:$AC$495&gt;=3))*ROW('CONTROL MASTER'!$S$2:$S$495))-(ROW('CONTROL MASTER'!#REF!)-1))),"")),"")</f>
        <v/>
      </c>
      <c r="E37" s="10" t="str">
        <f>IFERROR(IF(SUMPRODUCT((('CONTROL MASTER'!$S$2:$S$495=3)*('CONTROL MASTER'!$T$2:$T$495&lt;=7)*('CONTROL MASTER'!$V$2:$V$495&gt;=7)*('CONTROL MASTER'!$U$2:$U$495&lt;=4)*('CONTROL MASTER'!$W$2:$W$495&gt;=4))*ROW('CONTROL MASTER'!$S$2:$S$495))&gt;0,INDEX('CONTROL MASTER'!$X$2:$X$495,(SUMPRODUCT((('CONTROL MASTER'!$S$2:$S$495=3)*('CONTROL MASTER'!$T$2:$T$495&lt;=7)*('CONTROL MASTER'!$V$2:$V$495&gt;=7)*('CONTROL MASTER'!$U$2:$U$495&lt;=4)*('CONTROL MASTER'!$W$2:$W$495&gt;=4))*ROW('CONTROL MASTER'!$S$2:$S$495))-(ROW('CONTROL MASTER'!#REF!)-1)))&amp;TRIM(MID(SUBSTITUTE(SUBSTITUTE(INDEX('CONTROL MASTER'!$N$2:$N$495,(SUMPRODUCT((('CONTROL MASTER'!$S$2:$S$495=3)*('CONTROL MASTER'!$T$2:$T$495&lt;=7)*('CONTROL MASTER'!$V$2:$V$495&gt;=7)*('CONTROL MASTER'!$U$2:$U$495&lt;=4)*('CONTROL MASTER'!$W$2:$W$495&gt;=4))*ROW('CONTROL MASTER'!$S$2:$S$495))-(ROW('CONTROL MASTER'!#REF!)-1))),":",","),",",REPT(" ",50)),((((7-INDEX('CONTROL MASTER'!$T$2:$T$495,(SUMPRODUCT((('CONTROL MASTER'!$S$2:$S$495=3)*('CONTROL MASTER'!$T$2:$T$495&lt;=7)*('CONTROL MASTER'!$V$2:$V$495&gt;=7)*('CONTROL MASTER'!$U$2:$U$495&lt;=4)*('CONTROL MASTER'!$W$2:$W$495&gt;=4))*ROW('CONTROL MASTER'!$S$2:$S$495))-(ROW('CONTROL MASTER'!#REF!)-1))))*(INDEX('CONTROL MASTER'!$W$2:$W$495,(SUMPRODUCT((('CONTROL MASTER'!$S$2:$S$495=3)*('CONTROL MASTER'!$T$2:$T$495&lt;=7)*('CONTROL MASTER'!$V$2:$V$495&gt;=7)*('CONTROL MASTER'!$U$2:$U$495&lt;=4)*('CONTROL MASTER'!$W$2:$W$495&gt;=4))*ROW('CONTROL MASTER'!$S$2:$S$495))-(ROW('CONTROL MASTER'!#REF!)-1)))-INDEX('CONTROL MASTER'!$U$2:$U$495,(SUMPRODUCT((('CONTROL MASTER'!$S$2:$S$495=3)*('CONTROL MASTER'!$T$2:$T$495&lt;=7)*('CONTROL MASTER'!$V$2:$V$495&gt;=7)*('CONTROL MASTER'!$U$2:$U$495&lt;=4)*('CONTROL MASTER'!$W$2:$W$495&gt;=4))*ROW('CONTROL MASTER'!$S$2:$S$495))-(ROW('CONTROL MASTER'!#REF!)-1)))+1)+(4-INDEX('CONTROL MASTER'!$U$2:$U$495,(SUMPRODUCT((('CONTROL MASTER'!$S$2:$S$495=3)*('CONTROL MASTER'!$T$2:$T$495&lt;=7)*('CONTROL MASTER'!$V$2:$V$495&gt;=7)*('CONTROL MASTER'!$U$2:$U$495&lt;=4)*('CONTROL MASTER'!$W$2:$W$495&gt;=4))*ROW('CONTROL MASTER'!$S$2:$S$495))-(ROW('CONTROL MASTER'!#REF!)-1))))+1))-1)*50+1,50))&amp;"_"&amp;INDEX('CONTROL MASTER'!$P$2:$P$495,(SUMPRODUCT((('CONTROL MASTER'!$S$2:$S$495=3)*('CONTROL MASTER'!$T$2:$T$495&lt;=7)*('CONTROL MASTER'!$V$2:$V$495&gt;=7)*('CONTROL MASTER'!$U$2:$U$495&lt;=4)*('CONTROL MASTER'!$W$2:$W$495&gt;=4))*ROW('CONTROL MASTER'!$S$2:$S$495))-(ROW('CONTROL MASTER'!#REF!)-1))),IF(SUMPRODUCT((('CONTROL MASTER'!$S$2:$S$495=3)*('CONTROL MASTER'!$Z$2:$Z$495&lt;=7)*('CONTROL MASTER'!$AB$2:$AB$495&gt;=7)*('CONTROL MASTER'!$AA$2:$AA$495&lt;=4)*('CONTROL MASTER'!$AC$2:$AC$495&gt;=4))*ROW('CONTROL MASTER'!$S$2:$S$495))&gt;0,INDEX('CONTROL MASTER'!$X$2:$X$495,(SUMPRODUCT((('CONTROL MASTER'!$S$2:$S$495=3)*('CONTROL MASTER'!$Z$2:$Z$495&lt;=7)*('CONTROL MASTER'!$AB$2:$AB$495&gt;=7)*('CONTROL MASTER'!$AA$2:$AA$495&lt;=4)*('CONTROL MASTER'!$AC$2:$AC$495&gt;=4))*ROW('CONTROL MASTER'!$S$2:$S$495))-(ROW('CONTROL MASTER'!#REF!)-1)))&amp;TRIM(MID(SUBSTITUTE(SUBSTITUTE(INDEX('CONTROL MASTER'!$N$2:$N$495,(SUMPRODUCT((('CONTROL MASTER'!$S$2:$S$495=3)*('CONTROL MASTER'!$Z$2:$Z$495&lt;=7)*('CONTROL MASTER'!$AB$2:$AB$495&gt;=7)*('CONTROL MASTER'!$AA$2:$AA$495&lt;=4)*('CONTROL MASTER'!$AC$2:$AC$495&gt;=4))*ROW('CONTROL MASTER'!$S$2:$S$495))-(ROW('CONTROL MASTER'!#REF!)-1))),":",","),",",REPT(" ",50)),(((INDEX('CONTROL MASTER'!$Y$2:$Y$495,(SUMPRODUCT((('CONTROL MASTER'!$S$2:$S$495=3)*('CONTROL MASTER'!$Z$2:$Z$495&lt;=7)*('CONTROL MASTER'!$AB$2:$AB$495&gt;=7)*('CONTROL MASTER'!$AA$2:$AA$495&lt;=4)*('CONTROL MASTER'!$AC$2:$AC$495&gt;=4))*ROW('CONTROL MASTER'!$S$2:$S$495))-(ROW('CONTROL MASTER'!#REF!)-1)))+((7-INDEX('CONTROL MASTER'!$Z$2:$Z$495,(SUMPRODUCT((('CONTROL MASTER'!$S$2:$S$495=3)*('CONTROL MASTER'!$Z$2:$Z$495&lt;=7)*('CONTROL MASTER'!$AB$2:$AB$495&gt;=7)*('CONTROL MASTER'!$AA$2:$AA$495&lt;=4)*('CONTROL MASTER'!$AC$2:$AC$495&gt;=4))*ROW('CONTROL MASTER'!$S$2:$S$495))-(ROW('CONTROL MASTER'!#REF!)-1))))*(INDEX('CONTROL MASTER'!$AC$2:$AC$495,(SUMPRODUCT((('CONTROL MASTER'!$S$2:$S$495=3)*('CONTROL MASTER'!$Z$2:$Z$495&lt;=7)*('CONTROL MASTER'!$AB$2:$AB$495&gt;=7)*('CONTROL MASTER'!$AA$2:$AA$495&lt;=4)*('CONTROL MASTER'!$AC$2:$AC$495&gt;=4))*ROW('CONTROL MASTER'!$S$2:$S$495))-(ROW('CONTROL MASTER'!#REF!)-1)))-INDEX('CONTROL MASTER'!$AA$2:$AA$495,(SUMPRODUCT((('CONTROL MASTER'!$S$2:$S$495=3)*('CONTROL MASTER'!$Z$2:$Z$495&lt;=7)*('CONTROL MASTER'!$AB$2:$AB$495&gt;=7)*('CONTROL MASTER'!$AA$2:$AA$495&lt;=4)*('CONTROL MASTER'!$AC$2:$AC$495&gt;=4))*ROW('CONTROL MASTER'!$S$2:$S$495))-(ROW('CONTROL MASTER'!#REF!)-1)))+1)+(4-INDEX('CONTROL MASTER'!$AA$2:$AA$495,(SUMPRODUCT((('CONTROL MASTER'!$S$2:$S$495=3)*('CONTROL MASTER'!$Z$2:$Z$495&lt;=7)*('CONTROL MASTER'!$AB$2:$AB$495&gt;=7)*('CONTROL MASTER'!$AA$2:$AA$495&lt;=4)*('CONTROL MASTER'!$AC$2:$AC$495&gt;=4))*ROW('CONTROL MASTER'!$S$2:$S$495))-(ROW('CONTROL MASTER'!#REF!)-1))))+1)))-1)*50+1,50))&amp;"_"&amp;INDEX('CONTROL MASTER'!$P$2:$P$495,(SUMPRODUCT((('CONTROL MASTER'!$S$2:$S$495=3)*('CONTROL MASTER'!$Z$2:$Z$495&lt;=7)*('CONTROL MASTER'!$AB$2:$AB$495&gt;=7)*('CONTROL MASTER'!$AA$2:$AA$495&lt;=4)*('CONTROL MASTER'!$AC$2:$AC$495&gt;=4))*ROW('CONTROL MASTER'!$S$2:$S$495))-(ROW('CONTROL MASTER'!#REF!)-1))),"")),"")</f>
        <v/>
      </c>
      <c r="F37" s="10" t="str">
        <f>IFERROR(IF(SUMPRODUCT((('CONTROL MASTER'!$S$2:$S$495=3)*('CONTROL MASTER'!$T$2:$T$495&lt;=7)*('CONTROL MASTER'!$V$2:$V$495&gt;=7)*('CONTROL MASTER'!$U$2:$U$495&lt;=5)*('CONTROL MASTER'!$W$2:$W$495&gt;=5))*ROW('CONTROL MASTER'!$S$2:$S$495))&gt;0,INDEX('CONTROL MASTER'!$X$2:$X$495,(SUMPRODUCT((('CONTROL MASTER'!$S$2:$S$495=3)*('CONTROL MASTER'!$T$2:$T$495&lt;=7)*('CONTROL MASTER'!$V$2:$V$495&gt;=7)*('CONTROL MASTER'!$U$2:$U$495&lt;=5)*('CONTROL MASTER'!$W$2:$W$495&gt;=5))*ROW('CONTROL MASTER'!$S$2:$S$495))-(ROW('CONTROL MASTER'!#REF!)-1)))&amp;TRIM(MID(SUBSTITUTE(SUBSTITUTE(INDEX('CONTROL MASTER'!$N$2:$N$495,(SUMPRODUCT((('CONTROL MASTER'!$S$2:$S$495=3)*('CONTROL MASTER'!$T$2:$T$495&lt;=7)*('CONTROL MASTER'!$V$2:$V$495&gt;=7)*('CONTROL MASTER'!$U$2:$U$495&lt;=5)*('CONTROL MASTER'!$W$2:$W$495&gt;=5))*ROW('CONTROL MASTER'!$S$2:$S$495))-(ROW('CONTROL MASTER'!#REF!)-1))),":",","),",",REPT(" ",50)),((((7-INDEX('CONTROL MASTER'!$T$2:$T$495,(SUMPRODUCT((('CONTROL MASTER'!$S$2:$S$495=3)*('CONTROL MASTER'!$T$2:$T$495&lt;=7)*('CONTROL MASTER'!$V$2:$V$495&gt;=7)*('CONTROL MASTER'!$U$2:$U$495&lt;=5)*('CONTROL MASTER'!$W$2:$W$495&gt;=5))*ROW('CONTROL MASTER'!$S$2:$S$495))-(ROW('CONTROL MASTER'!#REF!)-1))))*(INDEX('CONTROL MASTER'!$W$2:$W$495,(SUMPRODUCT((('CONTROL MASTER'!$S$2:$S$495=3)*('CONTROL MASTER'!$T$2:$T$495&lt;=7)*('CONTROL MASTER'!$V$2:$V$495&gt;=7)*('CONTROL MASTER'!$U$2:$U$495&lt;=5)*('CONTROL MASTER'!$W$2:$W$495&gt;=5))*ROW('CONTROL MASTER'!$S$2:$S$495))-(ROW('CONTROL MASTER'!#REF!)-1)))-INDEX('CONTROL MASTER'!$U$2:$U$495,(SUMPRODUCT((('CONTROL MASTER'!$S$2:$S$495=3)*('CONTROL MASTER'!$T$2:$T$495&lt;=7)*('CONTROL MASTER'!$V$2:$V$495&gt;=7)*('CONTROL MASTER'!$U$2:$U$495&lt;=5)*('CONTROL MASTER'!$W$2:$W$495&gt;=5))*ROW('CONTROL MASTER'!$S$2:$S$495))-(ROW('CONTROL MASTER'!#REF!)-1)))+1)+(5-INDEX('CONTROL MASTER'!$U$2:$U$495,(SUMPRODUCT((('CONTROL MASTER'!$S$2:$S$495=3)*('CONTROL MASTER'!$T$2:$T$495&lt;=7)*('CONTROL MASTER'!$V$2:$V$495&gt;=7)*('CONTROL MASTER'!$U$2:$U$495&lt;=5)*('CONTROL MASTER'!$W$2:$W$495&gt;=5))*ROW('CONTROL MASTER'!$S$2:$S$495))-(ROW('CONTROL MASTER'!#REF!)-1))))+1))-1)*50+1,50))&amp;"_"&amp;INDEX('CONTROL MASTER'!$P$2:$P$495,(SUMPRODUCT((('CONTROL MASTER'!$S$2:$S$495=3)*('CONTROL MASTER'!$T$2:$T$495&lt;=7)*('CONTROL MASTER'!$V$2:$V$495&gt;=7)*('CONTROL MASTER'!$U$2:$U$495&lt;=5)*('CONTROL MASTER'!$W$2:$W$495&gt;=5))*ROW('CONTROL MASTER'!$S$2:$S$495))-(ROW('CONTROL MASTER'!#REF!)-1))),IF(SUMPRODUCT((('CONTROL MASTER'!$S$2:$S$495=3)*('CONTROL MASTER'!$Z$2:$Z$495&lt;=7)*('CONTROL MASTER'!$AB$2:$AB$495&gt;=7)*('CONTROL MASTER'!$AA$2:$AA$495&lt;=5)*('CONTROL MASTER'!$AC$2:$AC$495&gt;=5))*ROW('CONTROL MASTER'!$S$2:$S$495))&gt;0,INDEX('CONTROL MASTER'!$X$2:$X$495,(SUMPRODUCT((('CONTROL MASTER'!$S$2:$S$495=3)*('CONTROL MASTER'!$Z$2:$Z$495&lt;=7)*('CONTROL MASTER'!$AB$2:$AB$495&gt;=7)*('CONTROL MASTER'!$AA$2:$AA$495&lt;=5)*('CONTROL MASTER'!$AC$2:$AC$495&gt;=5))*ROW('CONTROL MASTER'!$S$2:$S$495))-(ROW('CONTROL MASTER'!#REF!)-1)))&amp;TRIM(MID(SUBSTITUTE(SUBSTITUTE(INDEX('CONTROL MASTER'!$N$2:$N$495,(SUMPRODUCT((('CONTROL MASTER'!$S$2:$S$495=3)*('CONTROL MASTER'!$Z$2:$Z$495&lt;=7)*('CONTROL MASTER'!$AB$2:$AB$495&gt;=7)*('CONTROL MASTER'!$AA$2:$AA$495&lt;=5)*('CONTROL MASTER'!$AC$2:$AC$495&gt;=5))*ROW('CONTROL MASTER'!$S$2:$S$495))-(ROW('CONTROL MASTER'!#REF!)-1))),":",","),",",REPT(" ",50)),(((INDEX('CONTROL MASTER'!$Y$2:$Y$495,(SUMPRODUCT((('CONTROL MASTER'!$S$2:$S$495=3)*('CONTROL MASTER'!$Z$2:$Z$495&lt;=7)*('CONTROL MASTER'!$AB$2:$AB$495&gt;=7)*('CONTROL MASTER'!$AA$2:$AA$495&lt;=5)*('CONTROL MASTER'!$AC$2:$AC$495&gt;=5))*ROW('CONTROL MASTER'!$S$2:$S$495))-(ROW('CONTROL MASTER'!#REF!)-1)))+((7-INDEX('CONTROL MASTER'!$Z$2:$Z$495,(SUMPRODUCT((('CONTROL MASTER'!$S$2:$S$495=3)*('CONTROL MASTER'!$Z$2:$Z$495&lt;=7)*('CONTROL MASTER'!$AB$2:$AB$495&gt;=7)*('CONTROL MASTER'!$AA$2:$AA$495&lt;=5)*('CONTROL MASTER'!$AC$2:$AC$495&gt;=5))*ROW('CONTROL MASTER'!$S$2:$S$495))-(ROW('CONTROL MASTER'!#REF!)-1))))*(INDEX('CONTROL MASTER'!$AC$2:$AC$495,(SUMPRODUCT((('CONTROL MASTER'!$S$2:$S$495=3)*('CONTROL MASTER'!$Z$2:$Z$495&lt;=7)*('CONTROL MASTER'!$AB$2:$AB$495&gt;=7)*('CONTROL MASTER'!$AA$2:$AA$495&lt;=5)*('CONTROL MASTER'!$AC$2:$AC$495&gt;=5))*ROW('CONTROL MASTER'!$S$2:$S$495))-(ROW('CONTROL MASTER'!#REF!)-1)))-INDEX('CONTROL MASTER'!$AA$2:$AA$495,(SUMPRODUCT((('CONTROL MASTER'!$S$2:$S$495=3)*('CONTROL MASTER'!$Z$2:$Z$495&lt;=7)*('CONTROL MASTER'!$AB$2:$AB$495&gt;=7)*('CONTROL MASTER'!$AA$2:$AA$495&lt;=5)*('CONTROL MASTER'!$AC$2:$AC$495&gt;=5))*ROW('CONTROL MASTER'!$S$2:$S$495))-(ROW('CONTROL MASTER'!#REF!)-1)))+1)+(5-INDEX('CONTROL MASTER'!$AA$2:$AA$495,(SUMPRODUCT((('CONTROL MASTER'!$S$2:$S$495=3)*('CONTROL MASTER'!$Z$2:$Z$495&lt;=7)*('CONTROL MASTER'!$AB$2:$AB$495&gt;=7)*('CONTROL MASTER'!$AA$2:$AA$495&lt;=5)*('CONTROL MASTER'!$AC$2:$AC$495&gt;=5))*ROW('CONTROL MASTER'!$S$2:$S$495))-(ROW('CONTROL MASTER'!#REF!)-1))))+1)))-1)*50+1,50))&amp;"_"&amp;INDEX('CONTROL MASTER'!$P$2:$P$495,(SUMPRODUCT((('CONTROL MASTER'!$S$2:$S$495=3)*('CONTROL MASTER'!$Z$2:$Z$495&lt;=7)*('CONTROL MASTER'!$AB$2:$AB$495&gt;=7)*('CONTROL MASTER'!$AA$2:$AA$495&lt;=5)*('CONTROL MASTER'!$AC$2:$AC$495&gt;=5))*ROW('CONTROL MASTER'!$S$2:$S$495))-(ROW('CONTROL MASTER'!#REF!)-1))),"")),"")</f>
        <v/>
      </c>
      <c r="G37" s="10" t="str">
        <f>IFERROR(IF(SUMPRODUCT((('CONTROL MASTER'!$S$2:$S$495=3)*('CONTROL MASTER'!$T$2:$T$495&lt;=7)*('CONTROL MASTER'!$V$2:$V$495&gt;=7)*('CONTROL MASTER'!$U$2:$U$495&lt;=6)*('CONTROL MASTER'!$W$2:$W$495&gt;=6))*ROW('CONTROL MASTER'!$S$2:$S$495))&gt;0,INDEX('CONTROL MASTER'!$X$2:$X$495,(SUMPRODUCT((('CONTROL MASTER'!$S$2:$S$495=3)*('CONTROL MASTER'!$T$2:$T$495&lt;=7)*('CONTROL MASTER'!$V$2:$V$495&gt;=7)*('CONTROL MASTER'!$U$2:$U$495&lt;=6)*('CONTROL MASTER'!$W$2:$W$495&gt;=6))*ROW('CONTROL MASTER'!$S$2:$S$495))-(ROW('CONTROL MASTER'!#REF!)-1)))&amp;TRIM(MID(SUBSTITUTE(SUBSTITUTE(INDEX('CONTROL MASTER'!$N$2:$N$495,(SUMPRODUCT((('CONTROL MASTER'!$S$2:$S$495=3)*('CONTROL MASTER'!$T$2:$T$495&lt;=7)*('CONTROL MASTER'!$V$2:$V$495&gt;=7)*('CONTROL MASTER'!$U$2:$U$495&lt;=6)*('CONTROL MASTER'!$W$2:$W$495&gt;=6))*ROW('CONTROL MASTER'!$S$2:$S$495))-(ROW('CONTROL MASTER'!#REF!)-1))),":",","),",",REPT(" ",50)),((((7-INDEX('CONTROL MASTER'!$T$2:$T$495,(SUMPRODUCT((('CONTROL MASTER'!$S$2:$S$495=3)*('CONTROL MASTER'!$T$2:$T$495&lt;=7)*('CONTROL MASTER'!$V$2:$V$495&gt;=7)*('CONTROL MASTER'!$U$2:$U$495&lt;=6)*('CONTROL MASTER'!$W$2:$W$495&gt;=6))*ROW('CONTROL MASTER'!$S$2:$S$495))-(ROW('CONTROL MASTER'!#REF!)-1))))*(INDEX('CONTROL MASTER'!$W$2:$W$495,(SUMPRODUCT((('CONTROL MASTER'!$S$2:$S$495=3)*('CONTROL MASTER'!$T$2:$T$495&lt;=7)*('CONTROL MASTER'!$V$2:$V$495&gt;=7)*('CONTROL MASTER'!$U$2:$U$495&lt;=6)*('CONTROL MASTER'!$W$2:$W$495&gt;=6))*ROW('CONTROL MASTER'!$S$2:$S$495))-(ROW('CONTROL MASTER'!#REF!)-1)))-INDEX('CONTROL MASTER'!$U$2:$U$495,(SUMPRODUCT((('CONTROL MASTER'!$S$2:$S$495=3)*('CONTROL MASTER'!$T$2:$T$495&lt;=7)*('CONTROL MASTER'!$V$2:$V$495&gt;=7)*('CONTROL MASTER'!$U$2:$U$495&lt;=6)*('CONTROL MASTER'!$W$2:$W$495&gt;=6))*ROW('CONTROL MASTER'!$S$2:$S$495))-(ROW('CONTROL MASTER'!#REF!)-1)))+1)+(6-INDEX('CONTROL MASTER'!$U$2:$U$495,(SUMPRODUCT((('CONTROL MASTER'!$S$2:$S$495=3)*('CONTROL MASTER'!$T$2:$T$495&lt;=7)*('CONTROL MASTER'!$V$2:$V$495&gt;=7)*('CONTROL MASTER'!$U$2:$U$495&lt;=6)*('CONTROL MASTER'!$W$2:$W$495&gt;=6))*ROW('CONTROL MASTER'!$S$2:$S$495))-(ROW('CONTROL MASTER'!#REF!)-1))))+1))-1)*50+1,50))&amp;"_"&amp;INDEX('CONTROL MASTER'!$P$2:$P$495,(SUMPRODUCT((('CONTROL MASTER'!$S$2:$S$495=3)*('CONTROL MASTER'!$T$2:$T$495&lt;=7)*('CONTROL MASTER'!$V$2:$V$495&gt;=7)*('CONTROL MASTER'!$U$2:$U$495&lt;=6)*('CONTROL MASTER'!$W$2:$W$495&gt;=6))*ROW('CONTROL MASTER'!$S$2:$S$495))-(ROW('CONTROL MASTER'!#REF!)-1))),IF(SUMPRODUCT((('CONTROL MASTER'!$S$2:$S$495=3)*('CONTROL MASTER'!$Z$2:$Z$495&lt;=7)*('CONTROL MASTER'!$AB$2:$AB$495&gt;=7)*('CONTROL MASTER'!$AA$2:$AA$495&lt;=6)*('CONTROL MASTER'!$AC$2:$AC$495&gt;=6))*ROW('CONTROL MASTER'!$S$2:$S$495))&gt;0,INDEX('CONTROL MASTER'!$X$2:$X$495,(SUMPRODUCT((('CONTROL MASTER'!$S$2:$S$495=3)*('CONTROL MASTER'!$Z$2:$Z$495&lt;=7)*('CONTROL MASTER'!$AB$2:$AB$495&gt;=7)*('CONTROL MASTER'!$AA$2:$AA$495&lt;=6)*('CONTROL MASTER'!$AC$2:$AC$495&gt;=6))*ROW('CONTROL MASTER'!$S$2:$S$495))-(ROW('CONTROL MASTER'!#REF!)-1)))&amp;TRIM(MID(SUBSTITUTE(SUBSTITUTE(INDEX('CONTROL MASTER'!$N$2:$N$495,(SUMPRODUCT((('CONTROL MASTER'!$S$2:$S$495=3)*('CONTROL MASTER'!$Z$2:$Z$495&lt;=7)*('CONTROL MASTER'!$AB$2:$AB$495&gt;=7)*('CONTROL MASTER'!$AA$2:$AA$495&lt;=6)*('CONTROL MASTER'!$AC$2:$AC$495&gt;=6))*ROW('CONTROL MASTER'!$S$2:$S$495))-(ROW('CONTROL MASTER'!#REF!)-1))),":",","),",",REPT(" ",50)),(((INDEX('CONTROL MASTER'!$Y$2:$Y$495,(SUMPRODUCT((('CONTROL MASTER'!$S$2:$S$495=3)*('CONTROL MASTER'!$Z$2:$Z$495&lt;=7)*('CONTROL MASTER'!$AB$2:$AB$495&gt;=7)*('CONTROL MASTER'!$AA$2:$AA$495&lt;=6)*('CONTROL MASTER'!$AC$2:$AC$495&gt;=6))*ROW('CONTROL MASTER'!$S$2:$S$495))-(ROW('CONTROL MASTER'!#REF!)-1)))+((7-INDEX('CONTROL MASTER'!$Z$2:$Z$495,(SUMPRODUCT((('CONTROL MASTER'!$S$2:$S$495=3)*('CONTROL MASTER'!$Z$2:$Z$495&lt;=7)*('CONTROL MASTER'!$AB$2:$AB$495&gt;=7)*('CONTROL MASTER'!$AA$2:$AA$495&lt;=6)*('CONTROL MASTER'!$AC$2:$AC$495&gt;=6))*ROW('CONTROL MASTER'!$S$2:$S$495))-(ROW('CONTROL MASTER'!#REF!)-1))))*(INDEX('CONTROL MASTER'!$AC$2:$AC$495,(SUMPRODUCT((('CONTROL MASTER'!$S$2:$S$495=3)*('CONTROL MASTER'!$Z$2:$Z$495&lt;=7)*('CONTROL MASTER'!$AB$2:$AB$495&gt;=7)*('CONTROL MASTER'!$AA$2:$AA$495&lt;=6)*('CONTROL MASTER'!$AC$2:$AC$495&gt;=6))*ROW('CONTROL MASTER'!$S$2:$S$495))-(ROW('CONTROL MASTER'!#REF!)-1)))-INDEX('CONTROL MASTER'!$AA$2:$AA$495,(SUMPRODUCT((('CONTROL MASTER'!$S$2:$S$495=3)*('CONTROL MASTER'!$Z$2:$Z$495&lt;=7)*('CONTROL MASTER'!$AB$2:$AB$495&gt;=7)*('CONTROL MASTER'!$AA$2:$AA$495&lt;=6)*('CONTROL MASTER'!$AC$2:$AC$495&gt;=6))*ROW('CONTROL MASTER'!$S$2:$S$495))-(ROW('CONTROL MASTER'!#REF!)-1)))+1)+(6-INDEX('CONTROL MASTER'!$AA$2:$AA$495,(SUMPRODUCT((('CONTROL MASTER'!$S$2:$S$495=3)*('CONTROL MASTER'!$Z$2:$Z$495&lt;=7)*('CONTROL MASTER'!$AB$2:$AB$495&gt;=7)*('CONTROL MASTER'!$AA$2:$AA$495&lt;=6)*('CONTROL MASTER'!$AC$2:$AC$495&gt;=6))*ROW('CONTROL MASTER'!$S$2:$S$495))-(ROW('CONTROL MASTER'!#REF!)-1))))+1)))-1)*50+1,50))&amp;"_"&amp;INDEX('CONTROL MASTER'!$P$2:$P$495,(SUMPRODUCT((('CONTROL MASTER'!$S$2:$S$495=3)*('CONTROL MASTER'!$Z$2:$Z$495&lt;=7)*('CONTROL MASTER'!$AB$2:$AB$495&gt;=7)*('CONTROL MASTER'!$AA$2:$AA$495&lt;=6)*('CONTROL MASTER'!$AC$2:$AC$495&gt;=6))*ROW('CONTROL MASTER'!$S$2:$S$495))-(ROW('CONTROL MASTER'!#REF!)-1))),"")),"")</f>
        <v/>
      </c>
      <c r="H37" s="10" t="str">
        <f>IFERROR(IF(SUMPRODUCT((('CONTROL MASTER'!$S$2:$S$495=3)*('CONTROL MASTER'!$T$2:$T$495&lt;=7)*('CONTROL MASTER'!$V$2:$V$495&gt;=7)*('CONTROL MASTER'!$U$2:$U$495&lt;=7)*('CONTROL MASTER'!$W$2:$W$495&gt;=7))*ROW('CONTROL MASTER'!$S$2:$S$495))&gt;0,INDEX('CONTROL MASTER'!$X$2:$X$495,(SUMPRODUCT((('CONTROL MASTER'!$S$2:$S$495=3)*('CONTROL MASTER'!$T$2:$T$495&lt;=7)*('CONTROL MASTER'!$V$2:$V$495&gt;=7)*('CONTROL MASTER'!$U$2:$U$495&lt;=7)*('CONTROL MASTER'!$W$2:$W$495&gt;=7))*ROW('CONTROL MASTER'!$S$2:$S$495))-(ROW('CONTROL MASTER'!#REF!)-1)))&amp;TRIM(MID(SUBSTITUTE(SUBSTITUTE(INDEX('CONTROL MASTER'!$N$2:$N$495,(SUMPRODUCT((('CONTROL MASTER'!$S$2:$S$495=3)*('CONTROL MASTER'!$T$2:$T$495&lt;=7)*('CONTROL MASTER'!$V$2:$V$495&gt;=7)*('CONTROL MASTER'!$U$2:$U$495&lt;=7)*('CONTROL MASTER'!$W$2:$W$495&gt;=7))*ROW('CONTROL MASTER'!$S$2:$S$495))-(ROW('CONTROL MASTER'!#REF!)-1))),":",","),",",REPT(" ",50)),((((7-INDEX('CONTROL MASTER'!$T$2:$T$495,(SUMPRODUCT((('CONTROL MASTER'!$S$2:$S$495=3)*('CONTROL MASTER'!$T$2:$T$495&lt;=7)*('CONTROL MASTER'!$V$2:$V$495&gt;=7)*('CONTROL MASTER'!$U$2:$U$495&lt;=7)*('CONTROL MASTER'!$W$2:$W$495&gt;=7))*ROW('CONTROL MASTER'!$S$2:$S$495))-(ROW('CONTROL MASTER'!#REF!)-1))))*(INDEX('CONTROL MASTER'!$W$2:$W$495,(SUMPRODUCT((('CONTROL MASTER'!$S$2:$S$495=3)*('CONTROL MASTER'!$T$2:$T$495&lt;=7)*('CONTROL MASTER'!$V$2:$V$495&gt;=7)*('CONTROL MASTER'!$U$2:$U$495&lt;=7)*('CONTROL MASTER'!$W$2:$W$495&gt;=7))*ROW('CONTROL MASTER'!$S$2:$S$495))-(ROW('CONTROL MASTER'!#REF!)-1)))-INDEX('CONTROL MASTER'!$U$2:$U$495,(SUMPRODUCT((('CONTROL MASTER'!$S$2:$S$495=3)*('CONTROL MASTER'!$T$2:$T$495&lt;=7)*('CONTROL MASTER'!$V$2:$V$495&gt;=7)*('CONTROL MASTER'!$U$2:$U$495&lt;=7)*('CONTROL MASTER'!$W$2:$W$495&gt;=7))*ROW('CONTROL MASTER'!$S$2:$S$495))-(ROW('CONTROL MASTER'!#REF!)-1)))+1)+(7-INDEX('CONTROL MASTER'!$U$2:$U$495,(SUMPRODUCT((('CONTROL MASTER'!$S$2:$S$495=3)*('CONTROL MASTER'!$T$2:$T$495&lt;=7)*('CONTROL MASTER'!$V$2:$V$495&gt;=7)*('CONTROL MASTER'!$U$2:$U$495&lt;=7)*('CONTROL MASTER'!$W$2:$W$495&gt;=7))*ROW('CONTROL MASTER'!$S$2:$S$495))-(ROW('CONTROL MASTER'!#REF!)-1))))+1))-1)*50+1,50))&amp;"_"&amp;INDEX('CONTROL MASTER'!$P$2:$P$495,(SUMPRODUCT((('CONTROL MASTER'!$S$2:$S$495=3)*('CONTROL MASTER'!$T$2:$T$495&lt;=7)*('CONTROL MASTER'!$V$2:$V$495&gt;=7)*('CONTROL MASTER'!$U$2:$U$495&lt;=7)*('CONTROL MASTER'!$W$2:$W$495&gt;=7))*ROW('CONTROL MASTER'!$S$2:$S$495))-(ROW('CONTROL MASTER'!#REF!)-1))),IF(SUMPRODUCT((('CONTROL MASTER'!$S$2:$S$495=3)*('CONTROL MASTER'!$Z$2:$Z$495&lt;=7)*('CONTROL MASTER'!$AB$2:$AB$495&gt;=7)*('CONTROL MASTER'!$AA$2:$AA$495&lt;=7)*('CONTROL MASTER'!$AC$2:$AC$495&gt;=7))*ROW('CONTROL MASTER'!$S$2:$S$495))&gt;0,INDEX('CONTROL MASTER'!$X$2:$X$495,(SUMPRODUCT((('CONTROL MASTER'!$S$2:$S$495=3)*('CONTROL MASTER'!$Z$2:$Z$495&lt;=7)*('CONTROL MASTER'!$AB$2:$AB$495&gt;=7)*('CONTROL MASTER'!$AA$2:$AA$495&lt;=7)*('CONTROL MASTER'!$AC$2:$AC$495&gt;=7))*ROW('CONTROL MASTER'!$S$2:$S$495))-(ROW('CONTROL MASTER'!#REF!)-1)))&amp;TRIM(MID(SUBSTITUTE(SUBSTITUTE(INDEX('CONTROL MASTER'!$N$2:$N$495,(SUMPRODUCT((('CONTROL MASTER'!$S$2:$S$495=3)*('CONTROL MASTER'!$Z$2:$Z$495&lt;=7)*('CONTROL MASTER'!$AB$2:$AB$495&gt;=7)*('CONTROL MASTER'!$AA$2:$AA$495&lt;=7)*('CONTROL MASTER'!$AC$2:$AC$495&gt;=7))*ROW('CONTROL MASTER'!$S$2:$S$495))-(ROW('CONTROL MASTER'!#REF!)-1))),":",","),",",REPT(" ",50)),(((INDEX('CONTROL MASTER'!$Y$2:$Y$495,(SUMPRODUCT((('CONTROL MASTER'!$S$2:$S$495=3)*('CONTROL MASTER'!$Z$2:$Z$495&lt;=7)*('CONTROL MASTER'!$AB$2:$AB$495&gt;=7)*('CONTROL MASTER'!$AA$2:$AA$495&lt;=7)*('CONTROL MASTER'!$AC$2:$AC$495&gt;=7))*ROW('CONTROL MASTER'!$S$2:$S$495))-(ROW('CONTROL MASTER'!#REF!)-1)))+((7-INDEX('CONTROL MASTER'!$Z$2:$Z$495,(SUMPRODUCT((('CONTROL MASTER'!$S$2:$S$495=3)*('CONTROL MASTER'!$Z$2:$Z$495&lt;=7)*('CONTROL MASTER'!$AB$2:$AB$495&gt;=7)*('CONTROL MASTER'!$AA$2:$AA$495&lt;=7)*('CONTROL MASTER'!$AC$2:$AC$495&gt;=7))*ROW('CONTROL MASTER'!$S$2:$S$495))-(ROW('CONTROL MASTER'!#REF!)-1))))*(INDEX('CONTROL MASTER'!$AC$2:$AC$495,(SUMPRODUCT((('CONTROL MASTER'!$S$2:$S$495=3)*('CONTROL MASTER'!$Z$2:$Z$495&lt;=7)*('CONTROL MASTER'!$AB$2:$AB$495&gt;=7)*('CONTROL MASTER'!$AA$2:$AA$495&lt;=7)*('CONTROL MASTER'!$AC$2:$AC$495&gt;=7))*ROW('CONTROL MASTER'!$S$2:$S$495))-(ROW('CONTROL MASTER'!#REF!)-1)))-INDEX('CONTROL MASTER'!$AA$2:$AA$495,(SUMPRODUCT((('CONTROL MASTER'!$S$2:$S$495=3)*('CONTROL MASTER'!$Z$2:$Z$495&lt;=7)*('CONTROL MASTER'!$AB$2:$AB$495&gt;=7)*('CONTROL MASTER'!$AA$2:$AA$495&lt;=7)*('CONTROL MASTER'!$AC$2:$AC$495&gt;=7))*ROW('CONTROL MASTER'!$S$2:$S$495))-(ROW('CONTROL MASTER'!#REF!)-1)))+1)+(7-INDEX('CONTROL MASTER'!$AA$2:$AA$495,(SUMPRODUCT((('CONTROL MASTER'!$S$2:$S$495=3)*('CONTROL MASTER'!$Z$2:$Z$495&lt;=7)*('CONTROL MASTER'!$AB$2:$AB$495&gt;=7)*('CONTROL MASTER'!$AA$2:$AA$495&lt;=7)*('CONTROL MASTER'!$AC$2:$AC$495&gt;=7))*ROW('CONTROL MASTER'!$S$2:$S$495))-(ROW('CONTROL MASTER'!#REF!)-1))))+1)))-1)*50+1,50))&amp;"_"&amp;INDEX('CONTROL MASTER'!$P$2:$P$495,(SUMPRODUCT((('CONTROL MASTER'!$S$2:$S$495=3)*('CONTROL MASTER'!$Z$2:$Z$495&lt;=7)*('CONTROL MASTER'!$AB$2:$AB$495&gt;=7)*('CONTROL MASTER'!$AA$2:$AA$495&lt;=7)*('CONTROL MASTER'!$AC$2:$AC$495&gt;=7))*ROW('CONTROL MASTER'!$S$2:$S$495))-(ROW('CONTROL MASTER'!#REF!)-1))),"")),"")</f>
        <v/>
      </c>
      <c r="I37" s="10" t="str">
        <f>IFERROR(IF(SUMPRODUCT((('CONTROL MASTER'!$S$2:$S$495=3)*('CONTROL MASTER'!$T$2:$T$495&lt;=7)*('CONTROL MASTER'!$V$2:$V$495&gt;=7)*('CONTROL MASTER'!$U$2:$U$495&lt;=8)*('CONTROL MASTER'!$W$2:$W$495&gt;=8))*ROW('CONTROL MASTER'!$S$2:$S$495))&gt;0,INDEX('CONTROL MASTER'!$X$2:$X$495,(SUMPRODUCT((('CONTROL MASTER'!$S$2:$S$495=3)*('CONTROL MASTER'!$T$2:$T$495&lt;=7)*('CONTROL MASTER'!$V$2:$V$495&gt;=7)*('CONTROL MASTER'!$U$2:$U$495&lt;=8)*('CONTROL MASTER'!$W$2:$W$495&gt;=8))*ROW('CONTROL MASTER'!$S$2:$S$495))-(ROW('CONTROL MASTER'!#REF!)-1)))&amp;TRIM(MID(SUBSTITUTE(SUBSTITUTE(INDEX('CONTROL MASTER'!$N$2:$N$495,(SUMPRODUCT((('CONTROL MASTER'!$S$2:$S$495=3)*('CONTROL MASTER'!$T$2:$T$495&lt;=7)*('CONTROL MASTER'!$V$2:$V$495&gt;=7)*('CONTROL MASTER'!$U$2:$U$495&lt;=8)*('CONTROL MASTER'!$W$2:$W$495&gt;=8))*ROW('CONTROL MASTER'!$S$2:$S$495))-(ROW('CONTROL MASTER'!#REF!)-1))),":",","),",",REPT(" ",50)),((((7-INDEX('CONTROL MASTER'!$T$2:$T$495,(SUMPRODUCT((('CONTROL MASTER'!$S$2:$S$495=3)*('CONTROL MASTER'!$T$2:$T$495&lt;=7)*('CONTROL MASTER'!$V$2:$V$495&gt;=7)*('CONTROL MASTER'!$U$2:$U$495&lt;=8)*('CONTROL MASTER'!$W$2:$W$495&gt;=8))*ROW('CONTROL MASTER'!$S$2:$S$495))-(ROW('CONTROL MASTER'!#REF!)-1))))*(INDEX('CONTROL MASTER'!$W$2:$W$495,(SUMPRODUCT((('CONTROL MASTER'!$S$2:$S$495=3)*('CONTROL MASTER'!$T$2:$T$495&lt;=7)*('CONTROL MASTER'!$V$2:$V$495&gt;=7)*('CONTROL MASTER'!$U$2:$U$495&lt;=8)*('CONTROL MASTER'!$W$2:$W$495&gt;=8))*ROW('CONTROL MASTER'!$S$2:$S$495))-(ROW('CONTROL MASTER'!#REF!)-1)))-INDEX('CONTROL MASTER'!$U$2:$U$495,(SUMPRODUCT((('CONTROL MASTER'!$S$2:$S$495=3)*('CONTROL MASTER'!$T$2:$T$495&lt;=7)*('CONTROL MASTER'!$V$2:$V$495&gt;=7)*('CONTROL MASTER'!$U$2:$U$495&lt;=8)*('CONTROL MASTER'!$W$2:$W$495&gt;=8))*ROW('CONTROL MASTER'!$S$2:$S$495))-(ROW('CONTROL MASTER'!#REF!)-1)))+1)+(8-INDEX('CONTROL MASTER'!$U$2:$U$495,(SUMPRODUCT((('CONTROL MASTER'!$S$2:$S$495=3)*('CONTROL MASTER'!$T$2:$T$495&lt;=7)*('CONTROL MASTER'!$V$2:$V$495&gt;=7)*('CONTROL MASTER'!$U$2:$U$495&lt;=8)*('CONTROL MASTER'!$W$2:$W$495&gt;=8))*ROW('CONTROL MASTER'!$S$2:$S$495))-(ROW('CONTROL MASTER'!#REF!)-1))))+1))-1)*50+1,50))&amp;"_"&amp;INDEX('CONTROL MASTER'!$P$2:$P$495,(SUMPRODUCT((('CONTROL MASTER'!$S$2:$S$495=3)*('CONTROL MASTER'!$T$2:$T$495&lt;=7)*('CONTROL MASTER'!$V$2:$V$495&gt;=7)*('CONTROL MASTER'!$U$2:$U$495&lt;=8)*('CONTROL MASTER'!$W$2:$W$495&gt;=8))*ROW('CONTROL MASTER'!$S$2:$S$495))-(ROW('CONTROL MASTER'!#REF!)-1))),IF(SUMPRODUCT((('CONTROL MASTER'!$S$2:$S$495=3)*('CONTROL MASTER'!$Z$2:$Z$495&lt;=7)*('CONTROL MASTER'!$AB$2:$AB$495&gt;=7)*('CONTROL MASTER'!$AA$2:$AA$495&lt;=8)*('CONTROL MASTER'!$AC$2:$AC$495&gt;=8))*ROW('CONTROL MASTER'!$S$2:$S$495))&gt;0,INDEX('CONTROL MASTER'!$X$2:$X$495,(SUMPRODUCT((('CONTROL MASTER'!$S$2:$S$495=3)*('CONTROL MASTER'!$Z$2:$Z$495&lt;=7)*('CONTROL MASTER'!$AB$2:$AB$495&gt;=7)*('CONTROL MASTER'!$AA$2:$AA$495&lt;=8)*('CONTROL MASTER'!$AC$2:$AC$495&gt;=8))*ROW('CONTROL MASTER'!$S$2:$S$495))-(ROW('CONTROL MASTER'!#REF!)-1)))&amp;TRIM(MID(SUBSTITUTE(SUBSTITUTE(INDEX('CONTROL MASTER'!$N$2:$N$495,(SUMPRODUCT((('CONTROL MASTER'!$S$2:$S$495=3)*('CONTROL MASTER'!$Z$2:$Z$495&lt;=7)*('CONTROL MASTER'!$AB$2:$AB$495&gt;=7)*('CONTROL MASTER'!$AA$2:$AA$495&lt;=8)*('CONTROL MASTER'!$AC$2:$AC$495&gt;=8))*ROW('CONTROL MASTER'!$S$2:$S$495))-(ROW('CONTROL MASTER'!#REF!)-1))),":",","),",",REPT(" ",50)),(((INDEX('CONTROL MASTER'!$Y$2:$Y$495,(SUMPRODUCT((('CONTROL MASTER'!$S$2:$S$495=3)*('CONTROL MASTER'!$Z$2:$Z$495&lt;=7)*('CONTROL MASTER'!$AB$2:$AB$495&gt;=7)*('CONTROL MASTER'!$AA$2:$AA$495&lt;=8)*('CONTROL MASTER'!$AC$2:$AC$495&gt;=8))*ROW('CONTROL MASTER'!$S$2:$S$495))-(ROW('CONTROL MASTER'!#REF!)-1)))+((7-INDEX('CONTROL MASTER'!$Z$2:$Z$495,(SUMPRODUCT((('CONTROL MASTER'!$S$2:$S$495=3)*('CONTROL MASTER'!$Z$2:$Z$495&lt;=7)*('CONTROL MASTER'!$AB$2:$AB$495&gt;=7)*('CONTROL MASTER'!$AA$2:$AA$495&lt;=8)*('CONTROL MASTER'!$AC$2:$AC$495&gt;=8))*ROW('CONTROL MASTER'!$S$2:$S$495))-(ROW('CONTROL MASTER'!#REF!)-1))))*(INDEX('CONTROL MASTER'!$AC$2:$AC$495,(SUMPRODUCT((('CONTROL MASTER'!$S$2:$S$495=3)*('CONTROL MASTER'!$Z$2:$Z$495&lt;=7)*('CONTROL MASTER'!$AB$2:$AB$495&gt;=7)*('CONTROL MASTER'!$AA$2:$AA$495&lt;=8)*('CONTROL MASTER'!$AC$2:$AC$495&gt;=8))*ROW('CONTROL MASTER'!$S$2:$S$495))-(ROW('CONTROL MASTER'!#REF!)-1)))-INDEX('CONTROL MASTER'!$AA$2:$AA$495,(SUMPRODUCT((('CONTROL MASTER'!$S$2:$S$495=3)*('CONTROL MASTER'!$Z$2:$Z$495&lt;=7)*('CONTROL MASTER'!$AB$2:$AB$495&gt;=7)*('CONTROL MASTER'!$AA$2:$AA$495&lt;=8)*('CONTROL MASTER'!$AC$2:$AC$495&gt;=8))*ROW('CONTROL MASTER'!$S$2:$S$495))-(ROW('CONTROL MASTER'!#REF!)-1)))+1)+(8-INDEX('CONTROL MASTER'!$AA$2:$AA$495,(SUMPRODUCT((('CONTROL MASTER'!$S$2:$S$495=3)*('CONTROL MASTER'!$Z$2:$Z$495&lt;=7)*('CONTROL MASTER'!$AB$2:$AB$495&gt;=7)*('CONTROL MASTER'!$AA$2:$AA$495&lt;=8)*('CONTROL MASTER'!$AC$2:$AC$495&gt;=8))*ROW('CONTROL MASTER'!$S$2:$S$495))-(ROW('CONTROL MASTER'!#REF!)-1))))+1)))-1)*50+1,50))&amp;"_"&amp;INDEX('CONTROL MASTER'!$P$2:$P$495,(SUMPRODUCT((('CONTROL MASTER'!$S$2:$S$495=3)*('CONTROL MASTER'!$Z$2:$Z$495&lt;=7)*('CONTROL MASTER'!$AB$2:$AB$495&gt;=7)*('CONTROL MASTER'!$AA$2:$AA$495&lt;=8)*('CONTROL MASTER'!$AC$2:$AC$495&gt;=8))*ROW('CONTROL MASTER'!$S$2:$S$495))-(ROW('CONTROL MASTER'!#REF!)-1))),"")),"")</f>
        <v/>
      </c>
      <c r="J37" s="10" t="str">
        <f>IFERROR(IF(SUMPRODUCT((('CONTROL MASTER'!$S$2:$S$495=3)*('CONTROL MASTER'!$T$2:$T$495&lt;=7)*('CONTROL MASTER'!$V$2:$V$495&gt;=7)*('CONTROL MASTER'!$U$2:$U$495&lt;=9)*('CONTROL MASTER'!$W$2:$W$495&gt;=9))*ROW('CONTROL MASTER'!$S$2:$S$495))&gt;0,INDEX('CONTROL MASTER'!$X$2:$X$495,(SUMPRODUCT((('CONTROL MASTER'!$S$2:$S$495=3)*('CONTROL MASTER'!$T$2:$T$495&lt;=7)*('CONTROL MASTER'!$V$2:$V$495&gt;=7)*('CONTROL MASTER'!$U$2:$U$495&lt;=9)*('CONTROL MASTER'!$W$2:$W$495&gt;=9))*ROW('CONTROL MASTER'!$S$2:$S$495))-(ROW('CONTROL MASTER'!#REF!)-1)))&amp;TRIM(MID(SUBSTITUTE(SUBSTITUTE(INDEX('CONTROL MASTER'!$N$2:$N$495,(SUMPRODUCT((('CONTROL MASTER'!$S$2:$S$495=3)*('CONTROL MASTER'!$T$2:$T$495&lt;=7)*('CONTROL MASTER'!$V$2:$V$495&gt;=7)*('CONTROL MASTER'!$U$2:$U$495&lt;=9)*('CONTROL MASTER'!$W$2:$W$495&gt;=9))*ROW('CONTROL MASTER'!$S$2:$S$495))-(ROW('CONTROL MASTER'!#REF!)-1))),":",","),",",REPT(" ",50)),((((7-INDEX('CONTROL MASTER'!$T$2:$T$495,(SUMPRODUCT((('CONTROL MASTER'!$S$2:$S$495=3)*('CONTROL MASTER'!$T$2:$T$495&lt;=7)*('CONTROL MASTER'!$V$2:$V$495&gt;=7)*('CONTROL MASTER'!$U$2:$U$495&lt;=9)*('CONTROL MASTER'!$W$2:$W$495&gt;=9))*ROW('CONTROL MASTER'!$S$2:$S$495))-(ROW('CONTROL MASTER'!#REF!)-1))))*(INDEX('CONTROL MASTER'!$W$2:$W$495,(SUMPRODUCT((('CONTROL MASTER'!$S$2:$S$495=3)*('CONTROL MASTER'!$T$2:$T$495&lt;=7)*('CONTROL MASTER'!$V$2:$V$495&gt;=7)*('CONTROL MASTER'!$U$2:$U$495&lt;=9)*('CONTROL MASTER'!$W$2:$W$495&gt;=9))*ROW('CONTROL MASTER'!$S$2:$S$495))-(ROW('CONTROL MASTER'!#REF!)-1)))-INDEX('CONTROL MASTER'!$U$2:$U$495,(SUMPRODUCT((('CONTROL MASTER'!$S$2:$S$495=3)*('CONTROL MASTER'!$T$2:$T$495&lt;=7)*('CONTROL MASTER'!$V$2:$V$495&gt;=7)*('CONTROL MASTER'!$U$2:$U$495&lt;=9)*('CONTROL MASTER'!$W$2:$W$495&gt;=9))*ROW('CONTROL MASTER'!$S$2:$S$495))-(ROW('CONTROL MASTER'!#REF!)-1)))+1)+(9-INDEX('CONTROL MASTER'!$U$2:$U$495,(SUMPRODUCT((('CONTROL MASTER'!$S$2:$S$495=3)*('CONTROL MASTER'!$T$2:$T$495&lt;=7)*('CONTROL MASTER'!$V$2:$V$495&gt;=7)*('CONTROL MASTER'!$U$2:$U$495&lt;=9)*('CONTROL MASTER'!$W$2:$W$495&gt;=9))*ROW('CONTROL MASTER'!$S$2:$S$495))-(ROW('CONTROL MASTER'!#REF!)-1))))+1))-1)*50+1,50))&amp;"_"&amp;INDEX('CONTROL MASTER'!$P$2:$P$495,(SUMPRODUCT((('CONTROL MASTER'!$S$2:$S$495=3)*('CONTROL MASTER'!$T$2:$T$495&lt;=7)*('CONTROL MASTER'!$V$2:$V$495&gt;=7)*('CONTROL MASTER'!$U$2:$U$495&lt;=9)*('CONTROL MASTER'!$W$2:$W$495&gt;=9))*ROW('CONTROL MASTER'!$S$2:$S$495))-(ROW('CONTROL MASTER'!#REF!)-1))),IF(SUMPRODUCT((('CONTROL MASTER'!$S$2:$S$495=3)*('CONTROL MASTER'!$Z$2:$Z$495&lt;=7)*('CONTROL MASTER'!$AB$2:$AB$495&gt;=7)*('CONTROL MASTER'!$AA$2:$AA$495&lt;=9)*('CONTROL MASTER'!$AC$2:$AC$495&gt;=9))*ROW('CONTROL MASTER'!$S$2:$S$495))&gt;0,INDEX('CONTROL MASTER'!$X$2:$X$495,(SUMPRODUCT((('CONTROL MASTER'!$S$2:$S$495=3)*('CONTROL MASTER'!$Z$2:$Z$495&lt;=7)*('CONTROL MASTER'!$AB$2:$AB$495&gt;=7)*('CONTROL MASTER'!$AA$2:$AA$495&lt;=9)*('CONTROL MASTER'!$AC$2:$AC$495&gt;=9))*ROW('CONTROL MASTER'!$S$2:$S$495))-(ROW('CONTROL MASTER'!#REF!)-1)))&amp;TRIM(MID(SUBSTITUTE(SUBSTITUTE(INDEX('CONTROL MASTER'!$N$2:$N$495,(SUMPRODUCT((('CONTROL MASTER'!$S$2:$S$495=3)*('CONTROL MASTER'!$Z$2:$Z$495&lt;=7)*('CONTROL MASTER'!$AB$2:$AB$495&gt;=7)*('CONTROL MASTER'!$AA$2:$AA$495&lt;=9)*('CONTROL MASTER'!$AC$2:$AC$495&gt;=9))*ROW('CONTROL MASTER'!$S$2:$S$495))-(ROW('CONTROL MASTER'!#REF!)-1))),":",","),",",REPT(" ",50)),(((INDEX('CONTROL MASTER'!$Y$2:$Y$495,(SUMPRODUCT((('CONTROL MASTER'!$S$2:$S$495=3)*('CONTROL MASTER'!$Z$2:$Z$495&lt;=7)*('CONTROL MASTER'!$AB$2:$AB$495&gt;=7)*('CONTROL MASTER'!$AA$2:$AA$495&lt;=9)*('CONTROL MASTER'!$AC$2:$AC$495&gt;=9))*ROW('CONTROL MASTER'!$S$2:$S$495))-(ROW('CONTROL MASTER'!#REF!)-1)))+((7-INDEX('CONTROL MASTER'!$Z$2:$Z$495,(SUMPRODUCT((('CONTROL MASTER'!$S$2:$S$495=3)*('CONTROL MASTER'!$Z$2:$Z$495&lt;=7)*('CONTROL MASTER'!$AB$2:$AB$495&gt;=7)*('CONTROL MASTER'!$AA$2:$AA$495&lt;=9)*('CONTROL MASTER'!$AC$2:$AC$495&gt;=9))*ROW('CONTROL MASTER'!$S$2:$S$495))-(ROW('CONTROL MASTER'!#REF!)-1))))*(INDEX('CONTROL MASTER'!$AC$2:$AC$495,(SUMPRODUCT((('CONTROL MASTER'!$S$2:$S$495=3)*('CONTROL MASTER'!$Z$2:$Z$495&lt;=7)*('CONTROL MASTER'!$AB$2:$AB$495&gt;=7)*('CONTROL MASTER'!$AA$2:$AA$495&lt;=9)*('CONTROL MASTER'!$AC$2:$AC$495&gt;=9))*ROW('CONTROL MASTER'!$S$2:$S$495))-(ROW('CONTROL MASTER'!#REF!)-1)))-INDEX('CONTROL MASTER'!$AA$2:$AA$495,(SUMPRODUCT((('CONTROL MASTER'!$S$2:$S$495=3)*('CONTROL MASTER'!$Z$2:$Z$495&lt;=7)*('CONTROL MASTER'!$AB$2:$AB$495&gt;=7)*('CONTROL MASTER'!$AA$2:$AA$495&lt;=9)*('CONTROL MASTER'!$AC$2:$AC$495&gt;=9))*ROW('CONTROL MASTER'!$S$2:$S$495))-(ROW('CONTROL MASTER'!#REF!)-1)))+1)+(9-INDEX('CONTROL MASTER'!$AA$2:$AA$495,(SUMPRODUCT((('CONTROL MASTER'!$S$2:$S$495=3)*('CONTROL MASTER'!$Z$2:$Z$495&lt;=7)*('CONTROL MASTER'!$AB$2:$AB$495&gt;=7)*('CONTROL MASTER'!$AA$2:$AA$495&lt;=9)*('CONTROL MASTER'!$AC$2:$AC$495&gt;=9))*ROW('CONTROL MASTER'!$S$2:$S$495))-(ROW('CONTROL MASTER'!#REF!)-1))))+1)))-1)*50+1,50))&amp;"_"&amp;INDEX('CONTROL MASTER'!$P$2:$P$495,(SUMPRODUCT((('CONTROL MASTER'!$S$2:$S$495=3)*('CONTROL MASTER'!$Z$2:$Z$495&lt;=7)*('CONTROL MASTER'!$AB$2:$AB$495&gt;=7)*('CONTROL MASTER'!$AA$2:$AA$495&lt;=9)*('CONTROL MASTER'!$AC$2:$AC$495&gt;=9))*ROW('CONTROL MASTER'!$S$2:$S$495))-(ROW('CONTROL MASTER'!#REF!)-1))),"")),"")</f>
        <v/>
      </c>
      <c r="K37" s="10" t="str">
        <f>IFERROR(IF(SUMPRODUCT((('CONTROL MASTER'!$S$2:$S$495=3)*('CONTROL MASTER'!$T$2:$T$495&lt;=7)*('CONTROL MASTER'!$V$2:$V$495&gt;=7)*('CONTROL MASTER'!$U$2:$U$495&lt;=10)*('CONTROL MASTER'!$W$2:$W$495&gt;=10))*ROW('CONTROL MASTER'!$S$2:$S$495))&gt;0,INDEX('CONTROL MASTER'!$X$2:$X$495,(SUMPRODUCT((('CONTROL MASTER'!$S$2:$S$495=3)*('CONTROL MASTER'!$T$2:$T$495&lt;=7)*('CONTROL MASTER'!$V$2:$V$495&gt;=7)*('CONTROL MASTER'!$U$2:$U$495&lt;=10)*('CONTROL MASTER'!$W$2:$W$495&gt;=10))*ROW('CONTROL MASTER'!$S$2:$S$495))-(ROW('CONTROL MASTER'!#REF!)-1)))&amp;TRIM(MID(SUBSTITUTE(SUBSTITUTE(INDEX('CONTROL MASTER'!$N$2:$N$495,(SUMPRODUCT((('CONTROL MASTER'!$S$2:$S$495=3)*('CONTROL MASTER'!$T$2:$T$495&lt;=7)*('CONTROL MASTER'!$V$2:$V$495&gt;=7)*('CONTROL MASTER'!$U$2:$U$495&lt;=10)*('CONTROL MASTER'!$W$2:$W$495&gt;=10))*ROW('CONTROL MASTER'!$S$2:$S$495))-(ROW('CONTROL MASTER'!#REF!)-1))),":",","),",",REPT(" ",50)),((((7-INDEX('CONTROL MASTER'!$T$2:$T$495,(SUMPRODUCT((('CONTROL MASTER'!$S$2:$S$495=3)*('CONTROL MASTER'!$T$2:$T$495&lt;=7)*('CONTROL MASTER'!$V$2:$V$495&gt;=7)*('CONTROL MASTER'!$U$2:$U$495&lt;=10)*('CONTROL MASTER'!$W$2:$W$495&gt;=10))*ROW('CONTROL MASTER'!$S$2:$S$495))-(ROW('CONTROL MASTER'!#REF!)-1))))*(INDEX('CONTROL MASTER'!$W$2:$W$495,(SUMPRODUCT((('CONTROL MASTER'!$S$2:$S$495=3)*('CONTROL MASTER'!$T$2:$T$495&lt;=7)*('CONTROL MASTER'!$V$2:$V$495&gt;=7)*('CONTROL MASTER'!$U$2:$U$495&lt;=10)*('CONTROL MASTER'!$W$2:$W$495&gt;=10))*ROW('CONTROL MASTER'!$S$2:$S$495))-(ROW('CONTROL MASTER'!#REF!)-1)))-INDEX('CONTROL MASTER'!$U$2:$U$495,(SUMPRODUCT((('CONTROL MASTER'!$S$2:$S$495=3)*('CONTROL MASTER'!$T$2:$T$495&lt;=7)*('CONTROL MASTER'!$V$2:$V$495&gt;=7)*('CONTROL MASTER'!$U$2:$U$495&lt;=10)*('CONTROL MASTER'!$W$2:$W$495&gt;=10))*ROW('CONTROL MASTER'!$S$2:$S$495))-(ROW('CONTROL MASTER'!#REF!)-1)))+1)+(10-INDEX('CONTROL MASTER'!$U$2:$U$495,(SUMPRODUCT((('CONTROL MASTER'!$S$2:$S$495=3)*('CONTROL MASTER'!$T$2:$T$495&lt;=7)*('CONTROL MASTER'!$V$2:$V$495&gt;=7)*('CONTROL MASTER'!$U$2:$U$495&lt;=10)*('CONTROL MASTER'!$W$2:$W$495&gt;=10))*ROW('CONTROL MASTER'!$S$2:$S$495))-(ROW('CONTROL MASTER'!#REF!)-1))))+1))-1)*50+1,50))&amp;"_"&amp;INDEX('CONTROL MASTER'!$P$2:$P$495,(SUMPRODUCT((('CONTROL MASTER'!$S$2:$S$495=3)*('CONTROL MASTER'!$T$2:$T$495&lt;=7)*('CONTROL MASTER'!$V$2:$V$495&gt;=7)*('CONTROL MASTER'!$U$2:$U$495&lt;=10)*('CONTROL MASTER'!$W$2:$W$495&gt;=10))*ROW('CONTROL MASTER'!$S$2:$S$495))-(ROW('CONTROL MASTER'!#REF!)-1))),IF(SUMPRODUCT((('CONTROL MASTER'!$S$2:$S$495=3)*('CONTROL MASTER'!$Z$2:$Z$495&lt;=7)*('CONTROL MASTER'!$AB$2:$AB$495&gt;=7)*('CONTROL MASTER'!$AA$2:$AA$495&lt;=10)*('CONTROL MASTER'!$AC$2:$AC$495&gt;=10))*ROW('CONTROL MASTER'!$S$2:$S$495))&gt;0,INDEX('CONTROL MASTER'!$X$2:$X$495,(SUMPRODUCT((('CONTROL MASTER'!$S$2:$S$495=3)*('CONTROL MASTER'!$Z$2:$Z$495&lt;=7)*('CONTROL MASTER'!$AB$2:$AB$495&gt;=7)*('CONTROL MASTER'!$AA$2:$AA$495&lt;=10)*('CONTROL MASTER'!$AC$2:$AC$495&gt;=10))*ROW('CONTROL MASTER'!$S$2:$S$495))-(ROW('CONTROL MASTER'!#REF!)-1)))&amp;TRIM(MID(SUBSTITUTE(SUBSTITUTE(INDEX('CONTROL MASTER'!$N$2:$N$495,(SUMPRODUCT((('CONTROL MASTER'!$S$2:$S$495=3)*('CONTROL MASTER'!$Z$2:$Z$495&lt;=7)*('CONTROL MASTER'!$AB$2:$AB$495&gt;=7)*('CONTROL MASTER'!$AA$2:$AA$495&lt;=10)*('CONTROL MASTER'!$AC$2:$AC$495&gt;=10))*ROW('CONTROL MASTER'!$S$2:$S$495))-(ROW('CONTROL MASTER'!#REF!)-1))),":",","),",",REPT(" ",50)),(((INDEX('CONTROL MASTER'!$Y$2:$Y$495,(SUMPRODUCT((('CONTROL MASTER'!$S$2:$S$495=3)*('CONTROL MASTER'!$Z$2:$Z$495&lt;=7)*('CONTROL MASTER'!$AB$2:$AB$495&gt;=7)*('CONTROL MASTER'!$AA$2:$AA$495&lt;=10)*('CONTROL MASTER'!$AC$2:$AC$495&gt;=10))*ROW('CONTROL MASTER'!$S$2:$S$495))-(ROW('CONTROL MASTER'!#REF!)-1)))+((7-INDEX('CONTROL MASTER'!$Z$2:$Z$495,(SUMPRODUCT((('CONTROL MASTER'!$S$2:$S$495=3)*('CONTROL MASTER'!$Z$2:$Z$495&lt;=7)*('CONTROL MASTER'!$AB$2:$AB$495&gt;=7)*('CONTROL MASTER'!$AA$2:$AA$495&lt;=10)*('CONTROL MASTER'!$AC$2:$AC$495&gt;=10))*ROW('CONTROL MASTER'!$S$2:$S$495))-(ROW('CONTROL MASTER'!#REF!)-1))))*(INDEX('CONTROL MASTER'!$AC$2:$AC$495,(SUMPRODUCT((('CONTROL MASTER'!$S$2:$S$495=3)*('CONTROL MASTER'!$Z$2:$Z$495&lt;=7)*('CONTROL MASTER'!$AB$2:$AB$495&gt;=7)*('CONTROL MASTER'!$AA$2:$AA$495&lt;=10)*('CONTROL MASTER'!$AC$2:$AC$495&gt;=10))*ROW('CONTROL MASTER'!$S$2:$S$495))-(ROW('CONTROL MASTER'!#REF!)-1)))-INDEX('CONTROL MASTER'!$AA$2:$AA$495,(SUMPRODUCT((('CONTROL MASTER'!$S$2:$S$495=3)*('CONTROL MASTER'!$Z$2:$Z$495&lt;=7)*('CONTROL MASTER'!$AB$2:$AB$495&gt;=7)*('CONTROL MASTER'!$AA$2:$AA$495&lt;=10)*('CONTROL MASTER'!$AC$2:$AC$495&gt;=10))*ROW('CONTROL MASTER'!$S$2:$S$495))-(ROW('CONTROL MASTER'!#REF!)-1)))+1)+(10-INDEX('CONTROL MASTER'!$AA$2:$AA$495,(SUMPRODUCT((('CONTROL MASTER'!$S$2:$S$495=3)*('CONTROL MASTER'!$Z$2:$Z$495&lt;=7)*('CONTROL MASTER'!$AB$2:$AB$495&gt;=7)*('CONTROL MASTER'!$AA$2:$AA$495&lt;=10)*('CONTROL MASTER'!$AC$2:$AC$495&gt;=10))*ROW('CONTROL MASTER'!$S$2:$S$495))-(ROW('CONTROL MASTER'!#REF!)-1))))+1)))-1)*50+1,50))&amp;"_"&amp;INDEX('CONTROL MASTER'!$P$2:$P$495,(SUMPRODUCT((('CONTROL MASTER'!$S$2:$S$495=3)*('CONTROL MASTER'!$Z$2:$Z$495&lt;=7)*('CONTROL MASTER'!$AB$2:$AB$495&gt;=7)*('CONTROL MASTER'!$AA$2:$AA$495&lt;=10)*('CONTROL MASTER'!$AC$2:$AC$495&gt;=10))*ROW('CONTROL MASTER'!$S$2:$S$495))-(ROW('CONTROL MASTER'!#REF!)-1))),"")),"")</f>
        <v/>
      </c>
    </row>
    <row r="38" spans="1:11" ht="15" customHeight="1" x14ac:dyDescent="0.35">
      <c r="A38" s="8" t="s">
        <v>35</v>
      </c>
      <c r="B38" s="10" t="str">
        <f>IFERROR(IF(SUMPRODUCT((('CONTROL MASTER'!$S$2:$S$495=3)*('CONTROL MASTER'!$T$2:$T$495&lt;=8)*('CONTROL MASTER'!$V$2:$V$495&gt;=8)*('CONTROL MASTER'!$U$2:$U$495&lt;=1)*('CONTROL MASTER'!$W$2:$W$495&gt;=1))*ROW('CONTROL MASTER'!$S$2:$S$495))&gt;0,INDEX('CONTROL MASTER'!$X$2:$X$495,(SUMPRODUCT((('CONTROL MASTER'!$S$2:$S$495=3)*('CONTROL MASTER'!$T$2:$T$495&lt;=8)*('CONTROL MASTER'!$V$2:$V$495&gt;=8)*('CONTROL MASTER'!$U$2:$U$495&lt;=1)*('CONTROL MASTER'!$W$2:$W$495&gt;=1))*ROW('CONTROL MASTER'!$S$2:$S$495))-(ROW('CONTROL MASTER'!#REF!)-1)))&amp;TRIM(MID(SUBSTITUTE(SUBSTITUTE(INDEX('CONTROL MASTER'!$N$2:$N$495,(SUMPRODUCT((('CONTROL MASTER'!$S$2:$S$495=3)*('CONTROL MASTER'!$T$2:$T$495&lt;=8)*('CONTROL MASTER'!$V$2:$V$495&gt;=8)*('CONTROL MASTER'!$U$2:$U$495&lt;=1)*('CONTROL MASTER'!$W$2:$W$495&gt;=1))*ROW('CONTROL MASTER'!$S$2:$S$495))-(ROW('CONTROL MASTER'!#REF!)-1))),":",","),",",REPT(" ",50)),((((8-INDEX('CONTROL MASTER'!$T$2:$T$495,(SUMPRODUCT((('CONTROL MASTER'!$S$2:$S$495=3)*('CONTROL MASTER'!$T$2:$T$495&lt;=8)*('CONTROL MASTER'!$V$2:$V$495&gt;=8)*('CONTROL MASTER'!$U$2:$U$495&lt;=1)*('CONTROL MASTER'!$W$2:$W$495&gt;=1))*ROW('CONTROL MASTER'!$S$2:$S$495))-(ROW('CONTROL MASTER'!#REF!)-1))))*(INDEX('CONTROL MASTER'!$W$2:$W$495,(SUMPRODUCT((('CONTROL MASTER'!$S$2:$S$495=3)*('CONTROL MASTER'!$T$2:$T$495&lt;=8)*('CONTROL MASTER'!$V$2:$V$495&gt;=8)*('CONTROL MASTER'!$U$2:$U$495&lt;=1)*('CONTROL MASTER'!$W$2:$W$495&gt;=1))*ROW('CONTROL MASTER'!$S$2:$S$495))-(ROW('CONTROL MASTER'!#REF!)-1)))-INDEX('CONTROL MASTER'!$U$2:$U$495,(SUMPRODUCT((('CONTROL MASTER'!$S$2:$S$495=3)*('CONTROL MASTER'!$T$2:$T$495&lt;=8)*('CONTROL MASTER'!$V$2:$V$495&gt;=8)*('CONTROL MASTER'!$U$2:$U$495&lt;=1)*('CONTROL MASTER'!$W$2:$W$495&gt;=1))*ROW('CONTROL MASTER'!$S$2:$S$495))-(ROW('CONTROL MASTER'!#REF!)-1)))+1)+(1-INDEX('CONTROL MASTER'!$U$2:$U$495,(SUMPRODUCT((('CONTROL MASTER'!$S$2:$S$495=3)*('CONTROL MASTER'!$T$2:$T$495&lt;=8)*('CONTROL MASTER'!$V$2:$V$495&gt;=8)*('CONTROL MASTER'!$U$2:$U$495&lt;=1)*('CONTROL MASTER'!$W$2:$W$495&gt;=1))*ROW('CONTROL MASTER'!$S$2:$S$495))-(ROW('CONTROL MASTER'!#REF!)-1))))+1))-1)*50+1,50))&amp;"_"&amp;INDEX('CONTROL MASTER'!$P$2:$P$495,(SUMPRODUCT((('CONTROL MASTER'!$S$2:$S$495=3)*('CONTROL MASTER'!$T$2:$T$495&lt;=8)*('CONTROL MASTER'!$V$2:$V$495&gt;=8)*('CONTROL MASTER'!$U$2:$U$495&lt;=1)*('CONTROL MASTER'!$W$2:$W$495&gt;=1))*ROW('CONTROL MASTER'!$S$2:$S$495))-(ROW('CONTROL MASTER'!#REF!)-1))),IF(SUMPRODUCT((('CONTROL MASTER'!$S$2:$S$495=3)*('CONTROL MASTER'!$Z$2:$Z$495&lt;=8)*('CONTROL MASTER'!$AB$2:$AB$495&gt;=8)*('CONTROL MASTER'!$AA$2:$AA$495&lt;=1)*('CONTROL MASTER'!$AC$2:$AC$495&gt;=1))*ROW('CONTROL MASTER'!$S$2:$S$495))&gt;0,INDEX('CONTROL MASTER'!$X$2:$X$495,(SUMPRODUCT((('CONTROL MASTER'!$S$2:$S$495=3)*('CONTROL MASTER'!$Z$2:$Z$495&lt;=8)*('CONTROL MASTER'!$AB$2:$AB$495&gt;=8)*('CONTROL MASTER'!$AA$2:$AA$495&lt;=1)*('CONTROL MASTER'!$AC$2:$AC$495&gt;=1))*ROW('CONTROL MASTER'!$S$2:$S$495))-(ROW('CONTROL MASTER'!#REF!)-1)))&amp;TRIM(MID(SUBSTITUTE(SUBSTITUTE(INDEX('CONTROL MASTER'!$N$2:$N$495,(SUMPRODUCT((('CONTROL MASTER'!$S$2:$S$495=3)*('CONTROL MASTER'!$Z$2:$Z$495&lt;=8)*('CONTROL MASTER'!$AB$2:$AB$495&gt;=8)*('CONTROL MASTER'!$AA$2:$AA$495&lt;=1)*('CONTROL MASTER'!$AC$2:$AC$495&gt;=1))*ROW('CONTROL MASTER'!$S$2:$S$495))-(ROW('CONTROL MASTER'!#REF!)-1))),":",","),",",REPT(" ",50)),(((INDEX('CONTROL MASTER'!$Y$2:$Y$495,(SUMPRODUCT((('CONTROL MASTER'!$S$2:$S$495=3)*('CONTROL MASTER'!$Z$2:$Z$495&lt;=8)*('CONTROL MASTER'!$AB$2:$AB$495&gt;=8)*('CONTROL MASTER'!$AA$2:$AA$495&lt;=1)*('CONTROL MASTER'!$AC$2:$AC$495&gt;=1))*ROW('CONTROL MASTER'!$S$2:$S$495))-(ROW('CONTROL MASTER'!#REF!)-1)))+((8-INDEX('CONTROL MASTER'!$Z$2:$Z$495,(SUMPRODUCT((('CONTROL MASTER'!$S$2:$S$495=3)*('CONTROL MASTER'!$Z$2:$Z$495&lt;=8)*('CONTROL MASTER'!$AB$2:$AB$495&gt;=8)*('CONTROL MASTER'!$AA$2:$AA$495&lt;=1)*('CONTROL MASTER'!$AC$2:$AC$495&gt;=1))*ROW('CONTROL MASTER'!$S$2:$S$495))-(ROW('CONTROL MASTER'!#REF!)-1))))*(INDEX('CONTROL MASTER'!$AC$2:$AC$495,(SUMPRODUCT((('CONTROL MASTER'!$S$2:$S$495=3)*('CONTROL MASTER'!$Z$2:$Z$495&lt;=8)*('CONTROL MASTER'!$AB$2:$AB$495&gt;=8)*('CONTROL MASTER'!$AA$2:$AA$495&lt;=1)*('CONTROL MASTER'!$AC$2:$AC$495&gt;=1))*ROW('CONTROL MASTER'!$S$2:$S$495))-(ROW('CONTROL MASTER'!#REF!)-1)))-INDEX('CONTROL MASTER'!$AA$2:$AA$495,(SUMPRODUCT((('CONTROL MASTER'!$S$2:$S$495=3)*('CONTROL MASTER'!$Z$2:$Z$495&lt;=8)*('CONTROL MASTER'!$AB$2:$AB$495&gt;=8)*('CONTROL MASTER'!$AA$2:$AA$495&lt;=1)*('CONTROL MASTER'!$AC$2:$AC$495&gt;=1))*ROW('CONTROL MASTER'!$S$2:$S$495))-(ROW('CONTROL MASTER'!#REF!)-1)))+1)+(1-INDEX('CONTROL MASTER'!$AA$2:$AA$495,(SUMPRODUCT((('CONTROL MASTER'!$S$2:$S$495=3)*('CONTROL MASTER'!$Z$2:$Z$495&lt;=8)*('CONTROL MASTER'!$AB$2:$AB$495&gt;=8)*('CONTROL MASTER'!$AA$2:$AA$495&lt;=1)*('CONTROL MASTER'!$AC$2:$AC$495&gt;=1))*ROW('CONTROL MASTER'!$S$2:$S$495))-(ROW('CONTROL MASTER'!#REF!)-1))))+1)))-1)*50+1,50))&amp;"_"&amp;INDEX('CONTROL MASTER'!$P$2:$P$495,(SUMPRODUCT((('CONTROL MASTER'!$S$2:$S$495=3)*('CONTROL MASTER'!$Z$2:$Z$495&lt;=8)*('CONTROL MASTER'!$AB$2:$AB$495&gt;=8)*('CONTROL MASTER'!$AA$2:$AA$495&lt;=1)*('CONTROL MASTER'!$AC$2:$AC$495&gt;=1))*ROW('CONTROL MASTER'!$S$2:$S$495))-(ROW('CONTROL MASTER'!#REF!)-1))),"")),"")</f>
        <v/>
      </c>
      <c r="C38" s="10" t="str">
        <f>IFERROR(IF(SUMPRODUCT((('CONTROL MASTER'!$S$2:$S$495=3)*('CONTROL MASTER'!$T$2:$T$495&lt;=8)*('CONTROL MASTER'!$V$2:$V$495&gt;=8)*('CONTROL MASTER'!$U$2:$U$495&lt;=2)*('CONTROL MASTER'!$W$2:$W$495&gt;=2))*ROW('CONTROL MASTER'!$S$2:$S$495))&gt;0,INDEX('CONTROL MASTER'!$X$2:$X$495,(SUMPRODUCT((('CONTROL MASTER'!$S$2:$S$495=3)*('CONTROL MASTER'!$T$2:$T$495&lt;=8)*('CONTROL MASTER'!$V$2:$V$495&gt;=8)*('CONTROL MASTER'!$U$2:$U$495&lt;=2)*('CONTROL MASTER'!$W$2:$W$495&gt;=2))*ROW('CONTROL MASTER'!$S$2:$S$495))-(ROW('CONTROL MASTER'!#REF!)-1)))&amp;TRIM(MID(SUBSTITUTE(SUBSTITUTE(INDEX('CONTROL MASTER'!$N$2:$N$495,(SUMPRODUCT((('CONTROL MASTER'!$S$2:$S$495=3)*('CONTROL MASTER'!$T$2:$T$495&lt;=8)*('CONTROL MASTER'!$V$2:$V$495&gt;=8)*('CONTROL MASTER'!$U$2:$U$495&lt;=2)*('CONTROL MASTER'!$W$2:$W$495&gt;=2))*ROW('CONTROL MASTER'!$S$2:$S$495))-(ROW('CONTROL MASTER'!#REF!)-1))),":",","),",",REPT(" ",50)),((((8-INDEX('CONTROL MASTER'!$T$2:$T$495,(SUMPRODUCT((('CONTROL MASTER'!$S$2:$S$495=3)*('CONTROL MASTER'!$T$2:$T$495&lt;=8)*('CONTROL MASTER'!$V$2:$V$495&gt;=8)*('CONTROL MASTER'!$U$2:$U$495&lt;=2)*('CONTROL MASTER'!$W$2:$W$495&gt;=2))*ROW('CONTROL MASTER'!$S$2:$S$495))-(ROW('CONTROL MASTER'!#REF!)-1))))*(INDEX('CONTROL MASTER'!$W$2:$W$495,(SUMPRODUCT((('CONTROL MASTER'!$S$2:$S$495=3)*('CONTROL MASTER'!$T$2:$T$495&lt;=8)*('CONTROL MASTER'!$V$2:$V$495&gt;=8)*('CONTROL MASTER'!$U$2:$U$495&lt;=2)*('CONTROL MASTER'!$W$2:$W$495&gt;=2))*ROW('CONTROL MASTER'!$S$2:$S$495))-(ROW('CONTROL MASTER'!#REF!)-1)))-INDEX('CONTROL MASTER'!$U$2:$U$495,(SUMPRODUCT((('CONTROL MASTER'!$S$2:$S$495=3)*('CONTROL MASTER'!$T$2:$T$495&lt;=8)*('CONTROL MASTER'!$V$2:$V$495&gt;=8)*('CONTROL MASTER'!$U$2:$U$495&lt;=2)*('CONTROL MASTER'!$W$2:$W$495&gt;=2))*ROW('CONTROL MASTER'!$S$2:$S$495))-(ROW('CONTROL MASTER'!#REF!)-1)))+1)+(2-INDEX('CONTROL MASTER'!$U$2:$U$495,(SUMPRODUCT((('CONTROL MASTER'!$S$2:$S$495=3)*('CONTROL MASTER'!$T$2:$T$495&lt;=8)*('CONTROL MASTER'!$V$2:$V$495&gt;=8)*('CONTROL MASTER'!$U$2:$U$495&lt;=2)*('CONTROL MASTER'!$W$2:$W$495&gt;=2))*ROW('CONTROL MASTER'!$S$2:$S$495))-(ROW('CONTROL MASTER'!#REF!)-1))))+1))-1)*50+1,50))&amp;"_"&amp;INDEX('CONTROL MASTER'!$P$2:$P$495,(SUMPRODUCT((('CONTROL MASTER'!$S$2:$S$495=3)*('CONTROL MASTER'!$T$2:$T$495&lt;=8)*('CONTROL MASTER'!$V$2:$V$495&gt;=8)*('CONTROL MASTER'!$U$2:$U$495&lt;=2)*('CONTROL MASTER'!$W$2:$W$495&gt;=2))*ROW('CONTROL MASTER'!$S$2:$S$495))-(ROW('CONTROL MASTER'!#REF!)-1))),IF(SUMPRODUCT((('CONTROL MASTER'!$S$2:$S$495=3)*('CONTROL MASTER'!$Z$2:$Z$495&lt;=8)*('CONTROL MASTER'!$AB$2:$AB$495&gt;=8)*('CONTROL MASTER'!$AA$2:$AA$495&lt;=2)*('CONTROL MASTER'!$AC$2:$AC$495&gt;=2))*ROW('CONTROL MASTER'!$S$2:$S$495))&gt;0,INDEX('CONTROL MASTER'!$X$2:$X$495,(SUMPRODUCT((('CONTROL MASTER'!$S$2:$S$495=3)*('CONTROL MASTER'!$Z$2:$Z$495&lt;=8)*('CONTROL MASTER'!$AB$2:$AB$495&gt;=8)*('CONTROL MASTER'!$AA$2:$AA$495&lt;=2)*('CONTROL MASTER'!$AC$2:$AC$495&gt;=2))*ROW('CONTROL MASTER'!$S$2:$S$495))-(ROW('CONTROL MASTER'!#REF!)-1)))&amp;TRIM(MID(SUBSTITUTE(SUBSTITUTE(INDEX('CONTROL MASTER'!$N$2:$N$495,(SUMPRODUCT((('CONTROL MASTER'!$S$2:$S$495=3)*('CONTROL MASTER'!$Z$2:$Z$495&lt;=8)*('CONTROL MASTER'!$AB$2:$AB$495&gt;=8)*('CONTROL MASTER'!$AA$2:$AA$495&lt;=2)*('CONTROL MASTER'!$AC$2:$AC$495&gt;=2))*ROW('CONTROL MASTER'!$S$2:$S$495))-(ROW('CONTROL MASTER'!#REF!)-1))),":",","),",",REPT(" ",50)),(((INDEX('CONTROL MASTER'!$Y$2:$Y$495,(SUMPRODUCT((('CONTROL MASTER'!$S$2:$S$495=3)*('CONTROL MASTER'!$Z$2:$Z$495&lt;=8)*('CONTROL MASTER'!$AB$2:$AB$495&gt;=8)*('CONTROL MASTER'!$AA$2:$AA$495&lt;=2)*('CONTROL MASTER'!$AC$2:$AC$495&gt;=2))*ROW('CONTROL MASTER'!$S$2:$S$495))-(ROW('CONTROL MASTER'!#REF!)-1)))+((8-INDEX('CONTROL MASTER'!$Z$2:$Z$495,(SUMPRODUCT((('CONTROL MASTER'!$S$2:$S$495=3)*('CONTROL MASTER'!$Z$2:$Z$495&lt;=8)*('CONTROL MASTER'!$AB$2:$AB$495&gt;=8)*('CONTROL MASTER'!$AA$2:$AA$495&lt;=2)*('CONTROL MASTER'!$AC$2:$AC$495&gt;=2))*ROW('CONTROL MASTER'!$S$2:$S$495))-(ROW('CONTROL MASTER'!#REF!)-1))))*(INDEX('CONTROL MASTER'!$AC$2:$AC$495,(SUMPRODUCT((('CONTROL MASTER'!$S$2:$S$495=3)*('CONTROL MASTER'!$Z$2:$Z$495&lt;=8)*('CONTROL MASTER'!$AB$2:$AB$495&gt;=8)*('CONTROL MASTER'!$AA$2:$AA$495&lt;=2)*('CONTROL MASTER'!$AC$2:$AC$495&gt;=2))*ROW('CONTROL MASTER'!$S$2:$S$495))-(ROW('CONTROL MASTER'!#REF!)-1)))-INDEX('CONTROL MASTER'!$AA$2:$AA$495,(SUMPRODUCT((('CONTROL MASTER'!$S$2:$S$495=3)*('CONTROL MASTER'!$Z$2:$Z$495&lt;=8)*('CONTROL MASTER'!$AB$2:$AB$495&gt;=8)*('CONTROL MASTER'!$AA$2:$AA$495&lt;=2)*('CONTROL MASTER'!$AC$2:$AC$495&gt;=2))*ROW('CONTROL MASTER'!$S$2:$S$495))-(ROW('CONTROL MASTER'!#REF!)-1)))+1)+(2-INDEX('CONTROL MASTER'!$AA$2:$AA$495,(SUMPRODUCT((('CONTROL MASTER'!$S$2:$S$495=3)*('CONTROL MASTER'!$Z$2:$Z$495&lt;=8)*('CONTROL MASTER'!$AB$2:$AB$495&gt;=8)*('CONTROL MASTER'!$AA$2:$AA$495&lt;=2)*('CONTROL MASTER'!$AC$2:$AC$495&gt;=2))*ROW('CONTROL MASTER'!$S$2:$S$495))-(ROW('CONTROL MASTER'!#REF!)-1))))+1)))-1)*50+1,50))&amp;"_"&amp;INDEX('CONTROL MASTER'!$P$2:$P$495,(SUMPRODUCT((('CONTROL MASTER'!$S$2:$S$495=3)*('CONTROL MASTER'!$Z$2:$Z$495&lt;=8)*('CONTROL MASTER'!$AB$2:$AB$495&gt;=8)*('CONTROL MASTER'!$AA$2:$AA$495&lt;=2)*('CONTROL MASTER'!$AC$2:$AC$495&gt;=2))*ROW('CONTROL MASTER'!$S$2:$S$495))-(ROW('CONTROL MASTER'!#REF!)-1))),"")),"")</f>
        <v/>
      </c>
      <c r="D38" s="10" t="str">
        <f>IFERROR(IF(SUMPRODUCT((('CONTROL MASTER'!$S$2:$S$495=3)*('CONTROL MASTER'!$T$2:$T$495&lt;=8)*('CONTROL MASTER'!$V$2:$V$495&gt;=8)*('CONTROL MASTER'!$U$2:$U$495&lt;=3)*('CONTROL MASTER'!$W$2:$W$495&gt;=3))*ROW('CONTROL MASTER'!$S$2:$S$495))&gt;0,INDEX('CONTROL MASTER'!$X$2:$X$495,(SUMPRODUCT((('CONTROL MASTER'!$S$2:$S$495=3)*('CONTROL MASTER'!$T$2:$T$495&lt;=8)*('CONTROL MASTER'!$V$2:$V$495&gt;=8)*('CONTROL MASTER'!$U$2:$U$495&lt;=3)*('CONTROL MASTER'!$W$2:$W$495&gt;=3))*ROW('CONTROL MASTER'!$S$2:$S$495))-(ROW('CONTROL MASTER'!#REF!)-1)))&amp;TRIM(MID(SUBSTITUTE(SUBSTITUTE(INDEX('CONTROL MASTER'!$N$2:$N$495,(SUMPRODUCT((('CONTROL MASTER'!$S$2:$S$495=3)*('CONTROL MASTER'!$T$2:$T$495&lt;=8)*('CONTROL MASTER'!$V$2:$V$495&gt;=8)*('CONTROL MASTER'!$U$2:$U$495&lt;=3)*('CONTROL MASTER'!$W$2:$W$495&gt;=3))*ROW('CONTROL MASTER'!$S$2:$S$495))-(ROW('CONTROL MASTER'!#REF!)-1))),":",","),",",REPT(" ",50)),((((8-INDEX('CONTROL MASTER'!$T$2:$T$495,(SUMPRODUCT((('CONTROL MASTER'!$S$2:$S$495=3)*('CONTROL MASTER'!$T$2:$T$495&lt;=8)*('CONTROL MASTER'!$V$2:$V$495&gt;=8)*('CONTROL MASTER'!$U$2:$U$495&lt;=3)*('CONTROL MASTER'!$W$2:$W$495&gt;=3))*ROW('CONTROL MASTER'!$S$2:$S$495))-(ROW('CONTROL MASTER'!#REF!)-1))))*(INDEX('CONTROL MASTER'!$W$2:$W$495,(SUMPRODUCT((('CONTROL MASTER'!$S$2:$S$495=3)*('CONTROL MASTER'!$T$2:$T$495&lt;=8)*('CONTROL MASTER'!$V$2:$V$495&gt;=8)*('CONTROL MASTER'!$U$2:$U$495&lt;=3)*('CONTROL MASTER'!$W$2:$W$495&gt;=3))*ROW('CONTROL MASTER'!$S$2:$S$495))-(ROW('CONTROL MASTER'!#REF!)-1)))-INDEX('CONTROL MASTER'!$U$2:$U$495,(SUMPRODUCT((('CONTROL MASTER'!$S$2:$S$495=3)*('CONTROL MASTER'!$T$2:$T$495&lt;=8)*('CONTROL MASTER'!$V$2:$V$495&gt;=8)*('CONTROL MASTER'!$U$2:$U$495&lt;=3)*('CONTROL MASTER'!$W$2:$W$495&gt;=3))*ROW('CONTROL MASTER'!$S$2:$S$495))-(ROW('CONTROL MASTER'!#REF!)-1)))+1)+(3-INDEX('CONTROL MASTER'!$U$2:$U$495,(SUMPRODUCT((('CONTROL MASTER'!$S$2:$S$495=3)*('CONTROL MASTER'!$T$2:$T$495&lt;=8)*('CONTROL MASTER'!$V$2:$V$495&gt;=8)*('CONTROL MASTER'!$U$2:$U$495&lt;=3)*('CONTROL MASTER'!$W$2:$W$495&gt;=3))*ROW('CONTROL MASTER'!$S$2:$S$495))-(ROW('CONTROL MASTER'!#REF!)-1))))+1))-1)*50+1,50))&amp;"_"&amp;INDEX('CONTROL MASTER'!$P$2:$P$495,(SUMPRODUCT((('CONTROL MASTER'!$S$2:$S$495=3)*('CONTROL MASTER'!$T$2:$T$495&lt;=8)*('CONTROL MASTER'!$V$2:$V$495&gt;=8)*('CONTROL MASTER'!$U$2:$U$495&lt;=3)*('CONTROL MASTER'!$W$2:$W$495&gt;=3))*ROW('CONTROL MASTER'!$S$2:$S$495))-(ROW('CONTROL MASTER'!#REF!)-1))),IF(SUMPRODUCT((('CONTROL MASTER'!$S$2:$S$495=3)*('CONTROL MASTER'!$Z$2:$Z$495&lt;=8)*('CONTROL MASTER'!$AB$2:$AB$495&gt;=8)*('CONTROL MASTER'!$AA$2:$AA$495&lt;=3)*('CONTROL MASTER'!$AC$2:$AC$495&gt;=3))*ROW('CONTROL MASTER'!$S$2:$S$495))&gt;0,INDEX('CONTROL MASTER'!$X$2:$X$495,(SUMPRODUCT((('CONTROL MASTER'!$S$2:$S$495=3)*('CONTROL MASTER'!$Z$2:$Z$495&lt;=8)*('CONTROL MASTER'!$AB$2:$AB$495&gt;=8)*('CONTROL MASTER'!$AA$2:$AA$495&lt;=3)*('CONTROL MASTER'!$AC$2:$AC$495&gt;=3))*ROW('CONTROL MASTER'!$S$2:$S$495))-(ROW('CONTROL MASTER'!#REF!)-1)))&amp;TRIM(MID(SUBSTITUTE(SUBSTITUTE(INDEX('CONTROL MASTER'!$N$2:$N$495,(SUMPRODUCT((('CONTROL MASTER'!$S$2:$S$495=3)*('CONTROL MASTER'!$Z$2:$Z$495&lt;=8)*('CONTROL MASTER'!$AB$2:$AB$495&gt;=8)*('CONTROL MASTER'!$AA$2:$AA$495&lt;=3)*('CONTROL MASTER'!$AC$2:$AC$495&gt;=3))*ROW('CONTROL MASTER'!$S$2:$S$495))-(ROW('CONTROL MASTER'!#REF!)-1))),":",","),",",REPT(" ",50)),(((INDEX('CONTROL MASTER'!$Y$2:$Y$495,(SUMPRODUCT((('CONTROL MASTER'!$S$2:$S$495=3)*('CONTROL MASTER'!$Z$2:$Z$495&lt;=8)*('CONTROL MASTER'!$AB$2:$AB$495&gt;=8)*('CONTROL MASTER'!$AA$2:$AA$495&lt;=3)*('CONTROL MASTER'!$AC$2:$AC$495&gt;=3))*ROW('CONTROL MASTER'!$S$2:$S$495))-(ROW('CONTROL MASTER'!#REF!)-1)))+((8-INDEX('CONTROL MASTER'!$Z$2:$Z$495,(SUMPRODUCT((('CONTROL MASTER'!$S$2:$S$495=3)*('CONTROL MASTER'!$Z$2:$Z$495&lt;=8)*('CONTROL MASTER'!$AB$2:$AB$495&gt;=8)*('CONTROL MASTER'!$AA$2:$AA$495&lt;=3)*('CONTROL MASTER'!$AC$2:$AC$495&gt;=3))*ROW('CONTROL MASTER'!$S$2:$S$495))-(ROW('CONTROL MASTER'!#REF!)-1))))*(INDEX('CONTROL MASTER'!$AC$2:$AC$495,(SUMPRODUCT((('CONTROL MASTER'!$S$2:$S$495=3)*('CONTROL MASTER'!$Z$2:$Z$495&lt;=8)*('CONTROL MASTER'!$AB$2:$AB$495&gt;=8)*('CONTROL MASTER'!$AA$2:$AA$495&lt;=3)*('CONTROL MASTER'!$AC$2:$AC$495&gt;=3))*ROW('CONTROL MASTER'!$S$2:$S$495))-(ROW('CONTROL MASTER'!#REF!)-1)))-INDEX('CONTROL MASTER'!$AA$2:$AA$495,(SUMPRODUCT((('CONTROL MASTER'!$S$2:$S$495=3)*('CONTROL MASTER'!$Z$2:$Z$495&lt;=8)*('CONTROL MASTER'!$AB$2:$AB$495&gt;=8)*('CONTROL MASTER'!$AA$2:$AA$495&lt;=3)*('CONTROL MASTER'!$AC$2:$AC$495&gt;=3))*ROW('CONTROL MASTER'!$S$2:$S$495))-(ROW('CONTROL MASTER'!#REF!)-1)))+1)+(3-INDEX('CONTROL MASTER'!$AA$2:$AA$495,(SUMPRODUCT((('CONTROL MASTER'!$S$2:$S$495=3)*('CONTROL MASTER'!$Z$2:$Z$495&lt;=8)*('CONTROL MASTER'!$AB$2:$AB$495&gt;=8)*('CONTROL MASTER'!$AA$2:$AA$495&lt;=3)*('CONTROL MASTER'!$AC$2:$AC$495&gt;=3))*ROW('CONTROL MASTER'!$S$2:$S$495))-(ROW('CONTROL MASTER'!#REF!)-1))))+1)))-1)*50+1,50))&amp;"_"&amp;INDEX('CONTROL MASTER'!$P$2:$P$495,(SUMPRODUCT((('CONTROL MASTER'!$S$2:$S$495=3)*('CONTROL MASTER'!$Z$2:$Z$495&lt;=8)*('CONTROL MASTER'!$AB$2:$AB$495&gt;=8)*('CONTROL MASTER'!$AA$2:$AA$495&lt;=3)*('CONTROL MASTER'!$AC$2:$AC$495&gt;=3))*ROW('CONTROL MASTER'!$S$2:$S$495))-(ROW('CONTROL MASTER'!#REF!)-1))),"")),"")</f>
        <v/>
      </c>
      <c r="E38" s="10" t="str">
        <f>IFERROR(IF(SUMPRODUCT((('CONTROL MASTER'!$S$2:$S$495=3)*('CONTROL MASTER'!$T$2:$T$495&lt;=8)*('CONTROL MASTER'!$V$2:$V$495&gt;=8)*('CONTROL MASTER'!$U$2:$U$495&lt;=4)*('CONTROL MASTER'!$W$2:$W$495&gt;=4))*ROW('CONTROL MASTER'!$S$2:$S$495))&gt;0,INDEX('CONTROL MASTER'!$X$2:$X$495,(SUMPRODUCT((('CONTROL MASTER'!$S$2:$S$495=3)*('CONTROL MASTER'!$T$2:$T$495&lt;=8)*('CONTROL MASTER'!$V$2:$V$495&gt;=8)*('CONTROL MASTER'!$U$2:$U$495&lt;=4)*('CONTROL MASTER'!$W$2:$W$495&gt;=4))*ROW('CONTROL MASTER'!$S$2:$S$495))-(ROW('CONTROL MASTER'!#REF!)-1)))&amp;TRIM(MID(SUBSTITUTE(SUBSTITUTE(INDEX('CONTROL MASTER'!$N$2:$N$495,(SUMPRODUCT((('CONTROL MASTER'!$S$2:$S$495=3)*('CONTROL MASTER'!$T$2:$T$495&lt;=8)*('CONTROL MASTER'!$V$2:$V$495&gt;=8)*('CONTROL MASTER'!$U$2:$U$495&lt;=4)*('CONTROL MASTER'!$W$2:$W$495&gt;=4))*ROW('CONTROL MASTER'!$S$2:$S$495))-(ROW('CONTROL MASTER'!#REF!)-1))),":",","),",",REPT(" ",50)),((((8-INDEX('CONTROL MASTER'!$T$2:$T$495,(SUMPRODUCT((('CONTROL MASTER'!$S$2:$S$495=3)*('CONTROL MASTER'!$T$2:$T$495&lt;=8)*('CONTROL MASTER'!$V$2:$V$495&gt;=8)*('CONTROL MASTER'!$U$2:$U$495&lt;=4)*('CONTROL MASTER'!$W$2:$W$495&gt;=4))*ROW('CONTROL MASTER'!$S$2:$S$495))-(ROW('CONTROL MASTER'!#REF!)-1))))*(INDEX('CONTROL MASTER'!$W$2:$W$495,(SUMPRODUCT((('CONTROL MASTER'!$S$2:$S$495=3)*('CONTROL MASTER'!$T$2:$T$495&lt;=8)*('CONTROL MASTER'!$V$2:$V$495&gt;=8)*('CONTROL MASTER'!$U$2:$U$495&lt;=4)*('CONTROL MASTER'!$W$2:$W$495&gt;=4))*ROW('CONTROL MASTER'!$S$2:$S$495))-(ROW('CONTROL MASTER'!#REF!)-1)))-INDEX('CONTROL MASTER'!$U$2:$U$495,(SUMPRODUCT((('CONTROL MASTER'!$S$2:$S$495=3)*('CONTROL MASTER'!$T$2:$T$495&lt;=8)*('CONTROL MASTER'!$V$2:$V$495&gt;=8)*('CONTROL MASTER'!$U$2:$U$495&lt;=4)*('CONTROL MASTER'!$W$2:$W$495&gt;=4))*ROW('CONTROL MASTER'!$S$2:$S$495))-(ROW('CONTROL MASTER'!#REF!)-1)))+1)+(4-INDEX('CONTROL MASTER'!$U$2:$U$495,(SUMPRODUCT((('CONTROL MASTER'!$S$2:$S$495=3)*('CONTROL MASTER'!$T$2:$T$495&lt;=8)*('CONTROL MASTER'!$V$2:$V$495&gt;=8)*('CONTROL MASTER'!$U$2:$U$495&lt;=4)*('CONTROL MASTER'!$W$2:$W$495&gt;=4))*ROW('CONTROL MASTER'!$S$2:$S$495))-(ROW('CONTROL MASTER'!#REF!)-1))))+1))-1)*50+1,50))&amp;"_"&amp;INDEX('CONTROL MASTER'!$P$2:$P$495,(SUMPRODUCT((('CONTROL MASTER'!$S$2:$S$495=3)*('CONTROL MASTER'!$T$2:$T$495&lt;=8)*('CONTROL MASTER'!$V$2:$V$495&gt;=8)*('CONTROL MASTER'!$U$2:$U$495&lt;=4)*('CONTROL MASTER'!$W$2:$W$495&gt;=4))*ROW('CONTROL MASTER'!$S$2:$S$495))-(ROW('CONTROL MASTER'!#REF!)-1))),IF(SUMPRODUCT((('CONTROL MASTER'!$S$2:$S$495=3)*('CONTROL MASTER'!$Z$2:$Z$495&lt;=8)*('CONTROL MASTER'!$AB$2:$AB$495&gt;=8)*('CONTROL MASTER'!$AA$2:$AA$495&lt;=4)*('CONTROL MASTER'!$AC$2:$AC$495&gt;=4))*ROW('CONTROL MASTER'!$S$2:$S$495))&gt;0,INDEX('CONTROL MASTER'!$X$2:$X$495,(SUMPRODUCT((('CONTROL MASTER'!$S$2:$S$495=3)*('CONTROL MASTER'!$Z$2:$Z$495&lt;=8)*('CONTROL MASTER'!$AB$2:$AB$495&gt;=8)*('CONTROL MASTER'!$AA$2:$AA$495&lt;=4)*('CONTROL MASTER'!$AC$2:$AC$495&gt;=4))*ROW('CONTROL MASTER'!$S$2:$S$495))-(ROW('CONTROL MASTER'!#REF!)-1)))&amp;TRIM(MID(SUBSTITUTE(SUBSTITUTE(INDEX('CONTROL MASTER'!$N$2:$N$495,(SUMPRODUCT((('CONTROL MASTER'!$S$2:$S$495=3)*('CONTROL MASTER'!$Z$2:$Z$495&lt;=8)*('CONTROL MASTER'!$AB$2:$AB$495&gt;=8)*('CONTROL MASTER'!$AA$2:$AA$495&lt;=4)*('CONTROL MASTER'!$AC$2:$AC$495&gt;=4))*ROW('CONTROL MASTER'!$S$2:$S$495))-(ROW('CONTROL MASTER'!#REF!)-1))),":",","),",",REPT(" ",50)),(((INDEX('CONTROL MASTER'!$Y$2:$Y$495,(SUMPRODUCT((('CONTROL MASTER'!$S$2:$S$495=3)*('CONTROL MASTER'!$Z$2:$Z$495&lt;=8)*('CONTROL MASTER'!$AB$2:$AB$495&gt;=8)*('CONTROL MASTER'!$AA$2:$AA$495&lt;=4)*('CONTROL MASTER'!$AC$2:$AC$495&gt;=4))*ROW('CONTROL MASTER'!$S$2:$S$495))-(ROW('CONTROL MASTER'!#REF!)-1)))+((8-INDEX('CONTROL MASTER'!$Z$2:$Z$495,(SUMPRODUCT((('CONTROL MASTER'!$S$2:$S$495=3)*('CONTROL MASTER'!$Z$2:$Z$495&lt;=8)*('CONTROL MASTER'!$AB$2:$AB$495&gt;=8)*('CONTROL MASTER'!$AA$2:$AA$495&lt;=4)*('CONTROL MASTER'!$AC$2:$AC$495&gt;=4))*ROW('CONTROL MASTER'!$S$2:$S$495))-(ROW('CONTROL MASTER'!#REF!)-1))))*(INDEX('CONTROL MASTER'!$AC$2:$AC$495,(SUMPRODUCT((('CONTROL MASTER'!$S$2:$S$495=3)*('CONTROL MASTER'!$Z$2:$Z$495&lt;=8)*('CONTROL MASTER'!$AB$2:$AB$495&gt;=8)*('CONTROL MASTER'!$AA$2:$AA$495&lt;=4)*('CONTROL MASTER'!$AC$2:$AC$495&gt;=4))*ROW('CONTROL MASTER'!$S$2:$S$495))-(ROW('CONTROL MASTER'!#REF!)-1)))-INDEX('CONTROL MASTER'!$AA$2:$AA$495,(SUMPRODUCT((('CONTROL MASTER'!$S$2:$S$495=3)*('CONTROL MASTER'!$Z$2:$Z$495&lt;=8)*('CONTROL MASTER'!$AB$2:$AB$495&gt;=8)*('CONTROL MASTER'!$AA$2:$AA$495&lt;=4)*('CONTROL MASTER'!$AC$2:$AC$495&gt;=4))*ROW('CONTROL MASTER'!$S$2:$S$495))-(ROW('CONTROL MASTER'!#REF!)-1)))+1)+(4-INDEX('CONTROL MASTER'!$AA$2:$AA$495,(SUMPRODUCT((('CONTROL MASTER'!$S$2:$S$495=3)*('CONTROL MASTER'!$Z$2:$Z$495&lt;=8)*('CONTROL MASTER'!$AB$2:$AB$495&gt;=8)*('CONTROL MASTER'!$AA$2:$AA$495&lt;=4)*('CONTROL MASTER'!$AC$2:$AC$495&gt;=4))*ROW('CONTROL MASTER'!$S$2:$S$495))-(ROW('CONTROL MASTER'!#REF!)-1))))+1)))-1)*50+1,50))&amp;"_"&amp;INDEX('CONTROL MASTER'!$P$2:$P$495,(SUMPRODUCT((('CONTROL MASTER'!$S$2:$S$495=3)*('CONTROL MASTER'!$Z$2:$Z$495&lt;=8)*('CONTROL MASTER'!$AB$2:$AB$495&gt;=8)*('CONTROL MASTER'!$AA$2:$AA$495&lt;=4)*('CONTROL MASTER'!$AC$2:$AC$495&gt;=4))*ROW('CONTROL MASTER'!$S$2:$S$495))-(ROW('CONTROL MASTER'!#REF!)-1))),"")),"")</f>
        <v/>
      </c>
      <c r="F38" s="10" t="str">
        <f>IFERROR(IF(SUMPRODUCT((('CONTROL MASTER'!$S$2:$S$495=3)*('CONTROL MASTER'!$T$2:$T$495&lt;=8)*('CONTROL MASTER'!$V$2:$V$495&gt;=8)*('CONTROL MASTER'!$U$2:$U$495&lt;=5)*('CONTROL MASTER'!$W$2:$W$495&gt;=5))*ROW('CONTROL MASTER'!$S$2:$S$495))&gt;0,INDEX('CONTROL MASTER'!$X$2:$X$495,(SUMPRODUCT((('CONTROL MASTER'!$S$2:$S$495=3)*('CONTROL MASTER'!$T$2:$T$495&lt;=8)*('CONTROL MASTER'!$V$2:$V$495&gt;=8)*('CONTROL MASTER'!$U$2:$U$495&lt;=5)*('CONTROL MASTER'!$W$2:$W$495&gt;=5))*ROW('CONTROL MASTER'!$S$2:$S$495))-(ROW('CONTROL MASTER'!#REF!)-1)))&amp;TRIM(MID(SUBSTITUTE(SUBSTITUTE(INDEX('CONTROL MASTER'!$N$2:$N$495,(SUMPRODUCT((('CONTROL MASTER'!$S$2:$S$495=3)*('CONTROL MASTER'!$T$2:$T$495&lt;=8)*('CONTROL MASTER'!$V$2:$V$495&gt;=8)*('CONTROL MASTER'!$U$2:$U$495&lt;=5)*('CONTROL MASTER'!$W$2:$W$495&gt;=5))*ROW('CONTROL MASTER'!$S$2:$S$495))-(ROW('CONTROL MASTER'!#REF!)-1))),":",","),",",REPT(" ",50)),((((8-INDEX('CONTROL MASTER'!$T$2:$T$495,(SUMPRODUCT((('CONTROL MASTER'!$S$2:$S$495=3)*('CONTROL MASTER'!$T$2:$T$495&lt;=8)*('CONTROL MASTER'!$V$2:$V$495&gt;=8)*('CONTROL MASTER'!$U$2:$U$495&lt;=5)*('CONTROL MASTER'!$W$2:$W$495&gt;=5))*ROW('CONTROL MASTER'!$S$2:$S$495))-(ROW('CONTROL MASTER'!#REF!)-1))))*(INDEX('CONTROL MASTER'!$W$2:$W$495,(SUMPRODUCT((('CONTROL MASTER'!$S$2:$S$495=3)*('CONTROL MASTER'!$T$2:$T$495&lt;=8)*('CONTROL MASTER'!$V$2:$V$495&gt;=8)*('CONTROL MASTER'!$U$2:$U$495&lt;=5)*('CONTROL MASTER'!$W$2:$W$495&gt;=5))*ROW('CONTROL MASTER'!$S$2:$S$495))-(ROW('CONTROL MASTER'!#REF!)-1)))-INDEX('CONTROL MASTER'!$U$2:$U$495,(SUMPRODUCT((('CONTROL MASTER'!$S$2:$S$495=3)*('CONTROL MASTER'!$T$2:$T$495&lt;=8)*('CONTROL MASTER'!$V$2:$V$495&gt;=8)*('CONTROL MASTER'!$U$2:$U$495&lt;=5)*('CONTROL MASTER'!$W$2:$W$495&gt;=5))*ROW('CONTROL MASTER'!$S$2:$S$495))-(ROW('CONTROL MASTER'!#REF!)-1)))+1)+(5-INDEX('CONTROL MASTER'!$U$2:$U$495,(SUMPRODUCT((('CONTROL MASTER'!$S$2:$S$495=3)*('CONTROL MASTER'!$T$2:$T$495&lt;=8)*('CONTROL MASTER'!$V$2:$V$495&gt;=8)*('CONTROL MASTER'!$U$2:$U$495&lt;=5)*('CONTROL MASTER'!$W$2:$W$495&gt;=5))*ROW('CONTROL MASTER'!$S$2:$S$495))-(ROW('CONTROL MASTER'!#REF!)-1))))+1))-1)*50+1,50))&amp;"_"&amp;INDEX('CONTROL MASTER'!$P$2:$P$495,(SUMPRODUCT((('CONTROL MASTER'!$S$2:$S$495=3)*('CONTROL MASTER'!$T$2:$T$495&lt;=8)*('CONTROL MASTER'!$V$2:$V$495&gt;=8)*('CONTROL MASTER'!$U$2:$U$495&lt;=5)*('CONTROL MASTER'!$W$2:$W$495&gt;=5))*ROW('CONTROL MASTER'!$S$2:$S$495))-(ROW('CONTROL MASTER'!#REF!)-1))),IF(SUMPRODUCT((('CONTROL MASTER'!$S$2:$S$495=3)*('CONTROL MASTER'!$Z$2:$Z$495&lt;=8)*('CONTROL MASTER'!$AB$2:$AB$495&gt;=8)*('CONTROL MASTER'!$AA$2:$AA$495&lt;=5)*('CONTROL MASTER'!$AC$2:$AC$495&gt;=5))*ROW('CONTROL MASTER'!$S$2:$S$495))&gt;0,INDEX('CONTROL MASTER'!$X$2:$X$495,(SUMPRODUCT((('CONTROL MASTER'!$S$2:$S$495=3)*('CONTROL MASTER'!$Z$2:$Z$495&lt;=8)*('CONTROL MASTER'!$AB$2:$AB$495&gt;=8)*('CONTROL MASTER'!$AA$2:$AA$495&lt;=5)*('CONTROL MASTER'!$AC$2:$AC$495&gt;=5))*ROW('CONTROL MASTER'!$S$2:$S$495))-(ROW('CONTROL MASTER'!#REF!)-1)))&amp;TRIM(MID(SUBSTITUTE(SUBSTITUTE(INDEX('CONTROL MASTER'!$N$2:$N$495,(SUMPRODUCT((('CONTROL MASTER'!$S$2:$S$495=3)*('CONTROL MASTER'!$Z$2:$Z$495&lt;=8)*('CONTROL MASTER'!$AB$2:$AB$495&gt;=8)*('CONTROL MASTER'!$AA$2:$AA$495&lt;=5)*('CONTROL MASTER'!$AC$2:$AC$495&gt;=5))*ROW('CONTROL MASTER'!$S$2:$S$495))-(ROW('CONTROL MASTER'!#REF!)-1))),":",","),",",REPT(" ",50)),(((INDEX('CONTROL MASTER'!$Y$2:$Y$495,(SUMPRODUCT((('CONTROL MASTER'!$S$2:$S$495=3)*('CONTROL MASTER'!$Z$2:$Z$495&lt;=8)*('CONTROL MASTER'!$AB$2:$AB$495&gt;=8)*('CONTROL MASTER'!$AA$2:$AA$495&lt;=5)*('CONTROL MASTER'!$AC$2:$AC$495&gt;=5))*ROW('CONTROL MASTER'!$S$2:$S$495))-(ROW('CONTROL MASTER'!#REF!)-1)))+((8-INDEX('CONTROL MASTER'!$Z$2:$Z$495,(SUMPRODUCT((('CONTROL MASTER'!$S$2:$S$495=3)*('CONTROL MASTER'!$Z$2:$Z$495&lt;=8)*('CONTROL MASTER'!$AB$2:$AB$495&gt;=8)*('CONTROL MASTER'!$AA$2:$AA$495&lt;=5)*('CONTROL MASTER'!$AC$2:$AC$495&gt;=5))*ROW('CONTROL MASTER'!$S$2:$S$495))-(ROW('CONTROL MASTER'!#REF!)-1))))*(INDEX('CONTROL MASTER'!$AC$2:$AC$495,(SUMPRODUCT((('CONTROL MASTER'!$S$2:$S$495=3)*('CONTROL MASTER'!$Z$2:$Z$495&lt;=8)*('CONTROL MASTER'!$AB$2:$AB$495&gt;=8)*('CONTROL MASTER'!$AA$2:$AA$495&lt;=5)*('CONTROL MASTER'!$AC$2:$AC$495&gt;=5))*ROW('CONTROL MASTER'!$S$2:$S$495))-(ROW('CONTROL MASTER'!#REF!)-1)))-INDEX('CONTROL MASTER'!$AA$2:$AA$495,(SUMPRODUCT((('CONTROL MASTER'!$S$2:$S$495=3)*('CONTROL MASTER'!$Z$2:$Z$495&lt;=8)*('CONTROL MASTER'!$AB$2:$AB$495&gt;=8)*('CONTROL MASTER'!$AA$2:$AA$495&lt;=5)*('CONTROL MASTER'!$AC$2:$AC$495&gt;=5))*ROW('CONTROL MASTER'!$S$2:$S$495))-(ROW('CONTROL MASTER'!#REF!)-1)))+1)+(5-INDEX('CONTROL MASTER'!$AA$2:$AA$495,(SUMPRODUCT((('CONTROL MASTER'!$S$2:$S$495=3)*('CONTROL MASTER'!$Z$2:$Z$495&lt;=8)*('CONTROL MASTER'!$AB$2:$AB$495&gt;=8)*('CONTROL MASTER'!$AA$2:$AA$495&lt;=5)*('CONTROL MASTER'!$AC$2:$AC$495&gt;=5))*ROW('CONTROL MASTER'!$S$2:$S$495))-(ROW('CONTROL MASTER'!#REF!)-1))))+1)))-1)*50+1,50))&amp;"_"&amp;INDEX('CONTROL MASTER'!$P$2:$P$495,(SUMPRODUCT((('CONTROL MASTER'!$S$2:$S$495=3)*('CONTROL MASTER'!$Z$2:$Z$495&lt;=8)*('CONTROL MASTER'!$AB$2:$AB$495&gt;=8)*('CONTROL MASTER'!$AA$2:$AA$495&lt;=5)*('CONTROL MASTER'!$AC$2:$AC$495&gt;=5))*ROW('CONTROL MASTER'!$S$2:$S$495))-(ROW('CONTROL MASTER'!#REF!)-1))),"")),"")</f>
        <v/>
      </c>
      <c r="G38" s="10" t="str">
        <f>IFERROR(IF(SUMPRODUCT((('CONTROL MASTER'!$S$2:$S$495=3)*('CONTROL MASTER'!$T$2:$T$495&lt;=8)*('CONTROL MASTER'!$V$2:$V$495&gt;=8)*('CONTROL MASTER'!$U$2:$U$495&lt;=6)*('CONTROL MASTER'!$W$2:$W$495&gt;=6))*ROW('CONTROL MASTER'!$S$2:$S$495))&gt;0,INDEX('CONTROL MASTER'!$X$2:$X$495,(SUMPRODUCT((('CONTROL MASTER'!$S$2:$S$495=3)*('CONTROL MASTER'!$T$2:$T$495&lt;=8)*('CONTROL MASTER'!$V$2:$V$495&gt;=8)*('CONTROL MASTER'!$U$2:$U$495&lt;=6)*('CONTROL MASTER'!$W$2:$W$495&gt;=6))*ROW('CONTROL MASTER'!$S$2:$S$495))-(ROW('CONTROL MASTER'!#REF!)-1)))&amp;TRIM(MID(SUBSTITUTE(SUBSTITUTE(INDEX('CONTROL MASTER'!$N$2:$N$495,(SUMPRODUCT((('CONTROL MASTER'!$S$2:$S$495=3)*('CONTROL MASTER'!$T$2:$T$495&lt;=8)*('CONTROL MASTER'!$V$2:$V$495&gt;=8)*('CONTROL MASTER'!$U$2:$U$495&lt;=6)*('CONTROL MASTER'!$W$2:$W$495&gt;=6))*ROW('CONTROL MASTER'!$S$2:$S$495))-(ROW('CONTROL MASTER'!#REF!)-1))),":",","),",",REPT(" ",50)),((((8-INDEX('CONTROL MASTER'!$T$2:$T$495,(SUMPRODUCT((('CONTROL MASTER'!$S$2:$S$495=3)*('CONTROL MASTER'!$T$2:$T$495&lt;=8)*('CONTROL MASTER'!$V$2:$V$495&gt;=8)*('CONTROL MASTER'!$U$2:$U$495&lt;=6)*('CONTROL MASTER'!$W$2:$W$495&gt;=6))*ROW('CONTROL MASTER'!$S$2:$S$495))-(ROW('CONTROL MASTER'!#REF!)-1))))*(INDEX('CONTROL MASTER'!$W$2:$W$495,(SUMPRODUCT((('CONTROL MASTER'!$S$2:$S$495=3)*('CONTROL MASTER'!$T$2:$T$495&lt;=8)*('CONTROL MASTER'!$V$2:$V$495&gt;=8)*('CONTROL MASTER'!$U$2:$U$495&lt;=6)*('CONTROL MASTER'!$W$2:$W$495&gt;=6))*ROW('CONTROL MASTER'!$S$2:$S$495))-(ROW('CONTROL MASTER'!#REF!)-1)))-INDEX('CONTROL MASTER'!$U$2:$U$495,(SUMPRODUCT((('CONTROL MASTER'!$S$2:$S$495=3)*('CONTROL MASTER'!$T$2:$T$495&lt;=8)*('CONTROL MASTER'!$V$2:$V$495&gt;=8)*('CONTROL MASTER'!$U$2:$U$495&lt;=6)*('CONTROL MASTER'!$W$2:$W$495&gt;=6))*ROW('CONTROL MASTER'!$S$2:$S$495))-(ROW('CONTROL MASTER'!#REF!)-1)))+1)+(6-INDEX('CONTROL MASTER'!$U$2:$U$495,(SUMPRODUCT((('CONTROL MASTER'!$S$2:$S$495=3)*('CONTROL MASTER'!$T$2:$T$495&lt;=8)*('CONTROL MASTER'!$V$2:$V$495&gt;=8)*('CONTROL MASTER'!$U$2:$U$495&lt;=6)*('CONTROL MASTER'!$W$2:$W$495&gt;=6))*ROW('CONTROL MASTER'!$S$2:$S$495))-(ROW('CONTROL MASTER'!#REF!)-1))))+1))-1)*50+1,50))&amp;"_"&amp;INDEX('CONTROL MASTER'!$P$2:$P$495,(SUMPRODUCT((('CONTROL MASTER'!$S$2:$S$495=3)*('CONTROL MASTER'!$T$2:$T$495&lt;=8)*('CONTROL MASTER'!$V$2:$V$495&gt;=8)*('CONTROL MASTER'!$U$2:$U$495&lt;=6)*('CONTROL MASTER'!$W$2:$W$495&gt;=6))*ROW('CONTROL MASTER'!$S$2:$S$495))-(ROW('CONTROL MASTER'!#REF!)-1))),IF(SUMPRODUCT((('CONTROL MASTER'!$S$2:$S$495=3)*('CONTROL MASTER'!$Z$2:$Z$495&lt;=8)*('CONTROL MASTER'!$AB$2:$AB$495&gt;=8)*('CONTROL MASTER'!$AA$2:$AA$495&lt;=6)*('CONTROL MASTER'!$AC$2:$AC$495&gt;=6))*ROW('CONTROL MASTER'!$S$2:$S$495))&gt;0,INDEX('CONTROL MASTER'!$X$2:$X$495,(SUMPRODUCT((('CONTROL MASTER'!$S$2:$S$495=3)*('CONTROL MASTER'!$Z$2:$Z$495&lt;=8)*('CONTROL MASTER'!$AB$2:$AB$495&gt;=8)*('CONTROL MASTER'!$AA$2:$AA$495&lt;=6)*('CONTROL MASTER'!$AC$2:$AC$495&gt;=6))*ROW('CONTROL MASTER'!$S$2:$S$495))-(ROW('CONTROL MASTER'!#REF!)-1)))&amp;TRIM(MID(SUBSTITUTE(SUBSTITUTE(INDEX('CONTROL MASTER'!$N$2:$N$495,(SUMPRODUCT((('CONTROL MASTER'!$S$2:$S$495=3)*('CONTROL MASTER'!$Z$2:$Z$495&lt;=8)*('CONTROL MASTER'!$AB$2:$AB$495&gt;=8)*('CONTROL MASTER'!$AA$2:$AA$495&lt;=6)*('CONTROL MASTER'!$AC$2:$AC$495&gt;=6))*ROW('CONTROL MASTER'!$S$2:$S$495))-(ROW('CONTROL MASTER'!#REF!)-1))),":",","),",",REPT(" ",50)),(((INDEX('CONTROL MASTER'!$Y$2:$Y$495,(SUMPRODUCT((('CONTROL MASTER'!$S$2:$S$495=3)*('CONTROL MASTER'!$Z$2:$Z$495&lt;=8)*('CONTROL MASTER'!$AB$2:$AB$495&gt;=8)*('CONTROL MASTER'!$AA$2:$AA$495&lt;=6)*('CONTROL MASTER'!$AC$2:$AC$495&gt;=6))*ROW('CONTROL MASTER'!$S$2:$S$495))-(ROW('CONTROL MASTER'!#REF!)-1)))+((8-INDEX('CONTROL MASTER'!$Z$2:$Z$495,(SUMPRODUCT((('CONTROL MASTER'!$S$2:$S$495=3)*('CONTROL MASTER'!$Z$2:$Z$495&lt;=8)*('CONTROL MASTER'!$AB$2:$AB$495&gt;=8)*('CONTROL MASTER'!$AA$2:$AA$495&lt;=6)*('CONTROL MASTER'!$AC$2:$AC$495&gt;=6))*ROW('CONTROL MASTER'!$S$2:$S$495))-(ROW('CONTROL MASTER'!#REF!)-1))))*(INDEX('CONTROL MASTER'!$AC$2:$AC$495,(SUMPRODUCT((('CONTROL MASTER'!$S$2:$S$495=3)*('CONTROL MASTER'!$Z$2:$Z$495&lt;=8)*('CONTROL MASTER'!$AB$2:$AB$495&gt;=8)*('CONTROL MASTER'!$AA$2:$AA$495&lt;=6)*('CONTROL MASTER'!$AC$2:$AC$495&gt;=6))*ROW('CONTROL MASTER'!$S$2:$S$495))-(ROW('CONTROL MASTER'!#REF!)-1)))-INDEX('CONTROL MASTER'!$AA$2:$AA$495,(SUMPRODUCT((('CONTROL MASTER'!$S$2:$S$495=3)*('CONTROL MASTER'!$Z$2:$Z$495&lt;=8)*('CONTROL MASTER'!$AB$2:$AB$495&gt;=8)*('CONTROL MASTER'!$AA$2:$AA$495&lt;=6)*('CONTROL MASTER'!$AC$2:$AC$495&gt;=6))*ROW('CONTROL MASTER'!$S$2:$S$495))-(ROW('CONTROL MASTER'!#REF!)-1)))+1)+(6-INDEX('CONTROL MASTER'!$AA$2:$AA$495,(SUMPRODUCT((('CONTROL MASTER'!$S$2:$S$495=3)*('CONTROL MASTER'!$Z$2:$Z$495&lt;=8)*('CONTROL MASTER'!$AB$2:$AB$495&gt;=8)*('CONTROL MASTER'!$AA$2:$AA$495&lt;=6)*('CONTROL MASTER'!$AC$2:$AC$495&gt;=6))*ROW('CONTROL MASTER'!$S$2:$S$495))-(ROW('CONTROL MASTER'!#REF!)-1))))+1)))-1)*50+1,50))&amp;"_"&amp;INDEX('CONTROL MASTER'!$P$2:$P$495,(SUMPRODUCT((('CONTROL MASTER'!$S$2:$S$495=3)*('CONTROL MASTER'!$Z$2:$Z$495&lt;=8)*('CONTROL MASTER'!$AB$2:$AB$495&gt;=8)*('CONTROL MASTER'!$AA$2:$AA$495&lt;=6)*('CONTROL MASTER'!$AC$2:$AC$495&gt;=6))*ROW('CONTROL MASTER'!$S$2:$S$495))-(ROW('CONTROL MASTER'!#REF!)-1))),"")),"")</f>
        <v/>
      </c>
      <c r="H38" s="10" t="str">
        <f>IFERROR(IF(SUMPRODUCT((('CONTROL MASTER'!$S$2:$S$495=3)*('CONTROL MASTER'!$T$2:$T$495&lt;=8)*('CONTROL MASTER'!$V$2:$V$495&gt;=8)*('CONTROL MASTER'!$U$2:$U$495&lt;=7)*('CONTROL MASTER'!$W$2:$W$495&gt;=7))*ROW('CONTROL MASTER'!$S$2:$S$495))&gt;0,INDEX('CONTROL MASTER'!$X$2:$X$495,(SUMPRODUCT((('CONTROL MASTER'!$S$2:$S$495=3)*('CONTROL MASTER'!$T$2:$T$495&lt;=8)*('CONTROL MASTER'!$V$2:$V$495&gt;=8)*('CONTROL MASTER'!$U$2:$U$495&lt;=7)*('CONTROL MASTER'!$W$2:$W$495&gt;=7))*ROW('CONTROL MASTER'!$S$2:$S$495))-(ROW('CONTROL MASTER'!#REF!)-1)))&amp;TRIM(MID(SUBSTITUTE(SUBSTITUTE(INDEX('CONTROL MASTER'!$N$2:$N$495,(SUMPRODUCT((('CONTROL MASTER'!$S$2:$S$495=3)*('CONTROL MASTER'!$T$2:$T$495&lt;=8)*('CONTROL MASTER'!$V$2:$V$495&gt;=8)*('CONTROL MASTER'!$U$2:$U$495&lt;=7)*('CONTROL MASTER'!$W$2:$W$495&gt;=7))*ROW('CONTROL MASTER'!$S$2:$S$495))-(ROW('CONTROL MASTER'!#REF!)-1))),":",","),",",REPT(" ",50)),((((8-INDEX('CONTROL MASTER'!$T$2:$T$495,(SUMPRODUCT((('CONTROL MASTER'!$S$2:$S$495=3)*('CONTROL MASTER'!$T$2:$T$495&lt;=8)*('CONTROL MASTER'!$V$2:$V$495&gt;=8)*('CONTROL MASTER'!$U$2:$U$495&lt;=7)*('CONTROL MASTER'!$W$2:$W$495&gt;=7))*ROW('CONTROL MASTER'!$S$2:$S$495))-(ROW('CONTROL MASTER'!#REF!)-1))))*(INDEX('CONTROL MASTER'!$W$2:$W$495,(SUMPRODUCT((('CONTROL MASTER'!$S$2:$S$495=3)*('CONTROL MASTER'!$T$2:$T$495&lt;=8)*('CONTROL MASTER'!$V$2:$V$495&gt;=8)*('CONTROL MASTER'!$U$2:$U$495&lt;=7)*('CONTROL MASTER'!$W$2:$W$495&gt;=7))*ROW('CONTROL MASTER'!$S$2:$S$495))-(ROW('CONTROL MASTER'!#REF!)-1)))-INDEX('CONTROL MASTER'!$U$2:$U$495,(SUMPRODUCT((('CONTROL MASTER'!$S$2:$S$495=3)*('CONTROL MASTER'!$T$2:$T$495&lt;=8)*('CONTROL MASTER'!$V$2:$V$495&gt;=8)*('CONTROL MASTER'!$U$2:$U$495&lt;=7)*('CONTROL MASTER'!$W$2:$W$495&gt;=7))*ROW('CONTROL MASTER'!$S$2:$S$495))-(ROW('CONTROL MASTER'!#REF!)-1)))+1)+(7-INDEX('CONTROL MASTER'!$U$2:$U$495,(SUMPRODUCT((('CONTROL MASTER'!$S$2:$S$495=3)*('CONTROL MASTER'!$T$2:$T$495&lt;=8)*('CONTROL MASTER'!$V$2:$V$495&gt;=8)*('CONTROL MASTER'!$U$2:$U$495&lt;=7)*('CONTROL MASTER'!$W$2:$W$495&gt;=7))*ROW('CONTROL MASTER'!$S$2:$S$495))-(ROW('CONTROL MASTER'!#REF!)-1))))+1))-1)*50+1,50))&amp;"_"&amp;INDEX('CONTROL MASTER'!$P$2:$P$495,(SUMPRODUCT((('CONTROL MASTER'!$S$2:$S$495=3)*('CONTROL MASTER'!$T$2:$T$495&lt;=8)*('CONTROL MASTER'!$V$2:$V$495&gt;=8)*('CONTROL MASTER'!$U$2:$U$495&lt;=7)*('CONTROL MASTER'!$W$2:$W$495&gt;=7))*ROW('CONTROL MASTER'!$S$2:$S$495))-(ROW('CONTROL MASTER'!#REF!)-1))),IF(SUMPRODUCT((('CONTROL MASTER'!$S$2:$S$495=3)*('CONTROL MASTER'!$Z$2:$Z$495&lt;=8)*('CONTROL MASTER'!$AB$2:$AB$495&gt;=8)*('CONTROL MASTER'!$AA$2:$AA$495&lt;=7)*('CONTROL MASTER'!$AC$2:$AC$495&gt;=7))*ROW('CONTROL MASTER'!$S$2:$S$495))&gt;0,INDEX('CONTROL MASTER'!$X$2:$X$495,(SUMPRODUCT((('CONTROL MASTER'!$S$2:$S$495=3)*('CONTROL MASTER'!$Z$2:$Z$495&lt;=8)*('CONTROL MASTER'!$AB$2:$AB$495&gt;=8)*('CONTROL MASTER'!$AA$2:$AA$495&lt;=7)*('CONTROL MASTER'!$AC$2:$AC$495&gt;=7))*ROW('CONTROL MASTER'!$S$2:$S$495))-(ROW('CONTROL MASTER'!#REF!)-1)))&amp;TRIM(MID(SUBSTITUTE(SUBSTITUTE(INDEX('CONTROL MASTER'!$N$2:$N$495,(SUMPRODUCT((('CONTROL MASTER'!$S$2:$S$495=3)*('CONTROL MASTER'!$Z$2:$Z$495&lt;=8)*('CONTROL MASTER'!$AB$2:$AB$495&gt;=8)*('CONTROL MASTER'!$AA$2:$AA$495&lt;=7)*('CONTROL MASTER'!$AC$2:$AC$495&gt;=7))*ROW('CONTROL MASTER'!$S$2:$S$495))-(ROW('CONTROL MASTER'!#REF!)-1))),":",","),",",REPT(" ",50)),(((INDEX('CONTROL MASTER'!$Y$2:$Y$495,(SUMPRODUCT((('CONTROL MASTER'!$S$2:$S$495=3)*('CONTROL MASTER'!$Z$2:$Z$495&lt;=8)*('CONTROL MASTER'!$AB$2:$AB$495&gt;=8)*('CONTROL MASTER'!$AA$2:$AA$495&lt;=7)*('CONTROL MASTER'!$AC$2:$AC$495&gt;=7))*ROW('CONTROL MASTER'!$S$2:$S$495))-(ROW('CONTROL MASTER'!#REF!)-1)))+((8-INDEX('CONTROL MASTER'!$Z$2:$Z$495,(SUMPRODUCT((('CONTROL MASTER'!$S$2:$S$495=3)*('CONTROL MASTER'!$Z$2:$Z$495&lt;=8)*('CONTROL MASTER'!$AB$2:$AB$495&gt;=8)*('CONTROL MASTER'!$AA$2:$AA$495&lt;=7)*('CONTROL MASTER'!$AC$2:$AC$495&gt;=7))*ROW('CONTROL MASTER'!$S$2:$S$495))-(ROW('CONTROL MASTER'!#REF!)-1))))*(INDEX('CONTROL MASTER'!$AC$2:$AC$495,(SUMPRODUCT((('CONTROL MASTER'!$S$2:$S$495=3)*('CONTROL MASTER'!$Z$2:$Z$495&lt;=8)*('CONTROL MASTER'!$AB$2:$AB$495&gt;=8)*('CONTROL MASTER'!$AA$2:$AA$495&lt;=7)*('CONTROL MASTER'!$AC$2:$AC$495&gt;=7))*ROW('CONTROL MASTER'!$S$2:$S$495))-(ROW('CONTROL MASTER'!#REF!)-1)))-INDEX('CONTROL MASTER'!$AA$2:$AA$495,(SUMPRODUCT((('CONTROL MASTER'!$S$2:$S$495=3)*('CONTROL MASTER'!$Z$2:$Z$495&lt;=8)*('CONTROL MASTER'!$AB$2:$AB$495&gt;=8)*('CONTROL MASTER'!$AA$2:$AA$495&lt;=7)*('CONTROL MASTER'!$AC$2:$AC$495&gt;=7))*ROW('CONTROL MASTER'!$S$2:$S$495))-(ROW('CONTROL MASTER'!#REF!)-1)))+1)+(7-INDEX('CONTROL MASTER'!$AA$2:$AA$495,(SUMPRODUCT((('CONTROL MASTER'!$S$2:$S$495=3)*('CONTROL MASTER'!$Z$2:$Z$495&lt;=8)*('CONTROL MASTER'!$AB$2:$AB$495&gt;=8)*('CONTROL MASTER'!$AA$2:$AA$495&lt;=7)*('CONTROL MASTER'!$AC$2:$AC$495&gt;=7))*ROW('CONTROL MASTER'!$S$2:$S$495))-(ROW('CONTROL MASTER'!#REF!)-1))))+1)))-1)*50+1,50))&amp;"_"&amp;INDEX('CONTROL MASTER'!$P$2:$P$495,(SUMPRODUCT((('CONTROL MASTER'!$S$2:$S$495=3)*('CONTROL MASTER'!$Z$2:$Z$495&lt;=8)*('CONTROL MASTER'!$AB$2:$AB$495&gt;=8)*('CONTROL MASTER'!$AA$2:$AA$495&lt;=7)*('CONTROL MASTER'!$AC$2:$AC$495&gt;=7))*ROW('CONTROL MASTER'!$S$2:$S$495))-(ROW('CONTROL MASTER'!#REF!)-1))),"")),"")</f>
        <v/>
      </c>
      <c r="I38" s="10" t="str">
        <f>IFERROR(IF(SUMPRODUCT((('CONTROL MASTER'!$S$2:$S$495=3)*('CONTROL MASTER'!$T$2:$T$495&lt;=8)*('CONTROL MASTER'!$V$2:$V$495&gt;=8)*('CONTROL MASTER'!$U$2:$U$495&lt;=8)*('CONTROL MASTER'!$W$2:$W$495&gt;=8))*ROW('CONTROL MASTER'!$S$2:$S$495))&gt;0,INDEX('CONTROL MASTER'!$X$2:$X$495,(SUMPRODUCT((('CONTROL MASTER'!$S$2:$S$495=3)*('CONTROL MASTER'!$T$2:$T$495&lt;=8)*('CONTROL MASTER'!$V$2:$V$495&gt;=8)*('CONTROL MASTER'!$U$2:$U$495&lt;=8)*('CONTROL MASTER'!$W$2:$W$495&gt;=8))*ROW('CONTROL MASTER'!$S$2:$S$495))-(ROW('CONTROL MASTER'!#REF!)-1)))&amp;TRIM(MID(SUBSTITUTE(SUBSTITUTE(INDEX('CONTROL MASTER'!$N$2:$N$495,(SUMPRODUCT((('CONTROL MASTER'!$S$2:$S$495=3)*('CONTROL MASTER'!$T$2:$T$495&lt;=8)*('CONTROL MASTER'!$V$2:$V$495&gt;=8)*('CONTROL MASTER'!$U$2:$U$495&lt;=8)*('CONTROL MASTER'!$W$2:$W$495&gt;=8))*ROW('CONTROL MASTER'!$S$2:$S$495))-(ROW('CONTROL MASTER'!#REF!)-1))),":",","),",",REPT(" ",50)),((((8-INDEX('CONTROL MASTER'!$T$2:$T$495,(SUMPRODUCT((('CONTROL MASTER'!$S$2:$S$495=3)*('CONTROL MASTER'!$T$2:$T$495&lt;=8)*('CONTROL MASTER'!$V$2:$V$495&gt;=8)*('CONTROL MASTER'!$U$2:$U$495&lt;=8)*('CONTROL MASTER'!$W$2:$W$495&gt;=8))*ROW('CONTROL MASTER'!$S$2:$S$495))-(ROW('CONTROL MASTER'!#REF!)-1))))*(INDEX('CONTROL MASTER'!$W$2:$W$495,(SUMPRODUCT((('CONTROL MASTER'!$S$2:$S$495=3)*('CONTROL MASTER'!$T$2:$T$495&lt;=8)*('CONTROL MASTER'!$V$2:$V$495&gt;=8)*('CONTROL MASTER'!$U$2:$U$495&lt;=8)*('CONTROL MASTER'!$W$2:$W$495&gt;=8))*ROW('CONTROL MASTER'!$S$2:$S$495))-(ROW('CONTROL MASTER'!#REF!)-1)))-INDEX('CONTROL MASTER'!$U$2:$U$495,(SUMPRODUCT((('CONTROL MASTER'!$S$2:$S$495=3)*('CONTROL MASTER'!$T$2:$T$495&lt;=8)*('CONTROL MASTER'!$V$2:$V$495&gt;=8)*('CONTROL MASTER'!$U$2:$U$495&lt;=8)*('CONTROL MASTER'!$W$2:$W$495&gt;=8))*ROW('CONTROL MASTER'!$S$2:$S$495))-(ROW('CONTROL MASTER'!#REF!)-1)))+1)+(8-INDEX('CONTROL MASTER'!$U$2:$U$495,(SUMPRODUCT((('CONTROL MASTER'!$S$2:$S$495=3)*('CONTROL MASTER'!$T$2:$T$495&lt;=8)*('CONTROL MASTER'!$V$2:$V$495&gt;=8)*('CONTROL MASTER'!$U$2:$U$495&lt;=8)*('CONTROL MASTER'!$W$2:$W$495&gt;=8))*ROW('CONTROL MASTER'!$S$2:$S$495))-(ROW('CONTROL MASTER'!#REF!)-1))))+1))-1)*50+1,50))&amp;"_"&amp;INDEX('CONTROL MASTER'!$P$2:$P$495,(SUMPRODUCT((('CONTROL MASTER'!$S$2:$S$495=3)*('CONTROL MASTER'!$T$2:$T$495&lt;=8)*('CONTROL MASTER'!$V$2:$V$495&gt;=8)*('CONTROL MASTER'!$U$2:$U$495&lt;=8)*('CONTROL MASTER'!$W$2:$W$495&gt;=8))*ROW('CONTROL MASTER'!$S$2:$S$495))-(ROW('CONTROL MASTER'!#REF!)-1))),IF(SUMPRODUCT((('CONTROL MASTER'!$S$2:$S$495=3)*('CONTROL MASTER'!$Z$2:$Z$495&lt;=8)*('CONTROL MASTER'!$AB$2:$AB$495&gt;=8)*('CONTROL MASTER'!$AA$2:$AA$495&lt;=8)*('CONTROL MASTER'!$AC$2:$AC$495&gt;=8))*ROW('CONTROL MASTER'!$S$2:$S$495))&gt;0,INDEX('CONTROL MASTER'!$X$2:$X$495,(SUMPRODUCT((('CONTROL MASTER'!$S$2:$S$495=3)*('CONTROL MASTER'!$Z$2:$Z$495&lt;=8)*('CONTROL MASTER'!$AB$2:$AB$495&gt;=8)*('CONTROL MASTER'!$AA$2:$AA$495&lt;=8)*('CONTROL MASTER'!$AC$2:$AC$495&gt;=8))*ROW('CONTROL MASTER'!$S$2:$S$495))-(ROW('CONTROL MASTER'!#REF!)-1)))&amp;TRIM(MID(SUBSTITUTE(SUBSTITUTE(INDEX('CONTROL MASTER'!$N$2:$N$495,(SUMPRODUCT((('CONTROL MASTER'!$S$2:$S$495=3)*('CONTROL MASTER'!$Z$2:$Z$495&lt;=8)*('CONTROL MASTER'!$AB$2:$AB$495&gt;=8)*('CONTROL MASTER'!$AA$2:$AA$495&lt;=8)*('CONTROL MASTER'!$AC$2:$AC$495&gt;=8))*ROW('CONTROL MASTER'!$S$2:$S$495))-(ROW('CONTROL MASTER'!#REF!)-1))),":",","),",",REPT(" ",50)),(((INDEX('CONTROL MASTER'!$Y$2:$Y$495,(SUMPRODUCT((('CONTROL MASTER'!$S$2:$S$495=3)*('CONTROL MASTER'!$Z$2:$Z$495&lt;=8)*('CONTROL MASTER'!$AB$2:$AB$495&gt;=8)*('CONTROL MASTER'!$AA$2:$AA$495&lt;=8)*('CONTROL MASTER'!$AC$2:$AC$495&gt;=8))*ROW('CONTROL MASTER'!$S$2:$S$495))-(ROW('CONTROL MASTER'!#REF!)-1)))+((8-INDEX('CONTROL MASTER'!$Z$2:$Z$495,(SUMPRODUCT((('CONTROL MASTER'!$S$2:$S$495=3)*('CONTROL MASTER'!$Z$2:$Z$495&lt;=8)*('CONTROL MASTER'!$AB$2:$AB$495&gt;=8)*('CONTROL MASTER'!$AA$2:$AA$495&lt;=8)*('CONTROL MASTER'!$AC$2:$AC$495&gt;=8))*ROW('CONTROL MASTER'!$S$2:$S$495))-(ROW('CONTROL MASTER'!#REF!)-1))))*(INDEX('CONTROL MASTER'!$AC$2:$AC$495,(SUMPRODUCT((('CONTROL MASTER'!$S$2:$S$495=3)*('CONTROL MASTER'!$Z$2:$Z$495&lt;=8)*('CONTROL MASTER'!$AB$2:$AB$495&gt;=8)*('CONTROL MASTER'!$AA$2:$AA$495&lt;=8)*('CONTROL MASTER'!$AC$2:$AC$495&gt;=8))*ROW('CONTROL MASTER'!$S$2:$S$495))-(ROW('CONTROL MASTER'!#REF!)-1)))-INDEX('CONTROL MASTER'!$AA$2:$AA$495,(SUMPRODUCT((('CONTROL MASTER'!$S$2:$S$495=3)*('CONTROL MASTER'!$Z$2:$Z$495&lt;=8)*('CONTROL MASTER'!$AB$2:$AB$495&gt;=8)*('CONTROL MASTER'!$AA$2:$AA$495&lt;=8)*('CONTROL MASTER'!$AC$2:$AC$495&gt;=8))*ROW('CONTROL MASTER'!$S$2:$S$495))-(ROW('CONTROL MASTER'!#REF!)-1)))+1)+(8-INDEX('CONTROL MASTER'!$AA$2:$AA$495,(SUMPRODUCT((('CONTROL MASTER'!$S$2:$S$495=3)*('CONTROL MASTER'!$Z$2:$Z$495&lt;=8)*('CONTROL MASTER'!$AB$2:$AB$495&gt;=8)*('CONTROL MASTER'!$AA$2:$AA$495&lt;=8)*('CONTROL MASTER'!$AC$2:$AC$495&gt;=8))*ROW('CONTROL MASTER'!$S$2:$S$495))-(ROW('CONTROL MASTER'!#REF!)-1))))+1)))-1)*50+1,50))&amp;"_"&amp;INDEX('CONTROL MASTER'!$P$2:$P$495,(SUMPRODUCT((('CONTROL MASTER'!$S$2:$S$495=3)*('CONTROL MASTER'!$Z$2:$Z$495&lt;=8)*('CONTROL MASTER'!$AB$2:$AB$495&gt;=8)*('CONTROL MASTER'!$AA$2:$AA$495&lt;=8)*('CONTROL MASTER'!$AC$2:$AC$495&gt;=8))*ROW('CONTROL MASTER'!$S$2:$S$495))-(ROW('CONTROL MASTER'!#REF!)-1))),"")),"")</f>
        <v/>
      </c>
      <c r="J38" s="10" t="str">
        <f>IFERROR(IF(SUMPRODUCT((('CONTROL MASTER'!$S$2:$S$495=3)*('CONTROL MASTER'!$T$2:$T$495&lt;=8)*('CONTROL MASTER'!$V$2:$V$495&gt;=8)*('CONTROL MASTER'!$U$2:$U$495&lt;=9)*('CONTROL MASTER'!$W$2:$W$495&gt;=9))*ROW('CONTROL MASTER'!$S$2:$S$495))&gt;0,INDEX('CONTROL MASTER'!$X$2:$X$495,(SUMPRODUCT((('CONTROL MASTER'!$S$2:$S$495=3)*('CONTROL MASTER'!$T$2:$T$495&lt;=8)*('CONTROL MASTER'!$V$2:$V$495&gt;=8)*('CONTROL MASTER'!$U$2:$U$495&lt;=9)*('CONTROL MASTER'!$W$2:$W$495&gt;=9))*ROW('CONTROL MASTER'!$S$2:$S$495))-(ROW('CONTROL MASTER'!#REF!)-1)))&amp;TRIM(MID(SUBSTITUTE(SUBSTITUTE(INDEX('CONTROL MASTER'!$N$2:$N$495,(SUMPRODUCT((('CONTROL MASTER'!$S$2:$S$495=3)*('CONTROL MASTER'!$T$2:$T$495&lt;=8)*('CONTROL MASTER'!$V$2:$V$495&gt;=8)*('CONTROL MASTER'!$U$2:$U$495&lt;=9)*('CONTROL MASTER'!$W$2:$W$495&gt;=9))*ROW('CONTROL MASTER'!$S$2:$S$495))-(ROW('CONTROL MASTER'!#REF!)-1))),":",","),",",REPT(" ",50)),((((8-INDEX('CONTROL MASTER'!$T$2:$T$495,(SUMPRODUCT((('CONTROL MASTER'!$S$2:$S$495=3)*('CONTROL MASTER'!$T$2:$T$495&lt;=8)*('CONTROL MASTER'!$V$2:$V$495&gt;=8)*('CONTROL MASTER'!$U$2:$U$495&lt;=9)*('CONTROL MASTER'!$W$2:$W$495&gt;=9))*ROW('CONTROL MASTER'!$S$2:$S$495))-(ROW('CONTROL MASTER'!#REF!)-1))))*(INDEX('CONTROL MASTER'!$W$2:$W$495,(SUMPRODUCT((('CONTROL MASTER'!$S$2:$S$495=3)*('CONTROL MASTER'!$T$2:$T$495&lt;=8)*('CONTROL MASTER'!$V$2:$V$495&gt;=8)*('CONTROL MASTER'!$U$2:$U$495&lt;=9)*('CONTROL MASTER'!$W$2:$W$495&gt;=9))*ROW('CONTROL MASTER'!$S$2:$S$495))-(ROW('CONTROL MASTER'!#REF!)-1)))-INDEX('CONTROL MASTER'!$U$2:$U$495,(SUMPRODUCT((('CONTROL MASTER'!$S$2:$S$495=3)*('CONTROL MASTER'!$T$2:$T$495&lt;=8)*('CONTROL MASTER'!$V$2:$V$495&gt;=8)*('CONTROL MASTER'!$U$2:$U$495&lt;=9)*('CONTROL MASTER'!$W$2:$W$495&gt;=9))*ROW('CONTROL MASTER'!$S$2:$S$495))-(ROW('CONTROL MASTER'!#REF!)-1)))+1)+(9-INDEX('CONTROL MASTER'!$U$2:$U$495,(SUMPRODUCT((('CONTROL MASTER'!$S$2:$S$495=3)*('CONTROL MASTER'!$T$2:$T$495&lt;=8)*('CONTROL MASTER'!$V$2:$V$495&gt;=8)*('CONTROL MASTER'!$U$2:$U$495&lt;=9)*('CONTROL MASTER'!$W$2:$W$495&gt;=9))*ROW('CONTROL MASTER'!$S$2:$S$495))-(ROW('CONTROL MASTER'!#REF!)-1))))+1))-1)*50+1,50))&amp;"_"&amp;INDEX('CONTROL MASTER'!$P$2:$P$495,(SUMPRODUCT((('CONTROL MASTER'!$S$2:$S$495=3)*('CONTROL MASTER'!$T$2:$T$495&lt;=8)*('CONTROL MASTER'!$V$2:$V$495&gt;=8)*('CONTROL MASTER'!$U$2:$U$495&lt;=9)*('CONTROL MASTER'!$W$2:$W$495&gt;=9))*ROW('CONTROL MASTER'!$S$2:$S$495))-(ROW('CONTROL MASTER'!#REF!)-1))),IF(SUMPRODUCT((('CONTROL MASTER'!$S$2:$S$495=3)*('CONTROL MASTER'!$Z$2:$Z$495&lt;=8)*('CONTROL MASTER'!$AB$2:$AB$495&gt;=8)*('CONTROL MASTER'!$AA$2:$AA$495&lt;=9)*('CONTROL MASTER'!$AC$2:$AC$495&gt;=9))*ROW('CONTROL MASTER'!$S$2:$S$495))&gt;0,INDEX('CONTROL MASTER'!$X$2:$X$495,(SUMPRODUCT((('CONTROL MASTER'!$S$2:$S$495=3)*('CONTROL MASTER'!$Z$2:$Z$495&lt;=8)*('CONTROL MASTER'!$AB$2:$AB$495&gt;=8)*('CONTROL MASTER'!$AA$2:$AA$495&lt;=9)*('CONTROL MASTER'!$AC$2:$AC$495&gt;=9))*ROW('CONTROL MASTER'!$S$2:$S$495))-(ROW('CONTROL MASTER'!#REF!)-1)))&amp;TRIM(MID(SUBSTITUTE(SUBSTITUTE(INDEX('CONTROL MASTER'!$N$2:$N$495,(SUMPRODUCT((('CONTROL MASTER'!$S$2:$S$495=3)*('CONTROL MASTER'!$Z$2:$Z$495&lt;=8)*('CONTROL MASTER'!$AB$2:$AB$495&gt;=8)*('CONTROL MASTER'!$AA$2:$AA$495&lt;=9)*('CONTROL MASTER'!$AC$2:$AC$495&gt;=9))*ROW('CONTROL MASTER'!$S$2:$S$495))-(ROW('CONTROL MASTER'!#REF!)-1))),":",","),",",REPT(" ",50)),(((INDEX('CONTROL MASTER'!$Y$2:$Y$495,(SUMPRODUCT((('CONTROL MASTER'!$S$2:$S$495=3)*('CONTROL MASTER'!$Z$2:$Z$495&lt;=8)*('CONTROL MASTER'!$AB$2:$AB$495&gt;=8)*('CONTROL MASTER'!$AA$2:$AA$495&lt;=9)*('CONTROL MASTER'!$AC$2:$AC$495&gt;=9))*ROW('CONTROL MASTER'!$S$2:$S$495))-(ROW('CONTROL MASTER'!#REF!)-1)))+((8-INDEX('CONTROL MASTER'!$Z$2:$Z$495,(SUMPRODUCT((('CONTROL MASTER'!$S$2:$S$495=3)*('CONTROL MASTER'!$Z$2:$Z$495&lt;=8)*('CONTROL MASTER'!$AB$2:$AB$495&gt;=8)*('CONTROL MASTER'!$AA$2:$AA$495&lt;=9)*('CONTROL MASTER'!$AC$2:$AC$495&gt;=9))*ROW('CONTROL MASTER'!$S$2:$S$495))-(ROW('CONTROL MASTER'!#REF!)-1))))*(INDEX('CONTROL MASTER'!$AC$2:$AC$495,(SUMPRODUCT((('CONTROL MASTER'!$S$2:$S$495=3)*('CONTROL MASTER'!$Z$2:$Z$495&lt;=8)*('CONTROL MASTER'!$AB$2:$AB$495&gt;=8)*('CONTROL MASTER'!$AA$2:$AA$495&lt;=9)*('CONTROL MASTER'!$AC$2:$AC$495&gt;=9))*ROW('CONTROL MASTER'!$S$2:$S$495))-(ROW('CONTROL MASTER'!#REF!)-1)))-INDEX('CONTROL MASTER'!$AA$2:$AA$495,(SUMPRODUCT((('CONTROL MASTER'!$S$2:$S$495=3)*('CONTROL MASTER'!$Z$2:$Z$495&lt;=8)*('CONTROL MASTER'!$AB$2:$AB$495&gt;=8)*('CONTROL MASTER'!$AA$2:$AA$495&lt;=9)*('CONTROL MASTER'!$AC$2:$AC$495&gt;=9))*ROW('CONTROL MASTER'!$S$2:$S$495))-(ROW('CONTROL MASTER'!#REF!)-1)))+1)+(9-INDEX('CONTROL MASTER'!$AA$2:$AA$495,(SUMPRODUCT((('CONTROL MASTER'!$S$2:$S$495=3)*('CONTROL MASTER'!$Z$2:$Z$495&lt;=8)*('CONTROL MASTER'!$AB$2:$AB$495&gt;=8)*('CONTROL MASTER'!$AA$2:$AA$495&lt;=9)*('CONTROL MASTER'!$AC$2:$AC$495&gt;=9))*ROW('CONTROL MASTER'!$S$2:$S$495))-(ROW('CONTROL MASTER'!#REF!)-1))))+1)))-1)*50+1,50))&amp;"_"&amp;INDEX('CONTROL MASTER'!$P$2:$P$495,(SUMPRODUCT((('CONTROL MASTER'!$S$2:$S$495=3)*('CONTROL MASTER'!$Z$2:$Z$495&lt;=8)*('CONTROL MASTER'!$AB$2:$AB$495&gt;=8)*('CONTROL MASTER'!$AA$2:$AA$495&lt;=9)*('CONTROL MASTER'!$AC$2:$AC$495&gt;=9))*ROW('CONTROL MASTER'!$S$2:$S$495))-(ROW('CONTROL MASTER'!#REF!)-1))),"")),"")</f>
        <v/>
      </c>
      <c r="K38" s="10" t="str">
        <f>IFERROR(IF(SUMPRODUCT((('CONTROL MASTER'!$S$2:$S$495=3)*('CONTROL MASTER'!$T$2:$T$495&lt;=8)*('CONTROL MASTER'!$V$2:$V$495&gt;=8)*('CONTROL MASTER'!$U$2:$U$495&lt;=10)*('CONTROL MASTER'!$W$2:$W$495&gt;=10))*ROW('CONTROL MASTER'!$S$2:$S$495))&gt;0,INDEX('CONTROL MASTER'!$X$2:$X$495,(SUMPRODUCT((('CONTROL MASTER'!$S$2:$S$495=3)*('CONTROL MASTER'!$T$2:$T$495&lt;=8)*('CONTROL MASTER'!$V$2:$V$495&gt;=8)*('CONTROL MASTER'!$U$2:$U$495&lt;=10)*('CONTROL MASTER'!$W$2:$W$495&gt;=10))*ROW('CONTROL MASTER'!$S$2:$S$495))-(ROW('CONTROL MASTER'!#REF!)-1)))&amp;TRIM(MID(SUBSTITUTE(SUBSTITUTE(INDEX('CONTROL MASTER'!$N$2:$N$495,(SUMPRODUCT((('CONTROL MASTER'!$S$2:$S$495=3)*('CONTROL MASTER'!$T$2:$T$495&lt;=8)*('CONTROL MASTER'!$V$2:$V$495&gt;=8)*('CONTROL MASTER'!$U$2:$U$495&lt;=10)*('CONTROL MASTER'!$W$2:$W$495&gt;=10))*ROW('CONTROL MASTER'!$S$2:$S$495))-(ROW('CONTROL MASTER'!#REF!)-1))),":",","),",",REPT(" ",50)),((((8-INDEX('CONTROL MASTER'!$T$2:$T$495,(SUMPRODUCT((('CONTROL MASTER'!$S$2:$S$495=3)*('CONTROL MASTER'!$T$2:$T$495&lt;=8)*('CONTROL MASTER'!$V$2:$V$495&gt;=8)*('CONTROL MASTER'!$U$2:$U$495&lt;=10)*('CONTROL MASTER'!$W$2:$W$495&gt;=10))*ROW('CONTROL MASTER'!$S$2:$S$495))-(ROW('CONTROL MASTER'!#REF!)-1))))*(INDEX('CONTROL MASTER'!$W$2:$W$495,(SUMPRODUCT((('CONTROL MASTER'!$S$2:$S$495=3)*('CONTROL MASTER'!$T$2:$T$495&lt;=8)*('CONTROL MASTER'!$V$2:$V$495&gt;=8)*('CONTROL MASTER'!$U$2:$U$495&lt;=10)*('CONTROL MASTER'!$W$2:$W$495&gt;=10))*ROW('CONTROL MASTER'!$S$2:$S$495))-(ROW('CONTROL MASTER'!#REF!)-1)))-INDEX('CONTROL MASTER'!$U$2:$U$495,(SUMPRODUCT((('CONTROL MASTER'!$S$2:$S$495=3)*('CONTROL MASTER'!$T$2:$T$495&lt;=8)*('CONTROL MASTER'!$V$2:$V$495&gt;=8)*('CONTROL MASTER'!$U$2:$U$495&lt;=10)*('CONTROL MASTER'!$W$2:$W$495&gt;=10))*ROW('CONTROL MASTER'!$S$2:$S$495))-(ROW('CONTROL MASTER'!#REF!)-1)))+1)+(10-INDEX('CONTROL MASTER'!$U$2:$U$495,(SUMPRODUCT((('CONTROL MASTER'!$S$2:$S$495=3)*('CONTROL MASTER'!$T$2:$T$495&lt;=8)*('CONTROL MASTER'!$V$2:$V$495&gt;=8)*('CONTROL MASTER'!$U$2:$U$495&lt;=10)*('CONTROL MASTER'!$W$2:$W$495&gt;=10))*ROW('CONTROL MASTER'!$S$2:$S$495))-(ROW('CONTROL MASTER'!#REF!)-1))))+1))-1)*50+1,50))&amp;"_"&amp;INDEX('CONTROL MASTER'!$P$2:$P$495,(SUMPRODUCT((('CONTROL MASTER'!$S$2:$S$495=3)*('CONTROL MASTER'!$T$2:$T$495&lt;=8)*('CONTROL MASTER'!$V$2:$V$495&gt;=8)*('CONTROL MASTER'!$U$2:$U$495&lt;=10)*('CONTROL MASTER'!$W$2:$W$495&gt;=10))*ROW('CONTROL MASTER'!$S$2:$S$495))-(ROW('CONTROL MASTER'!#REF!)-1))),IF(SUMPRODUCT((('CONTROL MASTER'!$S$2:$S$495=3)*('CONTROL MASTER'!$Z$2:$Z$495&lt;=8)*('CONTROL MASTER'!$AB$2:$AB$495&gt;=8)*('CONTROL MASTER'!$AA$2:$AA$495&lt;=10)*('CONTROL MASTER'!$AC$2:$AC$495&gt;=10))*ROW('CONTROL MASTER'!$S$2:$S$495))&gt;0,INDEX('CONTROL MASTER'!$X$2:$X$495,(SUMPRODUCT((('CONTROL MASTER'!$S$2:$S$495=3)*('CONTROL MASTER'!$Z$2:$Z$495&lt;=8)*('CONTROL MASTER'!$AB$2:$AB$495&gt;=8)*('CONTROL MASTER'!$AA$2:$AA$495&lt;=10)*('CONTROL MASTER'!$AC$2:$AC$495&gt;=10))*ROW('CONTROL MASTER'!$S$2:$S$495))-(ROW('CONTROL MASTER'!#REF!)-1)))&amp;TRIM(MID(SUBSTITUTE(SUBSTITUTE(INDEX('CONTROL MASTER'!$N$2:$N$495,(SUMPRODUCT((('CONTROL MASTER'!$S$2:$S$495=3)*('CONTROL MASTER'!$Z$2:$Z$495&lt;=8)*('CONTROL MASTER'!$AB$2:$AB$495&gt;=8)*('CONTROL MASTER'!$AA$2:$AA$495&lt;=10)*('CONTROL MASTER'!$AC$2:$AC$495&gt;=10))*ROW('CONTROL MASTER'!$S$2:$S$495))-(ROW('CONTROL MASTER'!#REF!)-1))),":",","),",",REPT(" ",50)),(((INDEX('CONTROL MASTER'!$Y$2:$Y$495,(SUMPRODUCT((('CONTROL MASTER'!$S$2:$S$495=3)*('CONTROL MASTER'!$Z$2:$Z$495&lt;=8)*('CONTROL MASTER'!$AB$2:$AB$495&gt;=8)*('CONTROL MASTER'!$AA$2:$AA$495&lt;=10)*('CONTROL MASTER'!$AC$2:$AC$495&gt;=10))*ROW('CONTROL MASTER'!$S$2:$S$495))-(ROW('CONTROL MASTER'!#REF!)-1)))+((8-INDEX('CONTROL MASTER'!$Z$2:$Z$495,(SUMPRODUCT((('CONTROL MASTER'!$S$2:$S$495=3)*('CONTROL MASTER'!$Z$2:$Z$495&lt;=8)*('CONTROL MASTER'!$AB$2:$AB$495&gt;=8)*('CONTROL MASTER'!$AA$2:$AA$495&lt;=10)*('CONTROL MASTER'!$AC$2:$AC$495&gt;=10))*ROW('CONTROL MASTER'!$S$2:$S$495))-(ROW('CONTROL MASTER'!#REF!)-1))))*(INDEX('CONTROL MASTER'!$AC$2:$AC$495,(SUMPRODUCT((('CONTROL MASTER'!$S$2:$S$495=3)*('CONTROL MASTER'!$Z$2:$Z$495&lt;=8)*('CONTROL MASTER'!$AB$2:$AB$495&gt;=8)*('CONTROL MASTER'!$AA$2:$AA$495&lt;=10)*('CONTROL MASTER'!$AC$2:$AC$495&gt;=10))*ROW('CONTROL MASTER'!$S$2:$S$495))-(ROW('CONTROL MASTER'!#REF!)-1)))-INDEX('CONTROL MASTER'!$AA$2:$AA$495,(SUMPRODUCT((('CONTROL MASTER'!$S$2:$S$495=3)*('CONTROL MASTER'!$Z$2:$Z$495&lt;=8)*('CONTROL MASTER'!$AB$2:$AB$495&gt;=8)*('CONTROL MASTER'!$AA$2:$AA$495&lt;=10)*('CONTROL MASTER'!$AC$2:$AC$495&gt;=10))*ROW('CONTROL MASTER'!$S$2:$S$495))-(ROW('CONTROL MASTER'!#REF!)-1)))+1)+(10-INDEX('CONTROL MASTER'!$AA$2:$AA$495,(SUMPRODUCT((('CONTROL MASTER'!$S$2:$S$495=3)*('CONTROL MASTER'!$Z$2:$Z$495&lt;=8)*('CONTROL MASTER'!$AB$2:$AB$495&gt;=8)*('CONTROL MASTER'!$AA$2:$AA$495&lt;=10)*('CONTROL MASTER'!$AC$2:$AC$495&gt;=10))*ROW('CONTROL MASTER'!$S$2:$S$495))-(ROW('CONTROL MASTER'!#REF!)-1))))+1)))-1)*50+1,50))&amp;"_"&amp;INDEX('CONTROL MASTER'!$P$2:$P$495,(SUMPRODUCT((('CONTROL MASTER'!$S$2:$S$495=3)*('CONTROL MASTER'!$Z$2:$Z$495&lt;=8)*('CONTROL MASTER'!$AB$2:$AB$495&gt;=8)*('CONTROL MASTER'!$AA$2:$AA$495&lt;=10)*('CONTROL MASTER'!$AC$2:$AC$495&gt;=10))*ROW('CONTROL MASTER'!$S$2:$S$495))-(ROW('CONTROL MASTER'!#REF!)-1))),"")),"")</f>
        <v/>
      </c>
    </row>
    <row r="39" spans="1:11" ht="15" customHeight="1" x14ac:dyDescent="0.35">
      <c r="A39" s="8" t="s">
        <v>81</v>
      </c>
      <c r="B39" s="10" t="str">
        <f>IFERROR(IF(SUMPRODUCT((('CONTROL MASTER'!$S$2:$S$495=3)*('CONTROL MASTER'!$T$2:$T$495&lt;=9)*('CONTROL MASTER'!$V$2:$V$495&gt;=9)*('CONTROL MASTER'!$U$2:$U$495&lt;=1)*('CONTROL MASTER'!$W$2:$W$495&gt;=1))*ROW('CONTROL MASTER'!$S$2:$S$495))&gt;0,INDEX('CONTROL MASTER'!$X$2:$X$495,(SUMPRODUCT((('CONTROL MASTER'!$S$2:$S$495=3)*('CONTROL MASTER'!$T$2:$T$495&lt;=9)*('CONTROL MASTER'!$V$2:$V$495&gt;=9)*('CONTROL MASTER'!$U$2:$U$495&lt;=1)*('CONTROL MASTER'!$W$2:$W$495&gt;=1))*ROW('CONTROL MASTER'!$S$2:$S$495))-(ROW('CONTROL MASTER'!#REF!)-1)))&amp;TRIM(MID(SUBSTITUTE(SUBSTITUTE(INDEX('CONTROL MASTER'!$N$2:$N$495,(SUMPRODUCT((('CONTROL MASTER'!$S$2:$S$495=3)*('CONTROL MASTER'!$T$2:$T$495&lt;=9)*('CONTROL MASTER'!$V$2:$V$495&gt;=9)*('CONTROL MASTER'!$U$2:$U$495&lt;=1)*('CONTROL MASTER'!$W$2:$W$495&gt;=1))*ROW('CONTROL MASTER'!$S$2:$S$495))-(ROW('CONTROL MASTER'!#REF!)-1))),":",","),",",REPT(" ",50)),((((9-INDEX('CONTROL MASTER'!$T$2:$T$495,(SUMPRODUCT((('CONTROL MASTER'!$S$2:$S$495=3)*('CONTROL MASTER'!$T$2:$T$495&lt;=9)*('CONTROL MASTER'!$V$2:$V$495&gt;=9)*('CONTROL MASTER'!$U$2:$U$495&lt;=1)*('CONTROL MASTER'!$W$2:$W$495&gt;=1))*ROW('CONTROL MASTER'!$S$2:$S$495))-(ROW('CONTROL MASTER'!#REF!)-1))))*(INDEX('CONTROL MASTER'!$W$2:$W$495,(SUMPRODUCT((('CONTROL MASTER'!$S$2:$S$495=3)*('CONTROL MASTER'!$T$2:$T$495&lt;=9)*('CONTROL MASTER'!$V$2:$V$495&gt;=9)*('CONTROL MASTER'!$U$2:$U$495&lt;=1)*('CONTROL MASTER'!$W$2:$W$495&gt;=1))*ROW('CONTROL MASTER'!$S$2:$S$495))-(ROW('CONTROL MASTER'!#REF!)-1)))-INDEX('CONTROL MASTER'!$U$2:$U$495,(SUMPRODUCT((('CONTROL MASTER'!$S$2:$S$495=3)*('CONTROL MASTER'!$T$2:$T$495&lt;=9)*('CONTROL MASTER'!$V$2:$V$495&gt;=9)*('CONTROL MASTER'!$U$2:$U$495&lt;=1)*('CONTROL MASTER'!$W$2:$W$495&gt;=1))*ROW('CONTROL MASTER'!$S$2:$S$495))-(ROW('CONTROL MASTER'!#REF!)-1)))+1)+(1-INDEX('CONTROL MASTER'!$U$2:$U$495,(SUMPRODUCT((('CONTROL MASTER'!$S$2:$S$495=3)*('CONTROL MASTER'!$T$2:$T$495&lt;=9)*('CONTROL MASTER'!$V$2:$V$495&gt;=9)*('CONTROL MASTER'!$U$2:$U$495&lt;=1)*('CONTROL MASTER'!$W$2:$W$495&gt;=1))*ROW('CONTROL MASTER'!$S$2:$S$495))-(ROW('CONTROL MASTER'!#REF!)-1))))+1))-1)*50+1,50))&amp;"_"&amp;INDEX('CONTROL MASTER'!$P$2:$P$495,(SUMPRODUCT((('CONTROL MASTER'!$S$2:$S$495=3)*('CONTROL MASTER'!$T$2:$T$495&lt;=9)*('CONTROL MASTER'!$V$2:$V$495&gt;=9)*('CONTROL MASTER'!$U$2:$U$495&lt;=1)*('CONTROL MASTER'!$W$2:$W$495&gt;=1))*ROW('CONTROL MASTER'!$S$2:$S$495))-(ROW('CONTROL MASTER'!#REF!)-1))),IF(SUMPRODUCT((('CONTROL MASTER'!$S$2:$S$495=3)*('CONTROL MASTER'!$Z$2:$Z$495&lt;=9)*('CONTROL MASTER'!$AB$2:$AB$495&gt;=9)*('CONTROL MASTER'!$AA$2:$AA$495&lt;=1)*('CONTROL MASTER'!$AC$2:$AC$495&gt;=1))*ROW('CONTROL MASTER'!$S$2:$S$495))&gt;0,INDEX('CONTROL MASTER'!$X$2:$X$495,(SUMPRODUCT((('CONTROL MASTER'!$S$2:$S$495=3)*('CONTROL MASTER'!$Z$2:$Z$495&lt;=9)*('CONTROL MASTER'!$AB$2:$AB$495&gt;=9)*('CONTROL MASTER'!$AA$2:$AA$495&lt;=1)*('CONTROL MASTER'!$AC$2:$AC$495&gt;=1))*ROW('CONTROL MASTER'!$S$2:$S$495))-(ROW('CONTROL MASTER'!#REF!)-1)))&amp;TRIM(MID(SUBSTITUTE(SUBSTITUTE(INDEX('CONTROL MASTER'!$N$2:$N$495,(SUMPRODUCT((('CONTROL MASTER'!$S$2:$S$495=3)*('CONTROL MASTER'!$Z$2:$Z$495&lt;=9)*('CONTROL MASTER'!$AB$2:$AB$495&gt;=9)*('CONTROL MASTER'!$AA$2:$AA$495&lt;=1)*('CONTROL MASTER'!$AC$2:$AC$495&gt;=1))*ROW('CONTROL MASTER'!$S$2:$S$495))-(ROW('CONTROL MASTER'!#REF!)-1))),":",","),",",REPT(" ",50)),(((INDEX('CONTROL MASTER'!$Y$2:$Y$495,(SUMPRODUCT((('CONTROL MASTER'!$S$2:$S$495=3)*('CONTROL MASTER'!$Z$2:$Z$495&lt;=9)*('CONTROL MASTER'!$AB$2:$AB$495&gt;=9)*('CONTROL MASTER'!$AA$2:$AA$495&lt;=1)*('CONTROL MASTER'!$AC$2:$AC$495&gt;=1))*ROW('CONTROL MASTER'!$S$2:$S$495))-(ROW('CONTROL MASTER'!#REF!)-1)))+((9-INDEX('CONTROL MASTER'!$Z$2:$Z$495,(SUMPRODUCT((('CONTROL MASTER'!$S$2:$S$495=3)*('CONTROL MASTER'!$Z$2:$Z$495&lt;=9)*('CONTROL MASTER'!$AB$2:$AB$495&gt;=9)*('CONTROL MASTER'!$AA$2:$AA$495&lt;=1)*('CONTROL MASTER'!$AC$2:$AC$495&gt;=1))*ROW('CONTROL MASTER'!$S$2:$S$495))-(ROW('CONTROL MASTER'!#REF!)-1))))*(INDEX('CONTROL MASTER'!$AC$2:$AC$495,(SUMPRODUCT((('CONTROL MASTER'!$S$2:$S$495=3)*('CONTROL MASTER'!$Z$2:$Z$495&lt;=9)*('CONTROL MASTER'!$AB$2:$AB$495&gt;=9)*('CONTROL MASTER'!$AA$2:$AA$495&lt;=1)*('CONTROL MASTER'!$AC$2:$AC$495&gt;=1))*ROW('CONTROL MASTER'!$S$2:$S$495))-(ROW('CONTROL MASTER'!#REF!)-1)))-INDEX('CONTROL MASTER'!$AA$2:$AA$495,(SUMPRODUCT((('CONTROL MASTER'!$S$2:$S$495=3)*('CONTROL MASTER'!$Z$2:$Z$495&lt;=9)*('CONTROL MASTER'!$AB$2:$AB$495&gt;=9)*('CONTROL MASTER'!$AA$2:$AA$495&lt;=1)*('CONTROL MASTER'!$AC$2:$AC$495&gt;=1))*ROW('CONTROL MASTER'!$S$2:$S$495))-(ROW('CONTROL MASTER'!#REF!)-1)))+1)+(1-INDEX('CONTROL MASTER'!$AA$2:$AA$495,(SUMPRODUCT((('CONTROL MASTER'!$S$2:$S$495=3)*('CONTROL MASTER'!$Z$2:$Z$495&lt;=9)*('CONTROL MASTER'!$AB$2:$AB$495&gt;=9)*('CONTROL MASTER'!$AA$2:$AA$495&lt;=1)*('CONTROL MASTER'!$AC$2:$AC$495&gt;=1))*ROW('CONTROL MASTER'!$S$2:$S$495))-(ROW('CONTROL MASTER'!#REF!)-1))))+1)))-1)*50+1,50))&amp;"_"&amp;INDEX('CONTROL MASTER'!$P$2:$P$495,(SUMPRODUCT((('CONTROL MASTER'!$S$2:$S$495=3)*('CONTROL MASTER'!$Z$2:$Z$495&lt;=9)*('CONTROL MASTER'!$AB$2:$AB$495&gt;=9)*('CONTROL MASTER'!$AA$2:$AA$495&lt;=1)*('CONTROL MASTER'!$AC$2:$AC$495&gt;=1))*ROW('CONTROL MASTER'!$S$2:$S$495))-(ROW('CONTROL MASTER'!#REF!)-1))),"")),"")</f>
        <v/>
      </c>
      <c r="C39" s="10" t="str">
        <f>IFERROR(IF(SUMPRODUCT((('CONTROL MASTER'!$S$2:$S$495=3)*('CONTROL MASTER'!$T$2:$T$495&lt;=9)*('CONTROL MASTER'!$V$2:$V$495&gt;=9)*('CONTROL MASTER'!$U$2:$U$495&lt;=2)*('CONTROL MASTER'!$W$2:$W$495&gt;=2))*ROW('CONTROL MASTER'!$S$2:$S$495))&gt;0,INDEX('CONTROL MASTER'!$X$2:$X$495,(SUMPRODUCT((('CONTROL MASTER'!$S$2:$S$495=3)*('CONTROL MASTER'!$T$2:$T$495&lt;=9)*('CONTROL MASTER'!$V$2:$V$495&gt;=9)*('CONTROL MASTER'!$U$2:$U$495&lt;=2)*('CONTROL MASTER'!$W$2:$W$495&gt;=2))*ROW('CONTROL MASTER'!$S$2:$S$495))-(ROW('CONTROL MASTER'!#REF!)-1)))&amp;TRIM(MID(SUBSTITUTE(SUBSTITUTE(INDEX('CONTROL MASTER'!$N$2:$N$495,(SUMPRODUCT((('CONTROL MASTER'!$S$2:$S$495=3)*('CONTROL MASTER'!$T$2:$T$495&lt;=9)*('CONTROL MASTER'!$V$2:$V$495&gt;=9)*('CONTROL MASTER'!$U$2:$U$495&lt;=2)*('CONTROL MASTER'!$W$2:$W$495&gt;=2))*ROW('CONTROL MASTER'!$S$2:$S$495))-(ROW('CONTROL MASTER'!#REF!)-1))),":",","),",",REPT(" ",50)),((((9-INDEX('CONTROL MASTER'!$T$2:$T$495,(SUMPRODUCT((('CONTROL MASTER'!$S$2:$S$495=3)*('CONTROL MASTER'!$T$2:$T$495&lt;=9)*('CONTROL MASTER'!$V$2:$V$495&gt;=9)*('CONTROL MASTER'!$U$2:$U$495&lt;=2)*('CONTROL MASTER'!$W$2:$W$495&gt;=2))*ROW('CONTROL MASTER'!$S$2:$S$495))-(ROW('CONTROL MASTER'!#REF!)-1))))*(INDEX('CONTROL MASTER'!$W$2:$W$495,(SUMPRODUCT((('CONTROL MASTER'!$S$2:$S$495=3)*('CONTROL MASTER'!$T$2:$T$495&lt;=9)*('CONTROL MASTER'!$V$2:$V$495&gt;=9)*('CONTROL MASTER'!$U$2:$U$495&lt;=2)*('CONTROL MASTER'!$W$2:$W$495&gt;=2))*ROW('CONTROL MASTER'!$S$2:$S$495))-(ROW('CONTROL MASTER'!#REF!)-1)))-INDEX('CONTROL MASTER'!$U$2:$U$495,(SUMPRODUCT((('CONTROL MASTER'!$S$2:$S$495=3)*('CONTROL MASTER'!$T$2:$T$495&lt;=9)*('CONTROL MASTER'!$V$2:$V$495&gt;=9)*('CONTROL MASTER'!$U$2:$U$495&lt;=2)*('CONTROL MASTER'!$W$2:$W$495&gt;=2))*ROW('CONTROL MASTER'!$S$2:$S$495))-(ROW('CONTROL MASTER'!#REF!)-1)))+1)+(2-INDEX('CONTROL MASTER'!$U$2:$U$495,(SUMPRODUCT((('CONTROL MASTER'!$S$2:$S$495=3)*('CONTROL MASTER'!$T$2:$T$495&lt;=9)*('CONTROL MASTER'!$V$2:$V$495&gt;=9)*('CONTROL MASTER'!$U$2:$U$495&lt;=2)*('CONTROL MASTER'!$W$2:$W$495&gt;=2))*ROW('CONTROL MASTER'!$S$2:$S$495))-(ROW('CONTROL MASTER'!#REF!)-1))))+1))-1)*50+1,50))&amp;"_"&amp;INDEX('CONTROL MASTER'!$P$2:$P$495,(SUMPRODUCT((('CONTROL MASTER'!$S$2:$S$495=3)*('CONTROL MASTER'!$T$2:$T$495&lt;=9)*('CONTROL MASTER'!$V$2:$V$495&gt;=9)*('CONTROL MASTER'!$U$2:$U$495&lt;=2)*('CONTROL MASTER'!$W$2:$W$495&gt;=2))*ROW('CONTROL MASTER'!$S$2:$S$495))-(ROW('CONTROL MASTER'!#REF!)-1))),IF(SUMPRODUCT((('CONTROL MASTER'!$S$2:$S$495=3)*('CONTROL MASTER'!$Z$2:$Z$495&lt;=9)*('CONTROL MASTER'!$AB$2:$AB$495&gt;=9)*('CONTROL MASTER'!$AA$2:$AA$495&lt;=2)*('CONTROL MASTER'!$AC$2:$AC$495&gt;=2))*ROW('CONTROL MASTER'!$S$2:$S$495))&gt;0,INDEX('CONTROL MASTER'!$X$2:$X$495,(SUMPRODUCT((('CONTROL MASTER'!$S$2:$S$495=3)*('CONTROL MASTER'!$Z$2:$Z$495&lt;=9)*('CONTROL MASTER'!$AB$2:$AB$495&gt;=9)*('CONTROL MASTER'!$AA$2:$AA$495&lt;=2)*('CONTROL MASTER'!$AC$2:$AC$495&gt;=2))*ROW('CONTROL MASTER'!$S$2:$S$495))-(ROW('CONTROL MASTER'!#REF!)-1)))&amp;TRIM(MID(SUBSTITUTE(SUBSTITUTE(INDEX('CONTROL MASTER'!$N$2:$N$495,(SUMPRODUCT((('CONTROL MASTER'!$S$2:$S$495=3)*('CONTROL MASTER'!$Z$2:$Z$495&lt;=9)*('CONTROL MASTER'!$AB$2:$AB$495&gt;=9)*('CONTROL MASTER'!$AA$2:$AA$495&lt;=2)*('CONTROL MASTER'!$AC$2:$AC$495&gt;=2))*ROW('CONTROL MASTER'!$S$2:$S$495))-(ROW('CONTROL MASTER'!#REF!)-1))),":",","),",",REPT(" ",50)),(((INDEX('CONTROL MASTER'!$Y$2:$Y$495,(SUMPRODUCT((('CONTROL MASTER'!$S$2:$S$495=3)*('CONTROL MASTER'!$Z$2:$Z$495&lt;=9)*('CONTROL MASTER'!$AB$2:$AB$495&gt;=9)*('CONTROL MASTER'!$AA$2:$AA$495&lt;=2)*('CONTROL MASTER'!$AC$2:$AC$495&gt;=2))*ROW('CONTROL MASTER'!$S$2:$S$495))-(ROW('CONTROL MASTER'!#REF!)-1)))+((9-INDEX('CONTROL MASTER'!$Z$2:$Z$495,(SUMPRODUCT((('CONTROL MASTER'!$S$2:$S$495=3)*('CONTROL MASTER'!$Z$2:$Z$495&lt;=9)*('CONTROL MASTER'!$AB$2:$AB$495&gt;=9)*('CONTROL MASTER'!$AA$2:$AA$495&lt;=2)*('CONTROL MASTER'!$AC$2:$AC$495&gt;=2))*ROW('CONTROL MASTER'!$S$2:$S$495))-(ROW('CONTROL MASTER'!#REF!)-1))))*(INDEX('CONTROL MASTER'!$AC$2:$AC$495,(SUMPRODUCT((('CONTROL MASTER'!$S$2:$S$495=3)*('CONTROL MASTER'!$Z$2:$Z$495&lt;=9)*('CONTROL MASTER'!$AB$2:$AB$495&gt;=9)*('CONTROL MASTER'!$AA$2:$AA$495&lt;=2)*('CONTROL MASTER'!$AC$2:$AC$495&gt;=2))*ROW('CONTROL MASTER'!$S$2:$S$495))-(ROW('CONTROL MASTER'!#REF!)-1)))-INDEX('CONTROL MASTER'!$AA$2:$AA$495,(SUMPRODUCT((('CONTROL MASTER'!$S$2:$S$495=3)*('CONTROL MASTER'!$Z$2:$Z$495&lt;=9)*('CONTROL MASTER'!$AB$2:$AB$495&gt;=9)*('CONTROL MASTER'!$AA$2:$AA$495&lt;=2)*('CONTROL MASTER'!$AC$2:$AC$495&gt;=2))*ROW('CONTROL MASTER'!$S$2:$S$495))-(ROW('CONTROL MASTER'!#REF!)-1)))+1)+(2-INDEX('CONTROL MASTER'!$AA$2:$AA$495,(SUMPRODUCT((('CONTROL MASTER'!$S$2:$S$495=3)*('CONTROL MASTER'!$Z$2:$Z$495&lt;=9)*('CONTROL MASTER'!$AB$2:$AB$495&gt;=9)*('CONTROL MASTER'!$AA$2:$AA$495&lt;=2)*('CONTROL MASTER'!$AC$2:$AC$495&gt;=2))*ROW('CONTROL MASTER'!$S$2:$S$495))-(ROW('CONTROL MASTER'!#REF!)-1))))+1)))-1)*50+1,50))&amp;"_"&amp;INDEX('CONTROL MASTER'!$P$2:$P$495,(SUMPRODUCT((('CONTROL MASTER'!$S$2:$S$495=3)*('CONTROL MASTER'!$Z$2:$Z$495&lt;=9)*('CONTROL MASTER'!$AB$2:$AB$495&gt;=9)*('CONTROL MASTER'!$AA$2:$AA$495&lt;=2)*('CONTROL MASTER'!$AC$2:$AC$495&gt;=2))*ROW('CONTROL MASTER'!$S$2:$S$495))-(ROW('CONTROL MASTER'!#REF!)-1))),"")),"")</f>
        <v/>
      </c>
      <c r="D39" s="10" t="str">
        <f>IFERROR(IF(SUMPRODUCT((('CONTROL MASTER'!$S$2:$S$495=3)*('CONTROL MASTER'!$T$2:$T$495&lt;=9)*('CONTROL MASTER'!$V$2:$V$495&gt;=9)*('CONTROL MASTER'!$U$2:$U$495&lt;=3)*('CONTROL MASTER'!$W$2:$W$495&gt;=3))*ROW('CONTROL MASTER'!$S$2:$S$495))&gt;0,INDEX('CONTROL MASTER'!$X$2:$X$495,(SUMPRODUCT((('CONTROL MASTER'!$S$2:$S$495=3)*('CONTROL MASTER'!$T$2:$T$495&lt;=9)*('CONTROL MASTER'!$V$2:$V$495&gt;=9)*('CONTROL MASTER'!$U$2:$U$495&lt;=3)*('CONTROL MASTER'!$W$2:$W$495&gt;=3))*ROW('CONTROL MASTER'!$S$2:$S$495))-(ROW('CONTROL MASTER'!#REF!)-1)))&amp;TRIM(MID(SUBSTITUTE(SUBSTITUTE(INDEX('CONTROL MASTER'!$N$2:$N$495,(SUMPRODUCT((('CONTROL MASTER'!$S$2:$S$495=3)*('CONTROL MASTER'!$T$2:$T$495&lt;=9)*('CONTROL MASTER'!$V$2:$V$495&gt;=9)*('CONTROL MASTER'!$U$2:$U$495&lt;=3)*('CONTROL MASTER'!$W$2:$W$495&gt;=3))*ROW('CONTROL MASTER'!$S$2:$S$495))-(ROW('CONTROL MASTER'!#REF!)-1))),":",","),",",REPT(" ",50)),((((9-INDEX('CONTROL MASTER'!$T$2:$T$495,(SUMPRODUCT((('CONTROL MASTER'!$S$2:$S$495=3)*('CONTROL MASTER'!$T$2:$T$495&lt;=9)*('CONTROL MASTER'!$V$2:$V$495&gt;=9)*('CONTROL MASTER'!$U$2:$U$495&lt;=3)*('CONTROL MASTER'!$W$2:$W$495&gt;=3))*ROW('CONTROL MASTER'!$S$2:$S$495))-(ROW('CONTROL MASTER'!#REF!)-1))))*(INDEX('CONTROL MASTER'!$W$2:$W$495,(SUMPRODUCT((('CONTROL MASTER'!$S$2:$S$495=3)*('CONTROL MASTER'!$T$2:$T$495&lt;=9)*('CONTROL MASTER'!$V$2:$V$495&gt;=9)*('CONTROL MASTER'!$U$2:$U$495&lt;=3)*('CONTROL MASTER'!$W$2:$W$495&gt;=3))*ROW('CONTROL MASTER'!$S$2:$S$495))-(ROW('CONTROL MASTER'!#REF!)-1)))-INDEX('CONTROL MASTER'!$U$2:$U$495,(SUMPRODUCT((('CONTROL MASTER'!$S$2:$S$495=3)*('CONTROL MASTER'!$T$2:$T$495&lt;=9)*('CONTROL MASTER'!$V$2:$V$495&gt;=9)*('CONTROL MASTER'!$U$2:$U$495&lt;=3)*('CONTROL MASTER'!$W$2:$W$495&gt;=3))*ROW('CONTROL MASTER'!$S$2:$S$495))-(ROW('CONTROL MASTER'!#REF!)-1)))+1)+(3-INDEX('CONTROL MASTER'!$U$2:$U$495,(SUMPRODUCT((('CONTROL MASTER'!$S$2:$S$495=3)*('CONTROL MASTER'!$T$2:$T$495&lt;=9)*('CONTROL MASTER'!$V$2:$V$495&gt;=9)*('CONTROL MASTER'!$U$2:$U$495&lt;=3)*('CONTROL MASTER'!$W$2:$W$495&gt;=3))*ROW('CONTROL MASTER'!$S$2:$S$495))-(ROW('CONTROL MASTER'!#REF!)-1))))+1))-1)*50+1,50))&amp;"_"&amp;INDEX('CONTROL MASTER'!$P$2:$P$495,(SUMPRODUCT((('CONTROL MASTER'!$S$2:$S$495=3)*('CONTROL MASTER'!$T$2:$T$495&lt;=9)*('CONTROL MASTER'!$V$2:$V$495&gt;=9)*('CONTROL MASTER'!$U$2:$U$495&lt;=3)*('CONTROL MASTER'!$W$2:$W$495&gt;=3))*ROW('CONTROL MASTER'!$S$2:$S$495))-(ROW('CONTROL MASTER'!#REF!)-1))),IF(SUMPRODUCT((('CONTROL MASTER'!$S$2:$S$495=3)*('CONTROL MASTER'!$Z$2:$Z$495&lt;=9)*('CONTROL MASTER'!$AB$2:$AB$495&gt;=9)*('CONTROL MASTER'!$AA$2:$AA$495&lt;=3)*('CONTROL MASTER'!$AC$2:$AC$495&gt;=3))*ROW('CONTROL MASTER'!$S$2:$S$495))&gt;0,INDEX('CONTROL MASTER'!$X$2:$X$495,(SUMPRODUCT((('CONTROL MASTER'!$S$2:$S$495=3)*('CONTROL MASTER'!$Z$2:$Z$495&lt;=9)*('CONTROL MASTER'!$AB$2:$AB$495&gt;=9)*('CONTROL MASTER'!$AA$2:$AA$495&lt;=3)*('CONTROL MASTER'!$AC$2:$AC$495&gt;=3))*ROW('CONTROL MASTER'!$S$2:$S$495))-(ROW('CONTROL MASTER'!#REF!)-1)))&amp;TRIM(MID(SUBSTITUTE(SUBSTITUTE(INDEX('CONTROL MASTER'!$N$2:$N$495,(SUMPRODUCT((('CONTROL MASTER'!$S$2:$S$495=3)*('CONTROL MASTER'!$Z$2:$Z$495&lt;=9)*('CONTROL MASTER'!$AB$2:$AB$495&gt;=9)*('CONTROL MASTER'!$AA$2:$AA$495&lt;=3)*('CONTROL MASTER'!$AC$2:$AC$495&gt;=3))*ROW('CONTROL MASTER'!$S$2:$S$495))-(ROW('CONTROL MASTER'!#REF!)-1))),":",","),",",REPT(" ",50)),(((INDEX('CONTROL MASTER'!$Y$2:$Y$495,(SUMPRODUCT((('CONTROL MASTER'!$S$2:$S$495=3)*('CONTROL MASTER'!$Z$2:$Z$495&lt;=9)*('CONTROL MASTER'!$AB$2:$AB$495&gt;=9)*('CONTROL MASTER'!$AA$2:$AA$495&lt;=3)*('CONTROL MASTER'!$AC$2:$AC$495&gt;=3))*ROW('CONTROL MASTER'!$S$2:$S$495))-(ROW('CONTROL MASTER'!#REF!)-1)))+((9-INDEX('CONTROL MASTER'!$Z$2:$Z$495,(SUMPRODUCT((('CONTROL MASTER'!$S$2:$S$495=3)*('CONTROL MASTER'!$Z$2:$Z$495&lt;=9)*('CONTROL MASTER'!$AB$2:$AB$495&gt;=9)*('CONTROL MASTER'!$AA$2:$AA$495&lt;=3)*('CONTROL MASTER'!$AC$2:$AC$495&gt;=3))*ROW('CONTROL MASTER'!$S$2:$S$495))-(ROW('CONTROL MASTER'!#REF!)-1))))*(INDEX('CONTROL MASTER'!$AC$2:$AC$495,(SUMPRODUCT((('CONTROL MASTER'!$S$2:$S$495=3)*('CONTROL MASTER'!$Z$2:$Z$495&lt;=9)*('CONTROL MASTER'!$AB$2:$AB$495&gt;=9)*('CONTROL MASTER'!$AA$2:$AA$495&lt;=3)*('CONTROL MASTER'!$AC$2:$AC$495&gt;=3))*ROW('CONTROL MASTER'!$S$2:$S$495))-(ROW('CONTROL MASTER'!#REF!)-1)))-INDEX('CONTROL MASTER'!$AA$2:$AA$495,(SUMPRODUCT((('CONTROL MASTER'!$S$2:$S$495=3)*('CONTROL MASTER'!$Z$2:$Z$495&lt;=9)*('CONTROL MASTER'!$AB$2:$AB$495&gt;=9)*('CONTROL MASTER'!$AA$2:$AA$495&lt;=3)*('CONTROL MASTER'!$AC$2:$AC$495&gt;=3))*ROW('CONTROL MASTER'!$S$2:$S$495))-(ROW('CONTROL MASTER'!#REF!)-1)))+1)+(3-INDEX('CONTROL MASTER'!$AA$2:$AA$495,(SUMPRODUCT((('CONTROL MASTER'!$S$2:$S$495=3)*('CONTROL MASTER'!$Z$2:$Z$495&lt;=9)*('CONTROL MASTER'!$AB$2:$AB$495&gt;=9)*('CONTROL MASTER'!$AA$2:$AA$495&lt;=3)*('CONTROL MASTER'!$AC$2:$AC$495&gt;=3))*ROW('CONTROL MASTER'!$S$2:$S$495))-(ROW('CONTROL MASTER'!#REF!)-1))))+1)))-1)*50+1,50))&amp;"_"&amp;INDEX('CONTROL MASTER'!$P$2:$P$495,(SUMPRODUCT((('CONTROL MASTER'!$S$2:$S$495=3)*('CONTROL MASTER'!$Z$2:$Z$495&lt;=9)*('CONTROL MASTER'!$AB$2:$AB$495&gt;=9)*('CONTROL MASTER'!$AA$2:$AA$495&lt;=3)*('CONTROL MASTER'!$AC$2:$AC$495&gt;=3))*ROW('CONTROL MASTER'!$S$2:$S$495))-(ROW('CONTROL MASTER'!#REF!)-1))),"")),"")</f>
        <v/>
      </c>
      <c r="E39" s="10" t="str">
        <f>IFERROR(IF(SUMPRODUCT((('CONTROL MASTER'!$S$2:$S$495=3)*('CONTROL MASTER'!$T$2:$T$495&lt;=9)*('CONTROL MASTER'!$V$2:$V$495&gt;=9)*('CONTROL MASTER'!$U$2:$U$495&lt;=4)*('CONTROL MASTER'!$W$2:$W$495&gt;=4))*ROW('CONTROL MASTER'!$S$2:$S$495))&gt;0,INDEX('CONTROL MASTER'!$X$2:$X$495,(SUMPRODUCT((('CONTROL MASTER'!$S$2:$S$495=3)*('CONTROL MASTER'!$T$2:$T$495&lt;=9)*('CONTROL MASTER'!$V$2:$V$495&gt;=9)*('CONTROL MASTER'!$U$2:$U$495&lt;=4)*('CONTROL MASTER'!$W$2:$W$495&gt;=4))*ROW('CONTROL MASTER'!$S$2:$S$495))-(ROW('CONTROL MASTER'!#REF!)-1)))&amp;TRIM(MID(SUBSTITUTE(SUBSTITUTE(INDEX('CONTROL MASTER'!$N$2:$N$495,(SUMPRODUCT((('CONTROL MASTER'!$S$2:$S$495=3)*('CONTROL MASTER'!$T$2:$T$495&lt;=9)*('CONTROL MASTER'!$V$2:$V$495&gt;=9)*('CONTROL MASTER'!$U$2:$U$495&lt;=4)*('CONTROL MASTER'!$W$2:$W$495&gt;=4))*ROW('CONTROL MASTER'!$S$2:$S$495))-(ROW('CONTROL MASTER'!#REF!)-1))),":",","),",",REPT(" ",50)),((((9-INDEX('CONTROL MASTER'!$T$2:$T$495,(SUMPRODUCT((('CONTROL MASTER'!$S$2:$S$495=3)*('CONTROL MASTER'!$T$2:$T$495&lt;=9)*('CONTROL MASTER'!$V$2:$V$495&gt;=9)*('CONTROL MASTER'!$U$2:$U$495&lt;=4)*('CONTROL MASTER'!$W$2:$W$495&gt;=4))*ROW('CONTROL MASTER'!$S$2:$S$495))-(ROW('CONTROL MASTER'!#REF!)-1))))*(INDEX('CONTROL MASTER'!$W$2:$W$495,(SUMPRODUCT((('CONTROL MASTER'!$S$2:$S$495=3)*('CONTROL MASTER'!$T$2:$T$495&lt;=9)*('CONTROL MASTER'!$V$2:$V$495&gt;=9)*('CONTROL MASTER'!$U$2:$U$495&lt;=4)*('CONTROL MASTER'!$W$2:$W$495&gt;=4))*ROW('CONTROL MASTER'!$S$2:$S$495))-(ROW('CONTROL MASTER'!#REF!)-1)))-INDEX('CONTROL MASTER'!$U$2:$U$495,(SUMPRODUCT((('CONTROL MASTER'!$S$2:$S$495=3)*('CONTROL MASTER'!$T$2:$T$495&lt;=9)*('CONTROL MASTER'!$V$2:$V$495&gt;=9)*('CONTROL MASTER'!$U$2:$U$495&lt;=4)*('CONTROL MASTER'!$W$2:$W$495&gt;=4))*ROW('CONTROL MASTER'!$S$2:$S$495))-(ROW('CONTROL MASTER'!#REF!)-1)))+1)+(4-INDEX('CONTROL MASTER'!$U$2:$U$495,(SUMPRODUCT((('CONTROL MASTER'!$S$2:$S$495=3)*('CONTROL MASTER'!$T$2:$T$495&lt;=9)*('CONTROL MASTER'!$V$2:$V$495&gt;=9)*('CONTROL MASTER'!$U$2:$U$495&lt;=4)*('CONTROL MASTER'!$W$2:$W$495&gt;=4))*ROW('CONTROL MASTER'!$S$2:$S$495))-(ROW('CONTROL MASTER'!#REF!)-1))))+1))-1)*50+1,50))&amp;"_"&amp;INDEX('CONTROL MASTER'!$P$2:$P$495,(SUMPRODUCT((('CONTROL MASTER'!$S$2:$S$495=3)*('CONTROL MASTER'!$T$2:$T$495&lt;=9)*('CONTROL MASTER'!$V$2:$V$495&gt;=9)*('CONTROL MASTER'!$U$2:$U$495&lt;=4)*('CONTROL MASTER'!$W$2:$W$495&gt;=4))*ROW('CONTROL MASTER'!$S$2:$S$495))-(ROW('CONTROL MASTER'!#REF!)-1))),IF(SUMPRODUCT((('CONTROL MASTER'!$S$2:$S$495=3)*('CONTROL MASTER'!$Z$2:$Z$495&lt;=9)*('CONTROL MASTER'!$AB$2:$AB$495&gt;=9)*('CONTROL MASTER'!$AA$2:$AA$495&lt;=4)*('CONTROL MASTER'!$AC$2:$AC$495&gt;=4))*ROW('CONTROL MASTER'!$S$2:$S$495))&gt;0,INDEX('CONTROL MASTER'!$X$2:$X$495,(SUMPRODUCT((('CONTROL MASTER'!$S$2:$S$495=3)*('CONTROL MASTER'!$Z$2:$Z$495&lt;=9)*('CONTROL MASTER'!$AB$2:$AB$495&gt;=9)*('CONTROL MASTER'!$AA$2:$AA$495&lt;=4)*('CONTROL MASTER'!$AC$2:$AC$495&gt;=4))*ROW('CONTROL MASTER'!$S$2:$S$495))-(ROW('CONTROL MASTER'!#REF!)-1)))&amp;TRIM(MID(SUBSTITUTE(SUBSTITUTE(INDEX('CONTROL MASTER'!$N$2:$N$495,(SUMPRODUCT((('CONTROL MASTER'!$S$2:$S$495=3)*('CONTROL MASTER'!$Z$2:$Z$495&lt;=9)*('CONTROL MASTER'!$AB$2:$AB$495&gt;=9)*('CONTROL MASTER'!$AA$2:$AA$495&lt;=4)*('CONTROL MASTER'!$AC$2:$AC$495&gt;=4))*ROW('CONTROL MASTER'!$S$2:$S$495))-(ROW('CONTROL MASTER'!#REF!)-1))),":",","),",",REPT(" ",50)),(((INDEX('CONTROL MASTER'!$Y$2:$Y$495,(SUMPRODUCT((('CONTROL MASTER'!$S$2:$S$495=3)*('CONTROL MASTER'!$Z$2:$Z$495&lt;=9)*('CONTROL MASTER'!$AB$2:$AB$495&gt;=9)*('CONTROL MASTER'!$AA$2:$AA$495&lt;=4)*('CONTROL MASTER'!$AC$2:$AC$495&gt;=4))*ROW('CONTROL MASTER'!$S$2:$S$495))-(ROW('CONTROL MASTER'!#REF!)-1)))+((9-INDEX('CONTROL MASTER'!$Z$2:$Z$495,(SUMPRODUCT((('CONTROL MASTER'!$S$2:$S$495=3)*('CONTROL MASTER'!$Z$2:$Z$495&lt;=9)*('CONTROL MASTER'!$AB$2:$AB$495&gt;=9)*('CONTROL MASTER'!$AA$2:$AA$495&lt;=4)*('CONTROL MASTER'!$AC$2:$AC$495&gt;=4))*ROW('CONTROL MASTER'!$S$2:$S$495))-(ROW('CONTROL MASTER'!#REF!)-1))))*(INDEX('CONTROL MASTER'!$AC$2:$AC$495,(SUMPRODUCT((('CONTROL MASTER'!$S$2:$S$495=3)*('CONTROL MASTER'!$Z$2:$Z$495&lt;=9)*('CONTROL MASTER'!$AB$2:$AB$495&gt;=9)*('CONTROL MASTER'!$AA$2:$AA$495&lt;=4)*('CONTROL MASTER'!$AC$2:$AC$495&gt;=4))*ROW('CONTROL MASTER'!$S$2:$S$495))-(ROW('CONTROL MASTER'!#REF!)-1)))-INDEX('CONTROL MASTER'!$AA$2:$AA$495,(SUMPRODUCT((('CONTROL MASTER'!$S$2:$S$495=3)*('CONTROL MASTER'!$Z$2:$Z$495&lt;=9)*('CONTROL MASTER'!$AB$2:$AB$495&gt;=9)*('CONTROL MASTER'!$AA$2:$AA$495&lt;=4)*('CONTROL MASTER'!$AC$2:$AC$495&gt;=4))*ROW('CONTROL MASTER'!$S$2:$S$495))-(ROW('CONTROL MASTER'!#REF!)-1)))+1)+(4-INDEX('CONTROL MASTER'!$AA$2:$AA$495,(SUMPRODUCT((('CONTROL MASTER'!$S$2:$S$495=3)*('CONTROL MASTER'!$Z$2:$Z$495&lt;=9)*('CONTROL MASTER'!$AB$2:$AB$495&gt;=9)*('CONTROL MASTER'!$AA$2:$AA$495&lt;=4)*('CONTROL MASTER'!$AC$2:$AC$495&gt;=4))*ROW('CONTROL MASTER'!$S$2:$S$495))-(ROW('CONTROL MASTER'!#REF!)-1))))+1)))-1)*50+1,50))&amp;"_"&amp;INDEX('CONTROL MASTER'!$P$2:$P$495,(SUMPRODUCT((('CONTROL MASTER'!$S$2:$S$495=3)*('CONTROL MASTER'!$Z$2:$Z$495&lt;=9)*('CONTROL MASTER'!$AB$2:$AB$495&gt;=9)*('CONTROL MASTER'!$AA$2:$AA$495&lt;=4)*('CONTROL MASTER'!$AC$2:$AC$495&gt;=4))*ROW('CONTROL MASTER'!$S$2:$S$495))-(ROW('CONTROL MASTER'!#REF!)-1))),"")),"")</f>
        <v/>
      </c>
      <c r="F39" s="10" t="str">
        <f>IFERROR(IF(SUMPRODUCT((('CONTROL MASTER'!$S$2:$S$495=3)*('CONTROL MASTER'!$T$2:$T$495&lt;=9)*('CONTROL MASTER'!$V$2:$V$495&gt;=9)*('CONTROL MASTER'!$U$2:$U$495&lt;=5)*('CONTROL MASTER'!$W$2:$W$495&gt;=5))*ROW('CONTROL MASTER'!$S$2:$S$495))&gt;0,INDEX('CONTROL MASTER'!$X$2:$X$495,(SUMPRODUCT((('CONTROL MASTER'!$S$2:$S$495=3)*('CONTROL MASTER'!$T$2:$T$495&lt;=9)*('CONTROL MASTER'!$V$2:$V$495&gt;=9)*('CONTROL MASTER'!$U$2:$U$495&lt;=5)*('CONTROL MASTER'!$W$2:$W$495&gt;=5))*ROW('CONTROL MASTER'!$S$2:$S$495))-(ROW('CONTROL MASTER'!#REF!)-1)))&amp;TRIM(MID(SUBSTITUTE(SUBSTITUTE(INDEX('CONTROL MASTER'!$N$2:$N$495,(SUMPRODUCT((('CONTROL MASTER'!$S$2:$S$495=3)*('CONTROL MASTER'!$T$2:$T$495&lt;=9)*('CONTROL MASTER'!$V$2:$V$495&gt;=9)*('CONTROL MASTER'!$U$2:$U$495&lt;=5)*('CONTROL MASTER'!$W$2:$W$495&gt;=5))*ROW('CONTROL MASTER'!$S$2:$S$495))-(ROW('CONTROL MASTER'!#REF!)-1))),":",","),",",REPT(" ",50)),((((9-INDEX('CONTROL MASTER'!$T$2:$T$495,(SUMPRODUCT((('CONTROL MASTER'!$S$2:$S$495=3)*('CONTROL MASTER'!$T$2:$T$495&lt;=9)*('CONTROL MASTER'!$V$2:$V$495&gt;=9)*('CONTROL MASTER'!$U$2:$U$495&lt;=5)*('CONTROL MASTER'!$W$2:$W$495&gt;=5))*ROW('CONTROL MASTER'!$S$2:$S$495))-(ROW('CONTROL MASTER'!#REF!)-1))))*(INDEX('CONTROL MASTER'!$W$2:$W$495,(SUMPRODUCT((('CONTROL MASTER'!$S$2:$S$495=3)*('CONTROL MASTER'!$T$2:$T$495&lt;=9)*('CONTROL MASTER'!$V$2:$V$495&gt;=9)*('CONTROL MASTER'!$U$2:$U$495&lt;=5)*('CONTROL MASTER'!$W$2:$W$495&gt;=5))*ROW('CONTROL MASTER'!$S$2:$S$495))-(ROW('CONTROL MASTER'!#REF!)-1)))-INDEX('CONTROL MASTER'!$U$2:$U$495,(SUMPRODUCT((('CONTROL MASTER'!$S$2:$S$495=3)*('CONTROL MASTER'!$T$2:$T$495&lt;=9)*('CONTROL MASTER'!$V$2:$V$495&gt;=9)*('CONTROL MASTER'!$U$2:$U$495&lt;=5)*('CONTROL MASTER'!$W$2:$W$495&gt;=5))*ROW('CONTROL MASTER'!$S$2:$S$495))-(ROW('CONTROL MASTER'!#REF!)-1)))+1)+(5-INDEX('CONTROL MASTER'!$U$2:$U$495,(SUMPRODUCT((('CONTROL MASTER'!$S$2:$S$495=3)*('CONTROL MASTER'!$T$2:$T$495&lt;=9)*('CONTROL MASTER'!$V$2:$V$495&gt;=9)*('CONTROL MASTER'!$U$2:$U$495&lt;=5)*('CONTROL MASTER'!$W$2:$W$495&gt;=5))*ROW('CONTROL MASTER'!$S$2:$S$495))-(ROW('CONTROL MASTER'!#REF!)-1))))+1))-1)*50+1,50))&amp;"_"&amp;INDEX('CONTROL MASTER'!$P$2:$P$495,(SUMPRODUCT((('CONTROL MASTER'!$S$2:$S$495=3)*('CONTROL MASTER'!$T$2:$T$495&lt;=9)*('CONTROL MASTER'!$V$2:$V$495&gt;=9)*('CONTROL MASTER'!$U$2:$U$495&lt;=5)*('CONTROL MASTER'!$W$2:$W$495&gt;=5))*ROW('CONTROL MASTER'!$S$2:$S$495))-(ROW('CONTROL MASTER'!#REF!)-1))),IF(SUMPRODUCT((('CONTROL MASTER'!$S$2:$S$495=3)*('CONTROL MASTER'!$Z$2:$Z$495&lt;=9)*('CONTROL MASTER'!$AB$2:$AB$495&gt;=9)*('CONTROL MASTER'!$AA$2:$AA$495&lt;=5)*('CONTROL MASTER'!$AC$2:$AC$495&gt;=5))*ROW('CONTROL MASTER'!$S$2:$S$495))&gt;0,INDEX('CONTROL MASTER'!$X$2:$X$495,(SUMPRODUCT((('CONTROL MASTER'!$S$2:$S$495=3)*('CONTROL MASTER'!$Z$2:$Z$495&lt;=9)*('CONTROL MASTER'!$AB$2:$AB$495&gt;=9)*('CONTROL MASTER'!$AA$2:$AA$495&lt;=5)*('CONTROL MASTER'!$AC$2:$AC$495&gt;=5))*ROW('CONTROL MASTER'!$S$2:$S$495))-(ROW('CONTROL MASTER'!#REF!)-1)))&amp;TRIM(MID(SUBSTITUTE(SUBSTITUTE(INDEX('CONTROL MASTER'!$N$2:$N$495,(SUMPRODUCT((('CONTROL MASTER'!$S$2:$S$495=3)*('CONTROL MASTER'!$Z$2:$Z$495&lt;=9)*('CONTROL MASTER'!$AB$2:$AB$495&gt;=9)*('CONTROL MASTER'!$AA$2:$AA$495&lt;=5)*('CONTROL MASTER'!$AC$2:$AC$495&gt;=5))*ROW('CONTROL MASTER'!$S$2:$S$495))-(ROW('CONTROL MASTER'!#REF!)-1))),":",","),",",REPT(" ",50)),(((INDEX('CONTROL MASTER'!$Y$2:$Y$495,(SUMPRODUCT((('CONTROL MASTER'!$S$2:$S$495=3)*('CONTROL MASTER'!$Z$2:$Z$495&lt;=9)*('CONTROL MASTER'!$AB$2:$AB$495&gt;=9)*('CONTROL MASTER'!$AA$2:$AA$495&lt;=5)*('CONTROL MASTER'!$AC$2:$AC$495&gt;=5))*ROW('CONTROL MASTER'!$S$2:$S$495))-(ROW('CONTROL MASTER'!#REF!)-1)))+((9-INDEX('CONTROL MASTER'!$Z$2:$Z$495,(SUMPRODUCT((('CONTROL MASTER'!$S$2:$S$495=3)*('CONTROL MASTER'!$Z$2:$Z$495&lt;=9)*('CONTROL MASTER'!$AB$2:$AB$495&gt;=9)*('CONTROL MASTER'!$AA$2:$AA$495&lt;=5)*('CONTROL MASTER'!$AC$2:$AC$495&gt;=5))*ROW('CONTROL MASTER'!$S$2:$S$495))-(ROW('CONTROL MASTER'!#REF!)-1))))*(INDEX('CONTROL MASTER'!$AC$2:$AC$495,(SUMPRODUCT((('CONTROL MASTER'!$S$2:$S$495=3)*('CONTROL MASTER'!$Z$2:$Z$495&lt;=9)*('CONTROL MASTER'!$AB$2:$AB$495&gt;=9)*('CONTROL MASTER'!$AA$2:$AA$495&lt;=5)*('CONTROL MASTER'!$AC$2:$AC$495&gt;=5))*ROW('CONTROL MASTER'!$S$2:$S$495))-(ROW('CONTROL MASTER'!#REF!)-1)))-INDEX('CONTROL MASTER'!$AA$2:$AA$495,(SUMPRODUCT((('CONTROL MASTER'!$S$2:$S$495=3)*('CONTROL MASTER'!$Z$2:$Z$495&lt;=9)*('CONTROL MASTER'!$AB$2:$AB$495&gt;=9)*('CONTROL MASTER'!$AA$2:$AA$495&lt;=5)*('CONTROL MASTER'!$AC$2:$AC$495&gt;=5))*ROW('CONTROL MASTER'!$S$2:$S$495))-(ROW('CONTROL MASTER'!#REF!)-1)))+1)+(5-INDEX('CONTROL MASTER'!$AA$2:$AA$495,(SUMPRODUCT((('CONTROL MASTER'!$S$2:$S$495=3)*('CONTROL MASTER'!$Z$2:$Z$495&lt;=9)*('CONTROL MASTER'!$AB$2:$AB$495&gt;=9)*('CONTROL MASTER'!$AA$2:$AA$495&lt;=5)*('CONTROL MASTER'!$AC$2:$AC$495&gt;=5))*ROW('CONTROL MASTER'!$S$2:$S$495))-(ROW('CONTROL MASTER'!#REF!)-1))))+1)))-1)*50+1,50))&amp;"_"&amp;INDEX('CONTROL MASTER'!$P$2:$P$495,(SUMPRODUCT((('CONTROL MASTER'!$S$2:$S$495=3)*('CONTROL MASTER'!$Z$2:$Z$495&lt;=9)*('CONTROL MASTER'!$AB$2:$AB$495&gt;=9)*('CONTROL MASTER'!$AA$2:$AA$495&lt;=5)*('CONTROL MASTER'!$AC$2:$AC$495&gt;=5))*ROW('CONTROL MASTER'!$S$2:$S$495))-(ROW('CONTROL MASTER'!#REF!)-1))),"")),"")</f>
        <v/>
      </c>
      <c r="G39" s="10" t="str">
        <f>IFERROR(IF(SUMPRODUCT((('CONTROL MASTER'!$S$2:$S$495=3)*('CONTROL MASTER'!$T$2:$T$495&lt;=9)*('CONTROL MASTER'!$V$2:$V$495&gt;=9)*('CONTROL MASTER'!$U$2:$U$495&lt;=6)*('CONTROL MASTER'!$W$2:$W$495&gt;=6))*ROW('CONTROL MASTER'!$S$2:$S$495))&gt;0,INDEX('CONTROL MASTER'!$X$2:$X$495,(SUMPRODUCT((('CONTROL MASTER'!$S$2:$S$495=3)*('CONTROL MASTER'!$T$2:$T$495&lt;=9)*('CONTROL MASTER'!$V$2:$V$495&gt;=9)*('CONTROL MASTER'!$U$2:$U$495&lt;=6)*('CONTROL MASTER'!$W$2:$W$495&gt;=6))*ROW('CONTROL MASTER'!$S$2:$S$495))-(ROW('CONTROL MASTER'!#REF!)-1)))&amp;TRIM(MID(SUBSTITUTE(SUBSTITUTE(INDEX('CONTROL MASTER'!$N$2:$N$495,(SUMPRODUCT((('CONTROL MASTER'!$S$2:$S$495=3)*('CONTROL MASTER'!$T$2:$T$495&lt;=9)*('CONTROL MASTER'!$V$2:$V$495&gt;=9)*('CONTROL MASTER'!$U$2:$U$495&lt;=6)*('CONTROL MASTER'!$W$2:$W$495&gt;=6))*ROW('CONTROL MASTER'!$S$2:$S$495))-(ROW('CONTROL MASTER'!#REF!)-1))),":",","),",",REPT(" ",50)),((((9-INDEX('CONTROL MASTER'!$T$2:$T$495,(SUMPRODUCT((('CONTROL MASTER'!$S$2:$S$495=3)*('CONTROL MASTER'!$T$2:$T$495&lt;=9)*('CONTROL MASTER'!$V$2:$V$495&gt;=9)*('CONTROL MASTER'!$U$2:$U$495&lt;=6)*('CONTROL MASTER'!$W$2:$W$495&gt;=6))*ROW('CONTROL MASTER'!$S$2:$S$495))-(ROW('CONTROL MASTER'!#REF!)-1))))*(INDEX('CONTROL MASTER'!$W$2:$W$495,(SUMPRODUCT((('CONTROL MASTER'!$S$2:$S$495=3)*('CONTROL MASTER'!$T$2:$T$495&lt;=9)*('CONTROL MASTER'!$V$2:$V$495&gt;=9)*('CONTROL MASTER'!$U$2:$U$495&lt;=6)*('CONTROL MASTER'!$W$2:$W$495&gt;=6))*ROW('CONTROL MASTER'!$S$2:$S$495))-(ROW('CONTROL MASTER'!#REF!)-1)))-INDEX('CONTROL MASTER'!$U$2:$U$495,(SUMPRODUCT((('CONTROL MASTER'!$S$2:$S$495=3)*('CONTROL MASTER'!$T$2:$T$495&lt;=9)*('CONTROL MASTER'!$V$2:$V$495&gt;=9)*('CONTROL MASTER'!$U$2:$U$495&lt;=6)*('CONTROL MASTER'!$W$2:$W$495&gt;=6))*ROW('CONTROL MASTER'!$S$2:$S$495))-(ROW('CONTROL MASTER'!#REF!)-1)))+1)+(6-INDEX('CONTROL MASTER'!$U$2:$U$495,(SUMPRODUCT((('CONTROL MASTER'!$S$2:$S$495=3)*('CONTROL MASTER'!$T$2:$T$495&lt;=9)*('CONTROL MASTER'!$V$2:$V$495&gt;=9)*('CONTROL MASTER'!$U$2:$U$495&lt;=6)*('CONTROL MASTER'!$W$2:$W$495&gt;=6))*ROW('CONTROL MASTER'!$S$2:$S$495))-(ROW('CONTROL MASTER'!#REF!)-1))))+1))-1)*50+1,50))&amp;"_"&amp;INDEX('CONTROL MASTER'!$P$2:$P$495,(SUMPRODUCT((('CONTROL MASTER'!$S$2:$S$495=3)*('CONTROL MASTER'!$T$2:$T$495&lt;=9)*('CONTROL MASTER'!$V$2:$V$495&gt;=9)*('CONTROL MASTER'!$U$2:$U$495&lt;=6)*('CONTROL MASTER'!$W$2:$W$495&gt;=6))*ROW('CONTROL MASTER'!$S$2:$S$495))-(ROW('CONTROL MASTER'!#REF!)-1))),IF(SUMPRODUCT((('CONTROL MASTER'!$S$2:$S$495=3)*('CONTROL MASTER'!$Z$2:$Z$495&lt;=9)*('CONTROL MASTER'!$AB$2:$AB$495&gt;=9)*('CONTROL MASTER'!$AA$2:$AA$495&lt;=6)*('CONTROL MASTER'!$AC$2:$AC$495&gt;=6))*ROW('CONTROL MASTER'!$S$2:$S$495))&gt;0,INDEX('CONTROL MASTER'!$X$2:$X$495,(SUMPRODUCT((('CONTROL MASTER'!$S$2:$S$495=3)*('CONTROL MASTER'!$Z$2:$Z$495&lt;=9)*('CONTROL MASTER'!$AB$2:$AB$495&gt;=9)*('CONTROL MASTER'!$AA$2:$AA$495&lt;=6)*('CONTROL MASTER'!$AC$2:$AC$495&gt;=6))*ROW('CONTROL MASTER'!$S$2:$S$495))-(ROW('CONTROL MASTER'!#REF!)-1)))&amp;TRIM(MID(SUBSTITUTE(SUBSTITUTE(INDEX('CONTROL MASTER'!$N$2:$N$495,(SUMPRODUCT((('CONTROL MASTER'!$S$2:$S$495=3)*('CONTROL MASTER'!$Z$2:$Z$495&lt;=9)*('CONTROL MASTER'!$AB$2:$AB$495&gt;=9)*('CONTROL MASTER'!$AA$2:$AA$495&lt;=6)*('CONTROL MASTER'!$AC$2:$AC$495&gt;=6))*ROW('CONTROL MASTER'!$S$2:$S$495))-(ROW('CONTROL MASTER'!#REF!)-1))),":",","),",",REPT(" ",50)),(((INDEX('CONTROL MASTER'!$Y$2:$Y$495,(SUMPRODUCT((('CONTROL MASTER'!$S$2:$S$495=3)*('CONTROL MASTER'!$Z$2:$Z$495&lt;=9)*('CONTROL MASTER'!$AB$2:$AB$495&gt;=9)*('CONTROL MASTER'!$AA$2:$AA$495&lt;=6)*('CONTROL MASTER'!$AC$2:$AC$495&gt;=6))*ROW('CONTROL MASTER'!$S$2:$S$495))-(ROW('CONTROL MASTER'!#REF!)-1)))+((9-INDEX('CONTROL MASTER'!$Z$2:$Z$495,(SUMPRODUCT((('CONTROL MASTER'!$S$2:$S$495=3)*('CONTROL MASTER'!$Z$2:$Z$495&lt;=9)*('CONTROL MASTER'!$AB$2:$AB$495&gt;=9)*('CONTROL MASTER'!$AA$2:$AA$495&lt;=6)*('CONTROL MASTER'!$AC$2:$AC$495&gt;=6))*ROW('CONTROL MASTER'!$S$2:$S$495))-(ROW('CONTROL MASTER'!#REF!)-1))))*(INDEX('CONTROL MASTER'!$AC$2:$AC$495,(SUMPRODUCT((('CONTROL MASTER'!$S$2:$S$495=3)*('CONTROL MASTER'!$Z$2:$Z$495&lt;=9)*('CONTROL MASTER'!$AB$2:$AB$495&gt;=9)*('CONTROL MASTER'!$AA$2:$AA$495&lt;=6)*('CONTROL MASTER'!$AC$2:$AC$495&gt;=6))*ROW('CONTROL MASTER'!$S$2:$S$495))-(ROW('CONTROL MASTER'!#REF!)-1)))-INDEX('CONTROL MASTER'!$AA$2:$AA$495,(SUMPRODUCT((('CONTROL MASTER'!$S$2:$S$495=3)*('CONTROL MASTER'!$Z$2:$Z$495&lt;=9)*('CONTROL MASTER'!$AB$2:$AB$495&gt;=9)*('CONTROL MASTER'!$AA$2:$AA$495&lt;=6)*('CONTROL MASTER'!$AC$2:$AC$495&gt;=6))*ROW('CONTROL MASTER'!$S$2:$S$495))-(ROW('CONTROL MASTER'!#REF!)-1)))+1)+(6-INDEX('CONTROL MASTER'!$AA$2:$AA$495,(SUMPRODUCT((('CONTROL MASTER'!$S$2:$S$495=3)*('CONTROL MASTER'!$Z$2:$Z$495&lt;=9)*('CONTROL MASTER'!$AB$2:$AB$495&gt;=9)*('CONTROL MASTER'!$AA$2:$AA$495&lt;=6)*('CONTROL MASTER'!$AC$2:$AC$495&gt;=6))*ROW('CONTROL MASTER'!$S$2:$S$495))-(ROW('CONTROL MASTER'!#REF!)-1))))+1)))-1)*50+1,50))&amp;"_"&amp;INDEX('CONTROL MASTER'!$P$2:$P$495,(SUMPRODUCT((('CONTROL MASTER'!$S$2:$S$495=3)*('CONTROL MASTER'!$Z$2:$Z$495&lt;=9)*('CONTROL MASTER'!$AB$2:$AB$495&gt;=9)*('CONTROL MASTER'!$AA$2:$AA$495&lt;=6)*('CONTROL MASTER'!$AC$2:$AC$495&gt;=6))*ROW('CONTROL MASTER'!$S$2:$S$495))-(ROW('CONTROL MASTER'!#REF!)-1))),"")),"")</f>
        <v/>
      </c>
      <c r="H39" s="10" t="str">
        <f>IFERROR(IF(SUMPRODUCT((('CONTROL MASTER'!$S$2:$S$495=3)*('CONTROL MASTER'!$T$2:$T$495&lt;=9)*('CONTROL MASTER'!$V$2:$V$495&gt;=9)*('CONTROL MASTER'!$U$2:$U$495&lt;=7)*('CONTROL MASTER'!$W$2:$W$495&gt;=7))*ROW('CONTROL MASTER'!$S$2:$S$495))&gt;0,INDEX('CONTROL MASTER'!$X$2:$X$495,(SUMPRODUCT((('CONTROL MASTER'!$S$2:$S$495=3)*('CONTROL MASTER'!$T$2:$T$495&lt;=9)*('CONTROL MASTER'!$V$2:$V$495&gt;=9)*('CONTROL MASTER'!$U$2:$U$495&lt;=7)*('CONTROL MASTER'!$W$2:$W$495&gt;=7))*ROW('CONTROL MASTER'!$S$2:$S$495))-(ROW('CONTROL MASTER'!#REF!)-1)))&amp;TRIM(MID(SUBSTITUTE(SUBSTITUTE(INDEX('CONTROL MASTER'!$N$2:$N$495,(SUMPRODUCT((('CONTROL MASTER'!$S$2:$S$495=3)*('CONTROL MASTER'!$T$2:$T$495&lt;=9)*('CONTROL MASTER'!$V$2:$V$495&gt;=9)*('CONTROL MASTER'!$U$2:$U$495&lt;=7)*('CONTROL MASTER'!$W$2:$W$495&gt;=7))*ROW('CONTROL MASTER'!$S$2:$S$495))-(ROW('CONTROL MASTER'!#REF!)-1))),":",","),",",REPT(" ",50)),((((9-INDEX('CONTROL MASTER'!$T$2:$T$495,(SUMPRODUCT((('CONTROL MASTER'!$S$2:$S$495=3)*('CONTROL MASTER'!$T$2:$T$495&lt;=9)*('CONTROL MASTER'!$V$2:$V$495&gt;=9)*('CONTROL MASTER'!$U$2:$U$495&lt;=7)*('CONTROL MASTER'!$W$2:$W$495&gt;=7))*ROW('CONTROL MASTER'!$S$2:$S$495))-(ROW('CONTROL MASTER'!#REF!)-1))))*(INDEX('CONTROL MASTER'!$W$2:$W$495,(SUMPRODUCT((('CONTROL MASTER'!$S$2:$S$495=3)*('CONTROL MASTER'!$T$2:$T$495&lt;=9)*('CONTROL MASTER'!$V$2:$V$495&gt;=9)*('CONTROL MASTER'!$U$2:$U$495&lt;=7)*('CONTROL MASTER'!$W$2:$W$495&gt;=7))*ROW('CONTROL MASTER'!$S$2:$S$495))-(ROW('CONTROL MASTER'!#REF!)-1)))-INDEX('CONTROL MASTER'!$U$2:$U$495,(SUMPRODUCT((('CONTROL MASTER'!$S$2:$S$495=3)*('CONTROL MASTER'!$T$2:$T$495&lt;=9)*('CONTROL MASTER'!$V$2:$V$495&gt;=9)*('CONTROL MASTER'!$U$2:$U$495&lt;=7)*('CONTROL MASTER'!$W$2:$W$495&gt;=7))*ROW('CONTROL MASTER'!$S$2:$S$495))-(ROW('CONTROL MASTER'!#REF!)-1)))+1)+(7-INDEX('CONTROL MASTER'!$U$2:$U$495,(SUMPRODUCT((('CONTROL MASTER'!$S$2:$S$495=3)*('CONTROL MASTER'!$T$2:$T$495&lt;=9)*('CONTROL MASTER'!$V$2:$V$495&gt;=9)*('CONTROL MASTER'!$U$2:$U$495&lt;=7)*('CONTROL MASTER'!$W$2:$W$495&gt;=7))*ROW('CONTROL MASTER'!$S$2:$S$495))-(ROW('CONTROL MASTER'!#REF!)-1))))+1))-1)*50+1,50))&amp;"_"&amp;INDEX('CONTROL MASTER'!$P$2:$P$495,(SUMPRODUCT((('CONTROL MASTER'!$S$2:$S$495=3)*('CONTROL MASTER'!$T$2:$T$495&lt;=9)*('CONTROL MASTER'!$V$2:$V$495&gt;=9)*('CONTROL MASTER'!$U$2:$U$495&lt;=7)*('CONTROL MASTER'!$W$2:$W$495&gt;=7))*ROW('CONTROL MASTER'!$S$2:$S$495))-(ROW('CONTROL MASTER'!#REF!)-1))),IF(SUMPRODUCT((('CONTROL MASTER'!$S$2:$S$495=3)*('CONTROL MASTER'!$Z$2:$Z$495&lt;=9)*('CONTROL MASTER'!$AB$2:$AB$495&gt;=9)*('CONTROL MASTER'!$AA$2:$AA$495&lt;=7)*('CONTROL MASTER'!$AC$2:$AC$495&gt;=7))*ROW('CONTROL MASTER'!$S$2:$S$495))&gt;0,INDEX('CONTROL MASTER'!$X$2:$X$495,(SUMPRODUCT((('CONTROL MASTER'!$S$2:$S$495=3)*('CONTROL MASTER'!$Z$2:$Z$495&lt;=9)*('CONTROL MASTER'!$AB$2:$AB$495&gt;=9)*('CONTROL MASTER'!$AA$2:$AA$495&lt;=7)*('CONTROL MASTER'!$AC$2:$AC$495&gt;=7))*ROW('CONTROL MASTER'!$S$2:$S$495))-(ROW('CONTROL MASTER'!#REF!)-1)))&amp;TRIM(MID(SUBSTITUTE(SUBSTITUTE(INDEX('CONTROL MASTER'!$N$2:$N$495,(SUMPRODUCT((('CONTROL MASTER'!$S$2:$S$495=3)*('CONTROL MASTER'!$Z$2:$Z$495&lt;=9)*('CONTROL MASTER'!$AB$2:$AB$495&gt;=9)*('CONTROL MASTER'!$AA$2:$AA$495&lt;=7)*('CONTROL MASTER'!$AC$2:$AC$495&gt;=7))*ROW('CONTROL MASTER'!$S$2:$S$495))-(ROW('CONTROL MASTER'!#REF!)-1))),":",","),",",REPT(" ",50)),(((INDEX('CONTROL MASTER'!$Y$2:$Y$495,(SUMPRODUCT((('CONTROL MASTER'!$S$2:$S$495=3)*('CONTROL MASTER'!$Z$2:$Z$495&lt;=9)*('CONTROL MASTER'!$AB$2:$AB$495&gt;=9)*('CONTROL MASTER'!$AA$2:$AA$495&lt;=7)*('CONTROL MASTER'!$AC$2:$AC$495&gt;=7))*ROW('CONTROL MASTER'!$S$2:$S$495))-(ROW('CONTROL MASTER'!#REF!)-1)))+((9-INDEX('CONTROL MASTER'!$Z$2:$Z$495,(SUMPRODUCT((('CONTROL MASTER'!$S$2:$S$495=3)*('CONTROL MASTER'!$Z$2:$Z$495&lt;=9)*('CONTROL MASTER'!$AB$2:$AB$495&gt;=9)*('CONTROL MASTER'!$AA$2:$AA$495&lt;=7)*('CONTROL MASTER'!$AC$2:$AC$495&gt;=7))*ROW('CONTROL MASTER'!$S$2:$S$495))-(ROW('CONTROL MASTER'!#REF!)-1))))*(INDEX('CONTROL MASTER'!$AC$2:$AC$495,(SUMPRODUCT((('CONTROL MASTER'!$S$2:$S$495=3)*('CONTROL MASTER'!$Z$2:$Z$495&lt;=9)*('CONTROL MASTER'!$AB$2:$AB$495&gt;=9)*('CONTROL MASTER'!$AA$2:$AA$495&lt;=7)*('CONTROL MASTER'!$AC$2:$AC$495&gt;=7))*ROW('CONTROL MASTER'!$S$2:$S$495))-(ROW('CONTROL MASTER'!#REF!)-1)))-INDEX('CONTROL MASTER'!$AA$2:$AA$495,(SUMPRODUCT((('CONTROL MASTER'!$S$2:$S$495=3)*('CONTROL MASTER'!$Z$2:$Z$495&lt;=9)*('CONTROL MASTER'!$AB$2:$AB$495&gt;=9)*('CONTROL MASTER'!$AA$2:$AA$495&lt;=7)*('CONTROL MASTER'!$AC$2:$AC$495&gt;=7))*ROW('CONTROL MASTER'!$S$2:$S$495))-(ROW('CONTROL MASTER'!#REF!)-1)))+1)+(7-INDEX('CONTROL MASTER'!$AA$2:$AA$495,(SUMPRODUCT((('CONTROL MASTER'!$S$2:$S$495=3)*('CONTROL MASTER'!$Z$2:$Z$495&lt;=9)*('CONTROL MASTER'!$AB$2:$AB$495&gt;=9)*('CONTROL MASTER'!$AA$2:$AA$495&lt;=7)*('CONTROL MASTER'!$AC$2:$AC$495&gt;=7))*ROW('CONTROL MASTER'!$S$2:$S$495))-(ROW('CONTROL MASTER'!#REF!)-1))))+1)))-1)*50+1,50))&amp;"_"&amp;INDEX('CONTROL MASTER'!$P$2:$P$495,(SUMPRODUCT((('CONTROL MASTER'!$S$2:$S$495=3)*('CONTROL MASTER'!$Z$2:$Z$495&lt;=9)*('CONTROL MASTER'!$AB$2:$AB$495&gt;=9)*('CONTROL MASTER'!$AA$2:$AA$495&lt;=7)*('CONTROL MASTER'!$AC$2:$AC$495&gt;=7))*ROW('CONTROL MASTER'!$S$2:$S$495))-(ROW('CONTROL MASTER'!#REF!)-1))),"")),"")</f>
        <v/>
      </c>
      <c r="I39" s="10" t="str">
        <f>IFERROR(IF(SUMPRODUCT((('CONTROL MASTER'!$S$2:$S$495=3)*('CONTROL MASTER'!$T$2:$T$495&lt;=9)*('CONTROL MASTER'!$V$2:$V$495&gt;=9)*('CONTROL MASTER'!$U$2:$U$495&lt;=8)*('CONTROL MASTER'!$W$2:$W$495&gt;=8))*ROW('CONTROL MASTER'!$S$2:$S$495))&gt;0,INDEX('CONTROL MASTER'!$X$2:$X$495,(SUMPRODUCT((('CONTROL MASTER'!$S$2:$S$495=3)*('CONTROL MASTER'!$T$2:$T$495&lt;=9)*('CONTROL MASTER'!$V$2:$V$495&gt;=9)*('CONTROL MASTER'!$U$2:$U$495&lt;=8)*('CONTROL MASTER'!$W$2:$W$495&gt;=8))*ROW('CONTROL MASTER'!$S$2:$S$495))-(ROW('CONTROL MASTER'!#REF!)-1)))&amp;TRIM(MID(SUBSTITUTE(SUBSTITUTE(INDEX('CONTROL MASTER'!$N$2:$N$495,(SUMPRODUCT((('CONTROL MASTER'!$S$2:$S$495=3)*('CONTROL MASTER'!$T$2:$T$495&lt;=9)*('CONTROL MASTER'!$V$2:$V$495&gt;=9)*('CONTROL MASTER'!$U$2:$U$495&lt;=8)*('CONTROL MASTER'!$W$2:$W$495&gt;=8))*ROW('CONTROL MASTER'!$S$2:$S$495))-(ROW('CONTROL MASTER'!#REF!)-1))),":",","),",",REPT(" ",50)),((((9-INDEX('CONTROL MASTER'!$T$2:$T$495,(SUMPRODUCT((('CONTROL MASTER'!$S$2:$S$495=3)*('CONTROL MASTER'!$T$2:$T$495&lt;=9)*('CONTROL MASTER'!$V$2:$V$495&gt;=9)*('CONTROL MASTER'!$U$2:$U$495&lt;=8)*('CONTROL MASTER'!$W$2:$W$495&gt;=8))*ROW('CONTROL MASTER'!$S$2:$S$495))-(ROW('CONTROL MASTER'!#REF!)-1))))*(INDEX('CONTROL MASTER'!$W$2:$W$495,(SUMPRODUCT((('CONTROL MASTER'!$S$2:$S$495=3)*('CONTROL MASTER'!$T$2:$T$495&lt;=9)*('CONTROL MASTER'!$V$2:$V$495&gt;=9)*('CONTROL MASTER'!$U$2:$U$495&lt;=8)*('CONTROL MASTER'!$W$2:$W$495&gt;=8))*ROW('CONTROL MASTER'!$S$2:$S$495))-(ROW('CONTROL MASTER'!#REF!)-1)))-INDEX('CONTROL MASTER'!$U$2:$U$495,(SUMPRODUCT((('CONTROL MASTER'!$S$2:$S$495=3)*('CONTROL MASTER'!$T$2:$T$495&lt;=9)*('CONTROL MASTER'!$V$2:$V$495&gt;=9)*('CONTROL MASTER'!$U$2:$U$495&lt;=8)*('CONTROL MASTER'!$W$2:$W$495&gt;=8))*ROW('CONTROL MASTER'!$S$2:$S$495))-(ROW('CONTROL MASTER'!#REF!)-1)))+1)+(8-INDEX('CONTROL MASTER'!$U$2:$U$495,(SUMPRODUCT((('CONTROL MASTER'!$S$2:$S$495=3)*('CONTROL MASTER'!$T$2:$T$495&lt;=9)*('CONTROL MASTER'!$V$2:$V$495&gt;=9)*('CONTROL MASTER'!$U$2:$U$495&lt;=8)*('CONTROL MASTER'!$W$2:$W$495&gt;=8))*ROW('CONTROL MASTER'!$S$2:$S$495))-(ROW('CONTROL MASTER'!#REF!)-1))))+1))-1)*50+1,50))&amp;"_"&amp;INDEX('CONTROL MASTER'!$P$2:$P$495,(SUMPRODUCT((('CONTROL MASTER'!$S$2:$S$495=3)*('CONTROL MASTER'!$T$2:$T$495&lt;=9)*('CONTROL MASTER'!$V$2:$V$495&gt;=9)*('CONTROL MASTER'!$U$2:$U$495&lt;=8)*('CONTROL MASTER'!$W$2:$W$495&gt;=8))*ROW('CONTROL MASTER'!$S$2:$S$495))-(ROW('CONTROL MASTER'!#REF!)-1))),IF(SUMPRODUCT((('CONTROL MASTER'!$S$2:$S$495=3)*('CONTROL MASTER'!$Z$2:$Z$495&lt;=9)*('CONTROL MASTER'!$AB$2:$AB$495&gt;=9)*('CONTROL MASTER'!$AA$2:$AA$495&lt;=8)*('CONTROL MASTER'!$AC$2:$AC$495&gt;=8))*ROW('CONTROL MASTER'!$S$2:$S$495))&gt;0,INDEX('CONTROL MASTER'!$X$2:$X$495,(SUMPRODUCT((('CONTROL MASTER'!$S$2:$S$495=3)*('CONTROL MASTER'!$Z$2:$Z$495&lt;=9)*('CONTROL MASTER'!$AB$2:$AB$495&gt;=9)*('CONTROL MASTER'!$AA$2:$AA$495&lt;=8)*('CONTROL MASTER'!$AC$2:$AC$495&gt;=8))*ROW('CONTROL MASTER'!$S$2:$S$495))-(ROW('CONTROL MASTER'!#REF!)-1)))&amp;TRIM(MID(SUBSTITUTE(SUBSTITUTE(INDEX('CONTROL MASTER'!$N$2:$N$495,(SUMPRODUCT((('CONTROL MASTER'!$S$2:$S$495=3)*('CONTROL MASTER'!$Z$2:$Z$495&lt;=9)*('CONTROL MASTER'!$AB$2:$AB$495&gt;=9)*('CONTROL MASTER'!$AA$2:$AA$495&lt;=8)*('CONTROL MASTER'!$AC$2:$AC$495&gt;=8))*ROW('CONTROL MASTER'!$S$2:$S$495))-(ROW('CONTROL MASTER'!#REF!)-1))),":",","),",",REPT(" ",50)),(((INDEX('CONTROL MASTER'!$Y$2:$Y$495,(SUMPRODUCT((('CONTROL MASTER'!$S$2:$S$495=3)*('CONTROL MASTER'!$Z$2:$Z$495&lt;=9)*('CONTROL MASTER'!$AB$2:$AB$495&gt;=9)*('CONTROL MASTER'!$AA$2:$AA$495&lt;=8)*('CONTROL MASTER'!$AC$2:$AC$495&gt;=8))*ROW('CONTROL MASTER'!$S$2:$S$495))-(ROW('CONTROL MASTER'!#REF!)-1)))+((9-INDEX('CONTROL MASTER'!$Z$2:$Z$495,(SUMPRODUCT((('CONTROL MASTER'!$S$2:$S$495=3)*('CONTROL MASTER'!$Z$2:$Z$495&lt;=9)*('CONTROL MASTER'!$AB$2:$AB$495&gt;=9)*('CONTROL MASTER'!$AA$2:$AA$495&lt;=8)*('CONTROL MASTER'!$AC$2:$AC$495&gt;=8))*ROW('CONTROL MASTER'!$S$2:$S$495))-(ROW('CONTROL MASTER'!#REF!)-1))))*(INDEX('CONTROL MASTER'!$AC$2:$AC$495,(SUMPRODUCT((('CONTROL MASTER'!$S$2:$S$495=3)*('CONTROL MASTER'!$Z$2:$Z$495&lt;=9)*('CONTROL MASTER'!$AB$2:$AB$495&gt;=9)*('CONTROL MASTER'!$AA$2:$AA$495&lt;=8)*('CONTROL MASTER'!$AC$2:$AC$495&gt;=8))*ROW('CONTROL MASTER'!$S$2:$S$495))-(ROW('CONTROL MASTER'!#REF!)-1)))-INDEX('CONTROL MASTER'!$AA$2:$AA$495,(SUMPRODUCT((('CONTROL MASTER'!$S$2:$S$495=3)*('CONTROL MASTER'!$Z$2:$Z$495&lt;=9)*('CONTROL MASTER'!$AB$2:$AB$495&gt;=9)*('CONTROL MASTER'!$AA$2:$AA$495&lt;=8)*('CONTROL MASTER'!$AC$2:$AC$495&gt;=8))*ROW('CONTROL MASTER'!$S$2:$S$495))-(ROW('CONTROL MASTER'!#REF!)-1)))+1)+(8-INDEX('CONTROL MASTER'!$AA$2:$AA$495,(SUMPRODUCT((('CONTROL MASTER'!$S$2:$S$495=3)*('CONTROL MASTER'!$Z$2:$Z$495&lt;=9)*('CONTROL MASTER'!$AB$2:$AB$495&gt;=9)*('CONTROL MASTER'!$AA$2:$AA$495&lt;=8)*('CONTROL MASTER'!$AC$2:$AC$495&gt;=8))*ROW('CONTROL MASTER'!$S$2:$S$495))-(ROW('CONTROL MASTER'!#REF!)-1))))+1)))-1)*50+1,50))&amp;"_"&amp;INDEX('CONTROL MASTER'!$P$2:$P$495,(SUMPRODUCT((('CONTROL MASTER'!$S$2:$S$495=3)*('CONTROL MASTER'!$Z$2:$Z$495&lt;=9)*('CONTROL MASTER'!$AB$2:$AB$495&gt;=9)*('CONTROL MASTER'!$AA$2:$AA$495&lt;=8)*('CONTROL MASTER'!$AC$2:$AC$495&gt;=8))*ROW('CONTROL MASTER'!$S$2:$S$495))-(ROW('CONTROL MASTER'!#REF!)-1))),"")),"")</f>
        <v/>
      </c>
      <c r="J39" s="10" t="str">
        <f>IFERROR(IF(SUMPRODUCT((('CONTROL MASTER'!$S$2:$S$495=3)*('CONTROL MASTER'!$T$2:$T$495&lt;=9)*('CONTROL MASTER'!$V$2:$V$495&gt;=9)*('CONTROL MASTER'!$U$2:$U$495&lt;=9)*('CONTROL MASTER'!$W$2:$W$495&gt;=9))*ROW('CONTROL MASTER'!$S$2:$S$495))&gt;0,INDEX('CONTROL MASTER'!$X$2:$X$495,(SUMPRODUCT((('CONTROL MASTER'!$S$2:$S$495=3)*('CONTROL MASTER'!$T$2:$T$495&lt;=9)*('CONTROL MASTER'!$V$2:$V$495&gt;=9)*('CONTROL MASTER'!$U$2:$U$495&lt;=9)*('CONTROL MASTER'!$W$2:$W$495&gt;=9))*ROW('CONTROL MASTER'!$S$2:$S$495))-(ROW('CONTROL MASTER'!#REF!)-1)))&amp;TRIM(MID(SUBSTITUTE(SUBSTITUTE(INDEX('CONTROL MASTER'!$N$2:$N$495,(SUMPRODUCT((('CONTROL MASTER'!$S$2:$S$495=3)*('CONTROL MASTER'!$T$2:$T$495&lt;=9)*('CONTROL MASTER'!$V$2:$V$495&gt;=9)*('CONTROL MASTER'!$U$2:$U$495&lt;=9)*('CONTROL MASTER'!$W$2:$W$495&gt;=9))*ROW('CONTROL MASTER'!$S$2:$S$495))-(ROW('CONTROL MASTER'!#REF!)-1))),":",","),",",REPT(" ",50)),((((9-INDEX('CONTROL MASTER'!$T$2:$T$495,(SUMPRODUCT((('CONTROL MASTER'!$S$2:$S$495=3)*('CONTROL MASTER'!$T$2:$T$495&lt;=9)*('CONTROL MASTER'!$V$2:$V$495&gt;=9)*('CONTROL MASTER'!$U$2:$U$495&lt;=9)*('CONTROL MASTER'!$W$2:$W$495&gt;=9))*ROW('CONTROL MASTER'!$S$2:$S$495))-(ROW('CONTROL MASTER'!#REF!)-1))))*(INDEX('CONTROL MASTER'!$W$2:$W$495,(SUMPRODUCT((('CONTROL MASTER'!$S$2:$S$495=3)*('CONTROL MASTER'!$T$2:$T$495&lt;=9)*('CONTROL MASTER'!$V$2:$V$495&gt;=9)*('CONTROL MASTER'!$U$2:$U$495&lt;=9)*('CONTROL MASTER'!$W$2:$W$495&gt;=9))*ROW('CONTROL MASTER'!$S$2:$S$495))-(ROW('CONTROL MASTER'!#REF!)-1)))-INDEX('CONTROL MASTER'!$U$2:$U$495,(SUMPRODUCT((('CONTROL MASTER'!$S$2:$S$495=3)*('CONTROL MASTER'!$T$2:$T$495&lt;=9)*('CONTROL MASTER'!$V$2:$V$495&gt;=9)*('CONTROL MASTER'!$U$2:$U$495&lt;=9)*('CONTROL MASTER'!$W$2:$W$495&gt;=9))*ROW('CONTROL MASTER'!$S$2:$S$495))-(ROW('CONTROL MASTER'!#REF!)-1)))+1)+(9-INDEX('CONTROL MASTER'!$U$2:$U$495,(SUMPRODUCT((('CONTROL MASTER'!$S$2:$S$495=3)*('CONTROL MASTER'!$T$2:$T$495&lt;=9)*('CONTROL MASTER'!$V$2:$V$495&gt;=9)*('CONTROL MASTER'!$U$2:$U$495&lt;=9)*('CONTROL MASTER'!$W$2:$W$495&gt;=9))*ROW('CONTROL MASTER'!$S$2:$S$495))-(ROW('CONTROL MASTER'!#REF!)-1))))+1))-1)*50+1,50))&amp;"_"&amp;INDEX('CONTROL MASTER'!$P$2:$P$495,(SUMPRODUCT((('CONTROL MASTER'!$S$2:$S$495=3)*('CONTROL MASTER'!$T$2:$T$495&lt;=9)*('CONTROL MASTER'!$V$2:$V$495&gt;=9)*('CONTROL MASTER'!$U$2:$U$495&lt;=9)*('CONTROL MASTER'!$W$2:$W$495&gt;=9))*ROW('CONTROL MASTER'!$S$2:$S$495))-(ROW('CONTROL MASTER'!#REF!)-1))),IF(SUMPRODUCT((('CONTROL MASTER'!$S$2:$S$495=3)*('CONTROL MASTER'!$Z$2:$Z$495&lt;=9)*('CONTROL MASTER'!$AB$2:$AB$495&gt;=9)*('CONTROL MASTER'!$AA$2:$AA$495&lt;=9)*('CONTROL MASTER'!$AC$2:$AC$495&gt;=9))*ROW('CONTROL MASTER'!$S$2:$S$495))&gt;0,INDEX('CONTROL MASTER'!$X$2:$X$495,(SUMPRODUCT((('CONTROL MASTER'!$S$2:$S$495=3)*('CONTROL MASTER'!$Z$2:$Z$495&lt;=9)*('CONTROL MASTER'!$AB$2:$AB$495&gt;=9)*('CONTROL MASTER'!$AA$2:$AA$495&lt;=9)*('CONTROL MASTER'!$AC$2:$AC$495&gt;=9))*ROW('CONTROL MASTER'!$S$2:$S$495))-(ROW('CONTROL MASTER'!#REF!)-1)))&amp;TRIM(MID(SUBSTITUTE(SUBSTITUTE(INDEX('CONTROL MASTER'!$N$2:$N$495,(SUMPRODUCT((('CONTROL MASTER'!$S$2:$S$495=3)*('CONTROL MASTER'!$Z$2:$Z$495&lt;=9)*('CONTROL MASTER'!$AB$2:$AB$495&gt;=9)*('CONTROL MASTER'!$AA$2:$AA$495&lt;=9)*('CONTROL MASTER'!$AC$2:$AC$495&gt;=9))*ROW('CONTROL MASTER'!$S$2:$S$495))-(ROW('CONTROL MASTER'!#REF!)-1))),":",","),",",REPT(" ",50)),(((INDEX('CONTROL MASTER'!$Y$2:$Y$495,(SUMPRODUCT((('CONTROL MASTER'!$S$2:$S$495=3)*('CONTROL MASTER'!$Z$2:$Z$495&lt;=9)*('CONTROL MASTER'!$AB$2:$AB$495&gt;=9)*('CONTROL MASTER'!$AA$2:$AA$495&lt;=9)*('CONTROL MASTER'!$AC$2:$AC$495&gt;=9))*ROW('CONTROL MASTER'!$S$2:$S$495))-(ROW('CONTROL MASTER'!#REF!)-1)))+((9-INDEX('CONTROL MASTER'!$Z$2:$Z$495,(SUMPRODUCT((('CONTROL MASTER'!$S$2:$S$495=3)*('CONTROL MASTER'!$Z$2:$Z$495&lt;=9)*('CONTROL MASTER'!$AB$2:$AB$495&gt;=9)*('CONTROL MASTER'!$AA$2:$AA$495&lt;=9)*('CONTROL MASTER'!$AC$2:$AC$495&gt;=9))*ROW('CONTROL MASTER'!$S$2:$S$495))-(ROW('CONTROL MASTER'!#REF!)-1))))*(INDEX('CONTROL MASTER'!$AC$2:$AC$495,(SUMPRODUCT((('CONTROL MASTER'!$S$2:$S$495=3)*('CONTROL MASTER'!$Z$2:$Z$495&lt;=9)*('CONTROL MASTER'!$AB$2:$AB$495&gt;=9)*('CONTROL MASTER'!$AA$2:$AA$495&lt;=9)*('CONTROL MASTER'!$AC$2:$AC$495&gt;=9))*ROW('CONTROL MASTER'!$S$2:$S$495))-(ROW('CONTROL MASTER'!#REF!)-1)))-INDEX('CONTROL MASTER'!$AA$2:$AA$495,(SUMPRODUCT((('CONTROL MASTER'!$S$2:$S$495=3)*('CONTROL MASTER'!$Z$2:$Z$495&lt;=9)*('CONTROL MASTER'!$AB$2:$AB$495&gt;=9)*('CONTROL MASTER'!$AA$2:$AA$495&lt;=9)*('CONTROL MASTER'!$AC$2:$AC$495&gt;=9))*ROW('CONTROL MASTER'!$S$2:$S$495))-(ROW('CONTROL MASTER'!#REF!)-1)))+1)+(9-INDEX('CONTROL MASTER'!$AA$2:$AA$495,(SUMPRODUCT((('CONTROL MASTER'!$S$2:$S$495=3)*('CONTROL MASTER'!$Z$2:$Z$495&lt;=9)*('CONTROL MASTER'!$AB$2:$AB$495&gt;=9)*('CONTROL MASTER'!$AA$2:$AA$495&lt;=9)*('CONTROL MASTER'!$AC$2:$AC$495&gt;=9))*ROW('CONTROL MASTER'!$S$2:$S$495))-(ROW('CONTROL MASTER'!#REF!)-1))))+1)))-1)*50+1,50))&amp;"_"&amp;INDEX('CONTROL MASTER'!$P$2:$P$495,(SUMPRODUCT((('CONTROL MASTER'!$S$2:$S$495=3)*('CONTROL MASTER'!$Z$2:$Z$495&lt;=9)*('CONTROL MASTER'!$AB$2:$AB$495&gt;=9)*('CONTROL MASTER'!$AA$2:$AA$495&lt;=9)*('CONTROL MASTER'!$AC$2:$AC$495&gt;=9))*ROW('CONTROL MASTER'!$S$2:$S$495))-(ROW('CONTROL MASTER'!#REF!)-1))),"")),"")</f>
        <v/>
      </c>
      <c r="K39" s="10" t="str">
        <f>IFERROR(IF(SUMPRODUCT((('CONTROL MASTER'!$S$2:$S$495=3)*('CONTROL MASTER'!$T$2:$T$495&lt;=9)*('CONTROL MASTER'!$V$2:$V$495&gt;=9)*('CONTROL MASTER'!$U$2:$U$495&lt;=10)*('CONTROL MASTER'!$W$2:$W$495&gt;=10))*ROW('CONTROL MASTER'!$S$2:$S$495))&gt;0,INDEX('CONTROL MASTER'!$X$2:$X$495,(SUMPRODUCT((('CONTROL MASTER'!$S$2:$S$495=3)*('CONTROL MASTER'!$T$2:$T$495&lt;=9)*('CONTROL MASTER'!$V$2:$V$495&gt;=9)*('CONTROL MASTER'!$U$2:$U$495&lt;=10)*('CONTROL MASTER'!$W$2:$W$495&gt;=10))*ROW('CONTROL MASTER'!$S$2:$S$495))-(ROW('CONTROL MASTER'!#REF!)-1)))&amp;TRIM(MID(SUBSTITUTE(SUBSTITUTE(INDEX('CONTROL MASTER'!$N$2:$N$495,(SUMPRODUCT((('CONTROL MASTER'!$S$2:$S$495=3)*('CONTROL MASTER'!$T$2:$T$495&lt;=9)*('CONTROL MASTER'!$V$2:$V$495&gt;=9)*('CONTROL MASTER'!$U$2:$U$495&lt;=10)*('CONTROL MASTER'!$W$2:$W$495&gt;=10))*ROW('CONTROL MASTER'!$S$2:$S$495))-(ROW('CONTROL MASTER'!#REF!)-1))),":",","),",",REPT(" ",50)),((((9-INDEX('CONTROL MASTER'!$T$2:$T$495,(SUMPRODUCT((('CONTROL MASTER'!$S$2:$S$495=3)*('CONTROL MASTER'!$T$2:$T$495&lt;=9)*('CONTROL MASTER'!$V$2:$V$495&gt;=9)*('CONTROL MASTER'!$U$2:$U$495&lt;=10)*('CONTROL MASTER'!$W$2:$W$495&gt;=10))*ROW('CONTROL MASTER'!$S$2:$S$495))-(ROW('CONTROL MASTER'!#REF!)-1))))*(INDEX('CONTROL MASTER'!$W$2:$W$495,(SUMPRODUCT((('CONTROL MASTER'!$S$2:$S$495=3)*('CONTROL MASTER'!$T$2:$T$495&lt;=9)*('CONTROL MASTER'!$V$2:$V$495&gt;=9)*('CONTROL MASTER'!$U$2:$U$495&lt;=10)*('CONTROL MASTER'!$W$2:$W$495&gt;=10))*ROW('CONTROL MASTER'!$S$2:$S$495))-(ROW('CONTROL MASTER'!#REF!)-1)))-INDEX('CONTROL MASTER'!$U$2:$U$495,(SUMPRODUCT((('CONTROL MASTER'!$S$2:$S$495=3)*('CONTROL MASTER'!$T$2:$T$495&lt;=9)*('CONTROL MASTER'!$V$2:$V$495&gt;=9)*('CONTROL MASTER'!$U$2:$U$495&lt;=10)*('CONTROL MASTER'!$W$2:$W$495&gt;=10))*ROW('CONTROL MASTER'!$S$2:$S$495))-(ROW('CONTROL MASTER'!#REF!)-1)))+1)+(10-INDEX('CONTROL MASTER'!$U$2:$U$495,(SUMPRODUCT((('CONTROL MASTER'!$S$2:$S$495=3)*('CONTROL MASTER'!$T$2:$T$495&lt;=9)*('CONTROL MASTER'!$V$2:$V$495&gt;=9)*('CONTROL MASTER'!$U$2:$U$495&lt;=10)*('CONTROL MASTER'!$W$2:$W$495&gt;=10))*ROW('CONTROL MASTER'!$S$2:$S$495))-(ROW('CONTROL MASTER'!#REF!)-1))))+1))-1)*50+1,50))&amp;"_"&amp;INDEX('CONTROL MASTER'!$P$2:$P$495,(SUMPRODUCT((('CONTROL MASTER'!$S$2:$S$495=3)*('CONTROL MASTER'!$T$2:$T$495&lt;=9)*('CONTROL MASTER'!$V$2:$V$495&gt;=9)*('CONTROL MASTER'!$U$2:$U$495&lt;=10)*('CONTROL MASTER'!$W$2:$W$495&gt;=10))*ROW('CONTROL MASTER'!$S$2:$S$495))-(ROW('CONTROL MASTER'!#REF!)-1))),IF(SUMPRODUCT((('CONTROL MASTER'!$S$2:$S$495=3)*('CONTROL MASTER'!$Z$2:$Z$495&lt;=9)*('CONTROL MASTER'!$AB$2:$AB$495&gt;=9)*('CONTROL MASTER'!$AA$2:$AA$495&lt;=10)*('CONTROL MASTER'!$AC$2:$AC$495&gt;=10))*ROW('CONTROL MASTER'!$S$2:$S$495))&gt;0,INDEX('CONTROL MASTER'!$X$2:$X$495,(SUMPRODUCT((('CONTROL MASTER'!$S$2:$S$495=3)*('CONTROL MASTER'!$Z$2:$Z$495&lt;=9)*('CONTROL MASTER'!$AB$2:$AB$495&gt;=9)*('CONTROL MASTER'!$AA$2:$AA$495&lt;=10)*('CONTROL MASTER'!$AC$2:$AC$495&gt;=10))*ROW('CONTROL MASTER'!$S$2:$S$495))-(ROW('CONTROL MASTER'!#REF!)-1)))&amp;TRIM(MID(SUBSTITUTE(SUBSTITUTE(INDEX('CONTROL MASTER'!$N$2:$N$495,(SUMPRODUCT((('CONTROL MASTER'!$S$2:$S$495=3)*('CONTROL MASTER'!$Z$2:$Z$495&lt;=9)*('CONTROL MASTER'!$AB$2:$AB$495&gt;=9)*('CONTROL MASTER'!$AA$2:$AA$495&lt;=10)*('CONTROL MASTER'!$AC$2:$AC$495&gt;=10))*ROW('CONTROL MASTER'!$S$2:$S$495))-(ROW('CONTROL MASTER'!#REF!)-1))),":",","),",",REPT(" ",50)),(((INDEX('CONTROL MASTER'!$Y$2:$Y$495,(SUMPRODUCT((('CONTROL MASTER'!$S$2:$S$495=3)*('CONTROL MASTER'!$Z$2:$Z$495&lt;=9)*('CONTROL MASTER'!$AB$2:$AB$495&gt;=9)*('CONTROL MASTER'!$AA$2:$AA$495&lt;=10)*('CONTROL MASTER'!$AC$2:$AC$495&gt;=10))*ROW('CONTROL MASTER'!$S$2:$S$495))-(ROW('CONTROL MASTER'!#REF!)-1)))+((9-INDEX('CONTROL MASTER'!$Z$2:$Z$495,(SUMPRODUCT((('CONTROL MASTER'!$S$2:$S$495=3)*('CONTROL MASTER'!$Z$2:$Z$495&lt;=9)*('CONTROL MASTER'!$AB$2:$AB$495&gt;=9)*('CONTROL MASTER'!$AA$2:$AA$495&lt;=10)*('CONTROL MASTER'!$AC$2:$AC$495&gt;=10))*ROW('CONTROL MASTER'!$S$2:$S$495))-(ROW('CONTROL MASTER'!#REF!)-1))))*(INDEX('CONTROL MASTER'!$AC$2:$AC$495,(SUMPRODUCT((('CONTROL MASTER'!$S$2:$S$495=3)*('CONTROL MASTER'!$Z$2:$Z$495&lt;=9)*('CONTROL MASTER'!$AB$2:$AB$495&gt;=9)*('CONTROL MASTER'!$AA$2:$AA$495&lt;=10)*('CONTROL MASTER'!$AC$2:$AC$495&gt;=10))*ROW('CONTROL MASTER'!$S$2:$S$495))-(ROW('CONTROL MASTER'!#REF!)-1)))-INDEX('CONTROL MASTER'!$AA$2:$AA$495,(SUMPRODUCT((('CONTROL MASTER'!$S$2:$S$495=3)*('CONTROL MASTER'!$Z$2:$Z$495&lt;=9)*('CONTROL MASTER'!$AB$2:$AB$495&gt;=9)*('CONTROL MASTER'!$AA$2:$AA$495&lt;=10)*('CONTROL MASTER'!$AC$2:$AC$495&gt;=10))*ROW('CONTROL MASTER'!$S$2:$S$495))-(ROW('CONTROL MASTER'!#REF!)-1)))+1)+(10-INDEX('CONTROL MASTER'!$AA$2:$AA$495,(SUMPRODUCT((('CONTROL MASTER'!$S$2:$S$495=3)*('CONTROL MASTER'!$Z$2:$Z$495&lt;=9)*('CONTROL MASTER'!$AB$2:$AB$495&gt;=9)*('CONTROL MASTER'!$AA$2:$AA$495&lt;=10)*('CONTROL MASTER'!$AC$2:$AC$495&gt;=10))*ROW('CONTROL MASTER'!$S$2:$S$495))-(ROW('CONTROL MASTER'!#REF!)-1))))+1)))-1)*50+1,50))&amp;"_"&amp;INDEX('CONTROL MASTER'!$P$2:$P$495,(SUMPRODUCT((('CONTROL MASTER'!$S$2:$S$495=3)*('CONTROL MASTER'!$Z$2:$Z$495&lt;=9)*('CONTROL MASTER'!$AB$2:$AB$495&gt;=9)*('CONTROL MASTER'!$AA$2:$AA$495&lt;=10)*('CONTROL MASTER'!$AC$2:$AC$495&gt;=10))*ROW('CONTROL MASTER'!$S$2:$S$495))-(ROW('CONTROL MASTER'!#REF!)-1))),"")),"")</f>
        <v/>
      </c>
    </row>
    <row r="40" spans="1:11" ht="15" customHeight="1" x14ac:dyDescent="0.35">
      <c r="A40" s="8" t="s">
        <v>82</v>
      </c>
      <c r="B40" s="10" t="str">
        <f>IFERROR(IF(SUMPRODUCT((('CONTROL MASTER'!$S$2:$S$495=3)*('CONTROL MASTER'!$T$2:$T$495&lt;=10)*('CONTROL MASTER'!$V$2:$V$495&gt;=10)*('CONTROL MASTER'!$U$2:$U$495&lt;=1)*('CONTROL MASTER'!$W$2:$W$495&gt;=1))*ROW('CONTROL MASTER'!$S$2:$S$495))&gt;0,INDEX('CONTROL MASTER'!$X$2:$X$495,(SUMPRODUCT((('CONTROL MASTER'!$S$2:$S$495=3)*('CONTROL MASTER'!$T$2:$T$495&lt;=10)*('CONTROL MASTER'!$V$2:$V$495&gt;=10)*('CONTROL MASTER'!$U$2:$U$495&lt;=1)*('CONTROL MASTER'!$W$2:$W$495&gt;=1))*ROW('CONTROL MASTER'!$S$2:$S$495))-(ROW('CONTROL MASTER'!#REF!)-1)))&amp;TRIM(MID(SUBSTITUTE(SUBSTITUTE(INDEX('CONTROL MASTER'!$N$2:$N$495,(SUMPRODUCT((('CONTROL MASTER'!$S$2:$S$495=3)*('CONTROL MASTER'!$T$2:$T$495&lt;=10)*('CONTROL MASTER'!$V$2:$V$495&gt;=10)*('CONTROL MASTER'!$U$2:$U$495&lt;=1)*('CONTROL MASTER'!$W$2:$W$495&gt;=1))*ROW('CONTROL MASTER'!$S$2:$S$495))-(ROW('CONTROL MASTER'!#REF!)-1))),":",","),",",REPT(" ",50)),((((10-INDEX('CONTROL MASTER'!$T$2:$T$495,(SUMPRODUCT((('CONTROL MASTER'!$S$2:$S$495=3)*('CONTROL MASTER'!$T$2:$T$495&lt;=10)*('CONTROL MASTER'!$V$2:$V$495&gt;=10)*('CONTROL MASTER'!$U$2:$U$495&lt;=1)*('CONTROL MASTER'!$W$2:$W$495&gt;=1))*ROW('CONTROL MASTER'!$S$2:$S$495))-(ROW('CONTROL MASTER'!#REF!)-1))))*(INDEX('CONTROL MASTER'!$W$2:$W$495,(SUMPRODUCT((('CONTROL MASTER'!$S$2:$S$495=3)*('CONTROL MASTER'!$T$2:$T$495&lt;=10)*('CONTROL MASTER'!$V$2:$V$495&gt;=10)*('CONTROL MASTER'!$U$2:$U$495&lt;=1)*('CONTROL MASTER'!$W$2:$W$495&gt;=1))*ROW('CONTROL MASTER'!$S$2:$S$495))-(ROW('CONTROL MASTER'!#REF!)-1)))-INDEX('CONTROL MASTER'!$U$2:$U$495,(SUMPRODUCT((('CONTROL MASTER'!$S$2:$S$495=3)*('CONTROL MASTER'!$T$2:$T$495&lt;=10)*('CONTROL MASTER'!$V$2:$V$495&gt;=10)*('CONTROL MASTER'!$U$2:$U$495&lt;=1)*('CONTROL MASTER'!$W$2:$W$495&gt;=1))*ROW('CONTROL MASTER'!$S$2:$S$495))-(ROW('CONTROL MASTER'!#REF!)-1)))+1)+(1-INDEX('CONTROL MASTER'!$U$2:$U$495,(SUMPRODUCT((('CONTROL MASTER'!$S$2:$S$495=3)*('CONTROL MASTER'!$T$2:$T$495&lt;=10)*('CONTROL MASTER'!$V$2:$V$495&gt;=10)*('CONTROL MASTER'!$U$2:$U$495&lt;=1)*('CONTROL MASTER'!$W$2:$W$495&gt;=1))*ROW('CONTROL MASTER'!$S$2:$S$495))-(ROW('CONTROL MASTER'!#REF!)-1))))+1))-1)*50+1,50))&amp;"_"&amp;INDEX('CONTROL MASTER'!$P$2:$P$495,(SUMPRODUCT((('CONTROL MASTER'!$S$2:$S$495=3)*('CONTROL MASTER'!$T$2:$T$495&lt;=10)*('CONTROL MASTER'!$V$2:$V$495&gt;=10)*('CONTROL MASTER'!$U$2:$U$495&lt;=1)*('CONTROL MASTER'!$W$2:$W$495&gt;=1))*ROW('CONTROL MASTER'!$S$2:$S$495))-(ROW('CONTROL MASTER'!#REF!)-1))),IF(SUMPRODUCT((('CONTROL MASTER'!$S$2:$S$495=3)*('CONTROL MASTER'!$Z$2:$Z$495&lt;=10)*('CONTROL MASTER'!$AB$2:$AB$495&gt;=10)*('CONTROL MASTER'!$AA$2:$AA$495&lt;=1)*('CONTROL MASTER'!$AC$2:$AC$495&gt;=1))*ROW('CONTROL MASTER'!$S$2:$S$495))&gt;0,INDEX('CONTROL MASTER'!$X$2:$X$495,(SUMPRODUCT((('CONTROL MASTER'!$S$2:$S$495=3)*('CONTROL MASTER'!$Z$2:$Z$495&lt;=10)*('CONTROL MASTER'!$AB$2:$AB$495&gt;=10)*('CONTROL MASTER'!$AA$2:$AA$495&lt;=1)*('CONTROL MASTER'!$AC$2:$AC$495&gt;=1))*ROW('CONTROL MASTER'!$S$2:$S$495))-(ROW('CONTROL MASTER'!#REF!)-1)))&amp;TRIM(MID(SUBSTITUTE(SUBSTITUTE(INDEX('CONTROL MASTER'!$N$2:$N$495,(SUMPRODUCT((('CONTROL MASTER'!$S$2:$S$495=3)*('CONTROL MASTER'!$Z$2:$Z$495&lt;=10)*('CONTROL MASTER'!$AB$2:$AB$495&gt;=10)*('CONTROL MASTER'!$AA$2:$AA$495&lt;=1)*('CONTROL MASTER'!$AC$2:$AC$495&gt;=1))*ROW('CONTROL MASTER'!$S$2:$S$495))-(ROW('CONTROL MASTER'!#REF!)-1))),":",","),",",REPT(" ",50)),(((INDEX('CONTROL MASTER'!$Y$2:$Y$495,(SUMPRODUCT((('CONTROL MASTER'!$S$2:$S$495=3)*('CONTROL MASTER'!$Z$2:$Z$495&lt;=10)*('CONTROL MASTER'!$AB$2:$AB$495&gt;=10)*('CONTROL MASTER'!$AA$2:$AA$495&lt;=1)*('CONTROL MASTER'!$AC$2:$AC$495&gt;=1))*ROW('CONTROL MASTER'!$S$2:$S$495))-(ROW('CONTROL MASTER'!#REF!)-1)))+((10-INDEX('CONTROL MASTER'!$Z$2:$Z$495,(SUMPRODUCT((('CONTROL MASTER'!$S$2:$S$495=3)*('CONTROL MASTER'!$Z$2:$Z$495&lt;=10)*('CONTROL MASTER'!$AB$2:$AB$495&gt;=10)*('CONTROL MASTER'!$AA$2:$AA$495&lt;=1)*('CONTROL MASTER'!$AC$2:$AC$495&gt;=1))*ROW('CONTROL MASTER'!$S$2:$S$495))-(ROW('CONTROL MASTER'!#REF!)-1))))*(INDEX('CONTROL MASTER'!$AC$2:$AC$495,(SUMPRODUCT((('CONTROL MASTER'!$S$2:$S$495=3)*('CONTROL MASTER'!$Z$2:$Z$495&lt;=10)*('CONTROL MASTER'!$AB$2:$AB$495&gt;=10)*('CONTROL MASTER'!$AA$2:$AA$495&lt;=1)*('CONTROL MASTER'!$AC$2:$AC$495&gt;=1))*ROW('CONTROL MASTER'!$S$2:$S$495))-(ROW('CONTROL MASTER'!#REF!)-1)))-INDEX('CONTROL MASTER'!$AA$2:$AA$495,(SUMPRODUCT((('CONTROL MASTER'!$S$2:$S$495=3)*('CONTROL MASTER'!$Z$2:$Z$495&lt;=10)*('CONTROL MASTER'!$AB$2:$AB$495&gt;=10)*('CONTROL MASTER'!$AA$2:$AA$495&lt;=1)*('CONTROL MASTER'!$AC$2:$AC$495&gt;=1))*ROW('CONTROL MASTER'!$S$2:$S$495))-(ROW('CONTROL MASTER'!#REF!)-1)))+1)+(1-INDEX('CONTROL MASTER'!$AA$2:$AA$495,(SUMPRODUCT((('CONTROL MASTER'!$S$2:$S$495=3)*('CONTROL MASTER'!$Z$2:$Z$495&lt;=10)*('CONTROL MASTER'!$AB$2:$AB$495&gt;=10)*('CONTROL MASTER'!$AA$2:$AA$495&lt;=1)*('CONTROL MASTER'!$AC$2:$AC$495&gt;=1))*ROW('CONTROL MASTER'!$S$2:$S$495))-(ROW('CONTROL MASTER'!#REF!)-1))))+1)))-1)*50+1,50))&amp;"_"&amp;INDEX('CONTROL MASTER'!$P$2:$P$495,(SUMPRODUCT((('CONTROL MASTER'!$S$2:$S$495=3)*('CONTROL MASTER'!$Z$2:$Z$495&lt;=10)*('CONTROL MASTER'!$AB$2:$AB$495&gt;=10)*('CONTROL MASTER'!$AA$2:$AA$495&lt;=1)*('CONTROL MASTER'!$AC$2:$AC$495&gt;=1))*ROW('CONTROL MASTER'!$S$2:$S$495))-(ROW('CONTROL MASTER'!#REF!)-1))),"")),"")</f>
        <v/>
      </c>
      <c r="C40" s="10" t="str">
        <f>IFERROR(IF(SUMPRODUCT((('CONTROL MASTER'!$S$2:$S$495=3)*('CONTROL MASTER'!$T$2:$T$495&lt;=10)*('CONTROL MASTER'!$V$2:$V$495&gt;=10)*('CONTROL MASTER'!$U$2:$U$495&lt;=2)*('CONTROL MASTER'!$W$2:$W$495&gt;=2))*ROW('CONTROL MASTER'!$S$2:$S$495))&gt;0,INDEX('CONTROL MASTER'!$X$2:$X$495,(SUMPRODUCT((('CONTROL MASTER'!$S$2:$S$495=3)*('CONTROL MASTER'!$T$2:$T$495&lt;=10)*('CONTROL MASTER'!$V$2:$V$495&gt;=10)*('CONTROL MASTER'!$U$2:$U$495&lt;=2)*('CONTROL MASTER'!$W$2:$W$495&gt;=2))*ROW('CONTROL MASTER'!$S$2:$S$495))-(ROW('CONTROL MASTER'!#REF!)-1)))&amp;TRIM(MID(SUBSTITUTE(SUBSTITUTE(INDEX('CONTROL MASTER'!$N$2:$N$495,(SUMPRODUCT((('CONTROL MASTER'!$S$2:$S$495=3)*('CONTROL MASTER'!$T$2:$T$495&lt;=10)*('CONTROL MASTER'!$V$2:$V$495&gt;=10)*('CONTROL MASTER'!$U$2:$U$495&lt;=2)*('CONTROL MASTER'!$W$2:$W$495&gt;=2))*ROW('CONTROL MASTER'!$S$2:$S$495))-(ROW('CONTROL MASTER'!#REF!)-1))),":",","),",",REPT(" ",50)),((((10-INDEX('CONTROL MASTER'!$T$2:$T$495,(SUMPRODUCT((('CONTROL MASTER'!$S$2:$S$495=3)*('CONTROL MASTER'!$T$2:$T$495&lt;=10)*('CONTROL MASTER'!$V$2:$V$495&gt;=10)*('CONTROL MASTER'!$U$2:$U$495&lt;=2)*('CONTROL MASTER'!$W$2:$W$495&gt;=2))*ROW('CONTROL MASTER'!$S$2:$S$495))-(ROW('CONTROL MASTER'!#REF!)-1))))*(INDEX('CONTROL MASTER'!$W$2:$W$495,(SUMPRODUCT((('CONTROL MASTER'!$S$2:$S$495=3)*('CONTROL MASTER'!$T$2:$T$495&lt;=10)*('CONTROL MASTER'!$V$2:$V$495&gt;=10)*('CONTROL MASTER'!$U$2:$U$495&lt;=2)*('CONTROL MASTER'!$W$2:$W$495&gt;=2))*ROW('CONTROL MASTER'!$S$2:$S$495))-(ROW('CONTROL MASTER'!#REF!)-1)))-INDEX('CONTROL MASTER'!$U$2:$U$495,(SUMPRODUCT((('CONTROL MASTER'!$S$2:$S$495=3)*('CONTROL MASTER'!$T$2:$T$495&lt;=10)*('CONTROL MASTER'!$V$2:$V$495&gt;=10)*('CONTROL MASTER'!$U$2:$U$495&lt;=2)*('CONTROL MASTER'!$W$2:$W$495&gt;=2))*ROW('CONTROL MASTER'!$S$2:$S$495))-(ROW('CONTROL MASTER'!#REF!)-1)))+1)+(2-INDEX('CONTROL MASTER'!$U$2:$U$495,(SUMPRODUCT((('CONTROL MASTER'!$S$2:$S$495=3)*('CONTROL MASTER'!$T$2:$T$495&lt;=10)*('CONTROL MASTER'!$V$2:$V$495&gt;=10)*('CONTROL MASTER'!$U$2:$U$495&lt;=2)*('CONTROL MASTER'!$W$2:$W$495&gt;=2))*ROW('CONTROL MASTER'!$S$2:$S$495))-(ROW('CONTROL MASTER'!#REF!)-1))))+1))-1)*50+1,50))&amp;"_"&amp;INDEX('CONTROL MASTER'!$P$2:$P$495,(SUMPRODUCT((('CONTROL MASTER'!$S$2:$S$495=3)*('CONTROL MASTER'!$T$2:$T$495&lt;=10)*('CONTROL MASTER'!$V$2:$V$495&gt;=10)*('CONTROL MASTER'!$U$2:$U$495&lt;=2)*('CONTROL MASTER'!$W$2:$W$495&gt;=2))*ROW('CONTROL MASTER'!$S$2:$S$495))-(ROW('CONTROL MASTER'!#REF!)-1))),IF(SUMPRODUCT((('CONTROL MASTER'!$S$2:$S$495=3)*('CONTROL MASTER'!$Z$2:$Z$495&lt;=10)*('CONTROL MASTER'!$AB$2:$AB$495&gt;=10)*('CONTROL MASTER'!$AA$2:$AA$495&lt;=2)*('CONTROL MASTER'!$AC$2:$AC$495&gt;=2))*ROW('CONTROL MASTER'!$S$2:$S$495))&gt;0,INDEX('CONTROL MASTER'!$X$2:$X$495,(SUMPRODUCT((('CONTROL MASTER'!$S$2:$S$495=3)*('CONTROL MASTER'!$Z$2:$Z$495&lt;=10)*('CONTROL MASTER'!$AB$2:$AB$495&gt;=10)*('CONTROL MASTER'!$AA$2:$AA$495&lt;=2)*('CONTROL MASTER'!$AC$2:$AC$495&gt;=2))*ROW('CONTROL MASTER'!$S$2:$S$495))-(ROW('CONTROL MASTER'!#REF!)-1)))&amp;TRIM(MID(SUBSTITUTE(SUBSTITUTE(INDEX('CONTROL MASTER'!$N$2:$N$495,(SUMPRODUCT((('CONTROL MASTER'!$S$2:$S$495=3)*('CONTROL MASTER'!$Z$2:$Z$495&lt;=10)*('CONTROL MASTER'!$AB$2:$AB$495&gt;=10)*('CONTROL MASTER'!$AA$2:$AA$495&lt;=2)*('CONTROL MASTER'!$AC$2:$AC$495&gt;=2))*ROW('CONTROL MASTER'!$S$2:$S$495))-(ROW('CONTROL MASTER'!#REF!)-1))),":",","),",",REPT(" ",50)),(((INDEX('CONTROL MASTER'!$Y$2:$Y$495,(SUMPRODUCT((('CONTROL MASTER'!$S$2:$S$495=3)*('CONTROL MASTER'!$Z$2:$Z$495&lt;=10)*('CONTROL MASTER'!$AB$2:$AB$495&gt;=10)*('CONTROL MASTER'!$AA$2:$AA$495&lt;=2)*('CONTROL MASTER'!$AC$2:$AC$495&gt;=2))*ROW('CONTROL MASTER'!$S$2:$S$495))-(ROW('CONTROL MASTER'!#REF!)-1)))+((10-INDEX('CONTROL MASTER'!$Z$2:$Z$495,(SUMPRODUCT((('CONTROL MASTER'!$S$2:$S$495=3)*('CONTROL MASTER'!$Z$2:$Z$495&lt;=10)*('CONTROL MASTER'!$AB$2:$AB$495&gt;=10)*('CONTROL MASTER'!$AA$2:$AA$495&lt;=2)*('CONTROL MASTER'!$AC$2:$AC$495&gt;=2))*ROW('CONTROL MASTER'!$S$2:$S$495))-(ROW('CONTROL MASTER'!#REF!)-1))))*(INDEX('CONTROL MASTER'!$AC$2:$AC$495,(SUMPRODUCT((('CONTROL MASTER'!$S$2:$S$495=3)*('CONTROL MASTER'!$Z$2:$Z$495&lt;=10)*('CONTROL MASTER'!$AB$2:$AB$495&gt;=10)*('CONTROL MASTER'!$AA$2:$AA$495&lt;=2)*('CONTROL MASTER'!$AC$2:$AC$495&gt;=2))*ROW('CONTROL MASTER'!$S$2:$S$495))-(ROW('CONTROL MASTER'!#REF!)-1)))-INDEX('CONTROL MASTER'!$AA$2:$AA$495,(SUMPRODUCT((('CONTROL MASTER'!$S$2:$S$495=3)*('CONTROL MASTER'!$Z$2:$Z$495&lt;=10)*('CONTROL MASTER'!$AB$2:$AB$495&gt;=10)*('CONTROL MASTER'!$AA$2:$AA$495&lt;=2)*('CONTROL MASTER'!$AC$2:$AC$495&gt;=2))*ROW('CONTROL MASTER'!$S$2:$S$495))-(ROW('CONTROL MASTER'!#REF!)-1)))+1)+(2-INDEX('CONTROL MASTER'!$AA$2:$AA$495,(SUMPRODUCT((('CONTROL MASTER'!$S$2:$S$495=3)*('CONTROL MASTER'!$Z$2:$Z$495&lt;=10)*('CONTROL MASTER'!$AB$2:$AB$495&gt;=10)*('CONTROL MASTER'!$AA$2:$AA$495&lt;=2)*('CONTROL MASTER'!$AC$2:$AC$495&gt;=2))*ROW('CONTROL MASTER'!$S$2:$S$495))-(ROW('CONTROL MASTER'!#REF!)-1))))+1)))-1)*50+1,50))&amp;"_"&amp;INDEX('CONTROL MASTER'!$P$2:$P$495,(SUMPRODUCT((('CONTROL MASTER'!$S$2:$S$495=3)*('CONTROL MASTER'!$Z$2:$Z$495&lt;=10)*('CONTROL MASTER'!$AB$2:$AB$495&gt;=10)*('CONTROL MASTER'!$AA$2:$AA$495&lt;=2)*('CONTROL MASTER'!$AC$2:$AC$495&gt;=2))*ROW('CONTROL MASTER'!$S$2:$S$495))-(ROW('CONTROL MASTER'!#REF!)-1))),"")),"")</f>
        <v/>
      </c>
      <c r="D40" s="10" t="str">
        <f>IFERROR(IF(SUMPRODUCT((('CONTROL MASTER'!$S$2:$S$495=3)*('CONTROL MASTER'!$T$2:$T$495&lt;=10)*('CONTROL MASTER'!$V$2:$V$495&gt;=10)*('CONTROL MASTER'!$U$2:$U$495&lt;=3)*('CONTROL MASTER'!$W$2:$W$495&gt;=3))*ROW('CONTROL MASTER'!$S$2:$S$495))&gt;0,INDEX('CONTROL MASTER'!$X$2:$X$495,(SUMPRODUCT((('CONTROL MASTER'!$S$2:$S$495=3)*('CONTROL MASTER'!$T$2:$T$495&lt;=10)*('CONTROL MASTER'!$V$2:$V$495&gt;=10)*('CONTROL MASTER'!$U$2:$U$495&lt;=3)*('CONTROL MASTER'!$W$2:$W$495&gt;=3))*ROW('CONTROL MASTER'!$S$2:$S$495))-(ROW('CONTROL MASTER'!#REF!)-1)))&amp;TRIM(MID(SUBSTITUTE(SUBSTITUTE(INDEX('CONTROL MASTER'!$N$2:$N$495,(SUMPRODUCT((('CONTROL MASTER'!$S$2:$S$495=3)*('CONTROL MASTER'!$T$2:$T$495&lt;=10)*('CONTROL MASTER'!$V$2:$V$495&gt;=10)*('CONTROL MASTER'!$U$2:$U$495&lt;=3)*('CONTROL MASTER'!$W$2:$W$495&gt;=3))*ROW('CONTROL MASTER'!$S$2:$S$495))-(ROW('CONTROL MASTER'!#REF!)-1))),":",","),",",REPT(" ",50)),((((10-INDEX('CONTROL MASTER'!$T$2:$T$495,(SUMPRODUCT((('CONTROL MASTER'!$S$2:$S$495=3)*('CONTROL MASTER'!$T$2:$T$495&lt;=10)*('CONTROL MASTER'!$V$2:$V$495&gt;=10)*('CONTROL MASTER'!$U$2:$U$495&lt;=3)*('CONTROL MASTER'!$W$2:$W$495&gt;=3))*ROW('CONTROL MASTER'!$S$2:$S$495))-(ROW('CONTROL MASTER'!#REF!)-1))))*(INDEX('CONTROL MASTER'!$W$2:$W$495,(SUMPRODUCT((('CONTROL MASTER'!$S$2:$S$495=3)*('CONTROL MASTER'!$T$2:$T$495&lt;=10)*('CONTROL MASTER'!$V$2:$V$495&gt;=10)*('CONTROL MASTER'!$U$2:$U$495&lt;=3)*('CONTROL MASTER'!$W$2:$W$495&gt;=3))*ROW('CONTROL MASTER'!$S$2:$S$495))-(ROW('CONTROL MASTER'!#REF!)-1)))-INDEX('CONTROL MASTER'!$U$2:$U$495,(SUMPRODUCT((('CONTROL MASTER'!$S$2:$S$495=3)*('CONTROL MASTER'!$T$2:$T$495&lt;=10)*('CONTROL MASTER'!$V$2:$V$495&gt;=10)*('CONTROL MASTER'!$U$2:$U$495&lt;=3)*('CONTROL MASTER'!$W$2:$W$495&gt;=3))*ROW('CONTROL MASTER'!$S$2:$S$495))-(ROW('CONTROL MASTER'!#REF!)-1)))+1)+(3-INDEX('CONTROL MASTER'!$U$2:$U$495,(SUMPRODUCT((('CONTROL MASTER'!$S$2:$S$495=3)*('CONTROL MASTER'!$T$2:$T$495&lt;=10)*('CONTROL MASTER'!$V$2:$V$495&gt;=10)*('CONTROL MASTER'!$U$2:$U$495&lt;=3)*('CONTROL MASTER'!$W$2:$W$495&gt;=3))*ROW('CONTROL MASTER'!$S$2:$S$495))-(ROW('CONTROL MASTER'!#REF!)-1))))+1))-1)*50+1,50))&amp;"_"&amp;INDEX('CONTROL MASTER'!$P$2:$P$495,(SUMPRODUCT((('CONTROL MASTER'!$S$2:$S$495=3)*('CONTROL MASTER'!$T$2:$T$495&lt;=10)*('CONTROL MASTER'!$V$2:$V$495&gt;=10)*('CONTROL MASTER'!$U$2:$U$495&lt;=3)*('CONTROL MASTER'!$W$2:$W$495&gt;=3))*ROW('CONTROL MASTER'!$S$2:$S$495))-(ROW('CONTROL MASTER'!#REF!)-1))),IF(SUMPRODUCT((('CONTROL MASTER'!$S$2:$S$495=3)*('CONTROL MASTER'!$Z$2:$Z$495&lt;=10)*('CONTROL MASTER'!$AB$2:$AB$495&gt;=10)*('CONTROL MASTER'!$AA$2:$AA$495&lt;=3)*('CONTROL MASTER'!$AC$2:$AC$495&gt;=3))*ROW('CONTROL MASTER'!$S$2:$S$495))&gt;0,INDEX('CONTROL MASTER'!$X$2:$X$495,(SUMPRODUCT((('CONTROL MASTER'!$S$2:$S$495=3)*('CONTROL MASTER'!$Z$2:$Z$495&lt;=10)*('CONTROL MASTER'!$AB$2:$AB$495&gt;=10)*('CONTROL MASTER'!$AA$2:$AA$495&lt;=3)*('CONTROL MASTER'!$AC$2:$AC$495&gt;=3))*ROW('CONTROL MASTER'!$S$2:$S$495))-(ROW('CONTROL MASTER'!#REF!)-1)))&amp;TRIM(MID(SUBSTITUTE(SUBSTITUTE(INDEX('CONTROL MASTER'!$N$2:$N$495,(SUMPRODUCT((('CONTROL MASTER'!$S$2:$S$495=3)*('CONTROL MASTER'!$Z$2:$Z$495&lt;=10)*('CONTROL MASTER'!$AB$2:$AB$495&gt;=10)*('CONTROL MASTER'!$AA$2:$AA$495&lt;=3)*('CONTROL MASTER'!$AC$2:$AC$495&gt;=3))*ROW('CONTROL MASTER'!$S$2:$S$495))-(ROW('CONTROL MASTER'!#REF!)-1))),":",","),",",REPT(" ",50)),(((INDEX('CONTROL MASTER'!$Y$2:$Y$495,(SUMPRODUCT((('CONTROL MASTER'!$S$2:$S$495=3)*('CONTROL MASTER'!$Z$2:$Z$495&lt;=10)*('CONTROL MASTER'!$AB$2:$AB$495&gt;=10)*('CONTROL MASTER'!$AA$2:$AA$495&lt;=3)*('CONTROL MASTER'!$AC$2:$AC$495&gt;=3))*ROW('CONTROL MASTER'!$S$2:$S$495))-(ROW('CONTROL MASTER'!#REF!)-1)))+((10-INDEX('CONTROL MASTER'!$Z$2:$Z$495,(SUMPRODUCT((('CONTROL MASTER'!$S$2:$S$495=3)*('CONTROL MASTER'!$Z$2:$Z$495&lt;=10)*('CONTROL MASTER'!$AB$2:$AB$495&gt;=10)*('CONTROL MASTER'!$AA$2:$AA$495&lt;=3)*('CONTROL MASTER'!$AC$2:$AC$495&gt;=3))*ROW('CONTROL MASTER'!$S$2:$S$495))-(ROW('CONTROL MASTER'!#REF!)-1))))*(INDEX('CONTROL MASTER'!$AC$2:$AC$495,(SUMPRODUCT((('CONTROL MASTER'!$S$2:$S$495=3)*('CONTROL MASTER'!$Z$2:$Z$495&lt;=10)*('CONTROL MASTER'!$AB$2:$AB$495&gt;=10)*('CONTROL MASTER'!$AA$2:$AA$495&lt;=3)*('CONTROL MASTER'!$AC$2:$AC$495&gt;=3))*ROW('CONTROL MASTER'!$S$2:$S$495))-(ROW('CONTROL MASTER'!#REF!)-1)))-INDEX('CONTROL MASTER'!$AA$2:$AA$495,(SUMPRODUCT((('CONTROL MASTER'!$S$2:$S$495=3)*('CONTROL MASTER'!$Z$2:$Z$495&lt;=10)*('CONTROL MASTER'!$AB$2:$AB$495&gt;=10)*('CONTROL MASTER'!$AA$2:$AA$495&lt;=3)*('CONTROL MASTER'!$AC$2:$AC$495&gt;=3))*ROW('CONTROL MASTER'!$S$2:$S$495))-(ROW('CONTROL MASTER'!#REF!)-1)))+1)+(3-INDEX('CONTROL MASTER'!$AA$2:$AA$495,(SUMPRODUCT((('CONTROL MASTER'!$S$2:$S$495=3)*('CONTROL MASTER'!$Z$2:$Z$495&lt;=10)*('CONTROL MASTER'!$AB$2:$AB$495&gt;=10)*('CONTROL MASTER'!$AA$2:$AA$495&lt;=3)*('CONTROL MASTER'!$AC$2:$AC$495&gt;=3))*ROW('CONTROL MASTER'!$S$2:$S$495))-(ROW('CONTROL MASTER'!#REF!)-1))))+1)))-1)*50+1,50))&amp;"_"&amp;INDEX('CONTROL MASTER'!$P$2:$P$495,(SUMPRODUCT((('CONTROL MASTER'!$S$2:$S$495=3)*('CONTROL MASTER'!$Z$2:$Z$495&lt;=10)*('CONTROL MASTER'!$AB$2:$AB$495&gt;=10)*('CONTROL MASTER'!$AA$2:$AA$495&lt;=3)*('CONTROL MASTER'!$AC$2:$AC$495&gt;=3))*ROW('CONTROL MASTER'!$S$2:$S$495))-(ROW('CONTROL MASTER'!#REF!)-1))),"")),"")</f>
        <v/>
      </c>
      <c r="E40" s="10" t="str">
        <f>IFERROR(IF(SUMPRODUCT((('CONTROL MASTER'!$S$2:$S$495=3)*('CONTROL MASTER'!$T$2:$T$495&lt;=10)*('CONTROL MASTER'!$V$2:$V$495&gt;=10)*('CONTROL MASTER'!$U$2:$U$495&lt;=4)*('CONTROL MASTER'!$W$2:$W$495&gt;=4))*ROW('CONTROL MASTER'!$S$2:$S$495))&gt;0,INDEX('CONTROL MASTER'!$X$2:$X$495,(SUMPRODUCT((('CONTROL MASTER'!$S$2:$S$495=3)*('CONTROL MASTER'!$T$2:$T$495&lt;=10)*('CONTROL MASTER'!$V$2:$V$495&gt;=10)*('CONTROL MASTER'!$U$2:$U$495&lt;=4)*('CONTROL MASTER'!$W$2:$W$495&gt;=4))*ROW('CONTROL MASTER'!$S$2:$S$495))-(ROW('CONTROL MASTER'!#REF!)-1)))&amp;TRIM(MID(SUBSTITUTE(SUBSTITUTE(INDEX('CONTROL MASTER'!$N$2:$N$495,(SUMPRODUCT((('CONTROL MASTER'!$S$2:$S$495=3)*('CONTROL MASTER'!$T$2:$T$495&lt;=10)*('CONTROL MASTER'!$V$2:$V$495&gt;=10)*('CONTROL MASTER'!$U$2:$U$495&lt;=4)*('CONTROL MASTER'!$W$2:$W$495&gt;=4))*ROW('CONTROL MASTER'!$S$2:$S$495))-(ROW('CONTROL MASTER'!#REF!)-1))),":",","),",",REPT(" ",50)),((((10-INDEX('CONTROL MASTER'!$T$2:$T$495,(SUMPRODUCT((('CONTROL MASTER'!$S$2:$S$495=3)*('CONTROL MASTER'!$T$2:$T$495&lt;=10)*('CONTROL MASTER'!$V$2:$V$495&gt;=10)*('CONTROL MASTER'!$U$2:$U$495&lt;=4)*('CONTROL MASTER'!$W$2:$W$495&gt;=4))*ROW('CONTROL MASTER'!$S$2:$S$495))-(ROW('CONTROL MASTER'!#REF!)-1))))*(INDEX('CONTROL MASTER'!$W$2:$W$495,(SUMPRODUCT((('CONTROL MASTER'!$S$2:$S$495=3)*('CONTROL MASTER'!$T$2:$T$495&lt;=10)*('CONTROL MASTER'!$V$2:$V$495&gt;=10)*('CONTROL MASTER'!$U$2:$U$495&lt;=4)*('CONTROL MASTER'!$W$2:$W$495&gt;=4))*ROW('CONTROL MASTER'!$S$2:$S$495))-(ROW('CONTROL MASTER'!#REF!)-1)))-INDEX('CONTROL MASTER'!$U$2:$U$495,(SUMPRODUCT((('CONTROL MASTER'!$S$2:$S$495=3)*('CONTROL MASTER'!$T$2:$T$495&lt;=10)*('CONTROL MASTER'!$V$2:$V$495&gt;=10)*('CONTROL MASTER'!$U$2:$U$495&lt;=4)*('CONTROL MASTER'!$W$2:$W$495&gt;=4))*ROW('CONTROL MASTER'!$S$2:$S$495))-(ROW('CONTROL MASTER'!#REF!)-1)))+1)+(4-INDEX('CONTROL MASTER'!$U$2:$U$495,(SUMPRODUCT((('CONTROL MASTER'!$S$2:$S$495=3)*('CONTROL MASTER'!$T$2:$T$495&lt;=10)*('CONTROL MASTER'!$V$2:$V$495&gt;=10)*('CONTROL MASTER'!$U$2:$U$495&lt;=4)*('CONTROL MASTER'!$W$2:$W$495&gt;=4))*ROW('CONTROL MASTER'!$S$2:$S$495))-(ROW('CONTROL MASTER'!#REF!)-1))))+1))-1)*50+1,50))&amp;"_"&amp;INDEX('CONTROL MASTER'!$P$2:$P$495,(SUMPRODUCT((('CONTROL MASTER'!$S$2:$S$495=3)*('CONTROL MASTER'!$T$2:$T$495&lt;=10)*('CONTROL MASTER'!$V$2:$V$495&gt;=10)*('CONTROL MASTER'!$U$2:$U$495&lt;=4)*('CONTROL MASTER'!$W$2:$W$495&gt;=4))*ROW('CONTROL MASTER'!$S$2:$S$495))-(ROW('CONTROL MASTER'!#REF!)-1))),IF(SUMPRODUCT((('CONTROL MASTER'!$S$2:$S$495=3)*('CONTROL MASTER'!$Z$2:$Z$495&lt;=10)*('CONTROL MASTER'!$AB$2:$AB$495&gt;=10)*('CONTROL MASTER'!$AA$2:$AA$495&lt;=4)*('CONTROL MASTER'!$AC$2:$AC$495&gt;=4))*ROW('CONTROL MASTER'!$S$2:$S$495))&gt;0,INDEX('CONTROL MASTER'!$X$2:$X$495,(SUMPRODUCT((('CONTROL MASTER'!$S$2:$S$495=3)*('CONTROL MASTER'!$Z$2:$Z$495&lt;=10)*('CONTROL MASTER'!$AB$2:$AB$495&gt;=10)*('CONTROL MASTER'!$AA$2:$AA$495&lt;=4)*('CONTROL MASTER'!$AC$2:$AC$495&gt;=4))*ROW('CONTROL MASTER'!$S$2:$S$495))-(ROW('CONTROL MASTER'!#REF!)-1)))&amp;TRIM(MID(SUBSTITUTE(SUBSTITUTE(INDEX('CONTROL MASTER'!$N$2:$N$495,(SUMPRODUCT((('CONTROL MASTER'!$S$2:$S$495=3)*('CONTROL MASTER'!$Z$2:$Z$495&lt;=10)*('CONTROL MASTER'!$AB$2:$AB$495&gt;=10)*('CONTROL MASTER'!$AA$2:$AA$495&lt;=4)*('CONTROL MASTER'!$AC$2:$AC$495&gt;=4))*ROW('CONTROL MASTER'!$S$2:$S$495))-(ROW('CONTROL MASTER'!#REF!)-1))),":",","),",",REPT(" ",50)),(((INDEX('CONTROL MASTER'!$Y$2:$Y$495,(SUMPRODUCT((('CONTROL MASTER'!$S$2:$S$495=3)*('CONTROL MASTER'!$Z$2:$Z$495&lt;=10)*('CONTROL MASTER'!$AB$2:$AB$495&gt;=10)*('CONTROL MASTER'!$AA$2:$AA$495&lt;=4)*('CONTROL MASTER'!$AC$2:$AC$495&gt;=4))*ROW('CONTROL MASTER'!$S$2:$S$495))-(ROW('CONTROL MASTER'!#REF!)-1)))+((10-INDEX('CONTROL MASTER'!$Z$2:$Z$495,(SUMPRODUCT((('CONTROL MASTER'!$S$2:$S$495=3)*('CONTROL MASTER'!$Z$2:$Z$495&lt;=10)*('CONTROL MASTER'!$AB$2:$AB$495&gt;=10)*('CONTROL MASTER'!$AA$2:$AA$495&lt;=4)*('CONTROL MASTER'!$AC$2:$AC$495&gt;=4))*ROW('CONTROL MASTER'!$S$2:$S$495))-(ROW('CONTROL MASTER'!#REF!)-1))))*(INDEX('CONTROL MASTER'!$AC$2:$AC$495,(SUMPRODUCT((('CONTROL MASTER'!$S$2:$S$495=3)*('CONTROL MASTER'!$Z$2:$Z$495&lt;=10)*('CONTROL MASTER'!$AB$2:$AB$495&gt;=10)*('CONTROL MASTER'!$AA$2:$AA$495&lt;=4)*('CONTROL MASTER'!$AC$2:$AC$495&gt;=4))*ROW('CONTROL MASTER'!$S$2:$S$495))-(ROW('CONTROL MASTER'!#REF!)-1)))-INDEX('CONTROL MASTER'!$AA$2:$AA$495,(SUMPRODUCT((('CONTROL MASTER'!$S$2:$S$495=3)*('CONTROL MASTER'!$Z$2:$Z$495&lt;=10)*('CONTROL MASTER'!$AB$2:$AB$495&gt;=10)*('CONTROL MASTER'!$AA$2:$AA$495&lt;=4)*('CONTROL MASTER'!$AC$2:$AC$495&gt;=4))*ROW('CONTROL MASTER'!$S$2:$S$495))-(ROW('CONTROL MASTER'!#REF!)-1)))+1)+(4-INDEX('CONTROL MASTER'!$AA$2:$AA$495,(SUMPRODUCT((('CONTROL MASTER'!$S$2:$S$495=3)*('CONTROL MASTER'!$Z$2:$Z$495&lt;=10)*('CONTROL MASTER'!$AB$2:$AB$495&gt;=10)*('CONTROL MASTER'!$AA$2:$AA$495&lt;=4)*('CONTROL MASTER'!$AC$2:$AC$495&gt;=4))*ROW('CONTROL MASTER'!$S$2:$S$495))-(ROW('CONTROL MASTER'!#REF!)-1))))+1)))-1)*50+1,50))&amp;"_"&amp;INDEX('CONTROL MASTER'!$P$2:$P$495,(SUMPRODUCT((('CONTROL MASTER'!$S$2:$S$495=3)*('CONTROL MASTER'!$Z$2:$Z$495&lt;=10)*('CONTROL MASTER'!$AB$2:$AB$495&gt;=10)*('CONTROL MASTER'!$AA$2:$AA$495&lt;=4)*('CONTROL MASTER'!$AC$2:$AC$495&gt;=4))*ROW('CONTROL MASTER'!$S$2:$S$495))-(ROW('CONTROL MASTER'!#REF!)-1))),"")),"")</f>
        <v/>
      </c>
      <c r="F40" s="10" t="str">
        <f>IFERROR(IF(SUMPRODUCT((('CONTROL MASTER'!$S$2:$S$495=3)*('CONTROL MASTER'!$T$2:$T$495&lt;=10)*('CONTROL MASTER'!$V$2:$V$495&gt;=10)*('CONTROL MASTER'!$U$2:$U$495&lt;=5)*('CONTROL MASTER'!$W$2:$W$495&gt;=5))*ROW('CONTROL MASTER'!$S$2:$S$495))&gt;0,INDEX('CONTROL MASTER'!$X$2:$X$495,(SUMPRODUCT((('CONTROL MASTER'!$S$2:$S$495=3)*('CONTROL MASTER'!$T$2:$T$495&lt;=10)*('CONTROL MASTER'!$V$2:$V$495&gt;=10)*('CONTROL MASTER'!$U$2:$U$495&lt;=5)*('CONTROL MASTER'!$W$2:$W$495&gt;=5))*ROW('CONTROL MASTER'!$S$2:$S$495))-(ROW('CONTROL MASTER'!#REF!)-1)))&amp;TRIM(MID(SUBSTITUTE(SUBSTITUTE(INDEX('CONTROL MASTER'!$N$2:$N$495,(SUMPRODUCT((('CONTROL MASTER'!$S$2:$S$495=3)*('CONTROL MASTER'!$T$2:$T$495&lt;=10)*('CONTROL MASTER'!$V$2:$V$495&gt;=10)*('CONTROL MASTER'!$U$2:$U$495&lt;=5)*('CONTROL MASTER'!$W$2:$W$495&gt;=5))*ROW('CONTROL MASTER'!$S$2:$S$495))-(ROW('CONTROL MASTER'!#REF!)-1))),":",","),",",REPT(" ",50)),((((10-INDEX('CONTROL MASTER'!$T$2:$T$495,(SUMPRODUCT((('CONTROL MASTER'!$S$2:$S$495=3)*('CONTROL MASTER'!$T$2:$T$495&lt;=10)*('CONTROL MASTER'!$V$2:$V$495&gt;=10)*('CONTROL MASTER'!$U$2:$U$495&lt;=5)*('CONTROL MASTER'!$W$2:$W$495&gt;=5))*ROW('CONTROL MASTER'!$S$2:$S$495))-(ROW('CONTROL MASTER'!#REF!)-1))))*(INDEX('CONTROL MASTER'!$W$2:$W$495,(SUMPRODUCT((('CONTROL MASTER'!$S$2:$S$495=3)*('CONTROL MASTER'!$T$2:$T$495&lt;=10)*('CONTROL MASTER'!$V$2:$V$495&gt;=10)*('CONTROL MASTER'!$U$2:$U$495&lt;=5)*('CONTROL MASTER'!$W$2:$W$495&gt;=5))*ROW('CONTROL MASTER'!$S$2:$S$495))-(ROW('CONTROL MASTER'!#REF!)-1)))-INDEX('CONTROL MASTER'!$U$2:$U$495,(SUMPRODUCT((('CONTROL MASTER'!$S$2:$S$495=3)*('CONTROL MASTER'!$T$2:$T$495&lt;=10)*('CONTROL MASTER'!$V$2:$V$495&gt;=10)*('CONTROL MASTER'!$U$2:$U$495&lt;=5)*('CONTROL MASTER'!$W$2:$W$495&gt;=5))*ROW('CONTROL MASTER'!$S$2:$S$495))-(ROW('CONTROL MASTER'!#REF!)-1)))+1)+(5-INDEX('CONTROL MASTER'!$U$2:$U$495,(SUMPRODUCT((('CONTROL MASTER'!$S$2:$S$495=3)*('CONTROL MASTER'!$T$2:$T$495&lt;=10)*('CONTROL MASTER'!$V$2:$V$495&gt;=10)*('CONTROL MASTER'!$U$2:$U$495&lt;=5)*('CONTROL MASTER'!$W$2:$W$495&gt;=5))*ROW('CONTROL MASTER'!$S$2:$S$495))-(ROW('CONTROL MASTER'!#REF!)-1))))+1))-1)*50+1,50))&amp;"_"&amp;INDEX('CONTROL MASTER'!$P$2:$P$495,(SUMPRODUCT((('CONTROL MASTER'!$S$2:$S$495=3)*('CONTROL MASTER'!$T$2:$T$495&lt;=10)*('CONTROL MASTER'!$V$2:$V$495&gt;=10)*('CONTROL MASTER'!$U$2:$U$495&lt;=5)*('CONTROL MASTER'!$W$2:$W$495&gt;=5))*ROW('CONTROL MASTER'!$S$2:$S$495))-(ROW('CONTROL MASTER'!#REF!)-1))),IF(SUMPRODUCT((('CONTROL MASTER'!$S$2:$S$495=3)*('CONTROL MASTER'!$Z$2:$Z$495&lt;=10)*('CONTROL MASTER'!$AB$2:$AB$495&gt;=10)*('CONTROL MASTER'!$AA$2:$AA$495&lt;=5)*('CONTROL MASTER'!$AC$2:$AC$495&gt;=5))*ROW('CONTROL MASTER'!$S$2:$S$495))&gt;0,INDEX('CONTROL MASTER'!$X$2:$X$495,(SUMPRODUCT((('CONTROL MASTER'!$S$2:$S$495=3)*('CONTROL MASTER'!$Z$2:$Z$495&lt;=10)*('CONTROL MASTER'!$AB$2:$AB$495&gt;=10)*('CONTROL MASTER'!$AA$2:$AA$495&lt;=5)*('CONTROL MASTER'!$AC$2:$AC$495&gt;=5))*ROW('CONTROL MASTER'!$S$2:$S$495))-(ROW('CONTROL MASTER'!#REF!)-1)))&amp;TRIM(MID(SUBSTITUTE(SUBSTITUTE(INDEX('CONTROL MASTER'!$N$2:$N$495,(SUMPRODUCT((('CONTROL MASTER'!$S$2:$S$495=3)*('CONTROL MASTER'!$Z$2:$Z$495&lt;=10)*('CONTROL MASTER'!$AB$2:$AB$495&gt;=10)*('CONTROL MASTER'!$AA$2:$AA$495&lt;=5)*('CONTROL MASTER'!$AC$2:$AC$495&gt;=5))*ROW('CONTROL MASTER'!$S$2:$S$495))-(ROW('CONTROL MASTER'!#REF!)-1))),":",","),",",REPT(" ",50)),(((INDEX('CONTROL MASTER'!$Y$2:$Y$495,(SUMPRODUCT((('CONTROL MASTER'!$S$2:$S$495=3)*('CONTROL MASTER'!$Z$2:$Z$495&lt;=10)*('CONTROL MASTER'!$AB$2:$AB$495&gt;=10)*('CONTROL MASTER'!$AA$2:$AA$495&lt;=5)*('CONTROL MASTER'!$AC$2:$AC$495&gt;=5))*ROW('CONTROL MASTER'!$S$2:$S$495))-(ROW('CONTROL MASTER'!#REF!)-1)))+((10-INDEX('CONTROL MASTER'!$Z$2:$Z$495,(SUMPRODUCT((('CONTROL MASTER'!$S$2:$S$495=3)*('CONTROL MASTER'!$Z$2:$Z$495&lt;=10)*('CONTROL MASTER'!$AB$2:$AB$495&gt;=10)*('CONTROL MASTER'!$AA$2:$AA$495&lt;=5)*('CONTROL MASTER'!$AC$2:$AC$495&gt;=5))*ROW('CONTROL MASTER'!$S$2:$S$495))-(ROW('CONTROL MASTER'!#REF!)-1))))*(INDEX('CONTROL MASTER'!$AC$2:$AC$495,(SUMPRODUCT((('CONTROL MASTER'!$S$2:$S$495=3)*('CONTROL MASTER'!$Z$2:$Z$495&lt;=10)*('CONTROL MASTER'!$AB$2:$AB$495&gt;=10)*('CONTROL MASTER'!$AA$2:$AA$495&lt;=5)*('CONTROL MASTER'!$AC$2:$AC$495&gt;=5))*ROW('CONTROL MASTER'!$S$2:$S$495))-(ROW('CONTROL MASTER'!#REF!)-1)))-INDEX('CONTROL MASTER'!$AA$2:$AA$495,(SUMPRODUCT((('CONTROL MASTER'!$S$2:$S$495=3)*('CONTROL MASTER'!$Z$2:$Z$495&lt;=10)*('CONTROL MASTER'!$AB$2:$AB$495&gt;=10)*('CONTROL MASTER'!$AA$2:$AA$495&lt;=5)*('CONTROL MASTER'!$AC$2:$AC$495&gt;=5))*ROW('CONTROL MASTER'!$S$2:$S$495))-(ROW('CONTROL MASTER'!#REF!)-1)))+1)+(5-INDEX('CONTROL MASTER'!$AA$2:$AA$495,(SUMPRODUCT((('CONTROL MASTER'!$S$2:$S$495=3)*('CONTROL MASTER'!$Z$2:$Z$495&lt;=10)*('CONTROL MASTER'!$AB$2:$AB$495&gt;=10)*('CONTROL MASTER'!$AA$2:$AA$495&lt;=5)*('CONTROL MASTER'!$AC$2:$AC$495&gt;=5))*ROW('CONTROL MASTER'!$S$2:$S$495))-(ROW('CONTROL MASTER'!#REF!)-1))))+1)))-1)*50+1,50))&amp;"_"&amp;INDEX('CONTROL MASTER'!$P$2:$P$495,(SUMPRODUCT((('CONTROL MASTER'!$S$2:$S$495=3)*('CONTROL MASTER'!$Z$2:$Z$495&lt;=10)*('CONTROL MASTER'!$AB$2:$AB$495&gt;=10)*('CONTROL MASTER'!$AA$2:$AA$495&lt;=5)*('CONTROL MASTER'!$AC$2:$AC$495&gt;=5))*ROW('CONTROL MASTER'!$S$2:$S$495))-(ROW('CONTROL MASTER'!#REF!)-1))),"")),"")</f>
        <v/>
      </c>
      <c r="G40" s="10" t="str">
        <f>IFERROR(IF(SUMPRODUCT((('CONTROL MASTER'!$S$2:$S$495=3)*('CONTROL MASTER'!$T$2:$T$495&lt;=10)*('CONTROL MASTER'!$V$2:$V$495&gt;=10)*('CONTROL MASTER'!$U$2:$U$495&lt;=6)*('CONTROL MASTER'!$W$2:$W$495&gt;=6))*ROW('CONTROL MASTER'!$S$2:$S$495))&gt;0,INDEX('CONTROL MASTER'!$X$2:$X$495,(SUMPRODUCT((('CONTROL MASTER'!$S$2:$S$495=3)*('CONTROL MASTER'!$T$2:$T$495&lt;=10)*('CONTROL MASTER'!$V$2:$V$495&gt;=10)*('CONTROL MASTER'!$U$2:$U$495&lt;=6)*('CONTROL MASTER'!$W$2:$W$495&gt;=6))*ROW('CONTROL MASTER'!$S$2:$S$495))-(ROW('CONTROL MASTER'!#REF!)-1)))&amp;TRIM(MID(SUBSTITUTE(SUBSTITUTE(INDEX('CONTROL MASTER'!$N$2:$N$495,(SUMPRODUCT((('CONTROL MASTER'!$S$2:$S$495=3)*('CONTROL MASTER'!$T$2:$T$495&lt;=10)*('CONTROL MASTER'!$V$2:$V$495&gt;=10)*('CONTROL MASTER'!$U$2:$U$495&lt;=6)*('CONTROL MASTER'!$W$2:$W$495&gt;=6))*ROW('CONTROL MASTER'!$S$2:$S$495))-(ROW('CONTROL MASTER'!#REF!)-1))),":",","),",",REPT(" ",50)),((((10-INDEX('CONTROL MASTER'!$T$2:$T$495,(SUMPRODUCT((('CONTROL MASTER'!$S$2:$S$495=3)*('CONTROL MASTER'!$T$2:$T$495&lt;=10)*('CONTROL MASTER'!$V$2:$V$495&gt;=10)*('CONTROL MASTER'!$U$2:$U$495&lt;=6)*('CONTROL MASTER'!$W$2:$W$495&gt;=6))*ROW('CONTROL MASTER'!$S$2:$S$495))-(ROW('CONTROL MASTER'!#REF!)-1))))*(INDEX('CONTROL MASTER'!$W$2:$W$495,(SUMPRODUCT((('CONTROL MASTER'!$S$2:$S$495=3)*('CONTROL MASTER'!$T$2:$T$495&lt;=10)*('CONTROL MASTER'!$V$2:$V$495&gt;=10)*('CONTROL MASTER'!$U$2:$U$495&lt;=6)*('CONTROL MASTER'!$W$2:$W$495&gt;=6))*ROW('CONTROL MASTER'!$S$2:$S$495))-(ROW('CONTROL MASTER'!#REF!)-1)))-INDEX('CONTROL MASTER'!$U$2:$U$495,(SUMPRODUCT((('CONTROL MASTER'!$S$2:$S$495=3)*('CONTROL MASTER'!$T$2:$T$495&lt;=10)*('CONTROL MASTER'!$V$2:$V$495&gt;=10)*('CONTROL MASTER'!$U$2:$U$495&lt;=6)*('CONTROL MASTER'!$W$2:$W$495&gt;=6))*ROW('CONTROL MASTER'!$S$2:$S$495))-(ROW('CONTROL MASTER'!#REF!)-1)))+1)+(6-INDEX('CONTROL MASTER'!$U$2:$U$495,(SUMPRODUCT((('CONTROL MASTER'!$S$2:$S$495=3)*('CONTROL MASTER'!$T$2:$T$495&lt;=10)*('CONTROL MASTER'!$V$2:$V$495&gt;=10)*('CONTROL MASTER'!$U$2:$U$495&lt;=6)*('CONTROL MASTER'!$W$2:$W$495&gt;=6))*ROW('CONTROL MASTER'!$S$2:$S$495))-(ROW('CONTROL MASTER'!#REF!)-1))))+1))-1)*50+1,50))&amp;"_"&amp;INDEX('CONTROL MASTER'!$P$2:$P$495,(SUMPRODUCT((('CONTROL MASTER'!$S$2:$S$495=3)*('CONTROL MASTER'!$T$2:$T$495&lt;=10)*('CONTROL MASTER'!$V$2:$V$495&gt;=10)*('CONTROL MASTER'!$U$2:$U$495&lt;=6)*('CONTROL MASTER'!$W$2:$W$495&gt;=6))*ROW('CONTROL MASTER'!$S$2:$S$495))-(ROW('CONTROL MASTER'!#REF!)-1))),IF(SUMPRODUCT((('CONTROL MASTER'!$S$2:$S$495=3)*('CONTROL MASTER'!$Z$2:$Z$495&lt;=10)*('CONTROL MASTER'!$AB$2:$AB$495&gt;=10)*('CONTROL MASTER'!$AA$2:$AA$495&lt;=6)*('CONTROL MASTER'!$AC$2:$AC$495&gt;=6))*ROW('CONTROL MASTER'!$S$2:$S$495))&gt;0,INDEX('CONTROL MASTER'!$X$2:$X$495,(SUMPRODUCT((('CONTROL MASTER'!$S$2:$S$495=3)*('CONTROL MASTER'!$Z$2:$Z$495&lt;=10)*('CONTROL MASTER'!$AB$2:$AB$495&gt;=10)*('CONTROL MASTER'!$AA$2:$AA$495&lt;=6)*('CONTROL MASTER'!$AC$2:$AC$495&gt;=6))*ROW('CONTROL MASTER'!$S$2:$S$495))-(ROW('CONTROL MASTER'!#REF!)-1)))&amp;TRIM(MID(SUBSTITUTE(SUBSTITUTE(INDEX('CONTROL MASTER'!$N$2:$N$495,(SUMPRODUCT((('CONTROL MASTER'!$S$2:$S$495=3)*('CONTROL MASTER'!$Z$2:$Z$495&lt;=10)*('CONTROL MASTER'!$AB$2:$AB$495&gt;=10)*('CONTROL MASTER'!$AA$2:$AA$495&lt;=6)*('CONTROL MASTER'!$AC$2:$AC$495&gt;=6))*ROW('CONTROL MASTER'!$S$2:$S$495))-(ROW('CONTROL MASTER'!#REF!)-1))),":",","),",",REPT(" ",50)),(((INDEX('CONTROL MASTER'!$Y$2:$Y$495,(SUMPRODUCT((('CONTROL MASTER'!$S$2:$S$495=3)*('CONTROL MASTER'!$Z$2:$Z$495&lt;=10)*('CONTROL MASTER'!$AB$2:$AB$495&gt;=10)*('CONTROL MASTER'!$AA$2:$AA$495&lt;=6)*('CONTROL MASTER'!$AC$2:$AC$495&gt;=6))*ROW('CONTROL MASTER'!$S$2:$S$495))-(ROW('CONTROL MASTER'!#REF!)-1)))+((10-INDEX('CONTROL MASTER'!$Z$2:$Z$495,(SUMPRODUCT((('CONTROL MASTER'!$S$2:$S$495=3)*('CONTROL MASTER'!$Z$2:$Z$495&lt;=10)*('CONTROL MASTER'!$AB$2:$AB$495&gt;=10)*('CONTROL MASTER'!$AA$2:$AA$495&lt;=6)*('CONTROL MASTER'!$AC$2:$AC$495&gt;=6))*ROW('CONTROL MASTER'!$S$2:$S$495))-(ROW('CONTROL MASTER'!#REF!)-1))))*(INDEX('CONTROL MASTER'!$AC$2:$AC$495,(SUMPRODUCT((('CONTROL MASTER'!$S$2:$S$495=3)*('CONTROL MASTER'!$Z$2:$Z$495&lt;=10)*('CONTROL MASTER'!$AB$2:$AB$495&gt;=10)*('CONTROL MASTER'!$AA$2:$AA$495&lt;=6)*('CONTROL MASTER'!$AC$2:$AC$495&gt;=6))*ROW('CONTROL MASTER'!$S$2:$S$495))-(ROW('CONTROL MASTER'!#REF!)-1)))-INDEX('CONTROL MASTER'!$AA$2:$AA$495,(SUMPRODUCT((('CONTROL MASTER'!$S$2:$S$495=3)*('CONTROL MASTER'!$Z$2:$Z$495&lt;=10)*('CONTROL MASTER'!$AB$2:$AB$495&gt;=10)*('CONTROL MASTER'!$AA$2:$AA$495&lt;=6)*('CONTROL MASTER'!$AC$2:$AC$495&gt;=6))*ROW('CONTROL MASTER'!$S$2:$S$495))-(ROW('CONTROL MASTER'!#REF!)-1)))+1)+(6-INDEX('CONTROL MASTER'!$AA$2:$AA$495,(SUMPRODUCT((('CONTROL MASTER'!$S$2:$S$495=3)*('CONTROL MASTER'!$Z$2:$Z$495&lt;=10)*('CONTROL MASTER'!$AB$2:$AB$495&gt;=10)*('CONTROL MASTER'!$AA$2:$AA$495&lt;=6)*('CONTROL MASTER'!$AC$2:$AC$495&gt;=6))*ROW('CONTROL MASTER'!$S$2:$S$495))-(ROW('CONTROL MASTER'!#REF!)-1))))+1)))-1)*50+1,50))&amp;"_"&amp;INDEX('CONTROL MASTER'!$P$2:$P$495,(SUMPRODUCT((('CONTROL MASTER'!$S$2:$S$495=3)*('CONTROL MASTER'!$Z$2:$Z$495&lt;=10)*('CONTROL MASTER'!$AB$2:$AB$495&gt;=10)*('CONTROL MASTER'!$AA$2:$AA$495&lt;=6)*('CONTROL MASTER'!$AC$2:$AC$495&gt;=6))*ROW('CONTROL MASTER'!$S$2:$S$495))-(ROW('CONTROL MASTER'!#REF!)-1))),"")),"")</f>
        <v/>
      </c>
      <c r="H40" s="10" t="str">
        <f>IFERROR(IF(SUMPRODUCT((('CONTROL MASTER'!$S$2:$S$495=3)*('CONTROL MASTER'!$T$2:$T$495&lt;=10)*('CONTROL MASTER'!$V$2:$V$495&gt;=10)*('CONTROL MASTER'!$U$2:$U$495&lt;=7)*('CONTROL MASTER'!$W$2:$W$495&gt;=7))*ROW('CONTROL MASTER'!$S$2:$S$495))&gt;0,INDEX('CONTROL MASTER'!$X$2:$X$495,(SUMPRODUCT((('CONTROL MASTER'!$S$2:$S$495=3)*('CONTROL MASTER'!$T$2:$T$495&lt;=10)*('CONTROL MASTER'!$V$2:$V$495&gt;=10)*('CONTROL MASTER'!$U$2:$U$495&lt;=7)*('CONTROL MASTER'!$W$2:$W$495&gt;=7))*ROW('CONTROL MASTER'!$S$2:$S$495))-(ROW('CONTROL MASTER'!#REF!)-1)))&amp;TRIM(MID(SUBSTITUTE(SUBSTITUTE(INDEX('CONTROL MASTER'!$N$2:$N$495,(SUMPRODUCT((('CONTROL MASTER'!$S$2:$S$495=3)*('CONTROL MASTER'!$T$2:$T$495&lt;=10)*('CONTROL MASTER'!$V$2:$V$495&gt;=10)*('CONTROL MASTER'!$U$2:$U$495&lt;=7)*('CONTROL MASTER'!$W$2:$W$495&gt;=7))*ROW('CONTROL MASTER'!$S$2:$S$495))-(ROW('CONTROL MASTER'!#REF!)-1))),":",","),",",REPT(" ",50)),((((10-INDEX('CONTROL MASTER'!$T$2:$T$495,(SUMPRODUCT((('CONTROL MASTER'!$S$2:$S$495=3)*('CONTROL MASTER'!$T$2:$T$495&lt;=10)*('CONTROL MASTER'!$V$2:$V$495&gt;=10)*('CONTROL MASTER'!$U$2:$U$495&lt;=7)*('CONTROL MASTER'!$W$2:$W$495&gt;=7))*ROW('CONTROL MASTER'!$S$2:$S$495))-(ROW('CONTROL MASTER'!#REF!)-1))))*(INDEX('CONTROL MASTER'!$W$2:$W$495,(SUMPRODUCT((('CONTROL MASTER'!$S$2:$S$495=3)*('CONTROL MASTER'!$T$2:$T$495&lt;=10)*('CONTROL MASTER'!$V$2:$V$495&gt;=10)*('CONTROL MASTER'!$U$2:$U$495&lt;=7)*('CONTROL MASTER'!$W$2:$W$495&gt;=7))*ROW('CONTROL MASTER'!$S$2:$S$495))-(ROW('CONTROL MASTER'!#REF!)-1)))-INDEX('CONTROL MASTER'!$U$2:$U$495,(SUMPRODUCT((('CONTROL MASTER'!$S$2:$S$495=3)*('CONTROL MASTER'!$T$2:$T$495&lt;=10)*('CONTROL MASTER'!$V$2:$V$495&gt;=10)*('CONTROL MASTER'!$U$2:$U$495&lt;=7)*('CONTROL MASTER'!$W$2:$W$495&gt;=7))*ROW('CONTROL MASTER'!$S$2:$S$495))-(ROW('CONTROL MASTER'!#REF!)-1)))+1)+(7-INDEX('CONTROL MASTER'!$U$2:$U$495,(SUMPRODUCT((('CONTROL MASTER'!$S$2:$S$495=3)*('CONTROL MASTER'!$T$2:$T$495&lt;=10)*('CONTROL MASTER'!$V$2:$V$495&gt;=10)*('CONTROL MASTER'!$U$2:$U$495&lt;=7)*('CONTROL MASTER'!$W$2:$W$495&gt;=7))*ROW('CONTROL MASTER'!$S$2:$S$495))-(ROW('CONTROL MASTER'!#REF!)-1))))+1))-1)*50+1,50))&amp;"_"&amp;INDEX('CONTROL MASTER'!$P$2:$P$495,(SUMPRODUCT((('CONTROL MASTER'!$S$2:$S$495=3)*('CONTROL MASTER'!$T$2:$T$495&lt;=10)*('CONTROL MASTER'!$V$2:$V$495&gt;=10)*('CONTROL MASTER'!$U$2:$U$495&lt;=7)*('CONTROL MASTER'!$W$2:$W$495&gt;=7))*ROW('CONTROL MASTER'!$S$2:$S$495))-(ROW('CONTROL MASTER'!#REF!)-1))),IF(SUMPRODUCT((('CONTROL MASTER'!$S$2:$S$495=3)*('CONTROL MASTER'!$Z$2:$Z$495&lt;=10)*('CONTROL MASTER'!$AB$2:$AB$495&gt;=10)*('CONTROL MASTER'!$AA$2:$AA$495&lt;=7)*('CONTROL MASTER'!$AC$2:$AC$495&gt;=7))*ROW('CONTROL MASTER'!$S$2:$S$495))&gt;0,INDEX('CONTROL MASTER'!$X$2:$X$495,(SUMPRODUCT((('CONTROL MASTER'!$S$2:$S$495=3)*('CONTROL MASTER'!$Z$2:$Z$495&lt;=10)*('CONTROL MASTER'!$AB$2:$AB$495&gt;=10)*('CONTROL MASTER'!$AA$2:$AA$495&lt;=7)*('CONTROL MASTER'!$AC$2:$AC$495&gt;=7))*ROW('CONTROL MASTER'!$S$2:$S$495))-(ROW('CONTROL MASTER'!#REF!)-1)))&amp;TRIM(MID(SUBSTITUTE(SUBSTITUTE(INDEX('CONTROL MASTER'!$N$2:$N$495,(SUMPRODUCT((('CONTROL MASTER'!$S$2:$S$495=3)*('CONTROL MASTER'!$Z$2:$Z$495&lt;=10)*('CONTROL MASTER'!$AB$2:$AB$495&gt;=10)*('CONTROL MASTER'!$AA$2:$AA$495&lt;=7)*('CONTROL MASTER'!$AC$2:$AC$495&gt;=7))*ROW('CONTROL MASTER'!$S$2:$S$495))-(ROW('CONTROL MASTER'!#REF!)-1))),":",","),",",REPT(" ",50)),(((INDEX('CONTROL MASTER'!$Y$2:$Y$495,(SUMPRODUCT((('CONTROL MASTER'!$S$2:$S$495=3)*('CONTROL MASTER'!$Z$2:$Z$495&lt;=10)*('CONTROL MASTER'!$AB$2:$AB$495&gt;=10)*('CONTROL MASTER'!$AA$2:$AA$495&lt;=7)*('CONTROL MASTER'!$AC$2:$AC$495&gt;=7))*ROW('CONTROL MASTER'!$S$2:$S$495))-(ROW('CONTROL MASTER'!#REF!)-1)))+((10-INDEX('CONTROL MASTER'!$Z$2:$Z$495,(SUMPRODUCT((('CONTROL MASTER'!$S$2:$S$495=3)*('CONTROL MASTER'!$Z$2:$Z$495&lt;=10)*('CONTROL MASTER'!$AB$2:$AB$495&gt;=10)*('CONTROL MASTER'!$AA$2:$AA$495&lt;=7)*('CONTROL MASTER'!$AC$2:$AC$495&gt;=7))*ROW('CONTROL MASTER'!$S$2:$S$495))-(ROW('CONTROL MASTER'!#REF!)-1))))*(INDEX('CONTROL MASTER'!$AC$2:$AC$495,(SUMPRODUCT((('CONTROL MASTER'!$S$2:$S$495=3)*('CONTROL MASTER'!$Z$2:$Z$495&lt;=10)*('CONTROL MASTER'!$AB$2:$AB$495&gt;=10)*('CONTROL MASTER'!$AA$2:$AA$495&lt;=7)*('CONTROL MASTER'!$AC$2:$AC$495&gt;=7))*ROW('CONTROL MASTER'!$S$2:$S$495))-(ROW('CONTROL MASTER'!#REF!)-1)))-INDEX('CONTROL MASTER'!$AA$2:$AA$495,(SUMPRODUCT((('CONTROL MASTER'!$S$2:$S$495=3)*('CONTROL MASTER'!$Z$2:$Z$495&lt;=10)*('CONTROL MASTER'!$AB$2:$AB$495&gt;=10)*('CONTROL MASTER'!$AA$2:$AA$495&lt;=7)*('CONTROL MASTER'!$AC$2:$AC$495&gt;=7))*ROW('CONTROL MASTER'!$S$2:$S$495))-(ROW('CONTROL MASTER'!#REF!)-1)))+1)+(7-INDEX('CONTROL MASTER'!$AA$2:$AA$495,(SUMPRODUCT((('CONTROL MASTER'!$S$2:$S$495=3)*('CONTROL MASTER'!$Z$2:$Z$495&lt;=10)*('CONTROL MASTER'!$AB$2:$AB$495&gt;=10)*('CONTROL MASTER'!$AA$2:$AA$495&lt;=7)*('CONTROL MASTER'!$AC$2:$AC$495&gt;=7))*ROW('CONTROL MASTER'!$S$2:$S$495))-(ROW('CONTROL MASTER'!#REF!)-1))))+1)))-1)*50+1,50))&amp;"_"&amp;INDEX('CONTROL MASTER'!$P$2:$P$495,(SUMPRODUCT((('CONTROL MASTER'!$S$2:$S$495=3)*('CONTROL MASTER'!$Z$2:$Z$495&lt;=10)*('CONTROL MASTER'!$AB$2:$AB$495&gt;=10)*('CONTROL MASTER'!$AA$2:$AA$495&lt;=7)*('CONTROL MASTER'!$AC$2:$AC$495&gt;=7))*ROW('CONTROL MASTER'!$S$2:$S$495))-(ROW('CONTROL MASTER'!#REF!)-1))),"")),"")</f>
        <v/>
      </c>
      <c r="I40" s="10" t="str">
        <f>IFERROR(IF(SUMPRODUCT((('CONTROL MASTER'!$S$2:$S$495=3)*('CONTROL MASTER'!$T$2:$T$495&lt;=10)*('CONTROL MASTER'!$V$2:$V$495&gt;=10)*('CONTROL MASTER'!$U$2:$U$495&lt;=8)*('CONTROL MASTER'!$W$2:$W$495&gt;=8))*ROW('CONTROL MASTER'!$S$2:$S$495))&gt;0,INDEX('CONTROL MASTER'!$X$2:$X$495,(SUMPRODUCT((('CONTROL MASTER'!$S$2:$S$495=3)*('CONTROL MASTER'!$T$2:$T$495&lt;=10)*('CONTROL MASTER'!$V$2:$V$495&gt;=10)*('CONTROL MASTER'!$U$2:$U$495&lt;=8)*('CONTROL MASTER'!$W$2:$W$495&gt;=8))*ROW('CONTROL MASTER'!$S$2:$S$495))-(ROW('CONTROL MASTER'!#REF!)-1)))&amp;TRIM(MID(SUBSTITUTE(SUBSTITUTE(INDEX('CONTROL MASTER'!$N$2:$N$495,(SUMPRODUCT((('CONTROL MASTER'!$S$2:$S$495=3)*('CONTROL MASTER'!$T$2:$T$495&lt;=10)*('CONTROL MASTER'!$V$2:$V$495&gt;=10)*('CONTROL MASTER'!$U$2:$U$495&lt;=8)*('CONTROL MASTER'!$W$2:$W$495&gt;=8))*ROW('CONTROL MASTER'!$S$2:$S$495))-(ROW('CONTROL MASTER'!#REF!)-1))),":",","),",",REPT(" ",50)),((((10-INDEX('CONTROL MASTER'!$T$2:$T$495,(SUMPRODUCT((('CONTROL MASTER'!$S$2:$S$495=3)*('CONTROL MASTER'!$T$2:$T$495&lt;=10)*('CONTROL MASTER'!$V$2:$V$495&gt;=10)*('CONTROL MASTER'!$U$2:$U$495&lt;=8)*('CONTROL MASTER'!$W$2:$W$495&gt;=8))*ROW('CONTROL MASTER'!$S$2:$S$495))-(ROW('CONTROL MASTER'!#REF!)-1))))*(INDEX('CONTROL MASTER'!$W$2:$W$495,(SUMPRODUCT((('CONTROL MASTER'!$S$2:$S$495=3)*('CONTROL MASTER'!$T$2:$T$495&lt;=10)*('CONTROL MASTER'!$V$2:$V$495&gt;=10)*('CONTROL MASTER'!$U$2:$U$495&lt;=8)*('CONTROL MASTER'!$W$2:$W$495&gt;=8))*ROW('CONTROL MASTER'!$S$2:$S$495))-(ROW('CONTROL MASTER'!#REF!)-1)))-INDEX('CONTROL MASTER'!$U$2:$U$495,(SUMPRODUCT((('CONTROL MASTER'!$S$2:$S$495=3)*('CONTROL MASTER'!$T$2:$T$495&lt;=10)*('CONTROL MASTER'!$V$2:$V$495&gt;=10)*('CONTROL MASTER'!$U$2:$U$495&lt;=8)*('CONTROL MASTER'!$W$2:$W$495&gt;=8))*ROW('CONTROL MASTER'!$S$2:$S$495))-(ROW('CONTROL MASTER'!#REF!)-1)))+1)+(8-INDEX('CONTROL MASTER'!$U$2:$U$495,(SUMPRODUCT((('CONTROL MASTER'!$S$2:$S$495=3)*('CONTROL MASTER'!$T$2:$T$495&lt;=10)*('CONTROL MASTER'!$V$2:$V$495&gt;=10)*('CONTROL MASTER'!$U$2:$U$495&lt;=8)*('CONTROL MASTER'!$W$2:$W$495&gt;=8))*ROW('CONTROL MASTER'!$S$2:$S$495))-(ROW('CONTROL MASTER'!#REF!)-1))))+1))-1)*50+1,50))&amp;"_"&amp;INDEX('CONTROL MASTER'!$P$2:$P$495,(SUMPRODUCT((('CONTROL MASTER'!$S$2:$S$495=3)*('CONTROL MASTER'!$T$2:$T$495&lt;=10)*('CONTROL MASTER'!$V$2:$V$495&gt;=10)*('CONTROL MASTER'!$U$2:$U$495&lt;=8)*('CONTROL MASTER'!$W$2:$W$495&gt;=8))*ROW('CONTROL MASTER'!$S$2:$S$495))-(ROW('CONTROL MASTER'!#REF!)-1))),IF(SUMPRODUCT((('CONTROL MASTER'!$S$2:$S$495=3)*('CONTROL MASTER'!$Z$2:$Z$495&lt;=10)*('CONTROL MASTER'!$AB$2:$AB$495&gt;=10)*('CONTROL MASTER'!$AA$2:$AA$495&lt;=8)*('CONTROL MASTER'!$AC$2:$AC$495&gt;=8))*ROW('CONTROL MASTER'!$S$2:$S$495))&gt;0,INDEX('CONTROL MASTER'!$X$2:$X$495,(SUMPRODUCT((('CONTROL MASTER'!$S$2:$S$495=3)*('CONTROL MASTER'!$Z$2:$Z$495&lt;=10)*('CONTROL MASTER'!$AB$2:$AB$495&gt;=10)*('CONTROL MASTER'!$AA$2:$AA$495&lt;=8)*('CONTROL MASTER'!$AC$2:$AC$495&gt;=8))*ROW('CONTROL MASTER'!$S$2:$S$495))-(ROW('CONTROL MASTER'!#REF!)-1)))&amp;TRIM(MID(SUBSTITUTE(SUBSTITUTE(INDEX('CONTROL MASTER'!$N$2:$N$495,(SUMPRODUCT((('CONTROL MASTER'!$S$2:$S$495=3)*('CONTROL MASTER'!$Z$2:$Z$495&lt;=10)*('CONTROL MASTER'!$AB$2:$AB$495&gt;=10)*('CONTROL MASTER'!$AA$2:$AA$495&lt;=8)*('CONTROL MASTER'!$AC$2:$AC$495&gt;=8))*ROW('CONTROL MASTER'!$S$2:$S$495))-(ROW('CONTROL MASTER'!#REF!)-1))),":",","),",",REPT(" ",50)),(((INDEX('CONTROL MASTER'!$Y$2:$Y$495,(SUMPRODUCT((('CONTROL MASTER'!$S$2:$S$495=3)*('CONTROL MASTER'!$Z$2:$Z$495&lt;=10)*('CONTROL MASTER'!$AB$2:$AB$495&gt;=10)*('CONTROL MASTER'!$AA$2:$AA$495&lt;=8)*('CONTROL MASTER'!$AC$2:$AC$495&gt;=8))*ROW('CONTROL MASTER'!$S$2:$S$495))-(ROW('CONTROL MASTER'!#REF!)-1)))+((10-INDEX('CONTROL MASTER'!$Z$2:$Z$495,(SUMPRODUCT((('CONTROL MASTER'!$S$2:$S$495=3)*('CONTROL MASTER'!$Z$2:$Z$495&lt;=10)*('CONTROL MASTER'!$AB$2:$AB$495&gt;=10)*('CONTROL MASTER'!$AA$2:$AA$495&lt;=8)*('CONTROL MASTER'!$AC$2:$AC$495&gt;=8))*ROW('CONTROL MASTER'!$S$2:$S$495))-(ROW('CONTROL MASTER'!#REF!)-1))))*(INDEX('CONTROL MASTER'!$AC$2:$AC$495,(SUMPRODUCT((('CONTROL MASTER'!$S$2:$S$495=3)*('CONTROL MASTER'!$Z$2:$Z$495&lt;=10)*('CONTROL MASTER'!$AB$2:$AB$495&gt;=10)*('CONTROL MASTER'!$AA$2:$AA$495&lt;=8)*('CONTROL MASTER'!$AC$2:$AC$495&gt;=8))*ROW('CONTROL MASTER'!$S$2:$S$495))-(ROW('CONTROL MASTER'!#REF!)-1)))-INDEX('CONTROL MASTER'!$AA$2:$AA$495,(SUMPRODUCT((('CONTROL MASTER'!$S$2:$S$495=3)*('CONTROL MASTER'!$Z$2:$Z$495&lt;=10)*('CONTROL MASTER'!$AB$2:$AB$495&gt;=10)*('CONTROL MASTER'!$AA$2:$AA$495&lt;=8)*('CONTROL MASTER'!$AC$2:$AC$495&gt;=8))*ROW('CONTROL MASTER'!$S$2:$S$495))-(ROW('CONTROL MASTER'!#REF!)-1)))+1)+(8-INDEX('CONTROL MASTER'!$AA$2:$AA$495,(SUMPRODUCT((('CONTROL MASTER'!$S$2:$S$495=3)*('CONTROL MASTER'!$Z$2:$Z$495&lt;=10)*('CONTROL MASTER'!$AB$2:$AB$495&gt;=10)*('CONTROL MASTER'!$AA$2:$AA$495&lt;=8)*('CONTROL MASTER'!$AC$2:$AC$495&gt;=8))*ROW('CONTROL MASTER'!$S$2:$S$495))-(ROW('CONTROL MASTER'!#REF!)-1))))+1)))-1)*50+1,50))&amp;"_"&amp;INDEX('CONTROL MASTER'!$P$2:$P$495,(SUMPRODUCT((('CONTROL MASTER'!$S$2:$S$495=3)*('CONTROL MASTER'!$Z$2:$Z$495&lt;=10)*('CONTROL MASTER'!$AB$2:$AB$495&gt;=10)*('CONTROL MASTER'!$AA$2:$AA$495&lt;=8)*('CONTROL MASTER'!$AC$2:$AC$495&gt;=8))*ROW('CONTROL MASTER'!$S$2:$S$495))-(ROW('CONTROL MASTER'!#REF!)-1))),"")),"")</f>
        <v/>
      </c>
      <c r="J40" s="10" t="str">
        <f>IFERROR(IF(SUMPRODUCT((('CONTROL MASTER'!$S$2:$S$495=3)*('CONTROL MASTER'!$T$2:$T$495&lt;=10)*('CONTROL MASTER'!$V$2:$V$495&gt;=10)*('CONTROL MASTER'!$U$2:$U$495&lt;=9)*('CONTROL MASTER'!$W$2:$W$495&gt;=9))*ROW('CONTROL MASTER'!$S$2:$S$495))&gt;0,INDEX('CONTROL MASTER'!$X$2:$X$495,(SUMPRODUCT((('CONTROL MASTER'!$S$2:$S$495=3)*('CONTROL MASTER'!$T$2:$T$495&lt;=10)*('CONTROL MASTER'!$V$2:$V$495&gt;=10)*('CONTROL MASTER'!$U$2:$U$495&lt;=9)*('CONTROL MASTER'!$W$2:$W$495&gt;=9))*ROW('CONTROL MASTER'!$S$2:$S$495))-(ROW('CONTROL MASTER'!#REF!)-1)))&amp;TRIM(MID(SUBSTITUTE(SUBSTITUTE(INDEX('CONTROL MASTER'!$N$2:$N$495,(SUMPRODUCT((('CONTROL MASTER'!$S$2:$S$495=3)*('CONTROL MASTER'!$T$2:$T$495&lt;=10)*('CONTROL MASTER'!$V$2:$V$495&gt;=10)*('CONTROL MASTER'!$U$2:$U$495&lt;=9)*('CONTROL MASTER'!$W$2:$W$495&gt;=9))*ROW('CONTROL MASTER'!$S$2:$S$495))-(ROW('CONTROL MASTER'!#REF!)-1))),":",","),",",REPT(" ",50)),((((10-INDEX('CONTROL MASTER'!$T$2:$T$495,(SUMPRODUCT((('CONTROL MASTER'!$S$2:$S$495=3)*('CONTROL MASTER'!$T$2:$T$495&lt;=10)*('CONTROL MASTER'!$V$2:$V$495&gt;=10)*('CONTROL MASTER'!$U$2:$U$495&lt;=9)*('CONTROL MASTER'!$W$2:$W$495&gt;=9))*ROW('CONTROL MASTER'!$S$2:$S$495))-(ROW('CONTROL MASTER'!#REF!)-1))))*(INDEX('CONTROL MASTER'!$W$2:$W$495,(SUMPRODUCT((('CONTROL MASTER'!$S$2:$S$495=3)*('CONTROL MASTER'!$T$2:$T$495&lt;=10)*('CONTROL MASTER'!$V$2:$V$495&gt;=10)*('CONTROL MASTER'!$U$2:$U$495&lt;=9)*('CONTROL MASTER'!$W$2:$W$495&gt;=9))*ROW('CONTROL MASTER'!$S$2:$S$495))-(ROW('CONTROL MASTER'!#REF!)-1)))-INDEX('CONTROL MASTER'!$U$2:$U$495,(SUMPRODUCT((('CONTROL MASTER'!$S$2:$S$495=3)*('CONTROL MASTER'!$T$2:$T$495&lt;=10)*('CONTROL MASTER'!$V$2:$V$495&gt;=10)*('CONTROL MASTER'!$U$2:$U$495&lt;=9)*('CONTROL MASTER'!$W$2:$W$495&gt;=9))*ROW('CONTROL MASTER'!$S$2:$S$495))-(ROW('CONTROL MASTER'!#REF!)-1)))+1)+(9-INDEX('CONTROL MASTER'!$U$2:$U$495,(SUMPRODUCT((('CONTROL MASTER'!$S$2:$S$495=3)*('CONTROL MASTER'!$T$2:$T$495&lt;=10)*('CONTROL MASTER'!$V$2:$V$495&gt;=10)*('CONTROL MASTER'!$U$2:$U$495&lt;=9)*('CONTROL MASTER'!$W$2:$W$495&gt;=9))*ROW('CONTROL MASTER'!$S$2:$S$495))-(ROW('CONTROL MASTER'!#REF!)-1))))+1))-1)*50+1,50))&amp;"_"&amp;INDEX('CONTROL MASTER'!$P$2:$P$495,(SUMPRODUCT((('CONTROL MASTER'!$S$2:$S$495=3)*('CONTROL MASTER'!$T$2:$T$495&lt;=10)*('CONTROL MASTER'!$V$2:$V$495&gt;=10)*('CONTROL MASTER'!$U$2:$U$495&lt;=9)*('CONTROL MASTER'!$W$2:$W$495&gt;=9))*ROW('CONTROL MASTER'!$S$2:$S$495))-(ROW('CONTROL MASTER'!#REF!)-1))),IF(SUMPRODUCT((('CONTROL MASTER'!$S$2:$S$495=3)*('CONTROL MASTER'!$Z$2:$Z$495&lt;=10)*('CONTROL MASTER'!$AB$2:$AB$495&gt;=10)*('CONTROL MASTER'!$AA$2:$AA$495&lt;=9)*('CONTROL MASTER'!$AC$2:$AC$495&gt;=9))*ROW('CONTROL MASTER'!$S$2:$S$495))&gt;0,INDEX('CONTROL MASTER'!$X$2:$X$495,(SUMPRODUCT((('CONTROL MASTER'!$S$2:$S$495=3)*('CONTROL MASTER'!$Z$2:$Z$495&lt;=10)*('CONTROL MASTER'!$AB$2:$AB$495&gt;=10)*('CONTROL MASTER'!$AA$2:$AA$495&lt;=9)*('CONTROL MASTER'!$AC$2:$AC$495&gt;=9))*ROW('CONTROL MASTER'!$S$2:$S$495))-(ROW('CONTROL MASTER'!#REF!)-1)))&amp;TRIM(MID(SUBSTITUTE(SUBSTITUTE(INDEX('CONTROL MASTER'!$N$2:$N$495,(SUMPRODUCT((('CONTROL MASTER'!$S$2:$S$495=3)*('CONTROL MASTER'!$Z$2:$Z$495&lt;=10)*('CONTROL MASTER'!$AB$2:$AB$495&gt;=10)*('CONTROL MASTER'!$AA$2:$AA$495&lt;=9)*('CONTROL MASTER'!$AC$2:$AC$495&gt;=9))*ROW('CONTROL MASTER'!$S$2:$S$495))-(ROW('CONTROL MASTER'!#REF!)-1))),":",","),",",REPT(" ",50)),(((INDEX('CONTROL MASTER'!$Y$2:$Y$495,(SUMPRODUCT((('CONTROL MASTER'!$S$2:$S$495=3)*('CONTROL MASTER'!$Z$2:$Z$495&lt;=10)*('CONTROL MASTER'!$AB$2:$AB$495&gt;=10)*('CONTROL MASTER'!$AA$2:$AA$495&lt;=9)*('CONTROL MASTER'!$AC$2:$AC$495&gt;=9))*ROW('CONTROL MASTER'!$S$2:$S$495))-(ROW('CONTROL MASTER'!#REF!)-1)))+((10-INDEX('CONTROL MASTER'!$Z$2:$Z$495,(SUMPRODUCT((('CONTROL MASTER'!$S$2:$S$495=3)*('CONTROL MASTER'!$Z$2:$Z$495&lt;=10)*('CONTROL MASTER'!$AB$2:$AB$495&gt;=10)*('CONTROL MASTER'!$AA$2:$AA$495&lt;=9)*('CONTROL MASTER'!$AC$2:$AC$495&gt;=9))*ROW('CONTROL MASTER'!$S$2:$S$495))-(ROW('CONTROL MASTER'!#REF!)-1))))*(INDEX('CONTROL MASTER'!$AC$2:$AC$495,(SUMPRODUCT((('CONTROL MASTER'!$S$2:$S$495=3)*('CONTROL MASTER'!$Z$2:$Z$495&lt;=10)*('CONTROL MASTER'!$AB$2:$AB$495&gt;=10)*('CONTROL MASTER'!$AA$2:$AA$495&lt;=9)*('CONTROL MASTER'!$AC$2:$AC$495&gt;=9))*ROW('CONTROL MASTER'!$S$2:$S$495))-(ROW('CONTROL MASTER'!#REF!)-1)))-INDEX('CONTROL MASTER'!$AA$2:$AA$495,(SUMPRODUCT((('CONTROL MASTER'!$S$2:$S$495=3)*('CONTROL MASTER'!$Z$2:$Z$495&lt;=10)*('CONTROL MASTER'!$AB$2:$AB$495&gt;=10)*('CONTROL MASTER'!$AA$2:$AA$495&lt;=9)*('CONTROL MASTER'!$AC$2:$AC$495&gt;=9))*ROW('CONTROL MASTER'!$S$2:$S$495))-(ROW('CONTROL MASTER'!#REF!)-1)))+1)+(9-INDEX('CONTROL MASTER'!$AA$2:$AA$495,(SUMPRODUCT((('CONTROL MASTER'!$S$2:$S$495=3)*('CONTROL MASTER'!$Z$2:$Z$495&lt;=10)*('CONTROL MASTER'!$AB$2:$AB$495&gt;=10)*('CONTROL MASTER'!$AA$2:$AA$495&lt;=9)*('CONTROL MASTER'!$AC$2:$AC$495&gt;=9))*ROW('CONTROL MASTER'!$S$2:$S$495))-(ROW('CONTROL MASTER'!#REF!)-1))))+1)))-1)*50+1,50))&amp;"_"&amp;INDEX('CONTROL MASTER'!$P$2:$P$495,(SUMPRODUCT((('CONTROL MASTER'!$S$2:$S$495=3)*('CONTROL MASTER'!$Z$2:$Z$495&lt;=10)*('CONTROL MASTER'!$AB$2:$AB$495&gt;=10)*('CONTROL MASTER'!$AA$2:$AA$495&lt;=9)*('CONTROL MASTER'!$AC$2:$AC$495&gt;=9))*ROW('CONTROL MASTER'!$S$2:$S$495))-(ROW('CONTROL MASTER'!#REF!)-1))),"")),"")</f>
        <v/>
      </c>
      <c r="K40" s="10" t="str">
        <f>IFERROR(IF(SUMPRODUCT((('CONTROL MASTER'!$S$2:$S$495=3)*('CONTROL MASTER'!$T$2:$T$495&lt;=10)*('CONTROL MASTER'!$V$2:$V$495&gt;=10)*('CONTROL MASTER'!$U$2:$U$495&lt;=10)*('CONTROL MASTER'!$W$2:$W$495&gt;=10))*ROW('CONTROL MASTER'!$S$2:$S$495))&gt;0,INDEX('CONTROL MASTER'!$X$2:$X$495,(SUMPRODUCT((('CONTROL MASTER'!$S$2:$S$495=3)*('CONTROL MASTER'!$T$2:$T$495&lt;=10)*('CONTROL MASTER'!$V$2:$V$495&gt;=10)*('CONTROL MASTER'!$U$2:$U$495&lt;=10)*('CONTROL MASTER'!$W$2:$W$495&gt;=10))*ROW('CONTROL MASTER'!$S$2:$S$495))-(ROW('CONTROL MASTER'!#REF!)-1)))&amp;TRIM(MID(SUBSTITUTE(SUBSTITUTE(INDEX('CONTROL MASTER'!$N$2:$N$495,(SUMPRODUCT((('CONTROL MASTER'!$S$2:$S$495=3)*('CONTROL MASTER'!$T$2:$T$495&lt;=10)*('CONTROL MASTER'!$V$2:$V$495&gt;=10)*('CONTROL MASTER'!$U$2:$U$495&lt;=10)*('CONTROL MASTER'!$W$2:$W$495&gt;=10))*ROW('CONTROL MASTER'!$S$2:$S$495))-(ROW('CONTROL MASTER'!#REF!)-1))),":",","),",",REPT(" ",50)),((((10-INDEX('CONTROL MASTER'!$T$2:$T$495,(SUMPRODUCT((('CONTROL MASTER'!$S$2:$S$495=3)*('CONTROL MASTER'!$T$2:$T$495&lt;=10)*('CONTROL MASTER'!$V$2:$V$495&gt;=10)*('CONTROL MASTER'!$U$2:$U$495&lt;=10)*('CONTROL MASTER'!$W$2:$W$495&gt;=10))*ROW('CONTROL MASTER'!$S$2:$S$495))-(ROW('CONTROL MASTER'!#REF!)-1))))*(INDEX('CONTROL MASTER'!$W$2:$W$495,(SUMPRODUCT((('CONTROL MASTER'!$S$2:$S$495=3)*('CONTROL MASTER'!$T$2:$T$495&lt;=10)*('CONTROL MASTER'!$V$2:$V$495&gt;=10)*('CONTROL MASTER'!$U$2:$U$495&lt;=10)*('CONTROL MASTER'!$W$2:$W$495&gt;=10))*ROW('CONTROL MASTER'!$S$2:$S$495))-(ROW('CONTROL MASTER'!#REF!)-1)))-INDEX('CONTROL MASTER'!$U$2:$U$495,(SUMPRODUCT((('CONTROL MASTER'!$S$2:$S$495=3)*('CONTROL MASTER'!$T$2:$T$495&lt;=10)*('CONTROL MASTER'!$V$2:$V$495&gt;=10)*('CONTROL MASTER'!$U$2:$U$495&lt;=10)*('CONTROL MASTER'!$W$2:$W$495&gt;=10))*ROW('CONTROL MASTER'!$S$2:$S$495))-(ROW('CONTROL MASTER'!#REF!)-1)))+1)+(10-INDEX('CONTROL MASTER'!$U$2:$U$495,(SUMPRODUCT((('CONTROL MASTER'!$S$2:$S$495=3)*('CONTROL MASTER'!$T$2:$T$495&lt;=10)*('CONTROL MASTER'!$V$2:$V$495&gt;=10)*('CONTROL MASTER'!$U$2:$U$495&lt;=10)*('CONTROL MASTER'!$W$2:$W$495&gt;=10))*ROW('CONTROL MASTER'!$S$2:$S$495))-(ROW('CONTROL MASTER'!#REF!)-1))))+1))-1)*50+1,50))&amp;"_"&amp;INDEX('CONTROL MASTER'!$P$2:$P$495,(SUMPRODUCT((('CONTROL MASTER'!$S$2:$S$495=3)*('CONTROL MASTER'!$T$2:$T$495&lt;=10)*('CONTROL MASTER'!$V$2:$V$495&gt;=10)*('CONTROL MASTER'!$U$2:$U$495&lt;=10)*('CONTROL MASTER'!$W$2:$W$495&gt;=10))*ROW('CONTROL MASTER'!$S$2:$S$495))-(ROW('CONTROL MASTER'!#REF!)-1))),IF(SUMPRODUCT((('CONTROL MASTER'!$S$2:$S$495=3)*('CONTROL MASTER'!$Z$2:$Z$495&lt;=10)*('CONTROL MASTER'!$AB$2:$AB$495&gt;=10)*('CONTROL MASTER'!$AA$2:$AA$495&lt;=10)*('CONTROL MASTER'!$AC$2:$AC$495&gt;=10))*ROW('CONTROL MASTER'!$S$2:$S$495))&gt;0,INDEX('CONTROL MASTER'!$X$2:$X$495,(SUMPRODUCT((('CONTROL MASTER'!$S$2:$S$495=3)*('CONTROL MASTER'!$Z$2:$Z$495&lt;=10)*('CONTROL MASTER'!$AB$2:$AB$495&gt;=10)*('CONTROL MASTER'!$AA$2:$AA$495&lt;=10)*('CONTROL MASTER'!$AC$2:$AC$495&gt;=10))*ROW('CONTROL MASTER'!$S$2:$S$495))-(ROW('CONTROL MASTER'!#REF!)-1)))&amp;TRIM(MID(SUBSTITUTE(SUBSTITUTE(INDEX('CONTROL MASTER'!$N$2:$N$495,(SUMPRODUCT((('CONTROL MASTER'!$S$2:$S$495=3)*('CONTROL MASTER'!$Z$2:$Z$495&lt;=10)*('CONTROL MASTER'!$AB$2:$AB$495&gt;=10)*('CONTROL MASTER'!$AA$2:$AA$495&lt;=10)*('CONTROL MASTER'!$AC$2:$AC$495&gt;=10))*ROW('CONTROL MASTER'!$S$2:$S$495))-(ROW('CONTROL MASTER'!#REF!)-1))),":",","),",",REPT(" ",50)),(((INDEX('CONTROL MASTER'!$Y$2:$Y$495,(SUMPRODUCT((('CONTROL MASTER'!$S$2:$S$495=3)*('CONTROL MASTER'!$Z$2:$Z$495&lt;=10)*('CONTROL MASTER'!$AB$2:$AB$495&gt;=10)*('CONTROL MASTER'!$AA$2:$AA$495&lt;=10)*('CONTROL MASTER'!$AC$2:$AC$495&gt;=10))*ROW('CONTROL MASTER'!$S$2:$S$495))-(ROW('CONTROL MASTER'!#REF!)-1)))+((10-INDEX('CONTROL MASTER'!$Z$2:$Z$495,(SUMPRODUCT((('CONTROL MASTER'!$S$2:$S$495=3)*('CONTROL MASTER'!$Z$2:$Z$495&lt;=10)*('CONTROL MASTER'!$AB$2:$AB$495&gt;=10)*('CONTROL MASTER'!$AA$2:$AA$495&lt;=10)*('CONTROL MASTER'!$AC$2:$AC$495&gt;=10))*ROW('CONTROL MASTER'!$S$2:$S$495))-(ROW('CONTROL MASTER'!#REF!)-1))))*(INDEX('CONTROL MASTER'!$AC$2:$AC$495,(SUMPRODUCT((('CONTROL MASTER'!$S$2:$S$495=3)*('CONTROL MASTER'!$Z$2:$Z$495&lt;=10)*('CONTROL MASTER'!$AB$2:$AB$495&gt;=10)*('CONTROL MASTER'!$AA$2:$AA$495&lt;=10)*('CONTROL MASTER'!$AC$2:$AC$495&gt;=10))*ROW('CONTROL MASTER'!$S$2:$S$495))-(ROW('CONTROL MASTER'!#REF!)-1)))-INDEX('CONTROL MASTER'!$AA$2:$AA$495,(SUMPRODUCT((('CONTROL MASTER'!$S$2:$S$495=3)*('CONTROL MASTER'!$Z$2:$Z$495&lt;=10)*('CONTROL MASTER'!$AB$2:$AB$495&gt;=10)*('CONTROL MASTER'!$AA$2:$AA$495&lt;=10)*('CONTROL MASTER'!$AC$2:$AC$495&gt;=10))*ROW('CONTROL MASTER'!$S$2:$S$495))-(ROW('CONTROL MASTER'!#REF!)-1)))+1)+(10-INDEX('CONTROL MASTER'!$AA$2:$AA$495,(SUMPRODUCT((('CONTROL MASTER'!$S$2:$S$495=3)*('CONTROL MASTER'!$Z$2:$Z$495&lt;=10)*('CONTROL MASTER'!$AB$2:$AB$495&gt;=10)*('CONTROL MASTER'!$AA$2:$AA$495&lt;=10)*('CONTROL MASTER'!$AC$2:$AC$495&gt;=10))*ROW('CONTROL MASTER'!$S$2:$S$495))-(ROW('CONTROL MASTER'!#REF!)-1))))+1)))-1)*50+1,50))&amp;"_"&amp;INDEX('CONTROL MASTER'!$P$2:$P$495,(SUMPRODUCT((('CONTROL MASTER'!$S$2:$S$495=3)*('CONTROL MASTER'!$Z$2:$Z$495&lt;=10)*('CONTROL MASTER'!$AB$2:$AB$495&gt;=10)*('CONTROL MASTER'!$AA$2:$AA$495&lt;=10)*('CONTROL MASTER'!$AC$2:$AC$495&gt;=10))*ROW('CONTROL MASTER'!$S$2:$S$495))-(ROW('CONTROL MASTER'!#REF!)-1))),"")),"")</f>
        <v/>
      </c>
    </row>
    <row r="43" spans="1:11" ht="15" customHeight="1" x14ac:dyDescent="0.35">
      <c r="A43" s="12" t="s">
        <v>160</v>
      </c>
      <c r="B43" s="13"/>
      <c r="C43" s="13"/>
      <c r="D43" s="13"/>
      <c r="E43" s="13"/>
      <c r="F43" s="13"/>
      <c r="G43" s="13"/>
      <c r="H43" s="13"/>
      <c r="I43" s="13"/>
      <c r="J43" s="13"/>
      <c r="K43" s="13"/>
    </row>
    <row r="44" spans="1:11" ht="15" customHeight="1" x14ac:dyDescent="0.35">
      <c r="B44" s="8">
        <v>1</v>
      </c>
      <c r="C44" s="8">
        <v>2</v>
      </c>
      <c r="D44" s="8">
        <v>3</v>
      </c>
      <c r="E44" s="8">
        <v>4</v>
      </c>
      <c r="F44" s="8">
        <v>5</v>
      </c>
      <c r="G44" s="8">
        <v>6</v>
      </c>
      <c r="H44" s="8">
        <v>7</v>
      </c>
      <c r="I44" s="8">
        <v>8</v>
      </c>
      <c r="J44" s="8">
        <v>9</v>
      </c>
      <c r="K44" s="8">
        <v>10</v>
      </c>
    </row>
    <row r="45" spans="1:11" ht="15" customHeight="1" x14ac:dyDescent="0.35">
      <c r="A45" s="8" t="s">
        <v>28</v>
      </c>
      <c r="B45" s="10" t="str">
        <f>IFERROR(IF(SUMPRODUCT((('CONTROL MASTER'!$S$2:$S$495=4)*('CONTROL MASTER'!$T$2:$T$495&lt;=1)*('CONTROL MASTER'!$V$2:$V$495&gt;=1)*('CONTROL MASTER'!$U$2:$U$495&lt;=1)*('CONTROL MASTER'!$W$2:$W$495&gt;=1))*ROW('CONTROL MASTER'!$S$2:$S$495))&gt;0,INDEX('CONTROL MASTER'!$X$2:$X$495,(SUMPRODUCT((('CONTROL MASTER'!$S$2:$S$495=4)*('CONTROL MASTER'!$T$2:$T$495&lt;=1)*('CONTROL MASTER'!$V$2:$V$495&gt;=1)*('CONTROL MASTER'!$U$2:$U$495&lt;=1)*('CONTROL MASTER'!$W$2:$W$495&gt;=1))*ROW('CONTROL MASTER'!$S$2:$S$495))-(ROW('CONTROL MASTER'!#REF!)-1)))&amp;TRIM(MID(SUBSTITUTE(SUBSTITUTE(INDEX('CONTROL MASTER'!$N$2:$N$495,(SUMPRODUCT((('CONTROL MASTER'!$S$2:$S$495=4)*('CONTROL MASTER'!$T$2:$T$495&lt;=1)*('CONTROL MASTER'!$V$2:$V$495&gt;=1)*('CONTROL MASTER'!$U$2:$U$495&lt;=1)*('CONTROL MASTER'!$W$2:$W$495&gt;=1))*ROW('CONTROL MASTER'!$S$2:$S$495))-(ROW('CONTROL MASTER'!#REF!)-1))),":",","),",",REPT(" ",50)),((((1-INDEX('CONTROL MASTER'!$T$2:$T$495,(SUMPRODUCT((('CONTROL MASTER'!$S$2:$S$495=4)*('CONTROL MASTER'!$T$2:$T$495&lt;=1)*('CONTROL MASTER'!$V$2:$V$495&gt;=1)*('CONTROL MASTER'!$U$2:$U$495&lt;=1)*('CONTROL MASTER'!$W$2:$W$495&gt;=1))*ROW('CONTROL MASTER'!$S$2:$S$495))-(ROW('CONTROL MASTER'!#REF!)-1))))*(INDEX('CONTROL MASTER'!$W$2:$W$495,(SUMPRODUCT((('CONTROL MASTER'!$S$2:$S$495=4)*('CONTROL MASTER'!$T$2:$T$495&lt;=1)*('CONTROL MASTER'!$V$2:$V$495&gt;=1)*('CONTROL MASTER'!$U$2:$U$495&lt;=1)*('CONTROL MASTER'!$W$2:$W$495&gt;=1))*ROW('CONTROL MASTER'!$S$2:$S$495))-(ROW('CONTROL MASTER'!#REF!)-1)))-INDEX('CONTROL MASTER'!$U$2:$U$495,(SUMPRODUCT((('CONTROL MASTER'!$S$2:$S$495=4)*('CONTROL MASTER'!$T$2:$T$495&lt;=1)*('CONTROL MASTER'!$V$2:$V$495&gt;=1)*('CONTROL MASTER'!$U$2:$U$495&lt;=1)*('CONTROL MASTER'!$W$2:$W$495&gt;=1))*ROW('CONTROL MASTER'!$S$2:$S$495))-(ROW('CONTROL MASTER'!#REF!)-1)))+1)+(1-INDEX('CONTROL MASTER'!$U$2:$U$495,(SUMPRODUCT((('CONTROL MASTER'!$S$2:$S$495=4)*('CONTROL MASTER'!$T$2:$T$495&lt;=1)*('CONTROL MASTER'!$V$2:$V$495&gt;=1)*('CONTROL MASTER'!$U$2:$U$495&lt;=1)*('CONTROL MASTER'!$W$2:$W$495&gt;=1))*ROW('CONTROL MASTER'!$S$2:$S$495))-(ROW('CONTROL MASTER'!#REF!)-1))))+1))-1)*50+1,50))&amp;"_"&amp;INDEX('CONTROL MASTER'!$P$2:$P$495,(SUMPRODUCT((('CONTROL MASTER'!$S$2:$S$495=4)*('CONTROL MASTER'!$T$2:$T$495&lt;=1)*('CONTROL MASTER'!$V$2:$V$495&gt;=1)*('CONTROL MASTER'!$U$2:$U$495&lt;=1)*('CONTROL MASTER'!$W$2:$W$495&gt;=1))*ROW('CONTROL MASTER'!$S$2:$S$495))-(ROW('CONTROL MASTER'!#REF!)-1))),IF(SUMPRODUCT((('CONTROL MASTER'!$S$2:$S$495=4)*('CONTROL MASTER'!$Z$2:$Z$495&lt;=1)*('CONTROL MASTER'!$AB$2:$AB$495&gt;=1)*('CONTROL MASTER'!$AA$2:$AA$495&lt;=1)*('CONTROL MASTER'!$AC$2:$AC$495&gt;=1))*ROW('CONTROL MASTER'!$S$2:$S$495))&gt;0,INDEX('CONTROL MASTER'!$X$2:$X$495,(SUMPRODUCT((('CONTROL MASTER'!$S$2:$S$495=4)*('CONTROL MASTER'!$Z$2:$Z$495&lt;=1)*('CONTROL MASTER'!$AB$2:$AB$495&gt;=1)*('CONTROL MASTER'!$AA$2:$AA$495&lt;=1)*('CONTROL MASTER'!$AC$2:$AC$495&gt;=1))*ROW('CONTROL MASTER'!$S$2:$S$495))-(ROW('CONTROL MASTER'!#REF!)-1)))&amp;TRIM(MID(SUBSTITUTE(SUBSTITUTE(INDEX('CONTROL MASTER'!$N$2:$N$495,(SUMPRODUCT((('CONTROL MASTER'!$S$2:$S$495=4)*('CONTROL MASTER'!$Z$2:$Z$495&lt;=1)*('CONTROL MASTER'!$AB$2:$AB$495&gt;=1)*('CONTROL MASTER'!$AA$2:$AA$495&lt;=1)*('CONTROL MASTER'!$AC$2:$AC$495&gt;=1))*ROW('CONTROL MASTER'!$S$2:$S$495))-(ROW('CONTROL MASTER'!#REF!)-1))),":",","),",",REPT(" ",50)),(((INDEX('CONTROL MASTER'!$Y$2:$Y$495,(SUMPRODUCT((('CONTROL MASTER'!$S$2:$S$495=4)*('CONTROL MASTER'!$Z$2:$Z$495&lt;=1)*('CONTROL MASTER'!$AB$2:$AB$495&gt;=1)*('CONTROL MASTER'!$AA$2:$AA$495&lt;=1)*('CONTROL MASTER'!$AC$2:$AC$495&gt;=1))*ROW('CONTROL MASTER'!$S$2:$S$495))-(ROW('CONTROL MASTER'!#REF!)-1)))+((1-INDEX('CONTROL MASTER'!$Z$2:$Z$495,(SUMPRODUCT((('CONTROL MASTER'!$S$2:$S$495=4)*('CONTROL MASTER'!$Z$2:$Z$495&lt;=1)*('CONTROL MASTER'!$AB$2:$AB$495&gt;=1)*('CONTROL MASTER'!$AA$2:$AA$495&lt;=1)*('CONTROL MASTER'!$AC$2:$AC$495&gt;=1))*ROW('CONTROL MASTER'!$S$2:$S$495))-(ROW('CONTROL MASTER'!#REF!)-1))))*(INDEX('CONTROL MASTER'!$AC$2:$AC$495,(SUMPRODUCT((('CONTROL MASTER'!$S$2:$S$495=4)*('CONTROL MASTER'!$Z$2:$Z$495&lt;=1)*('CONTROL MASTER'!$AB$2:$AB$495&gt;=1)*('CONTROL MASTER'!$AA$2:$AA$495&lt;=1)*('CONTROL MASTER'!$AC$2:$AC$495&gt;=1))*ROW('CONTROL MASTER'!$S$2:$S$495))-(ROW('CONTROL MASTER'!#REF!)-1)))-INDEX('CONTROL MASTER'!$AA$2:$AA$495,(SUMPRODUCT((('CONTROL MASTER'!$S$2:$S$495=4)*('CONTROL MASTER'!$Z$2:$Z$495&lt;=1)*('CONTROL MASTER'!$AB$2:$AB$495&gt;=1)*('CONTROL MASTER'!$AA$2:$AA$495&lt;=1)*('CONTROL MASTER'!$AC$2:$AC$495&gt;=1))*ROW('CONTROL MASTER'!$S$2:$S$495))-(ROW('CONTROL MASTER'!#REF!)-1)))+1)+(1-INDEX('CONTROL MASTER'!$AA$2:$AA$495,(SUMPRODUCT((('CONTROL MASTER'!$S$2:$S$495=4)*('CONTROL MASTER'!$Z$2:$Z$495&lt;=1)*('CONTROL MASTER'!$AB$2:$AB$495&gt;=1)*('CONTROL MASTER'!$AA$2:$AA$495&lt;=1)*('CONTROL MASTER'!$AC$2:$AC$495&gt;=1))*ROW('CONTROL MASTER'!$S$2:$S$495))-(ROW('CONTROL MASTER'!#REF!)-1))))+1)))-1)*50+1,50))&amp;"_"&amp;INDEX('CONTROL MASTER'!$P$2:$P$495,(SUMPRODUCT((('CONTROL MASTER'!$S$2:$S$495=4)*('CONTROL MASTER'!$Z$2:$Z$495&lt;=1)*('CONTROL MASTER'!$AB$2:$AB$495&gt;=1)*('CONTROL MASTER'!$AA$2:$AA$495&lt;=1)*('CONTROL MASTER'!$AC$2:$AC$495&gt;=1))*ROW('CONTROL MASTER'!$S$2:$S$495))-(ROW('CONTROL MASTER'!#REF!)-1))),"")),"")</f>
        <v/>
      </c>
      <c r="C45" s="10" t="str">
        <f>IFERROR(IF(SUMPRODUCT((('CONTROL MASTER'!$S$2:$S$495=4)*('CONTROL MASTER'!$T$2:$T$495&lt;=1)*('CONTROL MASTER'!$V$2:$V$495&gt;=1)*('CONTROL MASTER'!$U$2:$U$495&lt;=2)*('CONTROL MASTER'!$W$2:$W$495&gt;=2))*ROW('CONTROL MASTER'!$S$2:$S$495))&gt;0,INDEX('CONTROL MASTER'!$X$2:$X$495,(SUMPRODUCT((('CONTROL MASTER'!$S$2:$S$495=4)*('CONTROL MASTER'!$T$2:$T$495&lt;=1)*('CONTROL MASTER'!$V$2:$V$495&gt;=1)*('CONTROL MASTER'!$U$2:$U$495&lt;=2)*('CONTROL MASTER'!$W$2:$W$495&gt;=2))*ROW('CONTROL MASTER'!$S$2:$S$495))-(ROW('CONTROL MASTER'!#REF!)-1)))&amp;TRIM(MID(SUBSTITUTE(SUBSTITUTE(INDEX('CONTROL MASTER'!$N$2:$N$495,(SUMPRODUCT((('CONTROL MASTER'!$S$2:$S$495=4)*('CONTROL MASTER'!$T$2:$T$495&lt;=1)*('CONTROL MASTER'!$V$2:$V$495&gt;=1)*('CONTROL MASTER'!$U$2:$U$495&lt;=2)*('CONTROL MASTER'!$W$2:$W$495&gt;=2))*ROW('CONTROL MASTER'!$S$2:$S$495))-(ROW('CONTROL MASTER'!#REF!)-1))),":",","),",",REPT(" ",50)),((((1-INDEX('CONTROL MASTER'!$T$2:$T$495,(SUMPRODUCT((('CONTROL MASTER'!$S$2:$S$495=4)*('CONTROL MASTER'!$T$2:$T$495&lt;=1)*('CONTROL MASTER'!$V$2:$V$495&gt;=1)*('CONTROL MASTER'!$U$2:$U$495&lt;=2)*('CONTROL MASTER'!$W$2:$W$495&gt;=2))*ROW('CONTROL MASTER'!$S$2:$S$495))-(ROW('CONTROL MASTER'!#REF!)-1))))*(INDEX('CONTROL MASTER'!$W$2:$W$495,(SUMPRODUCT((('CONTROL MASTER'!$S$2:$S$495=4)*('CONTROL MASTER'!$T$2:$T$495&lt;=1)*('CONTROL MASTER'!$V$2:$V$495&gt;=1)*('CONTROL MASTER'!$U$2:$U$495&lt;=2)*('CONTROL MASTER'!$W$2:$W$495&gt;=2))*ROW('CONTROL MASTER'!$S$2:$S$495))-(ROW('CONTROL MASTER'!#REF!)-1)))-INDEX('CONTROL MASTER'!$U$2:$U$495,(SUMPRODUCT((('CONTROL MASTER'!$S$2:$S$495=4)*('CONTROL MASTER'!$T$2:$T$495&lt;=1)*('CONTROL MASTER'!$V$2:$V$495&gt;=1)*('CONTROL MASTER'!$U$2:$U$495&lt;=2)*('CONTROL MASTER'!$W$2:$W$495&gt;=2))*ROW('CONTROL MASTER'!$S$2:$S$495))-(ROW('CONTROL MASTER'!#REF!)-1)))+1)+(2-INDEX('CONTROL MASTER'!$U$2:$U$495,(SUMPRODUCT((('CONTROL MASTER'!$S$2:$S$495=4)*('CONTROL MASTER'!$T$2:$T$495&lt;=1)*('CONTROL MASTER'!$V$2:$V$495&gt;=1)*('CONTROL MASTER'!$U$2:$U$495&lt;=2)*('CONTROL MASTER'!$W$2:$W$495&gt;=2))*ROW('CONTROL MASTER'!$S$2:$S$495))-(ROW('CONTROL MASTER'!#REF!)-1))))+1))-1)*50+1,50))&amp;"_"&amp;INDEX('CONTROL MASTER'!$P$2:$P$495,(SUMPRODUCT((('CONTROL MASTER'!$S$2:$S$495=4)*('CONTROL MASTER'!$T$2:$T$495&lt;=1)*('CONTROL MASTER'!$V$2:$V$495&gt;=1)*('CONTROL MASTER'!$U$2:$U$495&lt;=2)*('CONTROL MASTER'!$W$2:$W$495&gt;=2))*ROW('CONTROL MASTER'!$S$2:$S$495))-(ROW('CONTROL MASTER'!#REF!)-1))),IF(SUMPRODUCT((('CONTROL MASTER'!$S$2:$S$495=4)*('CONTROL MASTER'!$Z$2:$Z$495&lt;=1)*('CONTROL MASTER'!$AB$2:$AB$495&gt;=1)*('CONTROL MASTER'!$AA$2:$AA$495&lt;=2)*('CONTROL MASTER'!$AC$2:$AC$495&gt;=2))*ROW('CONTROL MASTER'!$S$2:$S$495))&gt;0,INDEX('CONTROL MASTER'!$X$2:$X$495,(SUMPRODUCT((('CONTROL MASTER'!$S$2:$S$495=4)*('CONTROL MASTER'!$Z$2:$Z$495&lt;=1)*('CONTROL MASTER'!$AB$2:$AB$495&gt;=1)*('CONTROL MASTER'!$AA$2:$AA$495&lt;=2)*('CONTROL MASTER'!$AC$2:$AC$495&gt;=2))*ROW('CONTROL MASTER'!$S$2:$S$495))-(ROW('CONTROL MASTER'!#REF!)-1)))&amp;TRIM(MID(SUBSTITUTE(SUBSTITUTE(INDEX('CONTROL MASTER'!$N$2:$N$495,(SUMPRODUCT((('CONTROL MASTER'!$S$2:$S$495=4)*('CONTROL MASTER'!$Z$2:$Z$495&lt;=1)*('CONTROL MASTER'!$AB$2:$AB$495&gt;=1)*('CONTROL MASTER'!$AA$2:$AA$495&lt;=2)*('CONTROL MASTER'!$AC$2:$AC$495&gt;=2))*ROW('CONTROL MASTER'!$S$2:$S$495))-(ROW('CONTROL MASTER'!#REF!)-1))),":",","),",",REPT(" ",50)),(((INDEX('CONTROL MASTER'!$Y$2:$Y$495,(SUMPRODUCT((('CONTROL MASTER'!$S$2:$S$495=4)*('CONTROL MASTER'!$Z$2:$Z$495&lt;=1)*('CONTROL MASTER'!$AB$2:$AB$495&gt;=1)*('CONTROL MASTER'!$AA$2:$AA$495&lt;=2)*('CONTROL MASTER'!$AC$2:$AC$495&gt;=2))*ROW('CONTROL MASTER'!$S$2:$S$495))-(ROW('CONTROL MASTER'!#REF!)-1)))+((1-INDEX('CONTROL MASTER'!$Z$2:$Z$495,(SUMPRODUCT((('CONTROL MASTER'!$S$2:$S$495=4)*('CONTROL MASTER'!$Z$2:$Z$495&lt;=1)*('CONTROL MASTER'!$AB$2:$AB$495&gt;=1)*('CONTROL MASTER'!$AA$2:$AA$495&lt;=2)*('CONTROL MASTER'!$AC$2:$AC$495&gt;=2))*ROW('CONTROL MASTER'!$S$2:$S$495))-(ROW('CONTROL MASTER'!#REF!)-1))))*(INDEX('CONTROL MASTER'!$AC$2:$AC$495,(SUMPRODUCT((('CONTROL MASTER'!$S$2:$S$495=4)*('CONTROL MASTER'!$Z$2:$Z$495&lt;=1)*('CONTROL MASTER'!$AB$2:$AB$495&gt;=1)*('CONTROL MASTER'!$AA$2:$AA$495&lt;=2)*('CONTROL MASTER'!$AC$2:$AC$495&gt;=2))*ROW('CONTROL MASTER'!$S$2:$S$495))-(ROW('CONTROL MASTER'!#REF!)-1)))-INDEX('CONTROL MASTER'!$AA$2:$AA$495,(SUMPRODUCT((('CONTROL MASTER'!$S$2:$S$495=4)*('CONTROL MASTER'!$Z$2:$Z$495&lt;=1)*('CONTROL MASTER'!$AB$2:$AB$495&gt;=1)*('CONTROL MASTER'!$AA$2:$AA$495&lt;=2)*('CONTROL MASTER'!$AC$2:$AC$495&gt;=2))*ROW('CONTROL MASTER'!$S$2:$S$495))-(ROW('CONTROL MASTER'!#REF!)-1)))+1)+(2-INDEX('CONTROL MASTER'!$AA$2:$AA$495,(SUMPRODUCT((('CONTROL MASTER'!$S$2:$S$495=4)*('CONTROL MASTER'!$Z$2:$Z$495&lt;=1)*('CONTROL MASTER'!$AB$2:$AB$495&gt;=1)*('CONTROL MASTER'!$AA$2:$AA$495&lt;=2)*('CONTROL MASTER'!$AC$2:$AC$495&gt;=2))*ROW('CONTROL MASTER'!$S$2:$S$495))-(ROW('CONTROL MASTER'!#REF!)-1))))+1)))-1)*50+1,50))&amp;"_"&amp;INDEX('CONTROL MASTER'!$P$2:$P$495,(SUMPRODUCT((('CONTROL MASTER'!$S$2:$S$495=4)*('CONTROL MASTER'!$Z$2:$Z$495&lt;=1)*('CONTROL MASTER'!$AB$2:$AB$495&gt;=1)*('CONTROL MASTER'!$AA$2:$AA$495&lt;=2)*('CONTROL MASTER'!$AC$2:$AC$495&gt;=2))*ROW('CONTROL MASTER'!$S$2:$S$495))-(ROW('CONTROL MASTER'!#REF!)-1))),"")),"")</f>
        <v/>
      </c>
      <c r="D45" s="10" t="str">
        <f>IFERROR(IF(SUMPRODUCT((('CONTROL MASTER'!$S$2:$S$495=4)*('CONTROL MASTER'!$T$2:$T$495&lt;=1)*('CONTROL MASTER'!$V$2:$V$495&gt;=1)*('CONTROL MASTER'!$U$2:$U$495&lt;=3)*('CONTROL MASTER'!$W$2:$W$495&gt;=3))*ROW('CONTROL MASTER'!$S$2:$S$495))&gt;0,INDEX('CONTROL MASTER'!$X$2:$X$495,(SUMPRODUCT((('CONTROL MASTER'!$S$2:$S$495=4)*('CONTROL MASTER'!$T$2:$T$495&lt;=1)*('CONTROL MASTER'!$V$2:$V$495&gt;=1)*('CONTROL MASTER'!$U$2:$U$495&lt;=3)*('CONTROL MASTER'!$W$2:$W$495&gt;=3))*ROW('CONTROL MASTER'!$S$2:$S$495))-(ROW('CONTROL MASTER'!#REF!)-1)))&amp;TRIM(MID(SUBSTITUTE(SUBSTITUTE(INDEX('CONTROL MASTER'!$N$2:$N$495,(SUMPRODUCT((('CONTROL MASTER'!$S$2:$S$495=4)*('CONTROL MASTER'!$T$2:$T$495&lt;=1)*('CONTROL MASTER'!$V$2:$V$495&gt;=1)*('CONTROL MASTER'!$U$2:$U$495&lt;=3)*('CONTROL MASTER'!$W$2:$W$495&gt;=3))*ROW('CONTROL MASTER'!$S$2:$S$495))-(ROW('CONTROL MASTER'!#REF!)-1))),":",","),",",REPT(" ",50)),((((1-INDEX('CONTROL MASTER'!$T$2:$T$495,(SUMPRODUCT((('CONTROL MASTER'!$S$2:$S$495=4)*('CONTROL MASTER'!$T$2:$T$495&lt;=1)*('CONTROL MASTER'!$V$2:$V$495&gt;=1)*('CONTROL MASTER'!$U$2:$U$495&lt;=3)*('CONTROL MASTER'!$W$2:$W$495&gt;=3))*ROW('CONTROL MASTER'!$S$2:$S$495))-(ROW('CONTROL MASTER'!#REF!)-1))))*(INDEX('CONTROL MASTER'!$W$2:$W$495,(SUMPRODUCT((('CONTROL MASTER'!$S$2:$S$495=4)*('CONTROL MASTER'!$T$2:$T$495&lt;=1)*('CONTROL MASTER'!$V$2:$V$495&gt;=1)*('CONTROL MASTER'!$U$2:$U$495&lt;=3)*('CONTROL MASTER'!$W$2:$W$495&gt;=3))*ROW('CONTROL MASTER'!$S$2:$S$495))-(ROW('CONTROL MASTER'!#REF!)-1)))-INDEX('CONTROL MASTER'!$U$2:$U$495,(SUMPRODUCT((('CONTROL MASTER'!$S$2:$S$495=4)*('CONTROL MASTER'!$T$2:$T$495&lt;=1)*('CONTROL MASTER'!$V$2:$V$495&gt;=1)*('CONTROL MASTER'!$U$2:$U$495&lt;=3)*('CONTROL MASTER'!$W$2:$W$495&gt;=3))*ROW('CONTROL MASTER'!$S$2:$S$495))-(ROW('CONTROL MASTER'!#REF!)-1)))+1)+(3-INDEX('CONTROL MASTER'!$U$2:$U$495,(SUMPRODUCT((('CONTROL MASTER'!$S$2:$S$495=4)*('CONTROL MASTER'!$T$2:$T$495&lt;=1)*('CONTROL MASTER'!$V$2:$V$495&gt;=1)*('CONTROL MASTER'!$U$2:$U$495&lt;=3)*('CONTROL MASTER'!$W$2:$W$495&gt;=3))*ROW('CONTROL MASTER'!$S$2:$S$495))-(ROW('CONTROL MASTER'!#REF!)-1))))+1))-1)*50+1,50))&amp;"_"&amp;INDEX('CONTROL MASTER'!$P$2:$P$495,(SUMPRODUCT((('CONTROL MASTER'!$S$2:$S$495=4)*('CONTROL MASTER'!$T$2:$T$495&lt;=1)*('CONTROL MASTER'!$V$2:$V$495&gt;=1)*('CONTROL MASTER'!$U$2:$U$495&lt;=3)*('CONTROL MASTER'!$W$2:$W$495&gt;=3))*ROW('CONTROL MASTER'!$S$2:$S$495))-(ROW('CONTROL MASTER'!#REF!)-1))),IF(SUMPRODUCT((('CONTROL MASTER'!$S$2:$S$495=4)*('CONTROL MASTER'!$Z$2:$Z$495&lt;=1)*('CONTROL MASTER'!$AB$2:$AB$495&gt;=1)*('CONTROL MASTER'!$AA$2:$AA$495&lt;=3)*('CONTROL MASTER'!$AC$2:$AC$495&gt;=3))*ROW('CONTROL MASTER'!$S$2:$S$495))&gt;0,INDEX('CONTROL MASTER'!$X$2:$X$495,(SUMPRODUCT((('CONTROL MASTER'!$S$2:$S$495=4)*('CONTROL MASTER'!$Z$2:$Z$495&lt;=1)*('CONTROL MASTER'!$AB$2:$AB$495&gt;=1)*('CONTROL MASTER'!$AA$2:$AA$495&lt;=3)*('CONTROL MASTER'!$AC$2:$AC$495&gt;=3))*ROW('CONTROL MASTER'!$S$2:$S$495))-(ROW('CONTROL MASTER'!#REF!)-1)))&amp;TRIM(MID(SUBSTITUTE(SUBSTITUTE(INDEX('CONTROL MASTER'!$N$2:$N$495,(SUMPRODUCT((('CONTROL MASTER'!$S$2:$S$495=4)*('CONTROL MASTER'!$Z$2:$Z$495&lt;=1)*('CONTROL MASTER'!$AB$2:$AB$495&gt;=1)*('CONTROL MASTER'!$AA$2:$AA$495&lt;=3)*('CONTROL MASTER'!$AC$2:$AC$495&gt;=3))*ROW('CONTROL MASTER'!$S$2:$S$495))-(ROW('CONTROL MASTER'!#REF!)-1))),":",","),",",REPT(" ",50)),(((INDEX('CONTROL MASTER'!$Y$2:$Y$495,(SUMPRODUCT((('CONTROL MASTER'!$S$2:$S$495=4)*('CONTROL MASTER'!$Z$2:$Z$495&lt;=1)*('CONTROL MASTER'!$AB$2:$AB$495&gt;=1)*('CONTROL MASTER'!$AA$2:$AA$495&lt;=3)*('CONTROL MASTER'!$AC$2:$AC$495&gt;=3))*ROW('CONTROL MASTER'!$S$2:$S$495))-(ROW('CONTROL MASTER'!#REF!)-1)))+((1-INDEX('CONTROL MASTER'!$Z$2:$Z$495,(SUMPRODUCT((('CONTROL MASTER'!$S$2:$S$495=4)*('CONTROL MASTER'!$Z$2:$Z$495&lt;=1)*('CONTROL MASTER'!$AB$2:$AB$495&gt;=1)*('CONTROL MASTER'!$AA$2:$AA$495&lt;=3)*('CONTROL MASTER'!$AC$2:$AC$495&gt;=3))*ROW('CONTROL MASTER'!$S$2:$S$495))-(ROW('CONTROL MASTER'!#REF!)-1))))*(INDEX('CONTROL MASTER'!$AC$2:$AC$495,(SUMPRODUCT((('CONTROL MASTER'!$S$2:$S$495=4)*('CONTROL MASTER'!$Z$2:$Z$495&lt;=1)*('CONTROL MASTER'!$AB$2:$AB$495&gt;=1)*('CONTROL MASTER'!$AA$2:$AA$495&lt;=3)*('CONTROL MASTER'!$AC$2:$AC$495&gt;=3))*ROW('CONTROL MASTER'!$S$2:$S$495))-(ROW('CONTROL MASTER'!#REF!)-1)))-INDEX('CONTROL MASTER'!$AA$2:$AA$495,(SUMPRODUCT((('CONTROL MASTER'!$S$2:$S$495=4)*('CONTROL MASTER'!$Z$2:$Z$495&lt;=1)*('CONTROL MASTER'!$AB$2:$AB$495&gt;=1)*('CONTROL MASTER'!$AA$2:$AA$495&lt;=3)*('CONTROL MASTER'!$AC$2:$AC$495&gt;=3))*ROW('CONTROL MASTER'!$S$2:$S$495))-(ROW('CONTROL MASTER'!#REF!)-1)))+1)+(3-INDEX('CONTROL MASTER'!$AA$2:$AA$495,(SUMPRODUCT((('CONTROL MASTER'!$S$2:$S$495=4)*('CONTROL MASTER'!$Z$2:$Z$495&lt;=1)*('CONTROL MASTER'!$AB$2:$AB$495&gt;=1)*('CONTROL MASTER'!$AA$2:$AA$495&lt;=3)*('CONTROL MASTER'!$AC$2:$AC$495&gt;=3))*ROW('CONTROL MASTER'!$S$2:$S$495))-(ROW('CONTROL MASTER'!#REF!)-1))))+1)))-1)*50+1,50))&amp;"_"&amp;INDEX('CONTROL MASTER'!$P$2:$P$495,(SUMPRODUCT((('CONTROL MASTER'!$S$2:$S$495=4)*('CONTROL MASTER'!$Z$2:$Z$495&lt;=1)*('CONTROL MASTER'!$AB$2:$AB$495&gt;=1)*('CONTROL MASTER'!$AA$2:$AA$495&lt;=3)*('CONTROL MASTER'!$AC$2:$AC$495&gt;=3))*ROW('CONTROL MASTER'!$S$2:$S$495))-(ROW('CONTROL MASTER'!#REF!)-1))),"")),"")</f>
        <v/>
      </c>
      <c r="E45" s="10" t="str">
        <f>IFERROR(IF(SUMPRODUCT((('CONTROL MASTER'!$S$2:$S$495=4)*('CONTROL MASTER'!$T$2:$T$495&lt;=1)*('CONTROL MASTER'!$V$2:$V$495&gt;=1)*('CONTROL MASTER'!$U$2:$U$495&lt;=4)*('CONTROL MASTER'!$W$2:$W$495&gt;=4))*ROW('CONTROL MASTER'!$S$2:$S$495))&gt;0,INDEX('CONTROL MASTER'!$X$2:$X$495,(SUMPRODUCT((('CONTROL MASTER'!$S$2:$S$495=4)*('CONTROL MASTER'!$T$2:$T$495&lt;=1)*('CONTROL MASTER'!$V$2:$V$495&gt;=1)*('CONTROL MASTER'!$U$2:$U$495&lt;=4)*('CONTROL MASTER'!$W$2:$W$495&gt;=4))*ROW('CONTROL MASTER'!$S$2:$S$495))-(ROW('CONTROL MASTER'!#REF!)-1)))&amp;TRIM(MID(SUBSTITUTE(SUBSTITUTE(INDEX('CONTROL MASTER'!$N$2:$N$495,(SUMPRODUCT((('CONTROL MASTER'!$S$2:$S$495=4)*('CONTROL MASTER'!$T$2:$T$495&lt;=1)*('CONTROL MASTER'!$V$2:$V$495&gt;=1)*('CONTROL MASTER'!$U$2:$U$495&lt;=4)*('CONTROL MASTER'!$W$2:$W$495&gt;=4))*ROW('CONTROL MASTER'!$S$2:$S$495))-(ROW('CONTROL MASTER'!#REF!)-1))),":",","),",",REPT(" ",50)),((((1-INDEX('CONTROL MASTER'!$T$2:$T$495,(SUMPRODUCT((('CONTROL MASTER'!$S$2:$S$495=4)*('CONTROL MASTER'!$T$2:$T$495&lt;=1)*('CONTROL MASTER'!$V$2:$V$495&gt;=1)*('CONTROL MASTER'!$U$2:$U$495&lt;=4)*('CONTROL MASTER'!$W$2:$W$495&gt;=4))*ROW('CONTROL MASTER'!$S$2:$S$495))-(ROW('CONTROL MASTER'!#REF!)-1))))*(INDEX('CONTROL MASTER'!$W$2:$W$495,(SUMPRODUCT((('CONTROL MASTER'!$S$2:$S$495=4)*('CONTROL MASTER'!$T$2:$T$495&lt;=1)*('CONTROL MASTER'!$V$2:$V$495&gt;=1)*('CONTROL MASTER'!$U$2:$U$495&lt;=4)*('CONTROL MASTER'!$W$2:$W$495&gt;=4))*ROW('CONTROL MASTER'!$S$2:$S$495))-(ROW('CONTROL MASTER'!#REF!)-1)))-INDEX('CONTROL MASTER'!$U$2:$U$495,(SUMPRODUCT((('CONTROL MASTER'!$S$2:$S$495=4)*('CONTROL MASTER'!$T$2:$T$495&lt;=1)*('CONTROL MASTER'!$V$2:$V$495&gt;=1)*('CONTROL MASTER'!$U$2:$U$495&lt;=4)*('CONTROL MASTER'!$W$2:$W$495&gt;=4))*ROW('CONTROL MASTER'!$S$2:$S$495))-(ROW('CONTROL MASTER'!#REF!)-1)))+1)+(4-INDEX('CONTROL MASTER'!$U$2:$U$495,(SUMPRODUCT((('CONTROL MASTER'!$S$2:$S$495=4)*('CONTROL MASTER'!$T$2:$T$495&lt;=1)*('CONTROL MASTER'!$V$2:$V$495&gt;=1)*('CONTROL MASTER'!$U$2:$U$495&lt;=4)*('CONTROL MASTER'!$W$2:$W$495&gt;=4))*ROW('CONTROL MASTER'!$S$2:$S$495))-(ROW('CONTROL MASTER'!#REF!)-1))))+1))-1)*50+1,50))&amp;"_"&amp;INDEX('CONTROL MASTER'!$P$2:$P$495,(SUMPRODUCT((('CONTROL MASTER'!$S$2:$S$495=4)*('CONTROL MASTER'!$T$2:$T$495&lt;=1)*('CONTROL MASTER'!$V$2:$V$495&gt;=1)*('CONTROL MASTER'!$U$2:$U$495&lt;=4)*('CONTROL MASTER'!$W$2:$W$495&gt;=4))*ROW('CONTROL MASTER'!$S$2:$S$495))-(ROW('CONTROL MASTER'!#REF!)-1))),IF(SUMPRODUCT((('CONTROL MASTER'!$S$2:$S$495=4)*('CONTROL MASTER'!$Z$2:$Z$495&lt;=1)*('CONTROL MASTER'!$AB$2:$AB$495&gt;=1)*('CONTROL MASTER'!$AA$2:$AA$495&lt;=4)*('CONTROL MASTER'!$AC$2:$AC$495&gt;=4))*ROW('CONTROL MASTER'!$S$2:$S$495))&gt;0,INDEX('CONTROL MASTER'!$X$2:$X$495,(SUMPRODUCT((('CONTROL MASTER'!$S$2:$S$495=4)*('CONTROL MASTER'!$Z$2:$Z$495&lt;=1)*('CONTROL MASTER'!$AB$2:$AB$495&gt;=1)*('CONTROL MASTER'!$AA$2:$AA$495&lt;=4)*('CONTROL MASTER'!$AC$2:$AC$495&gt;=4))*ROW('CONTROL MASTER'!$S$2:$S$495))-(ROW('CONTROL MASTER'!#REF!)-1)))&amp;TRIM(MID(SUBSTITUTE(SUBSTITUTE(INDEX('CONTROL MASTER'!$N$2:$N$495,(SUMPRODUCT((('CONTROL MASTER'!$S$2:$S$495=4)*('CONTROL MASTER'!$Z$2:$Z$495&lt;=1)*('CONTROL MASTER'!$AB$2:$AB$495&gt;=1)*('CONTROL MASTER'!$AA$2:$AA$495&lt;=4)*('CONTROL MASTER'!$AC$2:$AC$495&gt;=4))*ROW('CONTROL MASTER'!$S$2:$S$495))-(ROW('CONTROL MASTER'!#REF!)-1))),":",","),",",REPT(" ",50)),(((INDEX('CONTROL MASTER'!$Y$2:$Y$495,(SUMPRODUCT((('CONTROL MASTER'!$S$2:$S$495=4)*('CONTROL MASTER'!$Z$2:$Z$495&lt;=1)*('CONTROL MASTER'!$AB$2:$AB$495&gt;=1)*('CONTROL MASTER'!$AA$2:$AA$495&lt;=4)*('CONTROL MASTER'!$AC$2:$AC$495&gt;=4))*ROW('CONTROL MASTER'!$S$2:$S$495))-(ROW('CONTROL MASTER'!#REF!)-1)))+((1-INDEX('CONTROL MASTER'!$Z$2:$Z$495,(SUMPRODUCT((('CONTROL MASTER'!$S$2:$S$495=4)*('CONTROL MASTER'!$Z$2:$Z$495&lt;=1)*('CONTROL MASTER'!$AB$2:$AB$495&gt;=1)*('CONTROL MASTER'!$AA$2:$AA$495&lt;=4)*('CONTROL MASTER'!$AC$2:$AC$495&gt;=4))*ROW('CONTROL MASTER'!$S$2:$S$495))-(ROW('CONTROL MASTER'!#REF!)-1))))*(INDEX('CONTROL MASTER'!$AC$2:$AC$495,(SUMPRODUCT((('CONTROL MASTER'!$S$2:$S$495=4)*('CONTROL MASTER'!$Z$2:$Z$495&lt;=1)*('CONTROL MASTER'!$AB$2:$AB$495&gt;=1)*('CONTROL MASTER'!$AA$2:$AA$495&lt;=4)*('CONTROL MASTER'!$AC$2:$AC$495&gt;=4))*ROW('CONTROL MASTER'!$S$2:$S$495))-(ROW('CONTROL MASTER'!#REF!)-1)))-INDEX('CONTROL MASTER'!$AA$2:$AA$495,(SUMPRODUCT((('CONTROL MASTER'!$S$2:$S$495=4)*('CONTROL MASTER'!$Z$2:$Z$495&lt;=1)*('CONTROL MASTER'!$AB$2:$AB$495&gt;=1)*('CONTROL MASTER'!$AA$2:$AA$495&lt;=4)*('CONTROL MASTER'!$AC$2:$AC$495&gt;=4))*ROW('CONTROL MASTER'!$S$2:$S$495))-(ROW('CONTROL MASTER'!#REF!)-1)))+1)+(4-INDEX('CONTROL MASTER'!$AA$2:$AA$495,(SUMPRODUCT((('CONTROL MASTER'!$S$2:$S$495=4)*('CONTROL MASTER'!$Z$2:$Z$495&lt;=1)*('CONTROL MASTER'!$AB$2:$AB$495&gt;=1)*('CONTROL MASTER'!$AA$2:$AA$495&lt;=4)*('CONTROL MASTER'!$AC$2:$AC$495&gt;=4))*ROW('CONTROL MASTER'!$S$2:$S$495))-(ROW('CONTROL MASTER'!#REF!)-1))))+1)))-1)*50+1,50))&amp;"_"&amp;INDEX('CONTROL MASTER'!$P$2:$P$495,(SUMPRODUCT((('CONTROL MASTER'!$S$2:$S$495=4)*('CONTROL MASTER'!$Z$2:$Z$495&lt;=1)*('CONTROL MASTER'!$AB$2:$AB$495&gt;=1)*('CONTROL MASTER'!$AA$2:$AA$495&lt;=4)*('CONTROL MASTER'!$AC$2:$AC$495&gt;=4))*ROW('CONTROL MASTER'!$S$2:$S$495))-(ROW('CONTROL MASTER'!#REF!)-1))),"")),"")</f>
        <v/>
      </c>
      <c r="F45" s="10" t="str">
        <f>IFERROR(IF(SUMPRODUCT((('CONTROL MASTER'!$S$2:$S$495=4)*('CONTROL MASTER'!$T$2:$T$495&lt;=1)*('CONTROL MASTER'!$V$2:$V$495&gt;=1)*('CONTROL MASTER'!$U$2:$U$495&lt;=5)*('CONTROL MASTER'!$W$2:$W$495&gt;=5))*ROW('CONTROL MASTER'!$S$2:$S$495))&gt;0,INDEX('CONTROL MASTER'!$X$2:$X$495,(SUMPRODUCT((('CONTROL MASTER'!$S$2:$S$495=4)*('CONTROL MASTER'!$T$2:$T$495&lt;=1)*('CONTROL MASTER'!$V$2:$V$495&gt;=1)*('CONTROL MASTER'!$U$2:$U$495&lt;=5)*('CONTROL MASTER'!$W$2:$W$495&gt;=5))*ROW('CONTROL MASTER'!$S$2:$S$495))-(ROW('CONTROL MASTER'!#REF!)-1)))&amp;TRIM(MID(SUBSTITUTE(SUBSTITUTE(INDEX('CONTROL MASTER'!$N$2:$N$495,(SUMPRODUCT((('CONTROL MASTER'!$S$2:$S$495=4)*('CONTROL MASTER'!$T$2:$T$495&lt;=1)*('CONTROL MASTER'!$V$2:$V$495&gt;=1)*('CONTROL MASTER'!$U$2:$U$495&lt;=5)*('CONTROL MASTER'!$W$2:$W$495&gt;=5))*ROW('CONTROL MASTER'!$S$2:$S$495))-(ROW('CONTROL MASTER'!#REF!)-1))),":",","),",",REPT(" ",50)),((((1-INDEX('CONTROL MASTER'!$T$2:$T$495,(SUMPRODUCT((('CONTROL MASTER'!$S$2:$S$495=4)*('CONTROL MASTER'!$T$2:$T$495&lt;=1)*('CONTROL MASTER'!$V$2:$V$495&gt;=1)*('CONTROL MASTER'!$U$2:$U$495&lt;=5)*('CONTROL MASTER'!$W$2:$W$495&gt;=5))*ROW('CONTROL MASTER'!$S$2:$S$495))-(ROW('CONTROL MASTER'!#REF!)-1))))*(INDEX('CONTROL MASTER'!$W$2:$W$495,(SUMPRODUCT((('CONTROL MASTER'!$S$2:$S$495=4)*('CONTROL MASTER'!$T$2:$T$495&lt;=1)*('CONTROL MASTER'!$V$2:$V$495&gt;=1)*('CONTROL MASTER'!$U$2:$U$495&lt;=5)*('CONTROL MASTER'!$W$2:$W$495&gt;=5))*ROW('CONTROL MASTER'!$S$2:$S$495))-(ROW('CONTROL MASTER'!#REF!)-1)))-INDEX('CONTROL MASTER'!$U$2:$U$495,(SUMPRODUCT((('CONTROL MASTER'!$S$2:$S$495=4)*('CONTROL MASTER'!$T$2:$T$495&lt;=1)*('CONTROL MASTER'!$V$2:$V$495&gt;=1)*('CONTROL MASTER'!$U$2:$U$495&lt;=5)*('CONTROL MASTER'!$W$2:$W$495&gt;=5))*ROW('CONTROL MASTER'!$S$2:$S$495))-(ROW('CONTROL MASTER'!#REF!)-1)))+1)+(5-INDEX('CONTROL MASTER'!$U$2:$U$495,(SUMPRODUCT((('CONTROL MASTER'!$S$2:$S$495=4)*('CONTROL MASTER'!$T$2:$T$495&lt;=1)*('CONTROL MASTER'!$V$2:$V$495&gt;=1)*('CONTROL MASTER'!$U$2:$U$495&lt;=5)*('CONTROL MASTER'!$W$2:$W$495&gt;=5))*ROW('CONTROL MASTER'!$S$2:$S$495))-(ROW('CONTROL MASTER'!#REF!)-1))))+1))-1)*50+1,50))&amp;"_"&amp;INDEX('CONTROL MASTER'!$P$2:$P$495,(SUMPRODUCT((('CONTROL MASTER'!$S$2:$S$495=4)*('CONTROL MASTER'!$T$2:$T$495&lt;=1)*('CONTROL MASTER'!$V$2:$V$495&gt;=1)*('CONTROL MASTER'!$U$2:$U$495&lt;=5)*('CONTROL MASTER'!$W$2:$W$495&gt;=5))*ROW('CONTROL MASTER'!$S$2:$S$495))-(ROW('CONTROL MASTER'!#REF!)-1))),IF(SUMPRODUCT((('CONTROL MASTER'!$S$2:$S$495=4)*('CONTROL MASTER'!$Z$2:$Z$495&lt;=1)*('CONTROL MASTER'!$AB$2:$AB$495&gt;=1)*('CONTROL MASTER'!$AA$2:$AA$495&lt;=5)*('CONTROL MASTER'!$AC$2:$AC$495&gt;=5))*ROW('CONTROL MASTER'!$S$2:$S$495))&gt;0,INDEX('CONTROL MASTER'!$X$2:$X$495,(SUMPRODUCT((('CONTROL MASTER'!$S$2:$S$495=4)*('CONTROL MASTER'!$Z$2:$Z$495&lt;=1)*('CONTROL MASTER'!$AB$2:$AB$495&gt;=1)*('CONTROL MASTER'!$AA$2:$AA$495&lt;=5)*('CONTROL MASTER'!$AC$2:$AC$495&gt;=5))*ROW('CONTROL MASTER'!$S$2:$S$495))-(ROW('CONTROL MASTER'!#REF!)-1)))&amp;TRIM(MID(SUBSTITUTE(SUBSTITUTE(INDEX('CONTROL MASTER'!$N$2:$N$495,(SUMPRODUCT((('CONTROL MASTER'!$S$2:$S$495=4)*('CONTROL MASTER'!$Z$2:$Z$495&lt;=1)*('CONTROL MASTER'!$AB$2:$AB$495&gt;=1)*('CONTROL MASTER'!$AA$2:$AA$495&lt;=5)*('CONTROL MASTER'!$AC$2:$AC$495&gt;=5))*ROW('CONTROL MASTER'!$S$2:$S$495))-(ROW('CONTROL MASTER'!#REF!)-1))),":",","),",",REPT(" ",50)),(((INDEX('CONTROL MASTER'!$Y$2:$Y$495,(SUMPRODUCT((('CONTROL MASTER'!$S$2:$S$495=4)*('CONTROL MASTER'!$Z$2:$Z$495&lt;=1)*('CONTROL MASTER'!$AB$2:$AB$495&gt;=1)*('CONTROL MASTER'!$AA$2:$AA$495&lt;=5)*('CONTROL MASTER'!$AC$2:$AC$495&gt;=5))*ROW('CONTROL MASTER'!$S$2:$S$495))-(ROW('CONTROL MASTER'!#REF!)-1)))+((1-INDEX('CONTROL MASTER'!$Z$2:$Z$495,(SUMPRODUCT((('CONTROL MASTER'!$S$2:$S$495=4)*('CONTROL MASTER'!$Z$2:$Z$495&lt;=1)*('CONTROL MASTER'!$AB$2:$AB$495&gt;=1)*('CONTROL MASTER'!$AA$2:$AA$495&lt;=5)*('CONTROL MASTER'!$AC$2:$AC$495&gt;=5))*ROW('CONTROL MASTER'!$S$2:$S$495))-(ROW('CONTROL MASTER'!#REF!)-1))))*(INDEX('CONTROL MASTER'!$AC$2:$AC$495,(SUMPRODUCT((('CONTROL MASTER'!$S$2:$S$495=4)*('CONTROL MASTER'!$Z$2:$Z$495&lt;=1)*('CONTROL MASTER'!$AB$2:$AB$495&gt;=1)*('CONTROL MASTER'!$AA$2:$AA$495&lt;=5)*('CONTROL MASTER'!$AC$2:$AC$495&gt;=5))*ROW('CONTROL MASTER'!$S$2:$S$495))-(ROW('CONTROL MASTER'!#REF!)-1)))-INDEX('CONTROL MASTER'!$AA$2:$AA$495,(SUMPRODUCT((('CONTROL MASTER'!$S$2:$S$495=4)*('CONTROL MASTER'!$Z$2:$Z$495&lt;=1)*('CONTROL MASTER'!$AB$2:$AB$495&gt;=1)*('CONTROL MASTER'!$AA$2:$AA$495&lt;=5)*('CONTROL MASTER'!$AC$2:$AC$495&gt;=5))*ROW('CONTROL MASTER'!$S$2:$S$495))-(ROW('CONTROL MASTER'!#REF!)-1)))+1)+(5-INDEX('CONTROL MASTER'!$AA$2:$AA$495,(SUMPRODUCT((('CONTROL MASTER'!$S$2:$S$495=4)*('CONTROL MASTER'!$Z$2:$Z$495&lt;=1)*('CONTROL MASTER'!$AB$2:$AB$495&gt;=1)*('CONTROL MASTER'!$AA$2:$AA$495&lt;=5)*('CONTROL MASTER'!$AC$2:$AC$495&gt;=5))*ROW('CONTROL MASTER'!$S$2:$S$495))-(ROW('CONTROL MASTER'!#REF!)-1))))+1)))-1)*50+1,50))&amp;"_"&amp;INDEX('CONTROL MASTER'!$P$2:$P$495,(SUMPRODUCT((('CONTROL MASTER'!$S$2:$S$495=4)*('CONTROL MASTER'!$Z$2:$Z$495&lt;=1)*('CONTROL MASTER'!$AB$2:$AB$495&gt;=1)*('CONTROL MASTER'!$AA$2:$AA$495&lt;=5)*('CONTROL MASTER'!$AC$2:$AC$495&gt;=5))*ROW('CONTROL MASTER'!$S$2:$S$495))-(ROW('CONTROL MASTER'!#REF!)-1))),"")),"")</f>
        <v/>
      </c>
      <c r="G45" s="10" t="str">
        <f>IFERROR(IF(SUMPRODUCT((('CONTROL MASTER'!$S$2:$S$495=4)*('CONTROL MASTER'!$T$2:$T$495&lt;=1)*('CONTROL MASTER'!$V$2:$V$495&gt;=1)*('CONTROL MASTER'!$U$2:$U$495&lt;=6)*('CONTROL MASTER'!$W$2:$W$495&gt;=6))*ROW('CONTROL MASTER'!$S$2:$S$495))&gt;0,INDEX('CONTROL MASTER'!$X$2:$X$495,(SUMPRODUCT((('CONTROL MASTER'!$S$2:$S$495=4)*('CONTROL MASTER'!$T$2:$T$495&lt;=1)*('CONTROL MASTER'!$V$2:$V$495&gt;=1)*('CONTROL MASTER'!$U$2:$U$495&lt;=6)*('CONTROL MASTER'!$W$2:$W$495&gt;=6))*ROW('CONTROL MASTER'!$S$2:$S$495))-(ROW('CONTROL MASTER'!#REF!)-1)))&amp;TRIM(MID(SUBSTITUTE(SUBSTITUTE(INDEX('CONTROL MASTER'!$N$2:$N$495,(SUMPRODUCT((('CONTROL MASTER'!$S$2:$S$495=4)*('CONTROL MASTER'!$T$2:$T$495&lt;=1)*('CONTROL MASTER'!$V$2:$V$495&gt;=1)*('CONTROL MASTER'!$U$2:$U$495&lt;=6)*('CONTROL MASTER'!$W$2:$W$495&gt;=6))*ROW('CONTROL MASTER'!$S$2:$S$495))-(ROW('CONTROL MASTER'!#REF!)-1))),":",","),",",REPT(" ",50)),((((1-INDEX('CONTROL MASTER'!$T$2:$T$495,(SUMPRODUCT((('CONTROL MASTER'!$S$2:$S$495=4)*('CONTROL MASTER'!$T$2:$T$495&lt;=1)*('CONTROL MASTER'!$V$2:$V$495&gt;=1)*('CONTROL MASTER'!$U$2:$U$495&lt;=6)*('CONTROL MASTER'!$W$2:$W$495&gt;=6))*ROW('CONTROL MASTER'!$S$2:$S$495))-(ROW('CONTROL MASTER'!#REF!)-1))))*(INDEX('CONTROL MASTER'!$W$2:$W$495,(SUMPRODUCT((('CONTROL MASTER'!$S$2:$S$495=4)*('CONTROL MASTER'!$T$2:$T$495&lt;=1)*('CONTROL MASTER'!$V$2:$V$495&gt;=1)*('CONTROL MASTER'!$U$2:$U$495&lt;=6)*('CONTROL MASTER'!$W$2:$W$495&gt;=6))*ROW('CONTROL MASTER'!$S$2:$S$495))-(ROW('CONTROL MASTER'!#REF!)-1)))-INDEX('CONTROL MASTER'!$U$2:$U$495,(SUMPRODUCT((('CONTROL MASTER'!$S$2:$S$495=4)*('CONTROL MASTER'!$T$2:$T$495&lt;=1)*('CONTROL MASTER'!$V$2:$V$495&gt;=1)*('CONTROL MASTER'!$U$2:$U$495&lt;=6)*('CONTROL MASTER'!$W$2:$W$495&gt;=6))*ROW('CONTROL MASTER'!$S$2:$S$495))-(ROW('CONTROL MASTER'!#REF!)-1)))+1)+(6-INDEX('CONTROL MASTER'!$U$2:$U$495,(SUMPRODUCT((('CONTROL MASTER'!$S$2:$S$495=4)*('CONTROL MASTER'!$T$2:$T$495&lt;=1)*('CONTROL MASTER'!$V$2:$V$495&gt;=1)*('CONTROL MASTER'!$U$2:$U$495&lt;=6)*('CONTROL MASTER'!$W$2:$W$495&gt;=6))*ROW('CONTROL MASTER'!$S$2:$S$495))-(ROW('CONTROL MASTER'!#REF!)-1))))+1))-1)*50+1,50))&amp;"_"&amp;INDEX('CONTROL MASTER'!$P$2:$P$495,(SUMPRODUCT((('CONTROL MASTER'!$S$2:$S$495=4)*('CONTROL MASTER'!$T$2:$T$495&lt;=1)*('CONTROL MASTER'!$V$2:$V$495&gt;=1)*('CONTROL MASTER'!$U$2:$U$495&lt;=6)*('CONTROL MASTER'!$W$2:$W$495&gt;=6))*ROW('CONTROL MASTER'!$S$2:$S$495))-(ROW('CONTROL MASTER'!#REF!)-1))),IF(SUMPRODUCT((('CONTROL MASTER'!$S$2:$S$495=4)*('CONTROL MASTER'!$Z$2:$Z$495&lt;=1)*('CONTROL MASTER'!$AB$2:$AB$495&gt;=1)*('CONTROL MASTER'!$AA$2:$AA$495&lt;=6)*('CONTROL MASTER'!$AC$2:$AC$495&gt;=6))*ROW('CONTROL MASTER'!$S$2:$S$495))&gt;0,INDEX('CONTROL MASTER'!$X$2:$X$495,(SUMPRODUCT((('CONTROL MASTER'!$S$2:$S$495=4)*('CONTROL MASTER'!$Z$2:$Z$495&lt;=1)*('CONTROL MASTER'!$AB$2:$AB$495&gt;=1)*('CONTROL MASTER'!$AA$2:$AA$495&lt;=6)*('CONTROL MASTER'!$AC$2:$AC$495&gt;=6))*ROW('CONTROL MASTER'!$S$2:$S$495))-(ROW('CONTROL MASTER'!#REF!)-1)))&amp;TRIM(MID(SUBSTITUTE(SUBSTITUTE(INDEX('CONTROL MASTER'!$N$2:$N$495,(SUMPRODUCT((('CONTROL MASTER'!$S$2:$S$495=4)*('CONTROL MASTER'!$Z$2:$Z$495&lt;=1)*('CONTROL MASTER'!$AB$2:$AB$495&gt;=1)*('CONTROL MASTER'!$AA$2:$AA$495&lt;=6)*('CONTROL MASTER'!$AC$2:$AC$495&gt;=6))*ROW('CONTROL MASTER'!$S$2:$S$495))-(ROW('CONTROL MASTER'!#REF!)-1))),":",","),",",REPT(" ",50)),(((INDEX('CONTROL MASTER'!$Y$2:$Y$495,(SUMPRODUCT((('CONTROL MASTER'!$S$2:$S$495=4)*('CONTROL MASTER'!$Z$2:$Z$495&lt;=1)*('CONTROL MASTER'!$AB$2:$AB$495&gt;=1)*('CONTROL MASTER'!$AA$2:$AA$495&lt;=6)*('CONTROL MASTER'!$AC$2:$AC$495&gt;=6))*ROW('CONTROL MASTER'!$S$2:$S$495))-(ROW('CONTROL MASTER'!#REF!)-1)))+((1-INDEX('CONTROL MASTER'!$Z$2:$Z$495,(SUMPRODUCT((('CONTROL MASTER'!$S$2:$S$495=4)*('CONTROL MASTER'!$Z$2:$Z$495&lt;=1)*('CONTROL MASTER'!$AB$2:$AB$495&gt;=1)*('CONTROL MASTER'!$AA$2:$AA$495&lt;=6)*('CONTROL MASTER'!$AC$2:$AC$495&gt;=6))*ROW('CONTROL MASTER'!$S$2:$S$495))-(ROW('CONTROL MASTER'!#REF!)-1))))*(INDEX('CONTROL MASTER'!$AC$2:$AC$495,(SUMPRODUCT((('CONTROL MASTER'!$S$2:$S$495=4)*('CONTROL MASTER'!$Z$2:$Z$495&lt;=1)*('CONTROL MASTER'!$AB$2:$AB$495&gt;=1)*('CONTROL MASTER'!$AA$2:$AA$495&lt;=6)*('CONTROL MASTER'!$AC$2:$AC$495&gt;=6))*ROW('CONTROL MASTER'!$S$2:$S$495))-(ROW('CONTROL MASTER'!#REF!)-1)))-INDEX('CONTROL MASTER'!$AA$2:$AA$495,(SUMPRODUCT((('CONTROL MASTER'!$S$2:$S$495=4)*('CONTROL MASTER'!$Z$2:$Z$495&lt;=1)*('CONTROL MASTER'!$AB$2:$AB$495&gt;=1)*('CONTROL MASTER'!$AA$2:$AA$495&lt;=6)*('CONTROL MASTER'!$AC$2:$AC$495&gt;=6))*ROW('CONTROL MASTER'!$S$2:$S$495))-(ROW('CONTROL MASTER'!#REF!)-1)))+1)+(6-INDEX('CONTROL MASTER'!$AA$2:$AA$495,(SUMPRODUCT((('CONTROL MASTER'!$S$2:$S$495=4)*('CONTROL MASTER'!$Z$2:$Z$495&lt;=1)*('CONTROL MASTER'!$AB$2:$AB$495&gt;=1)*('CONTROL MASTER'!$AA$2:$AA$495&lt;=6)*('CONTROL MASTER'!$AC$2:$AC$495&gt;=6))*ROW('CONTROL MASTER'!$S$2:$S$495))-(ROW('CONTROL MASTER'!#REF!)-1))))+1)))-1)*50+1,50))&amp;"_"&amp;INDEX('CONTROL MASTER'!$P$2:$P$495,(SUMPRODUCT((('CONTROL MASTER'!$S$2:$S$495=4)*('CONTROL MASTER'!$Z$2:$Z$495&lt;=1)*('CONTROL MASTER'!$AB$2:$AB$495&gt;=1)*('CONTROL MASTER'!$AA$2:$AA$495&lt;=6)*('CONTROL MASTER'!$AC$2:$AC$495&gt;=6))*ROW('CONTROL MASTER'!$S$2:$S$495))-(ROW('CONTROL MASTER'!#REF!)-1))),"")),"")</f>
        <v/>
      </c>
      <c r="H45" s="10" t="str">
        <f>IFERROR(IF(SUMPRODUCT((('CONTROL MASTER'!$S$2:$S$495=4)*('CONTROL MASTER'!$T$2:$T$495&lt;=1)*('CONTROL MASTER'!$V$2:$V$495&gt;=1)*('CONTROL MASTER'!$U$2:$U$495&lt;=7)*('CONTROL MASTER'!$W$2:$W$495&gt;=7))*ROW('CONTROL MASTER'!$S$2:$S$495))&gt;0,INDEX('CONTROL MASTER'!$X$2:$X$495,(SUMPRODUCT((('CONTROL MASTER'!$S$2:$S$495=4)*('CONTROL MASTER'!$T$2:$T$495&lt;=1)*('CONTROL MASTER'!$V$2:$V$495&gt;=1)*('CONTROL MASTER'!$U$2:$U$495&lt;=7)*('CONTROL MASTER'!$W$2:$W$495&gt;=7))*ROW('CONTROL MASTER'!$S$2:$S$495))-(ROW('CONTROL MASTER'!#REF!)-1)))&amp;TRIM(MID(SUBSTITUTE(SUBSTITUTE(INDEX('CONTROL MASTER'!$N$2:$N$495,(SUMPRODUCT((('CONTROL MASTER'!$S$2:$S$495=4)*('CONTROL MASTER'!$T$2:$T$495&lt;=1)*('CONTROL MASTER'!$V$2:$V$495&gt;=1)*('CONTROL MASTER'!$U$2:$U$495&lt;=7)*('CONTROL MASTER'!$W$2:$W$495&gt;=7))*ROW('CONTROL MASTER'!$S$2:$S$495))-(ROW('CONTROL MASTER'!#REF!)-1))),":",","),",",REPT(" ",50)),((((1-INDEX('CONTROL MASTER'!$T$2:$T$495,(SUMPRODUCT((('CONTROL MASTER'!$S$2:$S$495=4)*('CONTROL MASTER'!$T$2:$T$495&lt;=1)*('CONTROL MASTER'!$V$2:$V$495&gt;=1)*('CONTROL MASTER'!$U$2:$U$495&lt;=7)*('CONTROL MASTER'!$W$2:$W$495&gt;=7))*ROW('CONTROL MASTER'!$S$2:$S$495))-(ROW('CONTROL MASTER'!#REF!)-1))))*(INDEX('CONTROL MASTER'!$W$2:$W$495,(SUMPRODUCT((('CONTROL MASTER'!$S$2:$S$495=4)*('CONTROL MASTER'!$T$2:$T$495&lt;=1)*('CONTROL MASTER'!$V$2:$V$495&gt;=1)*('CONTROL MASTER'!$U$2:$U$495&lt;=7)*('CONTROL MASTER'!$W$2:$W$495&gt;=7))*ROW('CONTROL MASTER'!$S$2:$S$495))-(ROW('CONTROL MASTER'!#REF!)-1)))-INDEX('CONTROL MASTER'!$U$2:$U$495,(SUMPRODUCT((('CONTROL MASTER'!$S$2:$S$495=4)*('CONTROL MASTER'!$T$2:$T$495&lt;=1)*('CONTROL MASTER'!$V$2:$V$495&gt;=1)*('CONTROL MASTER'!$U$2:$U$495&lt;=7)*('CONTROL MASTER'!$W$2:$W$495&gt;=7))*ROW('CONTROL MASTER'!$S$2:$S$495))-(ROW('CONTROL MASTER'!#REF!)-1)))+1)+(7-INDEX('CONTROL MASTER'!$U$2:$U$495,(SUMPRODUCT((('CONTROL MASTER'!$S$2:$S$495=4)*('CONTROL MASTER'!$T$2:$T$495&lt;=1)*('CONTROL MASTER'!$V$2:$V$495&gt;=1)*('CONTROL MASTER'!$U$2:$U$495&lt;=7)*('CONTROL MASTER'!$W$2:$W$495&gt;=7))*ROW('CONTROL MASTER'!$S$2:$S$495))-(ROW('CONTROL MASTER'!#REF!)-1))))+1))-1)*50+1,50))&amp;"_"&amp;INDEX('CONTROL MASTER'!$P$2:$P$495,(SUMPRODUCT((('CONTROL MASTER'!$S$2:$S$495=4)*('CONTROL MASTER'!$T$2:$T$495&lt;=1)*('CONTROL MASTER'!$V$2:$V$495&gt;=1)*('CONTROL MASTER'!$U$2:$U$495&lt;=7)*('CONTROL MASTER'!$W$2:$W$495&gt;=7))*ROW('CONTROL MASTER'!$S$2:$S$495))-(ROW('CONTROL MASTER'!#REF!)-1))),IF(SUMPRODUCT((('CONTROL MASTER'!$S$2:$S$495=4)*('CONTROL MASTER'!$Z$2:$Z$495&lt;=1)*('CONTROL MASTER'!$AB$2:$AB$495&gt;=1)*('CONTROL MASTER'!$AA$2:$AA$495&lt;=7)*('CONTROL MASTER'!$AC$2:$AC$495&gt;=7))*ROW('CONTROL MASTER'!$S$2:$S$495))&gt;0,INDEX('CONTROL MASTER'!$X$2:$X$495,(SUMPRODUCT((('CONTROL MASTER'!$S$2:$S$495=4)*('CONTROL MASTER'!$Z$2:$Z$495&lt;=1)*('CONTROL MASTER'!$AB$2:$AB$495&gt;=1)*('CONTROL MASTER'!$AA$2:$AA$495&lt;=7)*('CONTROL MASTER'!$AC$2:$AC$495&gt;=7))*ROW('CONTROL MASTER'!$S$2:$S$495))-(ROW('CONTROL MASTER'!#REF!)-1)))&amp;TRIM(MID(SUBSTITUTE(SUBSTITUTE(INDEX('CONTROL MASTER'!$N$2:$N$495,(SUMPRODUCT((('CONTROL MASTER'!$S$2:$S$495=4)*('CONTROL MASTER'!$Z$2:$Z$495&lt;=1)*('CONTROL MASTER'!$AB$2:$AB$495&gt;=1)*('CONTROL MASTER'!$AA$2:$AA$495&lt;=7)*('CONTROL MASTER'!$AC$2:$AC$495&gt;=7))*ROW('CONTROL MASTER'!$S$2:$S$495))-(ROW('CONTROL MASTER'!#REF!)-1))),":",","),",",REPT(" ",50)),(((INDEX('CONTROL MASTER'!$Y$2:$Y$495,(SUMPRODUCT((('CONTROL MASTER'!$S$2:$S$495=4)*('CONTROL MASTER'!$Z$2:$Z$495&lt;=1)*('CONTROL MASTER'!$AB$2:$AB$495&gt;=1)*('CONTROL MASTER'!$AA$2:$AA$495&lt;=7)*('CONTROL MASTER'!$AC$2:$AC$495&gt;=7))*ROW('CONTROL MASTER'!$S$2:$S$495))-(ROW('CONTROL MASTER'!#REF!)-1)))+((1-INDEX('CONTROL MASTER'!$Z$2:$Z$495,(SUMPRODUCT((('CONTROL MASTER'!$S$2:$S$495=4)*('CONTROL MASTER'!$Z$2:$Z$495&lt;=1)*('CONTROL MASTER'!$AB$2:$AB$495&gt;=1)*('CONTROL MASTER'!$AA$2:$AA$495&lt;=7)*('CONTROL MASTER'!$AC$2:$AC$495&gt;=7))*ROW('CONTROL MASTER'!$S$2:$S$495))-(ROW('CONTROL MASTER'!#REF!)-1))))*(INDEX('CONTROL MASTER'!$AC$2:$AC$495,(SUMPRODUCT((('CONTROL MASTER'!$S$2:$S$495=4)*('CONTROL MASTER'!$Z$2:$Z$495&lt;=1)*('CONTROL MASTER'!$AB$2:$AB$495&gt;=1)*('CONTROL MASTER'!$AA$2:$AA$495&lt;=7)*('CONTROL MASTER'!$AC$2:$AC$495&gt;=7))*ROW('CONTROL MASTER'!$S$2:$S$495))-(ROW('CONTROL MASTER'!#REF!)-1)))-INDEX('CONTROL MASTER'!$AA$2:$AA$495,(SUMPRODUCT((('CONTROL MASTER'!$S$2:$S$495=4)*('CONTROL MASTER'!$Z$2:$Z$495&lt;=1)*('CONTROL MASTER'!$AB$2:$AB$495&gt;=1)*('CONTROL MASTER'!$AA$2:$AA$495&lt;=7)*('CONTROL MASTER'!$AC$2:$AC$495&gt;=7))*ROW('CONTROL MASTER'!$S$2:$S$495))-(ROW('CONTROL MASTER'!#REF!)-1)))+1)+(7-INDEX('CONTROL MASTER'!$AA$2:$AA$495,(SUMPRODUCT((('CONTROL MASTER'!$S$2:$S$495=4)*('CONTROL MASTER'!$Z$2:$Z$495&lt;=1)*('CONTROL MASTER'!$AB$2:$AB$495&gt;=1)*('CONTROL MASTER'!$AA$2:$AA$495&lt;=7)*('CONTROL MASTER'!$AC$2:$AC$495&gt;=7))*ROW('CONTROL MASTER'!$S$2:$S$495))-(ROW('CONTROL MASTER'!#REF!)-1))))+1)))-1)*50+1,50))&amp;"_"&amp;INDEX('CONTROL MASTER'!$P$2:$P$495,(SUMPRODUCT((('CONTROL MASTER'!$S$2:$S$495=4)*('CONTROL MASTER'!$Z$2:$Z$495&lt;=1)*('CONTROL MASTER'!$AB$2:$AB$495&gt;=1)*('CONTROL MASTER'!$AA$2:$AA$495&lt;=7)*('CONTROL MASTER'!$AC$2:$AC$495&gt;=7))*ROW('CONTROL MASTER'!$S$2:$S$495))-(ROW('CONTROL MASTER'!#REF!)-1))),"")),"")</f>
        <v/>
      </c>
      <c r="I45" s="10" t="str">
        <f>IFERROR(IF(SUMPRODUCT((('CONTROL MASTER'!$S$2:$S$495=4)*('CONTROL MASTER'!$T$2:$T$495&lt;=1)*('CONTROL MASTER'!$V$2:$V$495&gt;=1)*('CONTROL MASTER'!$U$2:$U$495&lt;=8)*('CONTROL MASTER'!$W$2:$W$495&gt;=8))*ROW('CONTROL MASTER'!$S$2:$S$495))&gt;0,INDEX('CONTROL MASTER'!$X$2:$X$495,(SUMPRODUCT((('CONTROL MASTER'!$S$2:$S$495=4)*('CONTROL MASTER'!$T$2:$T$495&lt;=1)*('CONTROL MASTER'!$V$2:$V$495&gt;=1)*('CONTROL MASTER'!$U$2:$U$495&lt;=8)*('CONTROL MASTER'!$W$2:$W$495&gt;=8))*ROW('CONTROL MASTER'!$S$2:$S$495))-(ROW('CONTROL MASTER'!#REF!)-1)))&amp;TRIM(MID(SUBSTITUTE(SUBSTITUTE(INDEX('CONTROL MASTER'!$N$2:$N$495,(SUMPRODUCT((('CONTROL MASTER'!$S$2:$S$495=4)*('CONTROL MASTER'!$T$2:$T$495&lt;=1)*('CONTROL MASTER'!$V$2:$V$495&gt;=1)*('CONTROL MASTER'!$U$2:$U$495&lt;=8)*('CONTROL MASTER'!$W$2:$W$495&gt;=8))*ROW('CONTROL MASTER'!$S$2:$S$495))-(ROW('CONTROL MASTER'!#REF!)-1))),":",","),",",REPT(" ",50)),((((1-INDEX('CONTROL MASTER'!$T$2:$T$495,(SUMPRODUCT((('CONTROL MASTER'!$S$2:$S$495=4)*('CONTROL MASTER'!$T$2:$T$495&lt;=1)*('CONTROL MASTER'!$V$2:$V$495&gt;=1)*('CONTROL MASTER'!$U$2:$U$495&lt;=8)*('CONTROL MASTER'!$W$2:$W$495&gt;=8))*ROW('CONTROL MASTER'!$S$2:$S$495))-(ROW('CONTROL MASTER'!#REF!)-1))))*(INDEX('CONTROL MASTER'!$W$2:$W$495,(SUMPRODUCT((('CONTROL MASTER'!$S$2:$S$495=4)*('CONTROL MASTER'!$T$2:$T$495&lt;=1)*('CONTROL MASTER'!$V$2:$V$495&gt;=1)*('CONTROL MASTER'!$U$2:$U$495&lt;=8)*('CONTROL MASTER'!$W$2:$W$495&gt;=8))*ROW('CONTROL MASTER'!$S$2:$S$495))-(ROW('CONTROL MASTER'!#REF!)-1)))-INDEX('CONTROL MASTER'!$U$2:$U$495,(SUMPRODUCT((('CONTROL MASTER'!$S$2:$S$495=4)*('CONTROL MASTER'!$T$2:$T$495&lt;=1)*('CONTROL MASTER'!$V$2:$V$495&gt;=1)*('CONTROL MASTER'!$U$2:$U$495&lt;=8)*('CONTROL MASTER'!$W$2:$W$495&gt;=8))*ROW('CONTROL MASTER'!$S$2:$S$495))-(ROW('CONTROL MASTER'!#REF!)-1)))+1)+(8-INDEX('CONTROL MASTER'!$U$2:$U$495,(SUMPRODUCT((('CONTROL MASTER'!$S$2:$S$495=4)*('CONTROL MASTER'!$T$2:$T$495&lt;=1)*('CONTROL MASTER'!$V$2:$V$495&gt;=1)*('CONTROL MASTER'!$U$2:$U$495&lt;=8)*('CONTROL MASTER'!$W$2:$W$495&gt;=8))*ROW('CONTROL MASTER'!$S$2:$S$495))-(ROW('CONTROL MASTER'!#REF!)-1))))+1))-1)*50+1,50))&amp;"_"&amp;INDEX('CONTROL MASTER'!$P$2:$P$495,(SUMPRODUCT((('CONTROL MASTER'!$S$2:$S$495=4)*('CONTROL MASTER'!$T$2:$T$495&lt;=1)*('CONTROL MASTER'!$V$2:$V$495&gt;=1)*('CONTROL MASTER'!$U$2:$U$495&lt;=8)*('CONTROL MASTER'!$W$2:$W$495&gt;=8))*ROW('CONTROL MASTER'!$S$2:$S$495))-(ROW('CONTROL MASTER'!#REF!)-1))),IF(SUMPRODUCT((('CONTROL MASTER'!$S$2:$S$495=4)*('CONTROL MASTER'!$Z$2:$Z$495&lt;=1)*('CONTROL MASTER'!$AB$2:$AB$495&gt;=1)*('CONTROL MASTER'!$AA$2:$AA$495&lt;=8)*('CONTROL MASTER'!$AC$2:$AC$495&gt;=8))*ROW('CONTROL MASTER'!$S$2:$S$495))&gt;0,INDEX('CONTROL MASTER'!$X$2:$X$495,(SUMPRODUCT((('CONTROL MASTER'!$S$2:$S$495=4)*('CONTROL MASTER'!$Z$2:$Z$495&lt;=1)*('CONTROL MASTER'!$AB$2:$AB$495&gt;=1)*('CONTROL MASTER'!$AA$2:$AA$495&lt;=8)*('CONTROL MASTER'!$AC$2:$AC$495&gt;=8))*ROW('CONTROL MASTER'!$S$2:$S$495))-(ROW('CONTROL MASTER'!#REF!)-1)))&amp;TRIM(MID(SUBSTITUTE(SUBSTITUTE(INDEX('CONTROL MASTER'!$N$2:$N$495,(SUMPRODUCT((('CONTROL MASTER'!$S$2:$S$495=4)*('CONTROL MASTER'!$Z$2:$Z$495&lt;=1)*('CONTROL MASTER'!$AB$2:$AB$495&gt;=1)*('CONTROL MASTER'!$AA$2:$AA$495&lt;=8)*('CONTROL MASTER'!$AC$2:$AC$495&gt;=8))*ROW('CONTROL MASTER'!$S$2:$S$495))-(ROW('CONTROL MASTER'!#REF!)-1))),":",","),",",REPT(" ",50)),(((INDEX('CONTROL MASTER'!$Y$2:$Y$495,(SUMPRODUCT((('CONTROL MASTER'!$S$2:$S$495=4)*('CONTROL MASTER'!$Z$2:$Z$495&lt;=1)*('CONTROL MASTER'!$AB$2:$AB$495&gt;=1)*('CONTROL MASTER'!$AA$2:$AA$495&lt;=8)*('CONTROL MASTER'!$AC$2:$AC$495&gt;=8))*ROW('CONTROL MASTER'!$S$2:$S$495))-(ROW('CONTROL MASTER'!#REF!)-1)))+((1-INDEX('CONTROL MASTER'!$Z$2:$Z$495,(SUMPRODUCT((('CONTROL MASTER'!$S$2:$S$495=4)*('CONTROL MASTER'!$Z$2:$Z$495&lt;=1)*('CONTROL MASTER'!$AB$2:$AB$495&gt;=1)*('CONTROL MASTER'!$AA$2:$AA$495&lt;=8)*('CONTROL MASTER'!$AC$2:$AC$495&gt;=8))*ROW('CONTROL MASTER'!$S$2:$S$495))-(ROW('CONTROL MASTER'!#REF!)-1))))*(INDEX('CONTROL MASTER'!$AC$2:$AC$495,(SUMPRODUCT((('CONTROL MASTER'!$S$2:$S$495=4)*('CONTROL MASTER'!$Z$2:$Z$495&lt;=1)*('CONTROL MASTER'!$AB$2:$AB$495&gt;=1)*('CONTROL MASTER'!$AA$2:$AA$495&lt;=8)*('CONTROL MASTER'!$AC$2:$AC$495&gt;=8))*ROW('CONTROL MASTER'!$S$2:$S$495))-(ROW('CONTROL MASTER'!#REF!)-1)))-INDEX('CONTROL MASTER'!$AA$2:$AA$495,(SUMPRODUCT((('CONTROL MASTER'!$S$2:$S$495=4)*('CONTROL MASTER'!$Z$2:$Z$495&lt;=1)*('CONTROL MASTER'!$AB$2:$AB$495&gt;=1)*('CONTROL MASTER'!$AA$2:$AA$495&lt;=8)*('CONTROL MASTER'!$AC$2:$AC$495&gt;=8))*ROW('CONTROL MASTER'!$S$2:$S$495))-(ROW('CONTROL MASTER'!#REF!)-1)))+1)+(8-INDEX('CONTROL MASTER'!$AA$2:$AA$495,(SUMPRODUCT((('CONTROL MASTER'!$S$2:$S$495=4)*('CONTROL MASTER'!$Z$2:$Z$495&lt;=1)*('CONTROL MASTER'!$AB$2:$AB$495&gt;=1)*('CONTROL MASTER'!$AA$2:$AA$495&lt;=8)*('CONTROL MASTER'!$AC$2:$AC$495&gt;=8))*ROW('CONTROL MASTER'!$S$2:$S$495))-(ROW('CONTROL MASTER'!#REF!)-1))))+1)))-1)*50+1,50))&amp;"_"&amp;INDEX('CONTROL MASTER'!$P$2:$P$495,(SUMPRODUCT((('CONTROL MASTER'!$S$2:$S$495=4)*('CONTROL MASTER'!$Z$2:$Z$495&lt;=1)*('CONTROL MASTER'!$AB$2:$AB$495&gt;=1)*('CONTROL MASTER'!$AA$2:$AA$495&lt;=8)*('CONTROL MASTER'!$AC$2:$AC$495&gt;=8))*ROW('CONTROL MASTER'!$S$2:$S$495))-(ROW('CONTROL MASTER'!#REF!)-1))),"")),"")</f>
        <v/>
      </c>
      <c r="J45" s="10" t="str">
        <f>IFERROR(IF(SUMPRODUCT((('CONTROL MASTER'!$S$2:$S$495=4)*('CONTROL MASTER'!$T$2:$T$495&lt;=1)*('CONTROL MASTER'!$V$2:$V$495&gt;=1)*('CONTROL MASTER'!$U$2:$U$495&lt;=9)*('CONTROL MASTER'!$W$2:$W$495&gt;=9))*ROW('CONTROL MASTER'!$S$2:$S$495))&gt;0,INDEX('CONTROL MASTER'!$X$2:$X$495,(SUMPRODUCT((('CONTROL MASTER'!$S$2:$S$495=4)*('CONTROL MASTER'!$T$2:$T$495&lt;=1)*('CONTROL MASTER'!$V$2:$V$495&gt;=1)*('CONTROL MASTER'!$U$2:$U$495&lt;=9)*('CONTROL MASTER'!$W$2:$W$495&gt;=9))*ROW('CONTROL MASTER'!$S$2:$S$495))-(ROW('CONTROL MASTER'!#REF!)-1)))&amp;TRIM(MID(SUBSTITUTE(SUBSTITUTE(INDEX('CONTROL MASTER'!$N$2:$N$495,(SUMPRODUCT((('CONTROL MASTER'!$S$2:$S$495=4)*('CONTROL MASTER'!$T$2:$T$495&lt;=1)*('CONTROL MASTER'!$V$2:$V$495&gt;=1)*('CONTROL MASTER'!$U$2:$U$495&lt;=9)*('CONTROL MASTER'!$W$2:$W$495&gt;=9))*ROW('CONTROL MASTER'!$S$2:$S$495))-(ROW('CONTROL MASTER'!#REF!)-1))),":",","),",",REPT(" ",50)),((((1-INDEX('CONTROL MASTER'!$T$2:$T$495,(SUMPRODUCT((('CONTROL MASTER'!$S$2:$S$495=4)*('CONTROL MASTER'!$T$2:$T$495&lt;=1)*('CONTROL MASTER'!$V$2:$V$495&gt;=1)*('CONTROL MASTER'!$U$2:$U$495&lt;=9)*('CONTROL MASTER'!$W$2:$W$495&gt;=9))*ROW('CONTROL MASTER'!$S$2:$S$495))-(ROW('CONTROL MASTER'!#REF!)-1))))*(INDEX('CONTROL MASTER'!$W$2:$W$495,(SUMPRODUCT((('CONTROL MASTER'!$S$2:$S$495=4)*('CONTROL MASTER'!$T$2:$T$495&lt;=1)*('CONTROL MASTER'!$V$2:$V$495&gt;=1)*('CONTROL MASTER'!$U$2:$U$495&lt;=9)*('CONTROL MASTER'!$W$2:$W$495&gt;=9))*ROW('CONTROL MASTER'!$S$2:$S$495))-(ROW('CONTROL MASTER'!#REF!)-1)))-INDEX('CONTROL MASTER'!$U$2:$U$495,(SUMPRODUCT((('CONTROL MASTER'!$S$2:$S$495=4)*('CONTROL MASTER'!$T$2:$T$495&lt;=1)*('CONTROL MASTER'!$V$2:$V$495&gt;=1)*('CONTROL MASTER'!$U$2:$U$495&lt;=9)*('CONTROL MASTER'!$W$2:$W$495&gt;=9))*ROW('CONTROL MASTER'!$S$2:$S$495))-(ROW('CONTROL MASTER'!#REF!)-1)))+1)+(9-INDEX('CONTROL MASTER'!$U$2:$U$495,(SUMPRODUCT((('CONTROL MASTER'!$S$2:$S$495=4)*('CONTROL MASTER'!$T$2:$T$495&lt;=1)*('CONTROL MASTER'!$V$2:$V$495&gt;=1)*('CONTROL MASTER'!$U$2:$U$495&lt;=9)*('CONTROL MASTER'!$W$2:$W$495&gt;=9))*ROW('CONTROL MASTER'!$S$2:$S$495))-(ROW('CONTROL MASTER'!#REF!)-1))))+1))-1)*50+1,50))&amp;"_"&amp;INDEX('CONTROL MASTER'!$P$2:$P$495,(SUMPRODUCT((('CONTROL MASTER'!$S$2:$S$495=4)*('CONTROL MASTER'!$T$2:$T$495&lt;=1)*('CONTROL MASTER'!$V$2:$V$495&gt;=1)*('CONTROL MASTER'!$U$2:$U$495&lt;=9)*('CONTROL MASTER'!$W$2:$W$495&gt;=9))*ROW('CONTROL MASTER'!$S$2:$S$495))-(ROW('CONTROL MASTER'!#REF!)-1))),IF(SUMPRODUCT((('CONTROL MASTER'!$S$2:$S$495=4)*('CONTROL MASTER'!$Z$2:$Z$495&lt;=1)*('CONTROL MASTER'!$AB$2:$AB$495&gt;=1)*('CONTROL MASTER'!$AA$2:$AA$495&lt;=9)*('CONTROL MASTER'!$AC$2:$AC$495&gt;=9))*ROW('CONTROL MASTER'!$S$2:$S$495))&gt;0,INDEX('CONTROL MASTER'!$X$2:$X$495,(SUMPRODUCT((('CONTROL MASTER'!$S$2:$S$495=4)*('CONTROL MASTER'!$Z$2:$Z$495&lt;=1)*('CONTROL MASTER'!$AB$2:$AB$495&gt;=1)*('CONTROL MASTER'!$AA$2:$AA$495&lt;=9)*('CONTROL MASTER'!$AC$2:$AC$495&gt;=9))*ROW('CONTROL MASTER'!$S$2:$S$495))-(ROW('CONTROL MASTER'!#REF!)-1)))&amp;TRIM(MID(SUBSTITUTE(SUBSTITUTE(INDEX('CONTROL MASTER'!$N$2:$N$495,(SUMPRODUCT((('CONTROL MASTER'!$S$2:$S$495=4)*('CONTROL MASTER'!$Z$2:$Z$495&lt;=1)*('CONTROL MASTER'!$AB$2:$AB$495&gt;=1)*('CONTROL MASTER'!$AA$2:$AA$495&lt;=9)*('CONTROL MASTER'!$AC$2:$AC$495&gt;=9))*ROW('CONTROL MASTER'!$S$2:$S$495))-(ROW('CONTROL MASTER'!#REF!)-1))),":",","),",",REPT(" ",50)),(((INDEX('CONTROL MASTER'!$Y$2:$Y$495,(SUMPRODUCT((('CONTROL MASTER'!$S$2:$S$495=4)*('CONTROL MASTER'!$Z$2:$Z$495&lt;=1)*('CONTROL MASTER'!$AB$2:$AB$495&gt;=1)*('CONTROL MASTER'!$AA$2:$AA$495&lt;=9)*('CONTROL MASTER'!$AC$2:$AC$495&gt;=9))*ROW('CONTROL MASTER'!$S$2:$S$495))-(ROW('CONTROL MASTER'!#REF!)-1)))+((1-INDEX('CONTROL MASTER'!$Z$2:$Z$495,(SUMPRODUCT((('CONTROL MASTER'!$S$2:$S$495=4)*('CONTROL MASTER'!$Z$2:$Z$495&lt;=1)*('CONTROL MASTER'!$AB$2:$AB$495&gt;=1)*('CONTROL MASTER'!$AA$2:$AA$495&lt;=9)*('CONTROL MASTER'!$AC$2:$AC$495&gt;=9))*ROW('CONTROL MASTER'!$S$2:$S$495))-(ROW('CONTROL MASTER'!#REF!)-1))))*(INDEX('CONTROL MASTER'!$AC$2:$AC$495,(SUMPRODUCT((('CONTROL MASTER'!$S$2:$S$495=4)*('CONTROL MASTER'!$Z$2:$Z$495&lt;=1)*('CONTROL MASTER'!$AB$2:$AB$495&gt;=1)*('CONTROL MASTER'!$AA$2:$AA$495&lt;=9)*('CONTROL MASTER'!$AC$2:$AC$495&gt;=9))*ROW('CONTROL MASTER'!$S$2:$S$495))-(ROW('CONTROL MASTER'!#REF!)-1)))-INDEX('CONTROL MASTER'!$AA$2:$AA$495,(SUMPRODUCT((('CONTROL MASTER'!$S$2:$S$495=4)*('CONTROL MASTER'!$Z$2:$Z$495&lt;=1)*('CONTROL MASTER'!$AB$2:$AB$495&gt;=1)*('CONTROL MASTER'!$AA$2:$AA$495&lt;=9)*('CONTROL MASTER'!$AC$2:$AC$495&gt;=9))*ROW('CONTROL MASTER'!$S$2:$S$495))-(ROW('CONTROL MASTER'!#REF!)-1)))+1)+(9-INDEX('CONTROL MASTER'!$AA$2:$AA$495,(SUMPRODUCT((('CONTROL MASTER'!$S$2:$S$495=4)*('CONTROL MASTER'!$Z$2:$Z$495&lt;=1)*('CONTROL MASTER'!$AB$2:$AB$495&gt;=1)*('CONTROL MASTER'!$AA$2:$AA$495&lt;=9)*('CONTROL MASTER'!$AC$2:$AC$495&gt;=9))*ROW('CONTROL MASTER'!$S$2:$S$495))-(ROW('CONTROL MASTER'!#REF!)-1))))+1)))-1)*50+1,50))&amp;"_"&amp;INDEX('CONTROL MASTER'!$P$2:$P$495,(SUMPRODUCT((('CONTROL MASTER'!$S$2:$S$495=4)*('CONTROL MASTER'!$Z$2:$Z$495&lt;=1)*('CONTROL MASTER'!$AB$2:$AB$495&gt;=1)*('CONTROL MASTER'!$AA$2:$AA$495&lt;=9)*('CONTROL MASTER'!$AC$2:$AC$495&gt;=9))*ROW('CONTROL MASTER'!$S$2:$S$495))-(ROW('CONTROL MASTER'!#REF!)-1))),"")),"")</f>
        <v/>
      </c>
      <c r="K45" s="10" t="str">
        <f>IFERROR(IF(SUMPRODUCT((('CONTROL MASTER'!$S$2:$S$495=4)*('CONTROL MASTER'!$T$2:$T$495&lt;=1)*('CONTROL MASTER'!$V$2:$V$495&gt;=1)*('CONTROL MASTER'!$U$2:$U$495&lt;=10)*('CONTROL MASTER'!$W$2:$W$495&gt;=10))*ROW('CONTROL MASTER'!$S$2:$S$495))&gt;0,INDEX('CONTROL MASTER'!$X$2:$X$495,(SUMPRODUCT((('CONTROL MASTER'!$S$2:$S$495=4)*('CONTROL MASTER'!$T$2:$T$495&lt;=1)*('CONTROL MASTER'!$V$2:$V$495&gt;=1)*('CONTROL MASTER'!$U$2:$U$495&lt;=10)*('CONTROL MASTER'!$W$2:$W$495&gt;=10))*ROW('CONTROL MASTER'!$S$2:$S$495))-(ROW('CONTROL MASTER'!#REF!)-1)))&amp;TRIM(MID(SUBSTITUTE(SUBSTITUTE(INDEX('CONTROL MASTER'!$N$2:$N$495,(SUMPRODUCT((('CONTROL MASTER'!$S$2:$S$495=4)*('CONTROL MASTER'!$T$2:$T$495&lt;=1)*('CONTROL MASTER'!$V$2:$V$495&gt;=1)*('CONTROL MASTER'!$U$2:$U$495&lt;=10)*('CONTROL MASTER'!$W$2:$W$495&gt;=10))*ROW('CONTROL MASTER'!$S$2:$S$495))-(ROW('CONTROL MASTER'!#REF!)-1))),":",","),",",REPT(" ",50)),((((1-INDEX('CONTROL MASTER'!$T$2:$T$495,(SUMPRODUCT((('CONTROL MASTER'!$S$2:$S$495=4)*('CONTROL MASTER'!$T$2:$T$495&lt;=1)*('CONTROL MASTER'!$V$2:$V$495&gt;=1)*('CONTROL MASTER'!$U$2:$U$495&lt;=10)*('CONTROL MASTER'!$W$2:$W$495&gt;=10))*ROW('CONTROL MASTER'!$S$2:$S$495))-(ROW('CONTROL MASTER'!#REF!)-1))))*(INDEX('CONTROL MASTER'!$W$2:$W$495,(SUMPRODUCT((('CONTROL MASTER'!$S$2:$S$495=4)*('CONTROL MASTER'!$T$2:$T$495&lt;=1)*('CONTROL MASTER'!$V$2:$V$495&gt;=1)*('CONTROL MASTER'!$U$2:$U$495&lt;=10)*('CONTROL MASTER'!$W$2:$W$495&gt;=10))*ROW('CONTROL MASTER'!$S$2:$S$495))-(ROW('CONTROL MASTER'!#REF!)-1)))-INDEX('CONTROL MASTER'!$U$2:$U$495,(SUMPRODUCT((('CONTROL MASTER'!$S$2:$S$495=4)*('CONTROL MASTER'!$T$2:$T$495&lt;=1)*('CONTROL MASTER'!$V$2:$V$495&gt;=1)*('CONTROL MASTER'!$U$2:$U$495&lt;=10)*('CONTROL MASTER'!$W$2:$W$495&gt;=10))*ROW('CONTROL MASTER'!$S$2:$S$495))-(ROW('CONTROL MASTER'!#REF!)-1)))+1)+(10-INDEX('CONTROL MASTER'!$U$2:$U$495,(SUMPRODUCT((('CONTROL MASTER'!$S$2:$S$495=4)*('CONTROL MASTER'!$T$2:$T$495&lt;=1)*('CONTROL MASTER'!$V$2:$V$495&gt;=1)*('CONTROL MASTER'!$U$2:$U$495&lt;=10)*('CONTROL MASTER'!$W$2:$W$495&gt;=10))*ROW('CONTROL MASTER'!$S$2:$S$495))-(ROW('CONTROL MASTER'!#REF!)-1))))+1))-1)*50+1,50))&amp;"_"&amp;INDEX('CONTROL MASTER'!$P$2:$P$495,(SUMPRODUCT((('CONTROL MASTER'!$S$2:$S$495=4)*('CONTROL MASTER'!$T$2:$T$495&lt;=1)*('CONTROL MASTER'!$V$2:$V$495&gt;=1)*('CONTROL MASTER'!$U$2:$U$495&lt;=10)*('CONTROL MASTER'!$W$2:$W$495&gt;=10))*ROW('CONTROL MASTER'!$S$2:$S$495))-(ROW('CONTROL MASTER'!#REF!)-1))),IF(SUMPRODUCT((('CONTROL MASTER'!$S$2:$S$495=4)*('CONTROL MASTER'!$Z$2:$Z$495&lt;=1)*('CONTROL MASTER'!$AB$2:$AB$495&gt;=1)*('CONTROL MASTER'!$AA$2:$AA$495&lt;=10)*('CONTROL MASTER'!$AC$2:$AC$495&gt;=10))*ROW('CONTROL MASTER'!$S$2:$S$495))&gt;0,INDEX('CONTROL MASTER'!$X$2:$X$495,(SUMPRODUCT((('CONTROL MASTER'!$S$2:$S$495=4)*('CONTROL MASTER'!$Z$2:$Z$495&lt;=1)*('CONTROL MASTER'!$AB$2:$AB$495&gt;=1)*('CONTROL MASTER'!$AA$2:$AA$495&lt;=10)*('CONTROL MASTER'!$AC$2:$AC$495&gt;=10))*ROW('CONTROL MASTER'!$S$2:$S$495))-(ROW('CONTROL MASTER'!#REF!)-1)))&amp;TRIM(MID(SUBSTITUTE(SUBSTITUTE(INDEX('CONTROL MASTER'!$N$2:$N$495,(SUMPRODUCT((('CONTROL MASTER'!$S$2:$S$495=4)*('CONTROL MASTER'!$Z$2:$Z$495&lt;=1)*('CONTROL MASTER'!$AB$2:$AB$495&gt;=1)*('CONTROL MASTER'!$AA$2:$AA$495&lt;=10)*('CONTROL MASTER'!$AC$2:$AC$495&gt;=10))*ROW('CONTROL MASTER'!$S$2:$S$495))-(ROW('CONTROL MASTER'!#REF!)-1))),":",","),",",REPT(" ",50)),(((INDEX('CONTROL MASTER'!$Y$2:$Y$495,(SUMPRODUCT((('CONTROL MASTER'!$S$2:$S$495=4)*('CONTROL MASTER'!$Z$2:$Z$495&lt;=1)*('CONTROL MASTER'!$AB$2:$AB$495&gt;=1)*('CONTROL MASTER'!$AA$2:$AA$495&lt;=10)*('CONTROL MASTER'!$AC$2:$AC$495&gt;=10))*ROW('CONTROL MASTER'!$S$2:$S$495))-(ROW('CONTROL MASTER'!#REF!)-1)))+((1-INDEX('CONTROL MASTER'!$Z$2:$Z$495,(SUMPRODUCT((('CONTROL MASTER'!$S$2:$S$495=4)*('CONTROL MASTER'!$Z$2:$Z$495&lt;=1)*('CONTROL MASTER'!$AB$2:$AB$495&gt;=1)*('CONTROL MASTER'!$AA$2:$AA$495&lt;=10)*('CONTROL MASTER'!$AC$2:$AC$495&gt;=10))*ROW('CONTROL MASTER'!$S$2:$S$495))-(ROW('CONTROL MASTER'!#REF!)-1))))*(INDEX('CONTROL MASTER'!$AC$2:$AC$495,(SUMPRODUCT((('CONTROL MASTER'!$S$2:$S$495=4)*('CONTROL MASTER'!$Z$2:$Z$495&lt;=1)*('CONTROL MASTER'!$AB$2:$AB$495&gt;=1)*('CONTROL MASTER'!$AA$2:$AA$495&lt;=10)*('CONTROL MASTER'!$AC$2:$AC$495&gt;=10))*ROW('CONTROL MASTER'!$S$2:$S$495))-(ROW('CONTROL MASTER'!#REF!)-1)))-INDEX('CONTROL MASTER'!$AA$2:$AA$495,(SUMPRODUCT((('CONTROL MASTER'!$S$2:$S$495=4)*('CONTROL MASTER'!$Z$2:$Z$495&lt;=1)*('CONTROL MASTER'!$AB$2:$AB$495&gt;=1)*('CONTROL MASTER'!$AA$2:$AA$495&lt;=10)*('CONTROL MASTER'!$AC$2:$AC$495&gt;=10))*ROW('CONTROL MASTER'!$S$2:$S$495))-(ROW('CONTROL MASTER'!#REF!)-1)))+1)+(10-INDEX('CONTROL MASTER'!$AA$2:$AA$495,(SUMPRODUCT((('CONTROL MASTER'!$S$2:$S$495=4)*('CONTROL MASTER'!$Z$2:$Z$495&lt;=1)*('CONTROL MASTER'!$AB$2:$AB$495&gt;=1)*('CONTROL MASTER'!$AA$2:$AA$495&lt;=10)*('CONTROL MASTER'!$AC$2:$AC$495&gt;=10))*ROW('CONTROL MASTER'!$S$2:$S$495))-(ROW('CONTROL MASTER'!#REF!)-1))))+1)))-1)*50+1,50))&amp;"_"&amp;INDEX('CONTROL MASTER'!$P$2:$P$495,(SUMPRODUCT((('CONTROL MASTER'!$S$2:$S$495=4)*('CONTROL MASTER'!$Z$2:$Z$495&lt;=1)*('CONTROL MASTER'!$AB$2:$AB$495&gt;=1)*('CONTROL MASTER'!$AA$2:$AA$495&lt;=10)*('CONTROL MASTER'!$AC$2:$AC$495&gt;=10))*ROW('CONTROL MASTER'!$S$2:$S$495))-(ROW('CONTROL MASTER'!#REF!)-1))),"")),"")</f>
        <v/>
      </c>
    </row>
    <row r="46" spans="1:11" ht="15" customHeight="1" x14ac:dyDescent="0.35">
      <c r="A46" s="8" t="s">
        <v>29</v>
      </c>
      <c r="B46" s="10" t="str">
        <f>IFERROR(IF(SUMPRODUCT((('CONTROL MASTER'!$S$2:$S$495=4)*('CONTROL MASTER'!$T$2:$T$495&lt;=2)*('CONTROL MASTER'!$V$2:$V$495&gt;=2)*('CONTROL MASTER'!$U$2:$U$495&lt;=1)*('CONTROL MASTER'!$W$2:$W$495&gt;=1))*ROW('CONTROL MASTER'!$S$2:$S$495))&gt;0,INDEX('CONTROL MASTER'!$X$2:$X$495,(SUMPRODUCT((('CONTROL MASTER'!$S$2:$S$495=4)*('CONTROL MASTER'!$T$2:$T$495&lt;=2)*('CONTROL MASTER'!$V$2:$V$495&gt;=2)*('CONTROL MASTER'!$U$2:$U$495&lt;=1)*('CONTROL MASTER'!$W$2:$W$495&gt;=1))*ROW('CONTROL MASTER'!$S$2:$S$495))-(ROW('CONTROL MASTER'!#REF!)-1)))&amp;TRIM(MID(SUBSTITUTE(SUBSTITUTE(INDEX('CONTROL MASTER'!$N$2:$N$495,(SUMPRODUCT((('CONTROL MASTER'!$S$2:$S$495=4)*('CONTROL MASTER'!$T$2:$T$495&lt;=2)*('CONTROL MASTER'!$V$2:$V$495&gt;=2)*('CONTROL MASTER'!$U$2:$U$495&lt;=1)*('CONTROL MASTER'!$W$2:$W$495&gt;=1))*ROW('CONTROL MASTER'!$S$2:$S$495))-(ROW('CONTROL MASTER'!#REF!)-1))),":",","),",",REPT(" ",50)),((((2-INDEX('CONTROL MASTER'!$T$2:$T$495,(SUMPRODUCT((('CONTROL MASTER'!$S$2:$S$495=4)*('CONTROL MASTER'!$T$2:$T$495&lt;=2)*('CONTROL MASTER'!$V$2:$V$495&gt;=2)*('CONTROL MASTER'!$U$2:$U$495&lt;=1)*('CONTROL MASTER'!$W$2:$W$495&gt;=1))*ROW('CONTROL MASTER'!$S$2:$S$495))-(ROW('CONTROL MASTER'!#REF!)-1))))*(INDEX('CONTROL MASTER'!$W$2:$W$495,(SUMPRODUCT((('CONTROL MASTER'!$S$2:$S$495=4)*('CONTROL MASTER'!$T$2:$T$495&lt;=2)*('CONTROL MASTER'!$V$2:$V$495&gt;=2)*('CONTROL MASTER'!$U$2:$U$495&lt;=1)*('CONTROL MASTER'!$W$2:$W$495&gt;=1))*ROW('CONTROL MASTER'!$S$2:$S$495))-(ROW('CONTROL MASTER'!#REF!)-1)))-INDEX('CONTROL MASTER'!$U$2:$U$495,(SUMPRODUCT((('CONTROL MASTER'!$S$2:$S$495=4)*('CONTROL MASTER'!$T$2:$T$495&lt;=2)*('CONTROL MASTER'!$V$2:$V$495&gt;=2)*('CONTROL MASTER'!$U$2:$U$495&lt;=1)*('CONTROL MASTER'!$W$2:$W$495&gt;=1))*ROW('CONTROL MASTER'!$S$2:$S$495))-(ROW('CONTROL MASTER'!#REF!)-1)))+1)+(1-INDEX('CONTROL MASTER'!$U$2:$U$495,(SUMPRODUCT((('CONTROL MASTER'!$S$2:$S$495=4)*('CONTROL MASTER'!$T$2:$T$495&lt;=2)*('CONTROL MASTER'!$V$2:$V$495&gt;=2)*('CONTROL MASTER'!$U$2:$U$495&lt;=1)*('CONTROL MASTER'!$W$2:$W$495&gt;=1))*ROW('CONTROL MASTER'!$S$2:$S$495))-(ROW('CONTROL MASTER'!#REF!)-1))))+1))-1)*50+1,50))&amp;"_"&amp;INDEX('CONTROL MASTER'!$P$2:$P$495,(SUMPRODUCT((('CONTROL MASTER'!$S$2:$S$495=4)*('CONTROL MASTER'!$T$2:$T$495&lt;=2)*('CONTROL MASTER'!$V$2:$V$495&gt;=2)*('CONTROL MASTER'!$U$2:$U$495&lt;=1)*('CONTROL MASTER'!$W$2:$W$495&gt;=1))*ROW('CONTROL MASTER'!$S$2:$S$495))-(ROW('CONTROL MASTER'!#REF!)-1))),IF(SUMPRODUCT((('CONTROL MASTER'!$S$2:$S$495=4)*('CONTROL MASTER'!$Z$2:$Z$495&lt;=2)*('CONTROL MASTER'!$AB$2:$AB$495&gt;=2)*('CONTROL MASTER'!$AA$2:$AA$495&lt;=1)*('CONTROL MASTER'!$AC$2:$AC$495&gt;=1))*ROW('CONTROL MASTER'!$S$2:$S$495))&gt;0,INDEX('CONTROL MASTER'!$X$2:$X$495,(SUMPRODUCT((('CONTROL MASTER'!$S$2:$S$495=4)*('CONTROL MASTER'!$Z$2:$Z$495&lt;=2)*('CONTROL MASTER'!$AB$2:$AB$495&gt;=2)*('CONTROL MASTER'!$AA$2:$AA$495&lt;=1)*('CONTROL MASTER'!$AC$2:$AC$495&gt;=1))*ROW('CONTROL MASTER'!$S$2:$S$495))-(ROW('CONTROL MASTER'!#REF!)-1)))&amp;TRIM(MID(SUBSTITUTE(SUBSTITUTE(INDEX('CONTROL MASTER'!$N$2:$N$495,(SUMPRODUCT((('CONTROL MASTER'!$S$2:$S$495=4)*('CONTROL MASTER'!$Z$2:$Z$495&lt;=2)*('CONTROL MASTER'!$AB$2:$AB$495&gt;=2)*('CONTROL MASTER'!$AA$2:$AA$495&lt;=1)*('CONTROL MASTER'!$AC$2:$AC$495&gt;=1))*ROW('CONTROL MASTER'!$S$2:$S$495))-(ROW('CONTROL MASTER'!#REF!)-1))),":",","),",",REPT(" ",50)),(((INDEX('CONTROL MASTER'!$Y$2:$Y$495,(SUMPRODUCT((('CONTROL MASTER'!$S$2:$S$495=4)*('CONTROL MASTER'!$Z$2:$Z$495&lt;=2)*('CONTROL MASTER'!$AB$2:$AB$495&gt;=2)*('CONTROL MASTER'!$AA$2:$AA$495&lt;=1)*('CONTROL MASTER'!$AC$2:$AC$495&gt;=1))*ROW('CONTROL MASTER'!$S$2:$S$495))-(ROW('CONTROL MASTER'!#REF!)-1)))+((2-INDEX('CONTROL MASTER'!$Z$2:$Z$495,(SUMPRODUCT((('CONTROL MASTER'!$S$2:$S$495=4)*('CONTROL MASTER'!$Z$2:$Z$495&lt;=2)*('CONTROL MASTER'!$AB$2:$AB$495&gt;=2)*('CONTROL MASTER'!$AA$2:$AA$495&lt;=1)*('CONTROL MASTER'!$AC$2:$AC$495&gt;=1))*ROW('CONTROL MASTER'!$S$2:$S$495))-(ROW('CONTROL MASTER'!#REF!)-1))))*(INDEX('CONTROL MASTER'!$AC$2:$AC$495,(SUMPRODUCT((('CONTROL MASTER'!$S$2:$S$495=4)*('CONTROL MASTER'!$Z$2:$Z$495&lt;=2)*('CONTROL MASTER'!$AB$2:$AB$495&gt;=2)*('CONTROL MASTER'!$AA$2:$AA$495&lt;=1)*('CONTROL MASTER'!$AC$2:$AC$495&gt;=1))*ROW('CONTROL MASTER'!$S$2:$S$495))-(ROW('CONTROL MASTER'!#REF!)-1)))-INDEX('CONTROL MASTER'!$AA$2:$AA$495,(SUMPRODUCT((('CONTROL MASTER'!$S$2:$S$495=4)*('CONTROL MASTER'!$Z$2:$Z$495&lt;=2)*('CONTROL MASTER'!$AB$2:$AB$495&gt;=2)*('CONTROL MASTER'!$AA$2:$AA$495&lt;=1)*('CONTROL MASTER'!$AC$2:$AC$495&gt;=1))*ROW('CONTROL MASTER'!$S$2:$S$495))-(ROW('CONTROL MASTER'!#REF!)-1)))+1)+(1-INDEX('CONTROL MASTER'!$AA$2:$AA$495,(SUMPRODUCT((('CONTROL MASTER'!$S$2:$S$495=4)*('CONTROL MASTER'!$Z$2:$Z$495&lt;=2)*('CONTROL MASTER'!$AB$2:$AB$495&gt;=2)*('CONTROL MASTER'!$AA$2:$AA$495&lt;=1)*('CONTROL MASTER'!$AC$2:$AC$495&gt;=1))*ROW('CONTROL MASTER'!$S$2:$S$495))-(ROW('CONTROL MASTER'!#REF!)-1))))+1)))-1)*50+1,50))&amp;"_"&amp;INDEX('CONTROL MASTER'!$P$2:$P$495,(SUMPRODUCT((('CONTROL MASTER'!$S$2:$S$495=4)*('CONTROL MASTER'!$Z$2:$Z$495&lt;=2)*('CONTROL MASTER'!$AB$2:$AB$495&gt;=2)*('CONTROL MASTER'!$AA$2:$AA$495&lt;=1)*('CONTROL MASTER'!$AC$2:$AC$495&gt;=1))*ROW('CONTROL MASTER'!$S$2:$S$495))-(ROW('CONTROL MASTER'!#REF!)-1))),"")),"")</f>
        <v/>
      </c>
      <c r="C46" s="10" t="str">
        <f>IFERROR(IF(SUMPRODUCT((('CONTROL MASTER'!$S$2:$S$495=4)*('CONTROL MASTER'!$T$2:$T$495&lt;=2)*('CONTROL MASTER'!$V$2:$V$495&gt;=2)*('CONTROL MASTER'!$U$2:$U$495&lt;=2)*('CONTROL MASTER'!$W$2:$W$495&gt;=2))*ROW('CONTROL MASTER'!$S$2:$S$495))&gt;0,INDEX('CONTROL MASTER'!$X$2:$X$495,(SUMPRODUCT((('CONTROL MASTER'!$S$2:$S$495=4)*('CONTROL MASTER'!$T$2:$T$495&lt;=2)*('CONTROL MASTER'!$V$2:$V$495&gt;=2)*('CONTROL MASTER'!$U$2:$U$495&lt;=2)*('CONTROL MASTER'!$W$2:$W$495&gt;=2))*ROW('CONTROL MASTER'!$S$2:$S$495))-(ROW('CONTROL MASTER'!#REF!)-1)))&amp;TRIM(MID(SUBSTITUTE(SUBSTITUTE(INDEX('CONTROL MASTER'!$N$2:$N$495,(SUMPRODUCT((('CONTROL MASTER'!$S$2:$S$495=4)*('CONTROL MASTER'!$T$2:$T$495&lt;=2)*('CONTROL MASTER'!$V$2:$V$495&gt;=2)*('CONTROL MASTER'!$U$2:$U$495&lt;=2)*('CONTROL MASTER'!$W$2:$W$495&gt;=2))*ROW('CONTROL MASTER'!$S$2:$S$495))-(ROW('CONTROL MASTER'!#REF!)-1))),":",","),",",REPT(" ",50)),((((2-INDEX('CONTROL MASTER'!$T$2:$T$495,(SUMPRODUCT((('CONTROL MASTER'!$S$2:$S$495=4)*('CONTROL MASTER'!$T$2:$T$495&lt;=2)*('CONTROL MASTER'!$V$2:$V$495&gt;=2)*('CONTROL MASTER'!$U$2:$U$495&lt;=2)*('CONTROL MASTER'!$W$2:$W$495&gt;=2))*ROW('CONTROL MASTER'!$S$2:$S$495))-(ROW('CONTROL MASTER'!#REF!)-1))))*(INDEX('CONTROL MASTER'!$W$2:$W$495,(SUMPRODUCT((('CONTROL MASTER'!$S$2:$S$495=4)*('CONTROL MASTER'!$T$2:$T$495&lt;=2)*('CONTROL MASTER'!$V$2:$V$495&gt;=2)*('CONTROL MASTER'!$U$2:$U$495&lt;=2)*('CONTROL MASTER'!$W$2:$W$495&gt;=2))*ROW('CONTROL MASTER'!$S$2:$S$495))-(ROW('CONTROL MASTER'!#REF!)-1)))-INDEX('CONTROL MASTER'!$U$2:$U$495,(SUMPRODUCT((('CONTROL MASTER'!$S$2:$S$495=4)*('CONTROL MASTER'!$T$2:$T$495&lt;=2)*('CONTROL MASTER'!$V$2:$V$495&gt;=2)*('CONTROL MASTER'!$U$2:$U$495&lt;=2)*('CONTROL MASTER'!$W$2:$W$495&gt;=2))*ROW('CONTROL MASTER'!$S$2:$S$495))-(ROW('CONTROL MASTER'!#REF!)-1)))+1)+(2-INDEX('CONTROL MASTER'!$U$2:$U$495,(SUMPRODUCT((('CONTROL MASTER'!$S$2:$S$495=4)*('CONTROL MASTER'!$T$2:$T$495&lt;=2)*('CONTROL MASTER'!$V$2:$V$495&gt;=2)*('CONTROL MASTER'!$U$2:$U$495&lt;=2)*('CONTROL MASTER'!$W$2:$W$495&gt;=2))*ROW('CONTROL MASTER'!$S$2:$S$495))-(ROW('CONTROL MASTER'!#REF!)-1))))+1))-1)*50+1,50))&amp;"_"&amp;INDEX('CONTROL MASTER'!$P$2:$P$495,(SUMPRODUCT((('CONTROL MASTER'!$S$2:$S$495=4)*('CONTROL MASTER'!$T$2:$T$495&lt;=2)*('CONTROL MASTER'!$V$2:$V$495&gt;=2)*('CONTROL MASTER'!$U$2:$U$495&lt;=2)*('CONTROL MASTER'!$W$2:$W$495&gt;=2))*ROW('CONTROL MASTER'!$S$2:$S$495))-(ROW('CONTROL MASTER'!#REF!)-1))),IF(SUMPRODUCT((('CONTROL MASTER'!$S$2:$S$495=4)*('CONTROL MASTER'!$Z$2:$Z$495&lt;=2)*('CONTROL MASTER'!$AB$2:$AB$495&gt;=2)*('CONTROL MASTER'!$AA$2:$AA$495&lt;=2)*('CONTROL MASTER'!$AC$2:$AC$495&gt;=2))*ROW('CONTROL MASTER'!$S$2:$S$495))&gt;0,INDEX('CONTROL MASTER'!$X$2:$X$495,(SUMPRODUCT((('CONTROL MASTER'!$S$2:$S$495=4)*('CONTROL MASTER'!$Z$2:$Z$495&lt;=2)*('CONTROL MASTER'!$AB$2:$AB$495&gt;=2)*('CONTROL MASTER'!$AA$2:$AA$495&lt;=2)*('CONTROL MASTER'!$AC$2:$AC$495&gt;=2))*ROW('CONTROL MASTER'!$S$2:$S$495))-(ROW('CONTROL MASTER'!#REF!)-1)))&amp;TRIM(MID(SUBSTITUTE(SUBSTITUTE(INDEX('CONTROL MASTER'!$N$2:$N$495,(SUMPRODUCT((('CONTROL MASTER'!$S$2:$S$495=4)*('CONTROL MASTER'!$Z$2:$Z$495&lt;=2)*('CONTROL MASTER'!$AB$2:$AB$495&gt;=2)*('CONTROL MASTER'!$AA$2:$AA$495&lt;=2)*('CONTROL MASTER'!$AC$2:$AC$495&gt;=2))*ROW('CONTROL MASTER'!$S$2:$S$495))-(ROW('CONTROL MASTER'!#REF!)-1))),":",","),",",REPT(" ",50)),(((INDEX('CONTROL MASTER'!$Y$2:$Y$495,(SUMPRODUCT((('CONTROL MASTER'!$S$2:$S$495=4)*('CONTROL MASTER'!$Z$2:$Z$495&lt;=2)*('CONTROL MASTER'!$AB$2:$AB$495&gt;=2)*('CONTROL MASTER'!$AA$2:$AA$495&lt;=2)*('CONTROL MASTER'!$AC$2:$AC$495&gt;=2))*ROW('CONTROL MASTER'!$S$2:$S$495))-(ROW('CONTROL MASTER'!#REF!)-1)))+((2-INDEX('CONTROL MASTER'!$Z$2:$Z$495,(SUMPRODUCT((('CONTROL MASTER'!$S$2:$S$495=4)*('CONTROL MASTER'!$Z$2:$Z$495&lt;=2)*('CONTROL MASTER'!$AB$2:$AB$495&gt;=2)*('CONTROL MASTER'!$AA$2:$AA$495&lt;=2)*('CONTROL MASTER'!$AC$2:$AC$495&gt;=2))*ROW('CONTROL MASTER'!$S$2:$S$495))-(ROW('CONTROL MASTER'!#REF!)-1))))*(INDEX('CONTROL MASTER'!$AC$2:$AC$495,(SUMPRODUCT((('CONTROL MASTER'!$S$2:$S$495=4)*('CONTROL MASTER'!$Z$2:$Z$495&lt;=2)*('CONTROL MASTER'!$AB$2:$AB$495&gt;=2)*('CONTROL MASTER'!$AA$2:$AA$495&lt;=2)*('CONTROL MASTER'!$AC$2:$AC$495&gt;=2))*ROW('CONTROL MASTER'!$S$2:$S$495))-(ROW('CONTROL MASTER'!#REF!)-1)))-INDEX('CONTROL MASTER'!$AA$2:$AA$495,(SUMPRODUCT((('CONTROL MASTER'!$S$2:$S$495=4)*('CONTROL MASTER'!$Z$2:$Z$495&lt;=2)*('CONTROL MASTER'!$AB$2:$AB$495&gt;=2)*('CONTROL MASTER'!$AA$2:$AA$495&lt;=2)*('CONTROL MASTER'!$AC$2:$AC$495&gt;=2))*ROW('CONTROL MASTER'!$S$2:$S$495))-(ROW('CONTROL MASTER'!#REF!)-1)))+1)+(2-INDEX('CONTROL MASTER'!$AA$2:$AA$495,(SUMPRODUCT((('CONTROL MASTER'!$S$2:$S$495=4)*('CONTROL MASTER'!$Z$2:$Z$495&lt;=2)*('CONTROL MASTER'!$AB$2:$AB$495&gt;=2)*('CONTROL MASTER'!$AA$2:$AA$495&lt;=2)*('CONTROL MASTER'!$AC$2:$AC$495&gt;=2))*ROW('CONTROL MASTER'!$S$2:$S$495))-(ROW('CONTROL MASTER'!#REF!)-1))))+1)))-1)*50+1,50))&amp;"_"&amp;INDEX('CONTROL MASTER'!$P$2:$P$495,(SUMPRODUCT((('CONTROL MASTER'!$S$2:$S$495=4)*('CONTROL MASTER'!$Z$2:$Z$495&lt;=2)*('CONTROL MASTER'!$AB$2:$AB$495&gt;=2)*('CONTROL MASTER'!$AA$2:$AA$495&lt;=2)*('CONTROL MASTER'!$AC$2:$AC$495&gt;=2))*ROW('CONTROL MASTER'!$S$2:$S$495))-(ROW('CONTROL MASTER'!#REF!)-1))),"")),"")</f>
        <v/>
      </c>
      <c r="D46" s="10" t="str">
        <f>IFERROR(IF(SUMPRODUCT((('CONTROL MASTER'!$S$2:$S$495=4)*('CONTROL MASTER'!$T$2:$T$495&lt;=2)*('CONTROL MASTER'!$V$2:$V$495&gt;=2)*('CONTROL MASTER'!$U$2:$U$495&lt;=3)*('CONTROL MASTER'!$W$2:$W$495&gt;=3))*ROW('CONTROL MASTER'!$S$2:$S$495))&gt;0,INDEX('CONTROL MASTER'!$X$2:$X$495,(SUMPRODUCT((('CONTROL MASTER'!$S$2:$S$495=4)*('CONTROL MASTER'!$T$2:$T$495&lt;=2)*('CONTROL MASTER'!$V$2:$V$495&gt;=2)*('CONTROL MASTER'!$U$2:$U$495&lt;=3)*('CONTROL MASTER'!$W$2:$W$495&gt;=3))*ROW('CONTROL MASTER'!$S$2:$S$495))-(ROW('CONTROL MASTER'!#REF!)-1)))&amp;TRIM(MID(SUBSTITUTE(SUBSTITUTE(INDEX('CONTROL MASTER'!$N$2:$N$495,(SUMPRODUCT((('CONTROL MASTER'!$S$2:$S$495=4)*('CONTROL MASTER'!$T$2:$T$495&lt;=2)*('CONTROL MASTER'!$V$2:$V$495&gt;=2)*('CONTROL MASTER'!$U$2:$U$495&lt;=3)*('CONTROL MASTER'!$W$2:$W$495&gt;=3))*ROW('CONTROL MASTER'!$S$2:$S$495))-(ROW('CONTROL MASTER'!#REF!)-1))),":",","),",",REPT(" ",50)),((((2-INDEX('CONTROL MASTER'!$T$2:$T$495,(SUMPRODUCT((('CONTROL MASTER'!$S$2:$S$495=4)*('CONTROL MASTER'!$T$2:$T$495&lt;=2)*('CONTROL MASTER'!$V$2:$V$495&gt;=2)*('CONTROL MASTER'!$U$2:$U$495&lt;=3)*('CONTROL MASTER'!$W$2:$W$495&gt;=3))*ROW('CONTROL MASTER'!$S$2:$S$495))-(ROW('CONTROL MASTER'!#REF!)-1))))*(INDEX('CONTROL MASTER'!$W$2:$W$495,(SUMPRODUCT((('CONTROL MASTER'!$S$2:$S$495=4)*('CONTROL MASTER'!$T$2:$T$495&lt;=2)*('CONTROL MASTER'!$V$2:$V$495&gt;=2)*('CONTROL MASTER'!$U$2:$U$495&lt;=3)*('CONTROL MASTER'!$W$2:$W$495&gt;=3))*ROW('CONTROL MASTER'!$S$2:$S$495))-(ROW('CONTROL MASTER'!#REF!)-1)))-INDEX('CONTROL MASTER'!$U$2:$U$495,(SUMPRODUCT((('CONTROL MASTER'!$S$2:$S$495=4)*('CONTROL MASTER'!$T$2:$T$495&lt;=2)*('CONTROL MASTER'!$V$2:$V$495&gt;=2)*('CONTROL MASTER'!$U$2:$U$495&lt;=3)*('CONTROL MASTER'!$W$2:$W$495&gt;=3))*ROW('CONTROL MASTER'!$S$2:$S$495))-(ROW('CONTROL MASTER'!#REF!)-1)))+1)+(3-INDEX('CONTROL MASTER'!$U$2:$U$495,(SUMPRODUCT((('CONTROL MASTER'!$S$2:$S$495=4)*('CONTROL MASTER'!$T$2:$T$495&lt;=2)*('CONTROL MASTER'!$V$2:$V$495&gt;=2)*('CONTROL MASTER'!$U$2:$U$495&lt;=3)*('CONTROL MASTER'!$W$2:$W$495&gt;=3))*ROW('CONTROL MASTER'!$S$2:$S$495))-(ROW('CONTROL MASTER'!#REF!)-1))))+1))-1)*50+1,50))&amp;"_"&amp;INDEX('CONTROL MASTER'!$P$2:$P$495,(SUMPRODUCT((('CONTROL MASTER'!$S$2:$S$495=4)*('CONTROL MASTER'!$T$2:$T$495&lt;=2)*('CONTROL MASTER'!$V$2:$V$495&gt;=2)*('CONTROL MASTER'!$U$2:$U$495&lt;=3)*('CONTROL MASTER'!$W$2:$W$495&gt;=3))*ROW('CONTROL MASTER'!$S$2:$S$495))-(ROW('CONTROL MASTER'!#REF!)-1))),IF(SUMPRODUCT((('CONTROL MASTER'!$S$2:$S$495=4)*('CONTROL MASTER'!$Z$2:$Z$495&lt;=2)*('CONTROL MASTER'!$AB$2:$AB$495&gt;=2)*('CONTROL MASTER'!$AA$2:$AA$495&lt;=3)*('CONTROL MASTER'!$AC$2:$AC$495&gt;=3))*ROW('CONTROL MASTER'!$S$2:$S$495))&gt;0,INDEX('CONTROL MASTER'!$X$2:$X$495,(SUMPRODUCT((('CONTROL MASTER'!$S$2:$S$495=4)*('CONTROL MASTER'!$Z$2:$Z$495&lt;=2)*('CONTROL MASTER'!$AB$2:$AB$495&gt;=2)*('CONTROL MASTER'!$AA$2:$AA$495&lt;=3)*('CONTROL MASTER'!$AC$2:$AC$495&gt;=3))*ROW('CONTROL MASTER'!$S$2:$S$495))-(ROW('CONTROL MASTER'!#REF!)-1)))&amp;TRIM(MID(SUBSTITUTE(SUBSTITUTE(INDEX('CONTROL MASTER'!$N$2:$N$495,(SUMPRODUCT((('CONTROL MASTER'!$S$2:$S$495=4)*('CONTROL MASTER'!$Z$2:$Z$495&lt;=2)*('CONTROL MASTER'!$AB$2:$AB$495&gt;=2)*('CONTROL MASTER'!$AA$2:$AA$495&lt;=3)*('CONTROL MASTER'!$AC$2:$AC$495&gt;=3))*ROW('CONTROL MASTER'!$S$2:$S$495))-(ROW('CONTROL MASTER'!#REF!)-1))),":",","),",",REPT(" ",50)),(((INDEX('CONTROL MASTER'!$Y$2:$Y$495,(SUMPRODUCT((('CONTROL MASTER'!$S$2:$S$495=4)*('CONTROL MASTER'!$Z$2:$Z$495&lt;=2)*('CONTROL MASTER'!$AB$2:$AB$495&gt;=2)*('CONTROL MASTER'!$AA$2:$AA$495&lt;=3)*('CONTROL MASTER'!$AC$2:$AC$495&gt;=3))*ROW('CONTROL MASTER'!$S$2:$S$495))-(ROW('CONTROL MASTER'!#REF!)-1)))+((2-INDEX('CONTROL MASTER'!$Z$2:$Z$495,(SUMPRODUCT((('CONTROL MASTER'!$S$2:$S$495=4)*('CONTROL MASTER'!$Z$2:$Z$495&lt;=2)*('CONTROL MASTER'!$AB$2:$AB$495&gt;=2)*('CONTROL MASTER'!$AA$2:$AA$495&lt;=3)*('CONTROL MASTER'!$AC$2:$AC$495&gt;=3))*ROW('CONTROL MASTER'!$S$2:$S$495))-(ROW('CONTROL MASTER'!#REF!)-1))))*(INDEX('CONTROL MASTER'!$AC$2:$AC$495,(SUMPRODUCT((('CONTROL MASTER'!$S$2:$S$495=4)*('CONTROL MASTER'!$Z$2:$Z$495&lt;=2)*('CONTROL MASTER'!$AB$2:$AB$495&gt;=2)*('CONTROL MASTER'!$AA$2:$AA$495&lt;=3)*('CONTROL MASTER'!$AC$2:$AC$495&gt;=3))*ROW('CONTROL MASTER'!$S$2:$S$495))-(ROW('CONTROL MASTER'!#REF!)-1)))-INDEX('CONTROL MASTER'!$AA$2:$AA$495,(SUMPRODUCT((('CONTROL MASTER'!$S$2:$S$495=4)*('CONTROL MASTER'!$Z$2:$Z$495&lt;=2)*('CONTROL MASTER'!$AB$2:$AB$495&gt;=2)*('CONTROL MASTER'!$AA$2:$AA$495&lt;=3)*('CONTROL MASTER'!$AC$2:$AC$495&gt;=3))*ROW('CONTROL MASTER'!$S$2:$S$495))-(ROW('CONTROL MASTER'!#REF!)-1)))+1)+(3-INDEX('CONTROL MASTER'!$AA$2:$AA$495,(SUMPRODUCT((('CONTROL MASTER'!$S$2:$S$495=4)*('CONTROL MASTER'!$Z$2:$Z$495&lt;=2)*('CONTROL MASTER'!$AB$2:$AB$495&gt;=2)*('CONTROL MASTER'!$AA$2:$AA$495&lt;=3)*('CONTROL MASTER'!$AC$2:$AC$495&gt;=3))*ROW('CONTROL MASTER'!$S$2:$S$495))-(ROW('CONTROL MASTER'!#REF!)-1))))+1)))-1)*50+1,50))&amp;"_"&amp;INDEX('CONTROL MASTER'!$P$2:$P$495,(SUMPRODUCT((('CONTROL MASTER'!$S$2:$S$495=4)*('CONTROL MASTER'!$Z$2:$Z$495&lt;=2)*('CONTROL MASTER'!$AB$2:$AB$495&gt;=2)*('CONTROL MASTER'!$AA$2:$AA$495&lt;=3)*('CONTROL MASTER'!$AC$2:$AC$495&gt;=3))*ROW('CONTROL MASTER'!$S$2:$S$495))-(ROW('CONTROL MASTER'!#REF!)-1))),"")),"")</f>
        <v/>
      </c>
      <c r="E46" s="10" t="str">
        <f>IFERROR(IF(SUMPRODUCT((('CONTROL MASTER'!$S$2:$S$495=4)*('CONTROL MASTER'!$T$2:$T$495&lt;=2)*('CONTROL MASTER'!$V$2:$V$495&gt;=2)*('CONTROL MASTER'!$U$2:$U$495&lt;=4)*('CONTROL MASTER'!$W$2:$W$495&gt;=4))*ROW('CONTROL MASTER'!$S$2:$S$495))&gt;0,INDEX('CONTROL MASTER'!$X$2:$X$495,(SUMPRODUCT((('CONTROL MASTER'!$S$2:$S$495=4)*('CONTROL MASTER'!$T$2:$T$495&lt;=2)*('CONTROL MASTER'!$V$2:$V$495&gt;=2)*('CONTROL MASTER'!$U$2:$U$495&lt;=4)*('CONTROL MASTER'!$W$2:$W$495&gt;=4))*ROW('CONTROL MASTER'!$S$2:$S$495))-(ROW('CONTROL MASTER'!#REF!)-1)))&amp;TRIM(MID(SUBSTITUTE(SUBSTITUTE(INDEX('CONTROL MASTER'!$N$2:$N$495,(SUMPRODUCT((('CONTROL MASTER'!$S$2:$S$495=4)*('CONTROL MASTER'!$T$2:$T$495&lt;=2)*('CONTROL MASTER'!$V$2:$V$495&gt;=2)*('CONTROL MASTER'!$U$2:$U$495&lt;=4)*('CONTROL MASTER'!$W$2:$W$495&gt;=4))*ROW('CONTROL MASTER'!$S$2:$S$495))-(ROW('CONTROL MASTER'!#REF!)-1))),":",","),",",REPT(" ",50)),((((2-INDEX('CONTROL MASTER'!$T$2:$T$495,(SUMPRODUCT((('CONTROL MASTER'!$S$2:$S$495=4)*('CONTROL MASTER'!$T$2:$T$495&lt;=2)*('CONTROL MASTER'!$V$2:$V$495&gt;=2)*('CONTROL MASTER'!$U$2:$U$495&lt;=4)*('CONTROL MASTER'!$W$2:$W$495&gt;=4))*ROW('CONTROL MASTER'!$S$2:$S$495))-(ROW('CONTROL MASTER'!#REF!)-1))))*(INDEX('CONTROL MASTER'!$W$2:$W$495,(SUMPRODUCT((('CONTROL MASTER'!$S$2:$S$495=4)*('CONTROL MASTER'!$T$2:$T$495&lt;=2)*('CONTROL MASTER'!$V$2:$V$495&gt;=2)*('CONTROL MASTER'!$U$2:$U$495&lt;=4)*('CONTROL MASTER'!$W$2:$W$495&gt;=4))*ROW('CONTROL MASTER'!$S$2:$S$495))-(ROW('CONTROL MASTER'!#REF!)-1)))-INDEX('CONTROL MASTER'!$U$2:$U$495,(SUMPRODUCT((('CONTROL MASTER'!$S$2:$S$495=4)*('CONTROL MASTER'!$T$2:$T$495&lt;=2)*('CONTROL MASTER'!$V$2:$V$495&gt;=2)*('CONTROL MASTER'!$U$2:$U$495&lt;=4)*('CONTROL MASTER'!$W$2:$W$495&gt;=4))*ROW('CONTROL MASTER'!$S$2:$S$495))-(ROW('CONTROL MASTER'!#REF!)-1)))+1)+(4-INDEX('CONTROL MASTER'!$U$2:$U$495,(SUMPRODUCT((('CONTROL MASTER'!$S$2:$S$495=4)*('CONTROL MASTER'!$T$2:$T$495&lt;=2)*('CONTROL MASTER'!$V$2:$V$495&gt;=2)*('CONTROL MASTER'!$U$2:$U$495&lt;=4)*('CONTROL MASTER'!$W$2:$W$495&gt;=4))*ROW('CONTROL MASTER'!$S$2:$S$495))-(ROW('CONTROL MASTER'!#REF!)-1))))+1))-1)*50+1,50))&amp;"_"&amp;INDEX('CONTROL MASTER'!$P$2:$P$495,(SUMPRODUCT((('CONTROL MASTER'!$S$2:$S$495=4)*('CONTROL MASTER'!$T$2:$T$495&lt;=2)*('CONTROL MASTER'!$V$2:$V$495&gt;=2)*('CONTROL MASTER'!$U$2:$U$495&lt;=4)*('CONTROL MASTER'!$W$2:$W$495&gt;=4))*ROW('CONTROL MASTER'!$S$2:$S$495))-(ROW('CONTROL MASTER'!#REF!)-1))),IF(SUMPRODUCT((('CONTROL MASTER'!$S$2:$S$495=4)*('CONTROL MASTER'!$Z$2:$Z$495&lt;=2)*('CONTROL MASTER'!$AB$2:$AB$495&gt;=2)*('CONTROL MASTER'!$AA$2:$AA$495&lt;=4)*('CONTROL MASTER'!$AC$2:$AC$495&gt;=4))*ROW('CONTROL MASTER'!$S$2:$S$495))&gt;0,INDEX('CONTROL MASTER'!$X$2:$X$495,(SUMPRODUCT((('CONTROL MASTER'!$S$2:$S$495=4)*('CONTROL MASTER'!$Z$2:$Z$495&lt;=2)*('CONTROL MASTER'!$AB$2:$AB$495&gt;=2)*('CONTROL MASTER'!$AA$2:$AA$495&lt;=4)*('CONTROL MASTER'!$AC$2:$AC$495&gt;=4))*ROW('CONTROL MASTER'!$S$2:$S$495))-(ROW('CONTROL MASTER'!#REF!)-1)))&amp;TRIM(MID(SUBSTITUTE(SUBSTITUTE(INDEX('CONTROL MASTER'!$N$2:$N$495,(SUMPRODUCT((('CONTROL MASTER'!$S$2:$S$495=4)*('CONTROL MASTER'!$Z$2:$Z$495&lt;=2)*('CONTROL MASTER'!$AB$2:$AB$495&gt;=2)*('CONTROL MASTER'!$AA$2:$AA$495&lt;=4)*('CONTROL MASTER'!$AC$2:$AC$495&gt;=4))*ROW('CONTROL MASTER'!$S$2:$S$495))-(ROW('CONTROL MASTER'!#REF!)-1))),":",","),",",REPT(" ",50)),(((INDEX('CONTROL MASTER'!$Y$2:$Y$495,(SUMPRODUCT((('CONTROL MASTER'!$S$2:$S$495=4)*('CONTROL MASTER'!$Z$2:$Z$495&lt;=2)*('CONTROL MASTER'!$AB$2:$AB$495&gt;=2)*('CONTROL MASTER'!$AA$2:$AA$495&lt;=4)*('CONTROL MASTER'!$AC$2:$AC$495&gt;=4))*ROW('CONTROL MASTER'!$S$2:$S$495))-(ROW('CONTROL MASTER'!#REF!)-1)))+((2-INDEX('CONTROL MASTER'!$Z$2:$Z$495,(SUMPRODUCT((('CONTROL MASTER'!$S$2:$S$495=4)*('CONTROL MASTER'!$Z$2:$Z$495&lt;=2)*('CONTROL MASTER'!$AB$2:$AB$495&gt;=2)*('CONTROL MASTER'!$AA$2:$AA$495&lt;=4)*('CONTROL MASTER'!$AC$2:$AC$495&gt;=4))*ROW('CONTROL MASTER'!$S$2:$S$495))-(ROW('CONTROL MASTER'!#REF!)-1))))*(INDEX('CONTROL MASTER'!$AC$2:$AC$495,(SUMPRODUCT((('CONTROL MASTER'!$S$2:$S$495=4)*('CONTROL MASTER'!$Z$2:$Z$495&lt;=2)*('CONTROL MASTER'!$AB$2:$AB$495&gt;=2)*('CONTROL MASTER'!$AA$2:$AA$495&lt;=4)*('CONTROL MASTER'!$AC$2:$AC$495&gt;=4))*ROW('CONTROL MASTER'!$S$2:$S$495))-(ROW('CONTROL MASTER'!#REF!)-1)))-INDEX('CONTROL MASTER'!$AA$2:$AA$495,(SUMPRODUCT((('CONTROL MASTER'!$S$2:$S$495=4)*('CONTROL MASTER'!$Z$2:$Z$495&lt;=2)*('CONTROL MASTER'!$AB$2:$AB$495&gt;=2)*('CONTROL MASTER'!$AA$2:$AA$495&lt;=4)*('CONTROL MASTER'!$AC$2:$AC$495&gt;=4))*ROW('CONTROL MASTER'!$S$2:$S$495))-(ROW('CONTROL MASTER'!#REF!)-1)))+1)+(4-INDEX('CONTROL MASTER'!$AA$2:$AA$495,(SUMPRODUCT((('CONTROL MASTER'!$S$2:$S$495=4)*('CONTROL MASTER'!$Z$2:$Z$495&lt;=2)*('CONTROL MASTER'!$AB$2:$AB$495&gt;=2)*('CONTROL MASTER'!$AA$2:$AA$495&lt;=4)*('CONTROL MASTER'!$AC$2:$AC$495&gt;=4))*ROW('CONTROL MASTER'!$S$2:$S$495))-(ROW('CONTROL MASTER'!#REF!)-1))))+1)))-1)*50+1,50))&amp;"_"&amp;INDEX('CONTROL MASTER'!$P$2:$P$495,(SUMPRODUCT((('CONTROL MASTER'!$S$2:$S$495=4)*('CONTROL MASTER'!$Z$2:$Z$495&lt;=2)*('CONTROL MASTER'!$AB$2:$AB$495&gt;=2)*('CONTROL MASTER'!$AA$2:$AA$495&lt;=4)*('CONTROL MASTER'!$AC$2:$AC$495&gt;=4))*ROW('CONTROL MASTER'!$S$2:$S$495))-(ROW('CONTROL MASTER'!#REF!)-1))),"")),"")</f>
        <v/>
      </c>
      <c r="F46" s="10" t="str">
        <f>IFERROR(IF(SUMPRODUCT((('CONTROL MASTER'!$S$2:$S$495=4)*('CONTROL MASTER'!$T$2:$T$495&lt;=2)*('CONTROL MASTER'!$V$2:$V$495&gt;=2)*('CONTROL MASTER'!$U$2:$U$495&lt;=5)*('CONTROL MASTER'!$W$2:$W$495&gt;=5))*ROW('CONTROL MASTER'!$S$2:$S$495))&gt;0,INDEX('CONTROL MASTER'!$X$2:$X$495,(SUMPRODUCT((('CONTROL MASTER'!$S$2:$S$495=4)*('CONTROL MASTER'!$T$2:$T$495&lt;=2)*('CONTROL MASTER'!$V$2:$V$495&gt;=2)*('CONTROL MASTER'!$U$2:$U$495&lt;=5)*('CONTROL MASTER'!$W$2:$W$495&gt;=5))*ROW('CONTROL MASTER'!$S$2:$S$495))-(ROW('CONTROL MASTER'!#REF!)-1)))&amp;TRIM(MID(SUBSTITUTE(SUBSTITUTE(INDEX('CONTROL MASTER'!$N$2:$N$495,(SUMPRODUCT((('CONTROL MASTER'!$S$2:$S$495=4)*('CONTROL MASTER'!$T$2:$T$495&lt;=2)*('CONTROL MASTER'!$V$2:$V$495&gt;=2)*('CONTROL MASTER'!$U$2:$U$495&lt;=5)*('CONTROL MASTER'!$W$2:$W$495&gt;=5))*ROW('CONTROL MASTER'!$S$2:$S$495))-(ROW('CONTROL MASTER'!#REF!)-1))),":",","),",",REPT(" ",50)),((((2-INDEX('CONTROL MASTER'!$T$2:$T$495,(SUMPRODUCT((('CONTROL MASTER'!$S$2:$S$495=4)*('CONTROL MASTER'!$T$2:$T$495&lt;=2)*('CONTROL MASTER'!$V$2:$V$495&gt;=2)*('CONTROL MASTER'!$U$2:$U$495&lt;=5)*('CONTROL MASTER'!$W$2:$W$495&gt;=5))*ROW('CONTROL MASTER'!$S$2:$S$495))-(ROW('CONTROL MASTER'!#REF!)-1))))*(INDEX('CONTROL MASTER'!$W$2:$W$495,(SUMPRODUCT((('CONTROL MASTER'!$S$2:$S$495=4)*('CONTROL MASTER'!$T$2:$T$495&lt;=2)*('CONTROL MASTER'!$V$2:$V$495&gt;=2)*('CONTROL MASTER'!$U$2:$U$495&lt;=5)*('CONTROL MASTER'!$W$2:$W$495&gt;=5))*ROW('CONTROL MASTER'!$S$2:$S$495))-(ROW('CONTROL MASTER'!#REF!)-1)))-INDEX('CONTROL MASTER'!$U$2:$U$495,(SUMPRODUCT((('CONTROL MASTER'!$S$2:$S$495=4)*('CONTROL MASTER'!$T$2:$T$495&lt;=2)*('CONTROL MASTER'!$V$2:$V$495&gt;=2)*('CONTROL MASTER'!$U$2:$U$495&lt;=5)*('CONTROL MASTER'!$W$2:$W$495&gt;=5))*ROW('CONTROL MASTER'!$S$2:$S$495))-(ROW('CONTROL MASTER'!#REF!)-1)))+1)+(5-INDEX('CONTROL MASTER'!$U$2:$U$495,(SUMPRODUCT((('CONTROL MASTER'!$S$2:$S$495=4)*('CONTROL MASTER'!$T$2:$T$495&lt;=2)*('CONTROL MASTER'!$V$2:$V$495&gt;=2)*('CONTROL MASTER'!$U$2:$U$495&lt;=5)*('CONTROL MASTER'!$W$2:$W$495&gt;=5))*ROW('CONTROL MASTER'!$S$2:$S$495))-(ROW('CONTROL MASTER'!#REF!)-1))))+1))-1)*50+1,50))&amp;"_"&amp;INDEX('CONTROL MASTER'!$P$2:$P$495,(SUMPRODUCT((('CONTROL MASTER'!$S$2:$S$495=4)*('CONTROL MASTER'!$T$2:$T$495&lt;=2)*('CONTROL MASTER'!$V$2:$V$495&gt;=2)*('CONTROL MASTER'!$U$2:$U$495&lt;=5)*('CONTROL MASTER'!$W$2:$W$495&gt;=5))*ROW('CONTROL MASTER'!$S$2:$S$495))-(ROW('CONTROL MASTER'!#REF!)-1))),IF(SUMPRODUCT((('CONTROL MASTER'!$S$2:$S$495=4)*('CONTROL MASTER'!$Z$2:$Z$495&lt;=2)*('CONTROL MASTER'!$AB$2:$AB$495&gt;=2)*('CONTROL MASTER'!$AA$2:$AA$495&lt;=5)*('CONTROL MASTER'!$AC$2:$AC$495&gt;=5))*ROW('CONTROL MASTER'!$S$2:$S$495))&gt;0,INDEX('CONTROL MASTER'!$X$2:$X$495,(SUMPRODUCT((('CONTROL MASTER'!$S$2:$S$495=4)*('CONTROL MASTER'!$Z$2:$Z$495&lt;=2)*('CONTROL MASTER'!$AB$2:$AB$495&gt;=2)*('CONTROL MASTER'!$AA$2:$AA$495&lt;=5)*('CONTROL MASTER'!$AC$2:$AC$495&gt;=5))*ROW('CONTROL MASTER'!$S$2:$S$495))-(ROW('CONTROL MASTER'!#REF!)-1)))&amp;TRIM(MID(SUBSTITUTE(SUBSTITUTE(INDEX('CONTROL MASTER'!$N$2:$N$495,(SUMPRODUCT((('CONTROL MASTER'!$S$2:$S$495=4)*('CONTROL MASTER'!$Z$2:$Z$495&lt;=2)*('CONTROL MASTER'!$AB$2:$AB$495&gt;=2)*('CONTROL MASTER'!$AA$2:$AA$495&lt;=5)*('CONTROL MASTER'!$AC$2:$AC$495&gt;=5))*ROW('CONTROL MASTER'!$S$2:$S$495))-(ROW('CONTROL MASTER'!#REF!)-1))),":",","),",",REPT(" ",50)),(((INDEX('CONTROL MASTER'!$Y$2:$Y$495,(SUMPRODUCT((('CONTROL MASTER'!$S$2:$S$495=4)*('CONTROL MASTER'!$Z$2:$Z$495&lt;=2)*('CONTROL MASTER'!$AB$2:$AB$495&gt;=2)*('CONTROL MASTER'!$AA$2:$AA$495&lt;=5)*('CONTROL MASTER'!$AC$2:$AC$495&gt;=5))*ROW('CONTROL MASTER'!$S$2:$S$495))-(ROW('CONTROL MASTER'!#REF!)-1)))+((2-INDEX('CONTROL MASTER'!$Z$2:$Z$495,(SUMPRODUCT((('CONTROL MASTER'!$S$2:$S$495=4)*('CONTROL MASTER'!$Z$2:$Z$495&lt;=2)*('CONTROL MASTER'!$AB$2:$AB$495&gt;=2)*('CONTROL MASTER'!$AA$2:$AA$495&lt;=5)*('CONTROL MASTER'!$AC$2:$AC$495&gt;=5))*ROW('CONTROL MASTER'!$S$2:$S$495))-(ROW('CONTROL MASTER'!#REF!)-1))))*(INDEX('CONTROL MASTER'!$AC$2:$AC$495,(SUMPRODUCT((('CONTROL MASTER'!$S$2:$S$495=4)*('CONTROL MASTER'!$Z$2:$Z$495&lt;=2)*('CONTROL MASTER'!$AB$2:$AB$495&gt;=2)*('CONTROL MASTER'!$AA$2:$AA$495&lt;=5)*('CONTROL MASTER'!$AC$2:$AC$495&gt;=5))*ROW('CONTROL MASTER'!$S$2:$S$495))-(ROW('CONTROL MASTER'!#REF!)-1)))-INDEX('CONTROL MASTER'!$AA$2:$AA$495,(SUMPRODUCT((('CONTROL MASTER'!$S$2:$S$495=4)*('CONTROL MASTER'!$Z$2:$Z$495&lt;=2)*('CONTROL MASTER'!$AB$2:$AB$495&gt;=2)*('CONTROL MASTER'!$AA$2:$AA$495&lt;=5)*('CONTROL MASTER'!$AC$2:$AC$495&gt;=5))*ROW('CONTROL MASTER'!$S$2:$S$495))-(ROW('CONTROL MASTER'!#REF!)-1)))+1)+(5-INDEX('CONTROL MASTER'!$AA$2:$AA$495,(SUMPRODUCT((('CONTROL MASTER'!$S$2:$S$495=4)*('CONTROL MASTER'!$Z$2:$Z$495&lt;=2)*('CONTROL MASTER'!$AB$2:$AB$495&gt;=2)*('CONTROL MASTER'!$AA$2:$AA$495&lt;=5)*('CONTROL MASTER'!$AC$2:$AC$495&gt;=5))*ROW('CONTROL MASTER'!$S$2:$S$495))-(ROW('CONTROL MASTER'!#REF!)-1))))+1)))-1)*50+1,50))&amp;"_"&amp;INDEX('CONTROL MASTER'!$P$2:$P$495,(SUMPRODUCT((('CONTROL MASTER'!$S$2:$S$495=4)*('CONTROL MASTER'!$Z$2:$Z$495&lt;=2)*('CONTROL MASTER'!$AB$2:$AB$495&gt;=2)*('CONTROL MASTER'!$AA$2:$AA$495&lt;=5)*('CONTROL MASTER'!$AC$2:$AC$495&gt;=5))*ROW('CONTROL MASTER'!$S$2:$S$495))-(ROW('CONTROL MASTER'!#REF!)-1))),"")),"")</f>
        <v/>
      </c>
      <c r="G46" s="10" t="str">
        <f>IFERROR(IF(SUMPRODUCT((('CONTROL MASTER'!$S$2:$S$495=4)*('CONTROL MASTER'!$T$2:$T$495&lt;=2)*('CONTROL MASTER'!$V$2:$V$495&gt;=2)*('CONTROL MASTER'!$U$2:$U$495&lt;=6)*('CONTROL MASTER'!$W$2:$W$495&gt;=6))*ROW('CONTROL MASTER'!$S$2:$S$495))&gt;0,INDEX('CONTROL MASTER'!$X$2:$X$495,(SUMPRODUCT((('CONTROL MASTER'!$S$2:$S$495=4)*('CONTROL MASTER'!$T$2:$T$495&lt;=2)*('CONTROL MASTER'!$V$2:$V$495&gt;=2)*('CONTROL MASTER'!$U$2:$U$495&lt;=6)*('CONTROL MASTER'!$W$2:$W$495&gt;=6))*ROW('CONTROL MASTER'!$S$2:$S$495))-(ROW('CONTROL MASTER'!#REF!)-1)))&amp;TRIM(MID(SUBSTITUTE(SUBSTITUTE(INDEX('CONTROL MASTER'!$N$2:$N$495,(SUMPRODUCT((('CONTROL MASTER'!$S$2:$S$495=4)*('CONTROL MASTER'!$T$2:$T$495&lt;=2)*('CONTROL MASTER'!$V$2:$V$495&gt;=2)*('CONTROL MASTER'!$U$2:$U$495&lt;=6)*('CONTROL MASTER'!$W$2:$W$495&gt;=6))*ROW('CONTROL MASTER'!$S$2:$S$495))-(ROW('CONTROL MASTER'!#REF!)-1))),":",","),",",REPT(" ",50)),((((2-INDEX('CONTROL MASTER'!$T$2:$T$495,(SUMPRODUCT((('CONTROL MASTER'!$S$2:$S$495=4)*('CONTROL MASTER'!$T$2:$T$495&lt;=2)*('CONTROL MASTER'!$V$2:$V$495&gt;=2)*('CONTROL MASTER'!$U$2:$U$495&lt;=6)*('CONTROL MASTER'!$W$2:$W$495&gt;=6))*ROW('CONTROL MASTER'!$S$2:$S$495))-(ROW('CONTROL MASTER'!#REF!)-1))))*(INDEX('CONTROL MASTER'!$W$2:$W$495,(SUMPRODUCT((('CONTROL MASTER'!$S$2:$S$495=4)*('CONTROL MASTER'!$T$2:$T$495&lt;=2)*('CONTROL MASTER'!$V$2:$V$495&gt;=2)*('CONTROL MASTER'!$U$2:$U$495&lt;=6)*('CONTROL MASTER'!$W$2:$W$495&gt;=6))*ROW('CONTROL MASTER'!$S$2:$S$495))-(ROW('CONTROL MASTER'!#REF!)-1)))-INDEX('CONTROL MASTER'!$U$2:$U$495,(SUMPRODUCT((('CONTROL MASTER'!$S$2:$S$495=4)*('CONTROL MASTER'!$T$2:$T$495&lt;=2)*('CONTROL MASTER'!$V$2:$V$495&gt;=2)*('CONTROL MASTER'!$U$2:$U$495&lt;=6)*('CONTROL MASTER'!$W$2:$W$495&gt;=6))*ROW('CONTROL MASTER'!$S$2:$S$495))-(ROW('CONTROL MASTER'!#REF!)-1)))+1)+(6-INDEX('CONTROL MASTER'!$U$2:$U$495,(SUMPRODUCT((('CONTROL MASTER'!$S$2:$S$495=4)*('CONTROL MASTER'!$T$2:$T$495&lt;=2)*('CONTROL MASTER'!$V$2:$V$495&gt;=2)*('CONTROL MASTER'!$U$2:$U$495&lt;=6)*('CONTROL MASTER'!$W$2:$W$495&gt;=6))*ROW('CONTROL MASTER'!$S$2:$S$495))-(ROW('CONTROL MASTER'!#REF!)-1))))+1))-1)*50+1,50))&amp;"_"&amp;INDEX('CONTROL MASTER'!$P$2:$P$495,(SUMPRODUCT((('CONTROL MASTER'!$S$2:$S$495=4)*('CONTROL MASTER'!$T$2:$T$495&lt;=2)*('CONTROL MASTER'!$V$2:$V$495&gt;=2)*('CONTROL MASTER'!$U$2:$U$495&lt;=6)*('CONTROL MASTER'!$W$2:$W$495&gt;=6))*ROW('CONTROL MASTER'!$S$2:$S$495))-(ROW('CONTROL MASTER'!#REF!)-1))),IF(SUMPRODUCT((('CONTROL MASTER'!$S$2:$S$495=4)*('CONTROL MASTER'!$Z$2:$Z$495&lt;=2)*('CONTROL MASTER'!$AB$2:$AB$495&gt;=2)*('CONTROL MASTER'!$AA$2:$AA$495&lt;=6)*('CONTROL MASTER'!$AC$2:$AC$495&gt;=6))*ROW('CONTROL MASTER'!$S$2:$S$495))&gt;0,INDEX('CONTROL MASTER'!$X$2:$X$495,(SUMPRODUCT((('CONTROL MASTER'!$S$2:$S$495=4)*('CONTROL MASTER'!$Z$2:$Z$495&lt;=2)*('CONTROL MASTER'!$AB$2:$AB$495&gt;=2)*('CONTROL MASTER'!$AA$2:$AA$495&lt;=6)*('CONTROL MASTER'!$AC$2:$AC$495&gt;=6))*ROW('CONTROL MASTER'!$S$2:$S$495))-(ROW('CONTROL MASTER'!#REF!)-1)))&amp;TRIM(MID(SUBSTITUTE(SUBSTITUTE(INDEX('CONTROL MASTER'!$N$2:$N$495,(SUMPRODUCT((('CONTROL MASTER'!$S$2:$S$495=4)*('CONTROL MASTER'!$Z$2:$Z$495&lt;=2)*('CONTROL MASTER'!$AB$2:$AB$495&gt;=2)*('CONTROL MASTER'!$AA$2:$AA$495&lt;=6)*('CONTROL MASTER'!$AC$2:$AC$495&gt;=6))*ROW('CONTROL MASTER'!$S$2:$S$495))-(ROW('CONTROL MASTER'!#REF!)-1))),":",","),",",REPT(" ",50)),(((INDEX('CONTROL MASTER'!$Y$2:$Y$495,(SUMPRODUCT((('CONTROL MASTER'!$S$2:$S$495=4)*('CONTROL MASTER'!$Z$2:$Z$495&lt;=2)*('CONTROL MASTER'!$AB$2:$AB$495&gt;=2)*('CONTROL MASTER'!$AA$2:$AA$495&lt;=6)*('CONTROL MASTER'!$AC$2:$AC$495&gt;=6))*ROW('CONTROL MASTER'!$S$2:$S$495))-(ROW('CONTROL MASTER'!#REF!)-1)))+((2-INDEX('CONTROL MASTER'!$Z$2:$Z$495,(SUMPRODUCT((('CONTROL MASTER'!$S$2:$S$495=4)*('CONTROL MASTER'!$Z$2:$Z$495&lt;=2)*('CONTROL MASTER'!$AB$2:$AB$495&gt;=2)*('CONTROL MASTER'!$AA$2:$AA$495&lt;=6)*('CONTROL MASTER'!$AC$2:$AC$495&gt;=6))*ROW('CONTROL MASTER'!$S$2:$S$495))-(ROW('CONTROL MASTER'!#REF!)-1))))*(INDEX('CONTROL MASTER'!$AC$2:$AC$495,(SUMPRODUCT((('CONTROL MASTER'!$S$2:$S$495=4)*('CONTROL MASTER'!$Z$2:$Z$495&lt;=2)*('CONTROL MASTER'!$AB$2:$AB$495&gt;=2)*('CONTROL MASTER'!$AA$2:$AA$495&lt;=6)*('CONTROL MASTER'!$AC$2:$AC$495&gt;=6))*ROW('CONTROL MASTER'!$S$2:$S$495))-(ROW('CONTROL MASTER'!#REF!)-1)))-INDEX('CONTROL MASTER'!$AA$2:$AA$495,(SUMPRODUCT((('CONTROL MASTER'!$S$2:$S$495=4)*('CONTROL MASTER'!$Z$2:$Z$495&lt;=2)*('CONTROL MASTER'!$AB$2:$AB$495&gt;=2)*('CONTROL MASTER'!$AA$2:$AA$495&lt;=6)*('CONTROL MASTER'!$AC$2:$AC$495&gt;=6))*ROW('CONTROL MASTER'!$S$2:$S$495))-(ROW('CONTROL MASTER'!#REF!)-1)))+1)+(6-INDEX('CONTROL MASTER'!$AA$2:$AA$495,(SUMPRODUCT((('CONTROL MASTER'!$S$2:$S$495=4)*('CONTROL MASTER'!$Z$2:$Z$495&lt;=2)*('CONTROL MASTER'!$AB$2:$AB$495&gt;=2)*('CONTROL MASTER'!$AA$2:$AA$495&lt;=6)*('CONTROL MASTER'!$AC$2:$AC$495&gt;=6))*ROW('CONTROL MASTER'!$S$2:$S$495))-(ROW('CONTROL MASTER'!#REF!)-1))))+1)))-1)*50+1,50))&amp;"_"&amp;INDEX('CONTROL MASTER'!$P$2:$P$495,(SUMPRODUCT((('CONTROL MASTER'!$S$2:$S$495=4)*('CONTROL MASTER'!$Z$2:$Z$495&lt;=2)*('CONTROL MASTER'!$AB$2:$AB$495&gt;=2)*('CONTROL MASTER'!$AA$2:$AA$495&lt;=6)*('CONTROL MASTER'!$AC$2:$AC$495&gt;=6))*ROW('CONTROL MASTER'!$S$2:$S$495))-(ROW('CONTROL MASTER'!#REF!)-1))),"")),"")</f>
        <v/>
      </c>
      <c r="H46" s="10" t="str">
        <f>IFERROR(IF(SUMPRODUCT((('CONTROL MASTER'!$S$2:$S$495=4)*('CONTROL MASTER'!$T$2:$T$495&lt;=2)*('CONTROL MASTER'!$V$2:$V$495&gt;=2)*('CONTROL MASTER'!$U$2:$U$495&lt;=7)*('CONTROL MASTER'!$W$2:$W$495&gt;=7))*ROW('CONTROL MASTER'!$S$2:$S$495))&gt;0,INDEX('CONTROL MASTER'!$X$2:$X$495,(SUMPRODUCT((('CONTROL MASTER'!$S$2:$S$495=4)*('CONTROL MASTER'!$T$2:$T$495&lt;=2)*('CONTROL MASTER'!$V$2:$V$495&gt;=2)*('CONTROL MASTER'!$U$2:$U$495&lt;=7)*('CONTROL MASTER'!$W$2:$W$495&gt;=7))*ROW('CONTROL MASTER'!$S$2:$S$495))-(ROW('CONTROL MASTER'!#REF!)-1)))&amp;TRIM(MID(SUBSTITUTE(SUBSTITUTE(INDEX('CONTROL MASTER'!$N$2:$N$495,(SUMPRODUCT((('CONTROL MASTER'!$S$2:$S$495=4)*('CONTROL MASTER'!$T$2:$T$495&lt;=2)*('CONTROL MASTER'!$V$2:$V$495&gt;=2)*('CONTROL MASTER'!$U$2:$U$495&lt;=7)*('CONTROL MASTER'!$W$2:$W$495&gt;=7))*ROW('CONTROL MASTER'!$S$2:$S$495))-(ROW('CONTROL MASTER'!#REF!)-1))),":",","),",",REPT(" ",50)),((((2-INDEX('CONTROL MASTER'!$T$2:$T$495,(SUMPRODUCT((('CONTROL MASTER'!$S$2:$S$495=4)*('CONTROL MASTER'!$T$2:$T$495&lt;=2)*('CONTROL MASTER'!$V$2:$V$495&gt;=2)*('CONTROL MASTER'!$U$2:$U$495&lt;=7)*('CONTROL MASTER'!$W$2:$W$495&gt;=7))*ROW('CONTROL MASTER'!$S$2:$S$495))-(ROW('CONTROL MASTER'!#REF!)-1))))*(INDEX('CONTROL MASTER'!$W$2:$W$495,(SUMPRODUCT((('CONTROL MASTER'!$S$2:$S$495=4)*('CONTROL MASTER'!$T$2:$T$495&lt;=2)*('CONTROL MASTER'!$V$2:$V$495&gt;=2)*('CONTROL MASTER'!$U$2:$U$495&lt;=7)*('CONTROL MASTER'!$W$2:$W$495&gt;=7))*ROW('CONTROL MASTER'!$S$2:$S$495))-(ROW('CONTROL MASTER'!#REF!)-1)))-INDEX('CONTROL MASTER'!$U$2:$U$495,(SUMPRODUCT((('CONTROL MASTER'!$S$2:$S$495=4)*('CONTROL MASTER'!$T$2:$T$495&lt;=2)*('CONTROL MASTER'!$V$2:$V$495&gt;=2)*('CONTROL MASTER'!$U$2:$U$495&lt;=7)*('CONTROL MASTER'!$W$2:$W$495&gt;=7))*ROW('CONTROL MASTER'!$S$2:$S$495))-(ROW('CONTROL MASTER'!#REF!)-1)))+1)+(7-INDEX('CONTROL MASTER'!$U$2:$U$495,(SUMPRODUCT((('CONTROL MASTER'!$S$2:$S$495=4)*('CONTROL MASTER'!$T$2:$T$495&lt;=2)*('CONTROL MASTER'!$V$2:$V$495&gt;=2)*('CONTROL MASTER'!$U$2:$U$495&lt;=7)*('CONTROL MASTER'!$W$2:$W$495&gt;=7))*ROW('CONTROL MASTER'!$S$2:$S$495))-(ROW('CONTROL MASTER'!#REF!)-1))))+1))-1)*50+1,50))&amp;"_"&amp;INDEX('CONTROL MASTER'!$P$2:$P$495,(SUMPRODUCT((('CONTROL MASTER'!$S$2:$S$495=4)*('CONTROL MASTER'!$T$2:$T$495&lt;=2)*('CONTROL MASTER'!$V$2:$V$495&gt;=2)*('CONTROL MASTER'!$U$2:$U$495&lt;=7)*('CONTROL MASTER'!$W$2:$W$495&gt;=7))*ROW('CONTROL MASTER'!$S$2:$S$495))-(ROW('CONTROL MASTER'!#REF!)-1))),IF(SUMPRODUCT((('CONTROL MASTER'!$S$2:$S$495=4)*('CONTROL MASTER'!$Z$2:$Z$495&lt;=2)*('CONTROL MASTER'!$AB$2:$AB$495&gt;=2)*('CONTROL MASTER'!$AA$2:$AA$495&lt;=7)*('CONTROL MASTER'!$AC$2:$AC$495&gt;=7))*ROW('CONTROL MASTER'!$S$2:$S$495))&gt;0,INDEX('CONTROL MASTER'!$X$2:$X$495,(SUMPRODUCT((('CONTROL MASTER'!$S$2:$S$495=4)*('CONTROL MASTER'!$Z$2:$Z$495&lt;=2)*('CONTROL MASTER'!$AB$2:$AB$495&gt;=2)*('CONTROL MASTER'!$AA$2:$AA$495&lt;=7)*('CONTROL MASTER'!$AC$2:$AC$495&gt;=7))*ROW('CONTROL MASTER'!$S$2:$S$495))-(ROW('CONTROL MASTER'!#REF!)-1)))&amp;TRIM(MID(SUBSTITUTE(SUBSTITUTE(INDEX('CONTROL MASTER'!$N$2:$N$495,(SUMPRODUCT((('CONTROL MASTER'!$S$2:$S$495=4)*('CONTROL MASTER'!$Z$2:$Z$495&lt;=2)*('CONTROL MASTER'!$AB$2:$AB$495&gt;=2)*('CONTROL MASTER'!$AA$2:$AA$495&lt;=7)*('CONTROL MASTER'!$AC$2:$AC$495&gt;=7))*ROW('CONTROL MASTER'!$S$2:$S$495))-(ROW('CONTROL MASTER'!#REF!)-1))),":",","),",",REPT(" ",50)),(((INDEX('CONTROL MASTER'!$Y$2:$Y$495,(SUMPRODUCT((('CONTROL MASTER'!$S$2:$S$495=4)*('CONTROL MASTER'!$Z$2:$Z$495&lt;=2)*('CONTROL MASTER'!$AB$2:$AB$495&gt;=2)*('CONTROL MASTER'!$AA$2:$AA$495&lt;=7)*('CONTROL MASTER'!$AC$2:$AC$495&gt;=7))*ROW('CONTROL MASTER'!$S$2:$S$495))-(ROW('CONTROL MASTER'!#REF!)-1)))+((2-INDEX('CONTROL MASTER'!$Z$2:$Z$495,(SUMPRODUCT((('CONTROL MASTER'!$S$2:$S$495=4)*('CONTROL MASTER'!$Z$2:$Z$495&lt;=2)*('CONTROL MASTER'!$AB$2:$AB$495&gt;=2)*('CONTROL MASTER'!$AA$2:$AA$495&lt;=7)*('CONTROL MASTER'!$AC$2:$AC$495&gt;=7))*ROW('CONTROL MASTER'!$S$2:$S$495))-(ROW('CONTROL MASTER'!#REF!)-1))))*(INDEX('CONTROL MASTER'!$AC$2:$AC$495,(SUMPRODUCT((('CONTROL MASTER'!$S$2:$S$495=4)*('CONTROL MASTER'!$Z$2:$Z$495&lt;=2)*('CONTROL MASTER'!$AB$2:$AB$495&gt;=2)*('CONTROL MASTER'!$AA$2:$AA$495&lt;=7)*('CONTROL MASTER'!$AC$2:$AC$495&gt;=7))*ROW('CONTROL MASTER'!$S$2:$S$495))-(ROW('CONTROL MASTER'!#REF!)-1)))-INDEX('CONTROL MASTER'!$AA$2:$AA$495,(SUMPRODUCT((('CONTROL MASTER'!$S$2:$S$495=4)*('CONTROL MASTER'!$Z$2:$Z$495&lt;=2)*('CONTROL MASTER'!$AB$2:$AB$495&gt;=2)*('CONTROL MASTER'!$AA$2:$AA$495&lt;=7)*('CONTROL MASTER'!$AC$2:$AC$495&gt;=7))*ROW('CONTROL MASTER'!$S$2:$S$495))-(ROW('CONTROL MASTER'!#REF!)-1)))+1)+(7-INDEX('CONTROL MASTER'!$AA$2:$AA$495,(SUMPRODUCT((('CONTROL MASTER'!$S$2:$S$495=4)*('CONTROL MASTER'!$Z$2:$Z$495&lt;=2)*('CONTROL MASTER'!$AB$2:$AB$495&gt;=2)*('CONTROL MASTER'!$AA$2:$AA$495&lt;=7)*('CONTROL MASTER'!$AC$2:$AC$495&gt;=7))*ROW('CONTROL MASTER'!$S$2:$S$495))-(ROW('CONTROL MASTER'!#REF!)-1))))+1)))-1)*50+1,50))&amp;"_"&amp;INDEX('CONTROL MASTER'!$P$2:$P$495,(SUMPRODUCT((('CONTROL MASTER'!$S$2:$S$495=4)*('CONTROL MASTER'!$Z$2:$Z$495&lt;=2)*('CONTROL MASTER'!$AB$2:$AB$495&gt;=2)*('CONTROL MASTER'!$AA$2:$AA$495&lt;=7)*('CONTROL MASTER'!$AC$2:$AC$495&gt;=7))*ROW('CONTROL MASTER'!$S$2:$S$495))-(ROW('CONTROL MASTER'!#REF!)-1))),"")),"")</f>
        <v/>
      </c>
      <c r="I46" s="10" t="str">
        <f>IFERROR(IF(SUMPRODUCT((('CONTROL MASTER'!$S$2:$S$495=4)*('CONTROL MASTER'!$T$2:$T$495&lt;=2)*('CONTROL MASTER'!$V$2:$V$495&gt;=2)*('CONTROL MASTER'!$U$2:$U$495&lt;=8)*('CONTROL MASTER'!$W$2:$W$495&gt;=8))*ROW('CONTROL MASTER'!$S$2:$S$495))&gt;0,INDEX('CONTROL MASTER'!$X$2:$X$495,(SUMPRODUCT((('CONTROL MASTER'!$S$2:$S$495=4)*('CONTROL MASTER'!$T$2:$T$495&lt;=2)*('CONTROL MASTER'!$V$2:$V$495&gt;=2)*('CONTROL MASTER'!$U$2:$U$495&lt;=8)*('CONTROL MASTER'!$W$2:$W$495&gt;=8))*ROW('CONTROL MASTER'!$S$2:$S$495))-(ROW('CONTROL MASTER'!#REF!)-1)))&amp;TRIM(MID(SUBSTITUTE(SUBSTITUTE(INDEX('CONTROL MASTER'!$N$2:$N$495,(SUMPRODUCT((('CONTROL MASTER'!$S$2:$S$495=4)*('CONTROL MASTER'!$T$2:$T$495&lt;=2)*('CONTROL MASTER'!$V$2:$V$495&gt;=2)*('CONTROL MASTER'!$U$2:$U$495&lt;=8)*('CONTROL MASTER'!$W$2:$W$495&gt;=8))*ROW('CONTROL MASTER'!$S$2:$S$495))-(ROW('CONTROL MASTER'!#REF!)-1))),":",","),",",REPT(" ",50)),((((2-INDEX('CONTROL MASTER'!$T$2:$T$495,(SUMPRODUCT((('CONTROL MASTER'!$S$2:$S$495=4)*('CONTROL MASTER'!$T$2:$T$495&lt;=2)*('CONTROL MASTER'!$V$2:$V$495&gt;=2)*('CONTROL MASTER'!$U$2:$U$495&lt;=8)*('CONTROL MASTER'!$W$2:$W$495&gt;=8))*ROW('CONTROL MASTER'!$S$2:$S$495))-(ROW('CONTROL MASTER'!#REF!)-1))))*(INDEX('CONTROL MASTER'!$W$2:$W$495,(SUMPRODUCT((('CONTROL MASTER'!$S$2:$S$495=4)*('CONTROL MASTER'!$T$2:$T$495&lt;=2)*('CONTROL MASTER'!$V$2:$V$495&gt;=2)*('CONTROL MASTER'!$U$2:$U$495&lt;=8)*('CONTROL MASTER'!$W$2:$W$495&gt;=8))*ROW('CONTROL MASTER'!$S$2:$S$495))-(ROW('CONTROL MASTER'!#REF!)-1)))-INDEX('CONTROL MASTER'!$U$2:$U$495,(SUMPRODUCT((('CONTROL MASTER'!$S$2:$S$495=4)*('CONTROL MASTER'!$T$2:$T$495&lt;=2)*('CONTROL MASTER'!$V$2:$V$495&gt;=2)*('CONTROL MASTER'!$U$2:$U$495&lt;=8)*('CONTROL MASTER'!$W$2:$W$495&gt;=8))*ROW('CONTROL MASTER'!$S$2:$S$495))-(ROW('CONTROL MASTER'!#REF!)-1)))+1)+(8-INDEX('CONTROL MASTER'!$U$2:$U$495,(SUMPRODUCT((('CONTROL MASTER'!$S$2:$S$495=4)*('CONTROL MASTER'!$T$2:$T$495&lt;=2)*('CONTROL MASTER'!$V$2:$V$495&gt;=2)*('CONTROL MASTER'!$U$2:$U$495&lt;=8)*('CONTROL MASTER'!$W$2:$W$495&gt;=8))*ROW('CONTROL MASTER'!$S$2:$S$495))-(ROW('CONTROL MASTER'!#REF!)-1))))+1))-1)*50+1,50))&amp;"_"&amp;INDEX('CONTROL MASTER'!$P$2:$P$495,(SUMPRODUCT((('CONTROL MASTER'!$S$2:$S$495=4)*('CONTROL MASTER'!$T$2:$T$495&lt;=2)*('CONTROL MASTER'!$V$2:$V$495&gt;=2)*('CONTROL MASTER'!$U$2:$U$495&lt;=8)*('CONTROL MASTER'!$W$2:$W$495&gt;=8))*ROW('CONTROL MASTER'!$S$2:$S$495))-(ROW('CONTROL MASTER'!#REF!)-1))),IF(SUMPRODUCT((('CONTROL MASTER'!$S$2:$S$495=4)*('CONTROL MASTER'!$Z$2:$Z$495&lt;=2)*('CONTROL MASTER'!$AB$2:$AB$495&gt;=2)*('CONTROL MASTER'!$AA$2:$AA$495&lt;=8)*('CONTROL MASTER'!$AC$2:$AC$495&gt;=8))*ROW('CONTROL MASTER'!$S$2:$S$495))&gt;0,INDEX('CONTROL MASTER'!$X$2:$X$495,(SUMPRODUCT((('CONTROL MASTER'!$S$2:$S$495=4)*('CONTROL MASTER'!$Z$2:$Z$495&lt;=2)*('CONTROL MASTER'!$AB$2:$AB$495&gt;=2)*('CONTROL MASTER'!$AA$2:$AA$495&lt;=8)*('CONTROL MASTER'!$AC$2:$AC$495&gt;=8))*ROW('CONTROL MASTER'!$S$2:$S$495))-(ROW('CONTROL MASTER'!#REF!)-1)))&amp;TRIM(MID(SUBSTITUTE(SUBSTITUTE(INDEX('CONTROL MASTER'!$N$2:$N$495,(SUMPRODUCT((('CONTROL MASTER'!$S$2:$S$495=4)*('CONTROL MASTER'!$Z$2:$Z$495&lt;=2)*('CONTROL MASTER'!$AB$2:$AB$495&gt;=2)*('CONTROL MASTER'!$AA$2:$AA$495&lt;=8)*('CONTROL MASTER'!$AC$2:$AC$495&gt;=8))*ROW('CONTROL MASTER'!$S$2:$S$495))-(ROW('CONTROL MASTER'!#REF!)-1))),":",","),",",REPT(" ",50)),(((INDEX('CONTROL MASTER'!$Y$2:$Y$495,(SUMPRODUCT((('CONTROL MASTER'!$S$2:$S$495=4)*('CONTROL MASTER'!$Z$2:$Z$495&lt;=2)*('CONTROL MASTER'!$AB$2:$AB$495&gt;=2)*('CONTROL MASTER'!$AA$2:$AA$495&lt;=8)*('CONTROL MASTER'!$AC$2:$AC$495&gt;=8))*ROW('CONTROL MASTER'!$S$2:$S$495))-(ROW('CONTROL MASTER'!#REF!)-1)))+((2-INDEX('CONTROL MASTER'!$Z$2:$Z$495,(SUMPRODUCT((('CONTROL MASTER'!$S$2:$S$495=4)*('CONTROL MASTER'!$Z$2:$Z$495&lt;=2)*('CONTROL MASTER'!$AB$2:$AB$495&gt;=2)*('CONTROL MASTER'!$AA$2:$AA$495&lt;=8)*('CONTROL MASTER'!$AC$2:$AC$495&gt;=8))*ROW('CONTROL MASTER'!$S$2:$S$495))-(ROW('CONTROL MASTER'!#REF!)-1))))*(INDEX('CONTROL MASTER'!$AC$2:$AC$495,(SUMPRODUCT((('CONTROL MASTER'!$S$2:$S$495=4)*('CONTROL MASTER'!$Z$2:$Z$495&lt;=2)*('CONTROL MASTER'!$AB$2:$AB$495&gt;=2)*('CONTROL MASTER'!$AA$2:$AA$495&lt;=8)*('CONTROL MASTER'!$AC$2:$AC$495&gt;=8))*ROW('CONTROL MASTER'!$S$2:$S$495))-(ROW('CONTROL MASTER'!#REF!)-1)))-INDEX('CONTROL MASTER'!$AA$2:$AA$495,(SUMPRODUCT((('CONTROL MASTER'!$S$2:$S$495=4)*('CONTROL MASTER'!$Z$2:$Z$495&lt;=2)*('CONTROL MASTER'!$AB$2:$AB$495&gt;=2)*('CONTROL MASTER'!$AA$2:$AA$495&lt;=8)*('CONTROL MASTER'!$AC$2:$AC$495&gt;=8))*ROW('CONTROL MASTER'!$S$2:$S$495))-(ROW('CONTROL MASTER'!#REF!)-1)))+1)+(8-INDEX('CONTROL MASTER'!$AA$2:$AA$495,(SUMPRODUCT((('CONTROL MASTER'!$S$2:$S$495=4)*('CONTROL MASTER'!$Z$2:$Z$495&lt;=2)*('CONTROL MASTER'!$AB$2:$AB$495&gt;=2)*('CONTROL MASTER'!$AA$2:$AA$495&lt;=8)*('CONTROL MASTER'!$AC$2:$AC$495&gt;=8))*ROW('CONTROL MASTER'!$S$2:$S$495))-(ROW('CONTROL MASTER'!#REF!)-1))))+1)))-1)*50+1,50))&amp;"_"&amp;INDEX('CONTROL MASTER'!$P$2:$P$495,(SUMPRODUCT((('CONTROL MASTER'!$S$2:$S$495=4)*('CONTROL MASTER'!$Z$2:$Z$495&lt;=2)*('CONTROL MASTER'!$AB$2:$AB$495&gt;=2)*('CONTROL MASTER'!$AA$2:$AA$495&lt;=8)*('CONTROL MASTER'!$AC$2:$AC$495&gt;=8))*ROW('CONTROL MASTER'!$S$2:$S$495))-(ROW('CONTROL MASTER'!#REF!)-1))),"")),"")</f>
        <v/>
      </c>
      <c r="J46" s="10" t="str">
        <f>IFERROR(IF(SUMPRODUCT((('CONTROL MASTER'!$S$2:$S$495=4)*('CONTROL MASTER'!$T$2:$T$495&lt;=2)*('CONTROL MASTER'!$V$2:$V$495&gt;=2)*('CONTROL MASTER'!$U$2:$U$495&lt;=9)*('CONTROL MASTER'!$W$2:$W$495&gt;=9))*ROW('CONTROL MASTER'!$S$2:$S$495))&gt;0,INDEX('CONTROL MASTER'!$X$2:$X$495,(SUMPRODUCT((('CONTROL MASTER'!$S$2:$S$495=4)*('CONTROL MASTER'!$T$2:$T$495&lt;=2)*('CONTROL MASTER'!$V$2:$V$495&gt;=2)*('CONTROL MASTER'!$U$2:$U$495&lt;=9)*('CONTROL MASTER'!$W$2:$W$495&gt;=9))*ROW('CONTROL MASTER'!$S$2:$S$495))-(ROW('CONTROL MASTER'!#REF!)-1)))&amp;TRIM(MID(SUBSTITUTE(SUBSTITUTE(INDEX('CONTROL MASTER'!$N$2:$N$495,(SUMPRODUCT((('CONTROL MASTER'!$S$2:$S$495=4)*('CONTROL MASTER'!$T$2:$T$495&lt;=2)*('CONTROL MASTER'!$V$2:$V$495&gt;=2)*('CONTROL MASTER'!$U$2:$U$495&lt;=9)*('CONTROL MASTER'!$W$2:$W$495&gt;=9))*ROW('CONTROL MASTER'!$S$2:$S$495))-(ROW('CONTROL MASTER'!#REF!)-1))),":",","),",",REPT(" ",50)),((((2-INDEX('CONTROL MASTER'!$T$2:$T$495,(SUMPRODUCT((('CONTROL MASTER'!$S$2:$S$495=4)*('CONTROL MASTER'!$T$2:$T$495&lt;=2)*('CONTROL MASTER'!$V$2:$V$495&gt;=2)*('CONTROL MASTER'!$U$2:$U$495&lt;=9)*('CONTROL MASTER'!$W$2:$W$495&gt;=9))*ROW('CONTROL MASTER'!$S$2:$S$495))-(ROW('CONTROL MASTER'!#REF!)-1))))*(INDEX('CONTROL MASTER'!$W$2:$W$495,(SUMPRODUCT((('CONTROL MASTER'!$S$2:$S$495=4)*('CONTROL MASTER'!$T$2:$T$495&lt;=2)*('CONTROL MASTER'!$V$2:$V$495&gt;=2)*('CONTROL MASTER'!$U$2:$U$495&lt;=9)*('CONTROL MASTER'!$W$2:$W$495&gt;=9))*ROW('CONTROL MASTER'!$S$2:$S$495))-(ROW('CONTROL MASTER'!#REF!)-1)))-INDEX('CONTROL MASTER'!$U$2:$U$495,(SUMPRODUCT((('CONTROL MASTER'!$S$2:$S$495=4)*('CONTROL MASTER'!$T$2:$T$495&lt;=2)*('CONTROL MASTER'!$V$2:$V$495&gt;=2)*('CONTROL MASTER'!$U$2:$U$495&lt;=9)*('CONTROL MASTER'!$W$2:$W$495&gt;=9))*ROW('CONTROL MASTER'!$S$2:$S$495))-(ROW('CONTROL MASTER'!#REF!)-1)))+1)+(9-INDEX('CONTROL MASTER'!$U$2:$U$495,(SUMPRODUCT((('CONTROL MASTER'!$S$2:$S$495=4)*('CONTROL MASTER'!$T$2:$T$495&lt;=2)*('CONTROL MASTER'!$V$2:$V$495&gt;=2)*('CONTROL MASTER'!$U$2:$U$495&lt;=9)*('CONTROL MASTER'!$W$2:$W$495&gt;=9))*ROW('CONTROL MASTER'!$S$2:$S$495))-(ROW('CONTROL MASTER'!#REF!)-1))))+1))-1)*50+1,50))&amp;"_"&amp;INDEX('CONTROL MASTER'!$P$2:$P$495,(SUMPRODUCT((('CONTROL MASTER'!$S$2:$S$495=4)*('CONTROL MASTER'!$T$2:$T$495&lt;=2)*('CONTROL MASTER'!$V$2:$V$495&gt;=2)*('CONTROL MASTER'!$U$2:$U$495&lt;=9)*('CONTROL MASTER'!$W$2:$W$495&gt;=9))*ROW('CONTROL MASTER'!$S$2:$S$495))-(ROW('CONTROL MASTER'!#REF!)-1))),IF(SUMPRODUCT((('CONTROL MASTER'!$S$2:$S$495=4)*('CONTROL MASTER'!$Z$2:$Z$495&lt;=2)*('CONTROL MASTER'!$AB$2:$AB$495&gt;=2)*('CONTROL MASTER'!$AA$2:$AA$495&lt;=9)*('CONTROL MASTER'!$AC$2:$AC$495&gt;=9))*ROW('CONTROL MASTER'!$S$2:$S$495))&gt;0,INDEX('CONTROL MASTER'!$X$2:$X$495,(SUMPRODUCT((('CONTROL MASTER'!$S$2:$S$495=4)*('CONTROL MASTER'!$Z$2:$Z$495&lt;=2)*('CONTROL MASTER'!$AB$2:$AB$495&gt;=2)*('CONTROL MASTER'!$AA$2:$AA$495&lt;=9)*('CONTROL MASTER'!$AC$2:$AC$495&gt;=9))*ROW('CONTROL MASTER'!$S$2:$S$495))-(ROW('CONTROL MASTER'!#REF!)-1)))&amp;TRIM(MID(SUBSTITUTE(SUBSTITUTE(INDEX('CONTROL MASTER'!$N$2:$N$495,(SUMPRODUCT((('CONTROL MASTER'!$S$2:$S$495=4)*('CONTROL MASTER'!$Z$2:$Z$495&lt;=2)*('CONTROL MASTER'!$AB$2:$AB$495&gt;=2)*('CONTROL MASTER'!$AA$2:$AA$495&lt;=9)*('CONTROL MASTER'!$AC$2:$AC$495&gt;=9))*ROW('CONTROL MASTER'!$S$2:$S$495))-(ROW('CONTROL MASTER'!#REF!)-1))),":",","),",",REPT(" ",50)),(((INDEX('CONTROL MASTER'!$Y$2:$Y$495,(SUMPRODUCT((('CONTROL MASTER'!$S$2:$S$495=4)*('CONTROL MASTER'!$Z$2:$Z$495&lt;=2)*('CONTROL MASTER'!$AB$2:$AB$495&gt;=2)*('CONTROL MASTER'!$AA$2:$AA$495&lt;=9)*('CONTROL MASTER'!$AC$2:$AC$495&gt;=9))*ROW('CONTROL MASTER'!$S$2:$S$495))-(ROW('CONTROL MASTER'!#REF!)-1)))+((2-INDEX('CONTROL MASTER'!$Z$2:$Z$495,(SUMPRODUCT((('CONTROL MASTER'!$S$2:$S$495=4)*('CONTROL MASTER'!$Z$2:$Z$495&lt;=2)*('CONTROL MASTER'!$AB$2:$AB$495&gt;=2)*('CONTROL MASTER'!$AA$2:$AA$495&lt;=9)*('CONTROL MASTER'!$AC$2:$AC$495&gt;=9))*ROW('CONTROL MASTER'!$S$2:$S$495))-(ROW('CONTROL MASTER'!#REF!)-1))))*(INDEX('CONTROL MASTER'!$AC$2:$AC$495,(SUMPRODUCT((('CONTROL MASTER'!$S$2:$S$495=4)*('CONTROL MASTER'!$Z$2:$Z$495&lt;=2)*('CONTROL MASTER'!$AB$2:$AB$495&gt;=2)*('CONTROL MASTER'!$AA$2:$AA$495&lt;=9)*('CONTROL MASTER'!$AC$2:$AC$495&gt;=9))*ROW('CONTROL MASTER'!$S$2:$S$495))-(ROW('CONTROL MASTER'!#REF!)-1)))-INDEX('CONTROL MASTER'!$AA$2:$AA$495,(SUMPRODUCT((('CONTROL MASTER'!$S$2:$S$495=4)*('CONTROL MASTER'!$Z$2:$Z$495&lt;=2)*('CONTROL MASTER'!$AB$2:$AB$495&gt;=2)*('CONTROL MASTER'!$AA$2:$AA$495&lt;=9)*('CONTROL MASTER'!$AC$2:$AC$495&gt;=9))*ROW('CONTROL MASTER'!$S$2:$S$495))-(ROW('CONTROL MASTER'!#REF!)-1)))+1)+(9-INDEX('CONTROL MASTER'!$AA$2:$AA$495,(SUMPRODUCT((('CONTROL MASTER'!$S$2:$S$495=4)*('CONTROL MASTER'!$Z$2:$Z$495&lt;=2)*('CONTROL MASTER'!$AB$2:$AB$495&gt;=2)*('CONTROL MASTER'!$AA$2:$AA$495&lt;=9)*('CONTROL MASTER'!$AC$2:$AC$495&gt;=9))*ROW('CONTROL MASTER'!$S$2:$S$495))-(ROW('CONTROL MASTER'!#REF!)-1))))+1)))-1)*50+1,50))&amp;"_"&amp;INDEX('CONTROL MASTER'!$P$2:$P$495,(SUMPRODUCT((('CONTROL MASTER'!$S$2:$S$495=4)*('CONTROL MASTER'!$Z$2:$Z$495&lt;=2)*('CONTROL MASTER'!$AB$2:$AB$495&gt;=2)*('CONTROL MASTER'!$AA$2:$AA$495&lt;=9)*('CONTROL MASTER'!$AC$2:$AC$495&gt;=9))*ROW('CONTROL MASTER'!$S$2:$S$495))-(ROW('CONTROL MASTER'!#REF!)-1))),"")),"")</f>
        <v/>
      </c>
      <c r="K46" s="10" t="str">
        <f>IFERROR(IF(SUMPRODUCT((('CONTROL MASTER'!$S$2:$S$495=4)*('CONTROL MASTER'!$T$2:$T$495&lt;=2)*('CONTROL MASTER'!$V$2:$V$495&gt;=2)*('CONTROL MASTER'!$U$2:$U$495&lt;=10)*('CONTROL MASTER'!$W$2:$W$495&gt;=10))*ROW('CONTROL MASTER'!$S$2:$S$495))&gt;0,INDEX('CONTROL MASTER'!$X$2:$X$495,(SUMPRODUCT((('CONTROL MASTER'!$S$2:$S$495=4)*('CONTROL MASTER'!$T$2:$T$495&lt;=2)*('CONTROL MASTER'!$V$2:$V$495&gt;=2)*('CONTROL MASTER'!$U$2:$U$495&lt;=10)*('CONTROL MASTER'!$W$2:$W$495&gt;=10))*ROW('CONTROL MASTER'!$S$2:$S$495))-(ROW('CONTROL MASTER'!#REF!)-1)))&amp;TRIM(MID(SUBSTITUTE(SUBSTITUTE(INDEX('CONTROL MASTER'!$N$2:$N$495,(SUMPRODUCT((('CONTROL MASTER'!$S$2:$S$495=4)*('CONTROL MASTER'!$T$2:$T$495&lt;=2)*('CONTROL MASTER'!$V$2:$V$495&gt;=2)*('CONTROL MASTER'!$U$2:$U$495&lt;=10)*('CONTROL MASTER'!$W$2:$W$495&gt;=10))*ROW('CONTROL MASTER'!$S$2:$S$495))-(ROW('CONTROL MASTER'!#REF!)-1))),":",","),",",REPT(" ",50)),((((2-INDEX('CONTROL MASTER'!$T$2:$T$495,(SUMPRODUCT((('CONTROL MASTER'!$S$2:$S$495=4)*('CONTROL MASTER'!$T$2:$T$495&lt;=2)*('CONTROL MASTER'!$V$2:$V$495&gt;=2)*('CONTROL MASTER'!$U$2:$U$495&lt;=10)*('CONTROL MASTER'!$W$2:$W$495&gt;=10))*ROW('CONTROL MASTER'!$S$2:$S$495))-(ROW('CONTROL MASTER'!#REF!)-1))))*(INDEX('CONTROL MASTER'!$W$2:$W$495,(SUMPRODUCT((('CONTROL MASTER'!$S$2:$S$495=4)*('CONTROL MASTER'!$T$2:$T$495&lt;=2)*('CONTROL MASTER'!$V$2:$V$495&gt;=2)*('CONTROL MASTER'!$U$2:$U$495&lt;=10)*('CONTROL MASTER'!$W$2:$W$495&gt;=10))*ROW('CONTROL MASTER'!$S$2:$S$495))-(ROW('CONTROL MASTER'!#REF!)-1)))-INDEX('CONTROL MASTER'!$U$2:$U$495,(SUMPRODUCT((('CONTROL MASTER'!$S$2:$S$495=4)*('CONTROL MASTER'!$T$2:$T$495&lt;=2)*('CONTROL MASTER'!$V$2:$V$495&gt;=2)*('CONTROL MASTER'!$U$2:$U$495&lt;=10)*('CONTROL MASTER'!$W$2:$W$495&gt;=10))*ROW('CONTROL MASTER'!$S$2:$S$495))-(ROW('CONTROL MASTER'!#REF!)-1)))+1)+(10-INDEX('CONTROL MASTER'!$U$2:$U$495,(SUMPRODUCT((('CONTROL MASTER'!$S$2:$S$495=4)*('CONTROL MASTER'!$T$2:$T$495&lt;=2)*('CONTROL MASTER'!$V$2:$V$495&gt;=2)*('CONTROL MASTER'!$U$2:$U$495&lt;=10)*('CONTROL MASTER'!$W$2:$W$495&gt;=10))*ROW('CONTROL MASTER'!$S$2:$S$495))-(ROW('CONTROL MASTER'!#REF!)-1))))+1))-1)*50+1,50))&amp;"_"&amp;INDEX('CONTROL MASTER'!$P$2:$P$495,(SUMPRODUCT((('CONTROL MASTER'!$S$2:$S$495=4)*('CONTROL MASTER'!$T$2:$T$495&lt;=2)*('CONTROL MASTER'!$V$2:$V$495&gt;=2)*('CONTROL MASTER'!$U$2:$U$495&lt;=10)*('CONTROL MASTER'!$W$2:$W$495&gt;=10))*ROW('CONTROL MASTER'!$S$2:$S$495))-(ROW('CONTROL MASTER'!#REF!)-1))),IF(SUMPRODUCT((('CONTROL MASTER'!$S$2:$S$495=4)*('CONTROL MASTER'!$Z$2:$Z$495&lt;=2)*('CONTROL MASTER'!$AB$2:$AB$495&gt;=2)*('CONTROL MASTER'!$AA$2:$AA$495&lt;=10)*('CONTROL MASTER'!$AC$2:$AC$495&gt;=10))*ROW('CONTROL MASTER'!$S$2:$S$495))&gt;0,INDEX('CONTROL MASTER'!$X$2:$X$495,(SUMPRODUCT((('CONTROL MASTER'!$S$2:$S$495=4)*('CONTROL MASTER'!$Z$2:$Z$495&lt;=2)*('CONTROL MASTER'!$AB$2:$AB$495&gt;=2)*('CONTROL MASTER'!$AA$2:$AA$495&lt;=10)*('CONTROL MASTER'!$AC$2:$AC$495&gt;=10))*ROW('CONTROL MASTER'!$S$2:$S$495))-(ROW('CONTROL MASTER'!#REF!)-1)))&amp;TRIM(MID(SUBSTITUTE(SUBSTITUTE(INDEX('CONTROL MASTER'!$N$2:$N$495,(SUMPRODUCT((('CONTROL MASTER'!$S$2:$S$495=4)*('CONTROL MASTER'!$Z$2:$Z$495&lt;=2)*('CONTROL MASTER'!$AB$2:$AB$495&gt;=2)*('CONTROL MASTER'!$AA$2:$AA$495&lt;=10)*('CONTROL MASTER'!$AC$2:$AC$495&gt;=10))*ROW('CONTROL MASTER'!$S$2:$S$495))-(ROW('CONTROL MASTER'!#REF!)-1))),":",","),",",REPT(" ",50)),(((INDEX('CONTROL MASTER'!$Y$2:$Y$495,(SUMPRODUCT((('CONTROL MASTER'!$S$2:$S$495=4)*('CONTROL MASTER'!$Z$2:$Z$495&lt;=2)*('CONTROL MASTER'!$AB$2:$AB$495&gt;=2)*('CONTROL MASTER'!$AA$2:$AA$495&lt;=10)*('CONTROL MASTER'!$AC$2:$AC$495&gt;=10))*ROW('CONTROL MASTER'!$S$2:$S$495))-(ROW('CONTROL MASTER'!#REF!)-1)))+((2-INDEX('CONTROL MASTER'!$Z$2:$Z$495,(SUMPRODUCT((('CONTROL MASTER'!$S$2:$S$495=4)*('CONTROL MASTER'!$Z$2:$Z$495&lt;=2)*('CONTROL MASTER'!$AB$2:$AB$495&gt;=2)*('CONTROL MASTER'!$AA$2:$AA$495&lt;=10)*('CONTROL MASTER'!$AC$2:$AC$495&gt;=10))*ROW('CONTROL MASTER'!$S$2:$S$495))-(ROW('CONTROL MASTER'!#REF!)-1))))*(INDEX('CONTROL MASTER'!$AC$2:$AC$495,(SUMPRODUCT((('CONTROL MASTER'!$S$2:$S$495=4)*('CONTROL MASTER'!$Z$2:$Z$495&lt;=2)*('CONTROL MASTER'!$AB$2:$AB$495&gt;=2)*('CONTROL MASTER'!$AA$2:$AA$495&lt;=10)*('CONTROL MASTER'!$AC$2:$AC$495&gt;=10))*ROW('CONTROL MASTER'!$S$2:$S$495))-(ROW('CONTROL MASTER'!#REF!)-1)))-INDEX('CONTROL MASTER'!$AA$2:$AA$495,(SUMPRODUCT((('CONTROL MASTER'!$S$2:$S$495=4)*('CONTROL MASTER'!$Z$2:$Z$495&lt;=2)*('CONTROL MASTER'!$AB$2:$AB$495&gt;=2)*('CONTROL MASTER'!$AA$2:$AA$495&lt;=10)*('CONTROL MASTER'!$AC$2:$AC$495&gt;=10))*ROW('CONTROL MASTER'!$S$2:$S$495))-(ROW('CONTROL MASTER'!#REF!)-1)))+1)+(10-INDEX('CONTROL MASTER'!$AA$2:$AA$495,(SUMPRODUCT((('CONTROL MASTER'!$S$2:$S$495=4)*('CONTROL MASTER'!$Z$2:$Z$495&lt;=2)*('CONTROL MASTER'!$AB$2:$AB$495&gt;=2)*('CONTROL MASTER'!$AA$2:$AA$495&lt;=10)*('CONTROL MASTER'!$AC$2:$AC$495&gt;=10))*ROW('CONTROL MASTER'!$S$2:$S$495))-(ROW('CONTROL MASTER'!#REF!)-1))))+1)))-1)*50+1,50))&amp;"_"&amp;INDEX('CONTROL MASTER'!$P$2:$P$495,(SUMPRODUCT((('CONTROL MASTER'!$S$2:$S$495=4)*('CONTROL MASTER'!$Z$2:$Z$495&lt;=2)*('CONTROL MASTER'!$AB$2:$AB$495&gt;=2)*('CONTROL MASTER'!$AA$2:$AA$495&lt;=10)*('CONTROL MASTER'!$AC$2:$AC$495&gt;=10))*ROW('CONTROL MASTER'!$S$2:$S$495))-(ROW('CONTROL MASTER'!#REF!)-1))),"")),"")</f>
        <v/>
      </c>
    </row>
    <row r="47" spans="1:11" ht="15" customHeight="1" x14ac:dyDescent="0.35">
      <c r="A47" s="8" t="s">
        <v>30</v>
      </c>
      <c r="B47" s="10" t="str">
        <f>IFERROR(IF(SUMPRODUCT((('CONTROL MASTER'!$S$2:$S$495=4)*('CONTROL MASTER'!$T$2:$T$495&lt;=3)*('CONTROL MASTER'!$V$2:$V$495&gt;=3)*('CONTROL MASTER'!$U$2:$U$495&lt;=1)*('CONTROL MASTER'!$W$2:$W$495&gt;=1))*ROW('CONTROL MASTER'!$S$2:$S$495))&gt;0,INDEX('CONTROL MASTER'!$X$2:$X$495,(SUMPRODUCT((('CONTROL MASTER'!$S$2:$S$495=4)*('CONTROL MASTER'!$T$2:$T$495&lt;=3)*('CONTROL MASTER'!$V$2:$V$495&gt;=3)*('CONTROL MASTER'!$U$2:$U$495&lt;=1)*('CONTROL MASTER'!$W$2:$W$495&gt;=1))*ROW('CONTROL MASTER'!$S$2:$S$495))-(ROW('CONTROL MASTER'!#REF!)-1)))&amp;TRIM(MID(SUBSTITUTE(SUBSTITUTE(INDEX('CONTROL MASTER'!$N$2:$N$495,(SUMPRODUCT((('CONTROL MASTER'!$S$2:$S$495=4)*('CONTROL MASTER'!$T$2:$T$495&lt;=3)*('CONTROL MASTER'!$V$2:$V$495&gt;=3)*('CONTROL MASTER'!$U$2:$U$495&lt;=1)*('CONTROL MASTER'!$W$2:$W$495&gt;=1))*ROW('CONTROL MASTER'!$S$2:$S$495))-(ROW('CONTROL MASTER'!#REF!)-1))),":",","),",",REPT(" ",50)),((((3-INDEX('CONTROL MASTER'!$T$2:$T$495,(SUMPRODUCT((('CONTROL MASTER'!$S$2:$S$495=4)*('CONTROL MASTER'!$T$2:$T$495&lt;=3)*('CONTROL MASTER'!$V$2:$V$495&gt;=3)*('CONTROL MASTER'!$U$2:$U$495&lt;=1)*('CONTROL MASTER'!$W$2:$W$495&gt;=1))*ROW('CONTROL MASTER'!$S$2:$S$495))-(ROW('CONTROL MASTER'!#REF!)-1))))*(INDEX('CONTROL MASTER'!$W$2:$W$495,(SUMPRODUCT((('CONTROL MASTER'!$S$2:$S$495=4)*('CONTROL MASTER'!$T$2:$T$495&lt;=3)*('CONTROL MASTER'!$V$2:$V$495&gt;=3)*('CONTROL MASTER'!$U$2:$U$495&lt;=1)*('CONTROL MASTER'!$W$2:$W$495&gt;=1))*ROW('CONTROL MASTER'!$S$2:$S$495))-(ROW('CONTROL MASTER'!#REF!)-1)))-INDEX('CONTROL MASTER'!$U$2:$U$495,(SUMPRODUCT((('CONTROL MASTER'!$S$2:$S$495=4)*('CONTROL MASTER'!$T$2:$T$495&lt;=3)*('CONTROL MASTER'!$V$2:$V$495&gt;=3)*('CONTROL MASTER'!$U$2:$U$495&lt;=1)*('CONTROL MASTER'!$W$2:$W$495&gt;=1))*ROW('CONTROL MASTER'!$S$2:$S$495))-(ROW('CONTROL MASTER'!#REF!)-1)))+1)+(1-INDEX('CONTROL MASTER'!$U$2:$U$495,(SUMPRODUCT((('CONTROL MASTER'!$S$2:$S$495=4)*('CONTROL MASTER'!$T$2:$T$495&lt;=3)*('CONTROL MASTER'!$V$2:$V$495&gt;=3)*('CONTROL MASTER'!$U$2:$U$495&lt;=1)*('CONTROL MASTER'!$W$2:$W$495&gt;=1))*ROW('CONTROL MASTER'!$S$2:$S$495))-(ROW('CONTROL MASTER'!#REF!)-1))))+1))-1)*50+1,50))&amp;"_"&amp;INDEX('CONTROL MASTER'!$P$2:$P$495,(SUMPRODUCT((('CONTROL MASTER'!$S$2:$S$495=4)*('CONTROL MASTER'!$T$2:$T$495&lt;=3)*('CONTROL MASTER'!$V$2:$V$495&gt;=3)*('CONTROL MASTER'!$U$2:$U$495&lt;=1)*('CONTROL MASTER'!$W$2:$W$495&gt;=1))*ROW('CONTROL MASTER'!$S$2:$S$495))-(ROW('CONTROL MASTER'!#REF!)-1))),IF(SUMPRODUCT((('CONTROL MASTER'!$S$2:$S$495=4)*('CONTROL MASTER'!$Z$2:$Z$495&lt;=3)*('CONTROL MASTER'!$AB$2:$AB$495&gt;=3)*('CONTROL MASTER'!$AA$2:$AA$495&lt;=1)*('CONTROL MASTER'!$AC$2:$AC$495&gt;=1))*ROW('CONTROL MASTER'!$S$2:$S$495))&gt;0,INDEX('CONTROL MASTER'!$X$2:$X$495,(SUMPRODUCT((('CONTROL MASTER'!$S$2:$S$495=4)*('CONTROL MASTER'!$Z$2:$Z$495&lt;=3)*('CONTROL MASTER'!$AB$2:$AB$495&gt;=3)*('CONTROL MASTER'!$AA$2:$AA$495&lt;=1)*('CONTROL MASTER'!$AC$2:$AC$495&gt;=1))*ROW('CONTROL MASTER'!$S$2:$S$495))-(ROW('CONTROL MASTER'!#REF!)-1)))&amp;TRIM(MID(SUBSTITUTE(SUBSTITUTE(INDEX('CONTROL MASTER'!$N$2:$N$495,(SUMPRODUCT((('CONTROL MASTER'!$S$2:$S$495=4)*('CONTROL MASTER'!$Z$2:$Z$495&lt;=3)*('CONTROL MASTER'!$AB$2:$AB$495&gt;=3)*('CONTROL MASTER'!$AA$2:$AA$495&lt;=1)*('CONTROL MASTER'!$AC$2:$AC$495&gt;=1))*ROW('CONTROL MASTER'!$S$2:$S$495))-(ROW('CONTROL MASTER'!#REF!)-1))),":",","),",",REPT(" ",50)),(((INDEX('CONTROL MASTER'!$Y$2:$Y$495,(SUMPRODUCT((('CONTROL MASTER'!$S$2:$S$495=4)*('CONTROL MASTER'!$Z$2:$Z$495&lt;=3)*('CONTROL MASTER'!$AB$2:$AB$495&gt;=3)*('CONTROL MASTER'!$AA$2:$AA$495&lt;=1)*('CONTROL MASTER'!$AC$2:$AC$495&gt;=1))*ROW('CONTROL MASTER'!$S$2:$S$495))-(ROW('CONTROL MASTER'!#REF!)-1)))+((3-INDEX('CONTROL MASTER'!$Z$2:$Z$495,(SUMPRODUCT((('CONTROL MASTER'!$S$2:$S$495=4)*('CONTROL MASTER'!$Z$2:$Z$495&lt;=3)*('CONTROL MASTER'!$AB$2:$AB$495&gt;=3)*('CONTROL MASTER'!$AA$2:$AA$495&lt;=1)*('CONTROL MASTER'!$AC$2:$AC$495&gt;=1))*ROW('CONTROL MASTER'!$S$2:$S$495))-(ROW('CONTROL MASTER'!#REF!)-1))))*(INDEX('CONTROL MASTER'!$AC$2:$AC$495,(SUMPRODUCT((('CONTROL MASTER'!$S$2:$S$495=4)*('CONTROL MASTER'!$Z$2:$Z$495&lt;=3)*('CONTROL MASTER'!$AB$2:$AB$495&gt;=3)*('CONTROL MASTER'!$AA$2:$AA$495&lt;=1)*('CONTROL MASTER'!$AC$2:$AC$495&gt;=1))*ROW('CONTROL MASTER'!$S$2:$S$495))-(ROW('CONTROL MASTER'!#REF!)-1)))-INDEX('CONTROL MASTER'!$AA$2:$AA$495,(SUMPRODUCT((('CONTROL MASTER'!$S$2:$S$495=4)*('CONTROL MASTER'!$Z$2:$Z$495&lt;=3)*('CONTROL MASTER'!$AB$2:$AB$495&gt;=3)*('CONTROL MASTER'!$AA$2:$AA$495&lt;=1)*('CONTROL MASTER'!$AC$2:$AC$495&gt;=1))*ROW('CONTROL MASTER'!$S$2:$S$495))-(ROW('CONTROL MASTER'!#REF!)-1)))+1)+(1-INDEX('CONTROL MASTER'!$AA$2:$AA$495,(SUMPRODUCT((('CONTROL MASTER'!$S$2:$S$495=4)*('CONTROL MASTER'!$Z$2:$Z$495&lt;=3)*('CONTROL MASTER'!$AB$2:$AB$495&gt;=3)*('CONTROL MASTER'!$AA$2:$AA$495&lt;=1)*('CONTROL MASTER'!$AC$2:$AC$495&gt;=1))*ROW('CONTROL MASTER'!$S$2:$S$495))-(ROW('CONTROL MASTER'!#REF!)-1))))+1)))-1)*50+1,50))&amp;"_"&amp;INDEX('CONTROL MASTER'!$P$2:$P$495,(SUMPRODUCT((('CONTROL MASTER'!$S$2:$S$495=4)*('CONTROL MASTER'!$Z$2:$Z$495&lt;=3)*('CONTROL MASTER'!$AB$2:$AB$495&gt;=3)*('CONTROL MASTER'!$AA$2:$AA$495&lt;=1)*('CONTROL MASTER'!$AC$2:$AC$495&gt;=1))*ROW('CONTROL MASTER'!$S$2:$S$495))-(ROW('CONTROL MASTER'!#REF!)-1))),"")),"")</f>
        <v/>
      </c>
      <c r="C47" s="10" t="str">
        <f>IFERROR(IF(SUMPRODUCT((('CONTROL MASTER'!$S$2:$S$495=4)*('CONTROL MASTER'!$T$2:$T$495&lt;=3)*('CONTROL MASTER'!$V$2:$V$495&gt;=3)*('CONTROL MASTER'!$U$2:$U$495&lt;=2)*('CONTROL MASTER'!$W$2:$W$495&gt;=2))*ROW('CONTROL MASTER'!$S$2:$S$495))&gt;0,INDEX('CONTROL MASTER'!$X$2:$X$495,(SUMPRODUCT((('CONTROL MASTER'!$S$2:$S$495=4)*('CONTROL MASTER'!$T$2:$T$495&lt;=3)*('CONTROL MASTER'!$V$2:$V$495&gt;=3)*('CONTROL MASTER'!$U$2:$U$495&lt;=2)*('CONTROL MASTER'!$W$2:$W$495&gt;=2))*ROW('CONTROL MASTER'!$S$2:$S$495))-(ROW('CONTROL MASTER'!#REF!)-1)))&amp;TRIM(MID(SUBSTITUTE(SUBSTITUTE(INDEX('CONTROL MASTER'!$N$2:$N$495,(SUMPRODUCT((('CONTROL MASTER'!$S$2:$S$495=4)*('CONTROL MASTER'!$T$2:$T$495&lt;=3)*('CONTROL MASTER'!$V$2:$V$495&gt;=3)*('CONTROL MASTER'!$U$2:$U$495&lt;=2)*('CONTROL MASTER'!$W$2:$W$495&gt;=2))*ROW('CONTROL MASTER'!$S$2:$S$495))-(ROW('CONTROL MASTER'!#REF!)-1))),":",","),",",REPT(" ",50)),((((3-INDEX('CONTROL MASTER'!$T$2:$T$495,(SUMPRODUCT((('CONTROL MASTER'!$S$2:$S$495=4)*('CONTROL MASTER'!$T$2:$T$495&lt;=3)*('CONTROL MASTER'!$V$2:$V$495&gt;=3)*('CONTROL MASTER'!$U$2:$U$495&lt;=2)*('CONTROL MASTER'!$W$2:$W$495&gt;=2))*ROW('CONTROL MASTER'!$S$2:$S$495))-(ROW('CONTROL MASTER'!#REF!)-1))))*(INDEX('CONTROL MASTER'!$W$2:$W$495,(SUMPRODUCT((('CONTROL MASTER'!$S$2:$S$495=4)*('CONTROL MASTER'!$T$2:$T$495&lt;=3)*('CONTROL MASTER'!$V$2:$V$495&gt;=3)*('CONTROL MASTER'!$U$2:$U$495&lt;=2)*('CONTROL MASTER'!$W$2:$W$495&gt;=2))*ROW('CONTROL MASTER'!$S$2:$S$495))-(ROW('CONTROL MASTER'!#REF!)-1)))-INDEX('CONTROL MASTER'!$U$2:$U$495,(SUMPRODUCT((('CONTROL MASTER'!$S$2:$S$495=4)*('CONTROL MASTER'!$T$2:$T$495&lt;=3)*('CONTROL MASTER'!$V$2:$V$495&gt;=3)*('CONTROL MASTER'!$U$2:$U$495&lt;=2)*('CONTROL MASTER'!$W$2:$W$495&gt;=2))*ROW('CONTROL MASTER'!$S$2:$S$495))-(ROW('CONTROL MASTER'!#REF!)-1)))+1)+(2-INDEX('CONTROL MASTER'!$U$2:$U$495,(SUMPRODUCT((('CONTROL MASTER'!$S$2:$S$495=4)*('CONTROL MASTER'!$T$2:$T$495&lt;=3)*('CONTROL MASTER'!$V$2:$V$495&gt;=3)*('CONTROL MASTER'!$U$2:$U$495&lt;=2)*('CONTROL MASTER'!$W$2:$W$495&gt;=2))*ROW('CONTROL MASTER'!$S$2:$S$495))-(ROW('CONTROL MASTER'!#REF!)-1))))+1))-1)*50+1,50))&amp;"_"&amp;INDEX('CONTROL MASTER'!$P$2:$P$495,(SUMPRODUCT((('CONTROL MASTER'!$S$2:$S$495=4)*('CONTROL MASTER'!$T$2:$T$495&lt;=3)*('CONTROL MASTER'!$V$2:$V$495&gt;=3)*('CONTROL MASTER'!$U$2:$U$495&lt;=2)*('CONTROL MASTER'!$W$2:$W$495&gt;=2))*ROW('CONTROL MASTER'!$S$2:$S$495))-(ROW('CONTROL MASTER'!#REF!)-1))),IF(SUMPRODUCT((('CONTROL MASTER'!$S$2:$S$495=4)*('CONTROL MASTER'!$Z$2:$Z$495&lt;=3)*('CONTROL MASTER'!$AB$2:$AB$495&gt;=3)*('CONTROL MASTER'!$AA$2:$AA$495&lt;=2)*('CONTROL MASTER'!$AC$2:$AC$495&gt;=2))*ROW('CONTROL MASTER'!$S$2:$S$495))&gt;0,INDEX('CONTROL MASTER'!$X$2:$X$495,(SUMPRODUCT((('CONTROL MASTER'!$S$2:$S$495=4)*('CONTROL MASTER'!$Z$2:$Z$495&lt;=3)*('CONTROL MASTER'!$AB$2:$AB$495&gt;=3)*('CONTROL MASTER'!$AA$2:$AA$495&lt;=2)*('CONTROL MASTER'!$AC$2:$AC$495&gt;=2))*ROW('CONTROL MASTER'!$S$2:$S$495))-(ROW('CONTROL MASTER'!#REF!)-1)))&amp;TRIM(MID(SUBSTITUTE(SUBSTITUTE(INDEX('CONTROL MASTER'!$N$2:$N$495,(SUMPRODUCT((('CONTROL MASTER'!$S$2:$S$495=4)*('CONTROL MASTER'!$Z$2:$Z$495&lt;=3)*('CONTROL MASTER'!$AB$2:$AB$495&gt;=3)*('CONTROL MASTER'!$AA$2:$AA$495&lt;=2)*('CONTROL MASTER'!$AC$2:$AC$495&gt;=2))*ROW('CONTROL MASTER'!$S$2:$S$495))-(ROW('CONTROL MASTER'!#REF!)-1))),":",","),",",REPT(" ",50)),(((INDEX('CONTROL MASTER'!$Y$2:$Y$495,(SUMPRODUCT((('CONTROL MASTER'!$S$2:$S$495=4)*('CONTROL MASTER'!$Z$2:$Z$495&lt;=3)*('CONTROL MASTER'!$AB$2:$AB$495&gt;=3)*('CONTROL MASTER'!$AA$2:$AA$495&lt;=2)*('CONTROL MASTER'!$AC$2:$AC$495&gt;=2))*ROW('CONTROL MASTER'!$S$2:$S$495))-(ROW('CONTROL MASTER'!#REF!)-1)))+((3-INDEX('CONTROL MASTER'!$Z$2:$Z$495,(SUMPRODUCT((('CONTROL MASTER'!$S$2:$S$495=4)*('CONTROL MASTER'!$Z$2:$Z$495&lt;=3)*('CONTROL MASTER'!$AB$2:$AB$495&gt;=3)*('CONTROL MASTER'!$AA$2:$AA$495&lt;=2)*('CONTROL MASTER'!$AC$2:$AC$495&gt;=2))*ROW('CONTROL MASTER'!$S$2:$S$495))-(ROW('CONTROL MASTER'!#REF!)-1))))*(INDEX('CONTROL MASTER'!$AC$2:$AC$495,(SUMPRODUCT((('CONTROL MASTER'!$S$2:$S$495=4)*('CONTROL MASTER'!$Z$2:$Z$495&lt;=3)*('CONTROL MASTER'!$AB$2:$AB$495&gt;=3)*('CONTROL MASTER'!$AA$2:$AA$495&lt;=2)*('CONTROL MASTER'!$AC$2:$AC$495&gt;=2))*ROW('CONTROL MASTER'!$S$2:$S$495))-(ROW('CONTROL MASTER'!#REF!)-1)))-INDEX('CONTROL MASTER'!$AA$2:$AA$495,(SUMPRODUCT((('CONTROL MASTER'!$S$2:$S$495=4)*('CONTROL MASTER'!$Z$2:$Z$495&lt;=3)*('CONTROL MASTER'!$AB$2:$AB$495&gt;=3)*('CONTROL MASTER'!$AA$2:$AA$495&lt;=2)*('CONTROL MASTER'!$AC$2:$AC$495&gt;=2))*ROW('CONTROL MASTER'!$S$2:$S$495))-(ROW('CONTROL MASTER'!#REF!)-1)))+1)+(2-INDEX('CONTROL MASTER'!$AA$2:$AA$495,(SUMPRODUCT((('CONTROL MASTER'!$S$2:$S$495=4)*('CONTROL MASTER'!$Z$2:$Z$495&lt;=3)*('CONTROL MASTER'!$AB$2:$AB$495&gt;=3)*('CONTROL MASTER'!$AA$2:$AA$495&lt;=2)*('CONTROL MASTER'!$AC$2:$AC$495&gt;=2))*ROW('CONTROL MASTER'!$S$2:$S$495))-(ROW('CONTROL MASTER'!#REF!)-1))))+1)))-1)*50+1,50))&amp;"_"&amp;INDEX('CONTROL MASTER'!$P$2:$P$495,(SUMPRODUCT((('CONTROL MASTER'!$S$2:$S$495=4)*('CONTROL MASTER'!$Z$2:$Z$495&lt;=3)*('CONTROL MASTER'!$AB$2:$AB$495&gt;=3)*('CONTROL MASTER'!$AA$2:$AA$495&lt;=2)*('CONTROL MASTER'!$AC$2:$AC$495&gt;=2))*ROW('CONTROL MASTER'!$S$2:$S$495))-(ROW('CONTROL MASTER'!#REF!)-1))),"")),"")</f>
        <v/>
      </c>
      <c r="D47" s="10" t="str">
        <f>IFERROR(IF(SUMPRODUCT((('CONTROL MASTER'!$S$2:$S$495=4)*('CONTROL MASTER'!$T$2:$T$495&lt;=3)*('CONTROL MASTER'!$V$2:$V$495&gt;=3)*('CONTROL MASTER'!$U$2:$U$495&lt;=3)*('CONTROL MASTER'!$W$2:$W$495&gt;=3))*ROW('CONTROL MASTER'!$S$2:$S$495))&gt;0,INDEX('CONTROL MASTER'!$X$2:$X$495,(SUMPRODUCT((('CONTROL MASTER'!$S$2:$S$495=4)*('CONTROL MASTER'!$T$2:$T$495&lt;=3)*('CONTROL MASTER'!$V$2:$V$495&gt;=3)*('CONTROL MASTER'!$U$2:$U$495&lt;=3)*('CONTROL MASTER'!$W$2:$W$495&gt;=3))*ROW('CONTROL MASTER'!$S$2:$S$495))-(ROW('CONTROL MASTER'!#REF!)-1)))&amp;TRIM(MID(SUBSTITUTE(SUBSTITUTE(INDEX('CONTROL MASTER'!$N$2:$N$495,(SUMPRODUCT((('CONTROL MASTER'!$S$2:$S$495=4)*('CONTROL MASTER'!$T$2:$T$495&lt;=3)*('CONTROL MASTER'!$V$2:$V$495&gt;=3)*('CONTROL MASTER'!$U$2:$U$495&lt;=3)*('CONTROL MASTER'!$W$2:$W$495&gt;=3))*ROW('CONTROL MASTER'!$S$2:$S$495))-(ROW('CONTROL MASTER'!#REF!)-1))),":",","),",",REPT(" ",50)),((((3-INDEX('CONTROL MASTER'!$T$2:$T$495,(SUMPRODUCT((('CONTROL MASTER'!$S$2:$S$495=4)*('CONTROL MASTER'!$T$2:$T$495&lt;=3)*('CONTROL MASTER'!$V$2:$V$495&gt;=3)*('CONTROL MASTER'!$U$2:$U$495&lt;=3)*('CONTROL MASTER'!$W$2:$W$495&gt;=3))*ROW('CONTROL MASTER'!$S$2:$S$495))-(ROW('CONTROL MASTER'!#REF!)-1))))*(INDEX('CONTROL MASTER'!$W$2:$W$495,(SUMPRODUCT((('CONTROL MASTER'!$S$2:$S$495=4)*('CONTROL MASTER'!$T$2:$T$495&lt;=3)*('CONTROL MASTER'!$V$2:$V$495&gt;=3)*('CONTROL MASTER'!$U$2:$U$495&lt;=3)*('CONTROL MASTER'!$W$2:$W$495&gt;=3))*ROW('CONTROL MASTER'!$S$2:$S$495))-(ROW('CONTROL MASTER'!#REF!)-1)))-INDEX('CONTROL MASTER'!$U$2:$U$495,(SUMPRODUCT((('CONTROL MASTER'!$S$2:$S$495=4)*('CONTROL MASTER'!$T$2:$T$495&lt;=3)*('CONTROL MASTER'!$V$2:$V$495&gt;=3)*('CONTROL MASTER'!$U$2:$U$495&lt;=3)*('CONTROL MASTER'!$W$2:$W$495&gt;=3))*ROW('CONTROL MASTER'!$S$2:$S$495))-(ROW('CONTROL MASTER'!#REF!)-1)))+1)+(3-INDEX('CONTROL MASTER'!$U$2:$U$495,(SUMPRODUCT((('CONTROL MASTER'!$S$2:$S$495=4)*('CONTROL MASTER'!$T$2:$T$495&lt;=3)*('CONTROL MASTER'!$V$2:$V$495&gt;=3)*('CONTROL MASTER'!$U$2:$U$495&lt;=3)*('CONTROL MASTER'!$W$2:$W$495&gt;=3))*ROW('CONTROL MASTER'!$S$2:$S$495))-(ROW('CONTROL MASTER'!#REF!)-1))))+1))-1)*50+1,50))&amp;"_"&amp;INDEX('CONTROL MASTER'!$P$2:$P$495,(SUMPRODUCT((('CONTROL MASTER'!$S$2:$S$495=4)*('CONTROL MASTER'!$T$2:$T$495&lt;=3)*('CONTROL MASTER'!$V$2:$V$495&gt;=3)*('CONTROL MASTER'!$U$2:$U$495&lt;=3)*('CONTROL MASTER'!$W$2:$W$495&gt;=3))*ROW('CONTROL MASTER'!$S$2:$S$495))-(ROW('CONTROL MASTER'!#REF!)-1))),IF(SUMPRODUCT((('CONTROL MASTER'!$S$2:$S$495=4)*('CONTROL MASTER'!$Z$2:$Z$495&lt;=3)*('CONTROL MASTER'!$AB$2:$AB$495&gt;=3)*('CONTROL MASTER'!$AA$2:$AA$495&lt;=3)*('CONTROL MASTER'!$AC$2:$AC$495&gt;=3))*ROW('CONTROL MASTER'!$S$2:$S$495))&gt;0,INDEX('CONTROL MASTER'!$X$2:$X$495,(SUMPRODUCT((('CONTROL MASTER'!$S$2:$S$495=4)*('CONTROL MASTER'!$Z$2:$Z$495&lt;=3)*('CONTROL MASTER'!$AB$2:$AB$495&gt;=3)*('CONTROL MASTER'!$AA$2:$AA$495&lt;=3)*('CONTROL MASTER'!$AC$2:$AC$495&gt;=3))*ROW('CONTROL MASTER'!$S$2:$S$495))-(ROW('CONTROL MASTER'!#REF!)-1)))&amp;TRIM(MID(SUBSTITUTE(SUBSTITUTE(INDEX('CONTROL MASTER'!$N$2:$N$495,(SUMPRODUCT((('CONTROL MASTER'!$S$2:$S$495=4)*('CONTROL MASTER'!$Z$2:$Z$495&lt;=3)*('CONTROL MASTER'!$AB$2:$AB$495&gt;=3)*('CONTROL MASTER'!$AA$2:$AA$495&lt;=3)*('CONTROL MASTER'!$AC$2:$AC$495&gt;=3))*ROW('CONTROL MASTER'!$S$2:$S$495))-(ROW('CONTROL MASTER'!#REF!)-1))),":",","),",",REPT(" ",50)),(((INDEX('CONTROL MASTER'!$Y$2:$Y$495,(SUMPRODUCT((('CONTROL MASTER'!$S$2:$S$495=4)*('CONTROL MASTER'!$Z$2:$Z$495&lt;=3)*('CONTROL MASTER'!$AB$2:$AB$495&gt;=3)*('CONTROL MASTER'!$AA$2:$AA$495&lt;=3)*('CONTROL MASTER'!$AC$2:$AC$495&gt;=3))*ROW('CONTROL MASTER'!$S$2:$S$495))-(ROW('CONTROL MASTER'!#REF!)-1)))+((3-INDEX('CONTROL MASTER'!$Z$2:$Z$495,(SUMPRODUCT((('CONTROL MASTER'!$S$2:$S$495=4)*('CONTROL MASTER'!$Z$2:$Z$495&lt;=3)*('CONTROL MASTER'!$AB$2:$AB$495&gt;=3)*('CONTROL MASTER'!$AA$2:$AA$495&lt;=3)*('CONTROL MASTER'!$AC$2:$AC$495&gt;=3))*ROW('CONTROL MASTER'!$S$2:$S$495))-(ROW('CONTROL MASTER'!#REF!)-1))))*(INDEX('CONTROL MASTER'!$AC$2:$AC$495,(SUMPRODUCT((('CONTROL MASTER'!$S$2:$S$495=4)*('CONTROL MASTER'!$Z$2:$Z$495&lt;=3)*('CONTROL MASTER'!$AB$2:$AB$495&gt;=3)*('CONTROL MASTER'!$AA$2:$AA$495&lt;=3)*('CONTROL MASTER'!$AC$2:$AC$495&gt;=3))*ROW('CONTROL MASTER'!$S$2:$S$495))-(ROW('CONTROL MASTER'!#REF!)-1)))-INDEX('CONTROL MASTER'!$AA$2:$AA$495,(SUMPRODUCT((('CONTROL MASTER'!$S$2:$S$495=4)*('CONTROL MASTER'!$Z$2:$Z$495&lt;=3)*('CONTROL MASTER'!$AB$2:$AB$495&gt;=3)*('CONTROL MASTER'!$AA$2:$AA$495&lt;=3)*('CONTROL MASTER'!$AC$2:$AC$495&gt;=3))*ROW('CONTROL MASTER'!$S$2:$S$495))-(ROW('CONTROL MASTER'!#REF!)-1)))+1)+(3-INDEX('CONTROL MASTER'!$AA$2:$AA$495,(SUMPRODUCT((('CONTROL MASTER'!$S$2:$S$495=4)*('CONTROL MASTER'!$Z$2:$Z$495&lt;=3)*('CONTROL MASTER'!$AB$2:$AB$495&gt;=3)*('CONTROL MASTER'!$AA$2:$AA$495&lt;=3)*('CONTROL MASTER'!$AC$2:$AC$495&gt;=3))*ROW('CONTROL MASTER'!$S$2:$S$495))-(ROW('CONTROL MASTER'!#REF!)-1))))+1)))-1)*50+1,50))&amp;"_"&amp;INDEX('CONTROL MASTER'!$P$2:$P$495,(SUMPRODUCT((('CONTROL MASTER'!$S$2:$S$495=4)*('CONTROL MASTER'!$Z$2:$Z$495&lt;=3)*('CONTROL MASTER'!$AB$2:$AB$495&gt;=3)*('CONTROL MASTER'!$AA$2:$AA$495&lt;=3)*('CONTROL MASTER'!$AC$2:$AC$495&gt;=3))*ROW('CONTROL MASTER'!$S$2:$S$495))-(ROW('CONTROL MASTER'!#REF!)-1))),"")),"")</f>
        <v/>
      </c>
      <c r="E47" s="10" t="str">
        <f>IFERROR(IF(SUMPRODUCT((('CONTROL MASTER'!$S$2:$S$495=4)*('CONTROL MASTER'!$T$2:$T$495&lt;=3)*('CONTROL MASTER'!$V$2:$V$495&gt;=3)*('CONTROL MASTER'!$U$2:$U$495&lt;=4)*('CONTROL MASTER'!$W$2:$W$495&gt;=4))*ROW('CONTROL MASTER'!$S$2:$S$495))&gt;0,INDEX('CONTROL MASTER'!$X$2:$X$495,(SUMPRODUCT((('CONTROL MASTER'!$S$2:$S$495=4)*('CONTROL MASTER'!$T$2:$T$495&lt;=3)*('CONTROL MASTER'!$V$2:$V$495&gt;=3)*('CONTROL MASTER'!$U$2:$U$495&lt;=4)*('CONTROL MASTER'!$W$2:$W$495&gt;=4))*ROW('CONTROL MASTER'!$S$2:$S$495))-(ROW('CONTROL MASTER'!#REF!)-1)))&amp;TRIM(MID(SUBSTITUTE(SUBSTITUTE(INDEX('CONTROL MASTER'!$N$2:$N$495,(SUMPRODUCT((('CONTROL MASTER'!$S$2:$S$495=4)*('CONTROL MASTER'!$T$2:$T$495&lt;=3)*('CONTROL MASTER'!$V$2:$V$495&gt;=3)*('CONTROL MASTER'!$U$2:$U$495&lt;=4)*('CONTROL MASTER'!$W$2:$W$495&gt;=4))*ROW('CONTROL MASTER'!$S$2:$S$495))-(ROW('CONTROL MASTER'!#REF!)-1))),":",","),",",REPT(" ",50)),((((3-INDEX('CONTROL MASTER'!$T$2:$T$495,(SUMPRODUCT((('CONTROL MASTER'!$S$2:$S$495=4)*('CONTROL MASTER'!$T$2:$T$495&lt;=3)*('CONTROL MASTER'!$V$2:$V$495&gt;=3)*('CONTROL MASTER'!$U$2:$U$495&lt;=4)*('CONTROL MASTER'!$W$2:$W$495&gt;=4))*ROW('CONTROL MASTER'!$S$2:$S$495))-(ROW('CONTROL MASTER'!#REF!)-1))))*(INDEX('CONTROL MASTER'!$W$2:$W$495,(SUMPRODUCT((('CONTROL MASTER'!$S$2:$S$495=4)*('CONTROL MASTER'!$T$2:$T$495&lt;=3)*('CONTROL MASTER'!$V$2:$V$495&gt;=3)*('CONTROL MASTER'!$U$2:$U$495&lt;=4)*('CONTROL MASTER'!$W$2:$W$495&gt;=4))*ROW('CONTROL MASTER'!$S$2:$S$495))-(ROW('CONTROL MASTER'!#REF!)-1)))-INDEX('CONTROL MASTER'!$U$2:$U$495,(SUMPRODUCT((('CONTROL MASTER'!$S$2:$S$495=4)*('CONTROL MASTER'!$T$2:$T$495&lt;=3)*('CONTROL MASTER'!$V$2:$V$495&gt;=3)*('CONTROL MASTER'!$U$2:$U$495&lt;=4)*('CONTROL MASTER'!$W$2:$W$495&gt;=4))*ROW('CONTROL MASTER'!$S$2:$S$495))-(ROW('CONTROL MASTER'!#REF!)-1)))+1)+(4-INDEX('CONTROL MASTER'!$U$2:$U$495,(SUMPRODUCT((('CONTROL MASTER'!$S$2:$S$495=4)*('CONTROL MASTER'!$T$2:$T$495&lt;=3)*('CONTROL MASTER'!$V$2:$V$495&gt;=3)*('CONTROL MASTER'!$U$2:$U$495&lt;=4)*('CONTROL MASTER'!$W$2:$W$495&gt;=4))*ROW('CONTROL MASTER'!$S$2:$S$495))-(ROW('CONTROL MASTER'!#REF!)-1))))+1))-1)*50+1,50))&amp;"_"&amp;INDEX('CONTROL MASTER'!$P$2:$P$495,(SUMPRODUCT((('CONTROL MASTER'!$S$2:$S$495=4)*('CONTROL MASTER'!$T$2:$T$495&lt;=3)*('CONTROL MASTER'!$V$2:$V$495&gt;=3)*('CONTROL MASTER'!$U$2:$U$495&lt;=4)*('CONTROL MASTER'!$W$2:$W$495&gt;=4))*ROW('CONTROL MASTER'!$S$2:$S$495))-(ROW('CONTROL MASTER'!#REF!)-1))),IF(SUMPRODUCT((('CONTROL MASTER'!$S$2:$S$495=4)*('CONTROL MASTER'!$Z$2:$Z$495&lt;=3)*('CONTROL MASTER'!$AB$2:$AB$495&gt;=3)*('CONTROL MASTER'!$AA$2:$AA$495&lt;=4)*('CONTROL MASTER'!$AC$2:$AC$495&gt;=4))*ROW('CONTROL MASTER'!$S$2:$S$495))&gt;0,INDEX('CONTROL MASTER'!$X$2:$X$495,(SUMPRODUCT((('CONTROL MASTER'!$S$2:$S$495=4)*('CONTROL MASTER'!$Z$2:$Z$495&lt;=3)*('CONTROL MASTER'!$AB$2:$AB$495&gt;=3)*('CONTROL MASTER'!$AA$2:$AA$495&lt;=4)*('CONTROL MASTER'!$AC$2:$AC$495&gt;=4))*ROW('CONTROL MASTER'!$S$2:$S$495))-(ROW('CONTROL MASTER'!#REF!)-1)))&amp;TRIM(MID(SUBSTITUTE(SUBSTITUTE(INDEX('CONTROL MASTER'!$N$2:$N$495,(SUMPRODUCT((('CONTROL MASTER'!$S$2:$S$495=4)*('CONTROL MASTER'!$Z$2:$Z$495&lt;=3)*('CONTROL MASTER'!$AB$2:$AB$495&gt;=3)*('CONTROL MASTER'!$AA$2:$AA$495&lt;=4)*('CONTROL MASTER'!$AC$2:$AC$495&gt;=4))*ROW('CONTROL MASTER'!$S$2:$S$495))-(ROW('CONTROL MASTER'!#REF!)-1))),":",","),",",REPT(" ",50)),(((INDEX('CONTROL MASTER'!$Y$2:$Y$495,(SUMPRODUCT((('CONTROL MASTER'!$S$2:$S$495=4)*('CONTROL MASTER'!$Z$2:$Z$495&lt;=3)*('CONTROL MASTER'!$AB$2:$AB$495&gt;=3)*('CONTROL MASTER'!$AA$2:$AA$495&lt;=4)*('CONTROL MASTER'!$AC$2:$AC$495&gt;=4))*ROW('CONTROL MASTER'!$S$2:$S$495))-(ROW('CONTROL MASTER'!#REF!)-1)))+((3-INDEX('CONTROL MASTER'!$Z$2:$Z$495,(SUMPRODUCT((('CONTROL MASTER'!$S$2:$S$495=4)*('CONTROL MASTER'!$Z$2:$Z$495&lt;=3)*('CONTROL MASTER'!$AB$2:$AB$495&gt;=3)*('CONTROL MASTER'!$AA$2:$AA$495&lt;=4)*('CONTROL MASTER'!$AC$2:$AC$495&gt;=4))*ROW('CONTROL MASTER'!$S$2:$S$495))-(ROW('CONTROL MASTER'!#REF!)-1))))*(INDEX('CONTROL MASTER'!$AC$2:$AC$495,(SUMPRODUCT((('CONTROL MASTER'!$S$2:$S$495=4)*('CONTROL MASTER'!$Z$2:$Z$495&lt;=3)*('CONTROL MASTER'!$AB$2:$AB$495&gt;=3)*('CONTROL MASTER'!$AA$2:$AA$495&lt;=4)*('CONTROL MASTER'!$AC$2:$AC$495&gt;=4))*ROW('CONTROL MASTER'!$S$2:$S$495))-(ROW('CONTROL MASTER'!#REF!)-1)))-INDEX('CONTROL MASTER'!$AA$2:$AA$495,(SUMPRODUCT((('CONTROL MASTER'!$S$2:$S$495=4)*('CONTROL MASTER'!$Z$2:$Z$495&lt;=3)*('CONTROL MASTER'!$AB$2:$AB$495&gt;=3)*('CONTROL MASTER'!$AA$2:$AA$495&lt;=4)*('CONTROL MASTER'!$AC$2:$AC$495&gt;=4))*ROW('CONTROL MASTER'!$S$2:$S$495))-(ROW('CONTROL MASTER'!#REF!)-1)))+1)+(4-INDEX('CONTROL MASTER'!$AA$2:$AA$495,(SUMPRODUCT((('CONTROL MASTER'!$S$2:$S$495=4)*('CONTROL MASTER'!$Z$2:$Z$495&lt;=3)*('CONTROL MASTER'!$AB$2:$AB$495&gt;=3)*('CONTROL MASTER'!$AA$2:$AA$495&lt;=4)*('CONTROL MASTER'!$AC$2:$AC$495&gt;=4))*ROW('CONTROL MASTER'!$S$2:$S$495))-(ROW('CONTROL MASTER'!#REF!)-1))))+1)))-1)*50+1,50))&amp;"_"&amp;INDEX('CONTROL MASTER'!$P$2:$P$495,(SUMPRODUCT((('CONTROL MASTER'!$S$2:$S$495=4)*('CONTROL MASTER'!$Z$2:$Z$495&lt;=3)*('CONTROL MASTER'!$AB$2:$AB$495&gt;=3)*('CONTROL MASTER'!$AA$2:$AA$495&lt;=4)*('CONTROL MASTER'!$AC$2:$AC$495&gt;=4))*ROW('CONTROL MASTER'!$S$2:$S$495))-(ROW('CONTROL MASTER'!#REF!)-1))),"")),"")</f>
        <v/>
      </c>
      <c r="F47" s="10" t="str">
        <f>IFERROR(IF(SUMPRODUCT((('CONTROL MASTER'!$S$2:$S$495=4)*('CONTROL MASTER'!$T$2:$T$495&lt;=3)*('CONTROL MASTER'!$V$2:$V$495&gt;=3)*('CONTROL MASTER'!$U$2:$U$495&lt;=5)*('CONTROL MASTER'!$W$2:$W$495&gt;=5))*ROW('CONTROL MASTER'!$S$2:$S$495))&gt;0,INDEX('CONTROL MASTER'!$X$2:$X$495,(SUMPRODUCT((('CONTROL MASTER'!$S$2:$S$495=4)*('CONTROL MASTER'!$T$2:$T$495&lt;=3)*('CONTROL MASTER'!$V$2:$V$495&gt;=3)*('CONTROL MASTER'!$U$2:$U$495&lt;=5)*('CONTROL MASTER'!$W$2:$W$495&gt;=5))*ROW('CONTROL MASTER'!$S$2:$S$495))-(ROW('CONTROL MASTER'!#REF!)-1)))&amp;TRIM(MID(SUBSTITUTE(SUBSTITUTE(INDEX('CONTROL MASTER'!$N$2:$N$495,(SUMPRODUCT((('CONTROL MASTER'!$S$2:$S$495=4)*('CONTROL MASTER'!$T$2:$T$495&lt;=3)*('CONTROL MASTER'!$V$2:$V$495&gt;=3)*('CONTROL MASTER'!$U$2:$U$495&lt;=5)*('CONTROL MASTER'!$W$2:$W$495&gt;=5))*ROW('CONTROL MASTER'!$S$2:$S$495))-(ROW('CONTROL MASTER'!#REF!)-1))),":",","),",",REPT(" ",50)),((((3-INDEX('CONTROL MASTER'!$T$2:$T$495,(SUMPRODUCT((('CONTROL MASTER'!$S$2:$S$495=4)*('CONTROL MASTER'!$T$2:$T$495&lt;=3)*('CONTROL MASTER'!$V$2:$V$495&gt;=3)*('CONTROL MASTER'!$U$2:$U$495&lt;=5)*('CONTROL MASTER'!$W$2:$W$495&gt;=5))*ROW('CONTROL MASTER'!$S$2:$S$495))-(ROW('CONTROL MASTER'!#REF!)-1))))*(INDEX('CONTROL MASTER'!$W$2:$W$495,(SUMPRODUCT((('CONTROL MASTER'!$S$2:$S$495=4)*('CONTROL MASTER'!$T$2:$T$495&lt;=3)*('CONTROL MASTER'!$V$2:$V$495&gt;=3)*('CONTROL MASTER'!$U$2:$U$495&lt;=5)*('CONTROL MASTER'!$W$2:$W$495&gt;=5))*ROW('CONTROL MASTER'!$S$2:$S$495))-(ROW('CONTROL MASTER'!#REF!)-1)))-INDEX('CONTROL MASTER'!$U$2:$U$495,(SUMPRODUCT((('CONTROL MASTER'!$S$2:$S$495=4)*('CONTROL MASTER'!$T$2:$T$495&lt;=3)*('CONTROL MASTER'!$V$2:$V$495&gt;=3)*('CONTROL MASTER'!$U$2:$U$495&lt;=5)*('CONTROL MASTER'!$W$2:$W$495&gt;=5))*ROW('CONTROL MASTER'!$S$2:$S$495))-(ROW('CONTROL MASTER'!#REF!)-1)))+1)+(5-INDEX('CONTROL MASTER'!$U$2:$U$495,(SUMPRODUCT((('CONTROL MASTER'!$S$2:$S$495=4)*('CONTROL MASTER'!$T$2:$T$495&lt;=3)*('CONTROL MASTER'!$V$2:$V$495&gt;=3)*('CONTROL MASTER'!$U$2:$U$495&lt;=5)*('CONTROL MASTER'!$W$2:$W$495&gt;=5))*ROW('CONTROL MASTER'!$S$2:$S$495))-(ROW('CONTROL MASTER'!#REF!)-1))))+1))-1)*50+1,50))&amp;"_"&amp;INDEX('CONTROL MASTER'!$P$2:$P$495,(SUMPRODUCT((('CONTROL MASTER'!$S$2:$S$495=4)*('CONTROL MASTER'!$T$2:$T$495&lt;=3)*('CONTROL MASTER'!$V$2:$V$495&gt;=3)*('CONTROL MASTER'!$U$2:$U$495&lt;=5)*('CONTROL MASTER'!$W$2:$W$495&gt;=5))*ROW('CONTROL MASTER'!$S$2:$S$495))-(ROW('CONTROL MASTER'!#REF!)-1))),IF(SUMPRODUCT((('CONTROL MASTER'!$S$2:$S$495=4)*('CONTROL MASTER'!$Z$2:$Z$495&lt;=3)*('CONTROL MASTER'!$AB$2:$AB$495&gt;=3)*('CONTROL MASTER'!$AA$2:$AA$495&lt;=5)*('CONTROL MASTER'!$AC$2:$AC$495&gt;=5))*ROW('CONTROL MASTER'!$S$2:$S$495))&gt;0,INDEX('CONTROL MASTER'!$X$2:$X$495,(SUMPRODUCT((('CONTROL MASTER'!$S$2:$S$495=4)*('CONTROL MASTER'!$Z$2:$Z$495&lt;=3)*('CONTROL MASTER'!$AB$2:$AB$495&gt;=3)*('CONTROL MASTER'!$AA$2:$AA$495&lt;=5)*('CONTROL MASTER'!$AC$2:$AC$495&gt;=5))*ROW('CONTROL MASTER'!$S$2:$S$495))-(ROW('CONTROL MASTER'!#REF!)-1)))&amp;TRIM(MID(SUBSTITUTE(SUBSTITUTE(INDEX('CONTROL MASTER'!$N$2:$N$495,(SUMPRODUCT((('CONTROL MASTER'!$S$2:$S$495=4)*('CONTROL MASTER'!$Z$2:$Z$495&lt;=3)*('CONTROL MASTER'!$AB$2:$AB$495&gt;=3)*('CONTROL MASTER'!$AA$2:$AA$495&lt;=5)*('CONTROL MASTER'!$AC$2:$AC$495&gt;=5))*ROW('CONTROL MASTER'!$S$2:$S$495))-(ROW('CONTROL MASTER'!#REF!)-1))),":",","),",",REPT(" ",50)),(((INDEX('CONTROL MASTER'!$Y$2:$Y$495,(SUMPRODUCT((('CONTROL MASTER'!$S$2:$S$495=4)*('CONTROL MASTER'!$Z$2:$Z$495&lt;=3)*('CONTROL MASTER'!$AB$2:$AB$495&gt;=3)*('CONTROL MASTER'!$AA$2:$AA$495&lt;=5)*('CONTROL MASTER'!$AC$2:$AC$495&gt;=5))*ROW('CONTROL MASTER'!$S$2:$S$495))-(ROW('CONTROL MASTER'!#REF!)-1)))+((3-INDEX('CONTROL MASTER'!$Z$2:$Z$495,(SUMPRODUCT((('CONTROL MASTER'!$S$2:$S$495=4)*('CONTROL MASTER'!$Z$2:$Z$495&lt;=3)*('CONTROL MASTER'!$AB$2:$AB$495&gt;=3)*('CONTROL MASTER'!$AA$2:$AA$495&lt;=5)*('CONTROL MASTER'!$AC$2:$AC$495&gt;=5))*ROW('CONTROL MASTER'!$S$2:$S$495))-(ROW('CONTROL MASTER'!#REF!)-1))))*(INDEX('CONTROL MASTER'!$AC$2:$AC$495,(SUMPRODUCT((('CONTROL MASTER'!$S$2:$S$495=4)*('CONTROL MASTER'!$Z$2:$Z$495&lt;=3)*('CONTROL MASTER'!$AB$2:$AB$495&gt;=3)*('CONTROL MASTER'!$AA$2:$AA$495&lt;=5)*('CONTROL MASTER'!$AC$2:$AC$495&gt;=5))*ROW('CONTROL MASTER'!$S$2:$S$495))-(ROW('CONTROL MASTER'!#REF!)-1)))-INDEX('CONTROL MASTER'!$AA$2:$AA$495,(SUMPRODUCT((('CONTROL MASTER'!$S$2:$S$495=4)*('CONTROL MASTER'!$Z$2:$Z$495&lt;=3)*('CONTROL MASTER'!$AB$2:$AB$495&gt;=3)*('CONTROL MASTER'!$AA$2:$AA$495&lt;=5)*('CONTROL MASTER'!$AC$2:$AC$495&gt;=5))*ROW('CONTROL MASTER'!$S$2:$S$495))-(ROW('CONTROL MASTER'!#REF!)-1)))+1)+(5-INDEX('CONTROL MASTER'!$AA$2:$AA$495,(SUMPRODUCT((('CONTROL MASTER'!$S$2:$S$495=4)*('CONTROL MASTER'!$Z$2:$Z$495&lt;=3)*('CONTROL MASTER'!$AB$2:$AB$495&gt;=3)*('CONTROL MASTER'!$AA$2:$AA$495&lt;=5)*('CONTROL MASTER'!$AC$2:$AC$495&gt;=5))*ROW('CONTROL MASTER'!$S$2:$S$495))-(ROW('CONTROL MASTER'!#REF!)-1))))+1)))-1)*50+1,50))&amp;"_"&amp;INDEX('CONTROL MASTER'!$P$2:$P$495,(SUMPRODUCT((('CONTROL MASTER'!$S$2:$S$495=4)*('CONTROL MASTER'!$Z$2:$Z$495&lt;=3)*('CONTROL MASTER'!$AB$2:$AB$495&gt;=3)*('CONTROL MASTER'!$AA$2:$AA$495&lt;=5)*('CONTROL MASTER'!$AC$2:$AC$495&gt;=5))*ROW('CONTROL MASTER'!$S$2:$S$495))-(ROW('CONTROL MASTER'!#REF!)-1))),"")),"")</f>
        <v/>
      </c>
      <c r="G47" s="10" t="str">
        <f>IFERROR(IF(SUMPRODUCT((('CONTROL MASTER'!$S$2:$S$495=4)*('CONTROL MASTER'!$T$2:$T$495&lt;=3)*('CONTROL MASTER'!$V$2:$V$495&gt;=3)*('CONTROL MASTER'!$U$2:$U$495&lt;=6)*('CONTROL MASTER'!$W$2:$W$495&gt;=6))*ROW('CONTROL MASTER'!$S$2:$S$495))&gt;0,INDEX('CONTROL MASTER'!$X$2:$X$495,(SUMPRODUCT((('CONTROL MASTER'!$S$2:$S$495=4)*('CONTROL MASTER'!$T$2:$T$495&lt;=3)*('CONTROL MASTER'!$V$2:$V$495&gt;=3)*('CONTROL MASTER'!$U$2:$U$495&lt;=6)*('CONTROL MASTER'!$W$2:$W$495&gt;=6))*ROW('CONTROL MASTER'!$S$2:$S$495))-(ROW('CONTROL MASTER'!#REF!)-1)))&amp;TRIM(MID(SUBSTITUTE(SUBSTITUTE(INDEX('CONTROL MASTER'!$N$2:$N$495,(SUMPRODUCT((('CONTROL MASTER'!$S$2:$S$495=4)*('CONTROL MASTER'!$T$2:$T$495&lt;=3)*('CONTROL MASTER'!$V$2:$V$495&gt;=3)*('CONTROL MASTER'!$U$2:$U$495&lt;=6)*('CONTROL MASTER'!$W$2:$W$495&gt;=6))*ROW('CONTROL MASTER'!$S$2:$S$495))-(ROW('CONTROL MASTER'!#REF!)-1))),":",","),",",REPT(" ",50)),((((3-INDEX('CONTROL MASTER'!$T$2:$T$495,(SUMPRODUCT((('CONTROL MASTER'!$S$2:$S$495=4)*('CONTROL MASTER'!$T$2:$T$495&lt;=3)*('CONTROL MASTER'!$V$2:$V$495&gt;=3)*('CONTROL MASTER'!$U$2:$U$495&lt;=6)*('CONTROL MASTER'!$W$2:$W$495&gt;=6))*ROW('CONTROL MASTER'!$S$2:$S$495))-(ROW('CONTROL MASTER'!#REF!)-1))))*(INDEX('CONTROL MASTER'!$W$2:$W$495,(SUMPRODUCT((('CONTROL MASTER'!$S$2:$S$495=4)*('CONTROL MASTER'!$T$2:$T$495&lt;=3)*('CONTROL MASTER'!$V$2:$V$495&gt;=3)*('CONTROL MASTER'!$U$2:$U$495&lt;=6)*('CONTROL MASTER'!$W$2:$W$495&gt;=6))*ROW('CONTROL MASTER'!$S$2:$S$495))-(ROW('CONTROL MASTER'!#REF!)-1)))-INDEX('CONTROL MASTER'!$U$2:$U$495,(SUMPRODUCT((('CONTROL MASTER'!$S$2:$S$495=4)*('CONTROL MASTER'!$T$2:$T$495&lt;=3)*('CONTROL MASTER'!$V$2:$V$495&gt;=3)*('CONTROL MASTER'!$U$2:$U$495&lt;=6)*('CONTROL MASTER'!$W$2:$W$495&gt;=6))*ROW('CONTROL MASTER'!$S$2:$S$495))-(ROW('CONTROL MASTER'!#REF!)-1)))+1)+(6-INDEX('CONTROL MASTER'!$U$2:$U$495,(SUMPRODUCT((('CONTROL MASTER'!$S$2:$S$495=4)*('CONTROL MASTER'!$T$2:$T$495&lt;=3)*('CONTROL MASTER'!$V$2:$V$495&gt;=3)*('CONTROL MASTER'!$U$2:$U$495&lt;=6)*('CONTROL MASTER'!$W$2:$W$495&gt;=6))*ROW('CONTROL MASTER'!$S$2:$S$495))-(ROW('CONTROL MASTER'!#REF!)-1))))+1))-1)*50+1,50))&amp;"_"&amp;INDEX('CONTROL MASTER'!$P$2:$P$495,(SUMPRODUCT((('CONTROL MASTER'!$S$2:$S$495=4)*('CONTROL MASTER'!$T$2:$T$495&lt;=3)*('CONTROL MASTER'!$V$2:$V$495&gt;=3)*('CONTROL MASTER'!$U$2:$U$495&lt;=6)*('CONTROL MASTER'!$W$2:$W$495&gt;=6))*ROW('CONTROL MASTER'!$S$2:$S$495))-(ROW('CONTROL MASTER'!#REF!)-1))),IF(SUMPRODUCT((('CONTROL MASTER'!$S$2:$S$495=4)*('CONTROL MASTER'!$Z$2:$Z$495&lt;=3)*('CONTROL MASTER'!$AB$2:$AB$495&gt;=3)*('CONTROL MASTER'!$AA$2:$AA$495&lt;=6)*('CONTROL MASTER'!$AC$2:$AC$495&gt;=6))*ROW('CONTROL MASTER'!$S$2:$S$495))&gt;0,INDEX('CONTROL MASTER'!$X$2:$X$495,(SUMPRODUCT((('CONTROL MASTER'!$S$2:$S$495=4)*('CONTROL MASTER'!$Z$2:$Z$495&lt;=3)*('CONTROL MASTER'!$AB$2:$AB$495&gt;=3)*('CONTROL MASTER'!$AA$2:$AA$495&lt;=6)*('CONTROL MASTER'!$AC$2:$AC$495&gt;=6))*ROW('CONTROL MASTER'!$S$2:$S$495))-(ROW('CONTROL MASTER'!#REF!)-1)))&amp;TRIM(MID(SUBSTITUTE(SUBSTITUTE(INDEX('CONTROL MASTER'!$N$2:$N$495,(SUMPRODUCT((('CONTROL MASTER'!$S$2:$S$495=4)*('CONTROL MASTER'!$Z$2:$Z$495&lt;=3)*('CONTROL MASTER'!$AB$2:$AB$495&gt;=3)*('CONTROL MASTER'!$AA$2:$AA$495&lt;=6)*('CONTROL MASTER'!$AC$2:$AC$495&gt;=6))*ROW('CONTROL MASTER'!$S$2:$S$495))-(ROW('CONTROL MASTER'!#REF!)-1))),":",","),",",REPT(" ",50)),(((INDEX('CONTROL MASTER'!$Y$2:$Y$495,(SUMPRODUCT((('CONTROL MASTER'!$S$2:$S$495=4)*('CONTROL MASTER'!$Z$2:$Z$495&lt;=3)*('CONTROL MASTER'!$AB$2:$AB$495&gt;=3)*('CONTROL MASTER'!$AA$2:$AA$495&lt;=6)*('CONTROL MASTER'!$AC$2:$AC$495&gt;=6))*ROW('CONTROL MASTER'!$S$2:$S$495))-(ROW('CONTROL MASTER'!#REF!)-1)))+((3-INDEX('CONTROL MASTER'!$Z$2:$Z$495,(SUMPRODUCT((('CONTROL MASTER'!$S$2:$S$495=4)*('CONTROL MASTER'!$Z$2:$Z$495&lt;=3)*('CONTROL MASTER'!$AB$2:$AB$495&gt;=3)*('CONTROL MASTER'!$AA$2:$AA$495&lt;=6)*('CONTROL MASTER'!$AC$2:$AC$495&gt;=6))*ROW('CONTROL MASTER'!$S$2:$S$495))-(ROW('CONTROL MASTER'!#REF!)-1))))*(INDEX('CONTROL MASTER'!$AC$2:$AC$495,(SUMPRODUCT((('CONTROL MASTER'!$S$2:$S$495=4)*('CONTROL MASTER'!$Z$2:$Z$495&lt;=3)*('CONTROL MASTER'!$AB$2:$AB$495&gt;=3)*('CONTROL MASTER'!$AA$2:$AA$495&lt;=6)*('CONTROL MASTER'!$AC$2:$AC$495&gt;=6))*ROW('CONTROL MASTER'!$S$2:$S$495))-(ROW('CONTROL MASTER'!#REF!)-1)))-INDEX('CONTROL MASTER'!$AA$2:$AA$495,(SUMPRODUCT((('CONTROL MASTER'!$S$2:$S$495=4)*('CONTROL MASTER'!$Z$2:$Z$495&lt;=3)*('CONTROL MASTER'!$AB$2:$AB$495&gt;=3)*('CONTROL MASTER'!$AA$2:$AA$495&lt;=6)*('CONTROL MASTER'!$AC$2:$AC$495&gt;=6))*ROW('CONTROL MASTER'!$S$2:$S$495))-(ROW('CONTROL MASTER'!#REF!)-1)))+1)+(6-INDEX('CONTROL MASTER'!$AA$2:$AA$495,(SUMPRODUCT((('CONTROL MASTER'!$S$2:$S$495=4)*('CONTROL MASTER'!$Z$2:$Z$495&lt;=3)*('CONTROL MASTER'!$AB$2:$AB$495&gt;=3)*('CONTROL MASTER'!$AA$2:$AA$495&lt;=6)*('CONTROL MASTER'!$AC$2:$AC$495&gt;=6))*ROW('CONTROL MASTER'!$S$2:$S$495))-(ROW('CONTROL MASTER'!#REF!)-1))))+1)))-1)*50+1,50))&amp;"_"&amp;INDEX('CONTROL MASTER'!$P$2:$P$495,(SUMPRODUCT((('CONTROL MASTER'!$S$2:$S$495=4)*('CONTROL MASTER'!$Z$2:$Z$495&lt;=3)*('CONTROL MASTER'!$AB$2:$AB$495&gt;=3)*('CONTROL MASTER'!$AA$2:$AA$495&lt;=6)*('CONTROL MASTER'!$AC$2:$AC$495&gt;=6))*ROW('CONTROL MASTER'!$S$2:$S$495))-(ROW('CONTROL MASTER'!#REF!)-1))),"")),"")</f>
        <v/>
      </c>
      <c r="H47" s="10" t="str">
        <f>IFERROR(IF(SUMPRODUCT((('CONTROL MASTER'!$S$2:$S$495=4)*('CONTROL MASTER'!$T$2:$T$495&lt;=3)*('CONTROL MASTER'!$V$2:$V$495&gt;=3)*('CONTROL MASTER'!$U$2:$U$495&lt;=7)*('CONTROL MASTER'!$W$2:$W$495&gt;=7))*ROW('CONTROL MASTER'!$S$2:$S$495))&gt;0,INDEX('CONTROL MASTER'!$X$2:$X$495,(SUMPRODUCT((('CONTROL MASTER'!$S$2:$S$495=4)*('CONTROL MASTER'!$T$2:$T$495&lt;=3)*('CONTROL MASTER'!$V$2:$V$495&gt;=3)*('CONTROL MASTER'!$U$2:$U$495&lt;=7)*('CONTROL MASTER'!$W$2:$W$495&gt;=7))*ROW('CONTROL MASTER'!$S$2:$S$495))-(ROW('CONTROL MASTER'!#REF!)-1)))&amp;TRIM(MID(SUBSTITUTE(SUBSTITUTE(INDEX('CONTROL MASTER'!$N$2:$N$495,(SUMPRODUCT((('CONTROL MASTER'!$S$2:$S$495=4)*('CONTROL MASTER'!$T$2:$T$495&lt;=3)*('CONTROL MASTER'!$V$2:$V$495&gt;=3)*('CONTROL MASTER'!$U$2:$U$495&lt;=7)*('CONTROL MASTER'!$W$2:$W$495&gt;=7))*ROW('CONTROL MASTER'!$S$2:$S$495))-(ROW('CONTROL MASTER'!#REF!)-1))),":",","),",",REPT(" ",50)),((((3-INDEX('CONTROL MASTER'!$T$2:$T$495,(SUMPRODUCT((('CONTROL MASTER'!$S$2:$S$495=4)*('CONTROL MASTER'!$T$2:$T$495&lt;=3)*('CONTROL MASTER'!$V$2:$V$495&gt;=3)*('CONTROL MASTER'!$U$2:$U$495&lt;=7)*('CONTROL MASTER'!$W$2:$W$495&gt;=7))*ROW('CONTROL MASTER'!$S$2:$S$495))-(ROW('CONTROL MASTER'!#REF!)-1))))*(INDEX('CONTROL MASTER'!$W$2:$W$495,(SUMPRODUCT((('CONTROL MASTER'!$S$2:$S$495=4)*('CONTROL MASTER'!$T$2:$T$495&lt;=3)*('CONTROL MASTER'!$V$2:$V$495&gt;=3)*('CONTROL MASTER'!$U$2:$U$495&lt;=7)*('CONTROL MASTER'!$W$2:$W$495&gt;=7))*ROW('CONTROL MASTER'!$S$2:$S$495))-(ROW('CONTROL MASTER'!#REF!)-1)))-INDEX('CONTROL MASTER'!$U$2:$U$495,(SUMPRODUCT((('CONTROL MASTER'!$S$2:$S$495=4)*('CONTROL MASTER'!$T$2:$T$495&lt;=3)*('CONTROL MASTER'!$V$2:$V$495&gt;=3)*('CONTROL MASTER'!$U$2:$U$495&lt;=7)*('CONTROL MASTER'!$W$2:$W$495&gt;=7))*ROW('CONTROL MASTER'!$S$2:$S$495))-(ROW('CONTROL MASTER'!#REF!)-1)))+1)+(7-INDEX('CONTROL MASTER'!$U$2:$U$495,(SUMPRODUCT((('CONTROL MASTER'!$S$2:$S$495=4)*('CONTROL MASTER'!$T$2:$T$495&lt;=3)*('CONTROL MASTER'!$V$2:$V$495&gt;=3)*('CONTROL MASTER'!$U$2:$U$495&lt;=7)*('CONTROL MASTER'!$W$2:$W$495&gt;=7))*ROW('CONTROL MASTER'!$S$2:$S$495))-(ROW('CONTROL MASTER'!#REF!)-1))))+1))-1)*50+1,50))&amp;"_"&amp;INDEX('CONTROL MASTER'!$P$2:$P$495,(SUMPRODUCT((('CONTROL MASTER'!$S$2:$S$495=4)*('CONTROL MASTER'!$T$2:$T$495&lt;=3)*('CONTROL MASTER'!$V$2:$V$495&gt;=3)*('CONTROL MASTER'!$U$2:$U$495&lt;=7)*('CONTROL MASTER'!$W$2:$W$495&gt;=7))*ROW('CONTROL MASTER'!$S$2:$S$495))-(ROW('CONTROL MASTER'!#REF!)-1))),IF(SUMPRODUCT((('CONTROL MASTER'!$S$2:$S$495=4)*('CONTROL MASTER'!$Z$2:$Z$495&lt;=3)*('CONTROL MASTER'!$AB$2:$AB$495&gt;=3)*('CONTROL MASTER'!$AA$2:$AA$495&lt;=7)*('CONTROL MASTER'!$AC$2:$AC$495&gt;=7))*ROW('CONTROL MASTER'!$S$2:$S$495))&gt;0,INDEX('CONTROL MASTER'!$X$2:$X$495,(SUMPRODUCT((('CONTROL MASTER'!$S$2:$S$495=4)*('CONTROL MASTER'!$Z$2:$Z$495&lt;=3)*('CONTROL MASTER'!$AB$2:$AB$495&gt;=3)*('CONTROL MASTER'!$AA$2:$AA$495&lt;=7)*('CONTROL MASTER'!$AC$2:$AC$495&gt;=7))*ROW('CONTROL MASTER'!$S$2:$S$495))-(ROW('CONTROL MASTER'!#REF!)-1)))&amp;TRIM(MID(SUBSTITUTE(SUBSTITUTE(INDEX('CONTROL MASTER'!$N$2:$N$495,(SUMPRODUCT((('CONTROL MASTER'!$S$2:$S$495=4)*('CONTROL MASTER'!$Z$2:$Z$495&lt;=3)*('CONTROL MASTER'!$AB$2:$AB$495&gt;=3)*('CONTROL MASTER'!$AA$2:$AA$495&lt;=7)*('CONTROL MASTER'!$AC$2:$AC$495&gt;=7))*ROW('CONTROL MASTER'!$S$2:$S$495))-(ROW('CONTROL MASTER'!#REF!)-1))),":",","),",",REPT(" ",50)),(((INDEX('CONTROL MASTER'!$Y$2:$Y$495,(SUMPRODUCT((('CONTROL MASTER'!$S$2:$S$495=4)*('CONTROL MASTER'!$Z$2:$Z$495&lt;=3)*('CONTROL MASTER'!$AB$2:$AB$495&gt;=3)*('CONTROL MASTER'!$AA$2:$AA$495&lt;=7)*('CONTROL MASTER'!$AC$2:$AC$495&gt;=7))*ROW('CONTROL MASTER'!$S$2:$S$495))-(ROW('CONTROL MASTER'!#REF!)-1)))+((3-INDEX('CONTROL MASTER'!$Z$2:$Z$495,(SUMPRODUCT((('CONTROL MASTER'!$S$2:$S$495=4)*('CONTROL MASTER'!$Z$2:$Z$495&lt;=3)*('CONTROL MASTER'!$AB$2:$AB$495&gt;=3)*('CONTROL MASTER'!$AA$2:$AA$495&lt;=7)*('CONTROL MASTER'!$AC$2:$AC$495&gt;=7))*ROW('CONTROL MASTER'!$S$2:$S$495))-(ROW('CONTROL MASTER'!#REF!)-1))))*(INDEX('CONTROL MASTER'!$AC$2:$AC$495,(SUMPRODUCT((('CONTROL MASTER'!$S$2:$S$495=4)*('CONTROL MASTER'!$Z$2:$Z$495&lt;=3)*('CONTROL MASTER'!$AB$2:$AB$495&gt;=3)*('CONTROL MASTER'!$AA$2:$AA$495&lt;=7)*('CONTROL MASTER'!$AC$2:$AC$495&gt;=7))*ROW('CONTROL MASTER'!$S$2:$S$495))-(ROW('CONTROL MASTER'!#REF!)-1)))-INDEX('CONTROL MASTER'!$AA$2:$AA$495,(SUMPRODUCT((('CONTROL MASTER'!$S$2:$S$495=4)*('CONTROL MASTER'!$Z$2:$Z$495&lt;=3)*('CONTROL MASTER'!$AB$2:$AB$495&gt;=3)*('CONTROL MASTER'!$AA$2:$AA$495&lt;=7)*('CONTROL MASTER'!$AC$2:$AC$495&gt;=7))*ROW('CONTROL MASTER'!$S$2:$S$495))-(ROW('CONTROL MASTER'!#REF!)-1)))+1)+(7-INDEX('CONTROL MASTER'!$AA$2:$AA$495,(SUMPRODUCT((('CONTROL MASTER'!$S$2:$S$495=4)*('CONTROL MASTER'!$Z$2:$Z$495&lt;=3)*('CONTROL MASTER'!$AB$2:$AB$495&gt;=3)*('CONTROL MASTER'!$AA$2:$AA$495&lt;=7)*('CONTROL MASTER'!$AC$2:$AC$495&gt;=7))*ROW('CONTROL MASTER'!$S$2:$S$495))-(ROW('CONTROL MASTER'!#REF!)-1))))+1)))-1)*50+1,50))&amp;"_"&amp;INDEX('CONTROL MASTER'!$P$2:$P$495,(SUMPRODUCT((('CONTROL MASTER'!$S$2:$S$495=4)*('CONTROL MASTER'!$Z$2:$Z$495&lt;=3)*('CONTROL MASTER'!$AB$2:$AB$495&gt;=3)*('CONTROL MASTER'!$AA$2:$AA$495&lt;=7)*('CONTROL MASTER'!$AC$2:$AC$495&gt;=7))*ROW('CONTROL MASTER'!$S$2:$S$495))-(ROW('CONTROL MASTER'!#REF!)-1))),"")),"")</f>
        <v/>
      </c>
      <c r="I47" s="10" t="str">
        <f>IFERROR(IF(SUMPRODUCT((('CONTROL MASTER'!$S$2:$S$495=4)*('CONTROL MASTER'!$T$2:$T$495&lt;=3)*('CONTROL MASTER'!$V$2:$V$495&gt;=3)*('CONTROL MASTER'!$U$2:$U$495&lt;=8)*('CONTROL MASTER'!$W$2:$W$495&gt;=8))*ROW('CONTROL MASTER'!$S$2:$S$495))&gt;0,INDEX('CONTROL MASTER'!$X$2:$X$495,(SUMPRODUCT((('CONTROL MASTER'!$S$2:$S$495=4)*('CONTROL MASTER'!$T$2:$T$495&lt;=3)*('CONTROL MASTER'!$V$2:$V$495&gt;=3)*('CONTROL MASTER'!$U$2:$U$495&lt;=8)*('CONTROL MASTER'!$W$2:$W$495&gt;=8))*ROW('CONTROL MASTER'!$S$2:$S$495))-(ROW('CONTROL MASTER'!#REF!)-1)))&amp;TRIM(MID(SUBSTITUTE(SUBSTITUTE(INDEX('CONTROL MASTER'!$N$2:$N$495,(SUMPRODUCT((('CONTROL MASTER'!$S$2:$S$495=4)*('CONTROL MASTER'!$T$2:$T$495&lt;=3)*('CONTROL MASTER'!$V$2:$V$495&gt;=3)*('CONTROL MASTER'!$U$2:$U$495&lt;=8)*('CONTROL MASTER'!$W$2:$W$495&gt;=8))*ROW('CONTROL MASTER'!$S$2:$S$495))-(ROW('CONTROL MASTER'!#REF!)-1))),":",","),",",REPT(" ",50)),((((3-INDEX('CONTROL MASTER'!$T$2:$T$495,(SUMPRODUCT((('CONTROL MASTER'!$S$2:$S$495=4)*('CONTROL MASTER'!$T$2:$T$495&lt;=3)*('CONTROL MASTER'!$V$2:$V$495&gt;=3)*('CONTROL MASTER'!$U$2:$U$495&lt;=8)*('CONTROL MASTER'!$W$2:$W$495&gt;=8))*ROW('CONTROL MASTER'!$S$2:$S$495))-(ROW('CONTROL MASTER'!#REF!)-1))))*(INDEX('CONTROL MASTER'!$W$2:$W$495,(SUMPRODUCT((('CONTROL MASTER'!$S$2:$S$495=4)*('CONTROL MASTER'!$T$2:$T$495&lt;=3)*('CONTROL MASTER'!$V$2:$V$495&gt;=3)*('CONTROL MASTER'!$U$2:$U$495&lt;=8)*('CONTROL MASTER'!$W$2:$W$495&gt;=8))*ROW('CONTROL MASTER'!$S$2:$S$495))-(ROW('CONTROL MASTER'!#REF!)-1)))-INDEX('CONTROL MASTER'!$U$2:$U$495,(SUMPRODUCT((('CONTROL MASTER'!$S$2:$S$495=4)*('CONTROL MASTER'!$T$2:$T$495&lt;=3)*('CONTROL MASTER'!$V$2:$V$495&gt;=3)*('CONTROL MASTER'!$U$2:$U$495&lt;=8)*('CONTROL MASTER'!$W$2:$W$495&gt;=8))*ROW('CONTROL MASTER'!$S$2:$S$495))-(ROW('CONTROL MASTER'!#REF!)-1)))+1)+(8-INDEX('CONTROL MASTER'!$U$2:$U$495,(SUMPRODUCT((('CONTROL MASTER'!$S$2:$S$495=4)*('CONTROL MASTER'!$T$2:$T$495&lt;=3)*('CONTROL MASTER'!$V$2:$V$495&gt;=3)*('CONTROL MASTER'!$U$2:$U$495&lt;=8)*('CONTROL MASTER'!$W$2:$W$495&gt;=8))*ROW('CONTROL MASTER'!$S$2:$S$495))-(ROW('CONTROL MASTER'!#REF!)-1))))+1))-1)*50+1,50))&amp;"_"&amp;INDEX('CONTROL MASTER'!$P$2:$P$495,(SUMPRODUCT((('CONTROL MASTER'!$S$2:$S$495=4)*('CONTROL MASTER'!$T$2:$T$495&lt;=3)*('CONTROL MASTER'!$V$2:$V$495&gt;=3)*('CONTROL MASTER'!$U$2:$U$495&lt;=8)*('CONTROL MASTER'!$W$2:$W$495&gt;=8))*ROW('CONTROL MASTER'!$S$2:$S$495))-(ROW('CONTROL MASTER'!#REF!)-1))),IF(SUMPRODUCT((('CONTROL MASTER'!$S$2:$S$495=4)*('CONTROL MASTER'!$Z$2:$Z$495&lt;=3)*('CONTROL MASTER'!$AB$2:$AB$495&gt;=3)*('CONTROL MASTER'!$AA$2:$AA$495&lt;=8)*('CONTROL MASTER'!$AC$2:$AC$495&gt;=8))*ROW('CONTROL MASTER'!$S$2:$S$495))&gt;0,INDEX('CONTROL MASTER'!$X$2:$X$495,(SUMPRODUCT((('CONTROL MASTER'!$S$2:$S$495=4)*('CONTROL MASTER'!$Z$2:$Z$495&lt;=3)*('CONTROL MASTER'!$AB$2:$AB$495&gt;=3)*('CONTROL MASTER'!$AA$2:$AA$495&lt;=8)*('CONTROL MASTER'!$AC$2:$AC$495&gt;=8))*ROW('CONTROL MASTER'!$S$2:$S$495))-(ROW('CONTROL MASTER'!#REF!)-1)))&amp;TRIM(MID(SUBSTITUTE(SUBSTITUTE(INDEX('CONTROL MASTER'!$N$2:$N$495,(SUMPRODUCT((('CONTROL MASTER'!$S$2:$S$495=4)*('CONTROL MASTER'!$Z$2:$Z$495&lt;=3)*('CONTROL MASTER'!$AB$2:$AB$495&gt;=3)*('CONTROL MASTER'!$AA$2:$AA$495&lt;=8)*('CONTROL MASTER'!$AC$2:$AC$495&gt;=8))*ROW('CONTROL MASTER'!$S$2:$S$495))-(ROW('CONTROL MASTER'!#REF!)-1))),":",","),",",REPT(" ",50)),(((INDEX('CONTROL MASTER'!$Y$2:$Y$495,(SUMPRODUCT((('CONTROL MASTER'!$S$2:$S$495=4)*('CONTROL MASTER'!$Z$2:$Z$495&lt;=3)*('CONTROL MASTER'!$AB$2:$AB$495&gt;=3)*('CONTROL MASTER'!$AA$2:$AA$495&lt;=8)*('CONTROL MASTER'!$AC$2:$AC$495&gt;=8))*ROW('CONTROL MASTER'!$S$2:$S$495))-(ROW('CONTROL MASTER'!#REF!)-1)))+((3-INDEX('CONTROL MASTER'!$Z$2:$Z$495,(SUMPRODUCT((('CONTROL MASTER'!$S$2:$S$495=4)*('CONTROL MASTER'!$Z$2:$Z$495&lt;=3)*('CONTROL MASTER'!$AB$2:$AB$495&gt;=3)*('CONTROL MASTER'!$AA$2:$AA$495&lt;=8)*('CONTROL MASTER'!$AC$2:$AC$495&gt;=8))*ROW('CONTROL MASTER'!$S$2:$S$495))-(ROW('CONTROL MASTER'!#REF!)-1))))*(INDEX('CONTROL MASTER'!$AC$2:$AC$495,(SUMPRODUCT((('CONTROL MASTER'!$S$2:$S$495=4)*('CONTROL MASTER'!$Z$2:$Z$495&lt;=3)*('CONTROL MASTER'!$AB$2:$AB$495&gt;=3)*('CONTROL MASTER'!$AA$2:$AA$495&lt;=8)*('CONTROL MASTER'!$AC$2:$AC$495&gt;=8))*ROW('CONTROL MASTER'!$S$2:$S$495))-(ROW('CONTROL MASTER'!#REF!)-1)))-INDEX('CONTROL MASTER'!$AA$2:$AA$495,(SUMPRODUCT((('CONTROL MASTER'!$S$2:$S$495=4)*('CONTROL MASTER'!$Z$2:$Z$495&lt;=3)*('CONTROL MASTER'!$AB$2:$AB$495&gt;=3)*('CONTROL MASTER'!$AA$2:$AA$495&lt;=8)*('CONTROL MASTER'!$AC$2:$AC$495&gt;=8))*ROW('CONTROL MASTER'!$S$2:$S$495))-(ROW('CONTROL MASTER'!#REF!)-1)))+1)+(8-INDEX('CONTROL MASTER'!$AA$2:$AA$495,(SUMPRODUCT((('CONTROL MASTER'!$S$2:$S$495=4)*('CONTROL MASTER'!$Z$2:$Z$495&lt;=3)*('CONTROL MASTER'!$AB$2:$AB$495&gt;=3)*('CONTROL MASTER'!$AA$2:$AA$495&lt;=8)*('CONTROL MASTER'!$AC$2:$AC$495&gt;=8))*ROW('CONTROL MASTER'!$S$2:$S$495))-(ROW('CONTROL MASTER'!#REF!)-1))))+1)))-1)*50+1,50))&amp;"_"&amp;INDEX('CONTROL MASTER'!$P$2:$P$495,(SUMPRODUCT((('CONTROL MASTER'!$S$2:$S$495=4)*('CONTROL MASTER'!$Z$2:$Z$495&lt;=3)*('CONTROL MASTER'!$AB$2:$AB$495&gt;=3)*('CONTROL MASTER'!$AA$2:$AA$495&lt;=8)*('CONTROL MASTER'!$AC$2:$AC$495&gt;=8))*ROW('CONTROL MASTER'!$S$2:$S$495))-(ROW('CONTROL MASTER'!#REF!)-1))),"")),"")</f>
        <v/>
      </c>
      <c r="J47" s="10" t="str">
        <f>IFERROR(IF(SUMPRODUCT((('CONTROL MASTER'!$S$2:$S$495=4)*('CONTROL MASTER'!$T$2:$T$495&lt;=3)*('CONTROL MASTER'!$V$2:$V$495&gt;=3)*('CONTROL MASTER'!$U$2:$U$495&lt;=9)*('CONTROL MASTER'!$W$2:$W$495&gt;=9))*ROW('CONTROL MASTER'!$S$2:$S$495))&gt;0,INDEX('CONTROL MASTER'!$X$2:$X$495,(SUMPRODUCT((('CONTROL MASTER'!$S$2:$S$495=4)*('CONTROL MASTER'!$T$2:$T$495&lt;=3)*('CONTROL MASTER'!$V$2:$V$495&gt;=3)*('CONTROL MASTER'!$U$2:$U$495&lt;=9)*('CONTROL MASTER'!$W$2:$W$495&gt;=9))*ROW('CONTROL MASTER'!$S$2:$S$495))-(ROW('CONTROL MASTER'!#REF!)-1)))&amp;TRIM(MID(SUBSTITUTE(SUBSTITUTE(INDEX('CONTROL MASTER'!$N$2:$N$495,(SUMPRODUCT((('CONTROL MASTER'!$S$2:$S$495=4)*('CONTROL MASTER'!$T$2:$T$495&lt;=3)*('CONTROL MASTER'!$V$2:$V$495&gt;=3)*('CONTROL MASTER'!$U$2:$U$495&lt;=9)*('CONTROL MASTER'!$W$2:$W$495&gt;=9))*ROW('CONTROL MASTER'!$S$2:$S$495))-(ROW('CONTROL MASTER'!#REF!)-1))),":",","),",",REPT(" ",50)),((((3-INDEX('CONTROL MASTER'!$T$2:$T$495,(SUMPRODUCT((('CONTROL MASTER'!$S$2:$S$495=4)*('CONTROL MASTER'!$T$2:$T$495&lt;=3)*('CONTROL MASTER'!$V$2:$V$495&gt;=3)*('CONTROL MASTER'!$U$2:$U$495&lt;=9)*('CONTROL MASTER'!$W$2:$W$495&gt;=9))*ROW('CONTROL MASTER'!$S$2:$S$495))-(ROW('CONTROL MASTER'!#REF!)-1))))*(INDEX('CONTROL MASTER'!$W$2:$W$495,(SUMPRODUCT((('CONTROL MASTER'!$S$2:$S$495=4)*('CONTROL MASTER'!$T$2:$T$495&lt;=3)*('CONTROL MASTER'!$V$2:$V$495&gt;=3)*('CONTROL MASTER'!$U$2:$U$495&lt;=9)*('CONTROL MASTER'!$W$2:$W$495&gt;=9))*ROW('CONTROL MASTER'!$S$2:$S$495))-(ROW('CONTROL MASTER'!#REF!)-1)))-INDEX('CONTROL MASTER'!$U$2:$U$495,(SUMPRODUCT((('CONTROL MASTER'!$S$2:$S$495=4)*('CONTROL MASTER'!$T$2:$T$495&lt;=3)*('CONTROL MASTER'!$V$2:$V$495&gt;=3)*('CONTROL MASTER'!$U$2:$U$495&lt;=9)*('CONTROL MASTER'!$W$2:$W$495&gt;=9))*ROW('CONTROL MASTER'!$S$2:$S$495))-(ROW('CONTROL MASTER'!#REF!)-1)))+1)+(9-INDEX('CONTROL MASTER'!$U$2:$U$495,(SUMPRODUCT((('CONTROL MASTER'!$S$2:$S$495=4)*('CONTROL MASTER'!$T$2:$T$495&lt;=3)*('CONTROL MASTER'!$V$2:$V$495&gt;=3)*('CONTROL MASTER'!$U$2:$U$495&lt;=9)*('CONTROL MASTER'!$W$2:$W$495&gt;=9))*ROW('CONTROL MASTER'!$S$2:$S$495))-(ROW('CONTROL MASTER'!#REF!)-1))))+1))-1)*50+1,50))&amp;"_"&amp;INDEX('CONTROL MASTER'!$P$2:$P$495,(SUMPRODUCT((('CONTROL MASTER'!$S$2:$S$495=4)*('CONTROL MASTER'!$T$2:$T$495&lt;=3)*('CONTROL MASTER'!$V$2:$V$495&gt;=3)*('CONTROL MASTER'!$U$2:$U$495&lt;=9)*('CONTROL MASTER'!$W$2:$W$495&gt;=9))*ROW('CONTROL MASTER'!$S$2:$S$495))-(ROW('CONTROL MASTER'!#REF!)-1))),IF(SUMPRODUCT((('CONTROL MASTER'!$S$2:$S$495=4)*('CONTROL MASTER'!$Z$2:$Z$495&lt;=3)*('CONTROL MASTER'!$AB$2:$AB$495&gt;=3)*('CONTROL MASTER'!$AA$2:$AA$495&lt;=9)*('CONTROL MASTER'!$AC$2:$AC$495&gt;=9))*ROW('CONTROL MASTER'!$S$2:$S$495))&gt;0,INDEX('CONTROL MASTER'!$X$2:$X$495,(SUMPRODUCT((('CONTROL MASTER'!$S$2:$S$495=4)*('CONTROL MASTER'!$Z$2:$Z$495&lt;=3)*('CONTROL MASTER'!$AB$2:$AB$495&gt;=3)*('CONTROL MASTER'!$AA$2:$AA$495&lt;=9)*('CONTROL MASTER'!$AC$2:$AC$495&gt;=9))*ROW('CONTROL MASTER'!$S$2:$S$495))-(ROW('CONTROL MASTER'!#REF!)-1)))&amp;TRIM(MID(SUBSTITUTE(SUBSTITUTE(INDEX('CONTROL MASTER'!$N$2:$N$495,(SUMPRODUCT((('CONTROL MASTER'!$S$2:$S$495=4)*('CONTROL MASTER'!$Z$2:$Z$495&lt;=3)*('CONTROL MASTER'!$AB$2:$AB$495&gt;=3)*('CONTROL MASTER'!$AA$2:$AA$495&lt;=9)*('CONTROL MASTER'!$AC$2:$AC$495&gt;=9))*ROW('CONTROL MASTER'!$S$2:$S$495))-(ROW('CONTROL MASTER'!#REF!)-1))),":",","),",",REPT(" ",50)),(((INDEX('CONTROL MASTER'!$Y$2:$Y$495,(SUMPRODUCT((('CONTROL MASTER'!$S$2:$S$495=4)*('CONTROL MASTER'!$Z$2:$Z$495&lt;=3)*('CONTROL MASTER'!$AB$2:$AB$495&gt;=3)*('CONTROL MASTER'!$AA$2:$AA$495&lt;=9)*('CONTROL MASTER'!$AC$2:$AC$495&gt;=9))*ROW('CONTROL MASTER'!$S$2:$S$495))-(ROW('CONTROL MASTER'!#REF!)-1)))+((3-INDEX('CONTROL MASTER'!$Z$2:$Z$495,(SUMPRODUCT((('CONTROL MASTER'!$S$2:$S$495=4)*('CONTROL MASTER'!$Z$2:$Z$495&lt;=3)*('CONTROL MASTER'!$AB$2:$AB$495&gt;=3)*('CONTROL MASTER'!$AA$2:$AA$495&lt;=9)*('CONTROL MASTER'!$AC$2:$AC$495&gt;=9))*ROW('CONTROL MASTER'!$S$2:$S$495))-(ROW('CONTROL MASTER'!#REF!)-1))))*(INDEX('CONTROL MASTER'!$AC$2:$AC$495,(SUMPRODUCT((('CONTROL MASTER'!$S$2:$S$495=4)*('CONTROL MASTER'!$Z$2:$Z$495&lt;=3)*('CONTROL MASTER'!$AB$2:$AB$495&gt;=3)*('CONTROL MASTER'!$AA$2:$AA$495&lt;=9)*('CONTROL MASTER'!$AC$2:$AC$495&gt;=9))*ROW('CONTROL MASTER'!$S$2:$S$495))-(ROW('CONTROL MASTER'!#REF!)-1)))-INDEX('CONTROL MASTER'!$AA$2:$AA$495,(SUMPRODUCT((('CONTROL MASTER'!$S$2:$S$495=4)*('CONTROL MASTER'!$Z$2:$Z$495&lt;=3)*('CONTROL MASTER'!$AB$2:$AB$495&gt;=3)*('CONTROL MASTER'!$AA$2:$AA$495&lt;=9)*('CONTROL MASTER'!$AC$2:$AC$495&gt;=9))*ROW('CONTROL MASTER'!$S$2:$S$495))-(ROW('CONTROL MASTER'!#REF!)-1)))+1)+(9-INDEX('CONTROL MASTER'!$AA$2:$AA$495,(SUMPRODUCT((('CONTROL MASTER'!$S$2:$S$495=4)*('CONTROL MASTER'!$Z$2:$Z$495&lt;=3)*('CONTROL MASTER'!$AB$2:$AB$495&gt;=3)*('CONTROL MASTER'!$AA$2:$AA$495&lt;=9)*('CONTROL MASTER'!$AC$2:$AC$495&gt;=9))*ROW('CONTROL MASTER'!$S$2:$S$495))-(ROW('CONTROL MASTER'!#REF!)-1))))+1)))-1)*50+1,50))&amp;"_"&amp;INDEX('CONTROL MASTER'!$P$2:$P$495,(SUMPRODUCT((('CONTROL MASTER'!$S$2:$S$495=4)*('CONTROL MASTER'!$Z$2:$Z$495&lt;=3)*('CONTROL MASTER'!$AB$2:$AB$495&gt;=3)*('CONTROL MASTER'!$AA$2:$AA$495&lt;=9)*('CONTROL MASTER'!$AC$2:$AC$495&gt;=9))*ROW('CONTROL MASTER'!$S$2:$S$495))-(ROW('CONTROL MASTER'!#REF!)-1))),"")),"")</f>
        <v/>
      </c>
      <c r="K47" s="10" t="str">
        <f>IFERROR(IF(SUMPRODUCT((('CONTROL MASTER'!$S$2:$S$495=4)*('CONTROL MASTER'!$T$2:$T$495&lt;=3)*('CONTROL MASTER'!$V$2:$V$495&gt;=3)*('CONTROL MASTER'!$U$2:$U$495&lt;=10)*('CONTROL MASTER'!$W$2:$W$495&gt;=10))*ROW('CONTROL MASTER'!$S$2:$S$495))&gt;0,INDEX('CONTROL MASTER'!$X$2:$X$495,(SUMPRODUCT((('CONTROL MASTER'!$S$2:$S$495=4)*('CONTROL MASTER'!$T$2:$T$495&lt;=3)*('CONTROL MASTER'!$V$2:$V$495&gt;=3)*('CONTROL MASTER'!$U$2:$U$495&lt;=10)*('CONTROL MASTER'!$W$2:$W$495&gt;=10))*ROW('CONTROL MASTER'!$S$2:$S$495))-(ROW('CONTROL MASTER'!#REF!)-1)))&amp;TRIM(MID(SUBSTITUTE(SUBSTITUTE(INDEX('CONTROL MASTER'!$N$2:$N$495,(SUMPRODUCT((('CONTROL MASTER'!$S$2:$S$495=4)*('CONTROL MASTER'!$T$2:$T$495&lt;=3)*('CONTROL MASTER'!$V$2:$V$495&gt;=3)*('CONTROL MASTER'!$U$2:$U$495&lt;=10)*('CONTROL MASTER'!$W$2:$W$495&gt;=10))*ROW('CONTROL MASTER'!$S$2:$S$495))-(ROW('CONTROL MASTER'!#REF!)-1))),":",","),",",REPT(" ",50)),((((3-INDEX('CONTROL MASTER'!$T$2:$T$495,(SUMPRODUCT((('CONTROL MASTER'!$S$2:$S$495=4)*('CONTROL MASTER'!$T$2:$T$495&lt;=3)*('CONTROL MASTER'!$V$2:$V$495&gt;=3)*('CONTROL MASTER'!$U$2:$U$495&lt;=10)*('CONTROL MASTER'!$W$2:$W$495&gt;=10))*ROW('CONTROL MASTER'!$S$2:$S$495))-(ROW('CONTROL MASTER'!#REF!)-1))))*(INDEX('CONTROL MASTER'!$W$2:$W$495,(SUMPRODUCT((('CONTROL MASTER'!$S$2:$S$495=4)*('CONTROL MASTER'!$T$2:$T$495&lt;=3)*('CONTROL MASTER'!$V$2:$V$495&gt;=3)*('CONTROL MASTER'!$U$2:$U$495&lt;=10)*('CONTROL MASTER'!$W$2:$W$495&gt;=10))*ROW('CONTROL MASTER'!$S$2:$S$495))-(ROW('CONTROL MASTER'!#REF!)-1)))-INDEX('CONTROL MASTER'!$U$2:$U$495,(SUMPRODUCT((('CONTROL MASTER'!$S$2:$S$495=4)*('CONTROL MASTER'!$T$2:$T$495&lt;=3)*('CONTROL MASTER'!$V$2:$V$495&gt;=3)*('CONTROL MASTER'!$U$2:$U$495&lt;=10)*('CONTROL MASTER'!$W$2:$W$495&gt;=10))*ROW('CONTROL MASTER'!$S$2:$S$495))-(ROW('CONTROL MASTER'!#REF!)-1)))+1)+(10-INDEX('CONTROL MASTER'!$U$2:$U$495,(SUMPRODUCT((('CONTROL MASTER'!$S$2:$S$495=4)*('CONTROL MASTER'!$T$2:$T$495&lt;=3)*('CONTROL MASTER'!$V$2:$V$495&gt;=3)*('CONTROL MASTER'!$U$2:$U$495&lt;=10)*('CONTROL MASTER'!$W$2:$W$495&gt;=10))*ROW('CONTROL MASTER'!$S$2:$S$495))-(ROW('CONTROL MASTER'!#REF!)-1))))+1))-1)*50+1,50))&amp;"_"&amp;INDEX('CONTROL MASTER'!$P$2:$P$495,(SUMPRODUCT((('CONTROL MASTER'!$S$2:$S$495=4)*('CONTROL MASTER'!$T$2:$T$495&lt;=3)*('CONTROL MASTER'!$V$2:$V$495&gt;=3)*('CONTROL MASTER'!$U$2:$U$495&lt;=10)*('CONTROL MASTER'!$W$2:$W$495&gt;=10))*ROW('CONTROL MASTER'!$S$2:$S$495))-(ROW('CONTROL MASTER'!#REF!)-1))),IF(SUMPRODUCT((('CONTROL MASTER'!$S$2:$S$495=4)*('CONTROL MASTER'!$Z$2:$Z$495&lt;=3)*('CONTROL MASTER'!$AB$2:$AB$495&gt;=3)*('CONTROL MASTER'!$AA$2:$AA$495&lt;=10)*('CONTROL MASTER'!$AC$2:$AC$495&gt;=10))*ROW('CONTROL MASTER'!$S$2:$S$495))&gt;0,INDEX('CONTROL MASTER'!$X$2:$X$495,(SUMPRODUCT((('CONTROL MASTER'!$S$2:$S$495=4)*('CONTROL MASTER'!$Z$2:$Z$495&lt;=3)*('CONTROL MASTER'!$AB$2:$AB$495&gt;=3)*('CONTROL MASTER'!$AA$2:$AA$495&lt;=10)*('CONTROL MASTER'!$AC$2:$AC$495&gt;=10))*ROW('CONTROL MASTER'!$S$2:$S$495))-(ROW('CONTROL MASTER'!#REF!)-1)))&amp;TRIM(MID(SUBSTITUTE(SUBSTITUTE(INDEX('CONTROL MASTER'!$N$2:$N$495,(SUMPRODUCT((('CONTROL MASTER'!$S$2:$S$495=4)*('CONTROL MASTER'!$Z$2:$Z$495&lt;=3)*('CONTROL MASTER'!$AB$2:$AB$495&gt;=3)*('CONTROL MASTER'!$AA$2:$AA$495&lt;=10)*('CONTROL MASTER'!$AC$2:$AC$495&gt;=10))*ROW('CONTROL MASTER'!$S$2:$S$495))-(ROW('CONTROL MASTER'!#REF!)-1))),":",","),",",REPT(" ",50)),(((INDEX('CONTROL MASTER'!$Y$2:$Y$495,(SUMPRODUCT((('CONTROL MASTER'!$S$2:$S$495=4)*('CONTROL MASTER'!$Z$2:$Z$495&lt;=3)*('CONTROL MASTER'!$AB$2:$AB$495&gt;=3)*('CONTROL MASTER'!$AA$2:$AA$495&lt;=10)*('CONTROL MASTER'!$AC$2:$AC$495&gt;=10))*ROW('CONTROL MASTER'!$S$2:$S$495))-(ROW('CONTROL MASTER'!#REF!)-1)))+((3-INDEX('CONTROL MASTER'!$Z$2:$Z$495,(SUMPRODUCT((('CONTROL MASTER'!$S$2:$S$495=4)*('CONTROL MASTER'!$Z$2:$Z$495&lt;=3)*('CONTROL MASTER'!$AB$2:$AB$495&gt;=3)*('CONTROL MASTER'!$AA$2:$AA$495&lt;=10)*('CONTROL MASTER'!$AC$2:$AC$495&gt;=10))*ROW('CONTROL MASTER'!$S$2:$S$495))-(ROW('CONTROL MASTER'!#REF!)-1))))*(INDEX('CONTROL MASTER'!$AC$2:$AC$495,(SUMPRODUCT((('CONTROL MASTER'!$S$2:$S$495=4)*('CONTROL MASTER'!$Z$2:$Z$495&lt;=3)*('CONTROL MASTER'!$AB$2:$AB$495&gt;=3)*('CONTROL MASTER'!$AA$2:$AA$495&lt;=10)*('CONTROL MASTER'!$AC$2:$AC$495&gt;=10))*ROW('CONTROL MASTER'!$S$2:$S$495))-(ROW('CONTROL MASTER'!#REF!)-1)))-INDEX('CONTROL MASTER'!$AA$2:$AA$495,(SUMPRODUCT((('CONTROL MASTER'!$S$2:$S$495=4)*('CONTROL MASTER'!$Z$2:$Z$495&lt;=3)*('CONTROL MASTER'!$AB$2:$AB$495&gt;=3)*('CONTROL MASTER'!$AA$2:$AA$495&lt;=10)*('CONTROL MASTER'!$AC$2:$AC$495&gt;=10))*ROW('CONTROL MASTER'!$S$2:$S$495))-(ROW('CONTROL MASTER'!#REF!)-1)))+1)+(10-INDEX('CONTROL MASTER'!$AA$2:$AA$495,(SUMPRODUCT((('CONTROL MASTER'!$S$2:$S$495=4)*('CONTROL MASTER'!$Z$2:$Z$495&lt;=3)*('CONTROL MASTER'!$AB$2:$AB$495&gt;=3)*('CONTROL MASTER'!$AA$2:$AA$495&lt;=10)*('CONTROL MASTER'!$AC$2:$AC$495&gt;=10))*ROW('CONTROL MASTER'!$S$2:$S$495))-(ROW('CONTROL MASTER'!#REF!)-1))))+1)))-1)*50+1,50))&amp;"_"&amp;INDEX('CONTROL MASTER'!$P$2:$P$495,(SUMPRODUCT((('CONTROL MASTER'!$S$2:$S$495=4)*('CONTROL MASTER'!$Z$2:$Z$495&lt;=3)*('CONTROL MASTER'!$AB$2:$AB$495&gt;=3)*('CONTROL MASTER'!$AA$2:$AA$495&lt;=10)*('CONTROL MASTER'!$AC$2:$AC$495&gt;=10))*ROW('CONTROL MASTER'!$S$2:$S$495))-(ROW('CONTROL MASTER'!#REF!)-1))),"")),"")</f>
        <v/>
      </c>
    </row>
    <row r="48" spans="1:11" ht="15" customHeight="1" x14ac:dyDescent="0.35">
      <c r="A48" s="8" t="s">
        <v>31</v>
      </c>
      <c r="B48" s="10" t="str">
        <f>IFERROR(IF(SUMPRODUCT((('CONTROL MASTER'!$S$2:$S$495=4)*('CONTROL MASTER'!$T$2:$T$495&lt;=4)*('CONTROL MASTER'!$V$2:$V$495&gt;=4)*('CONTROL MASTER'!$U$2:$U$495&lt;=1)*('CONTROL MASTER'!$W$2:$W$495&gt;=1))*ROW('CONTROL MASTER'!$S$2:$S$495))&gt;0,INDEX('CONTROL MASTER'!$X$2:$X$495,(SUMPRODUCT((('CONTROL MASTER'!$S$2:$S$495=4)*('CONTROL MASTER'!$T$2:$T$495&lt;=4)*('CONTROL MASTER'!$V$2:$V$495&gt;=4)*('CONTROL MASTER'!$U$2:$U$495&lt;=1)*('CONTROL MASTER'!$W$2:$W$495&gt;=1))*ROW('CONTROL MASTER'!$S$2:$S$495))-(ROW('CONTROL MASTER'!#REF!)-1)))&amp;TRIM(MID(SUBSTITUTE(SUBSTITUTE(INDEX('CONTROL MASTER'!$N$2:$N$495,(SUMPRODUCT((('CONTROL MASTER'!$S$2:$S$495=4)*('CONTROL MASTER'!$T$2:$T$495&lt;=4)*('CONTROL MASTER'!$V$2:$V$495&gt;=4)*('CONTROL MASTER'!$U$2:$U$495&lt;=1)*('CONTROL MASTER'!$W$2:$W$495&gt;=1))*ROW('CONTROL MASTER'!$S$2:$S$495))-(ROW('CONTROL MASTER'!#REF!)-1))),":",","),",",REPT(" ",50)),((((4-INDEX('CONTROL MASTER'!$T$2:$T$495,(SUMPRODUCT((('CONTROL MASTER'!$S$2:$S$495=4)*('CONTROL MASTER'!$T$2:$T$495&lt;=4)*('CONTROL MASTER'!$V$2:$V$495&gt;=4)*('CONTROL MASTER'!$U$2:$U$495&lt;=1)*('CONTROL MASTER'!$W$2:$W$495&gt;=1))*ROW('CONTROL MASTER'!$S$2:$S$495))-(ROW('CONTROL MASTER'!#REF!)-1))))*(INDEX('CONTROL MASTER'!$W$2:$W$495,(SUMPRODUCT((('CONTROL MASTER'!$S$2:$S$495=4)*('CONTROL MASTER'!$T$2:$T$495&lt;=4)*('CONTROL MASTER'!$V$2:$V$495&gt;=4)*('CONTROL MASTER'!$U$2:$U$495&lt;=1)*('CONTROL MASTER'!$W$2:$W$495&gt;=1))*ROW('CONTROL MASTER'!$S$2:$S$495))-(ROW('CONTROL MASTER'!#REF!)-1)))-INDEX('CONTROL MASTER'!$U$2:$U$495,(SUMPRODUCT((('CONTROL MASTER'!$S$2:$S$495=4)*('CONTROL MASTER'!$T$2:$T$495&lt;=4)*('CONTROL MASTER'!$V$2:$V$495&gt;=4)*('CONTROL MASTER'!$U$2:$U$495&lt;=1)*('CONTROL MASTER'!$W$2:$W$495&gt;=1))*ROW('CONTROL MASTER'!$S$2:$S$495))-(ROW('CONTROL MASTER'!#REF!)-1)))+1)+(1-INDEX('CONTROL MASTER'!$U$2:$U$495,(SUMPRODUCT((('CONTROL MASTER'!$S$2:$S$495=4)*('CONTROL MASTER'!$T$2:$T$495&lt;=4)*('CONTROL MASTER'!$V$2:$V$495&gt;=4)*('CONTROL MASTER'!$U$2:$U$495&lt;=1)*('CONTROL MASTER'!$W$2:$W$495&gt;=1))*ROW('CONTROL MASTER'!$S$2:$S$495))-(ROW('CONTROL MASTER'!#REF!)-1))))+1))-1)*50+1,50))&amp;"_"&amp;INDEX('CONTROL MASTER'!$P$2:$P$495,(SUMPRODUCT((('CONTROL MASTER'!$S$2:$S$495=4)*('CONTROL MASTER'!$T$2:$T$495&lt;=4)*('CONTROL MASTER'!$V$2:$V$495&gt;=4)*('CONTROL MASTER'!$U$2:$U$495&lt;=1)*('CONTROL MASTER'!$W$2:$W$495&gt;=1))*ROW('CONTROL MASTER'!$S$2:$S$495))-(ROW('CONTROL MASTER'!#REF!)-1))),IF(SUMPRODUCT((('CONTROL MASTER'!$S$2:$S$495=4)*('CONTROL MASTER'!$Z$2:$Z$495&lt;=4)*('CONTROL MASTER'!$AB$2:$AB$495&gt;=4)*('CONTROL MASTER'!$AA$2:$AA$495&lt;=1)*('CONTROL MASTER'!$AC$2:$AC$495&gt;=1))*ROW('CONTROL MASTER'!$S$2:$S$495))&gt;0,INDEX('CONTROL MASTER'!$X$2:$X$495,(SUMPRODUCT((('CONTROL MASTER'!$S$2:$S$495=4)*('CONTROL MASTER'!$Z$2:$Z$495&lt;=4)*('CONTROL MASTER'!$AB$2:$AB$495&gt;=4)*('CONTROL MASTER'!$AA$2:$AA$495&lt;=1)*('CONTROL MASTER'!$AC$2:$AC$495&gt;=1))*ROW('CONTROL MASTER'!$S$2:$S$495))-(ROW('CONTROL MASTER'!#REF!)-1)))&amp;TRIM(MID(SUBSTITUTE(SUBSTITUTE(INDEX('CONTROL MASTER'!$N$2:$N$495,(SUMPRODUCT((('CONTROL MASTER'!$S$2:$S$495=4)*('CONTROL MASTER'!$Z$2:$Z$495&lt;=4)*('CONTROL MASTER'!$AB$2:$AB$495&gt;=4)*('CONTROL MASTER'!$AA$2:$AA$495&lt;=1)*('CONTROL MASTER'!$AC$2:$AC$495&gt;=1))*ROW('CONTROL MASTER'!$S$2:$S$495))-(ROW('CONTROL MASTER'!#REF!)-1))),":",","),",",REPT(" ",50)),(((INDEX('CONTROL MASTER'!$Y$2:$Y$495,(SUMPRODUCT((('CONTROL MASTER'!$S$2:$S$495=4)*('CONTROL MASTER'!$Z$2:$Z$495&lt;=4)*('CONTROL MASTER'!$AB$2:$AB$495&gt;=4)*('CONTROL MASTER'!$AA$2:$AA$495&lt;=1)*('CONTROL MASTER'!$AC$2:$AC$495&gt;=1))*ROW('CONTROL MASTER'!$S$2:$S$495))-(ROW('CONTROL MASTER'!#REF!)-1)))+((4-INDEX('CONTROL MASTER'!$Z$2:$Z$495,(SUMPRODUCT((('CONTROL MASTER'!$S$2:$S$495=4)*('CONTROL MASTER'!$Z$2:$Z$495&lt;=4)*('CONTROL MASTER'!$AB$2:$AB$495&gt;=4)*('CONTROL MASTER'!$AA$2:$AA$495&lt;=1)*('CONTROL MASTER'!$AC$2:$AC$495&gt;=1))*ROW('CONTROL MASTER'!$S$2:$S$495))-(ROW('CONTROL MASTER'!#REF!)-1))))*(INDEX('CONTROL MASTER'!$AC$2:$AC$495,(SUMPRODUCT((('CONTROL MASTER'!$S$2:$S$495=4)*('CONTROL MASTER'!$Z$2:$Z$495&lt;=4)*('CONTROL MASTER'!$AB$2:$AB$495&gt;=4)*('CONTROL MASTER'!$AA$2:$AA$495&lt;=1)*('CONTROL MASTER'!$AC$2:$AC$495&gt;=1))*ROW('CONTROL MASTER'!$S$2:$S$495))-(ROW('CONTROL MASTER'!#REF!)-1)))-INDEX('CONTROL MASTER'!$AA$2:$AA$495,(SUMPRODUCT((('CONTROL MASTER'!$S$2:$S$495=4)*('CONTROL MASTER'!$Z$2:$Z$495&lt;=4)*('CONTROL MASTER'!$AB$2:$AB$495&gt;=4)*('CONTROL MASTER'!$AA$2:$AA$495&lt;=1)*('CONTROL MASTER'!$AC$2:$AC$495&gt;=1))*ROW('CONTROL MASTER'!$S$2:$S$495))-(ROW('CONTROL MASTER'!#REF!)-1)))+1)+(1-INDEX('CONTROL MASTER'!$AA$2:$AA$495,(SUMPRODUCT((('CONTROL MASTER'!$S$2:$S$495=4)*('CONTROL MASTER'!$Z$2:$Z$495&lt;=4)*('CONTROL MASTER'!$AB$2:$AB$495&gt;=4)*('CONTROL MASTER'!$AA$2:$AA$495&lt;=1)*('CONTROL MASTER'!$AC$2:$AC$495&gt;=1))*ROW('CONTROL MASTER'!$S$2:$S$495))-(ROW('CONTROL MASTER'!#REF!)-1))))+1)))-1)*50+1,50))&amp;"_"&amp;INDEX('CONTROL MASTER'!$P$2:$P$495,(SUMPRODUCT((('CONTROL MASTER'!$S$2:$S$495=4)*('CONTROL MASTER'!$Z$2:$Z$495&lt;=4)*('CONTROL MASTER'!$AB$2:$AB$495&gt;=4)*('CONTROL MASTER'!$AA$2:$AA$495&lt;=1)*('CONTROL MASTER'!$AC$2:$AC$495&gt;=1))*ROW('CONTROL MASTER'!$S$2:$S$495))-(ROW('CONTROL MASTER'!#REF!)-1))),"")),"")</f>
        <v/>
      </c>
      <c r="C48" s="10" t="str">
        <f>IFERROR(IF(SUMPRODUCT((('CONTROL MASTER'!$S$2:$S$495=4)*('CONTROL MASTER'!$T$2:$T$495&lt;=4)*('CONTROL MASTER'!$V$2:$V$495&gt;=4)*('CONTROL MASTER'!$U$2:$U$495&lt;=2)*('CONTROL MASTER'!$W$2:$W$495&gt;=2))*ROW('CONTROL MASTER'!$S$2:$S$495))&gt;0,INDEX('CONTROL MASTER'!$X$2:$X$495,(SUMPRODUCT((('CONTROL MASTER'!$S$2:$S$495=4)*('CONTROL MASTER'!$T$2:$T$495&lt;=4)*('CONTROL MASTER'!$V$2:$V$495&gt;=4)*('CONTROL MASTER'!$U$2:$U$495&lt;=2)*('CONTROL MASTER'!$W$2:$W$495&gt;=2))*ROW('CONTROL MASTER'!$S$2:$S$495))-(ROW('CONTROL MASTER'!#REF!)-1)))&amp;TRIM(MID(SUBSTITUTE(SUBSTITUTE(INDEX('CONTROL MASTER'!$N$2:$N$495,(SUMPRODUCT((('CONTROL MASTER'!$S$2:$S$495=4)*('CONTROL MASTER'!$T$2:$T$495&lt;=4)*('CONTROL MASTER'!$V$2:$V$495&gt;=4)*('CONTROL MASTER'!$U$2:$U$495&lt;=2)*('CONTROL MASTER'!$W$2:$W$495&gt;=2))*ROW('CONTROL MASTER'!$S$2:$S$495))-(ROW('CONTROL MASTER'!#REF!)-1))),":",","),",",REPT(" ",50)),((((4-INDEX('CONTROL MASTER'!$T$2:$T$495,(SUMPRODUCT((('CONTROL MASTER'!$S$2:$S$495=4)*('CONTROL MASTER'!$T$2:$T$495&lt;=4)*('CONTROL MASTER'!$V$2:$V$495&gt;=4)*('CONTROL MASTER'!$U$2:$U$495&lt;=2)*('CONTROL MASTER'!$W$2:$W$495&gt;=2))*ROW('CONTROL MASTER'!$S$2:$S$495))-(ROW('CONTROL MASTER'!#REF!)-1))))*(INDEX('CONTROL MASTER'!$W$2:$W$495,(SUMPRODUCT((('CONTROL MASTER'!$S$2:$S$495=4)*('CONTROL MASTER'!$T$2:$T$495&lt;=4)*('CONTROL MASTER'!$V$2:$V$495&gt;=4)*('CONTROL MASTER'!$U$2:$U$495&lt;=2)*('CONTROL MASTER'!$W$2:$W$495&gt;=2))*ROW('CONTROL MASTER'!$S$2:$S$495))-(ROW('CONTROL MASTER'!#REF!)-1)))-INDEX('CONTROL MASTER'!$U$2:$U$495,(SUMPRODUCT((('CONTROL MASTER'!$S$2:$S$495=4)*('CONTROL MASTER'!$T$2:$T$495&lt;=4)*('CONTROL MASTER'!$V$2:$V$495&gt;=4)*('CONTROL MASTER'!$U$2:$U$495&lt;=2)*('CONTROL MASTER'!$W$2:$W$495&gt;=2))*ROW('CONTROL MASTER'!$S$2:$S$495))-(ROW('CONTROL MASTER'!#REF!)-1)))+1)+(2-INDEX('CONTROL MASTER'!$U$2:$U$495,(SUMPRODUCT((('CONTROL MASTER'!$S$2:$S$495=4)*('CONTROL MASTER'!$T$2:$T$495&lt;=4)*('CONTROL MASTER'!$V$2:$V$495&gt;=4)*('CONTROL MASTER'!$U$2:$U$495&lt;=2)*('CONTROL MASTER'!$W$2:$W$495&gt;=2))*ROW('CONTROL MASTER'!$S$2:$S$495))-(ROW('CONTROL MASTER'!#REF!)-1))))+1))-1)*50+1,50))&amp;"_"&amp;INDEX('CONTROL MASTER'!$P$2:$P$495,(SUMPRODUCT((('CONTROL MASTER'!$S$2:$S$495=4)*('CONTROL MASTER'!$T$2:$T$495&lt;=4)*('CONTROL MASTER'!$V$2:$V$495&gt;=4)*('CONTROL MASTER'!$U$2:$U$495&lt;=2)*('CONTROL MASTER'!$W$2:$W$495&gt;=2))*ROW('CONTROL MASTER'!$S$2:$S$495))-(ROW('CONTROL MASTER'!#REF!)-1))),IF(SUMPRODUCT((('CONTROL MASTER'!$S$2:$S$495=4)*('CONTROL MASTER'!$Z$2:$Z$495&lt;=4)*('CONTROL MASTER'!$AB$2:$AB$495&gt;=4)*('CONTROL MASTER'!$AA$2:$AA$495&lt;=2)*('CONTROL MASTER'!$AC$2:$AC$495&gt;=2))*ROW('CONTROL MASTER'!$S$2:$S$495))&gt;0,INDEX('CONTROL MASTER'!$X$2:$X$495,(SUMPRODUCT((('CONTROL MASTER'!$S$2:$S$495=4)*('CONTROL MASTER'!$Z$2:$Z$495&lt;=4)*('CONTROL MASTER'!$AB$2:$AB$495&gt;=4)*('CONTROL MASTER'!$AA$2:$AA$495&lt;=2)*('CONTROL MASTER'!$AC$2:$AC$495&gt;=2))*ROW('CONTROL MASTER'!$S$2:$S$495))-(ROW('CONTROL MASTER'!#REF!)-1)))&amp;TRIM(MID(SUBSTITUTE(SUBSTITUTE(INDEX('CONTROL MASTER'!$N$2:$N$495,(SUMPRODUCT((('CONTROL MASTER'!$S$2:$S$495=4)*('CONTROL MASTER'!$Z$2:$Z$495&lt;=4)*('CONTROL MASTER'!$AB$2:$AB$495&gt;=4)*('CONTROL MASTER'!$AA$2:$AA$495&lt;=2)*('CONTROL MASTER'!$AC$2:$AC$495&gt;=2))*ROW('CONTROL MASTER'!$S$2:$S$495))-(ROW('CONTROL MASTER'!#REF!)-1))),":",","),",",REPT(" ",50)),(((INDEX('CONTROL MASTER'!$Y$2:$Y$495,(SUMPRODUCT((('CONTROL MASTER'!$S$2:$S$495=4)*('CONTROL MASTER'!$Z$2:$Z$495&lt;=4)*('CONTROL MASTER'!$AB$2:$AB$495&gt;=4)*('CONTROL MASTER'!$AA$2:$AA$495&lt;=2)*('CONTROL MASTER'!$AC$2:$AC$495&gt;=2))*ROW('CONTROL MASTER'!$S$2:$S$495))-(ROW('CONTROL MASTER'!#REF!)-1)))+((4-INDEX('CONTROL MASTER'!$Z$2:$Z$495,(SUMPRODUCT((('CONTROL MASTER'!$S$2:$S$495=4)*('CONTROL MASTER'!$Z$2:$Z$495&lt;=4)*('CONTROL MASTER'!$AB$2:$AB$495&gt;=4)*('CONTROL MASTER'!$AA$2:$AA$495&lt;=2)*('CONTROL MASTER'!$AC$2:$AC$495&gt;=2))*ROW('CONTROL MASTER'!$S$2:$S$495))-(ROW('CONTROL MASTER'!#REF!)-1))))*(INDEX('CONTROL MASTER'!$AC$2:$AC$495,(SUMPRODUCT((('CONTROL MASTER'!$S$2:$S$495=4)*('CONTROL MASTER'!$Z$2:$Z$495&lt;=4)*('CONTROL MASTER'!$AB$2:$AB$495&gt;=4)*('CONTROL MASTER'!$AA$2:$AA$495&lt;=2)*('CONTROL MASTER'!$AC$2:$AC$495&gt;=2))*ROW('CONTROL MASTER'!$S$2:$S$495))-(ROW('CONTROL MASTER'!#REF!)-1)))-INDEX('CONTROL MASTER'!$AA$2:$AA$495,(SUMPRODUCT((('CONTROL MASTER'!$S$2:$S$495=4)*('CONTROL MASTER'!$Z$2:$Z$495&lt;=4)*('CONTROL MASTER'!$AB$2:$AB$495&gt;=4)*('CONTROL MASTER'!$AA$2:$AA$495&lt;=2)*('CONTROL MASTER'!$AC$2:$AC$495&gt;=2))*ROW('CONTROL MASTER'!$S$2:$S$495))-(ROW('CONTROL MASTER'!#REF!)-1)))+1)+(2-INDEX('CONTROL MASTER'!$AA$2:$AA$495,(SUMPRODUCT((('CONTROL MASTER'!$S$2:$S$495=4)*('CONTROL MASTER'!$Z$2:$Z$495&lt;=4)*('CONTROL MASTER'!$AB$2:$AB$495&gt;=4)*('CONTROL MASTER'!$AA$2:$AA$495&lt;=2)*('CONTROL MASTER'!$AC$2:$AC$495&gt;=2))*ROW('CONTROL MASTER'!$S$2:$S$495))-(ROW('CONTROL MASTER'!#REF!)-1))))+1)))-1)*50+1,50))&amp;"_"&amp;INDEX('CONTROL MASTER'!$P$2:$P$495,(SUMPRODUCT((('CONTROL MASTER'!$S$2:$S$495=4)*('CONTROL MASTER'!$Z$2:$Z$495&lt;=4)*('CONTROL MASTER'!$AB$2:$AB$495&gt;=4)*('CONTROL MASTER'!$AA$2:$AA$495&lt;=2)*('CONTROL MASTER'!$AC$2:$AC$495&gt;=2))*ROW('CONTROL MASTER'!$S$2:$S$495))-(ROW('CONTROL MASTER'!#REF!)-1))),"")),"")</f>
        <v/>
      </c>
      <c r="D48" s="10" t="str">
        <f>IFERROR(IF(SUMPRODUCT((('CONTROL MASTER'!$S$2:$S$495=4)*('CONTROL MASTER'!$T$2:$T$495&lt;=4)*('CONTROL MASTER'!$V$2:$V$495&gt;=4)*('CONTROL MASTER'!$U$2:$U$495&lt;=3)*('CONTROL MASTER'!$W$2:$W$495&gt;=3))*ROW('CONTROL MASTER'!$S$2:$S$495))&gt;0,INDEX('CONTROL MASTER'!$X$2:$X$495,(SUMPRODUCT((('CONTROL MASTER'!$S$2:$S$495=4)*('CONTROL MASTER'!$T$2:$T$495&lt;=4)*('CONTROL MASTER'!$V$2:$V$495&gt;=4)*('CONTROL MASTER'!$U$2:$U$495&lt;=3)*('CONTROL MASTER'!$W$2:$W$495&gt;=3))*ROW('CONTROL MASTER'!$S$2:$S$495))-(ROW('CONTROL MASTER'!#REF!)-1)))&amp;TRIM(MID(SUBSTITUTE(SUBSTITUTE(INDEX('CONTROL MASTER'!$N$2:$N$495,(SUMPRODUCT((('CONTROL MASTER'!$S$2:$S$495=4)*('CONTROL MASTER'!$T$2:$T$495&lt;=4)*('CONTROL MASTER'!$V$2:$V$495&gt;=4)*('CONTROL MASTER'!$U$2:$U$495&lt;=3)*('CONTROL MASTER'!$W$2:$W$495&gt;=3))*ROW('CONTROL MASTER'!$S$2:$S$495))-(ROW('CONTROL MASTER'!#REF!)-1))),":",","),",",REPT(" ",50)),((((4-INDEX('CONTROL MASTER'!$T$2:$T$495,(SUMPRODUCT((('CONTROL MASTER'!$S$2:$S$495=4)*('CONTROL MASTER'!$T$2:$T$495&lt;=4)*('CONTROL MASTER'!$V$2:$V$495&gt;=4)*('CONTROL MASTER'!$U$2:$U$495&lt;=3)*('CONTROL MASTER'!$W$2:$W$495&gt;=3))*ROW('CONTROL MASTER'!$S$2:$S$495))-(ROW('CONTROL MASTER'!#REF!)-1))))*(INDEX('CONTROL MASTER'!$W$2:$W$495,(SUMPRODUCT((('CONTROL MASTER'!$S$2:$S$495=4)*('CONTROL MASTER'!$T$2:$T$495&lt;=4)*('CONTROL MASTER'!$V$2:$V$495&gt;=4)*('CONTROL MASTER'!$U$2:$U$495&lt;=3)*('CONTROL MASTER'!$W$2:$W$495&gt;=3))*ROW('CONTROL MASTER'!$S$2:$S$495))-(ROW('CONTROL MASTER'!#REF!)-1)))-INDEX('CONTROL MASTER'!$U$2:$U$495,(SUMPRODUCT((('CONTROL MASTER'!$S$2:$S$495=4)*('CONTROL MASTER'!$T$2:$T$495&lt;=4)*('CONTROL MASTER'!$V$2:$V$495&gt;=4)*('CONTROL MASTER'!$U$2:$U$495&lt;=3)*('CONTROL MASTER'!$W$2:$W$495&gt;=3))*ROW('CONTROL MASTER'!$S$2:$S$495))-(ROW('CONTROL MASTER'!#REF!)-1)))+1)+(3-INDEX('CONTROL MASTER'!$U$2:$U$495,(SUMPRODUCT((('CONTROL MASTER'!$S$2:$S$495=4)*('CONTROL MASTER'!$T$2:$T$495&lt;=4)*('CONTROL MASTER'!$V$2:$V$495&gt;=4)*('CONTROL MASTER'!$U$2:$U$495&lt;=3)*('CONTROL MASTER'!$W$2:$W$495&gt;=3))*ROW('CONTROL MASTER'!$S$2:$S$495))-(ROW('CONTROL MASTER'!#REF!)-1))))+1))-1)*50+1,50))&amp;"_"&amp;INDEX('CONTROL MASTER'!$P$2:$P$495,(SUMPRODUCT((('CONTROL MASTER'!$S$2:$S$495=4)*('CONTROL MASTER'!$T$2:$T$495&lt;=4)*('CONTROL MASTER'!$V$2:$V$495&gt;=4)*('CONTROL MASTER'!$U$2:$U$495&lt;=3)*('CONTROL MASTER'!$W$2:$W$495&gt;=3))*ROW('CONTROL MASTER'!$S$2:$S$495))-(ROW('CONTROL MASTER'!#REF!)-1))),IF(SUMPRODUCT((('CONTROL MASTER'!$S$2:$S$495=4)*('CONTROL MASTER'!$Z$2:$Z$495&lt;=4)*('CONTROL MASTER'!$AB$2:$AB$495&gt;=4)*('CONTROL MASTER'!$AA$2:$AA$495&lt;=3)*('CONTROL MASTER'!$AC$2:$AC$495&gt;=3))*ROW('CONTROL MASTER'!$S$2:$S$495))&gt;0,INDEX('CONTROL MASTER'!$X$2:$X$495,(SUMPRODUCT((('CONTROL MASTER'!$S$2:$S$495=4)*('CONTROL MASTER'!$Z$2:$Z$495&lt;=4)*('CONTROL MASTER'!$AB$2:$AB$495&gt;=4)*('CONTROL MASTER'!$AA$2:$AA$495&lt;=3)*('CONTROL MASTER'!$AC$2:$AC$495&gt;=3))*ROW('CONTROL MASTER'!$S$2:$S$495))-(ROW('CONTROL MASTER'!#REF!)-1)))&amp;TRIM(MID(SUBSTITUTE(SUBSTITUTE(INDEX('CONTROL MASTER'!$N$2:$N$495,(SUMPRODUCT((('CONTROL MASTER'!$S$2:$S$495=4)*('CONTROL MASTER'!$Z$2:$Z$495&lt;=4)*('CONTROL MASTER'!$AB$2:$AB$495&gt;=4)*('CONTROL MASTER'!$AA$2:$AA$495&lt;=3)*('CONTROL MASTER'!$AC$2:$AC$495&gt;=3))*ROW('CONTROL MASTER'!$S$2:$S$495))-(ROW('CONTROL MASTER'!#REF!)-1))),":",","),",",REPT(" ",50)),(((INDEX('CONTROL MASTER'!$Y$2:$Y$495,(SUMPRODUCT((('CONTROL MASTER'!$S$2:$S$495=4)*('CONTROL MASTER'!$Z$2:$Z$495&lt;=4)*('CONTROL MASTER'!$AB$2:$AB$495&gt;=4)*('CONTROL MASTER'!$AA$2:$AA$495&lt;=3)*('CONTROL MASTER'!$AC$2:$AC$495&gt;=3))*ROW('CONTROL MASTER'!$S$2:$S$495))-(ROW('CONTROL MASTER'!#REF!)-1)))+((4-INDEX('CONTROL MASTER'!$Z$2:$Z$495,(SUMPRODUCT((('CONTROL MASTER'!$S$2:$S$495=4)*('CONTROL MASTER'!$Z$2:$Z$495&lt;=4)*('CONTROL MASTER'!$AB$2:$AB$495&gt;=4)*('CONTROL MASTER'!$AA$2:$AA$495&lt;=3)*('CONTROL MASTER'!$AC$2:$AC$495&gt;=3))*ROW('CONTROL MASTER'!$S$2:$S$495))-(ROW('CONTROL MASTER'!#REF!)-1))))*(INDEX('CONTROL MASTER'!$AC$2:$AC$495,(SUMPRODUCT((('CONTROL MASTER'!$S$2:$S$495=4)*('CONTROL MASTER'!$Z$2:$Z$495&lt;=4)*('CONTROL MASTER'!$AB$2:$AB$495&gt;=4)*('CONTROL MASTER'!$AA$2:$AA$495&lt;=3)*('CONTROL MASTER'!$AC$2:$AC$495&gt;=3))*ROW('CONTROL MASTER'!$S$2:$S$495))-(ROW('CONTROL MASTER'!#REF!)-1)))-INDEX('CONTROL MASTER'!$AA$2:$AA$495,(SUMPRODUCT((('CONTROL MASTER'!$S$2:$S$495=4)*('CONTROL MASTER'!$Z$2:$Z$495&lt;=4)*('CONTROL MASTER'!$AB$2:$AB$495&gt;=4)*('CONTROL MASTER'!$AA$2:$AA$495&lt;=3)*('CONTROL MASTER'!$AC$2:$AC$495&gt;=3))*ROW('CONTROL MASTER'!$S$2:$S$495))-(ROW('CONTROL MASTER'!#REF!)-1)))+1)+(3-INDEX('CONTROL MASTER'!$AA$2:$AA$495,(SUMPRODUCT((('CONTROL MASTER'!$S$2:$S$495=4)*('CONTROL MASTER'!$Z$2:$Z$495&lt;=4)*('CONTROL MASTER'!$AB$2:$AB$495&gt;=4)*('CONTROL MASTER'!$AA$2:$AA$495&lt;=3)*('CONTROL MASTER'!$AC$2:$AC$495&gt;=3))*ROW('CONTROL MASTER'!$S$2:$S$495))-(ROW('CONTROL MASTER'!#REF!)-1))))+1)))-1)*50+1,50))&amp;"_"&amp;INDEX('CONTROL MASTER'!$P$2:$P$495,(SUMPRODUCT((('CONTROL MASTER'!$S$2:$S$495=4)*('CONTROL MASTER'!$Z$2:$Z$495&lt;=4)*('CONTROL MASTER'!$AB$2:$AB$495&gt;=4)*('CONTROL MASTER'!$AA$2:$AA$495&lt;=3)*('CONTROL MASTER'!$AC$2:$AC$495&gt;=3))*ROW('CONTROL MASTER'!$S$2:$S$495))-(ROW('CONTROL MASTER'!#REF!)-1))),"")),"")</f>
        <v/>
      </c>
      <c r="E48" s="10" t="str">
        <f>IFERROR(IF(SUMPRODUCT((('CONTROL MASTER'!$S$2:$S$495=4)*('CONTROL MASTER'!$T$2:$T$495&lt;=4)*('CONTROL MASTER'!$V$2:$V$495&gt;=4)*('CONTROL MASTER'!$U$2:$U$495&lt;=4)*('CONTROL MASTER'!$W$2:$W$495&gt;=4))*ROW('CONTROL MASTER'!$S$2:$S$495))&gt;0,INDEX('CONTROL MASTER'!$X$2:$X$495,(SUMPRODUCT((('CONTROL MASTER'!$S$2:$S$495=4)*('CONTROL MASTER'!$T$2:$T$495&lt;=4)*('CONTROL MASTER'!$V$2:$V$495&gt;=4)*('CONTROL MASTER'!$U$2:$U$495&lt;=4)*('CONTROL MASTER'!$W$2:$W$495&gt;=4))*ROW('CONTROL MASTER'!$S$2:$S$495))-(ROW('CONTROL MASTER'!#REF!)-1)))&amp;TRIM(MID(SUBSTITUTE(SUBSTITUTE(INDEX('CONTROL MASTER'!$N$2:$N$495,(SUMPRODUCT((('CONTROL MASTER'!$S$2:$S$495=4)*('CONTROL MASTER'!$T$2:$T$495&lt;=4)*('CONTROL MASTER'!$V$2:$V$495&gt;=4)*('CONTROL MASTER'!$U$2:$U$495&lt;=4)*('CONTROL MASTER'!$W$2:$W$495&gt;=4))*ROW('CONTROL MASTER'!$S$2:$S$495))-(ROW('CONTROL MASTER'!#REF!)-1))),":",","),",",REPT(" ",50)),((((4-INDEX('CONTROL MASTER'!$T$2:$T$495,(SUMPRODUCT((('CONTROL MASTER'!$S$2:$S$495=4)*('CONTROL MASTER'!$T$2:$T$495&lt;=4)*('CONTROL MASTER'!$V$2:$V$495&gt;=4)*('CONTROL MASTER'!$U$2:$U$495&lt;=4)*('CONTROL MASTER'!$W$2:$W$495&gt;=4))*ROW('CONTROL MASTER'!$S$2:$S$495))-(ROW('CONTROL MASTER'!#REF!)-1))))*(INDEX('CONTROL MASTER'!$W$2:$W$495,(SUMPRODUCT((('CONTROL MASTER'!$S$2:$S$495=4)*('CONTROL MASTER'!$T$2:$T$495&lt;=4)*('CONTROL MASTER'!$V$2:$V$495&gt;=4)*('CONTROL MASTER'!$U$2:$U$495&lt;=4)*('CONTROL MASTER'!$W$2:$W$495&gt;=4))*ROW('CONTROL MASTER'!$S$2:$S$495))-(ROW('CONTROL MASTER'!#REF!)-1)))-INDEX('CONTROL MASTER'!$U$2:$U$495,(SUMPRODUCT((('CONTROL MASTER'!$S$2:$S$495=4)*('CONTROL MASTER'!$T$2:$T$495&lt;=4)*('CONTROL MASTER'!$V$2:$V$495&gt;=4)*('CONTROL MASTER'!$U$2:$U$495&lt;=4)*('CONTROL MASTER'!$W$2:$W$495&gt;=4))*ROW('CONTROL MASTER'!$S$2:$S$495))-(ROW('CONTROL MASTER'!#REF!)-1)))+1)+(4-INDEX('CONTROL MASTER'!$U$2:$U$495,(SUMPRODUCT((('CONTROL MASTER'!$S$2:$S$495=4)*('CONTROL MASTER'!$T$2:$T$495&lt;=4)*('CONTROL MASTER'!$V$2:$V$495&gt;=4)*('CONTROL MASTER'!$U$2:$U$495&lt;=4)*('CONTROL MASTER'!$W$2:$W$495&gt;=4))*ROW('CONTROL MASTER'!$S$2:$S$495))-(ROW('CONTROL MASTER'!#REF!)-1))))+1))-1)*50+1,50))&amp;"_"&amp;INDEX('CONTROL MASTER'!$P$2:$P$495,(SUMPRODUCT((('CONTROL MASTER'!$S$2:$S$495=4)*('CONTROL MASTER'!$T$2:$T$495&lt;=4)*('CONTROL MASTER'!$V$2:$V$495&gt;=4)*('CONTROL MASTER'!$U$2:$U$495&lt;=4)*('CONTROL MASTER'!$W$2:$W$495&gt;=4))*ROW('CONTROL MASTER'!$S$2:$S$495))-(ROW('CONTROL MASTER'!#REF!)-1))),IF(SUMPRODUCT((('CONTROL MASTER'!$S$2:$S$495=4)*('CONTROL MASTER'!$Z$2:$Z$495&lt;=4)*('CONTROL MASTER'!$AB$2:$AB$495&gt;=4)*('CONTROL MASTER'!$AA$2:$AA$495&lt;=4)*('CONTROL MASTER'!$AC$2:$AC$495&gt;=4))*ROW('CONTROL MASTER'!$S$2:$S$495))&gt;0,INDEX('CONTROL MASTER'!$X$2:$X$495,(SUMPRODUCT((('CONTROL MASTER'!$S$2:$S$495=4)*('CONTROL MASTER'!$Z$2:$Z$495&lt;=4)*('CONTROL MASTER'!$AB$2:$AB$495&gt;=4)*('CONTROL MASTER'!$AA$2:$AA$495&lt;=4)*('CONTROL MASTER'!$AC$2:$AC$495&gt;=4))*ROW('CONTROL MASTER'!$S$2:$S$495))-(ROW('CONTROL MASTER'!#REF!)-1)))&amp;TRIM(MID(SUBSTITUTE(SUBSTITUTE(INDEX('CONTROL MASTER'!$N$2:$N$495,(SUMPRODUCT((('CONTROL MASTER'!$S$2:$S$495=4)*('CONTROL MASTER'!$Z$2:$Z$495&lt;=4)*('CONTROL MASTER'!$AB$2:$AB$495&gt;=4)*('CONTROL MASTER'!$AA$2:$AA$495&lt;=4)*('CONTROL MASTER'!$AC$2:$AC$495&gt;=4))*ROW('CONTROL MASTER'!$S$2:$S$495))-(ROW('CONTROL MASTER'!#REF!)-1))),":",","),",",REPT(" ",50)),(((INDEX('CONTROL MASTER'!$Y$2:$Y$495,(SUMPRODUCT((('CONTROL MASTER'!$S$2:$S$495=4)*('CONTROL MASTER'!$Z$2:$Z$495&lt;=4)*('CONTROL MASTER'!$AB$2:$AB$495&gt;=4)*('CONTROL MASTER'!$AA$2:$AA$495&lt;=4)*('CONTROL MASTER'!$AC$2:$AC$495&gt;=4))*ROW('CONTROL MASTER'!$S$2:$S$495))-(ROW('CONTROL MASTER'!#REF!)-1)))+((4-INDEX('CONTROL MASTER'!$Z$2:$Z$495,(SUMPRODUCT((('CONTROL MASTER'!$S$2:$S$495=4)*('CONTROL MASTER'!$Z$2:$Z$495&lt;=4)*('CONTROL MASTER'!$AB$2:$AB$495&gt;=4)*('CONTROL MASTER'!$AA$2:$AA$495&lt;=4)*('CONTROL MASTER'!$AC$2:$AC$495&gt;=4))*ROW('CONTROL MASTER'!$S$2:$S$495))-(ROW('CONTROL MASTER'!#REF!)-1))))*(INDEX('CONTROL MASTER'!$AC$2:$AC$495,(SUMPRODUCT((('CONTROL MASTER'!$S$2:$S$495=4)*('CONTROL MASTER'!$Z$2:$Z$495&lt;=4)*('CONTROL MASTER'!$AB$2:$AB$495&gt;=4)*('CONTROL MASTER'!$AA$2:$AA$495&lt;=4)*('CONTROL MASTER'!$AC$2:$AC$495&gt;=4))*ROW('CONTROL MASTER'!$S$2:$S$495))-(ROW('CONTROL MASTER'!#REF!)-1)))-INDEX('CONTROL MASTER'!$AA$2:$AA$495,(SUMPRODUCT((('CONTROL MASTER'!$S$2:$S$495=4)*('CONTROL MASTER'!$Z$2:$Z$495&lt;=4)*('CONTROL MASTER'!$AB$2:$AB$495&gt;=4)*('CONTROL MASTER'!$AA$2:$AA$495&lt;=4)*('CONTROL MASTER'!$AC$2:$AC$495&gt;=4))*ROW('CONTROL MASTER'!$S$2:$S$495))-(ROW('CONTROL MASTER'!#REF!)-1)))+1)+(4-INDEX('CONTROL MASTER'!$AA$2:$AA$495,(SUMPRODUCT((('CONTROL MASTER'!$S$2:$S$495=4)*('CONTROL MASTER'!$Z$2:$Z$495&lt;=4)*('CONTROL MASTER'!$AB$2:$AB$495&gt;=4)*('CONTROL MASTER'!$AA$2:$AA$495&lt;=4)*('CONTROL MASTER'!$AC$2:$AC$495&gt;=4))*ROW('CONTROL MASTER'!$S$2:$S$495))-(ROW('CONTROL MASTER'!#REF!)-1))))+1)))-1)*50+1,50))&amp;"_"&amp;INDEX('CONTROL MASTER'!$P$2:$P$495,(SUMPRODUCT((('CONTROL MASTER'!$S$2:$S$495=4)*('CONTROL MASTER'!$Z$2:$Z$495&lt;=4)*('CONTROL MASTER'!$AB$2:$AB$495&gt;=4)*('CONTROL MASTER'!$AA$2:$AA$495&lt;=4)*('CONTROL MASTER'!$AC$2:$AC$495&gt;=4))*ROW('CONTROL MASTER'!$S$2:$S$495))-(ROW('CONTROL MASTER'!#REF!)-1))),"")),"")</f>
        <v/>
      </c>
      <c r="F48" s="10" t="str">
        <f>IFERROR(IF(SUMPRODUCT((('CONTROL MASTER'!$S$2:$S$495=4)*('CONTROL MASTER'!$T$2:$T$495&lt;=4)*('CONTROL MASTER'!$V$2:$V$495&gt;=4)*('CONTROL MASTER'!$U$2:$U$495&lt;=5)*('CONTROL MASTER'!$W$2:$W$495&gt;=5))*ROW('CONTROL MASTER'!$S$2:$S$495))&gt;0,INDEX('CONTROL MASTER'!$X$2:$X$495,(SUMPRODUCT((('CONTROL MASTER'!$S$2:$S$495=4)*('CONTROL MASTER'!$T$2:$T$495&lt;=4)*('CONTROL MASTER'!$V$2:$V$495&gt;=4)*('CONTROL MASTER'!$U$2:$U$495&lt;=5)*('CONTROL MASTER'!$W$2:$W$495&gt;=5))*ROW('CONTROL MASTER'!$S$2:$S$495))-(ROW('CONTROL MASTER'!#REF!)-1)))&amp;TRIM(MID(SUBSTITUTE(SUBSTITUTE(INDEX('CONTROL MASTER'!$N$2:$N$495,(SUMPRODUCT((('CONTROL MASTER'!$S$2:$S$495=4)*('CONTROL MASTER'!$T$2:$T$495&lt;=4)*('CONTROL MASTER'!$V$2:$V$495&gt;=4)*('CONTROL MASTER'!$U$2:$U$495&lt;=5)*('CONTROL MASTER'!$W$2:$W$495&gt;=5))*ROW('CONTROL MASTER'!$S$2:$S$495))-(ROW('CONTROL MASTER'!#REF!)-1))),":",","),",",REPT(" ",50)),((((4-INDEX('CONTROL MASTER'!$T$2:$T$495,(SUMPRODUCT((('CONTROL MASTER'!$S$2:$S$495=4)*('CONTROL MASTER'!$T$2:$T$495&lt;=4)*('CONTROL MASTER'!$V$2:$V$495&gt;=4)*('CONTROL MASTER'!$U$2:$U$495&lt;=5)*('CONTROL MASTER'!$W$2:$W$495&gt;=5))*ROW('CONTROL MASTER'!$S$2:$S$495))-(ROW('CONTROL MASTER'!#REF!)-1))))*(INDEX('CONTROL MASTER'!$W$2:$W$495,(SUMPRODUCT((('CONTROL MASTER'!$S$2:$S$495=4)*('CONTROL MASTER'!$T$2:$T$495&lt;=4)*('CONTROL MASTER'!$V$2:$V$495&gt;=4)*('CONTROL MASTER'!$U$2:$U$495&lt;=5)*('CONTROL MASTER'!$W$2:$W$495&gt;=5))*ROW('CONTROL MASTER'!$S$2:$S$495))-(ROW('CONTROL MASTER'!#REF!)-1)))-INDEX('CONTROL MASTER'!$U$2:$U$495,(SUMPRODUCT((('CONTROL MASTER'!$S$2:$S$495=4)*('CONTROL MASTER'!$T$2:$T$495&lt;=4)*('CONTROL MASTER'!$V$2:$V$495&gt;=4)*('CONTROL MASTER'!$U$2:$U$495&lt;=5)*('CONTROL MASTER'!$W$2:$W$495&gt;=5))*ROW('CONTROL MASTER'!$S$2:$S$495))-(ROW('CONTROL MASTER'!#REF!)-1)))+1)+(5-INDEX('CONTROL MASTER'!$U$2:$U$495,(SUMPRODUCT((('CONTROL MASTER'!$S$2:$S$495=4)*('CONTROL MASTER'!$T$2:$T$495&lt;=4)*('CONTROL MASTER'!$V$2:$V$495&gt;=4)*('CONTROL MASTER'!$U$2:$U$495&lt;=5)*('CONTROL MASTER'!$W$2:$W$495&gt;=5))*ROW('CONTROL MASTER'!$S$2:$S$495))-(ROW('CONTROL MASTER'!#REF!)-1))))+1))-1)*50+1,50))&amp;"_"&amp;INDEX('CONTROL MASTER'!$P$2:$P$495,(SUMPRODUCT((('CONTROL MASTER'!$S$2:$S$495=4)*('CONTROL MASTER'!$T$2:$T$495&lt;=4)*('CONTROL MASTER'!$V$2:$V$495&gt;=4)*('CONTROL MASTER'!$U$2:$U$495&lt;=5)*('CONTROL MASTER'!$W$2:$W$495&gt;=5))*ROW('CONTROL MASTER'!$S$2:$S$495))-(ROW('CONTROL MASTER'!#REF!)-1))),IF(SUMPRODUCT((('CONTROL MASTER'!$S$2:$S$495=4)*('CONTROL MASTER'!$Z$2:$Z$495&lt;=4)*('CONTROL MASTER'!$AB$2:$AB$495&gt;=4)*('CONTROL MASTER'!$AA$2:$AA$495&lt;=5)*('CONTROL MASTER'!$AC$2:$AC$495&gt;=5))*ROW('CONTROL MASTER'!$S$2:$S$495))&gt;0,INDEX('CONTROL MASTER'!$X$2:$X$495,(SUMPRODUCT((('CONTROL MASTER'!$S$2:$S$495=4)*('CONTROL MASTER'!$Z$2:$Z$495&lt;=4)*('CONTROL MASTER'!$AB$2:$AB$495&gt;=4)*('CONTROL MASTER'!$AA$2:$AA$495&lt;=5)*('CONTROL MASTER'!$AC$2:$AC$495&gt;=5))*ROW('CONTROL MASTER'!$S$2:$S$495))-(ROW('CONTROL MASTER'!#REF!)-1)))&amp;TRIM(MID(SUBSTITUTE(SUBSTITUTE(INDEX('CONTROL MASTER'!$N$2:$N$495,(SUMPRODUCT((('CONTROL MASTER'!$S$2:$S$495=4)*('CONTROL MASTER'!$Z$2:$Z$495&lt;=4)*('CONTROL MASTER'!$AB$2:$AB$495&gt;=4)*('CONTROL MASTER'!$AA$2:$AA$495&lt;=5)*('CONTROL MASTER'!$AC$2:$AC$495&gt;=5))*ROW('CONTROL MASTER'!$S$2:$S$495))-(ROW('CONTROL MASTER'!#REF!)-1))),":",","),",",REPT(" ",50)),(((INDEX('CONTROL MASTER'!$Y$2:$Y$495,(SUMPRODUCT((('CONTROL MASTER'!$S$2:$S$495=4)*('CONTROL MASTER'!$Z$2:$Z$495&lt;=4)*('CONTROL MASTER'!$AB$2:$AB$495&gt;=4)*('CONTROL MASTER'!$AA$2:$AA$495&lt;=5)*('CONTROL MASTER'!$AC$2:$AC$495&gt;=5))*ROW('CONTROL MASTER'!$S$2:$S$495))-(ROW('CONTROL MASTER'!#REF!)-1)))+((4-INDEX('CONTROL MASTER'!$Z$2:$Z$495,(SUMPRODUCT((('CONTROL MASTER'!$S$2:$S$495=4)*('CONTROL MASTER'!$Z$2:$Z$495&lt;=4)*('CONTROL MASTER'!$AB$2:$AB$495&gt;=4)*('CONTROL MASTER'!$AA$2:$AA$495&lt;=5)*('CONTROL MASTER'!$AC$2:$AC$495&gt;=5))*ROW('CONTROL MASTER'!$S$2:$S$495))-(ROW('CONTROL MASTER'!#REF!)-1))))*(INDEX('CONTROL MASTER'!$AC$2:$AC$495,(SUMPRODUCT((('CONTROL MASTER'!$S$2:$S$495=4)*('CONTROL MASTER'!$Z$2:$Z$495&lt;=4)*('CONTROL MASTER'!$AB$2:$AB$495&gt;=4)*('CONTROL MASTER'!$AA$2:$AA$495&lt;=5)*('CONTROL MASTER'!$AC$2:$AC$495&gt;=5))*ROW('CONTROL MASTER'!$S$2:$S$495))-(ROW('CONTROL MASTER'!#REF!)-1)))-INDEX('CONTROL MASTER'!$AA$2:$AA$495,(SUMPRODUCT((('CONTROL MASTER'!$S$2:$S$495=4)*('CONTROL MASTER'!$Z$2:$Z$495&lt;=4)*('CONTROL MASTER'!$AB$2:$AB$495&gt;=4)*('CONTROL MASTER'!$AA$2:$AA$495&lt;=5)*('CONTROL MASTER'!$AC$2:$AC$495&gt;=5))*ROW('CONTROL MASTER'!$S$2:$S$495))-(ROW('CONTROL MASTER'!#REF!)-1)))+1)+(5-INDEX('CONTROL MASTER'!$AA$2:$AA$495,(SUMPRODUCT((('CONTROL MASTER'!$S$2:$S$495=4)*('CONTROL MASTER'!$Z$2:$Z$495&lt;=4)*('CONTROL MASTER'!$AB$2:$AB$495&gt;=4)*('CONTROL MASTER'!$AA$2:$AA$495&lt;=5)*('CONTROL MASTER'!$AC$2:$AC$495&gt;=5))*ROW('CONTROL MASTER'!$S$2:$S$495))-(ROW('CONTROL MASTER'!#REF!)-1))))+1)))-1)*50+1,50))&amp;"_"&amp;INDEX('CONTROL MASTER'!$P$2:$P$495,(SUMPRODUCT((('CONTROL MASTER'!$S$2:$S$495=4)*('CONTROL MASTER'!$Z$2:$Z$495&lt;=4)*('CONTROL MASTER'!$AB$2:$AB$495&gt;=4)*('CONTROL MASTER'!$AA$2:$AA$495&lt;=5)*('CONTROL MASTER'!$AC$2:$AC$495&gt;=5))*ROW('CONTROL MASTER'!$S$2:$S$495))-(ROW('CONTROL MASTER'!#REF!)-1))),"")),"")</f>
        <v/>
      </c>
      <c r="G48" s="10" t="str">
        <f>IFERROR(IF(SUMPRODUCT((('CONTROL MASTER'!$S$2:$S$495=4)*('CONTROL MASTER'!$T$2:$T$495&lt;=4)*('CONTROL MASTER'!$V$2:$V$495&gt;=4)*('CONTROL MASTER'!$U$2:$U$495&lt;=6)*('CONTROL MASTER'!$W$2:$W$495&gt;=6))*ROW('CONTROL MASTER'!$S$2:$S$495))&gt;0,INDEX('CONTROL MASTER'!$X$2:$X$495,(SUMPRODUCT((('CONTROL MASTER'!$S$2:$S$495=4)*('CONTROL MASTER'!$T$2:$T$495&lt;=4)*('CONTROL MASTER'!$V$2:$V$495&gt;=4)*('CONTROL MASTER'!$U$2:$U$495&lt;=6)*('CONTROL MASTER'!$W$2:$W$495&gt;=6))*ROW('CONTROL MASTER'!$S$2:$S$495))-(ROW('CONTROL MASTER'!#REF!)-1)))&amp;TRIM(MID(SUBSTITUTE(SUBSTITUTE(INDEX('CONTROL MASTER'!$N$2:$N$495,(SUMPRODUCT((('CONTROL MASTER'!$S$2:$S$495=4)*('CONTROL MASTER'!$T$2:$T$495&lt;=4)*('CONTROL MASTER'!$V$2:$V$495&gt;=4)*('CONTROL MASTER'!$U$2:$U$495&lt;=6)*('CONTROL MASTER'!$W$2:$W$495&gt;=6))*ROW('CONTROL MASTER'!$S$2:$S$495))-(ROW('CONTROL MASTER'!#REF!)-1))),":",","),",",REPT(" ",50)),((((4-INDEX('CONTROL MASTER'!$T$2:$T$495,(SUMPRODUCT((('CONTROL MASTER'!$S$2:$S$495=4)*('CONTROL MASTER'!$T$2:$T$495&lt;=4)*('CONTROL MASTER'!$V$2:$V$495&gt;=4)*('CONTROL MASTER'!$U$2:$U$495&lt;=6)*('CONTROL MASTER'!$W$2:$W$495&gt;=6))*ROW('CONTROL MASTER'!$S$2:$S$495))-(ROW('CONTROL MASTER'!#REF!)-1))))*(INDEX('CONTROL MASTER'!$W$2:$W$495,(SUMPRODUCT((('CONTROL MASTER'!$S$2:$S$495=4)*('CONTROL MASTER'!$T$2:$T$495&lt;=4)*('CONTROL MASTER'!$V$2:$V$495&gt;=4)*('CONTROL MASTER'!$U$2:$U$495&lt;=6)*('CONTROL MASTER'!$W$2:$W$495&gt;=6))*ROW('CONTROL MASTER'!$S$2:$S$495))-(ROW('CONTROL MASTER'!#REF!)-1)))-INDEX('CONTROL MASTER'!$U$2:$U$495,(SUMPRODUCT((('CONTROL MASTER'!$S$2:$S$495=4)*('CONTROL MASTER'!$T$2:$T$495&lt;=4)*('CONTROL MASTER'!$V$2:$V$495&gt;=4)*('CONTROL MASTER'!$U$2:$U$495&lt;=6)*('CONTROL MASTER'!$W$2:$W$495&gt;=6))*ROW('CONTROL MASTER'!$S$2:$S$495))-(ROW('CONTROL MASTER'!#REF!)-1)))+1)+(6-INDEX('CONTROL MASTER'!$U$2:$U$495,(SUMPRODUCT((('CONTROL MASTER'!$S$2:$S$495=4)*('CONTROL MASTER'!$T$2:$T$495&lt;=4)*('CONTROL MASTER'!$V$2:$V$495&gt;=4)*('CONTROL MASTER'!$U$2:$U$495&lt;=6)*('CONTROL MASTER'!$W$2:$W$495&gt;=6))*ROW('CONTROL MASTER'!$S$2:$S$495))-(ROW('CONTROL MASTER'!#REF!)-1))))+1))-1)*50+1,50))&amp;"_"&amp;INDEX('CONTROL MASTER'!$P$2:$P$495,(SUMPRODUCT((('CONTROL MASTER'!$S$2:$S$495=4)*('CONTROL MASTER'!$T$2:$T$495&lt;=4)*('CONTROL MASTER'!$V$2:$V$495&gt;=4)*('CONTROL MASTER'!$U$2:$U$495&lt;=6)*('CONTROL MASTER'!$W$2:$W$495&gt;=6))*ROW('CONTROL MASTER'!$S$2:$S$495))-(ROW('CONTROL MASTER'!#REF!)-1))),IF(SUMPRODUCT((('CONTROL MASTER'!$S$2:$S$495=4)*('CONTROL MASTER'!$Z$2:$Z$495&lt;=4)*('CONTROL MASTER'!$AB$2:$AB$495&gt;=4)*('CONTROL MASTER'!$AA$2:$AA$495&lt;=6)*('CONTROL MASTER'!$AC$2:$AC$495&gt;=6))*ROW('CONTROL MASTER'!$S$2:$S$495))&gt;0,INDEX('CONTROL MASTER'!$X$2:$X$495,(SUMPRODUCT((('CONTROL MASTER'!$S$2:$S$495=4)*('CONTROL MASTER'!$Z$2:$Z$495&lt;=4)*('CONTROL MASTER'!$AB$2:$AB$495&gt;=4)*('CONTROL MASTER'!$AA$2:$AA$495&lt;=6)*('CONTROL MASTER'!$AC$2:$AC$495&gt;=6))*ROW('CONTROL MASTER'!$S$2:$S$495))-(ROW('CONTROL MASTER'!#REF!)-1)))&amp;TRIM(MID(SUBSTITUTE(SUBSTITUTE(INDEX('CONTROL MASTER'!$N$2:$N$495,(SUMPRODUCT((('CONTROL MASTER'!$S$2:$S$495=4)*('CONTROL MASTER'!$Z$2:$Z$495&lt;=4)*('CONTROL MASTER'!$AB$2:$AB$495&gt;=4)*('CONTROL MASTER'!$AA$2:$AA$495&lt;=6)*('CONTROL MASTER'!$AC$2:$AC$495&gt;=6))*ROW('CONTROL MASTER'!$S$2:$S$495))-(ROW('CONTROL MASTER'!#REF!)-1))),":",","),",",REPT(" ",50)),(((INDEX('CONTROL MASTER'!$Y$2:$Y$495,(SUMPRODUCT((('CONTROL MASTER'!$S$2:$S$495=4)*('CONTROL MASTER'!$Z$2:$Z$495&lt;=4)*('CONTROL MASTER'!$AB$2:$AB$495&gt;=4)*('CONTROL MASTER'!$AA$2:$AA$495&lt;=6)*('CONTROL MASTER'!$AC$2:$AC$495&gt;=6))*ROW('CONTROL MASTER'!$S$2:$S$495))-(ROW('CONTROL MASTER'!#REF!)-1)))+((4-INDEX('CONTROL MASTER'!$Z$2:$Z$495,(SUMPRODUCT((('CONTROL MASTER'!$S$2:$S$495=4)*('CONTROL MASTER'!$Z$2:$Z$495&lt;=4)*('CONTROL MASTER'!$AB$2:$AB$495&gt;=4)*('CONTROL MASTER'!$AA$2:$AA$495&lt;=6)*('CONTROL MASTER'!$AC$2:$AC$495&gt;=6))*ROW('CONTROL MASTER'!$S$2:$S$495))-(ROW('CONTROL MASTER'!#REF!)-1))))*(INDEX('CONTROL MASTER'!$AC$2:$AC$495,(SUMPRODUCT((('CONTROL MASTER'!$S$2:$S$495=4)*('CONTROL MASTER'!$Z$2:$Z$495&lt;=4)*('CONTROL MASTER'!$AB$2:$AB$495&gt;=4)*('CONTROL MASTER'!$AA$2:$AA$495&lt;=6)*('CONTROL MASTER'!$AC$2:$AC$495&gt;=6))*ROW('CONTROL MASTER'!$S$2:$S$495))-(ROW('CONTROL MASTER'!#REF!)-1)))-INDEX('CONTROL MASTER'!$AA$2:$AA$495,(SUMPRODUCT((('CONTROL MASTER'!$S$2:$S$495=4)*('CONTROL MASTER'!$Z$2:$Z$495&lt;=4)*('CONTROL MASTER'!$AB$2:$AB$495&gt;=4)*('CONTROL MASTER'!$AA$2:$AA$495&lt;=6)*('CONTROL MASTER'!$AC$2:$AC$495&gt;=6))*ROW('CONTROL MASTER'!$S$2:$S$495))-(ROW('CONTROL MASTER'!#REF!)-1)))+1)+(6-INDEX('CONTROL MASTER'!$AA$2:$AA$495,(SUMPRODUCT((('CONTROL MASTER'!$S$2:$S$495=4)*('CONTROL MASTER'!$Z$2:$Z$495&lt;=4)*('CONTROL MASTER'!$AB$2:$AB$495&gt;=4)*('CONTROL MASTER'!$AA$2:$AA$495&lt;=6)*('CONTROL MASTER'!$AC$2:$AC$495&gt;=6))*ROW('CONTROL MASTER'!$S$2:$S$495))-(ROW('CONTROL MASTER'!#REF!)-1))))+1)))-1)*50+1,50))&amp;"_"&amp;INDEX('CONTROL MASTER'!$P$2:$P$495,(SUMPRODUCT((('CONTROL MASTER'!$S$2:$S$495=4)*('CONTROL MASTER'!$Z$2:$Z$495&lt;=4)*('CONTROL MASTER'!$AB$2:$AB$495&gt;=4)*('CONTROL MASTER'!$AA$2:$AA$495&lt;=6)*('CONTROL MASTER'!$AC$2:$AC$495&gt;=6))*ROW('CONTROL MASTER'!$S$2:$S$495))-(ROW('CONTROL MASTER'!#REF!)-1))),"")),"")</f>
        <v/>
      </c>
      <c r="H48" s="10" t="str">
        <f>IFERROR(IF(SUMPRODUCT((('CONTROL MASTER'!$S$2:$S$495=4)*('CONTROL MASTER'!$T$2:$T$495&lt;=4)*('CONTROL MASTER'!$V$2:$V$495&gt;=4)*('CONTROL MASTER'!$U$2:$U$495&lt;=7)*('CONTROL MASTER'!$W$2:$W$495&gt;=7))*ROW('CONTROL MASTER'!$S$2:$S$495))&gt;0,INDEX('CONTROL MASTER'!$X$2:$X$495,(SUMPRODUCT((('CONTROL MASTER'!$S$2:$S$495=4)*('CONTROL MASTER'!$T$2:$T$495&lt;=4)*('CONTROL MASTER'!$V$2:$V$495&gt;=4)*('CONTROL MASTER'!$U$2:$U$495&lt;=7)*('CONTROL MASTER'!$W$2:$W$495&gt;=7))*ROW('CONTROL MASTER'!$S$2:$S$495))-(ROW('CONTROL MASTER'!#REF!)-1)))&amp;TRIM(MID(SUBSTITUTE(SUBSTITUTE(INDEX('CONTROL MASTER'!$N$2:$N$495,(SUMPRODUCT((('CONTROL MASTER'!$S$2:$S$495=4)*('CONTROL MASTER'!$T$2:$T$495&lt;=4)*('CONTROL MASTER'!$V$2:$V$495&gt;=4)*('CONTROL MASTER'!$U$2:$U$495&lt;=7)*('CONTROL MASTER'!$W$2:$W$495&gt;=7))*ROW('CONTROL MASTER'!$S$2:$S$495))-(ROW('CONTROL MASTER'!#REF!)-1))),":",","),",",REPT(" ",50)),((((4-INDEX('CONTROL MASTER'!$T$2:$T$495,(SUMPRODUCT((('CONTROL MASTER'!$S$2:$S$495=4)*('CONTROL MASTER'!$T$2:$T$495&lt;=4)*('CONTROL MASTER'!$V$2:$V$495&gt;=4)*('CONTROL MASTER'!$U$2:$U$495&lt;=7)*('CONTROL MASTER'!$W$2:$W$495&gt;=7))*ROW('CONTROL MASTER'!$S$2:$S$495))-(ROW('CONTROL MASTER'!#REF!)-1))))*(INDEX('CONTROL MASTER'!$W$2:$W$495,(SUMPRODUCT((('CONTROL MASTER'!$S$2:$S$495=4)*('CONTROL MASTER'!$T$2:$T$495&lt;=4)*('CONTROL MASTER'!$V$2:$V$495&gt;=4)*('CONTROL MASTER'!$U$2:$U$495&lt;=7)*('CONTROL MASTER'!$W$2:$W$495&gt;=7))*ROW('CONTROL MASTER'!$S$2:$S$495))-(ROW('CONTROL MASTER'!#REF!)-1)))-INDEX('CONTROL MASTER'!$U$2:$U$495,(SUMPRODUCT((('CONTROL MASTER'!$S$2:$S$495=4)*('CONTROL MASTER'!$T$2:$T$495&lt;=4)*('CONTROL MASTER'!$V$2:$V$495&gt;=4)*('CONTROL MASTER'!$U$2:$U$495&lt;=7)*('CONTROL MASTER'!$W$2:$W$495&gt;=7))*ROW('CONTROL MASTER'!$S$2:$S$495))-(ROW('CONTROL MASTER'!#REF!)-1)))+1)+(7-INDEX('CONTROL MASTER'!$U$2:$U$495,(SUMPRODUCT((('CONTROL MASTER'!$S$2:$S$495=4)*('CONTROL MASTER'!$T$2:$T$495&lt;=4)*('CONTROL MASTER'!$V$2:$V$495&gt;=4)*('CONTROL MASTER'!$U$2:$U$495&lt;=7)*('CONTROL MASTER'!$W$2:$W$495&gt;=7))*ROW('CONTROL MASTER'!$S$2:$S$495))-(ROW('CONTROL MASTER'!#REF!)-1))))+1))-1)*50+1,50))&amp;"_"&amp;INDEX('CONTROL MASTER'!$P$2:$P$495,(SUMPRODUCT((('CONTROL MASTER'!$S$2:$S$495=4)*('CONTROL MASTER'!$T$2:$T$495&lt;=4)*('CONTROL MASTER'!$V$2:$V$495&gt;=4)*('CONTROL MASTER'!$U$2:$U$495&lt;=7)*('CONTROL MASTER'!$W$2:$W$495&gt;=7))*ROW('CONTROL MASTER'!$S$2:$S$495))-(ROW('CONTROL MASTER'!#REF!)-1))),IF(SUMPRODUCT((('CONTROL MASTER'!$S$2:$S$495=4)*('CONTROL MASTER'!$Z$2:$Z$495&lt;=4)*('CONTROL MASTER'!$AB$2:$AB$495&gt;=4)*('CONTROL MASTER'!$AA$2:$AA$495&lt;=7)*('CONTROL MASTER'!$AC$2:$AC$495&gt;=7))*ROW('CONTROL MASTER'!$S$2:$S$495))&gt;0,INDEX('CONTROL MASTER'!$X$2:$X$495,(SUMPRODUCT((('CONTROL MASTER'!$S$2:$S$495=4)*('CONTROL MASTER'!$Z$2:$Z$495&lt;=4)*('CONTROL MASTER'!$AB$2:$AB$495&gt;=4)*('CONTROL MASTER'!$AA$2:$AA$495&lt;=7)*('CONTROL MASTER'!$AC$2:$AC$495&gt;=7))*ROW('CONTROL MASTER'!$S$2:$S$495))-(ROW('CONTROL MASTER'!#REF!)-1)))&amp;TRIM(MID(SUBSTITUTE(SUBSTITUTE(INDEX('CONTROL MASTER'!$N$2:$N$495,(SUMPRODUCT((('CONTROL MASTER'!$S$2:$S$495=4)*('CONTROL MASTER'!$Z$2:$Z$495&lt;=4)*('CONTROL MASTER'!$AB$2:$AB$495&gt;=4)*('CONTROL MASTER'!$AA$2:$AA$495&lt;=7)*('CONTROL MASTER'!$AC$2:$AC$495&gt;=7))*ROW('CONTROL MASTER'!$S$2:$S$495))-(ROW('CONTROL MASTER'!#REF!)-1))),":",","),",",REPT(" ",50)),(((INDEX('CONTROL MASTER'!$Y$2:$Y$495,(SUMPRODUCT((('CONTROL MASTER'!$S$2:$S$495=4)*('CONTROL MASTER'!$Z$2:$Z$495&lt;=4)*('CONTROL MASTER'!$AB$2:$AB$495&gt;=4)*('CONTROL MASTER'!$AA$2:$AA$495&lt;=7)*('CONTROL MASTER'!$AC$2:$AC$495&gt;=7))*ROW('CONTROL MASTER'!$S$2:$S$495))-(ROW('CONTROL MASTER'!#REF!)-1)))+((4-INDEX('CONTROL MASTER'!$Z$2:$Z$495,(SUMPRODUCT((('CONTROL MASTER'!$S$2:$S$495=4)*('CONTROL MASTER'!$Z$2:$Z$495&lt;=4)*('CONTROL MASTER'!$AB$2:$AB$495&gt;=4)*('CONTROL MASTER'!$AA$2:$AA$495&lt;=7)*('CONTROL MASTER'!$AC$2:$AC$495&gt;=7))*ROW('CONTROL MASTER'!$S$2:$S$495))-(ROW('CONTROL MASTER'!#REF!)-1))))*(INDEX('CONTROL MASTER'!$AC$2:$AC$495,(SUMPRODUCT((('CONTROL MASTER'!$S$2:$S$495=4)*('CONTROL MASTER'!$Z$2:$Z$495&lt;=4)*('CONTROL MASTER'!$AB$2:$AB$495&gt;=4)*('CONTROL MASTER'!$AA$2:$AA$495&lt;=7)*('CONTROL MASTER'!$AC$2:$AC$495&gt;=7))*ROW('CONTROL MASTER'!$S$2:$S$495))-(ROW('CONTROL MASTER'!#REF!)-1)))-INDEX('CONTROL MASTER'!$AA$2:$AA$495,(SUMPRODUCT((('CONTROL MASTER'!$S$2:$S$495=4)*('CONTROL MASTER'!$Z$2:$Z$495&lt;=4)*('CONTROL MASTER'!$AB$2:$AB$495&gt;=4)*('CONTROL MASTER'!$AA$2:$AA$495&lt;=7)*('CONTROL MASTER'!$AC$2:$AC$495&gt;=7))*ROW('CONTROL MASTER'!$S$2:$S$495))-(ROW('CONTROL MASTER'!#REF!)-1)))+1)+(7-INDEX('CONTROL MASTER'!$AA$2:$AA$495,(SUMPRODUCT((('CONTROL MASTER'!$S$2:$S$495=4)*('CONTROL MASTER'!$Z$2:$Z$495&lt;=4)*('CONTROL MASTER'!$AB$2:$AB$495&gt;=4)*('CONTROL MASTER'!$AA$2:$AA$495&lt;=7)*('CONTROL MASTER'!$AC$2:$AC$495&gt;=7))*ROW('CONTROL MASTER'!$S$2:$S$495))-(ROW('CONTROL MASTER'!#REF!)-1))))+1)))-1)*50+1,50))&amp;"_"&amp;INDEX('CONTROL MASTER'!$P$2:$P$495,(SUMPRODUCT((('CONTROL MASTER'!$S$2:$S$495=4)*('CONTROL MASTER'!$Z$2:$Z$495&lt;=4)*('CONTROL MASTER'!$AB$2:$AB$495&gt;=4)*('CONTROL MASTER'!$AA$2:$AA$495&lt;=7)*('CONTROL MASTER'!$AC$2:$AC$495&gt;=7))*ROW('CONTROL MASTER'!$S$2:$S$495))-(ROW('CONTROL MASTER'!#REF!)-1))),"")),"")</f>
        <v/>
      </c>
      <c r="I48" s="10" t="str">
        <f>IFERROR(IF(SUMPRODUCT((('CONTROL MASTER'!$S$2:$S$495=4)*('CONTROL MASTER'!$T$2:$T$495&lt;=4)*('CONTROL MASTER'!$V$2:$V$495&gt;=4)*('CONTROL MASTER'!$U$2:$U$495&lt;=8)*('CONTROL MASTER'!$W$2:$W$495&gt;=8))*ROW('CONTROL MASTER'!$S$2:$S$495))&gt;0,INDEX('CONTROL MASTER'!$X$2:$X$495,(SUMPRODUCT((('CONTROL MASTER'!$S$2:$S$495=4)*('CONTROL MASTER'!$T$2:$T$495&lt;=4)*('CONTROL MASTER'!$V$2:$V$495&gt;=4)*('CONTROL MASTER'!$U$2:$U$495&lt;=8)*('CONTROL MASTER'!$W$2:$W$495&gt;=8))*ROW('CONTROL MASTER'!$S$2:$S$495))-(ROW('CONTROL MASTER'!#REF!)-1)))&amp;TRIM(MID(SUBSTITUTE(SUBSTITUTE(INDEX('CONTROL MASTER'!$N$2:$N$495,(SUMPRODUCT((('CONTROL MASTER'!$S$2:$S$495=4)*('CONTROL MASTER'!$T$2:$T$495&lt;=4)*('CONTROL MASTER'!$V$2:$V$495&gt;=4)*('CONTROL MASTER'!$U$2:$U$495&lt;=8)*('CONTROL MASTER'!$W$2:$W$495&gt;=8))*ROW('CONTROL MASTER'!$S$2:$S$495))-(ROW('CONTROL MASTER'!#REF!)-1))),":",","),",",REPT(" ",50)),((((4-INDEX('CONTROL MASTER'!$T$2:$T$495,(SUMPRODUCT((('CONTROL MASTER'!$S$2:$S$495=4)*('CONTROL MASTER'!$T$2:$T$495&lt;=4)*('CONTROL MASTER'!$V$2:$V$495&gt;=4)*('CONTROL MASTER'!$U$2:$U$495&lt;=8)*('CONTROL MASTER'!$W$2:$W$495&gt;=8))*ROW('CONTROL MASTER'!$S$2:$S$495))-(ROW('CONTROL MASTER'!#REF!)-1))))*(INDEX('CONTROL MASTER'!$W$2:$W$495,(SUMPRODUCT((('CONTROL MASTER'!$S$2:$S$495=4)*('CONTROL MASTER'!$T$2:$T$495&lt;=4)*('CONTROL MASTER'!$V$2:$V$495&gt;=4)*('CONTROL MASTER'!$U$2:$U$495&lt;=8)*('CONTROL MASTER'!$W$2:$W$495&gt;=8))*ROW('CONTROL MASTER'!$S$2:$S$495))-(ROW('CONTROL MASTER'!#REF!)-1)))-INDEX('CONTROL MASTER'!$U$2:$U$495,(SUMPRODUCT((('CONTROL MASTER'!$S$2:$S$495=4)*('CONTROL MASTER'!$T$2:$T$495&lt;=4)*('CONTROL MASTER'!$V$2:$V$495&gt;=4)*('CONTROL MASTER'!$U$2:$U$495&lt;=8)*('CONTROL MASTER'!$W$2:$W$495&gt;=8))*ROW('CONTROL MASTER'!$S$2:$S$495))-(ROW('CONTROL MASTER'!#REF!)-1)))+1)+(8-INDEX('CONTROL MASTER'!$U$2:$U$495,(SUMPRODUCT((('CONTROL MASTER'!$S$2:$S$495=4)*('CONTROL MASTER'!$T$2:$T$495&lt;=4)*('CONTROL MASTER'!$V$2:$V$495&gt;=4)*('CONTROL MASTER'!$U$2:$U$495&lt;=8)*('CONTROL MASTER'!$W$2:$W$495&gt;=8))*ROW('CONTROL MASTER'!$S$2:$S$495))-(ROW('CONTROL MASTER'!#REF!)-1))))+1))-1)*50+1,50))&amp;"_"&amp;INDEX('CONTROL MASTER'!$P$2:$P$495,(SUMPRODUCT((('CONTROL MASTER'!$S$2:$S$495=4)*('CONTROL MASTER'!$T$2:$T$495&lt;=4)*('CONTROL MASTER'!$V$2:$V$495&gt;=4)*('CONTROL MASTER'!$U$2:$U$495&lt;=8)*('CONTROL MASTER'!$W$2:$W$495&gt;=8))*ROW('CONTROL MASTER'!$S$2:$S$495))-(ROW('CONTROL MASTER'!#REF!)-1))),IF(SUMPRODUCT((('CONTROL MASTER'!$S$2:$S$495=4)*('CONTROL MASTER'!$Z$2:$Z$495&lt;=4)*('CONTROL MASTER'!$AB$2:$AB$495&gt;=4)*('CONTROL MASTER'!$AA$2:$AA$495&lt;=8)*('CONTROL MASTER'!$AC$2:$AC$495&gt;=8))*ROW('CONTROL MASTER'!$S$2:$S$495))&gt;0,INDEX('CONTROL MASTER'!$X$2:$X$495,(SUMPRODUCT((('CONTROL MASTER'!$S$2:$S$495=4)*('CONTROL MASTER'!$Z$2:$Z$495&lt;=4)*('CONTROL MASTER'!$AB$2:$AB$495&gt;=4)*('CONTROL MASTER'!$AA$2:$AA$495&lt;=8)*('CONTROL MASTER'!$AC$2:$AC$495&gt;=8))*ROW('CONTROL MASTER'!$S$2:$S$495))-(ROW('CONTROL MASTER'!#REF!)-1)))&amp;TRIM(MID(SUBSTITUTE(SUBSTITUTE(INDEX('CONTROL MASTER'!$N$2:$N$495,(SUMPRODUCT((('CONTROL MASTER'!$S$2:$S$495=4)*('CONTROL MASTER'!$Z$2:$Z$495&lt;=4)*('CONTROL MASTER'!$AB$2:$AB$495&gt;=4)*('CONTROL MASTER'!$AA$2:$AA$495&lt;=8)*('CONTROL MASTER'!$AC$2:$AC$495&gt;=8))*ROW('CONTROL MASTER'!$S$2:$S$495))-(ROW('CONTROL MASTER'!#REF!)-1))),":",","),",",REPT(" ",50)),(((INDEX('CONTROL MASTER'!$Y$2:$Y$495,(SUMPRODUCT((('CONTROL MASTER'!$S$2:$S$495=4)*('CONTROL MASTER'!$Z$2:$Z$495&lt;=4)*('CONTROL MASTER'!$AB$2:$AB$495&gt;=4)*('CONTROL MASTER'!$AA$2:$AA$495&lt;=8)*('CONTROL MASTER'!$AC$2:$AC$495&gt;=8))*ROW('CONTROL MASTER'!$S$2:$S$495))-(ROW('CONTROL MASTER'!#REF!)-1)))+((4-INDEX('CONTROL MASTER'!$Z$2:$Z$495,(SUMPRODUCT((('CONTROL MASTER'!$S$2:$S$495=4)*('CONTROL MASTER'!$Z$2:$Z$495&lt;=4)*('CONTROL MASTER'!$AB$2:$AB$495&gt;=4)*('CONTROL MASTER'!$AA$2:$AA$495&lt;=8)*('CONTROL MASTER'!$AC$2:$AC$495&gt;=8))*ROW('CONTROL MASTER'!$S$2:$S$495))-(ROW('CONTROL MASTER'!#REF!)-1))))*(INDEX('CONTROL MASTER'!$AC$2:$AC$495,(SUMPRODUCT((('CONTROL MASTER'!$S$2:$S$495=4)*('CONTROL MASTER'!$Z$2:$Z$495&lt;=4)*('CONTROL MASTER'!$AB$2:$AB$495&gt;=4)*('CONTROL MASTER'!$AA$2:$AA$495&lt;=8)*('CONTROL MASTER'!$AC$2:$AC$495&gt;=8))*ROW('CONTROL MASTER'!$S$2:$S$495))-(ROW('CONTROL MASTER'!#REF!)-1)))-INDEX('CONTROL MASTER'!$AA$2:$AA$495,(SUMPRODUCT((('CONTROL MASTER'!$S$2:$S$495=4)*('CONTROL MASTER'!$Z$2:$Z$495&lt;=4)*('CONTROL MASTER'!$AB$2:$AB$495&gt;=4)*('CONTROL MASTER'!$AA$2:$AA$495&lt;=8)*('CONTROL MASTER'!$AC$2:$AC$495&gt;=8))*ROW('CONTROL MASTER'!$S$2:$S$495))-(ROW('CONTROL MASTER'!#REF!)-1)))+1)+(8-INDEX('CONTROL MASTER'!$AA$2:$AA$495,(SUMPRODUCT((('CONTROL MASTER'!$S$2:$S$495=4)*('CONTROL MASTER'!$Z$2:$Z$495&lt;=4)*('CONTROL MASTER'!$AB$2:$AB$495&gt;=4)*('CONTROL MASTER'!$AA$2:$AA$495&lt;=8)*('CONTROL MASTER'!$AC$2:$AC$495&gt;=8))*ROW('CONTROL MASTER'!$S$2:$S$495))-(ROW('CONTROL MASTER'!#REF!)-1))))+1)))-1)*50+1,50))&amp;"_"&amp;INDEX('CONTROL MASTER'!$P$2:$P$495,(SUMPRODUCT((('CONTROL MASTER'!$S$2:$S$495=4)*('CONTROL MASTER'!$Z$2:$Z$495&lt;=4)*('CONTROL MASTER'!$AB$2:$AB$495&gt;=4)*('CONTROL MASTER'!$AA$2:$AA$495&lt;=8)*('CONTROL MASTER'!$AC$2:$AC$495&gt;=8))*ROW('CONTROL MASTER'!$S$2:$S$495))-(ROW('CONTROL MASTER'!#REF!)-1))),"")),"")</f>
        <v/>
      </c>
      <c r="J48" s="10" t="str">
        <f>IFERROR(IF(SUMPRODUCT((('CONTROL MASTER'!$S$2:$S$495=4)*('CONTROL MASTER'!$T$2:$T$495&lt;=4)*('CONTROL MASTER'!$V$2:$V$495&gt;=4)*('CONTROL MASTER'!$U$2:$U$495&lt;=9)*('CONTROL MASTER'!$W$2:$W$495&gt;=9))*ROW('CONTROL MASTER'!$S$2:$S$495))&gt;0,INDEX('CONTROL MASTER'!$X$2:$X$495,(SUMPRODUCT((('CONTROL MASTER'!$S$2:$S$495=4)*('CONTROL MASTER'!$T$2:$T$495&lt;=4)*('CONTROL MASTER'!$V$2:$V$495&gt;=4)*('CONTROL MASTER'!$U$2:$U$495&lt;=9)*('CONTROL MASTER'!$W$2:$W$495&gt;=9))*ROW('CONTROL MASTER'!$S$2:$S$495))-(ROW('CONTROL MASTER'!#REF!)-1)))&amp;TRIM(MID(SUBSTITUTE(SUBSTITUTE(INDEX('CONTROL MASTER'!$N$2:$N$495,(SUMPRODUCT((('CONTROL MASTER'!$S$2:$S$495=4)*('CONTROL MASTER'!$T$2:$T$495&lt;=4)*('CONTROL MASTER'!$V$2:$V$495&gt;=4)*('CONTROL MASTER'!$U$2:$U$495&lt;=9)*('CONTROL MASTER'!$W$2:$W$495&gt;=9))*ROW('CONTROL MASTER'!$S$2:$S$495))-(ROW('CONTROL MASTER'!#REF!)-1))),":",","),",",REPT(" ",50)),((((4-INDEX('CONTROL MASTER'!$T$2:$T$495,(SUMPRODUCT((('CONTROL MASTER'!$S$2:$S$495=4)*('CONTROL MASTER'!$T$2:$T$495&lt;=4)*('CONTROL MASTER'!$V$2:$V$495&gt;=4)*('CONTROL MASTER'!$U$2:$U$495&lt;=9)*('CONTROL MASTER'!$W$2:$W$495&gt;=9))*ROW('CONTROL MASTER'!$S$2:$S$495))-(ROW('CONTROL MASTER'!#REF!)-1))))*(INDEX('CONTROL MASTER'!$W$2:$W$495,(SUMPRODUCT((('CONTROL MASTER'!$S$2:$S$495=4)*('CONTROL MASTER'!$T$2:$T$495&lt;=4)*('CONTROL MASTER'!$V$2:$V$495&gt;=4)*('CONTROL MASTER'!$U$2:$U$495&lt;=9)*('CONTROL MASTER'!$W$2:$W$495&gt;=9))*ROW('CONTROL MASTER'!$S$2:$S$495))-(ROW('CONTROL MASTER'!#REF!)-1)))-INDEX('CONTROL MASTER'!$U$2:$U$495,(SUMPRODUCT((('CONTROL MASTER'!$S$2:$S$495=4)*('CONTROL MASTER'!$T$2:$T$495&lt;=4)*('CONTROL MASTER'!$V$2:$V$495&gt;=4)*('CONTROL MASTER'!$U$2:$U$495&lt;=9)*('CONTROL MASTER'!$W$2:$W$495&gt;=9))*ROW('CONTROL MASTER'!$S$2:$S$495))-(ROW('CONTROL MASTER'!#REF!)-1)))+1)+(9-INDEX('CONTROL MASTER'!$U$2:$U$495,(SUMPRODUCT((('CONTROL MASTER'!$S$2:$S$495=4)*('CONTROL MASTER'!$T$2:$T$495&lt;=4)*('CONTROL MASTER'!$V$2:$V$495&gt;=4)*('CONTROL MASTER'!$U$2:$U$495&lt;=9)*('CONTROL MASTER'!$W$2:$W$495&gt;=9))*ROW('CONTROL MASTER'!$S$2:$S$495))-(ROW('CONTROL MASTER'!#REF!)-1))))+1))-1)*50+1,50))&amp;"_"&amp;INDEX('CONTROL MASTER'!$P$2:$P$495,(SUMPRODUCT((('CONTROL MASTER'!$S$2:$S$495=4)*('CONTROL MASTER'!$T$2:$T$495&lt;=4)*('CONTROL MASTER'!$V$2:$V$495&gt;=4)*('CONTROL MASTER'!$U$2:$U$495&lt;=9)*('CONTROL MASTER'!$W$2:$W$495&gt;=9))*ROW('CONTROL MASTER'!$S$2:$S$495))-(ROW('CONTROL MASTER'!#REF!)-1))),IF(SUMPRODUCT((('CONTROL MASTER'!$S$2:$S$495=4)*('CONTROL MASTER'!$Z$2:$Z$495&lt;=4)*('CONTROL MASTER'!$AB$2:$AB$495&gt;=4)*('CONTROL MASTER'!$AA$2:$AA$495&lt;=9)*('CONTROL MASTER'!$AC$2:$AC$495&gt;=9))*ROW('CONTROL MASTER'!$S$2:$S$495))&gt;0,INDEX('CONTROL MASTER'!$X$2:$X$495,(SUMPRODUCT((('CONTROL MASTER'!$S$2:$S$495=4)*('CONTROL MASTER'!$Z$2:$Z$495&lt;=4)*('CONTROL MASTER'!$AB$2:$AB$495&gt;=4)*('CONTROL MASTER'!$AA$2:$AA$495&lt;=9)*('CONTROL MASTER'!$AC$2:$AC$495&gt;=9))*ROW('CONTROL MASTER'!$S$2:$S$495))-(ROW('CONTROL MASTER'!#REF!)-1)))&amp;TRIM(MID(SUBSTITUTE(SUBSTITUTE(INDEX('CONTROL MASTER'!$N$2:$N$495,(SUMPRODUCT((('CONTROL MASTER'!$S$2:$S$495=4)*('CONTROL MASTER'!$Z$2:$Z$495&lt;=4)*('CONTROL MASTER'!$AB$2:$AB$495&gt;=4)*('CONTROL MASTER'!$AA$2:$AA$495&lt;=9)*('CONTROL MASTER'!$AC$2:$AC$495&gt;=9))*ROW('CONTROL MASTER'!$S$2:$S$495))-(ROW('CONTROL MASTER'!#REF!)-1))),":",","),",",REPT(" ",50)),(((INDEX('CONTROL MASTER'!$Y$2:$Y$495,(SUMPRODUCT((('CONTROL MASTER'!$S$2:$S$495=4)*('CONTROL MASTER'!$Z$2:$Z$495&lt;=4)*('CONTROL MASTER'!$AB$2:$AB$495&gt;=4)*('CONTROL MASTER'!$AA$2:$AA$495&lt;=9)*('CONTROL MASTER'!$AC$2:$AC$495&gt;=9))*ROW('CONTROL MASTER'!$S$2:$S$495))-(ROW('CONTROL MASTER'!#REF!)-1)))+((4-INDEX('CONTROL MASTER'!$Z$2:$Z$495,(SUMPRODUCT((('CONTROL MASTER'!$S$2:$S$495=4)*('CONTROL MASTER'!$Z$2:$Z$495&lt;=4)*('CONTROL MASTER'!$AB$2:$AB$495&gt;=4)*('CONTROL MASTER'!$AA$2:$AA$495&lt;=9)*('CONTROL MASTER'!$AC$2:$AC$495&gt;=9))*ROW('CONTROL MASTER'!$S$2:$S$495))-(ROW('CONTROL MASTER'!#REF!)-1))))*(INDEX('CONTROL MASTER'!$AC$2:$AC$495,(SUMPRODUCT((('CONTROL MASTER'!$S$2:$S$495=4)*('CONTROL MASTER'!$Z$2:$Z$495&lt;=4)*('CONTROL MASTER'!$AB$2:$AB$495&gt;=4)*('CONTROL MASTER'!$AA$2:$AA$495&lt;=9)*('CONTROL MASTER'!$AC$2:$AC$495&gt;=9))*ROW('CONTROL MASTER'!$S$2:$S$495))-(ROW('CONTROL MASTER'!#REF!)-1)))-INDEX('CONTROL MASTER'!$AA$2:$AA$495,(SUMPRODUCT((('CONTROL MASTER'!$S$2:$S$495=4)*('CONTROL MASTER'!$Z$2:$Z$495&lt;=4)*('CONTROL MASTER'!$AB$2:$AB$495&gt;=4)*('CONTROL MASTER'!$AA$2:$AA$495&lt;=9)*('CONTROL MASTER'!$AC$2:$AC$495&gt;=9))*ROW('CONTROL MASTER'!$S$2:$S$495))-(ROW('CONTROL MASTER'!#REF!)-1)))+1)+(9-INDEX('CONTROL MASTER'!$AA$2:$AA$495,(SUMPRODUCT((('CONTROL MASTER'!$S$2:$S$495=4)*('CONTROL MASTER'!$Z$2:$Z$495&lt;=4)*('CONTROL MASTER'!$AB$2:$AB$495&gt;=4)*('CONTROL MASTER'!$AA$2:$AA$495&lt;=9)*('CONTROL MASTER'!$AC$2:$AC$495&gt;=9))*ROW('CONTROL MASTER'!$S$2:$S$495))-(ROW('CONTROL MASTER'!#REF!)-1))))+1)))-1)*50+1,50))&amp;"_"&amp;INDEX('CONTROL MASTER'!$P$2:$P$495,(SUMPRODUCT((('CONTROL MASTER'!$S$2:$S$495=4)*('CONTROL MASTER'!$Z$2:$Z$495&lt;=4)*('CONTROL MASTER'!$AB$2:$AB$495&gt;=4)*('CONTROL MASTER'!$AA$2:$AA$495&lt;=9)*('CONTROL MASTER'!$AC$2:$AC$495&gt;=9))*ROW('CONTROL MASTER'!$S$2:$S$495))-(ROW('CONTROL MASTER'!#REF!)-1))),"")),"")</f>
        <v/>
      </c>
      <c r="K48" s="10" t="str">
        <f>IFERROR(IF(SUMPRODUCT((('CONTROL MASTER'!$S$2:$S$495=4)*('CONTROL MASTER'!$T$2:$T$495&lt;=4)*('CONTROL MASTER'!$V$2:$V$495&gt;=4)*('CONTROL MASTER'!$U$2:$U$495&lt;=10)*('CONTROL MASTER'!$W$2:$W$495&gt;=10))*ROW('CONTROL MASTER'!$S$2:$S$495))&gt;0,INDEX('CONTROL MASTER'!$X$2:$X$495,(SUMPRODUCT((('CONTROL MASTER'!$S$2:$S$495=4)*('CONTROL MASTER'!$T$2:$T$495&lt;=4)*('CONTROL MASTER'!$V$2:$V$495&gt;=4)*('CONTROL MASTER'!$U$2:$U$495&lt;=10)*('CONTROL MASTER'!$W$2:$W$495&gt;=10))*ROW('CONTROL MASTER'!$S$2:$S$495))-(ROW('CONTROL MASTER'!#REF!)-1)))&amp;TRIM(MID(SUBSTITUTE(SUBSTITUTE(INDEX('CONTROL MASTER'!$N$2:$N$495,(SUMPRODUCT((('CONTROL MASTER'!$S$2:$S$495=4)*('CONTROL MASTER'!$T$2:$T$495&lt;=4)*('CONTROL MASTER'!$V$2:$V$495&gt;=4)*('CONTROL MASTER'!$U$2:$U$495&lt;=10)*('CONTROL MASTER'!$W$2:$W$495&gt;=10))*ROW('CONTROL MASTER'!$S$2:$S$495))-(ROW('CONTROL MASTER'!#REF!)-1))),":",","),",",REPT(" ",50)),((((4-INDEX('CONTROL MASTER'!$T$2:$T$495,(SUMPRODUCT((('CONTROL MASTER'!$S$2:$S$495=4)*('CONTROL MASTER'!$T$2:$T$495&lt;=4)*('CONTROL MASTER'!$V$2:$V$495&gt;=4)*('CONTROL MASTER'!$U$2:$U$495&lt;=10)*('CONTROL MASTER'!$W$2:$W$495&gt;=10))*ROW('CONTROL MASTER'!$S$2:$S$495))-(ROW('CONTROL MASTER'!#REF!)-1))))*(INDEX('CONTROL MASTER'!$W$2:$W$495,(SUMPRODUCT((('CONTROL MASTER'!$S$2:$S$495=4)*('CONTROL MASTER'!$T$2:$T$495&lt;=4)*('CONTROL MASTER'!$V$2:$V$495&gt;=4)*('CONTROL MASTER'!$U$2:$U$495&lt;=10)*('CONTROL MASTER'!$W$2:$W$495&gt;=10))*ROW('CONTROL MASTER'!$S$2:$S$495))-(ROW('CONTROL MASTER'!#REF!)-1)))-INDEX('CONTROL MASTER'!$U$2:$U$495,(SUMPRODUCT((('CONTROL MASTER'!$S$2:$S$495=4)*('CONTROL MASTER'!$T$2:$T$495&lt;=4)*('CONTROL MASTER'!$V$2:$V$495&gt;=4)*('CONTROL MASTER'!$U$2:$U$495&lt;=10)*('CONTROL MASTER'!$W$2:$W$495&gt;=10))*ROW('CONTROL MASTER'!$S$2:$S$495))-(ROW('CONTROL MASTER'!#REF!)-1)))+1)+(10-INDEX('CONTROL MASTER'!$U$2:$U$495,(SUMPRODUCT((('CONTROL MASTER'!$S$2:$S$495=4)*('CONTROL MASTER'!$T$2:$T$495&lt;=4)*('CONTROL MASTER'!$V$2:$V$495&gt;=4)*('CONTROL MASTER'!$U$2:$U$495&lt;=10)*('CONTROL MASTER'!$W$2:$W$495&gt;=10))*ROW('CONTROL MASTER'!$S$2:$S$495))-(ROW('CONTROL MASTER'!#REF!)-1))))+1))-1)*50+1,50))&amp;"_"&amp;INDEX('CONTROL MASTER'!$P$2:$P$495,(SUMPRODUCT((('CONTROL MASTER'!$S$2:$S$495=4)*('CONTROL MASTER'!$T$2:$T$495&lt;=4)*('CONTROL MASTER'!$V$2:$V$495&gt;=4)*('CONTROL MASTER'!$U$2:$U$495&lt;=10)*('CONTROL MASTER'!$W$2:$W$495&gt;=10))*ROW('CONTROL MASTER'!$S$2:$S$495))-(ROW('CONTROL MASTER'!#REF!)-1))),IF(SUMPRODUCT((('CONTROL MASTER'!$S$2:$S$495=4)*('CONTROL MASTER'!$Z$2:$Z$495&lt;=4)*('CONTROL MASTER'!$AB$2:$AB$495&gt;=4)*('CONTROL MASTER'!$AA$2:$AA$495&lt;=10)*('CONTROL MASTER'!$AC$2:$AC$495&gt;=10))*ROW('CONTROL MASTER'!$S$2:$S$495))&gt;0,INDEX('CONTROL MASTER'!$X$2:$X$495,(SUMPRODUCT((('CONTROL MASTER'!$S$2:$S$495=4)*('CONTROL MASTER'!$Z$2:$Z$495&lt;=4)*('CONTROL MASTER'!$AB$2:$AB$495&gt;=4)*('CONTROL MASTER'!$AA$2:$AA$495&lt;=10)*('CONTROL MASTER'!$AC$2:$AC$495&gt;=10))*ROW('CONTROL MASTER'!$S$2:$S$495))-(ROW('CONTROL MASTER'!#REF!)-1)))&amp;TRIM(MID(SUBSTITUTE(SUBSTITUTE(INDEX('CONTROL MASTER'!$N$2:$N$495,(SUMPRODUCT((('CONTROL MASTER'!$S$2:$S$495=4)*('CONTROL MASTER'!$Z$2:$Z$495&lt;=4)*('CONTROL MASTER'!$AB$2:$AB$495&gt;=4)*('CONTROL MASTER'!$AA$2:$AA$495&lt;=10)*('CONTROL MASTER'!$AC$2:$AC$495&gt;=10))*ROW('CONTROL MASTER'!$S$2:$S$495))-(ROW('CONTROL MASTER'!#REF!)-1))),":",","),",",REPT(" ",50)),(((INDEX('CONTROL MASTER'!$Y$2:$Y$495,(SUMPRODUCT((('CONTROL MASTER'!$S$2:$S$495=4)*('CONTROL MASTER'!$Z$2:$Z$495&lt;=4)*('CONTROL MASTER'!$AB$2:$AB$495&gt;=4)*('CONTROL MASTER'!$AA$2:$AA$495&lt;=10)*('CONTROL MASTER'!$AC$2:$AC$495&gt;=10))*ROW('CONTROL MASTER'!$S$2:$S$495))-(ROW('CONTROL MASTER'!#REF!)-1)))+((4-INDEX('CONTROL MASTER'!$Z$2:$Z$495,(SUMPRODUCT((('CONTROL MASTER'!$S$2:$S$495=4)*('CONTROL MASTER'!$Z$2:$Z$495&lt;=4)*('CONTROL MASTER'!$AB$2:$AB$495&gt;=4)*('CONTROL MASTER'!$AA$2:$AA$495&lt;=10)*('CONTROL MASTER'!$AC$2:$AC$495&gt;=10))*ROW('CONTROL MASTER'!$S$2:$S$495))-(ROW('CONTROL MASTER'!#REF!)-1))))*(INDEX('CONTROL MASTER'!$AC$2:$AC$495,(SUMPRODUCT((('CONTROL MASTER'!$S$2:$S$495=4)*('CONTROL MASTER'!$Z$2:$Z$495&lt;=4)*('CONTROL MASTER'!$AB$2:$AB$495&gt;=4)*('CONTROL MASTER'!$AA$2:$AA$495&lt;=10)*('CONTROL MASTER'!$AC$2:$AC$495&gt;=10))*ROW('CONTROL MASTER'!$S$2:$S$495))-(ROW('CONTROL MASTER'!#REF!)-1)))-INDEX('CONTROL MASTER'!$AA$2:$AA$495,(SUMPRODUCT((('CONTROL MASTER'!$S$2:$S$495=4)*('CONTROL MASTER'!$Z$2:$Z$495&lt;=4)*('CONTROL MASTER'!$AB$2:$AB$495&gt;=4)*('CONTROL MASTER'!$AA$2:$AA$495&lt;=10)*('CONTROL MASTER'!$AC$2:$AC$495&gt;=10))*ROW('CONTROL MASTER'!$S$2:$S$495))-(ROW('CONTROL MASTER'!#REF!)-1)))+1)+(10-INDEX('CONTROL MASTER'!$AA$2:$AA$495,(SUMPRODUCT((('CONTROL MASTER'!$S$2:$S$495=4)*('CONTROL MASTER'!$Z$2:$Z$495&lt;=4)*('CONTROL MASTER'!$AB$2:$AB$495&gt;=4)*('CONTROL MASTER'!$AA$2:$AA$495&lt;=10)*('CONTROL MASTER'!$AC$2:$AC$495&gt;=10))*ROW('CONTROL MASTER'!$S$2:$S$495))-(ROW('CONTROL MASTER'!#REF!)-1))))+1)))-1)*50+1,50))&amp;"_"&amp;INDEX('CONTROL MASTER'!$P$2:$P$495,(SUMPRODUCT((('CONTROL MASTER'!$S$2:$S$495=4)*('CONTROL MASTER'!$Z$2:$Z$495&lt;=4)*('CONTROL MASTER'!$AB$2:$AB$495&gt;=4)*('CONTROL MASTER'!$AA$2:$AA$495&lt;=10)*('CONTROL MASTER'!$AC$2:$AC$495&gt;=10))*ROW('CONTROL MASTER'!$S$2:$S$495))-(ROW('CONTROL MASTER'!#REF!)-1))),"")),"")</f>
        <v/>
      </c>
    </row>
    <row r="49" spans="1:11" ht="15" customHeight="1" x14ac:dyDescent="0.35">
      <c r="A49" s="8" t="s">
        <v>32</v>
      </c>
      <c r="B49" s="10" t="str">
        <f>IFERROR(IF(SUMPRODUCT((('CONTROL MASTER'!$S$2:$S$495=4)*('CONTROL MASTER'!$T$2:$T$495&lt;=5)*('CONTROL MASTER'!$V$2:$V$495&gt;=5)*('CONTROL MASTER'!$U$2:$U$495&lt;=1)*('CONTROL MASTER'!$W$2:$W$495&gt;=1))*ROW('CONTROL MASTER'!$S$2:$S$495))&gt;0,INDEX('CONTROL MASTER'!$X$2:$X$495,(SUMPRODUCT((('CONTROL MASTER'!$S$2:$S$495=4)*('CONTROL MASTER'!$T$2:$T$495&lt;=5)*('CONTROL MASTER'!$V$2:$V$495&gt;=5)*('CONTROL MASTER'!$U$2:$U$495&lt;=1)*('CONTROL MASTER'!$W$2:$W$495&gt;=1))*ROW('CONTROL MASTER'!$S$2:$S$495))-(ROW('CONTROL MASTER'!#REF!)-1)))&amp;TRIM(MID(SUBSTITUTE(SUBSTITUTE(INDEX('CONTROL MASTER'!$N$2:$N$495,(SUMPRODUCT((('CONTROL MASTER'!$S$2:$S$495=4)*('CONTROL MASTER'!$T$2:$T$495&lt;=5)*('CONTROL MASTER'!$V$2:$V$495&gt;=5)*('CONTROL MASTER'!$U$2:$U$495&lt;=1)*('CONTROL MASTER'!$W$2:$W$495&gt;=1))*ROW('CONTROL MASTER'!$S$2:$S$495))-(ROW('CONTROL MASTER'!#REF!)-1))),":",","),",",REPT(" ",50)),((((5-INDEX('CONTROL MASTER'!$T$2:$T$495,(SUMPRODUCT((('CONTROL MASTER'!$S$2:$S$495=4)*('CONTROL MASTER'!$T$2:$T$495&lt;=5)*('CONTROL MASTER'!$V$2:$V$495&gt;=5)*('CONTROL MASTER'!$U$2:$U$495&lt;=1)*('CONTROL MASTER'!$W$2:$W$495&gt;=1))*ROW('CONTROL MASTER'!$S$2:$S$495))-(ROW('CONTROL MASTER'!#REF!)-1))))*(INDEX('CONTROL MASTER'!$W$2:$W$495,(SUMPRODUCT((('CONTROL MASTER'!$S$2:$S$495=4)*('CONTROL MASTER'!$T$2:$T$495&lt;=5)*('CONTROL MASTER'!$V$2:$V$495&gt;=5)*('CONTROL MASTER'!$U$2:$U$495&lt;=1)*('CONTROL MASTER'!$W$2:$W$495&gt;=1))*ROW('CONTROL MASTER'!$S$2:$S$495))-(ROW('CONTROL MASTER'!#REF!)-1)))-INDEX('CONTROL MASTER'!$U$2:$U$495,(SUMPRODUCT((('CONTROL MASTER'!$S$2:$S$495=4)*('CONTROL MASTER'!$T$2:$T$495&lt;=5)*('CONTROL MASTER'!$V$2:$V$495&gt;=5)*('CONTROL MASTER'!$U$2:$U$495&lt;=1)*('CONTROL MASTER'!$W$2:$W$495&gt;=1))*ROW('CONTROL MASTER'!$S$2:$S$495))-(ROW('CONTROL MASTER'!#REF!)-1)))+1)+(1-INDEX('CONTROL MASTER'!$U$2:$U$495,(SUMPRODUCT((('CONTROL MASTER'!$S$2:$S$495=4)*('CONTROL MASTER'!$T$2:$T$495&lt;=5)*('CONTROL MASTER'!$V$2:$V$495&gt;=5)*('CONTROL MASTER'!$U$2:$U$495&lt;=1)*('CONTROL MASTER'!$W$2:$W$495&gt;=1))*ROW('CONTROL MASTER'!$S$2:$S$495))-(ROW('CONTROL MASTER'!#REF!)-1))))+1))-1)*50+1,50))&amp;"_"&amp;INDEX('CONTROL MASTER'!$P$2:$P$495,(SUMPRODUCT((('CONTROL MASTER'!$S$2:$S$495=4)*('CONTROL MASTER'!$T$2:$T$495&lt;=5)*('CONTROL MASTER'!$V$2:$V$495&gt;=5)*('CONTROL MASTER'!$U$2:$U$495&lt;=1)*('CONTROL MASTER'!$W$2:$W$495&gt;=1))*ROW('CONTROL MASTER'!$S$2:$S$495))-(ROW('CONTROL MASTER'!#REF!)-1))),IF(SUMPRODUCT((('CONTROL MASTER'!$S$2:$S$495=4)*('CONTROL MASTER'!$Z$2:$Z$495&lt;=5)*('CONTROL MASTER'!$AB$2:$AB$495&gt;=5)*('CONTROL MASTER'!$AA$2:$AA$495&lt;=1)*('CONTROL MASTER'!$AC$2:$AC$495&gt;=1))*ROW('CONTROL MASTER'!$S$2:$S$495))&gt;0,INDEX('CONTROL MASTER'!$X$2:$X$495,(SUMPRODUCT((('CONTROL MASTER'!$S$2:$S$495=4)*('CONTROL MASTER'!$Z$2:$Z$495&lt;=5)*('CONTROL MASTER'!$AB$2:$AB$495&gt;=5)*('CONTROL MASTER'!$AA$2:$AA$495&lt;=1)*('CONTROL MASTER'!$AC$2:$AC$495&gt;=1))*ROW('CONTROL MASTER'!$S$2:$S$495))-(ROW('CONTROL MASTER'!#REF!)-1)))&amp;TRIM(MID(SUBSTITUTE(SUBSTITUTE(INDEX('CONTROL MASTER'!$N$2:$N$495,(SUMPRODUCT((('CONTROL MASTER'!$S$2:$S$495=4)*('CONTROL MASTER'!$Z$2:$Z$495&lt;=5)*('CONTROL MASTER'!$AB$2:$AB$495&gt;=5)*('CONTROL MASTER'!$AA$2:$AA$495&lt;=1)*('CONTROL MASTER'!$AC$2:$AC$495&gt;=1))*ROW('CONTROL MASTER'!$S$2:$S$495))-(ROW('CONTROL MASTER'!#REF!)-1))),":",","),",",REPT(" ",50)),(((INDEX('CONTROL MASTER'!$Y$2:$Y$495,(SUMPRODUCT((('CONTROL MASTER'!$S$2:$S$495=4)*('CONTROL MASTER'!$Z$2:$Z$495&lt;=5)*('CONTROL MASTER'!$AB$2:$AB$495&gt;=5)*('CONTROL MASTER'!$AA$2:$AA$495&lt;=1)*('CONTROL MASTER'!$AC$2:$AC$495&gt;=1))*ROW('CONTROL MASTER'!$S$2:$S$495))-(ROW('CONTROL MASTER'!#REF!)-1)))+((5-INDEX('CONTROL MASTER'!$Z$2:$Z$495,(SUMPRODUCT((('CONTROL MASTER'!$S$2:$S$495=4)*('CONTROL MASTER'!$Z$2:$Z$495&lt;=5)*('CONTROL MASTER'!$AB$2:$AB$495&gt;=5)*('CONTROL MASTER'!$AA$2:$AA$495&lt;=1)*('CONTROL MASTER'!$AC$2:$AC$495&gt;=1))*ROW('CONTROL MASTER'!$S$2:$S$495))-(ROW('CONTROL MASTER'!#REF!)-1))))*(INDEX('CONTROL MASTER'!$AC$2:$AC$495,(SUMPRODUCT((('CONTROL MASTER'!$S$2:$S$495=4)*('CONTROL MASTER'!$Z$2:$Z$495&lt;=5)*('CONTROL MASTER'!$AB$2:$AB$495&gt;=5)*('CONTROL MASTER'!$AA$2:$AA$495&lt;=1)*('CONTROL MASTER'!$AC$2:$AC$495&gt;=1))*ROW('CONTROL MASTER'!$S$2:$S$495))-(ROW('CONTROL MASTER'!#REF!)-1)))-INDEX('CONTROL MASTER'!$AA$2:$AA$495,(SUMPRODUCT((('CONTROL MASTER'!$S$2:$S$495=4)*('CONTROL MASTER'!$Z$2:$Z$495&lt;=5)*('CONTROL MASTER'!$AB$2:$AB$495&gt;=5)*('CONTROL MASTER'!$AA$2:$AA$495&lt;=1)*('CONTROL MASTER'!$AC$2:$AC$495&gt;=1))*ROW('CONTROL MASTER'!$S$2:$S$495))-(ROW('CONTROL MASTER'!#REF!)-1)))+1)+(1-INDEX('CONTROL MASTER'!$AA$2:$AA$495,(SUMPRODUCT((('CONTROL MASTER'!$S$2:$S$495=4)*('CONTROL MASTER'!$Z$2:$Z$495&lt;=5)*('CONTROL MASTER'!$AB$2:$AB$495&gt;=5)*('CONTROL MASTER'!$AA$2:$AA$495&lt;=1)*('CONTROL MASTER'!$AC$2:$AC$495&gt;=1))*ROW('CONTROL MASTER'!$S$2:$S$495))-(ROW('CONTROL MASTER'!#REF!)-1))))+1)))-1)*50+1,50))&amp;"_"&amp;INDEX('CONTROL MASTER'!$P$2:$P$495,(SUMPRODUCT((('CONTROL MASTER'!$S$2:$S$495=4)*('CONTROL MASTER'!$Z$2:$Z$495&lt;=5)*('CONTROL MASTER'!$AB$2:$AB$495&gt;=5)*('CONTROL MASTER'!$AA$2:$AA$495&lt;=1)*('CONTROL MASTER'!$AC$2:$AC$495&gt;=1))*ROW('CONTROL MASTER'!$S$2:$S$495))-(ROW('CONTROL MASTER'!#REF!)-1))),"")),"")</f>
        <v/>
      </c>
      <c r="C49" s="10" t="str">
        <f>IFERROR(IF(SUMPRODUCT((('CONTROL MASTER'!$S$2:$S$495=4)*('CONTROL MASTER'!$T$2:$T$495&lt;=5)*('CONTROL MASTER'!$V$2:$V$495&gt;=5)*('CONTROL MASTER'!$U$2:$U$495&lt;=2)*('CONTROL MASTER'!$W$2:$W$495&gt;=2))*ROW('CONTROL MASTER'!$S$2:$S$495))&gt;0,INDEX('CONTROL MASTER'!$X$2:$X$495,(SUMPRODUCT((('CONTROL MASTER'!$S$2:$S$495=4)*('CONTROL MASTER'!$T$2:$T$495&lt;=5)*('CONTROL MASTER'!$V$2:$V$495&gt;=5)*('CONTROL MASTER'!$U$2:$U$495&lt;=2)*('CONTROL MASTER'!$W$2:$W$495&gt;=2))*ROW('CONTROL MASTER'!$S$2:$S$495))-(ROW('CONTROL MASTER'!#REF!)-1)))&amp;TRIM(MID(SUBSTITUTE(SUBSTITUTE(INDEX('CONTROL MASTER'!$N$2:$N$495,(SUMPRODUCT((('CONTROL MASTER'!$S$2:$S$495=4)*('CONTROL MASTER'!$T$2:$T$495&lt;=5)*('CONTROL MASTER'!$V$2:$V$495&gt;=5)*('CONTROL MASTER'!$U$2:$U$495&lt;=2)*('CONTROL MASTER'!$W$2:$W$495&gt;=2))*ROW('CONTROL MASTER'!$S$2:$S$495))-(ROW('CONTROL MASTER'!#REF!)-1))),":",","),",",REPT(" ",50)),((((5-INDEX('CONTROL MASTER'!$T$2:$T$495,(SUMPRODUCT((('CONTROL MASTER'!$S$2:$S$495=4)*('CONTROL MASTER'!$T$2:$T$495&lt;=5)*('CONTROL MASTER'!$V$2:$V$495&gt;=5)*('CONTROL MASTER'!$U$2:$U$495&lt;=2)*('CONTROL MASTER'!$W$2:$W$495&gt;=2))*ROW('CONTROL MASTER'!$S$2:$S$495))-(ROW('CONTROL MASTER'!#REF!)-1))))*(INDEX('CONTROL MASTER'!$W$2:$W$495,(SUMPRODUCT((('CONTROL MASTER'!$S$2:$S$495=4)*('CONTROL MASTER'!$T$2:$T$495&lt;=5)*('CONTROL MASTER'!$V$2:$V$495&gt;=5)*('CONTROL MASTER'!$U$2:$U$495&lt;=2)*('CONTROL MASTER'!$W$2:$W$495&gt;=2))*ROW('CONTROL MASTER'!$S$2:$S$495))-(ROW('CONTROL MASTER'!#REF!)-1)))-INDEX('CONTROL MASTER'!$U$2:$U$495,(SUMPRODUCT((('CONTROL MASTER'!$S$2:$S$495=4)*('CONTROL MASTER'!$T$2:$T$495&lt;=5)*('CONTROL MASTER'!$V$2:$V$495&gt;=5)*('CONTROL MASTER'!$U$2:$U$495&lt;=2)*('CONTROL MASTER'!$W$2:$W$495&gt;=2))*ROW('CONTROL MASTER'!$S$2:$S$495))-(ROW('CONTROL MASTER'!#REF!)-1)))+1)+(2-INDEX('CONTROL MASTER'!$U$2:$U$495,(SUMPRODUCT((('CONTROL MASTER'!$S$2:$S$495=4)*('CONTROL MASTER'!$T$2:$T$495&lt;=5)*('CONTROL MASTER'!$V$2:$V$495&gt;=5)*('CONTROL MASTER'!$U$2:$U$495&lt;=2)*('CONTROL MASTER'!$W$2:$W$495&gt;=2))*ROW('CONTROL MASTER'!$S$2:$S$495))-(ROW('CONTROL MASTER'!#REF!)-1))))+1))-1)*50+1,50))&amp;"_"&amp;INDEX('CONTROL MASTER'!$P$2:$P$495,(SUMPRODUCT((('CONTROL MASTER'!$S$2:$S$495=4)*('CONTROL MASTER'!$T$2:$T$495&lt;=5)*('CONTROL MASTER'!$V$2:$V$495&gt;=5)*('CONTROL MASTER'!$U$2:$U$495&lt;=2)*('CONTROL MASTER'!$W$2:$W$495&gt;=2))*ROW('CONTROL MASTER'!$S$2:$S$495))-(ROW('CONTROL MASTER'!#REF!)-1))),IF(SUMPRODUCT((('CONTROL MASTER'!$S$2:$S$495=4)*('CONTROL MASTER'!$Z$2:$Z$495&lt;=5)*('CONTROL MASTER'!$AB$2:$AB$495&gt;=5)*('CONTROL MASTER'!$AA$2:$AA$495&lt;=2)*('CONTROL MASTER'!$AC$2:$AC$495&gt;=2))*ROW('CONTROL MASTER'!$S$2:$S$495))&gt;0,INDEX('CONTROL MASTER'!$X$2:$X$495,(SUMPRODUCT((('CONTROL MASTER'!$S$2:$S$495=4)*('CONTROL MASTER'!$Z$2:$Z$495&lt;=5)*('CONTROL MASTER'!$AB$2:$AB$495&gt;=5)*('CONTROL MASTER'!$AA$2:$AA$495&lt;=2)*('CONTROL MASTER'!$AC$2:$AC$495&gt;=2))*ROW('CONTROL MASTER'!$S$2:$S$495))-(ROW('CONTROL MASTER'!#REF!)-1)))&amp;TRIM(MID(SUBSTITUTE(SUBSTITUTE(INDEX('CONTROL MASTER'!$N$2:$N$495,(SUMPRODUCT((('CONTROL MASTER'!$S$2:$S$495=4)*('CONTROL MASTER'!$Z$2:$Z$495&lt;=5)*('CONTROL MASTER'!$AB$2:$AB$495&gt;=5)*('CONTROL MASTER'!$AA$2:$AA$495&lt;=2)*('CONTROL MASTER'!$AC$2:$AC$495&gt;=2))*ROW('CONTROL MASTER'!$S$2:$S$495))-(ROW('CONTROL MASTER'!#REF!)-1))),":",","),",",REPT(" ",50)),(((INDEX('CONTROL MASTER'!$Y$2:$Y$495,(SUMPRODUCT((('CONTROL MASTER'!$S$2:$S$495=4)*('CONTROL MASTER'!$Z$2:$Z$495&lt;=5)*('CONTROL MASTER'!$AB$2:$AB$495&gt;=5)*('CONTROL MASTER'!$AA$2:$AA$495&lt;=2)*('CONTROL MASTER'!$AC$2:$AC$495&gt;=2))*ROW('CONTROL MASTER'!$S$2:$S$495))-(ROW('CONTROL MASTER'!#REF!)-1)))+((5-INDEX('CONTROL MASTER'!$Z$2:$Z$495,(SUMPRODUCT((('CONTROL MASTER'!$S$2:$S$495=4)*('CONTROL MASTER'!$Z$2:$Z$495&lt;=5)*('CONTROL MASTER'!$AB$2:$AB$495&gt;=5)*('CONTROL MASTER'!$AA$2:$AA$495&lt;=2)*('CONTROL MASTER'!$AC$2:$AC$495&gt;=2))*ROW('CONTROL MASTER'!$S$2:$S$495))-(ROW('CONTROL MASTER'!#REF!)-1))))*(INDEX('CONTROL MASTER'!$AC$2:$AC$495,(SUMPRODUCT((('CONTROL MASTER'!$S$2:$S$495=4)*('CONTROL MASTER'!$Z$2:$Z$495&lt;=5)*('CONTROL MASTER'!$AB$2:$AB$495&gt;=5)*('CONTROL MASTER'!$AA$2:$AA$495&lt;=2)*('CONTROL MASTER'!$AC$2:$AC$495&gt;=2))*ROW('CONTROL MASTER'!$S$2:$S$495))-(ROW('CONTROL MASTER'!#REF!)-1)))-INDEX('CONTROL MASTER'!$AA$2:$AA$495,(SUMPRODUCT((('CONTROL MASTER'!$S$2:$S$495=4)*('CONTROL MASTER'!$Z$2:$Z$495&lt;=5)*('CONTROL MASTER'!$AB$2:$AB$495&gt;=5)*('CONTROL MASTER'!$AA$2:$AA$495&lt;=2)*('CONTROL MASTER'!$AC$2:$AC$495&gt;=2))*ROW('CONTROL MASTER'!$S$2:$S$495))-(ROW('CONTROL MASTER'!#REF!)-1)))+1)+(2-INDEX('CONTROL MASTER'!$AA$2:$AA$495,(SUMPRODUCT((('CONTROL MASTER'!$S$2:$S$495=4)*('CONTROL MASTER'!$Z$2:$Z$495&lt;=5)*('CONTROL MASTER'!$AB$2:$AB$495&gt;=5)*('CONTROL MASTER'!$AA$2:$AA$495&lt;=2)*('CONTROL MASTER'!$AC$2:$AC$495&gt;=2))*ROW('CONTROL MASTER'!$S$2:$S$495))-(ROW('CONTROL MASTER'!#REF!)-1))))+1)))-1)*50+1,50))&amp;"_"&amp;INDEX('CONTROL MASTER'!$P$2:$P$495,(SUMPRODUCT((('CONTROL MASTER'!$S$2:$S$495=4)*('CONTROL MASTER'!$Z$2:$Z$495&lt;=5)*('CONTROL MASTER'!$AB$2:$AB$495&gt;=5)*('CONTROL MASTER'!$AA$2:$AA$495&lt;=2)*('CONTROL MASTER'!$AC$2:$AC$495&gt;=2))*ROW('CONTROL MASTER'!$S$2:$S$495))-(ROW('CONTROL MASTER'!#REF!)-1))),"")),"")</f>
        <v/>
      </c>
      <c r="D49" s="10" t="str">
        <f>IFERROR(IF(SUMPRODUCT((('CONTROL MASTER'!$S$2:$S$495=4)*('CONTROL MASTER'!$T$2:$T$495&lt;=5)*('CONTROL MASTER'!$V$2:$V$495&gt;=5)*('CONTROL MASTER'!$U$2:$U$495&lt;=3)*('CONTROL MASTER'!$W$2:$W$495&gt;=3))*ROW('CONTROL MASTER'!$S$2:$S$495))&gt;0,INDEX('CONTROL MASTER'!$X$2:$X$495,(SUMPRODUCT((('CONTROL MASTER'!$S$2:$S$495=4)*('CONTROL MASTER'!$T$2:$T$495&lt;=5)*('CONTROL MASTER'!$V$2:$V$495&gt;=5)*('CONTROL MASTER'!$U$2:$U$495&lt;=3)*('CONTROL MASTER'!$W$2:$W$495&gt;=3))*ROW('CONTROL MASTER'!$S$2:$S$495))-(ROW('CONTROL MASTER'!#REF!)-1)))&amp;TRIM(MID(SUBSTITUTE(SUBSTITUTE(INDEX('CONTROL MASTER'!$N$2:$N$495,(SUMPRODUCT((('CONTROL MASTER'!$S$2:$S$495=4)*('CONTROL MASTER'!$T$2:$T$495&lt;=5)*('CONTROL MASTER'!$V$2:$V$495&gt;=5)*('CONTROL MASTER'!$U$2:$U$495&lt;=3)*('CONTROL MASTER'!$W$2:$W$495&gt;=3))*ROW('CONTROL MASTER'!$S$2:$S$495))-(ROW('CONTROL MASTER'!#REF!)-1))),":",","),",",REPT(" ",50)),((((5-INDEX('CONTROL MASTER'!$T$2:$T$495,(SUMPRODUCT((('CONTROL MASTER'!$S$2:$S$495=4)*('CONTROL MASTER'!$T$2:$T$495&lt;=5)*('CONTROL MASTER'!$V$2:$V$495&gt;=5)*('CONTROL MASTER'!$U$2:$U$495&lt;=3)*('CONTROL MASTER'!$W$2:$W$495&gt;=3))*ROW('CONTROL MASTER'!$S$2:$S$495))-(ROW('CONTROL MASTER'!#REF!)-1))))*(INDEX('CONTROL MASTER'!$W$2:$W$495,(SUMPRODUCT((('CONTROL MASTER'!$S$2:$S$495=4)*('CONTROL MASTER'!$T$2:$T$495&lt;=5)*('CONTROL MASTER'!$V$2:$V$495&gt;=5)*('CONTROL MASTER'!$U$2:$U$495&lt;=3)*('CONTROL MASTER'!$W$2:$W$495&gt;=3))*ROW('CONTROL MASTER'!$S$2:$S$495))-(ROW('CONTROL MASTER'!#REF!)-1)))-INDEX('CONTROL MASTER'!$U$2:$U$495,(SUMPRODUCT((('CONTROL MASTER'!$S$2:$S$495=4)*('CONTROL MASTER'!$T$2:$T$495&lt;=5)*('CONTROL MASTER'!$V$2:$V$495&gt;=5)*('CONTROL MASTER'!$U$2:$U$495&lt;=3)*('CONTROL MASTER'!$W$2:$W$495&gt;=3))*ROW('CONTROL MASTER'!$S$2:$S$495))-(ROW('CONTROL MASTER'!#REF!)-1)))+1)+(3-INDEX('CONTROL MASTER'!$U$2:$U$495,(SUMPRODUCT((('CONTROL MASTER'!$S$2:$S$495=4)*('CONTROL MASTER'!$T$2:$T$495&lt;=5)*('CONTROL MASTER'!$V$2:$V$495&gt;=5)*('CONTROL MASTER'!$U$2:$U$495&lt;=3)*('CONTROL MASTER'!$W$2:$W$495&gt;=3))*ROW('CONTROL MASTER'!$S$2:$S$495))-(ROW('CONTROL MASTER'!#REF!)-1))))+1))-1)*50+1,50))&amp;"_"&amp;INDEX('CONTROL MASTER'!$P$2:$P$495,(SUMPRODUCT((('CONTROL MASTER'!$S$2:$S$495=4)*('CONTROL MASTER'!$T$2:$T$495&lt;=5)*('CONTROL MASTER'!$V$2:$V$495&gt;=5)*('CONTROL MASTER'!$U$2:$U$495&lt;=3)*('CONTROL MASTER'!$W$2:$W$495&gt;=3))*ROW('CONTROL MASTER'!$S$2:$S$495))-(ROW('CONTROL MASTER'!#REF!)-1))),IF(SUMPRODUCT((('CONTROL MASTER'!$S$2:$S$495=4)*('CONTROL MASTER'!$Z$2:$Z$495&lt;=5)*('CONTROL MASTER'!$AB$2:$AB$495&gt;=5)*('CONTROL MASTER'!$AA$2:$AA$495&lt;=3)*('CONTROL MASTER'!$AC$2:$AC$495&gt;=3))*ROW('CONTROL MASTER'!$S$2:$S$495))&gt;0,INDEX('CONTROL MASTER'!$X$2:$X$495,(SUMPRODUCT((('CONTROL MASTER'!$S$2:$S$495=4)*('CONTROL MASTER'!$Z$2:$Z$495&lt;=5)*('CONTROL MASTER'!$AB$2:$AB$495&gt;=5)*('CONTROL MASTER'!$AA$2:$AA$495&lt;=3)*('CONTROL MASTER'!$AC$2:$AC$495&gt;=3))*ROW('CONTROL MASTER'!$S$2:$S$495))-(ROW('CONTROL MASTER'!#REF!)-1)))&amp;TRIM(MID(SUBSTITUTE(SUBSTITUTE(INDEX('CONTROL MASTER'!$N$2:$N$495,(SUMPRODUCT((('CONTROL MASTER'!$S$2:$S$495=4)*('CONTROL MASTER'!$Z$2:$Z$495&lt;=5)*('CONTROL MASTER'!$AB$2:$AB$495&gt;=5)*('CONTROL MASTER'!$AA$2:$AA$495&lt;=3)*('CONTROL MASTER'!$AC$2:$AC$495&gt;=3))*ROW('CONTROL MASTER'!$S$2:$S$495))-(ROW('CONTROL MASTER'!#REF!)-1))),":",","),",",REPT(" ",50)),(((INDEX('CONTROL MASTER'!$Y$2:$Y$495,(SUMPRODUCT((('CONTROL MASTER'!$S$2:$S$495=4)*('CONTROL MASTER'!$Z$2:$Z$495&lt;=5)*('CONTROL MASTER'!$AB$2:$AB$495&gt;=5)*('CONTROL MASTER'!$AA$2:$AA$495&lt;=3)*('CONTROL MASTER'!$AC$2:$AC$495&gt;=3))*ROW('CONTROL MASTER'!$S$2:$S$495))-(ROW('CONTROL MASTER'!#REF!)-1)))+((5-INDEX('CONTROL MASTER'!$Z$2:$Z$495,(SUMPRODUCT((('CONTROL MASTER'!$S$2:$S$495=4)*('CONTROL MASTER'!$Z$2:$Z$495&lt;=5)*('CONTROL MASTER'!$AB$2:$AB$495&gt;=5)*('CONTROL MASTER'!$AA$2:$AA$495&lt;=3)*('CONTROL MASTER'!$AC$2:$AC$495&gt;=3))*ROW('CONTROL MASTER'!$S$2:$S$495))-(ROW('CONTROL MASTER'!#REF!)-1))))*(INDEX('CONTROL MASTER'!$AC$2:$AC$495,(SUMPRODUCT((('CONTROL MASTER'!$S$2:$S$495=4)*('CONTROL MASTER'!$Z$2:$Z$495&lt;=5)*('CONTROL MASTER'!$AB$2:$AB$495&gt;=5)*('CONTROL MASTER'!$AA$2:$AA$495&lt;=3)*('CONTROL MASTER'!$AC$2:$AC$495&gt;=3))*ROW('CONTROL MASTER'!$S$2:$S$495))-(ROW('CONTROL MASTER'!#REF!)-1)))-INDEX('CONTROL MASTER'!$AA$2:$AA$495,(SUMPRODUCT((('CONTROL MASTER'!$S$2:$S$495=4)*('CONTROL MASTER'!$Z$2:$Z$495&lt;=5)*('CONTROL MASTER'!$AB$2:$AB$495&gt;=5)*('CONTROL MASTER'!$AA$2:$AA$495&lt;=3)*('CONTROL MASTER'!$AC$2:$AC$495&gt;=3))*ROW('CONTROL MASTER'!$S$2:$S$495))-(ROW('CONTROL MASTER'!#REF!)-1)))+1)+(3-INDEX('CONTROL MASTER'!$AA$2:$AA$495,(SUMPRODUCT((('CONTROL MASTER'!$S$2:$S$495=4)*('CONTROL MASTER'!$Z$2:$Z$495&lt;=5)*('CONTROL MASTER'!$AB$2:$AB$495&gt;=5)*('CONTROL MASTER'!$AA$2:$AA$495&lt;=3)*('CONTROL MASTER'!$AC$2:$AC$495&gt;=3))*ROW('CONTROL MASTER'!$S$2:$S$495))-(ROW('CONTROL MASTER'!#REF!)-1))))+1)))-1)*50+1,50))&amp;"_"&amp;INDEX('CONTROL MASTER'!$P$2:$P$495,(SUMPRODUCT((('CONTROL MASTER'!$S$2:$S$495=4)*('CONTROL MASTER'!$Z$2:$Z$495&lt;=5)*('CONTROL MASTER'!$AB$2:$AB$495&gt;=5)*('CONTROL MASTER'!$AA$2:$AA$495&lt;=3)*('CONTROL MASTER'!$AC$2:$AC$495&gt;=3))*ROW('CONTROL MASTER'!$S$2:$S$495))-(ROW('CONTROL MASTER'!#REF!)-1))),"")),"")</f>
        <v/>
      </c>
      <c r="E49" s="10" t="str">
        <f>IFERROR(IF(SUMPRODUCT((('CONTROL MASTER'!$S$2:$S$495=4)*('CONTROL MASTER'!$T$2:$T$495&lt;=5)*('CONTROL MASTER'!$V$2:$V$495&gt;=5)*('CONTROL MASTER'!$U$2:$U$495&lt;=4)*('CONTROL MASTER'!$W$2:$W$495&gt;=4))*ROW('CONTROL MASTER'!$S$2:$S$495))&gt;0,INDEX('CONTROL MASTER'!$X$2:$X$495,(SUMPRODUCT((('CONTROL MASTER'!$S$2:$S$495=4)*('CONTROL MASTER'!$T$2:$T$495&lt;=5)*('CONTROL MASTER'!$V$2:$V$495&gt;=5)*('CONTROL MASTER'!$U$2:$U$495&lt;=4)*('CONTROL MASTER'!$W$2:$W$495&gt;=4))*ROW('CONTROL MASTER'!$S$2:$S$495))-(ROW('CONTROL MASTER'!#REF!)-1)))&amp;TRIM(MID(SUBSTITUTE(SUBSTITUTE(INDEX('CONTROL MASTER'!$N$2:$N$495,(SUMPRODUCT((('CONTROL MASTER'!$S$2:$S$495=4)*('CONTROL MASTER'!$T$2:$T$495&lt;=5)*('CONTROL MASTER'!$V$2:$V$495&gt;=5)*('CONTROL MASTER'!$U$2:$U$495&lt;=4)*('CONTROL MASTER'!$W$2:$W$495&gt;=4))*ROW('CONTROL MASTER'!$S$2:$S$495))-(ROW('CONTROL MASTER'!#REF!)-1))),":",","),",",REPT(" ",50)),((((5-INDEX('CONTROL MASTER'!$T$2:$T$495,(SUMPRODUCT((('CONTROL MASTER'!$S$2:$S$495=4)*('CONTROL MASTER'!$T$2:$T$495&lt;=5)*('CONTROL MASTER'!$V$2:$V$495&gt;=5)*('CONTROL MASTER'!$U$2:$U$495&lt;=4)*('CONTROL MASTER'!$W$2:$W$495&gt;=4))*ROW('CONTROL MASTER'!$S$2:$S$495))-(ROW('CONTROL MASTER'!#REF!)-1))))*(INDEX('CONTROL MASTER'!$W$2:$W$495,(SUMPRODUCT((('CONTROL MASTER'!$S$2:$S$495=4)*('CONTROL MASTER'!$T$2:$T$495&lt;=5)*('CONTROL MASTER'!$V$2:$V$495&gt;=5)*('CONTROL MASTER'!$U$2:$U$495&lt;=4)*('CONTROL MASTER'!$W$2:$W$495&gt;=4))*ROW('CONTROL MASTER'!$S$2:$S$495))-(ROW('CONTROL MASTER'!#REF!)-1)))-INDEX('CONTROL MASTER'!$U$2:$U$495,(SUMPRODUCT((('CONTROL MASTER'!$S$2:$S$495=4)*('CONTROL MASTER'!$T$2:$T$495&lt;=5)*('CONTROL MASTER'!$V$2:$V$495&gt;=5)*('CONTROL MASTER'!$U$2:$U$495&lt;=4)*('CONTROL MASTER'!$W$2:$W$495&gt;=4))*ROW('CONTROL MASTER'!$S$2:$S$495))-(ROW('CONTROL MASTER'!#REF!)-1)))+1)+(4-INDEX('CONTROL MASTER'!$U$2:$U$495,(SUMPRODUCT((('CONTROL MASTER'!$S$2:$S$495=4)*('CONTROL MASTER'!$T$2:$T$495&lt;=5)*('CONTROL MASTER'!$V$2:$V$495&gt;=5)*('CONTROL MASTER'!$U$2:$U$495&lt;=4)*('CONTROL MASTER'!$W$2:$W$495&gt;=4))*ROW('CONTROL MASTER'!$S$2:$S$495))-(ROW('CONTROL MASTER'!#REF!)-1))))+1))-1)*50+1,50))&amp;"_"&amp;INDEX('CONTROL MASTER'!$P$2:$P$495,(SUMPRODUCT((('CONTROL MASTER'!$S$2:$S$495=4)*('CONTROL MASTER'!$T$2:$T$495&lt;=5)*('CONTROL MASTER'!$V$2:$V$495&gt;=5)*('CONTROL MASTER'!$U$2:$U$495&lt;=4)*('CONTROL MASTER'!$W$2:$W$495&gt;=4))*ROW('CONTROL MASTER'!$S$2:$S$495))-(ROW('CONTROL MASTER'!#REF!)-1))),IF(SUMPRODUCT((('CONTROL MASTER'!$S$2:$S$495=4)*('CONTROL MASTER'!$Z$2:$Z$495&lt;=5)*('CONTROL MASTER'!$AB$2:$AB$495&gt;=5)*('CONTROL MASTER'!$AA$2:$AA$495&lt;=4)*('CONTROL MASTER'!$AC$2:$AC$495&gt;=4))*ROW('CONTROL MASTER'!$S$2:$S$495))&gt;0,INDEX('CONTROL MASTER'!$X$2:$X$495,(SUMPRODUCT((('CONTROL MASTER'!$S$2:$S$495=4)*('CONTROL MASTER'!$Z$2:$Z$495&lt;=5)*('CONTROL MASTER'!$AB$2:$AB$495&gt;=5)*('CONTROL MASTER'!$AA$2:$AA$495&lt;=4)*('CONTROL MASTER'!$AC$2:$AC$495&gt;=4))*ROW('CONTROL MASTER'!$S$2:$S$495))-(ROW('CONTROL MASTER'!#REF!)-1)))&amp;TRIM(MID(SUBSTITUTE(SUBSTITUTE(INDEX('CONTROL MASTER'!$N$2:$N$495,(SUMPRODUCT((('CONTROL MASTER'!$S$2:$S$495=4)*('CONTROL MASTER'!$Z$2:$Z$495&lt;=5)*('CONTROL MASTER'!$AB$2:$AB$495&gt;=5)*('CONTROL MASTER'!$AA$2:$AA$495&lt;=4)*('CONTROL MASTER'!$AC$2:$AC$495&gt;=4))*ROW('CONTROL MASTER'!$S$2:$S$495))-(ROW('CONTROL MASTER'!#REF!)-1))),":",","),",",REPT(" ",50)),(((INDEX('CONTROL MASTER'!$Y$2:$Y$495,(SUMPRODUCT((('CONTROL MASTER'!$S$2:$S$495=4)*('CONTROL MASTER'!$Z$2:$Z$495&lt;=5)*('CONTROL MASTER'!$AB$2:$AB$495&gt;=5)*('CONTROL MASTER'!$AA$2:$AA$495&lt;=4)*('CONTROL MASTER'!$AC$2:$AC$495&gt;=4))*ROW('CONTROL MASTER'!$S$2:$S$495))-(ROW('CONTROL MASTER'!#REF!)-1)))+((5-INDEX('CONTROL MASTER'!$Z$2:$Z$495,(SUMPRODUCT((('CONTROL MASTER'!$S$2:$S$495=4)*('CONTROL MASTER'!$Z$2:$Z$495&lt;=5)*('CONTROL MASTER'!$AB$2:$AB$495&gt;=5)*('CONTROL MASTER'!$AA$2:$AA$495&lt;=4)*('CONTROL MASTER'!$AC$2:$AC$495&gt;=4))*ROW('CONTROL MASTER'!$S$2:$S$495))-(ROW('CONTROL MASTER'!#REF!)-1))))*(INDEX('CONTROL MASTER'!$AC$2:$AC$495,(SUMPRODUCT((('CONTROL MASTER'!$S$2:$S$495=4)*('CONTROL MASTER'!$Z$2:$Z$495&lt;=5)*('CONTROL MASTER'!$AB$2:$AB$495&gt;=5)*('CONTROL MASTER'!$AA$2:$AA$495&lt;=4)*('CONTROL MASTER'!$AC$2:$AC$495&gt;=4))*ROW('CONTROL MASTER'!$S$2:$S$495))-(ROW('CONTROL MASTER'!#REF!)-1)))-INDEX('CONTROL MASTER'!$AA$2:$AA$495,(SUMPRODUCT((('CONTROL MASTER'!$S$2:$S$495=4)*('CONTROL MASTER'!$Z$2:$Z$495&lt;=5)*('CONTROL MASTER'!$AB$2:$AB$495&gt;=5)*('CONTROL MASTER'!$AA$2:$AA$495&lt;=4)*('CONTROL MASTER'!$AC$2:$AC$495&gt;=4))*ROW('CONTROL MASTER'!$S$2:$S$495))-(ROW('CONTROL MASTER'!#REF!)-1)))+1)+(4-INDEX('CONTROL MASTER'!$AA$2:$AA$495,(SUMPRODUCT((('CONTROL MASTER'!$S$2:$S$495=4)*('CONTROL MASTER'!$Z$2:$Z$495&lt;=5)*('CONTROL MASTER'!$AB$2:$AB$495&gt;=5)*('CONTROL MASTER'!$AA$2:$AA$495&lt;=4)*('CONTROL MASTER'!$AC$2:$AC$495&gt;=4))*ROW('CONTROL MASTER'!$S$2:$S$495))-(ROW('CONTROL MASTER'!#REF!)-1))))+1)))-1)*50+1,50))&amp;"_"&amp;INDEX('CONTROL MASTER'!$P$2:$P$495,(SUMPRODUCT((('CONTROL MASTER'!$S$2:$S$495=4)*('CONTROL MASTER'!$Z$2:$Z$495&lt;=5)*('CONTROL MASTER'!$AB$2:$AB$495&gt;=5)*('CONTROL MASTER'!$AA$2:$AA$495&lt;=4)*('CONTROL MASTER'!$AC$2:$AC$495&gt;=4))*ROW('CONTROL MASTER'!$S$2:$S$495))-(ROW('CONTROL MASTER'!#REF!)-1))),"")),"")</f>
        <v/>
      </c>
      <c r="F49" s="10" t="str">
        <f>IFERROR(IF(SUMPRODUCT((('CONTROL MASTER'!$S$2:$S$495=4)*('CONTROL MASTER'!$T$2:$T$495&lt;=5)*('CONTROL MASTER'!$V$2:$V$495&gt;=5)*('CONTROL MASTER'!$U$2:$U$495&lt;=5)*('CONTROL MASTER'!$W$2:$W$495&gt;=5))*ROW('CONTROL MASTER'!$S$2:$S$495))&gt;0,INDEX('CONTROL MASTER'!$X$2:$X$495,(SUMPRODUCT((('CONTROL MASTER'!$S$2:$S$495=4)*('CONTROL MASTER'!$T$2:$T$495&lt;=5)*('CONTROL MASTER'!$V$2:$V$495&gt;=5)*('CONTROL MASTER'!$U$2:$U$495&lt;=5)*('CONTROL MASTER'!$W$2:$W$495&gt;=5))*ROW('CONTROL MASTER'!$S$2:$S$495))-(ROW('CONTROL MASTER'!#REF!)-1)))&amp;TRIM(MID(SUBSTITUTE(SUBSTITUTE(INDEX('CONTROL MASTER'!$N$2:$N$495,(SUMPRODUCT((('CONTROL MASTER'!$S$2:$S$495=4)*('CONTROL MASTER'!$T$2:$T$495&lt;=5)*('CONTROL MASTER'!$V$2:$V$495&gt;=5)*('CONTROL MASTER'!$U$2:$U$495&lt;=5)*('CONTROL MASTER'!$W$2:$W$495&gt;=5))*ROW('CONTROL MASTER'!$S$2:$S$495))-(ROW('CONTROL MASTER'!#REF!)-1))),":",","),",",REPT(" ",50)),((((5-INDEX('CONTROL MASTER'!$T$2:$T$495,(SUMPRODUCT((('CONTROL MASTER'!$S$2:$S$495=4)*('CONTROL MASTER'!$T$2:$T$495&lt;=5)*('CONTROL MASTER'!$V$2:$V$495&gt;=5)*('CONTROL MASTER'!$U$2:$U$495&lt;=5)*('CONTROL MASTER'!$W$2:$W$495&gt;=5))*ROW('CONTROL MASTER'!$S$2:$S$495))-(ROW('CONTROL MASTER'!#REF!)-1))))*(INDEX('CONTROL MASTER'!$W$2:$W$495,(SUMPRODUCT((('CONTROL MASTER'!$S$2:$S$495=4)*('CONTROL MASTER'!$T$2:$T$495&lt;=5)*('CONTROL MASTER'!$V$2:$V$495&gt;=5)*('CONTROL MASTER'!$U$2:$U$495&lt;=5)*('CONTROL MASTER'!$W$2:$W$495&gt;=5))*ROW('CONTROL MASTER'!$S$2:$S$495))-(ROW('CONTROL MASTER'!#REF!)-1)))-INDEX('CONTROL MASTER'!$U$2:$U$495,(SUMPRODUCT((('CONTROL MASTER'!$S$2:$S$495=4)*('CONTROL MASTER'!$T$2:$T$495&lt;=5)*('CONTROL MASTER'!$V$2:$V$495&gt;=5)*('CONTROL MASTER'!$U$2:$U$495&lt;=5)*('CONTROL MASTER'!$W$2:$W$495&gt;=5))*ROW('CONTROL MASTER'!$S$2:$S$495))-(ROW('CONTROL MASTER'!#REF!)-1)))+1)+(5-INDEX('CONTROL MASTER'!$U$2:$U$495,(SUMPRODUCT((('CONTROL MASTER'!$S$2:$S$495=4)*('CONTROL MASTER'!$T$2:$T$495&lt;=5)*('CONTROL MASTER'!$V$2:$V$495&gt;=5)*('CONTROL MASTER'!$U$2:$U$495&lt;=5)*('CONTROL MASTER'!$W$2:$W$495&gt;=5))*ROW('CONTROL MASTER'!$S$2:$S$495))-(ROW('CONTROL MASTER'!#REF!)-1))))+1))-1)*50+1,50))&amp;"_"&amp;INDEX('CONTROL MASTER'!$P$2:$P$495,(SUMPRODUCT((('CONTROL MASTER'!$S$2:$S$495=4)*('CONTROL MASTER'!$T$2:$T$495&lt;=5)*('CONTROL MASTER'!$V$2:$V$495&gt;=5)*('CONTROL MASTER'!$U$2:$U$495&lt;=5)*('CONTROL MASTER'!$W$2:$W$495&gt;=5))*ROW('CONTROL MASTER'!$S$2:$S$495))-(ROW('CONTROL MASTER'!#REF!)-1))),IF(SUMPRODUCT((('CONTROL MASTER'!$S$2:$S$495=4)*('CONTROL MASTER'!$Z$2:$Z$495&lt;=5)*('CONTROL MASTER'!$AB$2:$AB$495&gt;=5)*('CONTROL MASTER'!$AA$2:$AA$495&lt;=5)*('CONTROL MASTER'!$AC$2:$AC$495&gt;=5))*ROW('CONTROL MASTER'!$S$2:$S$495))&gt;0,INDEX('CONTROL MASTER'!$X$2:$X$495,(SUMPRODUCT((('CONTROL MASTER'!$S$2:$S$495=4)*('CONTROL MASTER'!$Z$2:$Z$495&lt;=5)*('CONTROL MASTER'!$AB$2:$AB$495&gt;=5)*('CONTROL MASTER'!$AA$2:$AA$495&lt;=5)*('CONTROL MASTER'!$AC$2:$AC$495&gt;=5))*ROW('CONTROL MASTER'!$S$2:$S$495))-(ROW('CONTROL MASTER'!#REF!)-1)))&amp;TRIM(MID(SUBSTITUTE(SUBSTITUTE(INDEX('CONTROL MASTER'!$N$2:$N$495,(SUMPRODUCT((('CONTROL MASTER'!$S$2:$S$495=4)*('CONTROL MASTER'!$Z$2:$Z$495&lt;=5)*('CONTROL MASTER'!$AB$2:$AB$495&gt;=5)*('CONTROL MASTER'!$AA$2:$AA$495&lt;=5)*('CONTROL MASTER'!$AC$2:$AC$495&gt;=5))*ROW('CONTROL MASTER'!$S$2:$S$495))-(ROW('CONTROL MASTER'!#REF!)-1))),":",","),",",REPT(" ",50)),(((INDEX('CONTROL MASTER'!$Y$2:$Y$495,(SUMPRODUCT((('CONTROL MASTER'!$S$2:$S$495=4)*('CONTROL MASTER'!$Z$2:$Z$495&lt;=5)*('CONTROL MASTER'!$AB$2:$AB$495&gt;=5)*('CONTROL MASTER'!$AA$2:$AA$495&lt;=5)*('CONTROL MASTER'!$AC$2:$AC$495&gt;=5))*ROW('CONTROL MASTER'!$S$2:$S$495))-(ROW('CONTROL MASTER'!#REF!)-1)))+((5-INDEX('CONTROL MASTER'!$Z$2:$Z$495,(SUMPRODUCT((('CONTROL MASTER'!$S$2:$S$495=4)*('CONTROL MASTER'!$Z$2:$Z$495&lt;=5)*('CONTROL MASTER'!$AB$2:$AB$495&gt;=5)*('CONTROL MASTER'!$AA$2:$AA$495&lt;=5)*('CONTROL MASTER'!$AC$2:$AC$495&gt;=5))*ROW('CONTROL MASTER'!$S$2:$S$495))-(ROW('CONTROL MASTER'!#REF!)-1))))*(INDEX('CONTROL MASTER'!$AC$2:$AC$495,(SUMPRODUCT((('CONTROL MASTER'!$S$2:$S$495=4)*('CONTROL MASTER'!$Z$2:$Z$495&lt;=5)*('CONTROL MASTER'!$AB$2:$AB$495&gt;=5)*('CONTROL MASTER'!$AA$2:$AA$495&lt;=5)*('CONTROL MASTER'!$AC$2:$AC$495&gt;=5))*ROW('CONTROL MASTER'!$S$2:$S$495))-(ROW('CONTROL MASTER'!#REF!)-1)))-INDEX('CONTROL MASTER'!$AA$2:$AA$495,(SUMPRODUCT((('CONTROL MASTER'!$S$2:$S$495=4)*('CONTROL MASTER'!$Z$2:$Z$495&lt;=5)*('CONTROL MASTER'!$AB$2:$AB$495&gt;=5)*('CONTROL MASTER'!$AA$2:$AA$495&lt;=5)*('CONTROL MASTER'!$AC$2:$AC$495&gt;=5))*ROW('CONTROL MASTER'!$S$2:$S$495))-(ROW('CONTROL MASTER'!#REF!)-1)))+1)+(5-INDEX('CONTROL MASTER'!$AA$2:$AA$495,(SUMPRODUCT((('CONTROL MASTER'!$S$2:$S$495=4)*('CONTROL MASTER'!$Z$2:$Z$495&lt;=5)*('CONTROL MASTER'!$AB$2:$AB$495&gt;=5)*('CONTROL MASTER'!$AA$2:$AA$495&lt;=5)*('CONTROL MASTER'!$AC$2:$AC$495&gt;=5))*ROW('CONTROL MASTER'!$S$2:$S$495))-(ROW('CONTROL MASTER'!#REF!)-1))))+1)))-1)*50+1,50))&amp;"_"&amp;INDEX('CONTROL MASTER'!$P$2:$P$495,(SUMPRODUCT((('CONTROL MASTER'!$S$2:$S$495=4)*('CONTROL MASTER'!$Z$2:$Z$495&lt;=5)*('CONTROL MASTER'!$AB$2:$AB$495&gt;=5)*('CONTROL MASTER'!$AA$2:$AA$495&lt;=5)*('CONTROL MASTER'!$AC$2:$AC$495&gt;=5))*ROW('CONTROL MASTER'!$S$2:$S$495))-(ROW('CONTROL MASTER'!#REF!)-1))),"")),"")</f>
        <v/>
      </c>
      <c r="G49" s="10" t="str">
        <f>IFERROR(IF(SUMPRODUCT((('CONTROL MASTER'!$S$2:$S$495=4)*('CONTROL MASTER'!$T$2:$T$495&lt;=5)*('CONTROL MASTER'!$V$2:$V$495&gt;=5)*('CONTROL MASTER'!$U$2:$U$495&lt;=6)*('CONTROL MASTER'!$W$2:$W$495&gt;=6))*ROW('CONTROL MASTER'!$S$2:$S$495))&gt;0,INDEX('CONTROL MASTER'!$X$2:$X$495,(SUMPRODUCT((('CONTROL MASTER'!$S$2:$S$495=4)*('CONTROL MASTER'!$T$2:$T$495&lt;=5)*('CONTROL MASTER'!$V$2:$V$495&gt;=5)*('CONTROL MASTER'!$U$2:$U$495&lt;=6)*('CONTROL MASTER'!$W$2:$W$495&gt;=6))*ROW('CONTROL MASTER'!$S$2:$S$495))-(ROW('CONTROL MASTER'!#REF!)-1)))&amp;TRIM(MID(SUBSTITUTE(SUBSTITUTE(INDEX('CONTROL MASTER'!$N$2:$N$495,(SUMPRODUCT((('CONTROL MASTER'!$S$2:$S$495=4)*('CONTROL MASTER'!$T$2:$T$495&lt;=5)*('CONTROL MASTER'!$V$2:$V$495&gt;=5)*('CONTROL MASTER'!$U$2:$U$495&lt;=6)*('CONTROL MASTER'!$W$2:$W$495&gt;=6))*ROW('CONTROL MASTER'!$S$2:$S$495))-(ROW('CONTROL MASTER'!#REF!)-1))),":",","),",",REPT(" ",50)),((((5-INDEX('CONTROL MASTER'!$T$2:$T$495,(SUMPRODUCT((('CONTROL MASTER'!$S$2:$S$495=4)*('CONTROL MASTER'!$T$2:$T$495&lt;=5)*('CONTROL MASTER'!$V$2:$V$495&gt;=5)*('CONTROL MASTER'!$U$2:$U$495&lt;=6)*('CONTROL MASTER'!$W$2:$W$495&gt;=6))*ROW('CONTROL MASTER'!$S$2:$S$495))-(ROW('CONTROL MASTER'!#REF!)-1))))*(INDEX('CONTROL MASTER'!$W$2:$W$495,(SUMPRODUCT((('CONTROL MASTER'!$S$2:$S$495=4)*('CONTROL MASTER'!$T$2:$T$495&lt;=5)*('CONTROL MASTER'!$V$2:$V$495&gt;=5)*('CONTROL MASTER'!$U$2:$U$495&lt;=6)*('CONTROL MASTER'!$W$2:$W$495&gt;=6))*ROW('CONTROL MASTER'!$S$2:$S$495))-(ROW('CONTROL MASTER'!#REF!)-1)))-INDEX('CONTROL MASTER'!$U$2:$U$495,(SUMPRODUCT((('CONTROL MASTER'!$S$2:$S$495=4)*('CONTROL MASTER'!$T$2:$T$495&lt;=5)*('CONTROL MASTER'!$V$2:$V$495&gt;=5)*('CONTROL MASTER'!$U$2:$U$495&lt;=6)*('CONTROL MASTER'!$W$2:$W$495&gt;=6))*ROW('CONTROL MASTER'!$S$2:$S$495))-(ROW('CONTROL MASTER'!#REF!)-1)))+1)+(6-INDEX('CONTROL MASTER'!$U$2:$U$495,(SUMPRODUCT((('CONTROL MASTER'!$S$2:$S$495=4)*('CONTROL MASTER'!$T$2:$T$495&lt;=5)*('CONTROL MASTER'!$V$2:$V$495&gt;=5)*('CONTROL MASTER'!$U$2:$U$495&lt;=6)*('CONTROL MASTER'!$W$2:$W$495&gt;=6))*ROW('CONTROL MASTER'!$S$2:$S$495))-(ROW('CONTROL MASTER'!#REF!)-1))))+1))-1)*50+1,50))&amp;"_"&amp;INDEX('CONTROL MASTER'!$P$2:$P$495,(SUMPRODUCT((('CONTROL MASTER'!$S$2:$S$495=4)*('CONTROL MASTER'!$T$2:$T$495&lt;=5)*('CONTROL MASTER'!$V$2:$V$495&gt;=5)*('CONTROL MASTER'!$U$2:$U$495&lt;=6)*('CONTROL MASTER'!$W$2:$W$495&gt;=6))*ROW('CONTROL MASTER'!$S$2:$S$495))-(ROW('CONTROL MASTER'!#REF!)-1))),IF(SUMPRODUCT((('CONTROL MASTER'!$S$2:$S$495=4)*('CONTROL MASTER'!$Z$2:$Z$495&lt;=5)*('CONTROL MASTER'!$AB$2:$AB$495&gt;=5)*('CONTROL MASTER'!$AA$2:$AA$495&lt;=6)*('CONTROL MASTER'!$AC$2:$AC$495&gt;=6))*ROW('CONTROL MASTER'!$S$2:$S$495))&gt;0,INDEX('CONTROL MASTER'!$X$2:$X$495,(SUMPRODUCT((('CONTROL MASTER'!$S$2:$S$495=4)*('CONTROL MASTER'!$Z$2:$Z$495&lt;=5)*('CONTROL MASTER'!$AB$2:$AB$495&gt;=5)*('CONTROL MASTER'!$AA$2:$AA$495&lt;=6)*('CONTROL MASTER'!$AC$2:$AC$495&gt;=6))*ROW('CONTROL MASTER'!$S$2:$S$495))-(ROW('CONTROL MASTER'!#REF!)-1)))&amp;TRIM(MID(SUBSTITUTE(SUBSTITUTE(INDEX('CONTROL MASTER'!$N$2:$N$495,(SUMPRODUCT((('CONTROL MASTER'!$S$2:$S$495=4)*('CONTROL MASTER'!$Z$2:$Z$495&lt;=5)*('CONTROL MASTER'!$AB$2:$AB$495&gt;=5)*('CONTROL MASTER'!$AA$2:$AA$495&lt;=6)*('CONTROL MASTER'!$AC$2:$AC$495&gt;=6))*ROW('CONTROL MASTER'!$S$2:$S$495))-(ROW('CONTROL MASTER'!#REF!)-1))),":",","),",",REPT(" ",50)),(((INDEX('CONTROL MASTER'!$Y$2:$Y$495,(SUMPRODUCT((('CONTROL MASTER'!$S$2:$S$495=4)*('CONTROL MASTER'!$Z$2:$Z$495&lt;=5)*('CONTROL MASTER'!$AB$2:$AB$495&gt;=5)*('CONTROL MASTER'!$AA$2:$AA$495&lt;=6)*('CONTROL MASTER'!$AC$2:$AC$495&gt;=6))*ROW('CONTROL MASTER'!$S$2:$S$495))-(ROW('CONTROL MASTER'!#REF!)-1)))+((5-INDEX('CONTROL MASTER'!$Z$2:$Z$495,(SUMPRODUCT((('CONTROL MASTER'!$S$2:$S$495=4)*('CONTROL MASTER'!$Z$2:$Z$495&lt;=5)*('CONTROL MASTER'!$AB$2:$AB$495&gt;=5)*('CONTROL MASTER'!$AA$2:$AA$495&lt;=6)*('CONTROL MASTER'!$AC$2:$AC$495&gt;=6))*ROW('CONTROL MASTER'!$S$2:$S$495))-(ROW('CONTROL MASTER'!#REF!)-1))))*(INDEX('CONTROL MASTER'!$AC$2:$AC$495,(SUMPRODUCT((('CONTROL MASTER'!$S$2:$S$495=4)*('CONTROL MASTER'!$Z$2:$Z$495&lt;=5)*('CONTROL MASTER'!$AB$2:$AB$495&gt;=5)*('CONTROL MASTER'!$AA$2:$AA$495&lt;=6)*('CONTROL MASTER'!$AC$2:$AC$495&gt;=6))*ROW('CONTROL MASTER'!$S$2:$S$495))-(ROW('CONTROL MASTER'!#REF!)-1)))-INDEX('CONTROL MASTER'!$AA$2:$AA$495,(SUMPRODUCT((('CONTROL MASTER'!$S$2:$S$495=4)*('CONTROL MASTER'!$Z$2:$Z$495&lt;=5)*('CONTROL MASTER'!$AB$2:$AB$495&gt;=5)*('CONTROL MASTER'!$AA$2:$AA$495&lt;=6)*('CONTROL MASTER'!$AC$2:$AC$495&gt;=6))*ROW('CONTROL MASTER'!$S$2:$S$495))-(ROW('CONTROL MASTER'!#REF!)-1)))+1)+(6-INDEX('CONTROL MASTER'!$AA$2:$AA$495,(SUMPRODUCT((('CONTROL MASTER'!$S$2:$S$495=4)*('CONTROL MASTER'!$Z$2:$Z$495&lt;=5)*('CONTROL MASTER'!$AB$2:$AB$495&gt;=5)*('CONTROL MASTER'!$AA$2:$AA$495&lt;=6)*('CONTROL MASTER'!$AC$2:$AC$495&gt;=6))*ROW('CONTROL MASTER'!$S$2:$S$495))-(ROW('CONTROL MASTER'!#REF!)-1))))+1)))-1)*50+1,50))&amp;"_"&amp;INDEX('CONTROL MASTER'!$P$2:$P$495,(SUMPRODUCT((('CONTROL MASTER'!$S$2:$S$495=4)*('CONTROL MASTER'!$Z$2:$Z$495&lt;=5)*('CONTROL MASTER'!$AB$2:$AB$495&gt;=5)*('CONTROL MASTER'!$AA$2:$AA$495&lt;=6)*('CONTROL MASTER'!$AC$2:$AC$495&gt;=6))*ROW('CONTROL MASTER'!$S$2:$S$495))-(ROW('CONTROL MASTER'!#REF!)-1))),"")),"")</f>
        <v/>
      </c>
      <c r="H49" s="10" t="str">
        <f>IFERROR(IF(SUMPRODUCT((('CONTROL MASTER'!$S$2:$S$495=4)*('CONTROL MASTER'!$T$2:$T$495&lt;=5)*('CONTROL MASTER'!$V$2:$V$495&gt;=5)*('CONTROL MASTER'!$U$2:$U$495&lt;=7)*('CONTROL MASTER'!$W$2:$W$495&gt;=7))*ROW('CONTROL MASTER'!$S$2:$S$495))&gt;0,INDEX('CONTROL MASTER'!$X$2:$X$495,(SUMPRODUCT((('CONTROL MASTER'!$S$2:$S$495=4)*('CONTROL MASTER'!$T$2:$T$495&lt;=5)*('CONTROL MASTER'!$V$2:$V$495&gt;=5)*('CONTROL MASTER'!$U$2:$U$495&lt;=7)*('CONTROL MASTER'!$W$2:$W$495&gt;=7))*ROW('CONTROL MASTER'!$S$2:$S$495))-(ROW('CONTROL MASTER'!#REF!)-1)))&amp;TRIM(MID(SUBSTITUTE(SUBSTITUTE(INDEX('CONTROL MASTER'!$N$2:$N$495,(SUMPRODUCT((('CONTROL MASTER'!$S$2:$S$495=4)*('CONTROL MASTER'!$T$2:$T$495&lt;=5)*('CONTROL MASTER'!$V$2:$V$495&gt;=5)*('CONTROL MASTER'!$U$2:$U$495&lt;=7)*('CONTROL MASTER'!$W$2:$W$495&gt;=7))*ROW('CONTROL MASTER'!$S$2:$S$495))-(ROW('CONTROL MASTER'!#REF!)-1))),":",","),",",REPT(" ",50)),((((5-INDEX('CONTROL MASTER'!$T$2:$T$495,(SUMPRODUCT((('CONTROL MASTER'!$S$2:$S$495=4)*('CONTROL MASTER'!$T$2:$T$495&lt;=5)*('CONTROL MASTER'!$V$2:$V$495&gt;=5)*('CONTROL MASTER'!$U$2:$U$495&lt;=7)*('CONTROL MASTER'!$W$2:$W$495&gt;=7))*ROW('CONTROL MASTER'!$S$2:$S$495))-(ROW('CONTROL MASTER'!#REF!)-1))))*(INDEX('CONTROL MASTER'!$W$2:$W$495,(SUMPRODUCT((('CONTROL MASTER'!$S$2:$S$495=4)*('CONTROL MASTER'!$T$2:$T$495&lt;=5)*('CONTROL MASTER'!$V$2:$V$495&gt;=5)*('CONTROL MASTER'!$U$2:$U$495&lt;=7)*('CONTROL MASTER'!$W$2:$W$495&gt;=7))*ROW('CONTROL MASTER'!$S$2:$S$495))-(ROW('CONTROL MASTER'!#REF!)-1)))-INDEX('CONTROL MASTER'!$U$2:$U$495,(SUMPRODUCT((('CONTROL MASTER'!$S$2:$S$495=4)*('CONTROL MASTER'!$T$2:$T$495&lt;=5)*('CONTROL MASTER'!$V$2:$V$495&gt;=5)*('CONTROL MASTER'!$U$2:$U$495&lt;=7)*('CONTROL MASTER'!$W$2:$W$495&gt;=7))*ROW('CONTROL MASTER'!$S$2:$S$495))-(ROW('CONTROL MASTER'!#REF!)-1)))+1)+(7-INDEX('CONTROL MASTER'!$U$2:$U$495,(SUMPRODUCT((('CONTROL MASTER'!$S$2:$S$495=4)*('CONTROL MASTER'!$T$2:$T$495&lt;=5)*('CONTROL MASTER'!$V$2:$V$495&gt;=5)*('CONTROL MASTER'!$U$2:$U$495&lt;=7)*('CONTROL MASTER'!$W$2:$W$495&gt;=7))*ROW('CONTROL MASTER'!$S$2:$S$495))-(ROW('CONTROL MASTER'!#REF!)-1))))+1))-1)*50+1,50))&amp;"_"&amp;INDEX('CONTROL MASTER'!$P$2:$P$495,(SUMPRODUCT((('CONTROL MASTER'!$S$2:$S$495=4)*('CONTROL MASTER'!$T$2:$T$495&lt;=5)*('CONTROL MASTER'!$V$2:$V$495&gt;=5)*('CONTROL MASTER'!$U$2:$U$495&lt;=7)*('CONTROL MASTER'!$W$2:$W$495&gt;=7))*ROW('CONTROL MASTER'!$S$2:$S$495))-(ROW('CONTROL MASTER'!#REF!)-1))),IF(SUMPRODUCT((('CONTROL MASTER'!$S$2:$S$495=4)*('CONTROL MASTER'!$Z$2:$Z$495&lt;=5)*('CONTROL MASTER'!$AB$2:$AB$495&gt;=5)*('CONTROL MASTER'!$AA$2:$AA$495&lt;=7)*('CONTROL MASTER'!$AC$2:$AC$495&gt;=7))*ROW('CONTROL MASTER'!$S$2:$S$495))&gt;0,INDEX('CONTROL MASTER'!$X$2:$X$495,(SUMPRODUCT((('CONTROL MASTER'!$S$2:$S$495=4)*('CONTROL MASTER'!$Z$2:$Z$495&lt;=5)*('CONTROL MASTER'!$AB$2:$AB$495&gt;=5)*('CONTROL MASTER'!$AA$2:$AA$495&lt;=7)*('CONTROL MASTER'!$AC$2:$AC$495&gt;=7))*ROW('CONTROL MASTER'!$S$2:$S$495))-(ROW('CONTROL MASTER'!#REF!)-1)))&amp;TRIM(MID(SUBSTITUTE(SUBSTITUTE(INDEX('CONTROL MASTER'!$N$2:$N$495,(SUMPRODUCT((('CONTROL MASTER'!$S$2:$S$495=4)*('CONTROL MASTER'!$Z$2:$Z$495&lt;=5)*('CONTROL MASTER'!$AB$2:$AB$495&gt;=5)*('CONTROL MASTER'!$AA$2:$AA$495&lt;=7)*('CONTROL MASTER'!$AC$2:$AC$495&gt;=7))*ROW('CONTROL MASTER'!$S$2:$S$495))-(ROW('CONTROL MASTER'!#REF!)-1))),":",","),",",REPT(" ",50)),(((INDEX('CONTROL MASTER'!$Y$2:$Y$495,(SUMPRODUCT((('CONTROL MASTER'!$S$2:$S$495=4)*('CONTROL MASTER'!$Z$2:$Z$495&lt;=5)*('CONTROL MASTER'!$AB$2:$AB$495&gt;=5)*('CONTROL MASTER'!$AA$2:$AA$495&lt;=7)*('CONTROL MASTER'!$AC$2:$AC$495&gt;=7))*ROW('CONTROL MASTER'!$S$2:$S$495))-(ROW('CONTROL MASTER'!#REF!)-1)))+((5-INDEX('CONTROL MASTER'!$Z$2:$Z$495,(SUMPRODUCT((('CONTROL MASTER'!$S$2:$S$495=4)*('CONTROL MASTER'!$Z$2:$Z$495&lt;=5)*('CONTROL MASTER'!$AB$2:$AB$495&gt;=5)*('CONTROL MASTER'!$AA$2:$AA$495&lt;=7)*('CONTROL MASTER'!$AC$2:$AC$495&gt;=7))*ROW('CONTROL MASTER'!$S$2:$S$495))-(ROW('CONTROL MASTER'!#REF!)-1))))*(INDEX('CONTROL MASTER'!$AC$2:$AC$495,(SUMPRODUCT((('CONTROL MASTER'!$S$2:$S$495=4)*('CONTROL MASTER'!$Z$2:$Z$495&lt;=5)*('CONTROL MASTER'!$AB$2:$AB$495&gt;=5)*('CONTROL MASTER'!$AA$2:$AA$495&lt;=7)*('CONTROL MASTER'!$AC$2:$AC$495&gt;=7))*ROW('CONTROL MASTER'!$S$2:$S$495))-(ROW('CONTROL MASTER'!#REF!)-1)))-INDEX('CONTROL MASTER'!$AA$2:$AA$495,(SUMPRODUCT((('CONTROL MASTER'!$S$2:$S$495=4)*('CONTROL MASTER'!$Z$2:$Z$495&lt;=5)*('CONTROL MASTER'!$AB$2:$AB$495&gt;=5)*('CONTROL MASTER'!$AA$2:$AA$495&lt;=7)*('CONTROL MASTER'!$AC$2:$AC$495&gt;=7))*ROW('CONTROL MASTER'!$S$2:$S$495))-(ROW('CONTROL MASTER'!#REF!)-1)))+1)+(7-INDEX('CONTROL MASTER'!$AA$2:$AA$495,(SUMPRODUCT((('CONTROL MASTER'!$S$2:$S$495=4)*('CONTROL MASTER'!$Z$2:$Z$495&lt;=5)*('CONTROL MASTER'!$AB$2:$AB$495&gt;=5)*('CONTROL MASTER'!$AA$2:$AA$495&lt;=7)*('CONTROL MASTER'!$AC$2:$AC$495&gt;=7))*ROW('CONTROL MASTER'!$S$2:$S$495))-(ROW('CONTROL MASTER'!#REF!)-1))))+1)))-1)*50+1,50))&amp;"_"&amp;INDEX('CONTROL MASTER'!$P$2:$P$495,(SUMPRODUCT((('CONTROL MASTER'!$S$2:$S$495=4)*('CONTROL MASTER'!$Z$2:$Z$495&lt;=5)*('CONTROL MASTER'!$AB$2:$AB$495&gt;=5)*('CONTROL MASTER'!$AA$2:$AA$495&lt;=7)*('CONTROL MASTER'!$AC$2:$AC$495&gt;=7))*ROW('CONTROL MASTER'!$S$2:$S$495))-(ROW('CONTROL MASTER'!#REF!)-1))),"")),"")</f>
        <v/>
      </c>
      <c r="I49" s="10" t="str">
        <f>IFERROR(IF(SUMPRODUCT((('CONTROL MASTER'!$S$2:$S$495=4)*('CONTROL MASTER'!$T$2:$T$495&lt;=5)*('CONTROL MASTER'!$V$2:$V$495&gt;=5)*('CONTROL MASTER'!$U$2:$U$495&lt;=8)*('CONTROL MASTER'!$W$2:$W$495&gt;=8))*ROW('CONTROL MASTER'!$S$2:$S$495))&gt;0,INDEX('CONTROL MASTER'!$X$2:$X$495,(SUMPRODUCT((('CONTROL MASTER'!$S$2:$S$495=4)*('CONTROL MASTER'!$T$2:$T$495&lt;=5)*('CONTROL MASTER'!$V$2:$V$495&gt;=5)*('CONTROL MASTER'!$U$2:$U$495&lt;=8)*('CONTROL MASTER'!$W$2:$W$495&gt;=8))*ROW('CONTROL MASTER'!$S$2:$S$495))-(ROW('CONTROL MASTER'!#REF!)-1)))&amp;TRIM(MID(SUBSTITUTE(SUBSTITUTE(INDEX('CONTROL MASTER'!$N$2:$N$495,(SUMPRODUCT((('CONTROL MASTER'!$S$2:$S$495=4)*('CONTROL MASTER'!$T$2:$T$495&lt;=5)*('CONTROL MASTER'!$V$2:$V$495&gt;=5)*('CONTROL MASTER'!$U$2:$U$495&lt;=8)*('CONTROL MASTER'!$W$2:$W$495&gt;=8))*ROW('CONTROL MASTER'!$S$2:$S$495))-(ROW('CONTROL MASTER'!#REF!)-1))),":",","),",",REPT(" ",50)),((((5-INDEX('CONTROL MASTER'!$T$2:$T$495,(SUMPRODUCT((('CONTROL MASTER'!$S$2:$S$495=4)*('CONTROL MASTER'!$T$2:$T$495&lt;=5)*('CONTROL MASTER'!$V$2:$V$495&gt;=5)*('CONTROL MASTER'!$U$2:$U$495&lt;=8)*('CONTROL MASTER'!$W$2:$W$495&gt;=8))*ROW('CONTROL MASTER'!$S$2:$S$495))-(ROW('CONTROL MASTER'!#REF!)-1))))*(INDEX('CONTROL MASTER'!$W$2:$W$495,(SUMPRODUCT((('CONTROL MASTER'!$S$2:$S$495=4)*('CONTROL MASTER'!$T$2:$T$495&lt;=5)*('CONTROL MASTER'!$V$2:$V$495&gt;=5)*('CONTROL MASTER'!$U$2:$U$495&lt;=8)*('CONTROL MASTER'!$W$2:$W$495&gt;=8))*ROW('CONTROL MASTER'!$S$2:$S$495))-(ROW('CONTROL MASTER'!#REF!)-1)))-INDEX('CONTROL MASTER'!$U$2:$U$495,(SUMPRODUCT((('CONTROL MASTER'!$S$2:$S$495=4)*('CONTROL MASTER'!$T$2:$T$495&lt;=5)*('CONTROL MASTER'!$V$2:$V$495&gt;=5)*('CONTROL MASTER'!$U$2:$U$495&lt;=8)*('CONTROL MASTER'!$W$2:$W$495&gt;=8))*ROW('CONTROL MASTER'!$S$2:$S$495))-(ROW('CONTROL MASTER'!#REF!)-1)))+1)+(8-INDEX('CONTROL MASTER'!$U$2:$U$495,(SUMPRODUCT((('CONTROL MASTER'!$S$2:$S$495=4)*('CONTROL MASTER'!$T$2:$T$495&lt;=5)*('CONTROL MASTER'!$V$2:$V$495&gt;=5)*('CONTROL MASTER'!$U$2:$U$495&lt;=8)*('CONTROL MASTER'!$W$2:$W$495&gt;=8))*ROW('CONTROL MASTER'!$S$2:$S$495))-(ROW('CONTROL MASTER'!#REF!)-1))))+1))-1)*50+1,50))&amp;"_"&amp;INDEX('CONTROL MASTER'!$P$2:$P$495,(SUMPRODUCT((('CONTROL MASTER'!$S$2:$S$495=4)*('CONTROL MASTER'!$T$2:$T$495&lt;=5)*('CONTROL MASTER'!$V$2:$V$495&gt;=5)*('CONTROL MASTER'!$U$2:$U$495&lt;=8)*('CONTROL MASTER'!$W$2:$W$495&gt;=8))*ROW('CONTROL MASTER'!$S$2:$S$495))-(ROW('CONTROL MASTER'!#REF!)-1))),IF(SUMPRODUCT((('CONTROL MASTER'!$S$2:$S$495=4)*('CONTROL MASTER'!$Z$2:$Z$495&lt;=5)*('CONTROL MASTER'!$AB$2:$AB$495&gt;=5)*('CONTROL MASTER'!$AA$2:$AA$495&lt;=8)*('CONTROL MASTER'!$AC$2:$AC$495&gt;=8))*ROW('CONTROL MASTER'!$S$2:$S$495))&gt;0,INDEX('CONTROL MASTER'!$X$2:$X$495,(SUMPRODUCT((('CONTROL MASTER'!$S$2:$S$495=4)*('CONTROL MASTER'!$Z$2:$Z$495&lt;=5)*('CONTROL MASTER'!$AB$2:$AB$495&gt;=5)*('CONTROL MASTER'!$AA$2:$AA$495&lt;=8)*('CONTROL MASTER'!$AC$2:$AC$495&gt;=8))*ROW('CONTROL MASTER'!$S$2:$S$495))-(ROW('CONTROL MASTER'!#REF!)-1)))&amp;TRIM(MID(SUBSTITUTE(SUBSTITUTE(INDEX('CONTROL MASTER'!$N$2:$N$495,(SUMPRODUCT((('CONTROL MASTER'!$S$2:$S$495=4)*('CONTROL MASTER'!$Z$2:$Z$495&lt;=5)*('CONTROL MASTER'!$AB$2:$AB$495&gt;=5)*('CONTROL MASTER'!$AA$2:$AA$495&lt;=8)*('CONTROL MASTER'!$AC$2:$AC$495&gt;=8))*ROW('CONTROL MASTER'!$S$2:$S$495))-(ROW('CONTROL MASTER'!#REF!)-1))),":",","),",",REPT(" ",50)),(((INDEX('CONTROL MASTER'!$Y$2:$Y$495,(SUMPRODUCT((('CONTROL MASTER'!$S$2:$S$495=4)*('CONTROL MASTER'!$Z$2:$Z$495&lt;=5)*('CONTROL MASTER'!$AB$2:$AB$495&gt;=5)*('CONTROL MASTER'!$AA$2:$AA$495&lt;=8)*('CONTROL MASTER'!$AC$2:$AC$495&gt;=8))*ROW('CONTROL MASTER'!$S$2:$S$495))-(ROW('CONTROL MASTER'!#REF!)-1)))+((5-INDEX('CONTROL MASTER'!$Z$2:$Z$495,(SUMPRODUCT((('CONTROL MASTER'!$S$2:$S$495=4)*('CONTROL MASTER'!$Z$2:$Z$495&lt;=5)*('CONTROL MASTER'!$AB$2:$AB$495&gt;=5)*('CONTROL MASTER'!$AA$2:$AA$495&lt;=8)*('CONTROL MASTER'!$AC$2:$AC$495&gt;=8))*ROW('CONTROL MASTER'!$S$2:$S$495))-(ROW('CONTROL MASTER'!#REF!)-1))))*(INDEX('CONTROL MASTER'!$AC$2:$AC$495,(SUMPRODUCT((('CONTROL MASTER'!$S$2:$S$495=4)*('CONTROL MASTER'!$Z$2:$Z$495&lt;=5)*('CONTROL MASTER'!$AB$2:$AB$495&gt;=5)*('CONTROL MASTER'!$AA$2:$AA$495&lt;=8)*('CONTROL MASTER'!$AC$2:$AC$495&gt;=8))*ROW('CONTROL MASTER'!$S$2:$S$495))-(ROW('CONTROL MASTER'!#REF!)-1)))-INDEX('CONTROL MASTER'!$AA$2:$AA$495,(SUMPRODUCT((('CONTROL MASTER'!$S$2:$S$495=4)*('CONTROL MASTER'!$Z$2:$Z$495&lt;=5)*('CONTROL MASTER'!$AB$2:$AB$495&gt;=5)*('CONTROL MASTER'!$AA$2:$AA$495&lt;=8)*('CONTROL MASTER'!$AC$2:$AC$495&gt;=8))*ROW('CONTROL MASTER'!$S$2:$S$495))-(ROW('CONTROL MASTER'!#REF!)-1)))+1)+(8-INDEX('CONTROL MASTER'!$AA$2:$AA$495,(SUMPRODUCT((('CONTROL MASTER'!$S$2:$S$495=4)*('CONTROL MASTER'!$Z$2:$Z$495&lt;=5)*('CONTROL MASTER'!$AB$2:$AB$495&gt;=5)*('CONTROL MASTER'!$AA$2:$AA$495&lt;=8)*('CONTROL MASTER'!$AC$2:$AC$495&gt;=8))*ROW('CONTROL MASTER'!$S$2:$S$495))-(ROW('CONTROL MASTER'!#REF!)-1))))+1)))-1)*50+1,50))&amp;"_"&amp;INDEX('CONTROL MASTER'!$P$2:$P$495,(SUMPRODUCT((('CONTROL MASTER'!$S$2:$S$495=4)*('CONTROL MASTER'!$Z$2:$Z$495&lt;=5)*('CONTROL MASTER'!$AB$2:$AB$495&gt;=5)*('CONTROL MASTER'!$AA$2:$AA$495&lt;=8)*('CONTROL MASTER'!$AC$2:$AC$495&gt;=8))*ROW('CONTROL MASTER'!$S$2:$S$495))-(ROW('CONTROL MASTER'!#REF!)-1))),"")),"")</f>
        <v/>
      </c>
      <c r="J49" s="10" t="str">
        <f>IFERROR(IF(SUMPRODUCT((('CONTROL MASTER'!$S$2:$S$495=4)*('CONTROL MASTER'!$T$2:$T$495&lt;=5)*('CONTROL MASTER'!$V$2:$V$495&gt;=5)*('CONTROL MASTER'!$U$2:$U$495&lt;=9)*('CONTROL MASTER'!$W$2:$W$495&gt;=9))*ROW('CONTROL MASTER'!$S$2:$S$495))&gt;0,INDEX('CONTROL MASTER'!$X$2:$X$495,(SUMPRODUCT((('CONTROL MASTER'!$S$2:$S$495=4)*('CONTROL MASTER'!$T$2:$T$495&lt;=5)*('CONTROL MASTER'!$V$2:$V$495&gt;=5)*('CONTROL MASTER'!$U$2:$U$495&lt;=9)*('CONTROL MASTER'!$W$2:$W$495&gt;=9))*ROW('CONTROL MASTER'!$S$2:$S$495))-(ROW('CONTROL MASTER'!#REF!)-1)))&amp;TRIM(MID(SUBSTITUTE(SUBSTITUTE(INDEX('CONTROL MASTER'!$N$2:$N$495,(SUMPRODUCT((('CONTROL MASTER'!$S$2:$S$495=4)*('CONTROL MASTER'!$T$2:$T$495&lt;=5)*('CONTROL MASTER'!$V$2:$V$495&gt;=5)*('CONTROL MASTER'!$U$2:$U$495&lt;=9)*('CONTROL MASTER'!$W$2:$W$495&gt;=9))*ROW('CONTROL MASTER'!$S$2:$S$495))-(ROW('CONTROL MASTER'!#REF!)-1))),":",","),",",REPT(" ",50)),((((5-INDEX('CONTROL MASTER'!$T$2:$T$495,(SUMPRODUCT((('CONTROL MASTER'!$S$2:$S$495=4)*('CONTROL MASTER'!$T$2:$T$495&lt;=5)*('CONTROL MASTER'!$V$2:$V$495&gt;=5)*('CONTROL MASTER'!$U$2:$U$495&lt;=9)*('CONTROL MASTER'!$W$2:$W$495&gt;=9))*ROW('CONTROL MASTER'!$S$2:$S$495))-(ROW('CONTROL MASTER'!#REF!)-1))))*(INDEX('CONTROL MASTER'!$W$2:$W$495,(SUMPRODUCT((('CONTROL MASTER'!$S$2:$S$495=4)*('CONTROL MASTER'!$T$2:$T$495&lt;=5)*('CONTROL MASTER'!$V$2:$V$495&gt;=5)*('CONTROL MASTER'!$U$2:$U$495&lt;=9)*('CONTROL MASTER'!$W$2:$W$495&gt;=9))*ROW('CONTROL MASTER'!$S$2:$S$495))-(ROW('CONTROL MASTER'!#REF!)-1)))-INDEX('CONTROL MASTER'!$U$2:$U$495,(SUMPRODUCT((('CONTROL MASTER'!$S$2:$S$495=4)*('CONTROL MASTER'!$T$2:$T$495&lt;=5)*('CONTROL MASTER'!$V$2:$V$495&gt;=5)*('CONTROL MASTER'!$U$2:$U$495&lt;=9)*('CONTROL MASTER'!$W$2:$W$495&gt;=9))*ROW('CONTROL MASTER'!$S$2:$S$495))-(ROW('CONTROL MASTER'!#REF!)-1)))+1)+(9-INDEX('CONTROL MASTER'!$U$2:$U$495,(SUMPRODUCT((('CONTROL MASTER'!$S$2:$S$495=4)*('CONTROL MASTER'!$T$2:$T$495&lt;=5)*('CONTROL MASTER'!$V$2:$V$495&gt;=5)*('CONTROL MASTER'!$U$2:$U$495&lt;=9)*('CONTROL MASTER'!$W$2:$W$495&gt;=9))*ROW('CONTROL MASTER'!$S$2:$S$495))-(ROW('CONTROL MASTER'!#REF!)-1))))+1))-1)*50+1,50))&amp;"_"&amp;INDEX('CONTROL MASTER'!$P$2:$P$495,(SUMPRODUCT((('CONTROL MASTER'!$S$2:$S$495=4)*('CONTROL MASTER'!$T$2:$T$495&lt;=5)*('CONTROL MASTER'!$V$2:$V$495&gt;=5)*('CONTROL MASTER'!$U$2:$U$495&lt;=9)*('CONTROL MASTER'!$W$2:$W$495&gt;=9))*ROW('CONTROL MASTER'!$S$2:$S$495))-(ROW('CONTROL MASTER'!#REF!)-1))),IF(SUMPRODUCT((('CONTROL MASTER'!$S$2:$S$495=4)*('CONTROL MASTER'!$Z$2:$Z$495&lt;=5)*('CONTROL MASTER'!$AB$2:$AB$495&gt;=5)*('CONTROL MASTER'!$AA$2:$AA$495&lt;=9)*('CONTROL MASTER'!$AC$2:$AC$495&gt;=9))*ROW('CONTROL MASTER'!$S$2:$S$495))&gt;0,INDEX('CONTROL MASTER'!$X$2:$X$495,(SUMPRODUCT((('CONTROL MASTER'!$S$2:$S$495=4)*('CONTROL MASTER'!$Z$2:$Z$495&lt;=5)*('CONTROL MASTER'!$AB$2:$AB$495&gt;=5)*('CONTROL MASTER'!$AA$2:$AA$495&lt;=9)*('CONTROL MASTER'!$AC$2:$AC$495&gt;=9))*ROW('CONTROL MASTER'!$S$2:$S$495))-(ROW('CONTROL MASTER'!#REF!)-1)))&amp;TRIM(MID(SUBSTITUTE(SUBSTITUTE(INDEX('CONTROL MASTER'!$N$2:$N$495,(SUMPRODUCT((('CONTROL MASTER'!$S$2:$S$495=4)*('CONTROL MASTER'!$Z$2:$Z$495&lt;=5)*('CONTROL MASTER'!$AB$2:$AB$495&gt;=5)*('CONTROL MASTER'!$AA$2:$AA$495&lt;=9)*('CONTROL MASTER'!$AC$2:$AC$495&gt;=9))*ROW('CONTROL MASTER'!$S$2:$S$495))-(ROW('CONTROL MASTER'!#REF!)-1))),":",","),",",REPT(" ",50)),(((INDEX('CONTROL MASTER'!$Y$2:$Y$495,(SUMPRODUCT((('CONTROL MASTER'!$S$2:$S$495=4)*('CONTROL MASTER'!$Z$2:$Z$495&lt;=5)*('CONTROL MASTER'!$AB$2:$AB$495&gt;=5)*('CONTROL MASTER'!$AA$2:$AA$495&lt;=9)*('CONTROL MASTER'!$AC$2:$AC$495&gt;=9))*ROW('CONTROL MASTER'!$S$2:$S$495))-(ROW('CONTROL MASTER'!#REF!)-1)))+((5-INDEX('CONTROL MASTER'!$Z$2:$Z$495,(SUMPRODUCT((('CONTROL MASTER'!$S$2:$S$495=4)*('CONTROL MASTER'!$Z$2:$Z$495&lt;=5)*('CONTROL MASTER'!$AB$2:$AB$495&gt;=5)*('CONTROL MASTER'!$AA$2:$AA$495&lt;=9)*('CONTROL MASTER'!$AC$2:$AC$495&gt;=9))*ROW('CONTROL MASTER'!$S$2:$S$495))-(ROW('CONTROL MASTER'!#REF!)-1))))*(INDEX('CONTROL MASTER'!$AC$2:$AC$495,(SUMPRODUCT((('CONTROL MASTER'!$S$2:$S$495=4)*('CONTROL MASTER'!$Z$2:$Z$495&lt;=5)*('CONTROL MASTER'!$AB$2:$AB$495&gt;=5)*('CONTROL MASTER'!$AA$2:$AA$495&lt;=9)*('CONTROL MASTER'!$AC$2:$AC$495&gt;=9))*ROW('CONTROL MASTER'!$S$2:$S$495))-(ROW('CONTROL MASTER'!#REF!)-1)))-INDEX('CONTROL MASTER'!$AA$2:$AA$495,(SUMPRODUCT((('CONTROL MASTER'!$S$2:$S$495=4)*('CONTROL MASTER'!$Z$2:$Z$495&lt;=5)*('CONTROL MASTER'!$AB$2:$AB$495&gt;=5)*('CONTROL MASTER'!$AA$2:$AA$495&lt;=9)*('CONTROL MASTER'!$AC$2:$AC$495&gt;=9))*ROW('CONTROL MASTER'!$S$2:$S$495))-(ROW('CONTROL MASTER'!#REF!)-1)))+1)+(9-INDEX('CONTROL MASTER'!$AA$2:$AA$495,(SUMPRODUCT((('CONTROL MASTER'!$S$2:$S$495=4)*('CONTROL MASTER'!$Z$2:$Z$495&lt;=5)*('CONTROL MASTER'!$AB$2:$AB$495&gt;=5)*('CONTROL MASTER'!$AA$2:$AA$495&lt;=9)*('CONTROL MASTER'!$AC$2:$AC$495&gt;=9))*ROW('CONTROL MASTER'!$S$2:$S$495))-(ROW('CONTROL MASTER'!#REF!)-1))))+1)))-1)*50+1,50))&amp;"_"&amp;INDEX('CONTROL MASTER'!$P$2:$P$495,(SUMPRODUCT((('CONTROL MASTER'!$S$2:$S$495=4)*('CONTROL MASTER'!$Z$2:$Z$495&lt;=5)*('CONTROL MASTER'!$AB$2:$AB$495&gt;=5)*('CONTROL MASTER'!$AA$2:$AA$495&lt;=9)*('CONTROL MASTER'!$AC$2:$AC$495&gt;=9))*ROW('CONTROL MASTER'!$S$2:$S$495))-(ROW('CONTROL MASTER'!#REF!)-1))),"")),"")</f>
        <v/>
      </c>
      <c r="K49" s="10" t="str">
        <f>IFERROR(IF(SUMPRODUCT((('CONTROL MASTER'!$S$2:$S$495=4)*('CONTROL MASTER'!$T$2:$T$495&lt;=5)*('CONTROL MASTER'!$V$2:$V$495&gt;=5)*('CONTROL MASTER'!$U$2:$U$495&lt;=10)*('CONTROL MASTER'!$W$2:$W$495&gt;=10))*ROW('CONTROL MASTER'!$S$2:$S$495))&gt;0,INDEX('CONTROL MASTER'!$X$2:$X$495,(SUMPRODUCT((('CONTROL MASTER'!$S$2:$S$495=4)*('CONTROL MASTER'!$T$2:$T$495&lt;=5)*('CONTROL MASTER'!$V$2:$V$495&gt;=5)*('CONTROL MASTER'!$U$2:$U$495&lt;=10)*('CONTROL MASTER'!$W$2:$W$495&gt;=10))*ROW('CONTROL MASTER'!$S$2:$S$495))-(ROW('CONTROL MASTER'!#REF!)-1)))&amp;TRIM(MID(SUBSTITUTE(SUBSTITUTE(INDEX('CONTROL MASTER'!$N$2:$N$495,(SUMPRODUCT((('CONTROL MASTER'!$S$2:$S$495=4)*('CONTROL MASTER'!$T$2:$T$495&lt;=5)*('CONTROL MASTER'!$V$2:$V$495&gt;=5)*('CONTROL MASTER'!$U$2:$U$495&lt;=10)*('CONTROL MASTER'!$W$2:$W$495&gt;=10))*ROW('CONTROL MASTER'!$S$2:$S$495))-(ROW('CONTROL MASTER'!#REF!)-1))),":",","),",",REPT(" ",50)),((((5-INDEX('CONTROL MASTER'!$T$2:$T$495,(SUMPRODUCT((('CONTROL MASTER'!$S$2:$S$495=4)*('CONTROL MASTER'!$T$2:$T$495&lt;=5)*('CONTROL MASTER'!$V$2:$V$495&gt;=5)*('CONTROL MASTER'!$U$2:$U$495&lt;=10)*('CONTROL MASTER'!$W$2:$W$495&gt;=10))*ROW('CONTROL MASTER'!$S$2:$S$495))-(ROW('CONTROL MASTER'!#REF!)-1))))*(INDEX('CONTROL MASTER'!$W$2:$W$495,(SUMPRODUCT((('CONTROL MASTER'!$S$2:$S$495=4)*('CONTROL MASTER'!$T$2:$T$495&lt;=5)*('CONTROL MASTER'!$V$2:$V$495&gt;=5)*('CONTROL MASTER'!$U$2:$U$495&lt;=10)*('CONTROL MASTER'!$W$2:$W$495&gt;=10))*ROW('CONTROL MASTER'!$S$2:$S$495))-(ROW('CONTROL MASTER'!#REF!)-1)))-INDEX('CONTROL MASTER'!$U$2:$U$495,(SUMPRODUCT((('CONTROL MASTER'!$S$2:$S$495=4)*('CONTROL MASTER'!$T$2:$T$495&lt;=5)*('CONTROL MASTER'!$V$2:$V$495&gt;=5)*('CONTROL MASTER'!$U$2:$U$495&lt;=10)*('CONTROL MASTER'!$W$2:$W$495&gt;=10))*ROW('CONTROL MASTER'!$S$2:$S$495))-(ROW('CONTROL MASTER'!#REF!)-1)))+1)+(10-INDEX('CONTROL MASTER'!$U$2:$U$495,(SUMPRODUCT((('CONTROL MASTER'!$S$2:$S$495=4)*('CONTROL MASTER'!$T$2:$T$495&lt;=5)*('CONTROL MASTER'!$V$2:$V$495&gt;=5)*('CONTROL MASTER'!$U$2:$U$495&lt;=10)*('CONTROL MASTER'!$W$2:$W$495&gt;=10))*ROW('CONTROL MASTER'!$S$2:$S$495))-(ROW('CONTROL MASTER'!#REF!)-1))))+1))-1)*50+1,50))&amp;"_"&amp;INDEX('CONTROL MASTER'!$P$2:$P$495,(SUMPRODUCT((('CONTROL MASTER'!$S$2:$S$495=4)*('CONTROL MASTER'!$T$2:$T$495&lt;=5)*('CONTROL MASTER'!$V$2:$V$495&gt;=5)*('CONTROL MASTER'!$U$2:$U$495&lt;=10)*('CONTROL MASTER'!$W$2:$W$495&gt;=10))*ROW('CONTROL MASTER'!$S$2:$S$495))-(ROW('CONTROL MASTER'!#REF!)-1))),IF(SUMPRODUCT((('CONTROL MASTER'!$S$2:$S$495=4)*('CONTROL MASTER'!$Z$2:$Z$495&lt;=5)*('CONTROL MASTER'!$AB$2:$AB$495&gt;=5)*('CONTROL MASTER'!$AA$2:$AA$495&lt;=10)*('CONTROL MASTER'!$AC$2:$AC$495&gt;=10))*ROW('CONTROL MASTER'!$S$2:$S$495))&gt;0,INDEX('CONTROL MASTER'!$X$2:$X$495,(SUMPRODUCT((('CONTROL MASTER'!$S$2:$S$495=4)*('CONTROL MASTER'!$Z$2:$Z$495&lt;=5)*('CONTROL MASTER'!$AB$2:$AB$495&gt;=5)*('CONTROL MASTER'!$AA$2:$AA$495&lt;=10)*('CONTROL MASTER'!$AC$2:$AC$495&gt;=10))*ROW('CONTROL MASTER'!$S$2:$S$495))-(ROW('CONTROL MASTER'!#REF!)-1)))&amp;TRIM(MID(SUBSTITUTE(SUBSTITUTE(INDEX('CONTROL MASTER'!$N$2:$N$495,(SUMPRODUCT((('CONTROL MASTER'!$S$2:$S$495=4)*('CONTROL MASTER'!$Z$2:$Z$495&lt;=5)*('CONTROL MASTER'!$AB$2:$AB$495&gt;=5)*('CONTROL MASTER'!$AA$2:$AA$495&lt;=10)*('CONTROL MASTER'!$AC$2:$AC$495&gt;=10))*ROW('CONTROL MASTER'!$S$2:$S$495))-(ROW('CONTROL MASTER'!#REF!)-1))),":",","),",",REPT(" ",50)),(((INDEX('CONTROL MASTER'!$Y$2:$Y$495,(SUMPRODUCT((('CONTROL MASTER'!$S$2:$S$495=4)*('CONTROL MASTER'!$Z$2:$Z$495&lt;=5)*('CONTROL MASTER'!$AB$2:$AB$495&gt;=5)*('CONTROL MASTER'!$AA$2:$AA$495&lt;=10)*('CONTROL MASTER'!$AC$2:$AC$495&gt;=10))*ROW('CONTROL MASTER'!$S$2:$S$495))-(ROW('CONTROL MASTER'!#REF!)-1)))+((5-INDEX('CONTROL MASTER'!$Z$2:$Z$495,(SUMPRODUCT((('CONTROL MASTER'!$S$2:$S$495=4)*('CONTROL MASTER'!$Z$2:$Z$495&lt;=5)*('CONTROL MASTER'!$AB$2:$AB$495&gt;=5)*('CONTROL MASTER'!$AA$2:$AA$495&lt;=10)*('CONTROL MASTER'!$AC$2:$AC$495&gt;=10))*ROW('CONTROL MASTER'!$S$2:$S$495))-(ROW('CONTROL MASTER'!#REF!)-1))))*(INDEX('CONTROL MASTER'!$AC$2:$AC$495,(SUMPRODUCT((('CONTROL MASTER'!$S$2:$S$495=4)*('CONTROL MASTER'!$Z$2:$Z$495&lt;=5)*('CONTROL MASTER'!$AB$2:$AB$495&gt;=5)*('CONTROL MASTER'!$AA$2:$AA$495&lt;=10)*('CONTROL MASTER'!$AC$2:$AC$495&gt;=10))*ROW('CONTROL MASTER'!$S$2:$S$495))-(ROW('CONTROL MASTER'!#REF!)-1)))-INDEX('CONTROL MASTER'!$AA$2:$AA$495,(SUMPRODUCT((('CONTROL MASTER'!$S$2:$S$495=4)*('CONTROL MASTER'!$Z$2:$Z$495&lt;=5)*('CONTROL MASTER'!$AB$2:$AB$495&gt;=5)*('CONTROL MASTER'!$AA$2:$AA$495&lt;=10)*('CONTROL MASTER'!$AC$2:$AC$495&gt;=10))*ROW('CONTROL MASTER'!$S$2:$S$495))-(ROW('CONTROL MASTER'!#REF!)-1)))+1)+(10-INDEX('CONTROL MASTER'!$AA$2:$AA$495,(SUMPRODUCT((('CONTROL MASTER'!$S$2:$S$495=4)*('CONTROL MASTER'!$Z$2:$Z$495&lt;=5)*('CONTROL MASTER'!$AB$2:$AB$495&gt;=5)*('CONTROL MASTER'!$AA$2:$AA$495&lt;=10)*('CONTROL MASTER'!$AC$2:$AC$495&gt;=10))*ROW('CONTROL MASTER'!$S$2:$S$495))-(ROW('CONTROL MASTER'!#REF!)-1))))+1)))-1)*50+1,50))&amp;"_"&amp;INDEX('CONTROL MASTER'!$P$2:$P$495,(SUMPRODUCT((('CONTROL MASTER'!$S$2:$S$495=4)*('CONTROL MASTER'!$Z$2:$Z$495&lt;=5)*('CONTROL MASTER'!$AB$2:$AB$495&gt;=5)*('CONTROL MASTER'!$AA$2:$AA$495&lt;=10)*('CONTROL MASTER'!$AC$2:$AC$495&gt;=10))*ROW('CONTROL MASTER'!$S$2:$S$495))-(ROW('CONTROL MASTER'!#REF!)-1))),"")),"")</f>
        <v/>
      </c>
    </row>
    <row r="50" spans="1:11" ht="15" customHeight="1" x14ac:dyDescent="0.35">
      <c r="A50" s="8" t="s">
        <v>33</v>
      </c>
      <c r="B50" s="10" t="str">
        <f>IFERROR(IF(SUMPRODUCT((('CONTROL MASTER'!$S$2:$S$495=4)*('CONTROL MASTER'!$T$2:$T$495&lt;=6)*('CONTROL MASTER'!$V$2:$V$495&gt;=6)*('CONTROL MASTER'!$U$2:$U$495&lt;=1)*('CONTROL MASTER'!$W$2:$W$495&gt;=1))*ROW('CONTROL MASTER'!$S$2:$S$495))&gt;0,INDEX('CONTROL MASTER'!$X$2:$X$495,(SUMPRODUCT((('CONTROL MASTER'!$S$2:$S$495=4)*('CONTROL MASTER'!$T$2:$T$495&lt;=6)*('CONTROL MASTER'!$V$2:$V$495&gt;=6)*('CONTROL MASTER'!$U$2:$U$495&lt;=1)*('CONTROL MASTER'!$W$2:$W$495&gt;=1))*ROW('CONTROL MASTER'!$S$2:$S$495))-(ROW('CONTROL MASTER'!#REF!)-1)))&amp;TRIM(MID(SUBSTITUTE(SUBSTITUTE(INDEX('CONTROL MASTER'!$N$2:$N$495,(SUMPRODUCT((('CONTROL MASTER'!$S$2:$S$495=4)*('CONTROL MASTER'!$T$2:$T$495&lt;=6)*('CONTROL MASTER'!$V$2:$V$495&gt;=6)*('CONTROL MASTER'!$U$2:$U$495&lt;=1)*('CONTROL MASTER'!$W$2:$W$495&gt;=1))*ROW('CONTROL MASTER'!$S$2:$S$495))-(ROW('CONTROL MASTER'!#REF!)-1))),":",","),",",REPT(" ",50)),((((6-INDEX('CONTROL MASTER'!$T$2:$T$495,(SUMPRODUCT((('CONTROL MASTER'!$S$2:$S$495=4)*('CONTROL MASTER'!$T$2:$T$495&lt;=6)*('CONTROL MASTER'!$V$2:$V$495&gt;=6)*('CONTROL MASTER'!$U$2:$U$495&lt;=1)*('CONTROL MASTER'!$W$2:$W$495&gt;=1))*ROW('CONTROL MASTER'!$S$2:$S$495))-(ROW('CONTROL MASTER'!#REF!)-1))))*(INDEX('CONTROL MASTER'!$W$2:$W$495,(SUMPRODUCT((('CONTROL MASTER'!$S$2:$S$495=4)*('CONTROL MASTER'!$T$2:$T$495&lt;=6)*('CONTROL MASTER'!$V$2:$V$495&gt;=6)*('CONTROL MASTER'!$U$2:$U$495&lt;=1)*('CONTROL MASTER'!$W$2:$W$495&gt;=1))*ROW('CONTROL MASTER'!$S$2:$S$495))-(ROW('CONTROL MASTER'!#REF!)-1)))-INDEX('CONTROL MASTER'!$U$2:$U$495,(SUMPRODUCT((('CONTROL MASTER'!$S$2:$S$495=4)*('CONTROL MASTER'!$T$2:$T$495&lt;=6)*('CONTROL MASTER'!$V$2:$V$495&gt;=6)*('CONTROL MASTER'!$U$2:$U$495&lt;=1)*('CONTROL MASTER'!$W$2:$W$495&gt;=1))*ROW('CONTROL MASTER'!$S$2:$S$495))-(ROW('CONTROL MASTER'!#REF!)-1)))+1)+(1-INDEX('CONTROL MASTER'!$U$2:$U$495,(SUMPRODUCT((('CONTROL MASTER'!$S$2:$S$495=4)*('CONTROL MASTER'!$T$2:$T$495&lt;=6)*('CONTROL MASTER'!$V$2:$V$495&gt;=6)*('CONTROL MASTER'!$U$2:$U$495&lt;=1)*('CONTROL MASTER'!$W$2:$W$495&gt;=1))*ROW('CONTROL MASTER'!$S$2:$S$495))-(ROW('CONTROL MASTER'!#REF!)-1))))+1))-1)*50+1,50))&amp;"_"&amp;INDEX('CONTROL MASTER'!$P$2:$P$495,(SUMPRODUCT((('CONTROL MASTER'!$S$2:$S$495=4)*('CONTROL MASTER'!$T$2:$T$495&lt;=6)*('CONTROL MASTER'!$V$2:$V$495&gt;=6)*('CONTROL MASTER'!$U$2:$U$495&lt;=1)*('CONTROL MASTER'!$W$2:$W$495&gt;=1))*ROW('CONTROL MASTER'!$S$2:$S$495))-(ROW('CONTROL MASTER'!#REF!)-1))),IF(SUMPRODUCT((('CONTROL MASTER'!$S$2:$S$495=4)*('CONTROL MASTER'!$Z$2:$Z$495&lt;=6)*('CONTROL MASTER'!$AB$2:$AB$495&gt;=6)*('CONTROL MASTER'!$AA$2:$AA$495&lt;=1)*('CONTROL MASTER'!$AC$2:$AC$495&gt;=1))*ROW('CONTROL MASTER'!$S$2:$S$495))&gt;0,INDEX('CONTROL MASTER'!$X$2:$X$495,(SUMPRODUCT((('CONTROL MASTER'!$S$2:$S$495=4)*('CONTROL MASTER'!$Z$2:$Z$495&lt;=6)*('CONTROL MASTER'!$AB$2:$AB$495&gt;=6)*('CONTROL MASTER'!$AA$2:$AA$495&lt;=1)*('CONTROL MASTER'!$AC$2:$AC$495&gt;=1))*ROW('CONTROL MASTER'!$S$2:$S$495))-(ROW('CONTROL MASTER'!#REF!)-1)))&amp;TRIM(MID(SUBSTITUTE(SUBSTITUTE(INDEX('CONTROL MASTER'!$N$2:$N$495,(SUMPRODUCT((('CONTROL MASTER'!$S$2:$S$495=4)*('CONTROL MASTER'!$Z$2:$Z$495&lt;=6)*('CONTROL MASTER'!$AB$2:$AB$495&gt;=6)*('CONTROL MASTER'!$AA$2:$AA$495&lt;=1)*('CONTROL MASTER'!$AC$2:$AC$495&gt;=1))*ROW('CONTROL MASTER'!$S$2:$S$495))-(ROW('CONTROL MASTER'!#REF!)-1))),":",","),",",REPT(" ",50)),(((INDEX('CONTROL MASTER'!$Y$2:$Y$495,(SUMPRODUCT((('CONTROL MASTER'!$S$2:$S$495=4)*('CONTROL MASTER'!$Z$2:$Z$495&lt;=6)*('CONTROL MASTER'!$AB$2:$AB$495&gt;=6)*('CONTROL MASTER'!$AA$2:$AA$495&lt;=1)*('CONTROL MASTER'!$AC$2:$AC$495&gt;=1))*ROW('CONTROL MASTER'!$S$2:$S$495))-(ROW('CONTROL MASTER'!#REF!)-1)))+((6-INDEX('CONTROL MASTER'!$Z$2:$Z$495,(SUMPRODUCT((('CONTROL MASTER'!$S$2:$S$495=4)*('CONTROL MASTER'!$Z$2:$Z$495&lt;=6)*('CONTROL MASTER'!$AB$2:$AB$495&gt;=6)*('CONTROL MASTER'!$AA$2:$AA$495&lt;=1)*('CONTROL MASTER'!$AC$2:$AC$495&gt;=1))*ROW('CONTROL MASTER'!$S$2:$S$495))-(ROW('CONTROL MASTER'!#REF!)-1))))*(INDEX('CONTROL MASTER'!$AC$2:$AC$495,(SUMPRODUCT((('CONTROL MASTER'!$S$2:$S$495=4)*('CONTROL MASTER'!$Z$2:$Z$495&lt;=6)*('CONTROL MASTER'!$AB$2:$AB$495&gt;=6)*('CONTROL MASTER'!$AA$2:$AA$495&lt;=1)*('CONTROL MASTER'!$AC$2:$AC$495&gt;=1))*ROW('CONTROL MASTER'!$S$2:$S$495))-(ROW('CONTROL MASTER'!#REF!)-1)))-INDEX('CONTROL MASTER'!$AA$2:$AA$495,(SUMPRODUCT((('CONTROL MASTER'!$S$2:$S$495=4)*('CONTROL MASTER'!$Z$2:$Z$495&lt;=6)*('CONTROL MASTER'!$AB$2:$AB$495&gt;=6)*('CONTROL MASTER'!$AA$2:$AA$495&lt;=1)*('CONTROL MASTER'!$AC$2:$AC$495&gt;=1))*ROW('CONTROL MASTER'!$S$2:$S$495))-(ROW('CONTROL MASTER'!#REF!)-1)))+1)+(1-INDEX('CONTROL MASTER'!$AA$2:$AA$495,(SUMPRODUCT((('CONTROL MASTER'!$S$2:$S$495=4)*('CONTROL MASTER'!$Z$2:$Z$495&lt;=6)*('CONTROL MASTER'!$AB$2:$AB$495&gt;=6)*('CONTROL MASTER'!$AA$2:$AA$495&lt;=1)*('CONTROL MASTER'!$AC$2:$AC$495&gt;=1))*ROW('CONTROL MASTER'!$S$2:$S$495))-(ROW('CONTROL MASTER'!#REF!)-1))))+1)))-1)*50+1,50))&amp;"_"&amp;INDEX('CONTROL MASTER'!$P$2:$P$495,(SUMPRODUCT((('CONTROL MASTER'!$S$2:$S$495=4)*('CONTROL MASTER'!$Z$2:$Z$495&lt;=6)*('CONTROL MASTER'!$AB$2:$AB$495&gt;=6)*('CONTROL MASTER'!$AA$2:$AA$495&lt;=1)*('CONTROL MASTER'!$AC$2:$AC$495&gt;=1))*ROW('CONTROL MASTER'!$S$2:$S$495))-(ROW('CONTROL MASTER'!#REF!)-1))),"")),"")</f>
        <v/>
      </c>
      <c r="C50" s="10" t="str">
        <f>IFERROR(IF(SUMPRODUCT((('CONTROL MASTER'!$S$2:$S$495=4)*('CONTROL MASTER'!$T$2:$T$495&lt;=6)*('CONTROL MASTER'!$V$2:$V$495&gt;=6)*('CONTROL MASTER'!$U$2:$U$495&lt;=2)*('CONTROL MASTER'!$W$2:$W$495&gt;=2))*ROW('CONTROL MASTER'!$S$2:$S$495))&gt;0,INDEX('CONTROL MASTER'!$X$2:$X$495,(SUMPRODUCT((('CONTROL MASTER'!$S$2:$S$495=4)*('CONTROL MASTER'!$T$2:$T$495&lt;=6)*('CONTROL MASTER'!$V$2:$V$495&gt;=6)*('CONTROL MASTER'!$U$2:$U$495&lt;=2)*('CONTROL MASTER'!$W$2:$W$495&gt;=2))*ROW('CONTROL MASTER'!$S$2:$S$495))-(ROW('CONTROL MASTER'!#REF!)-1)))&amp;TRIM(MID(SUBSTITUTE(SUBSTITUTE(INDEX('CONTROL MASTER'!$N$2:$N$495,(SUMPRODUCT((('CONTROL MASTER'!$S$2:$S$495=4)*('CONTROL MASTER'!$T$2:$T$495&lt;=6)*('CONTROL MASTER'!$V$2:$V$495&gt;=6)*('CONTROL MASTER'!$U$2:$U$495&lt;=2)*('CONTROL MASTER'!$W$2:$W$495&gt;=2))*ROW('CONTROL MASTER'!$S$2:$S$495))-(ROW('CONTROL MASTER'!#REF!)-1))),":",","),",",REPT(" ",50)),((((6-INDEX('CONTROL MASTER'!$T$2:$T$495,(SUMPRODUCT((('CONTROL MASTER'!$S$2:$S$495=4)*('CONTROL MASTER'!$T$2:$T$495&lt;=6)*('CONTROL MASTER'!$V$2:$V$495&gt;=6)*('CONTROL MASTER'!$U$2:$U$495&lt;=2)*('CONTROL MASTER'!$W$2:$W$495&gt;=2))*ROW('CONTROL MASTER'!$S$2:$S$495))-(ROW('CONTROL MASTER'!#REF!)-1))))*(INDEX('CONTROL MASTER'!$W$2:$W$495,(SUMPRODUCT((('CONTROL MASTER'!$S$2:$S$495=4)*('CONTROL MASTER'!$T$2:$T$495&lt;=6)*('CONTROL MASTER'!$V$2:$V$495&gt;=6)*('CONTROL MASTER'!$U$2:$U$495&lt;=2)*('CONTROL MASTER'!$W$2:$W$495&gt;=2))*ROW('CONTROL MASTER'!$S$2:$S$495))-(ROW('CONTROL MASTER'!#REF!)-1)))-INDEX('CONTROL MASTER'!$U$2:$U$495,(SUMPRODUCT((('CONTROL MASTER'!$S$2:$S$495=4)*('CONTROL MASTER'!$T$2:$T$495&lt;=6)*('CONTROL MASTER'!$V$2:$V$495&gt;=6)*('CONTROL MASTER'!$U$2:$U$495&lt;=2)*('CONTROL MASTER'!$W$2:$W$495&gt;=2))*ROW('CONTROL MASTER'!$S$2:$S$495))-(ROW('CONTROL MASTER'!#REF!)-1)))+1)+(2-INDEX('CONTROL MASTER'!$U$2:$U$495,(SUMPRODUCT((('CONTROL MASTER'!$S$2:$S$495=4)*('CONTROL MASTER'!$T$2:$T$495&lt;=6)*('CONTROL MASTER'!$V$2:$V$495&gt;=6)*('CONTROL MASTER'!$U$2:$U$495&lt;=2)*('CONTROL MASTER'!$W$2:$W$495&gt;=2))*ROW('CONTROL MASTER'!$S$2:$S$495))-(ROW('CONTROL MASTER'!#REF!)-1))))+1))-1)*50+1,50))&amp;"_"&amp;INDEX('CONTROL MASTER'!$P$2:$P$495,(SUMPRODUCT((('CONTROL MASTER'!$S$2:$S$495=4)*('CONTROL MASTER'!$T$2:$T$495&lt;=6)*('CONTROL MASTER'!$V$2:$V$495&gt;=6)*('CONTROL MASTER'!$U$2:$U$495&lt;=2)*('CONTROL MASTER'!$W$2:$W$495&gt;=2))*ROW('CONTROL MASTER'!$S$2:$S$495))-(ROW('CONTROL MASTER'!#REF!)-1))),IF(SUMPRODUCT((('CONTROL MASTER'!$S$2:$S$495=4)*('CONTROL MASTER'!$Z$2:$Z$495&lt;=6)*('CONTROL MASTER'!$AB$2:$AB$495&gt;=6)*('CONTROL MASTER'!$AA$2:$AA$495&lt;=2)*('CONTROL MASTER'!$AC$2:$AC$495&gt;=2))*ROW('CONTROL MASTER'!$S$2:$S$495))&gt;0,INDEX('CONTROL MASTER'!$X$2:$X$495,(SUMPRODUCT((('CONTROL MASTER'!$S$2:$S$495=4)*('CONTROL MASTER'!$Z$2:$Z$495&lt;=6)*('CONTROL MASTER'!$AB$2:$AB$495&gt;=6)*('CONTROL MASTER'!$AA$2:$AA$495&lt;=2)*('CONTROL MASTER'!$AC$2:$AC$495&gt;=2))*ROW('CONTROL MASTER'!$S$2:$S$495))-(ROW('CONTROL MASTER'!#REF!)-1)))&amp;TRIM(MID(SUBSTITUTE(SUBSTITUTE(INDEX('CONTROL MASTER'!$N$2:$N$495,(SUMPRODUCT((('CONTROL MASTER'!$S$2:$S$495=4)*('CONTROL MASTER'!$Z$2:$Z$495&lt;=6)*('CONTROL MASTER'!$AB$2:$AB$495&gt;=6)*('CONTROL MASTER'!$AA$2:$AA$495&lt;=2)*('CONTROL MASTER'!$AC$2:$AC$495&gt;=2))*ROW('CONTROL MASTER'!$S$2:$S$495))-(ROW('CONTROL MASTER'!#REF!)-1))),":",","),",",REPT(" ",50)),(((INDEX('CONTROL MASTER'!$Y$2:$Y$495,(SUMPRODUCT((('CONTROL MASTER'!$S$2:$S$495=4)*('CONTROL MASTER'!$Z$2:$Z$495&lt;=6)*('CONTROL MASTER'!$AB$2:$AB$495&gt;=6)*('CONTROL MASTER'!$AA$2:$AA$495&lt;=2)*('CONTROL MASTER'!$AC$2:$AC$495&gt;=2))*ROW('CONTROL MASTER'!$S$2:$S$495))-(ROW('CONTROL MASTER'!#REF!)-1)))+((6-INDEX('CONTROL MASTER'!$Z$2:$Z$495,(SUMPRODUCT((('CONTROL MASTER'!$S$2:$S$495=4)*('CONTROL MASTER'!$Z$2:$Z$495&lt;=6)*('CONTROL MASTER'!$AB$2:$AB$495&gt;=6)*('CONTROL MASTER'!$AA$2:$AA$495&lt;=2)*('CONTROL MASTER'!$AC$2:$AC$495&gt;=2))*ROW('CONTROL MASTER'!$S$2:$S$495))-(ROW('CONTROL MASTER'!#REF!)-1))))*(INDEX('CONTROL MASTER'!$AC$2:$AC$495,(SUMPRODUCT((('CONTROL MASTER'!$S$2:$S$495=4)*('CONTROL MASTER'!$Z$2:$Z$495&lt;=6)*('CONTROL MASTER'!$AB$2:$AB$495&gt;=6)*('CONTROL MASTER'!$AA$2:$AA$495&lt;=2)*('CONTROL MASTER'!$AC$2:$AC$495&gt;=2))*ROW('CONTROL MASTER'!$S$2:$S$495))-(ROW('CONTROL MASTER'!#REF!)-1)))-INDEX('CONTROL MASTER'!$AA$2:$AA$495,(SUMPRODUCT((('CONTROL MASTER'!$S$2:$S$495=4)*('CONTROL MASTER'!$Z$2:$Z$495&lt;=6)*('CONTROL MASTER'!$AB$2:$AB$495&gt;=6)*('CONTROL MASTER'!$AA$2:$AA$495&lt;=2)*('CONTROL MASTER'!$AC$2:$AC$495&gt;=2))*ROW('CONTROL MASTER'!$S$2:$S$495))-(ROW('CONTROL MASTER'!#REF!)-1)))+1)+(2-INDEX('CONTROL MASTER'!$AA$2:$AA$495,(SUMPRODUCT((('CONTROL MASTER'!$S$2:$S$495=4)*('CONTROL MASTER'!$Z$2:$Z$495&lt;=6)*('CONTROL MASTER'!$AB$2:$AB$495&gt;=6)*('CONTROL MASTER'!$AA$2:$AA$495&lt;=2)*('CONTROL MASTER'!$AC$2:$AC$495&gt;=2))*ROW('CONTROL MASTER'!$S$2:$S$495))-(ROW('CONTROL MASTER'!#REF!)-1))))+1)))-1)*50+1,50))&amp;"_"&amp;INDEX('CONTROL MASTER'!$P$2:$P$495,(SUMPRODUCT((('CONTROL MASTER'!$S$2:$S$495=4)*('CONTROL MASTER'!$Z$2:$Z$495&lt;=6)*('CONTROL MASTER'!$AB$2:$AB$495&gt;=6)*('CONTROL MASTER'!$AA$2:$AA$495&lt;=2)*('CONTROL MASTER'!$AC$2:$AC$495&gt;=2))*ROW('CONTROL MASTER'!$S$2:$S$495))-(ROW('CONTROL MASTER'!#REF!)-1))),"")),"")</f>
        <v/>
      </c>
      <c r="D50" s="10" t="str">
        <f>IFERROR(IF(SUMPRODUCT((('CONTROL MASTER'!$S$2:$S$495=4)*('CONTROL MASTER'!$T$2:$T$495&lt;=6)*('CONTROL MASTER'!$V$2:$V$495&gt;=6)*('CONTROL MASTER'!$U$2:$U$495&lt;=3)*('CONTROL MASTER'!$W$2:$W$495&gt;=3))*ROW('CONTROL MASTER'!$S$2:$S$495))&gt;0,INDEX('CONTROL MASTER'!$X$2:$X$495,(SUMPRODUCT((('CONTROL MASTER'!$S$2:$S$495=4)*('CONTROL MASTER'!$T$2:$T$495&lt;=6)*('CONTROL MASTER'!$V$2:$V$495&gt;=6)*('CONTROL MASTER'!$U$2:$U$495&lt;=3)*('CONTROL MASTER'!$W$2:$W$495&gt;=3))*ROW('CONTROL MASTER'!$S$2:$S$495))-(ROW('CONTROL MASTER'!#REF!)-1)))&amp;TRIM(MID(SUBSTITUTE(SUBSTITUTE(INDEX('CONTROL MASTER'!$N$2:$N$495,(SUMPRODUCT((('CONTROL MASTER'!$S$2:$S$495=4)*('CONTROL MASTER'!$T$2:$T$495&lt;=6)*('CONTROL MASTER'!$V$2:$V$495&gt;=6)*('CONTROL MASTER'!$U$2:$U$495&lt;=3)*('CONTROL MASTER'!$W$2:$W$495&gt;=3))*ROW('CONTROL MASTER'!$S$2:$S$495))-(ROW('CONTROL MASTER'!#REF!)-1))),":",","),",",REPT(" ",50)),((((6-INDEX('CONTROL MASTER'!$T$2:$T$495,(SUMPRODUCT((('CONTROL MASTER'!$S$2:$S$495=4)*('CONTROL MASTER'!$T$2:$T$495&lt;=6)*('CONTROL MASTER'!$V$2:$V$495&gt;=6)*('CONTROL MASTER'!$U$2:$U$495&lt;=3)*('CONTROL MASTER'!$W$2:$W$495&gt;=3))*ROW('CONTROL MASTER'!$S$2:$S$495))-(ROW('CONTROL MASTER'!#REF!)-1))))*(INDEX('CONTROL MASTER'!$W$2:$W$495,(SUMPRODUCT((('CONTROL MASTER'!$S$2:$S$495=4)*('CONTROL MASTER'!$T$2:$T$495&lt;=6)*('CONTROL MASTER'!$V$2:$V$495&gt;=6)*('CONTROL MASTER'!$U$2:$U$495&lt;=3)*('CONTROL MASTER'!$W$2:$W$495&gt;=3))*ROW('CONTROL MASTER'!$S$2:$S$495))-(ROW('CONTROL MASTER'!#REF!)-1)))-INDEX('CONTROL MASTER'!$U$2:$U$495,(SUMPRODUCT((('CONTROL MASTER'!$S$2:$S$495=4)*('CONTROL MASTER'!$T$2:$T$495&lt;=6)*('CONTROL MASTER'!$V$2:$V$495&gt;=6)*('CONTROL MASTER'!$U$2:$U$495&lt;=3)*('CONTROL MASTER'!$W$2:$W$495&gt;=3))*ROW('CONTROL MASTER'!$S$2:$S$495))-(ROW('CONTROL MASTER'!#REF!)-1)))+1)+(3-INDEX('CONTROL MASTER'!$U$2:$U$495,(SUMPRODUCT((('CONTROL MASTER'!$S$2:$S$495=4)*('CONTROL MASTER'!$T$2:$T$495&lt;=6)*('CONTROL MASTER'!$V$2:$V$495&gt;=6)*('CONTROL MASTER'!$U$2:$U$495&lt;=3)*('CONTROL MASTER'!$W$2:$W$495&gt;=3))*ROW('CONTROL MASTER'!$S$2:$S$495))-(ROW('CONTROL MASTER'!#REF!)-1))))+1))-1)*50+1,50))&amp;"_"&amp;INDEX('CONTROL MASTER'!$P$2:$P$495,(SUMPRODUCT((('CONTROL MASTER'!$S$2:$S$495=4)*('CONTROL MASTER'!$T$2:$T$495&lt;=6)*('CONTROL MASTER'!$V$2:$V$495&gt;=6)*('CONTROL MASTER'!$U$2:$U$495&lt;=3)*('CONTROL MASTER'!$W$2:$W$495&gt;=3))*ROW('CONTROL MASTER'!$S$2:$S$495))-(ROW('CONTROL MASTER'!#REF!)-1))),IF(SUMPRODUCT((('CONTROL MASTER'!$S$2:$S$495=4)*('CONTROL MASTER'!$Z$2:$Z$495&lt;=6)*('CONTROL MASTER'!$AB$2:$AB$495&gt;=6)*('CONTROL MASTER'!$AA$2:$AA$495&lt;=3)*('CONTROL MASTER'!$AC$2:$AC$495&gt;=3))*ROW('CONTROL MASTER'!$S$2:$S$495))&gt;0,INDEX('CONTROL MASTER'!$X$2:$X$495,(SUMPRODUCT((('CONTROL MASTER'!$S$2:$S$495=4)*('CONTROL MASTER'!$Z$2:$Z$495&lt;=6)*('CONTROL MASTER'!$AB$2:$AB$495&gt;=6)*('CONTROL MASTER'!$AA$2:$AA$495&lt;=3)*('CONTROL MASTER'!$AC$2:$AC$495&gt;=3))*ROW('CONTROL MASTER'!$S$2:$S$495))-(ROW('CONTROL MASTER'!#REF!)-1)))&amp;TRIM(MID(SUBSTITUTE(SUBSTITUTE(INDEX('CONTROL MASTER'!$N$2:$N$495,(SUMPRODUCT((('CONTROL MASTER'!$S$2:$S$495=4)*('CONTROL MASTER'!$Z$2:$Z$495&lt;=6)*('CONTROL MASTER'!$AB$2:$AB$495&gt;=6)*('CONTROL MASTER'!$AA$2:$AA$495&lt;=3)*('CONTROL MASTER'!$AC$2:$AC$495&gt;=3))*ROW('CONTROL MASTER'!$S$2:$S$495))-(ROW('CONTROL MASTER'!#REF!)-1))),":",","),",",REPT(" ",50)),(((INDEX('CONTROL MASTER'!$Y$2:$Y$495,(SUMPRODUCT((('CONTROL MASTER'!$S$2:$S$495=4)*('CONTROL MASTER'!$Z$2:$Z$495&lt;=6)*('CONTROL MASTER'!$AB$2:$AB$495&gt;=6)*('CONTROL MASTER'!$AA$2:$AA$495&lt;=3)*('CONTROL MASTER'!$AC$2:$AC$495&gt;=3))*ROW('CONTROL MASTER'!$S$2:$S$495))-(ROW('CONTROL MASTER'!#REF!)-1)))+((6-INDEX('CONTROL MASTER'!$Z$2:$Z$495,(SUMPRODUCT((('CONTROL MASTER'!$S$2:$S$495=4)*('CONTROL MASTER'!$Z$2:$Z$495&lt;=6)*('CONTROL MASTER'!$AB$2:$AB$495&gt;=6)*('CONTROL MASTER'!$AA$2:$AA$495&lt;=3)*('CONTROL MASTER'!$AC$2:$AC$495&gt;=3))*ROW('CONTROL MASTER'!$S$2:$S$495))-(ROW('CONTROL MASTER'!#REF!)-1))))*(INDEX('CONTROL MASTER'!$AC$2:$AC$495,(SUMPRODUCT((('CONTROL MASTER'!$S$2:$S$495=4)*('CONTROL MASTER'!$Z$2:$Z$495&lt;=6)*('CONTROL MASTER'!$AB$2:$AB$495&gt;=6)*('CONTROL MASTER'!$AA$2:$AA$495&lt;=3)*('CONTROL MASTER'!$AC$2:$AC$495&gt;=3))*ROW('CONTROL MASTER'!$S$2:$S$495))-(ROW('CONTROL MASTER'!#REF!)-1)))-INDEX('CONTROL MASTER'!$AA$2:$AA$495,(SUMPRODUCT((('CONTROL MASTER'!$S$2:$S$495=4)*('CONTROL MASTER'!$Z$2:$Z$495&lt;=6)*('CONTROL MASTER'!$AB$2:$AB$495&gt;=6)*('CONTROL MASTER'!$AA$2:$AA$495&lt;=3)*('CONTROL MASTER'!$AC$2:$AC$495&gt;=3))*ROW('CONTROL MASTER'!$S$2:$S$495))-(ROW('CONTROL MASTER'!#REF!)-1)))+1)+(3-INDEX('CONTROL MASTER'!$AA$2:$AA$495,(SUMPRODUCT((('CONTROL MASTER'!$S$2:$S$495=4)*('CONTROL MASTER'!$Z$2:$Z$495&lt;=6)*('CONTROL MASTER'!$AB$2:$AB$495&gt;=6)*('CONTROL MASTER'!$AA$2:$AA$495&lt;=3)*('CONTROL MASTER'!$AC$2:$AC$495&gt;=3))*ROW('CONTROL MASTER'!$S$2:$S$495))-(ROW('CONTROL MASTER'!#REF!)-1))))+1)))-1)*50+1,50))&amp;"_"&amp;INDEX('CONTROL MASTER'!$P$2:$P$495,(SUMPRODUCT((('CONTROL MASTER'!$S$2:$S$495=4)*('CONTROL MASTER'!$Z$2:$Z$495&lt;=6)*('CONTROL MASTER'!$AB$2:$AB$495&gt;=6)*('CONTROL MASTER'!$AA$2:$AA$495&lt;=3)*('CONTROL MASTER'!$AC$2:$AC$495&gt;=3))*ROW('CONTROL MASTER'!$S$2:$S$495))-(ROW('CONTROL MASTER'!#REF!)-1))),"")),"")</f>
        <v/>
      </c>
      <c r="E50" s="10" t="str">
        <f>IFERROR(IF(SUMPRODUCT((('CONTROL MASTER'!$S$2:$S$495=4)*('CONTROL MASTER'!$T$2:$T$495&lt;=6)*('CONTROL MASTER'!$V$2:$V$495&gt;=6)*('CONTROL MASTER'!$U$2:$U$495&lt;=4)*('CONTROL MASTER'!$W$2:$W$495&gt;=4))*ROW('CONTROL MASTER'!$S$2:$S$495))&gt;0,INDEX('CONTROL MASTER'!$X$2:$X$495,(SUMPRODUCT((('CONTROL MASTER'!$S$2:$S$495=4)*('CONTROL MASTER'!$T$2:$T$495&lt;=6)*('CONTROL MASTER'!$V$2:$V$495&gt;=6)*('CONTROL MASTER'!$U$2:$U$495&lt;=4)*('CONTROL MASTER'!$W$2:$W$495&gt;=4))*ROW('CONTROL MASTER'!$S$2:$S$495))-(ROW('CONTROL MASTER'!#REF!)-1)))&amp;TRIM(MID(SUBSTITUTE(SUBSTITUTE(INDEX('CONTROL MASTER'!$N$2:$N$495,(SUMPRODUCT((('CONTROL MASTER'!$S$2:$S$495=4)*('CONTROL MASTER'!$T$2:$T$495&lt;=6)*('CONTROL MASTER'!$V$2:$V$495&gt;=6)*('CONTROL MASTER'!$U$2:$U$495&lt;=4)*('CONTROL MASTER'!$W$2:$W$495&gt;=4))*ROW('CONTROL MASTER'!$S$2:$S$495))-(ROW('CONTROL MASTER'!#REF!)-1))),":",","),",",REPT(" ",50)),((((6-INDEX('CONTROL MASTER'!$T$2:$T$495,(SUMPRODUCT((('CONTROL MASTER'!$S$2:$S$495=4)*('CONTROL MASTER'!$T$2:$T$495&lt;=6)*('CONTROL MASTER'!$V$2:$V$495&gt;=6)*('CONTROL MASTER'!$U$2:$U$495&lt;=4)*('CONTROL MASTER'!$W$2:$W$495&gt;=4))*ROW('CONTROL MASTER'!$S$2:$S$495))-(ROW('CONTROL MASTER'!#REF!)-1))))*(INDEX('CONTROL MASTER'!$W$2:$W$495,(SUMPRODUCT((('CONTROL MASTER'!$S$2:$S$495=4)*('CONTROL MASTER'!$T$2:$T$495&lt;=6)*('CONTROL MASTER'!$V$2:$V$495&gt;=6)*('CONTROL MASTER'!$U$2:$U$495&lt;=4)*('CONTROL MASTER'!$W$2:$W$495&gt;=4))*ROW('CONTROL MASTER'!$S$2:$S$495))-(ROW('CONTROL MASTER'!#REF!)-1)))-INDEX('CONTROL MASTER'!$U$2:$U$495,(SUMPRODUCT((('CONTROL MASTER'!$S$2:$S$495=4)*('CONTROL MASTER'!$T$2:$T$495&lt;=6)*('CONTROL MASTER'!$V$2:$V$495&gt;=6)*('CONTROL MASTER'!$U$2:$U$495&lt;=4)*('CONTROL MASTER'!$W$2:$W$495&gt;=4))*ROW('CONTROL MASTER'!$S$2:$S$495))-(ROW('CONTROL MASTER'!#REF!)-1)))+1)+(4-INDEX('CONTROL MASTER'!$U$2:$U$495,(SUMPRODUCT((('CONTROL MASTER'!$S$2:$S$495=4)*('CONTROL MASTER'!$T$2:$T$495&lt;=6)*('CONTROL MASTER'!$V$2:$V$495&gt;=6)*('CONTROL MASTER'!$U$2:$U$495&lt;=4)*('CONTROL MASTER'!$W$2:$W$495&gt;=4))*ROW('CONTROL MASTER'!$S$2:$S$495))-(ROW('CONTROL MASTER'!#REF!)-1))))+1))-1)*50+1,50))&amp;"_"&amp;INDEX('CONTROL MASTER'!$P$2:$P$495,(SUMPRODUCT((('CONTROL MASTER'!$S$2:$S$495=4)*('CONTROL MASTER'!$T$2:$T$495&lt;=6)*('CONTROL MASTER'!$V$2:$V$495&gt;=6)*('CONTROL MASTER'!$U$2:$U$495&lt;=4)*('CONTROL MASTER'!$W$2:$W$495&gt;=4))*ROW('CONTROL MASTER'!$S$2:$S$495))-(ROW('CONTROL MASTER'!#REF!)-1))),IF(SUMPRODUCT((('CONTROL MASTER'!$S$2:$S$495=4)*('CONTROL MASTER'!$Z$2:$Z$495&lt;=6)*('CONTROL MASTER'!$AB$2:$AB$495&gt;=6)*('CONTROL MASTER'!$AA$2:$AA$495&lt;=4)*('CONTROL MASTER'!$AC$2:$AC$495&gt;=4))*ROW('CONTROL MASTER'!$S$2:$S$495))&gt;0,INDEX('CONTROL MASTER'!$X$2:$X$495,(SUMPRODUCT((('CONTROL MASTER'!$S$2:$S$495=4)*('CONTROL MASTER'!$Z$2:$Z$495&lt;=6)*('CONTROL MASTER'!$AB$2:$AB$495&gt;=6)*('CONTROL MASTER'!$AA$2:$AA$495&lt;=4)*('CONTROL MASTER'!$AC$2:$AC$495&gt;=4))*ROW('CONTROL MASTER'!$S$2:$S$495))-(ROW('CONTROL MASTER'!#REF!)-1)))&amp;TRIM(MID(SUBSTITUTE(SUBSTITUTE(INDEX('CONTROL MASTER'!$N$2:$N$495,(SUMPRODUCT((('CONTROL MASTER'!$S$2:$S$495=4)*('CONTROL MASTER'!$Z$2:$Z$495&lt;=6)*('CONTROL MASTER'!$AB$2:$AB$495&gt;=6)*('CONTROL MASTER'!$AA$2:$AA$495&lt;=4)*('CONTROL MASTER'!$AC$2:$AC$495&gt;=4))*ROW('CONTROL MASTER'!$S$2:$S$495))-(ROW('CONTROL MASTER'!#REF!)-1))),":",","),",",REPT(" ",50)),(((INDEX('CONTROL MASTER'!$Y$2:$Y$495,(SUMPRODUCT((('CONTROL MASTER'!$S$2:$S$495=4)*('CONTROL MASTER'!$Z$2:$Z$495&lt;=6)*('CONTROL MASTER'!$AB$2:$AB$495&gt;=6)*('CONTROL MASTER'!$AA$2:$AA$495&lt;=4)*('CONTROL MASTER'!$AC$2:$AC$495&gt;=4))*ROW('CONTROL MASTER'!$S$2:$S$495))-(ROW('CONTROL MASTER'!#REF!)-1)))+((6-INDEX('CONTROL MASTER'!$Z$2:$Z$495,(SUMPRODUCT((('CONTROL MASTER'!$S$2:$S$495=4)*('CONTROL MASTER'!$Z$2:$Z$495&lt;=6)*('CONTROL MASTER'!$AB$2:$AB$495&gt;=6)*('CONTROL MASTER'!$AA$2:$AA$495&lt;=4)*('CONTROL MASTER'!$AC$2:$AC$495&gt;=4))*ROW('CONTROL MASTER'!$S$2:$S$495))-(ROW('CONTROL MASTER'!#REF!)-1))))*(INDEX('CONTROL MASTER'!$AC$2:$AC$495,(SUMPRODUCT((('CONTROL MASTER'!$S$2:$S$495=4)*('CONTROL MASTER'!$Z$2:$Z$495&lt;=6)*('CONTROL MASTER'!$AB$2:$AB$495&gt;=6)*('CONTROL MASTER'!$AA$2:$AA$495&lt;=4)*('CONTROL MASTER'!$AC$2:$AC$495&gt;=4))*ROW('CONTROL MASTER'!$S$2:$S$495))-(ROW('CONTROL MASTER'!#REF!)-1)))-INDEX('CONTROL MASTER'!$AA$2:$AA$495,(SUMPRODUCT((('CONTROL MASTER'!$S$2:$S$495=4)*('CONTROL MASTER'!$Z$2:$Z$495&lt;=6)*('CONTROL MASTER'!$AB$2:$AB$495&gt;=6)*('CONTROL MASTER'!$AA$2:$AA$495&lt;=4)*('CONTROL MASTER'!$AC$2:$AC$495&gt;=4))*ROW('CONTROL MASTER'!$S$2:$S$495))-(ROW('CONTROL MASTER'!#REF!)-1)))+1)+(4-INDEX('CONTROL MASTER'!$AA$2:$AA$495,(SUMPRODUCT((('CONTROL MASTER'!$S$2:$S$495=4)*('CONTROL MASTER'!$Z$2:$Z$495&lt;=6)*('CONTROL MASTER'!$AB$2:$AB$495&gt;=6)*('CONTROL MASTER'!$AA$2:$AA$495&lt;=4)*('CONTROL MASTER'!$AC$2:$AC$495&gt;=4))*ROW('CONTROL MASTER'!$S$2:$S$495))-(ROW('CONTROL MASTER'!#REF!)-1))))+1)))-1)*50+1,50))&amp;"_"&amp;INDEX('CONTROL MASTER'!$P$2:$P$495,(SUMPRODUCT((('CONTROL MASTER'!$S$2:$S$495=4)*('CONTROL MASTER'!$Z$2:$Z$495&lt;=6)*('CONTROL MASTER'!$AB$2:$AB$495&gt;=6)*('CONTROL MASTER'!$AA$2:$AA$495&lt;=4)*('CONTROL MASTER'!$AC$2:$AC$495&gt;=4))*ROW('CONTROL MASTER'!$S$2:$S$495))-(ROW('CONTROL MASTER'!#REF!)-1))),"")),"")</f>
        <v/>
      </c>
      <c r="F50" s="10" t="str">
        <f>IFERROR(IF(SUMPRODUCT((('CONTROL MASTER'!$S$2:$S$495=4)*('CONTROL MASTER'!$T$2:$T$495&lt;=6)*('CONTROL MASTER'!$V$2:$V$495&gt;=6)*('CONTROL MASTER'!$U$2:$U$495&lt;=5)*('CONTROL MASTER'!$W$2:$W$495&gt;=5))*ROW('CONTROL MASTER'!$S$2:$S$495))&gt;0,INDEX('CONTROL MASTER'!$X$2:$X$495,(SUMPRODUCT((('CONTROL MASTER'!$S$2:$S$495=4)*('CONTROL MASTER'!$T$2:$T$495&lt;=6)*('CONTROL MASTER'!$V$2:$V$495&gt;=6)*('CONTROL MASTER'!$U$2:$U$495&lt;=5)*('CONTROL MASTER'!$W$2:$W$495&gt;=5))*ROW('CONTROL MASTER'!$S$2:$S$495))-(ROW('CONTROL MASTER'!#REF!)-1)))&amp;TRIM(MID(SUBSTITUTE(SUBSTITUTE(INDEX('CONTROL MASTER'!$N$2:$N$495,(SUMPRODUCT((('CONTROL MASTER'!$S$2:$S$495=4)*('CONTROL MASTER'!$T$2:$T$495&lt;=6)*('CONTROL MASTER'!$V$2:$V$495&gt;=6)*('CONTROL MASTER'!$U$2:$U$495&lt;=5)*('CONTROL MASTER'!$W$2:$W$495&gt;=5))*ROW('CONTROL MASTER'!$S$2:$S$495))-(ROW('CONTROL MASTER'!#REF!)-1))),":",","),",",REPT(" ",50)),((((6-INDEX('CONTROL MASTER'!$T$2:$T$495,(SUMPRODUCT((('CONTROL MASTER'!$S$2:$S$495=4)*('CONTROL MASTER'!$T$2:$T$495&lt;=6)*('CONTROL MASTER'!$V$2:$V$495&gt;=6)*('CONTROL MASTER'!$U$2:$U$495&lt;=5)*('CONTROL MASTER'!$W$2:$W$495&gt;=5))*ROW('CONTROL MASTER'!$S$2:$S$495))-(ROW('CONTROL MASTER'!#REF!)-1))))*(INDEX('CONTROL MASTER'!$W$2:$W$495,(SUMPRODUCT((('CONTROL MASTER'!$S$2:$S$495=4)*('CONTROL MASTER'!$T$2:$T$495&lt;=6)*('CONTROL MASTER'!$V$2:$V$495&gt;=6)*('CONTROL MASTER'!$U$2:$U$495&lt;=5)*('CONTROL MASTER'!$W$2:$W$495&gt;=5))*ROW('CONTROL MASTER'!$S$2:$S$495))-(ROW('CONTROL MASTER'!#REF!)-1)))-INDEX('CONTROL MASTER'!$U$2:$U$495,(SUMPRODUCT((('CONTROL MASTER'!$S$2:$S$495=4)*('CONTROL MASTER'!$T$2:$T$495&lt;=6)*('CONTROL MASTER'!$V$2:$V$495&gt;=6)*('CONTROL MASTER'!$U$2:$U$495&lt;=5)*('CONTROL MASTER'!$W$2:$W$495&gt;=5))*ROW('CONTROL MASTER'!$S$2:$S$495))-(ROW('CONTROL MASTER'!#REF!)-1)))+1)+(5-INDEX('CONTROL MASTER'!$U$2:$U$495,(SUMPRODUCT((('CONTROL MASTER'!$S$2:$S$495=4)*('CONTROL MASTER'!$T$2:$T$495&lt;=6)*('CONTROL MASTER'!$V$2:$V$495&gt;=6)*('CONTROL MASTER'!$U$2:$U$495&lt;=5)*('CONTROL MASTER'!$W$2:$W$495&gt;=5))*ROW('CONTROL MASTER'!$S$2:$S$495))-(ROW('CONTROL MASTER'!#REF!)-1))))+1))-1)*50+1,50))&amp;"_"&amp;INDEX('CONTROL MASTER'!$P$2:$P$495,(SUMPRODUCT((('CONTROL MASTER'!$S$2:$S$495=4)*('CONTROL MASTER'!$T$2:$T$495&lt;=6)*('CONTROL MASTER'!$V$2:$V$495&gt;=6)*('CONTROL MASTER'!$U$2:$U$495&lt;=5)*('CONTROL MASTER'!$W$2:$W$495&gt;=5))*ROW('CONTROL MASTER'!$S$2:$S$495))-(ROW('CONTROL MASTER'!#REF!)-1))),IF(SUMPRODUCT((('CONTROL MASTER'!$S$2:$S$495=4)*('CONTROL MASTER'!$Z$2:$Z$495&lt;=6)*('CONTROL MASTER'!$AB$2:$AB$495&gt;=6)*('CONTROL MASTER'!$AA$2:$AA$495&lt;=5)*('CONTROL MASTER'!$AC$2:$AC$495&gt;=5))*ROW('CONTROL MASTER'!$S$2:$S$495))&gt;0,INDEX('CONTROL MASTER'!$X$2:$X$495,(SUMPRODUCT((('CONTROL MASTER'!$S$2:$S$495=4)*('CONTROL MASTER'!$Z$2:$Z$495&lt;=6)*('CONTROL MASTER'!$AB$2:$AB$495&gt;=6)*('CONTROL MASTER'!$AA$2:$AA$495&lt;=5)*('CONTROL MASTER'!$AC$2:$AC$495&gt;=5))*ROW('CONTROL MASTER'!$S$2:$S$495))-(ROW('CONTROL MASTER'!#REF!)-1)))&amp;TRIM(MID(SUBSTITUTE(SUBSTITUTE(INDEX('CONTROL MASTER'!$N$2:$N$495,(SUMPRODUCT((('CONTROL MASTER'!$S$2:$S$495=4)*('CONTROL MASTER'!$Z$2:$Z$495&lt;=6)*('CONTROL MASTER'!$AB$2:$AB$495&gt;=6)*('CONTROL MASTER'!$AA$2:$AA$495&lt;=5)*('CONTROL MASTER'!$AC$2:$AC$495&gt;=5))*ROW('CONTROL MASTER'!$S$2:$S$495))-(ROW('CONTROL MASTER'!#REF!)-1))),":",","),",",REPT(" ",50)),(((INDEX('CONTROL MASTER'!$Y$2:$Y$495,(SUMPRODUCT((('CONTROL MASTER'!$S$2:$S$495=4)*('CONTROL MASTER'!$Z$2:$Z$495&lt;=6)*('CONTROL MASTER'!$AB$2:$AB$495&gt;=6)*('CONTROL MASTER'!$AA$2:$AA$495&lt;=5)*('CONTROL MASTER'!$AC$2:$AC$495&gt;=5))*ROW('CONTROL MASTER'!$S$2:$S$495))-(ROW('CONTROL MASTER'!#REF!)-1)))+((6-INDEX('CONTROL MASTER'!$Z$2:$Z$495,(SUMPRODUCT((('CONTROL MASTER'!$S$2:$S$495=4)*('CONTROL MASTER'!$Z$2:$Z$495&lt;=6)*('CONTROL MASTER'!$AB$2:$AB$495&gt;=6)*('CONTROL MASTER'!$AA$2:$AA$495&lt;=5)*('CONTROL MASTER'!$AC$2:$AC$495&gt;=5))*ROW('CONTROL MASTER'!$S$2:$S$495))-(ROW('CONTROL MASTER'!#REF!)-1))))*(INDEX('CONTROL MASTER'!$AC$2:$AC$495,(SUMPRODUCT((('CONTROL MASTER'!$S$2:$S$495=4)*('CONTROL MASTER'!$Z$2:$Z$495&lt;=6)*('CONTROL MASTER'!$AB$2:$AB$495&gt;=6)*('CONTROL MASTER'!$AA$2:$AA$495&lt;=5)*('CONTROL MASTER'!$AC$2:$AC$495&gt;=5))*ROW('CONTROL MASTER'!$S$2:$S$495))-(ROW('CONTROL MASTER'!#REF!)-1)))-INDEX('CONTROL MASTER'!$AA$2:$AA$495,(SUMPRODUCT((('CONTROL MASTER'!$S$2:$S$495=4)*('CONTROL MASTER'!$Z$2:$Z$495&lt;=6)*('CONTROL MASTER'!$AB$2:$AB$495&gt;=6)*('CONTROL MASTER'!$AA$2:$AA$495&lt;=5)*('CONTROL MASTER'!$AC$2:$AC$495&gt;=5))*ROW('CONTROL MASTER'!$S$2:$S$495))-(ROW('CONTROL MASTER'!#REF!)-1)))+1)+(5-INDEX('CONTROL MASTER'!$AA$2:$AA$495,(SUMPRODUCT((('CONTROL MASTER'!$S$2:$S$495=4)*('CONTROL MASTER'!$Z$2:$Z$495&lt;=6)*('CONTROL MASTER'!$AB$2:$AB$495&gt;=6)*('CONTROL MASTER'!$AA$2:$AA$495&lt;=5)*('CONTROL MASTER'!$AC$2:$AC$495&gt;=5))*ROW('CONTROL MASTER'!$S$2:$S$495))-(ROW('CONTROL MASTER'!#REF!)-1))))+1)))-1)*50+1,50))&amp;"_"&amp;INDEX('CONTROL MASTER'!$P$2:$P$495,(SUMPRODUCT((('CONTROL MASTER'!$S$2:$S$495=4)*('CONTROL MASTER'!$Z$2:$Z$495&lt;=6)*('CONTROL MASTER'!$AB$2:$AB$495&gt;=6)*('CONTROL MASTER'!$AA$2:$AA$495&lt;=5)*('CONTROL MASTER'!$AC$2:$AC$495&gt;=5))*ROW('CONTROL MASTER'!$S$2:$S$495))-(ROW('CONTROL MASTER'!#REF!)-1))),"")),"")</f>
        <v/>
      </c>
      <c r="G50" s="10" t="str">
        <f>IFERROR(IF(SUMPRODUCT((('CONTROL MASTER'!$S$2:$S$495=4)*('CONTROL MASTER'!$T$2:$T$495&lt;=6)*('CONTROL MASTER'!$V$2:$V$495&gt;=6)*('CONTROL MASTER'!$U$2:$U$495&lt;=6)*('CONTROL MASTER'!$W$2:$W$495&gt;=6))*ROW('CONTROL MASTER'!$S$2:$S$495))&gt;0,INDEX('CONTROL MASTER'!$X$2:$X$495,(SUMPRODUCT((('CONTROL MASTER'!$S$2:$S$495=4)*('CONTROL MASTER'!$T$2:$T$495&lt;=6)*('CONTROL MASTER'!$V$2:$V$495&gt;=6)*('CONTROL MASTER'!$U$2:$U$495&lt;=6)*('CONTROL MASTER'!$W$2:$W$495&gt;=6))*ROW('CONTROL MASTER'!$S$2:$S$495))-(ROW('CONTROL MASTER'!#REF!)-1)))&amp;TRIM(MID(SUBSTITUTE(SUBSTITUTE(INDEX('CONTROL MASTER'!$N$2:$N$495,(SUMPRODUCT((('CONTROL MASTER'!$S$2:$S$495=4)*('CONTROL MASTER'!$T$2:$T$495&lt;=6)*('CONTROL MASTER'!$V$2:$V$495&gt;=6)*('CONTROL MASTER'!$U$2:$U$495&lt;=6)*('CONTROL MASTER'!$W$2:$W$495&gt;=6))*ROW('CONTROL MASTER'!$S$2:$S$495))-(ROW('CONTROL MASTER'!#REF!)-1))),":",","),",",REPT(" ",50)),((((6-INDEX('CONTROL MASTER'!$T$2:$T$495,(SUMPRODUCT((('CONTROL MASTER'!$S$2:$S$495=4)*('CONTROL MASTER'!$T$2:$T$495&lt;=6)*('CONTROL MASTER'!$V$2:$V$495&gt;=6)*('CONTROL MASTER'!$U$2:$U$495&lt;=6)*('CONTROL MASTER'!$W$2:$W$495&gt;=6))*ROW('CONTROL MASTER'!$S$2:$S$495))-(ROW('CONTROL MASTER'!#REF!)-1))))*(INDEX('CONTROL MASTER'!$W$2:$W$495,(SUMPRODUCT((('CONTROL MASTER'!$S$2:$S$495=4)*('CONTROL MASTER'!$T$2:$T$495&lt;=6)*('CONTROL MASTER'!$V$2:$V$495&gt;=6)*('CONTROL MASTER'!$U$2:$U$495&lt;=6)*('CONTROL MASTER'!$W$2:$W$495&gt;=6))*ROW('CONTROL MASTER'!$S$2:$S$495))-(ROW('CONTROL MASTER'!#REF!)-1)))-INDEX('CONTROL MASTER'!$U$2:$U$495,(SUMPRODUCT((('CONTROL MASTER'!$S$2:$S$495=4)*('CONTROL MASTER'!$T$2:$T$495&lt;=6)*('CONTROL MASTER'!$V$2:$V$495&gt;=6)*('CONTROL MASTER'!$U$2:$U$495&lt;=6)*('CONTROL MASTER'!$W$2:$W$495&gt;=6))*ROW('CONTROL MASTER'!$S$2:$S$495))-(ROW('CONTROL MASTER'!#REF!)-1)))+1)+(6-INDEX('CONTROL MASTER'!$U$2:$U$495,(SUMPRODUCT((('CONTROL MASTER'!$S$2:$S$495=4)*('CONTROL MASTER'!$T$2:$T$495&lt;=6)*('CONTROL MASTER'!$V$2:$V$495&gt;=6)*('CONTROL MASTER'!$U$2:$U$495&lt;=6)*('CONTROL MASTER'!$W$2:$W$495&gt;=6))*ROW('CONTROL MASTER'!$S$2:$S$495))-(ROW('CONTROL MASTER'!#REF!)-1))))+1))-1)*50+1,50))&amp;"_"&amp;INDEX('CONTROL MASTER'!$P$2:$P$495,(SUMPRODUCT((('CONTROL MASTER'!$S$2:$S$495=4)*('CONTROL MASTER'!$T$2:$T$495&lt;=6)*('CONTROL MASTER'!$V$2:$V$495&gt;=6)*('CONTROL MASTER'!$U$2:$U$495&lt;=6)*('CONTROL MASTER'!$W$2:$W$495&gt;=6))*ROW('CONTROL MASTER'!$S$2:$S$495))-(ROW('CONTROL MASTER'!#REF!)-1))),IF(SUMPRODUCT((('CONTROL MASTER'!$S$2:$S$495=4)*('CONTROL MASTER'!$Z$2:$Z$495&lt;=6)*('CONTROL MASTER'!$AB$2:$AB$495&gt;=6)*('CONTROL MASTER'!$AA$2:$AA$495&lt;=6)*('CONTROL MASTER'!$AC$2:$AC$495&gt;=6))*ROW('CONTROL MASTER'!$S$2:$S$495))&gt;0,INDEX('CONTROL MASTER'!$X$2:$X$495,(SUMPRODUCT((('CONTROL MASTER'!$S$2:$S$495=4)*('CONTROL MASTER'!$Z$2:$Z$495&lt;=6)*('CONTROL MASTER'!$AB$2:$AB$495&gt;=6)*('CONTROL MASTER'!$AA$2:$AA$495&lt;=6)*('CONTROL MASTER'!$AC$2:$AC$495&gt;=6))*ROW('CONTROL MASTER'!$S$2:$S$495))-(ROW('CONTROL MASTER'!#REF!)-1)))&amp;TRIM(MID(SUBSTITUTE(SUBSTITUTE(INDEX('CONTROL MASTER'!$N$2:$N$495,(SUMPRODUCT((('CONTROL MASTER'!$S$2:$S$495=4)*('CONTROL MASTER'!$Z$2:$Z$495&lt;=6)*('CONTROL MASTER'!$AB$2:$AB$495&gt;=6)*('CONTROL MASTER'!$AA$2:$AA$495&lt;=6)*('CONTROL MASTER'!$AC$2:$AC$495&gt;=6))*ROW('CONTROL MASTER'!$S$2:$S$495))-(ROW('CONTROL MASTER'!#REF!)-1))),":",","),",",REPT(" ",50)),(((INDEX('CONTROL MASTER'!$Y$2:$Y$495,(SUMPRODUCT((('CONTROL MASTER'!$S$2:$S$495=4)*('CONTROL MASTER'!$Z$2:$Z$495&lt;=6)*('CONTROL MASTER'!$AB$2:$AB$495&gt;=6)*('CONTROL MASTER'!$AA$2:$AA$495&lt;=6)*('CONTROL MASTER'!$AC$2:$AC$495&gt;=6))*ROW('CONTROL MASTER'!$S$2:$S$495))-(ROW('CONTROL MASTER'!#REF!)-1)))+((6-INDEX('CONTROL MASTER'!$Z$2:$Z$495,(SUMPRODUCT((('CONTROL MASTER'!$S$2:$S$495=4)*('CONTROL MASTER'!$Z$2:$Z$495&lt;=6)*('CONTROL MASTER'!$AB$2:$AB$495&gt;=6)*('CONTROL MASTER'!$AA$2:$AA$495&lt;=6)*('CONTROL MASTER'!$AC$2:$AC$495&gt;=6))*ROW('CONTROL MASTER'!$S$2:$S$495))-(ROW('CONTROL MASTER'!#REF!)-1))))*(INDEX('CONTROL MASTER'!$AC$2:$AC$495,(SUMPRODUCT((('CONTROL MASTER'!$S$2:$S$495=4)*('CONTROL MASTER'!$Z$2:$Z$495&lt;=6)*('CONTROL MASTER'!$AB$2:$AB$495&gt;=6)*('CONTROL MASTER'!$AA$2:$AA$495&lt;=6)*('CONTROL MASTER'!$AC$2:$AC$495&gt;=6))*ROW('CONTROL MASTER'!$S$2:$S$495))-(ROW('CONTROL MASTER'!#REF!)-1)))-INDEX('CONTROL MASTER'!$AA$2:$AA$495,(SUMPRODUCT((('CONTROL MASTER'!$S$2:$S$495=4)*('CONTROL MASTER'!$Z$2:$Z$495&lt;=6)*('CONTROL MASTER'!$AB$2:$AB$495&gt;=6)*('CONTROL MASTER'!$AA$2:$AA$495&lt;=6)*('CONTROL MASTER'!$AC$2:$AC$495&gt;=6))*ROW('CONTROL MASTER'!$S$2:$S$495))-(ROW('CONTROL MASTER'!#REF!)-1)))+1)+(6-INDEX('CONTROL MASTER'!$AA$2:$AA$495,(SUMPRODUCT((('CONTROL MASTER'!$S$2:$S$495=4)*('CONTROL MASTER'!$Z$2:$Z$495&lt;=6)*('CONTROL MASTER'!$AB$2:$AB$495&gt;=6)*('CONTROL MASTER'!$AA$2:$AA$495&lt;=6)*('CONTROL MASTER'!$AC$2:$AC$495&gt;=6))*ROW('CONTROL MASTER'!$S$2:$S$495))-(ROW('CONTROL MASTER'!#REF!)-1))))+1)))-1)*50+1,50))&amp;"_"&amp;INDEX('CONTROL MASTER'!$P$2:$P$495,(SUMPRODUCT((('CONTROL MASTER'!$S$2:$S$495=4)*('CONTROL MASTER'!$Z$2:$Z$495&lt;=6)*('CONTROL MASTER'!$AB$2:$AB$495&gt;=6)*('CONTROL MASTER'!$AA$2:$AA$495&lt;=6)*('CONTROL MASTER'!$AC$2:$AC$495&gt;=6))*ROW('CONTROL MASTER'!$S$2:$S$495))-(ROW('CONTROL MASTER'!#REF!)-1))),"")),"")</f>
        <v/>
      </c>
      <c r="H50" s="10" t="str">
        <f>IFERROR(IF(SUMPRODUCT((('CONTROL MASTER'!$S$2:$S$495=4)*('CONTROL MASTER'!$T$2:$T$495&lt;=6)*('CONTROL MASTER'!$V$2:$V$495&gt;=6)*('CONTROL MASTER'!$U$2:$U$495&lt;=7)*('CONTROL MASTER'!$W$2:$W$495&gt;=7))*ROW('CONTROL MASTER'!$S$2:$S$495))&gt;0,INDEX('CONTROL MASTER'!$X$2:$X$495,(SUMPRODUCT((('CONTROL MASTER'!$S$2:$S$495=4)*('CONTROL MASTER'!$T$2:$T$495&lt;=6)*('CONTROL MASTER'!$V$2:$V$495&gt;=6)*('CONTROL MASTER'!$U$2:$U$495&lt;=7)*('CONTROL MASTER'!$W$2:$W$495&gt;=7))*ROW('CONTROL MASTER'!$S$2:$S$495))-(ROW('CONTROL MASTER'!#REF!)-1)))&amp;TRIM(MID(SUBSTITUTE(SUBSTITUTE(INDEX('CONTROL MASTER'!$N$2:$N$495,(SUMPRODUCT((('CONTROL MASTER'!$S$2:$S$495=4)*('CONTROL MASTER'!$T$2:$T$495&lt;=6)*('CONTROL MASTER'!$V$2:$V$495&gt;=6)*('CONTROL MASTER'!$U$2:$U$495&lt;=7)*('CONTROL MASTER'!$W$2:$W$495&gt;=7))*ROW('CONTROL MASTER'!$S$2:$S$495))-(ROW('CONTROL MASTER'!#REF!)-1))),":",","),",",REPT(" ",50)),((((6-INDEX('CONTROL MASTER'!$T$2:$T$495,(SUMPRODUCT((('CONTROL MASTER'!$S$2:$S$495=4)*('CONTROL MASTER'!$T$2:$T$495&lt;=6)*('CONTROL MASTER'!$V$2:$V$495&gt;=6)*('CONTROL MASTER'!$U$2:$U$495&lt;=7)*('CONTROL MASTER'!$W$2:$W$495&gt;=7))*ROW('CONTROL MASTER'!$S$2:$S$495))-(ROW('CONTROL MASTER'!#REF!)-1))))*(INDEX('CONTROL MASTER'!$W$2:$W$495,(SUMPRODUCT((('CONTROL MASTER'!$S$2:$S$495=4)*('CONTROL MASTER'!$T$2:$T$495&lt;=6)*('CONTROL MASTER'!$V$2:$V$495&gt;=6)*('CONTROL MASTER'!$U$2:$U$495&lt;=7)*('CONTROL MASTER'!$W$2:$W$495&gt;=7))*ROW('CONTROL MASTER'!$S$2:$S$495))-(ROW('CONTROL MASTER'!#REF!)-1)))-INDEX('CONTROL MASTER'!$U$2:$U$495,(SUMPRODUCT((('CONTROL MASTER'!$S$2:$S$495=4)*('CONTROL MASTER'!$T$2:$T$495&lt;=6)*('CONTROL MASTER'!$V$2:$V$495&gt;=6)*('CONTROL MASTER'!$U$2:$U$495&lt;=7)*('CONTROL MASTER'!$W$2:$W$495&gt;=7))*ROW('CONTROL MASTER'!$S$2:$S$495))-(ROW('CONTROL MASTER'!#REF!)-1)))+1)+(7-INDEX('CONTROL MASTER'!$U$2:$U$495,(SUMPRODUCT((('CONTROL MASTER'!$S$2:$S$495=4)*('CONTROL MASTER'!$T$2:$T$495&lt;=6)*('CONTROL MASTER'!$V$2:$V$495&gt;=6)*('CONTROL MASTER'!$U$2:$U$495&lt;=7)*('CONTROL MASTER'!$W$2:$W$495&gt;=7))*ROW('CONTROL MASTER'!$S$2:$S$495))-(ROW('CONTROL MASTER'!#REF!)-1))))+1))-1)*50+1,50))&amp;"_"&amp;INDEX('CONTROL MASTER'!$P$2:$P$495,(SUMPRODUCT((('CONTROL MASTER'!$S$2:$S$495=4)*('CONTROL MASTER'!$T$2:$T$495&lt;=6)*('CONTROL MASTER'!$V$2:$V$495&gt;=6)*('CONTROL MASTER'!$U$2:$U$495&lt;=7)*('CONTROL MASTER'!$W$2:$W$495&gt;=7))*ROW('CONTROL MASTER'!$S$2:$S$495))-(ROW('CONTROL MASTER'!#REF!)-1))),IF(SUMPRODUCT((('CONTROL MASTER'!$S$2:$S$495=4)*('CONTROL MASTER'!$Z$2:$Z$495&lt;=6)*('CONTROL MASTER'!$AB$2:$AB$495&gt;=6)*('CONTROL MASTER'!$AA$2:$AA$495&lt;=7)*('CONTROL MASTER'!$AC$2:$AC$495&gt;=7))*ROW('CONTROL MASTER'!$S$2:$S$495))&gt;0,INDEX('CONTROL MASTER'!$X$2:$X$495,(SUMPRODUCT((('CONTROL MASTER'!$S$2:$S$495=4)*('CONTROL MASTER'!$Z$2:$Z$495&lt;=6)*('CONTROL MASTER'!$AB$2:$AB$495&gt;=6)*('CONTROL MASTER'!$AA$2:$AA$495&lt;=7)*('CONTROL MASTER'!$AC$2:$AC$495&gt;=7))*ROW('CONTROL MASTER'!$S$2:$S$495))-(ROW('CONTROL MASTER'!#REF!)-1)))&amp;TRIM(MID(SUBSTITUTE(SUBSTITUTE(INDEX('CONTROL MASTER'!$N$2:$N$495,(SUMPRODUCT((('CONTROL MASTER'!$S$2:$S$495=4)*('CONTROL MASTER'!$Z$2:$Z$495&lt;=6)*('CONTROL MASTER'!$AB$2:$AB$495&gt;=6)*('CONTROL MASTER'!$AA$2:$AA$495&lt;=7)*('CONTROL MASTER'!$AC$2:$AC$495&gt;=7))*ROW('CONTROL MASTER'!$S$2:$S$495))-(ROW('CONTROL MASTER'!#REF!)-1))),":",","),",",REPT(" ",50)),(((INDEX('CONTROL MASTER'!$Y$2:$Y$495,(SUMPRODUCT((('CONTROL MASTER'!$S$2:$S$495=4)*('CONTROL MASTER'!$Z$2:$Z$495&lt;=6)*('CONTROL MASTER'!$AB$2:$AB$495&gt;=6)*('CONTROL MASTER'!$AA$2:$AA$495&lt;=7)*('CONTROL MASTER'!$AC$2:$AC$495&gt;=7))*ROW('CONTROL MASTER'!$S$2:$S$495))-(ROW('CONTROL MASTER'!#REF!)-1)))+((6-INDEX('CONTROL MASTER'!$Z$2:$Z$495,(SUMPRODUCT((('CONTROL MASTER'!$S$2:$S$495=4)*('CONTROL MASTER'!$Z$2:$Z$495&lt;=6)*('CONTROL MASTER'!$AB$2:$AB$495&gt;=6)*('CONTROL MASTER'!$AA$2:$AA$495&lt;=7)*('CONTROL MASTER'!$AC$2:$AC$495&gt;=7))*ROW('CONTROL MASTER'!$S$2:$S$495))-(ROW('CONTROL MASTER'!#REF!)-1))))*(INDEX('CONTROL MASTER'!$AC$2:$AC$495,(SUMPRODUCT((('CONTROL MASTER'!$S$2:$S$495=4)*('CONTROL MASTER'!$Z$2:$Z$495&lt;=6)*('CONTROL MASTER'!$AB$2:$AB$495&gt;=6)*('CONTROL MASTER'!$AA$2:$AA$495&lt;=7)*('CONTROL MASTER'!$AC$2:$AC$495&gt;=7))*ROW('CONTROL MASTER'!$S$2:$S$495))-(ROW('CONTROL MASTER'!#REF!)-1)))-INDEX('CONTROL MASTER'!$AA$2:$AA$495,(SUMPRODUCT((('CONTROL MASTER'!$S$2:$S$495=4)*('CONTROL MASTER'!$Z$2:$Z$495&lt;=6)*('CONTROL MASTER'!$AB$2:$AB$495&gt;=6)*('CONTROL MASTER'!$AA$2:$AA$495&lt;=7)*('CONTROL MASTER'!$AC$2:$AC$495&gt;=7))*ROW('CONTROL MASTER'!$S$2:$S$495))-(ROW('CONTROL MASTER'!#REF!)-1)))+1)+(7-INDEX('CONTROL MASTER'!$AA$2:$AA$495,(SUMPRODUCT((('CONTROL MASTER'!$S$2:$S$495=4)*('CONTROL MASTER'!$Z$2:$Z$495&lt;=6)*('CONTROL MASTER'!$AB$2:$AB$495&gt;=6)*('CONTROL MASTER'!$AA$2:$AA$495&lt;=7)*('CONTROL MASTER'!$AC$2:$AC$495&gt;=7))*ROW('CONTROL MASTER'!$S$2:$S$495))-(ROW('CONTROL MASTER'!#REF!)-1))))+1)))-1)*50+1,50))&amp;"_"&amp;INDEX('CONTROL MASTER'!$P$2:$P$495,(SUMPRODUCT((('CONTROL MASTER'!$S$2:$S$495=4)*('CONTROL MASTER'!$Z$2:$Z$495&lt;=6)*('CONTROL MASTER'!$AB$2:$AB$495&gt;=6)*('CONTROL MASTER'!$AA$2:$AA$495&lt;=7)*('CONTROL MASTER'!$AC$2:$AC$495&gt;=7))*ROW('CONTROL MASTER'!$S$2:$S$495))-(ROW('CONTROL MASTER'!#REF!)-1))),"")),"")</f>
        <v/>
      </c>
      <c r="I50" s="10" t="str">
        <f>IFERROR(IF(SUMPRODUCT((('CONTROL MASTER'!$S$2:$S$495=4)*('CONTROL MASTER'!$T$2:$T$495&lt;=6)*('CONTROL MASTER'!$V$2:$V$495&gt;=6)*('CONTROL MASTER'!$U$2:$U$495&lt;=8)*('CONTROL MASTER'!$W$2:$W$495&gt;=8))*ROW('CONTROL MASTER'!$S$2:$S$495))&gt;0,INDEX('CONTROL MASTER'!$X$2:$X$495,(SUMPRODUCT((('CONTROL MASTER'!$S$2:$S$495=4)*('CONTROL MASTER'!$T$2:$T$495&lt;=6)*('CONTROL MASTER'!$V$2:$V$495&gt;=6)*('CONTROL MASTER'!$U$2:$U$495&lt;=8)*('CONTROL MASTER'!$W$2:$W$495&gt;=8))*ROW('CONTROL MASTER'!$S$2:$S$495))-(ROW('CONTROL MASTER'!#REF!)-1)))&amp;TRIM(MID(SUBSTITUTE(SUBSTITUTE(INDEX('CONTROL MASTER'!$N$2:$N$495,(SUMPRODUCT((('CONTROL MASTER'!$S$2:$S$495=4)*('CONTROL MASTER'!$T$2:$T$495&lt;=6)*('CONTROL MASTER'!$V$2:$V$495&gt;=6)*('CONTROL MASTER'!$U$2:$U$495&lt;=8)*('CONTROL MASTER'!$W$2:$W$495&gt;=8))*ROW('CONTROL MASTER'!$S$2:$S$495))-(ROW('CONTROL MASTER'!#REF!)-1))),":",","),",",REPT(" ",50)),((((6-INDEX('CONTROL MASTER'!$T$2:$T$495,(SUMPRODUCT((('CONTROL MASTER'!$S$2:$S$495=4)*('CONTROL MASTER'!$T$2:$T$495&lt;=6)*('CONTROL MASTER'!$V$2:$V$495&gt;=6)*('CONTROL MASTER'!$U$2:$U$495&lt;=8)*('CONTROL MASTER'!$W$2:$W$495&gt;=8))*ROW('CONTROL MASTER'!$S$2:$S$495))-(ROW('CONTROL MASTER'!#REF!)-1))))*(INDEX('CONTROL MASTER'!$W$2:$W$495,(SUMPRODUCT((('CONTROL MASTER'!$S$2:$S$495=4)*('CONTROL MASTER'!$T$2:$T$495&lt;=6)*('CONTROL MASTER'!$V$2:$V$495&gt;=6)*('CONTROL MASTER'!$U$2:$U$495&lt;=8)*('CONTROL MASTER'!$W$2:$W$495&gt;=8))*ROW('CONTROL MASTER'!$S$2:$S$495))-(ROW('CONTROL MASTER'!#REF!)-1)))-INDEX('CONTROL MASTER'!$U$2:$U$495,(SUMPRODUCT((('CONTROL MASTER'!$S$2:$S$495=4)*('CONTROL MASTER'!$T$2:$T$495&lt;=6)*('CONTROL MASTER'!$V$2:$V$495&gt;=6)*('CONTROL MASTER'!$U$2:$U$495&lt;=8)*('CONTROL MASTER'!$W$2:$W$495&gt;=8))*ROW('CONTROL MASTER'!$S$2:$S$495))-(ROW('CONTROL MASTER'!#REF!)-1)))+1)+(8-INDEX('CONTROL MASTER'!$U$2:$U$495,(SUMPRODUCT((('CONTROL MASTER'!$S$2:$S$495=4)*('CONTROL MASTER'!$T$2:$T$495&lt;=6)*('CONTROL MASTER'!$V$2:$V$495&gt;=6)*('CONTROL MASTER'!$U$2:$U$495&lt;=8)*('CONTROL MASTER'!$W$2:$W$495&gt;=8))*ROW('CONTROL MASTER'!$S$2:$S$495))-(ROW('CONTROL MASTER'!#REF!)-1))))+1))-1)*50+1,50))&amp;"_"&amp;INDEX('CONTROL MASTER'!$P$2:$P$495,(SUMPRODUCT((('CONTROL MASTER'!$S$2:$S$495=4)*('CONTROL MASTER'!$T$2:$T$495&lt;=6)*('CONTROL MASTER'!$V$2:$V$495&gt;=6)*('CONTROL MASTER'!$U$2:$U$495&lt;=8)*('CONTROL MASTER'!$W$2:$W$495&gt;=8))*ROW('CONTROL MASTER'!$S$2:$S$495))-(ROW('CONTROL MASTER'!#REF!)-1))),IF(SUMPRODUCT((('CONTROL MASTER'!$S$2:$S$495=4)*('CONTROL MASTER'!$Z$2:$Z$495&lt;=6)*('CONTROL MASTER'!$AB$2:$AB$495&gt;=6)*('CONTROL MASTER'!$AA$2:$AA$495&lt;=8)*('CONTROL MASTER'!$AC$2:$AC$495&gt;=8))*ROW('CONTROL MASTER'!$S$2:$S$495))&gt;0,INDEX('CONTROL MASTER'!$X$2:$X$495,(SUMPRODUCT((('CONTROL MASTER'!$S$2:$S$495=4)*('CONTROL MASTER'!$Z$2:$Z$495&lt;=6)*('CONTROL MASTER'!$AB$2:$AB$495&gt;=6)*('CONTROL MASTER'!$AA$2:$AA$495&lt;=8)*('CONTROL MASTER'!$AC$2:$AC$495&gt;=8))*ROW('CONTROL MASTER'!$S$2:$S$495))-(ROW('CONTROL MASTER'!#REF!)-1)))&amp;TRIM(MID(SUBSTITUTE(SUBSTITUTE(INDEX('CONTROL MASTER'!$N$2:$N$495,(SUMPRODUCT((('CONTROL MASTER'!$S$2:$S$495=4)*('CONTROL MASTER'!$Z$2:$Z$495&lt;=6)*('CONTROL MASTER'!$AB$2:$AB$495&gt;=6)*('CONTROL MASTER'!$AA$2:$AA$495&lt;=8)*('CONTROL MASTER'!$AC$2:$AC$495&gt;=8))*ROW('CONTROL MASTER'!$S$2:$S$495))-(ROW('CONTROL MASTER'!#REF!)-1))),":",","),",",REPT(" ",50)),(((INDEX('CONTROL MASTER'!$Y$2:$Y$495,(SUMPRODUCT((('CONTROL MASTER'!$S$2:$S$495=4)*('CONTROL MASTER'!$Z$2:$Z$495&lt;=6)*('CONTROL MASTER'!$AB$2:$AB$495&gt;=6)*('CONTROL MASTER'!$AA$2:$AA$495&lt;=8)*('CONTROL MASTER'!$AC$2:$AC$495&gt;=8))*ROW('CONTROL MASTER'!$S$2:$S$495))-(ROW('CONTROL MASTER'!#REF!)-1)))+((6-INDEX('CONTROL MASTER'!$Z$2:$Z$495,(SUMPRODUCT((('CONTROL MASTER'!$S$2:$S$495=4)*('CONTROL MASTER'!$Z$2:$Z$495&lt;=6)*('CONTROL MASTER'!$AB$2:$AB$495&gt;=6)*('CONTROL MASTER'!$AA$2:$AA$495&lt;=8)*('CONTROL MASTER'!$AC$2:$AC$495&gt;=8))*ROW('CONTROL MASTER'!$S$2:$S$495))-(ROW('CONTROL MASTER'!#REF!)-1))))*(INDEX('CONTROL MASTER'!$AC$2:$AC$495,(SUMPRODUCT((('CONTROL MASTER'!$S$2:$S$495=4)*('CONTROL MASTER'!$Z$2:$Z$495&lt;=6)*('CONTROL MASTER'!$AB$2:$AB$495&gt;=6)*('CONTROL MASTER'!$AA$2:$AA$495&lt;=8)*('CONTROL MASTER'!$AC$2:$AC$495&gt;=8))*ROW('CONTROL MASTER'!$S$2:$S$495))-(ROW('CONTROL MASTER'!#REF!)-1)))-INDEX('CONTROL MASTER'!$AA$2:$AA$495,(SUMPRODUCT((('CONTROL MASTER'!$S$2:$S$495=4)*('CONTROL MASTER'!$Z$2:$Z$495&lt;=6)*('CONTROL MASTER'!$AB$2:$AB$495&gt;=6)*('CONTROL MASTER'!$AA$2:$AA$495&lt;=8)*('CONTROL MASTER'!$AC$2:$AC$495&gt;=8))*ROW('CONTROL MASTER'!$S$2:$S$495))-(ROW('CONTROL MASTER'!#REF!)-1)))+1)+(8-INDEX('CONTROL MASTER'!$AA$2:$AA$495,(SUMPRODUCT((('CONTROL MASTER'!$S$2:$S$495=4)*('CONTROL MASTER'!$Z$2:$Z$495&lt;=6)*('CONTROL MASTER'!$AB$2:$AB$495&gt;=6)*('CONTROL MASTER'!$AA$2:$AA$495&lt;=8)*('CONTROL MASTER'!$AC$2:$AC$495&gt;=8))*ROW('CONTROL MASTER'!$S$2:$S$495))-(ROW('CONTROL MASTER'!#REF!)-1))))+1)))-1)*50+1,50))&amp;"_"&amp;INDEX('CONTROL MASTER'!$P$2:$P$495,(SUMPRODUCT((('CONTROL MASTER'!$S$2:$S$495=4)*('CONTROL MASTER'!$Z$2:$Z$495&lt;=6)*('CONTROL MASTER'!$AB$2:$AB$495&gt;=6)*('CONTROL MASTER'!$AA$2:$AA$495&lt;=8)*('CONTROL MASTER'!$AC$2:$AC$495&gt;=8))*ROW('CONTROL MASTER'!$S$2:$S$495))-(ROW('CONTROL MASTER'!#REF!)-1))),"")),"")</f>
        <v/>
      </c>
      <c r="J50" s="10" t="str">
        <f>IFERROR(IF(SUMPRODUCT((('CONTROL MASTER'!$S$2:$S$495=4)*('CONTROL MASTER'!$T$2:$T$495&lt;=6)*('CONTROL MASTER'!$V$2:$V$495&gt;=6)*('CONTROL MASTER'!$U$2:$U$495&lt;=9)*('CONTROL MASTER'!$W$2:$W$495&gt;=9))*ROW('CONTROL MASTER'!$S$2:$S$495))&gt;0,INDEX('CONTROL MASTER'!$X$2:$X$495,(SUMPRODUCT((('CONTROL MASTER'!$S$2:$S$495=4)*('CONTROL MASTER'!$T$2:$T$495&lt;=6)*('CONTROL MASTER'!$V$2:$V$495&gt;=6)*('CONTROL MASTER'!$U$2:$U$495&lt;=9)*('CONTROL MASTER'!$W$2:$W$495&gt;=9))*ROW('CONTROL MASTER'!$S$2:$S$495))-(ROW('CONTROL MASTER'!#REF!)-1)))&amp;TRIM(MID(SUBSTITUTE(SUBSTITUTE(INDEX('CONTROL MASTER'!$N$2:$N$495,(SUMPRODUCT((('CONTROL MASTER'!$S$2:$S$495=4)*('CONTROL MASTER'!$T$2:$T$495&lt;=6)*('CONTROL MASTER'!$V$2:$V$495&gt;=6)*('CONTROL MASTER'!$U$2:$U$495&lt;=9)*('CONTROL MASTER'!$W$2:$W$495&gt;=9))*ROW('CONTROL MASTER'!$S$2:$S$495))-(ROW('CONTROL MASTER'!#REF!)-1))),":",","),",",REPT(" ",50)),((((6-INDEX('CONTROL MASTER'!$T$2:$T$495,(SUMPRODUCT((('CONTROL MASTER'!$S$2:$S$495=4)*('CONTROL MASTER'!$T$2:$T$495&lt;=6)*('CONTROL MASTER'!$V$2:$V$495&gt;=6)*('CONTROL MASTER'!$U$2:$U$495&lt;=9)*('CONTROL MASTER'!$W$2:$W$495&gt;=9))*ROW('CONTROL MASTER'!$S$2:$S$495))-(ROW('CONTROL MASTER'!#REF!)-1))))*(INDEX('CONTROL MASTER'!$W$2:$W$495,(SUMPRODUCT((('CONTROL MASTER'!$S$2:$S$495=4)*('CONTROL MASTER'!$T$2:$T$495&lt;=6)*('CONTROL MASTER'!$V$2:$V$495&gt;=6)*('CONTROL MASTER'!$U$2:$U$495&lt;=9)*('CONTROL MASTER'!$W$2:$W$495&gt;=9))*ROW('CONTROL MASTER'!$S$2:$S$495))-(ROW('CONTROL MASTER'!#REF!)-1)))-INDEX('CONTROL MASTER'!$U$2:$U$495,(SUMPRODUCT((('CONTROL MASTER'!$S$2:$S$495=4)*('CONTROL MASTER'!$T$2:$T$495&lt;=6)*('CONTROL MASTER'!$V$2:$V$495&gt;=6)*('CONTROL MASTER'!$U$2:$U$495&lt;=9)*('CONTROL MASTER'!$W$2:$W$495&gt;=9))*ROW('CONTROL MASTER'!$S$2:$S$495))-(ROW('CONTROL MASTER'!#REF!)-1)))+1)+(9-INDEX('CONTROL MASTER'!$U$2:$U$495,(SUMPRODUCT((('CONTROL MASTER'!$S$2:$S$495=4)*('CONTROL MASTER'!$T$2:$T$495&lt;=6)*('CONTROL MASTER'!$V$2:$V$495&gt;=6)*('CONTROL MASTER'!$U$2:$U$495&lt;=9)*('CONTROL MASTER'!$W$2:$W$495&gt;=9))*ROW('CONTROL MASTER'!$S$2:$S$495))-(ROW('CONTROL MASTER'!#REF!)-1))))+1))-1)*50+1,50))&amp;"_"&amp;INDEX('CONTROL MASTER'!$P$2:$P$495,(SUMPRODUCT((('CONTROL MASTER'!$S$2:$S$495=4)*('CONTROL MASTER'!$T$2:$T$495&lt;=6)*('CONTROL MASTER'!$V$2:$V$495&gt;=6)*('CONTROL MASTER'!$U$2:$U$495&lt;=9)*('CONTROL MASTER'!$W$2:$W$495&gt;=9))*ROW('CONTROL MASTER'!$S$2:$S$495))-(ROW('CONTROL MASTER'!#REF!)-1))),IF(SUMPRODUCT((('CONTROL MASTER'!$S$2:$S$495=4)*('CONTROL MASTER'!$Z$2:$Z$495&lt;=6)*('CONTROL MASTER'!$AB$2:$AB$495&gt;=6)*('CONTROL MASTER'!$AA$2:$AA$495&lt;=9)*('CONTROL MASTER'!$AC$2:$AC$495&gt;=9))*ROW('CONTROL MASTER'!$S$2:$S$495))&gt;0,INDEX('CONTROL MASTER'!$X$2:$X$495,(SUMPRODUCT((('CONTROL MASTER'!$S$2:$S$495=4)*('CONTROL MASTER'!$Z$2:$Z$495&lt;=6)*('CONTROL MASTER'!$AB$2:$AB$495&gt;=6)*('CONTROL MASTER'!$AA$2:$AA$495&lt;=9)*('CONTROL MASTER'!$AC$2:$AC$495&gt;=9))*ROW('CONTROL MASTER'!$S$2:$S$495))-(ROW('CONTROL MASTER'!#REF!)-1)))&amp;TRIM(MID(SUBSTITUTE(SUBSTITUTE(INDEX('CONTROL MASTER'!$N$2:$N$495,(SUMPRODUCT((('CONTROL MASTER'!$S$2:$S$495=4)*('CONTROL MASTER'!$Z$2:$Z$495&lt;=6)*('CONTROL MASTER'!$AB$2:$AB$495&gt;=6)*('CONTROL MASTER'!$AA$2:$AA$495&lt;=9)*('CONTROL MASTER'!$AC$2:$AC$495&gt;=9))*ROW('CONTROL MASTER'!$S$2:$S$495))-(ROW('CONTROL MASTER'!#REF!)-1))),":",","),",",REPT(" ",50)),(((INDEX('CONTROL MASTER'!$Y$2:$Y$495,(SUMPRODUCT((('CONTROL MASTER'!$S$2:$S$495=4)*('CONTROL MASTER'!$Z$2:$Z$495&lt;=6)*('CONTROL MASTER'!$AB$2:$AB$495&gt;=6)*('CONTROL MASTER'!$AA$2:$AA$495&lt;=9)*('CONTROL MASTER'!$AC$2:$AC$495&gt;=9))*ROW('CONTROL MASTER'!$S$2:$S$495))-(ROW('CONTROL MASTER'!#REF!)-1)))+((6-INDEX('CONTROL MASTER'!$Z$2:$Z$495,(SUMPRODUCT((('CONTROL MASTER'!$S$2:$S$495=4)*('CONTROL MASTER'!$Z$2:$Z$495&lt;=6)*('CONTROL MASTER'!$AB$2:$AB$495&gt;=6)*('CONTROL MASTER'!$AA$2:$AA$495&lt;=9)*('CONTROL MASTER'!$AC$2:$AC$495&gt;=9))*ROW('CONTROL MASTER'!$S$2:$S$495))-(ROW('CONTROL MASTER'!#REF!)-1))))*(INDEX('CONTROL MASTER'!$AC$2:$AC$495,(SUMPRODUCT((('CONTROL MASTER'!$S$2:$S$495=4)*('CONTROL MASTER'!$Z$2:$Z$495&lt;=6)*('CONTROL MASTER'!$AB$2:$AB$495&gt;=6)*('CONTROL MASTER'!$AA$2:$AA$495&lt;=9)*('CONTROL MASTER'!$AC$2:$AC$495&gt;=9))*ROW('CONTROL MASTER'!$S$2:$S$495))-(ROW('CONTROL MASTER'!#REF!)-1)))-INDEX('CONTROL MASTER'!$AA$2:$AA$495,(SUMPRODUCT((('CONTROL MASTER'!$S$2:$S$495=4)*('CONTROL MASTER'!$Z$2:$Z$495&lt;=6)*('CONTROL MASTER'!$AB$2:$AB$495&gt;=6)*('CONTROL MASTER'!$AA$2:$AA$495&lt;=9)*('CONTROL MASTER'!$AC$2:$AC$495&gt;=9))*ROW('CONTROL MASTER'!$S$2:$S$495))-(ROW('CONTROL MASTER'!#REF!)-1)))+1)+(9-INDEX('CONTROL MASTER'!$AA$2:$AA$495,(SUMPRODUCT((('CONTROL MASTER'!$S$2:$S$495=4)*('CONTROL MASTER'!$Z$2:$Z$495&lt;=6)*('CONTROL MASTER'!$AB$2:$AB$495&gt;=6)*('CONTROL MASTER'!$AA$2:$AA$495&lt;=9)*('CONTROL MASTER'!$AC$2:$AC$495&gt;=9))*ROW('CONTROL MASTER'!$S$2:$S$495))-(ROW('CONTROL MASTER'!#REF!)-1))))+1)))-1)*50+1,50))&amp;"_"&amp;INDEX('CONTROL MASTER'!$P$2:$P$495,(SUMPRODUCT((('CONTROL MASTER'!$S$2:$S$495=4)*('CONTROL MASTER'!$Z$2:$Z$495&lt;=6)*('CONTROL MASTER'!$AB$2:$AB$495&gt;=6)*('CONTROL MASTER'!$AA$2:$AA$495&lt;=9)*('CONTROL MASTER'!$AC$2:$AC$495&gt;=9))*ROW('CONTROL MASTER'!$S$2:$S$495))-(ROW('CONTROL MASTER'!#REF!)-1))),"")),"")</f>
        <v/>
      </c>
      <c r="K50" s="10" t="str">
        <f>IFERROR(IF(SUMPRODUCT((('CONTROL MASTER'!$S$2:$S$495=4)*('CONTROL MASTER'!$T$2:$T$495&lt;=6)*('CONTROL MASTER'!$V$2:$V$495&gt;=6)*('CONTROL MASTER'!$U$2:$U$495&lt;=10)*('CONTROL MASTER'!$W$2:$W$495&gt;=10))*ROW('CONTROL MASTER'!$S$2:$S$495))&gt;0,INDEX('CONTROL MASTER'!$X$2:$X$495,(SUMPRODUCT((('CONTROL MASTER'!$S$2:$S$495=4)*('CONTROL MASTER'!$T$2:$T$495&lt;=6)*('CONTROL MASTER'!$V$2:$V$495&gt;=6)*('CONTROL MASTER'!$U$2:$U$495&lt;=10)*('CONTROL MASTER'!$W$2:$W$495&gt;=10))*ROW('CONTROL MASTER'!$S$2:$S$495))-(ROW('CONTROL MASTER'!#REF!)-1)))&amp;TRIM(MID(SUBSTITUTE(SUBSTITUTE(INDEX('CONTROL MASTER'!$N$2:$N$495,(SUMPRODUCT((('CONTROL MASTER'!$S$2:$S$495=4)*('CONTROL MASTER'!$T$2:$T$495&lt;=6)*('CONTROL MASTER'!$V$2:$V$495&gt;=6)*('CONTROL MASTER'!$U$2:$U$495&lt;=10)*('CONTROL MASTER'!$W$2:$W$495&gt;=10))*ROW('CONTROL MASTER'!$S$2:$S$495))-(ROW('CONTROL MASTER'!#REF!)-1))),":",","),",",REPT(" ",50)),((((6-INDEX('CONTROL MASTER'!$T$2:$T$495,(SUMPRODUCT((('CONTROL MASTER'!$S$2:$S$495=4)*('CONTROL MASTER'!$T$2:$T$495&lt;=6)*('CONTROL MASTER'!$V$2:$V$495&gt;=6)*('CONTROL MASTER'!$U$2:$U$495&lt;=10)*('CONTROL MASTER'!$W$2:$W$495&gt;=10))*ROW('CONTROL MASTER'!$S$2:$S$495))-(ROW('CONTROL MASTER'!#REF!)-1))))*(INDEX('CONTROL MASTER'!$W$2:$W$495,(SUMPRODUCT((('CONTROL MASTER'!$S$2:$S$495=4)*('CONTROL MASTER'!$T$2:$T$495&lt;=6)*('CONTROL MASTER'!$V$2:$V$495&gt;=6)*('CONTROL MASTER'!$U$2:$U$495&lt;=10)*('CONTROL MASTER'!$W$2:$W$495&gt;=10))*ROW('CONTROL MASTER'!$S$2:$S$495))-(ROW('CONTROL MASTER'!#REF!)-1)))-INDEX('CONTROL MASTER'!$U$2:$U$495,(SUMPRODUCT((('CONTROL MASTER'!$S$2:$S$495=4)*('CONTROL MASTER'!$T$2:$T$495&lt;=6)*('CONTROL MASTER'!$V$2:$V$495&gt;=6)*('CONTROL MASTER'!$U$2:$U$495&lt;=10)*('CONTROL MASTER'!$W$2:$W$495&gt;=10))*ROW('CONTROL MASTER'!$S$2:$S$495))-(ROW('CONTROL MASTER'!#REF!)-1)))+1)+(10-INDEX('CONTROL MASTER'!$U$2:$U$495,(SUMPRODUCT((('CONTROL MASTER'!$S$2:$S$495=4)*('CONTROL MASTER'!$T$2:$T$495&lt;=6)*('CONTROL MASTER'!$V$2:$V$495&gt;=6)*('CONTROL MASTER'!$U$2:$U$495&lt;=10)*('CONTROL MASTER'!$W$2:$W$495&gt;=10))*ROW('CONTROL MASTER'!$S$2:$S$495))-(ROW('CONTROL MASTER'!#REF!)-1))))+1))-1)*50+1,50))&amp;"_"&amp;INDEX('CONTROL MASTER'!$P$2:$P$495,(SUMPRODUCT((('CONTROL MASTER'!$S$2:$S$495=4)*('CONTROL MASTER'!$T$2:$T$495&lt;=6)*('CONTROL MASTER'!$V$2:$V$495&gt;=6)*('CONTROL MASTER'!$U$2:$U$495&lt;=10)*('CONTROL MASTER'!$W$2:$W$495&gt;=10))*ROW('CONTROL MASTER'!$S$2:$S$495))-(ROW('CONTROL MASTER'!#REF!)-1))),IF(SUMPRODUCT((('CONTROL MASTER'!$S$2:$S$495=4)*('CONTROL MASTER'!$Z$2:$Z$495&lt;=6)*('CONTROL MASTER'!$AB$2:$AB$495&gt;=6)*('CONTROL MASTER'!$AA$2:$AA$495&lt;=10)*('CONTROL MASTER'!$AC$2:$AC$495&gt;=10))*ROW('CONTROL MASTER'!$S$2:$S$495))&gt;0,INDEX('CONTROL MASTER'!$X$2:$X$495,(SUMPRODUCT((('CONTROL MASTER'!$S$2:$S$495=4)*('CONTROL MASTER'!$Z$2:$Z$495&lt;=6)*('CONTROL MASTER'!$AB$2:$AB$495&gt;=6)*('CONTROL MASTER'!$AA$2:$AA$495&lt;=10)*('CONTROL MASTER'!$AC$2:$AC$495&gt;=10))*ROW('CONTROL MASTER'!$S$2:$S$495))-(ROW('CONTROL MASTER'!#REF!)-1)))&amp;TRIM(MID(SUBSTITUTE(SUBSTITUTE(INDEX('CONTROL MASTER'!$N$2:$N$495,(SUMPRODUCT((('CONTROL MASTER'!$S$2:$S$495=4)*('CONTROL MASTER'!$Z$2:$Z$495&lt;=6)*('CONTROL MASTER'!$AB$2:$AB$495&gt;=6)*('CONTROL MASTER'!$AA$2:$AA$495&lt;=10)*('CONTROL MASTER'!$AC$2:$AC$495&gt;=10))*ROW('CONTROL MASTER'!$S$2:$S$495))-(ROW('CONTROL MASTER'!#REF!)-1))),":",","),",",REPT(" ",50)),(((INDEX('CONTROL MASTER'!$Y$2:$Y$495,(SUMPRODUCT((('CONTROL MASTER'!$S$2:$S$495=4)*('CONTROL MASTER'!$Z$2:$Z$495&lt;=6)*('CONTROL MASTER'!$AB$2:$AB$495&gt;=6)*('CONTROL MASTER'!$AA$2:$AA$495&lt;=10)*('CONTROL MASTER'!$AC$2:$AC$495&gt;=10))*ROW('CONTROL MASTER'!$S$2:$S$495))-(ROW('CONTROL MASTER'!#REF!)-1)))+((6-INDEX('CONTROL MASTER'!$Z$2:$Z$495,(SUMPRODUCT((('CONTROL MASTER'!$S$2:$S$495=4)*('CONTROL MASTER'!$Z$2:$Z$495&lt;=6)*('CONTROL MASTER'!$AB$2:$AB$495&gt;=6)*('CONTROL MASTER'!$AA$2:$AA$495&lt;=10)*('CONTROL MASTER'!$AC$2:$AC$495&gt;=10))*ROW('CONTROL MASTER'!$S$2:$S$495))-(ROW('CONTROL MASTER'!#REF!)-1))))*(INDEX('CONTROL MASTER'!$AC$2:$AC$495,(SUMPRODUCT((('CONTROL MASTER'!$S$2:$S$495=4)*('CONTROL MASTER'!$Z$2:$Z$495&lt;=6)*('CONTROL MASTER'!$AB$2:$AB$495&gt;=6)*('CONTROL MASTER'!$AA$2:$AA$495&lt;=10)*('CONTROL MASTER'!$AC$2:$AC$495&gt;=10))*ROW('CONTROL MASTER'!$S$2:$S$495))-(ROW('CONTROL MASTER'!#REF!)-1)))-INDEX('CONTROL MASTER'!$AA$2:$AA$495,(SUMPRODUCT((('CONTROL MASTER'!$S$2:$S$495=4)*('CONTROL MASTER'!$Z$2:$Z$495&lt;=6)*('CONTROL MASTER'!$AB$2:$AB$495&gt;=6)*('CONTROL MASTER'!$AA$2:$AA$495&lt;=10)*('CONTROL MASTER'!$AC$2:$AC$495&gt;=10))*ROW('CONTROL MASTER'!$S$2:$S$495))-(ROW('CONTROL MASTER'!#REF!)-1)))+1)+(10-INDEX('CONTROL MASTER'!$AA$2:$AA$495,(SUMPRODUCT((('CONTROL MASTER'!$S$2:$S$495=4)*('CONTROL MASTER'!$Z$2:$Z$495&lt;=6)*('CONTROL MASTER'!$AB$2:$AB$495&gt;=6)*('CONTROL MASTER'!$AA$2:$AA$495&lt;=10)*('CONTROL MASTER'!$AC$2:$AC$495&gt;=10))*ROW('CONTROL MASTER'!$S$2:$S$495))-(ROW('CONTROL MASTER'!#REF!)-1))))+1)))-1)*50+1,50))&amp;"_"&amp;INDEX('CONTROL MASTER'!$P$2:$P$495,(SUMPRODUCT((('CONTROL MASTER'!$S$2:$S$495=4)*('CONTROL MASTER'!$Z$2:$Z$495&lt;=6)*('CONTROL MASTER'!$AB$2:$AB$495&gt;=6)*('CONTROL MASTER'!$AA$2:$AA$495&lt;=10)*('CONTROL MASTER'!$AC$2:$AC$495&gt;=10))*ROW('CONTROL MASTER'!$S$2:$S$495))-(ROW('CONTROL MASTER'!#REF!)-1))),"")),"")</f>
        <v/>
      </c>
    </row>
    <row r="51" spans="1:11" ht="15" customHeight="1" x14ac:dyDescent="0.35">
      <c r="A51" s="8" t="s">
        <v>34</v>
      </c>
      <c r="B51" s="10" t="str">
        <f>IFERROR(IF(SUMPRODUCT((('CONTROL MASTER'!$S$2:$S$495=4)*('CONTROL MASTER'!$T$2:$T$495&lt;=7)*('CONTROL MASTER'!$V$2:$V$495&gt;=7)*('CONTROL MASTER'!$U$2:$U$495&lt;=1)*('CONTROL MASTER'!$W$2:$W$495&gt;=1))*ROW('CONTROL MASTER'!$S$2:$S$495))&gt;0,INDEX('CONTROL MASTER'!$X$2:$X$495,(SUMPRODUCT((('CONTROL MASTER'!$S$2:$S$495=4)*('CONTROL MASTER'!$T$2:$T$495&lt;=7)*('CONTROL MASTER'!$V$2:$V$495&gt;=7)*('CONTROL MASTER'!$U$2:$U$495&lt;=1)*('CONTROL MASTER'!$W$2:$W$495&gt;=1))*ROW('CONTROL MASTER'!$S$2:$S$495))-(ROW('CONTROL MASTER'!#REF!)-1)))&amp;TRIM(MID(SUBSTITUTE(SUBSTITUTE(INDEX('CONTROL MASTER'!$N$2:$N$495,(SUMPRODUCT((('CONTROL MASTER'!$S$2:$S$495=4)*('CONTROL MASTER'!$T$2:$T$495&lt;=7)*('CONTROL MASTER'!$V$2:$V$495&gt;=7)*('CONTROL MASTER'!$U$2:$U$495&lt;=1)*('CONTROL MASTER'!$W$2:$W$495&gt;=1))*ROW('CONTROL MASTER'!$S$2:$S$495))-(ROW('CONTROL MASTER'!#REF!)-1))),":",","),",",REPT(" ",50)),((((7-INDEX('CONTROL MASTER'!$T$2:$T$495,(SUMPRODUCT((('CONTROL MASTER'!$S$2:$S$495=4)*('CONTROL MASTER'!$T$2:$T$495&lt;=7)*('CONTROL MASTER'!$V$2:$V$495&gt;=7)*('CONTROL MASTER'!$U$2:$U$495&lt;=1)*('CONTROL MASTER'!$W$2:$W$495&gt;=1))*ROW('CONTROL MASTER'!$S$2:$S$495))-(ROW('CONTROL MASTER'!#REF!)-1))))*(INDEX('CONTROL MASTER'!$W$2:$W$495,(SUMPRODUCT((('CONTROL MASTER'!$S$2:$S$495=4)*('CONTROL MASTER'!$T$2:$T$495&lt;=7)*('CONTROL MASTER'!$V$2:$V$495&gt;=7)*('CONTROL MASTER'!$U$2:$U$495&lt;=1)*('CONTROL MASTER'!$W$2:$W$495&gt;=1))*ROW('CONTROL MASTER'!$S$2:$S$495))-(ROW('CONTROL MASTER'!#REF!)-1)))-INDEX('CONTROL MASTER'!$U$2:$U$495,(SUMPRODUCT((('CONTROL MASTER'!$S$2:$S$495=4)*('CONTROL MASTER'!$T$2:$T$495&lt;=7)*('CONTROL MASTER'!$V$2:$V$495&gt;=7)*('CONTROL MASTER'!$U$2:$U$495&lt;=1)*('CONTROL MASTER'!$W$2:$W$495&gt;=1))*ROW('CONTROL MASTER'!$S$2:$S$495))-(ROW('CONTROL MASTER'!#REF!)-1)))+1)+(1-INDEX('CONTROL MASTER'!$U$2:$U$495,(SUMPRODUCT((('CONTROL MASTER'!$S$2:$S$495=4)*('CONTROL MASTER'!$T$2:$T$495&lt;=7)*('CONTROL MASTER'!$V$2:$V$495&gt;=7)*('CONTROL MASTER'!$U$2:$U$495&lt;=1)*('CONTROL MASTER'!$W$2:$W$495&gt;=1))*ROW('CONTROL MASTER'!$S$2:$S$495))-(ROW('CONTROL MASTER'!#REF!)-1))))+1))-1)*50+1,50))&amp;"_"&amp;INDEX('CONTROL MASTER'!$P$2:$P$495,(SUMPRODUCT((('CONTROL MASTER'!$S$2:$S$495=4)*('CONTROL MASTER'!$T$2:$T$495&lt;=7)*('CONTROL MASTER'!$V$2:$V$495&gt;=7)*('CONTROL MASTER'!$U$2:$U$495&lt;=1)*('CONTROL MASTER'!$W$2:$W$495&gt;=1))*ROW('CONTROL MASTER'!$S$2:$S$495))-(ROW('CONTROL MASTER'!#REF!)-1))),IF(SUMPRODUCT((('CONTROL MASTER'!$S$2:$S$495=4)*('CONTROL MASTER'!$Z$2:$Z$495&lt;=7)*('CONTROL MASTER'!$AB$2:$AB$495&gt;=7)*('CONTROL MASTER'!$AA$2:$AA$495&lt;=1)*('CONTROL MASTER'!$AC$2:$AC$495&gt;=1))*ROW('CONTROL MASTER'!$S$2:$S$495))&gt;0,INDEX('CONTROL MASTER'!$X$2:$X$495,(SUMPRODUCT((('CONTROL MASTER'!$S$2:$S$495=4)*('CONTROL MASTER'!$Z$2:$Z$495&lt;=7)*('CONTROL MASTER'!$AB$2:$AB$495&gt;=7)*('CONTROL MASTER'!$AA$2:$AA$495&lt;=1)*('CONTROL MASTER'!$AC$2:$AC$495&gt;=1))*ROW('CONTROL MASTER'!$S$2:$S$495))-(ROW('CONTROL MASTER'!#REF!)-1)))&amp;TRIM(MID(SUBSTITUTE(SUBSTITUTE(INDEX('CONTROL MASTER'!$N$2:$N$495,(SUMPRODUCT((('CONTROL MASTER'!$S$2:$S$495=4)*('CONTROL MASTER'!$Z$2:$Z$495&lt;=7)*('CONTROL MASTER'!$AB$2:$AB$495&gt;=7)*('CONTROL MASTER'!$AA$2:$AA$495&lt;=1)*('CONTROL MASTER'!$AC$2:$AC$495&gt;=1))*ROW('CONTROL MASTER'!$S$2:$S$495))-(ROW('CONTROL MASTER'!#REF!)-1))),":",","),",",REPT(" ",50)),(((INDEX('CONTROL MASTER'!$Y$2:$Y$495,(SUMPRODUCT((('CONTROL MASTER'!$S$2:$S$495=4)*('CONTROL MASTER'!$Z$2:$Z$495&lt;=7)*('CONTROL MASTER'!$AB$2:$AB$495&gt;=7)*('CONTROL MASTER'!$AA$2:$AA$495&lt;=1)*('CONTROL MASTER'!$AC$2:$AC$495&gt;=1))*ROW('CONTROL MASTER'!$S$2:$S$495))-(ROW('CONTROL MASTER'!#REF!)-1)))+((7-INDEX('CONTROL MASTER'!$Z$2:$Z$495,(SUMPRODUCT((('CONTROL MASTER'!$S$2:$S$495=4)*('CONTROL MASTER'!$Z$2:$Z$495&lt;=7)*('CONTROL MASTER'!$AB$2:$AB$495&gt;=7)*('CONTROL MASTER'!$AA$2:$AA$495&lt;=1)*('CONTROL MASTER'!$AC$2:$AC$495&gt;=1))*ROW('CONTROL MASTER'!$S$2:$S$495))-(ROW('CONTROL MASTER'!#REF!)-1))))*(INDEX('CONTROL MASTER'!$AC$2:$AC$495,(SUMPRODUCT((('CONTROL MASTER'!$S$2:$S$495=4)*('CONTROL MASTER'!$Z$2:$Z$495&lt;=7)*('CONTROL MASTER'!$AB$2:$AB$495&gt;=7)*('CONTROL MASTER'!$AA$2:$AA$495&lt;=1)*('CONTROL MASTER'!$AC$2:$AC$495&gt;=1))*ROW('CONTROL MASTER'!$S$2:$S$495))-(ROW('CONTROL MASTER'!#REF!)-1)))-INDEX('CONTROL MASTER'!$AA$2:$AA$495,(SUMPRODUCT((('CONTROL MASTER'!$S$2:$S$495=4)*('CONTROL MASTER'!$Z$2:$Z$495&lt;=7)*('CONTROL MASTER'!$AB$2:$AB$495&gt;=7)*('CONTROL MASTER'!$AA$2:$AA$495&lt;=1)*('CONTROL MASTER'!$AC$2:$AC$495&gt;=1))*ROW('CONTROL MASTER'!$S$2:$S$495))-(ROW('CONTROL MASTER'!#REF!)-1)))+1)+(1-INDEX('CONTROL MASTER'!$AA$2:$AA$495,(SUMPRODUCT((('CONTROL MASTER'!$S$2:$S$495=4)*('CONTROL MASTER'!$Z$2:$Z$495&lt;=7)*('CONTROL MASTER'!$AB$2:$AB$495&gt;=7)*('CONTROL MASTER'!$AA$2:$AA$495&lt;=1)*('CONTROL MASTER'!$AC$2:$AC$495&gt;=1))*ROW('CONTROL MASTER'!$S$2:$S$495))-(ROW('CONTROL MASTER'!#REF!)-1))))+1)))-1)*50+1,50))&amp;"_"&amp;INDEX('CONTROL MASTER'!$P$2:$P$495,(SUMPRODUCT((('CONTROL MASTER'!$S$2:$S$495=4)*('CONTROL MASTER'!$Z$2:$Z$495&lt;=7)*('CONTROL MASTER'!$AB$2:$AB$495&gt;=7)*('CONTROL MASTER'!$AA$2:$AA$495&lt;=1)*('CONTROL MASTER'!$AC$2:$AC$495&gt;=1))*ROW('CONTROL MASTER'!$S$2:$S$495))-(ROW('CONTROL MASTER'!#REF!)-1))),"")),"")</f>
        <v/>
      </c>
      <c r="C51" s="10" t="str">
        <f>IFERROR(IF(SUMPRODUCT((('CONTROL MASTER'!$S$2:$S$495=4)*('CONTROL MASTER'!$T$2:$T$495&lt;=7)*('CONTROL MASTER'!$V$2:$V$495&gt;=7)*('CONTROL MASTER'!$U$2:$U$495&lt;=2)*('CONTROL MASTER'!$W$2:$W$495&gt;=2))*ROW('CONTROL MASTER'!$S$2:$S$495))&gt;0,INDEX('CONTROL MASTER'!$X$2:$X$495,(SUMPRODUCT((('CONTROL MASTER'!$S$2:$S$495=4)*('CONTROL MASTER'!$T$2:$T$495&lt;=7)*('CONTROL MASTER'!$V$2:$V$495&gt;=7)*('CONTROL MASTER'!$U$2:$U$495&lt;=2)*('CONTROL MASTER'!$W$2:$W$495&gt;=2))*ROW('CONTROL MASTER'!$S$2:$S$495))-(ROW('CONTROL MASTER'!#REF!)-1)))&amp;TRIM(MID(SUBSTITUTE(SUBSTITUTE(INDEX('CONTROL MASTER'!$N$2:$N$495,(SUMPRODUCT((('CONTROL MASTER'!$S$2:$S$495=4)*('CONTROL MASTER'!$T$2:$T$495&lt;=7)*('CONTROL MASTER'!$V$2:$V$495&gt;=7)*('CONTROL MASTER'!$U$2:$U$495&lt;=2)*('CONTROL MASTER'!$W$2:$W$495&gt;=2))*ROW('CONTROL MASTER'!$S$2:$S$495))-(ROW('CONTROL MASTER'!#REF!)-1))),":",","),",",REPT(" ",50)),((((7-INDEX('CONTROL MASTER'!$T$2:$T$495,(SUMPRODUCT((('CONTROL MASTER'!$S$2:$S$495=4)*('CONTROL MASTER'!$T$2:$T$495&lt;=7)*('CONTROL MASTER'!$V$2:$V$495&gt;=7)*('CONTROL MASTER'!$U$2:$U$495&lt;=2)*('CONTROL MASTER'!$W$2:$W$495&gt;=2))*ROW('CONTROL MASTER'!$S$2:$S$495))-(ROW('CONTROL MASTER'!#REF!)-1))))*(INDEX('CONTROL MASTER'!$W$2:$W$495,(SUMPRODUCT((('CONTROL MASTER'!$S$2:$S$495=4)*('CONTROL MASTER'!$T$2:$T$495&lt;=7)*('CONTROL MASTER'!$V$2:$V$495&gt;=7)*('CONTROL MASTER'!$U$2:$U$495&lt;=2)*('CONTROL MASTER'!$W$2:$W$495&gt;=2))*ROW('CONTROL MASTER'!$S$2:$S$495))-(ROW('CONTROL MASTER'!#REF!)-1)))-INDEX('CONTROL MASTER'!$U$2:$U$495,(SUMPRODUCT((('CONTROL MASTER'!$S$2:$S$495=4)*('CONTROL MASTER'!$T$2:$T$495&lt;=7)*('CONTROL MASTER'!$V$2:$V$495&gt;=7)*('CONTROL MASTER'!$U$2:$U$495&lt;=2)*('CONTROL MASTER'!$W$2:$W$495&gt;=2))*ROW('CONTROL MASTER'!$S$2:$S$495))-(ROW('CONTROL MASTER'!#REF!)-1)))+1)+(2-INDEX('CONTROL MASTER'!$U$2:$U$495,(SUMPRODUCT((('CONTROL MASTER'!$S$2:$S$495=4)*('CONTROL MASTER'!$T$2:$T$495&lt;=7)*('CONTROL MASTER'!$V$2:$V$495&gt;=7)*('CONTROL MASTER'!$U$2:$U$495&lt;=2)*('CONTROL MASTER'!$W$2:$W$495&gt;=2))*ROW('CONTROL MASTER'!$S$2:$S$495))-(ROW('CONTROL MASTER'!#REF!)-1))))+1))-1)*50+1,50))&amp;"_"&amp;INDEX('CONTROL MASTER'!$P$2:$P$495,(SUMPRODUCT((('CONTROL MASTER'!$S$2:$S$495=4)*('CONTROL MASTER'!$T$2:$T$495&lt;=7)*('CONTROL MASTER'!$V$2:$V$495&gt;=7)*('CONTROL MASTER'!$U$2:$U$495&lt;=2)*('CONTROL MASTER'!$W$2:$W$495&gt;=2))*ROW('CONTROL MASTER'!$S$2:$S$495))-(ROW('CONTROL MASTER'!#REF!)-1))),IF(SUMPRODUCT((('CONTROL MASTER'!$S$2:$S$495=4)*('CONTROL MASTER'!$Z$2:$Z$495&lt;=7)*('CONTROL MASTER'!$AB$2:$AB$495&gt;=7)*('CONTROL MASTER'!$AA$2:$AA$495&lt;=2)*('CONTROL MASTER'!$AC$2:$AC$495&gt;=2))*ROW('CONTROL MASTER'!$S$2:$S$495))&gt;0,INDEX('CONTROL MASTER'!$X$2:$X$495,(SUMPRODUCT((('CONTROL MASTER'!$S$2:$S$495=4)*('CONTROL MASTER'!$Z$2:$Z$495&lt;=7)*('CONTROL MASTER'!$AB$2:$AB$495&gt;=7)*('CONTROL MASTER'!$AA$2:$AA$495&lt;=2)*('CONTROL MASTER'!$AC$2:$AC$495&gt;=2))*ROW('CONTROL MASTER'!$S$2:$S$495))-(ROW('CONTROL MASTER'!#REF!)-1)))&amp;TRIM(MID(SUBSTITUTE(SUBSTITUTE(INDEX('CONTROL MASTER'!$N$2:$N$495,(SUMPRODUCT((('CONTROL MASTER'!$S$2:$S$495=4)*('CONTROL MASTER'!$Z$2:$Z$495&lt;=7)*('CONTROL MASTER'!$AB$2:$AB$495&gt;=7)*('CONTROL MASTER'!$AA$2:$AA$495&lt;=2)*('CONTROL MASTER'!$AC$2:$AC$495&gt;=2))*ROW('CONTROL MASTER'!$S$2:$S$495))-(ROW('CONTROL MASTER'!#REF!)-1))),":",","),",",REPT(" ",50)),(((INDEX('CONTROL MASTER'!$Y$2:$Y$495,(SUMPRODUCT((('CONTROL MASTER'!$S$2:$S$495=4)*('CONTROL MASTER'!$Z$2:$Z$495&lt;=7)*('CONTROL MASTER'!$AB$2:$AB$495&gt;=7)*('CONTROL MASTER'!$AA$2:$AA$495&lt;=2)*('CONTROL MASTER'!$AC$2:$AC$495&gt;=2))*ROW('CONTROL MASTER'!$S$2:$S$495))-(ROW('CONTROL MASTER'!#REF!)-1)))+((7-INDEX('CONTROL MASTER'!$Z$2:$Z$495,(SUMPRODUCT((('CONTROL MASTER'!$S$2:$S$495=4)*('CONTROL MASTER'!$Z$2:$Z$495&lt;=7)*('CONTROL MASTER'!$AB$2:$AB$495&gt;=7)*('CONTROL MASTER'!$AA$2:$AA$495&lt;=2)*('CONTROL MASTER'!$AC$2:$AC$495&gt;=2))*ROW('CONTROL MASTER'!$S$2:$S$495))-(ROW('CONTROL MASTER'!#REF!)-1))))*(INDEX('CONTROL MASTER'!$AC$2:$AC$495,(SUMPRODUCT((('CONTROL MASTER'!$S$2:$S$495=4)*('CONTROL MASTER'!$Z$2:$Z$495&lt;=7)*('CONTROL MASTER'!$AB$2:$AB$495&gt;=7)*('CONTROL MASTER'!$AA$2:$AA$495&lt;=2)*('CONTROL MASTER'!$AC$2:$AC$495&gt;=2))*ROW('CONTROL MASTER'!$S$2:$S$495))-(ROW('CONTROL MASTER'!#REF!)-1)))-INDEX('CONTROL MASTER'!$AA$2:$AA$495,(SUMPRODUCT((('CONTROL MASTER'!$S$2:$S$495=4)*('CONTROL MASTER'!$Z$2:$Z$495&lt;=7)*('CONTROL MASTER'!$AB$2:$AB$495&gt;=7)*('CONTROL MASTER'!$AA$2:$AA$495&lt;=2)*('CONTROL MASTER'!$AC$2:$AC$495&gt;=2))*ROW('CONTROL MASTER'!$S$2:$S$495))-(ROW('CONTROL MASTER'!#REF!)-1)))+1)+(2-INDEX('CONTROL MASTER'!$AA$2:$AA$495,(SUMPRODUCT((('CONTROL MASTER'!$S$2:$S$495=4)*('CONTROL MASTER'!$Z$2:$Z$495&lt;=7)*('CONTROL MASTER'!$AB$2:$AB$495&gt;=7)*('CONTROL MASTER'!$AA$2:$AA$495&lt;=2)*('CONTROL MASTER'!$AC$2:$AC$495&gt;=2))*ROW('CONTROL MASTER'!$S$2:$S$495))-(ROW('CONTROL MASTER'!#REF!)-1))))+1)))-1)*50+1,50))&amp;"_"&amp;INDEX('CONTROL MASTER'!$P$2:$P$495,(SUMPRODUCT((('CONTROL MASTER'!$S$2:$S$495=4)*('CONTROL MASTER'!$Z$2:$Z$495&lt;=7)*('CONTROL MASTER'!$AB$2:$AB$495&gt;=7)*('CONTROL MASTER'!$AA$2:$AA$495&lt;=2)*('CONTROL MASTER'!$AC$2:$AC$495&gt;=2))*ROW('CONTROL MASTER'!$S$2:$S$495))-(ROW('CONTROL MASTER'!#REF!)-1))),"")),"")</f>
        <v/>
      </c>
      <c r="D51" s="10" t="str">
        <f>IFERROR(IF(SUMPRODUCT((('CONTROL MASTER'!$S$2:$S$495=4)*('CONTROL MASTER'!$T$2:$T$495&lt;=7)*('CONTROL MASTER'!$V$2:$V$495&gt;=7)*('CONTROL MASTER'!$U$2:$U$495&lt;=3)*('CONTROL MASTER'!$W$2:$W$495&gt;=3))*ROW('CONTROL MASTER'!$S$2:$S$495))&gt;0,INDEX('CONTROL MASTER'!$X$2:$X$495,(SUMPRODUCT((('CONTROL MASTER'!$S$2:$S$495=4)*('CONTROL MASTER'!$T$2:$T$495&lt;=7)*('CONTROL MASTER'!$V$2:$V$495&gt;=7)*('CONTROL MASTER'!$U$2:$U$495&lt;=3)*('CONTROL MASTER'!$W$2:$W$495&gt;=3))*ROW('CONTROL MASTER'!$S$2:$S$495))-(ROW('CONTROL MASTER'!#REF!)-1)))&amp;TRIM(MID(SUBSTITUTE(SUBSTITUTE(INDEX('CONTROL MASTER'!$N$2:$N$495,(SUMPRODUCT((('CONTROL MASTER'!$S$2:$S$495=4)*('CONTROL MASTER'!$T$2:$T$495&lt;=7)*('CONTROL MASTER'!$V$2:$V$495&gt;=7)*('CONTROL MASTER'!$U$2:$U$495&lt;=3)*('CONTROL MASTER'!$W$2:$W$495&gt;=3))*ROW('CONTROL MASTER'!$S$2:$S$495))-(ROW('CONTROL MASTER'!#REF!)-1))),":",","),",",REPT(" ",50)),((((7-INDEX('CONTROL MASTER'!$T$2:$T$495,(SUMPRODUCT((('CONTROL MASTER'!$S$2:$S$495=4)*('CONTROL MASTER'!$T$2:$T$495&lt;=7)*('CONTROL MASTER'!$V$2:$V$495&gt;=7)*('CONTROL MASTER'!$U$2:$U$495&lt;=3)*('CONTROL MASTER'!$W$2:$W$495&gt;=3))*ROW('CONTROL MASTER'!$S$2:$S$495))-(ROW('CONTROL MASTER'!#REF!)-1))))*(INDEX('CONTROL MASTER'!$W$2:$W$495,(SUMPRODUCT((('CONTROL MASTER'!$S$2:$S$495=4)*('CONTROL MASTER'!$T$2:$T$495&lt;=7)*('CONTROL MASTER'!$V$2:$V$495&gt;=7)*('CONTROL MASTER'!$U$2:$U$495&lt;=3)*('CONTROL MASTER'!$W$2:$W$495&gt;=3))*ROW('CONTROL MASTER'!$S$2:$S$495))-(ROW('CONTROL MASTER'!#REF!)-1)))-INDEX('CONTROL MASTER'!$U$2:$U$495,(SUMPRODUCT((('CONTROL MASTER'!$S$2:$S$495=4)*('CONTROL MASTER'!$T$2:$T$495&lt;=7)*('CONTROL MASTER'!$V$2:$V$495&gt;=7)*('CONTROL MASTER'!$U$2:$U$495&lt;=3)*('CONTROL MASTER'!$W$2:$W$495&gt;=3))*ROW('CONTROL MASTER'!$S$2:$S$495))-(ROW('CONTROL MASTER'!#REF!)-1)))+1)+(3-INDEX('CONTROL MASTER'!$U$2:$U$495,(SUMPRODUCT((('CONTROL MASTER'!$S$2:$S$495=4)*('CONTROL MASTER'!$T$2:$T$495&lt;=7)*('CONTROL MASTER'!$V$2:$V$495&gt;=7)*('CONTROL MASTER'!$U$2:$U$495&lt;=3)*('CONTROL MASTER'!$W$2:$W$495&gt;=3))*ROW('CONTROL MASTER'!$S$2:$S$495))-(ROW('CONTROL MASTER'!#REF!)-1))))+1))-1)*50+1,50))&amp;"_"&amp;INDEX('CONTROL MASTER'!$P$2:$P$495,(SUMPRODUCT((('CONTROL MASTER'!$S$2:$S$495=4)*('CONTROL MASTER'!$T$2:$T$495&lt;=7)*('CONTROL MASTER'!$V$2:$V$495&gt;=7)*('CONTROL MASTER'!$U$2:$U$495&lt;=3)*('CONTROL MASTER'!$W$2:$W$495&gt;=3))*ROW('CONTROL MASTER'!$S$2:$S$495))-(ROW('CONTROL MASTER'!#REF!)-1))),IF(SUMPRODUCT((('CONTROL MASTER'!$S$2:$S$495=4)*('CONTROL MASTER'!$Z$2:$Z$495&lt;=7)*('CONTROL MASTER'!$AB$2:$AB$495&gt;=7)*('CONTROL MASTER'!$AA$2:$AA$495&lt;=3)*('CONTROL MASTER'!$AC$2:$AC$495&gt;=3))*ROW('CONTROL MASTER'!$S$2:$S$495))&gt;0,INDEX('CONTROL MASTER'!$X$2:$X$495,(SUMPRODUCT((('CONTROL MASTER'!$S$2:$S$495=4)*('CONTROL MASTER'!$Z$2:$Z$495&lt;=7)*('CONTROL MASTER'!$AB$2:$AB$495&gt;=7)*('CONTROL MASTER'!$AA$2:$AA$495&lt;=3)*('CONTROL MASTER'!$AC$2:$AC$495&gt;=3))*ROW('CONTROL MASTER'!$S$2:$S$495))-(ROW('CONTROL MASTER'!#REF!)-1)))&amp;TRIM(MID(SUBSTITUTE(SUBSTITUTE(INDEX('CONTROL MASTER'!$N$2:$N$495,(SUMPRODUCT((('CONTROL MASTER'!$S$2:$S$495=4)*('CONTROL MASTER'!$Z$2:$Z$495&lt;=7)*('CONTROL MASTER'!$AB$2:$AB$495&gt;=7)*('CONTROL MASTER'!$AA$2:$AA$495&lt;=3)*('CONTROL MASTER'!$AC$2:$AC$495&gt;=3))*ROW('CONTROL MASTER'!$S$2:$S$495))-(ROW('CONTROL MASTER'!#REF!)-1))),":",","),",",REPT(" ",50)),(((INDEX('CONTROL MASTER'!$Y$2:$Y$495,(SUMPRODUCT((('CONTROL MASTER'!$S$2:$S$495=4)*('CONTROL MASTER'!$Z$2:$Z$495&lt;=7)*('CONTROL MASTER'!$AB$2:$AB$495&gt;=7)*('CONTROL MASTER'!$AA$2:$AA$495&lt;=3)*('CONTROL MASTER'!$AC$2:$AC$495&gt;=3))*ROW('CONTROL MASTER'!$S$2:$S$495))-(ROW('CONTROL MASTER'!#REF!)-1)))+((7-INDEX('CONTROL MASTER'!$Z$2:$Z$495,(SUMPRODUCT((('CONTROL MASTER'!$S$2:$S$495=4)*('CONTROL MASTER'!$Z$2:$Z$495&lt;=7)*('CONTROL MASTER'!$AB$2:$AB$495&gt;=7)*('CONTROL MASTER'!$AA$2:$AA$495&lt;=3)*('CONTROL MASTER'!$AC$2:$AC$495&gt;=3))*ROW('CONTROL MASTER'!$S$2:$S$495))-(ROW('CONTROL MASTER'!#REF!)-1))))*(INDEX('CONTROL MASTER'!$AC$2:$AC$495,(SUMPRODUCT((('CONTROL MASTER'!$S$2:$S$495=4)*('CONTROL MASTER'!$Z$2:$Z$495&lt;=7)*('CONTROL MASTER'!$AB$2:$AB$495&gt;=7)*('CONTROL MASTER'!$AA$2:$AA$495&lt;=3)*('CONTROL MASTER'!$AC$2:$AC$495&gt;=3))*ROW('CONTROL MASTER'!$S$2:$S$495))-(ROW('CONTROL MASTER'!#REF!)-1)))-INDEX('CONTROL MASTER'!$AA$2:$AA$495,(SUMPRODUCT((('CONTROL MASTER'!$S$2:$S$495=4)*('CONTROL MASTER'!$Z$2:$Z$495&lt;=7)*('CONTROL MASTER'!$AB$2:$AB$495&gt;=7)*('CONTROL MASTER'!$AA$2:$AA$495&lt;=3)*('CONTROL MASTER'!$AC$2:$AC$495&gt;=3))*ROW('CONTROL MASTER'!$S$2:$S$495))-(ROW('CONTROL MASTER'!#REF!)-1)))+1)+(3-INDEX('CONTROL MASTER'!$AA$2:$AA$495,(SUMPRODUCT((('CONTROL MASTER'!$S$2:$S$495=4)*('CONTROL MASTER'!$Z$2:$Z$495&lt;=7)*('CONTROL MASTER'!$AB$2:$AB$495&gt;=7)*('CONTROL MASTER'!$AA$2:$AA$495&lt;=3)*('CONTROL MASTER'!$AC$2:$AC$495&gt;=3))*ROW('CONTROL MASTER'!$S$2:$S$495))-(ROW('CONTROL MASTER'!#REF!)-1))))+1)))-1)*50+1,50))&amp;"_"&amp;INDEX('CONTROL MASTER'!$P$2:$P$495,(SUMPRODUCT((('CONTROL MASTER'!$S$2:$S$495=4)*('CONTROL MASTER'!$Z$2:$Z$495&lt;=7)*('CONTROL MASTER'!$AB$2:$AB$495&gt;=7)*('CONTROL MASTER'!$AA$2:$AA$495&lt;=3)*('CONTROL MASTER'!$AC$2:$AC$495&gt;=3))*ROW('CONTROL MASTER'!$S$2:$S$495))-(ROW('CONTROL MASTER'!#REF!)-1))),"")),"")</f>
        <v/>
      </c>
      <c r="E51" s="10" t="str">
        <f>IFERROR(IF(SUMPRODUCT((('CONTROL MASTER'!$S$2:$S$495=4)*('CONTROL MASTER'!$T$2:$T$495&lt;=7)*('CONTROL MASTER'!$V$2:$V$495&gt;=7)*('CONTROL MASTER'!$U$2:$U$495&lt;=4)*('CONTROL MASTER'!$W$2:$W$495&gt;=4))*ROW('CONTROL MASTER'!$S$2:$S$495))&gt;0,INDEX('CONTROL MASTER'!$X$2:$X$495,(SUMPRODUCT((('CONTROL MASTER'!$S$2:$S$495=4)*('CONTROL MASTER'!$T$2:$T$495&lt;=7)*('CONTROL MASTER'!$V$2:$V$495&gt;=7)*('CONTROL MASTER'!$U$2:$U$495&lt;=4)*('CONTROL MASTER'!$W$2:$W$495&gt;=4))*ROW('CONTROL MASTER'!$S$2:$S$495))-(ROW('CONTROL MASTER'!#REF!)-1)))&amp;TRIM(MID(SUBSTITUTE(SUBSTITUTE(INDEX('CONTROL MASTER'!$N$2:$N$495,(SUMPRODUCT((('CONTROL MASTER'!$S$2:$S$495=4)*('CONTROL MASTER'!$T$2:$T$495&lt;=7)*('CONTROL MASTER'!$V$2:$V$495&gt;=7)*('CONTROL MASTER'!$U$2:$U$495&lt;=4)*('CONTROL MASTER'!$W$2:$W$495&gt;=4))*ROW('CONTROL MASTER'!$S$2:$S$495))-(ROW('CONTROL MASTER'!#REF!)-1))),":",","),",",REPT(" ",50)),((((7-INDEX('CONTROL MASTER'!$T$2:$T$495,(SUMPRODUCT((('CONTROL MASTER'!$S$2:$S$495=4)*('CONTROL MASTER'!$T$2:$T$495&lt;=7)*('CONTROL MASTER'!$V$2:$V$495&gt;=7)*('CONTROL MASTER'!$U$2:$U$495&lt;=4)*('CONTROL MASTER'!$W$2:$W$495&gt;=4))*ROW('CONTROL MASTER'!$S$2:$S$495))-(ROW('CONTROL MASTER'!#REF!)-1))))*(INDEX('CONTROL MASTER'!$W$2:$W$495,(SUMPRODUCT((('CONTROL MASTER'!$S$2:$S$495=4)*('CONTROL MASTER'!$T$2:$T$495&lt;=7)*('CONTROL MASTER'!$V$2:$V$495&gt;=7)*('CONTROL MASTER'!$U$2:$U$495&lt;=4)*('CONTROL MASTER'!$W$2:$W$495&gt;=4))*ROW('CONTROL MASTER'!$S$2:$S$495))-(ROW('CONTROL MASTER'!#REF!)-1)))-INDEX('CONTROL MASTER'!$U$2:$U$495,(SUMPRODUCT((('CONTROL MASTER'!$S$2:$S$495=4)*('CONTROL MASTER'!$T$2:$T$495&lt;=7)*('CONTROL MASTER'!$V$2:$V$495&gt;=7)*('CONTROL MASTER'!$U$2:$U$495&lt;=4)*('CONTROL MASTER'!$W$2:$W$495&gt;=4))*ROW('CONTROL MASTER'!$S$2:$S$495))-(ROW('CONTROL MASTER'!#REF!)-1)))+1)+(4-INDEX('CONTROL MASTER'!$U$2:$U$495,(SUMPRODUCT((('CONTROL MASTER'!$S$2:$S$495=4)*('CONTROL MASTER'!$T$2:$T$495&lt;=7)*('CONTROL MASTER'!$V$2:$V$495&gt;=7)*('CONTROL MASTER'!$U$2:$U$495&lt;=4)*('CONTROL MASTER'!$W$2:$W$495&gt;=4))*ROW('CONTROL MASTER'!$S$2:$S$495))-(ROW('CONTROL MASTER'!#REF!)-1))))+1))-1)*50+1,50))&amp;"_"&amp;INDEX('CONTROL MASTER'!$P$2:$P$495,(SUMPRODUCT((('CONTROL MASTER'!$S$2:$S$495=4)*('CONTROL MASTER'!$T$2:$T$495&lt;=7)*('CONTROL MASTER'!$V$2:$V$495&gt;=7)*('CONTROL MASTER'!$U$2:$U$495&lt;=4)*('CONTROL MASTER'!$W$2:$W$495&gt;=4))*ROW('CONTROL MASTER'!$S$2:$S$495))-(ROW('CONTROL MASTER'!#REF!)-1))),IF(SUMPRODUCT((('CONTROL MASTER'!$S$2:$S$495=4)*('CONTROL MASTER'!$Z$2:$Z$495&lt;=7)*('CONTROL MASTER'!$AB$2:$AB$495&gt;=7)*('CONTROL MASTER'!$AA$2:$AA$495&lt;=4)*('CONTROL MASTER'!$AC$2:$AC$495&gt;=4))*ROW('CONTROL MASTER'!$S$2:$S$495))&gt;0,INDEX('CONTROL MASTER'!$X$2:$X$495,(SUMPRODUCT((('CONTROL MASTER'!$S$2:$S$495=4)*('CONTROL MASTER'!$Z$2:$Z$495&lt;=7)*('CONTROL MASTER'!$AB$2:$AB$495&gt;=7)*('CONTROL MASTER'!$AA$2:$AA$495&lt;=4)*('CONTROL MASTER'!$AC$2:$AC$495&gt;=4))*ROW('CONTROL MASTER'!$S$2:$S$495))-(ROW('CONTROL MASTER'!#REF!)-1)))&amp;TRIM(MID(SUBSTITUTE(SUBSTITUTE(INDEX('CONTROL MASTER'!$N$2:$N$495,(SUMPRODUCT((('CONTROL MASTER'!$S$2:$S$495=4)*('CONTROL MASTER'!$Z$2:$Z$495&lt;=7)*('CONTROL MASTER'!$AB$2:$AB$495&gt;=7)*('CONTROL MASTER'!$AA$2:$AA$495&lt;=4)*('CONTROL MASTER'!$AC$2:$AC$495&gt;=4))*ROW('CONTROL MASTER'!$S$2:$S$495))-(ROW('CONTROL MASTER'!#REF!)-1))),":",","),",",REPT(" ",50)),(((INDEX('CONTROL MASTER'!$Y$2:$Y$495,(SUMPRODUCT((('CONTROL MASTER'!$S$2:$S$495=4)*('CONTROL MASTER'!$Z$2:$Z$495&lt;=7)*('CONTROL MASTER'!$AB$2:$AB$495&gt;=7)*('CONTROL MASTER'!$AA$2:$AA$495&lt;=4)*('CONTROL MASTER'!$AC$2:$AC$495&gt;=4))*ROW('CONTROL MASTER'!$S$2:$S$495))-(ROW('CONTROL MASTER'!#REF!)-1)))+((7-INDEX('CONTROL MASTER'!$Z$2:$Z$495,(SUMPRODUCT((('CONTROL MASTER'!$S$2:$S$495=4)*('CONTROL MASTER'!$Z$2:$Z$495&lt;=7)*('CONTROL MASTER'!$AB$2:$AB$495&gt;=7)*('CONTROL MASTER'!$AA$2:$AA$495&lt;=4)*('CONTROL MASTER'!$AC$2:$AC$495&gt;=4))*ROW('CONTROL MASTER'!$S$2:$S$495))-(ROW('CONTROL MASTER'!#REF!)-1))))*(INDEX('CONTROL MASTER'!$AC$2:$AC$495,(SUMPRODUCT((('CONTROL MASTER'!$S$2:$S$495=4)*('CONTROL MASTER'!$Z$2:$Z$495&lt;=7)*('CONTROL MASTER'!$AB$2:$AB$495&gt;=7)*('CONTROL MASTER'!$AA$2:$AA$495&lt;=4)*('CONTROL MASTER'!$AC$2:$AC$495&gt;=4))*ROW('CONTROL MASTER'!$S$2:$S$495))-(ROW('CONTROL MASTER'!#REF!)-1)))-INDEX('CONTROL MASTER'!$AA$2:$AA$495,(SUMPRODUCT((('CONTROL MASTER'!$S$2:$S$495=4)*('CONTROL MASTER'!$Z$2:$Z$495&lt;=7)*('CONTROL MASTER'!$AB$2:$AB$495&gt;=7)*('CONTROL MASTER'!$AA$2:$AA$495&lt;=4)*('CONTROL MASTER'!$AC$2:$AC$495&gt;=4))*ROW('CONTROL MASTER'!$S$2:$S$495))-(ROW('CONTROL MASTER'!#REF!)-1)))+1)+(4-INDEX('CONTROL MASTER'!$AA$2:$AA$495,(SUMPRODUCT((('CONTROL MASTER'!$S$2:$S$495=4)*('CONTROL MASTER'!$Z$2:$Z$495&lt;=7)*('CONTROL MASTER'!$AB$2:$AB$495&gt;=7)*('CONTROL MASTER'!$AA$2:$AA$495&lt;=4)*('CONTROL MASTER'!$AC$2:$AC$495&gt;=4))*ROW('CONTROL MASTER'!$S$2:$S$495))-(ROW('CONTROL MASTER'!#REF!)-1))))+1)))-1)*50+1,50))&amp;"_"&amp;INDEX('CONTROL MASTER'!$P$2:$P$495,(SUMPRODUCT((('CONTROL MASTER'!$S$2:$S$495=4)*('CONTROL MASTER'!$Z$2:$Z$495&lt;=7)*('CONTROL MASTER'!$AB$2:$AB$495&gt;=7)*('CONTROL MASTER'!$AA$2:$AA$495&lt;=4)*('CONTROL MASTER'!$AC$2:$AC$495&gt;=4))*ROW('CONTROL MASTER'!$S$2:$S$495))-(ROW('CONTROL MASTER'!#REF!)-1))),"")),"")</f>
        <v/>
      </c>
      <c r="F51" s="10" t="str">
        <f>IFERROR(IF(SUMPRODUCT((('CONTROL MASTER'!$S$2:$S$495=4)*('CONTROL MASTER'!$T$2:$T$495&lt;=7)*('CONTROL MASTER'!$V$2:$V$495&gt;=7)*('CONTROL MASTER'!$U$2:$U$495&lt;=5)*('CONTROL MASTER'!$W$2:$W$495&gt;=5))*ROW('CONTROL MASTER'!$S$2:$S$495))&gt;0,INDEX('CONTROL MASTER'!$X$2:$X$495,(SUMPRODUCT((('CONTROL MASTER'!$S$2:$S$495=4)*('CONTROL MASTER'!$T$2:$T$495&lt;=7)*('CONTROL MASTER'!$V$2:$V$495&gt;=7)*('CONTROL MASTER'!$U$2:$U$495&lt;=5)*('CONTROL MASTER'!$W$2:$W$495&gt;=5))*ROW('CONTROL MASTER'!$S$2:$S$495))-(ROW('CONTROL MASTER'!#REF!)-1)))&amp;TRIM(MID(SUBSTITUTE(SUBSTITUTE(INDEX('CONTROL MASTER'!$N$2:$N$495,(SUMPRODUCT((('CONTROL MASTER'!$S$2:$S$495=4)*('CONTROL MASTER'!$T$2:$T$495&lt;=7)*('CONTROL MASTER'!$V$2:$V$495&gt;=7)*('CONTROL MASTER'!$U$2:$U$495&lt;=5)*('CONTROL MASTER'!$W$2:$W$495&gt;=5))*ROW('CONTROL MASTER'!$S$2:$S$495))-(ROW('CONTROL MASTER'!#REF!)-1))),":",","),",",REPT(" ",50)),((((7-INDEX('CONTROL MASTER'!$T$2:$T$495,(SUMPRODUCT((('CONTROL MASTER'!$S$2:$S$495=4)*('CONTROL MASTER'!$T$2:$T$495&lt;=7)*('CONTROL MASTER'!$V$2:$V$495&gt;=7)*('CONTROL MASTER'!$U$2:$U$495&lt;=5)*('CONTROL MASTER'!$W$2:$W$495&gt;=5))*ROW('CONTROL MASTER'!$S$2:$S$495))-(ROW('CONTROL MASTER'!#REF!)-1))))*(INDEX('CONTROL MASTER'!$W$2:$W$495,(SUMPRODUCT((('CONTROL MASTER'!$S$2:$S$495=4)*('CONTROL MASTER'!$T$2:$T$495&lt;=7)*('CONTROL MASTER'!$V$2:$V$495&gt;=7)*('CONTROL MASTER'!$U$2:$U$495&lt;=5)*('CONTROL MASTER'!$W$2:$W$495&gt;=5))*ROW('CONTROL MASTER'!$S$2:$S$495))-(ROW('CONTROL MASTER'!#REF!)-1)))-INDEX('CONTROL MASTER'!$U$2:$U$495,(SUMPRODUCT((('CONTROL MASTER'!$S$2:$S$495=4)*('CONTROL MASTER'!$T$2:$T$495&lt;=7)*('CONTROL MASTER'!$V$2:$V$495&gt;=7)*('CONTROL MASTER'!$U$2:$U$495&lt;=5)*('CONTROL MASTER'!$W$2:$W$495&gt;=5))*ROW('CONTROL MASTER'!$S$2:$S$495))-(ROW('CONTROL MASTER'!#REF!)-1)))+1)+(5-INDEX('CONTROL MASTER'!$U$2:$U$495,(SUMPRODUCT((('CONTROL MASTER'!$S$2:$S$495=4)*('CONTROL MASTER'!$T$2:$T$495&lt;=7)*('CONTROL MASTER'!$V$2:$V$495&gt;=7)*('CONTROL MASTER'!$U$2:$U$495&lt;=5)*('CONTROL MASTER'!$W$2:$W$495&gt;=5))*ROW('CONTROL MASTER'!$S$2:$S$495))-(ROW('CONTROL MASTER'!#REF!)-1))))+1))-1)*50+1,50))&amp;"_"&amp;INDEX('CONTROL MASTER'!$P$2:$P$495,(SUMPRODUCT((('CONTROL MASTER'!$S$2:$S$495=4)*('CONTROL MASTER'!$T$2:$T$495&lt;=7)*('CONTROL MASTER'!$V$2:$V$495&gt;=7)*('CONTROL MASTER'!$U$2:$U$495&lt;=5)*('CONTROL MASTER'!$W$2:$W$495&gt;=5))*ROW('CONTROL MASTER'!$S$2:$S$495))-(ROW('CONTROL MASTER'!#REF!)-1))),IF(SUMPRODUCT((('CONTROL MASTER'!$S$2:$S$495=4)*('CONTROL MASTER'!$Z$2:$Z$495&lt;=7)*('CONTROL MASTER'!$AB$2:$AB$495&gt;=7)*('CONTROL MASTER'!$AA$2:$AA$495&lt;=5)*('CONTROL MASTER'!$AC$2:$AC$495&gt;=5))*ROW('CONTROL MASTER'!$S$2:$S$495))&gt;0,INDEX('CONTROL MASTER'!$X$2:$X$495,(SUMPRODUCT((('CONTROL MASTER'!$S$2:$S$495=4)*('CONTROL MASTER'!$Z$2:$Z$495&lt;=7)*('CONTROL MASTER'!$AB$2:$AB$495&gt;=7)*('CONTROL MASTER'!$AA$2:$AA$495&lt;=5)*('CONTROL MASTER'!$AC$2:$AC$495&gt;=5))*ROW('CONTROL MASTER'!$S$2:$S$495))-(ROW('CONTROL MASTER'!#REF!)-1)))&amp;TRIM(MID(SUBSTITUTE(SUBSTITUTE(INDEX('CONTROL MASTER'!$N$2:$N$495,(SUMPRODUCT((('CONTROL MASTER'!$S$2:$S$495=4)*('CONTROL MASTER'!$Z$2:$Z$495&lt;=7)*('CONTROL MASTER'!$AB$2:$AB$495&gt;=7)*('CONTROL MASTER'!$AA$2:$AA$495&lt;=5)*('CONTROL MASTER'!$AC$2:$AC$495&gt;=5))*ROW('CONTROL MASTER'!$S$2:$S$495))-(ROW('CONTROL MASTER'!#REF!)-1))),":",","),",",REPT(" ",50)),(((INDEX('CONTROL MASTER'!$Y$2:$Y$495,(SUMPRODUCT((('CONTROL MASTER'!$S$2:$S$495=4)*('CONTROL MASTER'!$Z$2:$Z$495&lt;=7)*('CONTROL MASTER'!$AB$2:$AB$495&gt;=7)*('CONTROL MASTER'!$AA$2:$AA$495&lt;=5)*('CONTROL MASTER'!$AC$2:$AC$495&gt;=5))*ROW('CONTROL MASTER'!$S$2:$S$495))-(ROW('CONTROL MASTER'!#REF!)-1)))+((7-INDEX('CONTROL MASTER'!$Z$2:$Z$495,(SUMPRODUCT((('CONTROL MASTER'!$S$2:$S$495=4)*('CONTROL MASTER'!$Z$2:$Z$495&lt;=7)*('CONTROL MASTER'!$AB$2:$AB$495&gt;=7)*('CONTROL MASTER'!$AA$2:$AA$495&lt;=5)*('CONTROL MASTER'!$AC$2:$AC$495&gt;=5))*ROW('CONTROL MASTER'!$S$2:$S$495))-(ROW('CONTROL MASTER'!#REF!)-1))))*(INDEX('CONTROL MASTER'!$AC$2:$AC$495,(SUMPRODUCT((('CONTROL MASTER'!$S$2:$S$495=4)*('CONTROL MASTER'!$Z$2:$Z$495&lt;=7)*('CONTROL MASTER'!$AB$2:$AB$495&gt;=7)*('CONTROL MASTER'!$AA$2:$AA$495&lt;=5)*('CONTROL MASTER'!$AC$2:$AC$495&gt;=5))*ROW('CONTROL MASTER'!$S$2:$S$495))-(ROW('CONTROL MASTER'!#REF!)-1)))-INDEX('CONTROL MASTER'!$AA$2:$AA$495,(SUMPRODUCT((('CONTROL MASTER'!$S$2:$S$495=4)*('CONTROL MASTER'!$Z$2:$Z$495&lt;=7)*('CONTROL MASTER'!$AB$2:$AB$495&gt;=7)*('CONTROL MASTER'!$AA$2:$AA$495&lt;=5)*('CONTROL MASTER'!$AC$2:$AC$495&gt;=5))*ROW('CONTROL MASTER'!$S$2:$S$495))-(ROW('CONTROL MASTER'!#REF!)-1)))+1)+(5-INDEX('CONTROL MASTER'!$AA$2:$AA$495,(SUMPRODUCT((('CONTROL MASTER'!$S$2:$S$495=4)*('CONTROL MASTER'!$Z$2:$Z$495&lt;=7)*('CONTROL MASTER'!$AB$2:$AB$495&gt;=7)*('CONTROL MASTER'!$AA$2:$AA$495&lt;=5)*('CONTROL MASTER'!$AC$2:$AC$495&gt;=5))*ROW('CONTROL MASTER'!$S$2:$S$495))-(ROW('CONTROL MASTER'!#REF!)-1))))+1)))-1)*50+1,50))&amp;"_"&amp;INDEX('CONTROL MASTER'!$P$2:$P$495,(SUMPRODUCT((('CONTROL MASTER'!$S$2:$S$495=4)*('CONTROL MASTER'!$Z$2:$Z$495&lt;=7)*('CONTROL MASTER'!$AB$2:$AB$495&gt;=7)*('CONTROL MASTER'!$AA$2:$AA$495&lt;=5)*('CONTROL MASTER'!$AC$2:$AC$495&gt;=5))*ROW('CONTROL MASTER'!$S$2:$S$495))-(ROW('CONTROL MASTER'!#REF!)-1))),"")),"")</f>
        <v/>
      </c>
      <c r="G51" s="10" t="str">
        <f>IFERROR(IF(SUMPRODUCT((('CONTROL MASTER'!$S$2:$S$495=4)*('CONTROL MASTER'!$T$2:$T$495&lt;=7)*('CONTROL MASTER'!$V$2:$V$495&gt;=7)*('CONTROL MASTER'!$U$2:$U$495&lt;=6)*('CONTROL MASTER'!$W$2:$W$495&gt;=6))*ROW('CONTROL MASTER'!$S$2:$S$495))&gt;0,INDEX('CONTROL MASTER'!$X$2:$X$495,(SUMPRODUCT((('CONTROL MASTER'!$S$2:$S$495=4)*('CONTROL MASTER'!$T$2:$T$495&lt;=7)*('CONTROL MASTER'!$V$2:$V$495&gt;=7)*('CONTROL MASTER'!$U$2:$U$495&lt;=6)*('CONTROL MASTER'!$W$2:$W$495&gt;=6))*ROW('CONTROL MASTER'!$S$2:$S$495))-(ROW('CONTROL MASTER'!#REF!)-1)))&amp;TRIM(MID(SUBSTITUTE(SUBSTITUTE(INDEX('CONTROL MASTER'!$N$2:$N$495,(SUMPRODUCT((('CONTROL MASTER'!$S$2:$S$495=4)*('CONTROL MASTER'!$T$2:$T$495&lt;=7)*('CONTROL MASTER'!$V$2:$V$495&gt;=7)*('CONTROL MASTER'!$U$2:$U$495&lt;=6)*('CONTROL MASTER'!$W$2:$W$495&gt;=6))*ROW('CONTROL MASTER'!$S$2:$S$495))-(ROW('CONTROL MASTER'!#REF!)-1))),":",","),",",REPT(" ",50)),((((7-INDEX('CONTROL MASTER'!$T$2:$T$495,(SUMPRODUCT((('CONTROL MASTER'!$S$2:$S$495=4)*('CONTROL MASTER'!$T$2:$T$495&lt;=7)*('CONTROL MASTER'!$V$2:$V$495&gt;=7)*('CONTROL MASTER'!$U$2:$U$495&lt;=6)*('CONTROL MASTER'!$W$2:$W$495&gt;=6))*ROW('CONTROL MASTER'!$S$2:$S$495))-(ROW('CONTROL MASTER'!#REF!)-1))))*(INDEX('CONTROL MASTER'!$W$2:$W$495,(SUMPRODUCT((('CONTROL MASTER'!$S$2:$S$495=4)*('CONTROL MASTER'!$T$2:$T$495&lt;=7)*('CONTROL MASTER'!$V$2:$V$495&gt;=7)*('CONTROL MASTER'!$U$2:$U$495&lt;=6)*('CONTROL MASTER'!$W$2:$W$495&gt;=6))*ROW('CONTROL MASTER'!$S$2:$S$495))-(ROW('CONTROL MASTER'!#REF!)-1)))-INDEX('CONTROL MASTER'!$U$2:$U$495,(SUMPRODUCT((('CONTROL MASTER'!$S$2:$S$495=4)*('CONTROL MASTER'!$T$2:$T$495&lt;=7)*('CONTROL MASTER'!$V$2:$V$495&gt;=7)*('CONTROL MASTER'!$U$2:$U$495&lt;=6)*('CONTROL MASTER'!$W$2:$W$495&gt;=6))*ROW('CONTROL MASTER'!$S$2:$S$495))-(ROW('CONTROL MASTER'!#REF!)-1)))+1)+(6-INDEX('CONTROL MASTER'!$U$2:$U$495,(SUMPRODUCT((('CONTROL MASTER'!$S$2:$S$495=4)*('CONTROL MASTER'!$T$2:$T$495&lt;=7)*('CONTROL MASTER'!$V$2:$V$495&gt;=7)*('CONTROL MASTER'!$U$2:$U$495&lt;=6)*('CONTROL MASTER'!$W$2:$W$495&gt;=6))*ROW('CONTROL MASTER'!$S$2:$S$495))-(ROW('CONTROL MASTER'!#REF!)-1))))+1))-1)*50+1,50))&amp;"_"&amp;INDEX('CONTROL MASTER'!$P$2:$P$495,(SUMPRODUCT((('CONTROL MASTER'!$S$2:$S$495=4)*('CONTROL MASTER'!$T$2:$T$495&lt;=7)*('CONTROL MASTER'!$V$2:$V$495&gt;=7)*('CONTROL MASTER'!$U$2:$U$495&lt;=6)*('CONTROL MASTER'!$W$2:$W$495&gt;=6))*ROW('CONTROL MASTER'!$S$2:$S$495))-(ROW('CONTROL MASTER'!#REF!)-1))),IF(SUMPRODUCT((('CONTROL MASTER'!$S$2:$S$495=4)*('CONTROL MASTER'!$Z$2:$Z$495&lt;=7)*('CONTROL MASTER'!$AB$2:$AB$495&gt;=7)*('CONTROL MASTER'!$AA$2:$AA$495&lt;=6)*('CONTROL MASTER'!$AC$2:$AC$495&gt;=6))*ROW('CONTROL MASTER'!$S$2:$S$495))&gt;0,INDEX('CONTROL MASTER'!$X$2:$X$495,(SUMPRODUCT((('CONTROL MASTER'!$S$2:$S$495=4)*('CONTROL MASTER'!$Z$2:$Z$495&lt;=7)*('CONTROL MASTER'!$AB$2:$AB$495&gt;=7)*('CONTROL MASTER'!$AA$2:$AA$495&lt;=6)*('CONTROL MASTER'!$AC$2:$AC$495&gt;=6))*ROW('CONTROL MASTER'!$S$2:$S$495))-(ROW('CONTROL MASTER'!#REF!)-1)))&amp;TRIM(MID(SUBSTITUTE(SUBSTITUTE(INDEX('CONTROL MASTER'!$N$2:$N$495,(SUMPRODUCT((('CONTROL MASTER'!$S$2:$S$495=4)*('CONTROL MASTER'!$Z$2:$Z$495&lt;=7)*('CONTROL MASTER'!$AB$2:$AB$495&gt;=7)*('CONTROL MASTER'!$AA$2:$AA$495&lt;=6)*('CONTROL MASTER'!$AC$2:$AC$495&gt;=6))*ROW('CONTROL MASTER'!$S$2:$S$495))-(ROW('CONTROL MASTER'!#REF!)-1))),":",","),",",REPT(" ",50)),(((INDEX('CONTROL MASTER'!$Y$2:$Y$495,(SUMPRODUCT((('CONTROL MASTER'!$S$2:$S$495=4)*('CONTROL MASTER'!$Z$2:$Z$495&lt;=7)*('CONTROL MASTER'!$AB$2:$AB$495&gt;=7)*('CONTROL MASTER'!$AA$2:$AA$495&lt;=6)*('CONTROL MASTER'!$AC$2:$AC$495&gt;=6))*ROW('CONTROL MASTER'!$S$2:$S$495))-(ROW('CONTROL MASTER'!#REF!)-1)))+((7-INDEX('CONTROL MASTER'!$Z$2:$Z$495,(SUMPRODUCT((('CONTROL MASTER'!$S$2:$S$495=4)*('CONTROL MASTER'!$Z$2:$Z$495&lt;=7)*('CONTROL MASTER'!$AB$2:$AB$495&gt;=7)*('CONTROL MASTER'!$AA$2:$AA$495&lt;=6)*('CONTROL MASTER'!$AC$2:$AC$495&gt;=6))*ROW('CONTROL MASTER'!$S$2:$S$495))-(ROW('CONTROL MASTER'!#REF!)-1))))*(INDEX('CONTROL MASTER'!$AC$2:$AC$495,(SUMPRODUCT((('CONTROL MASTER'!$S$2:$S$495=4)*('CONTROL MASTER'!$Z$2:$Z$495&lt;=7)*('CONTROL MASTER'!$AB$2:$AB$495&gt;=7)*('CONTROL MASTER'!$AA$2:$AA$495&lt;=6)*('CONTROL MASTER'!$AC$2:$AC$495&gt;=6))*ROW('CONTROL MASTER'!$S$2:$S$495))-(ROW('CONTROL MASTER'!#REF!)-1)))-INDEX('CONTROL MASTER'!$AA$2:$AA$495,(SUMPRODUCT((('CONTROL MASTER'!$S$2:$S$495=4)*('CONTROL MASTER'!$Z$2:$Z$495&lt;=7)*('CONTROL MASTER'!$AB$2:$AB$495&gt;=7)*('CONTROL MASTER'!$AA$2:$AA$495&lt;=6)*('CONTROL MASTER'!$AC$2:$AC$495&gt;=6))*ROW('CONTROL MASTER'!$S$2:$S$495))-(ROW('CONTROL MASTER'!#REF!)-1)))+1)+(6-INDEX('CONTROL MASTER'!$AA$2:$AA$495,(SUMPRODUCT((('CONTROL MASTER'!$S$2:$S$495=4)*('CONTROL MASTER'!$Z$2:$Z$495&lt;=7)*('CONTROL MASTER'!$AB$2:$AB$495&gt;=7)*('CONTROL MASTER'!$AA$2:$AA$495&lt;=6)*('CONTROL MASTER'!$AC$2:$AC$495&gt;=6))*ROW('CONTROL MASTER'!$S$2:$S$495))-(ROW('CONTROL MASTER'!#REF!)-1))))+1)))-1)*50+1,50))&amp;"_"&amp;INDEX('CONTROL MASTER'!$P$2:$P$495,(SUMPRODUCT((('CONTROL MASTER'!$S$2:$S$495=4)*('CONTROL MASTER'!$Z$2:$Z$495&lt;=7)*('CONTROL MASTER'!$AB$2:$AB$495&gt;=7)*('CONTROL MASTER'!$AA$2:$AA$495&lt;=6)*('CONTROL MASTER'!$AC$2:$AC$495&gt;=6))*ROW('CONTROL MASTER'!$S$2:$S$495))-(ROW('CONTROL MASTER'!#REF!)-1))),"")),"")</f>
        <v/>
      </c>
      <c r="H51" s="10" t="str">
        <f>IFERROR(IF(SUMPRODUCT((('CONTROL MASTER'!$S$2:$S$495=4)*('CONTROL MASTER'!$T$2:$T$495&lt;=7)*('CONTROL MASTER'!$V$2:$V$495&gt;=7)*('CONTROL MASTER'!$U$2:$U$495&lt;=7)*('CONTROL MASTER'!$W$2:$W$495&gt;=7))*ROW('CONTROL MASTER'!$S$2:$S$495))&gt;0,INDEX('CONTROL MASTER'!$X$2:$X$495,(SUMPRODUCT((('CONTROL MASTER'!$S$2:$S$495=4)*('CONTROL MASTER'!$T$2:$T$495&lt;=7)*('CONTROL MASTER'!$V$2:$V$495&gt;=7)*('CONTROL MASTER'!$U$2:$U$495&lt;=7)*('CONTROL MASTER'!$W$2:$W$495&gt;=7))*ROW('CONTROL MASTER'!$S$2:$S$495))-(ROW('CONTROL MASTER'!#REF!)-1)))&amp;TRIM(MID(SUBSTITUTE(SUBSTITUTE(INDEX('CONTROL MASTER'!$N$2:$N$495,(SUMPRODUCT((('CONTROL MASTER'!$S$2:$S$495=4)*('CONTROL MASTER'!$T$2:$T$495&lt;=7)*('CONTROL MASTER'!$V$2:$V$495&gt;=7)*('CONTROL MASTER'!$U$2:$U$495&lt;=7)*('CONTROL MASTER'!$W$2:$W$495&gt;=7))*ROW('CONTROL MASTER'!$S$2:$S$495))-(ROW('CONTROL MASTER'!#REF!)-1))),":",","),",",REPT(" ",50)),((((7-INDEX('CONTROL MASTER'!$T$2:$T$495,(SUMPRODUCT((('CONTROL MASTER'!$S$2:$S$495=4)*('CONTROL MASTER'!$T$2:$T$495&lt;=7)*('CONTROL MASTER'!$V$2:$V$495&gt;=7)*('CONTROL MASTER'!$U$2:$U$495&lt;=7)*('CONTROL MASTER'!$W$2:$W$495&gt;=7))*ROW('CONTROL MASTER'!$S$2:$S$495))-(ROW('CONTROL MASTER'!#REF!)-1))))*(INDEX('CONTROL MASTER'!$W$2:$W$495,(SUMPRODUCT((('CONTROL MASTER'!$S$2:$S$495=4)*('CONTROL MASTER'!$T$2:$T$495&lt;=7)*('CONTROL MASTER'!$V$2:$V$495&gt;=7)*('CONTROL MASTER'!$U$2:$U$495&lt;=7)*('CONTROL MASTER'!$W$2:$W$495&gt;=7))*ROW('CONTROL MASTER'!$S$2:$S$495))-(ROW('CONTROL MASTER'!#REF!)-1)))-INDEX('CONTROL MASTER'!$U$2:$U$495,(SUMPRODUCT((('CONTROL MASTER'!$S$2:$S$495=4)*('CONTROL MASTER'!$T$2:$T$495&lt;=7)*('CONTROL MASTER'!$V$2:$V$495&gt;=7)*('CONTROL MASTER'!$U$2:$U$495&lt;=7)*('CONTROL MASTER'!$W$2:$W$495&gt;=7))*ROW('CONTROL MASTER'!$S$2:$S$495))-(ROW('CONTROL MASTER'!#REF!)-1)))+1)+(7-INDEX('CONTROL MASTER'!$U$2:$U$495,(SUMPRODUCT((('CONTROL MASTER'!$S$2:$S$495=4)*('CONTROL MASTER'!$T$2:$T$495&lt;=7)*('CONTROL MASTER'!$V$2:$V$495&gt;=7)*('CONTROL MASTER'!$U$2:$U$495&lt;=7)*('CONTROL MASTER'!$W$2:$W$495&gt;=7))*ROW('CONTROL MASTER'!$S$2:$S$495))-(ROW('CONTROL MASTER'!#REF!)-1))))+1))-1)*50+1,50))&amp;"_"&amp;INDEX('CONTROL MASTER'!$P$2:$P$495,(SUMPRODUCT((('CONTROL MASTER'!$S$2:$S$495=4)*('CONTROL MASTER'!$T$2:$T$495&lt;=7)*('CONTROL MASTER'!$V$2:$V$495&gt;=7)*('CONTROL MASTER'!$U$2:$U$495&lt;=7)*('CONTROL MASTER'!$W$2:$W$495&gt;=7))*ROW('CONTROL MASTER'!$S$2:$S$495))-(ROW('CONTROL MASTER'!#REF!)-1))),IF(SUMPRODUCT((('CONTROL MASTER'!$S$2:$S$495=4)*('CONTROL MASTER'!$Z$2:$Z$495&lt;=7)*('CONTROL MASTER'!$AB$2:$AB$495&gt;=7)*('CONTROL MASTER'!$AA$2:$AA$495&lt;=7)*('CONTROL MASTER'!$AC$2:$AC$495&gt;=7))*ROW('CONTROL MASTER'!$S$2:$S$495))&gt;0,INDEX('CONTROL MASTER'!$X$2:$X$495,(SUMPRODUCT((('CONTROL MASTER'!$S$2:$S$495=4)*('CONTROL MASTER'!$Z$2:$Z$495&lt;=7)*('CONTROL MASTER'!$AB$2:$AB$495&gt;=7)*('CONTROL MASTER'!$AA$2:$AA$495&lt;=7)*('CONTROL MASTER'!$AC$2:$AC$495&gt;=7))*ROW('CONTROL MASTER'!$S$2:$S$495))-(ROW('CONTROL MASTER'!#REF!)-1)))&amp;TRIM(MID(SUBSTITUTE(SUBSTITUTE(INDEX('CONTROL MASTER'!$N$2:$N$495,(SUMPRODUCT((('CONTROL MASTER'!$S$2:$S$495=4)*('CONTROL MASTER'!$Z$2:$Z$495&lt;=7)*('CONTROL MASTER'!$AB$2:$AB$495&gt;=7)*('CONTROL MASTER'!$AA$2:$AA$495&lt;=7)*('CONTROL MASTER'!$AC$2:$AC$495&gt;=7))*ROW('CONTROL MASTER'!$S$2:$S$495))-(ROW('CONTROL MASTER'!#REF!)-1))),":",","),",",REPT(" ",50)),(((INDEX('CONTROL MASTER'!$Y$2:$Y$495,(SUMPRODUCT((('CONTROL MASTER'!$S$2:$S$495=4)*('CONTROL MASTER'!$Z$2:$Z$495&lt;=7)*('CONTROL MASTER'!$AB$2:$AB$495&gt;=7)*('CONTROL MASTER'!$AA$2:$AA$495&lt;=7)*('CONTROL MASTER'!$AC$2:$AC$495&gt;=7))*ROW('CONTROL MASTER'!$S$2:$S$495))-(ROW('CONTROL MASTER'!#REF!)-1)))+((7-INDEX('CONTROL MASTER'!$Z$2:$Z$495,(SUMPRODUCT((('CONTROL MASTER'!$S$2:$S$495=4)*('CONTROL MASTER'!$Z$2:$Z$495&lt;=7)*('CONTROL MASTER'!$AB$2:$AB$495&gt;=7)*('CONTROL MASTER'!$AA$2:$AA$495&lt;=7)*('CONTROL MASTER'!$AC$2:$AC$495&gt;=7))*ROW('CONTROL MASTER'!$S$2:$S$495))-(ROW('CONTROL MASTER'!#REF!)-1))))*(INDEX('CONTROL MASTER'!$AC$2:$AC$495,(SUMPRODUCT((('CONTROL MASTER'!$S$2:$S$495=4)*('CONTROL MASTER'!$Z$2:$Z$495&lt;=7)*('CONTROL MASTER'!$AB$2:$AB$495&gt;=7)*('CONTROL MASTER'!$AA$2:$AA$495&lt;=7)*('CONTROL MASTER'!$AC$2:$AC$495&gt;=7))*ROW('CONTROL MASTER'!$S$2:$S$495))-(ROW('CONTROL MASTER'!#REF!)-1)))-INDEX('CONTROL MASTER'!$AA$2:$AA$495,(SUMPRODUCT((('CONTROL MASTER'!$S$2:$S$495=4)*('CONTROL MASTER'!$Z$2:$Z$495&lt;=7)*('CONTROL MASTER'!$AB$2:$AB$495&gt;=7)*('CONTROL MASTER'!$AA$2:$AA$495&lt;=7)*('CONTROL MASTER'!$AC$2:$AC$495&gt;=7))*ROW('CONTROL MASTER'!$S$2:$S$495))-(ROW('CONTROL MASTER'!#REF!)-1)))+1)+(7-INDEX('CONTROL MASTER'!$AA$2:$AA$495,(SUMPRODUCT((('CONTROL MASTER'!$S$2:$S$495=4)*('CONTROL MASTER'!$Z$2:$Z$495&lt;=7)*('CONTROL MASTER'!$AB$2:$AB$495&gt;=7)*('CONTROL MASTER'!$AA$2:$AA$495&lt;=7)*('CONTROL MASTER'!$AC$2:$AC$495&gt;=7))*ROW('CONTROL MASTER'!$S$2:$S$495))-(ROW('CONTROL MASTER'!#REF!)-1))))+1)))-1)*50+1,50))&amp;"_"&amp;INDEX('CONTROL MASTER'!$P$2:$P$495,(SUMPRODUCT((('CONTROL MASTER'!$S$2:$S$495=4)*('CONTROL MASTER'!$Z$2:$Z$495&lt;=7)*('CONTROL MASTER'!$AB$2:$AB$495&gt;=7)*('CONTROL MASTER'!$AA$2:$AA$495&lt;=7)*('CONTROL MASTER'!$AC$2:$AC$495&gt;=7))*ROW('CONTROL MASTER'!$S$2:$S$495))-(ROW('CONTROL MASTER'!#REF!)-1))),"")),"")</f>
        <v/>
      </c>
      <c r="I51" s="10" t="str">
        <f>IFERROR(IF(SUMPRODUCT((('CONTROL MASTER'!$S$2:$S$495=4)*('CONTROL MASTER'!$T$2:$T$495&lt;=7)*('CONTROL MASTER'!$V$2:$V$495&gt;=7)*('CONTROL MASTER'!$U$2:$U$495&lt;=8)*('CONTROL MASTER'!$W$2:$W$495&gt;=8))*ROW('CONTROL MASTER'!$S$2:$S$495))&gt;0,INDEX('CONTROL MASTER'!$X$2:$X$495,(SUMPRODUCT((('CONTROL MASTER'!$S$2:$S$495=4)*('CONTROL MASTER'!$T$2:$T$495&lt;=7)*('CONTROL MASTER'!$V$2:$V$495&gt;=7)*('CONTROL MASTER'!$U$2:$U$495&lt;=8)*('CONTROL MASTER'!$W$2:$W$495&gt;=8))*ROW('CONTROL MASTER'!$S$2:$S$495))-(ROW('CONTROL MASTER'!#REF!)-1)))&amp;TRIM(MID(SUBSTITUTE(SUBSTITUTE(INDEX('CONTROL MASTER'!$N$2:$N$495,(SUMPRODUCT((('CONTROL MASTER'!$S$2:$S$495=4)*('CONTROL MASTER'!$T$2:$T$495&lt;=7)*('CONTROL MASTER'!$V$2:$V$495&gt;=7)*('CONTROL MASTER'!$U$2:$U$495&lt;=8)*('CONTROL MASTER'!$W$2:$W$495&gt;=8))*ROW('CONTROL MASTER'!$S$2:$S$495))-(ROW('CONTROL MASTER'!#REF!)-1))),":",","),",",REPT(" ",50)),((((7-INDEX('CONTROL MASTER'!$T$2:$T$495,(SUMPRODUCT((('CONTROL MASTER'!$S$2:$S$495=4)*('CONTROL MASTER'!$T$2:$T$495&lt;=7)*('CONTROL MASTER'!$V$2:$V$495&gt;=7)*('CONTROL MASTER'!$U$2:$U$495&lt;=8)*('CONTROL MASTER'!$W$2:$W$495&gt;=8))*ROW('CONTROL MASTER'!$S$2:$S$495))-(ROW('CONTROL MASTER'!#REF!)-1))))*(INDEX('CONTROL MASTER'!$W$2:$W$495,(SUMPRODUCT((('CONTROL MASTER'!$S$2:$S$495=4)*('CONTROL MASTER'!$T$2:$T$495&lt;=7)*('CONTROL MASTER'!$V$2:$V$495&gt;=7)*('CONTROL MASTER'!$U$2:$U$495&lt;=8)*('CONTROL MASTER'!$W$2:$W$495&gt;=8))*ROW('CONTROL MASTER'!$S$2:$S$495))-(ROW('CONTROL MASTER'!#REF!)-1)))-INDEX('CONTROL MASTER'!$U$2:$U$495,(SUMPRODUCT((('CONTROL MASTER'!$S$2:$S$495=4)*('CONTROL MASTER'!$T$2:$T$495&lt;=7)*('CONTROL MASTER'!$V$2:$V$495&gt;=7)*('CONTROL MASTER'!$U$2:$U$495&lt;=8)*('CONTROL MASTER'!$W$2:$W$495&gt;=8))*ROW('CONTROL MASTER'!$S$2:$S$495))-(ROW('CONTROL MASTER'!#REF!)-1)))+1)+(8-INDEX('CONTROL MASTER'!$U$2:$U$495,(SUMPRODUCT((('CONTROL MASTER'!$S$2:$S$495=4)*('CONTROL MASTER'!$T$2:$T$495&lt;=7)*('CONTROL MASTER'!$V$2:$V$495&gt;=7)*('CONTROL MASTER'!$U$2:$U$495&lt;=8)*('CONTROL MASTER'!$W$2:$W$495&gt;=8))*ROW('CONTROL MASTER'!$S$2:$S$495))-(ROW('CONTROL MASTER'!#REF!)-1))))+1))-1)*50+1,50))&amp;"_"&amp;INDEX('CONTROL MASTER'!$P$2:$P$495,(SUMPRODUCT((('CONTROL MASTER'!$S$2:$S$495=4)*('CONTROL MASTER'!$T$2:$T$495&lt;=7)*('CONTROL MASTER'!$V$2:$V$495&gt;=7)*('CONTROL MASTER'!$U$2:$U$495&lt;=8)*('CONTROL MASTER'!$W$2:$W$495&gt;=8))*ROW('CONTROL MASTER'!$S$2:$S$495))-(ROW('CONTROL MASTER'!#REF!)-1))),IF(SUMPRODUCT((('CONTROL MASTER'!$S$2:$S$495=4)*('CONTROL MASTER'!$Z$2:$Z$495&lt;=7)*('CONTROL MASTER'!$AB$2:$AB$495&gt;=7)*('CONTROL MASTER'!$AA$2:$AA$495&lt;=8)*('CONTROL MASTER'!$AC$2:$AC$495&gt;=8))*ROW('CONTROL MASTER'!$S$2:$S$495))&gt;0,INDEX('CONTROL MASTER'!$X$2:$X$495,(SUMPRODUCT((('CONTROL MASTER'!$S$2:$S$495=4)*('CONTROL MASTER'!$Z$2:$Z$495&lt;=7)*('CONTROL MASTER'!$AB$2:$AB$495&gt;=7)*('CONTROL MASTER'!$AA$2:$AA$495&lt;=8)*('CONTROL MASTER'!$AC$2:$AC$495&gt;=8))*ROW('CONTROL MASTER'!$S$2:$S$495))-(ROW('CONTROL MASTER'!#REF!)-1)))&amp;TRIM(MID(SUBSTITUTE(SUBSTITUTE(INDEX('CONTROL MASTER'!$N$2:$N$495,(SUMPRODUCT((('CONTROL MASTER'!$S$2:$S$495=4)*('CONTROL MASTER'!$Z$2:$Z$495&lt;=7)*('CONTROL MASTER'!$AB$2:$AB$495&gt;=7)*('CONTROL MASTER'!$AA$2:$AA$495&lt;=8)*('CONTROL MASTER'!$AC$2:$AC$495&gt;=8))*ROW('CONTROL MASTER'!$S$2:$S$495))-(ROW('CONTROL MASTER'!#REF!)-1))),":",","),",",REPT(" ",50)),(((INDEX('CONTROL MASTER'!$Y$2:$Y$495,(SUMPRODUCT((('CONTROL MASTER'!$S$2:$S$495=4)*('CONTROL MASTER'!$Z$2:$Z$495&lt;=7)*('CONTROL MASTER'!$AB$2:$AB$495&gt;=7)*('CONTROL MASTER'!$AA$2:$AA$495&lt;=8)*('CONTROL MASTER'!$AC$2:$AC$495&gt;=8))*ROW('CONTROL MASTER'!$S$2:$S$495))-(ROW('CONTROL MASTER'!#REF!)-1)))+((7-INDEX('CONTROL MASTER'!$Z$2:$Z$495,(SUMPRODUCT((('CONTROL MASTER'!$S$2:$S$495=4)*('CONTROL MASTER'!$Z$2:$Z$495&lt;=7)*('CONTROL MASTER'!$AB$2:$AB$495&gt;=7)*('CONTROL MASTER'!$AA$2:$AA$495&lt;=8)*('CONTROL MASTER'!$AC$2:$AC$495&gt;=8))*ROW('CONTROL MASTER'!$S$2:$S$495))-(ROW('CONTROL MASTER'!#REF!)-1))))*(INDEX('CONTROL MASTER'!$AC$2:$AC$495,(SUMPRODUCT((('CONTROL MASTER'!$S$2:$S$495=4)*('CONTROL MASTER'!$Z$2:$Z$495&lt;=7)*('CONTROL MASTER'!$AB$2:$AB$495&gt;=7)*('CONTROL MASTER'!$AA$2:$AA$495&lt;=8)*('CONTROL MASTER'!$AC$2:$AC$495&gt;=8))*ROW('CONTROL MASTER'!$S$2:$S$495))-(ROW('CONTROL MASTER'!#REF!)-1)))-INDEX('CONTROL MASTER'!$AA$2:$AA$495,(SUMPRODUCT((('CONTROL MASTER'!$S$2:$S$495=4)*('CONTROL MASTER'!$Z$2:$Z$495&lt;=7)*('CONTROL MASTER'!$AB$2:$AB$495&gt;=7)*('CONTROL MASTER'!$AA$2:$AA$495&lt;=8)*('CONTROL MASTER'!$AC$2:$AC$495&gt;=8))*ROW('CONTROL MASTER'!$S$2:$S$495))-(ROW('CONTROL MASTER'!#REF!)-1)))+1)+(8-INDEX('CONTROL MASTER'!$AA$2:$AA$495,(SUMPRODUCT((('CONTROL MASTER'!$S$2:$S$495=4)*('CONTROL MASTER'!$Z$2:$Z$495&lt;=7)*('CONTROL MASTER'!$AB$2:$AB$495&gt;=7)*('CONTROL MASTER'!$AA$2:$AA$495&lt;=8)*('CONTROL MASTER'!$AC$2:$AC$495&gt;=8))*ROW('CONTROL MASTER'!$S$2:$S$495))-(ROW('CONTROL MASTER'!#REF!)-1))))+1)))-1)*50+1,50))&amp;"_"&amp;INDEX('CONTROL MASTER'!$P$2:$P$495,(SUMPRODUCT((('CONTROL MASTER'!$S$2:$S$495=4)*('CONTROL MASTER'!$Z$2:$Z$495&lt;=7)*('CONTROL MASTER'!$AB$2:$AB$495&gt;=7)*('CONTROL MASTER'!$AA$2:$AA$495&lt;=8)*('CONTROL MASTER'!$AC$2:$AC$495&gt;=8))*ROW('CONTROL MASTER'!$S$2:$S$495))-(ROW('CONTROL MASTER'!#REF!)-1))),"")),"")</f>
        <v/>
      </c>
      <c r="J51" s="10" t="str">
        <f>IFERROR(IF(SUMPRODUCT((('CONTROL MASTER'!$S$2:$S$495=4)*('CONTROL MASTER'!$T$2:$T$495&lt;=7)*('CONTROL MASTER'!$V$2:$V$495&gt;=7)*('CONTROL MASTER'!$U$2:$U$495&lt;=9)*('CONTROL MASTER'!$W$2:$W$495&gt;=9))*ROW('CONTROL MASTER'!$S$2:$S$495))&gt;0,INDEX('CONTROL MASTER'!$X$2:$X$495,(SUMPRODUCT((('CONTROL MASTER'!$S$2:$S$495=4)*('CONTROL MASTER'!$T$2:$T$495&lt;=7)*('CONTROL MASTER'!$V$2:$V$495&gt;=7)*('CONTROL MASTER'!$U$2:$U$495&lt;=9)*('CONTROL MASTER'!$W$2:$W$495&gt;=9))*ROW('CONTROL MASTER'!$S$2:$S$495))-(ROW('CONTROL MASTER'!#REF!)-1)))&amp;TRIM(MID(SUBSTITUTE(SUBSTITUTE(INDEX('CONTROL MASTER'!$N$2:$N$495,(SUMPRODUCT((('CONTROL MASTER'!$S$2:$S$495=4)*('CONTROL MASTER'!$T$2:$T$495&lt;=7)*('CONTROL MASTER'!$V$2:$V$495&gt;=7)*('CONTROL MASTER'!$U$2:$U$495&lt;=9)*('CONTROL MASTER'!$W$2:$W$495&gt;=9))*ROW('CONTROL MASTER'!$S$2:$S$495))-(ROW('CONTROL MASTER'!#REF!)-1))),":",","),",",REPT(" ",50)),((((7-INDEX('CONTROL MASTER'!$T$2:$T$495,(SUMPRODUCT((('CONTROL MASTER'!$S$2:$S$495=4)*('CONTROL MASTER'!$T$2:$T$495&lt;=7)*('CONTROL MASTER'!$V$2:$V$495&gt;=7)*('CONTROL MASTER'!$U$2:$U$495&lt;=9)*('CONTROL MASTER'!$W$2:$W$495&gt;=9))*ROW('CONTROL MASTER'!$S$2:$S$495))-(ROW('CONTROL MASTER'!#REF!)-1))))*(INDEX('CONTROL MASTER'!$W$2:$W$495,(SUMPRODUCT((('CONTROL MASTER'!$S$2:$S$495=4)*('CONTROL MASTER'!$T$2:$T$495&lt;=7)*('CONTROL MASTER'!$V$2:$V$495&gt;=7)*('CONTROL MASTER'!$U$2:$U$495&lt;=9)*('CONTROL MASTER'!$W$2:$W$495&gt;=9))*ROW('CONTROL MASTER'!$S$2:$S$495))-(ROW('CONTROL MASTER'!#REF!)-1)))-INDEX('CONTROL MASTER'!$U$2:$U$495,(SUMPRODUCT((('CONTROL MASTER'!$S$2:$S$495=4)*('CONTROL MASTER'!$T$2:$T$495&lt;=7)*('CONTROL MASTER'!$V$2:$V$495&gt;=7)*('CONTROL MASTER'!$U$2:$U$495&lt;=9)*('CONTROL MASTER'!$W$2:$W$495&gt;=9))*ROW('CONTROL MASTER'!$S$2:$S$495))-(ROW('CONTROL MASTER'!#REF!)-1)))+1)+(9-INDEX('CONTROL MASTER'!$U$2:$U$495,(SUMPRODUCT((('CONTROL MASTER'!$S$2:$S$495=4)*('CONTROL MASTER'!$T$2:$T$495&lt;=7)*('CONTROL MASTER'!$V$2:$V$495&gt;=7)*('CONTROL MASTER'!$U$2:$U$495&lt;=9)*('CONTROL MASTER'!$W$2:$W$495&gt;=9))*ROW('CONTROL MASTER'!$S$2:$S$495))-(ROW('CONTROL MASTER'!#REF!)-1))))+1))-1)*50+1,50))&amp;"_"&amp;INDEX('CONTROL MASTER'!$P$2:$P$495,(SUMPRODUCT((('CONTROL MASTER'!$S$2:$S$495=4)*('CONTROL MASTER'!$T$2:$T$495&lt;=7)*('CONTROL MASTER'!$V$2:$V$495&gt;=7)*('CONTROL MASTER'!$U$2:$U$495&lt;=9)*('CONTROL MASTER'!$W$2:$W$495&gt;=9))*ROW('CONTROL MASTER'!$S$2:$S$495))-(ROW('CONTROL MASTER'!#REF!)-1))),IF(SUMPRODUCT((('CONTROL MASTER'!$S$2:$S$495=4)*('CONTROL MASTER'!$Z$2:$Z$495&lt;=7)*('CONTROL MASTER'!$AB$2:$AB$495&gt;=7)*('CONTROL MASTER'!$AA$2:$AA$495&lt;=9)*('CONTROL MASTER'!$AC$2:$AC$495&gt;=9))*ROW('CONTROL MASTER'!$S$2:$S$495))&gt;0,INDEX('CONTROL MASTER'!$X$2:$X$495,(SUMPRODUCT((('CONTROL MASTER'!$S$2:$S$495=4)*('CONTROL MASTER'!$Z$2:$Z$495&lt;=7)*('CONTROL MASTER'!$AB$2:$AB$495&gt;=7)*('CONTROL MASTER'!$AA$2:$AA$495&lt;=9)*('CONTROL MASTER'!$AC$2:$AC$495&gt;=9))*ROW('CONTROL MASTER'!$S$2:$S$495))-(ROW('CONTROL MASTER'!#REF!)-1)))&amp;TRIM(MID(SUBSTITUTE(SUBSTITUTE(INDEX('CONTROL MASTER'!$N$2:$N$495,(SUMPRODUCT((('CONTROL MASTER'!$S$2:$S$495=4)*('CONTROL MASTER'!$Z$2:$Z$495&lt;=7)*('CONTROL MASTER'!$AB$2:$AB$495&gt;=7)*('CONTROL MASTER'!$AA$2:$AA$495&lt;=9)*('CONTROL MASTER'!$AC$2:$AC$495&gt;=9))*ROW('CONTROL MASTER'!$S$2:$S$495))-(ROW('CONTROL MASTER'!#REF!)-1))),":",","),",",REPT(" ",50)),(((INDEX('CONTROL MASTER'!$Y$2:$Y$495,(SUMPRODUCT((('CONTROL MASTER'!$S$2:$S$495=4)*('CONTROL MASTER'!$Z$2:$Z$495&lt;=7)*('CONTROL MASTER'!$AB$2:$AB$495&gt;=7)*('CONTROL MASTER'!$AA$2:$AA$495&lt;=9)*('CONTROL MASTER'!$AC$2:$AC$495&gt;=9))*ROW('CONTROL MASTER'!$S$2:$S$495))-(ROW('CONTROL MASTER'!#REF!)-1)))+((7-INDEX('CONTROL MASTER'!$Z$2:$Z$495,(SUMPRODUCT((('CONTROL MASTER'!$S$2:$S$495=4)*('CONTROL MASTER'!$Z$2:$Z$495&lt;=7)*('CONTROL MASTER'!$AB$2:$AB$495&gt;=7)*('CONTROL MASTER'!$AA$2:$AA$495&lt;=9)*('CONTROL MASTER'!$AC$2:$AC$495&gt;=9))*ROW('CONTROL MASTER'!$S$2:$S$495))-(ROW('CONTROL MASTER'!#REF!)-1))))*(INDEX('CONTROL MASTER'!$AC$2:$AC$495,(SUMPRODUCT((('CONTROL MASTER'!$S$2:$S$495=4)*('CONTROL MASTER'!$Z$2:$Z$495&lt;=7)*('CONTROL MASTER'!$AB$2:$AB$495&gt;=7)*('CONTROL MASTER'!$AA$2:$AA$495&lt;=9)*('CONTROL MASTER'!$AC$2:$AC$495&gt;=9))*ROW('CONTROL MASTER'!$S$2:$S$495))-(ROW('CONTROL MASTER'!#REF!)-1)))-INDEX('CONTROL MASTER'!$AA$2:$AA$495,(SUMPRODUCT((('CONTROL MASTER'!$S$2:$S$495=4)*('CONTROL MASTER'!$Z$2:$Z$495&lt;=7)*('CONTROL MASTER'!$AB$2:$AB$495&gt;=7)*('CONTROL MASTER'!$AA$2:$AA$495&lt;=9)*('CONTROL MASTER'!$AC$2:$AC$495&gt;=9))*ROW('CONTROL MASTER'!$S$2:$S$495))-(ROW('CONTROL MASTER'!#REF!)-1)))+1)+(9-INDEX('CONTROL MASTER'!$AA$2:$AA$495,(SUMPRODUCT((('CONTROL MASTER'!$S$2:$S$495=4)*('CONTROL MASTER'!$Z$2:$Z$495&lt;=7)*('CONTROL MASTER'!$AB$2:$AB$495&gt;=7)*('CONTROL MASTER'!$AA$2:$AA$495&lt;=9)*('CONTROL MASTER'!$AC$2:$AC$495&gt;=9))*ROW('CONTROL MASTER'!$S$2:$S$495))-(ROW('CONTROL MASTER'!#REF!)-1))))+1)))-1)*50+1,50))&amp;"_"&amp;INDEX('CONTROL MASTER'!$P$2:$P$495,(SUMPRODUCT((('CONTROL MASTER'!$S$2:$S$495=4)*('CONTROL MASTER'!$Z$2:$Z$495&lt;=7)*('CONTROL MASTER'!$AB$2:$AB$495&gt;=7)*('CONTROL MASTER'!$AA$2:$AA$495&lt;=9)*('CONTROL MASTER'!$AC$2:$AC$495&gt;=9))*ROW('CONTROL MASTER'!$S$2:$S$495))-(ROW('CONTROL MASTER'!#REF!)-1))),"")),"")</f>
        <v/>
      </c>
      <c r="K51" s="10" t="str">
        <f>IFERROR(IF(SUMPRODUCT((('CONTROL MASTER'!$S$2:$S$495=4)*('CONTROL MASTER'!$T$2:$T$495&lt;=7)*('CONTROL MASTER'!$V$2:$V$495&gt;=7)*('CONTROL MASTER'!$U$2:$U$495&lt;=10)*('CONTROL MASTER'!$W$2:$W$495&gt;=10))*ROW('CONTROL MASTER'!$S$2:$S$495))&gt;0,INDEX('CONTROL MASTER'!$X$2:$X$495,(SUMPRODUCT((('CONTROL MASTER'!$S$2:$S$495=4)*('CONTROL MASTER'!$T$2:$T$495&lt;=7)*('CONTROL MASTER'!$V$2:$V$495&gt;=7)*('CONTROL MASTER'!$U$2:$U$495&lt;=10)*('CONTROL MASTER'!$W$2:$W$495&gt;=10))*ROW('CONTROL MASTER'!$S$2:$S$495))-(ROW('CONTROL MASTER'!#REF!)-1)))&amp;TRIM(MID(SUBSTITUTE(SUBSTITUTE(INDEX('CONTROL MASTER'!$N$2:$N$495,(SUMPRODUCT((('CONTROL MASTER'!$S$2:$S$495=4)*('CONTROL MASTER'!$T$2:$T$495&lt;=7)*('CONTROL MASTER'!$V$2:$V$495&gt;=7)*('CONTROL MASTER'!$U$2:$U$495&lt;=10)*('CONTROL MASTER'!$W$2:$W$495&gt;=10))*ROW('CONTROL MASTER'!$S$2:$S$495))-(ROW('CONTROL MASTER'!#REF!)-1))),":",","),",",REPT(" ",50)),((((7-INDEX('CONTROL MASTER'!$T$2:$T$495,(SUMPRODUCT((('CONTROL MASTER'!$S$2:$S$495=4)*('CONTROL MASTER'!$T$2:$T$495&lt;=7)*('CONTROL MASTER'!$V$2:$V$495&gt;=7)*('CONTROL MASTER'!$U$2:$U$495&lt;=10)*('CONTROL MASTER'!$W$2:$W$495&gt;=10))*ROW('CONTROL MASTER'!$S$2:$S$495))-(ROW('CONTROL MASTER'!#REF!)-1))))*(INDEX('CONTROL MASTER'!$W$2:$W$495,(SUMPRODUCT((('CONTROL MASTER'!$S$2:$S$495=4)*('CONTROL MASTER'!$T$2:$T$495&lt;=7)*('CONTROL MASTER'!$V$2:$V$495&gt;=7)*('CONTROL MASTER'!$U$2:$U$495&lt;=10)*('CONTROL MASTER'!$W$2:$W$495&gt;=10))*ROW('CONTROL MASTER'!$S$2:$S$495))-(ROW('CONTROL MASTER'!#REF!)-1)))-INDEX('CONTROL MASTER'!$U$2:$U$495,(SUMPRODUCT((('CONTROL MASTER'!$S$2:$S$495=4)*('CONTROL MASTER'!$T$2:$T$495&lt;=7)*('CONTROL MASTER'!$V$2:$V$495&gt;=7)*('CONTROL MASTER'!$U$2:$U$495&lt;=10)*('CONTROL MASTER'!$W$2:$W$495&gt;=10))*ROW('CONTROL MASTER'!$S$2:$S$495))-(ROW('CONTROL MASTER'!#REF!)-1)))+1)+(10-INDEX('CONTROL MASTER'!$U$2:$U$495,(SUMPRODUCT((('CONTROL MASTER'!$S$2:$S$495=4)*('CONTROL MASTER'!$T$2:$T$495&lt;=7)*('CONTROL MASTER'!$V$2:$V$495&gt;=7)*('CONTROL MASTER'!$U$2:$U$495&lt;=10)*('CONTROL MASTER'!$W$2:$W$495&gt;=10))*ROW('CONTROL MASTER'!$S$2:$S$495))-(ROW('CONTROL MASTER'!#REF!)-1))))+1))-1)*50+1,50))&amp;"_"&amp;INDEX('CONTROL MASTER'!$P$2:$P$495,(SUMPRODUCT((('CONTROL MASTER'!$S$2:$S$495=4)*('CONTROL MASTER'!$T$2:$T$495&lt;=7)*('CONTROL MASTER'!$V$2:$V$495&gt;=7)*('CONTROL MASTER'!$U$2:$U$495&lt;=10)*('CONTROL MASTER'!$W$2:$W$495&gt;=10))*ROW('CONTROL MASTER'!$S$2:$S$495))-(ROW('CONTROL MASTER'!#REF!)-1))),IF(SUMPRODUCT((('CONTROL MASTER'!$S$2:$S$495=4)*('CONTROL MASTER'!$Z$2:$Z$495&lt;=7)*('CONTROL MASTER'!$AB$2:$AB$495&gt;=7)*('CONTROL MASTER'!$AA$2:$AA$495&lt;=10)*('CONTROL MASTER'!$AC$2:$AC$495&gt;=10))*ROW('CONTROL MASTER'!$S$2:$S$495))&gt;0,INDEX('CONTROL MASTER'!$X$2:$X$495,(SUMPRODUCT((('CONTROL MASTER'!$S$2:$S$495=4)*('CONTROL MASTER'!$Z$2:$Z$495&lt;=7)*('CONTROL MASTER'!$AB$2:$AB$495&gt;=7)*('CONTROL MASTER'!$AA$2:$AA$495&lt;=10)*('CONTROL MASTER'!$AC$2:$AC$495&gt;=10))*ROW('CONTROL MASTER'!$S$2:$S$495))-(ROW('CONTROL MASTER'!#REF!)-1)))&amp;TRIM(MID(SUBSTITUTE(SUBSTITUTE(INDEX('CONTROL MASTER'!$N$2:$N$495,(SUMPRODUCT((('CONTROL MASTER'!$S$2:$S$495=4)*('CONTROL MASTER'!$Z$2:$Z$495&lt;=7)*('CONTROL MASTER'!$AB$2:$AB$495&gt;=7)*('CONTROL MASTER'!$AA$2:$AA$495&lt;=10)*('CONTROL MASTER'!$AC$2:$AC$495&gt;=10))*ROW('CONTROL MASTER'!$S$2:$S$495))-(ROW('CONTROL MASTER'!#REF!)-1))),":",","),",",REPT(" ",50)),(((INDEX('CONTROL MASTER'!$Y$2:$Y$495,(SUMPRODUCT((('CONTROL MASTER'!$S$2:$S$495=4)*('CONTROL MASTER'!$Z$2:$Z$495&lt;=7)*('CONTROL MASTER'!$AB$2:$AB$495&gt;=7)*('CONTROL MASTER'!$AA$2:$AA$495&lt;=10)*('CONTROL MASTER'!$AC$2:$AC$495&gt;=10))*ROW('CONTROL MASTER'!$S$2:$S$495))-(ROW('CONTROL MASTER'!#REF!)-1)))+((7-INDEX('CONTROL MASTER'!$Z$2:$Z$495,(SUMPRODUCT((('CONTROL MASTER'!$S$2:$S$495=4)*('CONTROL MASTER'!$Z$2:$Z$495&lt;=7)*('CONTROL MASTER'!$AB$2:$AB$495&gt;=7)*('CONTROL MASTER'!$AA$2:$AA$495&lt;=10)*('CONTROL MASTER'!$AC$2:$AC$495&gt;=10))*ROW('CONTROL MASTER'!$S$2:$S$495))-(ROW('CONTROL MASTER'!#REF!)-1))))*(INDEX('CONTROL MASTER'!$AC$2:$AC$495,(SUMPRODUCT((('CONTROL MASTER'!$S$2:$S$495=4)*('CONTROL MASTER'!$Z$2:$Z$495&lt;=7)*('CONTROL MASTER'!$AB$2:$AB$495&gt;=7)*('CONTROL MASTER'!$AA$2:$AA$495&lt;=10)*('CONTROL MASTER'!$AC$2:$AC$495&gt;=10))*ROW('CONTROL MASTER'!$S$2:$S$495))-(ROW('CONTROL MASTER'!#REF!)-1)))-INDEX('CONTROL MASTER'!$AA$2:$AA$495,(SUMPRODUCT((('CONTROL MASTER'!$S$2:$S$495=4)*('CONTROL MASTER'!$Z$2:$Z$495&lt;=7)*('CONTROL MASTER'!$AB$2:$AB$495&gt;=7)*('CONTROL MASTER'!$AA$2:$AA$495&lt;=10)*('CONTROL MASTER'!$AC$2:$AC$495&gt;=10))*ROW('CONTROL MASTER'!$S$2:$S$495))-(ROW('CONTROL MASTER'!#REF!)-1)))+1)+(10-INDEX('CONTROL MASTER'!$AA$2:$AA$495,(SUMPRODUCT((('CONTROL MASTER'!$S$2:$S$495=4)*('CONTROL MASTER'!$Z$2:$Z$495&lt;=7)*('CONTROL MASTER'!$AB$2:$AB$495&gt;=7)*('CONTROL MASTER'!$AA$2:$AA$495&lt;=10)*('CONTROL MASTER'!$AC$2:$AC$495&gt;=10))*ROW('CONTROL MASTER'!$S$2:$S$495))-(ROW('CONTROL MASTER'!#REF!)-1))))+1)))-1)*50+1,50))&amp;"_"&amp;INDEX('CONTROL MASTER'!$P$2:$P$495,(SUMPRODUCT((('CONTROL MASTER'!$S$2:$S$495=4)*('CONTROL MASTER'!$Z$2:$Z$495&lt;=7)*('CONTROL MASTER'!$AB$2:$AB$495&gt;=7)*('CONTROL MASTER'!$AA$2:$AA$495&lt;=10)*('CONTROL MASTER'!$AC$2:$AC$495&gt;=10))*ROW('CONTROL MASTER'!$S$2:$S$495))-(ROW('CONTROL MASTER'!#REF!)-1))),"")),"")</f>
        <v/>
      </c>
    </row>
    <row r="52" spans="1:11" ht="15" customHeight="1" x14ac:dyDescent="0.35">
      <c r="A52" s="8" t="s">
        <v>35</v>
      </c>
      <c r="B52" s="10" t="str">
        <f>IFERROR(IF(SUMPRODUCT((('CONTROL MASTER'!$S$2:$S$495=4)*('CONTROL MASTER'!$T$2:$T$495&lt;=8)*('CONTROL MASTER'!$V$2:$V$495&gt;=8)*('CONTROL MASTER'!$U$2:$U$495&lt;=1)*('CONTROL MASTER'!$W$2:$W$495&gt;=1))*ROW('CONTROL MASTER'!$S$2:$S$495))&gt;0,INDEX('CONTROL MASTER'!$X$2:$X$495,(SUMPRODUCT((('CONTROL MASTER'!$S$2:$S$495=4)*('CONTROL MASTER'!$T$2:$T$495&lt;=8)*('CONTROL MASTER'!$V$2:$V$495&gt;=8)*('CONTROL MASTER'!$U$2:$U$495&lt;=1)*('CONTROL MASTER'!$W$2:$W$495&gt;=1))*ROW('CONTROL MASTER'!$S$2:$S$495))-(ROW('CONTROL MASTER'!#REF!)-1)))&amp;TRIM(MID(SUBSTITUTE(SUBSTITUTE(INDEX('CONTROL MASTER'!$N$2:$N$495,(SUMPRODUCT((('CONTROL MASTER'!$S$2:$S$495=4)*('CONTROL MASTER'!$T$2:$T$495&lt;=8)*('CONTROL MASTER'!$V$2:$V$495&gt;=8)*('CONTROL MASTER'!$U$2:$U$495&lt;=1)*('CONTROL MASTER'!$W$2:$W$495&gt;=1))*ROW('CONTROL MASTER'!$S$2:$S$495))-(ROW('CONTROL MASTER'!#REF!)-1))),":",","),",",REPT(" ",50)),((((8-INDEX('CONTROL MASTER'!$T$2:$T$495,(SUMPRODUCT((('CONTROL MASTER'!$S$2:$S$495=4)*('CONTROL MASTER'!$T$2:$T$495&lt;=8)*('CONTROL MASTER'!$V$2:$V$495&gt;=8)*('CONTROL MASTER'!$U$2:$U$495&lt;=1)*('CONTROL MASTER'!$W$2:$W$495&gt;=1))*ROW('CONTROL MASTER'!$S$2:$S$495))-(ROW('CONTROL MASTER'!#REF!)-1))))*(INDEX('CONTROL MASTER'!$W$2:$W$495,(SUMPRODUCT((('CONTROL MASTER'!$S$2:$S$495=4)*('CONTROL MASTER'!$T$2:$T$495&lt;=8)*('CONTROL MASTER'!$V$2:$V$495&gt;=8)*('CONTROL MASTER'!$U$2:$U$495&lt;=1)*('CONTROL MASTER'!$W$2:$W$495&gt;=1))*ROW('CONTROL MASTER'!$S$2:$S$495))-(ROW('CONTROL MASTER'!#REF!)-1)))-INDEX('CONTROL MASTER'!$U$2:$U$495,(SUMPRODUCT((('CONTROL MASTER'!$S$2:$S$495=4)*('CONTROL MASTER'!$T$2:$T$495&lt;=8)*('CONTROL MASTER'!$V$2:$V$495&gt;=8)*('CONTROL MASTER'!$U$2:$U$495&lt;=1)*('CONTROL MASTER'!$W$2:$W$495&gt;=1))*ROW('CONTROL MASTER'!$S$2:$S$495))-(ROW('CONTROL MASTER'!#REF!)-1)))+1)+(1-INDEX('CONTROL MASTER'!$U$2:$U$495,(SUMPRODUCT((('CONTROL MASTER'!$S$2:$S$495=4)*('CONTROL MASTER'!$T$2:$T$495&lt;=8)*('CONTROL MASTER'!$V$2:$V$495&gt;=8)*('CONTROL MASTER'!$U$2:$U$495&lt;=1)*('CONTROL MASTER'!$W$2:$W$495&gt;=1))*ROW('CONTROL MASTER'!$S$2:$S$495))-(ROW('CONTROL MASTER'!#REF!)-1))))+1))-1)*50+1,50))&amp;"_"&amp;INDEX('CONTROL MASTER'!$P$2:$P$495,(SUMPRODUCT((('CONTROL MASTER'!$S$2:$S$495=4)*('CONTROL MASTER'!$T$2:$T$495&lt;=8)*('CONTROL MASTER'!$V$2:$V$495&gt;=8)*('CONTROL MASTER'!$U$2:$U$495&lt;=1)*('CONTROL MASTER'!$W$2:$W$495&gt;=1))*ROW('CONTROL MASTER'!$S$2:$S$495))-(ROW('CONTROL MASTER'!#REF!)-1))),IF(SUMPRODUCT((('CONTROL MASTER'!$S$2:$S$495=4)*('CONTROL MASTER'!$Z$2:$Z$495&lt;=8)*('CONTROL MASTER'!$AB$2:$AB$495&gt;=8)*('CONTROL MASTER'!$AA$2:$AA$495&lt;=1)*('CONTROL MASTER'!$AC$2:$AC$495&gt;=1))*ROW('CONTROL MASTER'!$S$2:$S$495))&gt;0,INDEX('CONTROL MASTER'!$X$2:$X$495,(SUMPRODUCT((('CONTROL MASTER'!$S$2:$S$495=4)*('CONTROL MASTER'!$Z$2:$Z$495&lt;=8)*('CONTROL MASTER'!$AB$2:$AB$495&gt;=8)*('CONTROL MASTER'!$AA$2:$AA$495&lt;=1)*('CONTROL MASTER'!$AC$2:$AC$495&gt;=1))*ROW('CONTROL MASTER'!$S$2:$S$495))-(ROW('CONTROL MASTER'!#REF!)-1)))&amp;TRIM(MID(SUBSTITUTE(SUBSTITUTE(INDEX('CONTROL MASTER'!$N$2:$N$495,(SUMPRODUCT((('CONTROL MASTER'!$S$2:$S$495=4)*('CONTROL MASTER'!$Z$2:$Z$495&lt;=8)*('CONTROL MASTER'!$AB$2:$AB$495&gt;=8)*('CONTROL MASTER'!$AA$2:$AA$495&lt;=1)*('CONTROL MASTER'!$AC$2:$AC$495&gt;=1))*ROW('CONTROL MASTER'!$S$2:$S$495))-(ROW('CONTROL MASTER'!#REF!)-1))),":",","),",",REPT(" ",50)),(((INDEX('CONTROL MASTER'!$Y$2:$Y$495,(SUMPRODUCT((('CONTROL MASTER'!$S$2:$S$495=4)*('CONTROL MASTER'!$Z$2:$Z$495&lt;=8)*('CONTROL MASTER'!$AB$2:$AB$495&gt;=8)*('CONTROL MASTER'!$AA$2:$AA$495&lt;=1)*('CONTROL MASTER'!$AC$2:$AC$495&gt;=1))*ROW('CONTROL MASTER'!$S$2:$S$495))-(ROW('CONTROL MASTER'!#REF!)-1)))+((8-INDEX('CONTROL MASTER'!$Z$2:$Z$495,(SUMPRODUCT((('CONTROL MASTER'!$S$2:$S$495=4)*('CONTROL MASTER'!$Z$2:$Z$495&lt;=8)*('CONTROL MASTER'!$AB$2:$AB$495&gt;=8)*('CONTROL MASTER'!$AA$2:$AA$495&lt;=1)*('CONTROL MASTER'!$AC$2:$AC$495&gt;=1))*ROW('CONTROL MASTER'!$S$2:$S$495))-(ROW('CONTROL MASTER'!#REF!)-1))))*(INDEX('CONTROL MASTER'!$AC$2:$AC$495,(SUMPRODUCT((('CONTROL MASTER'!$S$2:$S$495=4)*('CONTROL MASTER'!$Z$2:$Z$495&lt;=8)*('CONTROL MASTER'!$AB$2:$AB$495&gt;=8)*('CONTROL MASTER'!$AA$2:$AA$495&lt;=1)*('CONTROL MASTER'!$AC$2:$AC$495&gt;=1))*ROW('CONTROL MASTER'!$S$2:$S$495))-(ROW('CONTROL MASTER'!#REF!)-1)))-INDEX('CONTROL MASTER'!$AA$2:$AA$495,(SUMPRODUCT((('CONTROL MASTER'!$S$2:$S$495=4)*('CONTROL MASTER'!$Z$2:$Z$495&lt;=8)*('CONTROL MASTER'!$AB$2:$AB$495&gt;=8)*('CONTROL MASTER'!$AA$2:$AA$495&lt;=1)*('CONTROL MASTER'!$AC$2:$AC$495&gt;=1))*ROW('CONTROL MASTER'!$S$2:$S$495))-(ROW('CONTROL MASTER'!#REF!)-1)))+1)+(1-INDEX('CONTROL MASTER'!$AA$2:$AA$495,(SUMPRODUCT((('CONTROL MASTER'!$S$2:$S$495=4)*('CONTROL MASTER'!$Z$2:$Z$495&lt;=8)*('CONTROL MASTER'!$AB$2:$AB$495&gt;=8)*('CONTROL MASTER'!$AA$2:$AA$495&lt;=1)*('CONTROL MASTER'!$AC$2:$AC$495&gt;=1))*ROW('CONTROL MASTER'!$S$2:$S$495))-(ROW('CONTROL MASTER'!#REF!)-1))))+1)))-1)*50+1,50))&amp;"_"&amp;INDEX('CONTROL MASTER'!$P$2:$P$495,(SUMPRODUCT((('CONTROL MASTER'!$S$2:$S$495=4)*('CONTROL MASTER'!$Z$2:$Z$495&lt;=8)*('CONTROL MASTER'!$AB$2:$AB$495&gt;=8)*('CONTROL MASTER'!$AA$2:$AA$495&lt;=1)*('CONTROL MASTER'!$AC$2:$AC$495&gt;=1))*ROW('CONTROL MASTER'!$S$2:$S$495))-(ROW('CONTROL MASTER'!#REF!)-1))),"")),"")</f>
        <v/>
      </c>
      <c r="C52" s="10" t="str">
        <f>IFERROR(IF(SUMPRODUCT((('CONTROL MASTER'!$S$2:$S$495=4)*('CONTROL MASTER'!$T$2:$T$495&lt;=8)*('CONTROL MASTER'!$V$2:$V$495&gt;=8)*('CONTROL MASTER'!$U$2:$U$495&lt;=2)*('CONTROL MASTER'!$W$2:$W$495&gt;=2))*ROW('CONTROL MASTER'!$S$2:$S$495))&gt;0,INDEX('CONTROL MASTER'!$X$2:$X$495,(SUMPRODUCT((('CONTROL MASTER'!$S$2:$S$495=4)*('CONTROL MASTER'!$T$2:$T$495&lt;=8)*('CONTROL MASTER'!$V$2:$V$495&gt;=8)*('CONTROL MASTER'!$U$2:$U$495&lt;=2)*('CONTROL MASTER'!$W$2:$W$495&gt;=2))*ROW('CONTROL MASTER'!$S$2:$S$495))-(ROW('CONTROL MASTER'!#REF!)-1)))&amp;TRIM(MID(SUBSTITUTE(SUBSTITUTE(INDEX('CONTROL MASTER'!$N$2:$N$495,(SUMPRODUCT((('CONTROL MASTER'!$S$2:$S$495=4)*('CONTROL MASTER'!$T$2:$T$495&lt;=8)*('CONTROL MASTER'!$V$2:$V$495&gt;=8)*('CONTROL MASTER'!$U$2:$U$495&lt;=2)*('CONTROL MASTER'!$W$2:$W$495&gt;=2))*ROW('CONTROL MASTER'!$S$2:$S$495))-(ROW('CONTROL MASTER'!#REF!)-1))),":",","),",",REPT(" ",50)),((((8-INDEX('CONTROL MASTER'!$T$2:$T$495,(SUMPRODUCT((('CONTROL MASTER'!$S$2:$S$495=4)*('CONTROL MASTER'!$T$2:$T$495&lt;=8)*('CONTROL MASTER'!$V$2:$V$495&gt;=8)*('CONTROL MASTER'!$U$2:$U$495&lt;=2)*('CONTROL MASTER'!$W$2:$W$495&gt;=2))*ROW('CONTROL MASTER'!$S$2:$S$495))-(ROW('CONTROL MASTER'!#REF!)-1))))*(INDEX('CONTROL MASTER'!$W$2:$W$495,(SUMPRODUCT((('CONTROL MASTER'!$S$2:$S$495=4)*('CONTROL MASTER'!$T$2:$T$495&lt;=8)*('CONTROL MASTER'!$V$2:$V$495&gt;=8)*('CONTROL MASTER'!$U$2:$U$495&lt;=2)*('CONTROL MASTER'!$W$2:$W$495&gt;=2))*ROW('CONTROL MASTER'!$S$2:$S$495))-(ROW('CONTROL MASTER'!#REF!)-1)))-INDEX('CONTROL MASTER'!$U$2:$U$495,(SUMPRODUCT((('CONTROL MASTER'!$S$2:$S$495=4)*('CONTROL MASTER'!$T$2:$T$495&lt;=8)*('CONTROL MASTER'!$V$2:$V$495&gt;=8)*('CONTROL MASTER'!$U$2:$U$495&lt;=2)*('CONTROL MASTER'!$W$2:$W$495&gt;=2))*ROW('CONTROL MASTER'!$S$2:$S$495))-(ROW('CONTROL MASTER'!#REF!)-1)))+1)+(2-INDEX('CONTROL MASTER'!$U$2:$U$495,(SUMPRODUCT((('CONTROL MASTER'!$S$2:$S$495=4)*('CONTROL MASTER'!$T$2:$T$495&lt;=8)*('CONTROL MASTER'!$V$2:$V$495&gt;=8)*('CONTROL MASTER'!$U$2:$U$495&lt;=2)*('CONTROL MASTER'!$W$2:$W$495&gt;=2))*ROW('CONTROL MASTER'!$S$2:$S$495))-(ROW('CONTROL MASTER'!#REF!)-1))))+1))-1)*50+1,50))&amp;"_"&amp;INDEX('CONTROL MASTER'!$P$2:$P$495,(SUMPRODUCT((('CONTROL MASTER'!$S$2:$S$495=4)*('CONTROL MASTER'!$T$2:$T$495&lt;=8)*('CONTROL MASTER'!$V$2:$V$495&gt;=8)*('CONTROL MASTER'!$U$2:$U$495&lt;=2)*('CONTROL MASTER'!$W$2:$W$495&gt;=2))*ROW('CONTROL MASTER'!$S$2:$S$495))-(ROW('CONTROL MASTER'!#REF!)-1))),IF(SUMPRODUCT((('CONTROL MASTER'!$S$2:$S$495=4)*('CONTROL MASTER'!$Z$2:$Z$495&lt;=8)*('CONTROL MASTER'!$AB$2:$AB$495&gt;=8)*('CONTROL MASTER'!$AA$2:$AA$495&lt;=2)*('CONTROL MASTER'!$AC$2:$AC$495&gt;=2))*ROW('CONTROL MASTER'!$S$2:$S$495))&gt;0,INDEX('CONTROL MASTER'!$X$2:$X$495,(SUMPRODUCT((('CONTROL MASTER'!$S$2:$S$495=4)*('CONTROL MASTER'!$Z$2:$Z$495&lt;=8)*('CONTROL MASTER'!$AB$2:$AB$495&gt;=8)*('CONTROL MASTER'!$AA$2:$AA$495&lt;=2)*('CONTROL MASTER'!$AC$2:$AC$495&gt;=2))*ROW('CONTROL MASTER'!$S$2:$S$495))-(ROW('CONTROL MASTER'!#REF!)-1)))&amp;TRIM(MID(SUBSTITUTE(SUBSTITUTE(INDEX('CONTROL MASTER'!$N$2:$N$495,(SUMPRODUCT((('CONTROL MASTER'!$S$2:$S$495=4)*('CONTROL MASTER'!$Z$2:$Z$495&lt;=8)*('CONTROL MASTER'!$AB$2:$AB$495&gt;=8)*('CONTROL MASTER'!$AA$2:$AA$495&lt;=2)*('CONTROL MASTER'!$AC$2:$AC$495&gt;=2))*ROW('CONTROL MASTER'!$S$2:$S$495))-(ROW('CONTROL MASTER'!#REF!)-1))),":",","),",",REPT(" ",50)),(((INDEX('CONTROL MASTER'!$Y$2:$Y$495,(SUMPRODUCT((('CONTROL MASTER'!$S$2:$S$495=4)*('CONTROL MASTER'!$Z$2:$Z$495&lt;=8)*('CONTROL MASTER'!$AB$2:$AB$495&gt;=8)*('CONTROL MASTER'!$AA$2:$AA$495&lt;=2)*('CONTROL MASTER'!$AC$2:$AC$495&gt;=2))*ROW('CONTROL MASTER'!$S$2:$S$495))-(ROW('CONTROL MASTER'!#REF!)-1)))+((8-INDEX('CONTROL MASTER'!$Z$2:$Z$495,(SUMPRODUCT((('CONTROL MASTER'!$S$2:$S$495=4)*('CONTROL MASTER'!$Z$2:$Z$495&lt;=8)*('CONTROL MASTER'!$AB$2:$AB$495&gt;=8)*('CONTROL MASTER'!$AA$2:$AA$495&lt;=2)*('CONTROL MASTER'!$AC$2:$AC$495&gt;=2))*ROW('CONTROL MASTER'!$S$2:$S$495))-(ROW('CONTROL MASTER'!#REF!)-1))))*(INDEX('CONTROL MASTER'!$AC$2:$AC$495,(SUMPRODUCT((('CONTROL MASTER'!$S$2:$S$495=4)*('CONTROL MASTER'!$Z$2:$Z$495&lt;=8)*('CONTROL MASTER'!$AB$2:$AB$495&gt;=8)*('CONTROL MASTER'!$AA$2:$AA$495&lt;=2)*('CONTROL MASTER'!$AC$2:$AC$495&gt;=2))*ROW('CONTROL MASTER'!$S$2:$S$495))-(ROW('CONTROL MASTER'!#REF!)-1)))-INDEX('CONTROL MASTER'!$AA$2:$AA$495,(SUMPRODUCT((('CONTROL MASTER'!$S$2:$S$495=4)*('CONTROL MASTER'!$Z$2:$Z$495&lt;=8)*('CONTROL MASTER'!$AB$2:$AB$495&gt;=8)*('CONTROL MASTER'!$AA$2:$AA$495&lt;=2)*('CONTROL MASTER'!$AC$2:$AC$495&gt;=2))*ROW('CONTROL MASTER'!$S$2:$S$495))-(ROW('CONTROL MASTER'!#REF!)-1)))+1)+(2-INDEX('CONTROL MASTER'!$AA$2:$AA$495,(SUMPRODUCT((('CONTROL MASTER'!$S$2:$S$495=4)*('CONTROL MASTER'!$Z$2:$Z$495&lt;=8)*('CONTROL MASTER'!$AB$2:$AB$495&gt;=8)*('CONTROL MASTER'!$AA$2:$AA$495&lt;=2)*('CONTROL MASTER'!$AC$2:$AC$495&gt;=2))*ROW('CONTROL MASTER'!$S$2:$S$495))-(ROW('CONTROL MASTER'!#REF!)-1))))+1)))-1)*50+1,50))&amp;"_"&amp;INDEX('CONTROL MASTER'!$P$2:$P$495,(SUMPRODUCT((('CONTROL MASTER'!$S$2:$S$495=4)*('CONTROL MASTER'!$Z$2:$Z$495&lt;=8)*('CONTROL MASTER'!$AB$2:$AB$495&gt;=8)*('CONTROL MASTER'!$AA$2:$AA$495&lt;=2)*('CONTROL MASTER'!$AC$2:$AC$495&gt;=2))*ROW('CONTROL MASTER'!$S$2:$S$495))-(ROW('CONTROL MASTER'!#REF!)-1))),"")),"")</f>
        <v/>
      </c>
      <c r="D52" s="10" t="str">
        <f>IFERROR(IF(SUMPRODUCT((('CONTROL MASTER'!$S$2:$S$495=4)*('CONTROL MASTER'!$T$2:$T$495&lt;=8)*('CONTROL MASTER'!$V$2:$V$495&gt;=8)*('CONTROL MASTER'!$U$2:$U$495&lt;=3)*('CONTROL MASTER'!$W$2:$W$495&gt;=3))*ROW('CONTROL MASTER'!$S$2:$S$495))&gt;0,INDEX('CONTROL MASTER'!$X$2:$X$495,(SUMPRODUCT((('CONTROL MASTER'!$S$2:$S$495=4)*('CONTROL MASTER'!$T$2:$T$495&lt;=8)*('CONTROL MASTER'!$V$2:$V$495&gt;=8)*('CONTROL MASTER'!$U$2:$U$495&lt;=3)*('CONTROL MASTER'!$W$2:$W$495&gt;=3))*ROW('CONTROL MASTER'!$S$2:$S$495))-(ROW('CONTROL MASTER'!#REF!)-1)))&amp;TRIM(MID(SUBSTITUTE(SUBSTITUTE(INDEX('CONTROL MASTER'!$N$2:$N$495,(SUMPRODUCT((('CONTROL MASTER'!$S$2:$S$495=4)*('CONTROL MASTER'!$T$2:$T$495&lt;=8)*('CONTROL MASTER'!$V$2:$V$495&gt;=8)*('CONTROL MASTER'!$U$2:$U$495&lt;=3)*('CONTROL MASTER'!$W$2:$W$495&gt;=3))*ROW('CONTROL MASTER'!$S$2:$S$495))-(ROW('CONTROL MASTER'!#REF!)-1))),":",","),",",REPT(" ",50)),((((8-INDEX('CONTROL MASTER'!$T$2:$T$495,(SUMPRODUCT((('CONTROL MASTER'!$S$2:$S$495=4)*('CONTROL MASTER'!$T$2:$T$495&lt;=8)*('CONTROL MASTER'!$V$2:$V$495&gt;=8)*('CONTROL MASTER'!$U$2:$U$495&lt;=3)*('CONTROL MASTER'!$W$2:$W$495&gt;=3))*ROW('CONTROL MASTER'!$S$2:$S$495))-(ROW('CONTROL MASTER'!#REF!)-1))))*(INDEX('CONTROL MASTER'!$W$2:$W$495,(SUMPRODUCT((('CONTROL MASTER'!$S$2:$S$495=4)*('CONTROL MASTER'!$T$2:$T$495&lt;=8)*('CONTROL MASTER'!$V$2:$V$495&gt;=8)*('CONTROL MASTER'!$U$2:$U$495&lt;=3)*('CONTROL MASTER'!$W$2:$W$495&gt;=3))*ROW('CONTROL MASTER'!$S$2:$S$495))-(ROW('CONTROL MASTER'!#REF!)-1)))-INDEX('CONTROL MASTER'!$U$2:$U$495,(SUMPRODUCT((('CONTROL MASTER'!$S$2:$S$495=4)*('CONTROL MASTER'!$T$2:$T$495&lt;=8)*('CONTROL MASTER'!$V$2:$V$495&gt;=8)*('CONTROL MASTER'!$U$2:$U$495&lt;=3)*('CONTROL MASTER'!$W$2:$W$495&gt;=3))*ROW('CONTROL MASTER'!$S$2:$S$495))-(ROW('CONTROL MASTER'!#REF!)-1)))+1)+(3-INDEX('CONTROL MASTER'!$U$2:$U$495,(SUMPRODUCT((('CONTROL MASTER'!$S$2:$S$495=4)*('CONTROL MASTER'!$T$2:$T$495&lt;=8)*('CONTROL MASTER'!$V$2:$V$495&gt;=8)*('CONTROL MASTER'!$U$2:$U$495&lt;=3)*('CONTROL MASTER'!$W$2:$W$495&gt;=3))*ROW('CONTROL MASTER'!$S$2:$S$495))-(ROW('CONTROL MASTER'!#REF!)-1))))+1))-1)*50+1,50))&amp;"_"&amp;INDEX('CONTROL MASTER'!$P$2:$P$495,(SUMPRODUCT((('CONTROL MASTER'!$S$2:$S$495=4)*('CONTROL MASTER'!$T$2:$T$495&lt;=8)*('CONTROL MASTER'!$V$2:$V$495&gt;=8)*('CONTROL MASTER'!$U$2:$U$495&lt;=3)*('CONTROL MASTER'!$W$2:$W$495&gt;=3))*ROW('CONTROL MASTER'!$S$2:$S$495))-(ROW('CONTROL MASTER'!#REF!)-1))),IF(SUMPRODUCT((('CONTROL MASTER'!$S$2:$S$495=4)*('CONTROL MASTER'!$Z$2:$Z$495&lt;=8)*('CONTROL MASTER'!$AB$2:$AB$495&gt;=8)*('CONTROL MASTER'!$AA$2:$AA$495&lt;=3)*('CONTROL MASTER'!$AC$2:$AC$495&gt;=3))*ROW('CONTROL MASTER'!$S$2:$S$495))&gt;0,INDEX('CONTROL MASTER'!$X$2:$X$495,(SUMPRODUCT((('CONTROL MASTER'!$S$2:$S$495=4)*('CONTROL MASTER'!$Z$2:$Z$495&lt;=8)*('CONTROL MASTER'!$AB$2:$AB$495&gt;=8)*('CONTROL MASTER'!$AA$2:$AA$495&lt;=3)*('CONTROL MASTER'!$AC$2:$AC$495&gt;=3))*ROW('CONTROL MASTER'!$S$2:$S$495))-(ROW('CONTROL MASTER'!#REF!)-1)))&amp;TRIM(MID(SUBSTITUTE(SUBSTITUTE(INDEX('CONTROL MASTER'!$N$2:$N$495,(SUMPRODUCT((('CONTROL MASTER'!$S$2:$S$495=4)*('CONTROL MASTER'!$Z$2:$Z$495&lt;=8)*('CONTROL MASTER'!$AB$2:$AB$495&gt;=8)*('CONTROL MASTER'!$AA$2:$AA$495&lt;=3)*('CONTROL MASTER'!$AC$2:$AC$495&gt;=3))*ROW('CONTROL MASTER'!$S$2:$S$495))-(ROW('CONTROL MASTER'!#REF!)-1))),":",","),",",REPT(" ",50)),(((INDEX('CONTROL MASTER'!$Y$2:$Y$495,(SUMPRODUCT((('CONTROL MASTER'!$S$2:$S$495=4)*('CONTROL MASTER'!$Z$2:$Z$495&lt;=8)*('CONTROL MASTER'!$AB$2:$AB$495&gt;=8)*('CONTROL MASTER'!$AA$2:$AA$495&lt;=3)*('CONTROL MASTER'!$AC$2:$AC$495&gt;=3))*ROW('CONTROL MASTER'!$S$2:$S$495))-(ROW('CONTROL MASTER'!#REF!)-1)))+((8-INDEX('CONTROL MASTER'!$Z$2:$Z$495,(SUMPRODUCT((('CONTROL MASTER'!$S$2:$S$495=4)*('CONTROL MASTER'!$Z$2:$Z$495&lt;=8)*('CONTROL MASTER'!$AB$2:$AB$495&gt;=8)*('CONTROL MASTER'!$AA$2:$AA$495&lt;=3)*('CONTROL MASTER'!$AC$2:$AC$495&gt;=3))*ROW('CONTROL MASTER'!$S$2:$S$495))-(ROW('CONTROL MASTER'!#REF!)-1))))*(INDEX('CONTROL MASTER'!$AC$2:$AC$495,(SUMPRODUCT((('CONTROL MASTER'!$S$2:$S$495=4)*('CONTROL MASTER'!$Z$2:$Z$495&lt;=8)*('CONTROL MASTER'!$AB$2:$AB$495&gt;=8)*('CONTROL MASTER'!$AA$2:$AA$495&lt;=3)*('CONTROL MASTER'!$AC$2:$AC$495&gt;=3))*ROW('CONTROL MASTER'!$S$2:$S$495))-(ROW('CONTROL MASTER'!#REF!)-1)))-INDEX('CONTROL MASTER'!$AA$2:$AA$495,(SUMPRODUCT((('CONTROL MASTER'!$S$2:$S$495=4)*('CONTROL MASTER'!$Z$2:$Z$495&lt;=8)*('CONTROL MASTER'!$AB$2:$AB$495&gt;=8)*('CONTROL MASTER'!$AA$2:$AA$495&lt;=3)*('CONTROL MASTER'!$AC$2:$AC$495&gt;=3))*ROW('CONTROL MASTER'!$S$2:$S$495))-(ROW('CONTROL MASTER'!#REF!)-1)))+1)+(3-INDEX('CONTROL MASTER'!$AA$2:$AA$495,(SUMPRODUCT((('CONTROL MASTER'!$S$2:$S$495=4)*('CONTROL MASTER'!$Z$2:$Z$495&lt;=8)*('CONTROL MASTER'!$AB$2:$AB$495&gt;=8)*('CONTROL MASTER'!$AA$2:$AA$495&lt;=3)*('CONTROL MASTER'!$AC$2:$AC$495&gt;=3))*ROW('CONTROL MASTER'!$S$2:$S$495))-(ROW('CONTROL MASTER'!#REF!)-1))))+1)))-1)*50+1,50))&amp;"_"&amp;INDEX('CONTROL MASTER'!$P$2:$P$495,(SUMPRODUCT((('CONTROL MASTER'!$S$2:$S$495=4)*('CONTROL MASTER'!$Z$2:$Z$495&lt;=8)*('CONTROL MASTER'!$AB$2:$AB$495&gt;=8)*('CONTROL MASTER'!$AA$2:$AA$495&lt;=3)*('CONTROL MASTER'!$AC$2:$AC$495&gt;=3))*ROW('CONTROL MASTER'!$S$2:$S$495))-(ROW('CONTROL MASTER'!#REF!)-1))),"")),"")</f>
        <v/>
      </c>
      <c r="E52" s="10" t="str">
        <f>IFERROR(IF(SUMPRODUCT((('CONTROL MASTER'!$S$2:$S$495=4)*('CONTROL MASTER'!$T$2:$T$495&lt;=8)*('CONTROL MASTER'!$V$2:$V$495&gt;=8)*('CONTROL MASTER'!$U$2:$U$495&lt;=4)*('CONTROL MASTER'!$W$2:$W$495&gt;=4))*ROW('CONTROL MASTER'!$S$2:$S$495))&gt;0,INDEX('CONTROL MASTER'!$X$2:$X$495,(SUMPRODUCT((('CONTROL MASTER'!$S$2:$S$495=4)*('CONTROL MASTER'!$T$2:$T$495&lt;=8)*('CONTROL MASTER'!$V$2:$V$495&gt;=8)*('CONTROL MASTER'!$U$2:$U$495&lt;=4)*('CONTROL MASTER'!$W$2:$W$495&gt;=4))*ROW('CONTROL MASTER'!$S$2:$S$495))-(ROW('CONTROL MASTER'!#REF!)-1)))&amp;TRIM(MID(SUBSTITUTE(SUBSTITUTE(INDEX('CONTROL MASTER'!$N$2:$N$495,(SUMPRODUCT((('CONTROL MASTER'!$S$2:$S$495=4)*('CONTROL MASTER'!$T$2:$T$495&lt;=8)*('CONTROL MASTER'!$V$2:$V$495&gt;=8)*('CONTROL MASTER'!$U$2:$U$495&lt;=4)*('CONTROL MASTER'!$W$2:$W$495&gt;=4))*ROW('CONTROL MASTER'!$S$2:$S$495))-(ROW('CONTROL MASTER'!#REF!)-1))),":",","),",",REPT(" ",50)),((((8-INDEX('CONTROL MASTER'!$T$2:$T$495,(SUMPRODUCT((('CONTROL MASTER'!$S$2:$S$495=4)*('CONTROL MASTER'!$T$2:$T$495&lt;=8)*('CONTROL MASTER'!$V$2:$V$495&gt;=8)*('CONTROL MASTER'!$U$2:$U$495&lt;=4)*('CONTROL MASTER'!$W$2:$W$495&gt;=4))*ROW('CONTROL MASTER'!$S$2:$S$495))-(ROW('CONTROL MASTER'!#REF!)-1))))*(INDEX('CONTROL MASTER'!$W$2:$W$495,(SUMPRODUCT((('CONTROL MASTER'!$S$2:$S$495=4)*('CONTROL MASTER'!$T$2:$T$495&lt;=8)*('CONTROL MASTER'!$V$2:$V$495&gt;=8)*('CONTROL MASTER'!$U$2:$U$495&lt;=4)*('CONTROL MASTER'!$W$2:$W$495&gt;=4))*ROW('CONTROL MASTER'!$S$2:$S$495))-(ROW('CONTROL MASTER'!#REF!)-1)))-INDEX('CONTROL MASTER'!$U$2:$U$495,(SUMPRODUCT((('CONTROL MASTER'!$S$2:$S$495=4)*('CONTROL MASTER'!$T$2:$T$495&lt;=8)*('CONTROL MASTER'!$V$2:$V$495&gt;=8)*('CONTROL MASTER'!$U$2:$U$495&lt;=4)*('CONTROL MASTER'!$W$2:$W$495&gt;=4))*ROW('CONTROL MASTER'!$S$2:$S$495))-(ROW('CONTROL MASTER'!#REF!)-1)))+1)+(4-INDEX('CONTROL MASTER'!$U$2:$U$495,(SUMPRODUCT((('CONTROL MASTER'!$S$2:$S$495=4)*('CONTROL MASTER'!$T$2:$T$495&lt;=8)*('CONTROL MASTER'!$V$2:$V$495&gt;=8)*('CONTROL MASTER'!$U$2:$U$495&lt;=4)*('CONTROL MASTER'!$W$2:$W$495&gt;=4))*ROW('CONTROL MASTER'!$S$2:$S$495))-(ROW('CONTROL MASTER'!#REF!)-1))))+1))-1)*50+1,50))&amp;"_"&amp;INDEX('CONTROL MASTER'!$P$2:$P$495,(SUMPRODUCT((('CONTROL MASTER'!$S$2:$S$495=4)*('CONTROL MASTER'!$T$2:$T$495&lt;=8)*('CONTROL MASTER'!$V$2:$V$495&gt;=8)*('CONTROL MASTER'!$U$2:$U$495&lt;=4)*('CONTROL MASTER'!$W$2:$W$495&gt;=4))*ROW('CONTROL MASTER'!$S$2:$S$495))-(ROW('CONTROL MASTER'!#REF!)-1))),IF(SUMPRODUCT((('CONTROL MASTER'!$S$2:$S$495=4)*('CONTROL MASTER'!$Z$2:$Z$495&lt;=8)*('CONTROL MASTER'!$AB$2:$AB$495&gt;=8)*('CONTROL MASTER'!$AA$2:$AA$495&lt;=4)*('CONTROL MASTER'!$AC$2:$AC$495&gt;=4))*ROW('CONTROL MASTER'!$S$2:$S$495))&gt;0,INDEX('CONTROL MASTER'!$X$2:$X$495,(SUMPRODUCT((('CONTROL MASTER'!$S$2:$S$495=4)*('CONTROL MASTER'!$Z$2:$Z$495&lt;=8)*('CONTROL MASTER'!$AB$2:$AB$495&gt;=8)*('CONTROL MASTER'!$AA$2:$AA$495&lt;=4)*('CONTROL MASTER'!$AC$2:$AC$495&gt;=4))*ROW('CONTROL MASTER'!$S$2:$S$495))-(ROW('CONTROL MASTER'!#REF!)-1)))&amp;TRIM(MID(SUBSTITUTE(SUBSTITUTE(INDEX('CONTROL MASTER'!$N$2:$N$495,(SUMPRODUCT((('CONTROL MASTER'!$S$2:$S$495=4)*('CONTROL MASTER'!$Z$2:$Z$495&lt;=8)*('CONTROL MASTER'!$AB$2:$AB$495&gt;=8)*('CONTROL MASTER'!$AA$2:$AA$495&lt;=4)*('CONTROL MASTER'!$AC$2:$AC$495&gt;=4))*ROW('CONTROL MASTER'!$S$2:$S$495))-(ROW('CONTROL MASTER'!#REF!)-1))),":",","),",",REPT(" ",50)),(((INDEX('CONTROL MASTER'!$Y$2:$Y$495,(SUMPRODUCT((('CONTROL MASTER'!$S$2:$S$495=4)*('CONTROL MASTER'!$Z$2:$Z$495&lt;=8)*('CONTROL MASTER'!$AB$2:$AB$495&gt;=8)*('CONTROL MASTER'!$AA$2:$AA$495&lt;=4)*('CONTROL MASTER'!$AC$2:$AC$495&gt;=4))*ROW('CONTROL MASTER'!$S$2:$S$495))-(ROW('CONTROL MASTER'!#REF!)-1)))+((8-INDEX('CONTROL MASTER'!$Z$2:$Z$495,(SUMPRODUCT((('CONTROL MASTER'!$S$2:$S$495=4)*('CONTROL MASTER'!$Z$2:$Z$495&lt;=8)*('CONTROL MASTER'!$AB$2:$AB$495&gt;=8)*('CONTROL MASTER'!$AA$2:$AA$495&lt;=4)*('CONTROL MASTER'!$AC$2:$AC$495&gt;=4))*ROW('CONTROL MASTER'!$S$2:$S$495))-(ROW('CONTROL MASTER'!#REF!)-1))))*(INDEX('CONTROL MASTER'!$AC$2:$AC$495,(SUMPRODUCT((('CONTROL MASTER'!$S$2:$S$495=4)*('CONTROL MASTER'!$Z$2:$Z$495&lt;=8)*('CONTROL MASTER'!$AB$2:$AB$495&gt;=8)*('CONTROL MASTER'!$AA$2:$AA$495&lt;=4)*('CONTROL MASTER'!$AC$2:$AC$495&gt;=4))*ROW('CONTROL MASTER'!$S$2:$S$495))-(ROW('CONTROL MASTER'!#REF!)-1)))-INDEX('CONTROL MASTER'!$AA$2:$AA$495,(SUMPRODUCT((('CONTROL MASTER'!$S$2:$S$495=4)*('CONTROL MASTER'!$Z$2:$Z$495&lt;=8)*('CONTROL MASTER'!$AB$2:$AB$495&gt;=8)*('CONTROL MASTER'!$AA$2:$AA$495&lt;=4)*('CONTROL MASTER'!$AC$2:$AC$495&gt;=4))*ROW('CONTROL MASTER'!$S$2:$S$495))-(ROW('CONTROL MASTER'!#REF!)-1)))+1)+(4-INDEX('CONTROL MASTER'!$AA$2:$AA$495,(SUMPRODUCT((('CONTROL MASTER'!$S$2:$S$495=4)*('CONTROL MASTER'!$Z$2:$Z$495&lt;=8)*('CONTROL MASTER'!$AB$2:$AB$495&gt;=8)*('CONTROL MASTER'!$AA$2:$AA$495&lt;=4)*('CONTROL MASTER'!$AC$2:$AC$495&gt;=4))*ROW('CONTROL MASTER'!$S$2:$S$495))-(ROW('CONTROL MASTER'!#REF!)-1))))+1)))-1)*50+1,50))&amp;"_"&amp;INDEX('CONTROL MASTER'!$P$2:$P$495,(SUMPRODUCT((('CONTROL MASTER'!$S$2:$S$495=4)*('CONTROL MASTER'!$Z$2:$Z$495&lt;=8)*('CONTROL MASTER'!$AB$2:$AB$495&gt;=8)*('CONTROL MASTER'!$AA$2:$AA$495&lt;=4)*('CONTROL MASTER'!$AC$2:$AC$495&gt;=4))*ROW('CONTROL MASTER'!$S$2:$S$495))-(ROW('CONTROL MASTER'!#REF!)-1))),"")),"")</f>
        <v/>
      </c>
      <c r="F52" s="10" t="str">
        <f>IFERROR(IF(SUMPRODUCT((('CONTROL MASTER'!$S$2:$S$495=4)*('CONTROL MASTER'!$T$2:$T$495&lt;=8)*('CONTROL MASTER'!$V$2:$V$495&gt;=8)*('CONTROL MASTER'!$U$2:$U$495&lt;=5)*('CONTROL MASTER'!$W$2:$W$495&gt;=5))*ROW('CONTROL MASTER'!$S$2:$S$495))&gt;0,INDEX('CONTROL MASTER'!$X$2:$X$495,(SUMPRODUCT((('CONTROL MASTER'!$S$2:$S$495=4)*('CONTROL MASTER'!$T$2:$T$495&lt;=8)*('CONTROL MASTER'!$V$2:$V$495&gt;=8)*('CONTROL MASTER'!$U$2:$U$495&lt;=5)*('CONTROL MASTER'!$W$2:$W$495&gt;=5))*ROW('CONTROL MASTER'!$S$2:$S$495))-(ROW('CONTROL MASTER'!#REF!)-1)))&amp;TRIM(MID(SUBSTITUTE(SUBSTITUTE(INDEX('CONTROL MASTER'!$N$2:$N$495,(SUMPRODUCT((('CONTROL MASTER'!$S$2:$S$495=4)*('CONTROL MASTER'!$T$2:$T$495&lt;=8)*('CONTROL MASTER'!$V$2:$V$495&gt;=8)*('CONTROL MASTER'!$U$2:$U$495&lt;=5)*('CONTROL MASTER'!$W$2:$W$495&gt;=5))*ROW('CONTROL MASTER'!$S$2:$S$495))-(ROW('CONTROL MASTER'!#REF!)-1))),":",","),",",REPT(" ",50)),((((8-INDEX('CONTROL MASTER'!$T$2:$T$495,(SUMPRODUCT((('CONTROL MASTER'!$S$2:$S$495=4)*('CONTROL MASTER'!$T$2:$T$495&lt;=8)*('CONTROL MASTER'!$V$2:$V$495&gt;=8)*('CONTROL MASTER'!$U$2:$U$495&lt;=5)*('CONTROL MASTER'!$W$2:$W$495&gt;=5))*ROW('CONTROL MASTER'!$S$2:$S$495))-(ROW('CONTROL MASTER'!#REF!)-1))))*(INDEX('CONTROL MASTER'!$W$2:$W$495,(SUMPRODUCT((('CONTROL MASTER'!$S$2:$S$495=4)*('CONTROL MASTER'!$T$2:$T$495&lt;=8)*('CONTROL MASTER'!$V$2:$V$495&gt;=8)*('CONTROL MASTER'!$U$2:$U$495&lt;=5)*('CONTROL MASTER'!$W$2:$W$495&gt;=5))*ROW('CONTROL MASTER'!$S$2:$S$495))-(ROW('CONTROL MASTER'!#REF!)-1)))-INDEX('CONTROL MASTER'!$U$2:$U$495,(SUMPRODUCT((('CONTROL MASTER'!$S$2:$S$495=4)*('CONTROL MASTER'!$T$2:$T$495&lt;=8)*('CONTROL MASTER'!$V$2:$V$495&gt;=8)*('CONTROL MASTER'!$U$2:$U$495&lt;=5)*('CONTROL MASTER'!$W$2:$W$495&gt;=5))*ROW('CONTROL MASTER'!$S$2:$S$495))-(ROW('CONTROL MASTER'!#REF!)-1)))+1)+(5-INDEX('CONTROL MASTER'!$U$2:$U$495,(SUMPRODUCT((('CONTROL MASTER'!$S$2:$S$495=4)*('CONTROL MASTER'!$T$2:$T$495&lt;=8)*('CONTROL MASTER'!$V$2:$V$495&gt;=8)*('CONTROL MASTER'!$U$2:$U$495&lt;=5)*('CONTROL MASTER'!$W$2:$W$495&gt;=5))*ROW('CONTROL MASTER'!$S$2:$S$495))-(ROW('CONTROL MASTER'!#REF!)-1))))+1))-1)*50+1,50))&amp;"_"&amp;INDEX('CONTROL MASTER'!$P$2:$P$495,(SUMPRODUCT((('CONTROL MASTER'!$S$2:$S$495=4)*('CONTROL MASTER'!$T$2:$T$495&lt;=8)*('CONTROL MASTER'!$V$2:$V$495&gt;=8)*('CONTROL MASTER'!$U$2:$U$495&lt;=5)*('CONTROL MASTER'!$W$2:$W$495&gt;=5))*ROW('CONTROL MASTER'!$S$2:$S$495))-(ROW('CONTROL MASTER'!#REF!)-1))),IF(SUMPRODUCT((('CONTROL MASTER'!$S$2:$S$495=4)*('CONTROL MASTER'!$Z$2:$Z$495&lt;=8)*('CONTROL MASTER'!$AB$2:$AB$495&gt;=8)*('CONTROL MASTER'!$AA$2:$AA$495&lt;=5)*('CONTROL MASTER'!$AC$2:$AC$495&gt;=5))*ROW('CONTROL MASTER'!$S$2:$S$495))&gt;0,INDEX('CONTROL MASTER'!$X$2:$X$495,(SUMPRODUCT((('CONTROL MASTER'!$S$2:$S$495=4)*('CONTROL MASTER'!$Z$2:$Z$495&lt;=8)*('CONTROL MASTER'!$AB$2:$AB$495&gt;=8)*('CONTROL MASTER'!$AA$2:$AA$495&lt;=5)*('CONTROL MASTER'!$AC$2:$AC$495&gt;=5))*ROW('CONTROL MASTER'!$S$2:$S$495))-(ROW('CONTROL MASTER'!#REF!)-1)))&amp;TRIM(MID(SUBSTITUTE(SUBSTITUTE(INDEX('CONTROL MASTER'!$N$2:$N$495,(SUMPRODUCT((('CONTROL MASTER'!$S$2:$S$495=4)*('CONTROL MASTER'!$Z$2:$Z$495&lt;=8)*('CONTROL MASTER'!$AB$2:$AB$495&gt;=8)*('CONTROL MASTER'!$AA$2:$AA$495&lt;=5)*('CONTROL MASTER'!$AC$2:$AC$495&gt;=5))*ROW('CONTROL MASTER'!$S$2:$S$495))-(ROW('CONTROL MASTER'!#REF!)-1))),":",","),",",REPT(" ",50)),(((INDEX('CONTROL MASTER'!$Y$2:$Y$495,(SUMPRODUCT((('CONTROL MASTER'!$S$2:$S$495=4)*('CONTROL MASTER'!$Z$2:$Z$495&lt;=8)*('CONTROL MASTER'!$AB$2:$AB$495&gt;=8)*('CONTROL MASTER'!$AA$2:$AA$495&lt;=5)*('CONTROL MASTER'!$AC$2:$AC$495&gt;=5))*ROW('CONTROL MASTER'!$S$2:$S$495))-(ROW('CONTROL MASTER'!#REF!)-1)))+((8-INDEX('CONTROL MASTER'!$Z$2:$Z$495,(SUMPRODUCT((('CONTROL MASTER'!$S$2:$S$495=4)*('CONTROL MASTER'!$Z$2:$Z$495&lt;=8)*('CONTROL MASTER'!$AB$2:$AB$495&gt;=8)*('CONTROL MASTER'!$AA$2:$AA$495&lt;=5)*('CONTROL MASTER'!$AC$2:$AC$495&gt;=5))*ROW('CONTROL MASTER'!$S$2:$S$495))-(ROW('CONTROL MASTER'!#REF!)-1))))*(INDEX('CONTROL MASTER'!$AC$2:$AC$495,(SUMPRODUCT((('CONTROL MASTER'!$S$2:$S$495=4)*('CONTROL MASTER'!$Z$2:$Z$495&lt;=8)*('CONTROL MASTER'!$AB$2:$AB$495&gt;=8)*('CONTROL MASTER'!$AA$2:$AA$495&lt;=5)*('CONTROL MASTER'!$AC$2:$AC$495&gt;=5))*ROW('CONTROL MASTER'!$S$2:$S$495))-(ROW('CONTROL MASTER'!#REF!)-1)))-INDEX('CONTROL MASTER'!$AA$2:$AA$495,(SUMPRODUCT((('CONTROL MASTER'!$S$2:$S$495=4)*('CONTROL MASTER'!$Z$2:$Z$495&lt;=8)*('CONTROL MASTER'!$AB$2:$AB$495&gt;=8)*('CONTROL MASTER'!$AA$2:$AA$495&lt;=5)*('CONTROL MASTER'!$AC$2:$AC$495&gt;=5))*ROW('CONTROL MASTER'!$S$2:$S$495))-(ROW('CONTROL MASTER'!#REF!)-1)))+1)+(5-INDEX('CONTROL MASTER'!$AA$2:$AA$495,(SUMPRODUCT((('CONTROL MASTER'!$S$2:$S$495=4)*('CONTROL MASTER'!$Z$2:$Z$495&lt;=8)*('CONTROL MASTER'!$AB$2:$AB$495&gt;=8)*('CONTROL MASTER'!$AA$2:$AA$495&lt;=5)*('CONTROL MASTER'!$AC$2:$AC$495&gt;=5))*ROW('CONTROL MASTER'!$S$2:$S$495))-(ROW('CONTROL MASTER'!#REF!)-1))))+1)))-1)*50+1,50))&amp;"_"&amp;INDEX('CONTROL MASTER'!$P$2:$P$495,(SUMPRODUCT((('CONTROL MASTER'!$S$2:$S$495=4)*('CONTROL MASTER'!$Z$2:$Z$495&lt;=8)*('CONTROL MASTER'!$AB$2:$AB$495&gt;=8)*('CONTROL MASTER'!$AA$2:$AA$495&lt;=5)*('CONTROL MASTER'!$AC$2:$AC$495&gt;=5))*ROW('CONTROL MASTER'!$S$2:$S$495))-(ROW('CONTROL MASTER'!#REF!)-1))),"")),"")</f>
        <v/>
      </c>
      <c r="G52" s="10" t="str">
        <f>IFERROR(IF(SUMPRODUCT((('CONTROL MASTER'!$S$2:$S$495=4)*('CONTROL MASTER'!$T$2:$T$495&lt;=8)*('CONTROL MASTER'!$V$2:$V$495&gt;=8)*('CONTROL MASTER'!$U$2:$U$495&lt;=6)*('CONTROL MASTER'!$W$2:$W$495&gt;=6))*ROW('CONTROL MASTER'!$S$2:$S$495))&gt;0,INDEX('CONTROL MASTER'!$X$2:$X$495,(SUMPRODUCT((('CONTROL MASTER'!$S$2:$S$495=4)*('CONTROL MASTER'!$T$2:$T$495&lt;=8)*('CONTROL MASTER'!$V$2:$V$495&gt;=8)*('CONTROL MASTER'!$U$2:$U$495&lt;=6)*('CONTROL MASTER'!$W$2:$W$495&gt;=6))*ROW('CONTROL MASTER'!$S$2:$S$495))-(ROW('CONTROL MASTER'!#REF!)-1)))&amp;TRIM(MID(SUBSTITUTE(SUBSTITUTE(INDEX('CONTROL MASTER'!$N$2:$N$495,(SUMPRODUCT((('CONTROL MASTER'!$S$2:$S$495=4)*('CONTROL MASTER'!$T$2:$T$495&lt;=8)*('CONTROL MASTER'!$V$2:$V$495&gt;=8)*('CONTROL MASTER'!$U$2:$U$495&lt;=6)*('CONTROL MASTER'!$W$2:$W$495&gt;=6))*ROW('CONTROL MASTER'!$S$2:$S$495))-(ROW('CONTROL MASTER'!#REF!)-1))),":",","),",",REPT(" ",50)),((((8-INDEX('CONTROL MASTER'!$T$2:$T$495,(SUMPRODUCT((('CONTROL MASTER'!$S$2:$S$495=4)*('CONTROL MASTER'!$T$2:$T$495&lt;=8)*('CONTROL MASTER'!$V$2:$V$495&gt;=8)*('CONTROL MASTER'!$U$2:$U$495&lt;=6)*('CONTROL MASTER'!$W$2:$W$495&gt;=6))*ROW('CONTROL MASTER'!$S$2:$S$495))-(ROW('CONTROL MASTER'!#REF!)-1))))*(INDEX('CONTROL MASTER'!$W$2:$W$495,(SUMPRODUCT((('CONTROL MASTER'!$S$2:$S$495=4)*('CONTROL MASTER'!$T$2:$T$495&lt;=8)*('CONTROL MASTER'!$V$2:$V$495&gt;=8)*('CONTROL MASTER'!$U$2:$U$495&lt;=6)*('CONTROL MASTER'!$W$2:$W$495&gt;=6))*ROW('CONTROL MASTER'!$S$2:$S$495))-(ROW('CONTROL MASTER'!#REF!)-1)))-INDEX('CONTROL MASTER'!$U$2:$U$495,(SUMPRODUCT((('CONTROL MASTER'!$S$2:$S$495=4)*('CONTROL MASTER'!$T$2:$T$495&lt;=8)*('CONTROL MASTER'!$V$2:$V$495&gt;=8)*('CONTROL MASTER'!$U$2:$U$495&lt;=6)*('CONTROL MASTER'!$W$2:$W$495&gt;=6))*ROW('CONTROL MASTER'!$S$2:$S$495))-(ROW('CONTROL MASTER'!#REF!)-1)))+1)+(6-INDEX('CONTROL MASTER'!$U$2:$U$495,(SUMPRODUCT((('CONTROL MASTER'!$S$2:$S$495=4)*('CONTROL MASTER'!$T$2:$T$495&lt;=8)*('CONTROL MASTER'!$V$2:$V$495&gt;=8)*('CONTROL MASTER'!$U$2:$U$495&lt;=6)*('CONTROL MASTER'!$W$2:$W$495&gt;=6))*ROW('CONTROL MASTER'!$S$2:$S$495))-(ROW('CONTROL MASTER'!#REF!)-1))))+1))-1)*50+1,50))&amp;"_"&amp;INDEX('CONTROL MASTER'!$P$2:$P$495,(SUMPRODUCT((('CONTROL MASTER'!$S$2:$S$495=4)*('CONTROL MASTER'!$T$2:$T$495&lt;=8)*('CONTROL MASTER'!$V$2:$V$495&gt;=8)*('CONTROL MASTER'!$U$2:$U$495&lt;=6)*('CONTROL MASTER'!$W$2:$W$495&gt;=6))*ROW('CONTROL MASTER'!$S$2:$S$495))-(ROW('CONTROL MASTER'!#REF!)-1))),IF(SUMPRODUCT((('CONTROL MASTER'!$S$2:$S$495=4)*('CONTROL MASTER'!$Z$2:$Z$495&lt;=8)*('CONTROL MASTER'!$AB$2:$AB$495&gt;=8)*('CONTROL MASTER'!$AA$2:$AA$495&lt;=6)*('CONTROL MASTER'!$AC$2:$AC$495&gt;=6))*ROW('CONTROL MASTER'!$S$2:$S$495))&gt;0,INDEX('CONTROL MASTER'!$X$2:$X$495,(SUMPRODUCT((('CONTROL MASTER'!$S$2:$S$495=4)*('CONTROL MASTER'!$Z$2:$Z$495&lt;=8)*('CONTROL MASTER'!$AB$2:$AB$495&gt;=8)*('CONTROL MASTER'!$AA$2:$AA$495&lt;=6)*('CONTROL MASTER'!$AC$2:$AC$495&gt;=6))*ROW('CONTROL MASTER'!$S$2:$S$495))-(ROW('CONTROL MASTER'!#REF!)-1)))&amp;TRIM(MID(SUBSTITUTE(SUBSTITUTE(INDEX('CONTROL MASTER'!$N$2:$N$495,(SUMPRODUCT((('CONTROL MASTER'!$S$2:$S$495=4)*('CONTROL MASTER'!$Z$2:$Z$495&lt;=8)*('CONTROL MASTER'!$AB$2:$AB$495&gt;=8)*('CONTROL MASTER'!$AA$2:$AA$495&lt;=6)*('CONTROL MASTER'!$AC$2:$AC$495&gt;=6))*ROW('CONTROL MASTER'!$S$2:$S$495))-(ROW('CONTROL MASTER'!#REF!)-1))),":",","),",",REPT(" ",50)),(((INDEX('CONTROL MASTER'!$Y$2:$Y$495,(SUMPRODUCT((('CONTROL MASTER'!$S$2:$S$495=4)*('CONTROL MASTER'!$Z$2:$Z$495&lt;=8)*('CONTROL MASTER'!$AB$2:$AB$495&gt;=8)*('CONTROL MASTER'!$AA$2:$AA$495&lt;=6)*('CONTROL MASTER'!$AC$2:$AC$495&gt;=6))*ROW('CONTROL MASTER'!$S$2:$S$495))-(ROW('CONTROL MASTER'!#REF!)-1)))+((8-INDEX('CONTROL MASTER'!$Z$2:$Z$495,(SUMPRODUCT((('CONTROL MASTER'!$S$2:$S$495=4)*('CONTROL MASTER'!$Z$2:$Z$495&lt;=8)*('CONTROL MASTER'!$AB$2:$AB$495&gt;=8)*('CONTROL MASTER'!$AA$2:$AA$495&lt;=6)*('CONTROL MASTER'!$AC$2:$AC$495&gt;=6))*ROW('CONTROL MASTER'!$S$2:$S$495))-(ROW('CONTROL MASTER'!#REF!)-1))))*(INDEX('CONTROL MASTER'!$AC$2:$AC$495,(SUMPRODUCT((('CONTROL MASTER'!$S$2:$S$495=4)*('CONTROL MASTER'!$Z$2:$Z$495&lt;=8)*('CONTROL MASTER'!$AB$2:$AB$495&gt;=8)*('CONTROL MASTER'!$AA$2:$AA$495&lt;=6)*('CONTROL MASTER'!$AC$2:$AC$495&gt;=6))*ROW('CONTROL MASTER'!$S$2:$S$495))-(ROW('CONTROL MASTER'!#REF!)-1)))-INDEX('CONTROL MASTER'!$AA$2:$AA$495,(SUMPRODUCT((('CONTROL MASTER'!$S$2:$S$495=4)*('CONTROL MASTER'!$Z$2:$Z$495&lt;=8)*('CONTROL MASTER'!$AB$2:$AB$495&gt;=8)*('CONTROL MASTER'!$AA$2:$AA$495&lt;=6)*('CONTROL MASTER'!$AC$2:$AC$495&gt;=6))*ROW('CONTROL MASTER'!$S$2:$S$495))-(ROW('CONTROL MASTER'!#REF!)-1)))+1)+(6-INDEX('CONTROL MASTER'!$AA$2:$AA$495,(SUMPRODUCT((('CONTROL MASTER'!$S$2:$S$495=4)*('CONTROL MASTER'!$Z$2:$Z$495&lt;=8)*('CONTROL MASTER'!$AB$2:$AB$495&gt;=8)*('CONTROL MASTER'!$AA$2:$AA$495&lt;=6)*('CONTROL MASTER'!$AC$2:$AC$495&gt;=6))*ROW('CONTROL MASTER'!$S$2:$S$495))-(ROW('CONTROL MASTER'!#REF!)-1))))+1)))-1)*50+1,50))&amp;"_"&amp;INDEX('CONTROL MASTER'!$P$2:$P$495,(SUMPRODUCT((('CONTROL MASTER'!$S$2:$S$495=4)*('CONTROL MASTER'!$Z$2:$Z$495&lt;=8)*('CONTROL MASTER'!$AB$2:$AB$495&gt;=8)*('CONTROL MASTER'!$AA$2:$AA$495&lt;=6)*('CONTROL MASTER'!$AC$2:$AC$495&gt;=6))*ROW('CONTROL MASTER'!$S$2:$S$495))-(ROW('CONTROL MASTER'!#REF!)-1))),"")),"")</f>
        <v/>
      </c>
      <c r="H52" s="10" t="str">
        <f>IFERROR(IF(SUMPRODUCT((('CONTROL MASTER'!$S$2:$S$495=4)*('CONTROL MASTER'!$T$2:$T$495&lt;=8)*('CONTROL MASTER'!$V$2:$V$495&gt;=8)*('CONTROL MASTER'!$U$2:$U$495&lt;=7)*('CONTROL MASTER'!$W$2:$W$495&gt;=7))*ROW('CONTROL MASTER'!$S$2:$S$495))&gt;0,INDEX('CONTROL MASTER'!$X$2:$X$495,(SUMPRODUCT((('CONTROL MASTER'!$S$2:$S$495=4)*('CONTROL MASTER'!$T$2:$T$495&lt;=8)*('CONTROL MASTER'!$V$2:$V$495&gt;=8)*('CONTROL MASTER'!$U$2:$U$495&lt;=7)*('CONTROL MASTER'!$W$2:$W$495&gt;=7))*ROW('CONTROL MASTER'!$S$2:$S$495))-(ROW('CONTROL MASTER'!#REF!)-1)))&amp;TRIM(MID(SUBSTITUTE(SUBSTITUTE(INDEX('CONTROL MASTER'!$N$2:$N$495,(SUMPRODUCT((('CONTROL MASTER'!$S$2:$S$495=4)*('CONTROL MASTER'!$T$2:$T$495&lt;=8)*('CONTROL MASTER'!$V$2:$V$495&gt;=8)*('CONTROL MASTER'!$U$2:$U$495&lt;=7)*('CONTROL MASTER'!$W$2:$W$495&gt;=7))*ROW('CONTROL MASTER'!$S$2:$S$495))-(ROW('CONTROL MASTER'!#REF!)-1))),":",","),",",REPT(" ",50)),((((8-INDEX('CONTROL MASTER'!$T$2:$T$495,(SUMPRODUCT((('CONTROL MASTER'!$S$2:$S$495=4)*('CONTROL MASTER'!$T$2:$T$495&lt;=8)*('CONTROL MASTER'!$V$2:$V$495&gt;=8)*('CONTROL MASTER'!$U$2:$U$495&lt;=7)*('CONTROL MASTER'!$W$2:$W$495&gt;=7))*ROW('CONTROL MASTER'!$S$2:$S$495))-(ROW('CONTROL MASTER'!#REF!)-1))))*(INDEX('CONTROL MASTER'!$W$2:$W$495,(SUMPRODUCT((('CONTROL MASTER'!$S$2:$S$495=4)*('CONTROL MASTER'!$T$2:$T$495&lt;=8)*('CONTROL MASTER'!$V$2:$V$495&gt;=8)*('CONTROL MASTER'!$U$2:$U$495&lt;=7)*('CONTROL MASTER'!$W$2:$W$495&gt;=7))*ROW('CONTROL MASTER'!$S$2:$S$495))-(ROW('CONTROL MASTER'!#REF!)-1)))-INDEX('CONTROL MASTER'!$U$2:$U$495,(SUMPRODUCT((('CONTROL MASTER'!$S$2:$S$495=4)*('CONTROL MASTER'!$T$2:$T$495&lt;=8)*('CONTROL MASTER'!$V$2:$V$495&gt;=8)*('CONTROL MASTER'!$U$2:$U$495&lt;=7)*('CONTROL MASTER'!$W$2:$W$495&gt;=7))*ROW('CONTROL MASTER'!$S$2:$S$495))-(ROW('CONTROL MASTER'!#REF!)-1)))+1)+(7-INDEX('CONTROL MASTER'!$U$2:$U$495,(SUMPRODUCT((('CONTROL MASTER'!$S$2:$S$495=4)*('CONTROL MASTER'!$T$2:$T$495&lt;=8)*('CONTROL MASTER'!$V$2:$V$495&gt;=8)*('CONTROL MASTER'!$U$2:$U$495&lt;=7)*('CONTROL MASTER'!$W$2:$W$495&gt;=7))*ROW('CONTROL MASTER'!$S$2:$S$495))-(ROW('CONTROL MASTER'!#REF!)-1))))+1))-1)*50+1,50))&amp;"_"&amp;INDEX('CONTROL MASTER'!$P$2:$P$495,(SUMPRODUCT((('CONTROL MASTER'!$S$2:$S$495=4)*('CONTROL MASTER'!$T$2:$T$495&lt;=8)*('CONTROL MASTER'!$V$2:$V$495&gt;=8)*('CONTROL MASTER'!$U$2:$U$495&lt;=7)*('CONTROL MASTER'!$W$2:$W$495&gt;=7))*ROW('CONTROL MASTER'!$S$2:$S$495))-(ROW('CONTROL MASTER'!#REF!)-1))),IF(SUMPRODUCT((('CONTROL MASTER'!$S$2:$S$495=4)*('CONTROL MASTER'!$Z$2:$Z$495&lt;=8)*('CONTROL MASTER'!$AB$2:$AB$495&gt;=8)*('CONTROL MASTER'!$AA$2:$AA$495&lt;=7)*('CONTROL MASTER'!$AC$2:$AC$495&gt;=7))*ROW('CONTROL MASTER'!$S$2:$S$495))&gt;0,INDEX('CONTROL MASTER'!$X$2:$X$495,(SUMPRODUCT((('CONTROL MASTER'!$S$2:$S$495=4)*('CONTROL MASTER'!$Z$2:$Z$495&lt;=8)*('CONTROL MASTER'!$AB$2:$AB$495&gt;=8)*('CONTROL MASTER'!$AA$2:$AA$495&lt;=7)*('CONTROL MASTER'!$AC$2:$AC$495&gt;=7))*ROW('CONTROL MASTER'!$S$2:$S$495))-(ROW('CONTROL MASTER'!#REF!)-1)))&amp;TRIM(MID(SUBSTITUTE(SUBSTITUTE(INDEX('CONTROL MASTER'!$N$2:$N$495,(SUMPRODUCT((('CONTROL MASTER'!$S$2:$S$495=4)*('CONTROL MASTER'!$Z$2:$Z$495&lt;=8)*('CONTROL MASTER'!$AB$2:$AB$495&gt;=8)*('CONTROL MASTER'!$AA$2:$AA$495&lt;=7)*('CONTROL MASTER'!$AC$2:$AC$495&gt;=7))*ROW('CONTROL MASTER'!$S$2:$S$495))-(ROW('CONTROL MASTER'!#REF!)-1))),":",","),",",REPT(" ",50)),(((INDEX('CONTROL MASTER'!$Y$2:$Y$495,(SUMPRODUCT((('CONTROL MASTER'!$S$2:$S$495=4)*('CONTROL MASTER'!$Z$2:$Z$495&lt;=8)*('CONTROL MASTER'!$AB$2:$AB$495&gt;=8)*('CONTROL MASTER'!$AA$2:$AA$495&lt;=7)*('CONTROL MASTER'!$AC$2:$AC$495&gt;=7))*ROW('CONTROL MASTER'!$S$2:$S$495))-(ROW('CONTROL MASTER'!#REF!)-1)))+((8-INDEX('CONTROL MASTER'!$Z$2:$Z$495,(SUMPRODUCT((('CONTROL MASTER'!$S$2:$S$495=4)*('CONTROL MASTER'!$Z$2:$Z$495&lt;=8)*('CONTROL MASTER'!$AB$2:$AB$495&gt;=8)*('CONTROL MASTER'!$AA$2:$AA$495&lt;=7)*('CONTROL MASTER'!$AC$2:$AC$495&gt;=7))*ROW('CONTROL MASTER'!$S$2:$S$495))-(ROW('CONTROL MASTER'!#REF!)-1))))*(INDEX('CONTROL MASTER'!$AC$2:$AC$495,(SUMPRODUCT((('CONTROL MASTER'!$S$2:$S$495=4)*('CONTROL MASTER'!$Z$2:$Z$495&lt;=8)*('CONTROL MASTER'!$AB$2:$AB$495&gt;=8)*('CONTROL MASTER'!$AA$2:$AA$495&lt;=7)*('CONTROL MASTER'!$AC$2:$AC$495&gt;=7))*ROW('CONTROL MASTER'!$S$2:$S$495))-(ROW('CONTROL MASTER'!#REF!)-1)))-INDEX('CONTROL MASTER'!$AA$2:$AA$495,(SUMPRODUCT((('CONTROL MASTER'!$S$2:$S$495=4)*('CONTROL MASTER'!$Z$2:$Z$495&lt;=8)*('CONTROL MASTER'!$AB$2:$AB$495&gt;=8)*('CONTROL MASTER'!$AA$2:$AA$495&lt;=7)*('CONTROL MASTER'!$AC$2:$AC$495&gt;=7))*ROW('CONTROL MASTER'!$S$2:$S$495))-(ROW('CONTROL MASTER'!#REF!)-1)))+1)+(7-INDEX('CONTROL MASTER'!$AA$2:$AA$495,(SUMPRODUCT((('CONTROL MASTER'!$S$2:$S$495=4)*('CONTROL MASTER'!$Z$2:$Z$495&lt;=8)*('CONTROL MASTER'!$AB$2:$AB$495&gt;=8)*('CONTROL MASTER'!$AA$2:$AA$495&lt;=7)*('CONTROL MASTER'!$AC$2:$AC$495&gt;=7))*ROW('CONTROL MASTER'!$S$2:$S$495))-(ROW('CONTROL MASTER'!#REF!)-1))))+1)))-1)*50+1,50))&amp;"_"&amp;INDEX('CONTROL MASTER'!$P$2:$P$495,(SUMPRODUCT((('CONTROL MASTER'!$S$2:$S$495=4)*('CONTROL MASTER'!$Z$2:$Z$495&lt;=8)*('CONTROL MASTER'!$AB$2:$AB$495&gt;=8)*('CONTROL MASTER'!$AA$2:$AA$495&lt;=7)*('CONTROL MASTER'!$AC$2:$AC$495&gt;=7))*ROW('CONTROL MASTER'!$S$2:$S$495))-(ROW('CONTROL MASTER'!#REF!)-1))),"")),"")</f>
        <v/>
      </c>
      <c r="I52" s="10" t="str">
        <f>IFERROR(IF(SUMPRODUCT((('CONTROL MASTER'!$S$2:$S$495=4)*('CONTROL MASTER'!$T$2:$T$495&lt;=8)*('CONTROL MASTER'!$V$2:$V$495&gt;=8)*('CONTROL MASTER'!$U$2:$U$495&lt;=8)*('CONTROL MASTER'!$W$2:$W$495&gt;=8))*ROW('CONTROL MASTER'!$S$2:$S$495))&gt;0,INDEX('CONTROL MASTER'!$X$2:$X$495,(SUMPRODUCT((('CONTROL MASTER'!$S$2:$S$495=4)*('CONTROL MASTER'!$T$2:$T$495&lt;=8)*('CONTROL MASTER'!$V$2:$V$495&gt;=8)*('CONTROL MASTER'!$U$2:$U$495&lt;=8)*('CONTROL MASTER'!$W$2:$W$495&gt;=8))*ROW('CONTROL MASTER'!$S$2:$S$495))-(ROW('CONTROL MASTER'!#REF!)-1)))&amp;TRIM(MID(SUBSTITUTE(SUBSTITUTE(INDEX('CONTROL MASTER'!$N$2:$N$495,(SUMPRODUCT((('CONTROL MASTER'!$S$2:$S$495=4)*('CONTROL MASTER'!$T$2:$T$495&lt;=8)*('CONTROL MASTER'!$V$2:$V$495&gt;=8)*('CONTROL MASTER'!$U$2:$U$495&lt;=8)*('CONTROL MASTER'!$W$2:$W$495&gt;=8))*ROW('CONTROL MASTER'!$S$2:$S$495))-(ROW('CONTROL MASTER'!#REF!)-1))),":",","),",",REPT(" ",50)),((((8-INDEX('CONTROL MASTER'!$T$2:$T$495,(SUMPRODUCT((('CONTROL MASTER'!$S$2:$S$495=4)*('CONTROL MASTER'!$T$2:$T$495&lt;=8)*('CONTROL MASTER'!$V$2:$V$495&gt;=8)*('CONTROL MASTER'!$U$2:$U$495&lt;=8)*('CONTROL MASTER'!$W$2:$W$495&gt;=8))*ROW('CONTROL MASTER'!$S$2:$S$495))-(ROW('CONTROL MASTER'!#REF!)-1))))*(INDEX('CONTROL MASTER'!$W$2:$W$495,(SUMPRODUCT((('CONTROL MASTER'!$S$2:$S$495=4)*('CONTROL MASTER'!$T$2:$T$495&lt;=8)*('CONTROL MASTER'!$V$2:$V$495&gt;=8)*('CONTROL MASTER'!$U$2:$U$495&lt;=8)*('CONTROL MASTER'!$W$2:$W$495&gt;=8))*ROW('CONTROL MASTER'!$S$2:$S$495))-(ROW('CONTROL MASTER'!#REF!)-1)))-INDEX('CONTROL MASTER'!$U$2:$U$495,(SUMPRODUCT((('CONTROL MASTER'!$S$2:$S$495=4)*('CONTROL MASTER'!$T$2:$T$495&lt;=8)*('CONTROL MASTER'!$V$2:$V$495&gt;=8)*('CONTROL MASTER'!$U$2:$U$495&lt;=8)*('CONTROL MASTER'!$W$2:$W$495&gt;=8))*ROW('CONTROL MASTER'!$S$2:$S$495))-(ROW('CONTROL MASTER'!#REF!)-1)))+1)+(8-INDEX('CONTROL MASTER'!$U$2:$U$495,(SUMPRODUCT((('CONTROL MASTER'!$S$2:$S$495=4)*('CONTROL MASTER'!$T$2:$T$495&lt;=8)*('CONTROL MASTER'!$V$2:$V$495&gt;=8)*('CONTROL MASTER'!$U$2:$U$495&lt;=8)*('CONTROL MASTER'!$W$2:$W$495&gt;=8))*ROW('CONTROL MASTER'!$S$2:$S$495))-(ROW('CONTROL MASTER'!#REF!)-1))))+1))-1)*50+1,50))&amp;"_"&amp;INDEX('CONTROL MASTER'!$P$2:$P$495,(SUMPRODUCT((('CONTROL MASTER'!$S$2:$S$495=4)*('CONTROL MASTER'!$T$2:$T$495&lt;=8)*('CONTROL MASTER'!$V$2:$V$495&gt;=8)*('CONTROL MASTER'!$U$2:$U$495&lt;=8)*('CONTROL MASTER'!$W$2:$W$495&gt;=8))*ROW('CONTROL MASTER'!$S$2:$S$495))-(ROW('CONTROL MASTER'!#REF!)-1))),IF(SUMPRODUCT((('CONTROL MASTER'!$S$2:$S$495=4)*('CONTROL MASTER'!$Z$2:$Z$495&lt;=8)*('CONTROL MASTER'!$AB$2:$AB$495&gt;=8)*('CONTROL MASTER'!$AA$2:$AA$495&lt;=8)*('CONTROL MASTER'!$AC$2:$AC$495&gt;=8))*ROW('CONTROL MASTER'!$S$2:$S$495))&gt;0,INDEX('CONTROL MASTER'!$X$2:$X$495,(SUMPRODUCT((('CONTROL MASTER'!$S$2:$S$495=4)*('CONTROL MASTER'!$Z$2:$Z$495&lt;=8)*('CONTROL MASTER'!$AB$2:$AB$495&gt;=8)*('CONTROL MASTER'!$AA$2:$AA$495&lt;=8)*('CONTROL MASTER'!$AC$2:$AC$495&gt;=8))*ROW('CONTROL MASTER'!$S$2:$S$495))-(ROW('CONTROL MASTER'!#REF!)-1)))&amp;TRIM(MID(SUBSTITUTE(SUBSTITUTE(INDEX('CONTROL MASTER'!$N$2:$N$495,(SUMPRODUCT((('CONTROL MASTER'!$S$2:$S$495=4)*('CONTROL MASTER'!$Z$2:$Z$495&lt;=8)*('CONTROL MASTER'!$AB$2:$AB$495&gt;=8)*('CONTROL MASTER'!$AA$2:$AA$495&lt;=8)*('CONTROL MASTER'!$AC$2:$AC$495&gt;=8))*ROW('CONTROL MASTER'!$S$2:$S$495))-(ROW('CONTROL MASTER'!#REF!)-1))),":",","),",",REPT(" ",50)),(((INDEX('CONTROL MASTER'!$Y$2:$Y$495,(SUMPRODUCT((('CONTROL MASTER'!$S$2:$S$495=4)*('CONTROL MASTER'!$Z$2:$Z$495&lt;=8)*('CONTROL MASTER'!$AB$2:$AB$495&gt;=8)*('CONTROL MASTER'!$AA$2:$AA$495&lt;=8)*('CONTROL MASTER'!$AC$2:$AC$495&gt;=8))*ROW('CONTROL MASTER'!$S$2:$S$495))-(ROW('CONTROL MASTER'!#REF!)-1)))+((8-INDEX('CONTROL MASTER'!$Z$2:$Z$495,(SUMPRODUCT((('CONTROL MASTER'!$S$2:$S$495=4)*('CONTROL MASTER'!$Z$2:$Z$495&lt;=8)*('CONTROL MASTER'!$AB$2:$AB$495&gt;=8)*('CONTROL MASTER'!$AA$2:$AA$495&lt;=8)*('CONTROL MASTER'!$AC$2:$AC$495&gt;=8))*ROW('CONTROL MASTER'!$S$2:$S$495))-(ROW('CONTROL MASTER'!#REF!)-1))))*(INDEX('CONTROL MASTER'!$AC$2:$AC$495,(SUMPRODUCT((('CONTROL MASTER'!$S$2:$S$495=4)*('CONTROL MASTER'!$Z$2:$Z$495&lt;=8)*('CONTROL MASTER'!$AB$2:$AB$495&gt;=8)*('CONTROL MASTER'!$AA$2:$AA$495&lt;=8)*('CONTROL MASTER'!$AC$2:$AC$495&gt;=8))*ROW('CONTROL MASTER'!$S$2:$S$495))-(ROW('CONTROL MASTER'!#REF!)-1)))-INDEX('CONTROL MASTER'!$AA$2:$AA$495,(SUMPRODUCT((('CONTROL MASTER'!$S$2:$S$495=4)*('CONTROL MASTER'!$Z$2:$Z$495&lt;=8)*('CONTROL MASTER'!$AB$2:$AB$495&gt;=8)*('CONTROL MASTER'!$AA$2:$AA$495&lt;=8)*('CONTROL MASTER'!$AC$2:$AC$495&gt;=8))*ROW('CONTROL MASTER'!$S$2:$S$495))-(ROW('CONTROL MASTER'!#REF!)-1)))+1)+(8-INDEX('CONTROL MASTER'!$AA$2:$AA$495,(SUMPRODUCT((('CONTROL MASTER'!$S$2:$S$495=4)*('CONTROL MASTER'!$Z$2:$Z$495&lt;=8)*('CONTROL MASTER'!$AB$2:$AB$495&gt;=8)*('CONTROL MASTER'!$AA$2:$AA$495&lt;=8)*('CONTROL MASTER'!$AC$2:$AC$495&gt;=8))*ROW('CONTROL MASTER'!$S$2:$S$495))-(ROW('CONTROL MASTER'!#REF!)-1))))+1)))-1)*50+1,50))&amp;"_"&amp;INDEX('CONTROL MASTER'!$P$2:$P$495,(SUMPRODUCT((('CONTROL MASTER'!$S$2:$S$495=4)*('CONTROL MASTER'!$Z$2:$Z$495&lt;=8)*('CONTROL MASTER'!$AB$2:$AB$495&gt;=8)*('CONTROL MASTER'!$AA$2:$AA$495&lt;=8)*('CONTROL MASTER'!$AC$2:$AC$495&gt;=8))*ROW('CONTROL MASTER'!$S$2:$S$495))-(ROW('CONTROL MASTER'!#REF!)-1))),"")),"")</f>
        <v/>
      </c>
      <c r="J52" s="10" t="str">
        <f>IFERROR(IF(SUMPRODUCT((('CONTROL MASTER'!$S$2:$S$495=4)*('CONTROL MASTER'!$T$2:$T$495&lt;=8)*('CONTROL MASTER'!$V$2:$V$495&gt;=8)*('CONTROL MASTER'!$U$2:$U$495&lt;=9)*('CONTROL MASTER'!$W$2:$W$495&gt;=9))*ROW('CONTROL MASTER'!$S$2:$S$495))&gt;0,INDEX('CONTROL MASTER'!$X$2:$X$495,(SUMPRODUCT((('CONTROL MASTER'!$S$2:$S$495=4)*('CONTROL MASTER'!$T$2:$T$495&lt;=8)*('CONTROL MASTER'!$V$2:$V$495&gt;=8)*('CONTROL MASTER'!$U$2:$U$495&lt;=9)*('CONTROL MASTER'!$W$2:$W$495&gt;=9))*ROW('CONTROL MASTER'!$S$2:$S$495))-(ROW('CONTROL MASTER'!#REF!)-1)))&amp;TRIM(MID(SUBSTITUTE(SUBSTITUTE(INDEX('CONTROL MASTER'!$N$2:$N$495,(SUMPRODUCT((('CONTROL MASTER'!$S$2:$S$495=4)*('CONTROL MASTER'!$T$2:$T$495&lt;=8)*('CONTROL MASTER'!$V$2:$V$495&gt;=8)*('CONTROL MASTER'!$U$2:$U$495&lt;=9)*('CONTROL MASTER'!$W$2:$W$495&gt;=9))*ROW('CONTROL MASTER'!$S$2:$S$495))-(ROW('CONTROL MASTER'!#REF!)-1))),":",","),",",REPT(" ",50)),((((8-INDEX('CONTROL MASTER'!$T$2:$T$495,(SUMPRODUCT((('CONTROL MASTER'!$S$2:$S$495=4)*('CONTROL MASTER'!$T$2:$T$495&lt;=8)*('CONTROL MASTER'!$V$2:$V$495&gt;=8)*('CONTROL MASTER'!$U$2:$U$495&lt;=9)*('CONTROL MASTER'!$W$2:$W$495&gt;=9))*ROW('CONTROL MASTER'!$S$2:$S$495))-(ROW('CONTROL MASTER'!#REF!)-1))))*(INDEX('CONTROL MASTER'!$W$2:$W$495,(SUMPRODUCT((('CONTROL MASTER'!$S$2:$S$495=4)*('CONTROL MASTER'!$T$2:$T$495&lt;=8)*('CONTROL MASTER'!$V$2:$V$495&gt;=8)*('CONTROL MASTER'!$U$2:$U$495&lt;=9)*('CONTROL MASTER'!$W$2:$W$495&gt;=9))*ROW('CONTROL MASTER'!$S$2:$S$495))-(ROW('CONTROL MASTER'!#REF!)-1)))-INDEX('CONTROL MASTER'!$U$2:$U$495,(SUMPRODUCT((('CONTROL MASTER'!$S$2:$S$495=4)*('CONTROL MASTER'!$T$2:$T$495&lt;=8)*('CONTROL MASTER'!$V$2:$V$495&gt;=8)*('CONTROL MASTER'!$U$2:$U$495&lt;=9)*('CONTROL MASTER'!$W$2:$W$495&gt;=9))*ROW('CONTROL MASTER'!$S$2:$S$495))-(ROW('CONTROL MASTER'!#REF!)-1)))+1)+(9-INDEX('CONTROL MASTER'!$U$2:$U$495,(SUMPRODUCT((('CONTROL MASTER'!$S$2:$S$495=4)*('CONTROL MASTER'!$T$2:$T$495&lt;=8)*('CONTROL MASTER'!$V$2:$V$495&gt;=8)*('CONTROL MASTER'!$U$2:$U$495&lt;=9)*('CONTROL MASTER'!$W$2:$W$495&gt;=9))*ROW('CONTROL MASTER'!$S$2:$S$495))-(ROW('CONTROL MASTER'!#REF!)-1))))+1))-1)*50+1,50))&amp;"_"&amp;INDEX('CONTROL MASTER'!$P$2:$P$495,(SUMPRODUCT((('CONTROL MASTER'!$S$2:$S$495=4)*('CONTROL MASTER'!$T$2:$T$495&lt;=8)*('CONTROL MASTER'!$V$2:$V$495&gt;=8)*('CONTROL MASTER'!$U$2:$U$495&lt;=9)*('CONTROL MASTER'!$W$2:$W$495&gt;=9))*ROW('CONTROL MASTER'!$S$2:$S$495))-(ROW('CONTROL MASTER'!#REF!)-1))),IF(SUMPRODUCT((('CONTROL MASTER'!$S$2:$S$495=4)*('CONTROL MASTER'!$Z$2:$Z$495&lt;=8)*('CONTROL MASTER'!$AB$2:$AB$495&gt;=8)*('CONTROL MASTER'!$AA$2:$AA$495&lt;=9)*('CONTROL MASTER'!$AC$2:$AC$495&gt;=9))*ROW('CONTROL MASTER'!$S$2:$S$495))&gt;0,INDEX('CONTROL MASTER'!$X$2:$X$495,(SUMPRODUCT((('CONTROL MASTER'!$S$2:$S$495=4)*('CONTROL MASTER'!$Z$2:$Z$495&lt;=8)*('CONTROL MASTER'!$AB$2:$AB$495&gt;=8)*('CONTROL MASTER'!$AA$2:$AA$495&lt;=9)*('CONTROL MASTER'!$AC$2:$AC$495&gt;=9))*ROW('CONTROL MASTER'!$S$2:$S$495))-(ROW('CONTROL MASTER'!#REF!)-1)))&amp;TRIM(MID(SUBSTITUTE(SUBSTITUTE(INDEX('CONTROL MASTER'!$N$2:$N$495,(SUMPRODUCT((('CONTROL MASTER'!$S$2:$S$495=4)*('CONTROL MASTER'!$Z$2:$Z$495&lt;=8)*('CONTROL MASTER'!$AB$2:$AB$495&gt;=8)*('CONTROL MASTER'!$AA$2:$AA$495&lt;=9)*('CONTROL MASTER'!$AC$2:$AC$495&gt;=9))*ROW('CONTROL MASTER'!$S$2:$S$495))-(ROW('CONTROL MASTER'!#REF!)-1))),":",","),",",REPT(" ",50)),(((INDEX('CONTROL MASTER'!$Y$2:$Y$495,(SUMPRODUCT((('CONTROL MASTER'!$S$2:$S$495=4)*('CONTROL MASTER'!$Z$2:$Z$495&lt;=8)*('CONTROL MASTER'!$AB$2:$AB$495&gt;=8)*('CONTROL MASTER'!$AA$2:$AA$495&lt;=9)*('CONTROL MASTER'!$AC$2:$AC$495&gt;=9))*ROW('CONTROL MASTER'!$S$2:$S$495))-(ROW('CONTROL MASTER'!#REF!)-1)))+((8-INDEX('CONTROL MASTER'!$Z$2:$Z$495,(SUMPRODUCT((('CONTROL MASTER'!$S$2:$S$495=4)*('CONTROL MASTER'!$Z$2:$Z$495&lt;=8)*('CONTROL MASTER'!$AB$2:$AB$495&gt;=8)*('CONTROL MASTER'!$AA$2:$AA$495&lt;=9)*('CONTROL MASTER'!$AC$2:$AC$495&gt;=9))*ROW('CONTROL MASTER'!$S$2:$S$495))-(ROW('CONTROL MASTER'!#REF!)-1))))*(INDEX('CONTROL MASTER'!$AC$2:$AC$495,(SUMPRODUCT((('CONTROL MASTER'!$S$2:$S$495=4)*('CONTROL MASTER'!$Z$2:$Z$495&lt;=8)*('CONTROL MASTER'!$AB$2:$AB$495&gt;=8)*('CONTROL MASTER'!$AA$2:$AA$495&lt;=9)*('CONTROL MASTER'!$AC$2:$AC$495&gt;=9))*ROW('CONTROL MASTER'!$S$2:$S$495))-(ROW('CONTROL MASTER'!#REF!)-1)))-INDEX('CONTROL MASTER'!$AA$2:$AA$495,(SUMPRODUCT((('CONTROL MASTER'!$S$2:$S$495=4)*('CONTROL MASTER'!$Z$2:$Z$495&lt;=8)*('CONTROL MASTER'!$AB$2:$AB$495&gt;=8)*('CONTROL MASTER'!$AA$2:$AA$495&lt;=9)*('CONTROL MASTER'!$AC$2:$AC$495&gt;=9))*ROW('CONTROL MASTER'!$S$2:$S$495))-(ROW('CONTROL MASTER'!#REF!)-1)))+1)+(9-INDEX('CONTROL MASTER'!$AA$2:$AA$495,(SUMPRODUCT((('CONTROL MASTER'!$S$2:$S$495=4)*('CONTROL MASTER'!$Z$2:$Z$495&lt;=8)*('CONTROL MASTER'!$AB$2:$AB$495&gt;=8)*('CONTROL MASTER'!$AA$2:$AA$495&lt;=9)*('CONTROL MASTER'!$AC$2:$AC$495&gt;=9))*ROW('CONTROL MASTER'!$S$2:$S$495))-(ROW('CONTROL MASTER'!#REF!)-1))))+1)))-1)*50+1,50))&amp;"_"&amp;INDEX('CONTROL MASTER'!$P$2:$P$495,(SUMPRODUCT((('CONTROL MASTER'!$S$2:$S$495=4)*('CONTROL MASTER'!$Z$2:$Z$495&lt;=8)*('CONTROL MASTER'!$AB$2:$AB$495&gt;=8)*('CONTROL MASTER'!$AA$2:$AA$495&lt;=9)*('CONTROL MASTER'!$AC$2:$AC$495&gt;=9))*ROW('CONTROL MASTER'!$S$2:$S$495))-(ROW('CONTROL MASTER'!#REF!)-1))),"")),"")</f>
        <v/>
      </c>
      <c r="K52" s="10" t="str">
        <f>IFERROR(IF(SUMPRODUCT((('CONTROL MASTER'!$S$2:$S$495=4)*('CONTROL MASTER'!$T$2:$T$495&lt;=8)*('CONTROL MASTER'!$V$2:$V$495&gt;=8)*('CONTROL MASTER'!$U$2:$U$495&lt;=10)*('CONTROL MASTER'!$W$2:$W$495&gt;=10))*ROW('CONTROL MASTER'!$S$2:$S$495))&gt;0,INDEX('CONTROL MASTER'!$X$2:$X$495,(SUMPRODUCT((('CONTROL MASTER'!$S$2:$S$495=4)*('CONTROL MASTER'!$T$2:$T$495&lt;=8)*('CONTROL MASTER'!$V$2:$V$495&gt;=8)*('CONTROL MASTER'!$U$2:$U$495&lt;=10)*('CONTROL MASTER'!$W$2:$W$495&gt;=10))*ROW('CONTROL MASTER'!$S$2:$S$495))-(ROW('CONTROL MASTER'!#REF!)-1)))&amp;TRIM(MID(SUBSTITUTE(SUBSTITUTE(INDEX('CONTROL MASTER'!$N$2:$N$495,(SUMPRODUCT((('CONTROL MASTER'!$S$2:$S$495=4)*('CONTROL MASTER'!$T$2:$T$495&lt;=8)*('CONTROL MASTER'!$V$2:$V$495&gt;=8)*('CONTROL MASTER'!$U$2:$U$495&lt;=10)*('CONTROL MASTER'!$W$2:$W$495&gt;=10))*ROW('CONTROL MASTER'!$S$2:$S$495))-(ROW('CONTROL MASTER'!#REF!)-1))),":",","),",",REPT(" ",50)),((((8-INDEX('CONTROL MASTER'!$T$2:$T$495,(SUMPRODUCT((('CONTROL MASTER'!$S$2:$S$495=4)*('CONTROL MASTER'!$T$2:$T$495&lt;=8)*('CONTROL MASTER'!$V$2:$V$495&gt;=8)*('CONTROL MASTER'!$U$2:$U$495&lt;=10)*('CONTROL MASTER'!$W$2:$W$495&gt;=10))*ROW('CONTROL MASTER'!$S$2:$S$495))-(ROW('CONTROL MASTER'!#REF!)-1))))*(INDEX('CONTROL MASTER'!$W$2:$W$495,(SUMPRODUCT((('CONTROL MASTER'!$S$2:$S$495=4)*('CONTROL MASTER'!$T$2:$T$495&lt;=8)*('CONTROL MASTER'!$V$2:$V$495&gt;=8)*('CONTROL MASTER'!$U$2:$U$495&lt;=10)*('CONTROL MASTER'!$W$2:$W$495&gt;=10))*ROW('CONTROL MASTER'!$S$2:$S$495))-(ROW('CONTROL MASTER'!#REF!)-1)))-INDEX('CONTROL MASTER'!$U$2:$U$495,(SUMPRODUCT((('CONTROL MASTER'!$S$2:$S$495=4)*('CONTROL MASTER'!$T$2:$T$495&lt;=8)*('CONTROL MASTER'!$V$2:$V$495&gt;=8)*('CONTROL MASTER'!$U$2:$U$495&lt;=10)*('CONTROL MASTER'!$W$2:$W$495&gt;=10))*ROW('CONTROL MASTER'!$S$2:$S$495))-(ROW('CONTROL MASTER'!#REF!)-1)))+1)+(10-INDEX('CONTROL MASTER'!$U$2:$U$495,(SUMPRODUCT((('CONTROL MASTER'!$S$2:$S$495=4)*('CONTROL MASTER'!$T$2:$T$495&lt;=8)*('CONTROL MASTER'!$V$2:$V$495&gt;=8)*('CONTROL MASTER'!$U$2:$U$495&lt;=10)*('CONTROL MASTER'!$W$2:$W$495&gt;=10))*ROW('CONTROL MASTER'!$S$2:$S$495))-(ROW('CONTROL MASTER'!#REF!)-1))))+1))-1)*50+1,50))&amp;"_"&amp;INDEX('CONTROL MASTER'!$P$2:$P$495,(SUMPRODUCT((('CONTROL MASTER'!$S$2:$S$495=4)*('CONTROL MASTER'!$T$2:$T$495&lt;=8)*('CONTROL MASTER'!$V$2:$V$495&gt;=8)*('CONTROL MASTER'!$U$2:$U$495&lt;=10)*('CONTROL MASTER'!$W$2:$W$495&gt;=10))*ROW('CONTROL MASTER'!$S$2:$S$495))-(ROW('CONTROL MASTER'!#REF!)-1))),IF(SUMPRODUCT((('CONTROL MASTER'!$S$2:$S$495=4)*('CONTROL MASTER'!$Z$2:$Z$495&lt;=8)*('CONTROL MASTER'!$AB$2:$AB$495&gt;=8)*('CONTROL MASTER'!$AA$2:$AA$495&lt;=10)*('CONTROL MASTER'!$AC$2:$AC$495&gt;=10))*ROW('CONTROL MASTER'!$S$2:$S$495))&gt;0,INDEX('CONTROL MASTER'!$X$2:$X$495,(SUMPRODUCT((('CONTROL MASTER'!$S$2:$S$495=4)*('CONTROL MASTER'!$Z$2:$Z$495&lt;=8)*('CONTROL MASTER'!$AB$2:$AB$495&gt;=8)*('CONTROL MASTER'!$AA$2:$AA$495&lt;=10)*('CONTROL MASTER'!$AC$2:$AC$495&gt;=10))*ROW('CONTROL MASTER'!$S$2:$S$495))-(ROW('CONTROL MASTER'!#REF!)-1)))&amp;TRIM(MID(SUBSTITUTE(SUBSTITUTE(INDEX('CONTROL MASTER'!$N$2:$N$495,(SUMPRODUCT((('CONTROL MASTER'!$S$2:$S$495=4)*('CONTROL MASTER'!$Z$2:$Z$495&lt;=8)*('CONTROL MASTER'!$AB$2:$AB$495&gt;=8)*('CONTROL MASTER'!$AA$2:$AA$495&lt;=10)*('CONTROL MASTER'!$AC$2:$AC$495&gt;=10))*ROW('CONTROL MASTER'!$S$2:$S$495))-(ROW('CONTROL MASTER'!#REF!)-1))),":",","),",",REPT(" ",50)),(((INDEX('CONTROL MASTER'!$Y$2:$Y$495,(SUMPRODUCT((('CONTROL MASTER'!$S$2:$S$495=4)*('CONTROL MASTER'!$Z$2:$Z$495&lt;=8)*('CONTROL MASTER'!$AB$2:$AB$495&gt;=8)*('CONTROL MASTER'!$AA$2:$AA$495&lt;=10)*('CONTROL MASTER'!$AC$2:$AC$495&gt;=10))*ROW('CONTROL MASTER'!$S$2:$S$495))-(ROW('CONTROL MASTER'!#REF!)-1)))+((8-INDEX('CONTROL MASTER'!$Z$2:$Z$495,(SUMPRODUCT((('CONTROL MASTER'!$S$2:$S$495=4)*('CONTROL MASTER'!$Z$2:$Z$495&lt;=8)*('CONTROL MASTER'!$AB$2:$AB$495&gt;=8)*('CONTROL MASTER'!$AA$2:$AA$495&lt;=10)*('CONTROL MASTER'!$AC$2:$AC$495&gt;=10))*ROW('CONTROL MASTER'!$S$2:$S$495))-(ROW('CONTROL MASTER'!#REF!)-1))))*(INDEX('CONTROL MASTER'!$AC$2:$AC$495,(SUMPRODUCT((('CONTROL MASTER'!$S$2:$S$495=4)*('CONTROL MASTER'!$Z$2:$Z$495&lt;=8)*('CONTROL MASTER'!$AB$2:$AB$495&gt;=8)*('CONTROL MASTER'!$AA$2:$AA$495&lt;=10)*('CONTROL MASTER'!$AC$2:$AC$495&gt;=10))*ROW('CONTROL MASTER'!$S$2:$S$495))-(ROW('CONTROL MASTER'!#REF!)-1)))-INDEX('CONTROL MASTER'!$AA$2:$AA$495,(SUMPRODUCT((('CONTROL MASTER'!$S$2:$S$495=4)*('CONTROL MASTER'!$Z$2:$Z$495&lt;=8)*('CONTROL MASTER'!$AB$2:$AB$495&gt;=8)*('CONTROL MASTER'!$AA$2:$AA$495&lt;=10)*('CONTROL MASTER'!$AC$2:$AC$495&gt;=10))*ROW('CONTROL MASTER'!$S$2:$S$495))-(ROW('CONTROL MASTER'!#REF!)-1)))+1)+(10-INDEX('CONTROL MASTER'!$AA$2:$AA$495,(SUMPRODUCT((('CONTROL MASTER'!$S$2:$S$495=4)*('CONTROL MASTER'!$Z$2:$Z$495&lt;=8)*('CONTROL MASTER'!$AB$2:$AB$495&gt;=8)*('CONTROL MASTER'!$AA$2:$AA$495&lt;=10)*('CONTROL MASTER'!$AC$2:$AC$495&gt;=10))*ROW('CONTROL MASTER'!$S$2:$S$495))-(ROW('CONTROL MASTER'!#REF!)-1))))+1)))-1)*50+1,50))&amp;"_"&amp;INDEX('CONTROL MASTER'!$P$2:$P$495,(SUMPRODUCT((('CONTROL MASTER'!$S$2:$S$495=4)*('CONTROL MASTER'!$Z$2:$Z$495&lt;=8)*('CONTROL MASTER'!$AB$2:$AB$495&gt;=8)*('CONTROL MASTER'!$AA$2:$AA$495&lt;=10)*('CONTROL MASTER'!$AC$2:$AC$495&gt;=10))*ROW('CONTROL MASTER'!$S$2:$S$495))-(ROW('CONTROL MASTER'!#REF!)-1))),"")),"")</f>
        <v/>
      </c>
    </row>
    <row r="53" spans="1:11" ht="15" customHeight="1" x14ac:dyDescent="0.35">
      <c r="A53" s="8" t="s">
        <v>81</v>
      </c>
      <c r="B53" s="10" t="str">
        <f>IFERROR(IF(SUMPRODUCT((('CONTROL MASTER'!$S$2:$S$495=4)*('CONTROL MASTER'!$T$2:$T$495&lt;=9)*('CONTROL MASTER'!$V$2:$V$495&gt;=9)*('CONTROL MASTER'!$U$2:$U$495&lt;=1)*('CONTROL MASTER'!$W$2:$W$495&gt;=1))*ROW('CONTROL MASTER'!$S$2:$S$495))&gt;0,INDEX('CONTROL MASTER'!$X$2:$X$495,(SUMPRODUCT((('CONTROL MASTER'!$S$2:$S$495=4)*('CONTROL MASTER'!$T$2:$T$495&lt;=9)*('CONTROL MASTER'!$V$2:$V$495&gt;=9)*('CONTROL MASTER'!$U$2:$U$495&lt;=1)*('CONTROL MASTER'!$W$2:$W$495&gt;=1))*ROW('CONTROL MASTER'!$S$2:$S$495))-(ROW('CONTROL MASTER'!#REF!)-1)))&amp;TRIM(MID(SUBSTITUTE(SUBSTITUTE(INDEX('CONTROL MASTER'!$N$2:$N$495,(SUMPRODUCT((('CONTROL MASTER'!$S$2:$S$495=4)*('CONTROL MASTER'!$T$2:$T$495&lt;=9)*('CONTROL MASTER'!$V$2:$V$495&gt;=9)*('CONTROL MASTER'!$U$2:$U$495&lt;=1)*('CONTROL MASTER'!$W$2:$W$495&gt;=1))*ROW('CONTROL MASTER'!$S$2:$S$495))-(ROW('CONTROL MASTER'!#REF!)-1))),":",","),",",REPT(" ",50)),((((9-INDEX('CONTROL MASTER'!$T$2:$T$495,(SUMPRODUCT((('CONTROL MASTER'!$S$2:$S$495=4)*('CONTROL MASTER'!$T$2:$T$495&lt;=9)*('CONTROL MASTER'!$V$2:$V$495&gt;=9)*('CONTROL MASTER'!$U$2:$U$495&lt;=1)*('CONTROL MASTER'!$W$2:$W$495&gt;=1))*ROW('CONTROL MASTER'!$S$2:$S$495))-(ROW('CONTROL MASTER'!#REF!)-1))))*(INDEX('CONTROL MASTER'!$W$2:$W$495,(SUMPRODUCT((('CONTROL MASTER'!$S$2:$S$495=4)*('CONTROL MASTER'!$T$2:$T$495&lt;=9)*('CONTROL MASTER'!$V$2:$V$495&gt;=9)*('CONTROL MASTER'!$U$2:$U$495&lt;=1)*('CONTROL MASTER'!$W$2:$W$495&gt;=1))*ROW('CONTROL MASTER'!$S$2:$S$495))-(ROW('CONTROL MASTER'!#REF!)-1)))-INDEX('CONTROL MASTER'!$U$2:$U$495,(SUMPRODUCT((('CONTROL MASTER'!$S$2:$S$495=4)*('CONTROL MASTER'!$T$2:$T$495&lt;=9)*('CONTROL MASTER'!$V$2:$V$495&gt;=9)*('CONTROL MASTER'!$U$2:$U$495&lt;=1)*('CONTROL MASTER'!$W$2:$W$495&gt;=1))*ROW('CONTROL MASTER'!$S$2:$S$495))-(ROW('CONTROL MASTER'!#REF!)-1)))+1)+(1-INDEX('CONTROL MASTER'!$U$2:$U$495,(SUMPRODUCT((('CONTROL MASTER'!$S$2:$S$495=4)*('CONTROL MASTER'!$T$2:$T$495&lt;=9)*('CONTROL MASTER'!$V$2:$V$495&gt;=9)*('CONTROL MASTER'!$U$2:$U$495&lt;=1)*('CONTROL MASTER'!$W$2:$W$495&gt;=1))*ROW('CONTROL MASTER'!$S$2:$S$495))-(ROW('CONTROL MASTER'!#REF!)-1))))+1))-1)*50+1,50))&amp;"_"&amp;INDEX('CONTROL MASTER'!$P$2:$P$495,(SUMPRODUCT((('CONTROL MASTER'!$S$2:$S$495=4)*('CONTROL MASTER'!$T$2:$T$495&lt;=9)*('CONTROL MASTER'!$V$2:$V$495&gt;=9)*('CONTROL MASTER'!$U$2:$U$495&lt;=1)*('CONTROL MASTER'!$W$2:$W$495&gt;=1))*ROW('CONTROL MASTER'!$S$2:$S$495))-(ROW('CONTROL MASTER'!#REF!)-1))),IF(SUMPRODUCT((('CONTROL MASTER'!$S$2:$S$495=4)*('CONTROL MASTER'!$Z$2:$Z$495&lt;=9)*('CONTROL MASTER'!$AB$2:$AB$495&gt;=9)*('CONTROL MASTER'!$AA$2:$AA$495&lt;=1)*('CONTROL MASTER'!$AC$2:$AC$495&gt;=1))*ROW('CONTROL MASTER'!$S$2:$S$495))&gt;0,INDEX('CONTROL MASTER'!$X$2:$X$495,(SUMPRODUCT((('CONTROL MASTER'!$S$2:$S$495=4)*('CONTROL MASTER'!$Z$2:$Z$495&lt;=9)*('CONTROL MASTER'!$AB$2:$AB$495&gt;=9)*('CONTROL MASTER'!$AA$2:$AA$495&lt;=1)*('CONTROL MASTER'!$AC$2:$AC$495&gt;=1))*ROW('CONTROL MASTER'!$S$2:$S$495))-(ROW('CONTROL MASTER'!#REF!)-1)))&amp;TRIM(MID(SUBSTITUTE(SUBSTITUTE(INDEX('CONTROL MASTER'!$N$2:$N$495,(SUMPRODUCT((('CONTROL MASTER'!$S$2:$S$495=4)*('CONTROL MASTER'!$Z$2:$Z$495&lt;=9)*('CONTROL MASTER'!$AB$2:$AB$495&gt;=9)*('CONTROL MASTER'!$AA$2:$AA$495&lt;=1)*('CONTROL MASTER'!$AC$2:$AC$495&gt;=1))*ROW('CONTROL MASTER'!$S$2:$S$495))-(ROW('CONTROL MASTER'!#REF!)-1))),":",","),",",REPT(" ",50)),(((INDEX('CONTROL MASTER'!$Y$2:$Y$495,(SUMPRODUCT((('CONTROL MASTER'!$S$2:$S$495=4)*('CONTROL MASTER'!$Z$2:$Z$495&lt;=9)*('CONTROL MASTER'!$AB$2:$AB$495&gt;=9)*('CONTROL MASTER'!$AA$2:$AA$495&lt;=1)*('CONTROL MASTER'!$AC$2:$AC$495&gt;=1))*ROW('CONTROL MASTER'!$S$2:$S$495))-(ROW('CONTROL MASTER'!#REF!)-1)))+((9-INDEX('CONTROL MASTER'!$Z$2:$Z$495,(SUMPRODUCT((('CONTROL MASTER'!$S$2:$S$495=4)*('CONTROL MASTER'!$Z$2:$Z$495&lt;=9)*('CONTROL MASTER'!$AB$2:$AB$495&gt;=9)*('CONTROL MASTER'!$AA$2:$AA$495&lt;=1)*('CONTROL MASTER'!$AC$2:$AC$495&gt;=1))*ROW('CONTROL MASTER'!$S$2:$S$495))-(ROW('CONTROL MASTER'!#REF!)-1))))*(INDEX('CONTROL MASTER'!$AC$2:$AC$495,(SUMPRODUCT((('CONTROL MASTER'!$S$2:$S$495=4)*('CONTROL MASTER'!$Z$2:$Z$495&lt;=9)*('CONTROL MASTER'!$AB$2:$AB$495&gt;=9)*('CONTROL MASTER'!$AA$2:$AA$495&lt;=1)*('CONTROL MASTER'!$AC$2:$AC$495&gt;=1))*ROW('CONTROL MASTER'!$S$2:$S$495))-(ROW('CONTROL MASTER'!#REF!)-1)))-INDEX('CONTROL MASTER'!$AA$2:$AA$495,(SUMPRODUCT((('CONTROL MASTER'!$S$2:$S$495=4)*('CONTROL MASTER'!$Z$2:$Z$495&lt;=9)*('CONTROL MASTER'!$AB$2:$AB$495&gt;=9)*('CONTROL MASTER'!$AA$2:$AA$495&lt;=1)*('CONTROL MASTER'!$AC$2:$AC$495&gt;=1))*ROW('CONTROL MASTER'!$S$2:$S$495))-(ROW('CONTROL MASTER'!#REF!)-1)))+1)+(1-INDEX('CONTROL MASTER'!$AA$2:$AA$495,(SUMPRODUCT((('CONTROL MASTER'!$S$2:$S$495=4)*('CONTROL MASTER'!$Z$2:$Z$495&lt;=9)*('CONTROL MASTER'!$AB$2:$AB$495&gt;=9)*('CONTROL MASTER'!$AA$2:$AA$495&lt;=1)*('CONTROL MASTER'!$AC$2:$AC$495&gt;=1))*ROW('CONTROL MASTER'!$S$2:$S$495))-(ROW('CONTROL MASTER'!#REF!)-1))))+1)))-1)*50+1,50))&amp;"_"&amp;INDEX('CONTROL MASTER'!$P$2:$P$495,(SUMPRODUCT((('CONTROL MASTER'!$S$2:$S$495=4)*('CONTROL MASTER'!$Z$2:$Z$495&lt;=9)*('CONTROL MASTER'!$AB$2:$AB$495&gt;=9)*('CONTROL MASTER'!$AA$2:$AA$495&lt;=1)*('CONTROL MASTER'!$AC$2:$AC$495&gt;=1))*ROW('CONTROL MASTER'!$S$2:$S$495))-(ROW('CONTROL MASTER'!#REF!)-1))),"")),"")</f>
        <v/>
      </c>
      <c r="C53" s="10" t="str">
        <f>IFERROR(IF(SUMPRODUCT((('CONTROL MASTER'!$S$2:$S$495=4)*('CONTROL MASTER'!$T$2:$T$495&lt;=9)*('CONTROL MASTER'!$V$2:$V$495&gt;=9)*('CONTROL MASTER'!$U$2:$U$495&lt;=2)*('CONTROL MASTER'!$W$2:$W$495&gt;=2))*ROW('CONTROL MASTER'!$S$2:$S$495))&gt;0,INDEX('CONTROL MASTER'!$X$2:$X$495,(SUMPRODUCT((('CONTROL MASTER'!$S$2:$S$495=4)*('CONTROL MASTER'!$T$2:$T$495&lt;=9)*('CONTROL MASTER'!$V$2:$V$495&gt;=9)*('CONTROL MASTER'!$U$2:$U$495&lt;=2)*('CONTROL MASTER'!$W$2:$W$495&gt;=2))*ROW('CONTROL MASTER'!$S$2:$S$495))-(ROW('CONTROL MASTER'!#REF!)-1)))&amp;TRIM(MID(SUBSTITUTE(SUBSTITUTE(INDEX('CONTROL MASTER'!$N$2:$N$495,(SUMPRODUCT((('CONTROL MASTER'!$S$2:$S$495=4)*('CONTROL MASTER'!$T$2:$T$495&lt;=9)*('CONTROL MASTER'!$V$2:$V$495&gt;=9)*('CONTROL MASTER'!$U$2:$U$495&lt;=2)*('CONTROL MASTER'!$W$2:$W$495&gt;=2))*ROW('CONTROL MASTER'!$S$2:$S$495))-(ROW('CONTROL MASTER'!#REF!)-1))),":",","),",",REPT(" ",50)),((((9-INDEX('CONTROL MASTER'!$T$2:$T$495,(SUMPRODUCT((('CONTROL MASTER'!$S$2:$S$495=4)*('CONTROL MASTER'!$T$2:$T$495&lt;=9)*('CONTROL MASTER'!$V$2:$V$495&gt;=9)*('CONTROL MASTER'!$U$2:$U$495&lt;=2)*('CONTROL MASTER'!$W$2:$W$495&gt;=2))*ROW('CONTROL MASTER'!$S$2:$S$495))-(ROW('CONTROL MASTER'!#REF!)-1))))*(INDEX('CONTROL MASTER'!$W$2:$W$495,(SUMPRODUCT((('CONTROL MASTER'!$S$2:$S$495=4)*('CONTROL MASTER'!$T$2:$T$495&lt;=9)*('CONTROL MASTER'!$V$2:$V$495&gt;=9)*('CONTROL MASTER'!$U$2:$U$495&lt;=2)*('CONTROL MASTER'!$W$2:$W$495&gt;=2))*ROW('CONTROL MASTER'!$S$2:$S$495))-(ROW('CONTROL MASTER'!#REF!)-1)))-INDEX('CONTROL MASTER'!$U$2:$U$495,(SUMPRODUCT((('CONTROL MASTER'!$S$2:$S$495=4)*('CONTROL MASTER'!$T$2:$T$495&lt;=9)*('CONTROL MASTER'!$V$2:$V$495&gt;=9)*('CONTROL MASTER'!$U$2:$U$495&lt;=2)*('CONTROL MASTER'!$W$2:$W$495&gt;=2))*ROW('CONTROL MASTER'!$S$2:$S$495))-(ROW('CONTROL MASTER'!#REF!)-1)))+1)+(2-INDEX('CONTROL MASTER'!$U$2:$U$495,(SUMPRODUCT((('CONTROL MASTER'!$S$2:$S$495=4)*('CONTROL MASTER'!$T$2:$T$495&lt;=9)*('CONTROL MASTER'!$V$2:$V$495&gt;=9)*('CONTROL MASTER'!$U$2:$U$495&lt;=2)*('CONTROL MASTER'!$W$2:$W$495&gt;=2))*ROW('CONTROL MASTER'!$S$2:$S$495))-(ROW('CONTROL MASTER'!#REF!)-1))))+1))-1)*50+1,50))&amp;"_"&amp;INDEX('CONTROL MASTER'!$P$2:$P$495,(SUMPRODUCT((('CONTROL MASTER'!$S$2:$S$495=4)*('CONTROL MASTER'!$T$2:$T$495&lt;=9)*('CONTROL MASTER'!$V$2:$V$495&gt;=9)*('CONTROL MASTER'!$U$2:$U$495&lt;=2)*('CONTROL MASTER'!$W$2:$W$495&gt;=2))*ROW('CONTROL MASTER'!$S$2:$S$495))-(ROW('CONTROL MASTER'!#REF!)-1))),IF(SUMPRODUCT((('CONTROL MASTER'!$S$2:$S$495=4)*('CONTROL MASTER'!$Z$2:$Z$495&lt;=9)*('CONTROL MASTER'!$AB$2:$AB$495&gt;=9)*('CONTROL MASTER'!$AA$2:$AA$495&lt;=2)*('CONTROL MASTER'!$AC$2:$AC$495&gt;=2))*ROW('CONTROL MASTER'!$S$2:$S$495))&gt;0,INDEX('CONTROL MASTER'!$X$2:$X$495,(SUMPRODUCT((('CONTROL MASTER'!$S$2:$S$495=4)*('CONTROL MASTER'!$Z$2:$Z$495&lt;=9)*('CONTROL MASTER'!$AB$2:$AB$495&gt;=9)*('CONTROL MASTER'!$AA$2:$AA$495&lt;=2)*('CONTROL MASTER'!$AC$2:$AC$495&gt;=2))*ROW('CONTROL MASTER'!$S$2:$S$495))-(ROW('CONTROL MASTER'!#REF!)-1)))&amp;TRIM(MID(SUBSTITUTE(SUBSTITUTE(INDEX('CONTROL MASTER'!$N$2:$N$495,(SUMPRODUCT((('CONTROL MASTER'!$S$2:$S$495=4)*('CONTROL MASTER'!$Z$2:$Z$495&lt;=9)*('CONTROL MASTER'!$AB$2:$AB$495&gt;=9)*('CONTROL MASTER'!$AA$2:$AA$495&lt;=2)*('CONTROL MASTER'!$AC$2:$AC$495&gt;=2))*ROW('CONTROL MASTER'!$S$2:$S$495))-(ROW('CONTROL MASTER'!#REF!)-1))),":",","),",",REPT(" ",50)),(((INDEX('CONTROL MASTER'!$Y$2:$Y$495,(SUMPRODUCT((('CONTROL MASTER'!$S$2:$S$495=4)*('CONTROL MASTER'!$Z$2:$Z$495&lt;=9)*('CONTROL MASTER'!$AB$2:$AB$495&gt;=9)*('CONTROL MASTER'!$AA$2:$AA$495&lt;=2)*('CONTROL MASTER'!$AC$2:$AC$495&gt;=2))*ROW('CONTROL MASTER'!$S$2:$S$495))-(ROW('CONTROL MASTER'!#REF!)-1)))+((9-INDEX('CONTROL MASTER'!$Z$2:$Z$495,(SUMPRODUCT((('CONTROL MASTER'!$S$2:$S$495=4)*('CONTROL MASTER'!$Z$2:$Z$495&lt;=9)*('CONTROL MASTER'!$AB$2:$AB$495&gt;=9)*('CONTROL MASTER'!$AA$2:$AA$495&lt;=2)*('CONTROL MASTER'!$AC$2:$AC$495&gt;=2))*ROW('CONTROL MASTER'!$S$2:$S$495))-(ROW('CONTROL MASTER'!#REF!)-1))))*(INDEX('CONTROL MASTER'!$AC$2:$AC$495,(SUMPRODUCT((('CONTROL MASTER'!$S$2:$S$495=4)*('CONTROL MASTER'!$Z$2:$Z$495&lt;=9)*('CONTROL MASTER'!$AB$2:$AB$495&gt;=9)*('CONTROL MASTER'!$AA$2:$AA$495&lt;=2)*('CONTROL MASTER'!$AC$2:$AC$495&gt;=2))*ROW('CONTROL MASTER'!$S$2:$S$495))-(ROW('CONTROL MASTER'!#REF!)-1)))-INDEX('CONTROL MASTER'!$AA$2:$AA$495,(SUMPRODUCT((('CONTROL MASTER'!$S$2:$S$495=4)*('CONTROL MASTER'!$Z$2:$Z$495&lt;=9)*('CONTROL MASTER'!$AB$2:$AB$495&gt;=9)*('CONTROL MASTER'!$AA$2:$AA$495&lt;=2)*('CONTROL MASTER'!$AC$2:$AC$495&gt;=2))*ROW('CONTROL MASTER'!$S$2:$S$495))-(ROW('CONTROL MASTER'!#REF!)-1)))+1)+(2-INDEX('CONTROL MASTER'!$AA$2:$AA$495,(SUMPRODUCT((('CONTROL MASTER'!$S$2:$S$495=4)*('CONTROL MASTER'!$Z$2:$Z$495&lt;=9)*('CONTROL MASTER'!$AB$2:$AB$495&gt;=9)*('CONTROL MASTER'!$AA$2:$AA$495&lt;=2)*('CONTROL MASTER'!$AC$2:$AC$495&gt;=2))*ROW('CONTROL MASTER'!$S$2:$S$495))-(ROW('CONTROL MASTER'!#REF!)-1))))+1)))-1)*50+1,50))&amp;"_"&amp;INDEX('CONTROL MASTER'!$P$2:$P$495,(SUMPRODUCT((('CONTROL MASTER'!$S$2:$S$495=4)*('CONTROL MASTER'!$Z$2:$Z$495&lt;=9)*('CONTROL MASTER'!$AB$2:$AB$495&gt;=9)*('CONTROL MASTER'!$AA$2:$AA$495&lt;=2)*('CONTROL MASTER'!$AC$2:$AC$495&gt;=2))*ROW('CONTROL MASTER'!$S$2:$S$495))-(ROW('CONTROL MASTER'!#REF!)-1))),"")),"")</f>
        <v/>
      </c>
      <c r="D53" s="10" t="str">
        <f>IFERROR(IF(SUMPRODUCT((('CONTROL MASTER'!$S$2:$S$495=4)*('CONTROL MASTER'!$T$2:$T$495&lt;=9)*('CONTROL MASTER'!$V$2:$V$495&gt;=9)*('CONTROL MASTER'!$U$2:$U$495&lt;=3)*('CONTROL MASTER'!$W$2:$W$495&gt;=3))*ROW('CONTROL MASTER'!$S$2:$S$495))&gt;0,INDEX('CONTROL MASTER'!$X$2:$X$495,(SUMPRODUCT((('CONTROL MASTER'!$S$2:$S$495=4)*('CONTROL MASTER'!$T$2:$T$495&lt;=9)*('CONTROL MASTER'!$V$2:$V$495&gt;=9)*('CONTROL MASTER'!$U$2:$U$495&lt;=3)*('CONTROL MASTER'!$W$2:$W$495&gt;=3))*ROW('CONTROL MASTER'!$S$2:$S$495))-(ROW('CONTROL MASTER'!#REF!)-1)))&amp;TRIM(MID(SUBSTITUTE(SUBSTITUTE(INDEX('CONTROL MASTER'!$N$2:$N$495,(SUMPRODUCT((('CONTROL MASTER'!$S$2:$S$495=4)*('CONTROL MASTER'!$T$2:$T$495&lt;=9)*('CONTROL MASTER'!$V$2:$V$495&gt;=9)*('CONTROL MASTER'!$U$2:$U$495&lt;=3)*('CONTROL MASTER'!$W$2:$W$495&gt;=3))*ROW('CONTROL MASTER'!$S$2:$S$495))-(ROW('CONTROL MASTER'!#REF!)-1))),":",","),",",REPT(" ",50)),((((9-INDEX('CONTROL MASTER'!$T$2:$T$495,(SUMPRODUCT((('CONTROL MASTER'!$S$2:$S$495=4)*('CONTROL MASTER'!$T$2:$T$495&lt;=9)*('CONTROL MASTER'!$V$2:$V$495&gt;=9)*('CONTROL MASTER'!$U$2:$U$495&lt;=3)*('CONTROL MASTER'!$W$2:$W$495&gt;=3))*ROW('CONTROL MASTER'!$S$2:$S$495))-(ROW('CONTROL MASTER'!#REF!)-1))))*(INDEX('CONTROL MASTER'!$W$2:$W$495,(SUMPRODUCT((('CONTROL MASTER'!$S$2:$S$495=4)*('CONTROL MASTER'!$T$2:$T$495&lt;=9)*('CONTROL MASTER'!$V$2:$V$495&gt;=9)*('CONTROL MASTER'!$U$2:$U$495&lt;=3)*('CONTROL MASTER'!$W$2:$W$495&gt;=3))*ROW('CONTROL MASTER'!$S$2:$S$495))-(ROW('CONTROL MASTER'!#REF!)-1)))-INDEX('CONTROL MASTER'!$U$2:$U$495,(SUMPRODUCT((('CONTROL MASTER'!$S$2:$S$495=4)*('CONTROL MASTER'!$T$2:$T$495&lt;=9)*('CONTROL MASTER'!$V$2:$V$495&gt;=9)*('CONTROL MASTER'!$U$2:$U$495&lt;=3)*('CONTROL MASTER'!$W$2:$W$495&gt;=3))*ROW('CONTROL MASTER'!$S$2:$S$495))-(ROW('CONTROL MASTER'!#REF!)-1)))+1)+(3-INDEX('CONTROL MASTER'!$U$2:$U$495,(SUMPRODUCT((('CONTROL MASTER'!$S$2:$S$495=4)*('CONTROL MASTER'!$T$2:$T$495&lt;=9)*('CONTROL MASTER'!$V$2:$V$495&gt;=9)*('CONTROL MASTER'!$U$2:$U$495&lt;=3)*('CONTROL MASTER'!$W$2:$W$495&gt;=3))*ROW('CONTROL MASTER'!$S$2:$S$495))-(ROW('CONTROL MASTER'!#REF!)-1))))+1))-1)*50+1,50))&amp;"_"&amp;INDEX('CONTROL MASTER'!$P$2:$P$495,(SUMPRODUCT((('CONTROL MASTER'!$S$2:$S$495=4)*('CONTROL MASTER'!$T$2:$T$495&lt;=9)*('CONTROL MASTER'!$V$2:$V$495&gt;=9)*('CONTROL MASTER'!$U$2:$U$495&lt;=3)*('CONTROL MASTER'!$W$2:$W$495&gt;=3))*ROW('CONTROL MASTER'!$S$2:$S$495))-(ROW('CONTROL MASTER'!#REF!)-1))),IF(SUMPRODUCT((('CONTROL MASTER'!$S$2:$S$495=4)*('CONTROL MASTER'!$Z$2:$Z$495&lt;=9)*('CONTROL MASTER'!$AB$2:$AB$495&gt;=9)*('CONTROL MASTER'!$AA$2:$AA$495&lt;=3)*('CONTROL MASTER'!$AC$2:$AC$495&gt;=3))*ROW('CONTROL MASTER'!$S$2:$S$495))&gt;0,INDEX('CONTROL MASTER'!$X$2:$X$495,(SUMPRODUCT((('CONTROL MASTER'!$S$2:$S$495=4)*('CONTROL MASTER'!$Z$2:$Z$495&lt;=9)*('CONTROL MASTER'!$AB$2:$AB$495&gt;=9)*('CONTROL MASTER'!$AA$2:$AA$495&lt;=3)*('CONTROL MASTER'!$AC$2:$AC$495&gt;=3))*ROW('CONTROL MASTER'!$S$2:$S$495))-(ROW('CONTROL MASTER'!#REF!)-1)))&amp;TRIM(MID(SUBSTITUTE(SUBSTITUTE(INDEX('CONTROL MASTER'!$N$2:$N$495,(SUMPRODUCT((('CONTROL MASTER'!$S$2:$S$495=4)*('CONTROL MASTER'!$Z$2:$Z$495&lt;=9)*('CONTROL MASTER'!$AB$2:$AB$495&gt;=9)*('CONTROL MASTER'!$AA$2:$AA$495&lt;=3)*('CONTROL MASTER'!$AC$2:$AC$495&gt;=3))*ROW('CONTROL MASTER'!$S$2:$S$495))-(ROW('CONTROL MASTER'!#REF!)-1))),":",","),",",REPT(" ",50)),(((INDEX('CONTROL MASTER'!$Y$2:$Y$495,(SUMPRODUCT((('CONTROL MASTER'!$S$2:$S$495=4)*('CONTROL MASTER'!$Z$2:$Z$495&lt;=9)*('CONTROL MASTER'!$AB$2:$AB$495&gt;=9)*('CONTROL MASTER'!$AA$2:$AA$495&lt;=3)*('CONTROL MASTER'!$AC$2:$AC$495&gt;=3))*ROW('CONTROL MASTER'!$S$2:$S$495))-(ROW('CONTROL MASTER'!#REF!)-1)))+((9-INDEX('CONTROL MASTER'!$Z$2:$Z$495,(SUMPRODUCT((('CONTROL MASTER'!$S$2:$S$495=4)*('CONTROL MASTER'!$Z$2:$Z$495&lt;=9)*('CONTROL MASTER'!$AB$2:$AB$495&gt;=9)*('CONTROL MASTER'!$AA$2:$AA$495&lt;=3)*('CONTROL MASTER'!$AC$2:$AC$495&gt;=3))*ROW('CONTROL MASTER'!$S$2:$S$495))-(ROW('CONTROL MASTER'!#REF!)-1))))*(INDEX('CONTROL MASTER'!$AC$2:$AC$495,(SUMPRODUCT((('CONTROL MASTER'!$S$2:$S$495=4)*('CONTROL MASTER'!$Z$2:$Z$495&lt;=9)*('CONTROL MASTER'!$AB$2:$AB$495&gt;=9)*('CONTROL MASTER'!$AA$2:$AA$495&lt;=3)*('CONTROL MASTER'!$AC$2:$AC$495&gt;=3))*ROW('CONTROL MASTER'!$S$2:$S$495))-(ROW('CONTROL MASTER'!#REF!)-1)))-INDEX('CONTROL MASTER'!$AA$2:$AA$495,(SUMPRODUCT((('CONTROL MASTER'!$S$2:$S$495=4)*('CONTROL MASTER'!$Z$2:$Z$495&lt;=9)*('CONTROL MASTER'!$AB$2:$AB$495&gt;=9)*('CONTROL MASTER'!$AA$2:$AA$495&lt;=3)*('CONTROL MASTER'!$AC$2:$AC$495&gt;=3))*ROW('CONTROL MASTER'!$S$2:$S$495))-(ROW('CONTROL MASTER'!#REF!)-1)))+1)+(3-INDEX('CONTROL MASTER'!$AA$2:$AA$495,(SUMPRODUCT((('CONTROL MASTER'!$S$2:$S$495=4)*('CONTROL MASTER'!$Z$2:$Z$495&lt;=9)*('CONTROL MASTER'!$AB$2:$AB$495&gt;=9)*('CONTROL MASTER'!$AA$2:$AA$495&lt;=3)*('CONTROL MASTER'!$AC$2:$AC$495&gt;=3))*ROW('CONTROL MASTER'!$S$2:$S$495))-(ROW('CONTROL MASTER'!#REF!)-1))))+1)))-1)*50+1,50))&amp;"_"&amp;INDEX('CONTROL MASTER'!$P$2:$P$495,(SUMPRODUCT((('CONTROL MASTER'!$S$2:$S$495=4)*('CONTROL MASTER'!$Z$2:$Z$495&lt;=9)*('CONTROL MASTER'!$AB$2:$AB$495&gt;=9)*('CONTROL MASTER'!$AA$2:$AA$495&lt;=3)*('CONTROL MASTER'!$AC$2:$AC$495&gt;=3))*ROW('CONTROL MASTER'!$S$2:$S$495))-(ROW('CONTROL MASTER'!#REF!)-1))),"")),"")</f>
        <v/>
      </c>
      <c r="E53" s="10" t="str">
        <f>IFERROR(IF(SUMPRODUCT((('CONTROL MASTER'!$S$2:$S$495=4)*('CONTROL MASTER'!$T$2:$T$495&lt;=9)*('CONTROL MASTER'!$V$2:$V$495&gt;=9)*('CONTROL MASTER'!$U$2:$U$495&lt;=4)*('CONTROL MASTER'!$W$2:$W$495&gt;=4))*ROW('CONTROL MASTER'!$S$2:$S$495))&gt;0,INDEX('CONTROL MASTER'!$X$2:$X$495,(SUMPRODUCT((('CONTROL MASTER'!$S$2:$S$495=4)*('CONTROL MASTER'!$T$2:$T$495&lt;=9)*('CONTROL MASTER'!$V$2:$V$495&gt;=9)*('CONTROL MASTER'!$U$2:$U$495&lt;=4)*('CONTROL MASTER'!$W$2:$W$495&gt;=4))*ROW('CONTROL MASTER'!$S$2:$S$495))-(ROW('CONTROL MASTER'!#REF!)-1)))&amp;TRIM(MID(SUBSTITUTE(SUBSTITUTE(INDEX('CONTROL MASTER'!$N$2:$N$495,(SUMPRODUCT((('CONTROL MASTER'!$S$2:$S$495=4)*('CONTROL MASTER'!$T$2:$T$495&lt;=9)*('CONTROL MASTER'!$V$2:$V$495&gt;=9)*('CONTROL MASTER'!$U$2:$U$495&lt;=4)*('CONTROL MASTER'!$W$2:$W$495&gt;=4))*ROW('CONTROL MASTER'!$S$2:$S$495))-(ROW('CONTROL MASTER'!#REF!)-1))),":",","),",",REPT(" ",50)),((((9-INDEX('CONTROL MASTER'!$T$2:$T$495,(SUMPRODUCT((('CONTROL MASTER'!$S$2:$S$495=4)*('CONTROL MASTER'!$T$2:$T$495&lt;=9)*('CONTROL MASTER'!$V$2:$V$495&gt;=9)*('CONTROL MASTER'!$U$2:$U$495&lt;=4)*('CONTROL MASTER'!$W$2:$W$495&gt;=4))*ROW('CONTROL MASTER'!$S$2:$S$495))-(ROW('CONTROL MASTER'!#REF!)-1))))*(INDEX('CONTROL MASTER'!$W$2:$W$495,(SUMPRODUCT((('CONTROL MASTER'!$S$2:$S$495=4)*('CONTROL MASTER'!$T$2:$T$495&lt;=9)*('CONTROL MASTER'!$V$2:$V$495&gt;=9)*('CONTROL MASTER'!$U$2:$U$495&lt;=4)*('CONTROL MASTER'!$W$2:$W$495&gt;=4))*ROW('CONTROL MASTER'!$S$2:$S$495))-(ROW('CONTROL MASTER'!#REF!)-1)))-INDEX('CONTROL MASTER'!$U$2:$U$495,(SUMPRODUCT((('CONTROL MASTER'!$S$2:$S$495=4)*('CONTROL MASTER'!$T$2:$T$495&lt;=9)*('CONTROL MASTER'!$V$2:$V$495&gt;=9)*('CONTROL MASTER'!$U$2:$U$495&lt;=4)*('CONTROL MASTER'!$W$2:$W$495&gt;=4))*ROW('CONTROL MASTER'!$S$2:$S$495))-(ROW('CONTROL MASTER'!#REF!)-1)))+1)+(4-INDEX('CONTROL MASTER'!$U$2:$U$495,(SUMPRODUCT((('CONTROL MASTER'!$S$2:$S$495=4)*('CONTROL MASTER'!$T$2:$T$495&lt;=9)*('CONTROL MASTER'!$V$2:$V$495&gt;=9)*('CONTROL MASTER'!$U$2:$U$495&lt;=4)*('CONTROL MASTER'!$W$2:$W$495&gt;=4))*ROW('CONTROL MASTER'!$S$2:$S$495))-(ROW('CONTROL MASTER'!#REF!)-1))))+1))-1)*50+1,50))&amp;"_"&amp;INDEX('CONTROL MASTER'!$P$2:$P$495,(SUMPRODUCT((('CONTROL MASTER'!$S$2:$S$495=4)*('CONTROL MASTER'!$T$2:$T$495&lt;=9)*('CONTROL MASTER'!$V$2:$V$495&gt;=9)*('CONTROL MASTER'!$U$2:$U$495&lt;=4)*('CONTROL MASTER'!$W$2:$W$495&gt;=4))*ROW('CONTROL MASTER'!$S$2:$S$495))-(ROW('CONTROL MASTER'!#REF!)-1))),IF(SUMPRODUCT((('CONTROL MASTER'!$S$2:$S$495=4)*('CONTROL MASTER'!$Z$2:$Z$495&lt;=9)*('CONTROL MASTER'!$AB$2:$AB$495&gt;=9)*('CONTROL MASTER'!$AA$2:$AA$495&lt;=4)*('CONTROL MASTER'!$AC$2:$AC$495&gt;=4))*ROW('CONTROL MASTER'!$S$2:$S$495))&gt;0,INDEX('CONTROL MASTER'!$X$2:$X$495,(SUMPRODUCT((('CONTROL MASTER'!$S$2:$S$495=4)*('CONTROL MASTER'!$Z$2:$Z$495&lt;=9)*('CONTROL MASTER'!$AB$2:$AB$495&gt;=9)*('CONTROL MASTER'!$AA$2:$AA$495&lt;=4)*('CONTROL MASTER'!$AC$2:$AC$495&gt;=4))*ROW('CONTROL MASTER'!$S$2:$S$495))-(ROW('CONTROL MASTER'!#REF!)-1)))&amp;TRIM(MID(SUBSTITUTE(SUBSTITUTE(INDEX('CONTROL MASTER'!$N$2:$N$495,(SUMPRODUCT((('CONTROL MASTER'!$S$2:$S$495=4)*('CONTROL MASTER'!$Z$2:$Z$495&lt;=9)*('CONTROL MASTER'!$AB$2:$AB$495&gt;=9)*('CONTROL MASTER'!$AA$2:$AA$495&lt;=4)*('CONTROL MASTER'!$AC$2:$AC$495&gt;=4))*ROW('CONTROL MASTER'!$S$2:$S$495))-(ROW('CONTROL MASTER'!#REF!)-1))),":",","),",",REPT(" ",50)),(((INDEX('CONTROL MASTER'!$Y$2:$Y$495,(SUMPRODUCT((('CONTROL MASTER'!$S$2:$S$495=4)*('CONTROL MASTER'!$Z$2:$Z$495&lt;=9)*('CONTROL MASTER'!$AB$2:$AB$495&gt;=9)*('CONTROL MASTER'!$AA$2:$AA$495&lt;=4)*('CONTROL MASTER'!$AC$2:$AC$495&gt;=4))*ROW('CONTROL MASTER'!$S$2:$S$495))-(ROW('CONTROL MASTER'!#REF!)-1)))+((9-INDEX('CONTROL MASTER'!$Z$2:$Z$495,(SUMPRODUCT((('CONTROL MASTER'!$S$2:$S$495=4)*('CONTROL MASTER'!$Z$2:$Z$495&lt;=9)*('CONTROL MASTER'!$AB$2:$AB$495&gt;=9)*('CONTROL MASTER'!$AA$2:$AA$495&lt;=4)*('CONTROL MASTER'!$AC$2:$AC$495&gt;=4))*ROW('CONTROL MASTER'!$S$2:$S$495))-(ROW('CONTROL MASTER'!#REF!)-1))))*(INDEX('CONTROL MASTER'!$AC$2:$AC$495,(SUMPRODUCT((('CONTROL MASTER'!$S$2:$S$495=4)*('CONTROL MASTER'!$Z$2:$Z$495&lt;=9)*('CONTROL MASTER'!$AB$2:$AB$495&gt;=9)*('CONTROL MASTER'!$AA$2:$AA$495&lt;=4)*('CONTROL MASTER'!$AC$2:$AC$495&gt;=4))*ROW('CONTROL MASTER'!$S$2:$S$495))-(ROW('CONTROL MASTER'!#REF!)-1)))-INDEX('CONTROL MASTER'!$AA$2:$AA$495,(SUMPRODUCT((('CONTROL MASTER'!$S$2:$S$495=4)*('CONTROL MASTER'!$Z$2:$Z$495&lt;=9)*('CONTROL MASTER'!$AB$2:$AB$495&gt;=9)*('CONTROL MASTER'!$AA$2:$AA$495&lt;=4)*('CONTROL MASTER'!$AC$2:$AC$495&gt;=4))*ROW('CONTROL MASTER'!$S$2:$S$495))-(ROW('CONTROL MASTER'!#REF!)-1)))+1)+(4-INDEX('CONTROL MASTER'!$AA$2:$AA$495,(SUMPRODUCT((('CONTROL MASTER'!$S$2:$S$495=4)*('CONTROL MASTER'!$Z$2:$Z$495&lt;=9)*('CONTROL MASTER'!$AB$2:$AB$495&gt;=9)*('CONTROL MASTER'!$AA$2:$AA$495&lt;=4)*('CONTROL MASTER'!$AC$2:$AC$495&gt;=4))*ROW('CONTROL MASTER'!$S$2:$S$495))-(ROW('CONTROL MASTER'!#REF!)-1))))+1)))-1)*50+1,50))&amp;"_"&amp;INDEX('CONTROL MASTER'!$P$2:$P$495,(SUMPRODUCT((('CONTROL MASTER'!$S$2:$S$495=4)*('CONTROL MASTER'!$Z$2:$Z$495&lt;=9)*('CONTROL MASTER'!$AB$2:$AB$495&gt;=9)*('CONTROL MASTER'!$AA$2:$AA$495&lt;=4)*('CONTROL MASTER'!$AC$2:$AC$495&gt;=4))*ROW('CONTROL MASTER'!$S$2:$S$495))-(ROW('CONTROL MASTER'!#REF!)-1))),"")),"")</f>
        <v/>
      </c>
      <c r="F53" s="10" t="str">
        <f>IFERROR(IF(SUMPRODUCT((('CONTROL MASTER'!$S$2:$S$495=4)*('CONTROL MASTER'!$T$2:$T$495&lt;=9)*('CONTROL MASTER'!$V$2:$V$495&gt;=9)*('CONTROL MASTER'!$U$2:$U$495&lt;=5)*('CONTROL MASTER'!$W$2:$W$495&gt;=5))*ROW('CONTROL MASTER'!$S$2:$S$495))&gt;0,INDEX('CONTROL MASTER'!$X$2:$X$495,(SUMPRODUCT((('CONTROL MASTER'!$S$2:$S$495=4)*('CONTROL MASTER'!$T$2:$T$495&lt;=9)*('CONTROL MASTER'!$V$2:$V$495&gt;=9)*('CONTROL MASTER'!$U$2:$U$495&lt;=5)*('CONTROL MASTER'!$W$2:$W$495&gt;=5))*ROW('CONTROL MASTER'!$S$2:$S$495))-(ROW('CONTROL MASTER'!#REF!)-1)))&amp;TRIM(MID(SUBSTITUTE(SUBSTITUTE(INDEX('CONTROL MASTER'!$N$2:$N$495,(SUMPRODUCT((('CONTROL MASTER'!$S$2:$S$495=4)*('CONTROL MASTER'!$T$2:$T$495&lt;=9)*('CONTROL MASTER'!$V$2:$V$495&gt;=9)*('CONTROL MASTER'!$U$2:$U$495&lt;=5)*('CONTROL MASTER'!$W$2:$W$495&gt;=5))*ROW('CONTROL MASTER'!$S$2:$S$495))-(ROW('CONTROL MASTER'!#REF!)-1))),":",","),",",REPT(" ",50)),((((9-INDEX('CONTROL MASTER'!$T$2:$T$495,(SUMPRODUCT((('CONTROL MASTER'!$S$2:$S$495=4)*('CONTROL MASTER'!$T$2:$T$495&lt;=9)*('CONTROL MASTER'!$V$2:$V$495&gt;=9)*('CONTROL MASTER'!$U$2:$U$495&lt;=5)*('CONTROL MASTER'!$W$2:$W$495&gt;=5))*ROW('CONTROL MASTER'!$S$2:$S$495))-(ROW('CONTROL MASTER'!#REF!)-1))))*(INDEX('CONTROL MASTER'!$W$2:$W$495,(SUMPRODUCT((('CONTROL MASTER'!$S$2:$S$495=4)*('CONTROL MASTER'!$T$2:$T$495&lt;=9)*('CONTROL MASTER'!$V$2:$V$495&gt;=9)*('CONTROL MASTER'!$U$2:$U$495&lt;=5)*('CONTROL MASTER'!$W$2:$W$495&gt;=5))*ROW('CONTROL MASTER'!$S$2:$S$495))-(ROW('CONTROL MASTER'!#REF!)-1)))-INDEX('CONTROL MASTER'!$U$2:$U$495,(SUMPRODUCT((('CONTROL MASTER'!$S$2:$S$495=4)*('CONTROL MASTER'!$T$2:$T$495&lt;=9)*('CONTROL MASTER'!$V$2:$V$495&gt;=9)*('CONTROL MASTER'!$U$2:$U$495&lt;=5)*('CONTROL MASTER'!$W$2:$W$495&gt;=5))*ROW('CONTROL MASTER'!$S$2:$S$495))-(ROW('CONTROL MASTER'!#REF!)-1)))+1)+(5-INDEX('CONTROL MASTER'!$U$2:$U$495,(SUMPRODUCT((('CONTROL MASTER'!$S$2:$S$495=4)*('CONTROL MASTER'!$T$2:$T$495&lt;=9)*('CONTROL MASTER'!$V$2:$V$495&gt;=9)*('CONTROL MASTER'!$U$2:$U$495&lt;=5)*('CONTROL MASTER'!$W$2:$W$495&gt;=5))*ROW('CONTROL MASTER'!$S$2:$S$495))-(ROW('CONTROL MASTER'!#REF!)-1))))+1))-1)*50+1,50))&amp;"_"&amp;INDEX('CONTROL MASTER'!$P$2:$P$495,(SUMPRODUCT((('CONTROL MASTER'!$S$2:$S$495=4)*('CONTROL MASTER'!$T$2:$T$495&lt;=9)*('CONTROL MASTER'!$V$2:$V$495&gt;=9)*('CONTROL MASTER'!$U$2:$U$495&lt;=5)*('CONTROL MASTER'!$W$2:$W$495&gt;=5))*ROW('CONTROL MASTER'!$S$2:$S$495))-(ROW('CONTROL MASTER'!#REF!)-1))),IF(SUMPRODUCT((('CONTROL MASTER'!$S$2:$S$495=4)*('CONTROL MASTER'!$Z$2:$Z$495&lt;=9)*('CONTROL MASTER'!$AB$2:$AB$495&gt;=9)*('CONTROL MASTER'!$AA$2:$AA$495&lt;=5)*('CONTROL MASTER'!$AC$2:$AC$495&gt;=5))*ROW('CONTROL MASTER'!$S$2:$S$495))&gt;0,INDEX('CONTROL MASTER'!$X$2:$X$495,(SUMPRODUCT((('CONTROL MASTER'!$S$2:$S$495=4)*('CONTROL MASTER'!$Z$2:$Z$495&lt;=9)*('CONTROL MASTER'!$AB$2:$AB$495&gt;=9)*('CONTROL MASTER'!$AA$2:$AA$495&lt;=5)*('CONTROL MASTER'!$AC$2:$AC$495&gt;=5))*ROW('CONTROL MASTER'!$S$2:$S$495))-(ROW('CONTROL MASTER'!#REF!)-1)))&amp;TRIM(MID(SUBSTITUTE(SUBSTITUTE(INDEX('CONTROL MASTER'!$N$2:$N$495,(SUMPRODUCT((('CONTROL MASTER'!$S$2:$S$495=4)*('CONTROL MASTER'!$Z$2:$Z$495&lt;=9)*('CONTROL MASTER'!$AB$2:$AB$495&gt;=9)*('CONTROL MASTER'!$AA$2:$AA$495&lt;=5)*('CONTROL MASTER'!$AC$2:$AC$495&gt;=5))*ROW('CONTROL MASTER'!$S$2:$S$495))-(ROW('CONTROL MASTER'!#REF!)-1))),":",","),",",REPT(" ",50)),(((INDEX('CONTROL MASTER'!$Y$2:$Y$495,(SUMPRODUCT((('CONTROL MASTER'!$S$2:$S$495=4)*('CONTROL MASTER'!$Z$2:$Z$495&lt;=9)*('CONTROL MASTER'!$AB$2:$AB$495&gt;=9)*('CONTROL MASTER'!$AA$2:$AA$495&lt;=5)*('CONTROL MASTER'!$AC$2:$AC$495&gt;=5))*ROW('CONTROL MASTER'!$S$2:$S$495))-(ROW('CONTROL MASTER'!#REF!)-1)))+((9-INDEX('CONTROL MASTER'!$Z$2:$Z$495,(SUMPRODUCT((('CONTROL MASTER'!$S$2:$S$495=4)*('CONTROL MASTER'!$Z$2:$Z$495&lt;=9)*('CONTROL MASTER'!$AB$2:$AB$495&gt;=9)*('CONTROL MASTER'!$AA$2:$AA$495&lt;=5)*('CONTROL MASTER'!$AC$2:$AC$495&gt;=5))*ROW('CONTROL MASTER'!$S$2:$S$495))-(ROW('CONTROL MASTER'!#REF!)-1))))*(INDEX('CONTROL MASTER'!$AC$2:$AC$495,(SUMPRODUCT((('CONTROL MASTER'!$S$2:$S$495=4)*('CONTROL MASTER'!$Z$2:$Z$495&lt;=9)*('CONTROL MASTER'!$AB$2:$AB$495&gt;=9)*('CONTROL MASTER'!$AA$2:$AA$495&lt;=5)*('CONTROL MASTER'!$AC$2:$AC$495&gt;=5))*ROW('CONTROL MASTER'!$S$2:$S$495))-(ROW('CONTROL MASTER'!#REF!)-1)))-INDEX('CONTROL MASTER'!$AA$2:$AA$495,(SUMPRODUCT((('CONTROL MASTER'!$S$2:$S$495=4)*('CONTROL MASTER'!$Z$2:$Z$495&lt;=9)*('CONTROL MASTER'!$AB$2:$AB$495&gt;=9)*('CONTROL MASTER'!$AA$2:$AA$495&lt;=5)*('CONTROL MASTER'!$AC$2:$AC$495&gt;=5))*ROW('CONTROL MASTER'!$S$2:$S$495))-(ROW('CONTROL MASTER'!#REF!)-1)))+1)+(5-INDEX('CONTROL MASTER'!$AA$2:$AA$495,(SUMPRODUCT((('CONTROL MASTER'!$S$2:$S$495=4)*('CONTROL MASTER'!$Z$2:$Z$495&lt;=9)*('CONTROL MASTER'!$AB$2:$AB$495&gt;=9)*('CONTROL MASTER'!$AA$2:$AA$495&lt;=5)*('CONTROL MASTER'!$AC$2:$AC$495&gt;=5))*ROW('CONTROL MASTER'!$S$2:$S$495))-(ROW('CONTROL MASTER'!#REF!)-1))))+1)))-1)*50+1,50))&amp;"_"&amp;INDEX('CONTROL MASTER'!$P$2:$P$495,(SUMPRODUCT((('CONTROL MASTER'!$S$2:$S$495=4)*('CONTROL MASTER'!$Z$2:$Z$495&lt;=9)*('CONTROL MASTER'!$AB$2:$AB$495&gt;=9)*('CONTROL MASTER'!$AA$2:$AA$495&lt;=5)*('CONTROL MASTER'!$AC$2:$AC$495&gt;=5))*ROW('CONTROL MASTER'!$S$2:$S$495))-(ROW('CONTROL MASTER'!#REF!)-1))),"")),"")</f>
        <v/>
      </c>
      <c r="G53" s="10" t="str">
        <f>IFERROR(IF(SUMPRODUCT((('CONTROL MASTER'!$S$2:$S$495=4)*('CONTROL MASTER'!$T$2:$T$495&lt;=9)*('CONTROL MASTER'!$V$2:$V$495&gt;=9)*('CONTROL MASTER'!$U$2:$U$495&lt;=6)*('CONTROL MASTER'!$W$2:$W$495&gt;=6))*ROW('CONTROL MASTER'!$S$2:$S$495))&gt;0,INDEX('CONTROL MASTER'!$X$2:$X$495,(SUMPRODUCT((('CONTROL MASTER'!$S$2:$S$495=4)*('CONTROL MASTER'!$T$2:$T$495&lt;=9)*('CONTROL MASTER'!$V$2:$V$495&gt;=9)*('CONTROL MASTER'!$U$2:$U$495&lt;=6)*('CONTROL MASTER'!$W$2:$W$495&gt;=6))*ROW('CONTROL MASTER'!$S$2:$S$495))-(ROW('CONTROL MASTER'!#REF!)-1)))&amp;TRIM(MID(SUBSTITUTE(SUBSTITUTE(INDEX('CONTROL MASTER'!$N$2:$N$495,(SUMPRODUCT((('CONTROL MASTER'!$S$2:$S$495=4)*('CONTROL MASTER'!$T$2:$T$495&lt;=9)*('CONTROL MASTER'!$V$2:$V$495&gt;=9)*('CONTROL MASTER'!$U$2:$U$495&lt;=6)*('CONTROL MASTER'!$W$2:$W$495&gt;=6))*ROW('CONTROL MASTER'!$S$2:$S$495))-(ROW('CONTROL MASTER'!#REF!)-1))),":",","),",",REPT(" ",50)),((((9-INDEX('CONTROL MASTER'!$T$2:$T$495,(SUMPRODUCT((('CONTROL MASTER'!$S$2:$S$495=4)*('CONTROL MASTER'!$T$2:$T$495&lt;=9)*('CONTROL MASTER'!$V$2:$V$495&gt;=9)*('CONTROL MASTER'!$U$2:$U$495&lt;=6)*('CONTROL MASTER'!$W$2:$W$495&gt;=6))*ROW('CONTROL MASTER'!$S$2:$S$495))-(ROW('CONTROL MASTER'!#REF!)-1))))*(INDEX('CONTROL MASTER'!$W$2:$W$495,(SUMPRODUCT((('CONTROL MASTER'!$S$2:$S$495=4)*('CONTROL MASTER'!$T$2:$T$495&lt;=9)*('CONTROL MASTER'!$V$2:$V$495&gt;=9)*('CONTROL MASTER'!$U$2:$U$495&lt;=6)*('CONTROL MASTER'!$W$2:$W$495&gt;=6))*ROW('CONTROL MASTER'!$S$2:$S$495))-(ROW('CONTROL MASTER'!#REF!)-1)))-INDEX('CONTROL MASTER'!$U$2:$U$495,(SUMPRODUCT((('CONTROL MASTER'!$S$2:$S$495=4)*('CONTROL MASTER'!$T$2:$T$495&lt;=9)*('CONTROL MASTER'!$V$2:$V$495&gt;=9)*('CONTROL MASTER'!$U$2:$U$495&lt;=6)*('CONTROL MASTER'!$W$2:$W$495&gt;=6))*ROW('CONTROL MASTER'!$S$2:$S$495))-(ROW('CONTROL MASTER'!#REF!)-1)))+1)+(6-INDEX('CONTROL MASTER'!$U$2:$U$495,(SUMPRODUCT((('CONTROL MASTER'!$S$2:$S$495=4)*('CONTROL MASTER'!$T$2:$T$495&lt;=9)*('CONTROL MASTER'!$V$2:$V$495&gt;=9)*('CONTROL MASTER'!$U$2:$U$495&lt;=6)*('CONTROL MASTER'!$W$2:$W$495&gt;=6))*ROW('CONTROL MASTER'!$S$2:$S$495))-(ROW('CONTROL MASTER'!#REF!)-1))))+1))-1)*50+1,50))&amp;"_"&amp;INDEX('CONTROL MASTER'!$P$2:$P$495,(SUMPRODUCT((('CONTROL MASTER'!$S$2:$S$495=4)*('CONTROL MASTER'!$T$2:$T$495&lt;=9)*('CONTROL MASTER'!$V$2:$V$495&gt;=9)*('CONTROL MASTER'!$U$2:$U$495&lt;=6)*('CONTROL MASTER'!$W$2:$W$495&gt;=6))*ROW('CONTROL MASTER'!$S$2:$S$495))-(ROW('CONTROL MASTER'!#REF!)-1))),IF(SUMPRODUCT((('CONTROL MASTER'!$S$2:$S$495=4)*('CONTROL MASTER'!$Z$2:$Z$495&lt;=9)*('CONTROL MASTER'!$AB$2:$AB$495&gt;=9)*('CONTROL MASTER'!$AA$2:$AA$495&lt;=6)*('CONTROL MASTER'!$AC$2:$AC$495&gt;=6))*ROW('CONTROL MASTER'!$S$2:$S$495))&gt;0,INDEX('CONTROL MASTER'!$X$2:$X$495,(SUMPRODUCT((('CONTROL MASTER'!$S$2:$S$495=4)*('CONTROL MASTER'!$Z$2:$Z$495&lt;=9)*('CONTROL MASTER'!$AB$2:$AB$495&gt;=9)*('CONTROL MASTER'!$AA$2:$AA$495&lt;=6)*('CONTROL MASTER'!$AC$2:$AC$495&gt;=6))*ROW('CONTROL MASTER'!$S$2:$S$495))-(ROW('CONTROL MASTER'!#REF!)-1)))&amp;TRIM(MID(SUBSTITUTE(SUBSTITUTE(INDEX('CONTROL MASTER'!$N$2:$N$495,(SUMPRODUCT((('CONTROL MASTER'!$S$2:$S$495=4)*('CONTROL MASTER'!$Z$2:$Z$495&lt;=9)*('CONTROL MASTER'!$AB$2:$AB$495&gt;=9)*('CONTROL MASTER'!$AA$2:$AA$495&lt;=6)*('CONTROL MASTER'!$AC$2:$AC$495&gt;=6))*ROW('CONTROL MASTER'!$S$2:$S$495))-(ROW('CONTROL MASTER'!#REF!)-1))),":",","),",",REPT(" ",50)),(((INDEX('CONTROL MASTER'!$Y$2:$Y$495,(SUMPRODUCT((('CONTROL MASTER'!$S$2:$S$495=4)*('CONTROL MASTER'!$Z$2:$Z$495&lt;=9)*('CONTROL MASTER'!$AB$2:$AB$495&gt;=9)*('CONTROL MASTER'!$AA$2:$AA$495&lt;=6)*('CONTROL MASTER'!$AC$2:$AC$495&gt;=6))*ROW('CONTROL MASTER'!$S$2:$S$495))-(ROW('CONTROL MASTER'!#REF!)-1)))+((9-INDEX('CONTROL MASTER'!$Z$2:$Z$495,(SUMPRODUCT((('CONTROL MASTER'!$S$2:$S$495=4)*('CONTROL MASTER'!$Z$2:$Z$495&lt;=9)*('CONTROL MASTER'!$AB$2:$AB$495&gt;=9)*('CONTROL MASTER'!$AA$2:$AA$495&lt;=6)*('CONTROL MASTER'!$AC$2:$AC$495&gt;=6))*ROW('CONTROL MASTER'!$S$2:$S$495))-(ROW('CONTROL MASTER'!#REF!)-1))))*(INDEX('CONTROL MASTER'!$AC$2:$AC$495,(SUMPRODUCT((('CONTROL MASTER'!$S$2:$S$495=4)*('CONTROL MASTER'!$Z$2:$Z$495&lt;=9)*('CONTROL MASTER'!$AB$2:$AB$495&gt;=9)*('CONTROL MASTER'!$AA$2:$AA$495&lt;=6)*('CONTROL MASTER'!$AC$2:$AC$495&gt;=6))*ROW('CONTROL MASTER'!$S$2:$S$495))-(ROW('CONTROL MASTER'!#REF!)-1)))-INDEX('CONTROL MASTER'!$AA$2:$AA$495,(SUMPRODUCT((('CONTROL MASTER'!$S$2:$S$495=4)*('CONTROL MASTER'!$Z$2:$Z$495&lt;=9)*('CONTROL MASTER'!$AB$2:$AB$495&gt;=9)*('CONTROL MASTER'!$AA$2:$AA$495&lt;=6)*('CONTROL MASTER'!$AC$2:$AC$495&gt;=6))*ROW('CONTROL MASTER'!$S$2:$S$495))-(ROW('CONTROL MASTER'!#REF!)-1)))+1)+(6-INDEX('CONTROL MASTER'!$AA$2:$AA$495,(SUMPRODUCT((('CONTROL MASTER'!$S$2:$S$495=4)*('CONTROL MASTER'!$Z$2:$Z$495&lt;=9)*('CONTROL MASTER'!$AB$2:$AB$495&gt;=9)*('CONTROL MASTER'!$AA$2:$AA$495&lt;=6)*('CONTROL MASTER'!$AC$2:$AC$495&gt;=6))*ROW('CONTROL MASTER'!$S$2:$S$495))-(ROW('CONTROL MASTER'!#REF!)-1))))+1)))-1)*50+1,50))&amp;"_"&amp;INDEX('CONTROL MASTER'!$P$2:$P$495,(SUMPRODUCT((('CONTROL MASTER'!$S$2:$S$495=4)*('CONTROL MASTER'!$Z$2:$Z$495&lt;=9)*('CONTROL MASTER'!$AB$2:$AB$495&gt;=9)*('CONTROL MASTER'!$AA$2:$AA$495&lt;=6)*('CONTROL MASTER'!$AC$2:$AC$495&gt;=6))*ROW('CONTROL MASTER'!$S$2:$S$495))-(ROW('CONTROL MASTER'!#REF!)-1))),"")),"")</f>
        <v/>
      </c>
      <c r="H53" s="10" t="str">
        <f>IFERROR(IF(SUMPRODUCT((('CONTROL MASTER'!$S$2:$S$495=4)*('CONTROL MASTER'!$T$2:$T$495&lt;=9)*('CONTROL MASTER'!$V$2:$V$495&gt;=9)*('CONTROL MASTER'!$U$2:$U$495&lt;=7)*('CONTROL MASTER'!$W$2:$W$495&gt;=7))*ROW('CONTROL MASTER'!$S$2:$S$495))&gt;0,INDEX('CONTROL MASTER'!$X$2:$X$495,(SUMPRODUCT((('CONTROL MASTER'!$S$2:$S$495=4)*('CONTROL MASTER'!$T$2:$T$495&lt;=9)*('CONTROL MASTER'!$V$2:$V$495&gt;=9)*('CONTROL MASTER'!$U$2:$U$495&lt;=7)*('CONTROL MASTER'!$W$2:$W$495&gt;=7))*ROW('CONTROL MASTER'!$S$2:$S$495))-(ROW('CONTROL MASTER'!#REF!)-1)))&amp;TRIM(MID(SUBSTITUTE(SUBSTITUTE(INDEX('CONTROL MASTER'!$N$2:$N$495,(SUMPRODUCT((('CONTROL MASTER'!$S$2:$S$495=4)*('CONTROL MASTER'!$T$2:$T$495&lt;=9)*('CONTROL MASTER'!$V$2:$V$495&gt;=9)*('CONTROL MASTER'!$U$2:$U$495&lt;=7)*('CONTROL MASTER'!$W$2:$W$495&gt;=7))*ROW('CONTROL MASTER'!$S$2:$S$495))-(ROW('CONTROL MASTER'!#REF!)-1))),":",","),",",REPT(" ",50)),((((9-INDEX('CONTROL MASTER'!$T$2:$T$495,(SUMPRODUCT((('CONTROL MASTER'!$S$2:$S$495=4)*('CONTROL MASTER'!$T$2:$T$495&lt;=9)*('CONTROL MASTER'!$V$2:$V$495&gt;=9)*('CONTROL MASTER'!$U$2:$U$495&lt;=7)*('CONTROL MASTER'!$W$2:$W$495&gt;=7))*ROW('CONTROL MASTER'!$S$2:$S$495))-(ROW('CONTROL MASTER'!#REF!)-1))))*(INDEX('CONTROL MASTER'!$W$2:$W$495,(SUMPRODUCT((('CONTROL MASTER'!$S$2:$S$495=4)*('CONTROL MASTER'!$T$2:$T$495&lt;=9)*('CONTROL MASTER'!$V$2:$V$495&gt;=9)*('CONTROL MASTER'!$U$2:$U$495&lt;=7)*('CONTROL MASTER'!$W$2:$W$495&gt;=7))*ROW('CONTROL MASTER'!$S$2:$S$495))-(ROW('CONTROL MASTER'!#REF!)-1)))-INDEX('CONTROL MASTER'!$U$2:$U$495,(SUMPRODUCT((('CONTROL MASTER'!$S$2:$S$495=4)*('CONTROL MASTER'!$T$2:$T$495&lt;=9)*('CONTROL MASTER'!$V$2:$V$495&gt;=9)*('CONTROL MASTER'!$U$2:$U$495&lt;=7)*('CONTROL MASTER'!$W$2:$W$495&gt;=7))*ROW('CONTROL MASTER'!$S$2:$S$495))-(ROW('CONTROL MASTER'!#REF!)-1)))+1)+(7-INDEX('CONTROL MASTER'!$U$2:$U$495,(SUMPRODUCT((('CONTROL MASTER'!$S$2:$S$495=4)*('CONTROL MASTER'!$T$2:$T$495&lt;=9)*('CONTROL MASTER'!$V$2:$V$495&gt;=9)*('CONTROL MASTER'!$U$2:$U$495&lt;=7)*('CONTROL MASTER'!$W$2:$W$495&gt;=7))*ROW('CONTROL MASTER'!$S$2:$S$495))-(ROW('CONTROL MASTER'!#REF!)-1))))+1))-1)*50+1,50))&amp;"_"&amp;INDEX('CONTROL MASTER'!$P$2:$P$495,(SUMPRODUCT((('CONTROL MASTER'!$S$2:$S$495=4)*('CONTROL MASTER'!$T$2:$T$495&lt;=9)*('CONTROL MASTER'!$V$2:$V$495&gt;=9)*('CONTROL MASTER'!$U$2:$U$495&lt;=7)*('CONTROL MASTER'!$W$2:$W$495&gt;=7))*ROW('CONTROL MASTER'!$S$2:$S$495))-(ROW('CONTROL MASTER'!#REF!)-1))),IF(SUMPRODUCT((('CONTROL MASTER'!$S$2:$S$495=4)*('CONTROL MASTER'!$Z$2:$Z$495&lt;=9)*('CONTROL MASTER'!$AB$2:$AB$495&gt;=9)*('CONTROL MASTER'!$AA$2:$AA$495&lt;=7)*('CONTROL MASTER'!$AC$2:$AC$495&gt;=7))*ROW('CONTROL MASTER'!$S$2:$S$495))&gt;0,INDEX('CONTROL MASTER'!$X$2:$X$495,(SUMPRODUCT((('CONTROL MASTER'!$S$2:$S$495=4)*('CONTROL MASTER'!$Z$2:$Z$495&lt;=9)*('CONTROL MASTER'!$AB$2:$AB$495&gt;=9)*('CONTROL MASTER'!$AA$2:$AA$495&lt;=7)*('CONTROL MASTER'!$AC$2:$AC$495&gt;=7))*ROW('CONTROL MASTER'!$S$2:$S$495))-(ROW('CONTROL MASTER'!#REF!)-1)))&amp;TRIM(MID(SUBSTITUTE(SUBSTITUTE(INDEX('CONTROL MASTER'!$N$2:$N$495,(SUMPRODUCT((('CONTROL MASTER'!$S$2:$S$495=4)*('CONTROL MASTER'!$Z$2:$Z$495&lt;=9)*('CONTROL MASTER'!$AB$2:$AB$495&gt;=9)*('CONTROL MASTER'!$AA$2:$AA$495&lt;=7)*('CONTROL MASTER'!$AC$2:$AC$495&gt;=7))*ROW('CONTROL MASTER'!$S$2:$S$495))-(ROW('CONTROL MASTER'!#REF!)-1))),":",","),",",REPT(" ",50)),(((INDEX('CONTROL MASTER'!$Y$2:$Y$495,(SUMPRODUCT((('CONTROL MASTER'!$S$2:$S$495=4)*('CONTROL MASTER'!$Z$2:$Z$495&lt;=9)*('CONTROL MASTER'!$AB$2:$AB$495&gt;=9)*('CONTROL MASTER'!$AA$2:$AA$495&lt;=7)*('CONTROL MASTER'!$AC$2:$AC$495&gt;=7))*ROW('CONTROL MASTER'!$S$2:$S$495))-(ROW('CONTROL MASTER'!#REF!)-1)))+((9-INDEX('CONTROL MASTER'!$Z$2:$Z$495,(SUMPRODUCT((('CONTROL MASTER'!$S$2:$S$495=4)*('CONTROL MASTER'!$Z$2:$Z$495&lt;=9)*('CONTROL MASTER'!$AB$2:$AB$495&gt;=9)*('CONTROL MASTER'!$AA$2:$AA$495&lt;=7)*('CONTROL MASTER'!$AC$2:$AC$495&gt;=7))*ROW('CONTROL MASTER'!$S$2:$S$495))-(ROW('CONTROL MASTER'!#REF!)-1))))*(INDEX('CONTROL MASTER'!$AC$2:$AC$495,(SUMPRODUCT((('CONTROL MASTER'!$S$2:$S$495=4)*('CONTROL MASTER'!$Z$2:$Z$495&lt;=9)*('CONTROL MASTER'!$AB$2:$AB$495&gt;=9)*('CONTROL MASTER'!$AA$2:$AA$495&lt;=7)*('CONTROL MASTER'!$AC$2:$AC$495&gt;=7))*ROW('CONTROL MASTER'!$S$2:$S$495))-(ROW('CONTROL MASTER'!#REF!)-1)))-INDEX('CONTROL MASTER'!$AA$2:$AA$495,(SUMPRODUCT((('CONTROL MASTER'!$S$2:$S$495=4)*('CONTROL MASTER'!$Z$2:$Z$495&lt;=9)*('CONTROL MASTER'!$AB$2:$AB$495&gt;=9)*('CONTROL MASTER'!$AA$2:$AA$495&lt;=7)*('CONTROL MASTER'!$AC$2:$AC$495&gt;=7))*ROW('CONTROL MASTER'!$S$2:$S$495))-(ROW('CONTROL MASTER'!#REF!)-1)))+1)+(7-INDEX('CONTROL MASTER'!$AA$2:$AA$495,(SUMPRODUCT((('CONTROL MASTER'!$S$2:$S$495=4)*('CONTROL MASTER'!$Z$2:$Z$495&lt;=9)*('CONTROL MASTER'!$AB$2:$AB$495&gt;=9)*('CONTROL MASTER'!$AA$2:$AA$495&lt;=7)*('CONTROL MASTER'!$AC$2:$AC$495&gt;=7))*ROW('CONTROL MASTER'!$S$2:$S$495))-(ROW('CONTROL MASTER'!#REF!)-1))))+1)))-1)*50+1,50))&amp;"_"&amp;INDEX('CONTROL MASTER'!$P$2:$P$495,(SUMPRODUCT((('CONTROL MASTER'!$S$2:$S$495=4)*('CONTROL MASTER'!$Z$2:$Z$495&lt;=9)*('CONTROL MASTER'!$AB$2:$AB$495&gt;=9)*('CONTROL MASTER'!$AA$2:$AA$495&lt;=7)*('CONTROL MASTER'!$AC$2:$AC$495&gt;=7))*ROW('CONTROL MASTER'!$S$2:$S$495))-(ROW('CONTROL MASTER'!#REF!)-1))),"")),"")</f>
        <v/>
      </c>
      <c r="I53" s="10" t="str">
        <f>IFERROR(IF(SUMPRODUCT((('CONTROL MASTER'!$S$2:$S$495=4)*('CONTROL MASTER'!$T$2:$T$495&lt;=9)*('CONTROL MASTER'!$V$2:$V$495&gt;=9)*('CONTROL MASTER'!$U$2:$U$495&lt;=8)*('CONTROL MASTER'!$W$2:$W$495&gt;=8))*ROW('CONTROL MASTER'!$S$2:$S$495))&gt;0,INDEX('CONTROL MASTER'!$X$2:$X$495,(SUMPRODUCT((('CONTROL MASTER'!$S$2:$S$495=4)*('CONTROL MASTER'!$T$2:$T$495&lt;=9)*('CONTROL MASTER'!$V$2:$V$495&gt;=9)*('CONTROL MASTER'!$U$2:$U$495&lt;=8)*('CONTROL MASTER'!$W$2:$W$495&gt;=8))*ROW('CONTROL MASTER'!$S$2:$S$495))-(ROW('CONTROL MASTER'!#REF!)-1)))&amp;TRIM(MID(SUBSTITUTE(SUBSTITUTE(INDEX('CONTROL MASTER'!$N$2:$N$495,(SUMPRODUCT((('CONTROL MASTER'!$S$2:$S$495=4)*('CONTROL MASTER'!$T$2:$T$495&lt;=9)*('CONTROL MASTER'!$V$2:$V$495&gt;=9)*('CONTROL MASTER'!$U$2:$U$495&lt;=8)*('CONTROL MASTER'!$W$2:$W$495&gt;=8))*ROW('CONTROL MASTER'!$S$2:$S$495))-(ROW('CONTROL MASTER'!#REF!)-1))),":",","),",",REPT(" ",50)),((((9-INDEX('CONTROL MASTER'!$T$2:$T$495,(SUMPRODUCT((('CONTROL MASTER'!$S$2:$S$495=4)*('CONTROL MASTER'!$T$2:$T$495&lt;=9)*('CONTROL MASTER'!$V$2:$V$495&gt;=9)*('CONTROL MASTER'!$U$2:$U$495&lt;=8)*('CONTROL MASTER'!$W$2:$W$495&gt;=8))*ROW('CONTROL MASTER'!$S$2:$S$495))-(ROW('CONTROL MASTER'!#REF!)-1))))*(INDEX('CONTROL MASTER'!$W$2:$W$495,(SUMPRODUCT((('CONTROL MASTER'!$S$2:$S$495=4)*('CONTROL MASTER'!$T$2:$T$495&lt;=9)*('CONTROL MASTER'!$V$2:$V$495&gt;=9)*('CONTROL MASTER'!$U$2:$U$495&lt;=8)*('CONTROL MASTER'!$W$2:$W$495&gt;=8))*ROW('CONTROL MASTER'!$S$2:$S$495))-(ROW('CONTROL MASTER'!#REF!)-1)))-INDEX('CONTROL MASTER'!$U$2:$U$495,(SUMPRODUCT((('CONTROL MASTER'!$S$2:$S$495=4)*('CONTROL MASTER'!$T$2:$T$495&lt;=9)*('CONTROL MASTER'!$V$2:$V$495&gt;=9)*('CONTROL MASTER'!$U$2:$U$495&lt;=8)*('CONTROL MASTER'!$W$2:$W$495&gt;=8))*ROW('CONTROL MASTER'!$S$2:$S$495))-(ROW('CONTROL MASTER'!#REF!)-1)))+1)+(8-INDEX('CONTROL MASTER'!$U$2:$U$495,(SUMPRODUCT((('CONTROL MASTER'!$S$2:$S$495=4)*('CONTROL MASTER'!$T$2:$T$495&lt;=9)*('CONTROL MASTER'!$V$2:$V$495&gt;=9)*('CONTROL MASTER'!$U$2:$U$495&lt;=8)*('CONTROL MASTER'!$W$2:$W$495&gt;=8))*ROW('CONTROL MASTER'!$S$2:$S$495))-(ROW('CONTROL MASTER'!#REF!)-1))))+1))-1)*50+1,50))&amp;"_"&amp;INDEX('CONTROL MASTER'!$P$2:$P$495,(SUMPRODUCT((('CONTROL MASTER'!$S$2:$S$495=4)*('CONTROL MASTER'!$T$2:$T$495&lt;=9)*('CONTROL MASTER'!$V$2:$V$495&gt;=9)*('CONTROL MASTER'!$U$2:$U$495&lt;=8)*('CONTROL MASTER'!$W$2:$W$495&gt;=8))*ROW('CONTROL MASTER'!$S$2:$S$495))-(ROW('CONTROL MASTER'!#REF!)-1))),IF(SUMPRODUCT((('CONTROL MASTER'!$S$2:$S$495=4)*('CONTROL MASTER'!$Z$2:$Z$495&lt;=9)*('CONTROL MASTER'!$AB$2:$AB$495&gt;=9)*('CONTROL MASTER'!$AA$2:$AA$495&lt;=8)*('CONTROL MASTER'!$AC$2:$AC$495&gt;=8))*ROW('CONTROL MASTER'!$S$2:$S$495))&gt;0,INDEX('CONTROL MASTER'!$X$2:$X$495,(SUMPRODUCT((('CONTROL MASTER'!$S$2:$S$495=4)*('CONTROL MASTER'!$Z$2:$Z$495&lt;=9)*('CONTROL MASTER'!$AB$2:$AB$495&gt;=9)*('CONTROL MASTER'!$AA$2:$AA$495&lt;=8)*('CONTROL MASTER'!$AC$2:$AC$495&gt;=8))*ROW('CONTROL MASTER'!$S$2:$S$495))-(ROW('CONTROL MASTER'!#REF!)-1)))&amp;TRIM(MID(SUBSTITUTE(SUBSTITUTE(INDEX('CONTROL MASTER'!$N$2:$N$495,(SUMPRODUCT((('CONTROL MASTER'!$S$2:$S$495=4)*('CONTROL MASTER'!$Z$2:$Z$495&lt;=9)*('CONTROL MASTER'!$AB$2:$AB$495&gt;=9)*('CONTROL MASTER'!$AA$2:$AA$495&lt;=8)*('CONTROL MASTER'!$AC$2:$AC$495&gt;=8))*ROW('CONTROL MASTER'!$S$2:$S$495))-(ROW('CONTROL MASTER'!#REF!)-1))),":",","),",",REPT(" ",50)),(((INDEX('CONTROL MASTER'!$Y$2:$Y$495,(SUMPRODUCT((('CONTROL MASTER'!$S$2:$S$495=4)*('CONTROL MASTER'!$Z$2:$Z$495&lt;=9)*('CONTROL MASTER'!$AB$2:$AB$495&gt;=9)*('CONTROL MASTER'!$AA$2:$AA$495&lt;=8)*('CONTROL MASTER'!$AC$2:$AC$495&gt;=8))*ROW('CONTROL MASTER'!$S$2:$S$495))-(ROW('CONTROL MASTER'!#REF!)-1)))+((9-INDEX('CONTROL MASTER'!$Z$2:$Z$495,(SUMPRODUCT((('CONTROL MASTER'!$S$2:$S$495=4)*('CONTROL MASTER'!$Z$2:$Z$495&lt;=9)*('CONTROL MASTER'!$AB$2:$AB$495&gt;=9)*('CONTROL MASTER'!$AA$2:$AA$495&lt;=8)*('CONTROL MASTER'!$AC$2:$AC$495&gt;=8))*ROW('CONTROL MASTER'!$S$2:$S$495))-(ROW('CONTROL MASTER'!#REF!)-1))))*(INDEX('CONTROL MASTER'!$AC$2:$AC$495,(SUMPRODUCT((('CONTROL MASTER'!$S$2:$S$495=4)*('CONTROL MASTER'!$Z$2:$Z$495&lt;=9)*('CONTROL MASTER'!$AB$2:$AB$495&gt;=9)*('CONTROL MASTER'!$AA$2:$AA$495&lt;=8)*('CONTROL MASTER'!$AC$2:$AC$495&gt;=8))*ROW('CONTROL MASTER'!$S$2:$S$495))-(ROW('CONTROL MASTER'!#REF!)-1)))-INDEX('CONTROL MASTER'!$AA$2:$AA$495,(SUMPRODUCT((('CONTROL MASTER'!$S$2:$S$495=4)*('CONTROL MASTER'!$Z$2:$Z$495&lt;=9)*('CONTROL MASTER'!$AB$2:$AB$495&gt;=9)*('CONTROL MASTER'!$AA$2:$AA$495&lt;=8)*('CONTROL MASTER'!$AC$2:$AC$495&gt;=8))*ROW('CONTROL MASTER'!$S$2:$S$495))-(ROW('CONTROL MASTER'!#REF!)-1)))+1)+(8-INDEX('CONTROL MASTER'!$AA$2:$AA$495,(SUMPRODUCT((('CONTROL MASTER'!$S$2:$S$495=4)*('CONTROL MASTER'!$Z$2:$Z$495&lt;=9)*('CONTROL MASTER'!$AB$2:$AB$495&gt;=9)*('CONTROL MASTER'!$AA$2:$AA$495&lt;=8)*('CONTROL MASTER'!$AC$2:$AC$495&gt;=8))*ROW('CONTROL MASTER'!$S$2:$S$495))-(ROW('CONTROL MASTER'!#REF!)-1))))+1)))-1)*50+1,50))&amp;"_"&amp;INDEX('CONTROL MASTER'!$P$2:$P$495,(SUMPRODUCT((('CONTROL MASTER'!$S$2:$S$495=4)*('CONTROL MASTER'!$Z$2:$Z$495&lt;=9)*('CONTROL MASTER'!$AB$2:$AB$495&gt;=9)*('CONTROL MASTER'!$AA$2:$AA$495&lt;=8)*('CONTROL MASTER'!$AC$2:$AC$495&gt;=8))*ROW('CONTROL MASTER'!$S$2:$S$495))-(ROW('CONTROL MASTER'!#REF!)-1))),"")),"")</f>
        <v/>
      </c>
      <c r="J53" s="10" t="str">
        <f>IFERROR(IF(SUMPRODUCT((('CONTROL MASTER'!$S$2:$S$495=4)*('CONTROL MASTER'!$T$2:$T$495&lt;=9)*('CONTROL MASTER'!$V$2:$V$495&gt;=9)*('CONTROL MASTER'!$U$2:$U$495&lt;=9)*('CONTROL MASTER'!$W$2:$W$495&gt;=9))*ROW('CONTROL MASTER'!$S$2:$S$495))&gt;0,INDEX('CONTROL MASTER'!$X$2:$X$495,(SUMPRODUCT((('CONTROL MASTER'!$S$2:$S$495=4)*('CONTROL MASTER'!$T$2:$T$495&lt;=9)*('CONTROL MASTER'!$V$2:$V$495&gt;=9)*('CONTROL MASTER'!$U$2:$U$495&lt;=9)*('CONTROL MASTER'!$W$2:$W$495&gt;=9))*ROW('CONTROL MASTER'!$S$2:$S$495))-(ROW('CONTROL MASTER'!#REF!)-1)))&amp;TRIM(MID(SUBSTITUTE(SUBSTITUTE(INDEX('CONTROL MASTER'!$N$2:$N$495,(SUMPRODUCT((('CONTROL MASTER'!$S$2:$S$495=4)*('CONTROL MASTER'!$T$2:$T$495&lt;=9)*('CONTROL MASTER'!$V$2:$V$495&gt;=9)*('CONTROL MASTER'!$U$2:$U$495&lt;=9)*('CONTROL MASTER'!$W$2:$W$495&gt;=9))*ROW('CONTROL MASTER'!$S$2:$S$495))-(ROW('CONTROL MASTER'!#REF!)-1))),":",","),",",REPT(" ",50)),((((9-INDEX('CONTROL MASTER'!$T$2:$T$495,(SUMPRODUCT((('CONTROL MASTER'!$S$2:$S$495=4)*('CONTROL MASTER'!$T$2:$T$495&lt;=9)*('CONTROL MASTER'!$V$2:$V$495&gt;=9)*('CONTROL MASTER'!$U$2:$U$495&lt;=9)*('CONTROL MASTER'!$W$2:$W$495&gt;=9))*ROW('CONTROL MASTER'!$S$2:$S$495))-(ROW('CONTROL MASTER'!#REF!)-1))))*(INDEX('CONTROL MASTER'!$W$2:$W$495,(SUMPRODUCT((('CONTROL MASTER'!$S$2:$S$495=4)*('CONTROL MASTER'!$T$2:$T$495&lt;=9)*('CONTROL MASTER'!$V$2:$V$495&gt;=9)*('CONTROL MASTER'!$U$2:$U$495&lt;=9)*('CONTROL MASTER'!$W$2:$W$495&gt;=9))*ROW('CONTROL MASTER'!$S$2:$S$495))-(ROW('CONTROL MASTER'!#REF!)-1)))-INDEX('CONTROL MASTER'!$U$2:$U$495,(SUMPRODUCT((('CONTROL MASTER'!$S$2:$S$495=4)*('CONTROL MASTER'!$T$2:$T$495&lt;=9)*('CONTROL MASTER'!$V$2:$V$495&gt;=9)*('CONTROL MASTER'!$U$2:$U$495&lt;=9)*('CONTROL MASTER'!$W$2:$W$495&gt;=9))*ROW('CONTROL MASTER'!$S$2:$S$495))-(ROW('CONTROL MASTER'!#REF!)-1)))+1)+(9-INDEX('CONTROL MASTER'!$U$2:$U$495,(SUMPRODUCT((('CONTROL MASTER'!$S$2:$S$495=4)*('CONTROL MASTER'!$T$2:$T$495&lt;=9)*('CONTROL MASTER'!$V$2:$V$495&gt;=9)*('CONTROL MASTER'!$U$2:$U$495&lt;=9)*('CONTROL MASTER'!$W$2:$W$495&gt;=9))*ROW('CONTROL MASTER'!$S$2:$S$495))-(ROW('CONTROL MASTER'!#REF!)-1))))+1))-1)*50+1,50))&amp;"_"&amp;INDEX('CONTROL MASTER'!$P$2:$P$495,(SUMPRODUCT((('CONTROL MASTER'!$S$2:$S$495=4)*('CONTROL MASTER'!$T$2:$T$495&lt;=9)*('CONTROL MASTER'!$V$2:$V$495&gt;=9)*('CONTROL MASTER'!$U$2:$U$495&lt;=9)*('CONTROL MASTER'!$W$2:$W$495&gt;=9))*ROW('CONTROL MASTER'!$S$2:$S$495))-(ROW('CONTROL MASTER'!#REF!)-1))),IF(SUMPRODUCT((('CONTROL MASTER'!$S$2:$S$495=4)*('CONTROL MASTER'!$Z$2:$Z$495&lt;=9)*('CONTROL MASTER'!$AB$2:$AB$495&gt;=9)*('CONTROL MASTER'!$AA$2:$AA$495&lt;=9)*('CONTROL MASTER'!$AC$2:$AC$495&gt;=9))*ROW('CONTROL MASTER'!$S$2:$S$495))&gt;0,INDEX('CONTROL MASTER'!$X$2:$X$495,(SUMPRODUCT((('CONTROL MASTER'!$S$2:$S$495=4)*('CONTROL MASTER'!$Z$2:$Z$495&lt;=9)*('CONTROL MASTER'!$AB$2:$AB$495&gt;=9)*('CONTROL MASTER'!$AA$2:$AA$495&lt;=9)*('CONTROL MASTER'!$AC$2:$AC$495&gt;=9))*ROW('CONTROL MASTER'!$S$2:$S$495))-(ROW('CONTROL MASTER'!#REF!)-1)))&amp;TRIM(MID(SUBSTITUTE(SUBSTITUTE(INDEX('CONTROL MASTER'!$N$2:$N$495,(SUMPRODUCT((('CONTROL MASTER'!$S$2:$S$495=4)*('CONTROL MASTER'!$Z$2:$Z$495&lt;=9)*('CONTROL MASTER'!$AB$2:$AB$495&gt;=9)*('CONTROL MASTER'!$AA$2:$AA$495&lt;=9)*('CONTROL MASTER'!$AC$2:$AC$495&gt;=9))*ROW('CONTROL MASTER'!$S$2:$S$495))-(ROW('CONTROL MASTER'!#REF!)-1))),":",","),",",REPT(" ",50)),(((INDEX('CONTROL MASTER'!$Y$2:$Y$495,(SUMPRODUCT((('CONTROL MASTER'!$S$2:$S$495=4)*('CONTROL MASTER'!$Z$2:$Z$495&lt;=9)*('CONTROL MASTER'!$AB$2:$AB$495&gt;=9)*('CONTROL MASTER'!$AA$2:$AA$495&lt;=9)*('CONTROL MASTER'!$AC$2:$AC$495&gt;=9))*ROW('CONTROL MASTER'!$S$2:$S$495))-(ROW('CONTROL MASTER'!#REF!)-1)))+((9-INDEX('CONTROL MASTER'!$Z$2:$Z$495,(SUMPRODUCT((('CONTROL MASTER'!$S$2:$S$495=4)*('CONTROL MASTER'!$Z$2:$Z$495&lt;=9)*('CONTROL MASTER'!$AB$2:$AB$495&gt;=9)*('CONTROL MASTER'!$AA$2:$AA$495&lt;=9)*('CONTROL MASTER'!$AC$2:$AC$495&gt;=9))*ROW('CONTROL MASTER'!$S$2:$S$495))-(ROW('CONTROL MASTER'!#REF!)-1))))*(INDEX('CONTROL MASTER'!$AC$2:$AC$495,(SUMPRODUCT((('CONTROL MASTER'!$S$2:$S$495=4)*('CONTROL MASTER'!$Z$2:$Z$495&lt;=9)*('CONTROL MASTER'!$AB$2:$AB$495&gt;=9)*('CONTROL MASTER'!$AA$2:$AA$495&lt;=9)*('CONTROL MASTER'!$AC$2:$AC$495&gt;=9))*ROW('CONTROL MASTER'!$S$2:$S$495))-(ROW('CONTROL MASTER'!#REF!)-1)))-INDEX('CONTROL MASTER'!$AA$2:$AA$495,(SUMPRODUCT((('CONTROL MASTER'!$S$2:$S$495=4)*('CONTROL MASTER'!$Z$2:$Z$495&lt;=9)*('CONTROL MASTER'!$AB$2:$AB$495&gt;=9)*('CONTROL MASTER'!$AA$2:$AA$495&lt;=9)*('CONTROL MASTER'!$AC$2:$AC$495&gt;=9))*ROW('CONTROL MASTER'!$S$2:$S$495))-(ROW('CONTROL MASTER'!#REF!)-1)))+1)+(9-INDEX('CONTROL MASTER'!$AA$2:$AA$495,(SUMPRODUCT((('CONTROL MASTER'!$S$2:$S$495=4)*('CONTROL MASTER'!$Z$2:$Z$495&lt;=9)*('CONTROL MASTER'!$AB$2:$AB$495&gt;=9)*('CONTROL MASTER'!$AA$2:$AA$495&lt;=9)*('CONTROL MASTER'!$AC$2:$AC$495&gt;=9))*ROW('CONTROL MASTER'!$S$2:$S$495))-(ROW('CONTROL MASTER'!#REF!)-1))))+1)))-1)*50+1,50))&amp;"_"&amp;INDEX('CONTROL MASTER'!$P$2:$P$495,(SUMPRODUCT((('CONTROL MASTER'!$S$2:$S$495=4)*('CONTROL MASTER'!$Z$2:$Z$495&lt;=9)*('CONTROL MASTER'!$AB$2:$AB$495&gt;=9)*('CONTROL MASTER'!$AA$2:$AA$495&lt;=9)*('CONTROL MASTER'!$AC$2:$AC$495&gt;=9))*ROW('CONTROL MASTER'!$S$2:$S$495))-(ROW('CONTROL MASTER'!#REF!)-1))),"")),"")</f>
        <v/>
      </c>
      <c r="K53" s="10" t="str">
        <f>IFERROR(IF(SUMPRODUCT((('CONTROL MASTER'!$S$2:$S$495=4)*('CONTROL MASTER'!$T$2:$T$495&lt;=9)*('CONTROL MASTER'!$V$2:$V$495&gt;=9)*('CONTROL MASTER'!$U$2:$U$495&lt;=10)*('CONTROL MASTER'!$W$2:$W$495&gt;=10))*ROW('CONTROL MASTER'!$S$2:$S$495))&gt;0,INDEX('CONTROL MASTER'!$X$2:$X$495,(SUMPRODUCT((('CONTROL MASTER'!$S$2:$S$495=4)*('CONTROL MASTER'!$T$2:$T$495&lt;=9)*('CONTROL MASTER'!$V$2:$V$495&gt;=9)*('CONTROL MASTER'!$U$2:$U$495&lt;=10)*('CONTROL MASTER'!$W$2:$W$495&gt;=10))*ROW('CONTROL MASTER'!$S$2:$S$495))-(ROW('CONTROL MASTER'!#REF!)-1)))&amp;TRIM(MID(SUBSTITUTE(SUBSTITUTE(INDEX('CONTROL MASTER'!$N$2:$N$495,(SUMPRODUCT((('CONTROL MASTER'!$S$2:$S$495=4)*('CONTROL MASTER'!$T$2:$T$495&lt;=9)*('CONTROL MASTER'!$V$2:$V$495&gt;=9)*('CONTROL MASTER'!$U$2:$U$495&lt;=10)*('CONTROL MASTER'!$W$2:$W$495&gt;=10))*ROW('CONTROL MASTER'!$S$2:$S$495))-(ROW('CONTROL MASTER'!#REF!)-1))),":",","),",",REPT(" ",50)),((((9-INDEX('CONTROL MASTER'!$T$2:$T$495,(SUMPRODUCT((('CONTROL MASTER'!$S$2:$S$495=4)*('CONTROL MASTER'!$T$2:$T$495&lt;=9)*('CONTROL MASTER'!$V$2:$V$495&gt;=9)*('CONTROL MASTER'!$U$2:$U$495&lt;=10)*('CONTROL MASTER'!$W$2:$W$495&gt;=10))*ROW('CONTROL MASTER'!$S$2:$S$495))-(ROW('CONTROL MASTER'!#REF!)-1))))*(INDEX('CONTROL MASTER'!$W$2:$W$495,(SUMPRODUCT((('CONTROL MASTER'!$S$2:$S$495=4)*('CONTROL MASTER'!$T$2:$T$495&lt;=9)*('CONTROL MASTER'!$V$2:$V$495&gt;=9)*('CONTROL MASTER'!$U$2:$U$495&lt;=10)*('CONTROL MASTER'!$W$2:$W$495&gt;=10))*ROW('CONTROL MASTER'!$S$2:$S$495))-(ROW('CONTROL MASTER'!#REF!)-1)))-INDEX('CONTROL MASTER'!$U$2:$U$495,(SUMPRODUCT((('CONTROL MASTER'!$S$2:$S$495=4)*('CONTROL MASTER'!$T$2:$T$495&lt;=9)*('CONTROL MASTER'!$V$2:$V$495&gt;=9)*('CONTROL MASTER'!$U$2:$U$495&lt;=10)*('CONTROL MASTER'!$W$2:$W$495&gt;=10))*ROW('CONTROL MASTER'!$S$2:$S$495))-(ROW('CONTROL MASTER'!#REF!)-1)))+1)+(10-INDEX('CONTROL MASTER'!$U$2:$U$495,(SUMPRODUCT((('CONTROL MASTER'!$S$2:$S$495=4)*('CONTROL MASTER'!$T$2:$T$495&lt;=9)*('CONTROL MASTER'!$V$2:$V$495&gt;=9)*('CONTROL MASTER'!$U$2:$U$495&lt;=10)*('CONTROL MASTER'!$W$2:$W$495&gt;=10))*ROW('CONTROL MASTER'!$S$2:$S$495))-(ROW('CONTROL MASTER'!#REF!)-1))))+1))-1)*50+1,50))&amp;"_"&amp;INDEX('CONTROL MASTER'!$P$2:$P$495,(SUMPRODUCT((('CONTROL MASTER'!$S$2:$S$495=4)*('CONTROL MASTER'!$T$2:$T$495&lt;=9)*('CONTROL MASTER'!$V$2:$V$495&gt;=9)*('CONTROL MASTER'!$U$2:$U$495&lt;=10)*('CONTROL MASTER'!$W$2:$W$495&gt;=10))*ROW('CONTROL MASTER'!$S$2:$S$495))-(ROW('CONTROL MASTER'!#REF!)-1))),IF(SUMPRODUCT((('CONTROL MASTER'!$S$2:$S$495=4)*('CONTROL MASTER'!$Z$2:$Z$495&lt;=9)*('CONTROL MASTER'!$AB$2:$AB$495&gt;=9)*('CONTROL MASTER'!$AA$2:$AA$495&lt;=10)*('CONTROL MASTER'!$AC$2:$AC$495&gt;=10))*ROW('CONTROL MASTER'!$S$2:$S$495))&gt;0,INDEX('CONTROL MASTER'!$X$2:$X$495,(SUMPRODUCT((('CONTROL MASTER'!$S$2:$S$495=4)*('CONTROL MASTER'!$Z$2:$Z$495&lt;=9)*('CONTROL MASTER'!$AB$2:$AB$495&gt;=9)*('CONTROL MASTER'!$AA$2:$AA$495&lt;=10)*('CONTROL MASTER'!$AC$2:$AC$495&gt;=10))*ROW('CONTROL MASTER'!$S$2:$S$495))-(ROW('CONTROL MASTER'!#REF!)-1)))&amp;TRIM(MID(SUBSTITUTE(SUBSTITUTE(INDEX('CONTROL MASTER'!$N$2:$N$495,(SUMPRODUCT((('CONTROL MASTER'!$S$2:$S$495=4)*('CONTROL MASTER'!$Z$2:$Z$495&lt;=9)*('CONTROL MASTER'!$AB$2:$AB$495&gt;=9)*('CONTROL MASTER'!$AA$2:$AA$495&lt;=10)*('CONTROL MASTER'!$AC$2:$AC$495&gt;=10))*ROW('CONTROL MASTER'!$S$2:$S$495))-(ROW('CONTROL MASTER'!#REF!)-1))),":",","),",",REPT(" ",50)),(((INDEX('CONTROL MASTER'!$Y$2:$Y$495,(SUMPRODUCT((('CONTROL MASTER'!$S$2:$S$495=4)*('CONTROL MASTER'!$Z$2:$Z$495&lt;=9)*('CONTROL MASTER'!$AB$2:$AB$495&gt;=9)*('CONTROL MASTER'!$AA$2:$AA$495&lt;=10)*('CONTROL MASTER'!$AC$2:$AC$495&gt;=10))*ROW('CONTROL MASTER'!$S$2:$S$495))-(ROW('CONTROL MASTER'!#REF!)-1)))+((9-INDEX('CONTROL MASTER'!$Z$2:$Z$495,(SUMPRODUCT((('CONTROL MASTER'!$S$2:$S$495=4)*('CONTROL MASTER'!$Z$2:$Z$495&lt;=9)*('CONTROL MASTER'!$AB$2:$AB$495&gt;=9)*('CONTROL MASTER'!$AA$2:$AA$495&lt;=10)*('CONTROL MASTER'!$AC$2:$AC$495&gt;=10))*ROW('CONTROL MASTER'!$S$2:$S$495))-(ROW('CONTROL MASTER'!#REF!)-1))))*(INDEX('CONTROL MASTER'!$AC$2:$AC$495,(SUMPRODUCT((('CONTROL MASTER'!$S$2:$S$495=4)*('CONTROL MASTER'!$Z$2:$Z$495&lt;=9)*('CONTROL MASTER'!$AB$2:$AB$495&gt;=9)*('CONTROL MASTER'!$AA$2:$AA$495&lt;=10)*('CONTROL MASTER'!$AC$2:$AC$495&gt;=10))*ROW('CONTROL MASTER'!$S$2:$S$495))-(ROW('CONTROL MASTER'!#REF!)-1)))-INDEX('CONTROL MASTER'!$AA$2:$AA$495,(SUMPRODUCT((('CONTROL MASTER'!$S$2:$S$495=4)*('CONTROL MASTER'!$Z$2:$Z$495&lt;=9)*('CONTROL MASTER'!$AB$2:$AB$495&gt;=9)*('CONTROL MASTER'!$AA$2:$AA$495&lt;=10)*('CONTROL MASTER'!$AC$2:$AC$495&gt;=10))*ROW('CONTROL MASTER'!$S$2:$S$495))-(ROW('CONTROL MASTER'!#REF!)-1)))+1)+(10-INDEX('CONTROL MASTER'!$AA$2:$AA$495,(SUMPRODUCT((('CONTROL MASTER'!$S$2:$S$495=4)*('CONTROL MASTER'!$Z$2:$Z$495&lt;=9)*('CONTROL MASTER'!$AB$2:$AB$495&gt;=9)*('CONTROL MASTER'!$AA$2:$AA$495&lt;=10)*('CONTROL MASTER'!$AC$2:$AC$495&gt;=10))*ROW('CONTROL MASTER'!$S$2:$S$495))-(ROW('CONTROL MASTER'!#REF!)-1))))+1)))-1)*50+1,50))&amp;"_"&amp;INDEX('CONTROL MASTER'!$P$2:$P$495,(SUMPRODUCT((('CONTROL MASTER'!$S$2:$S$495=4)*('CONTROL MASTER'!$Z$2:$Z$495&lt;=9)*('CONTROL MASTER'!$AB$2:$AB$495&gt;=9)*('CONTROL MASTER'!$AA$2:$AA$495&lt;=10)*('CONTROL MASTER'!$AC$2:$AC$495&gt;=10))*ROW('CONTROL MASTER'!$S$2:$S$495))-(ROW('CONTROL MASTER'!#REF!)-1))),"")),"")</f>
        <v/>
      </c>
    </row>
    <row r="54" spans="1:11" ht="15" customHeight="1" x14ac:dyDescent="0.35">
      <c r="A54" s="8" t="s">
        <v>82</v>
      </c>
      <c r="B54" s="10" t="str">
        <f>IFERROR(IF(SUMPRODUCT((('CONTROL MASTER'!$S$2:$S$495=4)*('CONTROL MASTER'!$T$2:$T$495&lt;=10)*('CONTROL MASTER'!$V$2:$V$495&gt;=10)*('CONTROL MASTER'!$U$2:$U$495&lt;=1)*('CONTROL MASTER'!$W$2:$W$495&gt;=1))*ROW('CONTROL MASTER'!$S$2:$S$495))&gt;0,INDEX('CONTROL MASTER'!$X$2:$X$495,(SUMPRODUCT((('CONTROL MASTER'!$S$2:$S$495=4)*('CONTROL MASTER'!$T$2:$T$495&lt;=10)*('CONTROL MASTER'!$V$2:$V$495&gt;=10)*('CONTROL MASTER'!$U$2:$U$495&lt;=1)*('CONTROL MASTER'!$W$2:$W$495&gt;=1))*ROW('CONTROL MASTER'!$S$2:$S$495))-(ROW('CONTROL MASTER'!#REF!)-1)))&amp;TRIM(MID(SUBSTITUTE(SUBSTITUTE(INDEX('CONTROL MASTER'!$N$2:$N$495,(SUMPRODUCT((('CONTROL MASTER'!$S$2:$S$495=4)*('CONTROL MASTER'!$T$2:$T$495&lt;=10)*('CONTROL MASTER'!$V$2:$V$495&gt;=10)*('CONTROL MASTER'!$U$2:$U$495&lt;=1)*('CONTROL MASTER'!$W$2:$W$495&gt;=1))*ROW('CONTROL MASTER'!$S$2:$S$495))-(ROW('CONTROL MASTER'!#REF!)-1))),":",","),",",REPT(" ",50)),((((10-INDEX('CONTROL MASTER'!$T$2:$T$495,(SUMPRODUCT((('CONTROL MASTER'!$S$2:$S$495=4)*('CONTROL MASTER'!$T$2:$T$495&lt;=10)*('CONTROL MASTER'!$V$2:$V$495&gt;=10)*('CONTROL MASTER'!$U$2:$U$495&lt;=1)*('CONTROL MASTER'!$W$2:$W$495&gt;=1))*ROW('CONTROL MASTER'!$S$2:$S$495))-(ROW('CONTROL MASTER'!#REF!)-1))))*(INDEX('CONTROL MASTER'!$W$2:$W$495,(SUMPRODUCT((('CONTROL MASTER'!$S$2:$S$495=4)*('CONTROL MASTER'!$T$2:$T$495&lt;=10)*('CONTROL MASTER'!$V$2:$V$495&gt;=10)*('CONTROL MASTER'!$U$2:$U$495&lt;=1)*('CONTROL MASTER'!$W$2:$W$495&gt;=1))*ROW('CONTROL MASTER'!$S$2:$S$495))-(ROW('CONTROL MASTER'!#REF!)-1)))-INDEX('CONTROL MASTER'!$U$2:$U$495,(SUMPRODUCT((('CONTROL MASTER'!$S$2:$S$495=4)*('CONTROL MASTER'!$T$2:$T$495&lt;=10)*('CONTROL MASTER'!$V$2:$V$495&gt;=10)*('CONTROL MASTER'!$U$2:$U$495&lt;=1)*('CONTROL MASTER'!$W$2:$W$495&gt;=1))*ROW('CONTROL MASTER'!$S$2:$S$495))-(ROW('CONTROL MASTER'!#REF!)-1)))+1)+(1-INDEX('CONTROL MASTER'!$U$2:$U$495,(SUMPRODUCT((('CONTROL MASTER'!$S$2:$S$495=4)*('CONTROL MASTER'!$T$2:$T$495&lt;=10)*('CONTROL MASTER'!$V$2:$V$495&gt;=10)*('CONTROL MASTER'!$U$2:$U$495&lt;=1)*('CONTROL MASTER'!$W$2:$W$495&gt;=1))*ROW('CONTROL MASTER'!$S$2:$S$495))-(ROW('CONTROL MASTER'!#REF!)-1))))+1))-1)*50+1,50))&amp;"_"&amp;INDEX('CONTROL MASTER'!$P$2:$P$495,(SUMPRODUCT((('CONTROL MASTER'!$S$2:$S$495=4)*('CONTROL MASTER'!$T$2:$T$495&lt;=10)*('CONTROL MASTER'!$V$2:$V$495&gt;=10)*('CONTROL MASTER'!$U$2:$U$495&lt;=1)*('CONTROL MASTER'!$W$2:$W$495&gt;=1))*ROW('CONTROL MASTER'!$S$2:$S$495))-(ROW('CONTROL MASTER'!#REF!)-1))),IF(SUMPRODUCT((('CONTROL MASTER'!$S$2:$S$495=4)*('CONTROL MASTER'!$Z$2:$Z$495&lt;=10)*('CONTROL MASTER'!$AB$2:$AB$495&gt;=10)*('CONTROL MASTER'!$AA$2:$AA$495&lt;=1)*('CONTROL MASTER'!$AC$2:$AC$495&gt;=1))*ROW('CONTROL MASTER'!$S$2:$S$495))&gt;0,INDEX('CONTROL MASTER'!$X$2:$X$495,(SUMPRODUCT((('CONTROL MASTER'!$S$2:$S$495=4)*('CONTROL MASTER'!$Z$2:$Z$495&lt;=10)*('CONTROL MASTER'!$AB$2:$AB$495&gt;=10)*('CONTROL MASTER'!$AA$2:$AA$495&lt;=1)*('CONTROL MASTER'!$AC$2:$AC$495&gt;=1))*ROW('CONTROL MASTER'!$S$2:$S$495))-(ROW('CONTROL MASTER'!#REF!)-1)))&amp;TRIM(MID(SUBSTITUTE(SUBSTITUTE(INDEX('CONTROL MASTER'!$N$2:$N$495,(SUMPRODUCT((('CONTROL MASTER'!$S$2:$S$495=4)*('CONTROL MASTER'!$Z$2:$Z$495&lt;=10)*('CONTROL MASTER'!$AB$2:$AB$495&gt;=10)*('CONTROL MASTER'!$AA$2:$AA$495&lt;=1)*('CONTROL MASTER'!$AC$2:$AC$495&gt;=1))*ROW('CONTROL MASTER'!$S$2:$S$495))-(ROW('CONTROL MASTER'!#REF!)-1))),":",","),",",REPT(" ",50)),(((INDEX('CONTROL MASTER'!$Y$2:$Y$495,(SUMPRODUCT((('CONTROL MASTER'!$S$2:$S$495=4)*('CONTROL MASTER'!$Z$2:$Z$495&lt;=10)*('CONTROL MASTER'!$AB$2:$AB$495&gt;=10)*('CONTROL MASTER'!$AA$2:$AA$495&lt;=1)*('CONTROL MASTER'!$AC$2:$AC$495&gt;=1))*ROW('CONTROL MASTER'!$S$2:$S$495))-(ROW('CONTROL MASTER'!#REF!)-1)))+((10-INDEX('CONTROL MASTER'!$Z$2:$Z$495,(SUMPRODUCT((('CONTROL MASTER'!$S$2:$S$495=4)*('CONTROL MASTER'!$Z$2:$Z$495&lt;=10)*('CONTROL MASTER'!$AB$2:$AB$495&gt;=10)*('CONTROL MASTER'!$AA$2:$AA$495&lt;=1)*('CONTROL MASTER'!$AC$2:$AC$495&gt;=1))*ROW('CONTROL MASTER'!$S$2:$S$495))-(ROW('CONTROL MASTER'!#REF!)-1))))*(INDEX('CONTROL MASTER'!$AC$2:$AC$495,(SUMPRODUCT((('CONTROL MASTER'!$S$2:$S$495=4)*('CONTROL MASTER'!$Z$2:$Z$495&lt;=10)*('CONTROL MASTER'!$AB$2:$AB$495&gt;=10)*('CONTROL MASTER'!$AA$2:$AA$495&lt;=1)*('CONTROL MASTER'!$AC$2:$AC$495&gt;=1))*ROW('CONTROL MASTER'!$S$2:$S$495))-(ROW('CONTROL MASTER'!#REF!)-1)))-INDEX('CONTROL MASTER'!$AA$2:$AA$495,(SUMPRODUCT((('CONTROL MASTER'!$S$2:$S$495=4)*('CONTROL MASTER'!$Z$2:$Z$495&lt;=10)*('CONTROL MASTER'!$AB$2:$AB$495&gt;=10)*('CONTROL MASTER'!$AA$2:$AA$495&lt;=1)*('CONTROL MASTER'!$AC$2:$AC$495&gt;=1))*ROW('CONTROL MASTER'!$S$2:$S$495))-(ROW('CONTROL MASTER'!#REF!)-1)))+1)+(1-INDEX('CONTROL MASTER'!$AA$2:$AA$495,(SUMPRODUCT((('CONTROL MASTER'!$S$2:$S$495=4)*('CONTROL MASTER'!$Z$2:$Z$495&lt;=10)*('CONTROL MASTER'!$AB$2:$AB$495&gt;=10)*('CONTROL MASTER'!$AA$2:$AA$495&lt;=1)*('CONTROL MASTER'!$AC$2:$AC$495&gt;=1))*ROW('CONTROL MASTER'!$S$2:$S$495))-(ROW('CONTROL MASTER'!#REF!)-1))))+1)))-1)*50+1,50))&amp;"_"&amp;INDEX('CONTROL MASTER'!$P$2:$P$495,(SUMPRODUCT((('CONTROL MASTER'!$S$2:$S$495=4)*('CONTROL MASTER'!$Z$2:$Z$495&lt;=10)*('CONTROL MASTER'!$AB$2:$AB$495&gt;=10)*('CONTROL MASTER'!$AA$2:$AA$495&lt;=1)*('CONTROL MASTER'!$AC$2:$AC$495&gt;=1))*ROW('CONTROL MASTER'!$S$2:$S$495))-(ROW('CONTROL MASTER'!#REF!)-1))),"")),"")</f>
        <v/>
      </c>
      <c r="C54" s="10" t="str">
        <f>IFERROR(IF(SUMPRODUCT((('CONTROL MASTER'!$S$2:$S$495=4)*('CONTROL MASTER'!$T$2:$T$495&lt;=10)*('CONTROL MASTER'!$V$2:$V$495&gt;=10)*('CONTROL MASTER'!$U$2:$U$495&lt;=2)*('CONTROL MASTER'!$W$2:$W$495&gt;=2))*ROW('CONTROL MASTER'!$S$2:$S$495))&gt;0,INDEX('CONTROL MASTER'!$X$2:$X$495,(SUMPRODUCT((('CONTROL MASTER'!$S$2:$S$495=4)*('CONTROL MASTER'!$T$2:$T$495&lt;=10)*('CONTROL MASTER'!$V$2:$V$495&gt;=10)*('CONTROL MASTER'!$U$2:$U$495&lt;=2)*('CONTROL MASTER'!$W$2:$W$495&gt;=2))*ROW('CONTROL MASTER'!$S$2:$S$495))-(ROW('CONTROL MASTER'!#REF!)-1)))&amp;TRIM(MID(SUBSTITUTE(SUBSTITUTE(INDEX('CONTROL MASTER'!$N$2:$N$495,(SUMPRODUCT((('CONTROL MASTER'!$S$2:$S$495=4)*('CONTROL MASTER'!$T$2:$T$495&lt;=10)*('CONTROL MASTER'!$V$2:$V$495&gt;=10)*('CONTROL MASTER'!$U$2:$U$495&lt;=2)*('CONTROL MASTER'!$W$2:$W$495&gt;=2))*ROW('CONTROL MASTER'!$S$2:$S$495))-(ROW('CONTROL MASTER'!#REF!)-1))),":",","),",",REPT(" ",50)),((((10-INDEX('CONTROL MASTER'!$T$2:$T$495,(SUMPRODUCT((('CONTROL MASTER'!$S$2:$S$495=4)*('CONTROL MASTER'!$T$2:$T$495&lt;=10)*('CONTROL MASTER'!$V$2:$V$495&gt;=10)*('CONTROL MASTER'!$U$2:$U$495&lt;=2)*('CONTROL MASTER'!$W$2:$W$495&gt;=2))*ROW('CONTROL MASTER'!$S$2:$S$495))-(ROW('CONTROL MASTER'!#REF!)-1))))*(INDEX('CONTROL MASTER'!$W$2:$W$495,(SUMPRODUCT((('CONTROL MASTER'!$S$2:$S$495=4)*('CONTROL MASTER'!$T$2:$T$495&lt;=10)*('CONTROL MASTER'!$V$2:$V$495&gt;=10)*('CONTROL MASTER'!$U$2:$U$495&lt;=2)*('CONTROL MASTER'!$W$2:$W$495&gt;=2))*ROW('CONTROL MASTER'!$S$2:$S$495))-(ROW('CONTROL MASTER'!#REF!)-1)))-INDEX('CONTROL MASTER'!$U$2:$U$495,(SUMPRODUCT((('CONTROL MASTER'!$S$2:$S$495=4)*('CONTROL MASTER'!$T$2:$T$495&lt;=10)*('CONTROL MASTER'!$V$2:$V$495&gt;=10)*('CONTROL MASTER'!$U$2:$U$495&lt;=2)*('CONTROL MASTER'!$W$2:$W$495&gt;=2))*ROW('CONTROL MASTER'!$S$2:$S$495))-(ROW('CONTROL MASTER'!#REF!)-1)))+1)+(2-INDEX('CONTROL MASTER'!$U$2:$U$495,(SUMPRODUCT((('CONTROL MASTER'!$S$2:$S$495=4)*('CONTROL MASTER'!$T$2:$T$495&lt;=10)*('CONTROL MASTER'!$V$2:$V$495&gt;=10)*('CONTROL MASTER'!$U$2:$U$495&lt;=2)*('CONTROL MASTER'!$W$2:$W$495&gt;=2))*ROW('CONTROL MASTER'!$S$2:$S$495))-(ROW('CONTROL MASTER'!#REF!)-1))))+1))-1)*50+1,50))&amp;"_"&amp;INDEX('CONTROL MASTER'!$P$2:$P$495,(SUMPRODUCT((('CONTROL MASTER'!$S$2:$S$495=4)*('CONTROL MASTER'!$T$2:$T$495&lt;=10)*('CONTROL MASTER'!$V$2:$V$495&gt;=10)*('CONTROL MASTER'!$U$2:$U$495&lt;=2)*('CONTROL MASTER'!$W$2:$W$495&gt;=2))*ROW('CONTROL MASTER'!$S$2:$S$495))-(ROW('CONTROL MASTER'!#REF!)-1))),IF(SUMPRODUCT((('CONTROL MASTER'!$S$2:$S$495=4)*('CONTROL MASTER'!$Z$2:$Z$495&lt;=10)*('CONTROL MASTER'!$AB$2:$AB$495&gt;=10)*('CONTROL MASTER'!$AA$2:$AA$495&lt;=2)*('CONTROL MASTER'!$AC$2:$AC$495&gt;=2))*ROW('CONTROL MASTER'!$S$2:$S$495))&gt;0,INDEX('CONTROL MASTER'!$X$2:$X$495,(SUMPRODUCT((('CONTROL MASTER'!$S$2:$S$495=4)*('CONTROL MASTER'!$Z$2:$Z$495&lt;=10)*('CONTROL MASTER'!$AB$2:$AB$495&gt;=10)*('CONTROL MASTER'!$AA$2:$AA$495&lt;=2)*('CONTROL MASTER'!$AC$2:$AC$495&gt;=2))*ROW('CONTROL MASTER'!$S$2:$S$495))-(ROW('CONTROL MASTER'!#REF!)-1)))&amp;TRIM(MID(SUBSTITUTE(SUBSTITUTE(INDEX('CONTROL MASTER'!$N$2:$N$495,(SUMPRODUCT((('CONTROL MASTER'!$S$2:$S$495=4)*('CONTROL MASTER'!$Z$2:$Z$495&lt;=10)*('CONTROL MASTER'!$AB$2:$AB$495&gt;=10)*('CONTROL MASTER'!$AA$2:$AA$495&lt;=2)*('CONTROL MASTER'!$AC$2:$AC$495&gt;=2))*ROW('CONTROL MASTER'!$S$2:$S$495))-(ROW('CONTROL MASTER'!#REF!)-1))),":",","),",",REPT(" ",50)),(((INDEX('CONTROL MASTER'!$Y$2:$Y$495,(SUMPRODUCT((('CONTROL MASTER'!$S$2:$S$495=4)*('CONTROL MASTER'!$Z$2:$Z$495&lt;=10)*('CONTROL MASTER'!$AB$2:$AB$495&gt;=10)*('CONTROL MASTER'!$AA$2:$AA$495&lt;=2)*('CONTROL MASTER'!$AC$2:$AC$495&gt;=2))*ROW('CONTROL MASTER'!$S$2:$S$495))-(ROW('CONTROL MASTER'!#REF!)-1)))+((10-INDEX('CONTROL MASTER'!$Z$2:$Z$495,(SUMPRODUCT((('CONTROL MASTER'!$S$2:$S$495=4)*('CONTROL MASTER'!$Z$2:$Z$495&lt;=10)*('CONTROL MASTER'!$AB$2:$AB$495&gt;=10)*('CONTROL MASTER'!$AA$2:$AA$495&lt;=2)*('CONTROL MASTER'!$AC$2:$AC$495&gt;=2))*ROW('CONTROL MASTER'!$S$2:$S$495))-(ROW('CONTROL MASTER'!#REF!)-1))))*(INDEX('CONTROL MASTER'!$AC$2:$AC$495,(SUMPRODUCT((('CONTROL MASTER'!$S$2:$S$495=4)*('CONTROL MASTER'!$Z$2:$Z$495&lt;=10)*('CONTROL MASTER'!$AB$2:$AB$495&gt;=10)*('CONTROL MASTER'!$AA$2:$AA$495&lt;=2)*('CONTROL MASTER'!$AC$2:$AC$495&gt;=2))*ROW('CONTROL MASTER'!$S$2:$S$495))-(ROW('CONTROL MASTER'!#REF!)-1)))-INDEX('CONTROL MASTER'!$AA$2:$AA$495,(SUMPRODUCT((('CONTROL MASTER'!$S$2:$S$495=4)*('CONTROL MASTER'!$Z$2:$Z$495&lt;=10)*('CONTROL MASTER'!$AB$2:$AB$495&gt;=10)*('CONTROL MASTER'!$AA$2:$AA$495&lt;=2)*('CONTROL MASTER'!$AC$2:$AC$495&gt;=2))*ROW('CONTROL MASTER'!$S$2:$S$495))-(ROW('CONTROL MASTER'!#REF!)-1)))+1)+(2-INDEX('CONTROL MASTER'!$AA$2:$AA$495,(SUMPRODUCT((('CONTROL MASTER'!$S$2:$S$495=4)*('CONTROL MASTER'!$Z$2:$Z$495&lt;=10)*('CONTROL MASTER'!$AB$2:$AB$495&gt;=10)*('CONTROL MASTER'!$AA$2:$AA$495&lt;=2)*('CONTROL MASTER'!$AC$2:$AC$495&gt;=2))*ROW('CONTROL MASTER'!$S$2:$S$495))-(ROW('CONTROL MASTER'!#REF!)-1))))+1)))-1)*50+1,50))&amp;"_"&amp;INDEX('CONTROL MASTER'!$P$2:$P$495,(SUMPRODUCT((('CONTROL MASTER'!$S$2:$S$495=4)*('CONTROL MASTER'!$Z$2:$Z$495&lt;=10)*('CONTROL MASTER'!$AB$2:$AB$495&gt;=10)*('CONTROL MASTER'!$AA$2:$AA$495&lt;=2)*('CONTROL MASTER'!$AC$2:$AC$495&gt;=2))*ROW('CONTROL MASTER'!$S$2:$S$495))-(ROW('CONTROL MASTER'!#REF!)-1))),"")),"")</f>
        <v/>
      </c>
      <c r="D54" s="10" t="str">
        <f>IFERROR(IF(SUMPRODUCT((('CONTROL MASTER'!$S$2:$S$495=4)*('CONTROL MASTER'!$T$2:$T$495&lt;=10)*('CONTROL MASTER'!$V$2:$V$495&gt;=10)*('CONTROL MASTER'!$U$2:$U$495&lt;=3)*('CONTROL MASTER'!$W$2:$W$495&gt;=3))*ROW('CONTROL MASTER'!$S$2:$S$495))&gt;0,INDEX('CONTROL MASTER'!$X$2:$X$495,(SUMPRODUCT((('CONTROL MASTER'!$S$2:$S$495=4)*('CONTROL MASTER'!$T$2:$T$495&lt;=10)*('CONTROL MASTER'!$V$2:$V$495&gt;=10)*('CONTROL MASTER'!$U$2:$U$495&lt;=3)*('CONTROL MASTER'!$W$2:$W$495&gt;=3))*ROW('CONTROL MASTER'!$S$2:$S$495))-(ROW('CONTROL MASTER'!#REF!)-1)))&amp;TRIM(MID(SUBSTITUTE(SUBSTITUTE(INDEX('CONTROL MASTER'!$N$2:$N$495,(SUMPRODUCT((('CONTROL MASTER'!$S$2:$S$495=4)*('CONTROL MASTER'!$T$2:$T$495&lt;=10)*('CONTROL MASTER'!$V$2:$V$495&gt;=10)*('CONTROL MASTER'!$U$2:$U$495&lt;=3)*('CONTROL MASTER'!$W$2:$W$495&gt;=3))*ROW('CONTROL MASTER'!$S$2:$S$495))-(ROW('CONTROL MASTER'!#REF!)-1))),":",","),",",REPT(" ",50)),((((10-INDEX('CONTROL MASTER'!$T$2:$T$495,(SUMPRODUCT((('CONTROL MASTER'!$S$2:$S$495=4)*('CONTROL MASTER'!$T$2:$T$495&lt;=10)*('CONTROL MASTER'!$V$2:$V$495&gt;=10)*('CONTROL MASTER'!$U$2:$U$495&lt;=3)*('CONTROL MASTER'!$W$2:$W$495&gt;=3))*ROW('CONTROL MASTER'!$S$2:$S$495))-(ROW('CONTROL MASTER'!#REF!)-1))))*(INDEX('CONTROL MASTER'!$W$2:$W$495,(SUMPRODUCT((('CONTROL MASTER'!$S$2:$S$495=4)*('CONTROL MASTER'!$T$2:$T$495&lt;=10)*('CONTROL MASTER'!$V$2:$V$495&gt;=10)*('CONTROL MASTER'!$U$2:$U$495&lt;=3)*('CONTROL MASTER'!$W$2:$W$495&gt;=3))*ROW('CONTROL MASTER'!$S$2:$S$495))-(ROW('CONTROL MASTER'!#REF!)-1)))-INDEX('CONTROL MASTER'!$U$2:$U$495,(SUMPRODUCT((('CONTROL MASTER'!$S$2:$S$495=4)*('CONTROL MASTER'!$T$2:$T$495&lt;=10)*('CONTROL MASTER'!$V$2:$V$495&gt;=10)*('CONTROL MASTER'!$U$2:$U$495&lt;=3)*('CONTROL MASTER'!$W$2:$W$495&gt;=3))*ROW('CONTROL MASTER'!$S$2:$S$495))-(ROW('CONTROL MASTER'!#REF!)-1)))+1)+(3-INDEX('CONTROL MASTER'!$U$2:$U$495,(SUMPRODUCT((('CONTROL MASTER'!$S$2:$S$495=4)*('CONTROL MASTER'!$T$2:$T$495&lt;=10)*('CONTROL MASTER'!$V$2:$V$495&gt;=10)*('CONTROL MASTER'!$U$2:$U$495&lt;=3)*('CONTROL MASTER'!$W$2:$W$495&gt;=3))*ROW('CONTROL MASTER'!$S$2:$S$495))-(ROW('CONTROL MASTER'!#REF!)-1))))+1))-1)*50+1,50))&amp;"_"&amp;INDEX('CONTROL MASTER'!$P$2:$P$495,(SUMPRODUCT((('CONTROL MASTER'!$S$2:$S$495=4)*('CONTROL MASTER'!$T$2:$T$495&lt;=10)*('CONTROL MASTER'!$V$2:$V$495&gt;=10)*('CONTROL MASTER'!$U$2:$U$495&lt;=3)*('CONTROL MASTER'!$W$2:$W$495&gt;=3))*ROW('CONTROL MASTER'!$S$2:$S$495))-(ROW('CONTROL MASTER'!#REF!)-1))),IF(SUMPRODUCT((('CONTROL MASTER'!$S$2:$S$495=4)*('CONTROL MASTER'!$Z$2:$Z$495&lt;=10)*('CONTROL MASTER'!$AB$2:$AB$495&gt;=10)*('CONTROL MASTER'!$AA$2:$AA$495&lt;=3)*('CONTROL MASTER'!$AC$2:$AC$495&gt;=3))*ROW('CONTROL MASTER'!$S$2:$S$495))&gt;0,INDEX('CONTROL MASTER'!$X$2:$X$495,(SUMPRODUCT((('CONTROL MASTER'!$S$2:$S$495=4)*('CONTROL MASTER'!$Z$2:$Z$495&lt;=10)*('CONTROL MASTER'!$AB$2:$AB$495&gt;=10)*('CONTROL MASTER'!$AA$2:$AA$495&lt;=3)*('CONTROL MASTER'!$AC$2:$AC$495&gt;=3))*ROW('CONTROL MASTER'!$S$2:$S$495))-(ROW('CONTROL MASTER'!#REF!)-1)))&amp;TRIM(MID(SUBSTITUTE(SUBSTITUTE(INDEX('CONTROL MASTER'!$N$2:$N$495,(SUMPRODUCT((('CONTROL MASTER'!$S$2:$S$495=4)*('CONTROL MASTER'!$Z$2:$Z$495&lt;=10)*('CONTROL MASTER'!$AB$2:$AB$495&gt;=10)*('CONTROL MASTER'!$AA$2:$AA$495&lt;=3)*('CONTROL MASTER'!$AC$2:$AC$495&gt;=3))*ROW('CONTROL MASTER'!$S$2:$S$495))-(ROW('CONTROL MASTER'!#REF!)-1))),":",","),",",REPT(" ",50)),(((INDEX('CONTROL MASTER'!$Y$2:$Y$495,(SUMPRODUCT((('CONTROL MASTER'!$S$2:$S$495=4)*('CONTROL MASTER'!$Z$2:$Z$495&lt;=10)*('CONTROL MASTER'!$AB$2:$AB$495&gt;=10)*('CONTROL MASTER'!$AA$2:$AA$495&lt;=3)*('CONTROL MASTER'!$AC$2:$AC$495&gt;=3))*ROW('CONTROL MASTER'!$S$2:$S$495))-(ROW('CONTROL MASTER'!#REF!)-1)))+((10-INDEX('CONTROL MASTER'!$Z$2:$Z$495,(SUMPRODUCT((('CONTROL MASTER'!$S$2:$S$495=4)*('CONTROL MASTER'!$Z$2:$Z$495&lt;=10)*('CONTROL MASTER'!$AB$2:$AB$495&gt;=10)*('CONTROL MASTER'!$AA$2:$AA$495&lt;=3)*('CONTROL MASTER'!$AC$2:$AC$495&gt;=3))*ROW('CONTROL MASTER'!$S$2:$S$495))-(ROW('CONTROL MASTER'!#REF!)-1))))*(INDEX('CONTROL MASTER'!$AC$2:$AC$495,(SUMPRODUCT((('CONTROL MASTER'!$S$2:$S$495=4)*('CONTROL MASTER'!$Z$2:$Z$495&lt;=10)*('CONTROL MASTER'!$AB$2:$AB$495&gt;=10)*('CONTROL MASTER'!$AA$2:$AA$495&lt;=3)*('CONTROL MASTER'!$AC$2:$AC$495&gt;=3))*ROW('CONTROL MASTER'!$S$2:$S$495))-(ROW('CONTROL MASTER'!#REF!)-1)))-INDEX('CONTROL MASTER'!$AA$2:$AA$495,(SUMPRODUCT((('CONTROL MASTER'!$S$2:$S$495=4)*('CONTROL MASTER'!$Z$2:$Z$495&lt;=10)*('CONTROL MASTER'!$AB$2:$AB$495&gt;=10)*('CONTROL MASTER'!$AA$2:$AA$495&lt;=3)*('CONTROL MASTER'!$AC$2:$AC$495&gt;=3))*ROW('CONTROL MASTER'!$S$2:$S$495))-(ROW('CONTROL MASTER'!#REF!)-1)))+1)+(3-INDEX('CONTROL MASTER'!$AA$2:$AA$495,(SUMPRODUCT((('CONTROL MASTER'!$S$2:$S$495=4)*('CONTROL MASTER'!$Z$2:$Z$495&lt;=10)*('CONTROL MASTER'!$AB$2:$AB$495&gt;=10)*('CONTROL MASTER'!$AA$2:$AA$495&lt;=3)*('CONTROL MASTER'!$AC$2:$AC$495&gt;=3))*ROW('CONTROL MASTER'!$S$2:$S$495))-(ROW('CONTROL MASTER'!#REF!)-1))))+1)))-1)*50+1,50))&amp;"_"&amp;INDEX('CONTROL MASTER'!$P$2:$P$495,(SUMPRODUCT((('CONTROL MASTER'!$S$2:$S$495=4)*('CONTROL MASTER'!$Z$2:$Z$495&lt;=10)*('CONTROL MASTER'!$AB$2:$AB$495&gt;=10)*('CONTROL MASTER'!$AA$2:$AA$495&lt;=3)*('CONTROL MASTER'!$AC$2:$AC$495&gt;=3))*ROW('CONTROL MASTER'!$S$2:$S$495))-(ROW('CONTROL MASTER'!#REF!)-1))),"")),"")</f>
        <v/>
      </c>
      <c r="E54" s="10" t="str">
        <f>IFERROR(IF(SUMPRODUCT((('CONTROL MASTER'!$S$2:$S$495=4)*('CONTROL MASTER'!$T$2:$T$495&lt;=10)*('CONTROL MASTER'!$V$2:$V$495&gt;=10)*('CONTROL MASTER'!$U$2:$U$495&lt;=4)*('CONTROL MASTER'!$W$2:$W$495&gt;=4))*ROW('CONTROL MASTER'!$S$2:$S$495))&gt;0,INDEX('CONTROL MASTER'!$X$2:$X$495,(SUMPRODUCT((('CONTROL MASTER'!$S$2:$S$495=4)*('CONTROL MASTER'!$T$2:$T$495&lt;=10)*('CONTROL MASTER'!$V$2:$V$495&gt;=10)*('CONTROL MASTER'!$U$2:$U$495&lt;=4)*('CONTROL MASTER'!$W$2:$W$495&gt;=4))*ROW('CONTROL MASTER'!$S$2:$S$495))-(ROW('CONTROL MASTER'!#REF!)-1)))&amp;TRIM(MID(SUBSTITUTE(SUBSTITUTE(INDEX('CONTROL MASTER'!$N$2:$N$495,(SUMPRODUCT((('CONTROL MASTER'!$S$2:$S$495=4)*('CONTROL MASTER'!$T$2:$T$495&lt;=10)*('CONTROL MASTER'!$V$2:$V$495&gt;=10)*('CONTROL MASTER'!$U$2:$U$495&lt;=4)*('CONTROL MASTER'!$W$2:$W$495&gt;=4))*ROW('CONTROL MASTER'!$S$2:$S$495))-(ROW('CONTROL MASTER'!#REF!)-1))),":",","),",",REPT(" ",50)),((((10-INDEX('CONTROL MASTER'!$T$2:$T$495,(SUMPRODUCT((('CONTROL MASTER'!$S$2:$S$495=4)*('CONTROL MASTER'!$T$2:$T$495&lt;=10)*('CONTROL MASTER'!$V$2:$V$495&gt;=10)*('CONTROL MASTER'!$U$2:$U$495&lt;=4)*('CONTROL MASTER'!$W$2:$W$495&gt;=4))*ROW('CONTROL MASTER'!$S$2:$S$495))-(ROW('CONTROL MASTER'!#REF!)-1))))*(INDEX('CONTROL MASTER'!$W$2:$W$495,(SUMPRODUCT((('CONTROL MASTER'!$S$2:$S$495=4)*('CONTROL MASTER'!$T$2:$T$495&lt;=10)*('CONTROL MASTER'!$V$2:$V$495&gt;=10)*('CONTROL MASTER'!$U$2:$U$495&lt;=4)*('CONTROL MASTER'!$W$2:$W$495&gt;=4))*ROW('CONTROL MASTER'!$S$2:$S$495))-(ROW('CONTROL MASTER'!#REF!)-1)))-INDEX('CONTROL MASTER'!$U$2:$U$495,(SUMPRODUCT((('CONTROL MASTER'!$S$2:$S$495=4)*('CONTROL MASTER'!$T$2:$T$495&lt;=10)*('CONTROL MASTER'!$V$2:$V$495&gt;=10)*('CONTROL MASTER'!$U$2:$U$495&lt;=4)*('CONTROL MASTER'!$W$2:$W$495&gt;=4))*ROW('CONTROL MASTER'!$S$2:$S$495))-(ROW('CONTROL MASTER'!#REF!)-1)))+1)+(4-INDEX('CONTROL MASTER'!$U$2:$U$495,(SUMPRODUCT((('CONTROL MASTER'!$S$2:$S$495=4)*('CONTROL MASTER'!$T$2:$T$495&lt;=10)*('CONTROL MASTER'!$V$2:$V$495&gt;=10)*('CONTROL MASTER'!$U$2:$U$495&lt;=4)*('CONTROL MASTER'!$W$2:$W$495&gt;=4))*ROW('CONTROL MASTER'!$S$2:$S$495))-(ROW('CONTROL MASTER'!#REF!)-1))))+1))-1)*50+1,50))&amp;"_"&amp;INDEX('CONTROL MASTER'!$P$2:$P$495,(SUMPRODUCT((('CONTROL MASTER'!$S$2:$S$495=4)*('CONTROL MASTER'!$T$2:$T$495&lt;=10)*('CONTROL MASTER'!$V$2:$V$495&gt;=10)*('CONTROL MASTER'!$U$2:$U$495&lt;=4)*('CONTROL MASTER'!$W$2:$W$495&gt;=4))*ROW('CONTROL MASTER'!$S$2:$S$495))-(ROW('CONTROL MASTER'!#REF!)-1))),IF(SUMPRODUCT((('CONTROL MASTER'!$S$2:$S$495=4)*('CONTROL MASTER'!$Z$2:$Z$495&lt;=10)*('CONTROL MASTER'!$AB$2:$AB$495&gt;=10)*('CONTROL MASTER'!$AA$2:$AA$495&lt;=4)*('CONTROL MASTER'!$AC$2:$AC$495&gt;=4))*ROW('CONTROL MASTER'!$S$2:$S$495))&gt;0,INDEX('CONTROL MASTER'!$X$2:$X$495,(SUMPRODUCT((('CONTROL MASTER'!$S$2:$S$495=4)*('CONTROL MASTER'!$Z$2:$Z$495&lt;=10)*('CONTROL MASTER'!$AB$2:$AB$495&gt;=10)*('CONTROL MASTER'!$AA$2:$AA$495&lt;=4)*('CONTROL MASTER'!$AC$2:$AC$495&gt;=4))*ROW('CONTROL MASTER'!$S$2:$S$495))-(ROW('CONTROL MASTER'!#REF!)-1)))&amp;TRIM(MID(SUBSTITUTE(SUBSTITUTE(INDEX('CONTROL MASTER'!$N$2:$N$495,(SUMPRODUCT((('CONTROL MASTER'!$S$2:$S$495=4)*('CONTROL MASTER'!$Z$2:$Z$495&lt;=10)*('CONTROL MASTER'!$AB$2:$AB$495&gt;=10)*('CONTROL MASTER'!$AA$2:$AA$495&lt;=4)*('CONTROL MASTER'!$AC$2:$AC$495&gt;=4))*ROW('CONTROL MASTER'!$S$2:$S$495))-(ROW('CONTROL MASTER'!#REF!)-1))),":",","),",",REPT(" ",50)),(((INDEX('CONTROL MASTER'!$Y$2:$Y$495,(SUMPRODUCT((('CONTROL MASTER'!$S$2:$S$495=4)*('CONTROL MASTER'!$Z$2:$Z$495&lt;=10)*('CONTROL MASTER'!$AB$2:$AB$495&gt;=10)*('CONTROL MASTER'!$AA$2:$AA$495&lt;=4)*('CONTROL MASTER'!$AC$2:$AC$495&gt;=4))*ROW('CONTROL MASTER'!$S$2:$S$495))-(ROW('CONTROL MASTER'!#REF!)-1)))+((10-INDEX('CONTROL MASTER'!$Z$2:$Z$495,(SUMPRODUCT((('CONTROL MASTER'!$S$2:$S$495=4)*('CONTROL MASTER'!$Z$2:$Z$495&lt;=10)*('CONTROL MASTER'!$AB$2:$AB$495&gt;=10)*('CONTROL MASTER'!$AA$2:$AA$495&lt;=4)*('CONTROL MASTER'!$AC$2:$AC$495&gt;=4))*ROW('CONTROL MASTER'!$S$2:$S$495))-(ROW('CONTROL MASTER'!#REF!)-1))))*(INDEX('CONTROL MASTER'!$AC$2:$AC$495,(SUMPRODUCT((('CONTROL MASTER'!$S$2:$S$495=4)*('CONTROL MASTER'!$Z$2:$Z$495&lt;=10)*('CONTROL MASTER'!$AB$2:$AB$495&gt;=10)*('CONTROL MASTER'!$AA$2:$AA$495&lt;=4)*('CONTROL MASTER'!$AC$2:$AC$495&gt;=4))*ROW('CONTROL MASTER'!$S$2:$S$495))-(ROW('CONTROL MASTER'!#REF!)-1)))-INDEX('CONTROL MASTER'!$AA$2:$AA$495,(SUMPRODUCT((('CONTROL MASTER'!$S$2:$S$495=4)*('CONTROL MASTER'!$Z$2:$Z$495&lt;=10)*('CONTROL MASTER'!$AB$2:$AB$495&gt;=10)*('CONTROL MASTER'!$AA$2:$AA$495&lt;=4)*('CONTROL MASTER'!$AC$2:$AC$495&gt;=4))*ROW('CONTROL MASTER'!$S$2:$S$495))-(ROW('CONTROL MASTER'!#REF!)-1)))+1)+(4-INDEX('CONTROL MASTER'!$AA$2:$AA$495,(SUMPRODUCT((('CONTROL MASTER'!$S$2:$S$495=4)*('CONTROL MASTER'!$Z$2:$Z$495&lt;=10)*('CONTROL MASTER'!$AB$2:$AB$495&gt;=10)*('CONTROL MASTER'!$AA$2:$AA$495&lt;=4)*('CONTROL MASTER'!$AC$2:$AC$495&gt;=4))*ROW('CONTROL MASTER'!$S$2:$S$495))-(ROW('CONTROL MASTER'!#REF!)-1))))+1)))-1)*50+1,50))&amp;"_"&amp;INDEX('CONTROL MASTER'!$P$2:$P$495,(SUMPRODUCT((('CONTROL MASTER'!$S$2:$S$495=4)*('CONTROL MASTER'!$Z$2:$Z$495&lt;=10)*('CONTROL MASTER'!$AB$2:$AB$495&gt;=10)*('CONTROL MASTER'!$AA$2:$AA$495&lt;=4)*('CONTROL MASTER'!$AC$2:$AC$495&gt;=4))*ROW('CONTROL MASTER'!$S$2:$S$495))-(ROW('CONTROL MASTER'!#REF!)-1))),"")),"")</f>
        <v/>
      </c>
      <c r="F54" s="10" t="str">
        <f>IFERROR(IF(SUMPRODUCT((('CONTROL MASTER'!$S$2:$S$495=4)*('CONTROL MASTER'!$T$2:$T$495&lt;=10)*('CONTROL MASTER'!$V$2:$V$495&gt;=10)*('CONTROL MASTER'!$U$2:$U$495&lt;=5)*('CONTROL MASTER'!$W$2:$W$495&gt;=5))*ROW('CONTROL MASTER'!$S$2:$S$495))&gt;0,INDEX('CONTROL MASTER'!$X$2:$X$495,(SUMPRODUCT((('CONTROL MASTER'!$S$2:$S$495=4)*('CONTROL MASTER'!$T$2:$T$495&lt;=10)*('CONTROL MASTER'!$V$2:$V$495&gt;=10)*('CONTROL MASTER'!$U$2:$U$495&lt;=5)*('CONTROL MASTER'!$W$2:$W$495&gt;=5))*ROW('CONTROL MASTER'!$S$2:$S$495))-(ROW('CONTROL MASTER'!#REF!)-1)))&amp;TRIM(MID(SUBSTITUTE(SUBSTITUTE(INDEX('CONTROL MASTER'!$N$2:$N$495,(SUMPRODUCT((('CONTROL MASTER'!$S$2:$S$495=4)*('CONTROL MASTER'!$T$2:$T$495&lt;=10)*('CONTROL MASTER'!$V$2:$V$495&gt;=10)*('CONTROL MASTER'!$U$2:$U$495&lt;=5)*('CONTROL MASTER'!$W$2:$W$495&gt;=5))*ROW('CONTROL MASTER'!$S$2:$S$495))-(ROW('CONTROL MASTER'!#REF!)-1))),":",","),",",REPT(" ",50)),((((10-INDEX('CONTROL MASTER'!$T$2:$T$495,(SUMPRODUCT((('CONTROL MASTER'!$S$2:$S$495=4)*('CONTROL MASTER'!$T$2:$T$495&lt;=10)*('CONTROL MASTER'!$V$2:$V$495&gt;=10)*('CONTROL MASTER'!$U$2:$U$495&lt;=5)*('CONTROL MASTER'!$W$2:$W$495&gt;=5))*ROW('CONTROL MASTER'!$S$2:$S$495))-(ROW('CONTROL MASTER'!#REF!)-1))))*(INDEX('CONTROL MASTER'!$W$2:$W$495,(SUMPRODUCT((('CONTROL MASTER'!$S$2:$S$495=4)*('CONTROL MASTER'!$T$2:$T$495&lt;=10)*('CONTROL MASTER'!$V$2:$V$495&gt;=10)*('CONTROL MASTER'!$U$2:$U$495&lt;=5)*('CONTROL MASTER'!$W$2:$W$495&gt;=5))*ROW('CONTROL MASTER'!$S$2:$S$495))-(ROW('CONTROL MASTER'!#REF!)-1)))-INDEX('CONTROL MASTER'!$U$2:$U$495,(SUMPRODUCT((('CONTROL MASTER'!$S$2:$S$495=4)*('CONTROL MASTER'!$T$2:$T$495&lt;=10)*('CONTROL MASTER'!$V$2:$V$495&gt;=10)*('CONTROL MASTER'!$U$2:$U$495&lt;=5)*('CONTROL MASTER'!$W$2:$W$495&gt;=5))*ROW('CONTROL MASTER'!$S$2:$S$495))-(ROW('CONTROL MASTER'!#REF!)-1)))+1)+(5-INDEX('CONTROL MASTER'!$U$2:$U$495,(SUMPRODUCT((('CONTROL MASTER'!$S$2:$S$495=4)*('CONTROL MASTER'!$T$2:$T$495&lt;=10)*('CONTROL MASTER'!$V$2:$V$495&gt;=10)*('CONTROL MASTER'!$U$2:$U$495&lt;=5)*('CONTROL MASTER'!$W$2:$W$495&gt;=5))*ROW('CONTROL MASTER'!$S$2:$S$495))-(ROW('CONTROL MASTER'!#REF!)-1))))+1))-1)*50+1,50))&amp;"_"&amp;INDEX('CONTROL MASTER'!$P$2:$P$495,(SUMPRODUCT((('CONTROL MASTER'!$S$2:$S$495=4)*('CONTROL MASTER'!$T$2:$T$495&lt;=10)*('CONTROL MASTER'!$V$2:$V$495&gt;=10)*('CONTROL MASTER'!$U$2:$U$495&lt;=5)*('CONTROL MASTER'!$W$2:$W$495&gt;=5))*ROW('CONTROL MASTER'!$S$2:$S$495))-(ROW('CONTROL MASTER'!#REF!)-1))),IF(SUMPRODUCT((('CONTROL MASTER'!$S$2:$S$495=4)*('CONTROL MASTER'!$Z$2:$Z$495&lt;=10)*('CONTROL MASTER'!$AB$2:$AB$495&gt;=10)*('CONTROL MASTER'!$AA$2:$AA$495&lt;=5)*('CONTROL MASTER'!$AC$2:$AC$495&gt;=5))*ROW('CONTROL MASTER'!$S$2:$S$495))&gt;0,INDEX('CONTROL MASTER'!$X$2:$X$495,(SUMPRODUCT((('CONTROL MASTER'!$S$2:$S$495=4)*('CONTROL MASTER'!$Z$2:$Z$495&lt;=10)*('CONTROL MASTER'!$AB$2:$AB$495&gt;=10)*('CONTROL MASTER'!$AA$2:$AA$495&lt;=5)*('CONTROL MASTER'!$AC$2:$AC$495&gt;=5))*ROW('CONTROL MASTER'!$S$2:$S$495))-(ROW('CONTROL MASTER'!#REF!)-1)))&amp;TRIM(MID(SUBSTITUTE(SUBSTITUTE(INDEX('CONTROL MASTER'!$N$2:$N$495,(SUMPRODUCT((('CONTROL MASTER'!$S$2:$S$495=4)*('CONTROL MASTER'!$Z$2:$Z$495&lt;=10)*('CONTROL MASTER'!$AB$2:$AB$495&gt;=10)*('CONTROL MASTER'!$AA$2:$AA$495&lt;=5)*('CONTROL MASTER'!$AC$2:$AC$495&gt;=5))*ROW('CONTROL MASTER'!$S$2:$S$495))-(ROW('CONTROL MASTER'!#REF!)-1))),":",","),",",REPT(" ",50)),(((INDEX('CONTROL MASTER'!$Y$2:$Y$495,(SUMPRODUCT((('CONTROL MASTER'!$S$2:$S$495=4)*('CONTROL MASTER'!$Z$2:$Z$495&lt;=10)*('CONTROL MASTER'!$AB$2:$AB$495&gt;=10)*('CONTROL MASTER'!$AA$2:$AA$495&lt;=5)*('CONTROL MASTER'!$AC$2:$AC$495&gt;=5))*ROW('CONTROL MASTER'!$S$2:$S$495))-(ROW('CONTROL MASTER'!#REF!)-1)))+((10-INDEX('CONTROL MASTER'!$Z$2:$Z$495,(SUMPRODUCT((('CONTROL MASTER'!$S$2:$S$495=4)*('CONTROL MASTER'!$Z$2:$Z$495&lt;=10)*('CONTROL MASTER'!$AB$2:$AB$495&gt;=10)*('CONTROL MASTER'!$AA$2:$AA$495&lt;=5)*('CONTROL MASTER'!$AC$2:$AC$495&gt;=5))*ROW('CONTROL MASTER'!$S$2:$S$495))-(ROW('CONTROL MASTER'!#REF!)-1))))*(INDEX('CONTROL MASTER'!$AC$2:$AC$495,(SUMPRODUCT((('CONTROL MASTER'!$S$2:$S$495=4)*('CONTROL MASTER'!$Z$2:$Z$495&lt;=10)*('CONTROL MASTER'!$AB$2:$AB$495&gt;=10)*('CONTROL MASTER'!$AA$2:$AA$495&lt;=5)*('CONTROL MASTER'!$AC$2:$AC$495&gt;=5))*ROW('CONTROL MASTER'!$S$2:$S$495))-(ROW('CONTROL MASTER'!#REF!)-1)))-INDEX('CONTROL MASTER'!$AA$2:$AA$495,(SUMPRODUCT((('CONTROL MASTER'!$S$2:$S$495=4)*('CONTROL MASTER'!$Z$2:$Z$495&lt;=10)*('CONTROL MASTER'!$AB$2:$AB$495&gt;=10)*('CONTROL MASTER'!$AA$2:$AA$495&lt;=5)*('CONTROL MASTER'!$AC$2:$AC$495&gt;=5))*ROW('CONTROL MASTER'!$S$2:$S$495))-(ROW('CONTROL MASTER'!#REF!)-1)))+1)+(5-INDEX('CONTROL MASTER'!$AA$2:$AA$495,(SUMPRODUCT((('CONTROL MASTER'!$S$2:$S$495=4)*('CONTROL MASTER'!$Z$2:$Z$495&lt;=10)*('CONTROL MASTER'!$AB$2:$AB$495&gt;=10)*('CONTROL MASTER'!$AA$2:$AA$495&lt;=5)*('CONTROL MASTER'!$AC$2:$AC$495&gt;=5))*ROW('CONTROL MASTER'!$S$2:$S$495))-(ROW('CONTROL MASTER'!#REF!)-1))))+1)))-1)*50+1,50))&amp;"_"&amp;INDEX('CONTROL MASTER'!$P$2:$P$495,(SUMPRODUCT((('CONTROL MASTER'!$S$2:$S$495=4)*('CONTROL MASTER'!$Z$2:$Z$495&lt;=10)*('CONTROL MASTER'!$AB$2:$AB$495&gt;=10)*('CONTROL MASTER'!$AA$2:$AA$495&lt;=5)*('CONTROL MASTER'!$AC$2:$AC$495&gt;=5))*ROW('CONTROL MASTER'!$S$2:$S$495))-(ROW('CONTROL MASTER'!#REF!)-1))),"")),"")</f>
        <v/>
      </c>
      <c r="G54" s="10" t="str">
        <f>IFERROR(IF(SUMPRODUCT((('CONTROL MASTER'!$S$2:$S$495=4)*('CONTROL MASTER'!$T$2:$T$495&lt;=10)*('CONTROL MASTER'!$V$2:$V$495&gt;=10)*('CONTROL MASTER'!$U$2:$U$495&lt;=6)*('CONTROL MASTER'!$W$2:$W$495&gt;=6))*ROW('CONTROL MASTER'!$S$2:$S$495))&gt;0,INDEX('CONTROL MASTER'!$X$2:$X$495,(SUMPRODUCT((('CONTROL MASTER'!$S$2:$S$495=4)*('CONTROL MASTER'!$T$2:$T$495&lt;=10)*('CONTROL MASTER'!$V$2:$V$495&gt;=10)*('CONTROL MASTER'!$U$2:$U$495&lt;=6)*('CONTROL MASTER'!$W$2:$W$495&gt;=6))*ROW('CONTROL MASTER'!$S$2:$S$495))-(ROW('CONTROL MASTER'!#REF!)-1)))&amp;TRIM(MID(SUBSTITUTE(SUBSTITUTE(INDEX('CONTROL MASTER'!$N$2:$N$495,(SUMPRODUCT((('CONTROL MASTER'!$S$2:$S$495=4)*('CONTROL MASTER'!$T$2:$T$495&lt;=10)*('CONTROL MASTER'!$V$2:$V$495&gt;=10)*('CONTROL MASTER'!$U$2:$U$495&lt;=6)*('CONTROL MASTER'!$W$2:$W$495&gt;=6))*ROW('CONTROL MASTER'!$S$2:$S$495))-(ROW('CONTROL MASTER'!#REF!)-1))),":",","),",",REPT(" ",50)),((((10-INDEX('CONTROL MASTER'!$T$2:$T$495,(SUMPRODUCT((('CONTROL MASTER'!$S$2:$S$495=4)*('CONTROL MASTER'!$T$2:$T$495&lt;=10)*('CONTROL MASTER'!$V$2:$V$495&gt;=10)*('CONTROL MASTER'!$U$2:$U$495&lt;=6)*('CONTROL MASTER'!$W$2:$W$495&gt;=6))*ROW('CONTROL MASTER'!$S$2:$S$495))-(ROW('CONTROL MASTER'!#REF!)-1))))*(INDEX('CONTROL MASTER'!$W$2:$W$495,(SUMPRODUCT((('CONTROL MASTER'!$S$2:$S$495=4)*('CONTROL MASTER'!$T$2:$T$495&lt;=10)*('CONTROL MASTER'!$V$2:$V$495&gt;=10)*('CONTROL MASTER'!$U$2:$U$495&lt;=6)*('CONTROL MASTER'!$W$2:$W$495&gt;=6))*ROW('CONTROL MASTER'!$S$2:$S$495))-(ROW('CONTROL MASTER'!#REF!)-1)))-INDEX('CONTROL MASTER'!$U$2:$U$495,(SUMPRODUCT((('CONTROL MASTER'!$S$2:$S$495=4)*('CONTROL MASTER'!$T$2:$T$495&lt;=10)*('CONTROL MASTER'!$V$2:$V$495&gt;=10)*('CONTROL MASTER'!$U$2:$U$495&lt;=6)*('CONTROL MASTER'!$W$2:$W$495&gt;=6))*ROW('CONTROL MASTER'!$S$2:$S$495))-(ROW('CONTROL MASTER'!#REF!)-1)))+1)+(6-INDEX('CONTROL MASTER'!$U$2:$U$495,(SUMPRODUCT((('CONTROL MASTER'!$S$2:$S$495=4)*('CONTROL MASTER'!$T$2:$T$495&lt;=10)*('CONTROL MASTER'!$V$2:$V$495&gt;=10)*('CONTROL MASTER'!$U$2:$U$495&lt;=6)*('CONTROL MASTER'!$W$2:$W$495&gt;=6))*ROW('CONTROL MASTER'!$S$2:$S$495))-(ROW('CONTROL MASTER'!#REF!)-1))))+1))-1)*50+1,50))&amp;"_"&amp;INDEX('CONTROL MASTER'!$P$2:$P$495,(SUMPRODUCT((('CONTROL MASTER'!$S$2:$S$495=4)*('CONTROL MASTER'!$T$2:$T$495&lt;=10)*('CONTROL MASTER'!$V$2:$V$495&gt;=10)*('CONTROL MASTER'!$U$2:$U$495&lt;=6)*('CONTROL MASTER'!$W$2:$W$495&gt;=6))*ROW('CONTROL MASTER'!$S$2:$S$495))-(ROW('CONTROL MASTER'!#REF!)-1))),IF(SUMPRODUCT((('CONTROL MASTER'!$S$2:$S$495=4)*('CONTROL MASTER'!$Z$2:$Z$495&lt;=10)*('CONTROL MASTER'!$AB$2:$AB$495&gt;=10)*('CONTROL MASTER'!$AA$2:$AA$495&lt;=6)*('CONTROL MASTER'!$AC$2:$AC$495&gt;=6))*ROW('CONTROL MASTER'!$S$2:$S$495))&gt;0,INDEX('CONTROL MASTER'!$X$2:$X$495,(SUMPRODUCT((('CONTROL MASTER'!$S$2:$S$495=4)*('CONTROL MASTER'!$Z$2:$Z$495&lt;=10)*('CONTROL MASTER'!$AB$2:$AB$495&gt;=10)*('CONTROL MASTER'!$AA$2:$AA$495&lt;=6)*('CONTROL MASTER'!$AC$2:$AC$495&gt;=6))*ROW('CONTROL MASTER'!$S$2:$S$495))-(ROW('CONTROL MASTER'!#REF!)-1)))&amp;TRIM(MID(SUBSTITUTE(SUBSTITUTE(INDEX('CONTROL MASTER'!$N$2:$N$495,(SUMPRODUCT((('CONTROL MASTER'!$S$2:$S$495=4)*('CONTROL MASTER'!$Z$2:$Z$495&lt;=10)*('CONTROL MASTER'!$AB$2:$AB$495&gt;=10)*('CONTROL MASTER'!$AA$2:$AA$495&lt;=6)*('CONTROL MASTER'!$AC$2:$AC$495&gt;=6))*ROW('CONTROL MASTER'!$S$2:$S$495))-(ROW('CONTROL MASTER'!#REF!)-1))),":",","),",",REPT(" ",50)),(((INDEX('CONTROL MASTER'!$Y$2:$Y$495,(SUMPRODUCT((('CONTROL MASTER'!$S$2:$S$495=4)*('CONTROL MASTER'!$Z$2:$Z$495&lt;=10)*('CONTROL MASTER'!$AB$2:$AB$495&gt;=10)*('CONTROL MASTER'!$AA$2:$AA$495&lt;=6)*('CONTROL MASTER'!$AC$2:$AC$495&gt;=6))*ROW('CONTROL MASTER'!$S$2:$S$495))-(ROW('CONTROL MASTER'!#REF!)-1)))+((10-INDEX('CONTROL MASTER'!$Z$2:$Z$495,(SUMPRODUCT((('CONTROL MASTER'!$S$2:$S$495=4)*('CONTROL MASTER'!$Z$2:$Z$495&lt;=10)*('CONTROL MASTER'!$AB$2:$AB$495&gt;=10)*('CONTROL MASTER'!$AA$2:$AA$495&lt;=6)*('CONTROL MASTER'!$AC$2:$AC$495&gt;=6))*ROW('CONTROL MASTER'!$S$2:$S$495))-(ROW('CONTROL MASTER'!#REF!)-1))))*(INDEX('CONTROL MASTER'!$AC$2:$AC$495,(SUMPRODUCT((('CONTROL MASTER'!$S$2:$S$495=4)*('CONTROL MASTER'!$Z$2:$Z$495&lt;=10)*('CONTROL MASTER'!$AB$2:$AB$495&gt;=10)*('CONTROL MASTER'!$AA$2:$AA$495&lt;=6)*('CONTROL MASTER'!$AC$2:$AC$495&gt;=6))*ROW('CONTROL MASTER'!$S$2:$S$495))-(ROW('CONTROL MASTER'!#REF!)-1)))-INDEX('CONTROL MASTER'!$AA$2:$AA$495,(SUMPRODUCT((('CONTROL MASTER'!$S$2:$S$495=4)*('CONTROL MASTER'!$Z$2:$Z$495&lt;=10)*('CONTROL MASTER'!$AB$2:$AB$495&gt;=10)*('CONTROL MASTER'!$AA$2:$AA$495&lt;=6)*('CONTROL MASTER'!$AC$2:$AC$495&gt;=6))*ROW('CONTROL MASTER'!$S$2:$S$495))-(ROW('CONTROL MASTER'!#REF!)-1)))+1)+(6-INDEX('CONTROL MASTER'!$AA$2:$AA$495,(SUMPRODUCT((('CONTROL MASTER'!$S$2:$S$495=4)*('CONTROL MASTER'!$Z$2:$Z$495&lt;=10)*('CONTROL MASTER'!$AB$2:$AB$495&gt;=10)*('CONTROL MASTER'!$AA$2:$AA$495&lt;=6)*('CONTROL MASTER'!$AC$2:$AC$495&gt;=6))*ROW('CONTROL MASTER'!$S$2:$S$495))-(ROW('CONTROL MASTER'!#REF!)-1))))+1)))-1)*50+1,50))&amp;"_"&amp;INDEX('CONTROL MASTER'!$P$2:$P$495,(SUMPRODUCT((('CONTROL MASTER'!$S$2:$S$495=4)*('CONTROL MASTER'!$Z$2:$Z$495&lt;=10)*('CONTROL MASTER'!$AB$2:$AB$495&gt;=10)*('CONTROL MASTER'!$AA$2:$AA$495&lt;=6)*('CONTROL MASTER'!$AC$2:$AC$495&gt;=6))*ROW('CONTROL MASTER'!$S$2:$S$495))-(ROW('CONTROL MASTER'!#REF!)-1))),"")),"")</f>
        <v/>
      </c>
      <c r="H54" s="10" t="str">
        <f>IFERROR(IF(SUMPRODUCT((('CONTROL MASTER'!$S$2:$S$495=4)*('CONTROL MASTER'!$T$2:$T$495&lt;=10)*('CONTROL MASTER'!$V$2:$V$495&gt;=10)*('CONTROL MASTER'!$U$2:$U$495&lt;=7)*('CONTROL MASTER'!$W$2:$W$495&gt;=7))*ROW('CONTROL MASTER'!$S$2:$S$495))&gt;0,INDEX('CONTROL MASTER'!$X$2:$X$495,(SUMPRODUCT((('CONTROL MASTER'!$S$2:$S$495=4)*('CONTROL MASTER'!$T$2:$T$495&lt;=10)*('CONTROL MASTER'!$V$2:$V$495&gt;=10)*('CONTROL MASTER'!$U$2:$U$495&lt;=7)*('CONTROL MASTER'!$W$2:$W$495&gt;=7))*ROW('CONTROL MASTER'!$S$2:$S$495))-(ROW('CONTROL MASTER'!#REF!)-1)))&amp;TRIM(MID(SUBSTITUTE(SUBSTITUTE(INDEX('CONTROL MASTER'!$N$2:$N$495,(SUMPRODUCT((('CONTROL MASTER'!$S$2:$S$495=4)*('CONTROL MASTER'!$T$2:$T$495&lt;=10)*('CONTROL MASTER'!$V$2:$V$495&gt;=10)*('CONTROL MASTER'!$U$2:$U$495&lt;=7)*('CONTROL MASTER'!$W$2:$W$495&gt;=7))*ROW('CONTROL MASTER'!$S$2:$S$495))-(ROW('CONTROL MASTER'!#REF!)-1))),":",","),",",REPT(" ",50)),((((10-INDEX('CONTROL MASTER'!$T$2:$T$495,(SUMPRODUCT((('CONTROL MASTER'!$S$2:$S$495=4)*('CONTROL MASTER'!$T$2:$T$495&lt;=10)*('CONTROL MASTER'!$V$2:$V$495&gt;=10)*('CONTROL MASTER'!$U$2:$U$495&lt;=7)*('CONTROL MASTER'!$W$2:$W$495&gt;=7))*ROW('CONTROL MASTER'!$S$2:$S$495))-(ROW('CONTROL MASTER'!#REF!)-1))))*(INDEX('CONTROL MASTER'!$W$2:$W$495,(SUMPRODUCT((('CONTROL MASTER'!$S$2:$S$495=4)*('CONTROL MASTER'!$T$2:$T$495&lt;=10)*('CONTROL MASTER'!$V$2:$V$495&gt;=10)*('CONTROL MASTER'!$U$2:$U$495&lt;=7)*('CONTROL MASTER'!$W$2:$W$495&gt;=7))*ROW('CONTROL MASTER'!$S$2:$S$495))-(ROW('CONTROL MASTER'!#REF!)-1)))-INDEX('CONTROL MASTER'!$U$2:$U$495,(SUMPRODUCT((('CONTROL MASTER'!$S$2:$S$495=4)*('CONTROL MASTER'!$T$2:$T$495&lt;=10)*('CONTROL MASTER'!$V$2:$V$495&gt;=10)*('CONTROL MASTER'!$U$2:$U$495&lt;=7)*('CONTROL MASTER'!$W$2:$W$495&gt;=7))*ROW('CONTROL MASTER'!$S$2:$S$495))-(ROW('CONTROL MASTER'!#REF!)-1)))+1)+(7-INDEX('CONTROL MASTER'!$U$2:$U$495,(SUMPRODUCT((('CONTROL MASTER'!$S$2:$S$495=4)*('CONTROL MASTER'!$T$2:$T$495&lt;=10)*('CONTROL MASTER'!$V$2:$V$495&gt;=10)*('CONTROL MASTER'!$U$2:$U$495&lt;=7)*('CONTROL MASTER'!$W$2:$W$495&gt;=7))*ROW('CONTROL MASTER'!$S$2:$S$495))-(ROW('CONTROL MASTER'!#REF!)-1))))+1))-1)*50+1,50))&amp;"_"&amp;INDEX('CONTROL MASTER'!$P$2:$P$495,(SUMPRODUCT((('CONTROL MASTER'!$S$2:$S$495=4)*('CONTROL MASTER'!$T$2:$T$495&lt;=10)*('CONTROL MASTER'!$V$2:$V$495&gt;=10)*('CONTROL MASTER'!$U$2:$U$495&lt;=7)*('CONTROL MASTER'!$W$2:$W$495&gt;=7))*ROW('CONTROL MASTER'!$S$2:$S$495))-(ROW('CONTROL MASTER'!#REF!)-1))),IF(SUMPRODUCT((('CONTROL MASTER'!$S$2:$S$495=4)*('CONTROL MASTER'!$Z$2:$Z$495&lt;=10)*('CONTROL MASTER'!$AB$2:$AB$495&gt;=10)*('CONTROL MASTER'!$AA$2:$AA$495&lt;=7)*('CONTROL MASTER'!$AC$2:$AC$495&gt;=7))*ROW('CONTROL MASTER'!$S$2:$S$495))&gt;0,INDEX('CONTROL MASTER'!$X$2:$X$495,(SUMPRODUCT((('CONTROL MASTER'!$S$2:$S$495=4)*('CONTROL MASTER'!$Z$2:$Z$495&lt;=10)*('CONTROL MASTER'!$AB$2:$AB$495&gt;=10)*('CONTROL MASTER'!$AA$2:$AA$495&lt;=7)*('CONTROL MASTER'!$AC$2:$AC$495&gt;=7))*ROW('CONTROL MASTER'!$S$2:$S$495))-(ROW('CONTROL MASTER'!#REF!)-1)))&amp;TRIM(MID(SUBSTITUTE(SUBSTITUTE(INDEX('CONTROL MASTER'!$N$2:$N$495,(SUMPRODUCT((('CONTROL MASTER'!$S$2:$S$495=4)*('CONTROL MASTER'!$Z$2:$Z$495&lt;=10)*('CONTROL MASTER'!$AB$2:$AB$495&gt;=10)*('CONTROL MASTER'!$AA$2:$AA$495&lt;=7)*('CONTROL MASTER'!$AC$2:$AC$495&gt;=7))*ROW('CONTROL MASTER'!$S$2:$S$495))-(ROW('CONTROL MASTER'!#REF!)-1))),":",","),",",REPT(" ",50)),(((INDEX('CONTROL MASTER'!$Y$2:$Y$495,(SUMPRODUCT((('CONTROL MASTER'!$S$2:$S$495=4)*('CONTROL MASTER'!$Z$2:$Z$495&lt;=10)*('CONTROL MASTER'!$AB$2:$AB$495&gt;=10)*('CONTROL MASTER'!$AA$2:$AA$495&lt;=7)*('CONTROL MASTER'!$AC$2:$AC$495&gt;=7))*ROW('CONTROL MASTER'!$S$2:$S$495))-(ROW('CONTROL MASTER'!#REF!)-1)))+((10-INDEX('CONTROL MASTER'!$Z$2:$Z$495,(SUMPRODUCT((('CONTROL MASTER'!$S$2:$S$495=4)*('CONTROL MASTER'!$Z$2:$Z$495&lt;=10)*('CONTROL MASTER'!$AB$2:$AB$495&gt;=10)*('CONTROL MASTER'!$AA$2:$AA$495&lt;=7)*('CONTROL MASTER'!$AC$2:$AC$495&gt;=7))*ROW('CONTROL MASTER'!$S$2:$S$495))-(ROW('CONTROL MASTER'!#REF!)-1))))*(INDEX('CONTROL MASTER'!$AC$2:$AC$495,(SUMPRODUCT((('CONTROL MASTER'!$S$2:$S$495=4)*('CONTROL MASTER'!$Z$2:$Z$495&lt;=10)*('CONTROL MASTER'!$AB$2:$AB$495&gt;=10)*('CONTROL MASTER'!$AA$2:$AA$495&lt;=7)*('CONTROL MASTER'!$AC$2:$AC$495&gt;=7))*ROW('CONTROL MASTER'!$S$2:$S$495))-(ROW('CONTROL MASTER'!#REF!)-1)))-INDEX('CONTROL MASTER'!$AA$2:$AA$495,(SUMPRODUCT((('CONTROL MASTER'!$S$2:$S$495=4)*('CONTROL MASTER'!$Z$2:$Z$495&lt;=10)*('CONTROL MASTER'!$AB$2:$AB$495&gt;=10)*('CONTROL MASTER'!$AA$2:$AA$495&lt;=7)*('CONTROL MASTER'!$AC$2:$AC$495&gt;=7))*ROW('CONTROL MASTER'!$S$2:$S$495))-(ROW('CONTROL MASTER'!#REF!)-1)))+1)+(7-INDEX('CONTROL MASTER'!$AA$2:$AA$495,(SUMPRODUCT((('CONTROL MASTER'!$S$2:$S$495=4)*('CONTROL MASTER'!$Z$2:$Z$495&lt;=10)*('CONTROL MASTER'!$AB$2:$AB$495&gt;=10)*('CONTROL MASTER'!$AA$2:$AA$495&lt;=7)*('CONTROL MASTER'!$AC$2:$AC$495&gt;=7))*ROW('CONTROL MASTER'!$S$2:$S$495))-(ROW('CONTROL MASTER'!#REF!)-1))))+1)))-1)*50+1,50))&amp;"_"&amp;INDEX('CONTROL MASTER'!$P$2:$P$495,(SUMPRODUCT((('CONTROL MASTER'!$S$2:$S$495=4)*('CONTROL MASTER'!$Z$2:$Z$495&lt;=10)*('CONTROL MASTER'!$AB$2:$AB$495&gt;=10)*('CONTROL MASTER'!$AA$2:$AA$495&lt;=7)*('CONTROL MASTER'!$AC$2:$AC$495&gt;=7))*ROW('CONTROL MASTER'!$S$2:$S$495))-(ROW('CONTROL MASTER'!#REF!)-1))),"")),"")</f>
        <v/>
      </c>
      <c r="I54" s="10" t="str">
        <f>IFERROR(IF(SUMPRODUCT((('CONTROL MASTER'!$S$2:$S$495=4)*('CONTROL MASTER'!$T$2:$T$495&lt;=10)*('CONTROL MASTER'!$V$2:$V$495&gt;=10)*('CONTROL MASTER'!$U$2:$U$495&lt;=8)*('CONTROL MASTER'!$W$2:$W$495&gt;=8))*ROW('CONTROL MASTER'!$S$2:$S$495))&gt;0,INDEX('CONTROL MASTER'!$X$2:$X$495,(SUMPRODUCT((('CONTROL MASTER'!$S$2:$S$495=4)*('CONTROL MASTER'!$T$2:$T$495&lt;=10)*('CONTROL MASTER'!$V$2:$V$495&gt;=10)*('CONTROL MASTER'!$U$2:$U$495&lt;=8)*('CONTROL MASTER'!$W$2:$W$495&gt;=8))*ROW('CONTROL MASTER'!$S$2:$S$495))-(ROW('CONTROL MASTER'!#REF!)-1)))&amp;TRIM(MID(SUBSTITUTE(SUBSTITUTE(INDEX('CONTROL MASTER'!$N$2:$N$495,(SUMPRODUCT((('CONTROL MASTER'!$S$2:$S$495=4)*('CONTROL MASTER'!$T$2:$T$495&lt;=10)*('CONTROL MASTER'!$V$2:$V$495&gt;=10)*('CONTROL MASTER'!$U$2:$U$495&lt;=8)*('CONTROL MASTER'!$W$2:$W$495&gt;=8))*ROW('CONTROL MASTER'!$S$2:$S$495))-(ROW('CONTROL MASTER'!#REF!)-1))),":",","),",",REPT(" ",50)),((((10-INDEX('CONTROL MASTER'!$T$2:$T$495,(SUMPRODUCT((('CONTROL MASTER'!$S$2:$S$495=4)*('CONTROL MASTER'!$T$2:$T$495&lt;=10)*('CONTROL MASTER'!$V$2:$V$495&gt;=10)*('CONTROL MASTER'!$U$2:$U$495&lt;=8)*('CONTROL MASTER'!$W$2:$W$495&gt;=8))*ROW('CONTROL MASTER'!$S$2:$S$495))-(ROW('CONTROL MASTER'!#REF!)-1))))*(INDEX('CONTROL MASTER'!$W$2:$W$495,(SUMPRODUCT((('CONTROL MASTER'!$S$2:$S$495=4)*('CONTROL MASTER'!$T$2:$T$495&lt;=10)*('CONTROL MASTER'!$V$2:$V$495&gt;=10)*('CONTROL MASTER'!$U$2:$U$495&lt;=8)*('CONTROL MASTER'!$W$2:$W$495&gt;=8))*ROW('CONTROL MASTER'!$S$2:$S$495))-(ROW('CONTROL MASTER'!#REF!)-1)))-INDEX('CONTROL MASTER'!$U$2:$U$495,(SUMPRODUCT((('CONTROL MASTER'!$S$2:$S$495=4)*('CONTROL MASTER'!$T$2:$T$495&lt;=10)*('CONTROL MASTER'!$V$2:$V$495&gt;=10)*('CONTROL MASTER'!$U$2:$U$495&lt;=8)*('CONTROL MASTER'!$W$2:$W$495&gt;=8))*ROW('CONTROL MASTER'!$S$2:$S$495))-(ROW('CONTROL MASTER'!#REF!)-1)))+1)+(8-INDEX('CONTROL MASTER'!$U$2:$U$495,(SUMPRODUCT((('CONTROL MASTER'!$S$2:$S$495=4)*('CONTROL MASTER'!$T$2:$T$495&lt;=10)*('CONTROL MASTER'!$V$2:$V$495&gt;=10)*('CONTROL MASTER'!$U$2:$U$495&lt;=8)*('CONTROL MASTER'!$W$2:$W$495&gt;=8))*ROW('CONTROL MASTER'!$S$2:$S$495))-(ROW('CONTROL MASTER'!#REF!)-1))))+1))-1)*50+1,50))&amp;"_"&amp;INDEX('CONTROL MASTER'!$P$2:$P$495,(SUMPRODUCT((('CONTROL MASTER'!$S$2:$S$495=4)*('CONTROL MASTER'!$T$2:$T$495&lt;=10)*('CONTROL MASTER'!$V$2:$V$495&gt;=10)*('CONTROL MASTER'!$U$2:$U$495&lt;=8)*('CONTROL MASTER'!$W$2:$W$495&gt;=8))*ROW('CONTROL MASTER'!$S$2:$S$495))-(ROW('CONTROL MASTER'!#REF!)-1))),IF(SUMPRODUCT((('CONTROL MASTER'!$S$2:$S$495=4)*('CONTROL MASTER'!$Z$2:$Z$495&lt;=10)*('CONTROL MASTER'!$AB$2:$AB$495&gt;=10)*('CONTROL MASTER'!$AA$2:$AA$495&lt;=8)*('CONTROL MASTER'!$AC$2:$AC$495&gt;=8))*ROW('CONTROL MASTER'!$S$2:$S$495))&gt;0,INDEX('CONTROL MASTER'!$X$2:$X$495,(SUMPRODUCT((('CONTROL MASTER'!$S$2:$S$495=4)*('CONTROL MASTER'!$Z$2:$Z$495&lt;=10)*('CONTROL MASTER'!$AB$2:$AB$495&gt;=10)*('CONTROL MASTER'!$AA$2:$AA$495&lt;=8)*('CONTROL MASTER'!$AC$2:$AC$495&gt;=8))*ROW('CONTROL MASTER'!$S$2:$S$495))-(ROW('CONTROL MASTER'!#REF!)-1)))&amp;TRIM(MID(SUBSTITUTE(SUBSTITUTE(INDEX('CONTROL MASTER'!$N$2:$N$495,(SUMPRODUCT((('CONTROL MASTER'!$S$2:$S$495=4)*('CONTROL MASTER'!$Z$2:$Z$495&lt;=10)*('CONTROL MASTER'!$AB$2:$AB$495&gt;=10)*('CONTROL MASTER'!$AA$2:$AA$495&lt;=8)*('CONTROL MASTER'!$AC$2:$AC$495&gt;=8))*ROW('CONTROL MASTER'!$S$2:$S$495))-(ROW('CONTROL MASTER'!#REF!)-1))),":",","),",",REPT(" ",50)),(((INDEX('CONTROL MASTER'!$Y$2:$Y$495,(SUMPRODUCT((('CONTROL MASTER'!$S$2:$S$495=4)*('CONTROL MASTER'!$Z$2:$Z$495&lt;=10)*('CONTROL MASTER'!$AB$2:$AB$495&gt;=10)*('CONTROL MASTER'!$AA$2:$AA$495&lt;=8)*('CONTROL MASTER'!$AC$2:$AC$495&gt;=8))*ROW('CONTROL MASTER'!$S$2:$S$495))-(ROW('CONTROL MASTER'!#REF!)-1)))+((10-INDEX('CONTROL MASTER'!$Z$2:$Z$495,(SUMPRODUCT((('CONTROL MASTER'!$S$2:$S$495=4)*('CONTROL MASTER'!$Z$2:$Z$495&lt;=10)*('CONTROL MASTER'!$AB$2:$AB$495&gt;=10)*('CONTROL MASTER'!$AA$2:$AA$495&lt;=8)*('CONTROL MASTER'!$AC$2:$AC$495&gt;=8))*ROW('CONTROL MASTER'!$S$2:$S$495))-(ROW('CONTROL MASTER'!#REF!)-1))))*(INDEX('CONTROL MASTER'!$AC$2:$AC$495,(SUMPRODUCT((('CONTROL MASTER'!$S$2:$S$495=4)*('CONTROL MASTER'!$Z$2:$Z$495&lt;=10)*('CONTROL MASTER'!$AB$2:$AB$495&gt;=10)*('CONTROL MASTER'!$AA$2:$AA$495&lt;=8)*('CONTROL MASTER'!$AC$2:$AC$495&gt;=8))*ROW('CONTROL MASTER'!$S$2:$S$495))-(ROW('CONTROL MASTER'!#REF!)-1)))-INDEX('CONTROL MASTER'!$AA$2:$AA$495,(SUMPRODUCT((('CONTROL MASTER'!$S$2:$S$495=4)*('CONTROL MASTER'!$Z$2:$Z$495&lt;=10)*('CONTROL MASTER'!$AB$2:$AB$495&gt;=10)*('CONTROL MASTER'!$AA$2:$AA$495&lt;=8)*('CONTROL MASTER'!$AC$2:$AC$495&gt;=8))*ROW('CONTROL MASTER'!$S$2:$S$495))-(ROW('CONTROL MASTER'!#REF!)-1)))+1)+(8-INDEX('CONTROL MASTER'!$AA$2:$AA$495,(SUMPRODUCT((('CONTROL MASTER'!$S$2:$S$495=4)*('CONTROL MASTER'!$Z$2:$Z$495&lt;=10)*('CONTROL MASTER'!$AB$2:$AB$495&gt;=10)*('CONTROL MASTER'!$AA$2:$AA$495&lt;=8)*('CONTROL MASTER'!$AC$2:$AC$495&gt;=8))*ROW('CONTROL MASTER'!$S$2:$S$495))-(ROW('CONTROL MASTER'!#REF!)-1))))+1)))-1)*50+1,50))&amp;"_"&amp;INDEX('CONTROL MASTER'!$P$2:$P$495,(SUMPRODUCT((('CONTROL MASTER'!$S$2:$S$495=4)*('CONTROL MASTER'!$Z$2:$Z$495&lt;=10)*('CONTROL MASTER'!$AB$2:$AB$495&gt;=10)*('CONTROL MASTER'!$AA$2:$AA$495&lt;=8)*('CONTROL MASTER'!$AC$2:$AC$495&gt;=8))*ROW('CONTROL MASTER'!$S$2:$S$495))-(ROW('CONTROL MASTER'!#REF!)-1))),"")),"")</f>
        <v/>
      </c>
      <c r="J54" s="10" t="str">
        <f>IFERROR(IF(SUMPRODUCT((('CONTROL MASTER'!$S$2:$S$495=4)*('CONTROL MASTER'!$T$2:$T$495&lt;=10)*('CONTROL MASTER'!$V$2:$V$495&gt;=10)*('CONTROL MASTER'!$U$2:$U$495&lt;=9)*('CONTROL MASTER'!$W$2:$W$495&gt;=9))*ROW('CONTROL MASTER'!$S$2:$S$495))&gt;0,INDEX('CONTROL MASTER'!$X$2:$X$495,(SUMPRODUCT((('CONTROL MASTER'!$S$2:$S$495=4)*('CONTROL MASTER'!$T$2:$T$495&lt;=10)*('CONTROL MASTER'!$V$2:$V$495&gt;=10)*('CONTROL MASTER'!$U$2:$U$495&lt;=9)*('CONTROL MASTER'!$W$2:$W$495&gt;=9))*ROW('CONTROL MASTER'!$S$2:$S$495))-(ROW('CONTROL MASTER'!#REF!)-1)))&amp;TRIM(MID(SUBSTITUTE(SUBSTITUTE(INDEX('CONTROL MASTER'!$N$2:$N$495,(SUMPRODUCT((('CONTROL MASTER'!$S$2:$S$495=4)*('CONTROL MASTER'!$T$2:$T$495&lt;=10)*('CONTROL MASTER'!$V$2:$V$495&gt;=10)*('CONTROL MASTER'!$U$2:$U$495&lt;=9)*('CONTROL MASTER'!$W$2:$W$495&gt;=9))*ROW('CONTROL MASTER'!$S$2:$S$495))-(ROW('CONTROL MASTER'!#REF!)-1))),":",","),",",REPT(" ",50)),((((10-INDEX('CONTROL MASTER'!$T$2:$T$495,(SUMPRODUCT((('CONTROL MASTER'!$S$2:$S$495=4)*('CONTROL MASTER'!$T$2:$T$495&lt;=10)*('CONTROL MASTER'!$V$2:$V$495&gt;=10)*('CONTROL MASTER'!$U$2:$U$495&lt;=9)*('CONTROL MASTER'!$W$2:$W$495&gt;=9))*ROW('CONTROL MASTER'!$S$2:$S$495))-(ROW('CONTROL MASTER'!#REF!)-1))))*(INDEX('CONTROL MASTER'!$W$2:$W$495,(SUMPRODUCT((('CONTROL MASTER'!$S$2:$S$495=4)*('CONTROL MASTER'!$T$2:$T$495&lt;=10)*('CONTROL MASTER'!$V$2:$V$495&gt;=10)*('CONTROL MASTER'!$U$2:$U$495&lt;=9)*('CONTROL MASTER'!$W$2:$W$495&gt;=9))*ROW('CONTROL MASTER'!$S$2:$S$495))-(ROW('CONTROL MASTER'!#REF!)-1)))-INDEX('CONTROL MASTER'!$U$2:$U$495,(SUMPRODUCT((('CONTROL MASTER'!$S$2:$S$495=4)*('CONTROL MASTER'!$T$2:$T$495&lt;=10)*('CONTROL MASTER'!$V$2:$V$495&gt;=10)*('CONTROL MASTER'!$U$2:$U$495&lt;=9)*('CONTROL MASTER'!$W$2:$W$495&gt;=9))*ROW('CONTROL MASTER'!$S$2:$S$495))-(ROW('CONTROL MASTER'!#REF!)-1)))+1)+(9-INDEX('CONTROL MASTER'!$U$2:$U$495,(SUMPRODUCT((('CONTROL MASTER'!$S$2:$S$495=4)*('CONTROL MASTER'!$T$2:$T$495&lt;=10)*('CONTROL MASTER'!$V$2:$V$495&gt;=10)*('CONTROL MASTER'!$U$2:$U$495&lt;=9)*('CONTROL MASTER'!$W$2:$W$495&gt;=9))*ROW('CONTROL MASTER'!$S$2:$S$495))-(ROW('CONTROL MASTER'!#REF!)-1))))+1))-1)*50+1,50))&amp;"_"&amp;INDEX('CONTROL MASTER'!$P$2:$P$495,(SUMPRODUCT((('CONTROL MASTER'!$S$2:$S$495=4)*('CONTROL MASTER'!$T$2:$T$495&lt;=10)*('CONTROL MASTER'!$V$2:$V$495&gt;=10)*('CONTROL MASTER'!$U$2:$U$495&lt;=9)*('CONTROL MASTER'!$W$2:$W$495&gt;=9))*ROW('CONTROL MASTER'!$S$2:$S$495))-(ROW('CONTROL MASTER'!#REF!)-1))),IF(SUMPRODUCT((('CONTROL MASTER'!$S$2:$S$495=4)*('CONTROL MASTER'!$Z$2:$Z$495&lt;=10)*('CONTROL MASTER'!$AB$2:$AB$495&gt;=10)*('CONTROL MASTER'!$AA$2:$AA$495&lt;=9)*('CONTROL MASTER'!$AC$2:$AC$495&gt;=9))*ROW('CONTROL MASTER'!$S$2:$S$495))&gt;0,INDEX('CONTROL MASTER'!$X$2:$X$495,(SUMPRODUCT((('CONTROL MASTER'!$S$2:$S$495=4)*('CONTROL MASTER'!$Z$2:$Z$495&lt;=10)*('CONTROL MASTER'!$AB$2:$AB$495&gt;=10)*('CONTROL MASTER'!$AA$2:$AA$495&lt;=9)*('CONTROL MASTER'!$AC$2:$AC$495&gt;=9))*ROW('CONTROL MASTER'!$S$2:$S$495))-(ROW('CONTROL MASTER'!#REF!)-1)))&amp;TRIM(MID(SUBSTITUTE(SUBSTITUTE(INDEX('CONTROL MASTER'!$N$2:$N$495,(SUMPRODUCT((('CONTROL MASTER'!$S$2:$S$495=4)*('CONTROL MASTER'!$Z$2:$Z$495&lt;=10)*('CONTROL MASTER'!$AB$2:$AB$495&gt;=10)*('CONTROL MASTER'!$AA$2:$AA$495&lt;=9)*('CONTROL MASTER'!$AC$2:$AC$495&gt;=9))*ROW('CONTROL MASTER'!$S$2:$S$495))-(ROW('CONTROL MASTER'!#REF!)-1))),":",","),",",REPT(" ",50)),(((INDEX('CONTROL MASTER'!$Y$2:$Y$495,(SUMPRODUCT((('CONTROL MASTER'!$S$2:$S$495=4)*('CONTROL MASTER'!$Z$2:$Z$495&lt;=10)*('CONTROL MASTER'!$AB$2:$AB$495&gt;=10)*('CONTROL MASTER'!$AA$2:$AA$495&lt;=9)*('CONTROL MASTER'!$AC$2:$AC$495&gt;=9))*ROW('CONTROL MASTER'!$S$2:$S$495))-(ROW('CONTROL MASTER'!#REF!)-1)))+((10-INDEX('CONTROL MASTER'!$Z$2:$Z$495,(SUMPRODUCT((('CONTROL MASTER'!$S$2:$S$495=4)*('CONTROL MASTER'!$Z$2:$Z$495&lt;=10)*('CONTROL MASTER'!$AB$2:$AB$495&gt;=10)*('CONTROL MASTER'!$AA$2:$AA$495&lt;=9)*('CONTROL MASTER'!$AC$2:$AC$495&gt;=9))*ROW('CONTROL MASTER'!$S$2:$S$495))-(ROW('CONTROL MASTER'!#REF!)-1))))*(INDEX('CONTROL MASTER'!$AC$2:$AC$495,(SUMPRODUCT((('CONTROL MASTER'!$S$2:$S$495=4)*('CONTROL MASTER'!$Z$2:$Z$495&lt;=10)*('CONTROL MASTER'!$AB$2:$AB$495&gt;=10)*('CONTROL MASTER'!$AA$2:$AA$495&lt;=9)*('CONTROL MASTER'!$AC$2:$AC$495&gt;=9))*ROW('CONTROL MASTER'!$S$2:$S$495))-(ROW('CONTROL MASTER'!#REF!)-1)))-INDEX('CONTROL MASTER'!$AA$2:$AA$495,(SUMPRODUCT((('CONTROL MASTER'!$S$2:$S$495=4)*('CONTROL MASTER'!$Z$2:$Z$495&lt;=10)*('CONTROL MASTER'!$AB$2:$AB$495&gt;=10)*('CONTROL MASTER'!$AA$2:$AA$495&lt;=9)*('CONTROL MASTER'!$AC$2:$AC$495&gt;=9))*ROW('CONTROL MASTER'!$S$2:$S$495))-(ROW('CONTROL MASTER'!#REF!)-1)))+1)+(9-INDEX('CONTROL MASTER'!$AA$2:$AA$495,(SUMPRODUCT((('CONTROL MASTER'!$S$2:$S$495=4)*('CONTROL MASTER'!$Z$2:$Z$495&lt;=10)*('CONTROL MASTER'!$AB$2:$AB$495&gt;=10)*('CONTROL MASTER'!$AA$2:$AA$495&lt;=9)*('CONTROL MASTER'!$AC$2:$AC$495&gt;=9))*ROW('CONTROL MASTER'!$S$2:$S$495))-(ROW('CONTROL MASTER'!#REF!)-1))))+1)))-1)*50+1,50))&amp;"_"&amp;INDEX('CONTROL MASTER'!$P$2:$P$495,(SUMPRODUCT((('CONTROL MASTER'!$S$2:$S$495=4)*('CONTROL MASTER'!$Z$2:$Z$495&lt;=10)*('CONTROL MASTER'!$AB$2:$AB$495&gt;=10)*('CONTROL MASTER'!$AA$2:$AA$495&lt;=9)*('CONTROL MASTER'!$AC$2:$AC$495&gt;=9))*ROW('CONTROL MASTER'!$S$2:$S$495))-(ROW('CONTROL MASTER'!#REF!)-1))),"")),"")</f>
        <v/>
      </c>
      <c r="K54" s="10" t="str">
        <f>IFERROR(IF(SUMPRODUCT((('CONTROL MASTER'!$S$2:$S$495=4)*('CONTROL MASTER'!$T$2:$T$495&lt;=10)*('CONTROL MASTER'!$V$2:$V$495&gt;=10)*('CONTROL MASTER'!$U$2:$U$495&lt;=10)*('CONTROL MASTER'!$W$2:$W$495&gt;=10))*ROW('CONTROL MASTER'!$S$2:$S$495))&gt;0,INDEX('CONTROL MASTER'!$X$2:$X$495,(SUMPRODUCT((('CONTROL MASTER'!$S$2:$S$495=4)*('CONTROL MASTER'!$T$2:$T$495&lt;=10)*('CONTROL MASTER'!$V$2:$V$495&gt;=10)*('CONTROL MASTER'!$U$2:$U$495&lt;=10)*('CONTROL MASTER'!$W$2:$W$495&gt;=10))*ROW('CONTROL MASTER'!$S$2:$S$495))-(ROW('CONTROL MASTER'!#REF!)-1)))&amp;TRIM(MID(SUBSTITUTE(SUBSTITUTE(INDEX('CONTROL MASTER'!$N$2:$N$495,(SUMPRODUCT((('CONTROL MASTER'!$S$2:$S$495=4)*('CONTROL MASTER'!$T$2:$T$495&lt;=10)*('CONTROL MASTER'!$V$2:$V$495&gt;=10)*('CONTROL MASTER'!$U$2:$U$495&lt;=10)*('CONTROL MASTER'!$W$2:$W$495&gt;=10))*ROW('CONTROL MASTER'!$S$2:$S$495))-(ROW('CONTROL MASTER'!#REF!)-1))),":",","),",",REPT(" ",50)),((((10-INDEX('CONTROL MASTER'!$T$2:$T$495,(SUMPRODUCT((('CONTROL MASTER'!$S$2:$S$495=4)*('CONTROL MASTER'!$T$2:$T$495&lt;=10)*('CONTROL MASTER'!$V$2:$V$495&gt;=10)*('CONTROL MASTER'!$U$2:$U$495&lt;=10)*('CONTROL MASTER'!$W$2:$W$495&gt;=10))*ROW('CONTROL MASTER'!$S$2:$S$495))-(ROW('CONTROL MASTER'!#REF!)-1))))*(INDEX('CONTROL MASTER'!$W$2:$W$495,(SUMPRODUCT((('CONTROL MASTER'!$S$2:$S$495=4)*('CONTROL MASTER'!$T$2:$T$495&lt;=10)*('CONTROL MASTER'!$V$2:$V$495&gt;=10)*('CONTROL MASTER'!$U$2:$U$495&lt;=10)*('CONTROL MASTER'!$W$2:$W$495&gt;=10))*ROW('CONTROL MASTER'!$S$2:$S$495))-(ROW('CONTROL MASTER'!#REF!)-1)))-INDEX('CONTROL MASTER'!$U$2:$U$495,(SUMPRODUCT((('CONTROL MASTER'!$S$2:$S$495=4)*('CONTROL MASTER'!$T$2:$T$495&lt;=10)*('CONTROL MASTER'!$V$2:$V$495&gt;=10)*('CONTROL MASTER'!$U$2:$U$495&lt;=10)*('CONTROL MASTER'!$W$2:$W$495&gt;=10))*ROW('CONTROL MASTER'!$S$2:$S$495))-(ROW('CONTROL MASTER'!#REF!)-1)))+1)+(10-INDEX('CONTROL MASTER'!$U$2:$U$495,(SUMPRODUCT((('CONTROL MASTER'!$S$2:$S$495=4)*('CONTROL MASTER'!$T$2:$T$495&lt;=10)*('CONTROL MASTER'!$V$2:$V$495&gt;=10)*('CONTROL MASTER'!$U$2:$U$495&lt;=10)*('CONTROL MASTER'!$W$2:$W$495&gt;=10))*ROW('CONTROL MASTER'!$S$2:$S$495))-(ROW('CONTROL MASTER'!#REF!)-1))))+1))-1)*50+1,50))&amp;"_"&amp;INDEX('CONTROL MASTER'!$P$2:$P$495,(SUMPRODUCT((('CONTROL MASTER'!$S$2:$S$495=4)*('CONTROL MASTER'!$T$2:$T$495&lt;=10)*('CONTROL MASTER'!$V$2:$V$495&gt;=10)*('CONTROL MASTER'!$U$2:$U$495&lt;=10)*('CONTROL MASTER'!$W$2:$W$495&gt;=10))*ROW('CONTROL MASTER'!$S$2:$S$495))-(ROW('CONTROL MASTER'!#REF!)-1))),IF(SUMPRODUCT((('CONTROL MASTER'!$S$2:$S$495=4)*('CONTROL MASTER'!$Z$2:$Z$495&lt;=10)*('CONTROL MASTER'!$AB$2:$AB$495&gt;=10)*('CONTROL MASTER'!$AA$2:$AA$495&lt;=10)*('CONTROL MASTER'!$AC$2:$AC$495&gt;=10))*ROW('CONTROL MASTER'!$S$2:$S$495))&gt;0,INDEX('CONTROL MASTER'!$X$2:$X$495,(SUMPRODUCT((('CONTROL MASTER'!$S$2:$S$495=4)*('CONTROL MASTER'!$Z$2:$Z$495&lt;=10)*('CONTROL MASTER'!$AB$2:$AB$495&gt;=10)*('CONTROL MASTER'!$AA$2:$AA$495&lt;=10)*('CONTROL MASTER'!$AC$2:$AC$495&gt;=10))*ROW('CONTROL MASTER'!$S$2:$S$495))-(ROW('CONTROL MASTER'!#REF!)-1)))&amp;TRIM(MID(SUBSTITUTE(SUBSTITUTE(INDEX('CONTROL MASTER'!$N$2:$N$495,(SUMPRODUCT((('CONTROL MASTER'!$S$2:$S$495=4)*('CONTROL MASTER'!$Z$2:$Z$495&lt;=10)*('CONTROL MASTER'!$AB$2:$AB$495&gt;=10)*('CONTROL MASTER'!$AA$2:$AA$495&lt;=10)*('CONTROL MASTER'!$AC$2:$AC$495&gt;=10))*ROW('CONTROL MASTER'!$S$2:$S$495))-(ROW('CONTROL MASTER'!#REF!)-1))),":",","),",",REPT(" ",50)),(((INDEX('CONTROL MASTER'!$Y$2:$Y$495,(SUMPRODUCT((('CONTROL MASTER'!$S$2:$S$495=4)*('CONTROL MASTER'!$Z$2:$Z$495&lt;=10)*('CONTROL MASTER'!$AB$2:$AB$495&gt;=10)*('CONTROL MASTER'!$AA$2:$AA$495&lt;=10)*('CONTROL MASTER'!$AC$2:$AC$495&gt;=10))*ROW('CONTROL MASTER'!$S$2:$S$495))-(ROW('CONTROL MASTER'!#REF!)-1)))+((10-INDEX('CONTROL MASTER'!$Z$2:$Z$495,(SUMPRODUCT((('CONTROL MASTER'!$S$2:$S$495=4)*('CONTROL MASTER'!$Z$2:$Z$495&lt;=10)*('CONTROL MASTER'!$AB$2:$AB$495&gt;=10)*('CONTROL MASTER'!$AA$2:$AA$495&lt;=10)*('CONTROL MASTER'!$AC$2:$AC$495&gt;=10))*ROW('CONTROL MASTER'!$S$2:$S$495))-(ROW('CONTROL MASTER'!#REF!)-1))))*(INDEX('CONTROL MASTER'!$AC$2:$AC$495,(SUMPRODUCT((('CONTROL MASTER'!$S$2:$S$495=4)*('CONTROL MASTER'!$Z$2:$Z$495&lt;=10)*('CONTROL MASTER'!$AB$2:$AB$495&gt;=10)*('CONTROL MASTER'!$AA$2:$AA$495&lt;=10)*('CONTROL MASTER'!$AC$2:$AC$495&gt;=10))*ROW('CONTROL MASTER'!$S$2:$S$495))-(ROW('CONTROL MASTER'!#REF!)-1)))-INDEX('CONTROL MASTER'!$AA$2:$AA$495,(SUMPRODUCT((('CONTROL MASTER'!$S$2:$S$495=4)*('CONTROL MASTER'!$Z$2:$Z$495&lt;=10)*('CONTROL MASTER'!$AB$2:$AB$495&gt;=10)*('CONTROL MASTER'!$AA$2:$AA$495&lt;=10)*('CONTROL MASTER'!$AC$2:$AC$495&gt;=10))*ROW('CONTROL MASTER'!$S$2:$S$495))-(ROW('CONTROL MASTER'!#REF!)-1)))+1)+(10-INDEX('CONTROL MASTER'!$AA$2:$AA$495,(SUMPRODUCT((('CONTROL MASTER'!$S$2:$S$495=4)*('CONTROL MASTER'!$Z$2:$Z$495&lt;=10)*('CONTROL MASTER'!$AB$2:$AB$495&gt;=10)*('CONTROL MASTER'!$AA$2:$AA$495&lt;=10)*('CONTROL MASTER'!$AC$2:$AC$495&gt;=10))*ROW('CONTROL MASTER'!$S$2:$S$495))-(ROW('CONTROL MASTER'!#REF!)-1))))+1)))-1)*50+1,50))&amp;"_"&amp;INDEX('CONTROL MASTER'!$P$2:$P$495,(SUMPRODUCT((('CONTROL MASTER'!$S$2:$S$495=4)*('CONTROL MASTER'!$Z$2:$Z$495&lt;=10)*('CONTROL MASTER'!$AB$2:$AB$495&gt;=10)*('CONTROL MASTER'!$AA$2:$AA$495&lt;=10)*('CONTROL MASTER'!$AC$2:$AC$495&gt;=10))*ROW('CONTROL MASTER'!$S$2:$S$495))-(ROW('CONTROL MASTER'!#REF!)-1))),"")),"")</f>
        <v/>
      </c>
    </row>
    <row r="57" spans="1:11" ht="15" customHeight="1" x14ac:dyDescent="0.35">
      <c r="A57" s="12" t="s">
        <v>161</v>
      </c>
      <c r="B57" s="13"/>
      <c r="C57" s="13"/>
      <c r="D57" s="13"/>
      <c r="E57" s="13"/>
      <c r="F57" s="13"/>
      <c r="G57" s="13"/>
      <c r="H57" s="13"/>
      <c r="I57" s="13"/>
      <c r="J57" s="13"/>
      <c r="K57" s="13"/>
    </row>
    <row r="58" spans="1:11" ht="15" customHeight="1" x14ac:dyDescent="0.35">
      <c r="B58" s="8">
        <v>1</v>
      </c>
      <c r="C58" s="8">
        <v>2</v>
      </c>
      <c r="D58" s="8">
        <v>3</v>
      </c>
      <c r="E58" s="8">
        <v>4</v>
      </c>
      <c r="F58" s="8">
        <v>5</v>
      </c>
      <c r="G58" s="8">
        <v>6</v>
      </c>
      <c r="H58" s="8">
        <v>7</v>
      </c>
      <c r="I58" s="8">
        <v>8</v>
      </c>
      <c r="J58" s="8">
        <v>9</v>
      </c>
      <c r="K58" s="8">
        <v>10</v>
      </c>
    </row>
    <row r="59" spans="1:11" ht="15" customHeight="1" x14ac:dyDescent="0.35">
      <c r="A59" s="8" t="s">
        <v>28</v>
      </c>
      <c r="B59" s="10" t="str">
        <f>IFERROR(IF(SUMPRODUCT((('CONTROL MASTER'!$S$2:$S$495=5)*('CONTROL MASTER'!$T$2:$T$495&lt;=1)*('CONTROL MASTER'!$V$2:$V$495&gt;=1)*('CONTROL MASTER'!$U$2:$U$495&lt;=1)*('CONTROL MASTER'!$W$2:$W$495&gt;=1))*ROW('CONTROL MASTER'!$S$2:$S$495))&gt;0,INDEX('CONTROL MASTER'!$X$2:$X$495,(SUMPRODUCT((('CONTROL MASTER'!$S$2:$S$495=5)*('CONTROL MASTER'!$T$2:$T$495&lt;=1)*('CONTROL MASTER'!$V$2:$V$495&gt;=1)*('CONTROL MASTER'!$U$2:$U$495&lt;=1)*('CONTROL MASTER'!$W$2:$W$495&gt;=1))*ROW('CONTROL MASTER'!$S$2:$S$495))-(ROW('CONTROL MASTER'!#REF!)-1)))&amp;TRIM(MID(SUBSTITUTE(SUBSTITUTE(INDEX('CONTROL MASTER'!$N$2:$N$495,(SUMPRODUCT((('CONTROL MASTER'!$S$2:$S$495=5)*('CONTROL MASTER'!$T$2:$T$495&lt;=1)*('CONTROL MASTER'!$V$2:$V$495&gt;=1)*('CONTROL MASTER'!$U$2:$U$495&lt;=1)*('CONTROL MASTER'!$W$2:$W$495&gt;=1))*ROW('CONTROL MASTER'!$S$2:$S$495))-(ROW('CONTROL MASTER'!#REF!)-1))),":",","),",",REPT(" ",50)),((((1-INDEX('CONTROL MASTER'!$T$2:$T$495,(SUMPRODUCT((('CONTROL MASTER'!$S$2:$S$495=5)*('CONTROL MASTER'!$T$2:$T$495&lt;=1)*('CONTROL MASTER'!$V$2:$V$495&gt;=1)*('CONTROL MASTER'!$U$2:$U$495&lt;=1)*('CONTROL MASTER'!$W$2:$W$495&gt;=1))*ROW('CONTROL MASTER'!$S$2:$S$495))-(ROW('CONTROL MASTER'!#REF!)-1))))*(INDEX('CONTROL MASTER'!$W$2:$W$495,(SUMPRODUCT((('CONTROL MASTER'!$S$2:$S$495=5)*('CONTROL MASTER'!$T$2:$T$495&lt;=1)*('CONTROL MASTER'!$V$2:$V$495&gt;=1)*('CONTROL MASTER'!$U$2:$U$495&lt;=1)*('CONTROL MASTER'!$W$2:$W$495&gt;=1))*ROW('CONTROL MASTER'!$S$2:$S$495))-(ROW('CONTROL MASTER'!#REF!)-1)))-INDEX('CONTROL MASTER'!$U$2:$U$495,(SUMPRODUCT((('CONTROL MASTER'!$S$2:$S$495=5)*('CONTROL MASTER'!$T$2:$T$495&lt;=1)*('CONTROL MASTER'!$V$2:$V$495&gt;=1)*('CONTROL MASTER'!$U$2:$U$495&lt;=1)*('CONTROL MASTER'!$W$2:$W$495&gt;=1))*ROW('CONTROL MASTER'!$S$2:$S$495))-(ROW('CONTROL MASTER'!#REF!)-1)))+1)+(1-INDEX('CONTROL MASTER'!$U$2:$U$495,(SUMPRODUCT((('CONTROL MASTER'!$S$2:$S$495=5)*('CONTROL MASTER'!$T$2:$T$495&lt;=1)*('CONTROL MASTER'!$V$2:$V$495&gt;=1)*('CONTROL MASTER'!$U$2:$U$495&lt;=1)*('CONTROL MASTER'!$W$2:$W$495&gt;=1))*ROW('CONTROL MASTER'!$S$2:$S$495))-(ROW('CONTROL MASTER'!#REF!)-1))))+1))-1)*50+1,50))&amp;"_"&amp;INDEX('CONTROL MASTER'!$P$2:$P$495,(SUMPRODUCT((('CONTROL MASTER'!$S$2:$S$495=5)*('CONTROL MASTER'!$T$2:$T$495&lt;=1)*('CONTROL MASTER'!$V$2:$V$495&gt;=1)*('CONTROL MASTER'!$U$2:$U$495&lt;=1)*('CONTROL MASTER'!$W$2:$W$495&gt;=1))*ROW('CONTROL MASTER'!$S$2:$S$495))-(ROW('CONTROL MASTER'!#REF!)-1))),IF(SUMPRODUCT((('CONTROL MASTER'!$S$2:$S$495=5)*('CONTROL MASTER'!$Z$2:$Z$495&lt;=1)*('CONTROL MASTER'!$AB$2:$AB$495&gt;=1)*('CONTROL MASTER'!$AA$2:$AA$495&lt;=1)*('CONTROL MASTER'!$AC$2:$AC$495&gt;=1))*ROW('CONTROL MASTER'!$S$2:$S$495))&gt;0,INDEX('CONTROL MASTER'!$X$2:$X$495,(SUMPRODUCT((('CONTROL MASTER'!$S$2:$S$495=5)*('CONTROL MASTER'!$Z$2:$Z$495&lt;=1)*('CONTROL MASTER'!$AB$2:$AB$495&gt;=1)*('CONTROL MASTER'!$AA$2:$AA$495&lt;=1)*('CONTROL MASTER'!$AC$2:$AC$495&gt;=1))*ROW('CONTROL MASTER'!$S$2:$S$495))-(ROW('CONTROL MASTER'!#REF!)-1)))&amp;TRIM(MID(SUBSTITUTE(SUBSTITUTE(INDEX('CONTROL MASTER'!$N$2:$N$495,(SUMPRODUCT((('CONTROL MASTER'!$S$2:$S$495=5)*('CONTROL MASTER'!$Z$2:$Z$495&lt;=1)*('CONTROL MASTER'!$AB$2:$AB$495&gt;=1)*('CONTROL MASTER'!$AA$2:$AA$495&lt;=1)*('CONTROL MASTER'!$AC$2:$AC$495&gt;=1))*ROW('CONTROL MASTER'!$S$2:$S$495))-(ROW('CONTROL MASTER'!#REF!)-1))),":",","),",",REPT(" ",50)),(((INDEX('CONTROL MASTER'!$Y$2:$Y$495,(SUMPRODUCT((('CONTROL MASTER'!$S$2:$S$495=5)*('CONTROL MASTER'!$Z$2:$Z$495&lt;=1)*('CONTROL MASTER'!$AB$2:$AB$495&gt;=1)*('CONTROL MASTER'!$AA$2:$AA$495&lt;=1)*('CONTROL MASTER'!$AC$2:$AC$495&gt;=1))*ROW('CONTROL MASTER'!$S$2:$S$495))-(ROW('CONTROL MASTER'!#REF!)-1)))+((1-INDEX('CONTROL MASTER'!$Z$2:$Z$495,(SUMPRODUCT((('CONTROL MASTER'!$S$2:$S$495=5)*('CONTROL MASTER'!$Z$2:$Z$495&lt;=1)*('CONTROL MASTER'!$AB$2:$AB$495&gt;=1)*('CONTROL MASTER'!$AA$2:$AA$495&lt;=1)*('CONTROL MASTER'!$AC$2:$AC$495&gt;=1))*ROW('CONTROL MASTER'!$S$2:$S$495))-(ROW('CONTROL MASTER'!#REF!)-1))))*(INDEX('CONTROL MASTER'!$AC$2:$AC$495,(SUMPRODUCT((('CONTROL MASTER'!$S$2:$S$495=5)*('CONTROL MASTER'!$Z$2:$Z$495&lt;=1)*('CONTROL MASTER'!$AB$2:$AB$495&gt;=1)*('CONTROL MASTER'!$AA$2:$AA$495&lt;=1)*('CONTROL MASTER'!$AC$2:$AC$495&gt;=1))*ROW('CONTROL MASTER'!$S$2:$S$495))-(ROW('CONTROL MASTER'!#REF!)-1)))-INDEX('CONTROL MASTER'!$AA$2:$AA$495,(SUMPRODUCT((('CONTROL MASTER'!$S$2:$S$495=5)*('CONTROL MASTER'!$Z$2:$Z$495&lt;=1)*('CONTROL MASTER'!$AB$2:$AB$495&gt;=1)*('CONTROL MASTER'!$AA$2:$AA$495&lt;=1)*('CONTROL MASTER'!$AC$2:$AC$495&gt;=1))*ROW('CONTROL MASTER'!$S$2:$S$495))-(ROW('CONTROL MASTER'!#REF!)-1)))+1)+(1-INDEX('CONTROL MASTER'!$AA$2:$AA$495,(SUMPRODUCT((('CONTROL MASTER'!$S$2:$S$495=5)*('CONTROL MASTER'!$Z$2:$Z$495&lt;=1)*('CONTROL MASTER'!$AB$2:$AB$495&gt;=1)*('CONTROL MASTER'!$AA$2:$AA$495&lt;=1)*('CONTROL MASTER'!$AC$2:$AC$495&gt;=1))*ROW('CONTROL MASTER'!$S$2:$S$495))-(ROW('CONTROL MASTER'!#REF!)-1))))+1)))-1)*50+1,50))&amp;"_"&amp;INDEX('CONTROL MASTER'!$P$2:$P$495,(SUMPRODUCT((('CONTROL MASTER'!$S$2:$S$495=5)*('CONTROL MASTER'!$Z$2:$Z$495&lt;=1)*('CONTROL MASTER'!$AB$2:$AB$495&gt;=1)*('CONTROL MASTER'!$AA$2:$AA$495&lt;=1)*('CONTROL MASTER'!$AC$2:$AC$495&gt;=1))*ROW('CONTROL MASTER'!$S$2:$S$495))-(ROW('CONTROL MASTER'!#REF!)-1))),"")),"")</f>
        <v/>
      </c>
      <c r="C59" s="10" t="str">
        <f>IFERROR(IF(SUMPRODUCT((('CONTROL MASTER'!$S$2:$S$495=5)*('CONTROL MASTER'!$T$2:$T$495&lt;=1)*('CONTROL MASTER'!$V$2:$V$495&gt;=1)*('CONTROL MASTER'!$U$2:$U$495&lt;=2)*('CONTROL MASTER'!$W$2:$W$495&gt;=2))*ROW('CONTROL MASTER'!$S$2:$S$495))&gt;0,INDEX('CONTROL MASTER'!$X$2:$X$495,(SUMPRODUCT((('CONTROL MASTER'!$S$2:$S$495=5)*('CONTROL MASTER'!$T$2:$T$495&lt;=1)*('CONTROL MASTER'!$V$2:$V$495&gt;=1)*('CONTROL MASTER'!$U$2:$U$495&lt;=2)*('CONTROL MASTER'!$W$2:$W$495&gt;=2))*ROW('CONTROL MASTER'!$S$2:$S$495))-(ROW('CONTROL MASTER'!#REF!)-1)))&amp;TRIM(MID(SUBSTITUTE(SUBSTITUTE(INDEX('CONTROL MASTER'!$N$2:$N$495,(SUMPRODUCT((('CONTROL MASTER'!$S$2:$S$495=5)*('CONTROL MASTER'!$T$2:$T$495&lt;=1)*('CONTROL MASTER'!$V$2:$V$495&gt;=1)*('CONTROL MASTER'!$U$2:$U$495&lt;=2)*('CONTROL MASTER'!$W$2:$W$495&gt;=2))*ROW('CONTROL MASTER'!$S$2:$S$495))-(ROW('CONTROL MASTER'!#REF!)-1))),":",","),",",REPT(" ",50)),((((1-INDEX('CONTROL MASTER'!$T$2:$T$495,(SUMPRODUCT((('CONTROL MASTER'!$S$2:$S$495=5)*('CONTROL MASTER'!$T$2:$T$495&lt;=1)*('CONTROL MASTER'!$V$2:$V$495&gt;=1)*('CONTROL MASTER'!$U$2:$U$495&lt;=2)*('CONTROL MASTER'!$W$2:$W$495&gt;=2))*ROW('CONTROL MASTER'!$S$2:$S$495))-(ROW('CONTROL MASTER'!#REF!)-1))))*(INDEX('CONTROL MASTER'!$W$2:$W$495,(SUMPRODUCT((('CONTROL MASTER'!$S$2:$S$495=5)*('CONTROL MASTER'!$T$2:$T$495&lt;=1)*('CONTROL MASTER'!$V$2:$V$495&gt;=1)*('CONTROL MASTER'!$U$2:$U$495&lt;=2)*('CONTROL MASTER'!$W$2:$W$495&gt;=2))*ROW('CONTROL MASTER'!$S$2:$S$495))-(ROW('CONTROL MASTER'!#REF!)-1)))-INDEX('CONTROL MASTER'!$U$2:$U$495,(SUMPRODUCT((('CONTROL MASTER'!$S$2:$S$495=5)*('CONTROL MASTER'!$T$2:$T$495&lt;=1)*('CONTROL MASTER'!$V$2:$V$495&gt;=1)*('CONTROL MASTER'!$U$2:$U$495&lt;=2)*('CONTROL MASTER'!$W$2:$W$495&gt;=2))*ROW('CONTROL MASTER'!$S$2:$S$495))-(ROW('CONTROL MASTER'!#REF!)-1)))+1)+(2-INDEX('CONTROL MASTER'!$U$2:$U$495,(SUMPRODUCT((('CONTROL MASTER'!$S$2:$S$495=5)*('CONTROL MASTER'!$T$2:$T$495&lt;=1)*('CONTROL MASTER'!$V$2:$V$495&gt;=1)*('CONTROL MASTER'!$U$2:$U$495&lt;=2)*('CONTROL MASTER'!$W$2:$W$495&gt;=2))*ROW('CONTROL MASTER'!$S$2:$S$495))-(ROW('CONTROL MASTER'!#REF!)-1))))+1))-1)*50+1,50))&amp;"_"&amp;INDEX('CONTROL MASTER'!$P$2:$P$495,(SUMPRODUCT((('CONTROL MASTER'!$S$2:$S$495=5)*('CONTROL MASTER'!$T$2:$T$495&lt;=1)*('CONTROL MASTER'!$V$2:$V$495&gt;=1)*('CONTROL MASTER'!$U$2:$U$495&lt;=2)*('CONTROL MASTER'!$W$2:$W$495&gt;=2))*ROW('CONTROL MASTER'!$S$2:$S$495))-(ROW('CONTROL MASTER'!#REF!)-1))),IF(SUMPRODUCT((('CONTROL MASTER'!$S$2:$S$495=5)*('CONTROL MASTER'!$Z$2:$Z$495&lt;=1)*('CONTROL MASTER'!$AB$2:$AB$495&gt;=1)*('CONTROL MASTER'!$AA$2:$AA$495&lt;=2)*('CONTROL MASTER'!$AC$2:$AC$495&gt;=2))*ROW('CONTROL MASTER'!$S$2:$S$495))&gt;0,INDEX('CONTROL MASTER'!$X$2:$X$495,(SUMPRODUCT((('CONTROL MASTER'!$S$2:$S$495=5)*('CONTROL MASTER'!$Z$2:$Z$495&lt;=1)*('CONTROL MASTER'!$AB$2:$AB$495&gt;=1)*('CONTROL MASTER'!$AA$2:$AA$495&lt;=2)*('CONTROL MASTER'!$AC$2:$AC$495&gt;=2))*ROW('CONTROL MASTER'!$S$2:$S$495))-(ROW('CONTROL MASTER'!#REF!)-1)))&amp;TRIM(MID(SUBSTITUTE(SUBSTITUTE(INDEX('CONTROL MASTER'!$N$2:$N$495,(SUMPRODUCT((('CONTROL MASTER'!$S$2:$S$495=5)*('CONTROL MASTER'!$Z$2:$Z$495&lt;=1)*('CONTROL MASTER'!$AB$2:$AB$495&gt;=1)*('CONTROL MASTER'!$AA$2:$AA$495&lt;=2)*('CONTROL MASTER'!$AC$2:$AC$495&gt;=2))*ROW('CONTROL MASTER'!$S$2:$S$495))-(ROW('CONTROL MASTER'!#REF!)-1))),":",","),",",REPT(" ",50)),(((INDEX('CONTROL MASTER'!$Y$2:$Y$495,(SUMPRODUCT((('CONTROL MASTER'!$S$2:$S$495=5)*('CONTROL MASTER'!$Z$2:$Z$495&lt;=1)*('CONTROL MASTER'!$AB$2:$AB$495&gt;=1)*('CONTROL MASTER'!$AA$2:$AA$495&lt;=2)*('CONTROL MASTER'!$AC$2:$AC$495&gt;=2))*ROW('CONTROL MASTER'!$S$2:$S$495))-(ROW('CONTROL MASTER'!#REF!)-1)))+((1-INDEX('CONTROL MASTER'!$Z$2:$Z$495,(SUMPRODUCT((('CONTROL MASTER'!$S$2:$S$495=5)*('CONTROL MASTER'!$Z$2:$Z$495&lt;=1)*('CONTROL MASTER'!$AB$2:$AB$495&gt;=1)*('CONTROL MASTER'!$AA$2:$AA$495&lt;=2)*('CONTROL MASTER'!$AC$2:$AC$495&gt;=2))*ROW('CONTROL MASTER'!$S$2:$S$495))-(ROW('CONTROL MASTER'!#REF!)-1))))*(INDEX('CONTROL MASTER'!$AC$2:$AC$495,(SUMPRODUCT((('CONTROL MASTER'!$S$2:$S$495=5)*('CONTROL MASTER'!$Z$2:$Z$495&lt;=1)*('CONTROL MASTER'!$AB$2:$AB$495&gt;=1)*('CONTROL MASTER'!$AA$2:$AA$495&lt;=2)*('CONTROL MASTER'!$AC$2:$AC$495&gt;=2))*ROW('CONTROL MASTER'!$S$2:$S$495))-(ROW('CONTROL MASTER'!#REF!)-1)))-INDEX('CONTROL MASTER'!$AA$2:$AA$495,(SUMPRODUCT((('CONTROL MASTER'!$S$2:$S$495=5)*('CONTROL MASTER'!$Z$2:$Z$495&lt;=1)*('CONTROL MASTER'!$AB$2:$AB$495&gt;=1)*('CONTROL MASTER'!$AA$2:$AA$495&lt;=2)*('CONTROL MASTER'!$AC$2:$AC$495&gt;=2))*ROW('CONTROL MASTER'!$S$2:$S$495))-(ROW('CONTROL MASTER'!#REF!)-1)))+1)+(2-INDEX('CONTROL MASTER'!$AA$2:$AA$495,(SUMPRODUCT((('CONTROL MASTER'!$S$2:$S$495=5)*('CONTROL MASTER'!$Z$2:$Z$495&lt;=1)*('CONTROL MASTER'!$AB$2:$AB$495&gt;=1)*('CONTROL MASTER'!$AA$2:$AA$495&lt;=2)*('CONTROL MASTER'!$AC$2:$AC$495&gt;=2))*ROW('CONTROL MASTER'!$S$2:$S$495))-(ROW('CONTROL MASTER'!#REF!)-1))))+1)))-1)*50+1,50))&amp;"_"&amp;INDEX('CONTROL MASTER'!$P$2:$P$495,(SUMPRODUCT((('CONTROL MASTER'!$S$2:$S$495=5)*('CONTROL MASTER'!$Z$2:$Z$495&lt;=1)*('CONTROL MASTER'!$AB$2:$AB$495&gt;=1)*('CONTROL MASTER'!$AA$2:$AA$495&lt;=2)*('CONTROL MASTER'!$AC$2:$AC$495&gt;=2))*ROW('CONTROL MASTER'!$S$2:$S$495))-(ROW('CONTROL MASTER'!#REF!)-1))),"")),"")</f>
        <v/>
      </c>
      <c r="D59" s="10" t="str">
        <f>IFERROR(IF(SUMPRODUCT((('CONTROL MASTER'!$S$2:$S$495=5)*('CONTROL MASTER'!$T$2:$T$495&lt;=1)*('CONTROL MASTER'!$V$2:$V$495&gt;=1)*('CONTROL MASTER'!$U$2:$U$495&lt;=3)*('CONTROL MASTER'!$W$2:$W$495&gt;=3))*ROW('CONTROL MASTER'!$S$2:$S$495))&gt;0,INDEX('CONTROL MASTER'!$X$2:$X$495,(SUMPRODUCT((('CONTROL MASTER'!$S$2:$S$495=5)*('CONTROL MASTER'!$T$2:$T$495&lt;=1)*('CONTROL MASTER'!$V$2:$V$495&gt;=1)*('CONTROL MASTER'!$U$2:$U$495&lt;=3)*('CONTROL MASTER'!$W$2:$W$495&gt;=3))*ROW('CONTROL MASTER'!$S$2:$S$495))-(ROW('CONTROL MASTER'!#REF!)-1)))&amp;TRIM(MID(SUBSTITUTE(SUBSTITUTE(INDEX('CONTROL MASTER'!$N$2:$N$495,(SUMPRODUCT((('CONTROL MASTER'!$S$2:$S$495=5)*('CONTROL MASTER'!$T$2:$T$495&lt;=1)*('CONTROL MASTER'!$V$2:$V$495&gt;=1)*('CONTROL MASTER'!$U$2:$U$495&lt;=3)*('CONTROL MASTER'!$W$2:$W$495&gt;=3))*ROW('CONTROL MASTER'!$S$2:$S$495))-(ROW('CONTROL MASTER'!#REF!)-1))),":",","),",",REPT(" ",50)),((((1-INDEX('CONTROL MASTER'!$T$2:$T$495,(SUMPRODUCT((('CONTROL MASTER'!$S$2:$S$495=5)*('CONTROL MASTER'!$T$2:$T$495&lt;=1)*('CONTROL MASTER'!$V$2:$V$495&gt;=1)*('CONTROL MASTER'!$U$2:$U$495&lt;=3)*('CONTROL MASTER'!$W$2:$W$495&gt;=3))*ROW('CONTROL MASTER'!$S$2:$S$495))-(ROW('CONTROL MASTER'!#REF!)-1))))*(INDEX('CONTROL MASTER'!$W$2:$W$495,(SUMPRODUCT((('CONTROL MASTER'!$S$2:$S$495=5)*('CONTROL MASTER'!$T$2:$T$495&lt;=1)*('CONTROL MASTER'!$V$2:$V$495&gt;=1)*('CONTROL MASTER'!$U$2:$U$495&lt;=3)*('CONTROL MASTER'!$W$2:$W$495&gt;=3))*ROW('CONTROL MASTER'!$S$2:$S$495))-(ROW('CONTROL MASTER'!#REF!)-1)))-INDEX('CONTROL MASTER'!$U$2:$U$495,(SUMPRODUCT((('CONTROL MASTER'!$S$2:$S$495=5)*('CONTROL MASTER'!$T$2:$T$495&lt;=1)*('CONTROL MASTER'!$V$2:$V$495&gt;=1)*('CONTROL MASTER'!$U$2:$U$495&lt;=3)*('CONTROL MASTER'!$W$2:$W$495&gt;=3))*ROW('CONTROL MASTER'!$S$2:$S$495))-(ROW('CONTROL MASTER'!#REF!)-1)))+1)+(3-INDEX('CONTROL MASTER'!$U$2:$U$495,(SUMPRODUCT((('CONTROL MASTER'!$S$2:$S$495=5)*('CONTROL MASTER'!$T$2:$T$495&lt;=1)*('CONTROL MASTER'!$V$2:$V$495&gt;=1)*('CONTROL MASTER'!$U$2:$U$495&lt;=3)*('CONTROL MASTER'!$W$2:$W$495&gt;=3))*ROW('CONTROL MASTER'!$S$2:$S$495))-(ROW('CONTROL MASTER'!#REF!)-1))))+1))-1)*50+1,50))&amp;"_"&amp;INDEX('CONTROL MASTER'!$P$2:$P$495,(SUMPRODUCT((('CONTROL MASTER'!$S$2:$S$495=5)*('CONTROL MASTER'!$T$2:$T$495&lt;=1)*('CONTROL MASTER'!$V$2:$V$495&gt;=1)*('CONTROL MASTER'!$U$2:$U$495&lt;=3)*('CONTROL MASTER'!$W$2:$W$495&gt;=3))*ROW('CONTROL MASTER'!$S$2:$S$495))-(ROW('CONTROL MASTER'!#REF!)-1))),IF(SUMPRODUCT((('CONTROL MASTER'!$S$2:$S$495=5)*('CONTROL MASTER'!$Z$2:$Z$495&lt;=1)*('CONTROL MASTER'!$AB$2:$AB$495&gt;=1)*('CONTROL MASTER'!$AA$2:$AA$495&lt;=3)*('CONTROL MASTER'!$AC$2:$AC$495&gt;=3))*ROW('CONTROL MASTER'!$S$2:$S$495))&gt;0,INDEX('CONTROL MASTER'!$X$2:$X$495,(SUMPRODUCT((('CONTROL MASTER'!$S$2:$S$495=5)*('CONTROL MASTER'!$Z$2:$Z$495&lt;=1)*('CONTROL MASTER'!$AB$2:$AB$495&gt;=1)*('CONTROL MASTER'!$AA$2:$AA$495&lt;=3)*('CONTROL MASTER'!$AC$2:$AC$495&gt;=3))*ROW('CONTROL MASTER'!$S$2:$S$495))-(ROW('CONTROL MASTER'!#REF!)-1)))&amp;TRIM(MID(SUBSTITUTE(SUBSTITUTE(INDEX('CONTROL MASTER'!$N$2:$N$495,(SUMPRODUCT((('CONTROL MASTER'!$S$2:$S$495=5)*('CONTROL MASTER'!$Z$2:$Z$495&lt;=1)*('CONTROL MASTER'!$AB$2:$AB$495&gt;=1)*('CONTROL MASTER'!$AA$2:$AA$495&lt;=3)*('CONTROL MASTER'!$AC$2:$AC$495&gt;=3))*ROW('CONTROL MASTER'!$S$2:$S$495))-(ROW('CONTROL MASTER'!#REF!)-1))),":",","),",",REPT(" ",50)),(((INDEX('CONTROL MASTER'!$Y$2:$Y$495,(SUMPRODUCT((('CONTROL MASTER'!$S$2:$S$495=5)*('CONTROL MASTER'!$Z$2:$Z$495&lt;=1)*('CONTROL MASTER'!$AB$2:$AB$495&gt;=1)*('CONTROL MASTER'!$AA$2:$AA$495&lt;=3)*('CONTROL MASTER'!$AC$2:$AC$495&gt;=3))*ROW('CONTROL MASTER'!$S$2:$S$495))-(ROW('CONTROL MASTER'!#REF!)-1)))+((1-INDEX('CONTROL MASTER'!$Z$2:$Z$495,(SUMPRODUCT((('CONTROL MASTER'!$S$2:$S$495=5)*('CONTROL MASTER'!$Z$2:$Z$495&lt;=1)*('CONTROL MASTER'!$AB$2:$AB$495&gt;=1)*('CONTROL MASTER'!$AA$2:$AA$495&lt;=3)*('CONTROL MASTER'!$AC$2:$AC$495&gt;=3))*ROW('CONTROL MASTER'!$S$2:$S$495))-(ROW('CONTROL MASTER'!#REF!)-1))))*(INDEX('CONTROL MASTER'!$AC$2:$AC$495,(SUMPRODUCT((('CONTROL MASTER'!$S$2:$S$495=5)*('CONTROL MASTER'!$Z$2:$Z$495&lt;=1)*('CONTROL MASTER'!$AB$2:$AB$495&gt;=1)*('CONTROL MASTER'!$AA$2:$AA$495&lt;=3)*('CONTROL MASTER'!$AC$2:$AC$495&gt;=3))*ROW('CONTROL MASTER'!$S$2:$S$495))-(ROW('CONTROL MASTER'!#REF!)-1)))-INDEX('CONTROL MASTER'!$AA$2:$AA$495,(SUMPRODUCT((('CONTROL MASTER'!$S$2:$S$495=5)*('CONTROL MASTER'!$Z$2:$Z$495&lt;=1)*('CONTROL MASTER'!$AB$2:$AB$495&gt;=1)*('CONTROL MASTER'!$AA$2:$AA$495&lt;=3)*('CONTROL MASTER'!$AC$2:$AC$495&gt;=3))*ROW('CONTROL MASTER'!$S$2:$S$495))-(ROW('CONTROL MASTER'!#REF!)-1)))+1)+(3-INDEX('CONTROL MASTER'!$AA$2:$AA$495,(SUMPRODUCT((('CONTROL MASTER'!$S$2:$S$495=5)*('CONTROL MASTER'!$Z$2:$Z$495&lt;=1)*('CONTROL MASTER'!$AB$2:$AB$495&gt;=1)*('CONTROL MASTER'!$AA$2:$AA$495&lt;=3)*('CONTROL MASTER'!$AC$2:$AC$495&gt;=3))*ROW('CONTROL MASTER'!$S$2:$S$495))-(ROW('CONTROL MASTER'!#REF!)-1))))+1)))-1)*50+1,50))&amp;"_"&amp;INDEX('CONTROL MASTER'!$P$2:$P$495,(SUMPRODUCT((('CONTROL MASTER'!$S$2:$S$495=5)*('CONTROL MASTER'!$Z$2:$Z$495&lt;=1)*('CONTROL MASTER'!$AB$2:$AB$495&gt;=1)*('CONTROL MASTER'!$AA$2:$AA$495&lt;=3)*('CONTROL MASTER'!$AC$2:$AC$495&gt;=3))*ROW('CONTROL MASTER'!$S$2:$S$495))-(ROW('CONTROL MASTER'!#REF!)-1))),"")),"")</f>
        <v/>
      </c>
      <c r="E59" s="10" t="str">
        <f>IFERROR(IF(SUMPRODUCT((('CONTROL MASTER'!$S$2:$S$495=5)*('CONTROL MASTER'!$T$2:$T$495&lt;=1)*('CONTROL MASTER'!$V$2:$V$495&gt;=1)*('CONTROL MASTER'!$U$2:$U$495&lt;=4)*('CONTROL MASTER'!$W$2:$W$495&gt;=4))*ROW('CONTROL MASTER'!$S$2:$S$495))&gt;0,INDEX('CONTROL MASTER'!$X$2:$X$495,(SUMPRODUCT((('CONTROL MASTER'!$S$2:$S$495=5)*('CONTROL MASTER'!$T$2:$T$495&lt;=1)*('CONTROL MASTER'!$V$2:$V$495&gt;=1)*('CONTROL MASTER'!$U$2:$U$495&lt;=4)*('CONTROL MASTER'!$W$2:$W$495&gt;=4))*ROW('CONTROL MASTER'!$S$2:$S$495))-(ROW('CONTROL MASTER'!#REF!)-1)))&amp;TRIM(MID(SUBSTITUTE(SUBSTITUTE(INDEX('CONTROL MASTER'!$N$2:$N$495,(SUMPRODUCT((('CONTROL MASTER'!$S$2:$S$495=5)*('CONTROL MASTER'!$T$2:$T$495&lt;=1)*('CONTROL MASTER'!$V$2:$V$495&gt;=1)*('CONTROL MASTER'!$U$2:$U$495&lt;=4)*('CONTROL MASTER'!$W$2:$W$495&gt;=4))*ROW('CONTROL MASTER'!$S$2:$S$495))-(ROW('CONTROL MASTER'!#REF!)-1))),":",","),",",REPT(" ",50)),((((1-INDEX('CONTROL MASTER'!$T$2:$T$495,(SUMPRODUCT((('CONTROL MASTER'!$S$2:$S$495=5)*('CONTROL MASTER'!$T$2:$T$495&lt;=1)*('CONTROL MASTER'!$V$2:$V$495&gt;=1)*('CONTROL MASTER'!$U$2:$U$495&lt;=4)*('CONTROL MASTER'!$W$2:$W$495&gt;=4))*ROW('CONTROL MASTER'!$S$2:$S$495))-(ROW('CONTROL MASTER'!#REF!)-1))))*(INDEX('CONTROL MASTER'!$W$2:$W$495,(SUMPRODUCT((('CONTROL MASTER'!$S$2:$S$495=5)*('CONTROL MASTER'!$T$2:$T$495&lt;=1)*('CONTROL MASTER'!$V$2:$V$495&gt;=1)*('CONTROL MASTER'!$U$2:$U$495&lt;=4)*('CONTROL MASTER'!$W$2:$W$495&gt;=4))*ROW('CONTROL MASTER'!$S$2:$S$495))-(ROW('CONTROL MASTER'!#REF!)-1)))-INDEX('CONTROL MASTER'!$U$2:$U$495,(SUMPRODUCT((('CONTROL MASTER'!$S$2:$S$495=5)*('CONTROL MASTER'!$T$2:$T$495&lt;=1)*('CONTROL MASTER'!$V$2:$V$495&gt;=1)*('CONTROL MASTER'!$U$2:$U$495&lt;=4)*('CONTROL MASTER'!$W$2:$W$495&gt;=4))*ROW('CONTROL MASTER'!$S$2:$S$495))-(ROW('CONTROL MASTER'!#REF!)-1)))+1)+(4-INDEX('CONTROL MASTER'!$U$2:$U$495,(SUMPRODUCT((('CONTROL MASTER'!$S$2:$S$495=5)*('CONTROL MASTER'!$T$2:$T$495&lt;=1)*('CONTROL MASTER'!$V$2:$V$495&gt;=1)*('CONTROL MASTER'!$U$2:$U$495&lt;=4)*('CONTROL MASTER'!$W$2:$W$495&gt;=4))*ROW('CONTROL MASTER'!$S$2:$S$495))-(ROW('CONTROL MASTER'!#REF!)-1))))+1))-1)*50+1,50))&amp;"_"&amp;INDEX('CONTROL MASTER'!$P$2:$P$495,(SUMPRODUCT((('CONTROL MASTER'!$S$2:$S$495=5)*('CONTROL MASTER'!$T$2:$T$495&lt;=1)*('CONTROL MASTER'!$V$2:$V$495&gt;=1)*('CONTROL MASTER'!$U$2:$U$495&lt;=4)*('CONTROL MASTER'!$W$2:$W$495&gt;=4))*ROW('CONTROL MASTER'!$S$2:$S$495))-(ROW('CONTROL MASTER'!#REF!)-1))),IF(SUMPRODUCT((('CONTROL MASTER'!$S$2:$S$495=5)*('CONTROL MASTER'!$Z$2:$Z$495&lt;=1)*('CONTROL MASTER'!$AB$2:$AB$495&gt;=1)*('CONTROL MASTER'!$AA$2:$AA$495&lt;=4)*('CONTROL MASTER'!$AC$2:$AC$495&gt;=4))*ROW('CONTROL MASTER'!$S$2:$S$495))&gt;0,INDEX('CONTROL MASTER'!$X$2:$X$495,(SUMPRODUCT((('CONTROL MASTER'!$S$2:$S$495=5)*('CONTROL MASTER'!$Z$2:$Z$495&lt;=1)*('CONTROL MASTER'!$AB$2:$AB$495&gt;=1)*('CONTROL MASTER'!$AA$2:$AA$495&lt;=4)*('CONTROL MASTER'!$AC$2:$AC$495&gt;=4))*ROW('CONTROL MASTER'!$S$2:$S$495))-(ROW('CONTROL MASTER'!#REF!)-1)))&amp;TRIM(MID(SUBSTITUTE(SUBSTITUTE(INDEX('CONTROL MASTER'!$N$2:$N$495,(SUMPRODUCT((('CONTROL MASTER'!$S$2:$S$495=5)*('CONTROL MASTER'!$Z$2:$Z$495&lt;=1)*('CONTROL MASTER'!$AB$2:$AB$495&gt;=1)*('CONTROL MASTER'!$AA$2:$AA$495&lt;=4)*('CONTROL MASTER'!$AC$2:$AC$495&gt;=4))*ROW('CONTROL MASTER'!$S$2:$S$495))-(ROW('CONTROL MASTER'!#REF!)-1))),":",","),",",REPT(" ",50)),(((INDEX('CONTROL MASTER'!$Y$2:$Y$495,(SUMPRODUCT((('CONTROL MASTER'!$S$2:$S$495=5)*('CONTROL MASTER'!$Z$2:$Z$495&lt;=1)*('CONTROL MASTER'!$AB$2:$AB$495&gt;=1)*('CONTROL MASTER'!$AA$2:$AA$495&lt;=4)*('CONTROL MASTER'!$AC$2:$AC$495&gt;=4))*ROW('CONTROL MASTER'!$S$2:$S$495))-(ROW('CONTROL MASTER'!#REF!)-1)))+((1-INDEX('CONTROL MASTER'!$Z$2:$Z$495,(SUMPRODUCT((('CONTROL MASTER'!$S$2:$S$495=5)*('CONTROL MASTER'!$Z$2:$Z$495&lt;=1)*('CONTROL MASTER'!$AB$2:$AB$495&gt;=1)*('CONTROL MASTER'!$AA$2:$AA$495&lt;=4)*('CONTROL MASTER'!$AC$2:$AC$495&gt;=4))*ROW('CONTROL MASTER'!$S$2:$S$495))-(ROW('CONTROL MASTER'!#REF!)-1))))*(INDEX('CONTROL MASTER'!$AC$2:$AC$495,(SUMPRODUCT((('CONTROL MASTER'!$S$2:$S$495=5)*('CONTROL MASTER'!$Z$2:$Z$495&lt;=1)*('CONTROL MASTER'!$AB$2:$AB$495&gt;=1)*('CONTROL MASTER'!$AA$2:$AA$495&lt;=4)*('CONTROL MASTER'!$AC$2:$AC$495&gt;=4))*ROW('CONTROL MASTER'!$S$2:$S$495))-(ROW('CONTROL MASTER'!#REF!)-1)))-INDEX('CONTROL MASTER'!$AA$2:$AA$495,(SUMPRODUCT((('CONTROL MASTER'!$S$2:$S$495=5)*('CONTROL MASTER'!$Z$2:$Z$495&lt;=1)*('CONTROL MASTER'!$AB$2:$AB$495&gt;=1)*('CONTROL MASTER'!$AA$2:$AA$495&lt;=4)*('CONTROL MASTER'!$AC$2:$AC$495&gt;=4))*ROW('CONTROL MASTER'!$S$2:$S$495))-(ROW('CONTROL MASTER'!#REF!)-1)))+1)+(4-INDEX('CONTROL MASTER'!$AA$2:$AA$495,(SUMPRODUCT((('CONTROL MASTER'!$S$2:$S$495=5)*('CONTROL MASTER'!$Z$2:$Z$495&lt;=1)*('CONTROL MASTER'!$AB$2:$AB$495&gt;=1)*('CONTROL MASTER'!$AA$2:$AA$495&lt;=4)*('CONTROL MASTER'!$AC$2:$AC$495&gt;=4))*ROW('CONTROL MASTER'!$S$2:$S$495))-(ROW('CONTROL MASTER'!#REF!)-1))))+1)))-1)*50+1,50))&amp;"_"&amp;INDEX('CONTROL MASTER'!$P$2:$P$495,(SUMPRODUCT((('CONTROL MASTER'!$S$2:$S$495=5)*('CONTROL MASTER'!$Z$2:$Z$495&lt;=1)*('CONTROL MASTER'!$AB$2:$AB$495&gt;=1)*('CONTROL MASTER'!$AA$2:$AA$495&lt;=4)*('CONTROL MASTER'!$AC$2:$AC$495&gt;=4))*ROW('CONTROL MASTER'!$S$2:$S$495))-(ROW('CONTROL MASTER'!#REF!)-1))),"")),"")</f>
        <v/>
      </c>
      <c r="F59" s="10" t="str">
        <f>IFERROR(IF(SUMPRODUCT((('CONTROL MASTER'!$S$2:$S$495=5)*('CONTROL MASTER'!$T$2:$T$495&lt;=1)*('CONTROL MASTER'!$V$2:$V$495&gt;=1)*('CONTROL MASTER'!$U$2:$U$495&lt;=5)*('CONTROL MASTER'!$W$2:$W$495&gt;=5))*ROW('CONTROL MASTER'!$S$2:$S$495))&gt;0,INDEX('CONTROL MASTER'!$X$2:$X$495,(SUMPRODUCT((('CONTROL MASTER'!$S$2:$S$495=5)*('CONTROL MASTER'!$T$2:$T$495&lt;=1)*('CONTROL MASTER'!$V$2:$V$495&gt;=1)*('CONTROL MASTER'!$U$2:$U$495&lt;=5)*('CONTROL MASTER'!$W$2:$W$495&gt;=5))*ROW('CONTROL MASTER'!$S$2:$S$495))-(ROW('CONTROL MASTER'!#REF!)-1)))&amp;TRIM(MID(SUBSTITUTE(SUBSTITUTE(INDEX('CONTROL MASTER'!$N$2:$N$495,(SUMPRODUCT((('CONTROL MASTER'!$S$2:$S$495=5)*('CONTROL MASTER'!$T$2:$T$495&lt;=1)*('CONTROL MASTER'!$V$2:$V$495&gt;=1)*('CONTROL MASTER'!$U$2:$U$495&lt;=5)*('CONTROL MASTER'!$W$2:$W$495&gt;=5))*ROW('CONTROL MASTER'!$S$2:$S$495))-(ROW('CONTROL MASTER'!#REF!)-1))),":",","),",",REPT(" ",50)),((((1-INDEX('CONTROL MASTER'!$T$2:$T$495,(SUMPRODUCT((('CONTROL MASTER'!$S$2:$S$495=5)*('CONTROL MASTER'!$T$2:$T$495&lt;=1)*('CONTROL MASTER'!$V$2:$V$495&gt;=1)*('CONTROL MASTER'!$U$2:$U$495&lt;=5)*('CONTROL MASTER'!$W$2:$W$495&gt;=5))*ROW('CONTROL MASTER'!$S$2:$S$495))-(ROW('CONTROL MASTER'!#REF!)-1))))*(INDEX('CONTROL MASTER'!$W$2:$W$495,(SUMPRODUCT((('CONTROL MASTER'!$S$2:$S$495=5)*('CONTROL MASTER'!$T$2:$T$495&lt;=1)*('CONTROL MASTER'!$V$2:$V$495&gt;=1)*('CONTROL MASTER'!$U$2:$U$495&lt;=5)*('CONTROL MASTER'!$W$2:$W$495&gt;=5))*ROW('CONTROL MASTER'!$S$2:$S$495))-(ROW('CONTROL MASTER'!#REF!)-1)))-INDEX('CONTROL MASTER'!$U$2:$U$495,(SUMPRODUCT((('CONTROL MASTER'!$S$2:$S$495=5)*('CONTROL MASTER'!$T$2:$T$495&lt;=1)*('CONTROL MASTER'!$V$2:$V$495&gt;=1)*('CONTROL MASTER'!$U$2:$U$495&lt;=5)*('CONTROL MASTER'!$W$2:$W$495&gt;=5))*ROW('CONTROL MASTER'!$S$2:$S$495))-(ROW('CONTROL MASTER'!#REF!)-1)))+1)+(5-INDEX('CONTROL MASTER'!$U$2:$U$495,(SUMPRODUCT((('CONTROL MASTER'!$S$2:$S$495=5)*('CONTROL MASTER'!$T$2:$T$495&lt;=1)*('CONTROL MASTER'!$V$2:$V$495&gt;=1)*('CONTROL MASTER'!$U$2:$U$495&lt;=5)*('CONTROL MASTER'!$W$2:$W$495&gt;=5))*ROW('CONTROL MASTER'!$S$2:$S$495))-(ROW('CONTROL MASTER'!#REF!)-1))))+1))-1)*50+1,50))&amp;"_"&amp;INDEX('CONTROL MASTER'!$P$2:$P$495,(SUMPRODUCT((('CONTROL MASTER'!$S$2:$S$495=5)*('CONTROL MASTER'!$T$2:$T$495&lt;=1)*('CONTROL MASTER'!$V$2:$V$495&gt;=1)*('CONTROL MASTER'!$U$2:$U$495&lt;=5)*('CONTROL MASTER'!$W$2:$W$495&gt;=5))*ROW('CONTROL MASTER'!$S$2:$S$495))-(ROW('CONTROL MASTER'!#REF!)-1))),IF(SUMPRODUCT((('CONTROL MASTER'!$S$2:$S$495=5)*('CONTROL MASTER'!$Z$2:$Z$495&lt;=1)*('CONTROL MASTER'!$AB$2:$AB$495&gt;=1)*('CONTROL MASTER'!$AA$2:$AA$495&lt;=5)*('CONTROL MASTER'!$AC$2:$AC$495&gt;=5))*ROW('CONTROL MASTER'!$S$2:$S$495))&gt;0,INDEX('CONTROL MASTER'!$X$2:$X$495,(SUMPRODUCT((('CONTROL MASTER'!$S$2:$S$495=5)*('CONTROL MASTER'!$Z$2:$Z$495&lt;=1)*('CONTROL MASTER'!$AB$2:$AB$495&gt;=1)*('CONTROL MASTER'!$AA$2:$AA$495&lt;=5)*('CONTROL MASTER'!$AC$2:$AC$495&gt;=5))*ROW('CONTROL MASTER'!$S$2:$S$495))-(ROW('CONTROL MASTER'!#REF!)-1)))&amp;TRIM(MID(SUBSTITUTE(SUBSTITUTE(INDEX('CONTROL MASTER'!$N$2:$N$495,(SUMPRODUCT((('CONTROL MASTER'!$S$2:$S$495=5)*('CONTROL MASTER'!$Z$2:$Z$495&lt;=1)*('CONTROL MASTER'!$AB$2:$AB$495&gt;=1)*('CONTROL MASTER'!$AA$2:$AA$495&lt;=5)*('CONTROL MASTER'!$AC$2:$AC$495&gt;=5))*ROW('CONTROL MASTER'!$S$2:$S$495))-(ROW('CONTROL MASTER'!#REF!)-1))),":",","),",",REPT(" ",50)),(((INDEX('CONTROL MASTER'!$Y$2:$Y$495,(SUMPRODUCT((('CONTROL MASTER'!$S$2:$S$495=5)*('CONTROL MASTER'!$Z$2:$Z$495&lt;=1)*('CONTROL MASTER'!$AB$2:$AB$495&gt;=1)*('CONTROL MASTER'!$AA$2:$AA$495&lt;=5)*('CONTROL MASTER'!$AC$2:$AC$495&gt;=5))*ROW('CONTROL MASTER'!$S$2:$S$495))-(ROW('CONTROL MASTER'!#REF!)-1)))+((1-INDEX('CONTROL MASTER'!$Z$2:$Z$495,(SUMPRODUCT((('CONTROL MASTER'!$S$2:$S$495=5)*('CONTROL MASTER'!$Z$2:$Z$495&lt;=1)*('CONTROL MASTER'!$AB$2:$AB$495&gt;=1)*('CONTROL MASTER'!$AA$2:$AA$495&lt;=5)*('CONTROL MASTER'!$AC$2:$AC$495&gt;=5))*ROW('CONTROL MASTER'!$S$2:$S$495))-(ROW('CONTROL MASTER'!#REF!)-1))))*(INDEX('CONTROL MASTER'!$AC$2:$AC$495,(SUMPRODUCT((('CONTROL MASTER'!$S$2:$S$495=5)*('CONTROL MASTER'!$Z$2:$Z$495&lt;=1)*('CONTROL MASTER'!$AB$2:$AB$495&gt;=1)*('CONTROL MASTER'!$AA$2:$AA$495&lt;=5)*('CONTROL MASTER'!$AC$2:$AC$495&gt;=5))*ROW('CONTROL MASTER'!$S$2:$S$495))-(ROW('CONTROL MASTER'!#REF!)-1)))-INDEX('CONTROL MASTER'!$AA$2:$AA$495,(SUMPRODUCT((('CONTROL MASTER'!$S$2:$S$495=5)*('CONTROL MASTER'!$Z$2:$Z$495&lt;=1)*('CONTROL MASTER'!$AB$2:$AB$495&gt;=1)*('CONTROL MASTER'!$AA$2:$AA$495&lt;=5)*('CONTROL MASTER'!$AC$2:$AC$495&gt;=5))*ROW('CONTROL MASTER'!$S$2:$S$495))-(ROW('CONTROL MASTER'!#REF!)-1)))+1)+(5-INDEX('CONTROL MASTER'!$AA$2:$AA$495,(SUMPRODUCT((('CONTROL MASTER'!$S$2:$S$495=5)*('CONTROL MASTER'!$Z$2:$Z$495&lt;=1)*('CONTROL MASTER'!$AB$2:$AB$495&gt;=1)*('CONTROL MASTER'!$AA$2:$AA$495&lt;=5)*('CONTROL MASTER'!$AC$2:$AC$495&gt;=5))*ROW('CONTROL MASTER'!$S$2:$S$495))-(ROW('CONTROL MASTER'!#REF!)-1))))+1)))-1)*50+1,50))&amp;"_"&amp;INDEX('CONTROL MASTER'!$P$2:$P$495,(SUMPRODUCT((('CONTROL MASTER'!$S$2:$S$495=5)*('CONTROL MASTER'!$Z$2:$Z$495&lt;=1)*('CONTROL MASTER'!$AB$2:$AB$495&gt;=1)*('CONTROL MASTER'!$AA$2:$AA$495&lt;=5)*('CONTROL MASTER'!$AC$2:$AC$495&gt;=5))*ROW('CONTROL MASTER'!$S$2:$S$495))-(ROW('CONTROL MASTER'!#REF!)-1))),"")),"")</f>
        <v/>
      </c>
      <c r="G59" s="10" t="str">
        <f>IFERROR(IF(SUMPRODUCT((('CONTROL MASTER'!$S$2:$S$495=5)*('CONTROL MASTER'!$T$2:$T$495&lt;=1)*('CONTROL MASTER'!$V$2:$V$495&gt;=1)*('CONTROL MASTER'!$U$2:$U$495&lt;=6)*('CONTROL MASTER'!$W$2:$W$495&gt;=6))*ROW('CONTROL MASTER'!$S$2:$S$495))&gt;0,INDEX('CONTROL MASTER'!$X$2:$X$495,(SUMPRODUCT((('CONTROL MASTER'!$S$2:$S$495=5)*('CONTROL MASTER'!$T$2:$T$495&lt;=1)*('CONTROL MASTER'!$V$2:$V$495&gt;=1)*('CONTROL MASTER'!$U$2:$U$495&lt;=6)*('CONTROL MASTER'!$W$2:$W$495&gt;=6))*ROW('CONTROL MASTER'!$S$2:$S$495))-(ROW('CONTROL MASTER'!#REF!)-1)))&amp;TRIM(MID(SUBSTITUTE(SUBSTITUTE(INDEX('CONTROL MASTER'!$N$2:$N$495,(SUMPRODUCT((('CONTROL MASTER'!$S$2:$S$495=5)*('CONTROL MASTER'!$T$2:$T$495&lt;=1)*('CONTROL MASTER'!$V$2:$V$495&gt;=1)*('CONTROL MASTER'!$U$2:$U$495&lt;=6)*('CONTROL MASTER'!$W$2:$W$495&gt;=6))*ROW('CONTROL MASTER'!$S$2:$S$495))-(ROW('CONTROL MASTER'!#REF!)-1))),":",","),",",REPT(" ",50)),((((1-INDEX('CONTROL MASTER'!$T$2:$T$495,(SUMPRODUCT((('CONTROL MASTER'!$S$2:$S$495=5)*('CONTROL MASTER'!$T$2:$T$495&lt;=1)*('CONTROL MASTER'!$V$2:$V$495&gt;=1)*('CONTROL MASTER'!$U$2:$U$495&lt;=6)*('CONTROL MASTER'!$W$2:$W$495&gt;=6))*ROW('CONTROL MASTER'!$S$2:$S$495))-(ROW('CONTROL MASTER'!#REF!)-1))))*(INDEX('CONTROL MASTER'!$W$2:$W$495,(SUMPRODUCT((('CONTROL MASTER'!$S$2:$S$495=5)*('CONTROL MASTER'!$T$2:$T$495&lt;=1)*('CONTROL MASTER'!$V$2:$V$495&gt;=1)*('CONTROL MASTER'!$U$2:$U$495&lt;=6)*('CONTROL MASTER'!$W$2:$W$495&gt;=6))*ROW('CONTROL MASTER'!$S$2:$S$495))-(ROW('CONTROL MASTER'!#REF!)-1)))-INDEX('CONTROL MASTER'!$U$2:$U$495,(SUMPRODUCT((('CONTROL MASTER'!$S$2:$S$495=5)*('CONTROL MASTER'!$T$2:$T$495&lt;=1)*('CONTROL MASTER'!$V$2:$V$495&gt;=1)*('CONTROL MASTER'!$U$2:$U$495&lt;=6)*('CONTROL MASTER'!$W$2:$W$495&gt;=6))*ROW('CONTROL MASTER'!$S$2:$S$495))-(ROW('CONTROL MASTER'!#REF!)-1)))+1)+(6-INDEX('CONTROL MASTER'!$U$2:$U$495,(SUMPRODUCT((('CONTROL MASTER'!$S$2:$S$495=5)*('CONTROL MASTER'!$T$2:$T$495&lt;=1)*('CONTROL MASTER'!$V$2:$V$495&gt;=1)*('CONTROL MASTER'!$U$2:$U$495&lt;=6)*('CONTROL MASTER'!$W$2:$W$495&gt;=6))*ROW('CONTROL MASTER'!$S$2:$S$495))-(ROW('CONTROL MASTER'!#REF!)-1))))+1))-1)*50+1,50))&amp;"_"&amp;INDEX('CONTROL MASTER'!$P$2:$P$495,(SUMPRODUCT((('CONTROL MASTER'!$S$2:$S$495=5)*('CONTROL MASTER'!$T$2:$T$495&lt;=1)*('CONTROL MASTER'!$V$2:$V$495&gt;=1)*('CONTROL MASTER'!$U$2:$U$495&lt;=6)*('CONTROL MASTER'!$W$2:$W$495&gt;=6))*ROW('CONTROL MASTER'!$S$2:$S$495))-(ROW('CONTROL MASTER'!#REF!)-1))),IF(SUMPRODUCT((('CONTROL MASTER'!$S$2:$S$495=5)*('CONTROL MASTER'!$Z$2:$Z$495&lt;=1)*('CONTROL MASTER'!$AB$2:$AB$495&gt;=1)*('CONTROL MASTER'!$AA$2:$AA$495&lt;=6)*('CONTROL MASTER'!$AC$2:$AC$495&gt;=6))*ROW('CONTROL MASTER'!$S$2:$S$495))&gt;0,INDEX('CONTROL MASTER'!$X$2:$X$495,(SUMPRODUCT((('CONTROL MASTER'!$S$2:$S$495=5)*('CONTROL MASTER'!$Z$2:$Z$495&lt;=1)*('CONTROL MASTER'!$AB$2:$AB$495&gt;=1)*('CONTROL MASTER'!$AA$2:$AA$495&lt;=6)*('CONTROL MASTER'!$AC$2:$AC$495&gt;=6))*ROW('CONTROL MASTER'!$S$2:$S$495))-(ROW('CONTROL MASTER'!#REF!)-1)))&amp;TRIM(MID(SUBSTITUTE(SUBSTITUTE(INDEX('CONTROL MASTER'!$N$2:$N$495,(SUMPRODUCT((('CONTROL MASTER'!$S$2:$S$495=5)*('CONTROL MASTER'!$Z$2:$Z$495&lt;=1)*('CONTROL MASTER'!$AB$2:$AB$495&gt;=1)*('CONTROL MASTER'!$AA$2:$AA$495&lt;=6)*('CONTROL MASTER'!$AC$2:$AC$495&gt;=6))*ROW('CONTROL MASTER'!$S$2:$S$495))-(ROW('CONTROL MASTER'!#REF!)-1))),":",","),",",REPT(" ",50)),(((INDEX('CONTROL MASTER'!$Y$2:$Y$495,(SUMPRODUCT((('CONTROL MASTER'!$S$2:$S$495=5)*('CONTROL MASTER'!$Z$2:$Z$495&lt;=1)*('CONTROL MASTER'!$AB$2:$AB$495&gt;=1)*('CONTROL MASTER'!$AA$2:$AA$495&lt;=6)*('CONTROL MASTER'!$AC$2:$AC$495&gt;=6))*ROW('CONTROL MASTER'!$S$2:$S$495))-(ROW('CONTROL MASTER'!#REF!)-1)))+((1-INDEX('CONTROL MASTER'!$Z$2:$Z$495,(SUMPRODUCT((('CONTROL MASTER'!$S$2:$S$495=5)*('CONTROL MASTER'!$Z$2:$Z$495&lt;=1)*('CONTROL MASTER'!$AB$2:$AB$495&gt;=1)*('CONTROL MASTER'!$AA$2:$AA$495&lt;=6)*('CONTROL MASTER'!$AC$2:$AC$495&gt;=6))*ROW('CONTROL MASTER'!$S$2:$S$495))-(ROW('CONTROL MASTER'!#REF!)-1))))*(INDEX('CONTROL MASTER'!$AC$2:$AC$495,(SUMPRODUCT((('CONTROL MASTER'!$S$2:$S$495=5)*('CONTROL MASTER'!$Z$2:$Z$495&lt;=1)*('CONTROL MASTER'!$AB$2:$AB$495&gt;=1)*('CONTROL MASTER'!$AA$2:$AA$495&lt;=6)*('CONTROL MASTER'!$AC$2:$AC$495&gt;=6))*ROW('CONTROL MASTER'!$S$2:$S$495))-(ROW('CONTROL MASTER'!#REF!)-1)))-INDEX('CONTROL MASTER'!$AA$2:$AA$495,(SUMPRODUCT((('CONTROL MASTER'!$S$2:$S$495=5)*('CONTROL MASTER'!$Z$2:$Z$495&lt;=1)*('CONTROL MASTER'!$AB$2:$AB$495&gt;=1)*('CONTROL MASTER'!$AA$2:$AA$495&lt;=6)*('CONTROL MASTER'!$AC$2:$AC$495&gt;=6))*ROW('CONTROL MASTER'!$S$2:$S$495))-(ROW('CONTROL MASTER'!#REF!)-1)))+1)+(6-INDEX('CONTROL MASTER'!$AA$2:$AA$495,(SUMPRODUCT((('CONTROL MASTER'!$S$2:$S$495=5)*('CONTROL MASTER'!$Z$2:$Z$495&lt;=1)*('CONTROL MASTER'!$AB$2:$AB$495&gt;=1)*('CONTROL MASTER'!$AA$2:$AA$495&lt;=6)*('CONTROL MASTER'!$AC$2:$AC$495&gt;=6))*ROW('CONTROL MASTER'!$S$2:$S$495))-(ROW('CONTROL MASTER'!#REF!)-1))))+1)))-1)*50+1,50))&amp;"_"&amp;INDEX('CONTROL MASTER'!$P$2:$P$495,(SUMPRODUCT((('CONTROL MASTER'!$S$2:$S$495=5)*('CONTROL MASTER'!$Z$2:$Z$495&lt;=1)*('CONTROL MASTER'!$AB$2:$AB$495&gt;=1)*('CONTROL MASTER'!$AA$2:$AA$495&lt;=6)*('CONTROL MASTER'!$AC$2:$AC$495&gt;=6))*ROW('CONTROL MASTER'!$S$2:$S$495))-(ROW('CONTROL MASTER'!#REF!)-1))),"")),"")</f>
        <v/>
      </c>
      <c r="H59" s="10" t="str">
        <f>IFERROR(IF(SUMPRODUCT((('CONTROL MASTER'!$S$2:$S$495=5)*('CONTROL MASTER'!$T$2:$T$495&lt;=1)*('CONTROL MASTER'!$V$2:$V$495&gt;=1)*('CONTROL MASTER'!$U$2:$U$495&lt;=7)*('CONTROL MASTER'!$W$2:$W$495&gt;=7))*ROW('CONTROL MASTER'!$S$2:$S$495))&gt;0,INDEX('CONTROL MASTER'!$X$2:$X$495,(SUMPRODUCT((('CONTROL MASTER'!$S$2:$S$495=5)*('CONTROL MASTER'!$T$2:$T$495&lt;=1)*('CONTROL MASTER'!$V$2:$V$495&gt;=1)*('CONTROL MASTER'!$U$2:$U$495&lt;=7)*('CONTROL MASTER'!$W$2:$W$495&gt;=7))*ROW('CONTROL MASTER'!$S$2:$S$495))-(ROW('CONTROL MASTER'!#REF!)-1)))&amp;TRIM(MID(SUBSTITUTE(SUBSTITUTE(INDEX('CONTROL MASTER'!$N$2:$N$495,(SUMPRODUCT((('CONTROL MASTER'!$S$2:$S$495=5)*('CONTROL MASTER'!$T$2:$T$495&lt;=1)*('CONTROL MASTER'!$V$2:$V$495&gt;=1)*('CONTROL MASTER'!$U$2:$U$495&lt;=7)*('CONTROL MASTER'!$W$2:$W$495&gt;=7))*ROW('CONTROL MASTER'!$S$2:$S$495))-(ROW('CONTROL MASTER'!#REF!)-1))),":",","),",",REPT(" ",50)),((((1-INDEX('CONTROL MASTER'!$T$2:$T$495,(SUMPRODUCT((('CONTROL MASTER'!$S$2:$S$495=5)*('CONTROL MASTER'!$T$2:$T$495&lt;=1)*('CONTROL MASTER'!$V$2:$V$495&gt;=1)*('CONTROL MASTER'!$U$2:$U$495&lt;=7)*('CONTROL MASTER'!$W$2:$W$495&gt;=7))*ROW('CONTROL MASTER'!$S$2:$S$495))-(ROW('CONTROL MASTER'!#REF!)-1))))*(INDEX('CONTROL MASTER'!$W$2:$W$495,(SUMPRODUCT((('CONTROL MASTER'!$S$2:$S$495=5)*('CONTROL MASTER'!$T$2:$T$495&lt;=1)*('CONTROL MASTER'!$V$2:$V$495&gt;=1)*('CONTROL MASTER'!$U$2:$U$495&lt;=7)*('CONTROL MASTER'!$W$2:$W$495&gt;=7))*ROW('CONTROL MASTER'!$S$2:$S$495))-(ROW('CONTROL MASTER'!#REF!)-1)))-INDEX('CONTROL MASTER'!$U$2:$U$495,(SUMPRODUCT((('CONTROL MASTER'!$S$2:$S$495=5)*('CONTROL MASTER'!$T$2:$T$495&lt;=1)*('CONTROL MASTER'!$V$2:$V$495&gt;=1)*('CONTROL MASTER'!$U$2:$U$495&lt;=7)*('CONTROL MASTER'!$W$2:$W$495&gt;=7))*ROW('CONTROL MASTER'!$S$2:$S$495))-(ROW('CONTROL MASTER'!#REF!)-1)))+1)+(7-INDEX('CONTROL MASTER'!$U$2:$U$495,(SUMPRODUCT((('CONTROL MASTER'!$S$2:$S$495=5)*('CONTROL MASTER'!$T$2:$T$495&lt;=1)*('CONTROL MASTER'!$V$2:$V$495&gt;=1)*('CONTROL MASTER'!$U$2:$U$495&lt;=7)*('CONTROL MASTER'!$W$2:$W$495&gt;=7))*ROW('CONTROL MASTER'!$S$2:$S$495))-(ROW('CONTROL MASTER'!#REF!)-1))))+1))-1)*50+1,50))&amp;"_"&amp;INDEX('CONTROL MASTER'!$P$2:$P$495,(SUMPRODUCT((('CONTROL MASTER'!$S$2:$S$495=5)*('CONTROL MASTER'!$T$2:$T$495&lt;=1)*('CONTROL MASTER'!$V$2:$V$495&gt;=1)*('CONTROL MASTER'!$U$2:$U$495&lt;=7)*('CONTROL MASTER'!$W$2:$W$495&gt;=7))*ROW('CONTROL MASTER'!$S$2:$S$495))-(ROW('CONTROL MASTER'!#REF!)-1))),IF(SUMPRODUCT((('CONTROL MASTER'!$S$2:$S$495=5)*('CONTROL MASTER'!$Z$2:$Z$495&lt;=1)*('CONTROL MASTER'!$AB$2:$AB$495&gt;=1)*('CONTROL MASTER'!$AA$2:$AA$495&lt;=7)*('CONTROL MASTER'!$AC$2:$AC$495&gt;=7))*ROW('CONTROL MASTER'!$S$2:$S$495))&gt;0,INDEX('CONTROL MASTER'!$X$2:$X$495,(SUMPRODUCT((('CONTROL MASTER'!$S$2:$S$495=5)*('CONTROL MASTER'!$Z$2:$Z$495&lt;=1)*('CONTROL MASTER'!$AB$2:$AB$495&gt;=1)*('CONTROL MASTER'!$AA$2:$AA$495&lt;=7)*('CONTROL MASTER'!$AC$2:$AC$495&gt;=7))*ROW('CONTROL MASTER'!$S$2:$S$495))-(ROW('CONTROL MASTER'!#REF!)-1)))&amp;TRIM(MID(SUBSTITUTE(SUBSTITUTE(INDEX('CONTROL MASTER'!$N$2:$N$495,(SUMPRODUCT((('CONTROL MASTER'!$S$2:$S$495=5)*('CONTROL MASTER'!$Z$2:$Z$495&lt;=1)*('CONTROL MASTER'!$AB$2:$AB$495&gt;=1)*('CONTROL MASTER'!$AA$2:$AA$495&lt;=7)*('CONTROL MASTER'!$AC$2:$AC$495&gt;=7))*ROW('CONTROL MASTER'!$S$2:$S$495))-(ROW('CONTROL MASTER'!#REF!)-1))),":",","),",",REPT(" ",50)),(((INDEX('CONTROL MASTER'!$Y$2:$Y$495,(SUMPRODUCT((('CONTROL MASTER'!$S$2:$S$495=5)*('CONTROL MASTER'!$Z$2:$Z$495&lt;=1)*('CONTROL MASTER'!$AB$2:$AB$495&gt;=1)*('CONTROL MASTER'!$AA$2:$AA$495&lt;=7)*('CONTROL MASTER'!$AC$2:$AC$495&gt;=7))*ROW('CONTROL MASTER'!$S$2:$S$495))-(ROW('CONTROL MASTER'!#REF!)-1)))+((1-INDEX('CONTROL MASTER'!$Z$2:$Z$495,(SUMPRODUCT((('CONTROL MASTER'!$S$2:$S$495=5)*('CONTROL MASTER'!$Z$2:$Z$495&lt;=1)*('CONTROL MASTER'!$AB$2:$AB$495&gt;=1)*('CONTROL MASTER'!$AA$2:$AA$495&lt;=7)*('CONTROL MASTER'!$AC$2:$AC$495&gt;=7))*ROW('CONTROL MASTER'!$S$2:$S$495))-(ROW('CONTROL MASTER'!#REF!)-1))))*(INDEX('CONTROL MASTER'!$AC$2:$AC$495,(SUMPRODUCT((('CONTROL MASTER'!$S$2:$S$495=5)*('CONTROL MASTER'!$Z$2:$Z$495&lt;=1)*('CONTROL MASTER'!$AB$2:$AB$495&gt;=1)*('CONTROL MASTER'!$AA$2:$AA$495&lt;=7)*('CONTROL MASTER'!$AC$2:$AC$495&gt;=7))*ROW('CONTROL MASTER'!$S$2:$S$495))-(ROW('CONTROL MASTER'!#REF!)-1)))-INDEX('CONTROL MASTER'!$AA$2:$AA$495,(SUMPRODUCT((('CONTROL MASTER'!$S$2:$S$495=5)*('CONTROL MASTER'!$Z$2:$Z$495&lt;=1)*('CONTROL MASTER'!$AB$2:$AB$495&gt;=1)*('CONTROL MASTER'!$AA$2:$AA$495&lt;=7)*('CONTROL MASTER'!$AC$2:$AC$495&gt;=7))*ROW('CONTROL MASTER'!$S$2:$S$495))-(ROW('CONTROL MASTER'!#REF!)-1)))+1)+(7-INDEX('CONTROL MASTER'!$AA$2:$AA$495,(SUMPRODUCT((('CONTROL MASTER'!$S$2:$S$495=5)*('CONTROL MASTER'!$Z$2:$Z$495&lt;=1)*('CONTROL MASTER'!$AB$2:$AB$495&gt;=1)*('CONTROL MASTER'!$AA$2:$AA$495&lt;=7)*('CONTROL MASTER'!$AC$2:$AC$495&gt;=7))*ROW('CONTROL MASTER'!$S$2:$S$495))-(ROW('CONTROL MASTER'!#REF!)-1))))+1)))-1)*50+1,50))&amp;"_"&amp;INDEX('CONTROL MASTER'!$P$2:$P$495,(SUMPRODUCT((('CONTROL MASTER'!$S$2:$S$495=5)*('CONTROL MASTER'!$Z$2:$Z$495&lt;=1)*('CONTROL MASTER'!$AB$2:$AB$495&gt;=1)*('CONTROL MASTER'!$AA$2:$AA$495&lt;=7)*('CONTROL MASTER'!$AC$2:$AC$495&gt;=7))*ROW('CONTROL MASTER'!$S$2:$S$495))-(ROW('CONTROL MASTER'!#REF!)-1))),"")),"")</f>
        <v/>
      </c>
      <c r="I59" s="10" t="str">
        <f>IFERROR(IF(SUMPRODUCT((('CONTROL MASTER'!$S$2:$S$495=5)*('CONTROL MASTER'!$T$2:$T$495&lt;=1)*('CONTROL MASTER'!$V$2:$V$495&gt;=1)*('CONTROL MASTER'!$U$2:$U$495&lt;=8)*('CONTROL MASTER'!$W$2:$W$495&gt;=8))*ROW('CONTROL MASTER'!$S$2:$S$495))&gt;0,INDEX('CONTROL MASTER'!$X$2:$X$495,(SUMPRODUCT((('CONTROL MASTER'!$S$2:$S$495=5)*('CONTROL MASTER'!$T$2:$T$495&lt;=1)*('CONTROL MASTER'!$V$2:$V$495&gt;=1)*('CONTROL MASTER'!$U$2:$U$495&lt;=8)*('CONTROL MASTER'!$W$2:$W$495&gt;=8))*ROW('CONTROL MASTER'!$S$2:$S$495))-(ROW('CONTROL MASTER'!#REF!)-1)))&amp;TRIM(MID(SUBSTITUTE(SUBSTITUTE(INDEX('CONTROL MASTER'!$N$2:$N$495,(SUMPRODUCT((('CONTROL MASTER'!$S$2:$S$495=5)*('CONTROL MASTER'!$T$2:$T$495&lt;=1)*('CONTROL MASTER'!$V$2:$V$495&gt;=1)*('CONTROL MASTER'!$U$2:$U$495&lt;=8)*('CONTROL MASTER'!$W$2:$W$495&gt;=8))*ROW('CONTROL MASTER'!$S$2:$S$495))-(ROW('CONTROL MASTER'!#REF!)-1))),":",","),",",REPT(" ",50)),((((1-INDEX('CONTROL MASTER'!$T$2:$T$495,(SUMPRODUCT((('CONTROL MASTER'!$S$2:$S$495=5)*('CONTROL MASTER'!$T$2:$T$495&lt;=1)*('CONTROL MASTER'!$V$2:$V$495&gt;=1)*('CONTROL MASTER'!$U$2:$U$495&lt;=8)*('CONTROL MASTER'!$W$2:$W$495&gt;=8))*ROW('CONTROL MASTER'!$S$2:$S$495))-(ROW('CONTROL MASTER'!#REF!)-1))))*(INDEX('CONTROL MASTER'!$W$2:$W$495,(SUMPRODUCT((('CONTROL MASTER'!$S$2:$S$495=5)*('CONTROL MASTER'!$T$2:$T$495&lt;=1)*('CONTROL MASTER'!$V$2:$V$495&gt;=1)*('CONTROL MASTER'!$U$2:$U$495&lt;=8)*('CONTROL MASTER'!$W$2:$W$495&gt;=8))*ROW('CONTROL MASTER'!$S$2:$S$495))-(ROW('CONTROL MASTER'!#REF!)-1)))-INDEX('CONTROL MASTER'!$U$2:$U$495,(SUMPRODUCT((('CONTROL MASTER'!$S$2:$S$495=5)*('CONTROL MASTER'!$T$2:$T$495&lt;=1)*('CONTROL MASTER'!$V$2:$V$495&gt;=1)*('CONTROL MASTER'!$U$2:$U$495&lt;=8)*('CONTROL MASTER'!$W$2:$W$495&gt;=8))*ROW('CONTROL MASTER'!$S$2:$S$495))-(ROW('CONTROL MASTER'!#REF!)-1)))+1)+(8-INDEX('CONTROL MASTER'!$U$2:$U$495,(SUMPRODUCT((('CONTROL MASTER'!$S$2:$S$495=5)*('CONTROL MASTER'!$T$2:$T$495&lt;=1)*('CONTROL MASTER'!$V$2:$V$495&gt;=1)*('CONTROL MASTER'!$U$2:$U$495&lt;=8)*('CONTROL MASTER'!$W$2:$W$495&gt;=8))*ROW('CONTROL MASTER'!$S$2:$S$495))-(ROW('CONTROL MASTER'!#REF!)-1))))+1))-1)*50+1,50))&amp;"_"&amp;INDEX('CONTROL MASTER'!$P$2:$P$495,(SUMPRODUCT((('CONTROL MASTER'!$S$2:$S$495=5)*('CONTROL MASTER'!$T$2:$T$495&lt;=1)*('CONTROL MASTER'!$V$2:$V$495&gt;=1)*('CONTROL MASTER'!$U$2:$U$495&lt;=8)*('CONTROL MASTER'!$W$2:$W$495&gt;=8))*ROW('CONTROL MASTER'!$S$2:$S$495))-(ROW('CONTROL MASTER'!#REF!)-1))),IF(SUMPRODUCT((('CONTROL MASTER'!$S$2:$S$495=5)*('CONTROL MASTER'!$Z$2:$Z$495&lt;=1)*('CONTROL MASTER'!$AB$2:$AB$495&gt;=1)*('CONTROL MASTER'!$AA$2:$AA$495&lt;=8)*('CONTROL MASTER'!$AC$2:$AC$495&gt;=8))*ROW('CONTROL MASTER'!$S$2:$S$495))&gt;0,INDEX('CONTROL MASTER'!$X$2:$X$495,(SUMPRODUCT((('CONTROL MASTER'!$S$2:$S$495=5)*('CONTROL MASTER'!$Z$2:$Z$495&lt;=1)*('CONTROL MASTER'!$AB$2:$AB$495&gt;=1)*('CONTROL MASTER'!$AA$2:$AA$495&lt;=8)*('CONTROL MASTER'!$AC$2:$AC$495&gt;=8))*ROW('CONTROL MASTER'!$S$2:$S$495))-(ROW('CONTROL MASTER'!#REF!)-1)))&amp;TRIM(MID(SUBSTITUTE(SUBSTITUTE(INDEX('CONTROL MASTER'!$N$2:$N$495,(SUMPRODUCT((('CONTROL MASTER'!$S$2:$S$495=5)*('CONTROL MASTER'!$Z$2:$Z$495&lt;=1)*('CONTROL MASTER'!$AB$2:$AB$495&gt;=1)*('CONTROL MASTER'!$AA$2:$AA$495&lt;=8)*('CONTROL MASTER'!$AC$2:$AC$495&gt;=8))*ROW('CONTROL MASTER'!$S$2:$S$495))-(ROW('CONTROL MASTER'!#REF!)-1))),":",","),",",REPT(" ",50)),(((INDEX('CONTROL MASTER'!$Y$2:$Y$495,(SUMPRODUCT((('CONTROL MASTER'!$S$2:$S$495=5)*('CONTROL MASTER'!$Z$2:$Z$495&lt;=1)*('CONTROL MASTER'!$AB$2:$AB$495&gt;=1)*('CONTROL MASTER'!$AA$2:$AA$495&lt;=8)*('CONTROL MASTER'!$AC$2:$AC$495&gt;=8))*ROW('CONTROL MASTER'!$S$2:$S$495))-(ROW('CONTROL MASTER'!#REF!)-1)))+((1-INDEX('CONTROL MASTER'!$Z$2:$Z$495,(SUMPRODUCT((('CONTROL MASTER'!$S$2:$S$495=5)*('CONTROL MASTER'!$Z$2:$Z$495&lt;=1)*('CONTROL MASTER'!$AB$2:$AB$495&gt;=1)*('CONTROL MASTER'!$AA$2:$AA$495&lt;=8)*('CONTROL MASTER'!$AC$2:$AC$495&gt;=8))*ROW('CONTROL MASTER'!$S$2:$S$495))-(ROW('CONTROL MASTER'!#REF!)-1))))*(INDEX('CONTROL MASTER'!$AC$2:$AC$495,(SUMPRODUCT((('CONTROL MASTER'!$S$2:$S$495=5)*('CONTROL MASTER'!$Z$2:$Z$495&lt;=1)*('CONTROL MASTER'!$AB$2:$AB$495&gt;=1)*('CONTROL MASTER'!$AA$2:$AA$495&lt;=8)*('CONTROL MASTER'!$AC$2:$AC$495&gt;=8))*ROW('CONTROL MASTER'!$S$2:$S$495))-(ROW('CONTROL MASTER'!#REF!)-1)))-INDEX('CONTROL MASTER'!$AA$2:$AA$495,(SUMPRODUCT((('CONTROL MASTER'!$S$2:$S$495=5)*('CONTROL MASTER'!$Z$2:$Z$495&lt;=1)*('CONTROL MASTER'!$AB$2:$AB$495&gt;=1)*('CONTROL MASTER'!$AA$2:$AA$495&lt;=8)*('CONTROL MASTER'!$AC$2:$AC$495&gt;=8))*ROW('CONTROL MASTER'!$S$2:$S$495))-(ROW('CONTROL MASTER'!#REF!)-1)))+1)+(8-INDEX('CONTROL MASTER'!$AA$2:$AA$495,(SUMPRODUCT((('CONTROL MASTER'!$S$2:$S$495=5)*('CONTROL MASTER'!$Z$2:$Z$495&lt;=1)*('CONTROL MASTER'!$AB$2:$AB$495&gt;=1)*('CONTROL MASTER'!$AA$2:$AA$495&lt;=8)*('CONTROL MASTER'!$AC$2:$AC$495&gt;=8))*ROW('CONTROL MASTER'!$S$2:$S$495))-(ROW('CONTROL MASTER'!#REF!)-1))))+1)))-1)*50+1,50))&amp;"_"&amp;INDEX('CONTROL MASTER'!$P$2:$P$495,(SUMPRODUCT((('CONTROL MASTER'!$S$2:$S$495=5)*('CONTROL MASTER'!$Z$2:$Z$495&lt;=1)*('CONTROL MASTER'!$AB$2:$AB$495&gt;=1)*('CONTROL MASTER'!$AA$2:$AA$495&lt;=8)*('CONTROL MASTER'!$AC$2:$AC$495&gt;=8))*ROW('CONTROL MASTER'!$S$2:$S$495))-(ROW('CONTROL MASTER'!#REF!)-1))),"")),"")</f>
        <v/>
      </c>
      <c r="J59" s="10" t="str">
        <f>IFERROR(IF(SUMPRODUCT((('CONTROL MASTER'!$S$2:$S$495=5)*('CONTROL MASTER'!$T$2:$T$495&lt;=1)*('CONTROL MASTER'!$V$2:$V$495&gt;=1)*('CONTROL MASTER'!$U$2:$U$495&lt;=9)*('CONTROL MASTER'!$W$2:$W$495&gt;=9))*ROW('CONTROL MASTER'!$S$2:$S$495))&gt;0,INDEX('CONTROL MASTER'!$X$2:$X$495,(SUMPRODUCT((('CONTROL MASTER'!$S$2:$S$495=5)*('CONTROL MASTER'!$T$2:$T$495&lt;=1)*('CONTROL MASTER'!$V$2:$V$495&gt;=1)*('CONTROL MASTER'!$U$2:$U$495&lt;=9)*('CONTROL MASTER'!$W$2:$W$495&gt;=9))*ROW('CONTROL MASTER'!$S$2:$S$495))-(ROW('CONTROL MASTER'!#REF!)-1)))&amp;TRIM(MID(SUBSTITUTE(SUBSTITUTE(INDEX('CONTROL MASTER'!$N$2:$N$495,(SUMPRODUCT((('CONTROL MASTER'!$S$2:$S$495=5)*('CONTROL MASTER'!$T$2:$T$495&lt;=1)*('CONTROL MASTER'!$V$2:$V$495&gt;=1)*('CONTROL MASTER'!$U$2:$U$495&lt;=9)*('CONTROL MASTER'!$W$2:$W$495&gt;=9))*ROW('CONTROL MASTER'!$S$2:$S$495))-(ROW('CONTROL MASTER'!#REF!)-1))),":",","),",",REPT(" ",50)),((((1-INDEX('CONTROL MASTER'!$T$2:$T$495,(SUMPRODUCT((('CONTROL MASTER'!$S$2:$S$495=5)*('CONTROL MASTER'!$T$2:$T$495&lt;=1)*('CONTROL MASTER'!$V$2:$V$495&gt;=1)*('CONTROL MASTER'!$U$2:$U$495&lt;=9)*('CONTROL MASTER'!$W$2:$W$495&gt;=9))*ROW('CONTROL MASTER'!$S$2:$S$495))-(ROW('CONTROL MASTER'!#REF!)-1))))*(INDEX('CONTROL MASTER'!$W$2:$W$495,(SUMPRODUCT((('CONTROL MASTER'!$S$2:$S$495=5)*('CONTROL MASTER'!$T$2:$T$495&lt;=1)*('CONTROL MASTER'!$V$2:$V$495&gt;=1)*('CONTROL MASTER'!$U$2:$U$495&lt;=9)*('CONTROL MASTER'!$W$2:$W$495&gt;=9))*ROW('CONTROL MASTER'!$S$2:$S$495))-(ROW('CONTROL MASTER'!#REF!)-1)))-INDEX('CONTROL MASTER'!$U$2:$U$495,(SUMPRODUCT((('CONTROL MASTER'!$S$2:$S$495=5)*('CONTROL MASTER'!$T$2:$T$495&lt;=1)*('CONTROL MASTER'!$V$2:$V$495&gt;=1)*('CONTROL MASTER'!$U$2:$U$495&lt;=9)*('CONTROL MASTER'!$W$2:$W$495&gt;=9))*ROW('CONTROL MASTER'!$S$2:$S$495))-(ROW('CONTROL MASTER'!#REF!)-1)))+1)+(9-INDEX('CONTROL MASTER'!$U$2:$U$495,(SUMPRODUCT((('CONTROL MASTER'!$S$2:$S$495=5)*('CONTROL MASTER'!$T$2:$T$495&lt;=1)*('CONTROL MASTER'!$V$2:$V$495&gt;=1)*('CONTROL MASTER'!$U$2:$U$495&lt;=9)*('CONTROL MASTER'!$W$2:$W$495&gt;=9))*ROW('CONTROL MASTER'!$S$2:$S$495))-(ROW('CONTROL MASTER'!#REF!)-1))))+1))-1)*50+1,50))&amp;"_"&amp;INDEX('CONTROL MASTER'!$P$2:$P$495,(SUMPRODUCT((('CONTROL MASTER'!$S$2:$S$495=5)*('CONTROL MASTER'!$T$2:$T$495&lt;=1)*('CONTROL MASTER'!$V$2:$V$495&gt;=1)*('CONTROL MASTER'!$U$2:$U$495&lt;=9)*('CONTROL MASTER'!$W$2:$W$495&gt;=9))*ROW('CONTROL MASTER'!$S$2:$S$495))-(ROW('CONTROL MASTER'!#REF!)-1))),IF(SUMPRODUCT((('CONTROL MASTER'!$S$2:$S$495=5)*('CONTROL MASTER'!$Z$2:$Z$495&lt;=1)*('CONTROL MASTER'!$AB$2:$AB$495&gt;=1)*('CONTROL MASTER'!$AA$2:$AA$495&lt;=9)*('CONTROL MASTER'!$AC$2:$AC$495&gt;=9))*ROW('CONTROL MASTER'!$S$2:$S$495))&gt;0,INDEX('CONTROL MASTER'!$X$2:$X$495,(SUMPRODUCT((('CONTROL MASTER'!$S$2:$S$495=5)*('CONTROL MASTER'!$Z$2:$Z$495&lt;=1)*('CONTROL MASTER'!$AB$2:$AB$495&gt;=1)*('CONTROL MASTER'!$AA$2:$AA$495&lt;=9)*('CONTROL MASTER'!$AC$2:$AC$495&gt;=9))*ROW('CONTROL MASTER'!$S$2:$S$495))-(ROW('CONTROL MASTER'!#REF!)-1)))&amp;TRIM(MID(SUBSTITUTE(SUBSTITUTE(INDEX('CONTROL MASTER'!$N$2:$N$495,(SUMPRODUCT((('CONTROL MASTER'!$S$2:$S$495=5)*('CONTROL MASTER'!$Z$2:$Z$495&lt;=1)*('CONTROL MASTER'!$AB$2:$AB$495&gt;=1)*('CONTROL MASTER'!$AA$2:$AA$495&lt;=9)*('CONTROL MASTER'!$AC$2:$AC$495&gt;=9))*ROW('CONTROL MASTER'!$S$2:$S$495))-(ROW('CONTROL MASTER'!#REF!)-1))),":",","),",",REPT(" ",50)),(((INDEX('CONTROL MASTER'!$Y$2:$Y$495,(SUMPRODUCT((('CONTROL MASTER'!$S$2:$S$495=5)*('CONTROL MASTER'!$Z$2:$Z$495&lt;=1)*('CONTROL MASTER'!$AB$2:$AB$495&gt;=1)*('CONTROL MASTER'!$AA$2:$AA$495&lt;=9)*('CONTROL MASTER'!$AC$2:$AC$495&gt;=9))*ROW('CONTROL MASTER'!$S$2:$S$495))-(ROW('CONTROL MASTER'!#REF!)-1)))+((1-INDEX('CONTROL MASTER'!$Z$2:$Z$495,(SUMPRODUCT((('CONTROL MASTER'!$S$2:$S$495=5)*('CONTROL MASTER'!$Z$2:$Z$495&lt;=1)*('CONTROL MASTER'!$AB$2:$AB$495&gt;=1)*('CONTROL MASTER'!$AA$2:$AA$495&lt;=9)*('CONTROL MASTER'!$AC$2:$AC$495&gt;=9))*ROW('CONTROL MASTER'!$S$2:$S$495))-(ROW('CONTROL MASTER'!#REF!)-1))))*(INDEX('CONTROL MASTER'!$AC$2:$AC$495,(SUMPRODUCT((('CONTROL MASTER'!$S$2:$S$495=5)*('CONTROL MASTER'!$Z$2:$Z$495&lt;=1)*('CONTROL MASTER'!$AB$2:$AB$495&gt;=1)*('CONTROL MASTER'!$AA$2:$AA$495&lt;=9)*('CONTROL MASTER'!$AC$2:$AC$495&gt;=9))*ROW('CONTROL MASTER'!$S$2:$S$495))-(ROW('CONTROL MASTER'!#REF!)-1)))-INDEX('CONTROL MASTER'!$AA$2:$AA$495,(SUMPRODUCT((('CONTROL MASTER'!$S$2:$S$495=5)*('CONTROL MASTER'!$Z$2:$Z$495&lt;=1)*('CONTROL MASTER'!$AB$2:$AB$495&gt;=1)*('CONTROL MASTER'!$AA$2:$AA$495&lt;=9)*('CONTROL MASTER'!$AC$2:$AC$495&gt;=9))*ROW('CONTROL MASTER'!$S$2:$S$495))-(ROW('CONTROL MASTER'!#REF!)-1)))+1)+(9-INDEX('CONTROL MASTER'!$AA$2:$AA$495,(SUMPRODUCT((('CONTROL MASTER'!$S$2:$S$495=5)*('CONTROL MASTER'!$Z$2:$Z$495&lt;=1)*('CONTROL MASTER'!$AB$2:$AB$495&gt;=1)*('CONTROL MASTER'!$AA$2:$AA$495&lt;=9)*('CONTROL MASTER'!$AC$2:$AC$495&gt;=9))*ROW('CONTROL MASTER'!$S$2:$S$495))-(ROW('CONTROL MASTER'!#REF!)-1))))+1)))-1)*50+1,50))&amp;"_"&amp;INDEX('CONTROL MASTER'!$P$2:$P$495,(SUMPRODUCT((('CONTROL MASTER'!$S$2:$S$495=5)*('CONTROL MASTER'!$Z$2:$Z$495&lt;=1)*('CONTROL MASTER'!$AB$2:$AB$495&gt;=1)*('CONTROL MASTER'!$AA$2:$AA$495&lt;=9)*('CONTROL MASTER'!$AC$2:$AC$495&gt;=9))*ROW('CONTROL MASTER'!$S$2:$S$495))-(ROW('CONTROL MASTER'!#REF!)-1))),"")),"")</f>
        <v/>
      </c>
      <c r="K59" s="10" t="str">
        <f>IFERROR(IF(SUMPRODUCT((('CONTROL MASTER'!$S$2:$S$495=5)*('CONTROL MASTER'!$T$2:$T$495&lt;=1)*('CONTROL MASTER'!$V$2:$V$495&gt;=1)*('CONTROL MASTER'!$U$2:$U$495&lt;=10)*('CONTROL MASTER'!$W$2:$W$495&gt;=10))*ROW('CONTROL MASTER'!$S$2:$S$495))&gt;0,INDEX('CONTROL MASTER'!$X$2:$X$495,(SUMPRODUCT((('CONTROL MASTER'!$S$2:$S$495=5)*('CONTROL MASTER'!$T$2:$T$495&lt;=1)*('CONTROL MASTER'!$V$2:$V$495&gt;=1)*('CONTROL MASTER'!$U$2:$U$495&lt;=10)*('CONTROL MASTER'!$W$2:$W$495&gt;=10))*ROW('CONTROL MASTER'!$S$2:$S$495))-(ROW('CONTROL MASTER'!#REF!)-1)))&amp;TRIM(MID(SUBSTITUTE(SUBSTITUTE(INDEX('CONTROL MASTER'!$N$2:$N$495,(SUMPRODUCT((('CONTROL MASTER'!$S$2:$S$495=5)*('CONTROL MASTER'!$T$2:$T$495&lt;=1)*('CONTROL MASTER'!$V$2:$V$495&gt;=1)*('CONTROL MASTER'!$U$2:$U$495&lt;=10)*('CONTROL MASTER'!$W$2:$W$495&gt;=10))*ROW('CONTROL MASTER'!$S$2:$S$495))-(ROW('CONTROL MASTER'!#REF!)-1))),":",","),",",REPT(" ",50)),((((1-INDEX('CONTROL MASTER'!$T$2:$T$495,(SUMPRODUCT((('CONTROL MASTER'!$S$2:$S$495=5)*('CONTROL MASTER'!$T$2:$T$495&lt;=1)*('CONTROL MASTER'!$V$2:$V$495&gt;=1)*('CONTROL MASTER'!$U$2:$U$495&lt;=10)*('CONTROL MASTER'!$W$2:$W$495&gt;=10))*ROW('CONTROL MASTER'!$S$2:$S$495))-(ROW('CONTROL MASTER'!#REF!)-1))))*(INDEX('CONTROL MASTER'!$W$2:$W$495,(SUMPRODUCT((('CONTROL MASTER'!$S$2:$S$495=5)*('CONTROL MASTER'!$T$2:$T$495&lt;=1)*('CONTROL MASTER'!$V$2:$V$495&gt;=1)*('CONTROL MASTER'!$U$2:$U$495&lt;=10)*('CONTROL MASTER'!$W$2:$W$495&gt;=10))*ROW('CONTROL MASTER'!$S$2:$S$495))-(ROW('CONTROL MASTER'!#REF!)-1)))-INDEX('CONTROL MASTER'!$U$2:$U$495,(SUMPRODUCT((('CONTROL MASTER'!$S$2:$S$495=5)*('CONTROL MASTER'!$T$2:$T$495&lt;=1)*('CONTROL MASTER'!$V$2:$V$495&gt;=1)*('CONTROL MASTER'!$U$2:$U$495&lt;=10)*('CONTROL MASTER'!$W$2:$W$495&gt;=10))*ROW('CONTROL MASTER'!$S$2:$S$495))-(ROW('CONTROL MASTER'!#REF!)-1)))+1)+(10-INDEX('CONTROL MASTER'!$U$2:$U$495,(SUMPRODUCT((('CONTROL MASTER'!$S$2:$S$495=5)*('CONTROL MASTER'!$T$2:$T$495&lt;=1)*('CONTROL MASTER'!$V$2:$V$495&gt;=1)*('CONTROL MASTER'!$U$2:$U$495&lt;=10)*('CONTROL MASTER'!$W$2:$W$495&gt;=10))*ROW('CONTROL MASTER'!$S$2:$S$495))-(ROW('CONTROL MASTER'!#REF!)-1))))+1))-1)*50+1,50))&amp;"_"&amp;INDEX('CONTROL MASTER'!$P$2:$P$495,(SUMPRODUCT((('CONTROL MASTER'!$S$2:$S$495=5)*('CONTROL MASTER'!$T$2:$T$495&lt;=1)*('CONTROL MASTER'!$V$2:$V$495&gt;=1)*('CONTROL MASTER'!$U$2:$U$495&lt;=10)*('CONTROL MASTER'!$W$2:$W$495&gt;=10))*ROW('CONTROL MASTER'!$S$2:$S$495))-(ROW('CONTROL MASTER'!#REF!)-1))),IF(SUMPRODUCT((('CONTROL MASTER'!$S$2:$S$495=5)*('CONTROL MASTER'!$Z$2:$Z$495&lt;=1)*('CONTROL MASTER'!$AB$2:$AB$495&gt;=1)*('CONTROL MASTER'!$AA$2:$AA$495&lt;=10)*('CONTROL MASTER'!$AC$2:$AC$495&gt;=10))*ROW('CONTROL MASTER'!$S$2:$S$495))&gt;0,INDEX('CONTROL MASTER'!$X$2:$X$495,(SUMPRODUCT((('CONTROL MASTER'!$S$2:$S$495=5)*('CONTROL MASTER'!$Z$2:$Z$495&lt;=1)*('CONTROL MASTER'!$AB$2:$AB$495&gt;=1)*('CONTROL MASTER'!$AA$2:$AA$495&lt;=10)*('CONTROL MASTER'!$AC$2:$AC$495&gt;=10))*ROW('CONTROL MASTER'!$S$2:$S$495))-(ROW('CONTROL MASTER'!#REF!)-1)))&amp;TRIM(MID(SUBSTITUTE(SUBSTITUTE(INDEX('CONTROL MASTER'!$N$2:$N$495,(SUMPRODUCT((('CONTROL MASTER'!$S$2:$S$495=5)*('CONTROL MASTER'!$Z$2:$Z$495&lt;=1)*('CONTROL MASTER'!$AB$2:$AB$495&gt;=1)*('CONTROL MASTER'!$AA$2:$AA$495&lt;=10)*('CONTROL MASTER'!$AC$2:$AC$495&gt;=10))*ROW('CONTROL MASTER'!$S$2:$S$495))-(ROW('CONTROL MASTER'!#REF!)-1))),":",","),",",REPT(" ",50)),(((INDEX('CONTROL MASTER'!$Y$2:$Y$495,(SUMPRODUCT((('CONTROL MASTER'!$S$2:$S$495=5)*('CONTROL MASTER'!$Z$2:$Z$495&lt;=1)*('CONTROL MASTER'!$AB$2:$AB$495&gt;=1)*('CONTROL MASTER'!$AA$2:$AA$495&lt;=10)*('CONTROL MASTER'!$AC$2:$AC$495&gt;=10))*ROW('CONTROL MASTER'!$S$2:$S$495))-(ROW('CONTROL MASTER'!#REF!)-1)))+((1-INDEX('CONTROL MASTER'!$Z$2:$Z$495,(SUMPRODUCT((('CONTROL MASTER'!$S$2:$S$495=5)*('CONTROL MASTER'!$Z$2:$Z$495&lt;=1)*('CONTROL MASTER'!$AB$2:$AB$495&gt;=1)*('CONTROL MASTER'!$AA$2:$AA$495&lt;=10)*('CONTROL MASTER'!$AC$2:$AC$495&gt;=10))*ROW('CONTROL MASTER'!$S$2:$S$495))-(ROW('CONTROL MASTER'!#REF!)-1))))*(INDEX('CONTROL MASTER'!$AC$2:$AC$495,(SUMPRODUCT((('CONTROL MASTER'!$S$2:$S$495=5)*('CONTROL MASTER'!$Z$2:$Z$495&lt;=1)*('CONTROL MASTER'!$AB$2:$AB$495&gt;=1)*('CONTROL MASTER'!$AA$2:$AA$495&lt;=10)*('CONTROL MASTER'!$AC$2:$AC$495&gt;=10))*ROW('CONTROL MASTER'!$S$2:$S$495))-(ROW('CONTROL MASTER'!#REF!)-1)))-INDEX('CONTROL MASTER'!$AA$2:$AA$495,(SUMPRODUCT((('CONTROL MASTER'!$S$2:$S$495=5)*('CONTROL MASTER'!$Z$2:$Z$495&lt;=1)*('CONTROL MASTER'!$AB$2:$AB$495&gt;=1)*('CONTROL MASTER'!$AA$2:$AA$495&lt;=10)*('CONTROL MASTER'!$AC$2:$AC$495&gt;=10))*ROW('CONTROL MASTER'!$S$2:$S$495))-(ROW('CONTROL MASTER'!#REF!)-1)))+1)+(10-INDEX('CONTROL MASTER'!$AA$2:$AA$495,(SUMPRODUCT((('CONTROL MASTER'!$S$2:$S$495=5)*('CONTROL MASTER'!$Z$2:$Z$495&lt;=1)*('CONTROL MASTER'!$AB$2:$AB$495&gt;=1)*('CONTROL MASTER'!$AA$2:$AA$495&lt;=10)*('CONTROL MASTER'!$AC$2:$AC$495&gt;=10))*ROW('CONTROL MASTER'!$S$2:$S$495))-(ROW('CONTROL MASTER'!#REF!)-1))))+1)))-1)*50+1,50))&amp;"_"&amp;INDEX('CONTROL MASTER'!$P$2:$P$495,(SUMPRODUCT((('CONTROL MASTER'!$S$2:$S$495=5)*('CONTROL MASTER'!$Z$2:$Z$495&lt;=1)*('CONTROL MASTER'!$AB$2:$AB$495&gt;=1)*('CONTROL MASTER'!$AA$2:$AA$495&lt;=10)*('CONTROL MASTER'!$AC$2:$AC$495&gt;=10))*ROW('CONTROL MASTER'!$S$2:$S$495))-(ROW('CONTROL MASTER'!#REF!)-1))),"")),"")</f>
        <v/>
      </c>
    </row>
    <row r="60" spans="1:11" ht="15" customHeight="1" x14ac:dyDescent="0.35">
      <c r="A60" s="8" t="s">
        <v>29</v>
      </c>
      <c r="B60" s="10" t="str">
        <f>IFERROR(IF(SUMPRODUCT((('CONTROL MASTER'!$S$2:$S$495=5)*('CONTROL MASTER'!$T$2:$T$495&lt;=2)*('CONTROL MASTER'!$V$2:$V$495&gt;=2)*('CONTROL MASTER'!$U$2:$U$495&lt;=1)*('CONTROL MASTER'!$W$2:$W$495&gt;=1))*ROW('CONTROL MASTER'!$S$2:$S$495))&gt;0,INDEX('CONTROL MASTER'!$X$2:$X$495,(SUMPRODUCT((('CONTROL MASTER'!$S$2:$S$495=5)*('CONTROL MASTER'!$T$2:$T$495&lt;=2)*('CONTROL MASTER'!$V$2:$V$495&gt;=2)*('CONTROL MASTER'!$U$2:$U$495&lt;=1)*('CONTROL MASTER'!$W$2:$W$495&gt;=1))*ROW('CONTROL MASTER'!$S$2:$S$495))-(ROW('CONTROL MASTER'!#REF!)-1)))&amp;TRIM(MID(SUBSTITUTE(SUBSTITUTE(INDEX('CONTROL MASTER'!$N$2:$N$495,(SUMPRODUCT((('CONTROL MASTER'!$S$2:$S$495=5)*('CONTROL MASTER'!$T$2:$T$495&lt;=2)*('CONTROL MASTER'!$V$2:$V$495&gt;=2)*('CONTROL MASTER'!$U$2:$U$495&lt;=1)*('CONTROL MASTER'!$W$2:$W$495&gt;=1))*ROW('CONTROL MASTER'!$S$2:$S$495))-(ROW('CONTROL MASTER'!#REF!)-1))),":",","),",",REPT(" ",50)),((((2-INDEX('CONTROL MASTER'!$T$2:$T$495,(SUMPRODUCT((('CONTROL MASTER'!$S$2:$S$495=5)*('CONTROL MASTER'!$T$2:$T$495&lt;=2)*('CONTROL MASTER'!$V$2:$V$495&gt;=2)*('CONTROL MASTER'!$U$2:$U$495&lt;=1)*('CONTROL MASTER'!$W$2:$W$495&gt;=1))*ROW('CONTROL MASTER'!$S$2:$S$495))-(ROW('CONTROL MASTER'!#REF!)-1))))*(INDEX('CONTROL MASTER'!$W$2:$W$495,(SUMPRODUCT((('CONTROL MASTER'!$S$2:$S$495=5)*('CONTROL MASTER'!$T$2:$T$495&lt;=2)*('CONTROL MASTER'!$V$2:$V$495&gt;=2)*('CONTROL MASTER'!$U$2:$U$495&lt;=1)*('CONTROL MASTER'!$W$2:$W$495&gt;=1))*ROW('CONTROL MASTER'!$S$2:$S$495))-(ROW('CONTROL MASTER'!#REF!)-1)))-INDEX('CONTROL MASTER'!$U$2:$U$495,(SUMPRODUCT((('CONTROL MASTER'!$S$2:$S$495=5)*('CONTROL MASTER'!$T$2:$T$495&lt;=2)*('CONTROL MASTER'!$V$2:$V$495&gt;=2)*('CONTROL MASTER'!$U$2:$U$495&lt;=1)*('CONTROL MASTER'!$W$2:$W$495&gt;=1))*ROW('CONTROL MASTER'!$S$2:$S$495))-(ROW('CONTROL MASTER'!#REF!)-1)))+1)+(1-INDEX('CONTROL MASTER'!$U$2:$U$495,(SUMPRODUCT((('CONTROL MASTER'!$S$2:$S$495=5)*('CONTROL MASTER'!$T$2:$T$495&lt;=2)*('CONTROL MASTER'!$V$2:$V$495&gt;=2)*('CONTROL MASTER'!$U$2:$U$495&lt;=1)*('CONTROL MASTER'!$W$2:$W$495&gt;=1))*ROW('CONTROL MASTER'!$S$2:$S$495))-(ROW('CONTROL MASTER'!#REF!)-1))))+1))-1)*50+1,50))&amp;"_"&amp;INDEX('CONTROL MASTER'!$P$2:$P$495,(SUMPRODUCT((('CONTROL MASTER'!$S$2:$S$495=5)*('CONTROL MASTER'!$T$2:$T$495&lt;=2)*('CONTROL MASTER'!$V$2:$V$495&gt;=2)*('CONTROL MASTER'!$U$2:$U$495&lt;=1)*('CONTROL MASTER'!$W$2:$W$495&gt;=1))*ROW('CONTROL MASTER'!$S$2:$S$495))-(ROW('CONTROL MASTER'!#REF!)-1))),IF(SUMPRODUCT((('CONTROL MASTER'!$S$2:$S$495=5)*('CONTROL MASTER'!$Z$2:$Z$495&lt;=2)*('CONTROL MASTER'!$AB$2:$AB$495&gt;=2)*('CONTROL MASTER'!$AA$2:$AA$495&lt;=1)*('CONTROL MASTER'!$AC$2:$AC$495&gt;=1))*ROW('CONTROL MASTER'!$S$2:$S$495))&gt;0,INDEX('CONTROL MASTER'!$X$2:$X$495,(SUMPRODUCT((('CONTROL MASTER'!$S$2:$S$495=5)*('CONTROL MASTER'!$Z$2:$Z$495&lt;=2)*('CONTROL MASTER'!$AB$2:$AB$495&gt;=2)*('CONTROL MASTER'!$AA$2:$AA$495&lt;=1)*('CONTROL MASTER'!$AC$2:$AC$495&gt;=1))*ROW('CONTROL MASTER'!$S$2:$S$495))-(ROW('CONTROL MASTER'!#REF!)-1)))&amp;TRIM(MID(SUBSTITUTE(SUBSTITUTE(INDEX('CONTROL MASTER'!$N$2:$N$495,(SUMPRODUCT((('CONTROL MASTER'!$S$2:$S$495=5)*('CONTROL MASTER'!$Z$2:$Z$495&lt;=2)*('CONTROL MASTER'!$AB$2:$AB$495&gt;=2)*('CONTROL MASTER'!$AA$2:$AA$495&lt;=1)*('CONTROL MASTER'!$AC$2:$AC$495&gt;=1))*ROW('CONTROL MASTER'!$S$2:$S$495))-(ROW('CONTROL MASTER'!#REF!)-1))),":",","),",",REPT(" ",50)),(((INDEX('CONTROL MASTER'!$Y$2:$Y$495,(SUMPRODUCT((('CONTROL MASTER'!$S$2:$S$495=5)*('CONTROL MASTER'!$Z$2:$Z$495&lt;=2)*('CONTROL MASTER'!$AB$2:$AB$495&gt;=2)*('CONTROL MASTER'!$AA$2:$AA$495&lt;=1)*('CONTROL MASTER'!$AC$2:$AC$495&gt;=1))*ROW('CONTROL MASTER'!$S$2:$S$495))-(ROW('CONTROL MASTER'!#REF!)-1)))+((2-INDEX('CONTROL MASTER'!$Z$2:$Z$495,(SUMPRODUCT((('CONTROL MASTER'!$S$2:$S$495=5)*('CONTROL MASTER'!$Z$2:$Z$495&lt;=2)*('CONTROL MASTER'!$AB$2:$AB$495&gt;=2)*('CONTROL MASTER'!$AA$2:$AA$495&lt;=1)*('CONTROL MASTER'!$AC$2:$AC$495&gt;=1))*ROW('CONTROL MASTER'!$S$2:$S$495))-(ROW('CONTROL MASTER'!#REF!)-1))))*(INDEX('CONTROL MASTER'!$AC$2:$AC$495,(SUMPRODUCT((('CONTROL MASTER'!$S$2:$S$495=5)*('CONTROL MASTER'!$Z$2:$Z$495&lt;=2)*('CONTROL MASTER'!$AB$2:$AB$495&gt;=2)*('CONTROL MASTER'!$AA$2:$AA$495&lt;=1)*('CONTROL MASTER'!$AC$2:$AC$495&gt;=1))*ROW('CONTROL MASTER'!$S$2:$S$495))-(ROW('CONTROL MASTER'!#REF!)-1)))-INDEX('CONTROL MASTER'!$AA$2:$AA$495,(SUMPRODUCT((('CONTROL MASTER'!$S$2:$S$495=5)*('CONTROL MASTER'!$Z$2:$Z$495&lt;=2)*('CONTROL MASTER'!$AB$2:$AB$495&gt;=2)*('CONTROL MASTER'!$AA$2:$AA$495&lt;=1)*('CONTROL MASTER'!$AC$2:$AC$495&gt;=1))*ROW('CONTROL MASTER'!$S$2:$S$495))-(ROW('CONTROL MASTER'!#REF!)-1)))+1)+(1-INDEX('CONTROL MASTER'!$AA$2:$AA$495,(SUMPRODUCT((('CONTROL MASTER'!$S$2:$S$495=5)*('CONTROL MASTER'!$Z$2:$Z$495&lt;=2)*('CONTROL MASTER'!$AB$2:$AB$495&gt;=2)*('CONTROL MASTER'!$AA$2:$AA$495&lt;=1)*('CONTROL MASTER'!$AC$2:$AC$495&gt;=1))*ROW('CONTROL MASTER'!$S$2:$S$495))-(ROW('CONTROL MASTER'!#REF!)-1))))+1)))-1)*50+1,50))&amp;"_"&amp;INDEX('CONTROL MASTER'!$P$2:$P$495,(SUMPRODUCT((('CONTROL MASTER'!$S$2:$S$495=5)*('CONTROL MASTER'!$Z$2:$Z$495&lt;=2)*('CONTROL MASTER'!$AB$2:$AB$495&gt;=2)*('CONTROL MASTER'!$AA$2:$AA$495&lt;=1)*('CONTROL MASTER'!$AC$2:$AC$495&gt;=1))*ROW('CONTROL MASTER'!$S$2:$S$495))-(ROW('CONTROL MASTER'!#REF!)-1))),"")),"")</f>
        <v/>
      </c>
      <c r="C60" s="10" t="str">
        <f>IFERROR(IF(SUMPRODUCT((('CONTROL MASTER'!$S$2:$S$495=5)*('CONTROL MASTER'!$T$2:$T$495&lt;=2)*('CONTROL MASTER'!$V$2:$V$495&gt;=2)*('CONTROL MASTER'!$U$2:$U$495&lt;=2)*('CONTROL MASTER'!$W$2:$W$495&gt;=2))*ROW('CONTROL MASTER'!$S$2:$S$495))&gt;0,INDEX('CONTROL MASTER'!$X$2:$X$495,(SUMPRODUCT((('CONTROL MASTER'!$S$2:$S$495=5)*('CONTROL MASTER'!$T$2:$T$495&lt;=2)*('CONTROL MASTER'!$V$2:$V$495&gt;=2)*('CONTROL MASTER'!$U$2:$U$495&lt;=2)*('CONTROL MASTER'!$W$2:$W$495&gt;=2))*ROW('CONTROL MASTER'!$S$2:$S$495))-(ROW('CONTROL MASTER'!#REF!)-1)))&amp;TRIM(MID(SUBSTITUTE(SUBSTITUTE(INDEX('CONTROL MASTER'!$N$2:$N$495,(SUMPRODUCT((('CONTROL MASTER'!$S$2:$S$495=5)*('CONTROL MASTER'!$T$2:$T$495&lt;=2)*('CONTROL MASTER'!$V$2:$V$495&gt;=2)*('CONTROL MASTER'!$U$2:$U$495&lt;=2)*('CONTROL MASTER'!$W$2:$W$495&gt;=2))*ROW('CONTROL MASTER'!$S$2:$S$495))-(ROW('CONTROL MASTER'!#REF!)-1))),":",","),",",REPT(" ",50)),((((2-INDEX('CONTROL MASTER'!$T$2:$T$495,(SUMPRODUCT((('CONTROL MASTER'!$S$2:$S$495=5)*('CONTROL MASTER'!$T$2:$T$495&lt;=2)*('CONTROL MASTER'!$V$2:$V$495&gt;=2)*('CONTROL MASTER'!$U$2:$U$495&lt;=2)*('CONTROL MASTER'!$W$2:$W$495&gt;=2))*ROW('CONTROL MASTER'!$S$2:$S$495))-(ROW('CONTROL MASTER'!#REF!)-1))))*(INDEX('CONTROL MASTER'!$W$2:$W$495,(SUMPRODUCT((('CONTROL MASTER'!$S$2:$S$495=5)*('CONTROL MASTER'!$T$2:$T$495&lt;=2)*('CONTROL MASTER'!$V$2:$V$495&gt;=2)*('CONTROL MASTER'!$U$2:$U$495&lt;=2)*('CONTROL MASTER'!$W$2:$W$495&gt;=2))*ROW('CONTROL MASTER'!$S$2:$S$495))-(ROW('CONTROL MASTER'!#REF!)-1)))-INDEX('CONTROL MASTER'!$U$2:$U$495,(SUMPRODUCT((('CONTROL MASTER'!$S$2:$S$495=5)*('CONTROL MASTER'!$T$2:$T$495&lt;=2)*('CONTROL MASTER'!$V$2:$V$495&gt;=2)*('CONTROL MASTER'!$U$2:$U$495&lt;=2)*('CONTROL MASTER'!$W$2:$W$495&gt;=2))*ROW('CONTROL MASTER'!$S$2:$S$495))-(ROW('CONTROL MASTER'!#REF!)-1)))+1)+(2-INDEX('CONTROL MASTER'!$U$2:$U$495,(SUMPRODUCT((('CONTROL MASTER'!$S$2:$S$495=5)*('CONTROL MASTER'!$T$2:$T$495&lt;=2)*('CONTROL MASTER'!$V$2:$V$495&gt;=2)*('CONTROL MASTER'!$U$2:$U$495&lt;=2)*('CONTROL MASTER'!$W$2:$W$495&gt;=2))*ROW('CONTROL MASTER'!$S$2:$S$495))-(ROW('CONTROL MASTER'!#REF!)-1))))+1))-1)*50+1,50))&amp;"_"&amp;INDEX('CONTROL MASTER'!$P$2:$P$495,(SUMPRODUCT((('CONTROL MASTER'!$S$2:$S$495=5)*('CONTROL MASTER'!$T$2:$T$495&lt;=2)*('CONTROL MASTER'!$V$2:$V$495&gt;=2)*('CONTROL MASTER'!$U$2:$U$495&lt;=2)*('CONTROL MASTER'!$W$2:$W$495&gt;=2))*ROW('CONTROL MASTER'!$S$2:$S$495))-(ROW('CONTROL MASTER'!#REF!)-1))),IF(SUMPRODUCT((('CONTROL MASTER'!$S$2:$S$495=5)*('CONTROL MASTER'!$Z$2:$Z$495&lt;=2)*('CONTROL MASTER'!$AB$2:$AB$495&gt;=2)*('CONTROL MASTER'!$AA$2:$AA$495&lt;=2)*('CONTROL MASTER'!$AC$2:$AC$495&gt;=2))*ROW('CONTROL MASTER'!$S$2:$S$495))&gt;0,INDEX('CONTROL MASTER'!$X$2:$X$495,(SUMPRODUCT((('CONTROL MASTER'!$S$2:$S$495=5)*('CONTROL MASTER'!$Z$2:$Z$495&lt;=2)*('CONTROL MASTER'!$AB$2:$AB$495&gt;=2)*('CONTROL MASTER'!$AA$2:$AA$495&lt;=2)*('CONTROL MASTER'!$AC$2:$AC$495&gt;=2))*ROW('CONTROL MASTER'!$S$2:$S$495))-(ROW('CONTROL MASTER'!#REF!)-1)))&amp;TRIM(MID(SUBSTITUTE(SUBSTITUTE(INDEX('CONTROL MASTER'!$N$2:$N$495,(SUMPRODUCT((('CONTROL MASTER'!$S$2:$S$495=5)*('CONTROL MASTER'!$Z$2:$Z$495&lt;=2)*('CONTROL MASTER'!$AB$2:$AB$495&gt;=2)*('CONTROL MASTER'!$AA$2:$AA$495&lt;=2)*('CONTROL MASTER'!$AC$2:$AC$495&gt;=2))*ROW('CONTROL MASTER'!$S$2:$S$495))-(ROW('CONTROL MASTER'!#REF!)-1))),":",","),",",REPT(" ",50)),(((INDEX('CONTROL MASTER'!$Y$2:$Y$495,(SUMPRODUCT((('CONTROL MASTER'!$S$2:$S$495=5)*('CONTROL MASTER'!$Z$2:$Z$495&lt;=2)*('CONTROL MASTER'!$AB$2:$AB$495&gt;=2)*('CONTROL MASTER'!$AA$2:$AA$495&lt;=2)*('CONTROL MASTER'!$AC$2:$AC$495&gt;=2))*ROW('CONTROL MASTER'!$S$2:$S$495))-(ROW('CONTROL MASTER'!#REF!)-1)))+((2-INDEX('CONTROL MASTER'!$Z$2:$Z$495,(SUMPRODUCT((('CONTROL MASTER'!$S$2:$S$495=5)*('CONTROL MASTER'!$Z$2:$Z$495&lt;=2)*('CONTROL MASTER'!$AB$2:$AB$495&gt;=2)*('CONTROL MASTER'!$AA$2:$AA$495&lt;=2)*('CONTROL MASTER'!$AC$2:$AC$495&gt;=2))*ROW('CONTROL MASTER'!$S$2:$S$495))-(ROW('CONTROL MASTER'!#REF!)-1))))*(INDEX('CONTROL MASTER'!$AC$2:$AC$495,(SUMPRODUCT((('CONTROL MASTER'!$S$2:$S$495=5)*('CONTROL MASTER'!$Z$2:$Z$495&lt;=2)*('CONTROL MASTER'!$AB$2:$AB$495&gt;=2)*('CONTROL MASTER'!$AA$2:$AA$495&lt;=2)*('CONTROL MASTER'!$AC$2:$AC$495&gt;=2))*ROW('CONTROL MASTER'!$S$2:$S$495))-(ROW('CONTROL MASTER'!#REF!)-1)))-INDEX('CONTROL MASTER'!$AA$2:$AA$495,(SUMPRODUCT((('CONTROL MASTER'!$S$2:$S$495=5)*('CONTROL MASTER'!$Z$2:$Z$495&lt;=2)*('CONTROL MASTER'!$AB$2:$AB$495&gt;=2)*('CONTROL MASTER'!$AA$2:$AA$495&lt;=2)*('CONTROL MASTER'!$AC$2:$AC$495&gt;=2))*ROW('CONTROL MASTER'!$S$2:$S$495))-(ROW('CONTROL MASTER'!#REF!)-1)))+1)+(2-INDEX('CONTROL MASTER'!$AA$2:$AA$495,(SUMPRODUCT((('CONTROL MASTER'!$S$2:$S$495=5)*('CONTROL MASTER'!$Z$2:$Z$495&lt;=2)*('CONTROL MASTER'!$AB$2:$AB$495&gt;=2)*('CONTROL MASTER'!$AA$2:$AA$495&lt;=2)*('CONTROL MASTER'!$AC$2:$AC$495&gt;=2))*ROW('CONTROL MASTER'!$S$2:$S$495))-(ROW('CONTROL MASTER'!#REF!)-1))))+1)))-1)*50+1,50))&amp;"_"&amp;INDEX('CONTROL MASTER'!$P$2:$P$495,(SUMPRODUCT((('CONTROL MASTER'!$S$2:$S$495=5)*('CONTROL MASTER'!$Z$2:$Z$495&lt;=2)*('CONTROL MASTER'!$AB$2:$AB$495&gt;=2)*('CONTROL MASTER'!$AA$2:$AA$495&lt;=2)*('CONTROL MASTER'!$AC$2:$AC$495&gt;=2))*ROW('CONTROL MASTER'!$S$2:$S$495))-(ROW('CONTROL MASTER'!#REF!)-1))),"")),"")</f>
        <v/>
      </c>
      <c r="D60" s="10" t="str">
        <f>IFERROR(IF(SUMPRODUCT((('CONTROL MASTER'!$S$2:$S$495=5)*('CONTROL MASTER'!$T$2:$T$495&lt;=2)*('CONTROL MASTER'!$V$2:$V$495&gt;=2)*('CONTROL MASTER'!$U$2:$U$495&lt;=3)*('CONTROL MASTER'!$W$2:$W$495&gt;=3))*ROW('CONTROL MASTER'!$S$2:$S$495))&gt;0,INDEX('CONTROL MASTER'!$X$2:$X$495,(SUMPRODUCT((('CONTROL MASTER'!$S$2:$S$495=5)*('CONTROL MASTER'!$T$2:$T$495&lt;=2)*('CONTROL MASTER'!$V$2:$V$495&gt;=2)*('CONTROL MASTER'!$U$2:$U$495&lt;=3)*('CONTROL MASTER'!$W$2:$W$495&gt;=3))*ROW('CONTROL MASTER'!$S$2:$S$495))-(ROW('CONTROL MASTER'!#REF!)-1)))&amp;TRIM(MID(SUBSTITUTE(SUBSTITUTE(INDEX('CONTROL MASTER'!$N$2:$N$495,(SUMPRODUCT((('CONTROL MASTER'!$S$2:$S$495=5)*('CONTROL MASTER'!$T$2:$T$495&lt;=2)*('CONTROL MASTER'!$V$2:$V$495&gt;=2)*('CONTROL MASTER'!$U$2:$U$495&lt;=3)*('CONTROL MASTER'!$W$2:$W$495&gt;=3))*ROW('CONTROL MASTER'!$S$2:$S$495))-(ROW('CONTROL MASTER'!#REF!)-1))),":",","),",",REPT(" ",50)),((((2-INDEX('CONTROL MASTER'!$T$2:$T$495,(SUMPRODUCT((('CONTROL MASTER'!$S$2:$S$495=5)*('CONTROL MASTER'!$T$2:$T$495&lt;=2)*('CONTROL MASTER'!$V$2:$V$495&gt;=2)*('CONTROL MASTER'!$U$2:$U$495&lt;=3)*('CONTROL MASTER'!$W$2:$W$495&gt;=3))*ROW('CONTROL MASTER'!$S$2:$S$495))-(ROW('CONTROL MASTER'!#REF!)-1))))*(INDEX('CONTROL MASTER'!$W$2:$W$495,(SUMPRODUCT((('CONTROL MASTER'!$S$2:$S$495=5)*('CONTROL MASTER'!$T$2:$T$495&lt;=2)*('CONTROL MASTER'!$V$2:$V$495&gt;=2)*('CONTROL MASTER'!$U$2:$U$495&lt;=3)*('CONTROL MASTER'!$W$2:$W$495&gt;=3))*ROW('CONTROL MASTER'!$S$2:$S$495))-(ROW('CONTROL MASTER'!#REF!)-1)))-INDEX('CONTROL MASTER'!$U$2:$U$495,(SUMPRODUCT((('CONTROL MASTER'!$S$2:$S$495=5)*('CONTROL MASTER'!$T$2:$T$495&lt;=2)*('CONTROL MASTER'!$V$2:$V$495&gt;=2)*('CONTROL MASTER'!$U$2:$U$495&lt;=3)*('CONTROL MASTER'!$W$2:$W$495&gt;=3))*ROW('CONTROL MASTER'!$S$2:$S$495))-(ROW('CONTROL MASTER'!#REF!)-1)))+1)+(3-INDEX('CONTROL MASTER'!$U$2:$U$495,(SUMPRODUCT((('CONTROL MASTER'!$S$2:$S$495=5)*('CONTROL MASTER'!$T$2:$T$495&lt;=2)*('CONTROL MASTER'!$V$2:$V$495&gt;=2)*('CONTROL MASTER'!$U$2:$U$495&lt;=3)*('CONTROL MASTER'!$W$2:$W$495&gt;=3))*ROW('CONTROL MASTER'!$S$2:$S$495))-(ROW('CONTROL MASTER'!#REF!)-1))))+1))-1)*50+1,50))&amp;"_"&amp;INDEX('CONTROL MASTER'!$P$2:$P$495,(SUMPRODUCT((('CONTROL MASTER'!$S$2:$S$495=5)*('CONTROL MASTER'!$T$2:$T$495&lt;=2)*('CONTROL MASTER'!$V$2:$V$495&gt;=2)*('CONTROL MASTER'!$U$2:$U$495&lt;=3)*('CONTROL MASTER'!$W$2:$W$495&gt;=3))*ROW('CONTROL MASTER'!$S$2:$S$495))-(ROW('CONTROL MASTER'!#REF!)-1))),IF(SUMPRODUCT((('CONTROL MASTER'!$S$2:$S$495=5)*('CONTROL MASTER'!$Z$2:$Z$495&lt;=2)*('CONTROL MASTER'!$AB$2:$AB$495&gt;=2)*('CONTROL MASTER'!$AA$2:$AA$495&lt;=3)*('CONTROL MASTER'!$AC$2:$AC$495&gt;=3))*ROW('CONTROL MASTER'!$S$2:$S$495))&gt;0,INDEX('CONTROL MASTER'!$X$2:$X$495,(SUMPRODUCT((('CONTROL MASTER'!$S$2:$S$495=5)*('CONTROL MASTER'!$Z$2:$Z$495&lt;=2)*('CONTROL MASTER'!$AB$2:$AB$495&gt;=2)*('CONTROL MASTER'!$AA$2:$AA$495&lt;=3)*('CONTROL MASTER'!$AC$2:$AC$495&gt;=3))*ROW('CONTROL MASTER'!$S$2:$S$495))-(ROW('CONTROL MASTER'!#REF!)-1)))&amp;TRIM(MID(SUBSTITUTE(SUBSTITUTE(INDEX('CONTROL MASTER'!$N$2:$N$495,(SUMPRODUCT((('CONTROL MASTER'!$S$2:$S$495=5)*('CONTROL MASTER'!$Z$2:$Z$495&lt;=2)*('CONTROL MASTER'!$AB$2:$AB$495&gt;=2)*('CONTROL MASTER'!$AA$2:$AA$495&lt;=3)*('CONTROL MASTER'!$AC$2:$AC$495&gt;=3))*ROW('CONTROL MASTER'!$S$2:$S$495))-(ROW('CONTROL MASTER'!#REF!)-1))),":",","),",",REPT(" ",50)),(((INDEX('CONTROL MASTER'!$Y$2:$Y$495,(SUMPRODUCT((('CONTROL MASTER'!$S$2:$S$495=5)*('CONTROL MASTER'!$Z$2:$Z$495&lt;=2)*('CONTROL MASTER'!$AB$2:$AB$495&gt;=2)*('CONTROL MASTER'!$AA$2:$AA$495&lt;=3)*('CONTROL MASTER'!$AC$2:$AC$495&gt;=3))*ROW('CONTROL MASTER'!$S$2:$S$495))-(ROW('CONTROL MASTER'!#REF!)-1)))+((2-INDEX('CONTROL MASTER'!$Z$2:$Z$495,(SUMPRODUCT((('CONTROL MASTER'!$S$2:$S$495=5)*('CONTROL MASTER'!$Z$2:$Z$495&lt;=2)*('CONTROL MASTER'!$AB$2:$AB$495&gt;=2)*('CONTROL MASTER'!$AA$2:$AA$495&lt;=3)*('CONTROL MASTER'!$AC$2:$AC$495&gt;=3))*ROW('CONTROL MASTER'!$S$2:$S$495))-(ROW('CONTROL MASTER'!#REF!)-1))))*(INDEX('CONTROL MASTER'!$AC$2:$AC$495,(SUMPRODUCT((('CONTROL MASTER'!$S$2:$S$495=5)*('CONTROL MASTER'!$Z$2:$Z$495&lt;=2)*('CONTROL MASTER'!$AB$2:$AB$495&gt;=2)*('CONTROL MASTER'!$AA$2:$AA$495&lt;=3)*('CONTROL MASTER'!$AC$2:$AC$495&gt;=3))*ROW('CONTROL MASTER'!$S$2:$S$495))-(ROW('CONTROL MASTER'!#REF!)-1)))-INDEX('CONTROL MASTER'!$AA$2:$AA$495,(SUMPRODUCT((('CONTROL MASTER'!$S$2:$S$495=5)*('CONTROL MASTER'!$Z$2:$Z$495&lt;=2)*('CONTROL MASTER'!$AB$2:$AB$495&gt;=2)*('CONTROL MASTER'!$AA$2:$AA$495&lt;=3)*('CONTROL MASTER'!$AC$2:$AC$495&gt;=3))*ROW('CONTROL MASTER'!$S$2:$S$495))-(ROW('CONTROL MASTER'!#REF!)-1)))+1)+(3-INDEX('CONTROL MASTER'!$AA$2:$AA$495,(SUMPRODUCT((('CONTROL MASTER'!$S$2:$S$495=5)*('CONTROL MASTER'!$Z$2:$Z$495&lt;=2)*('CONTROL MASTER'!$AB$2:$AB$495&gt;=2)*('CONTROL MASTER'!$AA$2:$AA$495&lt;=3)*('CONTROL MASTER'!$AC$2:$AC$495&gt;=3))*ROW('CONTROL MASTER'!$S$2:$S$495))-(ROW('CONTROL MASTER'!#REF!)-1))))+1)))-1)*50+1,50))&amp;"_"&amp;INDEX('CONTROL MASTER'!$P$2:$P$495,(SUMPRODUCT((('CONTROL MASTER'!$S$2:$S$495=5)*('CONTROL MASTER'!$Z$2:$Z$495&lt;=2)*('CONTROL MASTER'!$AB$2:$AB$495&gt;=2)*('CONTROL MASTER'!$AA$2:$AA$495&lt;=3)*('CONTROL MASTER'!$AC$2:$AC$495&gt;=3))*ROW('CONTROL MASTER'!$S$2:$S$495))-(ROW('CONTROL MASTER'!#REF!)-1))),"")),"")</f>
        <v/>
      </c>
      <c r="E60" s="10" t="str">
        <f>IFERROR(IF(SUMPRODUCT((('CONTROL MASTER'!$S$2:$S$495=5)*('CONTROL MASTER'!$T$2:$T$495&lt;=2)*('CONTROL MASTER'!$V$2:$V$495&gt;=2)*('CONTROL MASTER'!$U$2:$U$495&lt;=4)*('CONTROL MASTER'!$W$2:$W$495&gt;=4))*ROW('CONTROL MASTER'!$S$2:$S$495))&gt;0,INDEX('CONTROL MASTER'!$X$2:$X$495,(SUMPRODUCT((('CONTROL MASTER'!$S$2:$S$495=5)*('CONTROL MASTER'!$T$2:$T$495&lt;=2)*('CONTROL MASTER'!$V$2:$V$495&gt;=2)*('CONTROL MASTER'!$U$2:$U$495&lt;=4)*('CONTROL MASTER'!$W$2:$W$495&gt;=4))*ROW('CONTROL MASTER'!$S$2:$S$495))-(ROW('CONTROL MASTER'!#REF!)-1)))&amp;TRIM(MID(SUBSTITUTE(SUBSTITUTE(INDEX('CONTROL MASTER'!$N$2:$N$495,(SUMPRODUCT((('CONTROL MASTER'!$S$2:$S$495=5)*('CONTROL MASTER'!$T$2:$T$495&lt;=2)*('CONTROL MASTER'!$V$2:$V$495&gt;=2)*('CONTROL MASTER'!$U$2:$U$495&lt;=4)*('CONTROL MASTER'!$W$2:$W$495&gt;=4))*ROW('CONTROL MASTER'!$S$2:$S$495))-(ROW('CONTROL MASTER'!#REF!)-1))),":",","),",",REPT(" ",50)),((((2-INDEX('CONTROL MASTER'!$T$2:$T$495,(SUMPRODUCT((('CONTROL MASTER'!$S$2:$S$495=5)*('CONTROL MASTER'!$T$2:$T$495&lt;=2)*('CONTROL MASTER'!$V$2:$V$495&gt;=2)*('CONTROL MASTER'!$U$2:$U$495&lt;=4)*('CONTROL MASTER'!$W$2:$W$495&gt;=4))*ROW('CONTROL MASTER'!$S$2:$S$495))-(ROW('CONTROL MASTER'!#REF!)-1))))*(INDEX('CONTROL MASTER'!$W$2:$W$495,(SUMPRODUCT((('CONTROL MASTER'!$S$2:$S$495=5)*('CONTROL MASTER'!$T$2:$T$495&lt;=2)*('CONTROL MASTER'!$V$2:$V$495&gt;=2)*('CONTROL MASTER'!$U$2:$U$495&lt;=4)*('CONTROL MASTER'!$W$2:$W$495&gt;=4))*ROW('CONTROL MASTER'!$S$2:$S$495))-(ROW('CONTROL MASTER'!#REF!)-1)))-INDEX('CONTROL MASTER'!$U$2:$U$495,(SUMPRODUCT((('CONTROL MASTER'!$S$2:$S$495=5)*('CONTROL MASTER'!$T$2:$T$495&lt;=2)*('CONTROL MASTER'!$V$2:$V$495&gt;=2)*('CONTROL MASTER'!$U$2:$U$495&lt;=4)*('CONTROL MASTER'!$W$2:$W$495&gt;=4))*ROW('CONTROL MASTER'!$S$2:$S$495))-(ROW('CONTROL MASTER'!#REF!)-1)))+1)+(4-INDEX('CONTROL MASTER'!$U$2:$U$495,(SUMPRODUCT((('CONTROL MASTER'!$S$2:$S$495=5)*('CONTROL MASTER'!$T$2:$T$495&lt;=2)*('CONTROL MASTER'!$V$2:$V$495&gt;=2)*('CONTROL MASTER'!$U$2:$U$495&lt;=4)*('CONTROL MASTER'!$W$2:$W$495&gt;=4))*ROW('CONTROL MASTER'!$S$2:$S$495))-(ROW('CONTROL MASTER'!#REF!)-1))))+1))-1)*50+1,50))&amp;"_"&amp;INDEX('CONTROL MASTER'!$P$2:$P$495,(SUMPRODUCT((('CONTROL MASTER'!$S$2:$S$495=5)*('CONTROL MASTER'!$T$2:$T$495&lt;=2)*('CONTROL MASTER'!$V$2:$V$495&gt;=2)*('CONTROL MASTER'!$U$2:$U$495&lt;=4)*('CONTROL MASTER'!$W$2:$W$495&gt;=4))*ROW('CONTROL MASTER'!$S$2:$S$495))-(ROW('CONTROL MASTER'!#REF!)-1))),IF(SUMPRODUCT((('CONTROL MASTER'!$S$2:$S$495=5)*('CONTROL MASTER'!$Z$2:$Z$495&lt;=2)*('CONTROL MASTER'!$AB$2:$AB$495&gt;=2)*('CONTROL MASTER'!$AA$2:$AA$495&lt;=4)*('CONTROL MASTER'!$AC$2:$AC$495&gt;=4))*ROW('CONTROL MASTER'!$S$2:$S$495))&gt;0,INDEX('CONTROL MASTER'!$X$2:$X$495,(SUMPRODUCT((('CONTROL MASTER'!$S$2:$S$495=5)*('CONTROL MASTER'!$Z$2:$Z$495&lt;=2)*('CONTROL MASTER'!$AB$2:$AB$495&gt;=2)*('CONTROL MASTER'!$AA$2:$AA$495&lt;=4)*('CONTROL MASTER'!$AC$2:$AC$495&gt;=4))*ROW('CONTROL MASTER'!$S$2:$S$495))-(ROW('CONTROL MASTER'!#REF!)-1)))&amp;TRIM(MID(SUBSTITUTE(SUBSTITUTE(INDEX('CONTROL MASTER'!$N$2:$N$495,(SUMPRODUCT((('CONTROL MASTER'!$S$2:$S$495=5)*('CONTROL MASTER'!$Z$2:$Z$495&lt;=2)*('CONTROL MASTER'!$AB$2:$AB$495&gt;=2)*('CONTROL MASTER'!$AA$2:$AA$495&lt;=4)*('CONTROL MASTER'!$AC$2:$AC$495&gt;=4))*ROW('CONTROL MASTER'!$S$2:$S$495))-(ROW('CONTROL MASTER'!#REF!)-1))),":",","),",",REPT(" ",50)),(((INDEX('CONTROL MASTER'!$Y$2:$Y$495,(SUMPRODUCT((('CONTROL MASTER'!$S$2:$S$495=5)*('CONTROL MASTER'!$Z$2:$Z$495&lt;=2)*('CONTROL MASTER'!$AB$2:$AB$495&gt;=2)*('CONTROL MASTER'!$AA$2:$AA$495&lt;=4)*('CONTROL MASTER'!$AC$2:$AC$495&gt;=4))*ROW('CONTROL MASTER'!$S$2:$S$495))-(ROW('CONTROL MASTER'!#REF!)-1)))+((2-INDEX('CONTROL MASTER'!$Z$2:$Z$495,(SUMPRODUCT((('CONTROL MASTER'!$S$2:$S$495=5)*('CONTROL MASTER'!$Z$2:$Z$495&lt;=2)*('CONTROL MASTER'!$AB$2:$AB$495&gt;=2)*('CONTROL MASTER'!$AA$2:$AA$495&lt;=4)*('CONTROL MASTER'!$AC$2:$AC$495&gt;=4))*ROW('CONTROL MASTER'!$S$2:$S$495))-(ROW('CONTROL MASTER'!#REF!)-1))))*(INDEX('CONTROL MASTER'!$AC$2:$AC$495,(SUMPRODUCT((('CONTROL MASTER'!$S$2:$S$495=5)*('CONTROL MASTER'!$Z$2:$Z$495&lt;=2)*('CONTROL MASTER'!$AB$2:$AB$495&gt;=2)*('CONTROL MASTER'!$AA$2:$AA$495&lt;=4)*('CONTROL MASTER'!$AC$2:$AC$495&gt;=4))*ROW('CONTROL MASTER'!$S$2:$S$495))-(ROW('CONTROL MASTER'!#REF!)-1)))-INDEX('CONTROL MASTER'!$AA$2:$AA$495,(SUMPRODUCT((('CONTROL MASTER'!$S$2:$S$495=5)*('CONTROL MASTER'!$Z$2:$Z$495&lt;=2)*('CONTROL MASTER'!$AB$2:$AB$495&gt;=2)*('CONTROL MASTER'!$AA$2:$AA$495&lt;=4)*('CONTROL MASTER'!$AC$2:$AC$495&gt;=4))*ROW('CONTROL MASTER'!$S$2:$S$495))-(ROW('CONTROL MASTER'!#REF!)-1)))+1)+(4-INDEX('CONTROL MASTER'!$AA$2:$AA$495,(SUMPRODUCT((('CONTROL MASTER'!$S$2:$S$495=5)*('CONTROL MASTER'!$Z$2:$Z$495&lt;=2)*('CONTROL MASTER'!$AB$2:$AB$495&gt;=2)*('CONTROL MASTER'!$AA$2:$AA$495&lt;=4)*('CONTROL MASTER'!$AC$2:$AC$495&gt;=4))*ROW('CONTROL MASTER'!$S$2:$S$495))-(ROW('CONTROL MASTER'!#REF!)-1))))+1)))-1)*50+1,50))&amp;"_"&amp;INDEX('CONTROL MASTER'!$P$2:$P$495,(SUMPRODUCT((('CONTROL MASTER'!$S$2:$S$495=5)*('CONTROL MASTER'!$Z$2:$Z$495&lt;=2)*('CONTROL MASTER'!$AB$2:$AB$495&gt;=2)*('CONTROL MASTER'!$AA$2:$AA$495&lt;=4)*('CONTROL MASTER'!$AC$2:$AC$495&gt;=4))*ROW('CONTROL MASTER'!$S$2:$S$495))-(ROW('CONTROL MASTER'!#REF!)-1))),"")),"")</f>
        <v/>
      </c>
      <c r="F60" s="10" t="str">
        <f>IFERROR(IF(SUMPRODUCT((('CONTROL MASTER'!$S$2:$S$495=5)*('CONTROL MASTER'!$T$2:$T$495&lt;=2)*('CONTROL MASTER'!$V$2:$V$495&gt;=2)*('CONTROL MASTER'!$U$2:$U$495&lt;=5)*('CONTROL MASTER'!$W$2:$W$495&gt;=5))*ROW('CONTROL MASTER'!$S$2:$S$495))&gt;0,INDEX('CONTROL MASTER'!$X$2:$X$495,(SUMPRODUCT((('CONTROL MASTER'!$S$2:$S$495=5)*('CONTROL MASTER'!$T$2:$T$495&lt;=2)*('CONTROL MASTER'!$V$2:$V$495&gt;=2)*('CONTROL MASTER'!$U$2:$U$495&lt;=5)*('CONTROL MASTER'!$W$2:$W$495&gt;=5))*ROW('CONTROL MASTER'!$S$2:$S$495))-(ROW('CONTROL MASTER'!#REF!)-1)))&amp;TRIM(MID(SUBSTITUTE(SUBSTITUTE(INDEX('CONTROL MASTER'!$N$2:$N$495,(SUMPRODUCT((('CONTROL MASTER'!$S$2:$S$495=5)*('CONTROL MASTER'!$T$2:$T$495&lt;=2)*('CONTROL MASTER'!$V$2:$V$495&gt;=2)*('CONTROL MASTER'!$U$2:$U$495&lt;=5)*('CONTROL MASTER'!$W$2:$W$495&gt;=5))*ROW('CONTROL MASTER'!$S$2:$S$495))-(ROW('CONTROL MASTER'!#REF!)-1))),":",","),",",REPT(" ",50)),((((2-INDEX('CONTROL MASTER'!$T$2:$T$495,(SUMPRODUCT((('CONTROL MASTER'!$S$2:$S$495=5)*('CONTROL MASTER'!$T$2:$T$495&lt;=2)*('CONTROL MASTER'!$V$2:$V$495&gt;=2)*('CONTROL MASTER'!$U$2:$U$495&lt;=5)*('CONTROL MASTER'!$W$2:$W$495&gt;=5))*ROW('CONTROL MASTER'!$S$2:$S$495))-(ROW('CONTROL MASTER'!#REF!)-1))))*(INDEX('CONTROL MASTER'!$W$2:$W$495,(SUMPRODUCT((('CONTROL MASTER'!$S$2:$S$495=5)*('CONTROL MASTER'!$T$2:$T$495&lt;=2)*('CONTROL MASTER'!$V$2:$V$495&gt;=2)*('CONTROL MASTER'!$U$2:$U$495&lt;=5)*('CONTROL MASTER'!$W$2:$W$495&gt;=5))*ROW('CONTROL MASTER'!$S$2:$S$495))-(ROW('CONTROL MASTER'!#REF!)-1)))-INDEX('CONTROL MASTER'!$U$2:$U$495,(SUMPRODUCT((('CONTROL MASTER'!$S$2:$S$495=5)*('CONTROL MASTER'!$T$2:$T$495&lt;=2)*('CONTROL MASTER'!$V$2:$V$495&gt;=2)*('CONTROL MASTER'!$U$2:$U$495&lt;=5)*('CONTROL MASTER'!$W$2:$W$495&gt;=5))*ROW('CONTROL MASTER'!$S$2:$S$495))-(ROW('CONTROL MASTER'!#REF!)-1)))+1)+(5-INDEX('CONTROL MASTER'!$U$2:$U$495,(SUMPRODUCT((('CONTROL MASTER'!$S$2:$S$495=5)*('CONTROL MASTER'!$T$2:$T$495&lt;=2)*('CONTROL MASTER'!$V$2:$V$495&gt;=2)*('CONTROL MASTER'!$U$2:$U$495&lt;=5)*('CONTROL MASTER'!$W$2:$W$495&gt;=5))*ROW('CONTROL MASTER'!$S$2:$S$495))-(ROW('CONTROL MASTER'!#REF!)-1))))+1))-1)*50+1,50))&amp;"_"&amp;INDEX('CONTROL MASTER'!$P$2:$P$495,(SUMPRODUCT((('CONTROL MASTER'!$S$2:$S$495=5)*('CONTROL MASTER'!$T$2:$T$495&lt;=2)*('CONTROL MASTER'!$V$2:$V$495&gt;=2)*('CONTROL MASTER'!$U$2:$U$495&lt;=5)*('CONTROL MASTER'!$W$2:$W$495&gt;=5))*ROW('CONTROL MASTER'!$S$2:$S$495))-(ROW('CONTROL MASTER'!#REF!)-1))),IF(SUMPRODUCT((('CONTROL MASTER'!$S$2:$S$495=5)*('CONTROL MASTER'!$Z$2:$Z$495&lt;=2)*('CONTROL MASTER'!$AB$2:$AB$495&gt;=2)*('CONTROL MASTER'!$AA$2:$AA$495&lt;=5)*('CONTROL MASTER'!$AC$2:$AC$495&gt;=5))*ROW('CONTROL MASTER'!$S$2:$S$495))&gt;0,INDEX('CONTROL MASTER'!$X$2:$X$495,(SUMPRODUCT((('CONTROL MASTER'!$S$2:$S$495=5)*('CONTROL MASTER'!$Z$2:$Z$495&lt;=2)*('CONTROL MASTER'!$AB$2:$AB$495&gt;=2)*('CONTROL MASTER'!$AA$2:$AA$495&lt;=5)*('CONTROL MASTER'!$AC$2:$AC$495&gt;=5))*ROW('CONTROL MASTER'!$S$2:$S$495))-(ROW('CONTROL MASTER'!#REF!)-1)))&amp;TRIM(MID(SUBSTITUTE(SUBSTITUTE(INDEX('CONTROL MASTER'!$N$2:$N$495,(SUMPRODUCT((('CONTROL MASTER'!$S$2:$S$495=5)*('CONTROL MASTER'!$Z$2:$Z$495&lt;=2)*('CONTROL MASTER'!$AB$2:$AB$495&gt;=2)*('CONTROL MASTER'!$AA$2:$AA$495&lt;=5)*('CONTROL MASTER'!$AC$2:$AC$495&gt;=5))*ROW('CONTROL MASTER'!$S$2:$S$495))-(ROW('CONTROL MASTER'!#REF!)-1))),":",","),",",REPT(" ",50)),(((INDEX('CONTROL MASTER'!$Y$2:$Y$495,(SUMPRODUCT((('CONTROL MASTER'!$S$2:$S$495=5)*('CONTROL MASTER'!$Z$2:$Z$495&lt;=2)*('CONTROL MASTER'!$AB$2:$AB$495&gt;=2)*('CONTROL MASTER'!$AA$2:$AA$495&lt;=5)*('CONTROL MASTER'!$AC$2:$AC$495&gt;=5))*ROW('CONTROL MASTER'!$S$2:$S$495))-(ROW('CONTROL MASTER'!#REF!)-1)))+((2-INDEX('CONTROL MASTER'!$Z$2:$Z$495,(SUMPRODUCT((('CONTROL MASTER'!$S$2:$S$495=5)*('CONTROL MASTER'!$Z$2:$Z$495&lt;=2)*('CONTROL MASTER'!$AB$2:$AB$495&gt;=2)*('CONTROL MASTER'!$AA$2:$AA$495&lt;=5)*('CONTROL MASTER'!$AC$2:$AC$495&gt;=5))*ROW('CONTROL MASTER'!$S$2:$S$495))-(ROW('CONTROL MASTER'!#REF!)-1))))*(INDEX('CONTROL MASTER'!$AC$2:$AC$495,(SUMPRODUCT((('CONTROL MASTER'!$S$2:$S$495=5)*('CONTROL MASTER'!$Z$2:$Z$495&lt;=2)*('CONTROL MASTER'!$AB$2:$AB$495&gt;=2)*('CONTROL MASTER'!$AA$2:$AA$495&lt;=5)*('CONTROL MASTER'!$AC$2:$AC$495&gt;=5))*ROW('CONTROL MASTER'!$S$2:$S$495))-(ROW('CONTROL MASTER'!#REF!)-1)))-INDEX('CONTROL MASTER'!$AA$2:$AA$495,(SUMPRODUCT((('CONTROL MASTER'!$S$2:$S$495=5)*('CONTROL MASTER'!$Z$2:$Z$495&lt;=2)*('CONTROL MASTER'!$AB$2:$AB$495&gt;=2)*('CONTROL MASTER'!$AA$2:$AA$495&lt;=5)*('CONTROL MASTER'!$AC$2:$AC$495&gt;=5))*ROW('CONTROL MASTER'!$S$2:$S$495))-(ROW('CONTROL MASTER'!#REF!)-1)))+1)+(5-INDEX('CONTROL MASTER'!$AA$2:$AA$495,(SUMPRODUCT((('CONTROL MASTER'!$S$2:$S$495=5)*('CONTROL MASTER'!$Z$2:$Z$495&lt;=2)*('CONTROL MASTER'!$AB$2:$AB$495&gt;=2)*('CONTROL MASTER'!$AA$2:$AA$495&lt;=5)*('CONTROL MASTER'!$AC$2:$AC$495&gt;=5))*ROW('CONTROL MASTER'!$S$2:$S$495))-(ROW('CONTROL MASTER'!#REF!)-1))))+1)))-1)*50+1,50))&amp;"_"&amp;INDEX('CONTROL MASTER'!$P$2:$P$495,(SUMPRODUCT((('CONTROL MASTER'!$S$2:$S$495=5)*('CONTROL MASTER'!$Z$2:$Z$495&lt;=2)*('CONTROL MASTER'!$AB$2:$AB$495&gt;=2)*('CONTROL MASTER'!$AA$2:$AA$495&lt;=5)*('CONTROL MASTER'!$AC$2:$AC$495&gt;=5))*ROW('CONTROL MASTER'!$S$2:$S$495))-(ROW('CONTROL MASTER'!#REF!)-1))),"")),"")</f>
        <v/>
      </c>
      <c r="G60" s="10" t="str">
        <f>IFERROR(IF(SUMPRODUCT((('CONTROL MASTER'!$S$2:$S$495=5)*('CONTROL MASTER'!$T$2:$T$495&lt;=2)*('CONTROL MASTER'!$V$2:$V$495&gt;=2)*('CONTROL MASTER'!$U$2:$U$495&lt;=6)*('CONTROL MASTER'!$W$2:$W$495&gt;=6))*ROW('CONTROL MASTER'!$S$2:$S$495))&gt;0,INDEX('CONTROL MASTER'!$X$2:$X$495,(SUMPRODUCT((('CONTROL MASTER'!$S$2:$S$495=5)*('CONTROL MASTER'!$T$2:$T$495&lt;=2)*('CONTROL MASTER'!$V$2:$V$495&gt;=2)*('CONTROL MASTER'!$U$2:$U$495&lt;=6)*('CONTROL MASTER'!$W$2:$W$495&gt;=6))*ROW('CONTROL MASTER'!$S$2:$S$495))-(ROW('CONTROL MASTER'!#REF!)-1)))&amp;TRIM(MID(SUBSTITUTE(SUBSTITUTE(INDEX('CONTROL MASTER'!$N$2:$N$495,(SUMPRODUCT((('CONTROL MASTER'!$S$2:$S$495=5)*('CONTROL MASTER'!$T$2:$T$495&lt;=2)*('CONTROL MASTER'!$V$2:$V$495&gt;=2)*('CONTROL MASTER'!$U$2:$U$495&lt;=6)*('CONTROL MASTER'!$W$2:$W$495&gt;=6))*ROW('CONTROL MASTER'!$S$2:$S$495))-(ROW('CONTROL MASTER'!#REF!)-1))),":",","),",",REPT(" ",50)),((((2-INDEX('CONTROL MASTER'!$T$2:$T$495,(SUMPRODUCT((('CONTROL MASTER'!$S$2:$S$495=5)*('CONTROL MASTER'!$T$2:$T$495&lt;=2)*('CONTROL MASTER'!$V$2:$V$495&gt;=2)*('CONTROL MASTER'!$U$2:$U$495&lt;=6)*('CONTROL MASTER'!$W$2:$W$495&gt;=6))*ROW('CONTROL MASTER'!$S$2:$S$495))-(ROW('CONTROL MASTER'!#REF!)-1))))*(INDEX('CONTROL MASTER'!$W$2:$W$495,(SUMPRODUCT((('CONTROL MASTER'!$S$2:$S$495=5)*('CONTROL MASTER'!$T$2:$T$495&lt;=2)*('CONTROL MASTER'!$V$2:$V$495&gt;=2)*('CONTROL MASTER'!$U$2:$U$495&lt;=6)*('CONTROL MASTER'!$W$2:$W$495&gt;=6))*ROW('CONTROL MASTER'!$S$2:$S$495))-(ROW('CONTROL MASTER'!#REF!)-1)))-INDEX('CONTROL MASTER'!$U$2:$U$495,(SUMPRODUCT((('CONTROL MASTER'!$S$2:$S$495=5)*('CONTROL MASTER'!$T$2:$T$495&lt;=2)*('CONTROL MASTER'!$V$2:$V$495&gt;=2)*('CONTROL MASTER'!$U$2:$U$495&lt;=6)*('CONTROL MASTER'!$W$2:$W$495&gt;=6))*ROW('CONTROL MASTER'!$S$2:$S$495))-(ROW('CONTROL MASTER'!#REF!)-1)))+1)+(6-INDEX('CONTROL MASTER'!$U$2:$U$495,(SUMPRODUCT((('CONTROL MASTER'!$S$2:$S$495=5)*('CONTROL MASTER'!$T$2:$T$495&lt;=2)*('CONTROL MASTER'!$V$2:$V$495&gt;=2)*('CONTROL MASTER'!$U$2:$U$495&lt;=6)*('CONTROL MASTER'!$W$2:$W$495&gt;=6))*ROW('CONTROL MASTER'!$S$2:$S$495))-(ROW('CONTROL MASTER'!#REF!)-1))))+1))-1)*50+1,50))&amp;"_"&amp;INDEX('CONTROL MASTER'!$P$2:$P$495,(SUMPRODUCT((('CONTROL MASTER'!$S$2:$S$495=5)*('CONTROL MASTER'!$T$2:$T$495&lt;=2)*('CONTROL MASTER'!$V$2:$V$495&gt;=2)*('CONTROL MASTER'!$U$2:$U$495&lt;=6)*('CONTROL MASTER'!$W$2:$W$495&gt;=6))*ROW('CONTROL MASTER'!$S$2:$S$495))-(ROW('CONTROL MASTER'!#REF!)-1))),IF(SUMPRODUCT((('CONTROL MASTER'!$S$2:$S$495=5)*('CONTROL MASTER'!$Z$2:$Z$495&lt;=2)*('CONTROL MASTER'!$AB$2:$AB$495&gt;=2)*('CONTROL MASTER'!$AA$2:$AA$495&lt;=6)*('CONTROL MASTER'!$AC$2:$AC$495&gt;=6))*ROW('CONTROL MASTER'!$S$2:$S$495))&gt;0,INDEX('CONTROL MASTER'!$X$2:$X$495,(SUMPRODUCT((('CONTROL MASTER'!$S$2:$S$495=5)*('CONTROL MASTER'!$Z$2:$Z$495&lt;=2)*('CONTROL MASTER'!$AB$2:$AB$495&gt;=2)*('CONTROL MASTER'!$AA$2:$AA$495&lt;=6)*('CONTROL MASTER'!$AC$2:$AC$495&gt;=6))*ROW('CONTROL MASTER'!$S$2:$S$495))-(ROW('CONTROL MASTER'!#REF!)-1)))&amp;TRIM(MID(SUBSTITUTE(SUBSTITUTE(INDEX('CONTROL MASTER'!$N$2:$N$495,(SUMPRODUCT((('CONTROL MASTER'!$S$2:$S$495=5)*('CONTROL MASTER'!$Z$2:$Z$495&lt;=2)*('CONTROL MASTER'!$AB$2:$AB$495&gt;=2)*('CONTROL MASTER'!$AA$2:$AA$495&lt;=6)*('CONTROL MASTER'!$AC$2:$AC$495&gt;=6))*ROW('CONTROL MASTER'!$S$2:$S$495))-(ROW('CONTROL MASTER'!#REF!)-1))),":",","),",",REPT(" ",50)),(((INDEX('CONTROL MASTER'!$Y$2:$Y$495,(SUMPRODUCT((('CONTROL MASTER'!$S$2:$S$495=5)*('CONTROL MASTER'!$Z$2:$Z$495&lt;=2)*('CONTROL MASTER'!$AB$2:$AB$495&gt;=2)*('CONTROL MASTER'!$AA$2:$AA$495&lt;=6)*('CONTROL MASTER'!$AC$2:$AC$495&gt;=6))*ROW('CONTROL MASTER'!$S$2:$S$495))-(ROW('CONTROL MASTER'!#REF!)-1)))+((2-INDEX('CONTROL MASTER'!$Z$2:$Z$495,(SUMPRODUCT((('CONTROL MASTER'!$S$2:$S$495=5)*('CONTROL MASTER'!$Z$2:$Z$495&lt;=2)*('CONTROL MASTER'!$AB$2:$AB$495&gt;=2)*('CONTROL MASTER'!$AA$2:$AA$495&lt;=6)*('CONTROL MASTER'!$AC$2:$AC$495&gt;=6))*ROW('CONTROL MASTER'!$S$2:$S$495))-(ROW('CONTROL MASTER'!#REF!)-1))))*(INDEX('CONTROL MASTER'!$AC$2:$AC$495,(SUMPRODUCT((('CONTROL MASTER'!$S$2:$S$495=5)*('CONTROL MASTER'!$Z$2:$Z$495&lt;=2)*('CONTROL MASTER'!$AB$2:$AB$495&gt;=2)*('CONTROL MASTER'!$AA$2:$AA$495&lt;=6)*('CONTROL MASTER'!$AC$2:$AC$495&gt;=6))*ROW('CONTROL MASTER'!$S$2:$S$495))-(ROW('CONTROL MASTER'!#REF!)-1)))-INDEX('CONTROL MASTER'!$AA$2:$AA$495,(SUMPRODUCT((('CONTROL MASTER'!$S$2:$S$495=5)*('CONTROL MASTER'!$Z$2:$Z$495&lt;=2)*('CONTROL MASTER'!$AB$2:$AB$495&gt;=2)*('CONTROL MASTER'!$AA$2:$AA$495&lt;=6)*('CONTROL MASTER'!$AC$2:$AC$495&gt;=6))*ROW('CONTROL MASTER'!$S$2:$S$495))-(ROW('CONTROL MASTER'!#REF!)-1)))+1)+(6-INDEX('CONTROL MASTER'!$AA$2:$AA$495,(SUMPRODUCT((('CONTROL MASTER'!$S$2:$S$495=5)*('CONTROL MASTER'!$Z$2:$Z$495&lt;=2)*('CONTROL MASTER'!$AB$2:$AB$495&gt;=2)*('CONTROL MASTER'!$AA$2:$AA$495&lt;=6)*('CONTROL MASTER'!$AC$2:$AC$495&gt;=6))*ROW('CONTROL MASTER'!$S$2:$S$495))-(ROW('CONTROL MASTER'!#REF!)-1))))+1)))-1)*50+1,50))&amp;"_"&amp;INDEX('CONTROL MASTER'!$P$2:$P$495,(SUMPRODUCT((('CONTROL MASTER'!$S$2:$S$495=5)*('CONTROL MASTER'!$Z$2:$Z$495&lt;=2)*('CONTROL MASTER'!$AB$2:$AB$495&gt;=2)*('CONTROL MASTER'!$AA$2:$AA$495&lt;=6)*('CONTROL MASTER'!$AC$2:$AC$495&gt;=6))*ROW('CONTROL MASTER'!$S$2:$S$495))-(ROW('CONTROL MASTER'!#REF!)-1))),"")),"")</f>
        <v/>
      </c>
      <c r="H60" s="10" t="str">
        <f>IFERROR(IF(SUMPRODUCT((('CONTROL MASTER'!$S$2:$S$495=5)*('CONTROL MASTER'!$T$2:$T$495&lt;=2)*('CONTROL MASTER'!$V$2:$V$495&gt;=2)*('CONTROL MASTER'!$U$2:$U$495&lt;=7)*('CONTROL MASTER'!$W$2:$W$495&gt;=7))*ROW('CONTROL MASTER'!$S$2:$S$495))&gt;0,INDEX('CONTROL MASTER'!$X$2:$X$495,(SUMPRODUCT((('CONTROL MASTER'!$S$2:$S$495=5)*('CONTROL MASTER'!$T$2:$T$495&lt;=2)*('CONTROL MASTER'!$V$2:$V$495&gt;=2)*('CONTROL MASTER'!$U$2:$U$495&lt;=7)*('CONTROL MASTER'!$W$2:$W$495&gt;=7))*ROW('CONTROL MASTER'!$S$2:$S$495))-(ROW('CONTROL MASTER'!#REF!)-1)))&amp;TRIM(MID(SUBSTITUTE(SUBSTITUTE(INDEX('CONTROL MASTER'!$N$2:$N$495,(SUMPRODUCT((('CONTROL MASTER'!$S$2:$S$495=5)*('CONTROL MASTER'!$T$2:$T$495&lt;=2)*('CONTROL MASTER'!$V$2:$V$495&gt;=2)*('CONTROL MASTER'!$U$2:$U$495&lt;=7)*('CONTROL MASTER'!$W$2:$W$495&gt;=7))*ROW('CONTROL MASTER'!$S$2:$S$495))-(ROW('CONTROL MASTER'!#REF!)-1))),":",","),",",REPT(" ",50)),((((2-INDEX('CONTROL MASTER'!$T$2:$T$495,(SUMPRODUCT((('CONTROL MASTER'!$S$2:$S$495=5)*('CONTROL MASTER'!$T$2:$T$495&lt;=2)*('CONTROL MASTER'!$V$2:$V$495&gt;=2)*('CONTROL MASTER'!$U$2:$U$495&lt;=7)*('CONTROL MASTER'!$W$2:$W$495&gt;=7))*ROW('CONTROL MASTER'!$S$2:$S$495))-(ROW('CONTROL MASTER'!#REF!)-1))))*(INDEX('CONTROL MASTER'!$W$2:$W$495,(SUMPRODUCT((('CONTROL MASTER'!$S$2:$S$495=5)*('CONTROL MASTER'!$T$2:$T$495&lt;=2)*('CONTROL MASTER'!$V$2:$V$495&gt;=2)*('CONTROL MASTER'!$U$2:$U$495&lt;=7)*('CONTROL MASTER'!$W$2:$W$495&gt;=7))*ROW('CONTROL MASTER'!$S$2:$S$495))-(ROW('CONTROL MASTER'!#REF!)-1)))-INDEX('CONTROL MASTER'!$U$2:$U$495,(SUMPRODUCT((('CONTROL MASTER'!$S$2:$S$495=5)*('CONTROL MASTER'!$T$2:$T$495&lt;=2)*('CONTROL MASTER'!$V$2:$V$495&gt;=2)*('CONTROL MASTER'!$U$2:$U$495&lt;=7)*('CONTROL MASTER'!$W$2:$W$495&gt;=7))*ROW('CONTROL MASTER'!$S$2:$S$495))-(ROW('CONTROL MASTER'!#REF!)-1)))+1)+(7-INDEX('CONTROL MASTER'!$U$2:$U$495,(SUMPRODUCT((('CONTROL MASTER'!$S$2:$S$495=5)*('CONTROL MASTER'!$T$2:$T$495&lt;=2)*('CONTROL MASTER'!$V$2:$V$495&gt;=2)*('CONTROL MASTER'!$U$2:$U$495&lt;=7)*('CONTROL MASTER'!$W$2:$W$495&gt;=7))*ROW('CONTROL MASTER'!$S$2:$S$495))-(ROW('CONTROL MASTER'!#REF!)-1))))+1))-1)*50+1,50))&amp;"_"&amp;INDEX('CONTROL MASTER'!$P$2:$P$495,(SUMPRODUCT((('CONTROL MASTER'!$S$2:$S$495=5)*('CONTROL MASTER'!$T$2:$T$495&lt;=2)*('CONTROL MASTER'!$V$2:$V$495&gt;=2)*('CONTROL MASTER'!$U$2:$U$495&lt;=7)*('CONTROL MASTER'!$W$2:$W$495&gt;=7))*ROW('CONTROL MASTER'!$S$2:$S$495))-(ROW('CONTROL MASTER'!#REF!)-1))),IF(SUMPRODUCT((('CONTROL MASTER'!$S$2:$S$495=5)*('CONTROL MASTER'!$Z$2:$Z$495&lt;=2)*('CONTROL MASTER'!$AB$2:$AB$495&gt;=2)*('CONTROL MASTER'!$AA$2:$AA$495&lt;=7)*('CONTROL MASTER'!$AC$2:$AC$495&gt;=7))*ROW('CONTROL MASTER'!$S$2:$S$495))&gt;0,INDEX('CONTROL MASTER'!$X$2:$X$495,(SUMPRODUCT((('CONTROL MASTER'!$S$2:$S$495=5)*('CONTROL MASTER'!$Z$2:$Z$495&lt;=2)*('CONTROL MASTER'!$AB$2:$AB$495&gt;=2)*('CONTROL MASTER'!$AA$2:$AA$495&lt;=7)*('CONTROL MASTER'!$AC$2:$AC$495&gt;=7))*ROW('CONTROL MASTER'!$S$2:$S$495))-(ROW('CONTROL MASTER'!#REF!)-1)))&amp;TRIM(MID(SUBSTITUTE(SUBSTITUTE(INDEX('CONTROL MASTER'!$N$2:$N$495,(SUMPRODUCT((('CONTROL MASTER'!$S$2:$S$495=5)*('CONTROL MASTER'!$Z$2:$Z$495&lt;=2)*('CONTROL MASTER'!$AB$2:$AB$495&gt;=2)*('CONTROL MASTER'!$AA$2:$AA$495&lt;=7)*('CONTROL MASTER'!$AC$2:$AC$495&gt;=7))*ROW('CONTROL MASTER'!$S$2:$S$495))-(ROW('CONTROL MASTER'!#REF!)-1))),":",","),",",REPT(" ",50)),(((INDEX('CONTROL MASTER'!$Y$2:$Y$495,(SUMPRODUCT((('CONTROL MASTER'!$S$2:$S$495=5)*('CONTROL MASTER'!$Z$2:$Z$495&lt;=2)*('CONTROL MASTER'!$AB$2:$AB$495&gt;=2)*('CONTROL MASTER'!$AA$2:$AA$495&lt;=7)*('CONTROL MASTER'!$AC$2:$AC$495&gt;=7))*ROW('CONTROL MASTER'!$S$2:$S$495))-(ROW('CONTROL MASTER'!#REF!)-1)))+((2-INDEX('CONTROL MASTER'!$Z$2:$Z$495,(SUMPRODUCT((('CONTROL MASTER'!$S$2:$S$495=5)*('CONTROL MASTER'!$Z$2:$Z$495&lt;=2)*('CONTROL MASTER'!$AB$2:$AB$495&gt;=2)*('CONTROL MASTER'!$AA$2:$AA$495&lt;=7)*('CONTROL MASTER'!$AC$2:$AC$495&gt;=7))*ROW('CONTROL MASTER'!$S$2:$S$495))-(ROW('CONTROL MASTER'!#REF!)-1))))*(INDEX('CONTROL MASTER'!$AC$2:$AC$495,(SUMPRODUCT((('CONTROL MASTER'!$S$2:$S$495=5)*('CONTROL MASTER'!$Z$2:$Z$495&lt;=2)*('CONTROL MASTER'!$AB$2:$AB$495&gt;=2)*('CONTROL MASTER'!$AA$2:$AA$495&lt;=7)*('CONTROL MASTER'!$AC$2:$AC$495&gt;=7))*ROW('CONTROL MASTER'!$S$2:$S$495))-(ROW('CONTROL MASTER'!#REF!)-1)))-INDEX('CONTROL MASTER'!$AA$2:$AA$495,(SUMPRODUCT((('CONTROL MASTER'!$S$2:$S$495=5)*('CONTROL MASTER'!$Z$2:$Z$495&lt;=2)*('CONTROL MASTER'!$AB$2:$AB$495&gt;=2)*('CONTROL MASTER'!$AA$2:$AA$495&lt;=7)*('CONTROL MASTER'!$AC$2:$AC$495&gt;=7))*ROW('CONTROL MASTER'!$S$2:$S$495))-(ROW('CONTROL MASTER'!#REF!)-1)))+1)+(7-INDEX('CONTROL MASTER'!$AA$2:$AA$495,(SUMPRODUCT((('CONTROL MASTER'!$S$2:$S$495=5)*('CONTROL MASTER'!$Z$2:$Z$495&lt;=2)*('CONTROL MASTER'!$AB$2:$AB$495&gt;=2)*('CONTROL MASTER'!$AA$2:$AA$495&lt;=7)*('CONTROL MASTER'!$AC$2:$AC$495&gt;=7))*ROW('CONTROL MASTER'!$S$2:$S$495))-(ROW('CONTROL MASTER'!#REF!)-1))))+1)))-1)*50+1,50))&amp;"_"&amp;INDEX('CONTROL MASTER'!$P$2:$P$495,(SUMPRODUCT((('CONTROL MASTER'!$S$2:$S$495=5)*('CONTROL MASTER'!$Z$2:$Z$495&lt;=2)*('CONTROL MASTER'!$AB$2:$AB$495&gt;=2)*('CONTROL MASTER'!$AA$2:$AA$495&lt;=7)*('CONTROL MASTER'!$AC$2:$AC$495&gt;=7))*ROW('CONTROL MASTER'!$S$2:$S$495))-(ROW('CONTROL MASTER'!#REF!)-1))),"")),"")</f>
        <v/>
      </c>
      <c r="I60" s="10" t="str">
        <f>IFERROR(IF(SUMPRODUCT((('CONTROL MASTER'!$S$2:$S$495=5)*('CONTROL MASTER'!$T$2:$T$495&lt;=2)*('CONTROL MASTER'!$V$2:$V$495&gt;=2)*('CONTROL MASTER'!$U$2:$U$495&lt;=8)*('CONTROL MASTER'!$W$2:$W$495&gt;=8))*ROW('CONTROL MASTER'!$S$2:$S$495))&gt;0,INDEX('CONTROL MASTER'!$X$2:$X$495,(SUMPRODUCT((('CONTROL MASTER'!$S$2:$S$495=5)*('CONTROL MASTER'!$T$2:$T$495&lt;=2)*('CONTROL MASTER'!$V$2:$V$495&gt;=2)*('CONTROL MASTER'!$U$2:$U$495&lt;=8)*('CONTROL MASTER'!$W$2:$W$495&gt;=8))*ROW('CONTROL MASTER'!$S$2:$S$495))-(ROW('CONTROL MASTER'!#REF!)-1)))&amp;TRIM(MID(SUBSTITUTE(SUBSTITUTE(INDEX('CONTROL MASTER'!$N$2:$N$495,(SUMPRODUCT((('CONTROL MASTER'!$S$2:$S$495=5)*('CONTROL MASTER'!$T$2:$T$495&lt;=2)*('CONTROL MASTER'!$V$2:$V$495&gt;=2)*('CONTROL MASTER'!$U$2:$U$495&lt;=8)*('CONTROL MASTER'!$W$2:$W$495&gt;=8))*ROW('CONTROL MASTER'!$S$2:$S$495))-(ROW('CONTROL MASTER'!#REF!)-1))),":",","),",",REPT(" ",50)),((((2-INDEX('CONTROL MASTER'!$T$2:$T$495,(SUMPRODUCT((('CONTROL MASTER'!$S$2:$S$495=5)*('CONTROL MASTER'!$T$2:$T$495&lt;=2)*('CONTROL MASTER'!$V$2:$V$495&gt;=2)*('CONTROL MASTER'!$U$2:$U$495&lt;=8)*('CONTROL MASTER'!$W$2:$W$495&gt;=8))*ROW('CONTROL MASTER'!$S$2:$S$495))-(ROW('CONTROL MASTER'!#REF!)-1))))*(INDEX('CONTROL MASTER'!$W$2:$W$495,(SUMPRODUCT((('CONTROL MASTER'!$S$2:$S$495=5)*('CONTROL MASTER'!$T$2:$T$495&lt;=2)*('CONTROL MASTER'!$V$2:$V$495&gt;=2)*('CONTROL MASTER'!$U$2:$U$495&lt;=8)*('CONTROL MASTER'!$W$2:$W$495&gt;=8))*ROW('CONTROL MASTER'!$S$2:$S$495))-(ROW('CONTROL MASTER'!#REF!)-1)))-INDEX('CONTROL MASTER'!$U$2:$U$495,(SUMPRODUCT((('CONTROL MASTER'!$S$2:$S$495=5)*('CONTROL MASTER'!$T$2:$T$495&lt;=2)*('CONTROL MASTER'!$V$2:$V$495&gt;=2)*('CONTROL MASTER'!$U$2:$U$495&lt;=8)*('CONTROL MASTER'!$W$2:$W$495&gt;=8))*ROW('CONTROL MASTER'!$S$2:$S$495))-(ROW('CONTROL MASTER'!#REF!)-1)))+1)+(8-INDEX('CONTROL MASTER'!$U$2:$U$495,(SUMPRODUCT((('CONTROL MASTER'!$S$2:$S$495=5)*('CONTROL MASTER'!$T$2:$T$495&lt;=2)*('CONTROL MASTER'!$V$2:$V$495&gt;=2)*('CONTROL MASTER'!$U$2:$U$495&lt;=8)*('CONTROL MASTER'!$W$2:$W$495&gt;=8))*ROW('CONTROL MASTER'!$S$2:$S$495))-(ROW('CONTROL MASTER'!#REF!)-1))))+1))-1)*50+1,50))&amp;"_"&amp;INDEX('CONTROL MASTER'!$P$2:$P$495,(SUMPRODUCT((('CONTROL MASTER'!$S$2:$S$495=5)*('CONTROL MASTER'!$T$2:$T$495&lt;=2)*('CONTROL MASTER'!$V$2:$V$495&gt;=2)*('CONTROL MASTER'!$U$2:$U$495&lt;=8)*('CONTROL MASTER'!$W$2:$W$495&gt;=8))*ROW('CONTROL MASTER'!$S$2:$S$495))-(ROW('CONTROL MASTER'!#REF!)-1))),IF(SUMPRODUCT((('CONTROL MASTER'!$S$2:$S$495=5)*('CONTROL MASTER'!$Z$2:$Z$495&lt;=2)*('CONTROL MASTER'!$AB$2:$AB$495&gt;=2)*('CONTROL MASTER'!$AA$2:$AA$495&lt;=8)*('CONTROL MASTER'!$AC$2:$AC$495&gt;=8))*ROW('CONTROL MASTER'!$S$2:$S$495))&gt;0,INDEX('CONTROL MASTER'!$X$2:$X$495,(SUMPRODUCT((('CONTROL MASTER'!$S$2:$S$495=5)*('CONTROL MASTER'!$Z$2:$Z$495&lt;=2)*('CONTROL MASTER'!$AB$2:$AB$495&gt;=2)*('CONTROL MASTER'!$AA$2:$AA$495&lt;=8)*('CONTROL MASTER'!$AC$2:$AC$495&gt;=8))*ROW('CONTROL MASTER'!$S$2:$S$495))-(ROW('CONTROL MASTER'!#REF!)-1)))&amp;TRIM(MID(SUBSTITUTE(SUBSTITUTE(INDEX('CONTROL MASTER'!$N$2:$N$495,(SUMPRODUCT((('CONTROL MASTER'!$S$2:$S$495=5)*('CONTROL MASTER'!$Z$2:$Z$495&lt;=2)*('CONTROL MASTER'!$AB$2:$AB$495&gt;=2)*('CONTROL MASTER'!$AA$2:$AA$495&lt;=8)*('CONTROL MASTER'!$AC$2:$AC$495&gt;=8))*ROW('CONTROL MASTER'!$S$2:$S$495))-(ROW('CONTROL MASTER'!#REF!)-1))),":",","),",",REPT(" ",50)),(((INDEX('CONTROL MASTER'!$Y$2:$Y$495,(SUMPRODUCT((('CONTROL MASTER'!$S$2:$S$495=5)*('CONTROL MASTER'!$Z$2:$Z$495&lt;=2)*('CONTROL MASTER'!$AB$2:$AB$495&gt;=2)*('CONTROL MASTER'!$AA$2:$AA$495&lt;=8)*('CONTROL MASTER'!$AC$2:$AC$495&gt;=8))*ROW('CONTROL MASTER'!$S$2:$S$495))-(ROW('CONTROL MASTER'!#REF!)-1)))+((2-INDEX('CONTROL MASTER'!$Z$2:$Z$495,(SUMPRODUCT((('CONTROL MASTER'!$S$2:$S$495=5)*('CONTROL MASTER'!$Z$2:$Z$495&lt;=2)*('CONTROL MASTER'!$AB$2:$AB$495&gt;=2)*('CONTROL MASTER'!$AA$2:$AA$495&lt;=8)*('CONTROL MASTER'!$AC$2:$AC$495&gt;=8))*ROW('CONTROL MASTER'!$S$2:$S$495))-(ROW('CONTROL MASTER'!#REF!)-1))))*(INDEX('CONTROL MASTER'!$AC$2:$AC$495,(SUMPRODUCT((('CONTROL MASTER'!$S$2:$S$495=5)*('CONTROL MASTER'!$Z$2:$Z$495&lt;=2)*('CONTROL MASTER'!$AB$2:$AB$495&gt;=2)*('CONTROL MASTER'!$AA$2:$AA$495&lt;=8)*('CONTROL MASTER'!$AC$2:$AC$495&gt;=8))*ROW('CONTROL MASTER'!$S$2:$S$495))-(ROW('CONTROL MASTER'!#REF!)-1)))-INDEX('CONTROL MASTER'!$AA$2:$AA$495,(SUMPRODUCT((('CONTROL MASTER'!$S$2:$S$495=5)*('CONTROL MASTER'!$Z$2:$Z$495&lt;=2)*('CONTROL MASTER'!$AB$2:$AB$495&gt;=2)*('CONTROL MASTER'!$AA$2:$AA$495&lt;=8)*('CONTROL MASTER'!$AC$2:$AC$495&gt;=8))*ROW('CONTROL MASTER'!$S$2:$S$495))-(ROW('CONTROL MASTER'!#REF!)-1)))+1)+(8-INDEX('CONTROL MASTER'!$AA$2:$AA$495,(SUMPRODUCT((('CONTROL MASTER'!$S$2:$S$495=5)*('CONTROL MASTER'!$Z$2:$Z$495&lt;=2)*('CONTROL MASTER'!$AB$2:$AB$495&gt;=2)*('CONTROL MASTER'!$AA$2:$AA$495&lt;=8)*('CONTROL MASTER'!$AC$2:$AC$495&gt;=8))*ROW('CONTROL MASTER'!$S$2:$S$495))-(ROW('CONTROL MASTER'!#REF!)-1))))+1)))-1)*50+1,50))&amp;"_"&amp;INDEX('CONTROL MASTER'!$P$2:$P$495,(SUMPRODUCT((('CONTROL MASTER'!$S$2:$S$495=5)*('CONTROL MASTER'!$Z$2:$Z$495&lt;=2)*('CONTROL MASTER'!$AB$2:$AB$495&gt;=2)*('CONTROL MASTER'!$AA$2:$AA$495&lt;=8)*('CONTROL MASTER'!$AC$2:$AC$495&gt;=8))*ROW('CONTROL MASTER'!$S$2:$S$495))-(ROW('CONTROL MASTER'!#REF!)-1))),"")),"")</f>
        <v/>
      </c>
      <c r="J60" s="10" t="str">
        <f>IFERROR(IF(SUMPRODUCT((('CONTROL MASTER'!$S$2:$S$495=5)*('CONTROL MASTER'!$T$2:$T$495&lt;=2)*('CONTROL MASTER'!$V$2:$V$495&gt;=2)*('CONTROL MASTER'!$U$2:$U$495&lt;=9)*('CONTROL MASTER'!$W$2:$W$495&gt;=9))*ROW('CONTROL MASTER'!$S$2:$S$495))&gt;0,INDEX('CONTROL MASTER'!$X$2:$X$495,(SUMPRODUCT((('CONTROL MASTER'!$S$2:$S$495=5)*('CONTROL MASTER'!$T$2:$T$495&lt;=2)*('CONTROL MASTER'!$V$2:$V$495&gt;=2)*('CONTROL MASTER'!$U$2:$U$495&lt;=9)*('CONTROL MASTER'!$W$2:$W$495&gt;=9))*ROW('CONTROL MASTER'!$S$2:$S$495))-(ROW('CONTROL MASTER'!#REF!)-1)))&amp;TRIM(MID(SUBSTITUTE(SUBSTITUTE(INDEX('CONTROL MASTER'!$N$2:$N$495,(SUMPRODUCT((('CONTROL MASTER'!$S$2:$S$495=5)*('CONTROL MASTER'!$T$2:$T$495&lt;=2)*('CONTROL MASTER'!$V$2:$V$495&gt;=2)*('CONTROL MASTER'!$U$2:$U$495&lt;=9)*('CONTROL MASTER'!$W$2:$W$495&gt;=9))*ROW('CONTROL MASTER'!$S$2:$S$495))-(ROW('CONTROL MASTER'!#REF!)-1))),":",","),",",REPT(" ",50)),((((2-INDEX('CONTROL MASTER'!$T$2:$T$495,(SUMPRODUCT((('CONTROL MASTER'!$S$2:$S$495=5)*('CONTROL MASTER'!$T$2:$T$495&lt;=2)*('CONTROL MASTER'!$V$2:$V$495&gt;=2)*('CONTROL MASTER'!$U$2:$U$495&lt;=9)*('CONTROL MASTER'!$W$2:$W$495&gt;=9))*ROW('CONTROL MASTER'!$S$2:$S$495))-(ROW('CONTROL MASTER'!#REF!)-1))))*(INDEX('CONTROL MASTER'!$W$2:$W$495,(SUMPRODUCT((('CONTROL MASTER'!$S$2:$S$495=5)*('CONTROL MASTER'!$T$2:$T$495&lt;=2)*('CONTROL MASTER'!$V$2:$V$495&gt;=2)*('CONTROL MASTER'!$U$2:$U$495&lt;=9)*('CONTROL MASTER'!$W$2:$W$495&gt;=9))*ROW('CONTROL MASTER'!$S$2:$S$495))-(ROW('CONTROL MASTER'!#REF!)-1)))-INDEX('CONTROL MASTER'!$U$2:$U$495,(SUMPRODUCT((('CONTROL MASTER'!$S$2:$S$495=5)*('CONTROL MASTER'!$T$2:$T$495&lt;=2)*('CONTROL MASTER'!$V$2:$V$495&gt;=2)*('CONTROL MASTER'!$U$2:$U$495&lt;=9)*('CONTROL MASTER'!$W$2:$W$495&gt;=9))*ROW('CONTROL MASTER'!$S$2:$S$495))-(ROW('CONTROL MASTER'!#REF!)-1)))+1)+(9-INDEX('CONTROL MASTER'!$U$2:$U$495,(SUMPRODUCT((('CONTROL MASTER'!$S$2:$S$495=5)*('CONTROL MASTER'!$T$2:$T$495&lt;=2)*('CONTROL MASTER'!$V$2:$V$495&gt;=2)*('CONTROL MASTER'!$U$2:$U$495&lt;=9)*('CONTROL MASTER'!$W$2:$W$495&gt;=9))*ROW('CONTROL MASTER'!$S$2:$S$495))-(ROW('CONTROL MASTER'!#REF!)-1))))+1))-1)*50+1,50))&amp;"_"&amp;INDEX('CONTROL MASTER'!$P$2:$P$495,(SUMPRODUCT((('CONTROL MASTER'!$S$2:$S$495=5)*('CONTROL MASTER'!$T$2:$T$495&lt;=2)*('CONTROL MASTER'!$V$2:$V$495&gt;=2)*('CONTROL MASTER'!$U$2:$U$495&lt;=9)*('CONTROL MASTER'!$W$2:$W$495&gt;=9))*ROW('CONTROL MASTER'!$S$2:$S$495))-(ROW('CONTROL MASTER'!#REF!)-1))),IF(SUMPRODUCT((('CONTROL MASTER'!$S$2:$S$495=5)*('CONTROL MASTER'!$Z$2:$Z$495&lt;=2)*('CONTROL MASTER'!$AB$2:$AB$495&gt;=2)*('CONTROL MASTER'!$AA$2:$AA$495&lt;=9)*('CONTROL MASTER'!$AC$2:$AC$495&gt;=9))*ROW('CONTROL MASTER'!$S$2:$S$495))&gt;0,INDEX('CONTROL MASTER'!$X$2:$X$495,(SUMPRODUCT((('CONTROL MASTER'!$S$2:$S$495=5)*('CONTROL MASTER'!$Z$2:$Z$495&lt;=2)*('CONTROL MASTER'!$AB$2:$AB$495&gt;=2)*('CONTROL MASTER'!$AA$2:$AA$495&lt;=9)*('CONTROL MASTER'!$AC$2:$AC$495&gt;=9))*ROW('CONTROL MASTER'!$S$2:$S$495))-(ROW('CONTROL MASTER'!#REF!)-1)))&amp;TRIM(MID(SUBSTITUTE(SUBSTITUTE(INDEX('CONTROL MASTER'!$N$2:$N$495,(SUMPRODUCT((('CONTROL MASTER'!$S$2:$S$495=5)*('CONTROL MASTER'!$Z$2:$Z$495&lt;=2)*('CONTROL MASTER'!$AB$2:$AB$495&gt;=2)*('CONTROL MASTER'!$AA$2:$AA$495&lt;=9)*('CONTROL MASTER'!$AC$2:$AC$495&gt;=9))*ROW('CONTROL MASTER'!$S$2:$S$495))-(ROW('CONTROL MASTER'!#REF!)-1))),":",","),",",REPT(" ",50)),(((INDEX('CONTROL MASTER'!$Y$2:$Y$495,(SUMPRODUCT((('CONTROL MASTER'!$S$2:$S$495=5)*('CONTROL MASTER'!$Z$2:$Z$495&lt;=2)*('CONTROL MASTER'!$AB$2:$AB$495&gt;=2)*('CONTROL MASTER'!$AA$2:$AA$495&lt;=9)*('CONTROL MASTER'!$AC$2:$AC$495&gt;=9))*ROW('CONTROL MASTER'!$S$2:$S$495))-(ROW('CONTROL MASTER'!#REF!)-1)))+((2-INDEX('CONTROL MASTER'!$Z$2:$Z$495,(SUMPRODUCT((('CONTROL MASTER'!$S$2:$S$495=5)*('CONTROL MASTER'!$Z$2:$Z$495&lt;=2)*('CONTROL MASTER'!$AB$2:$AB$495&gt;=2)*('CONTROL MASTER'!$AA$2:$AA$495&lt;=9)*('CONTROL MASTER'!$AC$2:$AC$495&gt;=9))*ROW('CONTROL MASTER'!$S$2:$S$495))-(ROW('CONTROL MASTER'!#REF!)-1))))*(INDEX('CONTROL MASTER'!$AC$2:$AC$495,(SUMPRODUCT((('CONTROL MASTER'!$S$2:$S$495=5)*('CONTROL MASTER'!$Z$2:$Z$495&lt;=2)*('CONTROL MASTER'!$AB$2:$AB$495&gt;=2)*('CONTROL MASTER'!$AA$2:$AA$495&lt;=9)*('CONTROL MASTER'!$AC$2:$AC$495&gt;=9))*ROW('CONTROL MASTER'!$S$2:$S$495))-(ROW('CONTROL MASTER'!#REF!)-1)))-INDEX('CONTROL MASTER'!$AA$2:$AA$495,(SUMPRODUCT((('CONTROL MASTER'!$S$2:$S$495=5)*('CONTROL MASTER'!$Z$2:$Z$495&lt;=2)*('CONTROL MASTER'!$AB$2:$AB$495&gt;=2)*('CONTROL MASTER'!$AA$2:$AA$495&lt;=9)*('CONTROL MASTER'!$AC$2:$AC$495&gt;=9))*ROW('CONTROL MASTER'!$S$2:$S$495))-(ROW('CONTROL MASTER'!#REF!)-1)))+1)+(9-INDEX('CONTROL MASTER'!$AA$2:$AA$495,(SUMPRODUCT((('CONTROL MASTER'!$S$2:$S$495=5)*('CONTROL MASTER'!$Z$2:$Z$495&lt;=2)*('CONTROL MASTER'!$AB$2:$AB$495&gt;=2)*('CONTROL MASTER'!$AA$2:$AA$495&lt;=9)*('CONTROL MASTER'!$AC$2:$AC$495&gt;=9))*ROW('CONTROL MASTER'!$S$2:$S$495))-(ROW('CONTROL MASTER'!#REF!)-1))))+1)))-1)*50+1,50))&amp;"_"&amp;INDEX('CONTROL MASTER'!$P$2:$P$495,(SUMPRODUCT((('CONTROL MASTER'!$S$2:$S$495=5)*('CONTROL MASTER'!$Z$2:$Z$495&lt;=2)*('CONTROL MASTER'!$AB$2:$AB$495&gt;=2)*('CONTROL MASTER'!$AA$2:$AA$495&lt;=9)*('CONTROL MASTER'!$AC$2:$AC$495&gt;=9))*ROW('CONTROL MASTER'!$S$2:$S$495))-(ROW('CONTROL MASTER'!#REF!)-1))),"")),"")</f>
        <v/>
      </c>
      <c r="K60" s="10" t="str">
        <f>IFERROR(IF(SUMPRODUCT((('CONTROL MASTER'!$S$2:$S$495=5)*('CONTROL MASTER'!$T$2:$T$495&lt;=2)*('CONTROL MASTER'!$V$2:$V$495&gt;=2)*('CONTROL MASTER'!$U$2:$U$495&lt;=10)*('CONTROL MASTER'!$W$2:$W$495&gt;=10))*ROW('CONTROL MASTER'!$S$2:$S$495))&gt;0,INDEX('CONTROL MASTER'!$X$2:$X$495,(SUMPRODUCT((('CONTROL MASTER'!$S$2:$S$495=5)*('CONTROL MASTER'!$T$2:$T$495&lt;=2)*('CONTROL MASTER'!$V$2:$V$495&gt;=2)*('CONTROL MASTER'!$U$2:$U$495&lt;=10)*('CONTROL MASTER'!$W$2:$W$495&gt;=10))*ROW('CONTROL MASTER'!$S$2:$S$495))-(ROW('CONTROL MASTER'!#REF!)-1)))&amp;TRIM(MID(SUBSTITUTE(SUBSTITUTE(INDEX('CONTROL MASTER'!$N$2:$N$495,(SUMPRODUCT((('CONTROL MASTER'!$S$2:$S$495=5)*('CONTROL MASTER'!$T$2:$T$495&lt;=2)*('CONTROL MASTER'!$V$2:$V$495&gt;=2)*('CONTROL MASTER'!$U$2:$U$495&lt;=10)*('CONTROL MASTER'!$W$2:$W$495&gt;=10))*ROW('CONTROL MASTER'!$S$2:$S$495))-(ROW('CONTROL MASTER'!#REF!)-1))),":",","),",",REPT(" ",50)),((((2-INDEX('CONTROL MASTER'!$T$2:$T$495,(SUMPRODUCT((('CONTROL MASTER'!$S$2:$S$495=5)*('CONTROL MASTER'!$T$2:$T$495&lt;=2)*('CONTROL MASTER'!$V$2:$V$495&gt;=2)*('CONTROL MASTER'!$U$2:$U$495&lt;=10)*('CONTROL MASTER'!$W$2:$W$495&gt;=10))*ROW('CONTROL MASTER'!$S$2:$S$495))-(ROW('CONTROL MASTER'!#REF!)-1))))*(INDEX('CONTROL MASTER'!$W$2:$W$495,(SUMPRODUCT((('CONTROL MASTER'!$S$2:$S$495=5)*('CONTROL MASTER'!$T$2:$T$495&lt;=2)*('CONTROL MASTER'!$V$2:$V$495&gt;=2)*('CONTROL MASTER'!$U$2:$U$495&lt;=10)*('CONTROL MASTER'!$W$2:$W$495&gt;=10))*ROW('CONTROL MASTER'!$S$2:$S$495))-(ROW('CONTROL MASTER'!#REF!)-1)))-INDEX('CONTROL MASTER'!$U$2:$U$495,(SUMPRODUCT((('CONTROL MASTER'!$S$2:$S$495=5)*('CONTROL MASTER'!$T$2:$T$495&lt;=2)*('CONTROL MASTER'!$V$2:$V$495&gt;=2)*('CONTROL MASTER'!$U$2:$U$495&lt;=10)*('CONTROL MASTER'!$W$2:$W$495&gt;=10))*ROW('CONTROL MASTER'!$S$2:$S$495))-(ROW('CONTROL MASTER'!#REF!)-1)))+1)+(10-INDEX('CONTROL MASTER'!$U$2:$U$495,(SUMPRODUCT((('CONTROL MASTER'!$S$2:$S$495=5)*('CONTROL MASTER'!$T$2:$T$495&lt;=2)*('CONTROL MASTER'!$V$2:$V$495&gt;=2)*('CONTROL MASTER'!$U$2:$U$495&lt;=10)*('CONTROL MASTER'!$W$2:$W$495&gt;=10))*ROW('CONTROL MASTER'!$S$2:$S$495))-(ROW('CONTROL MASTER'!#REF!)-1))))+1))-1)*50+1,50))&amp;"_"&amp;INDEX('CONTROL MASTER'!$P$2:$P$495,(SUMPRODUCT((('CONTROL MASTER'!$S$2:$S$495=5)*('CONTROL MASTER'!$T$2:$T$495&lt;=2)*('CONTROL MASTER'!$V$2:$V$495&gt;=2)*('CONTROL MASTER'!$U$2:$U$495&lt;=10)*('CONTROL MASTER'!$W$2:$W$495&gt;=10))*ROW('CONTROL MASTER'!$S$2:$S$495))-(ROW('CONTROL MASTER'!#REF!)-1))),IF(SUMPRODUCT((('CONTROL MASTER'!$S$2:$S$495=5)*('CONTROL MASTER'!$Z$2:$Z$495&lt;=2)*('CONTROL MASTER'!$AB$2:$AB$495&gt;=2)*('CONTROL MASTER'!$AA$2:$AA$495&lt;=10)*('CONTROL MASTER'!$AC$2:$AC$495&gt;=10))*ROW('CONTROL MASTER'!$S$2:$S$495))&gt;0,INDEX('CONTROL MASTER'!$X$2:$X$495,(SUMPRODUCT((('CONTROL MASTER'!$S$2:$S$495=5)*('CONTROL MASTER'!$Z$2:$Z$495&lt;=2)*('CONTROL MASTER'!$AB$2:$AB$495&gt;=2)*('CONTROL MASTER'!$AA$2:$AA$495&lt;=10)*('CONTROL MASTER'!$AC$2:$AC$495&gt;=10))*ROW('CONTROL MASTER'!$S$2:$S$495))-(ROW('CONTROL MASTER'!#REF!)-1)))&amp;TRIM(MID(SUBSTITUTE(SUBSTITUTE(INDEX('CONTROL MASTER'!$N$2:$N$495,(SUMPRODUCT((('CONTROL MASTER'!$S$2:$S$495=5)*('CONTROL MASTER'!$Z$2:$Z$495&lt;=2)*('CONTROL MASTER'!$AB$2:$AB$495&gt;=2)*('CONTROL MASTER'!$AA$2:$AA$495&lt;=10)*('CONTROL MASTER'!$AC$2:$AC$495&gt;=10))*ROW('CONTROL MASTER'!$S$2:$S$495))-(ROW('CONTROL MASTER'!#REF!)-1))),":",","),",",REPT(" ",50)),(((INDEX('CONTROL MASTER'!$Y$2:$Y$495,(SUMPRODUCT((('CONTROL MASTER'!$S$2:$S$495=5)*('CONTROL MASTER'!$Z$2:$Z$495&lt;=2)*('CONTROL MASTER'!$AB$2:$AB$495&gt;=2)*('CONTROL MASTER'!$AA$2:$AA$495&lt;=10)*('CONTROL MASTER'!$AC$2:$AC$495&gt;=10))*ROW('CONTROL MASTER'!$S$2:$S$495))-(ROW('CONTROL MASTER'!#REF!)-1)))+((2-INDEX('CONTROL MASTER'!$Z$2:$Z$495,(SUMPRODUCT((('CONTROL MASTER'!$S$2:$S$495=5)*('CONTROL MASTER'!$Z$2:$Z$495&lt;=2)*('CONTROL MASTER'!$AB$2:$AB$495&gt;=2)*('CONTROL MASTER'!$AA$2:$AA$495&lt;=10)*('CONTROL MASTER'!$AC$2:$AC$495&gt;=10))*ROW('CONTROL MASTER'!$S$2:$S$495))-(ROW('CONTROL MASTER'!#REF!)-1))))*(INDEX('CONTROL MASTER'!$AC$2:$AC$495,(SUMPRODUCT((('CONTROL MASTER'!$S$2:$S$495=5)*('CONTROL MASTER'!$Z$2:$Z$495&lt;=2)*('CONTROL MASTER'!$AB$2:$AB$495&gt;=2)*('CONTROL MASTER'!$AA$2:$AA$495&lt;=10)*('CONTROL MASTER'!$AC$2:$AC$495&gt;=10))*ROW('CONTROL MASTER'!$S$2:$S$495))-(ROW('CONTROL MASTER'!#REF!)-1)))-INDEX('CONTROL MASTER'!$AA$2:$AA$495,(SUMPRODUCT((('CONTROL MASTER'!$S$2:$S$495=5)*('CONTROL MASTER'!$Z$2:$Z$495&lt;=2)*('CONTROL MASTER'!$AB$2:$AB$495&gt;=2)*('CONTROL MASTER'!$AA$2:$AA$495&lt;=10)*('CONTROL MASTER'!$AC$2:$AC$495&gt;=10))*ROW('CONTROL MASTER'!$S$2:$S$495))-(ROW('CONTROL MASTER'!#REF!)-1)))+1)+(10-INDEX('CONTROL MASTER'!$AA$2:$AA$495,(SUMPRODUCT((('CONTROL MASTER'!$S$2:$S$495=5)*('CONTROL MASTER'!$Z$2:$Z$495&lt;=2)*('CONTROL MASTER'!$AB$2:$AB$495&gt;=2)*('CONTROL MASTER'!$AA$2:$AA$495&lt;=10)*('CONTROL MASTER'!$AC$2:$AC$495&gt;=10))*ROW('CONTROL MASTER'!$S$2:$S$495))-(ROW('CONTROL MASTER'!#REF!)-1))))+1)))-1)*50+1,50))&amp;"_"&amp;INDEX('CONTROL MASTER'!$P$2:$P$495,(SUMPRODUCT((('CONTROL MASTER'!$S$2:$S$495=5)*('CONTROL MASTER'!$Z$2:$Z$495&lt;=2)*('CONTROL MASTER'!$AB$2:$AB$495&gt;=2)*('CONTROL MASTER'!$AA$2:$AA$495&lt;=10)*('CONTROL MASTER'!$AC$2:$AC$495&gt;=10))*ROW('CONTROL MASTER'!$S$2:$S$495))-(ROW('CONTROL MASTER'!#REF!)-1))),"")),"")</f>
        <v/>
      </c>
    </row>
    <row r="61" spans="1:11" ht="15" customHeight="1" x14ac:dyDescent="0.35">
      <c r="A61" s="8" t="s">
        <v>30</v>
      </c>
      <c r="B61" s="10" t="str">
        <f>IFERROR(IF(SUMPRODUCT((('CONTROL MASTER'!$S$2:$S$495=5)*('CONTROL MASTER'!$T$2:$T$495&lt;=3)*('CONTROL MASTER'!$V$2:$V$495&gt;=3)*('CONTROL MASTER'!$U$2:$U$495&lt;=1)*('CONTROL MASTER'!$W$2:$W$495&gt;=1))*ROW('CONTROL MASTER'!$S$2:$S$495))&gt;0,INDEX('CONTROL MASTER'!$X$2:$X$495,(SUMPRODUCT((('CONTROL MASTER'!$S$2:$S$495=5)*('CONTROL MASTER'!$T$2:$T$495&lt;=3)*('CONTROL MASTER'!$V$2:$V$495&gt;=3)*('CONTROL MASTER'!$U$2:$U$495&lt;=1)*('CONTROL MASTER'!$W$2:$W$495&gt;=1))*ROW('CONTROL MASTER'!$S$2:$S$495))-(ROW('CONTROL MASTER'!#REF!)-1)))&amp;TRIM(MID(SUBSTITUTE(SUBSTITUTE(INDEX('CONTROL MASTER'!$N$2:$N$495,(SUMPRODUCT((('CONTROL MASTER'!$S$2:$S$495=5)*('CONTROL MASTER'!$T$2:$T$495&lt;=3)*('CONTROL MASTER'!$V$2:$V$495&gt;=3)*('CONTROL MASTER'!$U$2:$U$495&lt;=1)*('CONTROL MASTER'!$W$2:$W$495&gt;=1))*ROW('CONTROL MASTER'!$S$2:$S$495))-(ROW('CONTROL MASTER'!#REF!)-1))),":",","),",",REPT(" ",50)),((((3-INDEX('CONTROL MASTER'!$T$2:$T$495,(SUMPRODUCT((('CONTROL MASTER'!$S$2:$S$495=5)*('CONTROL MASTER'!$T$2:$T$495&lt;=3)*('CONTROL MASTER'!$V$2:$V$495&gt;=3)*('CONTROL MASTER'!$U$2:$U$495&lt;=1)*('CONTROL MASTER'!$W$2:$W$495&gt;=1))*ROW('CONTROL MASTER'!$S$2:$S$495))-(ROW('CONTROL MASTER'!#REF!)-1))))*(INDEX('CONTROL MASTER'!$W$2:$W$495,(SUMPRODUCT((('CONTROL MASTER'!$S$2:$S$495=5)*('CONTROL MASTER'!$T$2:$T$495&lt;=3)*('CONTROL MASTER'!$V$2:$V$495&gt;=3)*('CONTROL MASTER'!$U$2:$U$495&lt;=1)*('CONTROL MASTER'!$W$2:$W$495&gt;=1))*ROW('CONTROL MASTER'!$S$2:$S$495))-(ROW('CONTROL MASTER'!#REF!)-1)))-INDEX('CONTROL MASTER'!$U$2:$U$495,(SUMPRODUCT((('CONTROL MASTER'!$S$2:$S$495=5)*('CONTROL MASTER'!$T$2:$T$495&lt;=3)*('CONTROL MASTER'!$V$2:$V$495&gt;=3)*('CONTROL MASTER'!$U$2:$U$495&lt;=1)*('CONTROL MASTER'!$W$2:$W$495&gt;=1))*ROW('CONTROL MASTER'!$S$2:$S$495))-(ROW('CONTROL MASTER'!#REF!)-1)))+1)+(1-INDEX('CONTROL MASTER'!$U$2:$U$495,(SUMPRODUCT((('CONTROL MASTER'!$S$2:$S$495=5)*('CONTROL MASTER'!$T$2:$T$495&lt;=3)*('CONTROL MASTER'!$V$2:$V$495&gt;=3)*('CONTROL MASTER'!$U$2:$U$495&lt;=1)*('CONTROL MASTER'!$W$2:$W$495&gt;=1))*ROW('CONTROL MASTER'!$S$2:$S$495))-(ROW('CONTROL MASTER'!#REF!)-1))))+1))-1)*50+1,50))&amp;"_"&amp;INDEX('CONTROL MASTER'!$P$2:$P$495,(SUMPRODUCT((('CONTROL MASTER'!$S$2:$S$495=5)*('CONTROL MASTER'!$T$2:$T$495&lt;=3)*('CONTROL MASTER'!$V$2:$V$495&gt;=3)*('CONTROL MASTER'!$U$2:$U$495&lt;=1)*('CONTROL MASTER'!$W$2:$W$495&gt;=1))*ROW('CONTROL MASTER'!$S$2:$S$495))-(ROW('CONTROL MASTER'!#REF!)-1))),IF(SUMPRODUCT((('CONTROL MASTER'!$S$2:$S$495=5)*('CONTROL MASTER'!$Z$2:$Z$495&lt;=3)*('CONTROL MASTER'!$AB$2:$AB$495&gt;=3)*('CONTROL MASTER'!$AA$2:$AA$495&lt;=1)*('CONTROL MASTER'!$AC$2:$AC$495&gt;=1))*ROW('CONTROL MASTER'!$S$2:$S$495))&gt;0,INDEX('CONTROL MASTER'!$X$2:$X$495,(SUMPRODUCT((('CONTROL MASTER'!$S$2:$S$495=5)*('CONTROL MASTER'!$Z$2:$Z$495&lt;=3)*('CONTROL MASTER'!$AB$2:$AB$495&gt;=3)*('CONTROL MASTER'!$AA$2:$AA$495&lt;=1)*('CONTROL MASTER'!$AC$2:$AC$495&gt;=1))*ROW('CONTROL MASTER'!$S$2:$S$495))-(ROW('CONTROL MASTER'!#REF!)-1)))&amp;TRIM(MID(SUBSTITUTE(SUBSTITUTE(INDEX('CONTROL MASTER'!$N$2:$N$495,(SUMPRODUCT((('CONTROL MASTER'!$S$2:$S$495=5)*('CONTROL MASTER'!$Z$2:$Z$495&lt;=3)*('CONTROL MASTER'!$AB$2:$AB$495&gt;=3)*('CONTROL MASTER'!$AA$2:$AA$495&lt;=1)*('CONTROL MASTER'!$AC$2:$AC$495&gt;=1))*ROW('CONTROL MASTER'!$S$2:$S$495))-(ROW('CONTROL MASTER'!#REF!)-1))),":",","),",",REPT(" ",50)),(((INDEX('CONTROL MASTER'!$Y$2:$Y$495,(SUMPRODUCT((('CONTROL MASTER'!$S$2:$S$495=5)*('CONTROL MASTER'!$Z$2:$Z$495&lt;=3)*('CONTROL MASTER'!$AB$2:$AB$495&gt;=3)*('CONTROL MASTER'!$AA$2:$AA$495&lt;=1)*('CONTROL MASTER'!$AC$2:$AC$495&gt;=1))*ROW('CONTROL MASTER'!$S$2:$S$495))-(ROW('CONTROL MASTER'!#REF!)-1)))+((3-INDEX('CONTROL MASTER'!$Z$2:$Z$495,(SUMPRODUCT((('CONTROL MASTER'!$S$2:$S$495=5)*('CONTROL MASTER'!$Z$2:$Z$495&lt;=3)*('CONTROL MASTER'!$AB$2:$AB$495&gt;=3)*('CONTROL MASTER'!$AA$2:$AA$495&lt;=1)*('CONTROL MASTER'!$AC$2:$AC$495&gt;=1))*ROW('CONTROL MASTER'!$S$2:$S$495))-(ROW('CONTROL MASTER'!#REF!)-1))))*(INDEX('CONTROL MASTER'!$AC$2:$AC$495,(SUMPRODUCT((('CONTROL MASTER'!$S$2:$S$495=5)*('CONTROL MASTER'!$Z$2:$Z$495&lt;=3)*('CONTROL MASTER'!$AB$2:$AB$495&gt;=3)*('CONTROL MASTER'!$AA$2:$AA$495&lt;=1)*('CONTROL MASTER'!$AC$2:$AC$495&gt;=1))*ROW('CONTROL MASTER'!$S$2:$S$495))-(ROW('CONTROL MASTER'!#REF!)-1)))-INDEX('CONTROL MASTER'!$AA$2:$AA$495,(SUMPRODUCT((('CONTROL MASTER'!$S$2:$S$495=5)*('CONTROL MASTER'!$Z$2:$Z$495&lt;=3)*('CONTROL MASTER'!$AB$2:$AB$495&gt;=3)*('CONTROL MASTER'!$AA$2:$AA$495&lt;=1)*('CONTROL MASTER'!$AC$2:$AC$495&gt;=1))*ROW('CONTROL MASTER'!$S$2:$S$495))-(ROW('CONTROL MASTER'!#REF!)-1)))+1)+(1-INDEX('CONTROL MASTER'!$AA$2:$AA$495,(SUMPRODUCT((('CONTROL MASTER'!$S$2:$S$495=5)*('CONTROL MASTER'!$Z$2:$Z$495&lt;=3)*('CONTROL MASTER'!$AB$2:$AB$495&gt;=3)*('CONTROL MASTER'!$AA$2:$AA$495&lt;=1)*('CONTROL MASTER'!$AC$2:$AC$495&gt;=1))*ROW('CONTROL MASTER'!$S$2:$S$495))-(ROW('CONTROL MASTER'!#REF!)-1))))+1)))-1)*50+1,50))&amp;"_"&amp;INDEX('CONTROL MASTER'!$P$2:$P$495,(SUMPRODUCT((('CONTROL MASTER'!$S$2:$S$495=5)*('CONTROL MASTER'!$Z$2:$Z$495&lt;=3)*('CONTROL MASTER'!$AB$2:$AB$495&gt;=3)*('CONTROL MASTER'!$AA$2:$AA$495&lt;=1)*('CONTROL MASTER'!$AC$2:$AC$495&gt;=1))*ROW('CONTROL MASTER'!$S$2:$S$495))-(ROW('CONTROL MASTER'!#REF!)-1))),"")),"")</f>
        <v/>
      </c>
      <c r="C61" s="10" t="str">
        <f>IFERROR(IF(SUMPRODUCT((('CONTROL MASTER'!$S$2:$S$495=5)*('CONTROL MASTER'!$T$2:$T$495&lt;=3)*('CONTROL MASTER'!$V$2:$V$495&gt;=3)*('CONTROL MASTER'!$U$2:$U$495&lt;=2)*('CONTROL MASTER'!$W$2:$W$495&gt;=2))*ROW('CONTROL MASTER'!$S$2:$S$495))&gt;0,INDEX('CONTROL MASTER'!$X$2:$X$495,(SUMPRODUCT((('CONTROL MASTER'!$S$2:$S$495=5)*('CONTROL MASTER'!$T$2:$T$495&lt;=3)*('CONTROL MASTER'!$V$2:$V$495&gt;=3)*('CONTROL MASTER'!$U$2:$U$495&lt;=2)*('CONTROL MASTER'!$W$2:$W$495&gt;=2))*ROW('CONTROL MASTER'!$S$2:$S$495))-(ROW('CONTROL MASTER'!#REF!)-1)))&amp;TRIM(MID(SUBSTITUTE(SUBSTITUTE(INDEX('CONTROL MASTER'!$N$2:$N$495,(SUMPRODUCT((('CONTROL MASTER'!$S$2:$S$495=5)*('CONTROL MASTER'!$T$2:$T$495&lt;=3)*('CONTROL MASTER'!$V$2:$V$495&gt;=3)*('CONTROL MASTER'!$U$2:$U$495&lt;=2)*('CONTROL MASTER'!$W$2:$W$495&gt;=2))*ROW('CONTROL MASTER'!$S$2:$S$495))-(ROW('CONTROL MASTER'!#REF!)-1))),":",","),",",REPT(" ",50)),((((3-INDEX('CONTROL MASTER'!$T$2:$T$495,(SUMPRODUCT((('CONTROL MASTER'!$S$2:$S$495=5)*('CONTROL MASTER'!$T$2:$T$495&lt;=3)*('CONTROL MASTER'!$V$2:$V$495&gt;=3)*('CONTROL MASTER'!$U$2:$U$495&lt;=2)*('CONTROL MASTER'!$W$2:$W$495&gt;=2))*ROW('CONTROL MASTER'!$S$2:$S$495))-(ROW('CONTROL MASTER'!#REF!)-1))))*(INDEX('CONTROL MASTER'!$W$2:$W$495,(SUMPRODUCT((('CONTROL MASTER'!$S$2:$S$495=5)*('CONTROL MASTER'!$T$2:$T$495&lt;=3)*('CONTROL MASTER'!$V$2:$V$495&gt;=3)*('CONTROL MASTER'!$U$2:$U$495&lt;=2)*('CONTROL MASTER'!$W$2:$W$495&gt;=2))*ROW('CONTROL MASTER'!$S$2:$S$495))-(ROW('CONTROL MASTER'!#REF!)-1)))-INDEX('CONTROL MASTER'!$U$2:$U$495,(SUMPRODUCT((('CONTROL MASTER'!$S$2:$S$495=5)*('CONTROL MASTER'!$T$2:$T$495&lt;=3)*('CONTROL MASTER'!$V$2:$V$495&gt;=3)*('CONTROL MASTER'!$U$2:$U$495&lt;=2)*('CONTROL MASTER'!$W$2:$W$495&gt;=2))*ROW('CONTROL MASTER'!$S$2:$S$495))-(ROW('CONTROL MASTER'!#REF!)-1)))+1)+(2-INDEX('CONTROL MASTER'!$U$2:$U$495,(SUMPRODUCT((('CONTROL MASTER'!$S$2:$S$495=5)*('CONTROL MASTER'!$T$2:$T$495&lt;=3)*('CONTROL MASTER'!$V$2:$V$495&gt;=3)*('CONTROL MASTER'!$U$2:$U$495&lt;=2)*('CONTROL MASTER'!$W$2:$W$495&gt;=2))*ROW('CONTROL MASTER'!$S$2:$S$495))-(ROW('CONTROL MASTER'!#REF!)-1))))+1))-1)*50+1,50))&amp;"_"&amp;INDEX('CONTROL MASTER'!$P$2:$P$495,(SUMPRODUCT((('CONTROL MASTER'!$S$2:$S$495=5)*('CONTROL MASTER'!$T$2:$T$495&lt;=3)*('CONTROL MASTER'!$V$2:$V$495&gt;=3)*('CONTROL MASTER'!$U$2:$U$495&lt;=2)*('CONTROL MASTER'!$W$2:$W$495&gt;=2))*ROW('CONTROL MASTER'!$S$2:$S$495))-(ROW('CONTROL MASTER'!#REF!)-1))),IF(SUMPRODUCT((('CONTROL MASTER'!$S$2:$S$495=5)*('CONTROL MASTER'!$Z$2:$Z$495&lt;=3)*('CONTROL MASTER'!$AB$2:$AB$495&gt;=3)*('CONTROL MASTER'!$AA$2:$AA$495&lt;=2)*('CONTROL MASTER'!$AC$2:$AC$495&gt;=2))*ROW('CONTROL MASTER'!$S$2:$S$495))&gt;0,INDEX('CONTROL MASTER'!$X$2:$X$495,(SUMPRODUCT((('CONTROL MASTER'!$S$2:$S$495=5)*('CONTROL MASTER'!$Z$2:$Z$495&lt;=3)*('CONTROL MASTER'!$AB$2:$AB$495&gt;=3)*('CONTROL MASTER'!$AA$2:$AA$495&lt;=2)*('CONTROL MASTER'!$AC$2:$AC$495&gt;=2))*ROW('CONTROL MASTER'!$S$2:$S$495))-(ROW('CONTROL MASTER'!#REF!)-1)))&amp;TRIM(MID(SUBSTITUTE(SUBSTITUTE(INDEX('CONTROL MASTER'!$N$2:$N$495,(SUMPRODUCT((('CONTROL MASTER'!$S$2:$S$495=5)*('CONTROL MASTER'!$Z$2:$Z$495&lt;=3)*('CONTROL MASTER'!$AB$2:$AB$495&gt;=3)*('CONTROL MASTER'!$AA$2:$AA$495&lt;=2)*('CONTROL MASTER'!$AC$2:$AC$495&gt;=2))*ROW('CONTROL MASTER'!$S$2:$S$495))-(ROW('CONTROL MASTER'!#REF!)-1))),":",","),",",REPT(" ",50)),(((INDEX('CONTROL MASTER'!$Y$2:$Y$495,(SUMPRODUCT((('CONTROL MASTER'!$S$2:$S$495=5)*('CONTROL MASTER'!$Z$2:$Z$495&lt;=3)*('CONTROL MASTER'!$AB$2:$AB$495&gt;=3)*('CONTROL MASTER'!$AA$2:$AA$495&lt;=2)*('CONTROL MASTER'!$AC$2:$AC$495&gt;=2))*ROW('CONTROL MASTER'!$S$2:$S$495))-(ROW('CONTROL MASTER'!#REF!)-1)))+((3-INDEX('CONTROL MASTER'!$Z$2:$Z$495,(SUMPRODUCT((('CONTROL MASTER'!$S$2:$S$495=5)*('CONTROL MASTER'!$Z$2:$Z$495&lt;=3)*('CONTROL MASTER'!$AB$2:$AB$495&gt;=3)*('CONTROL MASTER'!$AA$2:$AA$495&lt;=2)*('CONTROL MASTER'!$AC$2:$AC$495&gt;=2))*ROW('CONTROL MASTER'!$S$2:$S$495))-(ROW('CONTROL MASTER'!#REF!)-1))))*(INDEX('CONTROL MASTER'!$AC$2:$AC$495,(SUMPRODUCT((('CONTROL MASTER'!$S$2:$S$495=5)*('CONTROL MASTER'!$Z$2:$Z$495&lt;=3)*('CONTROL MASTER'!$AB$2:$AB$495&gt;=3)*('CONTROL MASTER'!$AA$2:$AA$495&lt;=2)*('CONTROL MASTER'!$AC$2:$AC$495&gt;=2))*ROW('CONTROL MASTER'!$S$2:$S$495))-(ROW('CONTROL MASTER'!#REF!)-1)))-INDEX('CONTROL MASTER'!$AA$2:$AA$495,(SUMPRODUCT((('CONTROL MASTER'!$S$2:$S$495=5)*('CONTROL MASTER'!$Z$2:$Z$495&lt;=3)*('CONTROL MASTER'!$AB$2:$AB$495&gt;=3)*('CONTROL MASTER'!$AA$2:$AA$495&lt;=2)*('CONTROL MASTER'!$AC$2:$AC$495&gt;=2))*ROW('CONTROL MASTER'!$S$2:$S$495))-(ROW('CONTROL MASTER'!#REF!)-1)))+1)+(2-INDEX('CONTROL MASTER'!$AA$2:$AA$495,(SUMPRODUCT((('CONTROL MASTER'!$S$2:$S$495=5)*('CONTROL MASTER'!$Z$2:$Z$495&lt;=3)*('CONTROL MASTER'!$AB$2:$AB$495&gt;=3)*('CONTROL MASTER'!$AA$2:$AA$495&lt;=2)*('CONTROL MASTER'!$AC$2:$AC$495&gt;=2))*ROW('CONTROL MASTER'!$S$2:$S$495))-(ROW('CONTROL MASTER'!#REF!)-1))))+1)))-1)*50+1,50))&amp;"_"&amp;INDEX('CONTROL MASTER'!$P$2:$P$495,(SUMPRODUCT((('CONTROL MASTER'!$S$2:$S$495=5)*('CONTROL MASTER'!$Z$2:$Z$495&lt;=3)*('CONTROL MASTER'!$AB$2:$AB$495&gt;=3)*('CONTROL MASTER'!$AA$2:$AA$495&lt;=2)*('CONTROL MASTER'!$AC$2:$AC$495&gt;=2))*ROW('CONTROL MASTER'!$S$2:$S$495))-(ROW('CONTROL MASTER'!#REF!)-1))),"")),"")</f>
        <v/>
      </c>
      <c r="D61" s="10" t="str">
        <f>IFERROR(IF(SUMPRODUCT((('CONTROL MASTER'!$S$2:$S$495=5)*('CONTROL MASTER'!$T$2:$T$495&lt;=3)*('CONTROL MASTER'!$V$2:$V$495&gt;=3)*('CONTROL MASTER'!$U$2:$U$495&lt;=3)*('CONTROL MASTER'!$W$2:$W$495&gt;=3))*ROW('CONTROL MASTER'!$S$2:$S$495))&gt;0,INDEX('CONTROL MASTER'!$X$2:$X$495,(SUMPRODUCT((('CONTROL MASTER'!$S$2:$S$495=5)*('CONTROL MASTER'!$T$2:$T$495&lt;=3)*('CONTROL MASTER'!$V$2:$V$495&gt;=3)*('CONTROL MASTER'!$U$2:$U$495&lt;=3)*('CONTROL MASTER'!$W$2:$W$495&gt;=3))*ROW('CONTROL MASTER'!$S$2:$S$495))-(ROW('CONTROL MASTER'!#REF!)-1)))&amp;TRIM(MID(SUBSTITUTE(SUBSTITUTE(INDEX('CONTROL MASTER'!$N$2:$N$495,(SUMPRODUCT((('CONTROL MASTER'!$S$2:$S$495=5)*('CONTROL MASTER'!$T$2:$T$495&lt;=3)*('CONTROL MASTER'!$V$2:$V$495&gt;=3)*('CONTROL MASTER'!$U$2:$U$495&lt;=3)*('CONTROL MASTER'!$W$2:$W$495&gt;=3))*ROW('CONTROL MASTER'!$S$2:$S$495))-(ROW('CONTROL MASTER'!#REF!)-1))),":",","),",",REPT(" ",50)),((((3-INDEX('CONTROL MASTER'!$T$2:$T$495,(SUMPRODUCT((('CONTROL MASTER'!$S$2:$S$495=5)*('CONTROL MASTER'!$T$2:$T$495&lt;=3)*('CONTROL MASTER'!$V$2:$V$495&gt;=3)*('CONTROL MASTER'!$U$2:$U$495&lt;=3)*('CONTROL MASTER'!$W$2:$W$495&gt;=3))*ROW('CONTROL MASTER'!$S$2:$S$495))-(ROW('CONTROL MASTER'!#REF!)-1))))*(INDEX('CONTROL MASTER'!$W$2:$W$495,(SUMPRODUCT((('CONTROL MASTER'!$S$2:$S$495=5)*('CONTROL MASTER'!$T$2:$T$495&lt;=3)*('CONTROL MASTER'!$V$2:$V$495&gt;=3)*('CONTROL MASTER'!$U$2:$U$495&lt;=3)*('CONTROL MASTER'!$W$2:$W$495&gt;=3))*ROW('CONTROL MASTER'!$S$2:$S$495))-(ROW('CONTROL MASTER'!#REF!)-1)))-INDEX('CONTROL MASTER'!$U$2:$U$495,(SUMPRODUCT((('CONTROL MASTER'!$S$2:$S$495=5)*('CONTROL MASTER'!$T$2:$T$495&lt;=3)*('CONTROL MASTER'!$V$2:$V$495&gt;=3)*('CONTROL MASTER'!$U$2:$U$495&lt;=3)*('CONTROL MASTER'!$W$2:$W$495&gt;=3))*ROW('CONTROL MASTER'!$S$2:$S$495))-(ROW('CONTROL MASTER'!#REF!)-1)))+1)+(3-INDEX('CONTROL MASTER'!$U$2:$U$495,(SUMPRODUCT((('CONTROL MASTER'!$S$2:$S$495=5)*('CONTROL MASTER'!$T$2:$T$495&lt;=3)*('CONTROL MASTER'!$V$2:$V$495&gt;=3)*('CONTROL MASTER'!$U$2:$U$495&lt;=3)*('CONTROL MASTER'!$W$2:$W$495&gt;=3))*ROW('CONTROL MASTER'!$S$2:$S$495))-(ROW('CONTROL MASTER'!#REF!)-1))))+1))-1)*50+1,50))&amp;"_"&amp;INDEX('CONTROL MASTER'!$P$2:$P$495,(SUMPRODUCT((('CONTROL MASTER'!$S$2:$S$495=5)*('CONTROL MASTER'!$T$2:$T$495&lt;=3)*('CONTROL MASTER'!$V$2:$V$495&gt;=3)*('CONTROL MASTER'!$U$2:$U$495&lt;=3)*('CONTROL MASTER'!$W$2:$W$495&gt;=3))*ROW('CONTROL MASTER'!$S$2:$S$495))-(ROW('CONTROL MASTER'!#REF!)-1))),IF(SUMPRODUCT((('CONTROL MASTER'!$S$2:$S$495=5)*('CONTROL MASTER'!$Z$2:$Z$495&lt;=3)*('CONTROL MASTER'!$AB$2:$AB$495&gt;=3)*('CONTROL MASTER'!$AA$2:$AA$495&lt;=3)*('CONTROL MASTER'!$AC$2:$AC$495&gt;=3))*ROW('CONTROL MASTER'!$S$2:$S$495))&gt;0,INDEX('CONTROL MASTER'!$X$2:$X$495,(SUMPRODUCT((('CONTROL MASTER'!$S$2:$S$495=5)*('CONTROL MASTER'!$Z$2:$Z$495&lt;=3)*('CONTROL MASTER'!$AB$2:$AB$495&gt;=3)*('CONTROL MASTER'!$AA$2:$AA$495&lt;=3)*('CONTROL MASTER'!$AC$2:$AC$495&gt;=3))*ROW('CONTROL MASTER'!$S$2:$S$495))-(ROW('CONTROL MASTER'!#REF!)-1)))&amp;TRIM(MID(SUBSTITUTE(SUBSTITUTE(INDEX('CONTROL MASTER'!$N$2:$N$495,(SUMPRODUCT((('CONTROL MASTER'!$S$2:$S$495=5)*('CONTROL MASTER'!$Z$2:$Z$495&lt;=3)*('CONTROL MASTER'!$AB$2:$AB$495&gt;=3)*('CONTROL MASTER'!$AA$2:$AA$495&lt;=3)*('CONTROL MASTER'!$AC$2:$AC$495&gt;=3))*ROW('CONTROL MASTER'!$S$2:$S$495))-(ROW('CONTROL MASTER'!#REF!)-1))),":",","),",",REPT(" ",50)),(((INDEX('CONTROL MASTER'!$Y$2:$Y$495,(SUMPRODUCT((('CONTROL MASTER'!$S$2:$S$495=5)*('CONTROL MASTER'!$Z$2:$Z$495&lt;=3)*('CONTROL MASTER'!$AB$2:$AB$495&gt;=3)*('CONTROL MASTER'!$AA$2:$AA$495&lt;=3)*('CONTROL MASTER'!$AC$2:$AC$495&gt;=3))*ROW('CONTROL MASTER'!$S$2:$S$495))-(ROW('CONTROL MASTER'!#REF!)-1)))+((3-INDEX('CONTROL MASTER'!$Z$2:$Z$495,(SUMPRODUCT((('CONTROL MASTER'!$S$2:$S$495=5)*('CONTROL MASTER'!$Z$2:$Z$495&lt;=3)*('CONTROL MASTER'!$AB$2:$AB$495&gt;=3)*('CONTROL MASTER'!$AA$2:$AA$495&lt;=3)*('CONTROL MASTER'!$AC$2:$AC$495&gt;=3))*ROW('CONTROL MASTER'!$S$2:$S$495))-(ROW('CONTROL MASTER'!#REF!)-1))))*(INDEX('CONTROL MASTER'!$AC$2:$AC$495,(SUMPRODUCT((('CONTROL MASTER'!$S$2:$S$495=5)*('CONTROL MASTER'!$Z$2:$Z$495&lt;=3)*('CONTROL MASTER'!$AB$2:$AB$495&gt;=3)*('CONTROL MASTER'!$AA$2:$AA$495&lt;=3)*('CONTROL MASTER'!$AC$2:$AC$495&gt;=3))*ROW('CONTROL MASTER'!$S$2:$S$495))-(ROW('CONTROL MASTER'!#REF!)-1)))-INDEX('CONTROL MASTER'!$AA$2:$AA$495,(SUMPRODUCT((('CONTROL MASTER'!$S$2:$S$495=5)*('CONTROL MASTER'!$Z$2:$Z$495&lt;=3)*('CONTROL MASTER'!$AB$2:$AB$495&gt;=3)*('CONTROL MASTER'!$AA$2:$AA$495&lt;=3)*('CONTROL MASTER'!$AC$2:$AC$495&gt;=3))*ROW('CONTROL MASTER'!$S$2:$S$495))-(ROW('CONTROL MASTER'!#REF!)-1)))+1)+(3-INDEX('CONTROL MASTER'!$AA$2:$AA$495,(SUMPRODUCT((('CONTROL MASTER'!$S$2:$S$495=5)*('CONTROL MASTER'!$Z$2:$Z$495&lt;=3)*('CONTROL MASTER'!$AB$2:$AB$495&gt;=3)*('CONTROL MASTER'!$AA$2:$AA$495&lt;=3)*('CONTROL MASTER'!$AC$2:$AC$495&gt;=3))*ROW('CONTROL MASTER'!$S$2:$S$495))-(ROW('CONTROL MASTER'!#REF!)-1))))+1)))-1)*50+1,50))&amp;"_"&amp;INDEX('CONTROL MASTER'!$P$2:$P$495,(SUMPRODUCT((('CONTROL MASTER'!$S$2:$S$495=5)*('CONTROL MASTER'!$Z$2:$Z$495&lt;=3)*('CONTROL MASTER'!$AB$2:$AB$495&gt;=3)*('CONTROL MASTER'!$AA$2:$AA$495&lt;=3)*('CONTROL MASTER'!$AC$2:$AC$495&gt;=3))*ROW('CONTROL MASTER'!$S$2:$S$495))-(ROW('CONTROL MASTER'!#REF!)-1))),"")),"")</f>
        <v/>
      </c>
      <c r="E61" s="10" t="str">
        <f>IFERROR(IF(SUMPRODUCT((('CONTROL MASTER'!$S$2:$S$495=5)*('CONTROL MASTER'!$T$2:$T$495&lt;=3)*('CONTROL MASTER'!$V$2:$V$495&gt;=3)*('CONTROL MASTER'!$U$2:$U$495&lt;=4)*('CONTROL MASTER'!$W$2:$W$495&gt;=4))*ROW('CONTROL MASTER'!$S$2:$S$495))&gt;0,INDEX('CONTROL MASTER'!$X$2:$X$495,(SUMPRODUCT((('CONTROL MASTER'!$S$2:$S$495=5)*('CONTROL MASTER'!$T$2:$T$495&lt;=3)*('CONTROL MASTER'!$V$2:$V$495&gt;=3)*('CONTROL MASTER'!$U$2:$U$495&lt;=4)*('CONTROL MASTER'!$W$2:$W$495&gt;=4))*ROW('CONTROL MASTER'!$S$2:$S$495))-(ROW('CONTROL MASTER'!#REF!)-1)))&amp;TRIM(MID(SUBSTITUTE(SUBSTITUTE(INDEX('CONTROL MASTER'!$N$2:$N$495,(SUMPRODUCT((('CONTROL MASTER'!$S$2:$S$495=5)*('CONTROL MASTER'!$T$2:$T$495&lt;=3)*('CONTROL MASTER'!$V$2:$V$495&gt;=3)*('CONTROL MASTER'!$U$2:$U$495&lt;=4)*('CONTROL MASTER'!$W$2:$W$495&gt;=4))*ROW('CONTROL MASTER'!$S$2:$S$495))-(ROW('CONTROL MASTER'!#REF!)-1))),":",","),",",REPT(" ",50)),((((3-INDEX('CONTROL MASTER'!$T$2:$T$495,(SUMPRODUCT((('CONTROL MASTER'!$S$2:$S$495=5)*('CONTROL MASTER'!$T$2:$T$495&lt;=3)*('CONTROL MASTER'!$V$2:$V$495&gt;=3)*('CONTROL MASTER'!$U$2:$U$495&lt;=4)*('CONTROL MASTER'!$W$2:$W$495&gt;=4))*ROW('CONTROL MASTER'!$S$2:$S$495))-(ROW('CONTROL MASTER'!#REF!)-1))))*(INDEX('CONTROL MASTER'!$W$2:$W$495,(SUMPRODUCT((('CONTROL MASTER'!$S$2:$S$495=5)*('CONTROL MASTER'!$T$2:$T$495&lt;=3)*('CONTROL MASTER'!$V$2:$V$495&gt;=3)*('CONTROL MASTER'!$U$2:$U$495&lt;=4)*('CONTROL MASTER'!$W$2:$W$495&gt;=4))*ROW('CONTROL MASTER'!$S$2:$S$495))-(ROW('CONTROL MASTER'!#REF!)-1)))-INDEX('CONTROL MASTER'!$U$2:$U$495,(SUMPRODUCT((('CONTROL MASTER'!$S$2:$S$495=5)*('CONTROL MASTER'!$T$2:$T$495&lt;=3)*('CONTROL MASTER'!$V$2:$V$495&gt;=3)*('CONTROL MASTER'!$U$2:$U$495&lt;=4)*('CONTROL MASTER'!$W$2:$W$495&gt;=4))*ROW('CONTROL MASTER'!$S$2:$S$495))-(ROW('CONTROL MASTER'!#REF!)-1)))+1)+(4-INDEX('CONTROL MASTER'!$U$2:$U$495,(SUMPRODUCT((('CONTROL MASTER'!$S$2:$S$495=5)*('CONTROL MASTER'!$T$2:$T$495&lt;=3)*('CONTROL MASTER'!$V$2:$V$495&gt;=3)*('CONTROL MASTER'!$U$2:$U$495&lt;=4)*('CONTROL MASTER'!$W$2:$W$495&gt;=4))*ROW('CONTROL MASTER'!$S$2:$S$495))-(ROW('CONTROL MASTER'!#REF!)-1))))+1))-1)*50+1,50))&amp;"_"&amp;INDEX('CONTROL MASTER'!$P$2:$P$495,(SUMPRODUCT((('CONTROL MASTER'!$S$2:$S$495=5)*('CONTROL MASTER'!$T$2:$T$495&lt;=3)*('CONTROL MASTER'!$V$2:$V$495&gt;=3)*('CONTROL MASTER'!$U$2:$U$495&lt;=4)*('CONTROL MASTER'!$W$2:$W$495&gt;=4))*ROW('CONTROL MASTER'!$S$2:$S$495))-(ROW('CONTROL MASTER'!#REF!)-1))),IF(SUMPRODUCT((('CONTROL MASTER'!$S$2:$S$495=5)*('CONTROL MASTER'!$Z$2:$Z$495&lt;=3)*('CONTROL MASTER'!$AB$2:$AB$495&gt;=3)*('CONTROL MASTER'!$AA$2:$AA$495&lt;=4)*('CONTROL MASTER'!$AC$2:$AC$495&gt;=4))*ROW('CONTROL MASTER'!$S$2:$S$495))&gt;0,INDEX('CONTROL MASTER'!$X$2:$X$495,(SUMPRODUCT((('CONTROL MASTER'!$S$2:$S$495=5)*('CONTROL MASTER'!$Z$2:$Z$495&lt;=3)*('CONTROL MASTER'!$AB$2:$AB$495&gt;=3)*('CONTROL MASTER'!$AA$2:$AA$495&lt;=4)*('CONTROL MASTER'!$AC$2:$AC$495&gt;=4))*ROW('CONTROL MASTER'!$S$2:$S$495))-(ROW('CONTROL MASTER'!#REF!)-1)))&amp;TRIM(MID(SUBSTITUTE(SUBSTITUTE(INDEX('CONTROL MASTER'!$N$2:$N$495,(SUMPRODUCT((('CONTROL MASTER'!$S$2:$S$495=5)*('CONTROL MASTER'!$Z$2:$Z$495&lt;=3)*('CONTROL MASTER'!$AB$2:$AB$495&gt;=3)*('CONTROL MASTER'!$AA$2:$AA$495&lt;=4)*('CONTROL MASTER'!$AC$2:$AC$495&gt;=4))*ROW('CONTROL MASTER'!$S$2:$S$495))-(ROW('CONTROL MASTER'!#REF!)-1))),":",","),",",REPT(" ",50)),(((INDEX('CONTROL MASTER'!$Y$2:$Y$495,(SUMPRODUCT((('CONTROL MASTER'!$S$2:$S$495=5)*('CONTROL MASTER'!$Z$2:$Z$495&lt;=3)*('CONTROL MASTER'!$AB$2:$AB$495&gt;=3)*('CONTROL MASTER'!$AA$2:$AA$495&lt;=4)*('CONTROL MASTER'!$AC$2:$AC$495&gt;=4))*ROW('CONTROL MASTER'!$S$2:$S$495))-(ROW('CONTROL MASTER'!#REF!)-1)))+((3-INDEX('CONTROL MASTER'!$Z$2:$Z$495,(SUMPRODUCT((('CONTROL MASTER'!$S$2:$S$495=5)*('CONTROL MASTER'!$Z$2:$Z$495&lt;=3)*('CONTROL MASTER'!$AB$2:$AB$495&gt;=3)*('CONTROL MASTER'!$AA$2:$AA$495&lt;=4)*('CONTROL MASTER'!$AC$2:$AC$495&gt;=4))*ROW('CONTROL MASTER'!$S$2:$S$495))-(ROW('CONTROL MASTER'!#REF!)-1))))*(INDEX('CONTROL MASTER'!$AC$2:$AC$495,(SUMPRODUCT((('CONTROL MASTER'!$S$2:$S$495=5)*('CONTROL MASTER'!$Z$2:$Z$495&lt;=3)*('CONTROL MASTER'!$AB$2:$AB$495&gt;=3)*('CONTROL MASTER'!$AA$2:$AA$495&lt;=4)*('CONTROL MASTER'!$AC$2:$AC$495&gt;=4))*ROW('CONTROL MASTER'!$S$2:$S$495))-(ROW('CONTROL MASTER'!#REF!)-1)))-INDEX('CONTROL MASTER'!$AA$2:$AA$495,(SUMPRODUCT((('CONTROL MASTER'!$S$2:$S$495=5)*('CONTROL MASTER'!$Z$2:$Z$495&lt;=3)*('CONTROL MASTER'!$AB$2:$AB$495&gt;=3)*('CONTROL MASTER'!$AA$2:$AA$495&lt;=4)*('CONTROL MASTER'!$AC$2:$AC$495&gt;=4))*ROW('CONTROL MASTER'!$S$2:$S$495))-(ROW('CONTROL MASTER'!#REF!)-1)))+1)+(4-INDEX('CONTROL MASTER'!$AA$2:$AA$495,(SUMPRODUCT((('CONTROL MASTER'!$S$2:$S$495=5)*('CONTROL MASTER'!$Z$2:$Z$495&lt;=3)*('CONTROL MASTER'!$AB$2:$AB$495&gt;=3)*('CONTROL MASTER'!$AA$2:$AA$495&lt;=4)*('CONTROL MASTER'!$AC$2:$AC$495&gt;=4))*ROW('CONTROL MASTER'!$S$2:$S$495))-(ROW('CONTROL MASTER'!#REF!)-1))))+1)))-1)*50+1,50))&amp;"_"&amp;INDEX('CONTROL MASTER'!$P$2:$P$495,(SUMPRODUCT((('CONTROL MASTER'!$S$2:$S$495=5)*('CONTROL MASTER'!$Z$2:$Z$495&lt;=3)*('CONTROL MASTER'!$AB$2:$AB$495&gt;=3)*('CONTROL MASTER'!$AA$2:$AA$495&lt;=4)*('CONTROL MASTER'!$AC$2:$AC$495&gt;=4))*ROW('CONTROL MASTER'!$S$2:$S$495))-(ROW('CONTROL MASTER'!#REF!)-1))),"")),"")</f>
        <v/>
      </c>
      <c r="F61" s="10" t="str">
        <f>IFERROR(IF(SUMPRODUCT((('CONTROL MASTER'!$S$2:$S$495=5)*('CONTROL MASTER'!$T$2:$T$495&lt;=3)*('CONTROL MASTER'!$V$2:$V$495&gt;=3)*('CONTROL MASTER'!$U$2:$U$495&lt;=5)*('CONTROL MASTER'!$W$2:$W$495&gt;=5))*ROW('CONTROL MASTER'!$S$2:$S$495))&gt;0,INDEX('CONTROL MASTER'!$X$2:$X$495,(SUMPRODUCT((('CONTROL MASTER'!$S$2:$S$495=5)*('CONTROL MASTER'!$T$2:$T$495&lt;=3)*('CONTROL MASTER'!$V$2:$V$495&gt;=3)*('CONTROL MASTER'!$U$2:$U$495&lt;=5)*('CONTROL MASTER'!$W$2:$W$495&gt;=5))*ROW('CONTROL MASTER'!$S$2:$S$495))-(ROW('CONTROL MASTER'!#REF!)-1)))&amp;TRIM(MID(SUBSTITUTE(SUBSTITUTE(INDEX('CONTROL MASTER'!$N$2:$N$495,(SUMPRODUCT((('CONTROL MASTER'!$S$2:$S$495=5)*('CONTROL MASTER'!$T$2:$T$495&lt;=3)*('CONTROL MASTER'!$V$2:$V$495&gt;=3)*('CONTROL MASTER'!$U$2:$U$495&lt;=5)*('CONTROL MASTER'!$W$2:$W$495&gt;=5))*ROW('CONTROL MASTER'!$S$2:$S$495))-(ROW('CONTROL MASTER'!#REF!)-1))),":",","),",",REPT(" ",50)),((((3-INDEX('CONTROL MASTER'!$T$2:$T$495,(SUMPRODUCT((('CONTROL MASTER'!$S$2:$S$495=5)*('CONTROL MASTER'!$T$2:$T$495&lt;=3)*('CONTROL MASTER'!$V$2:$V$495&gt;=3)*('CONTROL MASTER'!$U$2:$U$495&lt;=5)*('CONTROL MASTER'!$W$2:$W$495&gt;=5))*ROW('CONTROL MASTER'!$S$2:$S$495))-(ROW('CONTROL MASTER'!#REF!)-1))))*(INDEX('CONTROL MASTER'!$W$2:$W$495,(SUMPRODUCT((('CONTROL MASTER'!$S$2:$S$495=5)*('CONTROL MASTER'!$T$2:$T$495&lt;=3)*('CONTROL MASTER'!$V$2:$V$495&gt;=3)*('CONTROL MASTER'!$U$2:$U$495&lt;=5)*('CONTROL MASTER'!$W$2:$W$495&gt;=5))*ROW('CONTROL MASTER'!$S$2:$S$495))-(ROW('CONTROL MASTER'!#REF!)-1)))-INDEX('CONTROL MASTER'!$U$2:$U$495,(SUMPRODUCT((('CONTROL MASTER'!$S$2:$S$495=5)*('CONTROL MASTER'!$T$2:$T$495&lt;=3)*('CONTROL MASTER'!$V$2:$V$495&gt;=3)*('CONTROL MASTER'!$U$2:$U$495&lt;=5)*('CONTROL MASTER'!$W$2:$W$495&gt;=5))*ROW('CONTROL MASTER'!$S$2:$S$495))-(ROW('CONTROL MASTER'!#REF!)-1)))+1)+(5-INDEX('CONTROL MASTER'!$U$2:$U$495,(SUMPRODUCT((('CONTROL MASTER'!$S$2:$S$495=5)*('CONTROL MASTER'!$T$2:$T$495&lt;=3)*('CONTROL MASTER'!$V$2:$V$495&gt;=3)*('CONTROL MASTER'!$U$2:$U$495&lt;=5)*('CONTROL MASTER'!$W$2:$W$495&gt;=5))*ROW('CONTROL MASTER'!$S$2:$S$495))-(ROW('CONTROL MASTER'!#REF!)-1))))+1))-1)*50+1,50))&amp;"_"&amp;INDEX('CONTROL MASTER'!$P$2:$P$495,(SUMPRODUCT((('CONTROL MASTER'!$S$2:$S$495=5)*('CONTROL MASTER'!$T$2:$T$495&lt;=3)*('CONTROL MASTER'!$V$2:$V$495&gt;=3)*('CONTROL MASTER'!$U$2:$U$495&lt;=5)*('CONTROL MASTER'!$W$2:$W$495&gt;=5))*ROW('CONTROL MASTER'!$S$2:$S$495))-(ROW('CONTROL MASTER'!#REF!)-1))),IF(SUMPRODUCT((('CONTROL MASTER'!$S$2:$S$495=5)*('CONTROL MASTER'!$Z$2:$Z$495&lt;=3)*('CONTROL MASTER'!$AB$2:$AB$495&gt;=3)*('CONTROL MASTER'!$AA$2:$AA$495&lt;=5)*('CONTROL MASTER'!$AC$2:$AC$495&gt;=5))*ROW('CONTROL MASTER'!$S$2:$S$495))&gt;0,INDEX('CONTROL MASTER'!$X$2:$X$495,(SUMPRODUCT((('CONTROL MASTER'!$S$2:$S$495=5)*('CONTROL MASTER'!$Z$2:$Z$495&lt;=3)*('CONTROL MASTER'!$AB$2:$AB$495&gt;=3)*('CONTROL MASTER'!$AA$2:$AA$495&lt;=5)*('CONTROL MASTER'!$AC$2:$AC$495&gt;=5))*ROW('CONTROL MASTER'!$S$2:$S$495))-(ROW('CONTROL MASTER'!#REF!)-1)))&amp;TRIM(MID(SUBSTITUTE(SUBSTITUTE(INDEX('CONTROL MASTER'!$N$2:$N$495,(SUMPRODUCT((('CONTROL MASTER'!$S$2:$S$495=5)*('CONTROL MASTER'!$Z$2:$Z$495&lt;=3)*('CONTROL MASTER'!$AB$2:$AB$495&gt;=3)*('CONTROL MASTER'!$AA$2:$AA$495&lt;=5)*('CONTROL MASTER'!$AC$2:$AC$495&gt;=5))*ROW('CONTROL MASTER'!$S$2:$S$495))-(ROW('CONTROL MASTER'!#REF!)-1))),":",","),",",REPT(" ",50)),(((INDEX('CONTROL MASTER'!$Y$2:$Y$495,(SUMPRODUCT((('CONTROL MASTER'!$S$2:$S$495=5)*('CONTROL MASTER'!$Z$2:$Z$495&lt;=3)*('CONTROL MASTER'!$AB$2:$AB$495&gt;=3)*('CONTROL MASTER'!$AA$2:$AA$495&lt;=5)*('CONTROL MASTER'!$AC$2:$AC$495&gt;=5))*ROW('CONTROL MASTER'!$S$2:$S$495))-(ROW('CONTROL MASTER'!#REF!)-1)))+((3-INDEX('CONTROL MASTER'!$Z$2:$Z$495,(SUMPRODUCT((('CONTROL MASTER'!$S$2:$S$495=5)*('CONTROL MASTER'!$Z$2:$Z$495&lt;=3)*('CONTROL MASTER'!$AB$2:$AB$495&gt;=3)*('CONTROL MASTER'!$AA$2:$AA$495&lt;=5)*('CONTROL MASTER'!$AC$2:$AC$495&gt;=5))*ROW('CONTROL MASTER'!$S$2:$S$495))-(ROW('CONTROL MASTER'!#REF!)-1))))*(INDEX('CONTROL MASTER'!$AC$2:$AC$495,(SUMPRODUCT((('CONTROL MASTER'!$S$2:$S$495=5)*('CONTROL MASTER'!$Z$2:$Z$495&lt;=3)*('CONTROL MASTER'!$AB$2:$AB$495&gt;=3)*('CONTROL MASTER'!$AA$2:$AA$495&lt;=5)*('CONTROL MASTER'!$AC$2:$AC$495&gt;=5))*ROW('CONTROL MASTER'!$S$2:$S$495))-(ROW('CONTROL MASTER'!#REF!)-1)))-INDEX('CONTROL MASTER'!$AA$2:$AA$495,(SUMPRODUCT((('CONTROL MASTER'!$S$2:$S$495=5)*('CONTROL MASTER'!$Z$2:$Z$495&lt;=3)*('CONTROL MASTER'!$AB$2:$AB$495&gt;=3)*('CONTROL MASTER'!$AA$2:$AA$495&lt;=5)*('CONTROL MASTER'!$AC$2:$AC$495&gt;=5))*ROW('CONTROL MASTER'!$S$2:$S$495))-(ROW('CONTROL MASTER'!#REF!)-1)))+1)+(5-INDEX('CONTROL MASTER'!$AA$2:$AA$495,(SUMPRODUCT((('CONTROL MASTER'!$S$2:$S$495=5)*('CONTROL MASTER'!$Z$2:$Z$495&lt;=3)*('CONTROL MASTER'!$AB$2:$AB$495&gt;=3)*('CONTROL MASTER'!$AA$2:$AA$495&lt;=5)*('CONTROL MASTER'!$AC$2:$AC$495&gt;=5))*ROW('CONTROL MASTER'!$S$2:$S$495))-(ROW('CONTROL MASTER'!#REF!)-1))))+1)))-1)*50+1,50))&amp;"_"&amp;INDEX('CONTROL MASTER'!$P$2:$P$495,(SUMPRODUCT((('CONTROL MASTER'!$S$2:$S$495=5)*('CONTROL MASTER'!$Z$2:$Z$495&lt;=3)*('CONTROL MASTER'!$AB$2:$AB$495&gt;=3)*('CONTROL MASTER'!$AA$2:$AA$495&lt;=5)*('CONTROL MASTER'!$AC$2:$AC$495&gt;=5))*ROW('CONTROL MASTER'!$S$2:$S$495))-(ROW('CONTROL MASTER'!#REF!)-1))),"")),"")</f>
        <v/>
      </c>
      <c r="G61" s="10" t="str">
        <f>IFERROR(IF(SUMPRODUCT((('CONTROL MASTER'!$S$2:$S$495=5)*('CONTROL MASTER'!$T$2:$T$495&lt;=3)*('CONTROL MASTER'!$V$2:$V$495&gt;=3)*('CONTROL MASTER'!$U$2:$U$495&lt;=6)*('CONTROL MASTER'!$W$2:$W$495&gt;=6))*ROW('CONTROL MASTER'!$S$2:$S$495))&gt;0,INDEX('CONTROL MASTER'!$X$2:$X$495,(SUMPRODUCT((('CONTROL MASTER'!$S$2:$S$495=5)*('CONTROL MASTER'!$T$2:$T$495&lt;=3)*('CONTROL MASTER'!$V$2:$V$495&gt;=3)*('CONTROL MASTER'!$U$2:$U$495&lt;=6)*('CONTROL MASTER'!$W$2:$W$495&gt;=6))*ROW('CONTROL MASTER'!$S$2:$S$495))-(ROW('CONTROL MASTER'!#REF!)-1)))&amp;TRIM(MID(SUBSTITUTE(SUBSTITUTE(INDEX('CONTROL MASTER'!$N$2:$N$495,(SUMPRODUCT((('CONTROL MASTER'!$S$2:$S$495=5)*('CONTROL MASTER'!$T$2:$T$495&lt;=3)*('CONTROL MASTER'!$V$2:$V$495&gt;=3)*('CONTROL MASTER'!$U$2:$U$495&lt;=6)*('CONTROL MASTER'!$W$2:$W$495&gt;=6))*ROW('CONTROL MASTER'!$S$2:$S$495))-(ROW('CONTROL MASTER'!#REF!)-1))),":",","),",",REPT(" ",50)),((((3-INDEX('CONTROL MASTER'!$T$2:$T$495,(SUMPRODUCT((('CONTROL MASTER'!$S$2:$S$495=5)*('CONTROL MASTER'!$T$2:$T$495&lt;=3)*('CONTROL MASTER'!$V$2:$V$495&gt;=3)*('CONTROL MASTER'!$U$2:$U$495&lt;=6)*('CONTROL MASTER'!$W$2:$W$495&gt;=6))*ROW('CONTROL MASTER'!$S$2:$S$495))-(ROW('CONTROL MASTER'!#REF!)-1))))*(INDEX('CONTROL MASTER'!$W$2:$W$495,(SUMPRODUCT((('CONTROL MASTER'!$S$2:$S$495=5)*('CONTROL MASTER'!$T$2:$T$495&lt;=3)*('CONTROL MASTER'!$V$2:$V$495&gt;=3)*('CONTROL MASTER'!$U$2:$U$495&lt;=6)*('CONTROL MASTER'!$W$2:$W$495&gt;=6))*ROW('CONTROL MASTER'!$S$2:$S$495))-(ROW('CONTROL MASTER'!#REF!)-1)))-INDEX('CONTROL MASTER'!$U$2:$U$495,(SUMPRODUCT((('CONTROL MASTER'!$S$2:$S$495=5)*('CONTROL MASTER'!$T$2:$T$495&lt;=3)*('CONTROL MASTER'!$V$2:$V$495&gt;=3)*('CONTROL MASTER'!$U$2:$U$495&lt;=6)*('CONTROL MASTER'!$W$2:$W$495&gt;=6))*ROW('CONTROL MASTER'!$S$2:$S$495))-(ROW('CONTROL MASTER'!#REF!)-1)))+1)+(6-INDEX('CONTROL MASTER'!$U$2:$U$495,(SUMPRODUCT((('CONTROL MASTER'!$S$2:$S$495=5)*('CONTROL MASTER'!$T$2:$T$495&lt;=3)*('CONTROL MASTER'!$V$2:$V$495&gt;=3)*('CONTROL MASTER'!$U$2:$U$495&lt;=6)*('CONTROL MASTER'!$W$2:$W$495&gt;=6))*ROW('CONTROL MASTER'!$S$2:$S$495))-(ROW('CONTROL MASTER'!#REF!)-1))))+1))-1)*50+1,50))&amp;"_"&amp;INDEX('CONTROL MASTER'!$P$2:$P$495,(SUMPRODUCT((('CONTROL MASTER'!$S$2:$S$495=5)*('CONTROL MASTER'!$T$2:$T$495&lt;=3)*('CONTROL MASTER'!$V$2:$V$495&gt;=3)*('CONTROL MASTER'!$U$2:$U$495&lt;=6)*('CONTROL MASTER'!$W$2:$W$495&gt;=6))*ROW('CONTROL MASTER'!$S$2:$S$495))-(ROW('CONTROL MASTER'!#REF!)-1))),IF(SUMPRODUCT((('CONTROL MASTER'!$S$2:$S$495=5)*('CONTROL MASTER'!$Z$2:$Z$495&lt;=3)*('CONTROL MASTER'!$AB$2:$AB$495&gt;=3)*('CONTROL MASTER'!$AA$2:$AA$495&lt;=6)*('CONTROL MASTER'!$AC$2:$AC$495&gt;=6))*ROW('CONTROL MASTER'!$S$2:$S$495))&gt;0,INDEX('CONTROL MASTER'!$X$2:$X$495,(SUMPRODUCT((('CONTROL MASTER'!$S$2:$S$495=5)*('CONTROL MASTER'!$Z$2:$Z$495&lt;=3)*('CONTROL MASTER'!$AB$2:$AB$495&gt;=3)*('CONTROL MASTER'!$AA$2:$AA$495&lt;=6)*('CONTROL MASTER'!$AC$2:$AC$495&gt;=6))*ROW('CONTROL MASTER'!$S$2:$S$495))-(ROW('CONTROL MASTER'!#REF!)-1)))&amp;TRIM(MID(SUBSTITUTE(SUBSTITUTE(INDEX('CONTROL MASTER'!$N$2:$N$495,(SUMPRODUCT((('CONTROL MASTER'!$S$2:$S$495=5)*('CONTROL MASTER'!$Z$2:$Z$495&lt;=3)*('CONTROL MASTER'!$AB$2:$AB$495&gt;=3)*('CONTROL MASTER'!$AA$2:$AA$495&lt;=6)*('CONTROL MASTER'!$AC$2:$AC$495&gt;=6))*ROW('CONTROL MASTER'!$S$2:$S$495))-(ROW('CONTROL MASTER'!#REF!)-1))),":",","),",",REPT(" ",50)),(((INDEX('CONTROL MASTER'!$Y$2:$Y$495,(SUMPRODUCT((('CONTROL MASTER'!$S$2:$S$495=5)*('CONTROL MASTER'!$Z$2:$Z$495&lt;=3)*('CONTROL MASTER'!$AB$2:$AB$495&gt;=3)*('CONTROL MASTER'!$AA$2:$AA$495&lt;=6)*('CONTROL MASTER'!$AC$2:$AC$495&gt;=6))*ROW('CONTROL MASTER'!$S$2:$S$495))-(ROW('CONTROL MASTER'!#REF!)-1)))+((3-INDEX('CONTROL MASTER'!$Z$2:$Z$495,(SUMPRODUCT((('CONTROL MASTER'!$S$2:$S$495=5)*('CONTROL MASTER'!$Z$2:$Z$495&lt;=3)*('CONTROL MASTER'!$AB$2:$AB$495&gt;=3)*('CONTROL MASTER'!$AA$2:$AA$495&lt;=6)*('CONTROL MASTER'!$AC$2:$AC$495&gt;=6))*ROW('CONTROL MASTER'!$S$2:$S$495))-(ROW('CONTROL MASTER'!#REF!)-1))))*(INDEX('CONTROL MASTER'!$AC$2:$AC$495,(SUMPRODUCT((('CONTROL MASTER'!$S$2:$S$495=5)*('CONTROL MASTER'!$Z$2:$Z$495&lt;=3)*('CONTROL MASTER'!$AB$2:$AB$495&gt;=3)*('CONTROL MASTER'!$AA$2:$AA$495&lt;=6)*('CONTROL MASTER'!$AC$2:$AC$495&gt;=6))*ROW('CONTROL MASTER'!$S$2:$S$495))-(ROW('CONTROL MASTER'!#REF!)-1)))-INDEX('CONTROL MASTER'!$AA$2:$AA$495,(SUMPRODUCT((('CONTROL MASTER'!$S$2:$S$495=5)*('CONTROL MASTER'!$Z$2:$Z$495&lt;=3)*('CONTROL MASTER'!$AB$2:$AB$495&gt;=3)*('CONTROL MASTER'!$AA$2:$AA$495&lt;=6)*('CONTROL MASTER'!$AC$2:$AC$495&gt;=6))*ROW('CONTROL MASTER'!$S$2:$S$495))-(ROW('CONTROL MASTER'!#REF!)-1)))+1)+(6-INDEX('CONTROL MASTER'!$AA$2:$AA$495,(SUMPRODUCT((('CONTROL MASTER'!$S$2:$S$495=5)*('CONTROL MASTER'!$Z$2:$Z$495&lt;=3)*('CONTROL MASTER'!$AB$2:$AB$495&gt;=3)*('CONTROL MASTER'!$AA$2:$AA$495&lt;=6)*('CONTROL MASTER'!$AC$2:$AC$495&gt;=6))*ROW('CONTROL MASTER'!$S$2:$S$495))-(ROW('CONTROL MASTER'!#REF!)-1))))+1)))-1)*50+1,50))&amp;"_"&amp;INDEX('CONTROL MASTER'!$P$2:$P$495,(SUMPRODUCT((('CONTROL MASTER'!$S$2:$S$495=5)*('CONTROL MASTER'!$Z$2:$Z$495&lt;=3)*('CONTROL MASTER'!$AB$2:$AB$495&gt;=3)*('CONTROL MASTER'!$AA$2:$AA$495&lt;=6)*('CONTROL MASTER'!$AC$2:$AC$495&gt;=6))*ROW('CONTROL MASTER'!$S$2:$S$495))-(ROW('CONTROL MASTER'!#REF!)-1))),"")),"")</f>
        <v/>
      </c>
      <c r="H61" s="10" t="str">
        <f>IFERROR(IF(SUMPRODUCT((('CONTROL MASTER'!$S$2:$S$495=5)*('CONTROL MASTER'!$T$2:$T$495&lt;=3)*('CONTROL MASTER'!$V$2:$V$495&gt;=3)*('CONTROL MASTER'!$U$2:$U$495&lt;=7)*('CONTROL MASTER'!$W$2:$W$495&gt;=7))*ROW('CONTROL MASTER'!$S$2:$S$495))&gt;0,INDEX('CONTROL MASTER'!$X$2:$X$495,(SUMPRODUCT((('CONTROL MASTER'!$S$2:$S$495=5)*('CONTROL MASTER'!$T$2:$T$495&lt;=3)*('CONTROL MASTER'!$V$2:$V$495&gt;=3)*('CONTROL MASTER'!$U$2:$U$495&lt;=7)*('CONTROL MASTER'!$W$2:$W$495&gt;=7))*ROW('CONTROL MASTER'!$S$2:$S$495))-(ROW('CONTROL MASTER'!#REF!)-1)))&amp;TRIM(MID(SUBSTITUTE(SUBSTITUTE(INDEX('CONTROL MASTER'!$N$2:$N$495,(SUMPRODUCT((('CONTROL MASTER'!$S$2:$S$495=5)*('CONTROL MASTER'!$T$2:$T$495&lt;=3)*('CONTROL MASTER'!$V$2:$V$495&gt;=3)*('CONTROL MASTER'!$U$2:$U$495&lt;=7)*('CONTROL MASTER'!$W$2:$W$495&gt;=7))*ROW('CONTROL MASTER'!$S$2:$S$495))-(ROW('CONTROL MASTER'!#REF!)-1))),":",","),",",REPT(" ",50)),((((3-INDEX('CONTROL MASTER'!$T$2:$T$495,(SUMPRODUCT((('CONTROL MASTER'!$S$2:$S$495=5)*('CONTROL MASTER'!$T$2:$T$495&lt;=3)*('CONTROL MASTER'!$V$2:$V$495&gt;=3)*('CONTROL MASTER'!$U$2:$U$495&lt;=7)*('CONTROL MASTER'!$W$2:$W$495&gt;=7))*ROW('CONTROL MASTER'!$S$2:$S$495))-(ROW('CONTROL MASTER'!#REF!)-1))))*(INDEX('CONTROL MASTER'!$W$2:$W$495,(SUMPRODUCT((('CONTROL MASTER'!$S$2:$S$495=5)*('CONTROL MASTER'!$T$2:$T$495&lt;=3)*('CONTROL MASTER'!$V$2:$V$495&gt;=3)*('CONTROL MASTER'!$U$2:$U$495&lt;=7)*('CONTROL MASTER'!$W$2:$W$495&gt;=7))*ROW('CONTROL MASTER'!$S$2:$S$495))-(ROW('CONTROL MASTER'!#REF!)-1)))-INDEX('CONTROL MASTER'!$U$2:$U$495,(SUMPRODUCT((('CONTROL MASTER'!$S$2:$S$495=5)*('CONTROL MASTER'!$T$2:$T$495&lt;=3)*('CONTROL MASTER'!$V$2:$V$495&gt;=3)*('CONTROL MASTER'!$U$2:$U$495&lt;=7)*('CONTROL MASTER'!$W$2:$W$495&gt;=7))*ROW('CONTROL MASTER'!$S$2:$S$495))-(ROW('CONTROL MASTER'!#REF!)-1)))+1)+(7-INDEX('CONTROL MASTER'!$U$2:$U$495,(SUMPRODUCT((('CONTROL MASTER'!$S$2:$S$495=5)*('CONTROL MASTER'!$T$2:$T$495&lt;=3)*('CONTROL MASTER'!$V$2:$V$495&gt;=3)*('CONTROL MASTER'!$U$2:$U$495&lt;=7)*('CONTROL MASTER'!$W$2:$W$495&gt;=7))*ROW('CONTROL MASTER'!$S$2:$S$495))-(ROW('CONTROL MASTER'!#REF!)-1))))+1))-1)*50+1,50))&amp;"_"&amp;INDEX('CONTROL MASTER'!$P$2:$P$495,(SUMPRODUCT((('CONTROL MASTER'!$S$2:$S$495=5)*('CONTROL MASTER'!$T$2:$T$495&lt;=3)*('CONTROL MASTER'!$V$2:$V$495&gt;=3)*('CONTROL MASTER'!$U$2:$U$495&lt;=7)*('CONTROL MASTER'!$W$2:$W$495&gt;=7))*ROW('CONTROL MASTER'!$S$2:$S$495))-(ROW('CONTROL MASTER'!#REF!)-1))),IF(SUMPRODUCT((('CONTROL MASTER'!$S$2:$S$495=5)*('CONTROL MASTER'!$Z$2:$Z$495&lt;=3)*('CONTROL MASTER'!$AB$2:$AB$495&gt;=3)*('CONTROL MASTER'!$AA$2:$AA$495&lt;=7)*('CONTROL MASTER'!$AC$2:$AC$495&gt;=7))*ROW('CONTROL MASTER'!$S$2:$S$495))&gt;0,INDEX('CONTROL MASTER'!$X$2:$X$495,(SUMPRODUCT((('CONTROL MASTER'!$S$2:$S$495=5)*('CONTROL MASTER'!$Z$2:$Z$495&lt;=3)*('CONTROL MASTER'!$AB$2:$AB$495&gt;=3)*('CONTROL MASTER'!$AA$2:$AA$495&lt;=7)*('CONTROL MASTER'!$AC$2:$AC$495&gt;=7))*ROW('CONTROL MASTER'!$S$2:$S$495))-(ROW('CONTROL MASTER'!#REF!)-1)))&amp;TRIM(MID(SUBSTITUTE(SUBSTITUTE(INDEX('CONTROL MASTER'!$N$2:$N$495,(SUMPRODUCT((('CONTROL MASTER'!$S$2:$S$495=5)*('CONTROL MASTER'!$Z$2:$Z$495&lt;=3)*('CONTROL MASTER'!$AB$2:$AB$495&gt;=3)*('CONTROL MASTER'!$AA$2:$AA$495&lt;=7)*('CONTROL MASTER'!$AC$2:$AC$495&gt;=7))*ROW('CONTROL MASTER'!$S$2:$S$495))-(ROW('CONTROL MASTER'!#REF!)-1))),":",","),",",REPT(" ",50)),(((INDEX('CONTROL MASTER'!$Y$2:$Y$495,(SUMPRODUCT((('CONTROL MASTER'!$S$2:$S$495=5)*('CONTROL MASTER'!$Z$2:$Z$495&lt;=3)*('CONTROL MASTER'!$AB$2:$AB$495&gt;=3)*('CONTROL MASTER'!$AA$2:$AA$495&lt;=7)*('CONTROL MASTER'!$AC$2:$AC$495&gt;=7))*ROW('CONTROL MASTER'!$S$2:$S$495))-(ROW('CONTROL MASTER'!#REF!)-1)))+((3-INDEX('CONTROL MASTER'!$Z$2:$Z$495,(SUMPRODUCT((('CONTROL MASTER'!$S$2:$S$495=5)*('CONTROL MASTER'!$Z$2:$Z$495&lt;=3)*('CONTROL MASTER'!$AB$2:$AB$495&gt;=3)*('CONTROL MASTER'!$AA$2:$AA$495&lt;=7)*('CONTROL MASTER'!$AC$2:$AC$495&gt;=7))*ROW('CONTROL MASTER'!$S$2:$S$495))-(ROW('CONTROL MASTER'!#REF!)-1))))*(INDEX('CONTROL MASTER'!$AC$2:$AC$495,(SUMPRODUCT((('CONTROL MASTER'!$S$2:$S$495=5)*('CONTROL MASTER'!$Z$2:$Z$495&lt;=3)*('CONTROL MASTER'!$AB$2:$AB$495&gt;=3)*('CONTROL MASTER'!$AA$2:$AA$495&lt;=7)*('CONTROL MASTER'!$AC$2:$AC$495&gt;=7))*ROW('CONTROL MASTER'!$S$2:$S$495))-(ROW('CONTROL MASTER'!#REF!)-1)))-INDEX('CONTROL MASTER'!$AA$2:$AA$495,(SUMPRODUCT((('CONTROL MASTER'!$S$2:$S$495=5)*('CONTROL MASTER'!$Z$2:$Z$495&lt;=3)*('CONTROL MASTER'!$AB$2:$AB$495&gt;=3)*('CONTROL MASTER'!$AA$2:$AA$495&lt;=7)*('CONTROL MASTER'!$AC$2:$AC$495&gt;=7))*ROW('CONTROL MASTER'!$S$2:$S$495))-(ROW('CONTROL MASTER'!#REF!)-1)))+1)+(7-INDEX('CONTROL MASTER'!$AA$2:$AA$495,(SUMPRODUCT((('CONTROL MASTER'!$S$2:$S$495=5)*('CONTROL MASTER'!$Z$2:$Z$495&lt;=3)*('CONTROL MASTER'!$AB$2:$AB$495&gt;=3)*('CONTROL MASTER'!$AA$2:$AA$495&lt;=7)*('CONTROL MASTER'!$AC$2:$AC$495&gt;=7))*ROW('CONTROL MASTER'!$S$2:$S$495))-(ROW('CONTROL MASTER'!#REF!)-1))))+1)))-1)*50+1,50))&amp;"_"&amp;INDEX('CONTROL MASTER'!$P$2:$P$495,(SUMPRODUCT((('CONTROL MASTER'!$S$2:$S$495=5)*('CONTROL MASTER'!$Z$2:$Z$495&lt;=3)*('CONTROL MASTER'!$AB$2:$AB$495&gt;=3)*('CONTROL MASTER'!$AA$2:$AA$495&lt;=7)*('CONTROL MASTER'!$AC$2:$AC$495&gt;=7))*ROW('CONTROL MASTER'!$S$2:$S$495))-(ROW('CONTROL MASTER'!#REF!)-1))),"")),"")</f>
        <v/>
      </c>
      <c r="I61" s="10" t="str">
        <f>IFERROR(IF(SUMPRODUCT((('CONTROL MASTER'!$S$2:$S$495=5)*('CONTROL MASTER'!$T$2:$T$495&lt;=3)*('CONTROL MASTER'!$V$2:$V$495&gt;=3)*('CONTROL MASTER'!$U$2:$U$495&lt;=8)*('CONTROL MASTER'!$W$2:$W$495&gt;=8))*ROW('CONTROL MASTER'!$S$2:$S$495))&gt;0,INDEX('CONTROL MASTER'!$X$2:$X$495,(SUMPRODUCT((('CONTROL MASTER'!$S$2:$S$495=5)*('CONTROL MASTER'!$T$2:$T$495&lt;=3)*('CONTROL MASTER'!$V$2:$V$495&gt;=3)*('CONTROL MASTER'!$U$2:$U$495&lt;=8)*('CONTROL MASTER'!$W$2:$W$495&gt;=8))*ROW('CONTROL MASTER'!$S$2:$S$495))-(ROW('CONTROL MASTER'!#REF!)-1)))&amp;TRIM(MID(SUBSTITUTE(SUBSTITUTE(INDEX('CONTROL MASTER'!$N$2:$N$495,(SUMPRODUCT((('CONTROL MASTER'!$S$2:$S$495=5)*('CONTROL MASTER'!$T$2:$T$495&lt;=3)*('CONTROL MASTER'!$V$2:$V$495&gt;=3)*('CONTROL MASTER'!$U$2:$U$495&lt;=8)*('CONTROL MASTER'!$W$2:$W$495&gt;=8))*ROW('CONTROL MASTER'!$S$2:$S$495))-(ROW('CONTROL MASTER'!#REF!)-1))),":",","),",",REPT(" ",50)),((((3-INDEX('CONTROL MASTER'!$T$2:$T$495,(SUMPRODUCT((('CONTROL MASTER'!$S$2:$S$495=5)*('CONTROL MASTER'!$T$2:$T$495&lt;=3)*('CONTROL MASTER'!$V$2:$V$495&gt;=3)*('CONTROL MASTER'!$U$2:$U$495&lt;=8)*('CONTROL MASTER'!$W$2:$W$495&gt;=8))*ROW('CONTROL MASTER'!$S$2:$S$495))-(ROW('CONTROL MASTER'!#REF!)-1))))*(INDEX('CONTROL MASTER'!$W$2:$W$495,(SUMPRODUCT((('CONTROL MASTER'!$S$2:$S$495=5)*('CONTROL MASTER'!$T$2:$T$495&lt;=3)*('CONTROL MASTER'!$V$2:$V$495&gt;=3)*('CONTROL MASTER'!$U$2:$U$495&lt;=8)*('CONTROL MASTER'!$W$2:$W$495&gt;=8))*ROW('CONTROL MASTER'!$S$2:$S$495))-(ROW('CONTROL MASTER'!#REF!)-1)))-INDEX('CONTROL MASTER'!$U$2:$U$495,(SUMPRODUCT((('CONTROL MASTER'!$S$2:$S$495=5)*('CONTROL MASTER'!$T$2:$T$495&lt;=3)*('CONTROL MASTER'!$V$2:$V$495&gt;=3)*('CONTROL MASTER'!$U$2:$U$495&lt;=8)*('CONTROL MASTER'!$W$2:$W$495&gt;=8))*ROW('CONTROL MASTER'!$S$2:$S$495))-(ROW('CONTROL MASTER'!#REF!)-1)))+1)+(8-INDEX('CONTROL MASTER'!$U$2:$U$495,(SUMPRODUCT((('CONTROL MASTER'!$S$2:$S$495=5)*('CONTROL MASTER'!$T$2:$T$495&lt;=3)*('CONTROL MASTER'!$V$2:$V$495&gt;=3)*('CONTROL MASTER'!$U$2:$U$495&lt;=8)*('CONTROL MASTER'!$W$2:$W$495&gt;=8))*ROW('CONTROL MASTER'!$S$2:$S$495))-(ROW('CONTROL MASTER'!#REF!)-1))))+1))-1)*50+1,50))&amp;"_"&amp;INDEX('CONTROL MASTER'!$P$2:$P$495,(SUMPRODUCT((('CONTROL MASTER'!$S$2:$S$495=5)*('CONTROL MASTER'!$T$2:$T$495&lt;=3)*('CONTROL MASTER'!$V$2:$V$495&gt;=3)*('CONTROL MASTER'!$U$2:$U$495&lt;=8)*('CONTROL MASTER'!$W$2:$W$495&gt;=8))*ROW('CONTROL MASTER'!$S$2:$S$495))-(ROW('CONTROL MASTER'!#REF!)-1))),IF(SUMPRODUCT((('CONTROL MASTER'!$S$2:$S$495=5)*('CONTROL MASTER'!$Z$2:$Z$495&lt;=3)*('CONTROL MASTER'!$AB$2:$AB$495&gt;=3)*('CONTROL MASTER'!$AA$2:$AA$495&lt;=8)*('CONTROL MASTER'!$AC$2:$AC$495&gt;=8))*ROW('CONTROL MASTER'!$S$2:$S$495))&gt;0,INDEX('CONTROL MASTER'!$X$2:$X$495,(SUMPRODUCT((('CONTROL MASTER'!$S$2:$S$495=5)*('CONTROL MASTER'!$Z$2:$Z$495&lt;=3)*('CONTROL MASTER'!$AB$2:$AB$495&gt;=3)*('CONTROL MASTER'!$AA$2:$AA$495&lt;=8)*('CONTROL MASTER'!$AC$2:$AC$495&gt;=8))*ROW('CONTROL MASTER'!$S$2:$S$495))-(ROW('CONTROL MASTER'!#REF!)-1)))&amp;TRIM(MID(SUBSTITUTE(SUBSTITUTE(INDEX('CONTROL MASTER'!$N$2:$N$495,(SUMPRODUCT((('CONTROL MASTER'!$S$2:$S$495=5)*('CONTROL MASTER'!$Z$2:$Z$495&lt;=3)*('CONTROL MASTER'!$AB$2:$AB$495&gt;=3)*('CONTROL MASTER'!$AA$2:$AA$495&lt;=8)*('CONTROL MASTER'!$AC$2:$AC$495&gt;=8))*ROW('CONTROL MASTER'!$S$2:$S$495))-(ROW('CONTROL MASTER'!#REF!)-1))),":",","),",",REPT(" ",50)),(((INDEX('CONTROL MASTER'!$Y$2:$Y$495,(SUMPRODUCT((('CONTROL MASTER'!$S$2:$S$495=5)*('CONTROL MASTER'!$Z$2:$Z$495&lt;=3)*('CONTROL MASTER'!$AB$2:$AB$495&gt;=3)*('CONTROL MASTER'!$AA$2:$AA$495&lt;=8)*('CONTROL MASTER'!$AC$2:$AC$495&gt;=8))*ROW('CONTROL MASTER'!$S$2:$S$495))-(ROW('CONTROL MASTER'!#REF!)-1)))+((3-INDEX('CONTROL MASTER'!$Z$2:$Z$495,(SUMPRODUCT((('CONTROL MASTER'!$S$2:$S$495=5)*('CONTROL MASTER'!$Z$2:$Z$495&lt;=3)*('CONTROL MASTER'!$AB$2:$AB$495&gt;=3)*('CONTROL MASTER'!$AA$2:$AA$495&lt;=8)*('CONTROL MASTER'!$AC$2:$AC$495&gt;=8))*ROW('CONTROL MASTER'!$S$2:$S$495))-(ROW('CONTROL MASTER'!#REF!)-1))))*(INDEX('CONTROL MASTER'!$AC$2:$AC$495,(SUMPRODUCT((('CONTROL MASTER'!$S$2:$S$495=5)*('CONTROL MASTER'!$Z$2:$Z$495&lt;=3)*('CONTROL MASTER'!$AB$2:$AB$495&gt;=3)*('CONTROL MASTER'!$AA$2:$AA$495&lt;=8)*('CONTROL MASTER'!$AC$2:$AC$495&gt;=8))*ROW('CONTROL MASTER'!$S$2:$S$495))-(ROW('CONTROL MASTER'!#REF!)-1)))-INDEX('CONTROL MASTER'!$AA$2:$AA$495,(SUMPRODUCT((('CONTROL MASTER'!$S$2:$S$495=5)*('CONTROL MASTER'!$Z$2:$Z$495&lt;=3)*('CONTROL MASTER'!$AB$2:$AB$495&gt;=3)*('CONTROL MASTER'!$AA$2:$AA$495&lt;=8)*('CONTROL MASTER'!$AC$2:$AC$495&gt;=8))*ROW('CONTROL MASTER'!$S$2:$S$495))-(ROW('CONTROL MASTER'!#REF!)-1)))+1)+(8-INDEX('CONTROL MASTER'!$AA$2:$AA$495,(SUMPRODUCT((('CONTROL MASTER'!$S$2:$S$495=5)*('CONTROL MASTER'!$Z$2:$Z$495&lt;=3)*('CONTROL MASTER'!$AB$2:$AB$495&gt;=3)*('CONTROL MASTER'!$AA$2:$AA$495&lt;=8)*('CONTROL MASTER'!$AC$2:$AC$495&gt;=8))*ROW('CONTROL MASTER'!$S$2:$S$495))-(ROW('CONTROL MASTER'!#REF!)-1))))+1)))-1)*50+1,50))&amp;"_"&amp;INDEX('CONTROL MASTER'!$P$2:$P$495,(SUMPRODUCT((('CONTROL MASTER'!$S$2:$S$495=5)*('CONTROL MASTER'!$Z$2:$Z$495&lt;=3)*('CONTROL MASTER'!$AB$2:$AB$495&gt;=3)*('CONTROL MASTER'!$AA$2:$AA$495&lt;=8)*('CONTROL MASTER'!$AC$2:$AC$495&gt;=8))*ROW('CONTROL MASTER'!$S$2:$S$495))-(ROW('CONTROL MASTER'!#REF!)-1))),"")),"")</f>
        <v/>
      </c>
      <c r="J61" s="10" t="str">
        <f>IFERROR(IF(SUMPRODUCT((('CONTROL MASTER'!$S$2:$S$495=5)*('CONTROL MASTER'!$T$2:$T$495&lt;=3)*('CONTROL MASTER'!$V$2:$V$495&gt;=3)*('CONTROL MASTER'!$U$2:$U$495&lt;=9)*('CONTROL MASTER'!$W$2:$W$495&gt;=9))*ROW('CONTROL MASTER'!$S$2:$S$495))&gt;0,INDEX('CONTROL MASTER'!$X$2:$X$495,(SUMPRODUCT((('CONTROL MASTER'!$S$2:$S$495=5)*('CONTROL MASTER'!$T$2:$T$495&lt;=3)*('CONTROL MASTER'!$V$2:$V$495&gt;=3)*('CONTROL MASTER'!$U$2:$U$495&lt;=9)*('CONTROL MASTER'!$W$2:$W$495&gt;=9))*ROW('CONTROL MASTER'!$S$2:$S$495))-(ROW('CONTROL MASTER'!#REF!)-1)))&amp;TRIM(MID(SUBSTITUTE(SUBSTITUTE(INDEX('CONTROL MASTER'!$N$2:$N$495,(SUMPRODUCT((('CONTROL MASTER'!$S$2:$S$495=5)*('CONTROL MASTER'!$T$2:$T$495&lt;=3)*('CONTROL MASTER'!$V$2:$V$495&gt;=3)*('CONTROL MASTER'!$U$2:$U$495&lt;=9)*('CONTROL MASTER'!$W$2:$W$495&gt;=9))*ROW('CONTROL MASTER'!$S$2:$S$495))-(ROW('CONTROL MASTER'!#REF!)-1))),":",","),",",REPT(" ",50)),((((3-INDEX('CONTROL MASTER'!$T$2:$T$495,(SUMPRODUCT((('CONTROL MASTER'!$S$2:$S$495=5)*('CONTROL MASTER'!$T$2:$T$495&lt;=3)*('CONTROL MASTER'!$V$2:$V$495&gt;=3)*('CONTROL MASTER'!$U$2:$U$495&lt;=9)*('CONTROL MASTER'!$W$2:$W$495&gt;=9))*ROW('CONTROL MASTER'!$S$2:$S$495))-(ROW('CONTROL MASTER'!#REF!)-1))))*(INDEX('CONTROL MASTER'!$W$2:$W$495,(SUMPRODUCT((('CONTROL MASTER'!$S$2:$S$495=5)*('CONTROL MASTER'!$T$2:$T$495&lt;=3)*('CONTROL MASTER'!$V$2:$V$495&gt;=3)*('CONTROL MASTER'!$U$2:$U$495&lt;=9)*('CONTROL MASTER'!$W$2:$W$495&gt;=9))*ROW('CONTROL MASTER'!$S$2:$S$495))-(ROW('CONTROL MASTER'!#REF!)-1)))-INDEX('CONTROL MASTER'!$U$2:$U$495,(SUMPRODUCT((('CONTROL MASTER'!$S$2:$S$495=5)*('CONTROL MASTER'!$T$2:$T$495&lt;=3)*('CONTROL MASTER'!$V$2:$V$495&gt;=3)*('CONTROL MASTER'!$U$2:$U$495&lt;=9)*('CONTROL MASTER'!$W$2:$W$495&gt;=9))*ROW('CONTROL MASTER'!$S$2:$S$495))-(ROW('CONTROL MASTER'!#REF!)-1)))+1)+(9-INDEX('CONTROL MASTER'!$U$2:$U$495,(SUMPRODUCT((('CONTROL MASTER'!$S$2:$S$495=5)*('CONTROL MASTER'!$T$2:$T$495&lt;=3)*('CONTROL MASTER'!$V$2:$V$495&gt;=3)*('CONTROL MASTER'!$U$2:$U$495&lt;=9)*('CONTROL MASTER'!$W$2:$W$495&gt;=9))*ROW('CONTROL MASTER'!$S$2:$S$495))-(ROW('CONTROL MASTER'!#REF!)-1))))+1))-1)*50+1,50))&amp;"_"&amp;INDEX('CONTROL MASTER'!$P$2:$P$495,(SUMPRODUCT((('CONTROL MASTER'!$S$2:$S$495=5)*('CONTROL MASTER'!$T$2:$T$495&lt;=3)*('CONTROL MASTER'!$V$2:$V$495&gt;=3)*('CONTROL MASTER'!$U$2:$U$495&lt;=9)*('CONTROL MASTER'!$W$2:$W$495&gt;=9))*ROW('CONTROL MASTER'!$S$2:$S$495))-(ROW('CONTROL MASTER'!#REF!)-1))),IF(SUMPRODUCT((('CONTROL MASTER'!$S$2:$S$495=5)*('CONTROL MASTER'!$Z$2:$Z$495&lt;=3)*('CONTROL MASTER'!$AB$2:$AB$495&gt;=3)*('CONTROL MASTER'!$AA$2:$AA$495&lt;=9)*('CONTROL MASTER'!$AC$2:$AC$495&gt;=9))*ROW('CONTROL MASTER'!$S$2:$S$495))&gt;0,INDEX('CONTROL MASTER'!$X$2:$X$495,(SUMPRODUCT((('CONTROL MASTER'!$S$2:$S$495=5)*('CONTROL MASTER'!$Z$2:$Z$495&lt;=3)*('CONTROL MASTER'!$AB$2:$AB$495&gt;=3)*('CONTROL MASTER'!$AA$2:$AA$495&lt;=9)*('CONTROL MASTER'!$AC$2:$AC$495&gt;=9))*ROW('CONTROL MASTER'!$S$2:$S$495))-(ROW('CONTROL MASTER'!#REF!)-1)))&amp;TRIM(MID(SUBSTITUTE(SUBSTITUTE(INDEX('CONTROL MASTER'!$N$2:$N$495,(SUMPRODUCT((('CONTROL MASTER'!$S$2:$S$495=5)*('CONTROL MASTER'!$Z$2:$Z$495&lt;=3)*('CONTROL MASTER'!$AB$2:$AB$495&gt;=3)*('CONTROL MASTER'!$AA$2:$AA$495&lt;=9)*('CONTROL MASTER'!$AC$2:$AC$495&gt;=9))*ROW('CONTROL MASTER'!$S$2:$S$495))-(ROW('CONTROL MASTER'!#REF!)-1))),":",","),",",REPT(" ",50)),(((INDEX('CONTROL MASTER'!$Y$2:$Y$495,(SUMPRODUCT((('CONTROL MASTER'!$S$2:$S$495=5)*('CONTROL MASTER'!$Z$2:$Z$495&lt;=3)*('CONTROL MASTER'!$AB$2:$AB$495&gt;=3)*('CONTROL MASTER'!$AA$2:$AA$495&lt;=9)*('CONTROL MASTER'!$AC$2:$AC$495&gt;=9))*ROW('CONTROL MASTER'!$S$2:$S$495))-(ROW('CONTROL MASTER'!#REF!)-1)))+((3-INDEX('CONTROL MASTER'!$Z$2:$Z$495,(SUMPRODUCT((('CONTROL MASTER'!$S$2:$S$495=5)*('CONTROL MASTER'!$Z$2:$Z$495&lt;=3)*('CONTROL MASTER'!$AB$2:$AB$495&gt;=3)*('CONTROL MASTER'!$AA$2:$AA$495&lt;=9)*('CONTROL MASTER'!$AC$2:$AC$495&gt;=9))*ROW('CONTROL MASTER'!$S$2:$S$495))-(ROW('CONTROL MASTER'!#REF!)-1))))*(INDEX('CONTROL MASTER'!$AC$2:$AC$495,(SUMPRODUCT((('CONTROL MASTER'!$S$2:$S$495=5)*('CONTROL MASTER'!$Z$2:$Z$495&lt;=3)*('CONTROL MASTER'!$AB$2:$AB$495&gt;=3)*('CONTROL MASTER'!$AA$2:$AA$495&lt;=9)*('CONTROL MASTER'!$AC$2:$AC$495&gt;=9))*ROW('CONTROL MASTER'!$S$2:$S$495))-(ROW('CONTROL MASTER'!#REF!)-1)))-INDEX('CONTROL MASTER'!$AA$2:$AA$495,(SUMPRODUCT((('CONTROL MASTER'!$S$2:$S$495=5)*('CONTROL MASTER'!$Z$2:$Z$495&lt;=3)*('CONTROL MASTER'!$AB$2:$AB$495&gt;=3)*('CONTROL MASTER'!$AA$2:$AA$495&lt;=9)*('CONTROL MASTER'!$AC$2:$AC$495&gt;=9))*ROW('CONTROL MASTER'!$S$2:$S$495))-(ROW('CONTROL MASTER'!#REF!)-1)))+1)+(9-INDEX('CONTROL MASTER'!$AA$2:$AA$495,(SUMPRODUCT((('CONTROL MASTER'!$S$2:$S$495=5)*('CONTROL MASTER'!$Z$2:$Z$495&lt;=3)*('CONTROL MASTER'!$AB$2:$AB$495&gt;=3)*('CONTROL MASTER'!$AA$2:$AA$495&lt;=9)*('CONTROL MASTER'!$AC$2:$AC$495&gt;=9))*ROW('CONTROL MASTER'!$S$2:$S$495))-(ROW('CONTROL MASTER'!#REF!)-1))))+1)))-1)*50+1,50))&amp;"_"&amp;INDEX('CONTROL MASTER'!$P$2:$P$495,(SUMPRODUCT((('CONTROL MASTER'!$S$2:$S$495=5)*('CONTROL MASTER'!$Z$2:$Z$495&lt;=3)*('CONTROL MASTER'!$AB$2:$AB$495&gt;=3)*('CONTROL MASTER'!$AA$2:$AA$495&lt;=9)*('CONTROL MASTER'!$AC$2:$AC$495&gt;=9))*ROW('CONTROL MASTER'!$S$2:$S$495))-(ROW('CONTROL MASTER'!#REF!)-1))),"")),"")</f>
        <v/>
      </c>
      <c r="K61" s="10" t="str">
        <f>IFERROR(IF(SUMPRODUCT((('CONTROL MASTER'!$S$2:$S$495=5)*('CONTROL MASTER'!$T$2:$T$495&lt;=3)*('CONTROL MASTER'!$V$2:$V$495&gt;=3)*('CONTROL MASTER'!$U$2:$U$495&lt;=10)*('CONTROL MASTER'!$W$2:$W$495&gt;=10))*ROW('CONTROL MASTER'!$S$2:$S$495))&gt;0,INDEX('CONTROL MASTER'!$X$2:$X$495,(SUMPRODUCT((('CONTROL MASTER'!$S$2:$S$495=5)*('CONTROL MASTER'!$T$2:$T$495&lt;=3)*('CONTROL MASTER'!$V$2:$V$495&gt;=3)*('CONTROL MASTER'!$U$2:$U$495&lt;=10)*('CONTROL MASTER'!$W$2:$W$495&gt;=10))*ROW('CONTROL MASTER'!$S$2:$S$495))-(ROW('CONTROL MASTER'!#REF!)-1)))&amp;TRIM(MID(SUBSTITUTE(SUBSTITUTE(INDEX('CONTROL MASTER'!$N$2:$N$495,(SUMPRODUCT((('CONTROL MASTER'!$S$2:$S$495=5)*('CONTROL MASTER'!$T$2:$T$495&lt;=3)*('CONTROL MASTER'!$V$2:$V$495&gt;=3)*('CONTROL MASTER'!$U$2:$U$495&lt;=10)*('CONTROL MASTER'!$W$2:$W$495&gt;=10))*ROW('CONTROL MASTER'!$S$2:$S$495))-(ROW('CONTROL MASTER'!#REF!)-1))),":",","),",",REPT(" ",50)),((((3-INDEX('CONTROL MASTER'!$T$2:$T$495,(SUMPRODUCT((('CONTROL MASTER'!$S$2:$S$495=5)*('CONTROL MASTER'!$T$2:$T$495&lt;=3)*('CONTROL MASTER'!$V$2:$V$495&gt;=3)*('CONTROL MASTER'!$U$2:$U$495&lt;=10)*('CONTROL MASTER'!$W$2:$W$495&gt;=10))*ROW('CONTROL MASTER'!$S$2:$S$495))-(ROW('CONTROL MASTER'!#REF!)-1))))*(INDEX('CONTROL MASTER'!$W$2:$W$495,(SUMPRODUCT((('CONTROL MASTER'!$S$2:$S$495=5)*('CONTROL MASTER'!$T$2:$T$495&lt;=3)*('CONTROL MASTER'!$V$2:$V$495&gt;=3)*('CONTROL MASTER'!$U$2:$U$495&lt;=10)*('CONTROL MASTER'!$W$2:$W$495&gt;=10))*ROW('CONTROL MASTER'!$S$2:$S$495))-(ROW('CONTROL MASTER'!#REF!)-1)))-INDEX('CONTROL MASTER'!$U$2:$U$495,(SUMPRODUCT((('CONTROL MASTER'!$S$2:$S$495=5)*('CONTROL MASTER'!$T$2:$T$495&lt;=3)*('CONTROL MASTER'!$V$2:$V$495&gt;=3)*('CONTROL MASTER'!$U$2:$U$495&lt;=10)*('CONTROL MASTER'!$W$2:$W$495&gt;=10))*ROW('CONTROL MASTER'!$S$2:$S$495))-(ROW('CONTROL MASTER'!#REF!)-1)))+1)+(10-INDEX('CONTROL MASTER'!$U$2:$U$495,(SUMPRODUCT((('CONTROL MASTER'!$S$2:$S$495=5)*('CONTROL MASTER'!$T$2:$T$495&lt;=3)*('CONTROL MASTER'!$V$2:$V$495&gt;=3)*('CONTROL MASTER'!$U$2:$U$495&lt;=10)*('CONTROL MASTER'!$W$2:$W$495&gt;=10))*ROW('CONTROL MASTER'!$S$2:$S$495))-(ROW('CONTROL MASTER'!#REF!)-1))))+1))-1)*50+1,50))&amp;"_"&amp;INDEX('CONTROL MASTER'!$P$2:$P$495,(SUMPRODUCT((('CONTROL MASTER'!$S$2:$S$495=5)*('CONTROL MASTER'!$T$2:$T$495&lt;=3)*('CONTROL MASTER'!$V$2:$V$495&gt;=3)*('CONTROL MASTER'!$U$2:$U$495&lt;=10)*('CONTROL MASTER'!$W$2:$W$495&gt;=10))*ROW('CONTROL MASTER'!$S$2:$S$495))-(ROW('CONTROL MASTER'!#REF!)-1))),IF(SUMPRODUCT((('CONTROL MASTER'!$S$2:$S$495=5)*('CONTROL MASTER'!$Z$2:$Z$495&lt;=3)*('CONTROL MASTER'!$AB$2:$AB$495&gt;=3)*('CONTROL MASTER'!$AA$2:$AA$495&lt;=10)*('CONTROL MASTER'!$AC$2:$AC$495&gt;=10))*ROW('CONTROL MASTER'!$S$2:$S$495))&gt;0,INDEX('CONTROL MASTER'!$X$2:$X$495,(SUMPRODUCT((('CONTROL MASTER'!$S$2:$S$495=5)*('CONTROL MASTER'!$Z$2:$Z$495&lt;=3)*('CONTROL MASTER'!$AB$2:$AB$495&gt;=3)*('CONTROL MASTER'!$AA$2:$AA$495&lt;=10)*('CONTROL MASTER'!$AC$2:$AC$495&gt;=10))*ROW('CONTROL MASTER'!$S$2:$S$495))-(ROW('CONTROL MASTER'!#REF!)-1)))&amp;TRIM(MID(SUBSTITUTE(SUBSTITUTE(INDEX('CONTROL MASTER'!$N$2:$N$495,(SUMPRODUCT((('CONTROL MASTER'!$S$2:$S$495=5)*('CONTROL MASTER'!$Z$2:$Z$495&lt;=3)*('CONTROL MASTER'!$AB$2:$AB$495&gt;=3)*('CONTROL MASTER'!$AA$2:$AA$495&lt;=10)*('CONTROL MASTER'!$AC$2:$AC$495&gt;=10))*ROW('CONTROL MASTER'!$S$2:$S$495))-(ROW('CONTROL MASTER'!#REF!)-1))),":",","),",",REPT(" ",50)),(((INDEX('CONTROL MASTER'!$Y$2:$Y$495,(SUMPRODUCT((('CONTROL MASTER'!$S$2:$S$495=5)*('CONTROL MASTER'!$Z$2:$Z$495&lt;=3)*('CONTROL MASTER'!$AB$2:$AB$495&gt;=3)*('CONTROL MASTER'!$AA$2:$AA$495&lt;=10)*('CONTROL MASTER'!$AC$2:$AC$495&gt;=10))*ROW('CONTROL MASTER'!$S$2:$S$495))-(ROW('CONTROL MASTER'!#REF!)-1)))+((3-INDEX('CONTROL MASTER'!$Z$2:$Z$495,(SUMPRODUCT((('CONTROL MASTER'!$S$2:$S$495=5)*('CONTROL MASTER'!$Z$2:$Z$495&lt;=3)*('CONTROL MASTER'!$AB$2:$AB$495&gt;=3)*('CONTROL MASTER'!$AA$2:$AA$495&lt;=10)*('CONTROL MASTER'!$AC$2:$AC$495&gt;=10))*ROW('CONTROL MASTER'!$S$2:$S$495))-(ROW('CONTROL MASTER'!#REF!)-1))))*(INDEX('CONTROL MASTER'!$AC$2:$AC$495,(SUMPRODUCT((('CONTROL MASTER'!$S$2:$S$495=5)*('CONTROL MASTER'!$Z$2:$Z$495&lt;=3)*('CONTROL MASTER'!$AB$2:$AB$495&gt;=3)*('CONTROL MASTER'!$AA$2:$AA$495&lt;=10)*('CONTROL MASTER'!$AC$2:$AC$495&gt;=10))*ROW('CONTROL MASTER'!$S$2:$S$495))-(ROW('CONTROL MASTER'!#REF!)-1)))-INDEX('CONTROL MASTER'!$AA$2:$AA$495,(SUMPRODUCT((('CONTROL MASTER'!$S$2:$S$495=5)*('CONTROL MASTER'!$Z$2:$Z$495&lt;=3)*('CONTROL MASTER'!$AB$2:$AB$495&gt;=3)*('CONTROL MASTER'!$AA$2:$AA$495&lt;=10)*('CONTROL MASTER'!$AC$2:$AC$495&gt;=10))*ROW('CONTROL MASTER'!$S$2:$S$495))-(ROW('CONTROL MASTER'!#REF!)-1)))+1)+(10-INDEX('CONTROL MASTER'!$AA$2:$AA$495,(SUMPRODUCT((('CONTROL MASTER'!$S$2:$S$495=5)*('CONTROL MASTER'!$Z$2:$Z$495&lt;=3)*('CONTROL MASTER'!$AB$2:$AB$495&gt;=3)*('CONTROL MASTER'!$AA$2:$AA$495&lt;=10)*('CONTROL MASTER'!$AC$2:$AC$495&gt;=10))*ROW('CONTROL MASTER'!$S$2:$S$495))-(ROW('CONTROL MASTER'!#REF!)-1))))+1)))-1)*50+1,50))&amp;"_"&amp;INDEX('CONTROL MASTER'!$P$2:$P$495,(SUMPRODUCT((('CONTROL MASTER'!$S$2:$S$495=5)*('CONTROL MASTER'!$Z$2:$Z$495&lt;=3)*('CONTROL MASTER'!$AB$2:$AB$495&gt;=3)*('CONTROL MASTER'!$AA$2:$AA$495&lt;=10)*('CONTROL MASTER'!$AC$2:$AC$495&gt;=10))*ROW('CONTROL MASTER'!$S$2:$S$495))-(ROW('CONTROL MASTER'!#REF!)-1))),"")),"")</f>
        <v/>
      </c>
    </row>
    <row r="62" spans="1:11" ht="15" customHeight="1" x14ac:dyDescent="0.35">
      <c r="A62" s="8" t="s">
        <v>31</v>
      </c>
      <c r="B62" s="10" t="str">
        <f>IFERROR(IF(SUMPRODUCT((('CONTROL MASTER'!$S$2:$S$495=5)*('CONTROL MASTER'!$T$2:$T$495&lt;=4)*('CONTROL MASTER'!$V$2:$V$495&gt;=4)*('CONTROL MASTER'!$U$2:$U$495&lt;=1)*('CONTROL MASTER'!$W$2:$W$495&gt;=1))*ROW('CONTROL MASTER'!$S$2:$S$495))&gt;0,INDEX('CONTROL MASTER'!$X$2:$X$495,(SUMPRODUCT((('CONTROL MASTER'!$S$2:$S$495=5)*('CONTROL MASTER'!$T$2:$T$495&lt;=4)*('CONTROL MASTER'!$V$2:$V$495&gt;=4)*('CONTROL MASTER'!$U$2:$U$495&lt;=1)*('CONTROL MASTER'!$W$2:$W$495&gt;=1))*ROW('CONTROL MASTER'!$S$2:$S$495))-(ROW('CONTROL MASTER'!#REF!)-1)))&amp;TRIM(MID(SUBSTITUTE(SUBSTITUTE(INDEX('CONTROL MASTER'!$N$2:$N$495,(SUMPRODUCT((('CONTROL MASTER'!$S$2:$S$495=5)*('CONTROL MASTER'!$T$2:$T$495&lt;=4)*('CONTROL MASTER'!$V$2:$V$495&gt;=4)*('CONTROL MASTER'!$U$2:$U$495&lt;=1)*('CONTROL MASTER'!$W$2:$W$495&gt;=1))*ROW('CONTROL MASTER'!$S$2:$S$495))-(ROW('CONTROL MASTER'!#REF!)-1))),":",","),",",REPT(" ",50)),((((4-INDEX('CONTROL MASTER'!$T$2:$T$495,(SUMPRODUCT((('CONTROL MASTER'!$S$2:$S$495=5)*('CONTROL MASTER'!$T$2:$T$495&lt;=4)*('CONTROL MASTER'!$V$2:$V$495&gt;=4)*('CONTROL MASTER'!$U$2:$U$495&lt;=1)*('CONTROL MASTER'!$W$2:$W$495&gt;=1))*ROW('CONTROL MASTER'!$S$2:$S$495))-(ROW('CONTROL MASTER'!#REF!)-1))))*(INDEX('CONTROL MASTER'!$W$2:$W$495,(SUMPRODUCT((('CONTROL MASTER'!$S$2:$S$495=5)*('CONTROL MASTER'!$T$2:$T$495&lt;=4)*('CONTROL MASTER'!$V$2:$V$495&gt;=4)*('CONTROL MASTER'!$U$2:$U$495&lt;=1)*('CONTROL MASTER'!$W$2:$W$495&gt;=1))*ROW('CONTROL MASTER'!$S$2:$S$495))-(ROW('CONTROL MASTER'!#REF!)-1)))-INDEX('CONTROL MASTER'!$U$2:$U$495,(SUMPRODUCT((('CONTROL MASTER'!$S$2:$S$495=5)*('CONTROL MASTER'!$T$2:$T$495&lt;=4)*('CONTROL MASTER'!$V$2:$V$495&gt;=4)*('CONTROL MASTER'!$U$2:$U$495&lt;=1)*('CONTROL MASTER'!$W$2:$W$495&gt;=1))*ROW('CONTROL MASTER'!$S$2:$S$495))-(ROW('CONTROL MASTER'!#REF!)-1)))+1)+(1-INDEX('CONTROL MASTER'!$U$2:$U$495,(SUMPRODUCT((('CONTROL MASTER'!$S$2:$S$495=5)*('CONTROL MASTER'!$T$2:$T$495&lt;=4)*('CONTROL MASTER'!$V$2:$V$495&gt;=4)*('CONTROL MASTER'!$U$2:$U$495&lt;=1)*('CONTROL MASTER'!$W$2:$W$495&gt;=1))*ROW('CONTROL MASTER'!$S$2:$S$495))-(ROW('CONTROL MASTER'!#REF!)-1))))+1))-1)*50+1,50))&amp;"_"&amp;INDEX('CONTROL MASTER'!$P$2:$P$495,(SUMPRODUCT((('CONTROL MASTER'!$S$2:$S$495=5)*('CONTROL MASTER'!$T$2:$T$495&lt;=4)*('CONTROL MASTER'!$V$2:$V$495&gt;=4)*('CONTROL MASTER'!$U$2:$U$495&lt;=1)*('CONTROL MASTER'!$W$2:$W$495&gt;=1))*ROW('CONTROL MASTER'!$S$2:$S$495))-(ROW('CONTROL MASTER'!#REF!)-1))),IF(SUMPRODUCT((('CONTROL MASTER'!$S$2:$S$495=5)*('CONTROL MASTER'!$Z$2:$Z$495&lt;=4)*('CONTROL MASTER'!$AB$2:$AB$495&gt;=4)*('CONTROL MASTER'!$AA$2:$AA$495&lt;=1)*('CONTROL MASTER'!$AC$2:$AC$495&gt;=1))*ROW('CONTROL MASTER'!$S$2:$S$495))&gt;0,INDEX('CONTROL MASTER'!$X$2:$X$495,(SUMPRODUCT((('CONTROL MASTER'!$S$2:$S$495=5)*('CONTROL MASTER'!$Z$2:$Z$495&lt;=4)*('CONTROL MASTER'!$AB$2:$AB$495&gt;=4)*('CONTROL MASTER'!$AA$2:$AA$495&lt;=1)*('CONTROL MASTER'!$AC$2:$AC$495&gt;=1))*ROW('CONTROL MASTER'!$S$2:$S$495))-(ROW('CONTROL MASTER'!#REF!)-1)))&amp;TRIM(MID(SUBSTITUTE(SUBSTITUTE(INDEX('CONTROL MASTER'!$N$2:$N$495,(SUMPRODUCT((('CONTROL MASTER'!$S$2:$S$495=5)*('CONTROL MASTER'!$Z$2:$Z$495&lt;=4)*('CONTROL MASTER'!$AB$2:$AB$495&gt;=4)*('CONTROL MASTER'!$AA$2:$AA$495&lt;=1)*('CONTROL MASTER'!$AC$2:$AC$495&gt;=1))*ROW('CONTROL MASTER'!$S$2:$S$495))-(ROW('CONTROL MASTER'!#REF!)-1))),":",","),",",REPT(" ",50)),(((INDEX('CONTROL MASTER'!$Y$2:$Y$495,(SUMPRODUCT((('CONTROL MASTER'!$S$2:$S$495=5)*('CONTROL MASTER'!$Z$2:$Z$495&lt;=4)*('CONTROL MASTER'!$AB$2:$AB$495&gt;=4)*('CONTROL MASTER'!$AA$2:$AA$495&lt;=1)*('CONTROL MASTER'!$AC$2:$AC$495&gt;=1))*ROW('CONTROL MASTER'!$S$2:$S$495))-(ROW('CONTROL MASTER'!#REF!)-1)))+((4-INDEX('CONTROL MASTER'!$Z$2:$Z$495,(SUMPRODUCT((('CONTROL MASTER'!$S$2:$S$495=5)*('CONTROL MASTER'!$Z$2:$Z$495&lt;=4)*('CONTROL MASTER'!$AB$2:$AB$495&gt;=4)*('CONTROL MASTER'!$AA$2:$AA$495&lt;=1)*('CONTROL MASTER'!$AC$2:$AC$495&gt;=1))*ROW('CONTROL MASTER'!$S$2:$S$495))-(ROW('CONTROL MASTER'!#REF!)-1))))*(INDEX('CONTROL MASTER'!$AC$2:$AC$495,(SUMPRODUCT((('CONTROL MASTER'!$S$2:$S$495=5)*('CONTROL MASTER'!$Z$2:$Z$495&lt;=4)*('CONTROL MASTER'!$AB$2:$AB$495&gt;=4)*('CONTROL MASTER'!$AA$2:$AA$495&lt;=1)*('CONTROL MASTER'!$AC$2:$AC$495&gt;=1))*ROW('CONTROL MASTER'!$S$2:$S$495))-(ROW('CONTROL MASTER'!#REF!)-1)))-INDEX('CONTROL MASTER'!$AA$2:$AA$495,(SUMPRODUCT((('CONTROL MASTER'!$S$2:$S$495=5)*('CONTROL MASTER'!$Z$2:$Z$495&lt;=4)*('CONTROL MASTER'!$AB$2:$AB$495&gt;=4)*('CONTROL MASTER'!$AA$2:$AA$495&lt;=1)*('CONTROL MASTER'!$AC$2:$AC$495&gt;=1))*ROW('CONTROL MASTER'!$S$2:$S$495))-(ROW('CONTROL MASTER'!#REF!)-1)))+1)+(1-INDEX('CONTROL MASTER'!$AA$2:$AA$495,(SUMPRODUCT((('CONTROL MASTER'!$S$2:$S$495=5)*('CONTROL MASTER'!$Z$2:$Z$495&lt;=4)*('CONTROL MASTER'!$AB$2:$AB$495&gt;=4)*('CONTROL MASTER'!$AA$2:$AA$495&lt;=1)*('CONTROL MASTER'!$AC$2:$AC$495&gt;=1))*ROW('CONTROL MASTER'!$S$2:$S$495))-(ROW('CONTROL MASTER'!#REF!)-1))))+1)))-1)*50+1,50))&amp;"_"&amp;INDEX('CONTROL MASTER'!$P$2:$P$495,(SUMPRODUCT((('CONTROL MASTER'!$S$2:$S$495=5)*('CONTROL MASTER'!$Z$2:$Z$495&lt;=4)*('CONTROL MASTER'!$AB$2:$AB$495&gt;=4)*('CONTROL MASTER'!$AA$2:$AA$495&lt;=1)*('CONTROL MASTER'!$AC$2:$AC$495&gt;=1))*ROW('CONTROL MASTER'!$S$2:$S$495))-(ROW('CONTROL MASTER'!#REF!)-1))),"")),"")</f>
        <v/>
      </c>
      <c r="C62" s="10" t="str">
        <f>IFERROR(IF(SUMPRODUCT((('CONTROL MASTER'!$S$2:$S$495=5)*('CONTROL MASTER'!$T$2:$T$495&lt;=4)*('CONTROL MASTER'!$V$2:$V$495&gt;=4)*('CONTROL MASTER'!$U$2:$U$495&lt;=2)*('CONTROL MASTER'!$W$2:$W$495&gt;=2))*ROW('CONTROL MASTER'!$S$2:$S$495))&gt;0,INDEX('CONTROL MASTER'!$X$2:$X$495,(SUMPRODUCT((('CONTROL MASTER'!$S$2:$S$495=5)*('CONTROL MASTER'!$T$2:$T$495&lt;=4)*('CONTROL MASTER'!$V$2:$V$495&gt;=4)*('CONTROL MASTER'!$U$2:$U$495&lt;=2)*('CONTROL MASTER'!$W$2:$W$495&gt;=2))*ROW('CONTROL MASTER'!$S$2:$S$495))-(ROW('CONTROL MASTER'!#REF!)-1)))&amp;TRIM(MID(SUBSTITUTE(SUBSTITUTE(INDEX('CONTROL MASTER'!$N$2:$N$495,(SUMPRODUCT((('CONTROL MASTER'!$S$2:$S$495=5)*('CONTROL MASTER'!$T$2:$T$495&lt;=4)*('CONTROL MASTER'!$V$2:$V$495&gt;=4)*('CONTROL MASTER'!$U$2:$U$495&lt;=2)*('CONTROL MASTER'!$W$2:$W$495&gt;=2))*ROW('CONTROL MASTER'!$S$2:$S$495))-(ROW('CONTROL MASTER'!#REF!)-1))),":",","),",",REPT(" ",50)),((((4-INDEX('CONTROL MASTER'!$T$2:$T$495,(SUMPRODUCT((('CONTROL MASTER'!$S$2:$S$495=5)*('CONTROL MASTER'!$T$2:$T$495&lt;=4)*('CONTROL MASTER'!$V$2:$V$495&gt;=4)*('CONTROL MASTER'!$U$2:$U$495&lt;=2)*('CONTROL MASTER'!$W$2:$W$495&gt;=2))*ROW('CONTROL MASTER'!$S$2:$S$495))-(ROW('CONTROL MASTER'!#REF!)-1))))*(INDEX('CONTROL MASTER'!$W$2:$W$495,(SUMPRODUCT((('CONTROL MASTER'!$S$2:$S$495=5)*('CONTROL MASTER'!$T$2:$T$495&lt;=4)*('CONTROL MASTER'!$V$2:$V$495&gt;=4)*('CONTROL MASTER'!$U$2:$U$495&lt;=2)*('CONTROL MASTER'!$W$2:$W$495&gt;=2))*ROW('CONTROL MASTER'!$S$2:$S$495))-(ROW('CONTROL MASTER'!#REF!)-1)))-INDEX('CONTROL MASTER'!$U$2:$U$495,(SUMPRODUCT((('CONTROL MASTER'!$S$2:$S$495=5)*('CONTROL MASTER'!$T$2:$T$495&lt;=4)*('CONTROL MASTER'!$V$2:$V$495&gt;=4)*('CONTROL MASTER'!$U$2:$U$495&lt;=2)*('CONTROL MASTER'!$W$2:$W$495&gt;=2))*ROW('CONTROL MASTER'!$S$2:$S$495))-(ROW('CONTROL MASTER'!#REF!)-1)))+1)+(2-INDEX('CONTROL MASTER'!$U$2:$U$495,(SUMPRODUCT((('CONTROL MASTER'!$S$2:$S$495=5)*('CONTROL MASTER'!$T$2:$T$495&lt;=4)*('CONTROL MASTER'!$V$2:$V$495&gt;=4)*('CONTROL MASTER'!$U$2:$U$495&lt;=2)*('CONTROL MASTER'!$W$2:$W$495&gt;=2))*ROW('CONTROL MASTER'!$S$2:$S$495))-(ROW('CONTROL MASTER'!#REF!)-1))))+1))-1)*50+1,50))&amp;"_"&amp;INDEX('CONTROL MASTER'!$P$2:$P$495,(SUMPRODUCT((('CONTROL MASTER'!$S$2:$S$495=5)*('CONTROL MASTER'!$T$2:$T$495&lt;=4)*('CONTROL MASTER'!$V$2:$V$495&gt;=4)*('CONTROL MASTER'!$U$2:$U$495&lt;=2)*('CONTROL MASTER'!$W$2:$W$495&gt;=2))*ROW('CONTROL MASTER'!$S$2:$S$495))-(ROW('CONTROL MASTER'!#REF!)-1))),IF(SUMPRODUCT((('CONTROL MASTER'!$S$2:$S$495=5)*('CONTROL MASTER'!$Z$2:$Z$495&lt;=4)*('CONTROL MASTER'!$AB$2:$AB$495&gt;=4)*('CONTROL MASTER'!$AA$2:$AA$495&lt;=2)*('CONTROL MASTER'!$AC$2:$AC$495&gt;=2))*ROW('CONTROL MASTER'!$S$2:$S$495))&gt;0,INDEX('CONTROL MASTER'!$X$2:$X$495,(SUMPRODUCT((('CONTROL MASTER'!$S$2:$S$495=5)*('CONTROL MASTER'!$Z$2:$Z$495&lt;=4)*('CONTROL MASTER'!$AB$2:$AB$495&gt;=4)*('CONTROL MASTER'!$AA$2:$AA$495&lt;=2)*('CONTROL MASTER'!$AC$2:$AC$495&gt;=2))*ROW('CONTROL MASTER'!$S$2:$S$495))-(ROW('CONTROL MASTER'!#REF!)-1)))&amp;TRIM(MID(SUBSTITUTE(SUBSTITUTE(INDEX('CONTROL MASTER'!$N$2:$N$495,(SUMPRODUCT((('CONTROL MASTER'!$S$2:$S$495=5)*('CONTROL MASTER'!$Z$2:$Z$495&lt;=4)*('CONTROL MASTER'!$AB$2:$AB$495&gt;=4)*('CONTROL MASTER'!$AA$2:$AA$495&lt;=2)*('CONTROL MASTER'!$AC$2:$AC$495&gt;=2))*ROW('CONTROL MASTER'!$S$2:$S$495))-(ROW('CONTROL MASTER'!#REF!)-1))),":",","),",",REPT(" ",50)),(((INDEX('CONTROL MASTER'!$Y$2:$Y$495,(SUMPRODUCT((('CONTROL MASTER'!$S$2:$S$495=5)*('CONTROL MASTER'!$Z$2:$Z$495&lt;=4)*('CONTROL MASTER'!$AB$2:$AB$495&gt;=4)*('CONTROL MASTER'!$AA$2:$AA$495&lt;=2)*('CONTROL MASTER'!$AC$2:$AC$495&gt;=2))*ROW('CONTROL MASTER'!$S$2:$S$495))-(ROW('CONTROL MASTER'!#REF!)-1)))+((4-INDEX('CONTROL MASTER'!$Z$2:$Z$495,(SUMPRODUCT((('CONTROL MASTER'!$S$2:$S$495=5)*('CONTROL MASTER'!$Z$2:$Z$495&lt;=4)*('CONTROL MASTER'!$AB$2:$AB$495&gt;=4)*('CONTROL MASTER'!$AA$2:$AA$495&lt;=2)*('CONTROL MASTER'!$AC$2:$AC$495&gt;=2))*ROW('CONTROL MASTER'!$S$2:$S$495))-(ROW('CONTROL MASTER'!#REF!)-1))))*(INDEX('CONTROL MASTER'!$AC$2:$AC$495,(SUMPRODUCT((('CONTROL MASTER'!$S$2:$S$495=5)*('CONTROL MASTER'!$Z$2:$Z$495&lt;=4)*('CONTROL MASTER'!$AB$2:$AB$495&gt;=4)*('CONTROL MASTER'!$AA$2:$AA$495&lt;=2)*('CONTROL MASTER'!$AC$2:$AC$495&gt;=2))*ROW('CONTROL MASTER'!$S$2:$S$495))-(ROW('CONTROL MASTER'!#REF!)-1)))-INDEX('CONTROL MASTER'!$AA$2:$AA$495,(SUMPRODUCT((('CONTROL MASTER'!$S$2:$S$495=5)*('CONTROL MASTER'!$Z$2:$Z$495&lt;=4)*('CONTROL MASTER'!$AB$2:$AB$495&gt;=4)*('CONTROL MASTER'!$AA$2:$AA$495&lt;=2)*('CONTROL MASTER'!$AC$2:$AC$495&gt;=2))*ROW('CONTROL MASTER'!$S$2:$S$495))-(ROW('CONTROL MASTER'!#REF!)-1)))+1)+(2-INDEX('CONTROL MASTER'!$AA$2:$AA$495,(SUMPRODUCT((('CONTROL MASTER'!$S$2:$S$495=5)*('CONTROL MASTER'!$Z$2:$Z$495&lt;=4)*('CONTROL MASTER'!$AB$2:$AB$495&gt;=4)*('CONTROL MASTER'!$AA$2:$AA$495&lt;=2)*('CONTROL MASTER'!$AC$2:$AC$495&gt;=2))*ROW('CONTROL MASTER'!$S$2:$S$495))-(ROW('CONTROL MASTER'!#REF!)-1))))+1)))-1)*50+1,50))&amp;"_"&amp;INDEX('CONTROL MASTER'!$P$2:$P$495,(SUMPRODUCT((('CONTROL MASTER'!$S$2:$S$495=5)*('CONTROL MASTER'!$Z$2:$Z$495&lt;=4)*('CONTROL MASTER'!$AB$2:$AB$495&gt;=4)*('CONTROL MASTER'!$AA$2:$AA$495&lt;=2)*('CONTROL MASTER'!$AC$2:$AC$495&gt;=2))*ROW('CONTROL MASTER'!$S$2:$S$495))-(ROW('CONTROL MASTER'!#REF!)-1))),"")),"")</f>
        <v/>
      </c>
      <c r="D62" s="10" t="str">
        <f>IFERROR(IF(SUMPRODUCT((('CONTROL MASTER'!$S$2:$S$495=5)*('CONTROL MASTER'!$T$2:$T$495&lt;=4)*('CONTROL MASTER'!$V$2:$V$495&gt;=4)*('CONTROL MASTER'!$U$2:$U$495&lt;=3)*('CONTROL MASTER'!$W$2:$W$495&gt;=3))*ROW('CONTROL MASTER'!$S$2:$S$495))&gt;0,INDEX('CONTROL MASTER'!$X$2:$X$495,(SUMPRODUCT((('CONTROL MASTER'!$S$2:$S$495=5)*('CONTROL MASTER'!$T$2:$T$495&lt;=4)*('CONTROL MASTER'!$V$2:$V$495&gt;=4)*('CONTROL MASTER'!$U$2:$U$495&lt;=3)*('CONTROL MASTER'!$W$2:$W$495&gt;=3))*ROW('CONTROL MASTER'!$S$2:$S$495))-(ROW('CONTROL MASTER'!#REF!)-1)))&amp;TRIM(MID(SUBSTITUTE(SUBSTITUTE(INDEX('CONTROL MASTER'!$N$2:$N$495,(SUMPRODUCT((('CONTROL MASTER'!$S$2:$S$495=5)*('CONTROL MASTER'!$T$2:$T$495&lt;=4)*('CONTROL MASTER'!$V$2:$V$495&gt;=4)*('CONTROL MASTER'!$U$2:$U$495&lt;=3)*('CONTROL MASTER'!$W$2:$W$495&gt;=3))*ROW('CONTROL MASTER'!$S$2:$S$495))-(ROW('CONTROL MASTER'!#REF!)-1))),":",","),",",REPT(" ",50)),((((4-INDEX('CONTROL MASTER'!$T$2:$T$495,(SUMPRODUCT((('CONTROL MASTER'!$S$2:$S$495=5)*('CONTROL MASTER'!$T$2:$T$495&lt;=4)*('CONTROL MASTER'!$V$2:$V$495&gt;=4)*('CONTROL MASTER'!$U$2:$U$495&lt;=3)*('CONTROL MASTER'!$W$2:$W$495&gt;=3))*ROW('CONTROL MASTER'!$S$2:$S$495))-(ROW('CONTROL MASTER'!#REF!)-1))))*(INDEX('CONTROL MASTER'!$W$2:$W$495,(SUMPRODUCT((('CONTROL MASTER'!$S$2:$S$495=5)*('CONTROL MASTER'!$T$2:$T$495&lt;=4)*('CONTROL MASTER'!$V$2:$V$495&gt;=4)*('CONTROL MASTER'!$U$2:$U$495&lt;=3)*('CONTROL MASTER'!$W$2:$W$495&gt;=3))*ROW('CONTROL MASTER'!$S$2:$S$495))-(ROW('CONTROL MASTER'!#REF!)-1)))-INDEX('CONTROL MASTER'!$U$2:$U$495,(SUMPRODUCT((('CONTROL MASTER'!$S$2:$S$495=5)*('CONTROL MASTER'!$T$2:$T$495&lt;=4)*('CONTROL MASTER'!$V$2:$V$495&gt;=4)*('CONTROL MASTER'!$U$2:$U$495&lt;=3)*('CONTROL MASTER'!$W$2:$W$495&gt;=3))*ROW('CONTROL MASTER'!$S$2:$S$495))-(ROW('CONTROL MASTER'!#REF!)-1)))+1)+(3-INDEX('CONTROL MASTER'!$U$2:$U$495,(SUMPRODUCT((('CONTROL MASTER'!$S$2:$S$495=5)*('CONTROL MASTER'!$T$2:$T$495&lt;=4)*('CONTROL MASTER'!$V$2:$V$495&gt;=4)*('CONTROL MASTER'!$U$2:$U$495&lt;=3)*('CONTROL MASTER'!$W$2:$W$495&gt;=3))*ROW('CONTROL MASTER'!$S$2:$S$495))-(ROW('CONTROL MASTER'!#REF!)-1))))+1))-1)*50+1,50))&amp;"_"&amp;INDEX('CONTROL MASTER'!$P$2:$P$495,(SUMPRODUCT((('CONTROL MASTER'!$S$2:$S$495=5)*('CONTROL MASTER'!$T$2:$T$495&lt;=4)*('CONTROL MASTER'!$V$2:$V$495&gt;=4)*('CONTROL MASTER'!$U$2:$U$495&lt;=3)*('CONTROL MASTER'!$W$2:$W$495&gt;=3))*ROW('CONTROL MASTER'!$S$2:$S$495))-(ROW('CONTROL MASTER'!#REF!)-1))),IF(SUMPRODUCT((('CONTROL MASTER'!$S$2:$S$495=5)*('CONTROL MASTER'!$Z$2:$Z$495&lt;=4)*('CONTROL MASTER'!$AB$2:$AB$495&gt;=4)*('CONTROL MASTER'!$AA$2:$AA$495&lt;=3)*('CONTROL MASTER'!$AC$2:$AC$495&gt;=3))*ROW('CONTROL MASTER'!$S$2:$S$495))&gt;0,INDEX('CONTROL MASTER'!$X$2:$X$495,(SUMPRODUCT((('CONTROL MASTER'!$S$2:$S$495=5)*('CONTROL MASTER'!$Z$2:$Z$495&lt;=4)*('CONTROL MASTER'!$AB$2:$AB$495&gt;=4)*('CONTROL MASTER'!$AA$2:$AA$495&lt;=3)*('CONTROL MASTER'!$AC$2:$AC$495&gt;=3))*ROW('CONTROL MASTER'!$S$2:$S$495))-(ROW('CONTROL MASTER'!#REF!)-1)))&amp;TRIM(MID(SUBSTITUTE(SUBSTITUTE(INDEX('CONTROL MASTER'!$N$2:$N$495,(SUMPRODUCT((('CONTROL MASTER'!$S$2:$S$495=5)*('CONTROL MASTER'!$Z$2:$Z$495&lt;=4)*('CONTROL MASTER'!$AB$2:$AB$495&gt;=4)*('CONTROL MASTER'!$AA$2:$AA$495&lt;=3)*('CONTROL MASTER'!$AC$2:$AC$495&gt;=3))*ROW('CONTROL MASTER'!$S$2:$S$495))-(ROW('CONTROL MASTER'!#REF!)-1))),":",","),",",REPT(" ",50)),(((INDEX('CONTROL MASTER'!$Y$2:$Y$495,(SUMPRODUCT((('CONTROL MASTER'!$S$2:$S$495=5)*('CONTROL MASTER'!$Z$2:$Z$495&lt;=4)*('CONTROL MASTER'!$AB$2:$AB$495&gt;=4)*('CONTROL MASTER'!$AA$2:$AA$495&lt;=3)*('CONTROL MASTER'!$AC$2:$AC$495&gt;=3))*ROW('CONTROL MASTER'!$S$2:$S$495))-(ROW('CONTROL MASTER'!#REF!)-1)))+((4-INDEX('CONTROL MASTER'!$Z$2:$Z$495,(SUMPRODUCT((('CONTROL MASTER'!$S$2:$S$495=5)*('CONTROL MASTER'!$Z$2:$Z$495&lt;=4)*('CONTROL MASTER'!$AB$2:$AB$495&gt;=4)*('CONTROL MASTER'!$AA$2:$AA$495&lt;=3)*('CONTROL MASTER'!$AC$2:$AC$495&gt;=3))*ROW('CONTROL MASTER'!$S$2:$S$495))-(ROW('CONTROL MASTER'!#REF!)-1))))*(INDEX('CONTROL MASTER'!$AC$2:$AC$495,(SUMPRODUCT((('CONTROL MASTER'!$S$2:$S$495=5)*('CONTROL MASTER'!$Z$2:$Z$495&lt;=4)*('CONTROL MASTER'!$AB$2:$AB$495&gt;=4)*('CONTROL MASTER'!$AA$2:$AA$495&lt;=3)*('CONTROL MASTER'!$AC$2:$AC$495&gt;=3))*ROW('CONTROL MASTER'!$S$2:$S$495))-(ROW('CONTROL MASTER'!#REF!)-1)))-INDEX('CONTROL MASTER'!$AA$2:$AA$495,(SUMPRODUCT((('CONTROL MASTER'!$S$2:$S$495=5)*('CONTROL MASTER'!$Z$2:$Z$495&lt;=4)*('CONTROL MASTER'!$AB$2:$AB$495&gt;=4)*('CONTROL MASTER'!$AA$2:$AA$495&lt;=3)*('CONTROL MASTER'!$AC$2:$AC$495&gt;=3))*ROW('CONTROL MASTER'!$S$2:$S$495))-(ROW('CONTROL MASTER'!#REF!)-1)))+1)+(3-INDEX('CONTROL MASTER'!$AA$2:$AA$495,(SUMPRODUCT((('CONTROL MASTER'!$S$2:$S$495=5)*('CONTROL MASTER'!$Z$2:$Z$495&lt;=4)*('CONTROL MASTER'!$AB$2:$AB$495&gt;=4)*('CONTROL MASTER'!$AA$2:$AA$495&lt;=3)*('CONTROL MASTER'!$AC$2:$AC$495&gt;=3))*ROW('CONTROL MASTER'!$S$2:$S$495))-(ROW('CONTROL MASTER'!#REF!)-1))))+1)))-1)*50+1,50))&amp;"_"&amp;INDEX('CONTROL MASTER'!$P$2:$P$495,(SUMPRODUCT((('CONTROL MASTER'!$S$2:$S$495=5)*('CONTROL MASTER'!$Z$2:$Z$495&lt;=4)*('CONTROL MASTER'!$AB$2:$AB$495&gt;=4)*('CONTROL MASTER'!$AA$2:$AA$495&lt;=3)*('CONTROL MASTER'!$AC$2:$AC$495&gt;=3))*ROW('CONTROL MASTER'!$S$2:$S$495))-(ROW('CONTROL MASTER'!#REF!)-1))),"")),"")</f>
        <v/>
      </c>
      <c r="E62" s="10" t="str">
        <f>IFERROR(IF(SUMPRODUCT((('CONTROL MASTER'!$S$2:$S$495=5)*('CONTROL MASTER'!$T$2:$T$495&lt;=4)*('CONTROL MASTER'!$V$2:$V$495&gt;=4)*('CONTROL MASTER'!$U$2:$U$495&lt;=4)*('CONTROL MASTER'!$W$2:$W$495&gt;=4))*ROW('CONTROL MASTER'!$S$2:$S$495))&gt;0,INDEX('CONTROL MASTER'!$X$2:$X$495,(SUMPRODUCT((('CONTROL MASTER'!$S$2:$S$495=5)*('CONTROL MASTER'!$T$2:$T$495&lt;=4)*('CONTROL MASTER'!$V$2:$V$495&gt;=4)*('CONTROL MASTER'!$U$2:$U$495&lt;=4)*('CONTROL MASTER'!$W$2:$W$495&gt;=4))*ROW('CONTROL MASTER'!$S$2:$S$495))-(ROW('CONTROL MASTER'!#REF!)-1)))&amp;TRIM(MID(SUBSTITUTE(SUBSTITUTE(INDEX('CONTROL MASTER'!$N$2:$N$495,(SUMPRODUCT((('CONTROL MASTER'!$S$2:$S$495=5)*('CONTROL MASTER'!$T$2:$T$495&lt;=4)*('CONTROL MASTER'!$V$2:$V$495&gt;=4)*('CONTROL MASTER'!$U$2:$U$495&lt;=4)*('CONTROL MASTER'!$W$2:$W$495&gt;=4))*ROW('CONTROL MASTER'!$S$2:$S$495))-(ROW('CONTROL MASTER'!#REF!)-1))),":",","),",",REPT(" ",50)),((((4-INDEX('CONTROL MASTER'!$T$2:$T$495,(SUMPRODUCT((('CONTROL MASTER'!$S$2:$S$495=5)*('CONTROL MASTER'!$T$2:$T$495&lt;=4)*('CONTROL MASTER'!$V$2:$V$495&gt;=4)*('CONTROL MASTER'!$U$2:$U$495&lt;=4)*('CONTROL MASTER'!$W$2:$W$495&gt;=4))*ROW('CONTROL MASTER'!$S$2:$S$495))-(ROW('CONTROL MASTER'!#REF!)-1))))*(INDEX('CONTROL MASTER'!$W$2:$W$495,(SUMPRODUCT((('CONTROL MASTER'!$S$2:$S$495=5)*('CONTROL MASTER'!$T$2:$T$495&lt;=4)*('CONTROL MASTER'!$V$2:$V$495&gt;=4)*('CONTROL MASTER'!$U$2:$U$495&lt;=4)*('CONTROL MASTER'!$W$2:$W$495&gt;=4))*ROW('CONTROL MASTER'!$S$2:$S$495))-(ROW('CONTROL MASTER'!#REF!)-1)))-INDEX('CONTROL MASTER'!$U$2:$U$495,(SUMPRODUCT((('CONTROL MASTER'!$S$2:$S$495=5)*('CONTROL MASTER'!$T$2:$T$495&lt;=4)*('CONTROL MASTER'!$V$2:$V$495&gt;=4)*('CONTROL MASTER'!$U$2:$U$495&lt;=4)*('CONTROL MASTER'!$W$2:$W$495&gt;=4))*ROW('CONTROL MASTER'!$S$2:$S$495))-(ROW('CONTROL MASTER'!#REF!)-1)))+1)+(4-INDEX('CONTROL MASTER'!$U$2:$U$495,(SUMPRODUCT((('CONTROL MASTER'!$S$2:$S$495=5)*('CONTROL MASTER'!$T$2:$T$495&lt;=4)*('CONTROL MASTER'!$V$2:$V$495&gt;=4)*('CONTROL MASTER'!$U$2:$U$495&lt;=4)*('CONTROL MASTER'!$W$2:$W$495&gt;=4))*ROW('CONTROL MASTER'!$S$2:$S$495))-(ROW('CONTROL MASTER'!#REF!)-1))))+1))-1)*50+1,50))&amp;"_"&amp;INDEX('CONTROL MASTER'!$P$2:$P$495,(SUMPRODUCT((('CONTROL MASTER'!$S$2:$S$495=5)*('CONTROL MASTER'!$T$2:$T$495&lt;=4)*('CONTROL MASTER'!$V$2:$V$495&gt;=4)*('CONTROL MASTER'!$U$2:$U$495&lt;=4)*('CONTROL MASTER'!$W$2:$W$495&gt;=4))*ROW('CONTROL MASTER'!$S$2:$S$495))-(ROW('CONTROL MASTER'!#REF!)-1))),IF(SUMPRODUCT((('CONTROL MASTER'!$S$2:$S$495=5)*('CONTROL MASTER'!$Z$2:$Z$495&lt;=4)*('CONTROL MASTER'!$AB$2:$AB$495&gt;=4)*('CONTROL MASTER'!$AA$2:$AA$495&lt;=4)*('CONTROL MASTER'!$AC$2:$AC$495&gt;=4))*ROW('CONTROL MASTER'!$S$2:$S$495))&gt;0,INDEX('CONTROL MASTER'!$X$2:$X$495,(SUMPRODUCT((('CONTROL MASTER'!$S$2:$S$495=5)*('CONTROL MASTER'!$Z$2:$Z$495&lt;=4)*('CONTROL MASTER'!$AB$2:$AB$495&gt;=4)*('CONTROL MASTER'!$AA$2:$AA$495&lt;=4)*('CONTROL MASTER'!$AC$2:$AC$495&gt;=4))*ROW('CONTROL MASTER'!$S$2:$S$495))-(ROW('CONTROL MASTER'!#REF!)-1)))&amp;TRIM(MID(SUBSTITUTE(SUBSTITUTE(INDEX('CONTROL MASTER'!$N$2:$N$495,(SUMPRODUCT((('CONTROL MASTER'!$S$2:$S$495=5)*('CONTROL MASTER'!$Z$2:$Z$495&lt;=4)*('CONTROL MASTER'!$AB$2:$AB$495&gt;=4)*('CONTROL MASTER'!$AA$2:$AA$495&lt;=4)*('CONTROL MASTER'!$AC$2:$AC$495&gt;=4))*ROW('CONTROL MASTER'!$S$2:$S$495))-(ROW('CONTROL MASTER'!#REF!)-1))),":",","),",",REPT(" ",50)),(((INDEX('CONTROL MASTER'!$Y$2:$Y$495,(SUMPRODUCT((('CONTROL MASTER'!$S$2:$S$495=5)*('CONTROL MASTER'!$Z$2:$Z$495&lt;=4)*('CONTROL MASTER'!$AB$2:$AB$495&gt;=4)*('CONTROL MASTER'!$AA$2:$AA$495&lt;=4)*('CONTROL MASTER'!$AC$2:$AC$495&gt;=4))*ROW('CONTROL MASTER'!$S$2:$S$495))-(ROW('CONTROL MASTER'!#REF!)-1)))+((4-INDEX('CONTROL MASTER'!$Z$2:$Z$495,(SUMPRODUCT((('CONTROL MASTER'!$S$2:$S$495=5)*('CONTROL MASTER'!$Z$2:$Z$495&lt;=4)*('CONTROL MASTER'!$AB$2:$AB$495&gt;=4)*('CONTROL MASTER'!$AA$2:$AA$495&lt;=4)*('CONTROL MASTER'!$AC$2:$AC$495&gt;=4))*ROW('CONTROL MASTER'!$S$2:$S$495))-(ROW('CONTROL MASTER'!#REF!)-1))))*(INDEX('CONTROL MASTER'!$AC$2:$AC$495,(SUMPRODUCT((('CONTROL MASTER'!$S$2:$S$495=5)*('CONTROL MASTER'!$Z$2:$Z$495&lt;=4)*('CONTROL MASTER'!$AB$2:$AB$495&gt;=4)*('CONTROL MASTER'!$AA$2:$AA$495&lt;=4)*('CONTROL MASTER'!$AC$2:$AC$495&gt;=4))*ROW('CONTROL MASTER'!$S$2:$S$495))-(ROW('CONTROL MASTER'!#REF!)-1)))-INDEX('CONTROL MASTER'!$AA$2:$AA$495,(SUMPRODUCT((('CONTROL MASTER'!$S$2:$S$495=5)*('CONTROL MASTER'!$Z$2:$Z$495&lt;=4)*('CONTROL MASTER'!$AB$2:$AB$495&gt;=4)*('CONTROL MASTER'!$AA$2:$AA$495&lt;=4)*('CONTROL MASTER'!$AC$2:$AC$495&gt;=4))*ROW('CONTROL MASTER'!$S$2:$S$495))-(ROW('CONTROL MASTER'!#REF!)-1)))+1)+(4-INDEX('CONTROL MASTER'!$AA$2:$AA$495,(SUMPRODUCT((('CONTROL MASTER'!$S$2:$S$495=5)*('CONTROL MASTER'!$Z$2:$Z$495&lt;=4)*('CONTROL MASTER'!$AB$2:$AB$495&gt;=4)*('CONTROL MASTER'!$AA$2:$AA$495&lt;=4)*('CONTROL MASTER'!$AC$2:$AC$495&gt;=4))*ROW('CONTROL MASTER'!$S$2:$S$495))-(ROW('CONTROL MASTER'!#REF!)-1))))+1)))-1)*50+1,50))&amp;"_"&amp;INDEX('CONTROL MASTER'!$P$2:$P$495,(SUMPRODUCT((('CONTROL MASTER'!$S$2:$S$495=5)*('CONTROL MASTER'!$Z$2:$Z$495&lt;=4)*('CONTROL MASTER'!$AB$2:$AB$495&gt;=4)*('CONTROL MASTER'!$AA$2:$AA$495&lt;=4)*('CONTROL MASTER'!$AC$2:$AC$495&gt;=4))*ROW('CONTROL MASTER'!$S$2:$S$495))-(ROW('CONTROL MASTER'!#REF!)-1))),"")),"")</f>
        <v/>
      </c>
      <c r="F62" s="10" t="str">
        <f>IFERROR(IF(SUMPRODUCT((('CONTROL MASTER'!$S$2:$S$495=5)*('CONTROL MASTER'!$T$2:$T$495&lt;=4)*('CONTROL MASTER'!$V$2:$V$495&gt;=4)*('CONTROL MASTER'!$U$2:$U$495&lt;=5)*('CONTROL MASTER'!$W$2:$W$495&gt;=5))*ROW('CONTROL MASTER'!$S$2:$S$495))&gt;0,INDEX('CONTROL MASTER'!$X$2:$X$495,(SUMPRODUCT((('CONTROL MASTER'!$S$2:$S$495=5)*('CONTROL MASTER'!$T$2:$T$495&lt;=4)*('CONTROL MASTER'!$V$2:$V$495&gt;=4)*('CONTROL MASTER'!$U$2:$U$495&lt;=5)*('CONTROL MASTER'!$W$2:$W$495&gt;=5))*ROW('CONTROL MASTER'!$S$2:$S$495))-(ROW('CONTROL MASTER'!#REF!)-1)))&amp;TRIM(MID(SUBSTITUTE(SUBSTITUTE(INDEX('CONTROL MASTER'!$N$2:$N$495,(SUMPRODUCT((('CONTROL MASTER'!$S$2:$S$495=5)*('CONTROL MASTER'!$T$2:$T$495&lt;=4)*('CONTROL MASTER'!$V$2:$V$495&gt;=4)*('CONTROL MASTER'!$U$2:$U$495&lt;=5)*('CONTROL MASTER'!$W$2:$W$495&gt;=5))*ROW('CONTROL MASTER'!$S$2:$S$495))-(ROW('CONTROL MASTER'!#REF!)-1))),":",","),",",REPT(" ",50)),((((4-INDEX('CONTROL MASTER'!$T$2:$T$495,(SUMPRODUCT((('CONTROL MASTER'!$S$2:$S$495=5)*('CONTROL MASTER'!$T$2:$T$495&lt;=4)*('CONTROL MASTER'!$V$2:$V$495&gt;=4)*('CONTROL MASTER'!$U$2:$U$495&lt;=5)*('CONTROL MASTER'!$W$2:$W$495&gt;=5))*ROW('CONTROL MASTER'!$S$2:$S$495))-(ROW('CONTROL MASTER'!#REF!)-1))))*(INDEX('CONTROL MASTER'!$W$2:$W$495,(SUMPRODUCT((('CONTROL MASTER'!$S$2:$S$495=5)*('CONTROL MASTER'!$T$2:$T$495&lt;=4)*('CONTROL MASTER'!$V$2:$V$495&gt;=4)*('CONTROL MASTER'!$U$2:$U$495&lt;=5)*('CONTROL MASTER'!$W$2:$W$495&gt;=5))*ROW('CONTROL MASTER'!$S$2:$S$495))-(ROW('CONTROL MASTER'!#REF!)-1)))-INDEX('CONTROL MASTER'!$U$2:$U$495,(SUMPRODUCT((('CONTROL MASTER'!$S$2:$S$495=5)*('CONTROL MASTER'!$T$2:$T$495&lt;=4)*('CONTROL MASTER'!$V$2:$V$495&gt;=4)*('CONTROL MASTER'!$U$2:$U$495&lt;=5)*('CONTROL MASTER'!$W$2:$W$495&gt;=5))*ROW('CONTROL MASTER'!$S$2:$S$495))-(ROW('CONTROL MASTER'!#REF!)-1)))+1)+(5-INDEX('CONTROL MASTER'!$U$2:$U$495,(SUMPRODUCT((('CONTROL MASTER'!$S$2:$S$495=5)*('CONTROL MASTER'!$T$2:$T$495&lt;=4)*('CONTROL MASTER'!$V$2:$V$495&gt;=4)*('CONTROL MASTER'!$U$2:$U$495&lt;=5)*('CONTROL MASTER'!$W$2:$W$495&gt;=5))*ROW('CONTROL MASTER'!$S$2:$S$495))-(ROW('CONTROL MASTER'!#REF!)-1))))+1))-1)*50+1,50))&amp;"_"&amp;INDEX('CONTROL MASTER'!$P$2:$P$495,(SUMPRODUCT((('CONTROL MASTER'!$S$2:$S$495=5)*('CONTROL MASTER'!$T$2:$T$495&lt;=4)*('CONTROL MASTER'!$V$2:$V$495&gt;=4)*('CONTROL MASTER'!$U$2:$U$495&lt;=5)*('CONTROL MASTER'!$W$2:$W$495&gt;=5))*ROW('CONTROL MASTER'!$S$2:$S$495))-(ROW('CONTROL MASTER'!#REF!)-1))),IF(SUMPRODUCT((('CONTROL MASTER'!$S$2:$S$495=5)*('CONTROL MASTER'!$Z$2:$Z$495&lt;=4)*('CONTROL MASTER'!$AB$2:$AB$495&gt;=4)*('CONTROL MASTER'!$AA$2:$AA$495&lt;=5)*('CONTROL MASTER'!$AC$2:$AC$495&gt;=5))*ROW('CONTROL MASTER'!$S$2:$S$495))&gt;0,INDEX('CONTROL MASTER'!$X$2:$X$495,(SUMPRODUCT((('CONTROL MASTER'!$S$2:$S$495=5)*('CONTROL MASTER'!$Z$2:$Z$495&lt;=4)*('CONTROL MASTER'!$AB$2:$AB$495&gt;=4)*('CONTROL MASTER'!$AA$2:$AA$495&lt;=5)*('CONTROL MASTER'!$AC$2:$AC$495&gt;=5))*ROW('CONTROL MASTER'!$S$2:$S$495))-(ROW('CONTROL MASTER'!#REF!)-1)))&amp;TRIM(MID(SUBSTITUTE(SUBSTITUTE(INDEX('CONTROL MASTER'!$N$2:$N$495,(SUMPRODUCT((('CONTROL MASTER'!$S$2:$S$495=5)*('CONTROL MASTER'!$Z$2:$Z$495&lt;=4)*('CONTROL MASTER'!$AB$2:$AB$495&gt;=4)*('CONTROL MASTER'!$AA$2:$AA$495&lt;=5)*('CONTROL MASTER'!$AC$2:$AC$495&gt;=5))*ROW('CONTROL MASTER'!$S$2:$S$495))-(ROW('CONTROL MASTER'!#REF!)-1))),":",","),",",REPT(" ",50)),(((INDEX('CONTROL MASTER'!$Y$2:$Y$495,(SUMPRODUCT((('CONTROL MASTER'!$S$2:$S$495=5)*('CONTROL MASTER'!$Z$2:$Z$495&lt;=4)*('CONTROL MASTER'!$AB$2:$AB$495&gt;=4)*('CONTROL MASTER'!$AA$2:$AA$495&lt;=5)*('CONTROL MASTER'!$AC$2:$AC$495&gt;=5))*ROW('CONTROL MASTER'!$S$2:$S$495))-(ROW('CONTROL MASTER'!#REF!)-1)))+((4-INDEX('CONTROL MASTER'!$Z$2:$Z$495,(SUMPRODUCT((('CONTROL MASTER'!$S$2:$S$495=5)*('CONTROL MASTER'!$Z$2:$Z$495&lt;=4)*('CONTROL MASTER'!$AB$2:$AB$495&gt;=4)*('CONTROL MASTER'!$AA$2:$AA$495&lt;=5)*('CONTROL MASTER'!$AC$2:$AC$495&gt;=5))*ROW('CONTROL MASTER'!$S$2:$S$495))-(ROW('CONTROL MASTER'!#REF!)-1))))*(INDEX('CONTROL MASTER'!$AC$2:$AC$495,(SUMPRODUCT((('CONTROL MASTER'!$S$2:$S$495=5)*('CONTROL MASTER'!$Z$2:$Z$495&lt;=4)*('CONTROL MASTER'!$AB$2:$AB$495&gt;=4)*('CONTROL MASTER'!$AA$2:$AA$495&lt;=5)*('CONTROL MASTER'!$AC$2:$AC$495&gt;=5))*ROW('CONTROL MASTER'!$S$2:$S$495))-(ROW('CONTROL MASTER'!#REF!)-1)))-INDEX('CONTROL MASTER'!$AA$2:$AA$495,(SUMPRODUCT((('CONTROL MASTER'!$S$2:$S$495=5)*('CONTROL MASTER'!$Z$2:$Z$495&lt;=4)*('CONTROL MASTER'!$AB$2:$AB$495&gt;=4)*('CONTROL MASTER'!$AA$2:$AA$495&lt;=5)*('CONTROL MASTER'!$AC$2:$AC$495&gt;=5))*ROW('CONTROL MASTER'!$S$2:$S$495))-(ROW('CONTROL MASTER'!#REF!)-1)))+1)+(5-INDEX('CONTROL MASTER'!$AA$2:$AA$495,(SUMPRODUCT((('CONTROL MASTER'!$S$2:$S$495=5)*('CONTROL MASTER'!$Z$2:$Z$495&lt;=4)*('CONTROL MASTER'!$AB$2:$AB$495&gt;=4)*('CONTROL MASTER'!$AA$2:$AA$495&lt;=5)*('CONTROL MASTER'!$AC$2:$AC$495&gt;=5))*ROW('CONTROL MASTER'!$S$2:$S$495))-(ROW('CONTROL MASTER'!#REF!)-1))))+1)))-1)*50+1,50))&amp;"_"&amp;INDEX('CONTROL MASTER'!$P$2:$P$495,(SUMPRODUCT((('CONTROL MASTER'!$S$2:$S$495=5)*('CONTROL MASTER'!$Z$2:$Z$495&lt;=4)*('CONTROL MASTER'!$AB$2:$AB$495&gt;=4)*('CONTROL MASTER'!$AA$2:$AA$495&lt;=5)*('CONTROL MASTER'!$AC$2:$AC$495&gt;=5))*ROW('CONTROL MASTER'!$S$2:$S$495))-(ROW('CONTROL MASTER'!#REF!)-1))),"")),"")</f>
        <v/>
      </c>
      <c r="G62" s="10" t="str">
        <f>IFERROR(IF(SUMPRODUCT((('CONTROL MASTER'!$S$2:$S$495=5)*('CONTROL MASTER'!$T$2:$T$495&lt;=4)*('CONTROL MASTER'!$V$2:$V$495&gt;=4)*('CONTROL MASTER'!$U$2:$U$495&lt;=6)*('CONTROL MASTER'!$W$2:$W$495&gt;=6))*ROW('CONTROL MASTER'!$S$2:$S$495))&gt;0,INDEX('CONTROL MASTER'!$X$2:$X$495,(SUMPRODUCT((('CONTROL MASTER'!$S$2:$S$495=5)*('CONTROL MASTER'!$T$2:$T$495&lt;=4)*('CONTROL MASTER'!$V$2:$V$495&gt;=4)*('CONTROL MASTER'!$U$2:$U$495&lt;=6)*('CONTROL MASTER'!$W$2:$W$495&gt;=6))*ROW('CONTROL MASTER'!$S$2:$S$495))-(ROW('CONTROL MASTER'!#REF!)-1)))&amp;TRIM(MID(SUBSTITUTE(SUBSTITUTE(INDEX('CONTROL MASTER'!$N$2:$N$495,(SUMPRODUCT((('CONTROL MASTER'!$S$2:$S$495=5)*('CONTROL MASTER'!$T$2:$T$495&lt;=4)*('CONTROL MASTER'!$V$2:$V$495&gt;=4)*('CONTROL MASTER'!$U$2:$U$495&lt;=6)*('CONTROL MASTER'!$W$2:$W$495&gt;=6))*ROW('CONTROL MASTER'!$S$2:$S$495))-(ROW('CONTROL MASTER'!#REF!)-1))),":",","),",",REPT(" ",50)),((((4-INDEX('CONTROL MASTER'!$T$2:$T$495,(SUMPRODUCT((('CONTROL MASTER'!$S$2:$S$495=5)*('CONTROL MASTER'!$T$2:$T$495&lt;=4)*('CONTROL MASTER'!$V$2:$V$495&gt;=4)*('CONTROL MASTER'!$U$2:$U$495&lt;=6)*('CONTROL MASTER'!$W$2:$W$495&gt;=6))*ROW('CONTROL MASTER'!$S$2:$S$495))-(ROW('CONTROL MASTER'!#REF!)-1))))*(INDEX('CONTROL MASTER'!$W$2:$W$495,(SUMPRODUCT((('CONTROL MASTER'!$S$2:$S$495=5)*('CONTROL MASTER'!$T$2:$T$495&lt;=4)*('CONTROL MASTER'!$V$2:$V$495&gt;=4)*('CONTROL MASTER'!$U$2:$U$495&lt;=6)*('CONTROL MASTER'!$W$2:$W$495&gt;=6))*ROW('CONTROL MASTER'!$S$2:$S$495))-(ROW('CONTROL MASTER'!#REF!)-1)))-INDEX('CONTROL MASTER'!$U$2:$U$495,(SUMPRODUCT((('CONTROL MASTER'!$S$2:$S$495=5)*('CONTROL MASTER'!$T$2:$T$495&lt;=4)*('CONTROL MASTER'!$V$2:$V$495&gt;=4)*('CONTROL MASTER'!$U$2:$U$495&lt;=6)*('CONTROL MASTER'!$W$2:$W$495&gt;=6))*ROW('CONTROL MASTER'!$S$2:$S$495))-(ROW('CONTROL MASTER'!#REF!)-1)))+1)+(6-INDEX('CONTROL MASTER'!$U$2:$U$495,(SUMPRODUCT((('CONTROL MASTER'!$S$2:$S$495=5)*('CONTROL MASTER'!$T$2:$T$495&lt;=4)*('CONTROL MASTER'!$V$2:$V$495&gt;=4)*('CONTROL MASTER'!$U$2:$U$495&lt;=6)*('CONTROL MASTER'!$W$2:$W$495&gt;=6))*ROW('CONTROL MASTER'!$S$2:$S$495))-(ROW('CONTROL MASTER'!#REF!)-1))))+1))-1)*50+1,50))&amp;"_"&amp;INDEX('CONTROL MASTER'!$P$2:$P$495,(SUMPRODUCT((('CONTROL MASTER'!$S$2:$S$495=5)*('CONTROL MASTER'!$T$2:$T$495&lt;=4)*('CONTROL MASTER'!$V$2:$V$495&gt;=4)*('CONTROL MASTER'!$U$2:$U$495&lt;=6)*('CONTROL MASTER'!$W$2:$W$495&gt;=6))*ROW('CONTROL MASTER'!$S$2:$S$495))-(ROW('CONTROL MASTER'!#REF!)-1))),IF(SUMPRODUCT((('CONTROL MASTER'!$S$2:$S$495=5)*('CONTROL MASTER'!$Z$2:$Z$495&lt;=4)*('CONTROL MASTER'!$AB$2:$AB$495&gt;=4)*('CONTROL MASTER'!$AA$2:$AA$495&lt;=6)*('CONTROL MASTER'!$AC$2:$AC$495&gt;=6))*ROW('CONTROL MASTER'!$S$2:$S$495))&gt;0,INDEX('CONTROL MASTER'!$X$2:$X$495,(SUMPRODUCT((('CONTROL MASTER'!$S$2:$S$495=5)*('CONTROL MASTER'!$Z$2:$Z$495&lt;=4)*('CONTROL MASTER'!$AB$2:$AB$495&gt;=4)*('CONTROL MASTER'!$AA$2:$AA$495&lt;=6)*('CONTROL MASTER'!$AC$2:$AC$495&gt;=6))*ROW('CONTROL MASTER'!$S$2:$S$495))-(ROW('CONTROL MASTER'!#REF!)-1)))&amp;TRIM(MID(SUBSTITUTE(SUBSTITUTE(INDEX('CONTROL MASTER'!$N$2:$N$495,(SUMPRODUCT((('CONTROL MASTER'!$S$2:$S$495=5)*('CONTROL MASTER'!$Z$2:$Z$495&lt;=4)*('CONTROL MASTER'!$AB$2:$AB$495&gt;=4)*('CONTROL MASTER'!$AA$2:$AA$495&lt;=6)*('CONTROL MASTER'!$AC$2:$AC$495&gt;=6))*ROW('CONTROL MASTER'!$S$2:$S$495))-(ROW('CONTROL MASTER'!#REF!)-1))),":",","),",",REPT(" ",50)),(((INDEX('CONTROL MASTER'!$Y$2:$Y$495,(SUMPRODUCT((('CONTROL MASTER'!$S$2:$S$495=5)*('CONTROL MASTER'!$Z$2:$Z$495&lt;=4)*('CONTROL MASTER'!$AB$2:$AB$495&gt;=4)*('CONTROL MASTER'!$AA$2:$AA$495&lt;=6)*('CONTROL MASTER'!$AC$2:$AC$495&gt;=6))*ROW('CONTROL MASTER'!$S$2:$S$495))-(ROW('CONTROL MASTER'!#REF!)-1)))+((4-INDEX('CONTROL MASTER'!$Z$2:$Z$495,(SUMPRODUCT((('CONTROL MASTER'!$S$2:$S$495=5)*('CONTROL MASTER'!$Z$2:$Z$495&lt;=4)*('CONTROL MASTER'!$AB$2:$AB$495&gt;=4)*('CONTROL MASTER'!$AA$2:$AA$495&lt;=6)*('CONTROL MASTER'!$AC$2:$AC$495&gt;=6))*ROW('CONTROL MASTER'!$S$2:$S$495))-(ROW('CONTROL MASTER'!#REF!)-1))))*(INDEX('CONTROL MASTER'!$AC$2:$AC$495,(SUMPRODUCT((('CONTROL MASTER'!$S$2:$S$495=5)*('CONTROL MASTER'!$Z$2:$Z$495&lt;=4)*('CONTROL MASTER'!$AB$2:$AB$495&gt;=4)*('CONTROL MASTER'!$AA$2:$AA$495&lt;=6)*('CONTROL MASTER'!$AC$2:$AC$495&gt;=6))*ROW('CONTROL MASTER'!$S$2:$S$495))-(ROW('CONTROL MASTER'!#REF!)-1)))-INDEX('CONTROL MASTER'!$AA$2:$AA$495,(SUMPRODUCT((('CONTROL MASTER'!$S$2:$S$495=5)*('CONTROL MASTER'!$Z$2:$Z$495&lt;=4)*('CONTROL MASTER'!$AB$2:$AB$495&gt;=4)*('CONTROL MASTER'!$AA$2:$AA$495&lt;=6)*('CONTROL MASTER'!$AC$2:$AC$495&gt;=6))*ROW('CONTROL MASTER'!$S$2:$S$495))-(ROW('CONTROL MASTER'!#REF!)-1)))+1)+(6-INDEX('CONTROL MASTER'!$AA$2:$AA$495,(SUMPRODUCT((('CONTROL MASTER'!$S$2:$S$495=5)*('CONTROL MASTER'!$Z$2:$Z$495&lt;=4)*('CONTROL MASTER'!$AB$2:$AB$495&gt;=4)*('CONTROL MASTER'!$AA$2:$AA$495&lt;=6)*('CONTROL MASTER'!$AC$2:$AC$495&gt;=6))*ROW('CONTROL MASTER'!$S$2:$S$495))-(ROW('CONTROL MASTER'!#REF!)-1))))+1)))-1)*50+1,50))&amp;"_"&amp;INDEX('CONTROL MASTER'!$P$2:$P$495,(SUMPRODUCT((('CONTROL MASTER'!$S$2:$S$495=5)*('CONTROL MASTER'!$Z$2:$Z$495&lt;=4)*('CONTROL MASTER'!$AB$2:$AB$495&gt;=4)*('CONTROL MASTER'!$AA$2:$AA$495&lt;=6)*('CONTROL MASTER'!$AC$2:$AC$495&gt;=6))*ROW('CONTROL MASTER'!$S$2:$S$495))-(ROW('CONTROL MASTER'!#REF!)-1))),"")),"")</f>
        <v/>
      </c>
      <c r="H62" s="10" t="str">
        <f>IFERROR(IF(SUMPRODUCT((('CONTROL MASTER'!$S$2:$S$495=5)*('CONTROL MASTER'!$T$2:$T$495&lt;=4)*('CONTROL MASTER'!$V$2:$V$495&gt;=4)*('CONTROL MASTER'!$U$2:$U$495&lt;=7)*('CONTROL MASTER'!$W$2:$W$495&gt;=7))*ROW('CONTROL MASTER'!$S$2:$S$495))&gt;0,INDEX('CONTROL MASTER'!$X$2:$X$495,(SUMPRODUCT((('CONTROL MASTER'!$S$2:$S$495=5)*('CONTROL MASTER'!$T$2:$T$495&lt;=4)*('CONTROL MASTER'!$V$2:$V$495&gt;=4)*('CONTROL MASTER'!$U$2:$U$495&lt;=7)*('CONTROL MASTER'!$W$2:$W$495&gt;=7))*ROW('CONTROL MASTER'!$S$2:$S$495))-(ROW('CONTROL MASTER'!#REF!)-1)))&amp;TRIM(MID(SUBSTITUTE(SUBSTITUTE(INDEX('CONTROL MASTER'!$N$2:$N$495,(SUMPRODUCT((('CONTROL MASTER'!$S$2:$S$495=5)*('CONTROL MASTER'!$T$2:$T$495&lt;=4)*('CONTROL MASTER'!$V$2:$V$495&gt;=4)*('CONTROL MASTER'!$U$2:$U$495&lt;=7)*('CONTROL MASTER'!$W$2:$W$495&gt;=7))*ROW('CONTROL MASTER'!$S$2:$S$495))-(ROW('CONTROL MASTER'!#REF!)-1))),":",","),",",REPT(" ",50)),((((4-INDEX('CONTROL MASTER'!$T$2:$T$495,(SUMPRODUCT((('CONTROL MASTER'!$S$2:$S$495=5)*('CONTROL MASTER'!$T$2:$T$495&lt;=4)*('CONTROL MASTER'!$V$2:$V$495&gt;=4)*('CONTROL MASTER'!$U$2:$U$495&lt;=7)*('CONTROL MASTER'!$W$2:$W$495&gt;=7))*ROW('CONTROL MASTER'!$S$2:$S$495))-(ROW('CONTROL MASTER'!#REF!)-1))))*(INDEX('CONTROL MASTER'!$W$2:$W$495,(SUMPRODUCT((('CONTROL MASTER'!$S$2:$S$495=5)*('CONTROL MASTER'!$T$2:$T$495&lt;=4)*('CONTROL MASTER'!$V$2:$V$495&gt;=4)*('CONTROL MASTER'!$U$2:$U$495&lt;=7)*('CONTROL MASTER'!$W$2:$W$495&gt;=7))*ROW('CONTROL MASTER'!$S$2:$S$495))-(ROW('CONTROL MASTER'!#REF!)-1)))-INDEX('CONTROL MASTER'!$U$2:$U$495,(SUMPRODUCT((('CONTROL MASTER'!$S$2:$S$495=5)*('CONTROL MASTER'!$T$2:$T$495&lt;=4)*('CONTROL MASTER'!$V$2:$V$495&gt;=4)*('CONTROL MASTER'!$U$2:$U$495&lt;=7)*('CONTROL MASTER'!$W$2:$W$495&gt;=7))*ROW('CONTROL MASTER'!$S$2:$S$495))-(ROW('CONTROL MASTER'!#REF!)-1)))+1)+(7-INDEX('CONTROL MASTER'!$U$2:$U$495,(SUMPRODUCT((('CONTROL MASTER'!$S$2:$S$495=5)*('CONTROL MASTER'!$T$2:$T$495&lt;=4)*('CONTROL MASTER'!$V$2:$V$495&gt;=4)*('CONTROL MASTER'!$U$2:$U$495&lt;=7)*('CONTROL MASTER'!$W$2:$W$495&gt;=7))*ROW('CONTROL MASTER'!$S$2:$S$495))-(ROW('CONTROL MASTER'!#REF!)-1))))+1))-1)*50+1,50))&amp;"_"&amp;INDEX('CONTROL MASTER'!$P$2:$P$495,(SUMPRODUCT((('CONTROL MASTER'!$S$2:$S$495=5)*('CONTROL MASTER'!$T$2:$T$495&lt;=4)*('CONTROL MASTER'!$V$2:$V$495&gt;=4)*('CONTROL MASTER'!$U$2:$U$495&lt;=7)*('CONTROL MASTER'!$W$2:$W$495&gt;=7))*ROW('CONTROL MASTER'!$S$2:$S$495))-(ROW('CONTROL MASTER'!#REF!)-1))),IF(SUMPRODUCT((('CONTROL MASTER'!$S$2:$S$495=5)*('CONTROL MASTER'!$Z$2:$Z$495&lt;=4)*('CONTROL MASTER'!$AB$2:$AB$495&gt;=4)*('CONTROL MASTER'!$AA$2:$AA$495&lt;=7)*('CONTROL MASTER'!$AC$2:$AC$495&gt;=7))*ROW('CONTROL MASTER'!$S$2:$S$495))&gt;0,INDEX('CONTROL MASTER'!$X$2:$X$495,(SUMPRODUCT((('CONTROL MASTER'!$S$2:$S$495=5)*('CONTROL MASTER'!$Z$2:$Z$495&lt;=4)*('CONTROL MASTER'!$AB$2:$AB$495&gt;=4)*('CONTROL MASTER'!$AA$2:$AA$495&lt;=7)*('CONTROL MASTER'!$AC$2:$AC$495&gt;=7))*ROW('CONTROL MASTER'!$S$2:$S$495))-(ROW('CONTROL MASTER'!#REF!)-1)))&amp;TRIM(MID(SUBSTITUTE(SUBSTITUTE(INDEX('CONTROL MASTER'!$N$2:$N$495,(SUMPRODUCT((('CONTROL MASTER'!$S$2:$S$495=5)*('CONTROL MASTER'!$Z$2:$Z$495&lt;=4)*('CONTROL MASTER'!$AB$2:$AB$495&gt;=4)*('CONTROL MASTER'!$AA$2:$AA$495&lt;=7)*('CONTROL MASTER'!$AC$2:$AC$495&gt;=7))*ROW('CONTROL MASTER'!$S$2:$S$495))-(ROW('CONTROL MASTER'!#REF!)-1))),":",","),",",REPT(" ",50)),(((INDEX('CONTROL MASTER'!$Y$2:$Y$495,(SUMPRODUCT((('CONTROL MASTER'!$S$2:$S$495=5)*('CONTROL MASTER'!$Z$2:$Z$495&lt;=4)*('CONTROL MASTER'!$AB$2:$AB$495&gt;=4)*('CONTROL MASTER'!$AA$2:$AA$495&lt;=7)*('CONTROL MASTER'!$AC$2:$AC$495&gt;=7))*ROW('CONTROL MASTER'!$S$2:$S$495))-(ROW('CONTROL MASTER'!#REF!)-1)))+((4-INDEX('CONTROL MASTER'!$Z$2:$Z$495,(SUMPRODUCT((('CONTROL MASTER'!$S$2:$S$495=5)*('CONTROL MASTER'!$Z$2:$Z$495&lt;=4)*('CONTROL MASTER'!$AB$2:$AB$495&gt;=4)*('CONTROL MASTER'!$AA$2:$AA$495&lt;=7)*('CONTROL MASTER'!$AC$2:$AC$495&gt;=7))*ROW('CONTROL MASTER'!$S$2:$S$495))-(ROW('CONTROL MASTER'!#REF!)-1))))*(INDEX('CONTROL MASTER'!$AC$2:$AC$495,(SUMPRODUCT((('CONTROL MASTER'!$S$2:$S$495=5)*('CONTROL MASTER'!$Z$2:$Z$495&lt;=4)*('CONTROL MASTER'!$AB$2:$AB$495&gt;=4)*('CONTROL MASTER'!$AA$2:$AA$495&lt;=7)*('CONTROL MASTER'!$AC$2:$AC$495&gt;=7))*ROW('CONTROL MASTER'!$S$2:$S$495))-(ROW('CONTROL MASTER'!#REF!)-1)))-INDEX('CONTROL MASTER'!$AA$2:$AA$495,(SUMPRODUCT((('CONTROL MASTER'!$S$2:$S$495=5)*('CONTROL MASTER'!$Z$2:$Z$495&lt;=4)*('CONTROL MASTER'!$AB$2:$AB$495&gt;=4)*('CONTROL MASTER'!$AA$2:$AA$495&lt;=7)*('CONTROL MASTER'!$AC$2:$AC$495&gt;=7))*ROW('CONTROL MASTER'!$S$2:$S$495))-(ROW('CONTROL MASTER'!#REF!)-1)))+1)+(7-INDEX('CONTROL MASTER'!$AA$2:$AA$495,(SUMPRODUCT((('CONTROL MASTER'!$S$2:$S$495=5)*('CONTROL MASTER'!$Z$2:$Z$495&lt;=4)*('CONTROL MASTER'!$AB$2:$AB$495&gt;=4)*('CONTROL MASTER'!$AA$2:$AA$495&lt;=7)*('CONTROL MASTER'!$AC$2:$AC$495&gt;=7))*ROW('CONTROL MASTER'!$S$2:$S$495))-(ROW('CONTROL MASTER'!#REF!)-1))))+1)))-1)*50+1,50))&amp;"_"&amp;INDEX('CONTROL MASTER'!$P$2:$P$495,(SUMPRODUCT((('CONTROL MASTER'!$S$2:$S$495=5)*('CONTROL MASTER'!$Z$2:$Z$495&lt;=4)*('CONTROL MASTER'!$AB$2:$AB$495&gt;=4)*('CONTROL MASTER'!$AA$2:$AA$495&lt;=7)*('CONTROL MASTER'!$AC$2:$AC$495&gt;=7))*ROW('CONTROL MASTER'!$S$2:$S$495))-(ROW('CONTROL MASTER'!#REF!)-1))),"")),"")</f>
        <v/>
      </c>
      <c r="I62" s="10" t="str">
        <f>IFERROR(IF(SUMPRODUCT((('CONTROL MASTER'!$S$2:$S$495=5)*('CONTROL MASTER'!$T$2:$T$495&lt;=4)*('CONTROL MASTER'!$V$2:$V$495&gt;=4)*('CONTROL MASTER'!$U$2:$U$495&lt;=8)*('CONTROL MASTER'!$W$2:$W$495&gt;=8))*ROW('CONTROL MASTER'!$S$2:$S$495))&gt;0,INDEX('CONTROL MASTER'!$X$2:$X$495,(SUMPRODUCT((('CONTROL MASTER'!$S$2:$S$495=5)*('CONTROL MASTER'!$T$2:$T$495&lt;=4)*('CONTROL MASTER'!$V$2:$V$495&gt;=4)*('CONTROL MASTER'!$U$2:$U$495&lt;=8)*('CONTROL MASTER'!$W$2:$W$495&gt;=8))*ROW('CONTROL MASTER'!$S$2:$S$495))-(ROW('CONTROL MASTER'!#REF!)-1)))&amp;TRIM(MID(SUBSTITUTE(SUBSTITUTE(INDEX('CONTROL MASTER'!$N$2:$N$495,(SUMPRODUCT((('CONTROL MASTER'!$S$2:$S$495=5)*('CONTROL MASTER'!$T$2:$T$495&lt;=4)*('CONTROL MASTER'!$V$2:$V$495&gt;=4)*('CONTROL MASTER'!$U$2:$U$495&lt;=8)*('CONTROL MASTER'!$W$2:$W$495&gt;=8))*ROW('CONTROL MASTER'!$S$2:$S$495))-(ROW('CONTROL MASTER'!#REF!)-1))),":",","),",",REPT(" ",50)),((((4-INDEX('CONTROL MASTER'!$T$2:$T$495,(SUMPRODUCT((('CONTROL MASTER'!$S$2:$S$495=5)*('CONTROL MASTER'!$T$2:$T$495&lt;=4)*('CONTROL MASTER'!$V$2:$V$495&gt;=4)*('CONTROL MASTER'!$U$2:$U$495&lt;=8)*('CONTROL MASTER'!$W$2:$W$495&gt;=8))*ROW('CONTROL MASTER'!$S$2:$S$495))-(ROW('CONTROL MASTER'!#REF!)-1))))*(INDEX('CONTROL MASTER'!$W$2:$W$495,(SUMPRODUCT((('CONTROL MASTER'!$S$2:$S$495=5)*('CONTROL MASTER'!$T$2:$T$495&lt;=4)*('CONTROL MASTER'!$V$2:$V$495&gt;=4)*('CONTROL MASTER'!$U$2:$U$495&lt;=8)*('CONTROL MASTER'!$W$2:$W$495&gt;=8))*ROW('CONTROL MASTER'!$S$2:$S$495))-(ROW('CONTROL MASTER'!#REF!)-1)))-INDEX('CONTROL MASTER'!$U$2:$U$495,(SUMPRODUCT((('CONTROL MASTER'!$S$2:$S$495=5)*('CONTROL MASTER'!$T$2:$T$495&lt;=4)*('CONTROL MASTER'!$V$2:$V$495&gt;=4)*('CONTROL MASTER'!$U$2:$U$495&lt;=8)*('CONTROL MASTER'!$W$2:$W$495&gt;=8))*ROW('CONTROL MASTER'!$S$2:$S$495))-(ROW('CONTROL MASTER'!#REF!)-1)))+1)+(8-INDEX('CONTROL MASTER'!$U$2:$U$495,(SUMPRODUCT((('CONTROL MASTER'!$S$2:$S$495=5)*('CONTROL MASTER'!$T$2:$T$495&lt;=4)*('CONTROL MASTER'!$V$2:$V$495&gt;=4)*('CONTROL MASTER'!$U$2:$U$495&lt;=8)*('CONTROL MASTER'!$W$2:$W$495&gt;=8))*ROW('CONTROL MASTER'!$S$2:$S$495))-(ROW('CONTROL MASTER'!#REF!)-1))))+1))-1)*50+1,50))&amp;"_"&amp;INDEX('CONTROL MASTER'!$P$2:$P$495,(SUMPRODUCT((('CONTROL MASTER'!$S$2:$S$495=5)*('CONTROL MASTER'!$T$2:$T$495&lt;=4)*('CONTROL MASTER'!$V$2:$V$495&gt;=4)*('CONTROL MASTER'!$U$2:$U$495&lt;=8)*('CONTROL MASTER'!$W$2:$W$495&gt;=8))*ROW('CONTROL MASTER'!$S$2:$S$495))-(ROW('CONTROL MASTER'!#REF!)-1))),IF(SUMPRODUCT((('CONTROL MASTER'!$S$2:$S$495=5)*('CONTROL MASTER'!$Z$2:$Z$495&lt;=4)*('CONTROL MASTER'!$AB$2:$AB$495&gt;=4)*('CONTROL MASTER'!$AA$2:$AA$495&lt;=8)*('CONTROL MASTER'!$AC$2:$AC$495&gt;=8))*ROW('CONTROL MASTER'!$S$2:$S$495))&gt;0,INDEX('CONTROL MASTER'!$X$2:$X$495,(SUMPRODUCT((('CONTROL MASTER'!$S$2:$S$495=5)*('CONTROL MASTER'!$Z$2:$Z$495&lt;=4)*('CONTROL MASTER'!$AB$2:$AB$495&gt;=4)*('CONTROL MASTER'!$AA$2:$AA$495&lt;=8)*('CONTROL MASTER'!$AC$2:$AC$495&gt;=8))*ROW('CONTROL MASTER'!$S$2:$S$495))-(ROW('CONTROL MASTER'!#REF!)-1)))&amp;TRIM(MID(SUBSTITUTE(SUBSTITUTE(INDEX('CONTROL MASTER'!$N$2:$N$495,(SUMPRODUCT((('CONTROL MASTER'!$S$2:$S$495=5)*('CONTROL MASTER'!$Z$2:$Z$495&lt;=4)*('CONTROL MASTER'!$AB$2:$AB$495&gt;=4)*('CONTROL MASTER'!$AA$2:$AA$495&lt;=8)*('CONTROL MASTER'!$AC$2:$AC$495&gt;=8))*ROW('CONTROL MASTER'!$S$2:$S$495))-(ROW('CONTROL MASTER'!#REF!)-1))),":",","),",",REPT(" ",50)),(((INDEX('CONTROL MASTER'!$Y$2:$Y$495,(SUMPRODUCT((('CONTROL MASTER'!$S$2:$S$495=5)*('CONTROL MASTER'!$Z$2:$Z$495&lt;=4)*('CONTROL MASTER'!$AB$2:$AB$495&gt;=4)*('CONTROL MASTER'!$AA$2:$AA$495&lt;=8)*('CONTROL MASTER'!$AC$2:$AC$495&gt;=8))*ROW('CONTROL MASTER'!$S$2:$S$495))-(ROW('CONTROL MASTER'!#REF!)-1)))+((4-INDEX('CONTROL MASTER'!$Z$2:$Z$495,(SUMPRODUCT((('CONTROL MASTER'!$S$2:$S$495=5)*('CONTROL MASTER'!$Z$2:$Z$495&lt;=4)*('CONTROL MASTER'!$AB$2:$AB$495&gt;=4)*('CONTROL MASTER'!$AA$2:$AA$495&lt;=8)*('CONTROL MASTER'!$AC$2:$AC$495&gt;=8))*ROW('CONTROL MASTER'!$S$2:$S$495))-(ROW('CONTROL MASTER'!#REF!)-1))))*(INDEX('CONTROL MASTER'!$AC$2:$AC$495,(SUMPRODUCT((('CONTROL MASTER'!$S$2:$S$495=5)*('CONTROL MASTER'!$Z$2:$Z$495&lt;=4)*('CONTROL MASTER'!$AB$2:$AB$495&gt;=4)*('CONTROL MASTER'!$AA$2:$AA$495&lt;=8)*('CONTROL MASTER'!$AC$2:$AC$495&gt;=8))*ROW('CONTROL MASTER'!$S$2:$S$495))-(ROW('CONTROL MASTER'!#REF!)-1)))-INDEX('CONTROL MASTER'!$AA$2:$AA$495,(SUMPRODUCT((('CONTROL MASTER'!$S$2:$S$495=5)*('CONTROL MASTER'!$Z$2:$Z$495&lt;=4)*('CONTROL MASTER'!$AB$2:$AB$495&gt;=4)*('CONTROL MASTER'!$AA$2:$AA$495&lt;=8)*('CONTROL MASTER'!$AC$2:$AC$495&gt;=8))*ROW('CONTROL MASTER'!$S$2:$S$495))-(ROW('CONTROL MASTER'!#REF!)-1)))+1)+(8-INDEX('CONTROL MASTER'!$AA$2:$AA$495,(SUMPRODUCT((('CONTROL MASTER'!$S$2:$S$495=5)*('CONTROL MASTER'!$Z$2:$Z$495&lt;=4)*('CONTROL MASTER'!$AB$2:$AB$495&gt;=4)*('CONTROL MASTER'!$AA$2:$AA$495&lt;=8)*('CONTROL MASTER'!$AC$2:$AC$495&gt;=8))*ROW('CONTROL MASTER'!$S$2:$S$495))-(ROW('CONTROL MASTER'!#REF!)-1))))+1)))-1)*50+1,50))&amp;"_"&amp;INDEX('CONTROL MASTER'!$P$2:$P$495,(SUMPRODUCT((('CONTROL MASTER'!$S$2:$S$495=5)*('CONTROL MASTER'!$Z$2:$Z$495&lt;=4)*('CONTROL MASTER'!$AB$2:$AB$495&gt;=4)*('CONTROL MASTER'!$AA$2:$AA$495&lt;=8)*('CONTROL MASTER'!$AC$2:$AC$495&gt;=8))*ROW('CONTROL MASTER'!$S$2:$S$495))-(ROW('CONTROL MASTER'!#REF!)-1))),"")),"")</f>
        <v/>
      </c>
      <c r="J62" s="10" t="str">
        <f>IFERROR(IF(SUMPRODUCT((('CONTROL MASTER'!$S$2:$S$495=5)*('CONTROL MASTER'!$T$2:$T$495&lt;=4)*('CONTROL MASTER'!$V$2:$V$495&gt;=4)*('CONTROL MASTER'!$U$2:$U$495&lt;=9)*('CONTROL MASTER'!$W$2:$W$495&gt;=9))*ROW('CONTROL MASTER'!$S$2:$S$495))&gt;0,INDEX('CONTROL MASTER'!$X$2:$X$495,(SUMPRODUCT((('CONTROL MASTER'!$S$2:$S$495=5)*('CONTROL MASTER'!$T$2:$T$495&lt;=4)*('CONTROL MASTER'!$V$2:$V$495&gt;=4)*('CONTROL MASTER'!$U$2:$U$495&lt;=9)*('CONTROL MASTER'!$W$2:$W$495&gt;=9))*ROW('CONTROL MASTER'!$S$2:$S$495))-(ROW('CONTROL MASTER'!#REF!)-1)))&amp;TRIM(MID(SUBSTITUTE(SUBSTITUTE(INDEX('CONTROL MASTER'!$N$2:$N$495,(SUMPRODUCT((('CONTROL MASTER'!$S$2:$S$495=5)*('CONTROL MASTER'!$T$2:$T$495&lt;=4)*('CONTROL MASTER'!$V$2:$V$495&gt;=4)*('CONTROL MASTER'!$U$2:$U$495&lt;=9)*('CONTROL MASTER'!$W$2:$W$495&gt;=9))*ROW('CONTROL MASTER'!$S$2:$S$495))-(ROW('CONTROL MASTER'!#REF!)-1))),":",","),",",REPT(" ",50)),((((4-INDEX('CONTROL MASTER'!$T$2:$T$495,(SUMPRODUCT((('CONTROL MASTER'!$S$2:$S$495=5)*('CONTROL MASTER'!$T$2:$T$495&lt;=4)*('CONTROL MASTER'!$V$2:$V$495&gt;=4)*('CONTROL MASTER'!$U$2:$U$495&lt;=9)*('CONTROL MASTER'!$W$2:$W$495&gt;=9))*ROW('CONTROL MASTER'!$S$2:$S$495))-(ROW('CONTROL MASTER'!#REF!)-1))))*(INDEX('CONTROL MASTER'!$W$2:$W$495,(SUMPRODUCT((('CONTROL MASTER'!$S$2:$S$495=5)*('CONTROL MASTER'!$T$2:$T$495&lt;=4)*('CONTROL MASTER'!$V$2:$V$495&gt;=4)*('CONTROL MASTER'!$U$2:$U$495&lt;=9)*('CONTROL MASTER'!$W$2:$W$495&gt;=9))*ROW('CONTROL MASTER'!$S$2:$S$495))-(ROW('CONTROL MASTER'!#REF!)-1)))-INDEX('CONTROL MASTER'!$U$2:$U$495,(SUMPRODUCT((('CONTROL MASTER'!$S$2:$S$495=5)*('CONTROL MASTER'!$T$2:$T$495&lt;=4)*('CONTROL MASTER'!$V$2:$V$495&gt;=4)*('CONTROL MASTER'!$U$2:$U$495&lt;=9)*('CONTROL MASTER'!$W$2:$W$495&gt;=9))*ROW('CONTROL MASTER'!$S$2:$S$495))-(ROW('CONTROL MASTER'!#REF!)-1)))+1)+(9-INDEX('CONTROL MASTER'!$U$2:$U$495,(SUMPRODUCT((('CONTROL MASTER'!$S$2:$S$495=5)*('CONTROL MASTER'!$T$2:$T$495&lt;=4)*('CONTROL MASTER'!$V$2:$V$495&gt;=4)*('CONTROL MASTER'!$U$2:$U$495&lt;=9)*('CONTROL MASTER'!$W$2:$W$495&gt;=9))*ROW('CONTROL MASTER'!$S$2:$S$495))-(ROW('CONTROL MASTER'!#REF!)-1))))+1))-1)*50+1,50))&amp;"_"&amp;INDEX('CONTROL MASTER'!$P$2:$P$495,(SUMPRODUCT((('CONTROL MASTER'!$S$2:$S$495=5)*('CONTROL MASTER'!$T$2:$T$495&lt;=4)*('CONTROL MASTER'!$V$2:$V$495&gt;=4)*('CONTROL MASTER'!$U$2:$U$495&lt;=9)*('CONTROL MASTER'!$W$2:$W$495&gt;=9))*ROW('CONTROL MASTER'!$S$2:$S$495))-(ROW('CONTROL MASTER'!#REF!)-1))),IF(SUMPRODUCT((('CONTROL MASTER'!$S$2:$S$495=5)*('CONTROL MASTER'!$Z$2:$Z$495&lt;=4)*('CONTROL MASTER'!$AB$2:$AB$495&gt;=4)*('CONTROL MASTER'!$AA$2:$AA$495&lt;=9)*('CONTROL MASTER'!$AC$2:$AC$495&gt;=9))*ROW('CONTROL MASTER'!$S$2:$S$495))&gt;0,INDEX('CONTROL MASTER'!$X$2:$X$495,(SUMPRODUCT((('CONTROL MASTER'!$S$2:$S$495=5)*('CONTROL MASTER'!$Z$2:$Z$495&lt;=4)*('CONTROL MASTER'!$AB$2:$AB$495&gt;=4)*('CONTROL MASTER'!$AA$2:$AA$495&lt;=9)*('CONTROL MASTER'!$AC$2:$AC$495&gt;=9))*ROW('CONTROL MASTER'!$S$2:$S$495))-(ROW('CONTROL MASTER'!#REF!)-1)))&amp;TRIM(MID(SUBSTITUTE(SUBSTITUTE(INDEX('CONTROL MASTER'!$N$2:$N$495,(SUMPRODUCT((('CONTROL MASTER'!$S$2:$S$495=5)*('CONTROL MASTER'!$Z$2:$Z$495&lt;=4)*('CONTROL MASTER'!$AB$2:$AB$495&gt;=4)*('CONTROL MASTER'!$AA$2:$AA$495&lt;=9)*('CONTROL MASTER'!$AC$2:$AC$495&gt;=9))*ROW('CONTROL MASTER'!$S$2:$S$495))-(ROW('CONTROL MASTER'!#REF!)-1))),":",","),",",REPT(" ",50)),(((INDEX('CONTROL MASTER'!$Y$2:$Y$495,(SUMPRODUCT((('CONTROL MASTER'!$S$2:$S$495=5)*('CONTROL MASTER'!$Z$2:$Z$495&lt;=4)*('CONTROL MASTER'!$AB$2:$AB$495&gt;=4)*('CONTROL MASTER'!$AA$2:$AA$495&lt;=9)*('CONTROL MASTER'!$AC$2:$AC$495&gt;=9))*ROW('CONTROL MASTER'!$S$2:$S$495))-(ROW('CONTROL MASTER'!#REF!)-1)))+((4-INDEX('CONTROL MASTER'!$Z$2:$Z$495,(SUMPRODUCT((('CONTROL MASTER'!$S$2:$S$495=5)*('CONTROL MASTER'!$Z$2:$Z$495&lt;=4)*('CONTROL MASTER'!$AB$2:$AB$495&gt;=4)*('CONTROL MASTER'!$AA$2:$AA$495&lt;=9)*('CONTROL MASTER'!$AC$2:$AC$495&gt;=9))*ROW('CONTROL MASTER'!$S$2:$S$495))-(ROW('CONTROL MASTER'!#REF!)-1))))*(INDEX('CONTROL MASTER'!$AC$2:$AC$495,(SUMPRODUCT((('CONTROL MASTER'!$S$2:$S$495=5)*('CONTROL MASTER'!$Z$2:$Z$495&lt;=4)*('CONTROL MASTER'!$AB$2:$AB$495&gt;=4)*('CONTROL MASTER'!$AA$2:$AA$495&lt;=9)*('CONTROL MASTER'!$AC$2:$AC$495&gt;=9))*ROW('CONTROL MASTER'!$S$2:$S$495))-(ROW('CONTROL MASTER'!#REF!)-1)))-INDEX('CONTROL MASTER'!$AA$2:$AA$495,(SUMPRODUCT((('CONTROL MASTER'!$S$2:$S$495=5)*('CONTROL MASTER'!$Z$2:$Z$495&lt;=4)*('CONTROL MASTER'!$AB$2:$AB$495&gt;=4)*('CONTROL MASTER'!$AA$2:$AA$495&lt;=9)*('CONTROL MASTER'!$AC$2:$AC$495&gt;=9))*ROW('CONTROL MASTER'!$S$2:$S$495))-(ROW('CONTROL MASTER'!#REF!)-1)))+1)+(9-INDEX('CONTROL MASTER'!$AA$2:$AA$495,(SUMPRODUCT((('CONTROL MASTER'!$S$2:$S$495=5)*('CONTROL MASTER'!$Z$2:$Z$495&lt;=4)*('CONTROL MASTER'!$AB$2:$AB$495&gt;=4)*('CONTROL MASTER'!$AA$2:$AA$495&lt;=9)*('CONTROL MASTER'!$AC$2:$AC$495&gt;=9))*ROW('CONTROL MASTER'!$S$2:$S$495))-(ROW('CONTROL MASTER'!#REF!)-1))))+1)))-1)*50+1,50))&amp;"_"&amp;INDEX('CONTROL MASTER'!$P$2:$P$495,(SUMPRODUCT((('CONTROL MASTER'!$S$2:$S$495=5)*('CONTROL MASTER'!$Z$2:$Z$495&lt;=4)*('CONTROL MASTER'!$AB$2:$AB$495&gt;=4)*('CONTROL MASTER'!$AA$2:$AA$495&lt;=9)*('CONTROL MASTER'!$AC$2:$AC$495&gt;=9))*ROW('CONTROL MASTER'!$S$2:$S$495))-(ROW('CONTROL MASTER'!#REF!)-1))),"")),"")</f>
        <v/>
      </c>
      <c r="K62" s="10" t="str">
        <f>IFERROR(IF(SUMPRODUCT((('CONTROL MASTER'!$S$2:$S$495=5)*('CONTROL MASTER'!$T$2:$T$495&lt;=4)*('CONTROL MASTER'!$V$2:$V$495&gt;=4)*('CONTROL MASTER'!$U$2:$U$495&lt;=10)*('CONTROL MASTER'!$W$2:$W$495&gt;=10))*ROW('CONTROL MASTER'!$S$2:$S$495))&gt;0,INDEX('CONTROL MASTER'!$X$2:$X$495,(SUMPRODUCT((('CONTROL MASTER'!$S$2:$S$495=5)*('CONTROL MASTER'!$T$2:$T$495&lt;=4)*('CONTROL MASTER'!$V$2:$V$495&gt;=4)*('CONTROL MASTER'!$U$2:$U$495&lt;=10)*('CONTROL MASTER'!$W$2:$W$495&gt;=10))*ROW('CONTROL MASTER'!$S$2:$S$495))-(ROW('CONTROL MASTER'!#REF!)-1)))&amp;TRIM(MID(SUBSTITUTE(SUBSTITUTE(INDEX('CONTROL MASTER'!$N$2:$N$495,(SUMPRODUCT((('CONTROL MASTER'!$S$2:$S$495=5)*('CONTROL MASTER'!$T$2:$T$495&lt;=4)*('CONTROL MASTER'!$V$2:$V$495&gt;=4)*('CONTROL MASTER'!$U$2:$U$495&lt;=10)*('CONTROL MASTER'!$W$2:$W$495&gt;=10))*ROW('CONTROL MASTER'!$S$2:$S$495))-(ROW('CONTROL MASTER'!#REF!)-1))),":",","),",",REPT(" ",50)),((((4-INDEX('CONTROL MASTER'!$T$2:$T$495,(SUMPRODUCT((('CONTROL MASTER'!$S$2:$S$495=5)*('CONTROL MASTER'!$T$2:$T$495&lt;=4)*('CONTROL MASTER'!$V$2:$V$495&gt;=4)*('CONTROL MASTER'!$U$2:$U$495&lt;=10)*('CONTROL MASTER'!$W$2:$W$495&gt;=10))*ROW('CONTROL MASTER'!$S$2:$S$495))-(ROW('CONTROL MASTER'!#REF!)-1))))*(INDEX('CONTROL MASTER'!$W$2:$W$495,(SUMPRODUCT((('CONTROL MASTER'!$S$2:$S$495=5)*('CONTROL MASTER'!$T$2:$T$495&lt;=4)*('CONTROL MASTER'!$V$2:$V$495&gt;=4)*('CONTROL MASTER'!$U$2:$U$495&lt;=10)*('CONTROL MASTER'!$W$2:$W$495&gt;=10))*ROW('CONTROL MASTER'!$S$2:$S$495))-(ROW('CONTROL MASTER'!#REF!)-1)))-INDEX('CONTROL MASTER'!$U$2:$U$495,(SUMPRODUCT((('CONTROL MASTER'!$S$2:$S$495=5)*('CONTROL MASTER'!$T$2:$T$495&lt;=4)*('CONTROL MASTER'!$V$2:$V$495&gt;=4)*('CONTROL MASTER'!$U$2:$U$495&lt;=10)*('CONTROL MASTER'!$W$2:$W$495&gt;=10))*ROW('CONTROL MASTER'!$S$2:$S$495))-(ROW('CONTROL MASTER'!#REF!)-1)))+1)+(10-INDEX('CONTROL MASTER'!$U$2:$U$495,(SUMPRODUCT((('CONTROL MASTER'!$S$2:$S$495=5)*('CONTROL MASTER'!$T$2:$T$495&lt;=4)*('CONTROL MASTER'!$V$2:$V$495&gt;=4)*('CONTROL MASTER'!$U$2:$U$495&lt;=10)*('CONTROL MASTER'!$W$2:$W$495&gt;=10))*ROW('CONTROL MASTER'!$S$2:$S$495))-(ROW('CONTROL MASTER'!#REF!)-1))))+1))-1)*50+1,50))&amp;"_"&amp;INDEX('CONTROL MASTER'!$P$2:$P$495,(SUMPRODUCT((('CONTROL MASTER'!$S$2:$S$495=5)*('CONTROL MASTER'!$T$2:$T$495&lt;=4)*('CONTROL MASTER'!$V$2:$V$495&gt;=4)*('CONTROL MASTER'!$U$2:$U$495&lt;=10)*('CONTROL MASTER'!$W$2:$W$495&gt;=10))*ROW('CONTROL MASTER'!$S$2:$S$495))-(ROW('CONTROL MASTER'!#REF!)-1))),IF(SUMPRODUCT((('CONTROL MASTER'!$S$2:$S$495=5)*('CONTROL MASTER'!$Z$2:$Z$495&lt;=4)*('CONTROL MASTER'!$AB$2:$AB$495&gt;=4)*('CONTROL MASTER'!$AA$2:$AA$495&lt;=10)*('CONTROL MASTER'!$AC$2:$AC$495&gt;=10))*ROW('CONTROL MASTER'!$S$2:$S$495))&gt;0,INDEX('CONTROL MASTER'!$X$2:$X$495,(SUMPRODUCT((('CONTROL MASTER'!$S$2:$S$495=5)*('CONTROL MASTER'!$Z$2:$Z$495&lt;=4)*('CONTROL MASTER'!$AB$2:$AB$495&gt;=4)*('CONTROL MASTER'!$AA$2:$AA$495&lt;=10)*('CONTROL MASTER'!$AC$2:$AC$495&gt;=10))*ROW('CONTROL MASTER'!$S$2:$S$495))-(ROW('CONTROL MASTER'!#REF!)-1)))&amp;TRIM(MID(SUBSTITUTE(SUBSTITUTE(INDEX('CONTROL MASTER'!$N$2:$N$495,(SUMPRODUCT((('CONTROL MASTER'!$S$2:$S$495=5)*('CONTROL MASTER'!$Z$2:$Z$495&lt;=4)*('CONTROL MASTER'!$AB$2:$AB$495&gt;=4)*('CONTROL MASTER'!$AA$2:$AA$495&lt;=10)*('CONTROL MASTER'!$AC$2:$AC$495&gt;=10))*ROW('CONTROL MASTER'!$S$2:$S$495))-(ROW('CONTROL MASTER'!#REF!)-1))),":",","),",",REPT(" ",50)),(((INDEX('CONTROL MASTER'!$Y$2:$Y$495,(SUMPRODUCT((('CONTROL MASTER'!$S$2:$S$495=5)*('CONTROL MASTER'!$Z$2:$Z$495&lt;=4)*('CONTROL MASTER'!$AB$2:$AB$495&gt;=4)*('CONTROL MASTER'!$AA$2:$AA$495&lt;=10)*('CONTROL MASTER'!$AC$2:$AC$495&gt;=10))*ROW('CONTROL MASTER'!$S$2:$S$495))-(ROW('CONTROL MASTER'!#REF!)-1)))+((4-INDEX('CONTROL MASTER'!$Z$2:$Z$495,(SUMPRODUCT((('CONTROL MASTER'!$S$2:$S$495=5)*('CONTROL MASTER'!$Z$2:$Z$495&lt;=4)*('CONTROL MASTER'!$AB$2:$AB$495&gt;=4)*('CONTROL MASTER'!$AA$2:$AA$495&lt;=10)*('CONTROL MASTER'!$AC$2:$AC$495&gt;=10))*ROW('CONTROL MASTER'!$S$2:$S$495))-(ROW('CONTROL MASTER'!#REF!)-1))))*(INDEX('CONTROL MASTER'!$AC$2:$AC$495,(SUMPRODUCT((('CONTROL MASTER'!$S$2:$S$495=5)*('CONTROL MASTER'!$Z$2:$Z$495&lt;=4)*('CONTROL MASTER'!$AB$2:$AB$495&gt;=4)*('CONTROL MASTER'!$AA$2:$AA$495&lt;=10)*('CONTROL MASTER'!$AC$2:$AC$495&gt;=10))*ROW('CONTROL MASTER'!$S$2:$S$495))-(ROW('CONTROL MASTER'!#REF!)-1)))-INDEX('CONTROL MASTER'!$AA$2:$AA$495,(SUMPRODUCT((('CONTROL MASTER'!$S$2:$S$495=5)*('CONTROL MASTER'!$Z$2:$Z$495&lt;=4)*('CONTROL MASTER'!$AB$2:$AB$495&gt;=4)*('CONTROL MASTER'!$AA$2:$AA$495&lt;=10)*('CONTROL MASTER'!$AC$2:$AC$495&gt;=10))*ROW('CONTROL MASTER'!$S$2:$S$495))-(ROW('CONTROL MASTER'!#REF!)-1)))+1)+(10-INDEX('CONTROL MASTER'!$AA$2:$AA$495,(SUMPRODUCT((('CONTROL MASTER'!$S$2:$S$495=5)*('CONTROL MASTER'!$Z$2:$Z$495&lt;=4)*('CONTROL MASTER'!$AB$2:$AB$495&gt;=4)*('CONTROL MASTER'!$AA$2:$AA$495&lt;=10)*('CONTROL MASTER'!$AC$2:$AC$495&gt;=10))*ROW('CONTROL MASTER'!$S$2:$S$495))-(ROW('CONTROL MASTER'!#REF!)-1))))+1)))-1)*50+1,50))&amp;"_"&amp;INDEX('CONTROL MASTER'!$P$2:$P$495,(SUMPRODUCT((('CONTROL MASTER'!$S$2:$S$495=5)*('CONTROL MASTER'!$Z$2:$Z$495&lt;=4)*('CONTROL MASTER'!$AB$2:$AB$495&gt;=4)*('CONTROL MASTER'!$AA$2:$AA$495&lt;=10)*('CONTROL MASTER'!$AC$2:$AC$495&gt;=10))*ROW('CONTROL MASTER'!$S$2:$S$495))-(ROW('CONTROL MASTER'!#REF!)-1))),"")),"")</f>
        <v/>
      </c>
    </row>
    <row r="63" spans="1:11" ht="15" customHeight="1" x14ac:dyDescent="0.35">
      <c r="A63" s="8" t="s">
        <v>32</v>
      </c>
      <c r="B63" s="10" t="str">
        <f>IFERROR(IF(SUMPRODUCT((('CONTROL MASTER'!$S$2:$S$495=5)*('CONTROL MASTER'!$T$2:$T$495&lt;=5)*('CONTROL MASTER'!$V$2:$V$495&gt;=5)*('CONTROL MASTER'!$U$2:$U$495&lt;=1)*('CONTROL MASTER'!$W$2:$W$495&gt;=1))*ROW('CONTROL MASTER'!$S$2:$S$495))&gt;0,INDEX('CONTROL MASTER'!$X$2:$X$495,(SUMPRODUCT((('CONTROL MASTER'!$S$2:$S$495=5)*('CONTROL MASTER'!$T$2:$T$495&lt;=5)*('CONTROL MASTER'!$V$2:$V$495&gt;=5)*('CONTROL MASTER'!$U$2:$U$495&lt;=1)*('CONTROL MASTER'!$W$2:$W$495&gt;=1))*ROW('CONTROL MASTER'!$S$2:$S$495))-(ROW('CONTROL MASTER'!#REF!)-1)))&amp;TRIM(MID(SUBSTITUTE(SUBSTITUTE(INDEX('CONTROL MASTER'!$N$2:$N$495,(SUMPRODUCT((('CONTROL MASTER'!$S$2:$S$495=5)*('CONTROL MASTER'!$T$2:$T$495&lt;=5)*('CONTROL MASTER'!$V$2:$V$495&gt;=5)*('CONTROL MASTER'!$U$2:$U$495&lt;=1)*('CONTROL MASTER'!$W$2:$W$495&gt;=1))*ROW('CONTROL MASTER'!$S$2:$S$495))-(ROW('CONTROL MASTER'!#REF!)-1))),":",","),",",REPT(" ",50)),((((5-INDEX('CONTROL MASTER'!$T$2:$T$495,(SUMPRODUCT((('CONTROL MASTER'!$S$2:$S$495=5)*('CONTROL MASTER'!$T$2:$T$495&lt;=5)*('CONTROL MASTER'!$V$2:$V$495&gt;=5)*('CONTROL MASTER'!$U$2:$U$495&lt;=1)*('CONTROL MASTER'!$W$2:$W$495&gt;=1))*ROW('CONTROL MASTER'!$S$2:$S$495))-(ROW('CONTROL MASTER'!#REF!)-1))))*(INDEX('CONTROL MASTER'!$W$2:$W$495,(SUMPRODUCT((('CONTROL MASTER'!$S$2:$S$495=5)*('CONTROL MASTER'!$T$2:$T$495&lt;=5)*('CONTROL MASTER'!$V$2:$V$495&gt;=5)*('CONTROL MASTER'!$U$2:$U$495&lt;=1)*('CONTROL MASTER'!$W$2:$W$495&gt;=1))*ROW('CONTROL MASTER'!$S$2:$S$495))-(ROW('CONTROL MASTER'!#REF!)-1)))-INDEX('CONTROL MASTER'!$U$2:$U$495,(SUMPRODUCT((('CONTROL MASTER'!$S$2:$S$495=5)*('CONTROL MASTER'!$T$2:$T$495&lt;=5)*('CONTROL MASTER'!$V$2:$V$495&gt;=5)*('CONTROL MASTER'!$U$2:$U$495&lt;=1)*('CONTROL MASTER'!$W$2:$W$495&gt;=1))*ROW('CONTROL MASTER'!$S$2:$S$495))-(ROW('CONTROL MASTER'!#REF!)-1)))+1)+(1-INDEX('CONTROL MASTER'!$U$2:$U$495,(SUMPRODUCT((('CONTROL MASTER'!$S$2:$S$495=5)*('CONTROL MASTER'!$T$2:$T$495&lt;=5)*('CONTROL MASTER'!$V$2:$V$495&gt;=5)*('CONTROL MASTER'!$U$2:$U$495&lt;=1)*('CONTROL MASTER'!$W$2:$W$495&gt;=1))*ROW('CONTROL MASTER'!$S$2:$S$495))-(ROW('CONTROL MASTER'!#REF!)-1))))+1))-1)*50+1,50))&amp;"_"&amp;INDEX('CONTROL MASTER'!$P$2:$P$495,(SUMPRODUCT((('CONTROL MASTER'!$S$2:$S$495=5)*('CONTROL MASTER'!$T$2:$T$495&lt;=5)*('CONTROL MASTER'!$V$2:$V$495&gt;=5)*('CONTROL MASTER'!$U$2:$U$495&lt;=1)*('CONTROL MASTER'!$W$2:$W$495&gt;=1))*ROW('CONTROL MASTER'!$S$2:$S$495))-(ROW('CONTROL MASTER'!#REF!)-1))),IF(SUMPRODUCT((('CONTROL MASTER'!$S$2:$S$495=5)*('CONTROL MASTER'!$Z$2:$Z$495&lt;=5)*('CONTROL MASTER'!$AB$2:$AB$495&gt;=5)*('CONTROL MASTER'!$AA$2:$AA$495&lt;=1)*('CONTROL MASTER'!$AC$2:$AC$495&gt;=1))*ROW('CONTROL MASTER'!$S$2:$S$495))&gt;0,INDEX('CONTROL MASTER'!$X$2:$X$495,(SUMPRODUCT((('CONTROL MASTER'!$S$2:$S$495=5)*('CONTROL MASTER'!$Z$2:$Z$495&lt;=5)*('CONTROL MASTER'!$AB$2:$AB$495&gt;=5)*('CONTROL MASTER'!$AA$2:$AA$495&lt;=1)*('CONTROL MASTER'!$AC$2:$AC$495&gt;=1))*ROW('CONTROL MASTER'!$S$2:$S$495))-(ROW('CONTROL MASTER'!#REF!)-1)))&amp;TRIM(MID(SUBSTITUTE(SUBSTITUTE(INDEX('CONTROL MASTER'!$N$2:$N$495,(SUMPRODUCT((('CONTROL MASTER'!$S$2:$S$495=5)*('CONTROL MASTER'!$Z$2:$Z$495&lt;=5)*('CONTROL MASTER'!$AB$2:$AB$495&gt;=5)*('CONTROL MASTER'!$AA$2:$AA$495&lt;=1)*('CONTROL MASTER'!$AC$2:$AC$495&gt;=1))*ROW('CONTROL MASTER'!$S$2:$S$495))-(ROW('CONTROL MASTER'!#REF!)-1))),":",","),",",REPT(" ",50)),(((INDEX('CONTROL MASTER'!$Y$2:$Y$495,(SUMPRODUCT((('CONTROL MASTER'!$S$2:$S$495=5)*('CONTROL MASTER'!$Z$2:$Z$495&lt;=5)*('CONTROL MASTER'!$AB$2:$AB$495&gt;=5)*('CONTROL MASTER'!$AA$2:$AA$495&lt;=1)*('CONTROL MASTER'!$AC$2:$AC$495&gt;=1))*ROW('CONTROL MASTER'!$S$2:$S$495))-(ROW('CONTROL MASTER'!#REF!)-1)))+((5-INDEX('CONTROL MASTER'!$Z$2:$Z$495,(SUMPRODUCT((('CONTROL MASTER'!$S$2:$S$495=5)*('CONTROL MASTER'!$Z$2:$Z$495&lt;=5)*('CONTROL MASTER'!$AB$2:$AB$495&gt;=5)*('CONTROL MASTER'!$AA$2:$AA$495&lt;=1)*('CONTROL MASTER'!$AC$2:$AC$495&gt;=1))*ROW('CONTROL MASTER'!$S$2:$S$495))-(ROW('CONTROL MASTER'!#REF!)-1))))*(INDEX('CONTROL MASTER'!$AC$2:$AC$495,(SUMPRODUCT((('CONTROL MASTER'!$S$2:$S$495=5)*('CONTROL MASTER'!$Z$2:$Z$495&lt;=5)*('CONTROL MASTER'!$AB$2:$AB$495&gt;=5)*('CONTROL MASTER'!$AA$2:$AA$495&lt;=1)*('CONTROL MASTER'!$AC$2:$AC$495&gt;=1))*ROW('CONTROL MASTER'!$S$2:$S$495))-(ROW('CONTROL MASTER'!#REF!)-1)))-INDEX('CONTROL MASTER'!$AA$2:$AA$495,(SUMPRODUCT((('CONTROL MASTER'!$S$2:$S$495=5)*('CONTROL MASTER'!$Z$2:$Z$495&lt;=5)*('CONTROL MASTER'!$AB$2:$AB$495&gt;=5)*('CONTROL MASTER'!$AA$2:$AA$495&lt;=1)*('CONTROL MASTER'!$AC$2:$AC$495&gt;=1))*ROW('CONTROL MASTER'!$S$2:$S$495))-(ROW('CONTROL MASTER'!#REF!)-1)))+1)+(1-INDEX('CONTROL MASTER'!$AA$2:$AA$495,(SUMPRODUCT((('CONTROL MASTER'!$S$2:$S$495=5)*('CONTROL MASTER'!$Z$2:$Z$495&lt;=5)*('CONTROL MASTER'!$AB$2:$AB$495&gt;=5)*('CONTROL MASTER'!$AA$2:$AA$495&lt;=1)*('CONTROL MASTER'!$AC$2:$AC$495&gt;=1))*ROW('CONTROL MASTER'!$S$2:$S$495))-(ROW('CONTROL MASTER'!#REF!)-1))))+1)))-1)*50+1,50))&amp;"_"&amp;INDEX('CONTROL MASTER'!$P$2:$P$495,(SUMPRODUCT((('CONTROL MASTER'!$S$2:$S$495=5)*('CONTROL MASTER'!$Z$2:$Z$495&lt;=5)*('CONTROL MASTER'!$AB$2:$AB$495&gt;=5)*('CONTROL MASTER'!$AA$2:$AA$495&lt;=1)*('CONTROL MASTER'!$AC$2:$AC$495&gt;=1))*ROW('CONTROL MASTER'!$S$2:$S$495))-(ROW('CONTROL MASTER'!#REF!)-1))),"")),"")</f>
        <v/>
      </c>
      <c r="C63" s="10" t="str">
        <f>IFERROR(IF(SUMPRODUCT((('CONTROL MASTER'!$S$2:$S$495=5)*('CONTROL MASTER'!$T$2:$T$495&lt;=5)*('CONTROL MASTER'!$V$2:$V$495&gt;=5)*('CONTROL MASTER'!$U$2:$U$495&lt;=2)*('CONTROL MASTER'!$W$2:$W$495&gt;=2))*ROW('CONTROL MASTER'!$S$2:$S$495))&gt;0,INDEX('CONTROL MASTER'!$X$2:$X$495,(SUMPRODUCT((('CONTROL MASTER'!$S$2:$S$495=5)*('CONTROL MASTER'!$T$2:$T$495&lt;=5)*('CONTROL MASTER'!$V$2:$V$495&gt;=5)*('CONTROL MASTER'!$U$2:$U$495&lt;=2)*('CONTROL MASTER'!$W$2:$W$495&gt;=2))*ROW('CONTROL MASTER'!$S$2:$S$495))-(ROW('CONTROL MASTER'!#REF!)-1)))&amp;TRIM(MID(SUBSTITUTE(SUBSTITUTE(INDEX('CONTROL MASTER'!$N$2:$N$495,(SUMPRODUCT((('CONTROL MASTER'!$S$2:$S$495=5)*('CONTROL MASTER'!$T$2:$T$495&lt;=5)*('CONTROL MASTER'!$V$2:$V$495&gt;=5)*('CONTROL MASTER'!$U$2:$U$495&lt;=2)*('CONTROL MASTER'!$W$2:$W$495&gt;=2))*ROW('CONTROL MASTER'!$S$2:$S$495))-(ROW('CONTROL MASTER'!#REF!)-1))),":",","),",",REPT(" ",50)),((((5-INDEX('CONTROL MASTER'!$T$2:$T$495,(SUMPRODUCT((('CONTROL MASTER'!$S$2:$S$495=5)*('CONTROL MASTER'!$T$2:$T$495&lt;=5)*('CONTROL MASTER'!$V$2:$V$495&gt;=5)*('CONTROL MASTER'!$U$2:$U$495&lt;=2)*('CONTROL MASTER'!$W$2:$W$495&gt;=2))*ROW('CONTROL MASTER'!$S$2:$S$495))-(ROW('CONTROL MASTER'!#REF!)-1))))*(INDEX('CONTROL MASTER'!$W$2:$W$495,(SUMPRODUCT((('CONTROL MASTER'!$S$2:$S$495=5)*('CONTROL MASTER'!$T$2:$T$495&lt;=5)*('CONTROL MASTER'!$V$2:$V$495&gt;=5)*('CONTROL MASTER'!$U$2:$U$495&lt;=2)*('CONTROL MASTER'!$W$2:$W$495&gt;=2))*ROW('CONTROL MASTER'!$S$2:$S$495))-(ROW('CONTROL MASTER'!#REF!)-1)))-INDEX('CONTROL MASTER'!$U$2:$U$495,(SUMPRODUCT((('CONTROL MASTER'!$S$2:$S$495=5)*('CONTROL MASTER'!$T$2:$T$495&lt;=5)*('CONTROL MASTER'!$V$2:$V$495&gt;=5)*('CONTROL MASTER'!$U$2:$U$495&lt;=2)*('CONTROL MASTER'!$W$2:$W$495&gt;=2))*ROW('CONTROL MASTER'!$S$2:$S$495))-(ROW('CONTROL MASTER'!#REF!)-1)))+1)+(2-INDEX('CONTROL MASTER'!$U$2:$U$495,(SUMPRODUCT((('CONTROL MASTER'!$S$2:$S$495=5)*('CONTROL MASTER'!$T$2:$T$495&lt;=5)*('CONTROL MASTER'!$V$2:$V$495&gt;=5)*('CONTROL MASTER'!$U$2:$U$495&lt;=2)*('CONTROL MASTER'!$W$2:$W$495&gt;=2))*ROW('CONTROL MASTER'!$S$2:$S$495))-(ROW('CONTROL MASTER'!#REF!)-1))))+1))-1)*50+1,50))&amp;"_"&amp;INDEX('CONTROL MASTER'!$P$2:$P$495,(SUMPRODUCT((('CONTROL MASTER'!$S$2:$S$495=5)*('CONTROL MASTER'!$T$2:$T$495&lt;=5)*('CONTROL MASTER'!$V$2:$V$495&gt;=5)*('CONTROL MASTER'!$U$2:$U$495&lt;=2)*('CONTROL MASTER'!$W$2:$W$495&gt;=2))*ROW('CONTROL MASTER'!$S$2:$S$495))-(ROW('CONTROL MASTER'!#REF!)-1))),IF(SUMPRODUCT((('CONTROL MASTER'!$S$2:$S$495=5)*('CONTROL MASTER'!$Z$2:$Z$495&lt;=5)*('CONTROL MASTER'!$AB$2:$AB$495&gt;=5)*('CONTROL MASTER'!$AA$2:$AA$495&lt;=2)*('CONTROL MASTER'!$AC$2:$AC$495&gt;=2))*ROW('CONTROL MASTER'!$S$2:$S$495))&gt;0,INDEX('CONTROL MASTER'!$X$2:$X$495,(SUMPRODUCT((('CONTROL MASTER'!$S$2:$S$495=5)*('CONTROL MASTER'!$Z$2:$Z$495&lt;=5)*('CONTROL MASTER'!$AB$2:$AB$495&gt;=5)*('CONTROL MASTER'!$AA$2:$AA$495&lt;=2)*('CONTROL MASTER'!$AC$2:$AC$495&gt;=2))*ROW('CONTROL MASTER'!$S$2:$S$495))-(ROW('CONTROL MASTER'!#REF!)-1)))&amp;TRIM(MID(SUBSTITUTE(SUBSTITUTE(INDEX('CONTROL MASTER'!$N$2:$N$495,(SUMPRODUCT((('CONTROL MASTER'!$S$2:$S$495=5)*('CONTROL MASTER'!$Z$2:$Z$495&lt;=5)*('CONTROL MASTER'!$AB$2:$AB$495&gt;=5)*('CONTROL MASTER'!$AA$2:$AA$495&lt;=2)*('CONTROL MASTER'!$AC$2:$AC$495&gt;=2))*ROW('CONTROL MASTER'!$S$2:$S$495))-(ROW('CONTROL MASTER'!#REF!)-1))),":",","),",",REPT(" ",50)),(((INDEX('CONTROL MASTER'!$Y$2:$Y$495,(SUMPRODUCT((('CONTROL MASTER'!$S$2:$S$495=5)*('CONTROL MASTER'!$Z$2:$Z$495&lt;=5)*('CONTROL MASTER'!$AB$2:$AB$495&gt;=5)*('CONTROL MASTER'!$AA$2:$AA$495&lt;=2)*('CONTROL MASTER'!$AC$2:$AC$495&gt;=2))*ROW('CONTROL MASTER'!$S$2:$S$495))-(ROW('CONTROL MASTER'!#REF!)-1)))+((5-INDEX('CONTROL MASTER'!$Z$2:$Z$495,(SUMPRODUCT((('CONTROL MASTER'!$S$2:$S$495=5)*('CONTROL MASTER'!$Z$2:$Z$495&lt;=5)*('CONTROL MASTER'!$AB$2:$AB$495&gt;=5)*('CONTROL MASTER'!$AA$2:$AA$495&lt;=2)*('CONTROL MASTER'!$AC$2:$AC$495&gt;=2))*ROW('CONTROL MASTER'!$S$2:$S$495))-(ROW('CONTROL MASTER'!#REF!)-1))))*(INDEX('CONTROL MASTER'!$AC$2:$AC$495,(SUMPRODUCT((('CONTROL MASTER'!$S$2:$S$495=5)*('CONTROL MASTER'!$Z$2:$Z$495&lt;=5)*('CONTROL MASTER'!$AB$2:$AB$495&gt;=5)*('CONTROL MASTER'!$AA$2:$AA$495&lt;=2)*('CONTROL MASTER'!$AC$2:$AC$495&gt;=2))*ROW('CONTROL MASTER'!$S$2:$S$495))-(ROW('CONTROL MASTER'!#REF!)-1)))-INDEX('CONTROL MASTER'!$AA$2:$AA$495,(SUMPRODUCT((('CONTROL MASTER'!$S$2:$S$495=5)*('CONTROL MASTER'!$Z$2:$Z$495&lt;=5)*('CONTROL MASTER'!$AB$2:$AB$495&gt;=5)*('CONTROL MASTER'!$AA$2:$AA$495&lt;=2)*('CONTROL MASTER'!$AC$2:$AC$495&gt;=2))*ROW('CONTROL MASTER'!$S$2:$S$495))-(ROW('CONTROL MASTER'!#REF!)-1)))+1)+(2-INDEX('CONTROL MASTER'!$AA$2:$AA$495,(SUMPRODUCT((('CONTROL MASTER'!$S$2:$S$495=5)*('CONTROL MASTER'!$Z$2:$Z$495&lt;=5)*('CONTROL MASTER'!$AB$2:$AB$495&gt;=5)*('CONTROL MASTER'!$AA$2:$AA$495&lt;=2)*('CONTROL MASTER'!$AC$2:$AC$495&gt;=2))*ROW('CONTROL MASTER'!$S$2:$S$495))-(ROW('CONTROL MASTER'!#REF!)-1))))+1)))-1)*50+1,50))&amp;"_"&amp;INDEX('CONTROL MASTER'!$P$2:$P$495,(SUMPRODUCT((('CONTROL MASTER'!$S$2:$S$495=5)*('CONTROL MASTER'!$Z$2:$Z$495&lt;=5)*('CONTROL MASTER'!$AB$2:$AB$495&gt;=5)*('CONTROL MASTER'!$AA$2:$AA$495&lt;=2)*('CONTROL MASTER'!$AC$2:$AC$495&gt;=2))*ROW('CONTROL MASTER'!$S$2:$S$495))-(ROW('CONTROL MASTER'!#REF!)-1))),"")),"")</f>
        <v/>
      </c>
      <c r="D63" s="10" t="str">
        <f>IFERROR(IF(SUMPRODUCT((('CONTROL MASTER'!$S$2:$S$495=5)*('CONTROL MASTER'!$T$2:$T$495&lt;=5)*('CONTROL MASTER'!$V$2:$V$495&gt;=5)*('CONTROL MASTER'!$U$2:$U$495&lt;=3)*('CONTROL MASTER'!$W$2:$W$495&gt;=3))*ROW('CONTROL MASTER'!$S$2:$S$495))&gt;0,INDEX('CONTROL MASTER'!$X$2:$X$495,(SUMPRODUCT((('CONTROL MASTER'!$S$2:$S$495=5)*('CONTROL MASTER'!$T$2:$T$495&lt;=5)*('CONTROL MASTER'!$V$2:$V$495&gt;=5)*('CONTROL MASTER'!$U$2:$U$495&lt;=3)*('CONTROL MASTER'!$W$2:$W$495&gt;=3))*ROW('CONTROL MASTER'!$S$2:$S$495))-(ROW('CONTROL MASTER'!#REF!)-1)))&amp;TRIM(MID(SUBSTITUTE(SUBSTITUTE(INDEX('CONTROL MASTER'!$N$2:$N$495,(SUMPRODUCT((('CONTROL MASTER'!$S$2:$S$495=5)*('CONTROL MASTER'!$T$2:$T$495&lt;=5)*('CONTROL MASTER'!$V$2:$V$495&gt;=5)*('CONTROL MASTER'!$U$2:$U$495&lt;=3)*('CONTROL MASTER'!$W$2:$W$495&gt;=3))*ROW('CONTROL MASTER'!$S$2:$S$495))-(ROW('CONTROL MASTER'!#REF!)-1))),":",","),",",REPT(" ",50)),((((5-INDEX('CONTROL MASTER'!$T$2:$T$495,(SUMPRODUCT((('CONTROL MASTER'!$S$2:$S$495=5)*('CONTROL MASTER'!$T$2:$T$495&lt;=5)*('CONTROL MASTER'!$V$2:$V$495&gt;=5)*('CONTROL MASTER'!$U$2:$U$495&lt;=3)*('CONTROL MASTER'!$W$2:$W$495&gt;=3))*ROW('CONTROL MASTER'!$S$2:$S$495))-(ROW('CONTROL MASTER'!#REF!)-1))))*(INDEX('CONTROL MASTER'!$W$2:$W$495,(SUMPRODUCT((('CONTROL MASTER'!$S$2:$S$495=5)*('CONTROL MASTER'!$T$2:$T$495&lt;=5)*('CONTROL MASTER'!$V$2:$V$495&gt;=5)*('CONTROL MASTER'!$U$2:$U$495&lt;=3)*('CONTROL MASTER'!$W$2:$W$495&gt;=3))*ROW('CONTROL MASTER'!$S$2:$S$495))-(ROW('CONTROL MASTER'!#REF!)-1)))-INDEX('CONTROL MASTER'!$U$2:$U$495,(SUMPRODUCT((('CONTROL MASTER'!$S$2:$S$495=5)*('CONTROL MASTER'!$T$2:$T$495&lt;=5)*('CONTROL MASTER'!$V$2:$V$495&gt;=5)*('CONTROL MASTER'!$U$2:$U$495&lt;=3)*('CONTROL MASTER'!$W$2:$W$495&gt;=3))*ROW('CONTROL MASTER'!$S$2:$S$495))-(ROW('CONTROL MASTER'!#REF!)-1)))+1)+(3-INDEX('CONTROL MASTER'!$U$2:$U$495,(SUMPRODUCT((('CONTROL MASTER'!$S$2:$S$495=5)*('CONTROL MASTER'!$T$2:$T$495&lt;=5)*('CONTROL MASTER'!$V$2:$V$495&gt;=5)*('CONTROL MASTER'!$U$2:$U$495&lt;=3)*('CONTROL MASTER'!$W$2:$W$495&gt;=3))*ROW('CONTROL MASTER'!$S$2:$S$495))-(ROW('CONTROL MASTER'!#REF!)-1))))+1))-1)*50+1,50))&amp;"_"&amp;INDEX('CONTROL MASTER'!$P$2:$P$495,(SUMPRODUCT((('CONTROL MASTER'!$S$2:$S$495=5)*('CONTROL MASTER'!$T$2:$T$495&lt;=5)*('CONTROL MASTER'!$V$2:$V$495&gt;=5)*('CONTROL MASTER'!$U$2:$U$495&lt;=3)*('CONTROL MASTER'!$W$2:$W$495&gt;=3))*ROW('CONTROL MASTER'!$S$2:$S$495))-(ROW('CONTROL MASTER'!#REF!)-1))),IF(SUMPRODUCT((('CONTROL MASTER'!$S$2:$S$495=5)*('CONTROL MASTER'!$Z$2:$Z$495&lt;=5)*('CONTROL MASTER'!$AB$2:$AB$495&gt;=5)*('CONTROL MASTER'!$AA$2:$AA$495&lt;=3)*('CONTROL MASTER'!$AC$2:$AC$495&gt;=3))*ROW('CONTROL MASTER'!$S$2:$S$495))&gt;0,INDEX('CONTROL MASTER'!$X$2:$X$495,(SUMPRODUCT((('CONTROL MASTER'!$S$2:$S$495=5)*('CONTROL MASTER'!$Z$2:$Z$495&lt;=5)*('CONTROL MASTER'!$AB$2:$AB$495&gt;=5)*('CONTROL MASTER'!$AA$2:$AA$495&lt;=3)*('CONTROL MASTER'!$AC$2:$AC$495&gt;=3))*ROW('CONTROL MASTER'!$S$2:$S$495))-(ROW('CONTROL MASTER'!#REF!)-1)))&amp;TRIM(MID(SUBSTITUTE(SUBSTITUTE(INDEX('CONTROL MASTER'!$N$2:$N$495,(SUMPRODUCT((('CONTROL MASTER'!$S$2:$S$495=5)*('CONTROL MASTER'!$Z$2:$Z$495&lt;=5)*('CONTROL MASTER'!$AB$2:$AB$495&gt;=5)*('CONTROL MASTER'!$AA$2:$AA$495&lt;=3)*('CONTROL MASTER'!$AC$2:$AC$495&gt;=3))*ROW('CONTROL MASTER'!$S$2:$S$495))-(ROW('CONTROL MASTER'!#REF!)-1))),":",","),",",REPT(" ",50)),(((INDEX('CONTROL MASTER'!$Y$2:$Y$495,(SUMPRODUCT((('CONTROL MASTER'!$S$2:$S$495=5)*('CONTROL MASTER'!$Z$2:$Z$495&lt;=5)*('CONTROL MASTER'!$AB$2:$AB$495&gt;=5)*('CONTROL MASTER'!$AA$2:$AA$495&lt;=3)*('CONTROL MASTER'!$AC$2:$AC$495&gt;=3))*ROW('CONTROL MASTER'!$S$2:$S$495))-(ROW('CONTROL MASTER'!#REF!)-1)))+((5-INDEX('CONTROL MASTER'!$Z$2:$Z$495,(SUMPRODUCT((('CONTROL MASTER'!$S$2:$S$495=5)*('CONTROL MASTER'!$Z$2:$Z$495&lt;=5)*('CONTROL MASTER'!$AB$2:$AB$495&gt;=5)*('CONTROL MASTER'!$AA$2:$AA$495&lt;=3)*('CONTROL MASTER'!$AC$2:$AC$495&gt;=3))*ROW('CONTROL MASTER'!$S$2:$S$495))-(ROW('CONTROL MASTER'!#REF!)-1))))*(INDEX('CONTROL MASTER'!$AC$2:$AC$495,(SUMPRODUCT((('CONTROL MASTER'!$S$2:$S$495=5)*('CONTROL MASTER'!$Z$2:$Z$495&lt;=5)*('CONTROL MASTER'!$AB$2:$AB$495&gt;=5)*('CONTROL MASTER'!$AA$2:$AA$495&lt;=3)*('CONTROL MASTER'!$AC$2:$AC$495&gt;=3))*ROW('CONTROL MASTER'!$S$2:$S$495))-(ROW('CONTROL MASTER'!#REF!)-1)))-INDEX('CONTROL MASTER'!$AA$2:$AA$495,(SUMPRODUCT((('CONTROL MASTER'!$S$2:$S$495=5)*('CONTROL MASTER'!$Z$2:$Z$495&lt;=5)*('CONTROL MASTER'!$AB$2:$AB$495&gt;=5)*('CONTROL MASTER'!$AA$2:$AA$495&lt;=3)*('CONTROL MASTER'!$AC$2:$AC$495&gt;=3))*ROW('CONTROL MASTER'!$S$2:$S$495))-(ROW('CONTROL MASTER'!#REF!)-1)))+1)+(3-INDEX('CONTROL MASTER'!$AA$2:$AA$495,(SUMPRODUCT((('CONTROL MASTER'!$S$2:$S$495=5)*('CONTROL MASTER'!$Z$2:$Z$495&lt;=5)*('CONTROL MASTER'!$AB$2:$AB$495&gt;=5)*('CONTROL MASTER'!$AA$2:$AA$495&lt;=3)*('CONTROL MASTER'!$AC$2:$AC$495&gt;=3))*ROW('CONTROL MASTER'!$S$2:$S$495))-(ROW('CONTROL MASTER'!#REF!)-1))))+1)))-1)*50+1,50))&amp;"_"&amp;INDEX('CONTROL MASTER'!$P$2:$P$495,(SUMPRODUCT((('CONTROL MASTER'!$S$2:$S$495=5)*('CONTROL MASTER'!$Z$2:$Z$495&lt;=5)*('CONTROL MASTER'!$AB$2:$AB$495&gt;=5)*('CONTROL MASTER'!$AA$2:$AA$495&lt;=3)*('CONTROL MASTER'!$AC$2:$AC$495&gt;=3))*ROW('CONTROL MASTER'!$S$2:$S$495))-(ROW('CONTROL MASTER'!#REF!)-1))),"")),"")</f>
        <v/>
      </c>
      <c r="E63" s="10" t="str">
        <f>IFERROR(IF(SUMPRODUCT((('CONTROL MASTER'!$S$2:$S$495=5)*('CONTROL MASTER'!$T$2:$T$495&lt;=5)*('CONTROL MASTER'!$V$2:$V$495&gt;=5)*('CONTROL MASTER'!$U$2:$U$495&lt;=4)*('CONTROL MASTER'!$W$2:$W$495&gt;=4))*ROW('CONTROL MASTER'!$S$2:$S$495))&gt;0,INDEX('CONTROL MASTER'!$X$2:$X$495,(SUMPRODUCT((('CONTROL MASTER'!$S$2:$S$495=5)*('CONTROL MASTER'!$T$2:$T$495&lt;=5)*('CONTROL MASTER'!$V$2:$V$495&gt;=5)*('CONTROL MASTER'!$U$2:$U$495&lt;=4)*('CONTROL MASTER'!$W$2:$W$495&gt;=4))*ROW('CONTROL MASTER'!$S$2:$S$495))-(ROW('CONTROL MASTER'!#REF!)-1)))&amp;TRIM(MID(SUBSTITUTE(SUBSTITUTE(INDEX('CONTROL MASTER'!$N$2:$N$495,(SUMPRODUCT((('CONTROL MASTER'!$S$2:$S$495=5)*('CONTROL MASTER'!$T$2:$T$495&lt;=5)*('CONTROL MASTER'!$V$2:$V$495&gt;=5)*('CONTROL MASTER'!$U$2:$U$495&lt;=4)*('CONTROL MASTER'!$W$2:$W$495&gt;=4))*ROW('CONTROL MASTER'!$S$2:$S$495))-(ROW('CONTROL MASTER'!#REF!)-1))),":",","),",",REPT(" ",50)),((((5-INDEX('CONTROL MASTER'!$T$2:$T$495,(SUMPRODUCT((('CONTROL MASTER'!$S$2:$S$495=5)*('CONTROL MASTER'!$T$2:$T$495&lt;=5)*('CONTROL MASTER'!$V$2:$V$495&gt;=5)*('CONTROL MASTER'!$U$2:$U$495&lt;=4)*('CONTROL MASTER'!$W$2:$W$495&gt;=4))*ROW('CONTROL MASTER'!$S$2:$S$495))-(ROW('CONTROL MASTER'!#REF!)-1))))*(INDEX('CONTROL MASTER'!$W$2:$W$495,(SUMPRODUCT((('CONTROL MASTER'!$S$2:$S$495=5)*('CONTROL MASTER'!$T$2:$T$495&lt;=5)*('CONTROL MASTER'!$V$2:$V$495&gt;=5)*('CONTROL MASTER'!$U$2:$U$495&lt;=4)*('CONTROL MASTER'!$W$2:$W$495&gt;=4))*ROW('CONTROL MASTER'!$S$2:$S$495))-(ROW('CONTROL MASTER'!#REF!)-1)))-INDEX('CONTROL MASTER'!$U$2:$U$495,(SUMPRODUCT((('CONTROL MASTER'!$S$2:$S$495=5)*('CONTROL MASTER'!$T$2:$T$495&lt;=5)*('CONTROL MASTER'!$V$2:$V$495&gt;=5)*('CONTROL MASTER'!$U$2:$U$495&lt;=4)*('CONTROL MASTER'!$W$2:$W$495&gt;=4))*ROW('CONTROL MASTER'!$S$2:$S$495))-(ROW('CONTROL MASTER'!#REF!)-1)))+1)+(4-INDEX('CONTROL MASTER'!$U$2:$U$495,(SUMPRODUCT((('CONTROL MASTER'!$S$2:$S$495=5)*('CONTROL MASTER'!$T$2:$T$495&lt;=5)*('CONTROL MASTER'!$V$2:$V$495&gt;=5)*('CONTROL MASTER'!$U$2:$U$495&lt;=4)*('CONTROL MASTER'!$W$2:$W$495&gt;=4))*ROW('CONTROL MASTER'!$S$2:$S$495))-(ROW('CONTROL MASTER'!#REF!)-1))))+1))-1)*50+1,50))&amp;"_"&amp;INDEX('CONTROL MASTER'!$P$2:$P$495,(SUMPRODUCT((('CONTROL MASTER'!$S$2:$S$495=5)*('CONTROL MASTER'!$T$2:$T$495&lt;=5)*('CONTROL MASTER'!$V$2:$V$495&gt;=5)*('CONTROL MASTER'!$U$2:$U$495&lt;=4)*('CONTROL MASTER'!$W$2:$W$495&gt;=4))*ROW('CONTROL MASTER'!$S$2:$S$495))-(ROW('CONTROL MASTER'!#REF!)-1))),IF(SUMPRODUCT((('CONTROL MASTER'!$S$2:$S$495=5)*('CONTROL MASTER'!$Z$2:$Z$495&lt;=5)*('CONTROL MASTER'!$AB$2:$AB$495&gt;=5)*('CONTROL MASTER'!$AA$2:$AA$495&lt;=4)*('CONTROL MASTER'!$AC$2:$AC$495&gt;=4))*ROW('CONTROL MASTER'!$S$2:$S$495))&gt;0,INDEX('CONTROL MASTER'!$X$2:$X$495,(SUMPRODUCT((('CONTROL MASTER'!$S$2:$S$495=5)*('CONTROL MASTER'!$Z$2:$Z$495&lt;=5)*('CONTROL MASTER'!$AB$2:$AB$495&gt;=5)*('CONTROL MASTER'!$AA$2:$AA$495&lt;=4)*('CONTROL MASTER'!$AC$2:$AC$495&gt;=4))*ROW('CONTROL MASTER'!$S$2:$S$495))-(ROW('CONTROL MASTER'!#REF!)-1)))&amp;TRIM(MID(SUBSTITUTE(SUBSTITUTE(INDEX('CONTROL MASTER'!$N$2:$N$495,(SUMPRODUCT((('CONTROL MASTER'!$S$2:$S$495=5)*('CONTROL MASTER'!$Z$2:$Z$495&lt;=5)*('CONTROL MASTER'!$AB$2:$AB$495&gt;=5)*('CONTROL MASTER'!$AA$2:$AA$495&lt;=4)*('CONTROL MASTER'!$AC$2:$AC$495&gt;=4))*ROW('CONTROL MASTER'!$S$2:$S$495))-(ROW('CONTROL MASTER'!#REF!)-1))),":",","),",",REPT(" ",50)),(((INDEX('CONTROL MASTER'!$Y$2:$Y$495,(SUMPRODUCT((('CONTROL MASTER'!$S$2:$S$495=5)*('CONTROL MASTER'!$Z$2:$Z$495&lt;=5)*('CONTROL MASTER'!$AB$2:$AB$495&gt;=5)*('CONTROL MASTER'!$AA$2:$AA$495&lt;=4)*('CONTROL MASTER'!$AC$2:$AC$495&gt;=4))*ROW('CONTROL MASTER'!$S$2:$S$495))-(ROW('CONTROL MASTER'!#REF!)-1)))+((5-INDEX('CONTROL MASTER'!$Z$2:$Z$495,(SUMPRODUCT((('CONTROL MASTER'!$S$2:$S$495=5)*('CONTROL MASTER'!$Z$2:$Z$495&lt;=5)*('CONTROL MASTER'!$AB$2:$AB$495&gt;=5)*('CONTROL MASTER'!$AA$2:$AA$495&lt;=4)*('CONTROL MASTER'!$AC$2:$AC$495&gt;=4))*ROW('CONTROL MASTER'!$S$2:$S$495))-(ROW('CONTROL MASTER'!#REF!)-1))))*(INDEX('CONTROL MASTER'!$AC$2:$AC$495,(SUMPRODUCT((('CONTROL MASTER'!$S$2:$S$495=5)*('CONTROL MASTER'!$Z$2:$Z$495&lt;=5)*('CONTROL MASTER'!$AB$2:$AB$495&gt;=5)*('CONTROL MASTER'!$AA$2:$AA$495&lt;=4)*('CONTROL MASTER'!$AC$2:$AC$495&gt;=4))*ROW('CONTROL MASTER'!$S$2:$S$495))-(ROW('CONTROL MASTER'!#REF!)-1)))-INDEX('CONTROL MASTER'!$AA$2:$AA$495,(SUMPRODUCT((('CONTROL MASTER'!$S$2:$S$495=5)*('CONTROL MASTER'!$Z$2:$Z$495&lt;=5)*('CONTROL MASTER'!$AB$2:$AB$495&gt;=5)*('CONTROL MASTER'!$AA$2:$AA$495&lt;=4)*('CONTROL MASTER'!$AC$2:$AC$495&gt;=4))*ROW('CONTROL MASTER'!$S$2:$S$495))-(ROW('CONTROL MASTER'!#REF!)-1)))+1)+(4-INDEX('CONTROL MASTER'!$AA$2:$AA$495,(SUMPRODUCT((('CONTROL MASTER'!$S$2:$S$495=5)*('CONTROL MASTER'!$Z$2:$Z$495&lt;=5)*('CONTROL MASTER'!$AB$2:$AB$495&gt;=5)*('CONTROL MASTER'!$AA$2:$AA$495&lt;=4)*('CONTROL MASTER'!$AC$2:$AC$495&gt;=4))*ROW('CONTROL MASTER'!$S$2:$S$495))-(ROW('CONTROL MASTER'!#REF!)-1))))+1)))-1)*50+1,50))&amp;"_"&amp;INDEX('CONTROL MASTER'!$P$2:$P$495,(SUMPRODUCT((('CONTROL MASTER'!$S$2:$S$495=5)*('CONTROL MASTER'!$Z$2:$Z$495&lt;=5)*('CONTROL MASTER'!$AB$2:$AB$495&gt;=5)*('CONTROL MASTER'!$AA$2:$AA$495&lt;=4)*('CONTROL MASTER'!$AC$2:$AC$495&gt;=4))*ROW('CONTROL MASTER'!$S$2:$S$495))-(ROW('CONTROL MASTER'!#REF!)-1))),"")),"")</f>
        <v/>
      </c>
      <c r="F63" s="10" t="str">
        <f>IFERROR(IF(SUMPRODUCT((('CONTROL MASTER'!$S$2:$S$495=5)*('CONTROL MASTER'!$T$2:$T$495&lt;=5)*('CONTROL MASTER'!$V$2:$V$495&gt;=5)*('CONTROL MASTER'!$U$2:$U$495&lt;=5)*('CONTROL MASTER'!$W$2:$W$495&gt;=5))*ROW('CONTROL MASTER'!$S$2:$S$495))&gt;0,INDEX('CONTROL MASTER'!$X$2:$X$495,(SUMPRODUCT((('CONTROL MASTER'!$S$2:$S$495=5)*('CONTROL MASTER'!$T$2:$T$495&lt;=5)*('CONTROL MASTER'!$V$2:$V$495&gt;=5)*('CONTROL MASTER'!$U$2:$U$495&lt;=5)*('CONTROL MASTER'!$W$2:$W$495&gt;=5))*ROW('CONTROL MASTER'!$S$2:$S$495))-(ROW('CONTROL MASTER'!#REF!)-1)))&amp;TRIM(MID(SUBSTITUTE(SUBSTITUTE(INDEX('CONTROL MASTER'!$N$2:$N$495,(SUMPRODUCT((('CONTROL MASTER'!$S$2:$S$495=5)*('CONTROL MASTER'!$T$2:$T$495&lt;=5)*('CONTROL MASTER'!$V$2:$V$495&gt;=5)*('CONTROL MASTER'!$U$2:$U$495&lt;=5)*('CONTROL MASTER'!$W$2:$W$495&gt;=5))*ROW('CONTROL MASTER'!$S$2:$S$495))-(ROW('CONTROL MASTER'!#REF!)-1))),":",","),",",REPT(" ",50)),((((5-INDEX('CONTROL MASTER'!$T$2:$T$495,(SUMPRODUCT((('CONTROL MASTER'!$S$2:$S$495=5)*('CONTROL MASTER'!$T$2:$T$495&lt;=5)*('CONTROL MASTER'!$V$2:$V$495&gt;=5)*('CONTROL MASTER'!$U$2:$U$495&lt;=5)*('CONTROL MASTER'!$W$2:$W$495&gt;=5))*ROW('CONTROL MASTER'!$S$2:$S$495))-(ROW('CONTROL MASTER'!#REF!)-1))))*(INDEX('CONTROL MASTER'!$W$2:$W$495,(SUMPRODUCT((('CONTROL MASTER'!$S$2:$S$495=5)*('CONTROL MASTER'!$T$2:$T$495&lt;=5)*('CONTROL MASTER'!$V$2:$V$495&gt;=5)*('CONTROL MASTER'!$U$2:$U$495&lt;=5)*('CONTROL MASTER'!$W$2:$W$495&gt;=5))*ROW('CONTROL MASTER'!$S$2:$S$495))-(ROW('CONTROL MASTER'!#REF!)-1)))-INDEX('CONTROL MASTER'!$U$2:$U$495,(SUMPRODUCT((('CONTROL MASTER'!$S$2:$S$495=5)*('CONTROL MASTER'!$T$2:$T$495&lt;=5)*('CONTROL MASTER'!$V$2:$V$495&gt;=5)*('CONTROL MASTER'!$U$2:$U$495&lt;=5)*('CONTROL MASTER'!$W$2:$W$495&gt;=5))*ROW('CONTROL MASTER'!$S$2:$S$495))-(ROW('CONTROL MASTER'!#REF!)-1)))+1)+(5-INDEX('CONTROL MASTER'!$U$2:$U$495,(SUMPRODUCT((('CONTROL MASTER'!$S$2:$S$495=5)*('CONTROL MASTER'!$T$2:$T$495&lt;=5)*('CONTROL MASTER'!$V$2:$V$495&gt;=5)*('CONTROL MASTER'!$U$2:$U$495&lt;=5)*('CONTROL MASTER'!$W$2:$W$495&gt;=5))*ROW('CONTROL MASTER'!$S$2:$S$495))-(ROW('CONTROL MASTER'!#REF!)-1))))+1))-1)*50+1,50))&amp;"_"&amp;INDEX('CONTROL MASTER'!$P$2:$P$495,(SUMPRODUCT((('CONTROL MASTER'!$S$2:$S$495=5)*('CONTROL MASTER'!$T$2:$T$495&lt;=5)*('CONTROL MASTER'!$V$2:$V$495&gt;=5)*('CONTROL MASTER'!$U$2:$U$495&lt;=5)*('CONTROL MASTER'!$W$2:$W$495&gt;=5))*ROW('CONTROL MASTER'!$S$2:$S$495))-(ROW('CONTROL MASTER'!#REF!)-1))),IF(SUMPRODUCT((('CONTROL MASTER'!$S$2:$S$495=5)*('CONTROL MASTER'!$Z$2:$Z$495&lt;=5)*('CONTROL MASTER'!$AB$2:$AB$495&gt;=5)*('CONTROL MASTER'!$AA$2:$AA$495&lt;=5)*('CONTROL MASTER'!$AC$2:$AC$495&gt;=5))*ROW('CONTROL MASTER'!$S$2:$S$495))&gt;0,INDEX('CONTROL MASTER'!$X$2:$X$495,(SUMPRODUCT((('CONTROL MASTER'!$S$2:$S$495=5)*('CONTROL MASTER'!$Z$2:$Z$495&lt;=5)*('CONTROL MASTER'!$AB$2:$AB$495&gt;=5)*('CONTROL MASTER'!$AA$2:$AA$495&lt;=5)*('CONTROL MASTER'!$AC$2:$AC$495&gt;=5))*ROW('CONTROL MASTER'!$S$2:$S$495))-(ROW('CONTROL MASTER'!#REF!)-1)))&amp;TRIM(MID(SUBSTITUTE(SUBSTITUTE(INDEX('CONTROL MASTER'!$N$2:$N$495,(SUMPRODUCT((('CONTROL MASTER'!$S$2:$S$495=5)*('CONTROL MASTER'!$Z$2:$Z$495&lt;=5)*('CONTROL MASTER'!$AB$2:$AB$495&gt;=5)*('CONTROL MASTER'!$AA$2:$AA$495&lt;=5)*('CONTROL MASTER'!$AC$2:$AC$495&gt;=5))*ROW('CONTROL MASTER'!$S$2:$S$495))-(ROW('CONTROL MASTER'!#REF!)-1))),":",","),",",REPT(" ",50)),(((INDEX('CONTROL MASTER'!$Y$2:$Y$495,(SUMPRODUCT((('CONTROL MASTER'!$S$2:$S$495=5)*('CONTROL MASTER'!$Z$2:$Z$495&lt;=5)*('CONTROL MASTER'!$AB$2:$AB$495&gt;=5)*('CONTROL MASTER'!$AA$2:$AA$495&lt;=5)*('CONTROL MASTER'!$AC$2:$AC$495&gt;=5))*ROW('CONTROL MASTER'!$S$2:$S$495))-(ROW('CONTROL MASTER'!#REF!)-1)))+((5-INDEX('CONTROL MASTER'!$Z$2:$Z$495,(SUMPRODUCT((('CONTROL MASTER'!$S$2:$S$495=5)*('CONTROL MASTER'!$Z$2:$Z$495&lt;=5)*('CONTROL MASTER'!$AB$2:$AB$495&gt;=5)*('CONTROL MASTER'!$AA$2:$AA$495&lt;=5)*('CONTROL MASTER'!$AC$2:$AC$495&gt;=5))*ROW('CONTROL MASTER'!$S$2:$S$495))-(ROW('CONTROL MASTER'!#REF!)-1))))*(INDEX('CONTROL MASTER'!$AC$2:$AC$495,(SUMPRODUCT((('CONTROL MASTER'!$S$2:$S$495=5)*('CONTROL MASTER'!$Z$2:$Z$495&lt;=5)*('CONTROL MASTER'!$AB$2:$AB$495&gt;=5)*('CONTROL MASTER'!$AA$2:$AA$495&lt;=5)*('CONTROL MASTER'!$AC$2:$AC$495&gt;=5))*ROW('CONTROL MASTER'!$S$2:$S$495))-(ROW('CONTROL MASTER'!#REF!)-1)))-INDEX('CONTROL MASTER'!$AA$2:$AA$495,(SUMPRODUCT((('CONTROL MASTER'!$S$2:$S$495=5)*('CONTROL MASTER'!$Z$2:$Z$495&lt;=5)*('CONTROL MASTER'!$AB$2:$AB$495&gt;=5)*('CONTROL MASTER'!$AA$2:$AA$495&lt;=5)*('CONTROL MASTER'!$AC$2:$AC$495&gt;=5))*ROW('CONTROL MASTER'!$S$2:$S$495))-(ROW('CONTROL MASTER'!#REF!)-1)))+1)+(5-INDEX('CONTROL MASTER'!$AA$2:$AA$495,(SUMPRODUCT((('CONTROL MASTER'!$S$2:$S$495=5)*('CONTROL MASTER'!$Z$2:$Z$495&lt;=5)*('CONTROL MASTER'!$AB$2:$AB$495&gt;=5)*('CONTROL MASTER'!$AA$2:$AA$495&lt;=5)*('CONTROL MASTER'!$AC$2:$AC$495&gt;=5))*ROW('CONTROL MASTER'!$S$2:$S$495))-(ROW('CONTROL MASTER'!#REF!)-1))))+1)))-1)*50+1,50))&amp;"_"&amp;INDEX('CONTROL MASTER'!$P$2:$P$495,(SUMPRODUCT((('CONTROL MASTER'!$S$2:$S$495=5)*('CONTROL MASTER'!$Z$2:$Z$495&lt;=5)*('CONTROL MASTER'!$AB$2:$AB$495&gt;=5)*('CONTROL MASTER'!$AA$2:$AA$495&lt;=5)*('CONTROL MASTER'!$AC$2:$AC$495&gt;=5))*ROW('CONTROL MASTER'!$S$2:$S$495))-(ROW('CONTROL MASTER'!#REF!)-1))),"")),"")</f>
        <v/>
      </c>
      <c r="G63" s="10" t="str">
        <f>IFERROR(IF(SUMPRODUCT((('CONTROL MASTER'!$S$2:$S$495=5)*('CONTROL MASTER'!$T$2:$T$495&lt;=5)*('CONTROL MASTER'!$V$2:$V$495&gt;=5)*('CONTROL MASTER'!$U$2:$U$495&lt;=6)*('CONTROL MASTER'!$W$2:$W$495&gt;=6))*ROW('CONTROL MASTER'!$S$2:$S$495))&gt;0,INDEX('CONTROL MASTER'!$X$2:$X$495,(SUMPRODUCT((('CONTROL MASTER'!$S$2:$S$495=5)*('CONTROL MASTER'!$T$2:$T$495&lt;=5)*('CONTROL MASTER'!$V$2:$V$495&gt;=5)*('CONTROL MASTER'!$U$2:$U$495&lt;=6)*('CONTROL MASTER'!$W$2:$W$495&gt;=6))*ROW('CONTROL MASTER'!$S$2:$S$495))-(ROW('CONTROL MASTER'!#REF!)-1)))&amp;TRIM(MID(SUBSTITUTE(SUBSTITUTE(INDEX('CONTROL MASTER'!$N$2:$N$495,(SUMPRODUCT((('CONTROL MASTER'!$S$2:$S$495=5)*('CONTROL MASTER'!$T$2:$T$495&lt;=5)*('CONTROL MASTER'!$V$2:$V$495&gt;=5)*('CONTROL MASTER'!$U$2:$U$495&lt;=6)*('CONTROL MASTER'!$W$2:$W$495&gt;=6))*ROW('CONTROL MASTER'!$S$2:$S$495))-(ROW('CONTROL MASTER'!#REF!)-1))),":",","),",",REPT(" ",50)),((((5-INDEX('CONTROL MASTER'!$T$2:$T$495,(SUMPRODUCT((('CONTROL MASTER'!$S$2:$S$495=5)*('CONTROL MASTER'!$T$2:$T$495&lt;=5)*('CONTROL MASTER'!$V$2:$V$495&gt;=5)*('CONTROL MASTER'!$U$2:$U$495&lt;=6)*('CONTROL MASTER'!$W$2:$W$495&gt;=6))*ROW('CONTROL MASTER'!$S$2:$S$495))-(ROW('CONTROL MASTER'!#REF!)-1))))*(INDEX('CONTROL MASTER'!$W$2:$W$495,(SUMPRODUCT((('CONTROL MASTER'!$S$2:$S$495=5)*('CONTROL MASTER'!$T$2:$T$495&lt;=5)*('CONTROL MASTER'!$V$2:$V$495&gt;=5)*('CONTROL MASTER'!$U$2:$U$495&lt;=6)*('CONTROL MASTER'!$W$2:$W$495&gt;=6))*ROW('CONTROL MASTER'!$S$2:$S$495))-(ROW('CONTROL MASTER'!#REF!)-1)))-INDEX('CONTROL MASTER'!$U$2:$U$495,(SUMPRODUCT((('CONTROL MASTER'!$S$2:$S$495=5)*('CONTROL MASTER'!$T$2:$T$495&lt;=5)*('CONTROL MASTER'!$V$2:$V$495&gt;=5)*('CONTROL MASTER'!$U$2:$U$495&lt;=6)*('CONTROL MASTER'!$W$2:$W$495&gt;=6))*ROW('CONTROL MASTER'!$S$2:$S$495))-(ROW('CONTROL MASTER'!#REF!)-1)))+1)+(6-INDEX('CONTROL MASTER'!$U$2:$U$495,(SUMPRODUCT((('CONTROL MASTER'!$S$2:$S$495=5)*('CONTROL MASTER'!$T$2:$T$495&lt;=5)*('CONTROL MASTER'!$V$2:$V$495&gt;=5)*('CONTROL MASTER'!$U$2:$U$495&lt;=6)*('CONTROL MASTER'!$W$2:$W$495&gt;=6))*ROW('CONTROL MASTER'!$S$2:$S$495))-(ROW('CONTROL MASTER'!#REF!)-1))))+1))-1)*50+1,50))&amp;"_"&amp;INDEX('CONTROL MASTER'!$P$2:$P$495,(SUMPRODUCT((('CONTROL MASTER'!$S$2:$S$495=5)*('CONTROL MASTER'!$T$2:$T$495&lt;=5)*('CONTROL MASTER'!$V$2:$V$495&gt;=5)*('CONTROL MASTER'!$U$2:$U$495&lt;=6)*('CONTROL MASTER'!$W$2:$W$495&gt;=6))*ROW('CONTROL MASTER'!$S$2:$S$495))-(ROW('CONTROL MASTER'!#REF!)-1))),IF(SUMPRODUCT((('CONTROL MASTER'!$S$2:$S$495=5)*('CONTROL MASTER'!$Z$2:$Z$495&lt;=5)*('CONTROL MASTER'!$AB$2:$AB$495&gt;=5)*('CONTROL MASTER'!$AA$2:$AA$495&lt;=6)*('CONTROL MASTER'!$AC$2:$AC$495&gt;=6))*ROW('CONTROL MASTER'!$S$2:$S$495))&gt;0,INDEX('CONTROL MASTER'!$X$2:$X$495,(SUMPRODUCT((('CONTROL MASTER'!$S$2:$S$495=5)*('CONTROL MASTER'!$Z$2:$Z$495&lt;=5)*('CONTROL MASTER'!$AB$2:$AB$495&gt;=5)*('CONTROL MASTER'!$AA$2:$AA$495&lt;=6)*('CONTROL MASTER'!$AC$2:$AC$495&gt;=6))*ROW('CONTROL MASTER'!$S$2:$S$495))-(ROW('CONTROL MASTER'!#REF!)-1)))&amp;TRIM(MID(SUBSTITUTE(SUBSTITUTE(INDEX('CONTROL MASTER'!$N$2:$N$495,(SUMPRODUCT((('CONTROL MASTER'!$S$2:$S$495=5)*('CONTROL MASTER'!$Z$2:$Z$495&lt;=5)*('CONTROL MASTER'!$AB$2:$AB$495&gt;=5)*('CONTROL MASTER'!$AA$2:$AA$495&lt;=6)*('CONTROL MASTER'!$AC$2:$AC$495&gt;=6))*ROW('CONTROL MASTER'!$S$2:$S$495))-(ROW('CONTROL MASTER'!#REF!)-1))),":",","),",",REPT(" ",50)),(((INDEX('CONTROL MASTER'!$Y$2:$Y$495,(SUMPRODUCT((('CONTROL MASTER'!$S$2:$S$495=5)*('CONTROL MASTER'!$Z$2:$Z$495&lt;=5)*('CONTROL MASTER'!$AB$2:$AB$495&gt;=5)*('CONTROL MASTER'!$AA$2:$AA$495&lt;=6)*('CONTROL MASTER'!$AC$2:$AC$495&gt;=6))*ROW('CONTROL MASTER'!$S$2:$S$495))-(ROW('CONTROL MASTER'!#REF!)-1)))+((5-INDEX('CONTROL MASTER'!$Z$2:$Z$495,(SUMPRODUCT((('CONTROL MASTER'!$S$2:$S$495=5)*('CONTROL MASTER'!$Z$2:$Z$495&lt;=5)*('CONTROL MASTER'!$AB$2:$AB$495&gt;=5)*('CONTROL MASTER'!$AA$2:$AA$495&lt;=6)*('CONTROL MASTER'!$AC$2:$AC$495&gt;=6))*ROW('CONTROL MASTER'!$S$2:$S$495))-(ROW('CONTROL MASTER'!#REF!)-1))))*(INDEX('CONTROL MASTER'!$AC$2:$AC$495,(SUMPRODUCT((('CONTROL MASTER'!$S$2:$S$495=5)*('CONTROL MASTER'!$Z$2:$Z$495&lt;=5)*('CONTROL MASTER'!$AB$2:$AB$495&gt;=5)*('CONTROL MASTER'!$AA$2:$AA$495&lt;=6)*('CONTROL MASTER'!$AC$2:$AC$495&gt;=6))*ROW('CONTROL MASTER'!$S$2:$S$495))-(ROW('CONTROL MASTER'!#REF!)-1)))-INDEX('CONTROL MASTER'!$AA$2:$AA$495,(SUMPRODUCT((('CONTROL MASTER'!$S$2:$S$495=5)*('CONTROL MASTER'!$Z$2:$Z$495&lt;=5)*('CONTROL MASTER'!$AB$2:$AB$495&gt;=5)*('CONTROL MASTER'!$AA$2:$AA$495&lt;=6)*('CONTROL MASTER'!$AC$2:$AC$495&gt;=6))*ROW('CONTROL MASTER'!$S$2:$S$495))-(ROW('CONTROL MASTER'!#REF!)-1)))+1)+(6-INDEX('CONTROL MASTER'!$AA$2:$AA$495,(SUMPRODUCT((('CONTROL MASTER'!$S$2:$S$495=5)*('CONTROL MASTER'!$Z$2:$Z$495&lt;=5)*('CONTROL MASTER'!$AB$2:$AB$495&gt;=5)*('CONTROL MASTER'!$AA$2:$AA$495&lt;=6)*('CONTROL MASTER'!$AC$2:$AC$495&gt;=6))*ROW('CONTROL MASTER'!$S$2:$S$495))-(ROW('CONTROL MASTER'!#REF!)-1))))+1)))-1)*50+1,50))&amp;"_"&amp;INDEX('CONTROL MASTER'!$P$2:$P$495,(SUMPRODUCT((('CONTROL MASTER'!$S$2:$S$495=5)*('CONTROL MASTER'!$Z$2:$Z$495&lt;=5)*('CONTROL MASTER'!$AB$2:$AB$495&gt;=5)*('CONTROL MASTER'!$AA$2:$AA$495&lt;=6)*('CONTROL MASTER'!$AC$2:$AC$495&gt;=6))*ROW('CONTROL MASTER'!$S$2:$S$495))-(ROW('CONTROL MASTER'!#REF!)-1))),"")),"")</f>
        <v/>
      </c>
      <c r="H63" s="10" t="str">
        <f>IFERROR(IF(SUMPRODUCT((('CONTROL MASTER'!$S$2:$S$495=5)*('CONTROL MASTER'!$T$2:$T$495&lt;=5)*('CONTROL MASTER'!$V$2:$V$495&gt;=5)*('CONTROL MASTER'!$U$2:$U$495&lt;=7)*('CONTROL MASTER'!$W$2:$W$495&gt;=7))*ROW('CONTROL MASTER'!$S$2:$S$495))&gt;0,INDEX('CONTROL MASTER'!$X$2:$X$495,(SUMPRODUCT((('CONTROL MASTER'!$S$2:$S$495=5)*('CONTROL MASTER'!$T$2:$T$495&lt;=5)*('CONTROL MASTER'!$V$2:$V$495&gt;=5)*('CONTROL MASTER'!$U$2:$U$495&lt;=7)*('CONTROL MASTER'!$W$2:$W$495&gt;=7))*ROW('CONTROL MASTER'!$S$2:$S$495))-(ROW('CONTROL MASTER'!#REF!)-1)))&amp;TRIM(MID(SUBSTITUTE(SUBSTITUTE(INDEX('CONTROL MASTER'!$N$2:$N$495,(SUMPRODUCT((('CONTROL MASTER'!$S$2:$S$495=5)*('CONTROL MASTER'!$T$2:$T$495&lt;=5)*('CONTROL MASTER'!$V$2:$V$495&gt;=5)*('CONTROL MASTER'!$U$2:$U$495&lt;=7)*('CONTROL MASTER'!$W$2:$W$495&gt;=7))*ROW('CONTROL MASTER'!$S$2:$S$495))-(ROW('CONTROL MASTER'!#REF!)-1))),":",","),",",REPT(" ",50)),((((5-INDEX('CONTROL MASTER'!$T$2:$T$495,(SUMPRODUCT((('CONTROL MASTER'!$S$2:$S$495=5)*('CONTROL MASTER'!$T$2:$T$495&lt;=5)*('CONTROL MASTER'!$V$2:$V$495&gt;=5)*('CONTROL MASTER'!$U$2:$U$495&lt;=7)*('CONTROL MASTER'!$W$2:$W$495&gt;=7))*ROW('CONTROL MASTER'!$S$2:$S$495))-(ROW('CONTROL MASTER'!#REF!)-1))))*(INDEX('CONTROL MASTER'!$W$2:$W$495,(SUMPRODUCT((('CONTROL MASTER'!$S$2:$S$495=5)*('CONTROL MASTER'!$T$2:$T$495&lt;=5)*('CONTROL MASTER'!$V$2:$V$495&gt;=5)*('CONTROL MASTER'!$U$2:$U$495&lt;=7)*('CONTROL MASTER'!$W$2:$W$495&gt;=7))*ROW('CONTROL MASTER'!$S$2:$S$495))-(ROW('CONTROL MASTER'!#REF!)-1)))-INDEX('CONTROL MASTER'!$U$2:$U$495,(SUMPRODUCT((('CONTROL MASTER'!$S$2:$S$495=5)*('CONTROL MASTER'!$T$2:$T$495&lt;=5)*('CONTROL MASTER'!$V$2:$V$495&gt;=5)*('CONTROL MASTER'!$U$2:$U$495&lt;=7)*('CONTROL MASTER'!$W$2:$W$495&gt;=7))*ROW('CONTROL MASTER'!$S$2:$S$495))-(ROW('CONTROL MASTER'!#REF!)-1)))+1)+(7-INDEX('CONTROL MASTER'!$U$2:$U$495,(SUMPRODUCT((('CONTROL MASTER'!$S$2:$S$495=5)*('CONTROL MASTER'!$T$2:$T$495&lt;=5)*('CONTROL MASTER'!$V$2:$V$495&gt;=5)*('CONTROL MASTER'!$U$2:$U$495&lt;=7)*('CONTROL MASTER'!$W$2:$W$495&gt;=7))*ROW('CONTROL MASTER'!$S$2:$S$495))-(ROW('CONTROL MASTER'!#REF!)-1))))+1))-1)*50+1,50))&amp;"_"&amp;INDEX('CONTROL MASTER'!$P$2:$P$495,(SUMPRODUCT((('CONTROL MASTER'!$S$2:$S$495=5)*('CONTROL MASTER'!$T$2:$T$495&lt;=5)*('CONTROL MASTER'!$V$2:$V$495&gt;=5)*('CONTROL MASTER'!$U$2:$U$495&lt;=7)*('CONTROL MASTER'!$W$2:$W$495&gt;=7))*ROW('CONTROL MASTER'!$S$2:$S$495))-(ROW('CONTROL MASTER'!#REF!)-1))),IF(SUMPRODUCT((('CONTROL MASTER'!$S$2:$S$495=5)*('CONTROL MASTER'!$Z$2:$Z$495&lt;=5)*('CONTROL MASTER'!$AB$2:$AB$495&gt;=5)*('CONTROL MASTER'!$AA$2:$AA$495&lt;=7)*('CONTROL MASTER'!$AC$2:$AC$495&gt;=7))*ROW('CONTROL MASTER'!$S$2:$S$495))&gt;0,INDEX('CONTROL MASTER'!$X$2:$X$495,(SUMPRODUCT((('CONTROL MASTER'!$S$2:$S$495=5)*('CONTROL MASTER'!$Z$2:$Z$495&lt;=5)*('CONTROL MASTER'!$AB$2:$AB$495&gt;=5)*('CONTROL MASTER'!$AA$2:$AA$495&lt;=7)*('CONTROL MASTER'!$AC$2:$AC$495&gt;=7))*ROW('CONTROL MASTER'!$S$2:$S$495))-(ROW('CONTROL MASTER'!#REF!)-1)))&amp;TRIM(MID(SUBSTITUTE(SUBSTITUTE(INDEX('CONTROL MASTER'!$N$2:$N$495,(SUMPRODUCT((('CONTROL MASTER'!$S$2:$S$495=5)*('CONTROL MASTER'!$Z$2:$Z$495&lt;=5)*('CONTROL MASTER'!$AB$2:$AB$495&gt;=5)*('CONTROL MASTER'!$AA$2:$AA$495&lt;=7)*('CONTROL MASTER'!$AC$2:$AC$495&gt;=7))*ROW('CONTROL MASTER'!$S$2:$S$495))-(ROW('CONTROL MASTER'!#REF!)-1))),":",","),",",REPT(" ",50)),(((INDEX('CONTROL MASTER'!$Y$2:$Y$495,(SUMPRODUCT((('CONTROL MASTER'!$S$2:$S$495=5)*('CONTROL MASTER'!$Z$2:$Z$495&lt;=5)*('CONTROL MASTER'!$AB$2:$AB$495&gt;=5)*('CONTROL MASTER'!$AA$2:$AA$495&lt;=7)*('CONTROL MASTER'!$AC$2:$AC$495&gt;=7))*ROW('CONTROL MASTER'!$S$2:$S$495))-(ROW('CONTROL MASTER'!#REF!)-1)))+((5-INDEX('CONTROL MASTER'!$Z$2:$Z$495,(SUMPRODUCT((('CONTROL MASTER'!$S$2:$S$495=5)*('CONTROL MASTER'!$Z$2:$Z$495&lt;=5)*('CONTROL MASTER'!$AB$2:$AB$495&gt;=5)*('CONTROL MASTER'!$AA$2:$AA$495&lt;=7)*('CONTROL MASTER'!$AC$2:$AC$495&gt;=7))*ROW('CONTROL MASTER'!$S$2:$S$495))-(ROW('CONTROL MASTER'!#REF!)-1))))*(INDEX('CONTROL MASTER'!$AC$2:$AC$495,(SUMPRODUCT((('CONTROL MASTER'!$S$2:$S$495=5)*('CONTROL MASTER'!$Z$2:$Z$495&lt;=5)*('CONTROL MASTER'!$AB$2:$AB$495&gt;=5)*('CONTROL MASTER'!$AA$2:$AA$495&lt;=7)*('CONTROL MASTER'!$AC$2:$AC$495&gt;=7))*ROW('CONTROL MASTER'!$S$2:$S$495))-(ROW('CONTROL MASTER'!#REF!)-1)))-INDEX('CONTROL MASTER'!$AA$2:$AA$495,(SUMPRODUCT((('CONTROL MASTER'!$S$2:$S$495=5)*('CONTROL MASTER'!$Z$2:$Z$495&lt;=5)*('CONTROL MASTER'!$AB$2:$AB$495&gt;=5)*('CONTROL MASTER'!$AA$2:$AA$495&lt;=7)*('CONTROL MASTER'!$AC$2:$AC$495&gt;=7))*ROW('CONTROL MASTER'!$S$2:$S$495))-(ROW('CONTROL MASTER'!#REF!)-1)))+1)+(7-INDEX('CONTROL MASTER'!$AA$2:$AA$495,(SUMPRODUCT((('CONTROL MASTER'!$S$2:$S$495=5)*('CONTROL MASTER'!$Z$2:$Z$495&lt;=5)*('CONTROL MASTER'!$AB$2:$AB$495&gt;=5)*('CONTROL MASTER'!$AA$2:$AA$495&lt;=7)*('CONTROL MASTER'!$AC$2:$AC$495&gt;=7))*ROW('CONTROL MASTER'!$S$2:$S$495))-(ROW('CONTROL MASTER'!#REF!)-1))))+1)))-1)*50+1,50))&amp;"_"&amp;INDEX('CONTROL MASTER'!$P$2:$P$495,(SUMPRODUCT((('CONTROL MASTER'!$S$2:$S$495=5)*('CONTROL MASTER'!$Z$2:$Z$495&lt;=5)*('CONTROL MASTER'!$AB$2:$AB$495&gt;=5)*('CONTROL MASTER'!$AA$2:$AA$495&lt;=7)*('CONTROL MASTER'!$AC$2:$AC$495&gt;=7))*ROW('CONTROL MASTER'!$S$2:$S$495))-(ROW('CONTROL MASTER'!#REF!)-1))),"")),"")</f>
        <v/>
      </c>
      <c r="I63" s="10" t="str">
        <f>IFERROR(IF(SUMPRODUCT((('CONTROL MASTER'!$S$2:$S$495=5)*('CONTROL MASTER'!$T$2:$T$495&lt;=5)*('CONTROL MASTER'!$V$2:$V$495&gt;=5)*('CONTROL MASTER'!$U$2:$U$495&lt;=8)*('CONTROL MASTER'!$W$2:$W$495&gt;=8))*ROW('CONTROL MASTER'!$S$2:$S$495))&gt;0,INDEX('CONTROL MASTER'!$X$2:$X$495,(SUMPRODUCT((('CONTROL MASTER'!$S$2:$S$495=5)*('CONTROL MASTER'!$T$2:$T$495&lt;=5)*('CONTROL MASTER'!$V$2:$V$495&gt;=5)*('CONTROL MASTER'!$U$2:$U$495&lt;=8)*('CONTROL MASTER'!$W$2:$W$495&gt;=8))*ROW('CONTROL MASTER'!$S$2:$S$495))-(ROW('CONTROL MASTER'!#REF!)-1)))&amp;TRIM(MID(SUBSTITUTE(SUBSTITUTE(INDEX('CONTROL MASTER'!$N$2:$N$495,(SUMPRODUCT((('CONTROL MASTER'!$S$2:$S$495=5)*('CONTROL MASTER'!$T$2:$T$495&lt;=5)*('CONTROL MASTER'!$V$2:$V$495&gt;=5)*('CONTROL MASTER'!$U$2:$U$495&lt;=8)*('CONTROL MASTER'!$W$2:$W$495&gt;=8))*ROW('CONTROL MASTER'!$S$2:$S$495))-(ROW('CONTROL MASTER'!#REF!)-1))),":",","),",",REPT(" ",50)),((((5-INDEX('CONTROL MASTER'!$T$2:$T$495,(SUMPRODUCT((('CONTROL MASTER'!$S$2:$S$495=5)*('CONTROL MASTER'!$T$2:$T$495&lt;=5)*('CONTROL MASTER'!$V$2:$V$495&gt;=5)*('CONTROL MASTER'!$U$2:$U$495&lt;=8)*('CONTROL MASTER'!$W$2:$W$495&gt;=8))*ROW('CONTROL MASTER'!$S$2:$S$495))-(ROW('CONTROL MASTER'!#REF!)-1))))*(INDEX('CONTROL MASTER'!$W$2:$W$495,(SUMPRODUCT((('CONTROL MASTER'!$S$2:$S$495=5)*('CONTROL MASTER'!$T$2:$T$495&lt;=5)*('CONTROL MASTER'!$V$2:$V$495&gt;=5)*('CONTROL MASTER'!$U$2:$U$495&lt;=8)*('CONTROL MASTER'!$W$2:$W$495&gt;=8))*ROW('CONTROL MASTER'!$S$2:$S$495))-(ROW('CONTROL MASTER'!#REF!)-1)))-INDEX('CONTROL MASTER'!$U$2:$U$495,(SUMPRODUCT((('CONTROL MASTER'!$S$2:$S$495=5)*('CONTROL MASTER'!$T$2:$T$495&lt;=5)*('CONTROL MASTER'!$V$2:$V$495&gt;=5)*('CONTROL MASTER'!$U$2:$U$495&lt;=8)*('CONTROL MASTER'!$W$2:$W$495&gt;=8))*ROW('CONTROL MASTER'!$S$2:$S$495))-(ROW('CONTROL MASTER'!#REF!)-1)))+1)+(8-INDEX('CONTROL MASTER'!$U$2:$U$495,(SUMPRODUCT((('CONTROL MASTER'!$S$2:$S$495=5)*('CONTROL MASTER'!$T$2:$T$495&lt;=5)*('CONTROL MASTER'!$V$2:$V$495&gt;=5)*('CONTROL MASTER'!$U$2:$U$495&lt;=8)*('CONTROL MASTER'!$W$2:$W$495&gt;=8))*ROW('CONTROL MASTER'!$S$2:$S$495))-(ROW('CONTROL MASTER'!#REF!)-1))))+1))-1)*50+1,50))&amp;"_"&amp;INDEX('CONTROL MASTER'!$P$2:$P$495,(SUMPRODUCT((('CONTROL MASTER'!$S$2:$S$495=5)*('CONTROL MASTER'!$T$2:$T$495&lt;=5)*('CONTROL MASTER'!$V$2:$V$495&gt;=5)*('CONTROL MASTER'!$U$2:$U$495&lt;=8)*('CONTROL MASTER'!$W$2:$W$495&gt;=8))*ROW('CONTROL MASTER'!$S$2:$S$495))-(ROW('CONTROL MASTER'!#REF!)-1))),IF(SUMPRODUCT((('CONTROL MASTER'!$S$2:$S$495=5)*('CONTROL MASTER'!$Z$2:$Z$495&lt;=5)*('CONTROL MASTER'!$AB$2:$AB$495&gt;=5)*('CONTROL MASTER'!$AA$2:$AA$495&lt;=8)*('CONTROL MASTER'!$AC$2:$AC$495&gt;=8))*ROW('CONTROL MASTER'!$S$2:$S$495))&gt;0,INDEX('CONTROL MASTER'!$X$2:$X$495,(SUMPRODUCT((('CONTROL MASTER'!$S$2:$S$495=5)*('CONTROL MASTER'!$Z$2:$Z$495&lt;=5)*('CONTROL MASTER'!$AB$2:$AB$495&gt;=5)*('CONTROL MASTER'!$AA$2:$AA$495&lt;=8)*('CONTROL MASTER'!$AC$2:$AC$495&gt;=8))*ROW('CONTROL MASTER'!$S$2:$S$495))-(ROW('CONTROL MASTER'!#REF!)-1)))&amp;TRIM(MID(SUBSTITUTE(SUBSTITUTE(INDEX('CONTROL MASTER'!$N$2:$N$495,(SUMPRODUCT((('CONTROL MASTER'!$S$2:$S$495=5)*('CONTROL MASTER'!$Z$2:$Z$495&lt;=5)*('CONTROL MASTER'!$AB$2:$AB$495&gt;=5)*('CONTROL MASTER'!$AA$2:$AA$495&lt;=8)*('CONTROL MASTER'!$AC$2:$AC$495&gt;=8))*ROW('CONTROL MASTER'!$S$2:$S$495))-(ROW('CONTROL MASTER'!#REF!)-1))),":",","),",",REPT(" ",50)),(((INDEX('CONTROL MASTER'!$Y$2:$Y$495,(SUMPRODUCT((('CONTROL MASTER'!$S$2:$S$495=5)*('CONTROL MASTER'!$Z$2:$Z$495&lt;=5)*('CONTROL MASTER'!$AB$2:$AB$495&gt;=5)*('CONTROL MASTER'!$AA$2:$AA$495&lt;=8)*('CONTROL MASTER'!$AC$2:$AC$495&gt;=8))*ROW('CONTROL MASTER'!$S$2:$S$495))-(ROW('CONTROL MASTER'!#REF!)-1)))+((5-INDEX('CONTROL MASTER'!$Z$2:$Z$495,(SUMPRODUCT((('CONTROL MASTER'!$S$2:$S$495=5)*('CONTROL MASTER'!$Z$2:$Z$495&lt;=5)*('CONTROL MASTER'!$AB$2:$AB$495&gt;=5)*('CONTROL MASTER'!$AA$2:$AA$495&lt;=8)*('CONTROL MASTER'!$AC$2:$AC$495&gt;=8))*ROW('CONTROL MASTER'!$S$2:$S$495))-(ROW('CONTROL MASTER'!#REF!)-1))))*(INDEX('CONTROL MASTER'!$AC$2:$AC$495,(SUMPRODUCT((('CONTROL MASTER'!$S$2:$S$495=5)*('CONTROL MASTER'!$Z$2:$Z$495&lt;=5)*('CONTROL MASTER'!$AB$2:$AB$495&gt;=5)*('CONTROL MASTER'!$AA$2:$AA$495&lt;=8)*('CONTROL MASTER'!$AC$2:$AC$495&gt;=8))*ROW('CONTROL MASTER'!$S$2:$S$495))-(ROW('CONTROL MASTER'!#REF!)-1)))-INDEX('CONTROL MASTER'!$AA$2:$AA$495,(SUMPRODUCT((('CONTROL MASTER'!$S$2:$S$495=5)*('CONTROL MASTER'!$Z$2:$Z$495&lt;=5)*('CONTROL MASTER'!$AB$2:$AB$495&gt;=5)*('CONTROL MASTER'!$AA$2:$AA$495&lt;=8)*('CONTROL MASTER'!$AC$2:$AC$495&gt;=8))*ROW('CONTROL MASTER'!$S$2:$S$495))-(ROW('CONTROL MASTER'!#REF!)-1)))+1)+(8-INDEX('CONTROL MASTER'!$AA$2:$AA$495,(SUMPRODUCT((('CONTROL MASTER'!$S$2:$S$495=5)*('CONTROL MASTER'!$Z$2:$Z$495&lt;=5)*('CONTROL MASTER'!$AB$2:$AB$495&gt;=5)*('CONTROL MASTER'!$AA$2:$AA$495&lt;=8)*('CONTROL MASTER'!$AC$2:$AC$495&gt;=8))*ROW('CONTROL MASTER'!$S$2:$S$495))-(ROW('CONTROL MASTER'!#REF!)-1))))+1)))-1)*50+1,50))&amp;"_"&amp;INDEX('CONTROL MASTER'!$P$2:$P$495,(SUMPRODUCT((('CONTROL MASTER'!$S$2:$S$495=5)*('CONTROL MASTER'!$Z$2:$Z$495&lt;=5)*('CONTROL MASTER'!$AB$2:$AB$495&gt;=5)*('CONTROL MASTER'!$AA$2:$AA$495&lt;=8)*('CONTROL MASTER'!$AC$2:$AC$495&gt;=8))*ROW('CONTROL MASTER'!$S$2:$S$495))-(ROW('CONTROL MASTER'!#REF!)-1))),"")),"")</f>
        <v/>
      </c>
      <c r="J63" s="10" t="str">
        <f>IFERROR(IF(SUMPRODUCT((('CONTROL MASTER'!$S$2:$S$495=5)*('CONTROL MASTER'!$T$2:$T$495&lt;=5)*('CONTROL MASTER'!$V$2:$V$495&gt;=5)*('CONTROL MASTER'!$U$2:$U$495&lt;=9)*('CONTROL MASTER'!$W$2:$W$495&gt;=9))*ROW('CONTROL MASTER'!$S$2:$S$495))&gt;0,INDEX('CONTROL MASTER'!$X$2:$X$495,(SUMPRODUCT((('CONTROL MASTER'!$S$2:$S$495=5)*('CONTROL MASTER'!$T$2:$T$495&lt;=5)*('CONTROL MASTER'!$V$2:$V$495&gt;=5)*('CONTROL MASTER'!$U$2:$U$495&lt;=9)*('CONTROL MASTER'!$W$2:$W$495&gt;=9))*ROW('CONTROL MASTER'!$S$2:$S$495))-(ROW('CONTROL MASTER'!#REF!)-1)))&amp;TRIM(MID(SUBSTITUTE(SUBSTITUTE(INDEX('CONTROL MASTER'!$N$2:$N$495,(SUMPRODUCT((('CONTROL MASTER'!$S$2:$S$495=5)*('CONTROL MASTER'!$T$2:$T$495&lt;=5)*('CONTROL MASTER'!$V$2:$V$495&gt;=5)*('CONTROL MASTER'!$U$2:$U$495&lt;=9)*('CONTROL MASTER'!$W$2:$W$495&gt;=9))*ROW('CONTROL MASTER'!$S$2:$S$495))-(ROW('CONTROL MASTER'!#REF!)-1))),":",","),",",REPT(" ",50)),((((5-INDEX('CONTROL MASTER'!$T$2:$T$495,(SUMPRODUCT((('CONTROL MASTER'!$S$2:$S$495=5)*('CONTROL MASTER'!$T$2:$T$495&lt;=5)*('CONTROL MASTER'!$V$2:$V$495&gt;=5)*('CONTROL MASTER'!$U$2:$U$495&lt;=9)*('CONTROL MASTER'!$W$2:$W$495&gt;=9))*ROW('CONTROL MASTER'!$S$2:$S$495))-(ROW('CONTROL MASTER'!#REF!)-1))))*(INDEX('CONTROL MASTER'!$W$2:$W$495,(SUMPRODUCT((('CONTROL MASTER'!$S$2:$S$495=5)*('CONTROL MASTER'!$T$2:$T$495&lt;=5)*('CONTROL MASTER'!$V$2:$V$495&gt;=5)*('CONTROL MASTER'!$U$2:$U$495&lt;=9)*('CONTROL MASTER'!$W$2:$W$495&gt;=9))*ROW('CONTROL MASTER'!$S$2:$S$495))-(ROW('CONTROL MASTER'!#REF!)-1)))-INDEX('CONTROL MASTER'!$U$2:$U$495,(SUMPRODUCT((('CONTROL MASTER'!$S$2:$S$495=5)*('CONTROL MASTER'!$T$2:$T$495&lt;=5)*('CONTROL MASTER'!$V$2:$V$495&gt;=5)*('CONTROL MASTER'!$U$2:$U$495&lt;=9)*('CONTROL MASTER'!$W$2:$W$495&gt;=9))*ROW('CONTROL MASTER'!$S$2:$S$495))-(ROW('CONTROL MASTER'!#REF!)-1)))+1)+(9-INDEX('CONTROL MASTER'!$U$2:$U$495,(SUMPRODUCT((('CONTROL MASTER'!$S$2:$S$495=5)*('CONTROL MASTER'!$T$2:$T$495&lt;=5)*('CONTROL MASTER'!$V$2:$V$495&gt;=5)*('CONTROL MASTER'!$U$2:$U$495&lt;=9)*('CONTROL MASTER'!$W$2:$W$495&gt;=9))*ROW('CONTROL MASTER'!$S$2:$S$495))-(ROW('CONTROL MASTER'!#REF!)-1))))+1))-1)*50+1,50))&amp;"_"&amp;INDEX('CONTROL MASTER'!$P$2:$P$495,(SUMPRODUCT((('CONTROL MASTER'!$S$2:$S$495=5)*('CONTROL MASTER'!$T$2:$T$495&lt;=5)*('CONTROL MASTER'!$V$2:$V$495&gt;=5)*('CONTROL MASTER'!$U$2:$U$495&lt;=9)*('CONTROL MASTER'!$W$2:$W$495&gt;=9))*ROW('CONTROL MASTER'!$S$2:$S$495))-(ROW('CONTROL MASTER'!#REF!)-1))),IF(SUMPRODUCT((('CONTROL MASTER'!$S$2:$S$495=5)*('CONTROL MASTER'!$Z$2:$Z$495&lt;=5)*('CONTROL MASTER'!$AB$2:$AB$495&gt;=5)*('CONTROL MASTER'!$AA$2:$AA$495&lt;=9)*('CONTROL MASTER'!$AC$2:$AC$495&gt;=9))*ROW('CONTROL MASTER'!$S$2:$S$495))&gt;0,INDEX('CONTROL MASTER'!$X$2:$X$495,(SUMPRODUCT((('CONTROL MASTER'!$S$2:$S$495=5)*('CONTROL MASTER'!$Z$2:$Z$495&lt;=5)*('CONTROL MASTER'!$AB$2:$AB$495&gt;=5)*('CONTROL MASTER'!$AA$2:$AA$495&lt;=9)*('CONTROL MASTER'!$AC$2:$AC$495&gt;=9))*ROW('CONTROL MASTER'!$S$2:$S$495))-(ROW('CONTROL MASTER'!#REF!)-1)))&amp;TRIM(MID(SUBSTITUTE(SUBSTITUTE(INDEX('CONTROL MASTER'!$N$2:$N$495,(SUMPRODUCT((('CONTROL MASTER'!$S$2:$S$495=5)*('CONTROL MASTER'!$Z$2:$Z$495&lt;=5)*('CONTROL MASTER'!$AB$2:$AB$495&gt;=5)*('CONTROL MASTER'!$AA$2:$AA$495&lt;=9)*('CONTROL MASTER'!$AC$2:$AC$495&gt;=9))*ROW('CONTROL MASTER'!$S$2:$S$495))-(ROW('CONTROL MASTER'!#REF!)-1))),":",","),",",REPT(" ",50)),(((INDEX('CONTROL MASTER'!$Y$2:$Y$495,(SUMPRODUCT((('CONTROL MASTER'!$S$2:$S$495=5)*('CONTROL MASTER'!$Z$2:$Z$495&lt;=5)*('CONTROL MASTER'!$AB$2:$AB$495&gt;=5)*('CONTROL MASTER'!$AA$2:$AA$495&lt;=9)*('CONTROL MASTER'!$AC$2:$AC$495&gt;=9))*ROW('CONTROL MASTER'!$S$2:$S$495))-(ROW('CONTROL MASTER'!#REF!)-1)))+((5-INDEX('CONTROL MASTER'!$Z$2:$Z$495,(SUMPRODUCT((('CONTROL MASTER'!$S$2:$S$495=5)*('CONTROL MASTER'!$Z$2:$Z$495&lt;=5)*('CONTROL MASTER'!$AB$2:$AB$495&gt;=5)*('CONTROL MASTER'!$AA$2:$AA$495&lt;=9)*('CONTROL MASTER'!$AC$2:$AC$495&gt;=9))*ROW('CONTROL MASTER'!$S$2:$S$495))-(ROW('CONTROL MASTER'!#REF!)-1))))*(INDEX('CONTROL MASTER'!$AC$2:$AC$495,(SUMPRODUCT((('CONTROL MASTER'!$S$2:$S$495=5)*('CONTROL MASTER'!$Z$2:$Z$495&lt;=5)*('CONTROL MASTER'!$AB$2:$AB$495&gt;=5)*('CONTROL MASTER'!$AA$2:$AA$495&lt;=9)*('CONTROL MASTER'!$AC$2:$AC$495&gt;=9))*ROW('CONTROL MASTER'!$S$2:$S$495))-(ROW('CONTROL MASTER'!#REF!)-1)))-INDEX('CONTROL MASTER'!$AA$2:$AA$495,(SUMPRODUCT((('CONTROL MASTER'!$S$2:$S$495=5)*('CONTROL MASTER'!$Z$2:$Z$495&lt;=5)*('CONTROL MASTER'!$AB$2:$AB$495&gt;=5)*('CONTROL MASTER'!$AA$2:$AA$495&lt;=9)*('CONTROL MASTER'!$AC$2:$AC$495&gt;=9))*ROW('CONTROL MASTER'!$S$2:$S$495))-(ROW('CONTROL MASTER'!#REF!)-1)))+1)+(9-INDEX('CONTROL MASTER'!$AA$2:$AA$495,(SUMPRODUCT((('CONTROL MASTER'!$S$2:$S$495=5)*('CONTROL MASTER'!$Z$2:$Z$495&lt;=5)*('CONTROL MASTER'!$AB$2:$AB$495&gt;=5)*('CONTROL MASTER'!$AA$2:$AA$495&lt;=9)*('CONTROL MASTER'!$AC$2:$AC$495&gt;=9))*ROW('CONTROL MASTER'!$S$2:$S$495))-(ROW('CONTROL MASTER'!#REF!)-1))))+1)))-1)*50+1,50))&amp;"_"&amp;INDEX('CONTROL MASTER'!$P$2:$P$495,(SUMPRODUCT((('CONTROL MASTER'!$S$2:$S$495=5)*('CONTROL MASTER'!$Z$2:$Z$495&lt;=5)*('CONTROL MASTER'!$AB$2:$AB$495&gt;=5)*('CONTROL MASTER'!$AA$2:$AA$495&lt;=9)*('CONTROL MASTER'!$AC$2:$AC$495&gt;=9))*ROW('CONTROL MASTER'!$S$2:$S$495))-(ROW('CONTROL MASTER'!#REF!)-1))),"")),"")</f>
        <v/>
      </c>
      <c r="K63" s="10" t="str">
        <f>IFERROR(IF(SUMPRODUCT((('CONTROL MASTER'!$S$2:$S$495=5)*('CONTROL MASTER'!$T$2:$T$495&lt;=5)*('CONTROL MASTER'!$V$2:$V$495&gt;=5)*('CONTROL MASTER'!$U$2:$U$495&lt;=10)*('CONTROL MASTER'!$W$2:$W$495&gt;=10))*ROW('CONTROL MASTER'!$S$2:$S$495))&gt;0,INDEX('CONTROL MASTER'!$X$2:$X$495,(SUMPRODUCT((('CONTROL MASTER'!$S$2:$S$495=5)*('CONTROL MASTER'!$T$2:$T$495&lt;=5)*('CONTROL MASTER'!$V$2:$V$495&gt;=5)*('CONTROL MASTER'!$U$2:$U$495&lt;=10)*('CONTROL MASTER'!$W$2:$W$495&gt;=10))*ROW('CONTROL MASTER'!$S$2:$S$495))-(ROW('CONTROL MASTER'!#REF!)-1)))&amp;TRIM(MID(SUBSTITUTE(SUBSTITUTE(INDEX('CONTROL MASTER'!$N$2:$N$495,(SUMPRODUCT((('CONTROL MASTER'!$S$2:$S$495=5)*('CONTROL MASTER'!$T$2:$T$495&lt;=5)*('CONTROL MASTER'!$V$2:$V$495&gt;=5)*('CONTROL MASTER'!$U$2:$U$495&lt;=10)*('CONTROL MASTER'!$W$2:$W$495&gt;=10))*ROW('CONTROL MASTER'!$S$2:$S$495))-(ROW('CONTROL MASTER'!#REF!)-1))),":",","),",",REPT(" ",50)),((((5-INDEX('CONTROL MASTER'!$T$2:$T$495,(SUMPRODUCT((('CONTROL MASTER'!$S$2:$S$495=5)*('CONTROL MASTER'!$T$2:$T$495&lt;=5)*('CONTROL MASTER'!$V$2:$V$495&gt;=5)*('CONTROL MASTER'!$U$2:$U$495&lt;=10)*('CONTROL MASTER'!$W$2:$W$495&gt;=10))*ROW('CONTROL MASTER'!$S$2:$S$495))-(ROW('CONTROL MASTER'!#REF!)-1))))*(INDEX('CONTROL MASTER'!$W$2:$W$495,(SUMPRODUCT((('CONTROL MASTER'!$S$2:$S$495=5)*('CONTROL MASTER'!$T$2:$T$495&lt;=5)*('CONTROL MASTER'!$V$2:$V$495&gt;=5)*('CONTROL MASTER'!$U$2:$U$495&lt;=10)*('CONTROL MASTER'!$W$2:$W$495&gt;=10))*ROW('CONTROL MASTER'!$S$2:$S$495))-(ROW('CONTROL MASTER'!#REF!)-1)))-INDEX('CONTROL MASTER'!$U$2:$U$495,(SUMPRODUCT((('CONTROL MASTER'!$S$2:$S$495=5)*('CONTROL MASTER'!$T$2:$T$495&lt;=5)*('CONTROL MASTER'!$V$2:$V$495&gt;=5)*('CONTROL MASTER'!$U$2:$U$495&lt;=10)*('CONTROL MASTER'!$W$2:$W$495&gt;=10))*ROW('CONTROL MASTER'!$S$2:$S$495))-(ROW('CONTROL MASTER'!#REF!)-1)))+1)+(10-INDEX('CONTROL MASTER'!$U$2:$U$495,(SUMPRODUCT((('CONTROL MASTER'!$S$2:$S$495=5)*('CONTROL MASTER'!$T$2:$T$495&lt;=5)*('CONTROL MASTER'!$V$2:$V$495&gt;=5)*('CONTROL MASTER'!$U$2:$U$495&lt;=10)*('CONTROL MASTER'!$W$2:$W$495&gt;=10))*ROW('CONTROL MASTER'!$S$2:$S$495))-(ROW('CONTROL MASTER'!#REF!)-1))))+1))-1)*50+1,50))&amp;"_"&amp;INDEX('CONTROL MASTER'!$P$2:$P$495,(SUMPRODUCT((('CONTROL MASTER'!$S$2:$S$495=5)*('CONTROL MASTER'!$T$2:$T$495&lt;=5)*('CONTROL MASTER'!$V$2:$V$495&gt;=5)*('CONTROL MASTER'!$U$2:$U$495&lt;=10)*('CONTROL MASTER'!$W$2:$W$495&gt;=10))*ROW('CONTROL MASTER'!$S$2:$S$495))-(ROW('CONTROL MASTER'!#REF!)-1))),IF(SUMPRODUCT((('CONTROL MASTER'!$S$2:$S$495=5)*('CONTROL MASTER'!$Z$2:$Z$495&lt;=5)*('CONTROL MASTER'!$AB$2:$AB$495&gt;=5)*('CONTROL MASTER'!$AA$2:$AA$495&lt;=10)*('CONTROL MASTER'!$AC$2:$AC$495&gt;=10))*ROW('CONTROL MASTER'!$S$2:$S$495))&gt;0,INDEX('CONTROL MASTER'!$X$2:$X$495,(SUMPRODUCT((('CONTROL MASTER'!$S$2:$S$495=5)*('CONTROL MASTER'!$Z$2:$Z$495&lt;=5)*('CONTROL MASTER'!$AB$2:$AB$495&gt;=5)*('CONTROL MASTER'!$AA$2:$AA$495&lt;=10)*('CONTROL MASTER'!$AC$2:$AC$495&gt;=10))*ROW('CONTROL MASTER'!$S$2:$S$495))-(ROW('CONTROL MASTER'!#REF!)-1)))&amp;TRIM(MID(SUBSTITUTE(SUBSTITUTE(INDEX('CONTROL MASTER'!$N$2:$N$495,(SUMPRODUCT((('CONTROL MASTER'!$S$2:$S$495=5)*('CONTROL MASTER'!$Z$2:$Z$495&lt;=5)*('CONTROL MASTER'!$AB$2:$AB$495&gt;=5)*('CONTROL MASTER'!$AA$2:$AA$495&lt;=10)*('CONTROL MASTER'!$AC$2:$AC$495&gt;=10))*ROW('CONTROL MASTER'!$S$2:$S$495))-(ROW('CONTROL MASTER'!#REF!)-1))),":",","),",",REPT(" ",50)),(((INDEX('CONTROL MASTER'!$Y$2:$Y$495,(SUMPRODUCT((('CONTROL MASTER'!$S$2:$S$495=5)*('CONTROL MASTER'!$Z$2:$Z$495&lt;=5)*('CONTROL MASTER'!$AB$2:$AB$495&gt;=5)*('CONTROL MASTER'!$AA$2:$AA$495&lt;=10)*('CONTROL MASTER'!$AC$2:$AC$495&gt;=10))*ROW('CONTROL MASTER'!$S$2:$S$495))-(ROW('CONTROL MASTER'!#REF!)-1)))+((5-INDEX('CONTROL MASTER'!$Z$2:$Z$495,(SUMPRODUCT((('CONTROL MASTER'!$S$2:$S$495=5)*('CONTROL MASTER'!$Z$2:$Z$495&lt;=5)*('CONTROL MASTER'!$AB$2:$AB$495&gt;=5)*('CONTROL MASTER'!$AA$2:$AA$495&lt;=10)*('CONTROL MASTER'!$AC$2:$AC$495&gt;=10))*ROW('CONTROL MASTER'!$S$2:$S$495))-(ROW('CONTROL MASTER'!#REF!)-1))))*(INDEX('CONTROL MASTER'!$AC$2:$AC$495,(SUMPRODUCT((('CONTROL MASTER'!$S$2:$S$495=5)*('CONTROL MASTER'!$Z$2:$Z$495&lt;=5)*('CONTROL MASTER'!$AB$2:$AB$495&gt;=5)*('CONTROL MASTER'!$AA$2:$AA$495&lt;=10)*('CONTROL MASTER'!$AC$2:$AC$495&gt;=10))*ROW('CONTROL MASTER'!$S$2:$S$495))-(ROW('CONTROL MASTER'!#REF!)-1)))-INDEX('CONTROL MASTER'!$AA$2:$AA$495,(SUMPRODUCT((('CONTROL MASTER'!$S$2:$S$495=5)*('CONTROL MASTER'!$Z$2:$Z$495&lt;=5)*('CONTROL MASTER'!$AB$2:$AB$495&gt;=5)*('CONTROL MASTER'!$AA$2:$AA$495&lt;=10)*('CONTROL MASTER'!$AC$2:$AC$495&gt;=10))*ROW('CONTROL MASTER'!$S$2:$S$495))-(ROW('CONTROL MASTER'!#REF!)-1)))+1)+(10-INDEX('CONTROL MASTER'!$AA$2:$AA$495,(SUMPRODUCT((('CONTROL MASTER'!$S$2:$S$495=5)*('CONTROL MASTER'!$Z$2:$Z$495&lt;=5)*('CONTROL MASTER'!$AB$2:$AB$495&gt;=5)*('CONTROL MASTER'!$AA$2:$AA$495&lt;=10)*('CONTROL MASTER'!$AC$2:$AC$495&gt;=10))*ROW('CONTROL MASTER'!$S$2:$S$495))-(ROW('CONTROL MASTER'!#REF!)-1))))+1)))-1)*50+1,50))&amp;"_"&amp;INDEX('CONTROL MASTER'!$P$2:$P$495,(SUMPRODUCT((('CONTROL MASTER'!$S$2:$S$495=5)*('CONTROL MASTER'!$Z$2:$Z$495&lt;=5)*('CONTROL MASTER'!$AB$2:$AB$495&gt;=5)*('CONTROL MASTER'!$AA$2:$AA$495&lt;=10)*('CONTROL MASTER'!$AC$2:$AC$495&gt;=10))*ROW('CONTROL MASTER'!$S$2:$S$495))-(ROW('CONTROL MASTER'!#REF!)-1))),"")),"")</f>
        <v/>
      </c>
    </row>
    <row r="64" spans="1:11" ht="15" customHeight="1" x14ac:dyDescent="0.35">
      <c r="A64" s="8" t="s">
        <v>33</v>
      </c>
      <c r="B64" s="10" t="str">
        <f>IFERROR(IF(SUMPRODUCT((('CONTROL MASTER'!$S$2:$S$495=5)*('CONTROL MASTER'!$T$2:$T$495&lt;=6)*('CONTROL MASTER'!$V$2:$V$495&gt;=6)*('CONTROL MASTER'!$U$2:$U$495&lt;=1)*('CONTROL MASTER'!$W$2:$W$495&gt;=1))*ROW('CONTROL MASTER'!$S$2:$S$495))&gt;0,INDEX('CONTROL MASTER'!$X$2:$X$495,(SUMPRODUCT((('CONTROL MASTER'!$S$2:$S$495=5)*('CONTROL MASTER'!$T$2:$T$495&lt;=6)*('CONTROL MASTER'!$V$2:$V$495&gt;=6)*('CONTROL MASTER'!$U$2:$U$495&lt;=1)*('CONTROL MASTER'!$W$2:$W$495&gt;=1))*ROW('CONTROL MASTER'!$S$2:$S$495))-(ROW('CONTROL MASTER'!#REF!)-1)))&amp;TRIM(MID(SUBSTITUTE(SUBSTITUTE(INDEX('CONTROL MASTER'!$N$2:$N$495,(SUMPRODUCT((('CONTROL MASTER'!$S$2:$S$495=5)*('CONTROL MASTER'!$T$2:$T$495&lt;=6)*('CONTROL MASTER'!$V$2:$V$495&gt;=6)*('CONTROL MASTER'!$U$2:$U$495&lt;=1)*('CONTROL MASTER'!$W$2:$W$495&gt;=1))*ROW('CONTROL MASTER'!$S$2:$S$495))-(ROW('CONTROL MASTER'!#REF!)-1))),":",","),",",REPT(" ",50)),((((6-INDEX('CONTROL MASTER'!$T$2:$T$495,(SUMPRODUCT((('CONTROL MASTER'!$S$2:$S$495=5)*('CONTROL MASTER'!$T$2:$T$495&lt;=6)*('CONTROL MASTER'!$V$2:$V$495&gt;=6)*('CONTROL MASTER'!$U$2:$U$495&lt;=1)*('CONTROL MASTER'!$W$2:$W$495&gt;=1))*ROW('CONTROL MASTER'!$S$2:$S$495))-(ROW('CONTROL MASTER'!#REF!)-1))))*(INDEX('CONTROL MASTER'!$W$2:$W$495,(SUMPRODUCT((('CONTROL MASTER'!$S$2:$S$495=5)*('CONTROL MASTER'!$T$2:$T$495&lt;=6)*('CONTROL MASTER'!$V$2:$V$495&gt;=6)*('CONTROL MASTER'!$U$2:$U$495&lt;=1)*('CONTROL MASTER'!$W$2:$W$495&gt;=1))*ROW('CONTROL MASTER'!$S$2:$S$495))-(ROW('CONTROL MASTER'!#REF!)-1)))-INDEX('CONTROL MASTER'!$U$2:$U$495,(SUMPRODUCT((('CONTROL MASTER'!$S$2:$S$495=5)*('CONTROL MASTER'!$T$2:$T$495&lt;=6)*('CONTROL MASTER'!$V$2:$V$495&gt;=6)*('CONTROL MASTER'!$U$2:$U$495&lt;=1)*('CONTROL MASTER'!$W$2:$W$495&gt;=1))*ROW('CONTROL MASTER'!$S$2:$S$495))-(ROW('CONTROL MASTER'!#REF!)-1)))+1)+(1-INDEX('CONTROL MASTER'!$U$2:$U$495,(SUMPRODUCT((('CONTROL MASTER'!$S$2:$S$495=5)*('CONTROL MASTER'!$T$2:$T$495&lt;=6)*('CONTROL MASTER'!$V$2:$V$495&gt;=6)*('CONTROL MASTER'!$U$2:$U$495&lt;=1)*('CONTROL MASTER'!$W$2:$W$495&gt;=1))*ROW('CONTROL MASTER'!$S$2:$S$495))-(ROW('CONTROL MASTER'!#REF!)-1))))+1))-1)*50+1,50))&amp;"_"&amp;INDEX('CONTROL MASTER'!$P$2:$P$495,(SUMPRODUCT((('CONTROL MASTER'!$S$2:$S$495=5)*('CONTROL MASTER'!$T$2:$T$495&lt;=6)*('CONTROL MASTER'!$V$2:$V$495&gt;=6)*('CONTROL MASTER'!$U$2:$U$495&lt;=1)*('CONTROL MASTER'!$W$2:$W$495&gt;=1))*ROW('CONTROL MASTER'!$S$2:$S$495))-(ROW('CONTROL MASTER'!#REF!)-1))),IF(SUMPRODUCT((('CONTROL MASTER'!$S$2:$S$495=5)*('CONTROL MASTER'!$Z$2:$Z$495&lt;=6)*('CONTROL MASTER'!$AB$2:$AB$495&gt;=6)*('CONTROL MASTER'!$AA$2:$AA$495&lt;=1)*('CONTROL MASTER'!$AC$2:$AC$495&gt;=1))*ROW('CONTROL MASTER'!$S$2:$S$495))&gt;0,INDEX('CONTROL MASTER'!$X$2:$X$495,(SUMPRODUCT((('CONTROL MASTER'!$S$2:$S$495=5)*('CONTROL MASTER'!$Z$2:$Z$495&lt;=6)*('CONTROL MASTER'!$AB$2:$AB$495&gt;=6)*('CONTROL MASTER'!$AA$2:$AA$495&lt;=1)*('CONTROL MASTER'!$AC$2:$AC$495&gt;=1))*ROW('CONTROL MASTER'!$S$2:$S$495))-(ROW('CONTROL MASTER'!#REF!)-1)))&amp;TRIM(MID(SUBSTITUTE(SUBSTITUTE(INDEX('CONTROL MASTER'!$N$2:$N$495,(SUMPRODUCT((('CONTROL MASTER'!$S$2:$S$495=5)*('CONTROL MASTER'!$Z$2:$Z$495&lt;=6)*('CONTROL MASTER'!$AB$2:$AB$495&gt;=6)*('CONTROL MASTER'!$AA$2:$AA$495&lt;=1)*('CONTROL MASTER'!$AC$2:$AC$495&gt;=1))*ROW('CONTROL MASTER'!$S$2:$S$495))-(ROW('CONTROL MASTER'!#REF!)-1))),":",","),",",REPT(" ",50)),(((INDEX('CONTROL MASTER'!$Y$2:$Y$495,(SUMPRODUCT((('CONTROL MASTER'!$S$2:$S$495=5)*('CONTROL MASTER'!$Z$2:$Z$495&lt;=6)*('CONTROL MASTER'!$AB$2:$AB$495&gt;=6)*('CONTROL MASTER'!$AA$2:$AA$495&lt;=1)*('CONTROL MASTER'!$AC$2:$AC$495&gt;=1))*ROW('CONTROL MASTER'!$S$2:$S$495))-(ROW('CONTROL MASTER'!#REF!)-1)))+((6-INDEX('CONTROL MASTER'!$Z$2:$Z$495,(SUMPRODUCT((('CONTROL MASTER'!$S$2:$S$495=5)*('CONTROL MASTER'!$Z$2:$Z$495&lt;=6)*('CONTROL MASTER'!$AB$2:$AB$495&gt;=6)*('CONTROL MASTER'!$AA$2:$AA$495&lt;=1)*('CONTROL MASTER'!$AC$2:$AC$495&gt;=1))*ROW('CONTROL MASTER'!$S$2:$S$495))-(ROW('CONTROL MASTER'!#REF!)-1))))*(INDEX('CONTROL MASTER'!$AC$2:$AC$495,(SUMPRODUCT((('CONTROL MASTER'!$S$2:$S$495=5)*('CONTROL MASTER'!$Z$2:$Z$495&lt;=6)*('CONTROL MASTER'!$AB$2:$AB$495&gt;=6)*('CONTROL MASTER'!$AA$2:$AA$495&lt;=1)*('CONTROL MASTER'!$AC$2:$AC$495&gt;=1))*ROW('CONTROL MASTER'!$S$2:$S$495))-(ROW('CONTROL MASTER'!#REF!)-1)))-INDEX('CONTROL MASTER'!$AA$2:$AA$495,(SUMPRODUCT((('CONTROL MASTER'!$S$2:$S$495=5)*('CONTROL MASTER'!$Z$2:$Z$495&lt;=6)*('CONTROL MASTER'!$AB$2:$AB$495&gt;=6)*('CONTROL MASTER'!$AA$2:$AA$495&lt;=1)*('CONTROL MASTER'!$AC$2:$AC$495&gt;=1))*ROW('CONTROL MASTER'!$S$2:$S$495))-(ROW('CONTROL MASTER'!#REF!)-1)))+1)+(1-INDEX('CONTROL MASTER'!$AA$2:$AA$495,(SUMPRODUCT((('CONTROL MASTER'!$S$2:$S$495=5)*('CONTROL MASTER'!$Z$2:$Z$495&lt;=6)*('CONTROL MASTER'!$AB$2:$AB$495&gt;=6)*('CONTROL MASTER'!$AA$2:$AA$495&lt;=1)*('CONTROL MASTER'!$AC$2:$AC$495&gt;=1))*ROW('CONTROL MASTER'!$S$2:$S$495))-(ROW('CONTROL MASTER'!#REF!)-1))))+1)))-1)*50+1,50))&amp;"_"&amp;INDEX('CONTROL MASTER'!$P$2:$P$495,(SUMPRODUCT((('CONTROL MASTER'!$S$2:$S$495=5)*('CONTROL MASTER'!$Z$2:$Z$495&lt;=6)*('CONTROL MASTER'!$AB$2:$AB$495&gt;=6)*('CONTROL MASTER'!$AA$2:$AA$495&lt;=1)*('CONTROL MASTER'!$AC$2:$AC$495&gt;=1))*ROW('CONTROL MASTER'!$S$2:$S$495))-(ROW('CONTROL MASTER'!#REF!)-1))),"")),"")</f>
        <v/>
      </c>
      <c r="C64" s="10" t="str">
        <f>IFERROR(IF(SUMPRODUCT((('CONTROL MASTER'!$S$2:$S$495=5)*('CONTROL MASTER'!$T$2:$T$495&lt;=6)*('CONTROL MASTER'!$V$2:$V$495&gt;=6)*('CONTROL MASTER'!$U$2:$U$495&lt;=2)*('CONTROL MASTER'!$W$2:$W$495&gt;=2))*ROW('CONTROL MASTER'!$S$2:$S$495))&gt;0,INDEX('CONTROL MASTER'!$X$2:$X$495,(SUMPRODUCT((('CONTROL MASTER'!$S$2:$S$495=5)*('CONTROL MASTER'!$T$2:$T$495&lt;=6)*('CONTROL MASTER'!$V$2:$V$495&gt;=6)*('CONTROL MASTER'!$U$2:$U$495&lt;=2)*('CONTROL MASTER'!$W$2:$W$495&gt;=2))*ROW('CONTROL MASTER'!$S$2:$S$495))-(ROW('CONTROL MASTER'!#REF!)-1)))&amp;TRIM(MID(SUBSTITUTE(SUBSTITUTE(INDEX('CONTROL MASTER'!$N$2:$N$495,(SUMPRODUCT((('CONTROL MASTER'!$S$2:$S$495=5)*('CONTROL MASTER'!$T$2:$T$495&lt;=6)*('CONTROL MASTER'!$V$2:$V$495&gt;=6)*('CONTROL MASTER'!$U$2:$U$495&lt;=2)*('CONTROL MASTER'!$W$2:$W$495&gt;=2))*ROW('CONTROL MASTER'!$S$2:$S$495))-(ROW('CONTROL MASTER'!#REF!)-1))),":",","),",",REPT(" ",50)),((((6-INDEX('CONTROL MASTER'!$T$2:$T$495,(SUMPRODUCT((('CONTROL MASTER'!$S$2:$S$495=5)*('CONTROL MASTER'!$T$2:$T$495&lt;=6)*('CONTROL MASTER'!$V$2:$V$495&gt;=6)*('CONTROL MASTER'!$U$2:$U$495&lt;=2)*('CONTROL MASTER'!$W$2:$W$495&gt;=2))*ROW('CONTROL MASTER'!$S$2:$S$495))-(ROW('CONTROL MASTER'!#REF!)-1))))*(INDEX('CONTROL MASTER'!$W$2:$W$495,(SUMPRODUCT((('CONTROL MASTER'!$S$2:$S$495=5)*('CONTROL MASTER'!$T$2:$T$495&lt;=6)*('CONTROL MASTER'!$V$2:$V$495&gt;=6)*('CONTROL MASTER'!$U$2:$U$495&lt;=2)*('CONTROL MASTER'!$W$2:$W$495&gt;=2))*ROW('CONTROL MASTER'!$S$2:$S$495))-(ROW('CONTROL MASTER'!#REF!)-1)))-INDEX('CONTROL MASTER'!$U$2:$U$495,(SUMPRODUCT((('CONTROL MASTER'!$S$2:$S$495=5)*('CONTROL MASTER'!$T$2:$T$495&lt;=6)*('CONTROL MASTER'!$V$2:$V$495&gt;=6)*('CONTROL MASTER'!$U$2:$U$495&lt;=2)*('CONTROL MASTER'!$W$2:$W$495&gt;=2))*ROW('CONTROL MASTER'!$S$2:$S$495))-(ROW('CONTROL MASTER'!#REF!)-1)))+1)+(2-INDEX('CONTROL MASTER'!$U$2:$U$495,(SUMPRODUCT((('CONTROL MASTER'!$S$2:$S$495=5)*('CONTROL MASTER'!$T$2:$T$495&lt;=6)*('CONTROL MASTER'!$V$2:$V$495&gt;=6)*('CONTROL MASTER'!$U$2:$U$495&lt;=2)*('CONTROL MASTER'!$W$2:$W$495&gt;=2))*ROW('CONTROL MASTER'!$S$2:$S$495))-(ROW('CONTROL MASTER'!#REF!)-1))))+1))-1)*50+1,50))&amp;"_"&amp;INDEX('CONTROL MASTER'!$P$2:$P$495,(SUMPRODUCT((('CONTROL MASTER'!$S$2:$S$495=5)*('CONTROL MASTER'!$T$2:$T$495&lt;=6)*('CONTROL MASTER'!$V$2:$V$495&gt;=6)*('CONTROL MASTER'!$U$2:$U$495&lt;=2)*('CONTROL MASTER'!$W$2:$W$495&gt;=2))*ROW('CONTROL MASTER'!$S$2:$S$495))-(ROW('CONTROL MASTER'!#REF!)-1))),IF(SUMPRODUCT((('CONTROL MASTER'!$S$2:$S$495=5)*('CONTROL MASTER'!$Z$2:$Z$495&lt;=6)*('CONTROL MASTER'!$AB$2:$AB$495&gt;=6)*('CONTROL MASTER'!$AA$2:$AA$495&lt;=2)*('CONTROL MASTER'!$AC$2:$AC$495&gt;=2))*ROW('CONTROL MASTER'!$S$2:$S$495))&gt;0,INDEX('CONTROL MASTER'!$X$2:$X$495,(SUMPRODUCT((('CONTROL MASTER'!$S$2:$S$495=5)*('CONTROL MASTER'!$Z$2:$Z$495&lt;=6)*('CONTROL MASTER'!$AB$2:$AB$495&gt;=6)*('CONTROL MASTER'!$AA$2:$AA$495&lt;=2)*('CONTROL MASTER'!$AC$2:$AC$495&gt;=2))*ROW('CONTROL MASTER'!$S$2:$S$495))-(ROW('CONTROL MASTER'!#REF!)-1)))&amp;TRIM(MID(SUBSTITUTE(SUBSTITUTE(INDEX('CONTROL MASTER'!$N$2:$N$495,(SUMPRODUCT((('CONTROL MASTER'!$S$2:$S$495=5)*('CONTROL MASTER'!$Z$2:$Z$495&lt;=6)*('CONTROL MASTER'!$AB$2:$AB$495&gt;=6)*('CONTROL MASTER'!$AA$2:$AA$495&lt;=2)*('CONTROL MASTER'!$AC$2:$AC$495&gt;=2))*ROW('CONTROL MASTER'!$S$2:$S$495))-(ROW('CONTROL MASTER'!#REF!)-1))),":",","),",",REPT(" ",50)),(((INDEX('CONTROL MASTER'!$Y$2:$Y$495,(SUMPRODUCT((('CONTROL MASTER'!$S$2:$S$495=5)*('CONTROL MASTER'!$Z$2:$Z$495&lt;=6)*('CONTROL MASTER'!$AB$2:$AB$495&gt;=6)*('CONTROL MASTER'!$AA$2:$AA$495&lt;=2)*('CONTROL MASTER'!$AC$2:$AC$495&gt;=2))*ROW('CONTROL MASTER'!$S$2:$S$495))-(ROW('CONTROL MASTER'!#REF!)-1)))+((6-INDEX('CONTROL MASTER'!$Z$2:$Z$495,(SUMPRODUCT((('CONTROL MASTER'!$S$2:$S$495=5)*('CONTROL MASTER'!$Z$2:$Z$495&lt;=6)*('CONTROL MASTER'!$AB$2:$AB$495&gt;=6)*('CONTROL MASTER'!$AA$2:$AA$495&lt;=2)*('CONTROL MASTER'!$AC$2:$AC$495&gt;=2))*ROW('CONTROL MASTER'!$S$2:$S$495))-(ROW('CONTROL MASTER'!#REF!)-1))))*(INDEX('CONTROL MASTER'!$AC$2:$AC$495,(SUMPRODUCT((('CONTROL MASTER'!$S$2:$S$495=5)*('CONTROL MASTER'!$Z$2:$Z$495&lt;=6)*('CONTROL MASTER'!$AB$2:$AB$495&gt;=6)*('CONTROL MASTER'!$AA$2:$AA$495&lt;=2)*('CONTROL MASTER'!$AC$2:$AC$495&gt;=2))*ROW('CONTROL MASTER'!$S$2:$S$495))-(ROW('CONTROL MASTER'!#REF!)-1)))-INDEX('CONTROL MASTER'!$AA$2:$AA$495,(SUMPRODUCT((('CONTROL MASTER'!$S$2:$S$495=5)*('CONTROL MASTER'!$Z$2:$Z$495&lt;=6)*('CONTROL MASTER'!$AB$2:$AB$495&gt;=6)*('CONTROL MASTER'!$AA$2:$AA$495&lt;=2)*('CONTROL MASTER'!$AC$2:$AC$495&gt;=2))*ROW('CONTROL MASTER'!$S$2:$S$495))-(ROW('CONTROL MASTER'!#REF!)-1)))+1)+(2-INDEX('CONTROL MASTER'!$AA$2:$AA$495,(SUMPRODUCT((('CONTROL MASTER'!$S$2:$S$495=5)*('CONTROL MASTER'!$Z$2:$Z$495&lt;=6)*('CONTROL MASTER'!$AB$2:$AB$495&gt;=6)*('CONTROL MASTER'!$AA$2:$AA$495&lt;=2)*('CONTROL MASTER'!$AC$2:$AC$495&gt;=2))*ROW('CONTROL MASTER'!$S$2:$S$495))-(ROW('CONTROL MASTER'!#REF!)-1))))+1)))-1)*50+1,50))&amp;"_"&amp;INDEX('CONTROL MASTER'!$P$2:$P$495,(SUMPRODUCT((('CONTROL MASTER'!$S$2:$S$495=5)*('CONTROL MASTER'!$Z$2:$Z$495&lt;=6)*('CONTROL MASTER'!$AB$2:$AB$495&gt;=6)*('CONTROL MASTER'!$AA$2:$AA$495&lt;=2)*('CONTROL MASTER'!$AC$2:$AC$495&gt;=2))*ROW('CONTROL MASTER'!$S$2:$S$495))-(ROW('CONTROL MASTER'!#REF!)-1))),"")),"")</f>
        <v/>
      </c>
      <c r="D64" s="10" t="str">
        <f>IFERROR(IF(SUMPRODUCT((('CONTROL MASTER'!$S$2:$S$495=5)*('CONTROL MASTER'!$T$2:$T$495&lt;=6)*('CONTROL MASTER'!$V$2:$V$495&gt;=6)*('CONTROL MASTER'!$U$2:$U$495&lt;=3)*('CONTROL MASTER'!$W$2:$W$495&gt;=3))*ROW('CONTROL MASTER'!$S$2:$S$495))&gt;0,INDEX('CONTROL MASTER'!$X$2:$X$495,(SUMPRODUCT((('CONTROL MASTER'!$S$2:$S$495=5)*('CONTROL MASTER'!$T$2:$T$495&lt;=6)*('CONTROL MASTER'!$V$2:$V$495&gt;=6)*('CONTROL MASTER'!$U$2:$U$495&lt;=3)*('CONTROL MASTER'!$W$2:$W$495&gt;=3))*ROW('CONTROL MASTER'!$S$2:$S$495))-(ROW('CONTROL MASTER'!#REF!)-1)))&amp;TRIM(MID(SUBSTITUTE(SUBSTITUTE(INDEX('CONTROL MASTER'!$N$2:$N$495,(SUMPRODUCT((('CONTROL MASTER'!$S$2:$S$495=5)*('CONTROL MASTER'!$T$2:$T$495&lt;=6)*('CONTROL MASTER'!$V$2:$V$495&gt;=6)*('CONTROL MASTER'!$U$2:$U$495&lt;=3)*('CONTROL MASTER'!$W$2:$W$495&gt;=3))*ROW('CONTROL MASTER'!$S$2:$S$495))-(ROW('CONTROL MASTER'!#REF!)-1))),":",","),",",REPT(" ",50)),((((6-INDEX('CONTROL MASTER'!$T$2:$T$495,(SUMPRODUCT((('CONTROL MASTER'!$S$2:$S$495=5)*('CONTROL MASTER'!$T$2:$T$495&lt;=6)*('CONTROL MASTER'!$V$2:$V$495&gt;=6)*('CONTROL MASTER'!$U$2:$U$495&lt;=3)*('CONTROL MASTER'!$W$2:$W$495&gt;=3))*ROW('CONTROL MASTER'!$S$2:$S$495))-(ROW('CONTROL MASTER'!#REF!)-1))))*(INDEX('CONTROL MASTER'!$W$2:$W$495,(SUMPRODUCT((('CONTROL MASTER'!$S$2:$S$495=5)*('CONTROL MASTER'!$T$2:$T$495&lt;=6)*('CONTROL MASTER'!$V$2:$V$495&gt;=6)*('CONTROL MASTER'!$U$2:$U$495&lt;=3)*('CONTROL MASTER'!$W$2:$W$495&gt;=3))*ROW('CONTROL MASTER'!$S$2:$S$495))-(ROW('CONTROL MASTER'!#REF!)-1)))-INDEX('CONTROL MASTER'!$U$2:$U$495,(SUMPRODUCT((('CONTROL MASTER'!$S$2:$S$495=5)*('CONTROL MASTER'!$T$2:$T$495&lt;=6)*('CONTROL MASTER'!$V$2:$V$495&gt;=6)*('CONTROL MASTER'!$U$2:$U$495&lt;=3)*('CONTROL MASTER'!$W$2:$W$495&gt;=3))*ROW('CONTROL MASTER'!$S$2:$S$495))-(ROW('CONTROL MASTER'!#REF!)-1)))+1)+(3-INDEX('CONTROL MASTER'!$U$2:$U$495,(SUMPRODUCT((('CONTROL MASTER'!$S$2:$S$495=5)*('CONTROL MASTER'!$T$2:$T$495&lt;=6)*('CONTROL MASTER'!$V$2:$V$495&gt;=6)*('CONTROL MASTER'!$U$2:$U$495&lt;=3)*('CONTROL MASTER'!$W$2:$W$495&gt;=3))*ROW('CONTROL MASTER'!$S$2:$S$495))-(ROW('CONTROL MASTER'!#REF!)-1))))+1))-1)*50+1,50))&amp;"_"&amp;INDEX('CONTROL MASTER'!$P$2:$P$495,(SUMPRODUCT((('CONTROL MASTER'!$S$2:$S$495=5)*('CONTROL MASTER'!$T$2:$T$495&lt;=6)*('CONTROL MASTER'!$V$2:$V$495&gt;=6)*('CONTROL MASTER'!$U$2:$U$495&lt;=3)*('CONTROL MASTER'!$W$2:$W$495&gt;=3))*ROW('CONTROL MASTER'!$S$2:$S$495))-(ROW('CONTROL MASTER'!#REF!)-1))),IF(SUMPRODUCT((('CONTROL MASTER'!$S$2:$S$495=5)*('CONTROL MASTER'!$Z$2:$Z$495&lt;=6)*('CONTROL MASTER'!$AB$2:$AB$495&gt;=6)*('CONTROL MASTER'!$AA$2:$AA$495&lt;=3)*('CONTROL MASTER'!$AC$2:$AC$495&gt;=3))*ROW('CONTROL MASTER'!$S$2:$S$495))&gt;0,INDEX('CONTROL MASTER'!$X$2:$X$495,(SUMPRODUCT((('CONTROL MASTER'!$S$2:$S$495=5)*('CONTROL MASTER'!$Z$2:$Z$495&lt;=6)*('CONTROL MASTER'!$AB$2:$AB$495&gt;=6)*('CONTROL MASTER'!$AA$2:$AA$495&lt;=3)*('CONTROL MASTER'!$AC$2:$AC$495&gt;=3))*ROW('CONTROL MASTER'!$S$2:$S$495))-(ROW('CONTROL MASTER'!#REF!)-1)))&amp;TRIM(MID(SUBSTITUTE(SUBSTITUTE(INDEX('CONTROL MASTER'!$N$2:$N$495,(SUMPRODUCT((('CONTROL MASTER'!$S$2:$S$495=5)*('CONTROL MASTER'!$Z$2:$Z$495&lt;=6)*('CONTROL MASTER'!$AB$2:$AB$495&gt;=6)*('CONTROL MASTER'!$AA$2:$AA$495&lt;=3)*('CONTROL MASTER'!$AC$2:$AC$495&gt;=3))*ROW('CONTROL MASTER'!$S$2:$S$495))-(ROW('CONTROL MASTER'!#REF!)-1))),":",","),",",REPT(" ",50)),(((INDEX('CONTROL MASTER'!$Y$2:$Y$495,(SUMPRODUCT((('CONTROL MASTER'!$S$2:$S$495=5)*('CONTROL MASTER'!$Z$2:$Z$495&lt;=6)*('CONTROL MASTER'!$AB$2:$AB$495&gt;=6)*('CONTROL MASTER'!$AA$2:$AA$495&lt;=3)*('CONTROL MASTER'!$AC$2:$AC$495&gt;=3))*ROW('CONTROL MASTER'!$S$2:$S$495))-(ROW('CONTROL MASTER'!#REF!)-1)))+((6-INDEX('CONTROL MASTER'!$Z$2:$Z$495,(SUMPRODUCT((('CONTROL MASTER'!$S$2:$S$495=5)*('CONTROL MASTER'!$Z$2:$Z$495&lt;=6)*('CONTROL MASTER'!$AB$2:$AB$495&gt;=6)*('CONTROL MASTER'!$AA$2:$AA$495&lt;=3)*('CONTROL MASTER'!$AC$2:$AC$495&gt;=3))*ROW('CONTROL MASTER'!$S$2:$S$495))-(ROW('CONTROL MASTER'!#REF!)-1))))*(INDEX('CONTROL MASTER'!$AC$2:$AC$495,(SUMPRODUCT((('CONTROL MASTER'!$S$2:$S$495=5)*('CONTROL MASTER'!$Z$2:$Z$495&lt;=6)*('CONTROL MASTER'!$AB$2:$AB$495&gt;=6)*('CONTROL MASTER'!$AA$2:$AA$495&lt;=3)*('CONTROL MASTER'!$AC$2:$AC$495&gt;=3))*ROW('CONTROL MASTER'!$S$2:$S$495))-(ROW('CONTROL MASTER'!#REF!)-1)))-INDEX('CONTROL MASTER'!$AA$2:$AA$495,(SUMPRODUCT((('CONTROL MASTER'!$S$2:$S$495=5)*('CONTROL MASTER'!$Z$2:$Z$495&lt;=6)*('CONTROL MASTER'!$AB$2:$AB$495&gt;=6)*('CONTROL MASTER'!$AA$2:$AA$495&lt;=3)*('CONTROL MASTER'!$AC$2:$AC$495&gt;=3))*ROW('CONTROL MASTER'!$S$2:$S$495))-(ROW('CONTROL MASTER'!#REF!)-1)))+1)+(3-INDEX('CONTROL MASTER'!$AA$2:$AA$495,(SUMPRODUCT((('CONTROL MASTER'!$S$2:$S$495=5)*('CONTROL MASTER'!$Z$2:$Z$495&lt;=6)*('CONTROL MASTER'!$AB$2:$AB$495&gt;=6)*('CONTROL MASTER'!$AA$2:$AA$495&lt;=3)*('CONTROL MASTER'!$AC$2:$AC$495&gt;=3))*ROW('CONTROL MASTER'!$S$2:$S$495))-(ROW('CONTROL MASTER'!#REF!)-1))))+1)))-1)*50+1,50))&amp;"_"&amp;INDEX('CONTROL MASTER'!$P$2:$P$495,(SUMPRODUCT((('CONTROL MASTER'!$S$2:$S$495=5)*('CONTROL MASTER'!$Z$2:$Z$495&lt;=6)*('CONTROL MASTER'!$AB$2:$AB$495&gt;=6)*('CONTROL MASTER'!$AA$2:$AA$495&lt;=3)*('CONTROL MASTER'!$AC$2:$AC$495&gt;=3))*ROW('CONTROL MASTER'!$S$2:$S$495))-(ROW('CONTROL MASTER'!#REF!)-1))),"")),"")</f>
        <v/>
      </c>
      <c r="E64" s="10" t="str">
        <f>IFERROR(IF(SUMPRODUCT((('CONTROL MASTER'!$S$2:$S$495=5)*('CONTROL MASTER'!$T$2:$T$495&lt;=6)*('CONTROL MASTER'!$V$2:$V$495&gt;=6)*('CONTROL MASTER'!$U$2:$U$495&lt;=4)*('CONTROL MASTER'!$W$2:$W$495&gt;=4))*ROW('CONTROL MASTER'!$S$2:$S$495))&gt;0,INDEX('CONTROL MASTER'!$X$2:$X$495,(SUMPRODUCT((('CONTROL MASTER'!$S$2:$S$495=5)*('CONTROL MASTER'!$T$2:$T$495&lt;=6)*('CONTROL MASTER'!$V$2:$V$495&gt;=6)*('CONTROL MASTER'!$U$2:$U$495&lt;=4)*('CONTROL MASTER'!$W$2:$W$495&gt;=4))*ROW('CONTROL MASTER'!$S$2:$S$495))-(ROW('CONTROL MASTER'!#REF!)-1)))&amp;TRIM(MID(SUBSTITUTE(SUBSTITUTE(INDEX('CONTROL MASTER'!$N$2:$N$495,(SUMPRODUCT((('CONTROL MASTER'!$S$2:$S$495=5)*('CONTROL MASTER'!$T$2:$T$495&lt;=6)*('CONTROL MASTER'!$V$2:$V$495&gt;=6)*('CONTROL MASTER'!$U$2:$U$495&lt;=4)*('CONTROL MASTER'!$W$2:$W$495&gt;=4))*ROW('CONTROL MASTER'!$S$2:$S$495))-(ROW('CONTROL MASTER'!#REF!)-1))),":",","),",",REPT(" ",50)),((((6-INDEX('CONTROL MASTER'!$T$2:$T$495,(SUMPRODUCT((('CONTROL MASTER'!$S$2:$S$495=5)*('CONTROL MASTER'!$T$2:$T$495&lt;=6)*('CONTROL MASTER'!$V$2:$V$495&gt;=6)*('CONTROL MASTER'!$U$2:$U$495&lt;=4)*('CONTROL MASTER'!$W$2:$W$495&gt;=4))*ROW('CONTROL MASTER'!$S$2:$S$495))-(ROW('CONTROL MASTER'!#REF!)-1))))*(INDEX('CONTROL MASTER'!$W$2:$W$495,(SUMPRODUCT((('CONTROL MASTER'!$S$2:$S$495=5)*('CONTROL MASTER'!$T$2:$T$495&lt;=6)*('CONTROL MASTER'!$V$2:$V$495&gt;=6)*('CONTROL MASTER'!$U$2:$U$495&lt;=4)*('CONTROL MASTER'!$W$2:$W$495&gt;=4))*ROW('CONTROL MASTER'!$S$2:$S$495))-(ROW('CONTROL MASTER'!#REF!)-1)))-INDEX('CONTROL MASTER'!$U$2:$U$495,(SUMPRODUCT((('CONTROL MASTER'!$S$2:$S$495=5)*('CONTROL MASTER'!$T$2:$T$495&lt;=6)*('CONTROL MASTER'!$V$2:$V$495&gt;=6)*('CONTROL MASTER'!$U$2:$U$495&lt;=4)*('CONTROL MASTER'!$W$2:$W$495&gt;=4))*ROW('CONTROL MASTER'!$S$2:$S$495))-(ROW('CONTROL MASTER'!#REF!)-1)))+1)+(4-INDEX('CONTROL MASTER'!$U$2:$U$495,(SUMPRODUCT((('CONTROL MASTER'!$S$2:$S$495=5)*('CONTROL MASTER'!$T$2:$T$495&lt;=6)*('CONTROL MASTER'!$V$2:$V$495&gt;=6)*('CONTROL MASTER'!$U$2:$U$495&lt;=4)*('CONTROL MASTER'!$W$2:$W$495&gt;=4))*ROW('CONTROL MASTER'!$S$2:$S$495))-(ROW('CONTROL MASTER'!#REF!)-1))))+1))-1)*50+1,50))&amp;"_"&amp;INDEX('CONTROL MASTER'!$P$2:$P$495,(SUMPRODUCT((('CONTROL MASTER'!$S$2:$S$495=5)*('CONTROL MASTER'!$T$2:$T$495&lt;=6)*('CONTROL MASTER'!$V$2:$V$495&gt;=6)*('CONTROL MASTER'!$U$2:$U$495&lt;=4)*('CONTROL MASTER'!$W$2:$W$495&gt;=4))*ROW('CONTROL MASTER'!$S$2:$S$495))-(ROW('CONTROL MASTER'!#REF!)-1))),IF(SUMPRODUCT((('CONTROL MASTER'!$S$2:$S$495=5)*('CONTROL MASTER'!$Z$2:$Z$495&lt;=6)*('CONTROL MASTER'!$AB$2:$AB$495&gt;=6)*('CONTROL MASTER'!$AA$2:$AA$495&lt;=4)*('CONTROL MASTER'!$AC$2:$AC$495&gt;=4))*ROW('CONTROL MASTER'!$S$2:$S$495))&gt;0,INDEX('CONTROL MASTER'!$X$2:$X$495,(SUMPRODUCT((('CONTROL MASTER'!$S$2:$S$495=5)*('CONTROL MASTER'!$Z$2:$Z$495&lt;=6)*('CONTROL MASTER'!$AB$2:$AB$495&gt;=6)*('CONTROL MASTER'!$AA$2:$AA$495&lt;=4)*('CONTROL MASTER'!$AC$2:$AC$495&gt;=4))*ROW('CONTROL MASTER'!$S$2:$S$495))-(ROW('CONTROL MASTER'!#REF!)-1)))&amp;TRIM(MID(SUBSTITUTE(SUBSTITUTE(INDEX('CONTROL MASTER'!$N$2:$N$495,(SUMPRODUCT((('CONTROL MASTER'!$S$2:$S$495=5)*('CONTROL MASTER'!$Z$2:$Z$495&lt;=6)*('CONTROL MASTER'!$AB$2:$AB$495&gt;=6)*('CONTROL MASTER'!$AA$2:$AA$495&lt;=4)*('CONTROL MASTER'!$AC$2:$AC$495&gt;=4))*ROW('CONTROL MASTER'!$S$2:$S$495))-(ROW('CONTROL MASTER'!#REF!)-1))),":",","),",",REPT(" ",50)),(((INDEX('CONTROL MASTER'!$Y$2:$Y$495,(SUMPRODUCT((('CONTROL MASTER'!$S$2:$S$495=5)*('CONTROL MASTER'!$Z$2:$Z$495&lt;=6)*('CONTROL MASTER'!$AB$2:$AB$495&gt;=6)*('CONTROL MASTER'!$AA$2:$AA$495&lt;=4)*('CONTROL MASTER'!$AC$2:$AC$495&gt;=4))*ROW('CONTROL MASTER'!$S$2:$S$495))-(ROW('CONTROL MASTER'!#REF!)-1)))+((6-INDEX('CONTROL MASTER'!$Z$2:$Z$495,(SUMPRODUCT((('CONTROL MASTER'!$S$2:$S$495=5)*('CONTROL MASTER'!$Z$2:$Z$495&lt;=6)*('CONTROL MASTER'!$AB$2:$AB$495&gt;=6)*('CONTROL MASTER'!$AA$2:$AA$495&lt;=4)*('CONTROL MASTER'!$AC$2:$AC$495&gt;=4))*ROW('CONTROL MASTER'!$S$2:$S$495))-(ROW('CONTROL MASTER'!#REF!)-1))))*(INDEX('CONTROL MASTER'!$AC$2:$AC$495,(SUMPRODUCT((('CONTROL MASTER'!$S$2:$S$495=5)*('CONTROL MASTER'!$Z$2:$Z$495&lt;=6)*('CONTROL MASTER'!$AB$2:$AB$495&gt;=6)*('CONTROL MASTER'!$AA$2:$AA$495&lt;=4)*('CONTROL MASTER'!$AC$2:$AC$495&gt;=4))*ROW('CONTROL MASTER'!$S$2:$S$495))-(ROW('CONTROL MASTER'!#REF!)-1)))-INDEX('CONTROL MASTER'!$AA$2:$AA$495,(SUMPRODUCT((('CONTROL MASTER'!$S$2:$S$495=5)*('CONTROL MASTER'!$Z$2:$Z$495&lt;=6)*('CONTROL MASTER'!$AB$2:$AB$495&gt;=6)*('CONTROL MASTER'!$AA$2:$AA$495&lt;=4)*('CONTROL MASTER'!$AC$2:$AC$495&gt;=4))*ROW('CONTROL MASTER'!$S$2:$S$495))-(ROW('CONTROL MASTER'!#REF!)-1)))+1)+(4-INDEX('CONTROL MASTER'!$AA$2:$AA$495,(SUMPRODUCT((('CONTROL MASTER'!$S$2:$S$495=5)*('CONTROL MASTER'!$Z$2:$Z$495&lt;=6)*('CONTROL MASTER'!$AB$2:$AB$495&gt;=6)*('CONTROL MASTER'!$AA$2:$AA$495&lt;=4)*('CONTROL MASTER'!$AC$2:$AC$495&gt;=4))*ROW('CONTROL MASTER'!$S$2:$S$495))-(ROW('CONTROL MASTER'!#REF!)-1))))+1)))-1)*50+1,50))&amp;"_"&amp;INDEX('CONTROL MASTER'!$P$2:$P$495,(SUMPRODUCT((('CONTROL MASTER'!$S$2:$S$495=5)*('CONTROL MASTER'!$Z$2:$Z$495&lt;=6)*('CONTROL MASTER'!$AB$2:$AB$495&gt;=6)*('CONTROL MASTER'!$AA$2:$AA$495&lt;=4)*('CONTROL MASTER'!$AC$2:$AC$495&gt;=4))*ROW('CONTROL MASTER'!$S$2:$S$495))-(ROW('CONTROL MASTER'!#REF!)-1))),"")),"")</f>
        <v/>
      </c>
      <c r="F64" s="10" t="str">
        <f>IFERROR(IF(SUMPRODUCT((('CONTROL MASTER'!$S$2:$S$495=5)*('CONTROL MASTER'!$T$2:$T$495&lt;=6)*('CONTROL MASTER'!$V$2:$V$495&gt;=6)*('CONTROL MASTER'!$U$2:$U$495&lt;=5)*('CONTROL MASTER'!$W$2:$W$495&gt;=5))*ROW('CONTROL MASTER'!$S$2:$S$495))&gt;0,INDEX('CONTROL MASTER'!$X$2:$X$495,(SUMPRODUCT((('CONTROL MASTER'!$S$2:$S$495=5)*('CONTROL MASTER'!$T$2:$T$495&lt;=6)*('CONTROL MASTER'!$V$2:$V$495&gt;=6)*('CONTROL MASTER'!$U$2:$U$495&lt;=5)*('CONTROL MASTER'!$W$2:$W$495&gt;=5))*ROW('CONTROL MASTER'!$S$2:$S$495))-(ROW('CONTROL MASTER'!#REF!)-1)))&amp;TRIM(MID(SUBSTITUTE(SUBSTITUTE(INDEX('CONTROL MASTER'!$N$2:$N$495,(SUMPRODUCT((('CONTROL MASTER'!$S$2:$S$495=5)*('CONTROL MASTER'!$T$2:$T$495&lt;=6)*('CONTROL MASTER'!$V$2:$V$495&gt;=6)*('CONTROL MASTER'!$U$2:$U$495&lt;=5)*('CONTROL MASTER'!$W$2:$W$495&gt;=5))*ROW('CONTROL MASTER'!$S$2:$S$495))-(ROW('CONTROL MASTER'!#REF!)-1))),":",","),",",REPT(" ",50)),((((6-INDEX('CONTROL MASTER'!$T$2:$T$495,(SUMPRODUCT((('CONTROL MASTER'!$S$2:$S$495=5)*('CONTROL MASTER'!$T$2:$T$495&lt;=6)*('CONTROL MASTER'!$V$2:$V$495&gt;=6)*('CONTROL MASTER'!$U$2:$U$495&lt;=5)*('CONTROL MASTER'!$W$2:$W$495&gt;=5))*ROW('CONTROL MASTER'!$S$2:$S$495))-(ROW('CONTROL MASTER'!#REF!)-1))))*(INDEX('CONTROL MASTER'!$W$2:$W$495,(SUMPRODUCT((('CONTROL MASTER'!$S$2:$S$495=5)*('CONTROL MASTER'!$T$2:$T$495&lt;=6)*('CONTROL MASTER'!$V$2:$V$495&gt;=6)*('CONTROL MASTER'!$U$2:$U$495&lt;=5)*('CONTROL MASTER'!$W$2:$W$495&gt;=5))*ROW('CONTROL MASTER'!$S$2:$S$495))-(ROW('CONTROL MASTER'!#REF!)-1)))-INDEX('CONTROL MASTER'!$U$2:$U$495,(SUMPRODUCT((('CONTROL MASTER'!$S$2:$S$495=5)*('CONTROL MASTER'!$T$2:$T$495&lt;=6)*('CONTROL MASTER'!$V$2:$V$495&gt;=6)*('CONTROL MASTER'!$U$2:$U$495&lt;=5)*('CONTROL MASTER'!$W$2:$W$495&gt;=5))*ROW('CONTROL MASTER'!$S$2:$S$495))-(ROW('CONTROL MASTER'!#REF!)-1)))+1)+(5-INDEX('CONTROL MASTER'!$U$2:$U$495,(SUMPRODUCT((('CONTROL MASTER'!$S$2:$S$495=5)*('CONTROL MASTER'!$T$2:$T$495&lt;=6)*('CONTROL MASTER'!$V$2:$V$495&gt;=6)*('CONTROL MASTER'!$U$2:$U$495&lt;=5)*('CONTROL MASTER'!$W$2:$W$495&gt;=5))*ROW('CONTROL MASTER'!$S$2:$S$495))-(ROW('CONTROL MASTER'!#REF!)-1))))+1))-1)*50+1,50))&amp;"_"&amp;INDEX('CONTROL MASTER'!$P$2:$P$495,(SUMPRODUCT((('CONTROL MASTER'!$S$2:$S$495=5)*('CONTROL MASTER'!$T$2:$T$495&lt;=6)*('CONTROL MASTER'!$V$2:$V$495&gt;=6)*('CONTROL MASTER'!$U$2:$U$495&lt;=5)*('CONTROL MASTER'!$W$2:$W$495&gt;=5))*ROW('CONTROL MASTER'!$S$2:$S$495))-(ROW('CONTROL MASTER'!#REF!)-1))),IF(SUMPRODUCT((('CONTROL MASTER'!$S$2:$S$495=5)*('CONTROL MASTER'!$Z$2:$Z$495&lt;=6)*('CONTROL MASTER'!$AB$2:$AB$495&gt;=6)*('CONTROL MASTER'!$AA$2:$AA$495&lt;=5)*('CONTROL MASTER'!$AC$2:$AC$495&gt;=5))*ROW('CONTROL MASTER'!$S$2:$S$495))&gt;0,INDEX('CONTROL MASTER'!$X$2:$X$495,(SUMPRODUCT((('CONTROL MASTER'!$S$2:$S$495=5)*('CONTROL MASTER'!$Z$2:$Z$495&lt;=6)*('CONTROL MASTER'!$AB$2:$AB$495&gt;=6)*('CONTROL MASTER'!$AA$2:$AA$495&lt;=5)*('CONTROL MASTER'!$AC$2:$AC$495&gt;=5))*ROW('CONTROL MASTER'!$S$2:$S$495))-(ROW('CONTROL MASTER'!#REF!)-1)))&amp;TRIM(MID(SUBSTITUTE(SUBSTITUTE(INDEX('CONTROL MASTER'!$N$2:$N$495,(SUMPRODUCT((('CONTROL MASTER'!$S$2:$S$495=5)*('CONTROL MASTER'!$Z$2:$Z$495&lt;=6)*('CONTROL MASTER'!$AB$2:$AB$495&gt;=6)*('CONTROL MASTER'!$AA$2:$AA$495&lt;=5)*('CONTROL MASTER'!$AC$2:$AC$495&gt;=5))*ROW('CONTROL MASTER'!$S$2:$S$495))-(ROW('CONTROL MASTER'!#REF!)-1))),":",","),",",REPT(" ",50)),(((INDEX('CONTROL MASTER'!$Y$2:$Y$495,(SUMPRODUCT((('CONTROL MASTER'!$S$2:$S$495=5)*('CONTROL MASTER'!$Z$2:$Z$495&lt;=6)*('CONTROL MASTER'!$AB$2:$AB$495&gt;=6)*('CONTROL MASTER'!$AA$2:$AA$495&lt;=5)*('CONTROL MASTER'!$AC$2:$AC$495&gt;=5))*ROW('CONTROL MASTER'!$S$2:$S$495))-(ROW('CONTROL MASTER'!#REF!)-1)))+((6-INDEX('CONTROL MASTER'!$Z$2:$Z$495,(SUMPRODUCT((('CONTROL MASTER'!$S$2:$S$495=5)*('CONTROL MASTER'!$Z$2:$Z$495&lt;=6)*('CONTROL MASTER'!$AB$2:$AB$495&gt;=6)*('CONTROL MASTER'!$AA$2:$AA$495&lt;=5)*('CONTROL MASTER'!$AC$2:$AC$495&gt;=5))*ROW('CONTROL MASTER'!$S$2:$S$495))-(ROW('CONTROL MASTER'!#REF!)-1))))*(INDEX('CONTROL MASTER'!$AC$2:$AC$495,(SUMPRODUCT((('CONTROL MASTER'!$S$2:$S$495=5)*('CONTROL MASTER'!$Z$2:$Z$495&lt;=6)*('CONTROL MASTER'!$AB$2:$AB$495&gt;=6)*('CONTROL MASTER'!$AA$2:$AA$495&lt;=5)*('CONTROL MASTER'!$AC$2:$AC$495&gt;=5))*ROW('CONTROL MASTER'!$S$2:$S$495))-(ROW('CONTROL MASTER'!#REF!)-1)))-INDEX('CONTROL MASTER'!$AA$2:$AA$495,(SUMPRODUCT((('CONTROL MASTER'!$S$2:$S$495=5)*('CONTROL MASTER'!$Z$2:$Z$495&lt;=6)*('CONTROL MASTER'!$AB$2:$AB$495&gt;=6)*('CONTROL MASTER'!$AA$2:$AA$495&lt;=5)*('CONTROL MASTER'!$AC$2:$AC$495&gt;=5))*ROW('CONTROL MASTER'!$S$2:$S$495))-(ROW('CONTROL MASTER'!#REF!)-1)))+1)+(5-INDEX('CONTROL MASTER'!$AA$2:$AA$495,(SUMPRODUCT((('CONTROL MASTER'!$S$2:$S$495=5)*('CONTROL MASTER'!$Z$2:$Z$495&lt;=6)*('CONTROL MASTER'!$AB$2:$AB$495&gt;=6)*('CONTROL MASTER'!$AA$2:$AA$495&lt;=5)*('CONTROL MASTER'!$AC$2:$AC$495&gt;=5))*ROW('CONTROL MASTER'!$S$2:$S$495))-(ROW('CONTROL MASTER'!#REF!)-1))))+1)))-1)*50+1,50))&amp;"_"&amp;INDEX('CONTROL MASTER'!$P$2:$P$495,(SUMPRODUCT((('CONTROL MASTER'!$S$2:$S$495=5)*('CONTROL MASTER'!$Z$2:$Z$495&lt;=6)*('CONTROL MASTER'!$AB$2:$AB$495&gt;=6)*('CONTROL MASTER'!$AA$2:$AA$495&lt;=5)*('CONTROL MASTER'!$AC$2:$AC$495&gt;=5))*ROW('CONTROL MASTER'!$S$2:$S$495))-(ROW('CONTROL MASTER'!#REF!)-1))),"")),"")</f>
        <v/>
      </c>
      <c r="G64" s="10" t="str">
        <f>IFERROR(IF(SUMPRODUCT((('CONTROL MASTER'!$S$2:$S$495=5)*('CONTROL MASTER'!$T$2:$T$495&lt;=6)*('CONTROL MASTER'!$V$2:$V$495&gt;=6)*('CONTROL MASTER'!$U$2:$U$495&lt;=6)*('CONTROL MASTER'!$W$2:$W$495&gt;=6))*ROW('CONTROL MASTER'!$S$2:$S$495))&gt;0,INDEX('CONTROL MASTER'!$X$2:$X$495,(SUMPRODUCT((('CONTROL MASTER'!$S$2:$S$495=5)*('CONTROL MASTER'!$T$2:$T$495&lt;=6)*('CONTROL MASTER'!$V$2:$V$495&gt;=6)*('CONTROL MASTER'!$U$2:$U$495&lt;=6)*('CONTROL MASTER'!$W$2:$W$495&gt;=6))*ROW('CONTROL MASTER'!$S$2:$S$495))-(ROW('CONTROL MASTER'!#REF!)-1)))&amp;TRIM(MID(SUBSTITUTE(SUBSTITUTE(INDEX('CONTROL MASTER'!$N$2:$N$495,(SUMPRODUCT((('CONTROL MASTER'!$S$2:$S$495=5)*('CONTROL MASTER'!$T$2:$T$495&lt;=6)*('CONTROL MASTER'!$V$2:$V$495&gt;=6)*('CONTROL MASTER'!$U$2:$U$495&lt;=6)*('CONTROL MASTER'!$W$2:$W$495&gt;=6))*ROW('CONTROL MASTER'!$S$2:$S$495))-(ROW('CONTROL MASTER'!#REF!)-1))),":",","),",",REPT(" ",50)),((((6-INDEX('CONTROL MASTER'!$T$2:$T$495,(SUMPRODUCT((('CONTROL MASTER'!$S$2:$S$495=5)*('CONTROL MASTER'!$T$2:$T$495&lt;=6)*('CONTROL MASTER'!$V$2:$V$495&gt;=6)*('CONTROL MASTER'!$U$2:$U$495&lt;=6)*('CONTROL MASTER'!$W$2:$W$495&gt;=6))*ROW('CONTROL MASTER'!$S$2:$S$495))-(ROW('CONTROL MASTER'!#REF!)-1))))*(INDEX('CONTROL MASTER'!$W$2:$W$495,(SUMPRODUCT((('CONTROL MASTER'!$S$2:$S$495=5)*('CONTROL MASTER'!$T$2:$T$495&lt;=6)*('CONTROL MASTER'!$V$2:$V$495&gt;=6)*('CONTROL MASTER'!$U$2:$U$495&lt;=6)*('CONTROL MASTER'!$W$2:$W$495&gt;=6))*ROW('CONTROL MASTER'!$S$2:$S$495))-(ROW('CONTROL MASTER'!#REF!)-1)))-INDEX('CONTROL MASTER'!$U$2:$U$495,(SUMPRODUCT((('CONTROL MASTER'!$S$2:$S$495=5)*('CONTROL MASTER'!$T$2:$T$495&lt;=6)*('CONTROL MASTER'!$V$2:$V$495&gt;=6)*('CONTROL MASTER'!$U$2:$U$495&lt;=6)*('CONTROL MASTER'!$W$2:$W$495&gt;=6))*ROW('CONTROL MASTER'!$S$2:$S$495))-(ROW('CONTROL MASTER'!#REF!)-1)))+1)+(6-INDEX('CONTROL MASTER'!$U$2:$U$495,(SUMPRODUCT((('CONTROL MASTER'!$S$2:$S$495=5)*('CONTROL MASTER'!$T$2:$T$495&lt;=6)*('CONTROL MASTER'!$V$2:$V$495&gt;=6)*('CONTROL MASTER'!$U$2:$U$495&lt;=6)*('CONTROL MASTER'!$W$2:$W$495&gt;=6))*ROW('CONTROL MASTER'!$S$2:$S$495))-(ROW('CONTROL MASTER'!#REF!)-1))))+1))-1)*50+1,50))&amp;"_"&amp;INDEX('CONTROL MASTER'!$P$2:$P$495,(SUMPRODUCT((('CONTROL MASTER'!$S$2:$S$495=5)*('CONTROL MASTER'!$T$2:$T$495&lt;=6)*('CONTROL MASTER'!$V$2:$V$495&gt;=6)*('CONTROL MASTER'!$U$2:$U$495&lt;=6)*('CONTROL MASTER'!$W$2:$W$495&gt;=6))*ROW('CONTROL MASTER'!$S$2:$S$495))-(ROW('CONTROL MASTER'!#REF!)-1))),IF(SUMPRODUCT((('CONTROL MASTER'!$S$2:$S$495=5)*('CONTROL MASTER'!$Z$2:$Z$495&lt;=6)*('CONTROL MASTER'!$AB$2:$AB$495&gt;=6)*('CONTROL MASTER'!$AA$2:$AA$495&lt;=6)*('CONTROL MASTER'!$AC$2:$AC$495&gt;=6))*ROW('CONTROL MASTER'!$S$2:$S$495))&gt;0,INDEX('CONTROL MASTER'!$X$2:$X$495,(SUMPRODUCT((('CONTROL MASTER'!$S$2:$S$495=5)*('CONTROL MASTER'!$Z$2:$Z$495&lt;=6)*('CONTROL MASTER'!$AB$2:$AB$495&gt;=6)*('CONTROL MASTER'!$AA$2:$AA$495&lt;=6)*('CONTROL MASTER'!$AC$2:$AC$495&gt;=6))*ROW('CONTROL MASTER'!$S$2:$S$495))-(ROW('CONTROL MASTER'!#REF!)-1)))&amp;TRIM(MID(SUBSTITUTE(SUBSTITUTE(INDEX('CONTROL MASTER'!$N$2:$N$495,(SUMPRODUCT((('CONTROL MASTER'!$S$2:$S$495=5)*('CONTROL MASTER'!$Z$2:$Z$495&lt;=6)*('CONTROL MASTER'!$AB$2:$AB$495&gt;=6)*('CONTROL MASTER'!$AA$2:$AA$495&lt;=6)*('CONTROL MASTER'!$AC$2:$AC$495&gt;=6))*ROW('CONTROL MASTER'!$S$2:$S$495))-(ROW('CONTROL MASTER'!#REF!)-1))),":",","),",",REPT(" ",50)),(((INDEX('CONTROL MASTER'!$Y$2:$Y$495,(SUMPRODUCT((('CONTROL MASTER'!$S$2:$S$495=5)*('CONTROL MASTER'!$Z$2:$Z$495&lt;=6)*('CONTROL MASTER'!$AB$2:$AB$495&gt;=6)*('CONTROL MASTER'!$AA$2:$AA$495&lt;=6)*('CONTROL MASTER'!$AC$2:$AC$495&gt;=6))*ROW('CONTROL MASTER'!$S$2:$S$495))-(ROW('CONTROL MASTER'!#REF!)-1)))+((6-INDEX('CONTROL MASTER'!$Z$2:$Z$495,(SUMPRODUCT((('CONTROL MASTER'!$S$2:$S$495=5)*('CONTROL MASTER'!$Z$2:$Z$495&lt;=6)*('CONTROL MASTER'!$AB$2:$AB$495&gt;=6)*('CONTROL MASTER'!$AA$2:$AA$495&lt;=6)*('CONTROL MASTER'!$AC$2:$AC$495&gt;=6))*ROW('CONTROL MASTER'!$S$2:$S$495))-(ROW('CONTROL MASTER'!#REF!)-1))))*(INDEX('CONTROL MASTER'!$AC$2:$AC$495,(SUMPRODUCT((('CONTROL MASTER'!$S$2:$S$495=5)*('CONTROL MASTER'!$Z$2:$Z$495&lt;=6)*('CONTROL MASTER'!$AB$2:$AB$495&gt;=6)*('CONTROL MASTER'!$AA$2:$AA$495&lt;=6)*('CONTROL MASTER'!$AC$2:$AC$495&gt;=6))*ROW('CONTROL MASTER'!$S$2:$S$495))-(ROW('CONTROL MASTER'!#REF!)-1)))-INDEX('CONTROL MASTER'!$AA$2:$AA$495,(SUMPRODUCT((('CONTROL MASTER'!$S$2:$S$495=5)*('CONTROL MASTER'!$Z$2:$Z$495&lt;=6)*('CONTROL MASTER'!$AB$2:$AB$495&gt;=6)*('CONTROL MASTER'!$AA$2:$AA$495&lt;=6)*('CONTROL MASTER'!$AC$2:$AC$495&gt;=6))*ROW('CONTROL MASTER'!$S$2:$S$495))-(ROW('CONTROL MASTER'!#REF!)-1)))+1)+(6-INDEX('CONTROL MASTER'!$AA$2:$AA$495,(SUMPRODUCT((('CONTROL MASTER'!$S$2:$S$495=5)*('CONTROL MASTER'!$Z$2:$Z$495&lt;=6)*('CONTROL MASTER'!$AB$2:$AB$495&gt;=6)*('CONTROL MASTER'!$AA$2:$AA$495&lt;=6)*('CONTROL MASTER'!$AC$2:$AC$495&gt;=6))*ROW('CONTROL MASTER'!$S$2:$S$495))-(ROW('CONTROL MASTER'!#REF!)-1))))+1)))-1)*50+1,50))&amp;"_"&amp;INDEX('CONTROL MASTER'!$P$2:$P$495,(SUMPRODUCT((('CONTROL MASTER'!$S$2:$S$495=5)*('CONTROL MASTER'!$Z$2:$Z$495&lt;=6)*('CONTROL MASTER'!$AB$2:$AB$495&gt;=6)*('CONTROL MASTER'!$AA$2:$AA$495&lt;=6)*('CONTROL MASTER'!$AC$2:$AC$495&gt;=6))*ROW('CONTROL MASTER'!$S$2:$S$495))-(ROW('CONTROL MASTER'!#REF!)-1))),"")),"")</f>
        <v/>
      </c>
      <c r="H64" s="10" t="str">
        <f>IFERROR(IF(SUMPRODUCT((('CONTROL MASTER'!$S$2:$S$495=5)*('CONTROL MASTER'!$T$2:$T$495&lt;=6)*('CONTROL MASTER'!$V$2:$V$495&gt;=6)*('CONTROL MASTER'!$U$2:$U$495&lt;=7)*('CONTROL MASTER'!$W$2:$W$495&gt;=7))*ROW('CONTROL MASTER'!$S$2:$S$495))&gt;0,INDEX('CONTROL MASTER'!$X$2:$X$495,(SUMPRODUCT((('CONTROL MASTER'!$S$2:$S$495=5)*('CONTROL MASTER'!$T$2:$T$495&lt;=6)*('CONTROL MASTER'!$V$2:$V$495&gt;=6)*('CONTROL MASTER'!$U$2:$U$495&lt;=7)*('CONTROL MASTER'!$W$2:$W$495&gt;=7))*ROW('CONTROL MASTER'!$S$2:$S$495))-(ROW('CONTROL MASTER'!#REF!)-1)))&amp;TRIM(MID(SUBSTITUTE(SUBSTITUTE(INDEX('CONTROL MASTER'!$N$2:$N$495,(SUMPRODUCT((('CONTROL MASTER'!$S$2:$S$495=5)*('CONTROL MASTER'!$T$2:$T$495&lt;=6)*('CONTROL MASTER'!$V$2:$V$495&gt;=6)*('CONTROL MASTER'!$U$2:$U$495&lt;=7)*('CONTROL MASTER'!$W$2:$W$495&gt;=7))*ROW('CONTROL MASTER'!$S$2:$S$495))-(ROW('CONTROL MASTER'!#REF!)-1))),":",","),",",REPT(" ",50)),((((6-INDEX('CONTROL MASTER'!$T$2:$T$495,(SUMPRODUCT((('CONTROL MASTER'!$S$2:$S$495=5)*('CONTROL MASTER'!$T$2:$T$495&lt;=6)*('CONTROL MASTER'!$V$2:$V$495&gt;=6)*('CONTROL MASTER'!$U$2:$U$495&lt;=7)*('CONTROL MASTER'!$W$2:$W$495&gt;=7))*ROW('CONTROL MASTER'!$S$2:$S$495))-(ROW('CONTROL MASTER'!#REF!)-1))))*(INDEX('CONTROL MASTER'!$W$2:$W$495,(SUMPRODUCT((('CONTROL MASTER'!$S$2:$S$495=5)*('CONTROL MASTER'!$T$2:$T$495&lt;=6)*('CONTROL MASTER'!$V$2:$V$495&gt;=6)*('CONTROL MASTER'!$U$2:$U$495&lt;=7)*('CONTROL MASTER'!$W$2:$W$495&gt;=7))*ROW('CONTROL MASTER'!$S$2:$S$495))-(ROW('CONTROL MASTER'!#REF!)-1)))-INDEX('CONTROL MASTER'!$U$2:$U$495,(SUMPRODUCT((('CONTROL MASTER'!$S$2:$S$495=5)*('CONTROL MASTER'!$T$2:$T$495&lt;=6)*('CONTROL MASTER'!$V$2:$V$495&gt;=6)*('CONTROL MASTER'!$U$2:$U$495&lt;=7)*('CONTROL MASTER'!$W$2:$W$495&gt;=7))*ROW('CONTROL MASTER'!$S$2:$S$495))-(ROW('CONTROL MASTER'!#REF!)-1)))+1)+(7-INDEX('CONTROL MASTER'!$U$2:$U$495,(SUMPRODUCT((('CONTROL MASTER'!$S$2:$S$495=5)*('CONTROL MASTER'!$T$2:$T$495&lt;=6)*('CONTROL MASTER'!$V$2:$V$495&gt;=6)*('CONTROL MASTER'!$U$2:$U$495&lt;=7)*('CONTROL MASTER'!$W$2:$W$495&gt;=7))*ROW('CONTROL MASTER'!$S$2:$S$495))-(ROW('CONTROL MASTER'!#REF!)-1))))+1))-1)*50+1,50))&amp;"_"&amp;INDEX('CONTROL MASTER'!$P$2:$P$495,(SUMPRODUCT((('CONTROL MASTER'!$S$2:$S$495=5)*('CONTROL MASTER'!$T$2:$T$495&lt;=6)*('CONTROL MASTER'!$V$2:$V$495&gt;=6)*('CONTROL MASTER'!$U$2:$U$495&lt;=7)*('CONTROL MASTER'!$W$2:$W$495&gt;=7))*ROW('CONTROL MASTER'!$S$2:$S$495))-(ROW('CONTROL MASTER'!#REF!)-1))),IF(SUMPRODUCT((('CONTROL MASTER'!$S$2:$S$495=5)*('CONTROL MASTER'!$Z$2:$Z$495&lt;=6)*('CONTROL MASTER'!$AB$2:$AB$495&gt;=6)*('CONTROL MASTER'!$AA$2:$AA$495&lt;=7)*('CONTROL MASTER'!$AC$2:$AC$495&gt;=7))*ROW('CONTROL MASTER'!$S$2:$S$495))&gt;0,INDEX('CONTROL MASTER'!$X$2:$X$495,(SUMPRODUCT((('CONTROL MASTER'!$S$2:$S$495=5)*('CONTROL MASTER'!$Z$2:$Z$495&lt;=6)*('CONTROL MASTER'!$AB$2:$AB$495&gt;=6)*('CONTROL MASTER'!$AA$2:$AA$495&lt;=7)*('CONTROL MASTER'!$AC$2:$AC$495&gt;=7))*ROW('CONTROL MASTER'!$S$2:$S$495))-(ROW('CONTROL MASTER'!#REF!)-1)))&amp;TRIM(MID(SUBSTITUTE(SUBSTITUTE(INDEX('CONTROL MASTER'!$N$2:$N$495,(SUMPRODUCT((('CONTROL MASTER'!$S$2:$S$495=5)*('CONTROL MASTER'!$Z$2:$Z$495&lt;=6)*('CONTROL MASTER'!$AB$2:$AB$495&gt;=6)*('CONTROL MASTER'!$AA$2:$AA$495&lt;=7)*('CONTROL MASTER'!$AC$2:$AC$495&gt;=7))*ROW('CONTROL MASTER'!$S$2:$S$495))-(ROW('CONTROL MASTER'!#REF!)-1))),":",","),",",REPT(" ",50)),(((INDEX('CONTROL MASTER'!$Y$2:$Y$495,(SUMPRODUCT((('CONTROL MASTER'!$S$2:$S$495=5)*('CONTROL MASTER'!$Z$2:$Z$495&lt;=6)*('CONTROL MASTER'!$AB$2:$AB$495&gt;=6)*('CONTROL MASTER'!$AA$2:$AA$495&lt;=7)*('CONTROL MASTER'!$AC$2:$AC$495&gt;=7))*ROW('CONTROL MASTER'!$S$2:$S$495))-(ROW('CONTROL MASTER'!#REF!)-1)))+((6-INDEX('CONTROL MASTER'!$Z$2:$Z$495,(SUMPRODUCT((('CONTROL MASTER'!$S$2:$S$495=5)*('CONTROL MASTER'!$Z$2:$Z$495&lt;=6)*('CONTROL MASTER'!$AB$2:$AB$495&gt;=6)*('CONTROL MASTER'!$AA$2:$AA$495&lt;=7)*('CONTROL MASTER'!$AC$2:$AC$495&gt;=7))*ROW('CONTROL MASTER'!$S$2:$S$495))-(ROW('CONTROL MASTER'!#REF!)-1))))*(INDEX('CONTROL MASTER'!$AC$2:$AC$495,(SUMPRODUCT((('CONTROL MASTER'!$S$2:$S$495=5)*('CONTROL MASTER'!$Z$2:$Z$495&lt;=6)*('CONTROL MASTER'!$AB$2:$AB$495&gt;=6)*('CONTROL MASTER'!$AA$2:$AA$495&lt;=7)*('CONTROL MASTER'!$AC$2:$AC$495&gt;=7))*ROW('CONTROL MASTER'!$S$2:$S$495))-(ROW('CONTROL MASTER'!#REF!)-1)))-INDEX('CONTROL MASTER'!$AA$2:$AA$495,(SUMPRODUCT((('CONTROL MASTER'!$S$2:$S$495=5)*('CONTROL MASTER'!$Z$2:$Z$495&lt;=6)*('CONTROL MASTER'!$AB$2:$AB$495&gt;=6)*('CONTROL MASTER'!$AA$2:$AA$495&lt;=7)*('CONTROL MASTER'!$AC$2:$AC$495&gt;=7))*ROW('CONTROL MASTER'!$S$2:$S$495))-(ROW('CONTROL MASTER'!#REF!)-1)))+1)+(7-INDEX('CONTROL MASTER'!$AA$2:$AA$495,(SUMPRODUCT((('CONTROL MASTER'!$S$2:$S$495=5)*('CONTROL MASTER'!$Z$2:$Z$495&lt;=6)*('CONTROL MASTER'!$AB$2:$AB$495&gt;=6)*('CONTROL MASTER'!$AA$2:$AA$495&lt;=7)*('CONTROL MASTER'!$AC$2:$AC$495&gt;=7))*ROW('CONTROL MASTER'!$S$2:$S$495))-(ROW('CONTROL MASTER'!#REF!)-1))))+1)))-1)*50+1,50))&amp;"_"&amp;INDEX('CONTROL MASTER'!$P$2:$P$495,(SUMPRODUCT((('CONTROL MASTER'!$S$2:$S$495=5)*('CONTROL MASTER'!$Z$2:$Z$495&lt;=6)*('CONTROL MASTER'!$AB$2:$AB$495&gt;=6)*('CONTROL MASTER'!$AA$2:$AA$495&lt;=7)*('CONTROL MASTER'!$AC$2:$AC$495&gt;=7))*ROW('CONTROL MASTER'!$S$2:$S$495))-(ROW('CONTROL MASTER'!#REF!)-1))),"")),"")</f>
        <v/>
      </c>
      <c r="I64" s="10" t="str">
        <f>IFERROR(IF(SUMPRODUCT((('CONTROL MASTER'!$S$2:$S$495=5)*('CONTROL MASTER'!$T$2:$T$495&lt;=6)*('CONTROL MASTER'!$V$2:$V$495&gt;=6)*('CONTROL MASTER'!$U$2:$U$495&lt;=8)*('CONTROL MASTER'!$W$2:$W$495&gt;=8))*ROW('CONTROL MASTER'!$S$2:$S$495))&gt;0,INDEX('CONTROL MASTER'!$X$2:$X$495,(SUMPRODUCT((('CONTROL MASTER'!$S$2:$S$495=5)*('CONTROL MASTER'!$T$2:$T$495&lt;=6)*('CONTROL MASTER'!$V$2:$V$495&gt;=6)*('CONTROL MASTER'!$U$2:$U$495&lt;=8)*('CONTROL MASTER'!$W$2:$W$495&gt;=8))*ROW('CONTROL MASTER'!$S$2:$S$495))-(ROW('CONTROL MASTER'!#REF!)-1)))&amp;TRIM(MID(SUBSTITUTE(SUBSTITUTE(INDEX('CONTROL MASTER'!$N$2:$N$495,(SUMPRODUCT((('CONTROL MASTER'!$S$2:$S$495=5)*('CONTROL MASTER'!$T$2:$T$495&lt;=6)*('CONTROL MASTER'!$V$2:$V$495&gt;=6)*('CONTROL MASTER'!$U$2:$U$495&lt;=8)*('CONTROL MASTER'!$W$2:$W$495&gt;=8))*ROW('CONTROL MASTER'!$S$2:$S$495))-(ROW('CONTROL MASTER'!#REF!)-1))),":",","),",",REPT(" ",50)),((((6-INDEX('CONTROL MASTER'!$T$2:$T$495,(SUMPRODUCT((('CONTROL MASTER'!$S$2:$S$495=5)*('CONTROL MASTER'!$T$2:$T$495&lt;=6)*('CONTROL MASTER'!$V$2:$V$495&gt;=6)*('CONTROL MASTER'!$U$2:$U$495&lt;=8)*('CONTROL MASTER'!$W$2:$W$495&gt;=8))*ROW('CONTROL MASTER'!$S$2:$S$495))-(ROW('CONTROL MASTER'!#REF!)-1))))*(INDEX('CONTROL MASTER'!$W$2:$W$495,(SUMPRODUCT((('CONTROL MASTER'!$S$2:$S$495=5)*('CONTROL MASTER'!$T$2:$T$495&lt;=6)*('CONTROL MASTER'!$V$2:$V$495&gt;=6)*('CONTROL MASTER'!$U$2:$U$495&lt;=8)*('CONTROL MASTER'!$W$2:$W$495&gt;=8))*ROW('CONTROL MASTER'!$S$2:$S$495))-(ROW('CONTROL MASTER'!#REF!)-1)))-INDEX('CONTROL MASTER'!$U$2:$U$495,(SUMPRODUCT((('CONTROL MASTER'!$S$2:$S$495=5)*('CONTROL MASTER'!$T$2:$T$495&lt;=6)*('CONTROL MASTER'!$V$2:$V$495&gt;=6)*('CONTROL MASTER'!$U$2:$U$495&lt;=8)*('CONTROL MASTER'!$W$2:$W$495&gt;=8))*ROW('CONTROL MASTER'!$S$2:$S$495))-(ROW('CONTROL MASTER'!#REF!)-1)))+1)+(8-INDEX('CONTROL MASTER'!$U$2:$U$495,(SUMPRODUCT((('CONTROL MASTER'!$S$2:$S$495=5)*('CONTROL MASTER'!$T$2:$T$495&lt;=6)*('CONTROL MASTER'!$V$2:$V$495&gt;=6)*('CONTROL MASTER'!$U$2:$U$495&lt;=8)*('CONTROL MASTER'!$W$2:$W$495&gt;=8))*ROW('CONTROL MASTER'!$S$2:$S$495))-(ROW('CONTROL MASTER'!#REF!)-1))))+1))-1)*50+1,50))&amp;"_"&amp;INDEX('CONTROL MASTER'!$P$2:$P$495,(SUMPRODUCT((('CONTROL MASTER'!$S$2:$S$495=5)*('CONTROL MASTER'!$T$2:$T$495&lt;=6)*('CONTROL MASTER'!$V$2:$V$495&gt;=6)*('CONTROL MASTER'!$U$2:$U$495&lt;=8)*('CONTROL MASTER'!$W$2:$W$495&gt;=8))*ROW('CONTROL MASTER'!$S$2:$S$495))-(ROW('CONTROL MASTER'!#REF!)-1))),IF(SUMPRODUCT((('CONTROL MASTER'!$S$2:$S$495=5)*('CONTROL MASTER'!$Z$2:$Z$495&lt;=6)*('CONTROL MASTER'!$AB$2:$AB$495&gt;=6)*('CONTROL MASTER'!$AA$2:$AA$495&lt;=8)*('CONTROL MASTER'!$AC$2:$AC$495&gt;=8))*ROW('CONTROL MASTER'!$S$2:$S$495))&gt;0,INDEX('CONTROL MASTER'!$X$2:$X$495,(SUMPRODUCT((('CONTROL MASTER'!$S$2:$S$495=5)*('CONTROL MASTER'!$Z$2:$Z$495&lt;=6)*('CONTROL MASTER'!$AB$2:$AB$495&gt;=6)*('CONTROL MASTER'!$AA$2:$AA$495&lt;=8)*('CONTROL MASTER'!$AC$2:$AC$495&gt;=8))*ROW('CONTROL MASTER'!$S$2:$S$495))-(ROW('CONTROL MASTER'!#REF!)-1)))&amp;TRIM(MID(SUBSTITUTE(SUBSTITUTE(INDEX('CONTROL MASTER'!$N$2:$N$495,(SUMPRODUCT((('CONTROL MASTER'!$S$2:$S$495=5)*('CONTROL MASTER'!$Z$2:$Z$495&lt;=6)*('CONTROL MASTER'!$AB$2:$AB$495&gt;=6)*('CONTROL MASTER'!$AA$2:$AA$495&lt;=8)*('CONTROL MASTER'!$AC$2:$AC$495&gt;=8))*ROW('CONTROL MASTER'!$S$2:$S$495))-(ROW('CONTROL MASTER'!#REF!)-1))),":",","),",",REPT(" ",50)),(((INDEX('CONTROL MASTER'!$Y$2:$Y$495,(SUMPRODUCT((('CONTROL MASTER'!$S$2:$S$495=5)*('CONTROL MASTER'!$Z$2:$Z$495&lt;=6)*('CONTROL MASTER'!$AB$2:$AB$495&gt;=6)*('CONTROL MASTER'!$AA$2:$AA$495&lt;=8)*('CONTROL MASTER'!$AC$2:$AC$495&gt;=8))*ROW('CONTROL MASTER'!$S$2:$S$495))-(ROW('CONTROL MASTER'!#REF!)-1)))+((6-INDEX('CONTROL MASTER'!$Z$2:$Z$495,(SUMPRODUCT((('CONTROL MASTER'!$S$2:$S$495=5)*('CONTROL MASTER'!$Z$2:$Z$495&lt;=6)*('CONTROL MASTER'!$AB$2:$AB$495&gt;=6)*('CONTROL MASTER'!$AA$2:$AA$495&lt;=8)*('CONTROL MASTER'!$AC$2:$AC$495&gt;=8))*ROW('CONTROL MASTER'!$S$2:$S$495))-(ROW('CONTROL MASTER'!#REF!)-1))))*(INDEX('CONTROL MASTER'!$AC$2:$AC$495,(SUMPRODUCT((('CONTROL MASTER'!$S$2:$S$495=5)*('CONTROL MASTER'!$Z$2:$Z$495&lt;=6)*('CONTROL MASTER'!$AB$2:$AB$495&gt;=6)*('CONTROL MASTER'!$AA$2:$AA$495&lt;=8)*('CONTROL MASTER'!$AC$2:$AC$495&gt;=8))*ROW('CONTROL MASTER'!$S$2:$S$495))-(ROW('CONTROL MASTER'!#REF!)-1)))-INDEX('CONTROL MASTER'!$AA$2:$AA$495,(SUMPRODUCT((('CONTROL MASTER'!$S$2:$S$495=5)*('CONTROL MASTER'!$Z$2:$Z$495&lt;=6)*('CONTROL MASTER'!$AB$2:$AB$495&gt;=6)*('CONTROL MASTER'!$AA$2:$AA$495&lt;=8)*('CONTROL MASTER'!$AC$2:$AC$495&gt;=8))*ROW('CONTROL MASTER'!$S$2:$S$495))-(ROW('CONTROL MASTER'!#REF!)-1)))+1)+(8-INDEX('CONTROL MASTER'!$AA$2:$AA$495,(SUMPRODUCT((('CONTROL MASTER'!$S$2:$S$495=5)*('CONTROL MASTER'!$Z$2:$Z$495&lt;=6)*('CONTROL MASTER'!$AB$2:$AB$495&gt;=6)*('CONTROL MASTER'!$AA$2:$AA$495&lt;=8)*('CONTROL MASTER'!$AC$2:$AC$495&gt;=8))*ROW('CONTROL MASTER'!$S$2:$S$495))-(ROW('CONTROL MASTER'!#REF!)-1))))+1)))-1)*50+1,50))&amp;"_"&amp;INDEX('CONTROL MASTER'!$P$2:$P$495,(SUMPRODUCT((('CONTROL MASTER'!$S$2:$S$495=5)*('CONTROL MASTER'!$Z$2:$Z$495&lt;=6)*('CONTROL MASTER'!$AB$2:$AB$495&gt;=6)*('CONTROL MASTER'!$AA$2:$AA$495&lt;=8)*('CONTROL MASTER'!$AC$2:$AC$495&gt;=8))*ROW('CONTROL MASTER'!$S$2:$S$495))-(ROW('CONTROL MASTER'!#REF!)-1))),"")),"")</f>
        <v/>
      </c>
      <c r="J64" s="10" t="str">
        <f>IFERROR(IF(SUMPRODUCT((('CONTROL MASTER'!$S$2:$S$495=5)*('CONTROL MASTER'!$T$2:$T$495&lt;=6)*('CONTROL MASTER'!$V$2:$V$495&gt;=6)*('CONTROL MASTER'!$U$2:$U$495&lt;=9)*('CONTROL MASTER'!$W$2:$W$495&gt;=9))*ROW('CONTROL MASTER'!$S$2:$S$495))&gt;0,INDEX('CONTROL MASTER'!$X$2:$X$495,(SUMPRODUCT((('CONTROL MASTER'!$S$2:$S$495=5)*('CONTROL MASTER'!$T$2:$T$495&lt;=6)*('CONTROL MASTER'!$V$2:$V$495&gt;=6)*('CONTROL MASTER'!$U$2:$U$495&lt;=9)*('CONTROL MASTER'!$W$2:$W$495&gt;=9))*ROW('CONTROL MASTER'!$S$2:$S$495))-(ROW('CONTROL MASTER'!#REF!)-1)))&amp;TRIM(MID(SUBSTITUTE(SUBSTITUTE(INDEX('CONTROL MASTER'!$N$2:$N$495,(SUMPRODUCT((('CONTROL MASTER'!$S$2:$S$495=5)*('CONTROL MASTER'!$T$2:$T$495&lt;=6)*('CONTROL MASTER'!$V$2:$V$495&gt;=6)*('CONTROL MASTER'!$U$2:$U$495&lt;=9)*('CONTROL MASTER'!$W$2:$W$495&gt;=9))*ROW('CONTROL MASTER'!$S$2:$S$495))-(ROW('CONTROL MASTER'!#REF!)-1))),":",","),",",REPT(" ",50)),((((6-INDEX('CONTROL MASTER'!$T$2:$T$495,(SUMPRODUCT((('CONTROL MASTER'!$S$2:$S$495=5)*('CONTROL MASTER'!$T$2:$T$495&lt;=6)*('CONTROL MASTER'!$V$2:$V$495&gt;=6)*('CONTROL MASTER'!$U$2:$U$495&lt;=9)*('CONTROL MASTER'!$W$2:$W$495&gt;=9))*ROW('CONTROL MASTER'!$S$2:$S$495))-(ROW('CONTROL MASTER'!#REF!)-1))))*(INDEX('CONTROL MASTER'!$W$2:$W$495,(SUMPRODUCT((('CONTROL MASTER'!$S$2:$S$495=5)*('CONTROL MASTER'!$T$2:$T$495&lt;=6)*('CONTROL MASTER'!$V$2:$V$495&gt;=6)*('CONTROL MASTER'!$U$2:$U$495&lt;=9)*('CONTROL MASTER'!$W$2:$W$495&gt;=9))*ROW('CONTROL MASTER'!$S$2:$S$495))-(ROW('CONTROL MASTER'!#REF!)-1)))-INDEX('CONTROL MASTER'!$U$2:$U$495,(SUMPRODUCT((('CONTROL MASTER'!$S$2:$S$495=5)*('CONTROL MASTER'!$T$2:$T$495&lt;=6)*('CONTROL MASTER'!$V$2:$V$495&gt;=6)*('CONTROL MASTER'!$U$2:$U$495&lt;=9)*('CONTROL MASTER'!$W$2:$W$495&gt;=9))*ROW('CONTROL MASTER'!$S$2:$S$495))-(ROW('CONTROL MASTER'!#REF!)-1)))+1)+(9-INDEX('CONTROL MASTER'!$U$2:$U$495,(SUMPRODUCT((('CONTROL MASTER'!$S$2:$S$495=5)*('CONTROL MASTER'!$T$2:$T$495&lt;=6)*('CONTROL MASTER'!$V$2:$V$495&gt;=6)*('CONTROL MASTER'!$U$2:$U$495&lt;=9)*('CONTROL MASTER'!$W$2:$W$495&gt;=9))*ROW('CONTROL MASTER'!$S$2:$S$495))-(ROW('CONTROL MASTER'!#REF!)-1))))+1))-1)*50+1,50))&amp;"_"&amp;INDEX('CONTROL MASTER'!$P$2:$P$495,(SUMPRODUCT((('CONTROL MASTER'!$S$2:$S$495=5)*('CONTROL MASTER'!$T$2:$T$495&lt;=6)*('CONTROL MASTER'!$V$2:$V$495&gt;=6)*('CONTROL MASTER'!$U$2:$U$495&lt;=9)*('CONTROL MASTER'!$W$2:$W$495&gt;=9))*ROW('CONTROL MASTER'!$S$2:$S$495))-(ROW('CONTROL MASTER'!#REF!)-1))),IF(SUMPRODUCT((('CONTROL MASTER'!$S$2:$S$495=5)*('CONTROL MASTER'!$Z$2:$Z$495&lt;=6)*('CONTROL MASTER'!$AB$2:$AB$495&gt;=6)*('CONTROL MASTER'!$AA$2:$AA$495&lt;=9)*('CONTROL MASTER'!$AC$2:$AC$495&gt;=9))*ROW('CONTROL MASTER'!$S$2:$S$495))&gt;0,INDEX('CONTROL MASTER'!$X$2:$X$495,(SUMPRODUCT((('CONTROL MASTER'!$S$2:$S$495=5)*('CONTROL MASTER'!$Z$2:$Z$495&lt;=6)*('CONTROL MASTER'!$AB$2:$AB$495&gt;=6)*('CONTROL MASTER'!$AA$2:$AA$495&lt;=9)*('CONTROL MASTER'!$AC$2:$AC$495&gt;=9))*ROW('CONTROL MASTER'!$S$2:$S$495))-(ROW('CONTROL MASTER'!#REF!)-1)))&amp;TRIM(MID(SUBSTITUTE(SUBSTITUTE(INDEX('CONTROL MASTER'!$N$2:$N$495,(SUMPRODUCT((('CONTROL MASTER'!$S$2:$S$495=5)*('CONTROL MASTER'!$Z$2:$Z$495&lt;=6)*('CONTROL MASTER'!$AB$2:$AB$495&gt;=6)*('CONTROL MASTER'!$AA$2:$AA$495&lt;=9)*('CONTROL MASTER'!$AC$2:$AC$495&gt;=9))*ROW('CONTROL MASTER'!$S$2:$S$495))-(ROW('CONTROL MASTER'!#REF!)-1))),":",","),",",REPT(" ",50)),(((INDEX('CONTROL MASTER'!$Y$2:$Y$495,(SUMPRODUCT((('CONTROL MASTER'!$S$2:$S$495=5)*('CONTROL MASTER'!$Z$2:$Z$495&lt;=6)*('CONTROL MASTER'!$AB$2:$AB$495&gt;=6)*('CONTROL MASTER'!$AA$2:$AA$495&lt;=9)*('CONTROL MASTER'!$AC$2:$AC$495&gt;=9))*ROW('CONTROL MASTER'!$S$2:$S$495))-(ROW('CONTROL MASTER'!#REF!)-1)))+((6-INDEX('CONTROL MASTER'!$Z$2:$Z$495,(SUMPRODUCT((('CONTROL MASTER'!$S$2:$S$495=5)*('CONTROL MASTER'!$Z$2:$Z$495&lt;=6)*('CONTROL MASTER'!$AB$2:$AB$495&gt;=6)*('CONTROL MASTER'!$AA$2:$AA$495&lt;=9)*('CONTROL MASTER'!$AC$2:$AC$495&gt;=9))*ROW('CONTROL MASTER'!$S$2:$S$495))-(ROW('CONTROL MASTER'!#REF!)-1))))*(INDEX('CONTROL MASTER'!$AC$2:$AC$495,(SUMPRODUCT((('CONTROL MASTER'!$S$2:$S$495=5)*('CONTROL MASTER'!$Z$2:$Z$495&lt;=6)*('CONTROL MASTER'!$AB$2:$AB$495&gt;=6)*('CONTROL MASTER'!$AA$2:$AA$495&lt;=9)*('CONTROL MASTER'!$AC$2:$AC$495&gt;=9))*ROW('CONTROL MASTER'!$S$2:$S$495))-(ROW('CONTROL MASTER'!#REF!)-1)))-INDEX('CONTROL MASTER'!$AA$2:$AA$495,(SUMPRODUCT((('CONTROL MASTER'!$S$2:$S$495=5)*('CONTROL MASTER'!$Z$2:$Z$495&lt;=6)*('CONTROL MASTER'!$AB$2:$AB$495&gt;=6)*('CONTROL MASTER'!$AA$2:$AA$495&lt;=9)*('CONTROL MASTER'!$AC$2:$AC$495&gt;=9))*ROW('CONTROL MASTER'!$S$2:$S$495))-(ROW('CONTROL MASTER'!#REF!)-1)))+1)+(9-INDEX('CONTROL MASTER'!$AA$2:$AA$495,(SUMPRODUCT((('CONTROL MASTER'!$S$2:$S$495=5)*('CONTROL MASTER'!$Z$2:$Z$495&lt;=6)*('CONTROL MASTER'!$AB$2:$AB$495&gt;=6)*('CONTROL MASTER'!$AA$2:$AA$495&lt;=9)*('CONTROL MASTER'!$AC$2:$AC$495&gt;=9))*ROW('CONTROL MASTER'!$S$2:$S$495))-(ROW('CONTROL MASTER'!#REF!)-1))))+1)))-1)*50+1,50))&amp;"_"&amp;INDEX('CONTROL MASTER'!$P$2:$P$495,(SUMPRODUCT((('CONTROL MASTER'!$S$2:$S$495=5)*('CONTROL MASTER'!$Z$2:$Z$495&lt;=6)*('CONTROL MASTER'!$AB$2:$AB$495&gt;=6)*('CONTROL MASTER'!$AA$2:$AA$495&lt;=9)*('CONTROL MASTER'!$AC$2:$AC$495&gt;=9))*ROW('CONTROL MASTER'!$S$2:$S$495))-(ROW('CONTROL MASTER'!#REF!)-1))),"")),"")</f>
        <v/>
      </c>
      <c r="K64" s="10" t="str">
        <f>IFERROR(IF(SUMPRODUCT((('CONTROL MASTER'!$S$2:$S$495=5)*('CONTROL MASTER'!$T$2:$T$495&lt;=6)*('CONTROL MASTER'!$V$2:$V$495&gt;=6)*('CONTROL MASTER'!$U$2:$U$495&lt;=10)*('CONTROL MASTER'!$W$2:$W$495&gt;=10))*ROW('CONTROL MASTER'!$S$2:$S$495))&gt;0,INDEX('CONTROL MASTER'!$X$2:$X$495,(SUMPRODUCT((('CONTROL MASTER'!$S$2:$S$495=5)*('CONTROL MASTER'!$T$2:$T$495&lt;=6)*('CONTROL MASTER'!$V$2:$V$495&gt;=6)*('CONTROL MASTER'!$U$2:$U$495&lt;=10)*('CONTROL MASTER'!$W$2:$W$495&gt;=10))*ROW('CONTROL MASTER'!$S$2:$S$495))-(ROW('CONTROL MASTER'!#REF!)-1)))&amp;TRIM(MID(SUBSTITUTE(SUBSTITUTE(INDEX('CONTROL MASTER'!$N$2:$N$495,(SUMPRODUCT((('CONTROL MASTER'!$S$2:$S$495=5)*('CONTROL MASTER'!$T$2:$T$495&lt;=6)*('CONTROL MASTER'!$V$2:$V$495&gt;=6)*('CONTROL MASTER'!$U$2:$U$495&lt;=10)*('CONTROL MASTER'!$W$2:$W$495&gt;=10))*ROW('CONTROL MASTER'!$S$2:$S$495))-(ROW('CONTROL MASTER'!#REF!)-1))),":",","),",",REPT(" ",50)),((((6-INDEX('CONTROL MASTER'!$T$2:$T$495,(SUMPRODUCT((('CONTROL MASTER'!$S$2:$S$495=5)*('CONTROL MASTER'!$T$2:$T$495&lt;=6)*('CONTROL MASTER'!$V$2:$V$495&gt;=6)*('CONTROL MASTER'!$U$2:$U$495&lt;=10)*('CONTROL MASTER'!$W$2:$W$495&gt;=10))*ROW('CONTROL MASTER'!$S$2:$S$495))-(ROW('CONTROL MASTER'!#REF!)-1))))*(INDEX('CONTROL MASTER'!$W$2:$W$495,(SUMPRODUCT((('CONTROL MASTER'!$S$2:$S$495=5)*('CONTROL MASTER'!$T$2:$T$495&lt;=6)*('CONTROL MASTER'!$V$2:$V$495&gt;=6)*('CONTROL MASTER'!$U$2:$U$495&lt;=10)*('CONTROL MASTER'!$W$2:$W$495&gt;=10))*ROW('CONTROL MASTER'!$S$2:$S$495))-(ROW('CONTROL MASTER'!#REF!)-1)))-INDEX('CONTROL MASTER'!$U$2:$U$495,(SUMPRODUCT((('CONTROL MASTER'!$S$2:$S$495=5)*('CONTROL MASTER'!$T$2:$T$495&lt;=6)*('CONTROL MASTER'!$V$2:$V$495&gt;=6)*('CONTROL MASTER'!$U$2:$U$495&lt;=10)*('CONTROL MASTER'!$W$2:$W$495&gt;=10))*ROW('CONTROL MASTER'!$S$2:$S$495))-(ROW('CONTROL MASTER'!#REF!)-1)))+1)+(10-INDEX('CONTROL MASTER'!$U$2:$U$495,(SUMPRODUCT((('CONTROL MASTER'!$S$2:$S$495=5)*('CONTROL MASTER'!$T$2:$T$495&lt;=6)*('CONTROL MASTER'!$V$2:$V$495&gt;=6)*('CONTROL MASTER'!$U$2:$U$495&lt;=10)*('CONTROL MASTER'!$W$2:$W$495&gt;=10))*ROW('CONTROL MASTER'!$S$2:$S$495))-(ROW('CONTROL MASTER'!#REF!)-1))))+1))-1)*50+1,50))&amp;"_"&amp;INDEX('CONTROL MASTER'!$P$2:$P$495,(SUMPRODUCT((('CONTROL MASTER'!$S$2:$S$495=5)*('CONTROL MASTER'!$T$2:$T$495&lt;=6)*('CONTROL MASTER'!$V$2:$V$495&gt;=6)*('CONTROL MASTER'!$U$2:$U$495&lt;=10)*('CONTROL MASTER'!$W$2:$W$495&gt;=10))*ROW('CONTROL MASTER'!$S$2:$S$495))-(ROW('CONTROL MASTER'!#REF!)-1))),IF(SUMPRODUCT((('CONTROL MASTER'!$S$2:$S$495=5)*('CONTROL MASTER'!$Z$2:$Z$495&lt;=6)*('CONTROL MASTER'!$AB$2:$AB$495&gt;=6)*('CONTROL MASTER'!$AA$2:$AA$495&lt;=10)*('CONTROL MASTER'!$AC$2:$AC$495&gt;=10))*ROW('CONTROL MASTER'!$S$2:$S$495))&gt;0,INDEX('CONTROL MASTER'!$X$2:$X$495,(SUMPRODUCT((('CONTROL MASTER'!$S$2:$S$495=5)*('CONTROL MASTER'!$Z$2:$Z$495&lt;=6)*('CONTROL MASTER'!$AB$2:$AB$495&gt;=6)*('CONTROL MASTER'!$AA$2:$AA$495&lt;=10)*('CONTROL MASTER'!$AC$2:$AC$495&gt;=10))*ROW('CONTROL MASTER'!$S$2:$S$495))-(ROW('CONTROL MASTER'!#REF!)-1)))&amp;TRIM(MID(SUBSTITUTE(SUBSTITUTE(INDEX('CONTROL MASTER'!$N$2:$N$495,(SUMPRODUCT((('CONTROL MASTER'!$S$2:$S$495=5)*('CONTROL MASTER'!$Z$2:$Z$495&lt;=6)*('CONTROL MASTER'!$AB$2:$AB$495&gt;=6)*('CONTROL MASTER'!$AA$2:$AA$495&lt;=10)*('CONTROL MASTER'!$AC$2:$AC$495&gt;=10))*ROW('CONTROL MASTER'!$S$2:$S$495))-(ROW('CONTROL MASTER'!#REF!)-1))),":",","),",",REPT(" ",50)),(((INDEX('CONTROL MASTER'!$Y$2:$Y$495,(SUMPRODUCT((('CONTROL MASTER'!$S$2:$S$495=5)*('CONTROL MASTER'!$Z$2:$Z$495&lt;=6)*('CONTROL MASTER'!$AB$2:$AB$495&gt;=6)*('CONTROL MASTER'!$AA$2:$AA$495&lt;=10)*('CONTROL MASTER'!$AC$2:$AC$495&gt;=10))*ROW('CONTROL MASTER'!$S$2:$S$495))-(ROW('CONTROL MASTER'!#REF!)-1)))+((6-INDEX('CONTROL MASTER'!$Z$2:$Z$495,(SUMPRODUCT((('CONTROL MASTER'!$S$2:$S$495=5)*('CONTROL MASTER'!$Z$2:$Z$495&lt;=6)*('CONTROL MASTER'!$AB$2:$AB$495&gt;=6)*('CONTROL MASTER'!$AA$2:$AA$495&lt;=10)*('CONTROL MASTER'!$AC$2:$AC$495&gt;=10))*ROW('CONTROL MASTER'!$S$2:$S$495))-(ROW('CONTROL MASTER'!#REF!)-1))))*(INDEX('CONTROL MASTER'!$AC$2:$AC$495,(SUMPRODUCT((('CONTROL MASTER'!$S$2:$S$495=5)*('CONTROL MASTER'!$Z$2:$Z$495&lt;=6)*('CONTROL MASTER'!$AB$2:$AB$495&gt;=6)*('CONTROL MASTER'!$AA$2:$AA$495&lt;=10)*('CONTROL MASTER'!$AC$2:$AC$495&gt;=10))*ROW('CONTROL MASTER'!$S$2:$S$495))-(ROW('CONTROL MASTER'!#REF!)-1)))-INDEX('CONTROL MASTER'!$AA$2:$AA$495,(SUMPRODUCT((('CONTROL MASTER'!$S$2:$S$495=5)*('CONTROL MASTER'!$Z$2:$Z$495&lt;=6)*('CONTROL MASTER'!$AB$2:$AB$495&gt;=6)*('CONTROL MASTER'!$AA$2:$AA$495&lt;=10)*('CONTROL MASTER'!$AC$2:$AC$495&gt;=10))*ROW('CONTROL MASTER'!$S$2:$S$495))-(ROW('CONTROL MASTER'!#REF!)-1)))+1)+(10-INDEX('CONTROL MASTER'!$AA$2:$AA$495,(SUMPRODUCT((('CONTROL MASTER'!$S$2:$S$495=5)*('CONTROL MASTER'!$Z$2:$Z$495&lt;=6)*('CONTROL MASTER'!$AB$2:$AB$495&gt;=6)*('CONTROL MASTER'!$AA$2:$AA$495&lt;=10)*('CONTROL MASTER'!$AC$2:$AC$495&gt;=10))*ROW('CONTROL MASTER'!$S$2:$S$495))-(ROW('CONTROL MASTER'!#REF!)-1))))+1)))-1)*50+1,50))&amp;"_"&amp;INDEX('CONTROL MASTER'!$P$2:$P$495,(SUMPRODUCT((('CONTROL MASTER'!$S$2:$S$495=5)*('CONTROL MASTER'!$Z$2:$Z$495&lt;=6)*('CONTROL MASTER'!$AB$2:$AB$495&gt;=6)*('CONTROL MASTER'!$AA$2:$AA$495&lt;=10)*('CONTROL MASTER'!$AC$2:$AC$495&gt;=10))*ROW('CONTROL MASTER'!$S$2:$S$495))-(ROW('CONTROL MASTER'!#REF!)-1))),"")),"")</f>
        <v/>
      </c>
    </row>
    <row r="65" spans="1:11" ht="15" customHeight="1" x14ac:dyDescent="0.35">
      <c r="A65" s="8" t="s">
        <v>34</v>
      </c>
      <c r="B65" s="10" t="str">
        <f>IFERROR(IF(SUMPRODUCT((('CONTROL MASTER'!$S$2:$S$495=5)*('CONTROL MASTER'!$T$2:$T$495&lt;=7)*('CONTROL MASTER'!$V$2:$V$495&gt;=7)*('CONTROL MASTER'!$U$2:$U$495&lt;=1)*('CONTROL MASTER'!$W$2:$W$495&gt;=1))*ROW('CONTROL MASTER'!$S$2:$S$495))&gt;0,INDEX('CONTROL MASTER'!$X$2:$X$495,(SUMPRODUCT((('CONTROL MASTER'!$S$2:$S$495=5)*('CONTROL MASTER'!$T$2:$T$495&lt;=7)*('CONTROL MASTER'!$V$2:$V$495&gt;=7)*('CONTROL MASTER'!$U$2:$U$495&lt;=1)*('CONTROL MASTER'!$W$2:$W$495&gt;=1))*ROW('CONTROL MASTER'!$S$2:$S$495))-(ROW('CONTROL MASTER'!#REF!)-1)))&amp;TRIM(MID(SUBSTITUTE(SUBSTITUTE(INDEX('CONTROL MASTER'!$N$2:$N$495,(SUMPRODUCT((('CONTROL MASTER'!$S$2:$S$495=5)*('CONTROL MASTER'!$T$2:$T$495&lt;=7)*('CONTROL MASTER'!$V$2:$V$495&gt;=7)*('CONTROL MASTER'!$U$2:$U$495&lt;=1)*('CONTROL MASTER'!$W$2:$W$495&gt;=1))*ROW('CONTROL MASTER'!$S$2:$S$495))-(ROW('CONTROL MASTER'!#REF!)-1))),":",","),",",REPT(" ",50)),((((7-INDEX('CONTROL MASTER'!$T$2:$T$495,(SUMPRODUCT((('CONTROL MASTER'!$S$2:$S$495=5)*('CONTROL MASTER'!$T$2:$T$495&lt;=7)*('CONTROL MASTER'!$V$2:$V$495&gt;=7)*('CONTROL MASTER'!$U$2:$U$495&lt;=1)*('CONTROL MASTER'!$W$2:$W$495&gt;=1))*ROW('CONTROL MASTER'!$S$2:$S$495))-(ROW('CONTROL MASTER'!#REF!)-1))))*(INDEX('CONTROL MASTER'!$W$2:$W$495,(SUMPRODUCT((('CONTROL MASTER'!$S$2:$S$495=5)*('CONTROL MASTER'!$T$2:$T$495&lt;=7)*('CONTROL MASTER'!$V$2:$V$495&gt;=7)*('CONTROL MASTER'!$U$2:$U$495&lt;=1)*('CONTROL MASTER'!$W$2:$W$495&gt;=1))*ROW('CONTROL MASTER'!$S$2:$S$495))-(ROW('CONTROL MASTER'!#REF!)-1)))-INDEX('CONTROL MASTER'!$U$2:$U$495,(SUMPRODUCT((('CONTROL MASTER'!$S$2:$S$495=5)*('CONTROL MASTER'!$T$2:$T$495&lt;=7)*('CONTROL MASTER'!$V$2:$V$495&gt;=7)*('CONTROL MASTER'!$U$2:$U$495&lt;=1)*('CONTROL MASTER'!$W$2:$W$495&gt;=1))*ROW('CONTROL MASTER'!$S$2:$S$495))-(ROW('CONTROL MASTER'!#REF!)-1)))+1)+(1-INDEX('CONTROL MASTER'!$U$2:$U$495,(SUMPRODUCT((('CONTROL MASTER'!$S$2:$S$495=5)*('CONTROL MASTER'!$T$2:$T$495&lt;=7)*('CONTROL MASTER'!$V$2:$V$495&gt;=7)*('CONTROL MASTER'!$U$2:$U$495&lt;=1)*('CONTROL MASTER'!$W$2:$W$495&gt;=1))*ROW('CONTROL MASTER'!$S$2:$S$495))-(ROW('CONTROL MASTER'!#REF!)-1))))+1))-1)*50+1,50))&amp;"_"&amp;INDEX('CONTROL MASTER'!$P$2:$P$495,(SUMPRODUCT((('CONTROL MASTER'!$S$2:$S$495=5)*('CONTROL MASTER'!$T$2:$T$495&lt;=7)*('CONTROL MASTER'!$V$2:$V$495&gt;=7)*('CONTROL MASTER'!$U$2:$U$495&lt;=1)*('CONTROL MASTER'!$W$2:$W$495&gt;=1))*ROW('CONTROL MASTER'!$S$2:$S$495))-(ROW('CONTROL MASTER'!#REF!)-1))),IF(SUMPRODUCT((('CONTROL MASTER'!$S$2:$S$495=5)*('CONTROL MASTER'!$Z$2:$Z$495&lt;=7)*('CONTROL MASTER'!$AB$2:$AB$495&gt;=7)*('CONTROL MASTER'!$AA$2:$AA$495&lt;=1)*('CONTROL MASTER'!$AC$2:$AC$495&gt;=1))*ROW('CONTROL MASTER'!$S$2:$S$495))&gt;0,INDEX('CONTROL MASTER'!$X$2:$X$495,(SUMPRODUCT((('CONTROL MASTER'!$S$2:$S$495=5)*('CONTROL MASTER'!$Z$2:$Z$495&lt;=7)*('CONTROL MASTER'!$AB$2:$AB$495&gt;=7)*('CONTROL MASTER'!$AA$2:$AA$495&lt;=1)*('CONTROL MASTER'!$AC$2:$AC$495&gt;=1))*ROW('CONTROL MASTER'!$S$2:$S$495))-(ROW('CONTROL MASTER'!#REF!)-1)))&amp;TRIM(MID(SUBSTITUTE(SUBSTITUTE(INDEX('CONTROL MASTER'!$N$2:$N$495,(SUMPRODUCT((('CONTROL MASTER'!$S$2:$S$495=5)*('CONTROL MASTER'!$Z$2:$Z$495&lt;=7)*('CONTROL MASTER'!$AB$2:$AB$495&gt;=7)*('CONTROL MASTER'!$AA$2:$AA$495&lt;=1)*('CONTROL MASTER'!$AC$2:$AC$495&gt;=1))*ROW('CONTROL MASTER'!$S$2:$S$495))-(ROW('CONTROL MASTER'!#REF!)-1))),":",","),",",REPT(" ",50)),(((INDEX('CONTROL MASTER'!$Y$2:$Y$495,(SUMPRODUCT((('CONTROL MASTER'!$S$2:$S$495=5)*('CONTROL MASTER'!$Z$2:$Z$495&lt;=7)*('CONTROL MASTER'!$AB$2:$AB$495&gt;=7)*('CONTROL MASTER'!$AA$2:$AA$495&lt;=1)*('CONTROL MASTER'!$AC$2:$AC$495&gt;=1))*ROW('CONTROL MASTER'!$S$2:$S$495))-(ROW('CONTROL MASTER'!#REF!)-1)))+((7-INDEX('CONTROL MASTER'!$Z$2:$Z$495,(SUMPRODUCT((('CONTROL MASTER'!$S$2:$S$495=5)*('CONTROL MASTER'!$Z$2:$Z$495&lt;=7)*('CONTROL MASTER'!$AB$2:$AB$495&gt;=7)*('CONTROL MASTER'!$AA$2:$AA$495&lt;=1)*('CONTROL MASTER'!$AC$2:$AC$495&gt;=1))*ROW('CONTROL MASTER'!$S$2:$S$495))-(ROW('CONTROL MASTER'!#REF!)-1))))*(INDEX('CONTROL MASTER'!$AC$2:$AC$495,(SUMPRODUCT((('CONTROL MASTER'!$S$2:$S$495=5)*('CONTROL MASTER'!$Z$2:$Z$495&lt;=7)*('CONTROL MASTER'!$AB$2:$AB$495&gt;=7)*('CONTROL MASTER'!$AA$2:$AA$495&lt;=1)*('CONTROL MASTER'!$AC$2:$AC$495&gt;=1))*ROW('CONTROL MASTER'!$S$2:$S$495))-(ROW('CONTROL MASTER'!#REF!)-1)))-INDEX('CONTROL MASTER'!$AA$2:$AA$495,(SUMPRODUCT((('CONTROL MASTER'!$S$2:$S$495=5)*('CONTROL MASTER'!$Z$2:$Z$495&lt;=7)*('CONTROL MASTER'!$AB$2:$AB$495&gt;=7)*('CONTROL MASTER'!$AA$2:$AA$495&lt;=1)*('CONTROL MASTER'!$AC$2:$AC$495&gt;=1))*ROW('CONTROL MASTER'!$S$2:$S$495))-(ROW('CONTROL MASTER'!#REF!)-1)))+1)+(1-INDEX('CONTROL MASTER'!$AA$2:$AA$495,(SUMPRODUCT((('CONTROL MASTER'!$S$2:$S$495=5)*('CONTROL MASTER'!$Z$2:$Z$495&lt;=7)*('CONTROL MASTER'!$AB$2:$AB$495&gt;=7)*('CONTROL MASTER'!$AA$2:$AA$495&lt;=1)*('CONTROL MASTER'!$AC$2:$AC$495&gt;=1))*ROW('CONTROL MASTER'!$S$2:$S$495))-(ROW('CONTROL MASTER'!#REF!)-1))))+1)))-1)*50+1,50))&amp;"_"&amp;INDEX('CONTROL MASTER'!$P$2:$P$495,(SUMPRODUCT((('CONTROL MASTER'!$S$2:$S$495=5)*('CONTROL MASTER'!$Z$2:$Z$495&lt;=7)*('CONTROL MASTER'!$AB$2:$AB$495&gt;=7)*('CONTROL MASTER'!$AA$2:$AA$495&lt;=1)*('CONTROL MASTER'!$AC$2:$AC$495&gt;=1))*ROW('CONTROL MASTER'!$S$2:$S$495))-(ROW('CONTROL MASTER'!#REF!)-1))),"")),"")</f>
        <v/>
      </c>
      <c r="C65" s="10" t="str">
        <f>IFERROR(IF(SUMPRODUCT((('CONTROL MASTER'!$S$2:$S$495=5)*('CONTROL MASTER'!$T$2:$T$495&lt;=7)*('CONTROL MASTER'!$V$2:$V$495&gt;=7)*('CONTROL MASTER'!$U$2:$U$495&lt;=2)*('CONTROL MASTER'!$W$2:$W$495&gt;=2))*ROW('CONTROL MASTER'!$S$2:$S$495))&gt;0,INDEX('CONTROL MASTER'!$X$2:$X$495,(SUMPRODUCT((('CONTROL MASTER'!$S$2:$S$495=5)*('CONTROL MASTER'!$T$2:$T$495&lt;=7)*('CONTROL MASTER'!$V$2:$V$495&gt;=7)*('CONTROL MASTER'!$U$2:$U$495&lt;=2)*('CONTROL MASTER'!$W$2:$W$495&gt;=2))*ROW('CONTROL MASTER'!$S$2:$S$495))-(ROW('CONTROL MASTER'!#REF!)-1)))&amp;TRIM(MID(SUBSTITUTE(SUBSTITUTE(INDEX('CONTROL MASTER'!$N$2:$N$495,(SUMPRODUCT((('CONTROL MASTER'!$S$2:$S$495=5)*('CONTROL MASTER'!$T$2:$T$495&lt;=7)*('CONTROL MASTER'!$V$2:$V$495&gt;=7)*('CONTROL MASTER'!$U$2:$U$495&lt;=2)*('CONTROL MASTER'!$W$2:$W$495&gt;=2))*ROW('CONTROL MASTER'!$S$2:$S$495))-(ROW('CONTROL MASTER'!#REF!)-1))),":",","),",",REPT(" ",50)),((((7-INDEX('CONTROL MASTER'!$T$2:$T$495,(SUMPRODUCT((('CONTROL MASTER'!$S$2:$S$495=5)*('CONTROL MASTER'!$T$2:$T$495&lt;=7)*('CONTROL MASTER'!$V$2:$V$495&gt;=7)*('CONTROL MASTER'!$U$2:$U$495&lt;=2)*('CONTROL MASTER'!$W$2:$W$495&gt;=2))*ROW('CONTROL MASTER'!$S$2:$S$495))-(ROW('CONTROL MASTER'!#REF!)-1))))*(INDEX('CONTROL MASTER'!$W$2:$W$495,(SUMPRODUCT((('CONTROL MASTER'!$S$2:$S$495=5)*('CONTROL MASTER'!$T$2:$T$495&lt;=7)*('CONTROL MASTER'!$V$2:$V$495&gt;=7)*('CONTROL MASTER'!$U$2:$U$495&lt;=2)*('CONTROL MASTER'!$W$2:$W$495&gt;=2))*ROW('CONTROL MASTER'!$S$2:$S$495))-(ROW('CONTROL MASTER'!#REF!)-1)))-INDEX('CONTROL MASTER'!$U$2:$U$495,(SUMPRODUCT((('CONTROL MASTER'!$S$2:$S$495=5)*('CONTROL MASTER'!$T$2:$T$495&lt;=7)*('CONTROL MASTER'!$V$2:$V$495&gt;=7)*('CONTROL MASTER'!$U$2:$U$495&lt;=2)*('CONTROL MASTER'!$W$2:$W$495&gt;=2))*ROW('CONTROL MASTER'!$S$2:$S$495))-(ROW('CONTROL MASTER'!#REF!)-1)))+1)+(2-INDEX('CONTROL MASTER'!$U$2:$U$495,(SUMPRODUCT((('CONTROL MASTER'!$S$2:$S$495=5)*('CONTROL MASTER'!$T$2:$T$495&lt;=7)*('CONTROL MASTER'!$V$2:$V$495&gt;=7)*('CONTROL MASTER'!$U$2:$U$495&lt;=2)*('CONTROL MASTER'!$W$2:$W$495&gt;=2))*ROW('CONTROL MASTER'!$S$2:$S$495))-(ROW('CONTROL MASTER'!#REF!)-1))))+1))-1)*50+1,50))&amp;"_"&amp;INDEX('CONTROL MASTER'!$P$2:$P$495,(SUMPRODUCT((('CONTROL MASTER'!$S$2:$S$495=5)*('CONTROL MASTER'!$T$2:$T$495&lt;=7)*('CONTROL MASTER'!$V$2:$V$495&gt;=7)*('CONTROL MASTER'!$U$2:$U$495&lt;=2)*('CONTROL MASTER'!$W$2:$W$495&gt;=2))*ROW('CONTROL MASTER'!$S$2:$S$495))-(ROW('CONTROL MASTER'!#REF!)-1))),IF(SUMPRODUCT((('CONTROL MASTER'!$S$2:$S$495=5)*('CONTROL MASTER'!$Z$2:$Z$495&lt;=7)*('CONTROL MASTER'!$AB$2:$AB$495&gt;=7)*('CONTROL MASTER'!$AA$2:$AA$495&lt;=2)*('CONTROL MASTER'!$AC$2:$AC$495&gt;=2))*ROW('CONTROL MASTER'!$S$2:$S$495))&gt;0,INDEX('CONTROL MASTER'!$X$2:$X$495,(SUMPRODUCT((('CONTROL MASTER'!$S$2:$S$495=5)*('CONTROL MASTER'!$Z$2:$Z$495&lt;=7)*('CONTROL MASTER'!$AB$2:$AB$495&gt;=7)*('CONTROL MASTER'!$AA$2:$AA$495&lt;=2)*('CONTROL MASTER'!$AC$2:$AC$495&gt;=2))*ROW('CONTROL MASTER'!$S$2:$S$495))-(ROW('CONTROL MASTER'!#REF!)-1)))&amp;TRIM(MID(SUBSTITUTE(SUBSTITUTE(INDEX('CONTROL MASTER'!$N$2:$N$495,(SUMPRODUCT((('CONTROL MASTER'!$S$2:$S$495=5)*('CONTROL MASTER'!$Z$2:$Z$495&lt;=7)*('CONTROL MASTER'!$AB$2:$AB$495&gt;=7)*('CONTROL MASTER'!$AA$2:$AA$495&lt;=2)*('CONTROL MASTER'!$AC$2:$AC$495&gt;=2))*ROW('CONTROL MASTER'!$S$2:$S$495))-(ROW('CONTROL MASTER'!#REF!)-1))),":",","),",",REPT(" ",50)),(((INDEX('CONTROL MASTER'!$Y$2:$Y$495,(SUMPRODUCT((('CONTROL MASTER'!$S$2:$S$495=5)*('CONTROL MASTER'!$Z$2:$Z$495&lt;=7)*('CONTROL MASTER'!$AB$2:$AB$495&gt;=7)*('CONTROL MASTER'!$AA$2:$AA$495&lt;=2)*('CONTROL MASTER'!$AC$2:$AC$495&gt;=2))*ROW('CONTROL MASTER'!$S$2:$S$495))-(ROW('CONTROL MASTER'!#REF!)-1)))+((7-INDEX('CONTROL MASTER'!$Z$2:$Z$495,(SUMPRODUCT((('CONTROL MASTER'!$S$2:$S$495=5)*('CONTROL MASTER'!$Z$2:$Z$495&lt;=7)*('CONTROL MASTER'!$AB$2:$AB$495&gt;=7)*('CONTROL MASTER'!$AA$2:$AA$495&lt;=2)*('CONTROL MASTER'!$AC$2:$AC$495&gt;=2))*ROW('CONTROL MASTER'!$S$2:$S$495))-(ROW('CONTROL MASTER'!#REF!)-1))))*(INDEX('CONTROL MASTER'!$AC$2:$AC$495,(SUMPRODUCT((('CONTROL MASTER'!$S$2:$S$495=5)*('CONTROL MASTER'!$Z$2:$Z$495&lt;=7)*('CONTROL MASTER'!$AB$2:$AB$495&gt;=7)*('CONTROL MASTER'!$AA$2:$AA$495&lt;=2)*('CONTROL MASTER'!$AC$2:$AC$495&gt;=2))*ROW('CONTROL MASTER'!$S$2:$S$495))-(ROW('CONTROL MASTER'!#REF!)-1)))-INDEX('CONTROL MASTER'!$AA$2:$AA$495,(SUMPRODUCT((('CONTROL MASTER'!$S$2:$S$495=5)*('CONTROL MASTER'!$Z$2:$Z$495&lt;=7)*('CONTROL MASTER'!$AB$2:$AB$495&gt;=7)*('CONTROL MASTER'!$AA$2:$AA$495&lt;=2)*('CONTROL MASTER'!$AC$2:$AC$495&gt;=2))*ROW('CONTROL MASTER'!$S$2:$S$495))-(ROW('CONTROL MASTER'!#REF!)-1)))+1)+(2-INDEX('CONTROL MASTER'!$AA$2:$AA$495,(SUMPRODUCT((('CONTROL MASTER'!$S$2:$S$495=5)*('CONTROL MASTER'!$Z$2:$Z$495&lt;=7)*('CONTROL MASTER'!$AB$2:$AB$495&gt;=7)*('CONTROL MASTER'!$AA$2:$AA$495&lt;=2)*('CONTROL MASTER'!$AC$2:$AC$495&gt;=2))*ROW('CONTROL MASTER'!$S$2:$S$495))-(ROW('CONTROL MASTER'!#REF!)-1))))+1)))-1)*50+1,50))&amp;"_"&amp;INDEX('CONTROL MASTER'!$P$2:$P$495,(SUMPRODUCT((('CONTROL MASTER'!$S$2:$S$495=5)*('CONTROL MASTER'!$Z$2:$Z$495&lt;=7)*('CONTROL MASTER'!$AB$2:$AB$495&gt;=7)*('CONTROL MASTER'!$AA$2:$AA$495&lt;=2)*('CONTROL MASTER'!$AC$2:$AC$495&gt;=2))*ROW('CONTROL MASTER'!$S$2:$S$495))-(ROW('CONTROL MASTER'!#REF!)-1))),"")),"")</f>
        <v/>
      </c>
      <c r="D65" s="10" t="str">
        <f>IFERROR(IF(SUMPRODUCT((('CONTROL MASTER'!$S$2:$S$495=5)*('CONTROL MASTER'!$T$2:$T$495&lt;=7)*('CONTROL MASTER'!$V$2:$V$495&gt;=7)*('CONTROL MASTER'!$U$2:$U$495&lt;=3)*('CONTROL MASTER'!$W$2:$W$495&gt;=3))*ROW('CONTROL MASTER'!$S$2:$S$495))&gt;0,INDEX('CONTROL MASTER'!$X$2:$X$495,(SUMPRODUCT((('CONTROL MASTER'!$S$2:$S$495=5)*('CONTROL MASTER'!$T$2:$T$495&lt;=7)*('CONTROL MASTER'!$V$2:$V$495&gt;=7)*('CONTROL MASTER'!$U$2:$U$495&lt;=3)*('CONTROL MASTER'!$W$2:$W$495&gt;=3))*ROW('CONTROL MASTER'!$S$2:$S$495))-(ROW('CONTROL MASTER'!#REF!)-1)))&amp;TRIM(MID(SUBSTITUTE(SUBSTITUTE(INDEX('CONTROL MASTER'!$N$2:$N$495,(SUMPRODUCT((('CONTROL MASTER'!$S$2:$S$495=5)*('CONTROL MASTER'!$T$2:$T$495&lt;=7)*('CONTROL MASTER'!$V$2:$V$495&gt;=7)*('CONTROL MASTER'!$U$2:$U$495&lt;=3)*('CONTROL MASTER'!$W$2:$W$495&gt;=3))*ROW('CONTROL MASTER'!$S$2:$S$495))-(ROW('CONTROL MASTER'!#REF!)-1))),":",","),",",REPT(" ",50)),((((7-INDEX('CONTROL MASTER'!$T$2:$T$495,(SUMPRODUCT((('CONTROL MASTER'!$S$2:$S$495=5)*('CONTROL MASTER'!$T$2:$T$495&lt;=7)*('CONTROL MASTER'!$V$2:$V$495&gt;=7)*('CONTROL MASTER'!$U$2:$U$495&lt;=3)*('CONTROL MASTER'!$W$2:$W$495&gt;=3))*ROW('CONTROL MASTER'!$S$2:$S$495))-(ROW('CONTROL MASTER'!#REF!)-1))))*(INDEX('CONTROL MASTER'!$W$2:$W$495,(SUMPRODUCT((('CONTROL MASTER'!$S$2:$S$495=5)*('CONTROL MASTER'!$T$2:$T$495&lt;=7)*('CONTROL MASTER'!$V$2:$V$495&gt;=7)*('CONTROL MASTER'!$U$2:$U$495&lt;=3)*('CONTROL MASTER'!$W$2:$W$495&gt;=3))*ROW('CONTROL MASTER'!$S$2:$S$495))-(ROW('CONTROL MASTER'!#REF!)-1)))-INDEX('CONTROL MASTER'!$U$2:$U$495,(SUMPRODUCT((('CONTROL MASTER'!$S$2:$S$495=5)*('CONTROL MASTER'!$T$2:$T$495&lt;=7)*('CONTROL MASTER'!$V$2:$V$495&gt;=7)*('CONTROL MASTER'!$U$2:$U$495&lt;=3)*('CONTROL MASTER'!$W$2:$W$495&gt;=3))*ROW('CONTROL MASTER'!$S$2:$S$495))-(ROW('CONTROL MASTER'!#REF!)-1)))+1)+(3-INDEX('CONTROL MASTER'!$U$2:$U$495,(SUMPRODUCT((('CONTROL MASTER'!$S$2:$S$495=5)*('CONTROL MASTER'!$T$2:$T$495&lt;=7)*('CONTROL MASTER'!$V$2:$V$495&gt;=7)*('CONTROL MASTER'!$U$2:$U$495&lt;=3)*('CONTROL MASTER'!$W$2:$W$495&gt;=3))*ROW('CONTROL MASTER'!$S$2:$S$495))-(ROW('CONTROL MASTER'!#REF!)-1))))+1))-1)*50+1,50))&amp;"_"&amp;INDEX('CONTROL MASTER'!$P$2:$P$495,(SUMPRODUCT((('CONTROL MASTER'!$S$2:$S$495=5)*('CONTROL MASTER'!$T$2:$T$495&lt;=7)*('CONTROL MASTER'!$V$2:$V$495&gt;=7)*('CONTROL MASTER'!$U$2:$U$495&lt;=3)*('CONTROL MASTER'!$W$2:$W$495&gt;=3))*ROW('CONTROL MASTER'!$S$2:$S$495))-(ROW('CONTROL MASTER'!#REF!)-1))),IF(SUMPRODUCT((('CONTROL MASTER'!$S$2:$S$495=5)*('CONTROL MASTER'!$Z$2:$Z$495&lt;=7)*('CONTROL MASTER'!$AB$2:$AB$495&gt;=7)*('CONTROL MASTER'!$AA$2:$AA$495&lt;=3)*('CONTROL MASTER'!$AC$2:$AC$495&gt;=3))*ROW('CONTROL MASTER'!$S$2:$S$495))&gt;0,INDEX('CONTROL MASTER'!$X$2:$X$495,(SUMPRODUCT((('CONTROL MASTER'!$S$2:$S$495=5)*('CONTROL MASTER'!$Z$2:$Z$495&lt;=7)*('CONTROL MASTER'!$AB$2:$AB$495&gt;=7)*('CONTROL MASTER'!$AA$2:$AA$495&lt;=3)*('CONTROL MASTER'!$AC$2:$AC$495&gt;=3))*ROW('CONTROL MASTER'!$S$2:$S$495))-(ROW('CONTROL MASTER'!#REF!)-1)))&amp;TRIM(MID(SUBSTITUTE(SUBSTITUTE(INDEX('CONTROL MASTER'!$N$2:$N$495,(SUMPRODUCT((('CONTROL MASTER'!$S$2:$S$495=5)*('CONTROL MASTER'!$Z$2:$Z$495&lt;=7)*('CONTROL MASTER'!$AB$2:$AB$495&gt;=7)*('CONTROL MASTER'!$AA$2:$AA$495&lt;=3)*('CONTROL MASTER'!$AC$2:$AC$495&gt;=3))*ROW('CONTROL MASTER'!$S$2:$S$495))-(ROW('CONTROL MASTER'!#REF!)-1))),":",","),",",REPT(" ",50)),(((INDEX('CONTROL MASTER'!$Y$2:$Y$495,(SUMPRODUCT((('CONTROL MASTER'!$S$2:$S$495=5)*('CONTROL MASTER'!$Z$2:$Z$495&lt;=7)*('CONTROL MASTER'!$AB$2:$AB$495&gt;=7)*('CONTROL MASTER'!$AA$2:$AA$495&lt;=3)*('CONTROL MASTER'!$AC$2:$AC$495&gt;=3))*ROW('CONTROL MASTER'!$S$2:$S$495))-(ROW('CONTROL MASTER'!#REF!)-1)))+((7-INDEX('CONTROL MASTER'!$Z$2:$Z$495,(SUMPRODUCT((('CONTROL MASTER'!$S$2:$S$495=5)*('CONTROL MASTER'!$Z$2:$Z$495&lt;=7)*('CONTROL MASTER'!$AB$2:$AB$495&gt;=7)*('CONTROL MASTER'!$AA$2:$AA$495&lt;=3)*('CONTROL MASTER'!$AC$2:$AC$495&gt;=3))*ROW('CONTROL MASTER'!$S$2:$S$495))-(ROW('CONTROL MASTER'!#REF!)-1))))*(INDEX('CONTROL MASTER'!$AC$2:$AC$495,(SUMPRODUCT((('CONTROL MASTER'!$S$2:$S$495=5)*('CONTROL MASTER'!$Z$2:$Z$495&lt;=7)*('CONTROL MASTER'!$AB$2:$AB$495&gt;=7)*('CONTROL MASTER'!$AA$2:$AA$495&lt;=3)*('CONTROL MASTER'!$AC$2:$AC$495&gt;=3))*ROW('CONTROL MASTER'!$S$2:$S$495))-(ROW('CONTROL MASTER'!#REF!)-1)))-INDEX('CONTROL MASTER'!$AA$2:$AA$495,(SUMPRODUCT((('CONTROL MASTER'!$S$2:$S$495=5)*('CONTROL MASTER'!$Z$2:$Z$495&lt;=7)*('CONTROL MASTER'!$AB$2:$AB$495&gt;=7)*('CONTROL MASTER'!$AA$2:$AA$495&lt;=3)*('CONTROL MASTER'!$AC$2:$AC$495&gt;=3))*ROW('CONTROL MASTER'!$S$2:$S$495))-(ROW('CONTROL MASTER'!#REF!)-1)))+1)+(3-INDEX('CONTROL MASTER'!$AA$2:$AA$495,(SUMPRODUCT((('CONTROL MASTER'!$S$2:$S$495=5)*('CONTROL MASTER'!$Z$2:$Z$495&lt;=7)*('CONTROL MASTER'!$AB$2:$AB$495&gt;=7)*('CONTROL MASTER'!$AA$2:$AA$495&lt;=3)*('CONTROL MASTER'!$AC$2:$AC$495&gt;=3))*ROW('CONTROL MASTER'!$S$2:$S$495))-(ROW('CONTROL MASTER'!#REF!)-1))))+1)))-1)*50+1,50))&amp;"_"&amp;INDEX('CONTROL MASTER'!$P$2:$P$495,(SUMPRODUCT((('CONTROL MASTER'!$S$2:$S$495=5)*('CONTROL MASTER'!$Z$2:$Z$495&lt;=7)*('CONTROL MASTER'!$AB$2:$AB$495&gt;=7)*('CONTROL MASTER'!$AA$2:$AA$495&lt;=3)*('CONTROL MASTER'!$AC$2:$AC$495&gt;=3))*ROW('CONTROL MASTER'!$S$2:$S$495))-(ROW('CONTROL MASTER'!#REF!)-1))),"")),"")</f>
        <v/>
      </c>
      <c r="E65" s="10" t="str">
        <f>IFERROR(IF(SUMPRODUCT((('CONTROL MASTER'!$S$2:$S$495=5)*('CONTROL MASTER'!$T$2:$T$495&lt;=7)*('CONTROL MASTER'!$V$2:$V$495&gt;=7)*('CONTROL MASTER'!$U$2:$U$495&lt;=4)*('CONTROL MASTER'!$W$2:$W$495&gt;=4))*ROW('CONTROL MASTER'!$S$2:$S$495))&gt;0,INDEX('CONTROL MASTER'!$X$2:$X$495,(SUMPRODUCT((('CONTROL MASTER'!$S$2:$S$495=5)*('CONTROL MASTER'!$T$2:$T$495&lt;=7)*('CONTROL MASTER'!$V$2:$V$495&gt;=7)*('CONTROL MASTER'!$U$2:$U$495&lt;=4)*('CONTROL MASTER'!$W$2:$W$495&gt;=4))*ROW('CONTROL MASTER'!$S$2:$S$495))-(ROW('CONTROL MASTER'!#REF!)-1)))&amp;TRIM(MID(SUBSTITUTE(SUBSTITUTE(INDEX('CONTROL MASTER'!$N$2:$N$495,(SUMPRODUCT((('CONTROL MASTER'!$S$2:$S$495=5)*('CONTROL MASTER'!$T$2:$T$495&lt;=7)*('CONTROL MASTER'!$V$2:$V$495&gt;=7)*('CONTROL MASTER'!$U$2:$U$495&lt;=4)*('CONTROL MASTER'!$W$2:$W$495&gt;=4))*ROW('CONTROL MASTER'!$S$2:$S$495))-(ROW('CONTROL MASTER'!#REF!)-1))),":",","),",",REPT(" ",50)),((((7-INDEX('CONTROL MASTER'!$T$2:$T$495,(SUMPRODUCT((('CONTROL MASTER'!$S$2:$S$495=5)*('CONTROL MASTER'!$T$2:$T$495&lt;=7)*('CONTROL MASTER'!$V$2:$V$495&gt;=7)*('CONTROL MASTER'!$U$2:$U$495&lt;=4)*('CONTROL MASTER'!$W$2:$W$495&gt;=4))*ROW('CONTROL MASTER'!$S$2:$S$495))-(ROW('CONTROL MASTER'!#REF!)-1))))*(INDEX('CONTROL MASTER'!$W$2:$W$495,(SUMPRODUCT((('CONTROL MASTER'!$S$2:$S$495=5)*('CONTROL MASTER'!$T$2:$T$495&lt;=7)*('CONTROL MASTER'!$V$2:$V$495&gt;=7)*('CONTROL MASTER'!$U$2:$U$495&lt;=4)*('CONTROL MASTER'!$W$2:$W$495&gt;=4))*ROW('CONTROL MASTER'!$S$2:$S$495))-(ROW('CONTROL MASTER'!#REF!)-1)))-INDEX('CONTROL MASTER'!$U$2:$U$495,(SUMPRODUCT((('CONTROL MASTER'!$S$2:$S$495=5)*('CONTROL MASTER'!$T$2:$T$495&lt;=7)*('CONTROL MASTER'!$V$2:$V$495&gt;=7)*('CONTROL MASTER'!$U$2:$U$495&lt;=4)*('CONTROL MASTER'!$W$2:$W$495&gt;=4))*ROW('CONTROL MASTER'!$S$2:$S$495))-(ROW('CONTROL MASTER'!#REF!)-1)))+1)+(4-INDEX('CONTROL MASTER'!$U$2:$U$495,(SUMPRODUCT((('CONTROL MASTER'!$S$2:$S$495=5)*('CONTROL MASTER'!$T$2:$T$495&lt;=7)*('CONTROL MASTER'!$V$2:$V$495&gt;=7)*('CONTROL MASTER'!$U$2:$U$495&lt;=4)*('CONTROL MASTER'!$W$2:$W$495&gt;=4))*ROW('CONTROL MASTER'!$S$2:$S$495))-(ROW('CONTROL MASTER'!#REF!)-1))))+1))-1)*50+1,50))&amp;"_"&amp;INDEX('CONTROL MASTER'!$P$2:$P$495,(SUMPRODUCT((('CONTROL MASTER'!$S$2:$S$495=5)*('CONTROL MASTER'!$T$2:$T$495&lt;=7)*('CONTROL MASTER'!$V$2:$V$495&gt;=7)*('CONTROL MASTER'!$U$2:$U$495&lt;=4)*('CONTROL MASTER'!$W$2:$W$495&gt;=4))*ROW('CONTROL MASTER'!$S$2:$S$495))-(ROW('CONTROL MASTER'!#REF!)-1))),IF(SUMPRODUCT((('CONTROL MASTER'!$S$2:$S$495=5)*('CONTROL MASTER'!$Z$2:$Z$495&lt;=7)*('CONTROL MASTER'!$AB$2:$AB$495&gt;=7)*('CONTROL MASTER'!$AA$2:$AA$495&lt;=4)*('CONTROL MASTER'!$AC$2:$AC$495&gt;=4))*ROW('CONTROL MASTER'!$S$2:$S$495))&gt;0,INDEX('CONTROL MASTER'!$X$2:$X$495,(SUMPRODUCT((('CONTROL MASTER'!$S$2:$S$495=5)*('CONTROL MASTER'!$Z$2:$Z$495&lt;=7)*('CONTROL MASTER'!$AB$2:$AB$495&gt;=7)*('CONTROL MASTER'!$AA$2:$AA$495&lt;=4)*('CONTROL MASTER'!$AC$2:$AC$495&gt;=4))*ROW('CONTROL MASTER'!$S$2:$S$495))-(ROW('CONTROL MASTER'!#REF!)-1)))&amp;TRIM(MID(SUBSTITUTE(SUBSTITUTE(INDEX('CONTROL MASTER'!$N$2:$N$495,(SUMPRODUCT((('CONTROL MASTER'!$S$2:$S$495=5)*('CONTROL MASTER'!$Z$2:$Z$495&lt;=7)*('CONTROL MASTER'!$AB$2:$AB$495&gt;=7)*('CONTROL MASTER'!$AA$2:$AA$495&lt;=4)*('CONTROL MASTER'!$AC$2:$AC$495&gt;=4))*ROW('CONTROL MASTER'!$S$2:$S$495))-(ROW('CONTROL MASTER'!#REF!)-1))),":",","),",",REPT(" ",50)),(((INDEX('CONTROL MASTER'!$Y$2:$Y$495,(SUMPRODUCT((('CONTROL MASTER'!$S$2:$S$495=5)*('CONTROL MASTER'!$Z$2:$Z$495&lt;=7)*('CONTROL MASTER'!$AB$2:$AB$495&gt;=7)*('CONTROL MASTER'!$AA$2:$AA$495&lt;=4)*('CONTROL MASTER'!$AC$2:$AC$495&gt;=4))*ROW('CONTROL MASTER'!$S$2:$S$495))-(ROW('CONTROL MASTER'!#REF!)-1)))+((7-INDEX('CONTROL MASTER'!$Z$2:$Z$495,(SUMPRODUCT((('CONTROL MASTER'!$S$2:$S$495=5)*('CONTROL MASTER'!$Z$2:$Z$495&lt;=7)*('CONTROL MASTER'!$AB$2:$AB$495&gt;=7)*('CONTROL MASTER'!$AA$2:$AA$495&lt;=4)*('CONTROL MASTER'!$AC$2:$AC$495&gt;=4))*ROW('CONTROL MASTER'!$S$2:$S$495))-(ROW('CONTROL MASTER'!#REF!)-1))))*(INDEX('CONTROL MASTER'!$AC$2:$AC$495,(SUMPRODUCT((('CONTROL MASTER'!$S$2:$S$495=5)*('CONTROL MASTER'!$Z$2:$Z$495&lt;=7)*('CONTROL MASTER'!$AB$2:$AB$495&gt;=7)*('CONTROL MASTER'!$AA$2:$AA$495&lt;=4)*('CONTROL MASTER'!$AC$2:$AC$495&gt;=4))*ROW('CONTROL MASTER'!$S$2:$S$495))-(ROW('CONTROL MASTER'!#REF!)-1)))-INDEX('CONTROL MASTER'!$AA$2:$AA$495,(SUMPRODUCT((('CONTROL MASTER'!$S$2:$S$495=5)*('CONTROL MASTER'!$Z$2:$Z$495&lt;=7)*('CONTROL MASTER'!$AB$2:$AB$495&gt;=7)*('CONTROL MASTER'!$AA$2:$AA$495&lt;=4)*('CONTROL MASTER'!$AC$2:$AC$495&gt;=4))*ROW('CONTROL MASTER'!$S$2:$S$495))-(ROW('CONTROL MASTER'!#REF!)-1)))+1)+(4-INDEX('CONTROL MASTER'!$AA$2:$AA$495,(SUMPRODUCT((('CONTROL MASTER'!$S$2:$S$495=5)*('CONTROL MASTER'!$Z$2:$Z$495&lt;=7)*('CONTROL MASTER'!$AB$2:$AB$495&gt;=7)*('CONTROL MASTER'!$AA$2:$AA$495&lt;=4)*('CONTROL MASTER'!$AC$2:$AC$495&gt;=4))*ROW('CONTROL MASTER'!$S$2:$S$495))-(ROW('CONTROL MASTER'!#REF!)-1))))+1)))-1)*50+1,50))&amp;"_"&amp;INDEX('CONTROL MASTER'!$P$2:$P$495,(SUMPRODUCT((('CONTROL MASTER'!$S$2:$S$495=5)*('CONTROL MASTER'!$Z$2:$Z$495&lt;=7)*('CONTROL MASTER'!$AB$2:$AB$495&gt;=7)*('CONTROL MASTER'!$AA$2:$AA$495&lt;=4)*('CONTROL MASTER'!$AC$2:$AC$495&gt;=4))*ROW('CONTROL MASTER'!$S$2:$S$495))-(ROW('CONTROL MASTER'!#REF!)-1))),"")),"")</f>
        <v/>
      </c>
      <c r="F65" s="10" t="str">
        <f>IFERROR(IF(SUMPRODUCT((('CONTROL MASTER'!$S$2:$S$495=5)*('CONTROL MASTER'!$T$2:$T$495&lt;=7)*('CONTROL MASTER'!$V$2:$V$495&gt;=7)*('CONTROL MASTER'!$U$2:$U$495&lt;=5)*('CONTROL MASTER'!$W$2:$W$495&gt;=5))*ROW('CONTROL MASTER'!$S$2:$S$495))&gt;0,INDEX('CONTROL MASTER'!$X$2:$X$495,(SUMPRODUCT((('CONTROL MASTER'!$S$2:$S$495=5)*('CONTROL MASTER'!$T$2:$T$495&lt;=7)*('CONTROL MASTER'!$V$2:$V$495&gt;=7)*('CONTROL MASTER'!$U$2:$U$495&lt;=5)*('CONTROL MASTER'!$W$2:$W$495&gt;=5))*ROW('CONTROL MASTER'!$S$2:$S$495))-(ROW('CONTROL MASTER'!#REF!)-1)))&amp;TRIM(MID(SUBSTITUTE(SUBSTITUTE(INDEX('CONTROL MASTER'!$N$2:$N$495,(SUMPRODUCT((('CONTROL MASTER'!$S$2:$S$495=5)*('CONTROL MASTER'!$T$2:$T$495&lt;=7)*('CONTROL MASTER'!$V$2:$V$495&gt;=7)*('CONTROL MASTER'!$U$2:$U$495&lt;=5)*('CONTROL MASTER'!$W$2:$W$495&gt;=5))*ROW('CONTROL MASTER'!$S$2:$S$495))-(ROW('CONTROL MASTER'!#REF!)-1))),":",","),",",REPT(" ",50)),((((7-INDEX('CONTROL MASTER'!$T$2:$T$495,(SUMPRODUCT((('CONTROL MASTER'!$S$2:$S$495=5)*('CONTROL MASTER'!$T$2:$T$495&lt;=7)*('CONTROL MASTER'!$V$2:$V$495&gt;=7)*('CONTROL MASTER'!$U$2:$U$495&lt;=5)*('CONTROL MASTER'!$W$2:$W$495&gt;=5))*ROW('CONTROL MASTER'!$S$2:$S$495))-(ROW('CONTROL MASTER'!#REF!)-1))))*(INDEX('CONTROL MASTER'!$W$2:$W$495,(SUMPRODUCT((('CONTROL MASTER'!$S$2:$S$495=5)*('CONTROL MASTER'!$T$2:$T$495&lt;=7)*('CONTROL MASTER'!$V$2:$V$495&gt;=7)*('CONTROL MASTER'!$U$2:$U$495&lt;=5)*('CONTROL MASTER'!$W$2:$W$495&gt;=5))*ROW('CONTROL MASTER'!$S$2:$S$495))-(ROW('CONTROL MASTER'!#REF!)-1)))-INDEX('CONTROL MASTER'!$U$2:$U$495,(SUMPRODUCT((('CONTROL MASTER'!$S$2:$S$495=5)*('CONTROL MASTER'!$T$2:$T$495&lt;=7)*('CONTROL MASTER'!$V$2:$V$495&gt;=7)*('CONTROL MASTER'!$U$2:$U$495&lt;=5)*('CONTROL MASTER'!$W$2:$W$495&gt;=5))*ROW('CONTROL MASTER'!$S$2:$S$495))-(ROW('CONTROL MASTER'!#REF!)-1)))+1)+(5-INDEX('CONTROL MASTER'!$U$2:$U$495,(SUMPRODUCT((('CONTROL MASTER'!$S$2:$S$495=5)*('CONTROL MASTER'!$T$2:$T$495&lt;=7)*('CONTROL MASTER'!$V$2:$V$495&gt;=7)*('CONTROL MASTER'!$U$2:$U$495&lt;=5)*('CONTROL MASTER'!$W$2:$W$495&gt;=5))*ROW('CONTROL MASTER'!$S$2:$S$495))-(ROW('CONTROL MASTER'!#REF!)-1))))+1))-1)*50+1,50))&amp;"_"&amp;INDEX('CONTROL MASTER'!$P$2:$P$495,(SUMPRODUCT((('CONTROL MASTER'!$S$2:$S$495=5)*('CONTROL MASTER'!$T$2:$T$495&lt;=7)*('CONTROL MASTER'!$V$2:$V$495&gt;=7)*('CONTROL MASTER'!$U$2:$U$495&lt;=5)*('CONTROL MASTER'!$W$2:$W$495&gt;=5))*ROW('CONTROL MASTER'!$S$2:$S$495))-(ROW('CONTROL MASTER'!#REF!)-1))),IF(SUMPRODUCT((('CONTROL MASTER'!$S$2:$S$495=5)*('CONTROL MASTER'!$Z$2:$Z$495&lt;=7)*('CONTROL MASTER'!$AB$2:$AB$495&gt;=7)*('CONTROL MASTER'!$AA$2:$AA$495&lt;=5)*('CONTROL MASTER'!$AC$2:$AC$495&gt;=5))*ROW('CONTROL MASTER'!$S$2:$S$495))&gt;0,INDEX('CONTROL MASTER'!$X$2:$X$495,(SUMPRODUCT((('CONTROL MASTER'!$S$2:$S$495=5)*('CONTROL MASTER'!$Z$2:$Z$495&lt;=7)*('CONTROL MASTER'!$AB$2:$AB$495&gt;=7)*('CONTROL MASTER'!$AA$2:$AA$495&lt;=5)*('CONTROL MASTER'!$AC$2:$AC$495&gt;=5))*ROW('CONTROL MASTER'!$S$2:$S$495))-(ROW('CONTROL MASTER'!#REF!)-1)))&amp;TRIM(MID(SUBSTITUTE(SUBSTITUTE(INDEX('CONTROL MASTER'!$N$2:$N$495,(SUMPRODUCT((('CONTROL MASTER'!$S$2:$S$495=5)*('CONTROL MASTER'!$Z$2:$Z$495&lt;=7)*('CONTROL MASTER'!$AB$2:$AB$495&gt;=7)*('CONTROL MASTER'!$AA$2:$AA$495&lt;=5)*('CONTROL MASTER'!$AC$2:$AC$495&gt;=5))*ROW('CONTROL MASTER'!$S$2:$S$495))-(ROW('CONTROL MASTER'!#REF!)-1))),":",","),",",REPT(" ",50)),(((INDEX('CONTROL MASTER'!$Y$2:$Y$495,(SUMPRODUCT((('CONTROL MASTER'!$S$2:$S$495=5)*('CONTROL MASTER'!$Z$2:$Z$495&lt;=7)*('CONTROL MASTER'!$AB$2:$AB$495&gt;=7)*('CONTROL MASTER'!$AA$2:$AA$495&lt;=5)*('CONTROL MASTER'!$AC$2:$AC$495&gt;=5))*ROW('CONTROL MASTER'!$S$2:$S$495))-(ROW('CONTROL MASTER'!#REF!)-1)))+((7-INDEX('CONTROL MASTER'!$Z$2:$Z$495,(SUMPRODUCT((('CONTROL MASTER'!$S$2:$S$495=5)*('CONTROL MASTER'!$Z$2:$Z$495&lt;=7)*('CONTROL MASTER'!$AB$2:$AB$495&gt;=7)*('CONTROL MASTER'!$AA$2:$AA$495&lt;=5)*('CONTROL MASTER'!$AC$2:$AC$495&gt;=5))*ROW('CONTROL MASTER'!$S$2:$S$495))-(ROW('CONTROL MASTER'!#REF!)-1))))*(INDEX('CONTROL MASTER'!$AC$2:$AC$495,(SUMPRODUCT((('CONTROL MASTER'!$S$2:$S$495=5)*('CONTROL MASTER'!$Z$2:$Z$495&lt;=7)*('CONTROL MASTER'!$AB$2:$AB$495&gt;=7)*('CONTROL MASTER'!$AA$2:$AA$495&lt;=5)*('CONTROL MASTER'!$AC$2:$AC$495&gt;=5))*ROW('CONTROL MASTER'!$S$2:$S$495))-(ROW('CONTROL MASTER'!#REF!)-1)))-INDEX('CONTROL MASTER'!$AA$2:$AA$495,(SUMPRODUCT((('CONTROL MASTER'!$S$2:$S$495=5)*('CONTROL MASTER'!$Z$2:$Z$495&lt;=7)*('CONTROL MASTER'!$AB$2:$AB$495&gt;=7)*('CONTROL MASTER'!$AA$2:$AA$495&lt;=5)*('CONTROL MASTER'!$AC$2:$AC$495&gt;=5))*ROW('CONTROL MASTER'!$S$2:$S$495))-(ROW('CONTROL MASTER'!#REF!)-1)))+1)+(5-INDEX('CONTROL MASTER'!$AA$2:$AA$495,(SUMPRODUCT((('CONTROL MASTER'!$S$2:$S$495=5)*('CONTROL MASTER'!$Z$2:$Z$495&lt;=7)*('CONTROL MASTER'!$AB$2:$AB$495&gt;=7)*('CONTROL MASTER'!$AA$2:$AA$495&lt;=5)*('CONTROL MASTER'!$AC$2:$AC$495&gt;=5))*ROW('CONTROL MASTER'!$S$2:$S$495))-(ROW('CONTROL MASTER'!#REF!)-1))))+1)))-1)*50+1,50))&amp;"_"&amp;INDEX('CONTROL MASTER'!$P$2:$P$495,(SUMPRODUCT((('CONTROL MASTER'!$S$2:$S$495=5)*('CONTROL MASTER'!$Z$2:$Z$495&lt;=7)*('CONTROL MASTER'!$AB$2:$AB$495&gt;=7)*('CONTROL MASTER'!$AA$2:$AA$495&lt;=5)*('CONTROL MASTER'!$AC$2:$AC$495&gt;=5))*ROW('CONTROL MASTER'!$S$2:$S$495))-(ROW('CONTROL MASTER'!#REF!)-1))),"")),"")</f>
        <v/>
      </c>
      <c r="G65" s="10" t="str">
        <f>IFERROR(IF(SUMPRODUCT((('CONTROL MASTER'!$S$2:$S$495=5)*('CONTROL MASTER'!$T$2:$T$495&lt;=7)*('CONTROL MASTER'!$V$2:$V$495&gt;=7)*('CONTROL MASTER'!$U$2:$U$495&lt;=6)*('CONTROL MASTER'!$W$2:$W$495&gt;=6))*ROW('CONTROL MASTER'!$S$2:$S$495))&gt;0,INDEX('CONTROL MASTER'!$X$2:$X$495,(SUMPRODUCT((('CONTROL MASTER'!$S$2:$S$495=5)*('CONTROL MASTER'!$T$2:$T$495&lt;=7)*('CONTROL MASTER'!$V$2:$V$495&gt;=7)*('CONTROL MASTER'!$U$2:$U$495&lt;=6)*('CONTROL MASTER'!$W$2:$W$495&gt;=6))*ROW('CONTROL MASTER'!$S$2:$S$495))-(ROW('CONTROL MASTER'!#REF!)-1)))&amp;TRIM(MID(SUBSTITUTE(SUBSTITUTE(INDEX('CONTROL MASTER'!$N$2:$N$495,(SUMPRODUCT((('CONTROL MASTER'!$S$2:$S$495=5)*('CONTROL MASTER'!$T$2:$T$495&lt;=7)*('CONTROL MASTER'!$V$2:$V$495&gt;=7)*('CONTROL MASTER'!$U$2:$U$495&lt;=6)*('CONTROL MASTER'!$W$2:$W$495&gt;=6))*ROW('CONTROL MASTER'!$S$2:$S$495))-(ROW('CONTROL MASTER'!#REF!)-1))),":",","),",",REPT(" ",50)),((((7-INDEX('CONTROL MASTER'!$T$2:$T$495,(SUMPRODUCT((('CONTROL MASTER'!$S$2:$S$495=5)*('CONTROL MASTER'!$T$2:$T$495&lt;=7)*('CONTROL MASTER'!$V$2:$V$495&gt;=7)*('CONTROL MASTER'!$U$2:$U$495&lt;=6)*('CONTROL MASTER'!$W$2:$W$495&gt;=6))*ROW('CONTROL MASTER'!$S$2:$S$495))-(ROW('CONTROL MASTER'!#REF!)-1))))*(INDEX('CONTROL MASTER'!$W$2:$W$495,(SUMPRODUCT((('CONTROL MASTER'!$S$2:$S$495=5)*('CONTROL MASTER'!$T$2:$T$495&lt;=7)*('CONTROL MASTER'!$V$2:$V$495&gt;=7)*('CONTROL MASTER'!$U$2:$U$495&lt;=6)*('CONTROL MASTER'!$W$2:$W$495&gt;=6))*ROW('CONTROL MASTER'!$S$2:$S$495))-(ROW('CONTROL MASTER'!#REF!)-1)))-INDEX('CONTROL MASTER'!$U$2:$U$495,(SUMPRODUCT((('CONTROL MASTER'!$S$2:$S$495=5)*('CONTROL MASTER'!$T$2:$T$495&lt;=7)*('CONTROL MASTER'!$V$2:$V$495&gt;=7)*('CONTROL MASTER'!$U$2:$U$495&lt;=6)*('CONTROL MASTER'!$W$2:$W$495&gt;=6))*ROW('CONTROL MASTER'!$S$2:$S$495))-(ROW('CONTROL MASTER'!#REF!)-1)))+1)+(6-INDEX('CONTROL MASTER'!$U$2:$U$495,(SUMPRODUCT((('CONTROL MASTER'!$S$2:$S$495=5)*('CONTROL MASTER'!$T$2:$T$495&lt;=7)*('CONTROL MASTER'!$V$2:$V$495&gt;=7)*('CONTROL MASTER'!$U$2:$U$495&lt;=6)*('CONTROL MASTER'!$W$2:$W$495&gt;=6))*ROW('CONTROL MASTER'!$S$2:$S$495))-(ROW('CONTROL MASTER'!#REF!)-1))))+1))-1)*50+1,50))&amp;"_"&amp;INDEX('CONTROL MASTER'!$P$2:$P$495,(SUMPRODUCT((('CONTROL MASTER'!$S$2:$S$495=5)*('CONTROL MASTER'!$T$2:$T$495&lt;=7)*('CONTROL MASTER'!$V$2:$V$495&gt;=7)*('CONTROL MASTER'!$U$2:$U$495&lt;=6)*('CONTROL MASTER'!$W$2:$W$495&gt;=6))*ROW('CONTROL MASTER'!$S$2:$S$495))-(ROW('CONTROL MASTER'!#REF!)-1))),IF(SUMPRODUCT((('CONTROL MASTER'!$S$2:$S$495=5)*('CONTROL MASTER'!$Z$2:$Z$495&lt;=7)*('CONTROL MASTER'!$AB$2:$AB$495&gt;=7)*('CONTROL MASTER'!$AA$2:$AA$495&lt;=6)*('CONTROL MASTER'!$AC$2:$AC$495&gt;=6))*ROW('CONTROL MASTER'!$S$2:$S$495))&gt;0,INDEX('CONTROL MASTER'!$X$2:$X$495,(SUMPRODUCT((('CONTROL MASTER'!$S$2:$S$495=5)*('CONTROL MASTER'!$Z$2:$Z$495&lt;=7)*('CONTROL MASTER'!$AB$2:$AB$495&gt;=7)*('CONTROL MASTER'!$AA$2:$AA$495&lt;=6)*('CONTROL MASTER'!$AC$2:$AC$495&gt;=6))*ROW('CONTROL MASTER'!$S$2:$S$495))-(ROW('CONTROL MASTER'!#REF!)-1)))&amp;TRIM(MID(SUBSTITUTE(SUBSTITUTE(INDEX('CONTROL MASTER'!$N$2:$N$495,(SUMPRODUCT((('CONTROL MASTER'!$S$2:$S$495=5)*('CONTROL MASTER'!$Z$2:$Z$495&lt;=7)*('CONTROL MASTER'!$AB$2:$AB$495&gt;=7)*('CONTROL MASTER'!$AA$2:$AA$495&lt;=6)*('CONTROL MASTER'!$AC$2:$AC$495&gt;=6))*ROW('CONTROL MASTER'!$S$2:$S$495))-(ROW('CONTROL MASTER'!#REF!)-1))),":",","),",",REPT(" ",50)),(((INDEX('CONTROL MASTER'!$Y$2:$Y$495,(SUMPRODUCT((('CONTROL MASTER'!$S$2:$S$495=5)*('CONTROL MASTER'!$Z$2:$Z$495&lt;=7)*('CONTROL MASTER'!$AB$2:$AB$495&gt;=7)*('CONTROL MASTER'!$AA$2:$AA$495&lt;=6)*('CONTROL MASTER'!$AC$2:$AC$495&gt;=6))*ROW('CONTROL MASTER'!$S$2:$S$495))-(ROW('CONTROL MASTER'!#REF!)-1)))+((7-INDEX('CONTROL MASTER'!$Z$2:$Z$495,(SUMPRODUCT((('CONTROL MASTER'!$S$2:$S$495=5)*('CONTROL MASTER'!$Z$2:$Z$495&lt;=7)*('CONTROL MASTER'!$AB$2:$AB$495&gt;=7)*('CONTROL MASTER'!$AA$2:$AA$495&lt;=6)*('CONTROL MASTER'!$AC$2:$AC$495&gt;=6))*ROW('CONTROL MASTER'!$S$2:$S$495))-(ROW('CONTROL MASTER'!#REF!)-1))))*(INDEX('CONTROL MASTER'!$AC$2:$AC$495,(SUMPRODUCT((('CONTROL MASTER'!$S$2:$S$495=5)*('CONTROL MASTER'!$Z$2:$Z$495&lt;=7)*('CONTROL MASTER'!$AB$2:$AB$495&gt;=7)*('CONTROL MASTER'!$AA$2:$AA$495&lt;=6)*('CONTROL MASTER'!$AC$2:$AC$495&gt;=6))*ROW('CONTROL MASTER'!$S$2:$S$495))-(ROW('CONTROL MASTER'!#REF!)-1)))-INDEX('CONTROL MASTER'!$AA$2:$AA$495,(SUMPRODUCT((('CONTROL MASTER'!$S$2:$S$495=5)*('CONTROL MASTER'!$Z$2:$Z$495&lt;=7)*('CONTROL MASTER'!$AB$2:$AB$495&gt;=7)*('CONTROL MASTER'!$AA$2:$AA$495&lt;=6)*('CONTROL MASTER'!$AC$2:$AC$495&gt;=6))*ROW('CONTROL MASTER'!$S$2:$S$495))-(ROW('CONTROL MASTER'!#REF!)-1)))+1)+(6-INDEX('CONTROL MASTER'!$AA$2:$AA$495,(SUMPRODUCT((('CONTROL MASTER'!$S$2:$S$495=5)*('CONTROL MASTER'!$Z$2:$Z$495&lt;=7)*('CONTROL MASTER'!$AB$2:$AB$495&gt;=7)*('CONTROL MASTER'!$AA$2:$AA$495&lt;=6)*('CONTROL MASTER'!$AC$2:$AC$495&gt;=6))*ROW('CONTROL MASTER'!$S$2:$S$495))-(ROW('CONTROL MASTER'!#REF!)-1))))+1)))-1)*50+1,50))&amp;"_"&amp;INDEX('CONTROL MASTER'!$P$2:$P$495,(SUMPRODUCT((('CONTROL MASTER'!$S$2:$S$495=5)*('CONTROL MASTER'!$Z$2:$Z$495&lt;=7)*('CONTROL MASTER'!$AB$2:$AB$495&gt;=7)*('CONTROL MASTER'!$AA$2:$AA$495&lt;=6)*('CONTROL MASTER'!$AC$2:$AC$495&gt;=6))*ROW('CONTROL MASTER'!$S$2:$S$495))-(ROW('CONTROL MASTER'!#REF!)-1))),"")),"")</f>
        <v/>
      </c>
      <c r="H65" s="10" t="str">
        <f>IFERROR(IF(SUMPRODUCT((('CONTROL MASTER'!$S$2:$S$495=5)*('CONTROL MASTER'!$T$2:$T$495&lt;=7)*('CONTROL MASTER'!$V$2:$V$495&gt;=7)*('CONTROL MASTER'!$U$2:$U$495&lt;=7)*('CONTROL MASTER'!$W$2:$W$495&gt;=7))*ROW('CONTROL MASTER'!$S$2:$S$495))&gt;0,INDEX('CONTROL MASTER'!$X$2:$X$495,(SUMPRODUCT((('CONTROL MASTER'!$S$2:$S$495=5)*('CONTROL MASTER'!$T$2:$T$495&lt;=7)*('CONTROL MASTER'!$V$2:$V$495&gt;=7)*('CONTROL MASTER'!$U$2:$U$495&lt;=7)*('CONTROL MASTER'!$W$2:$W$495&gt;=7))*ROW('CONTROL MASTER'!$S$2:$S$495))-(ROW('CONTROL MASTER'!#REF!)-1)))&amp;TRIM(MID(SUBSTITUTE(SUBSTITUTE(INDEX('CONTROL MASTER'!$N$2:$N$495,(SUMPRODUCT((('CONTROL MASTER'!$S$2:$S$495=5)*('CONTROL MASTER'!$T$2:$T$495&lt;=7)*('CONTROL MASTER'!$V$2:$V$495&gt;=7)*('CONTROL MASTER'!$U$2:$U$495&lt;=7)*('CONTROL MASTER'!$W$2:$W$495&gt;=7))*ROW('CONTROL MASTER'!$S$2:$S$495))-(ROW('CONTROL MASTER'!#REF!)-1))),":",","),",",REPT(" ",50)),((((7-INDEX('CONTROL MASTER'!$T$2:$T$495,(SUMPRODUCT((('CONTROL MASTER'!$S$2:$S$495=5)*('CONTROL MASTER'!$T$2:$T$495&lt;=7)*('CONTROL MASTER'!$V$2:$V$495&gt;=7)*('CONTROL MASTER'!$U$2:$U$495&lt;=7)*('CONTROL MASTER'!$W$2:$W$495&gt;=7))*ROW('CONTROL MASTER'!$S$2:$S$495))-(ROW('CONTROL MASTER'!#REF!)-1))))*(INDEX('CONTROL MASTER'!$W$2:$W$495,(SUMPRODUCT((('CONTROL MASTER'!$S$2:$S$495=5)*('CONTROL MASTER'!$T$2:$T$495&lt;=7)*('CONTROL MASTER'!$V$2:$V$495&gt;=7)*('CONTROL MASTER'!$U$2:$U$495&lt;=7)*('CONTROL MASTER'!$W$2:$W$495&gt;=7))*ROW('CONTROL MASTER'!$S$2:$S$495))-(ROW('CONTROL MASTER'!#REF!)-1)))-INDEX('CONTROL MASTER'!$U$2:$U$495,(SUMPRODUCT((('CONTROL MASTER'!$S$2:$S$495=5)*('CONTROL MASTER'!$T$2:$T$495&lt;=7)*('CONTROL MASTER'!$V$2:$V$495&gt;=7)*('CONTROL MASTER'!$U$2:$U$495&lt;=7)*('CONTROL MASTER'!$W$2:$W$495&gt;=7))*ROW('CONTROL MASTER'!$S$2:$S$495))-(ROW('CONTROL MASTER'!#REF!)-1)))+1)+(7-INDEX('CONTROL MASTER'!$U$2:$U$495,(SUMPRODUCT((('CONTROL MASTER'!$S$2:$S$495=5)*('CONTROL MASTER'!$T$2:$T$495&lt;=7)*('CONTROL MASTER'!$V$2:$V$495&gt;=7)*('CONTROL MASTER'!$U$2:$U$495&lt;=7)*('CONTROL MASTER'!$W$2:$W$495&gt;=7))*ROW('CONTROL MASTER'!$S$2:$S$495))-(ROW('CONTROL MASTER'!#REF!)-1))))+1))-1)*50+1,50))&amp;"_"&amp;INDEX('CONTROL MASTER'!$P$2:$P$495,(SUMPRODUCT((('CONTROL MASTER'!$S$2:$S$495=5)*('CONTROL MASTER'!$T$2:$T$495&lt;=7)*('CONTROL MASTER'!$V$2:$V$495&gt;=7)*('CONTROL MASTER'!$U$2:$U$495&lt;=7)*('CONTROL MASTER'!$W$2:$W$495&gt;=7))*ROW('CONTROL MASTER'!$S$2:$S$495))-(ROW('CONTROL MASTER'!#REF!)-1))),IF(SUMPRODUCT((('CONTROL MASTER'!$S$2:$S$495=5)*('CONTROL MASTER'!$Z$2:$Z$495&lt;=7)*('CONTROL MASTER'!$AB$2:$AB$495&gt;=7)*('CONTROL MASTER'!$AA$2:$AA$495&lt;=7)*('CONTROL MASTER'!$AC$2:$AC$495&gt;=7))*ROW('CONTROL MASTER'!$S$2:$S$495))&gt;0,INDEX('CONTROL MASTER'!$X$2:$X$495,(SUMPRODUCT((('CONTROL MASTER'!$S$2:$S$495=5)*('CONTROL MASTER'!$Z$2:$Z$495&lt;=7)*('CONTROL MASTER'!$AB$2:$AB$495&gt;=7)*('CONTROL MASTER'!$AA$2:$AA$495&lt;=7)*('CONTROL MASTER'!$AC$2:$AC$495&gt;=7))*ROW('CONTROL MASTER'!$S$2:$S$495))-(ROW('CONTROL MASTER'!#REF!)-1)))&amp;TRIM(MID(SUBSTITUTE(SUBSTITUTE(INDEX('CONTROL MASTER'!$N$2:$N$495,(SUMPRODUCT((('CONTROL MASTER'!$S$2:$S$495=5)*('CONTROL MASTER'!$Z$2:$Z$495&lt;=7)*('CONTROL MASTER'!$AB$2:$AB$495&gt;=7)*('CONTROL MASTER'!$AA$2:$AA$495&lt;=7)*('CONTROL MASTER'!$AC$2:$AC$495&gt;=7))*ROW('CONTROL MASTER'!$S$2:$S$495))-(ROW('CONTROL MASTER'!#REF!)-1))),":",","),",",REPT(" ",50)),(((INDEX('CONTROL MASTER'!$Y$2:$Y$495,(SUMPRODUCT((('CONTROL MASTER'!$S$2:$S$495=5)*('CONTROL MASTER'!$Z$2:$Z$495&lt;=7)*('CONTROL MASTER'!$AB$2:$AB$495&gt;=7)*('CONTROL MASTER'!$AA$2:$AA$495&lt;=7)*('CONTROL MASTER'!$AC$2:$AC$495&gt;=7))*ROW('CONTROL MASTER'!$S$2:$S$495))-(ROW('CONTROL MASTER'!#REF!)-1)))+((7-INDEX('CONTROL MASTER'!$Z$2:$Z$495,(SUMPRODUCT((('CONTROL MASTER'!$S$2:$S$495=5)*('CONTROL MASTER'!$Z$2:$Z$495&lt;=7)*('CONTROL MASTER'!$AB$2:$AB$495&gt;=7)*('CONTROL MASTER'!$AA$2:$AA$495&lt;=7)*('CONTROL MASTER'!$AC$2:$AC$495&gt;=7))*ROW('CONTROL MASTER'!$S$2:$S$495))-(ROW('CONTROL MASTER'!#REF!)-1))))*(INDEX('CONTROL MASTER'!$AC$2:$AC$495,(SUMPRODUCT((('CONTROL MASTER'!$S$2:$S$495=5)*('CONTROL MASTER'!$Z$2:$Z$495&lt;=7)*('CONTROL MASTER'!$AB$2:$AB$495&gt;=7)*('CONTROL MASTER'!$AA$2:$AA$495&lt;=7)*('CONTROL MASTER'!$AC$2:$AC$495&gt;=7))*ROW('CONTROL MASTER'!$S$2:$S$495))-(ROW('CONTROL MASTER'!#REF!)-1)))-INDEX('CONTROL MASTER'!$AA$2:$AA$495,(SUMPRODUCT((('CONTROL MASTER'!$S$2:$S$495=5)*('CONTROL MASTER'!$Z$2:$Z$495&lt;=7)*('CONTROL MASTER'!$AB$2:$AB$495&gt;=7)*('CONTROL MASTER'!$AA$2:$AA$495&lt;=7)*('CONTROL MASTER'!$AC$2:$AC$495&gt;=7))*ROW('CONTROL MASTER'!$S$2:$S$495))-(ROW('CONTROL MASTER'!#REF!)-1)))+1)+(7-INDEX('CONTROL MASTER'!$AA$2:$AA$495,(SUMPRODUCT((('CONTROL MASTER'!$S$2:$S$495=5)*('CONTROL MASTER'!$Z$2:$Z$495&lt;=7)*('CONTROL MASTER'!$AB$2:$AB$495&gt;=7)*('CONTROL MASTER'!$AA$2:$AA$495&lt;=7)*('CONTROL MASTER'!$AC$2:$AC$495&gt;=7))*ROW('CONTROL MASTER'!$S$2:$S$495))-(ROW('CONTROL MASTER'!#REF!)-1))))+1)))-1)*50+1,50))&amp;"_"&amp;INDEX('CONTROL MASTER'!$P$2:$P$495,(SUMPRODUCT((('CONTROL MASTER'!$S$2:$S$495=5)*('CONTROL MASTER'!$Z$2:$Z$495&lt;=7)*('CONTROL MASTER'!$AB$2:$AB$495&gt;=7)*('CONTROL MASTER'!$AA$2:$AA$495&lt;=7)*('CONTROL MASTER'!$AC$2:$AC$495&gt;=7))*ROW('CONTROL MASTER'!$S$2:$S$495))-(ROW('CONTROL MASTER'!#REF!)-1))),"")),"")</f>
        <v/>
      </c>
      <c r="I65" s="10" t="str">
        <f>IFERROR(IF(SUMPRODUCT((('CONTROL MASTER'!$S$2:$S$495=5)*('CONTROL MASTER'!$T$2:$T$495&lt;=7)*('CONTROL MASTER'!$V$2:$V$495&gt;=7)*('CONTROL MASTER'!$U$2:$U$495&lt;=8)*('CONTROL MASTER'!$W$2:$W$495&gt;=8))*ROW('CONTROL MASTER'!$S$2:$S$495))&gt;0,INDEX('CONTROL MASTER'!$X$2:$X$495,(SUMPRODUCT((('CONTROL MASTER'!$S$2:$S$495=5)*('CONTROL MASTER'!$T$2:$T$495&lt;=7)*('CONTROL MASTER'!$V$2:$V$495&gt;=7)*('CONTROL MASTER'!$U$2:$U$495&lt;=8)*('CONTROL MASTER'!$W$2:$W$495&gt;=8))*ROW('CONTROL MASTER'!$S$2:$S$495))-(ROW('CONTROL MASTER'!#REF!)-1)))&amp;TRIM(MID(SUBSTITUTE(SUBSTITUTE(INDEX('CONTROL MASTER'!$N$2:$N$495,(SUMPRODUCT((('CONTROL MASTER'!$S$2:$S$495=5)*('CONTROL MASTER'!$T$2:$T$495&lt;=7)*('CONTROL MASTER'!$V$2:$V$495&gt;=7)*('CONTROL MASTER'!$U$2:$U$495&lt;=8)*('CONTROL MASTER'!$W$2:$W$495&gt;=8))*ROW('CONTROL MASTER'!$S$2:$S$495))-(ROW('CONTROL MASTER'!#REF!)-1))),":",","),",",REPT(" ",50)),((((7-INDEX('CONTROL MASTER'!$T$2:$T$495,(SUMPRODUCT((('CONTROL MASTER'!$S$2:$S$495=5)*('CONTROL MASTER'!$T$2:$T$495&lt;=7)*('CONTROL MASTER'!$V$2:$V$495&gt;=7)*('CONTROL MASTER'!$U$2:$U$495&lt;=8)*('CONTROL MASTER'!$W$2:$W$495&gt;=8))*ROW('CONTROL MASTER'!$S$2:$S$495))-(ROW('CONTROL MASTER'!#REF!)-1))))*(INDEX('CONTROL MASTER'!$W$2:$W$495,(SUMPRODUCT((('CONTROL MASTER'!$S$2:$S$495=5)*('CONTROL MASTER'!$T$2:$T$495&lt;=7)*('CONTROL MASTER'!$V$2:$V$495&gt;=7)*('CONTROL MASTER'!$U$2:$U$495&lt;=8)*('CONTROL MASTER'!$W$2:$W$495&gt;=8))*ROW('CONTROL MASTER'!$S$2:$S$495))-(ROW('CONTROL MASTER'!#REF!)-1)))-INDEX('CONTROL MASTER'!$U$2:$U$495,(SUMPRODUCT((('CONTROL MASTER'!$S$2:$S$495=5)*('CONTROL MASTER'!$T$2:$T$495&lt;=7)*('CONTROL MASTER'!$V$2:$V$495&gt;=7)*('CONTROL MASTER'!$U$2:$U$495&lt;=8)*('CONTROL MASTER'!$W$2:$W$495&gt;=8))*ROW('CONTROL MASTER'!$S$2:$S$495))-(ROW('CONTROL MASTER'!#REF!)-1)))+1)+(8-INDEX('CONTROL MASTER'!$U$2:$U$495,(SUMPRODUCT((('CONTROL MASTER'!$S$2:$S$495=5)*('CONTROL MASTER'!$T$2:$T$495&lt;=7)*('CONTROL MASTER'!$V$2:$V$495&gt;=7)*('CONTROL MASTER'!$U$2:$U$495&lt;=8)*('CONTROL MASTER'!$W$2:$W$495&gt;=8))*ROW('CONTROL MASTER'!$S$2:$S$495))-(ROW('CONTROL MASTER'!#REF!)-1))))+1))-1)*50+1,50))&amp;"_"&amp;INDEX('CONTROL MASTER'!$P$2:$P$495,(SUMPRODUCT((('CONTROL MASTER'!$S$2:$S$495=5)*('CONTROL MASTER'!$T$2:$T$495&lt;=7)*('CONTROL MASTER'!$V$2:$V$495&gt;=7)*('CONTROL MASTER'!$U$2:$U$495&lt;=8)*('CONTROL MASTER'!$W$2:$W$495&gt;=8))*ROW('CONTROL MASTER'!$S$2:$S$495))-(ROW('CONTROL MASTER'!#REF!)-1))),IF(SUMPRODUCT((('CONTROL MASTER'!$S$2:$S$495=5)*('CONTROL MASTER'!$Z$2:$Z$495&lt;=7)*('CONTROL MASTER'!$AB$2:$AB$495&gt;=7)*('CONTROL MASTER'!$AA$2:$AA$495&lt;=8)*('CONTROL MASTER'!$AC$2:$AC$495&gt;=8))*ROW('CONTROL MASTER'!$S$2:$S$495))&gt;0,INDEX('CONTROL MASTER'!$X$2:$X$495,(SUMPRODUCT((('CONTROL MASTER'!$S$2:$S$495=5)*('CONTROL MASTER'!$Z$2:$Z$495&lt;=7)*('CONTROL MASTER'!$AB$2:$AB$495&gt;=7)*('CONTROL MASTER'!$AA$2:$AA$495&lt;=8)*('CONTROL MASTER'!$AC$2:$AC$495&gt;=8))*ROW('CONTROL MASTER'!$S$2:$S$495))-(ROW('CONTROL MASTER'!#REF!)-1)))&amp;TRIM(MID(SUBSTITUTE(SUBSTITUTE(INDEX('CONTROL MASTER'!$N$2:$N$495,(SUMPRODUCT((('CONTROL MASTER'!$S$2:$S$495=5)*('CONTROL MASTER'!$Z$2:$Z$495&lt;=7)*('CONTROL MASTER'!$AB$2:$AB$495&gt;=7)*('CONTROL MASTER'!$AA$2:$AA$495&lt;=8)*('CONTROL MASTER'!$AC$2:$AC$495&gt;=8))*ROW('CONTROL MASTER'!$S$2:$S$495))-(ROW('CONTROL MASTER'!#REF!)-1))),":",","),",",REPT(" ",50)),(((INDEX('CONTROL MASTER'!$Y$2:$Y$495,(SUMPRODUCT((('CONTROL MASTER'!$S$2:$S$495=5)*('CONTROL MASTER'!$Z$2:$Z$495&lt;=7)*('CONTROL MASTER'!$AB$2:$AB$495&gt;=7)*('CONTROL MASTER'!$AA$2:$AA$495&lt;=8)*('CONTROL MASTER'!$AC$2:$AC$495&gt;=8))*ROW('CONTROL MASTER'!$S$2:$S$495))-(ROW('CONTROL MASTER'!#REF!)-1)))+((7-INDEX('CONTROL MASTER'!$Z$2:$Z$495,(SUMPRODUCT((('CONTROL MASTER'!$S$2:$S$495=5)*('CONTROL MASTER'!$Z$2:$Z$495&lt;=7)*('CONTROL MASTER'!$AB$2:$AB$495&gt;=7)*('CONTROL MASTER'!$AA$2:$AA$495&lt;=8)*('CONTROL MASTER'!$AC$2:$AC$495&gt;=8))*ROW('CONTROL MASTER'!$S$2:$S$495))-(ROW('CONTROL MASTER'!#REF!)-1))))*(INDEX('CONTROL MASTER'!$AC$2:$AC$495,(SUMPRODUCT((('CONTROL MASTER'!$S$2:$S$495=5)*('CONTROL MASTER'!$Z$2:$Z$495&lt;=7)*('CONTROL MASTER'!$AB$2:$AB$495&gt;=7)*('CONTROL MASTER'!$AA$2:$AA$495&lt;=8)*('CONTROL MASTER'!$AC$2:$AC$495&gt;=8))*ROW('CONTROL MASTER'!$S$2:$S$495))-(ROW('CONTROL MASTER'!#REF!)-1)))-INDEX('CONTROL MASTER'!$AA$2:$AA$495,(SUMPRODUCT((('CONTROL MASTER'!$S$2:$S$495=5)*('CONTROL MASTER'!$Z$2:$Z$495&lt;=7)*('CONTROL MASTER'!$AB$2:$AB$495&gt;=7)*('CONTROL MASTER'!$AA$2:$AA$495&lt;=8)*('CONTROL MASTER'!$AC$2:$AC$495&gt;=8))*ROW('CONTROL MASTER'!$S$2:$S$495))-(ROW('CONTROL MASTER'!#REF!)-1)))+1)+(8-INDEX('CONTROL MASTER'!$AA$2:$AA$495,(SUMPRODUCT((('CONTROL MASTER'!$S$2:$S$495=5)*('CONTROL MASTER'!$Z$2:$Z$495&lt;=7)*('CONTROL MASTER'!$AB$2:$AB$495&gt;=7)*('CONTROL MASTER'!$AA$2:$AA$495&lt;=8)*('CONTROL MASTER'!$AC$2:$AC$495&gt;=8))*ROW('CONTROL MASTER'!$S$2:$S$495))-(ROW('CONTROL MASTER'!#REF!)-1))))+1)))-1)*50+1,50))&amp;"_"&amp;INDEX('CONTROL MASTER'!$P$2:$P$495,(SUMPRODUCT((('CONTROL MASTER'!$S$2:$S$495=5)*('CONTROL MASTER'!$Z$2:$Z$495&lt;=7)*('CONTROL MASTER'!$AB$2:$AB$495&gt;=7)*('CONTROL MASTER'!$AA$2:$AA$495&lt;=8)*('CONTROL MASTER'!$AC$2:$AC$495&gt;=8))*ROW('CONTROL MASTER'!$S$2:$S$495))-(ROW('CONTROL MASTER'!#REF!)-1))),"")),"")</f>
        <v/>
      </c>
      <c r="J65" s="10" t="str">
        <f>IFERROR(IF(SUMPRODUCT((('CONTROL MASTER'!$S$2:$S$495=5)*('CONTROL MASTER'!$T$2:$T$495&lt;=7)*('CONTROL MASTER'!$V$2:$V$495&gt;=7)*('CONTROL MASTER'!$U$2:$U$495&lt;=9)*('CONTROL MASTER'!$W$2:$W$495&gt;=9))*ROW('CONTROL MASTER'!$S$2:$S$495))&gt;0,INDEX('CONTROL MASTER'!$X$2:$X$495,(SUMPRODUCT((('CONTROL MASTER'!$S$2:$S$495=5)*('CONTROL MASTER'!$T$2:$T$495&lt;=7)*('CONTROL MASTER'!$V$2:$V$495&gt;=7)*('CONTROL MASTER'!$U$2:$U$495&lt;=9)*('CONTROL MASTER'!$W$2:$W$495&gt;=9))*ROW('CONTROL MASTER'!$S$2:$S$495))-(ROW('CONTROL MASTER'!#REF!)-1)))&amp;TRIM(MID(SUBSTITUTE(SUBSTITUTE(INDEX('CONTROL MASTER'!$N$2:$N$495,(SUMPRODUCT((('CONTROL MASTER'!$S$2:$S$495=5)*('CONTROL MASTER'!$T$2:$T$495&lt;=7)*('CONTROL MASTER'!$V$2:$V$495&gt;=7)*('CONTROL MASTER'!$U$2:$U$495&lt;=9)*('CONTROL MASTER'!$W$2:$W$495&gt;=9))*ROW('CONTROL MASTER'!$S$2:$S$495))-(ROW('CONTROL MASTER'!#REF!)-1))),":",","),",",REPT(" ",50)),((((7-INDEX('CONTROL MASTER'!$T$2:$T$495,(SUMPRODUCT((('CONTROL MASTER'!$S$2:$S$495=5)*('CONTROL MASTER'!$T$2:$T$495&lt;=7)*('CONTROL MASTER'!$V$2:$V$495&gt;=7)*('CONTROL MASTER'!$U$2:$U$495&lt;=9)*('CONTROL MASTER'!$W$2:$W$495&gt;=9))*ROW('CONTROL MASTER'!$S$2:$S$495))-(ROW('CONTROL MASTER'!#REF!)-1))))*(INDEX('CONTROL MASTER'!$W$2:$W$495,(SUMPRODUCT((('CONTROL MASTER'!$S$2:$S$495=5)*('CONTROL MASTER'!$T$2:$T$495&lt;=7)*('CONTROL MASTER'!$V$2:$V$495&gt;=7)*('CONTROL MASTER'!$U$2:$U$495&lt;=9)*('CONTROL MASTER'!$W$2:$W$495&gt;=9))*ROW('CONTROL MASTER'!$S$2:$S$495))-(ROW('CONTROL MASTER'!#REF!)-1)))-INDEX('CONTROL MASTER'!$U$2:$U$495,(SUMPRODUCT((('CONTROL MASTER'!$S$2:$S$495=5)*('CONTROL MASTER'!$T$2:$T$495&lt;=7)*('CONTROL MASTER'!$V$2:$V$495&gt;=7)*('CONTROL MASTER'!$U$2:$U$495&lt;=9)*('CONTROL MASTER'!$W$2:$W$495&gt;=9))*ROW('CONTROL MASTER'!$S$2:$S$495))-(ROW('CONTROL MASTER'!#REF!)-1)))+1)+(9-INDEX('CONTROL MASTER'!$U$2:$U$495,(SUMPRODUCT((('CONTROL MASTER'!$S$2:$S$495=5)*('CONTROL MASTER'!$T$2:$T$495&lt;=7)*('CONTROL MASTER'!$V$2:$V$495&gt;=7)*('CONTROL MASTER'!$U$2:$U$495&lt;=9)*('CONTROL MASTER'!$W$2:$W$495&gt;=9))*ROW('CONTROL MASTER'!$S$2:$S$495))-(ROW('CONTROL MASTER'!#REF!)-1))))+1))-1)*50+1,50))&amp;"_"&amp;INDEX('CONTROL MASTER'!$P$2:$P$495,(SUMPRODUCT((('CONTROL MASTER'!$S$2:$S$495=5)*('CONTROL MASTER'!$T$2:$T$495&lt;=7)*('CONTROL MASTER'!$V$2:$V$495&gt;=7)*('CONTROL MASTER'!$U$2:$U$495&lt;=9)*('CONTROL MASTER'!$W$2:$W$495&gt;=9))*ROW('CONTROL MASTER'!$S$2:$S$495))-(ROW('CONTROL MASTER'!#REF!)-1))),IF(SUMPRODUCT((('CONTROL MASTER'!$S$2:$S$495=5)*('CONTROL MASTER'!$Z$2:$Z$495&lt;=7)*('CONTROL MASTER'!$AB$2:$AB$495&gt;=7)*('CONTROL MASTER'!$AA$2:$AA$495&lt;=9)*('CONTROL MASTER'!$AC$2:$AC$495&gt;=9))*ROW('CONTROL MASTER'!$S$2:$S$495))&gt;0,INDEX('CONTROL MASTER'!$X$2:$X$495,(SUMPRODUCT((('CONTROL MASTER'!$S$2:$S$495=5)*('CONTROL MASTER'!$Z$2:$Z$495&lt;=7)*('CONTROL MASTER'!$AB$2:$AB$495&gt;=7)*('CONTROL MASTER'!$AA$2:$AA$495&lt;=9)*('CONTROL MASTER'!$AC$2:$AC$495&gt;=9))*ROW('CONTROL MASTER'!$S$2:$S$495))-(ROW('CONTROL MASTER'!#REF!)-1)))&amp;TRIM(MID(SUBSTITUTE(SUBSTITUTE(INDEX('CONTROL MASTER'!$N$2:$N$495,(SUMPRODUCT((('CONTROL MASTER'!$S$2:$S$495=5)*('CONTROL MASTER'!$Z$2:$Z$495&lt;=7)*('CONTROL MASTER'!$AB$2:$AB$495&gt;=7)*('CONTROL MASTER'!$AA$2:$AA$495&lt;=9)*('CONTROL MASTER'!$AC$2:$AC$495&gt;=9))*ROW('CONTROL MASTER'!$S$2:$S$495))-(ROW('CONTROL MASTER'!#REF!)-1))),":",","),",",REPT(" ",50)),(((INDEX('CONTROL MASTER'!$Y$2:$Y$495,(SUMPRODUCT((('CONTROL MASTER'!$S$2:$S$495=5)*('CONTROL MASTER'!$Z$2:$Z$495&lt;=7)*('CONTROL MASTER'!$AB$2:$AB$495&gt;=7)*('CONTROL MASTER'!$AA$2:$AA$495&lt;=9)*('CONTROL MASTER'!$AC$2:$AC$495&gt;=9))*ROW('CONTROL MASTER'!$S$2:$S$495))-(ROW('CONTROL MASTER'!#REF!)-1)))+((7-INDEX('CONTROL MASTER'!$Z$2:$Z$495,(SUMPRODUCT((('CONTROL MASTER'!$S$2:$S$495=5)*('CONTROL MASTER'!$Z$2:$Z$495&lt;=7)*('CONTROL MASTER'!$AB$2:$AB$495&gt;=7)*('CONTROL MASTER'!$AA$2:$AA$495&lt;=9)*('CONTROL MASTER'!$AC$2:$AC$495&gt;=9))*ROW('CONTROL MASTER'!$S$2:$S$495))-(ROW('CONTROL MASTER'!#REF!)-1))))*(INDEX('CONTROL MASTER'!$AC$2:$AC$495,(SUMPRODUCT((('CONTROL MASTER'!$S$2:$S$495=5)*('CONTROL MASTER'!$Z$2:$Z$495&lt;=7)*('CONTROL MASTER'!$AB$2:$AB$495&gt;=7)*('CONTROL MASTER'!$AA$2:$AA$495&lt;=9)*('CONTROL MASTER'!$AC$2:$AC$495&gt;=9))*ROW('CONTROL MASTER'!$S$2:$S$495))-(ROW('CONTROL MASTER'!#REF!)-1)))-INDEX('CONTROL MASTER'!$AA$2:$AA$495,(SUMPRODUCT((('CONTROL MASTER'!$S$2:$S$495=5)*('CONTROL MASTER'!$Z$2:$Z$495&lt;=7)*('CONTROL MASTER'!$AB$2:$AB$495&gt;=7)*('CONTROL MASTER'!$AA$2:$AA$495&lt;=9)*('CONTROL MASTER'!$AC$2:$AC$495&gt;=9))*ROW('CONTROL MASTER'!$S$2:$S$495))-(ROW('CONTROL MASTER'!#REF!)-1)))+1)+(9-INDEX('CONTROL MASTER'!$AA$2:$AA$495,(SUMPRODUCT((('CONTROL MASTER'!$S$2:$S$495=5)*('CONTROL MASTER'!$Z$2:$Z$495&lt;=7)*('CONTROL MASTER'!$AB$2:$AB$495&gt;=7)*('CONTROL MASTER'!$AA$2:$AA$495&lt;=9)*('CONTROL MASTER'!$AC$2:$AC$495&gt;=9))*ROW('CONTROL MASTER'!$S$2:$S$495))-(ROW('CONTROL MASTER'!#REF!)-1))))+1)))-1)*50+1,50))&amp;"_"&amp;INDEX('CONTROL MASTER'!$P$2:$P$495,(SUMPRODUCT((('CONTROL MASTER'!$S$2:$S$495=5)*('CONTROL MASTER'!$Z$2:$Z$495&lt;=7)*('CONTROL MASTER'!$AB$2:$AB$495&gt;=7)*('CONTROL MASTER'!$AA$2:$AA$495&lt;=9)*('CONTROL MASTER'!$AC$2:$AC$495&gt;=9))*ROW('CONTROL MASTER'!$S$2:$S$495))-(ROW('CONTROL MASTER'!#REF!)-1))),"")),"")</f>
        <v/>
      </c>
      <c r="K65" s="10" t="str">
        <f>IFERROR(IF(SUMPRODUCT((('CONTROL MASTER'!$S$2:$S$495=5)*('CONTROL MASTER'!$T$2:$T$495&lt;=7)*('CONTROL MASTER'!$V$2:$V$495&gt;=7)*('CONTROL MASTER'!$U$2:$U$495&lt;=10)*('CONTROL MASTER'!$W$2:$W$495&gt;=10))*ROW('CONTROL MASTER'!$S$2:$S$495))&gt;0,INDEX('CONTROL MASTER'!$X$2:$X$495,(SUMPRODUCT((('CONTROL MASTER'!$S$2:$S$495=5)*('CONTROL MASTER'!$T$2:$T$495&lt;=7)*('CONTROL MASTER'!$V$2:$V$495&gt;=7)*('CONTROL MASTER'!$U$2:$U$495&lt;=10)*('CONTROL MASTER'!$W$2:$W$495&gt;=10))*ROW('CONTROL MASTER'!$S$2:$S$495))-(ROW('CONTROL MASTER'!#REF!)-1)))&amp;TRIM(MID(SUBSTITUTE(SUBSTITUTE(INDEX('CONTROL MASTER'!$N$2:$N$495,(SUMPRODUCT((('CONTROL MASTER'!$S$2:$S$495=5)*('CONTROL MASTER'!$T$2:$T$495&lt;=7)*('CONTROL MASTER'!$V$2:$V$495&gt;=7)*('CONTROL MASTER'!$U$2:$U$495&lt;=10)*('CONTROL MASTER'!$W$2:$W$495&gt;=10))*ROW('CONTROL MASTER'!$S$2:$S$495))-(ROW('CONTROL MASTER'!#REF!)-1))),":",","),",",REPT(" ",50)),((((7-INDEX('CONTROL MASTER'!$T$2:$T$495,(SUMPRODUCT((('CONTROL MASTER'!$S$2:$S$495=5)*('CONTROL MASTER'!$T$2:$T$495&lt;=7)*('CONTROL MASTER'!$V$2:$V$495&gt;=7)*('CONTROL MASTER'!$U$2:$U$495&lt;=10)*('CONTROL MASTER'!$W$2:$W$495&gt;=10))*ROW('CONTROL MASTER'!$S$2:$S$495))-(ROW('CONTROL MASTER'!#REF!)-1))))*(INDEX('CONTROL MASTER'!$W$2:$W$495,(SUMPRODUCT((('CONTROL MASTER'!$S$2:$S$495=5)*('CONTROL MASTER'!$T$2:$T$495&lt;=7)*('CONTROL MASTER'!$V$2:$V$495&gt;=7)*('CONTROL MASTER'!$U$2:$U$495&lt;=10)*('CONTROL MASTER'!$W$2:$W$495&gt;=10))*ROW('CONTROL MASTER'!$S$2:$S$495))-(ROW('CONTROL MASTER'!#REF!)-1)))-INDEX('CONTROL MASTER'!$U$2:$U$495,(SUMPRODUCT((('CONTROL MASTER'!$S$2:$S$495=5)*('CONTROL MASTER'!$T$2:$T$495&lt;=7)*('CONTROL MASTER'!$V$2:$V$495&gt;=7)*('CONTROL MASTER'!$U$2:$U$495&lt;=10)*('CONTROL MASTER'!$W$2:$W$495&gt;=10))*ROW('CONTROL MASTER'!$S$2:$S$495))-(ROW('CONTROL MASTER'!#REF!)-1)))+1)+(10-INDEX('CONTROL MASTER'!$U$2:$U$495,(SUMPRODUCT((('CONTROL MASTER'!$S$2:$S$495=5)*('CONTROL MASTER'!$T$2:$T$495&lt;=7)*('CONTROL MASTER'!$V$2:$V$495&gt;=7)*('CONTROL MASTER'!$U$2:$U$495&lt;=10)*('CONTROL MASTER'!$W$2:$W$495&gt;=10))*ROW('CONTROL MASTER'!$S$2:$S$495))-(ROW('CONTROL MASTER'!#REF!)-1))))+1))-1)*50+1,50))&amp;"_"&amp;INDEX('CONTROL MASTER'!$P$2:$P$495,(SUMPRODUCT((('CONTROL MASTER'!$S$2:$S$495=5)*('CONTROL MASTER'!$T$2:$T$495&lt;=7)*('CONTROL MASTER'!$V$2:$V$495&gt;=7)*('CONTROL MASTER'!$U$2:$U$495&lt;=10)*('CONTROL MASTER'!$W$2:$W$495&gt;=10))*ROW('CONTROL MASTER'!$S$2:$S$495))-(ROW('CONTROL MASTER'!#REF!)-1))),IF(SUMPRODUCT((('CONTROL MASTER'!$S$2:$S$495=5)*('CONTROL MASTER'!$Z$2:$Z$495&lt;=7)*('CONTROL MASTER'!$AB$2:$AB$495&gt;=7)*('CONTROL MASTER'!$AA$2:$AA$495&lt;=10)*('CONTROL MASTER'!$AC$2:$AC$495&gt;=10))*ROW('CONTROL MASTER'!$S$2:$S$495))&gt;0,INDEX('CONTROL MASTER'!$X$2:$X$495,(SUMPRODUCT((('CONTROL MASTER'!$S$2:$S$495=5)*('CONTROL MASTER'!$Z$2:$Z$495&lt;=7)*('CONTROL MASTER'!$AB$2:$AB$495&gt;=7)*('CONTROL MASTER'!$AA$2:$AA$495&lt;=10)*('CONTROL MASTER'!$AC$2:$AC$495&gt;=10))*ROW('CONTROL MASTER'!$S$2:$S$495))-(ROW('CONTROL MASTER'!#REF!)-1)))&amp;TRIM(MID(SUBSTITUTE(SUBSTITUTE(INDEX('CONTROL MASTER'!$N$2:$N$495,(SUMPRODUCT((('CONTROL MASTER'!$S$2:$S$495=5)*('CONTROL MASTER'!$Z$2:$Z$495&lt;=7)*('CONTROL MASTER'!$AB$2:$AB$495&gt;=7)*('CONTROL MASTER'!$AA$2:$AA$495&lt;=10)*('CONTROL MASTER'!$AC$2:$AC$495&gt;=10))*ROW('CONTROL MASTER'!$S$2:$S$495))-(ROW('CONTROL MASTER'!#REF!)-1))),":",","),",",REPT(" ",50)),(((INDEX('CONTROL MASTER'!$Y$2:$Y$495,(SUMPRODUCT((('CONTROL MASTER'!$S$2:$S$495=5)*('CONTROL MASTER'!$Z$2:$Z$495&lt;=7)*('CONTROL MASTER'!$AB$2:$AB$495&gt;=7)*('CONTROL MASTER'!$AA$2:$AA$495&lt;=10)*('CONTROL MASTER'!$AC$2:$AC$495&gt;=10))*ROW('CONTROL MASTER'!$S$2:$S$495))-(ROW('CONTROL MASTER'!#REF!)-1)))+((7-INDEX('CONTROL MASTER'!$Z$2:$Z$495,(SUMPRODUCT((('CONTROL MASTER'!$S$2:$S$495=5)*('CONTROL MASTER'!$Z$2:$Z$495&lt;=7)*('CONTROL MASTER'!$AB$2:$AB$495&gt;=7)*('CONTROL MASTER'!$AA$2:$AA$495&lt;=10)*('CONTROL MASTER'!$AC$2:$AC$495&gt;=10))*ROW('CONTROL MASTER'!$S$2:$S$495))-(ROW('CONTROL MASTER'!#REF!)-1))))*(INDEX('CONTROL MASTER'!$AC$2:$AC$495,(SUMPRODUCT((('CONTROL MASTER'!$S$2:$S$495=5)*('CONTROL MASTER'!$Z$2:$Z$495&lt;=7)*('CONTROL MASTER'!$AB$2:$AB$495&gt;=7)*('CONTROL MASTER'!$AA$2:$AA$495&lt;=10)*('CONTROL MASTER'!$AC$2:$AC$495&gt;=10))*ROW('CONTROL MASTER'!$S$2:$S$495))-(ROW('CONTROL MASTER'!#REF!)-1)))-INDEX('CONTROL MASTER'!$AA$2:$AA$495,(SUMPRODUCT((('CONTROL MASTER'!$S$2:$S$495=5)*('CONTROL MASTER'!$Z$2:$Z$495&lt;=7)*('CONTROL MASTER'!$AB$2:$AB$495&gt;=7)*('CONTROL MASTER'!$AA$2:$AA$495&lt;=10)*('CONTROL MASTER'!$AC$2:$AC$495&gt;=10))*ROW('CONTROL MASTER'!$S$2:$S$495))-(ROW('CONTROL MASTER'!#REF!)-1)))+1)+(10-INDEX('CONTROL MASTER'!$AA$2:$AA$495,(SUMPRODUCT((('CONTROL MASTER'!$S$2:$S$495=5)*('CONTROL MASTER'!$Z$2:$Z$495&lt;=7)*('CONTROL MASTER'!$AB$2:$AB$495&gt;=7)*('CONTROL MASTER'!$AA$2:$AA$495&lt;=10)*('CONTROL MASTER'!$AC$2:$AC$495&gt;=10))*ROW('CONTROL MASTER'!$S$2:$S$495))-(ROW('CONTROL MASTER'!#REF!)-1))))+1)))-1)*50+1,50))&amp;"_"&amp;INDEX('CONTROL MASTER'!$P$2:$P$495,(SUMPRODUCT((('CONTROL MASTER'!$S$2:$S$495=5)*('CONTROL MASTER'!$Z$2:$Z$495&lt;=7)*('CONTROL MASTER'!$AB$2:$AB$495&gt;=7)*('CONTROL MASTER'!$AA$2:$AA$495&lt;=10)*('CONTROL MASTER'!$AC$2:$AC$495&gt;=10))*ROW('CONTROL MASTER'!$S$2:$S$495))-(ROW('CONTROL MASTER'!#REF!)-1))),"")),"")</f>
        <v/>
      </c>
    </row>
    <row r="66" spans="1:11" ht="15" customHeight="1" x14ac:dyDescent="0.35">
      <c r="A66" s="8" t="s">
        <v>35</v>
      </c>
      <c r="B66" s="10" t="str">
        <f>IFERROR(IF(SUMPRODUCT((('CONTROL MASTER'!$S$2:$S$495=5)*('CONTROL MASTER'!$T$2:$T$495&lt;=8)*('CONTROL MASTER'!$V$2:$V$495&gt;=8)*('CONTROL MASTER'!$U$2:$U$495&lt;=1)*('CONTROL MASTER'!$W$2:$W$495&gt;=1))*ROW('CONTROL MASTER'!$S$2:$S$495))&gt;0,INDEX('CONTROL MASTER'!$X$2:$X$495,(SUMPRODUCT((('CONTROL MASTER'!$S$2:$S$495=5)*('CONTROL MASTER'!$T$2:$T$495&lt;=8)*('CONTROL MASTER'!$V$2:$V$495&gt;=8)*('CONTROL MASTER'!$U$2:$U$495&lt;=1)*('CONTROL MASTER'!$W$2:$W$495&gt;=1))*ROW('CONTROL MASTER'!$S$2:$S$495))-(ROW('CONTROL MASTER'!#REF!)-1)))&amp;TRIM(MID(SUBSTITUTE(SUBSTITUTE(INDEX('CONTROL MASTER'!$N$2:$N$495,(SUMPRODUCT((('CONTROL MASTER'!$S$2:$S$495=5)*('CONTROL MASTER'!$T$2:$T$495&lt;=8)*('CONTROL MASTER'!$V$2:$V$495&gt;=8)*('CONTROL MASTER'!$U$2:$U$495&lt;=1)*('CONTROL MASTER'!$W$2:$W$495&gt;=1))*ROW('CONTROL MASTER'!$S$2:$S$495))-(ROW('CONTROL MASTER'!#REF!)-1))),":",","),",",REPT(" ",50)),((((8-INDEX('CONTROL MASTER'!$T$2:$T$495,(SUMPRODUCT((('CONTROL MASTER'!$S$2:$S$495=5)*('CONTROL MASTER'!$T$2:$T$495&lt;=8)*('CONTROL MASTER'!$V$2:$V$495&gt;=8)*('CONTROL MASTER'!$U$2:$U$495&lt;=1)*('CONTROL MASTER'!$W$2:$W$495&gt;=1))*ROW('CONTROL MASTER'!$S$2:$S$495))-(ROW('CONTROL MASTER'!#REF!)-1))))*(INDEX('CONTROL MASTER'!$W$2:$W$495,(SUMPRODUCT((('CONTROL MASTER'!$S$2:$S$495=5)*('CONTROL MASTER'!$T$2:$T$495&lt;=8)*('CONTROL MASTER'!$V$2:$V$495&gt;=8)*('CONTROL MASTER'!$U$2:$U$495&lt;=1)*('CONTROL MASTER'!$W$2:$W$495&gt;=1))*ROW('CONTROL MASTER'!$S$2:$S$495))-(ROW('CONTROL MASTER'!#REF!)-1)))-INDEX('CONTROL MASTER'!$U$2:$U$495,(SUMPRODUCT((('CONTROL MASTER'!$S$2:$S$495=5)*('CONTROL MASTER'!$T$2:$T$495&lt;=8)*('CONTROL MASTER'!$V$2:$V$495&gt;=8)*('CONTROL MASTER'!$U$2:$U$495&lt;=1)*('CONTROL MASTER'!$W$2:$W$495&gt;=1))*ROW('CONTROL MASTER'!$S$2:$S$495))-(ROW('CONTROL MASTER'!#REF!)-1)))+1)+(1-INDEX('CONTROL MASTER'!$U$2:$U$495,(SUMPRODUCT((('CONTROL MASTER'!$S$2:$S$495=5)*('CONTROL MASTER'!$T$2:$T$495&lt;=8)*('CONTROL MASTER'!$V$2:$V$495&gt;=8)*('CONTROL MASTER'!$U$2:$U$495&lt;=1)*('CONTROL MASTER'!$W$2:$W$495&gt;=1))*ROW('CONTROL MASTER'!$S$2:$S$495))-(ROW('CONTROL MASTER'!#REF!)-1))))+1))-1)*50+1,50))&amp;"_"&amp;INDEX('CONTROL MASTER'!$P$2:$P$495,(SUMPRODUCT((('CONTROL MASTER'!$S$2:$S$495=5)*('CONTROL MASTER'!$T$2:$T$495&lt;=8)*('CONTROL MASTER'!$V$2:$V$495&gt;=8)*('CONTROL MASTER'!$U$2:$U$495&lt;=1)*('CONTROL MASTER'!$W$2:$W$495&gt;=1))*ROW('CONTROL MASTER'!$S$2:$S$495))-(ROW('CONTROL MASTER'!#REF!)-1))),IF(SUMPRODUCT((('CONTROL MASTER'!$S$2:$S$495=5)*('CONTROL MASTER'!$Z$2:$Z$495&lt;=8)*('CONTROL MASTER'!$AB$2:$AB$495&gt;=8)*('CONTROL MASTER'!$AA$2:$AA$495&lt;=1)*('CONTROL MASTER'!$AC$2:$AC$495&gt;=1))*ROW('CONTROL MASTER'!$S$2:$S$495))&gt;0,INDEX('CONTROL MASTER'!$X$2:$X$495,(SUMPRODUCT((('CONTROL MASTER'!$S$2:$S$495=5)*('CONTROL MASTER'!$Z$2:$Z$495&lt;=8)*('CONTROL MASTER'!$AB$2:$AB$495&gt;=8)*('CONTROL MASTER'!$AA$2:$AA$495&lt;=1)*('CONTROL MASTER'!$AC$2:$AC$495&gt;=1))*ROW('CONTROL MASTER'!$S$2:$S$495))-(ROW('CONTROL MASTER'!#REF!)-1)))&amp;TRIM(MID(SUBSTITUTE(SUBSTITUTE(INDEX('CONTROL MASTER'!$N$2:$N$495,(SUMPRODUCT((('CONTROL MASTER'!$S$2:$S$495=5)*('CONTROL MASTER'!$Z$2:$Z$495&lt;=8)*('CONTROL MASTER'!$AB$2:$AB$495&gt;=8)*('CONTROL MASTER'!$AA$2:$AA$495&lt;=1)*('CONTROL MASTER'!$AC$2:$AC$495&gt;=1))*ROW('CONTROL MASTER'!$S$2:$S$495))-(ROW('CONTROL MASTER'!#REF!)-1))),":",","),",",REPT(" ",50)),(((INDEX('CONTROL MASTER'!$Y$2:$Y$495,(SUMPRODUCT((('CONTROL MASTER'!$S$2:$S$495=5)*('CONTROL MASTER'!$Z$2:$Z$495&lt;=8)*('CONTROL MASTER'!$AB$2:$AB$495&gt;=8)*('CONTROL MASTER'!$AA$2:$AA$495&lt;=1)*('CONTROL MASTER'!$AC$2:$AC$495&gt;=1))*ROW('CONTROL MASTER'!$S$2:$S$495))-(ROW('CONTROL MASTER'!#REF!)-1)))+((8-INDEX('CONTROL MASTER'!$Z$2:$Z$495,(SUMPRODUCT((('CONTROL MASTER'!$S$2:$S$495=5)*('CONTROL MASTER'!$Z$2:$Z$495&lt;=8)*('CONTROL MASTER'!$AB$2:$AB$495&gt;=8)*('CONTROL MASTER'!$AA$2:$AA$495&lt;=1)*('CONTROL MASTER'!$AC$2:$AC$495&gt;=1))*ROW('CONTROL MASTER'!$S$2:$S$495))-(ROW('CONTROL MASTER'!#REF!)-1))))*(INDEX('CONTROL MASTER'!$AC$2:$AC$495,(SUMPRODUCT((('CONTROL MASTER'!$S$2:$S$495=5)*('CONTROL MASTER'!$Z$2:$Z$495&lt;=8)*('CONTROL MASTER'!$AB$2:$AB$495&gt;=8)*('CONTROL MASTER'!$AA$2:$AA$495&lt;=1)*('CONTROL MASTER'!$AC$2:$AC$495&gt;=1))*ROW('CONTROL MASTER'!$S$2:$S$495))-(ROW('CONTROL MASTER'!#REF!)-1)))-INDEX('CONTROL MASTER'!$AA$2:$AA$495,(SUMPRODUCT((('CONTROL MASTER'!$S$2:$S$495=5)*('CONTROL MASTER'!$Z$2:$Z$495&lt;=8)*('CONTROL MASTER'!$AB$2:$AB$495&gt;=8)*('CONTROL MASTER'!$AA$2:$AA$495&lt;=1)*('CONTROL MASTER'!$AC$2:$AC$495&gt;=1))*ROW('CONTROL MASTER'!$S$2:$S$495))-(ROW('CONTROL MASTER'!#REF!)-1)))+1)+(1-INDEX('CONTROL MASTER'!$AA$2:$AA$495,(SUMPRODUCT((('CONTROL MASTER'!$S$2:$S$495=5)*('CONTROL MASTER'!$Z$2:$Z$495&lt;=8)*('CONTROL MASTER'!$AB$2:$AB$495&gt;=8)*('CONTROL MASTER'!$AA$2:$AA$495&lt;=1)*('CONTROL MASTER'!$AC$2:$AC$495&gt;=1))*ROW('CONTROL MASTER'!$S$2:$S$495))-(ROW('CONTROL MASTER'!#REF!)-1))))+1)))-1)*50+1,50))&amp;"_"&amp;INDEX('CONTROL MASTER'!$P$2:$P$495,(SUMPRODUCT((('CONTROL MASTER'!$S$2:$S$495=5)*('CONTROL MASTER'!$Z$2:$Z$495&lt;=8)*('CONTROL MASTER'!$AB$2:$AB$495&gt;=8)*('CONTROL MASTER'!$AA$2:$AA$495&lt;=1)*('CONTROL MASTER'!$AC$2:$AC$495&gt;=1))*ROW('CONTROL MASTER'!$S$2:$S$495))-(ROW('CONTROL MASTER'!#REF!)-1))),"")),"")</f>
        <v/>
      </c>
      <c r="C66" s="10" t="str">
        <f>IFERROR(IF(SUMPRODUCT((('CONTROL MASTER'!$S$2:$S$495=5)*('CONTROL MASTER'!$T$2:$T$495&lt;=8)*('CONTROL MASTER'!$V$2:$V$495&gt;=8)*('CONTROL MASTER'!$U$2:$U$495&lt;=2)*('CONTROL MASTER'!$W$2:$W$495&gt;=2))*ROW('CONTROL MASTER'!$S$2:$S$495))&gt;0,INDEX('CONTROL MASTER'!$X$2:$X$495,(SUMPRODUCT((('CONTROL MASTER'!$S$2:$S$495=5)*('CONTROL MASTER'!$T$2:$T$495&lt;=8)*('CONTROL MASTER'!$V$2:$V$495&gt;=8)*('CONTROL MASTER'!$U$2:$U$495&lt;=2)*('CONTROL MASTER'!$W$2:$W$495&gt;=2))*ROW('CONTROL MASTER'!$S$2:$S$495))-(ROW('CONTROL MASTER'!#REF!)-1)))&amp;TRIM(MID(SUBSTITUTE(SUBSTITUTE(INDEX('CONTROL MASTER'!$N$2:$N$495,(SUMPRODUCT((('CONTROL MASTER'!$S$2:$S$495=5)*('CONTROL MASTER'!$T$2:$T$495&lt;=8)*('CONTROL MASTER'!$V$2:$V$495&gt;=8)*('CONTROL MASTER'!$U$2:$U$495&lt;=2)*('CONTROL MASTER'!$W$2:$W$495&gt;=2))*ROW('CONTROL MASTER'!$S$2:$S$495))-(ROW('CONTROL MASTER'!#REF!)-1))),":",","),",",REPT(" ",50)),((((8-INDEX('CONTROL MASTER'!$T$2:$T$495,(SUMPRODUCT((('CONTROL MASTER'!$S$2:$S$495=5)*('CONTROL MASTER'!$T$2:$T$495&lt;=8)*('CONTROL MASTER'!$V$2:$V$495&gt;=8)*('CONTROL MASTER'!$U$2:$U$495&lt;=2)*('CONTROL MASTER'!$W$2:$W$495&gt;=2))*ROW('CONTROL MASTER'!$S$2:$S$495))-(ROW('CONTROL MASTER'!#REF!)-1))))*(INDEX('CONTROL MASTER'!$W$2:$W$495,(SUMPRODUCT((('CONTROL MASTER'!$S$2:$S$495=5)*('CONTROL MASTER'!$T$2:$T$495&lt;=8)*('CONTROL MASTER'!$V$2:$V$495&gt;=8)*('CONTROL MASTER'!$U$2:$U$495&lt;=2)*('CONTROL MASTER'!$W$2:$W$495&gt;=2))*ROW('CONTROL MASTER'!$S$2:$S$495))-(ROW('CONTROL MASTER'!#REF!)-1)))-INDEX('CONTROL MASTER'!$U$2:$U$495,(SUMPRODUCT((('CONTROL MASTER'!$S$2:$S$495=5)*('CONTROL MASTER'!$T$2:$T$495&lt;=8)*('CONTROL MASTER'!$V$2:$V$495&gt;=8)*('CONTROL MASTER'!$U$2:$U$495&lt;=2)*('CONTROL MASTER'!$W$2:$W$495&gt;=2))*ROW('CONTROL MASTER'!$S$2:$S$495))-(ROW('CONTROL MASTER'!#REF!)-1)))+1)+(2-INDEX('CONTROL MASTER'!$U$2:$U$495,(SUMPRODUCT((('CONTROL MASTER'!$S$2:$S$495=5)*('CONTROL MASTER'!$T$2:$T$495&lt;=8)*('CONTROL MASTER'!$V$2:$V$495&gt;=8)*('CONTROL MASTER'!$U$2:$U$495&lt;=2)*('CONTROL MASTER'!$W$2:$W$495&gt;=2))*ROW('CONTROL MASTER'!$S$2:$S$495))-(ROW('CONTROL MASTER'!#REF!)-1))))+1))-1)*50+1,50))&amp;"_"&amp;INDEX('CONTROL MASTER'!$P$2:$P$495,(SUMPRODUCT((('CONTROL MASTER'!$S$2:$S$495=5)*('CONTROL MASTER'!$T$2:$T$495&lt;=8)*('CONTROL MASTER'!$V$2:$V$495&gt;=8)*('CONTROL MASTER'!$U$2:$U$495&lt;=2)*('CONTROL MASTER'!$W$2:$W$495&gt;=2))*ROW('CONTROL MASTER'!$S$2:$S$495))-(ROW('CONTROL MASTER'!#REF!)-1))),IF(SUMPRODUCT((('CONTROL MASTER'!$S$2:$S$495=5)*('CONTROL MASTER'!$Z$2:$Z$495&lt;=8)*('CONTROL MASTER'!$AB$2:$AB$495&gt;=8)*('CONTROL MASTER'!$AA$2:$AA$495&lt;=2)*('CONTROL MASTER'!$AC$2:$AC$495&gt;=2))*ROW('CONTROL MASTER'!$S$2:$S$495))&gt;0,INDEX('CONTROL MASTER'!$X$2:$X$495,(SUMPRODUCT((('CONTROL MASTER'!$S$2:$S$495=5)*('CONTROL MASTER'!$Z$2:$Z$495&lt;=8)*('CONTROL MASTER'!$AB$2:$AB$495&gt;=8)*('CONTROL MASTER'!$AA$2:$AA$495&lt;=2)*('CONTROL MASTER'!$AC$2:$AC$495&gt;=2))*ROW('CONTROL MASTER'!$S$2:$S$495))-(ROW('CONTROL MASTER'!#REF!)-1)))&amp;TRIM(MID(SUBSTITUTE(SUBSTITUTE(INDEX('CONTROL MASTER'!$N$2:$N$495,(SUMPRODUCT((('CONTROL MASTER'!$S$2:$S$495=5)*('CONTROL MASTER'!$Z$2:$Z$495&lt;=8)*('CONTROL MASTER'!$AB$2:$AB$495&gt;=8)*('CONTROL MASTER'!$AA$2:$AA$495&lt;=2)*('CONTROL MASTER'!$AC$2:$AC$495&gt;=2))*ROW('CONTROL MASTER'!$S$2:$S$495))-(ROW('CONTROL MASTER'!#REF!)-1))),":",","),",",REPT(" ",50)),(((INDEX('CONTROL MASTER'!$Y$2:$Y$495,(SUMPRODUCT((('CONTROL MASTER'!$S$2:$S$495=5)*('CONTROL MASTER'!$Z$2:$Z$495&lt;=8)*('CONTROL MASTER'!$AB$2:$AB$495&gt;=8)*('CONTROL MASTER'!$AA$2:$AA$495&lt;=2)*('CONTROL MASTER'!$AC$2:$AC$495&gt;=2))*ROW('CONTROL MASTER'!$S$2:$S$495))-(ROW('CONTROL MASTER'!#REF!)-1)))+((8-INDEX('CONTROL MASTER'!$Z$2:$Z$495,(SUMPRODUCT((('CONTROL MASTER'!$S$2:$S$495=5)*('CONTROL MASTER'!$Z$2:$Z$495&lt;=8)*('CONTROL MASTER'!$AB$2:$AB$495&gt;=8)*('CONTROL MASTER'!$AA$2:$AA$495&lt;=2)*('CONTROL MASTER'!$AC$2:$AC$495&gt;=2))*ROW('CONTROL MASTER'!$S$2:$S$495))-(ROW('CONTROL MASTER'!#REF!)-1))))*(INDEX('CONTROL MASTER'!$AC$2:$AC$495,(SUMPRODUCT((('CONTROL MASTER'!$S$2:$S$495=5)*('CONTROL MASTER'!$Z$2:$Z$495&lt;=8)*('CONTROL MASTER'!$AB$2:$AB$495&gt;=8)*('CONTROL MASTER'!$AA$2:$AA$495&lt;=2)*('CONTROL MASTER'!$AC$2:$AC$495&gt;=2))*ROW('CONTROL MASTER'!$S$2:$S$495))-(ROW('CONTROL MASTER'!#REF!)-1)))-INDEX('CONTROL MASTER'!$AA$2:$AA$495,(SUMPRODUCT((('CONTROL MASTER'!$S$2:$S$495=5)*('CONTROL MASTER'!$Z$2:$Z$495&lt;=8)*('CONTROL MASTER'!$AB$2:$AB$495&gt;=8)*('CONTROL MASTER'!$AA$2:$AA$495&lt;=2)*('CONTROL MASTER'!$AC$2:$AC$495&gt;=2))*ROW('CONTROL MASTER'!$S$2:$S$495))-(ROW('CONTROL MASTER'!#REF!)-1)))+1)+(2-INDEX('CONTROL MASTER'!$AA$2:$AA$495,(SUMPRODUCT((('CONTROL MASTER'!$S$2:$S$495=5)*('CONTROL MASTER'!$Z$2:$Z$495&lt;=8)*('CONTROL MASTER'!$AB$2:$AB$495&gt;=8)*('CONTROL MASTER'!$AA$2:$AA$495&lt;=2)*('CONTROL MASTER'!$AC$2:$AC$495&gt;=2))*ROW('CONTROL MASTER'!$S$2:$S$495))-(ROW('CONTROL MASTER'!#REF!)-1))))+1)))-1)*50+1,50))&amp;"_"&amp;INDEX('CONTROL MASTER'!$P$2:$P$495,(SUMPRODUCT((('CONTROL MASTER'!$S$2:$S$495=5)*('CONTROL MASTER'!$Z$2:$Z$495&lt;=8)*('CONTROL MASTER'!$AB$2:$AB$495&gt;=8)*('CONTROL MASTER'!$AA$2:$AA$495&lt;=2)*('CONTROL MASTER'!$AC$2:$AC$495&gt;=2))*ROW('CONTROL MASTER'!$S$2:$S$495))-(ROW('CONTROL MASTER'!#REF!)-1))),"")),"")</f>
        <v/>
      </c>
      <c r="D66" s="10" t="str">
        <f>IFERROR(IF(SUMPRODUCT((('CONTROL MASTER'!$S$2:$S$495=5)*('CONTROL MASTER'!$T$2:$T$495&lt;=8)*('CONTROL MASTER'!$V$2:$V$495&gt;=8)*('CONTROL MASTER'!$U$2:$U$495&lt;=3)*('CONTROL MASTER'!$W$2:$W$495&gt;=3))*ROW('CONTROL MASTER'!$S$2:$S$495))&gt;0,INDEX('CONTROL MASTER'!$X$2:$X$495,(SUMPRODUCT((('CONTROL MASTER'!$S$2:$S$495=5)*('CONTROL MASTER'!$T$2:$T$495&lt;=8)*('CONTROL MASTER'!$V$2:$V$495&gt;=8)*('CONTROL MASTER'!$U$2:$U$495&lt;=3)*('CONTROL MASTER'!$W$2:$W$495&gt;=3))*ROW('CONTROL MASTER'!$S$2:$S$495))-(ROW('CONTROL MASTER'!#REF!)-1)))&amp;TRIM(MID(SUBSTITUTE(SUBSTITUTE(INDEX('CONTROL MASTER'!$N$2:$N$495,(SUMPRODUCT((('CONTROL MASTER'!$S$2:$S$495=5)*('CONTROL MASTER'!$T$2:$T$495&lt;=8)*('CONTROL MASTER'!$V$2:$V$495&gt;=8)*('CONTROL MASTER'!$U$2:$U$495&lt;=3)*('CONTROL MASTER'!$W$2:$W$495&gt;=3))*ROW('CONTROL MASTER'!$S$2:$S$495))-(ROW('CONTROL MASTER'!#REF!)-1))),":",","),",",REPT(" ",50)),((((8-INDEX('CONTROL MASTER'!$T$2:$T$495,(SUMPRODUCT((('CONTROL MASTER'!$S$2:$S$495=5)*('CONTROL MASTER'!$T$2:$T$495&lt;=8)*('CONTROL MASTER'!$V$2:$V$495&gt;=8)*('CONTROL MASTER'!$U$2:$U$495&lt;=3)*('CONTROL MASTER'!$W$2:$W$495&gt;=3))*ROW('CONTROL MASTER'!$S$2:$S$495))-(ROW('CONTROL MASTER'!#REF!)-1))))*(INDEX('CONTROL MASTER'!$W$2:$W$495,(SUMPRODUCT((('CONTROL MASTER'!$S$2:$S$495=5)*('CONTROL MASTER'!$T$2:$T$495&lt;=8)*('CONTROL MASTER'!$V$2:$V$495&gt;=8)*('CONTROL MASTER'!$U$2:$U$495&lt;=3)*('CONTROL MASTER'!$W$2:$W$495&gt;=3))*ROW('CONTROL MASTER'!$S$2:$S$495))-(ROW('CONTROL MASTER'!#REF!)-1)))-INDEX('CONTROL MASTER'!$U$2:$U$495,(SUMPRODUCT((('CONTROL MASTER'!$S$2:$S$495=5)*('CONTROL MASTER'!$T$2:$T$495&lt;=8)*('CONTROL MASTER'!$V$2:$V$495&gt;=8)*('CONTROL MASTER'!$U$2:$U$495&lt;=3)*('CONTROL MASTER'!$W$2:$W$495&gt;=3))*ROW('CONTROL MASTER'!$S$2:$S$495))-(ROW('CONTROL MASTER'!#REF!)-1)))+1)+(3-INDEX('CONTROL MASTER'!$U$2:$U$495,(SUMPRODUCT((('CONTROL MASTER'!$S$2:$S$495=5)*('CONTROL MASTER'!$T$2:$T$495&lt;=8)*('CONTROL MASTER'!$V$2:$V$495&gt;=8)*('CONTROL MASTER'!$U$2:$U$495&lt;=3)*('CONTROL MASTER'!$W$2:$W$495&gt;=3))*ROW('CONTROL MASTER'!$S$2:$S$495))-(ROW('CONTROL MASTER'!#REF!)-1))))+1))-1)*50+1,50))&amp;"_"&amp;INDEX('CONTROL MASTER'!$P$2:$P$495,(SUMPRODUCT((('CONTROL MASTER'!$S$2:$S$495=5)*('CONTROL MASTER'!$T$2:$T$495&lt;=8)*('CONTROL MASTER'!$V$2:$V$495&gt;=8)*('CONTROL MASTER'!$U$2:$U$495&lt;=3)*('CONTROL MASTER'!$W$2:$W$495&gt;=3))*ROW('CONTROL MASTER'!$S$2:$S$495))-(ROW('CONTROL MASTER'!#REF!)-1))),IF(SUMPRODUCT((('CONTROL MASTER'!$S$2:$S$495=5)*('CONTROL MASTER'!$Z$2:$Z$495&lt;=8)*('CONTROL MASTER'!$AB$2:$AB$495&gt;=8)*('CONTROL MASTER'!$AA$2:$AA$495&lt;=3)*('CONTROL MASTER'!$AC$2:$AC$495&gt;=3))*ROW('CONTROL MASTER'!$S$2:$S$495))&gt;0,INDEX('CONTROL MASTER'!$X$2:$X$495,(SUMPRODUCT((('CONTROL MASTER'!$S$2:$S$495=5)*('CONTROL MASTER'!$Z$2:$Z$495&lt;=8)*('CONTROL MASTER'!$AB$2:$AB$495&gt;=8)*('CONTROL MASTER'!$AA$2:$AA$495&lt;=3)*('CONTROL MASTER'!$AC$2:$AC$495&gt;=3))*ROW('CONTROL MASTER'!$S$2:$S$495))-(ROW('CONTROL MASTER'!#REF!)-1)))&amp;TRIM(MID(SUBSTITUTE(SUBSTITUTE(INDEX('CONTROL MASTER'!$N$2:$N$495,(SUMPRODUCT((('CONTROL MASTER'!$S$2:$S$495=5)*('CONTROL MASTER'!$Z$2:$Z$495&lt;=8)*('CONTROL MASTER'!$AB$2:$AB$495&gt;=8)*('CONTROL MASTER'!$AA$2:$AA$495&lt;=3)*('CONTROL MASTER'!$AC$2:$AC$495&gt;=3))*ROW('CONTROL MASTER'!$S$2:$S$495))-(ROW('CONTROL MASTER'!#REF!)-1))),":",","),",",REPT(" ",50)),(((INDEX('CONTROL MASTER'!$Y$2:$Y$495,(SUMPRODUCT((('CONTROL MASTER'!$S$2:$S$495=5)*('CONTROL MASTER'!$Z$2:$Z$495&lt;=8)*('CONTROL MASTER'!$AB$2:$AB$495&gt;=8)*('CONTROL MASTER'!$AA$2:$AA$495&lt;=3)*('CONTROL MASTER'!$AC$2:$AC$495&gt;=3))*ROW('CONTROL MASTER'!$S$2:$S$495))-(ROW('CONTROL MASTER'!#REF!)-1)))+((8-INDEX('CONTROL MASTER'!$Z$2:$Z$495,(SUMPRODUCT((('CONTROL MASTER'!$S$2:$S$495=5)*('CONTROL MASTER'!$Z$2:$Z$495&lt;=8)*('CONTROL MASTER'!$AB$2:$AB$495&gt;=8)*('CONTROL MASTER'!$AA$2:$AA$495&lt;=3)*('CONTROL MASTER'!$AC$2:$AC$495&gt;=3))*ROW('CONTROL MASTER'!$S$2:$S$495))-(ROW('CONTROL MASTER'!#REF!)-1))))*(INDEX('CONTROL MASTER'!$AC$2:$AC$495,(SUMPRODUCT((('CONTROL MASTER'!$S$2:$S$495=5)*('CONTROL MASTER'!$Z$2:$Z$495&lt;=8)*('CONTROL MASTER'!$AB$2:$AB$495&gt;=8)*('CONTROL MASTER'!$AA$2:$AA$495&lt;=3)*('CONTROL MASTER'!$AC$2:$AC$495&gt;=3))*ROW('CONTROL MASTER'!$S$2:$S$495))-(ROW('CONTROL MASTER'!#REF!)-1)))-INDEX('CONTROL MASTER'!$AA$2:$AA$495,(SUMPRODUCT((('CONTROL MASTER'!$S$2:$S$495=5)*('CONTROL MASTER'!$Z$2:$Z$495&lt;=8)*('CONTROL MASTER'!$AB$2:$AB$495&gt;=8)*('CONTROL MASTER'!$AA$2:$AA$495&lt;=3)*('CONTROL MASTER'!$AC$2:$AC$495&gt;=3))*ROW('CONTROL MASTER'!$S$2:$S$495))-(ROW('CONTROL MASTER'!#REF!)-1)))+1)+(3-INDEX('CONTROL MASTER'!$AA$2:$AA$495,(SUMPRODUCT((('CONTROL MASTER'!$S$2:$S$495=5)*('CONTROL MASTER'!$Z$2:$Z$495&lt;=8)*('CONTROL MASTER'!$AB$2:$AB$495&gt;=8)*('CONTROL MASTER'!$AA$2:$AA$495&lt;=3)*('CONTROL MASTER'!$AC$2:$AC$495&gt;=3))*ROW('CONTROL MASTER'!$S$2:$S$495))-(ROW('CONTROL MASTER'!#REF!)-1))))+1)))-1)*50+1,50))&amp;"_"&amp;INDEX('CONTROL MASTER'!$P$2:$P$495,(SUMPRODUCT((('CONTROL MASTER'!$S$2:$S$495=5)*('CONTROL MASTER'!$Z$2:$Z$495&lt;=8)*('CONTROL MASTER'!$AB$2:$AB$495&gt;=8)*('CONTROL MASTER'!$AA$2:$AA$495&lt;=3)*('CONTROL MASTER'!$AC$2:$AC$495&gt;=3))*ROW('CONTROL MASTER'!$S$2:$S$495))-(ROW('CONTROL MASTER'!#REF!)-1))),"")),"")</f>
        <v/>
      </c>
      <c r="E66" s="10" t="str">
        <f>IFERROR(IF(SUMPRODUCT((('CONTROL MASTER'!$S$2:$S$495=5)*('CONTROL MASTER'!$T$2:$T$495&lt;=8)*('CONTROL MASTER'!$V$2:$V$495&gt;=8)*('CONTROL MASTER'!$U$2:$U$495&lt;=4)*('CONTROL MASTER'!$W$2:$W$495&gt;=4))*ROW('CONTROL MASTER'!$S$2:$S$495))&gt;0,INDEX('CONTROL MASTER'!$X$2:$X$495,(SUMPRODUCT((('CONTROL MASTER'!$S$2:$S$495=5)*('CONTROL MASTER'!$T$2:$T$495&lt;=8)*('CONTROL MASTER'!$V$2:$V$495&gt;=8)*('CONTROL MASTER'!$U$2:$U$495&lt;=4)*('CONTROL MASTER'!$W$2:$W$495&gt;=4))*ROW('CONTROL MASTER'!$S$2:$S$495))-(ROW('CONTROL MASTER'!#REF!)-1)))&amp;TRIM(MID(SUBSTITUTE(SUBSTITUTE(INDEX('CONTROL MASTER'!$N$2:$N$495,(SUMPRODUCT((('CONTROL MASTER'!$S$2:$S$495=5)*('CONTROL MASTER'!$T$2:$T$495&lt;=8)*('CONTROL MASTER'!$V$2:$V$495&gt;=8)*('CONTROL MASTER'!$U$2:$U$495&lt;=4)*('CONTROL MASTER'!$W$2:$W$495&gt;=4))*ROW('CONTROL MASTER'!$S$2:$S$495))-(ROW('CONTROL MASTER'!#REF!)-1))),":",","),",",REPT(" ",50)),((((8-INDEX('CONTROL MASTER'!$T$2:$T$495,(SUMPRODUCT((('CONTROL MASTER'!$S$2:$S$495=5)*('CONTROL MASTER'!$T$2:$T$495&lt;=8)*('CONTROL MASTER'!$V$2:$V$495&gt;=8)*('CONTROL MASTER'!$U$2:$U$495&lt;=4)*('CONTROL MASTER'!$W$2:$W$495&gt;=4))*ROW('CONTROL MASTER'!$S$2:$S$495))-(ROW('CONTROL MASTER'!#REF!)-1))))*(INDEX('CONTROL MASTER'!$W$2:$W$495,(SUMPRODUCT((('CONTROL MASTER'!$S$2:$S$495=5)*('CONTROL MASTER'!$T$2:$T$495&lt;=8)*('CONTROL MASTER'!$V$2:$V$495&gt;=8)*('CONTROL MASTER'!$U$2:$U$495&lt;=4)*('CONTROL MASTER'!$W$2:$W$495&gt;=4))*ROW('CONTROL MASTER'!$S$2:$S$495))-(ROW('CONTROL MASTER'!#REF!)-1)))-INDEX('CONTROL MASTER'!$U$2:$U$495,(SUMPRODUCT((('CONTROL MASTER'!$S$2:$S$495=5)*('CONTROL MASTER'!$T$2:$T$495&lt;=8)*('CONTROL MASTER'!$V$2:$V$495&gt;=8)*('CONTROL MASTER'!$U$2:$U$495&lt;=4)*('CONTROL MASTER'!$W$2:$W$495&gt;=4))*ROW('CONTROL MASTER'!$S$2:$S$495))-(ROW('CONTROL MASTER'!#REF!)-1)))+1)+(4-INDEX('CONTROL MASTER'!$U$2:$U$495,(SUMPRODUCT((('CONTROL MASTER'!$S$2:$S$495=5)*('CONTROL MASTER'!$T$2:$T$495&lt;=8)*('CONTROL MASTER'!$V$2:$V$495&gt;=8)*('CONTROL MASTER'!$U$2:$U$495&lt;=4)*('CONTROL MASTER'!$W$2:$W$495&gt;=4))*ROW('CONTROL MASTER'!$S$2:$S$495))-(ROW('CONTROL MASTER'!#REF!)-1))))+1))-1)*50+1,50))&amp;"_"&amp;INDEX('CONTROL MASTER'!$P$2:$P$495,(SUMPRODUCT((('CONTROL MASTER'!$S$2:$S$495=5)*('CONTROL MASTER'!$T$2:$T$495&lt;=8)*('CONTROL MASTER'!$V$2:$V$495&gt;=8)*('CONTROL MASTER'!$U$2:$U$495&lt;=4)*('CONTROL MASTER'!$W$2:$W$495&gt;=4))*ROW('CONTROL MASTER'!$S$2:$S$495))-(ROW('CONTROL MASTER'!#REF!)-1))),IF(SUMPRODUCT((('CONTROL MASTER'!$S$2:$S$495=5)*('CONTROL MASTER'!$Z$2:$Z$495&lt;=8)*('CONTROL MASTER'!$AB$2:$AB$495&gt;=8)*('CONTROL MASTER'!$AA$2:$AA$495&lt;=4)*('CONTROL MASTER'!$AC$2:$AC$495&gt;=4))*ROW('CONTROL MASTER'!$S$2:$S$495))&gt;0,INDEX('CONTROL MASTER'!$X$2:$X$495,(SUMPRODUCT((('CONTROL MASTER'!$S$2:$S$495=5)*('CONTROL MASTER'!$Z$2:$Z$495&lt;=8)*('CONTROL MASTER'!$AB$2:$AB$495&gt;=8)*('CONTROL MASTER'!$AA$2:$AA$495&lt;=4)*('CONTROL MASTER'!$AC$2:$AC$495&gt;=4))*ROW('CONTROL MASTER'!$S$2:$S$495))-(ROW('CONTROL MASTER'!#REF!)-1)))&amp;TRIM(MID(SUBSTITUTE(SUBSTITUTE(INDEX('CONTROL MASTER'!$N$2:$N$495,(SUMPRODUCT((('CONTROL MASTER'!$S$2:$S$495=5)*('CONTROL MASTER'!$Z$2:$Z$495&lt;=8)*('CONTROL MASTER'!$AB$2:$AB$495&gt;=8)*('CONTROL MASTER'!$AA$2:$AA$495&lt;=4)*('CONTROL MASTER'!$AC$2:$AC$495&gt;=4))*ROW('CONTROL MASTER'!$S$2:$S$495))-(ROW('CONTROL MASTER'!#REF!)-1))),":",","),",",REPT(" ",50)),(((INDEX('CONTROL MASTER'!$Y$2:$Y$495,(SUMPRODUCT((('CONTROL MASTER'!$S$2:$S$495=5)*('CONTROL MASTER'!$Z$2:$Z$495&lt;=8)*('CONTROL MASTER'!$AB$2:$AB$495&gt;=8)*('CONTROL MASTER'!$AA$2:$AA$495&lt;=4)*('CONTROL MASTER'!$AC$2:$AC$495&gt;=4))*ROW('CONTROL MASTER'!$S$2:$S$495))-(ROW('CONTROL MASTER'!#REF!)-1)))+((8-INDEX('CONTROL MASTER'!$Z$2:$Z$495,(SUMPRODUCT((('CONTROL MASTER'!$S$2:$S$495=5)*('CONTROL MASTER'!$Z$2:$Z$495&lt;=8)*('CONTROL MASTER'!$AB$2:$AB$495&gt;=8)*('CONTROL MASTER'!$AA$2:$AA$495&lt;=4)*('CONTROL MASTER'!$AC$2:$AC$495&gt;=4))*ROW('CONTROL MASTER'!$S$2:$S$495))-(ROW('CONTROL MASTER'!#REF!)-1))))*(INDEX('CONTROL MASTER'!$AC$2:$AC$495,(SUMPRODUCT((('CONTROL MASTER'!$S$2:$S$495=5)*('CONTROL MASTER'!$Z$2:$Z$495&lt;=8)*('CONTROL MASTER'!$AB$2:$AB$495&gt;=8)*('CONTROL MASTER'!$AA$2:$AA$495&lt;=4)*('CONTROL MASTER'!$AC$2:$AC$495&gt;=4))*ROW('CONTROL MASTER'!$S$2:$S$495))-(ROW('CONTROL MASTER'!#REF!)-1)))-INDEX('CONTROL MASTER'!$AA$2:$AA$495,(SUMPRODUCT((('CONTROL MASTER'!$S$2:$S$495=5)*('CONTROL MASTER'!$Z$2:$Z$495&lt;=8)*('CONTROL MASTER'!$AB$2:$AB$495&gt;=8)*('CONTROL MASTER'!$AA$2:$AA$495&lt;=4)*('CONTROL MASTER'!$AC$2:$AC$495&gt;=4))*ROW('CONTROL MASTER'!$S$2:$S$495))-(ROW('CONTROL MASTER'!#REF!)-1)))+1)+(4-INDEX('CONTROL MASTER'!$AA$2:$AA$495,(SUMPRODUCT((('CONTROL MASTER'!$S$2:$S$495=5)*('CONTROL MASTER'!$Z$2:$Z$495&lt;=8)*('CONTROL MASTER'!$AB$2:$AB$495&gt;=8)*('CONTROL MASTER'!$AA$2:$AA$495&lt;=4)*('CONTROL MASTER'!$AC$2:$AC$495&gt;=4))*ROW('CONTROL MASTER'!$S$2:$S$495))-(ROW('CONTROL MASTER'!#REF!)-1))))+1)))-1)*50+1,50))&amp;"_"&amp;INDEX('CONTROL MASTER'!$P$2:$P$495,(SUMPRODUCT((('CONTROL MASTER'!$S$2:$S$495=5)*('CONTROL MASTER'!$Z$2:$Z$495&lt;=8)*('CONTROL MASTER'!$AB$2:$AB$495&gt;=8)*('CONTROL MASTER'!$AA$2:$AA$495&lt;=4)*('CONTROL MASTER'!$AC$2:$AC$495&gt;=4))*ROW('CONTROL MASTER'!$S$2:$S$495))-(ROW('CONTROL MASTER'!#REF!)-1))),"")),"")</f>
        <v/>
      </c>
      <c r="F66" s="10" t="str">
        <f>IFERROR(IF(SUMPRODUCT((('CONTROL MASTER'!$S$2:$S$495=5)*('CONTROL MASTER'!$T$2:$T$495&lt;=8)*('CONTROL MASTER'!$V$2:$V$495&gt;=8)*('CONTROL MASTER'!$U$2:$U$495&lt;=5)*('CONTROL MASTER'!$W$2:$W$495&gt;=5))*ROW('CONTROL MASTER'!$S$2:$S$495))&gt;0,INDEX('CONTROL MASTER'!$X$2:$X$495,(SUMPRODUCT((('CONTROL MASTER'!$S$2:$S$495=5)*('CONTROL MASTER'!$T$2:$T$495&lt;=8)*('CONTROL MASTER'!$V$2:$V$495&gt;=8)*('CONTROL MASTER'!$U$2:$U$495&lt;=5)*('CONTROL MASTER'!$W$2:$W$495&gt;=5))*ROW('CONTROL MASTER'!$S$2:$S$495))-(ROW('CONTROL MASTER'!#REF!)-1)))&amp;TRIM(MID(SUBSTITUTE(SUBSTITUTE(INDEX('CONTROL MASTER'!$N$2:$N$495,(SUMPRODUCT((('CONTROL MASTER'!$S$2:$S$495=5)*('CONTROL MASTER'!$T$2:$T$495&lt;=8)*('CONTROL MASTER'!$V$2:$V$495&gt;=8)*('CONTROL MASTER'!$U$2:$U$495&lt;=5)*('CONTROL MASTER'!$W$2:$W$495&gt;=5))*ROW('CONTROL MASTER'!$S$2:$S$495))-(ROW('CONTROL MASTER'!#REF!)-1))),":",","),",",REPT(" ",50)),((((8-INDEX('CONTROL MASTER'!$T$2:$T$495,(SUMPRODUCT((('CONTROL MASTER'!$S$2:$S$495=5)*('CONTROL MASTER'!$T$2:$T$495&lt;=8)*('CONTROL MASTER'!$V$2:$V$495&gt;=8)*('CONTROL MASTER'!$U$2:$U$495&lt;=5)*('CONTROL MASTER'!$W$2:$W$495&gt;=5))*ROW('CONTROL MASTER'!$S$2:$S$495))-(ROW('CONTROL MASTER'!#REF!)-1))))*(INDEX('CONTROL MASTER'!$W$2:$W$495,(SUMPRODUCT((('CONTROL MASTER'!$S$2:$S$495=5)*('CONTROL MASTER'!$T$2:$T$495&lt;=8)*('CONTROL MASTER'!$V$2:$V$495&gt;=8)*('CONTROL MASTER'!$U$2:$U$495&lt;=5)*('CONTROL MASTER'!$W$2:$W$495&gt;=5))*ROW('CONTROL MASTER'!$S$2:$S$495))-(ROW('CONTROL MASTER'!#REF!)-1)))-INDEX('CONTROL MASTER'!$U$2:$U$495,(SUMPRODUCT((('CONTROL MASTER'!$S$2:$S$495=5)*('CONTROL MASTER'!$T$2:$T$495&lt;=8)*('CONTROL MASTER'!$V$2:$V$495&gt;=8)*('CONTROL MASTER'!$U$2:$U$495&lt;=5)*('CONTROL MASTER'!$W$2:$W$495&gt;=5))*ROW('CONTROL MASTER'!$S$2:$S$495))-(ROW('CONTROL MASTER'!#REF!)-1)))+1)+(5-INDEX('CONTROL MASTER'!$U$2:$U$495,(SUMPRODUCT((('CONTROL MASTER'!$S$2:$S$495=5)*('CONTROL MASTER'!$T$2:$T$495&lt;=8)*('CONTROL MASTER'!$V$2:$V$495&gt;=8)*('CONTROL MASTER'!$U$2:$U$495&lt;=5)*('CONTROL MASTER'!$W$2:$W$495&gt;=5))*ROW('CONTROL MASTER'!$S$2:$S$495))-(ROW('CONTROL MASTER'!#REF!)-1))))+1))-1)*50+1,50))&amp;"_"&amp;INDEX('CONTROL MASTER'!$P$2:$P$495,(SUMPRODUCT((('CONTROL MASTER'!$S$2:$S$495=5)*('CONTROL MASTER'!$T$2:$T$495&lt;=8)*('CONTROL MASTER'!$V$2:$V$495&gt;=8)*('CONTROL MASTER'!$U$2:$U$495&lt;=5)*('CONTROL MASTER'!$W$2:$W$495&gt;=5))*ROW('CONTROL MASTER'!$S$2:$S$495))-(ROW('CONTROL MASTER'!#REF!)-1))),IF(SUMPRODUCT((('CONTROL MASTER'!$S$2:$S$495=5)*('CONTROL MASTER'!$Z$2:$Z$495&lt;=8)*('CONTROL MASTER'!$AB$2:$AB$495&gt;=8)*('CONTROL MASTER'!$AA$2:$AA$495&lt;=5)*('CONTROL MASTER'!$AC$2:$AC$495&gt;=5))*ROW('CONTROL MASTER'!$S$2:$S$495))&gt;0,INDEX('CONTROL MASTER'!$X$2:$X$495,(SUMPRODUCT((('CONTROL MASTER'!$S$2:$S$495=5)*('CONTROL MASTER'!$Z$2:$Z$495&lt;=8)*('CONTROL MASTER'!$AB$2:$AB$495&gt;=8)*('CONTROL MASTER'!$AA$2:$AA$495&lt;=5)*('CONTROL MASTER'!$AC$2:$AC$495&gt;=5))*ROW('CONTROL MASTER'!$S$2:$S$495))-(ROW('CONTROL MASTER'!#REF!)-1)))&amp;TRIM(MID(SUBSTITUTE(SUBSTITUTE(INDEX('CONTROL MASTER'!$N$2:$N$495,(SUMPRODUCT((('CONTROL MASTER'!$S$2:$S$495=5)*('CONTROL MASTER'!$Z$2:$Z$495&lt;=8)*('CONTROL MASTER'!$AB$2:$AB$495&gt;=8)*('CONTROL MASTER'!$AA$2:$AA$495&lt;=5)*('CONTROL MASTER'!$AC$2:$AC$495&gt;=5))*ROW('CONTROL MASTER'!$S$2:$S$495))-(ROW('CONTROL MASTER'!#REF!)-1))),":",","),",",REPT(" ",50)),(((INDEX('CONTROL MASTER'!$Y$2:$Y$495,(SUMPRODUCT((('CONTROL MASTER'!$S$2:$S$495=5)*('CONTROL MASTER'!$Z$2:$Z$495&lt;=8)*('CONTROL MASTER'!$AB$2:$AB$495&gt;=8)*('CONTROL MASTER'!$AA$2:$AA$495&lt;=5)*('CONTROL MASTER'!$AC$2:$AC$495&gt;=5))*ROW('CONTROL MASTER'!$S$2:$S$495))-(ROW('CONTROL MASTER'!#REF!)-1)))+((8-INDEX('CONTROL MASTER'!$Z$2:$Z$495,(SUMPRODUCT((('CONTROL MASTER'!$S$2:$S$495=5)*('CONTROL MASTER'!$Z$2:$Z$495&lt;=8)*('CONTROL MASTER'!$AB$2:$AB$495&gt;=8)*('CONTROL MASTER'!$AA$2:$AA$495&lt;=5)*('CONTROL MASTER'!$AC$2:$AC$495&gt;=5))*ROW('CONTROL MASTER'!$S$2:$S$495))-(ROW('CONTROL MASTER'!#REF!)-1))))*(INDEX('CONTROL MASTER'!$AC$2:$AC$495,(SUMPRODUCT((('CONTROL MASTER'!$S$2:$S$495=5)*('CONTROL MASTER'!$Z$2:$Z$495&lt;=8)*('CONTROL MASTER'!$AB$2:$AB$495&gt;=8)*('CONTROL MASTER'!$AA$2:$AA$495&lt;=5)*('CONTROL MASTER'!$AC$2:$AC$495&gt;=5))*ROW('CONTROL MASTER'!$S$2:$S$495))-(ROW('CONTROL MASTER'!#REF!)-1)))-INDEX('CONTROL MASTER'!$AA$2:$AA$495,(SUMPRODUCT((('CONTROL MASTER'!$S$2:$S$495=5)*('CONTROL MASTER'!$Z$2:$Z$495&lt;=8)*('CONTROL MASTER'!$AB$2:$AB$495&gt;=8)*('CONTROL MASTER'!$AA$2:$AA$495&lt;=5)*('CONTROL MASTER'!$AC$2:$AC$495&gt;=5))*ROW('CONTROL MASTER'!$S$2:$S$495))-(ROW('CONTROL MASTER'!#REF!)-1)))+1)+(5-INDEX('CONTROL MASTER'!$AA$2:$AA$495,(SUMPRODUCT((('CONTROL MASTER'!$S$2:$S$495=5)*('CONTROL MASTER'!$Z$2:$Z$495&lt;=8)*('CONTROL MASTER'!$AB$2:$AB$495&gt;=8)*('CONTROL MASTER'!$AA$2:$AA$495&lt;=5)*('CONTROL MASTER'!$AC$2:$AC$495&gt;=5))*ROW('CONTROL MASTER'!$S$2:$S$495))-(ROW('CONTROL MASTER'!#REF!)-1))))+1)))-1)*50+1,50))&amp;"_"&amp;INDEX('CONTROL MASTER'!$P$2:$P$495,(SUMPRODUCT((('CONTROL MASTER'!$S$2:$S$495=5)*('CONTROL MASTER'!$Z$2:$Z$495&lt;=8)*('CONTROL MASTER'!$AB$2:$AB$495&gt;=8)*('CONTROL MASTER'!$AA$2:$AA$495&lt;=5)*('CONTROL MASTER'!$AC$2:$AC$495&gt;=5))*ROW('CONTROL MASTER'!$S$2:$S$495))-(ROW('CONTROL MASTER'!#REF!)-1))),"")),"")</f>
        <v/>
      </c>
      <c r="G66" s="10" t="str">
        <f>IFERROR(IF(SUMPRODUCT((('CONTROL MASTER'!$S$2:$S$495=5)*('CONTROL MASTER'!$T$2:$T$495&lt;=8)*('CONTROL MASTER'!$V$2:$V$495&gt;=8)*('CONTROL MASTER'!$U$2:$U$495&lt;=6)*('CONTROL MASTER'!$W$2:$W$495&gt;=6))*ROW('CONTROL MASTER'!$S$2:$S$495))&gt;0,INDEX('CONTROL MASTER'!$X$2:$X$495,(SUMPRODUCT((('CONTROL MASTER'!$S$2:$S$495=5)*('CONTROL MASTER'!$T$2:$T$495&lt;=8)*('CONTROL MASTER'!$V$2:$V$495&gt;=8)*('CONTROL MASTER'!$U$2:$U$495&lt;=6)*('CONTROL MASTER'!$W$2:$W$495&gt;=6))*ROW('CONTROL MASTER'!$S$2:$S$495))-(ROW('CONTROL MASTER'!#REF!)-1)))&amp;TRIM(MID(SUBSTITUTE(SUBSTITUTE(INDEX('CONTROL MASTER'!$N$2:$N$495,(SUMPRODUCT((('CONTROL MASTER'!$S$2:$S$495=5)*('CONTROL MASTER'!$T$2:$T$495&lt;=8)*('CONTROL MASTER'!$V$2:$V$495&gt;=8)*('CONTROL MASTER'!$U$2:$U$495&lt;=6)*('CONTROL MASTER'!$W$2:$W$495&gt;=6))*ROW('CONTROL MASTER'!$S$2:$S$495))-(ROW('CONTROL MASTER'!#REF!)-1))),":",","),",",REPT(" ",50)),((((8-INDEX('CONTROL MASTER'!$T$2:$T$495,(SUMPRODUCT((('CONTROL MASTER'!$S$2:$S$495=5)*('CONTROL MASTER'!$T$2:$T$495&lt;=8)*('CONTROL MASTER'!$V$2:$V$495&gt;=8)*('CONTROL MASTER'!$U$2:$U$495&lt;=6)*('CONTROL MASTER'!$W$2:$W$495&gt;=6))*ROW('CONTROL MASTER'!$S$2:$S$495))-(ROW('CONTROL MASTER'!#REF!)-1))))*(INDEX('CONTROL MASTER'!$W$2:$W$495,(SUMPRODUCT((('CONTROL MASTER'!$S$2:$S$495=5)*('CONTROL MASTER'!$T$2:$T$495&lt;=8)*('CONTROL MASTER'!$V$2:$V$495&gt;=8)*('CONTROL MASTER'!$U$2:$U$495&lt;=6)*('CONTROL MASTER'!$W$2:$W$495&gt;=6))*ROW('CONTROL MASTER'!$S$2:$S$495))-(ROW('CONTROL MASTER'!#REF!)-1)))-INDEX('CONTROL MASTER'!$U$2:$U$495,(SUMPRODUCT((('CONTROL MASTER'!$S$2:$S$495=5)*('CONTROL MASTER'!$T$2:$T$495&lt;=8)*('CONTROL MASTER'!$V$2:$V$495&gt;=8)*('CONTROL MASTER'!$U$2:$U$495&lt;=6)*('CONTROL MASTER'!$W$2:$W$495&gt;=6))*ROW('CONTROL MASTER'!$S$2:$S$495))-(ROW('CONTROL MASTER'!#REF!)-1)))+1)+(6-INDEX('CONTROL MASTER'!$U$2:$U$495,(SUMPRODUCT((('CONTROL MASTER'!$S$2:$S$495=5)*('CONTROL MASTER'!$T$2:$T$495&lt;=8)*('CONTROL MASTER'!$V$2:$V$495&gt;=8)*('CONTROL MASTER'!$U$2:$U$495&lt;=6)*('CONTROL MASTER'!$W$2:$W$495&gt;=6))*ROW('CONTROL MASTER'!$S$2:$S$495))-(ROW('CONTROL MASTER'!#REF!)-1))))+1))-1)*50+1,50))&amp;"_"&amp;INDEX('CONTROL MASTER'!$P$2:$P$495,(SUMPRODUCT((('CONTROL MASTER'!$S$2:$S$495=5)*('CONTROL MASTER'!$T$2:$T$495&lt;=8)*('CONTROL MASTER'!$V$2:$V$495&gt;=8)*('CONTROL MASTER'!$U$2:$U$495&lt;=6)*('CONTROL MASTER'!$W$2:$W$495&gt;=6))*ROW('CONTROL MASTER'!$S$2:$S$495))-(ROW('CONTROL MASTER'!#REF!)-1))),IF(SUMPRODUCT((('CONTROL MASTER'!$S$2:$S$495=5)*('CONTROL MASTER'!$Z$2:$Z$495&lt;=8)*('CONTROL MASTER'!$AB$2:$AB$495&gt;=8)*('CONTROL MASTER'!$AA$2:$AA$495&lt;=6)*('CONTROL MASTER'!$AC$2:$AC$495&gt;=6))*ROW('CONTROL MASTER'!$S$2:$S$495))&gt;0,INDEX('CONTROL MASTER'!$X$2:$X$495,(SUMPRODUCT((('CONTROL MASTER'!$S$2:$S$495=5)*('CONTROL MASTER'!$Z$2:$Z$495&lt;=8)*('CONTROL MASTER'!$AB$2:$AB$495&gt;=8)*('CONTROL MASTER'!$AA$2:$AA$495&lt;=6)*('CONTROL MASTER'!$AC$2:$AC$495&gt;=6))*ROW('CONTROL MASTER'!$S$2:$S$495))-(ROW('CONTROL MASTER'!#REF!)-1)))&amp;TRIM(MID(SUBSTITUTE(SUBSTITUTE(INDEX('CONTROL MASTER'!$N$2:$N$495,(SUMPRODUCT((('CONTROL MASTER'!$S$2:$S$495=5)*('CONTROL MASTER'!$Z$2:$Z$495&lt;=8)*('CONTROL MASTER'!$AB$2:$AB$495&gt;=8)*('CONTROL MASTER'!$AA$2:$AA$495&lt;=6)*('CONTROL MASTER'!$AC$2:$AC$495&gt;=6))*ROW('CONTROL MASTER'!$S$2:$S$495))-(ROW('CONTROL MASTER'!#REF!)-1))),":",","),",",REPT(" ",50)),(((INDEX('CONTROL MASTER'!$Y$2:$Y$495,(SUMPRODUCT((('CONTROL MASTER'!$S$2:$S$495=5)*('CONTROL MASTER'!$Z$2:$Z$495&lt;=8)*('CONTROL MASTER'!$AB$2:$AB$495&gt;=8)*('CONTROL MASTER'!$AA$2:$AA$495&lt;=6)*('CONTROL MASTER'!$AC$2:$AC$495&gt;=6))*ROW('CONTROL MASTER'!$S$2:$S$495))-(ROW('CONTROL MASTER'!#REF!)-1)))+((8-INDEX('CONTROL MASTER'!$Z$2:$Z$495,(SUMPRODUCT((('CONTROL MASTER'!$S$2:$S$495=5)*('CONTROL MASTER'!$Z$2:$Z$495&lt;=8)*('CONTROL MASTER'!$AB$2:$AB$495&gt;=8)*('CONTROL MASTER'!$AA$2:$AA$495&lt;=6)*('CONTROL MASTER'!$AC$2:$AC$495&gt;=6))*ROW('CONTROL MASTER'!$S$2:$S$495))-(ROW('CONTROL MASTER'!#REF!)-1))))*(INDEX('CONTROL MASTER'!$AC$2:$AC$495,(SUMPRODUCT((('CONTROL MASTER'!$S$2:$S$495=5)*('CONTROL MASTER'!$Z$2:$Z$495&lt;=8)*('CONTROL MASTER'!$AB$2:$AB$495&gt;=8)*('CONTROL MASTER'!$AA$2:$AA$495&lt;=6)*('CONTROL MASTER'!$AC$2:$AC$495&gt;=6))*ROW('CONTROL MASTER'!$S$2:$S$495))-(ROW('CONTROL MASTER'!#REF!)-1)))-INDEX('CONTROL MASTER'!$AA$2:$AA$495,(SUMPRODUCT((('CONTROL MASTER'!$S$2:$S$495=5)*('CONTROL MASTER'!$Z$2:$Z$495&lt;=8)*('CONTROL MASTER'!$AB$2:$AB$495&gt;=8)*('CONTROL MASTER'!$AA$2:$AA$495&lt;=6)*('CONTROL MASTER'!$AC$2:$AC$495&gt;=6))*ROW('CONTROL MASTER'!$S$2:$S$495))-(ROW('CONTROL MASTER'!#REF!)-1)))+1)+(6-INDEX('CONTROL MASTER'!$AA$2:$AA$495,(SUMPRODUCT((('CONTROL MASTER'!$S$2:$S$495=5)*('CONTROL MASTER'!$Z$2:$Z$495&lt;=8)*('CONTROL MASTER'!$AB$2:$AB$495&gt;=8)*('CONTROL MASTER'!$AA$2:$AA$495&lt;=6)*('CONTROL MASTER'!$AC$2:$AC$495&gt;=6))*ROW('CONTROL MASTER'!$S$2:$S$495))-(ROW('CONTROL MASTER'!#REF!)-1))))+1)))-1)*50+1,50))&amp;"_"&amp;INDEX('CONTROL MASTER'!$P$2:$P$495,(SUMPRODUCT((('CONTROL MASTER'!$S$2:$S$495=5)*('CONTROL MASTER'!$Z$2:$Z$495&lt;=8)*('CONTROL MASTER'!$AB$2:$AB$495&gt;=8)*('CONTROL MASTER'!$AA$2:$AA$495&lt;=6)*('CONTROL MASTER'!$AC$2:$AC$495&gt;=6))*ROW('CONTROL MASTER'!$S$2:$S$495))-(ROW('CONTROL MASTER'!#REF!)-1))),"")),"")</f>
        <v/>
      </c>
      <c r="H66" s="10" t="str">
        <f>IFERROR(IF(SUMPRODUCT((('CONTROL MASTER'!$S$2:$S$495=5)*('CONTROL MASTER'!$T$2:$T$495&lt;=8)*('CONTROL MASTER'!$V$2:$V$495&gt;=8)*('CONTROL MASTER'!$U$2:$U$495&lt;=7)*('CONTROL MASTER'!$W$2:$W$495&gt;=7))*ROW('CONTROL MASTER'!$S$2:$S$495))&gt;0,INDEX('CONTROL MASTER'!$X$2:$X$495,(SUMPRODUCT((('CONTROL MASTER'!$S$2:$S$495=5)*('CONTROL MASTER'!$T$2:$T$495&lt;=8)*('CONTROL MASTER'!$V$2:$V$495&gt;=8)*('CONTROL MASTER'!$U$2:$U$495&lt;=7)*('CONTROL MASTER'!$W$2:$W$495&gt;=7))*ROW('CONTROL MASTER'!$S$2:$S$495))-(ROW('CONTROL MASTER'!#REF!)-1)))&amp;TRIM(MID(SUBSTITUTE(SUBSTITUTE(INDEX('CONTROL MASTER'!$N$2:$N$495,(SUMPRODUCT((('CONTROL MASTER'!$S$2:$S$495=5)*('CONTROL MASTER'!$T$2:$T$495&lt;=8)*('CONTROL MASTER'!$V$2:$V$495&gt;=8)*('CONTROL MASTER'!$U$2:$U$495&lt;=7)*('CONTROL MASTER'!$W$2:$W$495&gt;=7))*ROW('CONTROL MASTER'!$S$2:$S$495))-(ROW('CONTROL MASTER'!#REF!)-1))),":",","),",",REPT(" ",50)),((((8-INDEX('CONTROL MASTER'!$T$2:$T$495,(SUMPRODUCT((('CONTROL MASTER'!$S$2:$S$495=5)*('CONTROL MASTER'!$T$2:$T$495&lt;=8)*('CONTROL MASTER'!$V$2:$V$495&gt;=8)*('CONTROL MASTER'!$U$2:$U$495&lt;=7)*('CONTROL MASTER'!$W$2:$W$495&gt;=7))*ROW('CONTROL MASTER'!$S$2:$S$495))-(ROW('CONTROL MASTER'!#REF!)-1))))*(INDEX('CONTROL MASTER'!$W$2:$W$495,(SUMPRODUCT((('CONTROL MASTER'!$S$2:$S$495=5)*('CONTROL MASTER'!$T$2:$T$495&lt;=8)*('CONTROL MASTER'!$V$2:$V$495&gt;=8)*('CONTROL MASTER'!$U$2:$U$495&lt;=7)*('CONTROL MASTER'!$W$2:$W$495&gt;=7))*ROW('CONTROL MASTER'!$S$2:$S$495))-(ROW('CONTROL MASTER'!#REF!)-1)))-INDEX('CONTROL MASTER'!$U$2:$U$495,(SUMPRODUCT((('CONTROL MASTER'!$S$2:$S$495=5)*('CONTROL MASTER'!$T$2:$T$495&lt;=8)*('CONTROL MASTER'!$V$2:$V$495&gt;=8)*('CONTROL MASTER'!$U$2:$U$495&lt;=7)*('CONTROL MASTER'!$W$2:$W$495&gt;=7))*ROW('CONTROL MASTER'!$S$2:$S$495))-(ROW('CONTROL MASTER'!#REF!)-1)))+1)+(7-INDEX('CONTROL MASTER'!$U$2:$U$495,(SUMPRODUCT((('CONTROL MASTER'!$S$2:$S$495=5)*('CONTROL MASTER'!$T$2:$T$495&lt;=8)*('CONTROL MASTER'!$V$2:$V$495&gt;=8)*('CONTROL MASTER'!$U$2:$U$495&lt;=7)*('CONTROL MASTER'!$W$2:$W$495&gt;=7))*ROW('CONTROL MASTER'!$S$2:$S$495))-(ROW('CONTROL MASTER'!#REF!)-1))))+1))-1)*50+1,50))&amp;"_"&amp;INDEX('CONTROL MASTER'!$P$2:$P$495,(SUMPRODUCT((('CONTROL MASTER'!$S$2:$S$495=5)*('CONTROL MASTER'!$T$2:$T$495&lt;=8)*('CONTROL MASTER'!$V$2:$V$495&gt;=8)*('CONTROL MASTER'!$U$2:$U$495&lt;=7)*('CONTROL MASTER'!$W$2:$W$495&gt;=7))*ROW('CONTROL MASTER'!$S$2:$S$495))-(ROW('CONTROL MASTER'!#REF!)-1))),IF(SUMPRODUCT((('CONTROL MASTER'!$S$2:$S$495=5)*('CONTROL MASTER'!$Z$2:$Z$495&lt;=8)*('CONTROL MASTER'!$AB$2:$AB$495&gt;=8)*('CONTROL MASTER'!$AA$2:$AA$495&lt;=7)*('CONTROL MASTER'!$AC$2:$AC$495&gt;=7))*ROW('CONTROL MASTER'!$S$2:$S$495))&gt;0,INDEX('CONTROL MASTER'!$X$2:$X$495,(SUMPRODUCT((('CONTROL MASTER'!$S$2:$S$495=5)*('CONTROL MASTER'!$Z$2:$Z$495&lt;=8)*('CONTROL MASTER'!$AB$2:$AB$495&gt;=8)*('CONTROL MASTER'!$AA$2:$AA$495&lt;=7)*('CONTROL MASTER'!$AC$2:$AC$495&gt;=7))*ROW('CONTROL MASTER'!$S$2:$S$495))-(ROW('CONTROL MASTER'!#REF!)-1)))&amp;TRIM(MID(SUBSTITUTE(SUBSTITUTE(INDEX('CONTROL MASTER'!$N$2:$N$495,(SUMPRODUCT((('CONTROL MASTER'!$S$2:$S$495=5)*('CONTROL MASTER'!$Z$2:$Z$495&lt;=8)*('CONTROL MASTER'!$AB$2:$AB$495&gt;=8)*('CONTROL MASTER'!$AA$2:$AA$495&lt;=7)*('CONTROL MASTER'!$AC$2:$AC$495&gt;=7))*ROW('CONTROL MASTER'!$S$2:$S$495))-(ROW('CONTROL MASTER'!#REF!)-1))),":",","),",",REPT(" ",50)),(((INDEX('CONTROL MASTER'!$Y$2:$Y$495,(SUMPRODUCT((('CONTROL MASTER'!$S$2:$S$495=5)*('CONTROL MASTER'!$Z$2:$Z$495&lt;=8)*('CONTROL MASTER'!$AB$2:$AB$495&gt;=8)*('CONTROL MASTER'!$AA$2:$AA$495&lt;=7)*('CONTROL MASTER'!$AC$2:$AC$495&gt;=7))*ROW('CONTROL MASTER'!$S$2:$S$495))-(ROW('CONTROL MASTER'!#REF!)-1)))+((8-INDEX('CONTROL MASTER'!$Z$2:$Z$495,(SUMPRODUCT((('CONTROL MASTER'!$S$2:$S$495=5)*('CONTROL MASTER'!$Z$2:$Z$495&lt;=8)*('CONTROL MASTER'!$AB$2:$AB$495&gt;=8)*('CONTROL MASTER'!$AA$2:$AA$495&lt;=7)*('CONTROL MASTER'!$AC$2:$AC$495&gt;=7))*ROW('CONTROL MASTER'!$S$2:$S$495))-(ROW('CONTROL MASTER'!#REF!)-1))))*(INDEX('CONTROL MASTER'!$AC$2:$AC$495,(SUMPRODUCT((('CONTROL MASTER'!$S$2:$S$495=5)*('CONTROL MASTER'!$Z$2:$Z$495&lt;=8)*('CONTROL MASTER'!$AB$2:$AB$495&gt;=8)*('CONTROL MASTER'!$AA$2:$AA$495&lt;=7)*('CONTROL MASTER'!$AC$2:$AC$495&gt;=7))*ROW('CONTROL MASTER'!$S$2:$S$495))-(ROW('CONTROL MASTER'!#REF!)-1)))-INDEX('CONTROL MASTER'!$AA$2:$AA$495,(SUMPRODUCT((('CONTROL MASTER'!$S$2:$S$495=5)*('CONTROL MASTER'!$Z$2:$Z$495&lt;=8)*('CONTROL MASTER'!$AB$2:$AB$495&gt;=8)*('CONTROL MASTER'!$AA$2:$AA$495&lt;=7)*('CONTROL MASTER'!$AC$2:$AC$495&gt;=7))*ROW('CONTROL MASTER'!$S$2:$S$495))-(ROW('CONTROL MASTER'!#REF!)-1)))+1)+(7-INDEX('CONTROL MASTER'!$AA$2:$AA$495,(SUMPRODUCT((('CONTROL MASTER'!$S$2:$S$495=5)*('CONTROL MASTER'!$Z$2:$Z$495&lt;=8)*('CONTROL MASTER'!$AB$2:$AB$495&gt;=8)*('CONTROL MASTER'!$AA$2:$AA$495&lt;=7)*('CONTROL MASTER'!$AC$2:$AC$495&gt;=7))*ROW('CONTROL MASTER'!$S$2:$S$495))-(ROW('CONTROL MASTER'!#REF!)-1))))+1)))-1)*50+1,50))&amp;"_"&amp;INDEX('CONTROL MASTER'!$P$2:$P$495,(SUMPRODUCT((('CONTROL MASTER'!$S$2:$S$495=5)*('CONTROL MASTER'!$Z$2:$Z$495&lt;=8)*('CONTROL MASTER'!$AB$2:$AB$495&gt;=8)*('CONTROL MASTER'!$AA$2:$AA$495&lt;=7)*('CONTROL MASTER'!$AC$2:$AC$495&gt;=7))*ROW('CONTROL MASTER'!$S$2:$S$495))-(ROW('CONTROL MASTER'!#REF!)-1))),"")),"")</f>
        <v/>
      </c>
      <c r="I66" s="10" t="str">
        <f>IFERROR(IF(SUMPRODUCT((('CONTROL MASTER'!$S$2:$S$495=5)*('CONTROL MASTER'!$T$2:$T$495&lt;=8)*('CONTROL MASTER'!$V$2:$V$495&gt;=8)*('CONTROL MASTER'!$U$2:$U$495&lt;=8)*('CONTROL MASTER'!$W$2:$W$495&gt;=8))*ROW('CONTROL MASTER'!$S$2:$S$495))&gt;0,INDEX('CONTROL MASTER'!$X$2:$X$495,(SUMPRODUCT((('CONTROL MASTER'!$S$2:$S$495=5)*('CONTROL MASTER'!$T$2:$T$495&lt;=8)*('CONTROL MASTER'!$V$2:$V$495&gt;=8)*('CONTROL MASTER'!$U$2:$U$495&lt;=8)*('CONTROL MASTER'!$W$2:$W$495&gt;=8))*ROW('CONTROL MASTER'!$S$2:$S$495))-(ROW('CONTROL MASTER'!#REF!)-1)))&amp;TRIM(MID(SUBSTITUTE(SUBSTITUTE(INDEX('CONTROL MASTER'!$N$2:$N$495,(SUMPRODUCT((('CONTROL MASTER'!$S$2:$S$495=5)*('CONTROL MASTER'!$T$2:$T$495&lt;=8)*('CONTROL MASTER'!$V$2:$V$495&gt;=8)*('CONTROL MASTER'!$U$2:$U$495&lt;=8)*('CONTROL MASTER'!$W$2:$W$495&gt;=8))*ROW('CONTROL MASTER'!$S$2:$S$495))-(ROW('CONTROL MASTER'!#REF!)-1))),":",","),",",REPT(" ",50)),((((8-INDEX('CONTROL MASTER'!$T$2:$T$495,(SUMPRODUCT((('CONTROL MASTER'!$S$2:$S$495=5)*('CONTROL MASTER'!$T$2:$T$495&lt;=8)*('CONTROL MASTER'!$V$2:$V$495&gt;=8)*('CONTROL MASTER'!$U$2:$U$495&lt;=8)*('CONTROL MASTER'!$W$2:$W$495&gt;=8))*ROW('CONTROL MASTER'!$S$2:$S$495))-(ROW('CONTROL MASTER'!#REF!)-1))))*(INDEX('CONTROL MASTER'!$W$2:$W$495,(SUMPRODUCT((('CONTROL MASTER'!$S$2:$S$495=5)*('CONTROL MASTER'!$T$2:$T$495&lt;=8)*('CONTROL MASTER'!$V$2:$V$495&gt;=8)*('CONTROL MASTER'!$U$2:$U$495&lt;=8)*('CONTROL MASTER'!$W$2:$W$495&gt;=8))*ROW('CONTROL MASTER'!$S$2:$S$495))-(ROW('CONTROL MASTER'!#REF!)-1)))-INDEX('CONTROL MASTER'!$U$2:$U$495,(SUMPRODUCT((('CONTROL MASTER'!$S$2:$S$495=5)*('CONTROL MASTER'!$T$2:$T$495&lt;=8)*('CONTROL MASTER'!$V$2:$V$495&gt;=8)*('CONTROL MASTER'!$U$2:$U$495&lt;=8)*('CONTROL MASTER'!$W$2:$W$495&gt;=8))*ROW('CONTROL MASTER'!$S$2:$S$495))-(ROW('CONTROL MASTER'!#REF!)-1)))+1)+(8-INDEX('CONTROL MASTER'!$U$2:$U$495,(SUMPRODUCT((('CONTROL MASTER'!$S$2:$S$495=5)*('CONTROL MASTER'!$T$2:$T$495&lt;=8)*('CONTROL MASTER'!$V$2:$V$495&gt;=8)*('CONTROL MASTER'!$U$2:$U$495&lt;=8)*('CONTROL MASTER'!$W$2:$W$495&gt;=8))*ROW('CONTROL MASTER'!$S$2:$S$495))-(ROW('CONTROL MASTER'!#REF!)-1))))+1))-1)*50+1,50))&amp;"_"&amp;INDEX('CONTROL MASTER'!$P$2:$P$495,(SUMPRODUCT((('CONTROL MASTER'!$S$2:$S$495=5)*('CONTROL MASTER'!$T$2:$T$495&lt;=8)*('CONTROL MASTER'!$V$2:$V$495&gt;=8)*('CONTROL MASTER'!$U$2:$U$495&lt;=8)*('CONTROL MASTER'!$W$2:$W$495&gt;=8))*ROW('CONTROL MASTER'!$S$2:$S$495))-(ROW('CONTROL MASTER'!#REF!)-1))),IF(SUMPRODUCT((('CONTROL MASTER'!$S$2:$S$495=5)*('CONTROL MASTER'!$Z$2:$Z$495&lt;=8)*('CONTROL MASTER'!$AB$2:$AB$495&gt;=8)*('CONTROL MASTER'!$AA$2:$AA$495&lt;=8)*('CONTROL MASTER'!$AC$2:$AC$495&gt;=8))*ROW('CONTROL MASTER'!$S$2:$S$495))&gt;0,INDEX('CONTROL MASTER'!$X$2:$X$495,(SUMPRODUCT((('CONTROL MASTER'!$S$2:$S$495=5)*('CONTROL MASTER'!$Z$2:$Z$495&lt;=8)*('CONTROL MASTER'!$AB$2:$AB$495&gt;=8)*('CONTROL MASTER'!$AA$2:$AA$495&lt;=8)*('CONTROL MASTER'!$AC$2:$AC$495&gt;=8))*ROW('CONTROL MASTER'!$S$2:$S$495))-(ROW('CONTROL MASTER'!#REF!)-1)))&amp;TRIM(MID(SUBSTITUTE(SUBSTITUTE(INDEX('CONTROL MASTER'!$N$2:$N$495,(SUMPRODUCT((('CONTROL MASTER'!$S$2:$S$495=5)*('CONTROL MASTER'!$Z$2:$Z$495&lt;=8)*('CONTROL MASTER'!$AB$2:$AB$495&gt;=8)*('CONTROL MASTER'!$AA$2:$AA$495&lt;=8)*('CONTROL MASTER'!$AC$2:$AC$495&gt;=8))*ROW('CONTROL MASTER'!$S$2:$S$495))-(ROW('CONTROL MASTER'!#REF!)-1))),":",","),",",REPT(" ",50)),(((INDEX('CONTROL MASTER'!$Y$2:$Y$495,(SUMPRODUCT((('CONTROL MASTER'!$S$2:$S$495=5)*('CONTROL MASTER'!$Z$2:$Z$495&lt;=8)*('CONTROL MASTER'!$AB$2:$AB$495&gt;=8)*('CONTROL MASTER'!$AA$2:$AA$495&lt;=8)*('CONTROL MASTER'!$AC$2:$AC$495&gt;=8))*ROW('CONTROL MASTER'!$S$2:$S$495))-(ROW('CONTROL MASTER'!#REF!)-1)))+((8-INDEX('CONTROL MASTER'!$Z$2:$Z$495,(SUMPRODUCT((('CONTROL MASTER'!$S$2:$S$495=5)*('CONTROL MASTER'!$Z$2:$Z$495&lt;=8)*('CONTROL MASTER'!$AB$2:$AB$495&gt;=8)*('CONTROL MASTER'!$AA$2:$AA$495&lt;=8)*('CONTROL MASTER'!$AC$2:$AC$495&gt;=8))*ROW('CONTROL MASTER'!$S$2:$S$495))-(ROW('CONTROL MASTER'!#REF!)-1))))*(INDEX('CONTROL MASTER'!$AC$2:$AC$495,(SUMPRODUCT((('CONTROL MASTER'!$S$2:$S$495=5)*('CONTROL MASTER'!$Z$2:$Z$495&lt;=8)*('CONTROL MASTER'!$AB$2:$AB$495&gt;=8)*('CONTROL MASTER'!$AA$2:$AA$495&lt;=8)*('CONTROL MASTER'!$AC$2:$AC$495&gt;=8))*ROW('CONTROL MASTER'!$S$2:$S$495))-(ROW('CONTROL MASTER'!#REF!)-1)))-INDEX('CONTROL MASTER'!$AA$2:$AA$495,(SUMPRODUCT((('CONTROL MASTER'!$S$2:$S$495=5)*('CONTROL MASTER'!$Z$2:$Z$495&lt;=8)*('CONTROL MASTER'!$AB$2:$AB$495&gt;=8)*('CONTROL MASTER'!$AA$2:$AA$495&lt;=8)*('CONTROL MASTER'!$AC$2:$AC$495&gt;=8))*ROW('CONTROL MASTER'!$S$2:$S$495))-(ROW('CONTROL MASTER'!#REF!)-1)))+1)+(8-INDEX('CONTROL MASTER'!$AA$2:$AA$495,(SUMPRODUCT((('CONTROL MASTER'!$S$2:$S$495=5)*('CONTROL MASTER'!$Z$2:$Z$495&lt;=8)*('CONTROL MASTER'!$AB$2:$AB$495&gt;=8)*('CONTROL MASTER'!$AA$2:$AA$495&lt;=8)*('CONTROL MASTER'!$AC$2:$AC$495&gt;=8))*ROW('CONTROL MASTER'!$S$2:$S$495))-(ROW('CONTROL MASTER'!#REF!)-1))))+1)))-1)*50+1,50))&amp;"_"&amp;INDEX('CONTROL MASTER'!$P$2:$P$495,(SUMPRODUCT((('CONTROL MASTER'!$S$2:$S$495=5)*('CONTROL MASTER'!$Z$2:$Z$495&lt;=8)*('CONTROL MASTER'!$AB$2:$AB$495&gt;=8)*('CONTROL MASTER'!$AA$2:$AA$495&lt;=8)*('CONTROL MASTER'!$AC$2:$AC$495&gt;=8))*ROW('CONTROL MASTER'!$S$2:$S$495))-(ROW('CONTROL MASTER'!#REF!)-1))),"")),"")</f>
        <v/>
      </c>
      <c r="J66" s="10" t="str">
        <f>IFERROR(IF(SUMPRODUCT((('CONTROL MASTER'!$S$2:$S$495=5)*('CONTROL MASTER'!$T$2:$T$495&lt;=8)*('CONTROL MASTER'!$V$2:$V$495&gt;=8)*('CONTROL MASTER'!$U$2:$U$495&lt;=9)*('CONTROL MASTER'!$W$2:$W$495&gt;=9))*ROW('CONTROL MASTER'!$S$2:$S$495))&gt;0,INDEX('CONTROL MASTER'!$X$2:$X$495,(SUMPRODUCT((('CONTROL MASTER'!$S$2:$S$495=5)*('CONTROL MASTER'!$T$2:$T$495&lt;=8)*('CONTROL MASTER'!$V$2:$V$495&gt;=8)*('CONTROL MASTER'!$U$2:$U$495&lt;=9)*('CONTROL MASTER'!$W$2:$W$495&gt;=9))*ROW('CONTROL MASTER'!$S$2:$S$495))-(ROW('CONTROL MASTER'!#REF!)-1)))&amp;TRIM(MID(SUBSTITUTE(SUBSTITUTE(INDEX('CONTROL MASTER'!$N$2:$N$495,(SUMPRODUCT((('CONTROL MASTER'!$S$2:$S$495=5)*('CONTROL MASTER'!$T$2:$T$495&lt;=8)*('CONTROL MASTER'!$V$2:$V$495&gt;=8)*('CONTROL MASTER'!$U$2:$U$495&lt;=9)*('CONTROL MASTER'!$W$2:$W$495&gt;=9))*ROW('CONTROL MASTER'!$S$2:$S$495))-(ROW('CONTROL MASTER'!#REF!)-1))),":",","),",",REPT(" ",50)),((((8-INDEX('CONTROL MASTER'!$T$2:$T$495,(SUMPRODUCT((('CONTROL MASTER'!$S$2:$S$495=5)*('CONTROL MASTER'!$T$2:$T$495&lt;=8)*('CONTROL MASTER'!$V$2:$V$495&gt;=8)*('CONTROL MASTER'!$U$2:$U$495&lt;=9)*('CONTROL MASTER'!$W$2:$W$495&gt;=9))*ROW('CONTROL MASTER'!$S$2:$S$495))-(ROW('CONTROL MASTER'!#REF!)-1))))*(INDEX('CONTROL MASTER'!$W$2:$W$495,(SUMPRODUCT((('CONTROL MASTER'!$S$2:$S$495=5)*('CONTROL MASTER'!$T$2:$T$495&lt;=8)*('CONTROL MASTER'!$V$2:$V$495&gt;=8)*('CONTROL MASTER'!$U$2:$U$495&lt;=9)*('CONTROL MASTER'!$W$2:$W$495&gt;=9))*ROW('CONTROL MASTER'!$S$2:$S$495))-(ROW('CONTROL MASTER'!#REF!)-1)))-INDEX('CONTROL MASTER'!$U$2:$U$495,(SUMPRODUCT((('CONTROL MASTER'!$S$2:$S$495=5)*('CONTROL MASTER'!$T$2:$T$495&lt;=8)*('CONTROL MASTER'!$V$2:$V$495&gt;=8)*('CONTROL MASTER'!$U$2:$U$495&lt;=9)*('CONTROL MASTER'!$W$2:$W$495&gt;=9))*ROW('CONTROL MASTER'!$S$2:$S$495))-(ROW('CONTROL MASTER'!#REF!)-1)))+1)+(9-INDEX('CONTROL MASTER'!$U$2:$U$495,(SUMPRODUCT((('CONTROL MASTER'!$S$2:$S$495=5)*('CONTROL MASTER'!$T$2:$T$495&lt;=8)*('CONTROL MASTER'!$V$2:$V$495&gt;=8)*('CONTROL MASTER'!$U$2:$U$495&lt;=9)*('CONTROL MASTER'!$W$2:$W$495&gt;=9))*ROW('CONTROL MASTER'!$S$2:$S$495))-(ROW('CONTROL MASTER'!#REF!)-1))))+1))-1)*50+1,50))&amp;"_"&amp;INDEX('CONTROL MASTER'!$P$2:$P$495,(SUMPRODUCT((('CONTROL MASTER'!$S$2:$S$495=5)*('CONTROL MASTER'!$T$2:$T$495&lt;=8)*('CONTROL MASTER'!$V$2:$V$495&gt;=8)*('CONTROL MASTER'!$U$2:$U$495&lt;=9)*('CONTROL MASTER'!$W$2:$W$495&gt;=9))*ROW('CONTROL MASTER'!$S$2:$S$495))-(ROW('CONTROL MASTER'!#REF!)-1))),IF(SUMPRODUCT((('CONTROL MASTER'!$S$2:$S$495=5)*('CONTROL MASTER'!$Z$2:$Z$495&lt;=8)*('CONTROL MASTER'!$AB$2:$AB$495&gt;=8)*('CONTROL MASTER'!$AA$2:$AA$495&lt;=9)*('CONTROL MASTER'!$AC$2:$AC$495&gt;=9))*ROW('CONTROL MASTER'!$S$2:$S$495))&gt;0,INDEX('CONTROL MASTER'!$X$2:$X$495,(SUMPRODUCT((('CONTROL MASTER'!$S$2:$S$495=5)*('CONTROL MASTER'!$Z$2:$Z$495&lt;=8)*('CONTROL MASTER'!$AB$2:$AB$495&gt;=8)*('CONTROL MASTER'!$AA$2:$AA$495&lt;=9)*('CONTROL MASTER'!$AC$2:$AC$495&gt;=9))*ROW('CONTROL MASTER'!$S$2:$S$495))-(ROW('CONTROL MASTER'!#REF!)-1)))&amp;TRIM(MID(SUBSTITUTE(SUBSTITUTE(INDEX('CONTROL MASTER'!$N$2:$N$495,(SUMPRODUCT((('CONTROL MASTER'!$S$2:$S$495=5)*('CONTROL MASTER'!$Z$2:$Z$495&lt;=8)*('CONTROL MASTER'!$AB$2:$AB$495&gt;=8)*('CONTROL MASTER'!$AA$2:$AA$495&lt;=9)*('CONTROL MASTER'!$AC$2:$AC$495&gt;=9))*ROW('CONTROL MASTER'!$S$2:$S$495))-(ROW('CONTROL MASTER'!#REF!)-1))),":",","),",",REPT(" ",50)),(((INDEX('CONTROL MASTER'!$Y$2:$Y$495,(SUMPRODUCT((('CONTROL MASTER'!$S$2:$S$495=5)*('CONTROL MASTER'!$Z$2:$Z$495&lt;=8)*('CONTROL MASTER'!$AB$2:$AB$495&gt;=8)*('CONTROL MASTER'!$AA$2:$AA$495&lt;=9)*('CONTROL MASTER'!$AC$2:$AC$495&gt;=9))*ROW('CONTROL MASTER'!$S$2:$S$495))-(ROW('CONTROL MASTER'!#REF!)-1)))+((8-INDEX('CONTROL MASTER'!$Z$2:$Z$495,(SUMPRODUCT((('CONTROL MASTER'!$S$2:$S$495=5)*('CONTROL MASTER'!$Z$2:$Z$495&lt;=8)*('CONTROL MASTER'!$AB$2:$AB$495&gt;=8)*('CONTROL MASTER'!$AA$2:$AA$495&lt;=9)*('CONTROL MASTER'!$AC$2:$AC$495&gt;=9))*ROW('CONTROL MASTER'!$S$2:$S$495))-(ROW('CONTROL MASTER'!#REF!)-1))))*(INDEX('CONTROL MASTER'!$AC$2:$AC$495,(SUMPRODUCT((('CONTROL MASTER'!$S$2:$S$495=5)*('CONTROL MASTER'!$Z$2:$Z$495&lt;=8)*('CONTROL MASTER'!$AB$2:$AB$495&gt;=8)*('CONTROL MASTER'!$AA$2:$AA$495&lt;=9)*('CONTROL MASTER'!$AC$2:$AC$495&gt;=9))*ROW('CONTROL MASTER'!$S$2:$S$495))-(ROW('CONTROL MASTER'!#REF!)-1)))-INDEX('CONTROL MASTER'!$AA$2:$AA$495,(SUMPRODUCT((('CONTROL MASTER'!$S$2:$S$495=5)*('CONTROL MASTER'!$Z$2:$Z$495&lt;=8)*('CONTROL MASTER'!$AB$2:$AB$495&gt;=8)*('CONTROL MASTER'!$AA$2:$AA$495&lt;=9)*('CONTROL MASTER'!$AC$2:$AC$495&gt;=9))*ROW('CONTROL MASTER'!$S$2:$S$495))-(ROW('CONTROL MASTER'!#REF!)-1)))+1)+(9-INDEX('CONTROL MASTER'!$AA$2:$AA$495,(SUMPRODUCT((('CONTROL MASTER'!$S$2:$S$495=5)*('CONTROL MASTER'!$Z$2:$Z$495&lt;=8)*('CONTROL MASTER'!$AB$2:$AB$495&gt;=8)*('CONTROL MASTER'!$AA$2:$AA$495&lt;=9)*('CONTROL MASTER'!$AC$2:$AC$495&gt;=9))*ROW('CONTROL MASTER'!$S$2:$S$495))-(ROW('CONTROL MASTER'!#REF!)-1))))+1)))-1)*50+1,50))&amp;"_"&amp;INDEX('CONTROL MASTER'!$P$2:$P$495,(SUMPRODUCT((('CONTROL MASTER'!$S$2:$S$495=5)*('CONTROL MASTER'!$Z$2:$Z$495&lt;=8)*('CONTROL MASTER'!$AB$2:$AB$495&gt;=8)*('CONTROL MASTER'!$AA$2:$AA$495&lt;=9)*('CONTROL MASTER'!$AC$2:$AC$495&gt;=9))*ROW('CONTROL MASTER'!$S$2:$S$495))-(ROW('CONTROL MASTER'!#REF!)-1))),"")),"")</f>
        <v/>
      </c>
      <c r="K66" s="10" t="str">
        <f>IFERROR(IF(SUMPRODUCT((('CONTROL MASTER'!$S$2:$S$495=5)*('CONTROL MASTER'!$T$2:$T$495&lt;=8)*('CONTROL MASTER'!$V$2:$V$495&gt;=8)*('CONTROL MASTER'!$U$2:$U$495&lt;=10)*('CONTROL MASTER'!$W$2:$W$495&gt;=10))*ROW('CONTROL MASTER'!$S$2:$S$495))&gt;0,INDEX('CONTROL MASTER'!$X$2:$X$495,(SUMPRODUCT((('CONTROL MASTER'!$S$2:$S$495=5)*('CONTROL MASTER'!$T$2:$T$495&lt;=8)*('CONTROL MASTER'!$V$2:$V$495&gt;=8)*('CONTROL MASTER'!$U$2:$U$495&lt;=10)*('CONTROL MASTER'!$W$2:$W$495&gt;=10))*ROW('CONTROL MASTER'!$S$2:$S$495))-(ROW('CONTROL MASTER'!#REF!)-1)))&amp;TRIM(MID(SUBSTITUTE(SUBSTITUTE(INDEX('CONTROL MASTER'!$N$2:$N$495,(SUMPRODUCT((('CONTROL MASTER'!$S$2:$S$495=5)*('CONTROL MASTER'!$T$2:$T$495&lt;=8)*('CONTROL MASTER'!$V$2:$V$495&gt;=8)*('CONTROL MASTER'!$U$2:$U$495&lt;=10)*('CONTROL MASTER'!$W$2:$W$495&gt;=10))*ROW('CONTROL MASTER'!$S$2:$S$495))-(ROW('CONTROL MASTER'!#REF!)-1))),":",","),",",REPT(" ",50)),((((8-INDEX('CONTROL MASTER'!$T$2:$T$495,(SUMPRODUCT((('CONTROL MASTER'!$S$2:$S$495=5)*('CONTROL MASTER'!$T$2:$T$495&lt;=8)*('CONTROL MASTER'!$V$2:$V$495&gt;=8)*('CONTROL MASTER'!$U$2:$U$495&lt;=10)*('CONTROL MASTER'!$W$2:$W$495&gt;=10))*ROW('CONTROL MASTER'!$S$2:$S$495))-(ROW('CONTROL MASTER'!#REF!)-1))))*(INDEX('CONTROL MASTER'!$W$2:$W$495,(SUMPRODUCT((('CONTROL MASTER'!$S$2:$S$495=5)*('CONTROL MASTER'!$T$2:$T$495&lt;=8)*('CONTROL MASTER'!$V$2:$V$495&gt;=8)*('CONTROL MASTER'!$U$2:$U$495&lt;=10)*('CONTROL MASTER'!$W$2:$W$495&gt;=10))*ROW('CONTROL MASTER'!$S$2:$S$495))-(ROW('CONTROL MASTER'!#REF!)-1)))-INDEX('CONTROL MASTER'!$U$2:$U$495,(SUMPRODUCT((('CONTROL MASTER'!$S$2:$S$495=5)*('CONTROL MASTER'!$T$2:$T$495&lt;=8)*('CONTROL MASTER'!$V$2:$V$495&gt;=8)*('CONTROL MASTER'!$U$2:$U$495&lt;=10)*('CONTROL MASTER'!$W$2:$W$495&gt;=10))*ROW('CONTROL MASTER'!$S$2:$S$495))-(ROW('CONTROL MASTER'!#REF!)-1)))+1)+(10-INDEX('CONTROL MASTER'!$U$2:$U$495,(SUMPRODUCT((('CONTROL MASTER'!$S$2:$S$495=5)*('CONTROL MASTER'!$T$2:$T$495&lt;=8)*('CONTROL MASTER'!$V$2:$V$495&gt;=8)*('CONTROL MASTER'!$U$2:$U$495&lt;=10)*('CONTROL MASTER'!$W$2:$W$495&gt;=10))*ROW('CONTROL MASTER'!$S$2:$S$495))-(ROW('CONTROL MASTER'!#REF!)-1))))+1))-1)*50+1,50))&amp;"_"&amp;INDEX('CONTROL MASTER'!$P$2:$P$495,(SUMPRODUCT((('CONTROL MASTER'!$S$2:$S$495=5)*('CONTROL MASTER'!$T$2:$T$495&lt;=8)*('CONTROL MASTER'!$V$2:$V$495&gt;=8)*('CONTROL MASTER'!$U$2:$U$495&lt;=10)*('CONTROL MASTER'!$W$2:$W$495&gt;=10))*ROW('CONTROL MASTER'!$S$2:$S$495))-(ROW('CONTROL MASTER'!#REF!)-1))),IF(SUMPRODUCT((('CONTROL MASTER'!$S$2:$S$495=5)*('CONTROL MASTER'!$Z$2:$Z$495&lt;=8)*('CONTROL MASTER'!$AB$2:$AB$495&gt;=8)*('CONTROL MASTER'!$AA$2:$AA$495&lt;=10)*('CONTROL MASTER'!$AC$2:$AC$495&gt;=10))*ROW('CONTROL MASTER'!$S$2:$S$495))&gt;0,INDEX('CONTROL MASTER'!$X$2:$X$495,(SUMPRODUCT((('CONTROL MASTER'!$S$2:$S$495=5)*('CONTROL MASTER'!$Z$2:$Z$495&lt;=8)*('CONTROL MASTER'!$AB$2:$AB$495&gt;=8)*('CONTROL MASTER'!$AA$2:$AA$495&lt;=10)*('CONTROL MASTER'!$AC$2:$AC$495&gt;=10))*ROW('CONTROL MASTER'!$S$2:$S$495))-(ROW('CONTROL MASTER'!#REF!)-1)))&amp;TRIM(MID(SUBSTITUTE(SUBSTITUTE(INDEX('CONTROL MASTER'!$N$2:$N$495,(SUMPRODUCT((('CONTROL MASTER'!$S$2:$S$495=5)*('CONTROL MASTER'!$Z$2:$Z$495&lt;=8)*('CONTROL MASTER'!$AB$2:$AB$495&gt;=8)*('CONTROL MASTER'!$AA$2:$AA$495&lt;=10)*('CONTROL MASTER'!$AC$2:$AC$495&gt;=10))*ROW('CONTROL MASTER'!$S$2:$S$495))-(ROW('CONTROL MASTER'!#REF!)-1))),":",","),",",REPT(" ",50)),(((INDEX('CONTROL MASTER'!$Y$2:$Y$495,(SUMPRODUCT((('CONTROL MASTER'!$S$2:$S$495=5)*('CONTROL MASTER'!$Z$2:$Z$495&lt;=8)*('CONTROL MASTER'!$AB$2:$AB$495&gt;=8)*('CONTROL MASTER'!$AA$2:$AA$495&lt;=10)*('CONTROL MASTER'!$AC$2:$AC$495&gt;=10))*ROW('CONTROL MASTER'!$S$2:$S$495))-(ROW('CONTROL MASTER'!#REF!)-1)))+((8-INDEX('CONTROL MASTER'!$Z$2:$Z$495,(SUMPRODUCT((('CONTROL MASTER'!$S$2:$S$495=5)*('CONTROL MASTER'!$Z$2:$Z$495&lt;=8)*('CONTROL MASTER'!$AB$2:$AB$495&gt;=8)*('CONTROL MASTER'!$AA$2:$AA$495&lt;=10)*('CONTROL MASTER'!$AC$2:$AC$495&gt;=10))*ROW('CONTROL MASTER'!$S$2:$S$495))-(ROW('CONTROL MASTER'!#REF!)-1))))*(INDEX('CONTROL MASTER'!$AC$2:$AC$495,(SUMPRODUCT((('CONTROL MASTER'!$S$2:$S$495=5)*('CONTROL MASTER'!$Z$2:$Z$495&lt;=8)*('CONTROL MASTER'!$AB$2:$AB$495&gt;=8)*('CONTROL MASTER'!$AA$2:$AA$495&lt;=10)*('CONTROL MASTER'!$AC$2:$AC$495&gt;=10))*ROW('CONTROL MASTER'!$S$2:$S$495))-(ROW('CONTROL MASTER'!#REF!)-1)))-INDEX('CONTROL MASTER'!$AA$2:$AA$495,(SUMPRODUCT((('CONTROL MASTER'!$S$2:$S$495=5)*('CONTROL MASTER'!$Z$2:$Z$495&lt;=8)*('CONTROL MASTER'!$AB$2:$AB$495&gt;=8)*('CONTROL MASTER'!$AA$2:$AA$495&lt;=10)*('CONTROL MASTER'!$AC$2:$AC$495&gt;=10))*ROW('CONTROL MASTER'!$S$2:$S$495))-(ROW('CONTROL MASTER'!#REF!)-1)))+1)+(10-INDEX('CONTROL MASTER'!$AA$2:$AA$495,(SUMPRODUCT((('CONTROL MASTER'!$S$2:$S$495=5)*('CONTROL MASTER'!$Z$2:$Z$495&lt;=8)*('CONTROL MASTER'!$AB$2:$AB$495&gt;=8)*('CONTROL MASTER'!$AA$2:$AA$495&lt;=10)*('CONTROL MASTER'!$AC$2:$AC$495&gt;=10))*ROW('CONTROL MASTER'!$S$2:$S$495))-(ROW('CONTROL MASTER'!#REF!)-1))))+1)))-1)*50+1,50))&amp;"_"&amp;INDEX('CONTROL MASTER'!$P$2:$P$495,(SUMPRODUCT((('CONTROL MASTER'!$S$2:$S$495=5)*('CONTROL MASTER'!$Z$2:$Z$495&lt;=8)*('CONTROL MASTER'!$AB$2:$AB$495&gt;=8)*('CONTROL MASTER'!$AA$2:$AA$495&lt;=10)*('CONTROL MASTER'!$AC$2:$AC$495&gt;=10))*ROW('CONTROL MASTER'!$S$2:$S$495))-(ROW('CONTROL MASTER'!#REF!)-1))),"")),"")</f>
        <v/>
      </c>
    </row>
    <row r="67" spans="1:11" ht="15" customHeight="1" x14ac:dyDescent="0.35">
      <c r="A67" s="8" t="s">
        <v>81</v>
      </c>
      <c r="B67" s="10" t="str">
        <f>IFERROR(IF(SUMPRODUCT((('CONTROL MASTER'!$S$2:$S$495=5)*('CONTROL MASTER'!$T$2:$T$495&lt;=9)*('CONTROL MASTER'!$V$2:$V$495&gt;=9)*('CONTROL MASTER'!$U$2:$U$495&lt;=1)*('CONTROL MASTER'!$W$2:$W$495&gt;=1))*ROW('CONTROL MASTER'!$S$2:$S$495))&gt;0,INDEX('CONTROL MASTER'!$X$2:$X$495,(SUMPRODUCT((('CONTROL MASTER'!$S$2:$S$495=5)*('CONTROL MASTER'!$T$2:$T$495&lt;=9)*('CONTROL MASTER'!$V$2:$V$495&gt;=9)*('CONTROL MASTER'!$U$2:$U$495&lt;=1)*('CONTROL MASTER'!$W$2:$W$495&gt;=1))*ROW('CONTROL MASTER'!$S$2:$S$495))-(ROW('CONTROL MASTER'!#REF!)-1)))&amp;TRIM(MID(SUBSTITUTE(SUBSTITUTE(INDEX('CONTROL MASTER'!$N$2:$N$495,(SUMPRODUCT((('CONTROL MASTER'!$S$2:$S$495=5)*('CONTROL MASTER'!$T$2:$T$495&lt;=9)*('CONTROL MASTER'!$V$2:$V$495&gt;=9)*('CONTROL MASTER'!$U$2:$U$495&lt;=1)*('CONTROL MASTER'!$W$2:$W$495&gt;=1))*ROW('CONTROL MASTER'!$S$2:$S$495))-(ROW('CONTROL MASTER'!#REF!)-1))),":",","),",",REPT(" ",50)),((((9-INDEX('CONTROL MASTER'!$T$2:$T$495,(SUMPRODUCT((('CONTROL MASTER'!$S$2:$S$495=5)*('CONTROL MASTER'!$T$2:$T$495&lt;=9)*('CONTROL MASTER'!$V$2:$V$495&gt;=9)*('CONTROL MASTER'!$U$2:$U$495&lt;=1)*('CONTROL MASTER'!$W$2:$W$495&gt;=1))*ROW('CONTROL MASTER'!$S$2:$S$495))-(ROW('CONTROL MASTER'!#REF!)-1))))*(INDEX('CONTROL MASTER'!$W$2:$W$495,(SUMPRODUCT((('CONTROL MASTER'!$S$2:$S$495=5)*('CONTROL MASTER'!$T$2:$T$495&lt;=9)*('CONTROL MASTER'!$V$2:$V$495&gt;=9)*('CONTROL MASTER'!$U$2:$U$495&lt;=1)*('CONTROL MASTER'!$W$2:$W$495&gt;=1))*ROW('CONTROL MASTER'!$S$2:$S$495))-(ROW('CONTROL MASTER'!#REF!)-1)))-INDEX('CONTROL MASTER'!$U$2:$U$495,(SUMPRODUCT((('CONTROL MASTER'!$S$2:$S$495=5)*('CONTROL MASTER'!$T$2:$T$495&lt;=9)*('CONTROL MASTER'!$V$2:$V$495&gt;=9)*('CONTROL MASTER'!$U$2:$U$495&lt;=1)*('CONTROL MASTER'!$W$2:$W$495&gt;=1))*ROW('CONTROL MASTER'!$S$2:$S$495))-(ROW('CONTROL MASTER'!#REF!)-1)))+1)+(1-INDEX('CONTROL MASTER'!$U$2:$U$495,(SUMPRODUCT((('CONTROL MASTER'!$S$2:$S$495=5)*('CONTROL MASTER'!$T$2:$T$495&lt;=9)*('CONTROL MASTER'!$V$2:$V$495&gt;=9)*('CONTROL MASTER'!$U$2:$U$495&lt;=1)*('CONTROL MASTER'!$W$2:$W$495&gt;=1))*ROW('CONTROL MASTER'!$S$2:$S$495))-(ROW('CONTROL MASTER'!#REF!)-1))))+1))-1)*50+1,50))&amp;"_"&amp;INDEX('CONTROL MASTER'!$P$2:$P$495,(SUMPRODUCT((('CONTROL MASTER'!$S$2:$S$495=5)*('CONTROL MASTER'!$T$2:$T$495&lt;=9)*('CONTROL MASTER'!$V$2:$V$495&gt;=9)*('CONTROL MASTER'!$U$2:$U$495&lt;=1)*('CONTROL MASTER'!$W$2:$W$495&gt;=1))*ROW('CONTROL MASTER'!$S$2:$S$495))-(ROW('CONTROL MASTER'!#REF!)-1))),IF(SUMPRODUCT((('CONTROL MASTER'!$S$2:$S$495=5)*('CONTROL MASTER'!$Z$2:$Z$495&lt;=9)*('CONTROL MASTER'!$AB$2:$AB$495&gt;=9)*('CONTROL MASTER'!$AA$2:$AA$495&lt;=1)*('CONTROL MASTER'!$AC$2:$AC$495&gt;=1))*ROW('CONTROL MASTER'!$S$2:$S$495))&gt;0,INDEX('CONTROL MASTER'!$X$2:$X$495,(SUMPRODUCT((('CONTROL MASTER'!$S$2:$S$495=5)*('CONTROL MASTER'!$Z$2:$Z$495&lt;=9)*('CONTROL MASTER'!$AB$2:$AB$495&gt;=9)*('CONTROL MASTER'!$AA$2:$AA$495&lt;=1)*('CONTROL MASTER'!$AC$2:$AC$495&gt;=1))*ROW('CONTROL MASTER'!$S$2:$S$495))-(ROW('CONTROL MASTER'!#REF!)-1)))&amp;TRIM(MID(SUBSTITUTE(SUBSTITUTE(INDEX('CONTROL MASTER'!$N$2:$N$495,(SUMPRODUCT((('CONTROL MASTER'!$S$2:$S$495=5)*('CONTROL MASTER'!$Z$2:$Z$495&lt;=9)*('CONTROL MASTER'!$AB$2:$AB$495&gt;=9)*('CONTROL MASTER'!$AA$2:$AA$495&lt;=1)*('CONTROL MASTER'!$AC$2:$AC$495&gt;=1))*ROW('CONTROL MASTER'!$S$2:$S$495))-(ROW('CONTROL MASTER'!#REF!)-1))),":",","),",",REPT(" ",50)),(((INDEX('CONTROL MASTER'!$Y$2:$Y$495,(SUMPRODUCT((('CONTROL MASTER'!$S$2:$S$495=5)*('CONTROL MASTER'!$Z$2:$Z$495&lt;=9)*('CONTROL MASTER'!$AB$2:$AB$495&gt;=9)*('CONTROL MASTER'!$AA$2:$AA$495&lt;=1)*('CONTROL MASTER'!$AC$2:$AC$495&gt;=1))*ROW('CONTROL MASTER'!$S$2:$S$495))-(ROW('CONTROL MASTER'!#REF!)-1)))+((9-INDEX('CONTROL MASTER'!$Z$2:$Z$495,(SUMPRODUCT((('CONTROL MASTER'!$S$2:$S$495=5)*('CONTROL MASTER'!$Z$2:$Z$495&lt;=9)*('CONTROL MASTER'!$AB$2:$AB$495&gt;=9)*('CONTROL MASTER'!$AA$2:$AA$495&lt;=1)*('CONTROL MASTER'!$AC$2:$AC$495&gt;=1))*ROW('CONTROL MASTER'!$S$2:$S$495))-(ROW('CONTROL MASTER'!#REF!)-1))))*(INDEX('CONTROL MASTER'!$AC$2:$AC$495,(SUMPRODUCT((('CONTROL MASTER'!$S$2:$S$495=5)*('CONTROL MASTER'!$Z$2:$Z$495&lt;=9)*('CONTROL MASTER'!$AB$2:$AB$495&gt;=9)*('CONTROL MASTER'!$AA$2:$AA$495&lt;=1)*('CONTROL MASTER'!$AC$2:$AC$495&gt;=1))*ROW('CONTROL MASTER'!$S$2:$S$495))-(ROW('CONTROL MASTER'!#REF!)-1)))-INDEX('CONTROL MASTER'!$AA$2:$AA$495,(SUMPRODUCT((('CONTROL MASTER'!$S$2:$S$495=5)*('CONTROL MASTER'!$Z$2:$Z$495&lt;=9)*('CONTROL MASTER'!$AB$2:$AB$495&gt;=9)*('CONTROL MASTER'!$AA$2:$AA$495&lt;=1)*('CONTROL MASTER'!$AC$2:$AC$495&gt;=1))*ROW('CONTROL MASTER'!$S$2:$S$495))-(ROW('CONTROL MASTER'!#REF!)-1)))+1)+(1-INDEX('CONTROL MASTER'!$AA$2:$AA$495,(SUMPRODUCT((('CONTROL MASTER'!$S$2:$S$495=5)*('CONTROL MASTER'!$Z$2:$Z$495&lt;=9)*('CONTROL MASTER'!$AB$2:$AB$495&gt;=9)*('CONTROL MASTER'!$AA$2:$AA$495&lt;=1)*('CONTROL MASTER'!$AC$2:$AC$495&gt;=1))*ROW('CONTROL MASTER'!$S$2:$S$495))-(ROW('CONTROL MASTER'!#REF!)-1))))+1)))-1)*50+1,50))&amp;"_"&amp;INDEX('CONTROL MASTER'!$P$2:$P$495,(SUMPRODUCT((('CONTROL MASTER'!$S$2:$S$495=5)*('CONTROL MASTER'!$Z$2:$Z$495&lt;=9)*('CONTROL MASTER'!$AB$2:$AB$495&gt;=9)*('CONTROL MASTER'!$AA$2:$AA$495&lt;=1)*('CONTROL MASTER'!$AC$2:$AC$495&gt;=1))*ROW('CONTROL MASTER'!$S$2:$S$495))-(ROW('CONTROL MASTER'!#REF!)-1))),"")),"")</f>
        <v/>
      </c>
      <c r="C67" s="10" t="str">
        <f>IFERROR(IF(SUMPRODUCT((('CONTROL MASTER'!$S$2:$S$495=5)*('CONTROL MASTER'!$T$2:$T$495&lt;=9)*('CONTROL MASTER'!$V$2:$V$495&gt;=9)*('CONTROL MASTER'!$U$2:$U$495&lt;=2)*('CONTROL MASTER'!$W$2:$W$495&gt;=2))*ROW('CONTROL MASTER'!$S$2:$S$495))&gt;0,INDEX('CONTROL MASTER'!$X$2:$X$495,(SUMPRODUCT((('CONTROL MASTER'!$S$2:$S$495=5)*('CONTROL MASTER'!$T$2:$T$495&lt;=9)*('CONTROL MASTER'!$V$2:$V$495&gt;=9)*('CONTROL MASTER'!$U$2:$U$495&lt;=2)*('CONTROL MASTER'!$W$2:$W$495&gt;=2))*ROW('CONTROL MASTER'!$S$2:$S$495))-(ROW('CONTROL MASTER'!#REF!)-1)))&amp;TRIM(MID(SUBSTITUTE(SUBSTITUTE(INDEX('CONTROL MASTER'!$N$2:$N$495,(SUMPRODUCT((('CONTROL MASTER'!$S$2:$S$495=5)*('CONTROL MASTER'!$T$2:$T$495&lt;=9)*('CONTROL MASTER'!$V$2:$V$495&gt;=9)*('CONTROL MASTER'!$U$2:$U$495&lt;=2)*('CONTROL MASTER'!$W$2:$W$495&gt;=2))*ROW('CONTROL MASTER'!$S$2:$S$495))-(ROW('CONTROL MASTER'!#REF!)-1))),":",","),",",REPT(" ",50)),((((9-INDEX('CONTROL MASTER'!$T$2:$T$495,(SUMPRODUCT((('CONTROL MASTER'!$S$2:$S$495=5)*('CONTROL MASTER'!$T$2:$T$495&lt;=9)*('CONTROL MASTER'!$V$2:$V$495&gt;=9)*('CONTROL MASTER'!$U$2:$U$495&lt;=2)*('CONTROL MASTER'!$W$2:$W$495&gt;=2))*ROW('CONTROL MASTER'!$S$2:$S$495))-(ROW('CONTROL MASTER'!#REF!)-1))))*(INDEX('CONTROL MASTER'!$W$2:$W$495,(SUMPRODUCT((('CONTROL MASTER'!$S$2:$S$495=5)*('CONTROL MASTER'!$T$2:$T$495&lt;=9)*('CONTROL MASTER'!$V$2:$V$495&gt;=9)*('CONTROL MASTER'!$U$2:$U$495&lt;=2)*('CONTROL MASTER'!$W$2:$W$495&gt;=2))*ROW('CONTROL MASTER'!$S$2:$S$495))-(ROW('CONTROL MASTER'!#REF!)-1)))-INDEX('CONTROL MASTER'!$U$2:$U$495,(SUMPRODUCT((('CONTROL MASTER'!$S$2:$S$495=5)*('CONTROL MASTER'!$T$2:$T$495&lt;=9)*('CONTROL MASTER'!$V$2:$V$495&gt;=9)*('CONTROL MASTER'!$U$2:$U$495&lt;=2)*('CONTROL MASTER'!$W$2:$W$495&gt;=2))*ROW('CONTROL MASTER'!$S$2:$S$495))-(ROW('CONTROL MASTER'!#REF!)-1)))+1)+(2-INDEX('CONTROL MASTER'!$U$2:$U$495,(SUMPRODUCT((('CONTROL MASTER'!$S$2:$S$495=5)*('CONTROL MASTER'!$T$2:$T$495&lt;=9)*('CONTROL MASTER'!$V$2:$V$495&gt;=9)*('CONTROL MASTER'!$U$2:$U$495&lt;=2)*('CONTROL MASTER'!$W$2:$W$495&gt;=2))*ROW('CONTROL MASTER'!$S$2:$S$495))-(ROW('CONTROL MASTER'!#REF!)-1))))+1))-1)*50+1,50))&amp;"_"&amp;INDEX('CONTROL MASTER'!$P$2:$P$495,(SUMPRODUCT((('CONTROL MASTER'!$S$2:$S$495=5)*('CONTROL MASTER'!$T$2:$T$495&lt;=9)*('CONTROL MASTER'!$V$2:$V$495&gt;=9)*('CONTROL MASTER'!$U$2:$U$495&lt;=2)*('CONTROL MASTER'!$W$2:$W$495&gt;=2))*ROW('CONTROL MASTER'!$S$2:$S$495))-(ROW('CONTROL MASTER'!#REF!)-1))),IF(SUMPRODUCT((('CONTROL MASTER'!$S$2:$S$495=5)*('CONTROL MASTER'!$Z$2:$Z$495&lt;=9)*('CONTROL MASTER'!$AB$2:$AB$495&gt;=9)*('CONTROL MASTER'!$AA$2:$AA$495&lt;=2)*('CONTROL MASTER'!$AC$2:$AC$495&gt;=2))*ROW('CONTROL MASTER'!$S$2:$S$495))&gt;0,INDEX('CONTROL MASTER'!$X$2:$X$495,(SUMPRODUCT((('CONTROL MASTER'!$S$2:$S$495=5)*('CONTROL MASTER'!$Z$2:$Z$495&lt;=9)*('CONTROL MASTER'!$AB$2:$AB$495&gt;=9)*('CONTROL MASTER'!$AA$2:$AA$495&lt;=2)*('CONTROL MASTER'!$AC$2:$AC$495&gt;=2))*ROW('CONTROL MASTER'!$S$2:$S$495))-(ROW('CONTROL MASTER'!#REF!)-1)))&amp;TRIM(MID(SUBSTITUTE(SUBSTITUTE(INDEX('CONTROL MASTER'!$N$2:$N$495,(SUMPRODUCT((('CONTROL MASTER'!$S$2:$S$495=5)*('CONTROL MASTER'!$Z$2:$Z$495&lt;=9)*('CONTROL MASTER'!$AB$2:$AB$495&gt;=9)*('CONTROL MASTER'!$AA$2:$AA$495&lt;=2)*('CONTROL MASTER'!$AC$2:$AC$495&gt;=2))*ROW('CONTROL MASTER'!$S$2:$S$495))-(ROW('CONTROL MASTER'!#REF!)-1))),":",","),",",REPT(" ",50)),(((INDEX('CONTROL MASTER'!$Y$2:$Y$495,(SUMPRODUCT((('CONTROL MASTER'!$S$2:$S$495=5)*('CONTROL MASTER'!$Z$2:$Z$495&lt;=9)*('CONTROL MASTER'!$AB$2:$AB$495&gt;=9)*('CONTROL MASTER'!$AA$2:$AA$495&lt;=2)*('CONTROL MASTER'!$AC$2:$AC$495&gt;=2))*ROW('CONTROL MASTER'!$S$2:$S$495))-(ROW('CONTROL MASTER'!#REF!)-1)))+((9-INDEX('CONTROL MASTER'!$Z$2:$Z$495,(SUMPRODUCT((('CONTROL MASTER'!$S$2:$S$495=5)*('CONTROL MASTER'!$Z$2:$Z$495&lt;=9)*('CONTROL MASTER'!$AB$2:$AB$495&gt;=9)*('CONTROL MASTER'!$AA$2:$AA$495&lt;=2)*('CONTROL MASTER'!$AC$2:$AC$495&gt;=2))*ROW('CONTROL MASTER'!$S$2:$S$495))-(ROW('CONTROL MASTER'!#REF!)-1))))*(INDEX('CONTROL MASTER'!$AC$2:$AC$495,(SUMPRODUCT((('CONTROL MASTER'!$S$2:$S$495=5)*('CONTROL MASTER'!$Z$2:$Z$495&lt;=9)*('CONTROL MASTER'!$AB$2:$AB$495&gt;=9)*('CONTROL MASTER'!$AA$2:$AA$495&lt;=2)*('CONTROL MASTER'!$AC$2:$AC$495&gt;=2))*ROW('CONTROL MASTER'!$S$2:$S$495))-(ROW('CONTROL MASTER'!#REF!)-1)))-INDEX('CONTROL MASTER'!$AA$2:$AA$495,(SUMPRODUCT((('CONTROL MASTER'!$S$2:$S$495=5)*('CONTROL MASTER'!$Z$2:$Z$495&lt;=9)*('CONTROL MASTER'!$AB$2:$AB$495&gt;=9)*('CONTROL MASTER'!$AA$2:$AA$495&lt;=2)*('CONTROL MASTER'!$AC$2:$AC$495&gt;=2))*ROW('CONTROL MASTER'!$S$2:$S$495))-(ROW('CONTROL MASTER'!#REF!)-1)))+1)+(2-INDEX('CONTROL MASTER'!$AA$2:$AA$495,(SUMPRODUCT((('CONTROL MASTER'!$S$2:$S$495=5)*('CONTROL MASTER'!$Z$2:$Z$495&lt;=9)*('CONTROL MASTER'!$AB$2:$AB$495&gt;=9)*('CONTROL MASTER'!$AA$2:$AA$495&lt;=2)*('CONTROL MASTER'!$AC$2:$AC$495&gt;=2))*ROW('CONTROL MASTER'!$S$2:$S$495))-(ROW('CONTROL MASTER'!#REF!)-1))))+1)))-1)*50+1,50))&amp;"_"&amp;INDEX('CONTROL MASTER'!$P$2:$P$495,(SUMPRODUCT((('CONTROL MASTER'!$S$2:$S$495=5)*('CONTROL MASTER'!$Z$2:$Z$495&lt;=9)*('CONTROL MASTER'!$AB$2:$AB$495&gt;=9)*('CONTROL MASTER'!$AA$2:$AA$495&lt;=2)*('CONTROL MASTER'!$AC$2:$AC$495&gt;=2))*ROW('CONTROL MASTER'!$S$2:$S$495))-(ROW('CONTROL MASTER'!#REF!)-1))),"")),"")</f>
        <v/>
      </c>
      <c r="D67" s="10" t="str">
        <f>IFERROR(IF(SUMPRODUCT((('CONTROL MASTER'!$S$2:$S$495=5)*('CONTROL MASTER'!$T$2:$T$495&lt;=9)*('CONTROL MASTER'!$V$2:$V$495&gt;=9)*('CONTROL MASTER'!$U$2:$U$495&lt;=3)*('CONTROL MASTER'!$W$2:$W$495&gt;=3))*ROW('CONTROL MASTER'!$S$2:$S$495))&gt;0,INDEX('CONTROL MASTER'!$X$2:$X$495,(SUMPRODUCT((('CONTROL MASTER'!$S$2:$S$495=5)*('CONTROL MASTER'!$T$2:$T$495&lt;=9)*('CONTROL MASTER'!$V$2:$V$495&gt;=9)*('CONTROL MASTER'!$U$2:$U$495&lt;=3)*('CONTROL MASTER'!$W$2:$W$495&gt;=3))*ROW('CONTROL MASTER'!$S$2:$S$495))-(ROW('CONTROL MASTER'!#REF!)-1)))&amp;TRIM(MID(SUBSTITUTE(SUBSTITUTE(INDEX('CONTROL MASTER'!$N$2:$N$495,(SUMPRODUCT((('CONTROL MASTER'!$S$2:$S$495=5)*('CONTROL MASTER'!$T$2:$T$495&lt;=9)*('CONTROL MASTER'!$V$2:$V$495&gt;=9)*('CONTROL MASTER'!$U$2:$U$495&lt;=3)*('CONTROL MASTER'!$W$2:$W$495&gt;=3))*ROW('CONTROL MASTER'!$S$2:$S$495))-(ROW('CONTROL MASTER'!#REF!)-1))),":",","),",",REPT(" ",50)),((((9-INDEX('CONTROL MASTER'!$T$2:$T$495,(SUMPRODUCT((('CONTROL MASTER'!$S$2:$S$495=5)*('CONTROL MASTER'!$T$2:$T$495&lt;=9)*('CONTROL MASTER'!$V$2:$V$495&gt;=9)*('CONTROL MASTER'!$U$2:$U$495&lt;=3)*('CONTROL MASTER'!$W$2:$W$495&gt;=3))*ROW('CONTROL MASTER'!$S$2:$S$495))-(ROW('CONTROL MASTER'!#REF!)-1))))*(INDEX('CONTROL MASTER'!$W$2:$W$495,(SUMPRODUCT((('CONTROL MASTER'!$S$2:$S$495=5)*('CONTROL MASTER'!$T$2:$T$495&lt;=9)*('CONTROL MASTER'!$V$2:$V$495&gt;=9)*('CONTROL MASTER'!$U$2:$U$495&lt;=3)*('CONTROL MASTER'!$W$2:$W$495&gt;=3))*ROW('CONTROL MASTER'!$S$2:$S$495))-(ROW('CONTROL MASTER'!#REF!)-1)))-INDEX('CONTROL MASTER'!$U$2:$U$495,(SUMPRODUCT((('CONTROL MASTER'!$S$2:$S$495=5)*('CONTROL MASTER'!$T$2:$T$495&lt;=9)*('CONTROL MASTER'!$V$2:$V$495&gt;=9)*('CONTROL MASTER'!$U$2:$U$495&lt;=3)*('CONTROL MASTER'!$W$2:$W$495&gt;=3))*ROW('CONTROL MASTER'!$S$2:$S$495))-(ROW('CONTROL MASTER'!#REF!)-1)))+1)+(3-INDEX('CONTROL MASTER'!$U$2:$U$495,(SUMPRODUCT((('CONTROL MASTER'!$S$2:$S$495=5)*('CONTROL MASTER'!$T$2:$T$495&lt;=9)*('CONTROL MASTER'!$V$2:$V$495&gt;=9)*('CONTROL MASTER'!$U$2:$U$495&lt;=3)*('CONTROL MASTER'!$W$2:$W$495&gt;=3))*ROW('CONTROL MASTER'!$S$2:$S$495))-(ROW('CONTROL MASTER'!#REF!)-1))))+1))-1)*50+1,50))&amp;"_"&amp;INDEX('CONTROL MASTER'!$P$2:$P$495,(SUMPRODUCT((('CONTROL MASTER'!$S$2:$S$495=5)*('CONTROL MASTER'!$T$2:$T$495&lt;=9)*('CONTROL MASTER'!$V$2:$V$495&gt;=9)*('CONTROL MASTER'!$U$2:$U$495&lt;=3)*('CONTROL MASTER'!$W$2:$W$495&gt;=3))*ROW('CONTROL MASTER'!$S$2:$S$495))-(ROW('CONTROL MASTER'!#REF!)-1))),IF(SUMPRODUCT((('CONTROL MASTER'!$S$2:$S$495=5)*('CONTROL MASTER'!$Z$2:$Z$495&lt;=9)*('CONTROL MASTER'!$AB$2:$AB$495&gt;=9)*('CONTROL MASTER'!$AA$2:$AA$495&lt;=3)*('CONTROL MASTER'!$AC$2:$AC$495&gt;=3))*ROW('CONTROL MASTER'!$S$2:$S$495))&gt;0,INDEX('CONTROL MASTER'!$X$2:$X$495,(SUMPRODUCT((('CONTROL MASTER'!$S$2:$S$495=5)*('CONTROL MASTER'!$Z$2:$Z$495&lt;=9)*('CONTROL MASTER'!$AB$2:$AB$495&gt;=9)*('CONTROL MASTER'!$AA$2:$AA$495&lt;=3)*('CONTROL MASTER'!$AC$2:$AC$495&gt;=3))*ROW('CONTROL MASTER'!$S$2:$S$495))-(ROW('CONTROL MASTER'!#REF!)-1)))&amp;TRIM(MID(SUBSTITUTE(SUBSTITUTE(INDEX('CONTROL MASTER'!$N$2:$N$495,(SUMPRODUCT((('CONTROL MASTER'!$S$2:$S$495=5)*('CONTROL MASTER'!$Z$2:$Z$495&lt;=9)*('CONTROL MASTER'!$AB$2:$AB$495&gt;=9)*('CONTROL MASTER'!$AA$2:$AA$495&lt;=3)*('CONTROL MASTER'!$AC$2:$AC$495&gt;=3))*ROW('CONTROL MASTER'!$S$2:$S$495))-(ROW('CONTROL MASTER'!#REF!)-1))),":",","),",",REPT(" ",50)),(((INDEX('CONTROL MASTER'!$Y$2:$Y$495,(SUMPRODUCT((('CONTROL MASTER'!$S$2:$S$495=5)*('CONTROL MASTER'!$Z$2:$Z$495&lt;=9)*('CONTROL MASTER'!$AB$2:$AB$495&gt;=9)*('CONTROL MASTER'!$AA$2:$AA$495&lt;=3)*('CONTROL MASTER'!$AC$2:$AC$495&gt;=3))*ROW('CONTROL MASTER'!$S$2:$S$495))-(ROW('CONTROL MASTER'!#REF!)-1)))+((9-INDEX('CONTROL MASTER'!$Z$2:$Z$495,(SUMPRODUCT((('CONTROL MASTER'!$S$2:$S$495=5)*('CONTROL MASTER'!$Z$2:$Z$495&lt;=9)*('CONTROL MASTER'!$AB$2:$AB$495&gt;=9)*('CONTROL MASTER'!$AA$2:$AA$495&lt;=3)*('CONTROL MASTER'!$AC$2:$AC$495&gt;=3))*ROW('CONTROL MASTER'!$S$2:$S$495))-(ROW('CONTROL MASTER'!#REF!)-1))))*(INDEX('CONTROL MASTER'!$AC$2:$AC$495,(SUMPRODUCT((('CONTROL MASTER'!$S$2:$S$495=5)*('CONTROL MASTER'!$Z$2:$Z$495&lt;=9)*('CONTROL MASTER'!$AB$2:$AB$495&gt;=9)*('CONTROL MASTER'!$AA$2:$AA$495&lt;=3)*('CONTROL MASTER'!$AC$2:$AC$495&gt;=3))*ROW('CONTROL MASTER'!$S$2:$S$495))-(ROW('CONTROL MASTER'!#REF!)-1)))-INDEX('CONTROL MASTER'!$AA$2:$AA$495,(SUMPRODUCT((('CONTROL MASTER'!$S$2:$S$495=5)*('CONTROL MASTER'!$Z$2:$Z$495&lt;=9)*('CONTROL MASTER'!$AB$2:$AB$495&gt;=9)*('CONTROL MASTER'!$AA$2:$AA$495&lt;=3)*('CONTROL MASTER'!$AC$2:$AC$495&gt;=3))*ROW('CONTROL MASTER'!$S$2:$S$495))-(ROW('CONTROL MASTER'!#REF!)-1)))+1)+(3-INDEX('CONTROL MASTER'!$AA$2:$AA$495,(SUMPRODUCT((('CONTROL MASTER'!$S$2:$S$495=5)*('CONTROL MASTER'!$Z$2:$Z$495&lt;=9)*('CONTROL MASTER'!$AB$2:$AB$495&gt;=9)*('CONTROL MASTER'!$AA$2:$AA$495&lt;=3)*('CONTROL MASTER'!$AC$2:$AC$495&gt;=3))*ROW('CONTROL MASTER'!$S$2:$S$495))-(ROW('CONTROL MASTER'!#REF!)-1))))+1)))-1)*50+1,50))&amp;"_"&amp;INDEX('CONTROL MASTER'!$P$2:$P$495,(SUMPRODUCT((('CONTROL MASTER'!$S$2:$S$495=5)*('CONTROL MASTER'!$Z$2:$Z$495&lt;=9)*('CONTROL MASTER'!$AB$2:$AB$495&gt;=9)*('CONTROL MASTER'!$AA$2:$AA$495&lt;=3)*('CONTROL MASTER'!$AC$2:$AC$495&gt;=3))*ROW('CONTROL MASTER'!$S$2:$S$495))-(ROW('CONTROL MASTER'!#REF!)-1))),"")),"")</f>
        <v/>
      </c>
      <c r="E67" s="10" t="str">
        <f>IFERROR(IF(SUMPRODUCT((('CONTROL MASTER'!$S$2:$S$495=5)*('CONTROL MASTER'!$T$2:$T$495&lt;=9)*('CONTROL MASTER'!$V$2:$V$495&gt;=9)*('CONTROL MASTER'!$U$2:$U$495&lt;=4)*('CONTROL MASTER'!$W$2:$W$495&gt;=4))*ROW('CONTROL MASTER'!$S$2:$S$495))&gt;0,INDEX('CONTROL MASTER'!$X$2:$X$495,(SUMPRODUCT((('CONTROL MASTER'!$S$2:$S$495=5)*('CONTROL MASTER'!$T$2:$T$495&lt;=9)*('CONTROL MASTER'!$V$2:$V$495&gt;=9)*('CONTROL MASTER'!$U$2:$U$495&lt;=4)*('CONTROL MASTER'!$W$2:$W$495&gt;=4))*ROW('CONTROL MASTER'!$S$2:$S$495))-(ROW('CONTROL MASTER'!#REF!)-1)))&amp;TRIM(MID(SUBSTITUTE(SUBSTITUTE(INDEX('CONTROL MASTER'!$N$2:$N$495,(SUMPRODUCT((('CONTROL MASTER'!$S$2:$S$495=5)*('CONTROL MASTER'!$T$2:$T$495&lt;=9)*('CONTROL MASTER'!$V$2:$V$495&gt;=9)*('CONTROL MASTER'!$U$2:$U$495&lt;=4)*('CONTROL MASTER'!$W$2:$W$495&gt;=4))*ROW('CONTROL MASTER'!$S$2:$S$495))-(ROW('CONTROL MASTER'!#REF!)-1))),":",","),",",REPT(" ",50)),((((9-INDEX('CONTROL MASTER'!$T$2:$T$495,(SUMPRODUCT((('CONTROL MASTER'!$S$2:$S$495=5)*('CONTROL MASTER'!$T$2:$T$495&lt;=9)*('CONTROL MASTER'!$V$2:$V$495&gt;=9)*('CONTROL MASTER'!$U$2:$U$495&lt;=4)*('CONTROL MASTER'!$W$2:$W$495&gt;=4))*ROW('CONTROL MASTER'!$S$2:$S$495))-(ROW('CONTROL MASTER'!#REF!)-1))))*(INDEX('CONTROL MASTER'!$W$2:$W$495,(SUMPRODUCT((('CONTROL MASTER'!$S$2:$S$495=5)*('CONTROL MASTER'!$T$2:$T$495&lt;=9)*('CONTROL MASTER'!$V$2:$V$495&gt;=9)*('CONTROL MASTER'!$U$2:$U$495&lt;=4)*('CONTROL MASTER'!$W$2:$W$495&gt;=4))*ROW('CONTROL MASTER'!$S$2:$S$495))-(ROW('CONTROL MASTER'!#REF!)-1)))-INDEX('CONTROL MASTER'!$U$2:$U$495,(SUMPRODUCT((('CONTROL MASTER'!$S$2:$S$495=5)*('CONTROL MASTER'!$T$2:$T$495&lt;=9)*('CONTROL MASTER'!$V$2:$V$495&gt;=9)*('CONTROL MASTER'!$U$2:$U$495&lt;=4)*('CONTROL MASTER'!$W$2:$W$495&gt;=4))*ROW('CONTROL MASTER'!$S$2:$S$495))-(ROW('CONTROL MASTER'!#REF!)-1)))+1)+(4-INDEX('CONTROL MASTER'!$U$2:$U$495,(SUMPRODUCT((('CONTROL MASTER'!$S$2:$S$495=5)*('CONTROL MASTER'!$T$2:$T$495&lt;=9)*('CONTROL MASTER'!$V$2:$V$495&gt;=9)*('CONTROL MASTER'!$U$2:$U$495&lt;=4)*('CONTROL MASTER'!$W$2:$W$495&gt;=4))*ROW('CONTROL MASTER'!$S$2:$S$495))-(ROW('CONTROL MASTER'!#REF!)-1))))+1))-1)*50+1,50))&amp;"_"&amp;INDEX('CONTROL MASTER'!$P$2:$P$495,(SUMPRODUCT((('CONTROL MASTER'!$S$2:$S$495=5)*('CONTROL MASTER'!$T$2:$T$495&lt;=9)*('CONTROL MASTER'!$V$2:$V$495&gt;=9)*('CONTROL MASTER'!$U$2:$U$495&lt;=4)*('CONTROL MASTER'!$W$2:$W$495&gt;=4))*ROW('CONTROL MASTER'!$S$2:$S$495))-(ROW('CONTROL MASTER'!#REF!)-1))),IF(SUMPRODUCT((('CONTROL MASTER'!$S$2:$S$495=5)*('CONTROL MASTER'!$Z$2:$Z$495&lt;=9)*('CONTROL MASTER'!$AB$2:$AB$495&gt;=9)*('CONTROL MASTER'!$AA$2:$AA$495&lt;=4)*('CONTROL MASTER'!$AC$2:$AC$495&gt;=4))*ROW('CONTROL MASTER'!$S$2:$S$495))&gt;0,INDEX('CONTROL MASTER'!$X$2:$X$495,(SUMPRODUCT((('CONTROL MASTER'!$S$2:$S$495=5)*('CONTROL MASTER'!$Z$2:$Z$495&lt;=9)*('CONTROL MASTER'!$AB$2:$AB$495&gt;=9)*('CONTROL MASTER'!$AA$2:$AA$495&lt;=4)*('CONTROL MASTER'!$AC$2:$AC$495&gt;=4))*ROW('CONTROL MASTER'!$S$2:$S$495))-(ROW('CONTROL MASTER'!#REF!)-1)))&amp;TRIM(MID(SUBSTITUTE(SUBSTITUTE(INDEX('CONTROL MASTER'!$N$2:$N$495,(SUMPRODUCT((('CONTROL MASTER'!$S$2:$S$495=5)*('CONTROL MASTER'!$Z$2:$Z$495&lt;=9)*('CONTROL MASTER'!$AB$2:$AB$495&gt;=9)*('CONTROL MASTER'!$AA$2:$AA$495&lt;=4)*('CONTROL MASTER'!$AC$2:$AC$495&gt;=4))*ROW('CONTROL MASTER'!$S$2:$S$495))-(ROW('CONTROL MASTER'!#REF!)-1))),":",","),",",REPT(" ",50)),(((INDEX('CONTROL MASTER'!$Y$2:$Y$495,(SUMPRODUCT((('CONTROL MASTER'!$S$2:$S$495=5)*('CONTROL MASTER'!$Z$2:$Z$495&lt;=9)*('CONTROL MASTER'!$AB$2:$AB$495&gt;=9)*('CONTROL MASTER'!$AA$2:$AA$495&lt;=4)*('CONTROL MASTER'!$AC$2:$AC$495&gt;=4))*ROW('CONTROL MASTER'!$S$2:$S$495))-(ROW('CONTROL MASTER'!#REF!)-1)))+((9-INDEX('CONTROL MASTER'!$Z$2:$Z$495,(SUMPRODUCT((('CONTROL MASTER'!$S$2:$S$495=5)*('CONTROL MASTER'!$Z$2:$Z$495&lt;=9)*('CONTROL MASTER'!$AB$2:$AB$495&gt;=9)*('CONTROL MASTER'!$AA$2:$AA$495&lt;=4)*('CONTROL MASTER'!$AC$2:$AC$495&gt;=4))*ROW('CONTROL MASTER'!$S$2:$S$495))-(ROW('CONTROL MASTER'!#REF!)-1))))*(INDEX('CONTROL MASTER'!$AC$2:$AC$495,(SUMPRODUCT((('CONTROL MASTER'!$S$2:$S$495=5)*('CONTROL MASTER'!$Z$2:$Z$495&lt;=9)*('CONTROL MASTER'!$AB$2:$AB$495&gt;=9)*('CONTROL MASTER'!$AA$2:$AA$495&lt;=4)*('CONTROL MASTER'!$AC$2:$AC$495&gt;=4))*ROW('CONTROL MASTER'!$S$2:$S$495))-(ROW('CONTROL MASTER'!#REF!)-1)))-INDEX('CONTROL MASTER'!$AA$2:$AA$495,(SUMPRODUCT((('CONTROL MASTER'!$S$2:$S$495=5)*('CONTROL MASTER'!$Z$2:$Z$495&lt;=9)*('CONTROL MASTER'!$AB$2:$AB$495&gt;=9)*('CONTROL MASTER'!$AA$2:$AA$495&lt;=4)*('CONTROL MASTER'!$AC$2:$AC$495&gt;=4))*ROW('CONTROL MASTER'!$S$2:$S$495))-(ROW('CONTROL MASTER'!#REF!)-1)))+1)+(4-INDEX('CONTROL MASTER'!$AA$2:$AA$495,(SUMPRODUCT((('CONTROL MASTER'!$S$2:$S$495=5)*('CONTROL MASTER'!$Z$2:$Z$495&lt;=9)*('CONTROL MASTER'!$AB$2:$AB$495&gt;=9)*('CONTROL MASTER'!$AA$2:$AA$495&lt;=4)*('CONTROL MASTER'!$AC$2:$AC$495&gt;=4))*ROW('CONTROL MASTER'!$S$2:$S$495))-(ROW('CONTROL MASTER'!#REF!)-1))))+1)))-1)*50+1,50))&amp;"_"&amp;INDEX('CONTROL MASTER'!$P$2:$P$495,(SUMPRODUCT((('CONTROL MASTER'!$S$2:$S$495=5)*('CONTROL MASTER'!$Z$2:$Z$495&lt;=9)*('CONTROL MASTER'!$AB$2:$AB$495&gt;=9)*('CONTROL MASTER'!$AA$2:$AA$495&lt;=4)*('CONTROL MASTER'!$AC$2:$AC$495&gt;=4))*ROW('CONTROL MASTER'!$S$2:$S$495))-(ROW('CONTROL MASTER'!#REF!)-1))),"")),"")</f>
        <v/>
      </c>
      <c r="F67" s="10" t="str">
        <f>IFERROR(IF(SUMPRODUCT((('CONTROL MASTER'!$S$2:$S$495=5)*('CONTROL MASTER'!$T$2:$T$495&lt;=9)*('CONTROL MASTER'!$V$2:$V$495&gt;=9)*('CONTROL MASTER'!$U$2:$U$495&lt;=5)*('CONTROL MASTER'!$W$2:$W$495&gt;=5))*ROW('CONTROL MASTER'!$S$2:$S$495))&gt;0,INDEX('CONTROL MASTER'!$X$2:$X$495,(SUMPRODUCT((('CONTROL MASTER'!$S$2:$S$495=5)*('CONTROL MASTER'!$T$2:$T$495&lt;=9)*('CONTROL MASTER'!$V$2:$V$495&gt;=9)*('CONTROL MASTER'!$U$2:$U$495&lt;=5)*('CONTROL MASTER'!$W$2:$W$495&gt;=5))*ROW('CONTROL MASTER'!$S$2:$S$495))-(ROW('CONTROL MASTER'!#REF!)-1)))&amp;TRIM(MID(SUBSTITUTE(SUBSTITUTE(INDEX('CONTROL MASTER'!$N$2:$N$495,(SUMPRODUCT((('CONTROL MASTER'!$S$2:$S$495=5)*('CONTROL MASTER'!$T$2:$T$495&lt;=9)*('CONTROL MASTER'!$V$2:$V$495&gt;=9)*('CONTROL MASTER'!$U$2:$U$495&lt;=5)*('CONTROL MASTER'!$W$2:$W$495&gt;=5))*ROW('CONTROL MASTER'!$S$2:$S$495))-(ROW('CONTROL MASTER'!#REF!)-1))),":",","),",",REPT(" ",50)),((((9-INDEX('CONTROL MASTER'!$T$2:$T$495,(SUMPRODUCT((('CONTROL MASTER'!$S$2:$S$495=5)*('CONTROL MASTER'!$T$2:$T$495&lt;=9)*('CONTROL MASTER'!$V$2:$V$495&gt;=9)*('CONTROL MASTER'!$U$2:$U$495&lt;=5)*('CONTROL MASTER'!$W$2:$W$495&gt;=5))*ROW('CONTROL MASTER'!$S$2:$S$495))-(ROW('CONTROL MASTER'!#REF!)-1))))*(INDEX('CONTROL MASTER'!$W$2:$W$495,(SUMPRODUCT((('CONTROL MASTER'!$S$2:$S$495=5)*('CONTROL MASTER'!$T$2:$T$495&lt;=9)*('CONTROL MASTER'!$V$2:$V$495&gt;=9)*('CONTROL MASTER'!$U$2:$U$495&lt;=5)*('CONTROL MASTER'!$W$2:$W$495&gt;=5))*ROW('CONTROL MASTER'!$S$2:$S$495))-(ROW('CONTROL MASTER'!#REF!)-1)))-INDEX('CONTROL MASTER'!$U$2:$U$495,(SUMPRODUCT((('CONTROL MASTER'!$S$2:$S$495=5)*('CONTROL MASTER'!$T$2:$T$495&lt;=9)*('CONTROL MASTER'!$V$2:$V$495&gt;=9)*('CONTROL MASTER'!$U$2:$U$495&lt;=5)*('CONTROL MASTER'!$W$2:$W$495&gt;=5))*ROW('CONTROL MASTER'!$S$2:$S$495))-(ROW('CONTROL MASTER'!#REF!)-1)))+1)+(5-INDEX('CONTROL MASTER'!$U$2:$U$495,(SUMPRODUCT((('CONTROL MASTER'!$S$2:$S$495=5)*('CONTROL MASTER'!$T$2:$T$495&lt;=9)*('CONTROL MASTER'!$V$2:$V$495&gt;=9)*('CONTROL MASTER'!$U$2:$U$495&lt;=5)*('CONTROL MASTER'!$W$2:$W$495&gt;=5))*ROW('CONTROL MASTER'!$S$2:$S$495))-(ROW('CONTROL MASTER'!#REF!)-1))))+1))-1)*50+1,50))&amp;"_"&amp;INDEX('CONTROL MASTER'!$P$2:$P$495,(SUMPRODUCT((('CONTROL MASTER'!$S$2:$S$495=5)*('CONTROL MASTER'!$T$2:$T$495&lt;=9)*('CONTROL MASTER'!$V$2:$V$495&gt;=9)*('CONTROL MASTER'!$U$2:$U$495&lt;=5)*('CONTROL MASTER'!$W$2:$W$495&gt;=5))*ROW('CONTROL MASTER'!$S$2:$S$495))-(ROW('CONTROL MASTER'!#REF!)-1))),IF(SUMPRODUCT((('CONTROL MASTER'!$S$2:$S$495=5)*('CONTROL MASTER'!$Z$2:$Z$495&lt;=9)*('CONTROL MASTER'!$AB$2:$AB$495&gt;=9)*('CONTROL MASTER'!$AA$2:$AA$495&lt;=5)*('CONTROL MASTER'!$AC$2:$AC$495&gt;=5))*ROW('CONTROL MASTER'!$S$2:$S$495))&gt;0,INDEX('CONTROL MASTER'!$X$2:$X$495,(SUMPRODUCT((('CONTROL MASTER'!$S$2:$S$495=5)*('CONTROL MASTER'!$Z$2:$Z$495&lt;=9)*('CONTROL MASTER'!$AB$2:$AB$495&gt;=9)*('CONTROL MASTER'!$AA$2:$AA$495&lt;=5)*('CONTROL MASTER'!$AC$2:$AC$495&gt;=5))*ROW('CONTROL MASTER'!$S$2:$S$495))-(ROW('CONTROL MASTER'!#REF!)-1)))&amp;TRIM(MID(SUBSTITUTE(SUBSTITUTE(INDEX('CONTROL MASTER'!$N$2:$N$495,(SUMPRODUCT((('CONTROL MASTER'!$S$2:$S$495=5)*('CONTROL MASTER'!$Z$2:$Z$495&lt;=9)*('CONTROL MASTER'!$AB$2:$AB$495&gt;=9)*('CONTROL MASTER'!$AA$2:$AA$495&lt;=5)*('CONTROL MASTER'!$AC$2:$AC$495&gt;=5))*ROW('CONTROL MASTER'!$S$2:$S$495))-(ROW('CONTROL MASTER'!#REF!)-1))),":",","),",",REPT(" ",50)),(((INDEX('CONTROL MASTER'!$Y$2:$Y$495,(SUMPRODUCT((('CONTROL MASTER'!$S$2:$S$495=5)*('CONTROL MASTER'!$Z$2:$Z$495&lt;=9)*('CONTROL MASTER'!$AB$2:$AB$495&gt;=9)*('CONTROL MASTER'!$AA$2:$AA$495&lt;=5)*('CONTROL MASTER'!$AC$2:$AC$495&gt;=5))*ROW('CONTROL MASTER'!$S$2:$S$495))-(ROW('CONTROL MASTER'!#REF!)-1)))+((9-INDEX('CONTROL MASTER'!$Z$2:$Z$495,(SUMPRODUCT((('CONTROL MASTER'!$S$2:$S$495=5)*('CONTROL MASTER'!$Z$2:$Z$495&lt;=9)*('CONTROL MASTER'!$AB$2:$AB$495&gt;=9)*('CONTROL MASTER'!$AA$2:$AA$495&lt;=5)*('CONTROL MASTER'!$AC$2:$AC$495&gt;=5))*ROW('CONTROL MASTER'!$S$2:$S$495))-(ROW('CONTROL MASTER'!#REF!)-1))))*(INDEX('CONTROL MASTER'!$AC$2:$AC$495,(SUMPRODUCT((('CONTROL MASTER'!$S$2:$S$495=5)*('CONTROL MASTER'!$Z$2:$Z$495&lt;=9)*('CONTROL MASTER'!$AB$2:$AB$495&gt;=9)*('CONTROL MASTER'!$AA$2:$AA$495&lt;=5)*('CONTROL MASTER'!$AC$2:$AC$495&gt;=5))*ROW('CONTROL MASTER'!$S$2:$S$495))-(ROW('CONTROL MASTER'!#REF!)-1)))-INDEX('CONTROL MASTER'!$AA$2:$AA$495,(SUMPRODUCT((('CONTROL MASTER'!$S$2:$S$495=5)*('CONTROL MASTER'!$Z$2:$Z$495&lt;=9)*('CONTROL MASTER'!$AB$2:$AB$495&gt;=9)*('CONTROL MASTER'!$AA$2:$AA$495&lt;=5)*('CONTROL MASTER'!$AC$2:$AC$495&gt;=5))*ROW('CONTROL MASTER'!$S$2:$S$495))-(ROW('CONTROL MASTER'!#REF!)-1)))+1)+(5-INDEX('CONTROL MASTER'!$AA$2:$AA$495,(SUMPRODUCT((('CONTROL MASTER'!$S$2:$S$495=5)*('CONTROL MASTER'!$Z$2:$Z$495&lt;=9)*('CONTROL MASTER'!$AB$2:$AB$495&gt;=9)*('CONTROL MASTER'!$AA$2:$AA$495&lt;=5)*('CONTROL MASTER'!$AC$2:$AC$495&gt;=5))*ROW('CONTROL MASTER'!$S$2:$S$495))-(ROW('CONTROL MASTER'!#REF!)-1))))+1)))-1)*50+1,50))&amp;"_"&amp;INDEX('CONTROL MASTER'!$P$2:$P$495,(SUMPRODUCT((('CONTROL MASTER'!$S$2:$S$495=5)*('CONTROL MASTER'!$Z$2:$Z$495&lt;=9)*('CONTROL MASTER'!$AB$2:$AB$495&gt;=9)*('CONTROL MASTER'!$AA$2:$AA$495&lt;=5)*('CONTROL MASTER'!$AC$2:$AC$495&gt;=5))*ROW('CONTROL MASTER'!$S$2:$S$495))-(ROW('CONTROL MASTER'!#REF!)-1))),"")),"")</f>
        <v/>
      </c>
      <c r="G67" s="10" t="str">
        <f>IFERROR(IF(SUMPRODUCT((('CONTROL MASTER'!$S$2:$S$495=5)*('CONTROL MASTER'!$T$2:$T$495&lt;=9)*('CONTROL MASTER'!$V$2:$V$495&gt;=9)*('CONTROL MASTER'!$U$2:$U$495&lt;=6)*('CONTROL MASTER'!$W$2:$W$495&gt;=6))*ROW('CONTROL MASTER'!$S$2:$S$495))&gt;0,INDEX('CONTROL MASTER'!$X$2:$X$495,(SUMPRODUCT((('CONTROL MASTER'!$S$2:$S$495=5)*('CONTROL MASTER'!$T$2:$T$495&lt;=9)*('CONTROL MASTER'!$V$2:$V$495&gt;=9)*('CONTROL MASTER'!$U$2:$U$495&lt;=6)*('CONTROL MASTER'!$W$2:$W$495&gt;=6))*ROW('CONTROL MASTER'!$S$2:$S$495))-(ROW('CONTROL MASTER'!#REF!)-1)))&amp;TRIM(MID(SUBSTITUTE(SUBSTITUTE(INDEX('CONTROL MASTER'!$N$2:$N$495,(SUMPRODUCT((('CONTROL MASTER'!$S$2:$S$495=5)*('CONTROL MASTER'!$T$2:$T$495&lt;=9)*('CONTROL MASTER'!$V$2:$V$495&gt;=9)*('CONTROL MASTER'!$U$2:$U$495&lt;=6)*('CONTROL MASTER'!$W$2:$W$495&gt;=6))*ROW('CONTROL MASTER'!$S$2:$S$495))-(ROW('CONTROL MASTER'!#REF!)-1))),":",","),",",REPT(" ",50)),((((9-INDEX('CONTROL MASTER'!$T$2:$T$495,(SUMPRODUCT((('CONTROL MASTER'!$S$2:$S$495=5)*('CONTROL MASTER'!$T$2:$T$495&lt;=9)*('CONTROL MASTER'!$V$2:$V$495&gt;=9)*('CONTROL MASTER'!$U$2:$U$495&lt;=6)*('CONTROL MASTER'!$W$2:$W$495&gt;=6))*ROW('CONTROL MASTER'!$S$2:$S$495))-(ROW('CONTROL MASTER'!#REF!)-1))))*(INDEX('CONTROL MASTER'!$W$2:$W$495,(SUMPRODUCT((('CONTROL MASTER'!$S$2:$S$495=5)*('CONTROL MASTER'!$T$2:$T$495&lt;=9)*('CONTROL MASTER'!$V$2:$V$495&gt;=9)*('CONTROL MASTER'!$U$2:$U$495&lt;=6)*('CONTROL MASTER'!$W$2:$W$495&gt;=6))*ROW('CONTROL MASTER'!$S$2:$S$495))-(ROW('CONTROL MASTER'!#REF!)-1)))-INDEX('CONTROL MASTER'!$U$2:$U$495,(SUMPRODUCT((('CONTROL MASTER'!$S$2:$S$495=5)*('CONTROL MASTER'!$T$2:$T$495&lt;=9)*('CONTROL MASTER'!$V$2:$V$495&gt;=9)*('CONTROL MASTER'!$U$2:$U$495&lt;=6)*('CONTROL MASTER'!$W$2:$W$495&gt;=6))*ROW('CONTROL MASTER'!$S$2:$S$495))-(ROW('CONTROL MASTER'!#REF!)-1)))+1)+(6-INDEX('CONTROL MASTER'!$U$2:$U$495,(SUMPRODUCT((('CONTROL MASTER'!$S$2:$S$495=5)*('CONTROL MASTER'!$T$2:$T$495&lt;=9)*('CONTROL MASTER'!$V$2:$V$495&gt;=9)*('CONTROL MASTER'!$U$2:$U$495&lt;=6)*('CONTROL MASTER'!$W$2:$W$495&gt;=6))*ROW('CONTROL MASTER'!$S$2:$S$495))-(ROW('CONTROL MASTER'!#REF!)-1))))+1))-1)*50+1,50))&amp;"_"&amp;INDEX('CONTROL MASTER'!$P$2:$P$495,(SUMPRODUCT((('CONTROL MASTER'!$S$2:$S$495=5)*('CONTROL MASTER'!$T$2:$T$495&lt;=9)*('CONTROL MASTER'!$V$2:$V$495&gt;=9)*('CONTROL MASTER'!$U$2:$U$495&lt;=6)*('CONTROL MASTER'!$W$2:$W$495&gt;=6))*ROW('CONTROL MASTER'!$S$2:$S$495))-(ROW('CONTROL MASTER'!#REF!)-1))),IF(SUMPRODUCT((('CONTROL MASTER'!$S$2:$S$495=5)*('CONTROL MASTER'!$Z$2:$Z$495&lt;=9)*('CONTROL MASTER'!$AB$2:$AB$495&gt;=9)*('CONTROL MASTER'!$AA$2:$AA$495&lt;=6)*('CONTROL MASTER'!$AC$2:$AC$495&gt;=6))*ROW('CONTROL MASTER'!$S$2:$S$495))&gt;0,INDEX('CONTROL MASTER'!$X$2:$X$495,(SUMPRODUCT((('CONTROL MASTER'!$S$2:$S$495=5)*('CONTROL MASTER'!$Z$2:$Z$495&lt;=9)*('CONTROL MASTER'!$AB$2:$AB$495&gt;=9)*('CONTROL MASTER'!$AA$2:$AA$495&lt;=6)*('CONTROL MASTER'!$AC$2:$AC$495&gt;=6))*ROW('CONTROL MASTER'!$S$2:$S$495))-(ROW('CONTROL MASTER'!#REF!)-1)))&amp;TRIM(MID(SUBSTITUTE(SUBSTITUTE(INDEX('CONTROL MASTER'!$N$2:$N$495,(SUMPRODUCT((('CONTROL MASTER'!$S$2:$S$495=5)*('CONTROL MASTER'!$Z$2:$Z$495&lt;=9)*('CONTROL MASTER'!$AB$2:$AB$495&gt;=9)*('CONTROL MASTER'!$AA$2:$AA$495&lt;=6)*('CONTROL MASTER'!$AC$2:$AC$495&gt;=6))*ROW('CONTROL MASTER'!$S$2:$S$495))-(ROW('CONTROL MASTER'!#REF!)-1))),":",","),",",REPT(" ",50)),(((INDEX('CONTROL MASTER'!$Y$2:$Y$495,(SUMPRODUCT((('CONTROL MASTER'!$S$2:$S$495=5)*('CONTROL MASTER'!$Z$2:$Z$495&lt;=9)*('CONTROL MASTER'!$AB$2:$AB$495&gt;=9)*('CONTROL MASTER'!$AA$2:$AA$495&lt;=6)*('CONTROL MASTER'!$AC$2:$AC$495&gt;=6))*ROW('CONTROL MASTER'!$S$2:$S$495))-(ROW('CONTROL MASTER'!#REF!)-1)))+((9-INDEX('CONTROL MASTER'!$Z$2:$Z$495,(SUMPRODUCT((('CONTROL MASTER'!$S$2:$S$495=5)*('CONTROL MASTER'!$Z$2:$Z$495&lt;=9)*('CONTROL MASTER'!$AB$2:$AB$495&gt;=9)*('CONTROL MASTER'!$AA$2:$AA$495&lt;=6)*('CONTROL MASTER'!$AC$2:$AC$495&gt;=6))*ROW('CONTROL MASTER'!$S$2:$S$495))-(ROW('CONTROL MASTER'!#REF!)-1))))*(INDEX('CONTROL MASTER'!$AC$2:$AC$495,(SUMPRODUCT((('CONTROL MASTER'!$S$2:$S$495=5)*('CONTROL MASTER'!$Z$2:$Z$495&lt;=9)*('CONTROL MASTER'!$AB$2:$AB$495&gt;=9)*('CONTROL MASTER'!$AA$2:$AA$495&lt;=6)*('CONTROL MASTER'!$AC$2:$AC$495&gt;=6))*ROW('CONTROL MASTER'!$S$2:$S$495))-(ROW('CONTROL MASTER'!#REF!)-1)))-INDEX('CONTROL MASTER'!$AA$2:$AA$495,(SUMPRODUCT((('CONTROL MASTER'!$S$2:$S$495=5)*('CONTROL MASTER'!$Z$2:$Z$495&lt;=9)*('CONTROL MASTER'!$AB$2:$AB$495&gt;=9)*('CONTROL MASTER'!$AA$2:$AA$495&lt;=6)*('CONTROL MASTER'!$AC$2:$AC$495&gt;=6))*ROW('CONTROL MASTER'!$S$2:$S$495))-(ROW('CONTROL MASTER'!#REF!)-1)))+1)+(6-INDEX('CONTROL MASTER'!$AA$2:$AA$495,(SUMPRODUCT((('CONTROL MASTER'!$S$2:$S$495=5)*('CONTROL MASTER'!$Z$2:$Z$495&lt;=9)*('CONTROL MASTER'!$AB$2:$AB$495&gt;=9)*('CONTROL MASTER'!$AA$2:$AA$495&lt;=6)*('CONTROL MASTER'!$AC$2:$AC$495&gt;=6))*ROW('CONTROL MASTER'!$S$2:$S$495))-(ROW('CONTROL MASTER'!#REF!)-1))))+1)))-1)*50+1,50))&amp;"_"&amp;INDEX('CONTROL MASTER'!$P$2:$P$495,(SUMPRODUCT((('CONTROL MASTER'!$S$2:$S$495=5)*('CONTROL MASTER'!$Z$2:$Z$495&lt;=9)*('CONTROL MASTER'!$AB$2:$AB$495&gt;=9)*('CONTROL MASTER'!$AA$2:$AA$495&lt;=6)*('CONTROL MASTER'!$AC$2:$AC$495&gt;=6))*ROW('CONTROL MASTER'!$S$2:$S$495))-(ROW('CONTROL MASTER'!#REF!)-1))),"")),"")</f>
        <v/>
      </c>
      <c r="H67" s="10" t="str">
        <f>IFERROR(IF(SUMPRODUCT((('CONTROL MASTER'!$S$2:$S$495=5)*('CONTROL MASTER'!$T$2:$T$495&lt;=9)*('CONTROL MASTER'!$V$2:$V$495&gt;=9)*('CONTROL MASTER'!$U$2:$U$495&lt;=7)*('CONTROL MASTER'!$W$2:$W$495&gt;=7))*ROW('CONTROL MASTER'!$S$2:$S$495))&gt;0,INDEX('CONTROL MASTER'!$X$2:$X$495,(SUMPRODUCT((('CONTROL MASTER'!$S$2:$S$495=5)*('CONTROL MASTER'!$T$2:$T$495&lt;=9)*('CONTROL MASTER'!$V$2:$V$495&gt;=9)*('CONTROL MASTER'!$U$2:$U$495&lt;=7)*('CONTROL MASTER'!$W$2:$W$495&gt;=7))*ROW('CONTROL MASTER'!$S$2:$S$495))-(ROW('CONTROL MASTER'!#REF!)-1)))&amp;TRIM(MID(SUBSTITUTE(SUBSTITUTE(INDEX('CONTROL MASTER'!$N$2:$N$495,(SUMPRODUCT((('CONTROL MASTER'!$S$2:$S$495=5)*('CONTROL MASTER'!$T$2:$T$495&lt;=9)*('CONTROL MASTER'!$V$2:$V$495&gt;=9)*('CONTROL MASTER'!$U$2:$U$495&lt;=7)*('CONTROL MASTER'!$W$2:$W$495&gt;=7))*ROW('CONTROL MASTER'!$S$2:$S$495))-(ROW('CONTROL MASTER'!#REF!)-1))),":",","),",",REPT(" ",50)),((((9-INDEX('CONTROL MASTER'!$T$2:$T$495,(SUMPRODUCT((('CONTROL MASTER'!$S$2:$S$495=5)*('CONTROL MASTER'!$T$2:$T$495&lt;=9)*('CONTROL MASTER'!$V$2:$V$495&gt;=9)*('CONTROL MASTER'!$U$2:$U$495&lt;=7)*('CONTROL MASTER'!$W$2:$W$495&gt;=7))*ROW('CONTROL MASTER'!$S$2:$S$495))-(ROW('CONTROL MASTER'!#REF!)-1))))*(INDEX('CONTROL MASTER'!$W$2:$W$495,(SUMPRODUCT((('CONTROL MASTER'!$S$2:$S$495=5)*('CONTROL MASTER'!$T$2:$T$495&lt;=9)*('CONTROL MASTER'!$V$2:$V$495&gt;=9)*('CONTROL MASTER'!$U$2:$U$495&lt;=7)*('CONTROL MASTER'!$W$2:$W$495&gt;=7))*ROW('CONTROL MASTER'!$S$2:$S$495))-(ROW('CONTROL MASTER'!#REF!)-1)))-INDEX('CONTROL MASTER'!$U$2:$U$495,(SUMPRODUCT((('CONTROL MASTER'!$S$2:$S$495=5)*('CONTROL MASTER'!$T$2:$T$495&lt;=9)*('CONTROL MASTER'!$V$2:$V$495&gt;=9)*('CONTROL MASTER'!$U$2:$U$495&lt;=7)*('CONTROL MASTER'!$W$2:$W$495&gt;=7))*ROW('CONTROL MASTER'!$S$2:$S$495))-(ROW('CONTROL MASTER'!#REF!)-1)))+1)+(7-INDEX('CONTROL MASTER'!$U$2:$U$495,(SUMPRODUCT((('CONTROL MASTER'!$S$2:$S$495=5)*('CONTROL MASTER'!$T$2:$T$495&lt;=9)*('CONTROL MASTER'!$V$2:$V$495&gt;=9)*('CONTROL MASTER'!$U$2:$U$495&lt;=7)*('CONTROL MASTER'!$W$2:$W$495&gt;=7))*ROW('CONTROL MASTER'!$S$2:$S$495))-(ROW('CONTROL MASTER'!#REF!)-1))))+1))-1)*50+1,50))&amp;"_"&amp;INDEX('CONTROL MASTER'!$P$2:$P$495,(SUMPRODUCT((('CONTROL MASTER'!$S$2:$S$495=5)*('CONTROL MASTER'!$T$2:$T$495&lt;=9)*('CONTROL MASTER'!$V$2:$V$495&gt;=9)*('CONTROL MASTER'!$U$2:$U$495&lt;=7)*('CONTROL MASTER'!$W$2:$W$495&gt;=7))*ROW('CONTROL MASTER'!$S$2:$S$495))-(ROW('CONTROL MASTER'!#REF!)-1))),IF(SUMPRODUCT((('CONTROL MASTER'!$S$2:$S$495=5)*('CONTROL MASTER'!$Z$2:$Z$495&lt;=9)*('CONTROL MASTER'!$AB$2:$AB$495&gt;=9)*('CONTROL MASTER'!$AA$2:$AA$495&lt;=7)*('CONTROL MASTER'!$AC$2:$AC$495&gt;=7))*ROW('CONTROL MASTER'!$S$2:$S$495))&gt;0,INDEX('CONTROL MASTER'!$X$2:$X$495,(SUMPRODUCT((('CONTROL MASTER'!$S$2:$S$495=5)*('CONTROL MASTER'!$Z$2:$Z$495&lt;=9)*('CONTROL MASTER'!$AB$2:$AB$495&gt;=9)*('CONTROL MASTER'!$AA$2:$AA$495&lt;=7)*('CONTROL MASTER'!$AC$2:$AC$495&gt;=7))*ROW('CONTROL MASTER'!$S$2:$S$495))-(ROW('CONTROL MASTER'!#REF!)-1)))&amp;TRIM(MID(SUBSTITUTE(SUBSTITUTE(INDEX('CONTROL MASTER'!$N$2:$N$495,(SUMPRODUCT((('CONTROL MASTER'!$S$2:$S$495=5)*('CONTROL MASTER'!$Z$2:$Z$495&lt;=9)*('CONTROL MASTER'!$AB$2:$AB$495&gt;=9)*('CONTROL MASTER'!$AA$2:$AA$495&lt;=7)*('CONTROL MASTER'!$AC$2:$AC$495&gt;=7))*ROW('CONTROL MASTER'!$S$2:$S$495))-(ROW('CONTROL MASTER'!#REF!)-1))),":",","),",",REPT(" ",50)),(((INDEX('CONTROL MASTER'!$Y$2:$Y$495,(SUMPRODUCT((('CONTROL MASTER'!$S$2:$S$495=5)*('CONTROL MASTER'!$Z$2:$Z$495&lt;=9)*('CONTROL MASTER'!$AB$2:$AB$495&gt;=9)*('CONTROL MASTER'!$AA$2:$AA$495&lt;=7)*('CONTROL MASTER'!$AC$2:$AC$495&gt;=7))*ROW('CONTROL MASTER'!$S$2:$S$495))-(ROW('CONTROL MASTER'!#REF!)-1)))+((9-INDEX('CONTROL MASTER'!$Z$2:$Z$495,(SUMPRODUCT((('CONTROL MASTER'!$S$2:$S$495=5)*('CONTROL MASTER'!$Z$2:$Z$495&lt;=9)*('CONTROL MASTER'!$AB$2:$AB$495&gt;=9)*('CONTROL MASTER'!$AA$2:$AA$495&lt;=7)*('CONTROL MASTER'!$AC$2:$AC$495&gt;=7))*ROW('CONTROL MASTER'!$S$2:$S$495))-(ROW('CONTROL MASTER'!#REF!)-1))))*(INDEX('CONTROL MASTER'!$AC$2:$AC$495,(SUMPRODUCT((('CONTROL MASTER'!$S$2:$S$495=5)*('CONTROL MASTER'!$Z$2:$Z$495&lt;=9)*('CONTROL MASTER'!$AB$2:$AB$495&gt;=9)*('CONTROL MASTER'!$AA$2:$AA$495&lt;=7)*('CONTROL MASTER'!$AC$2:$AC$495&gt;=7))*ROW('CONTROL MASTER'!$S$2:$S$495))-(ROW('CONTROL MASTER'!#REF!)-1)))-INDEX('CONTROL MASTER'!$AA$2:$AA$495,(SUMPRODUCT((('CONTROL MASTER'!$S$2:$S$495=5)*('CONTROL MASTER'!$Z$2:$Z$495&lt;=9)*('CONTROL MASTER'!$AB$2:$AB$495&gt;=9)*('CONTROL MASTER'!$AA$2:$AA$495&lt;=7)*('CONTROL MASTER'!$AC$2:$AC$495&gt;=7))*ROW('CONTROL MASTER'!$S$2:$S$495))-(ROW('CONTROL MASTER'!#REF!)-1)))+1)+(7-INDEX('CONTROL MASTER'!$AA$2:$AA$495,(SUMPRODUCT((('CONTROL MASTER'!$S$2:$S$495=5)*('CONTROL MASTER'!$Z$2:$Z$495&lt;=9)*('CONTROL MASTER'!$AB$2:$AB$495&gt;=9)*('CONTROL MASTER'!$AA$2:$AA$495&lt;=7)*('CONTROL MASTER'!$AC$2:$AC$495&gt;=7))*ROW('CONTROL MASTER'!$S$2:$S$495))-(ROW('CONTROL MASTER'!#REF!)-1))))+1)))-1)*50+1,50))&amp;"_"&amp;INDEX('CONTROL MASTER'!$P$2:$P$495,(SUMPRODUCT((('CONTROL MASTER'!$S$2:$S$495=5)*('CONTROL MASTER'!$Z$2:$Z$495&lt;=9)*('CONTROL MASTER'!$AB$2:$AB$495&gt;=9)*('CONTROL MASTER'!$AA$2:$AA$495&lt;=7)*('CONTROL MASTER'!$AC$2:$AC$495&gt;=7))*ROW('CONTROL MASTER'!$S$2:$S$495))-(ROW('CONTROL MASTER'!#REF!)-1))),"")),"")</f>
        <v/>
      </c>
      <c r="I67" s="10" t="str">
        <f>IFERROR(IF(SUMPRODUCT((('CONTROL MASTER'!$S$2:$S$495=5)*('CONTROL MASTER'!$T$2:$T$495&lt;=9)*('CONTROL MASTER'!$V$2:$V$495&gt;=9)*('CONTROL MASTER'!$U$2:$U$495&lt;=8)*('CONTROL MASTER'!$W$2:$W$495&gt;=8))*ROW('CONTROL MASTER'!$S$2:$S$495))&gt;0,INDEX('CONTROL MASTER'!$X$2:$X$495,(SUMPRODUCT((('CONTROL MASTER'!$S$2:$S$495=5)*('CONTROL MASTER'!$T$2:$T$495&lt;=9)*('CONTROL MASTER'!$V$2:$V$495&gt;=9)*('CONTROL MASTER'!$U$2:$U$495&lt;=8)*('CONTROL MASTER'!$W$2:$W$495&gt;=8))*ROW('CONTROL MASTER'!$S$2:$S$495))-(ROW('CONTROL MASTER'!#REF!)-1)))&amp;TRIM(MID(SUBSTITUTE(SUBSTITUTE(INDEX('CONTROL MASTER'!$N$2:$N$495,(SUMPRODUCT((('CONTROL MASTER'!$S$2:$S$495=5)*('CONTROL MASTER'!$T$2:$T$495&lt;=9)*('CONTROL MASTER'!$V$2:$V$495&gt;=9)*('CONTROL MASTER'!$U$2:$U$495&lt;=8)*('CONTROL MASTER'!$W$2:$W$495&gt;=8))*ROW('CONTROL MASTER'!$S$2:$S$495))-(ROW('CONTROL MASTER'!#REF!)-1))),":",","),",",REPT(" ",50)),((((9-INDEX('CONTROL MASTER'!$T$2:$T$495,(SUMPRODUCT((('CONTROL MASTER'!$S$2:$S$495=5)*('CONTROL MASTER'!$T$2:$T$495&lt;=9)*('CONTROL MASTER'!$V$2:$V$495&gt;=9)*('CONTROL MASTER'!$U$2:$U$495&lt;=8)*('CONTROL MASTER'!$W$2:$W$495&gt;=8))*ROW('CONTROL MASTER'!$S$2:$S$495))-(ROW('CONTROL MASTER'!#REF!)-1))))*(INDEX('CONTROL MASTER'!$W$2:$W$495,(SUMPRODUCT((('CONTROL MASTER'!$S$2:$S$495=5)*('CONTROL MASTER'!$T$2:$T$495&lt;=9)*('CONTROL MASTER'!$V$2:$V$495&gt;=9)*('CONTROL MASTER'!$U$2:$U$495&lt;=8)*('CONTROL MASTER'!$W$2:$W$495&gt;=8))*ROW('CONTROL MASTER'!$S$2:$S$495))-(ROW('CONTROL MASTER'!#REF!)-1)))-INDEX('CONTROL MASTER'!$U$2:$U$495,(SUMPRODUCT((('CONTROL MASTER'!$S$2:$S$495=5)*('CONTROL MASTER'!$T$2:$T$495&lt;=9)*('CONTROL MASTER'!$V$2:$V$495&gt;=9)*('CONTROL MASTER'!$U$2:$U$495&lt;=8)*('CONTROL MASTER'!$W$2:$W$495&gt;=8))*ROW('CONTROL MASTER'!$S$2:$S$495))-(ROW('CONTROL MASTER'!#REF!)-1)))+1)+(8-INDEX('CONTROL MASTER'!$U$2:$U$495,(SUMPRODUCT((('CONTROL MASTER'!$S$2:$S$495=5)*('CONTROL MASTER'!$T$2:$T$495&lt;=9)*('CONTROL MASTER'!$V$2:$V$495&gt;=9)*('CONTROL MASTER'!$U$2:$U$495&lt;=8)*('CONTROL MASTER'!$W$2:$W$495&gt;=8))*ROW('CONTROL MASTER'!$S$2:$S$495))-(ROW('CONTROL MASTER'!#REF!)-1))))+1))-1)*50+1,50))&amp;"_"&amp;INDEX('CONTROL MASTER'!$P$2:$P$495,(SUMPRODUCT((('CONTROL MASTER'!$S$2:$S$495=5)*('CONTROL MASTER'!$T$2:$T$495&lt;=9)*('CONTROL MASTER'!$V$2:$V$495&gt;=9)*('CONTROL MASTER'!$U$2:$U$495&lt;=8)*('CONTROL MASTER'!$W$2:$W$495&gt;=8))*ROW('CONTROL MASTER'!$S$2:$S$495))-(ROW('CONTROL MASTER'!#REF!)-1))),IF(SUMPRODUCT((('CONTROL MASTER'!$S$2:$S$495=5)*('CONTROL MASTER'!$Z$2:$Z$495&lt;=9)*('CONTROL MASTER'!$AB$2:$AB$495&gt;=9)*('CONTROL MASTER'!$AA$2:$AA$495&lt;=8)*('CONTROL MASTER'!$AC$2:$AC$495&gt;=8))*ROW('CONTROL MASTER'!$S$2:$S$495))&gt;0,INDEX('CONTROL MASTER'!$X$2:$X$495,(SUMPRODUCT((('CONTROL MASTER'!$S$2:$S$495=5)*('CONTROL MASTER'!$Z$2:$Z$495&lt;=9)*('CONTROL MASTER'!$AB$2:$AB$495&gt;=9)*('CONTROL MASTER'!$AA$2:$AA$495&lt;=8)*('CONTROL MASTER'!$AC$2:$AC$495&gt;=8))*ROW('CONTROL MASTER'!$S$2:$S$495))-(ROW('CONTROL MASTER'!#REF!)-1)))&amp;TRIM(MID(SUBSTITUTE(SUBSTITUTE(INDEX('CONTROL MASTER'!$N$2:$N$495,(SUMPRODUCT((('CONTROL MASTER'!$S$2:$S$495=5)*('CONTROL MASTER'!$Z$2:$Z$495&lt;=9)*('CONTROL MASTER'!$AB$2:$AB$495&gt;=9)*('CONTROL MASTER'!$AA$2:$AA$495&lt;=8)*('CONTROL MASTER'!$AC$2:$AC$495&gt;=8))*ROW('CONTROL MASTER'!$S$2:$S$495))-(ROW('CONTROL MASTER'!#REF!)-1))),":",","),",",REPT(" ",50)),(((INDEX('CONTROL MASTER'!$Y$2:$Y$495,(SUMPRODUCT((('CONTROL MASTER'!$S$2:$S$495=5)*('CONTROL MASTER'!$Z$2:$Z$495&lt;=9)*('CONTROL MASTER'!$AB$2:$AB$495&gt;=9)*('CONTROL MASTER'!$AA$2:$AA$495&lt;=8)*('CONTROL MASTER'!$AC$2:$AC$495&gt;=8))*ROW('CONTROL MASTER'!$S$2:$S$495))-(ROW('CONTROL MASTER'!#REF!)-1)))+((9-INDEX('CONTROL MASTER'!$Z$2:$Z$495,(SUMPRODUCT((('CONTROL MASTER'!$S$2:$S$495=5)*('CONTROL MASTER'!$Z$2:$Z$495&lt;=9)*('CONTROL MASTER'!$AB$2:$AB$495&gt;=9)*('CONTROL MASTER'!$AA$2:$AA$495&lt;=8)*('CONTROL MASTER'!$AC$2:$AC$495&gt;=8))*ROW('CONTROL MASTER'!$S$2:$S$495))-(ROW('CONTROL MASTER'!#REF!)-1))))*(INDEX('CONTROL MASTER'!$AC$2:$AC$495,(SUMPRODUCT((('CONTROL MASTER'!$S$2:$S$495=5)*('CONTROL MASTER'!$Z$2:$Z$495&lt;=9)*('CONTROL MASTER'!$AB$2:$AB$495&gt;=9)*('CONTROL MASTER'!$AA$2:$AA$495&lt;=8)*('CONTROL MASTER'!$AC$2:$AC$495&gt;=8))*ROW('CONTROL MASTER'!$S$2:$S$495))-(ROW('CONTROL MASTER'!#REF!)-1)))-INDEX('CONTROL MASTER'!$AA$2:$AA$495,(SUMPRODUCT((('CONTROL MASTER'!$S$2:$S$495=5)*('CONTROL MASTER'!$Z$2:$Z$495&lt;=9)*('CONTROL MASTER'!$AB$2:$AB$495&gt;=9)*('CONTROL MASTER'!$AA$2:$AA$495&lt;=8)*('CONTROL MASTER'!$AC$2:$AC$495&gt;=8))*ROW('CONTROL MASTER'!$S$2:$S$495))-(ROW('CONTROL MASTER'!#REF!)-1)))+1)+(8-INDEX('CONTROL MASTER'!$AA$2:$AA$495,(SUMPRODUCT((('CONTROL MASTER'!$S$2:$S$495=5)*('CONTROL MASTER'!$Z$2:$Z$495&lt;=9)*('CONTROL MASTER'!$AB$2:$AB$495&gt;=9)*('CONTROL MASTER'!$AA$2:$AA$495&lt;=8)*('CONTROL MASTER'!$AC$2:$AC$495&gt;=8))*ROW('CONTROL MASTER'!$S$2:$S$495))-(ROW('CONTROL MASTER'!#REF!)-1))))+1)))-1)*50+1,50))&amp;"_"&amp;INDEX('CONTROL MASTER'!$P$2:$P$495,(SUMPRODUCT((('CONTROL MASTER'!$S$2:$S$495=5)*('CONTROL MASTER'!$Z$2:$Z$495&lt;=9)*('CONTROL MASTER'!$AB$2:$AB$495&gt;=9)*('CONTROL MASTER'!$AA$2:$AA$495&lt;=8)*('CONTROL MASTER'!$AC$2:$AC$495&gt;=8))*ROW('CONTROL MASTER'!$S$2:$S$495))-(ROW('CONTROL MASTER'!#REF!)-1))),"")),"")</f>
        <v/>
      </c>
      <c r="J67" s="10" t="str">
        <f>IFERROR(IF(SUMPRODUCT((('CONTROL MASTER'!$S$2:$S$495=5)*('CONTROL MASTER'!$T$2:$T$495&lt;=9)*('CONTROL MASTER'!$V$2:$V$495&gt;=9)*('CONTROL MASTER'!$U$2:$U$495&lt;=9)*('CONTROL MASTER'!$W$2:$W$495&gt;=9))*ROW('CONTROL MASTER'!$S$2:$S$495))&gt;0,INDEX('CONTROL MASTER'!$X$2:$X$495,(SUMPRODUCT((('CONTROL MASTER'!$S$2:$S$495=5)*('CONTROL MASTER'!$T$2:$T$495&lt;=9)*('CONTROL MASTER'!$V$2:$V$495&gt;=9)*('CONTROL MASTER'!$U$2:$U$495&lt;=9)*('CONTROL MASTER'!$W$2:$W$495&gt;=9))*ROW('CONTROL MASTER'!$S$2:$S$495))-(ROW('CONTROL MASTER'!#REF!)-1)))&amp;TRIM(MID(SUBSTITUTE(SUBSTITUTE(INDEX('CONTROL MASTER'!$N$2:$N$495,(SUMPRODUCT((('CONTROL MASTER'!$S$2:$S$495=5)*('CONTROL MASTER'!$T$2:$T$495&lt;=9)*('CONTROL MASTER'!$V$2:$V$495&gt;=9)*('CONTROL MASTER'!$U$2:$U$495&lt;=9)*('CONTROL MASTER'!$W$2:$W$495&gt;=9))*ROW('CONTROL MASTER'!$S$2:$S$495))-(ROW('CONTROL MASTER'!#REF!)-1))),":",","),",",REPT(" ",50)),((((9-INDEX('CONTROL MASTER'!$T$2:$T$495,(SUMPRODUCT((('CONTROL MASTER'!$S$2:$S$495=5)*('CONTROL MASTER'!$T$2:$T$495&lt;=9)*('CONTROL MASTER'!$V$2:$V$495&gt;=9)*('CONTROL MASTER'!$U$2:$U$495&lt;=9)*('CONTROL MASTER'!$W$2:$W$495&gt;=9))*ROW('CONTROL MASTER'!$S$2:$S$495))-(ROW('CONTROL MASTER'!#REF!)-1))))*(INDEX('CONTROL MASTER'!$W$2:$W$495,(SUMPRODUCT((('CONTROL MASTER'!$S$2:$S$495=5)*('CONTROL MASTER'!$T$2:$T$495&lt;=9)*('CONTROL MASTER'!$V$2:$V$495&gt;=9)*('CONTROL MASTER'!$U$2:$U$495&lt;=9)*('CONTROL MASTER'!$W$2:$W$495&gt;=9))*ROW('CONTROL MASTER'!$S$2:$S$495))-(ROW('CONTROL MASTER'!#REF!)-1)))-INDEX('CONTROL MASTER'!$U$2:$U$495,(SUMPRODUCT((('CONTROL MASTER'!$S$2:$S$495=5)*('CONTROL MASTER'!$T$2:$T$495&lt;=9)*('CONTROL MASTER'!$V$2:$V$495&gt;=9)*('CONTROL MASTER'!$U$2:$U$495&lt;=9)*('CONTROL MASTER'!$W$2:$W$495&gt;=9))*ROW('CONTROL MASTER'!$S$2:$S$495))-(ROW('CONTROL MASTER'!#REF!)-1)))+1)+(9-INDEX('CONTROL MASTER'!$U$2:$U$495,(SUMPRODUCT((('CONTROL MASTER'!$S$2:$S$495=5)*('CONTROL MASTER'!$T$2:$T$495&lt;=9)*('CONTROL MASTER'!$V$2:$V$495&gt;=9)*('CONTROL MASTER'!$U$2:$U$495&lt;=9)*('CONTROL MASTER'!$W$2:$W$495&gt;=9))*ROW('CONTROL MASTER'!$S$2:$S$495))-(ROW('CONTROL MASTER'!#REF!)-1))))+1))-1)*50+1,50))&amp;"_"&amp;INDEX('CONTROL MASTER'!$P$2:$P$495,(SUMPRODUCT((('CONTROL MASTER'!$S$2:$S$495=5)*('CONTROL MASTER'!$T$2:$T$495&lt;=9)*('CONTROL MASTER'!$V$2:$V$495&gt;=9)*('CONTROL MASTER'!$U$2:$U$495&lt;=9)*('CONTROL MASTER'!$W$2:$W$495&gt;=9))*ROW('CONTROL MASTER'!$S$2:$S$495))-(ROW('CONTROL MASTER'!#REF!)-1))),IF(SUMPRODUCT((('CONTROL MASTER'!$S$2:$S$495=5)*('CONTROL MASTER'!$Z$2:$Z$495&lt;=9)*('CONTROL MASTER'!$AB$2:$AB$495&gt;=9)*('CONTROL MASTER'!$AA$2:$AA$495&lt;=9)*('CONTROL MASTER'!$AC$2:$AC$495&gt;=9))*ROW('CONTROL MASTER'!$S$2:$S$495))&gt;0,INDEX('CONTROL MASTER'!$X$2:$X$495,(SUMPRODUCT((('CONTROL MASTER'!$S$2:$S$495=5)*('CONTROL MASTER'!$Z$2:$Z$495&lt;=9)*('CONTROL MASTER'!$AB$2:$AB$495&gt;=9)*('CONTROL MASTER'!$AA$2:$AA$495&lt;=9)*('CONTROL MASTER'!$AC$2:$AC$495&gt;=9))*ROW('CONTROL MASTER'!$S$2:$S$495))-(ROW('CONTROL MASTER'!#REF!)-1)))&amp;TRIM(MID(SUBSTITUTE(SUBSTITUTE(INDEX('CONTROL MASTER'!$N$2:$N$495,(SUMPRODUCT((('CONTROL MASTER'!$S$2:$S$495=5)*('CONTROL MASTER'!$Z$2:$Z$495&lt;=9)*('CONTROL MASTER'!$AB$2:$AB$495&gt;=9)*('CONTROL MASTER'!$AA$2:$AA$495&lt;=9)*('CONTROL MASTER'!$AC$2:$AC$495&gt;=9))*ROW('CONTROL MASTER'!$S$2:$S$495))-(ROW('CONTROL MASTER'!#REF!)-1))),":",","),",",REPT(" ",50)),(((INDEX('CONTROL MASTER'!$Y$2:$Y$495,(SUMPRODUCT((('CONTROL MASTER'!$S$2:$S$495=5)*('CONTROL MASTER'!$Z$2:$Z$495&lt;=9)*('CONTROL MASTER'!$AB$2:$AB$495&gt;=9)*('CONTROL MASTER'!$AA$2:$AA$495&lt;=9)*('CONTROL MASTER'!$AC$2:$AC$495&gt;=9))*ROW('CONTROL MASTER'!$S$2:$S$495))-(ROW('CONTROL MASTER'!#REF!)-1)))+((9-INDEX('CONTROL MASTER'!$Z$2:$Z$495,(SUMPRODUCT((('CONTROL MASTER'!$S$2:$S$495=5)*('CONTROL MASTER'!$Z$2:$Z$495&lt;=9)*('CONTROL MASTER'!$AB$2:$AB$495&gt;=9)*('CONTROL MASTER'!$AA$2:$AA$495&lt;=9)*('CONTROL MASTER'!$AC$2:$AC$495&gt;=9))*ROW('CONTROL MASTER'!$S$2:$S$495))-(ROW('CONTROL MASTER'!#REF!)-1))))*(INDEX('CONTROL MASTER'!$AC$2:$AC$495,(SUMPRODUCT((('CONTROL MASTER'!$S$2:$S$495=5)*('CONTROL MASTER'!$Z$2:$Z$495&lt;=9)*('CONTROL MASTER'!$AB$2:$AB$495&gt;=9)*('CONTROL MASTER'!$AA$2:$AA$495&lt;=9)*('CONTROL MASTER'!$AC$2:$AC$495&gt;=9))*ROW('CONTROL MASTER'!$S$2:$S$495))-(ROW('CONTROL MASTER'!#REF!)-1)))-INDEX('CONTROL MASTER'!$AA$2:$AA$495,(SUMPRODUCT((('CONTROL MASTER'!$S$2:$S$495=5)*('CONTROL MASTER'!$Z$2:$Z$495&lt;=9)*('CONTROL MASTER'!$AB$2:$AB$495&gt;=9)*('CONTROL MASTER'!$AA$2:$AA$495&lt;=9)*('CONTROL MASTER'!$AC$2:$AC$495&gt;=9))*ROW('CONTROL MASTER'!$S$2:$S$495))-(ROW('CONTROL MASTER'!#REF!)-1)))+1)+(9-INDEX('CONTROL MASTER'!$AA$2:$AA$495,(SUMPRODUCT((('CONTROL MASTER'!$S$2:$S$495=5)*('CONTROL MASTER'!$Z$2:$Z$495&lt;=9)*('CONTROL MASTER'!$AB$2:$AB$495&gt;=9)*('CONTROL MASTER'!$AA$2:$AA$495&lt;=9)*('CONTROL MASTER'!$AC$2:$AC$495&gt;=9))*ROW('CONTROL MASTER'!$S$2:$S$495))-(ROW('CONTROL MASTER'!#REF!)-1))))+1)))-1)*50+1,50))&amp;"_"&amp;INDEX('CONTROL MASTER'!$P$2:$P$495,(SUMPRODUCT((('CONTROL MASTER'!$S$2:$S$495=5)*('CONTROL MASTER'!$Z$2:$Z$495&lt;=9)*('CONTROL MASTER'!$AB$2:$AB$495&gt;=9)*('CONTROL MASTER'!$AA$2:$AA$495&lt;=9)*('CONTROL MASTER'!$AC$2:$AC$495&gt;=9))*ROW('CONTROL MASTER'!$S$2:$S$495))-(ROW('CONTROL MASTER'!#REF!)-1))),"")),"")</f>
        <v/>
      </c>
      <c r="K67" s="10" t="str">
        <f>IFERROR(IF(SUMPRODUCT((('CONTROL MASTER'!$S$2:$S$495=5)*('CONTROL MASTER'!$T$2:$T$495&lt;=9)*('CONTROL MASTER'!$V$2:$V$495&gt;=9)*('CONTROL MASTER'!$U$2:$U$495&lt;=10)*('CONTROL MASTER'!$W$2:$W$495&gt;=10))*ROW('CONTROL MASTER'!$S$2:$S$495))&gt;0,INDEX('CONTROL MASTER'!$X$2:$X$495,(SUMPRODUCT((('CONTROL MASTER'!$S$2:$S$495=5)*('CONTROL MASTER'!$T$2:$T$495&lt;=9)*('CONTROL MASTER'!$V$2:$V$495&gt;=9)*('CONTROL MASTER'!$U$2:$U$495&lt;=10)*('CONTROL MASTER'!$W$2:$W$495&gt;=10))*ROW('CONTROL MASTER'!$S$2:$S$495))-(ROW('CONTROL MASTER'!#REF!)-1)))&amp;TRIM(MID(SUBSTITUTE(SUBSTITUTE(INDEX('CONTROL MASTER'!$N$2:$N$495,(SUMPRODUCT((('CONTROL MASTER'!$S$2:$S$495=5)*('CONTROL MASTER'!$T$2:$T$495&lt;=9)*('CONTROL MASTER'!$V$2:$V$495&gt;=9)*('CONTROL MASTER'!$U$2:$U$495&lt;=10)*('CONTROL MASTER'!$W$2:$W$495&gt;=10))*ROW('CONTROL MASTER'!$S$2:$S$495))-(ROW('CONTROL MASTER'!#REF!)-1))),":",","),",",REPT(" ",50)),((((9-INDEX('CONTROL MASTER'!$T$2:$T$495,(SUMPRODUCT((('CONTROL MASTER'!$S$2:$S$495=5)*('CONTROL MASTER'!$T$2:$T$495&lt;=9)*('CONTROL MASTER'!$V$2:$V$495&gt;=9)*('CONTROL MASTER'!$U$2:$U$495&lt;=10)*('CONTROL MASTER'!$W$2:$W$495&gt;=10))*ROW('CONTROL MASTER'!$S$2:$S$495))-(ROW('CONTROL MASTER'!#REF!)-1))))*(INDEX('CONTROL MASTER'!$W$2:$W$495,(SUMPRODUCT((('CONTROL MASTER'!$S$2:$S$495=5)*('CONTROL MASTER'!$T$2:$T$495&lt;=9)*('CONTROL MASTER'!$V$2:$V$495&gt;=9)*('CONTROL MASTER'!$U$2:$U$495&lt;=10)*('CONTROL MASTER'!$W$2:$W$495&gt;=10))*ROW('CONTROL MASTER'!$S$2:$S$495))-(ROW('CONTROL MASTER'!#REF!)-1)))-INDEX('CONTROL MASTER'!$U$2:$U$495,(SUMPRODUCT((('CONTROL MASTER'!$S$2:$S$495=5)*('CONTROL MASTER'!$T$2:$T$495&lt;=9)*('CONTROL MASTER'!$V$2:$V$495&gt;=9)*('CONTROL MASTER'!$U$2:$U$495&lt;=10)*('CONTROL MASTER'!$W$2:$W$495&gt;=10))*ROW('CONTROL MASTER'!$S$2:$S$495))-(ROW('CONTROL MASTER'!#REF!)-1)))+1)+(10-INDEX('CONTROL MASTER'!$U$2:$U$495,(SUMPRODUCT((('CONTROL MASTER'!$S$2:$S$495=5)*('CONTROL MASTER'!$T$2:$T$495&lt;=9)*('CONTROL MASTER'!$V$2:$V$495&gt;=9)*('CONTROL MASTER'!$U$2:$U$495&lt;=10)*('CONTROL MASTER'!$W$2:$W$495&gt;=10))*ROW('CONTROL MASTER'!$S$2:$S$495))-(ROW('CONTROL MASTER'!#REF!)-1))))+1))-1)*50+1,50))&amp;"_"&amp;INDEX('CONTROL MASTER'!$P$2:$P$495,(SUMPRODUCT((('CONTROL MASTER'!$S$2:$S$495=5)*('CONTROL MASTER'!$T$2:$T$495&lt;=9)*('CONTROL MASTER'!$V$2:$V$495&gt;=9)*('CONTROL MASTER'!$U$2:$U$495&lt;=10)*('CONTROL MASTER'!$W$2:$W$495&gt;=10))*ROW('CONTROL MASTER'!$S$2:$S$495))-(ROW('CONTROL MASTER'!#REF!)-1))),IF(SUMPRODUCT((('CONTROL MASTER'!$S$2:$S$495=5)*('CONTROL MASTER'!$Z$2:$Z$495&lt;=9)*('CONTROL MASTER'!$AB$2:$AB$495&gt;=9)*('CONTROL MASTER'!$AA$2:$AA$495&lt;=10)*('CONTROL MASTER'!$AC$2:$AC$495&gt;=10))*ROW('CONTROL MASTER'!$S$2:$S$495))&gt;0,INDEX('CONTROL MASTER'!$X$2:$X$495,(SUMPRODUCT((('CONTROL MASTER'!$S$2:$S$495=5)*('CONTROL MASTER'!$Z$2:$Z$495&lt;=9)*('CONTROL MASTER'!$AB$2:$AB$495&gt;=9)*('CONTROL MASTER'!$AA$2:$AA$495&lt;=10)*('CONTROL MASTER'!$AC$2:$AC$495&gt;=10))*ROW('CONTROL MASTER'!$S$2:$S$495))-(ROW('CONTROL MASTER'!#REF!)-1)))&amp;TRIM(MID(SUBSTITUTE(SUBSTITUTE(INDEX('CONTROL MASTER'!$N$2:$N$495,(SUMPRODUCT((('CONTROL MASTER'!$S$2:$S$495=5)*('CONTROL MASTER'!$Z$2:$Z$495&lt;=9)*('CONTROL MASTER'!$AB$2:$AB$495&gt;=9)*('CONTROL MASTER'!$AA$2:$AA$495&lt;=10)*('CONTROL MASTER'!$AC$2:$AC$495&gt;=10))*ROW('CONTROL MASTER'!$S$2:$S$495))-(ROW('CONTROL MASTER'!#REF!)-1))),":",","),",",REPT(" ",50)),(((INDEX('CONTROL MASTER'!$Y$2:$Y$495,(SUMPRODUCT((('CONTROL MASTER'!$S$2:$S$495=5)*('CONTROL MASTER'!$Z$2:$Z$495&lt;=9)*('CONTROL MASTER'!$AB$2:$AB$495&gt;=9)*('CONTROL MASTER'!$AA$2:$AA$495&lt;=10)*('CONTROL MASTER'!$AC$2:$AC$495&gt;=10))*ROW('CONTROL MASTER'!$S$2:$S$495))-(ROW('CONTROL MASTER'!#REF!)-1)))+((9-INDEX('CONTROL MASTER'!$Z$2:$Z$495,(SUMPRODUCT((('CONTROL MASTER'!$S$2:$S$495=5)*('CONTROL MASTER'!$Z$2:$Z$495&lt;=9)*('CONTROL MASTER'!$AB$2:$AB$495&gt;=9)*('CONTROL MASTER'!$AA$2:$AA$495&lt;=10)*('CONTROL MASTER'!$AC$2:$AC$495&gt;=10))*ROW('CONTROL MASTER'!$S$2:$S$495))-(ROW('CONTROL MASTER'!#REF!)-1))))*(INDEX('CONTROL MASTER'!$AC$2:$AC$495,(SUMPRODUCT((('CONTROL MASTER'!$S$2:$S$495=5)*('CONTROL MASTER'!$Z$2:$Z$495&lt;=9)*('CONTROL MASTER'!$AB$2:$AB$495&gt;=9)*('CONTROL MASTER'!$AA$2:$AA$495&lt;=10)*('CONTROL MASTER'!$AC$2:$AC$495&gt;=10))*ROW('CONTROL MASTER'!$S$2:$S$495))-(ROW('CONTROL MASTER'!#REF!)-1)))-INDEX('CONTROL MASTER'!$AA$2:$AA$495,(SUMPRODUCT((('CONTROL MASTER'!$S$2:$S$495=5)*('CONTROL MASTER'!$Z$2:$Z$495&lt;=9)*('CONTROL MASTER'!$AB$2:$AB$495&gt;=9)*('CONTROL MASTER'!$AA$2:$AA$495&lt;=10)*('CONTROL MASTER'!$AC$2:$AC$495&gt;=10))*ROW('CONTROL MASTER'!$S$2:$S$495))-(ROW('CONTROL MASTER'!#REF!)-1)))+1)+(10-INDEX('CONTROL MASTER'!$AA$2:$AA$495,(SUMPRODUCT((('CONTROL MASTER'!$S$2:$S$495=5)*('CONTROL MASTER'!$Z$2:$Z$495&lt;=9)*('CONTROL MASTER'!$AB$2:$AB$495&gt;=9)*('CONTROL MASTER'!$AA$2:$AA$495&lt;=10)*('CONTROL MASTER'!$AC$2:$AC$495&gt;=10))*ROW('CONTROL MASTER'!$S$2:$S$495))-(ROW('CONTROL MASTER'!#REF!)-1))))+1)))-1)*50+1,50))&amp;"_"&amp;INDEX('CONTROL MASTER'!$P$2:$P$495,(SUMPRODUCT((('CONTROL MASTER'!$S$2:$S$495=5)*('CONTROL MASTER'!$Z$2:$Z$495&lt;=9)*('CONTROL MASTER'!$AB$2:$AB$495&gt;=9)*('CONTROL MASTER'!$AA$2:$AA$495&lt;=10)*('CONTROL MASTER'!$AC$2:$AC$495&gt;=10))*ROW('CONTROL MASTER'!$S$2:$S$495))-(ROW('CONTROL MASTER'!#REF!)-1))),"")),"")</f>
        <v/>
      </c>
    </row>
    <row r="68" spans="1:11" ht="15" customHeight="1" x14ac:dyDescent="0.35">
      <c r="A68" s="8" t="s">
        <v>82</v>
      </c>
      <c r="B68" s="10" t="str">
        <f>IFERROR(IF(SUMPRODUCT((('CONTROL MASTER'!$S$2:$S$495=5)*('CONTROL MASTER'!$T$2:$T$495&lt;=10)*('CONTROL MASTER'!$V$2:$V$495&gt;=10)*('CONTROL MASTER'!$U$2:$U$495&lt;=1)*('CONTROL MASTER'!$W$2:$W$495&gt;=1))*ROW('CONTROL MASTER'!$S$2:$S$495))&gt;0,INDEX('CONTROL MASTER'!$X$2:$X$495,(SUMPRODUCT((('CONTROL MASTER'!$S$2:$S$495=5)*('CONTROL MASTER'!$T$2:$T$495&lt;=10)*('CONTROL MASTER'!$V$2:$V$495&gt;=10)*('CONTROL MASTER'!$U$2:$U$495&lt;=1)*('CONTROL MASTER'!$W$2:$W$495&gt;=1))*ROW('CONTROL MASTER'!$S$2:$S$495))-(ROW('CONTROL MASTER'!#REF!)-1)))&amp;TRIM(MID(SUBSTITUTE(SUBSTITUTE(INDEX('CONTROL MASTER'!$N$2:$N$495,(SUMPRODUCT((('CONTROL MASTER'!$S$2:$S$495=5)*('CONTROL MASTER'!$T$2:$T$495&lt;=10)*('CONTROL MASTER'!$V$2:$V$495&gt;=10)*('CONTROL MASTER'!$U$2:$U$495&lt;=1)*('CONTROL MASTER'!$W$2:$W$495&gt;=1))*ROW('CONTROL MASTER'!$S$2:$S$495))-(ROW('CONTROL MASTER'!#REF!)-1))),":",","),",",REPT(" ",50)),((((10-INDEX('CONTROL MASTER'!$T$2:$T$495,(SUMPRODUCT((('CONTROL MASTER'!$S$2:$S$495=5)*('CONTROL MASTER'!$T$2:$T$495&lt;=10)*('CONTROL MASTER'!$V$2:$V$495&gt;=10)*('CONTROL MASTER'!$U$2:$U$495&lt;=1)*('CONTROL MASTER'!$W$2:$W$495&gt;=1))*ROW('CONTROL MASTER'!$S$2:$S$495))-(ROW('CONTROL MASTER'!#REF!)-1))))*(INDEX('CONTROL MASTER'!$W$2:$W$495,(SUMPRODUCT((('CONTROL MASTER'!$S$2:$S$495=5)*('CONTROL MASTER'!$T$2:$T$495&lt;=10)*('CONTROL MASTER'!$V$2:$V$495&gt;=10)*('CONTROL MASTER'!$U$2:$U$495&lt;=1)*('CONTROL MASTER'!$W$2:$W$495&gt;=1))*ROW('CONTROL MASTER'!$S$2:$S$495))-(ROW('CONTROL MASTER'!#REF!)-1)))-INDEX('CONTROL MASTER'!$U$2:$U$495,(SUMPRODUCT((('CONTROL MASTER'!$S$2:$S$495=5)*('CONTROL MASTER'!$T$2:$T$495&lt;=10)*('CONTROL MASTER'!$V$2:$V$495&gt;=10)*('CONTROL MASTER'!$U$2:$U$495&lt;=1)*('CONTROL MASTER'!$W$2:$W$495&gt;=1))*ROW('CONTROL MASTER'!$S$2:$S$495))-(ROW('CONTROL MASTER'!#REF!)-1)))+1)+(1-INDEX('CONTROL MASTER'!$U$2:$U$495,(SUMPRODUCT((('CONTROL MASTER'!$S$2:$S$495=5)*('CONTROL MASTER'!$T$2:$T$495&lt;=10)*('CONTROL MASTER'!$V$2:$V$495&gt;=10)*('CONTROL MASTER'!$U$2:$U$495&lt;=1)*('CONTROL MASTER'!$W$2:$W$495&gt;=1))*ROW('CONTROL MASTER'!$S$2:$S$495))-(ROW('CONTROL MASTER'!#REF!)-1))))+1))-1)*50+1,50))&amp;"_"&amp;INDEX('CONTROL MASTER'!$P$2:$P$495,(SUMPRODUCT((('CONTROL MASTER'!$S$2:$S$495=5)*('CONTROL MASTER'!$T$2:$T$495&lt;=10)*('CONTROL MASTER'!$V$2:$V$495&gt;=10)*('CONTROL MASTER'!$U$2:$U$495&lt;=1)*('CONTROL MASTER'!$W$2:$W$495&gt;=1))*ROW('CONTROL MASTER'!$S$2:$S$495))-(ROW('CONTROL MASTER'!#REF!)-1))),IF(SUMPRODUCT((('CONTROL MASTER'!$S$2:$S$495=5)*('CONTROL MASTER'!$Z$2:$Z$495&lt;=10)*('CONTROL MASTER'!$AB$2:$AB$495&gt;=10)*('CONTROL MASTER'!$AA$2:$AA$495&lt;=1)*('CONTROL MASTER'!$AC$2:$AC$495&gt;=1))*ROW('CONTROL MASTER'!$S$2:$S$495))&gt;0,INDEX('CONTROL MASTER'!$X$2:$X$495,(SUMPRODUCT((('CONTROL MASTER'!$S$2:$S$495=5)*('CONTROL MASTER'!$Z$2:$Z$495&lt;=10)*('CONTROL MASTER'!$AB$2:$AB$495&gt;=10)*('CONTROL MASTER'!$AA$2:$AA$495&lt;=1)*('CONTROL MASTER'!$AC$2:$AC$495&gt;=1))*ROW('CONTROL MASTER'!$S$2:$S$495))-(ROW('CONTROL MASTER'!#REF!)-1)))&amp;TRIM(MID(SUBSTITUTE(SUBSTITUTE(INDEX('CONTROL MASTER'!$N$2:$N$495,(SUMPRODUCT((('CONTROL MASTER'!$S$2:$S$495=5)*('CONTROL MASTER'!$Z$2:$Z$495&lt;=10)*('CONTROL MASTER'!$AB$2:$AB$495&gt;=10)*('CONTROL MASTER'!$AA$2:$AA$495&lt;=1)*('CONTROL MASTER'!$AC$2:$AC$495&gt;=1))*ROW('CONTROL MASTER'!$S$2:$S$495))-(ROW('CONTROL MASTER'!#REF!)-1))),":",","),",",REPT(" ",50)),(((INDEX('CONTROL MASTER'!$Y$2:$Y$495,(SUMPRODUCT((('CONTROL MASTER'!$S$2:$S$495=5)*('CONTROL MASTER'!$Z$2:$Z$495&lt;=10)*('CONTROL MASTER'!$AB$2:$AB$495&gt;=10)*('CONTROL MASTER'!$AA$2:$AA$495&lt;=1)*('CONTROL MASTER'!$AC$2:$AC$495&gt;=1))*ROW('CONTROL MASTER'!$S$2:$S$495))-(ROW('CONTROL MASTER'!#REF!)-1)))+((10-INDEX('CONTROL MASTER'!$Z$2:$Z$495,(SUMPRODUCT((('CONTROL MASTER'!$S$2:$S$495=5)*('CONTROL MASTER'!$Z$2:$Z$495&lt;=10)*('CONTROL MASTER'!$AB$2:$AB$495&gt;=10)*('CONTROL MASTER'!$AA$2:$AA$495&lt;=1)*('CONTROL MASTER'!$AC$2:$AC$495&gt;=1))*ROW('CONTROL MASTER'!$S$2:$S$495))-(ROW('CONTROL MASTER'!#REF!)-1))))*(INDEX('CONTROL MASTER'!$AC$2:$AC$495,(SUMPRODUCT((('CONTROL MASTER'!$S$2:$S$495=5)*('CONTROL MASTER'!$Z$2:$Z$495&lt;=10)*('CONTROL MASTER'!$AB$2:$AB$495&gt;=10)*('CONTROL MASTER'!$AA$2:$AA$495&lt;=1)*('CONTROL MASTER'!$AC$2:$AC$495&gt;=1))*ROW('CONTROL MASTER'!$S$2:$S$495))-(ROW('CONTROL MASTER'!#REF!)-1)))-INDEX('CONTROL MASTER'!$AA$2:$AA$495,(SUMPRODUCT((('CONTROL MASTER'!$S$2:$S$495=5)*('CONTROL MASTER'!$Z$2:$Z$495&lt;=10)*('CONTROL MASTER'!$AB$2:$AB$495&gt;=10)*('CONTROL MASTER'!$AA$2:$AA$495&lt;=1)*('CONTROL MASTER'!$AC$2:$AC$495&gt;=1))*ROW('CONTROL MASTER'!$S$2:$S$495))-(ROW('CONTROL MASTER'!#REF!)-1)))+1)+(1-INDEX('CONTROL MASTER'!$AA$2:$AA$495,(SUMPRODUCT((('CONTROL MASTER'!$S$2:$S$495=5)*('CONTROL MASTER'!$Z$2:$Z$495&lt;=10)*('CONTROL MASTER'!$AB$2:$AB$495&gt;=10)*('CONTROL MASTER'!$AA$2:$AA$495&lt;=1)*('CONTROL MASTER'!$AC$2:$AC$495&gt;=1))*ROW('CONTROL MASTER'!$S$2:$S$495))-(ROW('CONTROL MASTER'!#REF!)-1))))+1)))-1)*50+1,50))&amp;"_"&amp;INDEX('CONTROL MASTER'!$P$2:$P$495,(SUMPRODUCT((('CONTROL MASTER'!$S$2:$S$495=5)*('CONTROL MASTER'!$Z$2:$Z$495&lt;=10)*('CONTROL MASTER'!$AB$2:$AB$495&gt;=10)*('CONTROL MASTER'!$AA$2:$AA$495&lt;=1)*('CONTROL MASTER'!$AC$2:$AC$495&gt;=1))*ROW('CONTROL MASTER'!$S$2:$S$495))-(ROW('CONTROL MASTER'!#REF!)-1))),"")),"")</f>
        <v/>
      </c>
      <c r="C68" s="10" t="str">
        <f>IFERROR(IF(SUMPRODUCT((('CONTROL MASTER'!$S$2:$S$495=5)*('CONTROL MASTER'!$T$2:$T$495&lt;=10)*('CONTROL MASTER'!$V$2:$V$495&gt;=10)*('CONTROL MASTER'!$U$2:$U$495&lt;=2)*('CONTROL MASTER'!$W$2:$W$495&gt;=2))*ROW('CONTROL MASTER'!$S$2:$S$495))&gt;0,INDEX('CONTROL MASTER'!$X$2:$X$495,(SUMPRODUCT((('CONTROL MASTER'!$S$2:$S$495=5)*('CONTROL MASTER'!$T$2:$T$495&lt;=10)*('CONTROL MASTER'!$V$2:$V$495&gt;=10)*('CONTROL MASTER'!$U$2:$U$495&lt;=2)*('CONTROL MASTER'!$W$2:$W$495&gt;=2))*ROW('CONTROL MASTER'!$S$2:$S$495))-(ROW('CONTROL MASTER'!#REF!)-1)))&amp;TRIM(MID(SUBSTITUTE(SUBSTITUTE(INDEX('CONTROL MASTER'!$N$2:$N$495,(SUMPRODUCT((('CONTROL MASTER'!$S$2:$S$495=5)*('CONTROL MASTER'!$T$2:$T$495&lt;=10)*('CONTROL MASTER'!$V$2:$V$495&gt;=10)*('CONTROL MASTER'!$U$2:$U$495&lt;=2)*('CONTROL MASTER'!$W$2:$W$495&gt;=2))*ROW('CONTROL MASTER'!$S$2:$S$495))-(ROW('CONTROL MASTER'!#REF!)-1))),":",","),",",REPT(" ",50)),((((10-INDEX('CONTROL MASTER'!$T$2:$T$495,(SUMPRODUCT((('CONTROL MASTER'!$S$2:$S$495=5)*('CONTROL MASTER'!$T$2:$T$495&lt;=10)*('CONTROL MASTER'!$V$2:$V$495&gt;=10)*('CONTROL MASTER'!$U$2:$U$495&lt;=2)*('CONTROL MASTER'!$W$2:$W$495&gt;=2))*ROW('CONTROL MASTER'!$S$2:$S$495))-(ROW('CONTROL MASTER'!#REF!)-1))))*(INDEX('CONTROL MASTER'!$W$2:$W$495,(SUMPRODUCT((('CONTROL MASTER'!$S$2:$S$495=5)*('CONTROL MASTER'!$T$2:$T$495&lt;=10)*('CONTROL MASTER'!$V$2:$V$495&gt;=10)*('CONTROL MASTER'!$U$2:$U$495&lt;=2)*('CONTROL MASTER'!$W$2:$W$495&gt;=2))*ROW('CONTROL MASTER'!$S$2:$S$495))-(ROW('CONTROL MASTER'!#REF!)-1)))-INDEX('CONTROL MASTER'!$U$2:$U$495,(SUMPRODUCT((('CONTROL MASTER'!$S$2:$S$495=5)*('CONTROL MASTER'!$T$2:$T$495&lt;=10)*('CONTROL MASTER'!$V$2:$V$495&gt;=10)*('CONTROL MASTER'!$U$2:$U$495&lt;=2)*('CONTROL MASTER'!$W$2:$W$495&gt;=2))*ROW('CONTROL MASTER'!$S$2:$S$495))-(ROW('CONTROL MASTER'!#REF!)-1)))+1)+(2-INDEX('CONTROL MASTER'!$U$2:$U$495,(SUMPRODUCT((('CONTROL MASTER'!$S$2:$S$495=5)*('CONTROL MASTER'!$T$2:$T$495&lt;=10)*('CONTROL MASTER'!$V$2:$V$495&gt;=10)*('CONTROL MASTER'!$U$2:$U$495&lt;=2)*('CONTROL MASTER'!$W$2:$W$495&gt;=2))*ROW('CONTROL MASTER'!$S$2:$S$495))-(ROW('CONTROL MASTER'!#REF!)-1))))+1))-1)*50+1,50))&amp;"_"&amp;INDEX('CONTROL MASTER'!$P$2:$P$495,(SUMPRODUCT((('CONTROL MASTER'!$S$2:$S$495=5)*('CONTROL MASTER'!$T$2:$T$495&lt;=10)*('CONTROL MASTER'!$V$2:$V$495&gt;=10)*('CONTROL MASTER'!$U$2:$U$495&lt;=2)*('CONTROL MASTER'!$W$2:$W$495&gt;=2))*ROW('CONTROL MASTER'!$S$2:$S$495))-(ROW('CONTROL MASTER'!#REF!)-1))),IF(SUMPRODUCT((('CONTROL MASTER'!$S$2:$S$495=5)*('CONTROL MASTER'!$Z$2:$Z$495&lt;=10)*('CONTROL MASTER'!$AB$2:$AB$495&gt;=10)*('CONTROL MASTER'!$AA$2:$AA$495&lt;=2)*('CONTROL MASTER'!$AC$2:$AC$495&gt;=2))*ROW('CONTROL MASTER'!$S$2:$S$495))&gt;0,INDEX('CONTROL MASTER'!$X$2:$X$495,(SUMPRODUCT((('CONTROL MASTER'!$S$2:$S$495=5)*('CONTROL MASTER'!$Z$2:$Z$495&lt;=10)*('CONTROL MASTER'!$AB$2:$AB$495&gt;=10)*('CONTROL MASTER'!$AA$2:$AA$495&lt;=2)*('CONTROL MASTER'!$AC$2:$AC$495&gt;=2))*ROW('CONTROL MASTER'!$S$2:$S$495))-(ROW('CONTROL MASTER'!#REF!)-1)))&amp;TRIM(MID(SUBSTITUTE(SUBSTITUTE(INDEX('CONTROL MASTER'!$N$2:$N$495,(SUMPRODUCT((('CONTROL MASTER'!$S$2:$S$495=5)*('CONTROL MASTER'!$Z$2:$Z$495&lt;=10)*('CONTROL MASTER'!$AB$2:$AB$495&gt;=10)*('CONTROL MASTER'!$AA$2:$AA$495&lt;=2)*('CONTROL MASTER'!$AC$2:$AC$495&gt;=2))*ROW('CONTROL MASTER'!$S$2:$S$495))-(ROW('CONTROL MASTER'!#REF!)-1))),":",","),",",REPT(" ",50)),(((INDEX('CONTROL MASTER'!$Y$2:$Y$495,(SUMPRODUCT((('CONTROL MASTER'!$S$2:$S$495=5)*('CONTROL MASTER'!$Z$2:$Z$495&lt;=10)*('CONTROL MASTER'!$AB$2:$AB$495&gt;=10)*('CONTROL MASTER'!$AA$2:$AA$495&lt;=2)*('CONTROL MASTER'!$AC$2:$AC$495&gt;=2))*ROW('CONTROL MASTER'!$S$2:$S$495))-(ROW('CONTROL MASTER'!#REF!)-1)))+((10-INDEX('CONTROL MASTER'!$Z$2:$Z$495,(SUMPRODUCT((('CONTROL MASTER'!$S$2:$S$495=5)*('CONTROL MASTER'!$Z$2:$Z$495&lt;=10)*('CONTROL MASTER'!$AB$2:$AB$495&gt;=10)*('CONTROL MASTER'!$AA$2:$AA$495&lt;=2)*('CONTROL MASTER'!$AC$2:$AC$495&gt;=2))*ROW('CONTROL MASTER'!$S$2:$S$495))-(ROW('CONTROL MASTER'!#REF!)-1))))*(INDEX('CONTROL MASTER'!$AC$2:$AC$495,(SUMPRODUCT((('CONTROL MASTER'!$S$2:$S$495=5)*('CONTROL MASTER'!$Z$2:$Z$495&lt;=10)*('CONTROL MASTER'!$AB$2:$AB$495&gt;=10)*('CONTROL MASTER'!$AA$2:$AA$495&lt;=2)*('CONTROL MASTER'!$AC$2:$AC$495&gt;=2))*ROW('CONTROL MASTER'!$S$2:$S$495))-(ROW('CONTROL MASTER'!#REF!)-1)))-INDEX('CONTROL MASTER'!$AA$2:$AA$495,(SUMPRODUCT((('CONTROL MASTER'!$S$2:$S$495=5)*('CONTROL MASTER'!$Z$2:$Z$495&lt;=10)*('CONTROL MASTER'!$AB$2:$AB$495&gt;=10)*('CONTROL MASTER'!$AA$2:$AA$495&lt;=2)*('CONTROL MASTER'!$AC$2:$AC$495&gt;=2))*ROW('CONTROL MASTER'!$S$2:$S$495))-(ROW('CONTROL MASTER'!#REF!)-1)))+1)+(2-INDEX('CONTROL MASTER'!$AA$2:$AA$495,(SUMPRODUCT((('CONTROL MASTER'!$S$2:$S$495=5)*('CONTROL MASTER'!$Z$2:$Z$495&lt;=10)*('CONTROL MASTER'!$AB$2:$AB$495&gt;=10)*('CONTROL MASTER'!$AA$2:$AA$495&lt;=2)*('CONTROL MASTER'!$AC$2:$AC$495&gt;=2))*ROW('CONTROL MASTER'!$S$2:$S$495))-(ROW('CONTROL MASTER'!#REF!)-1))))+1)))-1)*50+1,50))&amp;"_"&amp;INDEX('CONTROL MASTER'!$P$2:$P$495,(SUMPRODUCT((('CONTROL MASTER'!$S$2:$S$495=5)*('CONTROL MASTER'!$Z$2:$Z$495&lt;=10)*('CONTROL MASTER'!$AB$2:$AB$495&gt;=10)*('CONTROL MASTER'!$AA$2:$AA$495&lt;=2)*('CONTROL MASTER'!$AC$2:$AC$495&gt;=2))*ROW('CONTROL MASTER'!$S$2:$S$495))-(ROW('CONTROL MASTER'!#REF!)-1))),"")),"")</f>
        <v/>
      </c>
      <c r="D68" s="10" t="str">
        <f>IFERROR(IF(SUMPRODUCT((('CONTROL MASTER'!$S$2:$S$495=5)*('CONTROL MASTER'!$T$2:$T$495&lt;=10)*('CONTROL MASTER'!$V$2:$V$495&gt;=10)*('CONTROL MASTER'!$U$2:$U$495&lt;=3)*('CONTROL MASTER'!$W$2:$W$495&gt;=3))*ROW('CONTROL MASTER'!$S$2:$S$495))&gt;0,INDEX('CONTROL MASTER'!$X$2:$X$495,(SUMPRODUCT((('CONTROL MASTER'!$S$2:$S$495=5)*('CONTROL MASTER'!$T$2:$T$495&lt;=10)*('CONTROL MASTER'!$V$2:$V$495&gt;=10)*('CONTROL MASTER'!$U$2:$U$495&lt;=3)*('CONTROL MASTER'!$W$2:$W$495&gt;=3))*ROW('CONTROL MASTER'!$S$2:$S$495))-(ROW('CONTROL MASTER'!#REF!)-1)))&amp;TRIM(MID(SUBSTITUTE(SUBSTITUTE(INDEX('CONTROL MASTER'!$N$2:$N$495,(SUMPRODUCT((('CONTROL MASTER'!$S$2:$S$495=5)*('CONTROL MASTER'!$T$2:$T$495&lt;=10)*('CONTROL MASTER'!$V$2:$V$495&gt;=10)*('CONTROL MASTER'!$U$2:$U$495&lt;=3)*('CONTROL MASTER'!$W$2:$W$495&gt;=3))*ROW('CONTROL MASTER'!$S$2:$S$495))-(ROW('CONTROL MASTER'!#REF!)-1))),":",","),",",REPT(" ",50)),((((10-INDEX('CONTROL MASTER'!$T$2:$T$495,(SUMPRODUCT((('CONTROL MASTER'!$S$2:$S$495=5)*('CONTROL MASTER'!$T$2:$T$495&lt;=10)*('CONTROL MASTER'!$V$2:$V$495&gt;=10)*('CONTROL MASTER'!$U$2:$U$495&lt;=3)*('CONTROL MASTER'!$W$2:$W$495&gt;=3))*ROW('CONTROL MASTER'!$S$2:$S$495))-(ROW('CONTROL MASTER'!#REF!)-1))))*(INDEX('CONTROL MASTER'!$W$2:$W$495,(SUMPRODUCT((('CONTROL MASTER'!$S$2:$S$495=5)*('CONTROL MASTER'!$T$2:$T$495&lt;=10)*('CONTROL MASTER'!$V$2:$V$495&gt;=10)*('CONTROL MASTER'!$U$2:$U$495&lt;=3)*('CONTROL MASTER'!$W$2:$W$495&gt;=3))*ROW('CONTROL MASTER'!$S$2:$S$495))-(ROW('CONTROL MASTER'!#REF!)-1)))-INDEX('CONTROL MASTER'!$U$2:$U$495,(SUMPRODUCT((('CONTROL MASTER'!$S$2:$S$495=5)*('CONTROL MASTER'!$T$2:$T$495&lt;=10)*('CONTROL MASTER'!$V$2:$V$495&gt;=10)*('CONTROL MASTER'!$U$2:$U$495&lt;=3)*('CONTROL MASTER'!$W$2:$W$495&gt;=3))*ROW('CONTROL MASTER'!$S$2:$S$495))-(ROW('CONTROL MASTER'!#REF!)-1)))+1)+(3-INDEX('CONTROL MASTER'!$U$2:$U$495,(SUMPRODUCT((('CONTROL MASTER'!$S$2:$S$495=5)*('CONTROL MASTER'!$T$2:$T$495&lt;=10)*('CONTROL MASTER'!$V$2:$V$495&gt;=10)*('CONTROL MASTER'!$U$2:$U$495&lt;=3)*('CONTROL MASTER'!$W$2:$W$495&gt;=3))*ROW('CONTROL MASTER'!$S$2:$S$495))-(ROW('CONTROL MASTER'!#REF!)-1))))+1))-1)*50+1,50))&amp;"_"&amp;INDEX('CONTROL MASTER'!$P$2:$P$495,(SUMPRODUCT((('CONTROL MASTER'!$S$2:$S$495=5)*('CONTROL MASTER'!$T$2:$T$495&lt;=10)*('CONTROL MASTER'!$V$2:$V$495&gt;=10)*('CONTROL MASTER'!$U$2:$U$495&lt;=3)*('CONTROL MASTER'!$W$2:$W$495&gt;=3))*ROW('CONTROL MASTER'!$S$2:$S$495))-(ROW('CONTROL MASTER'!#REF!)-1))),IF(SUMPRODUCT((('CONTROL MASTER'!$S$2:$S$495=5)*('CONTROL MASTER'!$Z$2:$Z$495&lt;=10)*('CONTROL MASTER'!$AB$2:$AB$495&gt;=10)*('CONTROL MASTER'!$AA$2:$AA$495&lt;=3)*('CONTROL MASTER'!$AC$2:$AC$495&gt;=3))*ROW('CONTROL MASTER'!$S$2:$S$495))&gt;0,INDEX('CONTROL MASTER'!$X$2:$X$495,(SUMPRODUCT((('CONTROL MASTER'!$S$2:$S$495=5)*('CONTROL MASTER'!$Z$2:$Z$495&lt;=10)*('CONTROL MASTER'!$AB$2:$AB$495&gt;=10)*('CONTROL MASTER'!$AA$2:$AA$495&lt;=3)*('CONTROL MASTER'!$AC$2:$AC$495&gt;=3))*ROW('CONTROL MASTER'!$S$2:$S$495))-(ROW('CONTROL MASTER'!#REF!)-1)))&amp;TRIM(MID(SUBSTITUTE(SUBSTITUTE(INDEX('CONTROL MASTER'!$N$2:$N$495,(SUMPRODUCT((('CONTROL MASTER'!$S$2:$S$495=5)*('CONTROL MASTER'!$Z$2:$Z$495&lt;=10)*('CONTROL MASTER'!$AB$2:$AB$495&gt;=10)*('CONTROL MASTER'!$AA$2:$AA$495&lt;=3)*('CONTROL MASTER'!$AC$2:$AC$495&gt;=3))*ROW('CONTROL MASTER'!$S$2:$S$495))-(ROW('CONTROL MASTER'!#REF!)-1))),":",","),",",REPT(" ",50)),(((INDEX('CONTROL MASTER'!$Y$2:$Y$495,(SUMPRODUCT((('CONTROL MASTER'!$S$2:$S$495=5)*('CONTROL MASTER'!$Z$2:$Z$495&lt;=10)*('CONTROL MASTER'!$AB$2:$AB$495&gt;=10)*('CONTROL MASTER'!$AA$2:$AA$495&lt;=3)*('CONTROL MASTER'!$AC$2:$AC$495&gt;=3))*ROW('CONTROL MASTER'!$S$2:$S$495))-(ROW('CONTROL MASTER'!#REF!)-1)))+((10-INDEX('CONTROL MASTER'!$Z$2:$Z$495,(SUMPRODUCT((('CONTROL MASTER'!$S$2:$S$495=5)*('CONTROL MASTER'!$Z$2:$Z$495&lt;=10)*('CONTROL MASTER'!$AB$2:$AB$495&gt;=10)*('CONTROL MASTER'!$AA$2:$AA$495&lt;=3)*('CONTROL MASTER'!$AC$2:$AC$495&gt;=3))*ROW('CONTROL MASTER'!$S$2:$S$495))-(ROW('CONTROL MASTER'!#REF!)-1))))*(INDEX('CONTROL MASTER'!$AC$2:$AC$495,(SUMPRODUCT((('CONTROL MASTER'!$S$2:$S$495=5)*('CONTROL MASTER'!$Z$2:$Z$495&lt;=10)*('CONTROL MASTER'!$AB$2:$AB$495&gt;=10)*('CONTROL MASTER'!$AA$2:$AA$495&lt;=3)*('CONTROL MASTER'!$AC$2:$AC$495&gt;=3))*ROW('CONTROL MASTER'!$S$2:$S$495))-(ROW('CONTROL MASTER'!#REF!)-1)))-INDEX('CONTROL MASTER'!$AA$2:$AA$495,(SUMPRODUCT((('CONTROL MASTER'!$S$2:$S$495=5)*('CONTROL MASTER'!$Z$2:$Z$495&lt;=10)*('CONTROL MASTER'!$AB$2:$AB$495&gt;=10)*('CONTROL MASTER'!$AA$2:$AA$495&lt;=3)*('CONTROL MASTER'!$AC$2:$AC$495&gt;=3))*ROW('CONTROL MASTER'!$S$2:$S$495))-(ROW('CONTROL MASTER'!#REF!)-1)))+1)+(3-INDEX('CONTROL MASTER'!$AA$2:$AA$495,(SUMPRODUCT((('CONTROL MASTER'!$S$2:$S$495=5)*('CONTROL MASTER'!$Z$2:$Z$495&lt;=10)*('CONTROL MASTER'!$AB$2:$AB$495&gt;=10)*('CONTROL MASTER'!$AA$2:$AA$495&lt;=3)*('CONTROL MASTER'!$AC$2:$AC$495&gt;=3))*ROW('CONTROL MASTER'!$S$2:$S$495))-(ROW('CONTROL MASTER'!#REF!)-1))))+1)))-1)*50+1,50))&amp;"_"&amp;INDEX('CONTROL MASTER'!$P$2:$P$495,(SUMPRODUCT((('CONTROL MASTER'!$S$2:$S$495=5)*('CONTROL MASTER'!$Z$2:$Z$495&lt;=10)*('CONTROL MASTER'!$AB$2:$AB$495&gt;=10)*('CONTROL MASTER'!$AA$2:$AA$495&lt;=3)*('CONTROL MASTER'!$AC$2:$AC$495&gt;=3))*ROW('CONTROL MASTER'!$S$2:$S$495))-(ROW('CONTROL MASTER'!#REF!)-1))),"")),"")</f>
        <v/>
      </c>
      <c r="E68" s="10" t="str">
        <f>IFERROR(IF(SUMPRODUCT((('CONTROL MASTER'!$S$2:$S$495=5)*('CONTROL MASTER'!$T$2:$T$495&lt;=10)*('CONTROL MASTER'!$V$2:$V$495&gt;=10)*('CONTROL MASTER'!$U$2:$U$495&lt;=4)*('CONTROL MASTER'!$W$2:$W$495&gt;=4))*ROW('CONTROL MASTER'!$S$2:$S$495))&gt;0,INDEX('CONTROL MASTER'!$X$2:$X$495,(SUMPRODUCT((('CONTROL MASTER'!$S$2:$S$495=5)*('CONTROL MASTER'!$T$2:$T$495&lt;=10)*('CONTROL MASTER'!$V$2:$V$495&gt;=10)*('CONTROL MASTER'!$U$2:$U$495&lt;=4)*('CONTROL MASTER'!$W$2:$W$495&gt;=4))*ROW('CONTROL MASTER'!$S$2:$S$495))-(ROW('CONTROL MASTER'!#REF!)-1)))&amp;TRIM(MID(SUBSTITUTE(SUBSTITUTE(INDEX('CONTROL MASTER'!$N$2:$N$495,(SUMPRODUCT((('CONTROL MASTER'!$S$2:$S$495=5)*('CONTROL MASTER'!$T$2:$T$495&lt;=10)*('CONTROL MASTER'!$V$2:$V$495&gt;=10)*('CONTROL MASTER'!$U$2:$U$495&lt;=4)*('CONTROL MASTER'!$W$2:$W$495&gt;=4))*ROW('CONTROL MASTER'!$S$2:$S$495))-(ROW('CONTROL MASTER'!#REF!)-1))),":",","),",",REPT(" ",50)),((((10-INDEX('CONTROL MASTER'!$T$2:$T$495,(SUMPRODUCT((('CONTROL MASTER'!$S$2:$S$495=5)*('CONTROL MASTER'!$T$2:$T$495&lt;=10)*('CONTROL MASTER'!$V$2:$V$495&gt;=10)*('CONTROL MASTER'!$U$2:$U$495&lt;=4)*('CONTROL MASTER'!$W$2:$W$495&gt;=4))*ROW('CONTROL MASTER'!$S$2:$S$495))-(ROW('CONTROL MASTER'!#REF!)-1))))*(INDEX('CONTROL MASTER'!$W$2:$W$495,(SUMPRODUCT((('CONTROL MASTER'!$S$2:$S$495=5)*('CONTROL MASTER'!$T$2:$T$495&lt;=10)*('CONTROL MASTER'!$V$2:$V$495&gt;=10)*('CONTROL MASTER'!$U$2:$U$495&lt;=4)*('CONTROL MASTER'!$W$2:$W$495&gt;=4))*ROW('CONTROL MASTER'!$S$2:$S$495))-(ROW('CONTROL MASTER'!#REF!)-1)))-INDEX('CONTROL MASTER'!$U$2:$U$495,(SUMPRODUCT((('CONTROL MASTER'!$S$2:$S$495=5)*('CONTROL MASTER'!$T$2:$T$495&lt;=10)*('CONTROL MASTER'!$V$2:$V$495&gt;=10)*('CONTROL MASTER'!$U$2:$U$495&lt;=4)*('CONTROL MASTER'!$W$2:$W$495&gt;=4))*ROW('CONTROL MASTER'!$S$2:$S$495))-(ROW('CONTROL MASTER'!#REF!)-1)))+1)+(4-INDEX('CONTROL MASTER'!$U$2:$U$495,(SUMPRODUCT((('CONTROL MASTER'!$S$2:$S$495=5)*('CONTROL MASTER'!$T$2:$T$495&lt;=10)*('CONTROL MASTER'!$V$2:$V$495&gt;=10)*('CONTROL MASTER'!$U$2:$U$495&lt;=4)*('CONTROL MASTER'!$W$2:$W$495&gt;=4))*ROW('CONTROL MASTER'!$S$2:$S$495))-(ROW('CONTROL MASTER'!#REF!)-1))))+1))-1)*50+1,50))&amp;"_"&amp;INDEX('CONTROL MASTER'!$P$2:$P$495,(SUMPRODUCT((('CONTROL MASTER'!$S$2:$S$495=5)*('CONTROL MASTER'!$T$2:$T$495&lt;=10)*('CONTROL MASTER'!$V$2:$V$495&gt;=10)*('CONTROL MASTER'!$U$2:$U$495&lt;=4)*('CONTROL MASTER'!$W$2:$W$495&gt;=4))*ROW('CONTROL MASTER'!$S$2:$S$495))-(ROW('CONTROL MASTER'!#REF!)-1))),IF(SUMPRODUCT((('CONTROL MASTER'!$S$2:$S$495=5)*('CONTROL MASTER'!$Z$2:$Z$495&lt;=10)*('CONTROL MASTER'!$AB$2:$AB$495&gt;=10)*('CONTROL MASTER'!$AA$2:$AA$495&lt;=4)*('CONTROL MASTER'!$AC$2:$AC$495&gt;=4))*ROW('CONTROL MASTER'!$S$2:$S$495))&gt;0,INDEX('CONTROL MASTER'!$X$2:$X$495,(SUMPRODUCT((('CONTROL MASTER'!$S$2:$S$495=5)*('CONTROL MASTER'!$Z$2:$Z$495&lt;=10)*('CONTROL MASTER'!$AB$2:$AB$495&gt;=10)*('CONTROL MASTER'!$AA$2:$AA$495&lt;=4)*('CONTROL MASTER'!$AC$2:$AC$495&gt;=4))*ROW('CONTROL MASTER'!$S$2:$S$495))-(ROW('CONTROL MASTER'!#REF!)-1)))&amp;TRIM(MID(SUBSTITUTE(SUBSTITUTE(INDEX('CONTROL MASTER'!$N$2:$N$495,(SUMPRODUCT((('CONTROL MASTER'!$S$2:$S$495=5)*('CONTROL MASTER'!$Z$2:$Z$495&lt;=10)*('CONTROL MASTER'!$AB$2:$AB$495&gt;=10)*('CONTROL MASTER'!$AA$2:$AA$495&lt;=4)*('CONTROL MASTER'!$AC$2:$AC$495&gt;=4))*ROW('CONTROL MASTER'!$S$2:$S$495))-(ROW('CONTROL MASTER'!#REF!)-1))),":",","),",",REPT(" ",50)),(((INDEX('CONTROL MASTER'!$Y$2:$Y$495,(SUMPRODUCT((('CONTROL MASTER'!$S$2:$S$495=5)*('CONTROL MASTER'!$Z$2:$Z$495&lt;=10)*('CONTROL MASTER'!$AB$2:$AB$495&gt;=10)*('CONTROL MASTER'!$AA$2:$AA$495&lt;=4)*('CONTROL MASTER'!$AC$2:$AC$495&gt;=4))*ROW('CONTROL MASTER'!$S$2:$S$495))-(ROW('CONTROL MASTER'!#REF!)-1)))+((10-INDEX('CONTROL MASTER'!$Z$2:$Z$495,(SUMPRODUCT((('CONTROL MASTER'!$S$2:$S$495=5)*('CONTROL MASTER'!$Z$2:$Z$495&lt;=10)*('CONTROL MASTER'!$AB$2:$AB$495&gt;=10)*('CONTROL MASTER'!$AA$2:$AA$495&lt;=4)*('CONTROL MASTER'!$AC$2:$AC$495&gt;=4))*ROW('CONTROL MASTER'!$S$2:$S$495))-(ROW('CONTROL MASTER'!#REF!)-1))))*(INDEX('CONTROL MASTER'!$AC$2:$AC$495,(SUMPRODUCT((('CONTROL MASTER'!$S$2:$S$495=5)*('CONTROL MASTER'!$Z$2:$Z$495&lt;=10)*('CONTROL MASTER'!$AB$2:$AB$495&gt;=10)*('CONTROL MASTER'!$AA$2:$AA$495&lt;=4)*('CONTROL MASTER'!$AC$2:$AC$495&gt;=4))*ROW('CONTROL MASTER'!$S$2:$S$495))-(ROW('CONTROL MASTER'!#REF!)-1)))-INDEX('CONTROL MASTER'!$AA$2:$AA$495,(SUMPRODUCT((('CONTROL MASTER'!$S$2:$S$495=5)*('CONTROL MASTER'!$Z$2:$Z$495&lt;=10)*('CONTROL MASTER'!$AB$2:$AB$495&gt;=10)*('CONTROL MASTER'!$AA$2:$AA$495&lt;=4)*('CONTROL MASTER'!$AC$2:$AC$495&gt;=4))*ROW('CONTROL MASTER'!$S$2:$S$495))-(ROW('CONTROL MASTER'!#REF!)-1)))+1)+(4-INDEX('CONTROL MASTER'!$AA$2:$AA$495,(SUMPRODUCT((('CONTROL MASTER'!$S$2:$S$495=5)*('CONTROL MASTER'!$Z$2:$Z$495&lt;=10)*('CONTROL MASTER'!$AB$2:$AB$495&gt;=10)*('CONTROL MASTER'!$AA$2:$AA$495&lt;=4)*('CONTROL MASTER'!$AC$2:$AC$495&gt;=4))*ROW('CONTROL MASTER'!$S$2:$S$495))-(ROW('CONTROL MASTER'!#REF!)-1))))+1)))-1)*50+1,50))&amp;"_"&amp;INDEX('CONTROL MASTER'!$P$2:$P$495,(SUMPRODUCT((('CONTROL MASTER'!$S$2:$S$495=5)*('CONTROL MASTER'!$Z$2:$Z$495&lt;=10)*('CONTROL MASTER'!$AB$2:$AB$495&gt;=10)*('CONTROL MASTER'!$AA$2:$AA$495&lt;=4)*('CONTROL MASTER'!$AC$2:$AC$495&gt;=4))*ROW('CONTROL MASTER'!$S$2:$S$495))-(ROW('CONTROL MASTER'!#REF!)-1))),"")),"")</f>
        <v/>
      </c>
      <c r="F68" s="10" t="str">
        <f>IFERROR(IF(SUMPRODUCT((('CONTROL MASTER'!$S$2:$S$495=5)*('CONTROL MASTER'!$T$2:$T$495&lt;=10)*('CONTROL MASTER'!$V$2:$V$495&gt;=10)*('CONTROL MASTER'!$U$2:$U$495&lt;=5)*('CONTROL MASTER'!$W$2:$W$495&gt;=5))*ROW('CONTROL MASTER'!$S$2:$S$495))&gt;0,INDEX('CONTROL MASTER'!$X$2:$X$495,(SUMPRODUCT((('CONTROL MASTER'!$S$2:$S$495=5)*('CONTROL MASTER'!$T$2:$T$495&lt;=10)*('CONTROL MASTER'!$V$2:$V$495&gt;=10)*('CONTROL MASTER'!$U$2:$U$495&lt;=5)*('CONTROL MASTER'!$W$2:$W$495&gt;=5))*ROW('CONTROL MASTER'!$S$2:$S$495))-(ROW('CONTROL MASTER'!#REF!)-1)))&amp;TRIM(MID(SUBSTITUTE(SUBSTITUTE(INDEX('CONTROL MASTER'!$N$2:$N$495,(SUMPRODUCT((('CONTROL MASTER'!$S$2:$S$495=5)*('CONTROL MASTER'!$T$2:$T$495&lt;=10)*('CONTROL MASTER'!$V$2:$V$495&gt;=10)*('CONTROL MASTER'!$U$2:$U$495&lt;=5)*('CONTROL MASTER'!$W$2:$W$495&gt;=5))*ROW('CONTROL MASTER'!$S$2:$S$495))-(ROW('CONTROL MASTER'!#REF!)-1))),":",","),",",REPT(" ",50)),((((10-INDEX('CONTROL MASTER'!$T$2:$T$495,(SUMPRODUCT((('CONTROL MASTER'!$S$2:$S$495=5)*('CONTROL MASTER'!$T$2:$T$495&lt;=10)*('CONTROL MASTER'!$V$2:$V$495&gt;=10)*('CONTROL MASTER'!$U$2:$U$495&lt;=5)*('CONTROL MASTER'!$W$2:$W$495&gt;=5))*ROW('CONTROL MASTER'!$S$2:$S$495))-(ROW('CONTROL MASTER'!#REF!)-1))))*(INDEX('CONTROL MASTER'!$W$2:$W$495,(SUMPRODUCT((('CONTROL MASTER'!$S$2:$S$495=5)*('CONTROL MASTER'!$T$2:$T$495&lt;=10)*('CONTROL MASTER'!$V$2:$V$495&gt;=10)*('CONTROL MASTER'!$U$2:$U$495&lt;=5)*('CONTROL MASTER'!$W$2:$W$495&gt;=5))*ROW('CONTROL MASTER'!$S$2:$S$495))-(ROW('CONTROL MASTER'!#REF!)-1)))-INDEX('CONTROL MASTER'!$U$2:$U$495,(SUMPRODUCT((('CONTROL MASTER'!$S$2:$S$495=5)*('CONTROL MASTER'!$T$2:$T$495&lt;=10)*('CONTROL MASTER'!$V$2:$V$495&gt;=10)*('CONTROL MASTER'!$U$2:$U$495&lt;=5)*('CONTROL MASTER'!$W$2:$W$495&gt;=5))*ROW('CONTROL MASTER'!$S$2:$S$495))-(ROW('CONTROL MASTER'!#REF!)-1)))+1)+(5-INDEX('CONTROL MASTER'!$U$2:$U$495,(SUMPRODUCT((('CONTROL MASTER'!$S$2:$S$495=5)*('CONTROL MASTER'!$T$2:$T$495&lt;=10)*('CONTROL MASTER'!$V$2:$V$495&gt;=10)*('CONTROL MASTER'!$U$2:$U$495&lt;=5)*('CONTROL MASTER'!$W$2:$W$495&gt;=5))*ROW('CONTROL MASTER'!$S$2:$S$495))-(ROW('CONTROL MASTER'!#REF!)-1))))+1))-1)*50+1,50))&amp;"_"&amp;INDEX('CONTROL MASTER'!$P$2:$P$495,(SUMPRODUCT((('CONTROL MASTER'!$S$2:$S$495=5)*('CONTROL MASTER'!$T$2:$T$495&lt;=10)*('CONTROL MASTER'!$V$2:$V$495&gt;=10)*('CONTROL MASTER'!$U$2:$U$495&lt;=5)*('CONTROL MASTER'!$W$2:$W$495&gt;=5))*ROW('CONTROL MASTER'!$S$2:$S$495))-(ROW('CONTROL MASTER'!#REF!)-1))),IF(SUMPRODUCT((('CONTROL MASTER'!$S$2:$S$495=5)*('CONTROL MASTER'!$Z$2:$Z$495&lt;=10)*('CONTROL MASTER'!$AB$2:$AB$495&gt;=10)*('CONTROL MASTER'!$AA$2:$AA$495&lt;=5)*('CONTROL MASTER'!$AC$2:$AC$495&gt;=5))*ROW('CONTROL MASTER'!$S$2:$S$495))&gt;0,INDEX('CONTROL MASTER'!$X$2:$X$495,(SUMPRODUCT((('CONTROL MASTER'!$S$2:$S$495=5)*('CONTROL MASTER'!$Z$2:$Z$495&lt;=10)*('CONTROL MASTER'!$AB$2:$AB$495&gt;=10)*('CONTROL MASTER'!$AA$2:$AA$495&lt;=5)*('CONTROL MASTER'!$AC$2:$AC$495&gt;=5))*ROW('CONTROL MASTER'!$S$2:$S$495))-(ROW('CONTROL MASTER'!#REF!)-1)))&amp;TRIM(MID(SUBSTITUTE(SUBSTITUTE(INDEX('CONTROL MASTER'!$N$2:$N$495,(SUMPRODUCT((('CONTROL MASTER'!$S$2:$S$495=5)*('CONTROL MASTER'!$Z$2:$Z$495&lt;=10)*('CONTROL MASTER'!$AB$2:$AB$495&gt;=10)*('CONTROL MASTER'!$AA$2:$AA$495&lt;=5)*('CONTROL MASTER'!$AC$2:$AC$495&gt;=5))*ROW('CONTROL MASTER'!$S$2:$S$495))-(ROW('CONTROL MASTER'!#REF!)-1))),":",","),",",REPT(" ",50)),(((INDEX('CONTROL MASTER'!$Y$2:$Y$495,(SUMPRODUCT((('CONTROL MASTER'!$S$2:$S$495=5)*('CONTROL MASTER'!$Z$2:$Z$495&lt;=10)*('CONTROL MASTER'!$AB$2:$AB$495&gt;=10)*('CONTROL MASTER'!$AA$2:$AA$495&lt;=5)*('CONTROL MASTER'!$AC$2:$AC$495&gt;=5))*ROW('CONTROL MASTER'!$S$2:$S$495))-(ROW('CONTROL MASTER'!#REF!)-1)))+((10-INDEX('CONTROL MASTER'!$Z$2:$Z$495,(SUMPRODUCT((('CONTROL MASTER'!$S$2:$S$495=5)*('CONTROL MASTER'!$Z$2:$Z$495&lt;=10)*('CONTROL MASTER'!$AB$2:$AB$495&gt;=10)*('CONTROL MASTER'!$AA$2:$AA$495&lt;=5)*('CONTROL MASTER'!$AC$2:$AC$495&gt;=5))*ROW('CONTROL MASTER'!$S$2:$S$495))-(ROW('CONTROL MASTER'!#REF!)-1))))*(INDEX('CONTROL MASTER'!$AC$2:$AC$495,(SUMPRODUCT((('CONTROL MASTER'!$S$2:$S$495=5)*('CONTROL MASTER'!$Z$2:$Z$495&lt;=10)*('CONTROL MASTER'!$AB$2:$AB$495&gt;=10)*('CONTROL MASTER'!$AA$2:$AA$495&lt;=5)*('CONTROL MASTER'!$AC$2:$AC$495&gt;=5))*ROW('CONTROL MASTER'!$S$2:$S$495))-(ROW('CONTROL MASTER'!#REF!)-1)))-INDEX('CONTROL MASTER'!$AA$2:$AA$495,(SUMPRODUCT((('CONTROL MASTER'!$S$2:$S$495=5)*('CONTROL MASTER'!$Z$2:$Z$495&lt;=10)*('CONTROL MASTER'!$AB$2:$AB$495&gt;=10)*('CONTROL MASTER'!$AA$2:$AA$495&lt;=5)*('CONTROL MASTER'!$AC$2:$AC$495&gt;=5))*ROW('CONTROL MASTER'!$S$2:$S$495))-(ROW('CONTROL MASTER'!#REF!)-1)))+1)+(5-INDEX('CONTROL MASTER'!$AA$2:$AA$495,(SUMPRODUCT((('CONTROL MASTER'!$S$2:$S$495=5)*('CONTROL MASTER'!$Z$2:$Z$495&lt;=10)*('CONTROL MASTER'!$AB$2:$AB$495&gt;=10)*('CONTROL MASTER'!$AA$2:$AA$495&lt;=5)*('CONTROL MASTER'!$AC$2:$AC$495&gt;=5))*ROW('CONTROL MASTER'!$S$2:$S$495))-(ROW('CONTROL MASTER'!#REF!)-1))))+1)))-1)*50+1,50))&amp;"_"&amp;INDEX('CONTROL MASTER'!$P$2:$P$495,(SUMPRODUCT((('CONTROL MASTER'!$S$2:$S$495=5)*('CONTROL MASTER'!$Z$2:$Z$495&lt;=10)*('CONTROL MASTER'!$AB$2:$AB$495&gt;=10)*('CONTROL MASTER'!$AA$2:$AA$495&lt;=5)*('CONTROL MASTER'!$AC$2:$AC$495&gt;=5))*ROW('CONTROL MASTER'!$S$2:$S$495))-(ROW('CONTROL MASTER'!#REF!)-1))),"")),"")</f>
        <v/>
      </c>
      <c r="G68" s="10" t="str">
        <f>IFERROR(IF(SUMPRODUCT((('CONTROL MASTER'!$S$2:$S$495=5)*('CONTROL MASTER'!$T$2:$T$495&lt;=10)*('CONTROL MASTER'!$V$2:$V$495&gt;=10)*('CONTROL MASTER'!$U$2:$U$495&lt;=6)*('CONTROL MASTER'!$W$2:$W$495&gt;=6))*ROW('CONTROL MASTER'!$S$2:$S$495))&gt;0,INDEX('CONTROL MASTER'!$X$2:$X$495,(SUMPRODUCT((('CONTROL MASTER'!$S$2:$S$495=5)*('CONTROL MASTER'!$T$2:$T$495&lt;=10)*('CONTROL MASTER'!$V$2:$V$495&gt;=10)*('CONTROL MASTER'!$U$2:$U$495&lt;=6)*('CONTROL MASTER'!$W$2:$W$495&gt;=6))*ROW('CONTROL MASTER'!$S$2:$S$495))-(ROW('CONTROL MASTER'!#REF!)-1)))&amp;TRIM(MID(SUBSTITUTE(SUBSTITUTE(INDEX('CONTROL MASTER'!$N$2:$N$495,(SUMPRODUCT((('CONTROL MASTER'!$S$2:$S$495=5)*('CONTROL MASTER'!$T$2:$T$495&lt;=10)*('CONTROL MASTER'!$V$2:$V$495&gt;=10)*('CONTROL MASTER'!$U$2:$U$495&lt;=6)*('CONTROL MASTER'!$W$2:$W$495&gt;=6))*ROW('CONTROL MASTER'!$S$2:$S$495))-(ROW('CONTROL MASTER'!#REF!)-1))),":",","),",",REPT(" ",50)),((((10-INDEX('CONTROL MASTER'!$T$2:$T$495,(SUMPRODUCT((('CONTROL MASTER'!$S$2:$S$495=5)*('CONTROL MASTER'!$T$2:$T$495&lt;=10)*('CONTROL MASTER'!$V$2:$V$495&gt;=10)*('CONTROL MASTER'!$U$2:$U$495&lt;=6)*('CONTROL MASTER'!$W$2:$W$495&gt;=6))*ROW('CONTROL MASTER'!$S$2:$S$495))-(ROW('CONTROL MASTER'!#REF!)-1))))*(INDEX('CONTROL MASTER'!$W$2:$W$495,(SUMPRODUCT((('CONTROL MASTER'!$S$2:$S$495=5)*('CONTROL MASTER'!$T$2:$T$495&lt;=10)*('CONTROL MASTER'!$V$2:$V$495&gt;=10)*('CONTROL MASTER'!$U$2:$U$495&lt;=6)*('CONTROL MASTER'!$W$2:$W$495&gt;=6))*ROW('CONTROL MASTER'!$S$2:$S$495))-(ROW('CONTROL MASTER'!#REF!)-1)))-INDEX('CONTROL MASTER'!$U$2:$U$495,(SUMPRODUCT((('CONTROL MASTER'!$S$2:$S$495=5)*('CONTROL MASTER'!$T$2:$T$495&lt;=10)*('CONTROL MASTER'!$V$2:$V$495&gt;=10)*('CONTROL MASTER'!$U$2:$U$495&lt;=6)*('CONTROL MASTER'!$W$2:$W$495&gt;=6))*ROW('CONTROL MASTER'!$S$2:$S$495))-(ROW('CONTROL MASTER'!#REF!)-1)))+1)+(6-INDEX('CONTROL MASTER'!$U$2:$U$495,(SUMPRODUCT((('CONTROL MASTER'!$S$2:$S$495=5)*('CONTROL MASTER'!$T$2:$T$495&lt;=10)*('CONTROL MASTER'!$V$2:$V$495&gt;=10)*('CONTROL MASTER'!$U$2:$U$495&lt;=6)*('CONTROL MASTER'!$W$2:$W$495&gt;=6))*ROW('CONTROL MASTER'!$S$2:$S$495))-(ROW('CONTROL MASTER'!#REF!)-1))))+1))-1)*50+1,50))&amp;"_"&amp;INDEX('CONTROL MASTER'!$P$2:$P$495,(SUMPRODUCT((('CONTROL MASTER'!$S$2:$S$495=5)*('CONTROL MASTER'!$T$2:$T$495&lt;=10)*('CONTROL MASTER'!$V$2:$V$495&gt;=10)*('CONTROL MASTER'!$U$2:$U$495&lt;=6)*('CONTROL MASTER'!$W$2:$W$495&gt;=6))*ROW('CONTROL MASTER'!$S$2:$S$495))-(ROW('CONTROL MASTER'!#REF!)-1))),IF(SUMPRODUCT((('CONTROL MASTER'!$S$2:$S$495=5)*('CONTROL MASTER'!$Z$2:$Z$495&lt;=10)*('CONTROL MASTER'!$AB$2:$AB$495&gt;=10)*('CONTROL MASTER'!$AA$2:$AA$495&lt;=6)*('CONTROL MASTER'!$AC$2:$AC$495&gt;=6))*ROW('CONTROL MASTER'!$S$2:$S$495))&gt;0,INDEX('CONTROL MASTER'!$X$2:$X$495,(SUMPRODUCT((('CONTROL MASTER'!$S$2:$S$495=5)*('CONTROL MASTER'!$Z$2:$Z$495&lt;=10)*('CONTROL MASTER'!$AB$2:$AB$495&gt;=10)*('CONTROL MASTER'!$AA$2:$AA$495&lt;=6)*('CONTROL MASTER'!$AC$2:$AC$495&gt;=6))*ROW('CONTROL MASTER'!$S$2:$S$495))-(ROW('CONTROL MASTER'!#REF!)-1)))&amp;TRIM(MID(SUBSTITUTE(SUBSTITUTE(INDEX('CONTROL MASTER'!$N$2:$N$495,(SUMPRODUCT((('CONTROL MASTER'!$S$2:$S$495=5)*('CONTROL MASTER'!$Z$2:$Z$495&lt;=10)*('CONTROL MASTER'!$AB$2:$AB$495&gt;=10)*('CONTROL MASTER'!$AA$2:$AA$495&lt;=6)*('CONTROL MASTER'!$AC$2:$AC$495&gt;=6))*ROW('CONTROL MASTER'!$S$2:$S$495))-(ROW('CONTROL MASTER'!#REF!)-1))),":",","),",",REPT(" ",50)),(((INDEX('CONTROL MASTER'!$Y$2:$Y$495,(SUMPRODUCT((('CONTROL MASTER'!$S$2:$S$495=5)*('CONTROL MASTER'!$Z$2:$Z$495&lt;=10)*('CONTROL MASTER'!$AB$2:$AB$495&gt;=10)*('CONTROL MASTER'!$AA$2:$AA$495&lt;=6)*('CONTROL MASTER'!$AC$2:$AC$495&gt;=6))*ROW('CONTROL MASTER'!$S$2:$S$495))-(ROW('CONTROL MASTER'!#REF!)-1)))+((10-INDEX('CONTROL MASTER'!$Z$2:$Z$495,(SUMPRODUCT((('CONTROL MASTER'!$S$2:$S$495=5)*('CONTROL MASTER'!$Z$2:$Z$495&lt;=10)*('CONTROL MASTER'!$AB$2:$AB$495&gt;=10)*('CONTROL MASTER'!$AA$2:$AA$495&lt;=6)*('CONTROL MASTER'!$AC$2:$AC$495&gt;=6))*ROW('CONTROL MASTER'!$S$2:$S$495))-(ROW('CONTROL MASTER'!#REF!)-1))))*(INDEX('CONTROL MASTER'!$AC$2:$AC$495,(SUMPRODUCT((('CONTROL MASTER'!$S$2:$S$495=5)*('CONTROL MASTER'!$Z$2:$Z$495&lt;=10)*('CONTROL MASTER'!$AB$2:$AB$495&gt;=10)*('CONTROL MASTER'!$AA$2:$AA$495&lt;=6)*('CONTROL MASTER'!$AC$2:$AC$495&gt;=6))*ROW('CONTROL MASTER'!$S$2:$S$495))-(ROW('CONTROL MASTER'!#REF!)-1)))-INDEX('CONTROL MASTER'!$AA$2:$AA$495,(SUMPRODUCT((('CONTROL MASTER'!$S$2:$S$495=5)*('CONTROL MASTER'!$Z$2:$Z$495&lt;=10)*('CONTROL MASTER'!$AB$2:$AB$495&gt;=10)*('CONTROL MASTER'!$AA$2:$AA$495&lt;=6)*('CONTROL MASTER'!$AC$2:$AC$495&gt;=6))*ROW('CONTROL MASTER'!$S$2:$S$495))-(ROW('CONTROL MASTER'!#REF!)-1)))+1)+(6-INDEX('CONTROL MASTER'!$AA$2:$AA$495,(SUMPRODUCT((('CONTROL MASTER'!$S$2:$S$495=5)*('CONTROL MASTER'!$Z$2:$Z$495&lt;=10)*('CONTROL MASTER'!$AB$2:$AB$495&gt;=10)*('CONTROL MASTER'!$AA$2:$AA$495&lt;=6)*('CONTROL MASTER'!$AC$2:$AC$495&gt;=6))*ROW('CONTROL MASTER'!$S$2:$S$495))-(ROW('CONTROL MASTER'!#REF!)-1))))+1)))-1)*50+1,50))&amp;"_"&amp;INDEX('CONTROL MASTER'!$P$2:$P$495,(SUMPRODUCT((('CONTROL MASTER'!$S$2:$S$495=5)*('CONTROL MASTER'!$Z$2:$Z$495&lt;=10)*('CONTROL MASTER'!$AB$2:$AB$495&gt;=10)*('CONTROL MASTER'!$AA$2:$AA$495&lt;=6)*('CONTROL MASTER'!$AC$2:$AC$495&gt;=6))*ROW('CONTROL MASTER'!$S$2:$S$495))-(ROW('CONTROL MASTER'!#REF!)-1))),"")),"")</f>
        <v/>
      </c>
      <c r="H68" s="10" t="str">
        <f>IFERROR(IF(SUMPRODUCT((('CONTROL MASTER'!$S$2:$S$495=5)*('CONTROL MASTER'!$T$2:$T$495&lt;=10)*('CONTROL MASTER'!$V$2:$V$495&gt;=10)*('CONTROL MASTER'!$U$2:$U$495&lt;=7)*('CONTROL MASTER'!$W$2:$W$495&gt;=7))*ROW('CONTROL MASTER'!$S$2:$S$495))&gt;0,INDEX('CONTROL MASTER'!$X$2:$X$495,(SUMPRODUCT((('CONTROL MASTER'!$S$2:$S$495=5)*('CONTROL MASTER'!$T$2:$T$495&lt;=10)*('CONTROL MASTER'!$V$2:$V$495&gt;=10)*('CONTROL MASTER'!$U$2:$U$495&lt;=7)*('CONTROL MASTER'!$W$2:$W$495&gt;=7))*ROW('CONTROL MASTER'!$S$2:$S$495))-(ROW('CONTROL MASTER'!#REF!)-1)))&amp;TRIM(MID(SUBSTITUTE(SUBSTITUTE(INDEX('CONTROL MASTER'!$N$2:$N$495,(SUMPRODUCT((('CONTROL MASTER'!$S$2:$S$495=5)*('CONTROL MASTER'!$T$2:$T$495&lt;=10)*('CONTROL MASTER'!$V$2:$V$495&gt;=10)*('CONTROL MASTER'!$U$2:$U$495&lt;=7)*('CONTROL MASTER'!$W$2:$W$495&gt;=7))*ROW('CONTROL MASTER'!$S$2:$S$495))-(ROW('CONTROL MASTER'!#REF!)-1))),":",","),",",REPT(" ",50)),((((10-INDEX('CONTROL MASTER'!$T$2:$T$495,(SUMPRODUCT((('CONTROL MASTER'!$S$2:$S$495=5)*('CONTROL MASTER'!$T$2:$T$495&lt;=10)*('CONTROL MASTER'!$V$2:$V$495&gt;=10)*('CONTROL MASTER'!$U$2:$U$495&lt;=7)*('CONTROL MASTER'!$W$2:$W$495&gt;=7))*ROW('CONTROL MASTER'!$S$2:$S$495))-(ROW('CONTROL MASTER'!#REF!)-1))))*(INDEX('CONTROL MASTER'!$W$2:$W$495,(SUMPRODUCT((('CONTROL MASTER'!$S$2:$S$495=5)*('CONTROL MASTER'!$T$2:$T$495&lt;=10)*('CONTROL MASTER'!$V$2:$V$495&gt;=10)*('CONTROL MASTER'!$U$2:$U$495&lt;=7)*('CONTROL MASTER'!$W$2:$W$495&gt;=7))*ROW('CONTROL MASTER'!$S$2:$S$495))-(ROW('CONTROL MASTER'!#REF!)-1)))-INDEX('CONTROL MASTER'!$U$2:$U$495,(SUMPRODUCT((('CONTROL MASTER'!$S$2:$S$495=5)*('CONTROL MASTER'!$T$2:$T$495&lt;=10)*('CONTROL MASTER'!$V$2:$V$495&gt;=10)*('CONTROL MASTER'!$U$2:$U$495&lt;=7)*('CONTROL MASTER'!$W$2:$W$495&gt;=7))*ROW('CONTROL MASTER'!$S$2:$S$495))-(ROW('CONTROL MASTER'!#REF!)-1)))+1)+(7-INDEX('CONTROL MASTER'!$U$2:$U$495,(SUMPRODUCT((('CONTROL MASTER'!$S$2:$S$495=5)*('CONTROL MASTER'!$T$2:$T$495&lt;=10)*('CONTROL MASTER'!$V$2:$V$495&gt;=10)*('CONTROL MASTER'!$U$2:$U$495&lt;=7)*('CONTROL MASTER'!$W$2:$W$495&gt;=7))*ROW('CONTROL MASTER'!$S$2:$S$495))-(ROW('CONTROL MASTER'!#REF!)-1))))+1))-1)*50+1,50))&amp;"_"&amp;INDEX('CONTROL MASTER'!$P$2:$P$495,(SUMPRODUCT((('CONTROL MASTER'!$S$2:$S$495=5)*('CONTROL MASTER'!$T$2:$T$495&lt;=10)*('CONTROL MASTER'!$V$2:$V$495&gt;=10)*('CONTROL MASTER'!$U$2:$U$495&lt;=7)*('CONTROL MASTER'!$W$2:$W$495&gt;=7))*ROW('CONTROL MASTER'!$S$2:$S$495))-(ROW('CONTROL MASTER'!#REF!)-1))),IF(SUMPRODUCT((('CONTROL MASTER'!$S$2:$S$495=5)*('CONTROL MASTER'!$Z$2:$Z$495&lt;=10)*('CONTROL MASTER'!$AB$2:$AB$495&gt;=10)*('CONTROL MASTER'!$AA$2:$AA$495&lt;=7)*('CONTROL MASTER'!$AC$2:$AC$495&gt;=7))*ROW('CONTROL MASTER'!$S$2:$S$495))&gt;0,INDEX('CONTROL MASTER'!$X$2:$X$495,(SUMPRODUCT((('CONTROL MASTER'!$S$2:$S$495=5)*('CONTROL MASTER'!$Z$2:$Z$495&lt;=10)*('CONTROL MASTER'!$AB$2:$AB$495&gt;=10)*('CONTROL MASTER'!$AA$2:$AA$495&lt;=7)*('CONTROL MASTER'!$AC$2:$AC$495&gt;=7))*ROW('CONTROL MASTER'!$S$2:$S$495))-(ROW('CONTROL MASTER'!#REF!)-1)))&amp;TRIM(MID(SUBSTITUTE(SUBSTITUTE(INDEX('CONTROL MASTER'!$N$2:$N$495,(SUMPRODUCT((('CONTROL MASTER'!$S$2:$S$495=5)*('CONTROL MASTER'!$Z$2:$Z$495&lt;=10)*('CONTROL MASTER'!$AB$2:$AB$495&gt;=10)*('CONTROL MASTER'!$AA$2:$AA$495&lt;=7)*('CONTROL MASTER'!$AC$2:$AC$495&gt;=7))*ROW('CONTROL MASTER'!$S$2:$S$495))-(ROW('CONTROL MASTER'!#REF!)-1))),":",","),",",REPT(" ",50)),(((INDEX('CONTROL MASTER'!$Y$2:$Y$495,(SUMPRODUCT((('CONTROL MASTER'!$S$2:$S$495=5)*('CONTROL MASTER'!$Z$2:$Z$495&lt;=10)*('CONTROL MASTER'!$AB$2:$AB$495&gt;=10)*('CONTROL MASTER'!$AA$2:$AA$495&lt;=7)*('CONTROL MASTER'!$AC$2:$AC$495&gt;=7))*ROW('CONTROL MASTER'!$S$2:$S$495))-(ROW('CONTROL MASTER'!#REF!)-1)))+((10-INDEX('CONTROL MASTER'!$Z$2:$Z$495,(SUMPRODUCT((('CONTROL MASTER'!$S$2:$S$495=5)*('CONTROL MASTER'!$Z$2:$Z$495&lt;=10)*('CONTROL MASTER'!$AB$2:$AB$495&gt;=10)*('CONTROL MASTER'!$AA$2:$AA$495&lt;=7)*('CONTROL MASTER'!$AC$2:$AC$495&gt;=7))*ROW('CONTROL MASTER'!$S$2:$S$495))-(ROW('CONTROL MASTER'!#REF!)-1))))*(INDEX('CONTROL MASTER'!$AC$2:$AC$495,(SUMPRODUCT((('CONTROL MASTER'!$S$2:$S$495=5)*('CONTROL MASTER'!$Z$2:$Z$495&lt;=10)*('CONTROL MASTER'!$AB$2:$AB$495&gt;=10)*('CONTROL MASTER'!$AA$2:$AA$495&lt;=7)*('CONTROL MASTER'!$AC$2:$AC$495&gt;=7))*ROW('CONTROL MASTER'!$S$2:$S$495))-(ROW('CONTROL MASTER'!#REF!)-1)))-INDEX('CONTROL MASTER'!$AA$2:$AA$495,(SUMPRODUCT((('CONTROL MASTER'!$S$2:$S$495=5)*('CONTROL MASTER'!$Z$2:$Z$495&lt;=10)*('CONTROL MASTER'!$AB$2:$AB$495&gt;=10)*('CONTROL MASTER'!$AA$2:$AA$495&lt;=7)*('CONTROL MASTER'!$AC$2:$AC$495&gt;=7))*ROW('CONTROL MASTER'!$S$2:$S$495))-(ROW('CONTROL MASTER'!#REF!)-1)))+1)+(7-INDEX('CONTROL MASTER'!$AA$2:$AA$495,(SUMPRODUCT((('CONTROL MASTER'!$S$2:$S$495=5)*('CONTROL MASTER'!$Z$2:$Z$495&lt;=10)*('CONTROL MASTER'!$AB$2:$AB$495&gt;=10)*('CONTROL MASTER'!$AA$2:$AA$495&lt;=7)*('CONTROL MASTER'!$AC$2:$AC$495&gt;=7))*ROW('CONTROL MASTER'!$S$2:$S$495))-(ROW('CONTROL MASTER'!#REF!)-1))))+1)))-1)*50+1,50))&amp;"_"&amp;INDEX('CONTROL MASTER'!$P$2:$P$495,(SUMPRODUCT((('CONTROL MASTER'!$S$2:$S$495=5)*('CONTROL MASTER'!$Z$2:$Z$495&lt;=10)*('CONTROL MASTER'!$AB$2:$AB$495&gt;=10)*('CONTROL MASTER'!$AA$2:$AA$495&lt;=7)*('CONTROL MASTER'!$AC$2:$AC$495&gt;=7))*ROW('CONTROL MASTER'!$S$2:$S$495))-(ROW('CONTROL MASTER'!#REF!)-1))),"")),"")</f>
        <v/>
      </c>
      <c r="I68" s="10" t="str">
        <f>IFERROR(IF(SUMPRODUCT((('CONTROL MASTER'!$S$2:$S$495=5)*('CONTROL MASTER'!$T$2:$T$495&lt;=10)*('CONTROL MASTER'!$V$2:$V$495&gt;=10)*('CONTROL MASTER'!$U$2:$U$495&lt;=8)*('CONTROL MASTER'!$W$2:$W$495&gt;=8))*ROW('CONTROL MASTER'!$S$2:$S$495))&gt;0,INDEX('CONTROL MASTER'!$X$2:$X$495,(SUMPRODUCT((('CONTROL MASTER'!$S$2:$S$495=5)*('CONTROL MASTER'!$T$2:$T$495&lt;=10)*('CONTROL MASTER'!$V$2:$V$495&gt;=10)*('CONTROL MASTER'!$U$2:$U$495&lt;=8)*('CONTROL MASTER'!$W$2:$W$495&gt;=8))*ROW('CONTROL MASTER'!$S$2:$S$495))-(ROW('CONTROL MASTER'!#REF!)-1)))&amp;TRIM(MID(SUBSTITUTE(SUBSTITUTE(INDEX('CONTROL MASTER'!$N$2:$N$495,(SUMPRODUCT((('CONTROL MASTER'!$S$2:$S$495=5)*('CONTROL MASTER'!$T$2:$T$495&lt;=10)*('CONTROL MASTER'!$V$2:$V$495&gt;=10)*('CONTROL MASTER'!$U$2:$U$495&lt;=8)*('CONTROL MASTER'!$W$2:$W$495&gt;=8))*ROW('CONTROL MASTER'!$S$2:$S$495))-(ROW('CONTROL MASTER'!#REF!)-1))),":",","),",",REPT(" ",50)),((((10-INDEX('CONTROL MASTER'!$T$2:$T$495,(SUMPRODUCT((('CONTROL MASTER'!$S$2:$S$495=5)*('CONTROL MASTER'!$T$2:$T$495&lt;=10)*('CONTROL MASTER'!$V$2:$V$495&gt;=10)*('CONTROL MASTER'!$U$2:$U$495&lt;=8)*('CONTROL MASTER'!$W$2:$W$495&gt;=8))*ROW('CONTROL MASTER'!$S$2:$S$495))-(ROW('CONTROL MASTER'!#REF!)-1))))*(INDEX('CONTROL MASTER'!$W$2:$W$495,(SUMPRODUCT((('CONTROL MASTER'!$S$2:$S$495=5)*('CONTROL MASTER'!$T$2:$T$495&lt;=10)*('CONTROL MASTER'!$V$2:$V$495&gt;=10)*('CONTROL MASTER'!$U$2:$U$495&lt;=8)*('CONTROL MASTER'!$W$2:$W$495&gt;=8))*ROW('CONTROL MASTER'!$S$2:$S$495))-(ROW('CONTROL MASTER'!#REF!)-1)))-INDEX('CONTROL MASTER'!$U$2:$U$495,(SUMPRODUCT((('CONTROL MASTER'!$S$2:$S$495=5)*('CONTROL MASTER'!$T$2:$T$495&lt;=10)*('CONTROL MASTER'!$V$2:$V$495&gt;=10)*('CONTROL MASTER'!$U$2:$U$495&lt;=8)*('CONTROL MASTER'!$W$2:$W$495&gt;=8))*ROW('CONTROL MASTER'!$S$2:$S$495))-(ROW('CONTROL MASTER'!#REF!)-1)))+1)+(8-INDEX('CONTROL MASTER'!$U$2:$U$495,(SUMPRODUCT((('CONTROL MASTER'!$S$2:$S$495=5)*('CONTROL MASTER'!$T$2:$T$495&lt;=10)*('CONTROL MASTER'!$V$2:$V$495&gt;=10)*('CONTROL MASTER'!$U$2:$U$495&lt;=8)*('CONTROL MASTER'!$W$2:$W$495&gt;=8))*ROW('CONTROL MASTER'!$S$2:$S$495))-(ROW('CONTROL MASTER'!#REF!)-1))))+1))-1)*50+1,50))&amp;"_"&amp;INDEX('CONTROL MASTER'!$P$2:$P$495,(SUMPRODUCT((('CONTROL MASTER'!$S$2:$S$495=5)*('CONTROL MASTER'!$T$2:$T$495&lt;=10)*('CONTROL MASTER'!$V$2:$V$495&gt;=10)*('CONTROL MASTER'!$U$2:$U$495&lt;=8)*('CONTROL MASTER'!$W$2:$W$495&gt;=8))*ROW('CONTROL MASTER'!$S$2:$S$495))-(ROW('CONTROL MASTER'!#REF!)-1))),IF(SUMPRODUCT((('CONTROL MASTER'!$S$2:$S$495=5)*('CONTROL MASTER'!$Z$2:$Z$495&lt;=10)*('CONTROL MASTER'!$AB$2:$AB$495&gt;=10)*('CONTROL MASTER'!$AA$2:$AA$495&lt;=8)*('CONTROL MASTER'!$AC$2:$AC$495&gt;=8))*ROW('CONTROL MASTER'!$S$2:$S$495))&gt;0,INDEX('CONTROL MASTER'!$X$2:$X$495,(SUMPRODUCT((('CONTROL MASTER'!$S$2:$S$495=5)*('CONTROL MASTER'!$Z$2:$Z$495&lt;=10)*('CONTROL MASTER'!$AB$2:$AB$495&gt;=10)*('CONTROL MASTER'!$AA$2:$AA$495&lt;=8)*('CONTROL MASTER'!$AC$2:$AC$495&gt;=8))*ROW('CONTROL MASTER'!$S$2:$S$495))-(ROW('CONTROL MASTER'!#REF!)-1)))&amp;TRIM(MID(SUBSTITUTE(SUBSTITUTE(INDEX('CONTROL MASTER'!$N$2:$N$495,(SUMPRODUCT((('CONTROL MASTER'!$S$2:$S$495=5)*('CONTROL MASTER'!$Z$2:$Z$495&lt;=10)*('CONTROL MASTER'!$AB$2:$AB$495&gt;=10)*('CONTROL MASTER'!$AA$2:$AA$495&lt;=8)*('CONTROL MASTER'!$AC$2:$AC$495&gt;=8))*ROW('CONTROL MASTER'!$S$2:$S$495))-(ROW('CONTROL MASTER'!#REF!)-1))),":",","),",",REPT(" ",50)),(((INDEX('CONTROL MASTER'!$Y$2:$Y$495,(SUMPRODUCT((('CONTROL MASTER'!$S$2:$S$495=5)*('CONTROL MASTER'!$Z$2:$Z$495&lt;=10)*('CONTROL MASTER'!$AB$2:$AB$495&gt;=10)*('CONTROL MASTER'!$AA$2:$AA$495&lt;=8)*('CONTROL MASTER'!$AC$2:$AC$495&gt;=8))*ROW('CONTROL MASTER'!$S$2:$S$495))-(ROW('CONTROL MASTER'!#REF!)-1)))+((10-INDEX('CONTROL MASTER'!$Z$2:$Z$495,(SUMPRODUCT((('CONTROL MASTER'!$S$2:$S$495=5)*('CONTROL MASTER'!$Z$2:$Z$495&lt;=10)*('CONTROL MASTER'!$AB$2:$AB$495&gt;=10)*('CONTROL MASTER'!$AA$2:$AA$495&lt;=8)*('CONTROL MASTER'!$AC$2:$AC$495&gt;=8))*ROW('CONTROL MASTER'!$S$2:$S$495))-(ROW('CONTROL MASTER'!#REF!)-1))))*(INDEX('CONTROL MASTER'!$AC$2:$AC$495,(SUMPRODUCT((('CONTROL MASTER'!$S$2:$S$495=5)*('CONTROL MASTER'!$Z$2:$Z$495&lt;=10)*('CONTROL MASTER'!$AB$2:$AB$495&gt;=10)*('CONTROL MASTER'!$AA$2:$AA$495&lt;=8)*('CONTROL MASTER'!$AC$2:$AC$495&gt;=8))*ROW('CONTROL MASTER'!$S$2:$S$495))-(ROW('CONTROL MASTER'!#REF!)-1)))-INDEX('CONTROL MASTER'!$AA$2:$AA$495,(SUMPRODUCT((('CONTROL MASTER'!$S$2:$S$495=5)*('CONTROL MASTER'!$Z$2:$Z$495&lt;=10)*('CONTROL MASTER'!$AB$2:$AB$495&gt;=10)*('CONTROL MASTER'!$AA$2:$AA$495&lt;=8)*('CONTROL MASTER'!$AC$2:$AC$495&gt;=8))*ROW('CONTROL MASTER'!$S$2:$S$495))-(ROW('CONTROL MASTER'!#REF!)-1)))+1)+(8-INDEX('CONTROL MASTER'!$AA$2:$AA$495,(SUMPRODUCT((('CONTROL MASTER'!$S$2:$S$495=5)*('CONTROL MASTER'!$Z$2:$Z$495&lt;=10)*('CONTROL MASTER'!$AB$2:$AB$495&gt;=10)*('CONTROL MASTER'!$AA$2:$AA$495&lt;=8)*('CONTROL MASTER'!$AC$2:$AC$495&gt;=8))*ROW('CONTROL MASTER'!$S$2:$S$495))-(ROW('CONTROL MASTER'!#REF!)-1))))+1)))-1)*50+1,50))&amp;"_"&amp;INDEX('CONTROL MASTER'!$P$2:$P$495,(SUMPRODUCT((('CONTROL MASTER'!$S$2:$S$495=5)*('CONTROL MASTER'!$Z$2:$Z$495&lt;=10)*('CONTROL MASTER'!$AB$2:$AB$495&gt;=10)*('CONTROL MASTER'!$AA$2:$AA$495&lt;=8)*('CONTROL MASTER'!$AC$2:$AC$495&gt;=8))*ROW('CONTROL MASTER'!$S$2:$S$495))-(ROW('CONTROL MASTER'!#REF!)-1))),"")),"")</f>
        <v/>
      </c>
      <c r="J68" s="10" t="str">
        <f>IFERROR(IF(SUMPRODUCT((('CONTROL MASTER'!$S$2:$S$495=5)*('CONTROL MASTER'!$T$2:$T$495&lt;=10)*('CONTROL MASTER'!$V$2:$V$495&gt;=10)*('CONTROL MASTER'!$U$2:$U$495&lt;=9)*('CONTROL MASTER'!$W$2:$W$495&gt;=9))*ROW('CONTROL MASTER'!$S$2:$S$495))&gt;0,INDEX('CONTROL MASTER'!$X$2:$X$495,(SUMPRODUCT((('CONTROL MASTER'!$S$2:$S$495=5)*('CONTROL MASTER'!$T$2:$T$495&lt;=10)*('CONTROL MASTER'!$V$2:$V$495&gt;=10)*('CONTROL MASTER'!$U$2:$U$495&lt;=9)*('CONTROL MASTER'!$W$2:$W$495&gt;=9))*ROW('CONTROL MASTER'!$S$2:$S$495))-(ROW('CONTROL MASTER'!#REF!)-1)))&amp;TRIM(MID(SUBSTITUTE(SUBSTITUTE(INDEX('CONTROL MASTER'!$N$2:$N$495,(SUMPRODUCT((('CONTROL MASTER'!$S$2:$S$495=5)*('CONTROL MASTER'!$T$2:$T$495&lt;=10)*('CONTROL MASTER'!$V$2:$V$495&gt;=10)*('CONTROL MASTER'!$U$2:$U$495&lt;=9)*('CONTROL MASTER'!$W$2:$W$495&gt;=9))*ROW('CONTROL MASTER'!$S$2:$S$495))-(ROW('CONTROL MASTER'!#REF!)-1))),":",","),",",REPT(" ",50)),((((10-INDEX('CONTROL MASTER'!$T$2:$T$495,(SUMPRODUCT((('CONTROL MASTER'!$S$2:$S$495=5)*('CONTROL MASTER'!$T$2:$T$495&lt;=10)*('CONTROL MASTER'!$V$2:$V$495&gt;=10)*('CONTROL MASTER'!$U$2:$U$495&lt;=9)*('CONTROL MASTER'!$W$2:$W$495&gt;=9))*ROW('CONTROL MASTER'!$S$2:$S$495))-(ROW('CONTROL MASTER'!#REF!)-1))))*(INDEX('CONTROL MASTER'!$W$2:$W$495,(SUMPRODUCT((('CONTROL MASTER'!$S$2:$S$495=5)*('CONTROL MASTER'!$T$2:$T$495&lt;=10)*('CONTROL MASTER'!$V$2:$V$495&gt;=10)*('CONTROL MASTER'!$U$2:$U$495&lt;=9)*('CONTROL MASTER'!$W$2:$W$495&gt;=9))*ROW('CONTROL MASTER'!$S$2:$S$495))-(ROW('CONTROL MASTER'!#REF!)-1)))-INDEX('CONTROL MASTER'!$U$2:$U$495,(SUMPRODUCT((('CONTROL MASTER'!$S$2:$S$495=5)*('CONTROL MASTER'!$T$2:$T$495&lt;=10)*('CONTROL MASTER'!$V$2:$V$495&gt;=10)*('CONTROL MASTER'!$U$2:$U$495&lt;=9)*('CONTROL MASTER'!$W$2:$W$495&gt;=9))*ROW('CONTROL MASTER'!$S$2:$S$495))-(ROW('CONTROL MASTER'!#REF!)-1)))+1)+(9-INDEX('CONTROL MASTER'!$U$2:$U$495,(SUMPRODUCT((('CONTROL MASTER'!$S$2:$S$495=5)*('CONTROL MASTER'!$T$2:$T$495&lt;=10)*('CONTROL MASTER'!$V$2:$V$495&gt;=10)*('CONTROL MASTER'!$U$2:$U$495&lt;=9)*('CONTROL MASTER'!$W$2:$W$495&gt;=9))*ROW('CONTROL MASTER'!$S$2:$S$495))-(ROW('CONTROL MASTER'!#REF!)-1))))+1))-1)*50+1,50))&amp;"_"&amp;INDEX('CONTROL MASTER'!$P$2:$P$495,(SUMPRODUCT((('CONTROL MASTER'!$S$2:$S$495=5)*('CONTROL MASTER'!$T$2:$T$495&lt;=10)*('CONTROL MASTER'!$V$2:$V$495&gt;=10)*('CONTROL MASTER'!$U$2:$U$495&lt;=9)*('CONTROL MASTER'!$W$2:$W$495&gt;=9))*ROW('CONTROL MASTER'!$S$2:$S$495))-(ROW('CONTROL MASTER'!#REF!)-1))),IF(SUMPRODUCT((('CONTROL MASTER'!$S$2:$S$495=5)*('CONTROL MASTER'!$Z$2:$Z$495&lt;=10)*('CONTROL MASTER'!$AB$2:$AB$495&gt;=10)*('CONTROL MASTER'!$AA$2:$AA$495&lt;=9)*('CONTROL MASTER'!$AC$2:$AC$495&gt;=9))*ROW('CONTROL MASTER'!$S$2:$S$495))&gt;0,INDEX('CONTROL MASTER'!$X$2:$X$495,(SUMPRODUCT((('CONTROL MASTER'!$S$2:$S$495=5)*('CONTROL MASTER'!$Z$2:$Z$495&lt;=10)*('CONTROL MASTER'!$AB$2:$AB$495&gt;=10)*('CONTROL MASTER'!$AA$2:$AA$495&lt;=9)*('CONTROL MASTER'!$AC$2:$AC$495&gt;=9))*ROW('CONTROL MASTER'!$S$2:$S$495))-(ROW('CONTROL MASTER'!#REF!)-1)))&amp;TRIM(MID(SUBSTITUTE(SUBSTITUTE(INDEX('CONTROL MASTER'!$N$2:$N$495,(SUMPRODUCT((('CONTROL MASTER'!$S$2:$S$495=5)*('CONTROL MASTER'!$Z$2:$Z$495&lt;=10)*('CONTROL MASTER'!$AB$2:$AB$495&gt;=10)*('CONTROL MASTER'!$AA$2:$AA$495&lt;=9)*('CONTROL MASTER'!$AC$2:$AC$495&gt;=9))*ROW('CONTROL MASTER'!$S$2:$S$495))-(ROW('CONTROL MASTER'!#REF!)-1))),":",","),",",REPT(" ",50)),(((INDEX('CONTROL MASTER'!$Y$2:$Y$495,(SUMPRODUCT((('CONTROL MASTER'!$S$2:$S$495=5)*('CONTROL MASTER'!$Z$2:$Z$495&lt;=10)*('CONTROL MASTER'!$AB$2:$AB$495&gt;=10)*('CONTROL MASTER'!$AA$2:$AA$495&lt;=9)*('CONTROL MASTER'!$AC$2:$AC$495&gt;=9))*ROW('CONTROL MASTER'!$S$2:$S$495))-(ROW('CONTROL MASTER'!#REF!)-1)))+((10-INDEX('CONTROL MASTER'!$Z$2:$Z$495,(SUMPRODUCT((('CONTROL MASTER'!$S$2:$S$495=5)*('CONTROL MASTER'!$Z$2:$Z$495&lt;=10)*('CONTROL MASTER'!$AB$2:$AB$495&gt;=10)*('CONTROL MASTER'!$AA$2:$AA$495&lt;=9)*('CONTROL MASTER'!$AC$2:$AC$495&gt;=9))*ROW('CONTROL MASTER'!$S$2:$S$495))-(ROW('CONTROL MASTER'!#REF!)-1))))*(INDEX('CONTROL MASTER'!$AC$2:$AC$495,(SUMPRODUCT((('CONTROL MASTER'!$S$2:$S$495=5)*('CONTROL MASTER'!$Z$2:$Z$495&lt;=10)*('CONTROL MASTER'!$AB$2:$AB$495&gt;=10)*('CONTROL MASTER'!$AA$2:$AA$495&lt;=9)*('CONTROL MASTER'!$AC$2:$AC$495&gt;=9))*ROW('CONTROL MASTER'!$S$2:$S$495))-(ROW('CONTROL MASTER'!#REF!)-1)))-INDEX('CONTROL MASTER'!$AA$2:$AA$495,(SUMPRODUCT((('CONTROL MASTER'!$S$2:$S$495=5)*('CONTROL MASTER'!$Z$2:$Z$495&lt;=10)*('CONTROL MASTER'!$AB$2:$AB$495&gt;=10)*('CONTROL MASTER'!$AA$2:$AA$495&lt;=9)*('CONTROL MASTER'!$AC$2:$AC$495&gt;=9))*ROW('CONTROL MASTER'!$S$2:$S$495))-(ROW('CONTROL MASTER'!#REF!)-1)))+1)+(9-INDEX('CONTROL MASTER'!$AA$2:$AA$495,(SUMPRODUCT((('CONTROL MASTER'!$S$2:$S$495=5)*('CONTROL MASTER'!$Z$2:$Z$495&lt;=10)*('CONTROL MASTER'!$AB$2:$AB$495&gt;=10)*('CONTROL MASTER'!$AA$2:$AA$495&lt;=9)*('CONTROL MASTER'!$AC$2:$AC$495&gt;=9))*ROW('CONTROL MASTER'!$S$2:$S$495))-(ROW('CONTROL MASTER'!#REF!)-1))))+1)))-1)*50+1,50))&amp;"_"&amp;INDEX('CONTROL MASTER'!$P$2:$P$495,(SUMPRODUCT((('CONTROL MASTER'!$S$2:$S$495=5)*('CONTROL MASTER'!$Z$2:$Z$495&lt;=10)*('CONTROL MASTER'!$AB$2:$AB$495&gt;=10)*('CONTROL MASTER'!$AA$2:$AA$495&lt;=9)*('CONTROL MASTER'!$AC$2:$AC$495&gt;=9))*ROW('CONTROL MASTER'!$S$2:$S$495))-(ROW('CONTROL MASTER'!#REF!)-1))),"")),"")</f>
        <v/>
      </c>
      <c r="K68" s="10" t="str">
        <f>IFERROR(IF(SUMPRODUCT((('CONTROL MASTER'!$S$2:$S$495=5)*('CONTROL MASTER'!$T$2:$T$495&lt;=10)*('CONTROL MASTER'!$V$2:$V$495&gt;=10)*('CONTROL MASTER'!$U$2:$U$495&lt;=10)*('CONTROL MASTER'!$W$2:$W$495&gt;=10))*ROW('CONTROL MASTER'!$S$2:$S$495))&gt;0,INDEX('CONTROL MASTER'!$X$2:$X$495,(SUMPRODUCT((('CONTROL MASTER'!$S$2:$S$495=5)*('CONTROL MASTER'!$T$2:$T$495&lt;=10)*('CONTROL MASTER'!$V$2:$V$495&gt;=10)*('CONTROL MASTER'!$U$2:$U$495&lt;=10)*('CONTROL MASTER'!$W$2:$W$495&gt;=10))*ROW('CONTROL MASTER'!$S$2:$S$495))-(ROW('CONTROL MASTER'!#REF!)-1)))&amp;TRIM(MID(SUBSTITUTE(SUBSTITUTE(INDEX('CONTROL MASTER'!$N$2:$N$495,(SUMPRODUCT((('CONTROL MASTER'!$S$2:$S$495=5)*('CONTROL MASTER'!$T$2:$T$495&lt;=10)*('CONTROL MASTER'!$V$2:$V$495&gt;=10)*('CONTROL MASTER'!$U$2:$U$495&lt;=10)*('CONTROL MASTER'!$W$2:$W$495&gt;=10))*ROW('CONTROL MASTER'!$S$2:$S$495))-(ROW('CONTROL MASTER'!#REF!)-1))),":",","),",",REPT(" ",50)),((((10-INDEX('CONTROL MASTER'!$T$2:$T$495,(SUMPRODUCT((('CONTROL MASTER'!$S$2:$S$495=5)*('CONTROL MASTER'!$T$2:$T$495&lt;=10)*('CONTROL MASTER'!$V$2:$V$495&gt;=10)*('CONTROL MASTER'!$U$2:$U$495&lt;=10)*('CONTROL MASTER'!$W$2:$W$495&gt;=10))*ROW('CONTROL MASTER'!$S$2:$S$495))-(ROW('CONTROL MASTER'!#REF!)-1))))*(INDEX('CONTROL MASTER'!$W$2:$W$495,(SUMPRODUCT((('CONTROL MASTER'!$S$2:$S$495=5)*('CONTROL MASTER'!$T$2:$T$495&lt;=10)*('CONTROL MASTER'!$V$2:$V$495&gt;=10)*('CONTROL MASTER'!$U$2:$U$495&lt;=10)*('CONTROL MASTER'!$W$2:$W$495&gt;=10))*ROW('CONTROL MASTER'!$S$2:$S$495))-(ROW('CONTROL MASTER'!#REF!)-1)))-INDEX('CONTROL MASTER'!$U$2:$U$495,(SUMPRODUCT((('CONTROL MASTER'!$S$2:$S$495=5)*('CONTROL MASTER'!$T$2:$T$495&lt;=10)*('CONTROL MASTER'!$V$2:$V$495&gt;=10)*('CONTROL MASTER'!$U$2:$U$495&lt;=10)*('CONTROL MASTER'!$W$2:$W$495&gt;=10))*ROW('CONTROL MASTER'!$S$2:$S$495))-(ROW('CONTROL MASTER'!#REF!)-1)))+1)+(10-INDEX('CONTROL MASTER'!$U$2:$U$495,(SUMPRODUCT((('CONTROL MASTER'!$S$2:$S$495=5)*('CONTROL MASTER'!$T$2:$T$495&lt;=10)*('CONTROL MASTER'!$V$2:$V$495&gt;=10)*('CONTROL MASTER'!$U$2:$U$495&lt;=10)*('CONTROL MASTER'!$W$2:$W$495&gt;=10))*ROW('CONTROL MASTER'!$S$2:$S$495))-(ROW('CONTROL MASTER'!#REF!)-1))))+1))-1)*50+1,50))&amp;"_"&amp;INDEX('CONTROL MASTER'!$P$2:$P$495,(SUMPRODUCT((('CONTROL MASTER'!$S$2:$S$495=5)*('CONTROL MASTER'!$T$2:$T$495&lt;=10)*('CONTROL MASTER'!$V$2:$V$495&gt;=10)*('CONTROL MASTER'!$U$2:$U$495&lt;=10)*('CONTROL MASTER'!$W$2:$W$495&gt;=10))*ROW('CONTROL MASTER'!$S$2:$S$495))-(ROW('CONTROL MASTER'!#REF!)-1))),IF(SUMPRODUCT((('CONTROL MASTER'!$S$2:$S$495=5)*('CONTROL MASTER'!$Z$2:$Z$495&lt;=10)*('CONTROL MASTER'!$AB$2:$AB$495&gt;=10)*('CONTROL MASTER'!$AA$2:$AA$495&lt;=10)*('CONTROL MASTER'!$AC$2:$AC$495&gt;=10))*ROW('CONTROL MASTER'!$S$2:$S$495))&gt;0,INDEX('CONTROL MASTER'!$X$2:$X$495,(SUMPRODUCT((('CONTROL MASTER'!$S$2:$S$495=5)*('CONTROL MASTER'!$Z$2:$Z$495&lt;=10)*('CONTROL MASTER'!$AB$2:$AB$495&gt;=10)*('CONTROL MASTER'!$AA$2:$AA$495&lt;=10)*('CONTROL MASTER'!$AC$2:$AC$495&gt;=10))*ROW('CONTROL MASTER'!$S$2:$S$495))-(ROW('CONTROL MASTER'!#REF!)-1)))&amp;TRIM(MID(SUBSTITUTE(SUBSTITUTE(INDEX('CONTROL MASTER'!$N$2:$N$495,(SUMPRODUCT((('CONTROL MASTER'!$S$2:$S$495=5)*('CONTROL MASTER'!$Z$2:$Z$495&lt;=10)*('CONTROL MASTER'!$AB$2:$AB$495&gt;=10)*('CONTROL MASTER'!$AA$2:$AA$495&lt;=10)*('CONTROL MASTER'!$AC$2:$AC$495&gt;=10))*ROW('CONTROL MASTER'!$S$2:$S$495))-(ROW('CONTROL MASTER'!#REF!)-1))),":",","),",",REPT(" ",50)),(((INDEX('CONTROL MASTER'!$Y$2:$Y$495,(SUMPRODUCT((('CONTROL MASTER'!$S$2:$S$495=5)*('CONTROL MASTER'!$Z$2:$Z$495&lt;=10)*('CONTROL MASTER'!$AB$2:$AB$495&gt;=10)*('CONTROL MASTER'!$AA$2:$AA$495&lt;=10)*('CONTROL MASTER'!$AC$2:$AC$495&gt;=10))*ROW('CONTROL MASTER'!$S$2:$S$495))-(ROW('CONTROL MASTER'!#REF!)-1)))+((10-INDEX('CONTROL MASTER'!$Z$2:$Z$495,(SUMPRODUCT((('CONTROL MASTER'!$S$2:$S$495=5)*('CONTROL MASTER'!$Z$2:$Z$495&lt;=10)*('CONTROL MASTER'!$AB$2:$AB$495&gt;=10)*('CONTROL MASTER'!$AA$2:$AA$495&lt;=10)*('CONTROL MASTER'!$AC$2:$AC$495&gt;=10))*ROW('CONTROL MASTER'!$S$2:$S$495))-(ROW('CONTROL MASTER'!#REF!)-1))))*(INDEX('CONTROL MASTER'!$AC$2:$AC$495,(SUMPRODUCT((('CONTROL MASTER'!$S$2:$S$495=5)*('CONTROL MASTER'!$Z$2:$Z$495&lt;=10)*('CONTROL MASTER'!$AB$2:$AB$495&gt;=10)*('CONTROL MASTER'!$AA$2:$AA$495&lt;=10)*('CONTROL MASTER'!$AC$2:$AC$495&gt;=10))*ROW('CONTROL MASTER'!$S$2:$S$495))-(ROW('CONTROL MASTER'!#REF!)-1)))-INDEX('CONTROL MASTER'!$AA$2:$AA$495,(SUMPRODUCT((('CONTROL MASTER'!$S$2:$S$495=5)*('CONTROL MASTER'!$Z$2:$Z$495&lt;=10)*('CONTROL MASTER'!$AB$2:$AB$495&gt;=10)*('CONTROL MASTER'!$AA$2:$AA$495&lt;=10)*('CONTROL MASTER'!$AC$2:$AC$495&gt;=10))*ROW('CONTROL MASTER'!$S$2:$S$495))-(ROW('CONTROL MASTER'!#REF!)-1)))+1)+(10-INDEX('CONTROL MASTER'!$AA$2:$AA$495,(SUMPRODUCT((('CONTROL MASTER'!$S$2:$S$495=5)*('CONTROL MASTER'!$Z$2:$Z$495&lt;=10)*('CONTROL MASTER'!$AB$2:$AB$495&gt;=10)*('CONTROL MASTER'!$AA$2:$AA$495&lt;=10)*('CONTROL MASTER'!$AC$2:$AC$495&gt;=10))*ROW('CONTROL MASTER'!$S$2:$S$495))-(ROW('CONTROL MASTER'!#REF!)-1))))+1)))-1)*50+1,50))&amp;"_"&amp;INDEX('CONTROL MASTER'!$P$2:$P$495,(SUMPRODUCT((('CONTROL MASTER'!$S$2:$S$495=5)*('CONTROL MASTER'!$Z$2:$Z$495&lt;=10)*('CONTROL MASTER'!$AB$2:$AB$495&gt;=10)*('CONTROL MASTER'!$AA$2:$AA$495&lt;=10)*('CONTROL MASTER'!$AC$2:$AC$495&gt;=10))*ROW('CONTROL MASTER'!$S$2:$S$495))-(ROW('CONTROL MASTER'!#REF!)-1))),"")),"")</f>
        <v/>
      </c>
    </row>
    <row r="71" spans="1:11" ht="15" customHeight="1" x14ac:dyDescent="0.35">
      <c r="A71" s="12" t="s">
        <v>162</v>
      </c>
      <c r="B71" s="13"/>
      <c r="C71" s="13"/>
      <c r="D71" s="13"/>
      <c r="E71" s="13"/>
      <c r="F71" s="13"/>
      <c r="G71" s="13"/>
      <c r="H71" s="13"/>
      <c r="I71" s="13"/>
      <c r="J71" s="13"/>
      <c r="K71" s="13"/>
    </row>
    <row r="72" spans="1:11" ht="15" customHeight="1" x14ac:dyDescent="0.35">
      <c r="B72" s="8">
        <v>1</v>
      </c>
      <c r="C72" s="8">
        <v>2</v>
      </c>
      <c r="D72" s="8">
        <v>3</v>
      </c>
      <c r="E72" s="8">
        <v>4</v>
      </c>
      <c r="F72" s="8">
        <v>5</v>
      </c>
      <c r="G72" s="8">
        <v>6</v>
      </c>
      <c r="H72" s="8">
        <v>7</v>
      </c>
      <c r="I72" s="8">
        <v>8</v>
      </c>
      <c r="J72" s="8">
        <v>9</v>
      </c>
      <c r="K72" s="8">
        <v>10</v>
      </c>
    </row>
    <row r="73" spans="1:11" ht="15" customHeight="1" x14ac:dyDescent="0.35">
      <c r="A73" s="8" t="s">
        <v>28</v>
      </c>
      <c r="B73" s="10" t="str">
        <f>IFERROR(IF(SUMPRODUCT((('CONTROL MASTER'!$S$2:$S$495=6)*('CONTROL MASTER'!$T$2:$T$495&lt;=1)*('CONTROL MASTER'!$V$2:$V$495&gt;=1)*('CONTROL MASTER'!$U$2:$U$495&lt;=1)*('CONTROL MASTER'!$W$2:$W$495&gt;=1))*ROW('CONTROL MASTER'!$S$2:$S$495))&gt;0,INDEX('CONTROL MASTER'!$X$2:$X$495,(SUMPRODUCT((('CONTROL MASTER'!$S$2:$S$495=6)*('CONTROL MASTER'!$T$2:$T$495&lt;=1)*('CONTROL MASTER'!$V$2:$V$495&gt;=1)*('CONTROL MASTER'!$U$2:$U$495&lt;=1)*('CONTROL MASTER'!$W$2:$W$495&gt;=1))*ROW('CONTROL MASTER'!$S$2:$S$495))-(ROW('CONTROL MASTER'!#REF!)-1)))&amp;TRIM(MID(SUBSTITUTE(SUBSTITUTE(INDEX('CONTROL MASTER'!$N$2:$N$495,(SUMPRODUCT((('CONTROL MASTER'!$S$2:$S$495=6)*('CONTROL MASTER'!$T$2:$T$495&lt;=1)*('CONTROL MASTER'!$V$2:$V$495&gt;=1)*('CONTROL MASTER'!$U$2:$U$495&lt;=1)*('CONTROL MASTER'!$W$2:$W$495&gt;=1))*ROW('CONTROL MASTER'!$S$2:$S$495))-(ROW('CONTROL MASTER'!#REF!)-1))),":",","),",",REPT(" ",50)),((((1-INDEX('CONTROL MASTER'!$T$2:$T$495,(SUMPRODUCT((('CONTROL MASTER'!$S$2:$S$495=6)*('CONTROL MASTER'!$T$2:$T$495&lt;=1)*('CONTROL MASTER'!$V$2:$V$495&gt;=1)*('CONTROL MASTER'!$U$2:$U$495&lt;=1)*('CONTROL MASTER'!$W$2:$W$495&gt;=1))*ROW('CONTROL MASTER'!$S$2:$S$495))-(ROW('CONTROL MASTER'!#REF!)-1))))*(INDEX('CONTROL MASTER'!$W$2:$W$495,(SUMPRODUCT((('CONTROL MASTER'!$S$2:$S$495=6)*('CONTROL MASTER'!$T$2:$T$495&lt;=1)*('CONTROL MASTER'!$V$2:$V$495&gt;=1)*('CONTROL MASTER'!$U$2:$U$495&lt;=1)*('CONTROL MASTER'!$W$2:$W$495&gt;=1))*ROW('CONTROL MASTER'!$S$2:$S$495))-(ROW('CONTROL MASTER'!#REF!)-1)))-INDEX('CONTROL MASTER'!$U$2:$U$495,(SUMPRODUCT((('CONTROL MASTER'!$S$2:$S$495=6)*('CONTROL MASTER'!$T$2:$T$495&lt;=1)*('CONTROL MASTER'!$V$2:$V$495&gt;=1)*('CONTROL MASTER'!$U$2:$U$495&lt;=1)*('CONTROL MASTER'!$W$2:$W$495&gt;=1))*ROW('CONTROL MASTER'!$S$2:$S$495))-(ROW('CONTROL MASTER'!#REF!)-1)))+1)+(1-INDEX('CONTROL MASTER'!$U$2:$U$495,(SUMPRODUCT((('CONTROL MASTER'!$S$2:$S$495=6)*('CONTROL MASTER'!$T$2:$T$495&lt;=1)*('CONTROL MASTER'!$V$2:$V$495&gt;=1)*('CONTROL MASTER'!$U$2:$U$495&lt;=1)*('CONTROL MASTER'!$W$2:$W$495&gt;=1))*ROW('CONTROL MASTER'!$S$2:$S$495))-(ROW('CONTROL MASTER'!#REF!)-1))))+1))-1)*50+1,50))&amp;"_"&amp;INDEX('CONTROL MASTER'!$P$2:$P$495,(SUMPRODUCT((('CONTROL MASTER'!$S$2:$S$495=6)*('CONTROL MASTER'!$T$2:$T$495&lt;=1)*('CONTROL MASTER'!$V$2:$V$495&gt;=1)*('CONTROL MASTER'!$U$2:$U$495&lt;=1)*('CONTROL MASTER'!$W$2:$W$495&gt;=1))*ROW('CONTROL MASTER'!$S$2:$S$495))-(ROW('CONTROL MASTER'!#REF!)-1))),IF(SUMPRODUCT((('CONTROL MASTER'!$S$2:$S$495=6)*('CONTROL MASTER'!$Z$2:$Z$495&lt;=1)*('CONTROL MASTER'!$AB$2:$AB$495&gt;=1)*('CONTROL MASTER'!$AA$2:$AA$495&lt;=1)*('CONTROL MASTER'!$AC$2:$AC$495&gt;=1))*ROW('CONTROL MASTER'!$S$2:$S$495))&gt;0,INDEX('CONTROL MASTER'!$X$2:$X$495,(SUMPRODUCT((('CONTROL MASTER'!$S$2:$S$495=6)*('CONTROL MASTER'!$Z$2:$Z$495&lt;=1)*('CONTROL MASTER'!$AB$2:$AB$495&gt;=1)*('CONTROL MASTER'!$AA$2:$AA$495&lt;=1)*('CONTROL MASTER'!$AC$2:$AC$495&gt;=1))*ROW('CONTROL MASTER'!$S$2:$S$495))-(ROW('CONTROL MASTER'!#REF!)-1)))&amp;TRIM(MID(SUBSTITUTE(SUBSTITUTE(INDEX('CONTROL MASTER'!$N$2:$N$495,(SUMPRODUCT((('CONTROL MASTER'!$S$2:$S$495=6)*('CONTROL MASTER'!$Z$2:$Z$495&lt;=1)*('CONTROL MASTER'!$AB$2:$AB$495&gt;=1)*('CONTROL MASTER'!$AA$2:$AA$495&lt;=1)*('CONTROL MASTER'!$AC$2:$AC$495&gt;=1))*ROW('CONTROL MASTER'!$S$2:$S$495))-(ROW('CONTROL MASTER'!#REF!)-1))),":",","),",",REPT(" ",50)),(((INDEX('CONTROL MASTER'!$Y$2:$Y$495,(SUMPRODUCT((('CONTROL MASTER'!$S$2:$S$495=6)*('CONTROL MASTER'!$Z$2:$Z$495&lt;=1)*('CONTROL MASTER'!$AB$2:$AB$495&gt;=1)*('CONTROL MASTER'!$AA$2:$AA$495&lt;=1)*('CONTROL MASTER'!$AC$2:$AC$495&gt;=1))*ROW('CONTROL MASTER'!$S$2:$S$495))-(ROW('CONTROL MASTER'!#REF!)-1)))+((1-INDEX('CONTROL MASTER'!$Z$2:$Z$495,(SUMPRODUCT((('CONTROL MASTER'!$S$2:$S$495=6)*('CONTROL MASTER'!$Z$2:$Z$495&lt;=1)*('CONTROL MASTER'!$AB$2:$AB$495&gt;=1)*('CONTROL MASTER'!$AA$2:$AA$495&lt;=1)*('CONTROL MASTER'!$AC$2:$AC$495&gt;=1))*ROW('CONTROL MASTER'!$S$2:$S$495))-(ROW('CONTROL MASTER'!#REF!)-1))))*(INDEX('CONTROL MASTER'!$AC$2:$AC$495,(SUMPRODUCT((('CONTROL MASTER'!$S$2:$S$495=6)*('CONTROL MASTER'!$Z$2:$Z$495&lt;=1)*('CONTROL MASTER'!$AB$2:$AB$495&gt;=1)*('CONTROL MASTER'!$AA$2:$AA$495&lt;=1)*('CONTROL MASTER'!$AC$2:$AC$495&gt;=1))*ROW('CONTROL MASTER'!$S$2:$S$495))-(ROW('CONTROL MASTER'!#REF!)-1)))-INDEX('CONTROL MASTER'!$AA$2:$AA$495,(SUMPRODUCT((('CONTROL MASTER'!$S$2:$S$495=6)*('CONTROL MASTER'!$Z$2:$Z$495&lt;=1)*('CONTROL MASTER'!$AB$2:$AB$495&gt;=1)*('CONTROL MASTER'!$AA$2:$AA$495&lt;=1)*('CONTROL MASTER'!$AC$2:$AC$495&gt;=1))*ROW('CONTROL MASTER'!$S$2:$S$495))-(ROW('CONTROL MASTER'!#REF!)-1)))+1)+(1-INDEX('CONTROL MASTER'!$AA$2:$AA$495,(SUMPRODUCT((('CONTROL MASTER'!$S$2:$S$495=6)*('CONTROL MASTER'!$Z$2:$Z$495&lt;=1)*('CONTROL MASTER'!$AB$2:$AB$495&gt;=1)*('CONTROL MASTER'!$AA$2:$AA$495&lt;=1)*('CONTROL MASTER'!$AC$2:$AC$495&gt;=1))*ROW('CONTROL MASTER'!$S$2:$S$495))-(ROW('CONTROL MASTER'!#REF!)-1))))+1)))-1)*50+1,50))&amp;"_"&amp;INDEX('CONTROL MASTER'!$P$2:$P$495,(SUMPRODUCT((('CONTROL MASTER'!$S$2:$S$495=6)*('CONTROL MASTER'!$Z$2:$Z$495&lt;=1)*('CONTROL MASTER'!$AB$2:$AB$495&gt;=1)*('CONTROL MASTER'!$AA$2:$AA$495&lt;=1)*('CONTROL MASTER'!$AC$2:$AC$495&gt;=1))*ROW('CONTROL MASTER'!$S$2:$S$495))-(ROW('CONTROL MASTER'!#REF!)-1))),"")),"")</f>
        <v/>
      </c>
      <c r="C73" s="10" t="str">
        <f>IFERROR(IF(SUMPRODUCT((('CONTROL MASTER'!$S$2:$S$495=6)*('CONTROL MASTER'!$T$2:$T$495&lt;=1)*('CONTROL MASTER'!$V$2:$V$495&gt;=1)*('CONTROL MASTER'!$U$2:$U$495&lt;=2)*('CONTROL MASTER'!$W$2:$W$495&gt;=2))*ROW('CONTROL MASTER'!$S$2:$S$495))&gt;0,INDEX('CONTROL MASTER'!$X$2:$X$495,(SUMPRODUCT((('CONTROL MASTER'!$S$2:$S$495=6)*('CONTROL MASTER'!$T$2:$T$495&lt;=1)*('CONTROL MASTER'!$V$2:$V$495&gt;=1)*('CONTROL MASTER'!$U$2:$U$495&lt;=2)*('CONTROL MASTER'!$W$2:$W$495&gt;=2))*ROW('CONTROL MASTER'!$S$2:$S$495))-(ROW('CONTROL MASTER'!#REF!)-1)))&amp;TRIM(MID(SUBSTITUTE(SUBSTITUTE(INDEX('CONTROL MASTER'!$N$2:$N$495,(SUMPRODUCT((('CONTROL MASTER'!$S$2:$S$495=6)*('CONTROL MASTER'!$T$2:$T$495&lt;=1)*('CONTROL MASTER'!$V$2:$V$495&gt;=1)*('CONTROL MASTER'!$U$2:$U$495&lt;=2)*('CONTROL MASTER'!$W$2:$W$495&gt;=2))*ROW('CONTROL MASTER'!$S$2:$S$495))-(ROW('CONTROL MASTER'!#REF!)-1))),":",","),",",REPT(" ",50)),((((1-INDEX('CONTROL MASTER'!$T$2:$T$495,(SUMPRODUCT((('CONTROL MASTER'!$S$2:$S$495=6)*('CONTROL MASTER'!$T$2:$T$495&lt;=1)*('CONTROL MASTER'!$V$2:$V$495&gt;=1)*('CONTROL MASTER'!$U$2:$U$495&lt;=2)*('CONTROL MASTER'!$W$2:$W$495&gt;=2))*ROW('CONTROL MASTER'!$S$2:$S$495))-(ROW('CONTROL MASTER'!#REF!)-1))))*(INDEX('CONTROL MASTER'!$W$2:$W$495,(SUMPRODUCT((('CONTROL MASTER'!$S$2:$S$495=6)*('CONTROL MASTER'!$T$2:$T$495&lt;=1)*('CONTROL MASTER'!$V$2:$V$495&gt;=1)*('CONTROL MASTER'!$U$2:$U$495&lt;=2)*('CONTROL MASTER'!$W$2:$W$495&gt;=2))*ROW('CONTROL MASTER'!$S$2:$S$495))-(ROW('CONTROL MASTER'!#REF!)-1)))-INDEX('CONTROL MASTER'!$U$2:$U$495,(SUMPRODUCT((('CONTROL MASTER'!$S$2:$S$495=6)*('CONTROL MASTER'!$T$2:$T$495&lt;=1)*('CONTROL MASTER'!$V$2:$V$495&gt;=1)*('CONTROL MASTER'!$U$2:$U$495&lt;=2)*('CONTROL MASTER'!$W$2:$W$495&gt;=2))*ROW('CONTROL MASTER'!$S$2:$S$495))-(ROW('CONTROL MASTER'!#REF!)-1)))+1)+(2-INDEX('CONTROL MASTER'!$U$2:$U$495,(SUMPRODUCT((('CONTROL MASTER'!$S$2:$S$495=6)*('CONTROL MASTER'!$T$2:$T$495&lt;=1)*('CONTROL MASTER'!$V$2:$V$495&gt;=1)*('CONTROL MASTER'!$U$2:$U$495&lt;=2)*('CONTROL MASTER'!$W$2:$W$495&gt;=2))*ROW('CONTROL MASTER'!$S$2:$S$495))-(ROW('CONTROL MASTER'!#REF!)-1))))+1))-1)*50+1,50))&amp;"_"&amp;INDEX('CONTROL MASTER'!$P$2:$P$495,(SUMPRODUCT((('CONTROL MASTER'!$S$2:$S$495=6)*('CONTROL MASTER'!$T$2:$T$495&lt;=1)*('CONTROL MASTER'!$V$2:$V$495&gt;=1)*('CONTROL MASTER'!$U$2:$U$495&lt;=2)*('CONTROL MASTER'!$W$2:$W$495&gt;=2))*ROW('CONTROL MASTER'!$S$2:$S$495))-(ROW('CONTROL MASTER'!#REF!)-1))),IF(SUMPRODUCT((('CONTROL MASTER'!$S$2:$S$495=6)*('CONTROL MASTER'!$Z$2:$Z$495&lt;=1)*('CONTROL MASTER'!$AB$2:$AB$495&gt;=1)*('CONTROL MASTER'!$AA$2:$AA$495&lt;=2)*('CONTROL MASTER'!$AC$2:$AC$495&gt;=2))*ROW('CONTROL MASTER'!$S$2:$S$495))&gt;0,INDEX('CONTROL MASTER'!$X$2:$X$495,(SUMPRODUCT((('CONTROL MASTER'!$S$2:$S$495=6)*('CONTROL MASTER'!$Z$2:$Z$495&lt;=1)*('CONTROL MASTER'!$AB$2:$AB$495&gt;=1)*('CONTROL MASTER'!$AA$2:$AA$495&lt;=2)*('CONTROL MASTER'!$AC$2:$AC$495&gt;=2))*ROW('CONTROL MASTER'!$S$2:$S$495))-(ROW('CONTROL MASTER'!#REF!)-1)))&amp;TRIM(MID(SUBSTITUTE(SUBSTITUTE(INDEX('CONTROL MASTER'!$N$2:$N$495,(SUMPRODUCT((('CONTROL MASTER'!$S$2:$S$495=6)*('CONTROL MASTER'!$Z$2:$Z$495&lt;=1)*('CONTROL MASTER'!$AB$2:$AB$495&gt;=1)*('CONTROL MASTER'!$AA$2:$AA$495&lt;=2)*('CONTROL MASTER'!$AC$2:$AC$495&gt;=2))*ROW('CONTROL MASTER'!$S$2:$S$495))-(ROW('CONTROL MASTER'!#REF!)-1))),":",","),",",REPT(" ",50)),(((INDEX('CONTROL MASTER'!$Y$2:$Y$495,(SUMPRODUCT((('CONTROL MASTER'!$S$2:$S$495=6)*('CONTROL MASTER'!$Z$2:$Z$495&lt;=1)*('CONTROL MASTER'!$AB$2:$AB$495&gt;=1)*('CONTROL MASTER'!$AA$2:$AA$495&lt;=2)*('CONTROL MASTER'!$AC$2:$AC$495&gt;=2))*ROW('CONTROL MASTER'!$S$2:$S$495))-(ROW('CONTROL MASTER'!#REF!)-1)))+((1-INDEX('CONTROL MASTER'!$Z$2:$Z$495,(SUMPRODUCT((('CONTROL MASTER'!$S$2:$S$495=6)*('CONTROL MASTER'!$Z$2:$Z$495&lt;=1)*('CONTROL MASTER'!$AB$2:$AB$495&gt;=1)*('CONTROL MASTER'!$AA$2:$AA$495&lt;=2)*('CONTROL MASTER'!$AC$2:$AC$495&gt;=2))*ROW('CONTROL MASTER'!$S$2:$S$495))-(ROW('CONTROL MASTER'!#REF!)-1))))*(INDEX('CONTROL MASTER'!$AC$2:$AC$495,(SUMPRODUCT((('CONTROL MASTER'!$S$2:$S$495=6)*('CONTROL MASTER'!$Z$2:$Z$495&lt;=1)*('CONTROL MASTER'!$AB$2:$AB$495&gt;=1)*('CONTROL MASTER'!$AA$2:$AA$495&lt;=2)*('CONTROL MASTER'!$AC$2:$AC$495&gt;=2))*ROW('CONTROL MASTER'!$S$2:$S$495))-(ROW('CONTROL MASTER'!#REF!)-1)))-INDEX('CONTROL MASTER'!$AA$2:$AA$495,(SUMPRODUCT((('CONTROL MASTER'!$S$2:$S$495=6)*('CONTROL MASTER'!$Z$2:$Z$495&lt;=1)*('CONTROL MASTER'!$AB$2:$AB$495&gt;=1)*('CONTROL MASTER'!$AA$2:$AA$495&lt;=2)*('CONTROL MASTER'!$AC$2:$AC$495&gt;=2))*ROW('CONTROL MASTER'!$S$2:$S$495))-(ROW('CONTROL MASTER'!#REF!)-1)))+1)+(2-INDEX('CONTROL MASTER'!$AA$2:$AA$495,(SUMPRODUCT((('CONTROL MASTER'!$S$2:$S$495=6)*('CONTROL MASTER'!$Z$2:$Z$495&lt;=1)*('CONTROL MASTER'!$AB$2:$AB$495&gt;=1)*('CONTROL MASTER'!$AA$2:$AA$495&lt;=2)*('CONTROL MASTER'!$AC$2:$AC$495&gt;=2))*ROW('CONTROL MASTER'!$S$2:$S$495))-(ROW('CONTROL MASTER'!#REF!)-1))))+1)))-1)*50+1,50))&amp;"_"&amp;INDEX('CONTROL MASTER'!$P$2:$P$495,(SUMPRODUCT((('CONTROL MASTER'!$S$2:$S$495=6)*('CONTROL MASTER'!$Z$2:$Z$495&lt;=1)*('CONTROL MASTER'!$AB$2:$AB$495&gt;=1)*('CONTROL MASTER'!$AA$2:$AA$495&lt;=2)*('CONTROL MASTER'!$AC$2:$AC$495&gt;=2))*ROW('CONTROL MASTER'!$S$2:$S$495))-(ROW('CONTROL MASTER'!#REF!)-1))),"")),"")</f>
        <v/>
      </c>
      <c r="D73" s="10" t="str">
        <f>IFERROR(IF(SUMPRODUCT((('CONTROL MASTER'!$S$2:$S$495=6)*('CONTROL MASTER'!$T$2:$T$495&lt;=1)*('CONTROL MASTER'!$V$2:$V$495&gt;=1)*('CONTROL MASTER'!$U$2:$U$495&lt;=3)*('CONTROL MASTER'!$W$2:$W$495&gt;=3))*ROW('CONTROL MASTER'!$S$2:$S$495))&gt;0,INDEX('CONTROL MASTER'!$X$2:$X$495,(SUMPRODUCT((('CONTROL MASTER'!$S$2:$S$495=6)*('CONTROL MASTER'!$T$2:$T$495&lt;=1)*('CONTROL MASTER'!$V$2:$V$495&gt;=1)*('CONTROL MASTER'!$U$2:$U$495&lt;=3)*('CONTROL MASTER'!$W$2:$W$495&gt;=3))*ROW('CONTROL MASTER'!$S$2:$S$495))-(ROW('CONTROL MASTER'!#REF!)-1)))&amp;TRIM(MID(SUBSTITUTE(SUBSTITUTE(INDEX('CONTROL MASTER'!$N$2:$N$495,(SUMPRODUCT((('CONTROL MASTER'!$S$2:$S$495=6)*('CONTROL MASTER'!$T$2:$T$495&lt;=1)*('CONTROL MASTER'!$V$2:$V$495&gt;=1)*('CONTROL MASTER'!$U$2:$U$495&lt;=3)*('CONTROL MASTER'!$W$2:$W$495&gt;=3))*ROW('CONTROL MASTER'!$S$2:$S$495))-(ROW('CONTROL MASTER'!#REF!)-1))),":",","),",",REPT(" ",50)),((((1-INDEX('CONTROL MASTER'!$T$2:$T$495,(SUMPRODUCT((('CONTROL MASTER'!$S$2:$S$495=6)*('CONTROL MASTER'!$T$2:$T$495&lt;=1)*('CONTROL MASTER'!$V$2:$V$495&gt;=1)*('CONTROL MASTER'!$U$2:$U$495&lt;=3)*('CONTROL MASTER'!$W$2:$W$495&gt;=3))*ROW('CONTROL MASTER'!$S$2:$S$495))-(ROW('CONTROL MASTER'!#REF!)-1))))*(INDEX('CONTROL MASTER'!$W$2:$W$495,(SUMPRODUCT((('CONTROL MASTER'!$S$2:$S$495=6)*('CONTROL MASTER'!$T$2:$T$495&lt;=1)*('CONTROL MASTER'!$V$2:$V$495&gt;=1)*('CONTROL MASTER'!$U$2:$U$495&lt;=3)*('CONTROL MASTER'!$W$2:$W$495&gt;=3))*ROW('CONTROL MASTER'!$S$2:$S$495))-(ROW('CONTROL MASTER'!#REF!)-1)))-INDEX('CONTROL MASTER'!$U$2:$U$495,(SUMPRODUCT((('CONTROL MASTER'!$S$2:$S$495=6)*('CONTROL MASTER'!$T$2:$T$495&lt;=1)*('CONTROL MASTER'!$V$2:$V$495&gt;=1)*('CONTROL MASTER'!$U$2:$U$495&lt;=3)*('CONTROL MASTER'!$W$2:$W$495&gt;=3))*ROW('CONTROL MASTER'!$S$2:$S$495))-(ROW('CONTROL MASTER'!#REF!)-1)))+1)+(3-INDEX('CONTROL MASTER'!$U$2:$U$495,(SUMPRODUCT((('CONTROL MASTER'!$S$2:$S$495=6)*('CONTROL MASTER'!$T$2:$T$495&lt;=1)*('CONTROL MASTER'!$V$2:$V$495&gt;=1)*('CONTROL MASTER'!$U$2:$U$495&lt;=3)*('CONTROL MASTER'!$W$2:$W$495&gt;=3))*ROW('CONTROL MASTER'!$S$2:$S$495))-(ROW('CONTROL MASTER'!#REF!)-1))))+1))-1)*50+1,50))&amp;"_"&amp;INDEX('CONTROL MASTER'!$P$2:$P$495,(SUMPRODUCT((('CONTROL MASTER'!$S$2:$S$495=6)*('CONTROL MASTER'!$T$2:$T$495&lt;=1)*('CONTROL MASTER'!$V$2:$V$495&gt;=1)*('CONTROL MASTER'!$U$2:$U$495&lt;=3)*('CONTROL MASTER'!$W$2:$W$495&gt;=3))*ROW('CONTROL MASTER'!$S$2:$S$495))-(ROW('CONTROL MASTER'!#REF!)-1))),IF(SUMPRODUCT((('CONTROL MASTER'!$S$2:$S$495=6)*('CONTROL MASTER'!$Z$2:$Z$495&lt;=1)*('CONTROL MASTER'!$AB$2:$AB$495&gt;=1)*('CONTROL MASTER'!$AA$2:$AA$495&lt;=3)*('CONTROL MASTER'!$AC$2:$AC$495&gt;=3))*ROW('CONTROL MASTER'!$S$2:$S$495))&gt;0,INDEX('CONTROL MASTER'!$X$2:$X$495,(SUMPRODUCT((('CONTROL MASTER'!$S$2:$S$495=6)*('CONTROL MASTER'!$Z$2:$Z$495&lt;=1)*('CONTROL MASTER'!$AB$2:$AB$495&gt;=1)*('CONTROL MASTER'!$AA$2:$AA$495&lt;=3)*('CONTROL MASTER'!$AC$2:$AC$495&gt;=3))*ROW('CONTROL MASTER'!$S$2:$S$495))-(ROW('CONTROL MASTER'!#REF!)-1)))&amp;TRIM(MID(SUBSTITUTE(SUBSTITUTE(INDEX('CONTROL MASTER'!$N$2:$N$495,(SUMPRODUCT((('CONTROL MASTER'!$S$2:$S$495=6)*('CONTROL MASTER'!$Z$2:$Z$495&lt;=1)*('CONTROL MASTER'!$AB$2:$AB$495&gt;=1)*('CONTROL MASTER'!$AA$2:$AA$495&lt;=3)*('CONTROL MASTER'!$AC$2:$AC$495&gt;=3))*ROW('CONTROL MASTER'!$S$2:$S$495))-(ROW('CONTROL MASTER'!#REF!)-1))),":",","),",",REPT(" ",50)),(((INDEX('CONTROL MASTER'!$Y$2:$Y$495,(SUMPRODUCT((('CONTROL MASTER'!$S$2:$S$495=6)*('CONTROL MASTER'!$Z$2:$Z$495&lt;=1)*('CONTROL MASTER'!$AB$2:$AB$495&gt;=1)*('CONTROL MASTER'!$AA$2:$AA$495&lt;=3)*('CONTROL MASTER'!$AC$2:$AC$495&gt;=3))*ROW('CONTROL MASTER'!$S$2:$S$495))-(ROW('CONTROL MASTER'!#REF!)-1)))+((1-INDEX('CONTROL MASTER'!$Z$2:$Z$495,(SUMPRODUCT((('CONTROL MASTER'!$S$2:$S$495=6)*('CONTROL MASTER'!$Z$2:$Z$495&lt;=1)*('CONTROL MASTER'!$AB$2:$AB$495&gt;=1)*('CONTROL MASTER'!$AA$2:$AA$495&lt;=3)*('CONTROL MASTER'!$AC$2:$AC$495&gt;=3))*ROW('CONTROL MASTER'!$S$2:$S$495))-(ROW('CONTROL MASTER'!#REF!)-1))))*(INDEX('CONTROL MASTER'!$AC$2:$AC$495,(SUMPRODUCT((('CONTROL MASTER'!$S$2:$S$495=6)*('CONTROL MASTER'!$Z$2:$Z$495&lt;=1)*('CONTROL MASTER'!$AB$2:$AB$495&gt;=1)*('CONTROL MASTER'!$AA$2:$AA$495&lt;=3)*('CONTROL MASTER'!$AC$2:$AC$495&gt;=3))*ROW('CONTROL MASTER'!$S$2:$S$495))-(ROW('CONTROL MASTER'!#REF!)-1)))-INDEX('CONTROL MASTER'!$AA$2:$AA$495,(SUMPRODUCT((('CONTROL MASTER'!$S$2:$S$495=6)*('CONTROL MASTER'!$Z$2:$Z$495&lt;=1)*('CONTROL MASTER'!$AB$2:$AB$495&gt;=1)*('CONTROL MASTER'!$AA$2:$AA$495&lt;=3)*('CONTROL MASTER'!$AC$2:$AC$495&gt;=3))*ROW('CONTROL MASTER'!$S$2:$S$495))-(ROW('CONTROL MASTER'!#REF!)-1)))+1)+(3-INDEX('CONTROL MASTER'!$AA$2:$AA$495,(SUMPRODUCT((('CONTROL MASTER'!$S$2:$S$495=6)*('CONTROL MASTER'!$Z$2:$Z$495&lt;=1)*('CONTROL MASTER'!$AB$2:$AB$495&gt;=1)*('CONTROL MASTER'!$AA$2:$AA$495&lt;=3)*('CONTROL MASTER'!$AC$2:$AC$495&gt;=3))*ROW('CONTROL MASTER'!$S$2:$S$495))-(ROW('CONTROL MASTER'!#REF!)-1))))+1)))-1)*50+1,50))&amp;"_"&amp;INDEX('CONTROL MASTER'!$P$2:$P$495,(SUMPRODUCT((('CONTROL MASTER'!$S$2:$S$495=6)*('CONTROL MASTER'!$Z$2:$Z$495&lt;=1)*('CONTROL MASTER'!$AB$2:$AB$495&gt;=1)*('CONTROL MASTER'!$AA$2:$AA$495&lt;=3)*('CONTROL MASTER'!$AC$2:$AC$495&gt;=3))*ROW('CONTROL MASTER'!$S$2:$S$495))-(ROW('CONTROL MASTER'!#REF!)-1))),"")),"")</f>
        <v/>
      </c>
      <c r="E73" s="10" t="str">
        <f>IFERROR(IF(SUMPRODUCT((('CONTROL MASTER'!$S$2:$S$495=6)*('CONTROL MASTER'!$T$2:$T$495&lt;=1)*('CONTROL MASTER'!$V$2:$V$495&gt;=1)*('CONTROL MASTER'!$U$2:$U$495&lt;=4)*('CONTROL MASTER'!$W$2:$W$495&gt;=4))*ROW('CONTROL MASTER'!$S$2:$S$495))&gt;0,INDEX('CONTROL MASTER'!$X$2:$X$495,(SUMPRODUCT((('CONTROL MASTER'!$S$2:$S$495=6)*('CONTROL MASTER'!$T$2:$T$495&lt;=1)*('CONTROL MASTER'!$V$2:$V$495&gt;=1)*('CONTROL MASTER'!$U$2:$U$495&lt;=4)*('CONTROL MASTER'!$W$2:$W$495&gt;=4))*ROW('CONTROL MASTER'!$S$2:$S$495))-(ROW('CONTROL MASTER'!#REF!)-1)))&amp;TRIM(MID(SUBSTITUTE(SUBSTITUTE(INDEX('CONTROL MASTER'!$N$2:$N$495,(SUMPRODUCT((('CONTROL MASTER'!$S$2:$S$495=6)*('CONTROL MASTER'!$T$2:$T$495&lt;=1)*('CONTROL MASTER'!$V$2:$V$495&gt;=1)*('CONTROL MASTER'!$U$2:$U$495&lt;=4)*('CONTROL MASTER'!$W$2:$W$495&gt;=4))*ROW('CONTROL MASTER'!$S$2:$S$495))-(ROW('CONTROL MASTER'!#REF!)-1))),":",","),",",REPT(" ",50)),((((1-INDEX('CONTROL MASTER'!$T$2:$T$495,(SUMPRODUCT((('CONTROL MASTER'!$S$2:$S$495=6)*('CONTROL MASTER'!$T$2:$T$495&lt;=1)*('CONTROL MASTER'!$V$2:$V$495&gt;=1)*('CONTROL MASTER'!$U$2:$U$495&lt;=4)*('CONTROL MASTER'!$W$2:$W$495&gt;=4))*ROW('CONTROL MASTER'!$S$2:$S$495))-(ROW('CONTROL MASTER'!#REF!)-1))))*(INDEX('CONTROL MASTER'!$W$2:$W$495,(SUMPRODUCT((('CONTROL MASTER'!$S$2:$S$495=6)*('CONTROL MASTER'!$T$2:$T$495&lt;=1)*('CONTROL MASTER'!$V$2:$V$495&gt;=1)*('CONTROL MASTER'!$U$2:$U$495&lt;=4)*('CONTROL MASTER'!$W$2:$W$495&gt;=4))*ROW('CONTROL MASTER'!$S$2:$S$495))-(ROW('CONTROL MASTER'!#REF!)-1)))-INDEX('CONTROL MASTER'!$U$2:$U$495,(SUMPRODUCT((('CONTROL MASTER'!$S$2:$S$495=6)*('CONTROL MASTER'!$T$2:$T$495&lt;=1)*('CONTROL MASTER'!$V$2:$V$495&gt;=1)*('CONTROL MASTER'!$U$2:$U$495&lt;=4)*('CONTROL MASTER'!$W$2:$W$495&gt;=4))*ROW('CONTROL MASTER'!$S$2:$S$495))-(ROW('CONTROL MASTER'!#REF!)-1)))+1)+(4-INDEX('CONTROL MASTER'!$U$2:$U$495,(SUMPRODUCT((('CONTROL MASTER'!$S$2:$S$495=6)*('CONTROL MASTER'!$T$2:$T$495&lt;=1)*('CONTROL MASTER'!$V$2:$V$495&gt;=1)*('CONTROL MASTER'!$U$2:$U$495&lt;=4)*('CONTROL MASTER'!$W$2:$W$495&gt;=4))*ROW('CONTROL MASTER'!$S$2:$S$495))-(ROW('CONTROL MASTER'!#REF!)-1))))+1))-1)*50+1,50))&amp;"_"&amp;INDEX('CONTROL MASTER'!$P$2:$P$495,(SUMPRODUCT((('CONTROL MASTER'!$S$2:$S$495=6)*('CONTROL MASTER'!$T$2:$T$495&lt;=1)*('CONTROL MASTER'!$V$2:$V$495&gt;=1)*('CONTROL MASTER'!$U$2:$U$495&lt;=4)*('CONTROL MASTER'!$W$2:$W$495&gt;=4))*ROW('CONTROL MASTER'!$S$2:$S$495))-(ROW('CONTROL MASTER'!#REF!)-1))),IF(SUMPRODUCT((('CONTROL MASTER'!$S$2:$S$495=6)*('CONTROL MASTER'!$Z$2:$Z$495&lt;=1)*('CONTROL MASTER'!$AB$2:$AB$495&gt;=1)*('CONTROL MASTER'!$AA$2:$AA$495&lt;=4)*('CONTROL MASTER'!$AC$2:$AC$495&gt;=4))*ROW('CONTROL MASTER'!$S$2:$S$495))&gt;0,INDEX('CONTROL MASTER'!$X$2:$X$495,(SUMPRODUCT((('CONTROL MASTER'!$S$2:$S$495=6)*('CONTROL MASTER'!$Z$2:$Z$495&lt;=1)*('CONTROL MASTER'!$AB$2:$AB$495&gt;=1)*('CONTROL MASTER'!$AA$2:$AA$495&lt;=4)*('CONTROL MASTER'!$AC$2:$AC$495&gt;=4))*ROW('CONTROL MASTER'!$S$2:$S$495))-(ROW('CONTROL MASTER'!#REF!)-1)))&amp;TRIM(MID(SUBSTITUTE(SUBSTITUTE(INDEX('CONTROL MASTER'!$N$2:$N$495,(SUMPRODUCT((('CONTROL MASTER'!$S$2:$S$495=6)*('CONTROL MASTER'!$Z$2:$Z$495&lt;=1)*('CONTROL MASTER'!$AB$2:$AB$495&gt;=1)*('CONTROL MASTER'!$AA$2:$AA$495&lt;=4)*('CONTROL MASTER'!$AC$2:$AC$495&gt;=4))*ROW('CONTROL MASTER'!$S$2:$S$495))-(ROW('CONTROL MASTER'!#REF!)-1))),":",","),",",REPT(" ",50)),(((INDEX('CONTROL MASTER'!$Y$2:$Y$495,(SUMPRODUCT((('CONTROL MASTER'!$S$2:$S$495=6)*('CONTROL MASTER'!$Z$2:$Z$495&lt;=1)*('CONTROL MASTER'!$AB$2:$AB$495&gt;=1)*('CONTROL MASTER'!$AA$2:$AA$495&lt;=4)*('CONTROL MASTER'!$AC$2:$AC$495&gt;=4))*ROW('CONTROL MASTER'!$S$2:$S$495))-(ROW('CONTROL MASTER'!#REF!)-1)))+((1-INDEX('CONTROL MASTER'!$Z$2:$Z$495,(SUMPRODUCT((('CONTROL MASTER'!$S$2:$S$495=6)*('CONTROL MASTER'!$Z$2:$Z$495&lt;=1)*('CONTROL MASTER'!$AB$2:$AB$495&gt;=1)*('CONTROL MASTER'!$AA$2:$AA$495&lt;=4)*('CONTROL MASTER'!$AC$2:$AC$495&gt;=4))*ROW('CONTROL MASTER'!$S$2:$S$495))-(ROW('CONTROL MASTER'!#REF!)-1))))*(INDEX('CONTROL MASTER'!$AC$2:$AC$495,(SUMPRODUCT((('CONTROL MASTER'!$S$2:$S$495=6)*('CONTROL MASTER'!$Z$2:$Z$495&lt;=1)*('CONTROL MASTER'!$AB$2:$AB$495&gt;=1)*('CONTROL MASTER'!$AA$2:$AA$495&lt;=4)*('CONTROL MASTER'!$AC$2:$AC$495&gt;=4))*ROW('CONTROL MASTER'!$S$2:$S$495))-(ROW('CONTROL MASTER'!#REF!)-1)))-INDEX('CONTROL MASTER'!$AA$2:$AA$495,(SUMPRODUCT((('CONTROL MASTER'!$S$2:$S$495=6)*('CONTROL MASTER'!$Z$2:$Z$495&lt;=1)*('CONTROL MASTER'!$AB$2:$AB$495&gt;=1)*('CONTROL MASTER'!$AA$2:$AA$495&lt;=4)*('CONTROL MASTER'!$AC$2:$AC$495&gt;=4))*ROW('CONTROL MASTER'!$S$2:$S$495))-(ROW('CONTROL MASTER'!#REF!)-1)))+1)+(4-INDEX('CONTROL MASTER'!$AA$2:$AA$495,(SUMPRODUCT((('CONTROL MASTER'!$S$2:$S$495=6)*('CONTROL MASTER'!$Z$2:$Z$495&lt;=1)*('CONTROL MASTER'!$AB$2:$AB$495&gt;=1)*('CONTROL MASTER'!$AA$2:$AA$495&lt;=4)*('CONTROL MASTER'!$AC$2:$AC$495&gt;=4))*ROW('CONTROL MASTER'!$S$2:$S$495))-(ROW('CONTROL MASTER'!#REF!)-1))))+1)))-1)*50+1,50))&amp;"_"&amp;INDEX('CONTROL MASTER'!$P$2:$P$495,(SUMPRODUCT((('CONTROL MASTER'!$S$2:$S$495=6)*('CONTROL MASTER'!$Z$2:$Z$495&lt;=1)*('CONTROL MASTER'!$AB$2:$AB$495&gt;=1)*('CONTROL MASTER'!$AA$2:$AA$495&lt;=4)*('CONTROL MASTER'!$AC$2:$AC$495&gt;=4))*ROW('CONTROL MASTER'!$S$2:$S$495))-(ROW('CONTROL MASTER'!#REF!)-1))),"")),"")</f>
        <v/>
      </c>
      <c r="F73" s="10" t="str">
        <f>IFERROR(IF(SUMPRODUCT((('CONTROL MASTER'!$S$2:$S$495=6)*('CONTROL MASTER'!$T$2:$T$495&lt;=1)*('CONTROL MASTER'!$V$2:$V$495&gt;=1)*('CONTROL MASTER'!$U$2:$U$495&lt;=5)*('CONTROL MASTER'!$W$2:$W$495&gt;=5))*ROW('CONTROL MASTER'!$S$2:$S$495))&gt;0,INDEX('CONTROL MASTER'!$X$2:$X$495,(SUMPRODUCT((('CONTROL MASTER'!$S$2:$S$495=6)*('CONTROL MASTER'!$T$2:$T$495&lt;=1)*('CONTROL MASTER'!$V$2:$V$495&gt;=1)*('CONTROL MASTER'!$U$2:$U$495&lt;=5)*('CONTROL MASTER'!$W$2:$W$495&gt;=5))*ROW('CONTROL MASTER'!$S$2:$S$495))-(ROW('CONTROL MASTER'!#REF!)-1)))&amp;TRIM(MID(SUBSTITUTE(SUBSTITUTE(INDEX('CONTROL MASTER'!$N$2:$N$495,(SUMPRODUCT((('CONTROL MASTER'!$S$2:$S$495=6)*('CONTROL MASTER'!$T$2:$T$495&lt;=1)*('CONTROL MASTER'!$V$2:$V$495&gt;=1)*('CONTROL MASTER'!$U$2:$U$495&lt;=5)*('CONTROL MASTER'!$W$2:$W$495&gt;=5))*ROW('CONTROL MASTER'!$S$2:$S$495))-(ROW('CONTROL MASTER'!#REF!)-1))),":",","),",",REPT(" ",50)),((((1-INDEX('CONTROL MASTER'!$T$2:$T$495,(SUMPRODUCT((('CONTROL MASTER'!$S$2:$S$495=6)*('CONTROL MASTER'!$T$2:$T$495&lt;=1)*('CONTROL MASTER'!$V$2:$V$495&gt;=1)*('CONTROL MASTER'!$U$2:$U$495&lt;=5)*('CONTROL MASTER'!$W$2:$W$495&gt;=5))*ROW('CONTROL MASTER'!$S$2:$S$495))-(ROW('CONTROL MASTER'!#REF!)-1))))*(INDEX('CONTROL MASTER'!$W$2:$W$495,(SUMPRODUCT((('CONTROL MASTER'!$S$2:$S$495=6)*('CONTROL MASTER'!$T$2:$T$495&lt;=1)*('CONTROL MASTER'!$V$2:$V$495&gt;=1)*('CONTROL MASTER'!$U$2:$U$495&lt;=5)*('CONTROL MASTER'!$W$2:$W$495&gt;=5))*ROW('CONTROL MASTER'!$S$2:$S$495))-(ROW('CONTROL MASTER'!#REF!)-1)))-INDEX('CONTROL MASTER'!$U$2:$U$495,(SUMPRODUCT((('CONTROL MASTER'!$S$2:$S$495=6)*('CONTROL MASTER'!$T$2:$T$495&lt;=1)*('CONTROL MASTER'!$V$2:$V$495&gt;=1)*('CONTROL MASTER'!$U$2:$U$495&lt;=5)*('CONTROL MASTER'!$W$2:$W$495&gt;=5))*ROW('CONTROL MASTER'!$S$2:$S$495))-(ROW('CONTROL MASTER'!#REF!)-1)))+1)+(5-INDEX('CONTROL MASTER'!$U$2:$U$495,(SUMPRODUCT((('CONTROL MASTER'!$S$2:$S$495=6)*('CONTROL MASTER'!$T$2:$T$495&lt;=1)*('CONTROL MASTER'!$V$2:$V$495&gt;=1)*('CONTROL MASTER'!$U$2:$U$495&lt;=5)*('CONTROL MASTER'!$W$2:$W$495&gt;=5))*ROW('CONTROL MASTER'!$S$2:$S$495))-(ROW('CONTROL MASTER'!#REF!)-1))))+1))-1)*50+1,50))&amp;"_"&amp;INDEX('CONTROL MASTER'!$P$2:$P$495,(SUMPRODUCT((('CONTROL MASTER'!$S$2:$S$495=6)*('CONTROL MASTER'!$T$2:$T$495&lt;=1)*('CONTROL MASTER'!$V$2:$V$495&gt;=1)*('CONTROL MASTER'!$U$2:$U$495&lt;=5)*('CONTROL MASTER'!$W$2:$W$495&gt;=5))*ROW('CONTROL MASTER'!$S$2:$S$495))-(ROW('CONTROL MASTER'!#REF!)-1))),IF(SUMPRODUCT((('CONTROL MASTER'!$S$2:$S$495=6)*('CONTROL MASTER'!$Z$2:$Z$495&lt;=1)*('CONTROL MASTER'!$AB$2:$AB$495&gt;=1)*('CONTROL MASTER'!$AA$2:$AA$495&lt;=5)*('CONTROL MASTER'!$AC$2:$AC$495&gt;=5))*ROW('CONTROL MASTER'!$S$2:$S$495))&gt;0,INDEX('CONTROL MASTER'!$X$2:$X$495,(SUMPRODUCT((('CONTROL MASTER'!$S$2:$S$495=6)*('CONTROL MASTER'!$Z$2:$Z$495&lt;=1)*('CONTROL MASTER'!$AB$2:$AB$495&gt;=1)*('CONTROL MASTER'!$AA$2:$AA$495&lt;=5)*('CONTROL MASTER'!$AC$2:$AC$495&gt;=5))*ROW('CONTROL MASTER'!$S$2:$S$495))-(ROW('CONTROL MASTER'!#REF!)-1)))&amp;TRIM(MID(SUBSTITUTE(SUBSTITUTE(INDEX('CONTROL MASTER'!$N$2:$N$495,(SUMPRODUCT((('CONTROL MASTER'!$S$2:$S$495=6)*('CONTROL MASTER'!$Z$2:$Z$495&lt;=1)*('CONTROL MASTER'!$AB$2:$AB$495&gt;=1)*('CONTROL MASTER'!$AA$2:$AA$495&lt;=5)*('CONTROL MASTER'!$AC$2:$AC$495&gt;=5))*ROW('CONTROL MASTER'!$S$2:$S$495))-(ROW('CONTROL MASTER'!#REF!)-1))),":",","),",",REPT(" ",50)),(((INDEX('CONTROL MASTER'!$Y$2:$Y$495,(SUMPRODUCT((('CONTROL MASTER'!$S$2:$S$495=6)*('CONTROL MASTER'!$Z$2:$Z$495&lt;=1)*('CONTROL MASTER'!$AB$2:$AB$495&gt;=1)*('CONTROL MASTER'!$AA$2:$AA$495&lt;=5)*('CONTROL MASTER'!$AC$2:$AC$495&gt;=5))*ROW('CONTROL MASTER'!$S$2:$S$495))-(ROW('CONTROL MASTER'!#REF!)-1)))+((1-INDEX('CONTROL MASTER'!$Z$2:$Z$495,(SUMPRODUCT((('CONTROL MASTER'!$S$2:$S$495=6)*('CONTROL MASTER'!$Z$2:$Z$495&lt;=1)*('CONTROL MASTER'!$AB$2:$AB$495&gt;=1)*('CONTROL MASTER'!$AA$2:$AA$495&lt;=5)*('CONTROL MASTER'!$AC$2:$AC$495&gt;=5))*ROW('CONTROL MASTER'!$S$2:$S$495))-(ROW('CONTROL MASTER'!#REF!)-1))))*(INDEX('CONTROL MASTER'!$AC$2:$AC$495,(SUMPRODUCT((('CONTROL MASTER'!$S$2:$S$495=6)*('CONTROL MASTER'!$Z$2:$Z$495&lt;=1)*('CONTROL MASTER'!$AB$2:$AB$495&gt;=1)*('CONTROL MASTER'!$AA$2:$AA$495&lt;=5)*('CONTROL MASTER'!$AC$2:$AC$495&gt;=5))*ROW('CONTROL MASTER'!$S$2:$S$495))-(ROW('CONTROL MASTER'!#REF!)-1)))-INDEX('CONTROL MASTER'!$AA$2:$AA$495,(SUMPRODUCT((('CONTROL MASTER'!$S$2:$S$495=6)*('CONTROL MASTER'!$Z$2:$Z$495&lt;=1)*('CONTROL MASTER'!$AB$2:$AB$495&gt;=1)*('CONTROL MASTER'!$AA$2:$AA$495&lt;=5)*('CONTROL MASTER'!$AC$2:$AC$495&gt;=5))*ROW('CONTROL MASTER'!$S$2:$S$495))-(ROW('CONTROL MASTER'!#REF!)-1)))+1)+(5-INDEX('CONTROL MASTER'!$AA$2:$AA$495,(SUMPRODUCT((('CONTROL MASTER'!$S$2:$S$495=6)*('CONTROL MASTER'!$Z$2:$Z$495&lt;=1)*('CONTROL MASTER'!$AB$2:$AB$495&gt;=1)*('CONTROL MASTER'!$AA$2:$AA$495&lt;=5)*('CONTROL MASTER'!$AC$2:$AC$495&gt;=5))*ROW('CONTROL MASTER'!$S$2:$S$495))-(ROW('CONTROL MASTER'!#REF!)-1))))+1)))-1)*50+1,50))&amp;"_"&amp;INDEX('CONTROL MASTER'!$P$2:$P$495,(SUMPRODUCT((('CONTROL MASTER'!$S$2:$S$495=6)*('CONTROL MASTER'!$Z$2:$Z$495&lt;=1)*('CONTROL MASTER'!$AB$2:$AB$495&gt;=1)*('CONTROL MASTER'!$AA$2:$AA$495&lt;=5)*('CONTROL MASTER'!$AC$2:$AC$495&gt;=5))*ROW('CONTROL MASTER'!$S$2:$S$495))-(ROW('CONTROL MASTER'!#REF!)-1))),"")),"")</f>
        <v/>
      </c>
      <c r="G73" s="10" t="str">
        <f>IFERROR(IF(SUMPRODUCT((('CONTROL MASTER'!$S$2:$S$495=6)*('CONTROL MASTER'!$T$2:$T$495&lt;=1)*('CONTROL MASTER'!$V$2:$V$495&gt;=1)*('CONTROL MASTER'!$U$2:$U$495&lt;=6)*('CONTROL MASTER'!$W$2:$W$495&gt;=6))*ROW('CONTROL MASTER'!$S$2:$S$495))&gt;0,INDEX('CONTROL MASTER'!$X$2:$X$495,(SUMPRODUCT((('CONTROL MASTER'!$S$2:$S$495=6)*('CONTROL MASTER'!$T$2:$T$495&lt;=1)*('CONTROL MASTER'!$V$2:$V$495&gt;=1)*('CONTROL MASTER'!$U$2:$U$495&lt;=6)*('CONTROL MASTER'!$W$2:$W$495&gt;=6))*ROW('CONTROL MASTER'!$S$2:$S$495))-(ROW('CONTROL MASTER'!#REF!)-1)))&amp;TRIM(MID(SUBSTITUTE(SUBSTITUTE(INDEX('CONTROL MASTER'!$N$2:$N$495,(SUMPRODUCT((('CONTROL MASTER'!$S$2:$S$495=6)*('CONTROL MASTER'!$T$2:$T$495&lt;=1)*('CONTROL MASTER'!$V$2:$V$495&gt;=1)*('CONTROL MASTER'!$U$2:$U$495&lt;=6)*('CONTROL MASTER'!$W$2:$W$495&gt;=6))*ROW('CONTROL MASTER'!$S$2:$S$495))-(ROW('CONTROL MASTER'!#REF!)-1))),":",","),",",REPT(" ",50)),((((1-INDEX('CONTROL MASTER'!$T$2:$T$495,(SUMPRODUCT((('CONTROL MASTER'!$S$2:$S$495=6)*('CONTROL MASTER'!$T$2:$T$495&lt;=1)*('CONTROL MASTER'!$V$2:$V$495&gt;=1)*('CONTROL MASTER'!$U$2:$U$495&lt;=6)*('CONTROL MASTER'!$W$2:$W$495&gt;=6))*ROW('CONTROL MASTER'!$S$2:$S$495))-(ROW('CONTROL MASTER'!#REF!)-1))))*(INDEX('CONTROL MASTER'!$W$2:$W$495,(SUMPRODUCT((('CONTROL MASTER'!$S$2:$S$495=6)*('CONTROL MASTER'!$T$2:$T$495&lt;=1)*('CONTROL MASTER'!$V$2:$V$495&gt;=1)*('CONTROL MASTER'!$U$2:$U$495&lt;=6)*('CONTROL MASTER'!$W$2:$W$495&gt;=6))*ROW('CONTROL MASTER'!$S$2:$S$495))-(ROW('CONTROL MASTER'!#REF!)-1)))-INDEX('CONTROL MASTER'!$U$2:$U$495,(SUMPRODUCT((('CONTROL MASTER'!$S$2:$S$495=6)*('CONTROL MASTER'!$T$2:$T$495&lt;=1)*('CONTROL MASTER'!$V$2:$V$495&gt;=1)*('CONTROL MASTER'!$U$2:$U$495&lt;=6)*('CONTROL MASTER'!$W$2:$W$495&gt;=6))*ROW('CONTROL MASTER'!$S$2:$S$495))-(ROW('CONTROL MASTER'!#REF!)-1)))+1)+(6-INDEX('CONTROL MASTER'!$U$2:$U$495,(SUMPRODUCT((('CONTROL MASTER'!$S$2:$S$495=6)*('CONTROL MASTER'!$T$2:$T$495&lt;=1)*('CONTROL MASTER'!$V$2:$V$495&gt;=1)*('CONTROL MASTER'!$U$2:$U$495&lt;=6)*('CONTROL MASTER'!$W$2:$W$495&gt;=6))*ROW('CONTROL MASTER'!$S$2:$S$495))-(ROW('CONTROL MASTER'!#REF!)-1))))+1))-1)*50+1,50))&amp;"_"&amp;INDEX('CONTROL MASTER'!$P$2:$P$495,(SUMPRODUCT((('CONTROL MASTER'!$S$2:$S$495=6)*('CONTROL MASTER'!$T$2:$T$495&lt;=1)*('CONTROL MASTER'!$V$2:$V$495&gt;=1)*('CONTROL MASTER'!$U$2:$U$495&lt;=6)*('CONTROL MASTER'!$W$2:$W$495&gt;=6))*ROW('CONTROL MASTER'!$S$2:$S$495))-(ROW('CONTROL MASTER'!#REF!)-1))),IF(SUMPRODUCT((('CONTROL MASTER'!$S$2:$S$495=6)*('CONTROL MASTER'!$Z$2:$Z$495&lt;=1)*('CONTROL MASTER'!$AB$2:$AB$495&gt;=1)*('CONTROL MASTER'!$AA$2:$AA$495&lt;=6)*('CONTROL MASTER'!$AC$2:$AC$495&gt;=6))*ROW('CONTROL MASTER'!$S$2:$S$495))&gt;0,INDEX('CONTROL MASTER'!$X$2:$X$495,(SUMPRODUCT((('CONTROL MASTER'!$S$2:$S$495=6)*('CONTROL MASTER'!$Z$2:$Z$495&lt;=1)*('CONTROL MASTER'!$AB$2:$AB$495&gt;=1)*('CONTROL MASTER'!$AA$2:$AA$495&lt;=6)*('CONTROL MASTER'!$AC$2:$AC$495&gt;=6))*ROW('CONTROL MASTER'!$S$2:$S$495))-(ROW('CONTROL MASTER'!#REF!)-1)))&amp;TRIM(MID(SUBSTITUTE(SUBSTITUTE(INDEX('CONTROL MASTER'!$N$2:$N$495,(SUMPRODUCT((('CONTROL MASTER'!$S$2:$S$495=6)*('CONTROL MASTER'!$Z$2:$Z$495&lt;=1)*('CONTROL MASTER'!$AB$2:$AB$495&gt;=1)*('CONTROL MASTER'!$AA$2:$AA$495&lt;=6)*('CONTROL MASTER'!$AC$2:$AC$495&gt;=6))*ROW('CONTROL MASTER'!$S$2:$S$495))-(ROW('CONTROL MASTER'!#REF!)-1))),":",","),",",REPT(" ",50)),(((INDEX('CONTROL MASTER'!$Y$2:$Y$495,(SUMPRODUCT((('CONTROL MASTER'!$S$2:$S$495=6)*('CONTROL MASTER'!$Z$2:$Z$495&lt;=1)*('CONTROL MASTER'!$AB$2:$AB$495&gt;=1)*('CONTROL MASTER'!$AA$2:$AA$495&lt;=6)*('CONTROL MASTER'!$AC$2:$AC$495&gt;=6))*ROW('CONTROL MASTER'!$S$2:$S$495))-(ROW('CONTROL MASTER'!#REF!)-1)))+((1-INDEX('CONTROL MASTER'!$Z$2:$Z$495,(SUMPRODUCT((('CONTROL MASTER'!$S$2:$S$495=6)*('CONTROL MASTER'!$Z$2:$Z$495&lt;=1)*('CONTROL MASTER'!$AB$2:$AB$495&gt;=1)*('CONTROL MASTER'!$AA$2:$AA$495&lt;=6)*('CONTROL MASTER'!$AC$2:$AC$495&gt;=6))*ROW('CONTROL MASTER'!$S$2:$S$495))-(ROW('CONTROL MASTER'!#REF!)-1))))*(INDEX('CONTROL MASTER'!$AC$2:$AC$495,(SUMPRODUCT((('CONTROL MASTER'!$S$2:$S$495=6)*('CONTROL MASTER'!$Z$2:$Z$495&lt;=1)*('CONTROL MASTER'!$AB$2:$AB$495&gt;=1)*('CONTROL MASTER'!$AA$2:$AA$495&lt;=6)*('CONTROL MASTER'!$AC$2:$AC$495&gt;=6))*ROW('CONTROL MASTER'!$S$2:$S$495))-(ROW('CONTROL MASTER'!#REF!)-1)))-INDEX('CONTROL MASTER'!$AA$2:$AA$495,(SUMPRODUCT((('CONTROL MASTER'!$S$2:$S$495=6)*('CONTROL MASTER'!$Z$2:$Z$495&lt;=1)*('CONTROL MASTER'!$AB$2:$AB$495&gt;=1)*('CONTROL MASTER'!$AA$2:$AA$495&lt;=6)*('CONTROL MASTER'!$AC$2:$AC$495&gt;=6))*ROW('CONTROL MASTER'!$S$2:$S$495))-(ROW('CONTROL MASTER'!#REF!)-1)))+1)+(6-INDEX('CONTROL MASTER'!$AA$2:$AA$495,(SUMPRODUCT((('CONTROL MASTER'!$S$2:$S$495=6)*('CONTROL MASTER'!$Z$2:$Z$495&lt;=1)*('CONTROL MASTER'!$AB$2:$AB$495&gt;=1)*('CONTROL MASTER'!$AA$2:$AA$495&lt;=6)*('CONTROL MASTER'!$AC$2:$AC$495&gt;=6))*ROW('CONTROL MASTER'!$S$2:$S$495))-(ROW('CONTROL MASTER'!#REF!)-1))))+1)))-1)*50+1,50))&amp;"_"&amp;INDEX('CONTROL MASTER'!$P$2:$P$495,(SUMPRODUCT((('CONTROL MASTER'!$S$2:$S$495=6)*('CONTROL MASTER'!$Z$2:$Z$495&lt;=1)*('CONTROL MASTER'!$AB$2:$AB$495&gt;=1)*('CONTROL MASTER'!$AA$2:$AA$495&lt;=6)*('CONTROL MASTER'!$AC$2:$AC$495&gt;=6))*ROW('CONTROL MASTER'!$S$2:$S$495))-(ROW('CONTROL MASTER'!#REF!)-1))),"")),"")</f>
        <v/>
      </c>
      <c r="H73" s="10" t="str">
        <f>IFERROR(IF(SUMPRODUCT((('CONTROL MASTER'!$S$2:$S$495=6)*('CONTROL MASTER'!$T$2:$T$495&lt;=1)*('CONTROL MASTER'!$V$2:$V$495&gt;=1)*('CONTROL MASTER'!$U$2:$U$495&lt;=7)*('CONTROL MASTER'!$W$2:$W$495&gt;=7))*ROW('CONTROL MASTER'!$S$2:$S$495))&gt;0,INDEX('CONTROL MASTER'!$X$2:$X$495,(SUMPRODUCT((('CONTROL MASTER'!$S$2:$S$495=6)*('CONTROL MASTER'!$T$2:$T$495&lt;=1)*('CONTROL MASTER'!$V$2:$V$495&gt;=1)*('CONTROL MASTER'!$U$2:$U$495&lt;=7)*('CONTROL MASTER'!$W$2:$W$495&gt;=7))*ROW('CONTROL MASTER'!$S$2:$S$495))-(ROW('CONTROL MASTER'!#REF!)-1)))&amp;TRIM(MID(SUBSTITUTE(SUBSTITUTE(INDEX('CONTROL MASTER'!$N$2:$N$495,(SUMPRODUCT((('CONTROL MASTER'!$S$2:$S$495=6)*('CONTROL MASTER'!$T$2:$T$495&lt;=1)*('CONTROL MASTER'!$V$2:$V$495&gt;=1)*('CONTROL MASTER'!$U$2:$U$495&lt;=7)*('CONTROL MASTER'!$W$2:$W$495&gt;=7))*ROW('CONTROL MASTER'!$S$2:$S$495))-(ROW('CONTROL MASTER'!#REF!)-1))),":",","),",",REPT(" ",50)),((((1-INDEX('CONTROL MASTER'!$T$2:$T$495,(SUMPRODUCT((('CONTROL MASTER'!$S$2:$S$495=6)*('CONTROL MASTER'!$T$2:$T$495&lt;=1)*('CONTROL MASTER'!$V$2:$V$495&gt;=1)*('CONTROL MASTER'!$U$2:$U$495&lt;=7)*('CONTROL MASTER'!$W$2:$W$495&gt;=7))*ROW('CONTROL MASTER'!$S$2:$S$495))-(ROW('CONTROL MASTER'!#REF!)-1))))*(INDEX('CONTROL MASTER'!$W$2:$W$495,(SUMPRODUCT((('CONTROL MASTER'!$S$2:$S$495=6)*('CONTROL MASTER'!$T$2:$T$495&lt;=1)*('CONTROL MASTER'!$V$2:$V$495&gt;=1)*('CONTROL MASTER'!$U$2:$U$495&lt;=7)*('CONTROL MASTER'!$W$2:$W$495&gt;=7))*ROW('CONTROL MASTER'!$S$2:$S$495))-(ROW('CONTROL MASTER'!#REF!)-1)))-INDEX('CONTROL MASTER'!$U$2:$U$495,(SUMPRODUCT((('CONTROL MASTER'!$S$2:$S$495=6)*('CONTROL MASTER'!$T$2:$T$495&lt;=1)*('CONTROL MASTER'!$V$2:$V$495&gt;=1)*('CONTROL MASTER'!$U$2:$U$495&lt;=7)*('CONTROL MASTER'!$W$2:$W$495&gt;=7))*ROW('CONTROL MASTER'!$S$2:$S$495))-(ROW('CONTROL MASTER'!#REF!)-1)))+1)+(7-INDEX('CONTROL MASTER'!$U$2:$U$495,(SUMPRODUCT((('CONTROL MASTER'!$S$2:$S$495=6)*('CONTROL MASTER'!$T$2:$T$495&lt;=1)*('CONTROL MASTER'!$V$2:$V$495&gt;=1)*('CONTROL MASTER'!$U$2:$U$495&lt;=7)*('CONTROL MASTER'!$W$2:$W$495&gt;=7))*ROW('CONTROL MASTER'!$S$2:$S$495))-(ROW('CONTROL MASTER'!#REF!)-1))))+1))-1)*50+1,50))&amp;"_"&amp;INDEX('CONTROL MASTER'!$P$2:$P$495,(SUMPRODUCT((('CONTROL MASTER'!$S$2:$S$495=6)*('CONTROL MASTER'!$T$2:$T$495&lt;=1)*('CONTROL MASTER'!$V$2:$V$495&gt;=1)*('CONTROL MASTER'!$U$2:$U$495&lt;=7)*('CONTROL MASTER'!$W$2:$W$495&gt;=7))*ROW('CONTROL MASTER'!$S$2:$S$495))-(ROW('CONTROL MASTER'!#REF!)-1))),IF(SUMPRODUCT((('CONTROL MASTER'!$S$2:$S$495=6)*('CONTROL MASTER'!$Z$2:$Z$495&lt;=1)*('CONTROL MASTER'!$AB$2:$AB$495&gt;=1)*('CONTROL MASTER'!$AA$2:$AA$495&lt;=7)*('CONTROL MASTER'!$AC$2:$AC$495&gt;=7))*ROW('CONTROL MASTER'!$S$2:$S$495))&gt;0,INDEX('CONTROL MASTER'!$X$2:$X$495,(SUMPRODUCT((('CONTROL MASTER'!$S$2:$S$495=6)*('CONTROL MASTER'!$Z$2:$Z$495&lt;=1)*('CONTROL MASTER'!$AB$2:$AB$495&gt;=1)*('CONTROL MASTER'!$AA$2:$AA$495&lt;=7)*('CONTROL MASTER'!$AC$2:$AC$495&gt;=7))*ROW('CONTROL MASTER'!$S$2:$S$495))-(ROW('CONTROL MASTER'!#REF!)-1)))&amp;TRIM(MID(SUBSTITUTE(SUBSTITUTE(INDEX('CONTROL MASTER'!$N$2:$N$495,(SUMPRODUCT((('CONTROL MASTER'!$S$2:$S$495=6)*('CONTROL MASTER'!$Z$2:$Z$495&lt;=1)*('CONTROL MASTER'!$AB$2:$AB$495&gt;=1)*('CONTROL MASTER'!$AA$2:$AA$495&lt;=7)*('CONTROL MASTER'!$AC$2:$AC$495&gt;=7))*ROW('CONTROL MASTER'!$S$2:$S$495))-(ROW('CONTROL MASTER'!#REF!)-1))),":",","),",",REPT(" ",50)),(((INDEX('CONTROL MASTER'!$Y$2:$Y$495,(SUMPRODUCT((('CONTROL MASTER'!$S$2:$S$495=6)*('CONTROL MASTER'!$Z$2:$Z$495&lt;=1)*('CONTROL MASTER'!$AB$2:$AB$495&gt;=1)*('CONTROL MASTER'!$AA$2:$AA$495&lt;=7)*('CONTROL MASTER'!$AC$2:$AC$495&gt;=7))*ROW('CONTROL MASTER'!$S$2:$S$495))-(ROW('CONTROL MASTER'!#REF!)-1)))+((1-INDEX('CONTROL MASTER'!$Z$2:$Z$495,(SUMPRODUCT((('CONTROL MASTER'!$S$2:$S$495=6)*('CONTROL MASTER'!$Z$2:$Z$495&lt;=1)*('CONTROL MASTER'!$AB$2:$AB$495&gt;=1)*('CONTROL MASTER'!$AA$2:$AA$495&lt;=7)*('CONTROL MASTER'!$AC$2:$AC$495&gt;=7))*ROW('CONTROL MASTER'!$S$2:$S$495))-(ROW('CONTROL MASTER'!#REF!)-1))))*(INDEX('CONTROL MASTER'!$AC$2:$AC$495,(SUMPRODUCT((('CONTROL MASTER'!$S$2:$S$495=6)*('CONTROL MASTER'!$Z$2:$Z$495&lt;=1)*('CONTROL MASTER'!$AB$2:$AB$495&gt;=1)*('CONTROL MASTER'!$AA$2:$AA$495&lt;=7)*('CONTROL MASTER'!$AC$2:$AC$495&gt;=7))*ROW('CONTROL MASTER'!$S$2:$S$495))-(ROW('CONTROL MASTER'!#REF!)-1)))-INDEX('CONTROL MASTER'!$AA$2:$AA$495,(SUMPRODUCT((('CONTROL MASTER'!$S$2:$S$495=6)*('CONTROL MASTER'!$Z$2:$Z$495&lt;=1)*('CONTROL MASTER'!$AB$2:$AB$495&gt;=1)*('CONTROL MASTER'!$AA$2:$AA$495&lt;=7)*('CONTROL MASTER'!$AC$2:$AC$495&gt;=7))*ROW('CONTROL MASTER'!$S$2:$S$495))-(ROW('CONTROL MASTER'!#REF!)-1)))+1)+(7-INDEX('CONTROL MASTER'!$AA$2:$AA$495,(SUMPRODUCT((('CONTROL MASTER'!$S$2:$S$495=6)*('CONTROL MASTER'!$Z$2:$Z$495&lt;=1)*('CONTROL MASTER'!$AB$2:$AB$495&gt;=1)*('CONTROL MASTER'!$AA$2:$AA$495&lt;=7)*('CONTROL MASTER'!$AC$2:$AC$495&gt;=7))*ROW('CONTROL MASTER'!$S$2:$S$495))-(ROW('CONTROL MASTER'!#REF!)-1))))+1)))-1)*50+1,50))&amp;"_"&amp;INDEX('CONTROL MASTER'!$P$2:$P$495,(SUMPRODUCT((('CONTROL MASTER'!$S$2:$S$495=6)*('CONTROL MASTER'!$Z$2:$Z$495&lt;=1)*('CONTROL MASTER'!$AB$2:$AB$495&gt;=1)*('CONTROL MASTER'!$AA$2:$AA$495&lt;=7)*('CONTROL MASTER'!$AC$2:$AC$495&gt;=7))*ROW('CONTROL MASTER'!$S$2:$S$495))-(ROW('CONTROL MASTER'!#REF!)-1))),"")),"")</f>
        <v/>
      </c>
      <c r="I73" s="10" t="str">
        <f>IFERROR(IF(SUMPRODUCT((('CONTROL MASTER'!$S$2:$S$495=6)*('CONTROL MASTER'!$T$2:$T$495&lt;=1)*('CONTROL MASTER'!$V$2:$V$495&gt;=1)*('CONTROL MASTER'!$U$2:$U$495&lt;=8)*('CONTROL MASTER'!$W$2:$W$495&gt;=8))*ROW('CONTROL MASTER'!$S$2:$S$495))&gt;0,INDEX('CONTROL MASTER'!$X$2:$X$495,(SUMPRODUCT((('CONTROL MASTER'!$S$2:$S$495=6)*('CONTROL MASTER'!$T$2:$T$495&lt;=1)*('CONTROL MASTER'!$V$2:$V$495&gt;=1)*('CONTROL MASTER'!$U$2:$U$495&lt;=8)*('CONTROL MASTER'!$W$2:$W$495&gt;=8))*ROW('CONTROL MASTER'!$S$2:$S$495))-(ROW('CONTROL MASTER'!#REF!)-1)))&amp;TRIM(MID(SUBSTITUTE(SUBSTITUTE(INDEX('CONTROL MASTER'!$N$2:$N$495,(SUMPRODUCT((('CONTROL MASTER'!$S$2:$S$495=6)*('CONTROL MASTER'!$T$2:$T$495&lt;=1)*('CONTROL MASTER'!$V$2:$V$495&gt;=1)*('CONTROL MASTER'!$U$2:$U$495&lt;=8)*('CONTROL MASTER'!$W$2:$W$495&gt;=8))*ROW('CONTROL MASTER'!$S$2:$S$495))-(ROW('CONTROL MASTER'!#REF!)-1))),":",","),",",REPT(" ",50)),((((1-INDEX('CONTROL MASTER'!$T$2:$T$495,(SUMPRODUCT((('CONTROL MASTER'!$S$2:$S$495=6)*('CONTROL MASTER'!$T$2:$T$495&lt;=1)*('CONTROL MASTER'!$V$2:$V$495&gt;=1)*('CONTROL MASTER'!$U$2:$U$495&lt;=8)*('CONTROL MASTER'!$W$2:$W$495&gt;=8))*ROW('CONTROL MASTER'!$S$2:$S$495))-(ROW('CONTROL MASTER'!#REF!)-1))))*(INDEX('CONTROL MASTER'!$W$2:$W$495,(SUMPRODUCT((('CONTROL MASTER'!$S$2:$S$495=6)*('CONTROL MASTER'!$T$2:$T$495&lt;=1)*('CONTROL MASTER'!$V$2:$V$495&gt;=1)*('CONTROL MASTER'!$U$2:$U$495&lt;=8)*('CONTROL MASTER'!$W$2:$W$495&gt;=8))*ROW('CONTROL MASTER'!$S$2:$S$495))-(ROW('CONTROL MASTER'!#REF!)-1)))-INDEX('CONTROL MASTER'!$U$2:$U$495,(SUMPRODUCT((('CONTROL MASTER'!$S$2:$S$495=6)*('CONTROL MASTER'!$T$2:$T$495&lt;=1)*('CONTROL MASTER'!$V$2:$V$495&gt;=1)*('CONTROL MASTER'!$U$2:$U$495&lt;=8)*('CONTROL MASTER'!$W$2:$W$495&gt;=8))*ROW('CONTROL MASTER'!$S$2:$S$495))-(ROW('CONTROL MASTER'!#REF!)-1)))+1)+(8-INDEX('CONTROL MASTER'!$U$2:$U$495,(SUMPRODUCT((('CONTROL MASTER'!$S$2:$S$495=6)*('CONTROL MASTER'!$T$2:$T$495&lt;=1)*('CONTROL MASTER'!$V$2:$V$495&gt;=1)*('CONTROL MASTER'!$U$2:$U$495&lt;=8)*('CONTROL MASTER'!$W$2:$W$495&gt;=8))*ROW('CONTROL MASTER'!$S$2:$S$495))-(ROW('CONTROL MASTER'!#REF!)-1))))+1))-1)*50+1,50))&amp;"_"&amp;INDEX('CONTROL MASTER'!$P$2:$P$495,(SUMPRODUCT((('CONTROL MASTER'!$S$2:$S$495=6)*('CONTROL MASTER'!$T$2:$T$495&lt;=1)*('CONTROL MASTER'!$V$2:$V$495&gt;=1)*('CONTROL MASTER'!$U$2:$U$495&lt;=8)*('CONTROL MASTER'!$W$2:$W$495&gt;=8))*ROW('CONTROL MASTER'!$S$2:$S$495))-(ROW('CONTROL MASTER'!#REF!)-1))),IF(SUMPRODUCT((('CONTROL MASTER'!$S$2:$S$495=6)*('CONTROL MASTER'!$Z$2:$Z$495&lt;=1)*('CONTROL MASTER'!$AB$2:$AB$495&gt;=1)*('CONTROL MASTER'!$AA$2:$AA$495&lt;=8)*('CONTROL MASTER'!$AC$2:$AC$495&gt;=8))*ROW('CONTROL MASTER'!$S$2:$S$495))&gt;0,INDEX('CONTROL MASTER'!$X$2:$X$495,(SUMPRODUCT((('CONTROL MASTER'!$S$2:$S$495=6)*('CONTROL MASTER'!$Z$2:$Z$495&lt;=1)*('CONTROL MASTER'!$AB$2:$AB$495&gt;=1)*('CONTROL MASTER'!$AA$2:$AA$495&lt;=8)*('CONTROL MASTER'!$AC$2:$AC$495&gt;=8))*ROW('CONTROL MASTER'!$S$2:$S$495))-(ROW('CONTROL MASTER'!#REF!)-1)))&amp;TRIM(MID(SUBSTITUTE(SUBSTITUTE(INDEX('CONTROL MASTER'!$N$2:$N$495,(SUMPRODUCT((('CONTROL MASTER'!$S$2:$S$495=6)*('CONTROL MASTER'!$Z$2:$Z$495&lt;=1)*('CONTROL MASTER'!$AB$2:$AB$495&gt;=1)*('CONTROL MASTER'!$AA$2:$AA$495&lt;=8)*('CONTROL MASTER'!$AC$2:$AC$495&gt;=8))*ROW('CONTROL MASTER'!$S$2:$S$495))-(ROW('CONTROL MASTER'!#REF!)-1))),":",","),",",REPT(" ",50)),(((INDEX('CONTROL MASTER'!$Y$2:$Y$495,(SUMPRODUCT((('CONTROL MASTER'!$S$2:$S$495=6)*('CONTROL MASTER'!$Z$2:$Z$495&lt;=1)*('CONTROL MASTER'!$AB$2:$AB$495&gt;=1)*('CONTROL MASTER'!$AA$2:$AA$495&lt;=8)*('CONTROL MASTER'!$AC$2:$AC$495&gt;=8))*ROW('CONTROL MASTER'!$S$2:$S$495))-(ROW('CONTROL MASTER'!#REF!)-1)))+((1-INDEX('CONTROL MASTER'!$Z$2:$Z$495,(SUMPRODUCT((('CONTROL MASTER'!$S$2:$S$495=6)*('CONTROL MASTER'!$Z$2:$Z$495&lt;=1)*('CONTROL MASTER'!$AB$2:$AB$495&gt;=1)*('CONTROL MASTER'!$AA$2:$AA$495&lt;=8)*('CONTROL MASTER'!$AC$2:$AC$495&gt;=8))*ROW('CONTROL MASTER'!$S$2:$S$495))-(ROW('CONTROL MASTER'!#REF!)-1))))*(INDEX('CONTROL MASTER'!$AC$2:$AC$495,(SUMPRODUCT((('CONTROL MASTER'!$S$2:$S$495=6)*('CONTROL MASTER'!$Z$2:$Z$495&lt;=1)*('CONTROL MASTER'!$AB$2:$AB$495&gt;=1)*('CONTROL MASTER'!$AA$2:$AA$495&lt;=8)*('CONTROL MASTER'!$AC$2:$AC$495&gt;=8))*ROW('CONTROL MASTER'!$S$2:$S$495))-(ROW('CONTROL MASTER'!#REF!)-1)))-INDEX('CONTROL MASTER'!$AA$2:$AA$495,(SUMPRODUCT((('CONTROL MASTER'!$S$2:$S$495=6)*('CONTROL MASTER'!$Z$2:$Z$495&lt;=1)*('CONTROL MASTER'!$AB$2:$AB$495&gt;=1)*('CONTROL MASTER'!$AA$2:$AA$495&lt;=8)*('CONTROL MASTER'!$AC$2:$AC$495&gt;=8))*ROW('CONTROL MASTER'!$S$2:$S$495))-(ROW('CONTROL MASTER'!#REF!)-1)))+1)+(8-INDEX('CONTROL MASTER'!$AA$2:$AA$495,(SUMPRODUCT((('CONTROL MASTER'!$S$2:$S$495=6)*('CONTROL MASTER'!$Z$2:$Z$495&lt;=1)*('CONTROL MASTER'!$AB$2:$AB$495&gt;=1)*('CONTROL MASTER'!$AA$2:$AA$495&lt;=8)*('CONTROL MASTER'!$AC$2:$AC$495&gt;=8))*ROW('CONTROL MASTER'!$S$2:$S$495))-(ROW('CONTROL MASTER'!#REF!)-1))))+1)))-1)*50+1,50))&amp;"_"&amp;INDEX('CONTROL MASTER'!$P$2:$P$495,(SUMPRODUCT((('CONTROL MASTER'!$S$2:$S$495=6)*('CONTROL MASTER'!$Z$2:$Z$495&lt;=1)*('CONTROL MASTER'!$AB$2:$AB$495&gt;=1)*('CONTROL MASTER'!$AA$2:$AA$495&lt;=8)*('CONTROL MASTER'!$AC$2:$AC$495&gt;=8))*ROW('CONTROL MASTER'!$S$2:$S$495))-(ROW('CONTROL MASTER'!#REF!)-1))),"")),"")</f>
        <v/>
      </c>
      <c r="J73" s="10" t="str">
        <f>IFERROR(IF(SUMPRODUCT((('CONTROL MASTER'!$S$2:$S$495=6)*('CONTROL MASTER'!$T$2:$T$495&lt;=1)*('CONTROL MASTER'!$V$2:$V$495&gt;=1)*('CONTROL MASTER'!$U$2:$U$495&lt;=9)*('CONTROL MASTER'!$W$2:$W$495&gt;=9))*ROW('CONTROL MASTER'!$S$2:$S$495))&gt;0,INDEX('CONTROL MASTER'!$X$2:$X$495,(SUMPRODUCT((('CONTROL MASTER'!$S$2:$S$495=6)*('CONTROL MASTER'!$T$2:$T$495&lt;=1)*('CONTROL MASTER'!$V$2:$V$495&gt;=1)*('CONTROL MASTER'!$U$2:$U$495&lt;=9)*('CONTROL MASTER'!$W$2:$W$495&gt;=9))*ROW('CONTROL MASTER'!$S$2:$S$495))-(ROW('CONTROL MASTER'!#REF!)-1)))&amp;TRIM(MID(SUBSTITUTE(SUBSTITUTE(INDEX('CONTROL MASTER'!$N$2:$N$495,(SUMPRODUCT((('CONTROL MASTER'!$S$2:$S$495=6)*('CONTROL MASTER'!$T$2:$T$495&lt;=1)*('CONTROL MASTER'!$V$2:$V$495&gt;=1)*('CONTROL MASTER'!$U$2:$U$495&lt;=9)*('CONTROL MASTER'!$W$2:$W$495&gt;=9))*ROW('CONTROL MASTER'!$S$2:$S$495))-(ROW('CONTROL MASTER'!#REF!)-1))),":",","),",",REPT(" ",50)),((((1-INDEX('CONTROL MASTER'!$T$2:$T$495,(SUMPRODUCT((('CONTROL MASTER'!$S$2:$S$495=6)*('CONTROL MASTER'!$T$2:$T$495&lt;=1)*('CONTROL MASTER'!$V$2:$V$495&gt;=1)*('CONTROL MASTER'!$U$2:$U$495&lt;=9)*('CONTROL MASTER'!$W$2:$W$495&gt;=9))*ROW('CONTROL MASTER'!$S$2:$S$495))-(ROW('CONTROL MASTER'!#REF!)-1))))*(INDEX('CONTROL MASTER'!$W$2:$W$495,(SUMPRODUCT((('CONTROL MASTER'!$S$2:$S$495=6)*('CONTROL MASTER'!$T$2:$T$495&lt;=1)*('CONTROL MASTER'!$V$2:$V$495&gt;=1)*('CONTROL MASTER'!$U$2:$U$495&lt;=9)*('CONTROL MASTER'!$W$2:$W$495&gt;=9))*ROW('CONTROL MASTER'!$S$2:$S$495))-(ROW('CONTROL MASTER'!#REF!)-1)))-INDEX('CONTROL MASTER'!$U$2:$U$495,(SUMPRODUCT((('CONTROL MASTER'!$S$2:$S$495=6)*('CONTROL MASTER'!$T$2:$T$495&lt;=1)*('CONTROL MASTER'!$V$2:$V$495&gt;=1)*('CONTROL MASTER'!$U$2:$U$495&lt;=9)*('CONTROL MASTER'!$W$2:$W$495&gt;=9))*ROW('CONTROL MASTER'!$S$2:$S$495))-(ROW('CONTROL MASTER'!#REF!)-1)))+1)+(9-INDEX('CONTROL MASTER'!$U$2:$U$495,(SUMPRODUCT((('CONTROL MASTER'!$S$2:$S$495=6)*('CONTROL MASTER'!$T$2:$T$495&lt;=1)*('CONTROL MASTER'!$V$2:$V$495&gt;=1)*('CONTROL MASTER'!$U$2:$U$495&lt;=9)*('CONTROL MASTER'!$W$2:$W$495&gt;=9))*ROW('CONTROL MASTER'!$S$2:$S$495))-(ROW('CONTROL MASTER'!#REF!)-1))))+1))-1)*50+1,50))&amp;"_"&amp;INDEX('CONTROL MASTER'!$P$2:$P$495,(SUMPRODUCT((('CONTROL MASTER'!$S$2:$S$495=6)*('CONTROL MASTER'!$T$2:$T$495&lt;=1)*('CONTROL MASTER'!$V$2:$V$495&gt;=1)*('CONTROL MASTER'!$U$2:$U$495&lt;=9)*('CONTROL MASTER'!$W$2:$W$495&gt;=9))*ROW('CONTROL MASTER'!$S$2:$S$495))-(ROW('CONTROL MASTER'!#REF!)-1))),IF(SUMPRODUCT((('CONTROL MASTER'!$S$2:$S$495=6)*('CONTROL MASTER'!$Z$2:$Z$495&lt;=1)*('CONTROL MASTER'!$AB$2:$AB$495&gt;=1)*('CONTROL MASTER'!$AA$2:$AA$495&lt;=9)*('CONTROL MASTER'!$AC$2:$AC$495&gt;=9))*ROW('CONTROL MASTER'!$S$2:$S$495))&gt;0,INDEX('CONTROL MASTER'!$X$2:$X$495,(SUMPRODUCT((('CONTROL MASTER'!$S$2:$S$495=6)*('CONTROL MASTER'!$Z$2:$Z$495&lt;=1)*('CONTROL MASTER'!$AB$2:$AB$495&gt;=1)*('CONTROL MASTER'!$AA$2:$AA$495&lt;=9)*('CONTROL MASTER'!$AC$2:$AC$495&gt;=9))*ROW('CONTROL MASTER'!$S$2:$S$495))-(ROW('CONTROL MASTER'!#REF!)-1)))&amp;TRIM(MID(SUBSTITUTE(SUBSTITUTE(INDEX('CONTROL MASTER'!$N$2:$N$495,(SUMPRODUCT((('CONTROL MASTER'!$S$2:$S$495=6)*('CONTROL MASTER'!$Z$2:$Z$495&lt;=1)*('CONTROL MASTER'!$AB$2:$AB$495&gt;=1)*('CONTROL MASTER'!$AA$2:$AA$495&lt;=9)*('CONTROL MASTER'!$AC$2:$AC$495&gt;=9))*ROW('CONTROL MASTER'!$S$2:$S$495))-(ROW('CONTROL MASTER'!#REF!)-1))),":",","),",",REPT(" ",50)),(((INDEX('CONTROL MASTER'!$Y$2:$Y$495,(SUMPRODUCT((('CONTROL MASTER'!$S$2:$S$495=6)*('CONTROL MASTER'!$Z$2:$Z$495&lt;=1)*('CONTROL MASTER'!$AB$2:$AB$495&gt;=1)*('CONTROL MASTER'!$AA$2:$AA$495&lt;=9)*('CONTROL MASTER'!$AC$2:$AC$495&gt;=9))*ROW('CONTROL MASTER'!$S$2:$S$495))-(ROW('CONTROL MASTER'!#REF!)-1)))+((1-INDEX('CONTROL MASTER'!$Z$2:$Z$495,(SUMPRODUCT((('CONTROL MASTER'!$S$2:$S$495=6)*('CONTROL MASTER'!$Z$2:$Z$495&lt;=1)*('CONTROL MASTER'!$AB$2:$AB$495&gt;=1)*('CONTROL MASTER'!$AA$2:$AA$495&lt;=9)*('CONTROL MASTER'!$AC$2:$AC$495&gt;=9))*ROW('CONTROL MASTER'!$S$2:$S$495))-(ROW('CONTROL MASTER'!#REF!)-1))))*(INDEX('CONTROL MASTER'!$AC$2:$AC$495,(SUMPRODUCT((('CONTROL MASTER'!$S$2:$S$495=6)*('CONTROL MASTER'!$Z$2:$Z$495&lt;=1)*('CONTROL MASTER'!$AB$2:$AB$495&gt;=1)*('CONTROL MASTER'!$AA$2:$AA$495&lt;=9)*('CONTROL MASTER'!$AC$2:$AC$495&gt;=9))*ROW('CONTROL MASTER'!$S$2:$S$495))-(ROW('CONTROL MASTER'!#REF!)-1)))-INDEX('CONTROL MASTER'!$AA$2:$AA$495,(SUMPRODUCT((('CONTROL MASTER'!$S$2:$S$495=6)*('CONTROL MASTER'!$Z$2:$Z$495&lt;=1)*('CONTROL MASTER'!$AB$2:$AB$495&gt;=1)*('CONTROL MASTER'!$AA$2:$AA$495&lt;=9)*('CONTROL MASTER'!$AC$2:$AC$495&gt;=9))*ROW('CONTROL MASTER'!$S$2:$S$495))-(ROW('CONTROL MASTER'!#REF!)-1)))+1)+(9-INDEX('CONTROL MASTER'!$AA$2:$AA$495,(SUMPRODUCT((('CONTROL MASTER'!$S$2:$S$495=6)*('CONTROL MASTER'!$Z$2:$Z$495&lt;=1)*('CONTROL MASTER'!$AB$2:$AB$495&gt;=1)*('CONTROL MASTER'!$AA$2:$AA$495&lt;=9)*('CONTROL MASTER'!$AC$2:$AC$495&gt;=9))*ROW('CONTROL MASTER'!$S$2:$S$495))-(ROW('CONTROL MASTER'!#REF!)-1))))+1)))-1)*50+1,50))&amp;"_"&amp;INDEX('CONTROL MASTER'!$P$2:$P$495,(SUMPRODUCT((('CONTROL MASTER'!$S$2:$S$495=6)*('CONTROL MASTER'!$Z$2:$Z$495&lt;=1)*('CONTROL MASTER'!$AB$2:$AB$495&gt;=1)*('CONTROL MASTER'!$AA$2:$AA$495&lt;=9)*('CONTROL MASTER'!$AC$2:$AC$495&gt;=9))*ROW('CONTROL MASTER'!$S$2:$S$495))-(ROW('CONTROL MASTER'!#REF!)-1))),"")),"")</f>
        <v/>
      </c>
      <c r="K73" s="10" t="str">
        <f>IFERROR(IF(SUMPRODUCT((('CONTROL MASTER'!$S$2:$S$495=6)*('CONTROL MASTER'!$T$2:$T$495&lt;=1)*('CONTROL MASTER'!$V$2:$V$495&gt;=1)*('CONTROL MASTER'!$U$2:$U$495&lt;=10)*('CONTROL MASTER'!$W$2:$W$495&gt;=10))*ROW('CONTROL MASTER'!$S$2:$S$495))&gt;0,INDEX('CONTROL MASTER'!$X$2:$X$495,(SUMPRODUCT((('CONTROL MASTER'!$S$2:$S$495=6)*('CONTROL MASTER'!$T$2:$T$495&lt;=1)*('CONTROL MASTER'!$V$2:$V$495&gt;=1)*('CONTROL MASTER'!$U$2:$U$495&lt;=10)*('CONTROL MASTER'!$W$2:$W$495&gt;=10))*ROW('CONTROL MASTER'!$S$2:$S$495))-(ROW('CONTROL MASTER'!#REF!)-1)))&amp;TRIM(MID(SUBSTITUTE(SUBSTITUTE(INDEX('CONTROL MASTER'!$N$2:$N$495,(SUMPRODUCT((('CONTROL MASTER'!$S$2:$S$495=6)*('CONTROL MASTER'!$T$2:$T$495&lt;=1)*('CONTROL MASTER'!$V$2:$V$495&gt;=1)*('CONTROL MASTER'!$U$2:$U$495&lt;=10)*('CONTROL MASTER'!$W$2:$W$495&gt;=10))*ROW('CONTROL MASTER'!$S$2:$S$495))-(ROW('CONTROL MASTER'!#REF!)-1))),":",","),",",REPT(" ",50)),((((1-INDEX('CONTROL MASTER'!$T$2:$T$495,(SUMPRODUCT((('CONTROL MASTER'!$S$2:$S$495=6)*('CONTROL MASTER'!$T$2:$T$495&lt;=1)*('CONTROL MASTER'!$V$2:$V$495&gt;=1)*('CONTROL MASTER'!$U$2:$U$495&lt;=10)*('CONTROL MASTER'!$W$2:$W$495&gt;=10))*ROW('CONTROL MASTER'!$S$2:$S$495))-(ROW('CONTROL MASTER'!#REF!)-1))))*(INDEX('CONTROL MASTER'!$W$2:$W$495,(SUMPRODUCT((('CONTROL MASTER'!$S$2:$S$495=6)*('CONTROL MASTER'!$T$2:$T$495&lt;=1)*('CONTROL MASTER'!$V$2:$V$495&gt;=1)*('CONTROL MASTER'!$U$2:$U$495&lt;=10)*('CONTROL MASTER'!$W$2:$W$495&gt;=10))*ROW('CONTROL MASTER'!$S$2:$S$495))-(ROW('CONTROL MASTER'!#REF!)-1)))-INDEX('CONTROL MASTER'!$U$2:$U$495,(SUMPRODUCT((('CONTROL MASTER'!$S$2:$S$495=6)*('CONTROL MASTER'!$T$2:$T$495&lt;=1)*('CONTROL MASTER'!$V$2:$V$495&gt;=1)*('CONTROL MASTER'!$U$2:$U$495&lt;=10)*('CONTROL MASTER'!$W$2:$W$495&gt;=10))*ROW('CONTROL MASTER'!$S$2:$S$495))-(ROW('CONTROL MASTER'!#REF!)-1)))+1)+(10-INDEX('CONTROL MASTER'!$U$2:$U$495,(SUMPRODUCT((('CONTROL MASTER'!$S$2:$S$495=6)*('CONTROL MASTER'!$T$2:$T$495&lt;=1)*('CONTROL MASTER'!$V$2:$V$495&gt;=1)*('CONTROL MASTER'!$U$2:$U$495&lt;=10)*('CONTROL MASTER'!$W$2:$W$495&gt;=10))*ROW('CONTROL MASTER'!$S$2:$S$495))-(ROW('CONTROL MASTER'!#REF!)-1))))+1))-1)*50+1,50))&amp;"_"&amp;INDEX('CONTROL MASTER'!$P$2:$P$495,(SUMPRODUCT((('CONTROL MASTER'!$S$2:$S$495=6)*('CONTROL MASTER'!$T$2:$T$495&lt;=1)*('CONTROL MASTER'!$V$2:$V$495&gt;=1)*('CONTROL MASTER'!$U$2:$U$495&lt;=10)*('CONTROL MASTER'!$W$2:$W$495&gt;=10))*ROW('CONTROL MASTER'!$S$2:$S$495))-(ROW('CONTROL MASTER'!#REF!)-1))),IF(SUMPRODUCT((('CONTROL MASTER'!$S$2:$S$495=6)*('CONTROL MASTER'!$Z$2:$Z$495&lt;=1)*('CONTROL MASTER'!$AB$2:$AB$495&gt;=1)*('CONTROL MASTER'!$AA$2:$AA$495&lt;=10)*('CONTROL MASTER'!$AC$2:$AC$495&gt;=10))*ROW('CONTROL MASTER'!$S$2:$S$495))&gt;0,INDEX('CONTROL MASTER'!$X$2:$X$495,(SUMPRODUCT((('CONTROL MASTER'!$S$2:$S$495=6)*('CONTROL MASTER'!$Z$2:$Z$495&lt;=1)*('CONTROL MASTER'!$AB$2:$AB$495&gt;=1)*('CONTROL MASTER'!$AA$2:$AA$495&lt;=10)*('CONTROL MASTER'!$AC$2:$AC$495&gt;=10))*ROW('CONTROL MASTER'!$S$2:$S$495))-(ROW('CONTROL MASTER'!#REF!)-1)))&amp;TRIM(MID(SUBSTITUTE(SUBSTITUTE(INDEX('CONTROL MASTER'!$N$2:$N$495,(SUMPRODUCT((('CONTROL MASTER'!$S$2:$S$495=6)*('CONTROL MASTER'!$Z$2:$Z$495&lt;=1)*('CONTROL MASTER'!$AB$2:$AB$495&gt;=1)*('CONTROL MASTER'!$AA$2:$AA$495&lt;=10)*('CONTROL MASTER'!$AC$2:$AC$495&gt;=10))*ROW('CONTROL MASTER'!$S$2:$S$495))-(ROW('CONTROL MASTER'!#REF!)-1))),":",","),",",REPT(" ",50)),(((INDEX('CONTROL MASTER'!$Y$2:$Y$495,(SUMPRODUCT((('CONTROL MASTER'!$S$2:$S$495=6)*('CONTROL MASTER'!$Z$2:$Z$495&lt;=1)*('CONTROL MASTER'!$AB$2:$AB$495&gt;=1)*('CONTROL MASTER'!$AA$2:$AA$495&lt;=10)*('CONTROL MASTER'!$AC$2:$AC$495&gt;=10))*ROW('CONTROL MASTER'!$S$2:$S$495))-(ROW('CONTROL MASTER'!#REF!)-1)))+((1-INDEX('CONTROL MASTER'!$Z$2:$Z$495,(SUMPRODUCT((('CONTROL MASTER'!$S$2:$S$495=6)*('CONTROL MASTER'!$Z$2:$Z$495&lt;=1)*('CONTROL MASTER'!$AB$2:$AB$495&gt;=1)*('CONTROL MASTER'!$AA$2:$AA$495&lt;=10)*('CONTROL MASTER'!$AC$2:$AC$495&gt;=10))*ROW('CONTROL MASTER'!$S$2:$S$495))-(ROW('CONTROL MASTER'!#REF!)-1))))*(INDEX('CONTROL MASTER'!$AC$2:$AC$495,(SUMPRODUCT((('CONTROL MASTER'!$S$2:$S$495=6)*('CONTROL MASTER'!$Z$2:$Z$495&lt;=1)*('CONTROL MASTER'!$AB$2:$AB$495&gt;=1)*('CONTROL MASTER'!$AA$2:$AA$495&lt;=10)*('CONTROL MASTER'!$AC$2:$AC$495&gt;=10))*ROW('CONTROL MASTER'!$S$2:$S$495))-(ROW('CONTROL MASTER'!#REF!)-1)))-INDEX('CONTROL MASTER'!$AA$2:$AA$495,(SUMPRODUCT((('CONTROL MASTER'!$S$2:$S$495=6)*('CONTROL MASTER'!$Z$2:$Z$495&lt;=1)*('CONTROL MASTER'!$AB$2:$AB$495&gt;=1)*('CONTROL MASTER'!$AA$2:$AA$495&lt;=10)*('CONTROL MASTER'!$AC$2:$AC$495&gt;=10))*ROW('CONTROL MASTER'!$S$2:$S$495))-(ROW('CONTROL MASTER'!#REF!)-1)))+1)+(10-INDEX('CONTROL MASTER'!$AA$2:$AA$495,(SUMPRODUCT((('CONTROL MASTER'!$S$2:$S$495=6)*('CONTROL MASTER'!$Z$2:$Z$495&lt;=1)*('CONTROL MASTER'!$AB$2:$AB$495&gt;=1)*('CONTROL MASTER'!$AA$2:$AA$495&lt;=10)*('CONTROL MASTER'!$AC$2:$AC$495&gt;=10))*ROW('CONTROL MASTER'!$S$2:$S$495))-(ROW('CONTROL MASTER'!#REF!)-1))))+1)))-1)*50+1,50))&amp;"_"&amp;INDEX('CONTROL MASTER'!$P$2:$P$495,(SUMPRODUCT((('CONTROL MASTER'!$S$2:$S$495=6)*('CONTROL MASTER'!$Z$2:$Z$495&lt;=1)*('CONTROL MASTER'!$AB$2:$AB$495&gt;=1)*('CONTROL MASTER'!$AA$2:$AA$495&lt;=10)*('CONTROL MASTER'!$AC$2:$AC$495&gt;=10))*ROW('CONTROL MASTER'!$S$2:$S$495))-(ROW('CONTROL MASTER'!#REF!)-1))),"")),"")</f>
        <v/>
      </c>
    </row>
    <row r="74" spans="1:11" ht="15" customHeight="1" x14ac:dyDescent="0.35">
      <c r="A74" s="8" t="s">
        <v>29</v>
      </c>
      <c r="B74" s="10" t="str">
        <f>IFERROR(IF(SUMPRODUCT((('CONTROL MASTER'!$S$2:$S$495=6)*('CONTROL MASTER'!$T$2:$T$495&lt;=2)*('CONTROL MASTER'!$V$2:$V$495&gt;=2)*('CONTROL MASTER'!$U$2:$U$495&lt;=1)*('CONTROL MASTER'!$W$2:$W$495&gt;=1))*ROW('CONTROL MASTER'!$S$2:$S$495))&gt;0,INDEX('CONTROL MASTER'!$X$2:$X$495,(SUMPRODUCT((('CONTROL MASTER'!$S$2:$S$495=6)*('CONTROL MASTER'!$T$2:$T$495&lt;=2)*('CONTROL MASTER'!$V$2:$V$495&gt;=2)*('CONTROL MASTER'!$U$2:$U$495&lt;=1)*('CONTROL MASTER'!$W$2:$W$495&gt;=1))*ROW('CONTROL MASTER'!$S$2:$S$495))-(ROW('CONTROL MASTER'!#REF!)-1)))&amp;TRIM(MID(SUBSTITUTE(SUBSTITUTE(INDEX('CONTROL MASTER'!$N$2:$N$495,(SUMPRODUCT((('CONTROL MASTER'!$S$2:$S$495=6)*('CONTROL MASTER'!$T$2:$T$495&lt;=2)*('CONTROL MASTER'!$V$2:$V$495&gt;=2)*('CONTROL MASTER'!$U$2:$U$495&lt;=1)*('CONTROL MASTER'!$W$2:$W$495&gt;=1))*ROW('CONTROL MASTER'!$S$2:$S$495))-(ROW('CONTROL MASTER'!#REF!)-1))),":",","),",",REPT(" ",50)),((((2-INDEX('CONTROL MASTER'!$T$2:$T$495,(SUMPRODUCT((('CONTROL MASTER'!$S$2:$S$495=6)*('CONTROL MASTER'!$T$2:$T$495&lt;=2)*('CONTROL MASTER'!$V$2:$V$495&gt;=2)*('CONTROL MASTER'!$U$2:$U$495&lt;=1)*('CONTROL MASTER'!$W$2:$W$495&gt;=1))*ROW('CONTROL MASTER'!$S$2:$S$495))-(ROW('CONTROL MASTER'!#REF!)-1))))*(INDEX('CONTROL MASTER'!$W$2:$W$495,(SUMPRODUCT((('CONTROL MASTER'!$S$2:$S$495=6)*('CONTROL MASTER'!$T$2:$T$495&lt;=2)*('CONTROL MASTER'!$V$2:$V$495&gt;=2)*('CONTROL MASTER'!$U$2:$U$495&lt;=1)*('CONTROL MASTER'!$W$2:$W$495&gt;=1))*ROW('CONTROL MASTER'!$S$2:$S$495))-(ROW('CONTROL MASTER'!#REF!)-1)))-INDEX('CONTROL MASTER'!$U$2:$U$495,(SUMPRODUCT((('CONTROL MASTER'!$S$2:$S$495=6)*('CONTROL MASTER'!$T$2:$T$495&lt;=2)*('CONTROL MASTER'!$V$2:$V$495&gt;=2)*('CONTROL MASTER'!$U$2:$U$495&lt;=1)*('CONTROL MASTER'!$W$2:$W$495&gt;=1))*ROW('CONTROL MASTER'!$S$2:$S$495))-(ROW('CONTROL MASTER'!#REF!)-1)))+1)+(1-INDEX('CONTROL MASTER'!$U$2:$U$495,(SUMPRODUCT((('CONTROL MASTER'!$S$2:$S$495=6)*('CONTROL MASTER'!$T$2:$T$495&lt;=2)*('CONTROL MASTER'!$V$2:$V$495&gt;=2)*('CONTROL MASTER'!$U$2:$U$495&lt;=1)*('CONTROL MASTER'!$W$2:$W$495&gt;=1))*ROW('CONTROL MASTER'!$S$2:$S$495))-(ROW('CONTROL MASTER'!#REF!)-1))))+1))-1)*50+1,50))&amp;"_"&amp;INDEX('CONTROL MASTER'!$P$2:$P$495,(SUMPRODUCT((('CONTROL MASTER'!$S$2:$S$495=6)*('CONTROL MASTER'!$T$2:$T$495&lt;=2)*('CONTROL MASTER'!$V$2:$V$495&gt;=2)*('CONTROL MASTER'!$U$2:$U$495&lt;=1)*('CONTROL MASTER'!$W$2:$W$495&gt;=1))*ROW('CONTROL MASTER'!$S$2:$S$495))-(ROW('CONTROL MASTER'!#REF!)-1))),IF(SUMPRODUCT((('CONTROL MASTER'!$S$2:$S$495=6)*('CONTROL MASTER'!$Z$2:$Z$495&lt;=2)*('CONTROL MASTER'!$AB$2:$AB$495&gt;=2)*('CONTROL MASTER'!$AA$2:$AA$495&lt;=1)*('CONTROL MASTER'!$AC$2:$AC$495&gt;=1))*ROW('CONTROL MASTER'!$S$2:$S$495))&gt;0,INDEX('CONTROL MASTER'!$X$2:$X$495,(SUMPRODUCT((('CONTROL MASTER'!$S$2:$S$495=6)*('CONTROL MASTER'!$Z$2:$Z$495&lt;=2)*('CONTROL MASTER'!$AB$2:$AB$495&gt;=2)*('CONTROL MASTER'!$AA$2:$AA$495&lt;=1)*('CONTROL MASTER'!$AC$2:$AC$495&gt;=1))*ROW('CONTROL MASTER'!$S$2:$S$495))-(ROW('CONTROL MASTER'!#REF!)-1)))&amp;TRIM(MID(SUBSTITUTE(SUBSTITUTE(INDEX('CONTROL MASTER'!$N$2:$N$495,(SUMPRODUCT((('CONTROL MASTER'!$S$2:$S$495=6)*('CONTROL MASTER'!$Z$2:$Z$495&lt;=2)*('CONTROL MASTER'!$AB$2:$AB$495&gt;=2)*('CONTROL MASTER'!$AA$2:$AA$495&lt;=1)*('CONTROL MASTER'!$AC$2:$AC$495&gt;=1))*ROW('CONTROL MASTER'!$S$2:$S$495))-(ROW('CONTROL MASTER'!#REF!)-1))),":",","),",",REPT(" ",50)),(((INDEX('CONTROL MASTER'!$Y$2:$Y$495,(SUMPRODUCT((('CONTROL MASTER'!$S$2:$S$495=6)*('CONTROL MASTER'!$Z$2:$Z$495&lt;=2)*('CONTROL MASTER'!$AB$2:$AB$495&gt;=2)*('CONTROL MASTER'!$AA$2:$AA$495&lt;=1)*('CONTROL MASTER'!$AC$2:$AC$495&gt;=1))*ROW('CONTROL MASTER'!$S$2:$S$495))-(ROW('CONTROL MASTER'!#REF!)-1)))+((2-INDEX('CONTROL MASTER'!$Z$2:$Z$495,(SUMPRODUCT((('CONTROL MASTER'!$S$2:$S$495=6)*('CONTROL MASTER'!$Z$2:$Z$495&lt;=2)*('CONTROL MASTER'!$AB$2:$AB$495&gt;=2)*('CONTROL MASTER'!$AA$2:$AA$495&lt;=1)*('CONTROL MASTER'!$AC$2:$AC$495&gt;=1))*ROW('CONTROL MASTER'!$S$2:$S$495))-(ROW('CONTROL MASTER'!#REF!)-1))))*(INDEX('CONTROL MASTER'!$AC$2:$AC$495,(SUMPRODUCT((('CONTROL MASTER'!$S$2:$S$495=6)*('CONTROL MASTER'!$Z$2:$Z$495&lt;=2)*('CONTROL MASTER'!$AB$2:$AB$495&gt;=2)*('CONTROL MASTER'!$AA$2:$AA$495&lt;=1)*('CONTROL MASTER'!$AC$2:$AC$495&gt;=1))*ROW('CONTROL MASTER'!$S$2:$S$495))-(ROW('CONTROL MASTER'!#REF!)-1)))-INDEX('CONTROL MASTER'!$AA$2:$AA$495,(SUMPRODUCT((('CONTROL MASTER'!$S$2:$S$495=6)*('CONTROL MASTER'!$Z$2:$Z$495&lt;=2)*('CONTROL MASTER'!$AB$2:$AB$495&gt;=2)*('CONTROL MASTER'!$AA$2:$AA$495&lt;=1)*('CONTROL MASTER'!$AC$2:$AC$495&gt;=1))*ROW('CONTROL MASTER'!$S$2:$S$495))-(ROW('CONTROL MASTER'!#REF!)-1)))+1)+(1-INDEX('CONTROL MASTER'!$AA$2:$AA$495,(SUMPRODUCT((('CONTROL MASTER'!$S$2:$S$495=6)*('CONTROL MASTER'!$Z$2:$Z$495&lt;=2)*('CONTROL MASTER'!$AB$2:$AB$495&gt;=2)*('CONTROL MASTER'!$AA$2:$AA$495&lt;=1)*('CONTROL MASTER'!$AC$2:$AC$495&gt;=1))*ROW('CONTROL MASTER'!$S$2:$S$495))-(ROW('CONTROL MASTER'!#REF!)-1))))+1)))-1)*50+1,50))&amp;"_"&amp;INDEX('CONTROL MASTER'!$P$2:$P$495,(SUMPRODUCT((('CONTROL MASTER'!$S$2:$S$495=6)*('CONTROL MASTER'!$Z$2:$Z$495&lt;=2)*('CONTROL MASTER'!$AB$2:$AB$495&gt;=2)*('CONTROL MASTER'!$AA$2:$AA$495&lt;=1)*('CONTROL MASTER'!$AC$2:$AC$495&gt;=1))*ROW('CONTROL MASTER'!$S$2:$S$495))-(ROW('CONTROL MASTER'!#REF!)-1))),"")),"")</f>
        <v/>
      </c>
      <c r="C74" s="10" t="str">
        <f>IFERROR(IF(SUMPRODUCT((('CONTROL MASTER'!$S$2:$S$495=6)*('CONTROL MASTER'!$T$2:$T$495&lt;=2)*('CONTROL MASTER'!$V$2:$V$495&gt;=2)*('CONTROL MASTER'!$U$2:$U$495&lt;=2)*('CONTROL MASTER'!$W$2:$W$495&gt;=2))*ROW('CONTROL MASTER'!$S$2:$S$495))&gt;0,INDEX('CONTROL MASTER'!$X$2:$X$495,(SUMPRODUCT((('CONTROL MASTER'!$S$2:$S$495=6)*('CONTROL MASTER'!$T$2:$T$495&lt;=2)*('CONTROL MASTER'!$V$2:$V$495&gt;=2)*('CONTROL MASTER'!$U$2:$U$495&lt;=2)*('CONTROL MASTER'!$W$2:$W$495&gt;=2))*ROW('CONTROL MASTER'!$S$2:$S$495))-(ROW('CONTROL MASTER'!#REF!)-1)))&amp;TRIM(MID(SUBSTITUTE(SUBSTITUTE(INDEX('CONTROL MASTER'!$N$2:$N$495,(SUMPRODUCT((('CONTROL MASTER'!$S$2:$S$495=6)*('CONTROL MASTER'!$T$2:$T$495&lt;=2)*('CONTROL MASTER'!$V$2:$V$495&gt;=2)*('CONTROL MASTER'!$U$2:$U$495&lt;=2)*('CONTROL MASTER'!$W$2:$W$495&gt;=2))*ROW('CONTROL MASTER'!$S$2:$S$495))-(ROW('CONTROL MASTER'!#REF!)-1))),":",","),",",REPT(" ",50)),((((2-INDEX('CONTROL MASTER'!$T$2:$T$495,(SUMPRODUCT((('CONTROL MASTER'!$S$2:$S$495=6)*('CONTROL MASTER'!$T$2:$T$495&lt;=2)*('CONTROL MASTER'!$V$2:$V$495&gt;=2)*('CONTROL MASTER'!$U$2:$U$495&lt;=2)*('CONTROL MASTER'!$W$2:$W$495&gt;=2))*ROW('CONTROL MASTER'!$S$2:$S$495))-(ROW('CONTROL MASTER'!#REF!)-1))))*(INDEX('CONTROL MASTER'!$W$2:$W$495,(SUMPRODUCT((('CONTROL MASTER'!$S$2:$S$495=6)*('CONTROL MASTER'!$T$2:$T$495&lt;=2)*('CONTROL MASTER'!$V$2:$V$495&gt;=2)*('CONTROL MASTER'!$U$2:$U$495&lt;=2)*('CONTROL MASTER'!$W$2:$W$495&gt;=2))*ROW('CONTROL MASTER'!$S$2:$S$495))-(ROW('CONTROL MASTER'!#REF!)-1)))-INDEX('CONTROL MASTER'!$U$2:$U$495,(SUMPRODUCT((('CONTROL MASTER'!$S$2:$S$495=6)*('CONTROL MASTER'!$T$2:$T$495&lt;=2)*('CONTROL MASTER'!$V$2:$V$495&gt;=2)*('CONTROL MASTER'!$U$2:$U$495&lt;=2)*('CONTROL MASTER'!$W$2:$W$495&gt;=2))*ROW('CONTROL MASTER'!$S$2:$S$495))-(ROW('CONTROL MASTER'!#REF!)-1)))+1)+(2-INDEX('CONTROL MASTER'!$U$2:$U$495,(SUMPRODUCT((('CONTROL MASTER'!$S$2:$S$495=6)*('CONTROL MASTER'!$T$2:$T$495&lt;=2)*('CONTROL MASTER'!$V$2:$V$495&gt;=2)*('CONTROL MASTER'!$U$2:$U$495&lt;=2)*('CONTROL MASTER'!$W$2:$W$495&gt;=2))*ROW('CONTROL MASTER'!$S$2:$S$495))-(ROW('CONTROL MASTER'!#REF!)-1))))+1))-1)*50+1,50))&amp;"_"&amp;INDEX('CONTROL MASTER'!$P$2:$P$495,(SUMPRODUCT((('CONTROL MASTER'!$S$2:$S$495=6)*('CONTROL MASTER'!$T$2:$T$495&lt;=2)*('CONTROL MASTER'!$V$2:$V$495&gt;=2)*('CONTROL MASTER'!$U$2:$U$495&lt;=2)*('CONTROL MASTER'!$W$2:$W$495&gt;=2))*ROW('CONTROL MASTER'!$S$2:$S$495))-(ROW('CONTROL MASTER'!#REF!)-1))),IF(SUMPRODUCT((('CONTROL MASTER'!$S$2:$S$495=6)*('CONTROL MASTER'!$Z$2:$Z$495&lt;=2)*('CONTROL MASTER'!$AB$2:$AB$495&gt;=2)*('CONTROL MASTER'!$AA$2:$AA$495&lt;=2)*('CONTROL MASTER'!$AC$2:$AC$495&gt;=2))*ROW('CONTROL MASTER'!$S$2:$S$495))&gt;0,INDEX('CONTROL MASTER'!$X$2:$X$495,(SUMPRODUCT((('CONTROL MASTER'!$S$2:$S$495=6)*('CONTROL MASTER'!$Z$2:$Z$495&lt;=2)*('CONTROL MASTER'!$AB$2:$AB$495&gt;=2)*('CONTROL MASTER'!$AA$2:$AA$495&lt;=2)*('CONTROL MASTER'!$AC$2:$AC$495&gt;=2))*ROW('CONTROL MASTER'!$S$2:$S$495))-(ROW('CONTROL MASTER'!#REF!)-1)))&amp;TRIM(MID(SUBSTITUTE(SUBSTITUTE(INDEX('CONTROL MASTER'!$N$2:$N$495,(SUMPRODUCT((('CONTROL MASTER'!$S$2:$S$495=6)*('CONTROL MASTER'!$Z$2:$Z$495&lt;=2)*('CONTROL MASTER'!$AB$2:$AB$495&gt;=2)*('CONTROL MASTER'!$AA$2:$AA$495&lt;=2)*('CONTROL MASTER'!$AC$2:$AC$495&gt;=2))*ROW('CONTROL MASTER'!$S$2:$S$495))-(ROW('CONTROL MASTER'!#REF!)-1))),":",","),",",REPT(" ",50)),(((INDEX('CONTROL MASTER'!$Y$2:$Y$495,(SUMPRODUCT((('CONTROL MASTER'!$S$2:$S$495=6)*('CONTROL MASTER'!$Z$2:$Z$495&lt;=2)*('CONTROL MASTER'!$AB$2:$AB$495&gt;=2)*('CONTROL MASTER'!$AA$2:$AA$495&lt;=2)*('CONTROL MASTER'!$AC$2:$AC$495&gt;=2))*ROW('CONTROL MASTER'!$S$2:$S$495))-(ROW('CONTROL MASTER'!#REF!)-1)))+((2-INDEX('CONTROL MASTER'!$Z$2:$Z$495,(SUMPRODUCT((('CONTROL MASTER'!$S$2:$S$495=6)*('CONTROL MASTER'!$Z$2:$Z$495&lt;=2)*('CONTROL MASTER'!$AB$2:$AB$495&gt;=2)*('CONTROL MASTER'!$AA$2:$AA$495&lt;=2)*('CONTROL MASTER'!$AC$2:$AC$495&gt;=2))*ROW('CONTROL MASTER'!$S$2:$S$495))-(ROW('CONTROL MASTER'!#REF!)-1))))*(INDEX('CONTROL MASTER'!$AC$2:$AC$495,(SUMPRODUCT((('CONTROL MASTER'!$S$2:$S$495=6)*('CONTROL MASTER'!$Z$2:$Z$495&lt;=2)*('CONTROL MASTER'!$AB$2:$AB$495&gt;=2)*('CONTROL MASTER'!$AA$2:$AA$495&lt;=2)*('CONTROL MASTER'!$AC$2:$AC$495&gt;=2))*ROW('CONTROL MASTER'!$S$2:$S$495))-(ROW('CONTROL MASTER'!#REF!)-1)))-INDEX('CONTROL MASTER'!$AA$2:$AA$495,(SUMPRODUCT((('CONTROL MASTER'!$S$2:$S$495=6)*('CONTROL MASTER'!$Z$2:$Z$495&lt;=2)*('CONTROL MASTER'!$AB$2:$AB$495&gt;=2)*('CONTROL MASTER'!$AA$2:$AA$495&lt;=2)*('CONTROL MASTER'!$AC$2:$AC$495&gt;=2))*ROW('CONTROL MASTER'!$S$2:$S$495))-(ROW('CONTROL MASTER'!#REF!)-1)))+1)+(2-INDEX('CONTROL MASTER'!$AA$2:$AA$495,(SUMPRODUCT((('CONTROL MASTER'!$S$2:$S$495=6)*('CONTROL MASTER'!$Z$2:$Z$495&lt;=2)*('CONTROL MASTER'!$AB$2:$AB$495&gt;=2)*('CONTROL MASTER'!$AA$2:$AA$495&lt;=2)*('CONTROL MASTER'!$AC$2:$AC$495&gt;=2))*ROW('CONTROL MASTER'!$S$2:$S$495))-(ROW('CONTROL MASTER'!#REF!)-1))))+1)))-1)*50+1,50))&amp;"_"&amp;INDEX('CONTROL MASTER'!$P$2:$P$495,(SUMPRODUCT((('CONTROL MASTER'!$S$2:$S$495=6)*('CONTROL MASTER'!$Z$2:$Z$495&lt;=2)*('CONTROL MASTER'!$AB$2:$AB$495&gt;=2)*('CONTROL MASTER'!$AA$2:$AA$495&lt;=2)*('CONTROL MASTER'!$AC$2:$AC$495&gt;=2))*ROW('CONTROL MASTER'!$S$2:$S$495))-(ROW('CONTROL MASTER'!#REF!)-1))),"")),"")</f>
        <v/>
      </c>
      <c r="D74" s="10" t="str">
        <f>IFERROR(IF(SUMPRODUCT((('CONTROL MASTER'!$S$2:$S$495=6)*('CONTROL MASTER'!$T$2:$T$495&lt;=2)*('CONTROL MASTER'!$V$2:$V$495&gt;=2)*('CONTROL MASTER'!$U$2:$U$495&lt;=3)*('CONTROL MASTER'!$W$2:$W$495&gt;=3))*ROW('CONTROL MASTER'!$S$2:$S$495))&gt;0,INDEX('CONTROL MASTER'!$X$2:$X$495,(SUMPRODUCT((('CONTROL MASTER'!$S$2:$S$495=6)*('CONTROL MASTER'!$T$2:$T$495&lt;=2)*('CONTROL MASTER'!$V$2:$V$495&gt;=2)*('CONTROL MASTER'!$U$2:$U$495&lt;=3)*('CONTROL MASTER'!$W$2:$W$495&gt;=3))*ROW('CONTROL MASTER'!$S$2:$S$495))-(ROW('CONTROL MASTER'!#REF!)-1)))&amp;TRIM(MID(SUBSTITUTE(SUBSTITUTE(INDEX('CONTROL MASTER'!$N$2:$N$495,(SUMPRODUCT((('CONTROL MASTER'!$S$2:$S$495=6)*('CONTROL MASTER'!$T$2:$T$495&lt;=2)*('CONTROL MASTER'!$V$2:$V$495&gt;=2)*('CONTROL MASTER'!$U$2:$U$495&lt;=3)*('CONTROL MASTER'!$W$2:$W$495&gt;=3))*ROW('CONTROL MASTER'!$S$2:$S$495))-(ROW('CONTROL MASTER'!#REF!)-1))),":",","),",",REPT(" ",50)),((((2-INDEX('CONTROL MASTER'!$T$2:$T$495,(SUMPRODUCT((('CONTROL MASTER'!$S$2:$S$495=6)*('CONTROL MASTER'!$T$2:$T$495&lt;=2)*('CONTROL MASTER'!$V$2:$V$495&gt;=2)*('CONTROL MASTER'!$U$2:$U$495&lt;=3)*('CONTROL MASTER'!$W$2:$W$495&gt;=3))*ROW('CONTROL MASTER'!$S$2:$S$495))-(ROW('CONTROL MASTER'!#REF!)-1))))*(INDEX('CONTROL MASTER'!$W$2:$W$495,(SUMPRODUCT((('CONTROL MASTER'!$S$2:$S$495=6)*('CONTROL MASTER'!$T$2:$T$495&lt;=2)*('CONTROL MASTER'!$V$2:$V$495&gt;=2)*('CONTROL MASTER'!$U$2:$U$495&lt;=3)*('CONTROL MASTER'!$W$2:$W$495&gt;=3))*ROW('CONTROL MASTER'!$S$2:$S$495))-(ROW('CONTROL MASTER'!#REF!)-1)))-INDEX('CONTROL MASTER'!$U$2:$U$495,(SUMPRODUCT((('CONTROL MASTER'!$S$2:$S$495=6)*('CONTROL MASTER'!$T$2:$T$495&lt;=2)*('CONTROL MASTER'!$V$2:$V$495&gt;=2)*('CONTROL MASTER'!$U$2:$U$495&lt;=3)*('CONTROL MASTER'!$W$2:$W$495&gt;=3))*ROW('CONTROL MASTER'!$S$2:$S$495))-(ROW('CONTROL MASTER'!#REF!)-1)))+1)+(3-INDEX('CONTROL MASTER'!$U$2:$U$495,(SUMPRODUCT((('CONTROL MASTER'!$S$2:$S$495=6)*('CONTROL MASTER'!$T$2:$T$495&lt;=2)*('CONTROL MASTER'!$V$2:$V$495&gt;=2)*('CONTROL MASTER'!$U$2:$U$495&lt;=3)*('CONTROL MASTER'!$W$2:$W$495&gt;=3))*ROW('CONTROL MASTER'!$S$2:$S$495))-(ROW('CONTROL MASTER'!#REF!)-1))))+1))-1)*50+1,50))&amp;"_"&amp;INDEX('CONTROL MASTER'!$P$2:$P$495,(SUMPRODUCT((('CONTROL MASTER'!$S$2:$S$495=6)*('CONTROL MASTER'!$T$2:$T$495&lt;=2)*('CONTROL MASTER'!$V$2:$V$495&gt;=2)*('CONTROL MASTER'!$U$2:$U$495&lt;=3)*('CONTROL MASTER'!$W$2:$W$495&gt;=3))*ROW('CONTROL MASTER'!$S$2:$S$495))-(ROW('CONTROL MASTER'!#REF!)-1))),IF(SUMPRODUCT((('CONTROL MASTER'!$S$2:$S$495=6)*('CONTROL MASTER'!$Z$2:$Z$495&lt;=2)*('CONTROL MASTER'!$AB$2:$AB$495&gt;=2)*('CONTROL MASTER'!$AA$2:$AA$495&lt;=3)*('CONTROL MASTER'!$AC$2:$AC$495&gt;=3))*ROW('CONTROL MASTER'!$S$2:$S$495))&gt;0,INDEX('CONTROL MASTER'!$X$2:$X$495,(SUMPRODUCT((('CONTROL MASTER'!$S$2:$S$495=6)*('CONTROL MASTER'!$Z$2:$Z$495&lt;=2)*('CONTROL MASTER'!$AB$2:$AB$495&gt;=2)*('CONTROL MASTER'!$AA$2:$AA$495&lt;=3)*('CONTROL MASTER'!$AC$2:$AC$495&gt;=3))*ROW('CONTROL MASTER'!$S$2:$S$495))-(ROW('CONTROL MASTER'!#REF!)-1)))&amp;TRIM(MID(SUBSTITUTE(SUBSTITUTE(INDEX('CONTROL MASTER'!$N$2:$N$495,(SUMPRODUCT((('CONTROL MASTER'!$S$2:$S$495=6)*('CONTROL MASTER'!$Z$2:$Z$495&lt;=2)*('CONTROL MASTER'!$AB$2:$AB$495&gt;=2)*('CONTROL MASTER'!$AA$2:$AA$495&lt;=3)*('CONTROL MASTER'!$AC$2:$AC$495&gt;=3))*ROW('CONTROL MASTER'!$S$2:$S$495))-(ROW('CONTROL MASTER'!#REF!)-1))),":",","),",",REPT(" ",50)),(((INDEX('CONTROL MASTER'!$Y$2:$Y$495,(SUMPRODUCT((('CONTROL MASTER'!$S$2:$S$495=6)*('CONTROL MASTER'!$Z$2:$Z$495&lt;=2)*('CONTROL MASTER'!$AB$2:$AB$495&gt;=2)*('CONTROL MASTER'!$AA$2:$AA$495&lt;=3)*('CONTROL MASTER'!$AC$2:$AC$495&gt;=3))*ROW('CONTROL MASTER'!$S$2:$S$495))-(ROW('CONTROL MASTER'!#REF!)-1)))+((2-INDEX('CONTROL MASTER'!$Z$2:$Z$495,(SUMPRODUCT((('CONTROL MASTER'!$S$2:$S$495=6)*('CONTROL MASTER'!$Z$2:$Z$495&lt;=2)*('CONTROL MASTER'!$AB$2:$AB$495&gt;=2)*('CONTROL MASTER'!$AA$2:$AA$495&lt;=3)*('CONTROL MASTER'!$AC$2:$AC$495&gt;=3))*ROW('CONTROL MASTER'!$S$2:$S$495))-(ROW('CONTROL MASTER'!#REF!)-1))))*(INDEX('CONTROL MASTER'!$AC$2:$AC$495,(SUMPRODUCT((('CONTROL MASTER'!$S$2:$S$495=6)*('CONTROL MASTER'!$Z$2:$Z$495&lt;=2)*('CONTROL MASTER'!$AB$2:$AB$495&gt;=2)*('CONTROL MASTER'!$AA$2:$AA$495&lt;=3)*('CONTROL MASTER'!$AC$2:$AC$495&gt;=3))*ROW('CONTROL MASTER'!$S$2:$S$495))-(ROW('CONTROL MASTER'!#REF!)-1)))-INDEX('CONTROL MASTER'!$AA$2:$AA$495,(SUMPRODUCT((('CONTROL MASTER'!$S$2:$S$495=6)*('CONTROL MASTER'!$Z$2:$Z$495&lt;=2)*('CONTROL MASTER'!$AB$2:$AB$495&gt;=2)*('CONTROL MASTER'!$AA$2:$AA$495&lt;=3)*('CONTROL MASTER'!$AC$2:$AC$495&gt;=3))*ROW('CONTROL MASTER'!$S$2:$S$495))-(ROW('CONTROL MASTER'!#REF!)-1)))+1)+(3-INDEX('CONTROL MASTER'!$AA$2:$AA$495,(SUMPRODUCT((('CONTROL MASTER'!$S$2:$S$495=6)*('CONTROL MASTER'!$Z$2:$Z$495&lt;=2)*('CONTROL MASTER'!$AB$2:$AB$495&gt;=2)*('CONTROL MASTER'!$AA$2:$AA$495&lt;=3)*('CONTROL MASTER'!$AC$2:$AC$495&gt;=3))*ROW('CONTROL MASTER'!$S$2:$S$495))-(ROW('CONTROL MASTER'!#REF!)-1))))+1)))-1)*50+1,50))&amp;"_"&amp;INDEX('CONTROL MASTER'!$P$2:$P$495,(SUMPRODUCT((('CONTROL MASTER'!$S$2:$S$495=6)*('CONTROL MASTER'!$Z$2:$Z$495&lt;=2)*('CONTROL MASTER'!$AB$2:$AB$495&gt;=2)*('CONTROL MASTER'!$AA$2:$AA$495&lt;=3)*('CONTROL MASTER'!$AC$2:$AC$495&gt;=3))*ROW('CONTROL MASTER'!$S$2:$S$495))-(ROW('CONTROL MASTER'!#REF!)-1))),"")),"")</f>
        <v/>
      </c>
      <c r="E74" s="10" t="str">
        <f>IFERROR(IF(SUMPRODUCT((('CONTROL MASTER'!$S$2:$S$495=6)*('CONTROL MASTER'!$T$2:$T$495&lt;=2)*('CONTROL MASTER'!$V$2:$V$495&gt;=2)*('CONTROL MASTER'!$U$2:$U$495&lt;=4)*('CONTROL MASTER'!$W$2:$W$495&gt;=4))*ROW('CONTROL MASTER'!$S$2:$S$495))&gt;0,INDEX('CONTROL MASTER'!$X$2:$X$495,(SUMPRODUCT((('CONTROL MASTER'!$S$2:$S$495=6)*('CONTROL MASTER'!$T$2:$T$495&lt;=2)*('CONTROL MASTER'!$V$2:$V$495&gt;=2)*('CONTROL MASTER'!$U$2:$U$495&lt;=4)*('CONTROL MASTER'!$W$2:$W$495&gt;=4))*ROW('CONTROL MASTER'!$S$2:$S$495))-(ROW('CONTROL MASTER'!#REF!)-1)))&amp;TRIM(MID(SUBSTITUTE(SUBSTITUTE(INDEX('CONTROL MASTER'!$N$2:$N$495,(SUMPRODUCT((('CONTROL MASTER'!$S$2:$S$495=6)*('CONTROL MASTER'!$T$2:$T$495&lt;=2)*('CONTROL MASTER'!$V$2:$V$495&gt;=2)*('CONTROL MASTER'!$U$2:$U$495&lt;=4)*('CONTROL MASTER'!$W$2:$W$495&gt;=4))*ROW('CONTROL MASTER'!$S$2:$S$495))-(ROW('CONTROL MASTER'!#REF!)-1))),":",","),",",REPT(" ",50)),((((2-INDEX('CONTROL MASTER'!$T$2:$T$495,(SUMPRODUCT((('CONTROL MASTER'!$S$2:$S$495=6)*('CONTROL MASTER'!$T$2:$T$495&lt;=2)*('CONTROL MASTER'!$V$2:$V$495&gt;=2)*('CONTROL MASTER'!$U$2:$U$495&lt;=4)*('CONTROL MASTER'!$W$2:$W$495&gt;=4))*ROW('CONTROL MASTER'!$S$2:$S$495))-(ROW('CONTROL MASTER'!#REF!)-1))))*(INDEX('CONTROL MASTER'!$W$2:$W$495,(SUMPRODUCT((('CONTROL MASTER'!$S$2:$S$495=6)*('CONTROL MASTER'!$T$2:$T$495&lt;=2)*('CONTROL MASTER'!$V$2:$V$495&gt;=2)*('CONTROL MASTER'!$U$2:$U$495&lt;=4)*('CONTROL MASTER'!$W$2:$W$495&gt;=4))*ROW('CONTROL MASTER'!$S$2:$S$495))-(ROW('CONTROL MASTER'!#REF!)-1)))-INDEX('CONTROL MASTER'!$U$2:$U$495,(SUMPRODUCT((('CONTROL MASTER'!$S$2:$S$495=6)*('CONTROL MASTER'!$T$2:$T$495&lt;=2)*('CONTROL MASTER'!$V$2:$V$495&gt;=2)*('CONTROL MASTER'!$U$2:$U$495&lt;=4)*('CONTROL MASTER'!$W$2:$W$495&gt;=4))*ROW('CONTROL MASTER'!$S$2:$S$495))-(ROW('CONTROL MASTER'!#REF!)-1)))+1)+(4-INDEX('CONTROL MASTER'!$U$2:$U$495,(SUMPRODUCT((('CONTROL MASTER'!$S$2:$S$495=6)*('CONTROL MASTER'!$T$2:$T$495&lt;=2)*('CONTROL MASTER'!$V$2:$V$495&gt;=2)*('CONTROL MASTER'!$U$2:$U$495&lt;=4)*('CONTROL MASTER'!$W$2:$W$495&gt;=4))*ROW('CONTROL MASTER'!$S$2:$S$495))-(ROW('CONTROL MASTER'!#REF!)-1))))+1))-1)*50+1,50))&amp;"_"&amp;INDEX('CONTROL MASTER'!$P$2:$P$495,(SUMPRODUCT((('CONTROL MASTER'!$S$2:$S$495=6)*('CONTROL MASTER'!$T$2:$T$495&lt;=2)*('CONTROL MASTER'!$V$2:$V$495&gt;=2)*('CONTROL MASTER'!$U$2:$U$495&lt;=4)*('CONTROL MASTER'!$W$2:$W$495&gt;=4))*ROW('CONTROL MASTER'!$S$2:$S$495))-(ROW('CONTROL MASTER'!#REF!)-1))),IF(SUMPRODUCT((('CONTROL MASTER'!$S$2:$S$495=6)*('CONTROL MASTER'!$Z$2:$Z$495&lt;=2)*('CONTROL MASTER'!$AB$2:$AB$495&gt;=2)*('CONTROL MASTER'!$AA$2:$AA$495&lt;=4)*('CONTROL MASTER'!$AC$2:$AC$495&gt;=4))*ROW('CONTROL MASTER'!$S$2:$S$495))&gt;0,INDEX('CONTROL MASTER'!$X$2:$X$495,(SUMPRODUCT((('CONTROL MASTER'!$S$2:$S$495=6)*('CONTROL MASTER'!$Z$2:$Z$495&lt;=2)*('CONTROL MASTER'!$AB$2:$AB$495&gt;=2)*('CONTROL MASTER'!$AA$2:$AA$495&lt;=4)*('CONTROL MASTER'!$AC$2:$AC$495&gt;=4))*ROW('CONTROL MASTER'!$S$2:$S$495))-(ROW('CONTROL MASTER'!#REF!)-1)))&amp;TRIM(MID(SUBSTITUTE(SUBSTITUTE(INDEX('CONTROL MASTER'!$N$2:$N$495,(SUMPRODUCT((('CONTROL MASTER'!$S$2:$S$495=6)*('CONTROL MASTER'!$Z$2:$Z$495&lt;=2)*('CONTROL MASTER'!$AB$2:$AB$495&gt;=2)*('CONTROL MASTER'!$AA$2:$AA$495&lt;=4)*('CONTROL MASTER'!$AC$2:$AC$495&gt;=4))*ROW('CONTROL MASTER'!$S$2:$S$495))-(ROW('CONTROL MASTER'!#REF!)-1))),":",","),",",REPT(" ",50)),(((INDEX('CONTROL MASTER'!$Y$2:$Y$495,(SUMPRODUCT((('CONTROL MASTER'!$S$2:$S$495=6)*('CONTROL MASTER'!$Z$2:$Z$495&lt;=2)*('CONTROL MASTER'!$AB$2:$AB$495&gt;=2)*('CONTROL MASTER'!$AA$2:$AA$495&lt;=4)*('CONTROL MASTER'!$AC$2:$AC$495&gt;=4))*ROW('CONTROL MASTER'!$S$2:$S$495))-(ROW('CONTROL MASTER'!#REF!)-1)))+((2-INDEX('CONTROL MASTER'!$Z$2:$Z$495,(SUMPRODUCT((('CONTROL MASTER'!$S$2:$S$495=6)*('CONTROL MASTER'!$Z$2:$Z$495&lt;=2)*('CONTROL MASTER'!$AB$2:$AB$495&gt;=2)*('CONTROL MASTER'!$AA$2:$AA$495&lt;=4)*('CONTROL MASTER'!$AC$2:$AC$495&gt;=4))*ROW('CONTROL MASTER'!$S$2:$S$495))-(ROW('CONTROL MASTER'!#REF!)-1))))*(INDEX('CONTROL MASTER'!$AC$2:$AC$495,(SUMPRODUCT((('CONTROL MASTER'!$S$2:$S$495=6)*('CONTROL MASTER'!$Z$2:$Z$495&lt;=2)*('CONTROL MASTER'!$AB$2:$AB$495&gt;=2)*('CONTROL MASTER'!$AA$2:$AA$495&lt;=4)*('CONTROL MASTER'!$AC$2:$AC$495&gt;=4))*ROW('CONTROL MASTER'!$S$2:$S$495))-(ROW('CONTROL MASTER'!#REF!)-1)))-INDEX('CONTROL MASTER'!$AA$2:$AA$495,(SUMPRODUCT((('CONTROL MASTER'!$S$2:$S$495=6)*('CONTROL MASTER'!$Z$2:$Z$495&lt;=2)*('CONTROL MASTER'!$AB$2:$AB$495&gt;=2)*('CONTROL MASTER'!$AA$2:$AA$495&lt;=4)*('CONTROL MASTER'!$AC$2:$AC$495&gt;=4))*ROW('CONTROL MASTER'!$S$2:$S$495))-(ROW('CONTROL MASTER'!#REF!)-1)))+1)+(4-INDEX('CONTROL MASTER'!$AA$2:$AA$495,(SUMPRODUCT((('CONTROL MASTER'!$S$2:$S$495=6)*('CONTROL MASTER'!$Z$2:$Z$495&lt;=2)*('CONTROL MASTER'!$AB$2:$AB$495&gt;=2)*('CONTROL MASTER'!$AA$2:$AA$495&lt;=4)*('CONTROL MASTER'!$AC$2:$AC$495&gt;=4))*ROW('CONTROL MASTER'!$S$2:$S$495))-(ROW('CONTROL MASTER'!#REF!)-1))))+1)))-1)*50+1,50))&amp;"_"&amp;INDEX('CONTROL MASTER'!$P$2:$P$495,(SUMPRODUCT((('CONTROL MASTER'!$S$2:$S$495=6)*('CONTROL MASTER'!$Z$2:$Z$495&lt;=2)*('CONTROL MASTER'!$AB$2:$AB$495&gt;=2)*('CONTROL MASTER'!$AA$2:$AA$495&lt;=4)*('CONTROL MASTER'!$AC$2:$AC$495&gt;=4))*ROW('CONTROL MASTER'!$S$2:$S$495))-(ROW('CONTROL MASTER'!#REF!)-1))),"")),"")</f>
        <v/>
      </c>
      <c r="F74" s="10" t="str">
        <f>IFERROR(IF(SUMPRODUCT((('CONTROL MASTER'!$S$2:$S$495=6)*('CONTROL MASTER'!$T$2:$T$495&lt;=2)*('CONTROL MASTER'!$V$2:$V$495&gt;=2)*('CONTROL MASTER'!$U$2:$U$495&lt;=5)*('CONTROL MASTER'!$W$2:$W$495&gt;=5))*ROW('CONTROL MASTER'!$S$2:$S$495))&gt;0,INDEX('CONTROL MASTER'!$X$2:$X$495,(SUMPRODUCT((('CONTROL MASTER'!$S$2:$S$495=6)*('CONTROL MASTER'!$T$2:$T$495&lt;=2)*('CONTROL MASTER'!$V$2:$V$495&gt;=2)*('CONTROL MASTER'!$U$2:$U$495&lt;=5)*('CONTROL MASTER'!$W$2:$W$495&gt;=5))*ROW('CONTROL MASTER'!$S$2:$S$495))-(ROW('CONTROL MASTER'!#REF!)-1)))&amp;TRIM(MID(SUBSTITUTE(SUBSTITUTE(INDEX('CONTROL MASTER'!$N$2:$N$495,(SUMPRODUCT((('CONTROL MASTER'!$S$2:$S$495=6)*('CONTROL MASTER'!$T$2:$T$495&lt;=2)*('CONTROL MASTER'!$V$2:$V$495&gt;=2)*('CONTROL MASTER'!$U$2:$U$495&lt;=5)*('CONTROL MASTER'!$W$2:$W$495&gt;=5))*ROW('CONTROL MASTER'!$S$2:$S$495))-(ROW('CONTROL MASTER'!#REF!)-1))),":",","),",",REPT(" ",50)),((((2-INDEX('CONTROL MASTER'!$T$2:$T$495,(SUMPRODUCT((('CONTROL MASTER'!$S$2:$S$495=6)*('CONTROL MASTER'!$T$2:$T$495&lt;=2)*('CONTROL MASTER'!$V$2:$V$495&gt;=2)*('CONTROL MASTER'!$U$2:$U$495&lt;=5)*('CONTROL MASTER'!$W$2:$W$495&gt;=5))*ROW('CONTROL MASTER'!$S$2:$S$495))-(ROW('CONTROL MASTER'!#REF!)-1))))*(INDEX('CONTROL MASTER'!$W$2:$W$495,(SUMPRODUCT((('CONTROL MASTER'!$S$2:$S$495=6)*('CONTROL MASTER'!$T$2:$T$495&lt;=2)*('CONTROL MASTER'!$V$2:$V$495&gt;=2)*('CONTROL MASTER'!$U$2:$U$495&lt;=5)*('CONTROL MASTER'!$W$2:$W$495&gt;=5))*ROW('CONTROL MASTER'!$S$2:$S$495))-(ROW('CONTROL MASTER'!#REF!)-1)))-INDEX('CONTROL MASTER'!$U$2:$U$495,(SUMPRODUCT((('CONTROL MASTER'!$S$2:$S$495=6)*('CONTROL MASTER'!$T$2:$T$495&lt;=2)*('CONTROL MASTER'!$V$2:$V$495&gt;=2)*('CONTROL MASTER'!$U$2:$U$495&lt;=5)*('CONTROL MASTER'!$W$2:$W$495&gt;=5))*ROW('CONTROL MASTER'!$S$2:$S$495))-(ROW('CONTROL MASTER'!#REF!)-1)))+1)+(5-INDEX('CONTROL MASTER'!$U$2:$U$495,(SUMPRODUCT((('CONTROL MASTER'!$S$2:$S$495=6)*('CONTROL MASTER'!$T$2:$T$495&lt;=2)*('CONTROL MASTER'!$V$2:$V$495&gt;=2)*('CONTROL MASTER'!$U$2:$U$495&lt;=5)*('CONTROL MASTER'!$W$2:$W$495&gt;=5))*ROW('CONTROL MASTER'!$S$2:$S$495))-(ROW('CONTROL MASTER'!#REF!)-1))))+1))-1)*50+1,50))&amp;"_"&amp;INDEX('CONTROL MASTER'!$P$2:$P$495,(SUMPRODUCT((('CONTROL MASTER'!$S$2:$S$495=6)*('CONTROL MASTER'!$T$2:$T$495&lt;=2)*('CONTROL MASTER'!$V$2:$V$495&gt;=2)*('CONTROL MASTER'!$U$2:$U$495&lt;=5)*('CONTROL MASTER'!$W$2:$W$495&gt;=5))*ROW('CONTROL MASTER'!$S$2:$S$495))-(ROW('CONTROL MASTER'!#REF!)-1))),IF(SUMPRODUCT((('CONTROL MASTER'!$S$2:$S$495=6)*('CONTROL MASTER'!$Z$2:$Z$495&lt;=2)*('CONTROL MASTER'!$AB$2:$AB$495&gt;=2)*('CONTROL MASTER'!$AA$2:$AA$495&lt;=5)*('CONTROL MASTER'!$AC$2:$AC$495&gt;=5))*ROW('CONTROL MASTER'!$S$2:$S$495))&gt;0,INDEX('CONTROL MASTER'!$X$2:$X$495,(SUMPRODUCT((('CONTROL MASTER'!$S$2:$S$495=6)*('CONTROL MASTER'!$Z$2:$Z$495&lt;=2)*('CONTROL MASTER'!$AB$2:$AB$495&gt;=2)*('CONTROL MASTER'!$AA$2:$AA$495&lt;=5)*('CONTROL MASTER'!$AC$2:$AC$495&gt;=5))*ROW('CONTROL MASTER'!$S$2:$S$495))-(ROW('CONTROL MASTER'!#REF!)-1)))&amp;TRIM(MID(SUBSTITUTE(SUBSTITUTE(INDEX('CONTROL MASTER'!$N$2:$N$495,(SUMPRODUCT((('CONTROL MASTER'!$S$2:$S$495=6)*('CONTROL MASTER'!$Z$2:$Z$495&lt;=2)*('CONTROL MASTER'!$AB$2:$AB$495&gt;=2)*('CONTROL MASTER'!$AA$2:$AA$495&lt;=5)*('CONTROL MASTER'!$AC$2:$AC$495&gt;=5))*ROW('CONTROL MASTER'!$S$2:$S$495))-(ROW('CONTROL MASTER'!#REF!)-1))),":",","),",",REPT(" ",50)),(((INDEX('CONTROL MASTER'!$Y$2:$Y$495,(SUMPRODUCT((('CONTROL MASTER'!$S$2:$S$495=6)*('CONTROL MASTER'!$Z$2:$Z$495&lt;=2)*('CONTROL MASTER'!$AB$2:$AB$495&gt;=2)*('CONTROL MASTER'!$AA$2:$AA$495&lt;=5)*('CONTROL MASTER'!$AC$2:$AC$495&gt;=5))*ROW('CONTROL MASTER'!$S$2:$S$495))-(ROW('CONTROL MASTER'!#REF!)-1)))+((2-INDEX('CONTROL MASTER'!$Z$2:$Z$495,(SUMPRODUCT((('CONTROL MASTER'!$S$2:$S$495=6)*('CONTROL MASTER'!$Z$2:$Z$495&lt;=2)*('CONTROL MASTER'!$AB$2:$AB$495&gt;=2)*('CONTROL MASTER'!$AA$2:$AA$495&lt;=5)*('CONTROL MASTER'!$AC$2:$AC$495&gt;=5))*ROW('CONTROL MASTER'!$S$2:$S$495))-(ROW('CONTROL MASTER'!#REF!)-1))))*(INDEX('CONTROL MASTER'!$AC$2:$AC$495,(SUMPRODUCT((('CONTROL MASTER'!$S$2:$S$495=6)*('CONTROL MASTER'!$Z$2:$Z$495&lt;=2)*('CONTROL MASTER'!$AB$2:$AB$495&gt;=2)*('CONTROL MASTER'!$AA$2:$AA$495&lt;=5)*('CONTROL MASTER'!$AC$2:$AC$495&gt;=5))*ROW('CONTROL MASTER'!$S$2:$S$495))-(ROW('CONTROL MASTER'!#REF!)-1)))-INDEX('CONTROL MASTER'!$AA$2:$AA$495,(SUMPRODUCT((('CONTROL MASTER'!$S$2:$S$495=6)*('CONTROL MASTER'!$Z$2:$Z$495&lt;=2)*('CONTROL MASTER'!$AB$2:$AB$495&gt;=2)*('CONTROL MASTER'!$AA$2:$AA$495&lt;=5)*('CONTROL MASTER'!$AC$2:$AC$495&gt;=5))*ROW('CONTROL MASTER'!$S$2:$S$495))-(ROW('CONTROL MASTER'!#REF!)-1)))+1)+(5-INDEX('CONTROL MASTER'!$AA$2:$AA$495,(SUMPRODUCT((('CONTROL MASTER'!$S$2:$S$495=6)*('CONTROL MASTER'!$Z$2:$Z$495&lt;=2)*('CONTROL MASTER'!$AB$2:$AB$495&gt;=2)*('CONTROL MASTER'!$AA$2:$AA$495&lt;=5)*('CONTROL MASTER'!$AC$2:$AC$495&gt;=5))*ROW('CONTROL MASTER'!$S$2:$S$495))-(ROW('CONTROL MASTER'!#REF!)-1))))+1)))-1)*50+1,50))&amp;"_"&amp;INDEX('CONTROL MASTER'!$P$2:$P$495,(SUMPRODUCT((('CONTROL MASTER'!$S$2:$S$495=6)*('CONTROL MASTER'!$Z$2:$Z$495&lt;=2)*('CONTROL MASTER'!$AB$2:$AB$495&gt;=2)*('CONTROL MASTER'!$AA$2:$AA$495&lt;=5)*('CONTROL MASTER'!$AC$2:$AC$495&gt;=5))*ROW('CONTROL MASTER'!$S$2:$S$495))-(ROW('CONTROL MASTER'!#REF!)-1))),"")),"")</f>
        <v/>
      </c>
      <c r="G74" s="10" t="str">
        <f>IFERROR(IF(SUMPRODUCT((('CONTROL MASTER'!$S$2:$S$495=6)*('CONTROL MASTER'!$T$2:$T$495&lt;=2)*('CONTROL MASTER'!$V$2:$V$495&gt;=2)*('CONTROL MASTER'!$U$2:$U$495&lt;=6)*('CONTROL MASTER'!$W$2:$W$495&gt;=6))*ROW('CONTROL MASTER'!$S$2:$S$495))&gt;0,INDEX('CONTROL MASTER'!$X$2:$X$495,(SUMPRODUCT((('CONTROL MASTER'!$S$2:$S$495=6)*('CONTROL MASTER'!$T$2:$T$495&lt;=2)*('CONTROL MASTER'!$V$2:$V$495&gt;=2)*('CONTROL MASTER'!$U$2:$U$495&lt;=6)*('CONTROL MASTER'!$W$2:$W$495&gt;=6))*ROW('CONTROL MASTER'!$S$2:$S$495))-(ROW('CONTROL MASTER'!#REF!)-1)))&amp;TRIM(MID(SUBSTITUTE(SUBSTITUTE(INDEX('CONTROL MASTER'!$N$2:$N$495,(SUMPRODUCT((('CONTROL MASTER'!$S$2:$S$495=6)*('CONTROL MASTER'!$T$2:$T$495&lt;=2)*('CONTROL MASTER'!$V$2:$V$495&gt;=2)*('CONTROL MASTER'!$U$2:$U$495&lt;=6)*('CONTROL MASTER'!$W$2:$W$495&gt;=6))*ROW('CONTROL MASTER'!$S$2:$S$495))-(ROW('CONTROL MASTER'!#REF!)-1))),":",","),",",REPT(" ",50)),((((2-INDEX('CONTROL MASTER'!$T$2:$T$495,(SUMPRODUCT((('CONTROL MASTER'!$S$2:$S$495=6)*('CONTROL MASTER'!$T$2:$T$495&lt;=2)*('CONTROL MASTER'!$V$2:$V$495&gt;=2)*('CONTROL MASTER'!$U$2:$U$495&lt;=6)*('CONTROL MASTER'!$W$2:$W$495&gt;=6))*ROW('CONTROL MASTER'!$S$2:$S$495))-(ROW('CONTROL MASTER'!#REF!)-1))))*(INDEX('CONTROL MASTER'!$W$2:$W$495,(SUMPRODUCT((('CONTROL MASTER'!$S$2:$S$495=6)*('CONTROL MASTER'!$T$2:$T$495&lt;=2)*('CONTROL MASTER'!$V$2:$V$495&gt;=2)*('CONTROL MASTER'!$U$2:$U$495&lt;=6)*('CONTROL MASTER'!$W$2:$W$495&gt;=6))*ROW('CONTROL MASTER'!$S$2:$S$495))-(ROW('CONTROL MASTER'!#REF!)-1)))-INDEX('CONTROL MASTER'!$U$2:$U$495,(SUMPRODUCT((('CONTROL MASTER'!$S$2:$S$495=6)*('CONTROL MASTER'!$T$2:$T$495&lt;=2)*('CONTROL MASTER'!$V$2:$V$495&gt;=2)*('CONTROL MASTER'!$U$2:$U$495&lt;=6)*('CONTROL MASTER'!$W$2:$W$495&gt;=6))*ROW('CONTROL MASTER'!$S$2:$S$495))-(ROW('CONTROL MASTER'!#REF!)-1)))+1)+(6-INDEX('CONTROL MASTER'!$U$2:$U$495,(SUMPRODUCT((('CONTROL MASTER'!$S$2:$S$495=6)*('CONTROL MASTER'!$T$2:$T$495&lt;=2)*('CONTROL MASTER'!$V$2:$V$495&gt;=2)*('CONTROL MASTER'!$U$2:$U$495&lt;=6)*('CONTROL MASTER'!$W$2:$W$495&gt;=6))*ROW('CONTROL MASTER'!$S$2:$S$495))-(ROW('CONTROL MASTER'!#REF!)-1))))+1))-1)*50+1,50))&amp;"_"&amp;INDEX('CONTROL MASTER'!$P$2:$P$495,(SUMPRODUCT((('CONTROL MASTER'!$S$2:$S$495=6)*('CONTROL MASTER'!$T$2:$T$495&lt;=2)*('CONTROL MASTER'!$V$2:$V$495&gt;=2)*('CONTROL MASTER'!$U$2:$U$495&lt;=6)*('CONTROL MASTER'!$W$2:$W$495&gt;=6))*ROW('CONTROL MASTER'!$S$2:$S$495))-(ROW('CONTROL MASTER'!#REF!)-1))),IF(SUMPRODUCT((('CONTROL MASTER'!$S$2:$S$495=6)*('CONTROL MASTER'!$Z$2:$Z$495&lt;=2)*('CONTROL MASTER'!$AB$2:$AB$495&gt;=2)*('CONTROL MASTER'!$AA$2:$AA$495&lt;=6)*('CONTROL MASTER'!$AC$2:$AC$495&gt;=6))*ROW('CONTROL MASTER'!$S$2:$S$495))&gt;0,INDEX('CONTROL MASTER'!$X$2:$X$495,(SUMPRODUCT((('CONTROL MASTER'!$S$2:$S$495=6)*('CONTROL MASTER'!$Z$2:$Z$495&lt;=2)*('CONTROL MASTER'!$AB$2:$AB$495&gt;=2)*('CONTROL MASTER'!$AA$2:$AA$495&lt;=6)*('CONTROL MASTER'!$AC$2:$AC$495&gt;=6))*ROW('CONTROL MASTER'!$S$2:$S$495))-(ROW('CONTROL MASTER'!#REF!)-1)))&amp;TRIM(MID(SUBSTITUTE(SUBSTITUTE(INDEX('CONTROL MASTER'!$N$2:$N$495,(SUMPRODUCT((('CONTROL MASTER'!$S$2:$S$495=6)*('CONTROL MASTER'!$Z$2:$Z$495&lt;=2)*('CONTROL MASTER'!$AB$2:$AB$495&gt;=2)*('CONTROL MASTER'!$AA$2:$AA$495&lt;=6)*('CONTROL MASTER'!$AC$2:$AC$495&gt;=6))*ROW('CONTROL MASTER'!$S$2:$S$495))-(ROW('CONTROL MASTER'!#REF!)-1))),":",","),",",REPT(" ",50)),(((INDEX('CONTROL MASTER'!$Y$2:$Y$495,(SUMPRODUCT((('CONTROL MASTER'!$S$2:$S$495=6)*('CONTROL MASTER'!$Z$2:$Z$495&lt;=2)*('CONTROL MASTER'!$AB$2:$AB$495&gt;=2)*('CONTROL MASTER'!$AA$2:$AA$495&lt;=6)*('CONTROL MASTER'!$AC$2:$AC$495&gt;=6))*ROW('CONTROL MASTER'!$S$2:$S$495))-(ROW('CONTROL MASTER'!#REF!)-1)))+((2-INDEX('CONTROL MASTER'!$Z$2:$Z$495,(SUMPRODUCT((('CONTROL MASTER'!$S$2:$S$495=6)*('CONTROL MASTER'!$Z$2:$Z$495&lt;=2)*('CONTROL MASTER'!$AB$2:$AB$495&gt;=2)*('CONTROL MASTER'!$AA$2:$AA$495&lt;=6)*('CONTROL MASTER'!$AC$2:$AC$495&gt;=6))*ROW('CONTROL MASTER'!$S$2:$S$495))-(ROW('CONTROL MASTER'!#REF!)-1))))*(INDEX('CONTROL MASTER'!$AC$2:$AC$495,(SUMPRODUCT((('CONTROL MASTER'!$S$2:$S$495=6)*('CONTROL MASTER'!$Z$2:$Z$495&lt;=2)*('CONTROL MASTER'!$AB$2:$AB$495&gt;=2)*('CONTROL MASTER'!$AA$2:$AA$495&lt;=6)*('CONTROL MASTER'!$AC$2:$AC$495&gt;=6))*ROW('CONTROL MASTER'!$S$2:$S$495))-(ROW('CONTROL MASTER'!#REF!)-1)))-INDEX('CONTROL MASTER'!$AA$2:$AA$495,(SUMPRODUCT((('CONTROL MASTER'!$S$2:$S$495=6)*('CONTROL MASTER'!$Z$2:$Z$495&lt;=2)*('CONTROL MASTER'!$AB$2:$AB$495&gt;=2)*('CONTROL MASTER'!$AA$2:$AA$495&lt;=6)*('CONTROL MASTER'!$AC$2:$AC$495&gt;=6))*ROW('CONTROL MASTER'!$S$2:$S$495))-(ROW('CONTROL MASTER'!#REF!)-1)))+1)+(6-INDEX('CONTROL MASTER'!$AA$2:$AA$495,(SUMPRODUCT((('CONTROL MASTER'!$S$2:$S$495=6)*('CONTROL MASTER'!$Z$2:$Z$495&lt;=2)*('CONTROL MASTER'!$AB$2:$AB$495&gt;=2)*('CONTROL MASTER'!$AA$2:$AA$495&lt;=6)*('CONTROL MASTER'!$AC$2:$AC$495&gt;=6))*ROW('CONTROL MASTER'!$S$2:$S$495))-(ROW('CONTROL MASTER'!#REF!)-1))))+1)))-1)*50+1,50))&amp;"_"&amp;INDEX('CONTROL MASTER'!$P$2:$P$495,(SUMPRODUCT((('CONTROL MASTER'!$S$2:$S$495=6)*('CONTROL MASTER'!$Z$2:$Z$495&lt;=2)*('CONTROL MASTER'!$AB$2:$AB$495&gt;=2)*('CONTROL MASTER'!$AA$2:$AA$495&lt;=6)*('CONTROL MASTER'!$AC$2:$AC$495&gt;=6))*ROW('CONTROL MASTER'!$S$2:$S$495))-(ROW('CONTROL MASTER'!#REF!)-1))),"")),"")</f>
        <v/>
      </c>
      <c r="H74" s="10" t="str">
        <f>IFERROR(IF(SUMPRODUCT((('CONTROL MASTER'!$S$2:$S$495=6)*('CONTROL MASTER'!$T$2:$T$495&lt;=2)*('CONTROL MASTER'!$V$2:$V$495&gt;=2)*('CONTROL MASTER'!$U$2:$U$495&lt;=7)*('CONTROL MASTER'!$W$2:$W$495&gt;=7))*ROW('CONTROL MASTER'!$S$2:$S$495))&gt;0,INDEX('CONTROL MASTER'!$X$2:$X$495,(SUMPRODUCT((('CONTROL MASTER'!$S$2:$S$495=6)*('CONTROL MASTER'!$T$2:$T$495&lt;=2)*('CONTROL MASTER'!$V$2:$V$495&gt;=2)*('CONTROL MASTER'!$U$2:$U$495&lt;=7)*('CONTROL MASTER'!$W$2:$W$495&gt;=7))*ROW('CONTROL MASTER'!$S$2:$S$495))-(ROW('CONTROL MASTER'!#REF!)-1)))&amp;TRIM(MID(SUBSTITUTE(SUBSTITUTE(INDEX('CONTROL MASTER'!$N$2:$N$495,(SUMPRODUCT((('CONTROL MASTER'!$S$2:$S$495=6)*('CONTROL MASTER'!$T$2:$T$495&lt;=2)*('CONTROL MASTER'!$V$2:$V$495&gt;=2)*('CONTROL MASTER'!$U$2:$U$495&lt;=7)*('CONTROL MASTER'!$W$2:$W$495&gt;=7))*ROW('CONTROL MASTER'!$S$2:$S$495))-(ROW('CONTROL MASTER'!#REF!)-1))),":",","),",",REPT(" ",50)),((((2-INDEX('CONTROL MASTER'!$T$2:$T$495,(SUMPRODUCT((('CONTROL MASTER'!$S$2:$S$495=6)*('CONTROL MASTER'!$T$2:$T$495&lt;=2)*('CONTROL MASTER'!$V$2:$V$495&gt;=2)*('CONTROL MASTER'!$U$2:$U$495&lt;=7)*('CONTROL MASTER'!$W$2:$W$495&gt;=7))*ROW('CONTROL MASTER'!$S$2:$S$495))-(ROW('CONTROL MASTER'!#REF!)-1))))*(INDEX('CONTROL MASTER'!$W$2:$W$495,(SUMPRODUCT((('CONTROL MASTER'!$S$2:$S$495=6)*('CONTROL MASTER'!$T$2:$T$495&lt;=2)*('CONTROL MASTER'!$V$2:$V$495&gt;=2)*('CONTROL MASTER'!$U$2:$U$495&lt;=7)*('CONTROL MASTER'!$W$2:$W$495&gt;=7))*ROW('CONTROL MASTER'!$S$2:$S$495))-(ROW('CONTROL MASTER'!#REF!)-1)))-INDEX('CONTROL MASTER'!$U$2:$U$495,(SUMPRODUCT((('CONTROL MASTER'!$S$2:$S$495=6)*('CONTROL MASTER'!$T$2:$T$495&lt;=2)*('CONTROL MASTER'!$V$2:$V$495&gt;=2)*('CONTROL MASTER'!$U$2:$U$495&lt;=7)*('CONTROL MASTER'!$W$2:$W$495&gt;=7))*ROW('CONTROL MASTER'!$S$2:$S$495))-(ROW('CONTROL MASTER'!#REF!)-1)))+1)+(7-INDEX('CONTROL MASTER'!$U$2:$U$495,(SUMPRODUCT((('CONTROL MASTER'!$S$2:$S$495=6)*('CONTROL MASTER'!$T$2:$T$495&lt;=2)*('CONTROL MASTER'!$V$2:$V$495&gt;=2)*('CONTROL MASTER'!$U$2:$U$495&lt;=7)*('CONTROL MASTER'!$W$2:$W$495&gt;=7))*ROW('CONTROL MASTER'!$S$2:$S$495))-(ROW('CONTROL MASTER'!#REF!)-1))))+1))-1)*50+1,50))&amp;"_"&amp;INDEX('CONTROL MASTER'!$P$2:$P$495,(SUMPRODUCT((('CONTROL MASTER'!$S$2:$S$495=6)*('CONTROL MASTER'!$T$2:$T$495&lt;=2)*('CONTROL MASTER'!$V$2:$V$495&gt;=2)*('CONTROL MASTER'!$U$2:$U$495&lt;=7)*('CONTROL MASTER'!$W$2:$W$495&gt;=7))*ROW('CONTROL MASTER'!$S$2:$S$495))-(ROW('CONTROL MASTER'!#REF!)-1))),IF(SUMPRODUCT((('CONTROL MASTER'!$S$2:$S$495=6)*('CONTROL MASTER'!$Z$2:$Z$495&lt;=2)*('CONTROL MASTER'!$AB$2:$AB$495&gt;=2)*('CONTROL MASTER'!$AA$2:$AA$495&lt;=7)*('CONTROL MASTER'!$AC$2:$AC$495&gt;=7))*ROW('CONTROL MASTER'!$S$2:$S$495))&gt;0,INDEX('CONTROL MASTER'!$X$2:$X$495,(SUMPRODUCT((('CONTROL MASTER'!$S$2:$S$495=6)*('CONTROL MASTER'!$Z$2:$Z$495&lt;=2)*('CONTROL MASTER'!$AB$2:$AB$495&gt;=2)*('CONTROL MASTER'!$AA$2:$AA$495&lt;=7)*('CONTROL MASTER'!$AC$2:$AC$495&gt;=7))*ROW('CONTROL MASTER'!$S$2:$S$495))-(ROW('CONTROL MASTER'!#REF!)-1)))&amp;TRIM(MID(SUBSTITUTE(SUBSTITUTE(INDEX('CONTROL MASTER'!$N$2:$N$495,(SUMPRODUCT((('CONTROL MASTER'!$S$2:$S$495=6)*('CONTROL MASTER'!$Z$2:$Z$495&lt;=2)*('CONTROL MASTER'!$AB$2:$AB$495&gt;=2)*('CONTROL MASTER'!$AA$2:$AA$495&lt;=7)*('CONTROL MASTER'!$AC$2:$AC$495&gt;=7))*ROW('CONTROL MASTER'!$S$2:$S$495))-(ROW('CONTROL MASTER'!#REF!)-1))),":",","),",",REPT(" ",50)),(((INDEX('CONTROL MASTER'!$Y$2:$Y$495,(SUMPRODUCT((('CONTROL MASTER'!$S$2:$S$495=6)*('CONTROL MASTER'!$Z$2:$Z$495&lt;=2)*('CONTROL MASTER'!$AB$2:$AB$495&gt;=2)*('CONTROL MASTER'!$AA$2:$AA$495&lt;=7)*('CONTROL MASTER'!$AC$2:$AC$495&gt;=7))*ROW('CONTROL MASTER'!$S$2:$S$495))-(ROW('CONTROL MASTER'!#REF!)-1)))+((2-INDEX('CONTROL MASTER'!$Z$2:$Z$495,(SUMPRODUCT((('CONTROL MASTER'!$S$2:$S$495=6)*('CONTROL MASTER'!$Z$2:$Z$495&lt;=2)*('CONTROL MASTER'!$AB$2:$AB$495&gt;=2)*('CONTROL MASTER'!$AA$2:$AA$495&lt;=7)*('CONTROL MASTER'!$AC$2:$AC$495&gt;=7))*ROW('CONTROL MASTER'!$S$2:$S$495))-(ROW('CONTROL MASTER'!#REF!)-1))))*(INDEX('CONTROL MASTER'!$AC$2:$AC$495,(SUMPRODUCT((('CONTROL MASTER'!$S$2:$S$495=6)*('CONTROL MASTER'!$Z$2:$Z$495&lt;=2)*('CONTROL MASTER'!$AB$2:$AB$495&gt;=2)*('CONTROL MASTER'!$AA$2:$AA$495&lt;=7)*('CONTROL MASTER'!$AC$2:$AC$495&gt;=7))*ROW('CONTROL MASTER'!$S$2:$S$495))-(ROW('CONTROL MASTER'!#REF!)-1)))-INDEX('CONTROL MASTER'!$AA$2:$AA$495,(SUMPRODUCT((('CONTROL MASTER'!$S$2:$S$495=6)*('CONTROL MASTER'!$Z$2:$Z$495&lt;=2)*('CONTROL MASTER'!$AB$2:$AB$495&gt;=2)*('CONTROL MASTER'!$AA$2:$AA$495&lt;=7)*('CONTROL MASTER'!$AC$2:$AC$495&gt;=7))*ROW('CONTROL MASTER'!$S$2:$S$495))-(ROW('CONTROL MASTER'!#REF!)-1)))+1)+(7-INDEX('CONTROL MASTER'!$AA$2:$AA$495,(SUMPRODUCT((('CONTROL MASTER'!$S$2:$S$495=6)*('CONTROL MASTER'!$Z$2:$Z$495&lt;=2)*('CONTROL MASTER'!$AB$2:$AB$495&gt;=2)*('CONTROL MASTER'!$AA$2:$AA$495&lt;=7)*('CONTROL MASTER'!$AC$2:$AC$495&gt;=7))*ROW('CONTROL MASTER'!$S$2:$S$495))-(ROW('CONTROL MASTER'!#REF!)-1))))+1)))-1)*50+1,50))&amp;"_"&amp;INDEX('CONTROL MASTER'!$P$2:$P$495,(SUMPRODUCT((('CONTROL MASTER'!$S$2:$S$495=6)*('CONTROL MASTER'!$Z$2:$Z$495&lt;=2)*('CONTROL MASTER'!$AB$2:$AB$495&gt;=2)*('CONTROL MASTER'!$AA$2:$AA$495&lt;=7)*('CONTROL MASTER'!$AC$2:$AC$495&gt;=7))*ROW('CONTROL MASTER'!$S$2:$S$495))-(ROW('CONTROL MASTER'!#REF!)-1))),"")),"")</f>
        <v/>
      </c>
      <c r="I74" s="10" t="str">
        <f>IFERROR(IF(SUMPRODUCT((('CONTROL MASTER'!$S$2:$S$495=6)*('CONTROL MASTER'!$T$2:$T$495&lt;=2)*('CONTROL MASTER'!$V$2:$V$495&gt;=2)*('CONTROL MASTER'!$U$2:$U$495&lt;=8)*('CONTROL MASTER'!$W$2:$W$495&gt;=8))*ROW('CONTROL MASTER'!$S$2:$S$495))&gt;0,INDEX('CONTROL MASTER'!$X$2:$X$495,(SUMPRODUCT((('CONTROL MASTER'!$S$2:$S$495=6)*('CONTROL MASTER'!$T$2:$T$495&lt;=2)*('CONTROL MASTER'!$V$2:$V$495&gt;=2)*('CONTROL MASTER'!$U$2:$U$495&lt;=8)*('CONTROL MASTER'!$W$2:$W$495&gt;=8))*ROW('CONTROL MASTER'!$S$2:$S$495))-(ROW('CONTROL MASTER'!#REF!)-1)))&amp;TRIM(MID(SUBSTITUTE(SUBSTITUTE(INDEX('CONTROL MASTER'!$N$2:$N$495,(SUMPRODUCT((('CONTROL MASTER'!$S$2:$S$495=6)*('CONTROL MASTER'!$T$2:$T$495&lt;=2)*('CONTROL MASTER'!$V$2:$V$495&gt;=2)*('CONTROL MASTER'!$U$2:$U$495&lt;=8)*('CONTROL MASTER'!$W$2:$W$495&gt;=8))*ROW('CONTROL MASTER'!$S$2:$S$495))-(ROW('CONTROL MASTER'!#REF!)-1))),":",","),",",REPT(" ",50)),((((2-INDEX('CONTROL MASTER'!$T$2:$T$495,(SUMPRODUCT((('CONTROL MASTER'!$S$2:$S$495=6)*('CONTROL MASTER'!$T$2:$T$495&lt;=2)*('CONTROL MASTER'!$V$2:$V$495&gt;=2)*('CONTROL MASTER'!$U$2:$U$495&lt;=8)*('CONTROL MASTER'!$W$2:$W$495&gt;=8))*ROW('CONTROL MASTER'!$S$2:$S$495))-(ROW('CONTROL MASTER'!#REF!)-1))))*(INDEX('CONTROL MASTER'!$W$2:$W$495,(SUMPRODUCT((('CONTROL MASTER'!$S$2:$S$495=6)*('CONTROL MASTER'!$T$2:$T$495&lt;=2)*('CONTROL MASTER'!$V$2:$V$495&gt;=2)*('CONTROL MASTER'!$U$2:$U$495&lt;=8)*('CONTROL MASTER'!$W$2:$W$495&gt;=8))*ROW('CONTROL MASTER'!$S$2:$S$495))-(ROW('CONTROL MASTER'!#REF!)-1)))-INDEX('CONTROL MASTER'!$U$2:$U$495,(SUMPRODUCT((('CONTROL MASTER'!$S$2:$S$495=6)*('CONTROL MASTER'!$T$2:$T$495&lt;=2)*('CONTROL MASTER'!$V$2:$V$495&gt;=2)*('CONTROL MASTER'!$U$2:$U$495&lt;=8)*('CONTROL MASTER'!$W$2:$W$495&gt;=8))*ROW('CONTROL MASTER'!$S$2:$S$495))-(ROW('CONTROL MASTER'!#REF!)-1)))+1)+(8-INDEX('CONTROL MASTER'!$U$2:$U$495,(SUMPRODUCT((('CONTROL MASTER'!$S$2:$S$495=6)*('CONTROL MASTER'!$T$2:$T$495&lt;=2)*('CONTROL MASTER'!$V$2:$V$495&gt;=2)*('CONTROL MASTER'!$U$2:$U$495&lt;=8)*('CONTROL MASTER'!$W$2:$W$495&gt;=8))*ROW('CONTROL MASTER'!$S$2:$S$495))-(ROW('CONTROL MASTER'!#REF!)-1))))+1))-1)*50+1,50))&amp;"_"&amp;INDEX('CONTROL MASTER'!$P$2:$P$495,(SUMPRODUCT((('CONTROL MASTER'!$S$2:$S$495=6)*('CONTROL MASTER'!$T$2:$T$495&lt;=2)*('CONTROL MASTER'!$V$2:$V$495&gt;=2)*('CONTROL MASTER'!$U$2:$U$495&lt;=8)*('CONTROL MASTER'!$W$2:$W$495&gt;=8))*ROW('CONTROL MASTER'!$S$2:$S$495))-(ROW('CONTROL MASTER'!#REF!)-1))),IF(SUMPRODUCT((('CONTROL MASTER'!$S$2:$S$495=6)*('CONTROL MASTER'!$Z$2:$Z$495&lt;=2)*('CONTROL MASTER'!$AB$2:$AB$495&gt;=2)*('CONTROL MASTER'!$AA$2:$AA$495&lt;=8)*('CONTROL MASTER'!$AC$2:$AC$495&gt;=8))*ROW('CONTROL MASTER'!$S$2:$S$495))&gt;0,INDEX('CONTROL MASTER'!$X$2:$X$495,(SUMPRODUCT((('CONTROL MASTER'!$S$2:$S$495=6)*('CONTROL MASTER'!$Z$2:$Z$495&lt;=2)*('CONTROL MASTER'!$AB$2:$AB$495&gt;=2)*('CONTROL MASTER'!$AA$2:$AA$495&lt;=8)*('CONTROL MASTER'!$AC$2:$AC$495&gt;=8))*ROW('CONTROL MASTER'!$S$2:$S$495))-(ROW('CONTROL MASTER'!#REF!)-1)))&amp;TRIM(MID(SUBSTITUTE(SUBSTITUTE(INDEX('CONTROL MASTER'!$N$2:$N$495,(SUMPRODUCT((('CONTROL MASTER'!$S$2:$S$495=6)*('CONTROL MASTER'!$Z$2:$Z$495&lt;=2)*('CONTROL MASTER'!$AB$2:$AB$495&gt;=2)*('CONTROL MASTER'!$AA$2:$AA$495&lt;=8)*('CONTROL MASTER'!$AC$2:$AC$495&gt;=8))*ROW('CONTROL MASTER'!$S$2:$S$495))-(ROW('CONTROL MASTER'!#REF!)-1))),":",","),",",REPT(" ",50)),(((INDEX('CONTROL MASTER'!$Y$2:$Y$495,(SUMPRODUCT((('CONTROL MASTER'!$S$2:$S$495=6)*('CONTROL MASTER'!$Z$2:$Z$495&lt;=2)*('CONTROL MASTER'!$AB$2:$AB$495&gt;=2)*('CONTROL MASTER'!$AA$2:$AA$495&lt;=8)*('CONTROL MASTER'!$AC$2:$AC$495&gt;=8))*ROW('CONTROL MASTER'!$S$2:$S$495))-(ROW('CONTROL MASTER'!#REF!)-1)))+((2-INDEX('CONTROL MASTER'!$Z$2:$Z$495,(SUMPRODUCT((('CONTROL MASTER'!$S$2:$S$495=6)*('CONTROL MASTER'!$Z$2:$Z$495&lt;=2)*('CONTROL MASTER'!$AB$2:$AB$495&gt;=2)*('CONTROL MASTER'!$AA$2:$AA$495&lt;=8)*('CONTROL MASTER'!$AC$2:$AC$495&gt;=8))*ROW('CONTROL MASTER'!$S$2:$S$495))-(ROW('CONTROL MASTER'!#REF!)-1))))*(INDEX('CONTROL MASTER'!$AC$2:$AC$495,(SUMPRODUCT((('CONTROL MASTER'!$S$2:$S$495=6)*('CONTROL MASTER'!$Z$2:$Z$495&lt;=2)*('CONTROL MASTER'!$AB$2:$AB$495&gt;=2)*('CONTROL MASTER'!$AA$2:$AA$495&lt;=8)*('CONTROL MASTER'!$AC$2:$AC$495&gt;=8))*ROW('CONTROL MASTER'!$S$2:$S$495))-(ROW('CONTROL MASTER'!#REF!)-1)))-INDEX('CONTROL MASTER'!$AA$2:$AA$495,(SUMPRODUCT((('CONTROL MASTER'!$S$2:$S$495=6)*('CONTROL MASTER'!$Z$2:$Z$495&lt;=2)*('CONTROL MASTER'!$AB$2:$AB$495&gt;=2)*('CONTROL MASTER'!$AA$2:$AA$495&lt;=8)*('CONTROL MASTER'!$AC$2:$AC$495&gt;=8))*ROW('CONTROL MASTER'!$S$2:$S$495))-(ROW('CONTROL MASTER'!#REF!)-1)))+1)+(8-INDEX('CONTROL MASTER'!$AA$2:$AA$495,(SUMPRODUCT((('CONTROL MASTER'!$S$2:$S$495=6)*('CONTROL MASTER'!$Z$2:$Z$495&lt;=2)*('CONTROL MASTER'!$AB$2:$AB$495&gt;=2)*('CONTROL MASTER'!$AA$2:$AA$495&lt;=8)*('CONTROL MASTER'!$AC$2:$AC$495&gt;=8))*ROW('CONTROL MASTER'!$S$2:$S$495))-(ROW('CONTROL MASTER'!#REF!)-1))))+1)))-1)*50+1,50))&amp;"_"&amp;INDEX('CONTROL MASTER'!$P$2:$P$495,(SUMPRODUCT((('CONTROL MASTER'!$S$2:$S$495=6)*('CONTROL MASTER'!$Z$2:$Z$495&lt;=2)*('CONTROL MASTER'!$AB$2:$AB$495&gt;=2)*('CONTROL MASTER'!$AA$2:$AA$495&lt;=8)*('CONTROL MASTER'!$AC$2:$AC$495&gt;=8))*ROW('CONTROL MASTER'!$S$2:$S$495))-(ROW('CONTROL MASTER'!#REF!)-1))),"")),"")</f>
        <v/>
      </c>
      <c r="J74" s="10" t="str">
        <f>IFERROR(IF(SUMPRODUCT((('CONTROL MASTER'!$S$2:$S$495=6)*('CONTROL MASTER'!$T$2:$T$495&lt;=2)*('CONTROL MASTER'!$V$2:$V$495&gt;=2)*('CONTROL MASTER'!$U$2:$U$495&lt;=9)*('CONTROL MASTER'!$W$2:$W$495&gt;=9))*ROW('CONTROL MASTER'!$S$2:$S$495))&gt;0,INDEX('CONTROL MASTER'!$X$2:$X$495,(SUMPRODUCT((('CONTROL MASTER'!$S$2:$S$495=6)*('CONTROL MASTER'!$T$2:$T$495&lt;=2)*('CONTROL MASTER'!$V$2:$V$495&gt;=2)*('CONTROL MASTER'!$U$2:$U$495&lt;=9)*('CONTROL MASTER'!$W$2:$W$495&gt;=9))*ROW('CONTROL MASTER'!$S$2:$S$495))-(ROW('CONTROL MASTER'!#REF!)-1)))&amp;TRIM(MID(SUBSTITUTE(SUBSTITUTE(INDEX('CONTROL MASTER'!$N$2:$N$495,(SUMPRODUCT((('CONTROL MASTER'!$S$2:$S$495=6)*('CONTROL MASTER'!$T$2:$T$495&lt;=2)*('CONTROL MASTER'!$V$2:$V$495&gt;=2)*('CONTROL MASTER'!$U$2:$U$495&lt;=9)*('CONTROL MASTER'!$W$2:$W$495&gt;=9))*ROW('CONTROL MASTER'!$S$2:$S$495))-(ROW('CONTROL MASTER'!#REF!)-1))),":",","),",",REPT(" ",50)),((((2-INDEX('CONTROL MASTER'!$T$2:$T$495,(SUMPRODUCT((('CONTROL MASTER'!$S$2:$S$495=6)*('CONTROL MASTER'!$T$2:$T$495&lt;=2)*('CONTROL MASTER'!$V$2:$V$495&gt;=2)*('CONTROL MASTER'!$U$2:$U$495&lt;=9)*('CONTROL MASTER'!$W$2:$W$495&gt;=9))*ROW('CONTROL MASTER'!$S$2:$S$495))-(ROW('CONTROL MASTER'!#REF!)-1))))*(INDEX('CONTROL MASTER'!$W$2:$W$495,(SUMPRODUCT((('CONTROL MASTER'!$S$2:$S$495=6)*('CONTROL MASTER'!$T$2:$T$495&lt;=2)*('CONTROL MASTER'!$V$2:$V$495&gt;=2)*('CONTROL MASTER'!$U$2:$U$495&lt;=9)*('CONTROL MASTER'!$W$2:$W$495&gt;=9))*ROW('CONTROL MASTER'!$S$2:$S$495))-(ROW('CONTROL MASTER'!#REF!)-1)))-INDEX('CONTROL MASTER'!$U$2:$U$495,(SUMPRODUCT((('CONTROL MASTER'!$S$2:$S$495=6)*('CONTROL MASTER'!$T$2:$T$495&lt;=2)*('CONTROL MASTER'!$V$2:$V$495&gt;=2)*('CONTROL MASTER'!$U$2:$U$495&lt;=9)*('CONTROL MASTER'!$W$2:$W$495&gt;=9))*ROW('CONTROL MASTER'!$S$2:$S$495))-(ROW('CONTROL MASTER'!#REF!)-1)))+1)+(9-INDEX('CONTROL MASTER'!$U$2:$U$495,(SUMPRODUCT((('CONTROL MASTER'!$S$2:$S$495=6)*('CONTROL MASTER'!$T$2:$T$495&lt;=2)*('CONTROL MASTER'!$V$2:$V$495&gt;=2)*('CONTROL MASTER'!$U$2:$U$495&lt;=9)*('CONTROL MASTER'!$W$2:$W$495&gt;=9))*ROW('CONTROL MASTER'!$S$2:$S$495))-(ROW('CONTROL MASTER'!#REF!)-1))))+1))-1)*50+1,50))&amp;"_"&amp;INDEX('CONTROL MASTER'!$P$2:$P$495,(SUMPRODUCT((('CONTROL MASTER'!$S$2:$S$495=6)*('CONTROL MASTER'!$T$2:$T$495&lt;=2)*('CONTROL MASTER'!$V$2:$V$495&gt;=2)*('CONTROL MASTER'!$U$2:$U$495&lt;=9)*('CONTROL MASTER'!$W$2:$W$495&gt;=9))*ROW('CONTROL MASTER'!$S$2:$S$495))-(ROW('CONTROL MASTER'!#REF!)-1))),IF(SUMPRODUCT((('CONTROL MASTER'!$S$2:$S$495=6)*('CONTROL MASTER'!$Z$2:$Z$495&lt;=2)*('CONTROL MASTER'!$AB$2:$AB$495&gt;=2)*('CONTROL MASTER'!$AA$2:$AA$495&lt;=9)*('CONTROL MASTER'!$AC$2:$AC$495&gt;=9))*ROW('CONTROL MASTER'!$S$2:$S$495))&gt;0,INDEX('CONTROL MASTER'!$X$2:$X$495,(SUMPRODUCT((('CONTROL MASTER'!$S$2:$S$495=6)*('CONTROL MASTER'!$Z$2:$Z$495&lt;=2)*('CONTROL MASTER'!$AB$2:$AB$495&gt;=2)*('CONTROL MASTER'!$AA$2:$AA$495&lt;=9)*('CONTROL MASTER'!$AC$2:$AC$495&gt;=9))*ROW('CONTROL MASTER'!$S$2:$S$495))-(ROW('CONTROL MASTER'!#REF!)-1)))&amp;TRIM(MID(SUBSTITUTE(SUBSTITUTE(INDEX('CONTROL MASTER'!$N$2:$N$495,(SUMPRODUCT((('CONTROL MASTER'!$S$2:$S$495=6)*('CONTROL MASTER'!$Z$2:$Z$495&lt;=2)*('CONTROL MASTER'!$AB$2:$AB$495&gt;=2)*('CONTROL MASTER'!$AA$2:$AA$495&lt;=9)*('CONTROL MASTER'!$AC$2:$AC$495&gt;=9))*ROW('CONTROL MASTER'!$S$2:$S$495))-(ROW('CONTROL MASTER'!#REF!)-1))),":",","),",",REPT(" ",50)),(((INDEX('CONTROL MASTER'!$Y$2:$Y$495,(SUMPRODUCT((('CONTROL MASTER'!$S$2:$S$495=6)*('CONTROL MASTER'!$Z$2:$Z$495&lt;=2)*('CONTROL MASTER'!$AB$2:$AB$495&gt;=2)*('CONTROL MASTER'!$AA$2:$AA$495&lt;=9)*('CONTROL MASTER'!$AC$2:$AC$495&gt;=9))*ROW('CONTROL MASTER'!$S$2:$S$495))-(ROW('CONTROL MASTER'!#REF!)-1)))+((2-INDEX('CONTROL MASTER'!$Z$2:$Z$495,(SUMPRODUCT((('CONTROL MASTER'!$S$2:$S$495=6)*('CONTROL MASTER'!$Z$2:$Z$495&lt;=2)*('CONTROL MASTER'!$AB$2:$AB$495&gt;=2)*('CONTROL MASTER'!$AA$2:$AA$495&lt;=9)*('CONTROL MASTER'!$AC$2:$AC$495&gt;=9))*ROW('CONTROL MASTER'!$S$2:$S$495))-(ROW('CONTROL MASTER'!#REF!)-1))))*(INDEX('CONTROL MASTER'!$AC$2:$AC$495,(SUMPRODUCT((('CONTROL MASTER'!$S$2:$S$495=6)*('CONTROL MASTER'!$Z$2:$Z$495&lt;=2)*('CONTROL MASTER'!$AB$2:$AB$495&gt;=2)*('CONTROL MASTER'!$AA$2:$AA$495&lt;=9)*('CONTROL MASTER'!$AC$2:$AC$495&gt;=9))*ROW('CONTROL MASTER'!$S$2:$S$495))-(ROW('CONTROL MASTER'!#REF!)-1)))-INDEX('CONTROL MASTER'!$AA$2:$AA$495,(SUMPRODUCT((('CONTROL MASTER'!$S$2:$S$495=6)*('CONTROL MASTER'!$Z$2:$Z$495&lt;=2)*('CONTROL MASTER'!$AB$2:$AB$495&gt;=2)*('CONTROL MASTER'!$AA$2:$AA$495&lt;=9)*('CONTROL MASTER'!$AC$2:$AC$495&gt;=9))*ROW('CONTROL MASTER'!$S$2:$S$495))-(ROW('CONTROL MASTER'!#REF!)-1)))+1)+(9-INDEX('CONTROL MASTER'!$AA$2:$AA$495,(SUMPRODUCT((('CONTROL MASTER'!$S$2:$S$495=6)*('CONTROL MASTER'!$Z$2:$Z$495&lt;=2)*('CONTROL MASTER'!$AB$2:$AB$495&gt;=2)*('CONTROL MASTER'!$AA$2:$AA$495&lt;=9)*('CONTROL MASTER'!$AC$2:$AC$495&gt;=9))*ROW('CONTROL MASTER'!$S$2:$S$495))-(ROW('CONTROL MASTER'!#REF!)-1))))+1)))-1)*50+1,50))&amp;"_"&amp;INDEX('CONTROL MASTER'!$P$2:$P$495,(SUMPRODUCT((('CONTROL MASTER'!$S$2:$S$495=6)*('CONTROL MASTER'!$Z$2:$Z$495&lt;=2)*('CONTROL MASTER'!$AB$2:$AB$495&gt;=2)*('CONTROL MASTER'!$AA$2:$AA$495&lt;=9)*('CONTROL MASTER'!$AC$2:$AC$495&gt;=9))*ROW('CONTROL MASTER'!$S$2:$S$495))-(ROW('CONTROL MASTER'!#REF!)-1))),"")),"")</f>
        <v/>
      </c>
      <c r="K74" s="10" t="str">
        <f>IFERROR(IF(SUMPRODUCT((('CONTROL MASTER'!$S$2:$S$495=6)*('CONTROL MASTER'!$T$2:$T$495&lt;=2)*('CONTROL MASTER'!$V$2:$V$495&gt;=2)*('CONTROL MASTER'!$U$2:$U$495&lt;=10)*('CONTROL MASTER'!$W$2:$W$495&gt;=10))*ROW('CONTROL MASTER'!$S$2:$S$495))&gt;0,INDEX('CONTROL MASTER'!$X$2:$X$495,(SUMPRODUCT((('CONTROL MASTER'!$S$2:$S$495=6)*('CONTROL MASTER'!$T$2:$T$495&lt;=2)*('CONTROL MASTER'!$V$2:$V$495&gt;=2)*('CONTROL MASTER'!$U$2:$U$495&lt;=10)*('CONTROL MASTER'!$W$2:$W$495&gt;=10))*ROW('CONTROL MASTER'!$S$2:$S$495))-(ROW('CONTROL MASTER'!#REF!)-1)))&amp;TRIM(MID(SUBSTITUTE(SUBSTITUTE(INDEX('CONTROL MASTER'!$N$2:$N$495,(SUMPRODUCT((('CONTROL MASTER'!$S$2:$S$495=6)*('CONTROL MASTER'!$T$2:$T$495&lt;=2)*('CONTROL MASTER'!$V$2:$V$495&gt;=2)*('CONTROL MASTER'!$U$2:$U$495&lt;=10)*('CONTROL MASTER'!$W$2:$W$495&gt;=10))*ROW('CONTROL MASTER'!$S$2:$S$495))-(ROW('CONTROL MASTER'!#REF!)-1))),":",","),",",REPT(" ",50)),((((2-INDEX('CONTROL MASTER'!$T$2:$T$495,(SUMPRODUCT((('CONTROL MASTER'!$S$2:$S$495=6)*('CONTROL MASTER'!$T$2:$T$495&lt;=2)*('CONTROL MASTER'!$V$2:$V$495&gt;=2)*('CONTROL MASTER'!$U$2:$U$495&lt;=10)*('CONTROL MASTER'!$W$2:$W$495&gt;=10))*ROW('CONTROL MASTER'!$S$2:$S$495))-(ROW('CONTROL MASTER'!#REF!)-1))))*(INDEX('CONTROL MASTER'!$W$2:$W$495,(SUMPRODUCT((('CONTROL MASTER'!$S$2:$S$495=6)*('CONTROL MASTER'!$T$2:$T$495&lt;=2)*('CONTROL MASTER'!$V$2:$V$495&gt;=2)*('CONTROL MASTER'!$U$2:$U$495&lt;=10)*('CONTROL MASTER'!$W$2:$W$495&gt;=10))*ROW('CONTROL MASTER'!$S$2:$S$495))-(ROW('CONTROL MASTER'!#REF!)-1)))-INDEX('CONTROL MASTER'!$U$2:$U$495,(SUMPRODUCT((('CONTROL MASTER'!$S$2:$S$495=6)*('CONTROL MASTER'!$T$2:$T$495&lt;=2)*('CONTROL MASTER'!$V$2:$V$495&gt;=2)*('CONTROL MASTER'!$U$2:$U$495&lt;=10)*('CONTROL MASTER'!$W$2:$W$495&gt;=10))*ROW('CONTROL MASTER'!$S$2:$S$495))-(ROW('CONTROL MASTER'!#REF!)-1)))+1)+(10-INDEX('CONTROL MASTER'!$U$2:$U$495,(SUMPRODUCT((('CONTROL MASTER'!$S$2:$S$495=6)*('CONTROL MASTER'!$T$2:$T$495&lt;=2)*('CONTROL MASTER'!$V$2:$V$495&gt;=2)*('CONTROL MASTER'!$U$2:$U$495&lt;=10)*('CONTROL MASTER'!$W$2:$W$495&gt;=10))*ROW('CONTROL MASTER'!$S$2:$S$495))-(ROW('CONTROL MASTER'!#REF!)-1))))+1))-1)*50+1,50))&amp;"_"&amp;INDEX('CONTROL MASTER'!$P$2:$P$495,(SUMPRODUCT((('CONTROL MASTER'!$S$2:$S$495=6)*('CONTROL MASTER'!$T$2:$T$495&lt;=2)*('CONTROL MASTER'!$V$2:$V$495&gt;=2)*('CONTROL MASTER'!$U$2:$U$495&lt;=10)*('CONTROL MASTER'!$W$2:$W$495&gt;=10))*ROW('CONTROL MASTER'!$S$2:$S$495))-(ROW('CONTROL MASTER'!#REF!)-1))),IF(SUMPRODUCT((('CONTROL MASTER'!$S$2:$S$495=6)*('CONTROL MASTER'!$Z$2:$Z$495&lt;=2)*('CONTROL MASTER'!$AB$2:$AB$495&gt;=2)*('CONTROL MASTER'!$AA$2:$AA$495&lt;=10)*('CONTROL MASTER'!$AC$2:$AC$495&gt;=10))*ROW('CONTROL MASTER'!$S$2:$S$495))&gt;0,INDEX('CONTROL MASTER'!$X$2:$X$495,(SUMPRODUCT((('CONTROL MASTER'!$S$2:$S$495=6)*('CONTROL MASTER'!$Z$2:$Z$495&lt;=2)*('CONTROL MASTER'!$AB$2:$AB$495&gt;=2)*('CONTROL MASTER'!$AA$2:$AA$495&lt;=10)*('CONTROL MASTER'!$AC$2:$AC$495&gt;=10))*ROW('CONTROL MASTER'!$S$2:$S$495))-(ROW('CONTROL MASTER'!#REF!)-1)))&amp;TRIM(MID(SUBSTITUTE(SUBSTITUTE(INDEX('CONTROL MASTER'!$N$2:$N$495,(SUMPRODUCT((('CONTROL MASTER'!$S$2:$S$495=6)*('CONTROL MASTER'!$Z$2:$Z$495&lt;=2)*('CONTROL MASTER'!$AB$2:$AB$495&gt;=2)*('CONTROL MASTER'!$AA$2:$AA$495&lt;=10)*('CONTROL MASTER'!$AC$2:$AC$495&gt;=10))*ROW('CONTROL MASTER'!$S$2:$S$495))-(ROW('CONTROL MASTER'!#REF!)-1))),":",","),",",REPT(" ",50)),(((INDEX('CONTROL MASTER'!$Y$2:$Y$495,(SUMPRODUCT((('CONTROL MASTER'!$S$2:$S$495=6)*('CONTROL MASTER'!$Z$2:$Z$495&lt;=2)*('CONTROL MASTER'!$AB$2:$AB$495&gt;=2)*('CONTROL MASTER'!$AA$2:$AA$495&lt;=10)*('CONTROL MASTER'!$AC$2:$AC$495&gt;=10))*ROW('CONTROL MASTER'!$S$2:$S$495))-(ROW('CONTROL MASTER'!#REF!)-1)))+((2-INDEX('CONTROL MASTER'!$Z$2:$Z$495,(SUMPRODUCT((('CONTROL MASTER'!$S$2:$S$495=6)*('CONTROL MASTER'!$Z$2:$Z$495&lt;=2)*('CONTROL MASTER'!$AB$2:$AB$495&gt;=2)*('CONTROL MASTER'!$AA$2:$AA$495&lt;=10)*('CONTROL MASTER'!$AC$2:$AC$495&gt;=10))*ROW('CONTROL MASTER'!$S$2:$S$495))-(ROW('CONTROL MASTER'!#REF!)-1))))*(INDEX('CONTROL MASTER'!$AC$2:$AC$495,(SUMPRODUCT((('CONTROL MASTER'!$S$2:$S$495=6)*('CONTROL MASTER'!$Z$2:$Z$495&lt;=2)*('CONTROL MASTER'!$AB$2:$AB$495&gt;=2)*('CONTROL MASTER'!$AA$2:$AA$495&lt;=10)*('CONTROL MASTER'!$AC$2:$AC$495&gt;=10))*ROW('CONTROL MASTER'!$S$2:$S$495))-(ROW('CONTROL MASTER'!#REF!)-1)))-INDEX('CONTROL MASTER'!$AA$2:$AA$495,(SUMPRODUCT((('CONTROL MASTER'!$S$2:$S$495=6)*('CONTROL MASTER'!$Z$2:$Z$495&lt;=2)*('CONTROL MASTER'!$AB$2:$AB$495&gt;=2)*('CONTROL MASTER'!$AA$2:$AA$495&lt;=10)*('CONTROL MASTER'!$AC$2:$AC$495&gt;=10))*ROW('CONTROL MASTER'!$S$2:$S$495))-(ROW('CONTROL MASTER'!#REF!)-1)))+1)+(10-INDEX('CONTROL MASTER'!$AA$2:$AA$495,(SUMPRODUCT((('CONTROL MASTER'!$S$2:$S$495=6)*('CONTROL MASTER'!$Z$2:$Z$495&lt;=2)*('CONTROL MASTER'!$AB$2:$AB$495&gt;=2)*('CONTROL MASTER'!$AA$2:$AA$495&lt;=10)*('CONTROL MASTER'!$AC$2:$AC$495&gt;=10))*ROW('CONTROL MASTER'!$S$2:$S$495))-(ROW('CONTROL MASTER'!#REF!)-1))))+1)))-1)*50+1,50))&amp;"_"&amp;INDEX('CONTROL MASTER'!$P$2:$P$495,(SUMPRODUCT((('CONTROL MASTER'!$S$2:$S$495=6)*('CONTROL MASTER'!$Z$2:$Z$495&lt;=2)*('CONTROL MASTER'!$AB$2:$AB$495&gt;=2)*('CONTROL MASTER'!$AA$2:$AA$495&lt;=10)*('CONTROL MASTER'!$AC$2:$AC$495&gt;=10))*ROW('CONTROL MASTER'!$S$2:$S$495))-(ROW('CONTROL MASTER'!#REF!)-1))),"")),"")</f>
        <v/>
      </c>
    </row>
    <row r="75" spans="1:11" ht="15" customHeight="1" x14ac:dyDescent="0.35">
      <c r="A75" s="8" t="s">
        <v>30</v>
      </c>
      <c r="B75" s="10" t="str">
        <f>IFERROR(IF(SUMPRODUCT((('CONTROL MASTER'!$S$2:$S$495=6)*('CONTROL MASTER'!$T$2:$T$495&lt;=3)*('CONTROL MASTER'!$V$2:$V$495&gt;=3)*('CONTROL MASTER'!$U$2:$U$495&lt;=1)*('CONTROL MASTER'!$W$2:$W$495&gt;=1))*ROW('CONTROL MASTER'!$S$2:$S$495))&gt;0,INDEX('CONTROL MASTER'!$X$2:$X$495,(SUMPRODUCT((('CONTROL MASTER'!$S$2:$S$495=6)*('CONTROL MASTER'!$T$2:$T$495&lt;=3)*('CONTROL MASTER'!$V$2:$V$495&gt;=3)*('CONTROL MASTER'!$U$2:$U$495&lt;=1)*('CONTROL MASTER'!$W$2:$W$495&gt;=1))*ROW('CONTROL MASTER'!$S$2:$S$495))-(ROW('CONTROL MASTER'!#REF!)-1)))&amp;TRIM(MID(SUBSTITUTE(SUBSTITUTE(INDEX('CONTROL MASTER'!$N$2:$N$495,(SUMPRODUCT((('CONTROL MASTER'!$S$2:$S$495=6)*('CONTROL MASTER'!$T$2:$T$495&lt;=3)*('CONTROL MASTER'!$V$2:$V$495&gt;=3)*('CONTROL MASTER'!$U$2:$U$495&lt;=1)*('CONTROL MASTER'!$W$2:$W$495&gt;=1))*ROW('CONTROL MASTER'!$S$2:$S$495))-(ROW('CONTROL MASTER'!#REF!)-1))),":",","),",",REPT(" ",50)),((((3-INDEX('CONTROL MASTER'!$T$2:$T$495,(SUMPRODUCT((('CONTROL MASTER'!$S$2:$S$495=6)*('CONTROL MASTER'!$T$2:$T$495&lt;=3)*('CONTROL MASTER'!$V$2:$V$495&gt;=3)*('CONTROL MASTER'!$U$2:$U$495&lt;=1)*('CONTROL MASTER'!$W$2:$W$495&gt;=1))*ROW('CONTROL MASTER'!$S$2:$S$495))-(ROW('CONTROL MASTER'!#REF!)-1))))*(INDEX('CONTROL MASTER'!$W$2:$W$495,(SUMPRODUCT((('CONTROL MASTER'!$S$2:$S$495=6)*('CONTROL MASTER'!$T$2:$T$495&lt;=3)*('CONTROL MASTER'!$V$2:$V$495&gt;=3)*('CONTROL MASTER'!$U$2:$U$495&lt;=1)*('CONTROL MASTER'!$W$2:$W$495&gt;=1))*ROW('CONTROL MASTER'!$S$2:$S$495))-(ROW('CONTROL MASTER'!#REF!)-1)))-INDEX('CONTROL MASTER'!$U$2:$U$495,(SUMPRODUCT((('CONTROL MASTER'!$S$2:$S$495=6)*('CONTROL MASTER'!$T$2:$T$495&lt;=3)*('CONTROL MASTER'!$V$2:$V$495&gt;=3)*('CONTROL MASTER'!$U$2:$U$495&lt;=1)*('CONTROL MASTER'!$W$2:$W$495&gt;=1))*ROW('CONTROL MASTER'!$S$2:$S$495))-(ROW('CONTROL MASTER'!#REF!)-1)))+1)+(1-INDEX('CONTROL MASTER'!$U$2:$U$495,(SUMPRODUCT((('CONTROL MASTER'!$S$2:$S$495=6)*('CONTROL MASTER'!$T$2:$T$495&lt;=3)*('CONTROL MASTER'!$V$2:$V$495&gt;=3)*('CONTROL MASTER'!$U$2:$U$495&lt;=1)*('CONTROL MASTER'!$W$2:$W$495&gt;=1))*ROW('CONTROL MASTER'!$S$2:$S$495))-(ROW('CONTROL MASTER'!#REF!)-1))))+1))-1)*50+1,50))&amp;"_"&amp;INDEX('CONTROL MASTER'!$P$2:$P$495,(SUMPRODUCT((('CONTROL MASTER'!$S$2:$S$495=6)*('CONTROL MASTER'!$T$2:$T$495&lt;=3)*('CONTROL MASTER'!$V$2:$V$495&gt;=3)*('CONTROL MASTER'!$U$2:$U$495&lt;=1)*('CONTROL MASTER'!$W$2:$W$495&gt;=1))*ROW('CONTROL MASTER'!$S$2:$S$495))-(ROW('CONTROL MASTER'!#REF!)-1))),IF(SUMPRODUCT((('CONTROL MASTER'!$S$2:$S$495=6)*('CONTROL MASTER'!$Z$2:$Z$495&lt;=3)*('CONTROL MASTER'!$AB$2:$AB$495&gt;=3)*('CONTROL MASTER'!$AA$2:$AA$495&lt;=1)*('CONTROL MASTER'!$AC$2:$AC$495&gt;=1))*ROW('CONTROL MASTER'!$S$2:$S$495))&gt;0,INDEX('CONTROL MASTER'!$X$2:$X$495,(SUMPRODUCT((('CONTROL MASTER'!$S$2:$S$495=6)*('CONTROL MASTER'!$Z$2:$Z$495&lt;=3)*('CONTROL MASTER'!$AB$2:$AB$495&gt;=3)*('CONTROL MASTER'!$AA$2:$AA$495&lt;=1)*('CONTROL MASTER'!$AC$2:$AC$495&gt;=1))*ROW('CONTROL MASTER'!$S$2:$S$495))-(ROW('CONTROL MASTER'!#REF!)-1)))&amp;TRIM(MID(SUBSTITUTE(SUBSTITUTE(INDEX('CONTROL MASTER'!$N$2:$N$495,(SUMPRODUCT((('CONTROL MASTER'!$S$2:$S$495=6)*('CONTROL MASTER'!$Z$2:$Z$495&lt;=3)*('CONTROL MASTER'!$AB$2:$AB$495&gt;=3)*('CONTROL MASTER'!$AA$2:$AA$495&lt;=1)*('CONTROL MASTER'!$AC$2:$AC$495&gt;=1))*ROW('CONTROL MASTER'!$S$2:$S$495))-(ROW('CONTROL MASTER'!#REF!)-1))),":",","),",",REPT(" ",50)),(((INDEX('CONTROL MASTER'!$Y$2:$Y$495,(SUMPRODUCT((('CONTROL MASTER'!$S$2:$S$495=6)*('CONTROL MASTER'!$Z$2:$Z$495&lt;=3)*('CONTROL MASTER'!$AB$2:$AB$495&gt;=3)*('CONTROL MASTER'!$AA$2:$AA$495&lt;=1)*('CONTROL MASTER'!$AC$2:$AC$495&gt;=1))*ROW('CONTROL MASTER'!$S$2:$S$495))-(ROW('CONTROL MASTER'!#REF!)-1)))+((3-INDEX('CONTROL MASTER'!$Z$2:$Z$495,(SUMPRODUCT((('CONTROL MASTER'!$S$2:$S$495=6)*('CONTROL MASTER'!$Z$2:$Z$495&lt;=3)*('CONTROL MASTER'!$AB$2:$AB$495&gt;=3)*('CONTROL MASTER'!$AA$2:$AA$495&lt;=1)*('CONTROL MASTER'!$AC$2:$AC$495&gt;=1))*ROW('CONTROL MASTER'!$S$2:$S$495))-(ROW('CONTROL MASTER'!#REF!)-1))))*(INDEX('CONTROL MASTER'!$AC$2:$AC$495,(SUMPRODUCT((('CONTROL MASTER'!$S$2:$S$495=6)*('CONTROL MASTER'!$Z$2:$Z$495&lt;=3)*('CONTROL MASTER'!$AB$2:$AB$495&gt;=3)*('CONTROL MASTER'!$AA$2:$AA$495&lt;=1)*('CONTROL MASTER'!$AC$2:$AC$495&gt;=1))*ROW('CONTROL MASTER'!$S$2:$S$495))-(ROW('CONTROL MASTER'!#REF!)-1)))-INDEX('CONTROL MASTER'!$AA$2:$AA$495,(SUMPRODUCT((('CONTROL MASTER'!$S$2:$S$495=6)*('CONTROL MASTER'!$Z$2:$Z$495&lt;=3)*('CONTROL MASTER'!$AB$2:$AB$495&gt;=3)*('CONTROL MASTER'!$AA$2:$AA$495&lt;=1)*('CONTROL MASTER'!$AC$2:$AC$495&gt;=1))*ROW('CONTROL MASTER'!$S$2:$S$495))-(ROW('CONTROL MASTER'!#REF!)-1)))+1)+(1-INDEX('CONTROL MASTER'!$AA$2:$AA$495,(SUMPRODUCT((('CONTROL MASTER'!$S$2:$S$495=6)*('CONTROL MASTER'!$Z$2:$Z$495&lt;=3)*('CONTROL MASTER'!$AB$2:$AB$495&gt;=3)*('CONTROL MASTER'!$AA$2:$AA$495&lt;=1)*('CONTROL MASTER'!$AC$2:$AC$495&gt;=1))*ROW('CONTROL MASTER'!$S$2:$S$495))-(ROW('CONTROL MASTER'!#REF!)-1))))+1)))-1)*50+1,50))&amp;"_"&amp;INDEX('CONTROL MASTER'!$P$2:$P$495,(SUMPRODUCT((('CONTROL MASTER'!$S$2:$S$495=6)*('CONTROL MASTER'!$Z$2:$Z$495&lt;=3)*('CONTROL MASTER'!$AB$2:$AB$495&gt;=3)*('CONTROL MASTER'!$AA$2:$AA$495&lt;=1)*('CONTROL MASTER'!$AC$2:$AC$495&gt;=1))*ROW('CONTROL MASTER'!$S$2:$S$495))-(ROW('CONTROL MASTER'!#REF!)-1))),"")),"")</f>
        <v/>
      </c>
      <c r="C75" s="10" t="str">
        <f>IFERROR(IF(SUMPRODUCT((('CONTROL MASTER'!$S$2:$S$495=6)*('CONTROL MASTER'!$T$2:$T$495&lt;=3)*('CONTROL MASTER'!$V$2:$V$495&gt;=3)*('CONTROL MASTER'!$U$2:$U$495&lt;=2)*('CONTROL MASTER'!$W$2:$W$495&gt;=2))*ROW('CONTROL MASTER'!$S$2:$S$495))&gt;0,INDEX('CONTROL MASTER'!$X$2:$X$495,(SUMPRODUCT((('CONTROL MASTER'!$S$2:$S$495=6)*('CONTROL MASTER'!$T$2:$T$495&lt;=3)*('CONTROL MASTER'!$V$2:$V$495&gt;=3)*('CONTROL MASTER'!$U$2:$U$495&lt;=2)*('CONTROL MASTER'!$W$2:$W$495&gt;=2))*ROW('CONTROL MASTER'!$S$2:$S$495))-(ROW('CONTROL MASTER'!#REF!)-1)))&amp;TRIM(MID(SUBSTITUTE(SUBSTITUTE(INDEX('CONTROL MASTER'!$N$2:$N$495,(SUMPRODUCT((('CONTROL MASTER'!$S$2:$S$495=6)*('CONTROL MASTER'!$T$2:$T$495&lt;=3)*('CONTROL MASTER'!$V$2:$V$495&gt;=3)*('CONTROL MASTER'!$U$2:$U$495&lt;=2)*('CONTROL MASTER'!$W$2:$W$495&gt;=2))*ROW('CONTROL MASTER'!$S$2:$S$495))-(ROW('CONTROL MASTER'!#REF!)-1))),":",","),",",REPT(" ",50)),((((3-INDEX('CONTROL MASTER'!$T$2:$T$495,(SUMPRODUCT((('CONTROL MASTER'!$S$2:$S$495=6)*('CONTROL MASTER'!$T$2:$T$495&lt;=3)*('CONTROL MASTER'!$V$2:$V$495&gt;=3)*('CONTROL MASTER'!$U$2:$U$495&lt;=2)*('CONTROL MASTER'!$W$2:$W$495&gt;=2))*ROW('CONTROL MASTER'!$S$2:$S$495))-(ROW('CONTROL MASTER'!#REF!)-1))))*(INDEX('CONTROL MASTER'!$W$2:$W$495,(SUMPRODUCT((('CONTROL MASTER'!$S$2:$S$495=6)*('CONTROL MASTER'!$T$2:$T$495&lt;=3)*('CONTROL MASTER'!$V$2:$V$495&gt;=3)*('CONTROL MASTER'!$U$2:$U$495&lt;=2)*('CONTROL MASTER'!$W$2:$W$495&gt;=2))*ROW('CONTROL MASTER'!$S$2:$S$495))-(ROW('CONTROL MASTER'!#REF!)-1)))-INDEX('CONTROL MASTER'!$U$2:$U$495,(SUMPRODUCT((('CONTROL MASTER'!$S$2:$S$495=6)*('CONTROL MASTER'!$T$2:$T$495&lt;=3)*('CONTROL MASTER'!$V$2:$V$495&gt;=3)*('CONTROL MASTER'!$U$2:$U$495&lt;=2)*('CONTROL MASTER'!$W$2:$W$495&gt;=2))*ROW('CONTROL MASTER'!$S$2:$S$495))-(ROW('CONTROL MASTER'!#REF!)-1)))+1)+(2-INDEX('CONTROL MASTER'!$U$2:$U$495,(SUMPRODUCT((('CONTROL MASTER'!$S$2:$S$495=6)*('CONTROL MASTER'!$T$2:$T$495&lt;=3)*('CONTROL MASTER'!$V$2:$V$495&gt;=3)*('CONTROL MASTER'!$U$2:$U$495&lt;=2)*('CONTROL MASTER'!$W$2:$W$495&gt;=2))*ROW('CONTROL MASTER'!$S$2:$S$495))-(ROW('CONTROL MASTER'!#REF!)-1))))+1))-1)*50+1,50))&amp;"_"&amp;INDEX('CONTROL MASTER'!$P$2:$P$495,(SUMPRODUCT((('CONTROL MASTER'!$S$2:$S$495=6)*('CONTROL MASTER'!$T$2:$T$495&lt;=3)*('CONTROL MASTER'!$V$2:$V$495&gt;=3)*('CONTROL MASTER'!$U$2:$U$495&lt;=2)*('CONTROL MASTER'!$W$2:$W$495&gt;=2))*ROW('CONTROL MASTER'!$S$2:$S$495))-(ROW('CONTROL MASTER'!#REF!)-1))),IF(SUMPRODUCT((('CONTROL MASTER'!$S$2:$S$495=6)*('CONTROL MASTER'!$Z$2:$Z$495&lt;=3)*('CONTROL MASTER'!$AB$2:$AB$495&gt;=3)*('CONTROL MASTER'!$AA$2:$AA$495&lt;=2)*('CONTROL MASTER'!$AC$2:$AC$495&gt;=2))*ROW('CONTROL MASTER'!$S$2:$S$495))&gt;0,INDEX('CONTROL MASTER'!$X$2:$X$495,(SUMPRODUCT((('CONTROL MASTER'!$S$2:$S$495=6)*('CONTROL MASTER'!$Z$2:$Z$495&lt;=3)*('CONTROL MASTER'!$AB$2:$AB$495&gt;=3)*('CONTROL MASTER'!$AA$2:$AA$495&lt;=2)*('CONTROL MASTER'!$AC$2:$AC$495&gt;=2))*ROW('CONTROL MASTER'!$S$2:$S$495))-(ROW('CONTROL MASTER'!#REF!)-1)))&amp;TRIM(MID(SUBSTITUTE(SUBSTITUTE(INDEX('CONTROL MASTER'!$N$2:$N$495,(SUMPRODUCT((('CONTROL MASTER'!$S$2:$S$495=6)*('CONTROL MASTER'!$Z$2:$Z$495&lt;=3)*('CONTROL MASTER'!$AB$2:$AB$495&gt;=3)*('CONTROL MASTER'!$AA$2:$AA$495&lt;=2)*('CONTROL MASTER'!$AC$2:$AC$495&gt;=2))*ROW('CONTROL MASTER'!$S$2:$S$495))-(ROW('CONTROL MASTER'!#REF!)-1))),":",","),",",REPT(" ",50)),(((INDEX('CONTROL MASTER'!$Y$2:$Y$495,(SUMPRODUCT((('CONTROL MASTER'!$S$2:$S$495=6)*('CONTROL MASTER'!$Z$2:$Z$495&lt;=3)*('CONTROL MASTER'!$AB$2:$AB$495&gt;=3)*('CONTROL MASTER'!$AA$2:$AA$495&lt;=2)*('CONTROL MASTER'!$AC$2:$AC$495&gt;=2))*ROW('CONTROL MASTER'!$S$2:$S$495))-(ROW('CONTROL MASTER'!#REF!)-1)))+((3-INDEX('CONTROL MASTER'!$Z$2:$Z$495,(SUMPRODUCT((('CONTROL MASTER'!$S$2:$S$495=6)*('CONTROL MASTER'!$Z$2:$Z$495&lt;=3)*('CONTROL MASTER'!$AB$2:$AB$495&gt;=3)*('CONTROL MASTER'!$AA$2:$AA$495&lt;=2)*('CONTROL MASTER'!$AC$2:$AC$495&gt;=2))*ROW('CONTROL MASTER'!$S$2:$S$495))-(ROW('CONTROL MASTER'!#REF!)-1))))*(INDEX('CONTROL MASTER'!$AC$2:$AC$495,(SUMPRODUCT((('CONTROL MASTER'!$S$2:$S$495=6)*('CONTROL MASTER'!$Z$2:$Z$495&lt;=3)*('CONTROL MASTER'!$AB$2:$AB$495&gt;=3)*('CONTROL MASTER'!$AA$2:$AA$495&lt;=2)*('CONTROL MASTER'!$AC$2:$AC$495&gt;=2))*ROW('CONTROL MASTER'!$S$2:$S$495))-(ROW('CONTROL MASTER'!#REF!)-1)))-INDEX('CONTROL MASTER'!$AA$2:$AA$495,(SUMPRODUCT((('CONTROL MASTER'!$S$2:$S$495=6)*('CONTROL MASTER'!$Z$2:$Z$495&lt;=3)*('CONTROL MASTER'!$AB$2:$AB$495&gt;=3)*('CONTROL MASTER'!$AA$2:$AA$495&lt;=2)*('CONTROL MASTER'!$AC$2:$AC$495&gt;=2))*ROW('CONTROL MASTER'!$S$2:$S$495))-(ROW('CONTROL MASTER'!#REF!)-1)))+1)+(2-INDEX('CONTROL MASTER'!$AA$2:$AA$495,(SUMPRODUCT((('CONTROL MASTER'!$S$2:$S$495=6)*('CONTROL MASTER'!$Z$2:$Z$495&lt;=3)*('CONTROL MASTER'!$AB$2:$AB$495&gt;=3)*('CONTROL MASTER'!$AA$2:$AA$495&lt;=2)*('CONTROL MASTER'!$AC$2:$AC$495&gt;=2))*ROW('CONTROL MASTER'!$S$2:$S$495))-(ROW('CONTROL MASTER'!#REF!)-1))))+1)))-1)*50+1,50))&amp;"_"&amp;INDEX('CONTROL MASTER'!$P$2:$P$495,(SUMPRODUCT((('CONTROL MASTER'!$S$2:$S$495=6)*('CONTROL MASTER'!$Z$2:$Z$495&lt;=3)*('CONTROL MASTER'!$AB$2:$AB$495&gt;=3)*('CONTROL MASTER'!$AA$2:$AA$495&lt;=2)*('CONTROL MASTER'!$AC$2:$AC$495&gt;=2))*ROW('CONTROL MASTER'!$S$2:$S$495))-(ROW('CONTROL MASTER'!#REF!)-1))),"")),"")</f>
        <v/>
      </c>
      <c r="D75" s="10" t="str">
        <f>IFERROR(IF(SUMPRODUCT((('CONTROL MASTER'!$S$2:$S$495=6)*('CONTROL MASTER'!$T$2:$T$495&lt;=3)*('CONTROL MASTER'!$V$2:$V$495&gt;=3)*('CONTROL MASTER'!$U$2:$U$495&lt;=3)*('CONTROL MASTER'!$W$2:$W$495&gt;=3))*ROW('CONTROL MASTER'!$S$2:$S$495))&gt;0,INDEX('CONTROL MASTER'!$X$2:$X$495,(SUMPRODUCT((('CONTROL MASTER'!$S$2:$S$495=6)*('CONTROL MASTER'!$T$2:$T$495&lt;=3)*('CONTROL MASTER'!$V$2:$V$495&gt;=3)*('CONTROL MASTER'!$U$2:$U$495&lt;=3)*('CONTROL MASTER'!$W$2:$W$495&gt;=3))*ROW('CONTROL MASTER'!$S$2:$S$495))-(ROW('CONTROL MASTER'!#REF!)-1)))&amp;TRIM(MID(SUBSTITUTE(SUBSTITUTE(INDEX('CONTROL MASTER'!$N$2:$N$495,(SUMPRODUCT((('CONTROL MASTER'!$S$2:$S$495=6)*('CONTROL MASTER'!$T$2:$T$495&lt;=3)*('CONTROL MASTER'!$V$2:$V$495&gt;=3)*('CONTROL MASTER'!$U$2:$U$495&lt;=3)*('CONTROL MASTER'!$W$2:$W$495&gt;=3))*ROW('CONTROL MASTER'!$S$2:$S$495))-(ROW('CONTROL MASTER'!#REF!)-1))),":",","),",",REPT(" ",50)),((((3-INDEX('CONTROL MASTER'!$T$2:$T$495,(SUMPRODUCT((('CONTROL MASTER'!$S$2:$S$495=6)*('CONTROL MASTER'!$T$2:$T$495&lt;=3)*('CONTROL MASTER'!$V$2:$V$495&gt;=3)*('CONTROL MASTER'!$U$2:$U$495&lt;=3)*('CONTROL MASTER'!$W$2:$W$495&gt;=3))*ROW('CONTROL MASTER'!$S$2:$S$495))-(ROW('CONTROL MASTER'!#REF!)-1))))*(INDEX('CONTROL MASTER'!$W$2:$W$495,(SUMPRODUCT((('CONTROL MASTER'!$S$2:$S$495=6)*('CONTROL MASTER'!$T$2:$T$495&lt;=3)*('CONTROL MASTER'!$V$2:$V$495&gt;=3)*('CONTROL MASTER'!$U$2:$U$495&lt;=3)*('CONTROL MASTER'!$W$2:$W$495&gt;=3))*ROW('CONTROL MASTER'!$S$2:$S$495))-(ROW('CONTROL MASTER'!#REF!)-1)))-INDEX('CONTROL MASTER'!$U$2:$U$495,(SUMPRODUCT((('CONTROL MASTER'!$S$2:$S$495=6)*('CONTROL MASTER'!$T$2:$T$495&lt;=3)*('CONTROL MASTER'!$V$2:$V$495&gt;=3)*('CONTROL MASTER'!$U$2:$U$495&lt;=3)*('CONTROL MASTER'!$W$2:$W$495&gt;=3))*ROW('CONTROL MASTER'!$S$2:$S$495))-(ROW('CONTROL MASTER'!#REF!)-1)))+1)+(3-INDEX('CONTROL MASTER'!$U$2:$U$495,(SUMPRODUCT((('CONTROL MASTER'!$S$2:$S$495=6)*('CONTROL MASTER'!$T$2:$T$495&lt;=3)*('CONTROL MASTER'!$V$2:$V$495&gt;=3)*('CONTROL MASTER'!$U$2:$U$495&lt;=3)*('CONTROL MASTER'!$W$2:$W$495&gt;=3))*ROW('CONTROL MASTER'!$S$2:$S$495))-(ROW('CONTROL MASTER'!#REF!)-1))))+1))-1)*50+1,50))&amp;"_"&amp;INDEX('CONTROL MASTER'!$P$2:$P$495,(SUMPRODUCT((('CONTROL MASTER'!$S$2:$S$495=6)*('CONTROL MASTER'!$T$2:$T$495&lt;=3)*('CONTROL MASTER'!$V$2:$V$495&gt;=3)*('CONTROL MASTER'!$U$2:$U$495&lt;=3)*('CONTROL MASTER'!$W$2:$W$495&gt;=3))*ROW('CONTROL MASTER'!$S$2:$S$495))-(ROW('CONTROL MASTER'!#REF!)-1))),IF(SUMPRODUCT((('CONTROL MASTER'!$S$2:$S$495=6)*('CONTROL MASTER'!$Z$2:$Z$495&lt;=3)*('CONTROL MASTER'!$AB$2:$AB$495&gt;=3)*('CONTROL MASTER'!$AA$2:$AA$495&lt;=3)*('CONTROL MASTER'!$AC$2:$AC$495&gt;=3))*ROW('CONTROL MASTER'!$S$2:$S$495))&gt;0,INDEX('CONTROL MASTER'!$X$2:$X$495,(SUMPRODUCT((('CONTROL MASTER'!$S$2:$S$495=6)*('CONTROL MASTER'!$Z$2:$Z$495&lt;=3)*('CONTROL MASTER'!$AB$2:$AB$495&gt;=3)*('CONTROL MASTER'!$AA$2:$AA$495&lt;=3)*('CONTROL MASTER'!$AC$2:$AC$495&gt;=3))*ROW('CONTROL MASTER'!$S$2:$S$495))-(ROW('CONTROL MASTER'!#REF!)-1)))&amp;TRIM(MID(SUBSTITUTE(SUBSTITUTE(INDEX('CONTROL MASTER'!$N$2:$N$495,(SUMPRODUCT((('CONTROL MASTER'!$S$2:$S$495=6)*('CONTROL MASTER'!$Z$2:$Z$495&lt;=3)*('CONTROL MASTER'!$AB$2:$AB$495&gt;=3)*('CONTROL MASTER'!$AA$2:$AA$495&lt;=3)*('CONTROL MASTER'!$AC$2:$AC$495&gt;=3))*ROW('CONTROL MASTER'!$S$2:$S$495))-(ROW('CONTROL MASTER'!#REF!)-1))),":",","),",",REPT(" ",50)),(((INDEX('CONTROL MASTER'!$Y$2:$Y$495,(SUMPRODUCT((('CONTROL MASTER'!$S$2:$S$495=6)*('CONTROL MASTER'!$Z$2:$Z$495&lt;=3)*('CONTROL MASTER'!$AB$2:$AB$495&gt;=3)*('CONTROL MASTER'!$AA$2:$AA$495&lt;=3)*('CONTROL MASTER'!$AC$2:$AC$495&gt;=3))*ROW('CONTROL MASTER'!$S$2:$S$495))-(ROW('CONTROL MASTER'!#REF!)-1)))+((3-INDEX('CONTROL MASTER'!$Z$2:$Z$495,(SUMPRODUCT((('CONTROL MASTER'!$S$2:$S$495=6)*('CONTROL MASTER'!$Z$2:$Z$495&lt;=3)*('CONTROL MASTER'!$AB$2:$AB$495&gt;=3)*('CONTROL MASTER'!$AA$2:$AA$495&lt;=3)*('CONTROL MASTER'!$AC$2:$AC$495&gt;=3))*ROW('CONTROL MASTER'!$S$2:$S$495))-(ROW('CONTROL MASTER'!#REF!)-1))))*(INDEX('CONTROL MASTER'!$AC$2:$AC$495,(SUMPRODUCT((('CONTROL MASTER'!$S$2:$S$495=6)*('CONTROL MASTER'!$Z$2:$Z$495&lt;=3)*('CONTROL MASTER'!$AB$2:$AB$495&gt;=3)*('CONTROL MASTER'!$AA$2:$AA$495&lt;=3)*('CONTROL MASTER'!$AC$2:$AC$495&gt;=3))*ROW('CONTROL MASTER'!$S$2:$S$495))-(ROW('CONTROL MASTER'!#REF!)-1)))-INDEX('CONTROL MASTER'!$AA$2:$AA$495,(SUMPRODUCT((('CONTROL MASTER'!$S$2:$S$495=6)*('CONTROL MASTER'!$Z$2:$Z$495&lt;=3)*('CONTROL MASTER'!$AB$2:$AB$495&gt;=3)*('CONTROL MASTER'!$AA$2:$AA$495&lt;=3)*('CONTROL MASTER'!$AC$2:$AC$495&gt;=3))*ROW('CONTROL MASTER'!$S$2:$S$495))-(ROW('CONTROL MASTER'!#REF!)-1)))+1)+(3-INDEX('CONTROL MASTER'!$AA$2:$AA$495,(SUMPRODUCT((('CONTROL MASTER'!$S$2:$S$495=6)*('CONTROL MASTER'!$Z$2:$Z$495&lt;=3)*('CONTROL MASTER'!$AB$2:$AB$495&gt;=3)*('CONTROL MASTER'!$AA$2:$AA$495&lt;=3)*('CONTROL MASTER'!$AC$2:$AC$495&gt;=3))*ROW('CONTROL MASTER'!$S$2:$S$495))-(ROW('CONTROL MASTER'!#REF!)-1))))+1)))-1)*50+1,50))&amp;"_"&amp;INDEX('CONTROL MASTER'!$P$2:$P$495,(SUMPRODUCT((('CONTROL MASTER'!$S$2:$S$495=6)*('CONTROL MASTER'!$Z$2:$Z$495&lt;=3)*('CONTROL MASTER'!$AB$2:$AB$495&gt;=3)*('CONTROL MASTER'!$AA$2:$AA$495&lt;=3)*('CONTROL MASTER'!$AC$2:$AC$495&gt;=3))*ROW('CONTROL MASTER'!$S$2:$S$495))-(ROW('CONTROL MASTER'!#REF!)-1))),"")),"")</f>
        <v/>
      </c>
      <c r="E75" s="10" t="str">
        <f>IFERROR(IF(SUMPRODUCT((('CONTROL MASTER'!$S$2:$S$495=6)*('CONTROL MASTER'!$T$2:$T$495&lt;=3)*('CONTROL MASTER'!$V$2:$V$495&gt;=3)*('CONTROL MASTER'!$U$2:$U$495&lt;=4)*('CONTROL MASTER'!$W$2:$W$495&gt;=4))*ROW('CONTROL MASTER'!$S$2:$S$495))&gt;0,INDEX('CONTROL MASTER'!$X$2:$X$495,(SUMPRODUCT((('CONTROL MASTER'!$S$2:$S$495=6)*('CONTROL MASTER'!$T$2:$T$495&lt;=3)*('CONTROL MASTER'!$V$2:$V$495&gt;=3)*('CONTROL MASTER'!$U$2:$U$495&lt;=4)*('CONTROL MASTER'!$W$2:$W$495&gt;=4))*ROW('CONTROL MASTER'!$S$2:$S$495))-(ROW('CONTROL MASTER'!#REF!)-1)))&amp;TRIM(MID(SUBSTITUTE(SUBSTITUTE(INDEX('CONTROL MASTER'!$N$2:$N$495,(SUMPRODUCT((('CONTROL MASTER'!$S$2:$S$495=6)*('CONTROL MASTER'!$T$2:$T$495&lt;=3)*('CONTROL MASTER'!$V$2:$V$495&gt;=3)*('CONTROL MASTER'!$U$2:$U$495&lt;=4)*('CONTROL MASTER'!$W$2:$W$495&gt;=4))*ROW('CONTROL MASTER'!$S$2:$S$495))-(ROW('CONTROL MASTER'!#REF!)-1))),":",","),",",REPT(" ",50)),((((3-INDEX('CONTROL MASTER'!$T$2:$T$495,(SUMPRODUCT((('CONTROL MASTER'!$S$2:$S$495=6)*('CONTROL MASTER'!$T$2:$T$495&lt;=3)*('CONTROL MASTER'!$V$2:$V$495&gt;=3)*('CONTROL MASTER'!$U$2:$U$495&lt;=4)*('CONTROL MASTER'!$W$2:$W$495&gt;=4))*ROW('CONTROL MASTER'!$S$2:$S$495))-(ROW('CONTROL MASTER'!#REF!)-1))))*(INDEX('CONTROL MASTER'!$W$2:$W$495,(SUMPRODUCT((('CONTROL MASTER'!$S$2:$S$495=6)*('CONTROL MASTER'!$T$2:$T$495&lt;=3)*('CONTROL MASTER'!$V$2:$V$495&gt;=3)*('CONTROL MASTER'!$U$2:$U$495&lt;=4)*('CONTROL MASTER'!$W$2:$W$495&gt;=4))*ROW('CONTROL MASTER'!$S$2:$S$495))-(ROW('CONTROL MASTER'!#REF!)-1)))-INDEX('CONTROL MASTER'!$U$2:$U$495,(SUMPRODUCT((('CONTROL MASTER'!$S$2:$S$495=6)*('CONTROL MASTER'!$T$2:$T$495&lt;=3)*('CONTROL MASTER'!$V$2:$V$495&gt;=3)*('CONTROL MASTER'!$U$2:$U$495&lt;=4)*('CONTROL MASTER'!$W$2:$W$495&gt;=4))*ROW('CONTROL MASTER'!$S$2:$S$495))-(ROW('CONTROL MASTER'!#REF!)-1)))+1)+(4-INDEX('CONTROL MASTER'!$U$2:$U$495,(SUMPRODUCT((('CONTROL MASTER'!$S$2:$S$495=6)*('CONTROL MASTER'!$T$2:$T$495&lt;=3)*('CONTROL MASTER'!$V$2:$V$495&gt;=3)*('CONTROL MASTER'!$U$2:$U$495&lt;=4)*('CONTROL MASTER'!$W$2:$W$495&gt;=4))*ROW('CONTROL MASTER'!$S$2:$S$495))-(ROW('CONTROL MASTER'!#REF!)-1))))+1))-1)*50+1,50))&amp;"_"&amp;INDEX('CONTROL MASTER'!$P$2:$P$495,(SUMPRODUCT((('CONTROL MASTER'!$S$2:$S$495=6)*('CONTROL MASTER'!$T$2:$T$495&lt;=3)*('CONTROL MASTER'!$V$2:$V$495&gt;=3)*('CONTROL MASTER'!$U$2:$U$495&lt;=4)*('CONTROL MASTER'!$W$2:$W$495&gt;=4))*ROW('CONTROL MASTER'!$S$2:$S$495))-(ROW('CONTROL MASTER'!#REF!)-1))),IF(SUMPRODUCT((('CONTROL MASTER'!$S$2:$S$495=6)*('CONTROL MASTER'!$Z$2:$Z$495&lt;=3)*('CONTROL MASTER'!$AB$2:$AB$495&gt;=3)*('CONTROL MASTER'!$AA$2:$AA$495&lt;=4)*('CONTROL MASTER'!$AC$2:$AC$495&gt;=4))*ROW('CONTROL MASTER'!$S$2:$S$495))&gt;0,INDEX('CONTROL MASTER'!$X$2:$X$495,(SUMPRODUCT((('CONTROL MASTER'!$S$2:$S$495=6)*('CONTROL MASTER'!$Z$2:$Z$495&lt;=3)*('CONTROL MASTER'!$AB$2:$AB$495&gt;=3)*('CONTROL MASTER'!$AA$2:$AA$495&lt;=4)*('CONTROL MASTER'!$AC$2:$AC$495&gt;=4))*ROW('CONTROL MASTER'!$S$2:$S$495))-(ROW('CONTROL MASTER'!#REF!)-1)))&amp;TRIM(MID(SUBSTITUTE(SUBSTITUTE(INDEX('CONTROL MASTER'!$N$2:$N$495,(SUMPRODUCT((('CONTROL MASTER'!$S$2:$S$495=6)*('CONTROL MASTER'!$Z$2:$Z$495&lt;=3)*('CONTROL MASTER'!$AB$2:$AB$495&gt;=3)*('CONTROL MASTER'!$AA$2:$AA$495&lt;=4)*('CONTROL MASTER'!$AC$2:$AC$495&gt;=4))*ROW('CONTROL MASTER'!$S$2:$S$495))-(ROW('CONTROL MASTER'!#REF!)-1))),":",","),",",REPT(" ",50)),(((INDEX('CONTROL MASTER'!$Y$2:$Y$495,(SUMPRODUCT((('CONTROL MASTER'!$S$2:$S$495=6)*('CONTROL MASTER'!$Z$2:$Z$495&lt;=3)*('CONTROL MASTER'!$AB$2:$AB$495&gt;=3)*('CONTROL MASTER'!$AA$2:$AA$495&lt;=4)*('CONTROL MASTER'!$AC$2:$AC$495&gt;=4))*ROW('CONTROL MASTER'!$S$2:$S$495))-(ROW('CONTROL MASTER'!#REF!)-1)))+((3-INDEX('CONTROL MASTER'!$Z$2:$Z$495,(SUMPRODUCT((('CONTROL MASTER'!$S$2:$S$495=6)*('CONTROL MASTER'!$Z$2:$Z$495&lt;=3)*('CONTROL MASTER'!$AB$2:$AB$495&gt;=3)*('CONTROL MASTER'!$AA$2:$AA$495&lt;=4)*('CONTROL MASTER'!$AC$2:$AC$495&gt;=4))*ROW('CONTROL MASTER'!$S$2:$S$495))-(ROW('CONTROL MASTER'!#REF!)-1))))*(INDEX('CONTROL MASTER'!$AC$2:$AC$495,(SUMPRODUCT((('CONTROL MASTER'!$S$2:$S$495=6)*('CONTROL MASTER'!$Z$2:$Z$495&lt;=3)*('CONTROL MASTER'!$AB$2:$AB$495&gt;=3)*('CONTROL MASTER'!$AA$2:$AA$495&lt;=4)*('CONTROL MASTER'!$AC$2:$AC$495&gt;=4))*ROW('CONTROL MASTER'!$S$2:$S$495))-(ROW('CONTROL MASTER'!#REF!)-1)))-INDEX('CONTROL MASTER'!$AA$2:$AA$495,(SUMPRODUCT((('CONTROL MASTER'!$S$2:$S$495=6)*('CONTROL MASTER'!$Z$2:$Z$495&lt;=3)*('CONTROL MASTER'!$AB$2:$AB$495&gt;=3)*('CONTROL MASTER'!$AA$2:$AA$495&lt;=4)*('CONTROL MASTER'!$AC$2:$AC$495&gt;=4))*ROW('CONTROL MASTER'!$S$2:$S$495))-(ROW('CONTROL MASTER'!#REF!)-1)))+1)+(4-INDEX('CONTROL MASTER'!$AA$2:$AA$495,(SUMPRODUCT((('CONTROL MASTER'!$S$2:$S$495=6)*('CONTROL MASTER'!$Z$2:$Z$495&lt;=3)*('CONTROL MASTER'!$AB$2:$AB$495&gt;=3)*('CONTROL MASTER'!$AA$2:$AA$495&lt;=4)*('CONTROL MASTER'!$AC$2:$AC$495&gt;=4))*ROW('CONTROL MASTER'!$S$2:$S$495))-(ROW('CONTROL MASTER'!#REF!)-1))))+1)))-1)*50+1,50))&amp;"_"&amp;INDEX('CONTROL MASTER'!$P$2:$P$495,(SUMPRODUCT((('CONTROL MASTER'!$S$2:$S$495=6)*('CONTROL MASTER'!$Z$2:$Z$495&lt;=3)*('CONTROL MASTER'!$AB$2:$AB$495&gt;=3)*('CONTROL MASTER'!$AA$2:$AA$495&lt;=4)*('CONTROL MASTER'!$AC$2:$AC$495&gt;=4))*ROW('CONTROL MASTER'!$S$2:$S$495))-(ROW('CONTROL MASTER'!#REF!)-1))),"")),"")</f>
        <v/>
      </c>
      <c r="F75" s="10" t="str">
        <f>IFERROR(IF(SUMPRODUCT((('CONTROL MASTER'!$S$2:$S$495=6)*('CONTROL MASTER'!$T$2:$T$495&lt;=3)*('CONTROL MASTER'!$V$2:$V$495&gt;=3)*('CONTROL MASTER'!$U$2:$U$495&lt;=5)*('CONTROL MASTER'!$W$2:$W$495&gt;=5))*ROW('CONTROL MASTER'!$S$2:$S$495))&gt;0,INDEX('CONTROL MASTER'!$X$2:$X$495,(SUMPRODUCT((('CONTROL MASTER'!$S$2:$S$495=6)*('CONTROL MASTER'!$T$2:$T$495&lt;=3)*('CONTROL MASTER'!$V$2:$V$495&gt;=3)*('CONTROL MASTER'!$U$2:$U$495&lt;=5)*('CONTROL MASTER'!$W$2:$W$495&gt;=5))*ROW('CONTROL MASTER'!$S$2:$S$495))-(ROW('CONTROL MASTER'!#REF!)-1)))&amp;TRIM(MID(SUBSTITUTE(SUBSTITUTE(INDEX('CONTROL MASTER'!$N$2:$N$495,(SUMPRODUCT((('CONTROL MASTER'!$S$2:$S$495=6)*('CONTROL MASTER'!$T$2:$T$495&lt;=3)*('CONTROL MASTER'!$V$2:$V$495&gt;=3)*('CONTROL MASTER'!$U$2:$U$495&lt;=5)*('CONTROL MASTER'!$W$2:$W$495&gt;=5))*ROW('CONTROL MASTER'!$S$2:$S$495))-(ROW('CONTROL MASTER'!#REF!)-1))),":",","),",",REPT(" ",50)),((((3-INDEX('CONTROL MASTER'!$T$2:$T$495,(SUMPRODUCT((('CONTROL MASTER'!$S$2:$S$495=6)*('CONTROL MASTER'!$T$2:$T$495&lt;=3)*('CONTROL MASTER'!$V$2:$V$495&gt;=3)*('CONTROL MASTER'!$U$2:$U$495&lt;=5)*('CONTROL MASTER'!$W$2:$W$495&gt;=5))*ROW('CONTROL MASTER'!$S$2:$S$495))-(ROW('CONTROL MASTER'!#REF!)-1))))*(INDEX('CONTROL MASTER'!$W$2:$W$495,(SUMPRODUCT((('CONTROL MASTER'!$S$2:$S$495=6)*('CONTROL MASTER'!$T$2:$T$495&lt;=3)*('CONTROL MASTER'!$V$2:$V$495&gt;=3)*('CONTROL MASTER'!$U$2:$U$495&lt;=5)*('CONTROL MASTER'!$W$2:$W$495&gt;=5))*ROW('CONTROL MASTER'!$S$2:$S$495))-(ROW('CONTROL MASTER'!#REF!)-1)))-INDEX('CONTROL MASTER'!$U$2:$U$495,(SUMPRODUCT((('CONTROL MASTER'!$S$2:$S$495=6)*('CONTROL MASTER'!$T$2:$T$495&lt;=3)*('CONTROL MASTER'!$V$2:$V$495&gt;=3)*('CONTROL MASTER'!$U$2:$U$495&lt;=5)*('CONTROL MASTER'!$W$2:$W$495&gt;=5))*ROW('CONTROL MASTER'!$S$2:$S$495))-(ROW('CONTROL MASTER'!#REF!)-1)))+1)+(5-INDEX('CONTROL MASTER'!$U$2:$U$495,(SUMPRODUCT((('CONTROL MASTER'!$S$2:$S$495=6)*('CONTROL MASTER'!$T$2:$T$495&lt;=3)*('CONTROL MASTER'!$V$2:$V$495&gt;=3)*('CONTROL MASTER'!$U$2:$U$495&lt;=5)*('CONTROL MASTER'!$W$2:$W$495&gt;=5))*ROW('CONTROL MASTER'!$S$2:$S$495))-(ROW('CONTROL MASTER'!#REF!)-1))))+1))-1)*50+1,50))&amp;"_"&amp;INDEX('CONTROL MASTER'!$P$2:$P$495,(SUMPRODUCT((('CONTROL MASTER'!$S$2:$S$495=6)*('CONTROL MASTER'!$T$2:$T$495&lt;=3)*('CONTROL MASTER'!$V$2:$V$495&gt;=3)*('CONTROL MASTER'!$U$2:$U$495&lt;=5)*('CONTROL MASTER'!$W$2:$W$495&gt;=5))*ROW('CONTROL MASTER'!$S$2:$S$495))-(ROW('CONTROL MASTER'!#REF!)-1))),IF(SUMPRODUCT((('CONTROL MASTER'!$S$2:$S$495=6)*('CONTROL MASTER'!$Z$2:$Z$495&lt;=3)*('CONTROL MASTER'!$AB$2:$AB$495&gt;=3)*('CONTROL MASTER'!$AA$2:$AA$495&lt;=5)*('CONTROL MASTER'!$AC$2:$AC$495&gt;=5))*ROW('CONTROL MASTER'!$S$2:$S$495))&gt;0,INDEX('CONTROL MASTER'!$X$2:$X$495,(SUMPRODUCT((('CONTROL MASTER'!$S$2:$S$495=6)*('CONTROL MASTER'!$Z$2:$Z$495&lt;=3)*('CONTROL MASTER'!$AB$2:$AB$495&gt;=3)*('CONTROL MASTER'!$AA$2:$AA$495&lt;=5)*('CONTROL MASTER'!$AC$2:$AC$495&gt;=5))*ROW('CONTROL MASTER'!$S$2:$S$495))-(ROW('CONTROL MASTER'!#REF!)-1)))&amp;TRIM(MID(SUBSTITUTE(SUBSTITUTE(INDEX('CONTROL MASTER'!$N$2:$N$495,(SUMPRODUCT((('CONTROL MASTER'!$S$2:$S$495=6)*('CONTROL MASTER'!$Z$2:$Z$495&lt;=3)*('CONTROL MASTER'!$AB$2:$AB$495&gt;=3)*('CONTROL MASTER'!$AA$2:$AA$495&lt;=5)*('CONTROL MASTER'!$AC$2:$AC$495&gt;=5))*ROW('CONTROL MASTER'!$S$2:$S$495))-(ROW('CONTROL MASTER'!#REF!)-1))),":",","),",",REPT(" ",50)),(((INDEX('CONTROL MASTER'!$Y$2:$Y$495,(SUMPRODUCT((('CONTROL MASTER'!$S$2:$S$495=6)*('CONTROL MASTER'!$Z$2:$Z$495&lt;=3)*('CONTROL MASTER'!$AB$2:$AB$495&gt;=3)*('CONTROL MASTER'!$AA$2:$AA$495&lt;=5)*('CONTROL MASTER'!$AC$2:$AC$495&gt;=5))*ROW('CONTROL MASTER'!$S$2:$S$495))-(ROW('CONTROL MASTER'!#REF!)-1)))+((3-INDEX('CONTROL MASTER'!$Z$2:$Z$495,(SUMPRODUCT((('CONTROL MASTER'!$S$2:$S$495=6)*('CONTROL MASTER'!$Z$2:$Z$495&lt;=3)*('CONTROL MASTER'!$AB$2:$AB$495&gt;=3)*('CONTROL MASTER'!$AA$2:$AA$495&lt;=5)*('CONTROL MASTER'!$AC$2:$AC$495&gt;=5))*ROW('CONTROL MASTER'!$S$2:$S$495))-(ROW('CONTROL MASTER'!#REF!)-1))))*(INDEX('CONTROL MASTER'!$AC$2:$AC$495,(SUMPRODUCT((('CONTROL MASTER'!$S$2:$S$495=6)*('CONTROL MASTER'!$Z$2:$Z$495&lt;=3)*('CONTROL MASTER'!$AB$2:$AB$495&gt;=3)*('CONTROL MASTER'!$AA$2:$AA$495&lt;=5)*('CONTROL MASTER'!$AC$2:$AC$495&gt;=5))*ROW('CONTROL MASTER'!$S$2:$S$495))-(ROW('CONTROL MASTER'!#REF!)-1)))-INDEX('CONTROL MASTER'!$AA$2:$AA$495,(SUMPRODUCT((('CONTROL MASTER'!$S$2:$S$495=6)*('CONTROL MASTER'!$Z$2:$Z$495&lt;=3)*('CONTROL MASTER'!$AB$2:$AB$495&gt;=3)*('CONTROL MASTER'!$AA$2:$AA$495&lt;=5)*('CONTROL MASTER'!$AC$2:$AC$495&gt;=5))*ROW('CONTROL MASTER'!$S$2:$S$495))-(ROW('CONTROL MASTER'!#REF!)-1)))+1)+(5-INDEX('CONTROL MASTER'!$AA$2:$AA$495,(SUMPRODUCT((('CONTROL MASTER'!$S$2:$S$495=6)*('CONTROL MASTER'!$Z$2:$Z$495&lt;=3)*('CONTROL MASTER'!$AB$2:$AB$495&gt;=3)*('CONTROL MASTER'!$AA$2:$AA$495&lt;=5)*('CONTROL MASTER'!$AC$2:$AC$495&gt;=5))*ROW('CONTROL MASTER'!$S$2:$S$495))-(ROW('CONTROL MASTER'!#REF!)-1))))+1)))-1)*50+1,50))&amp;"_"&amp;INDEX('CONTROL MASTER'!$P$2:$P$495,(SUMPRODUCT((('CONTROL MASTER'!$S$2:$S$495=6)*('CONTROL MASTER'!$Z$2:$Z$495&lt;=3)*('CONTROL MASTER'!$AB$2:$AB$495&gt;=3)*('CONTROL MASTER'!$AA$2:$AA$495&lt;=5)*('CONTROL MASTER'!$AC$2:$AC$495&gt;=5))*ROW('CONTROL MASTER'!$S$2:$S$495))-(ROW('CONTROL MASTER'!#REF!)-1))),"")),"")</f>
        <v/>
      </c>
      <c r="G75" s="10" t="str">
        <f>IFERROR(IF(SUMPRODUCT((('CONTROL MASTER'!$S$2:$S$495=6)*('CONTROL MASTER'!$T$2:$T$495&lt;=3)*('CONTROL MASTER'!$V$2:$V$495&gt;=3)*('CONTROL MASTER'!$U$2:$U$495&lt;=6)*('CONTROL MASTER'!$W$2:$W$495&gt;=6))*ROW('CONTROL MASTER'!$S$2:$S$495))&gt;0,INDEX('CONTROL MASTER'!$X$2:$X$495,(SUMPRODUCT((('CONTROL MASTER'!$S$2:$S$495=6)*('CONTROL MASTER'!$T$2:$T$495&lt;=3)*('CONTROL MASTER'!$V$2:$V$495&gt;=3)*('CONTROL MASTER'!$U$2:$U$495&lt;=6)*('CONTROL MASTER'!$W$2:$W$495&gt;=6))*ROW('CONTROL MASTER'!$S$2:$S$495))-(ROW('CONTROL MASTER'!#REF!)-1)))&amp;TRIM(MID(SUBSTITUTE(SUBSTITUTE(INDEX('CONTROL MASTER'!$N$2:$N$495,(SUMPRODUCT((('CONTROL MASTER'!$S$2:$S$495=6)*('CONTROL MASTER'!$T$2:$T$495&lt;=3)*('CONTROL MASTER'!$V$2:$V$495&gt;=3)*('CONTROL MASTER'!$U$2:$U$495&lt;=6)*('CONTROL MASTER'!$W$2:$W$495&gt;=6))*ROW('CONTROL MASTER'!$S$2:$S$495))-(ROW('CONTROL MASTER'!#REF!)-1))),":",","),",",REPT(" ",50)),((((3-INDEX('CONTROL MASTER'!$T$2:$T$495,(SUMPRODUCT((('CONTROL MASTER'!$S$2:$S$495=6)*('CONTROL MASTER'!$T$2:$T$495&lt;=3)*('CONTROL MASTER'!$V$2:$V$495&gt;=3)*('CONTROL MASTER'!$U$2:$U$495&lt;=6)*('CONTROL MASTER'!$W$2:$W$495&gt;=6))*ROW('CONTROL MASTER'!$S$2:$S$495))-(ROW('CONTROL MASTER'!#REF!)-1))))*(INDEX('CONTROL MASTER'!$W$2:$W$495,(SUMPRODUCT((('CONTROL MASTER'!$S$2:$S$495=6)*('CONTROL MASTER'!$T$2:$T$495&lt;=3)*('CONTROL MASTER'!$V$2:$V$495&gt;=3)*('CONTROL MASTER'!$U$2:$U$495&lt;=6)*('CONTROL MASTER'!$W$2:$W$495&gt;=6))*ROW('CONTROL MASTER'!$S$2:$S$495))-(ROW('CONTROL MASTER'!#REF!)-1)))-INDEX('CONTROL MASTER'!$U$2:$U$495,(SUMPRODUCT((('CONTROL MASTER'!$S$2:$S$495=6)*('CONTROL MASTER'!$T$2:$T$495&lt;=3)*('CONTROL MASTER'!$V$2:$V$495&gt;=3)*('CONTROL MASTER'!$U$2:$U$495&lt;=6)*('CONTROL MASTER'!$W$2:$W$495&gt;=6))*ROW('CONTROL MASTER'!$S$2:$S$495))-(ROW('CONTROL MASTER'!#REF!)-1)))+1)+(6-INDEX('CONTROL MASTER'!$U$2:$U$495,(SUMPRODUCT((('CONTROL MASTER'!$S$2:$S$495=6)*('CONTROL MASTER'!$T$2:$T$495&lt;=3)*('CONTROL MASTER'!$V$2:$V$495&gt;=3)*('CONTROL MASTER'!$U$2:$U$495&lt;=6)*('CONTROL MASTER'!$W$2:$W$495&gt;=6))*ROW('CONTROL MASTER'!$S$2:$S$495))-(ROW('CONTROL MASTER'!#REF!)-1))))+1))-1)*50+1,50))&amp;"_"&amp;INDEX('CONTROL MASTER'!$P$2:$P$495,(SUMPRODUCT((('CONTROL MASTER'!$S$2:$S$495=6)*('CONTROL MASTER'!$T$2:$T$495&lt;=3)*('CONTROL MASTER'!$V$2:$V$495&gt;=3)*('CONTROL MASTER'!$U$2:$U$495&lt;=6)*('CONTROL MASTER'!$W$2:$W$495&gt;=6))*ROW('CONTROL MASTER'!$S$2:$S$495))-(ROW('CONTROL MASTER'!#REF!)-1))),IF(SUMPRODUCT((('CONTROL MASTER'!$S$2:$S$495=6)*('CONTROL MASTER'!$Z$2:$Z$495&lt;=3)*('CONTROL MASTER'!$AB$2:$AB$495&gt;=3)*('CONTROL MASTER'!$AA$2:$AA$495&lt;=6)*('CONTROL MASTER'!$AC$2:$AC$495&gt;=6))*ROW('CONTROL MASTER'!$S$2:$S$495))&gt;0,INDEX('CONTROL MASTER'!$X$2:$X$495,(SUMPRODUCT((('CONTROL MASTER'!$S$2:$S$495=6)*('CONTROL MASTER'!$Z$2:$Z$495&lt;=3)*('CONTROL MASTER'!$AB$2:$AB$495&gt;=3)*('CONTROL MASTER'!$AA$2:$AA$495&lt;=6)*('CONTROL MASTER'!$AC$2:$AC$495&gt;=6))*ROW('CONTROL MASTER'!$S$2:$S$495))-(ROW('CONTROL MASTER'!#REF!)-1)))&amp;TRIM(MID(SUBSTITUTE(SUBSTITUTE(INDEX('CONTROL MASTER'!$N$2:$N$495,(SUMPRODUCT((('CONTROL MASTER'!$S$2:$S$495=6)*('CONTROL MASTER'!$Z$2:$Z$495&lt;=3)*('CONTROL MASTER'!$AB$2:$AB$495&gt;=3)*('CONTROL MASTER'!$AA$2:$AA$495&lt;=6)*('CONTROL MASTER'!$AC$2:$AC$495&gt;=6))*ROW('CONTROL MASTER'!$S$2:$S$495))-(ROW('CONTROL MASTER'!#REF!)-1))),":",","),",",REPT(" ",50)),(((INDEX('CONTROL MASTER'!$Y$2:$Y$495,(SUMPRODUCT((('CONTROL MASTER'!$S$2:$S$495=6)*('CONTROL MASTER'!$Z$2:$Z$495&lt;=3)*('CONTROL MASTER'!$AB$2:$AB$495&gt;=3)*('CONTROL MASTER'!$AA$2:$AA$495&lt;=6)*('CONTROL MASTER'!$AC$2:$AC$495&gt;=6))*ROW('CONTROL MASTER'!$S$2:$S$495))-(ROW('CONTROL MASTER'!#REF!)-1)))+((3-INDEX('CONTROL MASTER'!$Z$2:$Z$495,(SUMPRODUCT((('CONTROL MASTER'!$S$2:$S$495=6)*('CONTROL MASTER'!$Z$2:$Z$495&lt;=3)*('CONTROL MASTER'!$AB$2:$AB$495&gt;=3)*('CONTROL MASTER'!$AA$2:$AA$495&lt;=6)*('CONTROL MASTER'!$AC$2:$AC$495&gt;=6))*ROW('CONTROL MASTER'!$S$2:$S$495))-(ROW('CONTROL MASTER'!#REF!)-1))))*(INDEX('CONTROL MASTER'!$AC$2:$AC$495,(SUMPRODUCT((('CONTROL MASTER'!$S$2:$S$495=6)*('CONTROL MASTER'!$Z$2:$Z$495&lt;=3)*('CONTROL MASTER'!$AB$2:$AB$495&gt;=3)*('CONTROL MASTER'!$AA$2:$AA$495&lt;=6)*('CONTROL MASTER'!$AC$2:$AC$495&gt;=6))*ROW('CONTROL MASTER'!$S$2:$S$495))-(ROW('CONTROL MASTER'!#REF!)-1)))-INDEX('CONTROL MASTER'!$AA$2:$AA$495,(SUMPRODUCT((('CONTROL MASTER'!$S$2:$S$495=6)*('CONTROL MASTER'!$Z$2:$Z$495&lt;=3)*('CONTROL MASTER'!$AB$2:$AB$495&gt;=3)*('CONTROL MASTER'!$AA$2:$AA$495&lt;=6)*('CONTROL MASTER'!$AC$2:$AC$495&gt;=6))*ROW('CONTROL MASTER'!$S$2:$S$495))-(ROW('CONTROL MASTER'!#REF!)-1)))+1)+(6-INDEX('CONTROL MASTER'!$AA$2:$AA$495,(SUMPRODUCT((('CONTROL MASTER'!$S$2:$S$495=6)*('CONTROL MASTER'!$Z$2:$Z$495&lt;=3)*('CONTROL MASTER'!$AB$2:$AB$495&gt;=3)*('CONTROL MASTER'!$AA$2:$AA$495&lt;=6)*('CONTROL MASTER'!$AC$2:$AC$495&gt;=6))*ROW('CONTROL MASTER'!$S$2:$S$495))-(ROW('CONTROL MASTER'!#REF!)-1))))+1)))-1)*50+1,50))&amp;"_"&amp;INDEX('CONTROL MASTER'!$P$2:$P$495,(SUMPRODUCT((('CONTROL MASTER'!$S$2:$S$495=6)*('CONTROL MASTER'!$Z$2:$Z$495&lt;=3)*('CONTROL MASTER'!$AB$2:$AB$495&gt;=3)*('CONTROL MASTER'!$AA$2:$AA$495&lt;=6)*('CONTROL MASTER'!$AC$2:$AC$495&gt;=6))*ROW('CONTROL MASTER'!$S$2:$S$495))-(ROW('CONTROL MASTER'!#REF!)-1))),"")),"")</f>
        <v/>
      </c>
      <c r="H75" s="10" t="str">
        <f>IFERROR(IF(SUMPRODUCT((('CONTROL MASTER'!$S$2:$S$495=6)*('CONTROL MASTER'!$T$2:$T$495&lt;=3)*('CONTROL MASTER'!$V$2:$V$495&gt;=3)*('CONTROL MASTER'!$U$2:$U$495&lt;=7)*('CONTROL MASTER'!$W$2:$W$495&gt;=7))*ROW('CONTROL MASTER'!$S$2:$S$495))&gt;0,INDEX('CONTROL MASTER'!$X$2:$X$495,(SUMPRODUCT((('CONTROL MASTER'!$S$2:$S$495=6)*('CONTROL MASTER'!$T$2:$T$495&lt;=3)*('CONTROL MASTER'!$V$2:$V$495&gt;=3)*('CONTROL MASTER'!$U$2:$U$495&lt;=7)*('CONTROL MASTER'!$W$2:$W$495&gt;=7))*ROW('CONTROL MASTER'!$S$2:$S$495))-(ROW('CONTROL MASTER'!#REF!)-1)))&amp;TRIM(MID(SUBSTITUTE(SUBSTITUTE(INDEX('CONTROL MASTER'!$N$2:$N$495,(SUMPRODUCT((('CONTROL MASTER'!$S$2:$S$495=6)*('CONTROL MASTER'!$T$2:$T$495&lt;=3)*('CONTROL MASTER'!$V$2:$V$495&gt;=3)*('CONTROL MASTER'!$U$2:$U$495&lt;=7)*('CONTROL MASTER'!$W$2:$W$495&gt;=7))*ROW('CONTROL MASTER'!$S$2:$S$495))-(ROW('CONTROL MASTER'!#REF!)-1))),":",","),",",REPT(" ",50)),((((3-INDEX('CONTROL MASTER'!$T$2:$T$495,(SUMPRODUCT((('CONTROL MASTER'!$S$2:$S$495=6)*('CONTROL MASTER'!$T$2:$T$495&lt;=3)*('CONTROL MASTER'!$V$2:$V$495&gt;=3)*('CONTROL MASTER'!$U$2:$U$495&lt;=7)*('CONTROL MASTER'!$W$2:$W$495&gt;=7))*ROW('CONTROL MASTER'!$S$2:$S$495))-(ROW('CONTROL MASTER'!#REF!)-1))))*(INDEX('CONTROL MASTER'!$W$2:$W$495,(SUMPRODUCT((('CONTROL MASTER'!$S$2:$S$495=6)*('CONTROL MASTER'!$T$2:$T$495&lt;=3)*('CONTROL MASTER'!$V$2:$V$495&gt;=3)*('CONTROL MASTER'!$U$2:$U$495&lt;=7)*('CONTROL MASTER'!$W$2:$W$495&gt;=7))*ROW('CONTROL MASTER'!$S$2:$S$495))-(ROW('CONTROL MASTER'!#REF!)-1)))-INDEX('CONTROL MASTER'!$U$2:$U$495,(SUMPRODUCT((('CONTROL MASTER'!$S$2:$S$495=6)*('CONTROL MASTER'!$T$2:$T$495&lt;=3)*('CONTROL MASTER'!$V$2:$V$495&gt;=3)*('CONTROL MASTER'!$U$2:$U$495&lt;=7)*('CONTROL MASTER'!$W$2:$W$495&gt;=7))*ROW('CONTROL MASTER'!$S$2:$S$495))-(ROW('CONTROL MASTER'!#REF!)-1)))+1)+(7-INDEX('CONTROL MASTER'!$U$2:$U$495,(SUMPRODUCT((('CONTROL MASTER'!$S$2:$S$495=6)*('CONTROL MASTER'!$T$2:$T$495&lt;=3)*('CONTROL MASTER'!$V$2:$V$495&gt;=3)*('CONTROL MASTER'!$U$2:$U$495&lt;=7)*('CONTROL MASTER'!$W$2:$W$495&gt;=7))*ROW('CONTROL MASTER'!$S$2:$S$495))-(ROW('CONTROL MASTER'!#REF!)-1))))+1))-1)*50+1,50))&amp;"_"&amp;INDEX('CONTROL MASTER'!$P$2:$P$495,(SUMPRODUCT((('CONTROL MASTER'!$S$2:$S$495=6)*('CONTROL MASTER'!$T$2:$T$495&lt;=3)*('CONTROL MASTER'!$V$2:$V$495&gt;=3)*('CONTROL MASTER'!$U$2:$U$495&lt;=7)*('CONTROL MASTER'!$W$2:$W$495&gt;=7))*ROW('CONTROL MASTER'!$S$2:$S$495))-(ROW('CONTROL MASTER'!#REF!)-1))),IF(SUMPRODUCT((('CONTROL MASTER'!$S$2:$S$495=6)*('CONTROL MASTER'!$Z$2:$Z$495&lt;=3)*('CONTROL MASTER'!$AB$2:$AB$495&gt;=3)*('CONTROL MASTER'!$AA$2:$AA$495&lt;=7)*('CONTROL MASTER'!$AC$2:$AC$495&gt;=7))*ROW('CONTROL MASTER'!$S$2:$S$495))&gt;0,INDEX('CONTROL MASTER'!$X$2:$X$495,(SUMPRODUCT((('CONTROL MASTER'!$S$2:$S$495=6)*('CONTROL MASTER'!$Z$2:$Z$495&lt;=3)*('CONTROL MASTER'!$AB$2:$AB$495&gt;=3)*('CONTROL MASTER'!$AA$2:$AA$495&lt;=7)*('CONTROL MASTER'!$AC$2:$AC$495&gt;=7))*ROW('CONTROL MASTER'!$S$2:$S$495))-(ROW('CONTROL MASTER'!#REF!)-1)))&amp;TRIM(MID(SUBSTITUTE(SUBSTITUTE(INDEX('CONTROL MASTER'!$N$2:$N$495,(SUMPRODUCT((('CONTROL MASTER'!$S$2:$S$495=6)*('CONTROL MASTER'!$Z$2:$Z$495&lt;=3)*('CONTROL MASTER'!$AB$2:$AB$495&gt;=3)*('CONTROL MASTER'!$AA$2:$AA$495&lt;=7)*('CONTROL MASTER'!$AC$2:$AC$495&gt;=7))*ROW('CONTROL MASTER'!$S$2:$S$495))-(ROW('CONTROL MASTER'!#REF!)-1))),":",","),",",REPT(" ",50)),(((INDEX('CONTROL MASTER'!$Y$2:$Y$495,(SUMPRODUCT((('CONTROL MASTER'!$S$2:$S$495=6)*('CONTROL MASTER'!$Z$2:$Z$495&lt;=3)*('CONTROL MASTER'!$AB$2:$AB$495&gt;=3)*('CONTROL MASTER'!$AA$2:$AA$495&lt;=7)*('CONTROL MASTER'!$AC$2:$AC$495&gt;=7))*ROW('CONTROL MASTER'!$S$2:$S$495))-(ROW('CONTROL MASTER'!#REF!)-1)))+((3-INDEX('CONTROL MASTER'!$Z$2:$Z$495,(SUMPRODUCT((('CONTROL MASTER'!$S$2:$S$495=6)*('CONTROL MASTER'!$Z$2:$Z$495&lt;=3)*('CONTROL MASTER'!$AB$2:$AB$495&gt;=3)*('CONTROL MASTER'!$AA$2:$AA$495&lt;=7)*('CONTROL MASTER'!$AC$2:$AC$495&gt;=7))*ROW('CONTROL MASTER'!$S$2:$S$495))-(ROW('CONTROL MASTER'!#REF!)-1))))*(INDEX('CONTROL MASTER'!$AC$2:$AC$495,(SUMPRODUCT((('CONTROL MASTER'!$S$2:$S$495=6)*('CONTROL MASTER'!$Z$2:$Z$495&lt;=3)*('CONTROL MASTER'!$AB$2:$AB$495&gt;=3)*('CONTROL MASTER'!$AA$2:$AA$495&lt;=7)*('CONTROL MASTER'!$AC$2:$AC$495&gt;=7))*ROW('CONTROL MASTER'!$S$2:$S$495))-(ROW('CONTROL MASTER'!#REF!)-1)))-INDEX('CONTROL MASTER'!$AA$2:$AA$495,(SUMPRODUCT((('CONTROL MASTER'!$S$2:$S$495=6)*('CONTROL MASTER'!$Z$2:$Z$495&lt;=3)*('CONTROL MASTER'!$AB$2:$AB$495&gt;=3)*('CONTROL MASTER'!$AA$2:$AA$495&lt;=7)*('CONTROL MASTER'!$AC$2:$AC$495&gt;=7))*ROW('CONTROL MASTER'!$S$2:$S$495))-(ROW('CONTROL MASTER'!#REF!)-1)))+1)+(7-INDEX('CONTROL MASTER'!$AA$2:$AA$495,(SUMPRODUCT((('CONTROL MASTER'!$S$2:$S$495=6)*('CONTROL MASTER'!$Z$2:$Z$495&lt;=3)*('CONTROL MASTER'!$AB$2:$AB$495&gt;=3)*('CONTROL MASTER'!$AA$2:$AA$495&lt;=7)*('CONTROL MASTER'!$AC$2:$AC$495&gt;=7))*ROW('CONTROL MASTER'!$S$2:$S$495))-(ROW('CONTROL MASTER'!#REF!)-1))))+1)))-1)*50+1,50))&amp;"_"&amp;INDEX('CONTROL MASTER'!$P$2:$P$495,(SUMPRODUCT((('CONTROL MASTER'!$S$2:$S$495=6)*('CONTROL MASTER'!$Z$2:$Z$495&lt;=3)*('CONTROL MASTER'!$AB$2:$AB$495&gt;=3)*('CONTROL MASTER'!$AA$2:$AA$495&lt;=7)*('CONTROL MASTER'!$AC$2:$AC$495&gt;=7))*ROW('CONTROL MASTER'!$S$2:$S$495))-(ROW('CONTROL MASTER'!#REF!)-1))),"")),"")</f>
        <v/>
      </c>
      <c r="I75" s="10" t="str">
        <f>IFERROR(IF(SUMPRODUCT((('CONTROL MASTER'!$S$2:$S$495=6)*('CONTROL MASTER'!$T$2:$T$495&lt;=3)*('CONTROL MASTER'!$V$2:$V$495&gt;=3)*('CONTROL MASTER'!$U$2:$U$495&lt;=8)*('CONTROL MASTER'!$W$2:$W$495&gt;=8))*ROW('CONTROL MASTER'!$S$2:$S$495))&gt;0,INDEX('CONTROL MASTER'!$X$2:$X$495,(SUMPRODUCT((('CONTROL MASTER'!$S$2:$S$495=6)*('CONTROL MASTER'!$T$2:$T$495&lt;=3)*('CONTROL MASTER'!$V$2:$V$495&gt;=3)*('CONTROL MASTER'!$U$2:$U$495&lt;=8)*('CONTROL MASTER'!$W$2:$W$495&gt;=8))*ROW('CONTROL MASTER'!$S$2:$S$495))-(ROW('CONTROL MASTER'!#REF!)-1)))&amp;TRIM(MID(SUBSTITUTE(SUBSTITUTE(INDEX('CONTROL MASTER'!$N$2:$N$495,(SUMPRODUCT((('CONTROL MASTER'!$S$2:$S$495=6)*('CONTROL MASTER'!$T$2:$T$495&lt;=3)*('CONTROL MASTER'!$V$2:$V$495&gt;=3)*('CONTROL MASTER'!$U$2:$U$495&lt;=8)*('CONTROL MASTER'!$W$2:$W$495&gt;=8))*ROW('CONTROL MASTER'!$S$2:$S$495))-(ROW('CONTROL MASTER'!#REF!)-1))),":",","),",",REPT(" ",50)),((((3-INDEX('CONTROL MASTER'!$T$2:$T$495,(SUMPRODUCT((('CONTROL MASTER'!$S$2:$S$495=6)*('CONTROL MASTER'!$T$2:$T$495&lt;=3)*('CONTROL MASTER'!$V$2:$V$495&gt;=3)*('CONTROL MASTER'!$U$2:$U$495&lt;=8)*('CONTROL MASTER'!$W$2:$W$495&gt;=8))*ROW('CONTROL MASTER'!$S$2:$S$495))-(ROW('CONTROL MASTER'!#REF!)-1))))*(INDEX('CONTROL MASTER'!$W$2:$W$495,(SUMPRODUCT((('CONTROL MASTER'!$S$2:$S$495=6)*('CONTROL MASTER'!$T$2:$T$495&lt;=3)*('CONTROL MASTER'!$V$2:$V$495&gt;=3)*('CONTROL MASTER'!$U$2:$U$495&lt;=8)*('CONTROL MASTER'!$W$2:$W$495&gt;=8))*ROW('CONTROL MASTER'!$S$2:$S$495))-(ROW('CONTROL MASTER'!#REF!)-1)))-INDEX('CONTROL MASTER'!$U$2:$U$495,(SUMPRODUCT((('CONTROL MASTER'!$S$2:$S$495=6)*('CONTROL MASTER'!$T$2:$T$495&lt;=3)*('CONTROL MASTER'!$V$2:$V$495&gt;=3)*('CONTROL MASTER'!$U$2:$U$495&lt;=8)*('CONTROL MASTER'!$W$2:$W$495&gt;=8))*ROW('CONTROL MASTER'!$S$2:$S$495))-(ROW('CONTROL MASTER'!#REF!)-1)))+1)+(8-INDEX('CONTROL MASTER'!$U$2:$U$495,(SUMPRODUCT((('CONTROL MASTER'!$S$2:$S$495=6)*('CONTROL MASTER'!$T$2:$T$495&lt;=3)*('CONTROL MASTER'!$V$2:$V$495&gt;=3)*('CONTROL MASTER'!$U$2:$U$495&lt;=8)*('CONTROL MASTER'!$W$2:$W$495&gt;=8))*ROW('CONTROL MASTER'!$S$2:$S$495))-(ROW('CONTROL MASTER'!#REF!)-1))))+1))-1)*50+1,50))&amp;"_"&amp;INDEX('CONTROL MASTER'!$P$2:$P$495,(SUMPRODUCT((('CONTROL MASTER'!$S$2:$S$495=6)*('CONTROL MASTER'!$T$2:$T$495&lt;=3)*('CONTROL MASTER'!$V$2:$V$495&gt;=3)*('CONTROL MASTER'!$U$2:$U$495&lt;=8)*('CONTROL MASTER'!$W$2:$W$495&gt;=8))*ROW('CONTROL MASTER'!$S$2:$S$495))-(ROW('CONTROL MASTER'!#REF!)-1))),IF(SUMPRODUCT((('CONTROL MASTER'!$S$2:$S$495=6)*('CONTROL MASTER'!$Z$2:$Z$495&lt;=3)*('CONTROL MASTER'!$AB$2:$AB$495&gt;=3)*('CONTROL MASTER'!$AA$2:$AA$495&lt;=8)*('CONTROL MASTER'!$AC$2:$AC$495&gt;=8))*ROW('CONTROL MASTER'!$S$2:$S$495))&gt;0,INDEX('CONTROL MASTER'!$X$2:$X$495,(SUMPRODUCT((('CONTROL MASTER'!$S$2:$S$495=6)*('CONTROL MASTER'!$Z$2:$Z$495&lt;=3)*('CONTROL MASTER'!$AB$2:$AB$495&gt;=3)*('CONTROL MASTER'!$AA$2:$AA$495&lt;=8)*('CONTROL MASTER'!$AC$2:$AC$495&gt;=8))*ROW('CONTROL MASTER'!$S$2:$S$495))-(ROW('CONTROL MASTER'!#REF!)-1)))&amp;TRIM(MID(SUBSTITUTE(SUBSTITUTE(INDEX('CONTROL MASTER'!$N$2:$N$495,(SUMPRODUCT((('CONTROL MASTER'!$S$2:$S$495=6)*('CONTROL MASTER'!$Z$2:$Z$495&lt;=3)*('CONTROL MASTER'!$AB$2:$AB$495&gt;=3)*('CONTROL MASTER'!$AA$2:$AA$495&lt;=8)*('CONTROL MASTER'!$AC$2:$AC$495&gt;=8))*ROW('CONTROL MASTER'!$S$2:$S$495))-(ROW('CONTROL MASTER'!#REF!)-1))),":",","),",",REPT(" ",50)),(((INDEX('CONTROL MASTER'!$Y$2:$Y$495,(SUMPRODUCT((('CONTROL MASTER'!$S$2:$S$495=6)*('CONTROL MASTER'!$Z$2:$Z$495&lt;=3)*('CONTROL MASTER'!$AB$2:$AB$495&gt;=3)*('CONTROL MASTER'!$AA$2:$AA$495&lt;=8)*('CONTROL MASTER'!$AC$2:$AC$495&gt;=8))*ROW('CONTROL MASTER'!$S$2:$S$495))-(ROW('CONTROL MASTER'!#REF!)-1)))+((3-INDEX('CONTROL MASTER'!$Z$2:$Z$495,(SUMPRODUCT((('CONTROL MASTER'!$S$2:$S$495=6)*('CONTROL MASTER'!$Z$2:$Z$495&lt;=3)*('CONTROL MASTER'!$AB$2:$AB$495&gt;=3)*('CONTROL MASTER'!$AA$2:$AA$495&lt;=8)*('CONTROL MASTER'!$AC$2:$AC$495&gt;=8))*ROW('CONTROL MASTER'!$S$2:$S$495))-(ROW('CONTROL MASTER'!#REF!)-1))))*(INDEX('CONTROL MASTER'!$AC$2:$AC$495,(SUMPRODUCT((('CONTROL MASTER'!$S$2:$S$495=6)*('CONTROL MASTER'!$Z$2:$Z$495&lt;=3)*('CONTROL MASTER'!$AB$2:$AB$495&gt;=3)*('CONTROL MASTER'!$AA$2:$AA$495&lt;=8)*('CONTROL MASTER'!$AC$2:$AC$495&gt;=8))*ROW('CONTROL MASTER'!$S$2:$S$495))-(ROW('CONTROL MASTER'!#REF!)-1)))-INDEX('CONTROL MASTER'!$AA$2:$AA$495,(SUMPRODUCT((('CONTROL MASTER'!$S$2:$S$495=6)*('CONTROL MASTER'!$Z$2:$Z$495&lt;=3)*('CONTROL MASTER'!$AB$2:$AB$495&gt;=3)*('CONTROL MASTER'!$AA$2:$AA$495&lt;=8)*('CONTROL MASTER'!$AC$2:$AC$495&gt;=8))*ROW('CONTROL MASTER'!$S$2:$S$495))-(ROW('CONTROL MASTER'!#REF!)-1)))+1)+(8-INDEX('CONTROL MASTER'!$AA$2:$AA$495,(SUMPRODUCT((('CONTROL MASTER'!$S$2:$S$495=6)*('CONTROL MASTER'!$Z$2:$Z$495&lt;=3)*('CONTROL MASTER'!$AB$2:$AB$495&gt;=3)*('CONTROL MASTER'!$AA$2:$AA$495&lt;=8)*('CONTROL MASTER'!$AC$2:$AC$495&gt;=8))*ROW('CONTROL MASTER'!$S$2:$S$495))-(ROW('CONTROL MASTER'!#REF!)-1))))+1)))-1)*50+1,50))&amp;"_"&amp;INDEX('CONTROL MASTER'!$P$2:$P$495,(SUMPRODUCT((('CONTROL MASTER'!$S$2:$S$495=6)*('CONTROL MASTER'!$Z$2:$Z$495&lt;=3)*('CONTROL MASTER'!$AB$2:$AB$495&gt;=3)*('CONTROL MASTER'!$AA$2:$AA$495&lt;=8)*('CONTROL MASTER'!$AC$2:$AC$495&gt;=8))*ROW('CONTROL MASTER'!$S$2:$S$495))-(ROW('CONTROL MASTER'!#REF!)-1))),"")),"")</f>
        <v/>
      </c>
      <c r="J75" s="10" t="str">
        <f>IFERROR(IF(SUMPRODUCT((('CONTROL MASTER'!$S$2:$S$495=6)*('CONTROL MASTER'!$T$2:$T$495&lt;=3)*('CONTROL MASTER'!$V$2:$V$495&gt;=3)*('CONTROL MASTER'!$U$2:$U$495&lt;=9)*('CONTROL MASTER'!$W$2:$W$495&gt;=9))*ROW('CONTROL MASTER'!$S$2:$S$495))&gt;0,INDEX('CONTROL MASTER'!$X$2:$X$495,(SUMPRODUCT((('CONTROL MASTER'!$S$2:$S$495=6)*('CONTROL MASTER'!$T$2:$T$495&lt;=3)*('CONTROL MASTER'!$V$2:$V$495&gt;=3)*('CONTROL MASTER'!$U$2:$U$495&lt;=9)*('CONTROL MASTER'!$W$2:$W$495&gt;=9))*ROW('CONTROL MASTER'!$S$2:$S$495))-(ROW('CONTROL MASTER'!#REF!)-1)))&amp;TRIM(MID(SUBSTITUTE(SUBSTITUTE(INDEX('CONTROL MASTER'!$N$2:$N$495,(SUMPRODUCT((('CONTROL MASTER'!$S$2:$S$495=6)*('CONTROL MASTER'!$T$2:$T$495&lt;=3)*('CONTROL MASTER'!$V$2:$V$495&gt;=3)*('CONTROL MASTER'!$U$2:$U$495&lt;=9)*('CONTROL MASTER'!$W$2:$W$495&gt;=9))*ROW('CONTROL MASTER'!$S$2:$S$495))-(ROW('CONTROL MASTER'!#REF!)-1))),":",","),",",REPT(" ",50)),((((3-INDEX('CONTROL MASTER'!$T$2:$T$495,(SUMPRODUCT((('CONTROL MASTER'!$S$2:$S$495=6)*('CONTROL MASTER'!$T$2:$T$495&lt;=3)*('CONTROL MASTER'!$V$2:$V$495&gt;=3)*('CONTROL MASTER'!$U$2:$U$495&lt;=9)*('CONTROL MASTER'!$W$2:$W$495&gt;=9))*ROW('CONTROL MASTER'!$S$2:$S$495))-(ROW('CONTROL MASTER'!#REF!)-1))))*(INDEX('CONTROL MASTER'!$W$2:$W$495,(SUMPRODUCT((('CONTROL MASTER'!$S$2:$S$495=6)*('CONTROL MASTER'!$T$2:$T$495&lt;=3)*('CONTROL MASTER'!$V$2:$V$495&gt;=3)*('CONTROL MASTER'!$U$2:$U$495&lt;=9)*('CONTROL MASTER'!$W$2:$W$495&gt;=9))*ROW('CONTROL MASTER'!$S$2:$S$495))-(ROW('CONTROL MASTER'!#REF!)-1)))-INDEX('CONTROL MASTER'!$U$2:$U$495,(SUMPRODUCT((('CONTROL MASTER'!$S$2:$S$495=6)*('CONTROL MASTER'!$T$2:$T$495&lt;=3)*('CONTROL MASTER'!$V$2:$V$495&gt;=3)*('CONTROL MASTER'!$U$2:$U$495&lt;=9)*('CONTROL MASTER'!$W$2:$W$495&gt;=9))*ROW('CONTROL MASTER'!$S$2:$S$495))-(ROW('CONTROL MASTER'!#REF!)-1)))+1)+(9-INDEX('CONTROL MASTER'!$U$2:$U$495,(SUMPRODUCT((('CONTROL MASTER'!$S$2:$S$495=6)*('CONTROL MASTER'!$T$2:$T$495&lt;=3)*('CONTROL MASTER'!$V$2:$V$495&gt;=3)*('CONTROL MASTER'!$U$2:$U$495&lt;=9)*('CONTROL MASTER'!$W$2:$W$495&gt;=9))*ROW('CONTROL MASTER'!$S$2:$S$495))-(ROW('CONTROL MASTER'!#REF!)-1))))+1))-1)*50+1,50))&amp;"_"&amp;INDEX('CONTROL MASTER'!$P$2:$P$495,(SUMPRODUCT((('CONTROL MASTER'!$S$2:$S$495=6)*('CONTROL MASTER'!$T$2:$T$495&lt;=3)*('CONTROL MASTER'!$V$2:$V$495&gt;=3)*('CONTROL MASTER'!$U$2:$U$495&lt;=9)*('CONTROL MASTER'!$W$2:$W$495&gt;=9))*ROW('CONTROL MASTER'!$S$2:$S$495))-(ROW('CONTROL MASTER'!#REF!)-1))),IF(SUMPRODUCT((('CONTROL MASTER'!$S$2:$S$495=6)*('CONTROL MASTER'!$Z$2:$Z$495&lt;=3)*('CONTROL MASTER'!$AB$2:$AB$495&gt;=3)*('CONTROL MASTER'!$AA$2:$AA$495&lt;=9)*('CONTROL MASTER'!$AC$2:$AC$495&gt;=9))*ROW('CONTROL MASTER'!$S$2:$S$495))&gt;0,INDEX('CONTROL MASTER'!$X$2:$X$495,(SUMPRODUCT((('CONTROL MASTER'!$S$2:$S$495=6)*('CONTROL MASTER'!$Z$2:$Z$495&lt;=3)*('CONTROL MASTER'!$AB$2:$AB$495&gt;=3)*('CONTROL MASTER'!$AA$2:$AA$495&lt;=9)*('CONTROL MASTER'!$AC$2:$AC$495&gt;=9))*ROW('CONTROL MASTER'!$S$2:$S$495))-(ROW('CONTROL MASTER'!#REF!)-1)))&amp;TRIM(MID(SUBSTITUTE(SUBSTITUTE(INDEX('CONTROL MASTER'!$N$2:$N$495,(SUMPRODUCT((('CONTROL MASTER'!$S$2:$S$495=6)*('CONTROL MASTER'!$Z$2:$Z$495&lt;=3)*('CONTROL MASTER'!$AB$2:$AB$495&gt;=3)*('CONTROL MASTER'!$AA$2:$AA$495&lt;=9)*('CONTROL MASTER'!$AC$2:$AC$495&gt;=9))*ROW('CONTROL MASTER'!$S$2:$S$495))-(ROW('CONTROL MASTER'!#REF!)-1))),":",","),",",REPT(" ",50)),(((INDEX('CONTROL MASTER'!$Y$2:$Y$495,(SUMPRODUCT((('CONTROL MASTER'!$S$2:$S$495=6)*('CONTROL MASTER'!$Z$2:$Z$495&lt;=3)*('CONTROL MASTER'!$AB$2:$AB$495&gt;=3)*('CONTROL MASTER'!$AA$2:$AA$495&lt;=9)*('CONTROL MASTER'!$AC$2:$AC$495&gt;=9))*ROW('CONTROL MASTER'!$S$2:$S$495))-(ROW('CONTROL MASTER'!#REF!)-1)))+((3-INDEX('CONTROL MASTER'!$Z$2:$Z$495,(SUMPRODUCT((('CONTROL MASTER'!$S$2:$S$495=6)*('CONTROL MASTER'!$Z$2:$Z$495&lt;=3)*('CONTROL MASTER'!$AB$2:$AB$495&gt;=3)*('CONTROL MASTER'!$AA$2:$AA$495&lt;=9)*('CONTROL MASTER'!$AC$2:$AC$495&gt;=9))*ROW('CONTROL MASTER'!$S$2:$S$495))-(ROW('CONTROL MASTER'!#REF!)-1))))*(INDEX('CONTROL MASTER'!$AC$2:$AC$495,(SUMPRODUCT((('CONTROL MASTER'!$S$2:$S$495=6)*('CONTROL MASTER'!$Z$2:$Z$495&lt;=3)*('CONTROL MASTER'!$AB$2:$AB$495&gt;=3)*('CONTROL MASTER'!$AA$2:$AA$495&lt;=9)*('CONTROL MASTER'!$AC$2:$AC$495&gt;=9))*ROW('CONTROL MASTER'!$S$2:$S$495))-(ROW('CONTROL MASTER'!#REF!)-1)))-INDEX('CONTROL MASTER'!$AA$2:$AA$495,(SUMPRODUCT((('CONTROL MASTER'!$S$2:$S$495=6)*('CONTROL MASTER'!$Z$2:$Z$495&lt;=3)*('CONTROL MASTER'!$AB$2:$AB$495&gt;=3)*('CONTROL MASTER'!$AA$2:$AA$495&lt;=9)*('CONTROL MASTER'!$AC$2:$AC$495&gt;=9))*ROW('CONTROL MASTER'!$S$2:$S$495))-(ROW('CONTROL MASTER'!#REF!)-1)))+1)+(9-INDEX('CONTROL MASTER'!$AA$2:$AA$495,(SUMPRODUCT((('CONTROL MASTER'!$S$2:$S$495=6)*('CONTROL MASTER'!$Z$2:$Z$495&lt;=3)*('CONTROL MASTER'!$AB$2:$AB$495&gt;=3)*('CONTROL MASTER'!$AA$2:$AA$495&lt;=9)*('CONTROL MASTER'!$AC$2:$AC$495&gt;=9))*ROW('CONTROL MASTER'!$S$2:$S$495))-(ROW('CONTROL MASTER'!#REF!)-1))))+1)))-1)*50+1,50))&amp;"_"&amp;INDEX('CONTROL MASTER'!$P$2:$P$495,(SUMPRODUCT((('CONTROL MASTER'!$S$2:$S$495=6)*('CONTROL MASTER'!$Z$2:$Z$495&lt;=3)*('CONTROL MASTER'!$AB$2:$AB$495&gt;=3)*('CONTROL MASTER'!$AA$2:$AA$495&lt;=9)*('CONTROL MASTER'!$AC$2:$AC$495&gt;=9))*ROW('CONTROL MASTER'!$S$2:$S$495))-(ROW('CONTROL MASTER'!#REF!)-1))),"")),"")</f>
        <v/>
      </c>
      <c r="K75" s="10" t="str">
        <f>IFERROR(IF(SUMPRODUCT((('CONTROL MASTER'!$S$2:$S$495=6)*('CONTROL MASTER'!$T$2:$T$495&lt;=3)*('CONTROL MASTER'!$V$2:$V$495&gt;=3)*('CONTROL MASTER'!$U$2:$U$495&lt;=10)*('CONTROL MASTER'!$W$2:$W$495&gt;=10))*ROW('CONTROL MASTER'!$S$2:$S$495))&gt;0,INDEX('CONTROL MASTER'!$X$2:$X$495,(SUMPRODUCT((('CONTROL MASTER'!$S$2:$S$495=6)*('CONTROL MASTER'!$T$2:$T$495&lt;=3)*('CONTROL MASTER'!$V$2:$V$495&gt;=3)*('CONTROL MASTER'!$U$2:$U$495&lt;=10)*('CONTROL MASTER'!$W$2:$W$495&gt;=10))*ROW('CONTROL MASTER'!$S$2:$S$495))-(ROW('CONTROL MASTER'!#REF!)-1)))&amp;TRIM(MID(SUBSTITUTE(SUBSTITUTE(INDEX('CONTROL MASTER'!$N$2:$N$495,(SUMPRODUCT((('CONTROL MASTER'!$S$2:$S$495=6)*('CONTROL MASTER'!$T$2:$T$495&lt;=3)*('CONTROL MASTER'!$V$2:$V$495&gt;=3)*('CONTROL MASTER'!$U$2:$U$495&lt;=10)*('CONTROL MASTER'!$W$2:$W$495&gt;=10))*ROW('CONTROL MASTER'!$S$2:$S$495))-(ROW('CONTROL MASTER'!#REF!)-1))),":",","),",",REPT(" ",50)),((((3-INDEX('CONTROL MASTER'!$T$2:$T$495,(SUMPRODUCT((('CONTROL MASTER'!$S$2:$S$495=6)*('CONTROL MASTER'!$T$2:$T$495&lt;=3)*('CONTROL MASTER'!$V$2:$V$495&gt;=3)*('CONTROL MASTER'!$U$2:$U$495&lt;=10)*('CONTROL MASTER'!$W$2:$W$495&gt;=10))*ROW('CONTROL MASTER'!$S$2:$S$495))-(ROW('CONTROL MASTER'!#REF!)-1))))*(INDEX('CONTROL MASTER'!$W$2:$W$495,(SUMPRODUCT((('CONTROL MASTER'!$S$2:$S$495=6)*('CONTROL MASTER'!$T$2:$T$495&lt;=3)*('CONTROL MASTER'!$V$2:$V$495&gt;=3)*('CONTROL MASTER'!$U$2:$U$495&lt;=10)*('CONTROL MASTER'!$W$2:$W$495&gt;=10))*ROW('CONTROL MASTER'!$S$2:$S$495))-(ROW('CONTROL MASTER'!#REF!)-1)))-INDEX('CONTROL MASTER'!$U$2:$U$495,(SUMPRODUCT((('CONTROL MASTER'!$S$2:$S$495=6)*('CONTROL MASTER'!$T$2:$T$495&lt;=3)*('CONTROL MASTER'!$V$2:$V$495&gt;=3)*('CONTROL MASTER'!$U$2:$U$495&lt;=10)*('CONTROL MASTER'!$W$2:$W$495&gt;=10))*ROW('CONTROL MASTER'!$S$2:$S$495))-(ROW('CONTROL MASTER'!#REF!)-1)))+1)+(10-INDEX('CONTROL MASTER'!$U$2:$U$495,(SUMPRODUCT((('CONTROL MASTER'!$S$2:$S$495=6)*('CONTROL MASTER'!$T$2:$T$495&lt;=3)*('CONTROL MASTER'!$V$2:$V$495&gt;=3)*('CONTROL MASTER'!$U$2:$U$495&lt;=10)*('CONTROL MASTER'!$W$2:$W$495&gt;=10))*ROW('CONTROL MASTER'!$S$2:$S$495))-(ROW('CONTROL MASTER'!#REF!)-1))))+1))-1)*50+1,50))&amp;"_"&amp;INDEX('CONTROL MASTER'!$P$2:$P$495,(SUMPRODUCT((('CONTROL MASTER'!$S$2:$S$495=6)*('CONTROL MASTER'!$T$2:$T$495&lt;=3)*('CONTROL MASTER'!$V$2:$V$495&gt;=3)*('CONTROL MASTER'!$U$2:$U$495&lt;=10)*('CONTROL MASTER'!$W$2:$W$495&gt;=10))*ROW('CONTROL MASTER'!$S$2:$S$495))-(ROW('CONTROL MASTER'!#REF!)-1))),IF(SUMPRODUCT((('CONTROL MASTER'!$S$2:$S$495=6)*('CONTROL MASTER'!$Z$2:$Z$495&lt;=3)*('CONTROL MASTER'!$AB$2:$AB$495&gt;=3)*('CONTROL MASTER'!$AA$2:$AA$495&lt;=10)*('CONTROL MASTER'!$AC$2:$AC$495&gt;=10))*ROW('CONTROL MASTER'!$S$2:$S$495))&gt;0,INDEX('CONTROL MASTER'!$X$2:$X$495,(SUMPRODUCT((('CONTROL MASTER'!$S$2:$S$495=6)*('CONTROL MASTER'!$Z$2:$Z$495&lt;=3)*('CONTROL MASTER'!$AB$2:$AB$495&gt;=3)*('CONTROL MASTER'!$AA$2:$AA$495&lt;=10)*('CONTROL MASTER'!$AC$2:$AC$495&gt;=10))*ROW('CONTROL MASTER'!$S$2:$S$495))-(ROW('CONTROL MASTER'!#REF!)-1)))&amp;TRIM(MID(SUBSTITUTE(SUBSTITUTE(INDEX('CONTROL MASTER'!$N$2:$N$495,(SUMPRODUCT((('CONTROL MASTER'!$S$2:$S$495=6)*('CONTROL MASTER'!$Z$2:$Z$495&lt;=3)*('CONTROL MASTER'!$AB$2:$AB$495&gt;=3)*('CONTROL MASTER'!$AA$2:$AA$495&lt;=10)*('CONTROL MASTER'!$AC$2:$AC$495&gt;=10))*ROW('CONTROL MASTER'!$S$2:$S$495))-(ROW('CONTROL MASTER'!#REF!)-1))),":",","),",",REPT(" ",50)),(((INDEX('CONTROL MASTER'!$Y$2:$Y$495,(SUMPRODUCT((('CONTROL MASTER'!$S$2:$S$495=6)*('CONTROL MASTER'!$Z$2:$Z$495&lt;=3)*('CONTROL MASTER'!$AB$2:$AB$495&gt;=3)*('CONTROL MASTER'!$AA$2:$AA$495&lt;=10)*('CONTROL MASTER'!$AC$2:$AC$495&gt;=10))*ROW('CONTROL MASTER'!$S$2:$S$495))-(ROW('CONTROL MASTER'!#REF!)-1)))+((3-INDEX('CONTROL MASTER'!$Z$2:$Z$495,(SUMPRODUCT((('CONTROL MASTER'!$S$2:$S$495=6)*('CONTROL MASTER'!$Z$2:$Z$495&lt;=3)*('CONTROL MASTER'!$AB$2:$AB$495&gt;=3)*('CONTROL MASTER'!$AA$2:$AA$495&lt;=10)*('CONTROL MASTER'!$AC$2:$AC$495&gt;=10))*ROW('CONTROL MASTER'!$S$2:$S$495))-(ROW('CONTROL MASTER'!#REF!)-1))))*(INDEX('CONTROL MASTER'!$AC$2:$AC$495,(SUMPRODUCT((('CONTROL MASTER'!$S$2:$S$495=6)*('CONTROL MASTER'!$Z$2:$Z$495&lt;=3)*('CONTROL MASTER'!$AB$2:$AB$495&gt;=3)*('CONTROL MASTER'!$AA$2:$AA$495&lt;=10)*('CONTROL MASTER'!$AC$2:$AC$495&gt;=10))*ROW('CONTROL MASTER'!$S$2:$S$495))-(ROW('CONTROL MASTER'!#REF!)-1)))-INDEX('CONTROL MASTER'!$AA$2:$AA$495,(SUMPRODUCT((('CONTROL MASTER'!$S$2:$S$495=6)*('CONTROL MASTER'!$Z$2:$Z$495&lt;=3)*('CONTROL MASTER'!$AB$2:$AB$495&gt;=3)*('CONTROL MASTER'!$AA$2:$AA$495&lt;=10)*('CONTROL MASTER'!$AC$2:$AC$495&gt;=10))*ROW('CONTROL MASTER'!$S$2:$S$495))-(ROW('CONTROL MASTER'!#REF!)-1)))+1)+(10-INDEX('CONTROL MASTER'!$AA$2:$AA$495,(SUMPRODUCT((('CONTROL MASTER'!$S$2:$S$495=6)*('CONTROL MASTER'!$Z$2:$Z$495&lt;=3)*('CONTROL MASTER'!$AB$2:$AB$495&gt;=3)*('CONTROL MASTER'!$AA$2:$AA$495&lt;=10)*('CONTROL MASTER'!$AC$2:$AC$495&gt;=10))*ROW('CONTROL MASTER'!$S$2:$S$495))-(ROW('CONTROL MASTER'!#REF!)-1))))+1)))-1)*50+1,50))&amp;"_"&amp;INDEX('CONTROL MASTER'!$P$2:$P$495,(SUMPRODUCT((('CONTROL MASTER'!$S$2:$S$495=6)*('CONTROL MASTER'!$Z$2:$Z$495&lt;=3)*('CONTROL MASTER'!$AB$2:$AB$495&gt;=3)*('CONTROL MASTER'!$AA$2:$AA$495&lt;=10)*('CONTROL MASTER'!$AC$2:$AC$495&gt;=10))*ROW('CONTROL MASTER'!$S$2:$S$495))-(ROW('CONTROL MASTER'!#REF!)-1))),"")),"")</f>
        <v/>
      </c>
    </row>
    <row r="76" spans="1:11" ht="15" customHeight="1" x14ac:dyDescent="0.35">
      <c r="A76" s="8" t="s">
        <v>31</v>
      </c>
      <c r="B76" s="10" t="str">
        <f>IFERROR(IF(SUMPRODUCT((('CONTROL MASTER'!$S$2:$S$495=6)*('CONTROL MASTER'!$T$2:$T$495&lt;=4)*('CONTROL MASTER'!$V$2:$V$495&gt;=4)*('CONTROL MASTER'!$U$2:$U$495&lt;=1)*('CONTROL MASTER'!$W$2:$W$495&gt;=1))*ROW('CONTROL MASTER'!$S$2:$S$495))&gt;0,INDEX('CONTROL MASTER'!$X$2:$X$495,(SUMPRODUCT((('CONTROL MASTER'!$S$2:$S$495=6)*('CONTROL MASTER'!$T$2:$T$495&lt;=4)*('CONTROL MASTER'!$V$2:$V$495&gt;=4)*('CONTROL MASTER'!$U$2:$U$495&lt;=1)*('CONTROL MASTER'!$W$2:$W$495&gt;=1))*ROW('CONTROL MASTER'!$S$2:$S$495))-(ROW('CONTROL MASTER'!#REF!)-1)))&amp;TRIM(MID(SUBSTITUTE(SUBSTITUTE(INDEX('CONTROL MASTER'!$N$2:$N$495,(SUMPRODUCT((('CONTROL MASTER'!$S$2:$S$495=6)*('CONTROL MASTER'!$T$2:$T$495&lt;=4)*('CONTROL MASTER'!$V$2:$V$495&gt;=4)*('CONTROL MASTER'!$U$2:$U$495&lt;=1)*('CONTROL MASTER'!$W$2:$W$495&gt;=1))*ROW('CONTROL MASTER'!$S$2:$S$495))-(ROW('CONTROL MASTER'!#REF!)-1))),":",","),",",REPT(" ",50)),((((4-INDEX('CONTROL MASTER'!$T$2:$T$495,(SUMPRODUCT((('CONTROL MASTER'!$S$2:$S$495=6)*('CONTROL MASTER'!$T$2:$T$495&lt;=4)*('CONTROL MASTER'!$V$2:$V$495&gt;=4)*('CONTROL MASTER'!$U$2:$U$495&lt;=1)*('CONTROL MASTER'!$W$2:$W$495&gt;=1))*ROW('CONTROL MASTER'!$S$2:$S$495))-(ROW('CONTROL MASTER'!#REF!)-1))))*(INDEX('CONTROL MASTER'!$W$2:$W$495,(SUMPRODUCT((('CONTROL MASTER'!$S$2:$S$495=6)*('CONTROL MASTER'!$T$2:$T$495&lt;=4)*('CONTROL MASTER'!$V$2:$V$495&gt;=4)*('CONTROL MASTER'!$U$2:$U$495&lt;=1)*('CONTROL MASTER'!$W$2:$W$495&gt;=1))*ROW('CONTROL MASTER'!$S$2:$S$495))-(ROW('CONTROL MASTER'!#REF!)-1)))-INDEX('CONTROL MASTER'!$U$2:$U$495,(SUMPRODUCT((('CONTROL MASTER'!$S$2:$S$495=6)*('CONTROL MASTER'!$T$2:$T$495&lt;=4)*('CONTROL MASTER'!$V$2:$V$495&gt;=4)*('CONTROL MASTER'!$U$2:$U$495&lt;=1)*('CONTROL MASTER'!$W$2:$W$495&gt;=1))*ROW('CONTROL MASTER'!$S$2:$S$495))-(ROW('CONTROL MASTER'!#REF!)-1)))+1)+(1-INDEX('CONTROL MASTER'!$U$2:$U$495,(SUMPRODUCT((('CONTROL MASTER'!$S$2:$S$495=6)*('CONTROL MASTER'!$T$2:$T$495&lt;=4)*('CONTROL MASTER'!$V$2:$V$495&gt;=4)*('CONTROL MASTER'!$U$2:$U$495&lt;=1)*('CONTROL MASTER'!$W$2:$W$495&gt;=1))*ROW('CONTROL MASTER'!$S$2:$S$495))-(ROW('CONTROL MASTER'!#REF!)-1))))+1))-1)*50+1,50))&amp;"_"&amp;INDEX('CONTROL MASTER'!$P$2:$P$495,(SUMPRODUCT((('CONTROL MASTER'!$S$2:$S$495=6)*('CONTROL MASTER'!$T$2:$T$495&lt;=4)*('CONTROL MASTER'!$V$2:$V$495&gt;=4)*('CONTROL MASTER'!$U$2:$U$495&lt;=1)*('CONTROL MASTER'!$W$2:$W$495&gt;=1))*ROW('CONTROL MASTER'!$S$2:$S$495))-(ROW('CONTROL MASTER'!#REF!)-1))),IF(SUMPRODUCT((('CONTROL MASTER'!$S$2:$S$495=6)*('CONTROL MASTER'!$Z$2:$Z$495&lt;=4)*('CONTROL MASTER'!$AB$2:$AB$495&gt;=4)*('CONTROL MASTER'!$AA$2:$AA$495&lt;=1)*('CONTROL MASTER'!$AC$2:$AC$495&gt;=1))*ROW('CONTROL MASTER'!$S$2:$S$495))&gt;0,INDEX('CONTROL MASTER'!$X$2:$X$495,(SUMPRODUCT((('CONTROL MASTER'!$S$2:$S$495=6)*('CONTROL MASTER'!$Z$2:$Z$495&lt;=4)*('CONTROL MASTER'!$AB$2:$AB$495&gt;=4)*('CONTROL MASTER'!$AA$2:$AA$495&lt;=1)*('CONTROL MASTER'!$AC$2:$AC$495&gt;=1))*ROW('CONTROL MASTER'!$S$2:$S$495))-(ROW('CONTROL MASTER'!#REF!)-1)))&amp;TRIM(MID(SUBSTITUTE(SUBSTITUTE(INDEX('CONTROL MASTER'!$N$2:$N$495,(SUMPRODUCT((('CONTROL MASTER'!$S$2:$S$495=6)*('CONTROL MASTER'!$Z$2:$Z$495&lt;=4)*('CONTROL MASTER'!$AB$2:$AB$495&gt;=4)*('CONTROL MASTER'!$AA$2:$AA$495&lt;=1)*('CONTROL MASTER'!$AC$2:$AC$495&gt;=1))*ROW('CONTROL MASTER'!$S$2:$S$495))-(ROW('CONTROL MASTER'!#REF!)-1))),":",","),",",REPT(" ",50)),(((INDEX('CONTROL MASTER'!$Y$2:$Y$495,(SUMPRODUCT((('CONTROL MASTER'!$S$2:$S$495=6)*('CONTROL MASTER'!$Z$2:$Z$495&lt;=4)*('CONTROL MASTER'!$AB$2:$AB$495&gt;=4)*('CONTROL MASTER'!$AA$2:$AA$495&lt;=1)*('CONTROL MASTER'!$AC$2:$AC$495&gt;=1))*ROW('CONTROL MASTER'!$S$2:$S$495))-(ROW('CONTROL MASTER'!#REF!)-1)))+((4-INDEX('CONTROL MASTER'!$Z$2:$Z$495,(SUMPRODUCT((('CONTROL MASTER'!$S$2:$S$495=6)*('CONTROL MASTER'!$Z$2:$Z$495&lt;=4)*('CONTROL MASTER'!$AB$2:$AB$495&gt;=4)*('CONTROL MASTER'!$AA$2:$AA$495&lt;=1)*('CONTROL MASTER'!$AC$2:$AC$495&gt;=1))*ROW('CONTROL MASTER'!$S$2:$S$495))-(ROW('CONTROL MASTER'!#REF!)-1))))*(INDEX('CONTROL MASTER'!$AC$2:$AC$495,(SUMPRODUCT((('CONTROL MASTER'!$S$2:$S$495=6)*('CONTROL MASTER'!$Z$2:$Z$495&lt;=4)*('CONTROL MASTER'!$AB$2:$AB$495&gt;=4)*('CONTROL MASTER'!$AA$2:$AA$495&lt;=1)*('CONTROL MASTER'!$AC$2:$AC$495&gt;=1))*ROW('CONTROL MASTER'!$S$2:$S$495))-(ROW('CONTROL MASTER'!#REF!)-1)))-INDEX('CONTROL MASTER'!$AA$2:$AA$495,(SUMPRODUCT((('CONTROL MASTER'!$S$2:$S$495=6)*('CONTROL MASTER'!$Z$2:$Z$495&lt;=4)*('CONTROL MASTER'!$AB$2:$AB$495&gt;=4)*('CONTROL MASTER'!$AA$2:$AA$495&lt;=1)*('CONTROL MASTER'!$AC$2:$AC$495&gt;=1))*ROW('CONTROL MASTER'!$S$2:$S$495))-(ROW('CONTROL MASTER'!#REF!)-1)))+1)+(1-INDEX('CONTROL MASTER'!$AA$2:$AA$495,(SUMPRODUCT((('CONTROL MASTER'!$S$2:$S$495=6)*('CONTROL MASTER'!$Z$2:$Z$495&lt;=4)*('CONTROL MASTER'!$AB$2:$AB$495&gt;=4)*('CONTROL MASTER'!$AA$2:$AA$495&lt;=1)*('CONTROL MASTER'!$AC$2:$AC$495&gt;=1))*ROW('CONTROL MASTER'!$S$2:$S$495))-(ROW('CONTROL MASTER'!#REF!)-1))))+1)))-1)*50+1,50))&amp;"_"&amp;INDEX('CONTROL MASTER'!$P$2:$P$495,(SUMPRODUCT((('CONTROL MASTER'!$S$2:$S$495=6)*('CONTROL MASTER'!$Z$2:$Z$495&lt;=4)*('CONTROL MASTER'!$AB$2:$AB$495&gt;=4)*('CONTROL MASTER'!$AA$2:$AA$495&lt;=1)*('CONTROL MASTER'!$AC$2:$AC$495&gt;=1))*ROW('CONTROL MASTER'!$S$2:$S$495))-(ROW('CONTROL MASTER'!#REF!)-1))),"")),"")</f>
        <v/>
      </c>
      <c r="C76" s="10" t="str">
        <f>IFERROR(IF(SUMPRODUCT((('CONTROL MASTER'!$S$2:$S$495=6)*('CONTROL MASTER'!$T$2:$T$495&lt;=4)*('CONTROL MASTER'!$V$2:$V$495&gt;=4)*('CONTROL MASTER'!$U$2:$U$495&lt;=2)*('CONTROL MASTER'!$W$2:$W$495&gt;=2))*ROW('CONTROL MASTER'!$S$2:$S$495))&gt;0,INDEX('CONTROL MASTER'!$X$2:$X$495,(SUMPRODUCT((('CONTROL MASTER'!$S$2:$S$495=6)*('CONTROL MASTER'!$T$2:$T$495&lt;=4)*('CONTROL MASTER'!$V$2:$V$495&gt;=4)*('CONTROL MASTER'!$U$2:$U$495&lt;=2)*('CONTROL MASTER'!$W$2:$W$495&gt;=2))*ROW('CONTROL MASTER'!$S$2:$S$495))-(ROW('CONTROL MASTER'!#REF!)-1)))&amp;TRIM(MID(SUBSTITUTE(SUBSTITUTE(INDEX('CONTROL MASTER'!$N$2:$N$495,(SUMPRODUCT((('CONTROL MASTER'!$S$2:$S$495=6)*('CONTROL MASTER'!$T$2:$T$495&lt;=4)*('CONTROL MASTER'!$V$2:$V$495&gt;=4)*('CONTROL MASTER'!$U$2:$U$495&lt;=2)*('CONTROL MASTER'!$W$2:$W$495&gt;=2))*ROW('CONTROL MASTER'!$S$2:$S$495))-(ROW('CONTROL MASTER'!#REF!)-1))),":",","),",",REPT(" ",50)),((((4-INDEX('CONTROL MASTER'!$T$2:$T$495,(SUMPRODUCT((('CONTROL MASTER'!$S$2:$S$495=6)*('CONTROL MASTER'!$T$2:$T$495&lt;=4)*('CONTROL MASTER'!$V$2:$V$495&gt;=4)*('CONTROL MASTER'!$U$2:$U$495&lt;=2)*('CONTROL MASTER'!$W$2:$W$495&gt;=2))*ROW('CONTROL MASTER'!$S$2:$S$495))-(ROW('CONTROL MASTER'!#REF!)-1))))*(INDEX('CONTROL MASTER'!$W$2:$W$495,(SUMPRODUCT((('CONTROL MASTER'!$S$2:$S$495=6)*('CONTROL MASTER'!$T$2:$T$495&lt;=4)*('CONTROL MASTER'!$V$2:$V$495&gt;=4)*('CONTROL MASTER'!$U$2:$U$495&lt;=2)*('CONTROL MASTER'!$W$2:$W$495&gt;=2))*ROW('CONTROL MASTER'!$S$2:$S$495))-(ROW('CONTROL MASTER'!#REF!)-1)))-INDEX('CONTROL MASTER'!$U$2:$U$495,(SUMPRODUCT((('CONTROL MASTER'!$S$2:$S$495=6)*('CONTROL MASTER'!$T$2:$T$495&lt;=4)*('CONTROL MASTER'!$V$2:$V$495&gt;=4)*('CONTROL MASTER'!$U$2:$U$495&lt;=2)*('CONTROL MASTER'!$W$2:$W$495&gt;=2))*ROW('CONTROL MASTER'!$S$2:$S$495))-(ROW('CONTROL MASTER'!#REF!)-1)))+1)+(2-INDEX('CONTROL MASTER'!$U$2:$U$495,(SUMPRODUCT((('CONTROL MASTER'!$S$2:$S$495=6)*('CONTROL MASTER'!$T$2:$T$495&lt;=4)*('CONTROL MASTER'!$V$2:$V$495&gt;=4)*('CONTROL MASTER'!$U$2:$U$495&lt;=2)*('CONTROL MASTER'!$W$2:$W$495&gt;=2))*ROW('CONTROL MASTER'!$S$2:$S$495))-(ROW('CONTROL MASTER'!#REF!)-1))))+1))-1)*50+1,50))&amp;"_"&amp;INDEX('CONTROL MASTER'!$P$2:$P$495,(SUMPRODUCT((('CONTROL MASTER'!$S$2:$S$495=6)*('CONTROL MASTER'!$T$2:$T$495&lt;=4)*('CONTROL MASTER'!$V$2:$V$495&gt;=4)*('CONTROL MASTER'!$U$2:$U$495&lt;=2)*('CONTROL MASTER'!$W$2:$W$495&gt;=2))*ROW('CONTROL MASTER'!$S$2:$S$495))-(ROW('CONTROL MASTER'!#REF!)-1))),IF(SUMPRODUCT((('CONTROL MASTER'!$S$2:$S$495=6)*('CONTROL MASTER'!$Z$2:$Z$495&lt;=4)*('CONTROL MASTER'!$AB$2:$AB$495&gt;=4)*('CONTROL MASTER'!$AA$2:$AA$495&lt;=2)*('CONTROL MASTER'!$AC$2:$AC$495&gt;=2))*ROW('CONTROL MASTER'!$S$2:$S$495))&gt;0,INDEX('CONTROL MASTER'!$X$2:$X$495,(SUMPRODUCT((('CONTROL MASTER'!$S$2:$S$495=6)*('CONTROL MASTER'!$Z$2:$Z$495&lt;=4)*('CONTROL MASTER'!$AB$2:$AB$495&gt;=4)*('CONTROL MASTER'!$AA$2:$AA$495&lt;=2)*('CONTROL MASTER'!$AC$2:$AC$495&gt;=2))*ROW('CONTROL MASTER'!$S$2:$S$495))-(ROW('CONTROL MASTER'!#REF!)-1)))&amp;TRIM(MID(SUBSTITUTE(SUBSTITUTE(INDEX('CONTROL MASTER'!$N$2:$N$495,(SUMPRODUCT((('CONTROL MASTER'!$S$2:$S$495=6)*('CONTROL MASTER'!$Z$2:$Z$495&lt;=4)*('CONTROL MASTER'!$AB$2:$AB$495&gt;=4)*('CONTROL MASTER'!$AA$2:$AA$495&lt;=2)*('CONTROL MASTER'!$AC$2:$AC$495&gt;=2))*ROW('CONTROL MASTER'!$S$2:$S$495))-(ROW('CONTROL MASTER'!#REF!)-1))),":",","),",",REPT(" ",50)),(((INDEX('CONTROL MASTER'!$Y$2:$Y$495,(SUMPRODUCT((('CONTROL MASTER'!$S$2:$S$495=6)*('CONTROL MASTER'!$Z$2:$Z$495&lt;=4)*('CONTROL MASTER'!$AB$2:$AB$495&gt;=4)*('CONTROL MASTER'!$AA$2:$AA$495&lt;=2)*('CONTROL MASTER'!$AC$2:$AC$495&gt;=2))*ROW('CONTROL MASTER'!$S$2:$S$495))-(ROW('CONTROL MASTER'!#REF!)-1)))+((4-INDEX('CONTROL MASTER'!$Z$2:$Z$495,(SUMPRODUCT((('CONTROL MASTER'!$S$2:$S$495=6)*('CONTROL MASTER'!$Z$2:$Z$495&lt;=4)*('CONTROL MASTER'!$AB$2:$AB$495&gt;=4)*('CONTROL MASTER'!$AA$2:$AA$495&lt;=2)*('CONTROL MASTER'!$AC$2:$AC$495&gt;=2))*ROW('CONTROL MASTER'!$S$2:$S$495))-(ROW('CONTROL MASTER'!#REF!)-1))))*(INDEX('CONTROL MASTER'!$AC$2:$AC$495,(SUMPRODUCT((('CONTROL MASTER'!$S$2:$S$495=6)*('CONTROL MASTER'!$Z$2:$Z$495&lt;=4)*('CONTROL MASTER'!$AB$2:$AB$495&gt;=4)*('CONTROL MASTER'!$AA$2:$AA$495&lt;=2)*('CONTROL MASTER'!$AC$2:$AC$495&gt;=2))*ROW('CONTROL MASTER'!$S$2:$S$495))-(ROW('CONTROL MASTER'!#REF!)-1)))-INDEX('CONTROL MASTER'!$AA$2:$AA$495,(SUMPRODUCT((('CONTROL MASTER'!$S$2:$S$495=6)*('CONTROL MASTER'!$Z$2:$Z$495&lt;=4)*('CONTROL MASTER'!$AB$2:$AB$495&gt;=4)*('CONTROL MASTER'!$AA$2:$AA$495&lt;=2)*('CONTROL MASTER'!$AC$2:$AC$495&gt;=2))*ROW('CONTROL MASTER'!$S$2:$S$495))-(ROW('CONTROL MASTER'!#REF!)-1)))+1)+(2-INDEX('CONTROL MASTER'!$AA$2:$AA$495,(SUMPRODUCT((('CONTROL MASTER'!$S$2:$S$495=6)*('CONTROL MASTER'!$Z$2:$Z$495&lt;=4)*('CONTROL MASTER'!$AB$2:$AB$495&gt;=4)*('CONTROL MASTER'!$AA$2:$AA$495&lt;=2)*('CONTROL MASTER'!$AC$2:$AC$495&gt;=2))*ROW('CONTROL MASTER'!$S$2:$S$495))-(ROW('CONTROL MASTER'!#REF!)-1))))+1)))-1)*50+1,50))&amp;"_"&amp;INDEX('CONTROL MASTER'!$P$2:$P$495,(SUMPRODUCT((('CONTROL MASTER'!$S$2:$S$495=6)*('CONTROL MASTER'!$Z$2:$Z$495&lt;=4)*('CONTROL MASTER'!$AB$2:$AB$495&gt;=4)*('CONTROL MASTER'!$AA$2:$AA$495&lt;=2)*('CONTROL MASTER'!$AC$2:$AC$495&gt;=2))*ROW('CONTROL MASTER'!$S$2:$S$495))-(ROW('CONTROL MASTER'!#REF!)-1))),"")),"")</f>
        <v/>
      </c>
      <c r="D76" s="10" t="str">
        <f>IFERROR(IF(SUMPRODUCT((('CONTROL MASTER'!$S$2:$S$495=6)*('CONTROL MASTER'!$T$2:$T$495&lt;=4)*('CONTROL MASTER'!$V$2:$V$495&gt;=4)*('CONTROL MASTER'!$U$2:$U$495&lt;=3)*('CONTROL MASTER'!$W$2:$W$495&gt;=3))*ROW('CONTROL MASTER'!$S$2:$S$495))&gt;0,INDEX('CONTROL MASTER'!$X$2:$X$495,(SUMPRODUCT((('CONTROL MASTER'!$S$2:$S$495=6)*('CONTROL MASTER'!$T$2:$T$495&lt;=4)*('CONTROL MASTER'!$V$2:$V$495&gt;=4)*('CONTROL MASTER'!$U$2:$U$495&lt;=3)*('CONTROL MASTER'!$W$2:$W$495&gt;=3))*ROW('CONTROL MASTER'!$S$2:$S$495))-(ROW('CONTROL MASTER'!#REF!)-1)))&amp;TRIM(MID(SUBSTITUTE(SUBSTITUTE(INDEX('CONTROL MASTER'!$N$2:$N$495,(SUMPRODUCT((('CONTROL MASTER'!$S$2:$S$495=6)*('CONTROL MASTER'!$T$2:$T$495&lt;=4)*('CONTROL MASTER'!$V$2:$V$495&gt;=4)*('CONTROL MASTER'!$U$2:$U$495&lt;=3)*('CONTROL MASTER'!$W$2:$W$495&gt;=3))*ROW('CONTROL MASTER'!$S$2:$S$495))-(ROW('CONTROL MASTER'!#REF!)-1))),":",","),",",REPT(" ",50)),((((4-INDEX('CONTROL MASTER'!$T$2:$T$495,(SUMPRODUCT((('CONTROL MASTER'!$S$2:$S$495=6)*('CONTROL MASTER'!$T$2:$T$495&lt;=4)*('CONTROL MASTER'!$V$2:$V$495&gt;=4)*('CONTROL MASTER'!$U$2:$U$495&lt;=3)*('CONTROL MASTER'!$W$2:$W$495&gt;=3))*ROW('CONTROL MASTER'!$S$2:$S$495))-(ROW('CONTROL MASTER'!#REF!)-1))))*(INDEX('CONTROL MASTER'!$W$2:$W$495,(SUMPRODUCT((('CONTROL MASTER'!$S$2:$S$495=6)*('CONTROL MASTER'!$T$2:$T$495&lt;=4)*('CONTROL MASTER'!$V$2:$V$495&gt;=4)*('CONTROL MASTER'!$U$2:$U$495&lt;=3)*('CONTROL MASTER'!$W$2:$W$495&gt;=3))*ROW('CONTROL MASTER'!$S$2:$S$495))-(ROW('CONTROL MASTER'!#REF!)-1)))-INDEX('CONTROL MASTER'!$U$2:$U$495,(SUMPRODUCT((('CONTROL MASTER'!$S$2:$S$495=6)*('CONTROL MASTER'!$T$2:$T$495&lt;=4)*('CONTROL MASTER'!$V$2:$V$495&gt;=4)*('CONTROL MASTER'!$U$2:$U$495&lt;=3)*('CONTROL MASTER'!$W$2:$W$495&gt;=3))*ROW('CONTROL MASTER'!$S$2:$S$495))-(ROW('CONTROL MASTER'!#REF!)-1)))+1)+(3-INDEX('CONTROL MASTER'!$U$2:$U$495,(SUMPRODUCT((('CONTROL MASTER'!$S$2:$S$495=6)*('CONTROL MASTER'!$T$2:$T$495&lt;=4)*('CONTROL MASTER'!$V$2:$V$495&gt;=4)*('CONTROL MASTER'!$U$2:$U$495&lt;=3)*('CONTROL MASTER'!$W$2:$W$495&gt;=3))*ROW('CONTROL MASTER'!$S$2:$S$495))-(ROW('CONTROL MASTER'!#REF!)-1))))+1))-1)*50+1,50))&amp;"_"&amp;INDEX('CONTROL MASTER'!$P$2:$P$495,(SUMPRODUCT((('CONTROL MASTER'!$S$2:$S$495=6)*('CONTROL MASTER'!$T$2:$T$495&lt;=4)*('CONTROL MASTER'!$V$2:$V$495&gt;=4)*('CONTROL MASTER'!$U$2:$U$495&lt;=3)*('CONTROL MASTER'!$W$2:$W$495&gt;=3))*ROW('CONTROL MASTER'!$S$2:$S$495))-(ROW('CONTROL MASTER'!#REF!)-1))),IF(SUMPRODUCT((('CONTROL MASTER'!$S$2:$S$495=6)*('CONTROL MASTER'!$Z$2:$Z$495&lt;=4)*('CONTROL MASTER'!$AB$2:$AB$495&gt;=4)*('CONTROL MASTER'!$AA$2:$AA$495&lt;=3)*('CONTROL MASTER'!$AC$2:$AC$495&gt;=3))*ROW('CONTROL MASTER'!$S$2:$S$495))&gt;0,INDEX('CONTROL MASTER'!$X$2:$X$495,(SUMPRODUCT((('CONTROL MASTER'!$S$2:$S$495=6)*('CONTROL MASTER'!$Z$2:$Z$495&lt;=4)*('CONTROL MASTER'!$AB$2:$AB$495&gt;=4)*('CONTROL MASTER'!$AA$2:$AA$495&lt;=3)*('CONTROL MASTER'!$AC$2:$AC$495&gt;=3))*ROW('CONTROL MASTER'!$S$2:$S$495))-(ROW('CONTROL MASTER'!#REF!)-1)))&amp;TRIM(MID(SUBSTITUTE(SUBSTITUTE(INDEX('CONTROL MASTER'!$N$2:$N$495,(SUMPRODUCT((('CONTROL MASTER'!$S$2:$S$495=6)*('CONTROL MASTER'!$Z$2:$Z$495&lt;=4)*('CONTROL MASTER'!$AB$2:$AB$495&gt;=4)*('CONTROL MASTER'!$AA$2:$AA$495&lt;=3)*('CONTROL MASTER'!$AC$2:$AC$495&gt;=3))*ROW('CONTROL MASTER'!$S$2:$S$495))-(ROW('CONTROL MASTER'!#REF!)-1))),":",","),",",REPT(" ",50)),(((INDEX('CONTROL MASTER'!$Y$2:$Y$495,(SUMPRODUCT((('CONTROL MASTER'!$S$2:$S$495=6)*('CONTROL MASTER'!$Z$2:$Z$495&lt;=4)*('CONTROL MASTER'!$AB$2:$AB$495&gt;=4)*('CONTROL MASTER'!$AA$2:$AA$495&lt;=3)*('CONTROL MASTER'!$AC$2:$AC$495&gt;=3))*ROW('CONTROL MASTER'!$S$2:$S$495))-(ROW('CONTROL MASTER'!#REF!)-1)))+((4-INDEX('CONTROL MASTER'!$Z$2:$Z$495,(SUMPRODUCT((('CONTROL MASTER'!$S$2:$S$495=6)*('CONTROL MASTER'!$Z$2:$Z$495&lt;=4)*('CONTROL MASTER'!$AB$2:$AB$495&gt;=4)*('CONTROL MASTER'!$AA$2:$AA$495&lt;=3)*('CONTROL MASTER'!$AC$2:$AC$495&gt;=3))*ROW('CONTROL MASTER'!$S$2:$S$495))-(ROW('CONTROL MASTER'!#REF!)-1))))*(INDEX('CONTROL MASTER'!$AC$2:$AC$495,(SUMPRODUCT((('CONTROL MASTER'!$S$2:$S$495=6)*('CONTROL MASTER'!$Z$2:$Z$495&lt;=4)*('CONTROL MASTER'!$AB$2:$AB$495&gt;=4)*('CONTROL MASTER'!$AA$2:$AA$495&lt;=3)*('CONTROL MASTER'!$AC$2:$AC$495&gt;=3))*ROW('CONTROL MASTER'!$S$2:$S$495))-(ROW('CONTROL MASTER'!#REF!)-1)))-INDEX('CONTROL MASTER'!$AA$2:$AA$495,(SUMPRODUCT((('CONTROL MASTER'!$S$2:$S$495=6)*('CONTROL MASTER'!$Z$2:$Z$495&lt;=4)*('CONTROL MASTER'!$AB$2:$AB$495&gt;=4)*('CONTROL MASTER'!$AA$2:$AA$495&lt;=3)*('CONTROL MASTER'!$AC$2:$AC$495&gt;=3))*ROW('CONTROL MASTER'!$S$2:$S$495))-(ROW('CONTROL MASTER'!#REF!)-1)))+1)+(3-INDEX('CONTROL MASTER'!$AA$2:$AA$495,(SUMPRODUCT((('CONTROL MASTER'!$S$2:$S$495=6)*('CONTROL MASTER'!$Z$2:$Z$495&lt;=4)*('CONTROL MASTER'!$AB$2:$AB$495&gt;=4)*('CONTROL MASTER'!$AA$2:$AA$495&lt;=3)*('CONTROL MASTER'!$AC$2:$AC$495&gt;=3))*ROW('CONTROL MASTER'!$S$2:$S$495))-(ROW('CONTROL MASTER'!#REF!)-1))))+1)))-1)*50+1,50))&amp;"_"&amp;INDEX('CONTROL MASTER'!$P$2:$P$495,(SUMPRODUCT((('CONTROL MASTER'!$S$2:$S$495=6)*('CONTROL MASTER'!$Z$2:$Z$495&lt;=4)*('CONTROL MASTER'!$AB$2:$AB$495&gt;=4)*('CONTROL MASTER'!$AA$2:$AA$495&lt;=3)*('CONTROL MASTER'!$AC$2:$AC$495&gt;=3))*ROW('CONTROL MASTER'!$S$2:$S$495))-(ROW('CONTROL MASTER'!#REF!)-1))),"")),"")</f>
        <v/>
      </c>
      <c r="E76" s="10" t="str">
        <f>IFERROR(IF(SUMPRODUCT((('CONTROL MASTER'!$S$2:$S$495=6)*('CONTROL MASTER'!$T$2:$T$495&lt;=4)*('CONTROL MASTER'!$V$2:$V$495&gt;=4)*('CONTROL MASTER'!$U$2:$U$495&lt;=4)*('CONTROL MASTER'!$W$2:$W$495&gt;=4))*ROW('CONTROL MASTER'!$S$2:$S$495))&gt;0,INDEX('CONTROL MASTER'!$X$2:$X$495,(SUMPRODUCT((('CONTROL MASTER'!$S$2:$S$495=6)*('CONTROL MASTER'!$T$2:$T$495&lt;=4)*('CONTROL MASTER'!$V$2:$V$495&gt;=4)*('CONTROL MASTER'!$U$2:$U$495&lt;=4)*('CONTROL MASTER'!$W$2:$W$495&gt;=4))*ROW('CONTROL MASTER'!$S$2:$S$495))-(ROW('CONTROL MASTER'!#REF!)-1)))&amp;TRIM(MID(SUBSTITUTE(SUBSTITUTE(INDEX('CONTROL MASTER'!$N$2:$N$495,(SUMPRODUCT((('CONTROL MASTER'!$S$2:$S$495=6)*('CONTROL MASTER'!$T$2:$T$495&lt;=4)*('CONTROL MASTER'!$V$2:$V$495&gt;=4)*('CONTROL MASTER'!$U$2:$U$495&lt;=4)*('CONTROL MASTER'!$W$2:$W$495&gt;=4))*ROW('CONTROL MASTER'!$S$2:$S$495))-(ROW('CONTROL MASTER'!#REF!)-1))),":",","),",",REPT(" ",50)),((((4-INDEX('CONTROL MASTER'!$T$2:$T$495,(SUMPRODUCT((('CONTROL MASTER'!$S$2:$S$495=6)*('CONTROL MASTER'!$T$2:$T$495&lt;=4)*('CONTROL MASTER'!$V$2:$V$495&gt;=4)*('CONTROL MASTER'!$U$2:$U$495&lt;=4)*('CONTROL MASTER'!$W$2:$W$495&gt;=4))*ROW('CONTROL MASTER'!$S$2:$S$495))-(ROW('CONTROL MASTER'!#REF!)-1))))*(INDEX('CONTROL MASTER'!$W$2:$W$495,(SUMPRODUCT((('CONTROL MASTER'!$S$2:$S$495=6)*('CONTROL MASTER'!$T$2:$T$495&lt;=4)*('CONTROL MASTER'!$V$2:$V$495&gt;=4)*('CONTROL MASTER'!$U$2:$U$495&lt;=4)*('CONTROL MASTER'!$W$2:$W$495&gt;=4))*ROW('CONTROL MASTER'!$S$2:$S$495))-(ROW('CONTROL MASTER'!#REF!)-1)))-INDEX('CONTROL MASTER'!$U$2:$U$495,(SUMPRODUCT((('CONTROL MASTER'!$S$2:$S$495=6)*('CONTROL MASTER'!$T$2:$T$495&lt;=4)*('CONTROL MASTER'!$V$2:$V$495&gt;=4)*('CONTROL MASTER'!$U$2:$U$495&lt;=4)*('CONTROL MASTER'!$W$2:$W$495&gt;=4))*ROW('CONTROL MASTER'!$S$2:$S$495))-(ROW('CONTROL MASTER'!#REF!)-1)))+1)+(4-INDEX('CONTROL MASTER'!$U$2:$U$495,(SUMPRODUCT((('CONTROL MASTER'!$S$2:$S$495=6)*('CONTROL MASTER'!$T$2:$T$495&lt;=4)*('CONTROL MASTER'!$V$2:$V$495&gt;=4)*('CONTROL MASTER'!$U$2:$U$495&lt;=4)*('CONTROL MASTER'!$W$2:$W$495&gt;=4))*ROW('CONTROL MASTER'!$S$2:$S$495))-(ROW('CONTROL MASTER'!#REF!)-1))))+1))-1)*50+1,50))&amp;"_"&amp;INDEX('CONTROL MASTER'!$P$2:$P$495,(SUMPRODUCT((('CONTROL MASTER'!$S$2:$S$495=6)*('CONTROL MASTER'!$T$2:$T$495&lt;=4)*('CONTROL MASTER'!$V$2:$V$495&gt;=4)*('CONTROL MASTER'!$U$2:$U$495&lt;=4)*('CONTROL MASTER'!$W$2:$W$495&gt;=4))*ROW('CONTROL MASTER'!$S$2:$S$495))-(ROW('CONTROL MASTER'!#REF!)-1))),IF(SUMPRODUCT((('CONTROL MASTER'!$S$2:$S$495=6)*('CONTROL MASTER'!$Z$2:$Z$495&lt;=4)*('CONTROL MASTER'!$AB$2:$AB$495&gt;=4)*('CONTROL MASTER'!$AA$2:$AA$495&lt;=4)*('CONTROL MASTER'!$AC$2:$AC$495&gt;=4))*ROW('CONTROL MASTER'!$S$2:$S$495))&gt;0,INDEX('CONTROL MASTER'!$X$2:$X$495,(SUMPRODUCT((('CONTROL MASTER'!$S$2:$S$495=6)*('CONTROL MASTER'!$Z$2:$Z$495&lt;=4)*('CONTROL MASTER'!$AB$2:$AB$495&gt;=4)*('CONTROL MASTER'!$AA$2:$AA$495&lt;=4)*('CONTROL MASTER'!$AC$2:$AC$495&gt;=4))*ROW('CONTROL MASTER'!$S$2:$S$495))-(ROW('CONTROL MASTER'!#REF!)-1)))&amp;TRIM(MID(SUBSTITUTE(SUBSTITUTE(INDEX('CONTROL MASTER'!$N$2:$N$495,(SUMPRODUCT((('CONTROL MASTER'!$S$2:$S$495=6)*('CONTROL MASTER'!$Z$2:$Z$495&lt;=4)*('CONTROL MASTER'!$AB$2:$AB$495&gt;=4)*('CONTROL MASTER'!$AA$2:$AA$495&lt;=4)*('CONTROL MASTER'!$AC$2:$AC$495&gt;=4))*ROW('CONTROL MASTER'!$S$2:$S$495))-(ROW('CONTROL MASTER'!#REF!)-1))),":",","),",",REPT(" ",50)),(((INDEX('CONTROL MASTER'!$Y$2:$Y$495,(SUMPRODUCT((('CONTROL MASTER'!$S$2:$S$495=6)*('CONTROL MASTER'!$Z$2:$Z$495&lt;=4)*('CONTROL MASTER'!$AB$2:$AB$495&gt;=4)*('CONTROL MASTER'!$AA$2:$AA$495&lt;=4)*('CONTROL MASTER'!$AC$2:$AC$495&gt;=4))*ROW('CONTROL MASTER'!$S$2:$S$495))-(ROW('CONTROL MASTER'!#REF!)-1)))+((4-INDEX('CONTROL MASTER'!$Z$2:$Z$495,(SUMPRODUCT((('CONTROL MASTER'!$S$2:$S$495=6)*('CONTROL MASTER'!$Z$2:$Z$495&lt;=4)*('CONTROL MASTER'!$AB$2:$AB$495&gt;=4)*('CONTROL MASTER'!$AA$2:$AA$495&lt;=4)*('CONTROL MASTER'!$AC$2:$AC$495&gt;=4))*ROW('CONTROL MASTER'!$S$2:$S$495))-(ROW('CONTROL MASTER'!#REF!)-1))))*(INDEX('CONTROL MASTER'!$AC$2:$AC$495,(SUMPRODUCT((('CONTROL MASTER'!$S$2:$S$495=6)*('CONTROL MASTER'!$Z$2:$Z$495&lt;=4)*('CONTROL MASTER'!$AB$2:$AB$495&gt;=4)*('CONTROL MASTER'!$AA$2:$AA$495&lt;=4)*('CONTROL MASTER'!$AC$2:$AC$495&gt;=4))*ROW('CONTROL MASTER'!$S$2:$S$495))-(ROW('CONTROL MASTER'!#REF!)-1)))-INDEX('CONTROL MASTER'!$AA$2:$AA$495,(SUMPRODUCT((('CONTROL MASTER'!$S$2:$S$495=6)*('CONTROL MASTER'!$Z$2:$Z$495&lt;=4)*('CONTROL MASTER'!$AB$2:$AB$495&gt;=4)*('CONTROL MASTER'!$AA$2:$AA$495&lt;=4)*('CONTROL MASTER'!$AC$2:$AC$495&gt;=4))*ROW('CONTROL MASTER'!$S$2:$S$495))-(ROW('CONTROL MASTER'!#REF!)-1)))+1)+(4-INDEX('CONTROL MASTER'!$AA$2:$AA$495,(SUMPRODUCT((('CONTROL MASTER'!$S$2:$S$495=6)*('CONTROL MASTER'!$Z$2:$Z$495&lt;=4)*('CONTROL MASTER'!$AB$2:$AB$495&gt;=4)*('CONTROL MASTER'!$AA$2:$AA$495&lt;=4)*('CONTROL MASTER'!$AC$2:$AC$495&gt;=4))*ROW('CONTROL MASTER'!$S$2:$S$495))-(ROW('CONTROL MASTER'!#REF!)-1))))+1)))-1)*50+1,50))&amp;"_"&amp;INDEX('CONTROL MASTER'!$P$2:$P$495,(SUMPRODUCT((('CONTROL MASTER'!$S$2:$S$495=6)*('CONTROL MASTER'!$Z$2:$Z$495&lt;=4)*('CONTROL MASTER'!$AB$2:$AB$495&gt;=4)*('CONTROL MASTER'!$AA$2:$AA$495&lt;=4)*('CONTROL MASTER'!$AC$2:$AC$495&gt;=4))*ROW('CONTROL MASTER'!$S$2:$S$495))-(ROW('CONTROL MASTER'!#REF!)-1))),"")),"")</f>
        <v/>
      </c>
      <c r="F76" s="10" t="str">
        <f>IFERROR(IF(SUMPRODUCT((('CONTROL MASTER'!$S$2:$S$495=6)*('CONTROL MASTER'!$T$2:$T$495&lt;=4)*('CONTROL MASTER'!$V$2:$V$495&gt;=4)*('CONTROL MASTER'!$U$2:$U$495&lt;=5)*('CONTROL MASTER'!$W$2:$W$495&gt;=5))*ROW('CONTROL MASTER'!$S$2:$S$495))&gt;0,INDEX('CONTROL MASTER'!$X$2:$X$495,(SUMPRODUCT((('CONTROL MASTER'!$S$2:$S$495=6)*('CONTROL MASTER'!$T$2:$T$495&lt;=4)*('CONTROL MASTER'!$V$2:$V$495&gt;=4)*('CONTROL MASTER'!$U$2:$U$495&lt;=5)*('CONTROL MASTER'!$W$2:$W$495&gt;=5))*ROW('CONTROL MASTER'!$S$2:$S$495))-(ROW('CONTROL MASTER'!#REF!)-1)))&amp;TRIM(MID(SUBSTITUTE(SUBSTITUTE(INDEX('CONTROL MASTER'!$N$2:$N$495,(SUMPRODUCT((('CONTROL MASTER'!$S$2:$S$495=6)*('CONTROL MASTER'!$T$2:$T$495&lt;=4)*('CONTROL MASTER'!$V$2:$V$495&gt;=4)*('CONTROL MASTER'!$U$2:$U$495&lt;=5)*('CONTROL MASTER'!$W$2:$W$495&gt;=5))*ROW('CONTROL MASTER'!$S$2:$S$495))-(ROW('CONTROL MASTER'!#REF!)-1))),":",","),",",REPT(" ",50)),((((4-INDEX('CONTROL MASTER'!$T$2:$T$495,(SUMPRODUCT((('CONTROL MASTER'!$S$2:$S$495=6)*('CONTROL MASTER'!$T$2:$T$495&lt;=4)*('CONTROL MASTER'!$V$2:$V$495&gt;=4)*('CONTROL MASTER'!$U$2:$U$495&lt;=5)*('CONTROL MASTER'!$W$2:$W$495&gt;=5))*ROW('CONTROL MASTER'!$S$2:$S$495))-(ROW('CONTROL MASTER'!#REF!)-1))))*(INDEX('CONTROL MASTER'!$W$2:$W$495,(SUMPRODUCT((('CONTROL MASTER'!$S$2:$S$495=6)*('CONTROL MASTER'!$T$2:$T$495&lt;=4)*('CONTROL MASTER'!$V$2:$V$495&gt;=4)*('CONTROL MASTER'!$U$2:$U$495&lt;=5)*('CONTROL MASTER'!$W$2:$W$495&gt;=5))*ROW('CONTROL MASTER'!$S$2:$S$495))-(ROW('CONTROL MASTER'!#REF!)-1)))-INDEX('CONTROL MASTER'!$U$2:$U$495,(SUMPRODUCT((('CONTROL MASTER'!$S$2:$S$495=6)*('CONTROL MASTER'!$T$2:$T$495&lt;=4)*('CONTROL MASTER'!$V$2:$V$495&gt;=4)*('CONTROL MASTER'!$U$2:$U$495&lt;=5)*('CONTROL MASTER'!$W$2:$W$495&gt;=5))*ROW('CONTROL MASTER'!$S$2:$S$495))-(ROW('CONTROL MASTER'!#REF!)-1)))+1)+(5-INDEX('CONTROL MASTER'!$U$2:$U$495,(SUMPRODUCT((('CONTROL MASTER'!$S$2:$S$495=6)*('CONTROL MASTER'!$T$2:$T$495&lt;=4)*('CONTROL MASTER'!$V$2:$V$495&gt;=4)*('CONTROL MASTER'!$U$2:$U$495&lt;=5)*('CONTROL MASTER'!$W$2:$W$495&gt;=5))*ROW('CONTROL MASTER'!$S$2:$S$495))-(ROW('CONTROL MASTER'!#REF!)-1))))+1))-1)*50+1,50))&amp;"_"&amp;INDEX('CONTROL MASTER'!$P$2:$P$495,(SUMPRODUCT((('CONTROL MASTER'!$S$2:$S$495=6)*('CONTROL MASTER'!$T$2:$T$495&lt;=4)*('CONTROL MASTER'!$V$2:$V$495&gt;=4)*('CONTROL MASTER'!$U$2:$U$495&lt;=5)*('CONTROL MASTER'!$W$2:$W$495&gt;=5))*ROW('CONTROL MASTER'!$S$2:$S$495))-(ROW('CONTROL MASTER'!#REF!)-1))),IF(SUMPRODUCT((('CONTROL MASTER'!$S$2:$S$495=6)*('CONTROL MASTER'!$Z$2:$Z$495&lt;=4)*('CONTROL MASTER'!$AB$2:$AB$495&gt;=4)*('CONTROL MASTER'!$AA$2:$AA$495&lt;=5)*('CONTROL MASTER'!$AC$2:$AC$495&gt;=5))*ROW('CONTROL MASTER'!$S$2:$S$495))&gt;0,INDEX('CONTROL MASTER'!$X$2:$X$495,(SUMPRODUCT((('CONTROL MASTER'!$S$2:$S$495=6)*('CONTROL MASTER'!$Z$2:$Z$495&lt;=4)*('CONTROL MASTER'!$AB$2:$AB$495&gt;=4)*('CONTROL MASTER'!$AA$2:$AA$495&lt;=5)*('CONTROL MASTER'!$AC$2:$AC$495&gt;=5))*ROW('CONTROL MASTER'!$S$2:$S$495))-(ROW('CONTROL MASTER'!#REF!)-1)))&amp;TRIM(MID(SUBSTITUTE(SUBSTITUTE(INDEX('CONTROL MASTER'!$N$2:$N$495,(SUMPRODUCT((('CONTROL MASTER'!$S$2:$S$495=6)*('CONTROL MASTER'!$Z$2:$Z$495&lt;=4)*('CONTROL MASTER'!$AB$2:$AB$495&gt;=4)*('CONTROL MASTER'!$AA$2:$AA$495&lt;=5)*('CONTROL MASTER'!$AC$2:$AC$495&gt;=5))*ROW('CONTROL MASTER'!$S$2:$S$495))-(ROW('CONTROL MASTER'!#REF!)-1))),":",","),",",REPT(" ",50)),(((INDEX('CONTROL MASTER'!$Y$2:$Y$495,(SUMPRODUCT((('CONTROL MASTER'!$S$2:$S$495=6)*('CONTROL MASTER'!$Z$2:$Z$495&lt;=4)*('CONTROL MASTER'!$AB$2:$AB$495&gt;=4)*('CONTROL MASTER'!$AA$2:$AA$495&lt;=5)*('CONTROL MASTER'!$AC$2:$AC$495&gt;=5))*ROW('CONTROL MASTER'!$S$2:$S$495))-(ROW('CONTROL MASTER'!#REF!)-1)))+((4-INDEX('CONTROL MASTER'!$Z$2:$Z$495,(SUMPRODUCT((('CONTROL MASTER'!$S$2:$S$495=6)*('CONTROL MASTER'!$Z$2:$Z$495&lt;=4)*('CONTROL MASTER'!$AB$2:$AB$495&gt;=4)*('CONTROL MASTER'!$AA$2:$AA$495&lt;=5)*('CONTROL MASTER'!$AC$2:$AC$495&gt;=5))*ROW('CONTROL MASTER'!$S$2:$S$495))-(ROW('CONTROL MASTER'!#REF!)-1))))*(INDEX('CONTROL MASTER'!$AC$2:$AC$495,(SUMPRODUCT((('CONTROL MASTER'!$S$2:$S$495=6)*('CONTROL MASTER'!$Z$2:$Z$495&lt;=4)*('CONTROL MASTER'!$AB$2:$AB$495&gt;=4)*('CONTROL MASTER'!$AA$2:$AA$495&lt;=5)*('CONTROL MASTER'!$AC$2:$AC$495&gt;=5))*ROW('CONTROL MASTER'!$S$2:$S$495))-(ROW('CONTROL MASTER'!#REF!)-1)))-INDEX('CONTROL MASTER'!$AA$2:$AA$495,(SUMPRODUCT((('CONTROL MASTER'!$S$2:$S$495=6)*('CONTROL MASTER'!$Z$2:$Z$495&lt;=4)*('CONTROL MASTER'!$AB$2:$AB$495&gt;=4)*('CONTROL MASTER'!$AA$2:$AA$495&lt;=5)*('CONTROL MASTER'!$AC$2:$AC$495&gt;=5))*ROW('CONTROL MASTER'!$S$2:$S$495))-(ROW('CONTROL MASTER'!#REF!)-1)))+1)+(5-INDEX('CONTROL MASTER'!$AA$2:$AA$495,(SUMPRODUCT((('CONTROL MASTER'!$S$2:$S$495=6)*('CONTROL MASTER'!$Z$2:$Z$495&lt;=4)*('CONTROL MASTER'!$AB$2:$AB$495&gt;=4)*('CONTROL MASTER'!$AA$2:$AA$495&lt;=5)*('CONTROL MASTER'!$AC$2:$AC$495&gt;=5))*ROW('CONTROL MASTER'!$S$2:$S$495))-(ROW('CONTROL MASTER'!#REF!)-1))))+1)))-1)*50+1,50))&amp;"_"&amp;INDEX('CONTROL MASTER'!$P$2:$P$495,(SUMPRODUCT((('CONTROL MASTER'!$S$2:$S$495=6)*('CONTROL MASTER'!$Z$2:$Z$495&lt;=4)*('CONTROL MASTER'!$AB$2:$AB$495&gt;=4)*('CONTROL MASTER'!$AA$2:$AA$495&lt;=5)*('CONTROL MASTER'!$AC$2:$AC$495&gt;=5))*ROW('CONTROL MASTER'!$S$2:$S$495))-(ROW('CONTROL MASTER'!#REF!)-1))),"")),"")</f>
        <v/>
      </c>
      <c r="G76" s="10" t="str">
        <f>IFERROR(IF(SUMPRODUCT((('CONTROL MASTER'!$S$2:$S$495=6)*('CONTROL MASTER'!$T$2:$T$495&lt;=4)*('CONTROL MASTER'!$V$2:$V$495&gt;=4)*('CONTROL MASTER'!$U$2:$U$495&lt;=6)*('CONTROL MASTER'!$W$2:$W$495&gt;=6))*ROW('CONTROL MASTER'!$S$2:$S$495))&gt;0,INDEX('CONTROL MASTER'!$X$2:$X$495,(SUMPRODUCT((('CONTROL MASTER'!$S$2:$S$495=6)*('CONTROL MASTER'!$T$2:$T$495&lt;=4)*('CONTROL MASTER'!$V$2:$V$495&gt;=4)*('CONTROL MASTER'!$U$2:$U$495&lt;=6)*('CONTROL MASTER'!$W$2:$W$495&gt;=6))*ROW('CONTROL MASTER'!$S$2:$S$495))-(ROW('CONTROL MASTER'!#REF!)-1)))&amp;TRIM(MID(SUBSTITUTE(SUBSTITUTE(INDEX('CONTROL MASTER'!$N$2:$N$495,(SUMPRODUCT((('CONTROL MASTER'!$S$2:$S$495=6)*('CONTROL MASTER'!$T$2:$T$495&lt;=4)*('CONTROL MASTER'!$V$2:$V$495&gt;=4)*('CONTROL MASTER'!$U$2:$U$495&lt;=6)*('CONTROL MASTER'!$W$2:$W$495&gt;=6))*ROW('CONTROL MASTER'!$S$2:$S$495))-(ROW('CONTROL MASTER'!#REF!)-1))),":",","),",",REPT(" ",50)),((((4-INDEX('CONTROL MASTER'!$T$2:$T$495,(SUMPRODUCT((('CONTROL MASTER'!$S$2:$S$495=6)*('CONTROL MASTER'!$T$2:$T$495&lt;=4)*('CONTROL MASTER'!$V$2:$V$495&gt;=4)*('CONTROL MASTER'!$U$2:$U$495&lt;=6)*('CONTROL MASTER'!$W$2:$W$495&gt;=6))*ROW('CONTROL MASTER'!$S$2:$S$495))-(ROW('CONTROL MASTER'!#REF!)-1))))*(INDEX('CONTROL MASTER'!$W$2:$W$495,(SUMPRODUCT((('CONTROL MASTER'!$S$2:$S$495=6)*('CONTROL MASTER'!$T$2:$T$495&lt;=4)*('CONTROL MASTER'!$V$2:$V$495&gt;=4)*('CONTROL MASTER'!$U$2:$U$495&lt;=6)*('CONTROL MASTER'!$W$2:$W$495&gt;=6))*ROW('CONTROL MASTER'!$S$2:$S$495))-(ROW('CONTROL MASTER'!#REF!)-1)))-INDEX('CONTROL MASTER'!$U$2:$U$495,(SUMPRODUCT((('CONTROL MASTER'!$S$2:$S$495=6)*('CONTROL MASTER'!$T$2:$T$495&lt;=4)*('CONTROL MASTER'!$V$2:$V$495&gt;=4)*('CONTROL MASTER'!$U$2:$U$495&lt;=6)*('CONTROL MASTER'!$W$2:$W$495&gt;=6))*ROW('CONTROL MASTER'!$S$2:$S$495))-(ROW('CONTROL MASTER'!#REF!)-1)))+1)+(6-INDEX('CONTROL MASTER'!$U$2:$U$495,(SUMPRODUCT((('CONTROL MASTER'!$S$2:$S$495=6)*('CONTROL MASTER'!$T$2:$T$495&lt;=4)*('CONTROL MASTER'!$V$2:$V$495&gt;=4)*('CONTROL MASTER'!$U$2:$U$495&lt;=6)*('CONTROL MASTER'!$W$2:$W$495&gt;=6))*ROW('CONTROL MASTER'!$S$2:$S$495))-(ROW('CONTROL MASTER'!#REF!)-1))))+1))-1)*50+1,50))&amp;"_"&amp;INDEX('CONTROL MASTER'!$P$2:$P$495,(SUMPRODUCT((('CONTROL MASTER'!$S$2:$S$495=6)*('CONTROL MASTER'!$T$2:$T$495&lt;=4)*('CONTROL MASTER'!$V$2:$V$495&gt;=4)*('CONTROL MASTER'!$U$2:$U$495&lt;=6)*('CONTROL MASTER'!$W$2:$W$495&gt;=6))*ROW('CONTROL MASTER'!$S$2:$S$495))-(ROW('CONTROL MASTER'!#REF!)-1))),IF(SUMPRODUCT((('CONTROL MASTER'!$S$2:$S$495=6)*('CONTROL MASTER'!$Z$2:$Z$495&lt;=4)*('CONTROL MASTER'!$AB$2:$AB$495&gt;=4)*('CONTROL MASTER'!$AA$2:$AA$495&lt;=6)*('CONTROL MASTER'!$AC$2:$AC$495&gt;=6))*ROW('CONTROL MASTER'!$S$2:$S$495))&gt;0,INDEX('CONTROL MASTER'!$X$2:$X$495,(SUMPRODUCT((('CONTROL MASTER'!$S$2:$S$495=6)*('CONTROL MASTER'!$Z$2:$Z$495&lt;=4)*('CONTROL MASTER'!$AB$2:$AB$495&gt;=4)*('CONTROL MASTER'!$AA$2:$AA$495&lt;=6)*('CONTROL MASTER'!$AC$2:$AC$495&gt;=6))*ROW('CONTROL MASTER'!$S$2:$S$495))-(ROW('CONTROL MASTER'!#REF!)-1)))&amp;TRIM(MID(SUBSTITUTE(SUBSTITUTE(INDEX('CONTROL MASTER'!$N$2:$N$495,(SUMPRODUCT((('CONTROL MASTER'!$S$2:$S$495=6)*('CONTROL MASTER'!$Z$2:$Z$495&lt;=4)*('CONTROL MASTER'!$AB$2:$AB$495&gt;=4)*('CONTROL MASTER'!$AA$2:$AA$495&lt;=6)*('CONTROL MASTER'!$AC$2:$AC$495&gt;=6))*ROW('CONTROL MASTER'!$S$2:$S$495))-(ROW('CONTROL MASTER'!#REF!)-1))),":",","),",",REPT(" ",50)),(((INDEX('CONTROL MASTER'!$Y$2:$Y$495,(SUMPRODUCT((('CONTROL MASTER'!$S$2:$S$495=6)*('CONTROL MASTER'!$Z$2:$Z$495&lt;=4)*('CONTROL MASTER'!$AB$2:$AB$495&gt;=4)*('CONTROL MASTER'!$AA$2:$AA$495&lt;=6)*('CONTROL MASTER'!$AC$2:$AC$495&gt;=6))*ROW('CONTROL MASTER'!$S$2:$S$495))-(ROW('CONTROL MASTER'!#REF!)-1)))+((4-INDEX('CONTROL MASTER'!$Z$2:$Z$495,(SUMPRODUCT((('CONTROL MASTER'!$S$2:$S$495=6)*('CONTROL MASTER'!$Z$2:$Z$495&lt;=4)*('CONTROL MASTER'!$AB$2:$AB$495&gt;=4)*('CONTROL MASTER'!$AA$2:$AA$495&lt;=6)*('CONTROL MASTER'!$AC$2:$AC$495&gt;=6))*ROW('CONTROL MASTER'!$S$2:$S$495))-(ROW('CONTROL MASTER'!#REF!)-1))))*(INDEX('CONTROL MASTER'!$AC$2:$AC$495,(SUMPRODUCT((('CONTROL MASTER'!$S$2:$S$495=6)*('CONTROL MASTER'!$Z$2:$Z$495&lt;=4)*('CONTROL MASTER'!$AB$2:$AB$495&gt;=4)*('CONTROL MASTER'!$AA$2:$AA$495&lt;=6)*('CONTROL MASTER'!$AC$2:$AC$495&gt;=6))*ROW('CONTROL MASTER'!$S$2:$S$495))-(ROW('CONTROL MASTER'!#REF!)-1)))-INDEX('CONTROL MASTER'!$AA$2:$AA$495,(SUMPRODUCT((('CONTROL MASTER'!$S$2:$S$495=6)*('CONTROL MASTER'!$Z$2:$Z$495&lt;=4)*('CONTROL MASTER'!$AB$2:$AB$495&gt;=4)*('CONTROL MASTER'!$AA$2:$AA$495&lt;=6)*('CONTROL MASTER'!$AC$2:$AC$495&gt;=6))*ROW('CONTROL MASTER'!$S$2:$S$495))-(ROW('CONTROL MASTER'!#REF!)-1)))+1)+(6-INDEX('CONTROL MASTER'!$AA$2:$AA$495,(SUMPRODUCT((('CONTROL MASTER'!$S$2:$S$495=6)*('CONTROL MASTER'!$Z$2:$Z$495&lt;=4)*('CONTROL MASTER'!$AB$2:$AB$495&gt;=4)*('CONTROL MASTER'!$AA$2:$AA$495&lt;=6)*('CONTROL MASTER'!$AC$2:$AC$495&gt;=6))*ROW('CONTROL MASTER'!$S$2:$S$495))-(ROW('CONTROL MASTER'!#REF!)-1))))+1)))-1)*50+1,50))&amp;"_"&amp;INDEX('CONTROL MASTER'!$P$2:$P$495,(SUMPRODUCT((('CONTROL MASTER'!$S$2:$S$495=6)*('CONTROL MASTER'!$Z$2:$Z$495&lt;=4)*('CONTROL MASTER'!$AB$2:$AB$495&gt;=4)*('CONTROL MASTER'!$AA$2:$AA$495&lt;=6)*('CONTROL MASTER'!$AC$2:$AC$495&gt;=6))*ROW('CONTROL MASTER'!$S$2:$S$495))-(ROW('CONTROL MASTER'!#REF!)-1))),"")),"")</f>
        <v/>
      </c>
      <c r="H76" s="10" t="str">
        <f>IFERROR(IF(SUMPRODUCT((('CONTROL MASTER'!$S$2:$S$495=6)*('CONTROL MASTER'!$T$2:$T$495&lt;=4)*('CONTROL MASTER'!$V$2:$V$495&gt;=4)*('CONTROL MASTER'!$U$2:$U$495&lt;=7)*('CONTROL MASTER'!$W$2:$W$495&gt;=7))*ROW('CONTROL MASTER'!$S$2:$S$495))&gt;0,INDEX('CONTROL MASTER'!$X$2:$X$495,(SUMPRODUCT((('CONTROL MASTER'!$S$2:$S$495=6)*('CONTROL MASTER'!$T$2:$T$495&lt;=4)*('CONTROL MASTER'!$V$2:$V$495&gt;=4)*('CONTROL MASTER'!$U$2:$U$495&lt;=7)*('CONTROL MASTER'!$W$2:$W$495&gt;=7))*ROW('CONTROL MASTER'!$S$2:$S$495))-(ROW('CONTROL MASTER'!#REF!)-1)))&amp;TRIM(MID(SUBSTITUTE(SUBSTITUTE(INDEX('CONTROL MASTER'!$N$2:$N$495,(SUMPRODUCT((('CONTROL MASTER'!$S$2:$S$495=6)*('CONTROL MASTER'!$T$2:$T$495&lt;=4)*('CONTROL MASTER'!$V$2:$V$495&gt;=4)*('CONTROL MASTER'!$U$2:$U$495&lt;=7)*('CONTROL MASTER'!$W$2:$W$495&gt;=7))*ROW('CONTROL MASTER'!$S$2:$S$495))-(ROW('CONTROL MASTER'!#REF!)-1))),":",","),",",REPT(" ",50)),((((4-INDEX('CONTROL MASTER'!$T$2:$T$495,(SUMPRODUCT((('CONTROL MASTER'!$S$2:$S$495=6)*('CONTROL MASTER'!$T$2:$T$495&lt;=4)*('CONTROL MASTER'!$V$2:$V$495&gt;=4)*('CONTROL MASTER'!$U$2:$U$495&lt;=7)*('CONTROL MASTER'!$W$2:$W$495&gt;=7))*ROW('CONTROL MASTER'!$S$2:$S$495))-(ROW('CONTROL MASTER'!#REF!)-1))))*(INDEX('CONTROL MASTER'!$W$2:$W$495,(SUMPRODUCT((('CONTROL MASTER'!$S$2:$S$495=6)*('CONTROL MASTER'!$T$2:$T$495&lt;=4)*('CONTROL MASTER'!$V$2:$V$495&gt;=4)*('CONTROL MASTER'!$U$2:$U$495&lt;=7)*('CONTROL MASTER'!$W$2:$W$495&gt;=7))*ROW('CONTROL MASTER'!$S$2:$S$495))-(ROW('CONTROL MASTER'!#REF!)-1)))-INDEX('CONTROL MASTER'!$U$2:$U$495,(SUMPRODUCT((('CONTROL MASTER'!$S$2:$S$495=6)*('CONTROL MASTER'!$T$2:$T$495&lt;=4)*('CONTROL MASTER'!$V$2:$V$495&gt;=4)*('CONTROL MASTER'!$U$2:$U$495&lt;=7)*('CONTROL MASTER'!$W$2:$W$495&gt;=7))*ROW('CONTROL MASTER'!$S$2:$S$495))-(ROW('CONTROL MASTER'!#REF!)-1)))+1)+(7-INDEX('CONTROL MASTER'!$U$2:$U$495,(SUMPRODUCT((('CONTROL MASTER'!$S$2:$S$495=6)*('CONTROL MASTER'!$T$2:$T$495&lt;=4)*('CONTROL MASTER'!$V$2:$V$495&gt;=4)*('CONTROL MASTER'!$U$2:$U$495&lt;=7)*('CONTROL MASTER'!$W$2:$W$495&gt;=7))*ROW('CONTROL MASTER'!$S$2:$S$495))-(ROW('CONTROL MASTER'!#REF!)-1))))+1))-1)*50+1,50))&amp;"_"&amp;INDEX('CONTROL MASTER'!$P$2:$P$495,(SUMPRODUCT((('CONTROL MASTER'!$S$2:$S$495=6)*('CONTROL MASTER'!$T$2:$T$495&lt;=4)*('CONTROL MASTER'!$V$2:$V$495&gt;=4)*('CONTROL MASTER'!$U$2:$U$495&lt;=7)*('CONTROL MASTER'!$W$2:$W$495&gt;=7))*ROW('CONTROL MASTER'!$S$2:$S$495))-(ROW('CONTROL MASTER'!#REF!)-1))),IF(SUMPRODUCT((('CONTROL MASTER'!$S$2:$S$495=6)*('CONTROL MASTER'!$Z$2:$Z$495&lt;=4)*('CONTROL MASTER'!$AB$2:$AB$495&gt;=4)*('CONTROL MASTER'!$AA$2:$AA$495&lt;=7)*('CONTROL MASTER'!$AC$2:$AC$495&gt;=7))*ROW('CONTROL MASTER'!$S$2:$S$495))&gt;0,INDEX('CONTROL MASTER'!$X$2:$X$495,(SUMPRODUCT((('CONTROL MASTER'!$S$2:$S$495=6)*('CONTROL MASTER'!$Z$2:$Z$495&lt;=4)*('CONTROL MASTER'!$AB$2:$AB$495&gt;=4)*('CONTROL MASTER'!$AA$2:$AA$495&lt;=7)*('CONTROL MASTER'!$AC$2:$AC$495&gt;=7))*ROW('CONTROL MASTER'!$S$2:$S$495))-(ROW('CONTROL MASTER'!#REF!)-1)))&amp;TRIM(MID(SUBSTITUTE(SUBSTITUTE(INDEX('CONTROL MASTER'!$N$2:$N$495,(SUMPRODUCT((('CONTROL MASTER'!$S$2:$S$495=6)*('CONTROL MASTER'!$Z$2:$Z$495&lt;=4)*('CONTROL MASTER'!$AB$2:$AB$495&gt;=4)*('CONTROL MASTER'!$AA$2:$AA$495&lt;=7)*('CONTROL MASTER'!$AC$2:$AC$495&gt;=7))*ROW('CONTROL MASTER'!$S$2:$S$495))-(ROW('CONTROL MASTER'!#REF!)-1))),":",","),",",REPT(" ",50)),(((INDEX('CONTROL MASTER'!$Y$2:$Y$495,(SUMPRODUCT((('CONTROL MASTER'!$S$2:$S$495=6)*('CONTROL MASTER'!$Z$2:$Z$495&lt;=4)*('CONTROL MASTER'!$AB$2:$AB$495&gt;=4)*('CONTROL MASTER'!$AA$2:$AA$495&lt;=7)*('CONTROL MASTER'!$AC$2:$AC$495&gt;=7))*ROW('CONTROL MASTER'!$S$2:$S$495))-(ROW('CONTROL MASTER'!#REF!)-1)))+((4-INDEX('CONTROL MASTER'!$Z$2:$Z$495,(SUMPRODUCT((('CONTROL MASTER'!$S$2:$S$495=6)*('CONTROL MASTER'!$Z$2:$Z$495&lt;=4)*('CONTROL MASTER'!$AB$2:$AB$495&gt;=4)*('CONTROL MASTER'!$AA$2:$AA$495&lt;=7)*('CONTROL MASTER'!$AC$2:$AC$495&gt;=7))*ROW('CONTROL MASTER'!$S$2:$S$495))-(ROW('CONTROL MASTER'!#REF!)-1))))*(INDEX('CONTROL MASTER'!$AC$2:$AC$495,(SUMPRODUCT((('CONTROL MASTER'!$S$2:$S$495=6)*('CONTROL MASTER'!$Z$2:$Z$495&lt;=4)*('CONTROL MASTER'!$AB$2:$AB$495&gt;=4)*('CONTROL MASTER'!$AA$2:$AA$495&lt;=7)*('CONTROL MASTER'!$AC$2:$AC$495&gt;=7))*ROW('CONTROL MASTER'!$S$2:$S$495))-(ROW('CONTROL MASTER'!#REF!)-1)))-INDEX('CONTROL MASTER'!$AA$2:$AA$495,(SUMPRODUCT((('CONTROL MASTER'!$S$2:$S$495=6)*('CONTROL MASTER'!$Z$2:$Z$495&lt;=4)*('CONTROL MASTER'!$AB$2:$AB$495&gt;=4)*('CONTROL MASTER'!$AA$2:$AA$495&lt;=7)*('CONTROL MASTER'!$AC$2:$AC$495&gt;=7))*ROW('CONTROL MASTER'!$S$2:$S$495))-(ROW('CONTROL MASTER'!#REF!)-1)))+1)+(7-INDEX('CONTROL MASTER'!$AA$2:$AA$495,(SUMPRODUCT((('CONTROL MASTER'!$S$2:$S$495=6)*('CONTROL MASTER'!$Z$2:$Z$495&lt;=4)*('CONTROL MASTER'!$AB$2:$AB$495&gt;=4)*('CONTROL MASTER'!$AA$2:$AA$495&lt;=7)*('CONTROL MASTER'!$AC$2:$AC$495&gt;=7))*ROW('CONTROL MASTER'!$S$2:$S$495))-(ROW('CONTROL MASTER'!#REF!)-1))))+1)))-1)*50+1,50))&amp;"_"&amp;INDEX('CONTROL MASTER'!$P$2:$P$495,(SUMPRODUCT((('CONTROL MASTER'!$S$2:$S$495=6)*('CONTROL MASTER'!$Z$2:$Z$495&lt;=4)*('CONTROL MASTER'!$AB$2:$AB$495&gt;=4)*('CONTROL MASTER'!$AA$2:$AA$495&lt;=7)*('CONTROL MASTER'!$AC$2:$AC$495&gt;=7))*ROW('CONTROL MASTER'!$S$2:$S$495))-(ROW('CONTROL MASTER'!#REF!)-1))),"")),"")</f>
        <v/>
      </c>
      <c r="I76" s="10" t="str">
        <f>IFERROR(IF(SUMPRODUCT((('CONTROL MASTER'!$S$2:$S$495=6)*('CONTROL MASTER'!$T$2:$T$495&lt;=4)*('CONTROL MASTER'!$V$2:$V$495&gt;=4)*('CONTROL MASTER'!$U$2:$U$495&lt;=8)*('CONTROL MASTER'!$W$2:$W$495&gt;=8))*ROW('CONTROL MASTER'!$S$2:$S$495))&gt;0,INDEX('CONTROL MASTER'!$X$2:$X$495,(SUMPRODUCT((('CONTROL MASTER'!$S$2:$S$495=6)*('CONTROL MASTER'!$T$2:$T$495&lt;=4)*('CONTROL MASTER'!$V$2:$V$495&gt;=4)*('CONTROL MASTER'!$U$2:$U$495&lt;=8)*('CONTROL MASTER'!$W$2:$W$495&gt;=8))*ROW('CONTROL MASTER'!$S$2:$S$495))-(ROW('CONTROL MASTER'!#REF!)-1)))&amp;TRIM(MID(SUBSTITUTE(SUBSTITUTE(INDEX('CONTROL MASTER'!$N$2:$N$495,(SUMPRODUCT((('CONTROL MASTER'!$S$2:$S$495=6)*('CONTROL MASTER'!$T$2:$T$495&lt;=4)*('CONTROL MASTER'!$V$2:$V$495&gt;=4)*('CONTROL MASTER'!$U$2:$U$495&lt;=8)*('CONTROL MASTER'!$W$2:$W$495&gt;=8))*ROW('CONTROL MASTER'!$S$2:$S$495))-(ROW('CONTROL MASTER'!#REF!)-1))),":",","),",",REPT(" ",50)),((((4-INDEX('CONTROL MASTER'!$T$2:$T$495,(SUMPRODUCT((('CONTROL MASTER'!$S$2:$S$495=6)*('CONTROL MASTER'!$T$2:$T$495&lt;=4)*('CONTROL MASTER'!$V$2:$V$495&gt;=4)*('CONTROL MASTER'!$U$2:$U$495&lt;=8)*('CONTROL MASTER'!$W$2:$W$495&gt;=8))*ROW('CONTROL MASTER'!$S$2:$S$495))-(ROW('CONTROL MASTER'!#REF!)-1))))*(INDEX('CONTROL MASTER'!$W$2:$W$495,(SUMPRODUCT((('CONTROL MASTER'!$S$2:$S$495=6)*('CONTROL MASTER'!$T$2:$T$495&lt;=4)*('CONTROL MASTER'!$V$2:$V$495&gt;=4)*('CONTROL MASTER'!$U$2:$U$495&lt;=8)*('CONTROL MASTER'!$W$2:$W$495&gt;=8))*ROW('CONTROL MASTER'!$S$2:$S$495))-(ROW('CONTROL MASTER'!#REF!)-1)))-INDEX('CONTROL MASTER'!$U$2:$U$495,(SUMPRODUCT((('CONTROL MASTER'!$S$2:$S$495=6)*('CONTROL MASTER'!$T$2:$T$495&lt;=4)*('CONTROL MASTER'!$V$2:$V$495&gt;=4)*('CONTROL MASTER'!$U$2:$U$495&lt;=8)*('CONTROL MASTER'!$W$2:$W$495&gt;=8))*ROW('CONTROL MASTER'!$S$2:$S$495))-(ROW('CONTROL MASTER'!#REF!)-1)))+1)+(8-INDEX('CONTROL MASTER'!$U$2:$U$495,(SUMPRODUCT((('CONTROL MASTER'!$S$2:$S$495=6)*('CONTROL MASTER'!$T$2:$T$495&lt;=4)*('CONTROL MASTER'!$V$2:$V$495&gt;=4)*('CONTROL MASTER'!$U$2:$U$495&lt;=8)*('CONTROL MASTER'!$W$2:$W$495&gt;=8))*ROW('CONTROL MASTER'!$S$2:$S$495))-(ROW('CONTROL MASTER'!#REF!)-1))))+1))-1)*50+1,50))&amp;"_"&amp;INDEX('CONTROL MASTER'!$P$2:$P$495,(SUMPRODUCT((('CONTROL MASTER'!$S$2:$S$495=6)*('CONTROL MASTER'!$T$2:$T$495&lt;=4)*('CONTROL MASTER'!$V$2:$V$495&gt;=4)*('CONTROL MASTER'!$U$2:$U$495&lt;=8)*('CONTROL MASTER'!$W$2:$W$495&gt;=8))*ROW('CONTROL MASTER'!$S$2:$S$495))-(ROW('CONTROL MASTER'!#REF!)-1))),IF(SUMPRODUCT((('CONTROL MASTER'!$S$2:$S$495=6)*('CONTROL MASTER'!$Z$2:$Z$495&lt;=4)*('CONTROL MASTER'!$AB$2:$AB$495&gt;=4)*('CONTROL MASTER'!$AA$2:$AA$495&lt;=8)*('CONTROL MASTER'!$AC$2:$AC$495&gt;=8))*ROW('CONTROL MASTER'!$S$2:$S$495))&gt;0,INDEX('CONTROL MASTER'!$X$2:$X$495,(SUMPRODUCT((('CONTROL MASTER'!$S$2:$S$495=6)*('CONTROL MASTER'!$Z$2:$Z$495&lt;=4)*('CONTROL MASTER'!$AB$2:$AB$495&gt;=4)*('CONTROL MASTER'!$AA$2:$AA$495&lt;=8)*('CONTROL MASTER'!$AC$2:$AC$495&gt;=8))*ROW('CONTROL MASTER'!$S$2:$S$495))-(ROW('CONTROL MASTER'!#REF!)-1)))&amp;TRIM(MID(SUBSTITUTE(SUBSTITUTE(INDEX('CONTROL MASTER'!$N$2:$N$495,(SUMPRODUCT((('CONTROL MASTER'!$S$2:$S$495=6)*('CONTROL MASTER'!$Z$2:$Z$495&lt;=4)*('CONTROL MASTER'!$AB$2:$AB$495&gt;=4)*('CONTROL MASTER'!$AA$2:$AA$495&lt;=8)*('CONTROL MASTER'!$AC$2:$AC$495&gt;=8))*ROW('CONTROL MASTER'!$S$2:$S$495))-(ROW('CONTROL MASTER'!#REF!)-1))),":",","),",",REPT(" ",50)),(((INDEX('CONTROL MASTER'!$Y$2:$Y$495,(SUMPRODUCT((('CONTROL MASTER'!$S$2:$S$495=6)*('CONTROL MASTER'!$Z$2:$Z$495&lt;=4)*('CONTROL MASTER'!$AB$2:$AB$495&gt;=4)*('CONTROL MASTER'!$AA$2:$AA$495&lt;=8)*('CONTROL MASTER'!$AC$2:$AC$495&gt;=8))*ROW('CONTROL MASTER'!$S$2:$S$495))-(ROW('CONTROL MASTER'!#REF!)-1)))+((4-INDEX('CONTROL MASTER'!$Z$2:$Z$495,(SUMPRODUCT((('CONTROL MASTER'!$S$2:$S$495=6)*('CONTROL MASTER'!$Z$2:$Z$495&lt;=4)*('CONTROL MASTER'!$AB$2:$AB$495&gt;=4)*('CONTROL MASTER'!$AA$2:$AA$495&lt;=8)*('CONTROL MASTER'!$AC$2:$AC$495&gt;=8))*ROW('CONTROL MASTER'!$S$2:$S$495))-(ROW('CONTROL MASTER'!#REF!)-1))))*(INDEX('CONTROL MASTER'!$AC$2:$AC$495,(SUMPRODUCT((('CONTROL MASTER'!$S$2:$S$495=6)*('CONTROL MASTER'!$Z$2:$Z$495&lt;=4)*('CONTROL MASTER'!$AB$2:$AB$495&gt;=4)*('CONTROL MASTER'!$AA$2:$AA$495&lt;=8)*('CONTROL MASTER'!$AC$2:$AC$495&gt;=8))*ROW('CONTROL MASTER'!$S$2:$S$495))-(ROW('CONTROL MASTER'!#REF!)-1)))-INDEX('CONTROL MASTER'!$AA$2:$AA$495,(SUMPRODUCT((('CONTROL MASTER'!$S$2:$S$495=6)*('CONTROL MASTER'!$Z$2:$Z$495&lt;=4)*('CONTROL MASTER'!$AB$2:$AB$495&gt;=4)*('CONTROL MASTER'!$AA$2:$AA$495&lt;=8)*('CONTROL MASTER'!$AC$2:$AC$495&gt;=8))*ROW('CONTROL MASTER'!$S$2:$S$495))-(ROW('CONTROL MASTER'!#REF!)-1)))+1)+(8-INDEX('CONTROL MASTER'!$AA$2:$AA$495,(SUMPRODUCT((('CONTROL MASTER'!$S$2:$S$495=6)*('CONTROL MASTER'!$Z$2:$Z$495&lt;=4)*('CONTROL MASTER'!$AB$2:$AB$495&gt;=4)*('CONTROL MASTER'!$AA$2:$AA$495&lt;=8)*('CONTROL MASTER'!$AC$2:$AC$495&gt;=8))*ROW('CONTROL MASTER'!$S$2:$S$495))-(ROW('CONTROL MASTER'!#REF!)-1))))+1)))-1)*50+1,50))&amp;"_"&amp;INDEX('CONTROL MASTER'!$P$2:$P$495,(SUMPRODUCT((('CONTROL MASTER'!$S$2:$S$495=6)*('CONTROL MASTER'!$Z$2:$Z$495&lt;=4)*('CONTROL MASTER'!$AB$2:$AB$495&gt;=4)*('CONTROL MASTER'!$AA$2:$AA$495&lt;=8)*('CONTROL MASTER'!$AC$2:$AC$495&gt;=8))*ROW('CONTROL MASTER'!$S$2:$S$495))-(ROW('CONTROL MASTER'!#REF!)-1))),"")),"")</f>
        <v/>
      </c>
      <c r="J76" s="10" t="str">
        <f>IFERROR(IF(SUMPRODUCT((('CONTROL MASTER'!$S$2:$S$495=6)*('CONTROL MASTER'!$T$2:$T$495&lt;=4)*('CONTROL MASTER'!$V$2:$V$495&gt;=4)*('CONTROL MASTER'!$U$2:$U$495&lt;=9)*('CONTROL MASTER'!$W$2:$W$495&gt;=9))*ROW('CONTROL MASTER'!$S$2:$S$495))&gt;0,INDEX('CONTROL MASTER'!$X$2:$X$495,(SUMPRODUCT((('CONTROL MASTER'!$S$2:$S$495=6)*('CONTROL MASTER'!$T$2:$T$495&lt;=4)*('CONTROL MASTER'!$V$2:$V$495&gt;=4)*('CONTROL MASTER'!$U$2:$U$495&lt;=9)*('CONTROL MASTER'!$W$2:$W$495&gt;=9))*ROW('CONTROL MASTER'!$S$2:$S$495))-(ROW('CONTROL MASTER'!#REF!)-1)))&amp;TRIM(MID(SUBSTITUTE(SUBSTITUTE(INDEX('CONTROL MASTER'!$N$2:$N$495,(SUMPRODUCT((('CONTROL MASTER'!$S$2:$S$495=6)*('CONTROL MASTER'!$T$2:$T$495&lt;=4)*('CONTROL MASTER'!$V$2:$V$495&gt;=4)*('CONTROL MASTER'!$U$2:$U$495&lt;=9)*('CONTROL MASTER'!$W$2:$W$495&gt;=9))*ROW('CONTROL MASTER'!$S$2:$S$495))-(ROW('CONTROL MASTER'!#REF!)-1))),":",","),",",REPT(" ",50)),((((4-INDEX('CONTROL MASTER'!$T$2:$T$495,(SUMPRODUCT((('CONTROL MASTER'!$S$2:$S$495=6)*('CONTROL MASTER'!$T$2:$T$495&lt;=4)*('CONTROL MASTER'!$V$2:$V$495&gt;=4)*('CONTROL MASTER'!$U$2:$U$495&lt;=9)*('CONTROL MASTER'!$W$2:$W$495&gt;=9))*ROW('CONTROL MASTER'!$S$2:$S$495))-(ROW('CONTROL MASTER'!#REF!)-1))))*(INDEX('CONTROL MASTER'!$W$2:$W$495,(SUMPRODUCT((('CONTROL MASTER'!$S$2:$S$495=6)*('CONTROL MASTER'!$T$2:$T$495&lt;=4)*('CONTROL MASTER'!$V$2:$V$495&gt;=4)*('CONTROL MASTER'!$U$2:$U$495&lt;=9)*('CONTROL MASTER'!$W$2:$W$495&gt;=9))*ROW('CONTROL MASTER'!$S$2:$S$495))-(ROW('CONTROL MASTER'!#REF!)-1)))-INDEX('CONTROL MASTER'!$U$2:$U$495,(SUMPRODUCT((('CONTROL MASTER'!$S$2:$S$495=6)*('CONTROL MASTER'!$T$2:$T$495&lt;=4)*('CONTROL MASTER'!$V$2:$V$495&gt;=4)*('CONTROL MASTER'!$U$2:$U$495&lt;=9)*('CONTROL MASTER'!$W$2:$W$495&gt;=9))*ROW('CONTROL MASTER'!$S$2:$S$495))-(ROW('CONTROL MASTER'!#REF!)-1)))+1)+(9-INDEX('CONTROL MASTER'!$U$2:$U$495,(SUMPRODUCT((('CONTROL MASTER'!$S$2:$S$495=6)*('CONTROL MASTER'!$T$2:$T$495&lt;=4)*('CONTROL MASTER'!$V$2:$V$495&gt;=4)*('CONTROL MASTER'!$U$2:$U$495&lt;=9)*('CONTROL MASTER'!$W$2:$W$495&gt;=9))*ROW('CONTROL MASTER'!$S$2:$S$495))-(ROW('CONTROL MASTER'!#REF!)-1))))+1))-1)*50+1,50))&amp;"_"&amp;INDEX('CONTROL MASTER'!$P$2:$P$495,(SUMPRODUCT((('CONTROL MASTER'!$S$2:$S$495=6)*('CONTROL MASTER'!$T$2:$T$495&lt;=4)*('CONTROL MASTER'!$V$2:$V$495&gt;=4)*('CONTROL MASTER'!$U$2:$U$495&lt;=9)*('CONTROL MASTER'!$W$2:$W$495&gt;=9))*ROW('CONTROL MASTER'!$S$2:$S$495))-(ROW('CONTROL MASTER'!#REF!)-1))),IF(SUMPRODUCT((('CONTROL MASTER'!$S$2:$S$495=6)*('CONTROL MASTER'!$Z$2:$Z$495&lt;=4)*('CONTROL MASTER'!$AB$2:$AB$495&gt;=4)*('CONTROL MASTER'!$AA$2:$AA$495&lt;=9)*('CONTROL MASTER'!$AC$2:$AC$495&gt;=9))*ROW('CONTROL MASTER'!$S$2:$S$495))&gt;0,INDEX('CONTROL MASTER'!$X$2:$X$495,(SUMPRODUCT((('CONTROL MASTER'!$S$2:$S$495=6)*('CONTROL MASTER'!$Z$2:$Z$495&lt;=4)*('CONTROL MASTER'!$AB$2:$AB$495&gt;=4)*('CONTROL MASTER'!$AA$2:$AA$495&lt;=9)*('CONTROL MASTER'!$AC$2:$AC$495&gt;=9))*ROW('CONTROL MASTER'!$S$2:$S$495))-(ROW('CONTROL MASTER'!#REF!)-1)))&amp;TRIM(MID(SUBSTITUTE(SUBSTITUTE(INDEX('CONTROL MASTER'!$N$2:$N$495,(SUMPRODUCT((('CONTROL MASTER'!$S$2:$S$495=6)*('CONTROL MASTER'!$Z$2:$Z$495&lt;=4)*('CONTROL MASTER'!$AB$2:$AB$495&gt;=4)*('CONTROL MASTER'!$AA$2:$AA$495&lt;=9)*('CONTROL MASTER'!$AC$2:$AC$495&gt;=9))*ROW('CONTROL MASTER'!$S$2:$S$495))-(ROW('CONTROL MASTER'!#REF!)-1))),":",","),",",REPT(" ",50)),(((INDEX('CONTROL MASTER'!$Y$2:$Y$495,(SUMPRODUCT((('CONTROL MASTER'!$S$2:$S$495=6)*('CONTROL MASTER'!$Z$2:$Z$495&lt;=4)*('CONTROL MASTER'!$AB$2:$AB$495&gt;=4)*('CONTROL MASTER'!$AA$2:$AA$495&lt;=9)*('CONTROL MASTER'!$AC$2:$AC$495&gt;=9))*ROW('CONTROL MASTER'!$S$2:$S$495))-(ROW('CONTROL MASTER'!#REF!)-1)))+((4-INDEX('CONTROL MASTER'!$Z$2:$Z$495,(SUMPRODUCT((('CONTROL MASTER'!$S$2:$S$495=6)*('CONTROL MASTER'!$Z$2:$Z$495&lt;=4)*('CONTROL MASTER'!$AB$2:$AB$495&gt;=4)*('CONTROL MASTER'!$AA$2:$AA$495&lt;=9)*('CONTROL MASTER'!$AC$2:$AC$495&gt;=9))*ROW('CONTROL MASTER'!$S$2:$S$495))-(ROW('CONTROL MASTER'!#REF!)-1))))*(INDEX('CONTROL MASTER'!$AC$2:$AC$495,(SUMPRODUCT((('CONTROL MASTER'!$S$2:$S$495=6)*('CONTROL MASTER'!$Z$2:$Z$495&lt;=4)*('CONTROL MASTER'!$AB$2:$AB$495&gt;=4)*('CONTROL MASTER'!$AA$2:$AA$495&lt;=9)*('CONTROL MASTER'!$AC$2:$AC$495&gt;=9))*ROW('CONTROL MASTER'!$S$2:$S$495))-(ROW('CONTROL MASTER'!#REF!)-1)))-INDEX('CONTROL MASTER'!$AA$2:$AA$495,(SUMPRODUCT((('CONTROL MASTER'!$S$2:$S$495=6)*('CONTROL MASTER'!$Z$2:$Z$495&lt;=4)*('CONTROL MASTER'!$AB$2:$AB$495&gt;=4)*('CONTROL MASTER'!$AA$2:$AA$495&lt;=9)*('CONTROL MASTER'!$AC$2:$AC$495&gt;=9))*ROW('CONTROL MASTER'!$S$2:$S$495))-(ROW('CONTROL MASTER'!#REF!)-1)))+1)+(9-INDEX('CONTROL MASTER'!$AA$2:$AA$495,(SUMPRODUCT((('CONTROL MASTER'!$S$2:$S$495=6)*('CONTROL MASTER'!$Z$2:$Z$495&lt;=4)*('CONTROL MASTER'!$AB$2:$AB$495&gt;=4)*('CONTROL MASTER'!$AA$2:$AA$495&lt;=9)*('CONTROL MASTER'!$AC$2:$AC$495&gt;=9))*ROW('CONTROL MASTER'!$S$2:$S$495))-(ROW('CONTROL MASTER'!#REF!)-1))))+1)))-1)*50+1,50))&amp;"_"&amp;INDEX('CONTROL MASTER'!$P$2:$P$495,(SUMPRODUCT((('CONTROL MASTER'!$S$2:$S$495=6)*('CONTROL MASTER'!$Z$2:$Z$495&lt;=4)*('CONTROL MASTER'!$AB$2:$AB$495&gt;=4)*('CONTROL MASTER'!$AA$2:$AA$495&lt;=9)*('CONTROL MASTER'!$AC$2:$AC$495&gt;=9))*ROW('CONTROL MASTER'!$S$2:$S$495))-(ROW('CONTROL MASTER'!#REF!)-1))),"")),"")</f>
        <v/>
      </c>
      <c r="K76" s="10" t="str">
        <f>IFERROR(IF(SUMPRODUCT((('CONTROL MASTER'!$S$2:$S$495=6)*('CONTROL MASTER'!$T$2:$T$495&lt;=4)*('CONTROL MASTER'!$V$2:$V$495&gt;=4)*('CONTROL MASTER'!$U$2:$U$495&lt;=10)*('CONTROL MASTER'!$W$2:$W$495&gt;=10))*ROW('CONTROL MASTER'!$S$2:$S$495))&gt;0,INDEX('CONTROL MASTER'!$X$2:$X$495,(SUMPRODUCT((('CONTROL MASTER'!$S$2:$S$495=6)*('CONTROL MASTER'!$T$2:$T$495&lt;=4)*('CONTROL MASTER'!$V$2:$V$495&gt;=4)*('CONTROL MASTER'!$U$2:$U$495&lt;=10)*('CONTROL MASTER'!$W$2:$W$495&gt;=10))*ROW('CONTROL MASTER'!$S$2:$S$495))-(ROW('CONTROL MASTER'!#REF!)-1)))&amp;TRIM(MID(SUBSTITUTE(SUBSTITUTE(INDEX('CONTROL MASTER'!$N$2:$N$495,(SUMPRODUCT((('CONTROL MASTER'!$S$2:$S$495=6)*('CONTROL MASTER'!$T$2:$T$495&lt;=4)*('CONTROL MASTER'!$V$2:$V$495&gt;=4)*('CONTROL MASTER'!$U$2:$U$495&lt;=10)*('CONTROL MASTER'!$W$2:$W$495&gt;=10))*ROW('CONTROL MASTER'!$S$2:$S$495))-(ROW('CONTROL MASTER'!#REF!)-1))),":",","),",",REPT(" ",50)),((((4-INDEX('CONTROL MASTER'!$T$2:$T$495,(SUMPRODUCT((('CONTROL MASTER'!$S$2:$S$495=6)*('CONTROL MASTER'!$T$2:$T$495&lt;=4)*('CONTROL MASTER'!$V$2:$V$495&gt;=4)*('CONTROL MASTER'!$U$2:$U$495&lt;=10)*('CONTROL MASTER'!$W$2:$W$495&gt;=10))*ROW('CONTROL MASTER'!$S$2:$S$495))-(ROW('CONTROL MASTER'!#REF!)-1))))*(INDEX('CONTROL MASTER'!$W$2:$W$495,(SUMPRODUCT((('CONTROL MASTER'!$S$2:$S$495=6)*('CONTROL MASTER'!$T$2:$T$495&lt;=4)*('CONTROL MASTER'!$V$2:$V$495&gt;=4)*('CONTROL MASTER'!$U$2:$U$495&lt;=10)*('CONTROL MASTER'!$W$2:$W$495&gt;=10))*ROW('CONTROL MASTER'!$S$2:$S$495))-(ROW('CONTROL MASTER'!#REF!)-1)))-INDEX('CONTROL MASTER'!$U$2:$U$495,(SUMPRODUCT((('CONTROL MASTER'!$S$2:$S$495=6)*('CONTROL MASTER'!$T$2:$T$495&lt;=4)*('CONTROL MASTER'!$V$2:$V$495&gt;=4)*('CONTROL MASTER'!$U$2:$U$495&lt;=10)*('CONTROL MASTER'!$W$2:$W$495&gt;=10))*ROW('CONTROL MASTER'!$S$2:$S$495))-(ROW('CONTROL MASTER'!#REF!)-1)))+1)+(10-INDEX('CONTROL MASTER'!$U$2:$U$495,(SUMPRODUCT((('CONTROL MASTER'!$S$2:$S$495=6)*('CONTROL MASTER'!$T$2:$T$495&lt;=4)*('CONTROL MASTER'!$V$2:$V$495&gt;=4)*('CONTROL MASTER'!$U$2:$U$495&lt;=10)*('CONTROL MASTER'!$W$2:$W$495&gt;=10))*ROW('CONTROL MASTER'!$S$2:$S$495))-(ROW('CONTROL MASTER'!#REF!)-1))))+1))-1)*50+1,50))&amp;"_"&amp;INDEX('CONTROL MASTER'!$P$2:$P$495,(SUMPRODUCT((('CONTROL MASTER'!$S$2:$S$495=6)*('CONTROL MASTER'!$T$2:$T$495&lt;=4)*('CONTROL MASTER'!$V$2:$V$495&gt;=4)*('CONTROL MASTER'!$U$2:$U$495&lt;=10)*('CONTROL MASTER'!$W$2:$W$495&gt;=10))*ROW('CONTROL MASTER'!$S$2:$S$495))-(ROW('CONTROL MASTER'!#REF!)-1))),IF(SUMPRODUCT((('CONTROL MASTER'!$S$2:$S$495=6)*('CONTROL MASTER'!$Z$2:$Z$495&lt;=4)*('CONTROL MASTER'!$AB$2:$AB$495&gt;=4)*('CONTROL MASTER'!$AA$2:$AA$495&lt;=10)*('CONTROL MASTER'!$AC$2:$AC$495&gt;=10))*ROW('CONTROL MASTER'!$S$2:$S$495))&gt;0,INDEX('CONTROL MASTER'!$X$2:$X$495,(SUMPRODUCT((('CONTROL MASTER'!$S$2:$S$495=6)*('CONTROL MASTER'!$Z$2:$Z$495&lt;=4)*('CONTROL MASTER'!$AB$2:$AB$495&gt;=4)*('CONTROL MASTER'!$AA$2:$AA$495&lt;=10)*('CONTROL MASTER'!$AC$2:$AC$495&gt;=10))*ROW('CONTROL MASTER'!$S$2:$S$495))-(ROW('CONTROL MASTER'!#REF!)-1)))&amp;TRIM(MID(SUBSTITUTE(SUBSTITUTE(INDEX('CONTROL MASTER'!$N$2:$N$495,(SUMPRODUCT((('CONTROL MASTER'!$S$2:$S$495=6)*('CONTROL MASTER'!$Z$2:$Z$495&lt;=4)*('CONTROL MASTER'!$AB$2:$AB$495&gt;=4)*('CONTROL MASTER'!$AA$2:$AA$495&lt;=10)*('CONTROL MASTER'!$AC$2:$AC$495&gt;=10))*ROW('CONTROL MASTER'!$S$2:$S$495))-(ROW('CONTROL MASTER'!#REF!)-1))),":",","),",",REPT(" ",50)),(((INDEX('CONTROL MASTER'!$Y$2:$Y$495,(SUMPRODUCT((('CONTROL MASTER'!$S$2:$S$495=6)*('CONTROL MASTER'!$Z$2:$Z$495&lt;=4)*('CONTROL MASTER'!$AB$2:$AB$495&gt;=4)*('CONTROL MASTER'!$AA$2:$AA$495&lt;=10)*('CONTROL MASTER'!$AC$2:$AC$495&gt;=10))*ROW('CONTROL MASTER'!$S$2:$S$495))-(ROW('CONTROL MASTER'!#REF!)-1)))+((4-INDEX('CONTROL MASTER'!$Z$2:$Z$495,(SUMPRODUCT((('CONTROL MASTER'!$S$2:$S$495=6)*('CONTROL MASTER'!$Z$2:$Z$495&lt;=4)*('CONTROL MASTER'!$AB$2:$AB$495&gt;=4)*('CONTROL MASTER'!$AA$2:$AA$495&lt;=10)*('CONTROL MASTER'!$AC$2:$AC$495&gt;=10))*ROW('CONTROL MASTER'!$S$2:$S$495))-(ROW('CONTROL MASTER'!#REF!)-1))))*(INDEX('CONTROL MASTER'!$AC$2:$AC$495,(SUMPRODUCT((('CONTROL MASTER'!$S$2:$S$495=6)*('CONTROL MASTER'!$Z$2:$Z$495&lt;=4)*('CONTROL MASTER'!$AB$2:$AB$495&gt;=4)*('CONTROL MASTER'!$AA$2:$AA$495&lt;=10)*('CONTROL MASTER'!$AC$2:$AC$495&gt;=10))*ROW('CONTROL MASTER'!$S$2:$S$495))-(ROW('CONTROL MASTER'!#REF!)-1)))-INDEX('CONTROL MASTER'!$AA$2:$AA$495,(SUMPRODUCT((('CONTROL MASTER'!$S$2:$S$495=6)*('CONTROL MASTER'!$Z$2:$Z$495&lt;=4)*('CONTROL MASTER'!$AB$2:$AB$495&gt;=4)*('CONTROL MASTER'!$AA$2:$AA$495&lt;=10)*('CONTROL MASTER'!$AC$2:$AC$495&gt;=10))*ROW('CONTROL MASTER'!$S$2:$S$495))-(ROW('CONTROL MASTER'!#REF!)-1)))+1)+(10-INDEX('CONTROL MASTER'!$AA$2:$AA$495,(SUMPRODUCT((('CONTROL MASTER'!$S$2:$S$495=6)*('CONTROL MASTER'!$Z$2:$Z$495&lt;=4)*('CONTROL MASTER'!$AB$2:$AB$495&gt;=4)*('CONTROL MASTER'!$AA$2:$AA$495&lt;=10)*('CONTROL MASTER'!$AC$2:$AC$495&gt;=10))*ROW('CONTROL MASTER'!$S$2:$S$495))-(ROW('CONTROL MASTER'!#REF!)-1))))+1)))-1)*50+1,50))&amp;"_"&amp;INDEX('CONTROL MASTER'!$P$2:$P$495,(SUMPRODUCT((('CONTROL MASTER'!$S$2:$S$495=6)*('CONTROL MASTER'!$Z$2:$Z$495&lt;=4)*('CONTROL MASTER'!$AB$2:$AB$495&gt;=4)*('CONTROL MASTER'!$AA$2:$AA$495&lt;=10)*('CONTROL MASTER'!$AC$2:$AC$495&gt;=10))*ROW('CONTROL MASTER'!$S$2:$S$495))-(ROW('CONTROL MASTER'!#REF!)-1))),"")),"")</f>
        <v/>
      </c>
    </row>
    <row r="77" spans="1:11" ht="15" customHeight="1" x14ac:dyDescent="0.35">
      <c r="A77" s="8" t="s">
        <v>32</v>
      </c>
      <c r="B77" s="10" t="str">
        <f>IFERROR(IF(SUMPRODUCT((('CONTROL MASTER'!$S$2:$S$495=6)*('CONTROL MASTER'!$T$2:$T$495&lt;=5)*('CONTROL MASTER'!$V$2:$V$495&gt;=5)*('CONTROL MASTER'!$U$2:$U$495&lt;=1)*('CONTROL MASTER'!$W$2:$W$495&gt;=1))*ROW('CONTROL MASTER'!$S$2:$S$495))&gt;0,INDEX('CONTROL MASTER'!$X$2:$X$495,(SUMPRODUCT((('CONTROL MASTER'!$S$2:$S$495=6)*('CONTROL MASTER'!$T$2:$T$495&lt;=5)*('CONTROL MASTER'!$V$2:$V$495&gt;=5)*('CONTROL MASTER'!$U$2:$U$495&lt;=1)*('CONTROL MASTER'!$W$2:$W$495&gt;=1))*ROW('CONTROL MASTER'!$S$2:$S$495))-(ROW('CONTROL MASTER'!#REF!)-1)))&amp;TRIM(MID(SUBSTITUTE(SUBSTITUTE(INDEX('CONTROL MASTER'!$N$2:$N$495,(SUMPRODUCT((('CONTROL MASTER'!$S$2:$S$495=6)*('CONTROL MASTER'!$T$2:$T$495&lt;=5)*('CONTROL MASTER'!$V$2:$V$495&gt;=5)*('CONTROL MASTER'!$U$2:$U$495&lt;=1)*('CONTROL MASTER'!$W$2:$W$495&gt;=1))*ROW('CONTROL MASTER'!$S$2:$S$495))-(ROW('CONTROL MASTER'!#REF!)-1))),":",","),",",REPT(" ",50)),((((5-INDEX('CONTROL MASTER'!$T$2:$T$495,(SUMPRODUCT((('CONTROL MASTER'!$S$2:$S$495=6)*('CONTROL MASTER'!$T$2:$T$495&lt;=5)*('CONTROL MASTER'!$V$2:$V$495&gt;=5)*('CONTROL MASTER'!$U$2:$U$495&lt;=1)*('CONTROL MASTER'!$W$2:$W$495&gt;=1))*ROW('CONTROL MASTER'!$S$2:$S$495))-(ROW('CONTROL MASTER'!#REF!)-1))))*(INDEX('CONTROL MASTER'!$W$2:$W$495,(SUMPRODUCT((('CONTROL MASTER'!$S$2:$S$495=6)*('CONTROL MASTER'!$T$2:$T$495&lt;=5)*('CONTROL MASTER'!$V$2:$V$495&gt;=5)*('CONTROL MASTER'!$U$2:$U$495&lt;=1)*('CONTROL MASTER'!$W$2:$W$495&gt;=1))*ROW('CONTROL MASTER'!$S$2:$S$495))-(ROW('CONTROL MASTER'!#REF!)-1)))-INDEX('CONTROL MASTER'!$U$2:$U$495,(SUMPRODUCT((('CONTROL MASTER'!$S$2:$S$495=6)*('CONTROL MASTER'!$T$2:$T$495&lt;=5)*('CONTROL MASTER'!$V$2:$V$495&gt;=5)*('CONTROL MASTER'!$U$2:$U$495&lt;=1)*('CONTROL MASTER'!$W$2:$W$495&gt;=1))*ROW('CONTROL MASTER'!$S$2:$S$495))-(ROW('CONTROL MASTER'!#REF!)-1)))+1)+(1-INDEX('CONTROL MASTER'!$U$2:$U$495,(SUMPRODUCT((('CONTROL MASTER'!$S$2:$S$495=6)*('CONTROL MASTER'!$T$2:$T$495&lt;=5)*('CONTROL MASTER'!$V$2:$V$495&gt;=5)*('CONTROL MASTER'!$U$2:$U$495&lt;=1)*('CONTROL MASTER'!$W$2:$W$495&gt;=1))*ROW('CONTROL MASTER'!$S$2:$S$495))-(ROW('CONTROL MASTER'!#REF!)-1))))+1))-1)*50+1,50))&amp;"_"&amp;INDEX('CONTROL MASTER'!$P$2:$P$495,(SUMPRODUCT((('CONTROL MASTER'!$S$2:$S$495=6)*('CONTROL MASTER'!$T$2:$T$495&lt;=5)*('CONTROL MASTER'!$V$2:$V$495&gt;=5)*('CONTROL MASTER'!$U$2:$U$495&lt;=1)*('CONTROL MASTER'!$W$2:$W$495&gt;=1))*ROW('CONTROL MASTER'!$S$2:$S$495))-(ROW('CONTROL MASTER'!#REF!)-1))),IF(SUMPRODUCT((('CONTROL MASTER'!$S$2:$S$495=6)*('CONTROL MASTER'!$Z$2:$Z$495&lt;=5)*('CONTROL MASTER'!$AB$2:$AB$495&gt;=5)*('CONTROL MASTER'!$AA$2:$AA$495&lt;=1)*('CONTROL MASTER'!$AC$2:$AC$495&gt;=1))*ROW('CONTROL MASTER'!$S$2:$S$495))&gt;0,INDEX('CONTROL MASTER'!$X$2:$X$495,(SUMPRODUCT((('CONTROL MASTER'!$S$2:$S$495=6)*('CONTROL MASTER'!$Z$2:$Z$495&lt;=5)*('CONTROL MASTER'!$AB$2:$AB$495&gt;=5)*('CONTROL MASTER'!$AA$2:$AA$495&lt;=1)*('CONTROL MASTER'!$AC$2:$AC$495&gt;=1))*ROW('CONTROL MASTER'!$S$2:$S$495))-(ROW('CONTROL MASTER'!#REF!)-1)))&amp;TRIM(MID(SUBSTITUTE(SUBSTITUTE(INDEX('CONTROL MASTER'!$N$2:$N$495,(SUMPRODUCT((('CONTROL MASTER'!$S$2:$S$495=6)*('CONTROL MASTER'!$Z$2:$Z$495&lt;=5)*('CONTROL MASTER'!$AB$2:$AB$495&gt;=5)*('CONTROL MASTER'!$AA$2:$AA$495&lt;=1)*('CONTROL MASTER'!$AC$2:$AC$495&gt;=1))*ROW('CONTROL MASTER'!$S$2:$S$495))-(ROW('CONTROL MASTER'!#REF!)-1))),":",","),",",REPT(" ",50)),(((INDEX('CONTROL MASTER'!$Y$2:$Y$495,(SUMPRODUCT((('CONTROL MASTER'!$S$2:$S$495=6)*('CONTROL MASTER'!$Z$2:$Z$495&lt;=5)*('CONTROL MASTER'!$AB$2:$AB$495&gt;=5)*('CONTROL MASTER'!$AA$2:$AA$495&lt;=1)*('CONTROL MASTER'!$AC$2:$AC$495&gt;=1))*ROW('CONTROL MASTER'!$S$2:$S$495))-(ROW('CONTROL MASTER'!#REF!)-1)))+((5-INDEX('CONTROL MASTER'!$Z$2:$Z$495,(SUMPRODUCT((('CONTROL MASTER'!$S$2:$S$495=6)*('CONTROL MASTER'!$Z$2:$Z$495&lt;=5)*('CONTROL MASTER'!$AB$2:$AB$495&gt;=5)*('CONTROL MASTER'!$AA$2:$AA$495&lt;=1)*('CONTROL MASTER'!$AC$2:$AC$495&gt;=1))*ROW('CONTROL MASTER'!$S$2:$S$495))-(ROW('CONTROL MASTER'!#REF!)-1))))*(INDEX('CONTROL MASTER'!$AC$2:$AC$495,(SUMPRODUCT((('CONTROL MASTER'!$S$2:$S$495=6)*('CONTROL MASTER'!$Z$2:$Z$495&lt;=5)*('CONTROL MASTER'!$AB$2:$AB$495&gt;=5)*('CONTROL MASTER'!$AA$2:$AA$495&lt;=1)*('CONTROL MASTER'!$AC$2:$AC$495&gt;=1))*ROW('CONTROL MASTER'!$S$2:$S$495))-(ROW('CONTROL MASTER'!#REF!)-1)))-INDEX('CONTROL MASTER'!$AA$2:$AA$495,(SUMPRODUCT((('CONTROL MASTER'!$S$2:$S$495=6)*('CONTROL MASTER'!$Z$2:$Z$495&lt;=5)*('CONTROL MASTER'!$AB$2:$AB$495&gt;=5)*('CONTROL MASTER'!$AA$2:$AA$495&lt;=1)*('CONTROL MASTER'!$AC$2:$AC$495&gt;=1))*ROW('CONTROL MASTER'!$S$2:$S$495))-(ROW('CONTROL MASTER'!#REF!)-1)))+1)+(1-INDEX('CONTROL MASTER'!$AA$2:$AA$495,(SUMPRODUCT((('CONTROL MASTER'!$S$2:$S$495=6)*('CONTROL MASTER'!$Z$2:$Z$495&lt;=5)*('CONTROL MASTER'!$AB$2:$AB$495&gt;=5)*('CONTROL MASTER'!$AA$2:$AA$495&lt;=1)*('CONTROL MASTER'!$AC$2:$AC$495&gt;=1))*ROW('CONTROL MASTER'!$S$2:$S$495))-(ROW('CONTROL MASTER'!#REF!)-1))))+1)))-1)*50+1,50))&amp;"_"&amp;INDEX('CONTROL MASTER'!$P$2:$P$495,(SUMPRODUCT((('CONTROL MASTER'!$S$2:$S$495=6)*('CONTROL MASTER'!$Z$2:$Z$495&lt;=5)*('CONTROL MASTER'!$AB$2:$AB$495&gt;=5)*('CONTROL MASTER'!$AA$2:$AA$495&lt;=1)*('CONTROL MASTER'!$AC$2:$AC$495&gt;=1))*ROW('CONTROL MASTER'!$S$2:$S$495))-(ROW('CONTROL MASTER'!#REF!)-1))),"")),"")</f>
        <v/>
      </c>
      <c r="C77" s="10" t="str">
        <f>IFERROR(IF(SUMPRODUCT((('CONTROL MASTER'!$S$2:$S$495=6)*('CONTROL MASTER'!$T$2:$T$495&lt;=5)*('CONTROL MASTER'!$V$2:$V$495&gt;=5)*('CONTROL MASTER'!$U$2:$U$495&lt;=2)*('CONTROL MASTER'!$W$2:$W$495&gt;=2))*ROW('CONTROL MASTER'!$S$2:$S$495))&gt;0,INDEX('CONTROL MASTER'!$X$2:$X$495,(SUMPRODUCT((('CONTROL MASTER'!$S$2:$S$495=6)*('CONTROL MASTER'!$T$2:$T$495&lt;=5)*('CONTROL MASTER'!$V$2:$V$495&gt;=5)*('CONTROL MASTER'!$U$2:$U$495&lt;=2)*('CONTROL MASTER'!$W$2:$W$495&gt;=2))*ROW('CONTROL MASTER'!$S$2:$S$495))-(ROW('CONTROL MASTER'!#REF!)-1)))&amp;TRIM(MID(SUBSTITUTE(SUBSTITUTE(INDEX('CONTROL MASTER'!$N$2:$N$495,(SUMPRODUCT((('CONTROL MASTER'!$S$2:$S$495=6)*('CONTROL MASTER'!$T$2:$T$495&lt;=5)*('CONTROL MASTER'!$V$2:$V$495&gt;=5)*('CONTROL MASTER'!$U$2:$U$495&lt;=2)*('CONTROL MASTER'!$W$2:$W$495&gt;=2))*ROW('CONTROL MASTER'!$S$2:$S$495))-(ROW('CONTROL MASTER'!#REF!)-1))),":",","),",",REPT(" ",50)),((((5-INDEX('CONTROL MASTER'!$T$2:$T$495,(SUMPRODUCT((('CONTROL MASTER'!$S$2:$S$495=6)*('CONTROL MASTER'!$T$2:$T$495&lt;=5)*('CONTROL MASTER'!$V$2:$V$495&gt;=5)*('CONTROL MASTER'!$U$2:$U$495&lt;=2)*('CONTROL MASTER'!$W$2:$W$495&gt;=2))*ROW('CONTROL MASTER'!$S$2:$S$495))-(ROW('CONTROL MASTER'!#REF!)-1))))*(INDEX('CONTROL MASTER'!$W$2:$W$495,(SUMPRODUCT((('CONTROL MASTER'!$S$2:$S$495=6)*('CONTROL MASTER'!$T$2:$T$495&lt;=5)*('CONTROL MASTER'!$V$2:$V$495&gt;=5)*('CONTROL MASTER'!$U$2:$U$495&lt;=2)*('CONTROL MASTER'!$W$2:$W$495&gt;=2))*ROW('CONTROL MASTER'!$S$2:$S$495))-(ROW('CONTROL MASTER'!#REF!)-1)))-INDEX('CONTROL MASTER'!$U$2:$U$495,(SUMPRODUCT((('CONTROL MASTER'!$S$2:$S$495=6)*('CONTROL MASTER'!$T$2:$T$495&lt;=5)*('CONTROL MASTER'!$V$2:$V$495&gt;=5)*('CONTROL MASTER'!$U$2:$U$495&lt;=2)*('CONTROL MASTER'!$W$2:$W$495&gt;=2))*ROW('CONTROL MASTER'!$S$2:$S$495))-(ROW('CONTROL MASTER'!#REF!)-1)))+1)+(2-INDEX('CONTROL MASTER'!$U$2:$U$495,(SUMPRODUCT((('CONTROL MASTER'!$S$2:$S$495=6)*('CONTROL MASTER'!$T$2:$T$495&lt;=5)*('CONTROL MASTER'!$V$2:$V$495&gt;=5)*('CONTROL MASTER'!$U$2:$U$495&lt;=2)*('CONTROL MASTER'!$W$2:$W$495&gt;=2))*ROW('CONTROL MASTER'!$S$2:$S$495))-(ROW('CONTROL MASTER'!#REF!)-1))))+1))-1)*50+1,50))&amp;"_"&amp;INDEX('CONTROL MASTER'!$P$2:$P$495,(SUMPRODUCT((('CONTROL MASTER'!$S$2:$S$495=6)*('CONTROL MASTER'!$T$2:$T$495&lt;=5)*('CONTROL MASTER'!$V$2:$V$495&gt;=5)*('CONTROL MASTER'!$U$2:$U$495&lt;=2)*('CONTROL MASTER'!$W$2:$W$495&gt;=2))*ROW('CONTROL MASTER'!$S$2:$S$495))-(ROW('CONTROL MASTER'!#REF!)-1))),IF(SUMPRODUCT((('CONTROL MASTER'!$S$2:$S$495=6)*('CONTROL MASTER'!$Z$2:$Z$495&lt;=5)*('CONTROL MASTER'!$AB$2:$AB$495&gt;=5)*('CONTROL MASTER'!$AA$2:$AA$495&lt;=2)*('CONTROL MASTER'!$AC$2:$AC$495&gt;=2))*ROW('CONTROL MASTER'!$S$2:$S$495))&gt;0,INDEX('CONTROL MASTER'!$X$2:$X$495,(SUMPRODUCT((('CONTROL MASTER'!$S$2:$S$495=6)*('CONTROL MASTER'!$Z$2:$Z$495&lt;=5)*('CONTROL MASTER'!$AB$2:$AB$495&gt;=5)*('CONTROL MASTER'!$AA$2:$AA$495&lt;=2)*('CONTROL MASTER'!$AC$2:$AC$495&gt;=2))*ROW('CONTROL MASTER'!$S$2:$S$495))-(ROW('CONTROL MASTER'!#REF!)-1)))&amp;TRIM(MID(SUBSTITUTE(SUBSTITUTE(INDEX('CONTROL MASTER'!$N$2:$N$495,(SUMPRODUCT((('CONTROL MASTER'!$S$2:$S$495=6)*('CONTROL MASTER'!$Z$2:$Z$495&lt;=5)*('CONTROL MASTER'!$AB$2:$AB$495&gt;=5)*('CONTROL MASTER'!$AA$2:$AA$495&lt;=2)*('CONTROL MASTER'!$AC$2:$AC$495&gt;=2))*ROW('CONTROL MASTER'!$S$2:$S$495))-(ROW('CONTROL MASTER'!#REF!)-1))),":",","),",",REPT(" ",50)),(((INDEX('CONTROL MASTER'!$Y$2:$Y$495,(SUMPRODUCT((('CONTROL MASTER'!$S$2:$S$495=6)*('CONTROL MASTER'!$Z$2:$Z$495&lt;=5)*('CONTROL MASTER'!$AB$2:$AB$495&gt;=5)*('CONTROL MASTER'!$AA$2:$AA$495&lt;=2)*('CONTROL MASTER'!$AC$2:$AC$495&gt;=2))*ROW('CONTROL MASTER'!$S$2:$S$495))-(ROW('CONTROL MASTER'!#REF!)-1)))+((5-INDEX('CONTROL MASTER'!$Z$2:$Z$495,(SUMPRODUCT((('CONTROL MASTER'!$S$2:$S$495=6)*('CONTROL MASTER'!$Z$2:$Z$495&lt;=5)*('CONTROL MASTER'!$AB$2:$AB$495&gt;=5)*('CONTROL MASTER'!$AA$2:$AA$495&lt;=2)*('CONTROL MASTER'!$AC$2:$AC$495&gt;=2))*ROW('CONTROL MASTER'!$S$2:$S$495))-(ROW('CONTROL MASTER'!#REF!)-1))))*(INDEX('CONTROL MASTER'!$AC$2:$AC$495,(SUMPRODUCT((('CONTROL MASTER'!$S$2:$S$495=6)*('CONTROL MASTER'!$Z$2:$Z$495&lt;=5)*('CONTROL MASTER'!$AB$2:$AB$495&gt;=5)*('CONTROL MASTER'!$AA$2:$AA$495&lt;=2)*('CONTROL MASTER'!$AC$2:$AC$495&gt;=2))*ROW('CONTROL MASTER'!$S$2:$S$495))-(ROW('CONTROL MASTER'!#REF!)-1)))-INDEX('CONTROL MASTER'!$AA$2:$AA$495,(SUMPRODUCT((('CONTROL MASTER'!$S$2:$S$495=6)*('CONTROL MASTER'!$Z$2:$Z$495&lt;=5)*('CONTROL MASTER'!$AB$2:$AB$495&gt;=5)*('CONTROL MASTER'!$AA$2:$AA$495&lt;=2)*('CONTROL MASTER'!$AC$2:$AC$495&gt;=2))*ROW('CONTROL MASTER'!$S$2:$S$495))-(ROW('CONTROL MASTER'!#REF!)-1)))+1)+(2-INDEX('CONTROL MASTER'!$AA$2:$AA$495,(SUMPRODUCT((('CONTROL MASTER'!$S$2:$S$495=6)*('CONTROL MASTER'!$Z$2:$Z$495&lt;=5)*('CONTROL MASTER'!$AB$2:$AB$495&gt;=5)*('CONTROL MASTER'!$AA$2:$AA$495&lt;=2)*('CONTROL MASTER'!$AC$2:$AC$495&gt;=2))*ROW('CONTROL MASTER'!$S$2:$S$495))-(ROW('CONTROL MASTER'!#REF!)-1))))+1)))-1)*50+1,50))&amp;"_"&amp;INDEX('CONTROL MASTER'!$P$2:$P$495,(SUMPRODUCT((('CONTROL MASTER'!$S$2:$S$495=6)*('CONTROL MASTER'!$Z$2:$Z$495&lt;=5)*('CONTROL MASTER'!$AB$2:$AB$495&gt;=5)*('CONTROL MASTER'!$AA$2:$AA$495&lt;=2)*('CONTROL MASTER'!$AC$2:$AC$495&gt;=2))*ROW('CONTROL MASTER'!$S$2:$S$495))-(ROW('CONTROL MASTER'!#REF!)-1))),"")),"")</f>
        <v/>
      </c>
      <c r="D77" s="10" t="str">
        <f>IFERROR(IF(SUMPRODUCT((('CONTROL MASTER'!$S$2:$S$495=6)*('CONTROL MASTER'!$T$2:$T$495&lt;=5)*('CONTROL MASTER'!$V$2:$V$495&gt;=5)*('CONTROL MASTER'!$U$2:$U$495&lt;=3)*('CONTROL MASTER'!$W$2:$W$495&gt;=3))*ROW('CONTROL MASTER'!$S$2:$S$495))&gt;0,INDEX('CONTROL MASTER'!$X$2:$X$495,(SUMPRODUCT((('CONTROL MASTER'!$S$2:$S$495=6)*('CONTROL MASTER'!$T$2:$T$495&lt;=5)*('CONTROL MASTER'!$V$2:$V$495&gt;=5)*('CONTROL MASTER'!$U$2:$U$495&lt;=3)*('CONTROL MASTER'!$W$2:$W$495&gt;=3))*ROW('CONTROL MASTER'!$S$2:$S$495))-(ROW('CONTROL MASTER'!#REF!)-1)))&amp;TRIM(MID(SUBSTITUTE(SUBSTITUTE(INDEX('CONTROL MASTER'!$N$2:$N$495,(SUMPRODUCT((('CONTROL MASTER'!$S$2:$S$495=6)*('CONTROL MASTER'!$T$2:$T$495&lt;=5)*('CONTROL MASTER'!$V$2:$V$495&gt;=5)*('CONTROL MASTER'!$U$2:$U$495&lt;=3)*('CONTROL MASTER'!$W$2:$W$495&gt;=3))*ROW('CONTROL MASTER'!$S$2:$S$495))-(ROW('CONTROL MASTER'!#REF!)-1))),":",","),",",REPT(" ",50)),((((5-INDEX('CONTROL MASTER'!$T$2:$T$495,(SUMPRODUCT((('CONTROL MASTER'!$S$2:$S$495=6)*('CONTROL MASTER'!$T$2:$T$495&lt;=5)*('CONTROL MASTER'!$V$2:$V$495&gt;=5)*('CONTROL MASTER'!$U$2:$U$495&lt;=3)*('CONTROL MASTER'!$W$2:$W$495&gt;=3))*ROW('CONTROL MASTER'!$S$2:$S$495))-(ROW('CONTROL MASTER'!#REF!)-1))))*(INDEX('CONTROL MASTER'!$W$2:$W$495,(SUMPRODUCT((('CONTROL MASTER'!$S$2:$S$495=6)*('CONTROL MASTER'!$T$2:$T$495&lt;=5)*('CONTROL MASTER'!$V$2:$V$495&gt;=5)*('CONTROL MASTER'!$U$2:$U$495&lt;=3)*('CONTROL MASTER'!$W$2:$W$495&gt;=3))*ROW('CONTROL MASTER'!$S$2:$S$495))-(ROW('CONTROL MASTER'!#REF!)-1)))-INDEX('CONTROL MASTER'!$U$2:$U$495,(SUMPRODUCT((('CONTROL MASTER'!$S$2:$S$495=6)*('CONTROL MASTER'!$T$2:$T$495&lt;=5)*('CONTROL MASTER'!$V$2:$V$495&gt;=5)*('CONTROL MASTER'!$U$2:$U$495&lt;=3)*('CONTROL MASTER'!$W$2:$W$495&gt;=3))*ROW('CONTROL MASTER'!$S$2:$S$495))-(ROW('CONTROL MASTER'!#REF!)-1)))+1)+(3-INDEX('CONTROL MASTER'!$U$2:$U$495,(SUMPRODUCT((('CONTROL MASTER'!$S$2:$S$495=6)*('CONTROL MASTER'!$T$2:$T$495&lt;=5)*('CONTROL MASTER'!$V$2:$V$495&gt;=5)*('CONTROL MASTER'!$U$2:$U$495&lt;=3)*('CONTROL MASTER'!$W$2:$W$495&gt;=3))*ROW('CONTROL MASTER'!$S$2:$S$495))-(ROW('CONTROL MASTER'!#REF!)-1))))+1))-1)*50+1,50))&amp;"_"&amp;INDEX('CONTROL MASTER'!$P$2:$P$495,(SUMPRODUCT((('CONTROL MASTER'!$S$2:$S$495=6)*('CONTROL MASTER'!$T$2:$T$495&lt;=5)*('CONTROL MASTER'!$V$2:$V$495&gt;=5)*('CONTROL MASTER'!$U$2:$U$495&lt;=3)*('CONTROL MASTER'!$W$2:$W$495&gt;=3))*ROW('CONTROL MASTER'!$S$2:$S$495))-(ROW('CONTROL MASTER'!#REF!)-1))),IF(SUMPRODUCT((('CONTROL MASTER'!$S$2:$S$495=6)*('CONTROL MASTER'!$Z$2:$Z$495&lt;=5)*('CONTROL MASTER'!$AB$2:$AB$495&gt;=5)*('CONTROL MASTER'!$AA$2:$AA$495&lt;=3)*('CONTROL MASTER'!$AC$2:$AC$495&gt;=3))*ROW('CONTROL MASTER'!$S$2:$S$495))&gt;0,INDEX('CONTROL MASTER'!$X$2:$X$495,(SUMPRODUCT((('CONTROL MASTER'!$S$2:$S$495=6)*('CONTROL MASTER'!$Z$2:$Z$495&lt;=5)*('CONTROL MASTER'!$AB$2:$AB$495&gt;=5)*('CONTROL MASTER'!$AA$2:$AA$495&lt;=3)*('CONTROL MASTER'!$AC$2:$AC$495&gt;=3))*ROW('CONTROL MASTER'!$S$2:$S$495))-(ROW('CONTROL MASTER'!#REF!)-1)))&amp;TRIM(MID(SUBSTITUTE(SUBSTITUTE(INDEX('CONTROL MASTER'!$N$2:$N$495,(SUMPRODUCT((('CONTROL MASTER'!$S$2:$S$495=6)*('CONTROL MASTER'!$Z$2:$Z$495&lt;=5)*('CONTROL MASTER'!$AB$2:$AB$495&gt;=5)*('CONTROL MASTER'!$AA$2:$AA$495&lt;=3)*('CONTROL MASTER'!$AC$2:$AC$495&gt;=3))*ROW('CONTROL MASTER'!$S$2:$S$495))-(ROW('CONTROL MASTER'!#REF!)-1))),":",","),",",REPT(" ",50)),(((INDEX('CONTROL MASTER'!$Y$2:$Y$495,(SUMPRODUCT((('CONTROL MASTER'!$S$2:$S$495=6)*('CONTROL MASTER'!$Z$2:$Z$495&lt;=5)*('CONTROL MASTER'!$AB$2:$AB$495&gt;=5)*('CONTROL MASTER'!$AA$2:$AA$495&lt;=3)*('CONTROL MASTER'!$AC$2:$AC$495&gt;=3))*ROW('CONTROL MASTER'!$S$2:$S$495))-(ROW('CONTROL MASTER'!#REF!)-1)))+((5-INDEX('CONTROL MASTER'!$Z$2:$Z$495,(SUMPRODUCT((('CONTROL MASTER'!$S$2:$S$495=6)*('CONTROL MASTER'!$Z$2:$Z$495&lt;=5)*('CONTROL MASTER'!$AB$2:$AB$495&gt;=5)*('CONTROL MASTER'!$AA$2:$AA$495&lt;=3)*('CONTROL MASTER'!$AC$2:$AC$495&gt;=3))*ROW('CONTROL MASTER'!$S$2:$S$495))-(ROW('CONTROL MASTER'!#REF!)-1))))*(INDEX('CONTROL MASTER'!$AC$2:$AC$495,(SUMPRODUCT((('CONTROL MASTER'!$S$2:$S$495=6)*('CONTROL MASTER'!$Z$2:$Z$495&lt;=5)*('CONTROL MASTER'!$AB$2:$AB$495&gt;=5)*('CONTROL MASTER'!$AA$2:$AA$495&lt;=3)*('CONTROL MASTER'!$AC$2:$AC$495&gt;=3))*ROW('CONTROL MASTER'!$S$2:$S$495))-(ROW('CONTROL MASTER'!#REF!)-1)))-INDEX('CONTROL MASTER'!$AA$2:$AA$495,(SUMPRODUCT((('CONTROL MASTER'!$S$2:$S$495=6)*('CONTROL MASTER'!$Z$2:$Z$495&lt;=5)*('CONTROL MASTER'!$AB$2:$AB$495&gt;=5)*('CONTROL MASTER'!$AA$2:$AA$495&lt;=3)*('CONTROL MASTER'!$AC$2:$AC$495&gt;=3))*ROW('CONTROL MASTER'!$S$2:$S$495))-(ROW('CONTROL MASTER'!#REF!)-1)))+1)+(3-INDEX('CONTROL MASTER'!$AA$2:$AA$495,(SUMPRODUCT((('CONTROL MASTER'!$S$2:$S$495=6)*('CONTROL MASTER'!$Z$2:$Z$495&lt;=5)*('CONTROL MASTER'!$AB$2:$AB$495&gt;=5)*('CONTROL MASTER'!$AA$2:$AA$495&lt;=3)*('CONTROL MASTER'!$AC$2:$AC$495&gt;=3))*ROW('CONTROL MASTER'!$S$2:$S$495))-(ROW('CONTROL MASTER'!#REF!)-1))))+1)))-1)*50+1,50))&amp;"_"&amp;INDEX('CONTROL MASTER'!$P$2:$P$495,(SUMPRODUCT((('CONTROL MASTER'!$S$2:$S$495=6)*('CONTROL MASTER'!$Z$2:$Z$495&lt;=5)*('CONTROL MASTER'!$AB$2:$AB$495&gt;=5)*('CONTROL MASTER'!$AA$2:$AA$495&lt;=3)*('CONTROL MASTER'!$AC$2:$AC$495&gt;=3))*ROW('CONTROL MASTER'!$S$2:$S$495))-(ROW('CONTROL MASTER'!#REF!)-1))),"")),"")</f>
        <v/>
      </c>
      <c r="E77" s="10" t="str">
        <f>IFERROR(IF(SUMPRODUCT((('CONTROL MASTER'!$S$2:$S$495=6)*('CONTROL MASTER'!$T$2:$T$495&lt;=5)*('CONTROL MASTER'!$V$2:$V$495&gt;=5)*('CONTROL MASTER'!$U$2:$U$495&lt;=4)*('CONTROL MASTER'!$W$2:$W$495&gt;=4))*ROW('CONTROL MASTER'!$S$2:$S$495))&gt;0,INDEX('CONTROL MASTER'!$X$2:$X$495,(SUMPRODUCT((('CONTROL MASTER'!$S$2:$S$495=6)*('CONTROL MASTER'!$T$2:$T$495&lt;=5)*('CONTROL MASTER'!$V$2:$V$495&gt;=5)*('CONTROL MASTER'!$U$2:$U$495&lt;=4)*('CONTROL MASTER'!$W$2:$W$495&gt;=4))*ROW('CONTROL MASTER'!$S$2:$S$495))-(ROW('CONTROL MASTER'!#REF!)-1)))&amp;TRIM(MID(SUBSTITUTE(SUBSTITUTE(INDEX('CONTROL MASTER'!$N$2:$N$495,(SUMPRODUCT((('CONTROL MASTER'!$S$2:$S$495=6)*('CONTROL MASTER'!$T$2:$T$495&lt;=5)*('CONTROL MASTER'!$V$2:$V$495&gt;=5)*('CONTROL MASTER'!$U$2:$U$495&lt;=4)*('CONTROL MASTER'!$W$2:$W$495&gt;=4))*ROW('CONTROL MASTER'!$S$2:$S$495))-(ROW('CONTROL MASTER'!#REF!)-1))),":",","),",",REPT(" ",50)),((((5-INDEX('CONTROL MASTER'!$T$2:$T$495,(SUMPRODUCT((('CONTROL MASTER'!$S$2:$S$495=6)*('CONTROL MASTER'!$T$2:$T$495&lt;=5)*('CONTROL MASTER'!$V$2:$V$495&gt;=5)*('CONTROL MASTER'!$U$2:$U$495&lt;=4)*('CONTROL MASTER'!$W$2:$W$495&gt;=4))*ROW('CONTROL MASTER'!$S$2:$S$495))-(ROW('CONTROL MASTER'!#REF!)-1))))*(INDEX('CONTROL MASTER'!$W$2:$W$495,(SUMPRODUCT((('CONTROL MASTER'!$S$2:$S$495=6)*('CONTROL MASTER'!$T$2:$T$495&lt;=5)*('CONTROL MASTER'!$V$2:$V$495&gt;=5)*('CONTROL MASTER'!$U$2:$U$495&lt;=4)*('CONTROL MASTER'!$W$2:$W$495&gt;=4))*ROW('CONTROL MASTER'!$S$2:$S$495))-(ROW('CONTROL MASTER'!#REF!)-1)))-INDEX('CONTROL MASTER'!$U$2:$U$495,(SUMPRODUCT((('CONTROL MASTER'!$S$2:$S$495=6)*('CONTROL MASTER'!$T$2:$T$495&lt;=5)*('CONTROL MASTER'!$V$2:$V$495&gt;=5)*('CONTROL MASTER'!$U$2:$U$495&lt;=4)*('CONTROL MASTER'!$W$2:$W$495&gt;=4))*ROW('CONTROL MASTER'!$S$2:$S$495))-(ROW('CONTROL MASTER'!#REF!)-1)))+1)+(4-INDEX('CONTROL MASTER'!$U$2:$U$495,(SUMPRODUCT((('CONTROL MASTER'!$S$2:$S$495=6)*('CONTROL MASTER'!$T$2:$T$495&lt;=5)*('CONTROL MASTER'!$V$2:$V$495&gt;=5)*('CONTROL MASTER'!$U$2:$U$495&lt;=4)*('CONTROL MASTER'!$W$2:$W$495&gt;=4))*ROW('CONTROL MASTER'!$S$2:$S$495))-(ROW('CONTROL MASTER'!#REF!)-1))))+1))-1)*50+1,50))&amp;"_"&amp;INDEX('CONTROL MASTER'!$P$2:$P$495,(SUMPRODUCT((('CONTROL MASTER'!$S$2:$S$495=6)*('CONTROL MASTER'!$T$2:$T$495&lt;=5)*('CONTROL MASTER'!$V$2:$V$495&gt;=5)*('CONTROL MASTER'!$U$2:$U$495&lt;=4)*('CONTROL MASTER'!$W$2:$W$495&gt;=4))*ROW('CONTROL MASTER'!$S$2:$S$495))-(ROW('CONTROL MASTER'!#REF!)-1))),IF(SUMPRODUCT((('CONTROL MASTER'!$S$2:$S$495=6)*('CONTROL MASTER'!$Z$2:$Z$495&lt;=5)*('CONTROL MASTER'!$AB$2:$AB$495&gt;=5)*('CONTROL MASTER'!$AA$2:$AA$495&lt;=4)*('CONTROL MASTER'!$AC$2:$AC$495&gt;=4))*ROW('CONTROL MASTER'!$S$2:$S$495))&gt;0,INDEX('CONTROL MASTER'!$X$2:$X$495,(SUMPRODUCT((('CONTROL MASTER'!$S$2:$S$495=6)*('CONTROL MASTER'!$Z$2:$Z$495&lt;=5)*('CONTROL MASTER'!$AB$2:$AB$495&gt;=5)*('CONTROL MASTER'!$AA$2:$AA$495&lt;=4)*('CONTROL MASTER'!$AC$2:$AC$495&gt;=4))*ROW('CONTROL MASTER'!$S$2:$S$495))-(ROW('CONTROL MASTER'!#REF!)-1)))&amp;TRIM(MID(SUBSTITUTE(SUBSTITUTE(INDEX('CONTROL MASTER'!$N$2:$N$495,(SUMPRODUCT((('CONTROL MASTER'!$S$2:$S$495=6)*('CONTROL MASTER'!$Z$2:$Z$495&lt;=5)*('CONTROL MASTER'!$AB$2:$AB$495&gt;=5)*('CONTROL MASTER'!$AA$2:$AA$495&lt;=4)*('CONTROL MASTER'!$AC$2:$AC$495&gt;=4))*ROW('CONTROL MASTER'!$S$2:$S$495))-(ROW('CONTROL MASTER'!#REF!)-1))),":",","),",",REPT(" ",50)),(((INDEX('CONTROL MASTER'!$Y$2:$Y$495,(SUMPRODUCT((('CONTROL MASTER'!$S$2:$S$495=6)*('CONTROL MASTER'!$Z$2:$Z$495&lt;=5)*('CONTROL MASTER'!$AB$2:$AB$495&gt;=5)*('CONTROL MASTER'!$AA$2:$AA$495&lt;=4)*('CONTROL MASTER'!$AC$2:$AC$495&gt;=4))*ROW('CONTROL MASTER'!$S$2:$S$495))-(ROW('CONTROL MASTER'!#REF!)-1)))+((5-INDEX('CONTROL MASTER'!$Z$2:$Z$495,(SUMPRODUCT((('CONTROL MASTER'!$S$2:$S$495=6)*('CONTROL MASTER'!$Z$2:$Z$495&lt;=5)*('CONTROL MASTER'!$AB$2:$AB$495&gt;=5)*('CONTROL MASTER'!$AA$2:$AA$495&lt;=4)*('CONTROL MASTER'!$AC$2:$AC$495&gt;=4))*ROW('CONTROL MASTER'!$S$2:$S$495))-(ROW('CONTROL MASTER'!#REF!)-1))))*(INDEX('CONTROL MASTER'!$AC$2:$AC$495,(SUMPRODUCT((('CONTROL MASTER'!$S$2:$S$495=6)*('CONTROL MASTER'!$Z$2:$Z$495&lt;=5)*('CONTROL MASTER'!$AB$2:$AB$495&gt;=5)*('CONTROL MASTER'!$AA$2:$AA$495&lt;=4)*('CONTROL MASTER'!$AC$2:$AC$495&gt;=4))*ROW('CONTROL MASTER'!$S$2:$S$495))-(ROW('CONTROL MASTER'!#REF!)-1)))-INDEX('CONTROL MASTER'!$AA$2:$AA$495,(SUMPRODUCT((('CONTROL MASTER'!$S$2:$S$495=6)*('CONTROL MASTER'!$Z$2:$Z$495&lt;=5)*('CONTROL MASTER'!$AB$2:$AB$495&gt;=5)*('CONTROL MASTER'!$AA$2:$AA$495&lt;=4)*('CONTROL MASTER'!$AC$2:$AC$495&gt;=4))*ROW('CONTROL MASTER'!$S$2:$S$495))-(ROW('CONTROL MASTER'!#REF!)-1)))+1)+(4-INDEX('CONTROL MASTER'!$AA$2:$AA$495,(SUMPRODUCT((('CONTROL MASTER'!$S$2:$S$495=6)*('CONTROL MASTER'!$Z$2:$Z$495&lt;=5)*('CONTROL MASTER'!$AB$2:$AB$495&gt;=5)*('CONTROL MASTER'!$AA$2:$AA$495&lt;=4)*('CONTROL MASTER'!$AC$2:$AC$495&gt;=4))*ROW('CONTROL MASTER'!$S$2:$S$495))-(ROW('CONTROL MASTER'!#REF!)-1))))+1)))-1)*50+1,50))&amp;"_"&amp;INDEX('CONTROL MASTER'!$P$2:$P$495,(SUMPRODUCT((('CONTROL MASTER'!$S$2:$S$495=6)*('CONTROL MASTER'!$Z$2:$Z$495&lt;=5)*('CONTROL MASTER'!$AB$2:$AB$495&gt;=5)*('CONTROL MASTER'!$AA$2:$AA$495&lt;=4)*('CONTROL MASTER'!$AC$2:$AC$495&gt;=4))*ROW('CONTROL MASTER'!$S$2:$S$495))-(ROW('CONTROL MASTER'!#REF!)-1))),"")),"")</f>
        <v/>
      </c>
      <c r="F77" s="10" t="str">
        <f>IFERROR(IF(SUMPRODUCT((('CONTROL MASTER'!$S$2:$S$495=6)*('CONTROL MASTER'!$T$2:$T$495&lt;=5)*('CONTROL MASTER'!$V$2:$V$495&gt;=5)*('CONTROL MASTER'!$U$2:$U$495&lt;=5)*('CONTROL MASTER'!$W$2:$W$495&gt;=5))*ROW('CONTROL MASTER'!$S$2:$S$495))&gt;0,INDEX('CONTROL MASTER'!$X$2:$X$495,(SUMPRODUCT((('CONTROL MASTER'!$S$2:$S$495=6)*('CONTROL MASTER'!$T$2:$T$495&lt;=5)*('CONTROL MASTER'!$V$2:$V$495&gt;=5)*('CONTROL MASTER'!$U$2:$U$495&lt;=5)*('CONTROL MASTER'!$W$2:$W$495&gt;=5))*ROW('CONTROL MASTER'!$S$2:$S$495))-(ROW('CONTROL MASTER'!#REF!)-1)))&amp;TRIM(MID(SUBSTITUTE(SUBSTITUTE(INDEX('CONTROL MASTER'!$N$2:$N$495,(SUMPRODUCT((('CONTROL MASTER'!$S$2:$S$495=6)*('CONTROL MASTER'!$T$2:$T$495&lt;=5)*('CONTROL MASTER'!$V$2:$V$495&gt;=5)*('CONTROL MASTER'!$U$2:$U$495&lt;=5)*('CONTROL MASTER'!$W$2:$W$495&gt;=5))*ROW('CONTROL MASTER'!$S$2:$S$495))-(ROW('CONTROL MASTER'!#REF!)-1))),":",","),",",REPT(" ",50)),((((5-INDEX('CONTROL MASTER'!$T$2:$T$495,(SUMPRODUCT((('CONTROL MASTER'!$S$2:$S$495=6)*('CONTROL MASTER'!$T$2:$T$495&lt;=5)*('CONTROL MASTER'!$V$2:$V$495&gt;=5)*('CONTROL MASTER'!$U$2:$U$495&lt;=5)*('CONTROL MASTER'!$W$2:$W$495&gt;=5))*ROW('CONTROL MASTER'!$S$2:$S$495))-(ROW('CONTROL MASTER'!#REF!)-1))))*(INDEX('CONTROL MASTER'!$W$2:$W$495,(SUMPRODUCT((('CONTROL MASTER'!$S$2:$S$495=6)*('CONTROL MASTER'!$T$2:$T$495&lt;=5)*('CONTROL MASTER'!$V$2:$V$495&gt;=5)*('CONTROL MASTER'!$U$2:$U$495&lt;=5)*('CONTROL MASTER'!$W$2:$W$495&gt;=5))*ROW('CONTROL MASTER'!$S$2:$S$495))-(ROW('CONTROL MASTER'!#REF!)-1)))-INDEX('CONTROL MASTER'!$U$2:$U$495,(SUMPRODUCT((('CONTROL MASTER'!$S$2:$S$495=6)*('CONTROL MASTER'!$T$2:$T$495&lt;=5)*('CONTROL MASTER'!$V$2:$V$495&gt;=5)*('CONTROL MASTER'!$U$2:$U$495&lt;=5)*('CONTROL MASTER'!$W$2:$W$495&gt;=5))*ROW('CONTROL MASTER'!$S$2:$S$495))-(ROW('CONTROL MASTER'!#REF!)-1)))+1)+(5-INDEX('CONTROL MASTER'!$U$2:$U$495,(SUMPRODUCT((('CONTROL MASTER'!$S$2:$S$495=6)*('CONTROL MASTER'!$T$2:$T$495&lt;=5)*('CONTROL MASTER'!$V$2:$V$495&gt;=5)*('CONTROL MASTER'!$U$2:$U$495&lt;=5)*('CONTROL MASTER'!$W$2:$W$495&gt;=5))*ROW('CONTROL MASTER'!$S$2:$S$495))-(ROW('CONTROL MASTER'!#REF!)-1))))+1))-1)*50+1,50))&amp;"_"&amp;INDEX('CONTROL MASTER'!$P$2:$P$495,(SUMPRODUCT((('CONTROL MASTER'!$S$2:$S$495=6)*('CONTROL MASTER'!$T$2:$T$495&lt;=5)*('CONTROL MASTER'!$V$2:$V$495&gt;=5)*('CONTROL MASTER'!$U$2:$U$495&lt;=5)*('CONTROL MASTER'!$W$2:$W$495&gt;=5))*ROW('CONTROL MASTER'!$S$2:$S$495))-(ROW('CONTROL MASTER'!#REF!)-1))),IF(SUMPRODUCT((('CONTROL MASTER'!$S$2:$S$495=6)*('CONTROL MASTER'!$Z$2:$Z$495&lt;=5)*('CONTROL MASTER'!$AB$2:$AB$495&gt;=5)*('CONTROL MASTER'!$AA$2:$AA$495&lt;=5)*('CONTROL MASTER'!$AC$2:$AC$495&gt;=5))*ROW('CONTROL MASTER'!$S$2:$S$495))&gt;0,INDEX('CONTROL MASTER'!$X$2:$X$495,(SUMPRODUCT((('CONTROL MASTER'!$S$2:$S$495=6)*('CONTROL MASTER'!$Z$2:$Z$495&lt;=5)*('CONTROL MASTER'!$AB$2:$AB$495&gt;=5)*('CONTROL MASTER'!$AA$2:$AA$495&lt;=5)*('CONTROL MASTER'!$AC$2:$AC$495&gt;=5))*ROW('CONTROL MASTER'!$S$2:$S$495))-(ROW('CONTROL MASTER'!#REF!)-1)))&amp;TRIM(MID(SUBSTITUTE(SUBSTITUTE(INDEX('CONTROL MASTER'!$N$2:$N$495,(SUMPRODUCT((('CONTROL MASTER'!$S$2:$S$495=6)*('CONTROL MASTER'!$Z$2:$Z$495&lt;=5)*('CONTROL MASTER'!$AB$2:$AB$495&gt;=5)*('CONTROL MASTER'!$AA$2:$AA$495&lt;=5)*('CONTROL MASTER'!$AC$2:$AC$495&gt;=5))*ROW('CONTROL MASTER'!$S$2:$S$495))-(ROW('CONTROL MASTER'!#REF!)-1))),":",","),",",REPT(" ",50)),(((INDEX('CONTROL MASTER'!$Y$2:$Y$495,(SUMPRODUCT((('CONTROL MASTER'!$S$2:$S$495=6)*('CONTROL MASTER'!$Z$2:$Z$495&lt;=5)*('CONTROL MASTER'!$AB$2:$AB$495&gt;=5)*('CONTROL MASTER'!$AA$2:$AA$495&lt;=5)*('CONTROL MASTER'!$AC$2:$AC$495&gt;=5))*ROW('CONTROL MASTER'!$S$2:$S$495))-(ROW('CONTROL MASTER'!#REF!)-1)))+((5-INDEX('CONTROL MASTER'!$Z$2:$Z$495,(SUMPRODUCT((('CONTROL MASTER'!$S$2:$S$495=6)*('CONTROL MASTER'!$Z$2:$Z$495&lt;=5)*('CONTROL MASTER'!$AB$2:$AB$495&gt;=5)*('CONTROL MASTER'!$AA$2:$AA$495&lt;=5)*('CONTROL MASTER'!$AC$2:$AC$495&gt;=5))*ROW('CONTROL MASTER'!$S$2:$S$495))-(ROW('CONTROL MASTER'!#REF!)-1))))*(INDEX('CONTROL MASTER'!$AC$2:$AC$495,(SUMPRODUCT((('CONTROL MASTER'!$S$2:$S$495=6)*('CONTROL MASTER'!$Z$2:$Z$495&lt;=5)*('CONTROL MASTER'!$AB$2:$AB$495&gt;=5)*('CONTROL MASTER'!$AA$2:$AA$495&lt;=5)*('CONTROL MASTER'!$AC$2:$AC$495&gt;=5))*ROW('CONTROL MASTER'!$S$2:$S$495))-(ROW('CONTROL MASTER'!#REF!)-1)))-INDEX('CONTROL MASTER'!$AA$2:$AA$495,(SUMPRODUCT((('CONTROL MASTER'!$S$2:$S$495=6)*('CONTROL MASTER'!$Z$2:$Z$495&lt;=5)*('CONTROL MASTER'!$AB$2:$AB$495&gt;=5)*('CONTROL MASTER'!$AA$2:$AA$495&lt;=5)*('CONTROL MASTER'!$AC$2:$AC$495&gt;=5))*ROW('CONTROL MASTER'!$S$2:$S$495))-(ROW('CONTROL MASTER'!#REF!)-1)))+1)+(5-INDEX('CONTROL MASTER'!$AA$2:$AA$495,(SUMPRODUCT((('CONTROL MASTER'!$S$2:$S$495=6)*('CONTROL MASTER'!$Z$2:$Z$495&lt;=5)*('CONTROL MASTER'!$AB$2:$AB$495&gt;=5)*('CONTROL MASTER'!$AA$2:$AA$495&lt;=5)*('CONTROL MASTER'!$AC$2:$AC$495&gt;=5))*ROW('CONTROL MASTER'!$S$2:$S$495))-(ROW('CONTROL MASTER'!#REF!)-1))))+1)))-1)*50+1,50))&amp;"_"&amp;INDEX('CONTROL MASTER'!$P$2:$P$495,(SUMPRODUCT((('CONTROL MASTER'!$S$2:$S$495=6)*('CONTROL MASTER'!$Z$2:$Z$495&lt;=5)*('CONTROL MASTER'!$AB$2:$AB$495&gt;=5)*('CONTROL MASTER'!$AA$2:$AA$495&lt;=5)*('CONTROL MASTER'!$AC$2:$AC$495&gt;=5))*ROW('CONTROL MASTER'!$S$2:$S$495))-(ROW('CONTROL MASTER'!#REF!)-1))),"")),"")</f>
        <v/>
      </c>
      <c r="G77" s="10" t="str">
        <f>IFERROR(IF(SUMPRODUCT((('CONTROL MASTER'!$S$2:$S$495=6)*('CONTROL MASTER'!$T$2:$T$495&lt;=5)*('CONTROL MASTER'!$V$2:$V$495&gt;=5)*('CONTROL MASTER'!$U$2:$U$495&lt;=6)*('CONTROL MASTER'!$W$2:$W$495&gt;=6))*ROW('CONTROL MASTER'!$S$2:$S$495))&gt;0,INDEX('CONTROL MASTER'!$X$2:$X$495,(SUMPRODUCT((('CONTROL MASTER'!$S$2:$S$495=6)*('CONTROL MASTER'!$T$2:$T$495&lt;=5)*('CONTROL MASTER'!$V$2:$V$495&gt;=5)*('CONTROL MASTER'!$U$2:$U$495&lt;=6)*('CONTROL MASTER'!$W$2:$W$495&gt;=6))*ROW('CONTROL MASTER'!$S$2:$S$495))-(ROW('CONTROL MASTER'!#REF!)-1)))&amp;TRIM(MID(SUBSTITUTE(SUBSTITUTE(INDEX('CONTROL MASTER'!$N$2:$N$495,(SUMPRODUCT((('CONTROL MASTER'!$S$2:$S$495=6)*('CONTROL MASTER'!$T$2:$T$495&lt;=5)*('CONTROL MASTER'!$V$2:$V$495&gt;=5)*('CONTROL MASTER'!$U$2:$U$495&lt;=6)*('CONTROL MASTER'!$W$2:$W$495&gt;=6))*ROW('CONTROL MASTER'!$S$2:$S$495))-(ROW('CONTROL MASTER'!#REF!)-1))),":",","),",",REPT(" ",50)),((((5-INDEX('CONTROL MASTER'!$T$2:$T$495,(SUMPRODUCT((('CONTROL MASTER'!$S$2:$S$495=6)*('CONTROL MASTER'!$T$2:$T$495&lt;=5)*('CONTROL MASTER'!$V$2:$V$495&gt;=5)*('CONTROL MASTER'!$U$2:$U$495&lt;=6)*('CONTROL MASTER'!$W$2:$W$495&gt;=6))*ROW('CONTROL MASTER'!$S$2:$S$495))-(ROW('CONTROL MASTER'!#REF!)-1))))*(INDEX('CONTROL MASTER'!$W$2:$W$495,(SUMPRODUCT((('CONTROL MASTER'!$S$2:$S$495=6)*('CONTROL MASTER'!$T$2:$T$495&lt;=5)*('CONTROL MASTER'!$V$2:$V$495&gt;=5)*('CONTROL MASTER'!$U$2:$U$495&lt;=6)*('CONTROL MASTER'!$W$2:$W$495&gt;=6))*ROW('CONTROL MASTER'!$S$2:$S$495))-(ROW('CONTROL MASTER'!#REF!)-1)))-INDEX('CONTROL MASTER'!$U$2:$U$495,(SUMPRODUCT((('CONTROL MASTER'!$S$2:$S$495=6)*('CONTROL MASTER'!$T$2:$T$495&lt;=5)*('CONTROL MASTER'!$V$2:$V$495&gt;=5)*('CONTROL MASTER'!$U$2:$U$495&lt;=6)*('CONTROL MASTER'!$W$2:$W$495&gt;=6))*ROW('CONTROL MASTER'!$S$2:$S$495))-(ROW('CONTROL MASTER'!#REF!)-1)))+1)+(6-INDEX('CONTROL MASTER'!$U$2:$U$495,(SUMPRODUCT((('CONTROL MASTER'!$S$2:$S$495=6)*('CONTROL MASTER'!$T$2:$T$495&lt;=5)*('CONTROL MASTER'!$V$2:$V$495&gt;=5)*('CONTROL MASTER'!$U$2:$U$495&lt;=6)*('CONTROL MASTER'!$W$2:$W$495&gt;=6))*ROW('CONTROL MASTER'!$S$2:$S$495))-(ROW('CONTROL MASTER'!#REF!)-1))))+1))-1)*50+1,50))&amp;"_"&amp;INDEX('CONTROL MASTER'!$P$2:$P$495,(SUMPRODUCT((('CONTROL MASTER'!$S$2:$S$495=6)*('CONTROL MASTER'!$T$2:$T$495&lt;=5)*('CONTROL MASTER'!$V$2:$V$495&gt;=5)*('CONTROL MASTER'!$U$2:$U$495&lt;=6)*('CONTROL MASTER'!$W$2:$W$495&gt;=6))*ROW('CONTROL MASTER'!$S$2:$S$495))-(ROW('CONTROL MASTER'!#REF!)-1))),IF(SUMPRODUCT((('CONTROL MASTER'!$S$2:$S$495=6)*('CONTROL MASTER'!$Z$2:$Z$495&lt;=5)*('CONTROL MASTER'!$AB$2:$AB$495&gt;=5)*('CONTROL MASTER'!$AA$2:$AA$495&lt;=6)*('CONTROL MASTER'!$AC$2:$AC$495&gt;=6))*ROW('CONTROL MASTER'!$S$2:$S$495))&gt;0,INDEX('CONTROL MASTER'!$X$2:$X$495,(SUMPRODUCT((('CONTROL MASTER'!$S$2:$S$495=6)*('CONTROL MASTER'!$Z$2:$Z$495&lt;=5)*('CONTROL MASTER'!$AB$2:$AB$495&gt;=5)*('CONTROL MASTER'!$AA$2:$AA$495&lt;=6)*('CONTROL MASTER'!$AC$2:$AC$495&gt;=6))*ROW('CONTROL MASTER'!$S$2:$S$495))-(ROW('CONTROL MASTER'!#REF!)-1)))&amp;TRIM(MID(SUBSTITUTE(SUBSTITUTE(INDEX('CONTROL MASTER'!$N$2:$N$495,(SUMPRODUCT((('CONTROL MASTER'!$S$2:$S$495=6)*('CONTROL MASTER'!$Z$2:$Z$495&lt;=5)*('CONTROL MASTER'!$AB$2:$AB$495&gt;=5)*('CONTROL MASTER'!$AA$2:$AA$495&lt;=6)*('CONTROL MASTER'!$AC$2:$AC$495&gt;=6))*ROW('CONTROL MASTER'!$S$2:$S$495))-(ROW('CONTROL MASTER'!#REF!)-1))),":",","),",",REPT(" ",50)),(((INDEX('CONTROL MASTER'!$Y$2:$Y$495,(SUMPRODUCT((('CONTROL MASTER'!$S$2:$S$495=6)*('CONTROL MASTER'!$Z$2:$Z$495&lt;=5)*('CONTROL MASTER'!$AB$2:$AB$495&gt;=5)*('CONTROL MASTER'!$AA$2:$AA$495&lt;=6)*('CONTROL MASTER'!$AC$2:$AC$495&gt;=6))*ROW('CONTROL MASTER'!$S$2:$S$495))-(ROW('CONTROL MASTER'!#REF!)-1)))+((5-INDEX('CONTROL MASTER'!$Z$2:$Z$495,(SUMPRODUCT((('CONTROL MASTER'!$S$2:$S$495=6)*('CONTROL MASTER'!$Z$2:$Z$495&lt;=5)*('CONTROL MASTER'!$AB$2:$AB$495&gt;=5)*('CONTROL MASTER'!$AA$2:$AA$495&lt;=6)*('CONTROL MASTER'!$AC$2:$AC$495&gt;=6))*ROW('CONTROL MASTER'!$S$2:$S$495))-(ROW('CONTROL MASTER'!#REF!)-1))))*(INDEX('CONTROL MASTER'!$AC$2:$AC$495,(SUMPRODUCT((('CONTROL MASTER'!$S$2:$S$495=6)*('CONTROL MASTER'!$Z$2:$Z$495&lt;=5)*('CONTROL MASTER'!$AB$2:$AB$495&gt;=5)*('CONTROL MASTER'!$AA$2:$AA$495&lt;=6)*('CONTROL MASTER'!$AC$2:$AC$495&gt;=6))*ROW('CONTROL MASTER'!$S$2:$S$495))-(ROW('CONTROL MASTER'!#REF!)-1)))-INDEX('CONTROL MASTER'!$AA$2:$AA$495,(SUMPRODUCT((('CONTROL MASTER'!$S$2:$S$495=6)*('CONTROL MASTER'!$Z$2:$Z$495&lt;=5)*('CONTROL MASTER'!$AB$2:$AB$495&gt;=5)*('CONTROL MASTER'!$AA$2:$AA$495&lt;=6)*('CONTROL MASTER'!$AC$2:$AC$495&gt;=6))*ROW('CONTROL MASTER'!$S$2:$S$495))-(ROW('CONTROL MASTER'!#REF!)-1)))+1)+(6-INDEX('CONTROL MASTER'!$AA$2:$AA$495,(SUMPRODUCT((('CONTROL MASTER'!$S$2:$S$495=6)*('CONTROL MASTER'!$Z$2:$Z$495&lt;=5)*('CONTROL MASTER'!$AB$2:$AB$495&gt;=5)*('CONTROL MASTER'!$AA$2:$AA$495&lt;=6)*('CONTROL MASTER'!$AC$2:$AC$495&gt;=6))*ROW('CONTROL MASTER'!$S$2:$S$495))-(ROW('CONTROL MASTER'!#REF!)-1))))+1)))-1)*50+1,50))&amp;"_"&amp;INDEX('CONTROL MASTER'!$P$2:$P$495,(SUMPRODUCT((('CONTROL MASTER'!$S$2:$S$495=6)*('CONTROL MASTER'!$Z$2:$Z$495&lt;=5)*('CONTROL MASTER'!$AB$2:$AB$495&gt;=5)*('CONTROL MASTER'!$AA$2:$AA$495&lt;=6)*('CONTROL MASTER'!$AC$2:$AC$495&gt;=6))*ROW('CONTROL MASTER'!$S$2:$S$495))-(ROW('CONTROL MASTER'!#REF!)-1))),"")),"")</f>
        <v/>
      </c>
      <c r="H77" s="10" t="str">
        <f>IFERROR(IF(SUMPRODUCT((('CONTROL MASTER'!$S$2:$S$495=6)*('CONTROL MASTER'!$T$2:$T$495&lt;=5)*('CONTROL MASTER'!$V$2:$V$495&gt;=5)*('CONTROL MASTER'!$U$2:$U$495&lt;=7)*('CONTROL MASTER'!$W$2:$W$495&gt;=7))*ROW('CONTROL MASTER'!$S$2:$S$495))&gt;0,INDEX('CONTROL MASTER'!$X$2:$X$495,(SUMPRODUCT((('CONTROL MASTER'!$S$2:$S$495=6)*('CONTROL MASTER'!$T$2:$T$495&lt;=5)*('CONTROL MASTER'!$V$2:$V$495&gt;=5)*('CONTROL MASTER'!$U$2:$U$495&lt;=7)*('CONTROL MASTER'!$W$2:$W$495&gt;=7))*ROW('CONTROL MASTER'!$S$2:$S$495))-(ROW('CONTROL MASTER'!#REF!)-1)))&amp;TRIM(MID(SUBSTITUTE(SUBSTITUTE(INDEX('CONTROL MASTER'!$N$2:$N$495,(SUMPRODUCT((('CONTROL MASTER'!$S$2:$S$495=6)*('CONTROL MASTER'!$T$2:$T$495&lt;=5)*('CONTROL MASTER'!$V$2:$V$495&gt;=5)*('CONTROL MASTER'!$U$2:$U$495&lt;=7)*('CONTROL MASTER'!$W$2:$W$495&gt;=7))*ROW('CONTROL MASTER'!$S$2:$S$495))-(ROW('CONTROL MASTER'!#REF!)-1))),":",","),",",REPT(" ",50)),((((5-INDEX('CONTROL MASTER'!$T$2:$T$495,(SUMPRODUCT((('CONTROL MASTER'!$S$2:$S$495=6)*('CONTROL MASTER'!$T$2:$T$495&lt;=5)*('CONTROL MASTER'!$V$2:$V$495&gt;=5)*('CONTROL MASTER'!$U$2:$U$495&lt;=7)*('CONTROL MASTER'!$W$2:$W$495&gt;=7))*ROW('CONTROL MASTER'!$S$2:$S$495))-(ROW('CONTROL MASTER'!#REF!)-1))))*(INDEX('CONTROL MASTER'!$W$2:$W$495,(SUMPRODUCT((('CONTROL MASTER'!$S$2:$S$495=6)*('CONTROL MASTER'!$T$2:$T$495&lt;=5)*('CONTROL MASTER'!$V$2:$V$495&gt;=5)*('CONTROL MASTER'!$U$2:$U$495&lt;=7)*('CONTROL MASTER'!$W$2:$W$495&gt;=7))*ROW('CONTROL MASTER'!$S$2:$S$495))-(ROW('CONTROL MASTER'!#REF!)-1)))-INDEX('CONTROL MASTER'!$U$2:$U$495,(SUMPRODUCT((('CONTROL MASTER'!$S$2:$S$495=6)*('CONTROL MASTER'!$T$2:$T$495&lt;=5)*('CONTROL MASTER'!$V$2:$V$495&gt;=5)*('CONTROL MASTER'!$U$2:$U$495&lt;=7)*('CONTROL MASTER'!$W$2:$W$495&gt;=7))*ROW('CONTROL MASTER'!$S$2:$S$495))-(ROW('CONTROL MASTER'!#REF!)-1)))+1)+(7-INDEX('CONTROL MASTER'!$U$2:$U$495,(SUMPRODUCT((('CONTROL MASTER'!$S$2:$S$495=6)*('CONTROL MASTER'!$T$2:$T$495&lt;=5)*('CONTROL MASTER'!$V$2:$V$495&gt;=5)*('CONTROL MASTER'!$U$2:$U$495&lt;=7)*('CONTROL MASTER'!$W$2:$W$495&gt;=7))*ROW('CONTROL MASTER'!$S$2:$S$495))-(ROW('CONTROL MASTER'!#REF!)-1))))+1))-1)*50+1,50))&amp;"_"&amp;INDEX('CONTROL MASTER'!$P$2:$P$495,(SUMPRODUCT((('CONTROL MASTER'!$S$2:$S$495=6)*('CONTROL MASTER'!$T$2:$T$495&lt;=5)*('CONTROL MASTER'!$V$2:$V$495&gt;=5)*('CONTROL MASTER'!$U$2:$U$495&lt;=7)*('CONTROL MASTER'!$W$2:$W$495&gt;=7))*ROW('CONTROL MASTER'!$S$2:$S$495))-(ROW('CONTROL MASTER'!#REF!)-1))),IF(SUMPRODUCT((('CONTROL MASTER'!$S$2:$S$495=6)*('CONTROL MASTER'!$Z$2:$Z$495&lt;=5)*('CONTROL MASTER'!$AB$2:$AB$495&gt;=5)*('CONTROL MASTER'!$AA$2:$AA$495&lt;=7)*('CONTROL MASTER'!$AC$2:$AC$495&gt;=7))*ROW('CONTROL MASTER'!$S$2:$S$495))&gt;0,INDEX('CONTROL MASTER'!$X$2:$X$495,(SUMPRODUCT((('CONTROL MASTER'!$S$2:$S$495=6)*('CONTROL MASTER'!$Z$2:$Z$495&lt;=5)*('CONTROL MASTER'!$AB$2:$AB$495&gt;=5)*('CONTROL MASTER'!$AA$2:$AA$495&lt;=7)*('CONTROL MASTER'!$AC$2:$AC$495&gt;=7))*ROW('CONTROL MASTER'!$S$2:$S$495))-(ROW('CONTROL MASTER'!#REF!)-1)))&amp;TRIM(MID(SUBSTITUTE(SUBSTITUTE(INDEX('CONTROL MASTER'!$N$2:$N$495,(SUMPRODUCT((('CONTROL MASTER'!$S$2:$S$495=6)*('CONTROL MASTER'!$Z$2:$Z$495&lt;=5)*('CONTROL MASTER'!$AB$2:$AB$495&gt;=5)*('CONTROL MASTER'!$AA$2:$AA$495&lt;=7)*('CONTROL MASTER'!$AC$2:$AC$495&gt;=7))*ROW('CONTROL MASTER'!$S$2:$S$495))-(ROW('CONTROL MASTER'!#REF!)-1))),":",","),",",REPT(" ",50)),(((INDEX('CONTROL MASTER'!$Y$2:$Y$495,(SUMPRODUCT((('CONTROL MASTER'!$S$2:$S$495=6)*('CONTROL MASTER'!$Z$2:$Z$495&lt;=5)*('CONTROL MASTER'!$AB$2:$AB$495&gt;=5)*('CONTROL MASTER'!$AA$2:$AA$495&lt;=7)*('CONTROL MASTER'!$AC$2:$AC$495&gt;=7))*ROW('CONTROL MASTER'!$S$2:$S$495))-(ROW('CONTROL MASTER'!#REF!)-1)))+((5-INDEX('CONTROL MASTER'!$Z$2:$Z$495,(SUMPRODUCT((('CONTROL MASTER'!$S$2:$S$495=6)*('CONTROL MASTER'!$Z$2:$Z$495&lt;=5)*('CONTROL MASTER'!$AB$2:$AB$495&gt;=5)*('CONTROL MASTER'!$AA$2:$AA$495&lt;=7)*('CONTROL MASTER'!$AC$2:$AC$495&gt;=7))*ROW('CONTROL MASTER'!$S$2:$S$495))-(ROW('CONTROL MASTER'!#REF!)-1))))*(INDEX('CONTROL MASTER'!$AC$2:$AC$495,(SUMPRODUCT((('CONTROL MASTER'!$S$2:$S$495=6)*('CONTROL MASTER'!$Z$2:$Z$495&lt;=5)*('CONTROL MASTER'!$AB$2:$AB$495&gt;=5)*('CONTROL MASTER'!$AA$2:$AA$495&lt;=7)*('CONTROL MASTER'!$AC$2:$AC$495&gt;=7))*ROW('CONTROL MASTER'!$S$2:$S$495))-(ROW('CONTROL MASTER'!#REF!)-1)))-INDEX('CONTROL MASTER'!$AA$2:$AA$495,(SUMPRODUCT((('CONTROL MASTER'!$S$2:$S$495=6)*('CONTROL MASTER'!$Z$2:$Z$495&lt;=5)*('CONTROL MASTER'!$AB$2:$AB$495&gt;=5)*('CONTROL MASTER'!$AA$2:$AA$495&lt;=7)*('CONTROL MASTER'!$AC$2:$AC$495&gt;=7))*ROW('CONTROL MASTER'!$S$2:$S$495))-(ROW('CONTROL MASTER'!#REF!)-1)))+1)+(7-INDEX('CONTROL MASTER'!$AA$2:$AA$495,(SUMPRODUCT((('CONTROL MASTER'!$S$2:$S$495=6)*('CONTROL MASTER'!$Z$2:$Z$495&lt;=5)*('CONTROL MASTER'!$AB$2:$AB$495&gt;=5)*('CONTROL MASTER'!$AA$2:$AA$495&lt;=7)*('CONTROL MASTER'!$AC$2:$AC$495&gt;=7))*ROW('CONTROL MASTER'!$S$2:$S$495))-(ROW('CONTROL MASTER'!#REF!)-1))))+1)))-1)*50+1,50))&amp;"_"&amp;INDEX('CONTROL MASTER'!$P$2:$P$495,(SUMPRODUCT((('CONTROL MASTER'!$S$2:$S$495=6)*('CONTROL MASTER'!$Z$2:$Z$495&lt;=5)*('CONTROL MASTER'!$AB$2:$AB$495&gt;=5)*('CONTROL MASTER'!$AA$2:$AA$495&lt;=7)*('CONTROL MASTER'!$AC$2:$AC$495&gt;=7))*ROW('CONTROL MASTER'!$S$2:$S$495))-(ROW('CONTROL MASTER'!#REF!)-1))),"")),"")</f>
        <v/>
      </c>
      <c r="I77" s="10" t="str">
        <f>IFERROR(IF(SUMPRODUCT((('CONTROL MASTER'!$S$2:$S$495=6)*('CONTROL MASTER'!$T$2:$T$495&lt;=5)*('CONTROL MASTER'!$V$2:$V$495&gt;=5)*('CONTROL MASTER'!$U$2:$U$495&lt;=8)*('CONTROL MASTER'!$W$2:$W$495&gt;=8))*ROW('CONTROL MASTER'!$S$2:$S$495))&gt;0,INDEX('CONTROL MASTER'!$X$2:$X$495,(SUMPRODUCT((('CONTROL MASTER'!$S$2:$S$495=6)*('CONTROL MASTER'!$T$2:$T$495&lt;=5)*('CONTROL MASTER'!$V$2:$V$495&gt;=5)*('CONTROL MASTER'!$U$2:$U$495&lt;=8)*('CONTROL MASTER'!$W$2:$W$495&gt;=8))*ROW('CONTROL MASTER'!$S$2:$S$495))-(ROW('CONTROL MASTER'!#REF!)-1)))&amp;TRIM(MID(SUBSTITUTE(SUBSTITUTE(INDEX('CONTROL MASTER'!$N$2:$N$495,(SUMPRODUCT((('CONTROL MASTER'!$S$2:$S$495=6)*('CONTROL MASTER'!$T$2:$T$495&lt;=5)*('CONTROL MASTER'!$V$2:$V$495&gt;=5)*('CONTROL MASTER'!$U$2:$U$495&lt;=8)*('CONTROL MASTER'!$W$2:$W$495&gt;=8))*ROW('CONTROL MASTER'!$S$2:$S$495))-(ROW('CONTROL MASTER'!#REF!)-1))),":",","),",",REPT(" ",50)),((((5-INDEX('CONTROL MASTER'!$T$2:$T$495,(SUMPRODUCT((('CONTROL MASTER'!$S$2:$S$495=6)*('CONTROL MASTER'!$T$2:$T$495&lt;=5)*('CONTROL MASTER'!$V$2:$V$495&gt;=5)*('CONTROL MASTER'!$U$2:$U$495&lt;=8)*('CONTROL MASTER'!$W$2:$W$495&gt;=8))*ROW('CONTROL MASTER'!$S$2:$S$495))-(ROW('CONTROL MASTER'!#REF!)-1))))*(INDEX('CONTROL MASTER'!$W$2:$W$495,(SUMPRODUCT((('CONTROL MASTER'!$S$2:$S$495=6)*('CONTROL MASTER'!$T$2:$T$495&lt;=5)*('CONTROL MASTER'!$V$2:$V$495&gt;=5)*('CONTROL MASTER'!$U$2:$U$495&lt;=8)*('CONTROL MASTER'!$W$2:$W$495&gt;=8))*ROW('CONTROL MASTER'!$S$2:$S$495))-(ROW('CONTROL MASTER'!#REF!)-1)))-INDEX('CONTROL MASTER'!$U$2:$U$495,(SUMPRODUCT((('CONTROL MASTER'!$S$2:$S$495=6)*('CONTROL MASTER'!$T$2:$T$495&lt;=5)*('CONTROL MASTER'!$V$2:$V$495&gt;=5)*('CONTROL MASTER'!$U$2:$U$495&lt;=8)*('CONTROL MASTER'!$W$2:$W$495&gt;=8))*ROW('CONTROL MASTER'!$S$2:$S$495))-(ROW('CONTROL MASTER'!#REF!)-1)))+1)+(8-INDEX('CONTROL MASTER'!$U$2:$U$495,(SUMPRODUCT((('CONTROL MASTER'!$S$2:$S$495=6)*('CONTROL MASTER'!$T$2:$T$495&lt;=5)*('CONTROL MASTER'!$V$2:$V$495&gt;=5)*('CONTROL MASTER'!$U$2:$U$495&lt;=8)*('CONTROL MASTER'!$W$2:$W$495&gt;=8))*ROW('CONTROL MASTER'!$S$2:$S$495))-(ROW('CONTROL MASTER'!#REF!)-1))))+1))-1)*50+1,50))&amp;"_"&amp;INDEX('CONTROL MASTER'!$P$2:$P$495,(SUMPRODUCT((('CONTROL MASTER'!$S$2:$S$495=6)*('CONTROL MASTER'!$T$2:$T$495&lt;=5)*('CONTROL MASTER'!$V$2:$V$495&gt;=5)*('CONTROL MASTER'!$U$2:$U$495&lt;=8)*('CONTROL MASTER'!$W$2:$W$495&gt;=8))*ROW('CONTROL MASTER'!$S$2:$S$495))-(ROW('CONTROL MASTER'!#REF!)-1))),IF(SUMPRODUCT((('CONTROL MASTER'!$S$2:$S$495=6)*('CONTROL MASTER'!$Z$2:$Z$495&lt;=5)*('CONTROL MASTER'!$AB$2:$AB$495&gt;=5)*('CONTROL MASTER'!$AA$2:$AA$495&lt;=8)*('CONTROL MASTER'!$AC$2:$AC$495&gt;=8))*ROW('CONTROL MASTER'!$S$2:$S$495))&gt;0,INDEX('CONTROL MASTER'!$X$2:$X$495,(SUMPRODUCT((('CONTROL MASTER'!$S$2:$S$495=6)*('CONTROL MASTER'!$Z$2:$Z$495&lt;=5)*('CONTROL MASTER'!$AB$2:$AB$495&gt;=5)*('CONTROL MASTER'!$AA$2:$AA$495&lt;=8)*('CONTROL MASTER'!$AC$2:$AC$495&gt;=8))*ROW('CONTROL MASTER'!$S$2:$S$495))-(ROW('CONTROL MASTER'!#REF!)-1)))&amp;TRIM(MID(SUBSTITUTE(SUBSTITUTE(INDEX('CONTROL MASTER'!$N$2:$N$495,(SUMPRODUCT((('CONTROL MASTER'!$S$2:$S$495=6)*('CONTROL MASTER'!$Z$2:$Z$495&lt;=5)*('CONTROL MASTER'!$AB$2:$AB$495&gt;=5)*('CONTROL MASTER'!$AA$2:$AA$495&lt;=8)*('CONTROL MASTER'!$AC$2:$AC$495&gt;=8))*ROW('CONTROL MASTER'!$S$2:$S$495))-(ROW('CONTROL MASTER'!#REF!)-1))),":",","),",",REPT(" ",50)),(((INDEX('CONTROL MASTER'!$Y$2:$Y$495,(SUMPRODUCT((('CONTROL MASTER'!$S$2:$S$495=6)*('CONTROL MASTER'!$Z$2:$Z$495&lt;=5)*('CONTROL MASTER'!$AB$2:$AB$495&gt;=5)*('CONTROL MASTER'!$AA$2:$AA$495&lt;=8)*('CONTROL MASTER'!$AC$2:$AC$495&gt;=8))*ROW('CONTROL MASTER'!$S$2:$S$495))-(ROW('CONTROL MASTER'!#REF!)-1)))+((5-INDEX('CONTROL MASTER'!$Z$2:$Z$495,(SUMPRODUCT((('CONTROL MASTER'!$S$2:$S$495=6)*('CONTROL MASTER'!$Z$2:$Z$495&lt;=5)*('CONTROL MASTER'!$AB$2:$AB$495&gt;=5)*('CONTROL MASTER'!$AA$2:$AA$495&lt;=8)*('CONTROL MASTER'!$AC$2:$AC$495&gt;=8))*ROW('CONTROL MASTER'!$S$2:$S$495))-(ROW('CONTROL MASTER'!#REF!)-1))))*(INDEX('CONTROL MASTER'!$AC$2:$AC$495,(SUMPRODUCT((('CONTROL MASTER'!$S$2:$S$495=6)*('CONTROL MASTER'!$Z$2:$Z$495&lt;=5)*('CONTROL MASTER'!$AB$2:$AB$495&gt;=5)*('CONTROL MASTER'!$AA$2:$AA$495&lt;=8)*('CONTROL MASTER'!$AC$2:$AC$495&gt;=8))*ROW('CONTROL MASTER'!$S$2:$S$495))-(ROW('CONTROL MASTER'!#REF!)-1)))-INDEX('CONTROL MASTER'!$AA$2:$AA$495,(SUMPRODUCT((('CONTROL MASTER'!$S$2:$S$495=6)*('CONTROL MASTER'!$Z$2:$Z$495&lt;=5)*('CONTROL MASTER'!$AB$2:$AB$495&gt;=5)*('CONTROL MASTER'!$AA$2:$AA$495&lt;=8)*('CONTROL MASTER'!$AC$2:$AC$495&gt;=8))*ROW('CONTROL MASTER'!$S$2:$S$495))-(ROW('CONTROL MASTER'!#REF!)-1)))+1)+(8-INDEX('CONTROL MASTER'!$AA$2:$AA$495,(SUMPRODUCT((('CONTROL MASTER'!$S$2:$S$495=6)*('CONTROL MASTER'!$Z$2:$Z$495&lt;=5)*('CONTROL MASTER'!$AB$2:$AB$495&gt;=5)*('CONTROL MASTER'!$AA$2:$AA$495&lt;=8)*('CONTROL MASTER'!$AC$2:$AC$495&gt;=8))*ROW('CONTROL MASTER'!$S$2:$S$495))-(ROW('CONTROL MASTER'!#REF!)-1))))+1)))-1)*50+1,50))&amp;"_"&amp;INDEX('CONTROL MASTER'!$P$2:$P$495,(SUMPRODUCT((('CONTROL MASTER'!$S$2:$S$495=6)*('CONTROL MASTER'!$Z$2:$Z$495&lt;=5)*('CONTROL MASTER'!$AB$2:$AB$495&gt;=5)*('CONTROL MASTER'!$AA$2:$AA$495&lt;=8)*('CONTROL MASTER'!$AC$2:$AC$495&gt;=8))*ROW('CONTROL MASTER'!$S$2:$S$495))-(ROW('CONTROL MASTER'!#REF!)-1))),"")),"")</f>
        <v/>
      </c>
      <c r="J77" s="10" t="str">
        <f>IFERROR(IF(SUMPRODUCT((('CONTROL MASTER'!$S$2:$S$495=6)*('CONTROL MASTER'!$T$2:$T$495&lt;=5)*('CONTROL MASTER'!$V$2:$V$495&gt;=5)*('CONTROL MASTER'!$U$2:$U$495&lt;=9)*('CONTROL MASTER'!$W$2:$W$495&gt;=9))*ROW('CONTROL MASTER'!$S$2:$S$495))&gt;0,INDEX('CONTROL MASTER'!$X$2:$X$495,(SUMPRODUCT((('CONTROL MASTER'!$S$2:$S$495=6)*('CONTROL MASTER'!$T$2:$T$495&lt;=5)*('CONTROL MASTER'!$V$2:$V$495&gt;=5)*('CONTROL MASTER'!$U$2:$U$495&lt;=9)*('CONTROL MASTER'!$W$2:$W$495&gt;=9))*ROW('CONTROL MASTER'!$S$2:$S$495))-(ROW('CONTROL MASTER'!#REF!)-1)))&amp;TRIM(MID(SUBSTITUTE(SUBSTITUTE(INDEX('CONTROL MASTER'!$N$2:$N$495,(SUMPRODUCT((('CONTROL MASTER'!$S$2:$S$495=6)*('CONTROL MASTER'!$T$2:$T$495&lt;=5)*('CONTROL MASTER'!$V$2:$V$495&gt;=5)*('CONTROL MASTER'!$U$2:$U$495&lt;=9)*('CONTROL MASTER'!$W$2:$W$495&gt;=9))*ROW('CONTROL MASTER'!$S$2:$S$495))-(ROW('CONTROL MASTER'!#REF!)-1))),":",","),",",REPT(" ",50)),((((5-INDEX('CONTROL MASTER'!$T$2:$T$495,(SUMPRODUCT((('CONTROL MASTER'!$S$2:$S$495=6)*('CONTROL MASTER'!$T$2:$T$495&lt;=5)*('CONTROL MASTER'!$V$2:$V$495&gt;=5)*('CONTROL MASTER'!$U$2:$U$495&lt;=9)*('CONTROL MASTER'!$W$2:$W$495&gt;=9))*ROW('CONTROL MASTER'!$S$2:$S$495))-(ROW('CONTROL MASTER'!#REF!)-1))))*(INDEX('CONTROL MASTER'!$W$2:$W$495,(SUMPRODUCT((('CONTROL MASTER'!$S$2:$S$495=6)*('CONTROL MASTER'!$T$2:$T$495&lt;=5)*('CONTROL MASTER'!$V$2:$V$495&gt;=5)*('CONTROL MASTER'!$U$2:$U$495&lt;=9)*('CONTROL MASTER'!$W$2:$W$495&gt;=9))*ROW('CONTROL MASTER'!$S$2:$S$495))-(ROW('CONTROL MASTER'!#REF!)-1)))-INDEX('CONTROL MASTER'!$U$2:$U$495,(SUMPRODUCT((('CONTROL MASTER'!$S$2:$S$495=6)*('CONTROL MASTER'!$T$2:$T$495&lt;=5)*('CONTROL MASTER'!$V$2:$V$495&gt;=5)*('CONTROL MASTER'!$U$2:$U$495&lt;=9)*('CONTROL MASTER'!$W$2:$W$495&gt;=9))*ROW('CONTROL MASTER'!$S$2:$S$495))-(ROW('CONTROL MASTER'!#REF!)-1)))+1)+(9-INDEX('CONTROL MASTER'!$U$2:$U$495,(SUMPRODUCT((('CONTROL MASTER'!$S$2:$S$495=6)*('CONTROL MASTER'!$T$2:$T$495&lt;=5)*('CONTROL MASTER'!$V$2:$V$495&gt;=5)*('CONTROL MASTER'!$U$2:$U$495&lt;=9)*('CONTROL MASTER'!$W$2:$W$495&gt;=9))*ROW('CONTROL MASTER'!$S$2:$S$495))-(ROW('CONTROL MASTER'!#REF!)-1))))+1))-1)*50+1,50))&amp;"_"&amp;INDEX('CONTROL MASTER'!$P$2:$P$495,(SUMPRODUCT((('CONTROL MASTER'!$S$2:$S$495=6)*('CONTROL MASTER'!$T$2:$T$495&lt;=5)*('CONTROL MASTER'!$V$2:$V$495&gt;=5)*('CONTROL MASTER'!$U$2:$U$495&lt;=9)*('CONTROL MASTER'!$W$2:$W$495&gt;=9))*ROW('CONTROL MASTER'!$S$2:$S$495))-(ROW('CONTROL MASTER'!#REF!)-1))),IF(SUMPRODUCT((('CONTROL MASTER'!$S$2:$S$495=6)*('CONTROL MASTER'!$Z$2:$Z$495&lt;=5)*('CONTROL MASTER'!$AB$2:$AB$495&gt;=5)*('CONTROL MASTER'!$AA$2:$AA$495&lt;=9)*('CONTROL MASTER'!$AC$2:$AC$495&gt;=9))*ROW('CONTROL MASTER'!$S$2:$S$495))&gt;0,INDEX('CONTROL MASTER'!$X$2:$X$495,(SUMPRODUCT((('CONTROL MASTER'!$S$2:$S$495=6)*('CONTROL MASTER'!$Z$2:$Z$495&lt;=5)*('CONTROL MASTER'!$AB$2:$AB$495&gt;=5)*('CONTROL MASTER'!$AA$2:$AA$495&lt;=9)*('CONTROL MASTER'!$AC$2:$AC$495&gt;=9))*ROW('CONTROL MASTER'!$S$2:$S$495))-(ROW('CONTROL MASTER'!#REF!)-1)))&amp;TRIM(MID(SUBSTITUTE(SUBSTITUTE(INDEX('CONTROL MASTER'!$N$2:$N$495,(SUMPRODUCT((('CONTROL MASTER'!$S$2:$S$495=6)*('CONTROL MASTER'!$Z$2:$Z$495&lt;=5)*('CONTROL MASTER'!$AB$2:$AB$495&gt;=5)*('CONTROL MASTER'!$AA$2:$AA$495&lt;=9)*('CONTROL MASTER'!$AC$2:$AC$495&gt;=9))*ROW('CONTROL MASTER'!$S$2:$S$495))-(ROW('CONTROL MASTER'!#REF!)-1))),":",","),",",REPT(" ",50)),(((INDEX('CONTROL MASTER'!$Y$2:$Y$495,(SUMPRODUCT((('CONTROL MASTER'!$S$2:$S$495=6)*('CONTROL MASTER'!$Z$2:$Z$495&lt;=5)*('CONTROL MASTER'!$AB$2:$AB$495&gt;=5)*('CONTROL MASTER'!$AA$2:$AA$495&lt;=9)*('CONTROL MASTER'!$AC$2:$AC$495&gt;=9))*ROW('CONTROL MASTER'!$S$2:$S$495))-(ROW('CONTROL MASTER'!#REF!)-1)))+((5-INDEX('CONTROL MASTER'!$Z$2:$Z$495,(SUMPRODUCT((('CONTROL MASTER'!$S$2:$S$495=6)*('CONTROL MASTER'!$Z$2:$Z$495&lt;=5)*('CONTROL MASTER'!$AB$2:$AB$495&gt;=5)*('CONTROL MASTER'!$AA$2:$AA$495&lt;=9)*('CONTROL MASTER'!$AC$2:$AC$495&gt;=9))*ROW('CONTROL MASTER'!$S$2:$S$495))-(ROW('CONTROL MASTER'!#REF!)-1))))*(INDEX('CONTROL MASTER'!$AC$2:$AC$495,(SUMPRODUCT((('CONTROL MASTER'!$S$2:$S$495=6)*('CONTROL MASTER'!$Z$2:$Z$495&lt;=5)*('CONTROL MASTER'!$AB$2:$AB$495&gt;=5)*('CONTROL MASTER'!$AA$2:$AA$495&lt;=9)*('CONTROL MASTER'!$AC$2:$AC$495&gt;=9))*ROW('CONTROL MASTER'!$S$2:$S$495))-(ROW('CONTROL MASTER'!#REF!)-1)))-INDEX('CONTROL MASTER'!$AA$2:$AA$495,(SUMPRODUCT((('CONTROL MASTER'!$S$2:$S$495=6)*('CONTROL MASTER'!$Z$2:$Z$495&lt;=5)*('CONTROL MASTER'!$AB$2:$AB$495&gt;=5)*('CONTROL MASTER'!$AA$2:$AA$495&lt;=9)*('CONTROL MASTER'!$AC$2:$AC$495&gt;=9))*ROW('CONTROL MASTER'!$S$2:$S$495))-(ROW('CONTROL MASTER'!#REF!)-1)))+1)+(9-INDEX('CONTROL MASTER'!$AA$2:$AA$495,(SUMPRODUCT((('CONTROL MASTER'!$S$2:$S$495=6)*('CONTROL MASTER'!$Z$2:$Z$495&lt;=5)*('CONTROL MASTER'!$AB$2:$AB$495&gt;=5)*('CONTROL MASTER'!$AA$2:$AA$495&lt;=9)*('CONTROL MASTER'!$AC$2:$AC$495&gt;=9))*ROW('CONTROL MASTER'!$S$2:$S$495))-(ROW('CONTROL MASTER'!#REF!)-1))))+1)))-1)*50+1,50))&amp;"_"&amp;INDEX('CONTROL MASTER'!$P$2:$P$495,(SUMPRODUCT((('CONTROL MASTER'!$S$2:$S$495=6)*('CONTROL MASTER'!$Z$2:$Z$495&lt;=5)*('CONTROL MASTER'!$AB$2:$AB$495&gt;=5)*('CONTROL MASTER'!$AA$2:$AA$495&lt;=9)*('CONTROL MASTER'!$AC$2:$AC$495&gt;=9))*ROW('CONTROL MASTER'!$S$2:$S$495))-(ROW('CONTROL MASTER'!#REF!)-1))),"")),"")</f>
        <v/>
      </c>
      <c r="K77" s="10" t="str">
        <f>IFERROR(IF(SUMPRODUCT((('CONTROL MASTER'!$S$2:$S$495=6)*('CONTROL MASTER'!$T$2:$T$495&lt;=5)*('CONTROL MASTER'!$V$2:$V$495&gt;=5)*('CONTROL MASTER'!$U$2:$U$495&lt;=10)*('CONTROL MASTER'!$W$2:$W$495&gt;=10))*ROW('CONTROL MASTER'!$S$2:$S$495))&gt;0,INDEX('CONTROL MASTER'!$X$2:$X$495,(SUMPRODUCT((('CONTROL MASTER'!$S$2:$S$495=6)*('CONTROL MASTER'!$T$2:$T$495&lt;=5)*('CONTROL MASTER'!$V$2:$V$495&gt;=5)*('CONTROL MASTER'!$U$2:$U$495&lt;=10)*('CONTROL MASTER'!$W$2:$W$495&gt;=10))*ROW('CONTROL MASTER'!$S$2:$S$495))-(ROW('CONTROL MASTER'!#REF!)-1)))&amp;TRIM(MID(SUBSTITUTE(SUBSTITUTE(INDEX('CONTROL MASTER'!$N$2:$N$495,(SUMPRODUCT((('CONTROL MASTER'!$S$2:$S$495=6)*('CONTROL MASTER'!$T$2:$T$495&lt;=5)*('CONTROL MASTER'!$V$2:$V$495&gt;=5)*('CONTROL MASTER'!$U$2:$U$495&lt;=10)*('CONTROL MASTER'!$W$2:$W$495&gt;=10))*ROW('CONTROL MASTER'!$S$2:$S$495))-(ROW('CONTROL MASTER'!#REF!)-1))),":",","),",",REPT(" ",50)),((((5-INDEX('CONTROL MASTER'!$T$2:$T$495,(SUMPRODUCT((('CONTROL MASTER'!$S$2:$S$495=6)*('CONTROL MASTER'!$T$2:$T$495&lt;=5)*('CONTROL MASTER'!$V$2:$V$495&gt;=5)*('CONTROL MASTER'!$U$2:$U$495&lt;=10)*('CONTROL MASTER'!$W$2:$W$495&gt;=10))*ROW('CONTROL MASTER'!$S$2:$S$495))-(ROW('CONTROL MASTER'!#REF!)-1))))*(INDEX('CONTROL MASTER'!$W$2:$W$495,(SUMPRODUCT((('CONTROL MASTER'!$S$2:$S$495=6)*('CONTROL MASTER'!$T$2:$T$495&lt;=5)*('CONTROL MASTER'!$V$2:$V$495&gt;=5)*('CONTROL MASTER'!$U$2:$U$495&lt;=10)*('CONTROL MASTER'!$W$2:$W$495&gt;=10))*ROW('CONTROL MASTER'!$S$2:$S$495))-(ROW('CONTROL MASTER'!#REF!)-1)))-INDEX('CONTROL MASTER'!$U$2:$U$495,(SUMPRODUCT((('CONTROL MASTER'!$S$2:$S$495=6)*('CONTROL MASTER'!$T$2:$T$495&lt;=5)*('CONTROL MASTER'!$V$2:$V$495&gt;=5)*('CONTROL MASTER'!$U$2:$U$495&lt;=10)*('CONTROL MASTER'!$W$2:$W$495&gt;=10))*ROW('CONTROL MASTER'!$S$2:$S$495))-(ROW('CONTROL MASTER'!#REF!)-1)))+1)+(10-INDEX('CONTROL MASTER'!$U$2:$U$495,(SUMPRODUCT((('CONTROL MASTER'!$S$2:$S$495=6)*('CONTROL MASTER'!$T$2:$T$495&lt;=5)*('CONTROL MASTER'!$V$2:$V$495&gt;=5)*('CONTROL MASTER'!$U$2:$U$495&lt;=10)*('CONTROL MASTER'!$W$2:$W$495&gt;=10))*ROW('CONTROL MASTER'!$S$2:$S$495))-(ROW('CONTROL MASTER'!#REF!)-1))))+1))-1)*50+1,50))&amp;"_"&amp;INDEX('CONTROL MASTER'!$P$2:$P$495,(SUMPRODUCT((('CONTROL MASTER'!$S$2:$S$495=6)*('CONTROL MASTER'!$T$2:$T$495&lt;=5)*('CONTROL MASTER'!$V$2:$V$495&gt;=5)*('CONTROL MASTER'!$U$2:$U$495&lt;=10)*('CONTROL MASTER'!$W$2:$W$495&gt;=10))*ROW('CONTROL MASTER'!$S$2:$S$495))-(ROW('CONTROL MASTER'!#REF!)-1))),IF(SUMPRODUCT((('CONTROL MASTER'!$S$2:$S$495=6)*('CONTROL MASTER'!$Z$2:$Z$495&lt;=5)*('CONTROL MASTER'!$AB$2:$AB$495&gt;=5)*('CONTROL MASTER'!$AA$2:$AA$495&lt;=10)*('CONTROL MASTER'!$AC$2:$AC$495&gt;=10))*ROW('CONTROL MASTER'!$S$2:$S$495))&gt;0,INDEX('CONTROL MASTER'!$X$2:$X$495,(SUMPRODUCT((('CONTROL MASTER'!$S$2:$S$495=6)*('CONTROL MASTER'!$Z$2:$Z$495&lt;=5)*('CONTROL MASTER'!$AB$2:$AB$495&gt;=5)*('CONTROL MASTER'!$AA$2:$AA$495&lt;=10)*('CONTROL MASTER'!$AC$2:$AC$495&gt;=10))*ROW('CONTROL MASTER'!$S$2:$S$495))-(ROW('CONTROL MASTER'!#REF!)-1)))&amp;TRIM(MID(SUBSTITUTE(SUBSTITUTE(INDEX('CONTROL MASTER'!$N$2:$N$495,(SUMPRODUCT((('CONTROL MASTER'!$S$2:$S$495=6)*('CONTROL MASTER'!$Z$2:$Z$495&lt;=5)*('CONTROL MASTER'!$AB$2:$AB$495&gt;=5)*('CONTROL MASTER'!$AA$2:$AA$495&lt;=10)*('CONTROL MASTER'!$AC$2:$AC$495&gt;=10))*ROW('CONTROL MASTER'!$S$2:$S$495))-(ROW('CONTROL MASTER'!#REF!)-1))),":",","),",",REPT(" ",50)),(((INDEX('CONTROL MASTER'!$Y$2:$Y$495,(SUMPRODUCT((('CONTROL MASTER'!$S$2:$S$495=6)*('CONTROL MASTER'!$Z$2:$Z$495&lt;=5)*('CONTROL MASTER'!$AB$2:$AB$495&gt;=5)*('CONTROL MASTER'!$AA$2:$AA$495&lt;=10)*('CONTROL MASTER'!$AC$2:$AC$495&gt;=10))*ROW('CONTROL MASTER'!$S$2:$S$495))-(ROW('CONTROL MASTER'!#REF!)-1)))+((5-INDEX('CONTROL MASTER'!$Z$2:$Z$495,(SUMPRODUCT((('CONTROL MASTER'!$S$2:$S$495=6)*('CONTROL MASTER'!$Z$2:$Z$495&lt;=5)*('CONTROL MASTER'!$AB$2:$AB$495&gt;=5)*('CONTROL MASTER'!$AA$2:$AA$495&lt;=10)*('CONTROL MASTER'!$AC$2:$AC$495&gt;=10))*ROW('CONTROL MASTER'!$S$2:$S$495))-(ROW('CONTROL MASTER'!#REF!)-1))))*(INDEX('CONTROL MASTER'!$AC$2:$AC$495,(SUMPRODUCT((('CONTROL MASTER'!$S$2:$S$495=6)*('CONTROL MASTER'!$Z$2:$Z$495&lt;=5)*('CONTROL MASTER'!$AB$2:$AB$495&gt;=5)*('CONTROL MASTER'!$AA$2:$AA$495&lt;=10)*('CONTROL MASTER'!$AC$2:$AC$495&gt;=10))*ROW('CONTROL MASTER'!$S$2:$S$495))-(ROW('CONTROL MASTER'!#REF!)-1)))-INDEX('CONTROL MASTER'!$AA$2:$AA$495,(SUMPRODUCT((('CONTROL MASTER'!$S$2:$S$495=6)*('CONTROL MASTER'!$Z$2:$Z$495&lt;=5)*('CONTROL MASTER'!$AB$2:$AB$495&gt;=5)*('CONTROL MASTER'!$AA$2:$AA$495&lt;=10)*('CONTROL MASTER'!$AC$2:$AC$495&gt;=10))*ROW('CONTROL MASTER'!$S$2:$S$495))-(ROW('CONTROL MASTER'!#REF!)-1)))+1)+(10-INDEX('CONTROL MASTER'!$AA$2:$AA$495,(SUMPRODUCT((('CONTROL MASTER'!$S$2:$S$495=6)*('CONTROL MASTER'!$Z$2:$Z$495&lt;=5)*('CONTROL MASTER'!$AB$2:$AB$495&gt;=5)*('CONTROL MASTER'!$AA$2:$AA$495&lt;=10)*('CONTROL MASTER'!$AC$2:$AC$495&gt;=10))*ROW('CONTROL MASTER'!$S$2:$S$495))-(ROW('CONTROL MASTER'!#REF!)-1))))+1)))-1)*50+1,50))&amp;"_"&amp;INDEX('CONTROL MASTER'!$P$2:$P$495,(SUMPRODUCT((('CONTROL MASTER'!$S$2:$S$495=6)*('CONTROL MASTER'!$Z$2:$Z$495&lt;=5)*('CONTROL MASTER'!$AB$2:$AB$495&gt;=5)*('CONTROL MASTER'!$AA$2:$AA$495&lt;=10)*('CONTROL MASTER'!$AC$2:$AC$495&gt;=10))*ROW('CONTROL MASTER'!$S$2:$S$495))-(ROW('CONTROL MASTER'!#REF!)-1))),"")),"")</f>
        <v/>
      </c>
    </row>
    <row r="78" spans="1:11" ht="15" customHeight="1" x14ac:dyDescent="0.35">
      <c r="A78" s="8" t="s">
        <v>33</v>
      </c>
      <c r="B78" s="10" t="str">
        <f>IFERROR(IF(SUMPRODUCT((('CONTROL MASTER'!$S$2:$S$495=6)*('CONTROL MASTER'!$T$2:$T$495&lt;=6)*('CONTROL MASTER'!$V$2:$V$495&gt;=6)*('CONTROL MASTER'!$U$2:$U$495&lt;=1)*('CONTROL MASTER'!$W$2:$W$495&gt;=1))*ROW('CONTROL MASTER'!$S$2:$S$495))&gt;0,INDEX('CONTROL MASTER'!$X$2:$X$495,(SUMPRODUCT((('CONTROL MASTER'!$S$2:$S$495=6)*('CONTROL MASTER'!$T$2:$T$495&lt;=6)*('CONTROL MASTER'!$V$2:$V$495&gt;=6)*('CONTROL MASTER'!$U$2:$U$495&lt;=1)*('CONTROL MASTER'!$W$2:$W$495&gt;=1))*ROW('CONTROL MASTER'!$S$2:$S$495))-(ROW('CONTROL MASTER'!#REF!)-1)))&amp;TRIM(MID(SUBSTITUTE(SUBSTITUTE(INDEX('CONTROL MASTER'!$N$2:$N$495,(SUMPRODUCT((('CONTROL MASTER'!$S$2:$S$495=6)*('CONTROL MASTER'!$T$2:$T$495&lt;=6)*('CONTROL MASTER'!$V$2:$V$495&gt;=6)*('CONTROL MASTER'!$U$2:$U$495&lt;=1)*('CONTROL MASTER'!$W$2:$W$495&gt;=1))*ROW('CONTROL MASTER'!$S$2:$S$495))-(ROW('CONTROL MASTER'!#REF!)-1))),":",","),",",REPT(" ",50)),((((6-INDEX('CONTROL MASTER'!$T$2:$T$495,(SUMPRODUCT((('CONTROL MASTER'!$S$2:$S$495=6)*('CONTROL MASTER'!$T$2:$T$495&lt;=6)*('CONTROL MASTER'!$V$2:$V$495&gt;=6)*('CONTROL MASTER'!$U$2:$U$495&lt;=1)*('CONTROL MASTER'!$W$2:$W$495&gt;=1))*ROW('CONTROL MASTER'!$S$2:$S$495))-(ROW('CONTROL MASTER'!#REF!)-1))))*(INDEX('CONTROL MASTER'!$W$2:$W$495,(SUMPRODUCT((('CONTROL MASTER'!$S$2:$S$495=6)*('CONTROL MASTER'!$T$2:$T$495&lt;=6)*('CONTROL MASTER'!$V$2:$V$495&gt;=6)*('CONTROL MASTER'!$U$2:$U$495&lt;=1)*('CONTROL MASTER'!$W$2:$W$495&gt;=1))*ROW('CONTROL MASTER'!$S$2:$S$495))-(ROW('CONTROL MASTER'!#REF!)-1)))-INDEX('CONTROL MASTER'!$U$2:$U$495,(SUMPRODUCT((('CONTROL MASTER'!$S$2:$S$495=6)*('CONTROL MASTER'!$T$2:$T$495&lt;=6)*('CONTROL MASTER'!$V$2:$V$495&gt;=6)*('CONTROL MASTER'!$U$2:$U$495&lt;=1)*('CONTROL MASTER'!$W$2:$W$495&gt;=1))*ROW('CONTROL MASTER'!$S$2:$S$495))-(ROW('CONTROL MASTER'!#REF!)-1)))+1)+(1-INDEX('CONTROL MASTER'!$U$2:$U$495,(SUMPRODUCT((('CONTROL MASTER'!$S$2:$S$495=6)*('CONTROL MASTER'!$T$2:$T$495&lt;=6)*('CONTROL MASTER'!$V$2:$V$495&gt;=6)*('CONTROL MASTER'!$U$2:$U$495&lt;=1)*('CONTROL MASTER'!$W$2:$W$495&gt;=1))*ROW('CONTROL MASTER'!$S$2:$S$495))-(ROW('CONTROL MASTER'!#REF!)-1))))+1))-1)*50+1,50))&amp;"_"&amp;INDEX('CONTROL MASTER'!$P$2:$P$495,(SUMPRODUCT((('CONTROL MASTER'!$S$2:$S$495=6)*('CONTROL MASTER'!$T$2:$T$495&lt;=6)*('CONTROL MASTER'!$V$2:$V$495&gt;=6)*('CONTROL MASTER'!$U$2:$U$495&lt;=1)*('CONTROL MASTER'!$W$2:$W$495&gt;=1))*ROW('CONTROL MASTER'!$S$2:$S$495))-(ROW('CONTROL MASTER'!#REF!)-1))),IF(SUMPRODUCT((('CONTROL MASTER'!$S$2:$S$495=6)*('CONTROL MASTER'!$Z$2:$Z$495&lt;=6)*('CONTROL MASTER'!$AB$2:$AB$495&gt;=6)*('CONTROL MASTER'!$AA$2:$AA$495&lt;=1)*('CONTROL MASTER'!$AC$2:$AC$495&gt;=1))*ROW('CONTROL MASTER'!$S$2:$S$495))&gt;0,INDEX('CONTROL MASTER'!$X$2:$X$495,(SUMPRODUCT((('CONTROL MASTER'!$S$2:$S$495=6)*('CONTROL MASTER'!$Z$2:$Z$495&lt;=6)*('CONTROL MASTER'!$AB$2:$AB$495&gt;=6)*('CONTROL MASTER'!$AA$2:$AA$495&lt;=1)*('CONTROL MASTER'!$AC$2:$AC$495&gt;=1))*ROW('CONTROL MASTER'!$S$2:$S$495))-(ROW('CONTROL MASTER'!#REF!)-1)))&amp;TRIM(MID(SUBSTITUTE(SUBSTITUTE(INDEX('CONTROL MASTER'!$N$2:$N$495,(SUMPRODUCT((('CONTROL MASTER'!$S$2:$S$495=6)*('CONTROL MASTER'!$Z$2:$Z$495&lt;=6)*('CONTROL MASTER'!$AB$2:$AB$495&gt;=6)*('CONTROL MASTER'!$AA$2:$AA$495&lt;=1)*('CONTROL MASTER'!$AC$2:$AC$495&gt;=1))*ROW('CONTROL MASTER'!$S$2:$S$495))-(ROW('CONTROL MASTER'!#REF!)-1))),":",","),",",REPT(" ",50)),(((INDEX('CONTROL MASTER'!$Y$2:$Y$495,(SUMPRODUCT((('CONTROL MASTER'!$S$2:$S$495=6)*('CONTROL MASTER'!$Z$2:$Z$495&lt;=6)*('CONTROL MASTER'!$AB$2:$AB$495&gt;=6)*('CONTROL MASTER'!$AA$2:$AA$495&lt;=1)*('CONTROL MASTER'!$AC$2:$AC$495&gt;=1))*ROW('CONTROL MASTER'!$S$2:$S$495))-(ROW('CONTROL MASTER'!#REF!)-1)))+((6-INDEX('CONTROL MASTER'!$Z$2:$Z$495,(SUMPRODUCT((('CONTROL MASTER'!$S$2:$S$495=6)*('CONTROL MASTER'!$Z$2:$Z$495&lt;=6)*('CONTROL MASTER'!$AB$2:$AB$495&gt;=6)*('CONTROL MASTER'!$AA$2:$AA$495&lt;=1)*('CONTROL MASTER'!$AC$2:$AC$495&gt;=1))*ROW('CONTROL MASTER'!$S$2:$S$495))-(ROW('CONTROL MASTER'!#REF!)-1))))*(INDEX('CONTROL MASTER'!$AC$2:$AC$495,(SUMPRODUCT((('CONTROL MASTER'!$S$2:$S$495=6)*('CONTROL MASTER'!$Z$2:$Z$495&lt;=6)*('CONTROL MASTER'!$AB$2:$AB$495&gt;=6)*('CONTROL MASTER'!$AA$2:$AA$495&lt;=1)*('CONTROL MASTER'!$AC$2:$AC$495&gt;=1))*ROW('CONTROL MASTER'!$S$2:$S$495))-(ROW('CONTROL MASTER'!#REF!)-1)))-INDEX('CONTROL MASTER'!$AA$2:$AA$495,(SUMPRODUCT((('CONTROL MASTER'!$S$2:$S$495=6)*('CONTROL MASTER'!$Z$2:$Z$495&lt;=6)*('CONTROL MASTER'!$AB$2:$AB$495&gt;=6)*('CONTROL MASTER'!$AA$2:$AA$495&lt;=1)*('CONTROL MASTER'!$AC$2:$AC$495&gt;=1))*ROW('CONTROL MASTER'!$S$2:$S$495))-(ROW('CONTROL MASTER'!#REF!)-1)))+1)+(1-INDEX('CONTROL MASTER'!$AA$2:$AA$495,(SUMPRODUCT((('CONTROL MASTER'!$S$2:$S$495=6)*('CONTROL MASTER'!$Z$2:$Z$495&lt;=6)*('CONTROL MASTER'!$AB$2:$AB$495&gt;=6)*('CONTROL MASTER'!$AA$2:$AA$495&lt;=1)*('CONTROL MASTER'!$AC$2:$AC$495&gt;=1))*ROW('CONTROL MASTER'!$S$2:$S$495))-(ROW('CONTROL MASTER'!#REF!)-1))))+1)))-1)*50+1,50))&amp;"_"&amp;INDEX('CONTROL MASTER'!$P$2:$P$495,(SUMPRODUCT((('CONTROL MASTER'!$S$2:$S$495=6)*('CONTROL MASTER'!$Z$2:$Z$495&lt;=6)*('CONTROL MASTER'!$AB$2:$AB$495&gt;=6)*('CONTROL MASTER'!$AA$2:$AA$495&lt;=1)*('CONTROL MASTER'!$AC$2:$AC$495&gt;=1))*ROW('CONTROL MASTER'!$S$2:$S$495))-(ROW('CONTROL MASTER'!#REF!)-1))),"")),"")</f>
        <v/>
      </c>
      <c r="C78" s="10" t="str">
        <f>IFERROR(IF(SUMPRODUCT((('CONTROL MASTER'!$S$2:$S$495=6)*('CONTROL MASTER'!$T$2:$T$495&lt;=6)*('CONTROL MASTER'!$V$2:$V$495&gt;=6)*('CONTROL MASTER'!$U$2:$U$495&lt;=2)*('CONTROL MASTER'!$W$2:$W$495&gt;=2))*ROW('CONTROL MASTER'!$S$2:$S$495))&gt;0,INDEX('CONTROL MASTER'!$X$2:$X$495,(SUMPRODUCT((('CONTROL MASTER'!$S$2:$S$495=6)*('CONTROL MASTER'!$T$2:$T$495&lt;=6)*('CONTROL MASTER'!$V$2:$V$495&gt;=6)*('CONTROL MASTER'!$U$2:$U$495&lt;=2)*('CONTROL MASTER'!$W$2:$W$495&gt;=2))*ROW('CONTROL MASTER'!$S$2:$S$495))-(ROW('CONTROL MASTER'!#REF!)-1)))&amp;TRIM(MID(SUBSTITUTE(SUBSTITUTE(INDEX('CONTROL MASTER'!$N$2:$N$495,(SUMPRODUCT((('CONTROL MASTER'!$S$2:$S$495=6)*('CONTROL MASTER'!$T$2:$T$495&lt;=6)*('CONTROL MASTER'!$V$2:$V$495&gt;=6)*('CONTROL MASTER'!$U$2:$U$495&lt;=2)*('CONTROL MASTER'!$W$2:$W$495&gt;=2))*ROW('CONTROL MASTER'!$S$2:$S$495))-(ROW('CONTROL MASTER'!#REF!)-1))),":",","),",",REPT(" ",50)),((((6-INDEX('CONTROL MASTER'!$T$2:$T$495,(SUMPRODUCT((('CONTROL MASTER'!$S$2:$S$495=6)*('CONTROL MASTER'!$T$2:$T$495&lt;=6)*('CONTROL MASTER'!$V$2:$V$495&gt;=6)*('CONTROL MASTER'!$U$2:$U$495&lt;=2)*('CONTROL MASTER'!$W$2:$W$495&gt;=2))*ROW('CONTROL MASTER'!$S$2:$S$495))-(ROW('CONTROL MASTER'!#REF!)-1))))*(INDEX('CONTROL MASTER'!$W$2:$W$495,(SUMPRODUCT((('CONTROL MASTER'!$S$2:$S$495=6)*('CONTROL MASTER'!$T$2:$T$495&lt;=6)*('CONTROL MASTER'!$V$2:$V$495&gt;=6)*('CONTROL MASTER'!$U$2:$U$495&lt;=2)*('CONTROL MASTER'!$W$2:$W$495&gt;=2))*ROW('CONTROL MASTER'!$S$2:$S$495))-(ROW('CONTROL MASTER'!#REF!)-1)))-INDEX('CONTROL MASTER'!$U$2:$U$495,(SUMPRODUCT((('CONTROL MASTER'!$S$2:$S$495=6)*('CONTROL MASTER'!$T$2:$T$495&lt;=6)*('CONTROL MASTER'!$V$2:$V$495&gt;=6)*('CONTROL MASTER'!$U$2:$U$495&lt;=2)*('CONTROL MASTER'!$W$2:$W$495&gt;=2))*ROW('CONTROL MASTER'!$S$2:$S$495))-(ROW('CONTROL MASTER'!#REF!)-1)))+1)+(2-INDEX('CONTROL MASTER'!$U$2:$U$495,(SUMPRODUCT((('CONTROL MASTER'!$S$2:$S$495=6)*('CONTROL MASTER'!$T$2:$T$495&lt;=6)*('CONTROL MASTER'!$V$2:$V$495&gt;=6)*('CONTROL MASTER'!$U$2:$U$495&lt;=2)*('CONTROL MASTER'!$W$2:$W$495&gt;=2))*ROW('CONTROL MASTER'!$S$2:$S$495))-(ROW('CONTROL MASTER'!#REF!)-1))))+1))-1)*50+1,50))&amp;"_"&amp;INDEX('CONTROL MASTER'!$P$2:$P$495,(SUMPRODUCT((('CONTROL MASTER'!$S$2:$S$495=6)*('CONTROL MASTER'!$T$2:$T$495&lt;=6)*('CONTROL MASTER'!$V$2:$V$495&gt;=6)*('CONTROL MASTER'!$U$2:$U$495&lt;=2)*('CONTROL MASTER'!$W$2:$W$495&gt;=2))*ROW('CONTROL MASTER'!$S$2:$S$495))-(ROW('CONTROL MASTER'!#REF!)-1))),IF(SUMPRODUCT((('CONTROL MASTER'!$S$2:$S$495=6)*('CONTROL MASTER'!$Z$2:$Z$495&lt;=6)*('CONTROL MASTER'!$AB$2:$AB$495&gt;=6)*('CONTROL MASTER'!$AA$2:$AA$495&lt;=2)*('CONTROL MASTER'!$AC$2:$AC$495&gt;=2))*ROW('CONTROL MASTER'!$S$2:$S$495))&gt;0,INDEX('CONTROL MASTER'!$X$2:$X$495,(SUMPRODUCT((('CONTROL MASTER'!$S$2:$S$495=6)*('CONTROL MASTER'!$Z$2:$Z$495&lt;=6)*('CONTROL MASTER'!$AB$2:$AB$495&gt;=6)*('CONTROL MASTER'!$AA$2:$AA$495&lt;=2)*('CONTROL MASTER'!$AC$2:$AC$495&gt;=2))*ROW('CONTROL MASTER'!$S$2:$S$495))-(ROW('CONTROL MASTER'!#REF!)-1)))&amp;TRIM(MID(SUBSTITUTE(SUBSTITUTE(INDEX('CONTROL MASTER'!$N$2:$N$495,(SUMPRODUCT((('CONTROL MASTER'!$S$2:$S$495=6)*('CONTROL MASTER'!$Z$2:$Z$495&lt;=6)*('CONTROL MASTER'!$AB$2:$AB$495&gt;=6)*('CONTROL MASTER'!$AA$2:$AA$495&lt;=2)*('CONTROL MASTER'!$AC$2:$AC$495&gt;=2))*ROW('CONTROL MASTER'!$S$2:$S$495))-(ROW('CONTROL MASTER'!#REF!)-1))),":",","),",",REPT(" ",50)),(((INDEX('CONTROL MASTER'!$Y$2:$Y$495,(SUMPRODUCT((('CONTROL MASTER'!$S$2:$S$495=6)*('CONTROL MASTER'!$Z$2:$Z$495&lt;=6)*('CONTROL MASTER'!$AB$2:$AB$495&gt;=6)*('CONTROL MASTER'!$AA$2:$AA$495&lt;=2)*('CONTROL MASTER'!$AC$2:$AC$495&gt;=2))*ROW('CONTROL MASTER'!$S$2:$S$495))-(ROW('CONTROL MASTER'!#REF!)-1)))+((6-INDEX('CONTROL MASTER'!$Z$2:$Z$495,(SUMPRODUCT((('CONTROL MASTER'!$S$2:$S$495=6)*('CONTROL MASTER'!$Z$2:$Z$495&lt;=6)*('CONTROL MASTER'!$AB$2:$AB$495&gt;=6)*('CONTROL MASTER'!$AA$2:$AA$495&lt;=2)*('CONTROL MASTER'!$AC$2:$AC$495&gt;=2))*ROW('CONTROL MASTER'!$S$2:$S$495))-(ROW('CONTROL MASTER'!#REF!)-1))))*(INDEX('CONTROL MASTER'!$AC$2:$AC$495,(SUMPRODUCT((('CONTROL MASTER'!$S$2:$S$495=6)*('CONTROL MASTER'!$Z$2:$Z$495&lt;=6)*('CONTROL MASTER'!$AB$2:$AB$495&gt;=6)*('CONTROL MASTER'!$AA$2:$AA$495&lt;=2)*('CONTROL MASTER'!$AC$2:$AC$495&gt;=2))*ROW('CONTROL MASTER'!$S$2:$S$495))-(ROW('CONTROL MASTER'!#REF!)-1)))-INDEX('CONTROL MASTER'!$AA$2:$AA$495,(SUMPRODUCT((('CONTROL MASTER'!$S$2:$S$495=6)*('CONTROL MASTER'!$Z$2:$Z$495&lt;=6)*('CONTROL MASTER'!$AB$2:$AB$495&gt;=6)*('CONTROL MASTER'!$AA$2:$AA$495&lt;=2)*('CONTROL MASTER'!$AC$2:$AC$495&gt;=2))*ROW('CONTROL MASTER'!$S$2:$S$495))-(ROW('CONTROL MASTER'!#REF!)-1)))+1)+(2-INDEX('CONTROL MASTER'!$AA$2:$AA$495,(SUMPRODUCT((('CONTROL MASTER'!$S$2:$S$495=6)*('CONTROL MASTER'!$Z$2:$Z$495&lt;=6)*('CONTROL MASTER'!$AB$2:$AB$495&gt;=6)*('CONTROL MASTER'!$AA$2:$AA$495&lt;=2)*('CONTROL MASTER'!$AC$2:$AC$495&gt;=2))*ROW('CONTROL MASTER'!$S$2:$S$495))-(ROW('CONTROL MASTER'!#REF!)-1))))+1)))-1)*50+1,50))&amp;"_"&amp;INDEX('CONTROL MASTER'!$P$2:$P$495,(SUMPRODUCT((('CONTROL MASTER'!$S$2:$S$495=6)*('CONTROL MASTER'!$Z$2:$Z$495&lt;=6)*('CONTROL MASTER'!$AB$2:$AB$495&gt;=6)*('CONTROL MASTER'!$AA$2:$AA$495&lt;=2)*('CONTROL MASTER'!$AC$2:$AC$495&gt;=2))*ROW('CONTROL MASTER'!$S$2:$S$495))-(ROW('CONTROL MASTER'!#REF!)-1))),"")),"")</f>
        <v/>
      </c>
      <c r="D78" s="10" t="str">
        <f>IFERROR(IF(SUMPRODUCT((('CONTROL MASTER'!$S$2:$S$495=6)*('CONTROL MASTER'!$T$2:$T$495&lt;=6)*('CONTROL MASTER'!$V$2:$V$495&gt;=6)*('CONTROL MASTER'!$U$2:$U$495&lt;=3)*('CONTROL MASTER'!$W$2:$W$495&gt;=3))*ROW('CONTROL MASTER'!$S$2:$S$495))&gt;0,INDEX('CONTROL MASTER'!$X$2:$X$495,(SUMPRODUCT((('CONTROL MASTER'!$S$2:$S$495=6)*('CONTROL MASTER'!$T$2:$T$495&lt;=6)*('CONTROL MASTER'!$V$2:$V$495&gt;=6)*('CONTROL MASTER'!$U$2:$U$495&lt;=3)*('CONTROL MASTER'!$W$2:$W$495&gt;=3))*ROW('CONTROL MASTER'!$S$2:$S$495))-(ROW('CONTROL MASTER'!#REF!)-1)))&amp;TRIM(MID(SUBSTITUTE(SUBSTITUTE(INDEX('CONTROL MASTER'!$N$2:$N$495,(SUMPRODUCT((('CONTROL MASTER'!$S$2:$S$495=6)*('CONTROL MASTER'!$T$2:$T$495&lt;=6)*('CONTROL MASTER'!$V$2:$V$495&gt;=6)*('CONTROL MASTER'!$U$2:$U$495&lt;=3)*('CONTROL MASTER'!$W$2:$W$495&gt;=3))*ROW('CONTROL MASTER'!$S$2:$S$495))-(ROW('CONTROL MASTER'!#REF!)-1))),":",","),",",REPT(" ",50)),((((6-INDEX('CONTROL MASTER'!$T$2:$T$495,(SUMPRODUCT((('CONTROL MASTER'!$S$2:$S$495=6)*('CONTROL MASTER'!$T$2:$T$495&lt;=6)*('CONTROL MASTER'!$V$2:$V$495&gt;=6)*('CONTROL MASTER'!$U$2:$U$495&lt;=3)*('CONTROL MASTER'!$W$2:$W$495&gt;=3))*ROW('CONTROL MASTER'!$S$2:$S$495))-(ROW('CONTROL MASTER'!#REF!)-1))))*(INDEX('CONTROL MASTER'!$W$2:$W$495,(SUMPRODUCT((('CONTROL MASTER'!$S$2:$S$495=6)*('CONTROL MASTER'!$T$2:$T$495&lt;=6)*('CONTROL MASTER'!$V$2:$V$495&gt;=6)*('CONTROL MASTER'!$U$2:$U$495&lt;=3)*('CONTROL MASTER'!$W$2:$W$495&gt;=3))*ROW('CONTROL MASTER'!$S$2:$S$495))-(ROW('CONTROL MASTER'!#REF!)-1)))-INDEX('CONTROL MASTER'!$U$2:$U$495,(SUMPRODUCT((('CONTROL MASTER'!$S$2:$S$495=6)*('CONTROL MASTER'!$T$2:$T$495&lt;=6)*('CONTROL MASTER'!$V$2:$V$495&gt;=6)*('CONTROL MASTER'!$U$2:$U$495&lt;=3)*('CONTROL MASTER'!$W$2:$W$495&gt;=3))*ROW('CONTROL MASTER'!$S$2:$S$495))-(ROW('CONTROL MASTER'!#REF!)-1)))+1)+(3-INDEX('CONTROL MASTER'!$U$2:$U$495,(SUMPRODUCT((('CONTROL MASTER'!$S$2:$S$495=6)*('CONTROL MASTER'!$T$2:$T$495&lt;=6)*('CONTROL MASTER'!$V$2:$V$495&gt;=6)*('CONTROL MASTER'!$U$2:$U$495&lt;=3)*('CONTROL MASTER'!$W$2:$W$495&gt;=3))*ROW('CONTROL MASTER'!$S$2:$S$495))-(ROW('CONTROL MASTER'!#REF!)-1))))+1))-1)*50+1,50))&amp;"_"&amp;INDEX('CONTROL MASTER'!$P$2:$P$495,(SUMPRODUCT((('CONTROL MASTER'!$S$2:$S$495=6)*('CONTROL MASTER'!$T$2:$T$495&lt;=6)*('CONTROL MASTER'!$V$2:$V$495&gt;=6)*('CONTROL MASTER'!$U$2:$U$495&lt;=3)*('CONTROL MASTER'!$W$2:$W$495&gt;=3))*ROW('CONTROL MASTER'!$S$2:$S$495))-(ROW('CONTROL MASTER'!#REF!)-1))),IF(SUMPRODUCT((('CONTROL MASTER'!$S$2:$S$495=6)*('CONTROL MASTER'!$Z$2:$Z$495&lt;=6)*('CONTROL MASTER'!$AB$2:$AB$495&gt;=6)*('CONTROL MASTER'!$AA$2:$AA$495&lt;=3)*('CONTROL MASTER'!$AC$2:$AC$495&gt;=3))*ROW('CONTROL MASTER'!$S$2:$S$495))&gt;0,INDEX('CONTROL MASTER'!$X$2:$X$495,(SUMPRODUCT((('CONTROL MASTER'!$S$2:$S$495=6)*('CONTROL MASTER'!$Z$2:$Z$495&lt;=6)*('CONTROL MASTER'!$AB$2:$AB$495&gt;=6)*('CONTROL MASTER'!$AA$2:$AA$495&lt;=3)*('CONTROL MASTER'!$AC$2:$AC$495&gt;=3))*ROW('CONTROL MASTER'!$S$2:$S$495))-(ROW('CONTROL MASTER'!#REF!)-1)))&amp;TRIM(MID(SUBSTITUTE(SUBSTITUTE(INDEX('CONTROL MASTER'!$N$2:$N$495,(SUMPRODUCT((('CONTROL MASTER'!$S$2:$S$495=6)*('CONTROL MASTER'!$Z$2:$Z$495&lt;=6)*('CONTROL MASTER'!$AB$2:$AB$495&gt;=6)*('CONTROL MASTER'!$AA$2:$AA$495&lt;=3)*('CONTROL MASTER'!$AC$2:$AC$495&gt;=3))*ROW('CONTROL MASTER'!$S$2:$S$495))-(ROW('CONTROL MASTER'!#REF!)-1))),":",","),",",REPT(" ",50)),(((INDEX('CONTROL MASTER'!$Y$2:$Y$495,(SUMPRODUCT((('CONTROL MASTER'!$S$2:$S$495=6)*('CONTROL MASTER'!$Z$2:$Z$495&lt;=6)*('CONTROL MASTER'!$AB$2:$AB$495&gt;=6)*('CONTROL MASTER'!$AA$2:$AA$495&lt;=3)*('CONTROL MASTER'!$AC$2:$AC$495&gt;=3))*ROW('CONTROL MASTER'!$S$2:$S$495))-(ROW('CONTROL MASTER'!#REF!)-1)))+((6-INDEX('CONTROL MASTER'!$Z$2:$Z$495,(SUMPRODUCT((('CONTROL MASTER'!$S$2:$S$495=6)*('CONTROL MASTER'!$Z$2:$Z$495&lt;=6)*('CONTROL MASTER'!$AB$2:$AB$495&gt;=6)*('CONTROL MASTER'!$AA$2:$AA$495&lt;=3)*('CONTROL MASTER'!$AC$2:$AC$495&gt;=3))*ROW('CONTROL MASTER'!$S$2:$S$495))-(ROW('CONTROL MASTER'!#REF!)-1))))*(INDEX('CONTROL MASTER'!$AC$2:$AC$495,(SUMPRODUCT((('CONTROL MASTER'!$S$2:$S$495=6)*('CONTROL MASTER'!$Z$2:$Z$495&lt;=6)*('CONTROL MASTER'!$AB$2:$AB$495&gt;=6)*('CONTROL MASTER'!$AA$2:$AA$495&lt;=3)*('CONTROL MASTER'!$AC$2:$AC$495&gt;=3))*ROW('CONTROL MASTER'!$S$2:$S$495))-(ROW('CONTROL MASTER'!#REF!)-1)))-INDEX('CONTROL MASTER'!$AA$2:$AA$495,(SUMPRODUCT((('CONTROL MASTER'!$S$2:$S$495=6)*('CONTROL MASTER'!$Z$2:$Z$495&lt;=6)*('CONTROL MASTER'!$AB$2:$AB$495&gt;=6)*('CONTROL MASTER'!$AA$2:$AA$495&lt;=3)*('CONTROL MASTER'!$AC$2:$AC$495&gt;=3))*ROW('CONTROL MASTER'!$S$2:$S$495))-(ROW('CONTROL MASTER'!#REF!)-1)))+1)+(3-INDEX('CONTROL MASTER'!$AA$2:$AA$495,(SUMPRODUCT((('CONTROL MASTER'!$S$2:$S$495=6)*('CONTROL MASTER'!$Z$2:$Z$495&lt;=6)*('CONTROL MASTER'!$AB$2:$AB$495&gt;=6)*('CONTROL MASTER'!$AA$2:$AA$495&lt;=3)*('CONTROL MASTER'!$AC$2:$AC$495&gt;=3))*ROW('CONTROL MASTER'!$S$2:$S$495))-(ROW('CONTROL MASTER'!#REF!)-1))))+1)))-1)*50+1,50))&amp;"_"&amp;INDEX('CONTROL MASTER'!$P$2:$P$495,(SUMPRODUCT((('CONTROL MASTER'!$S$2:$S$495=6)*('CONTROL MASTER'!$Z$2:$Z$495&lt;=6)*('CONTROL MASTER'!$AB$2:$AB$495&gt;=6)*('CONTROL MASTER'!$AA$2:$AA$495&lt;=3)*('CONTROL MASTER'!$AC$2:$AC$495&gt;=3))*ROW('CONTROL MASTER'!$S$2:$S$495))-(ROW('CONTROL MASTER'!#REF!)-1))),"")),"")</f>
        <v/>
      </c>
      <c r="E78" s="10" t="str">
        <f>IFERROR(IF(SUMPRODUCT((('CONTROL MASTER'!$S$2:$S$495=6)*('CONTROL MASTER'!$T$2:$T$495&lt;=6)*('CONTROL MASTER'!$V$2:$V$495&gt;=6)*('CONTROL MASTER'!$U$2:$U$495&lt;=4)*('CONTROL MASTER'!$W$2:$W$495&gt;=4))*ROW('CONTROL MASTER'!$S$2:$S$495))&gt;0,INDEX('CONTROL MASTER'!$X$2:$X$495,(SUMPRODUCT((('CONTROL MASTER'!$S$2:$S$495=6)*('CONTROL MASTER'!$T$2:$T$495&lt;=6)*('CONTROL MASTER'!$V$2:$V$495&gt;=6)*('CONTROL MASTER'!$U$2:$U$495&lt;=4)*('CONTROL MASTER'!$W$2:$W$495&gt;=4))*ROW('CONTROL MASTER'!$S$2:$S$495))-(ROW('CONTROL MASTER'!#REF!)-1)))&amp;TRIM(MID(SUBSTITUTE(SUBSTITUTE(INDEX('CONTROL MASTER'!$N$2:$N$495,(SUMPRODUCT((('CONTROL MASTER'!$S$2:$S$495=6)*('CONTROL MASTER'!$T$2:$T$495&lt;=6)*('CONTROL MASTER'!$V$2:$V$495&gt;=6)*('CONTROL MASTER'!$U$2:$U$495&lt;=4)*('CONTROL MASTER'!$W$2:$W$495&gt;=4))*ROW('CONTROL MASTER'!$S$2:$S$495))-(ROW('CONTROL MASTER'!#REF!)-1))),":",","),",",REPT(" ",50)),((((6-INDEX('CONTROL MASTER'!$T$2:$T$495,(SUMPRODUCT((('CONTROL MASTER'!$S$2:$S$495=6)*('CONTROL MASTER'!$T$2:$T$495&lt;=6)*('CONTROL MASTER'!$V$2:$V$495&gt;=6)*('CONTROL MASTER'!$U$2:$U$495&lt;=4)*('CONTROL MASTER'!$W$2:$W$495&gt;=4))*ROW('CONTROL MASTER'!$S$2:$S$495))-(ROW('CONTROL MASTER'!#REF!)-1))))*(INDEX('CONTROL MASTER'!$W$2:$W$495,(SUMPRODUCT((('CONTROL MASTER'!$S$2:$S$495=6)*('CONTROL MASTER'!$T$2:$T$495&lt;=6)*('CONTROL MASTER'!$V$2:$V$495&gt;=6)*('CONTROL MASTER'!$U$2:$U$495&lt;=4)*('CONTROL MASTER'!$W$2:$W$495&gt;=4))*ROW('CONTROL MASTER'!$S$2:$S$495))-(ROW('CONTROL MASTER'!#REF!)-1)))-INDEX('CONTROL MASTER'!$U$2:$U$495,(SUMPRODUCT((('CONTROL MASTER'!$S$2:$S$495=6)*('CONTROL MASTER'!$T$2:$T$495&lt;=6)*('CONTROL MASTER'!$V$2:$V$495&gt;=6)*('CONTROL MASTER'!$U$2:$U$495&lt;=4)*('CONTROL MASTER'!$W$2:$W$495&gt;=4))*ROW('CONTROL MASTER'!$S$2:$S$495))-(ROW('CONTROL MASTER'!#REF!)-1)))+1)+(4-INDEX('CONTROL MASTER'!$U$2:$U$495,(SUMPRODUCT((('CONTROL MASTER'!$S$2:$S$495=6)*('CONTROL MASTER'!$T$2:$T$495&lt;=6)*('CONTROL MASTER'!$V$2:$V$495&gt;=6)*('CONTROL MASTER'!$U$2:$U$495&lt;=4)*('CONTROL MASTER'!$W$2:$W$495&gt;=4))*ROW('CONTROL MASTER'!$S$2:$S$495))-(ROW('CONTROL MASTER'!#REF!)-1))))+1))-1)*50+1,50))&amp;"_"&amp;INDEX('CONTROL MASTER'!$P$2:$P$495,(SUMPRODUCT((('CONTROL MASTER'!$S$2:$S$495=6)*('CONTROL MASTER'!$T$2:$T$495&lt;=6)*('CONTROL MASTER'!$V$2:$V$495&gt;=6)*('CONTROL MASTER'!$U$2:$U$495&lt;=4)*('CONTROL MASTER'!$W$2:$W$495&gt;=4))*ROW('CONTROL MASTER'!$S$2:$S$495))-(ROW('CONTROL MASTER'!#REF!)-1))),IF(SUMPRODUCT((('CONTROL MASTER'!$S$2:$S$495=6)*('CONTROL MASTER'!$Z$2:$Z$495&lt;=6)*('CONTROL MASTER'!$AB$2:$AB$495&gt;=6)*('CONTROL MASTER'!$AA$2:$AA$495&lt;=4)*('CONTROL MASTER'!$AC$2:$AC$495&gt;=4))*ROW('CONTROL MASTER'!$S$2:$S$495))&gt;0,INDEX('CONTROL MASTER'!$X$2:$X$495,(SUMPRODUCT((('CONTROL MASTER'!$S$2:$S$495=6)*('CONTROL MASTER'!$Z$2:$Z$495&lt;=6)*('CONTROL MASTER'!$AB$2:$AB$495&gt;=6)*('CONTROL MASTER'!$AA$2:$AA$495&lt;=4)*('CONTROL MASTER'!$AC$2:$AC$495&gt;=4))*ROW('CONTROL MASTER'!$S$2:$S$495))-(ROW('CONTROL MASTER'!#REF!)-1)))&amp;TRIM(MID(SUBSTITUTE(SUBSTITUTE(INDEX('CONTROL MASTER'!$N$2:$N$495,(SUMPRODUCT((('CONTROL MASTER'!$S$2:$S$495=6)*('CONTROL MASTER'!$Z$2:$Z$495&lt;=6)*('CONTROL MASTER'!$AB$2:$AB$495&gt;=6)*('CONTROL MASTER'!$AA$2:$AA$495&lt;=4)*('CONTROL MASTER'!$AC$2:$AC$495&gt;=4))*ROW('CONTROL MASTER'!$S$2:$S$495))-(ROW('CONTROL MASTER'!#REF!)-1))),":",","),",",REPT(" ",50)),(((INDEX('CONTROL MASTER'!$Y$2:$Y$495,(SUMPRODUCT((('CONTROL MASTER'!$S$2:$S$495=6)*('CONTROL MASTER'!$Z$2:$Z$495&lt;=6)*('CONTROL MASTER'!$AB$2:$AB$495&gt;=6)*('CONTROL MASTER'!$AA$2:$AA$495&lt;=4)*('CONTROL MASTER'!$AC$2:$AC$495&gt;=4))*ROW('CONTROL MASTER'!$S$2:$S$495))-(ROW('CONTROL MASTER'!#REF!)-1)))+((6-INDEX('CONTROL MASTER'!$Z$2:$Z$495,(SUMPRODUCT((('CONTROL MASTER'!$S$2:$S$495=6)*('CONTROL MASTER'!$Z$2:$Z$495&lt;=6)*('CONTROL MASTER'!$AB$2:$AB$495&gt;=6)*('CONTROL MASTER'!$AA$2:$AA$495&lt;=4)*('CONTROL MASTER'!$AC$2:$AC$495&gt;=4))*ROW('CONTROL MASTER'!$S$2:$S$495))-(ROW('CONTROL MASTER'!#REF!)-1))))*(INDEX('CONTROL MASTER'!$AC$2:$AC$495,(SUMPRODUCT((('CONTROL MASTER'!$S$2:$S$495=6)*('CONTROL MASTER'!$Z$2:$Z$495&lt;=6)*('CONTROL MASTER'!$AB$2:$AB$495&gt;=6)*('CONTROL MASTER'!$AA$2:$AA$495&lt;=4)*('CONTROL MASTER'!$AC$2:$AC$495&gt;=4))*ROW('CONTROL MASTER'!$S$2:$S$495))-(ROW('CONTROL MASTER'!#REF!)-1)))-INDEX('CONTROL MASTER'!$AA$2:$AA$495,(SUMPRODUCT((('CONTROL MASTER'!$S$2:$S$495=6)*('CONTROL MASTER'!$Z$2:$Z$495&lt;=6)*('CONTROL MASTER'!$AB$2:$AB$495&gt;=6)*('CONTROL MASTER'!$AA$2:$AA$495&lt;=4)*('CONTROL MASTER'!$AC$2:$AC$495&gt;=4))*ROW('CONTROL MASTER'!$S$2:$S$495))-(ROW('CONTROL MASTER'!#REF!)-1)))+1)+(4-INDEX('CONTROL MASTER'!$AA$2:$AA$495,(SUMPRODUCT((('CONTROL MASTER'!$S$2:$S$495=6)*('CONTROL MASTER'!$Z$2:$Z$495&lt;=6)*('CONTROL MASTER'!$AB$2:$AB$495&gt;=6)*('CONTROL MASTER'!$AA$2:$AA$495&lt;=4)*('CONTROL MASTER'!$AC$2:$AC$495&gt;=4))*ROW('CONTROL MASTER'!$S$2:$S$495))-(ROW('CONTROL MASTER'!#REF!)-1))))+1)))-1)*50+1,50))&amp;"_"&amp;INDEX('CONTROL MASTER'!$P$2:$P$495,(SUMPRODUCT((('CONTROL MASTER'!$S$2:$S$495=6)*('CONTROL MASTER'!$Z$2:$Z$495&lt;=6)*('CONTROL MASTER'!$AB$2:$AB$495&gt;=6)*('CONTROL MASTER'!$AA$2:$AA$495&lt;=4)*('CONTROL MASTER'!$AC$2:$AC$495&gt;=4))*ROW('CONTROL MASTER'!$S$2:$S$495))-(ROW('CONTROL MASTER'!#REF!)-1))),"")),"")</f>
        <v/>
      </c>
      <c r="F78" s="10" t="str">
        <f>IFERROR(IF(SUMPRODUCT((('CONTROL MASTER'!$S$2:$S$495=6)*('CONTROL MASTER'!$T$2:$T$495&lt;=6)*('CONTROL MASTER'!$V$2:$V$495&gt;=6)*('CONTROL MASTER'!$U$2:$U$495&lt;=5)*('CONTROL MASTER'!$W$2:$W$495&gt;=5))*ROW('CONTROL MASTER'!$S$2:$S$495))&gt;0,INDEX('CONTROL MASTER'!$X$2:$X$495,(SUMPRODUCT((('CONTROL MASTER'!$S$2:$S$495=6)*('CONTROL MASTER'!$T$2:$T$495&lt;=6)*('CONTROL MASTER'!$V$2:$V$495&gt;=6)*('CONTROL MASTER'!$U$2:$U$495&lt;=5)*('CONTROL MASTER'!$W$2:$W$495&gt;=5))*ROW('CONTROL MASTER'!$S$2:$S$495))-(ROW('CONTROL MASTER'!#REF!)-1)))&amp;TRIM(MID(SUBSTITUTE(SUBSTITUTE(INDEX('CONTROL MASTER'!$N$2:$N$495,(SUMPRODUCT((('CONTROL MASTER'!$S$2:$S$495=6)*('CONTROL MASTER'!$T$2:$T$495&lt;=6)*('CONTROL MASTER'!$V$2:$V$495&gt;=6)*('CONTROL MASTER'!$U$2:$U$495&lt;=5)*('CONTROL MASTER'!$W$2:$W$495&gt;=5))*ROW('CONTROL MASTER'!$S$2:$S$495))-(ROW('CONTROL MASTER'!#REF!)-1))),":",","),",",REPT(" ",50)),((((6-INDEX('CONTROL MASTER'!$T$2:$T$495,(SUMPRODUCT((('CONTROL MASTER'!$S$2:$S$495=6)*('CONTROL MASTER'!$T$2:$T$495&lt;=6)*('CONTROL MASTER'!$V$2:$V$495&gt;=6)*('CONTROL MASTER'!$U$2:$U$495&lt;=5)*('CONTROL MASTER'!$W$2:$W$495&gt;=5))*ROW('CONTROL MASTER'!$S$2:$S$495))-(ROW('CONTROL MASTER'!#REF!)-1))))*(INDEX('CONTROL MASTER'!$W$2:$W$495,(SUMPRODUCT((('CONTROL MASTER'!$S$2:$S$495=6)*('CONTROL MASTER'!$T$2:$T$495&lt;=6)*('CONTROL MASTER'!$V$2:$V$495&gt;=6)*('CONTROL MASTER'!$U$2:$U$495&lt;=5)*('CONTROL MASTER'!$W$2:$W$495&gt;=5))*ROW('CONTROL MASTER'!$S$2:$S$495))-(ROW('CONTROL MASTER'!#REF!)-1)))-INDEX('CONTROL MASTER'!$U$2:$U$495,(SUMPRODUCT((('CONTROL MASTER'!$S$2:$S$495=6)*('CONTROL MASTER'!$T$2:$T$495&lt;=6)*('CONTROL MASTER'!$V$2:$V$495&gt;=6)*('CONTROL MASTER'!$U$2:$U$495&lt;=5)*('CONTROL MASTER'!$W$2:$W$495&gt;=5))*ROW('CONTROL MASTER'!$S$2:$S$495))-(ROW('CONTROL MASTER'!#REF!)-1)))+1)+(5-INDEX('CONTROL MASTER'!$U$2:$U$495,(SUMPRODUCT((('CONTROL MASTER'!$S$2:$S$495=6)*('CONTROL MASTER'!$T$2:$T$495&lt;=6)*('CONTROL MASTER'!$V$2:$V$495&gt;=6)*('CONTROL MASTER'!$U$2:$U$495&lt;=5)*('CONTROL MASTER'!$W$2:$W$495&gt;=5))*ROW('CONTROL MASTER'!$S$2:$S$495))-(ROW('CONTROL MASTER'!#REF!)-1))))+1))-1)*50+1,50))&amp;"_"&amp;INDEX('CONTROL MASTER'!$P$2:$P$495,(SUMPRODUCT((('CONTROL MASTER'!$S$2:$S$495=6)*('CONTROL MASTER'!$T$2:$T$495&lt;=6)*('CONTROL MASTER'!$V$2:$V$495&gt;=6)*('CONTROL MASTER'!$U$2:$U$495&lt;=5)*('CONTROL MASTER'!$W$2:$W$495&gt;=5))*ROW('CONTROL MASTER'!$S$2:$S$495))-(ROW('CONTROL MASTER'!#REF!)-1))),IF(SUMPRODUCT((('CONTROL MASTER'!$S$2:$S$495=6)*('CONTROL MASTER'!$Z$2:$Z$495&lt;=6)*('CONTROL MASTER'!$AB$2:$AB$495&gt;=6)*('CONTROL MASTER'!$AA$2:$AA$495&lt;=5)*('CONTROL MASTER'!$AC$2:$AC$495&gt;=5))*ROW('CONTROL MASTER'!$S$2:$S$495))&gt;0,INDEX('CONTROL MASTER'!$X$2:$X$495,(SUMPRODUCT((('CONTROL MASTER'!$S$2:$S$495=6)*('CONTROL MASTER'!$Z$2:$Z$495&lt;=6)*('CONTROL MASTER'!$AB$2:$AB$495&gt;=6)*('CONTROL MASTER'!$AA$2:$AA$495&lt;=5)*('CONTROL MASTER'!$AC$2:$AC$495&gt;=5))*ROW('CONTROL MASTER'!$S$2:$S$495))-(ROW('CONTROL MASTER'!#REF!)-1)))&amp;TRIM(MID(SUBSTITUTE(SUBSTITUTE(INDEX('CONTROL MASTER'!$N$2:$N$495,(SUMPRODUCT((('CONTROL MASTER'!$S$2:$S$495=6)*('CONTROL MASTER'!$Z$2:$Z$495&lt;=6)*('CONTROL MASTER'!$AB$2:$AB$495&gt;=6)*('CONTROL MASTER'!$AA$2:$AA$495&lt;=5)*('CONTROL MASTER'!$AC$2:$AC$495&gt;=5))*ROW('CONTROL MASTER'!$S$2:$S$495))-(ROW('CONTROL MASTER'!#REF!)-1))),":",","),",",REPT(" ",50)),(((INDEX('CONTROL MASTER'!$Y$2:$Y$495,(SUMPRODUCT((('CONTROL MASTER'!$S$2:$S$495=6)*('CONTROL MASTER'!$Z$2:$Z$495&lt;=6)*('CONTROL MASTER'!$AB$2:$AB$495&gt;=6)*('CONTROL MASTER'!$AA$2:$AA$495&lt;=5)*('CONTROL MASTER'!$AC$2:$AC$495&gt;=5))*ROW('CONTROL MASTER'!$S$2:$S$495))-(ROW('CONTROL MASTER'!#REF!)-1)))+((6-INDEX('CONTROL MASTER'!$Z$2:$Z$495,(SUMPRODUCT((('CONTROL MASTER'!$S$2:$S$495=6)*('CONTROL MASTER'!$Z$2:$Z$495&lt;=6)*('CONTROL MASTER'!$AB$2:$AB$495&gt;=6)*('CONTROL MASTER'!$AA$2:$AA$495&lt;=5)*('CONTROL MASTER'!$AC$2:$AC$495&gt;=5))*ROW('CONTROL MASTER'!$S$2:$S$495))-(ROW('CONTROL MASTER'!#REF!)-1))))*(INDEX('CONTROL MASTER'!$AC$2:$AC$495,(SUMPRODUCT((('CONTROL MASTER'!$S$2:$S$495=6)*('CONTROL MASTER'!$Z$2:$Z$495&lt;=6)*('CONTROL MASTER'!$AB$2:$AB$495&gt;=6)*('CONTROL MASTER'!$AA$2:$AA$495&lt;=5)*('CONTROL MASTER'!$AC$2:$AC$495&gt;=5))*ROW('CONTROL MASTER'!$S$2:$S$495))-(ROW('CONTROL MASTER'!#REF!)-1)))-INDEX('CONTROL MASTER'!$AA$2:$AA$495,(SUMPRODUCT((('CONTROL MASTER'!$S$2:$S$495=6)*('CONTROL MASTER'!$Z$2:$Z$495&lt;=6)*('CONTROL MASTER'!$AB$2:$AB$495&gt;=6)*('CONTROL MASTER'!$AA$2:$AA$495&lt;=5)*('CONTROL MASTER'!$AC$2:$AC$495&gt;=5))*ROW('CONTROL MASTER'!$S$2:$S$495))-(ROW('CONTROL MASTER'!#REF!)-1)))+1)+(5-INDEX('CONTROL MASTER'!$AA$2:$AA$495,(SUMPRODUCT((('CONTROL MASTER'!$S$2:$S$495=6)*('CONTROL MASTER'!$Z$2:$Z$495&lt;=6)*('CONTROL MASTER'!$AB$2:$AB$495&gt;=6)*('CONTROL MASTER'!$AA$2:$AA$495&lt;=5)*('CONTROL MASTER'!$AC$2:$AC$495&gt;=5))*ROW('CONTROL MASTER'!$S$2:$S$495))-(ROW('CONTROL MASTER'!#REF!)-1))))+1)))-1)*50+1,50))&amp;"_"&amp;INDEX('CONTROL MASTER'!$P$2:$P$495,(SUMPRODUCT((('CONTROL MASTER'!$S$2:$S$495=6)*('CONTROL MASTER'!$Z$2:$Z$495&lt;=6)*('CONTROL MASTER'!$AB$2:$AB$495&gt;=6)*('CONTROL MASTER'!$AA$2:$AA$495&lt;=5)*('CONTROL MASTER'!$AC$2:$AC$495&gt;=5))*ROW('CONTROL MASTER'!$S$2:$S$495))-(ROW('CONTROL MASTER'!#REF!)-1))),"")),"")</f>
        <v/>
      </c>
      <c r="G78" s="10" t="str">
        <f>IFERROR(IF(SUMPRODUCT((('CONTROL MASTER'!$S$2:$S$495=6)*('CONTROL MASTER'!$T$2:$T$495&lt;=6)*('CONTROL MASTER'!$V$2:$V$495&gt;=6)*('CONTROL MASTER'!$U$2:$U$495&lt;=6)*('CONTROL MASTER'!$W$2:$W$495&gt;=6))*ROW('CONTROL MASTER'!$S$2:$S$495))&gt;0,INDEX('CONTROL MASTER'!$X$2:$X$495,(SUMPRODUCT((('CONTROL MASTER'!$S$2:$S$495=6)*('CONTROL MASTER'!$T$2:$T$495&lt;=6)*('CONTROL MASTER'!$V$2:$V$495&gt;=6)*('CONTROL MASTER'!$U$2:$U$495&lt;=6)*('CONTROL MASTER'!$W$2:$W$495&gt;=6))*ROW('CONTROL MASTER'!$S$2:$S$495))-(ROW('CONTROL MASTER'!#REF!)-1)))&amp;TRIM(MID(SUBSTITUTE(SUBSTITUTE(INDEX('CONTROL MASTER'!$N$2:$N$495,(SUMPRODUCT((('CONTROL MASTER'!$S$2:$S$495=6)*('CONTROL MASTER'!$T$2:$T$495&lt;=6)*('CONTROL MASTER'!$V$2:$V$495&gt;=6)*('CONTROL MASTER'!$U$2:$U$495&lt;=6)*('CONTROL MASTER'!$W$2:$W$495&gt;=6))*ROW('CONTROL MASTER'!$S$2:$S$495))-(ROW('CONTROL MASTER'!#REF!)-1))),":",","),",",REPT(" ",50)),((((6-INDEX('CONTROL MASTER'!$T$2:$T$495,(SUMPRODUCT((('CONTROL MASTER'!$S$2:$S$495=6)*('CONTROL MASTER'!$T$2:$T$495&lt;=6)*('CONTROL MASTER'!$V$2:$V$495&gt;=6)*('CONTROL MASTER'!$U$2:$U$495&lt;=6)*('CONTROL MASTER'!$W$2:$W$495&gt;=6))*ROW('CONTROL MASTER'!$S$2:$S$495))-(ROW('CONTROL MASTER'!#REF!)-1))))*(INDEX('CONTROL MASTER'!$W$2:$W$495,(SUMPRODUCT((('CONTROL MASTER'!$S$2:$S$495=6)*('CONTROL MASTER'!$T$2:$T$495&lt;=6)*('CONTROL MASTER'!$V$2:$V$495&gt;=6)*('CONTROL MASTER'!$U$2:$U$495&lt;=6)*('CONTROL MASTER'!$W$2:$W$495&gt;=6))*ROW('CONTROL MASTER'!$S$2:$S$495))-(ROW('CONTROL MASTER'!#REF!)-1)))-INDEX('CONTROL MASTER'!$U$2:$U$495,(SUMPRODUCT((('CONTROL MASTER'!$S$2:$S$495=6)*('CONTROL MASTER'!$T$2:$T$495&lt;=6)*('CONTROL MASTER'!$V$2:$V$495&gt;=6)*('CONTROL MASTER'!$U$2:$U$495&lt;=6)*('CONTROL MASTER'!$W$2:$W$495&gt;=6))*ROW('CONTROL MASTER'!$S$2:$S$495))-(ROW('CONTROL MASTER'!#REF!)-1)))+1)+(6-INDEX('CONTROL MASTER'!$U$2:$U$495,(SUMPRODUCT((('CONTROL MASTER'!$S$2:$S$495=6)*('CONTROL MASTER'!$T$2:$T$495&lt;=6)*('CONTROL MASTER'!$V$2:$V$495&gt;=6)*('CONTROL MASTER'!$U$2:$U$495&lt;=6)*('CONTROL MASTER'!$W$2:$W$495&gt;=6))*ROW('CONTROL MASTER'!$S$2:$S$495))-(ROW('CONTROL MASTER'!#REF!)-1))))+1))-1)*50+1,50))&amp;"_"&amp;INDEX('CONTROL MASTER'!$P$2:$P$495,(SUMPRODUCT((('CONTROL MASTER'!$S$2:$S$495=6)*('CONTROL MASTER'!$T$2:$T$495&lt;=6)*('CONTROL MASTER'!$V$2:$V$495&gt;=6)*('CONTROL MASTER'!$U$2:$U$495&lt;=6)*('CONTROL MASTER'!$W$2:$W$495&gt;=6))*ROW('CONTROL MASTER'!$S$2:$S$495))-(ROW('CONTROL MASTER'!#REF!)-1))),IF(SUMPRODUCT((('CONTROL MASTER'!$S$2:$S$495=6)*('CONTROL MASTER'!$Z$2:$Z$495&lt;=6)*('CONTROL MASTER'!$AB$2:$AB$495&gt;=6)*('CONTROL MASTER'!$AA$2:$AA$495&lt;=6)*('CONTROL MASTER'!$AC$2:$AC$495&gt;=6))*ROW('CONTROL MASTER'!$S$2:$S$495))&gt;0,INDEX('CONTROL MASTER'!$X$2:$X$495,(SUMPRODUCT((('CONTROL MASTER'!$S$2:$S$495=6)*('CONTROL MASTER'!$Z$2:$Z$495&lt;=6)*('CONTROL MASTER'!$AB$2:$AB$495&gt;=6)*('CONTROL MASTER'!$AA$2:$AA$495&lt;=6)*('CONTROL MASTER'!$AC$2:$AC$495&gt;=6))*ROW('CONTROL MASTER'!$S$2:$S$495))-(ROW('CONTROL MASTER'!#REF!)-1)))&amp;TRIM(MID(SUBSTITUTE(SUBSTITUTE(INDEX('CONTROL MASTER'!$N$2:$N$495,(SUMPRODUCT((('CONTROL MASTER'!$S$2:$S$495=6)*('CONTROL MASTER'!$Z$2:$Z$495&lt;=6)*('CONTROL MASTER'!$AB$2:$AB$495&gt;=6)*('CONTROL MASTER'!$AA$2:$AA$495&lt;=6)*('CONTROL MASTER'!$AC$2:$AC$495&gt;=6))*ROW('CONTROL MASTER'!$S$2:$S$495))-(ROW('CONTROL MASTER'!#REF!)-1))),":",","),",",REPT(" ",50)),(((INDEX('CONTROL MASTER'!$Y$2:$Y$495,(SUMPRODUCT((('CONTROL MASTER'!$S$2:$S$495=6)*('CONTROL MASTER'!$Z$2:$Z$495&lt;=6)*('CONTROL MASTER'!$AB$2:$AB$495&gt;=6)*('CONTROL MASTER'!$AA$2:$AA$495&lt;=6)*('CONTROL MASTER'!$AC$2:$AC$495&gt;=6))*ROW('CONTROL MASTER'!$S$2:$S$495))-(ROW('CONTROL MASTER'!#REF!)-1)))+((6-INDEX('CONTROL MASTER'!$Z$2:$Z$495,(SUMPRODUCT((('CONTROL MASTER'!$S$2:$S$495=6)*('CONTROL MASTER'!$Z$2:$Z$495&lt;=6)*('CONTROL MASTER'!$AB$2:$AB$495&gt;=6)*('CONTROL MASTER'!$AA$2:$AA$495&lt;=6)*('CONTROL MASTER'!$AC$2:$AC$495&gt;=6))*ROW('CONTROL MASTER'!$S$2:$S$495))-(ROW('CONTROL MASTER'!#REF!)-1))))*(INDEX('CONTROL MASTER'!$AC$2:$AC$495,(SUMPRODUCT((('CONTROL MASTER'!$S$2:$S$495=6)*('CONTROL MASTER'!$Z$2:$Z$495&lt;=6)*('CONTROL MASTER'!$AB$2:$AB$495&gt;=6)*('CONTROL MASTER'!$AA$2:$AA$495&lt;=6)*('CONTROL MASTER'!$AC$2:$AC$495&gt;=6))*ROW('CONTROL MASTER'!$S$2:$S$495))-(ROW('CONTROL MASTER'!#REF!)-1)))-INDEX('CONTROL MASTER'!$AA$2:$AA$495,(SUMPRODUCT((('CONTROL MASTER'!$S$2:$S$495=6)*('CONTROL MASTER'!$Z$2:$Z$495&lt;=6)*('CONTROL MASTER'!$AB$2:$AB$495&gt;=6)*('CONTROL MASTER'!$AA$2:$AA$495&lt;=6)*('CONTROL MASTER'!$AC$2:$AC$495&gt;=6))*ROW('CONTROL MASTER'!$S$2:$S$495))-(ROW('CONTROL MASTER'!#REF!)-1)))+1)+(6-INDEX('CONTROL MASTER'!$AA$2:$AA$495,(SUMPRODUCT((('CONTROL MASTER'!$S$2:$S$495=6)*('CONTROL MASTER'!$Z$2:$Z$495&lt;=6)*('CONTROL MASTER'!$AB$2:$AB$495&gt;=6)*('CONTROL MASTER'!$AA$2:$AA$495&lt;=6)*('CONTROL MASTER'!$AC$2:$AC$495&gt;=6))*ROW('CONTROL MASTER'!$S$2:$S$495))-(ROW('CONTROL MASTER'!#REF!)-1))))+1)))-1)*50+1,50))&amp;"_"&amp;INDEX('CONTROL MASTER'!$P$2:$P$495,(SUMPRODUCT((('CONTROL MASTER'!$S$2:$S$495=6)*('CONTROL MASTER'!$Z$2:$Z$495&lt;=6)*('CONTROL MASTER'!$AB$2:$AB$495&gt;=6)*('CONTROL MASTER'!$AA$2:$AA$495&lt;=6)*('CONTROL MASTER'!$AC$2:$AC$495&gt;=6))*ROW('CONTROL MASTER'!$S$2:$S$495))-(ROW('CONTROL MASTER'!#REF!)-1))),"")),"")</f>
        <v/>
      </c>
      <c r="H78" s="10" t="str">
        <f>IFERROR(IF(SUMPRODUCT((('CONTROL MASTER'!$S$2:$S$495=6)*('CONTROL MASTER'!$T$2:$T$495&lt;=6)*('CONTROL MASTER'!$V$2:$V$495&gt;=6)*('CONTROL MASTER'!$U$2:$U$495&lt;=7)*('CONTROL MASTER'!$W$2:$W$495&gt;=7))*ROW('CONTROL MASTER'!$S$2:$S$495))&gt;0,INDEX('CONTROL MASTER'!$X$2:$X$495,(SUMPRODUCT((('CONTROL MASTER'!$S$2:$S$495=6)*('CONTROL MASTER'!$T$2:$T$495&lt;=6)*('CONTROL MASTER'!$V$2:$V$495&gt;=6)*('CONTROL MASTER'!$U$2:$U$495&lt;=7)*('CONTROL MASTER'!$W$2:$W$495&gt;=7))*ROW('CONTROL MASTER'!$S$2:$S$495))-(ROW('CONTROL MASTER'!#REF!)-1)))&amp;TRIM(MID(SUBSTITUTE(SUBSTITUTE(INDEX('CONTROL MASTER'!$N$2:$N$495,(SUMPRODUCT((('CONTROL MASTER'!$S$2:$S$495=6)*('CONTROL MASTER'!$T$2:$T$495&lt;=6)*('CONTROL MASTER'!$V$2:$V$495&gt;=6)*('CONTROL MASTER'!$U$2:$U$495&lt;=7)*('CONTROL MASTER'!$W$2:$W$495&gt;=7))*ROW('CONTROL MASTER'!$S$2:$S$495))-(ROW('CONTROL MASTER'!#REF!)-1))),":",","),",",REPT(" ",50)),((((6-INDEX('CONTROL MASTER'!$T$2:$T$495,(SUMPRODUCT((('CONTROL MASTER'!$S$2:$S$495=6)*('CONTROL MASTER'!$T$2:$T$495&lt;=6)*('CONTROL MASTER'!$V$2:$V$495&gt;=6)*('CONTROL MASTER'!$U$2:$U$495&lt;=7)*('CONTROL MASTER'!$W$2:$W$495&gt;=7))*ROW('CONTROL MASTER'!$S$2:$S$495))-(ROW('CONTROL MASTER'!#REF!)-1))))*(INDEX('CONTROL MASTER'!$W$2:$W$495,(SUMPRODUCT((('CONTROL MASTER'!$S$2:$S$495=6)*('CONTROL MASTER'!$T$2:$T$495&lt;=6)*('CONTROL MASTER'!$V$2:$V$495&gt;=6)*('CONTROL MASTER'!$U$2:$U$495&lt;=7)*('CONTROL MASTER'!$W$2:$W$495&gt;=7))*ROW('CONTROL MASTER'!$S$2:$S$495))-(ROW('CONTROL MASTER'!#REF!)-1)))-INDEX('CONTROL MASTER'!$U$2:$U$495,(SUMPRODUCT((('CONTROL MASTER'!$S$2:$S$495=6)*('CONTROL MASTER'!$T$2:$T$495&lt;=6)*('CONTROL MASTER'!$V$2:$V$495&gt;=6)*('CONTROL MASTER'!$U$2:$U$495&lt;=7)*('CONTROL MASTER'!$W$2:$W$495&gt;=7))*ROW('CONTROL MASTER'!$S$2:$S$495))-(ROW('CONTROL MASTER'!#REF!)-1)))+1)+(7-INDEX('CONTROL MASTER'!$U$2:$U$495,(SUMPRODUCT((('CONTROL MASTER'!$S$2:$S$495=6)*('CONTROL MASTER'!$T$2:$T$495&lt;=6)*('CONTROL MASTER'!$V$2:$V$495&gt;=6)*('CONTROL MASTER'!$U$2:$U$495&lt;=7)*('CONTROL MASTER'!$W$2:$W$495&gt;=7))*ROW('CONTROL MASTER'!$S$2:$S$495))-(ROW('CONTROL MASTER'!#REF!)-1))))+1))-1)*50+1,50))&amp;"_"&amp;INDEX('CONTROL MASTER'!$P$2:$P$495,(SUMPRODUCT((('CONTROL MASTER'!$S$2:$S$495=6)*('CONTROL MASTER'!$T$2:$T$495&lt;=6)*('CONTROL MASTER'!$V$2:$V$495&gt;=6)*('CONTROL MASTER'!$U$2:$U$495&lt;=7)*('CONTROL MASTER'!$W$2:$W$495&gt;=7))*ROW('CONTROL MASTER'!$S$2:$S$495))-(ROW('CONTROL MASTER'!#REF!)-1))),IF(SUMPRODUCT((('CONTROL MASTER'!$S$2:$S$495=6)*('CONTROL MASTER'!$Z$2:$Z$495&lt;=6)*('CONTROL MASTER'!$AB$2:$AB$495&gt;=6)*('CONTROL MASTER'!$AA$2:$AA$495&lt;=7)*('CONTROL MASTER'!$AC$2:$AC$495&gt;=7))*ROW('CONTROL MASTER'!$S$2:$S$495))&gt;0,INDEX('CONTROL MASTER'!$X$2:$X$495,(SUMPRODUCT((('CONTROL MASTER'!$S$2:$S$495=6)*('CONTROL MASTER'!$Z$2:$Z$495&lt;=6)*('CONTROL MASTER'!$AB$2:$AB$495&gt;=6)*('CONTROL MASTER'!$AA$2:$AA$495&lt;=7)*('CONTROL MASTER'!$AC$2:$AC$495&gt;=7))*ROW('CONTROL MASTER'!$S$2:$S$495))-(ROW('CONTROL MASTER'!#REF!)-1)))&amp;TRIM(MID(SUBSTITUTE(SUBSTITUTE(INDEX('CONTROL MASTER'!$N$2:$N$495,(SUMPRODUCT((('CONTROL MASTER'!$S$2:$S$495=6)*('CONTROL MASTER'!$Z$2:$Z$495&lt;=6)*('CONTROL MASTER'!$AB$2:$AB$495&gt;=6)*('CONTROL MASTER'!$AA$2:$AA$495&lt;=7)*('CONTROL MASTER'!$AC$2:$AC$495&gt;=7))*ROW('CONTROL MASTER'!$S$2:$S$495))-(ROW('CONTROL MASTER'!#REF!)-1))),":",","),",",REPT(" ",50)),(((INDEX('CONTROL MASTER'!$Y$2:$Y$495,(SUMPRODUCT((('CONTROL MASTER'!$S$2:$S$495=6)*('CONTROL MASTER'!$Z$2:$Z$495&lt;=6)*('CONTROL MASTER'!$AB$2:$AB$495&gt;=6)*('CONTROL MASTER'!$AA$2:$AA$495&lt;=7)*('CONTROL MASTER'!$AC$2:$AC$495&gt;=7))*ROW('CONTROL MASTER'!$S$2:$S$495))-(ROW('CONTROL MASTER'!#REF!)-1)))+((6-INDEX('CONTROL MASTER'!$Z$2:$Z$495,(SUMPRODUCT((('CONTROL MASTER'!$S$2:$S$495=6)*('CONTROL MASTER'!$Z$2:$Z$495&lt;=6)*('CONTROL MASTER'!$AB$2:$AB$495&gt;=6)*('CONTROL MASTER'!$AA$2:$AA$495&lt;=7)*('CONTROL MASTER'!$AC$2:$AC$495&gt;=7))*ROW('CONTROL MASTER'!$S$2:$S$495))-(ROW('CONTROL MASTER'!#REF!)-1))))*(INDEX('CONTROL MASTER'!$AC$2:$AC$495,(SUMPRODUCT((('CONTROL MASTER'!$S$2:$S$495=6)*('CONTROL MASTER'!$Z$2:$Z$495&lt;=6)*('CONTROL MASTER'!$AB$2:$AB$495&gt;=6)*('CONTROL MASTER'!$AA$2:$AA$495&lt;=7)*('CONTROL MASTER'!$AC$2:$AC$495&gt;=7))*ROW('CONTROL MASTER'!$S$2:$S$495))-(ROW('CONTROL MASTER'!#REF!)-1)))-INDEX('CONTROL MASTER'!$AA$2:$AA$495,(SUMPRODUCT((('CONTROL MASTER'!$S$2:$S$495=6)*('CONTROL MASTER'!$Z$2:$Z$495&lt;=6)*('CONTROL MASTER'!$AB$2:$AB$495&gt;=6)*('CONTROL MASTER'!$AA$2:$AA$495&lt;=7)*('CONTROL MASTER'!$AC$2:$AC$495&gt;=7))*ROW('CONTROL MASTER'!$S$2:$S$495))-(ROW('CONTROL MASTER'!#REF!)-1)))+1)+(7-INDEX('CONTROL MASTER'!$AA$2:$AA$495,(SUMPRODUCT((('CONTROL MASTER'!$S$2:$S$495=6)*('CONTROL MASTER'!$Z$2:$Z$495&lt;=6)*('CONTROL MASTER'!$AB$2:$AB$495&gt;=6)*('CONTROL MASTER'!$AA$2:$AA$495&lt;=7)*('CONTROL MASTER'!$AC$2:$AC$495&gt;=7))*ROW('CONTROL MASTER'!$S$2:$S$495))-(ROW('CONTROL MASTER'!#REF!)-1))))+1)))-1)*50+1,50))&amp;"_"&amp;INDEX('CONTROL MASTER'!$P$2:$P$495,(SUMPRODUCT((('CONTROL MASTER'!$S$2:$S$495=6)*('CONTROL MASTER'!$Z$2:$Z$495&lt;=6)*('CONTROL MASTER'!$AB$2:$AB$495&gt;=6)*('CONTROL MASTER'!$AA$2:$AA$495&lt;=7)*('CONTROL MASTER'!$AC$2:$AC$495&gt;=7))*ROW('CONTROL MASTER'!$S$2:$S$495))-(ROW('CONTROL MASTER'!#REF!)-1))),"")),"")</f>
        <v/>
      </c>
      <c r="I78" s="10" t="str">
        <f>IFERROR(IF(SUMPRODUCT((('CONTROL MASTER'!$S$2:$S$495=6)*('CONTROL MASTER'!$T$2:$T$495&lt;=6)*('CONTROL MASTER'!$V$2:$V$495&gt;=6)*('CONTROL MASTER'!$U$2:$U$495&lt;=8)*('CONTROL MASTER'!$W$2:$W$495&gt;=8))*ROW('CONTROL MASTER'!$S$2:$S$495))&gt;0,INDEX('CONTROL MASTER'!$X$2:$X$495,(SUMPRODUCT((('CONTROL MASTER'!$S$2:$S$495=6)*('CONTROL MASTER'!$T$2:$T$495&lt;=6)*('CONTROL MASTER'!$V$2:$V$495&gt;=6)*('CONTROL MASTER'!$U$2:$U$495&lt;=8)*('CONTROL MASTER'!$W$2:$W$495&gt;=8))*ROW('CONTROL MASTER'!$S$2:$S$495))-(ROW('CONTROL MASTER'!#REF!)-1)))&amp;TRIM(MID(SUBSTITUTE(SUBSTITUTE(INDEX('CONTROL MASTER'!$N$2:$N$495,(SUMPRODUCT((('CONTROL MASTER'!$S$2:$S$495=6)*('CONTROL MASTER'!$T$2:$T$495&lt;=6)*('CONTROL MASTER'!$V$2:$V$495&gt;=6)*('CONTROL MASTER'!$U$2:$U$495&lt;=8)*('CONTROL MASTER'!$W$2:$W$495&gt;=8))*ROW('CONTROL MASTER'!$S$2:$S$495))-(ROW('CONTROL MASTER'!#REF!)-1))),":",","),",",REPT(" ",50)),((((6-INDEX('CONTROL MASTER'!$T$2:$T$495,(SUMPRODUCT((('CONTROL MASTER'!$S$2:$S$495=6)*('CONTROL MASTER'!$T$2:$T$495&lt;=6)*('CONTROL MASTER'!$V$2:$V$495&gt;=6)*('CONTROL MASTER'!$U$2:$U$495&lt;=8)*('CONTROL MASTER'!$W$2:$W$495&gt;=8))*ROW('CONTROL MASTER'!$S$2:$S$495))-(ROW('CONTROL MASTER'!#REF!)-1))))*(INDEX('CONTROL MASTER'!$W$2:$W$495,(SUMPRODUCT((('CONTROL MASTER'!$S$2:$S$495=6)*('CONTROL MASTER'!$T$2:$T$495&lt;=6)*('CONTROL MASTER'!$V$2:$V$495&gt;=6)*('CONTROL MASTER'!$U$2:$U$495&lt;=8)*('CONTROL MASTER'!$W$2:$W$495&gt;=8))*ROW('CONTROL MASTER'!$S$2:$S$495))-(ROW('CONTROL MASTER'!#REF!)-1)))-INDEX('CONTROL MASTER'!$U$2:$U$495,(SUMPRODUCT((('CONTROL MASTER'!$S$2:$S$495=6)*('CONTROL MASTER'!$T$2:$T$495&lt;=6)*('CONTROL MASTER'!$V$2:$V$495&gt;=6)*('CONTROL MASTER'!$U$2:$U$495&lt;=8)*('CONTROL MASTER'!$W$2:$W$495&gt;=8))*ROW('CONTROL MASTER'!$S$2:$S$495))-(ROW('CONTROL MASTER'!#REF!)-1)))+1)+(8-INDEX('CONTROL MASTER'!$U$2:$U$495,(SUMPRODUCT((('CONTROL MASTER'!$S$2:$S$495=6)*('CONTROL MASTER'!$T$2:$T$495&lt;=6)*('CONTROL MASTER'!$V$2:$V$495&gt;=6)*('CONTROL MASTER'!$U$2:$U$495&lt;=8)*('CONTROL MASTER'!$W$2:$W$495&gt;=8))*ROW('CONTROL MASTER'!$S$2:$S$495))-(ROW('CONTROL MASTER'!#REF!)-1))))+1))-1)*50+1,50))&amp;"_"&amp;INDEX('CONTROL MASTER'!$P$2:$P$495,(SUMPRODUCT((('CONTROL MASTER'!$S$2:$S$495=6)*('CONTROL MASTER'!$T$2:$T$495&lt;=6)*('CONTROL MASTER'!$V$2:$V$495&gt;=6)*('CONTROL MASTER'!$U$2:$U$495&lt;=8)*('CONTROL MASTER'!$W$2:$W$495&gt;=8))*ROW('CONTROL MASTER'!$S$2:$S$495))-(ROW('CONTROL MASTER'!#REF!)-1))),IF(SUMPRODUCT((('CONTROL MASTER'!$S$2:$S$495=6)*('CONTROL MASTER'!$Z$2:$Z$495&lt;=6)*('CONTROL MASTER'!$AB$2:$AB$495&gt;=6)*('CONTROL MASTER'!$AA$2:$AA$495&lt;=8)*('CONTROL MASTER'!$AC$2:$AC$495&gt;=8))*ROW('CONTROL MASTER'!$S$2:$S$495))&gt;0,INDEX('CONTROL MASTER'!$X$2:$X$495,(SUMPRODUCT((('CONTROL MASTER'!$S$2:$S$495=6)*('CONTROL MASTER'!$Z$2:$Z$495&lt;=6)*('CONTROL MASTER'!$AB$2:$AB$495&gt;=6)*('CONTROL MASTER'!$AA$2:$AA$495&lt;=8)*('CONTROL MASTER'!$AC$2:$AC$495&gt;=8))*ROW('CONTROL MASTER'!$S$2:$S$495))-(ROW('CONTROL MASTER'!#REF!)-1)))&amp;TRIM(MID(SUBSTITUTE(SUBSTITUTE(INDEX('CONTROL MASTER'!$N$2:$N$495,(SUMPRODUCT((('CONTROL MASTER'!$S$2:$S$495=6)*('CONTROL MASTER'!$Z$2:$Z$495&lt;=6)*('CONTROL MASTER'!$AB$2:$AB$495&gt;=6)*('CONTROL MASTER'!$AA$2:$AA$495&lt;=8)*('CONTROL MASTER'!$AC$2:$AC$495&gt;=8))*ROW('CONTROL MASTER'!$S$2:$S$495))-(ROW('CONTROL MASTER'!#REF!)-1))),":",","),",",REPT(" ",50)),(((INDEX('CONTROL MASTER'!$Y$2:$Y$495,(SUMPRODUCT((('CONTROL MASTER'!$S$2:$S$495=6)*('CONTROL MASTER'!$Z$2:$Z$495&lt;=6)*('CONTROL MASTER'!$AB$2:$AB$495&gt;=6)*('CONTROL MASTER'!$AA$2:$AA$495&lt;=8)*('CONTROL MASTER'!$AC$2:$AC$495&gt;=8))*ROW('CONTROL MASTER'!$S$2:$S$495))-(ROW('CONTROL MASTER'!#REF!)-1)))+((6-INDEX('CONTROL MASTER'!$Z$2:$Z$495,(SUMPRODUCT((('CONTROL MASTER'!$S$2:$S$495=6)*('CONTROL MASTER'!$Z$2:$Z$495&lt;=6)*('CONTROL MASTER'!$AB$2:$AB$495&gt;=6)*('CONTROL MASTER'!$AA$2:$AA$495&lt;=8)*('CONTROL MASTER'!$AC$2:$AC$495&gt;=8))*ROW('CONTROL MASTER'!$S$2:$S$495))-(ROW('CONTROL MASTER'!#REF!)-1))))*(INDEX('CONTROL MASTER'!$AC$2:$AC$495,(SUMPRODUCT((('CONTROL MASTER'!$S$2:$S$495=6)*('CONTROL MASTER'!$Z$2:$Z$495&lt;=6)*('CONTROL MASTER'!$AB$2:$AB$495&gt;=6)*('CONTROL MASTER'!$AA$2:$AA$495&lt;=8)*('CONTROL MASTER'!$AC$2:$AC$495&gt;=8))*ROW('CONTROL MASTER'!$S$2:$S$495))-(ROW('CONTROL MASTER'!#REF!)-1)))-INDEX('CONTROL MASTER'!$AA$2:$AA$495,(SUMPRODUCT((('CONTROL MASTER'!$S$2:$S$495=6)*('CONTROL MASTER'!$Z$2:$Z$495&lt;=6)*('CONTROL MASTER'!$AB$2:$AB$495&gt;=6)*('CONTROL MASTER'!$AA$2:$AA$495&lt;=8)*('CONTROL MASTER'!$AC$2:$AC$495&gt;=8))*ROW('CONTROL MASTER'!$S$2:$S$495))-(ROW('CONTROL MASTER'!#REF!)-1)))+1)+(8-INDEX('CONTROL MASTER'!$AA$2:$AA$495,(SUMPRODUCT((('CONTROL MASTER'!$S$2:$S$495=6)*('CONTROL MASTER'!$Z$2:$Z$495&lt;=6)*('CONTROL MASTER'!$AB$2:$AB$495&gt;=6)*('CONTROL MASTER'!$AA$2:$AA$495&lt;=8)*('CONTROL MASTER'!$AC$2:$AC$495&gt;=8))*ROW('CONTROL MASTER'!$S$2:$S$495))-(ROW('CONTROL MASTER'!#REF!)-1))))+1)))-1)*50+1,50))&amp;"_"&amp;INDEX('CONTROL MASTER'!$P$2:$P$495,(SUMPRODUCT((('CONTROL MASTER'!$S$2:$S$495=6)*('CONTROL MASTER'!$Z$2:$Z$495&lt;=6)*('CONTROL MASTER'!$AB$2:$AB$495&gt;=6)*('CONTROL MASTER'!$AA$2:$AA$495&lt;=8)*('CONTROL MASTER'!$AC$2:$AC$495&gt;=8))*ROW('CONTROL MASTER'!$S$2:$S$495))-(ROW('CONTROL MASTER'!#REF!)-1))),"")),"")</f>
        <v/>
      </c>
      <c r="J78" s="10" t="str">
        <f>IFERROR(IF(SUMPRODUCT((('CONTROL MASTER'!$S$2:$S$495=6)*('CONTROL MASTER'!$T$2:$T$495&lt;=6)*('CONTROL MASTER'!$V$2:$V$495&gt;=6)*('CONTROL MASTER'!$U$2:$U$495&lt;=9)*('CONTROL MASTER'!$W$2:$W$495&gt;=9))*ROW('CONTROL MASTER'!$S$2:$S$495))&gt;0,INDEX('CONTROL MASTER'!$X$2:$X$495,(SUMPRODUCT((('CONTROL MASTER'!$S$2:$S$495=6)*('CONTROL MASTER'!$T$2:$T$495&lt;=6)*('CONTROL MASTER'!$V$2:$V$495&gt;=6)*('CONTROL MASTER'!$U$2:$U$495&lt;=9)*('CONTROL MASTER'!$W$2:$W$495&gt;=9))*ROW('CONTROL MASTER'!$S$2:$S$495))-(ROW('CONTROL MASTER'!#REF!)-1)))&amp;TRIM(MID(SUBSTITUTE(SUBSTITUTE(INDEX('CONTROL MASTER'!$N$2:$N$495,(SUMPRODUCT((('CONTROL MASTER'!$S$2:$S$495=6)*('CONTROL MASTER'!$T$2:$T$495&lt;=6)*('CONTROL MASTER'!$V$2:$V$495&gt;=6)*('CONTROL MASTER'!$U$2:$U$495&lt;=9)*('CONTROL MASTER'!$W$2:$W$495&gt;=9))*ROW('CONTROL MASTER'!$S$2:$S$495))-(ROW('CONTROL MASTER'!#REF!)-1))),":",","),",",REPT(" ",50)),((((6-INDEX('CONTROL MASTER'!$T$2:$T$495,(SUMPRODUCT((('CONTROL MASTER'!$S$2:$S$495=6)*('CONTROL MASTER'!$T$2:$T$495&lt;=6)*('CONTROL MASTER'!$V$2:$V$495&gt;=6)*('CONTROL MASTER'!$U$2:$U$495&lt;=9)*('CONTROL MASTER'!$W$2:$W$495&gt;=9))*ROW('CONTROL MASTER'!$S$2:$S$495))-(ROW('CONTROL MASTER'!#REF!)-1))))*(INDEX('CONTROL MASTER'!$W$2:$W$495,(SUMPRODUCT((('CONTROL MASTER'!$S$2:$S$495=6)*('CONTROL MASTER'!$T$2:$T$495&lt;=6)*('CONTROL MASTER'!$V$2:$V$495&gt;=6)*('CONTROL MASTER'!$U$2:$U$495&lt;=9)*('CONTROL MASTER'!$W$2:$W$495&gt;=9))*ROW('CONTROL MASTER'!$S$2:$S$495))-(ROW('CONTROL MASTER'!#REF!)-1)))-INDEX('CONTROL MASTER'!$U$2:$U$495,(SUMPRODUCT((('CONTROL MASTER'!$S$2:$S$495=6)*('CONTROL MASTER'!$T$2:$T$495&lt;=6)*('CONTROL MASTER'!$V$2:$V$495&gt;=6)*('CONTROL MASTER'!$U$2:$U$495&lt;=9)*('CONTROL MASTER'!$W$2:$W$495&gt;=9))*ROW('CONTROL MASTER'!$S$2:$S$495))-(ROW('CONTROL MASTER'!#REF!)-1)))+1)+(9-INDEX('CONTROL MASTER'!$U$2:$U$495,(SUMPRODUCT((('CONTROL MASTER'!$S$2:$S$495=6)*('CONTROL MASTER'!$T$2:$T$495&lt;=6)*('CONTROL MASTER'!$V$2:$V$495&gt;=6)*('CONTROL MASTER'!$U$2:$U$495&lt;=9)*('CONTROL MASTER'!$W$2:$W$495&gt;=9))*ROW('CONTROL MASTER'!$S$2:$S$495))-(ROW('CONTROL MASTER'!#REF!)-1))))+1))-1)*50+1,50))&amp;"_"&amp;INDEX('CONTROL MASTER'!$P$2:$P$495,(SUMPRODUCT((('CONTROL MASTER'!$S$2:$S$495=6)*('CONTROL MASTER'!$T$2:$T$495&lt;=6)*('CONTROL MASTER'!$V$2:$V$495&gt;=6)*('CONTROL MASTER'!$U$2:$U$495&lt;=9)*('CONTROL MASTER'!$W$2:$W$495&gt;=9))*ROW('CONTROL MASTER'!$S$2:$S$495))-(ROW('CONTROL MASTER'!#REF!)-1))),IF(SUMPRODUCT((('CONTROL MASTER'!$S$2:$S$495=6)*('CONTROL MASTER'!$Z$2:$Z$495&lt;=6)*('CONTROL MASTER'!$AB$2:$AB$495&gt;=6)*('CONTROL MASTER'!$AA$2:$AA$495&lt;=9)*('CONTROL MASTER'!$AC$2:$AC$495&gt;=9))*ROW('CONTROL MASTER'!$S$2:$S$495))&gt;0,INDEX('CONTROL MASTER'!$X$2:$X$495,(SUMPRODUCT((('CONTROL MASTER'!$S$2:$S$495=6)*('CONTROL MASTER'!$Z$2:$Z$495&lt;=6)*('CONTROL MASTER'!$AB$2:$AB$495&gt;=6)*('CONTROL MASTER'!$AA$2:$AA$495&lt;=9)*('CONTROL MASTER'!$AC$2:$AC$495&gt;=9))*ROW('CONTROL MASTER'!$S$2:$S$495))-(ROW('CONTROL MASTER'!#REF!)-1)))&amp;TRIM(MID(SUBSTITUTE(SUBSTITUTE(INDEX('CONTROL MASTER'!$N$2:$N$495,(SUMPRODUCT((('CONTROL MASTER'!$S$2:$S$495=6)*('CONTROL MASTER'!$Z$2:$Z$495&lt;=6)*('CONTROL MASTER'!$AB$2:$AB$495&gt;=6)*('CONTROL MASTER'!$AA$2:$AA$495&lt;=9)*('CONTROL MASTER'!$AC$2:$AC$495&gt;=9))*ROW('CONTROL MASTER'!$S$2:$S$495))-(ROW('CONTROL MASTER'!#REF!)-1))),":",","),",",REPT(" ",50)),(((INDEX('CONTROL MASTER'!$Y$2:$Y$495,(SUMPRODUCT((('CONTROL MASTER'!$S$2:$S$495=6)*('CONTROL MASTER'!$Z$2:$Z$495&lt;=6)*('CONTROL MASTER'!$AB$2:$AB$495&gt;=6)*('CONTROL MASTER'!$AA$2:$AA$495&lt;=9)*('CONTROL MASTER'!$AC$2:$AC$495&gt;=9))*ROW('CONTROL MASTER'!$S$2:$S$495))-(ROW('CONTROL MASTER'!#REF!)-1)))+((6-INDEX('CONTROL MASTER'!$Z$2:$Z$495,(SUMPRODUCT((('CONTROL MASTER'!$S$2:$S$495=6)*('CONTROL MASTER'!$Z$2:$Z$495&lt;=6)*('CONTROL MASTER'!$AB$2:$AB$495&gt;=6)*('CONTROL MASTER'!$AA$2:$AA$495&lt;=9)*('CONTROL MASTER'!$AC$2:$AC$495&gt;=9))*ROW('CONTROL MASTER'!$S$2:$S$495))-(ROW('CONTROL MASTER'!#REF!)-1))))*(INDEX('CONTROL MASTER'!$AC$2:$AC$495,(SUMPRODUCT((('CONTROL MASTER'!$S$2:$S$495=6)*('CONTROL MASTER'!$Z$2:$Z$495&lt;=6)*('CONTROL MASTER'!$AB$2:$AB$495&gt;=6)*('CONTROL MASTER'!$AA$2:$AA$495&lt;=9)*('CONTROL MASTER'!$AC$2:$AC$495&gt;=9))*ROW('CONTROL MASTER'!$S$2:$S$495))-(ROW('CONTROL MASTER'!#REF!)-1)))-INDEX('CONTROL MASTER'!$AA$2:$AA$495,(SUMPRODUCT((('CONTROL MASTER'!$S$2:$S$495=6)*('CONTROL MASTER'!$Z$2:$Z$495&lt;=6)*('CONTROL MASTER'!$AB$2:$AB$495&gt;=6)*('CONTROL MASTER'!$AA$2:$AA$495&lt;=9)*('CONTROL MASTER'!$AC$2:$AC$495&gt;=9))*ROW('CONTROL MASTER'!$S$2:$S$495))-(ROW('CONTROL MASTER'!#REF!)-1)))+1)+(9-INDEX('CONTROL MASTER'!$AA$2:$AA$495,(SUMPRODUCT((('CONTROL MASTER'!$S$2:$S$495=6)*('CONTROL MASTER'!$Z$2:$Z$495&lt;=6)*('CONTROL MASTER'!$AB$2:$AB$495&gt;=6)*('CONTROL MASTER'!$AA$2:$AA$495&lt;=9)*('CONTROL MASTER'!$AC$2:$AC$495&gt;=9))*ROW('CONTROL MASTER'!$S$2:$S$495))-(ROW('CONTROL MASTER'!#REF!)-1))))+1)))-1)*50+1,50))&amp;"_"&amp;INDEX('CONTROL MASTER'!$P$2:$P$495,(SUMPRODUCT((('CONTROL MASTER'!$S$2:$S$495=6)*('CONTROL MASTER'!$Z$2:$Z$495&lt;=6)*('CONTROL MASTER'!$AB$2:$AB$495&gt;=6)*('CONTROL MASTER'!$AA$2:$AA$495&lt;=9)*('CONTROL MASTER'!$AC$2:$AC$495&gt;=9))*ROW('CONTROL MASTER'!$S$2:$S$495))-(ROW('CONTROL MASTER'!#REF!)-1))),"")),"")</f>
        <v/>
      </c>
      <c r="K78" s="10" t="str">
        <f>IFERROR(IF(SUMPRODUCT((('CONTROL MASTER'!$S$2:$S$495=6)*('CONTROL MASTER'!$T$2:$T$495&lt;=6)*('CONTROL MASTER'!$V$2:$V$495&gt;=6)*('CONTROL MASTER'!$U$2:$U$495&lt;=10)*('CONTROL MASTER'!$W$2:$W$495&gt;=10))*ROW('CONTROL MASTER'!$S$2:$S$495))&gt;0,INDEX('CONTROL MASTER'!$X$2:$X$495,(SUMPRODUCT((('CONTROL MASTER'!$S$2:$S$495=6)*('CONTROL MASTER'!$T$2:$T$495&lt;=6)*('CONTROL MASTER'!$V$2:$V$495&gt;=6)*('CONTROL MASTER'!$U$2:$U$495&lt;=10)*('CONTROL MASTER'!$W$2:$W$495&gt;=10))*ROW('CONTROL MASTER'!$S$2:$S$495))-(ROW('CONTROL MASTER'!#REF!)-1)))&amp;TRIM(MID(SUBSTITUTE(SUBSTITUTE(INDEX('CONTROL MASTER'!$N$2:$N$495,(SUMPRODUCT((('CONTROL MASTER'!$S$2:$S$495=6)*('CONTROL MASTER'!$T$2:$T$495&lt;=6)*('CONTROL MASTER'!$V$2:$V$495&gt;=6)*('CONTROL MASTER'!$U$2:$U$495&lt;=10)*('CONTROL MASTER'!$W$2:$W$495&gt;=10))*ROW('CONTROL MASTER'!$S$2:$S$495))-(ROW('CONTROL MASTER'!#REF!)-1))),":",","),",",REPT(" ",50)),((((6-INDEX('CONTROL MASTER'!$T$2:$T$495,(SUMPRODUCT((('CONTROL MASTER'!$S$2:$S$495=6)*('CONTROL MASTER'!$T$2:$T$495&lt;=6)*('CONTROL MASTER'!$V$2:$V$495&gt;=6)*('CONTROL MASTER'!$U$2:$U$495&lt;=10)*('CONTROL MASTER'!$W$2:$W$495&gt;=10))*ROW('CONTROL MASTER'!$S$2:$S$495))-(ROW('CONTROL MASTER'!#REF!)-1))))*(INDEX('CONTROL MASTER'!$W$2:$W$495,(SUMPRODUCT((('CONTROL MASTER'!$S$2:$S$495=6)*('CONTROL MASTER'!$T$2:$T$495&lt;=6)*('CONTROL MASTER'!$V$2:$V$495&gt;=6)*('CONTROL MASTER'!$U$2:$U$495&lt;=10)*('CONTROL MASTER'!$W$2:$W$495&gt;=10))*ROW('CONTROL MASTER'!$S$2:$S$495))-(ROW('CONTROL MASTER'!#REF!)-1)))-INDEX('CONTROL MASTER'!$U$2:$U$495,(SUMPRODUCT((('CONTROL MASTER'!$S$2:$S$495=6)*('CONTROL MASTER'!$T$2:$T$495&lt;=6)*('CONTROL MASTER'!$V$2:$V$495&gt;=6)*('CONTROL MASTER'!$U$2:$U$495&lt;=10)*('CONTROL MASTER'!$W$2:$W$495&gt;=10))*ROW('CONTROL MASTER'!$S$2:$S$495))-(ROW('CONTROL MASTER'!#REF!)-1)))+1)+(10-INDEX('CONTROL MASTER'!$U$2:$U$495,(SUMPRODUCT((('CONTROL MASTER'!$S$2:$S$495=6)*('CONTROL MASTER'!$T$2:$T$495&lt;=6)*('CONTROL MASTER'!$V$2:$V$495&gt;=6)*('CONTROL MASTER'!$U$2:$U$495&lt;=10)*('CONTROL MASTER'!$W$2:$W$495&gt;=10))*ROW('CONTROL MASTER'!$S$2:$S$495))-(ROW('CONTROL MASTER'!#REF!)-1))))+1))-1)*50+1,50))&amp;"_"&amp;INDEX('CONTROL MASTER'!$P$2:$P$495,(SUMPRODUCT((('CONTROL MASTER'!$S$2:$S$495=6)*('CONTROL MASTER'!$T$2:$T$495&lt;=6)*('CONTROL MASTER'!$V$2:$V$495&gt;=6)*('CONTROL MASTER'!$U$2:$U$495&lt;=10)*('CONTROL MASTER'!$W$2:$W$495&gt;=10))*ROW('CONTROL MASTER'!$S$2:$S$495))-(ROW('CONTROL MASTER'!#REF!)-1))),IF(SUMPRODUCT((('CONTROL MASTER'!$S$2:$S$495=6)*('CONTROL MASTER'!$Z$2:$Z$495&lt;=6)*('CONTROL MASTER'!$AB$2:$AB$495&gt;=6)*('CONTROL MASTER'!$AA$2:$AA$495&lt;=10)*('CONTROL MASTER'!$AC$2:$AC$495&gt;=10))*ROW('CONTROL MASTER'!$S$2:$S$495))&gt;0,INDEX('CONTROL MASTER'!$X$2:$X$495,(SUMPRODUCT((('CONTROL MASTER'!$S$2:$S$495=6)*('CONTROL MASTER'!$Z$2:$Z$495&lt;=6)*('CONTROL MASTER'!$AB$2:$AB$495&gt;=6)*('CONTROL MASTER'!$AA$2:$AA$495&lt;=10)*('CONTROL MASTER'!$AC$2:$AC$495&gt;=10))*ROW('CONTROL MASTER'!$S$2:$S$495))-(ROW('CONTROL MASTER'!#REF!)-1)))&amp;TRIM(MID(SUBSTITUTE(SUBSTITUTE(INDEX('CONTROL MASTER'!$N$2:$N$495,(SUMPRODUCT((('CONTROL MASTER'!$S$2:$S$495=6)*('CONTROL MASTER'!$Z$2:$Z$495&lt;=6)*('CONTROL MASTER'!$AB$2:$AB$495&gt;=6)*('CONTROL MASTER'!$AA$2:$AA$495&lt;=10)*('CONTROL MASTER'!$AC$2:$AC$495&gt;=10))*ROW('CONTROL MASTER'!$S$2:$S$495))-(ROW('CONTROL MASTER'!#REF!)-1))),":",","),",",REPT(" ",50)),(((INDEX('CONTROL MASTER'!$Y$2:$Y$495,(SUMPRODUCT((('CONTROL MASTER'!$S$2:$S$495=6)*('CONTROL MASTER'!$Z$2:$Z$495&lt;=6)*('CONTROL MASTER'!$AB$2:$AB$495&gt;=6)*('CONTROL MASTER'!$AA$2:$AA$495&lt;=10)*('CONTROL MASTER'!$AC$2:$AC$495&gt;=10))*ROW('CONTROL MASTER'!$S$2:$S$495))-(ROW('CONTROL MASTER'!#REF!)-1)))+((6-INDEX('CONTROL MASTER'!$Z$2:$Z$495,(SUMPRODUCT((('CONTROL MASTER'!$S$2:$S$495=6)*('CONTROL MASTER'!$Z$2:$Z$495&lt;=6)*('CONTROL MASTER'!$AB$2:$AB$495&gt;=6)*('CONTROL MASTER'!$AA$2:$AA$495&lt;=10)*('CONTROL MASTER'!$AC$2:$AC$495&gt;=10))*ROW('CONTROL MASTER'!$S$2:$S$495))-(ROW('CONTROL MASTER'!#REF!)-1))))*(INDEX('CONTROL MASTER'!$AC$2:$AC$495,(SUMPRODUCT((('CONTROL MASTER'!$S$2:$S$495=6)*('CONTROL MASTER'!$Z$2:$Z$495&lt;=6)*('CONTROL MASTER'!$AB$2:$AB$495&gt;=6)*('CONTROL MASTER'!$AA$2:$AA$495&lt;=10)*('CONTROL MASTER'!$AC$2:$AC$495&gt;=10))*ROW('CONTROL MASTER'!$S$2:$S$495))-(ROW('CONTROL MASTER'!#REF!)-1)))-INDEX('CONTROL MASTER'!$AA$2:$AA$495,(SUMPRODUCT((('CONTROL MASTER'!$S$2:$S$495=6)*('CONTROL MASTER'!$Z$2:$Z$495&lt;=6)*('CONTROL MASTER'!$AB$2:$AB$495&gt;=6)*('CONTROL MASTER'!$AA$2:$AA$495&lt;=10)*('CONTROL MASTER'!$AC$2:$AC$495&gt;=10))*ROW('CONTROL MASTER'!$S$2:$S$495))-(ROW('CONTROL MASTER'!#REF!)-1)))+1)+(10-INDEX('CONTROL MASTER'!$AA$2:$AA$495,(SUMPRODUCT((('CONTROL MASTER'!$S$2:$S$495=6)*('CONTROL MASTER'!$Z$2:$Z$495&lt;=6)*('CONTROL MASTER'!$AB$2:$AB$495&gt;=6)*('CONTROL MASTER'!$AA$2:$AA$495&lt;=10)*('CONTROL MASTER'!$AC$2:$AC$495&gt;=10))*ROW('CONTROL MASTER'!$S$2:$S$495))-(ROW('CONTROL MASTER'!#REF!)-1))))+1)))-1)*50+1,50))&amp;"_"&amp;INDEX('CONTROL MASTER'!$P$2:$P$495,(SUMPRODUCT((('CONTROL MASTER'!$S$2:$S$495=6)*('CONTROL MASTER'!$Z$2:$Z$495&lt;=6)*('CONTROL MASTER'!$AB$2:$AB$495&gt;=6)*('CONTROL MASTER'!$AA$2:$AA$495&lt;=10)*('CONTROL MASTER'!$AC$2:$AC$495&gt;=10))*ROW('CONTROL MASTER'!$S$2:$S$495))-(ROW('CONTROL MASTER'!#REF!)-1))),"")),"")</f>
        <v/>
      </c>
    </row>
    <row r="79" spans="1:11" ht="15" customHeight="1" x14ac:dyDescent="0.35">
      <c r="A79" s="8" t="s">
        <v>34</v>
      </c>
      <c r="B79" s="10" t="str">
        <f>IFERROR(IF(SUMPRODUCT((('CONTROL MASTER'!$S$2:$S$495=6)*('CONTROL MASTER'!$T$2:$T$495&lt;=7)*('CONTROL MASTER'!$V$2:$V$495&gt;=7)*('CONTROL MASTER'!$U$2:$U$495&lt;=1)*('CONTROL MASTER'!$W$2:$W$495&gt;=1))*ROW('CONTROL MASTER'!$S$2:$S$495))&gt;0,INDEX('CONTROL MASTER'!$X$2:$X$495,(SUMPRODUCT((('CONTROL MASTER'!$S$2:$S$495=6)*('CONTROL MASTER'!$T$2:$T$495&lt;=7)*('CONTROL MASTER'!$V$2:$V$495&gt;=7)*('CONTROL MASTER'!$U$2:$U$495&lt;=1)*('CONTROL MASTER'!$W$2:$W$495&gt;=1))*ROW('CONTROL MASTER'!$S$2:$S$495))-(ROW('CONTROL MASTER'!#REF!)-1)))&amp;TRIM(MID(SUBSTITUTE(SUBSTITUTE(INDEX('CONTROL MASTER'!$N$2:$N$495,(SUMPRODUCT((('CONTROL MASTER'!$S$2:$S$495=6)*('CONTROL MASTER'!$T$2:$T$495&lt;=7)*('CONTROL MASTER'!$V$2:$V$495&gt;=7)*('CONTROL MASTER'!$U$2:$U$495&lt;=1)*('CONTROL MASTER'!$W$2:$W$495&gt;=1))*ROW('CONTROL MASTER'!$S$2:$S$495))-(ROW('CONTROL MASTER'!#REF!)-1))),":",","),",",REPT(" ",50)),((((7-INDEX('CONTROL MASTER'!$T$2:$T$495,(SUMPRODUCT((('CONTROL MASTER'!$S$2:$S$495=6)*('CONTROL MASTER'!$T$2:$T$495&lt;=7)*('CONTROL MASTER'!$V$2:$V$495&gt;=7)*('CONTROL MASTER'!$U$2:$U$495&lt;=1)*('CONTROL MASTER'!$W$2:$W$495&gt;=1))*ROW('CONTROL MASTER'!$S$2:$S$495))-(ROW('CONTROL MASTER'!#REF!)-1))))*(INDEX('CONTROL MASTER'!$W$2:$W$495,(SUMPRODUCT((('CONTROL MASTER'!$S$2:$S$495=6)*('CONTROL MASTER'!$T$2:$T$495&lt;=7)*('CONTROL MASTER'!$V$2:$V$495&gt;=7)*('CONTROL MASTER'!$U$2:$U$495&lt;=1)*('CONTROL MASTER'!$W$2:$W$495&gt;=1))*ROW('CONTROL MASTER'!$S$2:$S$495))-(ROW('CONTROL MASTER'!#REF!)-1)))-INDEX('CONTROL MASTER'!$U$2:$U$495,(SUMPRODUCT((('CONTROL MASTER'!$S$2:$S$495=6)*('CONTROL MASTER'!$T$2:$T$495&lt;=7)*('CONTROL MASTER'!$V$2:$V$495&gt;=7)*('CONTROL MASTER'!$U$2:$U$495&lt;=1)*('CONTROL MASTER'!$W$2:$W$495&gt;=1))*ROW('CONTROL MASTER'!$S$2:$S$495))-(ROW('CONTROL MASTER'!#REF!)-1)))+1)+(1-INDEX('CONTROL MASTER'!$U$2:$U$495,(SUMPRODUCT((('CONTROL MASTER'!$S$2:$S$495=6)*('CONTROL MASTER'!$T$2:$T$495&lt;=7)*('CONTROL MASTER'!$V$2:$V$495&gt;=7)*('CONTROL MASTER'!$U$2:$U$495&lt;=1)*('CONTROL MASTER'!$W$2:$W$495&gt;=1))*ROW('CONTROL MASTER'!$S$2:$S$495))-(ROW('CONTROL MASTER'!#REF!)-1))))+1))-1)*50+1,50))&amp;"_"&amp;INDEX('CONTROL MASTER'!$P$2:$P$495,(SUMPRODUCT((('CONTROL MASTER'!$S$2:$S$495=6)*('CONTROL MASTER'!$T$2:$T$495&lt;=7)*('CONTROL MASTER'!$V$2:$V$495&gt;=7)*('CONTROL MASTER'!$U$2:$U$495&lt;=1)*('CONTROL MASTER'!$W$2:$W$495&gt;=1))*ROW('CONTROL MASTER'!$S$2:$S$495))-(ROW('CONTROL MASTER'!#REF!)-1))),IF(SUMPRODUCT((('CONTROL MASTER'!$S$2:$S$495=6)*('CONTROL MASTER'!$Z$2:$Z$495&lt;=7)*('CONTROL MASTER'!$AB$2:$AB$495&gt;=7)*('CONTROL MASTER'!$AA$2:$AA$495&lt;=1)*('CONTROL MASTER'!$AC$2:$AC$495&gt;=1))*ROW('CONTROL MASTER'!$S$2:$S$495))&gt;0,INDEX('CONTROL MASTER'!$X$2:$X$495,(SUMPRODUCT((('CONTROL MASTER'!$S$2:$S$495=6)*('CONTROL MASTER'!$Z$2:$Z$495&lt;=7)*('CONTROL MASTER'!$AB$2:$AB$495&gt;=7)*('CONTROL MASTER'!$AA$2:$AA$495&lt;=1)*('CONTROL MASTER'!$AC$2:$AC$495&gt;=1))*ROW('CONTROL MASTER'!$S$2:$S$495))-(ROW('CONTROL MASTER'!#REF!)-1)))&amp;TRIM(MID(SUBSTITUTE(SUBSTITUTE(INDEX('CONTROL MASTER'!$N$2:$N$495,(SUMPRODUCT((('CONTROL MASTER'!$S$2:$S$495=6)*('CONTROL MASTER'!$Z$2:$Z$495&lt;=7)*('CONTROL MASTER'!$AB$2:$AB$495&gt;=7)*('CONTROL MASTER'!$AA$2:$AA$495&lt;=1)*('CONTROL MASTER'!$AC$2:$AC$495&gt;=1))*ROW('CONTROL MASTER'!$S$2:$S$495))-(ROW('CONTROL MASTER'!#REF!)-1))),":",","),",",REPT(" ",50)),(((INDEX('CONTROL MASTER'!$Y$2:$Y$495,(SUMPRODUCT((('CONTROL MASTER'!$S$2:$S$495=6)*('CONTROL MASTER'!$Z$2:$Z$495&lt;=7)*('CONTROL MASTER'!$AB$2:$AB$495&gt;=7)*('CONTROL MASTER'!$AA$2:$AA$495&lt;=1)*('CONTROL MASTER'!$AC$2:$AC$495&gt;=1))*ROW('CONTROL MASTER'!$S$2:$S$495))-(ROW('CONTROL MASTER'!#REF!)-1)))+((7-INDEX('CONTROL MASTER'!$Z$2:$Z$495,(SUMPRODUCT((('CONTROL MASTER'!$S$2:$S$495=6)*('CONTROL MASTER'!$Z$2:$Z$495&lt;=7)*('CONTROL MASTER'!$AB$2:$AB$495&gt;=7)*('CONTROL MASTER'!$AA$2:$AA$495&lt;=1)*('CONTROL MASTER'!$AC$2:$AC$495&gt;=1))*ROW('CONTROL MASTER'!$S$2:$S$495))-(ROW('CONTROL MASTER'!#REF!)-1))))*(INDEX('CONTROL MASTER'!$AC$2:$AC$495,(SUMPRODUCT((('CONTROL MASTER'!$S$2:$S$495=6)*('CONTROL MASTER'!$Z$2:$Z$495&lt;=7)*('CONTROL MASTER'!$AB$2:$AB$495&gt;=7)*('CONTROL MASTER'!$AA$2:$AA$495&lt;=1)*('CONTROL MASTER'!$AC$2:$AC$495&gt;=1))*ROW('CONTROL MASTER'!$S$2:$S$495))-(ROW('CONTROL MASTER'!#REF!)-1)))-INDEX('CONTROL MASTER'!$AA$2:$AA$495,(SUMPRODUCT((('CONTROL MASTER'!$S$2:$S$495=6)*('CONTROL MASTER'!$Z$2:$Z$495&lt;=7)*('CONTROL MASTER'!$AB$2:$AB$495&gt;=7)*('CONTROL MASTER'!$AA$2:$AA$495&lt;=1)*('CONTROL MASTER'!$AC$2:$AC$495&gt;=1))*ROW('CONTROL MASTER'!$S$2:$S$495))-(ROW('CONTROL MASTER'!#REF!)-1)))+1)+(1-INDEX('CONTROL MASTER'!$AA$2:$AA$495,(SUMPRODUCT((('CONTROL MASTER'!$S$2:$S$495=6)*('CONTROL MASTER'!$Z$2:$Z$495&lt;=7)*('CONTROL MASTER'!$AB$2:$AB$495&gt;=7)*('CONTROL MASTER'!$AA$2:$AA$495&lt;=1)*('CONTROL MASTER'!$AC$2:$AC$495&gt;=1))*ROW('CONTROL MASTER'!$S$2:$S$495))-(ROW('CONTROL MASTER'!#REF!)-1))))+1)))-1)*50+1,50))&amp;"_"&amp;INDEX('CONTROL MASTER'!$P$2:$P$495,(SUMPRODUCT((('CONTROL MASTER'!$S$2:$S$495=6)*('CONTROL MASTER'!$Z$2:$Z$495&lt;=7)*('CONTROL MASTER'!$AB$2:$AB$495&gt;=7)*('CONTROL MASTER'!$AA$2:$AA$495&lt;=1)*('CONTROL MASTER'!$AC$2:$AC$495&gt;=1))*ROW('CONTROL MASTER'!$S$2:$S$495))-(ROW('CONTROL MASTER'!#REF!)-1))),"")),"")</f>
        <v/>
      </c>
      <c r="C79" s="10" t="str">
        <f>IFERROR(IF(SUMPRODUCT((('CONTROL MASTER'!$S$2:$S$495=6)*('CONTROL MASTER'!$T$2:$T$495&lt;=7)*('CONTROL MASTER'!$V$2:$V$495&gt;=7)*('CONTROL MASTER'!$U$2:$U$495&lt;=2)*('CONTROL MASTER'!$W$2:$W$495&gt;=2))*ROW('CONTROL MASTER'!$S$2:$S$495))&gt;0,INDEX('CONTROL MASTER'!$X$2:$X$495,(SUMPRODUCT((('CONTROL MASTER'!$S$2:$S$495=6)*('CONTROL MASTER'!$T$2:$T$495&lt;=7)*('CONTROL MASTER'!$V$2:$V$495&gt;=7)*('CONTROL MASTER'!$U$2:$U$495&lt;=2)*('CONTROL MASTER'!$W$2:$W$495&gt;=2))*ROW('CONTROL MASTER'!$S$2:$S$495))-(ROW('CONTROL MASTER'!#REF!)-1)))&amp;TRIM(MID(SUBSTITUTE(SUBSTITUTE(INDEX('CONTROL MASTER'!$N$2:$N$495,(SUMPRODUCT((('CONTROL MASTER'!$S$2:$S$495=6)*('CONTROL MASTER'!$T$2:$T$495&lt;=7)*('CONTROL MASTER'!$V$2:$V$495&gt;=7)*('CONTROL MASTER'!$U$2:$U$495&lt;=2)*('CONTROL MASTER'!$W$2:$W$495&gt;=2))*ROW('CONTROL MASTER'!$S$2:$S$495))-(ROW('CONTROL MASTER'!#REF!)-1))),":",","),",",REPT(" ",50)),((((7-INDEX('CONTROL MASTER'!$T$2:$T$495,(SUMPRODUCT((('CONTROL MASTER'!$S$2:$S$495=6)*('CONTROL MASTER'!$T$2:$T$495&lt;=7)*('CONTROL MASTER'!$V$2:$V$495&gt;=7)*('CONTROL MASTER'!$U$2:$U$495&lt;=2)*('CONTROL MASTER'!$W$2:$W$495&gt;=2))*ROW('CONTROL MASTER'!$S$2:$S$495))-(ROW('CONTROL MASTER'!#REF!)-1))))*(INDEX('CONTROL MASTER'!$W$2:$W$495,(SUMPRODUCT((('CONTROL MASTER'!$S$2:$S$495=6)*('CONTROL MASTER'!$T$2:$T$495&lt;=7)*('CONTROL MASTER'!$V$2:$V$495&gt;=7)*('CONTROL MASTER'!$U$2:$U$495&lt;=2)*('CONTROL MASTER'!$W$2:$W$495&gt;=2))*ROW('CONTROL MASTER'!$S$2:$S$495))-(ROW('CONTROL MASTER'!#REF!)-1)))-INDEX('CONTROL MASTER'!$U$2:$U$495,(SUMPRODUCT((('CONTROL MASTER'!$S$2:$S$495=6)*('CONTROL MASTER'!$T$2:$T$495&lt;=7)*('CONTROL MASTER'!$V$2:$V$495&gt;=7)*('CONTROL MASTER'!$U$2:$U$495&lt;=2)*('CONTROL MASTER'!$W$2:$W$495&gt;=2))*ROW('CONTROL MASTER'!$S$2:$S$495))-(ROW('CONTROL MASTER'!#REF!)-1)))+1)+(2-INDEX('CONTROL MASTER'!$U$2:$U$495,(SUMPRODUCT((('CONTROL MASTER'!$S$2:$S$495=6)*('CONTROL MASTER'!$T$2:$T$495&lt;=7)*('CONTROL MASTER'!$V$2:$V$495&gt;=7)*('CONTROL MASTER'!$U$2:$U$495&lt;=2)*('CONTROL MASTER'!$W$2:$W$495&gt;=2))*ROW('CONTROL MASTER'!$S$2:$S$495))-(ROW('CONTROL MASTER'!#REF!)-1))))+1))-1)*50+1,50))&amp;"_"&amp;INDEX('CONTROL MASTER'!$P$2:$P$495,(SUMPRODUCT((('CONTROL MASTER'!$S$2:$S$495=6)*('CONTROL MASTER'!$T$2:$T$495&lt;=7)*('CONTROL MASTER'!$V$2:$V$495&gt;=7)*('CONTROL MASTER'!$U$2:$U$495&lt;=2)*('CONTROL MASTER'!$W$2:$W$495&gt;=2))*ROW('CONTROL MASTER'!$S$2:$S$495))-(ROW('CONTROL MASTER'!#REF!)-1))),IF(SUMPRODUCT((('CONTROL MASTER'!$S$2:$S$495=6)*('CONTROL MASTER'!$Z$2:$Z$495&lt;=7)*('CONTROL MASTER'!$AB$2:$AB$495&gt;=7)*('CONTROL MASTER'!$AA$2:$AA$495&lt;=2)*('CONTROL MASTER'!$AC$2:$AC$495&gt;=2))*ROW('CONTROL MASTER'!$S$2:$S$495))&gt;0,INDEX('CONTROL MASTER'!$X$2:$X$495,(SUMPRODUCT((('CONTROL MASTER'!$S$2:$S$495=6)*('CONTROL MASTER'!$Z$2:$Z$495&lt;=7)*('CONTROL MASTER'!$AB$2:$AB$495&gt;=7)*('CONTROL MASTER'!$AA$2:$AA$495&lt;=2)*('CONTROL MASTER'!$AC$2:$AC$495&gt;=2))*ROW('CONTROL MASTER'!$S$2:$S$495))-(ROW('CONTROL MASTER'!#REF!)-1)))&amp;TRIM(MID(SUBSTITUTE(SUBSTITUTE(INDEX('CONTROL MASTER'!$N$2:$N$495,(SUMPRODUCT((('CONTROL MASTER'!$S$2:$S$495=6)*('CONTROL MASTER'!$Z$2:$Z$495&lt;=7)*('CONTROL MASTER'!$AB$2:$AB$495&gt;=7)*('CONTROL MASTER'!$AA$2:$AA$495&lt;=2)*('CONTROL MASTER'!$AC$2:$AC$495&gt;=2))*ROW('CONTROL MASTER'!$S$2:$S$495))-(ROW('CONTROL MASTER'!#REF!)-1))),":",","),",",REPT(" ",50)),(((INDEX('CONTROL MASTER'!$Y$2:$Y$495,(SUMPRODUCT((('CONTROL MASTER'!$S$2:$S$495=6)*('CONTROL MASTER'!$Z$2:$Z$495&lt;=7)*('CONTROL MASTER'!$AB$2:$AB$495&gt;=7)*('CONTROL MASTER'!$AA$2:$AA$495&lt;=2)*('CONTROL MASTER'!$AC$2:$AC$495&gt;=2))*ROW('CONTROL MASTER'!$S$2:$S$495))-(ROW('CONTROL MASTER'!#REF!)-1)))+((7-INDEX('CONTROL MASTER'!$Z$2:$Z$495,(SUMPRODUCT((('CONTROL MASTER'!$S$2:$S$495=6)*('CONTROL MASTER'!$Z$2:$Z$495&lt;=7)*('CONTROL MASTER'!$AB$2:$AB$495&gt;=7)*('CONTROL MASTER'!$AA$2:$AA$495&lt;=2)*('CONTROL MASTER'!$AC$2:$AC$495&gt;=2))*ROW('CONTROL MASTER'!$S$2:$S$495))-(ROW('CONTROL MASTER'!#REF!)-1))))*(INDEX('CONTROL MASTER'!$AC$2:$AC$495,(SUMPRODUCT((('CONTROL MASTER'!$S$2:$S$495=6)*('CONTROL MASTER'!$Z$2:$Z$495&lt;=7)*('CONTROL MASTER'!$AB$2:$AB$495&gt;=7)*('CONTROL MASTER'!$AA$2:$AA$495&lt;=2)*('CONTROL MASTER'!$AC$2:$AC$495&gt;=2))*ROW('CONTROL MASTER'!$S$2:$S$495))-(ROW('CONTROL MASTER'!#REF!)-1)))-INDEX('CONTROL MASTER'!$AA$2:$AA$495,(SUMPRODUCT((('CONTROL MASTER'!$S$2:$S$495=6)*('CONTROL MASTER'!$Z$2:$Z$495&lt;=7)*('CONTROL MASTER'!$AB$2:$AB$495&gt;=7)*('CONTROL MASTER'!$AA$2:$AA$495&lt;=2)*('CONTROL MASTER'!$AC$2:$AC$495&gt;=2))*ROW('CONTROL MASTER'!$S$2:$S$495))-(ROW('CONTROL MASTER'!#REF!)-1)))+1)+(2-INDEX('CONTROL MASTER'!$AA$2:$AA$495,(SUMPRODUCT((('CONTROL MASTER'!$S$2:$S$495=6)*('CONTROL MASTER'!$Z$2:$Z$495&lt;=7)*('CONTROL MASTER'!$AB$2:$AB$495&gt;=7)*('CONTROL MASTER'!$AA$2:$AA$495&lt;=2)*('CONTROL MASTER'!$AC$2:$AC$495&gt;=2))*ROW('CONTROL MASTER'!$S$2:$S$495))-(ROW('CONTROL MASTER'!#REF!)-1))))+1)))-1)*50+1,50))&amp;"_"&amp;INDEX('CONTROL MASTER'!$P$2:$P$495,(SUMPRODUCT((('CONTROL MASTER'!$S$2:$S$495=6)*('CONTROL MASTER'!$Z$2:$Z$495&lt;=7)*('CONTROL MASTER'!$AB$2:$AB$495&gt;=7)*('CONTROL MASTER'!$AA$2:$AA$495&lt;=2)*('CONTROL MASTER'!$AC$2:$AC$495&gt;=2))*ROW('CONTROL MASTER'!$S$2:$S$495))-(ROW('CONTROL MASTER'!#REF!)-1))),"")),"")</f>
        <v/>
      </c>
      <c r="D79" s="10" t="str">
        <f>IFERROR(IF(SUMPRODUCT((('CONTROL MASTER'!$S$2:$S$495=6)*('CONTROL MASTER'!$T$2:$T$495&lt;=7)*('CONTROL MASTER'!$V$2:$V$495&gt;=7)*('CONTROL MASTER'!$U$2:$U$495&lt;=3)*('CONTROL MASTER'!$W$2:$W$495&gt;=3))*ROW('CONTROL MASTER'!$S$2:$S$495))&gt;0,INDEX('CONTROL MASTER'!$X$2:$X$495,(SUMPRODUCT((('CONTROL MASTER'!$S$2:$S$495=6)*('CONTROL MASTER'!$T$2:$T$495&lt;=7)*('CONTROL MASTER'!$V$2:$V$495&gt;=7)*('CONTROL MASTER'!$U$2:$U$495&lt;=3)*('CONTROL MASTER'!$W$2:$W$495&gt;=3))*ROW('CONTROL MASTER'!$S$2:$S$495))-(ROW('CONTROL MASTER'!#REF!)-1)))&amp;TRIM(MID(SUBSTITUTE(SUBSTITUTE(INDEX('CONTROL MASTER'!$N$2:$N$495,(SUMPRODUCT((('CONTROL MASTER'!$S$2:$S$495=6)*('CONTROL MASTER'!$T$2:$T$495&lt;=7)*('CONTROL MASTER'!$V$2:$V$495&gt;=7)*('CONTROL MASTER'!$U$2:$U$495&lt;=3)*('CONTROL MASTER'!$W$2:$W$495&gt;=3))*ROW('CONTROL MASTER'!$S$2:$S$495))-(ROW('CONTROL MASTER'!#REF!)-1))),":",","),",",REPT(" ",50)),((((7-INDEX('CONTROL MASTER'!$T$2:$T$495,(SUMPRODUCT((('CONTROL MASTER'!$S$2:$S$495=6)*('CONTROL MASTER'!$T$2:$T$495&lt;=7)*('CONTROL MASTER'!$V$2:$V$495&gt;=7)*('CONTROL MASTER'!$U$2:$U$495&lt;=3)*('CONTROL MASTER'!$W$2:$W$495&gt;=3))*ROW('CONTROL MASTER'!$S$2:$S$495))-(ROW('CONTROL MASTER'!#REF!)-1))))*(INDEX('CONTROL MASTER'!$W$2:$W$495,(SUMPRODUCT((('CONTROL MASTER'!$S$2:$S$495=6)*('CONTROL MASTER'!$T$2:$T$495&lt;=7)*('CONTROL MASTER'!$V$2:$V$495&gt;=7)*('CONTROL MASTER'!$U$2:$U$495&lt;=3)*('CONTROL MASTER'!$W$2:$W$495&gt;=3))*ROW('CONTROL MASTER'!$S$2:$S$495))-(ROW('CONTROL MASTER'!#REF!)-1)))-INDEX('CONTROL MASTER'!$U$2:$U$495,(SUMPRODUCT((('CONTROL MASTER'!$S$2:$S$495=6)*('CONTROL MASTER'!$T$2:$T$495&lt;=7)*('CONTROL MASTER'!$V$2:$V$495&gt;=7)*('CONTROL MASTER'!$U$2:$U$495&lt;=3)*('CONTROL MASTER'!$W$2:$W$495&gt;=3))*ROW('CONTROL MASTER'!$S$2:$S$495))-(ROW('CONTROL MASTER'!#REF!)-1)))+1)+(3-INDEX('CONTROL MASTER'!$U$2:$U$495,(SUMPRODUCT((('CONTROL MASTER'!$S$2:$S$495=6)*('CONTROL MASTER'!$T$2:$T$495&lt;=7)*('CONTROL MASTER'!$V$2:$V$495&gt;=7)*('CONTROL MASTER'!$U$2:$U$495&lt;=3)*('CONTROL MASTER'!$W$2:$W$495&gt;=3))*ROW('CONTROL MASTER'!$S$2:$S$495))-(ROW('CONTROL MASTER'!#REF!)-1))))+1))-1)*50+1,50))&amp;"_"&amp;INDEX('CONTROL MASTER'!$P$2:$P$495,(SUMPRODUCT((('CONTROL MASTER'!$S$2:$S$495=6)*('CONTROL MASTER'!$T$2:$T$495&lt;=7)*('CONTROL MASTER'!$V$2:$V$495&gt;=7)*('CONTROL MASTER'!$U$2:$U$495&lt;=3)*('CONTROL MASTER'!$W$2:$W$495&gt;=3))*ROW('CONTROL MASTER'!$S$2:$S$495))-(ROW('CONTROL MASTER'!#REF!)-1))),IF(SUMPRODUCT((('CONTROL MASTER'!$S$2:$S$495=6)*('CONTROL MASTER'!$Z$2:$Z$495&lt;=7)*('CONTROL MASTER'!$AB$2:$AB$495&gt;=7)*('CONTROL MASTER'!$AA$2:$AA$495&lt;=3)*('CONTROL MASTER'!$AC$2:$AC$495&gt;=3))*ROW('CONTROL MASTER'!$S$2:$S$495))&gt;0,INDEX('CONTROL MASTER'!$X$2:$X$495,(SUMPRODUCT((('CONTROL MASTER'!$S$2:$S$495=6)*('CONTROL MASTER'!$Z$2:$Z$495&lt;=7)*('CONTROL MASTER'!$AB$2:$AB$495&gt;=7)*('CONTROL MASTER'!$AA$2:$AA$495&lt;=3)*('CONTROL MASTER'!$AC$2:$AC$495&gt;=3))*ROW('CONTROL MASTER'!$S$2:$S$495))-(ROW('CONTROL MASTER'!#REF!)-1)))&amp;TRIM(MID(SUBSTITUTE(SUBSTITUTE(INDEX('CONTROL MASTER'!$N$2:$N$495,(SUMPRODUCT((('CONTROL MASTER'!$S$2:$S$495=6)*('CONTROL MASTER'!$Z$2:$Z$495&lt;=7)*('CONTROL MASTER'!$AB$2:$AB$495&gt;=7)*('CONTROL MASTER'!$AA$2:$AA$495&lt;=3)*('CONTROL MASTER'!$AC$2:$AC$495&gt;=3))*ROW('CONTROL MASTER'!$S$2:$S$495))-(ROW('CONTROL MASTER'!#REF!)-1))),":",","),",",REPT(" ",50)),(((INDEX('CONTROL MASTER'!$Y$2:$Y$495,(SUMPRODUCT((('CONTROL MASTER'!$S$2:$S$495=6)*('CONTROL MASTER'!$Z$2:$Z$495&lt;=7)*('CONTROL MASTER'!$AB$2:$AB$495&gt;=7)*('CONTROL MASTER'!$AA$2:$AA$495&lt;=3)*('CONTROL MASTER'!$AC$2:$AC$495&gt;=3))*ROW('CONTROL MASTER'!$S$2:$S$495))-(ROW('CONTROL MASTER'!#REF!)-1)))+((7-INDEX('CONTROL MASTER'!$Z$2:$Z$495,(SUMPRODUCT((('CONTROL MASTER'!$S$2:$S$495=6)*('CONTROL MASTER'!$Z$2:$Z$495&lt;=7)*('CONTROL MASTER'!$AB$2:$AB$495&gt;=7)*('CONTROL MASTER'!$AA$2:$AA$495&lt;=3)*('CONTROL MASTER'!$AC$2:$AC$495&gt;=3))*ROW('CONTROL MASTER'!$S$2:$S$495))-(ROW('CONTROL MASTER'!#REF!)-1))))*(INDEX('CONTROL MASTER'!$AC$2:$AC$495,(SUMPRODUCT((('CONTROL MASTER'!$S$2:$S$495=6)*('CONTROL MASTER'!$Z$2:$Z$495&lt;=7)*('CONTROL MASTER'!$AB$2:$AB$495&gt;=7)*('CONTROL MASTER'!$AA$2:$AA$495&lt;=3)*('CONTROL MASTER'!$AC$2:$AC$495&gt;=3))*ROW('CONTROL MASTER'!$S$2:$S$495))-(ROW('CONTROL MASTER'!#REF!)-1)))-INDEX('CONTROL MASTER'!$AA$2:$AA$495,(SUMPRODUCT((('CONTROL MASTER'!$S$2:$S$495=6)*('CONTROL MASTER'!$Z$2:$Z$495&lt;=7)*('CONTROL MASTER'!$AB$2:$AB$495&gt;=7)*('CONTROL MASTER'!$AA$2:$AA$495&lt;=3)*('CONTROL MASTER'!$AC$2:$AC$495&gt;=3))*ROW('CONTROL MASTER'!$S$2:$S$495))-(ROW('CONTROL MASTER'!#REF!)-1)))+1)+(3-INDEX('CONTROL MASTER'!$AA$2:$AA$495,(SUMPRODUCT((('CONTROL MASTER'!$S$2:$S$495=6)*('CONTROL MASTER'!$Z$2:$Z$495&lt;=7)*('CONTROL MASTER'!$AB$2:$AB$495&gt;=7)*('CONTROL MASTER'!$AA$2:$AA$495&lt;=3)*('CONTROL MASTER'!$AC$2:$AC$495&gt;=3))*ROW('CONTROL MASTER'!$S$2:$S$495))-(ROW('CONTROL MASTER'!#REF!)-1))))+1)))-1)*50+1,50))&amp;"_"&amp;INDEX('CONTROL MASTER'!$P$2:$P$495,(SUMPRODUCT((('CONTROL MASTER'!$S$2:$S$495=6)*('CONTROL MASTER'!$Z$2:$Z$495&lt;=7)*('CONTROL MASTER'!$AB$2:$AB$495&gt;=7)*('CONTROL MASTER'!$AA$2:$AA$495&lt;=3)*('CONTROL MASTER'!$AC$2:$AC$495&gt;=3))*ROW('CONTROL MASTER'!$S$2:$S$495))-(ROW('CONTROL MASTER'!#REF!)-1))),"")),"")</f>
        <v/>
      </c>
      <c r="E79" s="10" t="str">
        <f>IFERROR(IF(SUMPRODUCT((('CONTROL MASTER'!$S$2:$S$495=6)*('CONTROL MASTER'!$T$2:$T$495&lt;=7)*('CONTROL MASTER'!$V$2:$V$495&gt;=7)*('CONTROL MASTER'!$U$2:$U$495&lt;=4)*('CONTROL MASTER'!$W$2:$W$495&gt;=4))*ROW('CONTROL MASTER'!$S$2:$S$495))&gt;0,INDEX('CONTROL MASTER'!$X$2:$X$495,(SUMPRODUCT((('CONTROL MASTER'!$S$2:$S$495=6)*('CONTROL MASTER'!$T$2:$T$495&lt;=7)*('CONTROL MASTER'!$V$2:$V$495&gt;=7)*('CONTROL MASTER'!$U$2:$U$495&lt;=4)*('CONTROL MASTER'!$W$2:$W$495&gt;=4))*ROW('CONTROL MASTER'!$S$2:$S$495))-(ROW('CONTROL MASTER'!#REF!)-1)))&amp;TRIM(MID(SUBSTITUTE(SUBSTITUTE(INDEX('CONTROL MASTER'!$N$2:$N$495,(SUMPRODUCT((('CONTROL MASTER'!$S$2:$S$495=6)*('CONTROL MASTER'!$T$2:$T$495&lt;=7)*('CONTROL MASTER'!$V$2:$V$495&gt;=7)*('CONTROL MASTER'!$U$2:$U$495&lt;=4)*('CONTROL MASTER'!$W$2:$W$495&gt;=4))*ROW('CONTROL MASTER'!$S$2:$S$495))-(ROW('CONTROL MASTER'!#REF!)-1))),":",","),",",REPT(" ",50)),((((7-INDEX('CONTROL MASTER'!$T$2:$T$495,(SUMPRODUCT((('CONTROL MASTER'!$S$2:$S$495=6)*('CONTROL MASTER'!$T$2:$T$495&lt;=7)*('CONTROL MASTER'!$V$2:$V$495&gt;=7)*('CONTROL MASTER'!$U$2:$U$495&lt;=4)*('CONTROL MASTER'!$W$2:$W$495&gt;=4))*ROW('CONTROL MASTER'!$S$2:$S$495))-(ROW('CONTROL MASTER'!#REF!)-1))))*(INDEX('CONTROL MASTER'!$W$2:$W$495,(SUMPRODUCT((('CONTROL MASTER'!$S$2:$S$495=6)*('CONTROL MASTER'!$T$2:$T$495&lt;=7)*('CONTROL MASTER'!$V$2:$V$495&gt;=7)*('CONTROL MASTER'!$U$2:$U$495&lt;=4)*('CONTROL MASTER'!$W$2:$W$495&gt;=4))*ROW('CONTROL MASTER'!$S$2:$S$495))-(ROW('CONTROL MASTER'!#REF!)-1)))-INDEX('CONTROL MASTER'!$U$2:$U$495,(SUMPRODUCT((('CONTROL MASTER'!$S$2:$S$495=6)*('CONTROL MASTER'!$T$2:$T$495&lt;=7)*('CONTROL MASTER'!$V$2:$V$495&gt;=7)*('CONTROL MASTER'!$U$2:$U$495&lt;=4)*('CONTROL MASTER'!$W$2:$W$495&gt;=4))*ROW('CONTROL MASTER'!$S$2:$S$495))-(ROW('CONTROL MASTER'!#REF!)-1)))+1)+(4-INDEX('CONTROL MASTER'!$U$2:$U$495,(SUMPRODUCT((('CONTROL MASTER'!$S$2:$S$495=6)*('CONTROL MASTER'!$T$2:$T$495&lt;=7)*('CONTROL MASTER'!$V$2:$V$495&gt;=7)*('CONTROL MASTER'!$U$2:$U$495&lt;=4)*('CONTROL MASTER'!$W$2:$W$495&gt;=4))*ROW('CONTROL MASTER'!$S$2:$S$495))-(ROW('CONTROL MASTER'!#REF!)-1))))+1))-1)*50+1,50))&amp;"_"&amp;INDEX('CONTROL MASTER'!$P$2:$P$495,(SUMPRODUCT((('CONTROL MASTER'!$S$2:$S$495=6)*('CONTROL MASTER'!$T$2:$T$495&lt;=7)*('CONTROL MASTER'!$V$2:$V$495&gt;=7)*('CONTROL MASTER'!$U$2:$U$495&lt;=4)*('CONTROL MASTER'!$W$2:$W$495&gt;=4))*ROW('CONTROL MASTER'!$S$2:$S$495))-(ROW('CONTROL MASTER'!#REF!)-1))),IF(SUMPRODUCT((('CONTROL MASTER'!$S$2:$S$495=6)*('CONTROL MASTER'!$Z$2:$Z$495&lt;=7)*('CONTROL MASTER'!$AB$2:$AB$495&gt;=7)*('CONTROL MASTER'!$AA$2:$AA$495&lt;=4)*('CONTROL MASTER'!$AC$2:$AC$495&gt;=4))*ROW('CONTROL MASTER'!$S$2:$S$495))&gt;0,INDEX('CONTROL MASTER'!$X$2:$X$495,(SUMPRODUCT((('CONTROL MASTER'!$S$2:$S$495=6)*('CONTROL MASTER'!$Z$2:$Z$495&lt;=7)*('CONTROL MASTER'!$AB$2:$AB$495&gt;=7)*('CONTROL MASTER'!$AA$2:$AA$495&lt;=4)*('CONTROL MASTER'!$AC$2:$AC$495&gt;=4))*ROW('CONTROL MASTER'!$S$2:$S$495))-(ROW('CONTROL MASTER'!#REF!)-1)))&amp;TRIM(MID(SUBSTITUTE(SUBSTITUTE(INDEX('CONTROL MASTER'!$N$2:$N$495,(SUMPRODUCT((('CONTROL MASTER'!$S$2:$S$495=6)*('CONTROL MASTER'!$Z$2:$Z$495&lt;=7)*('CONTROL MASTER'!$AB$2:$AB$495&gt;=7)*('CONTROL MASTER'!$AA$2:$AA$495&lt;=4)*('CONTROL MASTER'!$AC$2:$AC$495&gt;=4))*ROW('CONTROL MASTER'!$S$2:$S$495))-(ROW('CONTROL MASTER'!#REF!)-1))),":",","),",",REPT(" ",50)),(((INDEX('CONTROL MASTER'!$Y$2:$Y$495,(SUMPRODUCT((('CONTROL MASTER'!$S$2:$S$495=6)*('CONTROL MASTER'!$Z$2:$Z$495&lt;=7)*('CONTROL MASTER'!$AB$2:$AB$495&gt;=7)*('CONTROL MASTER'!$AA$2:$AA$495&lt;=4)*('CONTROL MASTER'!$AC$2:$AC$495&gt;=4))*ROW('CONTROL MASTER'!$S$2:$S$495))-(ROW('CONTROL MASTER'!#REF!)-1)))+((7-INDEX('CONTROL MASTER'!$Z$2:$Z$495,(SUMPRODUCT((('CONTROL MASTER'!$S$2:$S$495=6)*('CONTROL MASTER'!$Z$2:$Z$495&lt;=7)*('CONTROL MASTER'!$AB$2:$AB$495&gt;=7)*('CONTROL MASTER'!$AA$2:$AA$495&lt;=4)*('CONTROL MASTER'!$AC$2:$AC$495&gt;=4))*ROW('CONTROL MASTER'!$S$2:$S$495))-(ROW('CONTROL MASTER'!#REF!)-1))))*(INDEX('CONTROL MASTER'!$AC$2:$AC$495,(SUMPRODUCT((('CONTROL MASTER'!$S$2:$S$495=6)*('CONTROL MASTER'!$Z$2:$Z$495&lt;=7)*('CONTROL MASTER'!$AB$2:$AB$495&gt;=7)*('CONTROL MASTER'!$AA$2:$AA$495&lt;=4)*('CONTROL MASTER'!$AC$2:$AC$495&gt;=4))*ROW('CONTROL MASTER'!$S$2:$S$495))-(ROW('CONTROL MASTER'!#REF!)-1)))-INDEX('CONTROL MASTER'!$AA$2:$AA$495,(SUMPRODUCT((('CONTROL MASTER'!$S$2:$S$495=6)*('CONTROL MASTER'!$Z$2:$Z$495&lt;=7)*('CONTROL MASTER'!$AB$2:$AB$495&gt;=7)*('CONTROL MASTER'!$AA$2:$AA$495&lt;=4)*('CONTROL MASTER'!$AC$2:$AC$495&gt;=4))*ROW('CONTROL MASTER'!$S$2:$S$495))-(ROW('CONTROL MASTER'!#REF!)-1)))+1)+(4-INDEX('CONTROL MASTER'!$AA$2:$AA$495,(SUMPRODUCT((('CONTROL MASTER'!$S$2:$S$495=6)*('CONTROL MASTER'!$Z$2:$Z$495&lt;=7)*('CONTROL MASTER'!$AB$2:$AB$495&gt;=7)*('CONTROL MASTER'!$AA$2:$AA$495&lt;=4)*('CONTROL MASTER'!$AC$2:$AC$495&gt;=4))*ROW('CONTROL MASTER'!$S$2:$S$495))-(ROW('CONTROL MASTER'!#REF!)-1))))+1)))-1)*50+1,50))&amp;"_"&amp;INDEX('CONTROL MASTER'!$P$2:$P$495,(SUMPRODUCT((('CONTROL MASTER'!$S$2:$S$495=6)*('CONTROL MASTER'!$Z$2:$Z$495&lt;=7)*('CONTROL MASTER'!$AB$2:$AB$495&gt;=7)*('CONTROL MASTER'!$AA$2:$AA$495&lt;=4)*('CONTROL MASTER'!$AC$2:$AC$495&gt;=4))*ROW('CONTROL MASTER'!$S$2:$S$495))-(ROW('CONTROL MASTER'!#REF!)-1))),"")),"")</f>
        <v/>
      </c>
      <c r="F79" s="10" t="str">
        <f>IFERROR(IF(SUMPRODUCT((('CONTROL MASTER'!$S$2:$S$495=6)*('CONTROL MASTER'!$T$2:$T$495&lt;=7)*('CONTROL MASTER'!$V$2:$V$495&gt;=7)*('CONTROL MASTER'!$U$2:$U$495&lt;=5)*('CONTROL MASTER'!$W$2:$W$495&gt;=5))*ROW('CONTROL MASTER'!$S$2:$S$495))&gt;0,INDEX('CONTROL MASTER'!$X$2:$X$495,(SUMPRODUCT((('CONTROL MASTER'!$S$2:$S$495=6)*('CONTROL MASTER'!$T$2:$T$495&lt;=7)*('CONTROL MASTER'!$V$2:$V$495&gt;=7)*('CONTROL MASTER'!$U$2:$U$495&lt;=5)*('CONTROL MASTER'!$W$2:$W$495&gt;=5))*ROW('CONTROL MASTER'!$S$2:$S$495))-(ROW('CONTROL MASTER'!#REF!)-1)))&amp;TRIM(MID(SUBSTITUTE(SUBSTITUTE(INDEX('CONTROL MASTER'!$N$2:$N$495,(SUMPRODUCT((('CONTROL MASTER'!$S$2:$S$495=6)*('CONTROL MASTER'!$T$2:$T$495&lt;=7)*('CONTROL MASTER'!$V$2:$V$495&gt;=7)*('CONTROL MASTER'!$U$2:$U$495&lt;=5)*('CONTROL MASTER'!$W$2:$W$495&gt;=5))*ROW('CONTROL MASTER'!$S$2:$S$495))-(ROW('CONTROL MASTER'!#REF!)-1))),":",","),",",REPT(" ",50)),((((7-INDEX('CONTROL MASTER'!$T$2:$T$495,(SUMPRODUCT((('CONTROL MASTER'!$S$2:$S$495=6)*('CONTROL MASTER'!$T$2:$T$495&lt;=7)*('CONTROL MASTER'!$V$2:$V$495&gt;=7)*('CONTROL MASTER'!$U$2:$U$495&lt;=5)*('CONTROL MASTER'!$W$2:$W$495&gt;=5))*ROW('CONTROL MASTER'!$S$2:$S$495))-(ROW('CONTROL MASTER'!#REF!)-1))))*(INDEX('CONTROL MASTER'!$W$2:$W$495,(SUMPRODUCT((('CONTROL MASTER'!$S$2:$S$495=6)*('CONTROL MASTER'!$T$2:$T$495&lt;=7)*('CONTROL MASTER'!$V$2:$V$495&gt;=7)*('CONTROL MASTER'!$U$2:$U$495&lt;=5)*('CONTROL MASTER'!$W$2:$W$495&gt;=5))*ROW('CONTROL MASTER'!$S$2:$S$495))-(ROW('CONTROL MASTER'!#REF!)-1)))-INDEX('CONTROL MASTER'!$U$2:$U$495,(SUMPRODUCT((('CONTROL MASTER'!$S$2:$S$495=6)*('CONTROL MASTER'!$T$2:$T$495&lt;=7)*('CONTROL MASTER'!$V$2:$V$495&gt;=7)*('CONTROL MASTER'!$U$2:$U$495&lt;=5)*('CONTROL MASTER'!$W$2:$W$495&gt;=5))*ROW('CONTROL MASTER'!$S$2:$S$495))-(ROW('CONTROL MASTER'!#REF!)-1)))+1)+(5-INDEX('CONTROL MASTER'!$U$2:$U$495,(SUMPRODUCT((('CONTROL MASTER'!$S$2:$S$495=6)*('CONTROL MASTER'!$T$2:$T$495&lt;=7)*('CONTROL MASTER'!$V$2:$V$495&gt;=7)*('CONTROL MASTER'!$U$2:$U$495&lt;=5)*('CONTROL MASTER'!$W$2:$W$495&gt;=5))*ROW('CONTROL MASTER'!$S$2:$S$495))-(ROW('CONTROL MASTER'!#REF!)-1))))+1))-1)*50+1,50))&amp;"_"&amp;INDEX('CONTROL MASTER'!$P$2:$P$495,(SUMPRODUCT((('CONTROL MASTER'!$S$2:$S$495=6)*('CONTROL MASTER'!$T$2:$T$495&lt;=7)*('CONTROL MASTER'!$V$2:$V$495&gt;=7)*('CONTROL MASTER'!$U$2:$U$495&lt;=5)*('CONTROL MASTER'!$W$2:$W$495&gt;=5))*ROW('CONTROL MASTER'!$S$2:$S$495))-(ROW('CONTROL MASTER'!#REF!)-1))),IF(SUMPRODUCT((('CONTROL MASTER'!$S$2:$S$495=6)*('CONTROL MASTER'!$Z$2:$Z$495&lt;=7)*('CONTROL MASTER'!$AB$2:$AB$495&gt;=7)*('CONTROL MASTER'!$AA$2:$AA$495&lt;=5)*('CONTROL MASTER'!$AC$2:$AC$495&gt;=5))*ROW('CONTROL MASTER'!$S$2:$S$495))&gt;0,INDEX('CONTROL MASTER'!$X$2:$X$495,(SUMPRODUCT((('CONTROL MASTER'!$S$2:$S$495=6)*('CONTROL MASTER'!$Z$2:$Z$495&lt;=7)*('CONTROL MASTER'!$AB$2:$AB$495&gt;=7)*('CONTROL MASTER'!$AA$2:$AA$495&lt;=5)*('CONTROL MASTER'!$AC$2:$AC$495&gt;=5))*ROW('CONTROL MASTER'!$S$2:$S$495))-(ROW('CONTROL MASTER'!#REF!)-1)))&amp;TRIM(MID(SUBSTITUTE(SUBSTITUTE(INDEX('CONTROL MASTER'!$N$2:$N$495,(SUMPRODUCT((('CONTROL MASTER'!$S$2:$S$495=6)*('CONTROL MASTER'!$Z$2:$Z$495&lt;=7)*('CONTROL MASTER'!$AB$2:$AB$495&gt;=7)*('CONTROL MASTER'!$AA$2:$AA$495&lt;=5)*('CONTROL MASTER'!$AC$2:$AC$495&gt;=5))*ROW('CONTROL MASTER'!$S$2:$S$495))-(ROW('CONTROL MASTER'!#REF!)-1))),":",","),",",REPT(" ",50)),(((INDEX('CONTROL MASTER'!$Y$2:$Y$495,(SUMPRODUCT((('CONTROL MASTER'!$S$2:$S$495=6)*('CONTROL MASTER'!$Z$2:$Z$495&lt;=7)*('CONTROL MASTER'!$AB$2:$AB$495&gt;=7)*('CONTROL MASTER'!$AA$2:$AA$495&lt;=5)*('CONTROL MASTER'!$AC$2:$AC$495&gt;=5))*ROW('CONTROL MASTER'!$S$2:$S$495))-(ROW('CONTROL MASTER'!#REF!)-1)))+((7-INDEX('CONTROL MASTER'!$Z$2:$Z$495,(SUMPRODUCT((('CONTROL MASTER'!$S$2:$S$495=6)*('CONTROL MASTER'!$Z$2:$Z$495&lt;=7)*('CONTROL MASTER'!$AB$2:$AB$495&gt;=7)*('CONTROL MASTER'!$AA$2:$AA$495&lt;=5)*('CONTROL MASTER'!$AC$2:$AC$495&gt;=5))*ROW('CONTROL MASTER'!$S$2:$S$495))-(ROW('CONTROL MASTER'!#REF!)-1))))*(INDEX('CONTROL MASTER'!$AC$2:$AC$495,(SUMPRODUCT((('CONTROL MASTER'!$S$2:$S$495=6)*('CONTROL MASTER'!$Z$2:$Z$495&lt;=7)*('CONTROL MASTER'!$AB$2:$AB$495&gt;=7)*('CONTROL MASTER'!$AA$2:$AA$495&lt;=5)*('CONTROL MASTER'!$AC$2:$AC$495&gt;=5))*ROW('CONTROL MASTER'!$S$2:$S$495))-(ROW('CONTROL MASTER'!#REF!)-1)))-INDEX('CONTROL MASTER'!$AA$2:$AA$495,(SUMPRODUCT((('CONTROL MASTER'!$S$2:$S$495=6)*('CONTROL MASTER'!$Z$2:$Z$495&lt;=7)*('CONTROL MASTER'!$AB$2:$AB$495&gt;=7)*('CONTROL MASTER'!$AA$2:$AA$495&lt;=5)*('CONTROL MASTER'!$AC$2:$AC$495&gt;=5))*ROW('CONTROL MASTER'!$S$2:$S$495))-(ROW('CONTROL MASTER'!#REF!)-1)))+1)+(5-INDEX('CONTROL MASTER'!$AA$2:$AA$495,(SUMPRODUCT((('CONTROL MASTER'!$S$2:$S$495=6)*('CONTROL MASTER'!$Z$2:$Z$495&lt;=7)*('CONTROL MASTER'!$AB$2:$AB$495&gt;=7)*('CONTROL MASTER'!$AA$2:$AA$495&lt;=5)*('CONTROL MASTER'!$AC$2:$AC$495&gt;=5))*ROW('CONTROL MASTER'!$S$2:$S$495))-(ROW('CONTROL MASTER'!#REF!)-1))))+1)))-1)*50+1,50))&amp;"_"&amp;INDEX('CONTROL MASTER'!$P$2:$P$495,(SUMPRODUCT((('CONTROL MASTER'!$S$2:$S$495=6)*('CONTROL MASTER'!$Z$2:$Z$495&lt;=7)*('CONTROL MASTER'!$AB$2:$AB$495&gt;=7)*('CONTROL MASTER'!$AA$2:$AA$495&lt;=5)*('CONTROL MASTER'!$AC$2:$AC$495&gt;=5))*ROW('CONTROL MASTER'!$S$2:$S$495))-(ROW('CONTROL MASTER'!#REF!)-1))),"")),"")</f>
        <v/>
      </c>
      <c r="G79" s="10" t="str">
        <f>IFERROR(IF(SUMPRODUCT((('CONTROL MASTER'!$S$2:$S$495=6)*('CONTROL MASTER'!$T$2:$T$495&lt;=7)*('CONTROL MASTER'!$V$2:$V$495&gt;=7)*('CONTROL MASTER'!$U$2:$U$495&lt;=6)*('CONTROL MASTER'!$W$2:$W$495&gt;=6))*ROW('CONTROL MASTER'!$S$2:$S$495))&gt;0,INDEX('CONTROL MASTER'!$X$2:$X$495,(SUMPRODUCT((('CONTROL MASTER'!$S$2:$S$495=6)*('CONTROL MASTER'!$T$2:$T$495&lt;=7)*('CONTROL MASTER'!$V$2:$V$495&gt;=7)*('CONTROL MASTER'!$U$2:$U$495&lt;=6)*('CONTROL MASTER'!$W$2:$W$495&gt;=6))*ROW('CONTROL MASTER'!$S$2:$S$495))-(ROW('CONTROL MASTER'!#REF!)-1)))&amp;TRIM(MID(SUBSTITUTE(SUBSTITUTE(INDEX('CONTROL MASTER'!$N$2:$N$495,(SUMPRODUCT((('CONTROL MASTER'!$S$2:$S$495=6)*('CONTROL MASTER'!$T$2:$T$495&lt;=7)*('CONTROL MASTER'!$V$2:$V$495&gt;=7)*('CONTROL MASTER'!$U$2:$U$495&lt;=6)*('CONTROL MASTER'!$W$2:$W$495&gt;=6))*ROW('CONTROL MASTER'!$S$2:$S$495))-(ROW('CONTROL MASTER'!#REF!)-1))),":",","),",",REPT(" ",50)),((((7-INDEX('CONTROL MASTER'!$T$2:$T$495,(SUMPRODUCT((('CONTROL MASTER'!$S$2:$S$495=6)*('CONTROL MASTER'!$T$2:$T$495&lt;=7)*('CONTROL MASTER'!$V$2:$V$495&gt;=7)*('CONTROL MASTER'!$U$2:$U$495&lt;=6)*('CONTROL MASTER'!$W$2:$W$495&gt;=6))*ROW('CONTROL MASTER'!$S$2:$S$495))-(ROW('CONTROL MASTER'!#REF!)-1))))*(INDEX('CONTROL MASTER'!$W$2:$W$495,(SUMPRODUCT((('CONTROL MASTER'!$S$2:$S$495=6)*('CONTROL MASTER'!$T$2:$T$495&lt;=7)*('CONTROL MASTER'!$V$2:$V$495&gt;=7)*('CONTROL MASTER'!$U$2:$U$495&lt;=6)*('CONTROL MASTER'!$W$2:$W$495&gt;=6))*ROW('CONTROL MASTER'!$S$2:$S$495))-(ROW('CONTROL MASTER'!#REF!)-1)))-INDEX('CONTROL MASTER'!$U$2:$U$495,(SUMPRODUCT((('CONTROL MASTER'!$S$2:$S$495=6)*('CONTROL MASTER'!$T$2:$T$495&lt;=7)*('CONTROL MASTER'!$V$2:$V$495&gt;=7)*('CONTROL MASTER'!$U$2:$U$495&lt;=6)*('CONTROL MASTER'!$W$2:$W$495&gt;=6))*ROW('CONTROL MASTER'!$S$2:$S$495))-(ROW('CONTROL MASTER'!#REF!)-1)))+1)+(6-INDEX('CONTROL MASTER'!$U$2:$U$495,(SUMPRODUCT((('CONTROL MASTER'!$S$2:$S$495=6)*('CONTROL MASTER'!$T$2:$T$495&lt;=7)*('CONTROL MASTER'!$V$2:$V$495&gt;=7)*('CONTROL MASTER'!$U$2:$U$495&lt;=6)*('CONTROL MASTER'!$W$2:$W$495&gt;=6))*ROW('CONTROL MASTER'!$S$2:$S$495))-(ROW('CONTROL MASTER'!#REF!)-1))))+1))-1)*50+1,50))&amp;"_"&amp;INDEX('CONTROL MASTER'!$P$2:$P$495,(SUMPRODUCT((('CONTROL MASTER'!$S$2:$S$495=6)*('CONTROL MASTER'!$T$2:$T$495&lt;=7)*('CONTROL MASTER'!$V$2:$V$495&gt;=7)*('CONTROL MASTER'!$U$2:$U$495&lt;=6)*('CONTROL MASTER'!$W$2:$W$495&gt;=6))*ROW('CONTROL MASTER'!$S$2:$S$495))-(ROW('CONTROL MASTER'!#REF!)-1))),IF(SUMPRODUCT((('CONTROL MASTER'!$S$2:$S$495=6)*('CONTROL MASTER'!$Z$2:$Z$495&lt;=7)*('CONTROL MASTER'!$AB$2:$AB$495&gt;=7)*('CONTROL MASTER'!$AA$2:$AA$495&lt;=6)*('CONTROL MASTER'!$AC$2:$AC$495&gt;=6))*ROW('CONTROL MASTER'!$S$2:$S$495))&gt;0,INDEX('CONTROL MASTER'!$X$2:$X$495,(SUMPRODUCT((('CONTROL MASTER'!$S$2:$S$495=6)*('CONTROL MASTER'!$Z$2:$Z$495&lt;=7)*('CONTROL MASTER'!$AB$2:$AB$495&gt;=7)*('CONTROL MASTER'!$AA$2:$AA$495&lt;=6)*('CONTROL MASTER'!$AC$2:$AC$495&gt;=6))*ROW('CONTROL MASTER'!$S$2:$S$495))-(ROW('CONTROL MASTER'!#REF!)-1)))&amp;TRIM(MID(SUBSTITUTE(SUBSTITUTE(INDEX('CONTROL MASTER'!$N$2:$N$495,(SUMPRODUCT((('CONTROL MASTER'!$S$2:$S$495=6)*('CONTROL MASTER'!$Z$2:$Z$495&lt;=7)*('CONTROL MASTER'!$AB$2:$AB$495&gt;=7)*('CONTROL MASTER'!$AA$2:$AA$495&lt;=6)*('CONTROL MASTER'!$AC$2:$AC$495&gt;=6))*ROW('CONTROL MASTER'!$S$2:$S$495))-(ROW('CONTROL MASTER'!#REF!)-1))),":",","),",",REPT(" ",50)),(((INDEX('CONTROL MASTER'!$Y$2:$Y$495,(SUMPRODUCT((('CONTROL MASTER'!$S$2:$S$495=6)*('CONTROL MASTER'!$Z$2:$Z$495&lt;=7)*('CONTROL MASTER'!$AB$2:$AB$495&gt;=7)*('CONTROL MASTER'!$AA$2:$AA$495&lt;=6)*('CONTROL MASTER'!$AC$2:$AC$495&gt;=6))*ROW('CONTROL MASTER'!$S$2:$S$495))-(ROW('CONTROL MASTER'!#REF!)-1)))+((7-INDEX('CONTROL MASTER'!$Z$2:$Z$495,(SUMPRODUCT((('CONTROL MASTER'!$S$2:$S$495=6)*('CONTROL MASTER'!$Z$2:$Z$495&lt;=7)*('CONTROL MASTER'!$AB$2:$AB$495&gt;=7)*('CONTROL MASTER'!$AA$2:$AA$495&lt;=6)*('CONTROL MASTER'!$AC$2:$AC$495&gt;=6))*ROW('CONTROL MASTER'!$S$2:$S$495))-(ROW('CONTROL MASTER'!#REF!)-1))))*(INDEX('CONTROL MASTER'!$AC$2:$AC$495,(SUMPRODUCT((('CONTROL MASTER'!$S$2:$S$495=6)*('CONTROL MASTER'!$Z$2:$Z$495&lt;=7)*('CONTROL MASTER'!$AB$2:$AB$495&gt;=7)*('CONTROL MASTER'!$AA$2:$AA$495&lt;=6)*('CONTROL MASTER'!$AC$2:$AC$495&gt;=6))*ROW('CONTROL MASTER'!$S$2:$S$495))-(ROW('CONTROL MASTER'!#REF!)-1)))-INDEX('CONTROL MASTER'!$AA$2:$AA$495,(SUMPRODUCT((('CONTROL MASTER'!$S$2:$S$495=6)*('CONTROL MASTER'!$Z$2:$Z$495&lt;=7)*('CONTROL MASTER'!$AB$2:$AB$495&gt;=7)*('CONTROL MASTER'!$AA$2:$AA$495&lt;=6)*('CONTROL MASTER'!$AC$2:$AC$495&gt;=6))*ROW('CONTROL MASTER'!$S$2:$S$495))-(ROW('CONTROL MASTER'!#REF!)-1)))+1)+(6-INDEX('CONTROL MASTER'!$AA$2:$AA$495,(SUMPRODUCT((('CONTROL MASTER'!$S$2:$S$495=6)*('CONTROL MASTER'!$Z$2:$Z$495&lt;=7)*('CONTROL MASTER'!$AB$2:$AB$495&gt;=7)*('CONTROL MASTER'!$AA$2:$AA$495&lt;=6)*('CONTROL MASTER'!$AC$2:$AC$495&gt;=6))*ROW('CONTROL MASTER'!$S$2:$S$495))-(ROW('CONTROL MASTER'!#REF!)-1))))+1)))-1)*50+1,50))&amp;"_"&amp;INDEX('CONTROL MASTER'!$P$2:$P$495,(SUMPRODUCT((('CONTROL MASTER'!$S$2:$S$495=6)*('CONTROL MASTER'!$Z$2:$Z$495&lt;=7)*('CONTROL MASTER'!$AB$2:$AB$495&gt;=7)*('CONTROL MASTER'!$AA$2:$AA$495&lt;=6)*('CONTROL MASTER'!$AC$2:$AC$495&gt;=6))*ROW('CONTROL MASTER'!$S$2:$S$495))-(ROW('CONTROL MASTER'!#REF!)-1))),"")),"")</f>
        <v/>
      </c>
      <c r="H79" s="10" t="str">
        <f>IFERROR(IF(SUMPRODUCT((('CONTROL MASTER'!$S$2:$S$495=6)*('CONTROL MASTER'!$T$2:$T$495&lt;=7)*('CONTROL MASTER'!$V$2:$V$495&gt;=7)*('CONTROL MASTER'!$U$2:$U$495&lt;=7)*('CONTROL MASTER'!$W$2:$W$495&gt;=7))*ROW('CONTROL MASTER'!$S$2:$S$495))&gt;0,INDEX('CONTROL MASTER'!$X$2:$X$495,(SUMPRODUCT((('CONTROL MASTER'!$S$2:$S$495=6)*('CONTROL MASTER'!$T$2:$T$495&lt;=7)*('CONTROL MASTER'!$V$2:$V$495&gt;=7)*('CONTROL MASTER'!$U$2:$U$495&lt;=7)*('CONTROL MASTER'!$W$2:$W$495&gt;=7))*ROW('CONTROL MASTER'!$S$2:$S$495))-(ROW('CONTROL MASTER'!#REF!)-1)))&amp;TRIM(MID(SUBSTITUTE(SUBSTITUTE(INDEX('CONTROL MASTER'!$N$2:$N$495,(SUMPRODUCT((('CONTROL MASTER'!$S$2:$S$495=6)*('CONTROL MASTER'!$T$2:$T$495&lt;=7)*('CONTROL MASTER'!$V$2:$V$495&gt;=7)*('CONTROL MASTER'!$U$2:$U$495&lt;=7)*('CONTROL MASTER'!$W$2:$W$495&gt;=7))*ROW('CONTROL MASTER'!$S$2:$S$495))-(ROW('CONTROL MASTER'!#REF!)-1))),":",","),",",REPT(" ",50)),((((7-INDEX('CONTROL MASTER'!$T$2:$T$495,(SUMPRODUCT((('CONTROL MASTER'!$S$2:$S$495=6)*('CONTROL MASTER'!$T$2:$T$495&lt;=7)*('CONTROL MASTER'!$V$2:$V$495&gt;=7)*('CONTROL MASTER'!$U$2:$U$495&lt;=7)*('CONTROL MASTER'!$W$2:$W$495&gt;=7))*ROW('CONTROL MASTER'!$S$2:$S$495))-(ROW('CONTROL MASTER'!#REF!)-1))))*(INDEX('CONTROL MASTER'!$W$2:$W$495,(SUMPRODUCT((('CONTROL MASTER'!$S$2:$S$495=6)*('CONTROL MASTER'!$T$2:$T$495&lt;=7)*('CONTROL MASTER'!$V$2:$V$495&gt;=7)*('CONTROL MASTER'!$U$2:$U$495&lt;=7)*('CONTROL MASTER'!$W$2:$W$495&gt;=7))*ROW('CONTROL MASTER'!$S$2:$S$495))-(ROW('CONTROL MASTER'!#REF!)-1)))-INDEX('CONTROL MASTER'!$U$2:$U$495,(SUMPRODUCT((('CONTROL MASTER'!$S$2:$S$495=6)*('CONTROL MASTER'!$T$2:$T$495&lt;=7)*('CONTROL MASTER'!$V$2:$V$495&gt;=7)*('CONTROL MASTER'!$U$2:$U$495&lt;=7)*('CONTROL MASTER'!$W$2:$W$495&gt;=7))*ROW('CONTROL MASTER'!$S$2:$S$495))-(ROW('CONTROL MASTER'!#REF!)-1)))+1)+(7-INDEX('CONTROL MASTER'!$U$2:$U$495,(SUMPRODUCT((('CONTROL MASTER'!$S$2:$S$495=6)*('CONTROL MASTER'!$T$2:$T$495&lt;=7)*('CONTROL MASTER'!$V$2:$V$495&gt;=7)*('CONTROL MASTER'!$U$2:$U$495&lt;=7)*('CONTROL MASTER'!$W$2:$W$495&gt;=7))*ROW('CONTROL MASTER'!$S$2:$S$495))-(ROW('CONTROL MASTER'!#REF!)-1))))+1))-1)*50+1,50))&amp;"_"&amp;INDEX('CONTROL MASTER'!$P$2:$P$495,(SUMPRODUCT((('CONTROL MASTER'!$S$2:$S$495=6)*('CONTROL MASTER'!$T$2:$T$495&lt;=7)*('CONTROL MASTER'!$V$2:$V$495&gt;=7)*('CONTROL MASTER'!$U$2:$U$495&lt;=7)*('CONTROL MASTER'!$W$2:$W$495&gt;=7))*ROW('CONTROL MASTER'!$S$2:$S$495))-(ROW('CONTROL MASTER'!#REF!)-1))),IF(SUMPRODUCT((('CONTROL MASTER'!$S$2:$S$495=6)*('CONTROL MASTER'!$Z$2:$Z$495&lt;=7)*('CONTROL MASTER'!$AB$2:$AB$495&gt;=7)*('CONTROL MASTER'!$AA$2:$AA$495&lt;=7)*('CONTROL MASTER'!$AC$2:$AC$495&gt;=7))*ROW('CONTROL MASTER'!$S$2:$S$495))&gt;0,INDEX('CONTROL MASTER'!$X$2:$X$495,(SUMPRODUCT((('CONTROL MASTER'!$S$2:$S$495=6)*('CONTROL MASTER'!$Z$2:$Z$495&lt;=7)*('CONTROL MASTER'!$AB$2:$AB$495&gt;=7)*('CONTROL MASTER'!$AA$2:$AA$495&lt;=7)*('CONTROL MASTER'!$AC$2:$AC$495&gt;=7))*ROW('CONTROL MASTER'!$S$2:$S$495))-(ROW('CONTROL MASTER'!#REF!)-1)))&amp;TRIM(MID(SUBSTITUTE(SUBSTITUTE(INDEX('CONTROL MASTER'!$N$2:$N$495,(SUMPRODUCT((('CONTROL MASTER'!$S$2:$S$495=6)*('CONTROL MASTER'!$Z$2:$Z$495&lt;=7)*('CONTROL MASTER'!$AB$2:$AB$495&gt;=7)*('CONTROL MASTER'!$AA$2:$AA$495&lt;=7)*('CONTROL MASTER'!$AC$2:$AC$495&gt;=7))*ROW('CONTROL MASTER'!$S$2:$S$495))-(ROW('CONTROL MASTER'!#REF!)-1))),":",","),",",REPT(" ",50)),(((INDEX('CONTROL MASTER'!$Y$2:$Y$495,(SUMPRODUCT((('CONTROL MASTER'!$S$2:$S$495=6)*('CONTROL MASTER'!$Z$2:$Z$495&lt;=7)*('CONTROL MASTER'!$AB$2:$AB$495&gt;=7)*('CONTROL MASTER'!$AA$2:$AA$495&lt;=7)*('CONTROL MASTER'!$AC$2:$AC$495&gt;=7))*ROW('CONTROL MASTER'!$S$2:$S$495))-(ROW('CONTROL MASTER'!#REF!)-1)))+((7-INDEX('CONTROL MASTER'!$Z$2:$Z$495,(SUMPRODUCT((('CONTROL MASTER'!$S$2:$S$495=6)*('CONTROL MASTER'!$Z$2:$Z$495&lt;=7)*('CONTROL MASTER'!$AB$2:$AB$495&gt;=7)*('CONTROL MASTER'!$AA$2:$AA$495&lt;=7)*('CONTROL MASTER'!$AC$2:$AC$495&gt;=7))*ROW('CONTROL MASTER'!$S$2:$S$495))-(ROW('CONTROL MASTER'!#REF!)-1))))*(INDEX('CONTROL MASTER'!$AC$2:$AC$495,(SUMPRODUCT((('CONTROL MASTER'!$S$2:$S$495=6)*('CONTROL MASTER'!$Z$2:$Z$495&lt;=7)*('CONTROL MASTER'!$AB$2:$AB$495&gt;=7)*('CONTROL MASTER'!$AA$2:$AA$495&lt;=7)*('CONTROL MASTER'!$AC$2:$AC$495&gt;=7))*ROW('CONTROL MASTER'!$S$2:$S$495))-(ROW('CONTROL MASTER'!#REF!)-1)))-INDEX('CONTROL MASTER'!$AA$2:$AA$495,(SUMPRODUCT((('CONTROL MASTER'!$S$2:$S$495=6)*('CONTROL MASTER'!$Z$2:$Z$495&lt;=7)*('CONTROL MASTER'!$AB$2:$AB$495&gt;=7)*('CONTROL MASTER'!$AA$2:$AA$495&lt;=7)*('CONTROL MASTER'!$AC$2:$AC$495&gt;=7))*ROW('CONTROL MASTER'!$S$2:$S$495))-(ROW('CONTROL MASTER'!#REF!)-1)))+1)+(7-INDEX('CONTROL MASTER'!$AA$2:$AA$495,(SUMPRODUCT((('CONTROL MASTER'!$S$2:$S$495=6)*('CONTROL MASTER'!$Z$2:$Z$495&lt;=7)*('CONTROL MASTER'!$AB$2:$AB$495&gt;=7)*('CONTROL MASTER'!$AA$2:$AA$495&lt;=7)*('CONTROL MASTER'!$AC$2:$AC$495&gt;=7))*ROW('CONTROL MASTER'!$S$2:$S$495))-(ROW('CONTROL MASTER'!#REF!)-1))))+1)))-1)*50+1,50))&amp;"_"&amp;INDEX('CONTROL MASTER'!$P$2:$P$495,(SUMPRODUCT((('CONTROL MASTER'!$S$2:$S$495=6)*('CONTROL MASTER'!$Z$2:$Z$495&lt;=7)*('CONTROL MASTER'!$AB$2:$AB$495&gt;=7)*('CONTROL MASTER'!$AA$2:$AA$495&lt;=7)*('CONTROL MASTER'!$AC$2:$AC$495&gt;=7))*ROW('CONTROL MASTER'!$S$2:$S$495))-(ROW('CONTROL MASTER'!#REF!)-1))),"")),"")</f>
        <v/>
      </c>
      <c r="I79" s="10" t="str">
        <f>IFERROR(IF(SUMPRODUCT((('CONTROL MASTER'!$S$2:$S$495=6)*('CONTROL MASTER'!$T$2:$T$495&lt;=7)*('CONTROL MASTER'!$V$2:$V$495&gt;=7)*('CONTROL MASTER'!$U$2:$U$495&lt;=8)*('CONTROL MASTER'!$W$2:$W$495&gt;=8))*ROW('CONTROL MASTER'!$S$2:$S$495))&gt;0,INDEX('CONTROL MASTER'!$X$2:$X$495,(SUMPRODUCT((('CONTROL MASTER'!$S$2:$S$495=6)*('CONTROL MASTER'!$T$2:$T$495&lt;=7)*('CONTROL MASTER'!$V$2:$V$495&gt;=7)*('CONTROL MASTER'!$U$2:$U$495&lt;=8)*('CONTROL MASTER'!$W$2:$W$495&gt;=8))*ROW('CONTROL MASTER'!$S$2:$S$495))-(ROW('CONTROL MASTER'!#REF!)-1)))&amp;TRIM(MID(SUBSTITUTE(SUBSTITUTE(INDEX('CONTROL MASTER'!$N$2:$N$495,(SUMPRODUCT((('CONTROL MASTER'!$S$2:$S$495=6)*('CONTROL MASTER'!$T$2:$T$495&lt;=7)*('CONTROL MASTER'!$V$2:$V$495&gt;=7)*('CONTROL MASTER'!$U$2:$U$495&lt;=8)*('CONTROL MASTER'!$W$2:$W$495&gt;=8))*ROW('CONTROL MASTER'!$S$2:$S$495))-(ROW('CONTROL MASTER'!#REF!)-1))),":",","),",",REPT(" ",50)),((((7-INDEX('CONTROL MASTER'!$T$2:$T$495,(SUMPRODUCT((('CONTROL MASTER'!$S$2:$S$495=6)*('CONTROL MASTER'!$T$2:$T$495&lt;=7)*('CONTROL MASTER'!$V$2:$V$495&gt;=7)*('CONTROL MASTER'!$U$2:$U$495&lt;=8)*('CONTROL MASTER'!$W$2:$W$495&gt;=8))*ROW('CONTROL MASTER'!$S$2:$S$495))-(ROW('CONTROL MASTER'!#REF!)-1))))*(INDEX('CONTROL MASTER'!$W$2:$W$495,(SUMPRODUCT((('CONTROL MASTER'!$S$2:$S$495=6)*('CONTROL MASTER'!$T$2:$T$495&lt;=7)*('CONTROL MASTER'!$V$2:$V$495&gt;=7)*('CONTROL MASTER'!$U$2:$U$495&lt;=8)*('CONTROL MASTER'!$W$2:$W$495&gt;=8))*ROW('CONTROL MASTER'!$S$2:$S$495))-(ROW('CONTROL MASTER'!#REF!)-1)))-INDEX('CONTROL MASTER'!$U$2:$U$495,(SUMPRODUCT((('CONTROL MASTER'!$S$2:$S$495=6)*('CONTROL MASTER'!$T$2:$T$495&lt;=7)*('CONTROL MASTER'!$V$2:$V$495&gt;=7)*('CONTROL MASTER'!$U$2:$U$495&lt;=8)*('CONTROL MASTER'!$W$2:$W$495&gt;=8))*ROW('CONTROL MASTER'!$S$2:$S$495))-(ROW('CONTROL MASTER'!#REF!)-1)))+1)+(8-INDEX('CONTROL MASTER'!$U$2:$U$495,(SUMPRODUCT((('CONTROL MASTER'!$S$2:$S$495=6)*('CONTROL MASTER'!$T$2:$T$495&lt;=7)*('CONTROL MASTER'!$V$2:$V$495&gt;=7)*('CONTROL MASTER'!$U$2:$U$495&lt;=8)*('CONTROL MASTER'!$W$2:$W$495&gt;=8))*ROW('CONTROL MASTER'!$S$2:$S$495))-(ROW('CONTROL MASTER'!#REF!)-1))))+1))-1)*50+1,50))&amp;"_"&amp;INDEX('CONTROL MASTER'!$P$2:$P$495,(SUMPRODUCT((('CONTROL MASTER'!$S$2:$S$495=6)*('CONTROL MASTER'!$T$2:$T$495&lt;=7)*('CONTROL MASTER'!$V$2:$V$495&gt;=7)*('CONTROL MASTER'!$U$2:$U$495&lt;=8)*('CONTROL MASTER'!$W$2:$W$495&gt;=8))*ROW('CONTROL MASTER'!$S$2:$S$495))-(ROW('CONTROL MASTER'!#REF!)-1))),IF(SUMPRODUCT((('CONTROL MASTER'!$S$2:$S$495=6)*('CONTROL MASTER'!$Z$2:$Z$495&lt;=7)*('CONTROL MASTER'!$AB$2:$AB$495&gt;=7)*('CONTROL MASTER'!$AA$2:$AA$495&lt;=8)*('CONTROL MASTER'!$AC$2:$AC$495&gt;=8))*ROW('CONTROL MASTER'!$S$2:$S$495))&gt;0,INDEX('CONTROL MASTER'!$X$2:$X$495,(SUMPRODUCT((('CONTROL MASTER'!$S$2:$S$495=6)*('CONTROL MASTER'!$Z$2:$Z$495&lt;=7)*('CONTROL MASTER'!$AB$2:$AB$495&gt;=7)*('CONTROL MASTER'!$AA$2:$AA$495&lt;=8)*('CONTROL MASTER'!$AC$2:$AC$495&gt;=8))*ROW('CONTROL MASTER'!$S$2:$S$495))-(ROW('CONTROL MASTER'!#REF!)-1)))&amp;TRIM(MID(SUBSTITUTE(SUBSTITUTE(INDEX('CONTROL MASTER'!$N$2:$N$495,(SUMPRODUCT((('CONTROL MASTER'!$S$2:$S$495=6)*('CONTROL MASTER'!$Z$2:$Z$495&lt;=7)*('CONTROL MASTER'!$AB$2:$AB$495&gt;=7)*('CONTROL MASTER'!$AA$2:$AA$495&lt;=8)*('CONTROL MASTER'!$AC$2:$AC$495&gt;=8))*ROW('CONTROL MASTER'!$S$2:$S$495))-(ROW('CONTROL MASTER'!#REF!)-1))),":",","),",",REPT(" ",50)),(((INDEX('CONTROL MASTER'!$Y$2:$Y$495,(SUMPRODUCT((('CONTROL MASTER'!$S$2:$S$495=6)*('CONTROL MASTER'!$Z$2:$Z$495&lt;=7)*('CONTROL MASTER'!$AB$2:$AB$495&gt;=7)*('CONTROL MASTER'!$AA$2:$AA$495&lt;=8)*('CONTROL MASTER'!$AC$2:$AC$495&gt;=8))*ROW('CONTROL MASTER'!$S$2:$S$495))-(ROW('CONTROL MASTER'!#REF!)-1)))+((7-INDEX('CONTROL MASTER'!$Z$2:$Z$495,(SUMPRODUCT((('CONTROL MASTER'!$S$2:$S$495=6)*('CONTROL MASTER'!$Z$2:$Z$495&lt;=7)*('CONTROL MASTER'!$AB$2:$AB$495&gt;=7)*('CONTROL MASTER'!$AA$2:$AA$495&lt;=8)*('CONTROL MASTER'!$AC$2:$AC$495&gt;=8))*ROW('CONTROL MASTER'!$S$2:$S$495))-(ROW('CONTROL MASTER'!#REF!)-1))))*(INDEX('CONTROL MASTER'!$AC$2:$AC$495,(SUMPRODUCT((('CONTROL MASTER'!$S$2:$S$495=6)*('CONTROL MASTER'!$Z$2:$Z$495&lt;=7)*('CONTROL MASTER'!$AB$2:$AB$495&gt;=7)*('CONTROL MASTER'!$AA$2:$AA$495&lt;=8)*('CONTROL MASTER'!$AC$2:$AC$495&gt;=8))*ROW('CONTROL MASTER'!$S$2:$S$495))-(ROW('CONTROL MASTER'!#REF!)-1)))-INDEX('CONTROL MASTER'!$AA$2:$AA$495,(SUMPRODUCT((('CONTROL MASTER'!$S$2:$S$495=6)*('CONTROL MASTER'!$Z$2:$Z$495&lt;=7)*('CONTROL MASTER'!$AB$2:$AB$495&gt;=7)*('CONTROL MASTER'!$AA$2:$AA$495&lt;=8)*('CONTROL MASTER'!$AC$2:$AC$495&gt;=8))*ROW('CONTROL MASTER'!$S$2:$S$495))-(ROW('CONTROL MASTER'!#REF!)-1)))+1)+(8-INDEX('CONTROL MASTER'!$AA$2:$AA$495,(SUMPRODUCT((('CONTROL MASTER'!$S$2:$S$495=6)*('CONTROL MASTER'!$Z$2:$Z$495&lt;=7)*('CONTROL MASTER'!$AB$2:$AB$495&gt;=7)*('CONTROL MASTER'!$AA$2:$AA$495&lt;=8)*('CONTROL MASTER'!$AC$2:$AC$495&gt;=8))*ROW('CONTROL MASTER'!$S$2:$S$495))-(ROW('CONTROL MASTER'!#REF!)-1))))+1)))-1)*50+1,50))&amp;"_"&amp;INDEX('CONTROL MASTER'!$P$2:$P$495,(SUMPRODUCT((('CONTROL MASTER'!$S$2:$S$495=6)*('CONTROL MASTER'!$Z$2:$Z$495&lt;=7)*('CONTROL MASTER'!$AB$2:$AB$495&gt;=7)*('CONTROL MASTER'!$AA$2:$AA$495&lt;=8)*('CONTROL MASTER'!$AC$2:$AC$495&gt;=8))*ROW('CONTROL MASTER'!$S$2:$S$495))-(ROW('CONTROL MASTER'!#REF!)-1))),"")),"")</f>
        <v/>
      </c>
      <c r="J79" s="10" t="str">
        <f>IFERROR(IF(SUMPRODUCT((('CONTROL MASTER'!$S$2:$S$495=6)*('CONTROL MASTER'!$T$2:$T$495&lt;=7)*('CONTROL MASTER'!$V$2:$V$495&gt;=7)*('CONTROL MASTER'!$U$2:$U$495&lt;=9)*('CONTROL MASTER'!$W$2:$W$495&gt;=9))*ROW('CONTROL MASTER'!$S$2:$S$495))&gt;0,INDEX('CONTROL MASTER'!$X$2:$X$495,(SUMPRODUCT((('CONTROL MASTER'!$S$2:$S$495=6)*('CONTROL MASTER'!$T$2:$T$495&lt;=7)*('CONTROL MASTER'!$V$2:$V$495&gt;=7)*('CONTROL MASTER'!$U$2:$U$495&lt;=9)*('CONTROL MASTER'!$W$2:$W$495&gt;=9))*ROW('CONTROL MASTER'!$S$2:$S$495))-(ROW('CONTROL MASTER'!#REF!)-1)))&amp;TRIM(MID(SUBSTITUTE(SUBSTITUTE(INDEX('CONTROL MASTER'!$N$2:$N$495,(SUMPRODUCT((('CONTROL MASTER'!$S$2:$S$495=6)*('CONTROL MASTER'!$T$2:$T$495&lt;=7)*('CONTROL MASTER'!$V$2:$V$495&gt;=7)*('CONTROL MASTER'!$U$2:$U$495&lt;=9)*('CONTROL MASTER'!$W$2:$W$495&gt;=9))*ROW('CONTROL MASTER'!$S$2:$S$495))-(ROW('CONTROL MASTER'!#REF!)-1))),":",","),",",REPT(" ",50)),((((7-INDEX('CONTROL MASTER'!$T$2:$T$495,(SUMPRODUCT((('CONTROL MASTER'!$S$2:$S$495=6)*('CONTROL MASTER'!$T$2:$T$495&lt;=7)*('CONTROL MASTER'!$V$2:$V$495&gt;=7)*('CONTROL MASTER'!$U$2:$U$495&lt;=9)*('CONTROL MASTER'!$W$2:$W$495&gt;=9))*ROW('CONTROL MASTER'!$S$2:$S$495))-(ROW('CONTROL MASTER'!#REF!)-1))))*(INDEX('CONTROL MASTER'!$W$2:$W$495,(SUMPRODUCT((('CONTROL MASTER'!$S$2:$S$495=6)*('CONTROL MASTER'!$T$2:$T$495&lt;=7)*('CONTROL MASTER'!$V$2:$V$495&gt;=7)*('CONTROL MASTER'!$U$2:$U$495&lt;=9)*('CONTROL MASTER'!$W$2:$W$495&gt;=9))*ROW('CONTROL MASTER'!$S$2:$S$495))-(ROW('CONTROL MASTER'!#REF!)-1)))-INDEX('CONTROL MASTER'!$U$2:$U$495,(SUMPRODUCT((('CONTROL MASTER'!$S$2:$S$495=6)*('CONTROL MASTER'!$T$2:$T$495&lt;=7)*('CONTROL MASTER'!$V$2:$V$495&gt;=7)*('CONTROL MASTER'!$U$2:$U$495&lt;=9)*('CONTROL MASTER'!$W$2:$W$495&gt;=9))*ROW('CONTROL MASTER'!$S$2:$S$495))-(ROW('CONTROL MASTER'!#REF!)-1)))+1)+(9-INDEX('CONTROL MASTER'!$U$2:$U$495,(SUMPRODUCT((('CONTROL MASTER'!$S$2:$S$495=6)*('CONTROL MASTER'!$T$2:$T$495&lt;=7)*('CONTROL MASTER'!$V$2:$V$495&gt;=7)*('CONTROL MASTER'!$U$2:$U$495&lt;=9)*('CONTROL MASTER'!$W$2:$W$495&gt;=9))*ROW('CONTROL MASTER'!$S$2:$S$495))-(ROW('CONTROL MASTER'!#REF!)-1))))+1))-1)*50+1,50))&amp;"_"&amp;INDEX('CONTROL MASTER'!$P$2:$P$495,(SUMPRODUCT((('CONTROL MASTER'!$S$2:$S$495=6)*('CONTROL MASTER'!$T$2:$T$495&lt;=7)*('CONTROL MASTER'!$V$2:$V$495&gt;=7)*('CONTROL MASTER'!$U$2:$U$495&lt;=9)*('CONTROL MASTER'!$W$2:$W$495&gt;=9))*ROW('CONTROL MASTER'!$S$2:$S$495))-(ROW('CONTROL MASTER'!#REF!)-1))),IF(SUMPRODUCT((('CONTROL MASTER'!$S$2:$S$495=6)*('CONTROL MASTER'!$Z$2:$Z$495&lt;=7)*('CONTROL MASTER'!$AB$2:$AB$495&gt;=7)*('CONTROL MASTER'!$AA$2:$AA$495&lt;=9)*('CONTROL MASTER'!$AC$2:$AC$495&gt;=9))*ROW('CONTROL MASTER'!$S$2:$S$495))&gt;0,INDEX('CONTROL MASTER'!$X$2:$X$495,(SUMPRODUCT((('CONTROL MASTER'!$S$2:$S$495=6)*('CONTROL MASTER'!$Z$2:$Z$495&lt;=7)*('CONTROL MASTER'!$AB$2:$AB$495&gt;=7)*('CONTROL MASTER'!$AA$2:$AA$495&lt;=9)*('CONTROL MASTER'!$AC$2:$AC$495&gt;=9))*ROW('CONTROL MASTER'!$S$2:$S$495))-(ROW('CONTROL MASTER'!#REF!)-1)))&amp;TRIM(MID(SUBSTITUTE(SUBSTITUTE(INDEX('CONTROL MASTER'!$N$2:$N$495,(SUMPRODUCT((('CONTROL MASTER'!$S$2:$S$495=6)*('CONTROL MASTER'!$Z$2:$Z$495&lt;=7)*('CONTROL MASTER'!$AB$2:$AB$495&gt;=7)*('CONTROL MASTER'!$AA$2:$AA$495&lt;=9)*('CONTROL MASTER'!$AC$2:$AC$495&gt;=9))*ROW('CONTROL MASTER'!$S$2:$S$495))-(ROW('CONTROL MASTER'!#REF!)-1))),":",","),",",REPT(" ",50)),(((INDEX('CONTROL MASTER'!$Y$2:$Y$495,(SUMPRODUCT((('CONTROL MASTER'!$S$2:$S$495=6)*('CONTROL MASTER'!$Z$2:$Z$495&lt;=7)*('CONTROL MASTER'!$AB$2:$AB$495&gt;=7)*('CONTROL MASTER'!$AA$2:$AA$495&lt;=9)*('CONTROL MASTER'!$AC$2:$AC$495&gt;=9))*ROW('CONTROL MASTER'!$S$2:$S$495))-(ROW('CONTROL MASTER'!#REF!)-1)))+((7-INDEX('CONTROL MASTER'!$Z$2:$Z$495,(SUMPRODUCT((('CONTROL MASTER'!$S$2:$S$495=6)*('CONTROL MASTER'!$Z$2:$Z$495&lt;=7)*('CONTROL MASTER'!$AB$2:$AB$495&gt;=7)*('CONTROL MASTER'!$AA$2:$AA$495&lt;=9)*('CONTROL MASTER'!$AC$2:$AC$495&gt;=9))*ROW('CONTROL MASTER'!$S$2:$S$495))-(ROW('CONTROL MASTER'!#REF!)-1))))*(INDEX('CONTROL MASTER'!$AC$2:$AC$495,(SUMPRODUCT((('CONTROL MASTER'!$S$2:$S$495=6)*('CONTROL MASTER'!$Z$2:$Z$495&lt;=7)*('CONTROL MASTER'!$AB$2:$AB$495&gt;=7)*('CONTROL MASTER'!$AA$2:$AA$495&lt;=9)*('CONTROL MASTER'!$AC$2:$AC$495&gt;=9))*ROW('CONTROL MASTER'!$S$2:$S$495))-(ROW('CONTROL MASTER'!#REF!)-1)))-INDEX('CONTROL MASTER'!$AA$2:$AA$495,(SUMPRODUCT((('CONTROL MASTER'!$S$2:$S$495=6)*('CONTROL MASTER'!$Z$2:$Z$495&lt;=7)*('CONTROL MASTER'!$AB$2:$AB$495&gt;=7)*('CONTROL MASTER'!$AA$2:$AA$495&lt;=9)*('CONTROL MASTER'!$AC$2:$AC$495&gt;=9))*ROW('CONTROL MASTER'!$S$2:$S$495))-(ROW('CONTROL MASTER'!#REF!)-1)))+1)+(9-INDEX('CONTROL MASTER'!$AA$2:$AA$495,(SUMPRODUCT((('CONTROL MASTER'!$S$2:$S$495=6)*('CONTROL MASTER'!$Z$2:$Z$495&lt;=7)*('CONTROL MASTER'!$AB$2:$AB$495&gt;=7)*('CONTROL MASTER'!$AA$2:$AA$495&lt;=9)*('CONTROL MASTER'!$AC$2:$AC$495&gt;=9))*ROW('CONTROL MASTER'!$S$2:$S$495))-(ROW('CONTROL MASTER'!#REF!)-1))))+1)))-1)*50+1,50))&amp;"_"&amp;INDEX('CONTROL MASTER'!$P$2:$P$495,(SUMPRODUCT((('CONTROL MASTER'!$S$2:$S$495=6)*('CONTROL MASTER'!$Z$2:$Z$495&lt;=7)*('CONTROL MASTER'!$AB$2:$AB$495&gt;=7)*('CONTROL MASTER'!$AA$2:$AA$495&lt;=9)*('CONTROL MASTER'!$AC$2:$AC$495&gt;=9))*ROW('CONTROL MASTER'!$S$2:$S$495))-(ROW('CONTROL MASTER'!#REF!)-1))),"")),"")</f>
        <v/>
      </c>
      <c r="K79" s="10" t="str">
        <f>IFERROR(IF(SUMPRODUCT((('CONTROL MASTER'!$S$2:$S$495=6)*('CONTROL MASTER'!$T$2:$T$495&lt;=7)*('CONTROL MASTER'!$V$2:$V$495&gt;=7)*('CONTROL MASTER'!$U$2:$U$495&lt;=10)*('CONTROL MASTER'!$W$2:$W$495&gt;=10))*ROW('CONTROL MASTER'!$S$2:$S$495))&gt;0,INDEX('CONTROL MASTER'!$X$2:$X$495,(SUMPRODUCT((('CONTROL MASTER'!$S$2:$S$495=6)*('CONTROL MASTER'!$T$2:$T$495&lt;=7)*('CONTROL MASTER'!$V$2:$V$495&gt;=7)*('CONTROL MASTER'!$U$2:$U$495&lt;=10)*('CONTROL MASTER'!$W$2:$W$495&gt;=10))*ROW('CONTROL MASTER'!$S$2:$S$495))-(ROW('CONTROL MASTER'!#REF!)-1)))&amp;TRIM(MID(SUBSTITUTE(SUBSTITUTE(INDEX('CONTROL MASTER'!$N$2:$N$495,(SUMPRODUCT((('CONTROL MASTER'!$S$2:$S$495=6)*('CONTROL MASTER'!$T$2:$T$495&lt;=7)*('CONTROL MASTER'!$V$2:$V$495&gt;=7)*('CONTROL MASTER'!$U$2:$U$495&lt;=10)*('CONTROL MASTER'!$W$2:$W$495&gt;=10))*ROW('CONTROL MASTER'!$S$2:$S$495))-(ROW('CONTROL MASTER'!#REF!)-1))),":",","),",",REPT(" ",50)),((((7-INDEX('CONTROL MASTER'!$T$2:$T$495,(SUMPRODUCT((('CONTROL MASTER'!$S$2:$S$495=6)*('CONTROL MASTER'!$T$2:$T$495&lt;=7)*('CONTROL MASTER'!$V$2:$V$495&gt;=7)*('CONTROL MASTER'!$U$2:$U$495&lt;=10)*('CONTROL MASTER'!$W$2:$W$495&gt;=10))*ROW('CONTROL MASTER'!$S$2:$S$495))-(ROW('CONTROL MASTER'!#REF!)-1))))*(INDEX('CONTROL MASTER'!$W$2:$W$495,(SUMPRODUCT((('CONTROL MASTER'!$S$2:$S$495=6)*('CONTROL MASTER'!$T$2:$T$495&lt;=7)*('CONTROL MASTER'!$V$2:$V$495&gt;=7)*('CONTROL MASTER'!$U$2:$U$495&lt;=10)*('CONTROL MASTER'!$W$2:$W$495&gt;=10))*ROW('CONTROL MASTER'!$S$2:$S$495))-(ROW('CONTROL MASTER'!#REF!)-1)))-INDEX('CONTROL MASTER'!$U$2:$U$495,(SUMPRODUCT((('CONTROL MASTER'!$S$2:$S$495=6)*('CONTROL MASTER'!$T$2:$T$495&lt;=7)*('CONTROL MASTER'!$V$2:$V$495&gt;=7)*('CONTROL MASTER'!$U$2:$U$495&lt;=10)*('CONTROL MASTER'!$W$2:$W$495&gt;=10))*ROW('CONTROL MASTER'!$S$2:$S$495))-(ROW('CONTROL MASTER'!#REF!)-1)))+1)+(10-INDEX('CONTROL MASTER'!$U$2:$U$495,(SUMPRODUCT((('CONTROL MASTER'!$S$2:$S$495=6)*('CONTROL MASTER'!$T$2:$T$495&lt;=7)*('CONTROL MASTER'!$V$2:$V$495&gt;=7)*('CONTROL MASTER'!$U$2:$U$495&lt;=10)*('CONTROL MASTER'!$W$2:$W$495&gt;=10))*ROW('CONTROL MASTER'!$S$2:$S$495))-(ROW('CONTROL MASTER'!#REF!)-1))))+1))-1)*50+1,50))&amp;"_"&amp;INDEX('CONTROL MASTER'!$P$2:$P$495,(SUMPRODUCT((('CONTROL MASTER'!$S$2:$S$495=6)*('CONTROL MASTER'!$T$2:$T$495&lt;=7)*('CONTROL MASTER'!$V$2:$V$495&gt;=7)*('CONTROL MASTER'!$U$2:$U$495&lt;=10)*('CONTROL MASTER'!$W$2:$W$495&gt;=10))*ROW('CONTROL MASTER'!$S$2:$S$495))-(ROW('CONTROL MASTER'!#REF!)-1))),IF(SUMPRODUCT((('CONTROL MASTER'!$S$2:$S$495=6)*('CONTROL MASTER'!$Z$2:$Z$495&lt;=7)*('CONTROL MASTER'!$AB$2:$AB$495&gt;=7)*('CONTROL MASTER'!$AA$2:$AA$495&lt;=10)*('CONTROL MASTER'!$AC$2:$AC$495&gt;=10))*ROW('CONTROL MASTER'!$S$2:$S$495))&gt;0,INDEX('CONTROL MASTER'!$X$2:$X$495,(SUMPRODUCT((('CONTROL MASTER'!$S$2:$S$495=6)*('CONTROL MASTER'!$Z$2:$Z$495&lt;=7)*('CONTROL MASTER'!$AB$2:$AB$495&gt;=7)*('CONTROL MASTER'!$AA$2:$AA$495&lt;=10)*('CONTROL MASTER'!$AC$2:$AC$495&gt;=10))*ROW('CONTROL MASTER'!$S$2:$S$495))-(ROW('CONTROL MASTER'!#REF!)-1)))&amp;TRIM(MID(SUBSTITUTE(SUBSTITUTE(INDEX('CONTROL MASTER'!$N$2:$N$495,(SUMPRODUCT((('CONTROL MASTER'!$S$2:$S$495=6)*('CONTROL MASTER'!$Z$2:$Z$495&lt;=7)*('CONTROL MASTER'!$AB$2:$AB$495&gt;=7)*('CONTROL MASTER'!$AA$2:$AA$495&lt;=10)*('CONTROL MASTER'!$AC$2:$AC$495&gt;=10))*ROW('CONTROL MASTER'!$S$2:$S$495))-(ROW('CONTROL MASTER'!#REF!)-1))),":",","),",",REPT(" ",50)),(((INDEX('CONTROL MASTER'!$Y$2:$Y$495,(SUMPRODUCT((('CONTROL MASTER'!$S$2:$S$495=6)*('CONTROL MASTER'!$Z$2:$Z$495&lt;=7)*('CONTROL MASTER'!$AB$2:$AB$495&gt;=7)*('CONTROL MASTER'!$AA$2:$AA$495&lt;=10)*('CONTROL MASTER'!$AC$2:$AC$495&gt;=10))*ROW('CONTROL MASTER'!$S$2:$S$495))-(ROW('CONTROL MASTER'!#REF!)-1)))+((7-INDEX('CONTROL MASTER'!$Z$2:$Z$495,(SUMPRODUCT((('CONTROL MASTER'!$S$2:$S$495=6)*('CONTROL MASTER'!$Z$2:$Z$495&lt;=7)*('CONTROL MASTER'!$AB$2:$AB$495&gt;=7)*('CONTROL MASTER'!$AA$2:$AA$495&lt;=10)*('CONTROL MASTER'!$AC$2:$AC$495&gt;=10))*ROW('CONTROL MASTER'!$S$2:$S$495))-(ROW('CONTROL MASTER'!#REF!)-1))))*(INDEX('CONTROL MASTER'!$AC$2:$AC$495,(SUMPRODUCT((('CONTROL MASTER'!$S$2:$S$495=6)*('CONTROL MASTER'!$Z$2:$Z$495&lt;=7)*('CONTROL MASTER'!$AB$2:$AB$495&gt;=7)*('CONTROL MASTER'!$AA$2:$AA$495&lt;=10)*('CONTROL MASTER'!$AC$2:$AC$495&gt;=10))*ROW('CONTROL MASTER'!$S$2:$S$495))-(ROW('CONTROL MASTER'!#REF!)-1)))-INDEX('CONTROL MASTER'!$AA$2:$AA$495,(SUMPRODUCT((('CONTROL MASTER'!$S$2:$S$495=6)*('CONTROL MASTER'!$Z$2:$Z$495&lt;=7)*('CONTROL MASTER'!$AB$2:$AB$495&gt;=7)*('CONTROL MASTER'!$AA$2:$AA$495&lt;=10)*('CONTROL MASTER'!$AC$2:$AC$495&gt;=10))*ROW('CONTROL MASTER'!$S$2:$S$495))-(ROW('CONTROL MASTER'!#REF!)-1)))+1)+(10-INDEX('CONTROL MASTER'!$AA$2:$AA$495,(SUMPRODUCT((('CONTROL MASTER'!$S$2:$S$495=6)*('CONTROL MASTER'!$Z$2:$Z$495&lt;=7)*('CONTROL MASTER'!$AB$2:$AB$495&gt;=7)*('CONTROL MASTER'!$AA$2:$AA$495&lt;=10)*('CONTROL MASTER'!$AC$2:$AC$495&gt;=10))*ROW('CONTROL MASTER'!$S$2:$S$495))-(ROW('CONTROL MASTER'!#REF!)-1))))+1)))-1)*50+1,50))&amp;"_"&amp;INDEX('CONTROL MASTER'!$P$2:$P$495,(SUMPRODUCT((('CONTROL MASTER'!$S$2:$S$495=6)*('CONTROL MASTER'!$Z$2:$Z$495&lt;=7)*('CONTROL MASTER'!$AB$2:$AB$495&gt;=7)*('CONTROL MASTER'!$AA$2:$AA$495&lt;=10)*('CONTROL MASTER'!$AC$2:$AC$495&gt;=10))*ROW('CONTROL MASTER'!$S$2:$S$495))-(ROW('CONTROL MASTER'!#REF!)-1))),"")),"")</f>
        <v/>
      </c>
    </row>
    <row r="80" spans="1:11" ht="15" customHeight="1" x14ac:dyDescent="0.35">
      <c r="A80" s="8" t="s">
        <v>35</v>
      </c>
      <c r="B80" s="10" t="str">
        <f>IFERROR(IF(SUMPRODUCT((('CONTROL MASTER'!$S$2:$S$495=6)*('CONTROL MASTER'!$T$2:$T$495&lt;=8)*('CONTROL MASTER'!$V$2:$V$495&gt;=8)*('CONTROL MASTER'!$U$2:$U$495&lt;=1)*('CONTROL MASTER'!$W$2:$W$495&gt;=1))*ROW('CONTROL MASTER'!$S$2:$S$495))&gt;0,INDEX('CONTROL MASTER'!$X$2:$X$495,(SUMPRODUCT((('CONTROL MASTER'!$S$2:$S$495=6)*('CONTROL MASTER'!$T$2:$T$495&lt;=8)*('CONTROL MASTER'!$V$2:$V$495&gt;=8)*('CONTROL MASTER'!$U$2:$U$495&lt;=1)*('CONTROL MASTER'!$W$2:$W$495&gt;=1))*ROW('CONTROL MASTER'!$S$2:$S$495))-(ROW('CONTROL MASTER'!#REF!)-1)))&amp;TRIM(MID(SUBSTITUTE(SUBSTITUTE(INDEX('CONTROL MASTER'!$N$2:$N$495,(SUMPRODUCT((('CONTROL MASTER'!$S$2:$S$495=6)*('CONTROL MASTER'!$T$2:$T$495&lt;=8)*('CONTROL MASTER'!$V$2:$V$495&gt;=8)*('CONTROL MASTER'!$U$2:$U$495&lt;=1)*('CONTROL MASTER'!$W$2:$W$495&gt;=1))*ROW('CONTROL MASTER'!$S$2:$S$495))-(ROW('CONTROL MASTER'!#REF!)-1))),":",","),",",REPT(" ",50)),((((8-INDEX('CONTROL MASTER'!$T$2:$T$495,(SUMPRODUCT((('CONTROL MASTER'!$S$2:$S$495=6)*('CONTROL MASTER'!$T$2:$T$495&lt;=8)*('CONTROL MASTER'!$V$2:$V$495&gt;=8)*('CONTROL MASTER'!$U$2:$U$495&lt;=1)*('CONTROL MASTER'!$W$2:$W$495&gt;=1))*ROW('CONTROL MASTER'!$S$2:$S$495))-(ROW('CONTROL MASTER'!#REF!)-1))))*(INDEX('CONTROL MASTER'!$W$2:$W$495,(SUMPRODUCT((('CONTROL MASTER'!$S$2:$S$495=6)*('CONTROL MASTER'!$T$2:$T$495&lt;=8)*('CONTROL MASTER'!$V$2:$V$495&gt;=8)*('CONTROL MASTER'!$U$2:$U$495&lt;=1)*('CONTROL MASTER'!$W$2:$W$495&gt;=1))*ROW('CONTROL MASTER'!$S$2:$S$495))-(ROW('CONTROL MASTER'!#REF!)-1)))-INDEX('CONTROL MASTER'!$U$2:$U$495,(SUMPRODUCT((('CONTROL MASTER'!$S$2:$S$495=6)*('CONTROL MASTER'!$T$2:$T$495&lt;=8)*('CONTROL MASTER'!$V$2:$V$495&gt;=8)*('CONTROL MASTER'!$U$2:$U$495&lt;=1)*('CONTROL MASTER'!$W$2:$W$495&gt;=1))*ROW('CONTROL MASTER'!$S$2:$S$495))-(ROW('CONTROL MASTER'!#REF!)-1)))+1)+(1-INDEX('CONTROL MASTER'!$U$2:$U$495,(SUMPRODUCT((('CONTROL MASTER'!$S$2:$S$495=6)*('CONTROL MASTER'!$T$2:$T$495&lt;=8)*('CONTROL MASTER'!$V$2:$V$495&gt;=8)*('CONTROL MASTER'!$U$2:$U$495&lt;=1)*('CONTROL MASTER'!$W$2:$W$495&gt;=1))*ROW('CONTROL MASTER'!$S$2:$S$495))-(ROW('CONTROL MASTER'!#REF!)-1))))+1))-1)*50+1,50))&amp;"_"&amp;INDEX('CONTROL MASTER'!$P$2:$P$495,(SUMPRODUCT((('CONTROL MASTER'!$S$2:$S$495=6)*('CONTROL MASTER'!$T$2:$T$495&lt;=8)*('CONTROL MASTER'!$V$2:$V$495&gt;=8)*('CONTROL MASTER'!$U$2:$U$495&lt;=1)*('CONTROL MASTER'!$W$2:$W$495&gt;=1))*ROW('CONTROL MASTER'!$S$2:$S$495))-(ROW('CONTROL MASTER'!#REF!)-1))),IF(SUMPRODUCT((('CONTROL MASTER'!$S$2:$S$495=6)*('CONTROL MASTER'!$Z$2:$Z$495&lt;=8)*('CONTROL MASTER'!$AB$2:$AB$495&gt;=8)*('CONTROL MASTER'!$AA$2:$AA$495&lt;=1)*('CONTROL MASTER'!$AC$2:$AC$495&gt;=1))*ROW('CONTROL MASTER'!$S$2:$S$495))&gt;0,INDEX('CONTROL MASTER'!$X$2:$X$495,(SUMPRODUCT((('CONTROL MASTER'!$S$2:$S$495=6)*('CONTROL MASTER'!$Z$2:$Z$495&lt;=8)*('CONTROL MASTER'!$AB$2:$AB$495&gt;=8)*('CONTROL MASTER'!$AA$2:$AA$495&lt;=1)*('CONTROL MASTER'!$AC$2:$AC$495&gt;=1))*ROW('CONTROL MASTER'!$S$2:$S$495))-(ROW('CONTROL MASTER'!#REF!)-1)))&amp;TRIM(MID(SUBSTITUTE(SUBSTITUTE(INDEX('CONTROL MASTER'!$N$2:$N$495,(SUMPRODUCT((('CONTROL MASTER'!$S$2:$S$495=6)*('CONTROL MASTER'!$Z$2:$Z$495&lt;=8)*('CONTROL MASTER'!$AB$2:$AB$495&gt;=8)*('CONTROL MASTER'!$AA$2:$AA$495&lt;=1)*('CONTROL MASTER'!$AC$2:$AC$495&gt;=1))*ROW('CONTROL MASTER'!$S$2:$S$495))-(ROW('CONTROL MASTER'!#REF!)-1))),":",","),",",REPT(" ",50)),(((INDEX('CONTROL MASTER'!$Y$2:$Y$495,(SUMPRODUCT((('CONTROL MASTER'!$S$2:$S$495=6)*('CONTROL MASTER'!$Z$2:$Z$495&lt;=8)*('CONTROL MASTER'!$AB$2:$AB$495&gt;=8)*('CONTROL MASTER'!$AA$2:$AA$495&lt;=1)*('CONTROL MASTER'!$AC$2:$AC$495&gt;=1))*ROW('CONTROL MASTER'!$S$2:$S$495))-(ROW('CONTROL MASTER'!#REF!)-1)))+((8-INDEX('CONTROL MASTER'!$Z$2:$Z$495,(SUMPRODUCT((('CONTROL MASTER'!$S$2:$S$495=6)*('CONTROL MASTER'!$Z$2:$Z$495&lt;=8)*('CONTROL MASTER'!$AB$2:$AB$495&gt;=8)*('CONTROL MASTER'!$AA$2:$AA$495&lt;=1)*('CONTROL MASTER'!$AC$2:$AC$495&gt;=1))*ROW('CONTROL MASTER'!$S$2:$S$495))-(ROW('CONTROL MASTER'!#REF!)-1))))*(INDEX('CONTROL MASTER'!$AC$2:$AC$495,(SUMPRODUCT((('CONTROL MASTER'!$S$2:$S$495=6)*('CONTROL MASTER'!$Z$2:$Z$495&lt;=8)*('CONTROL MASTER'!$AB$2:$AB$495&gt;=8)*('CONTROL MASTER'!$AA$2:$AA$495&lt;=1)*('CONTROL MASTER'!$AC$2:$AC$495&gt;=1))*ROW('CONTROL MASTER'!$S$2:$S$495))-(ROW('CONTROL MASTER'!#REF!)-1)))-INDEX('CONTROL MASTER'!$AA$2:$AA$495,(SUMPRODUCT((('CONTROL MASTER'!$S$2:$S$495=6)*('CONTROL MASTER'!$Z$2:$Z$495&lt;=8)*('CONTROL MASTER'!$AB$2:$AB$495&gt;=8)*('CONTROL MASTER'!$AA$2:$AA$495&lt;=1)*('CONTROL MASTER'!$AC$2:$AC$495&gt;=1))*ROW('CONTROL MASTER'!$S$2:$S$495))-(ROW('CONTROL MASTER'!#REF!)-1)))+1)+(1-INDEX('CONTROL MASTER'!$AA$2:$AA$495,(SUMPRODUCT((('CONTROL MASTER'!$S$2:$S$495=6)*('CONTROL MASTER'!$Z$2:$Z$495&lt;=8)*('CONTROL MASTER'!$AB$2:$AB$495&gt;=8)*('CONTROL MASTER'!$AA$2:$AA$495&lt;=1)*('CONTROL MASTER'!$AC$2:$AC$495&gt;=1))*ROW('CONTROL MASTER'!$S$2:$S$495))-(ROW('CONTROL MASTER'!#REF!)-1))))+1)))-1)*50+1,50))&amp;"_"&amp;INDEX('CONTROL MASTER'!$P$2:$P$495,(SUMPRODUCT((('CONTROL MASTER'!$S$2:$S$495=6)*('CONTROL MASTER'!$Z$2:$Z$495&lt;=8)*('CONTROL MASTER'!$AB$2:$AB$495&gt;=8)*('CONTROL MASTER'!$AA$2:$AA$495&lt;=1)*('CONTROL MASTER'!$AC$2:$AC$495&gt;=1))*ROW('CONTROL MASTER'!$S$2:$S$495))-(ROW('CONTROL MASTER'!#REF!)-1))),"")),"")</f>
        <v/>
      </c>
      <c r="C80" s="10" t="str">
        <f>IFERROR(IF(SUMPRODUCT((('CONTROL MASTER'!$S$2:$S$495=6)*('CONTROL MASTER'!$T$2:$T$495&lt;=8)*('CONTROL MASTER'!$V$2:$V$495&gt;=8)*('CONTROL MASTER'!$U$2:$U$495&lt;=2)*('CONTROL MASTER'!$W$2:$W$495&gt;=2))*ROW('CONTROL MASTER'!$S$2:$S$495))&gt;0,INDEX('CONTROL MASTER'!$X$2:$X$495,(SUMPRODUCT((('CONTROL MASTER'!$S$2:$S$495=6)*('CONTROL MASTER'!$T$2:$T$495&lt;=8)*('CONTROL MASTER'!$V$2:$V$495&gt;=8)*('CONTROL MASTER'!$U$2:$U$495&lt;=2)*('CONTROL MASTER'!$W$2:$W$495&gt;=2))*ROW('CONTROL MASTER'!$S$2:$S$495))-(ROW('CONTROL MASTER'!#REF!)-1)))&amp;TRIM(MID(SUBSTITUTE(SUBSTITUTE(INDEX('CONTROL MASTER'!$N$2:$N$495,(SUMPRODUCT((('CONTROL MASTER'!$S$2:$S$495=6)*('CONTROL MASTER'!$T$2:$T$495&lt;=8)*('CONTROL MASTER'!$V$2:$V$495&gt;=8)*('CONTROL MASTER'!$U$2:$U$495&lt;=2)*('CONTROL MASTER'!$W$2:$W$495&gt;=2))*ROW('CONTROL MASTER'!$S$2:$S$495))-(ROW('CONTROL MASTER'!#REF!)-1))),":",","),",",REPT(" ",50)),((((8-INDEX('CONTROL MASTER'!$T$2:$T$495,(SUMPRODUCT((('CONTROL MASTER'!$S$2:$S$495=6)*('CONTROL MASTER'!$T$2:$T$495&lt;=8)*('CONTROL MASTER'!$V$2:$V$495&gt;=8)*('CONTROL MASTER'!$U$2:$U$495&lt;=2)*('CONTROL MASTER'!$W$2:$W$495&gt;=2))*ROW('CONTROL MASTER'!$S$2:$S$495))-(ROW('CONTROL MASTER'!#REF!)-1))))*(INDEX('CONTROL MASTER'!$W$2:$W$495,(SUMPRODUCT((('CONTROL MASTER'!$S$2:$S$495=6)*('CONTROL MASTER'!$T$2:$T$495&lt;=8)*('CONTROL MASTER'!$V$2:$V$495&gt;=8)*('CONTROL MASTER'!$U$2:$U$495&lt;=2)*('CONTROL MASTER'!$W$2:$W$495&gt;=2))*ROW('CONTROL MASTER'!$S$2:$S$495))-(ROW('CONTROL MASTER'!#REF!)-1)))-INDEX('CONTROL MASTER'!$U$2:$U$495,(SUMPRODUCT((('CONTROL MASTER'!$S$2:$S$495=6)*('CONTROL MASTER'!$T$2:$T$495&lt;=8)*('CONTROL MASTER'!$V$2:$V$495&gt;=8)*('CONTROL MASTER'!$U$2:$U$495&lt;=2)*('CONTROL MASTER'!$W$2:$W$495&gt;=2))*ROW('CONTROL MASTER'!$S$2:$S$495))-(ROW('CONTROL MASTER'!#REF!)-1)))+1)+(2-INDEX('CONTROL MASTER'!$U$2:$U$495,(SUMPRODUCT((('CONTROL MASTER'!$S$2:$S$495=6)*('CONTROL MASTER'!$T$2:$T$495&lt;=8)*('CONTROL MASTER'!$V$2:$V$495&gt;=8)*('CONTROL MASTER'!$U$2:$U$495&lt;=2)*('CONTROL MASTER'!$W$2:$W$495&gt;=2))*ROW('CONTROL MASTER'!$S$2:$S$495))-(ROW('CONTROL MASTER'!#REF!)-1))))+1))-1)*50+1,50))&amp;"_"&amp;INDEX('CONTROL MASTER'!$P$2:$P$495,(SUMPRODUCT((('CONTROL MASTER'!$S$2:$S$495=6)*('CONTROL MASTER'!$T$2:$T$495&lt;=8)*('CONTROL MASTER'!$V$2:$V$495&gt;=8)*('CONTROL MASTER'!$U$2:$U$495&lt;=2)*('CONTROL MASTER'!$W$2:$W$495&gt;=2))*ROW('CONTROL MASTER'!$S$2:$S$495))-(ROW('CONTROL MASTER'!#REF!)-1))),IF(SUMPRODUCT((('CONTROL MASTER'!$S$2:$S$495=6)*('CONTROL MASTER'!$Z$2:$Z$495&lt;=8)*('CONTROL MASTER'!$AB$2:$AB$495&gt;=8)*('CONTROL MASTER'!$AA$2:$AA$495&lt;=2)*('CONTROL MASTER'!$AC$2:$AC$495&gt;=2))*ROW('CONTROL MASTER'!$S$2:$S$495))&gt;0,INDEX('CONTROL MASTER'!$X$2:$X$495,(SUMPRODUCT((('CONTROL MASTER'!$S$2:$S$495=6)*('CONTROL MASTER'!$Z$2:$Z$495&lt;=8)*('CONTROL MASTER'!$AB$2:$AB$495&gt;=8)*('CONTROL MASTER'!$AA$2:$AA$495&lt;=2)*('CONTROL MASTER'!$AC$2:$AC$495&gt;=2))*ROW('CONTROL MASTER'!$S$2:$S$495))-(ROW('CONTROL MASTER'!#REF!)-1)))&amp;TRIM(MID(SUBSTITUTE(SUBSTITUTE(INDEX('CONTROL MASTER'!$N$2:$N$495,(SUMPRODUCT((('CONTROL MASTER'!$S$2:$S$495=6)*('CONTROL MASTER'!$Z$2:$Z$495&lt;=8)*('CONTROL MASTER'!$AB$2:$AB$495&gt;=8)*('CONTROL MASTER'!$AA$2:$AA$495&lt;=2)*('CONTROL MASTER'!$AC$2:$AC$495&gt;=2))*ROW('CONTROL MASTER'!$S$2:$S$495))-(ROW('CONTROL MASTER'!#REF!)-1))),":",","),",",REPT(" ",50)),(((INDEX('CONTROL MASTER'!$Y$2:$Y$495,(SUMPRODUCT((('CONTROL MASTER'!$S$2:$S$495=6)*('CONTROL MASTER'!$Z$2:$Z$495&lt;=8)*('CONTROL MASTER'!$AB$2:$AB$495&gt;=8)*('CONTROL MASTER'!$AA$2:$AA$495&lt;=2)*('CONTROL MASTER'!$AC$2:$AC$495&gt;=2))*ROW('CONTROL MASTER'!$S$2:$S$495))-(ROW('CONTROL MASTER'!#REF!)-1)))+((8-INDEX('CONTROL MASTER'!$Z$2:$Z$495,(SUMPRODUCT((('CONTROL MASTER'!$S$2:$S$495=6)*('CONTROL MASTER'!$Z$2:$Z$495&lt;=8)*('CONTROL MASTER'!$AB$2:$AB$495&gt;=8)*('CONTROL MASTER'!$AA$2:$AA$495&lt;=2)*('CONTROL MASTER'!$AC$2:$AC$495&gt;=2))*ROW('CONTROL MASTER'!$S$2:$S$495))-(ROW('CONTROL MASTER'!#REF!)-1))))*(INDEX('CONTROL MASTER'!$AC$2:$AC$495,(SUMPRODUCT((('CONTROL MASTER'!$S$2:$S$495=6)*('CONTROL MASTER'!$Z$2:$Z$495&lt;=8)*('CONTROL MASTER'!$AB$2:$AB$495&gt;=8)*('CONTROL MASTER'!$AA$2:$AA$495&lt;=2)*('CONTROL MASTER'!$AC$2:$AC$495&gt;=2))*ROW('CONTROL MASTER'!$S$2:$S$495))-(ROW('CONTROL MASTER'!#REF!)-1)))-INDEX('CONTROL MASTER'!$AA$2:$AA$495,(SUMPRODUCT((('CONTROL MASTER'!$S$2:$S$495=6)*('CONTROL MASTER'!$Z$2:$Z$495&lt;=8)*('CONTROL MASTER'!$AB$2:$AB$495&gt;=8)*('CONTROL MASTER'!$AA$2:$AA$495&lt;=2)*('CONTROL MASTER'!$AC$2:$AC$495&gt;=2))*ROW('CONTROL MASTER'!$S$2:$S$495))-(ROW('CONTROL MASTER'!#REF!)-1)))+1)+(2-INDEX('CONTROL MASTER'!$AA$2:$AA$495,(SUMPRODUCT((('CONTROL MASTER'!$S$2:$S$495=6)*('CONTROL MASTER'!$Z$2:$Z$495&lt;=8)*('CONTROL MASTER'!$AB$2:$AB$495&gt;=8)*('CONTROL MASTER'!$AA$2:$AA$495&lt;=2)*('CONTROL MASTER'!$AC$2:$AC$495&gt;=2))*ROW('CONTROL MASTER'!$S$2:$S$495))-(ROW('CONTROL MASTER'!#REF!)-1))))+1)))-1)*50+1,50))&amp;"_"&amp;INDEX('CONTROL MASTER'!$P$2:$P$495,(SUMPRODUCT((('CONTROL MASTER'!$S$2:$S$495=6)*('CONTROL MASTER'!$Z$2:$Z$495&lt;=8)*('CONTROL MASTER'!$AB$2:$AB$495&gt;=8)*('CONTROL MASTER'!$AA$2:$AA$495&lt;=2)*('CONTROL MASTER'!$AC$2:$AC$495&gt;=2))*ROW('CONTROL MASTER'!$S$2:$S$495))-(ROW('CONTROL MASTER'!#REF!)-1))),"")),"")</f>
        <v/>
      </c>
      <c r="D80" s="10" t="str">
        <f>IFERROR(IF(SUMPRODUCT((('CONTROL MASTER'!$S$2:$S$495=6)*('CONTROL MASTER'!$T$2:$T$495&lt;=8)*('CONTROL MASTER'!$V$2:$V$495&gt;=8)*('CONTROL MASTER'!$U$2:$U$495&lt;=3)*('CONTROL MASTER'!$W$2:$W$495&gt;=3))*ROW('CONTROL MASTER'!$S$2:$S$495))&gt;0,INDEX('CONTROL MASTER'!$X$2:$X$495,(SUMPRODUCT((('CONTROL MASTER'!$S$2:$S$495=6)*('CONTROL MASTER'!$T$2:$T$495&lt;=8)*('CONTROL MASTER'!$V$2:$V$495&gt;=8)*('CONTROL MASTER'!$U$2:$U$495&lt;=3)*('CONTROL MASTER'!$W$2:$W$495&gt;=3))*ROW('CONTROL MASTER'!$S$2:$S$495))-(ROW('CONTROL MASTER'!#REF!)-1)))&amp;TRIM(MID(SUBSTITUTE(SUBSTITUTE(INDEX('CONTROL MASTER'!$N$2:$N$495,(SUMPRODUCT((('CONTROL MASTER'!$S$2:$S$495=6)*('CONTROL MASTER'!$T$2:$T$495&lt;=8)*('CONTROL MASTER'!$V$2:$V$495&gt;=8)*('CONTROL MASTER'!$U$2:$U$495&lt;=3)*('CONTROL MASTER'!$W$2:$W$495&gt;=3))*ROW('CONTROL MASTER'!$S$2:$S$495))-(ROW('CONTROL MASTER'!#REF!)-1))),":",","),",",REPT(" ",50)),((((8-INDEX('CONTROL MASTER'!$T$2:$T$495,(SUMPRODUCT((('CONTROL MASTER'!$S$2:$S$495=6)*('CONTROL MASTER'!$T$2:$T$495&lt;=8)*('CONTROL MASTER'!$V$2:$V$495&gt;=8)*('CONTROL MASTER'!$U$2:$U$495&lt;=3)*('CONTROL MASTER'!$W$2:$W$495&gt;=3))*ROW('CONTROL MASTER'!$S$2:$S$495))-(ROW('CONTROL MASTER'!#REF!)-1))))*(INDEX('CONTROL MASTER'!$W$2:$W$495,(SUMPRODUCT((('CONTROL MASTER'!$S$2:$S$495=6)*('CONTROL MASTER'!$T$2:$T$495&lt;=8)*('CONTROL MASTER'!$V$2:$V$495&gt;=8)*('CONTROL MASTER'!$U$2:$U$495&lt;=3)*('CONTROL MASTER'!$W$2:$W$495&gt;=3))*ROW('CONTROL MASTER'!$S$2:$S$495))-(ROW('CONTROL MASTER'!#REF!)-1)))-INDEX('CONTROL MASTER'!$U$2:$U$495,(SUMPRODUCT((('CONTROL MASTER'!$S$2:$S$495=6)*('CONTROL MASTER'!$T$2:$T$495&lt;=8)*('CONTROL MASTER'!$V$2:$V$495&gt;=8)*('CONTROL MASTER'!$U$2:$U$495&lt;=3)*('CONTROL MASTER'!$W$2:$W$495&gt;=3))*ROW('CONTROL MASTER'!$S$2:$S$495))-(ROW('CONTROL MASTER'!#REF!)-1)))+1)+(3-INDEX('CONTROL MASTER'!$U$2:$U$495,(SUMPRODUCT((('CONTROL MASTER'!$S$2:$S$495=6)*('CONTROL MASTER'!$T$2:$T$495&lt;=8)*('CONTROL MASTER'!$V$2:$V$495&gt;=8)*('CONTROL MASTER'!$U$2:$U$495&lt;=3)*('CONTROL MASTER'!$W$2:$W$495&gt;=3))*ROW('CONTROL MASTER'!$S$2:$S$495))-(ROW('CONTROL MASTER'!#REF!)-1))))+1))-1)*50+1,50))&amp;"_"&amp;INDEX('CONTROL MASTER'!$P$2:$P$495,(SUMPRODUCT((('CONTROL MASTER'!$S$2:$S$495=6)*('CONTROL MASTER'!$T$2:$T$495&lt;=8)*('CONTROL MASTER'!$V$2:$V$495&gt;=8)*('CONTROL MASTER'!$U$2:$U$495&lt;=3)*('CONTROL MASTER'!$W$2:$W$495&gt;=3))*ROW('CONTROL MASTER'!$S$2:$S$495))-(ROW('CONTROL MASTER'!#REF!)-1))),IF(SUMPRODUCT((('CONTROL MASTER'!$S$2:$S$495=6)*('CONTROL MASTER'!$Z$2:$Z$495&lt;=8)*('CONTROL MASTER'!$AB$2:$AB$495&gt;=8)*('CONTROL MASTER'!$AA$2:$AA$495&lt;=3)*('CONTROL MASTER'!$AC$2:$AC$495&gt;=3))*ROW('CONTROL MASTER'!$S$2:$S$495))&gt;0,INDEX('CONTROL MASTER'!$X$2:$X$495,(SUMPRODUCT((('CONTROL MASTER'!$S$2:$S$495=6)*('CONTROL MASTER'!$Z$2:$Z$495&lt;=8)*('CONTROL MASTER'!$AB$2:$AB$495&gt;=8)*('CONTROL MASTER'!$AA$2:$AA$495&lt;=3)*('CONTROL MASTER'!$AC$2:$AC$495&gt;=3))*ROW('CONTROL MASTER'!$S$2:$S$495))-(ROW('CONTROL MASTER'!#REF!)-1)))&amp;TRIM(MID(SUBSTITUTE(SUBSTITUTE(INDEX('CONTROL MASTER'!$N$2:$N$495,(SUMPRODUCT((('CONTROL MASTER'!$S$2:$S$495=6)*('CONTROL MASTER'!$Z$2:$Z$495&lt;=8)*('CONTROL MASTER'!$AB$2:$AB$495&gt;=8)*('CONTROL MASTER'!$AA$2:$AA$495&lt;=3)*('CONTROL MASTER'!$AC$2:$AC$495&gt;=3))*ROW('CONTROL MASTER'!$S$2:$S$495))-(ROW('CONTROL MASTER'!#REF!)-1))),":",","),",",REPT(" ",50)),(((INDEX('CONTROL MASTER'!$Y$2:$Y$495,(SUMPRODUCT((('CONTROL MASTER'!$S$2:$S$495=6)*('CONTROL MASTER'!$Z$2:$Z$495&lt;=8)*('CONTROL MASTER'!$AB$2:$AB$495&gt;=8)*('CONTROL MASTER'!$AA$2:$AA$495&lt;=3)*('CONTROL MASTER'!$AC$2:$AC$495&gt;=3))*ROW('CONTROL MASTER'!$S$2:$S$495))-(ROW('CONTROL MASTER'!#REF!)-1)))+((8-INDEX('CONTROL MASTER'!$Z$2:$Z$495,(SUMPRODUCT((('CONTROL MASTER'!$S$2:$S$495=6)*('CONTROL MASTER'!$Z$2:$Z$495&lt;=8)*('CONTROL MASTER'!$AB$2:$AB$495&gt;=8)*('CONTROL MASTER'!$AA$2:$AA$495&lt;=3)*('CONTROL MASTER'!$AC$2:$AC$495&gt;=3))*ROW('CONTROL MASTER'!$S$2:$S$495))-(ROW('CONTROL MASTER'!#REF!)-1))))*(INDEX('CONTROL MASTER'!$AC$2:$AC$495,(SUMPRODUCT((('CONTROL MASTER'!$S$2:$S$495=6)*('CONTROL MASTER'!$Z$2:$Z$495&lt;=8)*('CONTROL MASTER'!$AB$2:$AB$495&gt;=8)*('CONTROL MASTER'!$AA$2:$AA$495&lt;=3)*('CONTROL MASTER'!$AC$2:$AC$495&gt;=3))*ROW('CONTROL MASTER'!$S$2:$S$495))-(ROW('CONTROL MASTER'!#REF!)-1)))-INDEX('CONTROL MASTER'!$AA$2:$AA$495,(SUMPRODUCT((('CONTROL MASTER'!$S$2:$S$495=6)*('CONTROL MASTER'!$Z$2:$Z$495&lt;=8)*('CONTROL MASTER'!$AB$2:$AB$495&gt;=8)*('CONTROL MASTER'!$AA$2:$AA$495&lt;=3)*('CONTROL MASTER'!$AC$2:$AC$495&gt;=3))*ROW('CONTROL MASTER'!$S$2:$S$495))-(ROW('CONTROL MASTER'!#REF!)-1)))+1)+(3-INDEX('CONTROL MASTER'!$AA$2:$AA$495,(SUMPRODUCT((('CONTROL MASTER'!$S$2:$S$495=6)*('CONTROL MASTER'!$Z$2:$Z$495&lt;=8)*('CONTROL MASTER'!$AB$2:$AB$495&gt;=8)*('CONTROL MASTER'!$AA$2:$AA$495&lt;=3)*('CONTROL MASTER'!$AC$2:$AC$495&gt;=3))*ROW('CONTROL MASTER'!$S$2:$S$495))-(ROW('CONTROL MASTER'!#REF!)-1))))+1)))-1)*50+1,50))&amp;"_"&amp;INDEX('CONTROL MASTER'!$P$2:$P$495,(SUMPRODUCT((('CONTROL MASTER'!$S$2:$S$495=6)*('CONTROL MASTER'!$Z$2:$Z$495&lt;=8)*('CONTROL MASTER'!$AB$2:$AB$495&gt;=8)*('CONTROL MASTER'!$AA$2:$AA$495&lt;=3)*('CONTROL MASTER'!$AC$2:$AC$495&gt;=3))*ROW('CONTROL MASTER'!$S$2:$S$495))-(ROW('CONTROL MASTER'!#REF!)-1))),"")),"")</f>
        <v/>
      </c>
      <c r="E80" s="10" t="str">
        <f>IFERROR(IF(SUMPRODUCT((('CONTROL MASTER'!$S$2:$S$495=6)*('CONTROL MASTER'!$T$2:$T$495&lt;=8)*('CONTROL MASTER'!$V$2:$V$495&gt;=8)*('CONTROL MASTER'!$U$2:$U$495&lt;=4)*('CONTROL MASTER'!$W$2:$W$495&gt;=4))*ROW('CONTROL MASTER'!$S$2:$S$495))&gt;0,INDEX('CONTROL MASTER'!$X$2:$X$495,(SUMPRODUCT((('CONTROL MASTER'!$S$2:$S$495=6)*('CONTROL MASTER'!$T$2:$T$495&lt;=8)*('CONTROL MASTER'!$V$2:$V$495&gt;=8)*('CONTROL MASTER'!$U$2:$U$495&lt;=4)*('CONTROL MASTER'!$W$2:$W$495&gt;=4))*ROW('CONTROL MASTER'!$S$2:$S$495))-(ROW('CONTROL MASTER'!#REF!)-1)))&amp;TRIM(MID(SUBSTITUTE(SUBSTITUTE(INDEX('CONTROL MASTER'!$N$2:$N$495,(SUMPRODUCT((('CONTROL MASTER'!$S$2:$S$495=6)*('CONTROL MASTER'!$T$2:$T$495&lt;=8)*('CONTROL MASTER'!$V$2:$V$495&gt;=8)*('CONTROL MASTER'!$U$2:$U$495&lt;=4)*('CONTROL MASTER'!$W$2:$W$495&gt;=4))*ROW('CONTROL MASTER'!$S$2:$S$495))-(ROW('CONTROL MASTER'!#REF!)-1))),":",","),",",REPT(" ",50)),((((8-INDEX('CONTROL MASTER'!$T$2:$T$495,(SUMPRODUCT((('CONTROL MASTER'!$S$2:$S$495=6)*('CONTROL MASTER'!$T$2:$T$495&lt;=8)*('CONTROL MASTER'!$V$2:$V$495&gt;=8)*('CONTROL MASTER'!$U$2:$U$495&lt;=4)*('CONTROL MASTER'!$W$2:$W$495&gt;=4))*ROW('CONTROL MASTER'!$S$2:$S$495))-(ROW('CONTROL MASTER'!#REF!)-1))))*(INDEX('CONTROL MASTER'!$W$2:$W$495,(SUMPRODUCT((('CONTROL MASTER'!$S$2:$S$495=6)*('CONTROL MASTER'!$T$2:$T$495&lt;=8)*('CONTROL MASTER'!$V$2:$V$495&gt;=8)*('CONTROL MASTER'!$U$2:$U$495&lt;=4)*('CONTROL MASTER'!$W$2:$W$495&gt;=4))*ROW('CONTROL MASTER'!$S$2:$S$495))-(ROW('CONTROL MASTER'!#REF!)-1)))-INDEX('CONTROL MASTER'!$U$2:$U$495,(SUMPRODUCT((('CONTROL MASTER'!$S$2:$S$495=6)*('CONTROL MASTER'!$T$2:$T$495&lt;=8)*('CONTROL MASTER'!$V$2:$V$495&gt;=8)*('CONTROL MASTER'!$U$2:$U$495&lt;=4)*('CONTROL MASTER'!$W$2:$W$495&gt;=4))*ROW('CONTROL MASTER'!$S$2:$S$495))-(ROW('CONTROL MASTER'!#REF!)-1)))+1)+(4-INDEX('CONTROL MASTER'!$U$2:$U$495,(SUMPRODUCT((('CONTROL MASTER'!$S$2:$S$495=6)*('CONTROL MASTER'!$T$2:$T$495&lt;=8)*('CONTROL MASTER'!$V$2:$V$495&gt;=8)*('CONTROL MASTER'!$U$2:$U$495&lt;=4)*('CONTROL MASTER'!$W$2:$W$495&gt;=4))*ROW('CONTROL MASTER'!$S$2:$S$495))-(ROW('CONTROL MASTER'!#REF!)-1))))+1))-1)*50+1,50))&amp;"_"&amp;INDEX('CONTROL MASTER'!$P$2:$P$495,(SUMPRODUCT((('CONTROL MASTER'!$S$2:$S$495=6)*('CONTROL MASTER'!$T$2:$T$495&lt;=8)*('CONTROL MASTER'!$V$2:$V$495&gt;=8)*('CONTROL MASTER'!$U$2:$U$495&lt;=4)*('CONTROL MASTER'!$W$2:$W$495&gt;=4))*ROW('CONTROL MASTER'!$S$2:$S$495))-(ROW('CONTROL MASTER'!#REF!)-1))),IF(SUMPRODUCT((('CONTROL MASTER'!$S$2:$S$495=6)*('CONTROL MASTER'!$Z$2:$Z$495&lt;=8)*('CONTROL MASTER'!$AB$2:$AB$495&gt;=8)*('CONTROL MASTER'!$AA$2:$AA$495&lt;=4)*('CONTROL MASTER'!$AC$2:$AC$495&gt;=4))*ROW('CONTROL MASTER'!$S$2:$S$495))&gt;0,INDEX('CONTROL MASTER'!$X$2:$X$495,(SUMPRODUCT((('CONTROL MASTER'!$S$2:$S$495=6)*('CONTROL MASTER'!$Z$2:$Z$495&lt;=8)*('CONTROL MASTER'!$AB$2:$AB$495&gt;=8)*('CONTROL MASTER'!$AA$2:$AA$495&lt;=4)*('CONTROL MASTER'!$AC$2:$AC$495&gt;=4))*ROW('CONTROL MASTER'!$S$2:$S$495))-(ROW('CONTROL MASTER'!#REF!)-1)))&amp;TRIM(MID(SUBSTITUTE(SUBSTITUTE(INDEX('CONTROL MASTER'!$N$2:$N$495,(SUMPRODUCT((('CONTROL MASTER'!$S$2:$S$495=6)*('CONTROL MASTER'!$Z$2:$Z$495&lt;=8)*('CONTROL MASTER'!$AB$2:$AB$495&gt;=8)*('CONTROL MASTER'!$AA$2:$AA$495&lt;=4)*('CONTROL MASTER'!$AC$2:$AC$495&gt;=4))*ROW('CONTROL MASTER'!$S$2:$S$495))-(ROW('CONTROL MASTER'!#REF!)-1))),":",","),",",REPT(" ",50)),(((INDEX('CONTROL MASTER'!$Y$2:$Y$495,(SUMPRODUCT((('CONTROL MASTER'!$S$2:$S$495=6)*('CONTROL MASTER'!$Z$2:$Z$495&lt;=8)*('CONTROL MASTER'!$AB$2:$AB$495&gt;=8)*('CONTROL MASTER'!$AA$2:$AA$495&lt;=4)*('CONTROL MASTER'!$AC$2:$AC$495&gt;=4))*ROW('CONTROL MASTER'!$S$2:$S$495))-(ROW('CONTROL MASTER'!#REF!)-1)))+((8-INDEX('CONTROL MASTER'!$Z$2:$Z$495,(SUMPRODUCT((('CONTROL MASTER'!$S$2:$S$495=6)*('CONTROL MASTER'!$Z$2:$Z$495&lt;=8)*('CONTROL MASTER'!$AB$2:$AB$495&gt;=8)*('CONTROL MASTER'!$AA$2:$AA$495&lt;=4)*('CONTROL MASTER'!$AC$2:$AC$495&gt;=4))*ROW('CONTROL MASTER'!$S$2:$S$495))-(ROW('CONTROL MASTER'!#REF!)-1))))*(INDEX('CONTROL MASTER'!$AC$2:$AC$495,(SUMPRODUCT((('CONTROL MASTER'!$S$2:$S$495=6)*('CONTROL MASTER'!$Z$2:$Z$495&lt;=8)*('CONTROL MASTER'!$AB$2:$AB$495&gt;=8)*('CONTROL MASTER'!$AA$2:$AA$495&lt;=4)*('CONTROL MASTER'!$AC$2:$AC$495&gt;=4))*ROW('CONTROL MASTER'!$S$2:$S$495))-(ROW('CONTROL MASTER'!#REF!)-1)))-INDEX('CONTROL MASTER'!$AA$2:$AA$495,(SUMPRODUCT((('CONTROL MASTER'!$S$2:$S$495=6)*('CONTROL MASTER'!$Z$2:$Z$495&lt;=8)*('CONTROL MASTER'!$AB$2:$AB$495&gt;=8)*('CONTROL MASTER'!$AA$2:$AA$495&lt;=4)*('CONTROL MASTER'!$AC$2:$AC$495&gt;=4))*ROW('CONTROL MASTER'!$S$2:$S$495))-(ROW('CONTROL MASTER'!#REF!)-1)))+1)+(4-INDEX('CONTROL MASTER'!$AA$2:$AA$495,(SUMPRODUCT((('CONTROL MASTER'!$S$2:$S$495=6)*('CONTROL MASTER'!$Z$2:$Z$495&lt;=8)*('CONTROL MASTER'!$AB$2:$AB$495&gt;=8)*('CONTROL MASTER'!$AA$2:$AA$495&lt;=4)*('CONTROL MASTER'!$AC$2:$AC$495&gt;=4))*ROW('CONTROL MASTER'!$S$2:$S$495))-(ROW('CONTROL MASTER'!#REF!)-1))))+1)))-1)*50+1,50))&amp;"_"&amp;INDEX('CONTROL MASTER'!$P$2:$P$495,(SUMPRODUCT((('CONTROL MASTER'!$S$2:$S$495=6)*('CONTROL MASTER'!$Z$2:$Z$495&lt;=8)*('CONTROL MASTER'!$AB$2:$AB$495&gt;=8)*('CONTROL MASTER'!$AA$2:$AA$495&lt;=4)*('CONTROL MASTER'!$AC$2:$AC$495&gt;=4))*ROW('CONTROL MASTER'!$S$2:$S$495))-(ROW('CONTROL MASTER'!#REF!)-1))),"")),"")</f>
        <v/>
      </c>
      <c r="F80" s="10" t="str">
        <f>IFERROR(IF(SUMPRODUCT((('CONTROL MASTER'!$S$2:$S$495=6)*('CONTROL MASTER'!$T$2:$T$495&lt;=8)*('CONTROL MASTER'!$V$2:$V$495&gt;=8)*('CONTROL MASTER'!$U$2:$U$495&lt;=5)*('CONTROL MASTER'!$W$2:$W$495&gt;=5))*ROW('CONTROL MASTER'!$S$2:$S$495))&gt;0,INDEX('CONTROL MASTER'!$X$2:$X$495,(SUMPRODUCT((('CONTROL MASTER'!$S$2:$S$495=6)*('CONTROL MASTER'!$T$2:$T$495&lt;=8)*('CONTROL MASTER'!$V$2:$V$495&gt;=8)*('CONTROL MASTER'!$U$2:$U$495&lt;=5)*('CONTROL MASTER'!$W$2:$W$495&gt;=5))*ROW('CONTROL MASTER'!$S$2:$S$495))-(ROW('CONTROL MASTER'!#REF!)-1)))&amp;TRIM(MID(SUBSTITUTE(SUBSTITUTE(INDEX('CONTROL MASTER'!$N$2:$N$495,(SUMPRODUCT((('CONTROL MASTER'!$S$2:$S$495=6)*('CONTROL MASTER'!$T$2:$T$495&lt;=8)*('CONTROL MASTER'!$V$2:$V$495&gt;=8)*('CONTROL MASTER'!$U$2:$U$495&lt;=5)*('CONTROL MASTER'!$W$2:$W$495&gt;=5))*ROW('CONTROL MASTER'!$S$2:$S$495))-(ROW('CONTROL MASTER'!#REF!)-1))),":",","),",",REPT(" ",50)),((((8-INDEX('CONTROL MASTER'!$T$2:$T$495,(SUMPRODUCT((('CONTROL MASTER'!$S$2:$S$495=6)*('CONTROL MASTER'!$T$2:$T$495&lt;=8)*('CONTROL MASTER'!$V$2:$V$495&gt;=8)*('CONTROL MASTER'!$U$2:$U$495&lt;=5)*('CONTROL MASTER'!$W$2:$W$495&gt;=5))*ROW('CONTROL MASTER'!$S$2:$S$495))-(ROW('CONTROL MASTER'!#REF!)-1))))*(INDEX('CONTROL MASTER'!$W$2:$W$495,(SUMPRODUCT((('CONTROL MASTER'!$S$2:$S$495=6)*('CONTROL MASTER'!$T$2:$T$495&lt;=8)*('CONTROL MASTER'!$V$2:$V$495&gt;=8)*('CONTROL MASTER'!$U$2:$U$495&lt;=5)*('CONTROL MASTER'!$W$2:$W$495&gt;=5))*ROW('CONTROL MASTER'!$S$2:$S$495))-(ROW('CONTROL MASTER'!#REF!)-1)))-INDEX('CONTROL MASTER'!$U$2:$U$495,(SUMPRODUCT((('CONTROL MASTER'!$S$2:$S$495=6)*('CONTROL MASTER'!$T$2:$T$495&lt;=8)*('CONTROL MASTER'!$V$2:$V$495&gt;=8)*('CONTROL MASTER'!$U$2:$U$495&lt;=5)*('CONTROL MASTER'!$W$2:$W$495&gt;=5))*ROW('CONTROL MASTER'!$S$2:$S$495))-(ROW('CONTROL MASTER'!#REF!)-1)))+1)+(5-INDEX('CONTROL MASTER'!$U$2:$U$495,(SUMPRODUCT((('CONTROL MASTER'!$S$2:$S$495=6)*('CONTROL MASTER'!$T$2:$T$495&lt;=8)*('CONTROL MASTER'!$V$2:$V$495&gt;=8)*('CONTROL MASTER'!$U$2:$U$495&lt;=5)*('CONTROL MASTER'!$W$2:$W$495&gt;=5))*ROW('CONTROL MASTER'!$S$2:$S$495))-(ROW('CONTROL MASTER'!#REF!)-1))))+1))-1)*50+1,50))&amp;"_"&amp;INDEX('CONTROL MASTER'!$P$2:$P$495,(SUMPRODUCT((('CONTROL MASTER'!$S$2:$S$495=6)*('CONTROL MASTER'!$T$2:$T$495&lt;=8)*('CONTROL MASTER'!$V$2:$V$495&gt;=8)*('CONTROL MASTER'!$U$2:$U$495&lt;=5)*('CONTROL MASTER'!$W$2:$W$495&gt;=5))*ROW('CONTROL MASTER'!$S$2:$S$495))-(ROW('CONTROL MASTER'!#REF!)-1))),IF(SUMPRODUCT((('CONTROL MASTER'!$S$2:$S$495=6)*('CONTROL MASTER'!$Z$2:$Z$495&lt;=8)*('CONTROL MASTER'!$AB$2:$AB$495&gt;=8)*('CONTROL MASTER'!$AA$2:$AA$495&lt;=5)*('CONTROL MASTER'!$AC$2:$AC$495&gt;=5))*ROW('CONTROL MASTER'!$S$2:$S$495))&gt;0,INDEX('CONTROL MASTER'!$X$2:$X$495,(SUMPRODUCT((('CONTROL MASTER'!$S$2:$S$495=6)*('CONTROL MASTER'!$Z$2:$Z$495&lt;=8)*('CONTROL MASTER'!$AB$2:$AB$495&gt;=8)*('CONTROL MASTER'!$AA$2:$AA$495&lt;=5)*('CONTROL MASTER'!$AC$2:$AC$495&gt;=5))*ROW('CONTROL MASTER'!$S$2:$S$495))-(ROW('CONTROL MASTER'!#REF!)-1)))&amp;TRIM(MID(SUBSTITUTE(SUBSTITUTE(INDEX('CONTROL MASTER'!$N$2:$N$495,(SUMPRODUCT((('CONTROL MASTER'!$S$2:$S$495=6)*('CONTROL MASTER'!$Z$2:$Z$495&lt;=8)*('CONTROL MASTER'!$AB$2:$AB$495&gt;=8)*('CONTROL MASTER'!$AA$2:$AA$495&lt;=5)*('CONTROL MASTER'!$AC$2:$AC$495&gt;=5))*ROW('CONTROL MASTER'!$S$2:$S$495))-(ROW('CONTROL MASTER'!#REF!)-1))),":",","),",",REPT(" ",50)),(((INDEX('CONTROL MASTER'!$Y$2:$Y$495,(SUMPRODUCT((('CONTROL MASTER'!$S$2:$S$495=6)*('CONTROL MASTER'!$Z$2:$Z$495&lt;=8)*('CONTROL MASTER'!$AB$2:$AB$495&gt;=8)*('CONTROL MASTER'!$AA$2:$AA$495&lt;=5)*('CONTROL MASTER'!$AC$2:$AC$495&gt;=5))*ROW('CONTROL MASTER'!$S$2:$S$495))-(ROW('CONTROL MASTER'!#REF!)-1)))+((8-INDEX('CONTROL MASTER'!$Z$2:$Z$495,(SUMPRODUCT((('CONTROL MASTER'!$S$2:$S$495=6)*('CONTROL MASTER'!$Z$2:$Z$495&lt;=8)*('CONTROL MASTER'!$AB$2:$AB$495&gt;=8)*('CONTROL MASTER'!$AA$2:$AA$495&lt;=5)*('CONTROL MASTER'!$AC$2:$AC$495&gt;=5))*ROW('CONTROL MASTER'!$S$2:$S$495))-(ROW('CONTROL MASTER'!#REF!)-1))))*(INDEX('CONTROL MASTER'!$AC$2:$AC$495,(SUMPRODUCT((('CONTROL MASTER'!$S$2:$S$495=6)*('CONTROL MASTER'!$Z$2:$Z$495&lt;=8)*('CONTROL MASTER'!$AB$2:$AB$495&gt;=8)*('CONTROL MASTER'!$AA$2:$AA$495&lt;=5)*('CONTROL MASTER'!$AC$2:$AC$495&gt;=5))*ROW('CONTROL MASTER'!$S$2:$S$495))-(ROW('CONTROL MASTER'!#REF!)-1)))-INDEX('CONTROL MASTER'!$AA$2:$AA$495,(SUMPRODUCT((('CONTROL MASTER'!$S$2:$S$495=6)*('CONTROL MASTER'!$Z$2:$Z$495&lt;=8)*('CONTROL MASTER'!$AB$2:$AB$495&gt;=8)*('CONTROL MASTER'!$AA$2:$AA$495&lt;=5)*('CONTROL MASTER'!$AC$2:$AC$495&gt;=5))*ROW('CONTROL MASTER'!$S$2:$S$495))-(ROW('CONTROL MASTER'!#REF!)-1)))+1)+(5-INDEX('CONTROL MASTER'!$AA$2:$AA$495,(SUMPRODUCT((('CONTROL MASTER'!$S$2:$S$495=6)*('CONTROL MASTER'!$Z$2:$Z$495&lt;=8)*('CONTROL MASTER'!$AB$2:$AB$495&gt;=8)*('CONTROL MASTER'!$AA$2:$AA$495&lt;=5)*('CONTROL MASTER'!$AC$2:$AC$495&gt;=5))*ROW('CONTROL MASTER'!$S$2:$S$495))-(ROW('CONTROL MASTER'!#REF!)-1))))+1)))-1)*50+1,50))&amp;"_"&amp;INDEX('CONTROL MASTER'!$P$2:$P$495,(SUMPRODUCT((('CONTROL MASTER'!$S$2:$S$495=6)*('CONTROL MASTER'!$Z$2:$Z$495&lt;=8)*('CONTROL MASTER'!$AB$2:$AB$495&gt;=8)*('CONTROL MASTER'!$AA$2:$AA$495&lt;=5)*('CONTROL MASTER'!$AC$2:$AC$495&gt;=5))*ROW('CONTROL MASTER'!$S$2:$S$495))-(ROW('CONTROL MASTER'!#REF!)-1))),"")),"")</f>
        <v/>
      </c>
      <c r="G80" s="10" t="str">
        <f>IFERROR(IF(SUMPRODUCT((('CONTROL MASTER'!$S$2:$S$495=6)*('CONTROL MASTER'!$T$2:$T$495&lt;=8)*('CONTROL MASTER'!$V$2:$V$495&gt;=8)*('CONTROL MASTER'!$U$2:$U$495&lt;=6)*('CONTROL MASTER'!$W$2:$W$495&gt;=6))*ROW('CONTROL MASTER'!$S$2:$S$495))&gt;0,INDEX('CONTROL MASTER'!$X$2:$X$495,(SUMPRODUCT((('CONTROL MASTER'!$S$2:$S$495=6)*('CONTROL MASTER'!$T$2:$T$495&lt;=8)*('CONTROL MASTER'!$V$2:$V$495&gt;=8)*('CONTROL MASTER'!$U$2:$U$495&lt;=6)*('CONTROL MASTER'!$W$2:$W$495&gt;=6))*ROW('CONTROL MASTER'!$S$2:$S$495))-(ROW('CONTROL MASTER'!#REF!)-1)))&amp;TRIM(MID(SUBSTITUTE(SUBSTITUTE(INDEX('CONTROL MASTER'!$N$2:$N$495,(SUMPRODUCT((('CONTROL MASTER'!$S$2:$S$495=6)*('CONTROL MASTER'!$T$2:$T$495&lt;=8)*('CONTROL MASTER'!$V$2:$V$495&gt;=8)*('CONTROL MASTER'!$U$2:$U$495&lt;=6)*('CONTROL MASTER'!$W$2:$W$495&gt;=6))*ROW('CONTROL MASTER'!$S$2:$S$495))-(ROW('CONTROL MASTER'!#REF!)-1))),":",","),",",REPT(" ",50)),((((8-INDEX('CONTROL MASTER'!$T$2:$T$495,(SUMPRODUCT((('CONTROL MASTER'!$S$2:$S$495=6)*('CONTROL MASTER'!$T$2:$T$495&lt;=8)*('CONTROL MASTER'!$V$2:$V$495&gt;=8)*('CONTROL MASTER'!$U$2:$U$495&lt;=6)*('CONTROL MASTER'!$W$2:$W$495&gt;=6))*ROW('CONTROL MASTER'!$S$2:$S$495))-(ROW('CONTROL MASTER'!#REF!)-1))))*(INDEX('CONTROL MASTER'!$W$2:$W$495,(SUMPRODUCT((('CONTROL MASTER'!$S$2:$S$495=6)*('CONTROL MASTER'!$T$2:$T$495&lt;=8)*('CONTROL MASTER'!$V$2:$V$495&gt;=8)*('CONTROL MASTER'!$U$2:$U$495&lt;=6)*('CONTROL MASTER'!$W$2:$W$495&gt;=6))*ROW('CONTROL MASTER'!$S$2:$S$495))-(ROW('CONTROL MASTER'!#REF!)-1)))-INDEX('CONTROL MASTER'!$U$2:$U$495,(SUMPRODUCT((('CONTROL MASTER'!$S$2:$S$495=6)*('CONTROL MASTER'!$T$2:$T$495&lt;=8)*('CONTROL MASTER'!$V$2:$V$495&gt;=8)*('CONTROL MASTER'!$U$2:$U$495&lt;=6)*('CONTROL MASTER'!$W$2:$W$495&gt;=6))*ROW('CONTROL MASTER'!$S$2:$S$495))-(ROW('CONTROL MASTER'!#REF!)-1)))+1)+(6-INDEX('CONTROL MASTER'!$U$2:$U$495,(SUMPRODUCT((('CONTROL MASTER'!$S$2:$S$495=6)*('CONTROL MASTER'!$T$2:$T$495&lt;=8)*('CONTROL MASTER'!$V$2:$V$495&gt;=8)*('CONTROL MASTER'!$U$2:$U$495&lt;=6)*('CONTROL MASTER'!$W$2:$W$495&gt;=6))*ROW('CONTROL MASTER'!$S$2:$S$495))-(ROW('CONTROL MASTER'!#REF!)-1))))+1))-1)*50+1,50))&amp;"_"&amp;INDEX('CONTROL MASTER'!$P$2:$P$495,(SUMPRODUCT((('CONTROL MASTER'!$S$2:$S$495=6)*('CONTROL MASTER'!$T$2:$T$495&lt;=8)*('CONTROL MASTER'!$V$2:$V$495&gt;=8)*('CONTROL MASTER'!$U$2:$U$495&lt;=6)*('CONTROL MASTER'!$W$2:$W$495&gt;=6))*ROW('CONTROL MASTER'!$S$2:$S$495))-(ROW('CONTROL MASTER'!#REF!)-1))),IF(SUMPRODUCT((('CONTROL MASTER'!$S$2:$S$495=6)*('CONTROL MASTER'!$Z$2:$Z$495&lt;=8)*('CONTROL MASTER'!$AB$2:$AB$495&gt;=8)*('CONTROL MASTER'!$AA$2:$AA$495&lt;=6)*('CONTROL MASTER'!$AC$2:$AC$495&gt;=6))*ROW('CONTROL MASTER'!$S$2:$S$495))&gt;0,INDEX('CONTROL MASTER'!$X$2:$X$495,(SUMPRODUCT((('CONTROL MASTER'!$S$2:$S$495=6)*('CONTROL MASTER'!$Z$2:$Z$495&lt;=8)*('CONTROL MASTER'!$AB$2:$AB$495&gt;=8)*('CONTROL MASTER'!$AA$2:$AA$495&lt;=6)*('CONTROL MASTER'!$AC$2:$AC$495&gt;=6))*ROW('CONTROL MASTER'!$S$2:$S$495))-(ROW('CONTROL MASTER'!#REF!)-1)))&amp;TRIM(MID(SUBSTITUTE(SUBSTITUTE(INDEX('CONTROL MASTER'!$N$2:$N$495,(SUMPRODUCT((('CONTROL MASTER'!$S$2:$S$495=6)*('CONTROL MASTER'!$Z$2:$Z$495&lt;=8)*('CONTROL MASTER'!$AB$2:$AB$495&gt;=8)*('CONTROL MASTER'!$AA$2:$AA$495&lt;=6)*('CONTROL MASTER'!$AC$2:$AC$495&gt;=6))*ROW('CONTROL MASTER'!$S$2:$S$495))-(ROW('CONTROL MASTER'!#REF!)-1))),":",","),",",REPT(" ",50)),(((INDEX('CONTROL MASTER'!$Y$2:$Y$495,(SUMPRODUCT((('CONTROL MASTER'!$S$2:$S$495=6)*('CONTROL MASTER'!$Z$2:$Z$495&lt;=8)*('CONTROL MASTER'!$AB$2:$AB$495&gt;=8)*('CONTROL MASTER'!$AA$2:$AA$495&lt;=6)*('CONTROL MASTER'!$AC$2:$AC$495&gt;=6))*ROW('CONTROL MASTER'!$S$2:$S$495))-(ROW('CONTROL MASTER'!#REF!)-1)))+((8-INDEX('CONTROL MASTER'!$Z$2:$Z$495,(SUMPRODUCT((('CONTROL MASTER'!$S$2:$S$495=6)*('CONTROL MASTER'!$Z$2:$Z$495&lt;=8)*('CONTROL MASTER'!$AB$2:$AB$495&gt;=8)*('CONTROL MASTER'!$AA$2:$AA$495&lt;=6)*('CONTROL MASTER'!$AC$2:$AC$495&gt;=6))*ROW('CONTROL MASTER'!$S$2:$S$495))-(ROW('CONTROL MASTER'!#REF!)-1))))*(INDEX('CONTROL MASTER'!$AC$2:$AC$495,(SUMPRODUCT((('CONTROL MASTER'!$S$2:$S$495=6)*('CONTROL MASTER'!$Z$2:$Z$495&lt;=8)*('CONTROL MASTER'!$AB$2:$AB$495&gt;=8)*('CONTROL MASTER'!$AA$2:$AA$495&lt;=6)*('CONTROL MASTER'!$AC$2:$AC$495&gt;=6))*ROW('CONTROL MASTER'!$S$2:$S$495))-(ROW('CONTROL MASTER'!#REF!)-1)))-INDEX('CONTROL MASTER'!$AA$2:$AA$495,(SUMPRODUCT((('CONTROL MASTER'!$S$2:$S$495=6)*('CONTROL MASTER'!$Z$2:$Z$495&lt;=8)*('CONTROL MASTER'!$AB$2:$AB$495&gt;=8)*('CONTROL MASTER'!$AA$2:$AA$495&lt;=6)*('CONTROL MASTER'!$AC$2:$AC$495&gt;=6))*ROW('CONTROL MASTER'!$S$2:$S$495))-(ROW('CONTROL MASTER'!#REF!)-1)))+1)+(6-INDEX('CONTROL MASTER'!$AA$2:$AA$495,(SUMPRODUCT((('CONTROL MASTER'!$S$2:$S$495=6)*('CONTROL MASTER'!$Z$2:$Z$495&lt;=8)*('CONTROL MASTER'!$AB$2:$AB$495&gt;=8)*('CONTROL MASTER'!$AA$2:$AA$495&lt;=6)*('CONTROL MASTER'!$AC$2:$AC$495&gt;=6))*ROW('CONTROL MASTER'!$S$2:$S$495))-(ROW('CONTROL MASTER'!#REF!)-1))))+1)))-1)*50+1,50))&amp;"_"&amp;INDEX('CONTROL MASTER'!$P$2:$P$495,(SUMPRODUCT((('CONTROL MASTER'!$S$2:$S$495=6)*('CONTROL MASTER'!$Z$2:$Z$495&lt;=8)*('CONTROL MASTER'!$AB$2:$AB$495&gt;=8)*('CONTROL MASTER'!$AA$2:$AA$495&lt;=6)*('CONTROL MASTER'!$AC$2:$AC$495&gt;=6))*ROW('CONTROL MASTER'!$S$2:$S$495))-(ROW('CONTROL MASTER'!#REF!)-1))),"")),"")</f>
        <v/>
      </c>
      <c r="H80" s="10" t="str">
        <f>IFERROR(IF(SUMPRODUCT((('CONTROL MASTER'!$S$2:$S$495=6)*('CONTROL MASTER'!$T$2:$T$495&lt;=8)*('CONTROL MASTER'!$V$2:$V$495&gt;=8)*('CONTROL MASTER'!$U$2:$U$495&lt;=7)*('CONTROL MASTER'!$W$2:$W$495&gt;=7))*ROW('CONTROL MASTER'!$S$2:$S$495))&gt;0,INDEX('CONTROL MASTER'!$X$2:$X$495,(SUMPRODUCT((('CONTROL MASTER'!$S$2:$S$495=6)*('CONTROL MASTER'!$T$2:$T$495&lt;=8)*('CONTROL MASTER'!$V$2:$V$495&gt;=8)*('CONTROL MASTER'!$U$2:$U$495&lt;=7)*('CONTROL MASTER'!$W$2:$W$495&gt;=7))*ROW('CONTROL MASTER'!$S$2:$S$495))-(ROW('CONTROL MASTER'!#REF!)-1)))&amp;TRIM(MID(SUBSTITUTE(SUBSTITUTE(INDEX('CONTROL MASTER'!$N$2:$N$495,(SUMPRODUCT((('CONTROL MASTER'!$S$2:$S$495=6)*('CONTROL MASTER'!$T$2:$T$495&lt;=8)*('CONTROL MASTER'!$V$2:$V$495&gt;=8)*('CONTROL MASTER'!$U$2:$U$495&lt;=7)*('CONTROL MASTER'!$W$2:$W$495&gt;=7))*ROW('CONTROL MASTER'!$S$2:$S$495))-(ROW('CONTROL MASTER'!#REF!)-1))),":",","),",",REPT(" ",50)),((((8-INDEX('CONTROL MASTER'!$T$2:$T$495,(SUMPRODUCT((('CONTROL MASTER'!$S$2:$S$495=6)*('CONTROL MASTER'!$T$2:$T$495&lt;=8)*('CONTROL MASTER'!$V$2:$V$495&gt;=8)*('CONTROL MASTER'!$U$2:$U$495&lt;=7)*('CONTROL MASTER'!$W$2:$W$495&gt;=7))*ROW('CONTROL MASTER'!$S$2:$S$495))-(ROW('CONTROL MASTER'!#REF!)-1))))*(INDEX('CONTROL MASTER'!$W$2:$W$495,(SUMPRODUCT((('CONTROL MASTER'!$S$2:$S$495=6)*('CONTROL MASTER'!$T$2:$T$495&lt;=8)*('CONTROL MASTER'!$V$2:$V$495&gt;=8)*('CONTROL MASTER'!$U$2:$U$495&lt;=7)*('CONTROL MASTER'!$W$2:$W$495&gt;=7))*ROW('CONTROL MASTER'!$S$2:$S$495))-(ROW('CONTROL MASTER'!#REF!)-1)))-INDEX('CONTROL MASTER'!$U$2:$U$495,(SUMPRODUCT((('CONTROL MASTER'!$S$2:$S$495=6)*('CONTROL MASTER'!$T$2:$T$495&lt;=8)*('CONTROL MASTER'!$V$2:$V$495&gt;=8)*('CONTROL MASTER'!$U$2:$U$495&lt;=7)*('CONTROL MASTER'!$W$2:$W$495&gt;=7))*ROW('CONTROL MASTER'!$S$2:$S$495))-(ROW('CONTROL MASTER'!#REF!)-1)))+1)+(7-INDEX('CONTROL MASTER'!$U$2:$U$495,(SUMPRODUCT((('CONTROL MASTER'!$S$2:$S$495=6)*('CONTROL MASTER'!$T$2:$T$495&lt;=8)*('CONTROL MASTER'!$V$2:$V$495&gt;=8)*('CONTROL MASTER'!$U$2:$U$495&lt;=7)*('CONTROL MASTER'!$W$2:$W$495&gt;=7))*ROW('CONTROL MASTER'!$S$2:$S$495))-(ROW('CONTROL MASTER'!#REF!)-1))))+1))-1)*50+1,50))&amp;"_"&amp;INDEX('CONTROL MASTER'!$P$2:$P$495,(SUMPRODUCT((('CONTROL MASTER'!$S$2:$S$495=6)*('CONTROL MASTER'!$T$2:$T$495&lt;=8)*('CONTROL MASTER'!$V$2:$V$495&gt;=8)*('CONTROL MASTER'!$U$2:$U$495&lt;=7)*('CONTROL MASTER'!$W$2:$W$495&gt;=7))*ROW('CONTROL MASTER'!$S$2:$S$495))-(ROW('CONTROL MASTER'!#REF!)-1))),IF(SUMPRODUCT((('CONTROL MASTER'!$S$2:$S$495=6)*('CONTROL MASTER'!$Z$2:$Z$495&lt;=8)*('CONTROL MASTER'!$AB$2:$AB$495&gt;=8)*('CONTROL MASTER'!$AA$2:$AA$495&lt;=7)*('CONTROL MASTER'!$AC$2:$AC$495&gt;=7))*ROW('CONTROL MASTER'!$S$2:$S$495))&gt;0,INDEX('CONTROL MASTER'!$X$2:$X$495,(SUMPRODUCT((('CONTROL MASTER'!$S$2:$S$495=6)*('CONTROL MASTER'!$Z$2:$Z$495&lt;=8)*('CONTROL MASTER'!$AB$2:$AB$495&gt;=8)*('CONTROL MASTER'!$AA$2:$AA$495&lt;=7)*('CONTROL MASTER'!$AC$2:$AC$495&gt;=7))*ROW('CONTROL MASTER'!$S$2:$S$495))-(ROW('CONTROL MASTER'!#REF!)-1)))&amp;TRIM(MID(SUBSTITUTE(SUBSTITUTE(INDEX('CONTROL MASTER'!$N$2:$N$495,(SUMPRODUCT((('CONTROL MASTER'!$S$2:$S$495=6)*('CONTROL MASTER'!$Z$2:$Z$495&lt;=8)*('CONTROL MASTER'!$AB$2:$AB$495&gt;=8)*('CONTROL MASTER'!$AA$2:$AA$495&lt;=7)*('CONTROL MASTER'!$AC$2:$AC$495&gt;=7))*ROW('CONTROL MASTER'!$S$2:$S$495))-(ROW('CONTROL MASTER'!#REF!)-1))),":",","),",",REPT(" ",50)),(((INDEX('CONTROL MASTER'!$Y$2:$Y$495,(SUMPRODUCT((('CONTROL MASTER'!$S$2:$S$495=6)*('CONTROL MASTER'!$Z$2:$Z$495&lt;=8)*('CONTROL MASTER'!$AB$2:$AB$495&gt;=8)*('CONTROL MASTER'!$AA$2:$AA$495&lt;=7)*('CONTROL MASTER'!$AC$2:$AC$495&gt;=7))*ROW('CONTROL MASTER'!$S$2:$S$495))-(ROW('CONTROL MASTER'!#REF!)-1)))+((8-INDEX('CONTROL MASTER'!$Z$2:$Z$495,(SUMPRODUCT((('CONTROL MASTER'!$S$2:$S$495=6)*('CONTROL MASTER'!$Z$2:$Z$495&lt;=8)*('CONTROL MASTER'!$AB$2:$AB$495&gt;=8)*('CONTROL MASTER'!$AA$2:$AA$495&lt;=7)*('CONTROL MASTER'!$AC$2:$AC$495&gt;=7))*ROW('CONTROL MASTER'!$S$2:$S$495))-(ROW('CONTROL MASTER'!#REF!)-1))))*(INDEX('CONTROL MASTER'!$AC$2:$AC$495,(SUMPRODUCT((('CONTROL MASTER'!$S$2:$S$495=6)*('CONTROL MASTER'!$Z$2:$Z$495&lt;=8)*('CONTROL MASTER'!$AB$2:$AB$495&gt;=8)*('CONTROL MASTER'!$AA$2:$AA$495&lt;=7)*('CONTROL MASTER'!$AC$2:$AC$495&gt;=7))*ROW('CONTROL MASTER'!$S$2:$S$495))-(ROW('CONTROL MASTER'!#REF!)-1)))-INDEX('CONTROL MASTER'!$AA$2:$AA$495,(SUMPRODUCT((('CONTROL MASTER'!$S$2:$S$495=6)*('CONTROL MASTER'!$Z$2:$Z$495&lt;=8)*('CONTROL MASTER'!$AB$2:$AB$495&gt;=8)*('CONTROL MASTER'!$AA$2:$AA$495&lt;=7)*('CONTROL MASTER'!$AC$2:$AC$495&gt;=7))*ROW('CONTROL MASTER'!$S$2:$S$495))-(ROW('CONTROL MASTER'!#REF!)-1)))+1)+(7-INDEX('CONTROL MASTER'!$AA$2:$AA$495,(SUMPRODUCT((('CONTROL MASTER'!$S$2:$S$495=6)*('CONTROL MASTER'!$Z$2:$Z$495&lt;=8)*('CONTROL MASTER'!$AB$2:$AB$495&gt;=8)*('CONTROL MASTER'!$AA$2:$AA$495&lt;=7)*('CONTROL MASTER'!$AC$2:$AC$495&gt;=7))*ROW('CONTROL MASTER'!$S$2:$S$495))-(ROW('CONTROL MASTER'!#REF!)-1))))+1)))-1)*50+1,50))&amp;"_"&amp;INDEX('CONTROL MASTER'!$P$2:$P$495,(SUMPRODUCT((('CONTROL MASTER'!$S$2:$S$495=6)*('CONTROL MASTER'!$Z$2:$Z$495&lt;=8)*('CONTROL MASTER'!$AB$2:$AB$495&gt;=8)*('CONTROL MASTER'!$AA$2:$AA$495&lt;=7)*('CONTROL MASTER'!$AC$2:$AC$495&gt;=7))*ROW('CONTROL MASTER'!$S$2:$S$495))-(ROW('CONTROL MASTER'!#REF!)-1))),"")),"")</f>
        <v/>
      </c>
      <c r="I80" s="10" t="str">
        <f>IFERROR(IF(SUMPRODUCT((('CONTROL MASTER'!$S$2:$S$495=6)*('CONTROL MASTER'!$T$2:$T$495&lt;=8)*('CONTROL MASTER'!$V$2:$V$495&gt;=8)*('CONTROL MASTER'!$U$2:$U$495&lt;=8)*('CONTROL MASTER'!$W$2:$W$495&gt;=8))*ROW('CONTROL MASTER'!$S$2:$S$495))&gt;0,INDEX('CONTROL MASTER'!$X$2:$X$495,(SUMPRODUCT((('CONTROL MASTER'!$S$2:$S$495=6)*('CONTROL MASTER'!$T$2:$T$495&lt;=8)*('CONTROL MASTER'!$V$2:$V$495&gt;=8)*('CONTROL MASTER'!$U$2:$U$495&lt;=8)*('CONTROL MASTER'!$W$2:$W$495&gt;=8))*ROW('CONTROL MASTER'!$S$2:$S$495))-(ROW('CONTROL MASTER'!#REF!)-1)))&amp;TRIM(MID(SUBSTITUTE(SUBSTITUTE(INDEX('CONTROL MASTER'!$N$2:$N$495,(SUMPRODUCT((('CONTROL MASTER'!$S$2:$S$495=6)*('CONTROL MASTER'!$T$2:$T$495&lt;=8)*('CONTROL MASTER'!$V$2:$V$495&gt;=8)*('CONTROL MASTER'!$U$2:$U$495&lt;=8)*('CONTROL MASTER'!$W$2:$W$495&gt;=8))*ROW('CONTROL MASTER'!$S$2:$S$495))-(ROW('CONTROL MASTER'!#REF!)-1))),":",","),",",REPT(" ",50)),((((8-INDEX('CONTROL MASTER'!$T$2:$T$495,(SUMPRODUCT((('CONTROL MASTER'!$S$2:$S$495=6)*('CONTROL MASTER'!$T$2:$T$495&lt;=8)*('CONTROL MASTER'!$V$2:$V$495&gt;=8)*('CONTROL MASTER'!$U$2:$U$495&lt;=8)*('CONTROL MASTER'!$W$2:$W$495&gt;=8))*ROW('CONTROL MASTER'!$S$2:$S$495))-(ROW('CONTROL MASTER'!#REF!)-1))))*(INDEX('CONTROL MASTER'!$W$2:$W$495,(SUMPRODUCT((('CONTROL MASTER'!$S$2:$S$495=6)*('CONTROL MASTER'!$T$2:$T$495&lt;=8)*('CONTROL MASTER'!$V$2:$V$495&gt;=8)*('CONTROL MASTER'!$U$2:$U$495&lt;=8)*('CONTROL MASTER'!$W$2:$W$495&gt;=8))*ROW('CONTROL MASTER'!$S$2:$S$495))-(ROW('CONTROL MASTER'!#REF!)-1)))-INDEX('CONTROL MASTER'!$U$2:$U$495,(SUMPRODUCT((('CONTROL MASTER'!$S$2:$S$495=6)*('CONTROL MASTER'!$T$2:$T$495&lt;=8)*('CONTROL MASTER'!$V$2:$V$495&gt;=8)*('CONTROL MASTER'!$U$2:$U$495&lt;=8)*('CONTROL MASTER'!$W$2:$W$495&gt;=8))*ROW('CONTROL MASTER'!$S$2:$S$495))-(ROW('CONTROL MASTER'!#REF!)-1)))+1)+(8-INDEX('CONTROL MASTER'!$U$2:$U$495,(SUMPRODUCT((('CONTROL MASTER'!$S$2:$S$495=6)*('CONTROL MASTER'!$T$2:$T$495&lt;=8)*('CONTROL MASTER'!$V$2:$V$495&gt;=8)*('CONTROL MASTER'!$U$2:$U$495&lt;=8)*('CONTROL MASTER'!$W$2:$W$495&gt;=8))*ROW('CONTROL MASTER'!$S$2:$S$495))-(ROW('CONTROL MASTER'!#REF!)-1))))+1))-1)*50+1,50))&amp;"_"&amp;INDEX('CONTROL MASTER'!$P$2:$P$495,(SUMPRODUCT((('CONTROL MASTER'!$S$2:$S$495=6)*('CONTROL MASTER'!$T$2:$T$495&lt;=8)*('CONTROL MASTER'!$V$2:$V$495&gt;=8)*('CONTROL MASTER'!$U$2:$U$495&lt;=8)*('CONTROL MASTER'!$W$2:$W$495&gt;=8))*ROW('CONTROL MASTER'!$S$2:$S$495))-(ROW('CONTROL MASTER'!#REF!)-1))),IF(SUMPRODUCT((('CONTROL MASTER'!$S$2:$S$495=6)*('CONTROL MASTER'!$Z$2:$Z$495&lt;=8)*('CONTROL MASTER'!$AB$2:$AB$495&gt;=8)*('CONTROL MASTER'!$AA$2:$AA$495&lt;=8)*('CONTROL MASTER'!$AC$2:$AC$495&gt;=8))*ROW('CONTROL MASTER'!$S$2:$S$495))&gt;0,INDEX('CONTROL MASTER'!$X$2:$X$495,(SUMPRODUCT((('CONTROL MASTER'!$S$2:$S$495=6)*('CONTROL MASTER'!$Z$2:$Z$495&lt;=8)*('CONTROL MASTER'!$AB$2:$AB$495&gt;=8)*('CONTROL MASTER'!$AA$2:$AA$495&lt;=8)*('CONTROL MASTER'!$AC$2:$AC$495&gt;=8))*ROW('CONTROL MASTER'!$S$2:$S$495))-(ROW('CONTROL MASTER'!#REF!)-1)))&amp;TRIM(MID(SUBSTITUTE(SUBSTITUTE(INDEX('CONTROL MASTER'!$N$2:$N$495,(SUMPRODUCT((('CONTROL MASTER'!$S$2:$S$495=6)*('CONTROL MASTER'!$Z$2:$Z$495&lt;=8)*('CONTROL MASTER'!$AB$2:$AB$495&gt;=8)*('CONTROL MASTER'!$AA$2:$AA$495&lt;=8)*('CONTROL MASTER'!$AC$2:$AC$495&gt;=8))*ROW('CONTROL MASTER'!$S$2:$S$495))-(ROW('CONTROL MASTER'!#REF!)-1))),":",","),",",REPT(" ",50)),(((INDEX('CONTROL MASTER'!$Y$2:$Y$495,(SUMPRODUCT((('CONTROL MASTER'!$S$2:$S$495=6)*('CONTROL MASTER'!$Z$2:$Z$495&lt;=8)*('CONTROL MASTER'!$AB$2:$AB$495&gt;=8)*('CONTROL MASTER'!$AA$2:$AA$495&lt;=8)*('CONTROL MASTER'!$AC$2:$AC$495&gt;=8))*ROW('CONTROL MASTER'!$S$2:$S$495))-(ROW('CONTROL MASTER'!#REF!)-1)))+((8-INDEX('CONTROL MASTER'!$Z$2:$Z$495,(SUMPRODUCT((('CONTROL MASTER'!$S$2:$S$495=6)*('CONTROL MASTER'!$Z$2:$Z$495&lt;=8)*('CONTROL MASTER'!$AB$2:$AB$495&gt;=8)*('CONTROL MASTER'!$AA$2:$AA$495&lt;=8)*('CONTROL MASTER'!$AC$2:$AC$495&gt;=8))*ROW('CONTROL MASTER'!$S$2:$S$495))-(ROW('CONTROL MASTER'!#REF!)-1))))*(INDEX('CONTROL MASTER'!$AC$2:$AC$495,(SUMPRODUCT((('CONTROL MASTER'!$S$2:$S$495=6)*('CONTROL MASTER'!$Z$2:$Z$495&lt;=8)*('CONTROL MASTER'!$AB$2:$AB$495&gt;=8)*('CONTROL MASTER'!$AA$2:$AA$495&lt;=8)*('CONTROL MASTER'!$AC$2:$AC$495&gt;=8))*ROW('CONTROL MASTER'!$S$2:$S$495))-(ROW('CONTROL MASTER'!#REF!)-1)))-INDEX('CONTROL MASTER'!$AA$2:$AA$495,(SUMPRODUCT((('CONTROL MASTER'!$S$2:$S$495=6)*('CONTROL MASTER'!$Z$2:$Z$495&lt;=8)*('CONTROL MASTER'!$AB$2:$AB$495&gt;=8)*('CONTROL MASTER'!$AA$2:$AA$495&lt;=8)*('CONTROL MASTER'!$AC$2:$AC$495&gt;=8))*ROW('CONTROL MASTER'!$S$2:$S$495))-(ROW('CONTROL MASTER'!#REF!)-1)))+1)+(8-INDEX('CONTROL MASTER'!$AA$2:$AA$495,(SUMPRODUCT((('CONTROL MASTER'!$S$2:$S$495=6)*('CONTROL MASTER'!$Z$2:$Z$495&lt;=8)*('CONTROL MASTER'!$AB$2:$AB$495&gt;=8)*('CONTROL MASTER'!$AA$2:$AA$495&lt;=8)*('CONTROL MASTER'!$AC$2:$AC$495&gt;=8))*ROW('CONTROL MASTER'!$S$2:$S$495))-(ROW('CONTROL MASTER'!#REF!)-1))))+1)))-1)*50+1,50))&amp;"_"&amp;INDEX('CONTROL MASTER'!$P$2:$P$495,(SUMPRODUCT((('CONTROL MASTER'!$S$2:$S$495=6)*('CONTROL MASTER'!$Z$2:$Z$495&lt;=8)*('CONTROL MASTER'!$AB$2:$AB$495&gt;=8)*('CONTROL MASTER'!$AA$2:$AA$495&lt;=8)*('CONTROL MASTER'!$AC$2:$AC$495&gt;=8))*ROW('CONTROL MASTER'!$S$2:$S$495))-(ROW('CONTROL MASTER'!#REF!)-1))),"")),"")</f>
        <v/>
      </c>
      <c r="J80" s="10" t="str">
        <f>IFERROR(IF(SUMPRODUCT((('CONTROL MASTER'!$S$2:$S$495=6)*('CONTROL MASTER'!$T$2:$T$495&lt;=8)*('CONTROL MASTER'!$V$2:$V$495&gt;=8)*('CONTROL MASTER'!$U$2:$U$495&lt;=9)*('CONTROL MASTER'!$W$2:$W$495&gt;=9))*ROW('CONTROL MASTER'!$S$2:$S$495))&gt;0,INDEX('CONTROL MASTER'!$X$2:$X$495,(SUMPRODUCT((('CONTROL MASTER'!$S$2:$S$495=6)*('CONTROL MASTER'!$T$2:$T$495&lt;=8)*('CONTROL MASTER'!$V$2:$V$495&gt;=8)*('CONTROL MASTER'!$U$2:$U$495&lt;=9)*('CONTROL MASTER'!$W$2:$W$495&gt;=9))*ROW('CONTROL MASTER'!$S$2:$S$495))-(ROW('CONTROL MASTER'!#REF!)-1)))&amp;TRIM(MID(SUBSTITUTE(SUBSTITUTE(INDEX('CONTROL MASTER'!$N$2:$N$495,(SUMPRODUCT((('CONTROL MASTER'!$S$2:$S$495=6)*('CONTROL MASTER'!$T$2:$T$495&lt;=8)*('CONTROL MASTER'!$V$2:$V$495&gt;=8)*('CONTROL MASTER'!$U$2:$U$495&lt;=9)*('CONTROL MASTER'!$W$2:$W$495&gt;=9))*ROW('CONTROL MASTER'!$S$2:$S$495))-(ROW('CONTROL MASTER'!#REF!)-1))),":",","),",",REPT(" ",50)),((((8-INDEX('CONTROL MASTER'!$T$2:$T$495,(SUMPRODUCT((('CONTROL MASTER'!$S$2:$S$495=6)*('CONTROL MASTER'!$T$2:$T$495&lt;=8)*('CONTROL MASTER'!$V$2:$V$495&gt;=8)*('CONTROL MASTER'!$U$2:$U$495&lt;=9)*('CONTROL MASTER'!$W$2:$W$495&gt;=9))*ROW('CONTROL MASTER'!$S$2:$S$495))-(ROW('CONTROL MASTER'!#REF!)-1))))*(INDEX('CONTROL MASTER'!$W$2:$W$495,(SUMPRODUCT((('CONTROL MASTER'!$S$2:$S$495=6)*('CONTROL MASTER'!$T$2:$T$495&lt;=8)*('CONTROL MASTER'!$V$2:$V$495&gt;=8)*('CONTROL MASTER'!$U$2:$U$495&lt;=9)*('CONTROL MASTER'!$W$2:$W$495&gt;=9))*ROW('CONTROL MASTER'!$S$2:$S$495))-(ROW('CONTROL MASTER'!#REF!)-1)))-INDEX('CONTROL MASTER'!$U$2:$U$495,(SUMPRODUCT((('CONTROL MASTER'!$S$2:$S$495=6)*('CONTROL MASTER'!$T$2:$T$495&lt;=8)*('CONTROL MASTER'!$V$2:$V$495&gt;=8)*('CONTROL MASTER'!$U$2:$U$495&lt;=9)*('CONTROL MASTER'!$W$2:$W$495&gt;=9))*ROW('CONTROL MASTER'!$S$2:$S$495))-(ROW('CONTROL MASTER'!#REF!)-1)))+1)+(9-INDEX('CONTROL MASTER'!$U$2:$U$495,(SUMPRODUCT((('CONTROL MASTER'!$S$2:$S$495=6)*('CONTROL MASTER'!$T$2:$T$495&lt;=8)*('CONTROL MASTER'!$V$2:$V$495&gt;=8)*('CONTROL MASTER'!$U$2:$U$495&lt;=9)*('CONTROL MASTER'!$W$2:$W$495&gt;=9))*ROW('CONTROL MASTER'!$S$2:$S$495))-(ROW('CONTROL MASTER'!#REF!)-1))))+1))-1)*50+1,50))&amp;"_"&amp;INDEX('CONTROL MASTER'!$P$2:$P$495,(SUMPRODUCT((('CONTROL MASTER'!$S$2:$S$495=6)*('CONTROL MASTER'!$T$2:$T$495&lt;=8)*('CONTROL MASTER'!$V$2:$V$495&gt;=8)*('CONTROL MASTER'!$U$2:$U$495&lt;=9)*('CONTROL MASTER'!$W$2:$W$495&gt;=9))*ROW('CONTROL MASTER'!$S$2:$S$495))-(ROW('CONTROL MASTER'!#REF!)-1))),IF(SUMPRODUCT((('CONTROL MASTER'!$S$2:$S$495=6)*('CONTROL MASTER'!$Z$2:$Z$495&lt;=8)*('CONTROL MASTER'!$AB$2:$AB$495&gt;=8)*('CONTROL MASTER'!$AA$2:$AA$495&lt;=9)*('CONTROL MASTER'!$AC$2:$AC$495&gt;=9))*ROW('CONTROL MASTER'!$S$2:$S$495))&gt;0,INDEX('CONTROL MASTER'!$X$2:$X$495,(SUMPRODUCT((('CONTROL MASTER'!$S$2:$S$495=6)*('CONTROL MASTER'!$Z$2:$Z$495&lt;=8)*('CONTROL MASTER'!$AB$2:$AB$495&gt;=8)*('CONTROL MASTER'!$AA$2:$AA$495&lt;=9)*('CONTROL MASTER'!$AC$2:$AC$495&gt;=9))*ROW('CONTROL MASTER'!$S$2:$S$495))-(ROW('CONTROL MASTER'!#REF!)-1)))&amp;TRIM(MID(SUBSTITUTE(SUBSTITUTE(INDEX('CONTROL MASTER'!$N$2:$N$495,(SUMPRODUCT((('CONTROL MASTER'!$S$2:$S$495=6)*('CONTROL MASTER'!$Z$2:$Z$495&lt;=8)*('CONTROL MASTER'!$AB$2:$AB$495&gt;=8)*('CONTROL MASTER'!$AA$2:$AA$495&lt;=9)*('CONTROL MASTER'!$AC$2:$AC$495&gt;=9))*ROW('CONTROL MASTER'!$S$2:$S$495))-(ROW('CONTROL MASTER'!#REF!)-1))),":",","),",",REPT(" ",50)),(((INDEX('CONTROL MASTER'!$Y$2:$Y$495,(SUMPRODUCT((('CONTROL MASTER'!$S$2:$S$495=6)*('CONTROL MASTER'!$Z$2:$Z$495&lt;=8)*('CONTROL MASTER'!$AB$2:$AB$495&gt;=8)*('CONTROL MASTER'!$AA$2:$AA$495&lt;=9)*('CONTROL MASTER'!$AC$2:$AC$495&gt;=9))*ROW('CONTROL MASTER'!$S$2:$S$495))-(ROW('CONTROL MASTER'!#REF!)-1)))+((8-INDEX('CONTROL MASTER'!$Z$2:$Z$495,(SUMPRODUCT((('CONTROL MASTER'!$S$2:$S$495=6)*('CONTROL MASTER'!$Z$2:$Z$495&lt;=8)*('CONTROL MASTER'!$AB$2:$AB$495&gt;=8)*('CONTROL MASTER'!$AA$2:$AA$495&lt;=9)*('CONTROL MASTER'!$AC$2:$AC$495&gt;=9))*ROW('CONTROL MASTER'!$S$2:$S$495))-(ROW('CONTROL MASTER'!#REF!)-1))))*(INDEX('CONTROL MASTER'!$AC$2:$AC$495,(SUMPRODUCT((('CONTROL MASTER'!$S$2:$S$495=6)*('CONTROL MASTER'!$Z$2:$Z$495&lt;=8)*('CONTROL MASTER'!$AB$2:$AB$495&gt;=8)*('CONTROL MASTER'!$AA$2:$AA$495&lt;=9)*('CONTROL MASTER'!$AC$2:$AC$495&gt;=9))*ROW('CONTROL MASTER'!$S$2:$S$495))-(ROW('CONTROL MASTER'!#REF!)-1)))-INDEX('CONTROL MASTER'!$AA$2:$AA$495,(SUMPRODUCT((('CONTROL MASTER'!$S$2:$S$495=6)*('CONTROL MASTER'!$Z$2:$Z$495&lt;=8)*('CONTROL MASTER'!$AB$2:$AB$495&gt;=8)*('CONTROL MASTER'!$AA$2:$AA$495&lt;=9)*('CONTROL MASTER'!$AC$2:$AC$495&gt;=9))*ROW('CONTROL MASTER'!$S$2:$S$495))-(ROW('CONTROL MASTER'!#REF!)-1)))+1)+(9-INDEX('CONTROL MASTER'!$AA$2:$AA$495,(SUMPRODUCT((('CONTROL MASTER'!$S$2:$S$495=6)*('CONTROL MASTER'!$Z$2:$Z$495&lt;=8)*('CONTROL MASTER'!$AB$2:$AB$495&gt;=8)*('CONTROL MASTER'!$AA$2:$AA$495&lt;=9)*('CONTROL MASTER'!$AC$2:$AC$495&gt;=9))*ROW('CONTROL MASTER'!$S$2:$S$495))-(ROW('CONTROL MASTER'!#REF!)-1))))+1)))-1)*50+1,50))&amp;"_"&amp;INDEX('CONTROL MASTER'!$P$2:$P$495,(SUMPRODUCT((('CONTROL MASTER'!$S$2:$S$495=6)*('CONTROL MASTER'!$Z$2:$Z$495&lt;=8)*('CONTROL MASTER'!$AB$2:$AB$495&gt;=8)*('CONTROL MASTER'!$AA$2:$AA$495&lt;=9)*('CONTROL MASTER'!$AC$2:$AC$495&gt;=9))*ROW('CONTROL MASTER'!$S$2:$S$495))-(ROW('CONTROL MASTER'!#REF!)-1))),"")),"")</f>
        <v/>
      </c>
      <c r="K80" s="10" t="str">
        <f>IFERROR(IF(SUMPRODUCT((('CONTROL MASTER'!$S$2:$S$495=6)*('CONTROL MASTER'!$T$2:$T$495&lt;=8)*('CONTROL MASTER'!$V$2:$V$495&gt;=8)*('CONTROL MASTER'!$U$2:$U$495&lt;=10)*('CONTROL MASTER'!$W$2:$W$495&gt;=10))*ROW('CONTROL MASTER'!$S$2:$S$495))&gt;0,INDEX('CONTROL MASTER'!$X$2:$X$495,(SUMPRODUCT((('CONTROL MASTER'!$S$2:$S$495=6)*('CONTROL MASTER'!$T$2:$T$495&lt;=8)*('CONTROL MASTER'!$V$2:$V$495&gt;=8)*('CONTROL MASTER'!$U$2:$U$495&lt;=10)*('CONTROL MASTER'!$W$2:$W$495&gt;=10))*ROW('CONTROL MASTER'!$S$2:$S$495))-(ROW('CONTROL MASTER'!#REF!)-1)))&amp;TRIM(MID(SUBSTITUTE(SUBSTITUTE(INDEX('CONTROL MASTER'!$N$2:$N$495,(SUMPRODUCT((('CONTROL MASTER'!$S$2:$S$495=6)*('CONTROL MASTER'!$T$2:$T$495&lt;=8)*('CONTROL MASTER'!$V$2:$V$495&gt;=8)*('CONTROL MASTER'!$U$2:$U$495&lt;=10)*('CONTROL MASTER'!$W$2:$W$495&gt;=10))*ROW('CONTROL MASTER'!$S$2:$S$495))-(ROW('CONTROL MASTER'!#REF!)-1))),":",","),",",REPT(" ",50)),((((8-INDEX('CONTROL MASTER'!$T$2:$T$495,(SUMPRODUCT((('CONTROL MASTER'!$S$2:$S$495=6)*('CONTROL MASTER'!$T$2:$T$495&lt;=8)*('CONTROL MASTER'!$V$2:$V$495&gt;=8)*('CONTROL MASTER'!$U$2:$U$495&lt;=10)*('CONTROL MASTER'!$W$2:$W$495&gt;=10))*ROW('CONTROL MASTER'!$S$2:$S$495))-(ROW('CONTROL MASTER'!#REF!)-1))))*(INDEX('CONTROL MASTER'!$W$2:$W$495,(SUMPRODUCT((('CONTROL MASTER'!$S$2:$S$495=6)*('CONTROL MASTER'!$T$2:$T$495&lt;=8)*('CONTROL MASTER'!$V$2:$V$495&gt;=8)*('CONTROL MASTER'!$U$2:$U$495&lt;=10)*('CONTROL MASTER'!$W$2:$W$495&gt;=10))*ROW('CONTROL MASTER'!$S$2:$S$495))-(ROW('CONTROL MASTER'!#REF!)-1)))-INDEX('CONTROL MASTER'!$U$2:$U$495,(SUMPRODUCT((('CONTROL MASTER'!$S$2:$S$495=6)*('CONTROL MASTER'!$T$2:$T$495&lt;=8)*('CONTROL MASTER'!$V$2:$V$495&gt;=8)*('CONTROL MASTER'!$U$2:$U$495&lt;=10)*('CONTROL MASTER'!$W$2:$W$495&gt;=10))*ROW('CONTROL MASTER'!$S$2:$S$495))-(ROW('CONTROL MASTER'!#REF!)-1)))+1)+(10-INDEX('CONTROL MASTER'!$U$2:$U$495,(SUMPRODUCT((('CONTROL MASTER'!$S$2:$S$495=6)*('CONTROL MASTER'!$T$2:$T$495&lt;=8)*('CONTROL MASTER'!$V$2:$V$495&gt;=8)*('CONTROL MASTER'!$U$2:$U$495&lt;=10)*('CONTROL MASTER'!$W$2:$W$495&gt;=10))*ROW('CONTROL MASTER'!$S$2:$S$495))-(ROW('CONTROL MASTER'!#REF!)-1))))+1))-1)*50+1,50))&amp;"_"&amp;INDEX('CONTROL MASTER'!$P$2:$P$495,(SUMPRODUCT((('CONTROL MASTER'!$S$2:$S$495=6)*('CONTROL MASTER'!$T$2:$T$495&lt;=8)*('CONTROL MASTER'!$V$2:$V$495&gt;=8)*('CONTROL MASTER'!$U$2:$U$495&lt;=10)*('CONTROL MASTER'!$W$2:$W$495&gt;=10))*ROW('CONTROL MASTER'!$S$2:$S$495))-(ROW('CONTROL MASTER'!#REF!)-1))),IF(SUMPRODUCT((('CONTROL MASTER'!$S$2:$S$495=6)*('CONTROL MASTER'!$Z$2:$Z$495&lt;=8)*('CONTROL MASTER'!$AB$2:$AB$495&gt;=8)*('CONTROL MASTER'!$AA$2:$AA$495&lt;=10)*('CONTROL MASTER'!$AC$2:$AC$495&gt;=10))*ROW('CONTROL MASTER'!$S$2:$S$495))&gt;0,INDEX('CONTROL MASTER'!$X$2:$X$495,(SUMPRODUCT((('CONTROL MASTER'!$S$2:$S$495=6)*('CONTROL MASTER'!$Z$2:$Z$495&lt;=8)*('CONTROL MASTER'!$AB$2:$AB$495&gt;=8)*('CONTROL MASTER'!$AA$2:$AA$495&lt;=10)*('CONTROL MASTER'!$AC$2:$AC$495&gt;=10))*ROW('CONTROL MASTER'!$S$2:$S$495))-(ROW('CONTROL MASTER'!#REF!)-1)))&amp;TRIM(MID(SUBSTITUTE(SUBSTITUTE(INDEX('CONTROL MASTER'!$N$2:$N$495,(SUMPRODUCT((('CONTROL MASTER'!$S$2:$S$495=6)*('CONTROL MASTER'!$Z$2:$Z$495&lt;=8)*('CONTROL MASTER'!$AB$2:$AB$495&gt;=8)*('CONTROL MASTER'!$AA$2:$AA$495&lt;=10)*('CONTROL MASTER'!$AC$2:$AC$495&gt;=10))*ROW('CONTROL MASTER'!$S$2:$S$495))-(ROW('CONTROL MASTER'!#REF!)-1))),":",","),",",REPT(" ",50)),(((INDEX('CONTROL MASTER'!$Y$2:$Y$495,(SUMPRODUCT((('CONTROL MASTER'!$S$2:$S$495=6)*('CONTROL MASTER'!$Z$2:$Z$495&lt;=8)*('CONTROL MASTER'!$AB$2:$AB$495&gt;=8)*('CONTROL MASTER'!$AA$2:$AA$495&lt;=10)*('CONTROL MASTER'!$AC$2:$AC$495&gt;=10))*ROW('CONTROL MASTER'!$S$2:$S$495))-(ROW('CONTROL MASTER'!#REF!)-1)))+((8-INDEX('CONTROL MASTER'!$Z$2:$Z$495,(SUMPRODUCT((('CONTROL MASTER'!$S$2:$S$495=6)*('CONTROL MASTER'!$Z$2:$Z$495&lt;=8)*('CONTROL MASTER'!$AB$2:$AB$495&gt;=8)*('CONTROL MASTER'!$AA$2:$AA$495&lt;=10)*('CONTROL MASTER'!$AC$2:$AC$495&gt;=10))*ROW('CONTROL MASTER'!$S$2:$S$495))-(ROW('CONTROL MASTER'!#REF!)-1))))*(INDEX('CONTROL MASTER'!$AC$2:$AC$495,(SUMPRODUCT((('CONTROL MASTER'!$S$2:$S$495=6)*('CONTROL MASTER'!$Z$2:$Z$495&lt;=8)*('CONTROL MASTER'!$AB$2:$AB$495&gt;=8)*('CONTROL MASTER'!$AA$2:$AA$495&lt;=10)*('CONTROL MASTER'!$AC$2:$AC$495&gt;=10))*ROW('CONTROL MASTER'!$S$2:$S$495))-(ROW('CONTROL MASTER'!#REF!)-1)))-INDEX('CONTROL MASTER'!$AA$2:$AA$495,(SUMPRODUCT((('CONTROL MASTER'!$S$2:$S$495=6)*('CONTROL MASTER'!$Z$2:$Z$495&lt;=8)*('CONTROL MASTER'!$AB$2:$AB$495&gt;=8)*('CONTROL MASTER'!$AA$2:$AA$495&lt;=10)*('CONTROL MASTER'!$AC$2:$AC$495&gt;=10))*ROW('CONTROL MASTER'!$S$2:$S$495))-(ROW('CONTROL MASTER'!#REF!)-1)))+1)+(10-INDEX('CONTROL MASTER'!$AA$2:$AA$495,(SUMPRODUCT((('CONTROL MASTER'!$S$2:$S$495=6)*('CONTROL MASTER'!$Z$2:$Z$495&lt;=8)*('CONTROL MASTER'!$AB$2:$AB$495&gt;=8)*('CONTROL MASTER'!$AA$2:$AA$495&lt;=10)*('CONTROL MASTER'!$AC$2:$AC$495&gt;=10))*ROW('CONTROL MASTER'!$S$2:$S$495))-(ROW('CONTROL MASTER'!#REF!)-1))))+1)))-1)*50+1,50))&amp;"_"&amp;INDEX('CONTROL MASTER'!$P$2:$P$495,(SUMPRODUCT((('CONTROL MASTER'!$S$2:$S$495=6)*('CONTROL MASTER'!$Z$2:$Z$495&lt;=8)*('CONTROL MASTER'!$AB$2:$AB$495&gt;=8)*('CONTROL MASTER'!$AA$2:$AA$495&lt;=10)*('CONTROL MASTER'!$AC$2:$AC$495&gt;=10))*ROW('CONTROL MASTER'!$S$2:$S$495))-(ROW('CONTROL MASTER'!#REF!)-1))),"")),"")</f>
        <v/>
      </c>
    </row>
    <row r="81" spans="1:11" ht="15" customHeight="1" x14ac:dyDescent="0.35">
      <c r="A81" s="8" t="s">
        <v>81</v>
      </c>
      <c r="B81" s="10" t="str">
        <f>IFERROR(IF(SUMPRODUCT((('CONTROL MASTER'!$S$2:$S$495=6)*('CONTROL MASTER'!$T$2:$T$495&lt;=9)*('CONTROL MASTER'!$V$2:$V$495&gt;=9)*('CONTROL MASTER'!$U$2:$U$495&lt;=1)*('CONTROL MASTER'!$W$2:$W$495&gt;=1))*ROW('CONTROL MASTER'!$S$2:$S$495))&gt;0,INDEX('CONTROL MASTER'!$X$2:$X$495,(SUMPRODUCT((('CONTROL MASTER'!$S$2:$S$495=6)*('CONTROL MASTER'!$T$2:$T$495&lt;=9)*('CONTROL MASTER'!$V$2:$V$495&gt;=9)*('CONTROL MASTER'!$U$2:$U$495&lt;=1)*('CONTROL MASTER'!$W$2:$W$495&gt;=1))*ROW('CONTROL MASTER'!$S$2:$S$495))-(ROW('CONTROL MASTER'!#REF!)-1)))&amp;TRIM(MID(SUBSTITUTE(SUBSTITUTE(INDEX('CONTROL MASTER'!$N$2:$N$495,(SUMPRODUCT((('CONTROL MASTER'!$S$2:$S$495=6)*('CONTROL MASTER'!$T$2:$T$495&lt;=9)*('CONTROL MASTER'!$V$2:$V$495&gt;=9)*('CONTROL MASTER'!$U$2:$U$495&lt;=1)*('CONTROL MASTER'!$W$2:$W$495&gt;=1))*ROW('CONTROL MASTER'!$S$2:$S$495))-(ROW('CONTROL MASTER'!#REF!)-1))),":",","),",",REPT(" ",50)),((((9-INDEX('CONTROL MASTER'!$T$2:$T$495,(SUMPRODUCT((('CONTROL MASTER'!$S$2:$S$495=6)*('CONTROL MASTER'!$T$2:$T$495&lt;=9)*('CONTROL MASTER'!$V$2:$V$495&gt;=9)*('CONTROL MASTER'!$U$2:$U$495&lt;=1)*('CONTROL MASTER'!$W$2:$W$495&gt;=1))*ROW('CONTROL MASTER'!$S$2:$S$495))-(ROW('CONTROL MASTER'!#REF!)-1))))*(INDEX('CONTROL MASTER'!$W$2:$W$495,(SUMPRODUCT((('CONTROL MASTER'!$S$2:$S$495=6)*('CONTROL MASTER'!$T$2:$T$495&lt;=9)*('CONTROL MASTER'!$V$2:$V$495&gt;=9)*('CONTROL MASTER'!$U$2:$U$495&lt;=1)*('CONTROL MASTER'!$W$2:$W$495&gt;=1))*ROW('CONTROL MASTER'!$S$2:$S$495))-(ROW('CONTROL MASTER'!#REF!)-1)))-INDEX('CONTROL MASTER'!$U$2:$U$495,(SUMPRODUCT((('CONTROL MASTER'!$S$2:$S$495=6)*('CONTROL MASTER'!$T$2:$T$495&lt;=9)*('CONTROL MASTER'!$V$2:$V$495&gt;=9)*('CONTROL MASTER'!$U$2:$U$495&lt;=1)*('CONTROL MASTER'!$W$2:$W$495&gt;=1))*ROW('CONTROL MASTER'!$S$2:$S$495))-(ROW('CONTROL MASTER'!#REF!)-1)))+1)+(1-INDEX('CONTROL MASTER'!$U$2:$U$495,(SUMPRODUCT((('CONTROL MASTER'!$S$2:$S$495=6)*('CONTROL MASTER'!$T$2:$T$495&lt;=9)*('CONTROL MASTER'!$V$2:$V$495&gt;=9)*('CONTROL MASTER'!$U$2:$U$495&lt;=1)*('CONTROL MASTER'!$W$2:$W$495&gt;=1))*ROW('CONTROL MASTER'!$S$2:$S$495))-(ROW('CONTROL MASTER'!#REF!)-1))))+1))-1)*50+1,50))&amp;"_"&amp;INDEX('CONTROL MASTER'!$P$2:$P$495,(SUMPRODUCT((('CONTROL MASTER'!$S$2:$S$495=6)*('CONTROL MASTER'!$T$2:$T$495&lt;=9)*('CONTROL MASTER'!$V$2:$V$495&gt;=9)*('CONTROL MASTER'!$U$2:$U$495&lt;=1)*('CONTROL MASTER'!$W$2:$W$495&gt;=1))*ROW('CONTROL MASTER'!$S$2:$S$495))-(ROW('CONTROL MASTER'!#REF!)-1))),IF(SUMPRODUCT((('CONTROL MASTER'!$S$2:$S$495=6)*('CONTROL MASTER'!$Z$2:$Z$495&lt;=9)*('CONTROL MASTER'!$AB$2:$AB$495&gt;=9)*('CONTROL MASTER'!$AA$2:$AA$495&lt;=1)*('CONTROL MASTER'!$AC$2:$AC$495&gt;=1))*ROW('CONTROL MASTER'!$S$2:$S$495))&gt;0,INDEX('CONTROL MASTER'!$X$2:$X$495,(SUMPRODUCT((('CONTROL MASTER'!$S$2:$S$495=6)*('CONTROL MASTER'!$Z$2:$Z$495&lt;=9)*('CONTROL MASTER'!$AB$2:$AB$495&gt;=9)*('CONTROL MASTER'!$AA$2:$AA$495&lt;=1)*('CONTROL MASTER'!$AC$2:$AC$495&gt;=1))*ROW('CONTROL MASTER'!$S$2:$S$495))-(ROW('CONTROL MASTER'!#REF!)-1)))&amp;TRIM(MID(SUBSTITUTE(SUBSTITUTE(INDEX('CONTROL MASTER'!$N$2:$N$495,(SUMPRODUCT((('CONTROL MASTER'!$S$2:$S$495=6)*('CONTROL MASTER'!$Z$2:$Z$495&lt;=9)*('CONTROL MASTER'!$AB$2:$AB$495&gt;=9)*('CONTROL MASTER'!$AA$2:$AA$495&lt;=1)*('CONTROL MASTER'!$AC$2:$AC$495&gt;=1))*ROW('CONTROL MASTER'!$S$2:$S$495))-(ROW('CONTROL MASTER'!#REF!)-1))),":",","),",",REPT(" ",50)),(((INDEX('CONTROL MASTER'!$Y$2:$Y$495,(SUMPRODUCT((('CONTROL MASTER'!$S$2:$S$495=6)*('CONTROL MASTER'!$Z$2:$Z$495&lt;=9)*('CONTROL MASTER'!$AB$2:$AB$495&gt;=9)*('CONTROL MASTER'!$AA$2:$AA$495&lt;=1)*('CONTROL MASTER'!$AC$2:$AC$495&gt;=1))*ROW('CONTROL MASTER'!$S$2:$S$495))-(ROW('CONTROL MASTER'!#REF!)-1)))+((9-INDEX('CONTROL MASTER'!$Z$2:$Z$495,(SUMPRODUCT((('CONTROL MASTER'!$S$2:$S$495=6)*('CONTROL MASTER'!$Z$2:$Z$495&lt;=9)*('CONTROL MASTER'!$AB$2:$AB$495&gt;=9)*('CONTROL MASTER'!$AA$2:$AA$495&lt;=1)*('CONTROL MASTER'!$AC$2:$AC$495&gt;=1))*ROW('CONTROL MASTER'!$S$2:$S$495))-(ROW('CONTROL MASTER'!#REF!)-1))))*(INDEX('CONTROL MASTER'!$AC$2:$AC$495,(SUMPRODUCT((('CONTROL MASTER'!$S$2:$S$495=6)*('CONTROL MASTER'!$Z$2:$Z$495&lt;=9)*('CONTROL MASTER'!$AB$2:$AB$495&gt;=9)*('CONTROL MASTER'!$AA$2:$AA$495&lt;=1)*('CONTROL MASTER'!$AC$2:$AC$495&gt;=1))*ROW('CONTROL MASTER'!$S$2:$S$495))-(ROW('CONTROL MASTER'!#REF!)-1)))-INDEX('CONTROL MASTER'!$AA$2:$AA$495,(SUMPRODUCT((('CONTROL MASTER'!$S$2:$S$495=6)*('CONTROL MASTER'!$Z$2:$Z$495&lt;=9)*('CONTROL MASTER'!$AB$2:$AB$495&gt;=9)*('CONTROL MASTER'!$AA$2:$AA$495&lt;=1)*('CONTROL MASTER'!$AC$2:$AC$495&gt;=1))*ROW('CONTROL MASTER'!$S$2:$S$495))-(ROW('CONTROL MASTER'!#REF!)-1)))+1)+(1-INDEX('CONTROL MASTER'!$AA$2:$AA$495,(SUMPRODUCT((('CONTROL MASTER'!$S$2:$S$495=6)*('CONTROL MASTER'!$Z$2:$Z$495&lt;=9)*('CONTROL MASTER'!$AB$2:$AB$495&gt;=9)*('CONTROL MASTER'!$AA$2:$AA$495&lt;=1)*('CONTROL MASTER'!$AC$2:$AC$495&gt;=1))*ROW('CONTROL MASTER'!$S$2:$S$495))-(ROW('CONTROL MASTER'!#REF!)-1))))+1)))-1)*50+1,50))&amp;"_"&amp;INDEX('CONTROL MASTER'!$P$2:$P$495,(SUMPRODUCT((('CONTROL MASTER'!$S$2:$S$495=6)*('CONTROL MASTER'!$Z$2:$Z$495&lt;=9)*('CONTROL MASTER'!$AB$2:$AB$495&gt;=9)*('CONTROL MASTER'!$AA$2:$AA$495&lt;=1)*('CONTROL MASTER'!$AC$2:$AC$495&gt;=1))*ROW('CONTROL MASTER'!$S$2:$S$495))-(ROW('CONTROL MASTER'!#REF!)-1))),"")),"")</f>
        <v/>
      </c>
      <c r="C81" s="10" t="str">
        <f>IFERROR(IF(SUMPRODUCT((('CONTROL MASTER'!$S$2:$S$495=6)*('CONTROL MASTER'!$T$2:$T$495&lt;=9)*('CONTROL MASTER'!$V$2:$V$495&gt;=9)*('CONTROL MASTER'!$U$2:$U$495&lt;=2)*('CONTROL MASTER'!$W$2:$W$495&gt;=2))*ROW('CONTROL MASTER'!$S$2:$S$495))&gt;0,INDEX('CONTROL MASTER'!$X$2:$X$495,(SUMPRODUCT((('CONTROL MASTER'!$S$2:$S$495=6)*('CONTROL MASTER'!$T$2:$T$495&lt;=9)*('CONTROL MASTER'!$V$2:$V$495&gt;=9)*('CONTROL MASTER'!$U$2:$U$495&lt;=2)*('CONTROL MASTER'!$W$2:$W$495&gt;=2))*ROW('CONTROL MASTER'!$S$2:$S$495))-(ROW('CONTROL MASTER'!#REF!)-1)))&amp;TRIM(MID(SUBSTITUTE(SUBSTITUTE(INDEX('CONTROL MASTER'!$N$2:$N$495,(SUMPRODUCT((('CONTROL MASTER'!$S$2:$S$495=6)*('CONTROL MASTER'!$T$2:$T$495&lt;=9)*('CONTROL MASTER'!$V$2:$V$495&gt;=9)*('CONTROL MASTER'!$U$2:$U$495&lt;=2)*('CONTROL MASTER'!$W$2:$W$495&gt;=2))*ROW('CONTROL MASTER'!$S$2:$S$495))-(ROW('CONTROL MASTER'!#REF!)-1))),":",","),",",REPT(" ",50)),((((9-INDEX('CONTROL MASTER'!$T$2:$T$495,(SUMPRODUCT((('CONTROL MASTER'!$S$2:$S$495=6)*('CONTROL MASTER'!$T$2:$T$495&lt;=9)*('CONTROL MASTER'!$V$2:$V$495&gt;=9)*('CONTROL MASTER'!$U$2:$U$495&lt;=2)*('CONTROL MASTER'!$W$2:$W$495&gt;=2))*ROW('CONTROL MASTER'!$S$2:$S$495))-(ROW('CONTROL MASTER'!#REF!)-1))))*(INDEX('CONTROL MASTER'!$W$2:$W$495,(SUMPRODUCT((('CONTROL MASTER'!$S$2:$S$495=6)*('CONTROL MASTER'!$T$2:$T$495&lt;=9)*('CONTROL MASTER'!$V$2:$V$495&gt;=9)*('CONTROL MASTER'!$U$2:$U$495&lt;=2)*('CONTROL MASTER'!$W$2:$W$495&gt;=2))*ROW('CONTROL MASTER'!$S$2:$S$495))-(ROW('CONTROL MASTER'!#REF!)-1)))-INDEX('CONTROL MASTER'!$U$2:$U$495,(SUMPRODUCT((('CONTROL MASTER'!$S$2:$S$495=6)*('CONTROL MASTER'!$T$2:$T$495&lt;=9)*('CONTROL MASTER'!$V$2:$V$495&gt;=9)*('CONTROL MASTER'!$U$2:$U$495&lt;=2)*('CONTROL MASTER'!$W$2:$W$495&gt;=2))*ROW('CONTROL MASTER'!$S$2:$S$495))-(ROW('CONTROL MASTER'!#REF!)-1)))+1)+(2-INDEX('CONTROL MASTER'!$U$2:$U$495,(SUMPRODUCT((('CONTROL MASTER'!$S$2:$S$495=6)*('CONTROL MASTER'!$T$2:$T$495&lt;=9)*('CONTROL MASTER'!$V$2:$V$495&gt;=9)*('CONTROL MASTER'!$U$2:$U$495&lt;=2)*('CONTROL MASTER'!$W$2:$W$495&gt;=2))*ROW('CONTROL MASTER'!$S$2:$S$495))-(ROW('CONTROL MASTER'!#REF!)-1))))+1))-1)*50+1,50))&amp;"_"&amp;INDEX('CONTROL MASTER'!$P$2:$P$495,(SUMPRODUCT((('CONTROL MASTER'!$S$2:$S$495=6)*('CONTROL MASTER'!$T$2:$T$495&lt;=9)*('CONTROL MASTER'!$V$2:$V$495&gt;=9)*('CONTROL MASTER'!$U$2:$U$495&lt;=2)*('CONTROL MASTER'!$W$2:$W$495&gt;=2))*ROW('CONTROL MASTER'!$S$2:$S$495))-(ROW('CONTROL MASTER'!#REF!)-1))),IF(SUMPRODUCT((('CONTROL MASTER'!$S$2:$S$495=6)*('CONTROL MASTER'!$Z$2:$Z$495&lt;=9)*('CONTROL MASTER'!$AB$2:$AB$495&gt;=9)*('CONTROL MASTER'!$AA$2:$AA$495&lt;=2)*('CONTROL MASTER'!$AC$2:$AC$495&gt;=2))*ROW('CONTROL MASTER'!$S$2:$S$495))&gt;0,INDEX('CONTROL MASTER'!$X$2:$X$495,(SUMPRODUCT((('CONTROL MASTER'!$S$2:$S$495=6)*('CONTROL MASTER'!$Z$2:$Z$495&lt;=9)*('CONTROL MASTER'!$AB$2:$AB$495&gt;=9)*('CONTROL MASTER'!$AA$2:$AA$495&lt;=2)*('CONTROL MASTER'!$AC$2:$AC$495&gt;=2))*ROW('CONTROL MASTER'!$S$2:$S$495))-(ROW('CONTROL MASTER'!#REF!)-1)))&amp;TRIM(MID(SUBSTITUTE(SUBSTITUTE(INDEX('CONTROL MASTER'!$N$2:$N$495,(SUMPRODUCT((('CONTROL MASTER'!$S$2:$S$495=6)*('CONTROL MASTER'!$Z$2:$Z$495&lt;=9)*('CONTROL MASTER'!$AB$2:$AB$495&gt;=9)*('CONTROL MASTER'!$AA$2:$AA$495&lt;=2)*('CONTROL MASTER'!$AC$2:$AC$495&gt;=2))*ROW('CONTROL MASTER'!$S$2:$S$495))-(ROW('CONTROL MASTER'!#REF!)-1))),":",","),",",REPT(" ",50)),(((INDEX('CONTROL MASTER'!$Y$2:$Y$495,(SUMPRODUCT((('CONTROL MASTER'!$S$2:$S$495=6)*('CONTROL MASTER'!$Z$2:$Z$495&lt;=9)*('CONTROL MASTER'!$AB$2:$AB$495&gt;=9)*('CONTROL MASTER'!$AA$2:$AA$495&lt;=2)*('CONTROL MASTER'!$AC$2:$AC$495&gt;=2))*ROW('CONTROL MASTER'!$S$2:$S$495))-(ROW('CONTROL MASTER'!#REF!)-1)))+((9-INDEX('CONTROL MASTER'!$Z$2:$Z$495,(SUMPRODUCT((('CONTROL MASTER'!$S$2:$S$495=6)*('CONTROL MASTER'!$Z$2:$Z$495&lt;=9)*('CONTROL MASTER'!$AB$2:$AB$495&gt;=9)*('CONTROL MASTER'!$AA$2:$AA$495&lt;=2)*('CONTROL MASTER'!$AC$2:$AC$495&gt;=2))*ROW('CONTROL MASTER'!$S$2:$S$495))-(ROW('CONTROL MASTER'!#REF!)-1))))*(INDEX('CONTROL MASTER'!$AC$2:$AC$495,(SUMPRODUCT((('CONTROL MASTER'!$S$2:$S$495=6)*('CONTROL MASTER'!$Z$2:$Z$495&lt;=9)*('CONTROL MASTER'!$AB$2:$AB$495&gt;=9)*('CONTROL MASTER'!$AA$2:$AA$495&lt;=2)*('CONTROL MASTER'!$AC$2:$AC$495&gt;=2))*ROW('CONTROL MASTER'!$S$2:$S$495))-(ROW('CONTROL MASTER'!#REF!)-1)))-INDEX('CONTROL MASTER'!$AA$2:$AA$495,(SUMPRODUCT((('CONTROL MASTER'!$S$2:$S$495=6)*('CONTROL MASTER'!$Z$2:$Z$495&lt;=9)*('CONTROL MASTER'!$AB$2:$AB$495&gt;=9)*('CONTROL MASTER'!$AA$2:$AA$495&lt;=2)*('CONTROL MASTER'!$AC$2:$AC$495&gt;=2))*ROW('CONTROL MASTER'!$S$2:$S$495))-(ROW('CONTROL MASTER'!#REF!)-1)))+1)+(2-INDEX('CONTROL MASTER'!$AA$2:$AA$495,(SUMPRODUCT((('CONTROL MASTER'!$S$2:$S$495=6)*('CONTROL MASTER'!$Z$2:$Z$495&lt;=9)*('CONTROL MASTER'!$AB$2:$AB$495&gt;=9)*('CONTROL MASTER'!$AA$2:$AA$495&lt;=2)*('CONTROL MASTER'!$AC$2:$AC$495&gt;=2))*ROW('CONTROL MASTER'!$S$2:$S$495))-(ROW('CONTROL MASTER'!#REF!)-1))))+1)))-1)*50+1,50))&amp;"_"&amp;INDEX('CONTROL MASTER'!$P$2:$P$495,(SUMPRODUCT((('CONTROL MASTER'!$S$2:$S$495=6)*('CONTROL MASTER'!$Z$2:$Z$495&lt;=9)*('CONTROL MASTER'!$AB$2:$AB$495&gt;=9)*('CONTROL MASTER'!$AA$2:$AA$495&lt;=2)*('CONTROL MASTER'!$AC$2:$AC$495&gt;=2))*ROW('CONTROL MASTER'!$S$2:$S$495))-(ROW('CONTROL MASTER'!#REF!)-1))),"")),"")</f>
        <v/>
      </c>
      <c r="D81" s="10" t="str">
        <f>IFERROR(IF(SUMPRODUCT((('CONTROL MASTER'!$S$2:$S$495=6)*('CONTROL MASTER'!$T$2:$T$495&lt;=9)*('CONTROL MASTER'!$V$2:$V$495&gt;=9)*('CONTROL MASTER'!$U$2:$U$495&lt;=3)*('CONTROL MASTER'!$W$2:$W$495&gt;=3))*ROW('CONTROL MASTER'!$S$2:$S$495))&gt;0,INDEX('CONTROL MASTER'!$X$2:$X$495,(SUMPRODUCT((('CONTROL MASTER'!$S$2:$S$495=6)*('CONTROL MASTER'!$T$2:$T$495&lt;=9)*('CONTROL MASTER'!$V$2:$V$495&gt;=9)*('CONTROL MASTER'!$U$2:$U$495&lt;=3)*('CONTROL MASTER'!$W$2:$W$495&gt;=3))*ROW('CONTROL MASTER'!$S$2:$S$495))-(ROW('CONTROL MASTER'!#REF!)-1)))&amp;TRIM(MID(SUBSTITUTE(SUBSTITUTE(INDEX('CONTROL MASTER'!$N$2:$N$495,(SUMPRODUCT((('CONTROL MASTER'!$S$2:$S$495=6)*('CONTROL MASTER'!$T$2:$T$495&lt;=9)*('CONTROL MASTER'!$V$2:$V$495&gt;=9)*('CONTROL MASTER'!$U$2:$U$495&lt;=3)*('CONTROL MASTER'!$W$2:$W$495&gt;=3))*ROW('CONTROL MASTER'!$S$2:$S$495))-(ROW('CONTROL MASTER'!#REF!)-1))),":",","),",",REPT(" ",50)),((((9-INDEX('CONTROL MASTER'!$T$2:$T$495,(SUMPRODUCT((('CONTROL MASTER'!$S$2:$S$495=6)*('CONTROL MASTER'!$T$2:$T$495&lt;=9)*('CONTROL MASTER'!$V$2:$V$495&gt;=9)*('CONTROL MASTER'!$U$2:$U$495&lt;=3)*('CONTROL MASTER'!$W$2:$W$495&gt;=3))*ROW('CONTROL MASTER'!$S$2:$S$495))-(ROW('CONTROL MASTER'!#REF!)-1))))*(INDEX('CONTROL MASTER'!$W$2:$W$495,(SUMPRODUCT((('CONTROL MASTER'!$S$2:$S$495=6)*('CONTROL MASTER'!$T$2:$T$495&lt;=9)*('CONTROL MASTER'!$V$2:$V$495&gt;=9)*('CONTROL MASTER'!$U$2:$U$495&lt;=3)*('CONTROL MASTER'!$W$2:$W$495&gt;=3))*ROW('CONTROL MASTER'!$S$2:$S$495))-(ROW('CONTROL MASTER'!#REF!)-1)))-INDEX('CONTROL MASTER'!$U$2:$U$495,(SUMPRODUCT((('CONTROL MASTER'!$S$2:$S$495=6)*('CONTROL MASTER'!$T$2:$T$495&lt;=9)*('CONTROL MASTER'!$V$2:$V$495&gt;=9)*('CONTROL MASTER'!$U$2:$U$495&lt;=3)*('CONTROL MASTER'!$W$2:$W$495&gt;=3))*ROW('CONTROL MASTER'!$S$2:$S$495))-(ROW('CONTROL MASTER'!#REF!)-1)))+1)+(3-INDEX('CONTROL MASTER'!$U$2:$U$495,(SUMPRODUCT((('CONTROL MASTER'!$S$2:$S$495=6)*('CONTROL MASTER'!$T$2:$T$495&lt;=9)*('CONTROL MASTER'!$V$2:$V$495&gt;=9)*('CONTROL MASTER'!$U$2:$U$495&lt;=3)*('CONTROL MASTER'!$W$2:$W$495&gt;=3))*ROW('CONTROL MASTER'!$S$2:$S$495))-(ROW('CONTROL MASTER'!#REF!)-1))))+1))-1)*50+1,50))&amp;"_"&amp;INDEX('CONTROL MASTER'!$P$2:$P$495,(SUMPRODUCT((('CONTROL MASTER'!$S$2:$S$495=6)*('CONTROL MASTER'!$T$2:$T$495&lt;=9)*('CONTROL MASTER'!$V$2:$V$495&gt;=9)*('CONTROL MASTER'!$U$2:$U$495&lt;=3)*('CONTROL MASTER'!$W$2:$W$495&gt;=3))*ROW('CONTROL MASTER'!$S$2:$S$495))-(ROW('CONTROL MASTER'!#REF!)-1))),IF(SUMPRODUCT((('CONTROL MASTER'!$S$2:$S$495=6)*('CONTROL MASTER'!$Z$2:$Z$495&lt;=9)*('CONTROL MASTER'!$AB$2:$AB$495&gt;=9)*('CONTROL MASTER'!$AA$2:$AA$495&lt;=3)*('CONTROL MASTER'!$AC$2:$AC$495&gt;=3))*ROW('CONTROL MASTER'!$S$2:$S$495))&gt;0,INDEX('CONTROL MASTER'!$X$2:$X$495,(SUMPRODUCT((('CONTROL MASTER'!$S$2:$S$495=6)*('CONTROL MASTER'!$Z$2:$Z$495&lt;=9)*('CONTROL MASTER'!$AB$2:$AB$495&gt;=9)*('CONTROL MASTER'!$AA$2:$AA$495&lt;=3)*('CONTROL MASTER'!$AC$2:$AC$495&gt;=3))*ROW('CONTROL MASTER'!$S$2:$S$495))-(ROW('CONTROL MASTER'!#REF!)-1)))&amp;TRIM(MID(SUBSTITUTE(SUBSTITUTE(INDEX('CONTROL MASTER'!$N$2:$N$495,(SUMPRODUCT((('CONTROL MASTER'!$S$2:$S$495=6)*('CONTROL MASTER'!$Z$2:$Z$495&lt;=9)*('CONTROL MASTER'!$AB$2:$AB$495&gt;=9)*('CONTROL MASTER'!$AA$2:$AA$495&lt;=3)*('CONTROL MASTER'!$AC$2:$AC$495&gt;=3))*ROW('CONTROL MASTER'!$S$2:$S$495))-(ROW('CONTROL MASTER'!#REF!)-1))),":",","),",",REPT(" ",50)),(((INDEX('CONTROL MASTER'!$Y$2:$Y$495,(SUMPRODUCT((('CONTROL MASTER'!$S$2:$S$495=6)*('CONTROL MASTER'!$Z$2:$Z$495&lt;=9)*('CONTROL MASTER'!$AB$2:$AB$495&gt;=9)*('CONTROL MASTER'!$AA$2:$AA$495&lt;=3)*('CONTROL MASTER'!$AC$2:$AC$495&gt;=3))*ROW('CONTROL MASTER'!$S$2:$S$495))-(ROW('CONTROL MASTER'!#REF!)-1)))+((9-INDEX('CONTROL MASTER'!$Z$2:$Z$495,(SUMPRODUCT((('CONTROL MASTER'!$S$2:$S$495=6)*('CONTROL MASTER'!$Z$2:$Z$495&lt;=9)*('CONTROL MASTER'!$AB$2:$AB$495&gt;=9)*('CONTROL MASTER'!$AA$2:$AA$495&lt;=3)*('CONTROL MASTER'!$AC$2:$AC$495&gt;=3))*ROW('CONTROL MASTER'!$S$2:$S$495))-(ROW('CONTROL MASTER'!#REF!)-1))))*(INDEX('CONTROL MASTER'!$AC$2:$AC$495,(SUMPRODUCT((('CONTROL MASTER'!$S$2:$S$495=6)*('CONTROL MASTER'!$Z$2:$Z$495&lt;=9)*('CONTROL MASTER'!$AB$2:$AB$495&gt;=9)*('CONTROL MASTER'!$AA$2:$AA$495&lt;=3)*('CONTROL MASTER'!$AC$2:$AC$495&gt;=3))*ROW('CONTROL MASTER'!$S$2:$S$495))-(ROW('CONTROL MASTER'!#REF!)-1)))-INDEX('CONTROL MASTER'!$AA$2:$AA$495,(SUMPRODUCT((('CONTROL MASTER'!$S$2:$S$495=6)*('CONTROL MASTER'!$Z$2:$Z$495&lt;=9)*('CONTROL MASTER'!$AB$2:$AB$495&gt;=9)*('CONTROL MASTER'!$AA$2:$AA$495&lt;=3)*('CONTROL MASTER'!$AC$2:$AC$495&gt;=3))*ROW('CONTROL MASTER'!$S$2:$S$495))-(ROW('CONTROL MASTER'!#REF!)-1)))+1)+(3-INDEX('CONTROL MASTER'!$AA$2:$AA$495,(SUMPRODUCT((('CONTROL MASTER'!$S$2:$S$495=6)*('CONTROL MASTER'!$Z$2:$Z$495&lt;=9)*('CONTROL MASTER'!$AB$2:$AB$495&gt;=9)*('CONTROL MASTER'!$AA$2:$AA$495&lt;=3)*('CONTROL MASTER'!$AC$2:$AC$495&gt;=3))*ROW('CONTROL MASTER'!$S$2:$S$495))-(ROW('CONTROL MASTER'!#REF!)-1))))+1)))-1)*50+1,50))&amp;"_"&amp;INDEX('CONTROL MASTER'!$P$2:$P$495,(SUMPRODUCT((('CONTROL MASTER'!$S$2:$S$495=6)*('CONTROL MASTER'!$Z$2:$Z$495&lt;=9)*('CONTROL MASTER'!$AB$2:$AB$495&gt;=9)*('CONTROL MASTER'!$AA$2:$AA$495&lt;=3)*('CONTROL MASTER'!$AC$2:$AC$495&gt;=3))*ROW('CONTROL MASTER'!$S$2:$S$495))-(ROW('CONTROL MASTER'!#REF!)-1))),"")),"")</f>
        <v/>
      </c>
      <c r="E81" s="10" t="str">
        <f>IFERROR(IF(SUMPRODUCT((('CONTROL MASTER'!$S$2:$S$495=6)*('CONTROL MASTER'!$T$2:$T$495&lt;=9)*('CONTROL MASTER'!$V$2:$V$495&gt;=9)*('CONTROL MASTER'!$U$2:$U$495&lt;=4)*('CONTROL MASTER'!$W$2:$W$495&gt;=4))*ROW('CONTROL MASTER'!$S$2:$S$495))&gt;0,INDEX('CONTROL MASTER'!$X$2:$X$495,(SUMPRODUCT((('CONTROL MASTER'!$S$2:$S$495=6)*('CONTROL MASTER'!$T$2:$T$495&lt;=9)*('CONTROL MASTER'!$V$2:$V$495&gt;=9)*('CONTROL MASTER'!$U$2:$U$495&lt;=4)*('CONTROL MASTER'!$W$2:$W$495&gt;=4))*ROW('CONTROL MASTER'!$S$2:$S$495))-(ROW('CONTROL MASTER'!#REF!)-1)))&amp;TRIM(MID(SUBSTITUTE(SUBSTITUTE(INDEX('CONTROL MASTER'!$N$2:$N$495,(SUMPRODUCT((('CONTROL MASTER'!$S$2:$S$495=6)*('CONTROL MASTER'!$T$2:$T$495&lt;=9)*('CONTROL MASTER'!$V$2:$V$495&gt;=9)*('CONTROL MASTER'!$U$2:$U$495&lt;=4)*('CONTROL MASTER'!$W$2:$W$495&gt;=4))*ROW('CONTROL MASTER'!$S$2:$S$495))-(ROW('CONTROL MASTER'!#REF!)-1))),":",","),",",REPT(" ",50)),((((9-INDEX('CONTROL MASTER'!$T$2:$T$495,(SUMPRODUCT((('CONTROL MASTER'!$S$2:$S$495=6)*('CONTROL MASTER'!$T$2:$T$495&lt;=9)*('CONTROL MASTER'!$V$2:$V$495&gt;=9)*('CONTROL MASTER'!$U$2:$U$495&lt;=4)*('CONTROL MASTER'!$W$2:$W$495&gt;=4))*ROW('CONTROL MASTER'!$S$2:$S$495))-(ROW('CONTROL MASTER'!#REF!)-1))))*(INDEX('CONTROL MASTER'!$W$2:$W$495,(SUMPRODUCT((('CONTROL MASTER'!$S$2:$S$495=6)*('CONTROL MASTER'!$T$2:$T$495&lt;=9)*('CONTROL MASTER'!$V$2:$V$495&gt;=9)*('CONTROL MASTER'!$U$2:$U$495&lt;=4)*('CONTROL MASTER'!$W$2:$W$495&gt;=4))*ROW('CONTROL MASTER'!$S$2:$S$495))-(ROW('CONTROL MASTER'!#REF!)-1)))-INDEX('CONTROL MASTER'!$U$2:$U$495,(SUMPRODUCT((('CONTROL MASTER'!$S$2:$S$495=6)*('CONTROL MASTER'!$T$2:$T$495&lt;=9)*('CONTROL MASTER'!$V$2:$V$495&gt;=9)*('CONTROL MASTER'!$U$2:$U$495&lt;=4)*('CONTROL MASTER'!$W$2:$W$495&gt;=4))*ROW('CONTROL MASTER'!$S$2:$S$495))-(ROW('CONTROL MASTER'!#REF!)-1)))+1)+(4-INDEX('CONTROL MASTER'!$U$2:$U$495,(SUMPRODUCT((('CONTROL MASTER'!$S$2:$S$495=6)*('CONTROL MASTER'!$T$2:$T$495&lt;=9)*('CONTROL MASTER'!$V$2:$V$495&gt;=9)*('CONTROL MASTER'!$U$2:$U$495&lt;=4)*('CONTROL MASTER'!$W$2:$W$495&gt;=4))*ROW('CONTROL MASTER'!$S$2:$S$495))-(ROW('CONTROL MASTER'!#REF!)-1))))+1))-1)*50+1,50))&amp;"_"&amp;INDEX('CONTROL MASTER'!$P$2:$P$495,(SUMPRODUCT((('CONTROL MASTER'!$S$2:$S$495=6)*('CONTROL MASTER'!$T$2:$T$495&lt;=9)*('CONTROL MASTER'!$V$2:$V$495&gt;=9)*('CONTROL MASTER'!$U$2:$U$495&lt;=4)*('CONTROL MASTER'!$W$2:$W$495&gt;=4))*ROW('CONTROL MASTER'!$S$2:$S$495))-(ROW('CONTROL MASTER'!#REF!)-1))),IF(SUMPRODUCT((('CONTROL MASTER'!$S$2:$S$495=6)*('CONTROL MASTER'!$Z$2:$Z$495&lt;=9)*('CONTROL MASTER'!$AB$2:$AB$495&gt;=9)*('CONTROL MASTER'!$AA$2:$AA$495&lt;=4)*('CONTROL MASTER'!$AC$2:$AC$495&gt;=4))*ROW('CONTROL MASTER'!$S$2:$S$495))&gt;0,INDEX('CONTROL MASTER'!$X$2:$X$495,(SUMPRODUCT((('CONTROL MASTER'!$S$2:$S$495=6)*('CONTROL MASTER'!$Z$2:$Z$495&lt;=9)*('CONTROL MASTER'!$AB$2:$AB$495&gt;=9)*('CONTROL MASTER'!$AA$2:$AA$495&lt;=4)*('CONTROL MASTER'!$AC$2:$AC$495&gt;=4))*ROW('CONTROL MASTER'!$S$2:$S$495))-(ROW('CONTROL MASTER'!#REF!)-1)))&amp;TRIM(MID(SUBSTITUTE(SUBSTITUTE(INDEX('CONTROL MASTER'!$N$2:$N$495,(SUMPRODUCT((('CONTROL MASTER'!$S$2:$S$495=6)*('CONTROL MASTER'!$Z$2:$Z$495&lt;=9)*('CONTROL MASTER'!$AB$2:$AB$495&gt;=9)*('CONTROL MASTER'!$AA$2:$AA$495&lt;=4)*('CONTROL MASTER'!$AC$2:$AC$495&gt;=4))*ROW('CONTROL MASTER'!$S$2:$S$495))-(ROW('CONTROL MASTER'!#REF!)-1))),":",","),",",REPT(" ",50)),(((INDEX('CONTROL MASTER'!$Y$2:$Y$495,(SUMPRODUCT((('CONTROL MASTER'!$S$2:$S$495=6)*('CONTROL MASTER'!$Z$2:$Z$495&lt;=9)*('CONTROL MASTER'!$AB$2:$AB$495&gt;=9)*('CONTROL MASTER'!$AA$2:$AA$495&lt;=4)*('CONTROL MASTER'!$AC$2:$AC$495&gt;=4))*ROW('CONTROL MASTER'!$S$2:$S$495))-(ROW('CONTROL MASTER'!#REF!)-1)))+((9-INDEX('CONTROL MASTER'!$Z$2:$Z$495,(SUMPRODUCT((('CONTROL MASTER'!$S$2:$S$495=6)*('CONTROL MASTER'!$Z$2:$Z$495&lt;=9)*('CONTROL MASTER'!$AB$2:$AB$495&gt;=9)*('CONTROL MASTER'!$AA$2:$AA$495&lt;=4)*('CONTROL MASTER'!$AC$2:$AC$495&gt;=4))*ROW('CONTROL MASTER'!$S$2:$S$495))-(ROW('CONTROL MASTER'!#REF!)-1))))*(INDEX('CONTROL MASTER'!$AC$2:$AC$495,(SUMPRODUCT((('CONTROL MASTER'!$S$2:$S$495=6)*('CONTROL MASTER'!$Z$2:$Z$495&lt;=9)*('CONTROL MASTER'!$AB$2:$AB$495&gt;=9)*('CONTROL MASTER'!$AA$2:$AA$495&lt;=4)*('CONTROL MASTER'!$AC$2:$AC$495&gt;=4))*ROW('CONTROL MASTER'!$S$2:$S$495))-(ROW('CONTROL MASTER'!#REF!)-1)))-INDEX('CONTROL MASTER'!$AA$2:$AA$495,(SUMPRODUCT((('CONTROL MASTER'!$S$2:$S$495=6)*('CONTROL MASTER'!$Z$2:$Z$495&lt;=9)*('CONTROL MASTER'!$AB$2:$AB$495&gt;=9)*('CONTROL MASTER'!$AA$2:$AA$495&lt;=4)*('CONTROL MASTER'!$AC$2:$AC$495&gt;=4))*ROW('CONTROL MASTER'!$S$2:$S$495))-(ROW('CONTROL MASTER'!#REF!)-1)))+1)+(4-INDEX('CONTROL MASTER'!$AA$2:$AA$495,(SUMPRODUCT((('CONTROL MASTER'!$S$2:$S$495=6)*('CONTROL MASTER'!$Z$2:$Z$495&lt;=9)*('CONTROL MASTER'!$AB$2:$AB$495&gt;=9)*('CONTROL MASTER'!$AA$2:$AA$495&lt;=4)*('CONTROL MASTER'!$AC$2:$AC$495&gt;=4))*ROW('CONTROL MASTER'!$S$2:$S$495))-(ROW('CONTROL MASTER'!#REF!)-1))))+1)))-1)*50+1,50))&amp;"_"&amp;INDEX('CONTROL MASTER'!$P$2:$P$495,(SUMPRODUCT((('CONTROL MASTER'!$S$2:$S$495=6)*('CONTROL MASTER'!$Z$2:$Z$495&lt;=9)*('CONTROL MASTER'!$AB$2:$AB$495&gt;=9)*('CONTROL MASTER'!$AA$2:$AA$495&lt;=4)*('CONTROL MASTER'!$AC$2:$AC$495&gt;=4))*ROW('CONTROL MASTER'!$S$2:$S$495))-(ROW('CONTROL MASTER'!#REF!)-1))),"")),"")</f>
        <v/>
      </c>
      <c r="F81" s="10" t="str">
        <f>IFERROR(IF(SUMPRODUCT((('CONTROL MASTER'!$S$2:$S$495=6)*('CONTROL MASTER'!$T$2:$T$495&lt;=9)*('CONTROL MASTER'!$V$2:$V$495&gt;=9)*('CONTROL MASTER'!$U$2:$U$495&lt;=5)*('CONTROL MASTER'!$W$2:$W$495&gt;=5))*ROW('CONTROL MASTER'!$S$2:$S$495))&gt;0,INDEX('CONTROL MASTER'!$X$2:$X$495,(SUMPRODUCT((('CONTROL MASTER'!$S$2:$S$495=6)*('CONTROL MASTER'!$T$2:$T$495&lt;=9)*('CONTROL MASTER'!$V$2:$V$495&gt;=9)*('CONTROL MASTER'!$U$2:$U$495&lt;=5)*('CONTROL MASTER'!$W$2:$W$495&gt;=5))*ROW('CONTROL MASTER'!$S$2:$S$495))-(ROW('CONTROL MASTER'!#REF!)-1)))&amp;TRIM(MID(SUBSTITUTE(SUBSTITUTE(INDEX('CONTROL MASTER'!$N$2:$N$495,(SUMPRODUCT((('CONTROL MASTER'!$S$2:$S$495=6)*('CONTROL MASTER'!$T$2:$T$495&lt;=9)*('CONTROL MASTER'!$V$2:$V$495&gt;=9)*('CONTROL MASTER'!$U$2:$U$495&lt;=5)*('CONTROL MASTER'!$W$2:$W$495&gt;=5))*ROW('CONTROL MASTER'!$S$2:$S$495))-(ROW('CONTROL MASTER'!#REF!)-1))),":",","),",",REPT(" ",50)),((((9-INDEX('CONTROL MASTER'!$T$2:$T$495,(SUMPRODUCT((('CONTROL MASTER'!$S$2:$S$495=6)*('CONTROL MASTER'!$T$2:$T$495&lt;=9)*('CONTROL MASTER'!$V$2:$V$495&gt;=9)*('CONTROL MASTER'!$U$2:$U$495&lt;=5)*('CONTROL MASTER'!$W$2:$W$495&gt;=5))*ROW('CONTROL MASTER'!$S$2:$S$495))-(ROW('CONTROL MASTER'!#REF!)-1))))*(INDEX('CONTROL MASTER'!$W$2:$W$495,(SUMPRODUCT((('CONTROL MASTER'!$S$2:$S$495=6)*('CONTROL MASTER'!$T$2:$T$495&lt;=9)*('CONTROL MASTER'!$V$2:$V$495&gt;=9)*('CONTROL MASTER'!$U$2:$U$495&lt;=5)*('CONTROL MASTER'!$W$2:$W$495&gt;=5))*ROW('CONTROL MASTER'!$S$2:$S$495))-(ROW('CONTROL MASTER'!#REF!)-1)))-INDEX('CONTROL MASTER'!$U$2:$U$495,(SUMPRODUCT((('CONTROL MASTER'!$S$2:$S$495=6)*('CONTROL MASTER'!$T$2:$T$495&lt;=9)*('CONTROL MASTER'!$V$2:$V$495&gt;=9)*('CONTROL MASTER'!$U$2:$U$495&lt;=5)*('CONTROL MASTER'!$W$2:$W$495&gt;=5))*ROW('CONTROL MASTER'!$S$2:$S$495))-(ROW('CONTROL MASTER'!#REF!)-1)))+1)+(5-INDEX('CONTROL MASTER'!$U$2:$U$495,(SUMPRODUCT((('CONTROL MASTER'!$S$2:$S$495=6)*('CONTROL MASTER'!$T$2:$T$495&lt;=9)*('CONTROL MASTER'!$V$2:$V$495&gt;=9)*('CONTROL MASTER'!$U$2:$U$495&lt;=5)*('CONTROL MASTER'!$W$2:$W$495&gt;=5))*ROW('CONTROL MASTER'!$S$2:$S$495))-(ROW('CONTROL MASTER'!#REF!)-1))))+1))-1)*50+1,50))&amp;"_"&amp;INDEX('CONTROL MASTER'!$P$2:$P$495,(SUMPRODUCT((('CONTROL MASTER'!$S$2:$S$495=6)*('CONTROL MASTER'!$T$2:$T$495&lt;=9)*('CONTROL MASTER'!$V$2:$V$495&gt;=9)*('CONTROL MASTER'!$U$2:$U$495&lt;=5)*('CONTROL MASTER'!$W$2:$W$495&gt;=5))*ROW('CONTROL MASTER'!$S$2:$S$495))-(ROW('CONTROL MASTER'!#REF!)-1))),IF(SUMPRODUCT((('CONTROL MASTER'!$S$2:$S$495=6)*('CONTROL MASTER'!$Z$2:$Z$495&lt;=9)*('CONTROL MASTER'!$AB$2:$AB$495&gt;=9)*('CONTROL MASTER'!$AA$2:$AA$495&lt;=5)*('CONTROL MASTER'!$AC$2:$AC$495&gt;=5))*ROW('CONTROL MASTER'!$S$2:$S$495))&gt;0,INDEX('CONTROL MASTER'!$X$2:$X$495,(SUMPRODUCT((('CONTROL MASTER'!$S$2:$S$495=6)*('CONTROL MASTER'!$Z$2:$Z$495&lt;=9)*('CONTROL MASTER'!$AB$2:$AB$495&gt;=9)*('CONTROL MASTER'!$AA$2:$AA$495&lt;=5)*('CONTROL MASTER'!$AC$2:$AC$495&gt;=5))*ROW('CONTROL MASTER'!$S$2:$S$495))-(ROW('CONTROL MASTER'!#REF!)-1)))&amp;TRIM(MID(SUBSTITUTE(SUBSTITUTE(INDEX('CONTROL MASTER'!$N$2:$N$495,(SUMPRODUCT((('CONTROL MASTER'!$S$2:$S$495=6)*('CONTROL MASTER'!$Z$2:$Z$495&lt;=9)*('CONTROL MASTER'!$AB$2:$AB$495&gt;=9)*('CONTROL MASTER'!$AA$2:$AA$495&lt;=5)*('CONTROL MASTER'!$AC$2:$AC$495&gt;=5))*ROW('CONTROL MASTER'!$S$2:$S$495))-(ROW('CONTROL MASTER'!#REF!)-1))),":",","),",",REPT(" ",50)),(((INDEX('CONTROL MASTER'!$Y$2:$Y$495,(SUMPRODUCT((('CONTROL MASTER'!$S$2:$S$495=6)*('CONTROL MASTER'!$Z$2:$Z$495&lt;=9)*('CONTROL MASTER'!$AB$2:$AB$495&gt;=9)*('CONTROL MASTER'!$AA$2:$AA$495&lt;=5)*('CONTROL MASTER'!$AC$2:$AC$495&gt;=5))*ROW('CONTROL MASTER'!$S$2:$S$495))-(ROW('CONTROL MASTER'!#REF!)-1)))+((9-INDEX('CONTROL MASTER'!$Z$2:$Z$495,(SUMPRODUCT((('CONTROL MASTER'!$S$2:$S$495=6)*('CONTROL MASTER'!$Z$2:$Z$495&lt;=9)*('CONTROL MASTER'!$AB$2:$AB$495&gt;=9)*('CONTROL MASTER'!$AA$2:$AA$495&lt;=5)*('CONTROL MASTER'!$AC$2:$AC$495&gt;=5))*ROW('CONTROL MASTER'!$S$2:$S$495))-(ROW('CONTROL MASTER'!#REF!)-1))))*(INDEX('CONTROL MASTER'!$AC$2:$AC$495,(SUMPRODUCT((('CONTROL MASTER'!$S$2:$S$495=6)*('CONTROL MASTER'!$Z$2:$Z$495&lt;=9)*('CONTROL MASTER'!$AB$2:$AB$495&gt;=9)*('CONTROL MASTER'!$AA$2:$AA$495&lt;=5)*('CONTROL MASTER'!$AC$2:$AC$495&gt;=5))*ROW('CONTROL MASTER'!$S$2:$S$495))-(ROW('CONTROL MASTER'!#REF!)-1)))-INDEX('CONTROL MASTER'!$AA$2:$AA$495,(SUMPRODUCT((('CONTROL MASTER'!$S$2:$S$495=6)*('CONTROL MASTER'!$Z$2:$Z$495&lt;=9)*('CONTROL MASTER'!$AB$2:$AB$495&gt;=9)*('CONTROL MASTER'!$AA$2:$AA$495&lt;=5)*('CONTROL MASTER'!$AC$2:$AC$495&gt;=5))*ROW('CONTROL MASTER'!$S$2:$S$495))-(ROW('CONTROL MASTER'!#REF!)-1)))+1)+(5-INDEX('CONTROL MASTER'!$AA$2:$AA$495,(SUMPRODUCT((('CONTROL MASTER'!$S$2:$S$495=6)*('CONTROL MASTER'!$Z$2:$Z$495&lt;=9)*('CONTROL MASTER'!$AB$2:$AB$495&gt;=9)*('CONTROL MASTER'!$AA$2:$AA$495&lt;=5)*('CONTROL MASTER'!$AC$2:$AC$495&gt;=5))*ROW('CONTROL MASTER'!$S$2:$S$495))-(ROW('CONTROL MASTER'!#REF!)-1))))+1)))-1)*50+1,50))&amp;"_"&amp;INDEX('CONTROL MASTER'!$P$2:$P$495,(SUMPRODUCT((('CONTROL MASTER'!$S$2:$S$495=6)*('CONTROL MASTER'!$Z$2:$Z$495&lt;=9)*('CONTROL MASTER'!$AB$2:$AB$495&gt;=9)*('CONTROL MASTER'!$AA$2:$AA$495&lt;=5)*('CONTROL MASTER'!$AC$2:$AC$495&gt;=5))*ROW('CONTROL MASTER'!$S$2:$S$495))-(ROW('CONTROL MASTER'!#REF!)-1))),"")),"")</f>
        <v/>
      </c>
      <c r="G81" s="10" t="str">
        <f>IFERROR(IF(SUMPRODUCT((('CONTROL MASTER'!$S$2:$S$495=6)*('CONTROL MASTER'!$T$2:$T$495&lt;=9)*('CONTROL MASTER'!$V$2:$V$495&gt;=9)*('CONTROL MASTER'!$U$2:$U$495&lt;=6)*('CONTROL MASTER'!$W$2:$W$495&gt;=6))*ROW('CONTROL MASTER'!$S$2:$S$495))&gt;0,INDEX('CONTROL MASTER'!$X$2:$X$495,(SUMPRODUCT((('CONTROL MASTER'!$S$2:$S$495=6)*('CONTROL MASTER'!$T$2:$T$495&lt;=9)*('CONTROL MASTER'!$V$2:$V$495&gt;=9)*('CONTROL MASTER'!$U$2:$U$495&lt;=6)*('CONTROL MASTER'!$W$2:$W$495&gt;=6))*ROW('CONTROL MASTER'!$S$2:$S$495))-(ROW('CONTROL MASTER'!#REF!)-1)))&amp;TRIM(MID(SUBSTITUTE(SUBSTITUTE(INDEX('CONTROL MASTER'!$N$2:$N$495,(SUMPRODUCT((('CONTROL MASTER'!$S$2:$S$495=6)*('CONTROL MASTER'!$T$2:$T$495&lt;=9)*('CONTROL MASTER'!$V$2:$V$495&gt;=9)*('CONTROL MASTER'!$U$2:$U$495&lt;=6)*('CONTROL MASTER'!$W$2:$W$495&gt;=6))*ROW('CONTROL MASTER'!$S$2:$S$495))-(ROW('CONTROL MASTER'!#REF!)-1))),":",","),",",REPT(" ",50)),((((9-INDEX('CONTROL MASTER'!$T$2:$T$495,(SUMPRODUCT((('CONTROL MASTER'!$S$2:$S$495=6)*('CONTROL MASTER'!$T$2:$T$495&lt;=9)*('CONTROL MASTER'!$V$2:$V$495&gt;=9)*('CONTROL MASTER'!$U$2:$U$495&lt;=6)*('CONTROL MASTER'!$W$2:$W$495&gt;=6))*ROW('CONTROL MASTER'!$S$2:$S$495))-(ROW('CONTROL MASTER'!#REF!)-1))))*(INDEX('CONTROL MASTER'!$W$2:$W$495,(SUMPRODUCT((('CONTROL MASTER'!$S$2:$S$495=6)*('CONTROL MASTER'!$T$2:$T$495&lt;=9)*('CONTROL MASTER'!$V$2:$V$495&gt;=9)*('CONTROL MASTER'!$U$2:$U$495&lt;=6)*('CONTROL MASTER'!$W$2:$W$495&gt;=6))*ROW('CONTROL MASTER'!$S$2:$S$495))-(ROW('CONTROL MASTER'!#REF!)-1)))-INDEX('CONTROL MASTER'!$U$2:$U$495,(SUMPRODUCT((('CONTROL MASTER'!$S$2:$S$495=6)*('CONTROL MASTER'!$T$2:$T$495&lt;=9)*('CONTROL MASTER'!$V$2:$V$495&gt;=9)*('CONTROL MASTER'!$U$2:$U$495&lt;=6)*('CONTROL MASTER'!$W$2:$W$495&gt;=6))*ROW('CONTROL MASTER'!$S$2:$S$495))-(ROW('CONTROL MASTER'!#REF!)-1)))+1)+(6-INDEX('CONTROL MASTER'!$U$2:$U$495,(SUMPRODUCT((('CONTROL MASTER'!$S$2:$S$495=6)*('CONTROL MASTER'!$T$2:$T$495&lt;=9)*('CONTROL MASTER'!$V$2:$V$495&gt;=9)*('CONTROL MASTER'!$U$2:$U$495&lt;=6)*('CONTROL MASTER'!$W$2:$W$495&gt;=6))*ROW('CONTROL MASTER'!$S$2:$S$495))-(ROW('CONTROL MASTER'!#REF!)-1))))+1))-1)*50+1,50))&amp;"_"&amp;INDEX('CONTROL MASTER'!$P$2:$P$495,(SUMPRODUCT((('CONTROL MASTER'!$S$2:$S$495=6)*('CONTROL MASTER'!$T$2:$T$495&lt;=9)*('CONTROL MASTER'!$V$2:$V$495&gt;=9)*('CONTROL MASTER'!$U$2:$U$495&lt;=6)*('CONTROL MASTER'!$W$2:$W$495&gt;=6))*ROW('CONTROL MASTER'!$S$2:$S$495))-(ROW('CONTROL MASTER'!#REF!)-1))),IF(SUMPRODUCT((('CONTROL MASTER'!$S$2:$S$495=6)*('CONTROL MASTER'!$Z$2:$Z$495&lt;=9)*('CONTROL MASTER'!$AB$2:$AB$495&gt;=9)*('CONTROL MASTER'!$AA$2:$AA$495&lt;=6)*('CONTROL MASTER'!$AC$2:$AC$495&gt;=6))*ROW('CONTROL MASTER'!$S$2:$S$495))&gt;0,INDEX('CONTROL MASTER'!$X$2:$X$495,(SUMPRODUCT((('CONTROL MASTER'!$S$2:$S$495=6)*('CONTROL MASTER'!$Z$2:$Z$495&lt;=9)*('CONTROL MASTER'!$AB$2:$AB$495&gt;=9)*('CONTROL MASTER'!$AA$2:$AA$495&lt;=6)*('CONTROL MASTER'!$AC$2:$AC$495&gt;=6))*ROW('CONTROL MASTER'!$S$2:$S$495))-(ROW('CONTROL MASTER'!#REF!)-1)))&amp;TRIM(MID(SUBSTITUTE(SUBSTITUTE(INDEX('CONTROL MASTER'!$N$2:$N$495,(SUMPRODUCT((('CONTROL MASTER'!$S$2:$S$495=6)*('CONTROL MASTER'!$Z$2:$Z$495&lt;=9)*('CONTROL MASTER'!$AB$2:$AB$495&gt;=9)*('CONTROL MASTER'!$AA$2:$AA$495&lt;=6)*('CONTROL MASTER'!$AC$2:$AC$495&gt;=6))*ROW('CONTROL MASTER'!$S$2:$S$495))-(ROW('CONTROL MASTER'!#REF!)-1))),":",","),",",REPT(" ",50)),(((INDEX('CONTROL MASTER'!$Y$2:$Y$495,(SUMPRODUCT((('CONTROL MASTER'!$S$2:$S$495=6)*('CONTROL MASTER'!$Z$2:$Z$495&lt;=9)*('CONTROL MASTER'!$AB$2:$AB$495&gt;=9)*('CONTROL MASTER'!$AA$2:$AA$495&lt;=6)*('CONTROL MASTER'!$AC$2:$AC$495&gt;=6))*ROW('CONTROL MASTER'!$S$2:$S$495))-(ROW('CONTROL MASTER'!#REF!)-1)))+((9-INDEX('CONTROL MASTER'!$Z$2:$Z$495,(SUMPRODUCT((('CONTROL MASTER'!$S$2:$S$495=6)*('CONTROL MASTER'!$Z$2:$Z$495&lt;=9)*('CONTROL MASTER'!$AB$2:$AB$495&gt;=9)*('CONTROL MASTER'!$AA$2:$AA$495&lt;=6)*('CONTROL MASTER'!$AC$2:$AC$495&gt;=6))*ROW('CONTROL MASTER'!$S$2:$S$495))-(ROW('CONTROL MASTER'!#REF!)-1))))*(INDEX('CONTROL MASTER'!$AC$2:$AC$495,(SUMPRODUCT((('CONTROL MASTER'!$S$2:$S$495=6)*('CONTROL MASTER'!$Z$2:$Z$495&lt;=9)*('CONTROL MASTER'!$AB$2:$AB$495&gt;=9)*('CONTROL MASTER'!$AA$2:$AA$495&lt;=6)*('CONTROL MASTER'!$AC$2:$AC$495&gt;=6))*ROW('CONTROL MASTER'!$S$2:$S$495))-(ROW('CONTROL MASTER'!#REF!)-1)))-INDEX('CONTROL MASTER'!$AA$2:$AA$495,(SUMPRODUCT((('CONTROL MASTER'!$S$2:$S$495=6)*('CONTROL MASTER'!$Z$2:$Z$495&lt;=9)*('CONTROL MASTER'!$AB$2:$AB$495&gt;=9)*('CONTROL MASTER'!$AA$2:$AA$495&lt;=6)*('CONTROL MASTER'!$AC$2:$AC$495&gt;=6))*ROW('CONTROL MASTER'!$S$2:$S$495))-(ROW('CONTROL MASTER'!#REF!)-1)))+1)+(6-INDEX('CONTROL MASTER'!$AA$2:$AA$495,(SUMPRODUCT((('CONTROL MASTER'!$S$2:$S$495=6)*('CONTROL MASTER'!$Z$2:$Z$495&lt;=9)*('CONTROL MASTER'!$AB$2:$AB$495&gt;=9)*('CONTROL MASTER'!$AA$2:$AA$495&lt;=6)*('CONTROL MASTER'!$AC$2:$AC$495&gt;=6))*ROW('CONTROL MASTER'!$S$2:$S$495))-(ROW('CONTROL MASTER'!#REF!)-1))))+1)))-1)*50+1,50))&amp;"_"&amp;INDEX('CONTROL MASTER'!$P$2:$P$495,(SUMPRODUCT((('CONTROL MASTER'!$S$2:$S$495=6)*('CONTROL MASTER'!$Z$2:$Z$495&lt;=9)*('CONTROL MASTER'!$AB$2:$AB$495&gt;=9)*('CONTROL MASTER'!$AA$2:$AA$495&lt;=6)*('CONTROL MASTER'!$AC$2:$AC$495&gt;=6))*ROW('CONTROL MASTER'!$S$2:$S$495))-(ROW('CONTROL MASTER'!#REF!)-1))),"")),"")</f>
        <v/>
      </c>
      <c r="H81" s="10" t="str">
        <f>IFERROR(IF(SUMPRODUCT((('CONTROL MASTER'!$S$2:$S$495=6)*('CONTROL MASTER'!$T$2:$T$495&lt;=9)*('CONTROL MASTER'!$V$2:$V$495&gt;=9)*('CONTROL MASTER'!$U$2:$U$495&lt;=7)*('CONTROL MASTER'!$W$2:$W$495&gt;=7))*ROW('CONTROL MASTER'!$S$2:$S$495))&gt;0,INDEX('CONTROL MASTER'!$X$2:$X$495,(SUMPRODUCT((('CONTROL MASTER'!$S$2:$S$495=6)*('CONTROL MASTER'!$T$2:$T$495&lt;=9)*('CONTROL MASTER'!$V$2:$V$495&gt;=9)*('CONTROL MASTER'!$U$2:$U$495&lt;=7)*('CONTROL MASTER'!$W$2:$W$495&gt;=7))*ROW('CONTROL MASTER'!$S$2:$S$495))-(ROW('CONTROL MASTER'!#REF!)-1)))&amp;TRIM(MID(SUBSTITUTE(SUBSTITUTE(INDEX('CONTROL MASTER'!$N$2:$N$495,(SUMPRODUCT((('CONTROL MASTER'!$S$2:$S$495=6)*('CONTROL MASTER'!$T$2:$T$495&lt;=9)*('CONTROL MASTER'!$V$2:$V$495&gt;=9)*('CONTROL MASTER'!$U$2:$U$495&lt;=7)*('CONTROL MASTER'!$W$2:$W$495&gt;=7))*ROW('CONTROL MASTER'!$S$2:$S$495))-(ROW('CONTROL MASTER'!#REF!)-1))),":",","),",",REPT(" ",50)),((((9-INDEX('CONTROL MASTER'!$T$2:$T$495,(SUMPRODUCT((('CONTROL MASTER'!$S$2:$S$495=6)*('CONTROL MASTER'!$T$2:$T$495&lt;=9)*('CONTROL MASTER'!$V$2:$V$495&gt;=9)*('CONTROL MASTER'!$U$2:$U$495&lt;=7)*('CONTROL MASTER'!$W$2:$W$495&gt;=7))*ROW('CONTROL MASTER'!$S$2:$S$495))-(ROW('CONTROL MASTER'!#REF!)-1))))*(INDEX('CONTROL MASTER'!$W$2:$W$495,(SUMPRODUCT((('CONTROL MASTER'!$S$2:$S$495=6)*('CONTROL MASTER'!$T$2:$T$495&lt;=9)*('CONTROL MASTER'!$V$2:$V$495&gt;=9)*('CONTROL MASTER'!$U$2:$U$495&lt;=7)*('CONTROL MASTER'!$W$2:$W$495&gt;=7))*ROW('CONTROL MASTER'!$S$2:$S$495))-(ROW('CONTROL MASTER'!#REF!)-1)))-INDEX('CONTROL MASTER'!$U$2:$U$495,(SUMPRODUCT((('CONTROL MASTER'!$S$2:$S$495=6)*('CONTROL MASTER'!$T$2:$T$495&lt;=9)*('CONTROL MASTER'!$V$2:$V$495&gt;=9)*('CONTROL MASTER'!$U$2:$U$495&lt;=7)*('CONTROL MASTER'!$W$2:$W$495&gt;=7))*ROW('CONTROL MASTER'!$S$2:$S$495))-(ROW('CONTROL MASTER'!#REF!)-1)))+1)+(7-INDEX('CONTROL MASTER'!$U$2:$U$495,(SUMPRODUCT((('CONTROL MASTER'!$S$2:$S$495=6)*('CONTROL MASTER'!$T$2:$T$495&lt;=9)*('CONTROL MASTER'!$V$2:$V$495&gt;=9)*('CONTROL MASTER'!$U$2:$U$495&lt;=7)*('CONTROL MASTER'!$W$2:$W$495&gt;=7))*ROW('CONTROL MASTER'!$S$2:$S$495))-(ROW('CONTROL MASTER'!#REF!)-1))))+1))-1)*50+1,50))&amp;"_"&amp;INDEX('CONTROL MASTER'!$P$2:$P$495,(SUMPRODUCT((('CONTROL MASTER'!$S$2:$S$495=6)*('CONTROL MASTER'!$T$2:$T$495&lt;=9)*('CONTROL MASTER'!$V$2:$V$495&gt;=9)*('CONTROL MASTER'!$U$2:$U$495&lt;=7)*('CONTROL MASTER'!$W$2:$W$495&gt;=7))*ROW('CONTROL MASTER'!$S$2:$S$495))-(ROW('CONTROL MASTER'!#REF!)-1))),IF(SUMPRODUCT((('CONTROL MASTER'!$S$2:$S$495=6)*('CONTROL MASTER'!$Z$2:$Z$495&lt;=9)*('CONTROL MASTER'!$AB$2:$AB$495&gt;=9)*('CONTROL MASTER'!$AA$2:$AA$495&lt;=7)*('CONTROL MASTER'!$AC$2:$AC$495&gt;=7))*ROW('CONTROL MASTER'!$S$2:$S$495))&gt;0,INDEX('CONTROL MASTER'!$X$2:$X$495,(SUMPRODUCT((('CONTROL MASTER'!$S$2:$S$495=6)*('CONTROL MASTER'!$Z$2:$Z$495&lt;=9)*('CONTROL MASTER'!$AB$2:$AB$495&gt;=9)*('CONTROL MASTER'!$AA$2:$AA$495&lt;=7)*('CONTROL MASTER'!$AC$2:$AC$495&gt;=7))*ROW('CONTROL MASTER'!$S$2:$S$495))-(ROW('CONTROL MASTER'!#REF!)-1)))&amp;TRIM(MID(SUBSTITUTE(SUBSTITUTE(INDEX('CONTROL MASTER'!$N$2:$N$495,(SUMPRODUCT((('CONTROL MASTER'!$S$2:$S$495=6)*('CONTROL MASTER'!$Z$2:$Z$495&lt;=9)*('CONTROL MASTER'!$AB$2:$AB$495&gt;=9)*('CONTROL MASTER'!$AA$2:$AA$495&lt;=7)*('CONTROL MASTER'!$AC$2:$AC$495&gt;=7))*ROW('CONTROL MASTER'!$S$2:$S$495))-(ROW('CONTROL MASTER'!#REF!)-1))),":",","),",",REPT(" ",50)),(((INDEX('CONTROL MASTER'!$Y$2:$Y$495,(SUMPRODUCT((('CONTROL MASTER'!$S$2:$S$495=6)*('CONTROL MASTER'!$Z$2:$Z$495&lt;=9)*('CONTROL MASTER'!$AB$2:$AB$495&gt;=9)*('CONTROL MASTER'!$AA$2:$AA$495&lt;=7)*('CONTROL MASTER'!$AC$2:$AC$495&gt;=7))*ROW('CONTROL MASTER'!$S$2:$S$495))-(ROW('CONTROL MASTER'!#REF!)-1)))+((9-INDEX('CONTROL MASTER'!$Z$2:$Z$495,(SUMPRODUCT((('CONTROL MASTER'!$S$2:$S$495=6)*('CONTROL MASTER'!$Z$2:$Z$495&lt;=9)*('CONTROL MASTER'!$AB$2:$AB$495&gt;=9)*('CONTROL MASTER'!$AA$2:$AA$495&lt;=7)*('CONTROL MASTER'!$AC$2:$AC$495&gt;=7))*ROW('CONTROL MASTER'!$S$2:$S$495))-(ROW('CONTROL MASTER'!#REF!)-1))))*(INDEX('CONTROL MASTER'!$AC$2:$AC$495,(SUMPRODUCT((('CONTROL MASTER'!$S$2:$S$495=6)*('CONTROL MASTER'!$Z$2:$Z$495&lt;=9)*('CONTROL MASTER'!$AB$2:$AB$495&gt;=9)*('CONTROL MASTER'!$AA$2:$AA$495&lt;=7)*('CONTROL MASTER'!$AC$2:$AC$495&gt;=7))*ROW('CONTROL MASTER'!$S$2:$S$495))-(ROW('CONTROL MASTER'!#REF!)-1)))-INDEX('CONTROL MASTER'!$AA$2:$AA$495,(SUMPRODUCT((('CONTROL MASTER'!$S$2:$S$495=6)*('CONTROL MASTER'!$Z$2:$Z$495&lt;=9)*('CONTROL MASTER'!$AB$2:$AB$495&gt;=9)*('CONTROL MASTER'!$AA$2:$AA$495&lt;=7)*('CONTROL MASTER'!$AC$2:$AC$495&gt;=7))*ROW('CONTROL MASTER'!$S$2:$S$495))-(ROW('CONTROL MASTER'!#REF!)-1)))+1)+(7-INDEX('CONTROL MASTER'!$AA$2:$AA$495,(SUMPRODUCT((('CONTROL MASTER'!$S$2:$S$495=6)*('CONTROL MASTER'!$Z$2:$Z$495&lt;=9)*('CONTROL MASTER'!$AB$2:$AB$495&gt;=9)*('CONTROL MASTER'!$AA$2:$AA$495&lt;=7)*('CONTROL MASTER'!$AC$2:$AC$495&gt;=7))*ROW('CONTROL MASTER'!$S$2:$S$495))-(ROW('CONTROL MASTER'!#REF!)-1))))+1)))-1)*50+1,50))&amp;"_"&amp;INDEX('CONTROL MASTER'!$P$2:$P$495,(SUMPRODUCT((('CONTROL MASTER'!$S$2:$S$495=6)*('CONTROL MASTER'!$Z$2:$Z$495&lt;=9)*('CONTROL MASTER'!$AB$2:$AB$495&gt;=9)*('CONTROL MASTER'!$AA$2:$AA$495&lt;=7)*('CONTROL MASTER'!$AC$2:$AC$495&gt;=7))*ROW('CONTROL MASTER'!$S$2:$S$495))-(ROW('CONTROL MASTER'!#REF!)-1))),"")),"")</f>
        <v/>
      </c>
      <c r="I81" s="10" t="str">
        <f>IFERROR(IF(SUMPRODUCT((('CONTROL MASTER'!$S$2:$S$495=6)*('CONTROL MASTER'!$T$2:$T$495&lt;=9)*('CONTROL MASTER'!$V$2:$V$495&gt;=9)*('CONTROL MASTER'!$U$2:$U$495&lt;=8)*('CONTROL MASTER'!$W$2:$W$495&gt;=8))*ROW('CONTROL MASTER'!$S$2:$S$495))&gt;0,INDEX('CONTROL MASTER'!$X$2:$X$495,(SUMPRODUCT((('CONTROL MASTER'!$S$2:$S$495=6)*('CONTROL MASTER'!$T$2:$T$495&lt;=9)*('CONTROL MASTER'!$V$2:$V$495&gt;=9)*('CONTROL MASTER'!$U$2:$U$495&lt;=8)*('CONTROL MASTER'!$W$2:$W$495&gt;=8))*ROW('CONTROL MASTER'!$S$2:$S$495))-(ROW('CONTROL MASTER'!#REF!)-1)))&amp;TRIM(MID(SUBSTITUTE(SUBSTITUTE(INDEX('CONTROL MASTER'!$N$2:$N$495,(SUMPRODUCT((('CONTROL MASTER'!$S$2:$S$495=6)*('CONTROL MASTER'!$T$2:$T$495&lt;=9)*('CONTROL MASTER'!$V$2:$V$495&gt;=9)*('CONTROL MASTER'!$U$2:$U$495&lt;=8)*('CONTROL MASTER'!$W$2:$W$495&gt;=8))*ROW('CONTROL MASTER'!$S$2:$S$495))-(ROW('CONTROL MASTER'!#REF!)-1))),":",","),",",REPT(" ",50)),((((9-INDEX('CONTROL MASTER'!$T$2:$T$495,(SUMPRODUCT((('CONTROL MASTER'!$S$2:$S$495=6)*('CONTROL MASTER'!$T$2:$T$495&lt;=9)*('CONTROL MASTER'!$V$2:$V$495&gt;=9)*('CONTROL MASTER'!$U$2:$U$495&lt;=8)*('CONTROL MASTER'!$W$2:$W$495&gt;=8))*ROW('CONTROL MASTER'!$S$2:$S$495))-(ROW('CONTROL MASTER'!#REF!)-1))))*(INDEX('CONTROL MASTER'!$W$2:$W$495,(SUMPRODUCT((('CONTROL MASTER'!$S$2:$S$495=6)*('CONTROL MASTER'!$T$2:$T$495&lt;=9)*('CONTROL MASTER'!$V$2:$V$495&gt;=9)*('CONTROL MASTER'!$U$2:$U$495&lt;=8)*('CONTROL MASTER'!$W$2:$W$495&gt;=8))*ROW('CONTROL MASTER'!$S$2:$S$495))-(ROW('CONTROL MASTER'!#REF!)-1)))-INDEX('CONTROL MASTER'!$U$2:$U$495,(SUMPRODUCT((('CONTROL MASTER'!$S$2:$S$495=6)*('CONTROL MASTER'!$T$2:$T$495&lt;=9)*('CONTROL MASTER'!$V$2:$V$495&gt;=9)*('CONTROL MASTER'!$U$2:$U$495&lt;=8)*('CONTROL MASTER'!$W$2:$W$495&gt;=8))*ROW('CONTROL MASTER'!$S$2:$S$495))-(ROW('CONTROL MASTER'!#REF!)-1)))+1)+(8-INDEX('CONTROL MASTER'!$U$2:$U$495,(SUMPRODUCT((('CONTROL MASTER'!$S$2:$S$495=6)*('CONTROL MASTER'!$T$2:$T$495&lt;=9)*('CONTROL MASTER'!$V$2:$V$495&gt;=9)*('CONTROL MASTER'!$U$2:$U$495&lt;=8)*('CONTROL MASTER'!$W$2:$W$495&gt;=8))*ROW('CONTROL MASTER'!$S$2:$S$495))-(ROW('CONTROL MASTER'!#REF!)-1))))+1))-1)*50+1,50))&amp;"_"&amp;INDEX('CONTROL MASTER'!$P$2:$P$495,(SUMPRODUCT((('CONTROL MASTER'!$S$2:$S$495=6)*('CONTROL MASTER'!$T$2:$T$495&lt;=9)*('CONTROL MASTER'!$V$2:$V$495&gt;=9)*('CONTROL MASTER'!$U$2:$U$495&lt;=8)*('CONTROL MASTER'!$W$2:$W$495&gt;=8))*ROW('CONTROL MASTER'!$S$2:$S$495))-(ROW('CONTROL MASTER'!#REF!)-1))),IF(SUMPRODUCT((('CONTROL MASTER'!$S$2:$S$495=6)*('CONTROL MASTER'!$Z$2:$Z$495&lt;=9)*('CONTROL MASTER'!$AB$2:$AB$495&gt;=9)*('CONTROL MASTER'!$AA$2:$AA$495&lt;=8)*('CONTROL MASTER'!$AC$2:$AC$495&gt;=8))*ROW('CONTROL MASTER'!$S$2:$S$495))&gt;0,INDEX('CONTROL MASTER'!$X$2:$X$495,(SUMPRODUCT((('CONTROL MASTER'!$S$2:$S$495=6)*('CONTROL MASTER'!$Z$2:$Z$495&lt;=9)*('CONTROL MASTER'!$AB$2:$AB$495&gt;=9)*('CONTROL MASTER'!$AA$2:$AA$495&lt;=8)*('CONTROL MASTER'!$AC$2:$AC$495&gt;=8))*ROW('CONTROL MASTER'!$S$2:$S$495))-(ROW('CONTROL MASTER'!#REF!)-1)))&amp;TRIM(MID(SUBSTITUTE(SUBSTITUTE(INDEX('CONTROL MASTER'!$N$2:$N$495,(SUMPRODUCT((('CONTROL MASTER'!$S$2:$S$495=6)*('CONTROL MASTER'!$Z$2:$Z$495&lt;=9)*('CONTROL MASTER'!$AB$2:$AB$495&gt;=9)*('CONTROL MASTER'!$AA$2:$AA$495&lt;=8)*('CONTROL MASTER'!$AC$2:$AC$495&gt;=8))*ROW('CONTROL MASTER'!$S$2:$S$495))-(ROW('CONTROL MASTER'!#REF!)-1))),":",","),",",REPT(" ",50)),(((INDEX('CONTROL MASTER'!$Y$2:$Y$495,(SUMPRODUCT((('CONTROL MASTER'!$S$2:$S$495=6)*('CONTROL MASTER'!$Z$2:$Z$495&lt;=9)*('CONTROL MASTER'!$AB$2:$AB$495&gt;=9)*('CONTROL MASTER'!$AA$2:$AA$495&lt;=8)*('CONTROL MASTER'!$AC$2:$AC$495&gt;=8))*ROW('CONTROL MASTER'!$S$2:$S$495))-(ROW('CONTROL MASTER'!#REF!)-1)))+((9-INDEX('CONTROL MASTER'!$Z$2:$Z$495,(SUMPRODUCT((('CONTROL MASTER'!$S$2:$S$495=6)*('CONTROL MASTER'!$Z$2:$Z$495&lt;=9)*('CONTROL MASTER'!$AB$2:$AB$495&gt;=9)*('CONTROL MASTER'!$AA$2:$AA$495&lt;=8)*('CONTROL MASTER'!$AC$2:$AC$495&gt;=8))*ROW('CONTROL MASTER'!$S$2:$S$495))-(ROW('CONTROL MASTER'!#REF!)-1))))*(INDEX('CONTROL MASTER'!$AC$2:$AC$495,(SUMPRODUCT((('CONTROL MASTER'!$S$2:$S$495=6)*('CONTROL MASTER'!$Z$2:$Z$495&lt;=9)*('CONTROL MASTER'!$AB$2:$AB$495&gt;=9)*('CONTROL MASTER'!$AA$2:$AA$495&lt;=8)*('CONTROL MASTER'!$AC$2:$AC$495&gt;=8))*ROW('CONTROL MASTER'!$S$2:$S$495))-(ROW('CONTROL MASTER'!#REF!)-1)))-INDEX('CONTROL MASTER'!$AA$2:$AA$495,(SUMPRODUCT((('CONTROL MASTER'!$S$2:$S$495=6)*('CONTROL MASTER'!$Z$2:$Z$495&lt;=9)*('CONTROL MASTER'!$AB$2:$AB$495&gt;=9)*('CONTROL MASTER'!$AA$2:$AA$495&lt;=8)*('CONTROL MASTER'!$AC$2:$AC$495&gt;=8))*ROW('CONTROL MASTER'!$S$2:$S$495))-(ROW('CONTROL MASTER'!#REF!)-1)))+1)+(8-INDEX('CONTROL MASTER'!$AA$2:$AA$495,(SUMPRODUCT((('CONTROL MASTER'!$S$2:$S$495=6)*('CONTROL MASTER'!$Z$2:$Z$495&lt;=9)*('CONTROL MASTER'!$AB$2:$AB$495&gt;=9)*('CONTROL MASTER'!$AA$2:$AA$495&lt;=8)*('CONTROL MASTER'!$AC$2:$AC$495&gt;=8))*ROW('CONTROL MASTER'!$S$2:$S$495))-(ROW('CONTROL MASTER'!#REF!)-1))))+1)))-1)*50+1,50))&amp;"_"&amp;INDEX('CONTROL MASTER'!$P$2:$P$495,(SUMPRODUCT((('CONTROL MASTER'!$S$2:$S$495=6)*('CONTROL MASTER'!$Z$2:$Z$495&lt;=9)*('CONTROL MASTER'!$AB$2:$AB$495&gt;=9)*('CONTROL MASTER'!$AA$2:$AA$495&lt;=8)*('CONTROL MASTER'!$AC$2:$AC$495&gt;=8))*ROW('CONTROL MASTER'!$S$2:$S$495))-(ROW('CONTROL MASTER'!#REF!)-1))),"")),"")</f>
        <v/>
      </c>
      <c r="J81" s="10" t="str">
        <f>IFERROR(IF(SUMPRODUCT((('CONTROL MASTER'!$S$2:$S$495=6)*('CONTROL MASTER'!$T$2:$T$495&lt;=9)*('CONTROL MASTER'!$V$2:$V$495&gt;=9)*('CONTROL MASTER'!$U$2:$U$495&lt;=9)*('CONTROL MASTER'!$W$2:$W$495&gt;=9))*ROW('CONTROL MASTER'!$S$2:$S$495))&gt;0,INDEX('CONTROL MASTER'!$X$2:$X$495,(SUMPRODUCT((('CONTROL MASTER'!$S$2:$S$495=6)*('CONTROL MASTER'!$T$2:$T$495&lt;=9)*('CONTROL MASTER'!$V$2:$V$495&gt;=9)*('CONTROL MASTER'!$U$2:$U$495&lt;=9)*('CONTROL MASTER'!$W$2:$W$495&gt;=9))*ROW('CONTROL MASTER'!$S$2:$S$495))-(ROW('CONTROL MASTER'!#REF!)-1)))&amp;TRIM(MID(SUBSTITUTE(SUBSTITUTE(INDEX('CONTROL MASTER'!$N$2:$N$495,(SUMPRODUCT((('CONTROL MASTER'!$S$2:$S$495=6)*('CONTROL MASTER'!$T$2:$T$495&lt;=9)*('CONTROL MASTER'!$V$2:$V$495&gt;=9)*('CONTROL MASTER'!$U$2:$U$495&lt;=9)*('CONTROL MASTER'!$W$2:$W$495&gt;=9))*ROW('CONTROL MASTER'!$S$2:$S$495))-(ROW('CONTROL MASTER'!#REF!)-1))),":",","),",",REPT(" ",50)),((((9-INDEX('CONTROL MASTER'!$T$2:$T$495,(SUMPRODUCT((('CONTROL MASTER'!$S$2:$S$495=6)*('CONTROL MASTER'!$T$2:$T$495&lt;=9)*('CONTROL MASTER'!$V$2:$V$495&gt;=9)*('CONTROL MASTER'!$U$2:$U$495&lt;=9)*('CONTROL MASTER'!$W$2:$W$495&gt;=9))*ROW('CONTROL MASTER'!$S$2:$S$495))-(ROW('CONTROL MASTER'!#REF!)-1))))*(INDEX('CONTROL MASTER'!$W$2:$W$495,(SUMPRODUCT((('CONTROL MASTER'!$S$2:$S$495=6)*('CONTROL MASTER'!$T$2:$T$495&lt;=9)*('CONTROL MASTER'!$V$2:$V$495&gt;=9)*('CONTROL MASTER'!$U$2:$U$495&lt;=9)*('CONTROL MASTER'!$W$2:$W$495&gt;=9))*ROW('CONTROL MASTER'!$S$2:$S$495))-(ROW('CONTROL MASTER'!#REF!)-1)))-INDEX('CONTROL MASTER'!$U$2:$U$495,(SUMPRODUCT((('CONTROL MASTER'!$S$2:$S$495=6)*('CONTROL MASTER'!$T$2:$T$495&lt;=9)*('CONTROL MASTER'!$V$2:$V$495&gt;=9)*('CONTROL MASTER'!$U$2:$U$495&lt;=9)*('CONTROL MASTER'!$W$2:$W$495&gt;=9))*ROW('CONTROL MASTER'!$S$2:$S$495))-(ROW('CONTROL MASTER'!#REF!)-1)))+1)+(9-INDEX('CONTROL MASTER'!$U$2:$U$495,(SUMPRODUCT((('CONTROL MASTER'!$S$2:$S$495=6)*('CONTROL MASTER'!$T$2:$T$495&lt;=9)*('CONTROL MASTER'!$V$2:$V$495&gt;=9)*('CONTROL MASTER'!$U$2:$U$495&lt;=9)*('CONTROL MASTER'!$W$2:$W$495&gt;=9))*ROW('CONTROL MASTER'!$S$2:$S$495))-(ROW('CONTROL MASTER'!#REF!)-1))))+1))-1)*50+1,50))&amp;"_"&amp;INDEX('CONTROL MASTER'!$P$2:$P$495,(SUMPRODUCT((('CONTROL MASTER'!$S$2:$S$495=6)*('CONTROL MASTER'!$T$2:$T$495&lt;=9)*('CONTROL MASTER'!$V$2:$V$495&gt;=9)*('CONTROL MASTER'!$U$2:$U$495&lt;=9)*('CONTROL MASTER'!$W$2:$W$495&gt;=9))*ROW('CONTROL MASTER'!$S$2:$S$495))-(ROW('CONTROL MASTER'!#REF!)-1))),IF(SUMPRODUCT((('CONTROL MASTER'!$S$2:$S$495=6)*('CONTROL MASTER'!$Z$2:$Z$495&lt;=9)*('CONTROL MASTER'!$AB$2:$AB$495&gt;=9)*('CONTROL MASTER'!$AA$2:$AA$495&lt;=9)*('CONTROL MASTER'!$AC$2:$AC$495&gt;=9))*ROW('CONTROL MASTER'!$S$2:$S$495))&gt;0,INDEX('CONTROL MASTER'!$X$2:$X$495,(SUMPRODUCT((('CONTROL MASTER'!$S$2:$S$495=6)*('CONTROL MASTER'!$Z$2:$Z$495&lt;=9)*('CONTROL MASTER'!$AB$2:$AB$495&gt;=9)*('CONTROL MASTER'!$AA$2:$AA$495&lt;=9)*('CONTROL MASTER'!$AC$2:$AC$495&gt;=9))*ROW('CONTROL MASTER'!$S$2:$S$495))-(ROW('CONTROL MASTER'!#REF!)-1)))&amp;TRIM(MID(SUBSTITUTE(SUBSTITUTE(INDEX('CONTROL MASTER'!$N$2:$N$495,(SUMPRODUCT((('CONTROL MASTER'!$S$2:$S$495=6)*('CONTROL MASTER'!$Z$2:$Z$495&lt;=9)*('CONTROL MASTER'!$AB$2:$AB$495&gt;=9)*('CONTROL MASTER'!$AA$2:$AA$495&lt;=9)*('CONTROL MASTER'!$AC$2:$AC$495&gt;=9))*ROW('CONTROL MASTER'!$S$2:$S$495))-(ROW('CONTROL MASTER'!#REF!)-1))),":",","),",",REPT(" ",50)),(((INDEX('CONTROL MASTER'!$Y$2:$Y$495,(SUMPRODUCT((('CONTROL MASTER'!$S$2:$S$495=6)*('CONTROL MASTER'!$Z$2:$Z$495&lt;=9)*('CONTROL MASTER'!$AB$2:$AB$495&gt;=9)*('CONTROL MASTER'!$AA$2:$AA$495&lt;=9)*('CONTROL MASTER'!$AC$2:$AC$495&gt;=9))*ROW('CONTROL MASTER'!$S$2:$S$495))-(ROW('CONTROL MASTER'!#REF!)-1)))+((9-INDEX('CONTROL MASTER'!$Z$2:$Z$495,(SUMPRODUCT((('CONTROL MASTER'!$S$2:$S$495=6)*('CONTROL MASTER'!$Z$2:$Z$495&lt;=9)*('CONTROL MASTER'!$AB$2:$AB$495&gt;=9)*('CONTROL MASTER'!$AA$2:$AA$495&lt;=9)*('CONTROL MASTER'!$AC$2:$AC$495&gt;=9))*ROW('CONTROL MASTER'!$S$2:$S$495))-(ROW('CONTROL MASTER'!#REF!)-1))))*(INDEX('CONTROL MASTER'!$AC$2:$AC$495,(SUMPRODUCT((('CONTROL MASTER'!$S$2:$S$495=6)*('CONTROL MASTER'!$Z$2:$Z$495&lt;=9)*('CONTROL MASTER'!$AB$2:$AB$495&gt;=9)*('CONTROL MASTER'!$AA$2:$AA$495&lt;=9)*('CONTROL MASTER'!$AC$2:$AC$495&gt;=9))*ROW('CONTROL MASTER'!$S$2:$S$495))-(ROW('CONTROL MASTER'!#REF!)-1)))-INDEX('CONTROL MASTER'!$AA$2:$AA$495,(SUMPRODUCT((('CONTROL MASTER'!$S$2:$S$495=6)*('CONTROL MASTER'!$Z$2:$Z$495&lt;=9)*('CONTROL MASTER'!$AB$2:$AB$495&gt;=9)*('CONTROL MASTER'!$AA$2:$AA$495&lt;=9)*('CONTROL MASTER'!$AC$2:$AC$495&gt;=9))*ROW('CONTROL MASTER'!$S$2:$S$495))-(ROW('CONTROL MASTER'!#REF!)-1)))+1)+(9-INDEX('CONTROL MASTER'!$AA$2:$AA$495,(SUMPRODUCT((('CONTROL MASTER'!$S$2:$S$495=6)*('CONTROL MASTER'!$Z$2:$Z$495&lt;=9)*('CONTROL MASTER'!$AB$2:$AB$495&gt;=9)*('CONTROL MASTER'!$AA$2:$AA$495&lt;=9)*('CONTROL MASTER'!$AC$2:$AC$495&gt;=9))*ROW('CONTROL MASTER'!$S$2:$S$495))-(ROW('CONTROL MASTER'!#REF!)-1))))+1)))-1)*50+1,50))&amp;"_"&amp;INDEX('CONTROL MASTER'!$P$2:$P$495,(SUMPRODUCT((('CONTROL MASTER'!$S$2:$S$495=6)*('CONTROL MASTER'!$Z$2:$Z$495&lt;=9)*('CONTROL MASTER'!$AB$2:$AB$495&gt;=9)*('CONTROL MASTER'!$AA$2:$AA$495&lt;=9)*('CONTROL MASTER'!$AC$2:$AC$495&gt;=9))*ROW('CONTROL MASTER'!$S$2:$S$495))-(ROW('CONTROL MASTER'!#REF!)-1))),"")),"")</f>
        <v/>
      </c>
      <c r="K81" s="10" t="str">
        <f>IFERROR(IF(SUMPRODUCT((('CONTROL MASTER'!$S$2:$S$495=6)*('CONTROL MASTER'!$T$2:$T$495&lt;=9)*('CONTROL MASTER'!$V$2:$V$495&gt;=9)*('CONTROL MASTER'!$U$2:$U$495&lt;=10)*('CONTROL MASTER'!$W$2:$W$495&gt;=10))*ROW('CONTROL MASTER'!$S$2:$S$495))&gt;0,INDEX('CONTROL MASTER'!$X$2:$X$495,(SUMPRODUCT((('CONTROL MASTER'!$S$2:$S$495=6)*('CONTROL MASTER'!$T$2:$T$495&lt;=9)*('CONTROL MASTER'!$V$2:$V$495&gt;=9)*('CONTROL MASTER'!$U$2:$U$495&lt;=10)*('CONTROL MASTER'!$W$2:$W$495&gt;=10))*ROW('CONTROL MASTER'!$S$2:$S$495))-(ROW('CONTROL MASTER'!#REF!)-1)))&amp;TRIM(MID(SUBSTITUTE(SUBSTITUTE(INDEX('CONTROL MASTER'!$N$2:$N$495,(SUMPRODUCT((('CONTROL MASTER'!$S$2:$S$495=6)*('CONTROL MASTER'!$T$2:$T$495&lt;=9)*('CONTROL MASTER'!$V$2:$V$495&gt;=9)*('CONTROL MASTER'!$U$2:$U$495&lt;=10)*('CONTROL MASTER'!$W$2:$W$495&gt;=10))*ROW('CONTROL MASTER'!$S$2:$S$495))-(ROW('CONTROL MASTER'!#REF!)-1))),":",","),",",REPT(" ",50)),((((9-INDEX('CONTROL MASTER'!$T$2:$T$495,(SUMPRODUCT((('CONTROL MASTER'!$S$2:$S$495=6)*('CONTROL MASTER'!$T$2:$T$495&lt;=9)*('CONTROL MASTER'!$V$2:$V$495&gt;=9)*('CONTROL MASTER'!$U$2:$U$495&lt;=10)*('CONTROL MASTER'!$W$2:$W$495&gt;=10))*ROW('CONTROL MASTER'!$S$2:$S$495))-(ROW('CONTROL MASTER'!#REF!)-1))))*(INDEX('CONTROL MASTER'!$W$2:$W$495,(SUMPRODUCT((('CONTROL MASTER'!$S$2:$S$495=6)*('CONTROL MASTER'!$T$2:$T$495&lt;=9)*('CONTROL MASTER'!$V$2:$V$495&gt;=9)*('CONTROL MASTER'!$U$2:$U$495&lt;=10)*('CONTROL MASTER'!$W$2:$W$495&gt;=10))*ROW('CONTROL MASTER'!$S$2:$S$495))-(ROW('CONTROL MASTER'!#REF!)-1)))-INDEX('CONTROL MASTER'!$U$2:$U$495,(SUMPRODUCT((('CONTROL MASTER'!$S$2:$S$495=6)*('CONTROL MASTER'!$T$2:$T$495&lt;=9)*('CONTROL MASTER'!$V$2:$V$495&gt;=9)*('CONTROL MASTER'!$U$2:$U$495&lt;=10)*('CONTROL MASTER'!$W$2:$W$495&gt;=10))*ROW('CONTROL MASTER'!$S$2:$S$495))-(ROW('CONTROL MASTER'!#REF!)-1)))+1)+(10-INDEX('CONTROL MASTER'!$U$2:$U$495,(SUMPRODUCT((('CONTROL MASTER'!$S$2:$S$495=6)*('CONTROL MASTER'!$T$2:$T$495&lt;=9)*('CONTROL MASTER'!$V$2:$V$495&gt;=9)*('CONTROL MASTER'!$U$2:$U$495&lt;=10)*('CONTROL MASTER'!$W$2:$W$495&gt;=10))*ROW('CONTROL MASTER'!$S$2:$S$495))-(ROW('CONTROL MASTER'!#REF!)-1))))+1))-1)*50+1,50))&amp;"_"&amp;INDEX('CONTROL MASTER'!$P$2:$P$495,(SUMPRODUCT((('CONTROL MASTER'!$S$2:$S$495=6)*('CONTROL MASTER'!$T$2:$T$495&lt;=9)*('CONTROL MASTER'!$V$2:$V$495&gt;=9)*('CONTROL MASTER'!$U$2:$U$495&lt;=10)*('CONTROL MASTER'!$W$2:$W$495&gt;=10))*ROW('CONTROL MASTER'!$S$2:$S$495))-(ROW('CONTROL MASTER'!#REF!)-1))),IF(SUMPRODUCT((('CONTROL MASTER'!$S$2:$S$495=6)*('CONTROL MASTER'!$Z$2:$Z$495&lt;=9)*('CONTROL MASTER'!$AB$2:$AB$495&gt;=9)*('CONTROL MASTER'!$AA$2:$AA$495&lt;=10)*('CONTROL MASTER'!$AC$2:$AC$495&gt;=10))*ROW('CONTROL MASTER'!$S$2:$S$495))&gt;0,INDEX('CONTROL MASTER'!$X$2:$X$495,(SUMPRODUCT((('CONTROL MASTER'!$S$2:$S$495=6)*('CONTROL MASTER'!$Z$2:$Z$495&lt;=9)*('CONTROL MASTER'!$AB$2:$AB$495&gt;=9)*('CONTROL MASTER'!$AA$2:$AA$495&lt;=10)*('CONTROL MASTER'!$AC$2:$AC$495&gt;=10))*ROW('CONTROL MASTER'!$S$2:$S$495))-(ROW('CONTROL MASTER'!#REF!)-1)))&amp;TRIM(MID(SUBSTITUTE(SUBSTITUTE(INDEX('CONTROL MASTER'!$N$2:$N$495,(SUMPRODUCT((('CONTROL MASTER'!$S$2:$S$495=6)*('CONTROL MASTER'!$Z$2:$Z$495&lt;=9)*('CONTROL MASTER'!$AB$2:$AB$495&gt;=9)*('CONTROL MASTER'!$AA$2:$AA$495&lt;=10)*('CONTROL MASTER'!$AC$2:$AC$495&gt;=10))*ROW('CONTROL MASTER'!$S$2:$S$495))-(ROW('CONTROL MASTER'!#REF!)-1))),":",","),",",REPT(" ",50)),(((INDEX('CONTROL MASTER'!$Y$2:$Y$495,(SUMPRODUCT((('CONTROL MASTER'!$S$2:$S$495=6)*('CONTROL MASTER'!$Z$2:$Z$495&lt;=9)*('CONTROL MASTER'!$AB$2:$AB$495&gt;=9)*('CONTROL MASTER'!$AA$2:$AA$495&lt;=10)*('CONTROL MASTER'!$AC$2:$AC$495&gt;=10))*ROW('CONTROL MASTER'!$S$2:$S$495))-(ROW('CONTROL MASTER'!#REF!)-1)))+((9-INDEX('CONTROL MASTER'!$Z$2:$Z$495,(SUMPRODUCT((('CONTROL MASTER'!$S$2:$S$495=6)*('CONTROL MASTER'!$Z$2:$Z$495&lt;=9)*('CONTROL MASTER'!$AB$2:$AB$495&gt;=9)*('CONTROL MASTER'!$AA$2:$AA$495&lt;=10)*('CONTROL MASTER'!$AC$2:$AC$495&gt;=10))*ROW('CONTROL MASTER'!$S$2:$S$495))-(ROW('CONTROL MASTER'!#REF!)-1))))*(INDEX('CONTROL MASTER'!$AC$2:$AC$495,(SUMPRODUCT((('CONTROL MASTER'!$S$2:$S$495=6)*('CONTROL MASTER'!$Z$2:$Z$495&lt;=9)*('CONTROL MASTER'!$AB$2:$AB$495&gt;=9)*('CONTROL MASTER'!$AA$2:$AA$495&lt;=10)*('CONTROL MASTER'!$AC$2:$AC$495&gt;=10))*ROW('CONTROL MASTER'!$S$2:$S$495))-(ROW('CONTROL MASTER'!#REF!)-1)))-INDEX('CONTROL MASTER'!$AA$2:$AA$495,(SUMPRODUCT((('CONTROL MASTER'!$S$2:$S$495=6)*('CONTROL MASTER'!$Z$2:$Z$495&lt;=9)*('CONTROL MASTER'!$AB$2:$AB$495&gt;=9)*('CONTROL MASTER'!$AA$2:$AA$495&lt;=10)*('CONTROL MASTER'!$AC$2:$AC$495&gt;=10))*ROW('CONTROL MASTER'!$S$2:$S$495))-(ROW('CONTROL MASTER'!#REF!)-1)))+1)+(10-INDEX('CONTROL MASTER'!$AA$2:$AA$495,(SUMPRODUCT((('CONTROL MASTER'!$S$2:$S$495=6)*('CONTROL MASTER'!$Z$2:$Z$495&lt;=9)*('CONTROL MASTER'!$AB$2:$AB$495&gt;=9)*('CONTROL MASTER'!$AA$2:$AA$495&lt;=10)*('CONTROL MASTER'!$AC$2:$AC$495&gt;=10))*ROW('CONTROL MASTER'!$S$2:$S$495))-(ROW('CONTROL MASTER'!#REF!)-1))))+1)))-1)*50+1,50))&amp;"_"&amp;INDEX('CONTROL MASTER'!$P$2:$P$495,(SUMPRODUCT((('CONTROL MASTER'!$S$2:$S$495=6)*('CONTROL MASTER'!$Z$2:$Z$495&lt;=9)*('CONTROL MASTER'!$AB$2:$AB$495&gt;=9)*('CONTROL MASTER'!$AA$2:$AA$495&lt;=10)*('CONTROL MASTER'!$AC$2:$AC$495&gt;=10))*ROW('CONTROL MASTER'!$S$2:$S$495))-(ROW('CONTROL MASTER'!#REF!)-1))),"")),"")</f>
        <v/>
      </c>
    </row>
    <row r="82" spans="1:11" ht="15" customHeight="1" x14ac:dyDescent="0.35">
      <c r="A82" s="8" t="s">
        <v>82</v>
      </c>
      <c r="B82" s="10" t="str">
        <f>IFERROR(IF(SUMPRODUCT((('CONTROL MASTER'!$S$2:$S$495=6)*('CONTROL MASTER'!$T$2:$T$495&lt;=10)*('CONTROL MASTER'!$V$2:$V$495&gt;=10)*('CONTROL MASTER'!$U$2:$U$495&lt;=1)*('CONTROL MASTER'!$W$2:$W$495&gt;=1))*ROW('CONTROL MASTER'!$S$2:$S$495))&gt;0,INDEX('CONTROL MASTER'!$X$2:$X$495,(SUMPRODUCT((('CONTROL MASTER'!$S$2:$S$495=6)*('CONTROL MASTER'!$T$2:$T$495&lt;=10)*('CONTROL MASTER'!$V$2:$V$495&gt;=10)*('CONTROL MASTER'!$U$2:$U$495&lt;=1)*('CONTROL MASTER'!$W$2:$W$495&gt;=1))*ROW('CONTROL MASTER'!$S$2:$S$495))-(ROW('CONTROL MASTER'!#REF!)-1)))&amp;TRIM(MID(SUBSTITUTE(SUBSTITUTE(INDEX('CONTROL MASTER'!$N$2:$N$495,(SUMPRODUCT((('CONTROL MASTER'!$S$2:$S$495=6)*('CONTROL MASTER'!$T$2:$T$495&lt;=10)*('CONTROL MASTER'!$V$2:$V$495&gt;=10)*('CONTROL MASTER'!$U$2:$U$495&lt;=1)*('CONTROL MASTER'!$W$2:$W$495&gt;=1))*ROW('CONTROL MASTER'!$S$2:$S$495))-(ROW('CONTROL MASTER'!#REF!)-1))),":",","),",",REPT(" ",50)),((((10-INDEX('CONTROL MASTER'!$T$2:$T$495,(SUMPRODUCT((('CONTROL MASTER'!$S$2:$S$495=6)*('CONTROL MASTER'!$T$2:$T$495&lt;=10)*('CONTROL MASTER'!$V$2:$V$495&gt;=10)*('CONTROL MASTER'!$U$2:$U$495&lt;=1)*('CONTROL MASTER'!$W$2:$W$495&gt;=1))*ROW('CONTROL MASTER'!$S$2:$S$495))-(ROW('CONTROL MASTER'!#REF!)-1))))*(INDEX('CONTROL MASTER'!$W$2:$W$495,(SUMPRODUCT((('CONTROL MASTER'!$S$2:$S$495=6)*('CONTROL MASTER'!$T$2:$T$495&lt;=10)*('CONTROL MASTER'!$V$2:$V$495&gt;=10)*('CONTROL MASTER'!$U$2:$U$495&lt;=1)*('CONTROL MASTER'!$W$2:$W$495&gt;=1))*ROW('CONTROL MASTER'!$S$2:$S$495))-(ROW('CONTROL MASTER'!#REF!)-1)))-INDEX('CONTROL MASTER'!$U$2:$U$495,(SUMPRODUCT((('CONTROL MASTER'!$S$2:$S$495=6)*('CONTROL MASTER'!$T$2:$T$495&lt;=10)*('CONTROL MASTER'!$V$2:$V$495&gt;=10)*('CONTROL MASTER'!$U$2:$U$495&lt;=1)*('CONTROL MASTER'!$W$2:$W$495&gt;=1))*ROW('CONTROL MASTER'!$S$2:$S$495))-(ROW('CONTROL MASTER'!#REF!)-1)))+1)+(1-INDEX('CONTROL MASTER'!$U$2:$U$495,(SUMPRODUCT((('CONTROL MASTER'!$S$2:$S$495=6)*('CONTROL MASTER'!$T$2:$T$495&lt;=10)*('CONTROL MASTER'!$V$2:$V$495&gt;=10)*('CONTROL MASTER'!$U$2:$U$495&lt;=1)*('CONTROL MASTER'!$W$2:$W$495&gt;=1))*ROW('CONTROL MASTER'!$S$2:$S$495))-(ROW('CONTROL MASTER'!#REF!)-1))))+1))-1)*50+1,50))&amp;"_"&amp;INDEX('CONTROL MASTER'!$P$2:$P$495,(SUMPRODUCT((('CONTROL MASTER'!$S$2:$S$495=6)*('CONTROL MASTER'!$T$2:$T$495&lt;=10)*('CONTROL MASTER'!$V$2:$V$495&gt;=10)*('CONTROL MASTER'!$U$2:$U$495&lt;=1)*('CONTROL MASTER'!$W$2:$W$495&gt;=1))*ROW('CONTROL MASTER'!$S$2:$S$495))-(ROW('CONTROL MASTER'!#REF!)-1))),IF(SUMPRODUCT((('CONTROL MASTER'!$S$2:$S$495=6)*('CONTROL MASTER'!$Z$2:$Z$495&lt;=10)*('CONTROL MASTER'!$AB$2:$AB$495&gt;=10)*('CONTROL MASTER'!$AA$2:$AA$495&lt;=1)*('CONTROL MASTER'!$AC$2:$AC$495&gt;=1))*ROW('CONTROL MASTER'!$S$2:$S$495))&gt;0,INDEX('CONTROL MASTER'!$X$2:$X$495,(SUMPRODUCT((('CONTROL MASTER'!$S$2:$S$495=6)*('CONTROL MASTER'!$Z$2:$Z$495&lt;=10)*('CONTROL MASTER'!$AB$2:$AB$495&gt;=10)*('CONTROL MASTER'!$AA$2:$AA$495&lt;=1)*('CONTROL MASTER'!$AC$2:$AC$495&gt;=1))*ROW('CONTROL MASTER'!$S$2:$S$495))-(ROW('CONTROL MASTER'!#REF!)-1)))&amp;TRIM(MID(SUBSTITUTE(SUBSTITUTE(INDEX('CONTROL MASTER'!$N$2:$N$495,(SUMPRODUCT((('CONTROL MASTER'!$S$2:$S$495=6)*('CONTROL MASTER'!$Z$2:$Z$495&lt;=10)*('CONTROL MASTER'!$AB$2:$AB$495&gt;=10)*('CONTROL MASTER'!$AA$2:$AA$495&lt;=1)*('CONTROL MASTER'!$AC$2:$AC$495&gt;=1))*ROW('CONTROL MASTER'!$S$2:$S$495))-(ROW('CONTROL MASTER'!#REF!)-1))),":",","),",",REPT(" ",50)),(((INDEX('CONTROL MASTER'!$Y$2:$Y$495,(SUMPRODUCT((('CONTROL MASTER'!$S$2:$S$495=6)*('CONTROL MASTER'!$Z$2:$Z$495&lt;=10)*('CONTROL MASTER'!$AB$2:$AB$495&gt;=10)*('CONTROL MASTER'!$AA$2:$AA$495&lt;=1)*('CONTROL MASTER'!$AC$2:$AC$495&gt;=1))*ROW('CONTROL MASTER'!$S$2:$S$495))-(ROW('CONTROL MASTER'!#REF!)-1)))+((10-INDEX('CONTROL MASTER'!$Z$2:$Z$495,(SUMPRODUCT((('CONTROL MASTER'!$S$2:$S$495=6)*('CONTROL MASTER'!$Z$2:$Z$495&lt;=10)*('CONTROL MASTER'!$AB$2:$AB$495&gt;=10)*('CONTROL MASTER'!$AA$2:$AA$495&lt;=1)*('CONTROL MASTER'!$AC$2:$AC$495&gt;=1))*ROW('CONTROL MASTER'!$S$2:$S$495))-(ROW('CONTROL MASTER'!#REF!)-1))))*(INDEX('CONTROL MASTER'!$AC$2:$AC$495,(SUMPRODUCT((('CONTROL MASTER'!$S$2:$S$495=6)*('CONTROL MASTER'!$Z$2:$Z$495&lt;=10)*('CONTROL MASTER'!$AB$2:$AB$495&gt;=10)*('CONTROL MASTER'!$AA$2:$AA$495&lt;=1)*('CONTROL MASTER'!$AC$2:$AC$495&gt;=1))*ROW('CONTROL MASTER'!$S$2:$S$495))-(ROW('CONTROL MASTER'!#REF!)-1)))-INDEX('CONTROL MASTER'!$AA$2:$AA$495,(SUMPRODUCT((('CONTROL MASTER'!$S$2:$S$495=6)*('CONTROL MASTER'!$Z$2:$Z$495&lt;=10)*('CONTROL MASTER'!$AB$2:$AB$495&gt;=10)*('CONTROL MASTER'!$AA$2:$AA$495&lt;=1)*('CONTROL MASTER'!$AC$2:$AC$495&gt;=1))*ROW('CONTROL MASTER'!$S$2:$S$495))-(ROW('CONTROL MASTER'!#REF!)-1)))+1)+(1-INDEX('CONTROL MASTER'!$AA$2:$AA$495,(SUMPRODUCT((('CONTROL MASTER'!$S$2:$S$495=6)*('CONTROL MASTER'!$Z$2:$Z$495&lt;=10)*('CONTROL MASTER'!$AB$2:$AB$495&gt;=10)*('CONTROL MASTER'!$AA$2:$AA$495&lt;=1)*('CONTROL MASTER'!$AC$2:$AC$495&gt;=1))*ROW('CONTROL MASTER'!$S$2:$S$495))-(ROW('CONTROL MASTER'!#REF!)-1))))+1)))-1)*50+1,50))&amp;"_"&amp;INDEX('CONTROL MASTER'!$P$2:$P$495,(SUMPRODUCT((('CONTROL MASTER'!$S$2:$S$495=6)*('CONTROL MASTER'!$Z$2:$Z$495&lt;=10)*('CONTROL MASTER'!$AB$2:$AB$495&gt;=10)*('CONTROL MASTER'!$AA$2:$AA$495&lt;=1)*('CONTROL MASTER'!$AC$2:$AC$495&gt;=1))*ROW('CONTROL MASTER'!$S$2:$S$495))-(ROW('CONTROL MASTER'!#REF!)-1))),"")),"")</f>
        <v/>
      </c>
      <c r="C82" s="10" t="str">
        <f>IFERROR(IF(SUMPRODUCT((('CONTROL MASTER'!$S$2:$S$495=6)*('CONTROL MASTER'!$T$2:$T$495&lt;=10)*('CONTROL MASTER'!$V$2:$V$495&gt;=10)*('CONTROL MASTER'!$U$2:$U$495&lt;=2)*('CONTROL MASTER'!$W$2:$W$495&gt;=2))*ROW('CONTROL MASTER'!$S$2:$S$495))&gt;0,INDEX('CONTROL MASTER'!$X$2:$X$495,(SUMPRODUCT((('CONTROL MASTER'!$S$2:$S$495=6)*('CONTROL MASTER'!$T$2:$T$495&lt;=10)*('CONTROL MASTER'!$V$2:$V$495&gt;=10)*('CONTROL MASTER'!$U$2:$U$495&lt;=2)*('CONTROL MASTER'!$W$2:$W$495&gt;=2))*ROW('CONTROL MASTER'!$S$2:$S$495))-(ROW('CONTROL MASTER'!#REF!)-1)))&amp;TRIM(MID(SUBSTITUTE(SUBSTITUTE(INDEX('CONTROL MASTER'!$N$2:$N$495,(SUMPRODUCT((('CONTROL MASTER'!$S$2:$S$495=6)*('CONTROL MASTER'!$T$2:$T$495&lt;=10)*('CONTROL MASTER'!$V$2:$V$495&gt;=10)*('CONTROL MASTER'!$U$2:$U$495&lt;=2)*('CONTROL MASTER'!$W$2:$W$495&gt;=2))*ROW('CONTROL MASTER'!$S$2:$S$495))-(ROW('CONTROL MASTER'!#REF!)-1))),":",","),",",REPT(" ",50)),((((10-INDEX('CONTROL MASTER'!$T$2:$T$495,(SUMPRODUCT((('CONTROL MASTER'!$S$2:$S$495=6)*('CONTROL MASTER'!$T$2:$T$495&lt;=10)*('CONTROL MASTER'!$V$2:$V$495&gt;=10)*('CONTROL MASTER'!$U$2:$U$495&lt;=2)*('CONTROL MASTER'!$W$2:$W$495&gt;=2))*ROW('CONTROL MASTER'!$S$2:$S$495))-(ROW('CONTROL MASTER'!#REF!)-1))))*(INDEX('CONTROL MASTER'!$W$2:$W$495,(SUMPRODUCT((('CONTROL MASTER'!$S$2:$S$495=6)*('CONTROL MASTER'!$T$2:$T$495&lt;=10)*('CONTROL MASTER'!$V$2:$V$495&gt;=10)*('CONTROL MASTER'!$U$2:$U$495&lt;=2)*('CONTROL MASTER'!$W$2:$W$495&gt;=2))*ROW('CONTROL MASTER'!$S$2:$S$495))-(ROW('CONTROL MASTER'!#REF!)-1)))-INDEX('CONTROL MASTER'!$U$2:$U$495,(SUMPRODUCT((('CONTROL MASTER'!$S$2:$S$495=6)*('CONTROL MASTER'!$T$2:$T$495&lt;=10)*('CONTROL MASTER'!$V$2:$V$495&gt;=10)*('CONTROL MASTER'!$U$2:$U$495&lt;=2)*('CONTROL MASTER'!$W$2:$W$495&gt;=2))*ROW('CONTROL MASTER'!$S$2:$S$495))-(ROW('CONTROL MASTER'!#REF!)-1)))+1)+(2-INDEX('CONTROL MASTER'!$U$2:$U$495,(SUMPRODUCT((('CONTROL MASTER'!$S$2:$S$495=6)*('CONTROL MASTER'!$T$2:$T$495&lt;=10)*('CONTROL MASTER'!$V$2:$V$495&gt;=10)*('CONTROL MASTER'!$U$2:$U$495&lt;=2)*('CONTROL MASTER'!$W$2:$W$495&gt;=2))*ROW('CONTROL MASTER'!$S$2:$S$495))-(ROW('CONTROL MASTER'!#REF!)-1))))+1))-1)*50+1,50))&amp;"_"&amp;INDEX('CONTROL MASTER'!$P$2:$P$495,(SUMPRODUCT((('CONTROL MASTER'!$S$2:$S$495=6)*('CONTROL MASTER'!$T$2:$T$495&lt;=10)*('CONTROL MASTER'!$V$2:$V$495&gt;=10)*('CONTROL MASTER'!$U$2:$U$495&lt;=2)*('CONTROL MASTER'!$W$2:$W$495&gt;=2))*ROW('CONTROL MASTER'!$S$2:$S$495))-(ROW('CONTROL MASTER'!#REF!)-1))),IF(SUMPRODUCT((('CONTROL MASTER'!$S$2:$S$495=6)*('CONTROL MASTER'!$Z$2:$Z$495&lt;=10)*('CONTROL MASTER'!$AB$2:$AB$495&gt;=10)*('CONTROL MASTER'!$AA$2:$AA$495&lt;=2)*('CONTROL MASTER'!$AC$2:$AC$495&gt;=2))*ROW('CONTROL MASTER'!$S$2:$S$495))&gt;0,INDEX('CONTROL MASTER'!$X$2:$X$495,(SUMPRODUCT((('CONTROL MASTER'!$S$2:$S$495=6)*('CONTROL MASTER'!$Z$2:$Z$495&lt;=10)*('CONTROL MASTER'!$AB$2:$AB$495&gt;=10)*('CONTROL MASTER'!$AA$2:$AA$495&lt;=2)*('CONTROL MASTER'!$AC$2:$AC$495&gt;=2))*ROW('CONTROL MASTER'!$S$2:$S$495))-(ROW('CONTROL MASTER'!#REF!)-1)))&amp;TRIM(MID(SUBSTITUTE(SUBSTITUTE(INDEX('CONTROL MASTER'!$N$2:$N$495,(SUMPRODUCT((('CONTROL MASTER'!$S$2:$S$495=6)*('CONTROL MASTER'!$Z$2:$Z$495&lt;=10)*('CONTROL MASTER'!$AB$2:$AB$495&gt;=10)*('CONTROL MASTER'!$AA$2:$AA$495&lt;=2)*('CONTROL MASTER'!$AC$2:$AC$495&gt;=2))*ROW('CONTROL MASTER'!$S$2:$S$495))-(ROW('CONTROL MASTER'!#REF!)-1))),":",","),",",REPT(" ",50)),(((INDEX('CONTROL MASTER'!$Y$2:$Y$495,(SUMPRODUCT((('CONTROL MASTER'!$S$2:$S$495=6)*('CONTROL MASTER'!$Z$2:$Z$495&lt;=10)*('CONTROL MASTER'!$AB$2:$AB$495&gt;=10)*('CONTROL MASTER'!$AA$2:$AA$495&lt;=2)*('CONTROL MASTER'!$AC$2:$AC$495&gt;=2))*ROW('CONTROL MASTER'!$S$2:$S$495))-(ROW('CONTROL MASTER'!#REF!)-1)))+((10-INDEX('CONTROL MASTER'!$Z$2:$Z$495,(SUMPRODUCT((('CONTROL MASTER'!$S$2:$S$495=6)*('CONTROL MASTER'!$Z$2:$Z$495&lt;=10)*('CONTROL MASTER'!$AB$2:$AB$495&gt;=10)*('CONTROL MASTER'!$AA$2:$AA$495&lt;=2)*('CONTROL MASTER'!$AC$2:$AC$495&gt;=2))*ROW('CONTROL MASTER'!$S$2:$S$495))-(ROW('CONTROL MASTER'!#REF!)-1))))*(INDEX('CONTROL MASTER'!$AC$2:$AC$495,(SUMPRODUCT((('CONTROL MASTER'!$S$2:$S$495=6)*('CONTROL MASTER'!$Z$2:$Z$495&lt;=10)*('CONTROL MASTER'!$AB$2:$AB$495&gt;=10)*('CONTROL MASTER'!$AA$2:$AA$495&lt;=2)*('CONTROL MASTER'!$AC$2:$AC$495&gt;=2))*ROW('CONTROL MASTER'!$S$2:$S$495))-(ROW('CONTROL MASTER'!#REF!)-1)))-INDEX('CONTROL MASTER'!$AA$2:$AA$495,(SUMPRODUCT((('CONTROL MASTER'!$S$2:$S$495=6)*('CONTROL MASTER'!$Z$2:$Z$495&lt;=10)*('CONTROL MASTER'!$AB$2:$AB$495&gt;=10)*('CONTROL MASTER'!$AA$2:$AA$495&lt;=2)*('CONTROL MASTER'!$AC$2:$AC$495&gt;=2))*ROW('CONTROL MASTER'!$S$2:$S$495))-(ROW('CONTROL MASTER'!#REF!)-1)))+1)+(2-INDEX('CONTROL MASTER'!$AA$2:$AA$495,(SUMPRODUCT((('CONTROL MASTER'!$S$2:$S$495=6)*('CONTROL MASTER'!$Z$2:$Z$495&lt;=10)*('CONTROL MASTER'!$AB$2:$AB$495&gt;=10)*('CONTROL MASTER'!$AA$2:$AA$495&lt;=2)*('CONTROL MASTER'!$AC$2:$AC$495&gt;=2))*ROW('CONTROL MASTER'!$S$2:$S$495))-(ROW('CONTROL MASTER'!#REF!)-1))))+1)))-1)*50+1,50))&amp;"_"&amp;INDEX('CONTROL MASTER'!$P$2:$P$495,(SUMPRODUCT((('CONTROL MASTER'!$S$2:$S$495=6)*('CONTROL MASTER'!$Z$2:$Z$495&lt;=10)*('CONTROL MASTER'!$AB$2:$AB$495&gt;=10)*('CONTROL MASTER'!$AA$2:$AA$495&lt;=2)*('CONTROL MASTER'!$AC$2:$AC$495&gt;=2))*ROW('CONTROL MASTER'!$S$2:$S$495))-(ROW('CONTROL MASTER'!#REF!)-1))),"")),"")</f>
        <v/>
      </c>
      <c r="D82" s="10" t="str">
        <f>IFERROR(IF(SUMPRODUCT((('CONTROL MASTER'!$S$2:$S$495=6)*('CONTROL MASTER'!$T$2:$T$495&lt;=10)*('CONTROL MASTER'!$V$2:$V$495&gt;=10)*('CONTROL MASTER'!$U$2:$U$495&lt;=3)*('CONTROL MASTER'!$W$2:$W$495&gt;=3))*ROW('CONTROL MASTER'!$S$2:$S$495))&gt;0,INDEX('CONTROL MASTER'!$X$2:$X$495,(SUMPRODUCT((('CONTROL MASTER'!$S$2:$S$495=6)*('CONTROL MASTER'!$T$2:$T$495&lt;=10)*('CONTROL MASTER'!$V$2:$V$495&gt;=10)*('CONTROL MASTER'!$U$2:$U$495&lt;=3)*('CONTROL MASTER'!$W$2:$W$495&gt;=3))*ROW('CONTROL MASTER'!$S$2:$S$495))-(ROW('CONTROL MASTER'!#REF!)-1)))&amp;TRIM(MID(SUBSTITUTE(SUBSTITUTE(INDEX('CONTROL MASTER'!$N$2:$N$495,(SUMPRODUCT((('CONTROL MASTER'!$S$2:$S$495=6)*('CONTROL MASTER'!$T$2:$T$495&lt;=10)*('CONTROL MASTER'!$V$2:$V$495&gt;=10)*('CONTROL MASTER'!$U$2:$U$495&lt;=3)*('CONTROL MASTER'!$W$2:$W$495&gt;=3))*ROW('CONTROL MASTER'!$S$2:$S$495))-(ROW('CONTROL MASTER'!#REF!)-1))),":",","),",",REPT(" ",50)),((((10-INDEX('CONTROL MASTER'!$T$2:$T$495,(SUMPRODUCT((('CONTROL MASTER'!$S$2:$S$495=6)*('CONTROL MASTER'!$T$2:$T$495&lt;=10)*('CONTROL MASTER'!$V$2:$V$495&gt;=10)*('CONTROL MASTER'!$U$2:$U$495&lt;=3)*('CONTROL MASTER'!$W$2:$W$495&gt;=3))*ROW('CONTROL MASTER'!$S$2:$S$495))-(ROW('CONTROL MASTER'!#REF!)-1))))*(INDEX('CONTROL MASTER'!$W$2:$W$495,(SUMPRODUCT((('CONTROL MASTER'!$S$2:$S$495=6)*('CONTROL MASTER'!$T$2:$T$495&lt;=10)*('CONTROL MASTER'!$V$2:$V$495&gt;=10)*('CONTROL MASTER'!$U$2:$U$495&lt;=3)*('CONTROL MASTER'!$W$2:$W$495&gt;=3))*ROW('CONTROL MASTER'!$S$2:$S$495))-(ROW('CONTROL MASTER'!#REF!)-1)))-INDEX('CONTROL MASTER'!$U$2:$U$495,(SUMPRODUCT((('CONTROL MASTER'!$S$2:$S$495=6)*('CONTROL MASTER'!$T$2:$T$495&lt;=10)*('CONTROL MASTER'!$V$2:$V$495&gt;=10)*('CONTROL MASTER'!$U$2:$U$495&lt;=3)*('CONTROL MASTER'!$W$2:$W$495&gt;=3))*ROW('CONTROL MASTER'!$S$2:$S$495))-(ROW('CONTROL MASTER'!#REF!)-1)))+1)+(3-INDEX('CONTROL MASTER'!$U$2:$U$495,(SUMPRODUCT((('CONTROL MASTER'!$S$2:$S$495=6)*('CONTROL MASTER'!$T$2:$T$495&lt;=10)*('CONTROL MASTER'!$V$2:$V$495&gt;=10)*('CONTROL MASTER'!$U$2:$U$495&lt;=3)*('CONTROL MASTER'!$W$2:$W$495&gt;=3))*ROW('CONTROL MASTER'!$S$2:$S$495))-(ROW('CONTROL MASTER'!#REF!)-1))))+1))-1)*50+1,50))&amp;"_"&amp;INDEX('CONTROL MASTER'!$P$2:$P$495,(SUMPRODUCT((('CONTROL MASTER'!$S$2:$S$495=6)*('CONTROL MASTER'!$T$2:$T$495&lt;=10)*('CONTROL MASTER'!$V$2:$V$495&gt;=10)*('CONTROL MASTER'!$U$2:$U$495&lt;=3)*('CONTROL MASTER'!$W$2:$W$495&gt;=3))*ROW('CONTROL MASTER'!$S$2:$S$495))-(ROW('CONTROL MASTER'!#REF!)-1))),IF(SUMPRODUCT((('CONTROL MASTER'!$S$2:$S$495=6)*('CONTROL MASTER'!$Z$2:$Z$495&lt;=10)*('CONTROL MASTER'!$AB$2:$AB$495&gt;=10)*('CONTROL MASTER'!$AA$2:$AA$495&lt;=3)*('CONTROL MASTER'!$AC$2:$AC$495&gt;=3))*ROW('CONTROL MASTER'!$S$2:$S$495))&gt;0,INDEX('CONTROL MASTER'!$X$2:$X$495,(SUMPRODUCT((('CONTROL MASTER'!$S$2:$S$495=6)*('CONTROL MASTER'!$Z$2:$Z$495&lt;=10)*('CONTROL MASTER'!$AB$2:$AB$495&gt;=10)*('CONTROL MASTER'!$AA$2:$AA$495&lt;=3)*('CONTROL MASTER'!$AC$2:$AC$495&gt;=3))*ROW('CONTROL MASTER'!$S$2:$S$495))-(ROW('CONTROL MASTER'!#REF!)-1)))&amp;TRIM(MID(SUBSTITUTE(SUBSTITUTE(INDEX('CONTROL MASTER'!$N$2:$N$495,(SUMPRODUCT((('CONTROL MASTER'!$S$2:$S$495=6)*('CONTROL MASTER'!$Z$2:$Z$495&lt;=10)*('CONTROL MASTER'!$AB$2:$AB$495&gt;=10)*('CONTROL MASTER'!$AA$2:$AA$495&lt;=3)*('CONTROL MASTER'!$AC$2:$AC$495&gt;=3))*ROW('CONTROL MASTER'!$S$2:$S$495))-(ROW('CONTROL MASTER'!#REF!)-1))),":",","),",",REPT(" ",50)),(((INDEX('CONTROL MASTER'!$Y$2:$Y$495,(SUMPRODUCT((('CONTROL MASTER'!$S$2:$S$495=6)*('CONTROL MASTER'!$Z$2:$Z$495&lt;=10)*('CONTROL MASTER'!$AB$2:$AB$495&gt;=10)*('CONTROL MASTER'!$AA$2:$AA$495&lt;=3)*('CONTROL MASTER'!$AC$2:$AC$495&gt;=3))*ROW('CONTROL MASTER'!$S$2:$S$495))-(ROW('CONTROL MASTER'!#REF!)-1)))+((10-INDEX('CONTROL MASTER'!$Z$2:$Z$495,(SUMPRODUCT((('CONTROL MASTER'!$S$2:$S$495=6)*('CONTROL MASTER'!$Z$2:$Z$495&lt;=10)*('CONTROL MASTER'!$AB$2:$AB$495&gt;=10)*('CONTROL MASTER'!$AA$2:$AA$495&lt;=3)*('CONTROL MASTER'!$AC$2:$AC$495&gt;=3))*ROW('CONTROL MASTER'!$S$2:$S$495))-(ROW('CONTROL MASTER'!#REF!)-1))))*(INDEX('CONTROL MASTER'!$AC$2:$AC$495,(SUMPRODUCT((('CONTROL MASTER'!$S$2:$S$495=6)*('CONTROL MASTER'!$Z$2:$Z$495&lt;=10)*('CONTROL MASTER'!$AB$2:$AB$495&gt;=10)*('CONTROL MASTER'!$AA$2:$AA$495&lt;=3)*('CONTROL MASTER'!$AC$2:$AC$495&gt;=3))*ROW('CONTROL MASTER'!$S$2:$S$495))-(ROW('CONTROL MASTER'!#REF!)-1)))-INDEX('CONTROL MASTER'!$AA$2:$AA$495,(SUMPRODUCT((('CONTROL MASTER'!$S$2:$S$495=6)*('CONTROL MASTER'!$Z$2:$Z$495&lt;=10)*('CONTROL MASTER'!$AB$2:$AB$495&gt;=10)*('CONTROL MASTER'!$AA$2:$AA$495&lt;=3)*('CONTROL MASTER'!$AC$2:$AC$495&gt;=3))*ROW('CONTROL MASTER'!$S$2:$S$495))-(ROW('CONTROL MASTER'!#REF!)-1)))+1)+(3-INDEX('CONTROL MASTER'!$AA$2:$AA$495,(SUMPRODUCT((('CONTROL MASTER'!$S$2:$S$495=6)*('CONTROL MASTER'!$Z$2:$Z$495&lt;=10)*('CONTROL MASTER'!$AB$2:$AB$495&gt;=10)*('CONTROL MASTER'!$AA$2:$AA$495&lt;=3)*('CONTROL MASTER'!$AC$2:$AC$495&gt;=3))*ROW('CONTROL MASTER'!$S$2:$S$495))-(ROW('CONTROL MASTER'!#REF!)-1))))+1)))-1)*50+1,50))&amp;"_"&amp;INDEX('CONTROL MASTER'!$P$2:$P$495,(SUMPRODUCT((('CONTROL MASTER'!$S$2:$S$495=6)*('CONTROL MASTER'!$Z$2:$Z$495&lt;=10)*('CONTROL MASTER'!$AB$2:$AB$495&gt;=10)*('CONTROL MASTER'!$AA$2:$AA$495&lt;=3)*('CONTROL MASTER'!$AC$2:$AC$495&gt;=3))*ROW('CONTROL MASTER'!$S$2:$S$495))-(ROW('CONTROL MASTER'!#REF!)-1))),"")),"")</f>
        <v/>
      </c>
      <c r="E82" s="10" t="str">
        <f>IFERROR(IF(SUMPRODUCT((('CONTROL MASTER'!$S$2:$S$495=6)*('CONTROL MASTER'!$T$2:$T$495&lt;=10)*('CONTROL MASTER'!$V$2:$V$495&gt;=10)*('CONTROL MASTER'!$U$2:$U$495&lt;=4)*('CONTROL MASTER'!$W$2:$W$495&gt;=4))*ROW('CONTROL MASTER'!$S$2:$S$495))&gt;0,INDEX('CONTROL MASTER'!$X$2:$X$495,(SUMPRODUCT((('CONTROL MASTER'!$S$2:$S$495=6)*('CONTROL MASTER'!$T$2:$T$495&lt;=10)*('CONTROL MASTER'!$V$2:$V$495&gt;=10)*('CONTROL MASTER'!$U$2:$U$495&lt;=4)*('CONTROL MASTER'!$W$2:$W$495&gt;=4))*ROW('CONTROL MASTER'!$S$2:$S$495))-(ROW('CONTROL MASTER'!#REF!)-1)))&amp;TRIM(MID(SUBSTITUTE(SUBSTITUTE(INDEX('CONTROL MASTER'!$N$2:$N$495,(SUMPRODUCT((('CONTROL MASTER'!$S$2:$S$495=6)*('CONTROL MASTER'!$T$2:$T$495&lt;=10)*('CONTROL MASTER'!$V$2:$V$495&gt;=10)*('CONTROL MASTER'!$U$2:$U$495&lt;=4)*('CONTROL MASTER'!$W$2:$W$495&gt;=4))*ROW('CONTROL MASTER'!$S$2:$S$495))-(ROW('CONTROL MASTER'!#REF!)-1))),":",","),",",REPT(" ",50)),((((10-INDEX('CONTROL MASTER'!$T$2:$T$495,(SUMPRODUCT((('CONTROL MASTER'!$S$2:$S$495=6)*('CONTROL MASTER'!$T$2:$T$495&lt;=10)*('CONTROL MASTER'!$V$2:$V$495&gt;=10)*('CONTROL MASTER'!$U$2:$U$495&lt;=4)*('CONTROL MASTER'!$W$2:$W$495&gt;=4))*ROW('CONTROL MASTER'!$S$2:$S$495))-(ROW('CONTROL MASTER'!#REF!)-1))))*(INDEX('CONTROL MASTER'!$W$2:$W$495,(SUMPRODUCT((('CONTROL MASTER'!$S$2:$S$495=6)*('CONTROL MASTER'!$T$2:$T$495&lt;=10)*('CONTROL MASTER'!$V$2:$V$495&gt;=10)*('CONTROL MASTER'!$U$2:$U$495&lt;=4)*('CONTROL MASTER'!$W$2:$W$495&gt;=4))*ROW('CONTROL MASTER'!$S$2:$S$495))-(ROW('CONTROL MASTER'!#REF!)-1)))-INDEX('CONTROL MASTER'!$U$2:$U$495,(SUMPRODUCT((('CONTROL MASTER'!$S$2:$S$495=6)*('CONTROL MASTER'!$T$2:$T$495&lt;=10)*('CONTROL MASTER'!$V$2:$V$495&gt;=10)*('CONTROL MASTER'!$U$2:$U$495&lt;=4)*('CONTROL MASTER'!$W$2:$W$495&gt;=4))*ROW('CONTROL MASTER'!$S$2:$S$495))-(ROW('CONTROL MASTER'!#REF!)-1)))+1)+(4-INDEX('CONTROL MASTER'!$U$2:$U$495,(SUMPRODUCT((('CONTROL MASTER'!$S$2:$S$495=6)*('CONTROL MASTER'!$T$2:$T$495&lt;=10)*('CONTROL MASTER'!$V$2:$V$495&gt;=10)*('CONTROL MASTER'!$U$2:$U$495&lt;=4)*('CONTROL MASTER'!$W$2:$W$495&gt;=4))*ROW('CONTROL MASTER'!$S$2:$S$495))-(ROW('CONTROL MASTER'!#REF!)-1))))+1))-1)*50+1,50))&amp;"_"&amp;INDEX('CONTROL MASTER'!$P$2:$P$495,(SUMPRODUCT((('CONTROL MASTER'!$S$2:$S$495=6)*('CONTROL MASTER'!$T$2:$T$495&lt;=10)*('CONTROL MASTER'!$V$2:$V$495&gt;=10)*('CONTROL MASTER'!$U$2:$U$495&lt;=4)*('CONTROL MASTER'!$W$2:$W$495&gt;=4))*ROW('CONTROL MASTER'!$S$2:$S$495))-(ROW('CONTROL MASTER'!#REF!)-1))),IF(SUMPRODUCT((('CONTROL MASTER'!$S$2:$S$495=6)*('CONTROL MASTER'!$Z$2:$Z$495&lt;=10)*('CONTROL MASTER'!$AB$2:$AB$495&gt;=10)*('CONTROL MASTER'!$AA$2:$AA$495&lt;=4)*('CONTROL MASTER'!$AC$2:$AC$495&gt;=4))*ROW('CONTROL MASTER'!$S$2:$S$495))&gt;0,INDEX('CONTROL MASTER'!$X$2:$X$495,(SUMPRODUCT((('CONTROL MASTER'!$S$2:$S$495=6)*('CONTROL MASTER'!$Z$2:$Z$495&lt;=10)*('CONTROL MASTER'!$AB$2:$AB$495&gt;=10)*('CONTROL MASTER'!$AA$2:$AA$495&lt;=4)*('CONTROL MASTER'!$AC$2:$AC$495&gt;=4))*ROW('CONTROL MASTER'!$S$2:$S$495))-(ROW('CONTROL MASTER'!#REF!)-1)))&amp;TRIM(MID(SUBSTITUTE(SUBSTITUTE(INDEX('CONTROL MASTER'!$N$2:$N$495,(SUMPRODUCT((('CONTROL MASTER'!$S$2:$S$495=6)*('CONTROL MASTER'!$Z$2:$Z$495&lt;=10)*('CONTROL MASTER'!$AB$2:$AB$495&gt;=10)*('CONTROL MASTER'!$AA$2:$AA$495&lt;=4)*('CONTROL MASTER'!$AC$2:$AC$495&gt;=4))*ROW('CONTROL MASTER'!$S$2:$S$495))-(ROW('CONTROL MASTER'!#REF!)-1))),":",","),",",REPT(" ",50)),(((INDEX('CONTROL MASTER'!$Y$2:$Y$495,(SUMPRODUCT((('CONTROL MASTER'!$S$2:$S$495=6)*('CONTROL MASTER'!$Z$2:$Z$495&lt;=10)*('CONTROL MASTER'!$AB$2:$AB$495&gt;=10)*('CONTROL MASTER'!$AA$2:$AA$495&lt;=4)*('CONTROL MASTER'!$AC$2:$AC$495&gt;=4))*ROW('CONTROL MASTER'!$S$2:$S$495))-(ROW('CONTROL MASTER'!#REF!)-1)))+((10-INDEX('CONTROL MASTER'!$Z$2:$Z$495,(SUMPRODUCT((('CONTROL MASTER'!$S$2:$S$495=6)*('CONTROL MASTER'!$Z$2:$Z$495&lt;=10)*('CONTROL MASTER'!$AB$2:$AB$495&gt;=10)*('CONTROL MASTER'!$AA$2:$AA$495&lt;=4)*('CONTROL MASTER'!$AC$2:$AC$495&gt;=4))*ROW('CONTROL MASTER'!$S$2:$S$495))-(ROW('CONTROL MASTER'!#REF!)-1))))*(INDEX('CONTROL MASTER'!$AC$2:$AC$495,(SUMPRODUCT((('CONTROL MASTER'!$S$2:$S$495=6)*('CONTROL MASTER'!$Z$2:$Z$495&lt;=10)*('CONTROL MASTER'!$AB$2:$AB$495&gt;=10)*('CONTROL MASTER'!$AA$2:$AA$495&lt;=4)*('CONTROL MASTER'!$AC$2:$AC$495&gt;=4))*ROW('CONTROL MASTER'!$S$2:$S$495))-(ROW('CONTROL MASTER'!#REF!)-1)))-INDEX('CONTROL MASTER'!$AA$2:$AA$495,(SUMPRODUCT((('CONTROL MASTER'!$S$2:$S$495=6)*('CONTROL MASTER'!$Z$2:$Z$495&lt;=10)*('CONTROL MASTER'!$AB$2:$AB$495&gt;=10)*('CONTROL MASTER'!$AA$2:$AA$495&lt;=4)*('CONTROL MASTER'!$AC$2:$AC$495&gt;=4))*ROW('CONTROL MASTER'!$S$2:$S$495))-(ROW('CONTROL MASTER'!#REF!)-1)))+1)+(4-INDEX('CONTROL MASTER'!$AA$2:$AA$495,(SUMPRODUCT((('CONTROL MASTER'!$S$2:$S$495=6)*('CONTROL MASTER'!$Z$2:$Z$495&lt;=10)*('CONTROL MASTER'!$AB$2:$AB$495&gt;=10)*('CONTROL MASTER'!$AA$2:$AA$495&lt;=4)*('CONTROL MASTER'!$AC$2:$AC$495&gt;=4))*ROW('CONTROL MASTER'!$S$2:$S$495))-(ROW('CONTROL MASTER'!#REF!)-1))))+1)))-1)*50+1,50))&amp;"_"&amp;INDEX('CONTROL MASTER'!$P$2:$P$495,(SUMPRODUCT((('CONTROL MASTER'!$S$2:$S$495=6)*('CONTROL MASTER'!$Z$2:$Z$495&lt;=10)*('CONTROL MASTER'!$AB$2:$AB$495&gt;=10)*('CONTROL MASTER'!$AA$2:$AA$495&lt;=4)*('CONTROL MASTER'!$AC$2:$AC$495&gt;=4))*ROW('CONTROL MASTER'!$S$2:$S$495))-(ROW('CONTROL MASTER'!#REF!)-1))),"")),"")</f>
        <v/>
      </c>
      <c r="F82" s="10" t="str">
        <f>IFERROR(IF(SUMPRODUCT((('CONTROL MASTER'!$S$2:$S$495=6)*('CONTROL MASTER'!$T$2:$T$495&lt;=10)*('CONTROL MASTER'!$V$2:$V$495&gt;=10)*('CONTROL MASTER'!$U$2:$U$495&lt;=5)*('CONTROL MASTER'!$W$2:$W$495&gt;=5))*ROW('CONTROL MASTER'!$S$2:$S$495))&gt;0,INDEX('CONTROL MASTER'!$X$2:$X$495,(SUMPRODUCT((('CONTROL MASTER'!$S$2:$S$495=6)*('CONTROL MASTER'!$T$2:$T$495&lt;=10)*('CONTROL MASTER'!$V$2:$V$495&gt;=10)*('CONTROL MASTER'!$U$2:$U$495&lt;=5)*('CONTROL MASTER'!$W$2:$W$495&gt;=5))*ROW('CONTROL MASTER'!$S$2:$S$495))-(ROW('CONTROL MASTER'!#REF!)-1)))&amp;TRIM(MID(SUBSTITUTE(SUBSTITUTE(INDEX('CONTROL MASTER'!$N$2:$N$495,(SUMPRODUCT((('CONTROL MASTER'!$S$2:$S$495=6)*('CONTROL MASTER'!$T$2:$T$495&lt;=10)*('CONTROL MASTER'!$V$2:$V$495&gt;=10)*('CONTROL MASTER'!$U$2:$U$495&lt;=5)*('CONTROL MASTER'!$W$2:$W$495&gt;=5))*ROW('CONTROL MASTER'!$S$2:$S$495))-(ROW('CONTROL MASTER'!#REF!)-1))),":",","),",",REPT(" ",50)),((((10-INDEX('CONTROL MASTER'!$T$2:$T$495,(SUMPRODUCT((('CONTROL MASTER'!$S$2:$S$495=6)*('CONTROL MASTER'!$T$2:$T$495&lt;=10)*('CONTROL MASTER'!$V$2:$V$495&gt;=10)*('CONTROL MASTER'!$U$2:$U$495&lt;=5)*('CONTROL MASTER'!$W$2:$W$495&gt;=5))*ROW('CONTROL MASTER'!$S$2:$S$495))-(ROW('CONTROL MASTER'!#REF!)-1))))*(INDEX('CONTROL MASTER'!$W$2:$W$495,(SUMPRODUCT((('CONTROL MASTER'!$S$2:$S$495=6)*('CONTROL MASTER'!$T$2:$T$495&lt;=10)*('CONTROL MASTER'!$V$2:$V$495&gt;=10)*('CONTROL MASTER'!$U$2:$U$495&lt;=5)*('CONTROL MASTER'!$W$2:$W$495&gt;=5))*ROW('CONTROL MASTER'!$S$2:$S$495))-(ROW('CONTROL MASTER'!#REF!)-1)))-INDEX('CONTROL MASTER'!$U$2:$U$495,(SUMPRODUCT((('CONTROL MASTER'!$S$2:$S$495=6)*('CONTROL MASTER'!$T$2:$T$495&lt;=10)*('CONTROL MASTER'!$V$2:$V$495&gt;=10)*('CONTROL MASTER'!$U$2:$U$495&lt;=5)*('CONTROL MASTER'!$W$2:$W$495&gt;=5))*ROW('CONTROL MASTER'!$S$2:$S$495))-(ROW('CONTROL MASTER'!#REF!)-1)))+1)+(5-INDEX('CONTROL MASTER'!$U$2:$U$495,(SUMPRODUCT((('CONTROL MASTER'!$S$2:$S$495=6)*('CONTROL MASTER'!$T$2:$T$495&lt;=10)*('CONTROL MASTER'!$V$2:$V$495&gt;=10)*('CONTROL MASTER'!$U$2:$U$495&lt;=5)*('CONTROL MASTER'!$W$2:$W$495&gt;=5))*ROW('CONTROL MASTER'!$S$2:$S$495))-(ROW('CONTROL MASTER'!#REF!)-1))))+1))-1)*50+1,50))&amp;"_"&amp;INDEX('CONTROL MASTER'!$P$2:$P$495,(SUMPRODUCT((('CONTROL MASTER'!$S$2:$S$495=6)*('CONTROL MASTER'!$T$2:$T$495&lt;=10)*('CONTROL MASTER'!$V$2:$V$495&gt;=10)*('CONTROL MASTER'!$U$2:$U$495&lt;=5)*('CONTROL MASTER'!$W$2:$W$495&gt;=5))*ROW('CONTROL MASTER'!$S$2:$S$495))-(ROW('CONTROL MASTER'!#REF!)-1))),IF(SUMPRODUCT((('CONTROL MASTER'!$S$2:$S$495=6)*('CONTROL MASTER'!$Z$2:$Z$495&lt;=10)*('CONTROL MASTER'!$AB$2:$AB$495&gt;=10)*('CONTROL MASTER'!$AA$2:$AA$495&lt;=5)*('CONTROL MASTER'!$AC$2:$AC$495&gt;=5))*ROW('CONTROL MASTER'!$S$2:$S$495))&gt;0,INDEX('CONTROL MASTER'!$X$2:$X$495,(SUMPRODUCT((('CONTROL MASTER'!$S$2:$S$495=6)*('CONTROL MASTER'!$Z$2:$Z$495&lt;=10)*('CONTROL MASTER'!$AB$2:$AB$495&gt;=10)*('CONTROL MASTER'!$AA$2:$AA$495&lt;=5)*('CONTROL MASTER'!$AC$2:$AC$495&gt;=5))*ROW('CONTROL MASTER'!$S$2:$S$495))-(ROW('CONTROL MASTER'!#REF!)-1)))&amp;TRIM(MID(SUBSTITUTE(SUBSTITUTE(INDEX('CONTROL MASTER'!$N$2:$N$495,(SUMPRODUCT((('CONTROL MASTER'!$S$2:$S$495=6)*('CONTROL MASTER'!$Z$2:$Z$495&lt;=10)*('CONTROL MASTER'!$AB$2:$AB$495&gt;=10)*('CONTROL MASTER'!$AA$2:$AA$495&lt;=5)*('CONTROL MASTER'!$AC$2:$AC$495&gt;=5))*ROW('CONTROL MASTER'!$S$2:$S$495))-(ROW('CONTROL MASTER'!#REF!)-1))),":",","),",",REPT(" ",50)),(((INDEX('CONTROL MASTER'!$Y$2:$Y$495,(SUMPRODUCT((('CONTROL MASTER'!$S$2:$S$495=6)*('CONTROL MASTER'!$Z$2:$Z$495&lt;=10)*('CONTROL MASTER'!$AB$2:$AB$495&gt;=10)*('CONTROL MASTER'!$AA$2:$AA$495&lt;=5)*('CONTROL MASTER'!$AC$2:$AC$495&gt;=5))*ROW('CONTROL MASTER'!$S$2:$S$495))-(ROW('CONTROL MASTER'!#REF!)-1)))+((10-INDEX('CONTROL MASTER'!$Z$2:$Z$495,(SUMPRODUCT((('CONTROL MASTER'!$S$2:$S$495=6)*('CONTROL MASTER'!$Z$2:$Z$495&lt;=10)*('CONTROL MASTER'!$AB$2:$AB$495&gt;=10)*('CONTROL MASTER'!$AA$2:$AA$495&lt;=5)*('CONTROL MASTER'!$AC$2:$AC$495&gt;=5))*ROW('CONTROL MASTER'!$S$2:$S$495))-(ROW('CONTROL MASTER'!#REF!)-1))))*(INDEX('CONTROL MASTER'!$AC$2:$AC$495,(SUMPRODUCT((('CONTROL MASTER'!$S$2:$S$495=6)*('CONTROL MASTER'!$Z$2:$Z$495&lt;=10)*('CONTROL MASTER'!$AB$2:$AB$495&gt;=10)*('CONTROL MASTER'!$AA$2:$AA$495&lt;=5)*('CONTROL MASTER'!$AC$2:$AC$495&gt;=5))*ROW('CONTROL MASTER'!$S$2:$S$495))-(ROW('CONTROL MASTER'!#REF!)-1)))-INDEX('CONTROL MASTER'!$AA$2:$AA$495,(SUMPRODUCT((('CONTROL MASTER'!$S$2:$S$495=6)*('CONTROL MASTER'!$Z$2:$Z$495&lt;=10)*('CONTROL MASTER'!$AB$2:$AB$495&gt;=10)*('CONTROL MASTER'!$AA$2:$AA$495&lt;=5)*('CONTROL MASTER'!$AC$2:$AC$495&gt;=5))*ROW('CONTROL MASTER'!$S$2:$S$495))-(ROW('CONTROL MASTER'!#REF!)-1)))+1)+(5-INDEX('CONTROL MASTER'!$AA$2:$AA$495,(SUMPRODUCT((('CONTROL MASTER'!$S$2:$S$495=6)*('CONTROL MASTER'!$Z$2:$Z$495&lt;=10)*('CONTROL MASTER'!$AB$2:$AB$495&gt;=10)*('CONTROL MASTER'!$AA$2:$AA$495&lt;=5)*('CONTROL MASTER'!$AC$2:$AC$495&gt;=5))*ROW('CONTROL MASTER'!$S$2:$S$495))-(ROW('CONTROL MASTER'!#REF!)-1))))+1)))-1)*50+1,50))&amp;"_"&amp;INDEX('CONTROL MASTER'!$P$2:$P$495,(SUMPRODUCT((('CONTROL MASTER'!$S$2:$S$495=6)*('CONTROL MASTER'!$Z$2:$Z$495&lt;=10)*('CONTROL MASTER'!$AB$2:$AB$495&gt;=10)*('CONTROL MASTER'!$AA$2:$AA$495&lt;=5)*('CONTROL MASTER'!$AC$2:$AC$495&gt;=5))*ROW('CONTROL MASTER'!$S$2:$S$495))-(ROW('CONTROL MASTER'!#REF!)-1))),"")),"")</f>
        <v/>
      </c>
      <c r="G82" s="10" t="str">
        <f>IFERROR(IF(SUMPRODUCT((('CONTROL MASTER'!$S$2:$S$495=6)*('CONTROL MASTER'!$T$2:$T$495&lt;=10)*('CONTROL MASTER'!$V$2:$V$495&gt;=10)*('CONTROL MASTER'!$U$2:$U$495&lt;=6)*('CONTROL MASTER'!$W$2:$W$495&gt;=6))*ROW('CONTROL MASTER'!$S$2:$S$495))&gt;0,INDEX('CONTROL MASTER'!$X$2:$X$495,(SUMPRODUCT((('CONTROL MASTER'!$S$2:$S$495=6)*('CONTROL MASTER'!$T$2:$T$495&lt;=10)*('CONTROL MASTER'!$V$2:$V$495&gt;=10)*('CONTROL MASTER'!$U$2:$U$495&lt;=6)*('CONTROL MASTER'!$W$2:$W$495&gt;=6))*ROW('CONTROL MASTER'!$S$2:$S$495))-(ROW('CONTROL MASTER'!#REF!)-1)))&amp;TRIM(MID(SUBSTITUTE(SUBSTITUTE(INDEX('CONTROL MASTER'!$N$2:$N$495,(SUMPRODUCT((('CONTROL MASTER'!$S$2:$S$495=6)*('CONTROL MASTER'!$T$2:$T$495&lt;=10)*('CONTROL MASTER'!$V$2:$V$495&gt;=10)*('CONTROL MASTER'!$U$2:$U$495&lt;=6)*('CONTROL MASTER'!$W$2:$W$495&gt;=6))*ROW('CONTROL MASTER'!$S$2:$S$495))-(ROW('CONTROL MASTER'!#REF!)-1))),":",","),",",REPT(" ",50)),((((10-INDEX('CONTROL MASTER'!$T$2:$T$495,(SUMPRODUCT((('CONTROL MASTER'!$S$2:$S$495=6)*('CONTROL MASTER'!$T$2:$T$495&lt;=10)*('CONTROL MASTER'!$V$2:$V$495&gt;=10)*('CONTROL MASTER'!$U$2:$U$495&lt;=6)*('CONTROL MASTER'!$W$2:$W$495&gt;=6))*ROW('CONTROL MASTER'!$S$2:$S$495))-(ROW('CONTROL MASTER'!#REF!)-1))))*(INDEX('CONTROL MASTER'!$W$2:$W$495,(SUMPRODUCT((('CONTROL MASTER'!$S$2:$S$495=6)*('CONTROL MASTER'!$T$2:$T$495&lt;=10)*('CONTROL MASTER'!$V$2:$V$495&gt;=10)*('CONTROL MASTER'!$U$2:$U$495&lt;=6)*('CONTROL MASTER'!$W$2:$W$495&gt;=6))*ROW('CONTROL MASTER'!$S$2:$S$495))-(ROW('CONTROL MASTER'!#REF!)-1)))-INDEX('CONTROL MASTER'!$U$2:$U$495,(SUMPRODUCT((('CONTROL MASTER'!$S$2:$S$495=6)*('CONTROL MASTER'!$T$2:$T$495&lt;=10)*('CONTROL MASTER'!$V$2:$V$495&gt;=10)*('CONTROL MASTER'!$U$2:$U$495&lt;=6)*('CONTROL MASTER'!$W$2:$W$495&gt;=6))*ROW('CONTROL MASTER'!$S$2:$S$495))-(ROW('CONTROL MASTER'!#REF!)-1)))+1)+(6-INDEX('CONTROL MASTER'!$U$2:$U$495,(SUMPRODUCT((('CONTROL MASTER'!$S$2:$S$495=6)*('CONTROL MASTER'!$T$2:$T$495&lt;=10)*('CONTROL MASTER'!$V$2:$V$495&gt;=10)*('CONTROL MASTER'!$U$2:$U$495&lt;=6)*('CONTROL MASTER'!$W$2:$W$495&gt;=6))*ROW('CONTROL MASTER'!$S$2:$S$495))-(ROW('CONTROL MASTER'!#REF!)-1))))+1))-1)*50+1,50))&amp;"_"&amp;INDEX('CONTROL MASTER'!$P$2:$P$495,(SUMPRODUCT((('CONTROL MASTER'!$S$2:$S$495=6)*('CONTROL MASTER'!$T$2:$T$495&lt;=10)*('CONTROL MASTER'!$V$2:$V$495&gt;=10)*('CONTROL MASTER'!$U$2:$U$495&lt;=6)*('CONTROL MASTER'!$W$2:$W$495&gt;=6))*ROW('CONTROL MASTER'!$S$2:$S$495))-(ROW('CONTROL MASTER'!#REF!)-1))),IF(SUMPRODUCT((('CONTROL MASTER'!$S$2:$S$495=6)*('CONTROL MASTER'!$Z$2:$Z$495&lt;=10)*('CONTROL MASTER'!$AB$2:$AB$495&gt;=10)*('CONTROL MASTER'!$AA$2:$AA$495&lt;=6)*('CONTROL MASTER'!$AC$2:$AC$495&gt;=6))*ROW('CONTROL MASTER'!$S$2:$S$495))&gt;0,INDEX('CONTROL MASTER'!$X$2:$X$495,(SUMPRODUCT((('CONTROL MASTER'!$S$2:$S$495=6)*('CONTROL MASTER'!$Z$2:$Z$495&lt;=10)*('CONTROL MASTER'!$AB$2:$AB$495&gt;=10)*('CONTROL MASTER'!$AA$2:$AA$495&lt;=6)*('CONTROL MASTER'!$AC$2:$AC$495&gt;=6))*ROW('CONTROL MASTER'!$S$2:$S$495))-(ROW('CONTROL MASTER'!#REF!)-1)))&amp;TRIM(MID(SUBSTITUTE(SUBSTITUTE(INDEX('CONTROL MASTER'!$N$2:$N$495,(SUMPRODUCT((('CONTROL MASTER'!$S$2:$S$495=6)*('CONTROL MASTER'!$Z$2:$Z$495&lt;=10)*('CONTROL MASTER'!$AB$2:$AB$495&gt;=10)*('CONTROL MASTER'!$AA$2:$AA$495&lt;=6)*('CONTROL MASTER'!$AC$2:$AC$495&gt;=6))*ROW('CONTROL MASTER'!$S$2:$S$495))-(ROW('CONTROL MASTER'!#REF!)-1))),":",","),",",REPT(" ",50)),(((INDEX('CONTROL MASTER'!$Y$2:$Y$495,(SUMPRODUCT((('CONTROL MASTER'!$S$2:$S$495=6)*('CONTROL MASTER'!$Z$2:$Z$495&lt;=10)*('CONTROL MASTER'!$AB$2:$AB$495&gt;=10)*('CONTROL MASTER'!$AA$2:$AA$495&lt;=6)*('CONTROL MASTER'!$AC$2:$AC$495&gt;=6))*ROW('CONTROL MASTER'!$S$2:$S$495))-(ROW('CONTROL MASTER'!#REF!)-1)))+((10-INDEX('CONTROL MASTER'!$Z$2:$Z$495,(SUMPRODUCT((('CONTROL MASTER'!$S$2:$S$495=6)*('CONTROL MASTER'!$Z$2:$Z$495&lt;=10)*('CONTROL MASTER'!$AB$2:$AB$495&gt;=10)*('CONTROL MASTER'!$AA$2:$AA$495&lt;=6)*('CONTROL MASTER'!$AC$2:$AC$495&gt;=6))*ROW('CONTROL MASTER'!$S$2:$S$495))-(ROW('CONTROL MASTER'!#REF!)-1))))*(INDEX('CONTROL MASTER'!$AC$2:$AC$495,(SUMPRODUCT((('CONTROL MASTER'!$S$2:$S$495=6)*('CONTROL MASTER'!$Z$2:$Z$495&lt;=10)*('CONTROL MASTER'!$AB$2:$AB$495&gt;=10)*('CONTROL MASTER'!$AA$2:$AA$495&lt;=6)*('CONTROL MASTER'!$AC$2:$AC$495&gt;=6))*ROW('CONTROL MASTER'!$S$2:$S$495))-(ROW('CONTROL MASTER'!#REF!)-1)))-INDEX('CONTROL MASTER'!$AA$2:$AA$495,(SUMPRODUCT((('CONTROL MASTER'!$S$2:$S$495=6)*('CONTROL MASTER'!$Z$2:$Z$495&lt;=10)*('CONTROL MASTER'!$AB$2:$AB$495&gt;=10)*('CONTROL MASTER'!$AA$2:$AA$495&lt;=6)*('CONTROL MASTER'!$AC$2:$AC$495&gt;=6))*ROW('CONTROL MASTER'!$S$2:$S$495))-(ROW('CONTROL MASTER'!#REF!)-1)))+1)+(6-INDEX('CONTROL MASTER'!$AA$2:$AA$495,(SUMPRODUCT((('CONTROL MASTER'!$S$2:$S$495=6)*('CONTROL MASTER'!$Z$2:$Z$495&lt;=10)*('CONTROL MASTER'!$AB$2:$AB$495&gt;=10)*('CONTROL MASTER'!$AA$2:$AA$495&lt;=6)*('CONTROL MASTER'!$AC$2:$AC$495&gt;=6))*ROW('CONTROL MASTER'!$S$2:$S$495))-(ROW('CONTROL MASTER'!#REF!)-1))))+1)))-1)*50+1,50))&amp;"_"&amp;INDEX('CONTROL MASTER'!$P$2:$P$495,(SUMPRODUCT((('CONTROL MASTER'!$S$2:$S$495=6)*('CONTROL MASTER'!$Z$2:$Z$495&lt;=10)*('CONTROL MASTER'!$AB$2:$AB$495&gt;=10)*('CONTROL MASTER'!$AA$2:$AA$495&lt;=6)*('CONTROL MASTER'!$AC$2:$AC$495&gt;=6))*ROW('CONTROL MASTER'!$S$2:$S$495))-(ROW('CONTROL MASTER'!#REF!)-1))),"")),"")</f>
        <v/>
      </c>
      <c r="H82" s="10" t="str">
        <f>IFERROR(IF(SUMPRODUCT((('CONTROL MASTER'!$S$2:$S$495=6)*('CONTROL MASTER'!$T$2:$T$495&lt;=10)*('CONTROL MASTER'!$V$2:$V$495&gt;=10)*('CONTROL MASTER'!$U$2:$U$495&lt;=7)*('CONTROL MASTER'!$W$2:$W$495&gt;=7))*ROW('CONTROL MASTER'!$S$2:$S$495))&gt;0,INDEX('CONTROL MASTER'!$X$2:$X$495,(SUMPRODUCT((('CONTROL MASTER'!$S$2:$S$495=6)*('CONTROL MASTER'!$T$2:$T$495&lt;=10)*('CONTROL MASTER'!$V$2:$V$495&gt;=10)*('CONTROL MASTER'!$U$2:$U$495&lt;=7)*('CONTROL MASTER'!$W$2:$W$495&gt;=7))*ROW('CONTROL MASTER'!$S$2:$S$495))-(ROW('CONTROL MASTER'!#REF!)-1)))&amp;TRIM(MID(SUBSTITUTE(SUBSTITUTE(INDEX('CONTROL MASTER'!$N$2:$N$495,(SUMPRODUCT((('CONTROL MASTER'!$S$2:$S$495=6)*('CONTROL MASTER'!$T$2:$T$495&lt;=10)*('CONTROL MASTER'!$V$2:$V$495&gt;=10)*('CONTROL MASTER'!$U$2:$U$495&lt;=7)*('CONTROL MASTER'!$W$2:$W$495&gt;=7))*ROW('CONTROL MASTER'!$S$2:$S$495))-(ROW('CONTROL MASTER'!#REF!)-1))),":",","),",",REPT(" ",50)),((((10-INDEX('CONTROL MASTER'!$T$2:$T$495,(SUMPRODUCT((('CONTROL MASTER'!$S$2:$S$495=6)*('CONTROL MASTER'!$T$2:$T$495&lt;=10)*('CONTROL MASTER'!$V$2:$V$495&gt;=10)*('CONTROL MASTER'!$U$2:$U$495&lt;=7)*('CONTROL MASTER'!$W$2:$W$495&gt;=7))*ROW('CONTROL MASTER'!$S$2:$S$495))-(ROW('CONTROL MASTER'!#REF!)-1))))*(INDEX('CONTROL MASTER'!$W$2:$W$495,(SUMPRODUCT((('CONTROL MASTER'!$S$2:$S$495=6)*('CONTROL MASTER'!$T$2:$T$495&lt;=10)*('CONTROL MASTER'!$V$2:$V$495&gt;=10)*('CONTROL MASTER'!$U$2:$U$495&lt;=7)*('CONTROL MASTER'!$W$2:$W$495&gt;=7))*ROW('CONTROL MASTER'!$S$2:$S$495))-(ROW('CONTROL MASTER'!#REF!)-1)))-INDEX('CONTROL MASTER'!$U$2:$U$495,(SUMPRODUCT((('CONTROL MASTER'!$S$2:$S$495=6)*('CONTROL MASTER'!$T$2:$T$495&lt;=10)*('CONTROL MASTER'!$V$2:$V$495&gt;=10)*('CONTROL MASTER'!$U$2:$U$495&lt;=7)*('CONTROL MASTER'!$W$2:$W$495&gt;=7))*ROW('CONTROL MASTER'!$S$2:$S$495))-(ROW('CONTROL MASTER'!#REF!)-1)))+1)+(7-INDEX('CONTROL MASTER'!$U$2:$U$495,(SUMPRODUCT((('CONTROL MASTER'!$S$2:$S$495=6)*('CONTROL MASTER'!$T$2:$T$495&lt;=10)*('CONTROL MASTER'!$V$2:$V$495&gt;=10)*('CONTROL MASTER'!$U$2:$U$495&lt;=7)*('CONTROL MASTER'!$W$2:$W$495&gt;=7))*ROW('CONTROL MASTER'!$S$2:$S$495))-(ROW('CONTROL MASTER'!#REF!)-1))))+1))-1)*50+1,50))&amp;"_"&amp;INDEX('CONTROL MASTER'!$P$2:$P$495,(SUMPRODUCT((('CONTROL MASTER'!$S$2:$S$495=6)*('CONTROL MASTER'!$T$2:$T$495&lt;=10)*('CONTROL MASTER'!$V$2:$V$495&gt;=10)*('CONTROL MASTER'!$U$2:$U$495&lt;=7)*('CONTROL MASTER'!$W$2:$W$495&gt;=7))*ROW('CONTROL MASTER'!$S$2:$S$495))-(ROW('CONTROL MASTER'!#REF!)-1))),IF(SUMPRODUCT((('CONTROL MASTER'!$S$2:$S$495=6)*('CONTROL MASTER'!$Z$2:$Z$495&lt;=10)*('CONTROL MASTER'!$AB$2:$AB$495&gt;=10)*('CONTROL MASTER'!$AA$2:$AA$495&lt;=7)*('CONTROL MASTER'!$AC$2:$AC$495&gt;=7))*ROW('CONTROL MASTER'!$S$2:$S$495))&gt;0,INDEX('CONTROL MASTER'!$X$2:$X$495,(SUMPRODUCT((('CONTROL MASTER'!$S$2:$S$495=6)*('CONTROL MASTER'!$Z$2:$Z$495&lt;=10)*('CONTROL MASTER'!$AB$2:$AB$495&gt;=10)*('CONTROL MASTER'!$AA$2:$AA$495&lt;=7)*('CONTROL MASTER'!$AC$2:$AC$495&gt;=7))*ROW('CONTROL MASTER'!$S$2:$S$495))-(ROW('CONTROL MASTER'!#REF!)-1)))&amp;TRIM(MID(SUBSTITUTE(SUBSTITUTE(INDEX('CONTROL MASTER'!$N$2:$N$495,(SUMPRODUCT((('CONTROL MASTER'!$S$2:$S$495=6)*('CONTROL MASTER'!$Z$2:$Z$495&lt;=10)*('CONTROL MASTER'!$AB$2:$AB$495&gt;=10)*('CONTROL MASTER'!$AA$2:$AA$495&lt;=7)*('CONTROL MASTER'!$AC$2:$AC$495&gt;=7))*ROW('CONTROL MASTER'!$S$2:$S$495))-(ROW('CONTROL MASTER'!#REF!)-1))),":",","),",",REPT(" ",50)),(((INDEX('CONTROL MASTER'!$Y$2:$Y$495,(SUMPRODUCT((('CONTROL MASTER'!$S$2:$S$495=6)*('CONTROL MASTER'!$Z$2:$Z$495&lt;=10)*('CONTROL MASTER'!$AB$2:$AB$495&gt;=10)*('CONTROL MASTER'!$AA$2:$AA$495&lt;=7)*('CONTROL MASTER'!$AC$2:$AC$495&gt;=7))*ROW('CONTROL MASTER'!$S$2:$S$495))-(ROW('CONTROL MASTER'!#REF!)-1)))+((10-INDEX('CONTROL MASTER'!$Z$2:$Z$495,(SUMPRODUCT((('CONTROL MASTER'!$S$2:$S$495=6)*('CONTROL MASTER'!$Z$2:$Z$495&lt;=10)*('CONTROL MASTER'!$AB$2:$AB$495&gt;=10)*('CONTROL MASTER'!$AA$2:$AA$495&lt;=7)*('CONTROL MASTER'!$AC$2:$AC$495&gt;=7))*ROW('CONTROL MASTER'!$S$2:$S$495))-(ROW('CONTROL MASTER'!#REF!)-1))))*(INDEX('CONTROL MASTER'!$AC$2:$AC$495,(SUMPRODUCT((('CONTROL MASTER'!$S$2:$S$495=6)*('CONTROL MASTER'!$Z$2:$Z$495&lt;=10)*('CONTROL MASTER'!$AB$2:$AB$495&gt;=10)*('CONTROL MASTER'!$AA$2:$AA$495&lt;=7)*('CONTROL MASTER'!$AC$2:$AC$495&gt;=7))*ROW('CONTROL MASTER'!$S$2:$S$495))-(ROW('CONTROL MASTER'!#REF!)-1)))-INDEX('CONTROL MASTER'!$AA$2:$AA$495,(SUMPRODUCT((('CONTROL MASTER'!$S$2:$S$495=6)*('CONTROL MASTER'!$Z$2:$Z$495&lt;=10)*('CONTROL MASTER'!$AB$2:$AB$495&gt;=10)*('CONTROL MASTER'!$AA$2:$AA$495&lt;=7)*('CONTROL MASTER'!$AC$2:$AC$495&gt;=7))*ROW('CONTROL MASTER'!$S$2:$S$495))-(ROW('CONTROL MASTER'!#REF!)-1)))+1)+(7-INDEX('CONTROL MASTER'!$AA$2:$AA$495,(SUMPRODUCT((('CONTROL MASTER'!$S$2:$S$495=6)*('CONTROL MASTER'!$Z$2:$Z$495&lt;=10)*('CONTROL MASTER'!$AB$2:$AB$495&gt;=10)*('CONTROL MASTER'!$AA$2:$AA$495&lt;=7)*('CONTROL MASTER'!$AC$2:$AC$495&gt;=7))*ROW('CONTROL MASTER'!$S$2:$S$495))-(ROW('CONTROL MASTER'!#REF!)-1))))+1)))-1)*50+1,50))&amp;"_"&amp;INDEX('CONTROL MASTER'!$P$2:$P$495,(SUMPRODUCT((('CONTROL MASTER'!$S$2:$S$495=6)*('CONTROL MASTER'!$Z$2:$Z$495&lt;=10)*('CONTROL MASTER'!$AB$2:$AB$495&gt;=10)*('CONTROL MASTER'!$AA$2:$AA$495&lt;=7)*('CONTROL MASTER'!$AC$2:$AC$495&gt;=7))*ROW('CONTROL MASTER'!$S$2:$S$495))-(ROW('CONTROL MASTER'!#REF!)-1))),"")),"")</f>
        <v/>
      </c>
      <c r="I82" s="10" t="str">
        <f>IFERROR(IF(SUMPRODUCT((('CONTROL MASTER'!$S$2:$S$495=6)*('CONTROL MASTER'!$T$2:$T$495&lt;=10)*('CONTROL MASTER'!$V$2:$V$495&gt;=10)*('CONTROL MASTER'!$U$2:$U$495&lt;=8)*('CONTROL MASTER'!$W$2:$W$495&gt;=8))*ROW('CONTROL MASTER'!$S$2:$S$495))&gt;0,INDEX('CONTROL MASTER'!$X$2:$X$495,(SUMPRODUCT((('CONTROL MASTER'!$S$2:$S$495=6)*('CONTROL MASTER'!$T$2:$T$495&lt;=10)*('CONTROL MASTER'!$V$2:$V$495&gt;=10)*('CONTROL MASTER'!$U$2:$U$495&lt;=8)*('CONTROL MASTER'!$W$2:$W$495&gt;=8))*ROW('CONTROL MASTER'!$S$2:$S$495))-(ROW('CONTROL MASTER'!#REF!)-1)))&amp;TRIM(MID(SUBSTITUTE(SUBSTITUTE(INDEX('CONTROL MASTER'!$N$2:$N$495,(SUMPRODUCT((('CONTROL MASTER'!$S$2:$S$495=6)*('CONTROL MASTER'!$T$2:$T$495&lt;=10)*('CONTROL MASTER'!$V$2:$V$495&gt;=10)*('CONTROL MASTER'!$U$2:$U$495&lt;=8)*('CONTROL MASTER'!$W$2:$W$495&gt;=8))*ROW('CONTROL MASTER'!$S$2:$S$495))-(ROW('CONTROL MASTER'!#REF!)-1))),":",","),",",REPT(" ",50)),((((10-INDEX('CONTROL MASTER'!$T$2:$T$495,(SUMPRODUCT((('CONTROL MASTER'!$S$2:$S$495=6)*('CONTROL MASTER'!$T$2:$T$495&lt;=10)*('CONTROL MASTER'!$V$2:$V$495&gt;=10)*('CONTROL MASTER'!$U$2:$U$495&lt;=8)*('CONTROL MASTER'!$W$2:$W$495&gt;=8))*ROW('CONTROL MASTER'!$S$2:$S$495))-(ROW('CONTROL MASTER'!#REF!)-1))))*(INDEX('CONTROL MASTER'!$W$2:$W$495,(SUMPRODUCT((('CONTROL MASTER'!$S$2:$S$495=6)*('CONTROL MASTER'!$T$2:$T$495&lt;=10)*('CONTROL MASTER'!$V$2:$V$495&gt;=10)*('CONTROL MASTER'!$U$2:$U$495&lt;=8)*('CONTROL MASTER'!$W$2:$W$495&gt;=8))*ROW('CONTROL MASTER'!$S$2:$S$495))-(ROW('CONTROL MASTER'!#REF!)-1)))-INDEX('CONTROL MASTER'!$U$2:$U$495,(SUMPRODUCT((('CONTROL MASTER'!$S$2:$S$495=6)*('CONTROL MASTER'!$T$2:$T$495&lt;=10)*('CONTROL MASTER'!$V$2:$V$495&gt;=10)*('CONTROL MASTER'!$U$2:$U$495&lt;=8)*('CONTROL MASTER'!$W$2:$W$495&gt;=8))*ROW('CONTROL MASTER'!$S$2:$S$495))-(ROW('CONTROL MASTER'!#REF!)-1)))+1)+(8-INDEX('CONTROL MASTER'!$U$2:$U$495,(SUMPRODUCT((('CONTROL MASTER'!$S$2:$S$495=6)*('CONTROL MASTER'!$T$2:$T$495&lt;=10)*('CONTROL MASTER'!$V$2:$V$495&gt;=10)*('CONTROL MASTER'!$U$2:$U$495&lt;=8)*('CONTROL MASTER'!$W$2:$W$495&gt;=8))*ROW('CONTROL MASTER'!$S$2:$S$495))-(ROW('CONTROL MASTER'!#REF!)-1))))+1))-1)*50+1,50))&amp;"_"&amp;INDEX('CONTROL MASTER'!$P$2:$P$495,(SUMPRODUCT((('CONTROL MASTER'!$S$2:$S$495=6)*('CONTROL MASTER'!$T$2:$T$495&lt;=10)*('CONTROL MASTER'!$V$2:$V$495&gt;=10)*('CONTROL MASTER'!$U$2:$U$495&lt;=8)*('CONTROL MASTER'!$W$2:$W$495&gt;=8))*ROW('CONTROL MASTER'!$S$2:$S$495))-(ROW('CONTROL MASTER'!#REF!)-1))),IF(SUMPRODUCT((('CONTROL MASTER'!$S$2:$S$495=6)*('CONTROL MASTER'!$Z$2:$Z$495&lt;=10)*('CONTROL MASTER'!$AB$2:$AB$495&gt;=10)*('CONTROL MASTER'!$AA$2:$AA$495&lt;=8)*('CONTROL MASTER'!$AC$2:$AC$495&gt;=8))*ROW('CONTROL MASTER'!$S$2:$S$495))&gt;0,INDEX('CONTROL MASTER'!$X$2:$X$495,(SUMPRODUCT((('CONTROL MASTER'!$S$2:$S$495=6)*('CONTROL MASTER'!$Z$2:$Z$495&lt;=10)*('CONTROL MASTER'!$AB$2:$AB$495&gt;=10)*('CONTROL MASTER'!$AA$2:$AA$495&lt;=8)*('CONTROL MASTER'!$AC$2:$AC$495&gt;=8))*ROW('CONTROL MASTER'!$S$2:$S$495))-(ROW('CONTROL MASTER'!#REF!)-1)))&amp;TRIM(MID(SUBSTITUTE(SUBSTITUTE(INDEX('CONTROL MASTER'!$N$2:$N$495,(SUMPRODUCT((('CONTROL MASTER'!$S$2:$S$495=6)*('CONTROL MASTER'!$Z$2:$Z$495&lt;=10)*('CONTROL MASTER'!$AB$2:$AB$495&gt;=10)*('CONTROL MASTER'!$AA$2:$AA$495&lt;=8)*('CONTROL MASTER'!$AC$2:$AC$495&gt;=8))*ROW('CONTROL MASTER'!$S$2:$S$495))-(ROW('CONTROL MASTER'!#REF!)-1))),":",","),",",REPT(" ",50)),(((INDEX('CONTROL MASTER'!$Y$2:$Y$495,(SUMPRODUCT((('CONTROL MASTER'!$S$2:$S$495=6)*('CONTROL MASTER'!$Z$2:$Z$495&lt;=10)*('CONTROL MASTER'!$AB$2:$AB$495&gt;=10)*('CONTROL MASTER'!$AA$2:$AA$495&lt;=8)*('CONTROL MASTER'!$AC$2:$AC$495&gt;=8))*ROW('CONTROL MASTER'!$S$2:$S$495))-(ROW('CONTROL MASTER'!#REF!)-1)))+((10-INDEX('CONTROL MASTER'!$Z$2:$Z$495,(SUMPRODUCT((('CONTROL MASTER'!$S$2:$S$495=6)*('CONTROL MASTER'!$Z$2:$Z$495&lt;=10)*('CONTROL MASTER'!$AB$2:$AB$495&gt;=10)*('CONTROL MASTER'!$AA$2:$AA$495&lt;=8)*('CONTROL MASTER'!$AC$2:$AC$495&gt;=8))*ROW('CONTROL MASTER'!$S$2:$S$495))-(ROW('CONTROL MASTER'!#REF!)-1))))*(INDEX('CONTROL MASTER'!$AC$2:$AC$495,(SUMPRODUCT((('CONTROL MASTER'!$S$2:$S$495=6)*('CONTROL MASTER'!$Z$2:$Z$495&lt;=10)*('CONTROL MASTER'!$AB$2:$AB$495&gt;=10)*('CONTROL MASTER'!$AA$2:$AA$495&lt;=8)*('CONTROL MASTER'!$AC$2:$AC$495&gt;=8))*ROW('CONTROL MASTER'!$S$2:$S$495))-(ROW('CONTROL MASTER'!#REF!)-1)))-INDEX('CONTROL MASTER'!$AA$2:$AA$495,(SUMPRODUCT((('CONTROL MASTER'!$S$2:$S$495=6)*('CONTROL MASTER'!$Z$2:$Z$495&lt;=10)*('CONTROL MASTER'!$AB$2:$AB$495&gt;=10)*('CONTROL MASTER'!$AA$2:$AA$495&lt;=8)*('CONTROL MASTER'!$AC$2:$AC$495&gt;=8))*ROW('CONTROL MASTER'!$S$2:$S$495))-(ROW('CONTROL MASTER'!#REF!)-1)))+1)+(8-INDEX('CONTROL MASTER'!$AA$2:$AA$495,(SUMPRODUCT((('CONTROL MASTER'!$S$2:$S$495=6)*('CONTROL MASTER'!$Z$2:$Z$495&lt;=10)*('CONTROL MASTER'!$AB$2:$AB$495&gt;=10)*('CONTROL MASTER'!$AA$2:$AA$495&lt;=8)*('CONTROL MASTER'!$AC$2:$AC$495&gt;=8))*ROW('CONTROL MASTER'!$S$2:$S$495))-(ROW('CONTROL MASTER'!#REF!)-1))))+1)))-1)*50+1,50))&amp;"_"&amp;INDEX('CONTROL MASTER'!$P$2:$P$495,(SUMPRODUCT((('CONTROL MASTER'!$S$2:$S$495=6)*('CONTROL MASTER'!$Z$2:$Z$495&lt;=10)*('CONTROL MASTER'!$AB$2:$AB$495&gt;=10)*('CONTROL MASTER'!$AA$2:$AA$495&lt;=8)*('CONTROL MASTER'!$AC$2:$AC$495&gt;=8))*ROW('CONTROL MASTER'!$S$2:$S$495))-(ROW('CONTROL MASTER'!#REF!)-1))),"")),"")</f>
        <v/>
      </c>
      <c r="J82" s="10" t="str">
        <f>IFERROR(IF(SUMPRODUCT((('CONTROL MASTER'!$S$2:$S$495=6)*('CONTROL MASTER'!$T$2:$T$495&lt;=10)*('CONTROL MASTER'!$V$2:$V$495&gt;=10)*('CONTROL MASTER'!$U$2:$U$495&lt;=9)*('CONTROL MASTER'!$W$2:$W$495&gt;=9))*ROW('CONTROL MASTER'!$S$2:$S$495))&gt;0,INDEX('CONTROL MASTER'!$X$2:$X$495,(SUMPRODUCT((('CONTROL MASTER'!$S$2:$S$495=6)*('CONTROL MASTER'!$T$2:$T$495&lt;=10)*('CONTROL MASTER'!$V$2:$V$495&gt;=10)*('CONTROL MASTER'!$U$2:$U$495&lt;=9)*('CONTROL MASTER'!$W$2:$W$495&gt;=9))*ROW('CONTROL MASTER'!$S$2:$S$495))-(ROW('CONTROL MASTER'!#REF!)-1)))&amp;TRIM(MID(SUBSTITUTE(SUBSTITUTE(INDEX('CONTROL MASTER'!$N$2:$N$495,(SUMPRODUCT((('CONTROL MASTER'!$S$2:$S$495=6)*('CONTROL MASTER'!$T$2:$T$495&lt;=10)*('CONTROL MASTER'!$V$2:$V$495&gt;=10)*('CONTROL MASTER'!$U$2:$U$495&lt;=9)*('CONTROL MASTER'!$W$2:$W$495&gt;=9))*ROW('CONTROL MASTER'!$S$2:$S$495))-(ROW('CONTROL MASTER'!#REF!)-1))),":",","),",",REPT(" ",50)),((((10-INDEX('CONTROL MASTER'!$T$2:$T$495,(SUMPRODUCT((('CONTROL MASTER'!$S$2:$S$495=6)*('CONTROL MASTER'!$T$2:$T$495&lt;=10)*('CONTROL MASTER'!$V$2:$V$495&gt;=10)*('CONTROL MASTER'!$U$2:$U$495&lt;=9)*('CONTROL MASTER'!$W$2:$W$495&gt;=9))*ROW('CONTROL MASTER'!$S$2:$S$495))-(ROW('CONTROL MASTER'!#REF!)-1))))*(INDEX('CONTROL MASTER'!$W$2:$W$495,(SUMPRODUCT((('CONTROL MASTER'!$S$2:$S$495=6)*('CONTROL MASTER'!$T$2:$T$495&lt;=10)*('CONTROL MASTER'!$V$2:$V$495&gt;=10)*('CONTROL MASTER'!$U$2:$U$495&lt;=9)*('CONTROL MASTER'!$W$2:$W$495&gt;=9))*ROW('CONTROL MASTER'!$S$2:$S$495))-(ROW('CONTROL MASTER'!#REF!)-1)))-INDEX('CONTROL MASTER'!$U$2:$U$495,(SUMPRODUCT((('CONTROL MASTER'!$S$2:$S$495=6)*('CONTROL MASTER'!$T$2:$T$495&lt;=10)*('CONTROL MASTER'!$V$2:$V$495&gt;=10)*('CONTROL MASTER'!$U$2:$U$495&lt;=9)*('CONTROL MASTER'!$W$2:$W$495&gt;=9))*ROW('CONTROL MASTER'!$S$2:$S$495))-(ROW('CONTROL MASTER'!#REF!)-1)))+1)+(9-INDEX('CONTROL MASTER'!$U$2:$U$495,(SUMPRODUCT((('CONTROL MASTER'!$S$2:$S$495=6)*('CONTROL MASTER'!$T$2:$T$495&lt;=10)*('CONTROL MASTER'!$V$2:$V$495&gt;=10)*('CONTROL MASTER'!$U$2:$U$495&lt;=9)*('CONTROL MASTER'!$W$2:$W$495&gt;=9))*ROW('CONTROL MASTER'!$S$2:$S$495))-(ROW('CONTROL MASTER'!#REF!)-1))))+1))-1)*50+1,50))&amp;"_"&amp;INDEX('CONTROL MASTER'!$P$2:$P$495,(SUMPRODUCT((('CONTROL MASTER'!$S$2:$S$495=6)*('CONTROL MASTER'!$T$2:$T$495&lt;=10)*('CONTROL MASTER'!$V$2:$V$495&gt;=10)*('CONTROL MASTER'!$U$2:$U$495&lt;=9)*('CONTROL MASTER'!$W$2:$W$495&gt;=9))*ROW('CONTROL MASTER'!$S$2:$S$495))-(ROW('CONTROL MASTER'!#REF!)-1))),IF(SUMPRODUCT((('CONTROL MASTER'!$S$2:$S$495=6)*('CONTROL MASTER'!$Z$2:$Z$495&lt;=10)*('CONTROL MASTER'!$AB$2:$AB$495&gt;=10)*('CONTROL MASTER'!$AA$2:$AA$495&lt;=9)*('CONTROL MASTER'!$AC$2:$AC$495&gt;=9))*ROW('CONTROL MASTER'!$S$2:$S$495))&gt;0,INDEX('CONTROL MASTER'!$X$2:$X$495,(SUMPRODUCT((('CONTROL MASTER'!$S$2:$S$495=6)*('CONTROL MASTER'!$Z$2:$Z$495&lt;=10)*('CONTROL MASTER'!$AB$2:$AB$495&gt;=10)*('CONTROL MASTER'!$AA$2:$AA$495&lt;=9)*('CONTROL MASTER'!$AC$2:$AC$495&gt;=9))*ROW('CONTROL MASTER'!$S$2:$S$495))-(ROW('CONTROL MASTER'!#REF!)-1)))&amp;TRIM(MID(SUBSTITUTE(SUBSTITUTE(INDEX('CONTROL MASTER'!$N$2:$N$495,(SUMPRODUCT((('CONTROL MASTER'!$S$2:$S$495=6)*('CONTROL MASTER'!$Z$2:$Z$495&lt;=10)*('CONTROL MASTER'!$AB$2:$AB$495&gt;=10)*('CONTROL MASTER'!$AA$2:$AA$495&lt;=9)*('CONTROL MASTER'!$AC$2:$AC$495&gt;=9))*ROW('CONTROL MASTER'!$S$2:$S$495))-(ROW('CONTROL MASTER'!#REF!)-1))),":",","),",",REPT(" ",50)),(((INDEX('CONTROL MASTER'!$Y$2:$Y$495,(SUMPRODUCT((('CONTROL MASTER'!$S$2:$S$495=6)*('CONTROL MASTER'!$Z$2:$Z$495&lt;=10)*('CONTROL MASTER'!$AB$2:$AB$495&gt;=10)*('CONTROL MASTER'!$AA$2:$AA$495&lt;=9)*('CONTROL MASTER'!$AC$2:$AC$495&gt;=9))*ROW('CONTROL MASTER'!$S$2:$S$495))-(ROW('CONTROL MASTER'!#REF!)-1)))+((10-INDEX('CONTROL MASTER'!$Z$2:$Z$495,(SUMPRODUCT((('CONTROL MASTER'!$S$2:$S$495=6)*('CONTROL MASTER'!$Z$2:$Z$495&lt;=10)*('CONTROL MASTER'!$AB$2:$AB$495&gt;=10)*('CONTROL MASTER'!$AA$2:$AA$495&lt;=9)*('CONTROL MASTER'!$AC$2:$AC$495&gt;=9))*ROW('CONTROL MASTER'!$S$2:$S$495))-(ROW('CONTROL MASTER'!#REF!)-1))))*(INDEX('CONTROL MASTER'!$AC$2:$AC$495,(SUMPRODUCT((('CONTROL MASTER'!$S$2:$S$495=6)*('CONTROL MASTER'!$Z$2:$Z$495&lt;=10)*('CONTROL MASTER'!$AB$2:$AB$495&gt;=10)*('CONTROL MASTER'!$AA$2:$AA$495&lt;=9)*('CONTROL MASTER'!$AC$2:$AC$495&gt;=9))*ROW('CONTROL MASTER'!$S$2:$S$495))-(ROW('CONTROL MASTER'!#REF!)-1)))-INDEX('CONTROL MASTER'!$AA$2:$AA$495,(SUMPRODUCT((('CONTROL MASTER'!$S$2:$S$495=6)*('CONTROL MASTER'!$Z$2:$Z$495&lt;=10)*('CONTROL MASTER'!$AB$2:$AB$495&gt;=10)*('CONTROL MASTER'!$AA$2:$AA$495&lt;=9)*('CONTROL MASTER'!$AC$2:$AC$495&gt;=9))*ROW('CONTROL MASTER'!$S$2:$S$495))-(ROW('CONTROL MASTER'!#REF!)-1)))+1)+(9-INDEX('CONTROL MASTER'!$AA$2:$AA$495,(SUMPRODUCT((('CONTROL MASTER'!$S$2:$S$495=6)*('CONTROL MASTER'!$Z$2:$Z$495&lt;=10)*('CONTROL MASTER'!$AB$2:$AB$495&gt;=10)*('CONTROL MASTER'!$AA$2:$AA$495&lt;=9)*('CONTROL MASTER'!$AC$2:$AC$495&gt;=9))*ROW('CONTROL MASTER'!$S$2:$S$495))-(ROW('CONTROL MASTER'!#REF!)-1))))+1)))-1)*50+1,50))&amp;"_"&amp;INDEX('CONTROL MASTER'!$P$2:$P$495,(SUMPRODUCT((('CONTROL MASTER'!$S$2:$S$495=6)*('CONTROL MASTER'!$Z$2:$Z$495&lt;=10)*('CONTROL MASTER'!$AB$2:$AB$495&gt;=10)*('CONTROL MASTER'!$AA$2:$AA$495&lt;=9)*('CONTROL MASTER'!$AC$2:$AC$495&gt;=9))*ROW('CONTROL MASTER'!$S$2:$S$495))-(ROW('CONTROL MASTER'!#REF!)-1))),"")),"")</f>
        <v/>
      </c>
      <c r="K82" s="10" t="str">
        <f>IFERROR(IF(SUMPRODUCT((('CONTROL MASTER'!$S$2:$S$495=6)*('CONTROL MASTER'!$T$2:$T$495&lt;=10)*('CONTROL MASTER'!$V$2:$V$495&gt;=10)*('CONTROL MASTER'!$U$2:$U$495&lt;=10)*('CONTROL MASTER'!$W$2:$W$495&gt;=10))*ROW('CONTROL MASTER'!$S$2:$S$495))&gt;0,INDEX('CONTROL MASTER'!$X$2:$X$495,(SUMPRODUCT((('CONTROL MASTER'!$S$2:$S$495=6)*('CONTROL MASTER'!$T$2:$T$495&lt;=10)*('CONTROL MASTER'!$V$2:$V$495&gt;=10)*('CONTROL MASTER'!$U$2:$U$495&lt;=10)*('CONTROL MASTER'!$W$2:$W$495&gt;=10))*ROW('CONTROL MASTER'!$S$2:$S$495))-(ROW('CONTROL MASTER'!#REF!)-1)))&amp;TRIM(MID(SUBSTITUTE(SUBSTITUTE(INDEX('CONTROL MASTER'!$N$2:$N$495,(SUMPRODUCT((('CONTROL MASTER'!$S$2:$S$495=6)*('CONTROL MASTER'!$T$2:$T$495&lt;=10)*('CONTROL MASTER'!$V$2:$V$495&gt;=10)*('CONTROL MASTER'!$U$2:$U$495&lt;=10)*('CONTROL MASTER'!$W$2:$W$495&gt;=10))*ROW('CONTROL MASTER'!$S$2:$S$495))-(ROW('CONTROL MASTER'!#REF!)-1))),":",","),",",REPT(" ",50)),((((10-INDEX('CONTROL MASTER'!$T$2:$T$495,(SUMPRODUCT((('CONTROL MASTER'!$S$2:$S$495=6)*('CONTROL MASTER'!$T$2:$T$495&lt;=10)*('CONTROL MASTER'!$V$2:$V$495&gt;=10)*('CONTROL MASTER'!$U$2:$U$495&lt;=10)*('CONTROL MASTER'!$W$2:$W$495&gt;=10))*ROW('CONTROL MASTER'!$S$2:$S$495))-(ROW('CONTROL MASTER'!#REF!)-1))))*(INDEX('CONTROL MASTER'!$W$2:$W$495,(SUMPRODUCT((('CONTROL MASTER'!$S$2:$S$495=6)*('CONTROL MASTER'!$T$2:$T$495&lt;=10)*('CONTROL MASTER'!$V$2:$V$495&gt;=10)*('CONTROL MASTER'!$U$2:$U$495&lt;=10)*('CONTROL MASTER'!$W$2:$W$495&gt;=10))*ROW('CONTROL MASTER'!$S$2:$S$495))-(ROW('CONTROL MASTER'!#REF!)-1)))-INDEX('CONTROL MASTER'!$U$2:$U$495,(SUMPRODUCT((('CONTROL MASTER'!$S$2:$S$495=6)*('CONTROL MASTER'!$T$2:$T$495&lt;=10)*('CONTROL MASTER'!$V$2:$V$495&gt;=10)*('CONTROL MASTER'!$U$2:$U$495&lt;=10)*('CONTROL MASTER'!$W$2:$W$495&gt;=10))*ROW('CONTROL MASTER'!$S$2:$S$495))-(ROW('CONTROL MASTER'!#REF!)-1)))+1)+(10-INDEX('CONTROL MASTER'!$U$2:$U$495,(SUMPRODUCT((('CONTROL MASTER'!$S$2:$S$495=6)*('CONTROL MASTER'!$T$2:$T$495&lt;=10)*('CONTROL MASTER'!$V$2:$V$495&gt;=10)*('CONTROL MASTER'!$U$2:$U$495&lt;=10)*('CONTROL MASTER'!$W$2:$W$495&gt;=10))*ROW('CONTROL MASTER'!$S$2:$S$495))-(ROW('CONTROL MASTER'!#REF!)-1))))+1))-1)*50+1,50))&amp;"_"&amp;INDEX('CONTROL MASTER'!$P$2:$P$495,(SUMPRODUCT((('CONTROL MASTER'!$S$2:$S$495=6)*('CONTROL MASTER'!$T$2:$T$495&lt;=10)*('CONTROL MASTER'!$V$2:$V$495&gt;=10)*('CONTROL MASTER'!$U$2:$U$495&lt;=10)*('CONTROL MASTER'!$W$2:$W$495&gt;=10))*ROW('CONTROL MASTER'!$S$2:$S$495))-(ROW('CONTROL MASTER'!#REF!)-1))),IF(SUMPRODUCT((('CONTROL MASTER'!$S$2:$S$495=6)*('CONTROL MASTER'!$Z$2:$Z$495&lt;=10)*('CONTROL MASTER'!$AB$2:$AB$495&gt;=10)*('CONTROL MASTER'!$AA$2:$AA$495&lt;=10)*('CONTROL MASTER'!$AC$2:$AC$495&gt;=10))*ROW('CONTROL MASTER'!$S$2:$S$495))&gt;0,INDEX('CONTROL MASTER'!$X$2:$X$495,(SUMPRODUCT((('CONTROL MASTER'!$S$2:$S$495=6)*('CONTROL MASTER'!$Z$2:$Z$495&lt;=10)*('CONTROL MASTER'!$AB$2:$AB$495&gt;=10)*('CONTROL MASTER'!$AA$2:$AA$495&lt;=10)*('CONTROL MASTER'!$AC$2:$AC$495&gt;=10))*ROW('CONTROL MASTER'!$S$2:$S$495))-(ROW('CONTROL MASTER'!#REF!)-1)))&amp;TRIM(MID(SUBSTITUTE(SUBSTITUTE(INDEX('CONTROL MASTER'!$N$2:$N$495,(SUMPRODUCT((('CONTROL MASTER'!$S$2:$S$495=6)*('CONTROL MASTER'!$Z$2:$Z$495&lt;=10)*('CONTROL MASTER'!$AB$2:$AB$495&gt;=10)*('CONTROL MASTER'!$AA$2:$AA$495&lt;=10)*('CONTROL MASTER'!$AC$2:$AC$495&gt;=10))*ROW('CONTROL MASTER'!$S$2:$S$495))-(ROW('CONTROL MASTER'!#REF!)-1))),":",","),",",REPT(" ",50)),(((INDEX('CONTROL MASTER'!$Y$2:$Y$495,(SUMPRODUCT((('CONTROL MASTER'!$S$2:$S$495=6)*('CONTROL MASTER'!$Z$2:$Z$495&lt;=10)*('CONTROL MASTER'!$AB$2:$AB$495&gt;=10)*('CONTROL MASTER'!$AA$2:$AA$495&lt;=10)*('CONTROL MASTER'!$AC$2:$AC$495&gt;=10))*ROW('CONTROL MASTER'!$S$2:$S$495))-(ROW('CONTROL MASTER'!#REF!)-1)))+((10-INDEX('CONTROL MASTER'!$Z$2:$Z$495,(SUMPRODUCT((('CONTROL MASTER'!$S$2:$S$495=6)*('CONTROL MASTER'!$Z$2:$Z$495&lt;=10)*('CONTROL MASTER'!$AB$2:$AB$495&gt;=10)*('CONTROL MASTER'!$AA$2:$AA$495&lt;=10)*('CONTROL MASTER'!$AC$2:$AC$495&gt;=10))*ROW('CONTROL MASTER'!$S$2:$S$495))-(ROW('CONTROL MASTER'!#REF!)-1))))*(INDEX('CONTROL MASTER'!$AC$2:$AC$495,(SUMPRODUCT((('CONTROL MASTER'!$S$2:$S$495=6)*('CONTROL MASTER'!$Z$2:$Z$495&lt;=10)*('CONTROL MASTER'!$AB$2:$AB$495&gt;=10)*('CONTROL MASTER'!$AA$2:$AA$495&lt;=10)*('CONTROL MASTER'!$AC$2:$AC$495&gt;=10))*ROW('CONTROL MASTER'!$S$2:$S$495))-(ROW('CONTROL MASTER'!#REF!)-1)))-INDEX('CONTROL MASTER'!$AA$2:$AA$495,(SUMPRODUCT((('CONTROL MASTER'!$S$2:$S$495=6)*('CONTROL MASTER'!$Z$2:$Z$495&lt;=10)*('CONTROL MASTER'!$AB$2:$AB$495&gt;=10)*('CONTROL MASTER'!$AA$2:$AA$495&lt;=10)*('CONTROL MASTER'!$AC$2:$AC$495&gt;=10))*ROW('CONTROL MASTER'!$S$2:$S$495))-(ROW('CONTROL MASTER'!#REF!)-1)))+1)+(10-INDEX('CONTROL MASTER'!$AA$2:$AA$495,(SUMPRODUCT((('CONTROL MASTER'!$S$2:$S$495=6)*('CONTROL MASTER'!$Z$2:$Z$495&lt;=10)*('CONTROL MASTER'!$AB$2:$AB$495&gt;=10)*('CONTROL MASTER'!$AA$2:$AA$495&lt;=10)*('CONTROL MASTER'!$AC$2:$AC$495&gt;=10))*ROW('CONTROL MASTER'!$S$2:$S$495))-(ROW('CONTROL MASTER'!#REF!)-1))))+1)))-1)*50+1,50))&amp;"_"&amp;INDEX('CONTROL MASTER'!$P$2:$P$495,(SUMPRODUCT((('CONTROL MASTER'!$S$2:$S$495=6)*('CONTROL MASTER'!$Z$2:$Z$495&lt;=10)*('CONTROL MASTER'!$AB$2:$AB$495&gt;=10)*('CONTROL MASTER'!$AA$2:$AA$495&lt;=10)*('CONTROL MASTER'!$AC$2:$AC$495&gt;=10))*ROW('CONTROL MASTER'!$S$2:$S$495))-(ROW('CONTROL MASTER'!#REF!)-1))),"")),"")</f>
        <v/>
      </c>
    </row>
    <row r="85" spans="1:11" ht="15" customHeight="1" x14ac:dyDescent="0.35">
      <c r="A85" s="12" t="s">
        <v>163</v>
      </c>
      <c r="B85" s="13"/>
      <c r="C85" s="13"/>
      <c r="D85" s="13"/>
      <c r="E85" s="13"/>
      <c r="F85" s="13"/>
      <c r="G85" s="13"/>
      <c r="H85" s="13"/>
      <c r="I85" s="13"/>
      <c r="J85" s="13"/>
      <c r="K85" s="13"/>
    </row>
    <row r="86" spans="1:11" ht="15" customHeight="1" x14ac:dyDescent="0.35">
      <c r="B86" s="8">
        <v>1</v>
      </c>
      <c r="C86" s="8">
        <v>2</v>
      </c>
      <c r="D86" s="8">
        <v>3</v>
      </c>
      <c r="E86" s="8">
        <v>4</v>
      </c>
      <c r="F86" s="8">
        <v>5</v>
      </c>
      <c r="G86" s="8">
        <v>6</v>
      </c>
      <c r="H86" s="8">
        <v>7</v>
      </c>
      <c r="I86" s="8">
        <v>8</v>
      </c>
      <c r="J86" s="8">
        <v>9</v>
      </c>
      <c r="K86" s="8">
        <v>10</v>
      </c>
    </row>
    <row r="87" spans="1:11" ht="15" customHeight="1" x14ac:dyDescent="0.35">
      <c r="A87" s="8" t="s">
        <v>28</v>
      </c>
      <c r="B87" s="10" t="str">
        <f>IFERROR(IF(SUMPRODUCT((('CONTROL MASTER'!$S$2:$S$495=7)*('CONTROL MASTER'!$T$2:$T$495&lt;=1)*('CONTROL MASTER'!$V$2:$V$495&gt;=1)*('CONTROL MASTER'!$U$2:$U$495&lt;=1)*('CONTROL MASTER'!$W$2:$W$495&gt;=1))*ROW('CONTROL MASTER'!$S$2:$S$495))&gt;0,INDEX('CONTROL MASTER'!$X$2:$X$495,(SUMPRODUCT((('CONTROL MASTER'!$S$2:$S$495=7)*('CONTROL MASTER'!$T$2:$T$495&lt;=1)*('CONTROL MASTER'!$V$2:$V$495&gt;=1)*('CONTROL MASTER'!$U$2:$U$495&lt;=1)*('CONTROL MASTER'!$W$2:$W$495&gt;=1))*ROW('CONTROL MASTER'!$S$2:$S$495))-(ROW('CONTROL MASTER'!#REF!)-1)))&amp;TRIM(MID(SUBSTITUTE(SUBSTITUTE(INDEX('CONTROL MASTER'!$N$2:$N$495,(SUMPRODUCT((('CONTROL MASTER'!$S$2:$S$495=7)*('CONTROL MASTER'!$T$2:$T$495&lt;=1)*('CONTROL MASTER'!$V$2:$V$495&gt;=1)*('CONTROL MASTER'!$U$2:$U$495&lt;=1)*('CONTROL MASTER'!$W$2:$W$495&gt;=1))*ROW('CONTROL MASTER'!$S$2:$S$495))-(ROW('CONTROL MASTER'!#REF!)-1))),":",","),",",REPT(" ",50)),((((1-INDEX('CONTROL MASTER'!$T$2:$T$495,(SUMPRODUCT((('CONTROL MASTER'!$S$2:$S$495=7)*('CONTROL MASTER'!$T$2:$T$495&lt;=1)*('CONTROL MASTER'!$V$2:$V$495&gt;=1)*('CONTROL MASTER'!$U$2:$U$495&lt;=1)*('CONTROL MASTER'!$W$2:$W$495&gt;=1))*ROW('CONTROL MASTER'!$S$2:$S$495))-(ROW('CONTROL MASTER'!#REF!)-1))))*(INDEX('CONTROL MASTER'!$W$2:$W$495,(SUMPRODUCT((('CONTROL MASTER'!$S$2:$S$495=7)*('CONTROL MASTER'!$T$2:$T$495&lt;=1)*('CONTROL MASTER'!$V$2:$V$495&gt;=1)*('CONTROL MASTER'!$U$2:$U$495&lt;=1)*('CONTROL MASTER'!$W$2:$W$495&gt;=1))*ROW('CONTROL MASTER'!$S$2:$S$495))-(ROW('CONTROL MASTER'!#REF!)-1)))-INDEX('CONTROL MASTER'!$U$2:$U$495,(SUMPRODUCT((('CONTROL MASTER'!$S$2:$S$495=7)*('CONTROL MASTER'!$T$2:$T$495&lt;=1)*('CONTROL MASTER'!$V$2:$V$495&gt;=1)*('CONTROL MASTER'!$U$2:$U$495&lt;=1)*('CONTROL MASTER'!$W$2:$W$495&gt;=1))*ROW('CONTROL MASTER'!$S$2:$S$495))-(ROW('CONTROL MASTER'!#REF!)-1)))+1)+(1-INDEX('CONTROL MASTER'!$U$2:$U$495,(SUMPRODUCT((('CONTROL MASTER'!$S$2:$S$495=7)*('CONTROL MASTER'!$T$2:$T$495&lt;=1)*('CONTROL MASTER'!$V$2:$V$495&gt;=1)*('CONTROL MASTER'!$U$2:$U$495&lt;=1)*('CONTROL MASTER'!$W$2:$W$495&gt;=1))*ROW('CONTROL MASTER'!$S$2:$S$495))-(ROW('CONTROL MASTER'!#REF!)-1))))+1))-1)*50+1,50))&amp;"_"&amp;INDEX('CONTROL MASTER'!$P$2:$P$495,(SUMPRODUCT((('CONTROL MASTER'!$S$2:$S$495=7)*('CONTROL MASTER'!$T$2:$T$495&lt;=1)*('CONTROL MASTER'!$V$2:$V$495&gt;=1)*('CONTROL MASTER'!$U$2:$U$495&lt;=1)*('CONTROL MASTER'!$W$2:$W$495&gt;=1))*ROW('CONTROL MASTER'!$S$2:$S$495))-(ROW('CONTROL MASTER'!#REF!)-1))),IF(SUMPRODUCT((('CONTROL MASTER'!$S$2:$S$495=7)*('CONTROL MASTER'!$Z$2:$Z$495&lt;=1)*('CONTROL MASTER'!$AB$2:$AB$495&gt;=1)*('CONTROL MASTER'!$AA$2:$AA$495&lt;=1)*('CONTROL MASTER'!$AC$2:$AC$495&gt;=1))*ROW('CONTROL MASTER'!$S$2:$S$495))&gt;0,INDEX('CONTROL MASTER'!$X$2:$X$495,(SUMPRODUCT((('CONTROL MASTER'!$S$2:$S$495=7)*('CONTROL MASTER'!$Z$2:$Z$495&lt;=1)*('CONTROL MASTER'!$AB$2:$AB$495&gt;=1)*('CONTROL MASTER'!$AA$2:$AA$495&lt;=1)*('CONTROL MASTER'!$AC$2:$AC$495&gt;=1))*ROW('CONTROL MASTER'!$S$2:$S$495))-(ROW('CONTROL MASTER'!#REF!)-1)))&amp;TRIM(MID(SUBSTITUTE(SUBSTITUTE(INDEX('CONTROL MASTER'!$N$2:$N$495,(SUMPRODUCT((('CONTROL MASTER'!$S$2:$S$495=7)*('CONTROL MASTER'!$Z$2:$Z$495&lt;=1)*('CONTROL MASTER'!$AB$2:$AB$495&gt;=1)*('CONTROL MASTER'!$AA$2:$AA$495&lt;=1)*('CONTROL MASTER'!$AC$2:$AC$495&gt;=1))*ROW('CONTROL MASTER'!$S$2:$S$495))-(ROW('CONTROL MASTER'!#REF!)-1))),":",","),",",REPT(" ",50)),(((INDEX('CONTROL MASTER'!$Y$2:$Y$495,(SUMPRODUCT((('CONTROL MASTER'!$S$2:$S$495=7)*('CONTROL MASTER'!$Z$2:$Z$495&lt;=1)*('CONTROL MASTER'!$AB$2:$AB$495&gt;=1)*('CONTROL MASTER'!$AA$2:$AA$495&lt;=1)*('CONTROL MASTER'!$AC$2:$AC$495&gt;=1))*ROW('CONTROL MASTER'!$S$2:$S$495))-(ROW('CONTROL MASTER'!#REF!)-1)))+((1-INDEX('CONTROL MASTER'!$Z$2:$Z$495,(SUMPRODUCT((('CONTROL MASTER'!$S$2:$S$495=7)*('CONTROL MASTER'!$Z$2:$Z$495&lt;=1)*('CONTROL MASTER'!$AB$2:$AB$495&gt;=1)*('CONTROL MASTER'!$AA$2:$AA$495&lt;=1)*('CONTROL MASTER'!$AC$2:$AC$495&gt;=1))*ROW('CONTROL MASTER'!$S$2:$S$495))-(ROW('CONTROL MASTER'!#REF!)-1))))*(INDEX('CONTROL MASTER'!$AC$2:$AC$495,(SUMPRODUCT((('CONTROL MASTER'!$S$2:$S$495=7)*('CONTROL MASTER'!$Z$2:$Z$495&lt;=1)*('CONTROL MASTER'!$AB$2:$AB$495&gt;=1)*('CONTROL MASTER'!$AA$2:$AA$495&lt;=1)*('CONTROL MASTER'!$AC$2:$AC$495&gt;=1))*ROW('CONTROL MASTER'!$S$2:$S$495))-(ROW('CONTROL MASTER'!#REF!)-1)))-INDEX('CONTROL MASTER'!$AA$2:$AA$495,(SUMPRODUCT((('CONTROL MASTER'!$S$2:$S$495=7)*('CONTROL MASTER'!$Z$2:$Z$495&lt;=1)*('CONTROL MASTER'!$AB$2:$AB$495&gt;=1)*('CONTROL MASTER'!$AA$2:$AA$495&lt;=1)*('CONTROL MASTER'!$AC$2:$AC$495&gt;=1))*ROW('CONTROL MASTER'!$S$2:$S$495))-(ROW('CONTROL MASTER'!#REF!)-1)))+1)+(1-INDEX('CONTROL MASTER'!$AA$2:$AA$495,(SUMPRODUCT((('CONTROL MASTER'!$S$2:$S$495=7)*('CONTROL MASTER'!$Z$2:$Z$495&lt;=1)*('CONTROL MASTER'!$AB$2:$AB$495&gt;=1)*('CONTROL MASTER'!$AA$2:$AA$495&lt;=1)*('CONTROL MASTER'!$AC$2:$AC$495&gt;=1))*ROW('CONTROL MASTER'!$S$2:$S$495))-(ROW('CONTROL MASTER'!#REF!)-1))))+1)))-1)*50+1,50))&amp;"_"&amp;INDEX('CONTROL MASTER'!$P$2:$P$495,(SUMPRODUCT((('CONTROL MASTER'!$S$2:$S$495=7)*('CONTROL MASTER'!$Z$2:$Z$495&lt;=1)*('CONTROL MASTER'!$AB$2:$AB$495&gt;=1)*('CONTROL MASTER'!$AA$2:$AA$495&lt;=1)*('CONTROL MASTER'!$AC$2:$AC$495&gt;=1))*ROW('CONTROL MASTER'!$S$2:$S$495))-(ROW('CONTROL MASTER'!#REF!)-1))),"")),"")</f>
        <v/>
      </c>
      <c r="C87" s="10" t="str">
        <f>IFERROR(IF(SUMPRODUCT((('CONTROL MASTER'!$S$2:$S$495=7)*('CONTROL MASTER'!$T$2:$T$495&lt;=1)*('CONTROL MASTER'!$V$2:$V$495&gt;=1)*('CONTROL MASTER'!$U$2:$U$495&lt;=2)*('CONTROL MASTER'!$W$2:$W$495&gt;=2))*ROW('CONTROL MASTER'!$S$2:$S$495))&gt;0,INDEX('CONTROL MASTER'!$X$2:$X$495,(SUMPRODUCT((('CONTROL MASTER'!$S$2:$S$495=7)*('CONTROL MASTER'!$T$2:$T$495&lt;=1)*('CONTROL MASTER'!$V$2:$V$495&gt;=1)*('CONTROL MASTER'!$U$2:$U$495&lt;=2)*('CONTROL MASTER'!$W$2:$W$495&gt;=2))*ROW('CONTROL MASTER'!$S$2:$S$495))-(ROW('CONTROL MASTER'!#REF!)-1)))&amp;TRIM(MID(SUBSTITUTE(SUBSTITUTE(INDEX('CONTROL MASTER'!$N$2:$N$495,(SUMPRODUCT((('CONTROL MASTER'!$S$2:$S$495=7)*('CONTROL MASTER'!$T$2:$T$495&lt;=1)*('CONTROL MASTER'!$V$2:$V$495&gt;=1)*('CONTROL MASTER'!$U$2:$U$495&lt;=2)*('CONTROL MASTER'!$W$2:$W$495&gt;=2))*ROW('CONTROL MASTER'!$S$2:$S$495))-(ROW('CONTROL MASTER'!#REF!)-1))),":",","),",",REPT(" ",50)),((((1-INDEX('CONTROL MASTER'!$T$2:$T$495,(SUMPRODUCT((('CONTROL MASTER'!$S$2:$S$495=7)*('CONTROL MASTER'!$T$2:$T$495&lt;=1)*('CONTROL MASTER'!$V$2:$V$495&gt;=1)*('CONTROL MASTER'!$U$2:$U$495&lt;=2)*('CONTROL MASTER'!$W$2:$W$495&gt;=2))*ROW('CONTROL MASTER'!$S$2:$S$495))-(ROW('CONTROL MASTER'!#REF!)-1))))*(INDEX('CONTROL MASTER'!$W$2:$W$495,(SUMPRODUCT((('CONTROL MASTER'!$S$2:$S$495=7)*('CONTROL MASTER'!$T$2:$T$495&lt;=1)*('CONTROL MASTER'!$V$2:$V$495&gt;=1)*('CONTROL MASTER'!$U$2:$U$495&lt;=2)*('CONTROL MASTER'!$W$2:$W$495&gt;=2))*ROW('CONTROL MASTER'!$S$2:$S$495))-(ROW('CONTROL MASTER'!#REF!)-1)))-INDEX('CONTROL MASTER'!$U$2:$U$495,(SUMPRODUCT((('CONTROL MASTER'!$S$2:$S$495=7)*('CONTROL MASTER'!$T$2:$T$495&lt;=1)*('CONTROL MASTER'!$V$2:$V$495&gt;=1)*('CONTROL MASTER'!$U$2:$U$495&lt;=2)*('CONTROL MASTER'!$W$2:$W$495&gt;=2))*ROW('CONTROL MASTER'!$S$2:$S$495))-(ROW('CONTROL MASTER'!#REF!)-1)))+1)+(2-INDEX('CONTROL MASTER'!$U$2:$U$495,(SUMPRODUCT((('CONTROL MASTER'!$S$2:$S$495=7)*('CONTROL MASTER'!$T$2:$T$495&lt;=1)*('CONTROL MASTER'!$V$2:$V$495&gt;=1)*('CONTROL MASTER'!$U$2:$U$495&lt;=2)*('CONTROL MASTER'!$W$2:$W$495&gt;=2))*ROW('CONTROL MASTER'!$S$2:$S$495))-(ROW('CONTROL MASTER'!#REF!)-1))))+1))-1)*50+1,50))&amp;"_"&amp;INDEX('CONTROL MASTER'!$P$2:$P$495,(SUMPRODUCT((('CONTROL MASTER'!$S$2:$S$495=7)*('CONTROL MASTER'!$T$2:$T$495&lt;=1)*('CONTROL MASTER'!$V$2:$V$495&gt;=1)*('CONTROL MASTER'!$U$2:$U$495&lt;=2)*('CONTROL MASTER'!$W$2:$W$495&gt;=2))*ROW('CONTROL MASTER'!$S$2:$S$495))-(ROW('CONTROL MASTER'!#REF!)-1))),IF(SUMPRODUCT((('CONTROL MASTER'!$S$2:$S$495=7)*('CONTROL MASTER'!$Z$2:$Z$495&lt;=1)*('CONTROL MASTER'!$AB$2:$AB$495&gt;=1)*('CONTROL MASTER'!$AA$2:$AA$495&lt;=2)*('CONTROL MASTER'!$AC$2:$AC$495&gt;=2))*ROW('CONTROL MASTER'!$S$2:$S$495))&gt;0,INDEX('CONTROL MASTER'!$X$2:$X$495,(SUMPRODUCT((('CONTROL MASTER'!$S$2:$S$495=7)*('CONTROL MASTER'!$Z$2:$Z$495&lt;=1)*('CONTROL MASTER'!$AB$2:$AB$495&gt;=1)*('CONTROL MASTER'!$AA$2:$AA$495&lt;=2)*('CONTROL MASTER'!$AC$2:$AC$495&gt;=2))*ROW('CONTROL MASTER'!$S$2:$S$495))-(ROW('CONTROL MASTER'!#REF!)-1)))&amp;TRIM(MID(SUBSTITUTE(SUBSTITUTE(INDEX('CONTROL MASTER'!$N$2:$N$495,(SUMPRODUCT((('CONTROL MASTER'!$S$2:$S$495=7)*('CONTROL MASTER'!$Z$2:$Z$495&lt;=1)*('CONTROL MASTER'!$AB$2:$AB$495&gt;=1)*('CONTROL MASTER'!$AA$2:$AA$495&lt;=2)*('CONTROL MASTER'!$AC$2:$AC$495&gt;=2))*ROW('CONTROL MASTER'!$S$2:$S$495))-(ROW('CONTROL MASTER'!#REF!)-1))),":",","),",",REPT(" ",50)),(((INDEX('CONTROL MASTER'!$Y$2:$Y$495,(SUMPRODUCT((('CONTROL MASTER'!$S$2:$S$495=7)*('CONTROL MASTER'!$Z$2:$Z$495&lt;=1)*('CONTROL MASTER'!$AB$2:$AB$495&gt;=1)*('CONTROL MASTER'!$AA$2:$AA$495&lt;=2)*('CONTROL MASTER'!$AC$2:$AC$495&gt;=2))*ROW('CONTROL MASTER'!$S$2:$S$495))-(ROW('CONTROL MASTER'!#REF!)-1)))+((1-INDEX('CONTROL MASTER'!$Z$2:$Z$495,(SUMPRODUCT((('CONTROL MASTER'!$S$2:$S$495=7)*('CONTROL MASTER'!$Z$2:$Z$495&lt;=1)*('CONTROL MASTER'!$AB$2:$AB$495&gt;=1)*('CONTROL MASTER'!$AA$2:$AA$495&lt;=2)*('CONTROL MASTER'!$AC$2:$AC$495&gt;=2))*ROW('CONTROL MASTER'!$S$2:$S$495))-(ROW('CONTROL MASTER'!#REF!)-1))))*(INDEX('CONTROL MASTER'!$AC$2:$AC$495,(SUMPRODUCT((('CONTROL MASTER'!$S$2:$S$495=7)*('CONTROL MASTER'!$Z$2:$Z$495&lt;=1)*('CONTROL MASTER'!$AB$2:$AB$495&gt;=1)*('CONTROL MASTER'!$AA$2:$AA$495&lt;=2)*('CONTROL MASTER'!$AC$2:$AC$495&gt;=2))*ROW('CONTROL MASTER'!$S$2:$S$495))-(ROW('CONTROL MASTER'!#REF!)-1)))-INDEX('CONTROL MASTER'!$AA$2:$AA$495,(SUMPRODUCT((('CONTROL MASTER'!$S$2:$S$495=7)*('CONTROL MASTER'!$Z$2:$Z$495&lt;=1)*('CONTROL MASTER'!$AB$2:$AB$495&gt;=1)*('CONTROL MASTER'!$AA$2:$AA$495&lt;=2)*('CONTROL MASTER'!$AC$2:$AC$495&gt;=2))*ROW('CONTROL MASTER'!$S$2:$S$495))-(ROW('CONTROL MASTER'!#REF!)-1)))+1)+(2-INDEX('CONTROL MASTER'!$AA$2:$AA$495,(SUMPRODUCT((('CONTROL MASTER'!$S$2:$S$495=7)*('CONTROL MASTER'!$Z$2:$Z$495&lt;=1)*('CONTROL MASTER'!$AB$2:$AB$495&gt;=1)*('CONTROL MASTER'!$AA$2:$AA$495&lt;=2)*('CONTROL MASTER'!$AC$2:$AC$495&gt;=2))*ROW('CONTROL MASTER'!$S$2:$S$495))-(ROW('CONTROL MASTER'!#REF!)-1))))+1)))-1)*50+1,50))&amp;"_"&amp;INDEX('CONTROL MASTER'!$P$2:$P$495,(SUMPRODUCT((('CONTROL MASTER'!$S$2:$S$495=7)*('CONTROL MASTER'!$Z$2:$Z$495&lt;=1)*('CONTROL MASTER'!$AB$2:$AB$495&gt;=1)*('CONTROL MASTER'!$AA$2:$AA$495&lt;=2)*('CONTROL MASTER'!$AC$2:$AC$495&gt;=2))*ROW('CONTROL MASTER'!$S$2:$S$495))-(ROW('CONTROL MASTER'!#REF!)-1))),"")),"")</f>
        <v/>
      </c>
      <c r="D87" s="10" t="str">
        <f>IFERROR(IF(SUMPRODUCT((('CONTROL MASTER'!$S$2:$S$495=7)*('CONTROL MASTER'!$T$2:$T$495&lt;=1)*('CONTROL MASTER'!$V$2:$V$495&gt;=1)*('CONTROL MASTER'!$U$2:$U$495&lt;=3)*('CONTROL MASTER'!$W$2:$W$495&gt;=3))*ROW('CONTROL MASTER'!$S$2:$S$495))&gt;0,INDEX('CONTROL MASTER'!$X$2:$X$495,(SUMPRODUCT((('CONTROL MASTER'!$S$2:$S$495=7)*('CONTROL MASTER'!$T$2:$T$495&lt;=1)*('CONTROL MASTER'!$V$2:$V$495&gt;=1)*('CONTROL MASTER'!$U$2:$U$495&lt;=3)*('CONTROL MASTER'!$W$2:$W$495&gt;=3))*ROW('CONTROL MASTER'!$S$2:$S$495))-(ROW('CONTROL MASTER'!#REF!)-1)))&amp;TRIM(MID(SUBSTITUTE(SUBSTITUTE(INDEX('CONTROL MASTER'!$N$2:$N$495,(SUMPRODUCT((('CONTROL MASTER'!$S$2:$S$495=7)*('CONTROL MASTER'!$T$2:$T$495&lt;=1)*('CONTROL MASTER'!$V$2:$V$495&gt;=1)*('CONTROL MASTER'!$U$2:$U$495&lt;=3)*('CONTROL MASTER'!$W$2:$W$495&gt;=3))*ROW('CONTROL MASTER'!$S$2:$S$495))-(ROW('CONTROL MASTER'!#REF!)-1))),":",","),",",REPT(" ",50)),((((1-INDEX('CONTROL MASTER'!$T$2:$T$495,(SUMPRODUCT((('CONTROL MASTER'!$S$2:$S$495=7)*('CONTROL MASTER'!$T$2:$T$495&lt;=1)*('CONTROL MASTER'!$V$2:$V$495&gt;=1)*('CONTROL MASTER'!$U$2:$U$495&lt;=3)*('CONTROL MASTER'!$W$2:$W$495&gt;=3))*ROW('CONTROL MASTER'!$S$2:$S$495))-(ROW('CONTROL MASTER'!#REF!)-1))))*(INDEX('CONTROL MASTER'!$W$2:$W$495,(SUMPRODUCT((('CONTROL MASTER'!$S$2:$S$495=7)*('CONTROL MASTER'!$T$2:$T$495&lt;=1)*('CONTROL MASTER'!$V$2:$V$495&gt;=1)*('CONTROL MASTER'!$U$2:$U$495&lt;=3)*('CONTROL MASTER'!$W$2:$W$495&gt;=3))*ROW('CONTROL MASTER'!$S$2:$S$495))-(ROW('CONTROL MASTER'!#REF!)-1)))-INDEX('CONTROL MASTER'!$U$2:$U$495,(SUMPRODUCT((('CONTROL MASTER'!$S$2:$S$495=7)*('CONTROL MASTER'!$T$2:$T$495&lt;=1)*('CONTROL MASTER'!$V$2:$V$495&gt;=1)*('CONTROL MASTER'!$U$2:$U$495&lt;=3)*('CONTROL MASTER'!$W$2:$W$495&gt;=3))*ROW('CONTROL MASTER'!$S$2:$S$495))-(ROW('CONTROL MASTER'!#REF!)-1)))+1)+(3-INDEX('CONTROL MASTER'!$U$2:$U$495,(SUMPRODUCT((('CONTROL MASTER'!$S$2:$S$495=7)*('CONTROL MASTER'!$T$2:$T$495&lt;=1)*('CONTROL MASTER'!$V$2:$V$495&gt;=1)*('CONTROL MASTER'!$U$2:$U$495&lt;=3)*('CONTROL MASTER'!$W$2:$W$495&gt;=3))*ROW('CONTROL MASTER'!$S$2:$S$495))-(ROW('CONTROL MASTER'!#REF!)-1))))+1))-1)*50+1,50))&amp;"_"&amp;INDEX('CONTROL MASTER'!$P$2:$P$495,(SUMPRODUCT((('CONTROL MASTER'!$S$2:$S$495=7)*('CONTROL MASTER'!$T$2:$T$495&lt;=1)*('CONTROL MASTER'!$V$2:$V$495&gt;=1)*('CONTROL MASTER'!$U$2:$U$495&lt;=3)*('CONTROL MASTER'!$W$2:$W$495&gt;=3))*ROW('CONTROL MASTER'!$S$2:$S$495))-(ROW('CONTROL MASTER'!#REF!)-1))),IF(SUMPRODUCT((('CONTROL MASTER'!$S$2:$S$495=7)*('CONTROL MASTER'!$Z$2:$Z$495&lt;=1)*('CONTROL MASTER'!$AB$2:$AB$495&gt;=1)*('CONTROL MASTER'!$AA$2:$AA$495&lt;=3)*('CONTROL MASTER'!$AC$2:$AC$495&gt;=3))*ROW('CONTROL MASTER'!$S$2:$S$495))&gt;0,INDEX('CONTROL MASTER'!$X$2:$X$495,(SUMPRODUCT((('CONTROL MASTER'!$S$2:$S$495=7)*('CONTROL MASTER'!$Z$2:$Z$495&lt;=1)*('CONTROL MASTER'!$AB$2:$AB$495&gt;=1)*('CONTROL MASTER'!$AA$2:$AA$495&lt;=3)*('CONTROL MASTER'!$AC$2:$AC$495&gt;=3))*ROW('CONTROL MASTER'!$S$2:$S$495))-(ROW('CONTROL MASTER'!#REF!)-1)))&amp;TRIM(MID(SUBSTITUTE(SUBSTITUTE(INDEX('CONTROL MASTER'!$N$2:$N$495,(SUMPRODUCT((('CONTROL MASTER'!$S$2:$S$495=7)*('CONTROL MASTER'!$Z$2:$Z$495&lt;=1)*('CONTROL MASTER'!$AB$2:$AB$495&gt;=1)*('CONTROL MASTER'!$AA$2:$AA$495&lt;=3)*('CONTROL MASTER'!$AC$2:$AC$495&gt;=3))*ROW('CONTROL MASTER'!$S$2:$S$495))-(ROW('CONTROL MASTER'!#REF!)-1))),":",","),",",REPT(" ",50)),(((INDEX('CONTROL MASTER'!$Y$2:$Y$495,(SUMPRODUCT((('CONTROL MASTER'!$S$2:$S$495=7)*('CONTROL MASTER'!$Z$2:$Z$495&lt;=1)*('CONTROL MASTER'!$AB$2:$AB$495&gt;=1)*('CONTROL MASTER'!$AA$2:$AA$495&lt;=3)*('CONTROL MASTER'!$AC$2:$AC$495&gt;=3))*ROW('CONTROL MASTER'!$S$2:$S$495))-(ROW('CONTROL MASTER'!#REF!)-1)))+((1-INDEX('CONTROL MASTER'!$Z$2:$Z$495,(SUMPRODUCT((('CONTROL MASTER'!$S$2:$S$495=7)*('CONTROL MASTER'!$Z$2:$Z$495&lt;=1)*('CONTROL MASTER'!$AB$2:$AB$495&gt;=1)*('CONTROL MASTER'!$AA$2:$AA$495&lt;=3)*('CONTROL MASTER'!$AC$2:$AC$495&gt;=3))*ROW('CONTROL MASTER'!$S$2:$S$495))-(ROW('CONTROL MASTER'!#REF!)-1))))*(INDEX('CONTROL MASTER'!$AC$2:$AC$495,(SUMPRODUCT((('CONTROL MASTER'!$S$2:$S$495=7)*('CONTROL MASTER'!$Z$2:$Z$495&lt;=1)*('CONTROL MASTER'!$AB$2:$AB$495&gt;=1)*('CONTROL MASTER'!$AA$2:$AA$495&lt;=3)*('CONTROL MASTER'!$AC$2:$AC$495&gt;=3))*ROW('CONTROL MASTER'!$S$2:$S$495))-(ROW('CONTROL MASTER'!#REF!)-1)))-INDEX('CONTROL MASTER'!$AA$2:$AA$495,(SUMPRODUCT((('CONTROL MASTER'!$S$2:$S$495=7)*('CONTROL MASTER'!$Z$2:$Z$495&lt;=1)*('CONTROL MASTER'!$AB$2:$AB$495&gt;=1)*('CONTROL MASTER'!$AA$2:$AA$495&lt;=3)*('CONTROL MASTER'!$AC$2:$AC$495&gt;=3))*ROW('CONTROL MASTER'!$S$2:$S$495))-(ROW('CONTROL MASTER'!#REF!)-1)))+1)+(3-INDEX('CONTROL MASTER'!$AA$2:$AA$495,(SUMPRODUCT((('CONTROL MASTER'!$S$2:$S$495=7)*('CONTROL MASTER'!$Z$2:$Z$495&lt;=1)*('CONTROL MASTER'!$AB$2:$AB$495&gt;=1)*('CONTROL MASTER'!$AA$2:$AA$495&lt;=3)*('CONTROL MASTER'!$AC$2:$AC$495&gt;=3))*ROW('CONTROL MASTER'!$S$2:$S$495))-(ROW('CONTROL MASTER'!#REF!)-1))))+1)))-1)*50+1,50))&amp;"_"&amp;INDEX('CONTROL MASTER'!$P$2:$P$495,(SUMPRODUCT((('CONTROL MASTER'!$S$2:$S$495=7)*('CONTROL MASTER'!$Z$2:$Z$495&lt;=1)*('CONTROL MASTER'!$AB$2:$AB$495&gt;=1)*('CONTROL MASTER'!$AA$2:$AA$495&lt;=3)*('CONTROL MASTER'!$AC$2:$AC$495&gt;=3))*ROW('CONTROL MASTER'!$S$2:$S$495))-(ROW('CONTROL MASTER'!#REF!)-1))),"")),"")</f>
        <v/>
      </c>
      <c r="E87" s="10" t="str">
        <f>IFERROR(IF(SUMPRODUCT((('CONTROL MASTER'!$S$2:$S$495=7)*('CONTROL MASTER'!$T$2:$T$495&lt;=1)*('CONTROL MASTER'!$V$2:$V$495&gt;=1)*('CONTROL MASTER'!$U$2:$U$495&lt;=4)*('CONTROL MASTER'!$W$2:$W$495&gt;=4))*ROW('CONTROL MASTER'!$S$2:$S$495))&gt;0,INDEX('CONTROL MASTER'!$X$2:$X$495,(SUMPRODUCT((('CONTROL MASTER'!$S$2:$S$495=7)*('CONTROL MASTER'!$T$2:$T$495&lt;=1)*('CONTROL MASTER'!$V$2:$V$495&gt;=1)*('CONTROL MASTER'!$U$2:$U$495&lt;=4)*('CONTROL MASTER'!$W$2:$W$495&gt;=4))*ROW('CONTROL MASTER'!$S$2:$S$495))-(ROW('CONTROL MASTER'!#REF!)-1)))&amp;TRIM(MID(SUBSTITUTE(SUBSTITUTE(INDEX('CONTROL MASTER'!$N$2:$N$495,(SUMPRODUCT((('CONTROL MASTER'!$S$2:$S$495=7)*('CONTROL MASTER'!$T$2:$T$495&lt;=1)*('CONTROL MASTER'!$V$2:$V$495&gt;=1)*('CONTROL MASTER'!$U$2:$U$495&lt;=4)*('CONTROL MASTER'!$W$2:$W$495&gt;=4))*ROW('CONTROL MASTER'!$S$2:$S$495))-(ROW('CONTROL MASTER'!#REF!)-1))),":",","),",",REPT(" ",50)),((((1-INDEX('CONTROL MASTER'!$T$2:$T$495,(SUMPRODUCT((('CONTROL MASTER'!$S$2:$S$495=7)*('CONTROL MASTER'!$T$2:$T$495&lt;=1)*('CONTROL MASTER'!$V$2:$V$495&gt;=1)*('CONTROL MASTER'!$U$2:$U$495&lt;=4)*('CONTROL MASTER'!$W$2:$W$495&gt;=4))*ROW('CONTROL MASTER'!$S$2:$S$495))-(ROW('CONTROL MASTER'!#REF!)-1))))*(INDEX('CONTROL MASTER'!$W$2:$W$495,(SUMPRODUCT((('CONTROL MASTER'!$S$2:$S$495=7)*('CONTROL MASTER'!$T$2:$T$495&lt;=1)*('CONTROL MASTER'!$V$2:$V$495&gt;=1)*('CONTROL MASTER'!$U$2:$U$495&lt;=4)*('CONTROL MASTER'!$W$2:$W$495&gt;=4))*ROW('CONTROL MASTER'!$S$2:$S$495))-(ROW('CONTROL MASTER'!#REF!)-1)))-INDEX('CONTROL MASTER'!$U$2:$U$495,(SUMPRODUCT((('CONTROL MASTER'!$S$2:$S$495=7)*('CONTROL MASTER'!$T$2:$T$495&lt;=1)*('CONTROL MASTER'!$V$2:$V$495&gt;=1)*('CONTROL MASTER'!$U$2:$U$495&lt;=4)*('CONTROL MASTER'!$W$2:$W$495&gt;=4))*ROW('CONTROL MASTER'!$S$2:$S$495))-(ROW('CONTROL MASTER'!#REF!)-1)))+1)+(4-INDEX('CONTROL MASTER'!$U$2:$U$495,(SUMPRODUCT((('CONTROL MASTER'!$S$2:$S$495=7)*('CONTROL MASTER'!$T$2:$T$495&lt;=1)*('CONTROL MASTER'!$V$2:$V$495&gt;=1)*('CONTROL MASTER'!$U$2:$U$495&lt;=4)*('CONTROL MASTER'!$W$2:$W$495&gt;=4))*ROW('CONTROL MASTER'!$S$2:$S$495))-(ROW('CONTROL MASTER'!#REF!)-1))))+1))-1)*50+1,50))&amp;"_"&amp;INDEX('CONTROL MASTER'!$P$2:$P$495,(SUMPRODUCT((('CONTROL MASTER'!$S$2:$S$495=7)*('CONTROL MASTER'!$T$2:$T$495&lt;=1)*('CONTROL MASTER'!$V$2:$V$495&gt;=1)*('CONTROL MASTER'!$U$2:$U$495&lt;=4)*('CONTROL MASTER'!$W$2:$W$495&gt;=4))*ROW('CONTROL MASTER'!$S$2:$S$495))-(ROW('CONTROL MASTER'!#REF!)-1))),IF(SUMPRODUCT((('CONTROL MASTER'!$S$2:$S$495=7)*('CONTROL MASTER'!$Z$2:$Z$495&lt;=1)*('CONTROL MASTER'!$AB$2:$AB$495&gt;=1)*('CONTROL MASTER'!$AA$2:$AA$495&lt;=4)*('CONTROL MASTER'!$AC$2:$AC$495&gt;=4))*ROW('CONTROL MASTER'!$S$2:$S$495))&gt;0,INDEX('CONTROL MASTER'!$X$2:$X$495,(SUMPRODUCT((('CONTROL MASTER'!$S$2:$S$495=7)*('CONTROL MASTER'!$Z$2:$Z$495&lt;=1)*('CONTROL MASTER'!$AB$2:$AB$495&gt;=1)*('CONTROL MASTER'!$AA$2:$AA$495&lt;=4)*('CONTROL MASTER'!$AC$2:$AC$495&gt;=4))*ROW('CONTROL MASTER'!$S$2:$S$495))-(ROW('CONTROL MASTER'!#REF!)-1)))&amp;TRIM(MID(SUBSTITUTE(SUBSTITUTE(INDEX('CONTROL MASTER'!$N$2:$N$495,(SUMPRODUCT((('CONTROL MASTER'!$S$2:$S$495=7)*('CONTROL MASTER'!$Z$2:$Z$495&lt;=1)*('CONTROL MASTER'!$AB$2:$AB$495&gt;=1)*('CONTROL MASTER'!$AA$2:$AA$495&lt;=4)*('CONTROL MASTER'!$AC$2:$AC$495&gt;=4))*ROW('CONTROL MASTER'!$S$2:$S$495))-(ROW('CONTROL MASTER'!#REF!)-1))),":",","),",",REPT(" ",50)),(((INDEX('CONTROL MASTER'!$Y$2:$Y$495,(SUMPRODUCT((('CONTROL MASTER'!$S$2:$S$495=7)*('CONTROL MASTER'!$Z$2:$Z$495&lt;=1)*('CONTROL MASTER'!$AB$2:$AB$495&gt;=1)*('CONTROL MASTER'!$AA$2:$AA$495&lt;=4)*('CONTROL MASTER'!$AC$2:$AC$495&gt;=4))*ROW('CONTROL MASTER'!$S$2:$S$495))-(ROW('CONTROL MASTER'!#REF!)-1)))+((1-INDEX('CONTROL MASTER'!$Z$2:$Z$495,(SUMPRODUCT((('CONTROL MASTER'!$S$2:$S$495=7)*('CONTROL MASTER'!$Z$2:$Z$495&lt;=1)*('CONTROL MASTER'!$AB$2:$AB$495&gt;=1)*('CONTROL MASTER'!$AA$2:$AA$495&lt;=4)*('CONTROL MASTER'!$AC$2:$AC$495&gt;=4))*ROW('CONTROL MASTER'!$S$2:$S$495))-(ROW('CONTROL MASTER'!#REF!)-1))))*(INDEX('CONTROL MASTER'!$AC$2:$AC$495,(SUMPRODUCT((('CONTROL MASTER'!$S$2:$S$495=7)*('CONTROL MASTER'!$Z$2:$Z$495&lt;=1)*('CONTROL MASTER'!$AB$2:$AB$495&gt;=1)*('CONTROL MASTER'!$AA$2:$AA$495&lt;=4)*('CONTROL MASTER'!$AC$2:$AC$495&gt;=4))*ROW('CONTROL MASTER'!$S$2:$S$495))-(ROW('CONTROL MASTER'!#REF!)-1)))-INDEX('CONTROL MASTER'!$AA$2:$AA$495,(SUMPRODUCT((('CONTROL MASTER'!$S$2:$S$495=7)*('CONTROL MASTER'!$Z$2:$Z$495&lt;=1)*('CONTROL MASTER'!$AB$2:$AB$495&gt;=1)*('CONTROL MASTER'!$AA$2:$AA$495&lt;=4)*('CONTROL MASTER'!$AC$2:$AC$495&gt;=4))*ROW('CONTROL MASTER'!$S$2:$S$495))-(ROW('CONTROL MASTER'!#REF!)-1)))+1)+(4-INDEX('CONTROL MASTER'!$AA$2:$AA$495,(SUMPRODUCT((('CONTROL MASTER'!$S$2:$S$495=7)*('CONTROL MASTER'!$Z$2:$Z$495&lt;=1)*('CONTROL MASTER'!$AB$2:$AB$495&gt;=1)*('CONTROL MASTER'!$AA$2:$AA$495&lt;=4)*('CONTROL MASTER'!$AC$2:$AC$495&gt;=4))*ROW('CONTROL MASTER'!$S$2:$S$495))-(ROW('CONTROL MASTER'!#REF!)-1))))+1)))-1)*50+1,50))&amp;"_"&amp;INDEX('CONTROL MASTER'!$P$2:$P$495,(SUMPRODUCT((('CONTROL MASTER'!$S$2:$S$495=7)*('CONTROL MASTER'!$Z$2:$Z$495&lt;=1)*('CONTROL MASTER'!$AB$2:$AB$495&gt;=1)*('CONTROL MASTER'!$AA$2:$AA$495&lt;=4)*('CONTROL MASTER'!$AC$2:$AC$495&gt;=4))*ROW('CONTROL MASTER'!$S$2:$S$495))-(ROW('CONTROL MASTER'!#REF!)-1))),"")),"")</f>
        <v/>
      </c>
      <c r="F87" s="10" t="str">
        <f>IFERROR(IF(SUMPRODUCT((('CONTROL MASTER'!$S$2:$S$495=7)*('CONTROL MASTER'!$T$2:$T$495&lt;=1)*('CONTROL MASTER'!$V$2:$V$495&gt;=1)*('CONTROL MASTER'!$U$2:$U$495&lt;=5)*('CONTROL MASTER'!$W$2:$W$495&gt;=5))*ROW('CONTROL MASTER'!$S$2:$S$495))&gt;0,INDEX('CONTROL MASTER'!$X$2:$X$495,(SUMPRODUCT((('CONTROL MASTER'!$S$2:$S$495=7)*('CONTROL MASTER'!$T$2:$T$495&lt;=1)*('CONTROL MASTER'!$V$2:$V$495&gt;=1)*('CONTROL MASTER'!$U$2:$U$495&lt;=5)*('CONTROL MASTER'!$W$2:$W$495&gt;=5))*ROW('CONTROL MASTER'!$S$2:$S$495))-(ROW('CONTROL MASTER'!#REF!)-1)))&amp;TRIM(MID(SUBSTITUTE(SUBSTITUTE(INDEX('CONTROL MASTER'!$N$2:$N$495,(SUMPRODUCT((('CONTROL MASTER'!$S$2:$S$495=7)*('CONTROL MASTER'!$T$2:$T$495&lt;=1)*('CONTROL MASTER'!$V$2:$V$495&gt;=1)*('CONTROL MASTER'!$U$2:$U$495&lt;=5)*('CONTROL MASTER'!$W$2:$W$495&gt;=5))*ROW('CONTROL MASTER'!$S$2:$S$495))-(ROW('CONTROL MASTER'!#REF!)-1))),":",","),",",REPT(" ",50)),((((1-INDEX('CONTROL MASTER'!$T$2:$T$495,(SUMPRODUCT((('CONTROL MASTER'!$S$2:$S$495=7)*('CONTROL MASTER'!$T$2:$T$495&lt;=1)*('CONTROL MASTER'!$V$2:$V$495&gt;=1)*('CONTROL MASTER'!$U$2:$U$495&lt;=5)*('CONTROL MASTER'!$W$2:$W$495&gt;=5))*ROW('CONTROL MASTER'!$S$2:$S$495))-(ROW('CONTROL MASTER'!#REF!)-1))))*(INDEX('CONTROL MASTER'!$W$2:$W$495,(SUMPRODUCT((('CONTROL MASTER'!$S$2:$S$495=7)*('CONTROL MASTER'!$T$2:$T$495&lt;=1)*('CONTROL MASTER'!$V$2:$V$495&gt;=1)*('CONTROL MASTER'!$U$2:$U$495&lt;=5)*('CONTROL MASTER'!$W$2:$W$495&gt;=5))*ROW('CONTROL MASTER'!$S$2:$S$495))-(ROW('CONTROL MASTER'!#REF!)-1)))-INDEX('CONTROL MASTER'!$U$2:$U$495,(SUMPRODUCT((('CONTROL MASTER'!$S$2:$S$495=7)*('CONTROL MASTER'!$T$2:$T$495&lt;=1)*('CONTROL MASTER'!$V$2:$V$495&gt;=1)*('CONTROL MASTER'!$U$2:$U$495&lt;=5)*('CONTROL MASTER'!$W$2:$W$495&gt;=5))*ROW('CONTROL MASTER'!$S$2:$S$495))-(ROW('CONTROL MASTER'!#REF!)-1)))+1)+(5-INDEX('CONTROL MASTER'!$U$2:$U$495,(SUMPRODUCT((('CONTROL MASTER'!$S$2:$S$495=7)*('CONTROL MASTER'!$T$2:$T$495&lt;=1)*('CONTROL MASTER'!$V$2:$V$495&gt;=1)*('CONTROL MASTER'!$U$2:$U$495&lt;=5)*('CONTROL MASTER'!$W$2:$W$495&gt;=5))*ROW('CONTROL MASTER'!$S$2:$S$495))-(ROW('CONTROL MASTER'!#REF!)-1))))+1))-1)*50+1,50))&amp;"_"&amp;INDEX('CONTROL MASTER'!$P$2:$P$495,(SUMPRODUCT((('CONTROL MASTER'!$S$2:$S$495=7)*('CONTROL MASTER'!$T$2:$T$495&lt;=1)*('CONTROL MASTER'!$V$2:$V$495&gt;=1)*('CONTROL MASTER'!$U$2:$U$495&lt;=5)*('CONTROL MASTER'!$W$2:$W$495&gt;=5))*ROW('CONTROL MASTER'!$S$2:$S$495))-(ROW('CONTROL MASTER'!#REF!)-1))),IF(SUMPRODUCT((('CONTROL MASTER'!$S$2:$S$495=7)*('CONTROL MASTER'!$Z$2:$Z$495&lt;=1)*('CONTROL MASTER'!$AB$2:$AB$495&gt;=1)*('CONTROL MASTER'!$AA$2:$AA$495&lt;=5)*('CONTROL MASTER'!$AC$2:$AC$495&gt;=5))*ROW('CONTROL MASTER'!$S$2:$S$495))&gt;0,INDEX('CONTROL MASTER'!$X$2:$X$495,(SUMPRODUCT((('CONTROL MASTER'!$S$2:$S$495=7)*('CONTROL MASTER'!$Z$2:$Z$495&lt;=1)*('CONTROL MASTER'!$AB$2:$AB$495&gt;=1)*('CONTROL MASTER'!$AA$2:$AA$495&lt;=5)*('CONTROL MASTER'!$AC$2:$AC$495&gt;=5))*ROW('CONTROL MASTER'!$S$2:$S$495))-(ROW('CONTROL MASTER'!#REF!)-1)))&amp;TRIM(MID(SUBSTITUTE(SUBSTITUTE(INDEX('CONTROL MASTER'!$N$2:$N$495,(SUMPRODUCT((('CONTROL MASTER'!$S$2:$S$495=7)*('CONTROL MASTER'!$Z$2:$Z$495&lt;=1)*('CONTROL MASTER'!$AB$2:$AB$495&gt;=1)*('CONTROL MASTER'!$AA$2:$AA$495&lt;=5)*('CONTROL MASTER'!$AC$2:$AC$495&gt;=5))*ROW('CONTROL MASTER'!$S$2:$S$495))-(ROW('CONTROL MASTER'!#REF!)-1))),":",","),",",REPT(" ",50)),(((INDEX('CONTROL MASTER'!$Y$2:$Y$495,(SUMPRODUCT((('CONTROL MASTER'!$S$2:$S$495=7)*('CONTROL MASTER'!$Z$2:$Z$495&lt;=1)*('CONTROL MASTER'!$AB$2:$AB$495&gt;=1)*('CONTROL MASTER'!$AA$2:$AA$495&lt;=5)*('CONTROL MASTER'!$AC$2:$AC$495&gt;=5))*ROW('CONTROL MASTER'!$S$2:$S$495))-(ROW('CONTROL MASTER'!#REF!)-1)))+((1-INDEX('CONTROL MASTER'!$Z$2:$Z$495,(SUMPRODUCT((('CONTROL MASTER'!$S$2:$S$495=7)*('CONTROL MASTER'!$Z$2:$Z$495&lt;=1)*('CONTROL MASTER'!$AB$2:$AB$495&gt;=1)*('CONTROL MASTER'!$AA$2:$AA$495&lt;=5)*('CONTROL MASTER'!$AC$2:$AC$495&gt;=5))*ROW('CONTROL MASTER'!$S$2:$S$495))-(ROW('CONTROL MASTER'!#REF!)-1))))*(INDEX('CONTROL MASTER'!$AC$2:$AC$495,(SUMPRODUCT((('CONTROL MASTER'!$S$2:$S$495=7)*('CONTROL MASTER'!$Z$2:$Z$495&lt;=1)*('CONTROL MASTER'!$AB$2:$AB$495&gt;=1)*('CONTROL MASTER'!$AA$2:$AA$495&lt;=5)*('CONTROL MASTER'!$AC$2:$AC$495&gt;=5))*ROW('CONTROL MASTER'!$S$2:$S$495))-(ROW('CONTROL MASTER'!#REF!)-1)))-INDEX('CONTROL MASTER'!$AA$2:$AA$495,(SUMPRODUCT((('CONTROL MASTER'!$S$2:$S$495=7)*('CONTROL MASTER'!$Z$2:$Z$495&lt;=1)*('CONTROL MASTER'!$AB$2:$AB$495&gt;=1)*('CONTROL MASTER'!$AA$2:$AA$495&lt;=5)*('CONTROL MASTER'!$AC$2:$AC$495&gt;=5))*ROW('CONTROL MASTER'!$S$2:$S$495))-(ROW('CONTROL MASTER'!#REF!)-1)))+1)+(5-INDEX('CONTROL MASTER'!$AA$2:$AA$495,(SUMPRODUCT((('CONTROL MASTER'!$S$2:$S$495=7)*('CONTROL MASTER'!$Z$2:$Z$495&lt;=1)*('CONTROL MASTER'!$AB$2:$AB$495&gt;=1)*('CONTROL MASTER'!$AA$2:$AA$495&lt;=5)*('CONTROL MASTER'!$AC$2:$AC$495&gt;=5))*ROW('CONTROL MASTER'!$S$2:$S$495))-(ROW('CONTROL MASTER'!#REF!)-1))))+1)))-1)*50+1,50))&amp;"_"&amp;INDEX('CONTROL MASTER'!$P$2:$P$495,(SUMPRODUCT((('CONTROL MASTER'!$S$2:$S$495=7)*('CONTROL MASTER'!$Z$2:$Z$495&lt;=1)*('CONTROL MASTER'!$AB$2:$AB$495&gt;=1)*('CONTROL MASTER'!$AA$2:$AA$495&lt;=5)*('CONTROL MASTER'!$AC$2:$AC$495&gt;=5))*ROW('CONTROL MASTER'!$S$2:$S$495))-(ROW('CONTROL MASTER'!#REF!)-1))),"")),"")</f>
        <v/>
      </c>
      <c r="G87" s="10" t="str">
        <f>IFERROR(IF(SUMPRODUCT((('CONTROL MASTER'!$S$2:$S$495=7)*('CONTROL MASTER'!$T$2:$T$495&lt;=1)*('CONTROL MASTER'!$V$2:$V$495&gt;=1)*('CONTROL MASTER'!$U$2:$U$495&lt;=6)*('CONTROL MASTER'!$W$2:$W$495&gt;=6))*ROW('CONTROL MASTER'!$S$2:$S$495))&gt;0,INDEX('CONTROL MASTER'!$X$2:$X$495,(SUMPRODUCT((('CONTROL MASTER'!$S$2:$S$495=7)*('CONTROL MASTER'!$T$2:$T$495&lt;=1)*('CONTROL MASTER'!$V$2:$V$495&gt;=1)*('CONTROL MASTER'!$U$2:$U$495&lt;=6)*('CONTROL MASTER'!$W$2:$W$495&gt;=6))*ROW('CONTROL MASTER'!$S$2:$S$495))-(ROW('CONTROL MASTER'!#REF!)-1)))&amp;TRIM(MID(SUBSTITUTE(SUBSTITUTE(INDEX('CONTROL MASTER'!$N$2:$N$495,(SUMPRODUCT((('CONTROL MASTER'!$S$2:$S$495=7)*('CONTROL MASTER'!$T$2:$T$495&lt;=1)*('CONTROL MASTER'!$V$2:$V$495&gt;=1)*('CONTROL MASTER'!$U$2:$U$495&lt;=6)*('CONTROL MASTER'!$W$2:$W$495&gt;=6))*ROW('CONTROL MASTER'!$S$2:$S$495))-(ROW('CONTROL MASTER'!#REF!)-1))),":",","),",",REPT(" ",50)),((((1-INDEX('CONTROL MASTER'!$T$2:$T$495,(SUMPRODUCT((('CONTROL MASTER'!$S$2:$S$495=7)*('CONTROL MASTER'!$T$2:$T$495&lt;=1)*('CONTROL MASTER'!$V$2:$V$495&gt;=1)*('CONTROL MASTER'!$U$2:$U$495&lt;=6)*('CONTROL MASTER'!$W$2:$W$495&gt;=6))*ROW('CONTROL MASTER'!$S$2:$S$495))-(ROW('CONTROL MASTER'!#REF!)-1))))*(INDEX('CONTROL MASTER'!$W$2:$W$495,(SUMPRODUCT((('CONTROL MASTER'!$S$2:$S$495=7)*('CONTROL MASTER'!$T$2:$T$495&lt;=1)*('CONTROL MASTER'!$V$2:$V$495&gt;=1)*('CONTROL MASTER'!$U$2:$U$495&lt;=6)*('CONTROL MASTER'!$W$2:$W$495&gt;=6))*ROW('CONTROL MASTER'!$S$2:$S$495))-(ROW('CONTROL MASTER'!#REF!)-1)))-INDEX('CONTROL MASTER'!$U$2:$U$495,(SUMPRODUCT((('CONTROL MASTER'!$S$2:$S$495=7)*('CONTROL MASTER'!$T$2:$T$495&lt;=1)*('CONTROL MASTER'!$V$2:$V$495&gt;=1)*('CONTROL MASTER'!$U$2:$U$495&lt;=6)*('CONTROL MASTER'!$W$2:$W$495&gt;=6))*ROW('CONTROL MASTER'!$S$2:$S$495))-(ROW('CONTROL MASTER'!#REF!)-1)))+1)+(6-INDEX('CONTROL MASTER'!$U$2:$U$495,(SUMPRODUCT((('CONTROL MASTER'!$S$2:$S$495=7)*('CONTROL MASTER'!$T$2:$T$495&lt;=1)*('CONTROL MASTER'!$V$2:$V$495&gt;=1)*('CONTROL MASTER'!$U$2:$U$495&lt;=6)*('CONTROL MASTER'!$W$2:$W$495&gt;=6))*ROW('CONTROL MASTER'!$S$2:$S$495))-(ROW('CONTROL MASTER'!#REF!)-1))))+1))-1)*50+1,50))&amp;"_"&amp;INDEX('CONTROL MASTER'!$P$2:$P$495,(SUMPRODUCT((('CONTROL MASTER'!$S$2:$S$495=7)*('CONTROL MASTER'!$T$2:$T$495&lt;=1)*('CONTROL MASTER'!$V$2:$V$495&gt;=1)*('CONTROL MASTER'!$U$2:$U$495&lt;=6)*('CONTROL MASTER'!$W$2:$W$495&gt;=6))*ROW('CONTROL MASTER'!$S$2:$S$495))-(ROW('CONTROL MASTER'!#REF!)-1))),IF(SUMPRODUCT((('CONTROL MASTER'!$S$2:$S$495=7)*('CONTROL MASTER'!$Z$2:$Z$495&lt;=1)*('CONTROL MASTER'!$AB$2:$AB$495&gt;=1)*('CONTROL MASTER'!$AA$2:$AA$495&lt;=6)*('CONTROL MASTER'!$AC$2:$AC$495&gt;=6))*ROW('CONTROL MASTER'!$S$2:$S$495))&gt;0,INDEX('CONTROL MASTER'!$X$2:$X$495,(SUMPRODUCT((('CONTROL MASTER'!$S$2:$S$495=7)*('CONTROL MASTER'!$Z$2:$Z$495&lt;=1)*('CONTROL MASTER'!$AB$2:$AB$495&gt;=1)*('CONTROL MASTER'!$AA$2:$AA$495&lt;=6)*('CONTROL MASTER'!$AC$2:$AC$495&gt;=6))*ROW('CONTROL MASTER'!$S$2:$S$495))-(ROW('CONTROL MASTER'!#REF!)-1)))&amp;TRIM(MID(SUBSTITUTE(SUBSTITUTE(INDEX('CONTROL MASTER'!$N$2:$N$495,(SUMPRODUCT((('CONTROL MASTER'!$S$2:$S$495=7)*('CONTROL MASTER'!$Z$2:$Z$495&lt;=1)*('CONTROL MASTER'!$AB$2:$AB$495&gt;=1)*('CONTROL MASTER'!$AA$2:$AA$495&lt;=6)*('CONTROL MASTER'!$AC$2:$AC$495&gt;=6))*ROW('CONTROL MASTER'!$S$2:$S$495))-(ROW('CONTROL MASTER'!#REF!)-1))),":",","),",",REPT(" ",50)),(((INDEX('CONTROL MASTER'!$Y$2:$Y$495,(SUMPRODUCT((('CONTROL MASTER'!$S$2:$S$495=7)*('CONTROL MASTER'!$Z$2:$Z$495&lt;=1)*('CONTROL MASTER'!$AB$2:$AB$495&gt;=1)*('CONTROL MASTER'!$AA$2:$AA$495&lt;=6)*('CONTROL MASTER'!$AC$2:$AC$495&gt;=6))*ROW('CONTROL MASTER'!$S$2:$S$495))-(ROW('CONTROL MASTER'!#REF!)-1)))+((1-INDEX('CONTROL MASTER'!$Z$2:$Z$495,(SUMPRODUCT((('CONTROL MASTER'!$S$2:$S$495=7)*('CONTROL MASTER'!$Z$2:$Z$495&lt;=1)*('CONTROL MASTER'!$AB$2:$AB$495&gt;=1)*('CONTROL MASTER'!$AA$2:$AA$495&lt;=6)*('CONTROL MASTER'!$AC$2:$AC$495&gt;=6))*ROW('CONTROL MASTER'!$S$2:$S$495))-(ROW('CONTROL MASTER'!#REF!)-1))))*(INDEX('CONTROL MASTER'!$AC$2:$AC$495,(SUMPRODUCT((('CONTROL MASTER'!$S$2:$S$495=7)*('CONTROL MASTER'!$Z$2:$Z$495&lt;=1)*('CONTROL MASTER'!$AB$2:$AB$495&gt;=1)*('CONTROL MASTER'!$AA$2:$AA$495&lt;=6)*('CONTROL MASTER'!$AC$2:$AC$495&gt;=6))*ROW('CONTROL MASTER'!$S$2:$S$495))-(ROW('CONTROL MASTER'!#REF!)-1)))-INDEX('CONTROL MASTER'!$AA$2:$AA$495,(SUMPRODUCT((('CONTROL MASTER'!$S$2:$S$495=7)*('CONTROL MASTER'!$Z$2:$Z$495&lt;=1)*('CONTROL MASTER'!$AB$2:$AB$495&gt;=1)*('CONTROL MASTER'!$AA$2:$AA$495&lt;=6)*('CONTROL MASTER'!$AC$2:$AC$495&gt;=6))*ROW('CONTROL MASTER'!$S$2:$S$495))-(ROW('CONTROL MASTER'!#REF!)-1)))+1)+(6-INDEX('CONTROL MASTER'!$AA$2:$AA$495,(SUMPRODUCT((('CONTROL MASTER'!$S$2:$S$495=7)*('CONTROL MASTER'!$Z$2:$Z$495&lt;=1)*('CONTROL MASTER'!$AB$2:$AB$495&gt;=1)*('CONTROL MASTER'!$AA$2:$AA$495&lt;=6)*('CONTROL MASTER'!$AC$2:$AC$495&gt;=6))*ROW('CONTROL MASTER'!$S$2:$S$495))-(ROW('CONTROL MASTER'!#REF!)-1))))+1)))-1)*50+1,50))&amp;"_"&amp;INDEX('CONTROL MASTER'!$P$2:$P$495,(SUMPRODUCT((('CONTROL MASTER'!$S$2:$S$495=7)*('CONTROL MASTER'!$Z$2:$Z$495&lt;=1)*('CONTROL MASTER'!$AB$2:$AB$495&gt;=1)*('CONTROL MASTER'!$AA$2:$AA$495&lt;=6)*('CONTROL MASTER'!$AC$2:$AC$495&gt;=6))*ROW('CONTROL MASTER'!$S$2:$S$495))-(ROW('CONTROL MASTER'!#REF!)-1))),"")),"")</f>
        <v/>
      </c>
      <c r="H87" s="10" t="str">
        <f>IFERROR(IF(SUMPRODUCT((('CONTROL MASTER'!$S$2:$S$495=7)*('CONTROL MASTER'!$T$2:$T$495&lt;=1)*('CONTROL MASTER'!$V$2:$V$495&gt;=1)*('CONTROL MASTER'!$U$2:$U$495&lt;=7)*('CONTROL MASTER'!$W$2:$W$495&gt;=7))*ROW('CONTROL MASTER'!$S$2:$S$495))&gt;0,INDEX('CONTROL MASTER'!$X$2:$X$495,(SUMPRODUCT((('CONTROL MASTER'!$S$2:$S$495=7)*('CONTROL MASTER'!$T$2:$T$495&lt;=1)*('CONTROL MASTER'!$V$2:$V$495&gt;=1)*('CONTROL MASTER'!$U$2:$U$495&lt;=7)*('CONTROL MASTER'!$W$2:$W$495&gt;=7))*ROW('CONTROL MASTER'!$S$2:$S$495))-(ROW('CONTROL MASTER'!#REF!)-1)))&amp;TRIM(MID(SUBSTITUTE(SUBSTITUTE(INDEX('CONTROL MASTER'!$N$2:$N$495,(SUMPRODUCT((('CONTROL MASTER'!$S$2:$S$495=7)*('CONTROL MASTER'!$T$2:$T$495&lt;=1)*('CONTROL MASTER'!$V$2:$V$495&gt;=1)*('CONTROL MASTER'!$U$2:$U$495&lt;=7)*('CONTROL MASTER'!$W$2:$W$495&gt;=7))*ROW('CONTROL MASTER'!$S$2:$S$495))-(ROW('CONTROL MASTER'!#REF!)-1))),":",","),",",REPT(" ",50)),((((1-INDEX('CONTROL MASTER'!$T$2:$T$495,(SUMPRODUCT((('CONTROL MASTER'!$S$2:$S$495=7)*('CONTROL MASTER'!$T$2:$T$495&lt;=1)*('CONTROL MASTER'!$V$2:$V$495&gt;=1)*('CONTROL MASTER'!$U$2:$U$495&lt;=7)*('CONTROL MASTER'!$W$2:$W$495&gt;=7))*ROW('CONTROL MASTER'!$S$2:$S$495))-(ROW('CONTROL MASTER'!#REF!)-1))))*(INDEX('CONTROL MASTER'!$W$2:$W$495,(SUMPRODUCT((('CONTROL MASTER'!$S$2:$S$495=7)*('CONTROL MASTER'!$T$2:$T$495&lt;=1)*('CONTROL MASTER'!$V$2:$V$495&gt;=1)*('CONTROL MASTER'!$U$2:$U$495&lt;=7)*('CONTROL MASTER'!$W$2:$W$495&gt;=7))*ROW('CONTROL MASTER'!$S$2:$S$495))-(ROW('CONTROL MASTER'!#REF!)-1)))-INDEX('CONTROL MASTER'!$U$2:$U$495,(SUMPRODUCT((('CONTROL MASTER'!$S$2:$S$495=7)*('CONTROL MASTER'!$T$2:$T$495&lt;=1)*('CONTROL MASTER'!$V$2:$V$495&gt;=1)*('CONTROL MASTER'!$U$2:$U$495&lt;=7)*('CONTROL MASTER'!$W$2:$W$495&gt;=7))*ROW('CONTROL MASTER'!$S$2:$S$495))-(ROW('CONTROL MASTER'!#REF!)-1)))+1)+(7-INDEX('CONTROL MASTER'!$U$2:$U$495,(SUMPRODUCT((('CONTROL MASTER'!$S$2:$S$495=7)*('CONTROL MASTER'!$T$2:$T$495&lt;=1)*('CONTROL MASTER'!$V$2:$V$495&gt;=1)*('CONTROL MASTER'!$U$2:$U$495&lt;=7)*('CONTROL MASTER'!$W$2:$W$495&gt;=7))*ROW('CONTROL MASTER'!$S$2:$S$495))-(ROW('CONTROL MASTER'!#REF!)-1))))+1))-1)*50+1,50))&amp;"_"&amp;INDEX('CONTROL MASTER'!$P$2:$P$495,(SUMPRODUCT((('CONTROL MASTER'!$S$2:$S$495=7)*('CONTROL MASTER'!$T$2:$T$495&lt;=1)*('CONTROL MASTER'!$V$2:$V$495&gt;=1)*('CONTROL MASTER'!$U$2:$U$495&lt;=7)*('CONTROL MASTER'!$W$2:$W$495&gt;=7))*ROW('CONTROL MASTER'!$S$2:$S$495))-(ROW('CONTROL MASTER'!#REF!)-1))),IF(SUMPRODUCT((('CONTROL MASTER'!$S$2:$S$495=7)*('CONTROL MASTER'!$Z$2:$Z$495&lt;=1)*('CONTROL MASTER'!$AB$2:$AB$495&gt;=1)*('CONTROL MASTER'!$AA$2:$AA$495&lt;=7)*('CONTROL MASTER'!$AC$2:$AC$495&gt;=7))*ROW('CONTROL MASTER'!$S$2:$S$495))&gt;0,INDEX('CONTROL MASTER'!$X$2:$X$495,(SUMPRODUCT((('CONTROL MASTER'!$S$2:$S$495=7)*('CONTROL MASTER'!$Z$2:$Z$495&lt;=1)*('CONTROL MASTER'!$AB$2:$AB$495&gt;=1)*('CONTROL MASTER'!$AA$2:$AA$495&lt;=7)*('CONTROL MASTER'!$AC$2:$AC$495&gt;=7))*ROW('CONTROL MASTER'!$S$2:$S$495))-(ROW('CONTROL MASTER'!#REF!)-1)))&amp;TRIM(MID(SUBSTITUTE(SUBSTITUTE(INDEX('CONTROL MASTER'!$N$2:$N$495,(SUMPRODUCT((('CONTROL MASTER'!$S$2:$S$495=7)*('CONTROL MASTER'!$Z$2:$Z$495&lt;=1)*('CONTROL MASTER'!$AB$2:$AB$495&gt;=1)*('CONTROL MASTER'!$AA$2:$AA$495&lt;=7)*('CONTROL MASTER'!$AC$2:$AC$495&gt;=7))*ROW('CONTROL MASTER'!$S$2:$S$495))-(ROW('CONTROL MASTER'!#REF!)-1))),":",","),",",REPT(" ",50)),(((INDEX('CONTROL MASTER'!$Y$2:$Y$495,(SUMPRODUCT((('CONTROL MASTER'!$S$2:$S$495=7)*('CONTROL MASTER'!$Z$2:$Z$495&lt;=1)*('CONTROL MASTER'!$AB$2:$AB$495&gt;=1)*('CONTROL MASTER'!$AA$2:$AA$495&lt;=7)*('CONTROL MASTER'!$AC$2:$AC$495&gt;=7))*ROW('CONTROL MASTER'!$S$2:$S$495))-(ROW('CONTROL MASTER'!#REF!)-1)))+((1-INDEX('CONTROL MASTER'!$Z$2:$Z$495,(SUMPRODUCT((('CONTROL MASTER'!$S$2:$S$495=7)*('CONTROL MASTER'!$Z$2:$Z$495&lt;=1)*('CONTROL MASTER'!$AB$2:$AB$495&gt;=1)*('CONTROL MASTER'!$AA$2:$AA$495&lt;=7)*('CONTROL MASTER'!$AC$2:$AC$495&gt;=7))*ROW('CONTROL MASTER'!$S$2:$S$495))-(ROW('CONTROL MASTER'!#REF!)-1))))*(INDEX('CONTROL MASTER'!$AC$2:$AC$495,(SUMPRODUCT((('CONTROL MASTER'!$S$2:$S$495=7)*('CONTROL MASTER'!$Z$2:$Z$495&lt;=1)*('CONTROL MASTER'!$AB$2:$AB$495&gt;=1)*('CONTROL MASTER'!$AA$2:$AA$495&lt;=7)*('CONTROL MASTER'!$AC$2:$AC$495&gt;=7))*ROW('CONTROL MASTER'!$S$2:$S$495))-(ROW('CONTROL MASTER'!#REF!)-1)))-INDEX('CONTROL MASTER'!$AA$2:$AA$495,(SUMPRODUCT((('CONTROL MASTER'!$S$2:$S$495=7)*('CONTROL MASTER'!$Z$2:$Z$495&lt;=1)*('CONTROL MASTER'!$AB$2:$AB$495&gt;=1)*('CONTROL MASTER'!$AA$2:$AA$495&lt;=7)*('CONTROL MASTER'!$AC$2:$AC$495&gt;=7))*ROW('CONTROL MASTER'!$S$2:$S$495))-(ROW('CONTROL MASTER'!#REF!)-1)))+1)+(7-INDEX('CONTROL MASTER'!$AA$2:$AA$495,(SUMPRODUCT((('CONTROL MASTER'!$S$2:$S$495=7)*('CONTROL MASTER'!$Z$2:$Z$495&lt;=1)*('CONTROL MASTER'!$AB$2:$AB$495&gt;=1)*('CONTROL MASTER'!$AA$2:$AA$495&lt;=7)*('CONTROL MASTER'!$AC$2:$AC$495&gt;=7))*ROW('CONTROL MASTER'!$S$2:$S$495))-(ROW('CONTROL MASTER'!#REF!)-1))))+1)))-1)*50+1,50))&amp;"_"&amp;INDEX('CONTROL MASTER'!$P$2:$P$495,(SUMPRODUCT((('CONTROL MASTER'!$S$2:$S$495=7)*('CONTROL MASTER'!$Z$2:$Z$495&lt;=1)*('CONTROL MASTER'!$AB$2:$AB$495&gt;=1)*('CONTROL MASTER'!$AA$2:$AA$495&lt;=7)*('CONTROL MASTER'!$AC$2:$AC$495&gt;=7))*ROW('CONTROL MASTER'!$S$2:$S$495))-(ROW('CONTROL MASTER'!#REF!)-1))),"")),"")</f>
        <v/>
      </c>
      <c r="I87" s="10" t="str">
        <f>IFERROR(IF(SUMPRODUCT((('CONTROL MASTER'!$S$2:$S$495=7)*('CONTROL MASTER'!$T$2:$T$495&lt;=1)*('CONTROL MASTER'!$V$2:$V$495&gt;=1)*('CONTROL MASTER'!$U$2:$U$495&lt;=8)*('CONTROL MASTER'!$W$2:$W$495&gt;=8))*ROW('CONTROL MASTER'!$S$2:$S$495))&gt;0,INDEX('CONTROL MASTER'!$X$2:$X$495,(SUMPRODUCT((('CONTROL MASTER'!$S$2:$S$495=7)*('CONTROL MASTER'!$T$2:$T$495&lt;=1)*('CONTROL MASTER'!$V$2:$V$495&gt;=1)*('CONTROL MASTER'!$U$2:$U$495&lt;=8)*('CONTROL MASTER'!$W$2:$W$495&gt;=8))*ROW('CONTROL MASTER'!$S$2:$S$495))-(ROW('CONTROL MASTER'!#REF!)-1)))&amp;TRIM(MID(SUBSTITUTE(SUBSTITUTE(INDEX('CONTROL MASTER'!$N$2:$N$495,(SUMPRODUCT((('CONTROL MASTER'!$S$2:$S$495=7)*('CONTROL MASTER'!$T$2:$T$495&lt;=1)*('CONTROL MASTER'!$V$2:$V$495&gt;=1)*('CONTROL MASTER'!$U$2:$U$495&lt;=8)*('CONTROL MASTER'!$W$2:$W$495&gt;=8))*ROW('CONTROL MASTER'!$S$2:$S$495))-(ROW('CONTROL MASTER'!#REF!)-1))),":",","),",",REPT(" ",50)),((((1-INDEX('CONTROL MASTER'!$T$2:$T$495,(SUMPRODUCT((('CONTROL MASTER'!$S$2:$S$495=7)*('CONTROL MASTER'!$T$2:$T$495&lt;=1)*('CONTROL MASTER'!$V$2:$V$495&gt;=1)*('CONTROL MASTER'!$U$2:$U$495&lt;=8)*('CONTROL MASTER'!$W$2:$W$495&gt;=8))*ROW('CONTROL MASTER'!$S$2:$S$495))-(ROW('CONTROL MASTER'!#REF!)-1))))*(INDEX('CONTROL MASTER'!$W$2:$W$495,(SUMPRODUCT((('CONTROL MASTER'!$S$2:$S$495=7)*('CONTROL MASTER'!$T$2:$T$495&lt;=1)*('CONTROL MASTER'!$V$2:$V$495&gt;=1)*('CONTROL MASTER'!$U$2:$U$495&lt;=8)*('CONTROL MASTER'!$W$2:$W$495&gt;=8))*ROW('CONTROL MASTER'!$S$2:$S$495))-(ROW('CONTROL MASTER'!#REF!)-1)))-INDEX('CONTROL MASTER'!$U$2:$U$495,(SUMPRODUCT((('CONTROL MASTER'!$S$2:$S$495=7)*('CONTROL MASTER'!$T$2:$T$495&lt;=1)*('CONTROL MASTER'!$V$2:$V$495&gt;=1)*('CONTROL MASTER'!$U$2:$U$495&lt;=8)*('CONTROL MASTER'!$W$2:$W$495&gt;=8))*ROW('CONTROL MASTER'!$S$2:$S$495))-(ROW('CONTROL MASTER'!#REF!)-1)))+1)+(8-INDEX('CONTROL MASTER'!$U$2:$U$495,(SUMPRODUCT((('CONTROL MASTER'!$S$2:$S$495=7)*('CONTROL MASTER'!$T$2:$T$495&lt;=1)*('CONTROL MASTER'!$V$2:$V$495&gt;=1)*('CONTROL MASTER'!$U$2:$U$495&lt;=8)*('CONTROL MASTER'!$W$2:$W$495&gt;=8))*ROW('CONTROL MASTER'!$S$2:$S$495))-(ROW('CONTROL MASTER'!#REF!)-1))))+1))-1)*50+1,50))&amp;"_"&amp;INDEX('CONTROL MASTER'!$P$2:$P$495,(SUMPRODUCT((('CONTROL MASTER'!$S$2:$S$495=7)*('CONTROL MASTER'!$T$2:$T$495&lt;=1)*('CONTROL MASTER'!$V$2:$V$495&gt;=1)*('CONTROL MASTER'!$U$2:$U$495&lt;=8)*('CONTROL MASTER'!$W$2:$W$495&gt;=8))*ROW('CONTROL MASTER'!$S$2:$S$495))-(ROW('CONTROL MASTER'!#REF!)-1))),IF(SUMPRODUCT((('CONTROL MASTER'!$S$2:$S$495=7)*('CONTROL MASTER'!$Z$2:$Z$495&lt;=1)*('CONTROL MASTER'!$AB$2:$AB$495&gt;=1)*('CONTROL MASTER'!$AA$2:$AA$495&lt;=8)*('CONTROL MASTER'!$AC$2:$AC$495&gt;=8))*ROW('CONTROL MASTER'!$S$2:$S$495))&gt;0,INDEX('CONTROL MASTER'!$X$2:$X$495,(SUMPRODUCT((('CONTROL MASTER'!$S$2:$S$495=7)*('CONTROL MASTER'!$Z$2:$Z$495&lt;=1)*('CONTROL MASTER'!$AB$2:$AB$495&gt;=1)*('CONTROL MASTER'!$AA$2:$AA$495&lt;=8)*('CONTROL MASTER'!$AC$2:$AC$495&gt;=8))*ROW('CONTROL MASTER'!$S$2:$S$495))-(ROW('CONTROL MASTER'!#REF!)-1)))&amp;TRIM(MID(SUBSTITUTE(SUBSTITUTE(INDEX('CONTROL MASTER'!$N$2:$N$495,(SUMPRODUCT((('CONTROL MASTER'!$S$2:$S$495=7)*('CONTROL MASTER'!$Z$2:$Z$495&lt;=1)*('CONTROL MASTER'!$AB$2:$AB$495&gt;=1)*('CONTROL MASTER'!$AA$2:$AA$495&lt;=8)*('CONTROL MASTER'!$AC$2:$AC$495&gt;=8))*ROW('CONTROL MASTER'!$S$2:$S$495))-(ROW('CONTROL MASTER'!#REF!)-1))),":",","),",",REPT(" ",50)),(((INDEX('CONTROL MASTER'!$Y$2:$Y$495,(SUMPRODUCT((('CONTROL MASTER'!$S$2:$S$495=7)*('CONTROL MASTER'!$Z$2:$Z$495&lt;=1)*('CONTROL MASTER'!$AB$2:$AB$495&gt;=1)*('CONTROL MASTER'!$AA$2:$AA$495&lt;=8)*('CONTROL MASTER'!$AC$2:$AC$495&gt;=8))*ROW('CONTROL MASTER'!$S$2:$S$495))-(ROW('CONTROL MASTER'!#REF!)-1)))+((1-INDEX('CONTROL MASTER'!$Z$2:$Z$495,(SUMPRODUCT((('CONTROL MASTER'!$S$2:$S$495=7)*('CONTROL MASTER'!$Z$2:$Z$495&lt;=1)*('CONTROL MASTER'!$AB$2:$AB$495&gt;=1)*('CONTROL MASTER'!$AA$2:$AA$495&lt;=8)*('CONTROL MASTER'!$AC$2:$AC$495&gt;=8))*ROW('CONTROL MASTER'!$S$2:$S$495))-(ROW('CONTROL MASTER'!#REF!)-1))))*(INDEX('CONTROL MASTER'!$AC$2:$AC$495,(SUMPRODUCT((('CONTROL MASTER'!$S$2:$S$495=7)*('CONTROL MASTER'!$Z$2:$Z$495&lt;=1)*('CONTROL MASTER'!$AB$2:$AB$495&gt;=1)*('CONTROL MASTER'!$AA$2:$AA$495&lt;=8)*('CONTROL MASTER'!$AC$2:$AC$495&gt;=8))*ROW('CONTROL MASTER'!$S$2:$S$495))-(ROW('CONTROL MASTER'!#REF!)-1)))-INDEX('CONTROL MASTER'!$AA$2:$AA$495,(SUMPRODUCT((('CONTROL MASTER'!$S$2:$S$495=7)*('CONTROL MASTER'!$Z$2:$Z$495&lt;=1)*('CONTROL MASTER'!$AB$2:$AB$495&gt;=1)*('CONTROL MASTER'!$AA$2:$AA$495&lt;=8)*('CONTROL MASTER'!$AC$2:$AC$495&gt;=8))*ROW('CONTROL MASTER'!$S$2:$S$495))-(ROW('CONTROL MASTER'!#REF!)-1)))+1)+(8-INDEX('CONTROL MASTER'!$AA$2:$AA$495,(SUMPRODUCT((('CONTROL MASTER'!$S$2:$S$495=7)*('CONTROL MASTER'!$Z$2:$Z$495&lt;=1)*('CONTROL MASTER'!$AB$2:$AB$495&gt;=1)*('CONTROL MASTER'!$AA$2:$AA$495&lt;=8)*('CONTROL MASTER'!$AC$2:$AC$495&gt;=8))*ROW('CONTROL MASTER'!$S$2:$S$495))-(ROW('CONTROL MASTER'!#REF!)-1))))+1)))-1)*50+1,50))&amp;"_"&amp;INDEX('CONTROL MASTER'!$P$2:$P$495,(SUMPRODUCT((('CONTROL MASTER'!$S$2:$S$495=7)*('CONTROL MASTER'!$Z$2:$Z$495&lt;=1)*('CONTROL MASTER'!$AB$2:$AB$495&gt;=1)*('CONTROL MASTER'!$AA$2:$AA$495&lt;=8)*('CONTROL MASTER'!$AC$2:$AC$495&gt;=8))*ROW('CONTROL MASTER'!$S$2:$S$495))-(ROW('CONTROL MASTER'!#REF!)-1))),"")),"")</f>
        <v/>
      </c>
      <c r="J87" s="10" t="str">
        <f>IFERROR(IF(SUMPRODUCT((('CONTROL MASTER'!$S$2:$S$495=7)*('CONTROL MASTER'!$T$2:$T$495&lt;=1)*('CONTROL MASTER'!$V$2:$V$495&gt;=1)*('CONTROL MASTER'!$U$2:$U$495&lt;=9)*('CONTROL MASTER'!$W$2:$W$495&gt;=9))*ROW('CONTROL MASTER'!$S$2:$S$495))&gt;0,INDEX('CONTROL MASTER'!$X$2:$X$495,(SUMPRODUCT((('CONTROL MASTER'!$S$2:$S$495=7)*('CONTROL MASTER'!$T$2:$T$495&lt;=1)*('CONTROL MASTER'!$V$2:$V$495&gt;=1)*('CONTROL MASTER'!$U$2:$U$495&lt;=9)*('CONTROL MASTER'!$W$2:$W$495&gt;=9))*ROW('CONTROL MASTER'!$S$2:$S$495))-(ROW('CONTROL MASTER'!#REF!)-1)))&amp;TRIM(MID(SUBSTITUTE(SUBSTITUTE(INDEX('CONTROL MASTER'!$N$2:$N$495,(SUMPRODUCT((('CONTROL MASTER'!$S$2:$S$495=7)*('CONTROL MASTER'!$T$2:$T$495&lt;=1)*('CONTROL MASTER'!$V$2:$V$495&gt;=1)*('CONTROL MASTER'!$U$2:$U$495&lt;=9)*('CONTROL MASTER'!$W$2:$W$495&gt;=9))*ROW('CONTROL MASTER'!$S$2:$S$495))-(ROW('CONTROL MASTER'!#REF!)-1))),":",","),",",REPT(" ",50)),((((1-INDEX('CONTROL MASTER'!$T$2:$T$495,(SUMPRODUCT((('CONTROL MASTER'!$S$2:$S$495=7)*('CONTROL MASTER'!$T$2:$T$495&lt;=1)*('CONTROL MASTER'!$V$2:$V$495&gt;=1)*('CONTROL MASTER'!$U$2:$U$495&lt;=9)*('CONTROL MASTER'!$W$2:$W$495&gt;=9))*ROW('CONTROL MASTER'!$S$2:$S$495))-(ROW('CONTROL MASTER'!#REF!)-1))))*(INDEX('CONTROL MASTER'!$W$2:$W$495,(SUMPRODUCT((('CONTROL MASTER'!$S$2:$S$495=7)*('CONTROL MASTER'!$T$2:$T$495&lt;=1)*('CONTROL MASTER'!$V$2:$V$495&gt;=1)*('CONTROL MASTER'!$U$2:$U$495&lt;=9)*('CONTROL MASTER'!$W$2:$W$495&gt;=9))*ROW('CONTROL MASTER'!$S$2:$S$495))-(ROW('CONTROL MASTER'!#REF!)-1)))-INDEX('CONTROL MASTER'!$U$2:$U$495,(SUMPRODUCT((('CONTROL MASTER'!$S$2:$S$495=7)*('CONTROL MASTER'!$T$2:$T$495&lt;=1)*('CONTROL MASTER'!$V$2:$V$495&gt;=1)*('CONTROL MASTER'!$U$2:$U$495&lt;=9)*('CONTROL MASTER'!$W$2:$W$495&gt;=9))*ROW('CONTROL MASTER'!$S$2:$S$495))-(ROW('CONTROL MASTER'!#REF!)-1)))+1)+(9-INDEX('CONTROL MASTER'!$U$2:$U$495,(SUMPRODUCT((('CONTROL MASTER'!$S$2:$S$495=7)*('CONTROL MASTER'!$T$2:$T$495&lt;=1)*('CONTROL MASTER'!$V$2:$V$495&gt;=1)*('CONTROL MASTER'!$U$2:$U$495&lt;=9)*('CONTROL MASTER'!$W$2:$W$495&gt;=9))*ROW('CONTROL MASTER'!$S$2:$S$495))-(ROW('CONTROL MASTER'!#REF!)-1))))+1))-1)*50+1,50))&amp;"_"&amp;INDEX('CONTROL MASTER'!$P$2:$P$495,(SUMPRODUCT((('CONTROL MASTER'!$S$2:$S$495=7)*('CONTROL MASTER'!$T$2:$T$495&lt;=1)*('CONTROL MASTER'!$V$2:$V$495&gt;=1)*('CONTROL MASTER'!$U$2:$U$495&lt;=9)*('CONTROL MASTER'!$W$2:$W$495&gt;=9))*ROW('CONTROL MASTER'!$S$2:$S$495))-(ROW('CONTROL MASTER'!#REF!)-1))),IF(SUMPRODUCT((('CONTROL MASTER'!$S$2:$S$495=7)*('CONTROL MASTER'!$Z$2:$Z$495&lt;=1)*('CONTROL MASTER'!$AB$2:$AB$495&gt;=1)*('CONTROL MASTER'!$AA$2:$AA$495&lt;=9)*('CONTROL MASTER'!$AC$2:$AC$495&gt;=9))*ROW('CONTROL MASTER'!$S$2:$S$495))&gt;0,INDEX('CONTROL MASTER'!$X$2:$X$495,(SUMPRODUCT((('CONTROL MASTER'!$S$2:$S$495=7)*('CONTROL MASTER'!$Z$2:$Z$495&lt;=1)*('CONTROL MASTER'!$AB$2:$AB$495&gt;=1)*('CONTROL MASTER'!$AA$2:$AA$495&lt;=9)*('CONTROL MASTER'!$AC$2:$AC$495&gt;=9))*ROW('CONTROL MASTER'!$S$2:$S$495))-(ROW('CONTROL MASTER'!#REF!)-1)))&amp;TRIM(MID(SUBSTITUTE(SUBSTITUTE(INDEX('CONTROL MASTER'!$N$2:$N$495,(SUMPRODUCT((('CONTROL MASTER'!$S$2:$S$495=7)*('CONTROL MASTER'!$Z$2:$Z$495&lt;=1)*('CONTROL MASTER'!$AB$2:$AB$495&gt;=1)*('CONTROL MASTER'!$AA$2:$AA$495&lt;=9)*('CONTROL MASTER'!$AC$2:$AC$495&gt;=9))*ROW('CONTROL MASTER'!$S$2:$S$495))-(ROW('CONTROL MASTER'!#REF!)-1))),":",","),",",REPT(" ",50)),(((INDEX('CONTROL MASTER'!$Y$2:$Y$495,(SUMPRODUCT((('CONTROL MASTER'!$S$2:$S$495=7)*('CONTROL MASTER'!$Z$2:$Z$495&lt;=1)*('CONTROL MASTER'!$AB$2:$AB$495&gt;=1)*('CONTROL MASTER'!$AA$2:$AA$495&lt;=9)*('CONTROL MASTER'!$AC$2:$AC$495&gt;=9))*ROW('CONTROL MASTER'!$S$2:$S$495))-(ROW('CONTROL MASTER'!#REF!)-1)))+((1-INDEX('CONTROL MASTER'!$Z$2:$Z$495,(SUMPRODUCT((('CONTROL MASTER'!$S$2:$S$495=7)*('CONTROL MASTER'!$Z$2:$Z$495&lt;=1)*('CONTROL MASTER'!$AB$2:$AB$495&gt;=1)*('CONTROL MASTER'!$AA$2:$AA$495&lt;=9)*('CONTROL MASTER'!$AC$2:$AC$495&gt;=9))*ROW('CONTROL MASTER'!$S$2:$S$495))-(ROW('CONTROL MASTER'!#REF!)-1))))*(INDEX('CONTROL MASTER'!$AC$2:$AC$495,(SUMPRODUCT((('CONTROL MASTER'!$S$2:$S$495=7)*('CONTROL MASTER'!$Z$2:$Z$495&lt;=1)*('CONTROL MASTER'!$AB$2:$AB$495&gt;=1)*('CONTROL MASTER'!$AA$2:$AA$495&lt;=9)*('CONTROL MASTER'!$AC$2:$AC$495&gt;=9))*ROW('CONTROL MASTER'!$S$2:$S$495))-(ROW('CONTROL MASTER'!#REF!)-1)))-INDEX('CONTROL MASTER'!$AA$2:$AA$495,(SUMPRODUCT((('CONTROL MASTER'!$S$2:$S$495=7)*('CONTROL MASTER'!$Z$2:$Z$495&lt;=1)*('CONTROL MASTER'!$AB$2:$AB$495&gt;=1)*('CONTROL MASTER'!$AA$2:$AA$495&lt;=9)*('CONTROL MASTER'!$AC$2:$AC$495&gt;=9))*ROW('CONTROL MASTER'!$S$2:$S$495))-(ROW('CONTROL MASTER'!#REF!)-1)))+1)+(9-INDEX('CONTROL MASTER'!$AA$2:$AA$495,(SUMPRODUCT((('CONTROL MASTER'!$S$2:$S$495=7)*('CONTROL MASTER'!$Z$2:$Z$495&lt;=1)*('CONTROL MASTER'!$AB$2:$AB$495&gt;=1)*('CONTROL MASTER'!$AA$2:$AA$495&lt;=9)*('CONTROL MASTER'!$AC$2:$AC$495&gt;=9))*ROW('CONTROL MASTER'!$S$2:$S$495))-(ROW('CONTROL MASTER'!#REF!)-1))))+1)))-1)*50+1,50))&amp;"_"&amp;INDEX('CONTROL MASTER'!$P$2:$P$495,(SUMPRODUCT((('CONTROL MASTER'!$S$2:$S$495=7)*('CONTROL MASTER'!$Z$2:$Z$495&lt;=1)*('CONTROL MASTER'!$AB$2:$AB$495&gt;=1)*('CONTROL MASTER'!$AA$2:$AA$495&lt;=9)*('CONTROL MASTER'!$AC$2:$AC$495&gt;=9))*ROW('CONTROL MASTER'!$S$2:$S$495))-(ROW('CONTROL MASTER'!#REF!)-1))),"")),"")</f>
        <v/>
      </c>
      <c r="K87" s="10" t="str">
        <f>IFERROR(IF(SUMPRODUCT((('CONTROL MASTER'!$S$2:$S$495=7)*('CONTROL MASTER'!$T$2:$T$495&lt;=1)*('CONTROL MASTER'!$V$2:$V$495&gt;=1)*('CONTROL MASTER'!$U$2:$U$495&lt;=10)*('CONTROL MASTER'!$W$2:$W$495&gt;=10))*ROW('CONTROL MASTER'!$S$2:$S$495))&gt;0,INDEX('CONTROL MASTER'!$X$2:$X$495,(SUMPRODUCT((('CONTROL MASTER'!$S$2:$S$495=7)*('CONTROL MASTER'!$T$2:$T$495&lt;=1)*('CONTROL MASTER'!$V$2:$V$495&gt;=1)*('CONTROL MASTER'!$U$2:$U$495&lt;=10)*('CONTROL MASTER'!$W$2:$W$495&gt;=10))*ROW('CONTROL MASTER'!$S$2:$S$495))-(ROW('CONTROL MASTER'!#REF!)-1)))&amp;TRIM(MID(SUBSTITUTE(SUBSTITUTE(INDEX('CONTROL MASTER'!$N$2:$N$495,(SUMPRODUCT((('CONTROL MASTER'!$S$2:$S$495=7)*('CONTROL MASTER'!$T$2:$T$495&lt;=1)*('CONTROL MASTER'!$V$2:$V$495&gt;=1)*('CONTROL MASTER'!$U$2:$U$495&lt;=10)*('CONTROL MASTER'!$W$2:$W$495&gt;=10))*ROW('CONTROL MASTER'!$S$2:$S$495))-(ROW('CONTROL MASTER'!#REF!)-1))),":",","),",",REPT(" ",50)),((((1-INDEX('CONTROL MASTER'!$T$2:$T$495,(SUMPRODUCT((('CONTROL MASTER'!$S$2:$S$495=7)*('CONTROL MASTER'!$T$2:$T$495&lt;=1)*('CONTROL MASTER'!$V$2:$V$495&gt;=1)*('CONTROL MASTER'!$U$2:$U$495&lt;=10)*('CONTROL MASTER'!$W$2:$W$495&gt;=10))*ROW('CONTROL MASTER'!$S$2:$S$495))-(ROW('CONTROL MASTER'!#REF!)-1))))*(INDEX('CONTROL MASTER'!$W$2:$W$495,(SUMPRODUCT((('CONTROL MASTER'!$S$2:$S$495=7)*('CONTROL MASTER'!$T$2:$T$495&lt;=1)*('CONTROL MASTER'!$V$2:$V$495&gt;=1)*('CONTROL MASTER'!$U$2:$U$495&lt;=10)*('CONTROL MASTER'!$W$2:$W$495&gt;=10))*ROW('CONTROL MASTER'!$S$2:$S$495))-(ROW('CONTROL MASTER'!#REF!)-1)))-INDEX('CONTROL MASTER'!$U$2:$U$495,(SUMPRODUCT((('CONTROL MASTER'!$S$2:$S$495=7)*('CONTROL MASTER'!$T$2:$T$495&lt;=1)*('CONTROL MASTER'!$V$2:$V$495&gt;=1)*('CONTROL MASTER'!$U$2:$U$495&lt;=10)*('CONTROL MASTER'!$W$2:$W$495&gt;=10))*ROW('CONTROL MASTER'!$S$2:$S$495))-(ROW('CONTROL MASTER'!#REF!)-1)))+1)+(10-INDEX('CONTROL MASTER'!$U$2:$U$495,(SUMPRODUCT((('CONTROL MASTER'!$S$2:$S$495=7)*('CONTROL MASTER'!$T$2:$T$495&lt;=1)*('CONTROL MASTER'!$V$2:$V$495&gt;=1)*('CONTROL MASTER'!$U$2:$U$495&lt;=10)*('CONTROL MASTER'!$W$2:$W$495&gt;=10))*ROW('CONTROL MASTER'!$S$2:$S$495))-(ROW('CONTROL MASTER'!#REF!)-1))))+1))-1)*50+1,50))&amp;"_"&amp;INDEX('CONTROL MASTER'!$P$2:$P$495,(SUMPRODUCT((('CONTROL MASTER'!$S$2:$S$495=7)*('CONTROL MASTER'!$T$2:$T$495&lt;=1)*('CONTROL MASTER'!$V$2:$V$495&gt;=1)*('CONTROL MASTER'!$U$2:$U$495&lt;=10)*('CONTROL MASTER'!$W$2:$W$495&gt;=10))*ROW('CONTROL MASTER'!$S$2:$S$495))-(ROW('CONTROL MASTER'!#REF!)-1))),IF(SUMPRODUCT((('CONTROL MASTER'!$S$2:$S$495=7)*('CONTROL MASTER'!$Z$2:$Z$495&lt;=1)*('CONTROL MASTER'!$AB$2:$AB$495&gt;=1)*('CONTROL MASTER'!$AA$2:$AA$495&lt;=10)*('CONTROL MASTER'!$AC$2:$AC$495&gt;=10))*ROW('CONTROL MASTER'!$S$2:$S$495))&gt;0,INDEX('CONTROL MASTER'!$X$2:$X$495,(SUMPRODUCT((('CONTROL MASTER'!$S$2:$S$495=7)*('CONTROL MASTER'!$Z$2:$Z$495&lt;=1)*('CONTROL MASTER'!$AB$2:$AB$495&gt;=1)*('CONTROL MASTER'!$AA$2:$AA$495&lt;=10)*('CONTROL MASTER'!$AC$2:$AC$495&gt;=10))*ROW('CONTROL MASTER'!$S$2:$S$495))-(ROW('CONTROL MASTER'!#REF!)-1)))&amp;TRIM(MID(SUBSTITUTE(SUBSTITUTE(INDEX('CONTROL MASTER'!$N$2:$N$495,(SUMPRODUCT((('CONTROL MASTER'!$S$2:$S$495=7)*('CONTROL MASTER'!$Z$2:$Z$495&lt;=1)*('CONTROL MASTER'!$AB$2:$AB$495&gt;=1)*('CONTROL MASTER'!$AA$2:$AA$495&lt;=10)*('CONTROL MASTER'!$AC$2:$AC$495&gt;=10))*ROW('CONTROL MASTER'!$S$2:$S$495))-(ROW('CONTROL MASTER'!#REF!)-1))),":",","),",",REPT(" ",50)),(((INDEX('CONTROL MASTER'!$Y$2:$Y$495,(SUMPRODUCT((('CONTROL MASTER'!$S$2:$S$495=7)*('CONTROL MASTER'!$Z$2:$Z$495&lt;=1)*('CONTROL MASTER'!$AB$2:$AB$495&gt;=1)*('CONTROL MASTER'!$AA$2:$AA$495&lt;=10)*('CONTROL MASTER'!$AC$2:$AC$495&gt;=10))*ROW('CONTROL MASTER'!$S$2:$S$495))-(ROW('CONTROL MASTER'!#REF!)-1)))+((1-INDEX('CONTROL MASTER'!$Z$2:$Z$495,(SUMPRODUCT((('CONTROL MASTER'!$S$2:$S$495=7)*('CONTROL MASTER'!$Z$2:$Z$495&lt;=1)*('CONTROL MASTER'!$AB$2:$AB$495&gt;=1)*('CONTROL MASTER'!$AA$2:$AA$495&lt;=10)*('CONTROL MASTER'!$AC$2:$AC$495&gt;=10))*ROW('CONTROL MASTER'!$S$2:$S$495))-(ROW('CONTROL MASTER'!#REF!)-1))))*(INDEX('CONTROL MASTER'!$AC$2:$AC$495,(SUMPRODUCT((('CONTROL MASTER'!$S$2:$S$495=7)*('CONTROL MASTER'!$Z$2:$Z$495&lt;=1)*('CONTROL MASTER'!$AB$2:$AB$495&gt;=1)*('CONTROL MASTER'!$AA$2:$AA$495&lt;=10)*('CONTROL MASTER'!$AC$2:$AC$495&gt;=10))*ROW('CONTROL MASTER'!$S$2:$S$495))-(ROW('CONTROL MASTER'!#REF!)-1)))-INDEX('CONTROL MASTER'!$AA$2:$AA$495,(SUMPRODUCT((('CONTROL MASTER'!$S$2:$S$495=7)*('CONTROL MASTER'!$Z$2:$Z$495&lt;=1)*('CONTROL MASTER'!$AB$2:$AB$495&gt;=1)*('CONTROL MASTER'!$AA$2:$AA$495&lt;=10)*('CONTROL MASTER'!$AC$2:$AC$495&gt;=10))*ROW('CONTROL MASTER'!$S$2:$S$495))-(ROW('CONTROL MASTER'!#REF!)-1)))+1)+(10-INDEX('CONTROL MASTER'!$AA$2:$AA$495,(SUMPRODUCT((('CONTROL MASTER'!$S$2:$S$495=7)*('CONTROL MASTER'!$Z$2:$Z$495&lt;=1)*('CONTROL MASTER'!$AB$2:$AB$495&gt;=1)*('CONTROL MASTER'!$AA$2:$AA$495&lt;=10)*('CONTROL MASTER'!$AC$2:$AC$495&gt;=10))*ROW('CONTROL MASTER'!$S$2:$S$495))-(ROW('CONTROL MASTER'!#REF!)-1))))+1)))-1)*50+1,50))&amp;"_"&amp;INDEX('CONTROL MASTER'!$P$2:$P$495,(SUMPRODUCT((('CONTROL MASTER'!$S$2:$S$495=7)*('CONTROL MASTER'!$Z$2:$Z$495&lt;=1)*('CONTROL MASTER'!$AB$2:$AB$495&gt;=1)*('CONTROL MASTER'!$AA$2:$AA$495&lt;=10)*('CONTROL MASTER'!$AC$2:$AC$495&gt;=10))*ROW('CONTROL MASTER'!$S$2:$S$495))-(ROW('CONTROL MASTER'!#REF!)-1))),"")),"")</f>
        <v/>
      </c>
    </row>
    <row r="88" spans="1:11" ht="15" customHeight="1" x14ac:dyDescent="0.35">
      <c r="A88" s="8" t="s">
        <v>29</v>
      </c>
      <c r="B88" s="10" t="str">
        <f>IFERROR(IF(SUMPRODUCT((('CONTROL MASTER'!$S$2:$S$495=7)*('CONTROL MASTER'!$T$2:$T$495&lt;=2)*('CONTROL MASTER'!$V$2:$V$495&gt;=2)*('CONTROL MASTER'!$U$2:$U$495&lt;=1)*('CONTROL MASTER'!$W$2:$W$495&gt;=1))*ROW('CONTROL MASTER'!$S$2:$S$495))&gt;0,INDEX('CONTROL MASTER'!$X$2:$X$495,(SUMPRODUCT((('CONTROL MASTER'!$S$2:$S$495=7)*('CONTROL MASTER'!$T$2:$T$495&lt;=2)*('CONTROL MASTER'!$V$2:$V$495&gt;=2)*('CONTROL MASTER'!$U$2:$U$495&lt;=1)*('CONTROL MASTER'!$W$2:$W$495&gt;=1))*ROW('CONTROL MASTER'!$S$2:$S$495))-(ROW('CONTROL MASTER'!#REF!)-1)))&amp;TRIM(MID(SUBSTITUTE(SUBSTITUTE(INDEX('CONTROL MASTER'!$N$2:$N$495,(SUMPRODUCT((('CONTROL MASTER'!$S$2:$S$495=7)*('CONTROL MASTER'!$T$2:$T$495&lt;=2)*('CONTROL MASTER'!$V$2:$V$495&gt;=2)*('CONTROL MASTER'!$U$2:$U$495&lt;=1)*('CONTROL MASTER'!$W$2:$W$495&gt;=1))*ROW('CONTROL MASTER'!$S$2:$S$495))-(ROW('CONTROL MASTER'!#REF!)-1))),":",","),",",REPT(" ",50)),((((2-INDEX('CONTROL MASTER'!$T$2:$T$495,(SUMPRODUCT((('CONTROL MASTER'!$S$2:$S$495=7)*('CONTROL MASTER'!$T$2:$T$495&lt;=2)*('CONTROL MASTER'!$V$2:$V$495&gt;=2)*('CONTROL MASTER'!$U$2:$U$495&lt;=1)*('CONTROL MASTER'!$W$2:$W$495&gt;=1))*ROW('CONTROL MASTER'!$S$2:$S$495))-(ROW('CONTROL MASTER'!#REF!)-1))))*(INDEX('CONTROL MASTER'!$W$2:$W$495,(SUMPRODUCT((('CONTROL MASTER'!$S$2:$S$495=7)*('CONTROL MASTER'!$T$2:$T$495&lt;=2)*('CONTROL MASTER'!$V$2:$V$495&gt;=2)*('CONTROL MASTER'!$U$2:$U$495&lt;=1)*('CONTROL MASTER'!$W$2:$W$495&gt;=1))*ROW('CONTROL MASTER'!$S$2:$S$495))-(ROW('CONTROL MASTER'!#REF!)-1)))-INDEX('CONTROL MASTER'!$U$2:$U$495,(SUMPRODUCT((('CONTROL MASTER'!$S$2:$S$495=7)*('CONTROL MASTER'!$T$2:$T$495&lt;=2)*('CONTROL MASTER'!$V$2:$V$495&gt;=2)*('CONTROL MASTER'!$U$2:$U$495&lt;=1)*('CONTROL MASTER'!$W$2:$W$495&gt;=1))*ROW('CONTROL MASTER'!$S$2:$S$495))-(ROW('CONTROL MASTER'!#REF!)-1)))+1)+(1-INDEX('CONTROL MASTER'!$U$2:$U$495,(SUMPRODUCT((('CONTROL MASTER'!$S$2:$S$495=7)*('CONTROL MASTER'!$T$2:$T$495&lt;=2)*('CONTROL MASTER'!$V$2:$V$495&gt;=2)*('CONTROL MASTER'!$U$2:$U$495&lt;=1)*('CONTROL MASTER'!$W$2:$W$495&gt;=1))*ROW('CONTROL MASTER'!$S$2:$S$495))-(ROW('CONTROL MASTER'!#REF!)-1))))+1))-1)*50+1,50))&amp;"_"&amp;INDEX('CONTROL MASTER'!$P$2:$P$495,(SUMPRODUCT((('CONTROL MASTER'!$S$2:$S$495=7)*('CONTROL MASTER'!$T$2:$T$495&lt;=2)*('CONTROL MASTER'!$V$2:$V$495&gt;=2)*('CONTROL MASTER'!$U$2:$U$495&lt;=1)*('CONTROL MASTER'!$W$2:$W$495&gt;=1))*ROW('CONTROL MASTER'!$S$2:$S$495))-(ROW('CONTROL MASTER'!#REF!)-1))),IF(SUMPRODUCT((('CONTROL MASTER'!$S$2:$S$495=7)*('CONTROL MASTER'!$Z$2:$Z$495&lt;=2)*('CONTROL MASTER'!$AB$2:$AB$495&gt;=2)*('CONTROL MASTER'!$AA$2:$AA$495&lt;=1)*('CONTROL MASTER'!$AC$2:$AC$495&gt;=1))*ROW('CONTROL MASTER'!$S$2:$S$495))&gt;0,INDEX('CONTROL MASTER'!$X$2:$X$495,(SUMPRODUCT((('CONTROL MASTER'!$S$2:$S$495=7)*('CONTROL MASTER'!$Z$2:$Z$495&lt;=2)*('CONTROL MASTER'!$AB$2:$AB$495&gt;=2)*('CONTROL MASTER'!$AA$2:$AA$495&lt;=1)*('CONTROL MASTER'!$AC$2:$AC$495&gt;=1))*ROW('CONTROL MASTER'!$S$2:$S$495))-(ROW('CONTROL MASTER'!#REF!)-1)))&amp;TRIM(MID(SUBSTITUTE(SUBSTITUTE(INDEX('CONTROL MASTER'!$N$2:$N$495,(SUMPRODUCT((('CONTROL MASTER'!$S$2:$S$495=7)*('CONTROL MASTER'!$Z$2:$Z$495&lt;=2)*('CONTROL MASTER'!$AB$2:$AB$495&gt;=2)*('CONTROL MASTER'!$AA$2:$AA$495&lt;=1)*('CONTROL MASTER'!$AC$2:$AC$495&gt;=1))*ROW('CONTROL MASTER'!$S$2:$S$495))-(ROW('CONTROL MASTER'!#REF!)-1))),":",","),",",REPT(" ",50)),(((INDEX('CONTROL MASTER'!$Y$2:$Y$495,(SUMPRODUCT((('CONTROL MASTER'!$S$2:$S$495=7)*('CONTROL MASTER'!$Z$2:$Z$495&lt;=2)*('CONTROL MASTER'!$AB$2:$AB$495&gt;=2)*('CONTROL MASTER'!$AA$2:$AA$495&lt;=1)*('CONTROL MASTER'!$AC$2:$AC$495&gt;=1))*ROW('CONTROL MASTER'!$S$2:$S$495))-(ROW('CONTROL MASTER'!#REF!)-1)))+((2-INDEX('CONTROL MASTER'!$Z$2:$Z$495,(SUMPRODUCT((('CONTROL MASTER'!$S$2:$S$495=7)*('CONTROL MASTER'!$Z$2:$Z$495&lt;=2)*('CONTROL MASTER'!$AB$2:$AB$495&gt;=2)*('CONTROL MASTER'!$AA$2:$AA$495&lt;=1)*('CONTROL MASTER'!$AC$2:$AC$495&gt;=1))*ROW('CONTROL MASTER'!$S$2:$S$495))-(ROW('CONTROL MASTER'!#REF!)-1))))*(INDEX('CONTROL MASTER'!$AC$2:$AC$495,(SUMPRODUCT((('CONTROL MASTER'!$S$2:$S$495=7)*('CONTROL MASTER'!$Z$2:$Z$495&lt;=2)*('CONTROL MASTER'!$AB$2:$AB$495&gt;=2)*('CONTROL MASTER'!$AA$2:$AA$495&lt;=1)*('CONTROL MASTER'!$AC$2:$AC$495&gt;=1))*ROW('CONTROL MASTER'!$S$2:$S$495))-(ROW('CONTROL MASTER'!#REF!)-1)))-INDEX('CONTROL MASTER'!$AA$2:$AA$495,(SUMPRODUCT((('CONTROL MASTER'!$S$2:$S$495=7)*('CONTROL MASTER'!$Z$2:$Z$495&lt;=2)*('CONTROL MASTER'!$AB$2:$AB$495&gt;=2)*('CONTROL MASTER'!$AA$2:$AA$495&lt;=1)*('CONTROL MASTER'!$AC$2:$AC$495&gt;=1))*ROW('CONTROL MASTER'!$S$2:$S$495))-(ROW('CONTROL MASTER'!#REF!)-1)))+1)+(1-INDEX('CONTROL MASTER'!$AA$2:$AA$495,(SUMPRODUCT((('CONTROL MASTER'!$S$2:$S$495=7)*('CONTROL MASTER'!$Z$2:$Z$495&lt;=2)*('CONTROL MASTER'!$AB$2:$AB$495&gt;=2)*('CONTROL MASTER'!$AA$2:$AA$495&lt;=1)*('CONTROL MASTER'!$AC$2:$AC$495&gt;=1))*ROW('CONTROL MASTER'!$S$2:$S$495))-(ROW('CONTROL MASTER'!#REF!)-1))))+1)))-1)*50+1,50))&amp;"_"&amp;INDEX('CONTROL MASTER'!$P$2:$P$495,(SUMPRODUCT((('CONTROL MASTER'!$S$2:$S$495=7)*('CONTROL MASTER'!$Z$2:$Z$495&lt;=2)*('CONTROL MASTER'!$AB$2:$AB$495&gt;=2)*('CONTROL MASTER'!$AA$2:$AA$495&lt;=1)*('CONTROL MASTER'!$AC$2:$AC$495&gt;=1))*ROW('CONTROL MASTER'!$S$2:$S$495))-(ROW('CONTROL MASTER'!#REF!)-1))),"")),"")</f>
        <v/>
      </c>
      <c r="C88" s="10" t="str">
        <f>IFERROR(IF(SUMPRODUCT((('CONTROL MASTER'!$S$2:$S$495=7)*('CONTROL MASTER'!$T$2:$T$495&lt;=2)*('CONTROL MASTER'!$V$2:$V$495&gt;=2)*('CONTROL MASTER'!$U$2:$U$495&lt;=2)*('CONTROL MASTER'!$W$2:$W$495&gt;=2))*ROW('CONTROL MASTER'!$S$2:$S$495))&gt;0,INDEX('CONTROL MASTER'!$X$2:$X$495,(SUMPRODUCT((('CONTROL MASTER'!$S$2:$S$495=7)*('CONTROL MASTER'!$T$2:$T$495&lt;=2)*('CONTROL MASTER'!$V$2:$V$495&gt;=2)*('CONTROL MASTER'!$U$2:$U$495&lt;=2)*('CONTROL MASTER'!$W$2:$W$495&gt;=2))*ROW('CONTROL MASTER'!$S$2:$S$495))-(ROW('CONTROL MASTER'!#REF!)-1)))&amp;TRIM(MID(SUBSTITUTE(SUBSTITUTE(INDEX('CONTROL MASTER'!$N$2:$N$495,(SUMPRODUCT((('CONTROL MASTER'!$S$2:$S$495=7)*('CONTROL MASTER'!$T$2:$T$495&lt;=2)*('CONTROL MASTER'!$V$2:$V$495&gt;=2)*('CONTROL MASTER'!$U$2:$U$495&lt;=2)*('CONTROL MASTER'!$W$2:$W$495&gt;=2))*ROW('CONTROL MASTER'!$S$2:$S$495))-(ROW('CONTROL MASTER'!#REF!)-1))),":",","),",",REPT(" ",50)),((((2-INDEX('CONTROL MASTER'!$T$2:$T$495,(SUMPRODUCT((('CONTROL MASTER'!$S$2:$S$495=7)*('CONTROL MASTER'!$T$2:$T$495&lt;=2)*('CONTROL MASTER'!$V$2:$V$495&gt;=2)*('CONTROL MASTER'!$U$2:$U$495&lt;=2)*('CONTROL MASTER'!$W$2:$W$495&gt;=2))*ROW('CONTROL MASTER'!$S$2:$S$495))-(ROW('CONTROL MASTER'!#REF!)-1))))*(INDEX('CONTROL MASTER'!$W$2:$W$495,(SUMPRODUCT((('CONTROL MASTER'!$S$2:$S$495=7)*('CONTROL MASTER'!$T$2:$T$495&lt;=2)*('CONTROL MASTER'!$V$2:$V$495&gt;=2)*('CONTROL MASTER'!$U$2:$U$495&lt;=2)*('CONTROL MASTER'!$W$2:$W$495&gt;=2))*ROW('CONTROL MASTER'!$S$2:$S$495))-(ROW('CONTROL MASTER'!#REF!)-1)))-INDEX('CONTROL MASTER'!$U$2:$U$495,(SUMPRODUCT((('CONTROL MASTER'!$S$2:$S$495=7)*('CONTROL MASTER'!$T$2:$T$495&lt;=2)*('CONTROL MASTER'!$V$2:$V$495&gt;=2)*('CONTROL MASTER'!$U$2:$U$495&lt;=2)*('CONTROL MASTER'!$W$2:$W$495&gt;=2))*ROW('CONTROL MASTER'!$S$2:$S$495))-(ROW('CONTROL MASTER'!#REF!)-1)))+1)+(2-INDEX('CONTROL MASTER'!$U$2:$U$495,(SUMPRODUCT((('CONTROL MASTER'!$S$2:$S$495=7)*('CONTROL MASTER'!$T$2:$T$495&lt;=2)*('CONTROL MASTER'!$V$2:$V$495&gt;=2)*('CONTROL MASTER'!$U$2:$U$495&lt;=2)*('CONTROL MASTER'!$W$2:$W$495&gt;=2))*ROW('CONTROL MASTER'!$S$2:$S$495))-(ROW('CONTROL MASTER'!#REF!)-1))))+1))-1)*50+1,50))&amp;"_"&amp;INDEX('CONTROL MASTER'!$P$2:$P$495,(SUMPRODUCT((('CONTROL MASTER'!$S$2:$S$495=7)*('CONTROL MASTER'!$T$2:$T$495&lt;=2)*('CONTROL MASTER'!$V$2:$V$495&gt;=2)*('CONTROL MASTER'!$U$2:$U$495&lt;=2)*('CONTROL MASTER'!$W$2:$W$495&gt;=2))*ROW('CONTROL MASTER'!$S$2:$S$495))-(ROW('CONTROL MASTER'!#REF!)-1))),IF(SUMPRODUCT((('CONTROL MASTER'!$S$2:$S$495=7)*('CONTROL MASTER'!$Z$2:$Z$495&lt;=2)*('CONTROL MASTER'!$AB$2:$AB$495&gt;=2)*('CONTROL MASTER'!$AA$2:$AA$495&lt;=2)*('CONTROL MASTER'!$AC$2:$AC$495&gt;=2))*ROW('CONTROL MASTER'!$S$2:$S$495))&gt;0,INDEX('CONTROL MASTER'!$X$2:$X$495,(SUMPRODUCT((('CONTROL MASTER'!$S$2:$S$495=7)*('CONTROL MASTER'!$Z$2:$Z$495&lt;=2)*('CONTROL MASTER'!$AB$2:$AB$495&gt;=2)*('CONTROL MASTER'!$AA$2:$AA$495&lt;=2)*('CONTROL MASTER'!$AC$2:$AC$495&gt;=2))*ROW('CONTROL MASTER'!$S$2:$S$495))-(ROW('CONTROL MASTER'!#REF!)-1)))&amp;TRIM(MID(SUBSTITUTE(SUBSTITUTE(INDEX('CONTROL MASTER'!$N$2:$N$495,(SUMPRODUCT((('CONTROL MASTER'!$S$2:$S$495=7)*('CONTROL MASTER'!$Z$2:$Z$495&lt;=2)*('CONTROL MASTER'!$AB$2:$AB$495&gt;=2)*('CONTROL MASTER'!$AA$2:$AA$495&lt;=2)*('CONTROL MASTER'!$AC$2:$AC$495&gt;=2))*ROW('CONTROL MASTER'!$S$2:$S$495))-(ROW('CONTROL MASTER'!#REF!)-1))),":",","),",",REPT(" ",50)),(((INDEX('CONTROL MASTER'!$Y$2:$Y$495,(SUMPRODUCT((('CONTROL MASTER'!$S$2:$S$495=7)*('CONTROL MASTER'!$Z$2:$Z$495&lt;=2)*('CONTROL MASTER'!$AB$2:$AB$495&gt;=2)*('CONTROL MASTER'!$AA$2:$AA$495&lt;=2)*('CONTROL MASTER'!$AC$2:$AC$495&gt;=2))*ROW('CONTROL MASTER'!$S$2:$S$495))-(ROW('CONTROL MASTER'!#REF!)-1)))+((2-INDEX('CONTROL MASTER'!$Z$2:$Z$495,(SUMPRODUCT((('CONTROL MASTER'!$S$2:$S$495=7)*('CONTROL MASTER'!$Z$2:$Z$495&lt;=2)*('CONTROL MASTER'!$AB$2:$AB$495&gt;=2)*('CONTROL MASTER'!$AA$2:$AA$495&lt;=2)*('CONTROL MASTER'!$AC$2:$AC$495&gt;=2))*ROW('CONTROL MASTER'!$S$2:$S$495))-(ROW('CONTROL MASTER'!#REF!)-1))))*(INDEX('CONTROL MASTER'!$AC$2:$AC$495,(SUMPRODUCT((('CONTROL MASTER'!$S$2:$S$495=7)*('CONTROL MASTER'!$Z$2:$Z$495&lt;=2)*('CONTROL MASTER'!$AB$2:$AB$495&gt;=2)*('CONTROL MASTER'!$AA$2:$AA$495&lt;=2)*('CONTROL MASTER'!$AC$2:$AC$495&gt;=2))*ROW('CONTROL MASTER'!$S$2:$S$495))-(ROW('CONTROL MASTER'!#REF!)-1)))-INDEX('CONTROL MASTER'!$AA$2:$AA$495,(SUMPRODUCT((('CONTROL MASTER'!$S$2:$S$495=7)*('CONTROL MASTER'!$Z$2:$Z$495&lt;=2)*('CONTROL MASTER'!$AB$2:$AB$495&gt;=2)*('CONTROL MASTER'!$AA$2:$AA$495&lt;=2)*('CONTROL MASTER'!$AC$2:$AC$495&gt;=2))*ROW('CONTROL MASTER'!$S$2:$S$495))-(ROW('CONTROL MASTER'!#REF!)-1)))+1)+(2-INDEX('CONTROL MASTER'!$AA$2:$AA$495,(SUMPRODUCT((('CONTROL MASTER'!$S$2:$S$495=7)*('CONTROL MASTER'!$Z$2:$Z$495&lt;=2)*('CONTROL MASTER'!$AB$2:$AB$495&gt;=2)*('CONTROL MASTER'!$AA$2:$AA$495&lt;=2)*('CONTROL MASTER'!$AC$2:$AC$495&gt;=2))*ROW('CONTROL MASTER'!$S$2:$S$495))-(ROW('CONTROL MASTER'!#REF!)-1))))+1)))-1)*50+1,50))&amp;"_"&amp;INDEX('CONTROL MASTER'!$P$2:$P$495,(SUMPRODUCT((('CONTROL MASTER'!$S$2:$S$495=7)*('CONTROL MASTER'!$Z$2:$Z$495&lt;=2)*('CONTROL MASTER'!$AB$2:$AB$495&gt;=2)*('CONTROL MASTER'!$AA$2:$AA$495&lt;=2)*('CONTROL MASTER'!$AC$2:$AC$495&gt;=2))*ROW('CONTROL MASTER'!$S$2:$S$495))-(ROW('CONTROL MASTER'!#REF!)-1))),"")),"")</f>
        <v/>
      </c>
      <c r="D88" s="10" t="str">
        <f>IFERROR(IF(SUMPRODUCT((('CONTROL MASTER'!$S$2:$S$495=7)*('CONTROL MASTER'!$T$2:$T$495&lt;=2)*('CONTROL MASTER'!$V$2:$V$495&gt;=2)*('CONTROL MASTER'!$U$2:$U$495&lt;=3)*('CONTROL MASTER'!$W$2:$W$495&gt;=3))*ROW('CONTROL MASTER'!$S$2:$S$495))&gt;0,INDEX('CONTROL MASTER'!$X$2:$X$495,(SUMPRODUCT((('CONTROL MASTER'!$S$2:$S$495=7)*('CONTROL MASTER'!$T$2:$T$495&lt;=2)*('CONTROL MASTER'!$V$2:$V$495&gt;=2)*('CONTROL MASTER'!$U$2:$U$495&lt;=3)*('CONTROL MASTER'!$W$2:$W$495&gt;=3))*ROW('CONTROL MASTER'!$S$2:$S$495))-(ROW('CONTROL MASTER'!#REF!)-1)))&amp;TRIM(MID(SUBSTITUTE(SUBSTITUTE(INDEX('CONTROL MASTER'!$N$2:$N$495,(SUMPRODUCT((('CONTROL MASTER'!$S$2:$S$495=7)*('CONTROL MASTER'!$T$2:$T$495&lt;=2)*('CONTROL MASTER'!$V$2:$V$495&gt;=2)*('CONTROL MASTER'!$U$2:$U$495&lt;=3)*('CONTROL MASTER'!$W$2:$W$495&gt;=3))*ROW('CONTROL MASTER'!$S$2:$S$495))-(ROW('CONTROL MASTER'!#REF!)-1))),":",","),",",REPT(" ",50)),((((2-INDEX('CONTROL MASTER'!$T$2:$T$495,(SUMPRODUCT((('CONTROL MASTER'!$S$2:$S$495=7)*('CONTROL MASTER'!$T$2:$T$495&lt;=2)*('CONTROL MASTER'!$V$2:$V$495&gt;=2)*('CONTROL MASTER'!$U$2:$U$495&lt;=3)*('CONTROL MASTER'!$W$2:$W$495&gt;=3))*ROW('CONTROL MASTER'!$S$2:$S$495))-(ROW('CONTROL MASTER'!#REF!)-1))))*(INDEX('CONTROL MASTER'!$W$2:$W$495,(SUMPRODUCT((('CONTROL MASTER'!$S$2:$S$495=7)*('CONTROL MASTER'!$T$2:$T$495&lt;=2)*('CONTROL MASTER'!$V$2:$V$495&gt;=2)*('CONTROL MASTER'!$U$2:$U$495&lt;=3)*('CONTROL MASTER'!$W$2:$W$495&gt;=3))*ROW('CONTROL MASTER'!$S$2:$S$495))-(ROW('CONTROL MASTER'!#REF!)-1)))-INDEX('CONTROL MASTER'!$U$2:$U$495,(SUMPRODUCT((('CONTROL MASTER'!$S$2:$S$495=7)*('CONTROL MASTER'!$T$2:$T$495&lt;=2)*('CONTROL MASTER'!$V$2:$V$495&gt;=2)*('CONTROL MASTER'!$U$2:$U$495&lt;=3)*('CONTROL MASTER'!$W$2:$W$495&gt;=3))*ROW('CONTROL MASTER'!$S$2:$S$495))-(ROW('CONTROL MASTER'!#REF!)-1)))+1)+(3-INDEX('CONTROL MASTER'!$U$2:$U$495,(SUMPRODUCT((('CONTROL MASTER'!$S$2:$S$495=7)*('CONTROL MASTER'!$T$2:$T$495&lt;=2)*('CONTROL MASTER'!$V$2:$V$495&gt;=2)*('CONTROL MASTER'!$U$2:$U$495&lt;=3)*('CONTROL MASTER'!$W$2:$W$495&gt;=3))*ROW('CONTROL MASTER'!$S$2:$S$495))-(ROW('CONTROL MASTER'!#REF!)-1))))+1))-1)*50+1,50))&amp;"_"&amp;INDEX('CONTROL MASTER'!$P$2:$P$495,(SUMPRODUCT((('CONTROL MASTER'!$S$2:$S$495=7)*('CONTROL MASTER'!$T$2:$T$495&lt;=2)*('CONTROL MASTER'!$V$2:$V$495&gt;=2)*('CONTROL MASTER'!$U$2:$U$495&lt;=3)*('CONTROL MASTER'!$W$2:$W$495&gt;=3))*ROW('CONTROL MASTER'!$S$2:$S$495))-(ROW('CONTROL MASTER'!#REF!)-1))),IF(SUMPRODUCT((('CONTROL MASTER'!$S$2:$S$495=7)*('CONTROL MASTER'!$Z$2:$Z$495&lt;=2)*('CONTROL MASTER'!$AB$2:$AB$495&gt;=2)*('CONTROL MASTER'!$AA$2:$AA$495&lt;=3)*('CONTROL MASTER'!$AC$2:$AC$495&gt;=3))*ROW('CONTROL MASTER'!$S$2:$S$495))&gt;0,INDEX('CONTROL MASTER'!$X$2:$X$495,(SUMPRODUCT((('CONTROL MASTER'!$S$2:$S$495=7)*('CONTROL MASTER'!$Z$2:$Z$495&lt;=2)*('CONTROL MASTER'!$AB$2:$AB$495&gt;=2)*('CONTROL MASTER'!$AA$2:$AA$495&lt;=3)*('CONTROL MASTER'!$AC$2:$AC$495&gt;=3))*ROW('CONTROL MASTER'!$S$2:$S$495))-(ROW('CONTROL MASTER'!#REF!)-1)))&amp;TRIM(MID(SUBSTITUTE(SUBSTITUTE(INDEX('CONTROL MASTER'!$N$2:$N$495,(SUMPRODUCT((('CONTROL MASTER'!$S$2:$S$495=7)*('CONTROL MASTER'!$Z$2:$Z$495&lt;=2)*('CONTROL MASTER'!$AB$2:$AB$495&gt;=2)*('CONTROL MASTER'!$AA$2:$AA$495&lt;=3)*('CONTROL MASTER'!$AC$2:$AC$495&gt;=3))*ROW('CONTROL MASTER'!$S$2:$S$495))-(ROW('CONTROL MASTER'!#REF!)-1))),":",","),",",REPT(" ",50)),(((INDEX('CONTROL MASTER'!$Y$2:$Y$495,(SUMPRODUCT((('CONTROL MASTER'!$S$2:$S$495=7)*('CONTROL MASTER'!$Z$2:$Z$495&lt;=2)*('CONTROL MASTER'!$AB$2:$AB$495&gt;=2)*('CONTROL MASTER'!$AA$2:$AA$495&lt;=3)*('CONTROL MASTER'!$AC$2:$AC$495&gt;=3))*ROW('CONTROL MASTER'!$S$2:$S$495))-(ROW('CONTROL MASTER'!#REF!)-1)))+((2-INDEX('CONTROL MASTER'!$Z$2:$Z$495,(SUMPRODUCT((('CONTROL MASTER'!$S$2:$S$495=7)*('CONTROL MASTER'!$Z$2:$Z$495&lt;=2)*('CONTROL MASTER'!$AB$2:$AB$495&gt;=2)*('CONTROL MASTER'!$AA$2:$AA$495&lt;=3)*('CONTROL MASTER'!$AC$2:$AC$495&gt;=3))*ROW('CONTROL MASTER'!$S$2:$S$495))-(ROW('CONTROL MASTER'!#REF!)-1))))*(INDEX('CONTROL MASTER'!$AC$2:$AC$495,(SUMPRODUCT((('CONTROL MASTER'!$S$2:$S$495=7)*('CONTROL MASTER'!$Z$2:$Z$495&lt;=2)*('CONTROL MASTER'!$AB$2:$AB$495&gt;=2)*('CONTROL MASTER'!$AA$2:$AA$495&lt;=3)*('CONTROL MASTER'!$AC$2:$AC$495&gt;=3))*ROW('CONTROL MASTER'!$S$2:$S$495))-(ROW('CONTROL MASTER'!#REF!)-1)))-INDEX('CONTROL MASTER'!$AA$2:$AA$495,(SUMPRODUCT((('CONTROL MASTER'!$S$2:$S$495=7)*('CONTROL MASTER'!$Z$2:$Z$495&lt;=2)*('CONTROL MASTER'!$AB$2:$AB$495&gt;=2)*('CONTROL MASTER'!$AA$2:$AA$495&lt;=3)*('CONTROL MASTER'!$AC$2:$AC$495&gt;=3))*ROW('CONTROL MASTER'!$S$2:$S$495))-(ROW('CONTROL MASTER'!#REF!)-1)))+1)+(3-INDEX('CONTROL MASTER'!$AA$2:$AA$495,(SUMPRODUCT((('CONTROL MASTER'!$S$2:$S$495=7)*('CONTROL MASTER'!$Z$2:$Z$495&lt;=2)*('CONTROL MASTER'!$AB$2:$AB$495&gt;=2)*('CONTROL MASTER'!$AA$2:$AA$495&lt;=3)*('CONTROL MASTER'!$AC$2:$AC$495&gt;=3))*ROW('CONTROL MASTER'!$S$2:$S$495))-(ROW('CONTROL MASTER'!#REF!)-1))))+1)))-1)*50+1,50))&amp;"_"&amp;INDEX('CONTROL MASTER'!$P$2:$P$495,(SUMPRODUCT((('CONTROL MASTER'!$S$2:$S$495=7)*('CONTROL MASTER'!$Z$2:$Z$495&lt;=2)*('CONTROL MASTER'!$AB$2:$AB$495&gt;=2)*('CONTROL MASTER'!$AA$2:$AA$495&lt;=3)*('CONTROL MASTER'!$AC$2:$AC$495&gt;=3))*ROW('CONTROL MASTER'!$S$2:$S$495))-(ROW('CONTROL MASTER'!#REF!)-1))),"")),"")</f>
        <v/>
      </c>
      <c r="E88" s="10" t="str">
        <f>IFERROR(IF(SUMPRODUCT((('CONTROL MASTER'!$S$2:$S$495=7)*('CONTROL MASTER'!$T$2:$T$495&lt;=2)*('CONTROL MASTER'!$V$2:$V$495&gt;=2)*('CONTROL MASTER'!$U$2:$U$495&lt;=4)*('CONTROL MASTER'!$W$2:$W$495&gt;=4))*ROW('CONTROL MASTER'!$S$2:$S$495))&gt;0,INDEX('CONTROL MASTER'!$X$2:$X$495,(SUMPRODUCT((('CONTROL MASTER'!$S$2:$S$495=7)*('CONTROL MASTER'!$T$2:$T$495&lt;=2)*('CONTROL MASTER'!$V$2:$V$495&gt;=2)*('CONTROL MASTER'!$U$2:$U$495&lt;=4)*('CONTROL MASTER'!$W$2:$W$495&gt;=4))*ROW('CONTROL MASTER'!$S$2:$S$495))-(ROW('CONTROL MASTER'!#REF!)-1)))&amp;TRIM(MID(SUBSTITUTE(SUBSTITUTE(INDEX('CONTROL MASTER'!$N$2:$N$495,(SUMPRODUCT((('CONTROL MASTER'!$S$2:$S$495=7)*('CONTROL MASTER'!$T$2:$T$495&lt;=2)*('CONTROL MASTER'!$V$2:$V$495&gt;=2)*('CONTROL MASTER'!$U$2:$U$495&lt;=4)*('CONTROL MASTER'!$W$2:$W$495&gt;=4))*ROW('CONTROL MASTER'!$S$2:$S$495))-(ROW('CONTROL MASTER'!#REF!)-1))),":",","),",",REPT(" ",50)),((((2-INDEX('CONTROL MASTER'!$T$2:$T$495,(SUMPRODUCT((('CONTROL MASTER'!$S$2:$S$495=7)*('CONTROL MASTER'!$T$2:$T$495&lt;=2)*('CONTROL MASTER'!$V$2:$V$495&gt;=2)*('CONTROL MASTER'!$U$2:$U$495&lt;=4)*('CONTROL MASTER'!$W$2:$W$495&gt;=4))*ROW('CONTROL MASTER'!$S$2:$S$495))-(ROW('CONTROL MASTER'!#REF!)-1))))*(INDEX('CONTROL MASTER'!$W$2:$W$495,(SUMPRODUCT((('CONTROL MASTER'!$S$2:$S$495=7)*('CONTROL MASTER'!$T$2:$T$495&lt;=2)*('CONTROL MASTER'!$V$2:$V$495&gt;=2)*('CONTROL MASTER'!$U$2:$U$495&lt;=4)*('CONTROL MASTER'!$W$2:$W$495&gt;=4))*ROW('CONTROL MASTER'!$S$2:$S$495))-(ROW('CONTROL MASTER'!#REF!)-1)))-INDEX('CONTROL MASTER'!$U$2:$U$495,(SUMPRODUCT((('CONTROL MASTER'!$S$2:$S$495=7)*('CONTROL MASTER'!$T$2:$T$495&lt;=2)*('CONTROL MASTER'!$V$2:$V$495&gt;=2)*('CONTROL MASTER'!$U$2:$U$495&lt;=4)*('CONTROL MASTER'!$W$2:$W$495&gt;=4))*ROW('CONTROL MASTER'!$S$2:$S$495))-(ROW('CONTROL MASTER'!#REF!)-1)))+1)+(4-INDEX('CONTROL MASTER'!$U$2:$U$495,(SUMPRODUCT((('CONTROL MASTER'!$S$2:$S$495=7)*('CONTROL MASTER'!$T$2:$T$495&lt;=2)*('CONTROL MASTER'!$V$2:$V$495&gt;=2)*('CONTROL MASTER'!$U$2:$U$495&lt;=4)*('CONTROL MASTER'!$W$2:$W$495&gt;=4))*ROW('CONTROL MASTER'!$S$2:$S$495))-(ROW('CONTROL MASTER'!#REF!)-1))))+1))-1)*50+1,50))&amp;"_"&amp;INDEX('CONTROL MASTER'!$P$2:$P$495,(SUMPRODUCT((('CONTROL MASTER'!$S$2:$S$495=7)*('CONTROL MASTER'!$T$2:$T$495&lt;=2)*('CONTROL MASTER'!$V$2:$V$495&gt;=2)*('CONTROL MASTER'!$U$2:$U$495&lt;=4)*('CONTROL MASTER'!$W$2:$W$495&gt;=4))*ROW('CONTROL MASTER'!$S$2:$S$495))-(ROW('CONTROL MASTER'!#REF!)-1))),IF(SUMPRODUCT((('CONTROL MASTER'!$S$2:$S$495=7)*('CONTROL MASTER'!$Z$2:$Z$495&lt;=2)*('CONTROL MASTER'!$AB$2:$AB$495&gt;=2)*('CONTROL MASTER'!$AA$2:$AA$495&lt;=4)*('CONTROL MASTER'!$AC$2:$AC$495&gt;=4))*ROW('CONTROL MASTER'!$S$2:$S$495))&gt;0,INDEX('CONTROL MASTER'!$X$2:$X$495,(SUMPRODUCT((('CONTROL MASTER'!$S$2:$S$495=7)*('CONTROL MASTER'!$Z$2:$Z$495&lt;=2)*('CONTROL MASTER'!$AB$2:$AB$495&gt;=2)*('CONTROL MASTER'!$AA$2:$AA$495&lt;=4)*('CONTROL MASTER'!$AC$2:$AC$495&gt;=4))*ROW('CONTROL MASTER'!$S$2:$S$495))-(ROW('CONTROL MASTER'!#REF!)-1)))&amp;TRIM(MID(SUBSTITUTE(SUBSTITUTE(INDEX('CONTROL MASTER'!$N$2:$N$495,(SUMPRODUCT((('CONTROL MASTER'!$S$2:$S$495=7)*('CONTROL MASTER'!$Z$2:$Z$495&lt;=2)*('CONTROL MASTER'!$AB$2:$AB$495&gt;=2)*('CONTROL MASTER'!$AA$2:$AA$495&lt;=4)*('CONTROL MASTER'!$AC$2:$AC$495&gt;=4))*ROW('CONTROL MASTER'!$S$2:$S$495))-(ROW('CONTROL MASTER'!#REF!)-1))),":",","),",",REPT(" ",50)),(((INDEX('CONTROL MASTER'!$Y$2:$Y$495,(SUMPRODUCT((('CONTROL MASTER'!$S$2:$S$495=7)*('CONTROL MASTER'!$Z$2:$Z$495&lt;=2)*('CONTROL MASTER'!$AB$2:$AB$495&gt;=2)*('CONTROL MASTER'!$AA$2:$AA$495&lt;=4)*('CONTROL MASTER'!$AC$2:$AC$495&gt;=4))*ROW('CONTROL MASTER'!$S$2:$S$495))-(ROW('CONTROL MASTER'!#REF!)-1)))+((2-INDEX('CONTROL MASTER'!$Z$2:$Z$495,(SUMPRODUCT((('CONTROL MASTER'!$S$2:$S$495=7)*('CONTROL MASTER'!$Z$2:$Z$495&lt;=2)*('CONTROL MASTER'!$AB$2:$AB$495&gt;=2)*('CONTROL MASTER'!$AA$2:$AA$495&lt;=4)*('CONTROL MASTER'!$AC$2:$AC$495&gt;=4))*ROW('CONTROL MASTER'!$S$2:$S$495))-(ROW('CONTROL MASTER'!#REF!)-1))))*(INDEX('CONTROL MASTER'!$AC$2:$AC$495,(SUMPRODUCT((('CONTROL MASTER'!$S$2:$S$495=7)*('CONTROL MASTER'!$Z$2:$Z$495&lt;=2)*('CONTROL MASTER'!$AB$2:$AB$495&gt;=2)*('CONTROL MASTER'!$AA$2:$AA$495&lt;=4)*('CONTROL MASTER'!$AC$2:$AC$495&gt;=4))*ROW('CONTROL MASTER'!$S$2:$S$495))-(ROW('CONTROL MASTER'!#REF!)-1)))-INDEX('CONTROL MASTER'!$AA$2:$AA$495,(SUMPRODUCT((('CONTROL MASTER'!$S$2:$S$495=7)*('CONTROL MASTER'!$Z$2:$Z$495&lt;=2)*('CONTROL MASTER'!$AB$2:$AB$495&gt;=2)*('CONTROL MASTER'!$AA$2:$AA$495&lt;=4)*('CONTROL MASTER'!$AC$2:$AC$495&gt;=4))*ROW('CONTROL MASTER'!$S$2:$S$495))-(ROW('CONTROL MASTER'!#REF!)-1)))+1)+(4-INDEX('CONTROL MASTER'!$AA$2:$AA$495,(SUMPRODUCT((('CONTROL MASTER'!$S$2:$S$495=7)*('CONTROL MASTER'!$Z$2:$Z$495&lt;=2)*('CONTROL MASTER'!$AB$2:$AB$495&gt;=2)*('CONTROL MASTER'!$AA$2:$AA$495&lt;=4)*('CONTROL MASTER'!$AC$2:$AC$495&gt;=4))*ROW('CONTROL MASTER'!$S$2:$S$495))-(ROW('CONTROL MASTER'!#REF!)-1))))+1)))-1)*50+1,50))&amp;"_"&amp;INDEX('CONTROL MASTER'!$P$2:$P$495,(SUMPRODUCT((('CONTROL MASTER'!$S$2:$S$495=7)*('CONTROL MASTER'!$Z$2:$Z$495&lt;=2)*('CONTROL MASTER'!$AB$2:$AB$495&gt;=2)*('CONTROL MASTER'!$AA$2:$AA$495&lt;=4)*('CONTROL MASTER'!$AC$2:$AC$495&gt;=4))*ROW('CONTROL MASTER'!$S$2:$S$495))-(ROW('CONTROL MASTER'!#REF!)-1))),"")),"")</f>
        <v/>
      </c>
      <c r="F88" s="10" t="str">
        <f>IFERROR(IF(SUMPRODUCT((('CONTROL MASTER'!$S$2:$S$495=7)*('CONTROL MASTER'!$T$2:$T$495&lt;=2)*('CONTROL MASTER'!$V$2:$V$495&gt;=2)*('CONTROL MASTER'!$U$2:$U$495&lt;=5)*('CONTROL MASTER'!$W$2:$W$495&gt;=5))*ROW('CONTROL MASTER'!$S$2:$S$495))&gt;0,INDEX('CONTROL MASTER'!$X$2:$X$495,(SUMPRODUCT((('CONTROL MASTER'!$S$2:$S$495=7)*('CONTROL MASTER'!$T$2:$T$495&lt;=2)*('CONTROL MASTER'!$V$2:$V$495&gt;=2)*('CONTROL MASTER'!$U$2:$U$495&lt;=5)*('CONTROL MASTER'!$W$2:$W$495&gt;=5))*ROW('CONTROL MASTER'!$S$2:$S$495))-(ROW('CONTROL MASTER'!#REF!)-1)))&amp;TRIM(MID(SUBSTITUTE(SUBSTITUTE(INDEX('CONTROL MASTER'!$N$2:$N$495,(SUMPRODUCT((('CONTROL MASTER'!$S$2:$S$495=7)*('CONTROL MASTER'!$T$2:$T$495&lt;=2)*('CONTROL MASTER'!$V$2:$V$495&gt;=2)*('CONTROL MASTER'!$U$2:$U$495&lt;=5)*('CONTROL MASTER'!$W$2:$W$495&gt;=5))*ROW('CONTROL MASTER'!$S$2:$S$495))-(ROW('CONTROL MASTER'!#REF!)-1))),":",","),",",REPT(" ",50)),((((2-INDEX('CONTROL MASTER'!$T$2:$T$495,(SUMPRODUCT((('CONTROL MASTER'!$S$2:$S$495=7)*('CONTROL MASTER'!$T$2:$T$495&lt;=2)*('CONTROL MASTER'!$V$2:$V$495&gt;=2)*('CONTROL MASTER'!$U$2:$U$495&lt;=5)*('CONTROL MASTER'!$W$2:$W$495&gt;=5))*ROW('CONTROL MASTER'!$S$2:$S$495))-(ROW('CONTROL MASTER'!#REF!)-1))))*(INDEX('CONTROL MASTER'!$W$2:$W$495,(SUMPRODUCT((('CONTROL MASTER'!$S$2:$S$495=7)*('CONTROL MASTER'!$T$2:$T$495&lt;=2)*('CONTROL MASTER'!$V$2:$V$495&gt;=2)*('CONTROL MASTER'!$U$2:$U$495&lt;=5)*('CONTROL MASTER'!$W$2:$W$495&gt;=5))*ROW('CONTROL MASTER'!$S$2:$S$495))-(ROW('CONTROL MASTER'!#REF!)-1)))-INDEX('CONTROL MASTER'!$U$2:$U$495,(SUMPRODUCT((('CONTROL MASTER'!$S$2:$S$495=7)*('CONTROL MASTER'!$T$2:$T$495&lt;=2)*('CONTROL MASTER'!$V$2:$V$495&gt;=2)*('CONTROL MASTER'!$U$2:$U$495&lt;=5)*('CONTROL MASTER'!$W$2:$W$495&gt;=5))*ROW('CONTROL MASTER'!$S$2:$S$495))-(ROW('CONTROL MASTER'!#REF!)-1)))+1)+(5-INDEX('CONTROL MASTER'!$U$2:$U$495,(SUMPRODUCT((('CONTROL MASTER'!$S$2:$S$495=7)*('CONTROL MASTER'!$T$2:$T$495&lt;=2)*('CONTROL MASTER'!$V$2:$V$495&gt;=2)*('CONTROL MASTER'!$U$2:$U$495&lt;=5)*('CONTROL MASTER'!$W$2:$W$495&gt;=5))*ROW('CONTROL MASTER'!$S$2:$S$495))-(ROW('CONTROL MASTER'!#REF!)-1))))+1))-1)*50+1,50))&amp;"_"&amp;INDEX('CONTROL MASTER'!$P$2:$P$495,(SUMPRODUCT((('CONTROL MASTER'!$S$2:$S$495=7)*('CONTROL MASTER'!$T$2:$T$495&lt;=2)*('CONTROL MASTER'!$V$2:$V$495&gt;=2)*('CONTROL MASTER'!$U$2:$U$495&lt;=5)*('CONTROL MASTER'!$W$2:$W$495&gt;=5))*ROW('CONTROL MASTER'!$S$2:$S$495))-(ROW('CONTROL MASTER'!#REF!)-1))),IF(SUMPRODUCT((('CONTROL MASTER'!$S$2:$S$495=7)*('CONTROL MASTER'!$Z$2:$Z$495&lt;=2)*('CONTROL MASTER'!$AB$2:$AB$495&gt;=2)*('CONTROL MASTER'!$AA$2:$AA$495&lt;=5)*('CONTROL MASTER'!$AC$2:$AC$495&gt;=5))*ROW('CONTROL MASTER'!$S$2:$S$495))&gt;0,INDEX('CONTROL MASTER'!$X$2:$X$495,(SUMPRODUCT((('CONTROL MASTER'!$S$2:$S$495=7)*('CONTROL MASTER'!$Z$2:$Z$495&lt;=2)*('CONTROL MASTER'!$AB$2:$AB$495&gt;=2)*('CONTROL MASTER'!$AA$2:$AA$495&lt;=5)*('CONTROL MASTER'!$AC$2:$AC$495&gt;=5))*ROW('CONTROL MASTER'!$S$2:$S$495))-(ROW('CONTROL MASTER'!#REF!)-1)))&amp;TRIM(MID(SUBSTITUTE(SUBSTITUTE(INDEX('CONTROL MASTER'!$N$2:$N$495,(SUMPRODUCT((('CONTROL MASTER'!$S$2:$S$495=7)*('CONTROL MASTER'!$Z$2:$Z$495&lt;=2)*('CONTROL MASTER'!$AB$2:$AB$495&gt;=2)*('CONTROL MASTER'!$AA$2:$AA$495&lt;=5)*('CONTROL MASTER'!$AC$2:$AC$495&gt;=5))*ROW('CONTROL MASTER'!$S$2:$S$495))-(ROW('CONTROL MASTER'!#REF!)-1))),":",","),",",REPT(" ",50)),(((INDEX('CONTROL MASTER'!$Y$2:$Y$495,(SUMPRODUCT((('CONTROL MASTER'!$S$2:$S$495=7)*('CONTROL MASTER'!$Z$2:$Z$495&lt;=2)*('CONTROL MASTER'!$AB$2:$AB$495&gt;=2)*('CONTROL MASTER'!$AA$2:$AA$495&lt;=5)*('CONTROL MASTER'!$AC$2:$AC$495&gt;=5))*ROW('CONTROL MASTER'!$S$2:$S$495))-(ROW('CONTROL MASTER'!#REF!)-1)))+((2-INDEX('CONTROL MASTER'!$Z$2:$Z$495,(SUMPRODUCT((('CONTROL MASTER'!$S$2:$S$495=7)*('CONTROL MASTER'!$Z$2:$Z$495&lt;=2)*('CONTROL MASTER'!$AB$2:$AB$495&gt;=2)*('CONTROL MASTER'!$AA$2:$AA$495&lt;=5)*('CONTROL MASTER'!$AC$2:$AC$495&gt;=5))*ROW('CONTROL MASTER'!$S$2:$S$495))-(ROW('CONTROL MASTER'!#REF!)-1))))*(INDEX('CONTROL MASTER'!$AC$2:$AC$495,(SUMPRODUCT((('CONTROL MASTER'!$S$2:$S$495=7)*('CONTROL MASTER'!$Z$2:$Z$495&lt;=2)*('CONTROL MASTER'!$AB$2:$AB$495&gt;=2)*('CONTROL MASTER'!$AA$2:$AA$495&lt;=5)*('CONTROL MASTER'!$AC$2:$AC$495&gt;=5))*ROW('CONTROL MASTER'!$S$2:$S$495))-(ROW('CONTROL MASTER'!#REF!)-1)))-INDEX('CONTROL MASTER'!$AA$2:$AA$495,(SUMPRODUCT((('CONTROL MASTER'!$S$2:$S$495=7)*('CONTROL MASTER'!$Z$2:$Z$495&lt;=2)*('CONTROL MASTER'!$AB$2:$AB$495&gt;=2)*('CONTROL MASTER'!$AA$2:$AA$495&lt;=5)*('CONTROL MASTER'!$AC$2:$AC$495&gt;=5))*ROW('CONTROL MASTER'!$S$2:$S$495))-(ROW('CONTROL MASTER'!#REF!)-1)))+1)+(5-INDEX('CONTROL MASTER'!$AA$2:$AA$495,(SUMPRODUCT((('CONTROL MASTER'!$S$2:$S$495=7)*('CONTROL MASTER'!$Z$2:$Z$495&lt;=2)*('CONTROL MASTER'!$AB$2:$AB$495&gt;=2)*('CONTROL MASTER'!$AA$2:$AA$495&lt;=5)*('CONTROL MASTER'!$AC$2:$AC$495&gt;=5))*ROW('CONTROL MASTER'!$S$2:$S$495))-(ROW('CONTROL MASTER'!#REF!)-1))))+1)))-1)*50+1,50))&amp;"_"&amp;INDEX('CONTROL MASTER'!$P$2:$P$495,(SUMPRODUCT((('CONTROL MASTER'!$S$2:$S$495=7)*('CONTROL MASTER'!$Z$2:$Z$495&lt;=2)*('CONTROL MASTER'!$AB$2:$AB$495&gt;=2)*('CONTROL MASTER'!$AA$2:$AA$495&lt;=5)*('CONTROL MASTER'!$AC$2:$AC$495&gt;=5))*ROW('CONTROL MASTER'!$S$2:$S$495))-(ROW('CONTROL MASTER'!#REF!)-1))),"")),"")</f>
        <v/>
      </c>
      <c r="G88" s="10" t="str">
        <f>IFERROR(IF(SUMPRODUCT((('CONTROL MASTER'!$S$2:$S$495=7)*('CONTROL MASTER'!$T$2:$T$495&lt;=2)*('CONTROL MASTER'!$V$2:$V$495&gt;=2)*('CONTROL MASTER'!$U$2:$U$495&lt;=6)*('CONTROL MASTER'!$W$2:$W$495&gt;=6))*ROW('CONTROL MASTER'!$S$2:$S$495))&gt;0,INDEX('CONTROL MASTER'!$X$2:$X$495,(SUMPRODUCT((('CONTROL MASTER'!$S$2:$S$495=7)*('CONTROL MASTER'!$T$2:$T$495&lt;=2)*('CONTROL MASTER'!$V$2:$V$495&gt;=2)*('CONTROL MASTER'!$U$2:$U$495&lt;=6)*('CONTROL MASTER'!$W$2:$W$495&gt;=6))*ROW('CONTROL MASTER'!$S$2:$S$495))-(ROW('CONTROL MASTER'!#REF!)-1)))&amp;TRIM(MID(SUBSTITUTE(SUBSTITUTE(INDEX('CONTROL MASTER'!$N$2:$N$495,(SUMPRODUCT((('CONTROL MASTER'!$S$2:$S$495=7)*('CONTROL MASTER'!$T$2:$T$495&lt;=2)*('CONTROL MASTER'!$V$2:$V$495&gt;=2)*('CONTROL MASTER'!$U$2:$U$495&lt;=6)*('CONTROL MASTER'!$W$2:$W$495&gt;=6))*ROW('CONTROL MASTER'!$S$2:$S$495))-(ROW('CONTROL MASTER'!#REF!)-1))),":",","),",",REPT(" ",50)),((((2-INDEX('CONTROL MASTER'!$T$2:$T$495,(SUMPRODUCT((('CONTROL MASTER'!$S$2:$S$495=7)*('CONTROL MASTER'!$T$2:$T$495&lt;=2)*('CONTROL MASTER'!$V$2:$V$495&gt;=2)*('CONTROL MASTER'!$U$2:$U$495&lt;=6)*('CONTROL MASTER'!$W$2:$W$495&gt;=6))*ROW('CONTROL MASTER'!$S$2:$S$495))-(ROW('CONTROL MASTER'!#REF!)-1))))*(INDEX('CONTROL MASTER'!$W$2:$W$495,(SUMPRODUCT((('CONTROL MASTER'!$S$2:$S$495=7)*('CONTROL MASTER'!$T$2:$T$495&lt;=2)*('CONTROL MASTER'!$V$2:$V$495&gt;=2)*('CONTROL MASTER'!$U$2:$U$495&lt;=6)*('CONTROL MASTER'!$W$2:$W$495&gt;=6))*ROW('CONTROL MASTER'!$S$2:$S$495))-(ROW('CONTROL MASTER'!#REF!)-1)))-INDEX('CONTROL MASTER'!$U$2:$U$495,(SUMPRODUCT((('CONTROL MASTER'!$S$2:$S$495=7)*('CONTROL MASTER'!$T$2:$T$495&lt;=2)*('CONTROL MASTER'!$V$2:$V$495&gt;=2)*('CONTROL MASTER'!$U$2:$U$495&lt;=6)*('CONTROL MASTER'!$W$2:$W$495&gt;=6))*ROW('CONTROL MASTER'!$S$2:$S$495))-(ROW('CONTROL MASTER'!#REF!)-1)))+1)+(6-INDEX('CONTROL MASTER'!$U$2:$U$495,(SUMPRODUCT((('CONTROL MASTER'!$S$2:$S$495=7)*('CONTROL MASTER'!$T$2:$T$495&lt;=2)*('CONTROL MASTER'!$V$2:$V$495&gt;=2)*('CONTROL MASTER'!$U$2:$U$495&lt;=6)*('CONTROL MASTER'!$W$2:$W$495&gt;=6))*ROW('CONTROL MASTER'!$S$2:$S$495))-(ROW('CONTROL MASTER'!#REF!)-1))))+1))-1)*50+1,50))&amp;"_"&amp;INDEX('CONTROL MASTER'!$P$2:$P$495,(SUMPRODUCT((('CONTROL MASTER'!$S$2:$S$495=7)*('CONTROL MASTER'!$T$2:$T$495&lt;=2)*('CONTROL MASTER'!$V$2:$V$495&gt;=2)*('CONTROL MASTER'!$U$2:$U$495&lt;=6)*('CONTROL MASTER'!$W$2:$W$495&gt;=6))*ROW('CONTROL MASTER'!$S$2:$S$495))-(ROW('CONTROL MASTER'!#REF!)-1))),IF(SUMPRODUCT((('CONTROL MASTER'!$S$2:$S$495=7)*('CONTROL MASTER'!$Z$2:$Z$495&lt;=2)*('CONTROL MASTER'!$AB$2:$AB$495&gt;=2)*('CONTROL MASTER'!$AA$2:$AA$495&lt;=6)*('CONTROL MASTER'!$AC$2:$AC$495&gt;=6))*ROW('CONTROL MASTER'!$S$2:$S$495))&gt;0,INDEX('CONTROL MASTER'!$X$2:$X$495,(SUMPRODUCT((('CONTROL MASTER'!$S$2:$S$495=7)*('CONTROL MASTER'!$Z$2:$Z$495&lt;=2)*('CONTROL MASTER'!$AB$2:$AB$495&gt;=2)*('CONTROL MASTER'!$AA$2:$AA$495&lt;=6)*('CONTROL MASTER'!$AC$2:$AC$495&gt;=6))*ROW('CONTROL MASTER'!$S$2:$S$495))-(ROW('CONTROL MASTER'!#REF!)-1)))&amp;TRIM(MID(SUBSTITUTE(SUBSTITUTE(INDEX('CONTROL MASTER'!$N$2:$N$495,(SUMPRODUCT((('CONTROL MASTER'!$S$2:$S$495=7)*('CONTROL MASTER'!$Z$2:$Z$495&lt;=2)*('CONTROL MASTER'!$AB$2:$AB$495&gt;=2)*('CONTROL MASTER'!$AA$2:$AA$495&lt;=6)*('CONTROL MASTER'!$AC$2:$AC$495&gt;=6))*ROW('CONTROL MASTER'!$S$2:$S$495))-(ROW('CONTROL MASTER'!#REF!)-1))),":",","),",",REPT(" ",50)),(((INDEX('CONTROL MASTER'!$Y$2:$Y$495,(SUMPRODUCT((('CONTROL MASTER'!$S$2:$S$495=7)*('CONTROL MASTER'!$Z$2:$Z$495&lt;=2)*('CONTROL MASTER'!$AB$2:$AB$495&gt;=2)*('CONTROL MASTER'!$AA$2:$AA$495&lt;=6)*('CONTROL MASTER'!$AC$2:$AC$495&gt;=6))*ROW('CONTROL MASTER'!$S$2:$S$495))-(ROW('CONTROL MASTER'!#REF!)-1)))+((2-INDEX('CONTROL MASTER'!$Z$2:$Z$495,(SUMPRODUCT((('CONTROL MASTER'!$S$2:$S$495=7)*('CONTROL MASTER'!$Z$2:$Z$495&lt;=2)*('CONTROL MASTER'!$AB$2:$AB$495&gt;=2)*('CONTROL MASTER'!$AA$2:$AA$495&lt;=6)*('CONTROL MASTER'!$AC$2:$AC$495&gt;=6))*ROW('CONTROL MASTER'!$S$2:$S$495))-(ROW('CONTROL MASTER'!#REF!)-1))))*(INDEX('CONTROL MASTER'!$AC$2:$AC$495,(SUMPRODUCT((('CONTROL MASTER'!$S$2:$S$495=7)*('CONTROL MASTER'!$Z$2:$Z$495&lt;=2)*('CONTROL MASTER'!$AB$2:$AB$495&gt;=2)*('CONTROL MASTER'!$AA$2:$AA$495&lt;=6)*('CONTROL MASTER'!$AC$2:$AC$495&gt;=6))*ROW('CONTROL MASTER'!$S$2:$S$495))-(ROW('CONTROL MASTER'!#REF!)-1)))-INDEX('CONTROL MASTER'!$AA$2:$AA$495,(SUMPRODUCT((('CONTROL MASTER'!$S$2:$S$495=7)*('CONTROL MASTER'!$Z$2:$Z$495&lt;=2)*('CONTROL MASTER'!$AB$2:$AB$495&gt;=2)*('CONTROL MASTER'!$AA$2:$AA$495&lt;=6)*('CONTROL MASTER'!$AC$2:$AC$495&gt;=6))*ROW('CONTROL MASTER'!$S$2:$S$495))-(ROW('CONTROL MASTER'!#REF!)-1)))+1)+(6-INDEX('CONTROL MASTER'!$AA$2:$AA$495,(SUMPRODUCT((('CONTROL MASTER'!$S$2:$S$495=7)*('CONTROL MASTER'!$Z$2:$Z$495&lt;=2)*('CONTROL MASTER'!$AB$2:$AB$495&gt;=2)*('CONTROL MASTER'!$AA$2:$AA$495&lt;=6)*('CONTROL MASTER'!$AC$2:$AC$495&gt;=6))*ROW('CONTROL MASTER'!$S$2:$S$495))-(ROW('CONTROL MASTER'!#REF!)-1))))+1)))-1)*50+1,50))&amp;"_"&amp;INDEX('CONTROL MASTER'!$P$2:$P$495,(SUMPRODUCT((('CONTROL MASTER'!$S$2:$S$495=7)*('CONTROL MASTER'!$Z$2:$Z$495&lt;=2)*('CONTROL MASTER'!$AB$2:$AB$495&gt;=2)*('CONTROL MASTER'!$AA$2:$AA$495&lt;=6)*('CONTROL MASTER'!$AC$2:$AC$495&gt;=6))*ROW('CONTROL MASTER'!$S$2:$S$495))-(ROW('CONTROL MASTER'!#REF!)-1))),"")),"")</f>
        <v/>
      </c>
      <c r="H88" s="10" t="str">
        <f>IFERROR(IF(SUMPRODUCT((('CONTROL MASTER'!$S$2:$S$495=7)*('CONTROL MASTER'!$T$2:$T$495&lt;=2)*('CONTROL MASTER'!$V$2:$V$495&gt;=2)*('CONTROL MASTER'!$U$2:$U$495&lt;=7)*('CONTROL MASTER'!$W$2:$W$495&gt;=7))*ROW('CONTROL MASTER'!$S$2:$S$495))&gt;0,INDEX('CONTROL MASTER'!$X$2:$X$495,(SUMPRODUCT((('CONTROL MASTER'!$S$2:$S$495=7)*('CONTROL MASTER'!$T$2:$T$495&lt;=2)*('CONTROL MASTER'!$V$2:$V$495&gt;=2)*('CONTROL MASTER'!$U$2:$U$495&lt;=7)*('CONTROL MASTER'!$W$2:$W$495&gt;=7))*ROW('CONTROL MASTER'!$S$2:$S$495))-(ROW('CONTROL MASTER'!#REF!)-1)))&amp;TRIM(MID(SUBSTITUTE(SUBSTITUTE(INDEX('CONTROL MASTER'!$N$2:$N$495,(SUMPRODUCT((('CONTROL MASTER'!$S$2:$S$495=7)*('CONTROL MASTER'!$T$2:$T$495&lt;=2)*('CONTROL MASTER'!$V$2:$V$495&gt;=2)*('CONTROL MASTER'!$U$2:$U$495&lt;=7)*('CONTROL MASTER'!$W$2:$W$495&gt;=7))*ROW('CONTROL MASTER'!$S$2:$S$495))-(ROW('CONTROL MASTER'!#REF!)-1))),":",","),",",REPT(" ",50)),((((2-INDEX('CONTROL MASTER'!$T$2:$T$495,(SUMPRODUCT((('CONTROL MASTER'!$S$2:$S$495=7)*('CONTROL MASTER'!$T$2:$T$495&lt;=2)*('CONTROL MASTER'!$V$2:$V$495&gt;=2)*('CONTROL MASTER'!$U$2:$U$495&lt;=7)*('CONTROL MASTER'!$W$2:$W$495&gt;=7))*ROW('CONTROL MASTER'!$S$2:$S$495))-(ROW('CONTROL MASTER'!#REF!)-1))))*(INDEX('CONTROL MASTER'!$W$2:$W$495,(SUMPRODUCT((('CONTROL MASTER'!$S$2:$S$495=7)*('CONTROL MASTER'!$T$2:$T$495&lt;=2)*('CONTROL MASTER'!$V$2:$V$495&gt;=2)*('CONTROL MASTER'!$U$2:$U$495&lt;=7)*('CONTROL MASTER'!$W$2:$W$495&gt;=7))*ROW('CONTROL MASTER'!$S$2:$S$495))-(ROW('CONTROL MASTER'!#REF!)-1)))-INDEX('CONTROL MASTER'!$U$2:$U$495,(SUMPRODUCT((('CONTROL MASTER'!$S$2:$S$495=7)*('CONTROL MASTER'!$T$2:$T$495&lt;=2)*('CONTROL MASTER'!$V$2:$V$495&gt;=2)*('CONTROL MASTER'!$U$2:$U$495&lt;=7)*('CONTROL MASTER'!$W$2:$W$495&gt;=7))*ROW('CONTROL MASTER'!$S$2:$S$495))-(ROW('CONTROL MASTER'!#REF!)-1)))+1)+(7-INDEX('CONTROL MASTER'!$U$2:$U$495,(SUMPRODUCT((('CONTROL MASTER'!$S$2:$S$495=7)*('CONTROL MASTER'!$T$2:$T$495&lt;=2)*('CONTROL MASTER'!$V$2:$V$495&gt;=2)*('CONTROL MASTER'!$U$2:$U$495&lt;=7)*('CONTROL MASTER'!$W$2:$W$495&gt;=7))*ROW('CONTROL MASTER'!$S$2:$S$495))-(ROW('CONTROL MASTER'!#REF!)-1))))+1))-1)*50+1,50))&amp;"_"&amp;INDEX('CONTROL MASTER'!$P$2:$P$495,(SUMPRODUCT((('CONTROL MASTER'!$S$2:$S$495=7)*('CONTROL MASTER'!$T$2:$T$495&lt;=2)*('CONTROL MASTER'!$V$2:$V$495&gt;=2)*('CONTROL MASTER'!$U$2:$U$495&lt;=7)*('CONTROL MASTER'!$W$2:$W$495&gt;=7))*ROW('CONTROL MASTER'!$S$2:$S$495))-(ROW('CONTROL MASTER'!#REF!)-1))),IF(SUMPRODUCT((('CONTROL MASTER'!$S$2:$S$495=7)*('CONTROL MASTER'!$Z$2:$Z$495&lt;=2)*('CONTROL MASTER'!$AB$2:$AB$495&gt;=2)*('CONTROL MASTER'!$AA$2:$AA$495&lt;=7)*('CONTROL MASTER'!$AC$2:$AC$495&gt;=7))*ROW('CONTROL MASTER'!$S$2:$S$495))&gt;0,INDEX('CONTROL MASTER'!$X$2:$X$495,(SUMPRODUCT((('CONTROL MASTER'!$S$2:$S$495=7)*('CONTROL MASTER'!$Z$2:$Z$495&lt;=2)*('CONTROL MASTER'!$AB$2:$AB$495&gt;=2)*('CONTROL MASTER'!$AA$2:$AA$495&lt;=7)*('CONTROL MASTER'!$AC$2:$AC$495&gt;=7))*ROW('CONTROL MASTER'!$S$2:$S$495))-(ROW('CONTROL MASTER'!#REF!)-1)))&amp;TRIM(MID(SUBSTITUTE(SUBSTITUTE(INDEX('CONTROL MASTER'!$N$2:$N$495,(SUMPRODUCT((('CONTROL MASTER'!$S$2:$S$495=7)*('CONTROL MASTER'!$Z$2:$Z$495&lt;=2)*('CONTROL MASTER'!$AB$2:$AB$495&gt;=2)*('CONTROL MASTER'!$AA$2:$AA$495&lt;=7)*('CONTROL MASTER'!$AC$2:$AC$495&gt;=7))*ROW('CONTROL MASTER'!$S$2:$S$495))-(ROW('CONTROL MASTER'!#REF!)-1))),":",","),",",REPT(" ",50)),(((INDEX('CONTROL MASTER'!$Y$2:$Y$495,(SUMPRODUCT((('CONTROL MASTER'!$S$2:$S$495=7)*('CONTROL MASTER'!$Z$2:$Z$495&lt;=2)*('CONTROL MASTER'!$AB$2:$AB$495&gt;=2)*('CONTROL MASTER'!$AA$2:$AA$495&lt;=7)*('CONTROL MASTER'!$AC$2:$AC$495&gt;=7))*ROW('CONTROL MASTER'!$S$2:$S$495))-(ROW('CONTROL MASTER'!#REF!)-1)))+((2-INDEX('CONTROL MASTER'!$Z$2:$Z$495,(SUMPRODUCT((('CONTROL MASTER'!$S$2:$S$495=7)*('CONTROL MASTER'!$Z$2:$Z$495&lt;=2)*('CONTROL MASTER'!$AB$2:$AB$495&gt;=2)*('CONTROL MASTER'!$AA$2:$AA$495&lt;=7)*('CONTROL MASTER'!$AC$2:$AC$495&gt;=7))*ROW('CONTROL MASTER'!$S$2:$S$495))-(ROW('CONTROL MASTER'!#REF!)-1))))*(INDEX('CONTROL MASTER'!$AC$2:$AC$495,(SUMPRODUCT((('CONTROL MASTER'!$S$2:$S$495=7)*('CONTROL MASTER'!$Z$2:$Z$495&lt;=2)*('CONTROL MASTER'!$AB$2:$AB$495&gt;=2)*('CONTROL MASTER'!$AA$2:$AA$495&lt;=7)*('CONTROL MASTER'!$AC$2:$AC$495&gt;=7))*ROW('CONTROL MASTER'!$S$2:$S$495))-(ROW('CONTROL MASTER'!#REF!)-1)))-INDEX('CONTROL MASTER'!$AA$2:$AA$495,(SUMPRODUCT((('CONTROL MASTER'!$S$2:$S$495=7)*('CONTROL MASTER'!$Z$2:$Z$495&lt;=2)*('CONTROL MASTER'!$AB$2:$AB$495&gt;=2)*('CONTROL MASTER'!$AA$2:$AA$495&lt;=7)*('CONTROL MASTER'!$AC$2:$AC$495&gt;=7))*ROW('CONTROL MASTER'!$S$2:$S$495))-(ROW('CONTROL MASTER'!#REF!)-1)))+1)+(7-INDEX('CONTROL MASTER'!$AA$2:$AA$495,(SUMPRODUCT((('CONTROL MASTER'!$S$2:$S$495=7)*('CONTROL MASTER'!$Z$2:$Z$495&lt;=2)*('CONTROL MASTER'!$AB$2:$AB$495&gt;=2)*('CONTROL MASTER'!$AA$2:$AA$495&lt;=7)*('CONTROL MASTER'!$AC$2:$AC$495&gt;=7))*ROW('CONTROL MASTER'!$S$2:$S$495))-(ROW('CONTROL MASTER'!#REF!)-1))))+1)))-1)*50+1,50))&amp;"_"&amp;INDEX('CONTROL MASTER'!$P$2:$P$495,(SUMPRODUCT((('CONTROL MASTER'!$S$2:$S$495=7)*('CONTROL MASTER'!$Z$2:$Z$495&lt;=2)*('CONTROL MASTER'!$AB$2:$AB$495&gt;=2)*('CONTROL MASTER'!$AA$2:$AA$495&lt;=7)*('CONTROL MASTER'!$AC$2:$AC$495&gt;=7))*ROW('CONTROL MASTER'!$S$2:$S$495))-(ROW('CONTROL MASTER'!#REF!)-1))),"")),"")</f>
        <v/>
      </c>
      <c r="I88" s="10" t="str">
        <f>IFERROR(IF(SUMPRODUCT((('CONTROL MASTER'!$S$2:$S$495=7)*('CONTROL MASTER'!$T$2:$T$495&lt;=2)*('CONTROL MASTER'!$V$2:$V$495&gt;=2)*('CONTROL MASTER'!$U$2:$U$495&lt;=8)*('CONTROL MASTER'!$W$2:$W$495&gt;=8))*ROW('CONTROL MASTER'!$S$2:$S$495))&gt;0,INDEX('CONTROL MASTER'!$X$2:$X$495,(SUMPRODUCT((('CONTROL MASTER'!$S$2:$S$495=7)*('CONTROL MASTER'!$T$2:$T$495&lt;=2)*('CONTROL MASTER'!$V$2:$V$495&gt;=2)*('CONTROL MASTER'!$U$2:$U$495&lt;=8)*('CONTROL MASTER'!$W$2:$W$495&gt;=8))*ROW('CONTROL MASTER'!$S$2:$S$495))-(ROW('CONTROL MASTER'!#REF!)-1)))&amp;TRIM(MID(SUBSTITUTE(SUBSTITUTE(INDEX('CONTROL MASTER'!$N$2:$N$495,(SUMPRODUCT((('CONTROL MASTER'!$S$2:$S$495=7)*('CONTROL MASTER'!$T$2:$T$495&lt;=2)*('CONTROL MASTER'!$V$2:$V$495&gt;=2)*('CONTROL MASTER'!$U$2:$U$495&lt;=8)*('CONTROL MASTER'!$W$2:$W$495&gt;=8))*ROW('CONTROL MASTER'!$S$2:$S$495))-(ROW('CONTROL MASTER'!#REF!)-1))),":",","),",",REPT(" ",50)),((((2-INDEX('CONTROL MASTER'!$T$2:$T$495,(SUMPRODUCT((('CONTROL MASTER'!$S$2:$S$495=7)*('CONTROL MASTER'!$T$2:$T$495&lt;=2)*('CONTROL MASTER'!$V$2:$V$495&gt;=2)*('CONTROL MASTER'!$U$2:$U$495&lt;=8)*('CONTROL MASTER'!$W$2:$W$495&gt;=8))*ROW('CONTROL MASTER'!$S$2:$S$495))-(ROW('CONTROL MASTER'!#REF!)-1))))*(INDEX('CONTROL MASTER'!$W$2:$W$495,(SUMPRODUCT((('CONTROL MASTER'!$S$2:$S$495=7)*('CONTROL MASTER'!$T$2:$T$495&lt;=2)*('CONTROL MASTER'!$V$2:$V$495&gt;=2)*('CONTROL MASTER'!$U$2:$U$495&lt;=8)*('CONTROL MASTER'!$W$2:$W$495&gt;=8))*ROW('CONTROL MASTER'!$S$2:$S$495))-(ROW('CONTROL MASTER'!#REF!)-1)))-INDEX('CONTROL MASTER'!$U$2:$U$495,(SUMPRODUCT((('CONTROL MASTER'!$S$2:$S$495=7)*('CONTROL MASTER'!$T$2:$T$495&lt;=2)*('CONTROL MASTER'!$V$2:$V$495&gt;=2)*('CONTROL MASTER'!$U$2:$U$495&lt;=8)*('CONTROL MASTER'!$W$2:$W$495&gt;=8))*ROW('CONTROL MASTER'!$S$2:$S$495))-(ROW('CONTROL MASTER'!#REF!)-1)))+1)+(8-INDEX('CONTROL MASTER'!$U$2:$U$495,(SUMPRODUCT((('CONTROL MASTER'!$S$2:$S$495=7)*('CONTROL MASTER'!$T$2:$T$495&lt;=2)*('CONTROL MASTER'!$V$2:$V$495&gt;=2)*('CONTROL MASTER'!$U$2:$U$495&lt;=8)*('CONTROL MASTER'!$W$2:$W$495&gt;=8))*ROW('CONTROL MASTER'!$S$2:$S$495))-(ROW('CONTROL MASTER'!#REF!)-1))))+1))-1)*50+1,50))&amp;"_"&amp;INDEX('CONTROL MASTER'!$P$2:$P$495,(SUMPRODUCT((('CONTROL MASTER'!$S$2:$S$495=7)*('CONTROL MASTER'!$T$2:$T$495&lt;=2)*('CONTROL MASTER'!$V$2:$V$495&gt;=2)*('CONTROL MASTER'!$U$2:$U$495&lt;=8)*('CONTROL MASTER'!$W$2:$W$495&gt;=8))*ROW('CONTROL MASTER'!$S$2:$S$495))-(ROW('CONTROL MASTER'!#REF!)-1))),IF(SUMPRODUCT((('CONTROL MASTER'!$S$2:$S$495=7)*('CONTROL MASTER'!$Z$2:$Z$495&lt;=2)*('CONTROL MASTER'!$AB$2:$AB$495&gt;=2)*('CONTROL MASTER'!$AA$2:$AA$495&lt;=8)*('CONTROL MASTER'!$AC$2:$AC$495&gt;=8))*ROW('CONTROL MASTER'!$S$2:$S$495))&gt;0,INDEX('CONTROL MASTER'!$X$2:$X$495,(SUMPRODUCT((('CONTROL MASTER'!$S$2:$S$495=7)*('CONTROL MASTER'!$Z$2:$Z$495&lt;=2)*('CONTROL MASTER'!$AB$2:$AB$495&gt;=2)*('CONTROL MASTER'!$AA$2:$AA$495&lt;=8)*('CONTROL MASTER'!$AC$2:$AC$495&gt;=8))*ROW('CONTROL MASTER'!$S$2:$S$495))-(ROW('CONTROL MASTER'!#REF!)-1)))&amp;TRIM(MID(SUBSTITUTE(SUBSTITUTE(INDEX('CONTROL MASTER'!$N$2:$N$495,(SUMPRODUCT((('CONTROL MASTER'!$S$2:$S$495=7)*('CONTROL MASTER'!$Z$2:$Z$495&lt;=2)*('CONTROL MASTER'!$AB$2:$AB$495&gt;=2)*('CONTROL MASTER'!$AA$2:$AA$495&lt;=8)*('CONTROL MASTER'!$AC$2:$AC$495&gt;=8))*ROW('CONTROL MASTER'!$S$2:$S$495))-(ROW('CONTROL MASTER'!#REF!)-1))),":",","),",",REPT(" ",50)),(((INDEX('CONTROL MASTER'!$Y$2:$Y$495,(SUMPRODUCT((('CONTROL MASTER'!$S$2:$S$495=7)*('CONTROL MASTER'!$Z$2:$Z$495&lt;=2)*('CONTROL MASTER'!$AB$2:$AB$495&gt;=2)*('CONTROL MASTER'!$AA$2:$AA$495&lt;=8)*('CONTROL MASTER'!$AC$2:$AC$495&gt;=8))*ROW('CONTROL MASTER'!$S$2:$S$495))-(ROW('CONTROL MASTER'!#REF!)-1)))+((2-INDEX('CONTROL MASTER'!$Z$2:$Z$495,(SUMPRODUCT((('CONTROL MASTER'!$S$2:$S$495=7)*('CONTROL MASTER'!$Z$2:$Z$495&lt;=2)*('CONTROL MASTER'!$AB$2:$AB$495&gt;=2)*('CONTROL MASTER'!$AA$2:$AA$495&lt;=8)*('CONTROL MASTER'!$AC$2:$AC$495&gt;=8))*ROW('CONTROL MASTER'!$S$2:$S$495))-(ROW('CONTROL MASTER'!#REF!)-1))))*(INDEX('CONTROL MASTER'!$AC$2:$AC$495,(SUMPRODUCT((('CONTROL MASTER'!$S$2:$S$495=7)*('CONTROL MASTER'!$Z$2:$Z$495&lt;=2)*('CONTROL MASTER'!$AB$2:$AB$495&gt;=2)*('CONTROL MASTER'!$AA$2:$AA$495&lt;=8)*('CONTROL MASTER'!$AC$2:$AC$495&gt;=8))*ROW('CONTROL MASTER'!$S$2:$S$495))-(ROW('CONTROL MASTER'!#REF!)-1)))-INDEX('CONTROL MASTER'!$AA$2:$AA$495,(SUMPRODUCT((('CONTROL MASTER'!$S$2:$S$495=7)*('CONTROL MASTER'!$Z$2:$Z$495&lt;=2)*('CONTROL MASTER'!$AB$2:$AB$495&gt;=2)*('CONTROL MASTER'!$AA$2:$AA$495&lt;=8)*('CONTROL MASTER'!$AC$2:$AC$495&gt;=8))*ROW('CONTROL MASTER'!$S$2:$S$495))-(ROW('CONTROL MASTER'!#REF!)-1)))+1)+(8-INDEX('CONTROL MASTER'!$AA$2:$AA$495,(SUMPRODUCT((('CONTROL MASTER'!$S$2:$S$495=7)*('CONTROL MASTER'!$Z$2:$Z$495&lt;=2)*('CONTROL MASTER'!$AB$2:$AB$495&gt;=2)*('CONTROL MASTER'!$AA$2:$AA$495&lt;=8)*('CONTROL MASTER'!$AC$2:$AC$495&gt;=8))*ROW('CONTROL MASTER'!$S$2:$S$495))-(ROW('CONTROL MASTER'!#REF!)-1))))+1)))-1)*50+1,50))&amp;"_"&amp;INDEX('CONTROL MASTER'!$P$2:$P$495,(SUMPRODUCT((('CONTROL MASTER'!$S$2:$S$495=7)*('CONTROL MASTER'!$Z$2:$Z$495&lt;=2)*('CONTROL MASTER'!$AB$2:$AB$495&gt;=2)*('CONTROL MASTER'!$AA$2:$AA$495&lt;=8)*('CONTROL MASTER'!$AC$2:$AC$495&gt;=8))*ROW('CONTROL MASTER'!$S$2:$S$495))-(ROW('CONTROL MASTER'!#REF!)-1))),"")),"")</f>
        <v/>
      </c>
      <c r="J88" s="10" t="str">
        <f>IFERROR(IF(SUMPRODUCT((('CONTROL MASTER'!$S$2:$S$495=7)*('CONTROL MASTER'!$T$2:$T$495&lt;=2)*('CONTROL MASTER'!$V$2:$V$495&gt;=2)*('CONTROL MASTER'!$U$2:$U$495&lt;=9)*('CONTROL MASTER'!$W$2:$W$495&gt;=9))*ROW('CONTROL MASTER'!$S$2:$S$495))&gt;0,INDEX('CONTROL MASTER'!$X$2:$X$495,(SUMPRODUCT((('CONTROL MASTER'!$S$2:$S$495=7)*('CONTROL MASTER'!$T$2:$T$495&lt;=2)*('CONTROL MASTER'!$V$2:$V$495&gt;=2)*('CONTROL MASTER'!$U$2:$U$495&lt;=9)*('CONTROL MASTER'!$W$2:$W$495&gt;=9))*ROW('CONTROL MASTER'!$S$2:$S$495))-(ROW('CONTROL MASTER'!#REF!)-1)))&amp;TRIM(MID(SUBSTITUTE(SUBSTITUTE(INDEX('CONTROL MASTER'!$N$2:$N$495,(SUMPRODUCT((('CONTROL MASTER'!$S$2:$S$495=7)*('CONTROL MASTER'!$T$2:$T$495&lt;=2)*('CONTROL MASTER'!$V$2:$V$495&gt;=2)*('CONTROL MASTER'!$U$2:$U$495&lt;=9)*('CONTROL MASTER'!$W$2:$W$495&gt;=9))*ROW('CONTROL MASTER'!$S$2:$S$495))-(ROW('CONTROL MASTER'!#REF!)-1))),":",","),",",REPT(" ",50)),((((2-INDEX('CONTROL MASTER'!$T$2:$T$495,(SUMPRODUCT((('CONTROL MASTER'!$S$2:$S$495=7)*('CONTROL MASTER'!$T$2:$T$495&lt;=2)*('CONTROL MASTER'!$V$2:$V$495&gt;=2)*('CONTROL MASTER'!$U$2:$U$495&lt;=9)*('CONTROL MASTER'!$W$2:$W$495&gt;=9))*ROW('CONTROL MASTER'!$S$2:$S$495))-(ROW('CONTROL MASTER'!#REF!)-1))))*(INDEX('CONTROL MASTER'!$W$2:$W$495,(SUMPRODUCT((('CONTROL MASTER'!$S$2:$S$495=7)*('CONTROL MASTER'!$T$2:$T$495&lt;=2)*('CONTROL MASTER'!$V$2:$V$495&gt;=2)*('CONTROL MASTER'!$U$2:$U$495&lt;=9)*('CONTROL MASTER'!$W$2:$W$495&gt;=9))*ROW('CONTROL MASTER'!$S$2:$S$495))-(ROW('CONTROL MASTER'!#REF!)-1)))-INDEX('CONTROL MASTER'!$U$2:$U$495,(SUMPRODUCT((('CONTROL MASTER'!$S$2:$S$495=7)*('CONTROL MASTER'!$T$2:$T$495&lt;=2)*('CONTROL MASTER'!$V$2:$V$495&gt;=2)*('CONTROL MASTER'!$U$2:$U$495&lt;=9)*('CONTROL MASTER'!$W$2:$W$495&gt;=9))*ROW('CONTROL MASTER'!$S$2:$S$495))-(ROW('CONTROL MASTER'!#REF!)-1)))+1)+(9-INDEX('CONTROL MASTER'!$U$2:$U$495,(SUMPRODUCT((('CONTROL MASTER'!$S$2:$S$495=7)*('CONTROL MASTER'!$T$2:$T$495&lt;=2)*('CONTROL MASTER'!$V$2:$V$495&gt;=2)*('CONTROL MASTER'!$U$2:$U$495&lt;=9)*('CONTROL MASTER'!$W$2:$W$495&gt;=9))*ROW('CONTROL MASTER'!$S$2:$S$495))-(ROW('CONTROL MASTER'!#REF!)-1))))+1))-1)*50+1,50))&amp;"_"&amp;INDEX('CONTROL MASTER'!$P$2:$P$495,(SUMPRODUCT((('CONTROL MASTER'!$S$2:$S$495=7)*('CONTROL MASTER'!$T$2:$T$495&lt;=2)*('CONTROL MASTER'!$V$2:$V$495&gt;=2)*('CONTROL MASTER'!$U$2:$U$495&lt;=9)*('CONTROL MASTER'!$W$2:$W$495&gt;=9))*ROW('CONTROL MASTER'!$S$2:$S$495))-(ROW('CONTROL MASTER'!#REF!)-1))),IF(SUMPRODUCT((('CONTROL MASTER'!$S$2:$S$495=7)*('CONTROL MASTER'!$Z$2:$Z$495&lt;=2)*('CONTROL MASTER'!$AB$2:$AB$495&gt;=2)*('CONTROL MASTER'!$AA$2:$AA$495&lt;=9)*('CONTROL MASTER'!$AC$2:$AC$495&gt;=9))*ROW('CONTROL MASTER'!$S$2:$S$495))&gt;0,INDEX('CONTROL MASTER'!$X$2:$X$495,(SUMPRODUCT((('CONTROL MASTER'!$S$2:$S$495=7)*('CONTROL MASTER'!$Z$2:$Z$495&lt;=2)*('CONTROL MASTER'!$AB$2:$AB$495&gt;=2)*('CONTROL MASTER'!$AA$2:$AA$495&lt;=9)*('CONTROL MASTER'!$AC$2:$AC$495&gt;=9))*ROW('CONTROL MASTER'!$S$2:$S$495))-(ROW('CONTROL MASTER'!#REF!)-1)))&amp;TRIM(MID(SUBSTITUTE(SUBSTITUTE(INDEX('CONTROL MASTER'!$N$2:$N$495,(SUMPRODUCT((('CONTROL MASTER'!$S$2:$S$495=7)*('CONTROL MASTER'!$Z$2:$Z$495&lt;=2)*('CONTROL MASTER'!$AB$2:$AB$495&gt;=2)*('CONTROL MASTER'!$AA$2:$AA$495&lt;=9)*('CONTROL MASTER'!$AC$2:$AC$495&gt;=9))*ROW('CONTROL MASTER'!$S$2:$S$495))-(ROW('CONTROL MASTER'!#REF!)-1))),":",","),",",REPT(" ",50)),(((INDEX('CONTROL MASTER'!$Y$2:$Y$495,(SUMPRODUCT((('CONTROL MASTER'!$S$2:$S$495=7)*('CONTROL MASTER'!$Z$2:$Z$495&lt;=2)*('CONTROL MASTER'!$AB$2:$AB$495&gt;=2)*('CONTROL MASTER'!$AA$2:$AA$495&lt;=9)*('CONTROL MASTER'!$AC$2:$AC$495&gt;=9))*ROW('CONTROL MASTER'!$S$2:$S$495))-(ROW('CONTROL MASTER'!#REF!)-1)))+((2-INDEX('CONTROL MASTER'!$Z$2:$Z$495,(SUMPRODUCT((('CONTROL MASTER'!$S$2:$S$495=7)*('CONTROL MASTER'!$Z$2:$Z$495&lt;=2)*('CONTROL MASTER'!$AB$2:$AB$495&gt;=2)*('CONTROL MASTER'!$AA$2:$AA$495&lt;=9)*('CONTROL MASTER'!$AC$2:$AC$495&gt;=9))*ROW('CONTROL MASTER'!$S$2:$S$495))-(ROW('CONTROL MASTER'!#REF!)-1))))*(INDEX('CONTROL MASTER'!$AC$2:$AC$495,(SUMPRODUCT((('CONTROL MASTER'!$S$2:$S$495=7)*('CONTROL MASTER'!$Z$2:$Z$495&lt;=2)*('CONTROL MASTER'!$AB$2:$AB$495&gt;=2)*('CONTROL MASTER'!$AA$2:$AA$495&lt;=9)*('CONTROL MASTER'!$AC$2:$AC$495&gt;=9))*ROW('CONTROL MASTER'!$S$2:$S$495))-(ROW('CONTROL MASTER'!#REF!)-1)))-INDEX('CONTROL MASTER'!$AA$2:$AA$495,(SUMPRODUCT((('CONTROL MASTER'!$S$2:$S$495=7)*('CONTROL MASTER'!$Z$2:$Z$495&lt;=2)*('CONTROL MASTER'!$AB$2:$AB$495&gt;=2)*('CONTROL MASTER'!$AA$2:$AA$495&lt;=9)*('CONTROL MASTER'!$AC$2:$AC$495&gt;=9))*ROW('CONTROL MASTER'!$S$2:$S$495))-(ROW('CONTROL MASTER'!#REF!)-1)))+1)+(9-INDEX('CONTROL MASTER'!$AA$2:$AA$495,(SUMPRODUCT((('CONTROL MASTER'!$S$2:$S$495=7)*('CONTROL MASTER'!$Z$2:$Z$495&lt;=2)*('CONTROL MASTER'!$AB$2:$AB$495&gt;=2)*('CONTROL MASTER'!$AA$2:$AA$495&lt;=9)*('CONTROL MASTER'!$AC$2:$AC$495&gt;=9))*ROW('CONTROL MASTER'!$S$2:$S$495))-(ROW('CONTROL MASTER'!#REF!)-1))))+1)))-1)*50+1,50))&amp;"_"&amp;INDEX('CONTROL MASTER'!$P$2:$P$495,(SUMPRODUCT((('CONTROL MASTER'!$S$2:$S$495=7)*('CONTROL MASTER'!$Z$2:$Z$495&lt;=2)*('CONTROL MASTER'!$AB$2:$AB$495&gt;=2)*('CONTROL MASTER'!$AA$2:$AA$495&lt;=9)*('CONTROL MASTER'!$AC$2:$AC$495&gt;=9))*ROW('CONTROL MASTER'!$S$2:$S$495))-(ROW('CONTROL MASTER'!#REF!)-1))),"")),"")</f>
        <v/>
      </c>
      <c r="K88" s="10" t="str">
        <f>IFERROR(IF(SUMPRODUCT((('CONTROL MASTER'!$S$2:$S$495=7)*('CONTROL MASTER'!$T$2:$T$495&lt;=2)*('CONTROL MASTER'!$V$2:$V$495&gt;=2)*('CONTROL MASTER'!$U$2:$U$495&lt;=10)*('CONTROL MASTER'!$W$2:$W$495&gt;=10))*ROW('CONTROL MASTER'!$S$2:$S$495))&gt;0,INDEX('CONTROL MASTER'!$X$2:$X$495,(SUMPRODUCT((('CONTROL MASTER'!$S$2:$S$495=7)*('CONTROL MASTER'!$T$2:$T$495&lt;=2)*('CONTROL MASTER'!$V$2:$V$495&gt;=2)*('CONTROL MASTER'!$U$2:$U$495&lt;=10)*('CONTROL MASTER'!$W$2:$W$495&gt;=10))*ROW('CONTROL MASTER'!$S$2:$S$495))-(ROW('CONTROL MASTER'!#REF!)-1)))&amp;TRIM(MID(SUBSTITUTE(SUBSTITUTE(INDEX('CONTROL MASTER'!$N$2:$N$495,(SUMPRODUCT((('CONTROL MASTER'!$S$2:$S$495=7)*('CONTROL MASTER'!$T$2:$T$495&lt;=2)*('CONTROL MASTER'!$V$2:$V$495&gt;=2)*('CONTROL MASTER'!$U$2:$U$495&lt;=10)*('CONTROL MASTER'!$W$2:$W$495&gt;=10))*ROW('CONTROL MASTER'!$S$2:$S$495))-(ROW('CONTROL MASTER'!#REF!)-1))),":",","),",",REPT(" ",50)),((((2-INDEX('CONTROL MASTER'!$T$2:$T$495,(SUMPRODUCT((('CONTROL MASTER'!$S$2:$S$495=7)*('CONTROL MASTER'!$T$2:$T$495&lt;=2)*('CONTROL MASTER'!$V$2:$V$495&gt;=2)*('CONTROL MASTER'!$U$2:$U$495&lt;=10)*('CONTROL MASTER'!$W$2:$W$495&gt;=10))*ROW('CONTROL MASTER'!$S$2:$S$495))-(ROW('CONTROL MASTER'!#REF!)-1))))*(INDEX('CONTROL MASTER'!$W$2:$W$495,(SUMPRODUCT((('CONTROL MASTER'!$S$2:$S$495=7)*('CONTROL MASTER'!$T$2:$T$495&lt;=2)*('CONTROL MASTER'!$V$2:$V$495&gt;=2)*('CONTROL MASTER'!$U$2:$U$495&lt;=10)*('CONTROL MASTER'!$W$2:$W$495&gt;=10))*ROW('CONTROL MASTER'!$S$2:$S$495))-(ROW('CONTROL MASTER'!#REF!)-1)))-INDEX('CONTROL MASTER'!$U$2:$U$495,(SUMPRODUCT((('CONTROL MASTER'!$S$2:$S$495=7)*('CONTROL MASTER'!$T$2:$T$495&lt;=2)*('CONTROL MASTER'!$V$2:$V$495&gt;=2)*('CONTROL MASTER'!$U$2:$U$495&lt;=10)*('CONTROL MASTER'!$W$2:$W$495&gt;=10))*ROW('CONTROL MASTER'!$S$2:$S$495))-(ROW('CONTROL MASTER'!#REF!)-1)))+1)+(10-INDEX('CONTROL MASTER'!$U$2:$U$495,(SUMPRODUCT((('CONTROL MASTER'!$S$2:$S$495=7)*('CONTROL MASTER'!$T$2:$T$495&lt;=2)*('CONTROL MASTER'!$V$2:$V$495&gt;=2)*('CONTROL MASTER'!$U$2:$U$495&lt;=10)*('CONTROL MASTER'!$W$2:$W$495&gt;=10))*ROW('CONTROL MASTER'!$S$2:$S$495))-(ROW('CONTROL MASTER'!#REF!)-1))))+1))-1)*50+1,50))&amp;"_"&amp;INDEX('CONTROL MASTER'!$P$2:$P$495,(SUMPRODUCT((('CONTROL MASTER'!$S$2:$S$495=7)*('CONTROL MASTER'!$T$2:$T$495&lt;=2)*('CONTROL MASTER'!$V$2:$V$495&gt;=2)*('CONTROL MASTER'!$U$2:$U$495&lt;=10)*('CONTROL MASTER'!$W$2:$W$495&gt;=10))*ROW('CONTROL MASTER'!$S$2:$S$495))-(ROW('CONTROL MASTER'!#REF!)-1))),IF(SUMPRODUCT((('CONTROL MASTER'!$S$2:$S$495=7)*('CONTROL MASTER'!$Z$2:$Z$495&lt;=2)*('CONTROL MASTER'!$AB$2:$AB$495&gt;=2)*('CONTROL MASTER'!$AA$2:$AA$495&lt;=10)*('CONTROL MASTER'!$AC$2:$AC$495&gt;=10))*ROW('CONTROL MASTER'!$S$2:$S$495))&gt;0,INDEX('CONTROL MASTER'!$X$2:$X$495,(SUMPRODUCT((('CONTROL MASTER'!$S$2:$S$495=7)*('CONTROL MASTER'!$Z$2:$Z$495&lt;=2)*('CONTROL MASTER'!$AB$2:$AB$495&gt;=2)*('CONTROL MASTER'!$AA$2:$AA$495&lt;=10)*('CONTROL MASTER'!$AC$2:$AC$495&gt;=10))*ROW('CONTROL MASTER'!$S$2:$S$495))-(ROW('CONTROL MASTER'!#REF!)-1)))&amp;TRIM(MID(SUBSTITUTE(SUBSTITUTE(INDEX('CONTROL MASTER'!$N$2:$N$495,(SUMPRODUCT((('CONTROL MASTER'!$S$2:$S$495=7)*('CONTROL MASTER'!$Z$2:$Z$495&lt;=2)*('CONTROL MASTER'!$AB$2:$AB$495&gt;=2)*('CONTROL MASTER'!$AA$2:$AA$495&lt;=10)*('CONTROL MASTER'!$AC$2:$AC$495&gt;=10))*ROW('CONTROL MASTER'!$S$2:$S$495))-(ROW('CONTROL MASTER'!#REF!)-1))),":",","),",",REPT(" ",50)),(((INDEX('CONTROL MASTER'!$Y$2:$Y$495,(SUMPRODUCT((('CONTROL MASTER'!$S$2:$S$495=7)*('CONTROL MASTER'!$Z$2:$Z$495&lt;=2)*('CONTROL MASTER'!$AB$2:$AB$495&gt;=2)*('CONTROL MASTER'!$AA$2:$AA$495&lt;=10)*('CONTROL MASTER'!$AC$2:$AC$495&gt;=10))*ROW('CONTROL MASTER'!$S$2:$S$495))-(ROW('CONTROL MASTER'!#REF!)-1)))+((2-INDEX('CONTROL MASTER'!$Z$2:$Z$495,(SUMPRODUCT((('CONTROL MASTER'!$S$2:$S$495=7)*('CONTROL MASTER'!$Z$2:$Z$495&lt;=2)*('CONTROL MASTER'!$AB$2:$AB$495&gt;=2)*('CONTROL MASTER'!$AA$2:$AA$495&lt;=10)*('CONTROL MASTER'!$AC$2:$AC$495&gt;=10))*ROW('CONTROL MASTER'!$S$2:$S$495))-(ROW('CONTROL MASTER'!#REF!)-1))))*(INDEX('CONTROL MASTER'!$AC$2:$AC$495,(SUMPRODUCT((('CONTROL MASTER'!$S$2:$S$495=7)*('CONTROL MASTER'!$Z$2:$Z$495&lt;=2)*('CONTROL MASTER'!$AB$2:$AB$495&gt;=2)*('CONTROL MASTER'!$AA$2:$AA$495&lt;=10)*('CONTROL MASTER'!$AC$2:$AC$495&gt;=10))*ROW('CONTROL MASTER'!$S$2:$S$495))-(ROW('CONTROL MASTER'!#REF!)-1)))-INDEX('CONTROL MASTER'!$AA$2:$AA$495,(SUMPRODUCT((('CONTROL MASTER'!$S$2:$S$495=7)*('CONTROL MASTER'!$Z$2:$Z$495&lt;=2)*('CONTROL MASTER'!$AB$2:$AB$495&gt;=2)*('CONTROL MASTER'!$AA$2:$AA$495&lt;=10)*('CONTROL MASTER'!$AC$2:$AC$495&gt;=10))*ROW('CONTROL MASTER'!$S$2:$S$495))-(ROW('CONTROL MASTER'!#REF!)-1)))+1)+(10-INDEX('CONTROL MASTER'!$AA$2:$AA$495,(SUMPRODUCT((('CONTROL MASTER'!$S$2:$S$495=7)*('CONTROL MASTER'!$Z$2:$Z$495&lt;=2)*('CONTROL MASTER'!$AB$2:$AB$495&gt;=2)*('CONTROL MASTER'!$AA$2:$AA$495&lt;=10)*('CONTROL MASTER'!$AC$2:$AC$495&gt;=10))*ROW('CONTROL MASTER'!$S$2:$S$495))-(ROW('CONTROL MASTER'!#REF!)-1))))+1)))-1)*50+1,50))&amp;"_"&amp;INDEX('CONTROL MASTER'!$P$2:$P$495,(SUMPRODUCT((('CONTROL MASTER'!$S$2:$S$495=7)*('CONTROL MASTER'!$Z$2:$Z$495&lt;=2)*('CONTROL MASTER'!$AB$2:$AB$495&gt;=2)*('CONTROL MASTER'!$AA$2:$AA$495&lt;=10)*('CONTROL MASTER'!$AC$2:$AC$495&gt;=10))*ROW('CONTROL MASTER'!$S$2:$S$495))-(ROW('CONTROL MASTER'!#REF!)-1))),"")),"")</f>
        <v/>
      </c>
    </row>
    <row r="89" spans="1:11" ht="15" customHeight="1" x14ac:dyDescent="0.35">
      <c r="A89" s="8" t="s">
        <v>30</v>
      </c>
      <c r="B89" s="10" t="str">
        <f>IFERROR(IF(SUMPRODUCT((('CONTROL MASTER'!$S$2:$S$495=7)*('CONTROL MASTER'!$T$2:$T$495&lt;=3)*('CONTROL MASTER'!$V$2:$V$495&gt;=3)*('CONTROL MASTER'!$U$2:$U$495&lt;=1)*('CONTROL MASTER'!$W$2:$W$495&gt;=1))*ROW('CONTROL MASTER'!$S$2:$S$495))&gt;0,INDEX('CONTROL MASTER'!$X$2:$X$495,(SUMPRODUCT((('CONTROL MASTER'!$S$2:$S$495=7)*('CONTROL MASTER'!$T$2:$T$495&lt;=3)*('CONTROL MASTER'!$V$2:$V$495&gt;=3)*('CONTROL MASTER'!$U$2:$U$495&lt;=1)*('CONTROL MASTER'!$W$2:$W$495&gt;=1))*ROW('CONTROL MASTER'!$S$2:$S$495))-(ROW('CONTROL MASTER'!#REF!)-1)))&amp;TRIM(MID(SUBSTITUTE(SUBSTITUTE(INDEX('CONTROL MASTER'!$N$2:$N$495,(SUMPRODUCT((('CONTROL MASTER'!$S$2:$S$495=7)*('CONTROL MASTER'!$T$2:$T$495&lt;=3)*('CONTROL MASTER'!$V$2:$V$495&gt;=3)*('CONTROL MASTER'!$U$2:$U$495&lt;=1)*('CONTROL MASTER'!$W$2:$W$495&gt;=1))*ROW('CONTROL MASTER'!$S$2:$S$495))-(ROW('CONTROL MASTER'!#REF!)-1))),":",","),",",REPT(" ",50)),((((3-INDEX('CONTROL MASTER'!$T$2:$T$495,(SUMPRODUCT((('CONTROL MASTER'!$S$2:$S$495=7)*('CONTROL MASTER'!$T$2:$T$495&lt;=3)*('CONTROL MASTER'!$V$2:$V$495&gt;=3)*('CONTROL MASTER'!$U$2:$U$495&lt;=1)*('CONTROL MASTER'!$W$2:$W$495&gt;=1))*ROW('CONTROL MASTER'!$S$2:$S$495))-(ROW('CONTROL MASTER'!#REF!)-1))))*(INDEX('CONTROL MASTER'!$W$2:$W$495,(SUMPRODUCT((('CONTROL MASTER'!$S$2:$S$495=7)*('CONTROL MASTER'!$T$2:$T$495&lt;=3)*('CONTROL MASTER'!$V$2:$V$495&gt;=3)*('CONTROL MASTER'!$U$2:$U$495&lt;=1)*('CONTROL MASTER'!$W$2:$W$495&gt;=1))*ROW('CONTROL MASTER'!$S$2:$S$495))-(ROW('CONTROL MASTER'!#REF!)-1)))-INDEX('CONTROL MASTER'!$U$2:$U$495,(SUMPRODUCT((('CONTROL MASTER'!$S$2:$S$495=7)*('CONTROL MASTER'!$T$2:$T$495&lt;=3)*('CONTROL MASTER'!$V$2:$V$495&gt;=3)*('CONTROL MASTER'!$U$2:$U$495&lt;=1)*('CONTROL MASTER'!$W$2:$W$495&gt;=1))*ROW('CONTROL MASTER'!$S$2:$S$495))-(ROW('CONTROL MASTER'!#REF!)-1)))+1)+(1-INDEX('CONTROL MASTER'!$U$2:$U$495,(SUMPRODUCT((('CONTROL MASTER'!$S$2:$S$495=7)*('CONTROL MASTER'!$T$2:$T$495&lt;=3)*('CONTROL MASTER'!$V$2:$V$495&gt;=3)*('CONTROL MASTER'!$U$2:$U$495&lt;=1)*('CONTROL MASTER'!$W$2:$W$495&gt;=1))*ROW('CONTROL MASTER'!$S$2:$S$495))-(ROW('CONTROL MASTER'!#REF!)-1))))+1))-1)*50+1,50))&amp;"_"&amp;INDEX('CONTROL MASTER'!$P$2:$P$495,(SUMPRODUCT((('CONTROL MASTER'!$S$2:$S$495=7)*('CONTROL MASTER'!$T$2:$T$495&lt;=3)*('CONTROL MASTER'!$V$2:$V$495&gt;=3)*('CONTROL MASTER'!$U$2:$U$495&lt;=1)*('CONTROL MASTER'!$W$2:$W$495&gt;=1))*ROW('CONTROL MASTER'!$S$2:$S$495))-(ROW('CONTROL MASTER'!#REF!)-1))),IF(SUMPRODUCT((('CONTROL MASTER'!$S$2:$S$495=7)*('CONTROL MASTER'!$Z$2:$Z$495&lt;=3)*('CONTROL MASTER'!$AB$2:$AB$495&gt;=3)*('CONTROL MASTER'!$AA$2:$AA$495&lt;=1)*('CONTROL MASTER'!$AC$2:$AC$495&gt;=1))*ROW('CONTROL MASTER'!$S$2:$S$495))&gt;0,INDEX('CONTROL MASTER'!$X$2:$X$495,(SUMPRODUCT((('CONTROL MASTER'!$S$2:$S$495=7)*('CONTROL MASTER'!$Z$2:$Z$495&lt;=3)*('CONTROL MASTER'!$AB$2:$AB$495&gt;=3)*('CONTROL MASTER'!$AA$2:$AA$495&lt;=1)*('CONTROL MASTER'!$AC$2:$AC$495&gt;=1))*ROW('CONTROL MASTER'!$S$2:$S$495))-(ROW('CONTROL MASTER'!#REF!)-1)))&amp;TRIM(MID(SUBSTITUTE(SUBSTITUTE(INDEX('CONTROL MASTER'!$N$2:$N$495,(SUMPRODUCT((('CONTROL MASTER'!$S$2:$S$495=7)*('CONTROL MASTER'!$Z$2:$Z$495&lt;=3)*('CONTROL MASTER'!$AB$2:$AB$495&gt;=3)*('CONTROL MASTER'!$AA$2:$AA$495&lt;=1)*('CONTROL MASTER'!$AC$2:$AC$495&gt;=1))*ROW('CONTROL MASTER'!$S$2:$S$495))-(ROW('CONTROL MASTER'!#REF!)-1))),":",","),",",REPT(" ",50)),(((INDEX('CONTROL MASTER'!$Y$2:$Y$495,(SUMPRODUCT((('CONTROL MASTER'!$S$2:$S$495=7)*('CONTROL MASTER'!$Z$2:$Z$495&lt;=3)*('CONTROL MASTER'!$AB$2:$AB$495&gt;=3)*('CONTROL MASTER'!$AA$2:$AA$495&lt;=1)*('CONTROL MASTER'!$AC$2:$AC$495&gt;=1))*ROW('CONTROL MASTER'!$S$2:$S$495))-(ROW('CONTROL MASTER'!#REF!)-1)))+((3-INDEX('CONTROL MASTER'!$Z$2:$Z$495,(SUMPRODUCT((('CONTROL MASTER'!$S$2:$S$495=7)*('CONTROL MASTER'!$Z$2:$Z$495&lt;=3)*('CONTROL MASTER'!$AB$2:$AB$495&gt;=3)*('CONTROL MASTER'!$AA$2:$AA$495&lt;=1)*('CONTROL MASTER'!$AC$2:$AC$495&gt;=1))*ROW('CONTROL MASTER'!$S$2:$S$495))-(ROW('CONTROL MASTER'!#REF!)-1))))*(INDEX('CONTROL MASTER'!$AC$2:$AC$495,(SUMPRODUCT((('CONTROL MASTER'!$S$2:$S$495=7)*('CONTROL MASTER'!$Z$2:$Z$495&lt;=3)*('CONTROL MASTER'!$AB$2:$AB$495&gt;=3)*('CONTROL MASTER'!$AA$2:$AA$495&lt;=1)*('CONTROL MASTER'!$AC$2:$AC$495&gt;=1))*ROW('CONTROL MASTER'!$S$2:$S$495))-(ROW('CONTROL MASTER'!#REF!)-1)))-INDEX('CONTROL MASTER'!$AA$2:$AA$495,(SUMPRODUCT((('CONTROL MASTER'!$S$2:$S$495=7)*('CONTROL MASTER'!$Z$2:$Z$495&lt;=3)*('CONTROL MASTER'!$AB$2:$AB$495&gt;=3)*('CONTROL MASTER'!$AA$2:$AA$495&lt;=1)*('CONTROL MASTER'!$AC$2:$AC$495&gt;=1))*ROW('CONTROL MASTER'!$S$2:$S$495))-(ROW('CONTROL MASTER'!#REF!)-1)))+1)+(1-INDEX('CONTROL MASTER'!$AA$2:$AA$495,(SUMPRODUCT((('CONTROL MASTER'!$S$2:$S$495=7)*('CONTROL MASTER'!$Z$2:$Z$495&lt;=3)*('CONTROL MASTER'!$AB$2:$AB$495&gt;=3)*('CONTROL MASTER'!$AA$2:$AA$495&lt;=1)*('CONTROL MASTER'!$AC$2:$AC$495&gt;=1))*ROW('CONTROL MASTER'!$S$2:$S$495))-(ROW('CONTROL MASTER'!#REF!)-1))))+1)))-1)*50+1,50))&amp;"_"&amp;INDEX('CONTROL MASTER'!$P$2:$P$495,(SUMPRODUCT((('CONTROL MASTER'!$S$2:$S$495=7)*('CONTROL MASTER'!$Z$2:$Z$495&lt;=3)*('CONTROL MASTER'!$AB$2:$AB$495&gt;=3)*('CONTROL MASTER'!$AA$2:$AA$495&lt;=1)*('CONTROL MASTER'!$AC$2:$AC$495&gt;=1))*ROW('CONTROL MASTER'!$S$2:$S$495))-(ROW('CONTROL MASTER'!#REF!)-1))),"")),"")</f>
        <v/>
      </c>
      <c r="C89" s="10" t="str">
        <f>IFERROR(IF(SUMPRODUCT((('CONTROL MASTER'!$S$2:$S$495=7)*('CONTROL MASTER'!$T$2:$T$495&lt;=3)*('CONTROL MASTER'!$V$2:$V$495&gt;=3)*('CONTROL MASTER'!$U$2:$U$495&lt;=2)*('CONTROL MASTER'!$W$2:$W$495&gt;=2))*ROW('CONTROL MASTER'!$S$2:$S$495))&gt;0,INDEX('CONTROL MASTER'!$X$2:$X$495,(SUMPRODUCT((('CONTROL MASTER'!$S$2:$S$495=7)*('CONTROL MASTER'!$T$2:$T$495&lt;=3)*('CONTROL MASTER'!$V$2:$V$495&gt;=3)*('CONTROL MASTER'!$U$2:$U$495&lt;=2)*('CONTROL MASTER'!$W$2:$W$495&gt;=2))*ROW('CONTROL MASTER'!$S$2:$S$495))-(ROW('CONTROL MASTER'!#REF!)-1)))&amp;TRIM(MID(SUBSTITUTE(SUBSTITUTE(INDEX('CONTROL MASTER'!$N$2:$N$495,(SUMPRODUCT((('CONTROL MASTER'!$S$2:$S$495=7)*('CONTROL MASTER'!$T$2:$T$495&lt;=3)*('CONTROL MASTER'!$V$2:$V$495&gt;=3)*('CONTROL MASTER'!$U$2:$U$495&lt;=2)*('CONTROL MASTER'!$W$2:$W$495&gt;=2))*ROW('CONTROL MASTER'!$S$2:$S$495))-(ROW('CONTROL MASTER'!#REF!)-1))),":",","),",",REPT(" ",50)),((((3-INDEX('CONTROL MASTER'!$T$2:$T$495,(SUMPRODUCT((('CONTROL MASTER'!$S$2:$S$495=7)*('CONTROL MASTER'!$T$2:$T$495&lt;=3)*('CONTROL MASTER'!$V$2:$V$495&gt;=3)*('CONTROL MASTER'!$U$2:$U$495&lt;=2)*('CONTROL MASTER'!$W$2:$W$495&gt;=2))*ROW('CONTROL MASTER'!$S$2:$S$495))-(ROW('CONTROL MASTER'!#REF!)-1))))*(INDEX('CONTROL MASTER'!$W$2:$W$495,(SUMPRODUCT((('CONTROL MASTER'!$S$2:$S$495=7)*('CONTROL MASTER'!$T$2:$T$495&lt;=3)*('CONTROL MASTER'!$V$2:$V$495&gt;=3)*('CONTROL MASTER'!$U$2:$U$495&lt;=2)*('CONTROL MASTER'!$W$2:$W$495&gt;=2))*ROW('CONTROL MASTER'!$S$2:$S$495))-(ROW('CONTROL MASTER'!#REF!)-1)))-INDEX('CONTROL MASTER'!$U$2:$U$495,(SUMPRODUCT((('CONTROL MASTER'!$S$2:$S$495=7)*('CONTROL MASTER'!$T$2:$T$495&lt;=3)*('CONTROL MASTER'!$V$2:$V$495&gt;=3)*('CONTROL MASTER'!$U$2:$U$495&lt;=2)*('CONTROL MASTER'!$W$2:$W$495&gt;=2))*ROW('CONTROL MASTER'!$S$2:$S$495))-(ROW('CONTROL MASTER'!#REF!)-1)))+1)+(2-INDEX('CONTROL MASTER'!$U$2:$U$495,(SUMPRODUCT((('CONTROL MASTER'!$S$2:$S$495=7)*('CONTROL MASTER'!$T$2:$T$495&lt;=3)*('CONTROL MASTER'!$V$2:$V$495&gt;=3)*('CONTROL MASTER'!$U$2:$U$495&lt;=2)*('CONTROL MASTER'!$W$2:$W$495&gt;=2))*ROW('CONTROL MASTER'!$S$2:$S$495))-(ROW('CONTROL MASTER'!#REF!)-1))))+1))-1)*50+1,50))&amp;"_"&amp;INDEX('CONTROL MASTER'!$P$2:$P$495,(SUMPRODUCT((('CONTROL MASTER'!$S$2:$S$495=7)*('CONTROL MASTER'!$T$2:$T$495&lt;=3)*('CONTROL MASTER'!$V$2:$V$495&gt;=3)*('CONTROL MASTER'!$U$2:$U$495&lt;=2)*('CONTROL MASTER'!$W$2:$W$495&gt;=2))*ROW('CONTROL MASTER'!$S$2:$S$495))-(ROW('CONTROL MASTER'!#REF!)-1))),IF(SUMPRODUCT((('CONTROL MASTER'!$S$2:$S$495=7)*('CONTROL MASTER'!$Z$2:$Z$495&lt;=3)*('CONTROL MASTER'!$AB$2:$AB$495&gt;=3)*('CONTROL MASTER'!$AA$2:$AA$495&lt;=2)*('CONTROL MASTER'!$AC$2:$AC$495&gt;=2))*ROW('CONTROL MASTER'!$S$2:$S$495))&gt;0,INDEX('CONTROL MASTER'!$X$2:$X$495,(SUMPRODUCT((('CONTROL MASTER'!$S$2:$S$495=7)*('CONTROL MASTER'!$Z$2:$Z$495&lt;=3)*('CONTROL MASTER'!$AB$2:$AB$495&gt;=3)*('CONTROL MASTER'!$AA$2:$AA$495&lt;=2)*('CONTROL MASTER'!$AC$2:$AC$495&gt;=2))*ROW('CONTROL MASTER'!$S$2:$S$495))-(ROW('CONTROL MASTER'!#REF!)-1)))&amp;TRIM(MID(SUBSTITUTE(SUBSTITUTE(INDEX('CONTROL MASTER'!$N$2:$N$495,(SUMPRODUCT((('CONTROL MASTER'!$S$2:$S$495=7)*('CONTROL MASTER'!$Z$2:$Z$495&lt;=3)*('CONTROL MASTER'!$AB$2:$AB$495&gt;=3)*('CONTROL MASTER'!$AA$2:$AA$495&lt;=2)*('CONTROL MASTER'!$AC$2:$AC$495&gt;=2))*ROW('CONTROL MASTER'!$S$2:$S$495))-(ROW('CONTROL MASTER'!#REF!)-1))),":",","),",",REPT(" ",50)),(((INDEX('CONTROL MASTER'!$Y$2:$Y$495,(SUMPRODUCT((('CONTROL MASTER'!$S$2:$S$495=7)*('CONTROL MASTER'!$Z$2:$Z$495&lt;=3)*('CONTROL MASTER'!$AB$2:$AB$495&gt;=3)*('CONTROL MASTER'!$AA$2:$AA$495&lt;=2)*('CONTROL MASTER'!$AC$2:$AC$495&gt;=2))*ROW('CONTROL MASTER'!$S$2:$S$495))-(ROW('CONTROL MASTER'!#REF!)-1)))+((3-INDEX('CONTROL MASTER'!$Z$2:$Z$495,(SUMPRODUCT((('CONTROL MASTER'!$S$2:$S$495=7)*('CONTROL MASTER'!$Z$2:$Z$495&lt;=3)*('CONTROL MASTER'!$AB$2:$AB$495&gt;=3)*('CONTROL MASTER'!$AA$2:$AA$495&lt;=2)*('CONTROL MASTER'!$AC$2:$AC$495&gt;=2))*ROW('CONTROL MASTER'!$S$2:$S$495))-(ROW('CONTROL MASTER'!#REF!)-1))))*(INDEX('CONTROL MASTER'!$AC$2:$AC$495,(SUMPRODUCT((('CONTROL MASTER'!$S$2:$S$495=7)*('CONTROL MASTER'!$Z$2:$Z$495&lt;=3)*('CONTROL MASTER'!$AB$2:$AB$495&gt;=3)*('CONTROL MASTER'!$AA$2:$AA$495&lt;=2)*('CONTROL MASTER'!$AC$2:$AC$495&gt;=2))*ROW('CONTROL MASTER'!$S$2:$S$495))-(ROW('CONTROL MASTER'!#REF!)-1)))-INDEX('CONTROL MASTER'!$AA$2:$AA$495,(SUMPRODUCT((('CONTROL MASTER'!$S$2:$S$495=7)*('CONTROL MASTER'!$Z$2:$Z$495&lt;=3)*('CONTROL MASTER'!$AB$2:$AB$495&gt;=3)*('CONTROL MASTER'!$AA$2:$AA$495&lt;=2)*('CONTROL MASTER'!$AC$2:$AC$495&gt;=2))*ROW('CONTROL MASTER'!$S$2:$S$495))-(ROW('CONTROL MASTER'!#REF!)-1)))+1)+(2-INDEX('CONTROL MASTER'!$AA$2:$AA$495,(SUMPRODUCT((('CONTROL MASTER'!$S$2:$S$495=7)*('CONTROL MASTER'!$Z$2:$Z$495&lt;=3)*('CONTROL MASTER'!$AB$2:$AB$495&gt;=3)*('CONTROL MASTER'!$AA$2:$AA$495&lt;=2)*('CONTROL MASTER'!$AC$2:$AC$495&gt;=2))*ROW('CONTROL MASTER'!$S$2:$S$495))-(ROW('CONTROL MASTER'!#REF!)-1))))+1)))-1)*50+1,50))&amp;"_"&amp;INDEX('CONTROL MASTER'!$P$2:$P$495,(SUMPRODUCT((('CONTROL MASTER'!$S$2:$S$495=7)*('CONTROL MASTER'!$Z$2:$Z$495&lt;=3)*('CONTROL MASTER'!$AB$2:$AB$495&gt;=3)*('CONTROL MASTER'!$AA$2:$AA$495&lt;=2)*('CONTROL MASTER'!$AC$2:$AC$495&gt;=2))*ROW('CONTROL MASTER'!$S$2:$S$495))-(ROW('CONTROL MASTER'!#REF!)-1))),"")),"")</f>
        <v/>
      </c>
      <c r="D89" s="10" t="str">
        <f>IFERROR(IF(SUMPRODUCT((('CONTROL MASTER'!$S$2:$S$495=7)*('CONTROL MASTER'!$T$2:$T$495&lt;=3)*('CONTROL MASTER'!$V$2:$V$495&gt;=3)*('CONTROL MASTER'!$U$2:$U$495&lt;=3)*('CONTROL MASTER'!$W$2:$W$495&gt;=3))*ROW('CONTROL MASTER'!$S$2:$S$495))&gt;0,INDEX('CONTROL MASTER'!$X$2:$X$495,(SUMPRODUCT((('CONTROL MASTER'!$S$2:$S$495=7)*('CONTROL MASTER'!$T$2:$T$495&lt;=3)*('CONTROL MASTER'!$V$2:$V$495&gt;=3)*('CONTROL MASTER'!$U$2:$U$495&lt;=3)*('CONTROL MASTER'!$W$2:$W$495&gt;=3))*ROW('CONTROL MASTER'!$S$2:$S$495))-(ROW('CONTROL MASTER'!#REF!)-1)))&amp;TRIM(MID(SUBSTITUTE(SUBSTITUTE(INDEX('CONTROL MASTER'!$N$2:$N$495,(SUMPRODUCT((('CONTROL MASTER'!$S$2:$S$495=7)*('CONTROL MASTER'!$T$2:$T$495&lt;=3)*('CONTROL MASTER'!$V$2:$V$495&gt;=3)*('CONTROL MASTER'!$U$2:$U$495&lt;=3)*('CONTROL MASTER'!$W$2:$W$495&gt;=3))*ROW('CONTROL MASTER'!$S$2:$S$495))-(ROW('CONTROL MASTER'!#REF!)-1))),":",","),",",REPT(" ",50)),((((3-INDEX('CONTROL MASTER'!$T$2:$T$495,(SUMPRODUCT((('CONTROL MASTER'!$S$2:$S$495=7)*('CONTROL MASTER'!$T$2:$T$495&lt;=3)*('CONTROL MASTER'!$V$2:$V$495&gt;=3)*('CONTROL MASTER'!$U$2:$U$495&lt;=3)*('CONTROL MASTER'!$W$2:$W$495&gt;=3))*ROW('CONTROL MASTER'!$S$2:$S$495))-(ROW('CONTROL MASTER'!#REF!)-1))))*(INDEX('CONTROL MASTER'!$W$2:$W$495,(SUMPRODUCT((('CONTROL MASTER'!$S$2:$S$495=7)*('CONTROL MASTER'!$T$2:$T$495&lt;=3)*('CONTROL MASTER'!$V$2:$V$495&gt;=3)*('CONTROL MASTER'!$U$2:$U$495&lt;=3)*('CONTROL MASTER'!$W$2:$W$495&gt;=3))*ROW('CONTROL MASTER'!$S$2:$S$495))-(ROW('CONTROL MASTER'!#REF!)-1)))-INDEX('CONTROL MASTER'!$U$2:$U$495,(SUMPRODUCT((('CONTROL MASTER'!$S$2:$S$495=7)*('CONTROL MASTER'!$T$2:$T$495&lt;=3)*('CONTROL MASTER'!$V$2:$V$495&gt;=3)*('CONTROL MASTER'!$U$2:$U$495&lt;=3)*('CONTROL MASTER'!$W$2:$W$495&gt;=3))*ROW('CONTROL MASTER'!$S$2:$S$495))-(ROW('CONTROL MASTER'!#REF!)-1)))+1)+(3-INDEX('CONTROL MASTER'!$U$2:$U$495,(SUMPRODUCT((('CONTROL MASTER'!$S$2:$S$495=7)*('CONTROL MASTER'!$T$2:$T$495&lt;=3)*('CONTROL MASTER'!$V$2:$V$495&gt;=3)*('CONTROL MASTER'!$U$2:$U$495&lt;=3)*('CONTROL MASTER'!$W$2:$W$495&gt;=3))*ROW('CONTROL MASTER'!$S$2:$S$495))-(ROW('CONTROL MASTER'!#REF!)-1))))+1))-1)*50+1,50))&amp;"_"&amp;INDEX('CONTROL MASTER'!$P$2:$P$495,(SUMPRODUCT((('CONTROL MASTER'!$S$2:$S$495=7)*('CONTROL MASTER'!$T$2:$T$495&lt;=3)*('CONTROL MASTER'!$V$2:$V$495&gt;=3)*('CONTROL MASTER'!$U$2:$U$495&lt;=3)*('CONTROL MASTER'!$W$2:$W$495&gt;=3))*ROW('CONTROL MASTER'!$S$2:$S$495))-(ROW('CONTROL MASTER'!#REF!)-1))),IF(SUMPRODUCT((('CONTROL MASTER'!$S$2:$S$495=7)*('CONTROL MASTER'!$Z$2:$Z$495&lt;=3)*('CONTROL MASTER'!$AB$2:$AB$495&gt;=3)*('CONTROL MASTER'!$AA$2:$AA$495&lt;=3)*('CONTROL MASTER'!$AC$2:$AC$495&gt;=3))*ROW('CONTROL MASTER'!$S$2:$S$495))&gt;0,INDEX('CONTROL MASTER'!$X$2:$X$495,(SUMPRODUCT((('CONTROL MASTER'!$S$2:$S$495=7)*('CONTROL MASTER'!$Z$2:$Z$495&lt;=3)*('CONTROL MASTER'!$AB$2:$AB$495&gt;=3)*('CONTROL MASTER'!$AA$2:$AA$495&lt;=3)*('CONTROL MASTER'!$AC$2:$AC$495&gt;=3))*ROW('CONTROL MASTER'!$S$2:$S$495))-(ROW('CONTROL MASTER'!#REF!)-1)))&amp;TRIM(MID(SUBSTITUTE(SUBSTITUTE(INDEX('CONTROL MASTER'!$N$2:$N$495,(SUMPRODUCT((('CONTROL MASTER'!$S$2:$S$495=7)*('CONTROL MASTER'!$Z$2:$Z$495&lt;=3)*('CONTROL MASTER'!$AB$2:$AB$495&gt;=3)*('CONTROL MASTER'!$AA$2:$AA$495&lt;=3)*('CONTROL MASTER'!$AC$2:$AC$495&gt;=3))*ROW('CONTROL MASTER'!$S$2:$S$495))-(ROW('CONTROL MASTER'!#REF!)-1))),":",","),",",REPT(" ",50)),(((INDEX('CONTROL MASTER'!$Y$2:$Y$495,(SUMPRODUCT((('CONTROL MASTER'!$S$2:$S$495=7)*('CONTROL MASTER'!$Z$2:$Z$495&lt;=3)*('CONTROL MASTER'!$AB$2:$AB$495&gt;=3)*('CONTROL MASTER'!$AA$2:$AA$495&lt;=3)*('CONTROL MASTER'!$AC$2:$AC$495&gt;=3))*ROW('CONTROL MASTER'!$S$2:$S$495))-(ROW('CONTROL MASTER'!#REF!)-1)))+((3-INDEX('CONTROL MASTER'!$Z$2:$Z$495,(SUMPRODUCT((('CONTROL MASTER'!$S$2:$S$495=7)*('CONTROL MASTER'!$Z$2:$Z$495&lt;=3)*('CONTROL MASTER'!$AB$2:$AB$495&gt;=3)*('CONTROL MASTER'!$AA$2:$AA$495&lt;=3)*('CONTROL MASTER'!$AC$2:$AC$495&gt;=3))*ROW('CONTROL MASTER'!$S$2:$S$495))-(ROW('CONTROL MASTER'!#REF!)-1))))*(INDEX('CONTROL MASTER'!$AC$2:$AC$495,(SUMPRODUCT((('CONTROL MASTER'!$S$2:$S$495=7)*('CONTROL MASTER'!$Z$2:$Z$495&lt;=3)*('CONTROL MASTER'!$AB$2:$AB$495&gt;=3)*('CONTROL MASTER'!$AA$2:$AA$495&lt;=3)*('CONTROL MASTER'!$AC$2:$AC$495&gt;=3))*ROW('CONTROL MASTER'!$S$2:$S$495))-(ROW('CONTROL MASTER'!#REF!)-1)))-INDEX('CONTROL MASTER'!$AA$2:$AA$495,(SUMPRODUCT((('CONTROL MASTER'!$S$2:$S$495=7)*('CONTROL MASTER'!$Z$2:$Z$495&lt;=3)*('CONTROL MASTER'!$AB$2:$AB$495&gt;=3)*('CONTROL MASTER'!$AA$2:$AA$495&lt;=3)*('CONTROL MASTER'!$AC$2:$AC$495&gt;=3))*ROW('CONTROL MASTER'!$S$2:$S$495))-(ROW('CONTROL MASTER'!#REF!)-1)))+1)+(3-INDEX('CONTROL MASTER'!$AA$2:$AA$495,(SUMPRODUCT((('CONTROL MASTER'!$S$2:$S$495=7)*('CONTROL MASTER'!$Z$2:$Z$495&lt;=3)*('CONTROL MASTER'!$AB$2:$AB$495&gt;=3)*('CONTROL MASTER'!$AA$2:$AA$495&lt;=3)*('CONTROL MASTER'!$AC$2:$AC$495&gt;=3))*ROW('CONTROL MASTER'!$S$2:$S$495))-(ROW('CONTROL MASTER'!#REF!)-1))))+1)))-1)*50+1,50))&amp;"_"&amp;INDEX('CONTROL MASTER'!$P$2:$P$495,(SUMPRODUCT((('CONTROL MASTER'!$S$2:$S$495=7)*('CONTROL MASTER'!$Z$2:$Z$495&lt;=3)*('CONTROL MASTER'!$AB$2:$AB$495&gt;=3)*('CONTROL MASTER'!$AA$2:$AA$495&lt;=3)*('CONTROL MASTER'!$AC$2:$AC$495&gt;=3))*ROW('CONTROL MASTER'!$S$2:$S$495))-(ROW('CONTROL MASTER'!#REF!)-1))),"")),"")</f>
        <v/>
      </c>
      <c r="E89" s="10" t="str">
        <f>IFERROR(IF(SUMPRODUCT((('CONTROL MASTER'!$S$2:$S$495=7)*('CONTROL MASTER'!$T$2:$T$495&lt;=3)*('CONTROL MASTER'!$V$2:$V$495&gt;=3)*('CONTROL MASTER'!$U$2:$U$495&lt;=4)*('CONTROL MASTER'!$W$2:$W$495&gt;=4))*ROW('CONTROL MASTER'!$S$2:$S$495))&gt;0,INDEX('CONTROL MASTER'!$X$2:$X$495,(SUMPRODUCT((('CONTROL MASTER'!$S$2:$S$495=7)*('CONTROL MASTER'!$T$2:$T$495&lt;=3)*('CONTROL MASTER'!$V$2:$V$495&gt;=3)*('CONTROL MASTER'!$U$2:$U$495&lt;=4)*('CONTROL MASTER'!$W$2:$W$495&gt;=4))*ROW('CONTROL MASTER'!$S$2:$S$495))-(ROW('CONTROL MASTER'!#REF!)-1)))&amp;TRIM(MID(SUBSTITUTE(SUBSTITUTE(INDEX('CONTROL MASTER'!$N$2:$N$495,(SUMPRODUCT((('CONTROL MASTER'!$S$2:$S$495=7)*('CONTROL MASTER'!$T$2:$T$495&lt;=3)*('CONTROL MASTER'!$V$2:$V$495&gt;=3)*('CONTROL MASTER'!$U$2:$U$495&lt;=4)*('CONTROL MASTER'!$W$2:$W$495&gt;=4))*ROW('CONTROL MASTER'!$S$2:$S$495))-(ROW('CONTROL MASTER'!#REF!)-1))),":",","),",",REPT(" ",50)),((((3-INDEX('CONTROL MASTER'!$T$2:$T$495,(SUMPRODUCT((('CONTROL MASTER'!$S$2:$S$495=7)*('CONTROL MASTER'!$T$2:$T$495&lt;=3)*('CONTROL MASTER'!$V$2:$V$495&gt;=3)*('CONTROL MASTER'!$U$2:$U$495&lt;=4)*('CONTROL MASTER'!$W$2:$W$495&gt;=4))*ROW('CONTROL MASTER'!$S$2:$S$495))-(ROW('CONTROL MASTER'!#REF!)-1))))*(INDEX('CONTROL MASTER'!$W$2:$W$495,(SUMPRODUCT((('CONTROL MASTER'!$S$2:$S$495=7)*('CONTROL MASTER'!$T$2:$T$495&lt;=3)*('CONTROL MASTER'!$V$2:$V$495&gt;=3)*('CONTROL MASTER'!$U$2:$U$495&lt;=4)*('CONTROL MASTER'!$W$2:$W$495&gt;=4))*ROW('CONTROL MASTER'!$S$2:$S$495))-(ROW('CONTROL MASTER'!#REF!)-1)))-INDEX('CONTROL MASTER'!$U$2:$U$495,(SUMPRODUCT((('CONTROL MASTER'!$S$2:$S$495=7)*('CONTROL MASTER'!$T$2:$T$495&lt;=3)*('CONTROL MASTER'!$V$2:$V$495&gt;=3)*('CONTROL MASTER'!$U$2:$U$495&lt;=4)*('CONTROL MASTER'!$W$2:$W$495&gt;=4))*ROW('CONTROL MASTER'!$S$2:$S$495))-(ROW('CONTROL MASTER'!#REF!)-1)))+1)+(4-INDEX('CONTROL MASTER'!$U$2:$U$495,(SUMPRODUCT((('CONTROL MASTER'!$S$2:$S$495=7)*('CONTROL MASTER'!$T$2:$T$495&lt;=3)*('CONTROL MASTER'!$V$2:$V$495&gt;=3)*('CONTROL MASTER'!$U$2:$U$495&lt;=4)*('CONTROL MASTER'!$W$2:$W$495&gt;=4))*ROW('CONTROL MASTER'!$S$2:$S$495))-(ROW('CONTROL MASTER'!#REF!)-1))))+1))-1)*50+1,50))&amp;"_"&amp;INDEX('CONTROL MASTER'!$P$2:$P$495,(SUMPRODUCT((('CONTROL MASTER'!$S$2:$S$495=7)*('CONTROL MASTER'!$T$2:$T$495&lt;=3)*('CONTROL MASTER'!$V$2:$V$495&gt;=3)*('CONTROL MASTER'!$U$2:$U$495&lt;=4)*('CONTROL MASTER'!$W$2:$W$495&gt;=4))*ROW('CONTROL MASTER'!$S$2:$S$495))-(ROW('CONTROL MASTER'!#REF!)-1))),IF(SUMPRODUCT((('CONTROL MASTER'!$S$2:$S$495=7)*('CONTROL MASTER'!$Z$2:$Z$495&lt;=3)*('CONTROL MASTER'!$AB$2:$AB$495&gt;=3)*('CONTROL MASTER'!$AA$2:$AA$495&lt;=4)*('CONTROL MASTER'!$AC$2:$AC$495&gt;=4))*ROW('CONTROL MASTER'!$S$2:$S$495))&gt;0,INDEX('CONTROL MASTER'!$X$2:$X$495,(SUMPRODUCT((('CONTROL MASTER'!$S$2:$S$495=7)*('CONTROL MASTER'!$Z$2:$Z$495&lt;=3)*('CONTROL MASTER'!$AB$2:$AB$495&gt;=3)*('CONTROL MASTER'!$AA$2:$AA$495&lt;=4)*('CONTROL MASTER'!$AC$2:$AC$495&gt;=4))*ROW('CONTROL MASTER'!$S$2:$S$495))-(ROW('CONTROL MASTER'!#REF!)-1)))&amp;TRIM(MID(SUBSTITUTE(SUBSTITUTE(INDEX('CONTROL MASTER'!$N$2:$N$495,(SUMPRODUCT((('CONTROL MASTER'!$S$2:$S$495=7)*('CONTROL MASTER'!$Z$2:$Z$495&lt;=3)*('CONTROL MASTER'!$AB$2:$AB$495&gt;=3)*('CONTROL MASTER'!$AA$2:$AA$495&lt;=4)*('CONTROL MASTER'!$AC$2:$AC$495&gt;=4))*ROW('CONTROL MASTER'!$S$2:$S$495))-(ROW('CONTROL MASTER'!#REF!)-1))),":",","),",",REPT(" ",50)),(((INDEX('CONTROL MASTER'!$Y$2:$Y$495,(SUMPRODUCT((('CONTROL MASTER'!$S$2:$S$495=7)*('CONTROL MASTER'!$Z$2:$Z$495&lt;=3)*('CONTROL MASTER'!$AB$2:$AB$495&gt;=3)*('CONTROL MASTER'!$AA$2:$AA$495&lt;=4)*('CONTROL MASTER'!$AC$2:$AC$495&gt;=4))*ROW('CONTROL MASTER'!$S$2:$S$495))-(ROW('CONTROL MASTER'!#REF!)-1)))+((3-INDEX('CONTROL MASTER'!$Z$2:$Z$495,(SUMPRODUCT((('CONTROL MASTER'!$S$2:$S$495=7)*('CONTROL MASTER'!$Z$2:$Z$495&lt;=3)*('CONTROL MASTER'!$AB$2:$AB$495&gt;=3)*('CONTROL MASTER'!$AA$2:$AA$495&lt;=4)*('CONTROL MASTER'!$AC$2:$AC$495&gt;=4))*ROW('CONTROL MASTER'!$S$2:$S$495))-(ROW('CONTROL MASTER'!#REF!)-1))))*(INDEX('CONTROL MASTER'!$AC$2:$AC$495,(SUMPRODUCT((('CONTROL MASTER'!$S$2:$S$495=7)*('CONTROL MASTER'!$Z$2:$Z$495&lt;=3)*('CONTROL MASTER'!$AB$2:$AB$495&gt;=3)*('CONTROL MASTER'!$AA$2:$AA$495&lt;=4)*('CONTROL MASTER'!$AC$2:$AC$495&gt;=4))*ROW('CONTROL MASTER'!$S$2:$S$495))-(ROW('CONTROL MASTER'!#REF!)-1)))-INDEX('CONTROL MASTER'!$AA$2:$AA$495,(SUMPRODUCT((('CONTROL MASTER'!$S$2:$S$495=7)*('CONTROL MASTER'!$Z$2:$Z$495&lt;=3)*('CONTROL MASTER'!$AB$2:$AB$495&gt;=3)*('CONTROL MASTER'!$AA$2:$AA$495&lt;=4)*('CONTROL MASTER'!$AC$2:$AC$495&gt;=4))*ROW('CONTROL MASTER'!$S$2:$S$495))-(ROW('CONTROL MASTER'!#REF!)-1)))+1)+(4-INDEX('CONTROL MASTER'!$AA$2:$AA$495,(SUMPRODUCT((('CONTROL MASTER'!$S$2:$S$495=7)*('CONTROL MASTER'!$Z$2:$Z$495&lt;=3)*('CONTROL MASTER'!$AB$2:$AB$495&gt;=3)*('CONTROL MASTER'!$AA$2:$AA$495&lt;=4)*('CONTROL MASTER'!$AC$2:$AC$495&gt;=4))*ROW('CONTROL MASTER'!$S$2:$S$495))-(ROW('CONTROL MASTER'!#REF!)-1))))+1)))-1)*50+1,50))&amp;"_"&amp;INDEX('CONTROL MASTER'!$P$2:$P$495,(SUMPRODUCT((('CONTROL MASTER'!$S$2:$S$495=7)*('CONTROL MASTER'!$Z$2:$Z$495&lt;=3)*('CONTROL MASTER'!$AB$2:$AB$495&gt;=3)*('CONTROL MASTER'!$AA$2:$AA$495&lt;=4)*('CONTROL MASTER'!$AC$2:$AC$495&gt;=4))*ROW('CONTROL MASTER'!$S$2:$S$495))-(ROW('CONTROL MASTER'!#REF!)-1))),"")),"")</f>
        <v/>
      </c>
      <c r="F89" s="10" t="str">
        <f>IFERROR(IF(SUMPRODUCT((('CONTROL MASTER'!$S$2:$S$495=7)*('CONTROL MASTER'!$T$2:$T$495&lt;=3)*('CONTROL MASTER'!$V$2:$V$495&gt;=3)*('CONTROL MASTER'!$U$2:$U$495&lt;=5)*('CONTROL MASTER'!$W$2:$W$495&gt;=5))*ROW('CONTROL MASTER'!$S$2:$S$495))&gt;0,INDEX('CONTROL MASTER'!$X$2:$X$495,(SUMPRODUCT((('CONTROL MASTER'!$S$2:$S$495=7)*('CONTROL MASTER'!$T$2:$T$495&lt;=3)*('CONTROL MASTER'!$V$2:$V$495&gt;=3)*('CONTROL MASTER'!$U$2:$U$495&lt;=5)*('CONTROL MASTER'!$W$2:$W$495&gt;=5))*ROW('CONTROL MASTER'!$S$2:$S$495))-(ROW('CONTROL MASTER'!#REF!)-1)))&amp;TRIM(MID(SUBSTITUTE(SUBSTITUTE(INDEX('CONTROL MASTER'!$N$2:$N$495,(SUMPRODUCT((('CONTROL MASTER'!$S$2:$S$495=7)*('CONTROL MASTER'!$T$2:$T$495&lt;=3)*('CONTROL MASTER'!$V$2:$V$495&gt;=3)*('CONTROL MASTER'!$U$2:$U$495&lt;=5)*('CONTROL MASTER'!$W$2:$W$495&gt;=5))*ROW('CONTROL MASTER'!$S$2:$S$495))-(ROW('CONTROL MASTER'!#REF!)-1))),":",","),",",REPT(" ",50)),((((3-INDEX('CONTROL MASTER'!$T$2:$T$495,(SUMPRODUCT((('CONTROL MASTER'!$S$2:$S$495=7)*('CONTROL MASTER'!$T$2:$T$495&lt;=3)*('CONTROL MASTER'!$V$2:$V$495&gt;=3)*('CONTROL MASTER'!$U$2:$U$495&lt;=5)*('CONTROL MASTER'!$W$2:$W$495&gt;=5))*ROW('CONTROL MASTER'!$S$2:$S$495))-(ROW('CONTROL MASTER'!#REF!)-1))))*(INDEX('CONTROL MASTER'!$W$2:$W$495,(SUMPRODUCT((('CONTROL MASTER'!$S$2:$S$495=7)*('CONTROL MASTER'!$T$2:$T$495&lt;=3)*('CONTROL MASTER'!$V$2:$V$495&gt;=3)*('CONTROL MASTER'!$U$2:$U$495&lt;=5)*('CONTROL MASTER'!$W$2:$W$495&gt;=5))*ROW('CONTROL MASTER'!$S$2:$S$495))-(ROW('CONTROL MASTER'!#REF!)-1)))-INDEX('CONTROL MASTER'!$U$2:$U$495,(SUMPRODUCT((('CONTROL MASTER'!$S$2:$S$495=7)*('CONTROL MASTER'!$T$2:$T$495&lt;=3)*('CONTROL MASTER'!$V$2:$V$495&gt;=3)*('CONTROL MASTER'!$U$2:$U$495&lt;=5)*('CONTROL MASTER'!$W$2:$W$495&gt;=5))*ROW('CONTROL MASTER'!$S$2:$S$495))-(ROW('CONTROL MASTER'!#REF!)-1)))+1)+(5-INDEX('CONTROL MASTER'!$U$2:$U$495,(SUMPRODUCT((('CONTROL MASTER'!$S$2:$S$495=7)*('CONTROL MASTER'!$T$2:$T$495&lt;=3)*('CONTROL MASTER'!$V$2:$V$495&gt;=3)*('CONTROL MASTER'!$U$2:$U$495&lt;=5)*('CONTROL MASTER'!$W$2:$W$495&gt;=5))*ROW('CONTROL MASTER'!$S$2:$S$495))-(ROW('CONTROL MASTER'!#REF!)-1))))+1))-1)*50+1,50))&amp;"_"&amp;INDEX('CONTROL MASTER'!$P$2:$P$495,(SUMPRODUCT((('CONTROL MASTER'!$S$2:$S$495=7)*('CONTROL MASTER'!$T$2:$T$495&lt;=3)*('CONTROL MASTER'!$V$2:$V$495&gt;=3)*('CONTROL MASTER'!$U$2:$U$495&lt;=5)*('CONTROL MASTER'!$W$2:$W$495&gt;=5))*ROW('CONTROL MASTER'!$S$2:$S$495))-(ROW('CONTROL MASTER'!#REF!)-1))),IF(SUMPRODUCT((('CONTROL MASTER'!$S$2:$S$495=7)*('CONTROL MASTER'!$Z$2:$Z$495&lt;=3)*('CONTROL MASTER'!$AB$2:$AB$495&gt;=3)*('CONTROL MASTER'!$AA$2:$AA$495&lt;=5)*('CONTROL MASTER'!$AC$2:$AC$495&gt;=5))*ROW('CONTROL MASTER'!$S$2:$S$495))&gt;0,INDEX('CONTROL MASTER'!$X$2:$X$495,(SUMPRODUCT((('CONTROL MASTER'!$S$2:$S$495=7)*('CONTROL MASTER'!$Z$2:$Z$495&lt;=3)*('CONTROL MASTER'!$AB$2:$AB$495&gt;=3)*('CONTROL MASTER'!$AA$2:$AA$495&lt;=5)*('CONTROL MASTER'!$AC$2:$AC$495&gt;=5))*ROW('CONTROL MASTER'!$S$2:$S$495))-(ROW('CONTROL MASTER'!#REF!)-1)))&amp;TRIM(MID(SUBSTITUTE(SUBSTITUTE(INDEX('CONTROL MASTER'!$N$2:$N$495,(SUMPRODUCT((('CONTROL MASTER'!$S$2:$S$495=7)*('CONTROL MASTER'!$Z$2:$Z$495&lt;=3)*('CONTROL MASTER'!$AB$2:$AB$495&gt;=3)*('CONTROL MASTER'!$AA$2:$AA$495&lt;=5)*('CONTROL MASTER'!$AC$2:$AC$495&gt;=5))*ROW('CONTROL MASTER'!$S$2:$S$495))-(ROW('CONTROL MASTER'!#REF!)-1))),":",","),",",REPT(" ",50)),(((INDEX('CONTROL MASTER'!$Y$2:$Y$495,(SUMPRODUCT((('CONTROL MASTER'!$S$2:$S$495=7)*('CONTROL MASTER'!$Z$2:$Z$495&lt;=3)*('CONTROL MASTER'!$AB$2:$AB$495&gt;=3)*('CONTROL MASTER'!$AA$2:$AA$495&lt;=5)*('CONTROL MASTER'!$AC$2:$AC$495&gt;=5))*ROW('CONTROL MASTER'!$S$2:$S$495))-(ROW('CONTROL MASTER'!#REF!)-1)))+((3-INDEX('CONTROL MASTER'!$Z$2:$Z$495,(SUMPRODUCT((('CONTROL MASTER'!$S$2:$S$495=7)*('CONTROL MASTER'!$Z$2:$Z$495&lt;=3)*('CONTROL MASTER'!$AB$2:$AB$495&gt;=3)*('CONTROL MASTER'!$AA$2:$AA$495&lt;=5)*('CONTROL MASTER'!$AC$2:$AC$495&gt;=5))*ROW('CONTROL MASTER'!$S$2:$S$495))-(ROW('CONTROL MASTER'!#REF!)-1))))*(INDEX('CONTROL MASTER'!$AC$2:$AC$495,(SUMPRODUCT((('CONTROL MASTER'!$S$2:$S$495=7)*('CONTROL MASTER'!$Z$2:$Z$495&lt;=3)*('CONTROL MASTER'!$AB$2:$AB$495&gt;=3)*('CONTROL MASTER'!$AA$2:$AA$495&lt;=5)*('CONTROL MASTER'!$AC$2:$AC$495&gt;=5))*ROW('CONTROL MASTER'!$S$2:$S$495))-(ROW('CONTROL MASTER'!#REF!)-1)))-INDEX('CONTROL MASTER'!$AA$2:$AA$495,(SUMPRODUCT((('CONTROL MASTER'!$S$2:$S$495=7)*('CONTROL MASTER'!$Z$2:$Z$495&lt;=3)*('CONTROL MASTER'!$AB$2:$AB$495&gt;=3)*('CONTROL MASTER'!$AA$2:$AA$495&lt;=5)*('CONTROL MASTER'!$AC$2:$AC$495&gt;=5))*ROW('CONTROL MASTER'!$S$2:$S$495))-(ROW('CONTROL MASTER'!#REF!)-1)))+1)+(5-INDEX('CONTROL MASTER'!$AA$2:$AA$495,(SUMPRODUCT((('CONTROL MASTER'!$S$2:$S$495=7)*('CONTROL MASTER'!$Z$2:$Z$495&lt;=3)*('CONTROL MASTER'!$AB$2:$AB$495&gt;=3)*('CONTROL MASTER'!$AA$2:$AA$495&lt;=5)*('CONTROL MASTER'!$AC$2:$AC$495&gt;=5))*ROW('CONTROL MASTER'!$S$2:$S$495))-(ROW('CONTROL MASTER'!#REF!)-1))))+1)))-1)*50+1,50))&amp;"_"&amp;INDEX('CONTROL MASTER'!$P$2:$P$495,(SUMPRODUCT((('CONTROL MASTER'!$S$2:$S$495=7)*('CONTROL MASTER'!$Z$2:$Z$495&lt;=3)*('CONTROL MASTER'!$AB$2:$AB$495&gt;=3)*('CONTROL MASTER'!$AA$2:$AA$495&lt;=5)*('CONTROL MASTER'!$AC$2:$AC$495&gt;=5))*ROW('CONTROL MASTER'!$S$2:$S$495))-(ROW('CONTROL MASTER'!#REF!)-1))),"")),"")</f>
        <v/>
      </c>
      <c r="G89" s="10" t="str">
        <f>IFERROR(IF(SUMPRODUCT((('CONTROL MASTER'!$S$2:$S$495=7)*('CONTROL MASTER'!$T$2:$T$495&lt;=3)*('CONTROL MASTER'!$V$2:$V$495&gt;=3)*('CONTROL MASTER'!$U$2:$U$495&lt;=6)*('CONTROL MASTER'!$W$2:$W$495&gt;=6))*ROW('CONTROL MASTER'!$S$2:$S$495))&gt;0,INDEX('CONTROL MASTER'!$X$2:$X$495,(SUMPRODUCT((('CONTROL MASTER'!$S$2:$S$495=7)*('CONTROL MASTER'!$T$2:$T$495&lt;=3)*('CONTROL MASTER'!$V$2:$V$495&gt;=3)*('CONTROL MASTER'!$U$2:$U$495&lt;=6)*('CONTROL MASTER'!$W$2:$W$495&gt;=6))*ROW('CONTROL MASTER'!$S$2:$S$495))-(ROW('CONTROL MASTER'!#REF!)-1)))&amp;TRIM(MID(SUBSTITUTE(SUBSTITUTE(INDEX('CONTROL MASTER'!$N$2:$N$495,(SUMPRODUCT((('CONTROL MASTER'!$S$2:$S$495=7)*('CONTROL MASTER'!$T$2:$T$495&lt;=3)*('CONTROL MASTER'!$V$2:$V$495&gt;=3)*('CONTROL MASTER'!$U$2:$U$495&lt;=6)*('CONTROL MASTER'!$W$2:$W$495&gt;=6))*ROW('CONTROL MASTER'!$S$2:$S$495))-(ROW('CONTROL MASTER'!#REF!)-1))),":",","),",",REPT(" ",50)),((((3-INDEX('CONTROL MASTER'!$T$2:$T$495,(SUMPRODUCT((('CONTROL MASTER'!$S$2:$S$495=7)*('CONTROL MASTER'!$T$2:$T$495&lt;=3)*('CONTROL MASTER'!$V$2:$V$495&gt;=3)*('CONTROL MASTER'!$U$2:$U$495&lt;=6)*('CONTROL MASTER'!$W$2:$W$495&gt;=6))*ROW('CONTROL MASTER'!$S$2:$S$495))-(ROW('CONTROL MASTER'!#REF!)-1))))*(INDEX('CONTROL MASTER'!$W$2:$W$495,(SUMPRODUCT((('CONTROL MASTER'!$S$2:$S$495=7)*('CONTROL MASTER'!$T$2:$T$495&lt;=3)*('CONTROL MASTER'!$V$2:$V$495&gt;=3)*('CONTROL MASTER'!$U$2:$U$495&lt;=6)*('CONTROL MASTER'!$W$2:$W$495&gt;=6))*ROW('CONTROL MASTER'!$S$2:$S$495))-(ROW('CONTROL MASTER'!#REF!)-1)))-INDEX('CONTROL MASTER'!$U$2:$U$495,(SUMPRODUCT((('CONTROL MASTER'!$S$2:$S$495=7)*('CONTROL MASTER'!$T$2:$T$495&lt;=3)*('CONTROL MASTER'!$V$2:$V$495&gt;=3)*('CONTROL MASTER'!$U$2:$U$495&lt;=6)*('CONTROL MASTER'!$W$2:$W$495&gt;=6))*ROW('CONTROL MASTER'!$S$2:$S$495))-(ROW('CONTROL MASTER'!#REF!)-1)))+1)+(6-INDEX('CONTROL MASTER'!$U$2:$U$495,(SUMPRODUCT((('CONTROL MASTER'!$S$2:$S$495=7)*('CONTROL MASTER'!$T$2:$T$495&lt;=3)*('CONTROL MASTER'!$V$2:$V$495&gt;=3)*('CONTROL MASTER'!$U$2:$U$495&lt;=6)*('CONTROL MASTER'!$W$2:$W$495&gt;=6))*ROW('CONTROL MASTER'!$S$2:$S$495))-(ROW('CONTROL MASTER'!#REF!)-1))))+1))-1)*50+1,50))&amp;"_"&amp;INDEX('CONTROL MASTER'!$P$2:$P$495,(SUMPRODUCT((('CONTROL MASTER'!$S$2:$S$495=7)*('CONTROL MASTER'!$T$2:$T$495&lt;=3)*('CONTROL MASTER'!$V$2:$V$495&gt;=3)*('CONTROL MASTER'!$U$2:$U$495&lt;=6)*('CONTROL MASTER'!$W$2:$W$495&gt;=6))*ROW('CONTROL MASTER'!$S$2:$S$495))-(ROW('CONTROL MASTER'!#REF!)-1))),IF(SUMPRODUCT((('CONTROL MASTER'!$S$2:$S$495=7)*('CONTROL MASTER'!$Z$2:$Z$495&lt;=3)*('CONTROL MASTER'!$AB$2:$AB$495&gt;=3)*('CONTROL MASTER'!$AA$2:$AA$495&lt;=6)*('CONTROL MASTER'!$AC$2:$AC$495&gt;=6))*ROW('CONTROL MASTER'!$S$2:$S$495))&gt;0,INDEX('CONTROL MASTER'!$X$2:$X$495,(SUMPRODUCT((('CONTROL MASTER'!$S$2:$S$495=7)*('CONTROL MASTER'!$Z$2:$Z$495&lt;=3)*('CONTROL MASTER'!$AB$2:$AB$495&gt;=3)*('CONTROL MASTER'!$AA$2:$AA$495&lt;=6)*('CONTROL MASTER'!$AC$2:$AC$495&gt;=6))*ROW('CONTROL MASTER'!$S$2:$S$495))-(ROW('CONTROL MASTER'!#REF!)-1)))&amp;TRIM(MID(SUBSTITUTE(SUBSTITUTE(INDEX('CONTROL MASTER'!$N$2:$N$495,(SUMPRODUCT((('CONTROL MASTER'!$S$2:$S$495=7)*('CONTROL MASTER'!$Z$2:$Z$495&lt;=3)*('CONTROL MASTER'!$AB$2:$AB$495&gt;=3)*('CONTROL MASTER'!$AA$2:$AA$495&lt;=6)*('CONTROL MASTER'!$AC$2:$AC$495&gt;=6))*ROW('CONTROL MASTER'!$S$2:$S$495))-(ROW('CONTROL MASTER'!#REF!)-1))),":",","),",",REPT(" ",50)),(((INDEX('CONTROL MASTER'!$Y$2:$Y$495,(SUMPRODUCT((('CONTROL MASTER'!$S$2:$S$495=7)*('CONTROL MASTER'!$Z$2:$Z$495&lt;=3)*('CONTROL MASTER'!$AB$2:$AB$495&gt;=3)*('CONTROL MASTER'!$AA$2:$AA$495&lt;=6)*('CONTROL MASTER'!$AC$2:$AC$495&gt;=6))*ROW('CONTROL MASTER'!$S$2:$S$495))-(ROW('CONTROL MASTER'!#REF!)-1)))+((3-INDEX('CONTROL MASTER'!$Z$2:$Z$495,(SUMPRODUCT((('CONTROL MASTER'!$S$2:$S$495=7)*('CONTROL MASTER'!$Z$2:$Z$495&lt;=3)*('CONTROL MASTER'!$AB$2:$AB$495&gt;=3)*('CONTROL MASTER'!$AA$2:$AA$495&lt;=6)*('CONTROL MASTER'!$AC$2:$AC$495&gt;=6))*ROW('CONTROL MASTER'!$S$2:$S$495))-(ROW('CONTROL MASTER'!#REF!)-1))))*(INDEX('CONTROL MASTER'!$AC$2:$AC$495,(SUMPRODUCT((('CONTROL MASTER'!$S$2:$S$495=7)*('CONTROL MASTER'!$Z$2:$Z$495&lt;=3)*('CONTROL MASTER'!$AB$2:$AB$495&gt;=3)*('CONTROL MASTER'!$AA$2:$AA$495&lt;=6)*('CONTROL MASTER'!$AC$2:$AC$495&gt;=6))*ROW('CONTROL MASTER'!$S$2:$S$495))-(ROW('CONTROL MASTER'!#REF!)-1)))-INDEX('CONTROL MASTER'!$AA$2:$AA$495,(SUMPRODUCT((('CONTROL MASTER'!$S$2:$S$495=7)*('CONTROL MASTER'!$Z$2:$Z$495&lt;=3)*('CONTROL MASTER'!$AB$2:$AB$495&gt;=3)*('CONTROL MASTER'!$AA$2:$AA$495&lt;=6)*('CONTROL MASTER'!$AC$2:$AC$495&gt;=6))*ROW('CONTROL MASTER'!$S$2:$S$495))-(ROW('CONTROL MASTER'!#REF!)-1)))+1)+(6-INDEX('CONTROL MASTER'!$AA$2:$AA$495,(SUMPRODUCT((('CONTROL MASTER'!$S$2:$S$495=7)*('CONTROL MASTER'!$Z$2:$Z$495&lt;=3)*('CONTROL MASTER'!$AB$2:$AB$495&gt;=3)*('CONTROL MASTER'!$AA$2:$AA$495&lt;=6)*('CONTROL MASTER'!$AC$2:$AC$495&gt;=6))*ROW('CONTROL MASTER'!$S$2:$S$495))-(ROW('CONTROL MASTER'!#REF!)-1))))+1)))-1)*50+1,50))&amp;"_"&amp;INDEX('CONTROL MASTER'!$P$2:$P$495,(SUMPRODUCT((('CONTROL MASTER'!$S$2:$S$495=7)*('CONTROL MASTER'!$Z$2:$Z$495&lt;=3)*('CONTROL MASTER'!$AB$2:$AB$495&gt;=3)*('CONTROL MASTER'!$AA$2:$AA$495&lt;=6)*('CONTROL MASTER'!$AC$2:$AC$495&gt;=6))*ROW('CONTROL MASTER'!$S$2:$S$495))-(ROW('CONTROL MASTER'!#REF!)-1))),"")),"")</f>
        <v/>
      </c>
      <c r="H89" s="10" t="str">
        <f>IFERROR(IF(SUMPRODUCT((('CONTROL MASTER'!$S$2:$S$495=7)*('CONTROL MASTER'!$T$2:$T$495&lt;=3)*('CONTROL MASTER'!$V$2:$V$495&gt;=3)*('CONTROL MASTER'!$U$2:$U$495&lt;=7)*('CONTROL MASTER'!$W$2:$W$495&gt;=7))*ROW('CONTROL MASTER'!$S$2:$S$495))&gt;0,INDEX('CONTROL MASTER'!$X$2:$X$495,(SUMPRODUCT((('CONTROL MASTER'!$S$2:$S$495=7)*('CONTROL MASTER'!$T$2:$T$495&lt;=3)*('CONTROL MASTER'!$V$2:$V$495&gt;=3)*('CONTROL MASTER'!$U$2:$U$495&lt;=7)*('CONTROL MASTER'!$W$2:$W$495&gt;=7))*ROW('CONTROL MASTER'!$S$2:$S$495))-(ROW('CONTROL MASTER'!#REF!)-1)))&amp;TRIM(MID(SUBSTITUTE(SUBSTITUTE(INDEX('CONTROL MASTER'!$N$2:$N$495,(SUMPRODUCT((('CONTROL MASTER'!$S$2:$S$495=7)*('CONTROL MASTER'!$T$2:$T$495&lt;=3)*('CONTROL MASTER'!$V$2:$V$495&gt;=3)*('CONTROL MASTER'!$U$2:$U$495&lt;=7)*('CONTROL MASTER'!$W$2:$W$495&gt;=7))*ROW('CONTROL MASTER'!$S$2:$S$495))-(ROW('CONTROL MASTER'!#REF!)-1))),":",","),",",REPT(" ",50)),((((3-INDEX('CONTROL MASTER'!$T$2:$T$495,(SUMPRODUCT((('CONTROL MASTER'!$S$2:$S$495=7)*('CONTROL MASTER'!$T$2:$T$495&lt;=3)*('CONTROL MASTER'!$V$2:$V$495&gt;=3)*('CONTROL MASTER'!$U$2:$U$495&lt;=7)*('CONTROL MASTER'!$W$2:$W$495&gt;=7))*ROW('CONTROL MASTER'!$S$2:$S$495))-(ROW('CONTROL MASTER'!#REF!)-1))))*(INDEX('CONTROL MASTER'!$W$2:$W$495,(SUMPRODUCT((('CONTROL MASTER'!$S$2:$S$495=7)*('CONTROL MASTER'!$T$2:$T$495&lt;=3)*('CONTROL MASTER'!$V$2:$V$495&gt;=3)*('CONTROL MASTER'!$U$2:$U$495&lt;=7)*('CONTROL MASTER'!$W$2:$W$495&gt;=7))*ROW('CONTROL MASTER'!$S$2:$S$495))-(ROW('CONTROL MASTER'!#REF!)-1)))-INDEX('CONTROL MASTER'!$U$2:$U$495,(SUMPRODUCT((('CONTROL MASTER'!$S$2:$S$495=7)*('CONTROL MASTER'!$T$2:$T$495&lt;=3)*('CONTROL MASTER'!$V$2:$V$495&gt;=3)*('CONTROL MASTER'!$U$2:$U$495&lt;=7)*('CONTROL MASTER'!$W$2:$W$495&gt;=7))*ROW('CONTROL MASTER'!$S$2:$S$495))-(ROW('CONTROL MASTER'!#REF!)-1)))+1)+(7-INDEX('CONTROL MASTER'!$U$2:$U$495,(SUMPRODUCT((('CONTROL MASTER'!$S$2:$S$495=7)*('CONTROL MASTER'!$T$2:$T$495&lt;=3)*('CONTROL MASTER'!$V$2:$V$495&gt;=3)*('CONTROL MASTER'!$U$2:$U$495&lt;=7)*('CONTROL MASTER'!$W$2:$W$495&gt;=7))*ROW('CONTROL MASTER'!$S$2:$S$495))-(ROW('CONTROL MASTER'!#REF!)-1))))+1))-1)*50+1,50))&amp;"_"&amp;INDEX('CONTROL MASTER'!$P$2:$P$495,(SUMPRODUCT((('CONTROL MASTER'!$S$2:$S$495=7)*('CONTROL MASTER'!$T$2:$T$495&lt;=3)*('CONTROL MASTER'!$V$2:$V$495&gt;=3)*('CONTROL MASTER'!$U$2:$U$495&lt;=7)*('CONTROL MASTER'!$W$2:$W$495&gt;=7))*ROW('CONTROL MASTER'!$S$2:$S$495))-(ROW('CONTROL MASTER'!#REF!)-1))),IF(SUMPRODUCT((('CONTROL MASTER'!$S$2:$S$495=7)*('CONTROL MASTER'!$Z$2:$Z$495&lt;=3)*('CONTROL MASTER'!$AB$2:$AB$495&gt;=3)*('CONTROL MASTER'!$AA$2:$AA$495&lt;=7)*('CONTROL MASTER'!$AC$2:$AC$495&gt;=7))*ROW('CONTROL MASTER'!$S$2:$S$495))&gt;0,INDEX('CONTROL MASTER'!$X$2:$X$495,(SUMPRODUCT((('CONTROL MASTER'!$S$2:$S$495=7)*('CONTROL MASTER'!$Z$2:$Z$495&lt;=3)*('CONTROL MASTER'!$AB$2:$AB$495&gt;=3)*('CONTROL MASTER'!$AA$2:$AA$495&lt;=7)*('CONTROL MASTER'!$AC$2:$AC$495&gt;=7))*ROW('CONTROL MASTER'!$S$2:$S$495))-(ROW('CONTROL MASTER'!#REF!)-1)))&amp;TRIM(MID(SUBSTITUTE(SUBSTITUTE(INDEX('CONTROL MASTER'!$N$2:$N$495,(SUMPRODUCT((('CONTROL MASTER'!$S$2:$S$495=7)*('CONTROL MASTER'!$Z$2:$Z$495&lt;=3)*('CONTROL MASTER'!$AB$2:$AB$495&gt;=3)*('CONTROL MASTER'!$AA$2:$AA$495&lt;=7)*('CONTROL MASTER'!$AC$2:$AC$495&gt;=7))*ROW('CONTROL MASTER'!$S$2:$S$495))-(ROW('CONTROL MASTER'!#REF!)-1))),":",","),",",REPT(" ",50)),(((INDEX('CONTROL MASTER'!$Y$2:$Y$495,(SUMPRODUCT((('CONTROL MASTER'!$S$2:$S$495=7)*('CONTROL MASTER'!$Z$2:$Z$495&lt;=3)*('CONTROL MASTER'!$AB$2:$AB$495&gt;=3)*('CONTROL MASTER'!$AA$2:$AA$495&lt;=7)*('CONTROL MASTER'!$AC$2:$AC$495&gt;=7))*ROW('CONTROL MASTER'!$S$2:$S$495))-(ROW('CONTROL MASTER'!#REF!)-1)))+((3-INDEX('CONTROL MASTER'!$Z$2:$Z$495,(SUMPRODUCT((('CONTROL MASTER'!$S$2:$S$495=7)*('CONTROL MASTER'!$Z$2:$Z$495&lt;=3)*('CONTROL MASTER'!$AB$2:$AB$495&gt;=3)*('CONTROL MASTER'!$AA$2:$AA$495&lt;=7)*('CONTROL MASTER'!$AC$2:$AC$495&gt;=7))*ROW('CONTROL MASTER'!$S$2:$S$495))-(ROW('CONTROL MASTER'!#REF!)-1))))*(INDEX('CONTROL MASTER'!$AC$2:$AC$495,(SUMPRODUCT((('CONTROL MASTER'!$S$2:$S$495=7)*('CONTROL MASTER'!$Z$2:$Z$495&lt;=3)*('CONTROL MASTER'!$AB$2:$AB$495&gt;=3)*('CONTROL MASTER'!$AA$2:$AA$495&lt;=7)*('CONTROL MASTER'!$AC$2:$AC$495&gt;=7))*ROW('CONTROL MASTER'!$S$2:$S$495))-(ROW('CONTROL MASTER'!#REF!)-1)))-INDEX('CONTROL MASTER'!$AA$2:$AA$495,(SUMPRODUCT((('CONTROL MASTER'!$S$2:$S$495=7)*('CONTROL MASTER'!$Z$2:$Z$495&lt;=3)*('CONTROL MASTER'!$AB$2:$AB$495&gt;=3)*('CONTROL MASTER'!$AA$2:$AA$495&lt;=7)*('CONTROL MASTER'!$AC$2:$AC$495&gt;=7))*ROW('CONTROL MASTER'!$S$2:$S$495))-(ROW('CONTROL MASTER'!#REF!)-1)))+1)+(7-INDEX('CONTROL MASTER'!$AA$2:$AA$495,(SUMPRODUCT((('CONTROL MASTER'!$S$2:$S$495=7)*('CONTROL MASTER'!$Z$2:$Z$495&lt;=3)*('CONTROL MASTER'!$AB$2:$AB$495&gt;=3)*('CONTROL MASTER'!$AA$2:$AA$495&lt;=7)*('CONTROL MASTER'!$AC$2:$AC$495&gt;=7))*ROW('CONTROL MASTER'!$S$2:$S$495))-(ROW('CONTROL MASTER'!#REF!)-1))))+1)))-1)*50+1,50))&amp;"_"&amp;INDEX('CONTROL MASTER'!$P$2:$P$495,(SUMPRODUCT((('CONTROL MASTER'!$S$2:$S$495=7)*('CONTROL MASTER'!$Z$2:$Z$495&lt;=3)*('CONTROL MASTER'!$AB$2:$AB$495&gt;=3)*('CONTROL MASTER'!$AA$2:$AA$495&lt;=7)*('CONTROL MASTER'!$AC$2:$AC$495&gt;=7))*ROW('CONTROL MASTER'!$S$2:$S$495))-(ROW('CONTROL MASTER'!#REF!)-1))),"")),"")</f>
        <v/>
      </c>
      <c r="I89" s="10" t="str">
        <f>IFERROR(IF(SUMPRODUCT((('CONTROL MASTER'!$S$2:$S$495=7)*('CONTROL MASTER'!$T$2:$T$495&lt;=3)*('CONTROL MASTER'!$V$2:$V$495&gt;=3)*('CONTROL MASTER'!$U$2:$U$495&lt;=8)*('CONTROL MASTER'!$W$2:$W$495&gt;=8))*ROW('CONTROL MASTER'!$S$2:$S$495))&gt;0,INDEX('CONTROL MASTER'!$X$2:$X$495,(SUMPRODUCT((('CONTROL MASTER'!$S$2:$S$495=7)*('CONTROL MASTER'!$T$2:$T$495&lt;=3)*('CONTROL MASTER'!$V$2:$V$495&gt;=3)*('CONTROL MASTER'!$U$2:$U$495&lt;=8)*('CONTROL MASTER'!$W$2:$W$495&gt;=8))*ROW('CONTROL MASTER'!$S$2:$S$495))-(ROW('CONTROL MASTER'!#REF!)-1)))&amp;TRIM(MID(SUBSTITUTE(SUBSTITUTE(INDEX('CONTROL MASTER'!$N$2:$N$495,(SUMPRODUCT((('CONTROL MASTER'!$S$2:$S$495=7)*('CONTROL MASTER'!$T$2:$T$495&lt;=3)*('CONTROL MASTER'!$V$2:$V$495&gt;=3)*('CONTROL MASTER'!$U$2:$U$495&lt;=8)*('CONTROL MASTER'!$W$2:$W$495&gt;=8))*ROW('CONTROL MASTER'!$S$2:$S$495))-(ROW('CONTROL MASTER'!#REF!)-1))),":",","),",",REPT(" ",50)),((((3-INDEX('CONTROL MASTER'!$T$2:$T$495,(SUMPRODUCT((('CONTROL MASTER'!$S$2:$S$495=7)*('CONTROL MASTER'!$T$2:$T$495&lt;=3)*('CONTROL MASTER'!$V$2:$V$495&gt;=3)*('CONTROL MASTER'!$U$2:$U$495&lt;=8)*('CONTROL MASTER'!$W$2:$W$495&gt;=8))*ROW('CONTROL MASTER'!$S$2:$S$495))-(ROW('CONTROL MASTER'!#REF!)-1))))*(INDEX('CONTROL MASTER'!$W$2:$W$495,(SUMPRODUCT((('CONTROL MASTER'!$S$2:$S$495=7)*('CONTROL MASTER'!$T$2:$T$495&lt;=3)*('CONTROL MASTER'!$V$2:$V$495&gt;=3)*('CONTROL MASTER'!$U$2:$U$495&lt;=8)*('CONTROL MASTER'!$W$2:$W$495&gt;=8))*ROW('CONTROL MASTER'!$S$2:$S$495))-(ROW('CONTROL MASTER'!#REF!)-1)))-INDEX('CONTROL MASTER'!$U$2:$U$495,(SUMPRODUCT((('CONTROL MASTER'!$S$2:$S$495=7)*('CONTROL MASTER'!$T$2:$T$495&lt;=3)*('CONTROL MASTER'!$V$2:$V$495&gt;=3)*('CONTROL MASTER'!$U$2:$U$495&lt;=8)*('CONTROL MASTER'!$W$2:$W$495&gt;=8))*ROW('CONTROL MASTER'!$S$2:$S$495))-(ROW('CONTROL MASTER'!#REF!)-1)))+1)+(8-INDEX('CONTROL MASTER'!$U$2:$U$495,(SUMPRODUCT((('CONTROL MASTER'!$S$2:$S$495=7)*('CONTROL MASTER'!$T$2:$T$495&lt;=3)*('CONTROL MASTER'!$V$2:$V$495&gt;=3)*('CONTROL MASTER'!$U$2:$U$495&lt;=8)*('CONTROL MASTER'!$W$2:$W$495&gt;=8))*ROW('CONTROL MASTER'!$S$2:$S$495))-(ROW('CONTROL MASTER'!#REF!)-1))))+1))-1)*50+1,50))&amp;"_"&amp;INDEX('CONTROL MASTER'!$P$2:$P$495,(SUMPRODUCT((('CONTROL MASTER'!$S$2:$S$495=7)*('CONTROL MASTER'!$T$2:$T$495&lt;=3)*('CONTROL MASTER'!$V$2:$V$495&gt;=3)*('CONTROL MASTER'!$U$2:$U$495&lt;=8)*('CONTROL MASTER'!$W$2:$W$495&gt;=8))*ROW('CONTROL MASTER'!$S$2:$S$495))-(ROW('CONTROL MASTER'!#REF!)-1))),IF(SUMPRODUCT((('CONTROL MASTER'!$S$2:$S$495=7)*('CONTROL MASTER'!$Z$2:$Z$495&lt;=3)*('CONTROL MASTER'!$AB$2:$AB$495&gt;=3)*('CONTROL MASTER'!$AA$2:$AA$495&lt;=8)*('CONTROL MASTER'!$AC$2:$AC$495&gt;=8))*ROW('CONTROL MASTER'!$S$2:$S$495))&gt;0,INDEX('CONTROL MASTER'!$X$2:$X$495,(SUMPRODUCT((('CONTROL MASTER'!$S$2:$S$495=7)*('CONTROL MASTER'!$Z$2:$Z$495&lt;=3)*('CONTROL MASTER'!$AB$2:$AB$495&gt;=3)*('CONTROL MASTER'!$AA$2:$AA$495&lt;=8)*('CONTROL MASTER'!$AC$2:$AC$495&gt;=8))*ROW('CONTROL MASTER'!$S$2:$S$495))-(ROW('CONTROL MASTER'!#REF!)-1)))&amp;TRIM(MID(SUBSTITUTE(SUBSTITUTE(INDEX('CONTROL MASTER'!$N$2:$N$495,(SUMPRODUCT((('CONTROL MASTER'!$S$2:$S$495=7)*('CONTROL MASTER'!$Z$2:$Z$495&lt;=3)*('CONTROL MASTER'!$AB$2:$AB$495&gt;=3)*('CONTROL MASTER'!$AA$2:$AA$495&lt;=8)*('CONTROL MASTER'!$AC$2:$AC$495&gt;=8))*ROW('CONTROL MASTER'!$S$2:$S$495))-(ROW('CONTROL MASTER'!#REF!)-1))),":",","),",",REPT(" ",50)),(((INDEX('CONTROL MASTER'!$Y$2:$Y$495,(SUMPRODUCT((('CONTROL MASTER'!$S$2:$S$495=7)*('CONTROL MASTER'!$Z$2:$Z$495&lt;=3)*('CONTROL MASTER'!$AB$2:$AB$495&gt;=3)*('CONTROL MASTER'!$AA$2:$AA$495&lt;=8)*('CONTROL MASTER'!$AC$2:$AC$495&gt;=8))*ROW('CONTROL MASTER'!$S$2:$S$495))-(ROW('CONTROL MASTER'!#REF!)-1)))+((3-INDEX('CONTROL MASTER'!$Z$2:$Z$495,(SUMPRODUCT((('CONTROL MASTER'!$S$2:$S$495=7)*('CONTROL MASTER'!$Z$2:$Z$495&lt;=3)*('CONTROL MASTER'!$AB$2:$AB$495&gt;=3)*('CONTROL MASTER'!$AA$2:$AA$495&lt;=8)*('CONTROL MASTER'!$AC$2:$AC$495&gt;=8))*ROW('CONTROL MASTER'!$S$2:$S$495))-(ROW('CONTROL MASTER'!#REF!)-1))))*(INDEX('CONTROL MASTER'!$AC$2:$AC$495,(SUMPRODUCT((('CONTROL MASTER'!$S$2:$S$495=7)*('CONTROL MASTER'!$Z$2:$Z$495&lt;=3)*('CONTROL MASTER'!$AB$2:$AB$495&gt;=3)*('CONTROL MASTER'!$AA$2:$AA$495&lt;=8)*('CONTROL MASTER'!$AC$2:$AC$495&gt;=8))*ROW('CONTROL MASTER'!$S$2:$S$495))-(ROW('CONTROL MASTER'!#REF!)-1)))-INDEX('CONTROL MASTER'!$AA$2:$AA$495,(SUMPRODUCT((('CONTROL MASTER'!$S$2:$S$495=7)*('CONTROL MASTER'!$Z$2:$Z$495&lt;=3)*('CONTROL MASTER'!$AB$2:$AB$495&gt;=3)*('CONTROL MASTER'!$AA$2:$AA$495&lt;=8)*('CONTROL MASTER'!$AC$2:$AC$495&gt;=8))*ROW('CONTROL MASTER'!$S$2:$S$495))-(ROW('CONTROL MASTER'!#REF!)-1)))+1)+(8-INDEX('CONTROL MASTER'!$AA$2:$AA$495,(SUMPRODUCT((('CONTROL MASTER'!$S$2:$S$495=7)*('CONTROL MASTER'!$Z$2:$Z$495&lt;=3)*('CONTROL MASTER'!$AB$2:$AB$495&gt;=3)*('CONTROL MASTER'!$AA$2:$AA$495&lt;=8)*('CONTROL MASTER'!$AC$2:$AC$495&gt;=8))*ROW('CONTROL MASTER'!$S$2:$S$495))-(ROW('CONTROL MASTER'!#REF!)-1))))+1)))-1)*50+1,50))&amp;"_"&amp;INDEX('CONTROL MASTER'!$P$2:$P$495,(SUMPRODUCT((('CONTROL MASTER'!$S$2:$S$495=7)*('CONTROL MASTER'!$Z$2:$Z$495&lt;=3)*('CONTROL MASTER'!$AB$2:$AB$495&gt;=3)*('CONTROL MASTER'!$AA$2:$AA$495&lt;=8)*('CONTROL MASTER'!$AC$2:$AC$495&gt;=8))*ROW('CONTROL MASTER'!$S$2:$S$495))-(ROW('CONTROL MASTER'!#REF!)-1))),"")),"")</f>
        <v/>
      </c>
      <c r="J89" s="10" t="str">
        <f>IFERROR(IF(SUMPRODUCT((('CONTROL MASTER'!$S$2:$S$495=7)*('CONTROL MASTER'!$T$2:$T$495&lt;=3)*('CONTROL MASTER'!$V$2:$V$495&gt;=3)*('CONTROL MASTER'!$U$2:$U$495&lt;=9)*('CONTROL MASTER'!$W$2:$W$495&gt;=9))*ROW('CONTROL MASTER'!$S$2:$S$495))&gt;0,INDEX('CONTROL MASTER'!$X$2:$X$495,(SUMPRODUCT((('CONTROL MASTER'!$S$2:$S$495=7)*('CONTROL MASTER'!$T$2:$T$495&lt;=3)*('CONTROL MASTER'!$V$2:$V$495&gt;=3)*('CONTROL MASTER'!$U$2:$U$495&lt;=9)*('CONTROL MASTER'!$W$2:$W$495&gt;=9))*ROW('CONTROL MASTER'!$S$2:$S$495))-(ROW('CONTROL MASTER'!#REF!)-1)))&amp;TRIM(MID(SUBSTITUTE(SUBSTITUTE(INDEX('CONTROL MASTER'!$N$2:$N$495,(SUMPRODUCT((('CONTROL MASTER'!$S$2:$S$495=7)*('CONTROL MASTER'!$T$2:$T$495&lt;=3)*('CONTROL MASTER'!$V$2:$V$495&gt;=3)*('CONTROL MASTER'!$U$2:$U$495&lt;=9)*('CONTROL MASTER'!$W$2:$W$495&gt;=9))*ROW('CONTROL MASTER'!$S$2:$S$495))-(ROW('CONTROL MASTER'!#REF!)-1))),":",","),",",REPT(" ",50)),((((3-INDEX('CONTROL MASTER'!$T$2:$T$495,(SUMPRODUCT((('CONTROL MASTER'!$S$2:$S$495=7)*('CONTROL MASTER'!$T$2:$T$495&lt;=3)*('CONTROL MASTER'!$V$2:$V$495&gt;=3)*('CONTROL MASTER'!$U$2:$U$495&lt;=9)*('CONTROL MASTER'!$W$2:$W$495&gt;=9))*ROW('CONTROL MASTER'!$S$2:$S$495))-(ROW('CONTROL MASTER'!#REF!)-1))))*(INDEX('CONTROL MASTER'!$W$2:$W$495,(SUMPRODUCT((('CONTROL MASTER'!$S$2:$S$495=7)*('CONTROL MASTER'!$T$2:$T$495&lt;=3)*('CONTROL MASTER'!$V$2:$V$495&gt;=3)*('CONTROL MASTER'!$U$2:$U$495&lt;=9)*('CONTROL MASTER'!$W$2:$W$495&gt;=9))*ROW('CONTROL MASTER'!$S$2:$S$495))-(ROW('CONTROL MASTER'!#REF!)-1)))-INDEX('CONTROL MASTER'!$U$2:$U$495,(SUMPRODUCT((('CONTROL MASTER'!$S$2:$S$495=7)*('CONTROL MASTER'!$T$2:$T$495&lt;=3)*('CONTROL MASTER'!$V$2:$V$495&gt;=3)*('CONTROL MASTER'!$U$2:$U$495&lt;=9)*('CONTROL MASTER'!$W$2:$W$495&gt;=9))*ROW('CONTROL MASTER'!$S$2:$S$495))-(ROW('CONTROL MASTER'!#REF!)-1)))+1)+(9-INDEX('CONTROL MASTER'!$U$2:$U$495,(SUMPRODUCT((('CONTROL MASTER'!$S$2:$S$495=7)*('CONTROL MASTER'!$T$2:$T$495&lt;=3)*('CONTROL MASTER'!$V$2:$V$495&gt;=3)*('CONTROL MASTER'!$U$2:$U$495&lt;=9)*('CONTROL MASTER'!$W$2:$W$495&gt;=9))*ROW('CONTROL MASTER'!$S$2:$S$495))-(ROW('CONTROL MASTER'!#REF!)-1))))+1))-1)*50+1,50))&amp;"_"&amp;INDEX('CONTROL MASTER'!$P$2:$P$495,(SUMPRODUCT((('CONTROL MASTER'!$S$2:$S$495=7)*('CONTROL MASTER'!$T$2:$T$495&lt;=3)*('CONTROL MASTER'!$V$2:$V$495&gt;=3)*('CONTROL MASTER'!$U$2:$U$495&lt;=9)*('CONTROL MASTER'!$W$2:$W$495&gt;=9))*ROW('CONTROL MASTER'!$S$2:$S$495))-(ROW('CONTROL MASTER'!#REF!)-1))),IF(SUMPRODUCT((('CONTROL MASTER'!$S$2:$S$495=7)*('CONTROL MASTER'!$Z$2:$Z$495&lt;=3)*('CONTROL MASTER'!$AB$2:$AB$495&gt;=3)*('CONTROL MASTER'!$AA$2:$AA$495&lt;=9)*('CONTROL MASTER'!$AC$2:$AC$495&gt;=9))*ROW('CONTROL MASTER'!$S$2:$S$495))&gt;0,INDEX('CONTROL MASTER'!$X$2:$X$495,(SUMPRODUCT((('CONTROL MASTER'!$S$2:$S$495=7)*('CONTROL MASTER'!$Z$2:$Z$495&lt;=3)*('CONTROL MASTER'!$AB$2:$AB$495&gt;=3)*('CONTROL MASTER'!$AA$2:$AA$495&lt;=9)*('CONTROL MASTER'!$AC$2:$AC$495&gt;=9))*ROW('CONTROL MASTER'!$S$2:$S$495))-(ROW('CONTROL MASTER'!#REF!)-1)))&amp;TRIM(MID(SUBSTITUTE(SUBSTITUTE(INDEX('CONTROL MASTER'!$N$2:$N$495,(SUMPRODUCT((('CONTROL MASTER'!$S$2:$S$495=7)*('CONTROL MASTER'!$Z$2:$Z$495&lt;=3)*('CONTROL MASTER'!$AB$2:$AB$495&gt;=3)*('CONTROL MASTER'!$AA$2:$AA$495&lt;=9)*('CONTROL MASTER'!$AC$2:$AC$495&gt;=9))*ROW('CONTROL MASTER'!$S$2:$S$495))-(ROW('CONTROL MASTER'!#REF!)-1))),":",","),",",REPT(" ",50)),(((INDEX('CONTROL MASTER'!$Y$2:$Y$495,(SUMPRODUCT((('CONTROL MASTER'!$S$2:$S$495=7)*('CONTROL MASTER'!$Z$2:$Z$495&lt;=3)*('CONTROL MASTER'!$AB$2:$AB$495&gt;=3)*('CONTROL MASTER'!$AA$2:$AA$495&lt;=9)*('CONTROL MASTER'!$AC$2:$AC$495&gt;=9))*ROW('CONTROL MASTER'!$S$2:$S$495))-(ROW('CONTROL MASTER'!#REF!)-1)))+((3-INDEX('CONTROL MASTER'!$Z$2:$Z$495,(SUMPRODUCT((('CONTROL MASTER'!$S$2:$S$495=7)*('CONTROL MASTER'!$Z$2:$Z$495&lt;=3)*('CONTROL MASTER'!$AB$2:$AB$495&gt;=3)*('CONTROL MASTER'!$AA$2:$AA$495&lt;=9)*('CONTROL MASTER'!$AC$2:$AC$495&gt;=9))*ROW('CONTROL MASTER'!$S$2:$S$495))-(ROW('CONTROL MASTER'!#REF!)-1))))*(INDEX('CONTROL MASTER'!$AC$2:$AC$495,(SUMPRODUCT((('CONTROL MASTER'!$S$2:$S$495=7)*('CONTROL MASTER'!$Z$2:$Z$495&lt;=3)*('CONTROL MASTER'!$AB$2:$AB$495&gt;=3)*('CONTROL MASTER'!$AA$2:$AA$495&lt;=9)*('CONTROL MASTER'!$AC$2:$AC$495&gt;=9))*ROW('CONTROL MASTER'!$S$2:$S$495))-(ROW('CONTROL MASTER'!#REF!)-1)))-INDEX('CONTROL MASTER'!$AA$2:$AA$495,(SUMPRODUCT((('CONTROL MASTER'!$S$2:$S$495=7)*('CONTROL MASTER'!$Z$2:$Z$495&lt;=3)*('CONTROL MASTER'!$AB$2:$AB$495&gt;=3)*('CONTROL MASTER'!$AA$2:$AA$495&lt;=9)*('CONTROL MASTER'!$AC$2:$AC$495&gt;=9))*ROW('CONTROL MASTER'!$S$2:$S$495))-(ROW('CONTROL MASTER'!#REF!)-1)))+1)+(9-INDEX('CONTROL MASTER'!$AA$2:$AA$495,(SUMPRODUCT((('CONTROL MASTER'!$S$2:$S$495=7)*('CONTROL MASTER'!$Z$2:$Z$495&lt;=3)*('CONTROL MASTER'!$AB$2:$AB$495&gt;=3)*('CONTROL MASTER'!$AA$2:$AA$495&lt;=9)*('CONTROL MASTER'!$AC$2:$AC$495&gt;=9))*ROW('CONTROL MASTER'!$S$2:$S$495))-(ROW('CONTROL MASTER'!#REF!)-1))))+1)))-1)*50+1,50))&amp;"_"&amp;INDEX('CONTROL MASTER'!$P$2:$P$495,(SUMPRODUCT((('CONTROL MASTER'!$S$2:$S$495=7)*('CONTROL MASTER'!$Z$2:$Z$495&lt;=3)*('CONTROL MASTER'!$AB$2:$AB$495&gt;=3)*('CONTROL MASTER'!$AA$2:$AA$495&lt;=9)*('CONTROL MASTER'!$AC$2:$AC$495&gt;=9))*ROW('CONTROL MASTER'!$S$2:$S$495))-(ROW('CONTROL MASTER'!#REF!)-1))),"")),"")</f>
        <v/>
      </c>
      <c r="K89" s="10" t="str">
        <f>IFERROR(IF(SUMPRODUCT((('CONTROL MASTER'!$S$2:$S$495=7)*('CONTROL MASTER'!$T$2:$T$495&lt;=3)*('CONTROL MASTER'!$V$2:$V$495&gt;=3)*('CONTROL MASTER'!$U$2:$U$495&lt;=10)*('CONTROL MASTER'!$W$2:$W$495&gt;=10))*ROW('CONTROL MASTER'!$S$2:$S$495))&gt;0,INDEX('CONTROL MASTER'!$X$2:$X$495,(SUMPRODUCT((('CONTROL MASTER'!$S$2:$S$495=7)*('CONTROL MASTER'!$T$2:$T$495&lt;=3)*('CONTROL MASTER'!$V$2:$V$495&gt;=3)*('CONTROL MASTER'!$U$2:$U$495&lt;=10)*('CONTROL MASTER'!$W$2:$W$495&gt;=10))*ROW('CONTROL MASTER'!$S$2:$S$495))-(ROW('CONTROL MASTER'!#REF!)-1)))&amp;TRIM(MID(SUBSTITUTE(SUBSTITUTE(INDEX('CONTROL MASTER'!$N$2:$N$495,(SUMPRODUCT((('CONTROL MASTER'!$S$2:$S$495=7)*('CONTROL MASTER'!$T$2:$T$495&lt;=3)*('CONTROL MASTER'!$V$2:$V$495&gt;=3)*('CONTROL MASTER'!$U$2:$U$495&lt;=10)*('CONTROL MASTER'!$W$2:$W$495&gt;=10))*ROW('CONTROL MASTER'!$S$2:$S$495))-(ROW('CONTROL MASTER'!#REF!)-1))),":",","),",",REPT(" ",50)),((((3-INDEX('CONTROL MASTER'!$T$2:$T$495,(SUMPRODUCT((('CONTROL MASTER'!$S$2:$S$495=7)*('CONTROL MASTER'!$T$2:$T$495&lt;=3)*('CONTROL MASTER'!$V$2:$V$495&gt;=3)*('CONTROL MASTER'!$U$2:$U$495&lt;=10)*('CONTROL MASTER'!$W$2:$W$495&gt;=10))*ROW('CONTROL MASTER'!$S$2:$S$495))-(ROW('CONTROL MASTER'!#REF!)-1))))*(INDEX('CONTROL MASTER'!$W$2:$W$495,(SUMPRODUCT((('CONTROL MASTER'!$S$2:$S$495=7)*('CONTROL MASTER'!$T$2:$T$495&lt;=3)*('CONTROL MASTER'!$V$2:$V$495&gt;=3)*('CONTROL MASTER'!$U$2:$U$495&lt;=10)*('CONTROL MASTER'!$W$2:$W$495&gt;=10))*ROW('CONTROL MASTER'!$S$2:$S$495))-(ROW('CONTROL MASTER'!#REF!)-1)))-INDEX('CONTROL MASTER'!$U$2:$U$495,(SUMPRODUCT((('CONTROL MASTER'!$S$2:$S$495=7)*('CONTROL MASTER'!$T$2:$T$495&lt;=3)*('CONTROL MASTER'!$V$2:$V$495&gt;=3)*('CONTROL MASTER'!$U$2:$U$495&lt;=10)*('CONTROL MASTER'!$W$2:$W$495&gt;=10))*ROW('CONTROL MASTER'!$S$2:$S$495))-(ROW('CONTROL MASTER'!#REF!)-1)))+1)+(10-INDEX('CONTROL MASTER'!$U$2:$U$495,(SUMPRODUCT((('CONTROL MASTER'!$S$2:$S$495=7)*('CONTROL MASTER'!$T$2:$T$495&lt;=3)*('CONTROL MASTER'!$V$2:$V$495&gt;=3)*('CONTROL MASTER'!$U$2:$U$495&lt;=10)*('CONTROL MASTER'!$W$2:$W$495&gt;=10))*ROW('CONTROL MASTER'!$S$2:$S$495))-(ROW('CONTROL MASTER'!#REF!)-1))))+1))-1)*50+1,50))&amp;"_"&amp;INDEX('CONTROL MASTER'!$P$2:$P$495,(SUMPRODUCT((('CONTROL MASTER'!$S$2:$S$495=7)*('CONTROL MASTER'!$T$2:$T$495&lt;=3)*('CONTROL MASTER'!$V$2:$V$495&gt;=3)*('CONTROL MASTER'!$U$2:$U$495&lt;=10)*('CONTROL MASTER'!$W$2:$W$495&gt;=10))*ROW('CONTROL MASTER'!$S$2:$S$495))-(ROW('CONTROL MASTER'!#REF!)-1))),IF(SUMPRODUCT((('CONTROL MASTER'!$S$2:$S$495=7)*('CONTROL MASTER'!$Z$2:$Z$495&lt;=3)*('CONTROL MASTER'!$AB$2:$AB$495&gt;=3)*('CONTROL MASTER'!$AA$2:$AA$495&lt;=10)*('CONTROL MASTER'!$AC$2:$AC$495&gt;=10))*ROW('CONTROL MASTER'!$S$2:$S$495))&gt;0,INDEX('CONTROL MASTER'!$X$2:$X$495,(SUMPRODUCT((('CONTROL MASTER'!$S$2:$S$495=7)*('CONTROL MASTER'!$Z$2:$Z$495&lt;=3)*('CONTROL MASTER'!$AB$2:$AB$495&gt;=3)*('CONTROL MASTER'!$AA$2:$AA$495&lt;=10)*('CONTROL MASTER'!$AC$2:$AC$495&gt;=10))*ROW('CONTROL MASTER'!$S$2:$S$495))-(ROW('CONTROL MASTER'!#REF!)-1)))&amp;TRIM(MID(SUBSTITUTE(SUBSTITUTE(INDEX('CONTROL MASTER'!$N$2:$N$495,(SUMPRODUCT((('CONTROL MASTER'!$S$2:$S$495=7)*('CONTROL MASTER'!$Z$2:$Z$495&lt;=3)*('CONTROL MASTER'!$AB$2:$AB$495&gt;=3)*('CONTROL MASTER'!$AA$2:$AA$495&lt;=10)*('CONTROL MASTER'!$AC$2:$AC$495&gt;=10))*ROW('CONTROL MASTER'!$S$2:$S$495))-(ROW('CONTROL MASTER'!#REF!)-1))),":",","),",",REPT(" ",50)),(((INDEX('CONTROL MASTER'!$Y$2:$Y$495,(SUMPRODUCT((('CONTROL MASTER'!$S$2:$S$495=7)*('CONTROL MASTER'!$Z$2:$Z$495&lt;=3)*('CONTROL MASTER'!$AB$2:$AB$495&gt;=3)*('CONTROL MASTER'!$AA$2:$AA$495&lt;=10)*('CONTROL MASTER'!$AC$2:$AC$495&gt;=10))*ROW('CONTROL MASTER'!$S$2:$S$495))-(ROW('CONTROL MASTER'!#REF!)-1)))+((3-INDEX('CONTROL MASTER'!$Z$2:$Z$495,(SUMPRODUCT((('CONTROL MASTER'!$S$2:$S$495=7)*('CONTROL MASTER'!$Z$2:$Z$495&lt;=3)*('CONTROL MASTER'!$AB$2:$AB$495&gt;=3)*('CONTROL MASTER'!$AA$2:$AA$495&lt;=10)*('CONTROL MASTER'!$AC$2:$AC$495&gt;=10))*ROW('CONTROL MASTER'!$S$2:$S$495))-(ROW('CONTROL MASTER'!#REF!)-1))))*(INDEX('CONTROL MASTER'!$AC$2:$AC$495,(SUMPRODUCT((('CONTROL MASTER'!$S$2:$S$495=7)*('CONTROL MASTER'!$Z$2:$Z$495&lt;=3)*('CONTROL MASTER'!$AB$2:$AB$495&gt;=3)*('CONTROL MASTER'!$AA$2:$AA$495&lt;=10)*('CONTROL MASTER'!$AC$2:$AC$495&gt;=10))*ROW('CONTROL MASTER'!$S$2:$S$495))-(ROW('CONTROL MASTER'!#REF!)-1)))-INDEX('CONTROL MASTER'!$AA$2:$AA$495,(SUMPRODUCT((('CONTROL MASTER'!$S$2:$S$495=7)*('CONTROL MASTER'!$Z$2:$Z$495&lt;=3)*('CONTROL MASTER'!$AB$2:$AB$495&gt;=3)*('CONTROL MASTER'!$AA$2:$AA$495&lt;=10)*('CONTROL MASTER'!$AC$2:$AC$495&gt;=10))*ROW('CONTROL MASTER'!$S$2:$S$495))-(ROW('CONTROL MASTER'!#REF!)-1)))+1)+(10-INDEX('CONTROL MASTER'!$AA$2:$AA$495,(SUMPRODUCT((('CONTROL MASTER'!$S$2:$S$495=7)*('CONTROL MASTER'!$Z$2:$Z$495&lt;=3)*('CONTROL MASTER'!$AB$2:$AB$495&gt;=3)*('CONTROL MASTER'!$AA$2:$AA$495&lt;=10)*('CONTROL MASTER'!$AC$2:$AC$495&gt;=10))*ROW('CONTROL MASTER'!$S$2:$S$495))-(ROW('CONTROL MASTER'!#REF!)-1))))+1)))-1)*50+1,50))&amp;"_"&amp;INDEX('CONTROL MASTER'!$P$2:$P$495,(SUMPRODUCT((('CONTROL MASTER'!$S$2:$S$495=7)*('CONTROL MASTER'!$Z$2:$Z$495&lt;=3)*('CONTROL MASTER'!$AB$2:$AB$495&gt;=3)*('CONTROL MASTER'!$AA$2:$AA$495&lt;=10)*('CONTROL MASTER'!$AC$2:$AC$495&gt;=10))*ROW('CONTROL MASTER'!$S$2:$S$495))-(ROW('CONTROL MASTER'!#REF!)-1))),"")),"")</f>
        <v/>
      </c>
    </row>
    <row r="90" spans="1:11" ht="15" customHeight="1" x14ac:dyDescent="0.35">
      <c r="A90" s="8" t="s">
        <v>31</v>
      </c>
      <c r="B90" s="10" t="str">
        <f>IFERROR(IF(SUMPRODUCT((('CONTROL MASTER'!$S$2:$S$495=7)*('CONTROL MASTER'!$T$2:$T$495&lt;=4)*('CONTROL MASTER'!$V$2:$V$495&gt;=4)*('CONTROL MASTER'!$U$2:$U$495&lt;=1)*('CONTROL MASTER'!$W$2:$W$495&gt;=1))*ROW('CONTROL MASTER'!$S$2:$S$495))&gt;0,INDEX('CONTROL MASTER'!$X$2:$X$495,(SUMPRODUCT((('CONTROL MASTER'!$S$2:$S$495=7)*('CONTROL MASTER'!$T$2:$T$495&lt;=4)*('CONTROL MASTER'!$V$2:$V$495&gt;=4)*('CONTROL MASTER'!$U$2:$U$495&lt;=1)*('CONTROL MASTER'!$W$2:$W$495&gt;=1))*ROW('CONTROL MASTER'!$S$2:$S$495))-(ROW('CONTROL MASTER'!#REF!)-1)))&amp;TRIM(MID(SUBSTITUTE(SUBSTITUTE(INDEX('CONTROL MASTER'!$N$2:$N$495,(SUMPRODUCT((('CONTROL MASTER'!$S$2:$S$495=7)*('CONTROL MASTER'!$T$2:$T$495&lt;=4)*('CONTROL MASTER'!$V$2:$V$495&gt;=4)*('CONTROL MASTER'!$U$2:$U$495&lt;=1)*('CONTROL MASTER'!$W$2:$W$495&gt;=1))*ROW('CONTROL MASTER'!$S$2:$S$495))-(ROW('CONTROL MASTER'!#REF!)-1))),":",","),",",REPT(" ",50)),((((4-INDEX('CONTROL MASTER'!$T$2:$T$495,(SUMPRODUCT((('CONTROL MASTER'!$S$2:$S$495=7)*('CONTROL MASTER'!$T$2:$T$495&lt;=4)*('CONTROL MASTER'!$V$2:$V$495&gt;=4)*('CONTROL MASTER'!$U$2:$U$495&lt;=1)*('CONTROL MASTER'!$W$2:$W$495&gt;=1))*ROW('CONTROL MASTER'!$S$2:$S$495))-(ROW('CONTROL MASTER'!#REF!)-1))))*(INDEX('CONTROL MASTER'!$W$2:$W$495,(SUMPRODUCT((('CONTROL MASTER'!$S$2:$S$495=7)*('CONTROL MASTER'!$T$2:$T$495&lt;=4)*('CONTROL MASTER'!$V$2:$V$495&gt;=4)*('CONTROL MASTER'!$U$2:$U$495&lt;=1)*('CONTROL MASTER'!$W$2:$W$495&gt;=1))*ROW('CONTROL MASTER'!$S$2:$S$495))-(ROW('CONTROL MASTER'!#REF!)-1)))-INDEX('CONTROL MASTER'!$U$2:$U$495,(SUMPRODUCT((('CONTROL MASTER'!$S$2:$S$495=7)*('CONTROL MASTER'!$T$2:$T$495&lt;=4)*('CONTROL MASTER'!$V$2:$V$495&gt;=4)*('CONTROL MASTER'!$U$2:$U$495&lt;=1)*('CONTROL MASTER'!$W$2:$W$495&gt;=1))*ROW('CONTROL MASTER'!$S$2:$S$495))-(ROW('CONTROL MASTER'!#REF!)-1)))+1)+(1-INDEX('CONTROL MASTER'!$U$2:$U$495,(SUMPRODUCT((('CONTROL MASTER'!$S$2:$S$495=7)*('CONTROL MASTER'!$T$2:$T$495&lt;=4)*('CONTROL MASTER'!$V$2:$V$495&gt;=4)*('CONTROL MASTER'!$U$2:$U$495&lt;=1)*('CONTROL MASTER'!$W$2:$W$495&gt;=1))*ROW('CONTROL MASTER'!$S$2:$S$495))-(ROW('CONTROL MASTER'!#REF!)-1))))+1))-1)*50+1,50))&amp;"_"&amp;INDEX('CONTROL MASTER'!$P$2:$P$495,(SUMPRODUCT((('CONTROL MASTER'!$S$2:$S$495=7)*('CONTROL MASTER'!$T$2:$T$495&lt;=4)*('CONTROL MASTER'!$V$2:$V$495&gt;=4)*('CONTROL MASTER'!$U$2:$U$495&lt;=1)*('CONTROL MASTER'!$W$2:$W$495&gt;=1))*ROW('CONTROL MASTER'!$S$2:$S$495))-(ROW('CONTROL MASTER'!#REF!)-1))),IF(SUMPRODUCT((('CONTROL MASTER'!$S$2:$S$495=7)*('CONTROL MASTER'!$Z$2:$Z$495&lt;=4)*('CONTROL MASTER'!$AB$2:$AB$495&gt;=4)*('CONTROL MASTER'!$AA$2:$AA$495&lt;=1)*('CONTROL MASTER'!$AC$2:$AC$495&gt;=1))*ROW('CONTROL MASTER'!$S$2:$S$495))&gt;0,INDEX('CONTROL MASTER'!$X$2:$X$495,(SUMPRODUCT((('CONTROL MASTER'!$S$2:$S$495=7)*('CONTROL MASTER'!$Z$2:$Z$495&lt;=4)*('CONTROL MASTER'!$AB$2:$AB$495&gt;=4)*('CONTROL MASTER'!$AA$2:$AA$495&lt;=1)*('CONTROL MASTER'!$AC$2:$AC$495&gt;=1))*ROW('CONTROL MASTER'!$S$2:$S$495))-(ROW('CONTROL MASTER'!#REF!)-1)))&amp;TRIM(MID(SUBSTITUTE(SUBSTITUTE(INDEX('CONTROL MASTER'!$N$2:$N$495,(SUMPRODUCT((('CONTROL MASTER'!$S$2:$S$495=7)*('CONTROL MASTER'!$Z$2:$Z$495&lt;=4)*('CONTROL MASTER'!$AB$2:$AB$495&gt;=4)*('CONTROL MASTER'!$AA$2:$AA$495&lt;=1)*('CONTROL MASTER'!$AC$2:$AC$495&gt;=1))*ROW('CONTROL MASTER'!$S$2:$S$495))-(ROW('CONTROL MASTER'!#REF!)-1))),":",","),",",REPT(" ",50)),(((INDEX('CONTROL MASTER'!$Y$2:$Y$495,(SUMPRODUCT((('CONTROL MASTER'!$S$2:$S$495=7)*('CONTROL MASTER'!$Z$2:$Z$495&lt;=4)*('CONTROL MASTER'!$AB$2:$AB$495&gt;=4)*('CONTROL MASTER'!$AA$2:$AA$495&lt;=1)*('CONTROL MASTER'!$AC$2:$AC$495&gt;=1))*ROW('CONTROL MASTER'!$S$2:$S$495))-(ROW('CONTROL MASTER'!#REF!)-1)))+((4-INDEX('CONTROL MASTER'!$Z$2:$Z$495,(SUMPRODUCT((('CONTROL MASTER'!$S$2:$S$495=7)*('CONTROL MASTER'!$Z$2:$Z$495&lt;=4)*('CONTROL MASTER'!$AB$2:$AB$495&gt;=4)*('CONTROL MASTER'!$AA$2:$AA$495&lt;=1)*('CONTROL MASTER'!$AC$2:$AC$495&gt;=1))*ROW('CONTROL MASTER'!$S$2:$S$495))-(ROW('CONTROL MASTER'!#REF!)-1))))*(INDEX('CONTROL MASTER'!$AC$2:$AC$495,(SUMPRODUCT((('CONTROL MASTER'!$S$2:$S$495=7)*('CONTROL MASTER'!$Z$2:$Z$495&lt;=4)*('CONTROL MASTER'!$AB$2:$AB$495&gt;=4)*('CONTROL MASTER'!$AA$2:$AA$495&lt;=1)*('CONTROL MASTER'!$AC$2:$AC$495&gt;=1))*ROW('CONTROL MASTER'!$S$2:$S$495))-(ROW('CONTROL MASTER'!#REF!)-1)))-INDEX('CONTROL MASTER'!$AA$2:$AA$495,(SUMPRODUCT((('CONTROL MASTER'!$S$2:$S$495=7)*('CONTROL MASTER'!$Z$2:$Z$495&lt;=4)*('CONTROL MASTER'!$AB$2:$AB$495&gt;=4)*('CONTROL MASTER'!$AA$2:$AA$495&lt;=1)*('CONTROL MASTER'!$AC$2:$AC$495&gt;=1))*ROW('CONTROL MASTER'!$S$2:$S$495))-(ROW('CONTROL MASTER'!#REF!)-1)))+1)+(1-INDEX('CONTROL MASTER'!$AA$2:$AA$495,(SUMPRODUCT((('CONTROL MASTER'!$S$2:$S$495=7)*('CONTROL MASTER'!$Z$2:$Z$495&lt;=4)*('CONTROL MASTER'!$AB$2:$AB$495&gt;=4)*('CONTROL MASTER'!$AA$2:$AA$495&lt;=1)*('CONTROL MASTER'!$AC$2:$AC$495&gt;=1))*ROW('CONTROL MASTER'!$S$2:$S$495))-(ROW('CONTROL MASTER'!#REF!)-1))))+1)))-1)*50+1,50))&amp;"_"&amp;INDEX('CONTROL MASTER'!$P$2:$P$495,(SUMPRODUCT((('CONTROL MASTER'!$S$2:$S$495=7)*('CONTROL MASTER'!$Z$2:$Z$495&lt;=4)*('CONTROL MASTER'!$AB$2:$AB$495&gt;=4)*('CONTROL MASTER'!$AA$2:$AA$495&lt;=1)*('CONTROL MASTER'!$AC$2:$AC$495&gt;=1))*ROW('CONTROL MASTER'!$S$2:$S$495))-(ROW('CONTROL MASTER'!#REF!)-1))),"")),"")</f>
        <v/>
      </c>
      <c r="C90" s="10" t="str">
        <f>IFERROR(IF(SUMPRODUCT((('CONTROL MASTER'!$S$2:$S$495=7)*('CONTROL MASTER'!$T$2:$T$495&lt;=4)*('CONTROL MASTER'!$V$2:$V$495&gt;=4)*('CONTROL MASTER'!$U$2:$U$495&lt;=2)*('CONTROL MASTER'!$W$2:$W$495&gt;=2))*ROW('CONTROL MASTER'!$S$2:$S$495))&gt;0,INDEX('CONTROL MASTER'!$X$2:$X$495,(SUMPRODUCT((('CONTROL MASTER'!$S$2:$S$495=7)*('CONTROL MASTER'!$T$2:$T$495&lt;=4)*('CONTROL MASTER'!$V$2:$V$495&gt;=4)*('CONTROL MASTER'!$U$2:$U$495&lt;=2)*('CONTROL MASTER'!$W$2:$W$495&gt;=2))*ROW('CONTROL MASTER'!$S$2:$S$495))-(ROW('CONTROL MASTER'!#REF!)-1)))&amp;TRIM(MID(SUBSTITUTE(SUBSTITUTE(INDEX('CONTROL MASTER'!$N$2:$N$495,(SUMPRODUCT((('CONTROL MASTER'!$S$2:$S$495=7)*('CONTROL MASTER'!$T$2:$T$495&lt;=4)*('CONTROL MASTER'!$V$2:$V$495&gt;=4)*('CONTROL MASTER'!$U$2:$U$495&lt;=2)*('CONTROL MASTER'!$W$2:$W$495&gt;=2))*ROW('CONTROL MASTER'!$S$2:$S$495))-(ROW('CONTROL MASTER'!#REF!)-1))),":",","),",",REPT(" ",50)),((((4-INDEX('CONTROL MASTER'!$T$2:$T$495,(SUMPRODUCT((('CONTROL MASTER'!$S$2:$S$495=7)*('CONTROL MASTER'!$T$2:$T$495&lt;=4)*('CONTROL MASTER'!$V$2:$V$495&gt;=4)*('CONTROL MASTER'!$U$2:$U$495&lt;=2)*('CONTROL MASTER'!$W$2:$W$495&gt;=2))*ROW('CONTROL MASTER'!$S$2:$S$495))-(ROW('CONTROL MASTER'!#REF!)-1))))*(INDEX('CONTROL MASTER'!$W$2:$W$495,(SUMPRODUCT((('CONTROL MASTER'!$S$2:$S$495=7)*('CONTROL MASTER'!$T$2:$T$495&lt;=4)*('CONTROL MASTER'!$V$2:$V$495&gt;=4)*('CONTROL MASTER'!$U$2:$U$495&lt;=2)*('CONTROL MASTER'!$W$2:$W$495&gt;=2))*ROW('CONTROL MASTER'!$S$2:$S$495))-(ROW('CONTROL MASTER'!#REF!)-1)))-INDEX('CONTROL MASTER'!$U$2:$U$495,(SUMPRODUCT((('CONTROL MASTER'!$S$2:$S$495=7)*('CONTROL MASTER'!$T$2:$T$495&lt;=4)*('CONTROL MASTER'!$V$2:$V$495&gt;=4)*('CONTROL MASTER'!$U$2:$U$495&lt;=2)*('CONTROL MASTER'!$W$2:$W$495&gt;=2))*ROW('CONTROL MASTER'!$S$2:$S$495))-(ROW('CONTROL MASTER'!#REF!)-1)))+1)+(2-INDEX('CONTROL MASTER'!$U$2:$U$495,(SUMPRODUCT((('CONTROL MASTER'!$S$2:$S$495=7)*('CONTROL MASTER'!$T$2:$T$495&lt;=4)*('CONTROL MASTER'!$V$2:$V$495&gt;=4)*('CONTROL MASTER'!$U$2:$U$495&lt;=2)*('CONTROL MASTER'!$W$2:$W$495&gt;=2))*ROW('CONTROL MASTER'!$S$2:$S$495))-(ROW('CONTROL MASTER'!#REF!)-1))))+1))-1)*50+1,50))&amp;"_"&amp;INDEX('CONTROL MASTER'!$P$2:$P$495,(SUMPRODUCT((('CONTROL MASTER'!$S$2:$S$495=7)*('CONTROL MASTER'!$T$2:$T$495&lt;=4)*('CONTROL MASTER'!$V$2:$V$495&gt;=4)*('CONTROL MASTER'!$U$2:$U$495&lt;=2)*('CONTROL MASTER'!$W$2:$W$495&gt;=2))*ROW('CONTROL MASTER'!$S$2:$S$495))-(ROW('CONTROL MASTER'!#REF!)-1))),IF(SUMPRODUCT((('CONTROL MASTER'!$S$2:$S$495=7)*('CONTROL MASTER'!$Z$2:$Z$495&lt;=4)*('CONTROL MASTER'!$AB$2:$AB$495&gt;=4)*('CONTROL MASTER'!$AA$2:$AA$495&lt;=2)*('CONTROL MASTER'!$AC$2:$AC$495&gt;=2))*ROW('CONTROL MASTER'!$S$2:$S$495))&gt;0,INDEX('CONTROL MASTER'!$X$2:$X$495,(SUMPRODUCT((('CONTROL MASTER'!$S$2:$S$495=7)*('CONTROL MASTER'!$Z$2:$Z$495&lt;=4)*('CONTROL MASTER'!$AB$2:$AB$495&gt;=4)*('CONTROL MASTER'!$AA$2:$AA$495&lt;=2)*('CONTROL MASTER'!$AC$2:$AC$495&gt;=2))*ROW('CONTROL MASTER'!$S$2:$S$495))-(ROW('CONTROL MASTER'!#REF!)-1)))&amp;TRIM(MID(SUBSTITUTE(SUBSTITUTE(INDEX('CONTROL MASTER'!$N$2:$N$495,(SUMPRODUCT((('CONTROL MASTER'!$S$2:$S$495=7)*('CONTROL MASTER'!$Z$2:$Z$495&lt;=4)*('CONTROL MASTER'!$AB$2:$AB$495&gt;=4)*('CONTROL MASTER'!$AA$2:$AA$495&lt;=2)*('CONTROL MASTER'!$AC$2:$AC$495&gt;=2))*ROW('CONTROL MASTER'!$S$2:$S$495))-(ROW('CONTROL MASTER'!#REF!)-1))),":",","),",",REPT(" ",50)),(((INDEX('CONTROL MASTER'!$Y$2:$Y$495,(SUMPRODUCT((('CONTROL MASTER'!$S$2:$S$495=7)*('CONTROL MASTER'!$Z$2:$Z$495&lt;=4)*('CONTROL MASTER'!$AB$2:$AB$495&gt;=4)*('CONTROL MASTER'!$AA$2:$AA$495&lt;=2)*('CONTROL MASTER'!$AC$2:$AC$495&gt;=2))*ROW('CONTROL MASTER'!$S$2:$S$495))-(ROW('CONTROL MASTER'!#REF!)-1)))+((4-INDEX('CONTROL MASTER'!$Z$2:$Z$495,(SUMPRODUCT((('CONTROL MASTER'!$S$2:$S$495=7)*('CONTROL MASTER'!$Z$2:$Z$495&lt;=4)*('CONTROL MASTER'!$AB$2:$AB$495&gt;=4)*('CONTROL MASTER'!$AA$2:$AA$495&lt;=2)*('CONTROL MASTER'!$AC$2:$AC$495&gt;=2))*ROW('CONTROL MASTER'!$S$2:$S$495))-(ROW('CONTROL MASTER'!#REF!)-1))))*(INDEX('CONTROL MASTER'!$AC$2:$AC$495,(SUMPRODUCT((('CONTROL MASTER'!$S$2:$S$495=7)*('CONTROL MASTER'!$Z$2:$Z$495&lt;=4)*('CONTROL MASTER'!$AB$2:$AB$495&gt;=4)*('CONTROL MASTER'!$AA$2:$AA$495&lt;=2)*('CONTROL MASTER'!$AC$2:$AC$495&gt;=2))*ROW('CONTROL MASTER'!$S$2:$S$495))-(ROW('CONTROL MASTER'!#REF!)-1)))-INDEX('CONTROL MASTER'!$AA$2:$AA$495,(SUMPRODUCT((('CONTROL MASTER'!$S$2:$S$495=7)*('CONTROL MASTER'!$Z$2:$Z$495&lt;=4)*('CONTROL MASTER'!$AB$2:$AB$495&gt;=4)*('CONTROL MASTER'!$AA$2:$AA$495&lt;=2)*('CONTROL MASTER'!$AC$2:$AC$495&gt;=2))*ROW('CONTROL MASTER'!$S$2:$S$495))-(ROW('CONTROL MASTER'!#REF!)-1)))+1)+(2-INDEX('CONTROL MASTER'!$AA$2:$AA$495,(SUMPRODUCT((('CONTROL MASTER'!$S$2:$S$495=7)*('CONTROL MASTER'!$Z$2:$Z$495&lt;=4)*('CONTROL MASTER'!$AB$2:$AB$495&gt;=4)*('CONTROL MASTER'!$AA$2:$AA$495&lt;=2)*('CONTROL MASTER'!$AC$2:$AC$495&gt;=2))*ROW('CONTROL MASTER'!$S$2:$S$495))-(ROW('CONTROL MASTER'!#REF!)-1))))+1)))-1)*50+1,50))&amp;"_"&amp;INDEX('CONTROL MASTER'!$P$2:$P$495,(SUMPRODUCT((('CONTROL MASTER'!$S$2:$S$495=7)*('CONTROL MASTER'!$Z$2:$Z$495&lt;=4)*('CONTROL MASTER'!$AB$2:$AB$495&gt;=4)*('CONTROL MASTER'!$AA$2:$AA$495&lt;=2)*('CONTROL MASTER'!$AC$2:$AC$495&gt;=2))*ROW('CONTROL MASTER'!$S$2:$S$495))-(ROW('CONTROL MASTER'!#REF!)-1))),"")),"")</f>
        <v/>
      </c>
      <c r="D90" s="10" t="str">
        <f>IFERROR(IF(SUMPRODUCT((('CONTROL MASTER'!$S$2:$S$495=7)*('CONTROL MASTER'!$T$2:$T$495&lt;=4)*('CONTROL MASTER'!$V$2:$V$495&gt;=4)*('CONTROL MASTER'!$U$2:$U$495&lt;=3)*('CONTROL MASTER'!$W$2:$W$495&gt;=3))*ROW('CONTROL MASTER'!$S$2:$S$495))&gt;0,INDEX('CONTROL MASTER'!$X$2:$X$495,(SUMPRODUCT((('CONTROL MASTER'!$S$2:$S$495=7)*('CONTROL MASTER'!$T$2:$T$495&lt;=4)*('CONTROL MASTER'!$V$2:$V$495&gt;=4)*('CONTROL MASTER'!$U$2:$U$495&lt;=3)*('CONTROL MASTER'!$W$2:$W$495&gt;=3))*ROW('CONTROL MASTER'!$S$2:$S$495))-(ROW('CONTROL MASTER'!#REF!)-1)))&amp;TRIM(MID(SUBSTITUTE(SUBSTITUTE(INDEX('CONTROL MASTER'!$N$2:$N$495,(SUMPRODUCT((('CONTROL MASTER'!$S$2:$S$495=7)*('CONTROL MASTER'!$T$2:$T$495&lt;=4)*('CONTROL MASTER'!$V$2:$V$495&gt;=4)*('CONTROL MASTER'!$U$2:$U$495&lt;=3)*('CONTROL MASTER'!$W$2:$W$495&gt;=3))*ROW('CONTROL MASTER'!$S$2:$S$495))-(ROW('CONTROL MASTER'!#REF!)-1))),":",","),",",REPT(" ",50)),((((4-INDEX('CONTROL MASTER'!$T$2:$T$495,(SUMPRODUCT((('CONTROL MASTER'!$S$2:$S$495=7)*('CONTROL MASTER'!$T$2:$T$495&lt;=4)*('CONTROL MASTER'!$V$2:$V$495&gt;=4)*('CONTROL MASTER'!$U$2:$U$495&lt;=3)*('CONTROL MASTER'!$W$2:$W$495&gt;=3))*ROW('CONTROL MASTER'!$S$2:$S$495))-(ROW('CONTROL MASTER'!#REF!)-1))))*(INDEX('CONTROL MASTER'!$W$2:$W$495,(SUMPRODUCT((('CONTROL MASTER'!$S$2:$S$495=7)*('CONTROL MASTER'!$T$2:$T$495&lt;=4)*('CONTROL MASTER'!$V$2:$V$495&gt;=4)*('CONTROL MASTER'!$U$2:$U$495&lt;=3)*('CONTROL MASTER'!$W$2:$W$495&gt;=3))*ROW('CONTROL MASTER'!$S$2:$S$495))-(ROW('CONTROL MASTER'!#REF!)-1)))-INDEX('CONTROL MASTER'!$U$2:$U$495,(SUMPRODUCT((('CONTROL MASTER'!$S$2:$S$495=7)*('CONTROL MASTER'!$T$2:$T$495&lt;=4)*('CONTROL MASTER'!$V$2:$V$495&gt;=4)*('CONTROL MASTER'!$U$2:$U$495&lt;=3)*('CONTROL MASTER'!$W$2:$W$495&gt;=3))*ROW('CONTROL MASTER'!$S$2:$S$495))-(ROW('CONTROL MASTER'!#REF!)-1)))+1)+(3-INDEX('CONTROL MASTER'!$U$2:$U$495,(SUMPRODUCT((('CONTROL MASTER'!$S$2:$S$495=7)*('CONTROL MASTER'!$T$2:$T$495&lt;=4)*('CONTROL MASTER'!$V$2:$V$495&gt;=4)*('CONTROL MASTER'!$U$2:$U$495&lt;=3)*('CONTROL MASTER'!$W$2:$W$495&gt;=3))*ROW('CONTROL MASTER'!$S$2:$S$495))-(ROW('CONTROL MASTER'!#REF!)-1))))+1))-1)*50+1,50))&amp;"_"&amp;INDEX('CONTROL MASTER'!$P$2:$P$495,(SUMPRODUCT((('CONTROL MASTER'!$S$2:$S$495=7)*('CONTROL MASTER'!$T$2:$T$495&lt;=4)*('CONTROL MASTER'!$V$2:$V$495&gt;=4)*('CONTROL MASTER'!$U$2:$U$495&lt;=3)*('CONTROL MASTER'!$W$2:$W$495&gt;=3))*ROW('CONTROL MASTER'!$S$2:$S$495))-(ROW('CONTROL MASTER'!#REF!)-1))),IF(SUMPRODUCT((('CONTROL MASTER'!$S$2:$S$495=7)*('CONTROL MASTER'!$Z$2:$Z$495&lt;=4)*('CONTROL MASTER'!$AB$2:$AB$495&gt;=4)*('CONTROL MASTER'!$AA$2:$AA$495&lt;=3)*('CONTROL MASTER'!$AC$2:$AC$495&gt;=3))*ROW('CONTROL MASTER'!$S$2:$S$495))&gt;0,INDEX('CONTROL MASTER'!$X$2:$X$495,(SUMPRODUCT((('CONTROL MASTER'!$S$2:$S$495=7)*('CONTROL MASTER'!$Z$2:$Z$495&lt;=4)*('CONTROL MASTER'!$AB$2:$AB$495&gt;=4)*('CONTROL MASTER'!$AA$2:$AA$495&lt;=3)*('CONTROL MASTER'!$AC$2:$AC$495&gt;=3))*ROW('CONTROL MASTER'!$S$2:$S$495))-(ROW('CONTROL MASTER'!#REF!)-1)))&amp;TRIM(MID(SUBSTITUTE(SUBSTITUTE(INDEX('CONTROL MASTER'!$N$2:$N$495,(SUMPRODUCT((('CONTROL MASTER'!$S$2:$S$495=7)*('CONTROL MASTER'!$Z$2:$Z$495&lt;=4)*('CONTROL MASTER'!$AB$2:$AB$495&gt;=4)*('CONTROL MASTER'!$AA$2:$AA$495&lt;=3)*('CONTROL MASTER'!$AC$2:$AC$495&gt;=3))*ROW('CONTROL MASTER'!$S$2:$S$495))-(ROW('CONTROL MASTER'!#REF!)-1))),":",","),",",REPT(" ",50)),(((INDEX('CONTROL MASTER'!$Y$2:$Y$495,(SUMPRODUCT((('CONTROL MASTER'!$S$2:$S$495=7)*('CONTROL MASTER'!$Z$2:$Z$495&lt;=4)*('CONTROL MASTER'!$AB$2:$AB$495&gt;=4)*('CONTROL MASTER'!$AA$2:$AA$495&lt;=3)*('CONTROL MASTER'!$AC$2:$AC$495&gt;=3))*ROW('CONTROL MASTER'!$S$2:$S$495))-(ROW('CONTROL MASTER'!#REF!)-1)))+((4-INDEX('CONTROL MASTER'!$Z$2:$Z$495,(SUMPRODUCT((('CONTROL MASTER'!$S$2:$S$495=7)*('CONTROL MASTER'!$Z$2:$Z$495&lt;=4)*('CONTROL MASTER'!$AB$2:$AB$495&gt;=4)*('CONTROL MASTER'!$AA$2:$AA$495&lt;=3)*('CONTROL MASTER'!$AC$2:$AC$495&gt;=3))*ROW('CONTROL MASTER'!$S$2:$S$495))-(ROW('CONTROL MASTER'!#REF!)-1))))*(INDEX('CONTROL MASTER'!$AC$2:$AC$495,(SUMPRODUCT((('CONTROL MASTER'!$S$2:$S$495=7)*('CONTROL MASTER'!$Z$2:$Z$495&lt;=4)*('CONTROL MASTER'!$AB$2:$AB$495&gt;=4)*('CONTROL MASTER'!$AA$2:$AA$495&lt;=3)*('CONTROL MASTER'!$AC$2:$AC$495&gt;=3))*ROW('CONTROL MASTER'!$S$2:$S$495))-(ROW('CONTROL MASTER'!#REF!)-1)))-INDEX('CONTROL MASTER'!$AA$2:$AA$495,(SUMPRODUCT((('CONTROL MASTER'!$S$2:$S$495=7)*('CONTROL MASTER'!$Z$2:$Z$495&lt;=4)*('CONTROL MASTER'!$AB$2:$AB$495&gt;=4)*('CONTROL MASTER'!$AA$2:$AA$495&lt;=3)*('CONTROL MASTER'!$AC$2:$AC$495&gt;=3))*ROW('CONTROL MASTER'!$S$2:$S$495))-(ROW('CONTROL MASTER'!#REF!)-1)))+1)+(3-INDEX('CONTROL MASTER'!$AA$2:$AA$495,(SUMPRODUCT((('CONTROL MASTER'!$S$2:$S$495=7)*('CONTROL MASTER'!$Z$2:$Z$495&lt;=4)*('CONTROL MASTER'!$AB$2:$AB$495&gt;=4)*('CONTROL MASTER'!$AA$2:$AA$495&lt;=3)*('CONTROL MASTER'!$AC$2:$AC$495&gt;=3))*ROW('CONTROL MASTER'!$S$2:$S$495))-(ROW('CONTROL MASTER'!#REF!)-1))))+1)))-1)*50+1,50))&amp;"_"&amp;INDEX('CONTROL MASTER'!$P$2:$P$495,(SUMPRODUCT((('CONTROL MASTER'!$S$2:$S$495=7)*('CONTROL MASTER'!$Z$2:$Z$495&lt;=4)*('CONTROL MASTER'!$AB$2:$AB$495&gt;=4)*('CONTROL MASTER'!$AA$2:$AA$495&lt;=3)*('CONTROL MASTER'!$AC$2:$AC$495&gt;=3))*ROW('CONTROL MASTER'!$S$2:$S$495))-(ROW('CONTROL MASTER'!#REF!)-1))),"")),"")</f>
        <v/>
      </c>
      <c r="E90" s="10" t="str">
        <f>IFERROR(IF(SUMPRODUCT((('CONTROL MASTER'!$S$2:$S$495=7)*('CONTROL MASTER'!$T$2:$T$495&lt;=4)*('CONTROL MASTER'!$V$2:$V$495&gt;=4)*('CONTROL MASTER'!$U$2:$U$495&lt;=4)*('CONTROL MASTER'!$W$2:$W$495&gt;=4))*ROW('CONTROL MASTER'!$S$2:$S$495))&gt;0,INDEX('CONTROL MASTER'!$X$2:$X$495,(SUMPRODUCT((('CONTROL MASTER'!$S$2:$S$495=7)*('CONTROL MASTER'!$T$2:$T$495&lt;=4)*('CONTROL MASTER'!$V$2:$V$495&gt;=4)*('CONTROL MASTER'!$U$2:$U$495&lt;=4)*('CONTROL MASTER'!$W$2:$W$495&gt;=4))*ROW('CONTROL MASTER'!$S$2:$S$495))-(ROW('CONTROL MASTER'!#REF!)-1)))&amp;TRIM(MID(SUBSTITUTE(SUBSTITUTE(INDEX('CONTROL MASTER'!$N$2:$N$495,(SUMPRODUCT((('CONTROL MASTER'!$S$2:$S$495=7)*('CONTROL MASTER'!$T$2:$T$495&lt;=4)*('CONTROL MASTER'!$V$2:$V$495&gt;=4)*('CONTROL MASTER'!$U$2:$U$495&lt;=4)*('CONTROL MASTER'!$W$2:$W$495&gt;=4))*ROW('CONTROL MASTER'!$S$2:$S$495))-(ROW('CONTROL MASTER'!#REF!)-1))),":",","),",",REPT(" ",50)),((((4-INDEX('CONTROL MASTER'!$T$2:$T$495,(SUMPRODUCT((('CONTROL MASTER'!$S$2:$S$495=7)*('CONTROL MASTER'!$T$2:$T$495&lt;=4)*('CONTROL MASTER'!$V$2:$V$495&gt;=4)*('CONTROL MASTER'!$U$2:$U$495&lt;=4)*('CONTROL MASTER'!$W$2:$W$495&gt;=4))*ROW('CONTROL MASTER'!$S$2:$S$495))-(ROW('CONTROL MASTER'!#REF!)-1))))*(INDEX('CONTROL MASTER'!$W$2:$W$495,(SUMPRODUCT((('CONTROL MASTER'!$S$2:$S$495=7)*('CONTROL MASTER'!$T$2:$T$495&lt;=4)*('CONTROL MASTER'!$V$2:$V$495&gt;=4)*('CONTROL MASTER'!$U$2:$U$495&lt;=4)*('CONTROL MASTER'!$W$2:$W$495&gt;=4))*ROW('CONTROL MASTER'!$S$2:$S$495))-(ROW('CONTROL MASTER'!#REF!)-1)))-INDEX('CONTROL MASTER'!$U$2:$U$495,(SUMPRODUCT((('CONTROL MASTER'!$S$2:$S$495=7)*('CONTROL MASTER'!$T$2:$T$495&lt;=4)*('CONTROL MASTER'!$V$2:$V$495&gt;=4)*('CONTROL MASTER'!$U$2:$U$495&lt;=4)*('CONTROL MASTER'!$W$2:$W$495&gt;=4))*ROW('CONTROL MASTER'!$S$2:$S$495))-(ROW('CONTROL MASTER'!#REF!)-1)))+1)+(4-INDEX('CONTROL MASTER'!$U$2:$U$495,(SUMPRODUCT((('CONTROL MASTER'!$S$2:$S$495=7)*('CONTROL MASTER'!$T$2:$T$495&lt;=4)*('CONTROL MASTER'!$V$2:$V$495&gt;=4)*('CONTROL MASTER'!$U$2:$U$495&lt;=4)*('CONTROL MASTER'!$W$2:$W$495&gt;=4))*ROW('CONTROL MASTER'!$S$2:$S$495))-(ROW('CONTROL MASTER'!#REF!)-1))))+1))-1)*50+1,50))&amp;"_"&amp;INDEX('CONTROL MASTER'!$P$2:$P$495,(SUMPRODUCT((('CONTROL MASTER'!$S$2:$S$495=7)*('CONTROL MASTER'!$T$2:$T$495&lt;=4)*('CONTROL MASTER'!$V$2:$V$495&gt;=4)*('CONTROL MASTER'!$U$2:$U$495&lt;=4)*('CONTROL MASTER'!$W$2:$W$495&gt;=4))*ROW('CONTROL MASTER'!$S$2:$S$495))-(ROW('CONTROL MASTER'!#REF!)-1))),IF(SUMPRODUCT((('CONTROL MASTER'!$S$2:$S$495=7)*('CONTROL MASTER'!$Z$2:$Z$495&lt;=4)*('CONTROL MASTER'!$AB$2:$AB$495&gt;=4)*('CONTROL MASTER'!$AA$2:$AA$495&lt;=4)*('CONTROL MASTER'!$AC$2:$AC$495&gt;=4))*ROW('CONTROL MASTER'!$S$2:$S$495))&gt;0,INDEX('CONTROL MASTER'!$X$2:$X$495,(SUMPRODUCT((('CONTROL MASTER'!$S$2:$S$495=7)*('CONTROL MASTER'!$Z$2:$Z$495&lt;=4)*('CONTROL MASTER'!$AB$2:$AB$495&gt;=4)*('CONTROL MASTER'!$AA$2:$AA$495&lt;=4)*('CONTROL MASTER'!$AC$2:$AC$495&gt;=4))*ROW('CONTROL MASTER'!$S$2:$S$495))-(ROW('CONTROL MASTER'!#REF!)-1)))&amp;TRIM(MID(SUBSTITUTE(SUBSTITUTE(INDEX('CONTROL MASTER'!$N$2:$N$495,(SUMPRODUCT((('CONTROL MASTER'!$S$2:$S$495=7)*('CONTROL MASTER'!$Z$2:$Z$495&lt;=4)*('CONTROL MASTER'!$AB$2:$AB$495&gt;=4)*('CONTROL MASTER'!$AA$2:$AA$495&lt;=4)*('CONTROL MASTER'!$AC$2:$AC$495&gt;=4))*ROW('CONTROL MASTER'!$S$2:$S$495))-(ROW('CONTROL MASTER'!#REF!)-1))),":",","),",",REPT(" ",50)),(((INDEX('CONTROL MASTER'!$Y$2:$Y$495,(SUMPRODUCT((('CONTROL MASTER'!$S$2:$S$495=7)*('CONTROL MASTER'!$Z$2:$Z$495&lt;=4)*('CONTROL MASTER'!$AB$2:$AB$495&gt;=4)*('CONTROL MASTER'!$AA$2:$AA$495&lt;=4)*('CONTROL MASTER'!$AC$2:$AC$495&gt;=4))*ROW('CONTROL MASTER'!$S$2:$S$495))-(ROW('CONTROL MASTER'!#REF!)-1)))+((4-INDEX('CONTROL MASTER'!$Z$2:$Z$495,(SUMPRODUCT((('CONTROL MASTER'!$S$2:$S$495=7)*('CONTROL MASTER'!$Z$2:$Z$495&lt;=4)*('CONTROL MASTER'!$AB$2:$AB$495&gt;=4)*('CONTROL MASTER'!$AA$2:$AA$495&lt;=4)*('CONTROL MASTER'!$AC$2:$AC$495&gt;=4))*ROW('CONTROL MASTER'!$S$2:$S$495))-(ROW('CONTROL MASTER'!#REF!)-1))))*(INDEX('CONTROL MASTER'!$AC$2:$AC$495,(SUMPRODUCT((('CONTROL MASTER'!$S$2:$S$495=7)*('CONTROL MASTER'!$Z$2:$Z$495&lt;=4)*('CONTROL MASTER'!$AB$2:$AB$495&gt;=4)*('CONTROL MASTER'!$AA$2:$AA$495&lt;=4)*('CONTROL MASTER'!$AC$2:$AC$495&gt;=4))*ROW('CONTROL MASTER'!$S$2:$S$495))-(ROW('CONTROL MASTER'!#REF!)-1)))-INDEX('CONTROL MASTER'!$AA$2:$AA$495,(SUMPRODUCT((('CONTROL MASTER'!$S$2:$S$495=7)*('CONTROL MASTER'!$Z$2:$Z$495&lt;=4)*('CONTROL MASTER'!$AB$2:$AB$495&gt;=4)*('CONTROL MASTER'!$AA$2:$AA$495&lt;=4)*('CONTROL MASTER'!$AC$2:$AC$495&gt;=4))*ROW('CONTROL MASTER'!$S$2:$S$495))-(ROW('CONTROL MASTER'!#REF!)-1)))+1)+(4-INDEX('CONTROL MASTER'!$AA$2:$AA$495,(SUMPRODUCT((('CONTROL MASTER'!$S$2:$S$495=7)*('CONTROL MASTER'!$Z$2:$Z$495&lt;=4)*('CONTROL MASTER'!$AB$2:$AB$495&gt;=4)*('CONTROL MASTER'!$AA$2:$AA$495&lt;=4)*('CONTROL MASTER'!$AC$2:$AC$495&gt;=4))*ROW('CONTROL MASTER'!$S$2:$S$495))-(ROW('CONTROL MASTER'!#REF!)-1))))+1)))-1)*50+1,50))&amp;"_"&amp;INDEX('CONTROL MASTER'!$P$2:$P$495,(SUMPRODUCT((('CONTROL MASTER'!$S$2:$S$495=7)*('CONTROL MASTER'!$Z$2:$Z$495&lt;=4)*('CONTROL MASTER'!$AB$2:$AB$495&gt;=4)*('CONTROL MASTER'!$AA$2:$AA$495&lt;=4)*('CONTROL MASTER'!$AC$2:$AC$495&gt;=4))*ROW('CONTROL MASTER'!$S$2:$S$495))-(ROW('CONTROL MASTER'!#REF!)-1))),"")),"")</f>
        <v/>
      </c>
      <c r="F90" s="10" t="str">
        <f>IFERROR(IF(SUMPRODUCT((('CONTROL MASTER'!$S$2:$S$495=7)*('CONTROL MASTER'!$T$2:$T$495&lt;=4)*('CONTROL MASTER'!$V$2:$V$495&gt;=4)*('CONTROL MASTER'!$U$2:$U$495&lt;=5)*('CONTROL MASTER'!$W$2:$W$495&gt;=5))*ROW('CONTROL MASTER'!$S$2:$S$495))&gt;0,INDEX('CONTROL MASTER'!$X$2:$X$495,(SUMPRODUCT((('CONTROL MASTER'!$S$2:$S$495=7)*('CONTROL MASTER'!$T$2:$T$495&lt;=4)*('CONTROL MASTER'!$V$2:$V$495&gt;=4)*('CONTROL MASTER'!$U$2:$U$495&lt;=5)*('CONTROL MASTER'!$W$2:$W$495&gt;=5))*ROW('CONTROL MASTER'!$S$2:$S$495))-(ROW('CONTROL MASTER'!#REF!)-1)))&amp;TRIM(MID(SUBSTITUTE(SUBSTITUTE(INDEX('CONTROL MASTER'!$N$2:$N$495,(SUMPRODUCT((('CONTROL MASTER'!$S$2:$S$495=7)*('CONTROL MASTER'!$T$2:$T$495&lt;=4)*('CONTROL MASTER'!$V$2:$V$495&gt;=4)*('CONTROL MASTER'!$U$2:$U$495&lt;=5)*('CONTROL MASTER'!$W$2:$W$495&gt;=5))*ROW('CONTROL MASTER'!$S$2:$S$495))-(ROW('CONTROL MASTER'!#REF!)-1))),":",","),",",REPT(" ",50)),((((4-INDEX('CONTROL MASTER'!$T$2:$T$495,(SUMPRODUCT((('CONTROL MASTER'!$S$2:$S$495=7)*('CONTROL MASTER'!$T$2:$T$495&lt;=4)*('CONTROL MASTER'!$V$2:$V$495&gt;=4)*('CONTROL MASTER'!$U$2:$U$495&lt;=5)*('CONTROL MASTER'!$W$2:$W$495&gt;=5))*ROW('CONTROL MASTER'!$S$2:$S$495))-(ROW('CONTROL MASTER'!#REF!)-1))))*(INDEX('CONTROL MASTER'!$W$2:$W$495,(SUMPRODUCT((('CONTROL MASTER'!$S$2:$S$495=7)*('CONTROL MASTER'!$T$2:$T$495&lt;=4)*('CONTROL MASTER'!$V$2:$V$495&gt;=4)*('CONTROL MASTER'!$U$2:$U$495&lt;=5)*('CONTROL MASTER'!$W$2:$W$495&gt;=5))*ROW('CONTROL MASTER'!$S$2:$S$495))-(ROW('CONTROL MASTER'!#REF!)-1)))-INDEX('CONTROL MASTER'!$U$2:$U$495,(SUMPRODUCT((('CONTROL MASTER'!$S$2:$S$495=7)*('CONTROL MASTER'!$T$2:$T$495&lt;=4)*('CONTROL MASTER'!$V$2:$V$495&gt;=4)*('CONTROL MASTER'!$U$2:$U$495&lt;=5)*('CONTROL MASTER'!$W$2:$W$495&gt;=5))*ROW('CONTROL MASTER'!$S$2:$S$495))-(ROW('CONTROL MASTER'!#REF!)-1)))+1)+(5-INDEX('CONTROL MASTER'!$U$2:$U$495,(SUMPRODUCT((('CONTROL MASTER'!$S$2:$S$495=7)*('CONTROL MASTER'!$T$2:$T$495&lt;=4)*('CONTROL MASTER'!$V$2:$V$495&gt;=4)*('CONTROL MASTER'!$U$2:$U$495&lt;=5)*('CONTROL MASTER'!$W$2:$W$495&gt;=5))*ROW('CONTROL MASTER'!$S$2:$S$495))-(ROW('CONTROL MASTER'!#REF!)-1))))+1))-1)*50+1,50))&amp;"_"&amp;INDEX('CONTROL MASTER'!$P$2:$P$495,(SUMPRODUCT((('CONTROL MASTER'!$S$2:$S$495=7)*('CONTROL MASTER'!$T$2:$T$495&lt;=4)*('CONTROL MASTER'!$V$2:$V$495&gt;=4)*('CONTROL MASTER'!$U$2:$U$495&lt;=5)*('CONTROL MASTER'!$W$2:$W$495&gt;=5))*ROW('CONTROL MASTER'!$S$2:$S$495))-(ROW('CONTROL MASTER'!#REF!)-1))),IF(SUMPRODUCT((('CONTROL MASTER'!$S$2:$S$495=7)*('CONTROL MASTER'!$Z$2:$Z$495&lt;=4)*('CONTROL MASTER'!$AB$2:$AB$495&gt;=4)*('CONTROL MASTER'!$AA$2:$AA$495&lt;=5)*('CONTROL MASTER'!$AC$2:$AC$495&gt;=5))*ROW('CONTROL MASTER'!$S$2:$S$495))&gt;0,INDEX('CONTROL MASTER'!$X$2:$X$495,(SUMPRODUCT((('CONTROL MASTER'!$S$2:$S$495=7)*('CONTROL MASTER'!$Z$2:$Z$495&lt;=4)*('CONTROL MASTER'!$AB$2:$AB$495&gt;=4)*('CONTROL MASTER'!$AA$2:$AA$495&lt;=5)*('CONTROL MASTER'!$AC$2:$AC$495&gt;=5))*ROW('CONTROL MASTER'!$S$2:$S$495))-(ROW('CONTROL MASTER'!#REF!)-1)))&amp;TRIM(MID(SUBSTITUTE(SUBSTITUTE(INDEX('CONTROL MASTER'!$N$2:$N$495,(SUMPRODUCT((('CONTROL MASTER'!$S$2:$S$495=7)*('CONTROL MASTER'!$Z$2:$Z$495&lt;=4)*('CONTROL MASTER'!$AB$2:$AB$495&gt;=4)*('CONTROL MASTER'!$AA$2:$AA$495&lt;=5)*('CONTROL MASTER'!$AC$2:$AC$495&gt;=5))*ROW('CONTROL MASTER'!$S$2:$S$495))-(ROW('CONTROL MASTER'!#REF!)-1))),":",","),",",REPT(" ",50)),(((INDEX('CONTROL MASTER'!$Y$2:$Y$495,(SUMPRODUCT((('CONTROL MASTER'!$S$2:$S$495=7)*('CONTROL MASTER'!$Z$2:$Z$495&lt;=4)*('CONTROL MASTER'!$AB$2:$AB$495&gt;=4)*('CONTROL MASTER'!$AA$2:$AA$495&lt;=5)*('CONTROL MASTER'!$AC$2:$AC$495&gt;=5))*ROW('CONTROL MASTER'!$S$2:$S$495))-(ROW('CONTROL MASTER'!#REF!)-1)))+((4-INDEX('CONTROL MASTER'!$Z$2:$Z$495,(SUMPRODUCT((('CONTROL MASTER'!$S$2:$S$495=7)*('CONTROL MASTER'!$Z$2:$Z$495&lt;=4)*('CONTROL MASTER'!$AB$2:$AB$495&gt;=4)*('CONTROL MASTER'!$AA$2:$AA$495&lt;=5)*('CONTROL MASTER'!$AC$2:$AC$495&gt;=5))*ROW('CONTROL MASTER'!$S$2:$S$495))-(ROW('CONTROL MASTER'!#REF!)-1))))*(INDEX('CONTROL MASTER'!$AC$2:$AC$495,(SUMPRODUCT((('CONTROL MASTER'!$S$2:$S$495=7)*('CONTROL MASTER'!$Z$2:$Z$495&lt;=4)*('CONTROL MASTER'!$AB$2:$AB$495&gt;=4)*('CONTROL MASTER'!$AA$2:$AA$495&lt;=5)*('CONTROL MASTER'!$AC$2:$AC$495&gt;=5))*ROW('CONTROL MASTER'!$S$2:$S$495))-(ROW('CONTROL MASTER'!#REF!)-1)))-INDEX('CONTROL MASTER'!$AA$2:$AA$495,(SUMPRODUCT((('CONTROL MASTER'!$S$2:$S$495=7)*('CONTROL MASTER'!$Z$2:$Z$495&lt;=4)*('CONTROL MASTER'!$AB$2:$AB$495&gt;=4)*('CONTROL MASTER'!$AA$2:$AA$495&lt;=5)*('CONTROL MASTER'!$AC$2:$AC$495&gt;=5))*ROW('CONTROL MASTER'!$S$2:$S$495))-(ROW('CONTROL MASTER'!#REF!)-1)))+1)+(5-INDEX('CONTROL MASTER'!$AA$2:$AA$495,(SUMPRODUCT((('CONTROL MASTER'!$S$2:$S$495=7)*('CONTROL MASTER'!$Z$2:$Z$495&lt;=4)*('CONTROL MASTER'!$AB$2:$AB$495&gt;=4)*('CONTROL MASTER'!$AA$2:$AA$495&lt;=5)*('CONTROL MASTER'!$AC$2:$AC$495&gt;=5))*ROW('CONTROL MASTER'!$S$2:$S$495))-(ROW('CONTROL MASTER'!#REF!)-1))))+1)))-1)*50+1,50))&amp;"_"&amp;INDEX('CONTROL MASTER'!$P$2:$P$495,(SUMPRODUCT((('CONTROL MASTER'!$S$2:$S$495=7)*('CONTROL MASTER'!$Z$2:$Z$495&lt;=4)*('CONTROL MASTER'!$AB$2:$AB$495&gt;=4)*('CONTROL MASTER'!$AA$2:$AA$495&lt;=5)*('CONTROL MASTER'!$AC$2:$AC$495&gt;=5))*ROW('CONTROL MASTER'!$S$2:$S$495))-(ROW('CONTROL MASTER'!#REF!)-1))),"")),"")</f>
        <v/>
      </c>
      <c r="G90" s="10" t="str">
        <f>IFERROR(IF(SUMPRODUCT((('CONTROL MASTER'!$S$2:$S$495=7)*('CONTROL MASTER'!$T$2:$T$495&lt;=4)*('CONTROL MASTER'!$V$2:$V$495&gt;=4)*('CONTROL MASTER'!$U$2:$U$495&lt;=6)*('CONTROL MASTER'!$W$2:$W$495&gt;=6))*ROW('CONTROL MASTER'!$S$2:$S$495))&gt;0,INDEX('CONTROL MASTER'!$X$2:$X$495,(SUMPRODUCT((('CONTROL MASTER'!$S$2:$S$495=7)*('CONTROL MASTER'!$T$2:$T$495&lt;=4)*('CONTROL MASTER'!$V$2:$V$495&gt;=4)*('CONTROL MASTER'!$U$2:$U$495&lt;=6)*('CONTROL MASTER'!$W$2:$W$495&gt;=6))*ROW('CONTROL MASTER'!$S$2:$S$495))-(ROW('CONTROL MASTER'!#REF!)-1)))&amp;TRIM(MID(SUBSTITUTE(SUBSTITUTE(INDEX('CONTROL MASTER'!$N$2:$N$495,(SUMPRODUCT((('CONTROL MASTER'!$S$2:$S$495=7)*('CONTROL MASTER'!$T$2:$T$495&lt;=4)*('CONTROL MASTER'!$V$2:$V$495&gt;=4)*('CONTROL MASTER'!$U$2:$U$495&lt;=6)*('CONTROL MASTER'!$W$2:$W$495&gt;=6))*ROW('CONTROL MASTER'!$S$2:$S$495))-(ROW('CONTROL MASTER'!#REF!)-1))),":",","),",",REPT(" ",50)),((((4-INDEX('CONTROL MASTER'!$T$2:$T$495,(SUMPRODUCT((('CONTROL MASTER'!$S$2:$S$495=7)*('CONTROL MASTER'!$T$2:$T$495&lt;=4)*('CONTROL MASTER'!$V$2:$V$495&gt;=4)*('CONTROL MASTER'!$U$2:$U$495&lt;=6)*('CONTROL MASTER'!$W$2:$W$495&gt;=6))*ROW('CONTROL MASTER'!$S$2:$S$495))-(ROW('CONTROL MASTER'!#REF!)-1))))*(INDEX('CONTROL MASTER'!$W$2:$W$495,(SUMPRODUCT((('CONTROL MASTER'!$S$2:$S$495=7)*('CONTROL MASTER'!$T$2:$T$495&lt;=4)*('CONTROL MASTER'!$V$2:$V$495&gt;=4)*('CONTROL MASTER'!$U$2:$U$495&lt;=6)*('CONTROL MASTER'!$W$2:$W$495&gt;=6))*ROW('CONTROL MASTER'!$S$2:$S$495))-(ROW('CONTROL MASTER'!#REF!)-1)))-INDEX('CONTROL MASTER'!$U$2:$U$495,(SUMPRODUCT((('CONTROL MASTER'!$S$2:$S$495=7)*('CONTROL MASTER'!$T$2:$T$495&lt;=4)*('CONTROL MASTER'!$V$2:$V$495&gt;=4)*('CONTROL MASTER'!$U$2:$U$495&lt;=6)*('CONTROL MASTER'!$W$2:$W$495&gt;=6))*ROW('CONTROL MASTER'!$S$2:$S$495))-(ROW('CONTROL MASTER'!#REF!)-1)))+1)+(6-INDEX('CONTROL MASTER'!$U$2:$U$495,(SUMPRODUCT((('CONTROL MASTER'!$S$2:$S$495=7)*('CONTROL MASTER'!$T$2:$T$495&lt;=4)*('CONTROL MASTER'!$V$2:$V$495&gt;=4)*('CONTROL MASTER'!$U$2:$U$495&lt;=6)*('CONTROL MASTER'!$W$2:$W$495&gt;=6))*ROW('CONTROL MASTER'!$S$2:$S$495))-(ROW('CONTROL MASTER'!#REF!)-1))))+1))-1)*50+1,50))&amp;"_"&amp;INDEX('CONTROL MASTER'!$P$2:$P$495,(SUMPRODUCT((('CONTROL MASTER'!$S$2:$S$495=7)*('CONTROL MASTER'!$T$2:$T$495&lt;=4)*('CONTROL MASTER'!$V$2:$V$495&gt;=4)*('CONTROL MASTER'!$U$2:$U$495&lt;=6)*('CONTROL MASTER'!$W$2:$W$495&gt;=6))*ROW('CONTROL MASTER'!$S$2:$S$495))-(ROW('CONTROL MASTER'!#REF!)-1))),IF(SUMPRODUCT((('CONTROL MASTER'!$S$2:$S$495=7)*('CONTROL MASTER'!$Z$2:$Z$495&lt;=4)*('CONTROL MASTER'!$AB$2:$AB$495&gt;=4)*('CONTROL MASTER'!$AA$2:$AA$495&lt;=6)*('CONTROL MASTER'!$AC$2:$AC$495&gt;=6))*ROW('CONTROL MASTER'!$S$2:$S$495))&gt;0,INDEX('CONTROL MASTER'!$X$2:$X$495,(SUMPRODUCT((('CONTROL MASTER'!$S$2:$S$495=7)*('CONTROL MASTER'!$Z$2:$Z$495&lt;=4)*('CONTROL MASTER'!$AB$2:$AB$495&gt;=4)*('CONTROL MASTER'!$AA$2:$AA$495&lt;=6)*('CONTROL MASTER'!$AC$2:$AC$495&gt;=6))*ROW('CONTROL MASTER'!$S$2:$S$495))-(ROW('CONTROL MASTER'!#REF!)-1)))&amp;TRIM(MID(SUBSTITUTE(SUBSTITUTE(INDEX('CONTROL MASTER'!$N$2:$N$495,(SUMPRODUCT((('CONTROL MASTER'!$S$2:$S$495=7)*('CONTROL MASTER'!$Z$2:$Z$495&lt;=4)*('CONTROL MASTER'!$AB$2:$AB$495&gt;=4)*('CONTROL MASTER'!$AA$2:$AA$495&lt;=6)*('CONTROL MASTER'!$AC$2:$AC$495&gt;=6))*ROW('CONTROL MASTER'!$S$2:$S$495))-(ROW('CONTROL MASTER'!#REF!)-1))),":",","),",",REPT(" ",50)),(((INDEX('CONTROL MASTER'!$Y$2:$Y$495,(SUMPRODUCT((('CONTROL MASTER'!$S$2:$S$495=7)*('CONTROL MASTER'!$Z$2:$Z$495&lt;=4)*('CONTROL MASTER'!$AB$2:$AB$495&gt;=4)*('CONTROL MASTER'!$AA$2:$AA$495&lt;=6)*('CONTROL MASTER'!$AC$2:$AC$495&gt;=6))*ROW('CONTROL MASTER'!$S$2:$S$495))-(ROW('CONTROL MASTER'!#REF!)-1)))+((4-INDEX('CONTROL MASTER'!$Z$2:$Z$495,(SUMPRODUCT((('CONTROL MASTER'!$S$2:$S$495=7)*('CONTROL MASTER'!$Z$2:$Z$495&lt;=4)*('CONTROL MASTER'!$AB$2:$AB$495&gt;=4)*('CONTROL MASTER'!$AA$2:$AA$495&lt;=6)*('CONTROL MASTER'!$AC$2:$AC$495&gt;=6))*ROW('CONTROL MASTER'!$S$2:$S$495))-(ROW('CONTROL MASTER'!#REF!)-1))))*(INDEX('CONTROL MASTER'!$AC$2:$AC$495,(SUMPRODUCT((('CONTROL MASTER'!$S$2:$S$495=7)*('CONTROL MASTER'!$Z$2:$Z$495&lt;=4)*('CONTROL MASTER'!$AB$2:$AB$495&gt;=4)*('CONTROL MASTER'!$AA$2:$AA$495&lt;=6)*('CONTROL MASTER'!$AC$2:$AC$495&gt;=6))*ROW('CONTROL MASTER'!$S$2:$S$495))-(ROW('CONTROL MASTER'!#REF!)-1)))-INDEX('CONTROL MASTER'!$AA$2:$AA$495,(SUMPRODUCT((('CONTROL MASTER'!$S$2:$S$495=7)*('CONTROL MASTER'!$Z$2:$Z$495&lt;=4)*('CONTROL MASTER'!$AB$2:$AB$495&gt;=4)*('CONTROL MASTER'!$AA$2:$AA$495&lt;=6)*('CONTROL MASTER'!$AC$2:$AC$495&gt;=6))*ROW('CONTROL MASTER'!$S$2:$S$495))-(ROW('CONTROL MASTER'!#REF!)-1)))+1)+(6-INDEX('CONTROL MASTER'!$AA$2:$AA$495,(SUMPRODUCT((('CONTROL MASTER'!$S$2:$S$495=7)*('CONTROL MASTER'!$Z$2:$Z$495&lt;=4)*('CONTROL MASTER'!$AB$2:$AB$495&gt;=4)*('CONTROL MASTER'!$AA$2:$AA$495&lt;=6)*('CONTROL MASTER'!$AC$2:$AC$495&gt;=6))*ROW('CONTROL MASTER'!$S$2:$S$495))-(ROW('CONTROL MASTER'!#REF!)-1))))+1)))-1)*50+1,50))&amp;"_"&amp;INDEX('CONTROL MASTER'!$P$2:$P$495,(SUMPRODUCT((('CONTROL MASTER'!$S$2:$S$495=7)*('CONTROL MASTER'!$Z$2:$Z$495&lt;=4)*('CONTROL MASTER'!$AB$2:$AB$495&gt;=4)*('CONTROL MASTER'!$AA$2:$AA$495&lt;=6)*('CONTROL MASTER'!$AC$2:$AC$495&gt;=6))*ROW('CONTROL MASTER'!$S$2:$S$495))-(ROW('CONTROL MASTER'!#REF!)-1))),"")),"")</f>
        <v/>
      </c>
      <c r="H90" s="10" t="str">
        <f>IFERROR(IF(SUMPRODUCT((('CONTROL MASTER'!$S$2:$S$495=7)*('CONTROL MASTER'!$T$2:$T$495&lt;=4)*('CONTROL MASTER'!$V$2:$V$495&gt;=4)*('CONTROL MASTER'!$U$2:$U$495&lt;=7)*('CONTROL MASTER'!$W$2:$W$495&gt;=7))*ROW('CONTROL MASTER'!$S$2:$S$495))&gt;0,INDEX('CONTROL MASTER'!$X$2:$X$495,(SUMPRODUCT((('CONTROL MASTER'!$S$2:$S$495=7)*('CONTROL MASTER'!$T$2:$T$495&lt;=4)*('CONTROL MASTER'!$V$2:$V$495&gt;=4)*('CONTROL MASTER'!$U$2:$U$495&lt;=7)*('CONTROL MASTER'!$W$2:$W$495&gt;=7))*ROW('CONTROL MASTER'!$S$2:$S$495))-(ROW('CONTROL MASTER'!#REF!)-1)))&amp;TRIM(MID(SUBSTITUTE(SUBSTITUTE(INDEX('CONTROL MASTER'!$N$2:$N$495,(SUMPRODUCT((('CONTROL MASTER'!$S$2:$S$495=7)*('CONTROL MASTER'!$T$2:$T$495&lt;=4)*('CONTROL MASTER'!$V$2:$V$495&gt;=4)*('CONTROL MASTER'!$U$2:$U$495&lt;=7)*('CONTROL MASTER'!$W$2:$W$495&gt;=7))*ROW('CONTROL MASTER'!$S$2:$S$495))-(ROW('CONTROL MASTER'!#REF!)-1))),":",","),",",REPT(" ",50)),((((4-INDEX('CONTROL MASTER'!$T$2:$T$495,(SUMPRODUCT((('CONTROL MASTER'!$S$2:$S$495=7)*('CONTROL MASTER'!$T$2:$T$495&lt;=4)*('CONTROL MASTER'!$V$2:$V$495&gt;=4)*('CONTROL MASTER'!$U$2:$U$495&lt;=7)*('CONTROL MASTER'!$W$2:$W$495&gt;=7))*ROW('CONTROL MASTER'!$S$2:$S$495))-(ROW('CONTROL MASTER'!#REF!)-1))))*(INDEX('CONTROL MASTER'!$W$2:$W$495,(SUMPRODUCT((('CONTROL MASTER'!$S$2:$S$495=7)*('CONTROL MASTER'!$T$2:$T$495&lt;=4)*('CONTROL MASTER'!$V$2:$V$495&gt;=4)*('CONTROL MASTER'!$U$2:$U$495&lt;=7)*('CONTROL MASTER'!$W$2:$W$495&gt;=7))*ROW('CONTROL MASTER'!$S$2:$S$495))-(ROW('CONTROL MASTER'!#REF!)-1)))-INDEX('CONTROL MASTER'!$U$2:$U$495,(SUMPRODUCT((('CONTROL MASTER'!$S$2:$S$495=7)*('CONTROL MASTER'!$T$2:$T$495&lt;=4)*('CONTROL MASTER'!$V$2:$V$495&gt;=4)*('CONTROL MASTER'!$U$2:$U$495&lt;=7)*('CONTROL MASTER'!$W$2:$W$495&gt;=7))*ROW('CONTROL MASTER'!$S$2:$S$495))-(ROW('CONTROL MASTER'!#REF!)-1)))+1)+(7-INDEX('CONTROL MASTER'!$U$2:$U$495,(SUMPRODUCT((('CONTROL MASTER'!$S$2:$S$495=7)*('CONTROL MASTER'!$T$2:$T$495&lt;=4)*('CONTROL MASTER'!$V$2:$V$495&gt;=4)*('CONTROL MASTER'!$U$2:$U$495&lt;=7)*('CONTROL MASTER'!$W$2:$W$495&gt;=7))*ROW('CONTROL MASTER'!$S$2:$S$495))-(ROW('CONTROL MASTER'!#REF!)-1))))+1))-1)*50+1,50))&amp;"_"&amp;INDEX('CONTROL MASTER'!$P$2:$P$495,(SUMPRODUCT((('CONTROL MASTER'!$S$2:$S$495=7)*('CONTROL MASTER'!$T$2:$T$495&lt;=4)*('CONTROL MASTER'!$V$2:$V$495&gt;=4)*('CONTROL MASTER'!$U$2:$U$495&lt;=7)*('CONTROL MASTER'!$W$2:$W$495&gt;=7))*ROW('CONTROL MASTER'!$S$2:$S$495))-(ROW('CONTROL MASTER'!#REF!)-1))),IF(SUMPRODUCT((('CONTROL MASTER'!$S$2:$S$495=7)*('CONTROL MASTER'!$Z$2:$Z$495&lt;=4)*('CONTROL MASTER'!$AB$2:$AB$495&gt;=4)*('CONTROL MASTER'!$AA$2:$AA$495&lt;=7)*('CONTROL MASTER'!$AC$2:$AC$495&gt;=7))*ROW('CONTROL MASTER'!$S$2:$S$495))&gt;0,INDEX('CONTROL MASTER'!$X$2:$X$495,(SUMPRODUCT((('CONTROL MASTER'!$S$2:$S$495=7)*('CONTROL MASTER'!$Z$2:$Z$495&lt;=4)*('CONTROL MASTER'!$AB$2:$AB$495&gt;=4)*('CONTROL MASTER'!$AA$2:$AA$495&lt;=7)*('CONTROL MASTER'!$AC$2:$AC$495&gt;=7))*ROW('CONTROL MASTER'!$S$2:$S$495))-(ROW('CONTROL MASTER'!#REF!)-1)))&amp;TRIM(MID(SUBSTITUTE(SUBSTITUTE(INDEX('CONTROL MASTER'!$N$2:$N$495,(SUMPRODUCT((('CONTROL MASTER'!$S$2:$S$495=7)*('CONTROL MASTER'!$Z$2:$Z$495&lt;=4)*('CONTROL MASTER'!$AB$2:$AB$495&gt;=4)*('CONTROL MASTER'!$AA$2:$AA$495&lt;=7)*('CONTROL MASTER'!$AC$2:$AC$495&gt;=7))*ROW('CONTROL MASTER'!$S$2:$S$495))-(ROW('CONTROL MASTER'!#REF!)-1))),":",","),",",REPT(" ",50)),(((INDEX('CONTROL MASTER'!$Y$2:$Y$495,(SUMPRODUCT((('CONTROL MASTER'!$S$2:$S$495=7)*('CONTROL MASTER'!$Z$2:$Z$495&lt;=4)*('CONTROL MASTER'!$AB$2:$AB$495&gt;=4)*('CONTROL MASTER'!$AA$2:$AA$495&lt;=7)*('CONTROL MASTER'!$AC$2:$AC$495&gt;=7))*ROW('CONTROL MASTER'!$S$2:$S$495))-(ROW('CONTROL MASTER'!#REF!)-1)))+((4-INDEX('CONTROL MASTER'!$Z$2:$Z$495,(SUMPRODUCT((('CONTROL MASTER'!$S$2:$S$495=7)*('CONTROL MASTER'!$Z$2:$Z$495&lt;=4)*('CONTROL MASTER'!$AB$2:$AB$495&gt;=4)*('CONTROL MASTER'!$AA$2:$AA$495&lt;=7)*('CONTROL MASTER'!$AC$2:$AC$495&gt;=7))*ROW('CONTROL MASTER'!$S$2:$S$495))-(ROW('CONTROL MASTER'!#REF!)-1))))*(INDEX('CONTROL MASTER'!$AC$2:$AC$495,(SUMPRODUCT((('CONTROL MASTER'!$S$2:$S$495=7)*('CONTROL MASTER'!$Z$2:$Z$495&lt;=4)*('CONTROL MASTER'!$AB$2:$AB$495&gt;=4)*('CONTROL MASTER'!$AA$2:$AA$495&lt;=7)*('CONTROL MASTER'!$AC$2:$AC$495&gt;=7))*ROW('CONTROL MASTER'!$S$2:$S$495))-(ROW('CONTROL MASTER'!#REF!)-1)))-INDEX('CONTROL MASTER'!$AA$2:$AA$495,(SUMPRODUCT((('CONTROL MASTER'!$S$2:$S$495=7)*('CONTROL MASTER'!$Z$2:$Z$495&lt;=4)*('CONTROL MASTER'!$AB$2:$AB$495&gt;=4)*('CONTROL MASTER'!$AA$2:$AA$495&lt;=7)*('CONTROL MASTER'!$AC$2:$AC$495&gt;=7))*ROW('CONTROL MASTER'!$S$2:$S$495))-(ROW('CONTROL MASTER'!#REF!)-1)))+1)+(7-INDEX('CONTROL MASTER'!$AA$2:$AA$495,(SUMPRODUCT((('CONTROL MASTER'!$S$2:$S$495=7)*('CONTROL MASTER'!$Z$2:$Z$495&lt;=4)*('CONTROL MASTER'!$AB$2:$AB$495&gt;=4)*('CONTROL MASTER'!$AA$2:$AA$495&lt;=7)*('CONTROL MASTER'!$AC$2:$AC$495&gt;=7))*ROW('CONTROL MASTER'!$S$2:$S$495))-(ROW('CONTROL MASTER'!#REF!)-1))))+1)))-1)*50+1,50))&amp;"_"&amp;INDEX('CONTROL MASTER'!$P$2:$P$495,(SUMPRODUCT((('CONTROL MASTER'!$S$2:$S$495=7)*('CONTROL MASTER'!$Z$2:$Z$495&lt;=4)*('CONTROL MASTER'!$AB$2:$AB$495&gt;=4)*('CONTROL MASTER'!$AA$2:$AA$495&lt;=7)*('CONTROL MASTER'!$AC$2:$AC$495&gt;=7))*ROW('CONTROL MASTER'!$S$2:$S$495))-(ROW('CONTROL MASTER'!#REF!)-1))),"")),"")</f>
        <v/>
      </c>
      <c r="I90" s="10" t="str">
        <f>IFERROR(IF(SUMPRODUCT((('CONTROL MASTER'!$S$2:$S$495=7)*('CONTROL MASTER'!$T$2:$T$495&lt;=4)*('CONTROL MASTER'!$V$2:$V$495&gt;=4)*('CONTROL MASTER'!$U$2:$U$495&lt;=8)*('CONTROL MASTER'!$W$2:$W$495&gt;=8))*ROW('CONTROL MASTER'!$S$2:$S$495))&gt;0,INDEX('CONTROL MASTER'!$X$2:$X$495,(SUMPRODUCT((('CONTROL MASTER'!$S$2:$S$495=7)*('CONTROL MASTER'!$T$2:$T$495&lt;=4)*('CONTROL MASTER'!$V$2:$V$495&gt;=4)*('CONTROL MASTER'!$U$2:$U$495&lt;=8)*('CONTROL MASTER'!$W$2:$W$495&gt;=8))*ROW('CONTROL MASTER'!$S$2:$S$495))-(ROW('CONTROL MASTER'!#REF!)-1)))&amp;TRIM(MID(SUBSTITUTE(SUBSTITUTE(INDEX('CONTROL MASTER'!$N$2:$N$495,(SUMPRODUCT((('CONTROL MASTER'!$S$2:$S$495=7)*('CONTROL MASTER'!$T$2:$T$495&lt;=4)*('CONTROL MASTER'!$V$2:$V$495&gt;=4)*('CONTROL MASTER'!$U$2:$U$495&lt;=8)*('CONTROL MASTER'!$W$2:$W$495&gt;=8))*ROW('CONTROL MASTER'!$S$2:$S$495))-(ROW('CONTROL MASTER'!#REF!)-1))),":",","),",",REPT(" ",50)),((((4-INDEX('CONTROL MASTER'!$T$2:$T$495,(SUMPRODUCT((('CONTROL MASTER'!$S$2:$S$495=7)*('CONTROL MASTER'!$T$2:$T$495&lt;=4)*('CONTROL MASTER'!$V$2:$V$495&gt;=4)*('CONTROL MASTER'!$U$2:$U$495&lt;=8)*('CONTROL MASTER'!$W$2:$W$495&gt;=8))*ROW('CONTROL MASTER'!$S$2:$S$495))-(ROW('CONTROL MASTER'!#REF!)-1))))*(INDEX('CONTROL MASTER'!$W$2:$W$495,(SUMPRODUCT((('CONTROL MASTER'!$S$2:$S$495=7)*('CONTROL MASTER'!$T$2:$T$495&lt;=4)*('CONTROL MASTER'!$V$2:$V$495&gt;=4)*('CONTROL MASTER'!$U$2:$U$495&lt;=8)*('CONTROL MASTER'!$W$2:$W$495&gt;=8))*ROW('CONTROL MASTER'!$S$2:$S$495))-(ROW('CONTROL MASTER'!#REF!)-1)))-INDEX('CONTROL MASTER'!$U$2:$U$495,(SUMPRODUCT((('CONTROL MASTER'!$S$2:$S$495=7)*('CONTROL MASTER'!$T$2:$T$495&lt;=4)*('CONTROL MASTER'!$V$2:$V$495&gt;=4)*('CONTROL MASTER'!$U$2:$U$495&lt;=8)*('CONTROL MASTER'!$W$2:$W$495&gt;=8))*ROW('CONTROL MASTER'!$S$2:$S$495))-(ROW('CONTROL MASTER'!#REF!)-1)))+1)+(8-INDEX('CONTROL MASTER'!$U$2:$U$495,(SUMPRODUCT((('CONTROL MASTER'!$S$2:$S$495=7)*('CONTROL MASTER'!$T$2:$T$495&lt;=4)*('CONTROL MASTER'!$V$2:$V$495&gt;=4)*('CONTROL MASTER'!$U$2:$U$495&lt;=8)*('CONTROL MASTER'!$W$2:$W$495&gt;=8))*ROW('CONTROL MASTER'!$S$2:$S$495))-(ROW('CONTROL MASTER'!#REF!)-1))))+1))-1)*50+1,50))&amp;"_"&amp;INDEX('CONTROL MASTER'!$P$2:$P$495,(SUMPRODUCT((('CONTROL MASTER'!$S$2:$S$495=7)*('CONTROL MASTER'!$T$2:$T$495&lt;=4)*('CONTROL MASTER'!$V$2:$V$495&gt;=4)*('CONTROL MASTER'!$U$2:$U$495&lt;=8)*('CONTROL MASTER'!$W$2:$W$495&gt;=8))*ROW('CONTROL MASTER'!$S$2:$S$495))-(ROW('CONTROL MASTER'!#REF!)-1))),IF(SUMPRODUCT((('CONTROL MASTER'!$S$2:$S$495=7)*('CONTROL MASTER'!$Z$2:$Z$495&lt;=4)*('CONTROL MASTER'!$AB$2:$AB$495&gt;=4)*('CONTROL MASTER'!$AA$2:$AA$495&lt;=8)*('CONTROL MASTER'!$AC$2:$AC$495&gt;=8))*ROW('CONTROL MASTER'!$S$2:$S$495))&gt;0,INDEX('CONTROL MASTER'!$X$2:$X$495,(SUMPRODUCT((('CONTROL MASTER'!$S$2:$S$495=7)*('CONTROL MASTER'!$Z$2:$Z$495&lt;=4)*('CONTROL MASTER'!$AB$2:$AB$495&gt;=4)*('CONTROL MASTER'!$AA$2:$AA$495&lt;=8)*('CONTROL MASTER'!$AC$2:$AC$495&gt;=8))*ROW('CONTROL MASTER'!$S$2:$S$495))-(ROW('CONTROL MASTER'!#REF!)-1)))&amp;TRIM(MID(SUBSTITUTE(SUBSTITUTE(INDEX('CONTROL MASTER'!$N$2:$N$495,(SUMPRODUCT((('CONTROL MASTER'!$S$2:$S$495=7)*('CONTROL MASTER'!$Z$2:$Z$495&lt;=4)*('CONTROL MASTER'!$AB$2:$AB$495&gt;=4)*('CONTROL MASTER'!$AA$2:$AA$495&lt;=8)*('CONTROL MASTER'!$AC$2:$AC$495&gt;=8))*ROW('CONTROL MASTER'!$S$2:$S$495))-(ROW('CONTROL MASTER'!#REF!)-1))),":",","),",",REPT(" ",50)),(((INDEX('CONTROL MASTER'!$Y$2:$Y$495,(SUMPRODUCT((('CONTROL MASTER'!$S$2:$S$495=7)*('CONTROL MASTER'!$Z$2:$Z$495&lt;=4)*('CONTROL MASTER'!$AB$2:$AB$495&gt;=4)*('CONTROL MASTER'!$AA$2:$AA$495&lt;=8)*('CONTROL MASTER'!$AC$2:$AC$495&gt;=8))*ROW('CONTROL MASTER'!$S$2:$S$495))-(ROW('CONTROL MASTER'!#REF!)-1)))+((4-INDEX('CONTROL MASTER'!$Z$2:$Z$495,(SUMPRODUCT((('CONTROL MASTER'!$S$2:$S$495=7)*('CONTROL MASTER'!$Z$2:$Z$495&lt;=4)*('CONTROL MASTER'!$AB$2:$AB$495&gt;=4)*('CONTROL MASTER'!$AA$2:$AA$495&lt;=8)*('CONTROL MASTER'!$AC$2:$AC$495&gt;=8))*ROW('CONTROL MASTER'!$S$2:$S$495))-(ROW('CONTROL MASTER'!#REF!)-1))))*(INDEX('CONTROL MASTER'!$AC$2:$AC$495,(SUMPRODUCT((('CONTROL MASTER'!$S$2:$S$495=7)*('CONTROL MASTER'!$Z$2:$Z$495&lt;=4)*('CONTROL MASTER'!$AB$2:$AB$495&gt;=4)*('CONTROL MASTER'!$AA$2:$AA$495&lt;=8)*('CONTROL MASTER'!$AC$2:$AC$495&gt;=8))*ROW('CONTROL MASTER'!$S$2:$S$495))-(ROW('CONTROL MASTER'!#REF!)-1)))-INDEX('CONTROL MASTER'!$AA$2:$AA$495,(SUMPRODUCT((('CONTROL MASTER'!$S$2:$S$495=7)*('CONTROL MASTER'!$Z$2:$Z$495&lt;=4)*('CONTROL MASTER'!$AB$2:$AB$495&gt;=4)*('CONTROL MASTER'!$AA$2:$AA$495&lt;=8)*('CONTROL MASTER'!$AC$2:$AC$495&gt;=8))*ROW('CONTROL MASTER'!$S$2:$S$495))-(ROW('CONTROL MASTER'!#REF!)-1)))+1)+(8-INDEX('CONTROL MASTER'!$AA$2:$AA$495,(SUMPRODUCT((('CONTROL MASTER'!$S$2:$S$495=7)*('CONTROL MASTER'!$Z$2:$Z$495&lt;=4)*('CONTROL MASTER'!$AB$2:$AB$495&gt;=4)*('CONTROL MASTER'!$AA$2:$AA$495&lt;=8)*('CONTROL MASTER'!$AC$2:$AC$495&gt;=8))*ROW('CONTROL MASTER'!$S$2:$S$495))-(ROW('CONTROL MASTER'!#REF!)-1))))+1)))-1)*50+1,50))&amp;"_"&amp;INDEX('CONTROL MASTER'!$P$2:$P$495,(SUMPRODUCT((('CONTROL MASTER'!$S$2:$S$495=7)*('CONTROL MASTER'!$Z$2:$Z$495&lt;=4)*('CONTROL MASTER'!$AB$2:$AB$495&gt;=4)*('CONTROL MASTER'!$AA$2:$AA$495&lt;=8)*('CONTROL MASTER'!$AC$2:$AC$495&gt;=8))*ROW('CONTROL MASTER'!$S$2:$S$495))-(ROW('CONTROL MASTER'!#REF!)-1))),"")),"")</f>
        <v/>
      </c>
      <c r="J90" s="10" t="str">
        <f>IFERROR(IF(SUMPRODUCT((('CONTROL MASTER'!$S$2:$S$495=7)*('CONTROL MASTER'!$T$2:$T$495&lt;=4)*('CONTROL MASTER'!$V$2:$V$495&gt;=4)*('CONTROL MASTER'!$U$2:$U$495&lt;=9)*('CONTROL MASTER'!$W$2:$W$495&gt;=9))*ROW('CONTROL MASTER'!$S$2:$S$495))&gt;0,INDEX('CONTROL MASTER'!$X$2:$X$495,(SUMPRODUCT((('CONTROL MASTER'!$S$2:$S$495=7)*('CONTROL MASTER'!$T$2:$T$495&lt;=4)*('CONTROL MASTER'!$V$2:$V$495&gt;=4)*('CONTROL MASTER'!$U$2:$U$495&lt;=9)*('CONTROL MASTER'!$W$2:$W$495&gt;=9))*ROW('CONTROL MASTER'!$S$2:$S$495))-(ROW('CONTROL MASTER'!#REF!)-1)))&amp;TRIM(MID(SUBSTITUTE(SUBSTITUTE(INDEX('CONTROL MASTER'!$N$2:$N$495,(SUMPRODUCT((('CONTROL MASTER'!$S$2:$S$495=7)*('CONTROL MASTER'!$T$2:$T$495&lt;=4)*('CONTROL MASTER'!$V$2:$V$495&gt;=4)*('CONTROL MASTER'!$U$2:$U$495&lt;=9)*('CONTROL MASTER'!$W$2:$W$495&gt;=9))*ROW('CONTROL MASTER'!$S$2:$S$495))-(ROW('CONTROL MASTER'!#REF!)-1))),":",","),",",REPT(" ",50)),((((4-INDEX('CONTROL MASTER'!$T$2:$T$495,(SUMPRODUCT((('CONTROL MASTER'!$S$2:$S$495=7)*('CONTROL MASTER'!$T$2:$T$495&lt;=4)*('CONTROL MASTER'!$V$2:$V$495&gt;=4)*('CONTROL MASTER'!$U$2:$U$495&lt;=9)*('CONTROL MASTER'!$W$2:$W$495&gt;=9))*ROW('CONTROL MASTER'!$S$2:$S$495))-(ROW('CONTROL MASTER'!#REF!)-1))))*(INDEX('CONTROL MASTER'!$W$2:$W$495,(SUMPRODUCT((('CONTROL MASTER'!$S$2:$S$495=7)*('CONTROL MASTER'!$T$2:$T$495&lt;=4)*('CONTROL MASTER'!$V$2:$V$495&gt;=4)*('CONTROL MASTER'!$U$2:$U$495&lt;=9)*('CONTROL MASTER'!$W$2:$W$495&gt;=9))*ROW('CONTROL MASTER'!$S$2:$S$495))-(ROW('CONTROL MASTER'!#REF!)-1)))-INDEX('CONTROL MASTER'!$U$2:$U$495,(SUMPRODUCT((('CONTROL MASTER'!$S$2:$S$495=7)*('CONTROL MASTER'!$T$2:$T$495&lt;=4)*('CONTROL MASTER'!$V$2:$V$495&gt;=4)*('CONTROL MASTER'!$U$2:$U$495&lt;=9)*('CONTROL MASTER'!$W$2:$W$495&gt;=9))*ROW('CONTROL MASTER'!$S$2:$S$495))-(ROW('CONTROL MASTER'!#REF!)-1)))+1)+(9-INDEX('CONTROL MASTER'!$U$2:$U$495,(SUMPRODUCT((('CONTROL MASTER'!$S$2:$S$495=7)*('CONTROL MASTER'!$T$2:$T$495&lt;=4)*('CONTROL MASTER'!$V$2:$V$495&gt;=4)*('CONTROL MASTER'!$U$2:$U$495&lt;=9)*('CONTROL MASTER'!$W$2:$W$495&gt;=9))*ROW('CONTROL MASTER'!$S$2:$S$495))-(ROW('CONTROL MASTER'!#REF!)-1))))+1))-1)*50+1,50))&amp;"_"&amp;INDEX('CONTROL MASTER'!$P$2:$P$495,(SUMPRODUCT((('CONTROL MASTER'!$S$2:$S$495=7)*('CONTROL MASTER'!$T$2:$T$495&lt;=4)*('CONTROL MASTER'!$V$2:$V$495&gt;=4)*('CONTROL MASTER'!$U$2:$U$495&lt;=9)*('CONTROL MASTER'!$W$2:$W$495&gt;=9))*ROW('CONTROL MASTER'!$S$2:$S$495))-(ROW('CONTROL MASTER'!#REF!)-1))),IF(SUMPRODUCT((('CONTROL MASTER'!$S$2:$S$495=7)*('CONTROL MASTER'!$Z$2:$Z$495&lt;=4)*('CONTROL MASTER'!$AB$2:$AB$495&gt;=4)*('CONTROL MASTER'!$AA$2:$AA$495&lt;=9)*('CONTROL MASTER'!$AC$2:$AC$495&gt;=9))*ROW('CONTROL MASTER'!$S$2:$S$495))&gt;0,INDEX('CONTROL MASTER'!$X$2:$X$495,(SUMPRODUCT((('CONTROL MASTER'!$S$2:$S$495=7)*('CONTROL MASTER'!$Z$2:$Z$495&lt;=4)*('CONTROL MASTER'!$AB$2:$AB$495&gt;=4)*('CONTROL MASTER'!$AA$2:$AA$495&lt;=9)*('CONTROL MASTER'!$AC$2:$AC$495&gt;=9))*ROW('CONTROL MASTER'!$S$2:$S$495))-(ROW('CONTROL MASTER'!#REF!)-1)))&amp;TRIM(MID(SUBSTITUTE(SUBSTITUTE(INDEX('CONTROL MASTER'!$N$2:$N$495,(SUMPRODUCT((('CONTROL MASTER'!$S$2:$S$495=7)*('CONTROL MASTER'!$Z$2:$Z$495&lt;=4)*('CONTROL MASTER'!$AB$2:$AB$495&gt;=4)*('CONTROL MASTER'!$AA$2:$AA$495&lt;=9)*('CONTROL MASTER'!$AC$2:$AC$495&gt;=9))*ROW('CONTROL MASTER'!$S$2:$S$495))-(ROW('CONTROL MASTER'!#REF!)-1))),":",","),",",REPT(" ",50)),(((INDEX('CONTROL MASTER'!$Y$2:$Y$495,(SUMPRODUCT((('CONTROL MASTER'!$S$2:$S$495=7)*('CONTROL MASTER'!$Z$2:$Z$495&lt;=4)*('CONTROL MASTER'!$AB$2:$AB$495&gt;=4)*('CONTROL MASTER'!$AA$2:$AA$495&lt;=9)*('CONTROL MASTER'!$AC$2:$AC$495&gt;=9))*ROW('CONTROL MASTER'!$S$2:$S$495))-(ROW('CONTROL MASTER'!#REF!)-1)))+((4-INDEX('CONTROL MASTER'!$Z$2:$Z$495,(SUMPRODUCT((('CONTROL MASTER'!$S$2:$S$495=7)*('CONTROL MASTER'!$Z$2:$Z$495&lt;=4)*('CONTROL MASTER'!$AB$2:$AB$495&gt;=4)*('CONTROL MASTER'!$AA$2:$AA$495&lt;=9)*('CONTROL MASTER'!$AC$2:$AC$495&gt;=9))*ROW('CONTROL MASTER'!$S$2:$S$495))-(ROW('CONTROL MASTER'!#REF!)-1))))*(INDEX('CONTROL MASTER'!$AC$2:$AC$495,(SUMPRODUCT((('CONTROL MASTER'!$S$2:$S$495=7)*('CONTROL MASTER'!$Z$2:$Z$495&lt;=4)*('CONTROL MASTER'!$AB$2:$AB$495&gt;=4)*('CONTROL MASTER'!$AA$2:$AA$495&lt;=9)*('CONTROL MASTER'!$AC$2:$AC$495&gt;=9))*ROW('CONTROL MASTER'!$S$2:$S$495))-(ROW('CONTROL MASTER'!#REF!)-1)))-INDEX('CONTROL MASTER'!$AA$2:$AA$495,(SUMPRODUCT((('CONTROL MASTER'!$S$2:$S$495=7)*('CONTROL MASTER'!$Z$2:$Z$495&lt;=4)*('CONTROL MASTER'!$AB$2:$AB$495&gt;=4)*('CONTROL MASTER'!$AA$2:$AA$495&lt;=9)*('CONTROL MASTER'!$AC$2:$AC$495&gt;=9))*ROW('CONTROL MASTER'!$S$2:$S$495))-(ROW('CONTROL MASTER'!#REF!)-1)))+1)+(9-INDEX('CONTROL MASTER'!$AA$2:$AA$495,(SUMPRODUCT((('CONTROL MASTER'!$S$2:$S$495=7)*('CONTROL MASTER'!$Z$2:$Z$495&lt;=4)*('CONTROL MASTER'!$AB$2:$AB$495&gt;=4)*('CONTROL MASTER'!$AA$2:$AA$495&lt;=9)*('CONTROL MASTER'!$AC$2:$AC$495&gt;=9))*ROW('CONTROL MASTER'!$S$2:$S$495))-(ROW('CONTROL MASTER'!#REF!)-1))))+1)))-1)*50+1,50))&amp;"_"&amp;INDEX('CONTROL MASTER'!$P$2:$P$495,(SUMPRODUCT((('CONTROL MASTER'!$S$2:$S$495=7)*('CONTROL MASTER'!$Z$2:$Z$495&lt;=4)*('CONTROL MASTER'!$AB$2:$AB$495&gt;=4)*('CONTROL MASTER'!$AA$2:$AA$495&lt;=9)*('CONTROL MASTER'!$AC$2:$AC$495&gt;=9))*ROW('CONTROL MASTER'!$S$2:$S$495))-(ROW('CONTROL MASTER'!#REF!)-1))),"")),"")</f>
        <v/>
      </c>
      <c r="K90" s="10" t="str">
        <f>IFERROR(IF(SUMPRODUCT((('CONTROL MASTER'!$S$2:$S$495=7)*('CONTROL MASTER'!$T$2:$T$495&lt;=4)*('CONTROL MASTER'!$V$2:$V$495&gt;=4)*('CONTROL MASTER'!$U$2:$U$495&lt;=10)*('CONTROL MASTER'!$W$2:$W$495&gt;=10))*ROW('CONTROL MASTER'!$S$2:$S$495))&gt;0,INDEX('CONTROL MASTER'!$X$2:$X$495,(SUMPRODUCT((('CONTROL MASTER'!$S$2:$S$495=7)*('CONTROL MASTER'!$T$2:$T$495&lt;=4)*('CONTROL MASTER'!$V$2:$V$495&gt;=4)*('CONTROL MASTER'!$U$2:$U$495&lt;=10)*('CONTROL MASTER'!$W$2:$W$495&gt;=10))*ROW('CONTROL MASTER'!$S$2:$S$495))-(ROW('CONTROL MASTER'!#REF!)-1)))&amp;TRIM(MID(SUBSTITUTE(SUBSTITUTE(INDEX('CONTROL MASTER'!$N$2:$N$495,(SUMPRODUCT((('CONTROL MASTER'!$S$2:$S$495=7)*('CONTROL MASTER'!$T$2:$T$495&lt;=4)*('CONTROL MASTER'!$V$2:$V$495&gt;=4)*('CONTROL MASTER'!$U$2:$U$495&lt;=10)*('CONTROL MASTER'!$W$2:$W$495&gt;=10))*ROW('CONTROL MASTER'!$S$2:$S$495))-(ROW('CONTROL MASTER'!#REF!)-1))),":",","),",",REPT(" ",50)),((((4-INDEX('CONTROL MASTER'!$T$2:$T$495,(SUMPRODUCT((('CONTROL MASTER'!$S$2:$S$495=7)*('CONTROL MASTER'!$T$2:$T$495&lt;=4)*('CONTROL MASTER'!$V$2:$V$495&gt;=4)*('CONTROL MASTER'!$U$2:$U$495&lt;=10)*('CONTROL MASTER'!$W$2:$W$495&gt;=10))*ROW('CONTROL MASTER'!$S$2:$S$495))-(ROW('CONTROL MASTER'!#REF!)-1))))*(INDEX('CONTROL MASTER'!$W$2:$W$495,(SUMPRODUCT((('CONTROL MASTER'!$S$2:$S$495=7)*('CONTROL MASTER'!$T$2:$T$495&lt;=4)*('CONTROL MASTER'!$V$2:$V$495&gt;=4)*('CONTROL MASTER'!$U$2:$U$495&lt;=10)*('CONTROL MASTER'!$W$2:$W$495&gt;=10))*ROW('CONTROL MASTER'!$S$2:$S$495))-(ROW('CONTROL MASTER'!#REF!)-1)))-INDEX('CONTROL MASTER'!$U$2:$U$495,(SUMPRODUCT((('CONTROL MASTER'!$S$2:$S$495=7)*('CONTROL MASTER'!$T$2:$T$495&lt;=4)*('CONTROL MASTER'!$V$2:$V$495&gt;=4)*('CONTROL MASTER'!$U$2:$U$495&lt;=10)*('CONTROL MASTER'!$W$2:$W$495&gt;=10))*ROW('CONTROL MASTER'!$S$2:$S$495))-(ROW('CONTROL MASTER'!#REF!)-1)))+1)+(10-INDEX('CONTROL MASTER'!$U$2:$U$495,(SUMPRODUCT((('CONTROL MASTER'!$S$2:$S$495=7)*('CONTROL MASTER'!$T$2:$T$495&lt;=4)*('CONTROL MASTER'!$V$2:$V$495&gt;=4)*('CONTROL MASTER'!$U$2:$U$495&lt;=10)*('CONTROL MASTER'!$W$2:$W$495&gt;=10))*ROW('CONTROL MASTER'!$S$2:$S$495))-(ROW('CONTROL MASTER'!#REF!)-1))))+1))-1)*50+1,50))&amp;"_"&amp;INDEX('CONTROL MASTER'!$P$2:$P$495,(SUMPRODUCT((('CONTROL MASTER'!$S$2:$S$495=7)*('CONTROL MASTER'!$T$2:$T$495&lt;=4)*('CONTROL MASTER'!$V$2:$V$495&gt;=4)*('CONTROL MASTER'!$U$2:$U$495&lt;=10)*('CONTROL MASTER'!$W$2:$W$495&gt;=10))*ROW('CONTROL MASTER'!$S$2:$S$495))-(ROW('CONTROL MASTER'!#REF!)-1))),IF(SUMPRODUCT((('CONTROL MASTER'!$S$2:$S$495=7)*('CONTROL MASTER'!$Z$2:$Z$495&lt;=4)*('CONTROL MASTER'!$AB$2:$AB$495&gt;=4)*('CONTROL MASTER'!$AA$2:$AA$495&lt;=10)*('CONTROL MASTER'!$AC$2:$AC$495&gt;=10))*ROW('CONTROL MASTER'!$S$2:$S$495))&gt;0,INDEX('CONTROL MASTER'!$X$2:$X$495,(SUMPRODUCT((('CONTROL MASTER'!$S$2:$S$495=7)*('CONTROL MASTER'!$Z$2:$Z$495&lt;=4)*('CONTROL MASTER'!$AB$2:$AB$495&gt;=4)*('CONTROL MASTER'!$AA$2:$AA$495&lt;=10)*('CONTROL MASTER'!$AC$2:$AC$495&gt;=10))*ROW('CONTROL MASTER'!$S$2:$S$495))-(ROW('CONTROL MASTER'!#REF!)-1)))&amp;TRIM(MID(SUBSTITUTE(SUBSTITUTE(INDEX('CONTROL MASTER'!$N$2:$N$495,(SUMPRODUCT((('CONTROL MASTER'!$S$2:$S$495=7)*('CONTROL MASTER'!$Z$2:$Z$495&lt;=4)*('CONTROL MASTER'!$AB$2:$AB$495&gt;=4)*('CONTROL MASTER'!$AA$2:$AA$495&lt;=10)*('CONTROL MASTER'!$AC$2:$AC$495&gt;=10))*ROW('CONTROL MASTER'!$S$2:$S$495))-(ROW('CONTROL MASTER'!#REF!)-1))),":",","),",",REPT(" ",50)),(((INDEX('CONTROL MASTER'!$Y$2:$Y$495,(SUMPRODUCT((('CONTROL MASTER'!$S$2:$S$495=7)*('CONTROL MASTER'!$Z$2:$Z$495&lt;=4)*('CONTROL MASTER'!$AB$2:$AB$495&gt;=4)*('CONTROL MASTER'!$AA$2:$AA$495&lt;=10)*('CONTROL MASTER'!$AC$2:$AC$495&gt;=10))*ROW('CONTROL MASTER'!$S$2:$S$495))-(ROW('CONTROL MASTER'!#REF!)-1)))+((4-INDEX('CONTROL MASTER'!$Z$2:$Z$495,(SUMPRODUCT((('CONTROL MASTER'!$S$2:$S$495=7)*('CONTROL MASTER'!$Z$2:$Z$495&lt;=4)*('CONTROL MASTER'!$AB$2:$AB$495&gt;=4)*('CONTROL MASTER'!$AA$2:$AA$495&lt;=10)*('CONTROL MASTER'!$AC$2:$AC$495&gt;=10))*ROW('CONTROL MASTER'!$S$2:$S$495))-(ROW('CONTROL MASTER'!#REF!)-1))))*(INDEX('CONTROL MASTER'!$AC$2:$AC$495,(SUMPRODUCT((('CONTROL MASTER'!$S$2:$S$495=7)*('CONTROL MASTER'!$Z$2:$Z$495&lt;=4)*('CONTROL MASTER'!$AB$2:$AB$495&gt;=4)*('CONTROL MASTER'!$AA$2:$AA$495&lt;=10)*('CONTROL MASTER'!$AC$2:$AC$495&gt;=10))*ROW('CONTROL MASTER'!$S$2:$S$495))-(ROW('CONTROL MASTER'!#REF!)-1)))-INDEX('CONTROL MASTER'!$AA$2:$AA$495,(SUMPRODUCT((('CONTROL MASTER'!$S$2:$S$495=7)*('CONTROL MASTER'!$Z$2:$Z$495&lt;=4)*('CONTROL MASTER'!$AB$2:$AB$495&gt;=4)*('CONTROL MASTER'!$AA$2:$AA$495&lt;=10)*('CONTROL MASTER'!$AC$2:$AC$495&gt;=10))*ROW('CONTROL MASTER'!$S$2:$S$495))-(ROW('CONTROL MASTER'!#REF!)-1)))+1)+(10-INDEX('CONTROL MASTER'!$AA$2:$AA$495,(SUMPRODUCT((('CONTROL MASTER'!$S$2:$S$495=7)*('CONTROL MASTER'!$Z$2:$Z$495&lt;=4)*('CONTROL MASTER'!$AB$2:$AB$495&gt;=4)*('CONTROL MASTER'!$AA$2:$AA$495&lt;=10)*('CONTROL MASTER'!$AC$2:$AC$495&gt;=10))*ROW('CONTROL MASTER'!$S$2:$S$495))-(ROW('CONTROL MASTER'!#REF!)-1))))+1)))-1)*50+1,50))&amp;"_"&amp;INDEX('CONTROL MASTER'!$P$2:$P$495,(SUMPRODUCT((('CONTROL MASTER'!$S$2:$S$495=7)*('CONTROL MASTER'!$Z$2:$Z$495&lt;=4)*('CONTROL MASTER'!$AB$2:$AB$495&gt;=4)*('CONTROL MASTER'!$AA$2:$AA$495&lt;=10)*('CONTROL MASTER'!$AC$2:$AC$495&gt;=10))*ROW('CONTROL MASTER'!$S$2:$S$495))-(ROW('CONTROL MASTER'!#REF!)-1))),"")),"")</f>
        <v/>
      </c>
    </row>
    <row r="91" spans="1:11" ht="15" customHeight="1" x14ac:dyDescent="0.35">
      <c r="A91" s="8" t="s">
        <v>32</v>
      </c>
      <c r="B91" s="10" t="str">
        <f>IFERROR(IF(SUMPRODUCT((('CONTROL MASTER'!$S$2:$S$495=7)*('CONTROL MASTER'!$T$2:$T$495&lt;=5)*('CONTROL MASTER'!$V$2:$V$495&gt;=5)*('CONTROL MASTER'!$U$2:$U$495&lt;=1)*('CONTROL MASTER'!$W$2:$W$495&gt;=1))*ROW('CONTROL MASTER'!$S$2:$S$495))&gt;0,INDEX('CONTROL MASTER'!$X$2:$X$495,(SUMPRODUCT((('CONTROL MASTER'!$S$2:$S$495=7)*('CONTROL MASTER'!$T$2:$T$495&lt;=5)*('CONTROL MASTER'!$V$2:$V$495&gt;=5)*('CONTROL MASTER'!$U$2:$U$495&lt;=1)*('CONTROL MASTER'!$W$2:$W$495&gt;=1))*ROW('CONTROL MASTER'!$S$2:$S$495))-(ROW('CONTROL MASTER'!#REF!)-1)))&amp;TRIM(MID(SUBSTITUTE(SUBSTITUTE(INDEX('CONTROL MASTER'!$N$2:$N$495,(SUMPRODUCT((('CONTROL MASTER'!$S$2:$S$495=7)*('CONTROL MASTER'!$T$2:$T$495&lt;=5)*('CONTROL MASTER'!$V$2:$V$495&gt;=5)*('CONTROL MASTER'!$U$2:$U$495&lt;=1)*('CONTROL MASTER'!$W$2:$W$495&gt;=1))*ROW('CONTROL MASTER'!$S$2:$S$495))-(ROW('CONTROL MASTER'!#REF!)-1))),":",","),",",REPT(" ",50)),((((5-INDEX('CONTROL MASTER'!$T$2:$T$495,(SUMPRODUCT((('CONTROL MASTER'!$S$2:$S$495=7)*('CONTROL MASTER'!$T$2:$T$495&lt;=5)*('CONTROL MASTER'!$V$2:$V$495&gt;=5)*('CONTROL MASTER'!$U$2:$U$495&lt;=1)*('CONTROL MASTER'!$W$2:$W$495&gt;=1))*ROW('CONTROL MASTER'!$S$2:$S$495))-(ROW('CONTROL MASTER'!#REF!)-1))))*(INDEX('CONTROL MASTER'!$W$2:$W$495,(SUMPRODUCT((('CONTROL MASTER'!$S$2:$S$495=7)*('CONTROL MASTER'!$T$2:$T$495&lt;=5)*('CONTROL MASTER'!$V$2:$V$495&gt;=5)*('CONTROL MASTER'!$U$2:$U$495&lt;=1)*('CONTROL MASTER'!$W$2:$W$495&gt;=1))*ROW('CONTROL MASTER'!$S$2:$S$495))-(ROW('CONTROL MASTER'!#REF!)-1)))-INDEX('CONTROL MASTER'!$U$2:$U$495,(SUMPRODUCT((('CONTROL MASTER'!$S$2:$S$495=7)*('CONTROL MASTER'!$T$2:$T$495&lt;=5)*('CONTROL MASTER'!$V$2:$V$495&gt;=5)*('CONTROL MASTER'!$U$2:$U$495&lt;=1)*('CONTROL MASTER'!$W$2:$W$495&gt;=1))*ROW('CONTROL MASTER'!$S$2:$S$495))-(ROW('CONTROL MASTER'!#REF!)-1)))+1)+(1-INDEX('CONTROL MASTER'!$U$2:$U$495,(SUMPRODUCT((('CONTROL MASTER'!$S$2:$S$495=7)*('CONTROL MASTER'!$T$2:$T$495&lt;=5)*('CONTROL MASTER'!$V$2:$V$495&gt;=5)*('CONTROL MASTER'!$U$2:$U$495&lt;=1)*('CONTROL MASTER'!$W$2:$W$495&gt;=1))*ROW('CONTROL MASTER'!$S$2:$S$495))-(ROW('CONTROL MASTER'!#REF!)-1))))+1))-1)*50+1,50))&amp;"_"&amp;INDEX('CONTROL MASTER'!$P$2:$P$495,(SUMPRODUCT((('CONTROL MASTER'!$S$2:$S$495=7)*('CONTROL MASTER'!$T$2:$T$495&lt;=5)*('CONTROL MASTER'!$V$2:$V$495&gt;=5)*('CONTROL MASTER'!$U$2:$U$495&lt;=1)*('CONTROL MASTER'!$W$2:$W$495&gt;=1))*ROW('CONTROL MASTER'!$S$2:$S$495))-(ROW('CONTROL MASTER'!#REF!)-1))),IF(SUMPRODUCT((('CONTROL MASTER'!$S$2:$S$495=7)*('CONTROL MASTER'!$Z$2:$Z$495&lt;=5)*('CONTROL MASTER'!$AB$2:$AB$495&gt;=5)*('CONTROL MASTER'!$AA$2:$AA$495&lt;=1)*('CONTROL MASTER'!$AC$2:$AC$495&gt;=1))*ROW('CONTROL MASTER'!$S$2:$S$495))&gt;0,INDEX('CONTROL MASTER'!$X$2:$X$495,(SUMPRODUCT((('CONTROL MASTER'!$S$2:$S$495=7)*('CONTROL MASTER'!$Z$2:$Z$495&lt;=5)*('CONTROL MASTER'!$AB$2:$AB$495&gt;=5)*('CONTROL MASTER'!$AA$2:$AA$495&lt;=1)*('CONTROL MASTER'!$AC$2:$AC$495&gt;=1))*ROW('CONTROL MASTER'!$S$2:$S$495))-(ROW('CONTROL MASTER'!#REF!)-1)))&amp;TRIM(MID(SUBSTITUTE(SUBSTITUTE(INDEX('CONTROL MASTER'!$N$2:$N$495,(SUMPRODUCT((('CONTROL MASTER'!$S$2:$S$495=7)*('CONTROL MASTER'!$Z$2:$Z$495&lt;=5)*('CONTROL MASTER'!$AB$2:$AB$495&gt;=5)*('CONTROL MASTER'!$AA$2:$AA$495&lt;=1)*('CONTROL MASTER'!$AC$2:$AC$495&gt;=1))*ROW('CONTROL MASTER'!$S$2:$S$495))-(ROW('CONTROL MASTER'!#REF!)-1))),":",","),",",REPT(" ",50)),(((INDEX('CONTROL MASTER'!$Y$2:$Y$495,(SUMPRODUCT((('CONTROL MASTER'!$S$2:$S$495=7)*('CONTROL MASTER'!$Z$2:$Z$495&lt;=5)*('CONTROL MASTER'!$AB$2:$AB$495&gt;=5)*('CONTROL MASTER'!$AA$2:$AA$495&lt;=1)*('CONTROL MASTER'!$AC$2:$AC$495&gt;=1))*ROW('CONTROL MASTER'!$S$2:$S$495))-(ROW('CONTROL MASTER'!#REF!)-1)))+((5-INDEX('CONTROL MASTER'!$Z$2:$Z$495,(SUMPRODUCT((('CONTROL MASTER'!$S$2:$S$495=7)*('CONTROL MASTER'!$Z$2:$Z$495&lt;=5)*('CONTROL MASTER'!$AB$2:$AB$495&gt;=5)*('CONTROL MASTER'!$AA$2:$AA$495&lt;=1)*('CONTROL MASTER'!$AC$2:$AC$495&gt;=1))*ROW('CONTROL MASTER'!$S$2:$S$495))-(ROW('CONTROL MASTER'!#REF!)-1))))*(INDEX('CONTROL MASTER'!$AC$2:$AC$495,(SUMPRODUCT((('CONTROL MASTER'!$S$2:$S$495=7)*('CONTROL MASTER'!$Z$2:$Z$495&lt;=5)*('CONTROL MASTER'!$AB$2:$AB$495&gt;=5)*('CONTROL MASTER'!$AA$2:$AA$495&lt;=1)*('CONTROL MASTER'!$AC$2:$AC$495&gt;=1))*ROW('CONTROL MASTER'!$S$2:$S$495))-(ROW('CONTROL MASTER'!#REF!)-1)))-INDEX('CONTROL MASTER'!$AA$2:$AA$495,(SUMPRODUCT((('CONTROL MASTER'!$S$2:$S$495=7)*('CONTROL MASTER'!$Z$2:$Z$495&lt;=5)*('CONTROL MASTER'!$AB$2:$AB$495&gt;=5)*('CONTROL MASTER'!$AA$2:$AA$495&lt;=1)*('CONTROL MASTER'!$AC$2:$AC$495&gt;=1))*ROW('CONTROL MASTER'!$S$2:$S$495))-(ROW('CONTROL MASTER'!#REF!)-1)))+1)+(1-INDEX('CONTROL MASTER'!$AA$2:$AA$495,(SUMPRODUCT((('CONTROL MASTER'!$S$2:$S$495=7)*('CONTROL MASTER'!$Z$2:$Z$495&lt;=5)*('CONTROL MASTER'!$AB$2:$AB$495&gt;=5)*('CONTROL MASTER'!$AA$2:$AA$495&lt;=1)*('CONTROL MASTER'!$AC$2:$AC$495&gt;=1))*ROW('CONTROL MASTER'!$S$2:$S$495))-(ROW('CONTROL MASTER'!#REF!)-1))))+1)))-1)*50+1,50))&amp;"_"&amp;INDEX('CONTROL MASTER'!$P$2:$P$495,(SUMPRODUCT((('CONTROL MASTER'!$S$2:$S$495=7)*('CONTROL MASTER'!$Z$2:$Z$495&lt;=5)*('CONTROL MASTER'!$AB$2:$AB$495&gt;=5)*('CONTROL MASTER'!$AA$2:$AA$495&lt;=1)*('CONTROL MASTER'!$AC$2:$AC$495&gt;=1))*ROW('CONTROL MASTER'!$S$2:$S$495))-(ROW('CONTROL MASTER'!#REF!)-1))),"")),"")</f>
        <v/>
      </c>
      <c r="C91" s="10" t="str">
        <f>IFERROR(IF(SUMPRODUCT((('CONTROL MASTER'!$S$2:$S$495=7)*('CONTROL MASTER'!$T$2:$T$495&lt;=5)*('CONTROL MASTER'!$V$2:$V$495&gt;=5)*('CONTROL MASTER'!$U$2:$U$495&lt;=2)*('CONTROL MASTER'!$W$2:$W$495&gt;=2))*ROW('CONTROL MASTER'!$S$2:$S$495))&gt;0,INDEX('CONTROL MASTER'!$X$2:$X$495,(SUMPRODUCT((('CONTROL MASTER'!$S$2:$S$495=7)*('CONTROL MASTER'!$T$2:$T$495&lt;=5)*('CONTROL MASTER'!$V$2:$V$495&gt;=5)*('CONTROL MASTER'!$U$2:$U$495&lt;=2)*('CONTROL MASTER'!$W$2:$W$495&gt;=2))*ROW('CONTROL MASTER'!$S$2:$S$495))-(ROW('CONTROL MASTER'!#REF!)-1)))&amp;TRIM(MID(SUBSTITUTE(SUBSTITUTE(INDEX('CONTROL MASTER'!$N$2:$N$495,(SUMPRODUCT((('CONTROL MASTER'!$S$2:$S$495=7)*('CONTROL MASTER'!$T$2:$T$495&lt;=5)*('CONTROL MASTER'!$V$2:$V$495&gt;=5)*('CONTROL MASTER'!$U$2:$U$495&lt;=2)*('CONTROL MASTER'!$W$2:$W$495&gt;=2))*ROW('CONTROL MASTER'!$S$2:$S$495))-(ROW('CONTROL MASTER'!#REF!)-1))),":",","),",",REPT(" ",50)),((((5-INDEX('CONTROL MASTER'!$T$2:$T$495,(SUMPRODUCT((('CONTROL MASTER'!$S$2:$S$495=7)*('CONTROL MASTER'!$T$2:$T$495&lt;=5)*('CONTROL MASTER'!$V$2:$V$495&gt;=5)*('CONTROL MASTER'!$U$2:$U$495&lt;=2)*('CONTROL MASTER'!$W$2:$W$495&gt;=2))*ROW('CONTROL MASTER'!$S$2:$S$495))-(ROW('CONTROL MASTER'!#REF!)-1))))*(INDEX('CONTROL MASTER'!$W$2:$W$495,(SUMPRODUCT((('CONTROL MASTER'!$S$2:$S$495=7)*('CONTROL MASTER'!$T$2:$T$495&lt;=5)*('CONTROL MASTER'!$V$2:$V$495&gt;=5)*('CONTROL MASTER'!$U$2:$U$495&lt;=2)*('CONTROL MASTER'!$W$2:$W$495&gt;=2))*ROW('CONTROL MASTER'!$S$2:$S$495))-(ROW('CONTROL MASTER'!#REF!)-1)))-INDEX('CONTROL MASTER'!$U$2:$U$495,(SUMPRODUCT((('CONTROL MASTER'!$S$2:$S$495=7)*('CONTROL MASTER'!$T$2:$T$495&lt;=5)*('CONTROL MASTER'!$V$2:$V$495&gt;=5)*('CONTROL MASTER'!$U$2:$U$495&lt;=2)*('CONTROL MASTER'!$W$2:$W$495&gt;=2))*ROW('CONTROL MASTER'!$S$2:$S$495))-(ROW('CONTROL MASTER'!#REF!)-1)))+1)+(2-INDEX('CONTROL MASTER'!$U$2:$U$495,(SUMPRODUCT((('CONTROL MASTER'!$S$2:$S$495=7)*('CONTROL MASTER'!$T$2:$T$495&lt;=5)*('CONTROL MASTER'!$V$2:$V$495&gt;=5)*('CONTROL MASTER'!$U$2:$U$495&lt;=2)*('CONTROL MASTER'!$W$2:$W$495&gt;=2))*ROW('CONTROL MASTER'!$S$2:$S$495))-(ROW('CONTROL MASTER'!#REF!)-1))))+1))-1)*50+1,50))&amp;"_"&amp;INDEX('CONTROL MASTER'!$P$2:$P$495,(SUMPRODUCT((('CONTROL MASTER'!$S$2:$S$495=7)*('CONTROL MASTER'!$T$2:$T$495&lt;=5)*('CONTROL MASTER'!$V$2:$V$495&gt;=5)*('CONTROL MASTER'!$U$2:$U$495&lt;=2)*('CONTROL MASTER'!$W$2:$W$495&gt;=2))*ROW('CONTROL MASTER'!$S$2:$S$495))-(ROW('CONTROL MASTER'!#REF!)-1))),IF(SUMPRODUCT((('CONTROL MASTER'!$S$2:$S$495=7)*('CONTROL MASTER'!$Z$2:$Z$495&lt;=5)*('CONTROL MASTER'!$AB$2:$AB$495&gt;=5)*('CONTROL MASTER'!$AA$2:$AA$495&lt;=2)*('CONTROL MASTER'!$AC$2:$AC$495&gt;=2))*ROW('CONTROL MASTER'!$S$2:$S$495))&gt;0,INDEX('CONTROL MASTER'!$X$2:$X$495,(SUMPRODUCT((('CONTROL MASTER'!$S$2:$S$495=7)*('CONTROL MASTER'!$Z$2:$Z$495&lt;=5)*('CONTROL MASTER'!$AB$2:$AB$495&gt;=5)*('CONTROL MASTER'!$AA$2:$AA$495&lt;=2)*('CONTROL MASTER'!$AC$2:$AC$495&gt;=2))*ROW('CONTROL MASTER'!$S$2:$S$495))-(ROW('CONTROL MASTER'!#REF!)-1)))&amp;TRIM(MID(SUBSTITUTE(SUBSTITUTE(INDEX('CONTROL MASTER'!$N$2:$N$495,(SUMPRODUCT((('CONTROL MASTER'!$S$2:$S$495=7)*('CONTROL MASTER'!$Z$2:$Z$495&lt;=5)*('CONTROL MASTER'!$AB$2:$AB$495&gt;=5)*('CONTROL MASTER'!$AA$2:$AA$495&lt;=2)*('CONTROL MASTER'!$AC$2:$AC$495&gt;=2))*ROW('CONTROL MASTER'!$S$2:$S$495))-(ROW('CONTROL MASTER'!#REF!)-1))),":",","),",",REPT(" ",50)),(((INDEX('CONTROL MASTER'!$Y$2:$Y$495,(SUMPRODUCT((('CONTROL MASTER'!$S$2:$S$495=7)*('CONTROL MASTER'!$Z$2:$Z$495&lt;=5)*('CONTROL MASTER'!$AB$2:$AB$495&gt;=5)*('CONTROL MASTER'!$AA$2:$AA$495&lt;=2)*('CONTROL MASTER'!$AC$2:$AC$495&gt;=2))*ROW('CONTROL MASTER'!$S$2:$S$495))-(ROW('CONTROL MASTER'!#REF!)-1)))+((5-INDEX('CONTROL MASTER'!$Z$2:$Z$495,(SUMPRODUCT((('CONTROL MASTER'!$S$2:$S$495=7)*('CONTROL MASTER'!$Z$2:$Z$495&lt;=5)*('CONTROL MASTER'!$AB$2:$AB$495&gt;=5)*('CONTROL MASTER'!$AA$2:$AA$495&lt;=2)*('CONTROL MASTER'!$AC$2:$AC$495&gt;=2))*ROW('CONTROL MASTER'!$S$2:$S$495))-(ROW('CONTROL MASTER'!#REF!)-1))))*(INDEX('CONTROL MASTER'!$AC$2:$AC$495,(SUMPRODUCT((('CONTROL MASTER'!$S$2:$S$495=7)*('CONTROL MASTER'!$Z$2:$Z$495&lt;=5)*('CONTROL MASTER'!$AB$2:$AB$495&gt;=5)*('CONTROL MASTER'!$AA$2:$AA$495&lt;=2)*('CONTROL MASTER'!$AC$2:$AC$495&gt;=2))*ROW('CONTROL MASTER'!$S$2:$S$495))-(ROW('CONTROL MASTER'!#REF!)-1)))-INDEX('CONTROL MASTER'!$AA$2:$AA$495,(SUMPRODUCT((('CONTROL MASTER'!$S$2:$S$495=7)*('CONTROL MASTER'!$Z$2:$Z$495&lt;=5)*('CONTROL MASTER'!$AB$2:$AB$495&gt;=5)*('CONTROL MASTER'!$AA$2:$AA$495&lt;=2)*('CONTROL MASTER'!$AC$2:$AC$495&gt;=2))*ROW('CONTROL MASTER'!$S$2:$S$495))-(ROW('CONTROL MASTER'!#REF!)-1)))+1)+(2-INDEX('CONTROL MASTER'!$AA$2:$AA$495,(SUMPRODUCT((('CONTROL MASTER'!$S$2:$S$495=7)*('CONTROL MASTER'!$Z$2:$Z$495&lt;=5)*('CONTROL MASTER'!$AB$2:$AB$495&gt;=5)*('CONTROL MASTER'!$AA$2:$AA$495&lt;=2)*('CONTROL MASTER'!$AC$2:$AC$495&gt;=2))*ROW('CONTROL MASTER'!$S$2:$S$495))-(ROW('CONTROL MASTER'!#REF!)-1))))+1)))-1)*50+1,50))&amp;"_"&amp;INDEX('CONTROL MASTER'!$P$2:$P$495,(SUMPRODUCT((('CONTROL MASTER'!$S$2:$S$495=7)*('CONTROL MASTER'!$Z$2:$Z$495&lt;=5)*('CONTROL MASTER'!$AB$2:$AB$495&gt;=5)*('CONTROL MASTER'!$AA$2:$AA$495&lt;=2)*('CONTROL MASTER'!$AC$2:$AC$495&gt;=2))*ROW('CONTROL MASTER'!$S$2:$S$495))-(ROW('CONTROL MASTER'!#REF!)-1))),"")),"")</f>
        <v/>
      </c>
      <c r="D91" s="10" t="str">
        <f>IFERROR(IF(SUMPRODUCT((('CONTROL MASTER'!$S$2:$S$495=7)*('CONTROL MASTER'!$T$2:$T$495&lt;=5)*('CONTROL MASTER'!$V$2:$V$495&gt;=5)*('CONTROL MASTER'!$U$2:$U$495&lt;=3)*('CONTROL MASTER'!$W$2:$W$495&gt;=3))*ROW('CONTROL MASTER'!$S$2:$S$495))&gt;0,INDEX('CONTROL MASTER'!$X$2:$X$495,(SUMPRODUCT((('CONTROL MASTER'!$S$2:$S$495=7)*('CONTROL MASTER'!$T$2:$T$495&lt;=5)*('CONTROL MASTER'!$V$2:$V$495&gt;=5)*('CONTROL MASTER'!$U$2:$U$495&lt;=3)*('CONTROL MASTER'!$W$2:$W$495&gt;=3))*ROW('CONTROL MASTER'!$S$2:$S$495))-(ROW('CONTROL MASTER'!#REF!)-1)))&amp;TRIM(MID(SUBSTITUTE(SUBSTITUTE(INDEX('CONTROL MASTER'!$N$2:$N$495,(SUMPRODUCT((('CONTROL MASTER'!$S$2:$S$495=7)*('CONTROL MASTER'!$T$2:$T$495&lt;=5)*('CONTROL MASTER'!$V$2:$V$495&gt;=5)*('CONTROL MASTER'!$U$2:$U$495&lt;=3)*('CONTROL MASTER'!$W$2:$W$495&gt;=3))*ROW('CONTROL MASTER'!$S$2:$S$495))-(ROW('CONTROL MASTER'!#REF!)-1))),":",","),",",REPT(" ",50)),((((5-INDEX('CONTROL MASTER'!$T$2:$T$495,(SUMPRODUCT((('CONTROL MASTER'!$S$2:$S$495=7)*('CONTROL MASTER'!$T$2:$T$495&lt;=5)*('CONTROL MASTER'!$V$2:$V$495&gt;=5)*('CONTROL MASTER'!$U$2:$U$495&lt;=3)*('CONTROL MASTER'!$W$2:$W$495&gt;=3))*ROW('CONTROL MASTER'!$S$2:$S$495))-(ROW('CONTROL MASTER'!#REF!)-1))))*(INDEX('CONTROL MASTER'!$W$2:$W$495,(SUMPRODUCT((('CONTROL MASTER'!$S$2:$S$495=7)*('CONTROL MASTER'!$T$2:$T$495&lt;=5)*('CONTROL MASTER'!$V$2:$V$495&gt;=5)*('CONTROL MASTER'!$U$2:$U$495&lt;=3)*('CONTROL MASTER'!$W$2:$W$495&gt;=3))*ROW('CONTROL MASTER'!$S$2:$S$495))-(ROW('CONTROL MASTER'!#REF!)-1)))-INDEX('CONTROL MASTER'!$U$2:$U$495,(SUMPRODUCT((('CONTROL MASTER'!$S$2:$S$495=7)*('CONTROL MASTER'!$T$2:$T$495&lt;=5)*('CONTROL MASTER'!$V$2:$V$495&gt;=5)*('CONTROL MASTER'!$U$2:$U$495&lt;=3)*('CONTROL MASTER'!$W$2:$W$495&gt;=3))*ROW('CONTROL MASTER'!$S$2:$S$495))-(ROW('CONTROL MASTER'!#REF!)-1)))+1)+(3-INDEX('CONTROL MASTER'!$U$2:$U$495,(SUMPRODUCT((('CONTROL MASTER'!$S$2:$S$495=7)*('CONTROL MASTER'!$T$2:$T$495&lt;=5)*('CONTROL MASTER'!$V$2:$V$495&gt;=5)*('CONTROL MASTER'!$U$2:$U$495&lt;=3)*('CONTROL MASTER'!$W$2:$W$495&gt;=3))*ROW('CONTROL MASTER'!$S$2:$S$495))-(ROW('CONTROL MASTER'!#REF!)-1))))+1))-1)*50+1,50))&amp;"_"&amp;INDEX('CONTROL MASTER'!$P$2:$P$495,(SUMPRODUCT((('CONTROL MASTER'!$S$2:$S$495=7)*('CONTROL MASTER'!$T$2:$T$495&lt;=5)*('CONTROL MASTER'!$V$2:$V$495&gt;=5)*('CONTROL MASTER'!$U$2:$U$495&lt;=3)*('CONTROL MASTER'!$W$2:$W$495&gt;=3))*ROW('CONTROL MASTER'!$S$2:$S$495))-(ROW('CONTROL MASTER'!#REF!)-1))),IF(SUMPRODUCT((('CONTROL MASTER'!$S$2:$S$495=7)*('CONTROL MASTER'!$Z$2:$Z$495&lt;=5)*('CONTROL MASTER'!$AB$2:$AB$495&gt;=5)*('CONTROL MASTER'!$AA$2:$AA$495&lt;=3)*('CONTROL MASTER'!$AC$2:$AC$495&gt;=3))*ROW('CONTROL MASTER'!$S$2:$S$495))&gt;0,INDEX('CONTROL MASTER'!$X$2:$X$495,(SUMPRODUCT((('CONTROL MASTER'!$S$2:$S$495=7)*('CONTROL MASTER'!$Z$2:$Z$495&lt;=5)*('CONTROL MASTER'!$AB$2:$AB$495&gt;=5)*('CONTROL MASTER'!$AA$2:$AA$495&lt;=3)*('CONTROL MASTER'!$AC$2:$AC$495&gt;=3))*ROW('CONTROL MASTER'!$S$2:$S$495))-(ROW('CONTROL MASTER'!#REF!)-1)))&amp;TRIM(MID(SUBSTITUTE(SUBSTITUTE(INDEX('CONTROL MASTER'!$N$2:$N$495,(SUMPRODUCT((('CONTROL MASTER'!$S$2:$S$495=7)*('CONTROL MASTER'!$Z$2:$Z$495&lt;=5)*('CONTROL MASTER'!$AB$2:$AB$495&gt;=5)*('CONTROL MASTER'!$AA$2:$AA$495&lt;=3)*('CONTROL MASTER'!$AC$2:$AC$495&gt;=3))*ROW('CONTROL MASTER'!$S$2:$S$495))-(ROW('CONTROL MASTER'!#REF!)-1))),":",","),",",REPT(" ",50)),(((INDEX('CONTROL MASTER'!$Y$2:$Y$495,(SUMPRODUCT((('CONTROL MASTER'!$S$2:$S$495=7)*('CONTROL MASTER'!$Z$2:$Z$495&lt;=5)*('CONTROL MASTER'!$AB$2:$AB$495&gt;=5)*('CONTROL MASTER'!$AA$2:$AA$495&lt;=3)*('CONTROL MASTER'!$AC$2:$AC$495&gt;=3))*ROW('CONTROL MASTER'!$S$2:$S$495))-(ROW('CONTROL MASTER'!#REF!)-1)))+((5-INDEX('CONTROL MASTER'!$Z$2:$Z$495,(SUMPRODUCT((('CONTROL MASTER'!$S$2:$S$495=7)*('CONTROL MASTER'!$Z$2:$Z$495&lt;=5)*('CONTROL MASTER'!$AB$2:$AB$495&gt;=5)*('CONTROL MASTER'!$AA$2:$AA$495&lt;=3)*('CONTROL MASTER'!$AC$2:$AC$495&gt;=3))*ROW('CONTROL MASTER'!$S$2:$S$495))-(ROW('CONTROL MASTER'!#REF!)-1))))*(INDEX('CONTROL MASTER'!$AC$2:$AC$495,(SUMPRODUCT((('CONTROL MASTER'!$S$2:$S$495=7)*('CONTROL MASTER'!$Z$2:$Z$495&lt;=5)*('CONTROL MASTER'!$AB$2:$AB$495&gt;=5)*('CONTROL MASTER'!$AA$2:$AA$495&lt;=3)*('CONTROL MASTER'!$AC$2:$AC$495&gt;=3))*ROW('CONTROL MASTER'!$S$2:$S$495))-(ROW('CONTROL MASTER'!#REF!)-1)))-INDEX('CONTROL MASTER'!$AA$2:$AA$495,(SUMPRODUCT((('CONTROL MASTER'!$S$2:$S$495=7)*('CONTROL MASTER'!$Z$2:$Z$495&lt;=5)*('CONTROL MASTER'!$AB$2:$AB$495&gt;=5)*('CONTROL MASTER'!$AA$2:$AA$495&lt;=3)*('CONTROL MASTER'!$AC$2:$AC$495&gt;=3))*ROW('CONTROL MASTER'!$S$2:$S$495))-(ROW('CONTROL MASTER'!#REF!)-1)))+1)+(3-INDEX('CONTROL MASTER'!$AA$2:$AA$495,(SUMPRODUCT((('CONTROL MASTER'!$S$2:$S$495=7)*('CONTROL MASTER'!$Z$2:$Z$495&lt;=5)*('CONTROL MASTER'!$AB$2:$AB$495&gt;=5)*('CONTROL MASTER'!$AA$2:$AA$495&lt;=3)*('CONTROL MASTER'!$AC$2:$AC$495&gt;=3))*ROW('CONTROL MASTER'!$S$2:$S$495))-(ROW('CONTROL MASTER'!#REF!)-1))))+1)))-1)*50+1,50))&amp;"_"&amp;INDEX('CONTROL MASTER'!$P$2:$P$495,(SUMPRODUCT((('CONTROL MASTER'!$S$2:$S$495=7)*('CONTROL MASTER'!$Z$2:$Z$495&lt;=5)*('CONTROL MASTER'!$AB$2:$AB$495&gt;=5)*('CONTROL MASTER'!$AA$2:$AA$495&lt;=3)*('CONTROL MASTER'!$AC$2:$AC$495&gt;=3))*ROW('CONTROL MASTER'!$S$2:$S$495))-(ROW('CONTROL MASTER'!#REF!)-1))),"")),"")</f>
        <v/>
      </c>
      <c r="E91" s="10" t="str">
        <f>IFERROR(IF(SUMPRODUCT((('CONTROL MASTER'!$S$2:$S$495=7)*('CONTROL MASTER'!$T$2:$T$495&lt;=5)*('CONTROL MASTER'!$V$2:$V$495&gt;=5)*('CONTROL MASTER'!$U$2:$U$495&lt;=4)*('CONTROL MASTER'!$W$2:$W$495&gt;=4))*ROW('CONTROL MASTER'!$S$2:$S$495))&gt;0,INDEX('CONTROL MASTER'!$X$2:$X$495,(SUMPRODUCT((('CONTROL MASTER'!$S$2:$S$495=7)*('CONTROL MASTER'!$T$2:$T$495&lt;=5)*('CONTROL MASTER'!$V$2:$V$495&gt;=5)*('CONTROL MASTER'!$U$2:$U$495&lt;=4)*('CONTROL MASTER'!$W$2:$W$495&gt;=4))*ROW('CONTROL MASTER'!$S$2:$S$495))-(ROW('CONTROL MASTER'!#REF!)-1)))&amp;TRIM(MID(SUBSTITUTE(SUBSTITUTE(INDEX('CONTROL MASTER'!$N$2:$N$495,(SUMPRODUCT((('CONTROL MASTER'!$S$2:$S$495=7)*('CONTROL MASTER'!$T$2:$T$495&lt;=5)*('CONTROL MASTER'!$V$2:$V$495&gt;=5)*('CONTROL MASTER'!$U$2:$U$495&lt;=4)*('CONTROL MASTER'!$W$2:$W$495&gt;=4))*ROW('CONTROL MASTER'!$S$2:$S$495))-(ROW('CONTROL MASTER'!#REF!)-1))),":",","),",",REPT(" ",50)),((((5-INDEX('CONTROL MASTER'!$T$2:$T$495,(SUMPRODUCT((('CONTROL MASTER'!$S$2:$S$495=7)*('CONTROL MASTER'!$T$2:$T$495&lt;=5)*('CONTROL MASTER'!$V$2:$V$495&gt;=5)*('CONTROL MASTER'!$U$2:$U$495&lt;=4)*('CONTROL MASTER'!$W$2:$W$495&gt;=4))*ROW('CONTROL MASTER'!$S$2:$S$495))-(ROW('CONTROL MASTER'!#REF!)-1))))*(INDEX('CONTROL MASTER'!$W$2:$W$495,(SUMPRODUCT((('CONTROL MASTER'!$S$2:$S$495=7)*('CONTROL MASTER'!$T$2:$T$495&lt;=5)*('CONTROL MASTER'!$V$2:$V$495&gt;=5)*('CONTROL MASTER'!$U$2:$U$495&lt;=4)*('CONTROL MASTER'!$W$2:$W$495&gt;=4))*ROW('CONTROL MASTER'!$S$2:$S$495))-(ROW('CONTROL MASTER'!#REF!)-1)))-INDEX('CONTROL MASTER'!$U$2:$U$495,(SUMPRODUCT((('CONTROL MASTER'!$S$2:$S$495=7)*('CONTROL MASTER'!$T$2:$T$495&lt;=5)*('CONTROL MASTER'!$V$2:$V$495&gt;=5)*('CONTROL MASTER'!$U$2:$U$495&lt;=4)*('CONTROL MASTER'!$W$2:$W$495&gt;=4))*ROW('CONTROL MASTER'!$S$2:$S$495))-(ROW('CONTROL MASTER'!#REF!)-1)))+1)+(4-INDEX('CONTROL MASTER'!$U$2:$U$495,(SUMPRODUCT((('CONTROL MASTER'!$S$2:$S$495=7)*('CONTROL MASTER'!$T$2:$T$495&lt;=5)*('CONTROL MASTER'!$V$2:$V$495&gt;=5)*('CONTROL MASTER'!$U$2:$U$495&lt;=4)*('CONTROL MASTER'!$W$2:$W$495&gt;=4))*ROW('CONTROL MASTER'!$S$2:$S$495))-(ROW('CONTROL MASTER'!#REF!)-1))))+1))-1)*50+1,50))&amp;"_"&amp;INDEX('CONTROL MASTER'!$P$2:$P$495,(SUMPRODUCT((('CONTROL MASTER'!$S$2:$S$495=7)*('CONTROL MASTER'!$T$2:$T$495&lt;=5)*('CONTROL MASTER'!$V$2:$V$495&gt;=5)*('CONTROL MASTER'!$U$2:$U$495&lt;=4)*('CONTROL MASTER'!$W$2:$W$495&gt;=4))*ROW('CONTROL MASTER'!$S$2:$S$495))-(ROW('CONTROL MASTER'!#REF!)-1))),IF(SUMPRODUCT((('CONTROL MASTER'!$S$2:$S$495=7)*('CONTROL MASTER'!$Z$2:$Z$495&lt;=5)*('CONTROL MASTER'!$AB$2:$AB$495&gt;=5)*('CONTROL MASTER'!$AA$2:$AA$495&lt;=4)*('CONTROL MASTER'!$AC$2:$AC$495&gt;=4))*ROW('CONTROL MASTER'!$S$2:$S$495))&gt;0,INDEX('CONTROL MASTER'!$X$2:$X$495,(SUMPRODUCT((('CONTROL MASTER'!$S$2:$S$495=7)*('CONTROL MASTER'!$Z$2:$Z$495&lt;=5)*('CONTROL MASTER'!$AB$2:$AB$495&gt;=5)*('CONTROL MASTER'!$AA$2:$AA$495&lt;=4)*('CONTROL MASTER'!$AC$2:$AC$495&gt;=4))*ROW('CONTROL MASTER'!$S$2:$S$495))-(ROW('CONTROL MASTER'!#REF!)-1)))&amp;TRIM(MID(SUBSTITUTE(SUBSTITUTE(INDEX('CONTROL MASTER'!$N$2:$N$495,(SUMPRODUCT((('CONTROL MASTER'!$S$2:$S$495=7)*('CONTROL MASTER'!$Z$2:$Z$495&lt;=5)*('CONTROL MASTER'!$AB$2:$AB$495&gt;=5)*('CONTROL MASTER'!$AA$2:$AA$495&lt;=4)*('CONTROL MASTER'!$AC$2:$AC$495&gt;=4))*ROW('CONTROL MASTER'!$S$2:$S$495))-(ROW('CONTROL MASTER'!#REF!)-1))),":",","),",",REPT(" ",50)),(((INDEX('CONTROL MASTER'!$Y$2:$Y$495,(SUMPRODUCT((('CONTROL MASTER'!$S$2:$S$495=7)*('CONTROL MASTER'!$Z$2:$Z$495&lt;=5)*('CONTROL MASTER'!$AB$2:$AB$495&gt;=5)*('CONTROL MASTER'!$AA$2:$AA$495&lt;=4)*('CONTROL MASTER'!$AC$2:$AC$495&gt;=4))*ROW('CONTROL MASTER'!$S$2:$S$495))-(ROW('CONTROL MASTER'!#REF!)-1)))+((5-INDEX('CONTROL MASTER'!$Z$2:$Z$495,(SUMPRODUCT((('CONTROL MASTER'!$S$2:$S$495=7)*('CONTROL MASTER'!$Z$2:$Z$495&lt;=5)*('CONTROL MASTER'!$AB$2:$AB$495&gt;=5)*('CONTROL MASTER'!$AA$2:$AA$495&lt;=4)*('CONTROL MASTER'!$AC$2:$AC$495&gt;=4))*ROW('CONTROL MASTER'!$S$2:$S$495))-(ROW('CONTROL MASTER'!#REF!)-1))))*(INDEX('CONTROL MASTER'!$AC$2:$AC$495,(SUMPRODUCT((('CONTROL MASTER'!$S$2:$S$495=7)*('CONTROL MASTER'!$Z$2:$Z$495&lt;=5)*('CONTROL MASTER'!$AB$2:$AB$495&gt;=5)*('CONTROL MASTER'!$AA$2:$AA$495&lt;=4)*('CONTROL MASTER'!$AC$2:$AC$495&gt;=4))*ROW('CONTROL MASTER'!$S$2:$S$495))-(ROW('CONTROL MASTER'!#REF!)-1)))-INDEX('CONTROL MASTER'!$AA$2:$AA$495,(SUMPRODUCT((('CONTROL MASTER'!$S$2:$S$495=7)*('CONTROL MASTER'!$Z$2:$Z$495&lt;=5)*('CONTROL MASTER'!$AB$2:$AB$495&gt;=5)*('CONTROL MASTER'!$AA$2:$AA$495&lt;=4)*('CONTROL MASTER'!$AC$2:$AC$495&gt;=4))*ROW('CONTROL MASTER'!$S$2:$S$495))-(ROW('CONTROL MASTER'!#REF!)-1)))+1)+(4-INDEX('CONTROL MASTER'!$AA$2:$AA$495,(SUMPRODUCT((('CONTROL MASTER'!$S$2:$S$495=7)*('CONTROL MASTER'!$Z$2:$Z$495&lt;=5)*('CONTROL MASTER'!$AB$2:$AB$495&gt;=5)*('CONTROL MASTER'!$AA$2:$AA$495&lt;=4)*('CONTROL MASTER'!$AC$2:$AC$495&gt;=4))*ROW('CONTROL MASTER'!$S$2:$S$495))-(ROW('CONTROL MASTER'!#REF!)-1))))+1)))-1)*50+1,50))&amp;"_"&amp;INDEX('CONTROL MASTER'!$P$2:$P$495,(SUMPRODUCT((('CONTROL MASTER'!$S$2:$S$495=7)*('CONTROL MASTER'!$Z$2:$Z$495&lt;=5)*('CONTROL MASTER'!$AB$2:$AB$495&gt;=5)*('CONTROL MASTER'!$AA$2:$AA$495&lt;=4)*('CONTROL MASTER'!$AC$2:$AC$495&gt;=4))*ROW('CONTROL MASTER'!$S$2:$S$495))-(ROW('CONTROL MASTER'!#REF!)-1))),"")),"")</f>
        <v/>
      </c>
      <c r="F91" s="10" t="str">
        <f>IFERROR(IF(SUMPRODUCT((('CONTROL MASTER'!$S$2:$S$495=7)*('CONTROL MASTER'!$T$2:$T$495&lt;=5)*('CONTROL MASTER'!$V$2:$V$495&gt;=5)*('CONTROL MASTER'!$U$2:$U$495&lt;=5)*('CONTROL MASTER'!$W$2:$W$495&gt;=5))*ROW('CONTROL MASTER'!$S$2:$S$495))&gt;0,INDEX('CONTROL MASTER'!$X$2:$X$495,(SUMPRODUCT((('CONTROL MASTER'!$S$2:$S$495=7)*('CONTROL MASTER'!$T$2:$T$495&lt;=5)*('CONTROL MASTER'!$V$2:$V$495&gt;=5)*('CONTROL MASTER'!$U$2:$U$495&lt;=5)*('CONTROL MASTER'!$W$2:$W$495&gt;=5))*ROW('CONTROL MASTER'!$S$2:$S$495))-(ROW('CONTROL MASTER'!#REF!)-1)))&amp;TRIM(MID(SUBSTITUTE(SUBSTITUTE(INDEX('CONTROL MASTER'!$N$2:$N$495,(SUMPRODUCT((('CONTROL MASTER'!$S$2:$S$495=7)*('CONTROL MASTER'!$T$2:$T$495&lt;=5)*('CONTROL MASTER'!$V$2:$V$495&gt;=5)*('CONTROL MASTER'!$U$2:$U$495&lt;=5)*('CONTROL MASTER'!$W$2:$W$495&gt;=5))*ROW('CONTROL MASTER'!$S$2:$S$495))-(ROW('CONTROL MASTER'!#REF!)-1))),":",","),",",REPT(" ",50)),((((5-INDEX('CONTROL MASTER'!$T$2:$T$495,(SUMPRODUCT((('CONTROL MASTER'!$S$2:$S$495=7)*('CONTROL MASTER'!$T$2:$T$495&lt;=5)*('CONTROL MASTER'!$V$2:$V$495&gt;=5)*('CONTROL MASTER'!$U$2:$U$495&lt;=5)*('CONTROL MASTER'!$W$2:$W$495&gt;=5))*ROW('CONTROL MASTER'!$S$2:$S$495))-(ROW('CONTROL MASTER'!#REF!)-1))))*(INDEX('CONTROL MASTER'!$W$2:$W$495,(SUMPRODUCT((('CONTROL MASTER'!$S$2:$S$495=7)*('CONTROL MASTER'!$T$2:$T$495&lt;=5)*('CONTROL MASTER'!$V$2:$V$495&gt;=5)*('CONTROL MASTER'!$U$2:$U$495&lt;=5)*('CONTROL MASTER'!$W$2:$W$495&gt;=5))*ROW('CONTROL MASTER'!$S$2:$S$495))-(ROW('CONTROL MASTER'!#REF!)-1)))-INDEX('CONTROL MASTER'!$U$2:$U$495,(SUMPRODUCT((('CONTROL MASTER'!$S$2:$S$495=7)*('CONTROL MASTER'!$T$2:$T$495&lt;=5)*('CONTROL MASTER'!$V$2:$V$495&gt;=5)*('CONTROL MASTER'!$U$2:$U$495&lt;=5)*('CONTROL MASTER'!$W$2:$W$495&gt;=5))*ROW('CONTROL MASTER'!$S$2:$S$495))-(ROW('CONTROL MASTER'!#REF!)-1)))+1)+(5-INDEX('CONTROL MASTER'!$U$2:$U$495,(SUMPRODUCT((('CONTROL MASTER'!$S$2:$S$495=7)*('CONTROL MASTER'!$T$2:$T$495&lt;=5)*('CONTROL MASTER'!$V$2:$V$495&gt;=5)*('CONTROL MASTER'!$U$2:$U$495&lt;=5)*('CONTROL MASTER'!$W$2:$W$495&gt;=5))*ROW('CONTROL MASTER'!$S$2:$S$495))-(ROW('CONTROL MASTER'!#REF!)-1))))+1))-1)*50+1,50))&amp;"_"&amp;INDEX('CONTROL MASTER'!$P$2:$P$495,(SUMPRODUCT((('CONTROL MASTER'!$S$2:$S$495=7)*('CONTROL MASTER'!$T$2:$T$495&lt;=5)*('CONTROL MASTER'!$V$2:$V$495&gt;=5)*('CONTROL MASTER'!$U$2:$U$495&lt;=5)*('CONTROL MASTER'!$W$2:$W$495&gt;=5))*ROW('CONTROL MASTER'!$S$2:$S$495))-(ROW('CONTROL MASTER'!#REF!)-1))),IF(SUMPRODUCT((('CONTROL MASTER'!$S$2:$S$495=7)*('CONTROL MASTER'!$Z$2:$Z$495&lt;=5)*('CONTROL MASTER'!$AB$2:$AB$495&gt;=5)*('CONTROL MASTER'!$AA$2:$AA$495&lt;=5)*('CONTROL MASTER'!$AC$2:$AC$495&gt;=5))*ROW('CONTROL MASTER'!$S$2:$S$495))&gt;0,INDEX('CONTROL MASTER'!$X$2:$X$495,(SUMPRODUCT((('CONTROL MASTER'!$S$2:$S$495=7)*('CONTROL MASTER'!$Z$2:$Z$495&lt;=5)*('CONTROL MASTER'!$AB$2:$AB$495&gt;=5)*('CONTROL MASTER'!$AA$2:$AA$495&lt;=5)*('CONTROL MASTER'!$AC$2:$AC$495&gt;=5))*ROW('CONTROL MASTER'!$S$2:$S$495))-(ROW('CONTROL MASTER'!#REF!)-1)))&amp;TRIM(MID(SUBSTITUTE(SUBSTITUTE(INDEX('CONTROL MASTER'!$N$2:$N$495,(SUMPRODUCT((('CONTROL MASTER'!$S$2:$S$495=7)*('CONTROL MASTER'!$Z$2:$Z$495&lt;=5)*('CONTROL MASTER'!$AB$2:$AB$495&gt;=5)*('CONTROL MASTER'!$AA$2:$AA$495&lt;=5)*('CONTROL MASTER'!$AC$2:$AC$495&gt;=5))*ROW('CONTROL MASTER'!$S$2:$S$495))-(ROW('CONTROL MASTER'!#REF!)-1))),":",","),",",REPT(" ",50)),(((INDEX('CONTROL MASTER'!$Y$2:$Y$495,(SUMPRODUCT((('CONTROL MASTER'!$S$2:$S$495=7)*('CONTROL MASTER'!$Z$2:$Z$495&lt;=5)*('CONTROL MASTER'!$AB$2:$AB$495&gt;=5)*('CONTROL MASTER'!$AA$2:$AA$495&lt;=5)*('CONTROL MASTER'!$AC$2:$AC$495&gt;=5))*ROW('CONTROL MASTER'!$S$2:$S$495))-(ROW('CONTROL MASTER'!#REF!)-1)))+((5-INDEX('CONTROL MASTER'!$Z$2:$Z$495,(SUMPRODUCT((('CONTROL MASTER'!$S$2:$S$495=7)*('CONTROL MASTER'!$Z$2:$Z$495&lt;=5)*('CONTROL MASTER'!$AB$2:$AB$495&gt;=5)*('CONTROL MASTER'!$AA$2:$AA$495&lt;=5)*('CONTROL MASTER'!$AC$2:$AC$495&gt;=5))*ROW('CONTROL MASTER'!$S$2:$S$495))-(ROW('CONTROL MASTER'!#REF!)-1))))*(INDEX('CONTROL MASTER'!$AC$2:$AC$495,(SUMPRODUCT((('CONTROL MASTER'!$S$2:$S$495=7)*('CONTROL MASTER'!$Z$2:$Z$495&lt;=5)*('CONTROL MASTER'!$AB$2:$AB$495&gt;=5)*('CONTROL MASTER'!$AA$2:$AA$495&lt;=5)*('CONTROL MASTER'!$AC$2:$AC$495&gt;=5))*ROW('CONTROL MASTER'!$S$2:$S$495))-(ROW('CONTROL MASTER'!#REF!)-1)))-INDEX('CONTROL MASTER'!$AA$2:$AA$495,(SUMPRODUCT((('CONTROL MASTER'!$S$2:$S$495=7)*('CONTROL MASTER'!$Z$2:$Z$495&lt;=5)*('CONTROL MASTER'!$AB$2:$AB$495&gt;=5)*('CONTROL MASTER'!$AA$2:$AA$495&lt;=5)*('CONTROL MASTER'!$AC$2:$AC$495&gt;=5))*ROW('CONTROL MASTER'!$S$2:$S$495))-(ROW('CONTROL MASTER'!#REF!)-1)))+1)+(5-INDEX('CONTROL MASTER'!$AA$2:$AA$495,(SUMPRODUCT((('CONTROL MASTER'!$S$2:$S$495=7)*('CONTROL MASTER'!$Z$2:$Z$495&lt;=5)*('CONTROL MASTER'!$AB$2:$AB$495&gt;=5)*('CONTROL MASTER'!$AA$2:$AA$495&lt;=5)*('CONTROL MASTER'!$AC$2:$AC$495&gt;=5))*ROW('CONTROL MASTER'!$S$2:$S$495))-(ROW('CONTROL MASTER'!#REF!)-1))))+1)))-1)*50+1,50))&amp;"_"&amp;INDEX('CONTROL MASTER'!$P$2:$P$495,(SUMPRODUCT((('CONTROL MASTER'!$S$2:$S$495=7)*('CONTROL MASTER'!$Z$2:$Z$495&lt;=5)*('CONTROL MASTER'!$AB$2:$AB$495&gt;=5)*('CONTROL MASTER'!$AA$2:$AA$495&lt;=5)*('CONTROL MASTER'!$AC$2:$AC$495&gt;=5))*ROW('CONTROL MASTER'!$S$2:$S$495))-(ROW('CONTROL MASTER'!#REF!)-1))),"")),"")</f>
        <v/>
      </c>
      <c r="G91" s="10" t="str">
        <f>IFERROR(IF(SUMPRODUCT((('CONTROL MASTER'!$S$2:$S$495=7)*('CONTROL MASTER'!$T$2:$T$495&lt;=5)*('CONTROL MASTER'!$V$2:$V$495&gt;=5)*('CONTROL MASTER'!$U$2:$U$495&lt;=6)*('CONTROL MASTER'!$W$2:$W$495&gt;=6))*ROW('CONTROL MASTER'!$S$2:$S$495))&gt;0,INDEX('CONTROL MASTER'!$X$2:$X$495,(SUMPRODUCT((('CONTROL MASTER'!$S$2:$S$495=7)*('CONTROL MASTER'!$T$2:$T$495&lt;=5)*('CONTROL MASTER'!$V$2:$V$495&gt;=5)*('CONTROL MASTER'!$U$2:$U$495&lt;=6)*('CONTROL MASTER'!$W$2:$W$495&gt;=6))*ROW('CONTROL MASTER'!$S$2:$S$495))-(ROW('CONTROL MASTER'!#REF!)-1)))&amp;TRIM(MID(SUBSTITUTE(SUBSTITUTE(INDEX('CONTROL MASTER'!$N$2:$N$495,(SUMPRODUCT((('CONTROL MASTER'!$S$2:$S$495=7)*('CONTROL MASTER'!$T$2:$T$495&lt;=5)*('CONTROL MASTER'!$V$2:$V$495&gt;=5)*('CONTROL MASTER'!$U$2:$U$495&lt;=6)*('CONTROL MASTER'!$W$2:$W$495&gt;=6))*ROW('CONTROL MASTER'!$S$2:$S$495))-(ROW('CONTROL MASTER'!#REF!)-1))),":",","),",",REPT(" ",50)),((((5-INDEX('CONTROL MASTER'!$T$2:$T$495,(SUMPRODUCT((('CONTROL MASTER'!$S$2:$S$495=7)*('CONTROL MASTER'!$T$2:$T$495&lt;=5)*('CONTROL MASTER'!$V$2:$V$495&gt;=5)*('CONTROL MASTER'!$U$2:$U$495&lt;=6)*('CONTROL MASTER'!$W$2:$W$495&gt;=6))*ROW('CONTROL MASTER'!$S$2:$S$495))-(ROW('CONTROL MASTER'!#REF!)-1))))*(INDEX('CONTROL MASTER'!$W$2:$W$495,(SUMPRODUCT((('CONTROL MASTER'!$S$2:$S$495=7)*('CONTROL MASTER'!$T$2:$T$495&lt;=5)*('CONTROL MASTER'!$V$2:$V$495&gt;=5)*('CONTROL MASTER'!$U$2:$U$495&lt;=6)*('CONTROL MASTER'!$W$2:$W$495&gt;=6))*ROW('CONTROL MASTER'!$S$2:$S$495))-(ROW('CONTROL MASTER'!#REF!)-1)))-INDEX('CONTROL MASTER'!$U$2:$U$495,(SUMPRODUCT((('CONTROL MASTER'!$S$2:$S$495=7)*('CONTROL MASTER'!$T$2:$T$495&lt;=5)*('CONTROL MASTER'!$V$2:$V$495&gt;=5)*('CONTROL MASTER'!$U$2:$U$495&lt;=6)*('CONTROL MASTER'!$W$2:$W$495&gt;=6))*ROW('CONTROL MASTER'!$S$2:$S$495))-(ROW('CONTROL MASTER'!#REF!)-1)))+1)+(6-INDEX('CONTROL MASTER'!$U$2:$U$495,(SUMPRODUCT((('CONTROL MASTER'!$S$2:$S$495=7)*('CONTROL MASTER'!$T$2:$T$495&lt;=5)*('CONTROL MASTER'!$V$2:$V$495&gt;=5)*('CONTROL MASTER'!$U$2:$U$495&lt;=6)*('CONTROL MASTER'!$W$2:$W$495&gt;=6))*ROW('CONTROL MASTER'!$S$2:$S$495))-(ROW('CONTROL MASTER'!#REF!)-1))))+1))-1)*50+1,50))&amp;"_"&amp;INDEX('CONTROL MASTER'!$P$2:$P$495,(SUMPRODUCT((('CONTROL MASTER'!$S$2:$S$495=7)*('CONTROL MASTER'!$T$2:$T$495&lt;=5)*('CONTROL MASTER'!$V$2:$V$495&gt;=5)*('CONTROL MASTER'!$U$2:$U$495&lt;=6)*('CONTROL MASTER'!$W$2:$W$495&gt;=6))*ROW('CONTROL MASTER'!$S$2:$S$495))-(ROW('CONTROL MASTER'!#REF!)-1))),IF(SUMPRODUCT((('CONTROL MASTER'!$S$2:$S$495=7)*('CONTROL MASTER'!$Z$2:$Z$495&lt;=5)*('CONTROL MASTER'!$AB$2:$AB$495&gt;=5)*('CONTROL MASTER'!$AA$2:$AA$495&lt;=6)*('CONTROL MASTER'!$AC$2:$AC$495&gt;=6))*ROW('CONTROL MASTER'!$S$2:$S$495))&gt;0,INDEX('CONTROL MASTER'!$X$2:$X$495,(SUMPRODUCT((('CONTROL MASTER'!$S$2:$S$495=7)*('CONTROL MASTER'!$Z$2:$Z$495&lt;=5)*('CONTROL MASTER'!$AB$2:$AB$495&gt;=5)*('CONTROL MASTER'!$AA$2:$AA$495&lt;=6)*('CONTROL MASTER'!$AC$2:$AC$495&gt;=6))*ROW('CONTROL MASTER'!$S$2:$S$495))-(ROW('CONTROL MASTER'!#REF!)-1)))&amp;TRIM(MID(SUBSTITUTE(SUBSTITUTE(INDEX('CONTROL MASTER'!$N$2:$N$495,(SUMPRODUCT((('CONTROL MASTER'!$S$2:$S$495=7)*('CONTROL MASTER'!$Z$2:$Z$495&lt;=5)*('CONTROL MASTER'!$AB$2:$AB$495&gt;=5)*('CONTROL MASTER'!$AA$2:$AA$495&lt;=6)*('CONTROL MASTER'!$AC$2:$AC$495&gt;=6))*ROW('CONTROL MASTER'!$S$2:$S$495))-(ROW('CONTROL MASTER'!#REF!)-1))),":",","),",",REPT(" ",50)),(((INDEX('CONTROL MASTER'!$Y$2:$Y$495,(SUMPRODUCT((('CONTROL MASTER'!$S$2:$S$495=7)*('CONTROL MASTER'!$Z$2:$Z$495&lt;=5)*('CONTROL MASTER'!$AB$2:$AB$495&gt;=5)*('CONTROL MASTER'!$AA$2:$AA$495&lt;=6)*('CONTROL MASTER'!$AC$2:$AC$495&gt;=6))*ROW('CONTROL MASTER'!$S$2:$S$495))-(ROW('CONTROL MASTER'!#REF!)-1)))+((5-INDEX('CONTROL MASTER'!$Z$2:$Z$495,(SUMPRODUCT((('CONTROL MASTER'!$S$2:$S$495=7)*('CONTROL MASTER'!$Z$2:$Z$495&lt;=5)*('CONTROL MASTER'!$AB$2:$AB$495&gt;=5)*('CONTROL MASTER'!$AA$2:$AA$495&lt;=6)*('CONTROL MASTER'!$AC$2:$AC$495&gt;=6))*ROW('CONTROL MASTER'!$S$2:$S$495))-(ROW('CONTROL MASTER'!#REF!)-1))))*(INDEX('CONTROL MASTER'!$AC$2:$AC$495,(SUMPRODUCT((('CONTROL MASTER'!$S$2:$S$495=7)*('CONTROL MASTER'!$Z$2:$Z$495&lt;=5)*('CONTROL MASTER'!$AB$2:$AB$495&gt;=5)*('CONTROL MASTER'!$AA$2:$AA$495&lt;=6)*('CONTROL MASTER'!$AC$2:$AC$495&gt;=6))*ROW('CONTROL MASTER'!$S$2:$S$495))-(ROW('CONTROL MASTER'!#REF!)-1)))-INDEX('CONTROL MASTER'!$AA$2:$AA$495,(SUMPRODUCT((('CONTROL MASTER'!$S$2:$S$495=7)*('CONTROL MASTER'!$Z$2:$Z$495&lt;=5)*('CONTROL MASTER'!$AB$2:$AB$495&gt;=5)*('CONTROL MASTER'!$AA$2:$AA$495&lt;=6)*('CONTROL MASTER'!$AC$2:$AC$495&gt;=6))*ROW('CONTROL MASTER'!$S$2:$S$495))-(ROW('CONTROL MASTER'!#REF!)-1)))+1)+(6-INDEX('CONTROL MASTER'!$AA$2:$AA$495,(SUMPRODUCT((('CONTROL MASTER'!$S$2:$S$495=7)*('CONTROL MASTER'!$Z$2:$Z$495&lt;=5)*('CONTROL MASTER'!$AB$2:$AB$495&gt;=5)*('CONTROL MASTER'!$AA$2:$AA$495&lt;=6)*('CONTROL MASTER'!$AC$2:$AC$495&gt;=6))*ROW('CONTROL MASTER'!$S$2:$S$495))-(ROW('CONTROL MASTER'!#REF!)-1))))+1)))-1)*50+1,50))&amp;"_"&amp;INDEX('CONTROL MASTER'!$P$2:$P$495,(SUMPRODUCT((('CONTROL MASTER'!$S$2:$S$495=7)*('CONTROL MASTER'!$Z$2:$Z$495&lt;=5)*('CONTROL MASTER'!$AB$2:$AB$495&gt;=5)*('CONTROL MASTER'!$AA$2:$AA$495&lt;=6)*('CONTROL MASTER'!$AC$2:$AC$495&gt;=6))*ROW('CONTROL MASTER'!$S$2:$S$495))-(ROW('CONTROL MASTER'!#REF!)-1))),"")),"")</f>
        <v/>
      </c>
      <c r="H91" s="10" t="str">
        <f>IFERROR(IF(SUMPRODUCT((('CONTROL MASTER'!$S$2:$S$495=7)*('CONTROL MASTER'!$T$2:$T$495&lt;=5)*('CONTROL MASTER'!$V$2:$V$495&gt;=5)*('CONTROL MASTER'!$U$2:$U$495&lt;=7)*('CONTROL MASTER'!$W$2:$W$495&gt;=7))*ROW('CONTROL MASTER'!$S$2:$S$495))&gt;0,INDEX('CONTROL MASTER'!$X$2:$X$495,(SUMPRODUCT((('CONTROL MASTER'!$S$2:$S$495=7)*('CONTROL MASTER'!$T$2:$T$495&lt;=5)*('CONTROL MASTER'!$V$2:$V$495&gt;=5)*('CONTROL MASTER'!$U$2:$U$495&lt;=7)*('CONTROL MASTER'!$W$2:$W$495&gt;=7))*ROW('CONTROL MASTER'!$S$2:$S$495))-(ROW('CONTROL MASTER'!#REF!)-1)))&amp;TRIM(MID(SUBSTITUTE(SUBSTITUTE(INDEX('CONTROL MASTER'!$N$2:$N$495,(SUMPRODUCT((('CONTROL MASTER'!$S$2:$S$495=7)*('CONTROL MASTER'!$T$2:$T$495&lt;=5)*('CONTROL MASTER'!$V$2:$V$495&gt;=5)*('CONTROL MASTER'!$U$2:$U$495&lt;=7)*('CONTROL MASTER'!$W$2:$W$495&gt;=7))*ROW('CONTROL MASTER'!$S$2:$S$495))-(ROW('CONTROL MASTER'!#REF!)-1))),":",","),",",REPT(" ",50)),((((5-INDEX('CONTROL MASTER'!$T$2:$T$495,(SUMPRODUCT((('CONTROL MASTER'!$S$2:$S$495=7)*('CONTROL MASTER'!$T$2:$T$495&lt;=5)*('CONTROL MASTER'!$V$2:$V$495&gt;=5)*('CONTROL MASTER'!$U$2:$U$495&lt;=7)*('CONTROL MASTER'!$W$2:$W$495&gt;=7))*ROW('CONTROL MASTER'!$S$2:$S$495))-(ROW('CONTROL MASTER'!#REF!)-1))))*(INDEX('CONTROL MASTER'!$W$2:$W$495,(SUMPRODUCT((('CONTROL MASTER'!$S$2:$S$495=7)*('CONTROL MASTER'!$T$2:$T$495&lt;=5)*('CONTROL MASTER'!$V$2:$V$495&gt;=5)*('CONTROL MASTER'!$U$2:$U$495&lt;=7)*('CONTROL MASTER'!$W$2:$W$495&gt;=7))*ROW('CONTROL MASTER'!$S$2:$S$495))-(ROW('CONTROL MASTER'!#REF!)-1)))-INDEX('CONTROL MASTER'!$U$2:$U$495,(SUMPRODUCT((('CONTROL MASTER'!$S$2:$S$495=7)*('CONTROL MASTER'!$T$2:$T$495&lt;=5)*('CONTROL MASTER'!$V$2:$V$495&gt;=5)*('CONTROL MASTER'!$U$2:$U$495&lt;=7)*('CONTROL MASTER'!$W$2:$W$495&gt;=7))*ROW('CONTROL MASTER'!$S$2:$S$495))-(ROW('CONTROL MASTER'!#REF!)-1)))+1)+(7-INDEX('CONTROL MASTER'!$U$2:$U$495,(SUMPRODUCT((('CONTROL MASTER'!$S$2:$S$495=7)*('CONTROL MASTER'!$T$2:$T$495&lt;=5)*('CONTROL MASTER'!$V$2:$V$495&gt;=5)*('CONTROL MASTER'!$U$2:$U$495&lt;=7)*('CONTROL MASTER'!$W$2:$W$495&gt;=7))*ROW('CONTROL MASTER'!$S$2:$S$495))-(ROW('CONTROL MASTER'!#REF!)-1))))+1))-1)*50+1,50))&amp;"_"&amp;INDEX('CONTROL MASTER'!$P$2:$P$495,(SUMPRODUCT((('CONTROL MASTER'!$S$2:$S$495=7)*('CONTROL MASTER'!$T$2:$T$495&lt;=5)*('CONTROL MASTER'!$V$2:$V$495&gt;=5)*('CONTROL MASTER'!$U$2:$U$495&lt;=7)*('CONTROL MASTER'!$W$2:$W$495&gt;=7))*ROW('CONTROL MASTER'!$S$2:$S$495))-(ROW('CONTROL MASTER'!#REF!)-1))),IF(SUMPRODUCT((('CONTROL MASTER'!$S$2:$S$495=7)*('CONTROL MASTER'!$Z$2:$Z$495&lt;=5)*('CONTROL MASTER'!$AB$2:$AB$495&gt;=5)*('CONTROL MASTER'!$AA$2:$AA$495&lt;=7)*('CONTROL MASTER'!$AC$2:$AC$495&gt;=7))*ROW('CONTROL MASTER'!$S$2:$S$495))&gt;0,INDEX('CONTROL MASTER'!$X$2:$X$495,(SUMPRODUCT((('CONTROL MASTER'!$S$2:$S$495=7)*('CONTROL MASTER'!$Z$2:$Z$495&lt;=5)*('CONTROL MASTER'!$AB$2:$AB$495&gt;=5)*('CONTROL MASTER'!$AA$2:$AA$495&lt;=7)*('CONTROL MASTER'!$AC$2:$AC$495&gt;=7))*ROW('CONTROL MASTER'!$S$2:$S$495))-(ROW('CONTROL MASTER'!#REF!)-1)))&amp;TRIM(MID(SUBSTITUTE(SUBSTITUTE(INDEX('CONTROL MASTER'!$N$2:$N$495,(SUMPRODUCT((('CONTROL MASTER'!$S$2:$S$495=7)*('CONTROL MASTER'!$Z$2:$Z$495&lt;=5)*('CONTROL MASTER'!$AB$2:$AB$495&gt;=5)*('CONTROL MASTER'!$AA$2:$AA$495&lt;=7)*('CONTROL MASTER'!$AC$2:$AC$495&gt;=7))*ROW('CONTROL MASTER'!$S$2:$S$495))-(ROW('CONTROL MASTER'!#REF!)-1))),":",","),",",REPT(" ",50)),(((INDEX('CONTROL MASTER'!$Y$2:$Y$495,(SUMPRODUCT((('CONTROL MASTER'!$S$2:$S$495=7)*('CONTROL MASTER'!$Z$2:$Z$495&lt;=5)*('CONTROL MASTER'!$AB$2:$AB$495&gt;=5)*('CONTROL MASTER'!$AA$2:$AA$495&lt;=7)*('CONTROL MASTER'!$AC$2:$AC$495&gt;=7))*ROW('CONTROL MASTER'!$S$2:$S$495))-(ROW('CONTROL MASTER'!#REF!)-1)))+((5-INDEX('CONTROL MASTER'!$Z$2:$Z$495,(SUMPRODUCT((('CONTROL MASTER'!$S$2:$S$495=7)*('CONTROL MASTER'!$Z$2:$Z$495&lt;=5)*('CONTROL MASTER'!$AB$2:$AB$495&gt;=5)*('CONTROL MASTER'!$AA$2:$AA$495&lt;=7)*('CONTROL MASTER'!$AC$2:$AC$495&gt;=7))*ROW('CONTROL MASTER'!$S$2:$S$495))-(ROW('CONTROL MASTER'!#REF!)-1))))*(INDEX('CONTROL MASTER'!$AC$2:$AC$495,(SUMPRODUCT((('CONTROL MASTER'!$S$2:$S$495=7)*('CONTROL MASTER'!$Z$2:$Z$495&lt;=5)*('CONTROL MASTER'!$AB$2:$AB$495&gt;=5)*('CONTROL MASTER'!$AA$2:$AA$495&lt;=7)*('CONTROL MASTER'!$AC$2:$AC$495&gt;=7))*ROW('CONTROL MASTER'!$S$2:$S$495))-(ROW('CONTROL MASTER'!#REF!)-1)))-INDEX('CONTROL MASTER'!$AA$2:$AA$495,(SUMPRODUCT((('CONTROL MASTER'!$S$2:$S$495=7)*('CONTROL MASTER'!$Z$2:$Z$495&lt;=5)*('CONTROL MASTER'!$AB$2:$AB$495&gt;=5)*('CONTROL MASTER'!$AA$2:$AA$495&lt;=7)*('CONTROL MASTER'!$AC$2:$AC$495&gt;=7))*ROW('CONTROL MASTER'!$S$2:$S$495))-(ROW('CONTROL MASTER'!#REF!)-1)))+1)+(7-INDEX('CONTROL MASTER'!$AA$2:$AA$495,(SUMPRODUCT((('CONTROL MASTER'!$S$2:$S$495=7)*('CONTROL MASTER'!$Z$2:$Z$495&lt;=5)*('CONTROL MASTER'!$AB$2:$AB$495&gt;=5)*('CONTROL MASTER'!$AA$2:$AA$495&lt;=7)*('CONTROL MASTER'!$AC$2:$AC$495&gt;=7))*ROW('CONTROL MASTER'!$S$2:$S$495))-(ROW('CONTROL MASTER'!#REF!)-1))))+1)))-1)*50+1,50))&amp;"_"&amp;INDEX('CONTROL MASTER'!$P$2:$P$495,(SUMPRODUCT((('CONTROL MASTER'!$S$2:$S$495=7)*('CONTROL MASTER'!$Z$2:$Z$495&lt;=5)*('CONTROL MASTER'!$AB$2:$AB$495&gt;=5)*('CONTROL MASTER'!$AA$2:$AA$495&lt;=7)*('CONTROL MASTER'!$AC$2:$AC$495&gt;=7))*ROW('CONTROL MASTER'!$S$2:$S$495))-(ROW('CONTROL MASTER'!#REF!)-1))),"")),"")</f>
        <v/>
      </c>
      <c r="I91" s="10" t="str">
        <f>IFERROR(IF(SUMPRODUCT((('CONTROL MASTER'!$S$2:$S$495=7)*('CONTROL MASTER'!$T$2:$T$495&lt;=5)*('CONTROL MASTER'!$V$2:$V$495&gt;=5)*('CONTROL MASTER'!$U$2:$U$495&lt;=8)*('CONTROL MASTER'!$W$2:$W$495&gt;=8))*ROW('CONTROL MASTER'!$S$2:$S$495))&gt;0,INDEX('CONTROL MASTER'!$X$2:$X$495,(SUMPRODUCT((('CONTROL MASTER'!$S$2:$S$495=7)*('CONTROL MASTER'!$T$2:$T$495&lt;=5)*('CONTROL MASTER'!$V$2:$V$495&gt;=5)*('CONTROL MASTER'!$U$2:$U$495&lt;=8)*('CONTROL MASTER'!$W$2:$W$495&gt;=8))*ROW('CONTROL MASTER'!$S$2:$S$495))-(ROW('CONTROL MASTER'!#REF!)-1)))&amp;TRIM(MID(SUBSTITUTE(SUBSTITUTE(INDEX('CONTROL MASTER'!$N$2:$N$495,(SUMPRODUCT((('CONTROL MASTER'!$S$2:$S$495=7)*('CONTROL MASTER'!$T$2:$T$495&lt;=5)*('CONTROL MASTER'!$V$2:$V$495&gt;=5)*('CONTROL MASTER'!$U$2:$U$495&lt;=8)*('CONTROL MASTER'!$W$2:$W$495&gt;=8))*ROW('CONTROL MASTER'!$S$2:$S$495))-(ROW('CONTROL MASTER'!#REF!)-1))),":",","),",",REPT(" ",50)),((((5-INDEX('CONTROL MASTER'!$T$2:$T$495,(SUMPRODUCT((('CONTROL MASTER'!$S$2:$S$495=7)*('CONTROL MASTER'!$T$2:$T$495&lt;=5)*('CONTROL MASTER'!$V$2:$V$495&gt;=5)*('CONTROL MASTER'!$U$2:$U$495&lt;=8)*('CONTROL MASTER'!$W$2:$W$495&gt;=8))*ROW('CONTROL MASTER'!$S$2:$S$495))-(ROW('CONTROL MASTER'!#REF!)-1))))*(INDEX('CONTROL MASTER'!$W$2:$W$495,(SUMPRODUCT((('CONTROL MASTER'!$S$2:$S$495=7)*('CONTROL MASTER'!$T$2:$T$495&lt;=5)*('CONTROL MASTER'!$V$2:$V$495&gt;=5)*('CONTROL MASTER'!$U$2:$U$495&lt;=8)*('CONTROL MASTER'!$W$2:$W$495&gt;=8))*ROW('CONTROL MASTER'!$S$2:$S$495))-(ROW('CONTROL MASTER'!#REF!)-1)))-INDEX('CONTROL MASTER'!$U$2:$U$495,(SUMPRODUCT((('CONTROL MASTER'!$S$2:$S$495=7)*('CONTROL MASTER'!$T$2:$T$495&lt;=5)*('CONTROL MASTER'!$V$2:$V$495&gt;=5)*('CONTROL MASTER'!$U$2:$U$495&lt;=8)*('CONTROL MASTER'!$W$2:$W$495&gt;=8))*ROW('CONTROL MASTER'!$S$2:$S$495))-(ROW('CONTROL MASTER'!#REF!)-1)))+1)+(8-INDEX('CONTROL MASTER'!$U$2:$U$495,(SUMPRODUCT((('CONTROL MASTER'!$S$2:$S$495=7)*('CONTROL MASTER'!$T$2:$T$495&lt;=5)*('CONTROL MASTER'!$V$2:$V$495&gt;=5)*('CONTROL MASTER'!$U$2:$U$495&lt;=8)*('CONTROL MASTER'!$W$2:$W$495&gt;=8))*ROW('CONTROL MASTER'!$S$2:$S$495))-(ROW('CONTROL MASTER'!#REF!)-1))))+1))-1)*50+1,50))&amp;"_"&amp;INDEX('CONTROL MASTER'!$P$2:$P$495,(SUMPRODUCT((('CONTROL MASTER'!$S$2:$S$495=7)*('CONTROL MASTER'!$T$2:$T$495&lt;=5)*('CONTROL MASTER'!$V$2:$V$495&gt;=5)*('CONTROL MASTER'!$U$2:$U$495&lt;=8)*('CONTROL MASTER'!$W$2:$W$495&gt;=8))*ROW('CONTROL MASTER'!$S$2:$S$495))-(ROW('CONTROL MASTER'!#REF!)-1))),IF(SUMPRODUCT((('CONTROL MASTER'!$S$2:$S$495=7)*('CONTROL MASTER'!$Z$2:$Z$495&lt;=5)*('CONTROL MASTER'!$AB$2:$AB$495&gt;=5)*('CONTROL MASTER'!$AA$2:$AA$495&lt;=8)*('CONTROL MASTER'!$AC$2:$AC$495&gt;=8))*ROW('CONTROL MASTER'!$S$2:$S$495))&gt;0,INDEX('CONTROL MASTER'!$X$2:$X$495,(SUMPRODUCT((('CONTROL MASTER'!$S$2:$S$495=7)*('CONTROL MASTER'!$Z$2:$Z$495&lt;=5)*('CONTROL MASTER'!$AB$2:$AB$495&gt;=5)*('CONTROL MASTER'!$AA$2:$AA$495&lt;=8)*('CONTROL MASTER'!$AC$2:$AC$495&gt;=8))*ROW('CONTROL MASTER'!$S$2:$S$495))-(ROW('CONTROL MASTER'!#REF!)-1)))&amp;TRIM(MID(SUBSTITUTE(SUBSTITUTE(INDEX('CONTROL MASTER'!$N$2:$N$495,(SUMPRODUCT((('CONTROL MASTER'!$S$2:$S$495=7)*('CONTROL MASTER'!$Z$2:$Z$495&lt;=5)*('CONTROL MASTER'!$AB$2:$AB$495&gt;=5)*('CONTROL MASTER'!$AA$2:$AA$495&lt;=8)*('CONTROL MASTER'!$AC$2:$AC$495&gt;=8))*ROW('CONTROL MASTER'!$S$2:$S$495))-(ROW('CONTROL MASTER'!#REF!)-1))),":",","),",",REPT(" ",50)),(((INDEX('CONTROL MASTER'!$Y$2:$Y$495,(SUMPRODUCT((('CONTROL MASTER'!$S$2:$S$495=7)*('CONTROL MASTER'!$Z$2:$Z$495&lt;=5)*('CONTROL MASTER'!$AB$2:$AB$495&gt;=5)*('CONTROL MASTER'!$AA$2:$AA$495&lt;=8)*('CONTROL MASTER'!$AC$2:$AC$495&gt;=8))*ROW('CONTROL MASTER'!$S$2:$S$495))-(ROW('CONTROL MASTER'!#REF!)-1)))+((5-INDEX('CONTROL MASTER'!$Z$2:$Z$495,(SUMPRODUCT((('CONTROL MASTER'!$S$2:$S$495=7)*('CONTROL MASTER'!$Z$2:$Z$495&lt;=5)*('CONTROL MASTER'!$AB$2:$AB$495&gt;=5)*('CONTROL MASTER'!$AA$2:$AA$495&lt;=8)*('CONTROL MASTER'!$AC$2:$AC$495&gt;=8))*ROW('CONTROL MASTER'!$S$2:$S$495))-(ROW('CONTROL MASTER'!#REF!)-1))))*(INDEX('CONTROL MASTER'!$AC$2:$AC$495,(SUMPRODUCT((('CONTROL MASTER'!$S$2:$S$495=7)*('CONTROL MASTER'!$Z$2:$Z$495&lt;=5)*('CONTROL MASTER'!$AB$2:$AB$495&gt;=5)*('CONTROL MASTER'!$AA$2:$AA$495&lt;=8)*('CONTROL MASTER'!$AC$2:$AC$495&gt;=8))*ROW('CONTROL MASTER'!$S$2:$S$495))-(ROW('CONTROL MASTER'!#REF!)-1)))-INDEX('CONTROL MASTER'!$AA$2:$AA$495,(SUMPRODUCT((('CONTROL MASTER'!$S$2:$S$495=7)*('CONTROL MASTER'!$Z$2:$Z$495&lt;=5)*('CONTROL MASTER'!$AB$2:$AB$495&gt;=5)*('CONTROL MASTER'!$AA$2:$AA$495&lt;=8)*('CONTROL MASTER'!$AC$2:$AC$495&gt;=8))*ROW('CONTROL MASTER'!$S$2:$S$495))-(ROW('CONTROL MASTER'!#REF!)-1)))+1)+(8-INDEX('CONTROL MASTER'!$AA$2:$AA$495,(SUMPRODUCT((('CONTROL MASTER'!$S$2:$S$495=7)*('CONTROL MASTER'!$Z$2:$Z$495&lt;=5)*('CONTROL MASTER'!$AB$2:$AB$495&gt;=5)*('CONTROL MASTER'!$AA$2:$AA$495&lt;=8)*('CONTROL MASTER'!$AC$2:$AC$495&gt;=8))*ROW('CONTROL MASTER'!$S$2:$S$495))-(ROW('CONTROL MASTER'!#REF!)-1))))+1)))-1)*50+1,50))&amp;"_"&amp;INDEX('CONTROL MASTER'!$P$2:$P$495,(SUMPRODUCT((('CONTROL MASTER'!$S$2:$S$495=7)*('CONTROL MASTER'!$Z$2:$Z$495&lt;=5)*('CONTROL MASTER'!$AB$2:$AB$495&gt;=5)*('CONTROL MASTER'!$AA$2:$AA$495&lt;=8)*('CONTROL MASTER'!$AC$2:$AC$495&gt;=8))*ROW('CONTROL MASTER'!$S$2:$S$495))-(ROW('CONTROL MASTER'!#REF!)-1))),"")),"")</f>
        <v/>
      </c>
      <c r="J91" s="10" t="str">
        <f>IFERROR(IF(SUMPRODUCT((('CONTROL MASTER'!$S$2:$S$495=7)*('CONTROL MASTER'!$T$2:$T$495&lt;=5)*('CONTROL MASTER'!$V$2:$V$495&gt;=5)*('CONTROL MASTER'!$U$2:$U$495&lt;=9)*('CONTROL MASTER'!$W$2:$W$495&gt;=9))*ROW('CONTROL MASTER'!$S$2:$S$495))&gt;0,INDEX('CONTROL MASTER'!$X$2:$X$495,(SUMPRODUCT((('CONTROL MASTER'!$S$2:$S$495=7)*('CONTROL MASTER'!$T$2:$T$495&lt;=5)*('CONTROL MASTER'!$V$2:$V$495&gt;=5)*('CONTROL MASTER'!$U$2:$U$495&lt;=9)*('CONTROL MASTER'!$W$2:$W$495&gt;=9))*ROW('CONTROL MASTER'!$S$2:$S$495))-(ROW('CONTROL MASTER'!#REF!)-1)))&amp;TRIM(MID(SUBSTITUTE(SUBSTITUTE(INDEX('CONTROL MASTER'!$N$2:$N$495,(SUMPRODUCT((('CONTROL MASTER'!$S$2:$S$495=7)*('CONTROL MASTER'!$T$2:$T$495&lt;=5)*('CONTROL MASTER'!$V$2:$V$495&gt;=5)*('CONTROL MASTER'!$U$2:$U$495&lt;=9)*('CONTROL MASTER'!$W$2:$W$495&gt;=9))*ROW('CONTROL MASTER'!$S$2:$S$495))-(ROW('CONTROL MASTER'!#REF!)-1))),":",","),",",REPT(" ",50)),((((5-INDEX('CONTROL MASTER'!$T$2:$T$495,(SUMPRODUCT((('CONTROL MASTER'!$S$2:$S$495=7)*('CONTROL MASTER'!$T$2:$T$495&lt;=5)*('CONTROL MASTER'!$V$2:$V$495&gt;=5)*('CONTROL MASTER'!$U$2:$U$495&lt;=9)*('CONTROL MASTER'!$W$2:$W$495&gt;=9))*ROW('CONTROL MASTER'!$S$2:$S$495))-(ROW('CONTROL MASTER'!#REF!)-1))))*(INDEX('CONTROL MASTER'!$W$2:$W$495,(SUMPRODUCT((('CONTROL MASTER'!$S$2:$S$495=7)*('CONTROL MASTER'!$T$2:$T$495&lt;=5)*('CONTROL MASTER'!$V$2:$V$495&gt;=5)*('CONTROL MASTER'!$U$2:$U$495&lt;=9)*('CONTROL MASTER'!$W$2:$W$495&gt;=9))*ROW('CONTROL MASTER'!$S$2:$S$495))-(ROW('CONTROL MASTER'!#REF!)-1)))-INDEX('CONTROL MASTER'!$U$2:$U$495,(SUMPRODUCT((('CONTROL MASTER'!$S$2:$S$495=7)*('CONTROL MASTER'!$T$2:$T$495&lt;=5)*('CONTROL MASTER'!$V$2:$V$495&gt;=5)*('CONTROL MASTER'!$U$2:$U$495&lt;=9)*('CONTROL MASTER'!$W$2:$W$495&gt;=9))*ROW('CONTROL MASTER'!$S$2:$S$495))-(ROW('CONTROL MASTER'!#REF!)-1)))+1)+(9-INDEX('CONTROL MASTER'!$U$2:$U$495,(SUMPRODUCT((('CONTROL MASTER'!$S$2:$S$495=7)*('CONTROL MASTER'!$T$2:$T$495&lt;=5)*('CONTROL MASTER'!$V$2:$V$495&gt;=5)*('CONTROL MASTER'!$U$2:$U$495&lt;=9)*('CONTROL MASTER'!$W$2:$W$495&gt;=9))*ROW('CONTROL MASTER'!$S$2:$S$495))-(ROW('CONTROL MASTER'!#REF!)-1))))+1))-1)*50+1,50))&amp;"_"&amp;INDEX('CONTROL MASTER'!$P$2:$P$495,(SUMPRODUCT((('CONTROL MASTER'!$S$2:$S$495=7)*('CONTROL MASTER'!$T$2:$T$495&lt;=5)*('CONTROL MASTER'!$V$2:$V$495&gt;=5)*('CONTROL MASTER'!$U$2:$U$495&lt;=9)*('CONTROL MASTER'!$W$2:$W$495&gt;=9))*ROW('CONTROL MASTER'!$S$2:$S$495))-(ROW('CONTROL MASTER'!#REF!)-1))),IF(SUMPRODUCT((('CONTROL MASTER'!$S$2:$S$495=7)*('CONTROL MASTER'!$Z$2:$Z$495&lt;=5)*('CONTROL MASTER'!$AB$2:$AB$495&gt;=5)*('CONTROL MASTER'!$AA$2:$AA$495&lt;=9)*('CONTROL MASTER'!$AC$2:$AC$495&gt;=9))*ROW('CONTROL MASTER'!$S$2:$S$495))&gt;0,INDEX('CONTROL MASTER'!$X$2:$X$495,(SUMPRODUCT((('CONTROL MASTER'!$S$2:$S$495=7)*('CONTROL MASTER'!$Z$2:$Z$495&lt;=5)*('CONTROL MASTER'!$AB$2:$AB$495&gt;=5)*('CONTROL MASTER'!$AA$2:$AA$495&lt;=9)*('CONTROL MASTER'!$AC$2:$AC$495&gt;=9))*ROW('CONTROL MASTER'!$S$2:$S$495))-(ROW('CONTROL MASTER'!#REF!)-1)))&amp;TRIM(MID(SUBSTITUTE(SUBSTITUTE(INDEX('CONTROL MASTER'!$N$2:$N$495,(SUMPRODUCT((('CONTROL MASTER'!$S$2:$S$495=7)*('CONTROL MASTER'!$Z$2:$Z$495&lt;=5)*('CONTROL MASTER'!$AB$2:$AB$495&gt;=5)*('CONTROL MASTER'!$AA$2:$AA$495&lt;=9)*('CONTROL MASTER'!$AC$2:$AC$495&gt;=9))*ROW('CONTROL MASTER'!$S$2:$S$495))-(ROW('CONTROL MASTER'!#REF!)-1))),":",","),",",REPT(" ",50)),(((INDEX('CONTROL MASTER'!$Y$2:$Y$495,(SUMPRODUCT((('CONTROL MASTER'!$S$2:$S$495=7)*('CONTROL MASTER'!$Z$2:$Z$495&lt;=5)*('CONTROL MASTER'!$AB$2:$AB$495&gt;=5)*('CONTROL MASTER'!$AA$2:$AA$495&lt;=9)*('CONTROL MASTER'!$AC$2:$AC$495&gt;=9))*ROW('CONTROL MASTER'!$S$2:$S$495))-(ROW('CONTROL MASTER'!#REF!)-1)))+((5-INDEX('CONTROL MASTER'!$Z$2:$Z$495,(SUMPRODUCT((('CONTROL MASTER'!$S$2:$S$495=7)*('CONTROL MASTER'!$Z$2:$Z$495&lt;=5)*('CONTROL MASTER'!$AB$2:$AB$495&gt;=5)*('CONTROL MASTER'!$AA$2:$AA$495&lt;=9)*('CONTROL MASTER'!$AC$2:$AC$495&gt;=9))*ROW('CONTROL MASTER'!$S$2:$S$495))-(ROW('CONTROL MASTER'!#REF!)-1))))*(INDEX('CONTROL MASTER'!$AC$2:$AC$495,(SUMPRODUCT((('CONTROL MASTER'!$S$2:$S$495=7)*('CONTROL MASTER'!$Z$2:$Z$495&lt;=5)*('CONTROL MASTER'!$AB$2:$AB$495&gt;=5)*('CONTROL MASTER'!$AA$2:$AA$495&lt;=9)*('CONTROL MASTER'!$AC$2:$AC$495&gt;=9))*ROW('CONTROL MASTER'!$S$2:$S$495))-(ROW('CONTROL MASTER'!#REF!)-1)))-INDEX('CONTROL MASTER'!$AA$2:$AA$495,(SUMPRODUCT((('CONTROL MASTER'!$S$2:$S$495=7)*('CONTROL MASTER'!$Z$2:$Z$495&lt;=5)*('CONTROL MASTER'!$AB$2:$AB$495&gt;=5)*('CONTROL MASTER'!$AA$2:$AA$495&lt;=9)*('CONTROL MASTER'!$AC$2:$AC$495&gt;=9))*ROW('CONTROL MASTER'!$S$2:$S$495))-(ROW('CONTROL MASTER'!#REF!)-1)))+1)+(9-INDEX('CONTROL MASTER'!$AA$2:$AA$495,(SUMPRODUCT((('CONTROL MASTER'!$S$2:$S$495=7)*('CONTROL MASTER'!$Z$2:$Z$495&lt;=5)*('CONTROL MASTER'!$AB$2:$AB$495&gt;=5)*('CONTROL MASTER'!$AA$2:$AA$495&lt;=9)*('CONTROL MASTER'!$AC$2:$AC$495&gt;=9))*ROW('CONTROL MASTER'!$S$2:$S$495))-(ROW('CONTROL MASTER'!#REF!)-1))))+1)))-1)*50+1,50))&amp;"_"&amp;INDEX('CONTROL MASTER'!$P$2:$P$495,(SUMPRODUCT((('CONTROL MASTER'!$S$2:$S$495=7)*('CONTROL MASTER'!$Z$2:$Z$495&lt;=5)*('CONTROL MASTER'!$AB$2:$AB$495&gt;=5)*('CONTROL MASTER'!$AA$2:$AA$495&lt;=9)*('CONTROL MASTER'!$AC$2:$AC$495&gt;=9))*ROW('CONTROL MASTER'!$S$2:$S$495))-(ROW('CONTROL MASTER'!#REF!)-1))),"")),"")</f>
        <v/>
      </c>
      <c r="K91" s="10" t="str">
        <f>IFERROR(IF(SUMPRODUCT((('CONTROL MASTER'!$S$2:$S$495=7)*('CONTROL MASTER'!$T$2:$T$495&lt;=5)*('CONTROL MASTER'!$V$2:$V$495&gt;=5)*('CONTROL MASTER'!$U$2:$U$495&lt;=10)*('CONTROL MASTER'!$W$2:$W$495&gt;=10))*ROW('CONTROL MASTER'!$S$2:$S$495))&gt;0,INDEX('CONTROL MASTER'!$X$2:$X$495,(SUMPRODUCT((('CONTROL MASTER'!$S$2:$S$495=7)*('CONTROL MASTER'!$T$2:$T$495&lt;=5)*('CONTROL MASTER'!$V$2:$V$495&gt;=5)*('CONTROL MASTER'!$U$2:$U$495&lt;=10)*('CONTROL MASTER'!$W$2:$W$495&gt;=10))*ROW('CONTROL MASTER'!$S$2:$S$495))-(ROW('CONTROL MASTER'!#REF!)-1)))&amp;TRIM(MID(SUBSTITUTE(SUBSTITUTE(INDEX('CONTROL MASTER'!$N$2:$N$495,(SUMPRODUCT((('CONTROL MASTER'!$S$2:$S$495=7)*('CONTROL MASTER'!$T$2:$T$495&lt;=5)*('CONTROL MASTER'!$V$2:$V$495&gt;=5)*('CONTROL MASTER'!$U$2:$U$495&lt;=10)*('CONTROL MASTER'!$W$2:$W$495&gt;=10))*ROW('CONTROL MASTER'!$S$2:$S$495))-(ROW('CONTROL MASTER'!#REF!)-1))),":",","),",",REPT(" ",50)),((((5-INDEX('CONTROL MASTER'!$T$2:$T$495,(SUMPRODUCT((('CONTROL MASTER'!$S$2:$S$495=7)*('CONTROL MASTER'!$T$2:$T$495&lt;=5)*('CONTROL MASTER'!$V$2:$V$495&gt;=5)*('CONTROL MASTER'!$U$2:$U$495&lt;=10)*('CONTROL MASTER'!$W$2:$W$495&gt;=10))*ROW('CONTROL MASTER'!$S$2:$S$495))-(ROW('CONTROL MASTER'!#REF!)-1))))*(INDEX('CONTROL MASTER'!$W$2:$W$495,(SUMPRODUCT((('CONTROL MASTER'!$S$2:$S$495=7)*('CONTROL MASTER'!$T$2:$T$495&lt;=5)*('CONTROL MASTER'!$V$2:$V$495&gt;=5)*('CONTROL MASTER'!$U$2:$U$495&lt;=10)*('CONTROL MASTER'!$W$2:$W$495&gt;=10))*ROW('CONTROL MASTER'!$S$2:$S$495))-(ROW('CONTROL MASTER'!#REF!)-1)))-INDEX('CONTROL MASTER'!$U$2:$U$495,(SUMPRODUCT((('CONTROL MASTER'!$S$2:$S$495=7)*('CONTROL MASTER'!$T$2:$T$495&lt;=5)*('CONTROL MASTER'!$V$2:$V$495&gt;=5)*('CONTROL MASTER'!$U$2:$U$495&lt;=10)*('CONTROL MASTER'!$W$2:$W$495&gt;=10))*ROW('CONTROL MASTER'!$S$2:$S$495))-(ROW('CONTROL MASTER'!#REF!)-1)))+1)+(10-INDEX('CONTROL MASTER'!$U$2:$U$495,(SUMPRODUCT((('CONTROL MASTER'!$S$2:$S$495=7)*('CONTROL MASTER'!$T$2:$T$495&lt;=5)*('CONTROL MASTER'!$V$2:$V$495&gt;=5)*('CONTROL MASTER'!$U$2:$U$495&lt;=10)*('CONTROL MASTER'!$W$2:$W$495&gt;=10))*ROW('CONTROL MASTER'!$S$2:$S$495))-(ROW('CONTROL MASTER'!#REF!)-1))))+1))-1)*50+1,50))&amp;"_"&amp;INDEX('CONTROL MASTER'!$P$2:$P$495,(SUMPRODUCT((('CONTROL MASTER'!$S$2:$S$495=7)*('CONTROL MASTER'!$T$2:$T$495&lt;=5)*('CONTROL MASTER'!$V$2:$V$495&gt;=5)*('CONTROL MASTER'!$U$2:$U$495&lt;=10)*('CONTROL MASTER'!$W$2:$W$495&gt;=10))*ROW('CONTROL MASTER'!$S$2:$S$495))-(ROW('CONTROL MASTER'!#REF!)-1))),IF(SUMPRODUCT((('CONTROL MASTER'!$S$2:$S$495=7)*('CONTROL MASTER'!$Z$2:$Z$495&lt;=5)*('CONTROL MASTER'!$AB$2:$AB$495&gt;=5)*('CONTROL MASTER'!$AA$2:$AA$495&lt;=10)*('CONTROL MASTER'!$AC$2:$AC$495&gt;=10))*ROW('CONTROL MASTER'!$S$2:$S$495))&gt;0,INDEX('CONTROL MASTER'!$X$2:$X$495,(SUMPRODUCT((('CONTROL MASTER'!$S$2:$S$495=7)*('CONTROL MASTER'!$Z$2:$Z$495&lt;=5)*('CONTROL MASTER'!$AB$2:$AB$495&gt;=5)*('CONTROL MASTER'!$AA$2:$AA$495&lt;=10)*('CONTROL MASTER'!$AC$2:$AC$495&gt;=10))*ROW('CONTROL MASTER'!$S$2:$S$495))-(ROW('CONTROL MASTER'!#REF!)-1)))&amp;TRIM(MID(SUBSTITUTE(SUBSTITUTE(INDEX('CONTROL MASTER'!$N$2:$N$495,(SUMPRODUCT((('CONTROL MASTER'!$S$2:$S$495=7)*('CONTROL MASTER'!$Z$2:$Z$495&lt;=5)*('CONTROL MASTER'!$AB$2:$AB$495&gt;=5)*('CONTROL MASTER'!$AA$2:$AA$495&lt;=10)*('CONTROL MASTER'!$AC$2:$AC$495&gt;=10))*ROW('CONTROL MASTER'!$S$2:$S$495))-(ROW('CONTROL MASTER'!#REF!)-1))),":",","),",",REPT(" ",50)),(((INDEX('CONTROL MASTER'!$Y$2:$Y$495,(SUMPRODUCT((('CONTROL MASTER'!$S$2:$S$495=7)*('CONTROL MASTER'!$Z$2:$Z$495&lt;=5)*('CONTROL MASTER'!$AB$2:$AB$495&gt;=5)*('CONTROL MASTER'!$AA$2:$AA$495&lt;=10)*('CONTROL MASTER'!$AC$2:$AC$495&gt;=10))*ROW('CONTROL MASTER'!$S$2:$S$495))-(ROW('CONTROL MASTER'!#REF!)-1)))+((5-INDEX('CONTROL MASTER'!$Z$2:$Z$495,(SUMPRODUCT((('CONTROL MASTER'!$S$2:$S$495=7)*('CONTROL MASTER'!$Z$2:$Z$495&lt;=5)*('CONTROL MASTER'!$AB$2:$AB$495&gt;=5)*('CONTROL MASTER'!$AA$2:$AA$495&lt;=10)*('CONTROL MASTER'!$AC$2:$AC$495&gt;=10))*ROW('CONTROL MASTER'!$S$2:$S$495))-(ROW('CONTROL MASTER'!#REF!)-1))))*(INDEX('CONTROL MASTER'!$AC$2:$AC$495,(SUMPRODUCT((('CONTROL MASTER'!$S$2:$S$495=7)*('CONTROL MASTER'!$Z$2:$Z$495&lt;=5)*('CONTROL MASTER'!$AB$2:$AB$495&gt;=5)*('CONTROL MASTER'!$AA$2:$AA$495&lt;=10)*('CONTROL MASTER'!$AC$2:$AC$495&gt;=10))*ROW('CONTROL MASTER'!$S$2:$S$495))-(ROW('CONTROL MASTER'!#REF!)-1)))-INDEX('CONTROL MASTER'!$AA$2:$AA$495,(SUMPRODUCT((('CONTROL MASTER'!$S$2:$S$495=7)*('CONTROL MASTER'!$Z$2:$Z$495&lt;=5)*('CONTROL MASTER'!$AB$2:$AB$495&gt;=5)*('CONTROL MASTER'!$AA$2:$AA$495&lt;=10)*('CONTROL MASTER'!$AC$2:$AC$495&gt;=10))*ROW('CONTROL MASTER'!$S$2:$S$495))-(ROW('CONTROL MASTER'!#REF!)-1)))+1)+(10-INDEX('CONTROL MASTER'!$AA$2:$AA$495,(SUMPRODUCT((('CONTROL MASTER'!$S$2:$S$495=7)*('CONTROL MASTER'!$Z$2:$Z$495&lt;=5)*('CONTROL MASTER'!$AB$2:$AB$495&gt;=5)*('CONTROL MASTER'!$AA$2:$AA$495&lt;=10)*('CONTROL MASTER'!$AC$2:$AC$495&gt;=10))*ROW('CONTROL MASTER'!$S$2:$S$495))-(ROW('CONTROL MASTER'!#REF!)-1))))+1)))-1)*50+1,50))&amp;"_"&amp;INDEX('CONTROL MASTER'!$P$2:$P$495,(SUMPRODUCT((('CONTROL MASTER'!$S$2:$S$495=7)*('CONTROL MASTER'!$Z$2:$Z$495&lt;=5)*('CONTROL MASTER'!$AB$2:$AB$495&gt;=5)*('CONTROL MASTER'!$AA$2:$AA$495&lt;=10)*('CONTROL MASTER'!$AC$2:$AC$495&gt;=10))*ROW('CONTROL MASTER'!$S$2:$S$495))-(ROW('CONTROL MASTER'!#REF!)-1))),"")),"")</f>
        <v/>
      </c>
    </row>
    <row r="92" spans="1:11" ht="15" customHeight="1" x14ac:dyDescent="0.35">
      <c r="A92" s="8" t="s">
        <v>33</v>
      </c>
      <c r="B92" s="10" t="str">
        <f>IFERROR(IF(SUMPRODUCT((('CONTROL MASTER'!$S$2:$S$495=7)*('CONTROL MASTER'!$T$2:$T$495&lt;=6)*('CONTROL MASTER'!$V$2:$V$495&gt;=6)*('CONTROL MASTER'!$U$2:$U$495&lt;=1)*('CONTROL MASTER'!$W$2:$W$495&gt;=1))*ROW('CONTROL MASTER'!$S$2:$S$495))&gt;0,INDEX('CONTROL MASTER'!$X$2:$X$495,(SUMPRODUCT((('CONTROL MASTER'!$S$2:$S$495=7)*('CONTROL MASTER'!$T$2:$T$495&lt;=6)*('CONTROL MASTER'!$V$2:$V$495&gt;=6)*('CONTROL MASTER'!$U$2:$U$495&lt;=1)*('CONTROL MASTER'!$W$2:$W$495&gt;=1))*ROW('CONTROL MASTER'!$S$2:$S$495))-(ROW('CONTROL MASTER'!#REF!)-1)))&amp;TRIM(MID(SUBSTITUTE(SUBSTITUTE(INDEX('CONTROL MASTER'!$N$2:$N$495,(SUMPRODUCT((('CONTROL MASTER'!$S$2:$S$495=7)*('CONTROL MASTER'!$T$2:$T$495&lt;=6)*('CONTROL MASTER'!$V$2:$V$495&gt;=6)*('CONTROL MASTER'!$U$2:$U$495&lt;=1)*('CONTROL MASTER'!$W$2:$W$495&gt;=1))*ROW('CONTROL MASTER'!$S$2:$S$495))-(ROW('CONTROL MASTER'!#REF!)-1))),":",","),",",REPT(" ",50)),((((6-INDEX('CONTROL MASTER'!$T$2:$T$495,(SUMPRODUCT((('CONTROL MASTER'!$S$2:$S$495=7)*('CONTROL MASTER'!$T$2:$T$495&lt;=6)*('CONTROL MASTER'!$V$2:$V$495&gt;=6)*('CONTROL MASTER'!$U$2:$U$495&lt;=1)*('CONTROL MASTER'!$W$2:$W$495&gt;=1))*ROW('CONTROL MASTER'!$S$2:$S$495))-(ROW('CONTROL MASTER'!#REF!)-1))))*(INDEX('CONTROL MASTER'!$W$2:$W$495,(SUMPRODUCT((('CONTROL MASTER'!$S$2:$S$495=7)*('CONTROL MASTER'!$T$2:$T$495&lt;=6)*('CONTROL MASTER'!$V$2:$V$495&gt;=6)*('CONTROL MASTER'!$U$2:$U$495&lt;=1)*('CONTROL MASTER'!$W$2:$W$495&gt;=1))*ROW('CONTROL MASTER'!$S$2:$S$495))-(ROW('CONTROL MASTER'!#REF!)-1)))-INDEX('CONTROL MASTER'!$U$2:$U$495,(SUMPRODUCT((('CONTROL MASTER'!$S$2:$S$495=7)*('CONTROL MASTER'!$T$2:$T$495&lt;=6)*('CONTROL MASTER'!$V$2:$V$495&gt;=6)*('CONTROL MASTER'!$U$2:$U$495&lt;=1)*('CONTROL MASTER'!$W$2:$W$495&gt;=1))*ROW('CONTROL MASTER'!$S$2:$S$495))-(ROW('CONTROL MASTER'!#REF!)-1)))+1)+(1-INDEX('CONTROL MASTER'!$U$2:$U$495,(SUMPRODUCT((('CONTROL MASTER'!$S$2:$S$495=7)*('CONTROL MASTER'!$T$2:$T$495&lt;=6)*('CONTROL MASTER'!$V$2:$V$495&gt;=6)*('CONTROL MASTER'!$U$2:$U$495&lt;=1)*('CONTROL MASTER'!$W$2:$W$495&gt;=1))*ROW('CONTROL MASTER'!$S$2:$S$495))-(ROW('CONTROL MASTER'!#REF!)-1))))+1))-1)*50+1,50))&amp;"_"&amp;INDEX('CONTROL MASTER'!$P$2:$P$495,(SUMPRODUCT((('CONTROL MASTER'!$S$2:$S$495=7)*('CONTROL MASTER'!$T$2:$T$495&lt;=6)*('CONTROL MASTER'!$V$2:$V$495&gt;=6)*('CONTROL MASTER'!$U$2:$U$495&lt;=1)*('CONTROL MASTER'!$W$2:$W$495&gt;=1))*ROW('CONTROL MASTER'!$S$2:$S$495))-(ROW('CONTROL MASTER'!#REF!)-1))),IF(SUMPRODUCT((('CONTROL MASTER'!$S$2:$S$495=7)*('CONTROL MASTER'!$Z$2:$Z$495&lt;=6)*('CONTROL MASTER'!$AB$2:$AB$495&gt;=6)*('CONTROL MASTER'!$AA$2:$AA$495&lt;=1)*('CONTROL MASTER'!$AC$2:$AC$495&gt;=1))*ROW('CONTROL MASTER'!$S$2:$S$495))&gt;0,INDEX('CONTROL MASTER'!$X$2:$X$495,(SUMPRODUCT((('CONTROL MASTER'!$S$2:$S$495=7)*('CONTROL MASTER'!$Z$2:$Z$495&lt;=6)*('CONTROL MASTER'!$AB$2:$AB$495&gt;=6)*('CONTROL MASTER'!$AA$2:$AA$495&lt;=1)*('CONTROL MASTER'!$AC$2:$AC$495&gt;=1))*ROW('CONTROL MASTER'!$S$2:$S$495))-(ROW('CONTROL MASTER'!#REF!)-1)))&amp;TRIM(MID(SUBSTITUTE(SUBSTITUTE(INDEX('CONTROL MASTER'!$N$2:$N$495,(SUMPRODUCT((('CONTROL MASTER'!$S$2:$S$495=7)*('CONTROL MASTER'!$Z$2:$Z$495&lt;=6)*('CONTROL MASTER'!$AB$2:$AB$495&gt;=6)*('CONTROL MASTER'!$AA$2:$AA$495&lt;=1)*('CONTROL MASTER'!$AC$2:$AC$495&gt;=1))*ROW('CONTROL MASTER'!$S$2:$S$495))-(ROW('CONTROL MASTER'!#REF!)-1))),":",","),",",REPT(" ",50)),(((INDEX('CONTROL MASTER'!$Y$2:$Y$495,(SUMPRODUCT((('CONTROL MASTER'!$S$2:$S$495=7)*('CONTROL MASTER'!$Z$2:$Z$495&lt;=6)*('CONTROL MASTER'!$AB$2:$AB$495&gt;=6)*('CONTROL MASTER'!$AA$2:$AA$495&lt;=1)*('CONTROL MASTER'!$AC$2:$AC$495&gt;=1))*ROW('CONTROL MASTER'!$S$2:$S$495))-(ROW('CONTROL MASTER'!#REF!)-1)))+((6-INDEX('CONTROL MASTER'!$Z$2:$Z$495,(SUMPRODUCT((('CONTROL MASTER'!$S$2:$S$495=7)*('CONTROL MASTER'!$Z$2:$Z$495&lt;=6)*('CONTROL MASTER'!$AB$2:$AB$495&gt;=6)*('CONTROL MASTER'!$AA$2:$AA$495&lt;=1)*('CONTROL MASTER'!$AC$2:$AC$495&gt;=1))*ROW('CONTROL MASTER'!$S$2:$S$495))-(ROW('CONTROL MASTER'!#REF!)-1))))*(INDEX('CONTROL MASTER'!$AC$2:$AC$495,(SUMPRODUCT((('CONTROL MASTER'!$S$2:$S$495=7)*('CONTROL MASTER'!$Z$2:$Z$495&lt;=6)*('CONTROL MASTER'!$AB$2:$AB$495&gt;=6)*('CONTROL MASTER'!$AA$2:$AA$495&lt;=1)*('CONTROL MASTER'!$AC$2:$AC$495&gt;=1))*ROW('CONTROL MASTER'!$S$2:$S$495))-(ROW('CONTROL MASTER'!#REF!)-1)))-INDEX('CONTROL MASTER'!$AA$2:$AA$495,(SUMPRODUCT((('CONTROL MASTER'!$S$2:$S$495=7)*('CONTROL MASTER'!$Z$2:$Z$495&lt;=6)*('CONTROL MASTER'!$AB$2:$AB$495&gt;=6)*('CONTROL MASTER'!$AA$2:$AA$495&lt;=1)*('CONTROL MASTER'!$AC$2:$AC$495&gt;=1))*ROW('CONTROL MASTER'!$S$2:$S$495))-(ROW('CONTROL MASTER'!#REF!)-1)))+1)+(1-INDEX('CONTROL MASTER'!$AA$2:$AA$495,(SUMPRODUCT((('CONTROL MASTER'!$S$2:$S$495=7)*('CONTROL MASTER'!$Z$2:$Z$495&lt;=6)*('CONTROL MASTER'!$AB$2:$AB$495&gt;=6)*('CONTROL MASTER'!$AA$2:$AA$495&lt;=1)*('CONTROL MASTER'!$AC$2:$AC$495&gt;=1))*ROW('CONTROL MASTER'!$S$2:$S$495))-(ROW('CONTROL MASTER'!#REF!)-1))))+1)))-1)*50+1,50))&amp;"_"&amp;INDEX('CONTROL MASTER'!$P$2:$P$495,(SUMPRODUCT((('CONTROL MASTER'!$S$2:$S$495=7)*('CONTROL MASTER'!$Z$2:$Z$495&lt;=6)*('CONTROL MASTER'!$AB$2:$AB$495&gt;=6)*('CONTROL MASTER'!$AA$2:$AA$495&lt;=1)*('CONTROL MASTER'!$AC$2:$AC$495&gt;=1))*ROW('CONTROL MASTER'!$S$2:$S$495))-(ROW('CONTROL MASTER'!#REF!)-1))),"")),"")</f>
        <v/>
      </c>
      <c r="C92" s="10" t="str">
        <f>IFERROR(IF(SUMPRODUCT((('CONTROL MASTER'!$S$2:$S$495=7)*('CONTROL MASTER'!$T$2:$T$495&lt;=6)*('CONTROL MASTER'!$V$2:$V$495&gt;=6)*('CONTROL MASTER'!$U$2:$U$495&lt;=2)*('CONTROL MASTER'!$W$2:$W$495&gt;=2))*ROW('CONTROL MASTER'!$S$2:$S$495))&gt;0,INDEX('CONTROL MASTER'!$X$2:$X$495,(SUMPRODUCT((('CONTROL MASTER'!$S$2:$S$495=7)*('CONTROL MASTER'!$T$2:$T$495&lt;=6)*('CONTROL MASTER'!$V$2:$V$495&gt;=6)*('CONTROL MASTER'!$U$2:$U$495&lt;=2)*('CONTROL MASTER'!$W$2:$W$495&gt;=2))*ROW('CONTROL MASTER'!$S$2:$S$495))-(ROW('CONTROL MASTER'!#REF!)-1)))&amp;TRIM(MID(SUBSTITUTE(SUBSTITUTE(INDEX('CONTROL MASTER'!$N$2:$N$495,(SUMPRODUCT((('CONTROL MASTER'!$S$2:$S$495=7)*('CONTROL MASTER'!$T$2:$T$495&lt;=6)*('CONTROL MASTER'!$V$2:$V$495&gt;=6)*('CONTROL MASTER'!$U$2:$U$495&lt;=2)*('CONTROL MASTER'!$W$2:$W$495&gt;=2))*ROW('CONTROL MASTER'!$S$2:$S$495))-(ROW('CONTROL MASTER'!#REF!)-1))),":",","),",",REPT(" ",50)),((((6-INDEX('CONTROL MASTER'!$T$2:$T$495,(SUMPRODUCT((('CONTROL MASTER'!$S$2:$S$495=7)*('CONTROL MASTER'!$T$2:$T$495&lt;=6)*('CONTROL MASTER'!$V$2:$V$495&gt;=6)*('CONTROL MASTER'!$U$2:$U$495&lt;=2)*('CONTROL MASTER'!$W$2:$W$495&gt;=2))*ROW('CONTROL MASTER'!$S$2:$S$495))-(ROW('CONTROL MASTER'!#REF!)-1))))*(INDEX('CONTROL MASTER'!$W$2:$W$495,(SUMPRODUCT((('CONTROL MASTER'!$S$2:$S$495=7)*('CONTROL MASTER'!$T$2:$T$495&lt;=6)*('CONTROL MASTER'!$V$2:$V$495&gt;=6)*('CONTROL MASTER'!$U$2:$U$495&lt;=2)*('CONTROL MASTER'!$W$2:$W$495&gt;=2))*ROW('CONTROL MASTER'!$S$2:$S$495))-(ROW('CONTROL MASTER'!#REF!)-1)))-INDEX('CONTROL MASTER'!$U$2:$U$495,(SUMPRODUCT((('CONTROL MASTER'!$S$2:$S$495=7)*('CONTROL MASTER'!$T$2:$T$495&lt;=6)*('CONTROL MASTER'!$V$2:$V$495&gt;=6)*('CONTROL MASTER'!$U$2:$U$495&lt;=2)*('CONTROL MASTER'!$W$2:$W$495&gt;=2))*ROW('CONTROL MASTER'!$S$2:$S$495))-(ROW('CONTROL MASTER'!#REF!)-1)))+1)+(2-INDEX('CONTROL MASTER'!$U$2:$U$495,(SUMPRODUCT((('CONTROL MASTER'!$S$2:$S$495=7)*('CONTROL MASTER'!$T$2:$T$495&lt;=6)*('CONTROL MASTER'!$V$2:$V$495&gt;=6)*('CONTROL MASTER'!$U$2:$U$495&lt;=2)*('CONTROL MASTER'!$W$2:$W$495&gt;=2))*ROW('CONTROL MASTER'!$S$2:$S$495))-(ROW('CONTROL MASTER'!#REF!)-1))))+1))-1)*50+1,50))&amp;"_"&amp;INDEX('CONTROL MASTER'!$P$2:$P$495,(SUMPRODUCT((('CONTROL MASTER'!$S$2:$S$495=7)*('CONTROL MASTER'!$T$2:$T$495&lt;=6)*('CONTROL MASTER'!$V$2:$V$495&gt;=6)*('CONTROL MASTER'!$U$2:$U$495&lt;=2)*('CONTROL MASTER'!$W$2:$W$495&gt;=2))*ROW('CONTROL MASTER'!$S$2:$S$495))-(ROW('CONTROL MASTER'!#REF!)-1))),IF(SUMPRODUCT((('CONTROL MASTER'!$S$2:$S$495=7)*('CONTROL MASTER'!$Z$2:$Z$495&lt;=6)*('CONTROL MASTER'!$AB$2:$AB$495&gt;=6)*('CONTROL MASTER'!$AA$2:$AA$495&lt;=2)*('CONTROL MASTER'!$AC$2:$AC$495&gt;=2))*ROW('CONTROL MASTER'!$S$2:$S$495))&gt;0,INDEX('CONTROL MASTER'!$X$2:$X$495,(SUMPRODUCT((('CONTROL MASTER'!$S$2:$S$495=7)*('CONTROL MASTER'!$Z$2:$Z$495&lt;=6)*('CONTROL MASTER'!$AB$2:$AB$495&gt;=6)*('CONTROL MASTER'!$AA$2:$AA$495&lt;=2)*('CONTROL MASTER'!$AC$2:$AC$495&gt;=2))*ROW('CONTROL MASTER'!$S$2:$S$495))-(ROW('CONTROL MASTER'!#REF!)-1)))&amp;TRIM(MID(SUBSTITUTE(SUBSTITUTE(INDEX('CONTROL MASTER'!$N$2:$N$495,(SUMPRODUCT((('CONTROL MASTER'!$S$2:$S$495=7)*('CONTROL MASTER'!$Z$2:$Z$495&lt;=6)*('CONTROL MASTER'!$AB$2:$AB$495&gt;=6)*('CONTROL MASTER'!$AA$2:$AA$495&lt;=2)*('CONTROL MASTER'!$AC$2:$AC$495&gt;=2))*ROW('CONTROL MASTER'!$S$2:$S$495))-(ROW('CONTROL MASTER'!#REF!)-1))),":",","),",",REPT(" ",50)),(((INDEX('CONTROL MASTER'!$Y$2:$Y$495,(SUMPRODUCT((('CONTROL MASTER'!$S$2:$S$495=7)*('CONTROL MASTER'!$Z$2:$Z$495&lt;=6)*('CONTROL MASTER'!$AB$2:$AB$495&gt;=6)*('CONTROL MASTER'!$AA$2:$AA$495&lt;=2)*('CONTROL MASTER'!$AC$2:$AC$495&gt;=2))*ROW('CONTROL MASTER'!$S$2:$S$495))-(ROW('CONTROL MASTER'!#REF!)-1)))+((6-INDEX('CONTROL MASTER'!$Z$2:$Z$495,(SUMPRODUCT((('CONTROL MASTER'!$S$2:$S$495=7)*('CONTROL MASTER'!$Z$2:$Z$495&lt;=6)*('CONTROL MASTER'!$AB$2:$AB$495&gt;=6)*('CONTROL MASTER'!$AA$2:$AA$495&lt;=2)*('CONTROL MASTER'!$AC$2:$AC$495&gt;=2))*ROW('CONTROL MASTER'!$S$2:$S$495))-(ROW('CONTROL MASTER'!#REF!)-1))))*(INDEX('CONTROL MASTER'!$AC$2:$AC$495,(SUMPRODUCT((('CONTROL MASTER'!$S$2:$S$495=7)*('CONTROL MASTER'!$Z$2:$Z$495&lt;=6)*('CONTROL MASTER'!$AB$2:$AB$495&gt;=6)*('CONTROL MASTER'!$AA$2:$AA$495&lt;=2)*('CONTROL MASTER'!$AC$2:$AC$495&gt;=2))*ROW('CONTROL MASTER'!$S$2:$S$495))-(ROW('CONTROL MASTER'!#REF!)-1)))-INDEX('CONTROL MASTER'!$AA$2:$AA$495,(SUMPRODUCT((('CONTROL MASTER'!$S$2:$S$495=7)*('CONTROL MASTER'!$Z$2:$Z$495&lt;=6)*('CONTROL MASTER'!$AB$2:$AB$495&gt;=6)*('CONTROL MASTER'!$AA$2:$AA$495&lt;=2)*('CONTROL MASTER'!$AC$2:$AC$495&gt;=2))*ROW('CONTROL MASTER'!$S$2:$S$495))-(ROW('CONTROL MASTER'!#REF!)-1)))+1)+(2-INDEX('CONTROL MASTER'!$AA$2:$AA$495,(SUMPRODUCT((('CONTROL MASTER'!$S$2:$S$495=7)*('CONTROL MASTER'!$Z$2:$Z$495&lt;=6)*('CONTROL MASTER'!$AB$2:$AB$495&gt;=6)*('CONTROL MASTER'!$AA$2:$AA$495&lt;=2)*('CONTROL MASTER'!$AC$2:$AC$495&gt;=2))*ROW('CONTROL MASTER'!$S$2:$S$495))-(ROW('CONTROL MASTER'!#REF!)-1))))+1)))-1)*50+1,50))&amp;"_"&amp;INDEX('CONTROL MASTER'!$P$2:$P$495,(SUMPRODUCT((('CONTROL MASTER'!$S$2:$S$495=7)*('CONTROL MASTER'!$Z$2:$Z$495&lt;=6)*('CONTROL MASTER'!$AB$2:$AB$495&gt;=6)*('CONTROL MASTER'!$AA$2:$AA$495&lt;=2)*('CONTROL MASTER'!$AC$2:$AC$495&gt;=2))*ROW('CONTROL MASTER'!$S$2:$S$495))-(ROW('CONTROL MASTER'!#REF!)-1))),"")),"")</f>
        <v/>
      </c>
      <c r="D92" s="10" t="str">
        <f>IFERROR(IF(SUMPRODUCT((('CONTROL MASTER'!$S$2:$S$495=7)*('CONTROL MASTER'!$T$2:$T$495&lt;=6)*('CONTROL MASTER'!$V$2:$V$495&gt;=6)*('CONTROL MASTER'!$U$2:$U$495&lt;=3)*('CONTROL MASTER'!$W$2:$W$495&gt;=3))*ROW('CONTROL MASTER'!$S$2:$S$495))&gt;0,INDEX('CONTROL MASTER'!$X$2:$X$495,(SUMPRODUCT((('CONTROL MASTER'!$S$2:$S$495=7)*('CONTROL MASTER'!$T$2:$T$495&lt;=6)*('CONTROL MASTER'!$V$2:$V$495&gt;=6)*('CONTROL MASTER'!$U$2:$U$495&lt;=3)*('CONTROL MASTER'!$W$2:$W$495&gt;=3))*ROW('CONTROL MASTER'!$S$2:$S$495))-(ROW('CONTROL MASTER'!#REF!)-1)))&amp;TRIM(MID(SUBSTITUTE(SUBSTITUTE(INDEX('CONTROL MASTER'!$N$2:$N$495,(SUMPRODUCT((('CONTROL MASTER'!$S$2:$S$495=7)*('CONTROL MASTER'!$T$2:$T$495&lt;=6)*('CONTROL MASTER'!$V$2:$V$495&gt;=6)*('CONTROL MASTER'!$U$2:$U$495&lt;=3)*('CONTROL MASTER'!$W$2:$W$495&gt;=3))*ROW('CONTROL MASTER'!$S$2:$S$495))-(ROW('CONTROL MASTER'!#REF!)-1))),":",","),",",REPT(" ",50)),((((6-INDEX('CONTROL MASTER'!$T$2:$T$495,(SUMPRODUCT((('CONTROL MASTER'!$S$2:$S$495=7)*('CONTROL MASTER'!$T$2:$T$495&lt;=6)*('CONTROL MASTER'!$V$2:$V$495&gt;=6)*('CONTROL MASTER'!$U$2:$U$495&lt;=3)*('CONTROL MASTER'!$W$2:$W$495&gt;=3))*ROW('CONTROL MASTER'!$S$2:$S$495))-(ROW('CONTROL MASTER'!#REF!)-1))))*(INDEX('CONTROL MASTER'!$W$2:$W$495,(SUMPRODUCT((('CONTROL MASTER'!$S$2:$S$495=7)*('CONTROL MASTER'!$T$2:$T$495&lt;=6)*('CONTROL MASTER'!$V$2:$V$495&gt;=6)*('CONTROL MASTER'!$U$2:$U$495&lt;=3)*('CONTROL MASTER'!$W$2:$W$495&gt;=3))*ROW('CONTROL MASTER'!$S$2:$S$495))-(ROW('CONTROL MASTER'!#REF!)-1)))-INDEX('CONTROL MASTER'!$U$2:$U$495,(SUMPRODUCT((('CONTROL MASTER'!$S$2:$S$495=7)*('CONTROL MASTER'!$T$2:$T$495&lt;=6)*('CONTROL MASTER'!$V$2:$V$495&gt;=6)*('CONTROL MASTER'!$U$2:$U$495&lt;=3)*('CONTROL MASTER'!$W$2:$W$495&gt;=3))*ROW('CONTROL MASTER'!$S$2:$S$495))-(ROW('CONTROL MASTER'!#REF!)-1)))+1)+(3-INDEX('CONTROL MASTER'!$U$2:$U$495,(SUMPRODUCT((('CONTROL MASTER'!$S$2:$S$495=7)*('CONTROL MASTER'!$T$2:$T$495&lt;=6)*('CONTROL MASTER'!$V$2:$V$495&gt;=6)*('CONTROL MASTER'!$U$2:$U$495&lt;=3)*('CONTROL MASTER'!$W$2:$W$495&gt;=3))*ROW('CONTROL MASTER'!$S$2:$S$495))-(ROW('CONTROL MASTER'!#REF!)-1))))+1))-1)*50+1,50))&amp;"_"&amp;INDEX('CONTROL MASTER'!$P$2:$P$495,(SUMPRODUCT((('CONTROL MASTER'!$S$2:$S$495=7)*('CONTROL MASTER'!$T$2:$T$495&lt;=6)*('CONTROL MASTER'!$V$2:$V$495&gt;=6)*('CONTROL MASTER'!$U$2:$U$495&lt;=3)*('CONTROL MASTER'!$W$2:$W$495&gt;=3))*ROW('CONTROL MASTER'!$S$2:$S$495))-(ROW('CONTROL MASTER'!#REF!)-1))),IF(SUMPRODUCT((('CONTROL MASTER'!$S$2:$S$495=7)*('CONTROL MASTER'!$Z$2:$Z$495&lt;=6)*('CONTROL MASTER'!$AB$2:$AB$495&gt;=6)*('CONTROL MASTER'!$AA$2:$AA$495&lt;=3)*('CONTROL MASTER'!$AC$2:$AC$495&gt;=3))*ROW('CONTROL MASTER'!$S$2:$S$495))&gt;0,INDEX('CONTROL MASTER'!$X$2:$X$495,(SUMPRODUCT((('CONTROL MASTER'!$S$2:$S$495=7)*('CONTROL MASTER'!$Z$2:$Z$495&lt;=6)*('CONTROL MASTER'!$AB$2:$AB$495&gt;=6)*('CONTROL MASTER'!$AA$2:$AA$495&lt;=3)*('CONTROL MASTER'!$AC$2:$AC$495&gt;=3))*ROW('CONTROL MASTER'!$S$2:$S$495))-(ROW('CONTROL MASTER'!#REF!)-1)))&amp;TRIM(MID(SUBSTITUTE(SUBSTITUTE(INDEX('CONTROL MASTER'!$N$2:$N$495,(SUMPRODUCT((('CONTROL MASTER'!$S$2:$S$495=7)*('CONTROL MASTER'!$Z$2:$Z$495&lt;=6)*('CONTROL MASTER'!$AB$2:$AB$495&gt;=6)*('CONTROL MASTER'!$AA$2:$AA$495&lt;=3)*('CONTROL MASTER'!$AC$2:$AC$495&gt;=3))*ROW('CONTROL MASTER'!$S$2:$S$495))-(ROW('CONTROL MASTER'!#REF!)-1))),":",","),",",REPT(" ",50)),(((INDEX('CONTROL MASTER'!$Y$2:$Y$495,(SUMPRODUCT((('CONTROL MASTER'!$S$2:$S$495=7)*('CONTROL MASTER'!$Z$2:$Z$495&lt;=6)*('CONTROL MASTER'!$AB$2:$AB$495&gt;=6)*('CONTROL MASTER'!$AA$2:$AA$495&lt;=3)*('CONTROL MASTER'!$AC$2:$AC$495&gt;=3))*ROW('CONTROL MASTER'!$S$2:$S$495))-(ROW('CONTROL MASTER'!#REF!)-1)))+((6-INDEX('CONTROL MASTER'!$Z$2:$Z$495,(SUMPRODUCT((('CONTROL MASTER'!$S$2:$S$495=7)*('CONTROL MASTER'!$Z$2:$Z$495&lt;=6)*('CONTROL MASTER'!$AB$2:$AB$495&gt;=6)*('CONTROL MASTER'!$AA$2:$AA$495&lt;=3)*('CONTROL MASTER'!$AC$2:$AC$495&gt;=3))*ROW('CONTROL MASTER'!$S$2:$S$495))-(ROW('CONTROL MASTER'!#REF!)-1))))*(INDEX('CONTROL MASTER'!$AC$2:$AC$495,(SUMPRODUCT((('CONTROL MASTER'!$S$2:$S$495=7)*('CONTROL MASTER'!$Z$2:$Z$495&lt;=6)*('CONTROL MASTER'!$AB$2:$AB$495&gt;=6)*('CONTROL MASTER'!$AA$2:$AA$495&lt;=3)*('CONTROL MASTER'!$AC$2:$AC$495&gt;=3))*ROW('CONTROL MASTER'!$S$2:$S$495))-(ROW('CONTROL MASTER'!#REF!)-1)))-INDEX('CONTROL MASTER'!$AA$2:$AA$495,(SUMPRODUCT((('CONTROL MASTER'!$S$2:$S$495=7)*('CONTROL MASTER'!$Z$2:$Z$495&lt;=6)*('CONTROL MASTER'!$AB$2:$AB$495&gt;=6)*('CONTROL MASTER'!$AA$2:$AA$495&lt;=3)*('CONTROL MASTER'!$AC$2:$AC$495&gt;=3))*ROW('CONTROL MASTER'!$S$2:$S$495))-(ROW('CONTROL MASTER'!#REF!)-1)))+1)+(3-INDEX('CONTROL MASTER'!$AA$2:$AA$495,(SUMPRODUCT((('CONTROL MASTER'!$S$2:$S$495=7)*('CONTROL MASTER'!$Z$2:$Z$495&lt;=6)*('CONTROL MASTER'!$AB$2:$AB$495&gt;=6)*('CONTROL MASTER'!$AA$2:$AA$495&lt;=3)*('CONTROL MASTER'!$AC$2:$AC$495&gt;=3))*ROW('CONTROL MASTER'!$S$2:$S$495))-(ROW('CONTROL MASTER'!#REF!)-1))))+1)))-1)*50+1,50))&amp;"_"&amp;INDEX('CONTROL MASTER'!$P$2:$P$495,(SUMPRODUCT((('CONTROL MASTER'!$S$2:$S$495=7)*('CONTROL MASTER'!$Z$2:$Z$495&lt;=6)*('CONTROL MASTER'!$AB$2:$AB$495&gt;=6)*('CONTROL MASTER'!$AA$2:$AA$495&lt;=3)*('CONTROL MASTER'!$AC$2:$AC$495&gt;=3))*ROW('CONTROL MASTER'!$S$2:$S$495))-(ROW('CONTROL MASTER'!#REF!)-1))),"")),"")</f>
        <v/>
      </c>
      <c r="E92" s="10" t="str">
        <f>IFERROR(IF(SUMPRODUCT((('CONTROL MASTER'!$S$2:$S$495=7)*('CONTROL MASTER'!$T$2:$T$495&lt;=6)*('CONTROL MASTER'!$V$2:$V$495&gt;=6)*('CONTROL MASTER'!$U$2:$U$495&lt;=4)*('CONTROL MASTER'!$W$2:$W$495&gt;=4))*ROW('CONTROL MASTER'!$S$2:$S$495))&gt;0,INDEX('CONTROL MASTER'!$X$2:$X$495,(SUMPRODUCT((('CONTROL MASTER'!$S$2:$S$495=7)*('CONTROL MASTER'!$T$2:$T$495&lt;=6)*('CONTROL MASTER'!$V$2:$V$495&gt;=6)*('CONTROL MASTER'!$U$2:$U$495&lt;=4)*('CONTROL MASTER'!$W$2:$W$495&gt;=4))*ROW('CONTROL MASTER'!$S$2:$S$495))-(ROW('CONTROL MASTER'!#REF!)-1)))&amp;TRIM(MID(SUBSTITUTE(SUBSTITUTE(INDEX('CONTROL MASTER'!$N$2:$N$495,(SUMPRODUCT((('CONTROL MASTER'!$S$2:$S$495=7)*('CONTROL MASTER'!$T$2:$T$495&lt;=6)*('CONTROL MASTER'!$V$2:$V$495&gt;=6)*('CONTROL MASTER'!$U$2:$U$495&lt;=4)*('CONTROL MASTER'!$W$2:$W$495&gt;=4))*ROW('CONTROL MASTER'!$S$2:$S$495))-(ROW('CONTROL MASTER'!#REF!)-1))),":",","),",",REPT(" ",50)),((((6-INDEX('CONTROL MASTER'!$T$2:$T$495,(SUMPRODUCT((('CONTROL MASTER'!$S$2:$S$495=7)*('CONTROL MASTER'!$T$2:$T$495&lt;=6)*('CONTROL MASTER'!$V$2:$V$495&gt;=6)*('CONTROL MASTER'!$U$2:$U$495&lt;=4)*('CONTROL MASTER'!$W$2:$W$495&gt;=4))*ROW('CONTROL MASTER'!$S$2:$S$495))-(ROW('CONTROL MASTER'!#REF!)-1))))*(INDEX('CONTROL MASTER'!$W$2:$W$495,(SUMPRODUCT((('CONTROL MASTER'!$S$2:$S$495=7)*('CONTROL MASTER'!$T$2:$T$495&lt;=6)*('CONTROL MASTER'!$V$2:$V$495&gt;=6)*('CONTROL MASTER'!$U$2:$U$495&lt;=4)*('CONTROL MASTER'!$W$2:$W$495&gt;=4))*ROW('CONTROL MASTER'!$S$2:$S$495))-(ROW('CONTROL MASTER'!#REF!)-1)))-INDEX('CONTROL MASTER'!$U$2:$U$495,(SUMPRODUCT((('CONTROL MASTER'!$S$2:$S$495=7)*('CONTROL MASTER'!$T$2:$T$495&lt;=6)*('CONTROL MASTER'!$V$2:$V$495&gt;=6)*('CONTROL MASTER'!$U$2:$U$495&lt;=4)*('CONTROL MASTER'!$W$2:$W$495&gt;=4))*ROW('CONTROL MASTER'!$S$2:$S$495))-(ROW('CONTROL MASTER'!#REF!)-1)))+1)+(4-INDEX('CONTROL MASTER'!$U$2:$U$495,(SUMPRODUCT((('CONTROL MASTER'!$S$2:$S$495=7)*('CONTROL MASTER'!$T$2:$T$495&lt;=6)*('CONTROL MASTER'!$V$2:$V$495&gt;=6)*('CONTROL MASTER'!$U$2:$U$495&lt;=4)*('CONTROL MASTER'!$W$2:$W$495&gt;=4))*ROW('CONTROL MASTER'!$S$2:$S$495))-(ROW('CONTROL MASTER'!#REF!)-1))))+1))-1)*50+1,50))&amp;"_"&amp;INDEX('CONTROL MASTER'!$P$2:$P$495,(SUMPRODUCT((('CONTROL MASTER'!$S$2:$S$495=7)*('CONTROL MASTER'!$T$2:$T$495&lt;=6)*('CONTROL MASTER'!$V$2:$V$495&gt;=6)*('CONTROL MASTER'!$U$2:$U$495&lt;=4)*('CONTROL MASTER'!$W$2:$W$495&gt;=4))*ROW('CONTROL MASTER'!$S$2:$S$495))-(ROW('CONTROL MASTER'!#REF!)-1))),IF(SUMPRODUCT((('CONTROL MASTER'!$S$2:$S$495=7)*('CONTROL MASTER'!$Z$2:$Z$495&lt;=6)*('CONTROL MASTER'!$AB$2:$AB$495&gt;=6)*('CONTROL MASTER'!$AA$2:$AA$495&lt;=4)*('CONTROL MASTER'!$AC$2:$AC$495&gt;=4))*ROW('CONTROL MASTER'!$S$2:$S$495))&gt;0,INDEX('CONTROL MASTER'!$X$2:$X$495,(SUMPRODUCT((('CONTROL MASTER'!$S$2:$S$495=7)*('CONTROL MASTER'!$Z$2:$Z$495&lt;=6)*('CONTROL MASTER'!$AB$2:$AB$495&gt;=6)*('CONTROL MASTER'!$AA$2:$AA$495&lt;=4)*('CONTROL MASTER'!$AC$2:$AC$495&gt;=4))*ROW('CONTROL MASTER'!$S$2:$S$495))-(ROW('CONTROL MASTER'!#REF!)-1)))&amp;TRIM(MID(SUBSTITUTE(SUBSTITUTE(INDEX('CONTROL MASTER'!$N$2:$N$495,(SUMPRODUCT((('CONTROL MASTER'!$S$2:$S$495=7)*('CONTROL MASTER'!$Z$2:$Z$495&lt;=6)*('CONTROL MASTER'!$AB$2:$AB$495&gt;=6)*('CONTROL MASTER'!$AA$2:$AA$495&lt;=4)*('CONTROL MASTER'!$AC$2:$AC$495&gt;=4))*ROW('CONTROL MASTER'!$S$2:$S$495))-(ROW('CONTROL MASTER'!#REF!)-1))),":",","),",",REPT(" ",50)),(((INDEX('CONTROL MASTER'!$Y$2:$Y$495,(SUMPRODUCT((('CONTROL MASTER'!$S$2:$S$495=7)*('CONTROL MASTER'!$Z$2:$Z$495&lt;=6)*('CONTROL MASTER'!$AB$2:$AB$495&gt;=6)*('CONTROL MASTER'!$AA$2:$AA$495&lt;=4)*('CONTROL MASTER'!$AC$2:$AC$495&gt;=4))*ROW('CONTROL MASTER'!$S$2:$S$495))-(ROW('CONTROL MASTER'!#REF!)-1)))+((6-INDEX('CONTROL MASTER'!$Z$2:$Z$495,(SUMPRODUCT((('CONTROL MASTER'!$S$2:$S$495=7)*('CONTROL MASTER'!$Z$2:$Z$495&lt;=6)*('CONTROL MASTER'!$AB$2:$AB$495&gt;=6)*('CONTROL MASTER'!$AA$2:$AA$495&lt;=4)*('CONTROL MASTER'!$AC$2:$AC$495&gt;=4))*ROW('CONTROL MASTER'!$S$2:$S$495))-(ROW('CONTROL MASTER'!#REF!)-1))))*(INDEX('CONTROL MASTER'!$AC$2:$AC$495,(SUMPRODUCT((('CONTROL MASTER'!$S$2:$S$495=7)*('CONTROL MASTER'!$Z$2:$Z$495&lt;=6)*('CONTROL MASTER'!$AB$2:$AB$495&gt;=6)*('CONTROL MASTER'!$AA$2:$AA$495&lt;=4)*('CONTROL MASTER'!$AC$2:$AC$495&gt;=4))*ROW('CONTROL MASTER'!$S$2:$S$495))-(ROW('CONTROL MASTER'!#REF!)-1)))-INDEX('CONTROL MASTER'!$AA$2:$AA$495,(SUMPRODUCT((('CONTROL MASTER'!$S$2:$S$495=7)*('CONTROL MASTER'!$Z$2:$Z$495&lt;=6)*('CONTROL MASTER'!$AB$2:$AB$495&gt;=6)*('CONTROL MASTER'!$AA$2:$AA$495&lt;=4)*('CONTROL MASTER'!$AC$2:$AC$495&gt;=4))*ROW('CONTROL MASTER'!$S$2:$S$495))-(ROW('CONTROL MASTER'!#REF!)-1)))+1)+(4-INDEX('CONTROL MASTER'!$AA$2:$AA$495,(SUMPRODUCT((('CONTROL MASTER'!$S$2:$S$495=7)*('CONTROL MASTER'!$Z$2:$Z$495&lt;=6)*('CONTROL MASTER'!$AB$2:$AB$495&gt;=6)*('CONTROL MASTER'!$AA$2:$AA$495&lt;=4)*('CONTROL MASTER'!$AC$2:$AC$495&gt;=4))*ROW('CONTROL MASTER'!$S$2:$S$495))-(ROW('CONTROL MASTER'!#REF!)-1))))+1)))-1)*50+1,50))&amp;"_"&amp;INDEX('CONTROL MASTER'!$P$2:$P$495,(SUMPRODUCT((('CONTROL MASTER'!$S$2:$S$495=7)*('CONTROL MASTER'!$Z$2:$Z$495&lt;=6)*('CONTROL MASTER'!$AB$2:$AB$495&gt;=6)*('CONTROL MASTER'!$AA$2:$AA$495&lt;=4)*('CONTROL MASTER'!$AC$2:$AC$495&gt;=4))*ROW('CONTROL MASTER'!$S$2:$S$495))-(ROW('CONTROL MASTER'!#REF!)-1))),"")),"")</f>
        <v/>
      </c>
      <c r="F92" s="10" t="str">
        <f>IFERROR(IF(SUMPRODUCT((('CONTROL MASTER'!$S$2:$S$495=7)*('CONTROL MASTER'!$T$2:$T$495&lt;=6)*('CONTROL MASTER'!$V$2:$V$495&gt;=6)*('CONTROL MASTER'!$U$2:$U$495&lt;=5)*('CONTROL MASTER'!$W$2:$W$495&gt;=5))*ROW('CONTROL MASTER'!$S$2:$S$495))&gt;0,INDEX('CONTROL MASTER'!$X$2:$X$495,(SUMPRODUCT((('CONTROL MASTER'!$S$2:$S$495=7)*('CONTROL MASTER'!$T$2:$T$495&lt;=6)*('CONTROL MASTER'!$V$2:$V$495&gt;=6)*('CONTROL MASTER'!$U$2:$U$495&lt;=5)*('CONTROL MASTER'!$W$2:$W$495&gt;=5))*ROW('CONTROL MASTER'!$S$2:$S$495))-(ROW('CONTROL MASTER'!#REF!)-1)))&amp;TRIM(MID(SUBSTITUTE(SUBSTITUTE(INDEX('CONTROL MASTER'!$N$2:$N$495,(SUMPRODUCT((('CONTROL MASTER'!$S$2:$S$495=7)*('CONTROL MASTER'!$T$2:$T$495&lt;=6)*('CONTROL MASTER'!$V$2:$V$495&gt;=6)*('CONTROL MASTER'!$U$2:$U$495&lt;=5)*('CONTROL MASTER'!$W$2:$W$495&gt;=5))*ROW('CONTROL MASTER'!$S$2:$S$495))-(ROW('CONTROL MASTER'!#REF!)-1))),":",","),",",REPT(" ",50)),((((6-INDEX('CONTROL MASTER'!$T$2:$T$495,(SUMPRODUCT((('CONTROL MASTER'!$S$2:$S$495=7)*('CONTROL MASTER'!$T$2:$T$495&lt;=6)*('CONTROL MASTER'!$V$2:$V$495&gt;=6)*('CONTROL MASTER'!$U$2:$U$495&lt;=5)*('CONTROL MASTER'!$W$2:$W$495&gt;=5))*ROW('CONTROL MASTER'!$S$2:$S$495))-(ROW('CONTROL MASTER'!#REF!)-1))))*(INDEX('CONTROL MASTER'!$W$2:$W$495,(SUMPRODUCT((('CONTROL MASTER'!$S$2:$S$495=7)*('CONTROL MASTER'!$T$2:$T$495&lt;=6)*('CONTROL MASTER'!$V$2:$V$495&gt;=6)*('CONTROL MASTER'!$U$2:$U$495&lt;=5)*('CONTROL MASTER'!$W$2:$W$495&gt;=5))*ROW('CONTROL MASTER'!$S$2:$S$495))-(ROW('CONTROL MASTER'!#REF!)-1)))-INDEX('CONTROL MASTER'!$U$2:$U$495,(SUMPRODUCT((('CONTROL MASTER'!$S$2:$S$495=7)*('CONTROL MASTER'!$T$2:$T$495&lt;=6)*('CONTROL MASTER'!$V$2:$V$495&gt;=6)*('CONTROL MASTER'!$U$2:$U$495&lt;=5)*('CONTROL MASTER'!$W$2:$W$495&gt;=5))*ROW('CONTROL MASTER'!$S$2:$S$495))-(ROW('CONTROL MASTER'!#REF!)-1)))+1)+(5-INDEX('CONTROL MASTER'!$U$2:$U$495,(SUMPRODUCT((('CONTROL MASTER'!$S$2:$S$495=7)*('CONTROL MASTER'!$T$2:$T$495&lt;=6)*('CONTROL MASTER'!$V$2:$V$495&gt;=6)*('CONTROL MASTER'!$U$2:$U$495&lt;=5)*('CONTROL MASTER'!$W$2:$W$495&gt;=5))*ROW('CONTROL MASTER'!$S$2:$S$495))-(ROW('CONTROL MASTER'!#REF!)-1))))+1))-1)*50+1,50))&amp;"_"&amp;INDEX('CONTROL MASTER'!$P$2:$P$495,(SUMPRODUCT((('CONTROL MASTER'!$S$2:$S$495=7)*('CONTROL MASTER'!$T$2:$T$495&lt;=6)*('CONTROL MASTER'!$V$2:$V$495&gt;=6)*('CONTROL MASTER'!$U$2:$U$495&lt;=5)*('CONTROL MASTER'!$W$2:$W$495&gt;=5))*ROW('CONTROL MASTER'!$S$2:$S$495))-(ROW('CONTROL MASTER'!#REF!)-1))),IF(SUMPRODUCT((('CONTROL MASTER'!$S$2:$S$495=7)*('CONTROL MASTER'!$Z$2:$Z$495&lt;=6)*('CONTROL MASTER'!$AB$2:$AB$495&gt;=6)*('CONTROL MASTER'!$AA$2:$AA$495&lt;=5)*('CONTROL MASTER'!$AC$2:$AC$495&gt;=5))*ROW('CONTROL MASTER'!$S$2:$S$495))&gt;0,INDEX('CONTROL MASTER'!$X$2:$X$495,(SUMPRODUCT((('CONTROL MASTER'!$S$2:$S$495=7)*('CONTROL MASTER'!$Z$2:$Z$495&lt;=6)*('CONTROL MASTER'!$AB$2:$AB$495&gt;=6)*('CONTROL MASTER'!$AA$2:$AA$495&lt;=5)*('CONTROL MASTER'!$AC$2:$AC$495&gt;=5))*ROW('CONTROL MASTER'!$S$2:$S$495))-(ROW('CONTROL MASTER'!#REF!)-1)))&amp;TRIM(MID(SUBSTITUTE(SUBSTITUTE(INDEX('CONTROL MASTER'!$N$2:$N$495,(SUMPRODUCT((('CONTROL MASTER'!$S$2:$S$495=7)*('CONTROL MASTER'!$Z$2:$Z$495&lt;=6)*('CONTROL MASTER'!$AB$2:$AB$495&gt;=6)*('CONTROL MASTER'!$AA$2:$AA$495&lt;=5)*('CONTROL MASTER'!$AC$2:$AC$495&gt;=5))*ROW('CONTROL MASTER'!$S$2:$S$495))-(ROW('CONTROL MASTER'!#REF!)-1))),":",","),",",REPT(" ",50)),(((INDEX('CONTROL MASTER'!$Y$2:$Y$495,(SUMPRODUCT((('CONTROL MASTER'!$S$2:$S$495=7)*('CONTROL MASTER'!$Z$2:$Z$495&lt;=6)*('CONTROL MASTER'!$AB$2:$AB$495&gt;=6)*('CONTROL MASTER'!$AA$2:$AA$495&lt;=5)*('CONTROL MASTER'!$AC$2:$AC$495&gt;=5))*ROW('CONTROL MASTER'!$S$2:$S$495))-(ROW('CONTROL MASTER'!#REF!)-1)))+((6-INDEX('CONTROL MASTER'!$Z$2:$Z$495,(SUMPRODUCT((('CONTROL MASTER'!$S$2:$S$495=7)*('CONTROL MASTER'!$Z$2:$Z$495&lt;=6)*('CONTROL MASTER'!$AB$2:$AB$495&gt;=6)*('CONTROL MASTER'!$AA$2:$AA$495&lt;=5)*('CONTROL MASTER'!$AC$2:$AC$495&gt;=5))*ROW('CONTROL MASTER'!$S$2:$S$495))-(ROW('CONTROL MASTER'!#REF!)-1))))*(INDEX('CONTROL MASTER'!$AC$2:$AC$495,(SUMPRODUCT((('CONTROL MASTER'!$S$2:$S$495=7)*('CONTROL MASTER'!$Z$2:$Z$495&lt;=6)*('CONTROL MASTER'!$AB$2:$AB$495&gt;=6)*('CONTROL MASTER'!$AA$2:$AA$495&lt;=5)*('CONTROL MASTER'!$AC$2:$AC$495&gt;=5))*ROW('CONTROL MASTER'!$S$2:$S$495))-(ROW('CONTROL MASTER'!#REF!)-1)))-INDEX('CONTROL MASTER'!$AA$2:$AA$495,(SUMPRODUCT((('CONTROL MASTER'!$S$2:$S$495=7)*('CONTROL MASTER'!$Z$2:$Z$495&lt;=6)*('CONTROL MASTER'!$AB$2:$AB$495&gt;=6)*('CONTROL MASTER'!$AA$2:$AA$495&lt;=5)*('CONTROL MASTER'!$AC$2:$AC$495&gt;=5))*ROW('CONTROL MASTER'!$S$2:$S$495))-(ROW('CONTROL MASTER'!#REF!)-1)))+1)+(5-INDEX('CONTROL MASTER'!$AA$2:$AA$495,(SUMPRODUCT((('CONTROL MASTER'!$S$2:$S$495=7)*('CONTROL MASTER'!$Z$2:$Z$495&lt;=6)*('CONTROL MASTER'!$AB$2:$AB$495&gt;=6)*('CONTROL MASTER'!$AA$2:$AA$495&lt;=5)*('CONTROL MASTER'!$AC$2:$AC$495&gt;=5))*ROW('CONTROL MASTER'!$S$2:$S$495))-(ROW('CONTROL MASTER'!#REF!)-1))))+1)))-1)*50+1,50))&amp;"_"&amp;INDEX('CONTROL MASTER'!$P$2:$P$495,(SUMPRODUCT((('CONTROL MASTER'!$S$2:$S$495=7)*('CONTROL MASTER'!$Z$2:$Z$495&lt;=6)*('CONTROL MASTER'!$AB$2:$AB$495&gt;=6)*('CONTROL MASTER'!$AA$2:$AA$495&lt;=5)*('CONTROL MASTER'!$AC$2:$AC$495&gt;=5))*ROW('CONTROL MASTER'!$S$2:$S$495))-(ROW('CONTROL MASTER'!#REF!)-1))),"")),"")</f>
        <v/>
      </c>
      <c r="G92" s="10" t="str">
        <f>IFERROR(IF(SUMPRODUCT((('CONTROL MASTER'!$S$2:$S$495=7)*('CONTROL MASTER'!$T$2:$T$495&lt;=6)*('CONTROL MASTER'!$V$2:$V$495&gt;=6)*('CONTROL MASTER'!$U$2:$U$495&lt;=6)*('CONTROL MASTER'!$W$2:$W$495&gt;=6))*ROW('CONTROL MASTER'!$S$2:$S$495))&gt;0,INDEX('CONTROL MASTER'!$X$2:$X$495,(SUMPRODUCT((('CONTROL MASTER'!$S$2:$S$495=7)*('CONTROL MASTER'!$T$2:$T$495&lt;=6)*('CONTROL MASTER'!$V$2:$V$495&gt;=6)*('CONTROL MASTER'!$U$2:$U$495&lt;=6)*('CONTROL MASTER'!$W$2:$W$495&gt;=6))*ROW('CONTROL MASTER'!$S$2:$S$495))-(ROW('CONTROL MASTER'!#REF!)-1)))&amp;TRIM(MID(SUBSTITUTE(SUBSTITUTE(INDEX('CONTROL MASTER'!$N$2:$N$495,(SUMPRODUCT((('CONTROL MASTER'!$S$2:$S$495=7)*('CONTROL MASTER'!$T$2:$T$495&lt;=6)*('CONTROL MASTER'!$V$2:$V$495&gt;=6)*('CONTROL MASTER'!$U$2:$U$495&lt;=6)*('CONTROL MASTER'!$W$2:$W$495&gt;=6))*ROW('CONTROL MASTER'!$S$2:$S$495))-(ROW('CONTROL MASTER'!#REF!)-1))),":",","),",",REPT(" ",50)),((((6-INDEX('CONTROL MASTER'!$T$2:$T$495,(SUMPRODUCT((('CONTROL MASTER'!$S$2:$S$495=7)*('CONTROL MASTER'!$T$2:$T$495&lt;=6)*('CONTROL MASTER'!$V$2:$V$495&gt;=6)*('CONTROL MASTER'!$U$2:$U$495&lt;=6)*('CONTROL MASTER'!$W$2:$W$495&gt;=6))*ROW('CONTROL MASTER'!$S$2:$S$495))-(ROW('CONTROL MASTER'!#REF!)-1))))*(INDEX('CONTROL MASTER'!$W$2:$W$495,(SUMPRODUCT((('CONTROL MASTER'!$S$2:$S$495=7)*('CONTROL MASTER'!$T$2:$T$495&lt;=6)*('CONTROL MASTER'!$V$2:$V$495&gt;=6)*('CONTROL MASTER'!$U$2:$U$495&lt;=6)*('CONTROL MASTER'!$W$2:$W$495&gt;=6))*ROW('CONTROL MASTER'!$S$2:$S$495))-(ROW('CONTROL MASTER'!#REF!)-1)))-INDEX('CONTROL MASTER'!$U$2:$U$495,(SUMPRODUCT((('CONTROL MASTER'!$S$2:$S$495=7)*('CONTROL MASTER'!$T$2:$T$495&lt;=6)*('CONTROL MASTER'!$V$2:$V$495&gt;=6)*('CONTROL MASTER'!$U$2:$U$495&lt;=6)*('CONTROL MASTER'!$W$2:$W$495&gt;=6))*ROW('CONTROL MASTER'!$S$2:$S$495))-(ROW('CONTROL MASTER'!#REF!)-1)))+1)+(6-INDEX('CONTROL MASTER'!$U$2:$U$495,(SUMPRODUCT((('CONTROL MASTER'!$S$2:$S$495=7)*('CONTROL MASTER'!$T$2:$T$495&lt;=6)*('CONTROL MASTER'!$V$2:$V$495&gt;=6)*('CONTROL MASTER'!$U$2:$U$495&lt;=6)*('CONTROL MASTER'!$W$2:$W$495&gt;=6))*ROW('CONTROL MASTER'!$S$2:$S$495))-(ROW('CONTROL MASTER'!#REF!)-1))))+1))-1)*50+1,50))&amp;"_"&amp;INDEX('CONTROL MASTER'!$P$2:$P$495,(SUMPRODUCT((('CONTROL MASTER'!$S$2:$S$495=7)*('CONTROL MASTER'!$T$2:$T$495&lt;=6)*('CONTROL MASTER'!$V$2:$V$495&gt;=6)*('CONTROL MASTER'!$U$2:$U$495&lt;=6)*('CONTROL MASTER'!$W$2:$W$495&gt;=6))*ROW('CONTROL MASTER'!$S$2:$S$495))-(ROW('CONTROL MASTER'!#REF!)-1))),IF(SUMPRODUCT((('CONTROL MASTER'!$S$2:$S$495=7)*('CONTROL MASTER'!$Z$2:$Z$495&lt;=6)*('CONTROL MASTER'!$AB$2:$AB$495&gt;=6)*('CONTROL MASTER'!$AA$2:$AA$495&lt;=6)*('CONTROL MASTER'!$AC$2:$AC$495&gt;=6))*ROW('CONTROL MASTER'!$S$2:$S$495))&gt;0,INDEX('CONTROL MASTER'!$X$2:$X$495,(SUMPRODUCT((('CONTROL MASTER'!$S$2:$S$495=7)*('CONTROL MASTER'!$Z$2:$Z$495&lt;=6)*('CONTROL MASTER'!$AB$2:$AB$495&gt;=6)*('CONTROL MASTER'!$AA$2:$AA$495&lt;=6)*('CONTROL MASTER'!$AC$2:$AC$495&gt;=6))*ROW('CONTROL MASTER'!$S$2:$S$495))-(ROW('CONTROL MASTER'!#REF!)-1)))&amp;TRIM(MID(SUBSTITUTE(SUBSTITUTE(INDEX('CONTROL MASTER'!$N$2:$N$495,(SUMPRODUCT((('CONTROL MASTER'!$S$2:$S$495=7)*('CONTROL MASTER'!$Z$2:$Z$495&lt;=6)*('CONTROL MASTER'!$AB$2:$AB$495&gt;=6)*('CONTROL MASTER'!$AA$2:$AA$495&lt;=6)*('CONTROL MASTER'!$AC$2:$AC$495&gt;=6))*ROW('CONTROL MASTER'!$S$2:$S$495))-(ROW('CONTROL MASTER'!#REF!)-1))),":",","),",",REPT(" ",50)),(((INDEX('CONTROL MASTER'!$Y$2:$Y$495,(SUMPRODUCT((('CONTROL MASTER'!$S$2:$S$495=7)*('CONTROL MASTER'!$Z$2:$Z$495&lt;=6)*('CONTROL MASTER'!$AB$2:$AB$495&gt;=6)*('CONTROL MASTER'!$AA$2:$AA$495&lt;=6)*('CONTROL MASTER'!$AC$2:$AC$495&gt;=6))*ROW('CONTROL MASTER'!$S$2:$S$495))-(ROW('CONTROL MASTER'!#REF!)-1)))+((6-INDEX('CONTROL MASTER'!$Z$2:$Z$495,(SUMPRODUCT((('CONTROL MASTER'!$S$2:$S$495=7)*('CONTROL MASTER'!$Z$2:$Z$495&lt;=6)*('CONTROL MASTER'!$AB$2:$AB$495&gt;=6)*('CONTROL MASTER'!$AA$2:$AA$495&lt;=6)*('CONTROL MASTER'!$AC$2:$AC$495&gt;=6))*ROW('CONTROL MASTER'!$S$2:$S$495))-(ROW('CONTROL MASTER'!#REF!)-1))))*(INDEX('CONTROL MASTER'!$AC$2:$AC$495,(SUMPRODUCT((('CONTROL MASTER'!$S$2:$S$495=7)*('CONTROL MASTER'!$Z$2:$Z$495&lt;=6)*('CONTROL MASTER'!$AB$2:$AB$495&gt;=6)*('CONTROL MASTER'!$AA$2:$AA$495&lt;=6)*('CONTROL MASTER'!$AC$2:$AC$495&gt;=6))*ROW('CONTROL MASTER'!$S$2:$S$495))-(ROW('CONTROL MASTER'!#REF!)-1)))-INDEX('CONTROL MASTER'!$AA$2:$AA$495,(SUMPRODUCT((('CONTROL MASTER'!$S$2:$S$495=7)*('CONTROL MASTER'!$Z$2:$Z$495&lt;=6)*('CONTROL MASTER'!$AB$2:$AB$495&gt;=6)*('CONTROL MASTER'!$AA$2:$AA$495&lt;=6)*('CONTROL MASTER'!$AC$2:$AC$495&gt;=6))*ROW('CONTROL MASTER'!$S$2:$S$495))-(ROW('CONTROL MASTER'!#REF!)-1)))+1)+(6-INDEX('CONTROL MASTER'!$AA$2:$AA$495,(SUMPRODUCT((('CONTROL MASTER'!$S$2:$S$495=7)*('CONTROL MASTER'!$Z$2:$Z$495&lt;=6)*('CONTROL MASTER'!$AB$2:$AB$495&gt;=6)*('CONTROL MASTER'!$AA$2:$AA$495&lt;=6)*('CONTROL MASTER'!$AC$2:$AC$495&gt;=6))*ROW('CONTROL MASTER'!$S$2:$S$495))-(ROW('CONTROL MASTER'!#REF!)-1))))+1)))-1)*50+1,50))&amp;"_"&amp;INDEX('CONTROL MASTER'!$P$2:$P$495,(SUMPRODUCT((('CONTROL MASTER'!$S$2:$S$495=7)*('CONTROL MASTER'!$Z$2:$Z$495&lt;=6)*('CONTROL MASTER'!$AB$2:$AB$495&gt;=6)*('CONTROL MASTER'!$AA$2:$AA$495&lt;=6)*('CONTROL MASTER'!$AC$2:$AC$495&gt;=6))*ROW('CONTROL MASTER'!$S$2:$S$495))-(ROW('CONTROL MASTER'!#REF!)-1))),"")),"")</f>
        <v/>
      </c>
      <c r="H92" s="10" t="str">
        <f>IFERROR(IF(SUMPRODUCT((('CONTROL MASTER'!$S$2:$S$495=7)*('CONTROL MASTER'!$T$2:$T$495&lt;=6)*('CONTROL MASTER'!$V$2:$V$495&gt;=6)*('CONTROL MASTER'!$U$2:$U$495&lt;=7)*('CONTROL MASTER'!$W$2:$W$495&gt;=7))*ROW('CONTROL MASTER'!$S$2:$S$495))&gt;0,INDEX('CONTROL MASTER'!$X$2:$X$495,(SUMPRODUCT((('CONTROL MASTER'!$S$2:$S$495=7)*('CONTROL MASTER'!$T$2:$T$495&lt;=6)*('CONTROL MASTER'!$V$2:$V$495&gt;=6)*('CONTROL MASTER'!$U$2:$U$495&lt;=7)*('CONTROL MASTER'!$W$2:$W$495&gt;=7))*ROW('CONTROL MASTER'!$S$2:$S$495))-(ROW('CONTROL MASTER'!#REF!)-1)))&amp;TRIM(MID(SUBSTITUTE(SUBSTITUTE(INDEX('CONTROL MASTER'!$N$2:$N$495,(SUMPRODUCT((('CONTROL MASTER'!$S$2:$S$495=7)*('CONTROL MASTER'!$T$2:$T$495&lt;=6)*('CONTROL MASTER'!$V$2:$V$495&gt;=6)*('CONTROL MASTER'!$U$2:$U$495&lt;=7)*('CONTROL MASTER'!$W$2:$W$495&gt;=7))*ROW('CONTROL MASTER'!$S$2:$S$495))-(ROW('CONTROL MASTER'!#REF!)-1))),":",","),",",REPT(" ",50)),((((6-INDEX('CONTROL MASTER'!$T$2:$T$495,(SUMPRODUCT((('CONTROL MASTER'!$S$2:$S$495=7)*('CONTROL MASTER'!$T$2:$T$495&lt;=6)*('CONTROL MASTER'!$V$2:$V$495&gt;=6)*('CONTROL MASTER'!$U$2:$U$495&lt;=7)*('CONTROL MASTER'!$W$2:$W$495&gt;=7))*ROW('CONTROL MASTER'!$S$2:$S$495))-(ROW('CONTROL MASTER'!#REF!)-1))))*(INDEX('CONTROL MASTER'!$W$2:$W$495,(SUMPRODUCT((('CONTROL MASTER'!$S$2:$S$495=7)*('CONTROL MASTER'!$T$2:$T$495&lt;=6)*('CONTROL MASTER'!$V$2:$V$495&gt;=6)*('CONTROL MASTER'!$U$2:$U$495&lt;=7)*('CONTROL MASTER'!$W$2:$W$495&gt;=7))*ROW('CONTROL MASTER'!$S$2:$S$495))-(ROW('CONTROL MASTER'!#REF!)-1)))-INDEX('CONTROL MASTER'!$U$2:$U$495,(SUMPRODUCT((('CONTROL MASTER'!$S$2:$S$495=7)*('CONTROL MASTER'!$T$2:$T$495&lt;=6)*('CONTROL MASTER'!$V$2:$V$495&gt;=6)*('CONTROL MASTER'!$U$2:$U$495&lt;=7)*('CONTROL MASTER'!$W$2:$W$495&gt;=7))*ROW('CONTROL MASTER'!$S$2:$S$495))-(ROW('CONTROL MASTER'!#REF!)-1)))+1)+(7-INDEX('CONTROL MASTER'!$U$2:$U$495,(SUMPRODUCT((('CONTROL MASTER'!$S$2:$S$495=7)*('CONTROL MASTER'!$T$2:$T$495&lt;=6)*('CONTROL MASTER'!$V$2:$V$495&gt;=6)*('CONTROL MASTER'!$U$2:$U$495&lt;=7)*('CONTROL MASTER'!$W$2:$W$495&gt;=7))*ROW('CONTROL MASTER'!$S$2:$S$495))-(ROW('CONTROL MASTER'!#REF!)-1))))+1))-1)*50+1,50))&amp;"_"&amp;INDEX('CONTROL MASTER'!$P$2:$P$495,(SUMPRODUCT((('CONTROL MASTER'!$S$2:$S$495=7)*('CONTROL MASTER'!$T$2:$T$495&lt;=6)*('CONTROL MASTER'!$V$2:$V$495&gt;=6)*('CONTROL MASTER'!$U$2:$U$495&lt;=7)*('CONTROL MASTER'!$W$2:$W$495&gt;=7))*ROW('CONTROL MASTER'!$S$2:$S$495))-(ROW('CONTROL MASTER'!#REF!)-1))),IF(SUMPRODUCT((('CONTROL MASTER'!$S$2:$S$495=7)*('CONTROL MASTER'!$Z$2:$Z$495&lt;=6)*('CONTROL MASTER'!$AB$2:$AB$495&gt;=6)*('CONTROL MASTER'!$AA$2:$AA$495&lt;=7)*('CONTROL MASTER'!$AC$2:$AC$495&gt;=7))*ROW('CONTROL MASTER'!$S$2:$S$495))&gt;0,INDEX('CONTROL MASTER'!$X$2:$X$495,(SUMPRODUCT((('CONTROL MASTER'!$S$2:$S$495=7)*('CONTROL MASTER'!$Z$2:$Z$495&lt;=6)*('CONTROL MASTER'!$AB$2:$AB$495&gt;=6)*('CONTROL MASTER'!$AA$2:$AA$495&lt;=7)*('CONTROL MASTER'!$AC$2:$AC$495&gt;=7))*ROW('CONTROL MASTER'!$S$2:$S$495))-(ROW('CONTROL MASTER'!#REF!)-1)))&amp;TRIM(MID(SUBSTITUTE(SUBSTITUTE(INDEX('CONTROL MASTER'!$N$2:$N$495,(SUMPRODUCT((('CONTROL MASTER'!$S$2:$S$495=7)*('CONTROL MASTER'!$Z$2:$Z$495&lt;=6)*('CONTROL MASTER'!$AB$2:$AB$495&gt;=6)*('CONTROL MASTER'!$AA$2:$AA$495&lt;=7)*('CONTROL MASTER'!$AC$2:$AC$495&gt;=7))*ROW('CONTROL MASTER'!$S$2:$S$495))-(ROW('CONTROL MASTER'!#REF!)-1))),":",","),",",REPT(" ",50)),(((INDEX('CONTROL MASTER'!$Y$2:$Y$495,(SUMPRODUCT((('CONTROL MASTER'!$S$2:$S$495=7)*('CONTROL MASTER'!$Z$2:$Z$495&lt;=6)*('CONTROL MASTER'!$AB$2:$AB$495&gt;=6)*('CONTROL MASTER'!$AA$2:$AA$495&lt;=7)*('CONTROL MASTER'!$AC$2:$AC$495&gt;=7))*ROW('CONTROL MASTER'!$S$2:$S$495))-(ROW('CONTROL MASTER'!#REF!)-1)))+((6-INDEX('CONTROL MASTER'!$Z$2:$Z$495,(SUMPRODUCT((('CONTROL MASTER'!$S$2:$S$495=7)*('CONTROL MASTER'!$Z$2:$Z$495&lt;=6)*('CONTROL MASTER'!$AB$2:$AB$495&gt;=6)*('CONTROL MASTER'!$AA$2:$AA$495&lt;=7)*('CONTROL MASTER'!$AC$2:$AC$495&gt;=7))*ROW('CONTROL MASTER'!$S$2:$S$495))-(ROW('CONTROL MASTER'!#REF!)-1))))*(INDEX('CONTROL MASTER'!$AC$2:$AC$495,(SUMPRODUCT((('CONTROL MASTER'!$S$2:$S$495=7)*('CONTROL MASTER'!$Z$2:$Z$495&lt;=6)*('CONTROL MASTER'!$AB$2:$AB$495&gt;=6)*('CONTROL MASTER'!$AA$2:$AA$495&lt;=7)*('CONTROL MASTER'!$AC$2:$AC$495&gt;=7))*ROW('CONTROL MASTER'!$S$2:$S$495))-(ROW('CONTROL MASTER'!#REF!)-1)))-INDEX('CONTROL MASTER'!$AA$2:$AA$495,(SUMPRODUCT((('CONTROL MASTER'!$S$2:$S$495=7)*('CONTROL MASTER'!$Z$2:$Z$495&lt;=6)*('CONTROL MASTER'!$AB$2:$AB$495&gt;=6)*('CONTROL MASTER'!$AA$2:$AA$495&lt;=7)*('CONTROL MASTER'!$AC$2:$AC$495&gt;=7))*ROW('CONTROL MASTER'!$S$2:$S$495))-(ROW('CONTROL MASTER'!#REF!)-1)))+1)+(7-INDEX('CONTROL MASTER'!$AA$2:$AA$495,(SUMPRODUCT((('CONTROL MASTER'!$S$2:$S$495=7)*('CONTROL MASTER'!$Z$2:$Z$495&lt;=6)*('CONTROL MASTER'!$AB$2:$AB$495&gt;=6)*('CONTROL MASTER'!$AA$2:$AA$495&lt;=7)*('CONTROL MASTER'!$AC$2:$AC$495&gt;=7))*ROW('CONTROL MASTER'!$S$2:$S$495))-(ROW('CONTROL MASTER'!#REF!)-1))))+1)))-1)*50+1,50))&amp;"_"&amp;INDEX('CONTROL MASTER'!$P$2:$P$495,(SUMPRODUCT((('CONTROL MASTER'!$S$2:$S$495=7)*('CONTROL MASTER'!$Z$2:$Z$495&lt;=6)*('CONTROL MASTER'!$AB$2:$AB$495&gt;=6)*('CONTROL MASTER'!$AA$2:$AA$495&lt;=7)*('CONTROL MASTER'!$AC$2:$AC$495&gt;=7))*ROW('CONTROL MASTER'!$S$2:$S$495))-(ROW('CONTROL MASTER'!#REF!)-1))),"")),"")</f>
        <v/>
      </c>
      <c r="I92" s="10" t="str">
        <f>IFERROR(IF(SUMPRODUCT((('CONTROL MASTER'!$S$2:$S$495=7)*('CONTROL MASTER'!$T$2:$T$495&lt;=6)*('CONTROL MASTER'!$V$2:$V$495&gt;=6)*('CONTROL MASTER'!$U$2:$U$495&lt;=8)*('CONTROL MASTER'!$W$2:$W$495&gt;=8))*ROW('CONTROL MASTER'!$S$2:$S$495))&gt;0,INDEX('CONTROL MASTER'!$X$2:$X$495,(SUMPRODUCT((('CONTROL MASTER'!$S$2:$S$495=7)*('CONTROL MASTER'!$T$2:$T$495&lt;=6)*('CONTROL MASTER'!$V$2:$V$495&gt;=6)*('CONTROL MASTER'!$U$2:$U$495&lt;=8)*('CONTROL MASTER'!$W$2:$W$495&gt;=8))*ROW('CONTROL MASTER'!$S$2:$S$495))-(ROW('CONTROL MASTER'!#REF!)-1)))&amp;TRIM(MID(SUBSTITUTE(SUBSTITUTE(INDEX('CONTROL MASTER'!$N$2:$N$495,(SUMPRODUCT((('CONTROL MASTER'!$S$2:$S$495=7)*('CONTROL MASTER'!$T$2:$T$495&lt;=6)*('CONTROL MASTER'!$V$2:$V$495&gt;=6)*('CONTROL MASTER'!$U$2:$U$495&lt;=8)*('CONTROL MASTER'!$W$2:$W$495&gt;=8))*ROW('CONTROL MASTER'!$S$2:$S$495))-(ROW('CONTROL MASTER'!#REF!)-1))),":",","),",",REPT(" ",50)),((((6-INDEX('CONTROL MASTER'!$T$2:$T$495,(SUMPRODUCT((('CONTROL MASTER'!$S$2:$S$495=7)*('CONTROL MASTER'!$T$2:$T$495&lt;=6)*('CONTROL MASTER'!$V$2:$V$495&gt;=6)*('CONTROL MASTER'!$U$2:$U$495&lt;=8)*('CONTROL MASTER'!$W$2:$W$495&gt;=8))*ROW('CONTROL MASTER'!$S$2:$S$495))-(ROW('CONTROL MASTER'!#REF!)-1))))*(INDEX('CONTROL MASTER'!$W$2:$W$495,(SUMPRODUCT((('CONTROL MASTER'!$S$2:$S$495=7)*('CONTROL MASTER'!$T$2:$T$495&lt;=6)*('CONTROL MASTER'!$V$2:$V$495&gt;=6)*('CONTROL MASTER'!$U$2:$U$495&lt;=8)*('CONTROL MASTER'!$W$2:$W$495&gt;=8))*ROW('CONTROL MASTER'!$S$2:$S$495))-(ROW('CONTROL MASTER'!#REF!)-1)))-INDEX('CONTROL MASTER'!$U$2:$U$495,(SUMPRODUCT((('CONTROL MASTER'!$S$2:$S$495=7)*('CONTROL MASTER'!$T$2:$T$495&lt;=6)*('CONTROL MASTER'!$V$2:$V$495&gt;=6)*('CONTROL MASTER'!$U$2:$U$495&lt;=8)*('CONTROL MASTER'!$W$2:$W$495&gt;=8))*ROW('CONTROL MASTER'!$S$2:$S$495))-(ROW('CONTROL MASTER'!#REF!)-1)))+1)+(8-INDEX('CONTROL MASTER'!$U$2:$U$495,(SUMPRODUCT((('CONTROL MASTER'!$S$2:$S$495=7)*('CONTROL MASTER'!$T$2:$T$495&lt;=6)*('CONTROL MASTER'!$V$2:$V$495&gt;=6)*('CONTROL MASTER'!$U$2:$U$495&lt;=8)*('CONTROL MASTER'!$W$2:$W$495&gt;=8))*ROW('CONTROL MASTER'!$S$2:$S$495))-(ROW('CONTROL MASTER'!#REF!)-1))))+1))-1)*50+1,50))&amp;"_"&amp;INDEX('CONTROL MASTER'!$P$2:$P$495,(SUMPRODUCT((('CONTROL MASTER'!$S$2:$S$495=7)*('CONTROL MASTER'!$T$2:$T$495&lt;=6)*('CONTROL MASTER'!$V$2:$V$495&gt;=6)*('CONTROL MASTER'!$U$2:$U$495&lt;=8)*('CONTROL MASTER'!$W$2:$W$495&gt;=8))*ROW('CONTROL MASTER'!$S$2:$S$495))-(ROW('CONTROL MASTER'!#REF!)-1))),IF(SUMPRODUCT((('CONTROL MASTER'!$S$2:$S$495=7)*('CONTROL MASTER'!$Z$2:$Z$495&lt;=6)*('CONTROL MASTER'!$AB$2:$AB$495&gt;=6)*('CONTROL MASTER'!$AA$2:$AA$495&lt;=8)*('CONTROL MASTER'!$AC$2:$AC$495&gt;=8))*ROW('CONTROL MASTER'!$S$2:$S$495))&gt;0,INDEX('CONTROL MASTER'!$X$2:$X$495,(SUMPRODUCT((('CONTROL MASTER'!$S$2:$S$495=7)*('CONTROL MASTER'!$Z$2:$Z$495&lt;=6)*('CONTROL MASTER'!$AB$2:$AB$495&gt;=6)*('CONTROL MASTER'!$AA$2:$AA$495&lt;=8)*('CONTROL MASTER'!$AC$2:$AC$495&gt;=8))*ROW('CONTROL MASTER'!$S$2:$S$495))-(ROW('CONTROL MASTER'!#REF!)-1)))&amp;TRIM(MID(SUBSTITUTE(SUBSTITUTE(INDEX('CONTROL MASTER'!$N$2:$N$495,(SUMPRODUCT((('CONTROL MASTER'!$S$2:$S$495=7)*('CONTROL MASTER'!$Z$2:$Z$495&lt;=6)*('CONTROL MASTER'!$AB$2:$AB$495&gt;=6)*('CONTROL MASTER'!$AA$2:$AA$495&lt;=8)*('CONTROL MASTER'!$AC$2:$AC$495&gt;=8))*ROW('CONTROL MASTER'!$S$2:$S$495))-(ROW('CONTROL MASTER'!#REF!)-1))),":",","),",",REPT(" ",50)),(((INDEX('CONTROL MASTER'!$Y$2:$Y$495,(SUMPRODUCT((('CONTROL MASTER'!$S$2:$S$495=7)*('CONTROL MASTER'!$Z$2:$Z$495&lt;=6)*('CONTROL MASTER'!$AB$2:$AB$495&gt;=6)*('CONTROL MASTER'!$AA$2:$AA$495&lt;=8)*('CONTROL MASTER'!$AC$2:$AC$495&gt;=8))*ROW('CONTROL MASTER'!$S$2:$S$495))-(ROW('CONTROL MASTER'!#REF!)-1)))+((6-INDEX('CONTROL MASTER'!$Z$2:$Z$495,(SUMPRODUCT((('CONTROL MASTER'!$S$2:$S$495=7)*('CONTROL MASTER'!$Z$2:$Z$495&lt;=6)*('CONTROL MASTER'!$AB$2:$AB$495&gt;=6)*('CONTROL MASTER'!$AA$2:$AA$495&lt;=8)*('CONTROL MASTER'!$AC$2:$AC$495&gt;=8))*ROW('CONTROL MASTER'!$S$2:$S$495))-(ROW('CONTROL MASTER'!#REF!)-1))))*(INDEX('CONTROL MASTER'!$AC$2:$AC$495,(SUMPRODUCT((('CONTROL MASTER'!$S$2:$S$495=7)*('CONTROL MASTER'!$Z$2:$Z$495&lt;=6)*('CONTROL MASTER'!$AB$2:$AB$495&gt;=6)*('CONTROL MASTER'!$AA$2:$AA$495&lt;=8)*('CONTROL MASTER'!$AC$2:$AC$495&gt;=8))*ROW('CONTROL MASTER'!$S$2:$S$495))-(ROW('CONTROL MASTER'!#REF!)-1)))-INDEX('CONTROL MASTER'!$AA$2:$AA$495,(SUMPRODUCT((('CONTROL MASTER'!$S$2:$S$495=7)*('CONTROL MASTER'!$Z$2:$Z$495&lt;=6)*('CONTROL MASTER'!$AB$2:$AB$495&gt;=6)*('CONTROL MASTER'!$AA$2:$AA$495&lt;=8)*('CONTROL MASTER'!$AC$2:$AC$495&gt;=8))*ROW('CONTROL MASTER'!$S$2:$S$495))-(ROW('CONTROL MASTER'!#REF!)-1)))+1)+(8-INDEX('CONTROL MASTER'!$AA$2:$AA$495,(SUMPRODUCT((('CONTROL MASTER'!$S$2:$S$495=7)*('CONTROL MASTER'!$Z$2:$Z$495&lt;=6)*('CONTROL MASTER'!$AB$2:$AB$495&gt;=6)*('CONTROL MASTER'!$AA$2:$AA$495&lt;=8)*('CONTROL MASTER'!$AC$2:$AC$495&gt;=8))*ROW('CONTROL MASTER'!$S$2:$S$495))-(ROW('CONTROL MASTER'!#REF!)-1))))+1)))-1)*50+1,50))&amp;"_"&amp;INDEX('CONTROL MASTER'!$P$2:$P$495,(SUMPRODUCT((('CONTROL MASTER'!$S$2:$S$495=7)*('CONTROL MASTER'!$Z$2:$Z$495&lt;=6)*('CONTROL MASTER'!$AB$2:$AB$495&gt;=6)*('CONTROL MASTER'!$AA$2:$AA$495&lt;=8)*('CONTROL MASTER'!$AC$2:$AC$495&gt;=8))*ROW('CONTROL MASTER'!$S$2:$S$495))-(ROW('CONTROL MASTER'!#REF!)-1))),"")),"")</f>
        <v/>
      </c>
      <c r="J92" s="10" t="str">
        <f>IFERROR(IF(SUMPRODUCT((('CONTROL MASTER'!$S$2:$S$495=7)*('CONTROL MASTER'!$T$2:$T$495&lt;=6)*('CONTROL MASTER'!$V$2:$V$495&gt;=6)*('CONTROL MASTER'!$U$2:$U$495&lt;=9)*('CONTROL MASTER'!$W$2:$W$495&gt;=9))*ROW('CONTROL MASTER'!$S$2:$S$495))&gt;0,INDEX('CONTROL MASTER'!$X$2:$X$495,(SUMPRODUCT((('CONTROL MASTER'!$S$2:$S$495=7)*('CONTROL MASTER'!$T$2:$T$495&lt;=6)*('CONTROL MASTER'!$V$2:$V$495&gt;=6)*('CONTROL MASTER'!$U$2:$U$495&lt;=9)*('CONTROL MASTER'!$W$2:$W$495&gt;=9))*ROW('CONTROL MASTER'!$S$2:$S$495))-(ROW('CONTROL MASTER'!#REF!)-1)))&amp;TRIM(MID(SUBSTITUTE(SUBSTITUTE(INDEX('CONTROL MASTER'!$N$2:$N$495,(SUMPRODUCT((('CONTROL MASTER'!$S$2:$S$495=7)*('CONTROL MASTER'!$T$2:$T$495&lt;=6)*('CONTROL MASTER'!$V$2:$V$495&gt;=6)*('CONTROL MASTER'!$U$2:$U$495&lt;=9)*('CONTROL MASTER'!$W$2:$W$495&gt;=9))*ROW('CONTROL MASTER'!$S$2:$S$495))-(ROW('CONTROL MASTER'!#REF!)-1))),":",","),",",REPT(" ",50)),((((6-INDEX('CONTROL MASTER'!$T$2:$T$495,(SUMPRODUCT((('CONTROL MASTER'!$S$2:$S$495=7)*('CONTROL MASTER'!$T$2:$T$495&lt;=6)*('CONTROL MASTER'!$V$2:$V$495&gt;=6)*('CONTROL MASTER'!$U$2:$U$495&lt;=9)*('CONTROL MASTER'!$W$2:$W$495&gt;=9))*ROW('CONTROL MASTER'!$S$2:$S$495))-(ROW('CONTROL MASTER'!#REF!)-1))))*(INDEX('CONTROL MASTER'!$W$2:$W$495,(SUMPRODUCT((('CONTROL MASTER'!$S$2:$S$495=7)*('CONTROL MASTER'!$T$2:$T$495&lt;=6)*('CONTROL MASTER'!$V$2:$V$495&gt;=6)*('CONTROL MASTER'!$U$2:$U$495&lt;=9)*('CONTROL MASTER'!$W$2:$W$495&gt;=9))*ROW('CONTROL MASTER'!$S$2:$S$495))-(ROW('CONTROL MASTER'!#REF!)-1)))-INDEX('CONTROL MASTER'!$U$2:$U$495,(SUMPRODUCT((('CONTROL MASTER'!$S$2:$S$495=7)*('CONTROL MASTER'!$T$2:$T$495&lt;=6)*('CONTROL MASTER'!$V$2:$V$495&gt;=6)*('CONTROL MASTER'!$U$2:$U$495&lt;=9)*('CONTROL MASTER'!$W$2:$W$495&gt;=9))*ROW('CONTROL MASTER'!$S$2:$S$495))-(ROW('CONTROL MASTER'!#REF!)-1)))+1)+(9-INDEX('CONTROL MASTER'!$U$2:$U$495,(SUMPRODUCT((('CONTROL MASTER'!$S$2:$S$495=7)*('CONTROL MASTER'!$T$2:$T$495&lt;=6)*('CONTROL MASTER'!$V$2:$V$495&gt;=6)*('CONTROL MASTER'!$U$2:$U$495&lt;=9)*('CONTROL MASTER'!$W$2:$W$495&gt;=9))*ROW('CONTROL MASTER'!$S$2:$S$495))-(ROW('CONTROL MASTER'!#REF!)-1))))+1))-1)*50+1,50))&amp;"_"&amp;INDEX('CONTROL MASTER'!$P$2:$P$495,(SUMPRODUCT((('CONTROL MASTER'!$S$2:$S$495=7)*('CONTROL MASTER'!$T$2:$T$495&lt;=6)*('CONTROL MASTER'!$V$2:$V$495&gt;=6)*('CONTROL MASTER'!$U$2:$U$495&lt;=9)*('CONTROL MASTER'!$W$2:$W$495&gt;=9))*ROW('CONTROL MASTER'!$S$2:$S$495))-(ROW('CONTROL MASTER'!#REF!)-1))),IF(SUMPRODUCT((('CONTROL MASTER'!$S$2:$S$495=7)*('CONTROL MASTER'!$Z$2:$Z$495&lt;=6)*('CONTROL MASTER'!$AB$2:$AB$495&gt;=6)*('CONTROL MASTER'!$AA$2:$AA$495&lt;=9)*('CONTROL MASTER'!$AC$2:$AC$495&gt;=9))*ROW('CONTROL MASTER'!$S$2:$S$495))&gt;0,INDEX('CONTROL MASTER'!$X$2:$X$495,(SUMPRODUCT((('CONTROL MASTER'!$S$2:$S$495=7)*('CONTROL MASTER'!$Z$2:$Z$495&lt;=6)*('CONTROL MASTER'!$AB$2:$AB$495&gt;=6)*('CONTROL MASTER'!$AA$2:$AA$495&lt;=9)*('CONTROL MASTER'!$AC$2:$AC$495&gt;=9))*ROW('CONTROL MASTER'!$S$2:$S$495))-(ROW('CONTROL MASTER'!#REF!)-1)))&amp;TRIM(MID(SUBSTITUTE(SUBSTITUTE(INDEX('CONTROL MASTER'!$N$2:$N$495,(SUMPRODUCT((('CONTROL MASTER'!$S$2:$S$495=7)*('CONTROL MASTER'!$Z$2:$Z$495&lt;=6)*('CONTROL MASTER'!$AB$2:$AB$495&gt;=6)*('CONTROL MASTER'!$AA$2:$AA$495&lt;=9)*('CONTROL MASTER'!$AC$2:$AC$495&gt;=9))*ROW('CONTROL MASTER'!$S$2:$S$495))-(ROW('CONTROL MASTER'!#REF!)-1))),":",","),",",REPT(" ",50)),(((INDEX('CONTROL MASTER'!$Y$2:$Y$495,(SUMPRODUCT((('CONTROL MASTER'!$S$2:$S$495=7)*('CONTROL MASTER'!$Z$2:$Z$495&lt;=6)*('CONTROL MASTER'!$AB$2:$AB$495&gt;=6)*('CONTROL MASTER'!$AA$2:$AA$495&lt;=9)*('CONTROL MASTER'!$AC$2:$AC$495&gt;=9))*ROW('CONTROL MASTER'!$S$2:$S$495))-(ROW('CONTROL MASTER'!#REF!)-1)))+((6-INDEX('CONTROL MASTER'!$Z$2:$Z$495,(SUMPRODUCT((('CONTROL MASTER'!$S$2:$S$495=7)*('CONTROL MASTER'!$Z$2:$Z$495&lt;=6)*('CONTROL MASTER'!$AB$2:$AB$495&gt;=6)*('CONTROL MASTER'!$AA$2:$AA$495&lt;=9)*('CONTROL MASTER'!$AC$2:$AC$495&gt;=9))*ROW('CONTROL MASTER'!$S$2:$S$495))-(ROW('CONTROL MASTER'!#REF!)-1))))*(INDEX('CONTROL MASTER'!$AC$2:$AC$495,(SUMPRODUCT((('CONTROL MASTER'!$S$2:$S$495=7)*('CONTROL MASTER'!$Z$2:$Z$495&lt;=6)*('CONTROL MASTER'!$AB$2:$AB$495&gt;=6)*('CONTROL MASTER'!$AA$2:$AA$495&lt;=9)*('CONTROL MASTER'!$AC$2:$AC$495&gt;=9))*ROW('CONTROL MASTER'!$S$2:$S$495))-(ROW('CONTROL MASTER'!#REF!)-1)))-INDEX('CONTROL MASTER'!$AA$2:$AA$495,(SUMPRODUCT((('CONTROL MASTER'!$S$2:$S$495=7)*('CONTROL MASTER'!$Z$2:$Z$495&lt;=6)*('CONTROL MASTER'!$AB$2:$AB$495&gt;=6)*('CONTROL MASTER'!$AA$2:$AA$495&lt;=9)*('CONTROL MASTER'!$AC$2:$AC$495&gt;=9))*ROW('CONTROL MASTER'!$S$2:$S$495))-(ROW('CONTROL MASTER'!#REF!)-1)))+1)+(9-INDEX('CONTROL MASTER'!$AA$2:$AA$495,(SUMPRODUCT((('CONTROL MASTER'!$S$2:$S$495=7)*('CONTROL MASTER'!$Z$2:$Z$495&lt;=6)*('CONTROL MASTER'!$AB$2:$AB$495&gt;=6)*('CONTROL MASTER'!$AA$2:$AA$495&lt;=9)*('CONTROL MASTER'!$AC$2:$AC$495&gt;=9))*ROW('CONTROL MASTER'!$S$2:$S$495))-(ROW('CONTROL MASTER'!#REF!)-1))))+1)))-1)*50+1,50))&amp;"_"&amp;INDEX('CONTROL MASTER'!$P$2:$P$495,(SUMPRODUCT((('CONTROL MASTER'!$S$2:$S$495=7)*('CONTROL MASTER'!$Z$2:$Z$495&lt;=6)*('CONTROL MASTER'!$AB$2:$AB$495&gt;=6)*('CONTROL MASTER'!$AA$2:$AA$495&lt;=9)*('CONTROL MASTER'!$AC$2:$AC$495&gt;=9))*ROW('CONTROL MASTER'!$S$2:$S$495))-(ROW('CONTROL MASTER'!#REF!)-1))),"")),"")</f>
        <v/>
      </c>
      <c r="K92" s="10" t="str">
        <f>IFERROR(IF(SUMPRODUCT((('CONTROL MASTER'!$S$2:$S$495=7)*('CONTROL MASTER'!$T$2:$T$495&lt;=6)*('CONTROL MASTER'!$V$2:$V$495&gt;=6)*('CONTROL MASTER'!$U$2:$U$495&lt;=10)*('CONTROL MASTER'!$W$2:$W$495&gt;=10))*ROW('CONTROL MASTER'!$S$2:$S$495))&gt;0,INDEX('CONTROL MASTER'!$X$2:$X$495,(SUMPRODUCT((('CONTROL MASTER'!$S$2:$S$495=7)*('CONTROL MASTER'!$T$2:$T$495&lt;=6)*('CONTROL MASTER'!$V$2:$V$495&gt;=6)*('CONTROL MASTER'!$U$2:$U$495&lt;=10)*('CONTROL MASTER'!$W$2:$W$495&gt;=10))*ROW('CONTROL MASTER'!$S$2:$S$495))-(ROW('CONTROL MASTER'!#REF!)-1)))&amp;TRIM(MID(SUBSTITUTE(SUBSTITUTE(INDEX('CONTROL MASTER'!$N$2:$N$495,(SUMPRODUCT((('CONTROL MASTER'!$S$2:$S$495=7)*('CONTROL MASTER'!$T$2:$T$495&lt;=6)*('CONTROL MASTER'!$V$2:$V$495&gt;=6)*('CONTROL MASTER'!$U$2:$U$495&lt;=10)*('CONTROL MASTER'!$W$2:$W$495&gt;=10))*ROW('CONTROL MASTER'!$S$2:$S$495))-(ROW('CONTROL MASTER'!#REF!)-1))),":",","),",",REPT(" ",50)),((((6-INDEX('CONTROL MASTER'!$T$2:$T$495,(SUMPRODUCT((('CONTROL MASTER'!$S$2:$S$495=7)*('CONTROL MASTER'!$T$2:$T$495&lt;=6)*('CONTROL MASTER'!$V$2:$V$495&gt;=6)*('CONTROL MASTER'!$U$2:$U$495&lt;=10)*('CONTROL MASTER'!$W$2:$W$495&gt;=10))*ROW('CONTROL MASTER'!$S$2:$S$495))-(ROW('CONTROL MASTER'!#REF!)-1))))*(INDEX('CONTROL MASTER'!$W$2:$W$495,(SUMPRODUCT((('CONTROL MASTER'!$S$2:$S$495=7)*('CONTROL MASTER'!$T$2:$T$495&lt;=6)*('CONTROL MASTER'!$V$2:$V$495&gt;=6)*('CONTROL MASTER'!$U$2:$U$495&lt;=10)*('CONTROL MASTER'!$W$2:$W$495&gt;=10))*ROW('CONTROL MASTER'!$S$2:$S$495))-(ROW('CONTROL MASTER'!#REF!)-1)))-INDEX('CONTROL MASTER'!$U$2:$U$495,(SUMPRODUCT((('CONTROL MASTER'!$S$2:$S$495=7)*('CONTROL MASTER'!$T$2:$T$495&lt;=6)*('CONTROL MASTER'!$V$2:$V$495&gt;=6)*('CONTROL MASTER'!$U$2:$U$495&lt;=10)*('CONTROL MASTER'!$W$2:$W$495&gt;=10))*ROW('CONTROL MASTER'!$S$2:$S$495))-(ROW('CONTROL MASTER'!#REF!)-1)))+1)+(10-INDEX('CONTROL MASTER'!$U$2:$U$495,(SUMPRODUCT((('CONTROL MASTER'!$S$2:$S$495=7)*('CONTROL MASTER'!$T$2:$T$495&lt;=6)*('CONTROL MASTER'!$V$2:$V$495&gt;=6)*('CONTROL MASTER'!$U$2:$U$495&lt;=10)*('CONTROL MASTER'!$W$2:$W$495&gt;=10))*ROW('CONTROL MASTER'!$S$2:$S$495))-(ROW('CONTROL MASTER'!#REF!)-1))))+1))-1)*50+1,50))&amp;"_"&amp;INDEX('CONTROL MASTER'!$P$2:$P$495,(SUMPRODUCT((('CONTROL MASTER'!$S$2:$S$495=7)*('CONTROL MASTER'!$T$2:$T$495&lt;=6)*('CONTROL MASTER'!$V$2:$V$495&gt;=6)*('CONTROL MASTER'!$U$2:$U$495&lt;=10)*('CONTROL MASTER'!$W$2:$W$495&gt;=10))*ROW('CONTROL MASTER'!$S$2:$S$495))-(ROW('CONTROL MASTER'!#REF!)-1))),IF(SUMPRODUCT((('CONTROL MASTER'!$S$2:$S$495=7)*('CONTROL MASTER'!$Z$2:$Z$495&lt;=6)*('CONTROL MASTER'!$AB$2:$AB$495&gt;=6)*('CONTROL MASTER'!$AA$2:$AA$495&lt;=10)*('CONTROL MASTER'!$AC$2:$AC$495&gt;=10))*ROW('CONTROL MASTER'!$S$2:$S$495))&gt;0,INDEX('CONTROL MASTER'!$X$2:$X$495,(SUMPRODUCT((('CONTROL MASTER'!$S$2:$S$495=7)*('CONTROL MASTER'!$Z$2:$Z$495&lt;=6)*('CONTROL MASTER'!$AB$2:$AB$495&gt;=6)*('CONTROL MASTER'!$AA$2:$AA$495&lt;=10)*('CONTROL MASTER'!$AC$2:$AC$495&gt;=10))*ROW('CONTROL MASTER'!$S$2:$S$495))-(ROW('CONTROL MASTER'!#REF!)-1)))&amp;TRIM(MID(SUBSTITUTE(SUBSTITUTE(INDEX('CONTROL MASTER'!$N$2:$N$495,(SUMPRODUCT((('CONTROL MASTER'!$S$2:$S$495=7)*('CONTROL MASTER'!$Z$2:$Z$495&lt;=6)*('CONTROL MASTER'!$AB$2:$AB$495&gt;=6)*('CONTROL MASTER'!$AA$2:$AA$495&lt;=10)*('CONTROL MASTER'!$AC$2:$AC$495&gt;=10))*ROW('CONTROL MASTER'!$S$2:$S$495))-(ROW('CONTROL MASTER'!#REF!)-1))),":",","),",",REPT(" ",50)),(((INDEX('CONTROL MASTER'!$Y$2:$Y$495,(SUMPRODUCT((('CONTROL MASTER'!$S$2:$S$495=7)*('CONTROL MASTER'!$Z$2:$Z$495&lt;=6)*('CONTROL MASTER'!$AB$2:$AB$495&gt;=6)*('CONTROL MASTER'!$AA$2:$AA$495&lt;=10)*('CONTROL MASTER'!$AC$2:$AC$495&gt;=10))*ROW('CONTROL MASTER'!$S$2:$S$495))-(ROW('CONTROL MASTER'!#REF!)-1)))+((6-INDEX('CONTROL MASTER'!$Z$2:$Z$495,(SUMPRODUCT((('CONTROL MASTER'!$S$2:$S$495=7)*('CONTROL MASTER'!$Z$2:$Z$495&lt;=6)*('CONTROL MASTER'!$AB$2:$AB$495&gt;=6)*('CONTROL MASTER'!$AA$2:$AA$495&lt;=10)*('CONTROL MASTER'!$AC$2:$AC$495&gt;=10))*ROW('CONTROL MASTER'!$S$2:$S$495))-(ROW('CONTROL MASTER'!#REF!)-1))))*(INDEX('CONTROL MASTER'!$AC$2:$AC$495,(SUMPRODUCT((('CONTROL MASTER'!$S$2:$S$495=7)*('CONTROL MASTER'!$Z$2:$Z$495&lt;=6)*('CONTROL MASTER'!$AB$2:$AB$495&gt;=6)*('CONTROL MASTER'!$AA$2:$AA$495&lt;=10)*('CONTROL MASTER'!$AC$2:$AC$495&gt;=10))*ROW('CONTROL MASTER'!$S$2:$S$495))-(ROW('CONTROL MASTER'!#REF!)-1)))-INDEX('CONTROL MASTER'!$AA$2:$AA$495,(SUMPRODUCT((('CONTROL MASTER'!$S$2:$S$495=7)*('CONTROL MASTER'!$Z$2:$Z$495&lt;=6)*('CONTROL MASTER'!$AB$2:$AB$495&gt;=6)*('CONTROL MASTER'!$AA$2:$AA$495&lt;=10)*('CONTROL MASTER'!$AC$2:$AC$495&gt;=10))*ROW('CONTROL MASTER'!$S$2:$S$495))-(ROW('CONTROL MASTER'!#REF!)-1)))+1)+(10-INDEX('CONTROL MASTER'!$AA$2:$AA$495,(SUMPRODUCT((('CONTROL MASTER'!$S$2:$S$495=7)*('CONTROL MASTER'!$Z$2:$Z$495&lt;=6)*('CONTROL MASTER'!$AB$2:$AB$495&gt;=6)*('CONTROL MASTER'!$AA$2:$AA$495&lt;=10)*('CONTROL MASTER'!$AC$2:$AC$495&gt;=10))*ROW('CONTROL MASTER'!$S$2:$S$495))-(ROW('CONTROL MASTER'!#REF!)-1))))+1)))-1)*50+1,50))&amp;"_"&amp;INDEX('CONTROL MASTER'!$P$2:$P$495,(SUMPRODUCT((('CONTROL MASTER'!$S$2:$S$495=7)*('CONTROL MASTER'!$Z$2:$Z$495&lt;=6)*('CONTROL MASTER'!$AB$2:$AB$495&gt;=6)*('CONTROL MASTER'!$AA$2:$AA$495&lt;=10)*('CONTROL MASTER'!$AC$2:$AC$495&gt;=10))*ROW('CONTROL MASTER'!$S$2:$S$495))-(ROW('CONTROL MASTER'!#REF!)-1))),"")),"")</f>
        <v/>
      </c>
    </row>
    <row r="93" spans="1:11" ht="15" customHeight="1" x14ac:dyDescent="0.35">
      <c r="A93" s="8" t="s">
        <v>34</v>
      </c>
      <c r="B93" s="10" t="str">
        <f>IFERROR(IF(SUMPRODUCT((('CONTROL MASTER'!$S$2:$S$495=7)*('CONTROL MASTER'!$T$2:$T$495&lt;=7)*('CONTROL MASTER'!$V$2:$V$495&gt;=7)*('CONTROL MASTER'!$U$2:$U$495&lt;=1)*('CONTROL MASTER'!$W$2:$W$495&gt;=1))*ROW('CONTROL MASTER'!$S$2:$S$495))&gt;0,INDEX('CONTROL MASTER'!$X$2:$X$495,(SUMPRODUCT((('CONTROL MASTER'!$S$2:$S$495=7)*('CONTROL MASTER'!$T$2:$T$495&lt;=7)*('CONTROL MASTER'!$V$2:$V$495&gt;=7)*('CONTROL MASTER'!$U$2:$U$495&lt;=1)*('CONTROL MASTER'!$W$2:$W$495&gt;=1))*ROW('CONTROL MASTER'!$S$2:$S$495))-(ROW('CONTROL MASTER'!#REF!)-1)))&amp;TRIM(MID(SUBSTITUTE(SUBSTITUTE(INDEX('CONTROL MASTER'!$N$2:$N$495,(SUMPRODUCT((('CONTROL MASTER'!$S$2:$S$495=7)*('CONTROL MASTER'!$T$2:$T$495&lt;=7)*('CONTROL MASTER'!$V$2:$V$495&gt;=7)*('CONTROL MASTER'!$U$2:$U$495&lt;=1)*('CONTROL MASTER'!$W$2:$W$495&gt;=1))*ROW('CONTROL MASTER'!$S$2:$S$495))-(ROW('CONTROL MASTER'!#REF!)-1))),":",","),",",REPT(" ",50)),((((7-INDEX('CONTROL MASTER'!$T$2:$T$495,(SUMPRODUCT((('CONTROL MASTER'!$S$2:$S$495=7)*('CONTROL MASTER'!$T$2:$T$495&lt;=7)*('CONTROL MASTER'!$V$2:$V$495&gt;=7)*('CONTROL MASTER'!$U$2:$U$495&lt;=1)*('CONTROL MASTER'!$W$2:$W$495&gt;=1))*ROW('CONTROL MASTER'!$S$2:$S$495))-(ROW('CONTROL MASTER'!#REF!)-1))))*(INDEX('CONTROL MASTER'!$W$2:$W$495,(SUMPRODUCT((('CONTROL MASTER'!$S$2:$S$495=7)*('CONTROL MASTER'!$T$2:$T$495&lt;=7)*('CONTROL MASTER'!$V$2:$V$495&gt;=7)*('CONTROL MASTER'!$U$2:$U$495&lt;=1)*('CONTROL MASTER'!$W$2:$W$495&gt;=1))*ROW('CONTROL MASTER'!$S$2:$S$495))-(ROW('CONTROL MASTER'!#REF!)-1)))-INDEX('CONTROL MASTER'!$U$2:$U$495,(SUMPRODUCT((('CONTROL MASTER'!$S$2:$S$495=7)*('CONTROL MASTER'!$T$2:$T$495&lt;=7)*('CONTROL MASTER'!$V$2:$V$495&gt;=7)*('CONTROL MASTER'!$U$2:$U$495&lt;=1)*('CONTROL MASTER'!$W$2:$W$495&gt;=1))*ROW('CONTROL MASTER'!$S$2:$S$495))-(ROW('CONTROL MASTER'!#REF!)-1)))+1)+(1-INDEX('CONTROL MASTER'!$U$2:$U$495,(SUMPRODUCT((('CONTROL MASTER'!$S$2:$S$495=7)*('CONTROL MASTER'!$T$2:$T$495&lt;=7)*('CONTROL MASTER'!$V$2:$V$495&gt;=7)*('CONTROL MASTER'!$U$2:$U$495&lt;=1)*('CONTROL MASTER'!$W$2:$W$495&gt;=1))*ROW('CONTROL MASTER'!$S$2:$S$495))-(ROW('CONTROL MASTER'!#REF!)-1))))+1))-1)*50+1,50))&amp;"_"&amp;INDEX('CONTROL MASTER'!$P$2:$P$495,(SUMPRODUCT((('CONTROL MASTER'!$S$2:$S$495=7)*('CONTROL MASTER'!$T$2:$T$495&lt;=7)*('CONTROL MASTER'!$V$2:$V$495&gt;=7)*('CONTROL MASTER'!$U$2:$U$495&lt;=1)*('CONTROL MASTER'!$W$2:$W$495&gt;=1))*ROW('CONTROL MASTER'!$S$2:$S$495))-(ROW('CONTROL MASTER'!#REF!)-1))),IF(SUMPRODUCT((('CONTROL MASTER'!$S$2:$S$495=7)*('CONTROL MASTER'!$Z$2:$Z$495&lt;=7)*('CONTROL MASTER'!$AB$2:$AB$495&gt;=7)*('CONTROL MASTER'!$AA$2:$AA$495&lt;=1)*('CONTROL MASTER'!$AC$2:$AC$495&gt;=1))*ROW('CONTROL MASTER'!$S$2:$S$495))&gt;0,INDEX('CONTROL MASTER'!$X$2:$X$495,(SUMPRODUCT((('CONTROL MASTER'!$S$2:$S$495=7)*('CONTROL MASTER'!$Z$2:$Z$495&lt;=7)*('CONTROL MASTER'!$AB$2:$AB$495&gt;=7)*('CONTROL MASTER'!$AA$2:$AA$495&lt;=1)*('CONTROL MASTER'!$AC$2:$AC$495&gt;=1))*ROW('CONTROL MASTER'!$S$2:$S$495))-(ROW('CONTROL MASTER'!#REF!)-1)))&amp;TRIM(MID(SUBSTITUTE(SUBSTITUTE(INDEX('CONTROL MASTER'!$N$2:$N$495,(SUMPRODUCT((('CONTROL MASTER'!$S$2:$S$495=7)*('CONTROL MASTER'!$Z$2:$Z$495&lt;=7)*('CONTROL MASTER'!$AB$2:$AB$495&gt;=7)*('CONTROL MASTER'!$AA$2:$AA$495&lt;=1)*('CONTROL MASTER'!$AC$2:$AC$495&gt;=1))*ROW('CONTROL MASTER'!$S$2:$S$495))-(ROW('CONTROL MASTER'!#REF!)-1))),":",","),",",REPT(" ",50)),(((INDEX('CONTROL MASTER'!$Y$2:$Y$495,(SUMPRODUCT((('CONTROL MASTER'!$S$2:$S$495=7)*('CONTROL MASTER'!$Z$2:$Z$495&lt;=7)*('CONTROL MASTER'!$AB$2:$AB$495&gt;=7)*('CONTROL MASTER'!$AA$2:$AA$495&lt;=1)*('CONTROL MASTER'!$AC$2:$AC$495&gt;=1))*ROW('CONTROL MASTER'!$S$2:$S$495))-(ROW('CONTROL MASTER'!#REF!)-1)))+((7-INDEX('CONTROL MASTER'!$Z$2:$Z$495,(SUMPRODUCT((('CONTROL MASTER'!$S$2:$S$495=7)*('CONTROL MASTER'!$Z$2:$Z$495&lt;=7)*('CONTROL MASTER'!$AB$2:$AB$495&gt;=7)*('CONTROL MASTER'!$AA$2:$AA$495&lt;=1)*('CONTROL MASTER'!$AC$2:$AC$495&gt;=1))*ROW('CONTROL MASTER'!$S$2:$S$495))-(ROW('CONTROL MASTER'!#REF!)-1))))*(INDEX('CONTROL MASTER'!$AC$2:$AC$495,(SUMPRODUCT((('CONTROL MASTER'!$S$2:$S$495=7)*('CONTROL MASTER'!$Z$2:$Z$495&lt;=7)*('CONTROL MASTER'!$AB$2:$AB$495&gt;=7)*('CONTROL MASTER'!$AA$2:$AA$495&lt;=1)*('CONTROL MASTER'!$AC$2:$AC$495&gt;=1))*ROW('CONTROL MASTER'!$S$2:$S$495))-(ROW('CONTROL MASTER'!#REF!)-1)))-INDEX('CONTROL MASTER'!$AA$2:$AA$495,(SUMPRODUCT((('CONTROL MASTER'!$S$2:$S$495=7)*('CONTROL MASTER'!$Z$2:$Z$495&lt;=7)*('CONTROL MASTER'!$AB$2:$AB$495&gt;=7)*('CONTROL MASTER'!$AA$2:$AA$495&lt;=1)*('CONTROL MASTER'!$AC$2:$AC$495&gt;=1))*ROW('CONTROL MASTER'!$S$2:$S$495))-(ROW('CONTROL MASTER'!#REF!)-1)))+1)+(1-INDEX('CONTROL MASTER'!$AA$2:$AA$495,(SUMPRODUCT((('CONTROL MASTER'!$S$2:$S$495=7)*('CONTROL MASTER'!$Z$2:$Z$495&lt;=7)*('CONTROL MASTER'!$AB$2:$AB$495&gt;=7)*('CONTROL MASTER'!$AA$2:$AA$495&lt;=1)*('CONTROL MASTER'!$AC$2:$AC$495&gt;=1))*ROW('CONTROL MASTER'!$S$2:$S$495))-(ROW('CONTROL MASTER'!#REF!)-1))))+1)))-1)*50+1,50))&amp;"_"&amp;INDEX('CONTROL MASTER'!$P$2:$P$495,(SUMPRODUCT((('CONTROL MASTER'!$S$2:$S$495=7)*('CONTROL MASTER'!$Z$2:$Z$495&lt;=7)*('CONTROL MASTER'!$AB$2:$AB$495&gt;=7)*('CONTROL MASTER'!$AA$2:$AA$495&lt;=1)*('CONTROL MASTER'!$AC$2:$AC$495&gt;=1))*ROW('CONTROL MASTER'!$S$2:$S$495))-(ROW('CONTROL MASTER'!#REF!)-1))),"")),"")</f>
        <v/>
      </c>
      <c r="C93" s="10" t="str">
        <f>IFERROR(IF(SUMPRODUCT((('CONTROL MASTER'!$S$2:$S$495=7)*('CONTROL MASTER'!$T$2:$T$495&lt;=7)*('CONTROL MASTER'!$V$2:$V$495&gt;=7)*('CONTROL MASTER'!$U$2:$U$495&lt;=2)*('CONTROL MASTER'!$W$2:$W$495&gt;=2))*ROW('CONTROL MASTER'!$S$2:$S$495))&gt;0,INDEX('CONTROL MASTER'!$X$2:$X$495,(SUMPRODUCT((('CONTROL MASTER'!$S$2:$S$495=7)*('CONTROL MASTER'!$T$2:$T$495&lt;=7)*('CONTROL MASTER'!$V$2:$V$495&gt;=7)*('CONTROL MASTER'!$U$2:$U$495&lt;=2)*('CONTROL MASTER'!$W$2:$W$495&gt;=2))*ROW('CONTROL MASTER'!$S$2:$S$495))-(ROW('CONTROL MASTER'!#REF!)-1)))&amp;TRIM(MID(SUBSTITUTE(SUBSTITUTE(INDEX('CONTROL MASTER'!$N$2:$N$495,(SUMPRODUCT((('CONTROL MASTER'!$S$2:$S$495=7)*('CONTROL MASTER'!$T$2:$T$495&lt;=7)*('CONTROL MASTER'!$V$2:$V$495&gt;=7)*('CONTROL MASTER'!$U$2:$U$495&lt;=2)*('CONTROL MASTER'!$W$2:$W$495&gt;=2))*ROW('CONTROL MASTER'!$S$2:$S$495))-(ROW('CONTROL MASTER'!#REF!)-1))),":",","),",",REPT(" ",50)),((((7-INDEX('CONTROL MASTER'!$T$2:$T$495,(SUMPRODUCT((('CONTROL MASTER'!$S$2:$S$495=7)*('CONTROL MASTER'!$T$2:$T$495&lt;=7)*('CONTROL MASTER'!$V$2:$V$495&gt;=7)*('CONTROL MASTER'!$U$2:$U$495&lt;=2)*('CONTROL MASTER'!$W$2:$W$495&gt;=2))*ROW('CONTROL MASTER'!$S$2:$S$495))-(ROW('CONTROL MASTER'!#REF!)-1))))*(INDEX('CONTROL MASTER'!$W$2:$W$495,(SUMPRODUCT((('CONTROL MASTER'!$S$2:$S$495=7)*('CONTROL MASTER'!$T$2:$T$495&lt;=7)*('CONTROL MASTER'!$V$2:$V$495&gt;=7)*('CONTROL MASTER'!$U$2:$U$495&lt;=2)*('CONTROL MASTER'!$W$2:$W$495&gt;=2))*ROW('CONTROL MASTER'!$S$2:$S$495))-(ROW('CONTROL MASTER'!#REF!)-1)))-INDEX('CONTROL MASTER'!$U$2:$U$495,(SUMPRODUCT((('CONTROL MASTER'!$S$2:$S$495=7)*('CONTROL MASTER'!$T$2:$T$495&lt;=7)*('CONTROL MASTER'!$V$2:$V$495&gt;=7)*('CONTROL MASTER'!$U$2:$U$495&lt;=2)*('CONTROL MASTER'!$W$2:$W$495&gt;=2))*ROW('CONTROL MASTER'!$S$2:$S$495))-(ROW('CONTROL MASTER'!#REF!)-1)))+1)+(2-INDEX('CONTROL MASTER'!$U$2:$U$495,(SUMPRODUCT((('CONTROL MASTER'!$S$2:$S$495=7)*('CONTROL MASTER'!$T$2:$T$495&lt;=7)*('CONTROL MASTER'!$V$2:$V$495&gt;=7)*('CONTROL MASTER'!$U$2:$U$495&lt;=2)*('CONTROL MASTER'!$W$2:$W$495&gt;=2))*ROW('CONTROL MASTER'!$S$2:$S$495))-(ROW('CONTROL MASTER'!#REF!)-1))))+1))-1)*50+1,50))&amp;"_"&amp;INDEX('CONTROL MASTER'!$P$2:$P$495,(SUMPRODUCT((('CONTROL MASTER'!$S$2:$S$495=7)*('CONTROL MASTER'!$T$2:$T$495&lt;=7)*('CONTROL MASTER'!$V$2:$V$495&gt;=7)*('CONTROL MASTER'!$U$2:$U$495&lt;=2)*('CONTROL MASTER'!$W$2:$W$495&gt;=2))*ROW('CONTROL MASTER'!$S$2:$S$495))-(ROW('CONTROL MASTER'!#REF!)-1))),IF(SUMPRODUCT((('CONTROL MASTER'!$S$2:$S$495=7)*('CONTROL MASTER'!$Z$2:$Z$495&lt;=7)*('CONTROL MASTER'!$AB$2:$AB$495&gt;=7)*('CONTROL MASTER'!$AA$2:$AA$495&lt;=2)*('CONTROL MASTER'!$AC$2:$AC$495&gt;=2))*ROW('CONTROL MASTER'!$S$2:$S$495))&gt;0,INDEX('CONTROL MASTER'!$X$2:$X$495,(SUMPRODUCT((('CONTROL MASTER'!$S$2:$S$495=7)*('CONTROL MASTER'!$Z$2:$Z$495&lt;=7)*('CONTROL MASTER'!$AB$2:$AB$495&gt;=7)*('CONTROL MASTER'!$AA$2:$AA$495&lt;=2)*('CONTROL MASTER'!$AC$2:$AC$495&gt;=2))*ROW('CONTROL MASTER'!$S$2:$S$495))-(ROW('CONTROL MASTER'!#REF!)-1)))&amp;TRIM(MID(SUBSTITUTE(SUBSTITUTE(INDEX('CONTROL MASTER'!$N$2:$N$495,(SUMPRODUCT((('CONTROL MASTER'!$S$2:$S$495=7)*('CONTROL MASTER'!$Z$2:$Z$495&lt;=7)*('CONTROL MASTER'!$AB$2:$AB$495&gt;=7)*('CONTROL MASTER'!$AA$2:$AA$495&lt;=2)*('CONTROL MASTER'!$AC$2:$AC$495&gt;=2))*ROW('CONTROL MASTER'!$S$2:$S$495))-(ROW('CONTROL MASTER'!#REF!)-1))),":",","),",",REPT(" ",50)),(((INDEX('CONTROL MASTER'!$Y$2:$Y$495,(SUMPRODUCT((('CONTROL MASTER'!$S$2:$S$495=7)*('CONTROL MASTER'!$Z$2:$Z$495&lt;=7)*('CONTROL MASTER'!$AB$2:$AB$495&gt;=7)*('CONTROL MASTER'!$AA$2:$AA$495&lt;=2)*('CONTROL MASTER'!$AC$2:$AC$495&gt;=2))*ROW('CONTROL MASTER'!$S$2:$S$495))-(ROW('CONTROL MASTER'!#REF!)-1)))+((7-INDEX('CONTROL MASTER'!$Z$2:$Z$495,(SUMPRODUCT((('CONTROL MASTER'!$S$2:$S$495=7)*('CONTROL MASTER'!$Z$2:$Z$495&lt;=7)*('CONTROL MASTER'!$AB$2:$AB$495&gt;=7)*('CONTROL MASTER'!$AA$2:$AA$495&lt;=2)*('CONTROL MASTER'!$AC$2:$AC$495&gt;=2))*ROW('CONTROL MASTER'!$S$2:$S$495))-(ROW('CONTROL MASTER'!#REF!)-1))))*(INDEX('CONTROL MASTER'!$AC$2:$AC$495,(SUMPRODUCT((('CONTROL MASTER'!$S$2:$S$495=7)*('CONTROL MASTER'!$Z$2:$Z$495&lt;=7)*('CONTROL MASTER'!$AB$2:$AB$495&gt;=7)*('CONTROL MASTER'!$AA$2:$AA$495&lt;=2)*('CONTROL MASTER'!$AC$2:$AC$495&gt;=2))*ROW('CONTROL MASTER'!$S$2:$S$495))-(ROW('CONTROL MASTER'!#REF!)-1)))-INDEX('CONTROL MASTER'!$AA$2:$AA$495,(SUMPRODUCT((('CONTROL MASTER'!$S$2:$S$495=7)*('CONTROL MASTER'!$Z$2:$Z$495&lt;=7)*('CONTROL MASTER'!$AB$2:$AB$495&gt;=7)*('CONTROL MASTER'!$AA$2:$AA$495&lt;=2)*('CONTROL MASTER'!$AC$2:$AC$495&gt;=2))*ROW('CONTROL MASTER'!$S$2:$S$495))-(ROW('CONTROL MASTER'!#REF!)-1)))+1)+(2-INDEX('CONTROL MASTER'!$AA$2:$AA$495,(SUMPRODUCT((('CONTROL MASTER'!$S$2:$S$495=7)*('CONTROL MASTER'!$Z$2:$Z$495&lt;=7)*('CONTROL MASTER'!$AB$2:$AB$495&gt;=7)*('CONTROL MASTER'!$AA$2:$AA$495&lt;=2)*('CONTROL MASTER'!$AC$2:$AC$495&gt;=2))*ROW('CONTROL MASTER'!$S$2:$S$495))-(ROW('CONTROL MASTER'!#REF!)-1))))+1)))-1)*50+1,50))&amp;"_"&amp;INDEX('CONTROL MASTER'!$P$2:$P$495,(SUMPRODUCT((('CONTROL MASTER'!$S$2:$S$495=7)*('CONTROL MASTER'!$Z$2:$Z$495&lt;=7)*('CONTROL MASTER'!$AB$2:$AB$495&gt;=7)*('CONTROL MASTER'!$AA$2:$AA$495&lt;=2)*('CONTROL MASTER'!$AC$2:$AC$495&gt;=2))*ROW('CONTROL MASTER'!$S$2:$S$495))-(ROW('CONTROL MASTER'!#REF!)-1))),"")),"")</f>
        <v/>
      </c>
      <c r="D93" s="10" t="str">
        <f>IFERROR(IF(SUMPRODUCT((('CONTROL MASTER'!$S$2:$S$495=7)*('CONTROL MASTER'!$T$2:$T$495&lt;=7)*('CONTROL MASTER'!$V$2:$V$495&gt;=7)*('CONTROL MASTER'!$U$2:$U$495&lt;=3)*('CONTROL MASTER'!$W$2:$W$495&gt;=3))*ROW('CONTROL MASTER'!$S$2:$S$495))&gt;0,INDEX('CONTROL MASTER'!$X$2:$X$495,(SUMPRODUCT((('CONTROL MASTER'!$S$2:$S$495=7)*('CONTROL MASTER'!$T$2:$T$495&lt;=7)*('CONTROL MASTER'!$V$2:$V$495&gt;=7)*('CONTROL MASTER'!$U$2:$U$495&lt;=3)*('CONTROL MASTER'!$W$2:$W$495&gt;=3))*ROW('CONTROL MASTER'!$S$2:$S$495))-(ROW('CONTROL MASTER'!#REF!)-1)))&amp;TRIM(MID(SUBSTITUTE(SUBSTITUTE(INDEX('CONTROL MASTER'!$N$2:$N$495,(SUMPRODUCT((('CONTROL MASTER'!$S$2:$S$495=7)*('CONTROL MASTER'!$T$2:$T$495&lt;=7)*('CONTROL MASTER'!$V$2:$V$495&gt;=7)*('CONTROL MASTER'!$U$2:$U$495&lt;=3)*('CONTROL MASTER'!$W$2:$W$495&gt;=3))*ROW('CONTROL MASTER'!$S$2:$S$495))-(ROW('CONTROL MASTER'!#REF!)-1))),":",","),",",REPT(" ",50)),((((7-INDEX('CONTROL MASTER'!$T$2:$T$495,(SUMPRODUCT((('CONTROL MASTER'!$S$2:$S$495=7)*('CONTROL MASTER'!$T$2:$T$495&lt;=7)*('CONTROL MASTER'!$V$2:$V$495&gt;=7)*('CONTROL MASTER'!$U$2:$U$495&lt;=3)*('CONTROL MASTER'!$W$2:$W$495&gt;=3))*ROW('CONTROL MASTER'!$S$2:$S$495))-(ROW('CONTROL MASTER'!#REF!)-1))))*(INDEX('CONTROL MASTER'!$W$2:$W$495,(SUMPRODUCT((('CONTROL MASTER'!$S$2:$S$495=7)*('CONTROL MASTER'!$T$2:$T$495&lt;=7)*('CONTROL MASTER'!$V$2:$V$495&gt;=7)*('CONTROL MASTER'!$U$2:$U$495&lt;=3)*('CONTROL MASTER'!$W$2:$W$495&gt;=3))*ROW('CONTROL MASTER'!$S$2:$S$495))-(ROW('CONTROL MASTER'!#REF!)-1)))-INDEX('CONTROL MASTER'!$U$2:$U$495,(SUMPRODUCT((('CONTROL MASTER'!$S$2:$S$495=7)*('CONTROL MASTER'!$T$2:$T$495&lt;=7)*('CONTROL MASTER'!$V$2:$V$495&gt;=7)*('CONTROL MASTER'!$U$2:$U$495&lt;=3)*('CONTROL MASTER'!$W$2:$W$495&gt;=3))*ROW('CONTROL MASTER'!$S$2:$S$495))-(ROW('CONTROL MASTER'!#REF!)-1)))+1)+(3-INDEX('CONTROL MASTER'!$U$2:$U$495,(SUMPRODUCT((('CONTROL MASTER'!$S$2:$S$495=7)*('CONTROL MASTER'!$T$2:$T$495&lt;=7)*('CONTROL MASTER'!$V$2:$V$495&gt;=7)*('CONTROL MASTER'!$U$2:$U$495&lt;=3)*('CONTROL MASTER'!$W$2:$W$495&gt;=3))*ROW('CONTROL MASTER'!$S$2:$S$495))-(ROW('CONTROL MASTER'!#REF!)-1))))+1))-1)*50+1,50))&amp;"_"&amp;INDEX('CONTROL MASTER'!$P$2:$P$495,(SUMPRODUCT((('CONTROL MASTER'!$S$2:$S$495=7)*('CONTROL MASTER'!$T$2:$T$495&lt;=7)*('CONTROL MASTER'!$V$2:$V$495&gt;=7)*('CONTROL MASTER'!$U$2:$U$495&lt;=3)*('CONTROL MASTER'!$W$2:$W$495&gt;=3))*ROW('CONTROL MASTER'!$S$2:$S$495))-(ROW('CONTROL MASTER'!#REF!)-1))),IF(SUMPRODUCT((('CONTROL MASTER'!$S$2:$S$495=7)*('CONTROL MASTER'!$Z$2:$Z$495&lt;=7)*('CONTROL MASTER'!$AB$2:$AB$495&gt;=7)*('CONTROL MASTER'!$AA$2:$AA$495&lt;=3)*('CONTROL MASTER'!$AC$2:$AC$495&gt;=3))*ROW('CONTROL MASTER'!$S$2:$S$495))&gt;0,INDEX('CONTROL MASTER'!$X$2:$X$495,(SUMPRODUCT((('CONTROL MASTER'!$S$2:$S$495=7)*('CONTROL MASTER'!$Z$2:$Z$495&lt;=7)*('CONTROL MASTER'!$AB$2:$AB$495&gt;=7)*('CONTROL MASTER'!$AA$2:$AA$495&lt;=3)*('CONTROL MASTER'!$AC$2:$AC$495&gt;=3))*ROW('CONTROL MASTER'!$S$2:$S$495))-(ROW('CONTROL MASTER'!#REF!)-1)))&amp;TRIM(MID(SUBSTITUTE(SUBSTITUTE(INDEX('CONTROL MASTER'!$N$2:$N$495,(SUMPRODUCT((('CONTROL MASTER'!$S$2:$S$495=7)*('CONTROL MASTER'!$Z$2:$Z$495&lt;=7)*('CONTROL MASTER'!$AB$2:$AB$495&gt;=7)*('CONTROL MASTER'!$AA$2:$AA$495&lt;=3)*('CONTROL MASTER'!$AC$2:$AC$495&gt;=3))*ROW('CONTROL MASTER'!$S$2:$S$495))-(ROW('CONTROL MASTER'!#REF!)-1))),":",","),",",REPT(" ",50)),(((INDEX('CONTROL MASTER'!$Y$2:$Y$495,(SUMPRODUCT((('CONTROL MASTER'!$S$2:$S$495=7)*('CONTROL MASTER'!$Z$2:$Z$495&lt;=7)*('CONTROL MASTER'!$AB$2:$AB$495&gt;=7)*('CONTROL MASTER'!$AA$2:$AA$495&lt;=3)*('CONTROL MASTER'!$AC$2:$AC$495&gt;=3))*ROW('CONTROL MASTER'!$S$2:$S$495))-(ROW('CONTROL MASTER'!#REF!)-1)))+((7-INDEX('CONTROL MASTER'!$Z$2:$Z$495,(SUMPRODUCT((('CONTROL MASTER'!$S$2:$S$495=7)*('CONTROL MASTER'!$Z$2:$Z$495&lt;=7)*('CONTROL MASTER'!$AB$2:$AB$495&gt;=7)*('CONTROL MASTER'!$AA$2:$AA$495&lt;=3)*('CONTROL MASTER'!$AC$2:$AC$495&gt;=3))*ROW('CONTROL MASTER'!$S$2:$S$495))-(ROW('CONTROL MASTER'!#REF!)-1))))*(INDEX('CONTROL MASTER'!$AC$2:$AC$495,(SUMPRODUCT((('CONTROL MASTER'!$S$2:$S$495=7)*('CONTROL MASTER'!$Z$2:$Z$495&lt;=7)*('CONTROL MASTER'!$AB$2:$AB$495&gt;=7)*('CONTROL MASTER'!$AA$2:$AA$495&lt;=3)*('CONTROL MASTER'!$AC$2:$AC$495&gt;=3))*ROW('CONTROL MASTER'!$S$2:$S$495))-(ROW('CONTROL MASTER'!#REF!)-1)))-INDEX('CONTROL MASTER'!$AA$2:$AA$495,(SUMPRODUCT((('CONTROL MASTER'!$S$2:$S$495=7)*('CONTROL MASTER'!$Z$2:$Z$495&lt;=7)*('CONTROL MASTER'!$AB$2:$AB$495&gt;=7)*('CONTROL MASTER'!$AA$2:$AA$495&lt;=3)*('CONTROL MASTER'!$AC$2:$AC$495&gt;=3))*ROW('CONTROL MASTER'!$S$2:$S$495))-(ROW('CONTROL MASTER'!#REF!)-1)))+1)+(3-INDEX('CONTROL MASTER'!$AA$2:$AA$495,(SUMPRODUCT((('CONTROL MASTER'!$S$2:$S$495=7)*('CONTROL MASTER'!$Z$2:$Z$495&lt;=7)*('CONTROL MASTER'!$AB$2:$AB$495&gt;=7)*('CONTROL MASTER'!$AA$2:$AA$495&lt;=3)*('CONTROL MASTER'!$AC$2:$AC$495&gt;=3))*ROW('CONTROL MASTER'!$S$2:$S$495))-(ROW('CONTROL MASTER'!#REF!)-1))))+1)))-1)*50+1,50))&amp;"_"&amp;INDEX('CONTROL MASTER'!$P$2:$P$495,(SUMPRODUCT((('CONTROL MASTER'!$S$2:$S$495=7)*('CONTROL MASTER'!$Z$2:$Z$495&lt;=7)*('CONTROL MASTER'!$AB$2:$AB$495&gt;=7)*('CONTROL MASTER'!$AA$2:$AA$495&lt;=3)*('CONTROL MASTER'!$AC$2:$AC$495&gt;=3))*ROW('CONTROL MASTER'!$S$2:$S$495))-(ROW('CONTROL MASTER'!#REF!)-1))),"")),"")</f>
        <v/>
      </c>
      <c r="E93" s="10" t="str">
        <f>IFERROR(IF(SUMPRODUCT((('CONTROL MASTER'!$S$2:$S$495=7)*('CONTROL MASTER'!$T$2:$T$495&lt;=7)*('CONTROL MASTER'!$V$2:$V$495&gt;=7)*('CONTROL MASTER'!$U$2:$U$495&lt;=4)*('CONTROL MASTER'!$W$2:$W$495&gt;=4))*ROW('CONTROL MASTER'!$S$2:$S$495))&gt;0,INDEX('CONTROL MASTER'!$X$2:$X$495,(SUMPRODUCT((('CONTROL MASTER'!$S$2:$S$495=7)*('CONTROL MASTER'!$T$2:$T$495&lt;=7)*('CONTROL MASTER'!$V$2:$V$495&gt;=7)*('CONTROL MASTER'!$U$2:$U$495&lt;=4)*('CONTROL MASTER'!$W$2:$W$495&gt;=4))*ROW('CONTROL MASTER'!$S$2:$S$495))-(ROW('CONTROL MASTER'!#REF!)-1)))&amp;TRIM(MID(SUBSTITUTE(SUBSTITUTE(INDEX('CONTROL MASTER'!$N$2:$N$495,(SUMPRODUCT((('CONTROL MASTER'!$S$2:$S$495=7)*('CONTROL MASTER'!$T$2:$T$495&lt;=7)*('CONTROL MASTER'!$V$2:$V$495&gt;=7)*('CONTROL MASTER'!$U$2:$U$495&lt;=4)*('CONTROL MASTER'!$W$2:$W$495&gt;=4))*ROW('CONTROL MASTER'!$S$2:$S$495))-(ROW('CONTROL MASTER'!#REF!)-1))),":",","),",",REPT(" ",50)),((((7-INDEX('CONTROL MASTER'!$T$2:$T$495,(SUMPRODUCT((('CONTROL MASTER'!$S$2:$S$495=7)*('CONTROL MASTER'!$T$2:$T$495&lt;=7)*('CONTROL MASTER'!$V$2:$V$495&gt;=7)*('CONTROL MASTER'!$U$2:$U$495&lt;=4)*('CONTROL MASTER'!$W$2:$W$495&gt;=4))*ROW('CONTROL MASTER'!$S$2:$S$495))-(ROW('CONTROL MASTER'!#REF!)-1))))*(INDEX('CONTROL MASTER'!$W$2:$W$495,(SUMPRODUCT((('CONTROL MASTER'!$S$2:$S$495=7)*('CONTROL MASTER'!$T$2:$T$495&lt;=7)*('CONTROL MASTER'!$V$2:$V$495&gt;=7)*('CONTROL MASTER'!$U$2:$U$495&lt;=4)*('CONTROL MASTER'!$W$2:$W$495&gt;=4))*ROW('CONTROL MASTER'!$S$2:$S$495))-(ROW('CONTROL MASTER'!#REF!)-1)))-INDEX('CONTROL MASTER'!$U$2:$U$495,(SUMPRODUCT((('CONTROL MASTER'!$S$2:$S$495=7)*('CONTROL MASTER'!$T$2:$T$495&lt;=7)*('CONTROL MASTER'!$V$2:$V$495&gt;=7)*('CONTROL MASTER'!$U$2:$U$495&lt;=4)*('CONTROL MASTER'!$W$2:$W$495&gt;=4))*ROW('CONTROL MASTER'!$S$2:$S$495))-(ROW('CONTROL MASTER'!#REF!)-1)))+1)+(4-INDEX('CONTROL MASTER'!$U$2:$U$495,(SUMPRODUCT((('CONTROL MASTER'!$S$2:$S$495=7)*('CONTROL MASTER'!$T$2:$T$495&lt;=7)*('CONTROL MASTER'!$V$2:$V$495&gt;=7)*('CONTROL MASTER'!$U$2:$U$495&lt;=4)*('CONTROL MASTER'!$W$2:$W$495&gt;=4))*ROW('CONTROL MASTER'!$S$2:$S$495))-(ROW('CONTROL MASTER'!#REF!)-1))))+1))-1)*50+1,50))&amp;"_"&amp;INDEX('CONTROL MASTER'!$P$2:$P$495,(SUMPRODUCT((('CONTROL MASTER'!$S$2:$S$495=7)*('CONTROL MASTER'!$T$2:$T$495&lt;=7)*('CONTROL MASTER'!$V$2:$V$495&gt;=7)*('CONTROL MASTER'!$U$2:$U$495&lt;=4)*('CONTROL MASTER'!$W$2:$W$495&gt;=4))*ROW('CONTROL MASTER'!$S$2:$S$495))-(ROW('CONTROL MASTER'!#REF!)-1))),IF(SUMPRODUCT((('CONTROL MASTER'!$S$2:$S$495=7)*('CONTROL MASTER'!$Z$2:$Z$495&lt;=7)*('CONTROL MASTER'!$AB$2:$AB$495&gt;=7)*('CONTROL MASTER'!$AA$2:$AA$495&lt;=4)*('CONTROL MASTER'!$AC$2:$AC$495&gt;=4))*ROW('CONTROL MASTER'!$S$2:$S$495))&gt;0,INDEX('CONTROL MASTER'!$X$2:$X$495,(SUMPRODUCT((('CONTROL MASTER'!$S$2:$S$495=7)*('CONTROL MASTER'!$Z$2:$Z$495&lt;=7)*('CONTROL MASTER'!$AB$2:$AB$495&gt;=7)*('CONTROL MASTER'!$AA$2:$AA$495&lt;=4)*('CONTROL MASTER'!$AC$2:$AC$495&gt;=4))*ROW('CONTROL MASTER'!$S$2:$S$495))-(ROW('CONTROL MASTER'!#REF!)-1)))&amp;TRIM(MID(SUBSTITUTE(SUBSTITUTE(INDEX('CONTROL MASTER'!$N$2:$N$495,(SUMPRODUCT((('CONTROL MASTER'!$S$2:$S$495=7)*('CONTROL MASTER'!$Z$2:$Z$495&lt;=7)*('CONTROL MASTER'!$AB$2:$AB$495&gt;=7)*('CONTROL MASTER'!$AA$2:$AA$495&lt;=4)*('CONTROL MASTER'!$AC$2:$AC$495&gt;=4))*ROW('CONTROL MASTER'!$S$2:$S$495))-(ROW('CONTROL MASTER'!#REF!)-1))),":",","),",",REPT(" ",50)),(((INDEX('CONTROL MASTER'!$Y$2:$Y$495,(SUMPRODUCT((('CONTROL MASTER'!$S$2:$S$495=7)*('CONTROL MASTER'!$Z$2:$Z$495&lt;=7)*('CONTROL MASTER'!$AB$2:$AB$495&gt;=7)*('CONTROL MASTER'!$AA$2:$AA$495&lt;=4)*('CONTROL MASTER'!$AC$2:$AC$495&gt;=4))*ROW('CONTROL MASTER'!$S$2:$S$495))-(ROW('CONTROL MASTER'!#REF!)-1)))+((7-INDEX('CONTROL MASTER'!$Z$2:$Z$495,(SUMPRODUCT((('CONTROL MASTER'!$S$2:$S$495=7)*('CONTROL MASTER'!$Z$2:$Z$495&lt;=7)*('CONTROL MASTER'!$AB$2:$AB$495&gt;=7)*('CONTROL MASTER'!$AA$2:$AA$495&lt;=4)*('CONTROL MASTER'!$AC$2:$AC$495&gt;=4))*ROW('CONTROL MASTER'!$S$2:$S$495))-(ROW('CONTROL MASTER'!#REF!)-1))))*(INDEX('CONTROL MASTER'!$AC$2:$AC$495,(SUMPRODUCT((('CONTROL MASTER'!$S$2:$S$495=7)*('CONTROL MASTER'!$Z$2:$Z$495&lt;=7)*('CONTROL MASTER'!$AB$2:$AB$495&gt;=7)*('CONTROL MASTER'!$AA$2:$AA$495&lt;=4)*('CONTROL MASTER'!$AC$2:$AC$495&gt;=4))*ROW('CONTROL MASTER'!$S$2:$S$495))-(ROW('CONTROL MASTER'!#REF!)-1)))-INDEX('CONTROL MASTER'!$AA$2:$AA$495,(SUMPRODUCT((('CONTROL MASTER'!$S$2:$S$495=7)*('CONTROL MASTER'!$Z$2:$Z$495&lt;=7)*('CONTROL MASTER'!$AB$2:$AB$495&gt;=7)*('CONTROL MASTER'!$AA$2:$AA$495&lt;=4)*('CONTROL MASTER'!$AC$2:$AC$495&gt;=4))*ROW('CONTROL MASTER'!$S$2:$S$495))-(ROW('CONTROL MASTER'!#REF!)-1)))+1)+(4-INDEX('CONTROL MASTER'!$AA$2:$AA$495,(SUMPRODUCT((('CONTROL MASTER'!$S$2:$S$495=7)*('CONTROL MASTER'!$Z$2:$Z$495&lt;=7)*('CONTROL MASTER'!$AB$2:$AB$495&gt;=7)*('CONTROL MASTER'!$AA$2:$AA$495&lt;=4)*('CONTROL MASTER'!$AC$2:$AC$495&gt;=4))*ROW('CONTROL MASTER'!$S$2:$S$495))-(ROW('CONTROL MASTER'!#REF!)-1))))+1)))-1)*50+1,50))&amp;"_"&amp;INDEX('CONTROL MASTER'!$P$2:$P$495,(SUMPRODUCT((('CONTROL MASTER'!$S$2:$S$495=7)*('CONTROL MASTER'!$Z$2:$Z$495&lt;=7)*('CONTROL MASTER'!$AB$2:$AB$495&gt;=7)*('CONTROL MASTER'!$AA$2:$AA$495&lt;=4)*('CONTROL MASTER'!$AC$2:$AC$495&gt;=4))*ROW('CONTROL MASTER'!$S$2:$S$495))-(ROW('CONTROL MASTER'!#REF!)-1))),"")),"")</f>
        <v/>
      </c>
      <c r="F93" s="10" t="str">
        <f>IFERROR(IF(SUMPRODUCT((('CONTROL MASTER'!$S$2:$S$495=7)*('CONTROL MASTER'!$T$2:$T$495&lt;=7)*('CONTROL MASTER'!$V$2:$V$495&gt;=7)*('CONTROL MASTER'!$U$2:$U$495&lt;=5)*('CONTROL MASTER'!$W$2:$W$495&gt;=5))*ROW('CONTROL MASTER'!$S$2:$S$495))&gt;0,INDEX('CONTROL MASTER'!$X$2:$X$495,(SUMPRODUCT((('CONTROL MASTER'!$S$2:$S$495=7)*('CONTROL MASTER'!$T$2:$T$495&lt;=7)*('CONTROL MASTER'!$V$2:$V$495&gt;=7)*('CONTROL MASTER'!$U$2:$U$495&lt;=5)*('CONTROL MASTER'!$W$2:$W$495&gt;=5))*ROW('CONTROL MASTER'!$S$2:$S$495))-(ROW('CONTROL MASTER'!#REF!)-1)))&amp;TRIM(MID(SUBSTITUTE(SUBSTITUTE(INDEX('CONTROL MASTER'!$N$2:$N$495,(SUMPRODUCT((('CONTROL MASTER'!$S$2:$S$495=7)*('CONTROL MASTER'!$T$2:$T$495&lt;=7)*('CONTROL MASTER'!$V$2:$V$495&gt;=7)*('CONTROL MASTER'!$U$2:$U$495&lt;=5)*('CONTROL MASTER'!$W$2:$W$495&gt;=5))*ROW('CONTROL MASTER'!$S$2:$S$495))-(ROW('CONTROL MASTER'!#REF!)-1))),":",","),",",REPT(" ",50)),((((7-INDEX('CONTROL MASTER'!$T$2:$T$495,(SUMPRODUCT((('CONTROL MASTER'!$S$2:$S$495=7)*('CONTROL MASTER'!$T$2:$T$495&lt;=7)*('CONTROL MASTER'!$V$2:$V$495&gt;=7)*('CONTROL MASTER'!$U$2:$U$495&lt;=5)*('CONTROL MASTER'!$W$2:$W$495&gt;=5))*ROW('CONTROL MASTER'!$S$2:$S$495))-(ROW('CONTROL MASTER'!#REF!)-1))))*(INDEX('CONTROL MASTER'!$W$2:$W$495,(SUMPRODUCT((('CONTROL MASTER'!$S$2:$S$495=7)*('CONTROL MASTER'!$T$2:$T$495&lt;=7)*('CONTROL MASTER'!$V$2:$V$495&gt;=7)*('CONTROL MASTER'!$U$2:$U$495&lt;=5)*('CONTROL MASTER'!$W$2:$W$495&gt;=5))*ROW('CONTROL MASTER'!$S$2:$S$495))-(ROW('CONTROL MASTER'!#REF!)-1)))-INDEX('CONTROL MASTER'!$U$2:$U$495,(SUMPRODUCT((('CONTROL MASTER'!$S$2:$S$495=7)*('CONTROL MASTER'!$T$2:$T$495&lt;=7)*('CONTROL MASTER'!$V$2:$V$495&gt;=7)*('CONTROL MASTER'!$U$2:$U$495&lt;=5)*('CONTROL MASTER'!$W$2:$W$495&gt;=5))*ROW('CONTROL MASTER'!$S$2:$S$495))-(ROW('CONTROL MASTER'!#REF!)-1)))+1)+(5-INDEX('CONTROL MASTER'!$U$2:$U$495,(SUMPRODUCT((('CONTROL MASTER'!$S$2:$S$495=7)*('CONTROL MASTER'!$T$2:$T$495&lt;=7)*('CONTROL MASTER'!$V$2:$V$495&gt;=7)*('CONTROL MASTER'!$U$2:$U$495&lt;=5)*('CONTROL MASTER'!$W$2:$W$495&gt;=5))*ROW('CONTROL MASTER'!$S$2:$S$495))-(ROW('CONTROL MASTER'!#REF!)-1))))+1))-1)*50+1,50))&amp;"_"&amp;INDEX('CONTROL MASTER'!$P$2:$P$495,(SUMPRODUCT((('CONTROL MASTER'!$S$2:$S$495=7)*('CONTROL MASTER'!$T$2:$T$495&lt;=7)*('CONTROL MASTER'!$V$2:$V$495&gt;=7)*('CONTROL MASTER'!$U$2:$U$495&lt;=5)*('CONTROL MASTER'!$W$2:$W$495&gt;=5))*ROW('CONTROL MASTER'!$S$2:$S$495))-(ROW('CONTROL MASTER'!#REF!)-1))),IF(SUMPRODUCT((('CONTROL MASTER'!$S$2:$S$495=7)*('CONTROL MASTER'!$Z$2:$Z$495&lt;=7)*('CONTROL MASTER'!$AB$2:$AB$495&gt;=7)*('CONTROL MASTER'!$AA$2:$AA$495&lt;=5)*('CONTROL MASTER'!$AC$2:$AC$495&gt;=5))*ROW('CONTROL MASTER'!$S$2:$S$495))&gt;0,INDEX('CONTROL MASTER'!$X$2:$X$495,(SUMPRODUCT((('CONTROL MASTER'!$S$2:$S$495=7)*('CONTROL MASTER'!$Z$2:$Z$495&lt;=7)*('CONTROL MASTER'!$AB$2:$AB$495&gt;=7)*('CONTROL MASTER'!$AA$2:$AA$495&lt;=5)*('CONTROL MASTER'!$AC$2:$AC$495&gt;=5))*ROW('CONTROL MASTER'!$S$2:$S$495))-(ROW('CONTROL MASTER'!#REF!)-1)))&amp;TRIM(MID(SUBSTITUTE(SUBSTITUTE(INDEX('CONTROL MASTER'!$N$2:$N$495,(SUMPRODUCT((('CONTROL MASTER'!$S$2:$S$495=7)*('CONTROL MASTER'!$Z$2:$Z$495&lt;=7)*('CONTROL MASTER'!$AB$2:$AB$495&gt;=7)*('CONTROL MASTER'!$AA$2:$AA$495&lt;=5)*('CONTROL MASTER'!$AC$2:$AC$495&gt;=5))*ROW('CONTROL MASTER'!$S$2:$S$495))-(ROW('CONTROL MASTER'!#REF!)-1))),":",","),",",REPT(" ",50)),(((INDEX('CONTROL MASTER'!$Y$2:$Y$495,(SUMPRODUCT((('CONTROL MASTER'!$S$2:$S$495=7)*('CONTROL MASTER'!$Z$2:$Z$495&lt;=7)*('CONTROL MASTER'!$AB$2:$AB$495&gt;=7)*('CONTROL MASTER'!$AA$2:$AA$495&lt;=5)*('CONTROL MASTER'!$AC$2:$AC$495&gt;=5))*ROW('CONTROL MASTER'!$S$2:$S$495))-(ROW('CONTROL MASTER'!#REF!)-1)))+((7-INDEX('CONTROL MASTER'!$Z$2:$Z$495,(SUMPRODUCT((('CONTROL MASTER'!$S$2:$S$495=7)*('CONTROL MASTER'!$Z$2:$Z$495&lt;=7)*('CONTROL MASTER'!$AB$2:$AB$495&gt;=7)*('CONTROL MASTER'!$AA$2:$AA$495&lt;=5)*('CONTROL MASTER'!$AC$2:$AC$495&gt;=5))*ROW('CONTROL MASTER'!$S$2:$S$495))-(ROW('CONTROL MASTER'!#REF!)-1))))*(INDEX('CONTROL MASTER'!$AC$2:$AC$495,(SUMPRODUCT((('CONTROL MASTER'!$S$2:$S$495=7)*('CONTROL MASTER'!$Z$2:$Z$495&lt;=7)*('CONTROL MASTER'!$AB$2:$AB$495&gt;=7)*('CONTROL MASTER'!$AA$2:$AA$495&lt;=5)*('CONTROL MASTER'!$AC$2:$AC$495&gt;=5))*ROW('CONTROL MASTER'!$S$2:$S$495))-(ROW('CONTROL MASTER'!#REF!)-1)))-INDEX('CONTROL MASTER'!$AA$2:$AA$495,(SUMPRODUCT((('CONTROL MASTER'!$S$2:$S$495=7)*('CONTROL MASTER'!$Z$2:$Z$495&lt;=7)*('CONTROL MASTER'!$AB$2:$AB$495&gt;=7)*('CONTROL MASTER'!$AA$2:$AA$495&lt;=5)*('CONTROL MASTER'!$AC$2:$AC$495&gt;=5))*ROW('CONTROL MASTER'!$S$2:$S$495))-(ROW('CONTROL MASTER'!#REF!)-1)))+1)+(5-INDEX('CONTROL MASTER'!$AA$2:$AA$495,(SUMPRODUCT((('CONTROL MASTER'!$S$2:$S$495=7)*('CONTROL MASTER'!$Z$2:$Z$495&lt;=7)*('CONTROL MASTER'!$AB$2:$AB$495&gt;=7)*('CONTROL MASTER'!$AA$2:$AA$495&lt;=5)*('CONTROL MASTER'!$AC$2:$AC$495&gt;=5))*ROW('CONTROL MASTER'!$S$2:$S$495))-(ROW('CONTROL MASTER'!#REF!)-1))))+1)))-1)*50+1,50))&amp;"_"&amp;INDEX('CONTROL MASTER'!$P$2:$P$495,(SUMPRODUCT((('CONTROL MASTER'!$S$2:$S$495=7)*('CONTROL MASTER'!$Z$2:$Z$495&lt;=7)*('CONTROL MASTER'!$AB$2:$AB$495&gt;=7)*('CONTROL MASTER'!$AA$2:$AA$495&lt;=5)*('CONTROL MASTER'!$AC$2:$AC$495&gt;=5))*ROW('CONTROL MASTER'!$S$2:$S$495))-(ROW('CONTROL MASTER'!#REF!)-1))),"")),"")</f>
        <v/>
      </c>
      <c r="G93" s="10" t="str">
        <f>IFERROR(IF(SUMPRODUCT((('CONTROL MASTER'!$S$2:$S$495=7)*('CONTROL MASTER'!$T$2:$T$495&lt;=7)*('CONTROL MASTER'!$V$2:$V$495&gt;=7)*('CONTROL MASTER'!$U$2:$U$495&lt;=6)*('CONTROL MASTER'!$W$2:$W$495&gt;=6))*ROW('CONTROL MASTER'!$S$2:$S$495))&gt;0,INDEX('CONTROL MASTER'!$X$2:$X$495,(SUMPRODUCT((('CONTROL MASTER'!$S$2:$S$495=7)*('CONTROL MASTER'!$T$2:$T$495&lt;=7)*('CONTROL MASTER'!$V$2:$V$495&gt;=7)*('CONTROL MASTER'!$U$2:$U$495&lt;=6)*('CONTROL MASTER'!$W$2:$W$495&gt;=6))*ROW('CONTROL MASTER'!$S$2:$S$495))-(ROW('CONTROL MASTER'!#REF!)-1)))&amp;TRIM(MID(SUBSTITUTE(SUBSTITUTE(INDEX('CONTROL MASTER'!$N$2:$N$495,(SUMPRODUCT((('CONTROL MASTER'!$S$2:$S$495=7)*('CONTROL MASTER'!$T$2:$T$495&lt;=7)*('CONTROL MASTER'!$V$2:$V$495&gt;=7)*('CONTROL MASTER'!$U$2:$U$495&lt;=6)*('CONTROL MASTER'!$W$2:$W$495&gt;=6))*ROW('CONTROL MASTER'!$S$2:$S$495))-(ROW('CONTROL MASTER'!#REF!)-1))),":",","),",",REPT(" ",50)),((((7-INDEX('CONTROL MASTER'!$T$2:$T$495,(SUMPRODUCT((('CONTROL MASTER'!$S$2:$S$495=7)*('CONTROL MASTER'!$T$2:$T$495&lt;=7)*('CONTROL MASTER'!$V$2:$V$495&gt;=7)*('CONTROL MASTER'!$U$2:$U$495&lt;=6)*('CONTROL MASTER'!$W$2:$W$495&gt;=6))*ROW('CONTROL MASTER'!$S$2:$S$495))-(ROW('CONTROL MASTER'!#REF!)-1))))*(INDEX('CONTROL MASTER'!$W$2:$W$495,(SUMPRODUCT((('CONTROL MASTER'!$S$2:$S$495=7)*('CONTROL MASTER'!$T$2:$T$495&lt;=7)*('CONTROL MASTER'!$V$2:$V$495&gt;=7)*('CONTROL MASTER'!$U$2:$U$495&lt;=6)*('CONTROL MASTER'!$W$2:$W$495&gt;=6))*ROW('CONTROL MASTER'!$S$2:$S$495))-(ROW('CONTROL MASTER'!#REF!)-1)))-INDEX('CONTROL MASTER'!$U$2:$U$495,(SUMPRODUCT((('CONTROL MASTER'!$S$2:$S$495=7)*('CONTROL MASTER'!$T$2:$T$495&lt;=7)*('CONTROL MASTER'!$V$2:$V$495&gt;=7)*('CONTROL MASTER'!$U$2:$U$495&lt;=6)*('CONTROL MASTER'!$W$2:$W$495&gt;=6))*ROW('CONTROL MASTER'!$S$2:$S$495))-(ROW('CONTROL MASTER'!#REF!)-1)))+1)+(6-INDEX('CONTROL MASTER'!$U$2:$U$495,(SUMPRODUCT((('CONTROL MASTER'!$S$2:$S$495=7)*('CONTROL MASTER'!$T$2:$T$495&lt;=7)*('CONTROL MASTER'!$V$2:$V$495&gt;=7)*('CONTROL MASTER'!$U$2:$U$495&lt;=6)*('CONTROL MASTER'!$W$2:$W$495&gt;=6))*ROW('CONTROL MASTER'!$S$2:$S$495))-(ROW('CONTROL MASTER'!#REF!)-1))))+1))-1)*50+1,50))&amp;"_"&amp;INDEX('CONTROL MASTER'!$P$2:$P$495,(SUMPRODUCT((('CONTROL MASTER'!$S$2:$S$495=7)*('CONTROL MASTER'!$T$2:$T$495&lt;=7)*('CONTROL MASTER'!$V$2:$V$495&gt;=7)*('CONTROL MASTER'!$U$2:$U$495&lt;=6)*('CONTROL MASTER'!$W$2:$W$495&gt;=6))*ROW('CONTROL MASTER'!$S$2:$S$495))-(ROW('CONTROL MASTER'!#REF!)-1))),IF(SUMPRODUCT((('CONTROL MASTER'!$S$2:$S$495=7)*('CONTROL MASTER'!$Z$2:$Z$495&lt;=7)*('CONTROL MASTER'!$AB$2:$AB$495&gt;=7)*('CONTROL MASTER'!$AA$2:$AA$495&lt;=6)*('CONTROL MASTER'!$AC$2:$AC$495&gt;=6))*ROW('CONTROL MASTER'!$S$2:$S$495))&gt;0,INDEX('CONTROL MASTER'!$X$2:$X$495,(SUMPRODUCT((('CONTROL MASTER'!$S$2:$S$495=7)*('CONTROL MASTER'!$Z$2:$Z$495&lt;=7)*('CONTROL MASTER'!$AB$2:$AB$495&gt;=7)*('CONTROL MASTER'!$AA$2:$AA$495&lt;=6)*('CONTROL MASTER'!$AC$2:$AC$495&gt;=6))*ROW('CONTROL MASTER'!$S$2:$S$495))-(ROW('CONTROL MASTER'!#REF!)-1)))&amp;TRIM(MID(SUBSTITUTE(SUBSTITUTE(INDEX('CONTROL MASTER'!$N$2:$N$495,(SUMPRODUCT((('CONTROL MASTER'!$S$2:$S$495=7)*('CONTROL MASTER'!$Z$2:$Z$495&lt;=7)*('CONTROL MASTER'!$AB$2:$AB$495&gt;=7)*('CONTROL MASTER'!$AA$2:$AA$495&lt;=6)*('CONTROL MASTER'!$AC$2:$AC$495&gt;=6))*ROW('CONTROL MASTER'!$S$2:$S$495))-(ROW('CONTROL MASTER'!#REF!)-1))),":",","),",",REPT(" ",50)),(((INDEX('CONTROL MASTER'!$Y$2:$Y$495,(SUMPRODUCT((('CONTROL MASTER'!$S$2:$S$495=7)*('CONTROL MASTER'!$Z$2:$Z$495&lt;=7)*('CONTROL MASTER'!$AB$2:$AB$495&gt;=7)*('CONTROL MASTER'!$AA$2:$AA$495&lt;=6)*('CONTROL MASTER'!$AC$2:$AC$495&gt;=6))*ROW('CONTROL MASTER'!$S$2:$S$495))-(ROW('CONTROL MASTER'!#REF!)-1)))+((7-INDEX('CONTROL MASTER'!$Z$2:$Z$495,(SUMPRODUCT((('CONTROL MASTER'!$S$2:$S$495=7)*('CONTROL MASTER'!$Z$2:$Z$495&lt;=7)*('CONTROL MASTER'!$AB$2:$AB$495&gt;=7)*('CONTROL MASTER'!$AA$2:$AA$495&lt;=6)*('CONTROL MASTER'!$AC$2:$AC$495&gt;=6))*ROW('CONTROL MASTER'!$S$2:$S$495))-(ROW('CONTROL MASTER'!#REF!)-1))))*(INDEX('CONTROL MASTER'!$AC$2:$AC$495,(SUMPRODUCT((('CONTROL MASTER'!$S$2:$S$495=7)*('CONTROL MASTER'!$Z$2:$Z$495&lt;=7)*('CONTROL MASTER'!$AB$2:$AB$495&gt;=7)*('CONTROL MASTER'!$AA$2:$AA$495&lt;=6)*('CONTROL MASTER'!$AC$2:$AC$495&gt;=6))*ROW('CONTROL MASTER'!$S$2:$S$495))-(ROW('CONTROL MASTER'!#REF!)-1)))-INDEX('CONTROL MASTER'!$AA$2:$AA$495,(SUMPRODUCT((('CONTROL MASTER'!$S$2:$S$495=7)*('CONTROL MASTER'!$Z$2:$Z$495&lt;=7)*('CONTROL MASTER'!$AB$2:$AB$495&gt;=7)*('CONTROL MASTER'!$AA$2:$AA$495&lt;=6)*('CONTROL MASTER'!$AC$2:$AC$495&gt;=6))*ROW('CONTROL MASTER'!$S$2:$S$495))-(ROW('CONTROL MASTER'!#REF!)-1)))+1)+(6-INDEX('CONTROL MASTER'!$AA$2:$AA$495,(SUMPRODUCT((('CONTROL MASTER'!$S$2:$S$495=7)*('CONTROL MASTER'!$Z$2:$Z$495&lt;=7)*('CONTROL MASTER'!$AB$2:$AB$495&gt;=7)*('CONTROL MASTER'!$AA$2:$AA$495&lt;=6)*('CONTROL MASTER'!$AC$2:$AC$495&gt;=6))*ROW('CONTROL MASTER'!$S$2:$S$495))-(ROW('CONTROL MASTER'!#REF!)-1))))+1)))-1)*50+1,50))&amp;"_"&amp;INDEX('CONTROL MASTER'!$P$2:$P$495,(SUMPRODUCT((('CONTROL MASTER'!$S$2:$S$495=7)*('CONTROL MASTER'!$Z$2:$Z$495&lt;=7)*('CONTROL MASTER'!$AB$2:$AB$495&gt;=7)*('CONTROL MASTER'!$AA$2:$AA$495&lt;=6)*('CONTROL MASTER'!$AC$2:$AC$495&gt;=6))*ROW('CONTROL MASTER'!$S$2:$S$495))-(ROW('CONTROL MASTER'!#REF!)-1))),"")),"")</f>
        <v/>
      </c>
      <c r="H93" s="10" t="str">
        <f>IFERROR(IF(SUMPRODUCT((('CONTROL MASTER'!$S$2:$S$495=7)*('CONTROL MASTER'!$T$2:$T$495&lt;=7)*('CONTROL MASTER'!$V$2:$V$495&gt;=7)*('CONTROL MASTER'!$U$2:$U$495&lt;=7)*('CONTROL MASTER'!$W$2:$W$495&gt;=7))*ROW('CONTROL MASTER'!$S$2:$S$495))&gt;0,INDEX('CONTROL MASTER'!$X$2:$X$495,(SUMPRODUCT((('CONTROL MASTER'!$S$2:$S$495=7)*('CONTROL MASTER'!$T$2:$T$495&lt;=7)*('CONTROL MASTER'!$V$2:$V$495&gt;=7)*('CONTROL MASTER'!$U$2:$U$495&lt;=7)*('CONTROL MASTER'!$W$2:$W$495&gt;=7))*ROW('CONTROL MASTER'!$S$2:$S$495))-(ROW('CONTROL MASTER'!#REF!)-1)))&amp;TRIM(MID(SUBSTITUTE(SUBSTITUTE(INDEX('CONTROL MASTER'!$N$2:$N$495,(SUMPRODUCT((('CONTROL MASTER'!$S$2:$S$495=7)*('CONTROL MASTER'!$T$2:$T$495&lt;=7)*('CONTROL MASTER'!$V$2:$V$495&gt;=7)*('CONTROL MASTER'!$U$2:$U$495&lt;=7)*('CONTROL MASTER'!$W$2:$W$495&gt;=7))*ROW('CONTROL MASTER'!$S$2:$S$495))-(ROW('CONTROL MASTER'!#REF!)-1))),":",","),",",REPT(" ",50)),((((7-INDEX('CONTROL MASTER'!$T$2:$T$495,(SUMPRODUCT((('CONTROL MASTER'!$S$2:$S$495=7)*('CONTROL MASTER'!$T$2:$T$495&lt;=7)*('CONTROL MASTER'!$V$2:$V$495&gt;=7)*('CONTROL MASTER'!$U$2:$U$495&lt;=7)*('CONTROL MASTER'!$W$2:$W$495&gt;=7))*ROW('CONTROL MASTER'!$S$2:$S$495))-(ROW('CONTROL MASTER'!#REF!)-1))))*(INDEX('CONTROL MASTER'!$W$2:$W$495,(SUMPRODUCT((('CONTROL MASTER'!$S$2:$S$495=7)*('CONTROL MASTER'!$T$2:$T$495&lt;=7)*('CONTROL MASTER'!$V$2:$V$495&gt;=7)*('CONTROL MASTER'!$U$2:$U$495&lt;=7)*('CONTROL MASTER'!$W$2:$W$495&gt;=7))*ROW('CONTROL MASTER'!$S$2:$S$495))-(ROW('CONTROL MASTER'!#REF!)-1)))-INDEX('CONTROL MASTER'!$U$2:$U$495,(SUMPRODUCT((('CONTROL MASTER'!$S$2:$S$495=7)*('CONTROL MASTER'!$T$2:$T$495&lt;=7)*('CONTROL MASTER'!$V$2:$V$495&gt;=7)*('CONTROL MASTER'!$U$2:$U$495&lt;=7)*('CONTROL MASTER'!$W$2:$W$495&gt;=7))*ROW('CONTROL MASTER'!$S$2:$S$495))-(ROW('CONTROL MASTER'!#REF!)-1)))+1)+(7-INDEX('CONTROL MASTER'!$U$2:$U$495,(SUMPRODUCT((('CONTROL MASTER'!$S$2:$S$495=7)*('CONTROL MASTER'!$T$2:$T$495&lt;=7)*('CONTROL MASTER'!$V$2:$V$495&gt;=7)*('CONTROL MASTER'!$U$2:$U$495&lt;=7)*('CONTROL MASTER'!$W$2:$W$495&gt;=7))*ROW('CONTROL MASTER'!$S$2:$S$495))-(ROW('CONTROL MASTER'!#REF!)-1))))+1))-1)*50+1,50))&amp;"_"&amp;INDEX('CONTROL MASTER'!$P$2:$P$495,(SUMPRODUCT((('CONTROL MASTER'!$S$2:$S$495=7)*('CONTROL MASTER'!$T$2:$T$495&lt;=7)*('CONTROL MASTER'!$V$2:$V$495&gt;=7)*('CONTROL MASTER'!$U$2:$U$495&lt;=7)*('CONTROL MASTER'!$W$2:$W$495&gt;=7))*ROW('CONTROL MASTER'!$S$2:$S$495))-(ROW('CONTROL MASTER'!#REF!)-1))),IF(SUMPRODUCT((('CONTROL MASTER'!$S$2:$S$495=7)*('CONTROL MASTER'!$Z$2:$Z$495&lt;=7)*('CONTROL MASTER'!$AB$2:$AB$495&gt;=7)*('CONTROL MASTER'!$AA$2:$AA$495&lt;=7)*('CONTROL MASTER'!$AC$2:$AC$495&gt;=7))*ROW('CONTROL MASTER'!$S$2:$S$495))&gt;0,INDEX('CONTROL MASTER'!$X$2:$X$495,(SUMPRODUCT((('CONTROL MASTER'!$S$2:$S$495=7)*('CONTROL MASTER'!$Z$2:$Z$495&lt;=7)*('CONTROL MASTER'!$AB$2:$AB$495&gt;=7)*('CONTROL MASTER'!$AA$2:$AA$495&lt;=7)*('CONTROL MASTER'!$AC$2:$AC$495&gt;=7))*ROW('CONTROL MASTER'!$S$2:$S$495))-(ROW('CONTROL MASTER'!#REF!)-1)))&amp;TRIM(MID(SUBSTITUTE(SUBSTITUTE(INDEX('CONTROL MASTER'!$N$2:$N$495,(SUMPRODUCT((('CONTROL MASTER'!$S$2:$S$495=7)*('CONTROL MASTER'!$Z$2:$Z$495&lt;=7)*('CONTROL MASTER'!$AB$2:$AB$495&gt;=7)*('CONTROL MASTER'!$AA$2:$AA$495&lt;=7)*('CONTROL MASTER'!$AC$2:$AC$495&gt;=7))*ROW('CONTROL MASTER'!$S$2:$S$495))-(ROW('CONTROL MASTER'!#REF!)-1))),":",","),",",REPT(" ",50)),(((INDEX('CONTROL MASTER'!$Y$2:$Y$495,(SUMPRODUCT((('CONTROL MASTER'!$S$2:$S$495=7)*('CONTROL MASTER'!$Z$2:$Z$495&lt;=7)*('CONTROL MASTER'!$AB$2:$AB$495&gt;=7)*('CONTROL MASTER'!$AA$2:$AA$495&lt;=7)*('CONTROL MASTER'!$AC$2:$AC$495&gt;=7))*ROW('CONTROL MASTER'!$S$2:$S$495))-(ROW('CONTROL MASTER'!#REF!)-1)))+((7-INDEX('CONTROL MASTER'!$Z$2:$Z$495,(SUMPRODUCT((('CONTROL MASTER'!$S$2:$S$495=7)*('CONTROL MASTER'!$Z$2:$Z$495&lt;=7)*('CONTROL MASTER'!$AB$2:$AB$495&gt;=7)*('CONTROL MASTER'!$AA$2:$AA$495&lt;=7)*('CONTROL MASTER'!$AC$2:$AC$495&gt;=7))*ROW('CONTROL MASTER'!$S$2:$S$495))-(ROW('CONTROL MASTER'!#REF!)-1))))*(INDEX('CONTROL MASTER'!$AC$2:$AC$495,(SUMPRODUCT((('CONTROL MASTER'!$S$2:$S$495=7)*('CONTROL MASTER'!$Z$2:$Z$495&lt;=7)*('CONTROL MASTER'!$AB$2:$AB$495&gt;=7)*('CONTROL MASTER'!$AA$2:$AA$495&lt;=7)*('CONTROL MASTER'!$AC$2:$AC$495&gt;=7))*ROW('CONTROL MASTER'!$S$2:$S$495))-(ROW('CONTROL MASTER'!#REF!)-1)))-INDEX('CONTROL MASTER'!$AA$2:$AA$495,(SUMPRODUCT((('CONTROL MASTER'!$S$2:$S$495=7)*('CONTROL MASTER'!$Z$2:$Z$495&lt;=7)*('CONTROL MASTER'!$AB$2:$AB$495&gt;=7)*('CONTROL MASTER'!$AA$2:$AA$495&lt;=7)*('CONTROL MASTER'!$AC$2:$AC$495&gt;=7))*ROW('CONTROL MASTER'!$S$2:$S$495))-(ROW('CONTROL MASTER'!#REF!)-1)))+1)+(7-INDEX('CONTROL MASTER'!$AA$2:$AA$495,(SUMPRODUCT((('CONTROL MASTER'!$S$2:$S$495=7)*('CONTROL MASTER'!$Z$2:$Z$495&lt;=7)*('CONTROL MASTER'!$AB$2:$AB$495&gt;=7)*('CONTROL MASTER'!$AA$2:$AA$495&lt;=7)*('CONTROL MASTER'!$AC$2:$AC$495&gt;=7))*ROW('CONTROL MASTER'!$S$2:$S$495))-(ROW('CONTROL MASTER'!#REF!)-1))))+1)))-1)*50+1,50))&amp;"_"&amp;INDEX('CONTROL MASTER'!$P$2:$P$495,(SUMPRODUCT((('CONTROL MASTER'!$S$2:$S$495=7)*('CONTROL MASTER'!$Z$2:$Z$495&lt;=7)*('CONTROL MASTER'!$AB$2:$AB$495&gt;=7)*('CONTROL MASTER'!$AA$2:$AA$495&lt;=7)*('CONTROL MASTER'!$AC$2:$AC$495&gt;=7))*ROW('CONTROL MASTER'!$S$2:$S$495))-(ROW('CONTROL MASTER'!#REF!)-1))),"")),"")</f>
        <v/>
      </c>
      <c r="I93" s="10" t="str">
        <f>IFERROR(IF(SUMPRODUCT((('CONTROL MASTER'!$S$2:$S$495=7)*('CONTROL MASTER'!$T$2:$T$495&lt;=7)*('CONTROL MASTER'!$V$2:$V$495&gt;=7)*('CONTROL MASTER'!$U$2:$U$495&lt;=8)*('CONTROL MASTER'!$W$2:$W$495&gt;=8))*ROW('CONTROL MASTER'!$S$2:$S$495))&gt;0,INDEX('CONTROL MASTER'!$X$2:$X$495,(SUMPRODUCT((('CONTROL MASTER'!$S$2:$S$495=7)*('CONTROL MASTER'!$T$2:$T$495&lt;=7)*('CONTROL MASTER'!$V$2:$V$495&gt;=7)*('CONTROL MASTER'!$U$2:$U$495&lt;=8)*('CONTROL MASTER'!$W$2:$W$495&gt;=8))*ROW('CONTROL MASTER'!$S$2:$S$495))-(ROW('CONTROL MASTER'!#REF!)-1)))&amp;TRIM(MID(SUBSTITUTE(SUBSTITUTE(INDEX('CONTROL MASTER'!$N$2:$N$495,(SUMPRODUCT((('CONTROL MASTER'!$S$2:$S$495=7)*('CONTROL MASTER'!$T$2:$T$495&lt;=7)*('CONTROL MASTER'!$V$2:$V$495&gt;=7)*('CONTROL MASTER'!$U$2:$U$495&lt;=8)*('CONTROL MASTER'!$W$2:$W$495&gt;=8))*ROW('CONTROL MASTER'!$S$2:$S$495))-(ROW('CONTROL MASTER'!#REF!)-1))),":",","),",",REPT(" ",50)),((((7-INDEX('CONTROL MASTER'!$T$2:$T$495,(SUMPRODUCT((('CONTROL MASTER'!$S$2:$S$495=7)*('CONTROL MASTER'!$T$2:$T$495&lt;=7)*('CONTROL MASTER'!$V$2:$V$495&gt;=7)*('CONTROL MASTER'!$U$2:$U$495&lt;=8)*('CONTROL MASTER'!$W$2:$W$495&gt;=8))*ROW('CONTROL MASTER'!$S$2:$S$495))-(ROW('CONTROL MASTER'!#REF!)-1))))*(INDEX('CONTROL MASTER'!$W$2:$W$495,(SUMPRODUCT((('CONTROL MASTER'!$S$2:$S$495=7)*('CONTROL MASTER'!$T$2:$T$495&lt;=7)*('CONTROL MASTER'!$V$2:$V$495&gt;=7)*('CONTROL MASTER'!$U$2:$U$495&lt;=8)*('CONTROL MASTER'!$W$2:$W$495&gt;=8))*ROW('CONTROL MASTER'!$S$2:$S$495))-(ROW('CONTROL MASTER'!#REF!)-1)))-INDEX('CONTROL MASTER'!$U$2:$U$495,(SUMPRODUCT((('CONTROL MASTER'!$S$2:$S$495=7)*('CONTROL MASTER'!$T$2:$T$495&lt;=7)*('CONTROL MASTER'!$V$2:$V$495&gt;=7)*('CONTROL MASTER'!$U$2:$U$495&lt;=8)*('CONTROL MASTER'!$W$2:$W$495&gt;=8))*ROW('CONTROL MASTER'!$S$2:$S$495))-(ROW('CONTROL MASTER'!#REF!)-1)))+1)+(8-INDEX('CONTROL MASTER'!$U$2:$U$495,(SUMPRODUCT((('CONTROL MASTER'!$S$2:$S$495=7)*('CONTROL MASTER'!$T$2:$T$495&lt;=7)*('CONTROL MASTER'!$V$2:$V$495&gt;=7)*('CONTROL MASTER'!$U$2:$U$495&lt;=8)*('CONTROL MASTER'!$W$2:$W$495&gt;=8))*ROW('CONTROL MASTER'!$S$2:$S$495))-(ROW('CONTROL MASTER'!#REF!)-1))))+1))-1)*50+1,50))&amp;"_"&amp;INDEX('CONTROL MASTER'!$P$2:$P$495,(SUMPRODUCT((('CONTROL MASTER'!$S$2:$S$495=7)*('CONTROL MASTER'!$T$2:$T$495&lt;=7)*('CONTROL MASTER'!$V$2:$V$495&gt;=7)*('CONTROL MASTER'!$U$2:$U$495&lt;=8)*('CONTROL MASTER'!$W$2:$W$495&gt;=8))*ROW('CONTROL MASTER'!$S$2:$S$495))-(ROW('CONTROL MASTER'!#REF!)-1))),IF(SUMPRODUCT((('CONTROL MASTER'!$S$2:$S$495=7)*('CONTROL MASTER'!$Z$2:$Z$495&lt;=7)*('CONTROL MASTER'!$AB$2:$AB$495&gt;=7)*('CONTROL MASTER'!$AA$2:$AA$495&lt;=8)*('CONTROL MASTER'!$AC$2:$AC$495&gt;=8))*ROW('CONTROL MASTER'!$S$2:$S$495))&gt;0,INDEX('CONTROL MASTER'!$X$2:$X$495,(SUMPRODUCT((('CONTROL MASTER'!$S$2:$S$495=7)*('CONTROL MASTER'!$Z$2:$Z$495&lt;=7)*('CONTROL MASTER'!$AB$2:$AB$495&gt;=7)*('CONTROL MASTER'!$AA$2:$AA$495&lt;=8)*('CONTROL MASTER'!$AC$2:$AC$495&gt;=8))*ROW('CONTROL MASTER'!$S$2:$S$495))-(ROW('CONTROL MASTER'!#REF!)-1)))&amp;TRIM(MID(SUBSTITUTE(SUBSTITUTE(INDEX('CONTROL MASTER'!$N$2:$N$495,(SUMPRODUCT((('CONTROL MASTER'!$S$2:$S$495=7)*('CONTROL MASTER'!$Z$2:$Z$495&lt;=7)*('CONTROL MASTER'!$AB$2:$AB$495&gt;=7)*('CONTROL MASTER'!$AA$2:$AA$495&lt;=8)*('CONTROL MASTER'!$AC$2:$AC$495&gt;=8))*ROW('CONTROL MASTER'!$S$2:$S$495))-(ROW('CONTROL MASTER'!#REF!)-1))),":",","),",",REPT(" ",50)),(((INDEX('CONTROL MASTER'!$Y$2:$Y$495,(SUMPRODUCT((('CONTROL MASTER'!$S$2:$S$495=7)*('CONTROL MASTER'!$Z$2:$Z$495&lt;=7)*('CONTROL MASTER'!$AB$2:$AB$495&gt;=7)*('CONTROL MASTER'!$AA$2:$AA$495&lt;=8)*('CONTROL MASTER'!$AC$2:$AC$495&gt;=8))*ROW('CONTROL MASTER'!$S$2:$S$495))-(ROW('CONTROL MASTER'!#REF!)-1)))+((7-INDEX('CONTROL MASTER'!$Z$2:$Z$495,(SUMPRODUCT((('CONTROL MASTER'!$S$2:$S$495=7)*('CONTROL MASTER'!$Z$2:$Z$495&lt;=7)*('CONTROL MASTER'!$AB$2:$AB$495&gt;=7)*('CONTROL MASTER'!$AA$2:$AA$495&lt;=8)*('CONTROL MASTER'!$AC$2:$AC$495&gt;=8))*ROW('CONTROL MASTER'!$S$2:$S$495))-(ROW('CONTROL MASTER'!#REF!)-1))))*(INDEX('CONTROL MASTER'!$AC$2:$AC$495,(SUMPRODUCT((('CONTROL MASTER'!$S$2:$S$495=7)*('CONTROL MASTER'!$Z$2:$Z$495&lt;=7)*('CONTROL MASTER'!$AB$2:$AB$495&gt;=7)*('CONTROL MASTER'!$AA$2:$AA$495&lt;=8)*('CONTROL MASTER'!$AC$2:$AC$495&gt;=8))*ROW('CONTROL MASTER'!$S$2:$S$495))-(ROW('CONTROL MASTER'!#REF!)-1)))-INDEX('CONTROL MASTER'!$AA$2:$AA$495,(SUMPRODUCT((('CONTROL MASTER'!$S$2:$S$495=7)*('CONTROL MASTER'!$Z$2:$Z$495&lt;=7)*('CONTROL MASTER'!$AB$2:$AB$495&gt;=7)*('CONTROL MASTER'!$AA$2:$AA$495&lt;=8)*('CONTROL MASTER'!$AC$2:$AC$495&gt;=8))*ROW('CONTROL MASTER'!$S$2:$S$495))-(ROW('CONTROL MASTER'!#REF!)-1)))+1)+(8-INDEX('CONTROL MASTER'!$AA$2:$AA$495,(SUMPRODUCT((('CONTROL MASTER'!$S$2:$S$495=7)*('CONTROL MASTER'!$Z$2:$Z$495&lt;=7)*('CONTROL MASTER'!$AB$2:$AB$495&gt;=7)*('CONTROL MASTER'!$AA$2:$AA$495&lt;=8)*('CONTROL MASTER'!$AC$2:$AC$495&gt;=8))*ROW('CONTROL MASTER'!$S$2:$S$495))-(ROW('CONTROL MASTER'!#REF!)-1))))+1)))-1)*50+1,50))&amp;"_"&amp;INDEX('CONTROL MASTER'!$P$2:$P$495,(SUMPRODUCT((('CONTROL MASTER'!$S$2:$S$495=7)*('CONTROL MASTER'!$Z$2:$Z$495&lt;=7)*('CONTROL MASTER'!$AB$2:$AB$495&gt;=7)*('CONTROL MASTER'!$AA$2:$AA$495&lt;=8)*('CONTROL MASTER'!$AC$2:$AC$495&gt;=8))*ROW('CONTROL MASTER'!$S$2:$S$495))-(ROW('CONTROL MASTER'!#REF!)-1))),"")),"")</f>
        <v/>
      </c>
      <c r="J93" s="10" t="str">
        <f>IFERROR(IF(SUMPRODUCT((('CONTROL MASTER'!$S$2:$S$495=7)*('CONTROL MASTER'!$T$2:$T$495&lt;=7)*('CONTROL MASTER'!$V$2:$V$495&gt;=7)*('CONTROL MASTER'!$U$2:$U$495&lt;=9)*('CONTROL MASTER'!$W$2:$W$495&gt;=9))*ROW('CONTROL MASTER'!$S$2:$S$495))&gt;0,INDEX('CONTROL MASTER'!$X$2:$X$495,(SUMPRODUCT((('CONTROL MASTER'!$S$2:$S$495=7)*('CONTROL MASTER'!$T$2:$T$495&lt;=7)*('CONTROL MASTER'!$V$2:$V$495&gt;=7)*('CONTROL MASTER'!$U$2:$U$495&lt;=9)*('CONTROL MASTER'!$W$2:$W$495&gt;=9))*ROW('CONTROL MASTER'!$S$2:$S$495))-(ROW('CONTROL MASTER'!#REF!)-1)))&amp;TRIM(MID(SUBSTITUTE(SUBSTITUTE(INDEX('CONTROL MASTER'!$N$2:$N$495,(SUMPRODUCT((('CONTROL MASTER'!$S$2:$S$495=7)*('CONTROL MASTER'!$T$2:$T$495&lt;=7)*('CONTROL MASTER'!$V$2:$V$495&gt;=7)*('CONTROL MASTER'!$U$2:$U$495&lt;=9)*('CONTROL MASTER'!$W$2:$W$495&gt;=9))*ROW('CONTROL MASTER'!$S$2:$S$495))-(ROW('CONTROL MASTER'!#REF!)-1))),":",","),",",REPT(" ",50)),((((7-INDEX('CONTROL MASTER'!$T$2:$T$495,(SUMPRODUCT((('CONTROL MASTER'!$S$2:$S$495=7)*('CONTROL MASTER'!$T$2:$T$495&lt;=7)*('CONTROL MASTER'!$V$2:$V$495&gt;=7)*('CONTROL MASTER'!$U$2:$U$495&lt;=9)*('CONTROL MASTER'!$W$2:$W$495&gt;=9))*ROW('CONTROL MASTER'!$S$2:$S$495))-(ROW('CONTROL MASTER'!#REF!)-1))))*(INDEX('CONTROL MASTER'!$W$2:$W$495,(SUMPRODUCT((('CONTROL MASTER'!$S$2:$S$495=7)*('CONTROL MASTER'!$T$2:$T$495&lt;=7)*('CONTROL MASTER'!$V$2:$V$495&gt;=7)*('CONTROL MASTER'!$U$2:$U$495&lt;=9)*('CONTROL MASTER'!$W$2:$W$495&gt;=9))*ROW('CONTROL MASTER'!$S$2:$S$495))-(ROW('CONTROL MASTER'!#REF!)-1)))-INDEX('CONTROL MASTER'!$U$2:$U$495,(SUMPRODUCT((('CONTROL MASTER'!$S$2:$S$495=7)*('CONTROL MASTER'!$T$2:$T$495&lt;=7)*('CONTROL MASTER'!$V$2:$V$495&gt;=7)*('CONTROL MASTER'!$U$2:$U$495&lt;=9)*('CONTROL MASTER'!$W$2:$W$495&gt;=9))*ROW('CONTROL MASTER'!$S$2:$S$495))-(ROW('CONTROL MASTER'!#REF!)-1)))+1)+(9-INDEX('CONTROL MASTER'!$U$2:$U$495,(SUMPRODUCT((('CONTROL MASTER'!$S$2:$S$495=7)*('CONTROL MASTER'!$T$2:$T$495&lt;=7)*('CONTROL MASTER'!$V$2:$V$495&gt;=7)*('CONTROL MASTER'!$U$2:$U$495&lt;=9)*('CONTROL MASTER'!$W$2:$W$495&gt;=9))*ROW('CONTROL MASTER'!$S$2:$S$495))-(ROW('CONTROL MASTER'!#REF!)-1))))+1))-1)*50+1,50))&amp;"_"&amp;INDEX('CONTROL MASTER'!$P$2:$P$495,(SUMPRODUCT((('CONTROL MASTER'!$S$2:$S$495=7)*('CONTROL MASTER'!$T$2:$T$495&lt;=7)*('CONTROL MASTER'!$V$2:$V$495&gt;=7)*('CONTROL MASTER'!$U$2:$U$495&lt;=9)*('CONTROL MASTER'!$W$2:$W$495&gt;=9))*ROW('CONTROL MASTER'!$S$2:$S$495))-(ROW('CONTROL MASTER'!#REF!)-1))),IF(SUMPRODUCT((('CONTROL MASTER'!$S$2:$S$495=7)*('CONTROL MASTER'!$Z$2:$Z$495&lt;=7)*('CONTROL MASTER'!$AB$2:$AB$495&gt;=7)*('CONTROL MASTER'!$AA$2:$AA$495&lt;=9)*('CONTROL MASTER'!$AC$2:$AC$495&gt;=9))*ROW('CONTROL MASTER'!$S$2:$S$495))&gt;0,INDEX('CONTROL MASTER'!$X$2:$X$495,(SUMPRODUCT((('CONTROL MASTER'!$S$2:$S$495=7)*('CONTROL MASTER'!$Z$2:$Z$495&lt;=7)*('CONTROL MASTER'!$AB$2:$AB$495&gt;=7)*('CONTROL MASTER'!$AA$2:$AA$495&lt;=9)*('CONTROL MASTER'!$AC$2:$AC$495&gt;=9))*ROW('CONTROL MASTER'!$S$2:$S$495))-(ROW('CONTROL MASTER'!#REF!)-1)))&amp;TRIM(MID(SUBSTITUTE(SUBSTITUTE(INDEX('CONTROL MASTER'!$N$2:$N$495,(SUMPRODUCT((('CONTROL MASTER'!$S$2:$S$495=7)*('CONTROL MASTER'!$Z$2:$Z$495&lt;=7)*('CONTROL MASTER'!$AB$2:$AB$495&gt;=7)*('CONTROL MASTER'!$AA$2:$AA$495&lt;=9)*('CONTROL MASTER'!$AC$2:$AC$495&gt;=9))*ROW('CONTROL MASTER'!$S$2:$S$495))-(ROW('CONTROL MASTER'!#REF!)-1))),":",","),",",REPT(" ",50)),(((INDEX('CONTROL MASTER'!$Y$2:$Y$495,(SUMPRODUCT((('CONTROL MASTER'!$S$2:$S$495=7)*('CONTROL MASTER'!$Z$2:$Z$495&lt;=7)*('CONTROL MASTER'!$AB$2:$AB$495&gt;=7)*('CONTROL MASTER'!$AA$2:$AA$495&lt;=9)*('CONTROL MASTER'!$AC$2:$AC$495&gt;=9))*ROW('CONTROL MASTER'!$S$2:$S$495))-(ROW('CONTROL MASTER'!#REF!)-1)))+((7-INDEX('CONTROL MASTER'!$Z$2:$Z$495,(SUMPRODUCT((('CONTROL MASTER'!$S$2:$S$495=7)*('CONTROL MASTER'!$Z$2:$Z$495&lt;=7)*('CONTROL MASTER'!$AB$2:$AB$495&gt;=7)*('CONTROL MASTER'!$AA$2:$AA$495&lt;=9)*('CONTROL MASTER'!$AC$2:$AC$495&gt;=9))*ROW('CONTROL MASTER'!$S$2:$S$495))-(ROW('CONTROL MASTER'!#REF!)-1))))*(INDEX('CONTROL MASTER'!$AC$2:$AC$495,(SUMPRODUCT((('CONTROL MASTER'!$S$2:$S$495=7)*('CONTROL MASTER'!$Z$2:$Z$495&lt;=7)*('CONTROL MASTER'!$AB$2:$AB$495&gt;=7)*('CONTROL MASTER'!$AA$2:$AA$495&lt;=9)*('CONTROL MASTER'!$AC$2:$AC$495&gt;=9))*ROW('CONTROL MASTER'!$S$2:$S$495))-(ROW('CONTROL MASTER'!#REF!)-1)))-INDEX('CONTROL MASTER'!$AA$2:$AA$495,(SUMPRODUCT((('CONTROL MASTER'!$S$2:$S$495=7)*('CONTROL MASTER'!$Z$2:$Z$495&lt;=7)*('CONTROL MASTER'!$AB$2:$AB$495&gt;=7)*('CONTROL MASTER'!$AA$2:$AA$495&lt;=9)*('CONTROL MASTER'!$AC$2:$AC$495&gt;=9))*ROW('CONTROL MASTER'!$S$2:$S$495))-(ROW('CONTROL MASTER'!#REF!)-1)))+1)+(9-INDEX('CONTROL MASTER'!$AA$2:$AA$495,(SUMPRODUCT((('CONTROL MASTER'!$S$2:$S$495=7)*('CONTROL MASTER'!$Z$2:$Z$495&lt;=7)*('CONTROL MASTER'!$AB$2:$AB$495&gt;=7)*('CONTROL MASTER'!$AA$2:$AA$495&lt;=9)*('CONTROL MASTER'!$AC$2:$AC$495&gt;=9))*ROW('CONTROL MASTER'!$S$2:$S$495))-(ROW('CONTROL MASTER'!#REF!)-1))))+1)))-1)*50+1,50))&amp;"_"&amp;INDEX('CONTROL MASTER'!$P$2:$P$495,(SUMPRODUCT((('CONTROL MASTER'!$S$2:$S$495=7)*('CONTROL MASTER'!$Z$2:$Z$495&lt;=7)*('CONTROL MASTER'!$AB$2:$AB$495&gt;=7)*('CONTROL MASTER'!$AA$2:$AA$495&lt;=9)*('CONTROL MASTER'!$AC$2:$AC$495&gt;=9))*ROW('CONTROL MASTER'!$S$2:$S$495))-(ROW('CONTROL MASTER'!#REF!)-1))),"")),"")</f>
        <v/>
      </c>
      <c r="K93" s="10" t="str">
        <f>IFERROR(IF(SUMPRODUCT((('CONTROL MASTER'!$S$2:$S$495=7)*('CONTROL MASTER'!$T$2:$T$495&lt;=7)*('CONTROL MASTER'!$V$2:$V$495&gt;=7)*('CONTROL MASTER'!$U$2:$U$495&lt;=10)*('CONTROL MASTER'!$W$2:$W$495&gt;=10))*ROW('CONTROL MASTER'!$S$2:$S$495))&gt;0,INDEX('CONTROL MASTER'!$X$2:$X$495,(SUMPRODUCT((('CONTROL MASTER'!$S$2:$S$495=7)*('CONTROL MASTER'!$T$2:$T$495&lt;=7)*('CONTROL MASTER'!$V$2:$V$495&gt;=7)*('CONTROL MASTER'!$U$2:$U$495&lt;=10)*('CONTROL MASTER'!$W$2:$W$495&gt;=10))*ROW('CONTROL MASTER'!$S$2:$S$495))-(ROW('CONTROL MASTER'!#REF!)-1)))&amp;TRIM(MID(SUBSTITUTE(SUBSTITUTE(INDEX('CONTROL MASTER'!$N$2:$N$495,(SUMPRODUCT((('CONTROL MASTER'!$S$2:$S$495=7)*('CONTROL MASTER'!$T$2:$T$495&lt;=7)*('CONTROL MASTER'!$V$2:$V$495&gt;=7)*('CONTROL MASTER'!$U$2:$U$495&lt;=10)*('CONTROL MASTER'!$W$2:$W$495&gt;=10))*ROW('CONTROL MASTER'!$S$2:$S$495))-(ROW('CONTROL MASTER'!#REF!)-1))),":",","),",",REPT(" ",50)),((((7-INDEX('CONTROL MASTER'!$T$2:$T$495,(SUMPRODUCT((('CONTROL MASTER'!$S$2:$S$495=7)*('CONTROL MASTER'!$T$2:$T$495&lt;=7)*('CONTROL MASTER'!$V$2:$V$495&gt;=7)*('CONTROL MASTER'!$U$2:$U$495&lt;=10)*('CONTROL MASTER'!$W$2:$W$495&gt;=10))*ROW('CONTROL MASTER'!$S$2:$S$495))-(ROW('CONTROL MASTER'!#REF!)-1))))*(INDEX('CONTROL MASTER'!$W$2:$W$495,(SUMPRODUCT((('CONTROL MASTER'!$S$2:$S$495=7)*('CONTROL MASTER'!$T$2:$T$495&lt;=7)*('CONTROL MASTER'!$V$2:$V$495&gt;=7)*('CONTROL MASTER'!$U$2:$U$495&lt;=10)*('CONTROL MASTER'!$W$2:$W$495&gt;=10))*ROW('CONTROL MASTER'!$S$2:$S$495))-(ROW('CONTROL MASTER'!#REF!)-1)))-INDEX('CONTROL MASTER'!$U$2:$U$495,(SUMPRODUCT((('CONTROL MASTER'!$S$2:$S$495=7)*('CONTROL MASTER'!$T$2:$T$495&lt;=7)*('CONTROL MASTER'!$V$2:$V$495&gt;=7)*('CONTROL MASTER'!$U$2:$U$495&lt;=10)*('CONTROL MASTER'!$W$2:$W$495&gt;=10))*ROW('CONTROL MASTER'!$S$2:$S$495))-(ROW('CONTROL MASTER'!#REF!)-1)))+1)+(10-INDEX('CONTROL MASTER'!$U$2:$U$495,(SUMPRODUCT((('CONTROL MASTER'!$S$2:$S$495=7)*('CONTROL MASTER'!$T$2:$T$495&lt;=7)*('CONTROL MASTER'!$V$2:$V$495&gt;=7)*('CONTROL MASTER'!$U$2:$U$495&lt;=10)*('CONTROL MASTER'!$W$2:$W$495&gt;=10))*ROW('CONTROL MASTER'!$S$2:$S$495))-(ROW('CONTROL MASTER'!#REF!)-1))))+1))-1)*50+1,50))&amp;"_"&amp;INDEX('CONTROL MASTER'!$P$2:$P$495,(SUMPRODUCT((('CONTROL MASTER'!$S$2:$S$495=7)*('CONTROL MASTER'!$T$2:$T$495&lt;=7)*('CONTROL MASTER'!$V$2:$V$495&gt;=7)*('CONTROL MASTER'!$U$2:$U$495&lt;=10)*('CONTROL MASTER'!$W$2:$W$495&gt;=10))*ROW('CONTROL MASTER'!$S$2:$S$495))-(ROW('CONTROL MASTER'!#REF!)-1))),IF(SUMPRODUCT((('CONTROL MASTER'!$S$2:$S$495=7)*('CONTROL MASTER'!$Z$2:$Z$495&lt;=7)*('CONTROL MASTER'!$AB$2:$AB$495&gt;=7)*('CONTROL MASTER'!$AA$2:$AA$495&lt;=10)*('CONTROL MASTER'!$AC$2:$AC$495&gt;=10))*ROW('CONTROL MASTER'!$S$2:$S$495))&gt;0,INDEX('CONTROL MASTER'!$X$2:$X$495,(SUMPRODUCT((('CONTROL MASTER'!$S$2:$S$495=7)*('CONTROL MASTER'!$Z$2:$Z$495&lt;=7)*('CONTROL MASTER'!$AB$2:$AB$495&gt;=7)*('CONTROL MASTER'!$AA$2:$AA$495&lt;=10)*('CONTROL MASTER'!$AC$2:$AC$495&gt;=10))*ROW('CONTROL MASTER'!$S$2:$S$495))-(ROW('CONTROL MASTER'!#REF!)-1)))&amp;TRIM(MID(SUBSTITUTE(SUBSTITUTE(INDEX('CONTROL MASTER'!$N$2:$N$495,(SUMPRODUCT((('CONTROL MASTER'!$S$2:$S$495=7)*('CONTROL MASTER'!$Z$2:$Z$495&lt;=7)*('CONTROL MASTER'!$AB$2:$AB$495&gt;=7)*('CONTROL MASTER'!$AA$2:$AA$495&lt;=10)*('CONTROL MASTER'!$AC$2:$AC$495&gt;=10))*ROW('CONTROL MASTER'!$S$2:$S$495))-(ROW('CONTROL MASTER'!#REF!)-1))),":",","),",",REPT(" ",50)),(((INDEX('CONTROL MASTER'!$Y$2:$Y$495,(SUMPRODUCT((('CONTROL MASTER'!$S$2:$S$495=7)*('CONTROL MASTER'!$Z$2:$Z$495&lt;=7)*('CONTROL MASTER'!$AB$2:$AB$495&gt;=7)*('CONTROL MASTER'!$AA$2:$AA$495&lt;=10)*('CONTROL MASTER'!$AC$2:$AC$495&gt;=10))*ROW('CONTROL MASTER'!$S$2:$S$495))-(ROW('CONTROL MASTER'!#REF!)-1)))+((7-INDEX('CONTROL MASTER'!$Z$2:$Z$495,(SUMPRODUCT((('CONTROL MASTER'!$S$2:$S$495=7)*('CONTROL MASTER'!$Z$2:$Z$495&lt;=7)*('CONTROL MASTER'!$AB$2:$AB$495&gt;=7)*('CONTROL MASTER'!$AA$2:$AA$495&lt;=10)*('CONTROL MASTER'!$AC$2:$AC$495&gt;=10))*ROW('CONTROL MASTER'!$S$2:$S$495))-(ROW('CONTROL MASTER'!#REF!)-1))))*(INDEX('CONTROL MASTER'!$AC$2:$AC$495,(SUMPRODUCT((('CONTROL MASTER'!$S$2:$S$495=7)*('CONTROL MASTER'!$Z$2:$Z$495&lt;=7)*('CONTROL MASTER'!$AB$2:$AB$495&gt;=7)*('CONTROL MASTER'!$AA$2:$AA$495&lt;=10)*('CONTROL MASTER'!$AC$2:$AC$495&gt;=10))*ROW('CONTROL MASTER'!$S$2:$S$495))-(ROW('CONTROL MASTER'!#REF!)-1)))-INDEX('CONTROL MASTER'!$AA$2:$AA$495,(SUMPRODUCT((('CONTROL MASTER'!$S$2:$S$495=7)*('CONTROL MASTER'!$Z$2:$Z$495&lt;=7)*('CONTROL MASTER'!$AB$2:$AB$495&gt;=7)*('CONTROL MASTER'!$AA$2:$AA$495&lt;=10)*('CONTROL MASTER'!$AC$2:$AC$495&gt;=10))*ROW('CONTROL MASTER'!$S$2:$S$495))-(ROW('CONTROL MASTER'!#REF!)-1)))+1)+(10-INDEX('CONTROL MASTER'!$AA$2:$AA$495,(SUMPRODUCT((('CONTROL MASTER'!$S$2:$S$495=7)*('CONTROL MASTER'!$Z$2:$Z$495&lt;=7)*('CONTROL MASTER'!$AB$2:$AB$495&gt;=7)*('CONTROL MASTER'!$AA$2:$AA$495&lt;=10)*('CONTROL MASTER'!$AC$2:$AC$495&gt;=10))*ROW('CONTROL MASTER'!$S$2:$S$495))-(ROW('CONTROL MASTER'!#REF!)-1))))+1)))-1)*50+1,50))&amp;"_"&amp;INDEX('CONTROL MASTER'!$P$2:$P$495,(SUMPRODUCT((('CONTROL MASTER'!$S$2:$S$495=7)*('CONTROL MASTER'!$Z$2:$Z$495&lt;=7)*('CONTROL MASTER'!$AB$2:$AB$495&gt;=7)*('CONTROL MASTER'!$AA$2:$AA$495&lt;=10)*('CONTROL MASTER'!$AC$2:$AC$495&gt;=10))*ROW('CONTROL MASTER'!$S$2:$S$495))-(ROW('CONTROL MASTER'!#REF!)-1))),"")),"")</f>
        <v/>
      </c>
    </row>
    <row r="94" spans="1:11" ht="15" customHeight="1" x14ac:dyDescent="0.35">
      <c r="A94" s="8" t="s">
        <v>35</v>
      </c>
      <c r="B94" s="10" t="str">
        <f>IFERROR(IF(SUMPRODUCT((('CONTROL MASTER'!$S$2:$S$495=7)*('CONTROL MASTER'!$T$2:$T$495&lt;=8)*('CONTROL MASTER'!$V$2:$V$495&gt;=8)*('CONTROL MASTER'!$U$2:$U$495&lt;=1)*('CONTROL MASTER'!$W$2:$W$495&gt;=1))*ROW('CONTROL MASTER'!$S$2:$S$495))&gt;0,INDEX('CONTROL MASTER'!$X$2:$X$495,(SUMPRODUCT((('CONTROL MASTER'!$S$2:$S$495=7)*('CONTROL MASTER'!$T$2:$T$495&lt;=8)*('CONTROL MASTER'!$V$2:$V$495&gt;=8)*('CONTROL MASTER'!$U$2:$U$495&lt;=1)*('CONTROL MASTER'!$W$2:$W$495&gt;=1))*ROW('CONTROL MASTER'!$S$2:$S$495))-(ROW('CONTROL MASTER'!#REF!)-1)))&amp;TRIM(MID(SUBSTITUTE(SUBSTITUTE(INDEX('CONTROL MASTER'!$N$2:$N$495,(SUMPRODUCT((('CONTROL MASTER'!$S$2:$S$495=7)*('CONTROL MASTER'!$T$2:$T$495&lt;=8)*('CONTROL MASTER'!$V$2:$V$495&gt;=8)*('CONTROL MASTER'!$U$2:$U$495&lt;=1)*('CONTROL MASTER'!$W$2:$W$495&gt;=1))*ROW('CONTROL MASTER'!$S$2:$S$495))-(ROW('CONTROL MASTER'!#REF!)-1))),":",","),",",REPT(" ",50)),((((8-INDEX('CONTROL MASTER'!$T$2:$T$495,(SUMPRODUCT((('CONTROL MASTER'!$S$2:$S$495=7)*('CONTROL MASTER'!$T$2:$T$495&lt;=8)*('CONTROL MASTER'!$V$2:$V$495&gt;=8)*('CONTROL MASTER'!$U$2:$U$495&lt;=1)*('CONTROL MASTER'!$W$2:$W$495&gt;=1))*ROW('CONTROL MASTER'!$S$2:$S$495))-(ROW('CONTROL MASTER'!#REF!)-1))))*(INDEX('CONTROL MASTER'!$W$2:$W$495,(SUMPRODUCT((('CONTROL MASTER'!$S$2:$S$495=7)*('CONTROL MASTER'!$T$2:$T$495&lt;=8)*('CONTROL MASTER'!$V$2:$V$495&gt;=8)*('CONTROL MASTER'!$U$2:$U$495&lt;=1)*('CONTROL MASTER'!$W$2:$W$495&gt;=1))*ROW('CONTROL MASTER'!$S$2:$S$495))-(ROW('CONTROL MASTER'!#REF!)-1)))-INDEX('CONTROL MASTER'!$U$2:$U$495,(SUMPRODUCT((('CONTROL MASTER'!$S$2:$S$495=7)*('CONTROL MASTER'!$T$2:$T$495&lt;=8)*('CONTROL MASTER'!$V$2:$V$495&gt;=8)*('CONTROL MASTER'!$U$2:$U$495&lt;=1)*('CONTROL MASTER'!$W$2:$W$495&gt;=1))*ROW('CONTROL MASTER'!$S$2:$S$495))-(ROW('CONTROL MASTER'!#REF!)-1)))+1)+(1-INDEX('CONTROL MASTER'!$U$2:$U$495,(SUMPRODUCT((('CONTROL MASTER'!$S$2:$S$495=7)*('CONTROL MASTER'!$T$2:$T$495&lt;=8)*('CONTROL MASTER'!$V$2:$V$495&gt;=8)*('CONTROL MASTER'!$U$2:$U$495&lt;=1)*('CONTROL MASTER'!$W$2:$W$495&gt;=1))*ROW('CONTROL MASTER'!$S$2:$S$495))-(ROW('CONTROL MASTER'!#REF!)-1))))+1))-1)*50+1,50))&amp;"_"&amp;INDEX('CONTROL MASTER'!$P$2:$P$495,(SUMPRODUCT((('CONTROL MASTER'!$S$2:$S$495=7)*('CONTROL MASTER'!$T$2:$T$495&lt;=8)*('CONTROL MASTER'!$V$2:$V$495&gt;=8)*('CONTROL MASTER'!$U$2:$U$495&lt;=1)*('CONTROL MASTER'!$W$2:$W$495&gt;=1))*ROW('CONTROL MASTER'!$S$2:$S$495))-(ROW('CONTROL MASTER'!#REF!)-1))),IF(SUMPRODUCT((('CONTROL MASTER'!$S$2:$S$495=7)*('CONTROL MASTER'!$Z$2:$Z$495&lt;=8)*('CONTROL MASTER'!$AB$2:$AB$495&gt;=8)*('CONTROL MASTER'!$AA$2:$AA$495&lt;=1)*('CONTROL MASTER'!$AC$2:$AC$495&gt;=1))*ROW('CONTROL MASTER'!$S$2:$S$495))&gt;0,INDEX('CONTROL MASTER'!$X$2:$X$495,(SUMPRODUCT((('CONTROL MASTER'!$S$2:$S$495=7)*('CONTROL MASTER'!$Z$2:$Z$495&lt;=8)*('CONTROL MASTER'!$AB$2:$AB$495&gt;=8)*('CONTROL MASTER'!$AA$2:$AA$495&lt;=1)*('CONTROL MASTER'!$AC$2:$AC$495&gt;=1))*ROW('CONTROL MASTER'!$S$2:$S$495))-(ROW('CONTROL MASTER'!#REF!)-1)))&amp;TRIM(MID(SUBSTITUTE(SUBSTITUTE(INDEX('CONTROL MASTER'!$N$2:$N$495,(SUMPRODUCT((('CONTROL MASTER'!$S$2:$S$495=7)*('CONTROL MASTER'!$Z$2:$Z$495&lt;=8)*('CONTROL MASTER'!$AB$2:$AB$495&gt;=8)*('CONTROL MASTER'!$AA$2:$AA$495&lt;=1)*('CONTROL MASTER'!$AC$2:$AC$495&gt;=1))*ROW('CONTROL MASTER'!$S$2:$S$495))-(ROW('CONTROL MASTER'!#REF!)-1))),":",","),",",REPT(" ",50)),(((INDEX('CONTROL MASTER'!$Y$2:$Y$495,(SUMPRODUCT((('CONTROL MASTER'!$S$2:$S$495=7)*('CONTROL MASTER'!$Z$2:$Z$495&lt;=8)*('CONTROL MASTER'!$AB$2:$AB$495&gt;=8)*('CONTROL MASTER'!$AA$2:$AA$495&lt;=1)*('CONTROL MASTER'!$AC$2:$AC$495&gt;=1))*ROW('CONTROL MASTER'!$S$2:$S$495))-(ROW('CONTROL MASTER'!#REF!)-1)))+((8-INDEX('CONTROL MASTER'!$Z$2:$Z$495,(SUMPRODUCT((('CONTROL MASTER'!$S$2:$S$495=7)*('CONTROL MASTER'!$Z$2:$Z$495&lt;=8)*('CONTROL MASTER'!$AB$2:$AB$495&gt;=8)*('CONTROL MASTER'!$AA$2:$AA$495&lt;=1)*('CONTROL MASTER'!$AC$2:$AC$495&gt;=1))*ROW('CONTROL MASTER'!$S$2:$S$495))-(ROW('CONTROL MASTER'!#REF!)-1))))*(INDEX('CONTROL MASTER'!$AC$2:$AC$495,(SUMPRODUCT((('CONTROL MASTER'!$S$2:$S$495=7)*('CONTROL MASTER'!$Z$2:$Z$495&lt;=8)*('CONTROL MASTER'!$AB$2:$AB$495&gt;=8)*('CONTROL MASTER'!$AA$2:$AA$495&lt;=1)*('CONTROL MASTER'!$AC$2:$AC$495&gt;=1))*ROW('CONTROL MASTER'!$S$2:$S$495))-(ROW('CONTROL MASTER'!#REF!)-1)))-INDEX('CONTROL MASTER'!$AA$2:$AA$495,(SUMPRODUCT((('CONTROL MASTER'!$S$2:$S$495=7)*('CONTROL MASTER'!$Z$2:$Z$495&lt;=8)*('CONTROL MASTER'!$AB$2:$AB$495&gt;=8)*('CONTROL MASTER'!$AA$2:$AA$495&lt;=1)*('CONTROL MASTER'!$AC$2:$AC$495&gt;=1))*ROW('CONTROL MASTER'!$S$2:$S$495))-(ROW('CONTROL MASTER'!#REF!)-1)))+1)+(1-INDEX('CONTROL MASTER'!$AA$2:$AA$495,(SUMPRODUCT((('CONTROL MASTER'!$S$2:$S$495=7)*('CONTROL MASTER'!$Z$2:$Z$495&lt;=8)*('CONTROL MASTER'!$AB$2:$AB$495&gt;=8)*('CONTROL MASTER'!$AA$2:$AA$495&lt;=1)*('CONTROL MASTER'!$AC$2:$AC$495&gt;=1))*ROW('CONTROL MASTER'!$S$2:$S$495))-(ROW('CONTROL MASTER'!#REF!)-1))))+1)))-1)*50+1,50))&amp;"_"&amp;INDEX('CONTROL MASTER'!$P$2:$P$495,(SUMPRODUCT((('CONTROL MASTER'!$S$2:$S$495=7)*('CONTROL MASTER'!$Z$2:$Z$495&lt;=8)*('CONTROL MASTER'!$AB$2:$AB$495&gt;=8)*('CONTROL MASTER'!$AA$2:$AA$495&lt;=1)*('CONTROL MASTER'!$AC$2:$AC$495&gt;=1))*ROW('CONTROL MASTER'!$S$2:$S$495))-(ROW('CONTROL MASTER'!#REF!)-1))),"")),"")</f>
        <v/>
      </c>
      <c r="C94" s="10" t="str">
        <f>IFERROR(IF(SUMPRODUCT((('CONTROL MASTER'!$S$2:$S$495=7)*('CONTROL MASTER'!$T$2:$T$495&lt;=8)*('CONTROL MASTER'!$V$2:$V$495&gt;=8)*('CONTROL MASTER'!$U$2:$U$495&lt;=2)*('CONTROL MASTER'!$W$2:$W$495&gt;=2))*ROW('CONTROL MASTER'!$S$2:$S$495))&gt;0,INDEX('CONTROL MASTER'!$X$2:$X$495,(SUMPRODUCT((('CONTROL MASTER'!$S$2:$S$495=7)*('CONTROL MASTER'!$T$2:$T$495&lt;=8)*('CONTROL MASTER'!$V$2:$V$495&gt;=8)*('CONTROL MASTER'!$U$2:$U$495&lt;=2)*('CONTROL MASTER'!$W$2:$W$495&gt;=2))*ROW('CONTROL MASTER'!$S$2:$S$495))-(ROW('CONTROL MASTER'!#REF!)-1)))&amp;TRIM(MID(SUBSTITUTE(SUBSTITUTE(INDEX('CONTROL MASTER'!$N$2:$N$495,(SUMPRODUCT((('CONTROL MASTER'!$S$2:$S$495=7)*('CONTROL MASTER'!$T$2:$T$495&lt;=8)*('CONTROL MASTER'!$V$2:$V$495&gt;=8)*('CONTROL MASTER'!$U$2:$U$495&lt;=2)*('CONTROL MASTER'!$W$2:$W$495&gt;=2))*ROW('CONTROL MASTER'!$S$2:$S$495))-(ROW('CONTROL MASTER'!#REF!)-1))),":",","),",",REPT(" ",50)),((((8-INDEX('CONTROL MASTER'!$T$2:$T$495,(SUMPRODUCT((('CONTROL MASTER'!$S$2:$S$495=7)*('CONTROL MASTER'!$T$2:$T$495&lt;=8)*('CONTROL MASTER'!$V$2:$V$495&gt;=8)*('CONTROL MASTER'!$U$2:$U$495&lt;=2)*('CONTROL MASTER'!$W$2:$W$495&gt;=2))*ROW('CONTROL MASTER'!$S$2:$S$495))-(ROW('CONTROL MASTER'!#REF!)-1))))*(INDEX('CONTROL MASTER'!$W$2:$W$495,(SUMPRODUCT((('CONTROL MASTER'!$S$2:$S$495=7)*('CONTROL MASTER'!$T$2:$T$495&lt;=8)*('CONTROL MASTER'!$V$2:$V$495&gt;=8)*('CONTROL MASTER'!$U$2:$U$495&lt;=2)*('CONTROL MASTER'!$W$2:$W$495&gt;=2))*ROW('CONTROL MASTER'!$S$2:$S$495))-(ROW('CONTROL MASTER'!#REF!)-1)))-INDEX('CONTROL MASTER'!$U$2:$U$495,(SUMPRODUCT((('CONTROL MASTER'!$S$2:$S$495=7)*('CONTROL MASTER'!$T$2:$T$495&lt;=8)*('CONTROL MASTER'!$V$2:$V$495&gt;=8)*('CONTROL MASTER'!$U$2:$U$495&lt;=2)*('CONTROL MASTER'!$W$2:$W$495&gt;=2))*ROW('CONTROL MASTER'!$S$2:$S$495))-(ROW('CONTROL MASTER'!#REF!)-1)))+1)+(2-INDEX('CONTROL MASTER'!$U$2:$U$495,(SUMPRODUCT((('CONTROL MASTER'!$S$2:$S$495=7)*('CONTROL MASTER'!$T$2:$T$495&lt;=8)*('CONTROL MASTER'!$V$2:$V$495&gt;=8)*('CONTROL MASTER'!$U$2:$U$495&lt;=2)*('CONTROL MASTER'!$W$2:$W$495&gt;=2))*ROW('CONTROL MASTER'!$S$2:$S$495))-(ROW('CONTROL MASTER'!#REF!)-1))))+1))-1)*50+1,50))&amp;"_"&amp;INDEX('CONTROL MASTER'!$P$2:$P$495,(SUMPRODUCT((('CONTROL MASTER'!$S$2:$S$495=7)*('CONTROL MASTER'!$T$2:$T$495&lt;=8)*('CONTROL MASTER'!$V$2:$V$495&gt;=8)*('CONTROL MASTER'!$U$2:$U$495&lt;=2)*('CONTROL MASTER'!$W$2:$W$495&gt;=2))*ROW('CONTROL MASTER'!$S$2:$S$495))-(ROW('CONTROL MASTER'!#REF!)-1))),IF(SUMPRODUCT((('CONTROL MASTER'!$S$2:$S$495=7)*('CONTROL MASTER'!$Z$2:$Z$495&lt;=8)*('CONTROL MASTER'!$AB$2:$AB$495&gt;=8)*('CONTROL MASTER'!$AA$2:$AA$495&lt;=2)*('CONTROL MASTER'!$AC$2:$AC$495&gt;=2))*ROW('CONTROL MASTER'!$S$2:$S$495))&gt;0,INDEX('CONTROL MASTER'!$X$2:$X$495,(SUMPRODUCT((('CONTROL MASTER'!$S$2:$S$495=7)*('CONTROL MASTER'!$Z$2:$Z$495&lt;=8)*('CONTROL MASTER'!$AB$2:$AB$495&gt;=8)*('CONTROL MASTER'!$AA$2:$AA$495&lt;=2)*('CONTROL MASTER'!$AC$2:$AC$495&gt;=2))*ROW('CONTROL MASTER'!$S$2:$S$495))-(ROW('CONTROL MASTER'!#REF!)-1)))&amp;TRIM(MID(SUBSTITUTE(SUBSTITUTE(INDEX('CONTROL MASTER'!$N$2:$N$495,(SUMPRODUCT((('CONTROL MASTER'!$S$2:$S$495=7)*('CONTROL MASTER'!$Z$2:$Z$495&lt;=8)*('CONTROL MASTER'!$AB$2:$AB$495&gt;=8)*('CONTROL MASTER'!$AA$2:$AA$495&lt;=2)*('CONTROL MASTER'!$AC$2:$AC$495&gt;=2))*ROW('CONTROL MASTER'!$S$2:$S$495))-(ROW('CONTROL MASTER'!#REF!)-1))),":",","),",",REPT(" ",50)),(((INDEX('CONTROL MASTER'!$Y$2:$Y$495,(SUMPRODUCT((('CONTROL MASTER'!$S$2:$S$495=7)*('CONTROL MASTER'!$Z$2:$Z$495&lt;=8)*('CONTROL MASTER'!$AB$2:$AB$495&gt;=8)*('CONTROL MASTER'!$AA$2:$AA$495&lt;=2)*('CONTROL MASTER'!$AC$2:$AC$495&gt;=2))*ROW('CONTROL MASTER'!$S$2:$S$495))-(ROW('CONTROL MASTER'!#REF!)-1)))+((8-INDEX('CONTROL MASTER'!$Z$2:$Z$495,(SUMPRODUCT((('CONTROL MASTER'!$S$2:$S$495=7)*('CONTROL MASTER'!$Z$2:$Z$495&lt;=8)*('CONTROL MASTER'!$AB$2:$AB$495&gt;=8)*('CONTROL MASTER'!$AA$2:$AA$495&lt;=2)*('CONTROL MASTER'!$AC$2:$AC$495&gt;=2))*ROW('CONTROL MASTER'!$S$2:$S$495))-(ROW('CONTROL MASTER'!#REF!)-1))))*(INDEX('CONTROL MASTER'!$AC$2:$AC$495,(SUMPRODUCT((('CONTROL MASTER'!$S$2:$S$495=7)*('CONTROL MASTER'!$Z$2:$Z$495&lt;=8)*('CONTROL MASTER'!$AB$2:$AB$495&gt;=8)*('CONTROL MASTER'!$AA$2:$AA$495&lt;=2)*('CONTROL MASTER'!$AC$2:$AC$495&gt;=2))*ROW('CONTROL MASTER'!$S$2:$S$495))-(ROW('CONTROL MASTER'!#REF!)-1)))-INDEX('CONTROL MASTER'!$AA$2:$AA$495,(SUMPRODUCT((('CONTROL MASTER'!$S$2:$S$495=7)*('CONTROL MASTER'!$Z$2:$Z$495&lt;=8)*('CONTROL MASTER'!$AB$2:$AB$495&gt;=8)*('CONTROL MASTER'!$AA$2:$AA$495&lt;=2)*('CONTROL MASTER'!$AC$2:$AC$495&gt;=2))*ROW('CONTROL MASTER'!$S$2:$S$495))-(ROW('CONTROL MASTER'!#REF!)-1)))+1)+(2-INDEX('CONTROL MASTER'!$AA$2:$AA$495,(SUMPRODUCT((('CONTROL MASTER'!$S$2:$S$495=7)*('CONTROL MASTER'!$Z$2:$Z$495&lt;=8)*('CONTROL MASTER'!$AB$2:$AB$495&gt;=8)*('CONTROL MASTER'!$AA$2:$AA$495&lt;=2)*('CONTROL MASTER'!$AC$2:$AC$495&gt;=2))*ROW('CONTROL MASTER'!$S$2:$S$495))-(ROW('CONTROL MASTER'!#REF!)-1))))+1)))-1)*50+1,50))&amp;"_"&amp;INDEX('CONTROL MASTER'!$P$2:$P$495,(SUMPRODUCT((('CONTROL MASTER'!$S$2:$S$495=7)*('CONTROL MASTER'!$Z$2:$Z$495&lt;=8)*('CONTROL MASTER'!$AB$2:$AB$495&gt;=8)*('CONTROL MASTER'!$AA$2:$AA$495&lt;=2)*('CONTROL MASTER'!$AC$2:$AC$495&gt;=2))*ROW('CONTROL MASTER'!$S$2:$S$495))-(ROW('CONTROL MASTER'!#REF!)-1))),"")),"")</f>
        <v/>
      </c>
      <c r="D94" s="10" t="str">
        <f>IFERROR(IF(SUMPRODUCT((('CONTROL MASTER'!$S$2:$S$495=7)*('CONTROL MASTER'!$T$2:$T$495&lt;=8)*('CONTROL MASTER'!$V$2:$V$495&gt;=8)*('CONTROL MASTER'!$U$2:$U$495&lt;=3)*('CONTROL MASTER'!$W$2:$W$495&gt;=3))*ROW('CONTROL MASTER'!$S$2:$S$495))&gt;0,INDEX('CONTROL MASTER'!$X$2:$X$495,(SUMPRODUCT((('CONTROL MASTER'!$S$2:$S$495=7)*('CONTROL MASTER'!$T$2:$T$495&lt;=8)*('CONTROL MASTER'!$V$2:$V$495&gt;=8)*('CONTROL MASTER'!$U$2:$U$495&lt;=3)*('CONTROL MASTER'!$W$2:$W$495&gt;=3))*ROW('CONTROL MASTER'!$S$2:$S$495))-(ROW('CONTROL MASTER'!#REF!)-1)))&amp;TRIM(MID(SUBSTITUTE(SUBSTITUTE(INDEX('CONTROL MASTER'!$N$2:$N$495,(SUMPRODUCT((('CONTROL MASTER'!$S$2:$S$495=7)*('CONTROL MASTER'!$T$2:$T$495&lt;=8)*('CONTROL MASTER'!$V$2:$V$495&gt;=8)*('CONTROL MASTER'!$U$2:$U$495&lt;=3)*('CONTROL MASTER'!$W$2:$W$495&gt;=3))*ROW('CONTROL MASTER'!$S$2:$S$495))-(ROW('CONTROL MASTER'!#REF!)-1))),":",","),",",REPT(" ",50)),((((8-INDEX('CONTROL MASTER'!$T$2:$T$495,(SUMPRODUCT((('CONTROL MASTER'!$S$2:$S$495=7)*('CONTROL MASTER'!$T$2:$T$495&lt;=8)*('CONTROL MASTER'!$V$2:$V$495&gt;=8)*('CONTROL MASTER'!$U$2:$U$495&lt;=3)*('CONTROL MASTER'!$W$2:$W$495&gt;=3))*ROW('CONTROL MASTER'!$S$2:$S$495))-(ROW('CONTROL MASTER'!#REF!)-1))))*(INDEX('CONTROL MASTER'!$W$2:$W$495,(SUMPRODUCT((('CONTROL MASTER'!$S$2:$S$495=7)*('CONTROL MASTER'!$T$2:$T$495&lt;=8)*('CONTROL MASTER'!$V$2:$V$495&gt;=8)*('CONTROL MASTER'!$U$2:$U$495&lt;=3)*('CONTROL MASTER'!$W$2:$W$495&gt;=3))*ROW('CONTROL MASTER'!$S$2:$S$495))-(ROW('CONTROL MASTER'!#REF!)-1)))-INDEX('CONTROL MASTER'!$U$2:$U$495,(SUMPRODUCT((('CONTROL MASTER'!$S$2:$S$495=7)*('CONTROL MASTER'!$T$2:$T$495&lt;=8)*('CONTROL MASTER'!$V$2:$V$495&gt;=8)*('CONTROL MASTER'!$U$2:$U$495&lt;=3)*('CONTROL MASTER'!$W$2:$W$495&gt;=3))*ROW('CONTROL MASTER'!$S$2:$S$495))-(ROW('CONTROL MASTER'!#REF!)-1)))+1)+(3-INDEX('CONTROL MASTER'!$U$2:$U$495,(SUMPRODUCT((('CONTROL MASTER'!$S$2:$S$495=7)*('CONTROL MASTER'!$T$2:$T$495&lt;=8)*('CONTROL MASTER'!$V$2:$V$495&gt;=8)*('CONTROL MASTER'!$U$2:$U$495&lt;=3)*('CONTROL MASTER'!$W$2:$W$495&gt;=3))*ROW('CONTROL MASTER'!$S$2:$S$495))-(ROW('CONTROL MASTER'!#REF!)-1))))+1))-1)*50+1,50))&amp;"_"&amp;INDEX('CONTROL MASTER'!$P$2:$P$495,(SUMPRODUCT((('CONTROL MASTER'!$S$2:$S$495=7)*('CONTROL MASTER'!$T$2:$T$495&lt;=8)*('CONTROL MASTER'!$V$2:$V$495&gt;=8)*('CONTROL MASTER'!$U$2:$U$495&lt;=3)*('CONTROL MASTER'!$W$2:$W$495&gt;=3))*ROW('CONTROL MASTER'!$S$2:$S$495))-(ROW('CONTROL MASTER'!#REF!)-1))),IF(SUMPRODUCT((('CONTROL MASTER'!$S$2:$S$495=7)*('CONTROL MASTER'!$Z$2:$Z$495&lt;=8)*('CONTROL MASTER'!$AB$2:$AB$495&gt;=8)*('CONTROL MASTER'!$AA$2:$AA$495&lt;=3)*('CONTROL MASTER'!$AC$2:$AC$495&gt;=3))*ROW('CONTROL MASTER'!$S$2:$S$495))&gt;0,INDEX('CONTROL MASTER'!$X$2:$X$495,(SUMPRODUCT((('CONTROL MASTER'!$S$2:$S$495=7)*('CONTROL MASTER'!$Z$2:$Z$495&lt;=8)*('CONTROL MASTER'!$AB$2:$AB$495&gt;=8)*('CONTROL MASTER'!$AA$2:$AA$495&lt;=3)*('CONTROL MASTER'!$AC$2:$AC$495&gt;=3))*ROW('CONTROL MASTER'!$S$2:$S$495))-(ROW('CONTROL MASTER'!#REF!)-1)))&amp;TRIM(MID(SUBSTITUTE(SUBSTITUTE(INDEX('CONTROL MASTER'!$N$2:$N$495,(SUMPRODUCT((('CONTROL MASTER'!$S$2:$S$495=7)*('CONTROL MASTER'!$Z$2:$Z$495&lt;=8)*('CONTROL MASTER'!$AB$2:$AB$495&gt;=8)*('CONTROL MASTER'!$AA$2:$AA$495&lt;=3)*('CONTROL MASTER'!$AC$2:$AC$495&gt;=3))*ROW('CONTROL MASTER'!$S$2:$S$495))-(ROW('CONTROL MASTER'!#REF!)-1))),":",","),",",REPT(" ",50)),(((INDEX('CONTROL MASTER'!$Y$2:$Y$495,(SUMPRODUCT((('CONTROL MASTER'!$S$2:$S$495=7)*('CONTROL MASTER'!$Z$2:$Z$495&lt;=8)*('CONTROL MASTER'!$AB$2:$AB$495&gt;=8)*('CONTROL MASTER'!$AA$2:$AA$495&lt;=3)*('CONTROL MASTER'!$AC$2:$AC$495&gt;=3))*ROW('CONTROL MASTER'!$S$2:$S$495))-(ROW('CONTROL MASTER'!#REF!)-1)))+((8-INDEX('CONTROL MASTER'!$Z$2:$Z$495,(SUMPRODUCT((('CONTROL MASTER'!$S$2:$S$495=7)*('CONTROL MASTER'!$Z$2:$Z$495&lt;=8)*('CONTROL MASTER'!$AB$2:$AB$495&gt;=8)*('CONTROL MASTER'!$AA$2:$AA$495&lt;=3)*('CONTROL MASTER'!$AC$2:$AC$495&gt;=3))*ROW('CONTROL MASTER'!$S$2:$S$495))-(ROW('CONTROL MASTER'!#REF!)-1))))*(INDEX('CONTROL MASTER'!$AC$2:$AC$495,(SUMPRODUCT((('CONTROL MASTER'!$S$2:$S$495=7)*('CONTROL MASTER'!$Z$2:$Z$495&lt;=8)*('CONTROL MASTER'!$AB$2:$AB$495&gt;=8)*('CONTROL MASTER'!$AA$2:$AA$495&lt;=3)*('CONTROL MASTER'!$AC$2:$AC$495&gt;=3))*ROW('CONTROL MASTER'!$S$2:$S$495))-(ROW('CONTROL MASTER'!#REF!)-1)))-INDEX('CONTROL MASTER'!$AA$2:$AA$495,(SUMPRODUCT((('CONTROL MASTER'!$S$2:$S$495=7)*('CONTROL MASTER'!$Z$2:$Z$495&lt;=8)*('CONTROL MASTER'!$AB$2:$AB$495&gt;=8)*('CONTROL MASTER'!$AA$2:$AA$495&lt;=3)*('CONTROL MASTER'!$AC$2:$AC$495&gt;=3))*ROW('CONTROL MASTER'!$S$2:$S$495))-(ROW('CONTROL MASTER'!#REF!)-1)))+1)+(3-INDEX('CONTROL MASTER'!$AA$2:$AA$495,(SUMPRODUCT((('CONTROL MASTER'!$S$2:$S$495=7)*('CONTROL MASTER'!$Z$2:$Z$495&lt;=8)*('CONTROL MASTER'!$AB$2:$AB$495&gt;=8)*('CONTROL MASTER'!$AA$2:$AA$495&lt;=3)*('CONTROL MASTER'!$AC$2:$AC$495&gt;=3))*ROW('CONTROL MASTER'!$S$2:$S$495))-(ROW('CONTROL MASTER'!#REF!)-1))))+1)))-1)*50+1,50))&amp;"_"&amp;INDEX('CONTROL MASTER'!$P$2:$P$495,(SUMPRODUCT((('CONTROL MASTER'!$S$2:$S$495=7)*('CONTROL MASTER'!$Z$2:$Z$495&lt;=8)*('CONTROL MASTER'!$AB$2:$AB$495&gt;=8)*('CONTROL MASTER'!$AA$2:$AA$495&lt;=3)*('CONTROL MASTER'!$AC$2:$AC$495&gt;=3))*ROW('CONTROL MASTER'!$S$2:$S$495))-(ROW('CONTROL MASTER'!#REF!)-1))),"")),"")</f>
        <v/>
      </c>
      <c r="E94" s="10" t="str">
        <f>IFERROR(IF(SUMPRODUCT((('CONTROL MASTER'!$S$2:$S$495=7)*('CONTROL MASTER'!$T$2:$T$495&lt;=8)*('CONTROL MASTER'!$V$2:$V$495&gt;=8)*('CONTROL MASTER'!$U$2:$U$495&lt;=4)*('CONTROL MASTER'!$W$2:$W$495&gt;=4))*ROW('CONTROL MASTER'!$S$2:$S$495))&gt;0,INDEX('CONTROL MASTER'!$X$2:$X$495,(SUMPRODUCT((('CONTROL MASTER'!$S$2:$S$495=7)*('CONTROL MASTER'!$T$2:$T$495&lt;=8)*('CONTROL MASTER'!$V$2:$V$495&gt;=8)*('CONTROL MASTER'!$U$2:$U$495&lt;=4)*('CONTROL MASTER'!$W$2:$W$495&gt;=4))*ROW('CONTROL MASTER'!$S$2:$S$495))-(ROW('CONTROL MASTER'!#REF!)-1)))&amp;TRIM(MID(SUBSTITUTE(SUBSTITUTE(INDEX('CONTROL MASTER'!$N$2:$N$495,(SUMPRODUCT((('CONTROL MASTER'!$S$2:$S$495=7)*('CONTROL MASTER'!$T$2:$T$495&lt;=8)*('CONTROL MASTER'!$V$2:$V$495&gt;=8)*('CONTROL MASTER'!$U$2:$U$495&lt;=4)*('CONTROL MASTER'!$W$2:$W$495&gt;=4))*ROW('CONTROL MASTER'!$S$2:$S$495))-(ROW('CONTROL MASTER'!#REF!)-1))),":",","),",",REPT(" ",50)),((((8-INDEX('CONTROL MASTER'!$T$2:$T$495,(SUMPRODUCT((('CONTROL MASTER'!$S$2:$S$495=7)*('CONTROL MASTER'!$T$2:$T$495&lt;=8)*('CONTROL MASTER'!$V$2:$V$495&gt;=8)*('CONTROL MASTER'!$U$2:$U$495&lt;=4)*('CONTROL MASTER'!$W$2:$W$495&gt;=4))*ROW('CONTROL MASTER'!$S$2:$S$495))-(ROW('CONTROL MASTER'!#REF!)-1))))*(INDEX('CONTROL MASTER'!$W$2:$W$495,(SUMPRODUCT((('CONTROL MASTER'!$S$2:$S$495=7)*('CONTROL MASTER'!$T$2:$T$495&lt;=8)*('CONTROL MASTER'!$V$2:$V$495&gt;=8)*('CONTROL MASTER'!$U$2:$U$495&lt;=4)*('CONTROL MASTER'!$W$2:$W$495&gt;=4))*ROW('CONTROL MASTER'!$S$2:$S$495))-(ROW('CONTROL MASTER'!#REF!)-1)))-INDEX('CONTROL MASTER'!$U$2:$U$495,(SUMPRODUCT((('CONTROL MASTER'!$S$2:$S$495=7)*('CONTROL MASTER'!$T$2:$T$495&lt;=8)*('CONTROL MASTER'!$V$2:$V$495&gt;=8)*('CONTROL MASTER'!$U$2:$U$495&lt;=4)*('CONTROL MASTER'!$W$2:$W$495&gt;=4))*ROW('CONTROL MASTER'!$S$2:$S$495))-(ROW('CONTROL MASTER'!#REF!)-1)))+1)+(4-INDEX('CONTROL MASTER'!$U$2:$U$495,(SUMPRODUCT((('CONTROL MASTER'!$S$2:$S$495=7)*('CONTROL MASTER'!$T$2:$T$495&lt;=8)*('CONTROL MASTER'!$V$2:$V$495&gt;=8)*('CONTROL MASTER'!$U$2:$U$495&lt;=4)*('CONTROL MASTER'!$W$2:$W$495&gt;=4))*ROW('CONTROL MASTER'!$S$2:$S$495))-(ROW('CONTROL MASTER'!#REF!)-1))))+1))-1)*50+1,50))&amp;"_"&amp;INDEX('CONTROL MASTER'!$P$2:$P$495,(SUMPRODUCT((('CONTROL MASTER'!$S$2:$S$495=7)*('CONTROL MASTER'!$T$2:$T$495&lt;=8)*('CONTROL MASTER'!$V$2:$V$495&gt;=8)*('CONTROL MASTER'!$U$2:$U$495&lt;=4)*('CONTROL MASTER'!$W$2:$W$495&gt;=4))*ROW('CONTROL MASTER'!$S$2:$S$495))-(ROW('CONTROL MASTER'!#REF!)-1))),IF(SUMPRODUCT((('CONTROL MASTER'!$S$2:$S$495=7)*('CONTROL MASTER'!$Z$2:$Z$495&lt;=8)*('CONTROL MASTER'!$AB$2:$AB$495&gt;=8)*('CONTROL MASTER'!$AA$2:$AA$495&lt;=4)*('CONTROL MASTER'!$AC$2:$AC$495&gt;=4))*ROW('CONTROL MASTER'!$S$2:$S$495))&gt;0,INDEX('CONTROL MASTER'!$X$2:$X$495,(SUMPRODUCT((('CONTROL MASTER'!$S$2:$S$495=7)*('CONTROL MASTER'!$Z$2:$Z$495&lt;=8)*('CONTROL MASTER'!$AB$2:$AB$495&gt;=8)*('CONTROL MASTER'!$AA$2:$AA$495&lt;=4)*('CONTROL MASTER'!$AC$2:$AC$495&gt;=4))*ROW('CONTROL MASTER'!$S$2:$S$495))-(ROW('CONTROL MASTER'!#REF!)-1)))&amp;TRIM(MID(SUBSTITUTE(SUBSTITUTE(INDEX('CONTROL MASTER'!$N$2:$N$495,(SUMPRODUCT((('CONTROL MASTER'!$S$2:$S$495=7)*('CONTROL MASTER'!$Z$2:$Z$495&lt;=8)*('CONTROL MASTER'!$AB$2:$AB$495&gt;=8)*('CONTROL MASTER'!$AA$2:$AA$495&lt;=4)*('CONTROL MASTER'!$AC$2:$AC$495&gt;=4))*ROW('CONTROL MASTER'!$S$2:$S$495))-(ROW('CONTROL MASTER'!#REF!)-1))),":",","),",",REPT(" ",50)),(((INDEX('CONTROL MASTER'!$Y$2:$Y$495,(SUMPRODUCT((('CONTROL MASTER'!$S$2:$S$495=7)*('CONTROL MASTER'!$Z$2:$Z$495&lt;=8)*('CONTROL MASTER'!$AB$2:$AB$495&gt;=8)*('CONTROL MASTER'!$AA$2:$AA$495&lt;=4)*('CONTROL MASTER'!$AC$2:$AC$495&gt;=4))*ROW('CONTROL MASTER'!$S$2:$S$495))-(ROW('CONTROL MASTER'!#REF!)-1)))+((8-INDEX('CONTROL MASTER'!$Z$2:$Z$495,(SUMPRODUCT((('CONTROL MASTER'!$S$2:$S$495=7)*('CONTROL MASTER'!$Z$2:$Z$495&lt;=8)*('CONTROL MASTER'!$AB$2:$AB$495&gt;=8)*('CONTROL MASTER'!$AA$2:$AA$495&lt;=4)*('CONTROL MASTER'!$AC$2:$AC$495&gt;=4))*ROW('CONTROL MASTER'!$S$2:$S$495))-(ROW('CONTROL MASTER'!#REF!)-1))))*(INDEX('CONTROL MASTER'!$AC$2:$AC$495,(SUMPRODUCT((('CONTROL MASTER'!$S$2:$S$495=7)*('CONTROL MASTER'!$Z$2:$Z$495&lt;=8)*('CONTROL MASTER'!$AB$2:$AB$495&gt;=8)*('CONTROL MASTER'!$AA$2:$AA$495&lt;=4)*('CONTROL MASTER'!$AC$2:$AC$495&gt;=4))*ROW('CONTROL MASTER'!$S$2:$S$495))-(ROW('CONTROL MASTER'!#REF!)-1)))-INDEX('CONTROL MASTER'!$AA$2:$AA$495,(SUMPRODUCT((('CONTROL MASTER'!$S$2:$S$495=7)*('CONTROL MASTER'!$Z$2:$Z$495&lt;=8)*('CONTROL MASTER'!$AB$2:$AB$495&gt;=8)*('CONTROL MASTER'!$AA$2:$AA$495&lt;=4)*('CONTROL MASTER'!$AC$2:$AC$495&gt;=4))*ROW('CONTROL MASTER'!$S$2:$S$495))-(ROW('CONTROL MASTER'!#REF!)-1)))+1)+(4-INDEX('CONTROL MASTER'!$AA$2:$AA$495,(SUMPRODUCT((('CONTROL MASTER'!$S$2:$S$495=7)*('CONTROL MASTER'!$Z$2:$Z$495&lt;=8)*('CONTROL MASTER'!$AB$2:$AB$495&gt;=8)*('CONTROL MASTER'!$AA$2:$AA$495&lt;=4)*('CONTROL MASTER'!$AC$2:$AC$495&gt;=4))*ROW('CONTROL MASTER'!$S$2:$S$495))-(ROW('CONTROL MASTER'!#REF!)-1))))+1)))-1)*50+1,50))&amp;"_"&amp;INDEX('CONTROL MASTER'!$P$2:$P$495,(SUMPRODUCT((('CONTROL MASTER'!$S$2:$S$495=7)*('CONTROL MASTER'!$Z$2:$Z$495&lt;=8)*('CONTROL MASTER'!$AB$2:$AB$495&gt;=8)*('CONTROL MASTER'!$AA$2:$AA$495&lt;=4)*('CONTROL MASTER'!$AC$2:$AC$495&gt;=4))*ROW('CONTROL MASTER'!$S$2:$S$495))-(ROW('CONTROL MASTER'!#REF!)-1))),"")),"")</f>
        <v/>
      </c>
      <c r="F94" s="10" t="str">
        <f>IFERROR(IF(SUMPRODUCT((('CONTROL MASTER'!$S$2:$S$495=7)*('CONTROL MASTER'!$T$2:$T$495&lt;=8)*('CONTROL MASTER'!$V$2:$V$495&gt;=8)*('CONTROL MASTER'!$U$2:$U$495&lt;=5)*('CONTROL MASTER'!$W$2:$W$495&gt;=5))*ROW('CONTROL MASTER'!$S$2:$S$495))&gt;0,INDEX('CONTROL MASTER'!$X$2:$X$495,(SUMPRODUCT((('CONTROL MASTER'!$S$2:$S$495=7)*('CONTROL MASTER'!$T$2:$T$495&lt;=8)*('CONTROL MASTER'!$V$2:$V$495&gt;=8)*('CONTROL MASTER'!$U$2:$U$495&lt;=5)*('CONTROL MASTER'!$W$2:$W$495&gt;=5))*ROW('CONTROL MASTER'!$S$2:$S$495))-(ROW('CONTROL MASTER'!#REF!)-1)))&amp;TRIM(MID(SUBSTITUTE(SUBSTITUTE(INDEX('CONTROL MASTER'!$N$2:$N$495,(SUMPRODUCT((('CONTROL MASTER'!$S$2:$S$495=7)*('CONTROL MASTER'!$T$2:$T$495&lt;=8)*('CONTROL MASTER'!$V$2:$V$495&gt;=8)*('CONTROL MASTER'!$U$2:$U$495&lt;=5)*('CONTROL MASTER'!$W$2:$W$495&gt;=5))*ROW('CONTROL MASTER'!$S$2:$S$495))-(ROW('CONTROL MASTER'!#REF!)-1))),":",","),",",REPT(" ",50)),((((8-INDEX('CONTROL MASTER'!$T$2:$T$495,(SUMPRODUCT((('CONTROL MASTER'!$S$2:$S$495=7)*('CONTROL MASTER'!$T$2:$T$495&lt;=8)*('CONTROL MASTER'!$V$2:$V$495&gt;=8)*('CONTROL MASTER'!$U$2:$U$495&lt;=5)*('CONTROL MASTER'!$W$2:$W$495&gt;=5))*ROW('CONTROL MASTER'!$S$2:$S$495))-(ROW('CONTROL MASTER'!#REF!)-1))))*(INDEX('CONTROL MASTER'!$W$2:$W$495,(SUMPRODUCT((('CONTROL MASTER'!$S$2:$S$495=7)*('CONTROL MASTER'!$T$2:$T$495&lt;=8)*('CONTROL MASTER'!$V$2:$V$495&gt;=8)*('CONTROL MASTER'!$U$2:$U$495&lt;=5)*('CONTROL MASTER'!$W$2:$W$495&gt;=5))*ROW('CONTROL MASTER'!$S$2:$S$495))-(ROW('CONTROL MASTER'!#REF!)-1)))-INDEX('CONTROL MASTER'!$U$2:$U$495,(SUMPRODUCT((('CONTROL MASTER'!$S$2:$S$495=7)*('CONTROL MASTER'!$T$2:$T$495&lt;=8)*('CONTROL MASTER'!$V$2:$V$495&gt;=8)*('CONTROL MASTER'!$U$2:$U$495&lt;=5)*('CONTROL MASTER'!$W$2:$W$495&gt;=5))*ROW('CONTROL MASTER'!$S$2:$S$495))-(ROW('CONTROL MASTER'!#REF!)-1)))+1)+(5-INDEX('CONTROL MASTER'!$U$2:$U$495,(SUMPRODUCT((('CONTROL MASTER'!$S$2:$S$495=7)*('CONTROL MASTER'!$T$2:$T$495&lt;=8)*('CONTROL MASTER'!$V$2:$V$495&gt;=8)*('CONTROL MASTER'!$U$2:$U$495&lt;=5)*('CONTROL MASTER'!$W$2:$W$495&gt;=5))*ROW('CONTROL MASTER'!$S$2:$S$495))-(ROW('CONTROL MASTER'!#REF!)-1))))+1))-1)*50+1,50))&amp;"_"&amp;INDEX('CONTROL MASTER'!$P$2:$P$495,(SUMPRODUCT((('CONTROL MASTER'!$S$2:$S$495=7)*('CONTROL MASTER'!$T$2:$T$495&lt;=8)*('CONTROL MASTER'!$V$2:$V$495&gt;=8)*('CONTROL MASTER'!$U$2:$U$495&lt;=5)*('CONTROL MASTER'!$W$2:$W$495&gt;=5))*ROW('CONTROL MASTER'!$S$2:$S$495))-(ROW('CONTROL MASTER'!#REF!)-1))),IF(SUMPRODUCT((('CONTROL MASTER'!$S$2:$S$495=7)*('CONTROL MASTER'!$Z$2:$Z$495&lt;=8)*('CONTROL MASTER'!$AB$2:$AB$495&gt;=8)*('CONTROL MASTER'!$AA$2:$AA$495&lt;=5)*('CONTROL MASTER'!$AC$2:$AC$495&gt;=5))*ROW('CONTROL MASTER'!$S$2:$S$495))&gt;0,INDEX('CONTROL MASTER'!$X$2:$X$495,(SUMPRODUCT((('CONTROL MASTER'!$S$2:$S$495=7)*('CONTROL MASTER'!$Z$2:$Z$495&lt;=8)*('CONTROL MASTER'!$AB$2:$AB$495&gt;=8)*('CONTROL MASTER'!$AA$2:$AA$495&lt;=5)*('CONTROL MASTER'!$AC$2:$AC$495&gt;=5))*ROW('CONTROL MASTER'!$S$2:$S$495))-(ROW('CONTROL MASTER'!#REF!)-1)))&amp;TRIM(MID(SUBSTITUTE(SUBSTITUTE(INDEX('CONTROL MASTER'!$N$2:$N$495,(SUMPRODUCT((('CONTROL MASTER'!$S$2:$S$495=7)*('CONTROL MASTER'!$Z$2:$Z$495&lt;=8)*('CONTROL MASTER'!$AB$2:$AB$495&gt;=8)*('CONTROL MASTER'!$AA$2:$AA$495&lt;=5)*('CONTROL MASTER'!$AC$2:$AC$495&gt;=5))*ROW('CONTROL MASTER'!$S$2:$S$495))-(ROW('CONTROL MASTER'!#REF!)-1))),":",","),",",REPT(" ",50)),(((INDEX('CONTROL MASTER'!$Y$2:$Y$495,(SUMPRODUCT((('CONTROL MASTER'!$S$2:$S$495=7)*('CONTROL MASTER'!$Z$2:$Z$495&lt;=8)*('CONTROL MASTER'!$AB$2:$AB$495&gt;=8)*('CONTROL MASTER'!$AA$2:$AA$495&lt;=5)*('CONTROL MASTER'!$AC$2:$AC$495&gt;=5))*ROW('CONTROL MASTER'!$S$2:$S$495))-(ROW('CONTROL MASTER'!#REF!)-1)))+((8-INDEX('CONTROL MASTER'!$Z$2:$Z$495,(SUMPRODUCT((('CONTROL MASTER'!$S$2:$S$495=7)*('CONTROL MASTER'!$Z$2:$Z$495&lt;=8)*('CONTROL MASTER'!$AB$2:$AB$495&gt;=8)*('CONTROL MASTER'!$AA$2:$AA$495&lt;=5)*('CONTROL MASTER'!$AC$2:$AC$495&gt;=5))*ROW('CONTROL MASTER'!$S$2:$S$495))-(ROW('CONTROL MASTER'!#REF!)-1))))*(INDEX('CONTROL MASTER'!$AC$2:$AC$495,(SUMPRODUCT((('CONTROL MASTER'!$S$2:$S$495=7)*('CONTROL MASTER'!$Z$2:$Z$495&lt;=8)*('CONTROL MASTER'!$AB$2:$AB$495&gt;=8)*('CONTROL MASTER'!$AA$2:$AA$495&lt;=5)*('CONTROL MASTER'!$AC$2:$AC$495&gt;=5))*ROW('CONTROL MASTER'!$S$2:$S$495))-(ROW('CONTROL MASTER'!#REF!)-1)))-INDEX('CONTROL MASTER'!$AA$2:$AA$495,(SUMPRODUCT((('CONTROL MASTER'!$S$2:$S$495=7)*('CONTROL MASTER'!$Z$2:$Z$495&lt;=8)*('CONTROL MASTER'!$AB$2:$AB$495&gt;=8)*('CONTROL MASTER'!$AA$2:$AA$495&lt;=5)*('CONTROL MASTER'!$AC$2:$AC$495&gt;=5))*ROW('CONTROL MASTER'!$S$2:$S$495))-(ROW('CONTROL MASTER'!#REF!)-1)))+1)+(5-INDEX('CONTROL MASTER'!$AA$2:$AA$495,(SUMPRODUCT((('CONTROL MASTER'!$S$2:$S$495=7)*('CONTROL MASTER'!$Z$2:$Z$495&lt;=8)*('CONTROL MASTER'!$AB$2:$AB$495&gt;=8)*('CONTROL MASTER'!$AA$2:$AA$495&lt;=5)*('CONTROL MASTER'!$AC$2:$AC$495&gt;=5))*ROW('CONTROL MASTER'!$S$2:$S$495))-(ROW('CONTROL MASTER'!#REF!)-1))))+1)))-1)*50+1,50))&amp;"_"&amp;INDEX('CONTROL MASTER'!$P$2:$P$495,(SUMPRODUCT((('CONTROL MASTER'!$S$2:$S$495=7)*('CONTROL MASTER'!$Z$2:$Z$495&lt;=8)*('CONTROL MASTER'!$AB$2:$AB$495&gt;=8)*('CONTROL MASTER'!$AA$2:$AA$495&lt;=5)*('CONTROL MASTER'!$AC$2:$AC$495&gt;=5))*ROW('CONTROL MASTER'!$S$2:$S$495))-(ROW('CONTROL MASTER'!#REF!)-1))),"")),"")</f>
        <v/>
      </c>
      <c r="G94" s="10" t="str">
        <f>IFERROR(IF(SUMPRODUCT((('CONTROL MASTER'!$S$2:$S$495=7)*('CONTROL MASTER'!$T$2:$T$495&lt;=8)*('CONTROL MASTER'!$V$2:$V$495&gt;=8)*('CONTROL MASTER'!$U$2:$U$495&lt;=6)*('CONTROL MASTER'!$W$2:$W$495&gt;=6))*ROW('CONTROL MASTER'!$S$2:$S$495))&gt;0,INDEX('CONTROL MASTER'!$X$2:$X$495,(SUMPRODUCT((('CONTROL MASTER'!$S$2:$S$495=7)*('CONTROL MASTER'!$T$2:$T$495&lt;=8)*('CONTROL MASTER'!$V$2:$V$495&gt;=8)*('CONTROL MASTER'!$U$2:$U$495&lt;=6)*('CONTROL MASTER'!$W$2:$W$495&gt;=6))*ROW('CONTROL MASTER'!$S$2:$S$495))-(ROW('CONTROL MASTER'!#REF!)-1)))&amp;TRIM(MID(SUBSTITUTE(SUBSTITUTE(INDEX('CONTROL MASTER'!$N$2:$N$495,(SUMPRODUCT((('CONTROL MASTER'!$S$2:$S$495=7)*('CONTROL MASTER'!$T$2:$T$495&lt;=8)*('CONTROL MASTER'!$V$2:$V$495&gt;=8)*('CONTROL MASTER'!$U$2:$U$495&lt;=6)*('CONTROL MASTER'!$W$2:$W$495&gt;=6))*ROW('CONTROL MASTER'!$S$2:$S$495))-(ROW('CONTROL MASTER'!#REF!)-1))),":",","),",",REPT(" ",50)),((((8-INDEX('CONTROL MASTER'!$T$2:$T$495,(SUMPRODUCT((('CONTROL MASTER'!$S$2:$S$495=7)*('CONTROL MASTER'!$T$2:$T$495&lt;=8)*('CONTROL MASTER'!$V$2:$V$495&gt;=8)*('CONTROL MASTER'!$U$2:$U$495&lt;=6)*('CONTROL MASTER'!$W$2:$W$495&gt;=6))*ROW('CONTROL MASTER'!$S$2:$S$495))-(ROW('CONTROL MASTER'!#REF!)-1))))*(INDEX('CONTROL MASTER'!$W$2:$W$495,(SUMPRODUCT((('CONTROL MASTER'!$S$2:$S$495=7)*('CONTROL MASTER'!$T$2:$T$495&lt;=8)*('CONTROL MASTER'!$V$2:$V$495&gt;=8)*('CONTROL MASTER'!$U$2:$U$495&lt;=6)*('CONTROL MASTER'!$W$2:$W$495&gt;=6))*ROW('CONTROL MASTER'!$S$2:$S$495))-(ROW('CONTROL MASTER'!#REF!)-1)))-INDEX('CONTROL MASTER'!$U$2:$U$495,(SUMPRODUCT((('CONTROL MASTER'!$S$2:$S$495=7)*('CONTROL MASTER'!$T$2:$T$495&lt;=8)*('CONTROL MASTER'!$V$2:$V$495&gt;=8)*('CONTROL MASTER'!$U$2:$U$495&lt;=6)*('CONTROL MASTER'!$W$2:$W$495&gt;=6))*ROW('CONTROL MASTER'!$S$2:$S$495))-(ROW('CONTROL MASTER'!#REF!)-1)))+1)+(6-INDEX('CONTROL MASTER'!$U$2:$U$495,(SUMPRODUCT((('CONTROL MASTER'!$S$2:$S$495=7)*('CONTROL MASTER'!$T$2:$T$495&lt;=8)*('CONTROL MASTER'!$V$2:$V$495&gt;=8)*('CONTROL MASTER'!$U$2:$U$495&lt;=6)*('CONTROL MASTER'!$W$2:$W$495&gt;=6))*ROW('CONTROL MASTER'!$S$2:$S$495))-(ROW('CONTROL MASTER'!#REF!)-1))))+1))-1)*50+1,50))&amp;"_"&amp;INDEX('CONTROL MASTER'!$P$2:$P$495,(SUMPRODUCT((('CONTROL MASTER'!$S$2:$S$495=7)*('CONTROL MASTER'!$T$2:$T$495&lt;=8)*('CONTROL MASTER'!$V$2:$V$495&gt;=8)*('CONTROL MASTER'!$U$2:$U$495&lt;=6)*('CONTROL MASTER'!$W$2:$W$495&gt;=6))*ROW('CONTROL MASTER'!$S$2:$S$495))-(ROW('CONTROL MASTER'!#REF!)-1))),IF(SUMPRODUCT((('CONTROL MASTER'!$S$2:$S$495=7)*('CONTROL MASTER'!$Z$2:$Z$495&lt;=8)*('CONTROL MASTER'!$AB$2:$AB$495&gt;=8)*('CONTROL MASTER'!$AA$2:$AA$495&lt;=6)*('CONTROL MASTER'!$AC$2:$AC$495&gt;=6))*ROW('CONTROL MASTER'!$S$2:$S$495))&gt;0,INDEX('CONTROL MASTER'!$X$2:$X$495,(SUMPRODUCT((('CONTROL MASTER'!$S$2:$S$495=7)*('CONTROL MASTER'!$Z$2:$Z$495&lt;=8)*('CONTROL MASTER'!$AB$2:$AB$495&gt;=8)*('CONTROL MASTER'!$AA$2:$AA$495&lt;=6)*('CONTROL MASTER'!$AC$2:$AC$495&gt;=6))*ROW('CONTROL MASTER'!$S$2:$S$495))-(ROW('CONTROL MASTER'!#REF!)-1)))&amp;TRIM(MID(SUBSTITUTE(SUBSTITUTE(INDEX('CONTROL MASTER'!$N$2:$N$495,(SUMPRODUCT((('CONTROL MASTER'!$S$2:$S$495=7)*('CONTROL MASTER'!$Z$2:$Z$495&lt;=8)*('CONTROL MASTER'!$AB$2:$AB$495&gt;=8)*('CONTROL MASTER'!$AA$2:$AA$495&lt;=6)*('CONTROL MASTER'!$AC$2:$AC$495&gt;=6))*ROW('CONTROL MASTER'!$S$2:$S$495))-(ROW('CONTROL MASTER'!#REF!)-1))),":",","),",",REPT(" ",50)),(((INDEX('CONTROL MASTER'!$Y$2:$Y$495,(SUMPRODUCT((('CONTROL MASTER'!$S$2:$S$495=7)*('CONTROL MASTER'!$Z$2:$Z$495&lt;=8)*('CONTROL MASTER'!$AB$2:$AB$495&gt;=8)*('CONTROL MASTER'!$AA$2:$AA$495&lt;=6)*('CONTROL MASTER'!$AC$2:$AC$495&gt;=6))*ROW('CONTROL MASTER'!$S$2:$S$495))-(ROW('CONTROL MASTER'!#REF!)-1)))+((8-INDEX('CONTROL MASTER'!$Z$2:$Z$495,(SUMPRODUCT((('CONTROL MASTER'!$S$2:$S$495=7)*('CONTROL MASTER'!$Z$2:$Z$495&lt;=8)*('CONTROL MASTER'!$AB$2:$AB$495&gt;=8)*('CONTROL MASTER'!$AA$2:$AA$495&lt;=6)*('CONTROL MASTER'!$AC$2:$AC$495&gt;=6))*ROW('CONTROL MASTER'!$S$2:$S$495))-(ROW('CONTROL MASTER'!#REF!)-1))))*(INDEX('CONTROL MASTER'!$AC$2:$AC$495,(SUMPRODUCT((('CONTROL MASTER'!$S$2:$S$495=7)*('CONTROL MASTER'!$Z$2:$Z$495&lt;=8)*('CONTROL MASTER'!$AB$2:$AB$495&gt;=8)*('CONTROL MASTER'!$AA$2:$AA$495&lt;=6)*('CONTROL MASTER'!$AC$2:$AC$495&gt;=6))*ROW('CONTROL MASTER'!$S$2:$S$495))-(ROW('CONTROL MASTER'!#REF!)-1)))-INDEX('CONTROL MASTER'!$AA$2:$AA$495,(SUMPRODUCT((('CONTROL MASTER'!$S$2:$S$495=7)*('CONTROL MASTER'!$Z$2:$Z$495&lt;=8)*('CONTROL MASTER'!$AB$2:$AB$495&gt;=8)*('CONTROL MASTER'!$AA$2:$AA$495&lt;=6)*('CONTROL MASTER'!$AC$2:$AC$495&gt;=6))*ROW('CONTROL MASTER'!$S$2:$S$495))-(ROW('CONTROL MASTER'!#REF!)-1)))+1)+(6-INDEX('CONTROL MASTER'!$AA$2:$AA$495,(SUMPRODUCT((('CONTROL MASTER'!$S$2:$S$495=7)*('CONTROL MASTER'!$Z$2:$Z$495&lt;=8)*('CONTROL MASTER'!$AB$2:$AB$495&gt;=8)*('CONTROL MASTER'!$AA$2:$AA$495&lt;=6)*('CONTROL MASTER'!$AC$2:$AC$495&gt;=6))*ROW('CONTROL MASTER'!$S$2:$S$495))-(ROW('CONTROL MASTER'!#REF!)-1))))+1)))-1)*50+1,50))&amp;"_"&amp;INDEX('CONTROL MASTER'!$P$2:$P$495,(SUMPRODUCT((('CONTROL MASTER'!$S$2:$S$495=7)*('CONTROL MASTER'!$Z$2:$Z$495&lt;=8)*('CONTROL MASTER'!$AB$2:$AB$495&gt;=8)*('CONTROL MASTER'!$AA$2:$AA$495&lt;=6)*('CONTROL MASTER'!$AC$2:$AC$495&gt;=6))*ROW('CONTROL MASTER'!$S$2:$S$495))-(ROW('CONTROL MASTER'!#REF!)-1))),"")),"")</f>
        <v/>
      </c>
      <c r="H94" s="10" t="str">
        <f>IFERROR(IF(SUMPRODUCT((('CONTROL MASTER'!$S$2:$S$495=7)*('CONTROL MASTER'!$T$2:$T$495&lt;=8)*('CONTROL MASTER'!$V$2:$V$495&gt;=8)*('CONTROL MASTER'!$U$2:$U$495&lt;=7)*('CONTROL MASTER'!$W$2:$W$495&gt;=7))*ROW('CONTROL MASTER'!$S$2:$S$495))&gt;0,INDEX('CONTROL MASTER'!$X$2:$X$495,(SUMPRODUCT((('CONTROL MASTER'!$S$2:$S$495=7)*('CONTROL MASTER'!$T$2:$T$495&lt;=8)*('CONTROL MASTER'!$V$2:$V$495&gt;=8)*('CONTROL MASTER'!$U$2:$U$495&lt;=7)*('CONTROL MASTER'!$W$2:$W$495&gt;=7))*ROW('CONTROL MASTER'!$S$2:$S$495))-(ROW('CONTROL MASTER'!#REF!)-1)))&amp;TRIM(MID(SUBSTITUTE(SUBSTITUTE(INDEX('CONTROL MASTER'!$N$2:$N$495,(SUMPRODUCT((('CONTROL MASTER'!$S$2:$S$495=7)*('CONTROL MASTER'!$T$2:$T$495&lt;=8)*('CONTROL MASTER'!$V$2:$V$495&gt;=8)*('CONTROL MASTER'!$U$2:$U$495&lt;=7)*('CONTROL MASTER'!$W$2:$W$495&gt;=7))*ROW('CONTROL MASTER'!$S$2:$S$495))-(ROW('CONTROL MASTER'!#REF!)-1))),":",","),",",REPT(" ",50)),((((8-INDEX('CONTROL MASTER'!$T$2:$T$495,(SUMPRODUCT((('CONTROL MASTER'!$S$2:$S$495=7)*('CONTROL MASTER'!$T$2:$T$495&lt;=8)*('CONTROL MASTER'!$V$2:$V$495&gt;=8)*('CONTROL MASTER'!$U$2:$U$495&lt;=7)*('CONTROL MASTER'!$W$2:$W$495&gt;=7))*ROW('CONTROL MASTER'!$S$2:$S$495))-(ROW('CONTROL MASTER'!#REF!)-1))))*(INDEX('CONTROL MASTER'!$W$2:$W$495,(SUMPRODUCT((('CONTROL MASTER'!$S$2:$S$495=7)*('CONTROL MASTER'!$T$2:$T$495&lt;=8)*('CONTROL MASTER'!$V$2:$V$495&gt;=8)*('CONTROL MASTER'!$U$2:$U$495&lt;=7)*('CONTROL MASTER'!$W$2:$W$495&gt;=7))*ROW('CONTROL MASTER'!$S$2:$S$495))-(ROW('CONTROL MASTER'!#REF!)-1)))-INDEX('CONTROL MASTER'!$U$2:$U$495,(SUMPRODUCT((('CONTROL MASTER'!$S$2:$S$495=7)*('CONTROL MASTER'!$T$2:$T$495&lt;=8)*('CONTROL MASTER'!$V$2:$V$495&gt;=8)*('CONTROL MASTER'!$U$2:$U$495&lt;=7)*('CONTROL MASTER'!$W$2:$W$495&gt;=7))*ROW('CONTROL MASTER'!$S$2:$S$495))-(ROW('CONTROL MASTER'!#REF!)-1)))+1)+(7-INDEX('CONTROL MASTER'!$U$2:$U$495,(SUMPRODUCT((('CONTROL MASTER'!$S$2:$S$495=7)*('CONTROL MASTER'!$T$2:$T$495&lt;=8)*('CONTROL MASTER'!$V$2:$V$495&gt;=8)*('CONTROL MASTER'!$U$2:$U$495&lt;=7)*('CONTROL MASTER'!$W$2:$W$495&gt;=7))*ROW('CONTROL MASTER'!$S$2:$S$495))-(ROW('CONTROL MASTER'!#REF!)-1))))+1))-1)*50+1,50))&amp;"_"&amp;INDEX('CONTROL MASTER'!$P$2:$P$495,(SUMPRODUCT((('CONTROL MASTER'!$S$2:$S$495=7)*('CONTROL MASTER'!$T$2:$T$495&lt;=8)*('CONTROL MASTER'!$V$2:$V$495&gt;=8)*('CONTROL MASTER'!$U$2:$U$495&lt;=7)*('CONTROL MASTER'!$W$2:$W$495&gt;=7))*ROW('CONTROL MASTER'!$S$2:$S$495))-(ROW('CONTROL MASTER'!#REF!)-1))),IF(SUMPRODUCT((('CONTROL MASTER'!$S$2:$S$495=7)*('CONTROL MASTER'!$Z$2:$Z$495&lt;=8)*('CONTROL MASTER'!$AB$2:$AB$495&gt;=8)*('CONTROL MASTER'!$AA$2:$AA$495&lt;=7)*('CONTROL MASTER'!$AC$2:$AC$495&gt;=7))*ROW('CONTROL MASTER'!$S$2:$S$495))&gt;0,INDEX('CONTROL MASTER'!$X$2:$X$495,(SUMPRODUCT((('CONTROL MASTER'!$S$2:$S$495=7)*('CONTROL MASTER'!$Z$2:$Z$495&lt;=8)*('CONTROL MASTER'!$AB$2:$AB$495&gt;=8)*('CONTROL MASTER'!$AA$2:$AA$495&lt;=7)*('CONTROL MASTER'!$AC$2:$AC$495&gt;=7))*ROW('CONTROL MASTER'!$S$2:$S$495))-(ROW('CONTROL MASTER'!#REF!)-1)))&amp;TRIM(MID(SUBSTITUTE(SUBSTITUTE(INDEX('CONTROL MASTER'!$N$2:$N$495,(SUMPRODUCT((('CONTROL MASTER'!$S$2:$S$495=7)*('CONTROL MASTER'!$Z$2:$Z$495&lt;=8)*('CONTROL MASTER'!$AB$2:$AB$495&gt;=8)*('CONTROL MASTER'!$AA$2:$AA$495&lt;=7)*('CONTROL MASTER'!$AC$2:$AC$495&gt;=7))*ROW('CONTROL MASTER'!$S$2:$S$495))-(ROW('CONTROL MASTER'!#REF!)-1))),":",","),",",REPT(" ",50)),(((INDEX('CONTROL MASTER'!$Y$2:$Y$495,(SUMPRODUCT((('CONTROL MASTER'!$S$2:$S$495=7)*('CONTROL MASTER'!$Z$2:$Z$495&lt;=8)*('CONTROL MASTER'!$AB$2:$AB$495&gt;=8)*('CONTROL MASTER'!$AA$2:$AA$495&lt;=7)*('CONTROL MASTER'!$AC$2:$AC$495&gt;=7))*ROW('CONTROL MASTER'!$S$2:$S$495))-(ROW('CONTROL MASTER'!#REF!)-1)))+((8-INDEX('CONTROL MASTER'!$Z$2:$Z$495,(SUMPRODUCT((('CONTROL MASTER'!$S$2:$S$495=7)*('CONTROL MASTER'!$Z$2:$Z$495&lt;=8)*('CONTROL MASTER'!$AB$2:$AB$495&gt;=8)*('CONTROL MASTER'!$AA$2:$AA$495&lt;=7)*('CONTROL MASTER'!$AC$2:$AC$495&gt;=7))*ROW('CONTROL MASTER'!$S$2:$S$495))-(ROW('CONTROL MASTER'!#REF!)-1))))*(INDEX('CONTROL MASTER'!$AC$2:$AC$495,(SUMPRODUCT((('CONTROL MASTER'!$S$2:$S$495=7)*('CONTROL MASTER'!$Z$2:$Z$495&lt;=8)*('CONTROL MASTER'!$AB$2:$AB$495&gt;=8)*('CONTROL MASTER'!$AA$2:$AA$495&lt;=7)*('CONTROL MASTER'!$AC$2:$AC$495&gt;=7))*ROW('CONTROL MASTER'!$S$2:$S$495))-(ROW('CONTROL MASTER'!#REF!)-1)))-INDEX('CONTROL MASTER'!$AA$2:$AA$495,(SUMPRODUCT((('CONTROL MASTER'!$S$2:$S$495=7)*('CONTROL MASTER'!$Z$2:$Z$495&lt;=8)*('CONTROL MASTER'!$AB$2:$AB$495&gt;=8)*('CONTROL MASTER'!$AA$2:$AA$495&lt;=7)*('CONTROL MASTER'!$AC$2:$AC$495&gt;=7))*ROW('CONTROL MASTER'!$S$2:$S$495))-(ROW('CONTROL MASTER'!#REF!)-1)))+1)+(7-INDEX('CONTROL MASTER'!$AA$2:$AA$495,(SUMPRODUCT((('CONTROL MASTER'!$S$2:$S$495=7)*('CONTROL MASTER'!$Z$2:$Z$495&lt;=8)*('CONTROL MASTER'!$AB$2:$AB$495&gt;=8)*('CONTROL MASTER'!$AA$2:$AA$495&lt;=7)*('CONTROL MASTER'!$AC$2:$AC$495&gt;=7))*ROW('CONTROL MASTER'!$S$2:$S$495))-(ROW('CONTROL MASTER'!#REF!)-1))))+1)))-1)*50+1,50))&amp;"_"&amp;INDEX('CONTROL MASTER'!$P$2:$P$495,(SUMPRODUCT((('CONTROL MASTER'!$S$2:$S$495=7)*('CONTROL MASTER'!$Z$2:$Z$495&lt;=8)*('CONTROL MASTER'!$AB$2:$AB$495&gt;=8)*('CONTROL MASTER'!$AA$2:$AA$495&lt;=7)*('CONTROL MASTER'!$AC$2:$AC$495&gt;=7))*ROW('CONTROL MASTER'!$S$2:$S$495))-(ROW('CONTROL MASTER'!#REF!)-1))),"")),"")</f>
        <v/>
      </c>
      <c r="I94" s="10" t="str">
        <f>IFERROR(IF(SUMPRODUCT((('CONTROL MASTER'!$S$2:$S$495=7)*('CONTROL MASTER'!$T$2:$T$495&lt;=8)*('CONTROL MASTER'!$V$2:$V$495&gt;=8)*('CONTROL MASTER'!$U$2:$U$495&lt;=8)*('CONTROL MASTER'!$W$2:$W$495&gt;=8))*ROW('CONTROL MASTER'!$S$2:$S$495))&gt;0,INDEX('CONTROL MASTER'!$X$2:$X$495,(SUMPRODUCT((('CONTROL MASTER'!$S$2:$S$495=7)*('CONTROL MASTER'!$T$2:$T$495&lt;=8)*('CONTROL MASTER'!$V$2:$V$495&gt;=8)*('CONTROL MASTER'!$U$2:$U$495&lt;=8)*('CONTROL MASTER'!$W$2:$W$495&gt;=8))*ROW('CONTROL MASTER'!$S$2:$S$495))-(ROW('CONTROL MASTER'!#REF!)-1)))&amp;TRIM(MID(SUBSTITUTE(SUBSTITUTE(INDEX('CONTROL MASTER'!$N$2:$N$495,(SUMPRODUCT((('CONTROL MASTER'!$S$2:$S$495=7)*('CONTROL MASTER'!$T$2:$T$495&lt;=8)*('CONTROL MASTER'!$V$2:$V$495&gt;=8)*('CONTROL MASTER'!$U$2:$U$495&lt;=8)*('CONTROL MASTER'!$W$2:$W$495&gt;=8))*ROW('CONTROL MASTER'!$S$2:$S$495))-(ROW('CONTROL MASTER'!#REF!)-1))),":",","),",",REPT(" ",50)),((((8-INDEX('CONTROL MASTER'!$T$2:$T$495,(SUMPRODUCT((('CONTROL MASTER'!$S$2:$S$495=7)*('CONTROL MASTER'!$T$2:$T$495&lt;=8)*('CONTROL MASTER'!$V$2:$V$495&gt;=8)*('CONTROL MASTER'!$U$2:$U$495&lt;=8)*('CONTROL MASTER'!$W$2:$W$495&gt;=8))*ROW('CONTROL MASTER'!$S$2:$S$495))-(ROW('CONTROL MASTER'!#REF!)-1))))*(INDEX('CONTROL MASTER'!$W$2:$W$495,(SUMPRODUCT((('CONTROL MASTER'!$S$2:$S$495=7)*('CONTROL MASTER'!$T$2:$T$495&lt;=8)*('CONTROL MASTER'!$V$2:$V$495&gt;=8)*('CONTROL MASTER'!$U$2:$U$495&lt;=8)*('CONTROL MASTER'!$W$2:$W$495&gt;=8))*ROW('CONTROL MASTER'!$S$2:$S$495))-(ROW('CONTROL MASTER'!#REF!)-1)))-INDEX('CONTROL MASTER'!$U$2:$U$495,(SUMPRODUCT((('CONTROL MASTER'!$S$2:$S$495=7)*('CONTROL MASTER'!$T$2:$T$495&lt;=8)*('CONTROL MASTER'!$V$2:$V$495&gt;=8)*('CONTROL MASTER'!$U$2:$U$495&lt;=8)*('CONTROL MASTER'!$W$2:$W$495&gt;=8))*ROW('CONTROL MASTER'!$S$2:$S$495))-(ROW('CONTROL MASTER'!#REF!)-1)))+1)+(8-INDEX('CONTROL MASTER'!$U$2:$U$495,(SUMPRODUCT((('CONTROL MASTER'!$S$2:$S$495=7)*('CONTROL MASTER'!$T$2:$T$495&lt;=8)*('CONTROL MASTER'!$V$2:$V$495&gt;=8)*('CONTROL MASTER'!$U$2:$U$495&lt;=8)*('CONTROL MASTER'!$W$2:$W$495&gt;=8))*ROW('CONTROL MASTER'!$S$2:$S$495))-(ROW('CONTROL MASTER'!#REF!)-1))))+1))-1)*50+1,50))&amp;"_"&amp;INDEX('CONTROL MASTER'!$P$2:$P$495,(SUMPRODUCT((('CONTROL MASTER'!$S$2:$S$495=7)*('CONTROL MASTER'!$T$2:$T$495&lt;=8)*('CONTROL MASTER'!$V$2:$V$495&gt;=8)*('CONTROL MASTER'!$U$2:$U$495&lt;=8)*('CONTROL MASTER'!$W$2:$W$495&gt;=8))*ROW('CONTROL MASTER'!$S$2:$S$495))-(ROW('CONTROL MASTER'!#REF!)-1))),IF(SUMPRODUCT((('CONTROL MASTER'!$S$2:$S$495=7)*('CONTROL MASTER'!$Z$2:$Z$495&lt;=8)*('CONTROL MASTER'!$AB$2:$AB$495&gt;=8)*('CONTROL MASTER'!$AA$2:$AA$495&lt;=8)*('CONTROL MASTER'!$AC$2:$AC$495&gt;=8))*ROW('CONTROL MASTER'!$S$2:$S$495))&gt;0,INDEX('CONTROL MASTER'!$X$2:$X$495,(SUMPRODUCT((('CONTROL MASTER'!$S$2:$S$495=7)*('CONTROL MASTER'!$Z$2:$Z$495&lt;=8)*('CONTROL MASTER'!$AB$2:$AB$495&gt;=8)*('CONTROL MASTER'!$AA$2:$AA$495&lt;=8)*('CONTROL MASTER'!$AC$2:$AC$495&gt;=8))*ROW('CONTROL MASTER'!$S$2:$S$495))-(ROW('CONTROL MASTER'!#REF!)-1)))&amp;TRIM(MID(SUBSTITUTE(SUBSTITUTE(INDEX('CONTROL MASTER'!$N$2:$N$495,(SUMPRODUCT((('CONTROL MASTER'!$S$2:$S$495=7)*('CONTROL MASTER'!$Z$2:$Z$495&lt;=8)*('CONTROL MASTER'!$AB$2:$AB$495&gt;=8)*('CONTROL MASTER'!$AA$2:$AA$495&lt;=8)*('CONTROL MASTER'!$AC$2:$AC$495&gt;=8))*ROW('CONTROL MASTER'!$S$2:$S$495))-(ROW('CONTROL MASTER'!#REF!)-1))),":",","),",",REPT(" ",50)),(((INDEX('CONTROL MASTER'!$Y$2:$Y$495,(SUMPRODUCT((('CONTROL MASTER'!$S$2:$S$495=7)*('CONTROL MASTER'!$Z$2:$Z$495&lt;=8)*('CONTROL MASTER'!$AB$2:$AB$495&gt;=8)*('CONTROL MASTER'!$AA$2:$AA$495&lt;=8)*('CONTROL MASTER'!$AC$2:$AC$495&gt;=8))*ROW('CONTROL MASTER'!$S$2:$S$495))-(ROW('CONTROL MASTER'!#REF!)-1)))+((8-INDEX('CONTROL MASTER'!$Z$2:$Z$495,(SUMPRODUCT((('CONTROL MASTER'!$S$2:$S$495=7)*('CONTROL MASTER'!$Z$2:$Z$495&lt;=8)*('CONTROL MASTER'!$AB$2:$AB$495&gt;=8)*('CONTROL MASTER'!$AA$2:$AA$495&lt;=8)*('CONTROL MASTER'!$AC$2:$AC$495&gt;=8))*ROW('CONTROL MASTER'!$S$2:$S$495))-(ROW('CONTROL MASTER'!#REF!)-1))))*(INDEX('CONTROL MASTER'!$AC$2:$AC$495,(SUMPRODUCT((('CONTROL MASTER'!$S$2:$S$495=7)*('CONTROL MASTER'!$Z$2:$Z$495&lt;=8)*('CONTROL MASTER'!$AB$2:$AB$495&gt;=8)*('CONTROL MASTER'!$AA$2:$AA$495&lt;=8)*('CONTROL MASTER'!$AC$2:$AC$495&gt;=8))*ROW('CONTROL MASTER'!$S$2:$S$495))-(ROW('CONTROL MASTER'!#REF!)-1)))-INDEX('CONTROL MASTER'!$AA$2:$AA$495,(SUMPRODUCT((('CONTROL MASTER'!$S$2:$S$495=7)*('CONTROL MASTER'!$Z$2:$Z$495&lt;=8)*('CONTROL MASTER'!$AB$2:$AB$495&gt;=8)*('CONTROL MASTER'!$AA$2:$AA$495&lt;=8)*('CONTROL MASTER'!$AC$2:$AC$495&gt;=8))*ROW('CONTROL MASTER'!$S$2:$S$495))-(ROW('CONTROL MASTER'!#REF!)-1)))+1)+(8-INDEX('CONTROL MASTER'!$AA$2:$AA$495,(SUMPRODUCT((('CONTROL MASTER'!$S$2:$S$495=7)*('CONTROL MASTER'!$Z$2:$Z$495&lt;=8)*('CONTROL MASTER'!$AB$2:$AB$495&gt;=8)*('CONTROL MASTER'!$AA$2:$AA$495&lt;=8)*('CONTROL MASTER'!$AC$2:$AC$495&gt;=8))*ROW('CONTROL MASTER'!$S$2:$S$495))-(ROW('CONTROL MASTER'!#REF!)-1))))+1)))-1)*50+1,50))&amp;"_"&amp;INDEX('CONTROL MASTER'!$P$2:$P$495,(SUMPRODUCT((('CONTROL MASTER'!$S$2:$S$495=7)*('CONTROL MASTER'!$Z$2:$Z$495&lt;=8)*('CONTROL MASTER'!$AB$2:$AB$495&gt;=8)*('CONTROL MASTER'!$AA$2:$AA$495&lt;=8)*('CONTROL MASTER'!$AC$2:$AC$495&gt;=8))*ROW('CONTROL MASTER'!$S$2:$S$495))-(ROW('CONTROL MASTER'!#REF!)-1))),"")),"")</f>
        <v/>
      </c>
      <c r="J94" s="10" t="str">
        <f>IFERROR(IF(SUMPRODUCT((('CONTROL MASTER'!$S$2:$S$495=7)*('CONTROL MASTER'!$T$2:$T$495&lt;=8)*('CONTROL MASTER'!$V$2:$V$495&gt;=8)*('CONTROL MASTER'!$U$2:$U$495&lt;=9)*('CONTROL MASTER'!$W$2:$W$495&gt;=9))*ROW('CONTROL MASTER'!$S$2:$S$495))&gt;0,INDEX('CONTROL MASTER'!$X$2:$X$495,(SUMPRODUCT((('CONTROL MASTER'!$S$2:$S$495=7)*('CONTROL MASTER'!$T$2:$T$495&lt;=8)*('CONTROL MASTER'!$V$2:$V$495&gt;=8)*('CONTROL MASTER'!$U$2:$U$495&lt;=9)*('CONTROL MASTER'!$W$2:$W$495&gt;=9))*ROW('CONTROL MASTER'!$S$2:$S$495))-(ROW('CONTROL MASTER'!#REF!)-1)))&amp;TRIM(MID(SUBSTITUTE(SUBSTITUTE(INDEX('CONTROL MASTER'!$N$2:$N$495,(SUMPRODUCT((('CONTROL MASTER'!$S$2:$S$495=7)*('CONTROL MASTER'!$T$2:$T$495&lt;=8)*('CONTROL MASTER'!$V$2:$V$495&gt;=8)*('CONTROL MASTER'!$U$2:$U$495&lt;=9)*('CONTROL MASTER'!$W$2:$W$495&gt;=9))*ROW('CONTROL MASTER'!$S$2:$S$495))-(ROW('CONTROL MASTER'!#REF!)-1))),":",","),",",REPT(" ",50)),((((8-INDEX('CONTROL MASTER'!$T$2:$T$495,(SUMPRODUCT((('CONTROL MASTER'!$S$2:$S$495=7)*('CONTROL MASTER'!$T$2:$T$495&lt;=8)*('CONTROL MASTER'!$V$2:$V$495&gt;=8)*('CONTROL MASTER'!$U$2:$U$495&lt;=9)*('CONTROL MASTER'!$W$2:$W$495&gt;=9))*ROW('CONTROL MASTER'!$S$2:$S$495))-(ROW('CONTROL MASTER'!#REF!)-1))))*(INDEX('CONTROL MASTER'!$W$2:$W$495,(SUMPRODUCT((('CONTROL MASTER'!$S$2:$S$495=7)*('CONTROL MASTER'!$T$2:$T$495&lt;=8)*('CONTROL MASTER'!$V$2:$V$495&gt;=8)*('CONTROL MASTER'!$U$2:$U$495&lt;=9)*('CONTROL MASTER'!$W$2:$W$495&gt;=9))*ROW('CONTROL MASTER'!$S$2:$S$495))-(ROW('CONTROL MASTER'!#REF!)-1)))-INDEX('CONTROL MASTER'!$U$2:$U$495,(SUMPRODUCT((('CONTROL MASTER'!$S$2:$S$495=7)*('CONTROL MASTER'!$T$2:$T$495&lt;=8)*('CONTROL MASTER'!$V$2:$V$495&gt;=8)*('CONTROL MASTER'!$U$2:$U$495&lt;=9)*('CONTROL MASTER'!$W$2:$W$495&gt;=9))*ROW('CONTROL MASTER'!$S$2:$S$495))-(ROW('CONTROL MASTER'!#REF!)-1)))+1)+(9-INDEX('CONTROL MASTER'!$U$2:$U$495,(SUMPRODUCT((('CONTROL MASTER'!$S$2:$S$495=7)*('CONTROL MASTER'!$T$2:$T$495&lt;=8)*('CONTROL MASTER'!$V$2:$V$495&gt;=8)*('CONTROL MASTER'!$U$2:$U$495&lt;=9)*('CONTROL MASTER'!$W$2:$W$495&gt;=9))*ROW('CONTROL MASTER'!$S$2:$S$495))-(ROW('CONTROL MASTER'!#REF!)-1))))+1))-1)*50+1,50))&amp;"_"&amp;INDEX('CONTROL MASTER'!$P$2:$P$495,(SUMPRODUCT((('CONTROL MASTER'!$S$2:$S$495=7)*('CONTROL MASTER'!$T$2:$T$495&lt;=8)*('CONTROL MASTER'!$V$2:$V$495&gt;=8)*('CONTROL MASTER'!$U$2:$U$495&lt;=9)*('CONTROL MASTER'!$W$2:$W$495&gt;=9))*ROW('CONTROL MASTER'!$S$2:$S$495))-(ROW('CONTROL MASTER'!#REF!)-1))),IF(SUMPRODUCT((('CONTROL MASTER'!$S$2:$S$495=7)*('CONTROL MASTER'!$Z$2:$Z$495&lt;=8)*('CONTROL MASTER'!$AB$2:$AB$495&gt;=8)*('CONTROL MASTER'!$AA$2:$AA$495&lt;=9)*('CONTROL MASTER'!$AC$2:$AC$495&gt;=9))*ROW('CONTROL MASTER'!$S$2:$S$495))&gt;0,INDEX('CONTROL MASTER'!$X$2:$X$495,(SUMPRODUCT((('CONTROL MASTER'!$S$2:$S$495=7)*('CONTROL MASTER'!$Z$2:$Z$495&lt;=8)*('CONTROL MASTER'!$AB$2:$AB$495&gt;=8)*('CONTROL MASTER'!$AA$2:$AA$495&lt;=9)*('CONTROL MASTER'!$AC$2:$AC$495&gt;=9))*ROW('CONTROL MASTER'!$S$2:$S$495))-(ROW('CONTROL MASTER'!#REF!)-1)))&amp;TRIM(MID(SUBSTITUTE(SUBSTITUTE(INDEX('CONTROL MASTER'!$N$2:$N$495,(SUMPRODUCT((('CONTROL MASTER'!$S$2:$S$495=7)*('CONTROL MASTER'!$Z$2:$Z$495&lt;=8)*('CONTROL MASTER'!$AB$2:$AB$495&gt;=8)*('CONTROL MASTER'!$AA$2:$AA$495&lt;=9)*('CONTROL MASTER'!$AC$2:$AC$495&gt;=9))*ROW('CONTROL MASTER'!$S$2:$S$495))-(ROW('CONTROL MASTER'!#REF!)-1))),":",","),",",REPT(" ",50)),(((INDEX('CONTROL MASTER'!$Y$2:$Y$495,(SUMPRODUCT((('CONTROL MASTER'!$S$2:$S$495=7)*('CONTROL MASTER'!$Z$2:$Z$495&lt;=8)*('CONTROL MASTER'!$AB$2:$AB$495&gt;=8)*('CONTROL MASTER'!$AA$2:$AA$495&lt;=9)*('CONTROL MASTER'!$AC$2:$AC$495&gt;=9))*ROW('CONTROL MASTER'!$S$2:$S$495))-(ROW('CONTROL MASTER'!#REF!)-1)))+((8-INDEX('CONTROL MASTER'!$Z$2:$Z$495,(SUMPRODUCT((('CONTROL MASTER'!$S$2:$S$495=7)*('CONTROL MASTER'!$Z$2:$Z$495&lt;=8)*('CONTROL MASTER'!$AB$2:$AB$495&gt;=8)*('CONTROL MASTER'!$AA$2:$AA$495&lt;=9)*('CONTROL MASTER'!$AC$2:$AC$495&gt;=9))*ROW('CONTROL MASTER'!$S$2:$S$495))-(ROW('CONTROL MASTER'!#REF!)-1))))*(INDEX('CONTROL MASTER'!$AC$2:$AC$495,(SUMPRODUCT((('CONTROL MASTER'!$S$2:$S$495=7)*('CONTROL MASTER'!$Z$2:$Z$495&lt;=8)*('CONTROL MASTER'!$AB$2:$AB$495&gt;=8)*('CONTROL MASTER'!$AA$2:$AA$495&lt;=9)*('CONTROL MASTER'!$AC$2:$AC$495&gt;=9))*ROW('CONTROL MASTER'!$S$2:$S$495))-(ROW('CONTROL MASTER'!#REF!)-1)))-INDEX('CONTROL MASTER'!$AA$2:$AA$495,(SUMPRODUCT((('CONTROL MASTER'!$S$2:$S$495=7)*('CONTROL MASTER'!$Z$2:$Z$495&lt;=8)*('CONTROL MASTER'!$AB$2:$AB$495&gt;=8)*('CONTROL MASTER'!$AA$2:$AA$495&lt;=9)*('CONTROL MASTER'!$AC$2:$AC$495&gt;=9))*ROW('CONTROL MASTER'!$S$2:$S$495))-(ROW('CONTROL MASTER'!#REF!)-1)))+1)+(9-INDEX('CONTROL MASTER'!$AA$2:$AA$495,(SUMPRODUCT((('CONTROL MASTER'!$S$2:$S$495=7)*('CONTROL MASTER'!$Z$2:$Z$495&lt;=8)*('CONTROL MASTER'!$AB$2:$AB$495&gt;=8)*('CONTROL MASTER'!$AA$2:$AA$495&lt;=9)*('CONTROL MASTER'!$AC$2:$AC$495&gt;=9))*ROW('CONTROL MASTER'!$S$2:$S$495))-(ROW('CONTROL MASTER'!#REF!)-1))))+1)))-1)*50+1,50))&amp;"_"&amp;INDEX('CONTROL MASTER'!$P$2:$P$495,(SUMPRODUCT((('CONTROL MASTER'!$S$2:$S$495=7)*('CONTROL MASTER'!$Z$2:$Z$495&lt;=8)*('CONTROL MASTER'!$AB$2:$AB$495&gt;=8)*('CONTROL MASTER'!$AA$2:$AA$495&lt;=9)*('CONTROL MASTER'!$AC$2:$AC$495&gt;=9))*ROW('CONTROL MASTER'!$S$2:$S$495))-(ROW('CONTROL MASTER'!#REF!)-1))),"")),"")</f>
        <v/>
      </c>
      <c r="K94" s="10" t="str">
        <f>IFERROR(IF(SUMPRODUCT((('CONTROL MASTER'!$S$2:$S$495=7)*('CONTROL MASTER'!$T$2:$T$495&lt;=8)*('CONTROL MASTER'!$V$2:$V$495&gt;=8)*('CONTROL MASTER'!$U$2:$U$495&lt;=10)*('CONTROL MASTER'!$W$2:$W$495&gt;=10))*ROW('CONTROL MASTER'!$S$2:$S$495))&gt;0,INDEX('CONTROL MASTER'!$X$2:$X$495,(SUMPRODUCT((('CONTROL MASTER'!$S$2:$S$495=7)*('CONTROL MASTER'!$T$2:$T$495&lt;=8)*('CONTROL MASTER'!$V$2:$V$495&gt;=8)*('CONTROL MASTER'!$U$2:$U$495&lt;=10)*('CONTROL MASTER'!$W$2:$W$495&gt;=10))*ROW('CONTROL MASTER'!$S$2:$S$495))-(ROW('CONTROL MASTER'!#REF!)-1)))&amp;TRIM(MID(SUBSTITUTE(SUBSTITUTE(INDEX('CONTROL MASTER'!$N$2:$N$495,(SUMPRODUCT((('CONTROL MASTER'!$S$2:$S$495=7)*('CONTROL MASTER'!$T$2:$T$495&lt;=8)*('CONTROL MASTER'!$V$2:$V$495&gt;=8)*('CONTROL MASTER'!$U$2:$U$495&lt;=10)*('CONTROL MASTER'!$W$2:$W$495&gt;=10))*ROW('CONTROL MASTER'!$S$2:$S$495))-(ROW('CONTROL MASTER'!#REF!)-1))),":",","),",",REPT(" ",50)),((((8-INDEX('CONTROL MASTER'!$T$2:$T$495,(SUMPRODUCT((('CONTROL MASTER'!$S$2:$S$495=7)*('CONTROL MASTER'!$T$2:$T$495&lt;=8)*('CONTROL MASTER'!$V$2:$V$495&gt;=8)*('CONTROL MASTER'!$U$2:$U$495&lt;=10)*('CONTROL MASTER'!$W$2:$W$495&gt;=10))*ROW('CONTROL MASTER'!$S$2:$S$495))-(ROW('CONTROL MASTER'!#REF!)-1))))*(INDEX('CONTROL MASTER'!$W$2:$W$495,(SUMPRODUCT((('CONTROL MASTER'!$S$2:$S$495=7)*('CONTROL MASTER'!$T$2:$T$495&lt;=8)*('CONTROL MASTER'!$V$2:$V$495&gt;=8)*('CONTROL MASTER'!$U$2:$U$495&lt;=10)*('CONTROL MASTER'!$W$2:$W$495&gt;=10))*ROW('CONTROL MASTER'!$S$2:$S$495))-(ROW('CONTROL MASTER'!#REF!)-1)))-INDEX('CONTROL MASTER'!$U$2:$U$495,(SUMPRODUCT((('CONTROL MASTER'!$S$2:$S$495=7)*('CONTROL MASTER'!$T$2:$T$495&lt;=8)*('CONTROL MASTER'!$V$2:$V$495&gt;=8)*('CONTROL MASTER'!$U$2:$U$495&lt;=10)*('CONTROL MASTER'!$W$2:$W$495&gt;=10))*ROW('CONTROL MASTER'!$S$2:$S$495))-(ROW('CONTROL MASTER'!#REF!)-1)))+1)+(10-INDEX('CONTROL MASTER'!$U$2:$U$495,(SUMPRODUCT((('CONTROL MASTER'!$S$2:$S$495=7)*('CONTROL MASTER'!$T$2:$T$495&lt;=8)*('CONTROL MASTER'!$V$2:$V$495&gt;=8)*('CONTROL MASTER'!$U$2:$U$495&lt;=10)*('CONTROL MASTER'!$W$2:$W$495&gt;=10))*ROW('CONTROL MASTER'!$S$2:$S$495))-(ROW('CONTROL MASTER'!#REF!)-1))))+1))-1)*50+1,50))&amp;"_"&amp;INDEX('CONTROL MASTER'!$P$2:$P$495,(SUMPRODUCT((('CONTROL MASTER'!$S$2:$S$495=7)*('CONTROL MASTER'!$T$2:$T$495&lt;=8)*('CONTROL MASTER'!$V$2:$V$495&gt;=8)*('CONTROL MASTER'!$U$2:$U$495&lt;=10)*('CONTROL MASTER'!$W$2:$W$495&gt;=10))*ROW('CONTROL MASTER'!$S$2:$S$495))-(ROW('CONTROL MASTER'!#REF!)-1))),IF(SUMPRODUCT((('CONTROL MASTER'!$S$2:$S$495=7)*('CONTROL MASTER'!$Z$2:$Z$495&lt;=8)*('CONTROL MASTER'!$AB$2:$AB$495&gt;=8)*('CONTROL MASTER'!$AA$2:$AA$495&lt;=10)*('CONTROL MASTER'!$AC$2:$AC$495&gt;=10))*ROW('CONTROL MASTER'!$S$2:$S$495))&gt;0,INDEX('CONTROL MASTER'!$X$2:$X$495,(SUMPRODUCT((('CONTROL MASTER'!$S$2:$S$495=7)*('CONTROL MASTER'!$Z$2:$Z$495&lt;=8)*('CONTROL MASTER'!$AB$2:$AB$495&gt;=8)*('CONTROL MASTER'!$AA$2:$AA$495&lt;=10)*('CONTROL MASTER'!$AC$2:$AC$495&gt;=10))*ROW('CONTROL MASTER'!$S$2:$S$495))-(ROW('CONTROL MASTER'!#REF!)-1)))&amp;TRIM(MID(SUBSTITUTE(SUBSTITUTE(INDEX('CONTROL MASTER'!$N$2:$N$495,(SUMPRODUCT((('CONTROL MASTER'!$S$2:$S$495=7)*('CONTROL MASTER'!$Z$2:$Z$495&lt;=8)*('CONTROL MASTER'!$AB$2:$AB$495&gt;=8)*('CONTROL MASTER'!$AA$2:$AA$495&lt;=10)*('CONTROL MASTER'!$AC$2:$AC$495&gt;=10))*ROW('CONTROL MASTER'!$S$2:$S$495))-(ROW('CONTROL MASTER'!#REF!)-1))),":",","),",",REPT(" ",50)),(((INDEX('CONTROL MASTER'!$Y$2:$Y$495,(SUMPRODUCT((('CONTROL MASTER'!$S$2:$S$495=7)*('CONTROL MASTER'!$Z$2:$Z$495&lt;=8)*('CONTROL MASTER'!$AB$2:$AB$495&gt;=8)*('CONTROL MASTER'!$AA$2:$AA$495&lt;=10)*('CONTROL MASTER'!$AC$2:$AC$495&gt;=10))*ROW('CONTROL MASTER'!$S$2:$S$495))-(ROW('CONTROL MASTER'!#REF!)-1)))+((8-INDEX('CONTROL MASTER'!$Z$2:$Z$495,(SUMPRODUCT((('CONTROL MASTER'!$S$2:$S$495=7)*('CONTROL MASTER'!$Z$2:$Z$495&lt;=8)*('CONTROL MASTER'!$AB$2:$AB$495&gt;=8)*('CONTROL MASTER'!$AA$2:$AA$495&lt;=10)*('CONTROL MASTER'!$AC$2:$AC$495&gt;=10))*ROW('CONTROL MASTER'!$S$2:$S$495))-(ROW('CONTROL MASTER'!#REF!)-1))))*(INDEX('CONTROL MASTER'!$AC$2:$AC$495,(SUMPRODUCT((('CONTROL MASTER'!$S$2:$S$495=7)*('CONTROL MASTER'!$Z$2:$Z$495&lt;=8)*('CONTROL MASTER'!$AB$2:$AB$495&gt;=8)*('CONTROL MASTER'!$AA$2:$AA$495&lt;=10)*('CONTROL MASTER'!$AC$2:$AC$495&gt;=10))*ROW('CONTROL MASTER'!$S$2:$S$495))-(ROW('CONTROL MASTER'!#REF!)-1)))-INDEX('CONTROL MASTER'!$AA$2:$AA$495,(SUMPRODUCT((('CONTROL MASTER'!$S$2:$S$495=7)*('CONTROL MASTER'!$Z$2:$Z$495&lt;=8)*('CONTROL MASTER'!$AB$2:$AB$495&gt;=8)*('CONTROL MASTER'!$AA$2:$AA$495&lt;=10)*('CONTROL MASTER'!$AC$2:$AC$495&gt;=10))*ROW('CONTROL MASTER'!$S$2:$S$495))-(ROW('CONTROL MASTER'!#REF!)-1)))+1)+(10-INDEX('CONTROL MASTER'!$AA$2:$AA$495,(SUMPRODUCT((('CONTROL MASTER'!$S$2:$S$495=7)*('CONTROL MASTER'!$Z$2:$Z$495&lt;=8)*('CONTROL MASTER'!$AB$2:$AB$495&gt;=8)*('CONTROL MASTER'!$AA$2:$AA$495&lt;=10)*('CONTROL MASTER'!$AC$2:$AC$495&gt;=10))*ROW('CONTROL MASTER'!$S$2:$S$495))-(ROW('CONTROL MASTER'!#REF!)-1))))+1)))-1)*50+1,50))&amp;"_"&amp;INDEX('CONTROL MASTER'!$P$2:$P$495,(SUMPRODUCT((('CONTROL MASTER'!$S$2:$S$495=7)*('CONTROL MASTER'!$Z$2:$Z$495&lt;=8)*('CONTROL MASTER'!$AB$2:$AB$495&gt;=8)*('CONTROL MASTER'!$AA$2:$AA$495&lt;=10)*('CONTROL MASTER'!$AC$2:$AC$495&gt;=10))*ROW('CONTROL MASTER'!$S$2:$S$495))-(ROW('CONTROL MASTER'!#REF!)-1))),"")),"")</f>
        <v/>
      </c>
    </row>
    <row r="95" spans="1:11" ht="15" customHeight="1" x14ac:dyDescent="0.35">
      <c r="A95" s="8" t="s">
        <v>81</v>
      </c>
      <c r="B95" s="10" t="str">
        <f>IFERROR(IF(SUMPRODUCT((('CONTROL MASTER'!$S$2:$S$495=7)*('CONTROL MASTER'!$T$2:$T$495&lt;=9)*('CONTROL MASTER'!$V$2:$V$495&gt;=9)*('CONTROL MASTER'!$U$2:$U$495&lt;=1)*('CONTROL MASTER'!$W$2:$W$495&gt;=1))*ROW('CONTROL MASTER'!$S$2:$S$495))&gt;0,INDEX('CONTROL MASTER'!$X$2:$X$495,(SUMPRODUCT((('CONTROL MASTER'!$S$2:$S$495=7)*('CONTROL MASTER'!$T$2:$T$495&lt;=9)*('CONTROL MASTER'!$V$2:$V$495&gt;=9)*('CONTROL MASTER'!$U$2:$U$495&lt;=1)*('CONTROL MASTER'!$W$2:$W$495&gt;=1))*ROW('CONTROL MASTER'!$S$2:$S$495))-(ROW('CONTROL MASTER'!#REF!)-1)))&amp;TRIM(MID(SUBSTITUTE(SUBSTITUTE(INDEX('CONTROL MASTER'!$N$2:$N$495,(SUMPRODUCT((('CONTROL MASTER'!$S$2:$S$495=7)*('CONTROL MASTER'!$T$2:$T$495&lt;=9)*('CONTROL MASTER'!$V$2:$V$495&gt;=9)*('CONTROL MASTER'!$U$2:$U$495&lt;=1)*('CONTROL MASTER'!$W$2:$W$495&gt;=1))*ROW('CONTROL MASTER'!$S$2:$S$495))-(ROW('CONTROL MASTER'!#REF!)-1))),":",","),",",REPT(" ",50)),((((9-INDEX('CONTROL MASTER'!$T$2:$T$495,(SUMPRODUCT((('CONTROL MASTER'!$S$2:$S$495=7)*('CONTROL MASTER'!$T$2:$T$495&lt;=9)*('CONTROL MASTER'!$V$2:$V$495&gt;=9)*('CONTROL MASTER'!$U$2:$U$495&lt;=1)*('CONTROL MASTER'!$W$2:$W$495&gt;=1))*ROW('CONTROL MASTER'!$S$2:$S$495))-(ROW('CONTROL MASTER'!#REF!)-1))))*(INDEX('CONTROL MASTER'!$W$2:$W$495,(SUMPRODUCT((('CONTROL MASTER'!$S$2:$S$495=7)*('CONTROL MASTER'!$T$2:$T$495&lt;=9)*('CONTROL MASTER'!$V$2:$V$495&gt;=9)*('CONTROL MASTER'!$U$2:$U$495&lt;=1)*('CONTROL MASTER'!$W$2:$W$495&gt;=1))*ROW('CONTROL MASTER'!$S$2:$S$495))-(ROW('CONTROL MASTER'!#REF!)-1)))-INDEX('CONTROL MASTER'!$U$2:$U$495,(SUMPRODUCT((('CONTROL MASTER'!$S$2:$S$495=7)*('CONTROL MASTER'!$T$2:$T$495&lt;=9)*('CONTROL MASTER'!$V$2:$V$495&gt;=9)*('CONTROL MASTER'!$U$2:$U$495&lt;=1)*('CONTROL MASTER'!$W$2:$W$495&gt;=1))*ROW('CONTROL MASTER'!$S$2:$S$495))-(ROW('CONTROL MASTER'!#REF!)-1)))+1)+(1-INDEX('CONTROL MASTER'!$U$2:$U$495,(SUMPRODUCT((('CONTROL MASTER'!$S$2:$S$495=7)*('CONTROL MASTER'!$T$2:$T$495&lt;=9)*('CONTROL MASTER'!$V$2:$V$495&gt;=9)*('CONTROL MASTER'!$U$2:$U$495&lt;=1)*('CONTROL MASTER'!$W$2:$W$495&gt;=1))*ROW('CONTROL MASTER'!$S$2:$S$495))-(ROW('CONTROL MASTER'!#REF!)-1))))+1))-1)*50+1,50))&amp;"_"&amp;INDEX('CONTROL MASTER'!$P$2:$P$495,(SUMPRODUCT((('CONTROL MASTER'!$S$2:$S$495=7)*('CONTROL MASTER'!$T$2:$T$495&lt;=9)*('CONTROL MASTER'!$V$2:$V$495&gt;=9)*('CONTROL MASTER'!$U$2:$U$495&lt;=1)*('CONTROL MASTER'!$W$2:$W$495&gt;=1))*ROW('CONTROL MASTER'!$S$2:$S$495))-(ROW('CONTROL MASTER'!#REF!)-1))),IF(SUMPRODUCT((('CONTROL MASTER'!$S$2:$S$495=7)*('CONTROL MASTER'!$Z$2:$Z$495&lt;=9)*('CONTROL MASTER'!$AB$2:$AB$495&gt;=9)*('CONTROL MASTER'!$AA$2:$AA$495&lt;=1)*('CONTROL MASTER'!$AC$2:$AC$495&gt;=1))*ROW('CONTROL MASTER'!$S$2:$S$495))&gt;0,INDEX('CONTROL MASTER'!$X$2:$X$495,(SUMPRODUCT((('CONTROL MASTER'!$S$2:$S$495=7)*('CONTROL MASTER'!$Z$2:$Z$495&lt;=9)*('CONTROL MASTER'!$AB$2:$AB$495&gt;=9)*('CONTROL MASTER'!$AA$2:$AA$495&lt;=1)*('CONTROL MASTER'!$AC$2:$AC$495&gt;=1))*ROW('CONTROL MASTER'!$S$2:$S$495))-(ROW('CONTROL MASTER'!#REF!)-1)))&amp;TRIM(MID(SUBSTITUTE(SUBSTITUTE(INDEX('CONTROL MASTER'!$N$2:$N$495,(SUMPRODUCT((('CONTROL MASTER'!$S$2:$S$495=7)*('CONTROL MASTER'!$Z$2:$Z$495&lt;=9)*('CONTROL MASTER'!$AB$2:$AB$495&gt;=9)*('CONTROL MASTER'!$AA$2:$AA$495&lt;=1)*('CONTROL MASTER'!$AC$2:$AC$495&gt;=1))*ROW('CONTROL MASTER'!$S$2:$S$495))-(ROW('CONTROL MASTER'!#REF!)-1))),":",","),",",REPT(" ",50)),(((INDEX('CONTROL MASTER'!$Y$2:$Y$495,(SUMPRODUCT((('CONTROL MASTER'!$S$2:$S$495=7)*('CONTROL MASTER'!$Z$2:$Z$495&lt;=9)*('CONTROL MASTER'!$AB$2:$AB$495&gt;=9)*('CONTROL MASTER'!$AA$2:$AA$495&lt;=1)*('CONTROL MASTER'!$AC$2:$AC$495&gt;=1))*ROW('CONTROL MASTER'!$S$2:$S$495))-(ROW('CONTROL MASTER'!#REF!)-1)))+((9-INDEX('CONTROL MASTER'!$Z$2:$Z$495,(SUMPRODUCT((('CONTROL MASTER'!$S$2:$S$495=7)*('CONTROL MASTER'!$Z$2:$Z$495&lt;=9)*('CONTROL MASTER'!$AB$2:$AB$495&gt;=9)*('CONTROL MASTER'!$AA$2:$AA$495&lt;=1)*('CONTROL MASTER'!$AC$2:$AC$495&gt;=1))*ROW('CONTROL MASTER'!$S$2:$S$495))-(ROW('CONTROL MASTER'!#REF!)-1))))*(INDEX('CONTROL MASTER'!$AC$2:$AC$495,(SUMPRODUCT((('CONTROL MASTER'!$S$2:$S$495=7)*('CONTROL MASTER'!$Z$2:$Z$495&lt;=9)*('CONTROL MASTER'!$AB$2:$AB$495&gt;=9)*('CONTROL MASTER'!$AA$2:$AA$495&lt;=1)*('CONTROL MASTER'!$AC$2:$AC$495&gt;=1))*ROW('CONTROL MASTER'!$S$2:$S$495))-(ROW('CONTROL MASTER'!#REF!)-1)))-INDEX('CONTROL MASTER'!$AA$2:$AA$495,(SUMPRODUCT((('CONTROL MASTER'!$S$2:$S$495=7)*('CONTROL MASTER'!$Z$2:$Z$495&lt;=9)*('CONTROL MASTER'!$AB$2:$AB$495&gt;=9)*('CONTROL MASTER'!$AA$2:$AA$495&lt;=1)*('CONTROL MASTER'!$AC$2:$AC$495&gt;=1))*ROW('CONTROL MASTER'!$S$2:$S$495))-(ROW('CONTROL MASTER'!#REF!)-1)))+1)+(1-INDEX('CONTROL MASTER'!$AA$2:$AA$495,(SUMPRODUCT((('CONTROL MASTER'!$S$2:$S$495=7)*('CONTROL MASTER'!$Z$2:$Z$495&lt;=9)*('CONTROL MASTER'!$AB$2:$AB$495&gt;=9)*('CONTROL MASTER'!$AA$2:$AA$495&lt;=1)*('CONTROL MASTER'!$AC$2:$AC$495&gt;=1))*ROW('CONTROL MASTER'!$S$2:$S$495))-(ROW('CONTROL MASTER'!#REF!)-1))))+1)))-1)*50+1,50))&amp;"_"&amp;INDEX('CONTROL MASTER'!$P$2:$P$495,(SUMPRODUCT((('CONTROL MASTER'!$S$2:$S$495=7)*('CONTROL MASTER'!$Z$2:$Z$495&lt;=9)*('CONTROL MASTER'!$AB$2:$AB$495&gt;=9)*('CONTROL MASTER'!$AA$2:$AA$495&lt;=1)*('CONTROL MASTER'!$AC$2:$AC$495&gt;=1))*ROW('CONTROL MASTER'!$S$2:$S$495))-(ROW('CONTROL MASTER'!#REF!)-1))),"")),"")</f>
        <v/>
      </c>
      <c r="C95" s="10" t="str">
        <f>IFERROR(IF(SUMPRODUCT((('CONTROL MASTER'!$S$2:$S$495=7)*('CONTROL MASTER'!$T$2:$T$495&lt;=9)*('CONTROL MASTER'!$V$2:$V$495&gt;=9)*('CONTROL MASTER'!$U$2:$U$495&lt;=2)*('CONTROL MASTER'!$W$2:$W$495&gt;=2))*ROW('CONTROL MASTER'!$S$2:$S$495))&gt;0,INDEX('CONTROL MASTER'!$X$2:$X$495,(SUMPRODUCT((('CONTROL MASTER'!$S$2:$S$495=7)*('CONTROL MASTER'!$T$2:$T$495&lt;=9)*('CONTROL MASTER'!$V$2:$V$495&gt;=9)*('CONTROL MASTER'!$U$2:$U$495&lt;=2)*('CONTROL MASTER'!$W$2:$W$495&gt;=2))*ROW('CONTROL MASTER'!$S$2:$S$495))-(ROW('CONTROL MASTER'!#REF!)-1)))&amp;TRIM(MID(SUBSTITUTE(SUBSTITUTE(INDEX('CONTROL MASTER'!$N$2:$N$495,(SUMPRODUCT((('CONTROL MASTER'!$S$2:$S$495=7)*('CONTROL MASTER'!$T$2:$T$495&lt;=9)*('CONTROL MASTER'!$V$2:$V$495&gt;=9)*('CONTROL MASTER'!$U$2:$U$495&lt;=2)*('CONTROL MASTER'!$W$2:$W$495&gt;=2))*ROW('CONTROL MASTER'!$S$2:$S$495))-(ROW('CONTROL MASTER'!#REF!)-1))),":",","),",",REPT(" ",50)),((((9-INDEX('CONTROL MASTER'!$T$2:$T$495,(SUMPRODUCT((('CONTROL MASTER'!$S$2:$S$495=7)*('CONTROL MASTER'!$T$2:$T$495&lt;=9)*('CONTROL MASTER'!$V$2:$V$495&gt;=9)*('CONTROL MASTER'!$U$2:$U$495&lt;=2)*('CONTROL MASTER'!$W$2:$W$495&gt;=2))*ROW('CONTROL MASTER'!$S$2:$S$495))-(ROW('CONTROL MASTER'!#REF!)-1))))*(INDEX('CONTROL MASTER'!$W$2:$W$495,(SUMPRODUCT((('CONTROL MASTER'!$S$2:$S$495=7)*('CONTROL MASTER'!$T$2:$T$495&lt;=9)*('CONTROL MASTER'!$V$2:$V$495&gt;=9)*('CONTROL MASTER'!$U$2:$U$495&lt;=2)*('CONTROL MASTER'!$W$2:$W$495&gt;=2))*ROW('CONTROL MASTER'!$S$2:$S$495))-(ROW('CONTROL MASTER'!#REF!)-1)))-INDEX('CONTROL MASTER'!$U$2:$U$495,(SUMPRODUCT((('CONTROL MASTER'!$S$2:$S$495=7)*('CONTROL MASTER'!$T$2:$T$495&lt;=9)*('CONTROL MASTER'!$V$2:$V$495&gt;=9)*('CONTROL MASTER'!$U$2:$U$495&lt;=2)*('CONTROL MASTER'!$W$2:$W$495&gt;=2))*ROW('CONTROL MASTER'!$S$2:$S$495))-(ROW('CONTROL MASTER'!#REF!)-1)))+1)+(2-INDEX('CONTROL MASTER'!$U$2:$U$495,(SUMPRODUCT((('CONTROL MASTER'!$S$2:$S$495=7)*('CONTROL MASTER'!$T$2:$T$495&lt;=9)*('CONTROL MASTER'!$V$2:$V$495&gt;=9)*('CONTROL MASTER'!$U$2:$U$495&lt;=2)*('CONTROL MASTER'!$W$2:$W$495&gt;=2))*ROW('CONTROL MASTER'!$S$2:$S$495))-(ROW('CONTROL MASTER'!#REF!)-1))))+1))-1)*50+1,50))&amp;"_"&amp;INDEX('CONTROL MASTER'!$P$2:$P$495,(SUMPRODUCT((('CONTROL MASTER'!$S$2:$S$495=7)*('CONTROL MASTER'!$T$2:$T$495&lt;=9)*('CONTROL MASTER'!$V$2:$V$495&gt;=9)*('CONTROL MASTER'!$U$2:$U$495&lt;=2)*('CONTROL MASTER'!$W$2:$W$495&gt;=2))*ROW('CONTROL MASTER'!$S$2:$S$495))-(ROW('CONTROL MASTER'!#REF!)-1))),IF(SUMPRODUCT((('CONTROL MASTER'!$S$2:$S$495=7)*('CONTROL MASTER'!$Z$2:$Z$495&lt;=9)*('CONTROL MASTER'!$AB$2:$AB$495&gt;=9)*('CONTROL MASTER'!$AA$2:$AA$495&lt;=2)*('CONTROL MASTER'!$AC$2:$AC$495&gt;=2))*ROW('CONTROL MASTER'!$S$2:$S$495))&gt;0,INDEX('CONTROL MASTER'!$X$2:$X$495,(SUMPRODUCT((('CONTROL MASTER'!$S$2:$S$495=7)*('CONTROL MASTER'!$Z$2:$Z$495&lt;=9)*('CONTROL MASTER'!$AB$2:$AB$495&gt;=9)*('CONTROL MASTER'!$AA$2:$AA$495&lt;=2)*('CONTROL MASTER'!$AC$2:$AC$495&gt;=2))*ROW('CONTROL MASTER'!$S$2:$S$495))-(ROW('CONTROL MASTER'!#REF!)-1)))&amp;TRIM(MID(SUBSTITUTE(SUBSTITUTE(INDEX('CONTROL MASTER'!$N$2:$N$495,(SUMPRODUCT((('CONTROL MASTER'!$S$2:$S$495=7)*('CONTROL MASTER'!$Z$2:$Z$495&lt;=9)*('CONTROL MASTER'!$AB$2:$AB$495&gt;=9)*('CONTROL MASTER'!$AA$2:$AA$495&lt;=2)*('CONTROL MASTER'!$AC$2:$AC$495&gt;=2))*ROW('CONTROL MASTER'!$S$2:$S$495))-(ROW('CONTROL MASTER'!#REF!)-1))),":",","),",",REPT(" ",50)),(((INDEX('CONTROL MASTER'!$Y$2:$Y$495,(SUMPRODUCT((('CONTROL MASTER'!$S$2:$S$495=7)*('CONTROL MASTER'!$Z$2:$Z$495&lt;=9)*('CONTROL MASTER'!$AB$2:$AB$495&gt;=9)*('CONTROL MASTER'!$AA$2:$AA$495&lt;=2)*('CONTROL MASTER'!$AC$2:$AC$495&gt;=2))*ROW('CONTROL MASTER'!$S$2:$S$495))-(ROW('CONTROL MASTER'!#REF!)-1)))+((9-INDEX('CONTROL MASTER'!$Z$2:$Z$495,(SUMPRODUCT((('CONTROL MASTER'!$S$2:$S$495=7)*('CONTROL MASTER'!$Z$2:$Z$495&lt;=9)*('CONTROL MASTER'!$AB$2:$AB$495&gt;=9)*('CONTROL MASTER'!$AA$2:$AA$495&lt;=2)*('CONTROL MASTER'!$AC$2:$AC$495&gt;=2))*ROW('CONTROL MASTER'!$S$2:$S$495))-(ROW('CONTROL MASTER'!#REF!)-1))))*(INDEX('CONTROL MASTER'!$AC$2:$AC$495,(SUMPRODUCT((('CONTROL MASTER'!$S$2:$S$495=7)*('CONTROL MASTER'!$Z$2:$Z$495&lt;=9)*('CONTROL MASTER'!$AB$2:$AB$495&gt;=9)*('CONTROL MASTER'!$AA$2:$AA$495&lt;=2)*('CONTROL MASTER'!$AC$2:$AC$495&gt;=2))*ROW('CONTROL MASTER'!$S$2:$S$495))-(ROW('CONTROL MASTER'!#REF!)-1)))-INDEX('CONTROL MASTER'!$AA$2:$AA$495,(SUMPRODUCT((('CONTROL MASTER'!$S$2:$S$495=7)*('CONTROL MASTER'!$Z$2:$Z$495&lt;=9)*('CONTROL MASTER'!$AB$2:$AB$495&gt;=9)*('CONTROL MASTER'!$AA$2:$AA$495&lt;=2)*('CONTROL MASTER'!$AC$2:$AC$495&gt;=2))*ROW('CONTROL MASTER'!$S$2:$S$495))-(ROW('CONTROL MASTER'!#REF!)-1)))+1)+(2-INDEX('CONTROL MASTER'!$AA$2:$AA$495,(SUMPRODUCT((('CONTROL MASTER'!$S$2:$S$495=7)*('CONTROL MASTER'!$Z$2:$Z$495&lt;=9)*('CONTROL MASTER'!$AB$2:$AB$495&gt;=9)*('CONTROL MASTER'!$AA$2:$AA$495&lt;=2)*('CONTROL MASTER'!$AC$2:$AC$495&gt;=2))*ROW('CONTROL MASTER'!$S$2:$S$495))-(ROW('CONTROL MASTER'!#REF!)-1))))+1)))-1)*50+1,50))&amp;"_"&amp;INDEX('CONTROL MASTER'!$P$2:$P$495,(SUMPRODUCT((('CONTROL MASTER'!$S$2:$S$495=7)*('CONTROL MASTER'!$Z$2:$Z$495&lt;=9)*('CONTROL MASTER'!$AB$2:$AB$495&gt;=9)*('CONTROL MASTER'!$AA$2:$AA$495&lt;=2)*('CONTROL MASTER'!$AC$2:$AC$495&gt;=2))*ROW('CONTROL MASTER'!$S$2:$S$495))-(ROW('CONTROL MASTER'!#REF!)-1))),"")),"")</f>
        <v/>
      </c>
      <c r="D95" s="10" t="str">
        <f>IFERROR(IF(SUMPRODUCT((('CONTROL MASTER'!$S$2:$S$495=7)*('CONTROL MASTER'!$T$2:$T$495&lt;=9)*('CONTROL MASTER'!$V$2:$V$495&gt;=9)*('CONTROL MASTER'!$U$2:$U$495&lt;=3)*('CONTROL MASTER'!$W$2:$W$495&gt;=3))*ROW('CONTROL MASTER'!$S$2:$S$495))&gt;0,INDEX('CONTROL MASTER'!$X$2:$X$495,(SUMPRODUCT((('CONTROL MASTER'!$S$2:$S$495=7)*('CONTROL MASTER'!$T$2:$T$495&lt;=9)*('CONTROL MASTER'!$V$2:$V$495&gt;=9)*('CONTROL MASTER'!$U$2:$U$495&lt;=3)*('CONTROL MASTER'!$W$2:$W$495&gt;=3))*ROW('CONTROL MASTER'!$S$2:$S$495))-(ROW('CONTROL MASTER'!#REF!)-1)))&amp;TRIM(MID(SUBSTITUTE(SUBSTITUTE(INDEX('CONTROL MASTER'!$N$2:$N$495,(SUMPRODUCT((('CONTROL MASTER'!$S$2:$S$495=7)*('CONTROL MASTER'!$T$2:$T$495&lt;=9)*('CONTROL MASTER'!$V$2:$V$495&gt;=9)*('CONTROL MASTER'!$U$2:$U$495&lt;=3)*('CONTROL MASTER'!$W$2:$W$495&gt;=3))*ROW('CONTROL MASTER'!$S$2:$S$495))-(ROW('CONTROL MASTER'!#REF!)-1))),":",","),",",REPT(" ",50)),((((9-INDEX('CONTROL MASTER'!$T$2:$T$495,(SUMPRODUCT((('CONTROL MASTER'!$S$2:$S$495=7)*('CONTROL MASTER'!$T$2:$T$495&lt;=9)*('CONTROL MASTER'!$V$2:$V$495&gt;=9)*('CONTROL MASTER'!$U$2:$U$495&lt;=3)*('CONTROL MASTER'!$W$2:$W$495&gt;=3))*ROW('CONTROL MASTER'!$S$2:$S$495))-(ROW('CONTROL MASTER'!#REF!)-1))))*(INDEX('CONTROL MASTER'!$W$2:$W$495,(SUMPRODUCT((('CONTROL MASTER'!$S$2:$S$495=7)*('CONTROL MASTER'!$T$2:$T$495&lt;=9)*('CONTROL MASTER'!$V$2:$V$495&gt;=9)*('CONTROL MASTER'!$U$2:$U$495&lt;=3)*('CONTROL MASTER'!$W$2:$W$495&gt;=3))*ROW('CONTROL MASTER'!$S$2:$S$495))-(ROW('CONTROL MASTER'!#REF!)-1)))-INDEX('CONTROL MASTER'!$U$2:$U$495,(SUMPRODUCT((('CONTROL MASTER'!$S$2:$S$495=7)*('CONTROL MASTER'!$T$2:$T$495&lt;=9)*('CONTROL MASTER'!$V$2:$V$495&gt;=9)*('CONTROL MASTER'!$U$2:$U$495&lt;=3)*('CONTROL MASTER'!$W$2:$W$495&gt;=3))*ROW('CONTROL MASTER'!$S$2:$S$495))-(ROW('CONTROL MASTER'!#REF!)-1)))+1)+(3-INDEX('CONTROL MASTER'!$U$2:$U$495,(SUMPRODUCT((('CONTROL MASTER'!$S$2:$S$495=7)*('CONTROL MASTER'!$T$2:$T$495&lt;=9)*('CONTROL MASTER'!$V$2:$V$495&gt;=9)*('CONTROL MASTER'!$U$2:$U$495&lt;=3)*('CONTROL MASTER'!$W$2:$W$495&gt;=3))*ROW('CONTROL MASTER'!$S$2:$S$495))-(ROW('CONTROL MASTER'!#REF!)-1))))+1))-1)*50+1,50))&amp;"_"&amp;INDEX('CONTROL MASTER'!$P$2:$P$495,(SUMPRODUCT((('CONTROL MASTER'!$S$2:$S$495=7)*('CONTROL MASTER'!$T$2:$T$495&lt;=9)*('CONTROL MASTER'!$V$2:$V$495&gt;=9)*('CONTROL MASTER'!$U$2:$U$495&lt;=3)*('CONTROL MASTER'!$W$2:$W$495&gt;=3))*ROW('CONTROL MASTER'!$S$2:$S$495))-(ROW('CONTROL MASTER'!#REF!)-1))),IF(SUMPRODUCT((('CONTROL MASTER'!$S$2:$S$495=7)*('CONTROL MASTER'!$Z$2:$Z$495&lt;=9)*('CONTROL MASTER'!$AB$2:$AB$495&gt;=9)*('CONTROL MASTER'!$AA$2:$AA$495&lt;=3)*('CONTROL MASTER'!$AC$2:$AC$495&gt;=3))*ROW('CONTROL MASTER'!$S$2:$S$495))&gt;0,INDEX('CONTROL MASTER'!$X$2:$X$495,(SUMPRODUCT((('CONTROL MASTER'!$S$2:$S$495=7)*('CONTROL MASTER'!$Z$2:$Z$495&lt;=9)*('CONTROL MASTER'!$AB$2:$AB$495&gt;=9)*('CONTROL MASTER'!$AA$2:$AA$495&lt;=3)*('CONTROL MASTER'!$AC$2:$AC$495&gt;=3))*ROW('CONTROL MASTER'!$S$2:$S$495))-(ROW('CONTROL MASTER'!#REF!)-1)))&amp;TRIM(MID(SUBSTITUTE(SUBSTITUTE(INDEX('CONTROL MASTER'!$N$2:$N$495,(SUMPRODUCT((('CONTROL MASTER'!$S$2:$S$495=7)*('CONTROL MASTER'!$Z$2:$Z$495&lt;=9)*('CONTROL MASTER'!$AB$2:$AB$495&gt;=9)*('CONTROL MASTER'!$AA$2:$AA$495&lt;=3)*('CONTROL MASTER'!$AC$2:$AC$495&gt;=3))*ROW('CONTROL MASTER'!$S$2:$S$495))-(ROW('CONTROL MASTER'!#REF!)-1))),":",","),",",REPT(" ",50)),(((INDEX('CONTROL MASTER'!$Y$2:$Y$495,(SUMPRODUCT((('CONTROL MASTER'!$S$2:$S$495=7)*('CONTROL MASTER'!$Z$2:$Z$495&lt;=9)*('CONTROL MASTER'!$AB$2:$AB$495&gt;=9)*('CONTROL MASTER'!$AA$2:$AA$495&lt;=3)*('CONTROL MASTER'!$AC$2:$AC$495&gt;=3))*ROW('CONTROL MASTER'!$S$2:$S$495))-(ROW('CONTROL MASTER'!#REF!)-1)))+((9-INDEX('CONTROL MASTER'!$Z$2:$Z$495,(SUMPRODUCT((('CONTROL MASTER'!$S$2:$S$495=7)*('CONTROL MASTER'!$Z$2:$Z$495&lt;=9)*('CONTROL MASTER'!$AB$2:$AB$495&gt;=9)*('CONTROL MASTER'!$AA$2:$AA$495&lt;=3)*('CONTROL MASTER'!$AC$2:$AC$495&gt;=3))*ROW('CONTROL MASTER'!$S$2:$S$495))-(ROW('CONTROL MASTER'!#REF!)-1))))*(INDEX('CONTROL MASTER'!$AC$2:$AC$495,(SUMPRODUCT((('CONTROL MASTER'!$S$2:$S$495=7)*('CONTROL MASTER'!$Z$2:$Z$495&lt;=9)*('CONTROL MASTER'!$AB$2:$AB$495&gt;=9)*('CONTROL MASTER'!$AA$2:$AA$495&lt;=3)*('CONTROL MASTER'!$AC$2:$AC$495&gt;=3))*ROW('CONTROL MASTER'!$S$2:$S$495))-(ROW('CONTROL MASTER'!#REF!)-1)))-INDEX('CONTROL MASTER'!$AA$2:$AA$495,(SUMPRODUCT((('CONTROL MASTER'!$S$2:$S$495=7)*('CONTROL MASTER'!$Z$2:$Z$495&lt;=9)*('CONTROL MASTER'!$AB$2:$AB$495&gt;=9)*('CONTROL MASTER'!$AA$2:$AA$495&lt;=3)*('CONTROL MASTER'!$AC$2:$AC$495&gt;=3))*ROW('CONTROL MASTER'!$S$2:$S$495))-(ROW('CONTROL MASTER'!#REF!)-1)))+1)+(3-INDEX('CONTROL MASTER'!$AA$2:$AA$495,(SUMPRODUCT((('CONTROL MASTER'!$S$2:$S$495=7)*('CONTROL MASTER'!$Z$2:$Z$495&lt;=9)*('CONTROL MASTER'!$AB$2:$AB$495&gt;=9)*('CONTROL MASTER'!$AA$2:$AA$495&lt;=3)*('CONTROL MASTER'!$AC$2:$AC$495&gt;=3))*ROW('CONTROL MASTER'!$S$2:$S$495))-(ROW('CONTROL MASTER'!#REF!)-1))))+1)))-1)*50+1,50))&amp;"_"&amp;INDEX('CONTROL MASTER'!$P$2:$P$495,(SUMPRODUCT((('CONTROL MASTER'!$S$2:$S$495=7)*('CONTROL MASTER'!$Z$2:$Z$495&lt;=9)*('CONTROL MASTER'!$AB$2:$AB$495&gt;=9)*('CONTROL MASTER'!$AA$2:$AA$495&lt;=3)*('CONTROL MASTER'!$AC$2:$AC$495&gt;=3))*ROW('CONTROL MASTER'!$S$2:$S$495))-(ROW('CONTROL MASTER'!#REF!)-1))),"")),"")</f>
        <v/>
      </c>
      <c r="E95" s="10" t="str">
        <f>IFERROR(IF(SUMPRODUCT((('CONTROL MASTER'!$S$2:$S$495=7)*('CONTROL MASTER'!$T$2:$T$495&lt;=9)*('CONTROL MASTER'!$V$2:$V$495&gt;=9)*('CONTROL MASTER'!$U$2:$U$495&lt;=4)*('CONTROL MASTER'!$W$2:$W$495&gt;=4))*ROW('CONTROL MASTER'!$S$2:$S$495))&gt;0,INDEX('CONTROL MASTER'!$X$2:$X$495,(SUMPRODUCT((('CONTROL MASTER'!$S$2:$S$495=7)*('CONTROL MASTER'!$T$2:$T$495&lt;=9)*('CONTROL MASTER'!$V$2:$V$495&gt;=9)*('CONTROL MASTER'!$U$2:$U$495&lt;=4)*('CONTROL MASTER'!$W$2:$W$495&gt;=4))*ROW('CONTROL MASTER'!$S$2:$S$495))-(ROW('CONTROL MASTER'!#REF!)-1)))&amp;TRIM(MID(SUBSTITUTE(SUBSTITUTE(INDEX('CONTROL MASTER'!$N$2:$N$495,(SUMPRODUCT((('CONTROL MASTER'!$S$2:$S$495=7)*('CONTROL MASTER'!$T$2:$T$495&lt;=9)*('CONTROL MASTER'!$V$2:$V$495&gt;=9)*('CONTROL MASTER'!$U$2:$U$495&lt;=4)*('CONTROL MASTER'!$W$2:$W$495&gt;=4))*ROW('CONTROL MASTER'!$S$2:$S$495))-(ROW('CONTROL MASTER'!#REF!)-1))),":",","),",",REPT(" ",50)),((((9-INDEX('CONTROL MASTER'!$T$2:$T$495,(SUMPRODUCT((('CONTROL MASTER'!$S$2:$S$495=7)*('CONTROL MASTER'!$T$2:$T$495&lt;=9)*('CONTROL MASTER'!$V$2:$V$495&gt;=9)*('CONTROL MASTER'!$U$2:$U$495&lt;=4)*('CONTROL MASTER'!$W$2:$W$495&gt;=4))*ROW('CONTROL MASTER'!$S$2:$S$495))-(ROW('CONTROL MASTER'!#REF!)-1))))*(INDEX('CONTROL MASTER'!$W$2:$W$495,(SUMPRODUCT((('CONTROL MASTER'!$S$2:$S$495=7)*('CONTROL MASTER'!$T$2:$T$495&lt;=9)*('CONTROL MASTER'!$V$2:$V$495&gt;=9)*('CONTROL MASTER'!$U$2:$U$495&lt;=4)*('CONTROL MASTER'!$W$2:$W$495&gt;=4))*ROW('CONTROL MASTER'!$S$2:$S$495))-(ROW('CONTROL MASTER'!#REF!)-1)))-INDEX('CONTROL MASTER'!$U$2:$U$495,(SUMPRODUCT((('CONTROL MASTER'!$S$2:$S$495=7)*('CONTROL MASTER'!$T$2:$T$495&lt;=9)*('CONTROL MASTER'!$V$2:$V$495&gt;=9)*('CONTROL MASTER'!$U$2:$U$495&lt;=4)*('CONTROL MASTER'!$W$2:$W$495&gt;=4))*ROW('CONTROL MASTER'!$S$2:$S$495))-(ROW('CONTROL MASTER'!#REF!)-1)))+1)+(4-INDEX('CONTROL MASTER'!$U$2:$U$495,(SUMPRODUCT((('CONTROL MASTER'!$S$2:$S$495=7)*('CONTROL MASTER'!$T$2:$T$495&lt;=9)*('CONTROL MASTER'!$V$2:$V$495&gt;=9)*('CONTROL MASTER'!$U$2:$U$495&lt;=4)*('CONTROL MASTER'!$W$2:$W$495&gt;=4))*ROW('CONTROL MASTER'!$S$2:$S$495))-(ROW('CONTROL MASTER'!#REF!)-1))))+1))-1)*50+1,50))&amp;"_"&amp;INDEX('CONTROL MASTER'!$P$2:$P$495,(SUMPRODUCT((('CONTROL MASTER'!$S$2:$S$495=7)*('CONTROL MASTER'!$T$2:$T$495&lt;=9)*('CONTROL MASTER'!$V$2:$V$495&gt;=9)*('CONTROL MASTER'!$U$2:$U$495&lt;=4)*('CONTROL MASTER'!$W$2:$W$495&gt;=4))*ROW('CONTROL MASTER'!$S$2:$S$495))-(ROW('CONTROL MASTER'!#REF!)-1))),IF(SUMPRODUCT((('CONTROL MASTER'!$S$2:$S$495=7)*('CONTROL MASTER'!$Z$2:$Z$495&lt;=9)*('CONTROL MASTER'!$AB$2:$AB$495&gt;=9)*('CONTROL MASTER'!$AA$2:$AA$495&lt;=4)*('CONTROL MASTER'!$AC$2:$AC$495&gt;=4))*ROW('CONTROL MASTER'!$S$2:$S$495))&gt;0,INDEX('CONTROL MASTER'!$X$2:$X$495,(SUMPRODUCT((('CONTROL MASTER'!$S$2:$S$495=7)*('CONTROL MASTER'!$Z$2:$Z$495&lt;=9)*('CONTROL MASTER'!$AB$2:$AB$495&gt;=9)*('CONTROL MASTER'!$AA$2:$AA$495&lt;=4)*('CONTROL MASTER'!$AC$2:$AC$495&gt;=4))*ROW('CONTROL MASTER'!$S$2:$S$495))-(ROW('CONTROL MASTER'!#REF!)-1)))&amp;TRIM(MID(SUBSTITUTE(SUBSTITUTE(INDEX('CONTROL MASTER'!$N$2:$N$495,(SUMPRODUCT((('CONTROL MASTER'!$S$2:$S$495=7)*('CONTROL MASTER'!$Z$2:$Z$495&lt;=9)*('CONTROL MASTER'!$AB$2:$AB$495&gt;=9)*('CONTROL MASTER'!$AA$2:$AA$495&lt;=4)*('CONTROL MASTER'!$AC$2:$AC$495&gt;=4))*ROW('CONTROL MASTER'!$S$2:$S$495))-(ROW('CONTROL MASTER'!#REF!)-1))),":",","),",",REPT(" ",50)),(((INDEX('CONTROL MASTER'!$Y$2:$Y$495,(SUMPRODUCT((('CONTROL MASTER'!$S$2:$S$495=7)*('CONTROL MASTER'!$Z$2:$Z$495&lt;=9)*('CONTROL MASTER'!$AB$2:$AB$495&gt;=9)*('CONTROL MASTER'!$AA$2:$AA$495&lt;=4)*('CONTROL MASTER'!$AC$2:$AC$495&gt;=4))*ROW('CONTROL MASTER'!$S$2:$S$495))-(ROW('CONTROL MASTER'!#REF!)-1)))+((9-INDEX('CONTROL MASTER'!$Z$2:$Z$495,(SUMPRODUCT((('CONTROL MASTER'!$S$2:$S$495=7)*('CONTROL MASTER'!$Z$2:$Z$495&lt;=9)*('CONTROL MASTER'!$AB$2:$AB$495&gt;=9)*('CONTROL MASTER'!$AA$2:$AA$495&lt;=4)*('CONTROL MASTER'!$AC$2:$AC$495&gt;=4))*ROW('CONTROL MASTER'!$S$2:$S$495))-(ROW('CONTROL MASTER'!#REF!)-1))))*(INDEX('CONTROL MASTER'!$AC$2:$AC$495,(SUMPRODUCT((('CONTROL MASTER'!$S$2:$S$495=7)*('CONTROL MASTER'!$Z$2:$Z$495&lt;=9)*('CONTROL MASTER'!$AB$2:$AB$495&gt;=9)*('CONTROL MASTER'!$AA$2:$AA$495&lt;=4)*('CONTROL MASTER'!$AC$2:$AC$495&gt;=4))*ROW('CONTROL MASTER'!$S$2:$S$495))-(ROW('CONTROL MASTER'!#REF!)-1)))-INDEX('CONTROL MASTER'!$AA$2:$AA$495,(SUMPRODUCT((('CONTROL MASTER'!$S$2:$S$495=7)*('CONTROL MASTER'!$Z$2:$Z$495&lt;=9)*('CONTROL MASTER'!$AB$2:$AB$495&gt;=9)*('CONTROL MASTER'!$AA$2:$AA$495&lt;=4)*('CONTROL MASTER'!$AC$2:$AC$495&gt;=4))*ROW('CONTROL MASTER'!$S$2:$S$495))-(ROW('CONTROL MASTER'!#REF!)-1)))+1)+(4-INDEX('CONTROL MASTER'!$AA$2:$AA$495,(SUMPRODUCT((('CONTROL MASTER'!$S$2:$S$495=7)*('CONTROL MASTER'!$Z$2:$Z$495&lt;=9)*('CONTROL MASTER'!$AB$2:$AB$495&gt;=9)*('CONTROL MASTER'!$AA$2:$AA$495&lt;=4)*('CONTROL MASTER'!$AC$2:$AC$495&gt;=4))*ROW('CONTROL MASTER'!$S$2:$S$495))-(ROW('CONTROL MASTER'!#REF!)-1))))+1)))-1)*50+1,50))&amp;"_"&amp;INDEX('CONTROL MASTER'!$P$2:$P$495,(SUMPRODUCT((('CONTROL MASTER'!$S$2:$S$495=7)*('CONTROL MASTER'!$Z$2:$Z$495&lt;=9)*('CONTROL MASTER'!$AB$2:$AB$495&gt;=9)*('CONTROL MASTER'!$AA$2:$AA$495&lt;=4)*('CONTROL MASTER'!$AC$2:$AC$495&gt;=4))*ROW('CONTROL MASTER'!$S$2:$S$495))-(ROW('CONTROL MASTER'!#REF!)-1))),"")),"")</f>
        <v/>
      </c>
      <c r="F95" s="10" t="str">
        <f>IFERROR(IF(SUMPRODUCT((('CONTROL MASTER'!$S$2:$S$495=7)*('CONTROL MASTER'!$T$2:$T$495&lt;=9)*('CONTROL MASTER'!$V$2:$V$495&gt;=9)*('CONTROL MASTER'!$U$2:$U$495&lt;=5)*('CONTROL MASTER'!$W$2:$W$495&gt;=5))*ROW('CONTROL MASTER'!$S$2:$S$495))&gt;0,INDEX('CONTROL MASTER'!$X$2:$X$495,(SUMPRODUCT((('CONTROL MASTER'!$S$2:$S$495=7)*('CONTROL MASTER'!$T$2:$T$495&lt;=9)*('CONTROL MASTER'!$V$2:$V$495&gt;=9)*('CONTROL MASTER'!$U$2:$U$495&lt;=5)*('CONTROL MASTER'!$W$2:$W$495&gt;=5))*ROW('CONTROL MASTER'!$S$2:$S$495))-(ROW('CONTROL MASTER'!#REF!)-1)))&amp;TRIM(MID(SUBSTITUTE(SUBSTITUTE(INDEX('CONTROL MASTER'!$N$2:$N$495,(SUMPRODUCT((('CONTROL MASTER'!$S$2:$S$495=7)*('CONTROL MASTER'!$T$2:$T$495&lt;=9)*('CONTROL MASTER'!$V$2:$V$495&gt;=9)*('CONTROL MASTER'!$U$2:$U$495&lt;=5)*('CONTROL MASTER'!$W$2:$W$495&gt;=5))*ROW('CONTROL MASTER'!$S$2:$S$495))-(ROW('CONTROL MASTER'!#REF!)-1))),":",","),",",REPT(" ",50)),((((9-INDEX('CONTROL MASTER'!$T$2:$T$495,(SUMPRODUCT((('CONTROL MASTER'!$S$2:$S$495=7)*('CONTROL MASTER'!$T$2:$T$495&lt;=9)*('CONTROL MASTER'!$V$2:$V$495&gt;=9)*('CONTROL MASTER'!$U$2:$U$495&lt;=5)*('CONTROL MASTER'!$W$2:$W$495&gt;=5))*ROW('CONTROL MASTER'!$S$2:$S$495))-(ROW('CONTROL MASTER'!#REF!)-1))))*(INDEX('CONTROL MASTER'!$W$2:$W$495,(SUMPRODUCT((('CONTROL MASTER'!$S$2:$S$495=7)*('CONTROL MASTER'!$T$2:$T$495&lt;=9)*('CONTROL MASTER'!$V$2:$V$495&gt;=9)*('CONTROL MASTER'!$U$2:$U$495&lt;=5)*('CONTROL MASTER'!$W$2:$W$495&gt;=5))*ROW('CONTROL MASTER'!$S$2:$S$495))-(ROW('CONTROL MASTER'!#REF!)-1)))-INDEX('CONTROL MASTER'!$U$2:$U$495,(SUMPRODUCT((('CONTROL MASTER'!$S$2:$S$495=7)*('CONTROL MASTER'!$T$2:$T$495&lt;=9)*('CONTROL MASTER'!$V$2:$V$495&gt;=9)*('CONTROL MASTER'!$U$2:$U$495&lt;=5)*('CONTROL MASTER'!$W$2:$W$495&gt;=5))*ROW('CONTROL MASTER'!$S$2:$S$495))-(ROW('CONTROL MASTER'!#REF!)-1)))+1)+(5-INDEX('CONTROL MASTER'!$U$2:$U$495,(SUMPRODUCT((('CONTROL MASTER'!$S$2:$S$495=7)*('CONTROL MASTER'!$T$2:$T$495&lt;=9)*('CONTROL MASTER'!$V$2:$V$495&gt;=9)*('CONTROL MASTER'!$U$2:$U$495&lt;=5)*('CONTROL MASTER'!$W$2:$W$495&gt;=5))*ROW('CONTROL MASTER'!$S$2:$S$495))-(ROW('CONTROL MASTER'!#REF!)-1))))+1))-1)*50+1,50))&amp;"_"&amp;INDEX('CONTROL MASTER'!$P$2:$P$495,(SUMPRODUCT((('CONTROL MASTER'!$S$2:$S$495=7)*('CONTROL MASTER'!$T$2:$T$495&lt;=9)*('CONTROL MASTER'!$V$2:$V$495&gt;=9)*('CONTROL MASTER'!$U$2:$U$495&lt;=5)*('CONTROL MASTER'!$W$2:$W$495&gt;=5))*ROW('CONTROL MASTER'!$S$2:$S$495))-(ROW('CONTROL MASTER'!#REF!)-1))),IF(SUMPRODUCT((('CONTROL MASTER'!$S$2:$S$495=7)*('CONTROL MASTER'!$Z$2:$Z$495&lt;=9)*('CONTROL MASTER'!$AB$2:$AB$495&gt;=9)*('CONTROL MASTER'!$AA$2:$AA$495&lt;=5)*('CONTROL MASTER'!$AC$2:$AC$495&gt;=5))*ROW('CONTROL MASTER'!$S$2:$S$495))&gt;0,INDEX('CONTROL MASTER'!$X$2:$X$495,(SUMPRODUCT((('CONTROL MASTER'!$S$2:$S$495=7)*('CONTROL MASTER'!$Z$2:$Z$495&lt;=9)*('CONTROL MASTER'!$AB$2:$AB$495&gt;=9)*('CONTROL MASTER'!$AA$2:$AA$495&lt;=5)*('CONTROL MASTER'!$AC$2:$AC$495&gt;=5))*ROW('CONTROL MASTER'!$S$2:$S$495))-(ROW('CONTROL MASTER'!#REF!)-1)))&amp;TRIM(MID(SUBSTITUTE(SUBSTITUTE(INDEX('CONTROL MASTER'!$N$2:$N$495,(SUMPRODUCT((('CONTROL MASTER'!$S$2:$S$495=7)*('CONTROL MASTER'!$Z$2:$Z$495&lt;=9)*('CONTROL MASTER'!$AB$2:$AB$495&gt;=9)*('CONTROL MASTER'!$AA$2:$AA$495&lt;=5)*('CONTROL MASTER'!$AC$2:$AC$495&gt;=5))*ROW('CONTROL MASTER'!$S$2:$S$495))-(ROW('CONTROL MASTER'!#REF!)-1))),":",","),",",REPT(" ",50)),(((INDEX('CONTROL MASTER'!$Y$2:$Y$495,(SUMPRODUCT((('CONTROL MASTER'!$S$2:$S$495=7)*('CONTROL MASTER'!$Z$2:$Z$495&lt;=9)*('CONTROL MASTER'!$AB$2:$AB$495&gt;=9)*('CONTROL MASTER'!$AA$2:$AA$495&lt;=5)*('CONTROL MASTER'!$AC$2:$AC$495&gt;=5))*ROW('CONTROL MASTER'!$S$2:$S$495))-(ROW('CONTROL MASTER'!#REF!)-1)))+((9-INDEX('CONTROL MASTER'!$Z$2:$Z$495,(SUMPRODUCT((('CONTROL MASTER'!$S$2:$S$495=7)*('CONTROL MASTER'!$Z$2:$Z$495&lt;=9)*('CONTROL MASTER'!$AB$2:$AB$495&gt;=9)*('CONTROL MASTER'!$AA$2:$AA$495&lt;=5)*('CONTROL MASTER'!$AC$2:$AC$495&gt;=5))*ROW('CONTROL MASTER'!$S$2:$S$495))-(ROW('CONTROL MASTER'!#REF!)-1))))*(INDEX('CONTROL MASTER'!$AC$2:$AC$495,(SUMPRODUCT((('CONTROL MASTER'!$S$2:$S$495=7)*('CONTROL MASTER'!$Z$2:$Z$495&lt;=9)*('CONTROL MASTER'!$AB$2:$AB$495&gt;=9)*('CONTROL MASTER'!$AA$2:$AA$495&lt;=5)*('CONTROL MASTER'!$AC$2:$AC$495&gt;=5))*ROW('CONTROL MASTER'!$S$2:$S$495))-(ROW('CONTROL MASTER'!#REF!)-1)))-INDEX('CONTROL MASTER'!$AA$2:$AA$495,(SUMPRODUCT((('CONTROL MASTER'!$S$2:$S$495=7)*('CONTROL MASTER'!$Z$2:$Z$495&lt;=9)*('CONTROL MASTER'!$AB$2:$AB$495&gt;=9)*('CONTROL MASTER'!$AA$2:$AA$495&lt;=5)*('CONTROL MASTER'!$AC$2:$AC$495&gt;=5))*ROW('CONTROL MASTER'!$S$2:$S$495))-(ROW('CONTROL MASTER'!#REF!)-1)))+1)+(5-INDEX('CONTROL MASTER'!$AA$2:$AA$495,(SUMPRODUCT((('CONTROL MASTER'!$S$2:$S$495=7)*('CONTROL MASTER'!$Z$2:$Z$495&lt;=9)*('CONTROL MASTER'!$AB$2:$AB$495&gt;=9)*('CONTROL MASTER'!$AA$2:$AA$495&lt;=5)*('CONTROL MASTER'!$AC$2:$AC$495&gt;=5))*ROW('CONTROL MASTER'!$S$2:$S$495))-(ROW('CONTROL MASTER'!#REF!)-1))))+1)))-1)*50+1,50))&amp;"_"&amp;INDEX('CONTROL MASTER'!$P$2:$P$495,(SUMPRODUCT((('CONTROL MASTER'!$S$2:$S$495=7)*('CONTROL MASTER'!$Z$2:$Z$495&lt;=9)*('CONTROL MASTER'!$AB$2:$AB$495&gt;=9)*('CONTROL MASTER'!$AA$2:$AA$495&lt;=5)*('CONTROL MASTER'!$AC$2:$AC$495&gt;=5))*ROW('CONTROL MASTER'!$S$2:$S$495))-(ROW('CONTROL MASTER'!#REF!)-1))),"")),"")</f>
        <v/>
      </c>
      <c r="G95" s="10" t="str">
        <f>IFERROR(IF(SUMPRODUCT((('CONTROL MASTER'!$S$2:$S$495=7)*('CONTROL MASTER'!$T$2:$T$495&lt;=9)*('CONTROL MASTER'!$V$2:$V$495&gt;=9)*('CONTROL MASTER'!$U$2:$U$495&lt;=6)*('CONTROL MASTER'!$W$2:$W$495&gt;=6))*ROW('CONTROL MASTER'!$S$2:$S$495))&gt;0,INDEX('CONTROL MASTER'!$X$2:$X$495,(SUMPRODUCT((('CONTROL MASTER'!$S$2:$S$495=7)*('CONTROL MASTER'!$T$2:$T$495&lt;=9)*('CONTROL MASTER'!$V$2:$V$495&gt;=9)*('CONTROL MASTER'!$U$2:$U$495&lt;=6)*('CONTROL MASTER'!$W$2:$W$495&gt;=6))*ROW('CONTROL MASTER'!$S$2:$S$495))-(ROW('CONTROL MASTER'!#REF!)-1)))&amp;TRIM(MID(SUBSTITUTE(SUBSTITUTE(INDEX('CONTROL MASTER'!$N$2:$N$495,(SUMPRODUCT((('CONTROL MASTER'!$S$2:$S$495=7)*('CONTROL MASTER'!$T$2:$T$495&lt;=9)*('CONTROL MASTER'!$V$2:$V$495&gt;=9)*('CONTROL MASTER'!$U$2:$U$495&lt;=6)*('CONTROL MASTER'!$W$2:$W$495&gt;=6))*ROW('CONTROL MASTER'!$S$2:$S$495))-(ROW('CONTROL MASTER'!#REF!)-1))),":",","),",",REPT(" ",50)),((((9-INDEX('CONTROL MASTER'!$T$2:$T$495,(SUMPRODUCT((('CONTROL MASTER'!$S$2:$S$495=7)*('CONTROL MASTER'!$T$2:$T$495&lt;=9)*('CONTROL MASTER'!$V$2:$V$495&gt;=9)*('CONTROL MASTER'!$U$2:$U$495&lt;=6)*('CONTROL MASTER'!$W$2:$W$495&gt;=6))*ROW('CONTROL MASTER'!$S$2:$S$495))-(ROW('CONTROL MASTER'!#REF!)-1))))*(INDEX('CONTROL MASTER'!$W$2:$W$495,(SUMPRODUCT((('CONTROL MASTER'!$S$2:$S$495=7)*('CONTROL MASTER'!$T$2:$T$495&lt;=9)*('CONTROL MASTER'!$V$2:$V$495&gt;=9)*('CONTROL MASTER'!$U$2:$U$495&lt;=6)*('CONTROL MASTER'!$W$2:$W$495&gt;=6))*ROW('CONTROL MASTER'!$S$2:$S$495))-(ROW('CONTROL MASTER'!#REF!)-1)))-INDEX('CONTROL MASTER'!$U$2:$U$495,(SUMPRODUCT((('CONTROL MASTER'!$S$2:$S$495=7)*('CONTROL MASTER'!$T$2:$T$495&lt;=9)*('CONTROL MASTER'!$V$2:$V$495&gt;=9)*('CONTROL MASTER'!$U$2:$U$495&lt;=6)*('CONTROL MASTER'!$W$2:$W$495&gt;=6))*ROW('CONTROL MASTER'!$S$2:$S$495))-(ROW('CONTROL MASTER'!#REF!)-1)))+1)+(6-INDEX('CONTROL MASTER'!$U$2:$U$495,(SUMPRODUCT((('CONTROL MASTER'!$S$2:$S$495=7)*('CONTROL MASTER'!$T$2:$T$495&lt;=9)*('CONTROL MASTER'!$V$2:$V$495&gt;=9)*('CONTROL MASTER'!$U$2:$U$495&lt;=6)*('CONTROL MASTER'!$W$2:$W$495&gt;=6))*ROW('CONTROL MASTER'!$S$2:$S$495))-(ROW('CONTROL MASTER'!#REF!)-1))))+1))-1)*50+1,50))&amp;"_"&amp;INDEX('CONTROL MASTER'!$P$2:$P$495,(SUMPRODUCT((('CONTROL MASTER'!$S$2:$S$495=7)*('CONTROL MASTER'!$T$2:$T$495&lt;=9)*('CONTROL MASTER'!$V$2:$V$495&gt;=9)*('CONTROL MASTER'!$U$2:$U$495&lt;=6)*('CONTROL MASTER'!$W$2:$W$495&gt;=6))*ROW('CONTROL MASTER'!$S$2:$S$495))-(ROW('CONTROL MASTER'!#REF!)-1))),IF(SUMPRODUCT((('CONTROL MASTER'!$S$2:$S$495=7)*('CONTROL MASTER'!$Z$2:$Z$495&lt;=9)*('CONTROL MASTER'!$AB$2:$AB$495&gt;=9)*('CONTROL MASTER'!$AA$2:$AA$495&lt;=6)*('CONTROL MASTER'!$AC$2:$AC$495&gt;=6))*ROW('CONTROL MASTER'!$S$2:$S$495))&gt;0,INDEX('CONTROL MASTER'!$X$2:$X$495,(SUMPRODUCT((('CONTROL MASTER'!$S$2:$S$495=7)*('CONTROL MASTER'!$Z$2:$Z$495&lt;=9)*('CONTROL MASTER'!$AB$2:$AB$495&gt;=9)*('CONTROL MASTER'!$AA$2:$AA$495&lt;=6)*('CONTROL MASTER'!$AC$2:$AC$495&gt;=6))*ROW('CONTROL MASTER'!$S$2:$S$495))-(ROW('CONTROL MASTER'!#REF!)-1)))&amp;TRIM(MID(SUBSTITUTE(SUBSTITUTE(INDEX('CONTROL MASTER'!$N$2:$N$495,(SUMPRODUCT((('CONTROL MASTER'!$S$2:$S$495=7)*('CONTROL MASTER'!$Z$2:$Z$495&lt;=9)*('CONTROL MASTER'!$AB$2:$AB$495&gt;=9)*('CONTROL MASTER'!$AA$2:$AA$495&lt;=6)*('CONTROL MASTER'!$AC$2:$AC$495&gt;=6))*ROW('CONTROL MASTER'!$S$2:$S$495))-(ROW('CONTROL MASTER'!#REF!)-1))),":",","),",",REPT(" ",50)),(((INDEX('CONTROL MASTER'!$Y$2:$Y$495,(SUMPRODUCT((('CONTROL MASTER'!$S$2:$S$495=7)*('CONTROL MASTER'!$Z$2:$Z$495&lt;=9)*('CONTROL MASTER'!$AB$2:$AB$495&gt;=9)*('CONTROL MASTER'!$AA$2:$AA$495&lt;=6)*('CONTROL MASTER'!$AC$2:$AC$495&gt;=6))*ROW('CONTROL MASTER'!$S$2:$S$495))-(ROW('CONTROL MASTER'!#REF!)-1)))+((9-INDEX('CONTROL MASTER'!$Z$2:$Z$495,(SUMPRODUCT((('CONTROL MASTER'!$S$2:$S$495=7)*('CONTROL MASTER'!$Z$2:$Z$495&lt;=9)*('CONTROL MASTER'!$AB$2:$AB$495&gt;=9)*('CONTROL MASTER'!$AA$2:$AA$495&lt;=6)*('CONTROL MASTER'!$AC$2:$AC$495&gt;=6))*ROW('CONTROL MASTER'!$S$2:$S$495))-(ROW('CONTROL MASTER'!#REF!)-1))))*(INDEX('CONTROL MASTER'!$AC$2:$AC$495,(SUMPRODUCT((('CONTROL MASTER'!$S$2:$S$495=7)*('CONTROL MASTER'!$Z$2:$Z$495&lt;=9)*('CONTROL MASTER'!$AB$2:$AB$495&gt;=9)*('CONTROL MASTER'!$AA$2:$AA$495&lt;=6)*('CONTROL MASTER'!$AC$2:$AC$495&gt;=6))*ROW('CONTROL MASTER'!$S$2:$S$495))-(ROW('CONTROL MASTER'!#REF!)-1)))-INDEX('CONTROL MASTER'!$AA$2:$AA$495,(SUMPRODUCT((('CONTROL MASTER'!$S$2:$S$495=7)*('CONTROL MASTER'!$Z$2:$Z$495&lt;=9)*('CONTROL MASTER'!$AB$2:$AB$495&gt;=9)*('CONTROL MASTER'!$AA$2:$AA$495&lt;=6)*('CONTROL MASTER'!$AC$2:$AC$495&gt;=6))*ROW('CONTROL MASTER'!$S$2:$S$495))-(ROW('CONTROL MASTER'!#REF!)-1)))+1)+(6-INDEX('CONTROL MASTER'!$AA$2:$AA$495,(SUMPRODUCT((('CONTROL MASTER'!$S$2:$S$495=7)*('CONTROL MASTER'!$Z$2:$Z$495&lt;=9)*('CONTROL MASTER'!$AB$2:$AB$495&gt;=9)*('CONTROL MASTER'!$AA$2:$AA$495&lt;=6)*('CONTROL MASTER'!$AC$2:$AC$495&gt;=6))*ROW('CONTROL MASTER'!$S$2:$S$495))-(ROW('CONTROL MASTER'!#REF!)-1))))+1)))-1)*50+1,50))&amp;"_"&amp;INDEX('CONTROL MASTER'!$P$2:$P$495,(SUMPRODUCT((('CONTROL MASTER'!$S$2:$S$495=7)*('CONTROL MASTER'!$Z$2:$Z$495&lt;=9)*('CONTROL MASTER'!$AB$2:$AB$495&gt;=9)*('CONTROL MASTER'!$AA$2:$AA$495&lt;=6)*('CONTROL MASTER'!$AC$2:$AC$495&gt;=6))*ROW('CONTROL MASTER'!$S$2:$S$495))-(ROW('CONTROL MASTER'!#REF!)-1))),"")),"")</f>
        <v/>
      </c>
      <c r="H95" s="10" t="str">
        <f>IFERROR(IF(SUMPRODUCT((('CONTROL MASTER'!$S$2:$S$495=7)*('CONTROL MASTER'!$T$2:$T$495&lt;=9)*('CONTROL MASTER'!$V$2:$V$495&gt;=9)*('CONTROL MASTER'!$U$2:$U$495&lt;=7)*('CONTROL MASTER'!$W$2:$W$495&gt;=7))*ROW('CONTROL MASTER'!$S$2:$S$495))&gt;0,INDEX('CONTROL MASTER'!$X$2:$X$495,(SUMPRODUCT((('CONTROL MASTER'!$S$2:$S$495=7)*('CONTROL MASTER'!$T$2:$T$495&lt;=9)*('CONTROL MASTER'!$V$2:$V$495&gt;=9)*('CONTROL MASTER'!$U$2:$U$495&lt;=7)*('CONTROL MASTER'!$W$2:$W$495&gt;=7))*ROW('CONTROL MASTER'!$S$2:$S$495))-(ROW('CONTROL MASTER'!#REF!)-1)))&amp;TRIM(MID(SUBSTITUTE(SUBSTITUTE(INDEX('CONTROL MASTER'!$N$2:$N$495,(SUMPRODUCT((('CONTROL MASTER'!$S$2:$S$495=7)*('CONTROL MASTER'!$T$2:$T$495&lt;=9)*('CONTROL MASTER'!$V$2:$V$495&gt;=9)*('CONTROL MASTER'!$U$2:$U$495&lt;=7)*('CONTROL MASTER'!$W$2:$W$495&gt;=7))*ROW('CONTROL MASTER'!$S$2:$S$495))-(ROW('CONTROL MASTER'!#REF!)-1))),":",","),",",REPT(" ",50)),((((9-INDEX('CONTROL MASTER'!$T$2:$T$495,(SUMPRODUCT((('CONTROL MASTER'!$S$2:$S$495=7)*('CONTROL MASTER'!$T$2:$T$495&lt;=9)*('CONTROL MASTER'!$V$2:$V$495&gt;=9)*('CONTROL MASTER'!$U$2:$U$495&lt;=7)*('CONTROL MASTER'!$W$2:$W$495&gt;=7))*ROW('CONTROL MASTER'!$S$2:$S$495))-(ROW('CONTROL MASTER'!#REF!)-1))))*(INDEX('CONTROL MASTER'!$W$2:$W$495,(SUMPRODUCT((('CONTROL MASTER'!$S$2:$S$495=7)*('CONTROL MASTER'!$T$2:$T$495&lt;=9)*('CONTROL MASTER'!$V$2:$V$495&gt;=9)*('CONTROL MASTER'!$U$2:$U$495&lt;=7)*('CONTROL MASTER'!$W$2:$W$495&gt;=7))*ROW('CONTROL MASTER'!$S$2:$S$495))-(ROW('CONTROL MASTER'!#REF!)-1)))-INDEX('CONTROL MASTER'!$U$2:$U$495,(SUMPRODUCT((('CONTROL MASTER'!$S$2:$S$495=7)*('CONTROL MASTER'!$T$2:$T$495&lt;=9)*('CONTROL MASTER'!$V$2:$V$495&gt;=9)*('CONTROL MASTER'!$U$2:$U$495&lt;=7)*('CONTROL MASTER'!$W$2:$W$495&gt;=7))*ROW('CONTROL MASTER'!$S$2:$S$495))-(ROW('CONTROL MASTER'!#REF!)-1)))+1)+(7-INDEX('CONTROL MASTER'!$U$2:$U$495,(SUMPRODUCT((('CONTROL MASTER'!$S$2:$S$495=7)*('CONTROL MASTER'!$T$2:$T$495&lt;=9)*('CONTROL MASTER'!$V$2:$V$495&gt;=9)*('CONTROL MASTER'!$U$2:$U$495&lt;=7)*('CONTROL MASTER'!$W$2:$W$495&gt;=7))*ROW('CONTROL MASTER'!$S$2:$S$495))-(ROW('CONTROL MASTER'!#REF!)-1))))+1))-1)*50+1,50))&amp;"_"&amp;INDEX('CONTROL MASTER'!$P$2:$P$495,(SUMPRODUCT((('CONTROL MASTER'!$S$2:$S$495=7)*('CONTROL MASTER'!$T$2:$T$495&lt;=9)*('CONTROL MASTER'!$V$2:$V$495&gt;=9)*('CONTROL MASTER'!$U$2:$U$495&lt;=7)*('CONTROL MASTER'!$W$2:$W$495&gt;=7))*ROW('CONTROL MASTER'!$S$2:$S$495))-(ROW('CONTROL MASTER'!#REF!)-1))),IF(SUMPRODUCT((('CONTROL MASTER'!$S$2:$S$495=7)*('CONTROL MASTER'!$Z$2:$Z$495&lt;=9)*('CONTROL MASTER'!$AB$2:$AB$495&gt;=9)*('CONTROL MASTER'!$AA$2:$AA$495&lt;=7)*('CONTROL MASTER'!$AC$2:$AC$495&gt;=7))*ROW('CONTROL MASTER'!$S$2:$S$495))&gt;0,INDEX('CONTROL MASTER'!$X$2:$X$495,(SUMPRODUCT((('CONTROL MASTER'!$S$2:$S$495=7)*('CONTROL MASTER'!$Z$2:$Z$495&lt;=9)*('CONTROL MASTER'!$AB$2:$AB$495&gt;=9)*('CONTROL MASTER'!$AA$2:$AA$495&lt;=7)*('CONTROL MASTER'!$AC$2:$AC$495&gt;=7))*ROW('CONTROL MASTER'!$S$2:$S$495))-(ROW('CONTROL MASTER'!#REF!)-1)))&amp;TRIM(MID(SUBSTITUTE(SUBSTITUTE(INDEX('CONTROL MASTER'!$N$2:$N$495,(SUMPRODUCT((('CONTROL MASTER'!$S$2:$S$495=7)*('CONTROL MASTER'!$Z$2:$Z$495&lt;=9)*('CONTROL MASTER'!$AB$2:$AB$495&gt;=9)*('CONTROL MASTER'!$AA$2:$AA$495&lt;=7)*('CONTROL MASTER'!$AC$2:$AC$495&gt;=7))*ROW('CONTROL MASTER'!$S$2:$S$495))-(ROW('CONTROL MASTER'!#REF!)-1))),":",","),",",REPT(" ",50)),(((INDEX('CONTROL MASTER'!$Y$2:$Y$495,(SUMPRODUCT((('CONTROL MASTER'!$S$2:$S$495=7)*('CONTROL MASTER'!$Z$2:$Z$495&lt;=9)*('CONTROL MASTER'!$AB$2:$AB$495&gt;=9)*('CONTROL MASTER'!$AA$2:$AA$495&lt;=7)*('CONTROL MASTER'!$AC$2:$AC$495&gt;=7))*ROW('CONTROL MASTER'!$S$2:$S$495))-(ROW('CONTROL MASTER'!#REF!)-1)))+((9-INDEX('CONTROL MASTER'!$Z$2:$Z$495,(SUMPRODUCT((('CONTROL MASTER'!$S$2:$S$495=7)*('CONTROL MASTER'!$Z$2:$Z$495&lt;=9)*('CONTROL MASTER'!$AB$2:$AB$495&gt;=9)*('CONTROL MASTER'!$AA$2:$AA$495&lt;=7)*('CONTROL MASTER'!$AC$2:$AC$495&gt;=7))*ROW('CONTROL MASTER'!$S$2:$S$495))-(ROW('CONTROL MASTER'!#REF!)-1))))*(INDEX('CONTROL MASTER'!$AC$2:$AC$495,(SUMPRODUCT((('CONTROL MASTER'!$S$2:$S$495=7)*('CONTROL MASTER'!$Z$2:$Z$495&lt;=9)*('CONTROL MASTER'!$AB$2:$AB$495&gt;=9)*('CONTROL MASTER'!$AA$2:$AA$495&lt;=7)*('CONTROL MASTER'!$AC$2:$AC$495&gt;=7))*ROW('CONTROL MASTER'!$S$2:$S$495))-(ROW('CONTROL MASTER'!#REF!)-1)))-INDEX('CONTROL MASTER'!$AA$2:$AA$495,(SUMPRODUCT((('CONTROL MASTER'!$S$2:$S$495=7)*('CONTROL MASTER'!$Z$2:$Z$495&lt;=9)*('CONTROL MASTER'!$AB$2:$AB$495&gt;=9)*('CONTROL MASTER'!$AA$2:$AA$495&lt;=7)*('CONTROL MASTER'!$AC$2:$AC$495&gt;=7))*ROW('CONTROL MASTER'!$S$2:$S$495))-(ROW('CONTROL MASTER'!#REF!)-1)))+1)+(7-INDEX('CONTROL MASTER'!$AA$2:$AA$495,(SUMPRODUCT((('CONTROL MASTER'!$S$2:$S$495=7)*('CONTROL MASTER'!$Z$2:$Z$495&lt;=9)*('CONTROL MASTER'!$AB$2:$AB$495&gt;=9)*('CONTROL MASTER'!$AA$2:$AA$495&lt;=7)*('CONTROL MASTER'!$AC$2:$AC$495&gt;=7))*ROW('CONTROL MASTER'!$S$2:$S$495))-(ROW('CONTROL MASTER'!#REF!)-1))))+1)))-1)*50+1,50))&amp;"_"&amp;INDEX('CONTROL MASTER'!$P$2:$P$495,(SUMPRODUCT((('CONTROL MASTER'!$S$2:$S$495=7)*('CONTROL MASTER'!$Z$2:$Z$495&lt;=9)*('CONTROL MASTER'!$AB$2:$AB$495&gt;=9)*('CONTROL MASTER'!$AA$2:$AA$495&lt;=7)*('CONTROL MASTER'!$AC$2:$AC$495&gt;=7))*ROW('CONTROL MASTER'!$S$2:$S$495))-(ROW('CONTROL MASTER'!#REF!)-1))),"")),"")</f>
        <v/>
      </c>
      <c r="I95" s="10" t="str">
        <f>IFERROR(IF(SUMPRODUCT((('CONTROL MASTER'!$S$2:$S$495=7)*('CONTROL MASTER'!$T$2:$T$495&lt;=9)*('CONTROL MASTER'!$V$2:$V$495&gt;=9)*('CONTROL MASTER'!$U$2:$U$495&lt;=8)*('CONTROL MASTER'!$W$2:$W$495&gt;=8))*ROW('CONTROL MASTER'!$S$2:$S$495))&gt;0,INDEX('CONTROL MASTER'!$X$2:$X$495,(SUMPRODUCT((('CONTROL MASTER'!$S$2:$S$495=7)*('CONTROL MASTER'!$T$2:$T$495&lt;=9)*('CONTROL MASTER'!$V$2:$V$495&gt;=9)*('CONTROL MASTER'!$U$2:$U$495&lt;=8)*('CONTROL MASTER'!$W$2:$W$495&gt;=8))*ROW('CONTROL MASTER'!$S$2:$S$495))-(ROW('CONTROL MASTER'!#REF!)-1)))&amp;TRIM(MID(SUBSTITUTE(SUBSTITUTE(INDEX('CONTROL MASTER'!$N$2:$N$495,(SUMPRODUCT((('CONTROL MASTER'!$S$2:$S$495=7)*('CONTROL MASTER'!$T$2:$T$495&lt;=9)*('CONTROL MASTER'!$V$2:$V$495&gt;=9)*('CONTROL MASTER'!$U$2:$U$495&lt;=8)*('CONTROL MASTER'!$W$2:$W$495&gt;=8))*ROW('CONTROL MASTER'!$S$2:$S$495))-(ROW('CONTROL MASTER'!#REF!)-1))),":",","),",",REPT(" ",50)),((((9-INDEX('CONTROL MASTER'!$T$2:$T$495,(SUMPRODUCT((('CONTROL MASTER'!$S$2:$S$495=7)*('CONTROL MASTER'!$T$2:$T$495&lt;=9)*('CONTROL MASTER'!$V$2:$V$495&gt;=9)*('CONTROL MASTER'!$U$2:$U$495&lt;=8)*('CONTROL MASTER'!$W$2:$W$495&gt;=8))*ROW('CONTROL MASTER'!$S$2:$S$495))-(ROW('CONTROL MASTER'!#REF!)-1))))*(INDEX('CONTROL MASTER'!$W$2:$W$495,(SUMPRODUCT((('CONTROL MASTER'!$S$2:$S$495=7)*('CONTROL MASTER'!$T$2:$T$495&lt;=9)*('CONTROL MASTER'!$V$2:$V$495&gt;=9)*('CONTROL MASTER'!$U$2:$U$495&lt;=8)*('CONTROL MASTER'!$W$2:$W$495&gt;=8))*ROW('CONTROL MASTER'!$S$2:$S$495))-(ROW('CONTROL MASTER'!#REF!)-1)))-INDEX('CONTROL MASTER'!$U$2:$U$495,(SUMPRODUCT((('CONTROL MASTER'!$S$2:$S$495=7)*('CONTROL MASTER'!$T$2:$T$495&lt;=9)*('CONTROL MASTER'!$V$2:$V$495&gt;=9)*('CONTROL MASTER'!$U$2:$U$495&lt;=8)*('CONTROL MASTER'!$W$2:$W$495&gt;=8))*ROW('CONTROL MASTER'!$S$2:$S$495))-(ROW('CONTROL MASTER'!#REF!)-1)))+1)+(8-INDEX('CONTROL MASTER'!$U$2:$U$495,(SUMPRODUCT((('CONTROL MASTER'!$S$2:$S$495=7)*('CONTROL MASTER'!$T$2:$T$495&lt;=9)*('CONTROL MASTER'!$V$2:$V$495&gt;=9)*('CONTROL MASTER'!$U$2:$U$495&lt;=8)*('CONTROL MASTER'!$W$2:$W$495&gt;=8))*ROW('CONTROL MASTER'!$S$2:$S$495))-(ROW('CONTROL MASTER'!#REF!)-1))))+1))-1)*50+1,50))&amp;"_"&amp;INDEX('CONTROL MASTER'!$P$2:$P$495,(SUMPRODUCT((('CONTROL MASTER'!$S$2:$S$495=7)*('CONTROL MASTER'!$T$2:$T$495&lt;=9)*('CONTROL MASTER'!$V$2:$V$495&gt;=9)*('CONTROL MASTER'!$U$2:$U$495&lt;=8)*('CONTROL MASTER'!$W$2:$W$495&gt;=8))*ROW('CONTROL MASTER'!$S$2:$S$495))-(ROW('CONTROL MASTER'!#REF!)-1))),IF(SUMPRODUCT((('CONTROL MASTER'!$S$2:$S$495=7)*('CONTROL MASTER'!$Z$2:$Z$495&lt;=9)*('CONTROL MASTER'!$AB$2:$AB$495&gt;=9)*('CONTROL MASTER'!$AA$2:$AA$495&lt;=8)*('CONTROL MASTER'!$AC$2:$AC$495&gt;=8))*ROW('CONTROL MASTER'!$S$2:$S$495))&gt;0,INDEX('CONTROL MASTER'!$X$2:$X$495,(SUMPRODUCT((('CONTROL MASTER'!$S$2:$S$495=7)*('CONTROL MASTER'!$Z$2:$Z$495&lt;=9)*('CONTROL MASTER'!$AB$2:$AB$495&gt;=9)*('CONTROL MASTER'!$AA$2:$AA$495&lt;=8)*('CONTROL MASTER'!$AC$2:$AC$495&gt;=8))*ROW('CONTROL MASTER'!$S$2:$S$495))-(ROW('CONTROL MASTER'!#REF!)-1)))&amp;TRIM(MID(SUBSTITUTE(SUBSTITUTE(INDEX('CONTROL MASTER'!$N$2:$N$495,(SUMPRODUCT((('CONTROL MASTER'!$S$2:$S$495=7)*('CONTROL MASTER'!$Z$2:$Z$495&lt;=9)*('CONTROL MASTER'!$AB$2:$AB$495&gt;=9)*('CONTROL MASTER'!$AA$2:$AA$495&lt;=8)*('CONTROL MASTER'!$AC$2:$AC$495&gt;=8))*ROW('CONTROL MASTER'!$S$2:$S$495))-(ROW('CONTROL MASTER'!#REF!)-1))),":",","),",",REPT(" ",50)),(((INDEX('CONTROL MASTER'!$Y$2:$Y$495,(SUMPRODUCT((('CONTROL MASTER'!$S$2:$S$495=7)*('CONTROL MASTER'!$Z$2:$Z$495&lt;=9)*('CONTROL MASTER'!$AB$2:$AB$495&gt;=9)*('CONTROL MASTER'!$AA$2:$AA$495&lt;=8)*('CONTROL MASTER'!$AC$2:$AC$495&gt;=8))*ROW('CONTROL MASTER'!$S$2:$S$495))-(ROW('CONTROL MASTER'!#REF!)-1)))+((9-INDEX('CONTROL MASTER'!$Z$2:$Z$495,(SUMPRODUCT((('CONTROL MASTER'!$S$2:$S$495=7)*('CONTROL MASTER'!$Z$2:$Z$495&lt;=9)*('CONTROL MASTER'!$AB$2:$AB$495&gt;=9)*('CONTROL MASTER'!$AA$2:$AA$495&lt;=8)*('CONTROL MASTER'!$AC$2:$AC$495&gt;=8))*ROW('CONTROL MASTER'!$S$2:$S$495))-(ROW('CONTROL MASTER'!#REF!)-1))))*(INDEX('CONTROL MASTER'!$AC$2:$AC$495,(SUMPRODUCT((('CONTROL MASTER'!$S$2:$S$495=7)*('CONTROL MASTER'!$Z$2:$Z$495&lt;=9)*('CONTROL MASTER'!$AB$2:$AB$495&gt;=9)*('CONTROL MASTER'!$AA$2:$AA$495&lt;=8)*('CONTROL MASTER'!$AC$2:$AC$495&gt;=8))*ROW('CONTROL MASTER'!$S$2:$S$495))-(ROW('CONTROL MASTER'!#REF!)-1)))-INDEX('CONTROL MASTER'!$AA$2:$AA$495,(SUMPRODUCT((('CONTROL MASTER'!$S$2:$S$495=7)*('CONTROL MASTER'!$Z$2:$Z$495&lt;=9)*('CONTROL MASTER'!$AB$2:$AB$495&gt;=9)*('CONTROL MASTER'!$AA$2:$AA$495&lt;=8)*('CONTROL MASTER'!$AC$2:$AC$495&gt;=8))*ROW('CONTROL MASTER'!$S$2:$S$495))-(ROW('CONTROL MASTER'!#REF!)-1)))+1)+(8-INDEX('CONTROL MASTER'!$AA$2:$AA$495,(SUMPRODUCT((('CONTROL MASTER'!$S$2:$S$495=7)*('CONTROL MASTER'!$Z$2:$Z$495&lt;=9)*('CONTROL MASTER'!$AB$2:$AB$495&gt;=9)*('CONTROL MASTER'!$AA$2:$AA$495&lt;=8)*('CONTROL MASTER'!$AC$2:$AC$495&gt;=8))*ROW('CONTROL MASTER'!$S$2:$S$495))-(ROW('CONTROL MASTER'!#REF!)-1))))+1)))-1)*50+1,50))&amp;"_"&amp;INDEX('CONTROL MASTER'!$P$2:$P$495,(SUMPRODUCT((('CONTROL MASTER'!$S$2:$S$495=7)*('CONTROL MASTER'!$Z$2:$Z$495&lt;=9)*('CONTROL MASTER'!$AB$2:$AB$495&gt;=9)*('CONTROL MASTER'!$AA$2:$AA$495&lt;=8)*('CONTROL MASTER'!$AC$2:$AC$495&gt;=8))*ROW('CONTROL MASTER'!$S$2:$S$495))-(ROW('CONTROL MASTER'!#REF!)-1))),"")),"")</f>
        <v/>
      </c>
      <c r="J95" s="10" t="str">
        <f>IFERROR(IF(SUMPRODUCT((('CONTROL MASTER'!$S$2:$S$495=7)*('CONTROL MASTER'!$T$2:$T$495&lt;=9)*('CONTROL MASTER'!$V$2:$V$495&gt;=9)*('CONTROL MASTER'!$U$2:$U$495&lt;=9)*('CONTROL MASTER'!$W$2:$W$495&gt;=9))*ROW('CONTROL MASTER'!$S$2:$S$495))&gt;0,INDEX('CONTROL MASTER'!$X$2:$X$495,(SUMPRODUCT((('CONTROL MASTER'!$S$2:$S$495=7)*('CONTROL MASTER'!$T$2:$T$495&lt;=9)*('CONTROL MASTER'!$V$2:$V$495&gt;=9)*('CONTROL MASTER'!$U$2:$U$495&lt;=9)*('CONTROL MASTER'!$W$2:$W$495&gt;=9))*ROW('CONTROL MASTER'!$S$2:$S$495))-(ROW('CONTROL MASTER'!#REF!)-1)))&amp;TRIM(MID(SUBSTITUTE(SUBSTITUTE(INDEX('CONTROL MASTER'!$N$2:$N$495,(SUMPRODUCT((('CONTROL MASTER'!$S$2:$S$495=7)*('CONTROL MASTER'!$T$2:$T$495&lt;=9)*('CONTROL MASTER'!$V$2:$V$495&gt;=9)*('CONTROL MASTER'!$U$2:$U$495&lt;=9)*('CONTROL MASTER'!$W$2:$W$495&gt;=9))*ROW('CONTROL MASTER'!$S$2:$S$495))-(ROW('CONTROL MASTER'!#REF!)-1))),":",","),",",REPT(" ",50)),((((9-INDEX('CONTROL MASTER'!$T$2:$T$495,(SUMPRODUCT((('CONTROL MASTER'!$S$2:$S$495=7)*('CONTROL MASTER'!$T$2:$T$495&lt;=9)*('CONTROL MASTER'!$V$2:$V$495&gt;=9)*('CONTROL MASTER'!$U$2:$U$495&lt;=9)*('CONTROL MASTER'!$W$2:$W$495&gt;=9))*ROW('CONTROL MASTER'!$S$2:$S$495))-(ROW('CONTROL MASTER'!#REF!)-1))))*(INDEX('CONTROL MASTER'!$W$2:$W$495,(SUMPRODUCT((('CONTROL MASTER'!$S$2:$S$495=7)*('CONTROL MASTER'!$T$2:$T$495&lt;=9)*('CONTROL MASTER'!$V$2:$V$495&gt;=9)*('CONTROL MASTER'!$U$2:$U$495&lt;=9)*('CONTROL MASTER'!$W$2:$W$495&gt;=9))*ROW('CONTROL MASTER'!$S$2:$S$495))-(ROW('CONTROL MASTER'!#REF!)-1)))-INDEX('CONTROL MASTER'!$U$2:$U$495,(SUMPRODUCT((('CONTROL MASTER'!$S$2:$S$495=7)*('CONTROL MASTER'!$T$2:$T$495&lt;=9)*('CONTROL MASTER'!$V$2:$V$495&gt;=9)*('CONTROL MASTER'!$U$2:$U$495&lt;=9)*('CONTROL MASTER'!$W$2:$W$495&gt;=9))*ROW('CONTROL MASTER'!$S$2:$S$495))-(ROW('CONTROL MASTER'!#REF!)-1)))+1)+(9-INDEX('CONTROL MASTER'!$U$2:$U$495,(SUMPRODUCT((('CONTROL MASTER'!$S$2:$S$495=7)*('CONTROL MASTER'!$T$2:$T$495&lt;=9)*('CONTROL MASTER'!$V$2:$V$495&gt;=9)*('CONTROL MASTER'!$U$2:$U$495&lt;=9)*('CONTROL MASTER'!$W$2:$W$495&gt;=9))*ROW('CONTROL MASTER'!$S$2:$S$495))-(ROW('CONTROL MASTER'!#REF!)-1))))+1))-1)*50+1,50))&amp;"_"&amp;INDEX('CONTROL MASTER'!$P$2:$P$495,(SUMPRODUCT((('CONTROL MASTER'!$S$2:$S$495=7)*('CONTROL MASTER'!$T$2:$T$495&lt;=9)*('CONTROL MASTER'!$V$2:$V$495&gt;=9)*('CONTROL MASTER'!$U$2:$U$495&lt;=9)*('CONTROL MASTER'!$W$2:$W$495&gt;=9))*ROW('CONTROL MASTER'!$S$2:$S$495))-(ROW('CONTROL MASTER'!#REF!)-1))),IF(SUMPRODUCT((('CONTROL MASTER'!$S$2:$S$495=7)*('CONTROL MASTER'!$Z$2:$Z$495&lt;=9)*('CONTROL MASTER'!$AB$2:$AB$495&gt;=9)*('CONTROL MASTER'!$AA$2:$AA$495&lt;=9)*('CONTROL MASTER'!$AC$2:$AC$495&gt;=9))*ROW('CONTROL MASTER'!$S$2:$S$495))&gt;0,INDEX('CONTROL MASTER'!$X$2:$X$495,(SUMPRODUCT((('CONTROL MASTER'!$S$2:$S$495=7)*('CONTROL MASTER'!$Z$2:$Z$495&lt;=9)*('CONTROL MASTER'!$AB$2:$AB$495&gt;=9)*('CONTROL MASTER'!$AA$2:$AA$495&lt;=9)*('CONTROL MASTER'!$AC$2:$AC$495&gt;=9))*ROW('CONTROL MASTER'!$S$2:$S$495))-(ROW('CONTROL MASTER'!#REF!)-1)))&amp;TRIM(MID(SUBSTITUTE(SUBSTITUTE(INDEX('CONTROL MASTER'!$N$2:$N$495,(SUMPRODUCT((('CONTROL MASTER'!$S$2:$S$495=7)*('CONTROL MASTER'!$Z$2:$Z$495&lt;=9)*('CONTROL MASTER'!$AB$2:$AB$495&gt;=9)*('CONTROL MASTER'!$AA$2:$AA$495&lt;=9)*('CONTROL MASTER'!$AC$2:$AC$495&gt;=9))*ROW('CONTROL MASTER'!$S$2:$S$495))-(ROW('CONTROL MASTER'!#REF!)-1))),":",","),",",REPT(" ",50)),(((INDEX('CONTROL MASTER'!$Y$2:$Y$495,(SUMPRODUCT((('CONTROL MASTER'!$S$2:$S$495=7)*('CONTROL MASTER'!$Z$2:$Z$495&lt;=9)*('CONTROL MASTER'!$AB$2:$AB$495&gt;=9)*('CONTROL MASTER'!$AA$2:$AA$495&lt;=9)*('CONTROL MASTER'!$AC$2:$AC$495&gt;=9))*ROW('CONTROL MASTER'!$S$2:$S$495))-(ROW('CONTROL MASTER'!#REF!)-1)))+((9-INDEX('CONTROL MASTER'!$Z$2:$Z$495,(SUMPRODUCT((('CONTROL MASTER'!$S$2:$S$495=7)*('CONTROL MASTER'!$Z$2:$Z$495&lt;=9)*('CONTROL MASTER'!$AB$2:$AB$495&gt;=9)*('CONTROL MASTER'!$AA$2:$AA$495&lt;=9)*('CONTROL MASTER'!$AC$2:$AC$495&gt;=9))*ROW('CONTROL MASTER'!$S$2:$S$495))-(ROW('CONTROL MASTER'!#REF!)-1))))*(INDEX('CONTROL MASTER'!$AC$2:$AC$495,(SUMPRODUCT((('CONTROL MASTER'!$S$2:$S$495=7)*('CONTROL MASTER'!$Z$2:$Z$495&lt;=9)*('CONTROL MASTER'!$AB$2:$AB$495&gt;=9)*('CONTROL MASTER'!$AA$2:$AA$495&lt;=9)*('CONTROL MASTER'!$AC$2:$AC$495&gt;=9))*ROW('CONTROL MASTER'!$S$2:$S$495))-(ROW('CONTROL MASTER'!#REF!)-1)))-INDEX('CONTROL MASTER'!$AA$2:$AA$495,(SUMPRODUCT((('CONTROL MASTER'!$S$2:$S$495=7)*('CONTROL MASTER'!$Z$2:$Z$495&lt;=9)*('CONTROL MASTER'!$AB$2:$AB$495&gt;=9)*('CONTROL MASTER'!$AA$2:$AA$495&lt;=9)*('CONTROL MASTER'!$AC$2:$AC$495&gt;=9))*ROW('CONTROL MASTER'!$S$2:$S$495))-(ROW('CONTROL MASTER'!#REF!)-1)))+1)+(9-INDEX('CONTROL MASTER'!$AA$2:$AA$495,(SUMPRODUCT((('CONTROL MASTER'!$S$2:$S$495=7)*('CONTROL MASTER'!$Z$2:$Z$495&lt;=9)*('CONTROL MASTER'!$AB$2:$AB$495&gt;=9)*('CONTROL MASTER'!$AA$2:$AA$495&lt;=9)*('CONTROL MASTER'!$AC$2:$AC$495&gt;=9))*ROW('CONTROL MASTER'!$S$2:$S$495))-(ROW('CONTROL MASTER'!#REF!)-1))))+1)))-1)*50+1,50))&amp;"_"&amp;INDEX('CONTROL MASTER'!$P$2:$P$495,(SUMPRODUCT((('CONTROL MASTER'!$S$2:$S$495=7)*('CONTROL MASTER'!$Z$2:$Z$495&lt;=9)*('CONTROL MASTER'!$AB$2:$AB$495&gt;=9)*('CONTROL MASTER'!$AA$2:$AA$495&lt;=9)*('CONTROL MASTER'!$AC$2:$AC$495&gt;=9))*ROW('CONTROL MASTER'!$S$2:$S$495))-(ROW('CONTROL MASTER'!#REF!)-1))),"")),"")</f>
        <v/>
      </c>
      <c r="K95" s="10" t="str">
        <f>IFERROR(IF(SUMPRODUCT((('CONTROL MASTER'!$S$2:$S$495=7)*('CONTROL MASTER'!$T$2:$T$495&lt;=9)*('CONTROL MASTER'!$V$2:$V$495&gt;=9)*('CONTROL MASTER'!$U$2:$U$495&lt;=10)*('CONTROL MASTER'!$W$2:$W$495&gt;=10))*ROW('CONTROL MASTER'!$S$2:$S$495))&gt;0,INDEX('CONTROL MASTER'!$X$2:$X$495,(SUMPRODUCT((('CONTROL MASTER'!$S$2:$S$495=7)*('CONTROL MASTER'!$T$2:$T$495&lt;=9)*('CONTROL MASTER'!$V$2:$V$495&gt;=9)*('CONTROL MASTER'!$U$2:$U$495&lt;=10)*('CONTROL MASTER'!$W$2:$W$495&gt;=10))*ROW('CONTROL MASTER'!$S$2:$S$495))-(ROW('CONTROL MASTER'!#REF!)-1)))&amp;TRIM(MID(SUBSTITUTE(SUBSTITUTE(INDEX('CONTROL MASTER'!$N$2:$N$495,(SUMPRODUCT((('CONTROL MASTER'!$S$2:$S$495=7)*('CONTROL MASTER'!$T$2:$T$495&lt;=9)*('CONTROL MASTER'!$V$2:$V$495&gt;=9)*('CONTROL MASTER'!$U$2:$U$495&lt;=10)*('CONTROL MASTER'!$W$2:$W$495&gt;=10))*ROW('CONTROL MASTER'!$S$2:$S$495))-(ROW('CONTROL MASTER'!#REF!)-1))),":",","),",",REPT(" ",50)),((((9-INDEX('CONTROL MASTER'!$T$2:$T$495,(SUMPRODUCT((('CONTROL MASTER'!$S$2:$S$495=7)*('CONTROL MASTER'!$T$2:$T$495&lt;=9)*('CONTROL MASTER'!$V$2:$V$495&gt;=9)*('CONTROL MASTER'!$U$2:$U$495&lt;=10)*('CONTROL MASTER'!$W$2:$W$495&gt;=10))*ROW('CONTROL MASTER'!$S$2:$S$495))-(ROW('CONTROL MASTER'!#REF!)-1))))*(INDEX('CONTROL MASTER'!$W$2:$W$495,(SUMPRODUCT((('CONTROL MASTER'!$S$2:$S$495=7)*('CONTROL MASTER'!$T$2:$T$495&lt;=9)*('CONTROL MASTER'!$V$2:$V$495&gt;=9)*('CONTROL MASTER'!$U$2:$U$495&lt;=10)*('CONTROL MASTER'!$W$2:$W$495&gt;=10))*ROW('CONTROL MASTER'!$S$2:$S$495))-(ROW('CONTROL MASTER'!#REF!)-1)))-INDEX('CONTROL MASTER'!$U$2:$U$495,(SUMPRODUCT((('CONTROL MASTER'!$S$2:$S$495=7)*('CONTROL MASTER'!$T$2:$T$495&lt;=9)*('CONTROL MASTER'!$V$2:$V$495&gt;=9)*('CONTROL MASTER'!$U$2:$U$495&lt;=10)*('CONTROL MASTER'!$W$2:$W$495&gt;=10))*ROW('CONTROL MASTER'!$S$2:$S$495))-(ROW('CONTROL MASTER'!#REF!)-1)))+1)+(10-INDEX('CONTROL MASTER'!$U$2:$U$495,(SUMPRODUCT((('CONTROL MASTER'!$S$2:$S$495=7)*('CONTROL MASTER'!$T$2:$T$495&lt;=9)*('CONTROL MASTER'!$V$2:$V$495&gt;=9)*('CONTROL MASTER'!$U$2:$U$495&lt;=10)*('CONTROL MASTER'!$W$2:$W$495&gt;=10))*ROW('CONTROL MASTER'!$S$2:$S$495))-(ROW('CONTROL MASTER'!#REF!)-1))))+1))-1)*50+1,50))&amp;"_"&amp;INDEX('CONTROL MASTER'!$P$2:$P$495,(SUMPRODUCT((('CONTROL MASTER'!$S$2:$S$495=7)*('CONTROL MASTER'!$T$2:$T$495&lt;=9)*('CONTROL MASTER'!$V$2:$V$495&gt;=9)*('CONTROL MASTER'!$U$2:$U$495&lt;=10)*('CONTROL MASTER'!$W$2:$W$495&gt;=10))*ROW('CONTROL MASTER'!$S$2:$S$495))-(ROW('CONTROL MASTER'!#REF!)-1))),IF(SUMPRODUCT((('CONTROL MASTER'!$S$2:$S$495=7)*('CONTROL MASTER'!$Z$2:$Z$495&lt;=9)*('CONTROL MASTER'!$AB$2:$AB$495&gt;=9)*('CONTROL MASTER'!$AA$2:$AA$495&lt;=10)*('CONTROL MASTER'!$AC$2:$AC$495&gt;=10))*ROW('CONTROL MASTER'!$S$2:$S$495))&gt;0,INDEX('CONTROL MASTER'!$X$2:$X$495,(SUMPRODUCT((('CONTROL MASTER'!$S$2:$S$495=7)*('CONTROL MASTER'!$Z$2:$Z$495&lt;=9)*('CONTROL MASTER'!$AB$2:$AB$495&gt;=9)*('CONTROL MASTER'!$AA$2:$AA$495&lt;=10)*('CONTROL MASTER'!$AC$2:$AC$495&gt;=10))*ROW('CONTROL MASTER'!$S$2:$S$495))-(ROW('CONTROL MASTER'!#REF!)-1)))&amp;TRIM(MID(SUBSTITUTE(SUBSTITUTE(INDEX('CONTROL MASTER'!$N$2:$N$495,(SUMPRODUCT((('CONTROL MASTER'!$S$2:$S$495=7)*('CONTROL MASTER'!$Z$2:$Z$495&lt;=9)*('CONTROL MASTER'!$AB$2:$AB$495&gt;=9)*('CONTROL MASTER'!$AA$2:$AA$495&lt;=10)*('CONTROL MASTER'!$AC$2:$AC$495&gt;=10))*ROW('CONTROL MASTER'!$S$2:$S$495))-(ROW('CONTROL MASTER'!#REF!)-1))),":",","),",",REPT(" ",50)),(((INDEX('CONTROL MASTER'!$Y$2:$Y$495,(SUMPRODUCT((('CONTROL MASTER'!$S$2:$S$495=7)*('CONTROL MASTER'!$Z$2:$Z$495&lt;=9)*('CONTROL MASTER'!$AB$2:$AB$495&gt;=9)*('CONTROL MASTER'!$AA$2:$AA$495&lt;=10)*('CONTROL MASTER'!$AC$2:$AC$495&gt;=10))*ROW('CONTROL MASTER'!$S$2:$S$495))-(ROW('CONTROL MASTER'!#REF!)-1)))+((9-INDEX('CONTROL MASTER'!$Z$2:$Z$495,(SUMPRODUCT((('CONTROL MASTER'!$S$2:$S$495=7)*('CONTROL MASTER'!$Z$2:$Z$495&lt;=9)*('CONTROL MASTER'!$AB$2:$AB$495&gt;=9)*('CONTROL MASTER'!$AA$2:$AA$495&lt;=10)*('CONTROL MASTER'!$AC$2:$AC$495&gt;=10))*ROW('CONTROL MASTER'!$S$2:$S$495))-(ROW('CONTROL MASTER'!#REF!)-1))))*(INDEX('CONTROL MASTER'!$AC$2:$AC$495,(SUMPRODUCT((('CONTROL MASTER'!$S$2:$S$495=7)*('CONTROL MASTER'!$Z$2:$Z$495&lt;=9)*('CONTROL MASTER'!$AB$2:$AB$495&gt;=9)*('CONTROL MASTER'!$AA$2:$AA$495&lt;=10)*('CONTROL MASTER'!$AC$2:$AC$495&gt;=10))*ROW('CONTROL MASTER'!$S$2:$S$495))-(ROW('CONTROL MASTER'!#REF!)-1)))-INDEX('CONTROL MASTER'!$AA$2:$AA$495,(SUMPRODUCT((('CONTROL MASTER'!$S$2:$S$495=7)*('CONTROL MASTER'!$Z$2:$Z$495&lt;=9)*('CONTROL MASTER'!$AB$2:$AB$495&gt;=9)*('CONTROL MASTER'!$AA$2:$AA$495&lt;=10)*('CONTROL MASTER'!$AC$2:$AC$495&gt;=10))*ROW('CONTROL MASTER'!$S$2:$S$495))-(ROW('CONTROL MASTER'!#REF!)-1)))+1)+(10-INDEX('CONTROL MASTER'!$AA$2:$AA$495,(SUMPRODUCT((('CONTROL MASTER'!$S$2:$S$495=7)*('CONTROL MASTER'!$Z$2:$Z$495&lt;=9)*('CONTROL MASTER'!$AB$2:$AB$495&gt;=9)*('CONTROL MASTER'!$AA$2:$AA$495&lt;=10)*('CONTROL MASTER'!$AC$2:$AC$495&gt;=10))*ROW('CONTROL MASTER'!$S$2:$S$495))-(ROW('CONTROL MASTER'!#REF!)-1))))+1)))-1)*50+1,50))&amp;"_"&amp;INDEX('CONTROL MASTER'!$P$2:$P$495,(SUMPRODUCT((('CONTROL MASTER'!$S$2:$S$495=7)*('CONTROL MASTER'!$Z$2:$Z$495&lt;=9)*('CONTROL MASTER'!$AB$2:$AB$495&gt;=9)*('CONTROL MASTER'!$AA$2:$AA$495&lt;=10)*('CONTROL MASTER'!$AC$2:$AC$495&gt;=10))*ROW('CONTROL MASTER'!$S$2:$S$495))-(ROW('CONTROL MASTER'!#REF!)-1))),"")),"")</f>
        <v/>
      </c>
    </row>
    <row r="96" spans="1:11" ht="15" customHeight="1" x14ac:dyDescent="0.35">
      <c r="A96" s="8" t="s">
        <v>82</v>
      </c>
      <c r="B96" s="10" t="str">
        <f>IFERROR(IF(SUMPRODUCT((('CONTROL MASTER'!$S$2:$S$495=7)*('CONTROL MASTER'!$T$2:$T$495&lt;=10)*('CONTROL MASTER'!$V$2:$V$495&gt;=10)*('CONTROL MASTER'!$U$2:$U$495&lt;=1)*('CONTROL MASTER'!$W$2:$W$495&gt;=1))*ROW('CONTROL MASTER'!$S$2:$S$495))&gt;0,INDEX('CONTROL MASTER'!$X$2:$X$495,(SUMPRODUCT((('CONTROL MASTER'!$S$2:$S$495=7)*('CONTROL MASTER'!$T$2:$T$495&lt;=10)*('CONTROL MASTER'!$V$2:$V$495&gt;=10)*('CONTROL MASTER'!$U$2:$U$495&lt;=1)*('CONTROL MASTER'!$W$2:$W$495&gt;=1))*ROW('CONTROL MASTER'!$S$2:$S$495))-(ROW('CONTROL MASTER'!#REF!)-1)))&amp;TRIM(MID(SUBSTITUTE(SUBSTITUTE(INDEX('CONTROL MASTER'!$N$2:$N$495,(SUMPRODUCT((('CONTROL MASTER'!$S$2:$S$495=7)*('CONTROL MASTER'!$T$2:$T$495&lt;=10)*('CONTROL MASTER'!$V$2:$V$495&gt;=10)*('CONTROL MASTER'!$U$2:$U$495&lt;=1)*('CONTROL MASTER'!$W$2:$W$495&gt;=1))*ROW('CONTROL MASTER'!$S$2:$S$495))-(ROW('CONTROL MASTER'!#REF!)-1))),":",","),",",REPT(" ",50)),((((10-INDEX('CONTROL MASTER'!$T$2:$T$495,(SUMPRODUCT((('CONTROL MASTER'!$S$2:$S$495=7)*('CONTROL MASTER'!$T$2:$T$495&lt;=10)*('CONTROL MASTER'!$V$2:$V$495&gt;=10)*('CONTROL MASTER'!$U$2:$U$495&lt;=1)*('CONTROL MASTER'!$W$2:$W$495&gt;=1))*ROW('CONTROL MASTER'!$S$2:$S$495))-(ROW('CONTROL MASTER'!#REF!)-1))))*(INDEX('CONTROL MASTER'!$W$2:$W$495,(SUMPRODUCT((('CONTROL MASTER'!$S$2:$S$495=7)*('CONTROL MASTER'!$T$2:$T$495&lt;=10)*('CONTROL MASTER'!$V$2:$V$495&gt;=10)*('CONTROL MASTER'!$U$2:$U$495&lt;=1)*('CONTROL MASTER'!$W$2:$W$495&gt;=1))*ROW('CONTROL MASTER'!$S$2:$S$495))-(ROW('CONTROL MASTER'!#REF!)-1)))-INDEX('CONTROL MASTER'!$U$2:$U$495,(SUMPRODUCT((('CONTROL MASTER'!$S$2:$S$495=7)*('CONTROL MASTER'!$T$2:$T$495&lt;=10)*('CONTROL MASTER'!$V$2:$V$495&gt;=10)*('CONTROL MASTER'!$U$2:$U$495&lt;=1)*('CONTROL MASTER'!$W$2:$W$495&gt;=1))*ROW('CONTROL MASTER'!$S$2:$S$495))-(ROW('CONTROL MASTER'!#REF!)-1)))+1)+(1-INDEX('CONTROL MASTER'!$U$2:$U$495,(SUMPRODUCT((('CONTROL MASTER'!$S$2:$S$495=7)*('CONTROL MASTER'!$T$2:$T$495&lt;=10)*('CONTROL MASTER'!$V$2:$V$495&gt;=10)*('CONTROL MASTER'!$U$2:$U$495&lt;=1)*('CONTROL MASTER'!$W$2:$W$495&gt;=1))*ROW('CONTROL MASTER'!$S$2:$S$495))-(ROW('CONTROL MASTER'!#REF!)-1))))+1))-1)*50+1,50))&amp;"_"&amp;INDEX('CONTROL MASTER'!$P$2:$P$495,(SUMPRODUCT((('CONTROL MASTER'!$S$2:$S$495=7)*('CONTROL MASTER'!$T$2:$T$495&lt;=10)*('CONTROL MASTER'!$V$2:$V$495&gt;=10)*('CONTROL MASTER'!$U$2:$U$495&lt;=1)*('CONTROL MASTER'!$W$2:$W$495&gt;=1))*ROW('CONTROL MASTER'!$S$2:$S$495))-(ROW('CONTROL MASTER'!#REF!)-1))),IF(SUMPRODUCT((('CONTROL MASTER'!$S$2:$S$495=7)*('CONTROL MASTER'!$Z$2:$Z$495&lt;=10)*('CONTROL MASTER'!$AB$2:$AB$495&gt;=10)*('CONTROL MASTER'!$AA$2:$AA$495&lt;=1)*('CONTROL MASTER'!$AC$2:$AC$495&gt;=1))*ROW('CONTROL MASTER'!$S$2:$S$495))&gt;0,INDEX('CONTROL MASTER'!$X$2:$X$495,(SUMPRODUCT((('CONTROL MASTER'!$S$2:$S$495=7)*('CONTROL MASTER'!$Z$2:$Z$495&lt;=10)*('CONTROL MASTER'!$AB$2:$AB$495&gt;=10)*('CONTROL MASTER'!$AA$2:$AA$495&lt;=1)*('CONTROL MASTER'!$AC$2:$AC$495&gt;=1))*ROW('CONTROL MASTER'!$S$2:$S$495))-(ROW('CONTROL MASTER'!#REF!)-1)))&amp;TRIM(MID(SUBSTITUTE(SUBSTITUTE(INDEX('CONTROL MASTER'!$N$2:$N$495,(SUMPRODUCT((('CONTROL MASTER'!$S$2:$S$495=7)*('CONTROL MASTER'!$Z$2:$Z$495&lt;=10)*('CONTROL MASTER'!$AB$2:$AB$495&gt;=10)*('CONTROL MASTER'!$AA$2:$AA$495&lt;=1)*('CONTROL MASTER'!$AC$2:$AC$495&gt;=1))*ROW('CONTROL MASTER'!$S$2:$S$495))-(ROW('CONTROL MASTER'!#REF!)-1))),":",","),",",REPT(" ",50)),(((INDEX('CONTROL MASTER'!$Y$2:$Y$495,(SUMPRODUCT((('CONTROL MASTER'!$S$2:$S$495=7)*('CONTROL MASTER'!$Z$2:$Z$495&lt;=10)*('CONTROL MASTER'!$AB$2:$AB$495&gt;=10)*('CONTROL MASTER'!$AA$2:$AA$495&lt;=1)*('CONTROL MASTER'!$AC$2:$AC$495&gt;=1))*ROW('CONTROL MASTER'!$S$2:$S$495))-(ROW('CONTROL MASTER'!#REF!)-1)))+((10-INDEX('CONTROL MASTER'!$Z$2:$Z$495,(SUMPRODUCT((('CONTROL MASTER'!$S$2:$S$495=7)*('CONTROL MASTER'!$Z$2:$Z$495&lt;=10)*('CONTROL MASTER'!$AB$2:$AB$495&gt;=10)*('CONTROL MASTER'!$AA$2:$AA$495&lt;=1)*('CONTROL MASTER'!$AC$2:$AC$495&gt;=1))*ROW('CONTROL MASTER'!$S$2:$S$495))-(ROW('CONTROL MASTER'!#REF!)-1))))*(INDEX('CONTROL MASTER'!$AC$2:$AC$495,(SUMPRODUCT((('CONTROL MASTER'!$S$2:$S$495=7)*('CONTROL MASTER'!$Z$2:$Z$495&lt;=10)*('CONTROL MASTER'!$AB$2:$AB$495&gt;=10)*('CONTROL MASTER'!$AA$2:$AA$495&lt;=1)*('CONTROL MASTER'!$AC$2:$AC$495&gt;=1))*ROW('CONTROL MASTER'!$S$2:$S$495))-(ROW('CONTROL MASTER'!#REF!)-1)))-INDEX('CONTROL MASTER'!$AA$2:$AA$495,(SUMPRODUCT((('CONTROL MASTER'!$S$2:$S$495=7)*('CONTROL MASTER'!$Z$2:$Z$495&lt;=10)*('CONTROL MASTER'!$AB$2:$AB$495&gt;=10)*('CONTROL MASTER'!$AA$2:$AA$495&lt;=1)*('CONTROL MASTER'!$AC$2:$AC$495&gt;=1))*ROW('CONTROL MASTER'!$S$2:$S$495))-(ROW('CONTROL MASTER'!#REF!)-1)))+1)+(1-INDEX('CONTROL MASTER'!$AA$2:$AA$495,(SUMPRODUCT((('CONTROL MASTER'!$S$2:$S$495=7)*('CONTROL MASTER'!$Z$2:$Z$495&lt;=10)*('CONTROL MASTER'!$AB$2:$AB$495&gt;=10)*('CONTROL MASTER'!$AA$2:$AA$495&lt;=1)*('CONTROL MASTER'!$AC$2:$AC$495&gt;=1))*ROW('CONTROL MASTER'!$S$2:$S$495))-(ROW('CONTROL MASTER'!#REF!)-1))))+1)))-1)*50+1,50))&amp;"_"&amp;INDEX('CONTROL MASTER'!$P$2:$P$495,(SUMPRODUCT((('CONTROL MASTER'!$S$2:$S$495=7)*('CONTROL MASTER'!$Z$2:$Z$495&lt;=10)*('CONTROL MASTER'!$AB$2:$AB$495&gt;=10)*('CONTROL MASTER'!$AA$2:$AA$495&lt;=1)*('CONTROL MASTER'!$AC$2:$AC$495&gt;=1))*ROW('CONTROL MASTER'!$S$2:$S$495))-(ROW('CONTROL MASTER'!#REF!)-1))),"")),"")</f>
        <v/>
      </c>
      <c r="C96" s="10" t="str">
        <f>IFERROR(IF(SUMPRODUCT((('CONTROL MASTER'!$S$2:$S$495=7)*('CONTROL MASTER'!$T$2:$T$495&lt;=10)*('CONTROL MASTER'!$V$2:$V$495&gt;=10)*('CONTROL MASTER'!$U$2:$U$495&lt;=2)*('CONTROL MASTER'!$W$2:$W$495&gt;=2))*ROW('CONTROL MASTER'!$S$2:$S$495))&gt;0,INDEX('CONTROL MASTER'!$X$2:$X$495,(SUMPRODUCT((('CONTROL MASTER'!$S$2:$S$495=7)*('CONTROL MASTER'!$T$2:$T$495&lt;=10)*('CONTROL MASTER'!$V$2:$V$495&gt;=10)*('CONTROL MASTER'!$U$2:$U$495&lt;=2)*('CONTROL MASTER'!$W$2:$W$495&gt;=2))*ROW('CONTROL MASTER'!$S$2:$S$495))-(ROW('CONTROL MASTER'!#REF!)-1)))&amp;TRIM(MID(SUBSTITUTE(SUBSTITUTE(INDEX('CONTROL MASTER'!$N$2:$N$495,(SUMPRODUCT((('CONTROL MASTER'!$S$2:$S$495=7)*('CONTROL MASTER'!$T$2:$T$495&lt;=10)*('CONTROL MASTER'!$V$2:$V$495&gt;=10)*('CONTROL MASTER'!$U$2:$U$495&lt;=2)*('CONTROL MASTER'!$W$2:$W$495&gt;=2))*ROW('CONTROL MASTER'!$S$2:$S$495))-(ROW('CONTROL MASTER'!#REF!)-1))),":",","),",",REPT(" ",50)),((((10-INDEX('CONTROL MASTER'!$T$2:$T$495,(SUMPRODUCT((('CONTROL MASTER'!$S$2:$S$495=7)*('CONTROL MASTER'!$T$2:$T$495&lt;=10)*('CONTROL MASTER'!$V$2:$V$495&gt;=10)*('CONTROL MASTER'!$U$2:$U$495&lt;=2)*('CONTROL MASTER'!$W$2:$W$495&gt;=2))*ROW('CONTROL MASTER'!$S$2:$S$495))-(ROW('CONTROL MASTER'!#REF!)-1))))*(INDEX('CONTROL MASTER'!$W$2:$W$495,(SUMPRODUCT((('CONTROL MASTER'!$S$2:$S$495=7)*('CONTROL MASTER'!$T$2:$T$495&lt;=10)*('CONTROL MASTER'!$V$2:$V$495&gt;=10)*('CONTROL MASTER'!$U$2:$U$495&lt;=2)*('CONTROL MASTER'!$W$2:$W$495&gt;=2))*ROW('CONTROL MASTER'!$S$2:$S$495))-(ROW('CONTROL MASTER'!#REF!)-1)))-INDEX('CONTROL MASTER'!$U$2:$U$495,(SUMPRODUCT((('CONTROL MASTER'!$S$2:$S$495=7)*('CONTROL MASTER'!$T$2:$T$495&lt;=10)*('CONTROL MASTER'!$V$2:$V$495&gt;=10)*('CONTROL MASTER'!$U$2:$U$495&lt;=2)*('CONTROL MASTER'!$W$2:$W$495&gt;=2))*ROW('CONTROL MASTER'!$S$2:$S$495))-(ROW('CONTROL MASTER'!#REF!)-1)))+1)+(2-INDEX('CONTROL MASTER'!$U$2:$U$495,(SUMPRODUCT((('CONTROL MASTER'!$S$2:$S$495=7)*('CONTROL MASTER'!$T$2:$T$495&lt;=10)*('CONTROL MASTER'!$V$2:$V$495&gt;=10)*('CONTROL MASTER'!$U$2:$U$495&lt;=2)*('CONTROL MASTER'!$W$2:$W$495&gt;=2))*ROW('CONTROL MASTER'!$S$2:$S$495))-(ROW('CONTROL MASTER'!#REF!)-1))))+1))-1)*50+1,50))&amp;"_"&amp;INDEX('CONTROL MASTER'!$P$2:$P$495,(SUMPRODUCT((('CONTROL MASTER'!$S$2:$S$495=7)*('CONTROL MASTER'!$T$2:$T$495&lt;=10)*('CONTROL MASTER'!$V$2:$V$495&gt;=10)*('CONTROL MASTER'!$U$2:$U$495&lt;=2)*('CONTROL MASTER'!$W$2:$W$495&gt;=2))*ROW('CONTROL MASTER'!$S$2:$S$495))-(ROW('CONTROL MASTER'!#REF!)-1))),IF(SUMPRODUCT((('CONTROL MASTER'!$S$2:$S$495=7)*('CONTROL MASTER'!$Z$2:$Z$495&lt;=10)*('CONTROL MASTER'!$AB$2:$AB$495&gt;=10)*('CONTROL MASTER'!$AA$2:$AA$495&lt;=2)*('CONTROL MASTER'!$AC$2:$AC$495&gt;=2))*ROW('CONTROL MASTER'!$S$2:$S$495))&gt;0,INDEX('CONTROL MASTER'!$X$2:$X$495,(SUMPRODUCT((('CONTROL MASTER'!$S$2:$S$495=7)*('CONTROL MASTER'!$Z$2:$Z$495&lt;=10)*('CONTROL MASTER'!$AB$2:$AB$495&gt;=10)*('CONTROL MASTER'!$AA$2:$AA$495&lt;=2)*('CONTROL MASTER'!$AC$2:$AC$495&gt;=2))*ROW('CONTROL MASTER'!$S$2:$S$495))-(ROW('CONTROL MASTER'!#REF!)-1)))&amp;TRIM(MID(SUBSTITUTE(SUBSTITUTE(INDEX('CONTROL MASTER'!$N$2:$N$495,(SUMPRODUCT((('CONTROL MASTER'!$S$2:$S$495=7)*('CONTROL MASTER'!$Z$2:$Z$495&lt;=10)*('CONTROL MASTER'!$AB$2:$AB$495&gt;=10)*('CONTROL MASTER'!$AA$2:$AA$495&lt;=2)*('CONTROL MASTER'!$AC$2:$AC$495&gt;=2))*ROW('CONTROL MASTER'!$S$2:$S$495))-(ROW('CONTROL MASTER'!#REF!)-1))),":",","),",",REPT(" ",50)),(((INDEX('CONTROL MASTER'!$Y$2:$Y$495,(SUMPRODUCT((('CONTROL MASTER'!$S$2:$S$495=7)*('CONTROL MASTER'!$Z$2:$Z$495&lt;=10)*('CONTROL MASTER'!$AB$2:$AB$495&gt;=10)*('CONTROL MASTER'!$AA$2:$AA$495&lt;=2)*('CONTROL MASTER'!$AC$2:$AC$495&gt;=2))*ROW('CONTROL MASTER'!$S$2:$S$495))-(ROW('CONTROL MASTER'!#REF!)-1)))+((10-INDEX('CONTROL MASTER'!$Z$2:$Z$495,(SUMPRODUCT((('CONTROL MASTER'!$S$2:$S$495=7)*('CONTROL MASTER'!$Z$2:$Z$495&lt;=10)*('CONTROL MASTER'!$AB$2:$AB$495&gt;=10)*('CONTROL MASTER'!$AA$2:$AA$495&lt;=2)*('CONTROL MASTER'!$AC$2:$AC$495&gt;=2))*ROW('CONTROL MASTER'!$S$2:$S$495))-(ROW('CONTROL MASTER'!#REF!)-1))))*(INDEX('CONTROL MASTER'!$AC$2:$AC$495,(SUMPRODUCT((('CONTROL MASTER'!$S$2:$S$495=7)*('CONTROL MASTER'!$Z$2:$Z$495&lt;=10)*('CONTROL MASTER'!$AB$2:$AB$495&gt;=10)*('CONTROL MASTER'!$AA$2:$AA$495&lt;=2)*('CONTROL MASTER'!$AC$2:$AC$495&gt;=2))*ROW('CONTROL MASTER'!$S$2:$S$495))-(ROW('CONTROL MASTER'!#REF!)-1)))-INDEX('CONTROL MASTER'!$AA$2:$AA$495,(SUMPRODUCT((('CONTROL MASTER'!$S$2:$S$495=7)*('CONTROL MASTER'!$Z$2:$Z$495&lt;=10)*('CONTROL MASTER'!$AB$2:$AB$495&gt;=10)*('CONTROL MASTER'!$AA$2:$AA$495&lt;=2)*('CONTROL MASTER'!$AC$2:$AC$495&gt;=2))*ROW('CONTROL MASTER'!$S$2:$S$495))-(ROW('CONTROL MASTER'!#REF!)-1)))+1)+(2-INDEX('CONTROL MASTER'!$AA$2:$AA$495,(SUMPRODUCT((('CONTROL MASTER'!$S$2:$S$495=7)*('CONTROL MASTER'!$Z$2:$Z$495&lt;=10)*('CONTROL MASTER'!$AB$2:$AB$495&gt;=10)*('CONTROL MASTER'!$AA$2:$AA$495&lt;=2)*('CONTROL MASTER'!$AC$2:$AC$495&gt;=2))*ROW('CONTROL MASTER'!$S$2:$S$495))-(ROW('CONTROL MASTER'!#REF!)-1))))+1)))-1)*50+1,50))&amp;"_"&amp;INDEX('CONTROL MASTER'!$P$2:$P$495,(SUMPRODUCT((('CONTROL MASTER'!$S$2:$S$495=7)*('CONTROL MASTER'!$Z$2:$Z$495&lt;=10)*('CONTROL MASTER'!$AB$2:$AB$495&gt;=10)*('CONTROL MASTER'!$AA$2:$AA$495&lt;=2)*('CONTROL MASTER'!$AC$2:$AC$495&gt;=2))*ROW('CONTROL MASTER'!$S$2:$S$495))-(ROW('CONTROL MASTER'!#REF!)-1))),"")),"")</f>
        <v/>
      </c>
      <c r="D96" s="10" t="str">
        <f>IFERROR(IF(SUMPRODUCT((('CONTROL MASTER'!$S$2:$S$495=7)*('CONTROL MASTER'!$T$2:$T$495&lt;=10)*('CONTROL MASTER'!$V$2:$V$495&gt;=10)*('CONTROL MASTER'!$U$2:$U$495&lt;=3)*('CONTROL MASTER'!$W$2:$W$495&gt;=3))*ROW('CONTROL MASTER'!$S$2:$S$495))&gt;0,INDEX('CONTROL MASTER'!$X$2:$X$495,(SUMPRODUCT((('CONTROL MASTER'!$S$2:$S$495=7)*('CONTROL MASTER'!$T$2:$T$495&lt;=10)*('CONTROL MASTER'!$V$2:$V$495&gt;=10)*('CONTROL MASTER'!$U$2:$U$495&lt;=3)*('CONTROL MASTER'!$W$2:$W$495&gt;=3))*ROW('CONTROL MASTER'!$S$2:$S$495))-(ROW('CONTROL MASTER'!#REF!)-1)))&amp;TRIM(MID(SUBSTITUTE(SUBSTITUTE(INDEX('CONTROL MASTER'!$N$2:$N$495,(SUMPRODUCT((('CONTROL MASTER'!$S$2:$S$495=7)*('CONTROL MASTER'!$T$2:$T$495&lt;=10)*('CONTROL MASTER'!$V$2:$V$495&gt;=10)*('CONTROL MASTER'!$U$2:$U$495&lt;=3)*('CONTROL MASTER'!$W$2:$W$495&gt;=3))*ROW('CONTROL MASTER'!$S$2:$S$495))-(ROW('CONTROL MASTER'!#REF!)-1))),":",","),",",REPT(" ",50)),((((10-INDEX('CONTROL MASTER'!$T$2:$T$495,(SUMPRODUCT((('CONTROL MASTER'!$S$2:$S$495=7)*('CONTROL MASTER'!$T$2:$T$495&lt;=10)*('CONTROL MASTER'!$V$2:$V$495&gt;=10)*('CONTROL MASTER'!$U$2:$U$495&lt;=3)*('CONTROL MASTER'!$W$2:$W$495&gt;=3))*ROW('CONTROL MASTER'!$S$2:$S$495))-(ROW('CONTROL MASTER'!#REF!)-1))))*(INDEX('CONTROL MASTER'!$W$2:$W$495,(SUMPRODUCT((('CONTROL MASTER'!$S$2:$S$495=7)*('CONTROL MASTER'!$T$2:$T$495&lt;=10)*('CONTROL MASTER'!$V$2:$V$495&gt;=10)*('CONTROL MASTER'!$U$2:$U$495&lt;=3)*('CONTROL MASTER'!$W$2:$W$495&gt;=3))*ROW('CONTROL MASTER'!$S$2:$S$495))-(ROW('CONTROL MASTER'!#REF!)-1)))-INDEX('CONTROL MASTER'!$U$2:$U$495,(SUMPRODUCT((('CONTROL MASTER'!$S$2:$S$495=7)*('CONTROL MASTER'!$T$2:$T$495&lt;=10)*('CONTROL MASTER'!$V$2:$V$495&gt;=10)*('CONTROL MASTER'!$U$2:$U$495&lt;=3)*('CONTROL MASTER'!$W$2:$W$495&gt;=3))*ROW('CONTROL MASTER'!$S$2:$S$495))-(ROW('CONTROL MASTER'!#REF!)-1)))+1)+(3-INDEX('CONTROL MASTER'!$U$2:$U$495,(SUMPRODUCT((('CONTROL MASTER'!$S$2:$S$495=7)*('CONTROL MASTER'!$T$2:$T$495&lt;=10)*('CONTROL MASTER'!$V$2:$V$495&gt;=10)*('CONTROL MASTER'!$U$2:$U$495&lt;=3)*('CONTROL MASTER'!$W$2:$W$495&gt;=3))*ROW('CONTROL MASTER'!$S$2:$S$495))-(ROW('CONTROL MASTER'!#REF!)-1))))+1))-1)*50+1,50))&amp;"_"&amp;INDEX('CONTROL MASTER'!$P$2:$P$495,(SUMPRODUCT((('CONTROL MASTER'!$S$2:$S$495=7)*('CONTROL MASTER'!$T$2:$T$495&lt;=10)*('CONTROL MASTER'!$V$2:$V$495&gt;=10)*('CONTROL MASTER'!$U$2:$U$495&lt;=3)*('CONTROL MASTER'!$W$2:$W$495&gt;=3))*ROW('CONTROL MASTER'!$S$2:$S$495))-(ROW('CONTROL MASTER'!#REF!)-1))),IF(SUMPRODUCT((('CONTROL MASTER'!$S$2:$S$495=7)*('CONTROL MASTER'!$Z$2:$Z$495&lt;=10)*('CONTROL MASTER'!$AB$2:$AB$495&gt;=10)*('CONTROL MASTER'!$AA$2:$AA$495&lt;=3)*('CONTROL MASTER'!$AC$2:$AC$495&gt;=3))*ROW('CONTROL MASTER'!$S$2:$S$495))&gt;0,INDEX('CONTROL MASTER'!$X$2:$X$495,(SUMPRODUCT((('CONTROL MASTER'!$S$2:$S$495=7)*('CONTROL MASTER'!$Z$2:$Z$495&lt;=10)*('CONTROL MASTER'!$AB$2:$AB$495&gt;=10)*('CONTROL MASTER'!$AA$2:$AA$495&lt;=3)*('CONTROL MASTER'!$AC$2:$AC$495&gt;=3))*ROW('CONTROL MASTER'!$S$2:$S$495))-(ROW('CONTROL MASTER'!#REF!)-1)))&amp;TRIM(MID(SUBSTITUTE(SUBSTITUTE(INDEX('CONTROL MASTER'!$N$2:$N$495,(SUMPRODUCT((('CONTROL MASTER'!$S$2:$S$495=7)*('CONTROL MASTER'!$Z$2:$Z$495&lt;=10)*('CONTROL MASTER'!$AB$2:$AB$495&gt;=10)*('CONTROL MASTER'!$AA$2:$AA$495&lt;=3)*('CONTROL MASTER'!$AC$2:$AC$495&gt;=3))*ROW('CONTROL MASTER'!$S$2:$S$495))-(ROW('CONTROL MASTER'!#REF!)-1))),":",","),",",REPT(" ",50)),(((INDEX('CONTROL MASTER'!$Y$2:$Y$495,(SUMPRODUCT((('CONTROL MASTER'!$S$2:$S$495=7)*('CONTROL MASTER'!$Z$2:$Z$495&lt;=10)*('CONTROL MASTER'!$AB$2:$AB$495&gt;=10)*('CONTROL MASTER'!$AA$2:$AA$495&lt;=3)*('CONTROL MASTER'!$AC$2:$AC$495&gt;=3))*ROW('CONTROL MASTER'!$S$2:$S$495))-(ROW('CONTROL MASTER'!#REF!)-1)))+((10-INDEX('CONTROL MASTER'!$Z$2:$Z$495,(SUMPRODUCT((('CONTROL MASTER'!$S$2:$S$495=7)*('CONTROL MASTER'!$Z$2:$Z$495&lt;=10)*('CONTROL MASTER'!$AB$2:$AB$495&gt;=10)*('CONTROL MASTER'!$AA$2:$AA$495&lt;=3)*('CONTROL MASTER'!$AC$2:$AC$495&gt;=3))*ROW('CONTROL MASTER'!$S$2:$S$495))-(ROW('CONTROL MASTER'!#REF!)-1))))*(INDEX('CONTROL MASTER'!$AC$2:$AC$495,(SUMPRODUCT((('CONTROL MASTER'!$S$2:$S$495=7)*('CONTROL MASTER'!$Z$2:$Z$495&lt;=10)*('CONTROL MASTER'!$AB$2:$AB$495&gt;=10)*('CONTROL MASTER'!$AA$2:$AA$495&lt;=3)*('CONTROL MASTER'!$AC$2:$AC$495&gt;=3))*ROW('CONTROL MASTER'!$S$2:$S$495))-(ROW('CONTROL MASTER'!#REF!)-1)))-INDEX('CONTROL MASTER'!$AA$2:$AA$495,(SUMPRODUCT((('CONTROL MASTER'!$S$2:$S$495=7)*('CONTROL MASTER'!$Z$2:$Z$495&lt;=10)*('CONTROL MASTER'!$AB$2:$AB$495&gt;=10)*('CONTROL MASTER'!$AA$2:$AA$495&lt;=3)*('CONTROL MASTER'!$AC$2:$AC$495&gt;=3))*ROW('CONTROL MASTER'!$S$2:$S$495))-(ROW('CONTROL MASTER'!#REF!)-1)))+1)+(3-INDEX('CONTROL MASTER'!$AA$2:$AA$495,(SUMPRODUCT((('CONTROL MASTER'!$S$2:$S$495=7)*('CONTROL MASTER'!$Z$2:$Z$495&lt;=10)*('CONTROL MASTER'!$AB$2:$AB$495&gt;=10)*('CONTROL MASTER'!$AA$2:$AA$495&lt;=3)*('CONTROL MASTER'!$AC$2:$AC$495&gt;=3))*ROW('CONTROL MASTER'!$S$2:$S$495))-(ROW('CONTROL MASTER'!#REF!)-1))))+1)))-1)*50+1,50))&amp;"_"&amp;INDEX('CONTROL MASTER'!$P$2:$P$495,(SUMPRODUCT((('CONTROL MASTER'!$S$2:$S$495=7)*('CONTROL MASTER'!$Z$2:$Z$495&lt;=10)*('CONTROL MASTER'!$AB$2:$AB$495&gt;=10)*('CONTROL MASTER'!$AA$2:$AA$495&lt;=3)*('CONTROL MASTER'!$AC$2:$AC$495&gt;=3))*ROW('CONTROL MASTER'!$S$2:$S$495))-(ROW('CONTROL MASTER'!#REF!)-1))),"")),"")</f>
        <v/>
      </c>
      <c r="E96" s="10" t="str">
        <f>IFERROR(IF(SUMPRODUCT((('CONTROL MASTER'!$S$2:$S$495=7)*('CONTROL MASTER'!$T$2:$T$495&lt;=10)*('CONTROL MASTER'!$V$2:$V$495&gt;=10)*('CONTROL MASTER'!$U$2:$U$495&lt;=4)*('CONTROL MASTER'!$W$2:$W$495&gt;=4))*ROW('CONTROL MASTER'!$S$2:$S$495))&gt;0,INDEX('CONTROL MASTER'!$X$2:$X$495,(SUMPRODUCT((('CONTROL MASTER'!$S$2:$S$495=7)*('CONTROL MASTER'!$T$2:$T$495&lt;=10)*('CONTROL MASTER'!$V$2:$V$495&gt;=10)*('CONTROL MASTER'!$U$2:$U$495&lt;=4)*('CONTROL MASTER'!$W$2:$W$495&gt;=4))*ROW('CONTROL MASTER'!$S$2:$S$495))-(ROW('CONTROL MASTER'!#REF!)-1)))&amp;TRIM(MID(SUBSTITUTE(SUBSTITUTE(INDEX('CONTROL MASTER'!$N$2:$N$495,(SUMPRODUCT((('CONTROL MASTER'!$S$2:$S$495=7)*('CONTROL MASTER'!$T$2:$T$495&lt;=10)*('CONTROL MASTER'!$V$2:$V$495&gt;=10)*('CONTROL MASTER'!$U$2:$U$495&lt;=4)*('CONTROL MASTER'!$W$2:$W$495&gt;=4))*ROW('CONTROL MASTER'!$S$2:$S$495))-(ROW('CONTROL MASTER'!#REF!)-1))),":",","),",",REPT(" ",50)),((((10-INDEX('CONTROL MASTER'!$T$2:$T$495,(SUMPRODUCT((('CONTROL MASTER'!$S$2:$S$495=7)*('CONTROL MASTER'!$T$2:$T$495&lt;=10)*('CONTROL MASTER'!$V$2:$V$495&gt;=10)*('CONTROL MASTER'!$U$2:$U$495&lt;=4)*('CONTROL MASTER'!$W$2:$W$495&gt;=4))*ROW('CONTROL MASTER'!$S$2:$S$495))-(ROW('CONTROL MASTER'!#REF!)-1))))*(INDEX('CONTROL MASTER'!$W$2:$W$495,(SUMPRODUCT((('CONTROL MASTER'!$S$2:$S$495=7)*('CONTROL MASTER'!$T$2:$T$495&lt;=10)*('CONTROL MASTER'!$V$2:$V$495&gt;=10)*('CONTROL MASTER'!$U$2:$U$495&lt;=4)*('CONTROL MASTER'!$W$2:$W$495&gt;=4))*ROW('CONTROL MASTER'!$S$2:$S$495))-(ROW('CONTROL MASTER'!#REF!)-1)))-INDEX('CONTROL MASTER'!$U$2:$U$495,(SUMPRODUCT((('CONTROL MASTER'!$S$2:$S$495=7)*('CONTROL MASTER'!$T$2:$T$495&lt;=10)*('CONTROL MASTER'!$V$2:$V$495&gt;=10)*('CONTROL MASTER'!$U$2:$U$495&lt;=4)*('CONTROL MASTER'!$W$2:$W$495&gt;=4))*ROW('CONTROL MASTER'!$S$2:$S$495))-(ROW('CONTROL MASTER'!#REF!)-1)))+1)+(4-INDEX('CONTROL MASTER'!$U$2:$U$495,(SUMPRODUCT((('CONTROL MASTER'!$S$2:$S$495=7)*('CONTROL MASTER'!$T$2:$T$495&lt;=10)*('CONTROL MASTER'!$V$2:$V$495&gt;=10)*('CONTROL MASTER'!$U$2:$U$495&lt;=4)*('CONTROL MASTER'!$W$2:$W$495&gt;=4))*ROW('CONTROL MASTER'!$S$2:$S$495))-(ROW('CONTROL MASTER'!#REF!)-1))))+1))-1)*50+1,50))&amp;"_"&amp;INDEX('CONTROL MASTER'!$P$2:$P$495,(SUMPRODUCT((('CONTROL MASTER'!$S$2:$S$495=7)*('CONTROL MASTER'!$T$2:$T$495&lt;=10)*('CONTROL MASTER'!$V$2:$V$495&gt;=10)*('CONTROL MASTER'!$U$2:$U$495&lt;=4)*('CONTROL MASTER'!$W$2:$W$495&gt;=4))*ROW('CONTROL MASTER'!$S$2:$S$495))-(ROW('CONTROL MASTER'!#REF!)-1))),IF(SUMPRODUCT((('CONTROL MASTER'!$S$2:$S$495=7)*('CONTROL MASTER'!$Z$2:$Z$495&lt;=10)*('CONTROL MASTER'!$AB$2:$AB$495&gt;=10)*('CONTROL MASTER'!$AA$2:$AA$495&lt;=4)*('CONTROL MASTER'!$AC$2:$AC$495&gt;=4))*ROW('CONTROL MASTER'!$S$2:$S$495))&gt;0,INDEX('CONTROL MASTER'!$X$2:$X$495,(SUMPRODUCT((('CONTROL MASTER'!$S$2:$S$495=7)*('CONTROL MASTER'!$Z$2:$Z$495&lt;=10)*('CONTROL MASTER'!$AB$2:$AB$495&gt;=10)*('CONTROL MASTER'!$AA$2:$AA$495&lt;=4)*('CONTROL MASTER'!$AC$2:$AC$495&gt;=4))*ROW('CONTROL MASTER'!$S$2:$S$495))-(ROW('CONTROL MASTER'!#REF!)-1)))&amp;TRIM(MID(SUBSTITUTE(SUBSTITUTE(INDEX('CONTROL MASTER'!$N$2:$N$495,(SUMPRODUCT((('CONTROL MASTER'!$S$2:$S$495=7)*('CONTROL MASTER'!$Z$2:$Z$495&lt;=10)*('CONTROL MASTER'!$AB$2:$AB$495&gt;=10)*('CONTROL MASTER'!$AA$2:$AA$495&lt;=4)*('CONTROL MASTER'!$AC$2:$AC$495&gt;=4))*ROW('CONTROL MASTER'!$S$2:$S$495))-(ROW('CONTROL MASTER'!#REF!)-1))),":",","),",",REPT(" ",50)),(((INDEX('CONTROL MASTER'!$Y$2:$Y$495,(SUMPRODUCT((('CONTROL MASTER'!$S$2:$S$495=7)*('CONTROL MASTER'!$Z$2:$Z$495&lt;=10)*('CONTROL MASTER'!$AB$2:$AB$495&gt;=10)*('CONTROL MASTER'!$AA$2:$AA$495&lt;=4)*('CONTROL MASTER'!$AC$2:$AC$495&gt;=4))*ROW('CONTROL MASTER'!$S$2:$S$495))-(ROW('CONTROL MASTER'!#REF!)-1)))+((10-INDEX('CONTROL MASTER'!$Z$2:$Z$495,(SUMPRODUCT((('CONTROL MASTER'!$S$2:$S$495=7)*('CONTROL MASTER'!$Z$2:$Z$495&lt;=10)*('CONTROL MASTER'!$AB$2:$AB$495&gt;=10)*('CONTROL MASTER'!$AA$2:$AA$495&lt;=4)*('CONTROL MASTER'!$AC$2:$AC$495&gt;=4))*ROW('CONTROL MASTER'!$S$2:$S$495))-(ROW('CONTROL MASTER'!#REF!)-1))))*(INDEX('CONTROL MASTER'!$AC$2:$AC$495,(SUMPRODUCT((('CONTROL MASTER'!$S$2:$S$495=7)*('CONTROL MASTER'!$Z$2:$Z$495&lt;=10)*('CONTROL MASTER'!$AB$2:$AB$495&gt;=10)*('CONTROL MASTER'!$AA$2:$AA$495&lt;=4)*('CONTROL MASTER'!$AC$2:$AC$495&gt;=4))*ROW('CONTROL MASTER'!$S$2:$S$495))-(ROW('CONTROL MASTER'!#REF!)-1)))-INDEX('CONTROL MASTER'!$AA$2:$AA$495,(SUMPRODUCT((('CONTROL MASTER'!$S$2:$S$495=7)*('CONTROL MASTER'!$Z$2:$Z$495&lt;=10)*('CONTROL MASTER'!$AB$2:$AB$495&gt;=10)*('CONTROL MASTER'!$AA$2:$AA$495&lt;=4)*('CONTROL MASTER'!$AC$2:$AC$495&gt;=4))*ROW('CONTROL MASTER'!$S$2:$S$495))-(ROW('CONTROL MASTER'!#REF!)-1)))+1)+(4-INDEX('CONTROL MASTER'!$AA$2:$AA$495,(SUMPRODUCT((('CONTROL MASTER'!$S$2:$S$495=7)*('CONTROL MASTER'!$Z$2:$Z$495&lt;=10)*('CONTROL MASTER'!$AB$2:$AB$495&gt;=10)*('CONTROL MASTER'!$AA$2:$AA$495&lt;=4)*('CONTROL MASTER'!$AC$2:$AC$495&gt;=4))*ROW('CONTROL MASTER'!$S$2:$S$495))-(ROW('CONTROL MASTER'!#REF!)-1))))+1)))-1)*50+1,50))&amp;"_"&amp;INDEX('CONTROL MASTER'!$P$2:$P$495,(SUMPRODUCT((('CONTROL MASTER'!$S$2:$S$495=7)*('CONTROL MASTER'!$Z$2:$Z$495&lt;=10)*('CONTROL MASTER'!$AB$2:$AB$495&gt;=10)*('CONTROL MASTER'!$AA$2:$AA$495&lt;=4)*('CONTROL MASTER'!$AC$2:$AC$495&gt;=4))*ROW('CONTROL MASTER'!$S$2:$S$495))-(ROW('CONTROL MASTER'!#REF!)-1))),"")),"")</f>
        <v/>
      </c>
      <c r="F96" s="10" t="str">
        <f>IFERROR(IF(SUMPRODUCT((('CONTROL MASTER'!$S$2:$S$495=7)*('CONTROL MASTER'!$T$2:$T$495&lt;=10)*('CONTROL MASTER'!$V$2:$V$495&gt;=10)*('CONTROL MASTER'!$U$2:$U$495&lt;=5)*('CONTROL MASTER'!$W$2:$W$495&gt;=5))*ROW('CONTROL MASTER'!$S$2:$S$495))&gt;0,INDEX('CONTROL MASTER'!$X$2:$X$495,(SUMPRODUCT((('CONTROL MASTER'!$S$2:$S$495=7)*('CONTROL MASTER'!$T$2:$T$495&lt;=10)*('CONTROL MASTER'!$V$2:$V$495&gt;=10)*('CONTROL MASTER'!$U$2:$U$495&lt;=5)*('CONTROL MASTER'!$W$2:$W$495&gt;=5))*ROW('CONTROL MASTER'!$S$2:$S$495))-(ROW('CONTROL MASTER'!#REF!)-1)))&amp;TRIM(MID(SUBSTITUTE(SUBSTITUTE(INDEX('CONTROL MASTER'!$N$2:$N$495,(SUMPRODUCT((('CONTROL MASTER'!$S$2:$S$495=7)*('CONTROL MASTER'!$T$2:$T$495&lt;=10)*('CONTROL MASTER'!$V$2:$V$495&gt;=10)*('CONTROL MASTER'!$U$2:$U$495&lt;=5)*('CONTROL MASTER'!$W$2:$W$495&gt;=5))*ROW('CONTROL MASTER'!$S$2:$S$495))-(ROW('CONTROL MASTER'!#REF!)-1))),":",","),",",REPT(" ",50)),((((10-INDEX('CONTROL MASTER'!$T$2:$T$495,(SUMPRODUCT((('CONTROL MASTER'!$S$2:$S$495=7)*('CONTROL MASTER'!$T$2:$T$495&lt;=10)*('CONTROL MASTER'!$V$2:$V$495&gt;=10)*('CONTROL MASTER'!$U$2:$U$495&lt;=5)*('CONTROL MASTER'!$W$2:$W$495&gt;=5))*ROW('CONTROL MASTER'!$S$2:$S$495))-(ROW('CONTROL MASTER'!#REF!)-1))))*(INDEX('CONTROL MASTER'!$W$2:$W$495,(SUMPRODUCT((('CONTROL MASTER'!$S$2:$S$495=7)*('CONTROL MASTER'!$T$2:$T$495&lt;=10)*('CONTROL MASTER'!$V$2:$V$495&gt;=10)*('CONTROL MASTER'!$U$2:$U$495&lt;=5)*('CONTROL MASTER'!$W$2:$W$495&gt;=5))*ROW('CONTROL MASTER'!$S$2:$S$495))-(ROW('CONTROL MASTER'!#REF!)-1)))-INDEX('CONTROL MASTER'!$U$2:$U$495,(SUMPRODUCT((('CONTROL MASTER'!$S$2:$S$495=7)*('CONTROL MASTER'!$T$2:$T$495&lt;=10)*('CONTROL MASTER'!$V$2:$V$495&gt;=10)*('CONTROL MASTER'!$U$2:$U$495&lt;=5)*('CONTROL MASTER'!$W$2:$W$495&gt;=5))*ROW('CONTROL MASTER'!$S$2:$S$495))-(ROW('CONTROL MASTER'!#REF!)-1)))+1)+(5-INDEX('CONTROL MASTER'!$U$2:$U$495,(SUMPRODUCT((('CONTROL MASTER'!$S$2:$S$495=7)*('CONTROL MASTER'!$T$2:$T$495&lt;=10)*('CONTROL MASTER'!$V$2:$V$495&gt;=10)*('CONTROL MASTER'!$U$2:$U$495&lt;=5)*('CONTROL MASTER'!$W$2:$W$495&gt;=5))*ROW('CONTROL MASTER'!$S$2:$S$495))-(ROW('CONTROL MASTER'!#REF!)-1))))+1))-1)*50+1,50))&amp;"_"&amp;INDEX('CONTROL MASTER'!$P$2:$P$495,(SUMPRODUCT((('CONTROL MASTER'!$S$2:$S$495=7)*('CONTROL MASTER'!$T$2:$T$495&lt;=10)*('CONTROL MASTER'!$V$2:$V$495&gt;=10)*('CONTROL MASTER'!$U$2:$U$495&lt;=5)*('CONTROL MASTER'!$W$2:$W$495&gt;=5))*ROW('CONTROL MASTER'!$S$2:$S$495))-(ROW('CONTROL MASTER'!#REF!)-1))),IF(SUMPRODUCT((('CONTROL MASTER'!$S$2:$S$495=7)*('CONTROL MASTER'!$Z$2:$Z$495&lt;=10)*('CONTROL MASTER'!$AB$2:$AB$495&gt;=10)*('CONTROL MASTER'!$AA$2:$AA$495&lt;=5)*('CONTROL MASTER'!$AC$2:$AC$495&gt;=5))*ROW('CONTROL MASTER'!$S$2:$S$495))&gt;0,INDEX('CONTROL MASTER'!$X$2:$X$495,(SUMPRODUCT((('CONTROL MASTER'!$S$2:$S$495=7)*('CONTROL MASTER'!$Z$2:$Z$495&lt;=10)*('CONTROL MASTER'!$AB$2:$AB$495&gt;=10)*('CONTROL MASTER'!$AA$2:$AA$495&lt;=5)*('CONTROL MASTER'!$AC$2:$AC$495&gt;=5))*ROW('CONTROL MASTER'!$S$2:$S$495))-(ROW('CONTROL MASTER'!#REF!)-1)))&amp;TRIM(MID(SUBSTITUTE(SUBSTITUTE(INDEX('CONTROL MASTER'!$N$2:$N$495,(SUMPRODUCT((('CONTROL MASTER'!$S$2:$S$495=7)*('CONTROL MASTER'!$Z$2:$Z$495&lt;=10)*('CONTROL MASTER'!$AB$2:$AB$495&gt;=10)*('CONTROL MASTER'!$AA$2:$AA$495&lt;=5)*('CONTROL MASTER'!$AC$2:$AC$495&gt;=5))*ROW('CONTROL MASTER'!$S$2:$S$495))-(ROW('CONTROL MASTER'!#REF!)-1))),":",","),",",REPT(" ",50)),(((INDEX('CONTROL MASTER'!$Y$2:$Y$495,(SUMPRODUCT((('CONTROL MASTER'!$S$2:$S$495=7)*('CONTROL MASTER'!$Z$2:$Z$495&lt;=10)*('CONTROL MASTER'!$AB$2:$AB$495&gt;=10)*('CONTROL MASTER'!$AA$2:$AA$495&lt;=5)*('CONTROL MASTER'!$AC$2:$AC$495&gt;=5))*ROW('CONTROL MASTER'!$S$2:$S$495))-(ROW('CONTROL MASTER'!#REF!)-1)))+((10-INDEX('CONTROL MASTER'!$Z$2:$Z$495,(SUMPRODUCT((('CONTROL MASTER'!$S$2:$S$495=7)*('CONTROL MASTER'!$Z$2:$Z$495&lt;=10)*('CONTROL MASTER'!$AB$2:$AB$495&gt;=10)*('CONTROL MASTER'!$AA$2:$AA$495&lt;=5)*('CONTROL MASTER'!$AC$2:$AC$495&gt;=5))*ROW('CONTROL MASTER'!$S$2:$S$495))-(ROW('CONTROL MASTER'!#REF!)-1))))*(INDEX('CONTROL MASTER'!$AC$2:$AC$495,(SUMPRODUCT((('CONTROL MASTER'!$S$2:$S$495=7)*('CONTROL MASTER'!$Z$2:$Z$495&lt;=10)*('CONTROL MASTER'!$AB$2:$AB$495&gt;=10)*('CONTROL MASTER'!$AA$2:$AA$495&lt;=5)*('CONTROL MASTER'!$AC$2:$AC$495&gt;=5))*ROW('CONTROL MASTER'!$S$2:$S$495))-(ROW('CONTROL MASTER'!#REF!)-1)))-INDEX('CONTROL MASTER'!$AA$2:$AA$495,(SUMPRODUCT((('CONTROL MASTER'!$S$2:$S$495=7)*('CONTROL MASTER'!$Z$2:$Z$495&lt;=10)*('CONTROL MASTER'!$AB$2:$AB$495&gt;=10)*('CONTROL MASTER'!$AA$2:$AA$495&lt;=5)*('CONTROL MASTER'!$AC$2:$AC$495&gt;=5))*ROW('CONTROL MASTER'!$S$2:$S$495))-(ROW('CONTROL MASTER'!#REF!)-1)))+1)+(5-INDEX('CONTROL MASTER'!$AA$2:$AA$495,(SUMPRODUCT((('CONTROL MASTER'!$S$2:$S$495=7)*('CONTROL MASTER'!$Z$2:$Z$495&lt;=10)*('CONTROL MASTER'!$AB$2:$AB$495&gt;=10)*('CONTROL MASTER'!$AA$2:$AA$495&lt;=5)*('CONTROL MASTER'!$AC$2:$AC$495&gt;=5))*ROW('CONTROL MASTER'!$S$2:$S$495))-(ROW('CONTROL MASTER'!#REF!)-1))))+1)))-1)*50+1,50))&amp;"_"&amp;INDEX('CONTROL MASTER'!$P$2:$P$495,(SUMPRODUCT((('CONTROL MASTER'!$S$2:$S$495=7)*('CONTROL MASTER'!$Z$2:$Z$495&lt;=10)*('CONTROL MASTER'!$AB$2:$AB$495&gt;=10)*('CONTROL MASTER'!$AA$2:$AA$495&lt;=5)*('CONTROL MASTER'!$AC$2:$AC$495&gt;=5))*ROW('CONTROL MASTER'!$S$2:$S$495))-(ROW('CONTROL MASTER'!#REF!)-1))),"")),"")</f>
        <v/>
      </c>
      <c r="G96" s="10" t="str">
        <f>IFERROR(IF(SUMPRODUCT((('CONTROL MASTER'!$S$2:$S$495=7)*('CONTROL MASTER'!$T$2:$T$495&lt;=10)*('CONTROL MASTER'!$V$2:$V$495&gt;=10)*('CONTROL MASTER'!$U$2:$U$495&lt;=6)*('CONTROL MASTER'!$W$2:$W$495&gt;=6))*ROW('CONTROL MASTER'!$S$2:$S$495))&gt;0,INDEX('CONTROL MASTER'!$X$2:$X$495,(SUMPRODUCT((('CONTROL MASTER'!$S$2:$S$495=7)*('CONTROL MASTER'!$T$2:$T$495&lt;=10)*('CONTROL MASTER'!$V$2:$V$495&gt;=10)*('CONTROL MASTER'!$U$2:$U$495&lt;=6)*('CONTROL MASTER'!$W$2:$W$495&gt;=6))*ROW('CONTROL MASTER'!$S$2:$S$495))-(ROW('CONTROL MASTER'!#REF!)-1)))&amp;TRIM(MID(SUBSTITUTE(SUBSTITUTE(INDEX('CONTROL MASTER'!$N$2:$N$495,(SUMPRODUCT((('CONTROL MASTER'!$S$2:$S$495=7)*('CONTROL MASTER'!$T$2:$T$495&lt;=10)*('CONTROL MASTER'!$V$2:$V$495&gt;=10)*('CONTROL MASTER'!$U$2:$U$495&lt;=6)*('CONTROL MASTER'!$W$2:$W$495&gt;=6))*ROW('CONTROL MASTER'!$S$2:$S$495))-(ROW('CONTROL MASTER'!#REF!)-1))),":",","),",",REPT(" ",50)),((((10-INDEX('CONTROL MASTER'!$T$2:$T$495,(SUMPRODUCT((('CONTROL MASTER'!$S$2:$S$495=7)*('CONTROL MASTER'!$T$2:$T$495&lt;=10)*('CONTROL MASTER'!$V$2:$V$495&gt;=10)*('CONTROL MASTER'!$U$2:$U$495&lt;=6)*('CONTROL MASTER'!$W$2:$W$495&gt;=6))*ROW('CONTROL MASTER'!$S$2:$S$495))-(ROW('CONTROL MASTER'!#REF!)-1))))*(INDEX('CONTROL MASTER'!$W$2:$W$495,(SUMPRODUCT((('CONTROL MASTER'!$S$2:$S$495=7)*('CONTROL MASTER'!$T$2:$T$495&lt;=10)*('CONTROL MASTER'!$V$2:$V$495&gt;=10)*('CONTROL MASTER'!$U$2:$U$495&lt;=6)*('CONTROL MASTER'!$W$2:$W$495&gt;=6))*ROW('CONTROL MASTER'!$S$2:$S$495))-(ROW('CONTROL MASTER'!#REF!)-1)))-INDEX('CONTROL MASTER'!$U$2:$U$495,(SUMPRODUCT((('CONTROL MASTER'!$S$2:$S$495=7)*('CONTROL MASTER'!$T$2:$T$495&lt;=10)*('CONTROL MASTER'!$V$2:$V$495&gt;=10)*('CONTROL MASTER'!$U$2:$U$495&lt;=6)*('CONTROL MASTER'!$W$2:$W$495&gt;=6))*ROW('CONTROL MASTER'!$S$2:$S$495))-(ROW('CONTROL MASTER'!#REF!)-1)))+1)+(6-INDEX('CONTROL MASTER'!$U$2:$U$495,(SUMPRODUCT((('CONTROL MASTER'!$S$2:$S$495=7)*('CONTROL MASTER'!$T$2:$T$495&lt;=10)*('CONTROL MASTER'!$V$2:$V$495&gt;=10)*('CONTROL MASTER'!$U$2:$U$495&lt;=6)*('CONTROL MASTER'!$W$2:$W$495&gt;=6))*ROW('CONTROL MASTER'!$S$2:$S$495))-(ROW('CONTROL MASTER'!#REF!)-1))))+1))-1)*50+1,50))&amp;"_"&amp;INDEX('CONTROL MASTER'!$P$2:$P$495,(SUMPRODUCT((('CONTROL MASTER'!$S$2:$S$495=7)*('CONTROL MASTER'!$T$2:$T$495&lt;=10)*('CONTROL MASTER'!$V$2:$V$495&gt;=10)*('CONTROL MASTER'!$U$2:$U$495&lt;=6)*('CONTROL MASTER'!$W$2:$W$495&gt;=6))*ROW('CONTROL MASTER'!$S$2:$S$495))-(ROW('CONTROL MASTER'!#REF!)-1))),IF(SUMPRODUCT((('CONTROL MASTER'!$S$2:$S$495=7)*('CONTROL MASTER'!$Z$2:$Z$495&lt;=10)*('CONTROL MASTER'!$AB$2:$AB$495&gt;=10)*('CONTROL MASTER'!$AA$2:$AA$495&lt;=6)*('CONTROL MASTER'!$AC$2:$AC$495&gt;=6))*ROW('CONTROL MASTER'!$S$2:$S$495))&gt;0,INDEX('CONTROL MASTER'!$X$2:$X$495,(SUMPRODUCT((('CONTROL MASTER'!$S$2:$S$495=7)*('CONTROL MASTER'!$Z$2:$Z$495&lt;=10)*('CONTROL MASTER'!$AB$2:$AB$495&gt;=10)*('CONTROL MASTER'!$AA$2:$AA$495&lt;=6)*('CONTROL MASTER'!$AC$2:$AC$495&gt;=6))*ROW('CONTROL MASTER'!$S$2:$S$495))-(ROW('CONTROL MASTER'!#REF!)-1)))&amp;TRIM(MID(SUBSTITUTE(SUBSTITUTE(INDEX('CONTROL MASTER'!$N$2:$N$495,(SUMPRODUCT((('CONTROL MASTER'!$S$2:$S$495=7)*('CONTROL MASTER'!$Z$2:$Z$495&lt;=10)*('CONTROL MASTER'!$AB$2:$AB$495&gt;=10)*('CONTROL MASTER'!$AA$2:$AA$495&lt;=6)*('CONTROL MASTER'!$AC$2:$AC$495&gt;=6))*ROW('CONTROL MASTER'!$S$2:$S$495))-(ROW('CONTROL MASTER'!#REF!)-1))),":",","),",",REPT(" ",50)),(((INDEX('CONTROL MASTER'!$Y$2:$Y$495,(SUMPRODUCT((('CONTROL MASTER'!$S$2:$S$495=7)*('CONTROL MASTER'!$Z$2:$Z$495&lt;=10)*('CONTROL MASTER'!$AB$2:$AB$495&gt;=10)*('CONTROL MASTER'!$AA$2:$AA$495&lt;=6)*('CONTROL MASTER'!$AC$2:$AC$495&gt;=6))*ROW('CONTROL MASTER'!$S$2:$S$495))-(ROW('CONTROL MASTER'!#REF!)-1)))+((10-INDEX('CONTROL MASTER'!$Z$2:$Z$495,(SUMPRODUCT((('CONTROL MASTER'!$S$2:$S$495=7)*('CONTROL MASTER'!$Z$2:$Z$495&lt;=10)*('CONTROL MASTER'!$AB$2:$AB$495&gt;=10)*('CONTROL MASTER'!$AA$2:$AA$495&lt;=6)*('CONTROL MASTER'!$AC$2:$AC$495&gt;=6))*ROW('CONTROL MASTER'!$S$2:$S$495))-(ROW('CONTROL MASTER'!#REF!)-1))))*(INDEX('CONTROL MASTER'!$AC$2:$AC$495,(SUMPRODUCT((('CONTROL MASTER'!$S$2:$S$495=7)*('CONTROL MASTER'!$Z$2:$Z$495&lt;=10)*('CONTROL MASTER'!$AB$2:$AB$495&gt;=10)*('CONTROL MASTER'!$AA$2:$AA$495&lt;=6)*('CONTROL MASTER'!$AC$2:$AC$495&gt;=6))*ROW('CONTROL MASTER'!$S$2:$S$495))-(ROW('CONTROL MASTER'!#REF!)-1)))-INDEX('CONTROL MASTER'!$AA$2:$AA$495,(SUMPRODUCT((('CONTROL MASTER'!$S$2:$S$495=7)*('CONTROL MASTER'!$Z$2:$Z$495&lt;=10)*('CONTROL MASTER'!$AB$2:$AB$495&gt;=10)*('CONTROL MASTER'!$AA$2:$AA$495&lt;=6)*('CONTROL MASTER'!$AC$2:$AC$495&gt;=6))*ROW('CONTROL MASTER'!$S$2:$S$495))-(ROW('CONTROL MASTER'!#REF!)-1)))+1)+(6-INDEX('CONTROL MASTER'!$AA$2:$AA$495,(SUMPRODUCT((('CONTROL MASTER'!$S$2:$S$495=7)*('CONTROL MASTER'!$Z$2:$Z$495&lt;=10)*('CONTROL MASTER'!$AB$2:$AB$495&gt;=10)*('CONTROL MASTER'!$AA$2:$AA$495&lt;=6)*('CONTROL MASTER'!$AC$2:$AC$495&gt;=6))*ROW('CONTROL MASTER'!$S$2:$S$495))-(ROW('CONTROL MASTER'!#REF!)-1))))+1)))-1)*50+1,50))&amp;"_"&amp;INDEX('CONTROL MASTER'!$P$2:$P$495,(SUMPRODUCT((('CONTROL MASTER'!$S$2:$S$495=7)*('CONTROL MASTER'!$Z$2:$Z$495&lt;=10)*('CONTROL MASTER'!$AB$2:$AB$495&gt;=10)*('CONTROL MASTER'!$AA$2:$AA$495&lt;=6)*('CONTROL MASTER'!$AC$2:$AC$495&gt;=6))*ROW('CONTROL MASTER'!$S$2:$S$495))-(ROW('CONTROL MASTER'!#REF!)-1))),"")),"")</f>
        <v/>
      </c>
      <c r="H96" s="10" t="str">
        <f>IFERROR(IF(SUMPRODUCT((('CONTROL MASTER'!$S$2:$S$495=7)*('CONTROL MASTER'!$T$2:$T$495&lt;=10)*('CONTROL MASTER'!$V$2:$V$495&gt;=10)*('CONTROL MASTER'!$U$2:$U$495&lt;=7)*('CONTROL MASTER'!$W$2:$W$495&gt;=7))*ROW('CONTROL MASTER'!$S$2:$S$495))&gt;0,INDEX('CONTROL MASTER'!$X$2:$X$495,(SUMPRODUCT((('CONTROL MASTER'!$S$2:$S$495=7)*('CONTROL MASTER'!$T$2:$T$495&lt;=10)*('CONTROL MASTER'!$V$2:$V$495&gt;=10)*('CONTROL MASTER'!$U$2:$U$495&lt;=7)*('CONTROL MASTER'!$W$2:$W$495&gt;=7))*ROW('CONTROL MASTER'!$S$2:$S$495))-(ROW('CONTROL MASTER'!#REF!)-1)))&amp;TRIM(MID(SUBSTITUTE(SUBSTITUTE(INDEX('CONTROL MASTER'!$N$2:$N$495,(SUMPRODUCT((('CONTROL MASTER'!$S$2:$S$495=7)*('CONTROL MASTER'!$T$2:$T$495&lt;=10)*('CONTROL MASTER'!$V$2:$V$495&gt;=10)*('CONTROL MASTER'!$U$2:$U$495&lt;=7)*('CONTROL MASTER'!$W$2:$W$495&gt;=7))*ROW('CONTROL MASTER'!$S$2:$S$495))-(ROW('CONTROL MASTER'!#REF!)-1))),":",","),",",REPT(" ",50)),((((10-INDEX('CONTROL MASTER'!$T$2:$T$495,(SUMPRODUCT((('CONTROL MASTER'!$S$2:$S$495=7)*('CONTROL MASTER'!$T$2:$T$495&lt;=10)*('CONTROL MASTER'!$V$2:$V$495&gt;=10)*('CONTROL MASTER'!$U$2:$U$495&lt;=7)*('CONTROL MASTER'!$W$2:$W$495&gt;=7))*ROW('CONTROL MASTER'!$S$2:$S$495))-(ROW('CONTROL MASTER'!#REF!)-1))))*(INDEX('CONTROL MASTER'!$W$2:$W$495,(SUMPRODUCT((('CONTROL MASTER'!$S$2:$S$495=7)*('CONTROL MASTER'!$T$2:$T$495&lt;=10)*('CONTROL MASTER'!$V$2:$V$495&gt;=10)*('CONTROL MASTER'!$U$2:$U$495&lt;=7)*('CONTROL MASTER'!$W$2:$W$495&gt;=7))*ROW('CONTROL MASTER'!$S$2:$S$495))-(ROW('CONTROL MASTER'!#REF!)-1)))-INDEX('CONTROL MASTER'!$U$2:$U$495,(SUMPRODUCT((('CONTROL MASTER'!$S$2:$S$495=7)*('CONTROL MASTER'!$T$2:$T$495&lt;=10)*('CONTROL MASTER'!$V$2:$V$495&gt;=10)*('CONTROL MASTER'!$U$2:$U$495&lt;=7)*('CONTROL MASTER'!$W$2:$W$495&gt;=7))*ROW('CONTROL MASTER'!$S$2:$S$495))-(ROW('CONTROL MASTER'!#REF!)-1)))+1)+(7-INDEX('CONTROL MASTER'!$U$2:$U$495,(SUMPRODUCT((('CONTROL MASTER'!$S$2:$S$495=7)*('CONTROL MASTER'!$T$2:$T$495&lt;=10)*('CONTROL MASTER'!$V$2:$V$495&gt;=10)*('CONTROL MASTER'!$U$2:$U$495&lt;=7)*('CONTROL MASTER'!$W$2:$W$495&gt;=7))*ROW('CONTROL MASTER'!$S$2:$S$495))-(ROW('CONTROL MASTER'!#REF!)-1))))+1))-1)*50+1,50))&amp;"_"&amp;INDEX('CONTROL MASTER'!$P$2:$P$495,(SUMPRODUCT((('CONTROL MASTER'!$S$2:$S$495=7)*('CONTROL MASTER'!$T$2:$T$495&lt;=10)*('CONTROL MASTER'!$V$2:$V$495&gt;=10)*('CONTROL MASTER'!$U$2:$U$495&lt;=7)*('CONTROL MASTER'!$W$2:$W$495&gt;=7))*ROW('CONTROL MASTER'!$S$2:$S$495))-(ROW('CONTROL MASTER'!#REF!)-1))),IF(SUMPRODUCT((('CONTROL MASTER'!$S$2:$S$495=7)*('CONTROL MASTER'!$Z$2:$Z$495&lt;=10)*('CONTROL MASTER'!$AB$2:$AB$495&gt;=10)*('CONTROL MASTER'!$AA$2:$AA$495&lt;=7)*('CONTROL MASTER'!$AC$2:$AC$495&gt;=7))*ROW('CONTROL MASTER'!$S$2:$S$495))&gt;0,INDEX('CONTROL MASTER'!$X$2:$X$495,(SUMPRODUCT((('CONTROL MASTER'!$S$2:$S$495=7)*('CONTROL MASTER'!$Z$2:$Z$495&lt;=10)*('CONTROL MASTER'!$AB$2:$AB$495&gt;=10)*('CONTROL MASTER'!$AA$2:$AA$495&lt;=7)*('CONTROL MASTER'!$AC$2:$AC$495&gt;=7))*ROW('CONTROL MASTER'!$S$2:$S$495))-(ROW('CONTROL MASTER'!#REF!)-1)))&amp;TRIM(MID(SUBSTITUTE(SUBSTITUTE(INDEX('CONTROL MASTER'!$N$2:$N$495,(SUMPRODUCT((('CONTROL MASTER'!$S$2:$S$495=7)*('CONTROL MASTER'!$Z$2:$Z$495&lt;=10)*('CONTROL MASTER'!$AB$2:$AB$495&gt;=10)*('CONTROL MASTER'!$AA$2:$AA$495&lt;=7)*('CONTROL MASTER'!$AC$2:$AC$495&gt;=7))*ROW('CONTROL MASTER'!$S$2:$S$495))-(ROW('CONTROL MASTER'!#REF!)-1))),":",","),",",REPT(" ",50)),(((INDEX('CONTROL MASTER'!$Y$2:$Y$495,(SUMPRODUCT((('CONTROL MASTER'!$S$2:$S$495=7)*('CONTROL MASTER'!$Z$2:$Z$495&lt;=10)*('CONTROL MASTER'!$AB$2:$AB$495&gt;=10)*('CONTROL MASTER'!$AA$2:$AA$495&lt;=7)*('CONTROL MASTER'!$AC$2:$AC$495&gt;=7))*ROW('CONTROL MASTER'!$S$2:$S$495))-(ROW('CONTROL MASTER'!#REF!)-1)))+((10-INDEX('CONTROL MASTER'!$Z$2:$Z$495,(SUMPRODUCT((('CONTROL MASTER'!$S$2:$S$495=7)*('CONTROL MASTER'!$Z$2:$Z$495&lt;=10)*('CONTROL MASTER'!$AB$2:$AB$495&gt;=10)*('CONTROL MASTER'!$AA$2:$AA$495&lt;=7)*('CONTROL MASTER'!$AC$2:$AC$495&gt;=7))*ROW('CONTROL MASTER'!$S$2:$S$495))-(ROW('CONTROL MASTER'!#REF!)-1))))*(INDEX('CONTROL MASTER'!$AC$2:$AC$495,(SUMPRODUCT((('CONTROL MASTER'!$S$2:$S$495=7)*('CONTROL MASTER'!$Z$2:$Z$495&lt;=10)*('CONTROL MASTER'!$AB$2:$AB$495&gt;=10)*('CONTROL MASTER'!$AA$2:$AA$495&lt;=7)*('CONTROL MASTER'!$AC$2:$AC$495&gt;=7))*ROW('CONTROL MASTER'!$S$2:$S$495))-(ROW('CONTROL MASTER'!#REF!)-1)))-INDEX('CONTROL MASTER'!$AA$2:$AA$495,(SUMPRODUCT((('CONTROL MASTER'!$S$2:$S$495=7)*('CONTROL MASTER'!$Z$2:$Z$495&lt;=10)*('CONTROL MASTER'!$AB$2:$AB$495&gt;=10)*('CONTROL MASTER'!$AA$2:$AA$495&lt;=7)*('CONTROL MASTER'!$AC$2:$AC$495&gt;=7))*ROW('CONTROL MASTER'!$S$2:$S$495))-(ROW('CONTROL MASTER'!#REF!)-1)))+1)+(7-INDEX('CONTROL MASTER'!$AA$2:$AA$495,(SUMPRODUCT((('CONTROL MASTER'!$S$2:$S$495=7)*('CONTROL MASTER'!$Z$2:$Z$495&lt;=10)*('CONTROL MASTER'!$AB$2:$AB$495&gt;=10)*('CONTROL MASTER'!$AA$2:$AA$495&lt;=7)*('CONTROL MASTER'!$AC$2:$AC$495&gt;=7))*ROW('CONTROL MASTER'!$S$2:$S$495))-(ROW('CONTROL MASTER'!#REF!)-1))))+1)))-1)*50+1,50))&amp;"_"&amp;INDEX('CONTROL MASTER'!$P$2:$P$495,(SUMPRODUCT((('CONTROL MASTER'!$S$2:$S$495=7)*('CONTROL MASTER'!$Z$2:$Z$495&lt;=10)*('CONTROL MASTER'!$AB$2:$AB$495&gt;=10)*('CONTROL MASTER'!$AA$2:$AA$495&lt;=7)*('CONTROL MASTER'!$AC$2:$AC$495&gt;=7))*ROW('CONTROL MASTER'!$S$2:$S$495))-(ROW('CONTROL MASTER'!#REF!)-1))),"")),"")</f>
        <v/>
      </c>
      <c r="I96" s="10" t="str">
        <f>IFERROR(IF(SUMPRODUCT((('CONTROL MASTER'!$S$2:$S$495=7)*('CONTROL MASTER'!$T$2:$T$495&lt;=10)*('CONTROL MASTER'!$V$2:$V$495&gt;=10)*('CONTROL MASTER'!$U$2:$U$495&lt;=8)*('CONTROL MASTER'!$W$2:$W$495&gt;=8))*ROW('CONTROL MASTER'!$S$2:$S$495))&gt;0,INDEX('CONTROL MASTER'!$X$2:$X$495,(SUMPRODUCT((('CONTROL MASTER'!$S$2:$S$495=7)*('CONTROL MASTER'!$T$2:$T$495&lt;=10)*('CONTROL MASTER'!$V$2:$V$495&gt;=10)*('CONTROL MASTER'!$U$2:$U$495&lt;=8)*('CONTROL MASTER'!$W$2:$W$495&gt;=8))*ROW('CONTROL MASTER'!$S$2:$S$495))-(ROW('CONTROL MASTER'!#REF!)-1)))&amp;TRIM(MID(SUBSTITUTE(SUBSTITUTE(INDEX('CONTROL MASTER'!$N$2:$N$495,(SUMPRODUCT((('CONTROL MASTER'!$S$2:$S$495=7)*('CONTROL MASTER'!$T$2:$T$495&lt;=10)*('CONTROL MASTER'!$V$2:$V$495&gt;=10)*('CONTROL MASTER'!$U$2:$U$495&lt;=8)*('CONTROL MASTER'!$W$2:$W$495&gt;=8))*ROW('CONTROL MASTER'!$S$2:$S$495))-(ROW('CONTROL MASTER'!#REF!)-1))),":",","),",",REPT(" ",50)),((((10-INDEX('CONTROL MASTER'!$T$2:$T$495,(SUMPRODUCT((('CONTROL MASTER'!$S$2:$S$495=7)*('CONTROL MASTER'!$T$2:$T$495&lt;=10)*('CONTROL MASTER'!$V$2:$V$495&gt;=10)*('CONTROL MASTER'!$U$2:$U$495&lt;=8)*('CONTROL MASTER'!$W$2:$W$495&gt;=8))*ROW('CONTROL MASTER'!$S$2:$S$495))-(ROW('CONTROL MASTER'!#REF!)-1))))*(INDEX('CONTROL MASTER'!$W$2:$W$495,(SUMPRODUCT((('CONTROL MASTER'!$S$2:$S$495=7)*('CONTROL MASTER'!$T$2:$T$495&lt;=10)*('CONTROL MASTER'!$V$2:$V$495&gt;=10)*('CONTROL MASTER'!$U$2:$U$495&lt;=8)*('CONTROL MASTER'!$W$2:$W$495&gt;=8))*ROW('CONTROL MASTER'!$S$2:$S$495))-(ROW('CONTROL MASTER'!#REF!)-1)))-INDEX('CONTROL MASTER'!$U$2:$U$495,(SUMPRODUCT((('CONTROL MASTER'!$S$2:$S$495=7)*('CONTROL MASTER'!$T$2:$T$495&lt;=10)*('CONTROL MASTER'!$V$2:$V$495&gt;=10)*('CONTROL MASTER'!$U$2:$U$495&lt;=8)*('CONTROL MASTER'!$W$2:$W$495&gt;=8))*ROW('CONTROL MASTER'!$S$2:$S$495))-(ROW('CONTROL MASTER'!#REF!)-1)))+1)+(8-INDEX('CONTROL MASTER'!$U$2:$U$495,(SUMPRODUCT((('CONTROL MASTER'!$S$2:$S$495=7)*('CONTROL MASTER'!$T$2:$T$495&lt;=10)*('CONTROL MASTER'!$V$2:$V$495&gt;=10)*('CONTROL MASTER'!$U$2:$U$495&lt;=8)*('CONTROL MASTER'!$W$2:$W$495&gt;=8))*ROW('CONTROL MASTER'!$S$2:$S$495))-(ROW('CONTROL MASTER'!#REF!)-1))))+1))-1)*50+1,50))&amp;"_"&amp;INDEX('CONTROL MASTER'!$P$2:$P$495,(SUMPRODUCT((('CONTROL MASTER'!$S$2:$S$495=7)*('CONTROL MASTER'!$T$2:$T$495&lt;=10)*('CONTROL MASTER'!$V$2:$V$495&gt;=10)*('CONTROL MASTER'!$U$2:$U$495&lt;=8)*('CONTROL MASTER'!$W$2:$W$495&gt;=8))*ROW('CONTROL MASTER'!$S$2:$S$495))-(ROW('CONTROL MASTER'!#REF!)-1))),IF(SUMPRODUCT((('CONTROL MASTER'!$S$2:$S$495=7)*('CONTROL MASTER'!$Z$2:$Z$495&lt;=10)*('CONTROL MASTER'!$AB$2:$AB$495&gt;=10)*('CONTROL MASTER'!$AA$2:$AA$495&lt;=8)*('CONTROL MASTER'!$AC$2:$AC$495&gt;=8))*ROW('CONTROL MASTER'!$S$2:$S$495))&gt;0,INDEX('CONTROL MASTER'!$X$2:$X$495,(SUMPRODUCT((('CONTROL MASTER'!$S$2:$S$495=7)*('CONTROL MASTER'!$Z$2:$Z$495&lt;=10)*('CONTROL MASTER'!$AB$2:$AB$495&gt;=10)*('CONTROL MASTER'!$AA$2:$AA$495&lt;=8)*('CONTROL MASTER'!$AC$2:$AC$495&gt;=8))*ROW('CONTROL MASTER'!$S$2:$S$495))-(ROW('CONTROL MASTER'!#REF!)-1)))&amp;TRIM(MID(SUBSTITUTE(SUBSTITUTE(INDEX('CONTROL MASTER'!$N$2:$N$495,(SUMPRODUCT((('CONTROL MASTER'!$S$2:$S$495=7)*('CONTROL MASTER'!$Z$2:$Z$495&lt;=10)*('CONTROL MASTER'!$AB$2:$AB$495&gt;=10)*('CONTROL MASTER'!$AA$2:$AA$495&lt;=8)*('CONTROL MASTER'!$AC$2:$AC$495&gt;=8))*ROW('CONTROL MASTER'!$S$2:$S$495))-(ROW('CONTROL MASTER'!#REF!)-1))),":",","),",",REPT(" ",50)),(((INDEX('CONTROL MASTER'!$Y$2:$Y$495,(SUMPRODUCT((('CONTROL MASTER'!$S$2:$S$495=7)*('CONTROL MASTER'!$Z$2:$Z$495&lt;=10)*('CONTROL MASTER'!$AB$2:$AB$495&gt;=10)*('CONTROL MASTER'!$AA$2:$AA$495&lt;=8)*('CONTROL MASTER'!$AC$2:$AC$495&gt;=8))*ROW('CONTROL MASTER'!$S$2:$S$495))-(ROW('CONTROL MASTER'!#REF!)-1)))+((10-INDEX('CONTROL MASTER'!$Z$2:$Z$495,(SUMPRODUCT((('CONTROL MASTER'!$S$2:$S$495=7)*('CONTROL MASTER'!$Z$2:$Z$495&lt;=10)*('CONTROL MASTER'!$AB$2:$AB$495&gt;=10)*('CONTROL MASTER'!$AA$2:$AA$495&lt;=8)*('CONTROL MASTER'!$AC$2:$AC$495&gt;=8))*ROW('CONTROL MASTER'!$S$2:$S$495))-(ROW('CONTROL MASTER'!#REF!)-1))))*(INDEX('CONTROL MASTER'!$AC$2:$AC$495,(SUMPRODUCT((('CONTROL MASTER'!$S$2:$S$495=7)*('CONTROL MASTER'!$Z$2:$Z$495&lt;=10)*('CONTROL MASTER'!$AB$2:$AB$495&gt;=10)*('CONTROL MASTER'!$AA$2:$AA$495&lt;=8)*('CONTROL MASTER'!$AC$2:$AC$495&gt;=8))*ROW('CONTROL MASTER'!$S$2:$S$495))-(ROW('CONTROL MASTER'!#REF!)-1)))-INDEX('CONTROL MASTER'!$AA$2:$AA$495,(SUMPRODUCT((('CONTROL MASTER'!$S$2:$S$495=7)*('CONTROL MASTER'!$Z$2:$Z$495&lt;=10)*('CONTROL MASTER'!$AB$2:$AB$495&gt;=10)*('CONTROL MASTER'!$AA$2:$AA$495&lt;=8)*('CONTROL MASTER'!$AC$2:$AC$495&gt;=8))*ROW('CONTROL MASTER'!$S$2:$S$495))-(ROW('CONTROL MASTER'!#REF!)-1)))+1)+(8-INDEX('CONTROL MASTER'!$AA$2:$AA$495,(SUMPRODUCT((('CONTROL MASTER'!$S$2:$S$495=7)*('CONTROL MASTER'!$Z$2:$Z$495&lt;=10)*('CONTROL MASTER'!$AB$2:$AB$495&gt;=10)*('CONTROL MASTER'!$AA$2:$AA$495&lt;=8)*('CONTROL MASTER'!$AC$2:$AC$495&gt;=8))*ROW('CONTROL MASTER'!$S$2:$S$495))-(ROW('CONTROL MASTER'!#REF!)-1))))+1)))-1)*50+1,50))&amp;"_"&amp;INDEX('CONTROL MASTER'!$P$2:$P$495,(SUMPRODUCT((('CONTROL MASTER'!$S$2:$S$495=7)*('CONTROL MASTER'!$Z$2:$Z$495&lt;=10)*('CONTROL MASTER'!$AB$2:$AB$495&gt;=10)*('CONTROL MASTER'!$AA$2:$AA$495&lt;=8)*('CONTROL MASTER'!$AC$2:$AC$495&gt;=8))*ROW('CONTROL MASTER'!$S$2:$S$495))-(ROW('CONTROL MASTER'!#REF!)-1))),"")),"")</f>
        <v/>
      </c>
      <c r="J96" s="10" t="str">
        <f>IFERROR(IF(SUMPRODUCT((('CONTROL MASTER'!$S$2:$S$495=7)*('CONTROL MASTER'!$T$2:$T$495&lt;=10)*('CONTROL MASTER'!$V$2:$V$495&gt;=10)*('CONTROL MASTER'!$U$2:$U$495&lt;=9)*('CONTROL MASTER'!$W$2:$W$495&gt;=9))*ROW('CONTROL MASTER'!$S$2:$S$495))&gt;0,INDEX('CONTROL MASTER'!$X$2:$X$495,(SUMPRODUCT((('CONTROL MASTER'!$S$2:$S$495=7)*('CONTROL MASTER'!$T$2:$T$495&lt;=10)*('CONTROL MASTER'!$V$2:$V$495&gt;=10)*('CONTROL MASTER'!$U$2:$U$495&lt;=9)*('CONTROL MASTER'!$W$2:$W$495&gt;=9))*ROW('CONTROL MASTER'!$S$2:$S$495))-(ROW('CONTROL MASTER'!#REF!)-1)))&amp;TRIM(MID(SUBSTITUTE(SUBSTITUTE(INDEX('CONTROL MASTER'!$N$2:$N$495,(SUMPRODUCT((('CONTROL MASTER'!$S$2:$S$495=7)*('CONTROL MASTER'!$T$2:$T$495&lt;=10)*('CONTROL MASTER'!$V$2:$V$495&gt;=10)*('CONTROL MASTER'!$U$2:$U$495&lt;=9)*('CONTROL MASTER'!$W$2:$W$495&gt;=9))*ROW('CONTROL MASTER'!$S$2:$S$495))-(ROW('CONTROL MASTER'!#REF!)-1))),":",","),",",REPT(" ",50)),((((10-INDEX('CONTROL MASTER'!$T$2:$T$495,(SUMPRODUCT((('CONTROL MASTER'!$S$2:$S$495=7)*('CONTROL MASTER'!$T$2:$T$495&lt;=10)*('CONTROL MASTER'!$V$2:$V$495&gt;=10)*('CONTROL MASTER'!$U$2:$U$495&lt;=9)*('CONTROL MASTER'!$W$2:$W$495&gt;=9))*ROW('CONTROL MASTER'!$S$2:$S$495))-(ROW('CONTROL MASTER'!#REF!)-1))))*(INDEX('CONTROL MASTER'!$W$2:$W$495,(SUMPRODUCT((('CONTROL MASTER'!$S$2:$S$495=7)*('CONTROL MASTER'!$T$2:$T$495&lt;=10)*('CONTROL MASTER'!$V$2:$V$495&gt;=10)*('CONTROL MASTER'!$U$2:$U$495&lt;=9)*('CONTROL MASTER'!$W$2:$W$495&gt;=9))*ROW('CONTROL MASTER'!$S$2:$S$495))-(ROW('CONTROL MASTER'!#REF!)-1)))-INDEX('CONTROL MASTER'!$U$2:$U$495,(SUMPRODUCT((('CONTROL MASTER'!$S$2:$S$495=7)*('CONTROL MASTER'!$T$2:$T$495&lt;=10)*('CONTROL MASTER'!$V$2:$V$495&gt;=10)*('CONTROL MASTER'!$U$2:$U$495&lt;=9)*('CONTROL MASTER'!$W$2:$W$495&gt;=9))*ROW('CONTROL MASTER'!$S$2:$S$495))-(ROW('CONTROL MASTER'!#REF!)-1)))+1)+(9-INDEX('CONTROL MASTER'!$U$2:$U$495,(SUMPRODUCT((('CONTROL MASTER'!$S$2:$S$495=7)*('CONTROL MASTER'!$T$2:$T$495&lt;=10)*('CONTROL MASTER'!$V$2:$V$495&gt;=10)*('CONTROL MASTER'!$U$2:$U$495&lt;=9)*('CONTROL MASTER'!$W$2:$W$495&gt;=9))*ROW('CONTROL MASTER'!$S$2:$S$495))-(ROW('CONTROL MASTER'!#REF!)-1))))+1))-1)*50+1,50))&amp;"_"&amp;INDEX('CONTROL MASTER'!$P$2:$P$495,(SUMPRODUCT((('CONTROL MASTER'!$S$2:$S$495=7)*('CONTROL MASTER'!$T$2:$T$495&lt;=10)*('CONTROL MASTER'!$V$2:$V$495&gt;=10)*('CONTROL MASTER'!$U$2:$U$495&lt;=9)*('CONTROL MASTER'!$W$2:$W$495&gt;=9))*ROW('CONTROL MASTER'!$S$2:$S$495))-(ROW('CONTROL MASTER'!#REF!)-1))),IF(SUMPRODUCT((('CONTROL MASTER'!$S$2:$S$495=7)*('CONTROL MASTER'!$Z$2:$Z$495&lt;=10)*('CONTROL MASTER'!$AB$2:$AB$495&gt;=10)*('CONTROL MASTER'!$AA$2:$AA$495&lt;=9)*('CONTROL MASTER'!$AC$2:$AC$495&gt;=9))*ROW('CONTROL MASTER'!$S$2:$S$495))&gt;0,INDEX('CONTROL MASTER'!$X$2:$X$495,(SUMPRODUCT((('CONTROL MASTER'!$S$2:$S$495=7)*('CONTROL MASTER'!$Z$2:$Z$495&lt;=10)*('CONTROL MASTER'!$AB$2:$AB$495&gt;=10)*('CONTROL MASTER'!$AA$2:$AA$495&lt;=9)*('CONTROL MASTER'!$AC$2:$AC$495&gt;=9))*ROW('CONTROL MASTER'!$S$2:$S$495))-(ROW('CONTROL MASTER'!#REF!)-1)))&amp;TRIM(MID(SUBSTITUTE(SUBSTITUTE(INDEX('CONTROL MASTER'!$N$2:$N$495,(SUMPRODUCT((('CONTROL MASTER'!$S$2:$S$495=7)*('CONTROL MASTER'!$Z$2:$Z$495&lt;=10)*('CONTROL MASTER'!$AB$2:$AB$495&gt;=10)*('CONTROL MASTER'!$AA$2:$AA$495&lt;=9)*('CONTROL MASTER'!$AC$2:$AC$495&gt;=9))*ROW('CONTROL MASTER'!$S$2:$S$495))-(ROW('CONTROL MASTER'!#REF!)-1))),":",","),",",REPT(" ",50)),(((INDEX('CONTROL MASTER'!$Y$2:$Y$495,(SUMPRODUCT((('CONTROL MASTER'!$S$2:$S$495=7)*('CONTROL MASTER'!$Z$2:$Z$495&lt;=10)*('CONTROL MASTER'!$AB$2:$AB$495&gt;=10)*('CONTROL MASTER'!$AA$2:$AA$495&lt;=9)*('CONTROL MASTER'!$AC$2:$AC$495&gt;=9))*ROW('CONTROL MASTER'!$S$2:$S$495))-(ROW('CONTROL MASTER'!#REF!)-1)))+((10-INDEX('CONTROL MASTER'!$Z$2:$Z$495,(SUMPRODUCT((('CONTROL MASTER'!$S$2:$S$495=7)*('CONTROL MASTER'!$Z$2:$Z$495&lt;=10)*('CONTROL MASTER'!$AB$2:$AB$495&gt;=10)*('CONTROL MASTER'!$AA$2:$AA$495&lt;=9)*('CONTROL MASTER'!$AC$2:$AC$495&gt;=9))*ROW('CONTROL MASTER'!$S$2:$S$495))-(ROW('CONTROL MASTER'!#REF!)-1))))*(INDEX('CONTROL MASTER'!$AC$2:$AC$495,(SUMPRODUCT((('CONTROL MASTER'!$S$2:$S$495=7)*('CONTROL MASTER'!$Z$2:$Z$495&lt;=10)*('CONTROL MASTER'!$AB$2:$AB$495&gt;=10)*('CONTROL MASTER'!$AA$2:$AA$495&lt;=9)*('CONTROL MASTER'!$AC$2:$AC$495&gt;=9))*ROW('CONTROL MASTER'!$S$2:$S$495))-(ROW('CONTROL MASTER'!#REF!)-1)))-INDEX('CONTROL MASTER'!$AA$2:$AA$495,(SUMPRODUCT((('CONTROL MASTER'!$S$2:$S$495=7)*('CONTROL MASTER'!$Z$2:$Z$495&lt;=10)*('CONTROL MASTER'!$AB$2:$AB$495&gt;=10)*('CONTROL MASTER'!$AA$2:$AA$495&lt;=9)*('CONTROL MASTER'!$AC$2:$AC$495&gt;=9))*ROW('CONTROL MASTER'!$S$2:$S$495))-(ROW('CONTROL MASTER'!#REF!)-1)))+1)+(9-INDEX('CONTROL MASTER'!$AA$2:$AA$495,(SUMPRODUCT((('CONTROL MASTER'!$S$2:$S$495=7)*('CONTROL MASTER'!$Z$2:$Z$495&lt;=10)*('CONTROL MASTER'!$AB$2:$AB$495&gt;=10)*('CONTROL MASTER'!$AA$2:$AA$495&lt;=9)*('CONTROL MASTER'!$AC$2:$AC$495&gt;=9))*ROW('CONTROL MASTER'!$S$2:$S$495))-(ROW('CONTROL MASTER'!#REF!)-1))))+1)))-1)*50+1,50))&amp;"_"&amp;INDEX('CONTROL MASTER'!$P$2:$P$495,(SUMPRODUCT((('CONTROL MASTER'!$S$2:$S$495=7)*('CONTROL MASTER'!$Z$2:$Z$495&lt;=10)*('CONTROL MASTER'!$AB$2:$AB$495&gt;=10)*('CONTROL MASTER'!$AA$2:$AA$495&lt;=9)*('CONTROL MASTER'!$AC$2:$AC$495&gt;=9))*ROW('CONTROL MASTER'!$S$2:$S$495))-(ROW('CONTROL MASTER'!#REF!)-1))),"")),"")</f>
        <v/>
      </c>
      <c r="K96" s="10" t="str">
        <f>IFERROR(IF(SUMPRODUCT((('CONTROL MASTER'!$S$2:$S$495=7)*('CONTROL MASTER'!$T$2:$T$495&lt;=10)*('CONTROL MASTER'!$V$2:$V$495&gt;=10)*('CONTROL MASTER'!$U$2:$U$495&lt;=10)*('CONTROL MASTER'!$W$2:$W$495&gt;=10))*ROW('CONTROL MASTER'!$S$2:$S$495))&gt;0,INDEX('CONTROL MASTER'!$X$2:$X$495,(SUMPRODUCT((('CONTROL MASTER'!$S$2:$S$495=7)*('CONTROL MASTER'!$T$2:$T$495&lt;=10)*('CONTROL MASTER'!$V$2:$V$495&gt;=10)*('CONTROL MASTER'!$U$2:$U$495&lt;=10)*('CONTROL MASTER'!$W$2:$W$495&gt;=10))*ROW('CONTROL MASTER'!$S$2:$S$495))-(ROW('CONTROL MASTER'!#REF!)-1)))&amp;TRIM(MID(SUBSTITUTE(SUBSTITUTE(INDEX('CONTROL MASTER'!$N$2:$N$495,(SUMPRODUCT((('CONTROL MASTER'!$S$2:$S$495=7)*('CONTROL MASTER'!$T$2:$T$495&lt;=10)*('CONTROL MASTER'!$V$2:$V$495&gt;=10)*('CONTROL MASTER'!$U$2:$U$495&lt;=10)*('CONTROL MASTER'!$W$2:$W$495&gt;=10))*ROW('CONTROL MASTER'!$S$2:$S$495))-(ROW('CONTROL MASTER'!#REF!)-1))),":",","),",",REPT(" ",50)),((((10-INDEX('CONTROL MASTER'!$T$2:$T$495,(SUMPRODUCT((('CONTROL MASTER'!$S$2:$S$495=7)*('CONTROL MASTER'!$T$2:$T$495&lt;=10)*('CONTROL MASTER'!$V$2:$V$495&gt;=10)*('CONTROL MASTER'!$U$2:$U$495&lt;=10)*('CONTROL MASTER'!$W$2:$W$495&gt;=10))*ROW('CONTROL MASTER'!$S$2:$S$495))-(ROW('CONTROL MASTER'!#REF!)-1))))*(INDEX('CONTROL MASTER'!$W$2:$W$495,(SUMPRODUCT((('CONTROL MASTER'!$S$2:$S$495=7)*('CONTROL MASTER'!$T$2:$T$495&lt;=10)*('CONTROL MASTER'!$V$2:$V$495&gt;=10)*('CONTROL MASTER'!$U$2:$U$495&lt;=10)*('CONTROL MASTER'!$W$2:$W$495&gt;=10))*ROW('CONTROL MASTER'!$S$2:$S$495))-(ROW('CONTROL MASTER'!#REF!)-1)))-INDEX('CONTROL MASTER'!$U$2:$U$495,(SUMPRODUCT((('CONTROL MASTER'!$S$2:$S$495=7)*('CONTROL MASTER'!$T$2:$T$495&lt;=10)*('CONTROL MASTER'!$V$2:$V$495&gt;=10)*('CONTROL MASTER'!$U$2:$U$495&lt;=10)*('CONTROL MASTER'!$W$2:$W$495&gt;=10))*ROW('CONTROL MASTER'!$S$2:$S$495))-(ROW('CONTROL MASTER'!#REF!)-1)))+1)+(10-INDEX('CONTROL MASTER'!$U$2:$U$495,(SUMPRODUCT((('CONTROL MASTER'!$S$2:$S$495=7)*('CONTROL MASTER'!$T$2:$T$495&lt;=10)*('CONTROL MASTER'!$V$2:$V$495&gt;=10)*('CONTROL MASTER'!$U$2:$U$495&lt;=10)*('CONTROL MASTER'!$W$2:$W$495&gt;=10))*ROW('CONTROL MASTER'!$S$2:$S$495))-(ROW('CONTROL MASTER'!#REF!)-1))))+1))-1)*50+1,50))&amp;"_"&amp;INDEX('CONTROL MASTER'!$P$2:$P$495,(SUMPRODUCT((('CONTROL MASTER'!$S$2:$S$495=7)*('CONTROL MASTER'!$T$2:$T$495&lt;=10)*('CONTROL MASTER'!$V$2:$V$495&gt;=10)*('CONTROL MASTER'!$U$2:$U$495&lt;=10)*('CONTROL MASTER'!$W$2:$W$495&gt;=10))*ROW('CONTROL MASTER'!$S$2:$S$495))-(ROW('CONTROL MASTER'!#REF!)-1))),IF(SUMPRODUCT((('CONTROL MASTER'!$S$2:$S$495=7)*('CONTROL MASTER'!$Z$2:$Z$495&lt;=10)*('CONTROL MASTER'!$AB$2:$AB$495&gt;=10)*('CONTROL MASTER'!$AA$2:$AA$495&lt;=10)*('CONTROL MASTER'!$AC$2:$AC$495&gt;=10))*ROW('CONTROL MASTER'!$S$2:$S$495))&gt;0,INDEX('CONTROL MASTER'!$X$2:$X$495,(SUMPRODUCT((('CONTROL MASTER'!$S$2:$S$495=7)*('CONTROL MASTER'!$Z$2:$Z$495&lt;=10)*('CONTROL MASTER'!$AB$2:$AB$495&gt;=10)*('CONTROL MASTER'!$AA$2:$AA$495&lt;=10)*('CONTROL MASTER'!$AC$2:$AC$495&gt;=10))*ROW('CONTROL MASTER'!$S$2:$S$495))-(ROW('CONTROL MASTER'!#REF!)-1)))&amp;TRIM(MID(SUBSTITUTE(SUBSTITUTE(INDEX('CONTROL MASTER'!$N$2:$N$495,(SUMPRODUCT((('CONTROL MASTER'!$S$2:$S$495=7)*('CONTROL MASTER'!$Z$2:$Z$495&lt;=10)*('CONTROL MASTER'!$AB$2:$AB$495&gt;=10)*('CONTROL MASTER'!$AA$2:$AA$495&lt;=10)*('CONTROL MASTER'!$AC$2:$AC$495&gt;=10))*ROW('CONTROL MASTER'!$S$2:$S$495))-(ROW('CONTROL MASTER'!#REF!)-1))),":",","),",",REPT(" ",50)),(((INDEX('CONTROL MASTER'!$Y$2:$Y$495,(SUMPRODUCT((('CONTROL MASTER'!$S$2:$S$495=7)*('CONTROL MASTER'!$Z$2:$Z$495&lt;=10)*('CONTROL MASTER'!$AB$2:$AB$495&gt;=10)*('CONTROL MASTER'!$AA$2:$AA$495&lt;=10)*('CONTROL MASTER'!$AC$2:$AC$495&gt;=10))*ROW('CONTROL MASTER'!$S$2:$S$495))-(ROW('CONTROL MASTER'!#REF!)-1)))+((10-INDEX('CONTROL MASTER'!$Z$2:$Z$495,(SUMPRODUCT((('CONTROL MASTER'!$S$2:$S$495=7)*('CONTROL MASTER'!$Z$2:$Z$495&lt;=10)*('CONTROL MASTER'!$AB$2:$AB$495&gt;=10)*('CONTROL MASTER'!$AA$2:$AA$495&lt;=10)*('CONTROL MASTER'!$AC$2:$AC$495&gt;=10))*ROW('CONTROL MASTER'!$S$2:$S$495))-(ROW('CONTROL MASTER'!#REF!)-1))))*(INDEX('CONTROL MASTER'!$AC$2:$AC$495,(SUMPRODUCT((('CONTROL MASTER'!$S$2:$S$495=7)*('CONTROL MASTER'!$Z$2:$Z$495&lt;=10)*('CONTROL MASTER'!$AB$2:$AB$495&gt;=10)*('CONTROL MASTER'!$AA$2:$AA$495&lt;=10)*('CONTROL MASTER'!$AC$2:$AC$495&gt;=10))*ROW('CONTROL MASTER'!$S$2:$S$495))-(ROW('CONTROL MASTER'!#REF!)-1)))-INDEX('CONTROL MASTER'!$AA$2:$AA$495,(SUMPRODUCT((('CONTROL MASTER'!$S$2:$S$495=7)*('CONTROL MASTER'!$Z$2:$Z$495&lt;=10)*('CONTROL MASTER'!$AB$2:$AB$495&gt;=10)*('CONTROL MASTER'!$AA$2:$AA$495&lt;=10)*('CONTROL MASTER'!$AC$2:$AC$495&gt;=10))*ROW('CONTROL MASTER'!$S$2:$S$495))-(ROW('CONTROL MASTER'!#REF!)-1)))+1)+(10-INDEX('CONTROL MASTER'!$AA$2:$AA$495,(SUMPRODUCT((('CONTROL MASTER'!$S$2:$S$495=7)*('CONTROL MASTER'!$Z$2:$Z$495&lt;=10)*('CONTROL MASTER'!$AB$2:$AB$495&gt;=10)*('CONTROL MASTER'!$AA$2:$AA$495&lt;=10)*('CONTROL MASTER'!$AC$2:$AC$495&gt;=10))*ROW('CONTROL MASTER'!$S$2:$S$495))-(ROW('CONTROL MASTER'!#REF!)-1))))+1)))-1)*50+1,50))&amp;"_"&amp;INDEX('CONTROL MASTER'!$P$2:$P$495,(SUMPRODUCT((('CONTROL MASTER'!$S$2:$S$495=7)*('CONTROL MASTER'!$Z$2:$Z$495&lt;=10)*('CONTROL MASTER'!$AB$2:$AB$495&gt;=10)*('CONTROL MASTER'!$AA$2:$AA$495&lt;=10)*('CONTROL MASTER'!$AC$2:$AC$495&gt;=10))*ROW('CONTROL MASTER'!$S$2:$S$495))-(ROW('CONTROL MASTER'!#REF!)-1))),"")),"")</f>
        <v/>
      </c>
    </row>
    <row r="99" spans="1:11" ht="15" customHeight="1" x14ac:dyDescent="0.35">
      <c r="A99" s="12" t="s">
        <v>164</v>
      </c>
      <c r="B99" s="13"/>
      <c r="C99" s="13"/>
      <c r="D99" s="13"/>
      <c r="E99" s="13"/>
      <c r="F99" s="13"/>
      <c r="G99" s="13"/>
      <c r="H99" s="13"/>
      <c r="I99" s="13"/>
      <c r="J99" s="13"/>
      <c r="K99" s="13"/>
    </row>
    <row r="100" spans="1:11" ht="15" customHeight="1" x14ac:dyDescent="0.35">
      <c r="B100" s="8">
        <v>1</v>
      </c>
      <c r="C100" s="8">
        <v>2</v>
      </c>
      <c r="D100" s="8">
        <v>3</v>
      </c>
      <c r="E100" s="8">
        <v>4</v>
      </c>
      <c r="F100" s="8">
        <v>5</v>
      </c>
      <c r="G100" s="8">
        <v>6</v>
      </c>
      <c r="H100" s="8">
        <v>7</v>
      </c>
      <c r="I100" s="8">
        <v>8</v>
      </c>
      <c r="J100" s="8">
        <v>9</v>
      </c>
      <c r="K100" s="8">
        <v>10</v>
      </c>
    </row>
    <row r="101" spans="1:11" ht="15" customHeight="1" x14ac:dyDescent="0.35">
      <c r="A101" s="8" t="s">
        <v>28</v>
      </c>
      <c r="B101" s="10" t="str">
        <f>IFERROR(IF(SUMPRODUCT((('CONTROL MASTER'!$S$2:$S$495=8)*('CONTROL MASTER'!$T$2:$T$495&lt;=1)*('CONTROL MASTER'!$V$2:$V$495&gt;=1)*('CONTROL MASTER'!$U$2:$U$495&lt;=1)*('CONTROL MASTER'!$W$2:$W$495&gt;=1))*ROW('CONTROL MASTER'!$S$2:$S$495))&gt;0,INDEX('CONTROL MASTER'!$X$2:$X$495,(SUMPRODUCT((('CONTROL MASTER'!$S$2:$S$495=8)*('CONTROL MASTER'!$T$2:$T$495&lt;=1)*('CONTROL MASTER'!$V$2:$V$495&gt;=1)*('CONTROL MASTER'!$U$2:$U$495&lt;=1)*('CONTROL MASTER'!$W$2:$W$495&gt;=1))*ROW('CONTROL MASTER'!$S$2:$S$495))-(ROW('CONTROL MASTER'!#REF!)-1)))&amp;TRIM(MID(SUBSTITUTE(SUBSTITUTE(INDEX('CONTROL MASTER'!$N$2:$N$495,(SUMPRODUCT((('CONTROL MASTER'!$S$2:$S$495=8)*('CONTROL MASTER'!$T$2:$T$495&lt;=1)*('CONTROL MASTER'!$V$2:$V$495&gt;=1)*('CONTROL MASTER'!$U$2:$U$495&lt;=1)*('CONTROL MASTER'!$W$2:$W$495&gt;=1))*ROW('CONTROL MASTER'!$S$2:$S$495))-(ROW('CONTROL MASTER'!#REF!)-1))),":",","),",",REPT(" ",50)),((((1-INDEX('CONTROL MASTER'!$T$2:$T$495,(SUMPRODUCT((('CONTROL MASTER'!$S$2:$S$495=8)*('CONTROL MASTER'!$T$2:$T$495&lt;=1)*('CONTROL MASTER'!$V$2:$V$495&gt;=1)*('CONTROL MASTER'!$U$2:$U$495&lt;=1)*('CONTROL MASTER'!$W$2:$W$495&gt;=1))*ROW('CONTROL MASTER'!$S$2:$S$495))-(ROW('CONTROL MASTER'!#REF!)-1))))*(INDEX('CONTROL MASTER'!$W$2:$W$495,(SUMPRODUCT((('CONTROL MASTER'!$S$2:$S$495=8)*('CONTROL MASTER'!$T$2:$T$495&lt;=1)*('CONTROL MASTER'!$V$2:$V$495&gt;=1)*('CONTROL MASTER'!$U$2:$U$495&lt;=1)*('CONTROL MASTER'!$W$2:$W$495&gt;=1))*ROW('CONTROL MASTER'!$S$2:$S$495))-(ROW('CONTROL MASTER'!#REF!)-1)))-INDEX('CONTROL MASTER'!$U$2:$U$495,(SUMPRODUCT((('CONTROL MASTER'!$S$2:$S$495=8)*('CONTROL MASTER'!$T$2:$T$495&lt;=1)*('CONTROL MASTER'!$V$2:$V$495&gt;=1)*('CONTROL MASTER'!$U$2:$U$495&lt;=1)*('CONTROL MASTER'!$W$2:$W$495&gt;=1))*ROW('CONTROL MASTER'!$S$2:$S$495))-(ROW('CONTROL MASTER'!#REF!)-1)))+1)+(1-INDEX('CONTROL MASTER'!$U$2:$U$495,(SUMPRODUCT((('CONTROL MASTER'!$S$2:$S$495=8)*('CONTROL MASTER'!$T$2:$T$495&lt;=1)*('CONTROL MASTER'!$V$2:$V$495&gt;=1)*('CONTROL MASTER'!$U$2:$U$495&lt;=1)*('CONTROL MASTER'!$W$2:$W$495&gt;=1))*ROW('CONTROL MASTER'!$S$2:$S$495))-(ROW('CONTROL MASTER'!#REF!)-1))))+1))-1)*50+1,50))&amp;"_"&amp;INDEX('CONTROL MASTER'!$P$2:$P$495,(SUMPRODUCT((('CONTROL MASTER'!$S$2:$S$495=8)*('CONTROL MASTER'!$T$2:$T$495&lt;=1)*('CONTROL MASTER'!$V$2:$V$495&gt;=1)*('CONTROL MASTER'!$U$2:$U$495&lt;=1)*('CONTROL MASTER'!$W$2:$W$495&gt;=1))*ROW('CONTROL MASTER'!$S$2:$S$495))-(ROW('CONTROL MASTER'!#REF!)-1))),IF(SUMPRODUCT((('CONTROL MASTER'!$S$2:$S$495=8)*('CONTROL MASTER'!$Z$2:$Z$495&lt;=1)*('CONTROL MASTER'!$AB$2:$AB$495&gt;=1)*('CONTROL MASTER'!$AA$2:$AA$495&lt;=1)*('CONTROL MASTER'!$AC$2:$AC$495&gt;=1))*ROW('CONTROL MASTER'!$S$2:$S$495))&gt;0,INDEX('CONTROL MASTER'!$X$2:$X$495,(SUMPRODUCT((('CONTROL MASTER'!$S$2:$S$495=8)*('CONTROL MASTER'!$Z$2:$Z$495&lt;=1)*('CONTROL MASTER'!$AB$2:$AB$495&gt;=1)*('CONTROL MASTER'!$AA$2:$AA$495&lt;=1)*('CONTROL MASTER'!$AC$2:$AC$495&gt;=1))*ROW('CONTROL MASTER'!$S$2:$S$495))-(ROW('CONTROL MASTER'!#REF!)-1)))&amp;TRIM(MID(SUBSTITUTE(SUBSTITUTE(INDEX('CONTROL MASTER'!$N$2:$N$495,(SUMPRODUCT((('CONTROL MASTER'!$S$2:$S$495=8)*('CONTROL MASTER'!$Z$2:$Z$495&lt;=1)*('CONTROL MASTER'!$AB$2:$AB$495&gt;=1)*('CONTROL MASTER'!$AA$2:$AA$495&lt;=1)*('CONTROL MASTER'!$AC$2:$AC$495&gt;=1))*ROW('CONTROL MASTER'!$S$2:$S$495))-(ROW('CONTROL MASTER'!#REF!)-1))),":",","),",",REPT(" ",50)),(((INDEX('CONTROL MASTER'!$Y$2:$Y$495,(SUMPRODUCT((('CONTROL MASTER'!$S$2:$S$495=8)*('CONTROL MASTER'!$Z$2:$Z$495&lt;=1)*('CONTROL MASTER'!$AB$2:$AB$495&gt;=1)*('CONTROL MASTER'!$AA$2:$AA$495&lt;=1)*('CONTROL MASTER'!$AC$2:$AC$495&gt;=1))*ROW('CONTROL MASTER'!$S$2:$S$495))-(ROW('CONTROL MASTER'!#REF!)-1)))+((1-INDEX('CONTROL MASTER'!$Z$2:$Z$495,(SUMPRODUCT((('CONTROL MASTER'!$S$2:$S$495=8)*('CONTROL MASTER'!$Z$2:$Z$495&lt;=1)*('CONTROL MASTER'!$AB$2:$AB$495&gt;=1)*('CONTROL MASTER'!$AA$2:$AA$495&lt;=1)*('CONTROL MASTER'!$AC$2:$AC$495&gt;=1))*ROW('CONTROL MASTER'!$S$2:$S$495))-(ROW('CONTROL MASTER'!#REF!)-1))))*(INDEX('CONTROL MASTER'!$AC$2:$AC$495,(SUMPRODUCT((('CONTROL MASTER'!$S$2:$S$495=8)*('CONTROL MASTER'!$Z$2:$Z$495&lt;=1)*('CONTROL MASTER'!$AB$2:$AB$495&gt;=1)*('CONTROL MASTER'!$AA$2:$AA$495&lt;=1)*('CONTROL MASTER'!$AC$2:$AC$495&gt;=1))*ROW('CONTROL MASTER'!$S$2:$S$495))-(ROW('CONTROL MASTER'!#REF!)-1)))-INDEX('CONTROL MASTER'!$AA$2:$AA$495,(SUMPRODUCT((('CONTROL MASTER'!$S$2:$S$495=8)*('CONTROL MASTER'!$Z$2:$Z$495&lt;=1)*('CONTROL MASTER'!$AB$2:$AB$495&gt;=1)*('CONTROL MASTER'!$AA$2:$AA$495&lt;=1)*('CONTROL MASTER'!$AC$2:$AC$495&gt;=1))*ROW('CONTROL MASTER'!$S$2:$S$495))-(ROW('CONTROL MASTER'!#REF!)-1)))+1)+(1-INDEX('CONTROL MASTER'!$AA$2:$AA$495,(SUMPRODUCT((('CONTROL MASTER'!$S$2:$S$495=8)*('CONTROL MASTER'!$Z$2:$Z$495&lt;=1)*('CONTROL MASTER'!$AB$2:$AB$495&gt;=1)*('CONTROL MASTER'!$AA$2:$AA$495&lt;=1)*('CONTROL MASTER'!$AC$2:$AC$495&gt;=1))*ROW('CONTROL MASTER'!$S$2:$S$495))-(ROW('CONTROL MASTER'!#REF!)-1))))+1)))-1)*50+1,50))&amp;"_"&amp;INDEX('CONTROL MASTER'!$P$2:$P$495,(SUMPRODUCT((('CONTROL MASTER'!$S$2:$S$495=8)*('CONTROL MASTER'!$Z$2:$Z$495&lt;=1)*('CONTROL MASTER'!$AB$2:$AB$495&gt;=1)*('CONTROL MASTER'!$AA$2:$AA$495&lt;=1)*('CONTROL MASTER'!$AC$2:$AC$495&gt;=1))*ROW('CONTROL MASTER'!$S$2:$S$495))-(ROW('CONTROL MASTER'!#REF!)-1))),"")),"")</f>
        <v/>
      </c>
      <c r="C101" s="10" t="str">
        <f>IFERROR(IF(SUMPRODUCT((('CONTROL MASTER'!$S$2:$S$495=8)*('CONTROL MASTER'!$T$2:$T$495&lt;=1)*('CONTROL MASTER'!$V$2:$V$495&gt;=1)*('CONTROL MASTER'!$U$2:$U$495&lt;=2)*('CONTROL MASTER'!$W$2:$W$495&gt;=2))*ROW('CONTROL MASTER'!$S$2:$S$495))&gt;0,INDEX('CONTROL MASTER'!$X$2:$X$495,(SUMPRODUCT((('CONTROL MASTER'!$S$2:$S$495=8)*('CONTROL MASTER'!$T$2:$T$495&lt;=1)*('CONTROL MASTER'!$V$2:$V$495&gt;=1)*('CONTROL MASTER'!$U$2:$U$495&lt;=2)*('CONTROL MASTER'!$W$2:$W$495&gt;=2))*ROW('CONTROL MASTER'!$S$2:$S$495))-(ROW('CONTROL MASTER'!#REF!)-1)))&amp;TRIM(MID(SUBSTITUTE(SUBSTITUTE(INDEX('CONTROL MASTER'!$N$2:$N$495,(SUMPRODUCT((('CONTROL MASTER'!$S$2:$S$495=8)*('CONTROL MASTER'!$T$2:$T$495&lt;=1)*('CONTROL MASTER'!$V$2:$V$495&gt;=1)*('CONTROL MASTER'!$U$2:$U$495&lt;=2)*('CONTROL MASTER'!$W$2:$W$495&gt;=2))*ROW('CONTROL MASTER'!$S$2:$S$495))-(ROW('CONTROL MASTER'!#REF!)-1))),":",","),",",REPT(" ",50)),((((1-INDEX('CONTROL MASTER'!$T$2:$T$495,(SUMPRODUCT((('CONTROL MASTER'!$S$2:$S$495=8)*('CONTROL MASTER'!$T$2:$T$495&lt;=1)*('CONTROL MASTER'!$V$2:$V$495&gt;=1)*('CONTROL MASTER'!$U$2:$U$495&lt;=2)*('CONTROL MASTER'!$W$2:$W$495&gt;=2))*ROW('CONTROL MASTER'!$S$2:$S$495))-(ROW('CONTROL MASTER'!#REF!)-1))))*(INDEX('CONTROL MASTER'!$W$2:$W$495,(SUMPRODUCT((('CONTROL MASTER'!$S$2:$S$495=8)*('CONTROL MASTER'!$T$2:$T$495&lt;=1)*('CONTROL MASTER'!$V$2:$V$495&gt;=1)*('CONTROL MASTER'!$U$2:$U$495&lt;=2)*('CONTROL MASTER'!$W$2:$W$495&gt;=2))*ROW('CONTROL MASTER'!$S$2:$S$495))-(ROW('CONTROL MASTER'!#REF!)-1)))-INDEX('CONTROL MASTER'!$U$2:$U$495,(SUMPRODUCT((('CONTROL MASTER'!$S$2:$S$495=8)*('CONTROL MASTER'!$T$2:$T$495&lt;=1)*('CONTROL MASTER'!$V$2:$V$495&gt;=1)*('CONTROL MASTER'!$U$2:$U$495&lt;=2)*('CONTROL MASTER'!$W$2:$W$495&gt;=2))*ROW('CONTROL MASTER'!$S$2:$S$495))-(ROW('CONTROL MASTER'!#REF!)-1)))+1)+(2-INDEX('CONTROL MASTER'!$U$2:$U$495,(SUMPRODUCT((('CONTROL MASTER'!$S$2:$S$495=8)*('CONTROL MASTER'!$T$2:$T$495&lt;=1)*('CONTROL MASTER'!$V$2:$V$495&gt;=1)*('CONTROL MASTER'!$U$2:$U$495&lt;=2)*('CONTROL MASTER'!$W$2:$W$495&gt;=2))*ROW('CONTROL MASTER'!$S$2:$S$495))-(ROW('CONTROL MASTER'!#REF!)-1))))+1))-1)*50+1,50))&amp;"_"&amp;INDEX('CONTROL MASTER'!$P$2:$P$495,(SUMPRODUCT((('CONTROL MASTER'!$S$2:$S$495=8)*('CONTROL MASTER'!$T$2:$T$495&lt;=1)*('CONTROL MASTER'!$V$2:$V$495&gt;=1)*('CONTROL MASTER'!$U$2:$U$495&lt;=2)*('CONTROL MASTER'!$W$2:$W$495&gt;=2))*ROW('CONTROL MASTER'!$S$2:$S$495))-(ROW('CONTROL MASTER'!#REF!)-1))),IF(SUMPRODUCT((('CONTROL MASTER'!$S$2:$S$495=8)*('CONTROL MASTER'!$Z$2:$Z$495&lt;=1)*('CONTROL MASTER'!$AB$2:$AB$495&gt;=1)*('CONTROL MASTER'!$AA$2:$AA$495&lt;=2)*('CONTROL MASTER'!$AC$2:$AC$495&gt;=2))*ROW('CONTROL MASTER'!$S$2:$S$495))&gt;0,INDEX('CONTROL MASTER'!$X$2:$X$495,(SUMPRODUCT((('CONTROL MASTER'!$S$2:$S$495=8)*('CONTROL MASTER'!$Z$2:$Z$495&lt;=1)*('CONTROL MASTER'!$AB$2:$AB$495&gt;=1)*('CONTROL MASTER'!$AA$2:$AA$495&lt;=2)*('CONTROL MASTER'!$AC$2:$AC$495&gt;=2))*ROW('CONTROL MASTER'!$S$2:$S$495))-(ROW('CONTROL MASTER'!#REF!)-1)))&amp;TRIM(MID(SUBSTITUTE(SUBSTITUTE(INDEX('CONTROL MASTER'!$N$2:$N$495,(SUMPRODUCT((('CONTROL MASTER'!$S$2:$S$495=8)*('CONTROL MASTER'!$Z$2:$Z$495&lt;=1)*('CONTROL MASTER'!$AB$2:$AB$495&gt;=1)*('CONTROL MASTER'!$AA$2:$AA$495&lt;=2)*('CONTROL MASTER'!$AC$2:$AC$495&gt;=2))*ROW('CONTROL MASTER'!$S$2:$S$495))-(ROW('CONTROL MASTER'!#REF!)-1))),":",","),",",REPT(" ",50)),(((INDEX('CONTROL MASTER'!$Y$2:$Y$495,(SUMPRODUCT((('CONTROL MASTER'!$S$2:$S$495=8)*('CONTROL MASTER'!$Z$2:$Z$495&lt;=1)*('CONTROL MASTER'!$AB$2:$AB$495&gt;=1)*('CONTROL MASTER'!$AA$2:$AA$495&lt;=2)*('CONTROL MASTER'!$AC$2:$AC$495&gt;=2))*ROW('CONTROL MASTER'!$S$2:$S$495))-(ROW('CONTROL MASTER'!#REF!)-1)))+((1-INDEX('CONTROL MASTER'!$Z$2:$Z$495,(SUMPRODUCT((('CONTROL MASTER'!$S$2:$S$495=8)*('CONTROL MASTER'!$Z$2:$Z$495&lt;=1)*('CONTROL MASTER'!$AB$2:$AB$495&gt;=1)*('CONTROL MASTER'!$AA$2:$AA$495&lt;=2)*('CONTROL MASTER'!$AC$2:$AC$495&gt;=2))*ROW('CONTROL MASTER'!$S$2:$S$495))-(ROW('CONTROL MASTER'!#REF!)-1))))*(INDEX('CONTROL MASTER'!$AC$2:$AC$495,(SUMPRODUCT((('CONTROL MASTER'!$S$2:$S$495=8)*('CONTROL MASTER'!$Z$2:$Z$495&lt;=1)*('CONTROL MASTER'!$AB$2:$AB$495&gt;=1)*('CONTROL MASTER'!$AA$2:$AA$495&lt;=2)*('CONTROL MASTER'!$AC$2:$AC$495&gt;=2))*ROW('CONTROL MASTER'!$S$2:$S$495))-(ROW('CONTROL MASTER'!#REF!)-1)))-INDEX('CONTROL MASTER'!$AA$2:$AA$495,(SUMPRODUCT((('CONTROL MASTER'!$S$2:$S$495=8)*('CONTROL MASTER'!$Z$2:$Z$495&lt;=1)*('CONTROL MASTER'!$AB$2:$AB$495&gt;=1)*('CONTROL MASTER'!$AA$2:$AA$495&lt;=2)*('CONTROL MASTER'!$AC$2:$AC$495&gt;=2))*ROW('CONTROL MASTER'!$S$2:$S$495))-(ROW('CONTROL MASTER'!#REF!)-1)))+1)+(2-INDEX('CONTROL MASTER'!$AA$2:$AA$495,(SUMPRODUCT((('CONTROL MASTER'!$S$2:$S$495=8)*('CONTROL MASTER'!$Z$2:$Z$495&lt;=1)*('CONTROL MASTER'!$AB$2:$AB$495&gt;=1)*('CONTROL MASTER'!$AA$2:$AA$495&lt;=2)*('CONTROL MASTER'!$AC$2:$AC$495&gt;=2))*ROW('CONTROL MASTER'!$S$2:$S$495))-(ROW('CONTROL MASTER'!#REF!)-1))))+1)))-1)*50+1,50))&amp;"_"&amp;INDEX('CONTROL MASTER'!$P$2:$P$495,(SUMPRODUCT((('CONTROL MASTER'!$S$2:$S$495=8)*('CONTROL MASTER'!$Z$2:$Z$495&lt;=1)*('CONTROL MASTER'!$AB$2:$AB$495&gt;=1)*('CONTROL MASTER'!$AA$2:$AA$495&lt;=2)*('CONTROL MASTER'!$AC$2:$AC$495&gt;=2))*ROW('CONTROL MASTER'!$S$2:$S$495))-(ROW('CONTROL MASTER'!#REF!)-1))),"")),"")</f>
        <v/>
      </c>
      <c r="D101" s="10" t="str">
        <f>IFERROR(IF(SUMPRODUCT((('CONTROL MASTER'!$S$2:$S$495=8)*('CONTROL MASTER'!$T$2:$T$495&lt;=1)*('CONTROL MASTER'!$V$2:$V$495&gt;=1)*('CONTROL MASTER'!$U$2:$U$495&lt;=3)*('CONTROL MASTER'!$W$2:$W$495&gt;=3))*ROW('CONTROL MASTER'!$S$2:$S$495))&gt;0,INDEX('CONTROL MASTER'!$X$2:$X$495,(SUMPRODUCT((('CONTROL MASTER'!$S$2:$S$495=8)*('CONTROL MASTER'!$T$2:$T$495&lt;=1)*('CONTROL MASTER'!$V$2:$V$495&gt;=1)*('CONTROL MASTER'!$U$2:$U$495&lt;=3)*('CONTROL MASTER'!$W$2:$W$495&gt;=3))*ROW('CONTROL MASTER'!$S$2:$S$495))-(ROW('CONTROL MASTER'!#REF!)-1)))&amp;TRIM(MID(SUBSTITUTE(SUBSTITUTE(INDEX('CONTROL MASTER'!$N$2:$N$495,(SUMPRODUCT((('CONTROL MASTER'!$S$2:$S$495=8)*('CONTROL MASTER'!$T$2:$T$495&lt;=1)*('CONTROL MASTER'!$V$2:$V$495&gt;=1)*('CONTROL MASTER'!$U$2:$U$495&lt;=3)*('CONTROL MASTER'!$W$2:$W$495&gt;=3))*ROW('CONTROL MASTER'!$S$2:$S$495))-(ROW('CONTROL MASTER'!#REF!)-1))),":",","),",",REPT(" ",50)),((((1-INDEX('CONTROL MASTER'!$T$2:$T$495,(SUMPRODUCT((('CONTROL MASTER'!$S$2:$S$495=8)*('CONTROL MASTER'!$T$2:$T$495&lt;=1)*('CONTROL MASTER'!$V$2:$V$495&gt;=1)*('CONTROL MASTER'!$U$2:$U$495&lt;=3)*('CONTROL MASTER'!$W$2:$W$495&gt;=3))*ROW('CONTROL MASTER'!$S$2:$S$495))-(ROW('CONTROL MASTER'!#REF!)-1))))*(INDEX('CONTROL MASTER'!$W$2:$W$495,(SUMPRODUCT((('CONTROL MASTER'!$S$2:$S$495=8)*('CONTROL MASTER'!$T$2:$T$495&lt;=1)*('CONTROL MASTER'!$V$2:$V$495&gt;=1)*('CONTROL MASTER'!$U$2:$U$495&lt;=3)*('CONTROL MASTER'!$W$2:$W$495&gt;=3))*ROW('CONTROL MASTER'!$S$2:$S$495))-(ROW('CONTROL MASTER'!#REF!)-1)))-INDEX('CONTROL MASTER'!$U$2:$U$495,(SUMPRODUCT((('CONTROL MASTER'!$S$2:$S$495=8)*('CONTROL MASTER'!$T$2:$T$495&lt;=1)*('CONTROL MASTER'!$V$2:$V$495&gt;=1)*('CONTROL MASTER'!$U$2:$U$495&lt;=3)*('CONTROL MASTER'!$W$2:$W$495&gt;=3))*ROW('CONTROL MASTER'!$S$2:$S$495))-(ROW('CONTROL MASTER'!#REF!)-1)))+1)+(3-INDEX('CONTROL MASTER'!$U$2:$U$495,(SUMPRODUCT((('CONTROL MASTER'!$S$2:$S$495=8)*('CONTROL MASTER'!$T$2:$T$495&lt;=1)*('CONTROL MASTER'!$V$2:$V$495&gt;=1)*('CONTROL MASTER'!$U$2:$U$495&lt;=3)*('CONTROL MASTER'!$W$2:$W$495&gt;=3))*ROW('CONTROL MASTER'!$S$2:$S$495))-(ROW('CONTROL MASTER'!#REF!)-1))))+1))-1)*50+1,50))&amp;"_"&amp;INDEX('CONTROL MASTER'!$P$2:$P$495,(SUMPRODUCT((('CONTROL MASTER'!$S$2:$S$495=8)*('CONTROL MASTER'!$T$2:$T$495&lt;=1)*('CONTROL MASTER'!$V$2:$V$495&gt;=1)*('CONTROL MASTER'!$U$2:$U$495&lt;=3)*('CONTROL MASTER'!$W$2:$W$495&gt;=3))*ROW('CONTROL MASTER'!$S$2:$S$495))-(ROW('CONTROL MASTER'!#REF!)-1))),IF(SUMPRODUCT((('CONTROL MASTER'!$S$2:$S$495=8)*('CONTROL MASTER'!$Z$2:$Z$495&lt;=1)*('CONTROL MASTER'!$AB$2:$AB$495&gt;=1)*('CONTROL MASTER'!$AA$2:$AA$495&lt;=3)*('CONTROL MASTER'!$AC$2:$AC$495&gt;=3))*ROW('CONTROL MASTER'!$S$2:$S$495))&gt;0,INDEX('CONTROL MASTER'!$X$2:$X$495,(SUMPRODUCT((('CONTROL MASTER'!$S$2:$S$495=8)*('CONTROL MASTER'!$Z$2:$Z$495&lt;=1)*('CONTROL MASTER'!$AB$2:$AB$495&gt;=1)*('CONTROL MASTER'!$AA$2:$AA$495&lt;=3)*('CONTROL MASTER'!$AC$2:$AC$495&gt;=3))*ROW('CONTROL MASTER'!$S$2:$S$495))-(ROW('CONTROL MASTER'!#REF!)-1)))&amp;TRIM(MID(SUBSTITUTE(SUBSTITUTE(INDEX('CONTROL MASTER'!$N$2:$N$495,(SUMPRODUCT((('CONTROL MASTER'!$S$2:$S$495=8)*('CONTROL MASTER'!$Z$2:$Z$495&lt;=1)*('CONTROL MASTER'!$AB$2:$AB$495&gt;=1)*('CONTROL MASTER'!$AA$2:$AA$495&lt;=3)*('CONTROL MASTER'!$AC$2:$AC$495&gt;=3))*ROW('CONTROL MASTER'!$S$2:$S$495))-(ROW('CONTROL MASTER'!#REF!)-1))),":",","),",",REPT(" ",50)),(((INDEX('CONTROL MASTER'!$Y$2:$Y$495,(SUMPRODUCT((('CONTROL MASTER'!$S$2:$S$495=8)*('CONTROL MASTER'!$Z$2:$Z$495&lt;=1)*('CONTROL MASTER'!$AB$2:$AB$495&gt;=1)*('CONTROL MASTER'!$AA$2:$AA$495&lt;=3)*('CONTROL MASTER'!$AC$2:$AC$495&gt;=3))*ROW('CONTROL MASTER'!$S$2:$S$495))-(ROW('CONTROL MASTER'!#REF!)-1)))+((1-INDEX('CONTROL MASTER'!$Z$2:$Z$495,(SUMPRODUCT((('CONTROL MASTER'!$S$2:$S$495=8)*('CONTROL MASTER'!$Z$2:$Z$495&lt;=1)*('CONTROL MASTER'!$AB$2:$AB$495&gt;=1)*('CONTROL MASTER'!$AA$2:$AA$495&lt;=3)*('CONTROL MASTER'!$AC$2:$AC$495&gt;=3))*ROW('CONTROL MASTER'!$S$2:$S$495))-(ROW('CONTROL MASTER'!#REF!)-1))))*(INDEX('CONTROL MASTER'!$AC$2:$AC$495,(SUMPRODUCT((('CONTROL MASTER'!$S$2:$S$495=8)*('CONTROL MASTER'!$Z$2:$Z$495&lt;=1)*('CONTROL MASTER'!$AB$2:$AB$495&gt;=1)*('CONTROL MASTER'!$AA$2:$AA$495&lt;=3)*('CONTROL MASTER'!$AC$2:$AC$495&gt;=3))*ROW('CONTROL MASTER'!$S$2:$S$495))-(ROW('CONTROL MASTER'!#REF!)-1)))-INDEX('CONTROL MASTER'!$AA$2:$AA$495,(SUMPRODUCT((('CONTROL MASTER'!$S$2:$S$495=8)*('CONTROL MASTER'!$Z$2:$Z$495&lt;=1)*('CONTROL MASTER'!$AB$2:$AB$495&gt;=1)*('CONTROL MASTER'!$AA$2:$AA$495&lt;=3)*('CONTROL MASTER'!$AC$2:$AC$495&gt;=3))*ROW('CONTROL MASTER'!$S$2:$S$495))-(ROW('CONTROL MASTER'!#REF!)-1)))+1)+(3-INDEX('CONTROL MASTER'!$AA$2:$AA$495,(SUMPRODUCT((('CONTROL MASTER'!$S$2:$S$495=8)*('CONTROL MASTER'!$Z$2:$Z$495&lt;=1)*('CONTROL MASTER'!$AB$2:$AB$495&gt;=1)*('CONTROL MASTER'!$AA$2:$AA$495&lt;=3)*('CONTROL MASTER'!$AC$2:$AC$495&gt;=3))*ROW('CONTROL MASTER'!$S$2:$S$495))-(ROW('CONTROL MASTER'!#REF!)-1))))+1)))-1)*50+1,50))&amp;"_"&amp;INDEX('CONTROL MASTER'!$P$2:$P$495,(SUMPRODUCT((('CONTROL MASTER'!$S$2:$S$495=8)*('CONTROL MASTER'!$Z$2:$Z$495&lt;=1)*('CONTROL MASTER'!$AB$2:$AB$495&gt;=1)*('CONTROL MASTER'!$AA$2:$AA$495&lt;=3)*('CONTROL MASTER'!$AC$2:$AC$495&gt;=3))*ROW('CONTROL MASTER'!$S$2:$S$495))-(ROW('CONTROL MASTER'!#REF!)-1))),"")),"")</f>
        <v/>
      </c>
      <c r="E101" s="10" t="str">
        <f>IFERROR(IF(SUMPRODUCT((('CONTROL MASTER'!$S$2:$S$495=8)*('CONTROL MASTER'!$T$2:$T$495&lt;=1)*('CONTROL MASTER'!$V$2:$V$495&gt;=1)*('CONTROL MASTER'!$U$2:$U$495&lt;=4)*('CONTROL MASTER'!$W$2:$W$495&gt;=4))*ROW('CONTROL MASTER'!$S$2:$S$495))&gt;0,INDEX('CONTROL MASTER'!$X$2:$X$495,(SUMPRODUCT((('CONTROL MASTER'!$S$2:$S$495=8)*('CONTROL MASTER'!$T$2:$T$495&lt;=1)*('CONTROL MASTER'!$V$2:$V$495&gt;=1)*('CONTROL MASTER'!$U$2:$U$495&lt;=4)*('CONTROL MASTER'!$W$2:$W$495&gt;=4))*ROW('CONTROL MASTER'!$S$2:$S$495))-(ROW('CONTROL MASTER'!#REF!)-1)))&amp;TRIM(MID(SUBSTITUTE(SUBSTITUTE(INDEX('CONTROL MASTER'!$N$2:$N$495,(SUMPRODUCT((('CONTROL MASTER'!$S$2:$S$495=8)*('CONTROL MASTER'!$T$2:$T$495&lt;=1)*('CONTROL MASTER'!$V$2:$V$495&gt;=1)*('CONTROL MASTER'!$U$2:$U$495&lt;=4)*('CONTROL MASTER'!$W$2:$W$495&gt;=4))*ROW('CONTROL MASTER'!$S$2:$S$495))-(ROW('CONTROL MASTER'!#REF!)-1))),":",","),",",REPT(" ",50)),((((1-INDEX('CONTROL MASTER'!$T$2:$T$495,(SUMPRODUCT((('CONTROL MASTER'!$S$2:$S$495=8)*('CONTROL MASTER'!$T$2:$T$495&lt;=1)*('CONTROL MASTER'!$V$2:$V$495&gt;=1)*('CONTROL MASTER'!$U$2:$U$495&lt;=4)*('CONTROL MASTER'!$W$2:$W$495&gt;=4))*ROW('CONTROL MASTER'!$S$2:$S$495))-(ROW('CONTROL MASTER'!#REF!)-1))))*(INDEX('CONTROL MASTER'!$W$2:$W$495,(SUMPRODUCT((('CONTROL MASTER'!$S$2:$S$495=8)*('CONTROL MASTER'!$T$2:$T$495&lt;=1)*('CONTROL MASTER'!$V$2:$V$495&gt;=1)*('CONTROL MASTER'!$U$2:$U$495&lt;=4)*('CONTROL MASTER'!$W$2:$W$495&gt;=4))*ROW('CONTROL MASTER'!$S$2:$S$495))-(ROW('CONTROL MASTER'!#REF!)-1)))-INDEX('CONTROL MASTER'!$U$2:$U$495,(SUMPRODUCT((('CONTROL MASTER'!$S$2:$S$495=8)*('CONTROL MASTER'!$T$2:$T$495&lt;=1)*('CONTROL MASTER'!$V$2:$V$495&gt;=1)*('CONTROL MASTER'!$U$2:$U$495&lt;=4)*('CONTROL MASTER'!$W$2:$W$495&gt;=4))*ROW('CONTROL MASTER'!$S$2:$S$495))-(ROW('CONTROL MASTER'!#REF!)-1)))+1)+(4-INDEX('CONTROL MASTER'!$U$2:$U$495,(SUMPRODUCT((('CONTROL MASTER'!$S$2:$S$495=8)*('CONTROL MASTER'!$T$2:$T$495&lt;=1)*('CONTROL MASTER'!$V$2:$V$495&gt;=1)*('CONTROL MASTER'!$U$2:$U$495&lt;=4)*('CONTROL MASTER'!$W$2:$W$495&gt;=4))*ROW('CONTROL MASTER'!$S$2:$S$495))-(ROW('CONTROL MASTER'!#REF!)-1))))+1))-1)*50+1,50))&amp;"_"&amp;INDEX('CONTROL MASTER'!$P$2:$P$495,(SUMPRODUCT((('CONTROL MASTER'!$S$2:$S$495=8)*('CONTROL MASTER'!$T$2:$T$495&lt;=1)*('CONTROL MASTER'!$V$2:$V$495&gt;=1)*('CONTROL MASTER'!$U$2:$U$495&lt;=4)*('CONTROL MASTER'!$W$2:$W$495&gt;=4))*ROW('CONTROL MASTER'!$S$2:$S$495))-(ROW('CONTROL MASTER'!#REF!)-1))),IF(SUMPRODUCT((('CONTROL MASTER'!$S$2:$S$495=8)*('CONTROL MASTER'!$Z$2:$Z$495&lt;=1)*('CONTROL MASTER'!$AB$2:$AB$495&gt;=1)*('CONTROL MASTER'!$AA$2:$AA$495&lt;=4)*('CONTROL MASTER'!$AC$2:$AC$495&gt;=4))*ROW('CONTROL MASTER'!$S$2:$S$495))&gt;0,INDEX('CONTROL MASTER'!$X$2:$X$495,(SUMPRODUCT((('CONTROL MASTER'!$S$2:$S$495=8)*('CONTROL MASTER'!$Z$2:$Z$495&lt;=1)*('CONTROL MASTER'!$AB$2:$AB$495&gt;=1)*('CONTROL MASTER'!$AA$2:$AA$495&lt;=4)*('CONTROL MASTER'!$AC$2:$AC$495&gt;=4))*ROW('CONTROL MASTER'!$S$2:$S$495))-(ROW('CONTROL MASTER'!#REF!)-1)))&amp;TRIM(MID(SUBSTITUTE(SUBSTITUTE(INDEX('CONTROL MASTER'!$N$2:$N$495,(SUMPRODUCT((('CONTROL MASTER'!$S$2:$S$495=8)*('CONTROL MASTER'!$Z$2:$Z$495&lt;=1)*('CONTROL MASTER'!$AB$2:$AB$495&gt;=1)*('CONTROL MASTER'!$AA$2:$AA$495&lt;=4)*('CONTROL MASTER'!$AC$2:$AC$495&gt;=4))*ROW('CONTROL MASTER'!$S$2:$S$495))-(ROW('CONTROL MASTER'!#REF!)-1))),":",","),",",REPT(" ",50)),(((INDEX('CONTROL MASTER'!$Y$2:$Y$495,(SUMPRODUCT((('CONTROL MASTER'!$S$2:$S$495=8)*('CONTROL MASTER'!$Z$2:$Z$495&lt;=1)*('CONTROL MASTER'!$AB$2:$AB$495&gt;=1)*('CONTROL MASTER'!$AA$2:$AA$495&lt;=4)*('CONTROL MASTER'!$AC$2:$AC$495&gt;=4))*ROW('CONTROL MASTER'!$S$2:$S$495))-(ROW('CONTROL MASTER'!#REF!)-1)))+((1-INDEX('CONTROL MASTER'!$Z$2:$Z$495,(SUMPRODUCT((('CONTROL MASTER'!$S$2:$S$495=8)*('CONTROL MASTER'!$Z$2:$Z$495&lt;=1)*('CONTROL MASTER'!$AB$2:$AB$495&gt;=1)*('CONTROL MASTER'!$AA$2:$AA$495&lt;=4)*('CONTROL MASTER'!$AC$2:$AC$495&gt;=4))*ROW('CONTROL MASTER'!$S$2:$S$495))-(ROW('CONTROL MASTER'!#REF!)-1))))*(INDEX('CONTROL MASTER'!$AC$2:$AC$495,(SUMPRODUCT((('CONTROL MASTER'!$S$2:$S$495=8)*('CONTROL MASTER'!$Z$2:$Z$495&lt;=1)*('CONTROL MASTER'!$AB$2:$AB$495&gt;=1)*('CONTROL MASTER'!$AA$2:$AA$495&lt;=4)*('CONTROL MASTER'!$AC$2:$AC$495&gt;=4))*ROW('CONTROL MASTER'!$S$2:$S$495))-(ROW('CONTROL MASTER'!#REF!)-1)))-INDEX('CONTROL MASTER'!$AA$2:$AA$495,(SUMPRODUCT((('CONTROL MASTER'!$S$2:$S$495=8)*('CONTROL MASTER'!$Z$2:$Z$495&lt;=1)*('CONTROL MASTER'!$AB$2:$AB$495&gt;=1)*('CONTROL MASTER'!$AA$2:$AA$495&lt;=4)*('CONTROL MASTER'!$AC$2:$AC$495&gt;=4))*ROW('CONTROL MASTER'!$S$2:$S$495))-(ROW('CONTROL MASTER'!#REF!)-1)))+1)+(4-INDEX('CONTROL MASTER'!$AA$2:$AA$495,(SUMPRODUCT((('CONTROL MASTER'!$S$2:$S$495=8)*('CONTROL MASTER'!$Z$2:$Z$495&lt;=1)*('CONTROL MASTER'!$AB$2:$AB$495&gt;=1)*('CONTROL MASTER'!$AA$2:$AA$495&lt;=4)*('CONTROL MASTER'!$AC$2:$AC$495&gt;=4))*ROW('CONTROL MASTER'!$S$2:$S$495))-(ROW('CONTROL MASTER'!#REF!)-1))))+1)))-1)*50+1,50))&amp;"_"&amp;INDEX('CONTROL MASTER'!$P$2:$P$495,(SUMPRODUCT((('CONTROL MASTER'!$S$2:$S$495=8)*('CONTROL MASTER'!$Z$2:$Z$495&lt;=1)*('CONTROL MASTER'!$AB$2:$AB$495&gt;=1)*('CONTROL MASTER'!$AA$2:$AA$495&lt;=4)*('CONTROL MASTER'!$AC$2:$AC$495&gt;=4))*ROW('CONTROL MASTER'!$S$2:$S$495))-(ROW('CONTROL MASTER'!#REF!)-1))),"")),"")</f>
        <v/>
      </c>
      <c r="F101" s="10" t="str">
        <f>IFERROR(IF(SUMPRODUCT((('CONTROL MASTER'!$S$2:$S$495=8)*('CONTROL MASTER'!$T$2:$T$495&lt;=1)*('CONTROL MASTER'!$V$2:$V$495&gt;=1)*('CONTROL MASTER'!$U$2:$U$495&lt;=5)*('CONTROL MASTER'!$W$2:$W$495&gt;=5))*ROW('CONTROL MASTER'!$S$2:$S$495))&gt;0,INDEX('CONTROL MASTER'!$X$2:$X$495,(SUMPRODUCT((('CONTROL MASTER'!$S$2:$S$495=8)*('CONTROL MASTER'!$T$2:$T$495&lt;=1)*('CONTROL MASTER'!$V$2:$V$495&gt;=1)*('CONTROL MASTER'!$U$2:$U$495&lt;=5)*('CONTROL MASTER'!$W$2:$W$495&gt;=5))*ROW('CONTROL MASTER'!$S$2:$S$495))-(ROW('CONTROL MASTER'!#REF!)-1)))&amp;TRIM(MID(SUBSTITUTE(SUBSTITUTE(INDEX('CONTROL MASTER'!$N$2:$N$495,(SUMPRODUCT((('CONTROL MASTER'!$S$2:$S$495=8)*('CONTROL MASTER'!$T$2:$T$495&lt;=1)*('CONTROL MASTER'!$V$2:$V$495&gt;=1)*('CONTROL MASTER'!$U$2:$U$495&lt;=5)*('CONTROL MASTER'!$W$2:$W$495&gt;=5))*ROW('CONTROL MASTER'!$S$2:$S$495))-(ROW('CONTROL MASTER'!#REF!)-1))),":",","),",",REPT(" ",50)),((((1-INDEX('CONTROL MASTER'!$T$2:$T$495,(SUMPRODUCT((('CONTROL MASTER'!$S$2:$S$495=8)*('CONTROL MASTER'!$T$2:$T$495&lt;=1)*('CONTROL MASTER'!$V$2:$V$495&gt;=1)*('CONTROL MASTER'!$U$2:$U$495&lt;=5)*('CONTROL MASTER'!$W$2:$W$495&gt;=5))*ROW('CONTROL MASTER'!$S$2:$S$495))-(ROW('CONTROL MASTER'!#REF!)-1))))*(INDEX('CONTROL MASTER'!$W$2:$W$495,(SUMPRODUCT((('CONTROL MASTER'!$S$2:$S$495=8)*('CONTROL MASTER'!$T$2:$T$495&lt;=1)*('CONTROL MASTER'!$V$2:$V$495&gt;=1)*('CONTROL MASTER'!$U$2:$U$495&lt;=5)*('CONTROL MASTER'!$W$2:$W$495&gt;=5))*ROW('CONTROL MASTER'!$S$2:$S$495))-(ROW('CONTROL MASTER'!#REF!)-1)))-INDEX('CONTROL MASTER'!$U$2:$U$495,(SUMPRODUCT((('CONTROL MASTER'!$S$2:$S$495=8)*('CONTROL MASTER'!$T$2:$T$495&lt;=1)*('CONTROL MASTER'!$V$2:$V$495&gt;=1)*('CONTROL MASTER'!$U$2:$U$495&lt;=5)*('CONTROL MASTER'!$W$2:$W$495&gt;=5))*ROW('CONTROL MASTER'!$S$2:$S$495))-(ROW('CONTROL MASTER'!#REF!)-1)))+1)+(5-INDEX('CONTROL MASTER'!$U$2:$U$495,(SUMPRODUCT((('CONTROL MASTER'!$S$2:$S$495=8)*('CONTROL MASTER'!$T$2:$T$495&lt;=1)*('CONTROL MASTER'!$V$2:$V$495&gt;=1)*('CONTROL MASTER'!$U$2:$U$495&lt;=5)*('CONTROL MASTER'!$W$2:$W$495&gt;=5))*ROW('CONTROL MASTER'!$S$2:$S$495))-(ROW('CONTROL MASTER'!#REF!)-1))))+1))-1)*50+1,50))&amp;"_"&amp;INDEX('CONTROL MASTER'!$P$2:$P$495,(SUMPRODUCT((('CONTROL MASTER'!$S$2:$S$495=8)*('CONTROL MASTER'!$T$2:$T$495&lt;=1)*('CONTROL MASTER'!$V$2:$V$495&gt;=1)*('CONTROL MASTER'!$U$2:$U$495&lt;=5)*('CONTROL MASTER'!$W$2:$W$495&gt;=5))*ROW('CONTROL MASTER'!$S$2:$S$495))-(ROW('CONTROL MASTER'!#REF!)-1))),IF(SUMPRODUCT((('CONTROL MASTER'!$S$2:$S$495=8)*('CONTROL MASTER'!$Z$2:$Z$495&lt;=1)*('CONTROL MASTER'!$AB$2:$AB$495&gt;=1)*('CONTROL MASTER'!$AA$2:$AA$495&lt;=5)*('CONTROL MASTER'!$AC$2:$AC$495&gt;=5))*ROW('CONTROL MASTER'!$S$2:$S$495))&gt;0,INDEX('CONTROL MASTER'!$X$2:$X$495,(SUMPRODUCT((('CONTROL MASTER'!$S$2:$S$495=8)*('CONTROL MASTER'!$Z$2:$Z$495&lt;=1)*('CONTROL MASTER'!$AB$2:$AB$495&gt;=1)*('CONTROL MASTER'!$AA$2:$AA$495&lt;=5)*('CONTROL MASTER'!$AC$2:$AC$495&gt;=5))*ROW('CONTROL MASTER'!$S$2:$S$495))-(ROW('CONTROL MASTER'!#REF!)-1)))&amp;TRIM(MID(SUBSTITUTE(SUBSTITUTE(INDEX('CONTROL MASTER'!$N$2:$N$495,(SUMPRODUCT((('CONTROL MASTER'!$S$2:$S$495=8)*('CONTROL MASTER'!$Z$2:$Z$495&lt;=1)*('CONTROL MASTER'!$AB$2:$AB$495&gt;=1)*('CONTROL MASTER'!$AA$2:$AA$495&lt;=5)*('CONTROL MASTER'!$AC$2:$AC$495&gt;=5))*ROW('CONTROL MASTER'!$S$2:$S$495))-(ROW('CONTROL MASTER'!#REF!)-1))),":",","),",",REPT(" ",50)),(((INDEX('CONTROL MASTER'!$Y$2:$Y$495,(SUMPRODUCT((('CONTROL MASTER'!$S$2:$S$495=8)*('CONTROL MASTER'!$Z$2:$Z$495&lt;=1)*('CONTROL MASTER'!$AB$2:$AB$495&gt;=1)*('CONTROL MASTER'!$AA$2:$AA$495&lt;=5)*('CONTROL MASTER'!$AC$2:$AC$495&gt;=5))*ROW('CONTROL MASTER'!$S$2:$S$495))-(ROW('CONTROL MASTER'!#REF!)-1)))+((1-INDEX('CONTROL MASTER'!$Z$2:$Z$495,(SUMPRODUCT((('CONTROL MASTER'!$S$2:$S$495=8)*('CONTROL MASTER'!$Z$2:$Z$495&lt;=1)*('CONTROL MASTER'!$AB$2:$AB$495&gt;=1)*('CONTROL MASTER'!$AA$2:$AA$495&lt;=5)*('CONTROL MASTER'!$AC$2:$AC$495&gt;=5))*ROW('CONTROL MASTER'!$S$2:$S$495))-(ROW('CONTROL MASTER'!#REF!)-1))))*(INDEX('CONTROL MASTER'!$AC$2:$AC$495,(SUMPRODUCT((('CONTROL MASTER'!$S$2:$S$495=8)*('CONTROL MASTER'!$Z$2:$Z$495&lt;=1)*('CONTROL MASTER'!$AB$2:$AB$495&gt;=1)*('CONTROL MASTER'!$AA$2:$AA$495&lt;=5)*('CONTROL MASTER'!$AC$2:$AC$495&gt;=5))*ROW('CONTROL MASTER'!$S$2:$S$495))-(ROW('CONTROL MASTER'!#REF!)-1)))-INDEX('CONTROL MASTER'!$AA$2:$AA$495,(SUMPRODUCT((('CONTROL MASTER'!$S$2:$S$495=8)*('CONTROL MASTER'!$Z$2:$Z$495&lt;=1)*('CONTROL MASTER'!$AB$2:$AB$495&gt;=1)*('CONTROL MASTER'!$AA$2:$AA$495&lt;=5)*('CONTROL MASTER'!$AC$2:$AC$495&gt;=5))*ROW('CONTROL MASTER'!$S$2:$S$495))-(ROW('CONTROL MASTER'!#REF!)-1)))+1)+(5-INDEX('CONTROL MASTER'!$AA$2:$AA$495,(SUMPRODUCT((('CONTROL MASTER'!$S$2:$S$495=8)*('CONTROL MASTER'!$Z$2:$Z$495&lt;=1)*('CONTROL MASTER'!$AB$2:$AB$495&gt;=1)*('CONTROL MASTER'!$AA$2:$AA$495&lt;=5)*('CONTROL MASTER'!$AC$2:$AC$495&gt;=5))*ROW('CONTROL MASTER'!$S$2:$S$495))-(ROW('CONTROL MASTER'!#REF!)-1))))+1)))-1)*50+1,50))&amp;"_"&amp;INDEX('CONTROL MASTER'!$P$2:$P$495,(SUMPRODUCT((('CONTROL MASTER'!$S$2:$S$495=8)*('CONTROL MASTER'!$Z$2:$Z$495&lt;=1)*('CONTROL MASTER'!$AB$2:$AB$495&gt;=1)*('CONTROL MASTER'!$AA$2:$AA$495&lt;=5)*('CONTROL MASTER'!$AC$2:$AC$495&gt;=5))*ROW('CONTROL MASTER'!$S$2:$S$495))-(ROW('CONTROL MASTER'!#REF!)-1))),"")),"")</f>
        <v/>
      </c>
      <c r="G101" s="10" t="str">
        <f>IFERROR(IF(SUMPRODUCT((('CONTROL MASTER'!$S$2:$S$495=8)*('CONTROL MASTER'!$T$2:$T$495&lt;=1)*('CONTROL MASTER'!$V$2:$V$495&gt;=1)*('CONTROL MASTER'!$U$2:$U$495&lt;=6)*('CONTROL MASTER'!$W$2:$W$495&gt;=6))*ROW('CONTROL MASTER'!$S$2:$S$495))&gt;0,INDEX('CONTROL MASTER'!$X$2:$X$495,(SUMPRODUCT((('CONTROL MASTER'!$S$2:$S$495=8)*('CONTROL MASTER'!$T$2:$T$495&lt;=1)*('CONTROL MASTER'!$V$2:$V$495&gt;=1)*('CONTROL MASTER'!$U$2:$U$495&lt;=6)*('CONTROL MASTER'!$W$2:$W$495&gt;=6))*ROW('CONTROL MASTER'!$S$2:$S$495))-(ROW('CONTROL MASTER'!#REF!)-1)))&amp;TRIM(MID(SUBSTITUTE(SUBSTITUTE(INDEX('CONTROL MASTER'!$N$2:$N$495,(SUMPRODUCT((('CONTROL MASTER'!$S$2:$S$495=8)*('CONTROL MASTER'!$T$2:$T$495&lt;=1)*('CONTROL MASTER'!$V$2:$V$495&gt;=1)*('CONTROL MASTER'!$U$2:$U$495&lt;=6)*('CONTROL MASTER'!$W$2:$W$495&gt;=6))*ROW('CONTROL MASTER'!$S$2:$S$495))-(ROW('CONTROL MASTER'!#REF!)-1))),":",","),",",REPT(" ",50)),((((1-INDEX('CONTROL MASTER'!$T$2:$T$495,(SUMPRODUCT((('CONTROL MASTER'!$S$2:$S$495=8)*('CONTROL MASTER'!$T$2:$T$495&lt;=1)*('CONTROL MASTER'!$V$2:$V$495&gt;=1)*('CONTROL MASTER'!$U$2:$U$495&lt;=6)*('CONTROL MASTER'!$W$2:$W$495&gt;=6))*ROW('CONTROL MASTER'!$S$2:$S$495))-(ROW('CONTROL MASTER'!#REF!)-1))))*(INDEX('CONTROL MASTER'!$W$2:$W$495,(SUMPRODUCT((('CONTROL MASTER'!$S$2:$S$495=8)*('CONTROL MASTER'!$T$2:$T$495&lt;=1)*('CONTROL MASTER'!$V$2:$V$495&gt;=1)*('CONTROL MASTER'!$U$2:$U$495&lt;=6)*('CONTROL MASTER'!$W$2:$W$495&gt;=6))*ROW('CONTROL MASTER'!$S$2:$S$495))-(ROW('CONTROL MASTER'!#REF!)-1)))-INDEX('CONTROL MASTER'!$U$2:$U$495,(SUMPRODUCT((('CONTROL MASTER'!$S$2:$S$495=8)*('CONTROL MASTER'!$T$2:$T$495&lt;=1)*('CONTROL MASTER'!$V$2:$V$495&gt;=1)*('CONTROL MASTER'!$U$2:$U$495&lt;=6)*('CONTROL MASTER'!$W$2:$W$495&gt;=6))*ROW('CONTROL MASTER'!$S$2:$S$495))-(ROW('CONTROL MASTER'!#REF!)-1)))+1)+(6-INDEX('CONTROL MASTER'!$U$2:$U$495,(SUMPRODUCT((('CONTROL MASTER'!$S$2:$S$495=8)*('CONTROL MASTER'!$T$2:$T$495&lt;=1)*('CONTROL MASTER'!$V$2:$V$495&gt;=1)*('CONTROL MASTER'!$U$2:$U$495&lt;=6)*('CONTROL MASTER'!$W$2:$W$495&gt;=6))*ROW('CONTROL MASTER'!$S$2:$S$495))-(ROW('CONTROL MASTER'!#REF!)-1))))+1))-1)*50+1,50))&amp;"_"&amp;INDEX('CONTROL MASTER'!$P$2:$P$495,(SUMPRODUCT((('CONTROL MASTER'!$S$2:$S$495=8)*('CONTROL MASTER'!$T$2:$T$495&lt;=1)*('CONTROL MASTER'!$V$2:$V$495&gt;=1)*('CONTROL MASTER'!$U$2:$U$495&lt;=6)*('CONTROL MASTER'!$W$2:$W$495&gt;=6))*ROW('CONTROL MASTER'!$S$2:$S$495))-(ROW('CONTROL MASTER'!#REF!)-1))),IF(SUMPRODUCT((('CONTROL MASTER'!$S$2:$S$495=8)*('CONTROL MASTER'!$Z$2:$Z$495&lt;=1)*('CONTROL MASTER'!$AB$2:$AB$495&gt;=1)*('CONTROL MASTER'!$AA$2:$AA$495&lt;=6)*('CONTROL MASTER'!$AC$2:$AC$495&gt;=6))*ROW('CONTROL MASTER'!$S$2:$S$495))&gt;0,INDEX('CONTROL MASTER'!$X$2:$X$495,(SUMPRODUCT((('CONTROL MASTER'!$S$2:$S$495=8)*('CONTROL MASTER'!$Z$2:$Z$495&lt;=1)*('CONTROL MASTER'!$AB$2:$AB$495&gt;=1)*('CONTROL MASTER'!$AA$2:$AA$495&lt;=6)*('CONTROL MASTER'!$AC$2:$AC$495&gt;=6))*ROW('CONTROL MASTER'!$S$2:$S$495))-(ROW('CONTROL MASTER'!#REF!)-1)))&amp;TRIM(MID(SUBSTITUTE(SUBSTITUTE(INDEX('CONTROL MASTER'!$N$2:$N$495,(SUMPRODUCT((('CONTROL MASTER'!$S$2:$S$495=8)*('CONTROL MASTER'!$Z$2:$Z$495&lt;=1)*('CONTROL MASTER'!$AB$2:$AB$495&gt;=1)*('CONTROL MASTER'!$AA$2:$AA$495&lt;=6)*('CONTROL MASTER'!$AC$2:$AC$495&gt;=6))*ROW('CONTROL MASTER'!$S$2:$S$495))-(ROW('CONTROL MASTER'!#REF!)-1))),":",","),",",REPT(" ",50)),(((INDEX('CONTROL MASTER'!$Y$2:$Y$495,(SUMPRODUCT((('CONTROL MASTER'!$S$2:$S$495=8)*('CONTROL MASTER'!$Z$2:$Z$495&lt;=1)*('CONTROL MASTER'!$AB$2:$AB$495&gt;=1)*('CONTROL MASTER'!$AA$2:$AA$495&lt;=6)*('CONTROL MASTER'!$AC$2:$AC$495&gt;=6))*ROW('CONTROL MASTER'!$S$2:$S$495))-(ROW('CONTROL MASTER'!#REF!)-1)))+((1-INDEX('CONTROL MASTER'!$Z$2:$Z$495,(SUMPRODUCT((('CONTROL MASTER'!$S$2:$S$495=8)*('CONTROL MASTER'!$Z$2:$Z$495&lt;=1)*('CONTROL MASTER'!$AB$2:$AB$495&gt;=1)*('CONTROL MASTER'!$AA$2:$AA$495&lt;=6)*('CONTROL MASTER'!$AC$2:$AC$495&gt;=6))*ROW('CONTROL MASTER'!$S$2:$S$495))-(ROW('CONTROL MASTER'!#REF!)-1))))*(INDEX('CONTROL MASTER'!$AC$2:$AC$495,(SUMPRODUCT((('CONTROL MASTER'!$S$2:$S$495=8)*('CONTROL MASTER'!$Z$2:$Z$495&lt;=1)*('CONTROL MASTER'!$AB$2:$AB$495&gt;=1)*('CONTROL MASTER'!$AA$2:$AA$495&lt;=6)*('CONTROL MASTER'!$AC$2:$AC$495&gt;=6))*ROW('CONTROL MASTER'!$S$2:$S$495))-(ROW('CONTROL MASTER'!#REF!)-1)))-INDEX('CONTROL MASTER'!$AA$2:$AA$495,(SUMPRODUCT((('CONTROL MASTER'!$S$2:$S$495=8)*('CONTROL MASTER'!$Z$2:$Z$495&lt;=1)*('CONTROL MASTER'!$AB$2:$AB$495&gt;=1)*('CONTROL MASTER'!$AA$2:$AA$495&lt;=6)*('CONTROL MASTER'!$AC$2:$AC$495&gt;=6))*ROW('CONTROL MASTER'!$S$2:$S$495))-(ROW('CONTROL MASTER'!#REF!)-1)))+1)+(6-INDEX('CONTROL MASTER'!$AA$2:$AA$495,(SUMPRODUCT((('CONTROL MASTER'!$S$2:$S$495=8)*('CONTROL MASTER'!$Z$2:$Z$495&lt;=1)*('CONTROL MASTER'!$AB$2:$AB$495&gt;=1)*('CONTROL MASTER'!$AA$2:$AA$495&lt;=6)*('CONTROL MASTER'!$AC$2:$AC$495&gt;=6))*ROW('CONTROL MASTER'!$S$2:$S$495))-(ROW('CONTROL MASTER'!#REF!)-1))))+1)))-1)*50+1,50))&amp;"_"&amp;INDEX('CONTROL MASTER'!$P$2:$P$495,(SUMPRODUCT((('CONTROL MASTER'!$S$2:$S$495=8)*('CONTROL MASTER'!$Z$2:$Z$495&lt;=1)*('CONTROL MASTER'!$AB$2:$AB$495&gt;=1)*('CONTROL MASTER'!$AA$2:$AA$495&lt;=6)*('CONTROL MASTER'!$AC$2:$AC$495&gt;=6))*ROW('CONTROL MASTER'!$S$2:$S$495))-(ROW('CONTROL MASTER'!#REF!)-1))),"")),"")</f>
        <v/>
      </c>
      <c r="H101" s="10" t="str">
        <f>IFERROR(IF(SUMPRODUCT((('CONTROL MASTER'!$S$2:$S$495=8)*('CONTROL MASTER'!$T$2:$T$495&lt;=1)*('CONTROL MASTER'!$V$2:$V$495&gt;=1)*('CONTROL MASTER'!$U$2:$U$495&lt;=7)*('CONTROL MASTER'!$W$2:$W$495&gt;=7))*ROW('CONTROL MASTER'!$S$2:$S$495))&gt;0,INDEX('CONTROL MASTER'!$X$2:$X$495,(SUMPRODUCT((('CONTROL MASTER'!$S$2:$S$495=8)*('CONTROL MASTER'!$T$2:$T$495&lt;=1)*('CONTROL MASTER'!$V$2:$V$495&gt;=1)*('CONTROL MASTER'!$U$2:$U$495&lt;=7)*('CONTROL MASTER'!$W$2:$W$495&gt;=7))*ROW('CONTROL MASTER'!$S$2:$S$495))-(ROW('CONTROL MASTER'!#REF!)-1)))&amp;TRIM(MID(SUBSTITUTE(SUBSTITUTE(INDEX('CONTROL MASTER'!$N$2:$N$495,(SUMPRODUCT((('CONTROL MASTER'!$S$2:$S$495=8)*('CONTROL MASTER'!$T$2:$T$495&lt;=1)*('CONTROL MASTER'!$V$2:$V$495&gt;=1)*('CONTROL MASTER'!$U$2:$U$495&lt;=7)*('CONTROL MASTER'!$W$2:$W$495&gt;=7))*ROW('CONTROL MASTER'!$S$2:$S$495))-(ROW('CONTROL MASTER'!#REF!)-1))),":",","),",",REPT(" ",50)),((((1-INDEX('CONTROL MASTER'!$T$2:$T$495,(SUMPRODUCT((('CONTROL MASTER'!$S$2:$S$495=8)*('CONTROL MASTER'!$T$2:$T$495&lt;=1)*('CONTROL MASTER'!$V$2:$V$495&gt;=1)*('CONTROL MASTER'!$U$2:$U$495&lt;=7)*('CONTROL MASTER'!$W$2:$W$495&gt;=7))*ROW('CONTROL MASTER'!$S$2:$S$495))-(ROW('CONTROL MASTER'!#REF!)-1))))*(INDEX('CONTROL MASTER'!$W$2:$W$495,(SUMPRODUCT((('CONTROL MASTER'!$S$2:$S$495=8)*('CONTROL MASTER'!$T$2:$T$495&lt;=1)*('CONTROL MASTER'!$V$2:$V$495&gt;=1)*('CONTROL MASTER'!$U$2:$U$495&lt;=7)*('CONTROL MASTER'!$W$2:$W$495&gt;=7))*ROW('CONTROL MASTER'!$S$2:$S$495))-(ROW('CONTROL MASTER'!#REF!)-1)))-INDEX('CONTROL MASTER'!$U$2:$U$495,(SUMPRODUCT((('CONTROL MASTER'!$S$2:$S$495=8)*('CONTROL MASTER'!$T$2:$T$495&lt;=1)*('CONTROL MASTER'!$V$2:$V$495&gt;=1)*('CONTROL MASTER'!$U$2:$U$495&lt;=7)*('CONTROL MASTER'!$W$2:$W$495&gt;=7))*ROW('CONTROL MASTER'!$S$2:$S$495))-(ROW('CONTROL MASTER'!#REF!)-1)))+1)+(7-INDEX('CONTROL MASTER'!$U$2:$U$495,(SUMPRODUCT((('CONTROL MASTER'!$S$2:$S$495=8)*('CONTROL MASTER'!$T$2:$T$495&lt;=1)*('CONTROL MASTER'!$V$2:$V$495&gt;=1)*('CONTROL MASTER'!$U$2:$U$495&lt;=7)*('CONTROL MASTER'!$W$2:$W$495&gt;=7))*ROW('CONTROL MASTER'!$S$2:$S$495))-(ROW('CONTROL MASTER'!#REF!)-1))))+1))-1)*50+1,50))&amp;"_"&amp;INDEX('CONTROL MASTER'!$P$2:$P$495,(SUMPRODUCT((('CONTROL MASTER'!$S$2:$S$495=8)*('CONTROL MASTER'!$T$2:$T$495&lt;=1)*('CONTROL MASTER'!$V$2:$V$495&gt;=1)*('CONTROL MASTER'!$U$2:$U$495&lt;=7)*('CONTROL MASTER'!$W$2:$W$495&gt;=7))*ROW('CONTROL MASTER'!$S$2:$S$495))-(ROW('CONTROL MASTER'!#REF!)-1))),IF(SUMPRODUCT((('CONTROL MASTER'!$S$2:$S$495=8)*('CONTROL MASTER'!$Z$2:$Z$495&lt;=1)*('CONTROL MASTER'!$AB$2:$AB$495&gt;=1)*('CONTROL MASTER'!$AA$2:$AA$495&lt;=7)*('CONTROL MASTER'!$AC$2:$AC$495&gt;=7))*ROW('CONTROL MASTER'!$S$2:$S$495))&gt;0,INDEX('CONTROL MASTER'!$X$2:$X$495,(SUMPRODUCT((('CONTROL MASTER'!$S$2:$S$495=8)*('CONTROL MASTER'!$Z$2:$Z$495&lt;=1)*('CONTROL MASTER'!$AB$2:$AB$495&gt;=1)*('CONTROL MASTER'!$AA$2:$AA$495&lt;=7)*('CONTROL MASTER'!$AC$2:$AC$495&gt;=7))*ROW('CONTROL MASTER'!$S$2:$S$495))-(ROW('CONTROL MASTER'!#REF!)-1)))&amp;TRIM(MID(SUBSTITUTE(SUBSTITUTE(INDEX('CONTROL MASTER'!$N$2:$N$495,(SUMPRODUCT((('CONTROL MASTER'!$S$2:$S$495=8)*('CONTROL MASTER'!$Z$2:$Z$495&lt;=1)*('CONTROL MASTER'!$AB$2:$AB$495&gt;=1)*('CONTROL MASTER'!$AA$2:$AA$495&lt;=7)*('CONTROL MASTER'!$AC$2:$AC$495&gt;=7))*ROW('CONTROL MASTER'!$S$2:$S$495))-(ROW('CONTROL MASTER'!#REF!)-1))),":",","),",",REPT(" ",50)),(((INDEX('CONTROL MASTER'!$Y$2:$Y$495,(SUMPRODUCT((('CONTROL MASTER'!$S$2:$S$495=8)*('CONTROL MASTER'!$Z$2:$Z$495&lt;=1)*('CONTROL MASTER'!$AB$2:$AB$495&gt;=1)*('CONTROL MASTER'!$AA$2:$AA$495&lt;=7)*('CONTROL MASTER'!$AC$2:$AC$495&gt;=7))*ROW('CONTROL MASTER'!$S$2:$S$495))-(ROW('CONTROL MASTER'!#REF!)-1)))+((1-INDEX('CONTROL MASTER'!$Z$2:$Z$495,(SUMPRODUCT((('CONTROL MASTER'!$S$2:$S$495=8)*('CONTROL MASTER'!$Z$2:$Z$495&lt;=1)*('CONTROL MASTER'!$AB$2:$AB$495&gt;=1)*('CONTROL MASTER'!$AA$2:$AA$495&lt;=7)*('CONTROL MASTER'!$AC$2:$AC$495&gt;=7))*ROW('CONTROL MASTER'!$S$2:$S$495))-(ROW('CONTROL MASTER'!#REF!)-1))))*(INDEX('CONTROL MASTER'!$AC$2:$AC$495,(SUMPRODUCT((('CONTROL MASTER'!$S$2:$S$495=8)*('CONTROL MASTER'!$Z$2:$Z$495&lt;=1)*('CONTROL MASTER'!$AB$2:$AB$495&gt;=1)*('CONTROL MASTER'!$AA$2:$AA$495&lt;=7)*('CONTROL MASTER'!$AC$2:$AC$495&gt;=7))*ROW('CONTROL MASTER'!$S$2:$S$495))-(ROW('CONTROL MASTER'!#REF!)-1)))-INDEX('CONTROL MASTER'!$AA$2:$AA$495,(SUMPRODUCT((('CONTROL MASTER'!$S$2:$S$495=8)*('CONTROL MASTER'!$Z$2:$Z$495&lt;=1)*('CONTROL MASTER'!$AB$2:$AB$495&gt;=1)*('CONTROL MASTER'!$AA$2:$AA$495&lt;=7)*('CONTROL MASTER'!$AC$2:$AC$495&gt;=7))*ROW('CONTROL MASTER'!$S$2:$S$495))-(ROW('CONTROL MASTER'!#REF!)-1)))+1)+(7-INDEX('CONTROL MASTER'!$AA$2:$AA$495,(SUMPRODUCT((('CONTROL MASTER'!$S$2:$S$495=8)*('CONTROL MASTER'!$Z$2:$Z$495&lt;=1)*('CONTROL MASTER'!$AB$2:$AB$495&gt;=1)*('CONTROL MASTER'!$AA$2:$AA$495&lt;=7)*('CONTROL MASTER'!$AC$2:$AC$495&gt;=7))*ROW('CONTROL MASTER'!$S$2:$S$495))-(ROW('CONTROL MASTER'!#REF!)-1))))+1)))-1)*50+1,50))&amp;"_"&amp;INDEX('CONTROL MASTER'!$P$2:$P$495,(SUMPRODUCT((('CONTROL MASTER'!$S$2:$S$495=8)*('CONTROL MASTER'!$Z$2:$Z$495&lt;=1)*('CONTROL MASTER'!$AB$2:$AB$495&gt;=1)*('CONTROL MASTER'!$AA$2:$AA$495&lt;=7)*('CONTROL MASTER'!$AC$2:$AC$495&gt;=7))*ROW('CONTROL MASTER'!$S$2:$S$495))-(ROW('CONTROL MASTER'!#REF!)-1))),"")),"")</f>
        <v/>
      </c>
      <c r="I101" s="10" t="str">
        <f>IFERROR(IF(SUMPRODUCT((('CONTROL MASTER'!$S$2:$S$495=8)*('CONTROL MASTER'!$T$2:$T$495&lt;=1)*('CONTROL MASTER'!$V$2:$V$495&gt;=1)*('CONTROL MASTER'!$U$2:$U$495&lt;=8)*('CONTROL MASTER'!$W$2:$W$495&gt;=8))*ROW('CONTROL MASTER'!$S$2:$S$495))&gt;0,INDEX('CONTROL MASTER'!$X$2:$X$495,(SUMPRODUCT((('CONTROL MASTER'!$S$2:$S$495=8)*('CONTROL MASTER'!$T$2:$T$495&lt;=1)*('CONTROL MASTER'!$V$2:$V$495&gt;=1)*('CONTROL MASTER'!$U$2:$U$495&lt;=8)*('CONTROL MASTER'!$W$2:$W$495&gt;=8))*ROW('CONTROL MASTER'!$S$2:$S$495))-(ROW('CONTROL MASTER'!#REF!)-1)))&amp;TRIM(MID(SUBSTITUTE(SUBSTITUTE(INDEX('CONTROL MASTER'!$N$2:$N$495,(SUMPRODUCT((('CONTROL MASTER'!$S$2:$S$495=8)*('CONTROL MASTER'!$T$2:$T$495&lt;=1)*('CONTROL MASTER'!$V$2:$V$495&gt;=1)*('CONTROL MASTER'!$U$2:$U$495&lt;=8)*('CONTROL MASTER'!$W$2:$W$495&gt;=8))*ROW('CONTROL MASTER'!$S$2:$S$495))-(ROW('CONTROL MASTER'!#REF!)-1))),":",","),",",REPT(" ",50)),((((1-INDEX('CONTROL MASTER'!$T$2:$T$495,(SUMPRODUCT((('CONTROL MASTER'!$S$2:$S$495=8)*('CONTROL MASTER'!$T$2:$T$495&lt;=1)*('CONTROL MASTER'!$V$2:$V$495&gt;=1)*('CONTROL MASTER'!$U$2:$U$495&lt;=8)*('CONTROL MASTER'!$W$2:$W$495&gt;=8))*ROW('CONTROL MASTER'!$S$2:$S$495))-(ROW('CONTROL MASTER'!#REF!)-1))))*(INDEX('CONTROL MASTER'!$W$2:$W$495,(SUMPRODUCT((('CONTROL MASTER'!$S$2:$S$495=8)*('CONTROL MASTER'!$T$2:$T$495&lt;=1)*('CONTROL MASTER'!$V$2:$V$495&gt;=1)*('CONTROL MASTER'!$U$2:$U$495&lt;=8)*('CONTROL MASTER'!$W$2:$W$495&gt;=8))*ROW('CONTROL MASTER'!$S$2:$S$495))-(ROW('CONTROL MASTER'!#REF!)-1)))-INDEX('CONTROL MASTER'!$U$2:$U$495,(SUMPRODUCT((('CONTROL MASTER'!$S$2:$S$495=8)*('CONTROL MASTER'!$T$2:$T$495&lt;=1)*('CONTROL MASTER'!$V$2:$V$495&gt;=1)*('CONTROL MASTER'!$U$2:$U$495&lt;=8)*('CONTROL MASTER'!$W$2:$W$495&gt;=8))*ROW('CONTROL MASTER'!$S$2:$S$495))-(ROW('CONTROL MASTER'!#REF!)-1)))+1)+(8-INDEX('CONTROL MASTER'!$U$2:$U$495,(SUMPRODUCT((('CONTROL MASTER'!$S$2:$S$495=8)*('CONTROL MASTER'!$T$2:$T$495&lt;=1)*('CONTROL MASTER'!$V$2:$V$495&gt;=1)*('CONTROL MASTER'!$U$2:$U$495&lt;=8)*('CONTROL MASTER'!$W$2:$W$495&gt;=8))*ROW('CONTROL MASTER'!$S$2:$S$495))-(ROW('CONTROL MASTER'!#REF!)-1))))+1))-1)*50+1,50))&amp;"_"&amp;INDEX('CONTROL MASTER'!$P$2:$P$495,(SUMPRODUCT((('CONTROL MASTER'!$S$2:$S$495=8)*('CONTROL MASTER'!$T$2:$T$495&lt;=1)*('CONTROL MASTER'!$V$2:$V$495&gt;=1)*('CONTROL MASTER'!$U$2:$U$495&lt;=8)*('CONTROL MASTER'!$W$2:$W$495&gt;=8))*ROW('CONTROL MASTER'!$S$2:$S$495))-(ROW('CONTROL MASTER'!#REF!)-1))),IF(SUMPRODUCT((('CONTROL MASTER'!$S$2:$S$495=8)*('CONTROL MASTER'!$Z$2:$Z$495&lt;=1)*('CONTROL MASTER'!$AB$2:$AB$495&gt;=1)*('CONTROL MASTER'!$AA$2:$AA$495&lt;=8)*('CONTROL MASTER'!$AC$2:$AC$495&gt;=8))*ROW('CONTROL MASTER'!$S$2:$S$495))&gt;0,INDEX('CONTROL MASTER'!$X$2:$X$495,(SUMPRODUCT((('CONTROL MASTER'!$S$2:$S$495=8)*('CONTROL MASTER'!$Z$2:$Z$495&lt;=1)*('CONTROL MASTER'!$AB$2:$AB$495&gt;=1)*('CONTROL MASTER'!$AA$2:$AA$495&lt;=8)*('CONTROL MASTER'!$AC$2:$AC$495&gt;=8))*ROW('CONTROL MASTER'!$S$2:$S$495))-(ROW('CONTROL MASTER'!#REF!)-1)))&amp;TRIM(MID(SUBSTITUTE(SUBSTITUTE(INDEX('CONTROL MASTER'!$N$2:$N$495,(SUMPRODUCT((('CONTROL MASTER'!$S$2:$S$495=8)*('CONTROL MASTER'!$Z$2:$Z$495&lt;=1)*('CONTROL MASTER'!$AB$2:$AB$495&gt;=1)*('CONTROL MASTER'!$AA$2:$AA$495&lt;=8)*('CONTROL MASTER'!$AC$2:$AC$495&gt;=8))*ROW('CONTROL MASTER'!$S$2:$S$495))-(ROW('CONTROL MASTER'!#REF!)-1))),":",","),",",REPT(" ",50)),(((INDEX('CONTROL MASTER'!$Y$2:$Y$495,(SUMPRODUCT((('CONTROL MASTER'!$S$2:$S$495=8)*('CONTROL MASTER'!$Z$2:$Z$495&lt;=1)*('CONTROL MASTER'!$AB$2:$AB$495&gt;=1)*('CONTROL MASTER'!$AA$2:$AA$495&lt;=8)*('CONTROL MASTER'!$AC$2:$AC$495&gt;=8))*ROW('CONTROL MASTER'!$S$2:$S$495))-(ROW('CONTROL MASTER'!#REF!)-1)))+((1-INDEX('CONTROL MASTER'!$Z$2:$Z$495,(SUMPRODUCT((('CONTROL MASTER'!$S$2:$S$495=8)*('CONTROL MASTER'!$Z$2:$Z$495&lt;=1)*('CONTROL MASTER'!$AB$2:$AB$495&gt;=1)*('CONTROL MASTER'!$AA$2:$AA$495&lt;=8)*('CONTROL MASTER'!$AC$2:$AC$495&gt;=8))*ROW('CONTROL MASTER'!$S$2:$S$495))-(ROW('CONTROL MASTER'!#REF!)-1))))*(INDEX('CONTROL MASTER'!$AC$2:$AC$495,(SUMPRODUCT((('CONTROL MASTER'!$S$2:$S$495=8)*('CONTROL MASTER'!$Z$2:$Z$495&lt;=1)*('CONTROL MASTER'!$AB$2:$AB$495&gt;=1)*('CONTROL MASTER'!$AA$2:$AA$495&lt;=8)*('CONTROL MASTER'!$AC$2:$AC$495&gt;=8))*ROW('CONTROL MASTER'!$S$2:$S$495))-(ROW('CONTROL MASTER'!#REF!)-1)))-INDEX('CONTROL MASTER'!$AA$2:$AA$495,(SUMPRODUCT((('CONTROL MASTER'!$S$2:$S$495=8)*('CONTROL MASTER'!$Z$2:$Z$495&lt;=1)*('CONTROL MASTER'!$AB$2:$AB$495&gt;=1)*('CONTROL MASTER'!$AA$2:$AA$495&lt;=8)*('CONTROL MASTER'!$AC$2:$AC$495&gt;=8))*ROW('CONTROL MASTER'!$S$2:$S$495))-(ROW('CONTROL MASTER'!#REF!)-1)))+1)+(8-INDEX('CONTROL MASTER'!$AA$2:$AA$495,(SUMPRODUCT((('CONTROL MASTER'!$S$2:$S$495=8)*('CONTROL MASTER'!$Z$2:$Z$495&lt;=1)*('CONTROL MASTER'!$AB$2:$AB$495&gt;=1)*('CONTROL MASTER'!$AA$2:$AA$495&lt;=8)*('CONTROL MASTER'!$AC$2:$AC$495&gt;=8))*ROW('CONTROL MASTER'!$S$2:$S$495))-(ROW('CONTROL MASTER'!#REF!)-1))))+1)))-1)*50+1,50))&amp;"_"&amp;INDEX('CONTROL MASTER'!$P$2:$P$495,(SUMPRODUCT((('CONTROL MASTER'!$S$2:$S$495=8)*('CONTROL MASTER'!$Z$2:$Z$495&lt;=1)*('CONTROL MASTER'!$AB$2:$AB$495&gt;=1)*('CONTROL MASTER'!$AA$2:$AA$495&lt;=8)*('CONTROL MASTER'!$AC$2:$AC$495&gt;=8))*ROW('CONTROL MASTER'!$S$2:$S$495))-(ROW('CONTROL MASTER'!#REF!)-1))),"")),"")</f>
        <v/>
      </c>
      <c r="J101" s="10" t="str">
        <f>IFERROR(IF(SUMPRODUCT((('CONTROL MASTER'!$S$2:$S$495=8)*('CONTROL MASTER'!$T$2:$T$495&lt;=1)*('CONTROL MASTER'!$V$2:$V$495&gt;=1)*('CONTROL MASTER'!$U$2:$U$495&lt;=9)*('CONTROL MASTER'!$W$2:$W$495&gt;=9))*ROW('CONTROL MASTER'!$S$2:$S$495))&gt;0,INDEX('CONTROL MASTER'!$X$2:$X$495,(SUMPRODUCT((('CONTROL MASTER'!$S$2:$S$495=8)*('CONTROL MASTER'!$T$2:$T$495&lt;=1)*('CONTROL MASTER'!$V$2:$V$495&gt;=1)*('CONTROL MASTER'!$U$2:$U$495&lt;=9)*('CONTROL MASTER'!$W$2:$W$495&gt;=9))*ROW('CONTROL MASTER'!$S$2:$S$495))-(ROW('CONTROL MASTER'!#REF!)-1)))&amp;TRIM(MID(SUBSTITUTE(SUBSTITUTE(INDEX('CONTROL MASTER'!$N$2:$N$495,(SUMPRODUCT((('CONTROL MASTER'!$S$2:$S$495=8)*('CONTROL MASTER'!$T$2:$T$495&lt;=1)*('CONTROL MASTER'!$V$2:$V$495&gt;=1)*('CONTROL MASTER'!$U$2:$U$495&lt;=9)*('CONTROL MASTER'!$W$2:$W$495&gt;=9))*ROW('CONTROL MASTER'!$S$2:$S$495))-(ROW('CONTROL MASTER'!#REF!)-1))),":",","),",",REPT(" ",50)),((((1-INDEX('CONTROL MASTER'!$T$2:$T$495,(SUMPRODUCT((('CONTROL MASTER'!$S$2:$S$495=8)*('CONTROL MASTER'!$T$2:$T$495&lt;=1)*('CONTROL MASTER'!$V$2:$V$495&gt;=1)*('CONTROL MASTER'!$U$2:$U$495&lt;=9)*('CONTROL MASTER'!$W$2:$W$495&gt;=9))*ROW('CONTROL MASTER'!$S$2:$S$495))-(ROW('CONTROL MASTER'!#REF!)-1))))*(INDEX('CONTROL MASTER'!$W$2:$W$495,(SUMPRODUCT((('CONTROL MASTER'!$S$2:$S$495=8)*('CONTROL MASTER'!$T$2:$T$495&lt;=1)*('CONTROL MASTER'!$V$2:$V$495&gt;=1)*('CONTROL MASTER'!$U$2:$U$495&lt;=9)*('CONTROL MASTER'!$W$2:$W$495&gt;=9))*ROW('CONTROL MASTER'!$S$2:$S$495))-(ROW('CONTROL MASTER'!#REF!)-1)))-INDEX('CONTROL MASTER'!$U$2:$U$495,(SUMPRODUCT((('CONTROL MASTER'!$S$2:$S$495=8)*('CONTROL MASTER'!$T$2:$T$495&lt;=1)*('CONTROL MASTER'!$V$2:$V$495&gt;=1)*('CONTROL MASTER'!$U$2:$U$495&lt;=9)*('CONTROL MASTER'!$W$2:$W$495&gt;=9))*ROW('CONTROL MASTER'!$S$2:$S$495))-(ROW('CONTROL MASTER'!#REF!)-1)))+1)+(9-INDEX('CONTROL MASTER'!$U$2:$U$495,(SUMPRODUCT((('CONTROL MASTER'!$S$2:$S$495=8)*('CONTROL MASTER'!$T$2:$T$495&lt;=1)*('CONTROL MASTER'!$V$2:$V$495&gt;=1)*('CONTROL MASTER'!$U$2:$U$495&lt;=9)*('CONTROL MASTER'!$W$2:$W$495&gt;=9))*ROW('CONTROL MASTER'!$S$2:$S$495))-(ROW('CONTROL MASTER'!#REF!)-1))))+1))-1)*50+1,50))&amp;"_"&amp;INDEX('CONTROL MASTER'!$P$2:$P$495,(SUMPRODUCT((('CONTROL MASTER'!$S$2:$S$495=8)*('CONTROL MASTER'!$T$2:$T$495&lt;=1)*('CONTROL MASTER'!$V$2:$V$495&gt;=1)*('CONTROL MASTER'!$U$2:$U$495&lt;=9)*('CONTROL MASTER'!$W$2:$W$495&gt;=9))*ROW('CONTROL MASTER'!$S$2:$S$495))-(ROW('CONTROL MASTER'!#REF!)-1))),IF(SUMPRODUCT((('CONTROL MASTER'!$S$2:$S$495=8)*('CONTROL MASTER'!$Z$2:$Z$495&lt;=1)*('CONTROL MASTER'!$AB$2:$AB$495&gt;=1)*('CONTROL MASTER'!$AA$2:$AA$495&lt;=9)*('CONTROL MASTER'!$AC$2:$AC$495&gt;=9))*ROW('CONTROL MASTER'!$S$2:$S$495))&gt;0,INDEX('CONTROL MASTER'!$X$2:$X$495,(SUMPRODUCT((('CONTROL MASTER'!$S$2:$S$495=8)*('CONTROL MASTER'!$Z$2:$Z$495&lt;=1)*('CONTROL MASTER'!$AB$2:$AB$495&gt;=1)*('CONTROL MASTER'!$AA$2:$AA$495&lt;=9)*('CONTROL MASTER'!$AC$2:$AC$495&gt;=9))*ROW('CONTROL MASTER'!$S$2:$S$495))-(ROW('CONTROL MASTER'!#REF!)-1)))&amp;TRIM(MID(SUBSTITUTE(SUBSTITUTE(INDEX('CONTROL MASTER'!$N$2:$N$495,(SUMPRODUCT((('CONTROL MASTER'!$S$2:$S$495=8)*('CONTROL MASTER'!$Z$2:$Z$495&lt;=1)*('CONTROL MASTER'!$AB$2:$AB$495&gt;=1)*('CONTROL MASTER'!$AA$2:$AA$495&lt;=9)*('CONTROL MASTER'!$AC$2:$AC$495&gt;=9))*ROW('CONTROL MASTER'!$S$2:$S$495))-(ROW('CONTROL MASTER'!#REF!)-1))),":",","),",",REPT(" ",50)),(((INDEX('CONTROL MASTER'!$Y$2:$Y$495,(SUMPRODUCT((('CONTROL MASTER'!$S$2:$S$495=8)*('CONTROL MASTER'!$Z$2:$Z$495&lt;=1)*('CONTROL MASTER'!$AB$2:$AB$495&gt;=1)*('CONTROL MASTER'!$AA$2:$AA$495&lt;=9)*('CONTROL MASTER'!$AC$2:$AC$495&gt;=9))*ROW('CONTROL MASTER'!$S$2:$S$495))-(ROW('CONTROL MASTER'!#REF!)-1)))+((1-INDEX('CONTROL MASTER'!$Z$2:$Z$495,(SUMPRODUCT((('CONTROL MASTER'!$S$2:$S$495=8)*('CONTROL MASTER'!$Z$2:$Z$495&lt;=1)*('CONTROL MASTER'!$AB$2:$AB$495&gt;=1)*('CONTROL MASTER'!$AA$2:$AA$495&lt;=9)*('CONTROL MASTER'!$AC$2:$AC$495&gt;=9))*ROW('CONTROL MASTER'!$S$2:$S$495))-(ROW('CONTROL MASTER'!#REF!)-1))))*(INDEX('CONTROL MASTER'!$AC$2:$AC$495,(SUMPRODUCT((('CONTROL MASTER'!$S$2:$S$495=8)*('CONTROL MASTER'!$Z$2:$Z$495&lt;=1)*('CONTROL MASTER'!$AB$2:$AB$495&gt;=1)*('CONTROL MASTER'!$AA$2:$AA$495&lt;=9)*('CONTROL MASTER'!$AC$2:$AC$495&gt;=9))*ROW('CONTROL MASTER'!$S$2:$S$495))-(ROW('CONTROL MASTER'!#REF!)-1)))-INDEX('CONTROL MASTER'!$AA$2:$AA$495,(SUMPRODUCT((('CONTROL MASTER'!$S$2:$S$495=8)*('CONTROL MASTER'!$Z$2:$Z$495&lt;=1)*('CONTROL MASTER'!$AB$2:$AB$495&gt;=1)*('CONTROL MASTER'!$AA$2:$AA$495&lt;=9)*('CONTROL MASTER'!$AC$2:$AC$495&gt;=9))*ROW('CONTROL MASTER'!$S$2:$S$495))-(ROW('CONTROL MASTER'!#REF!)-1)))+1)+(9-INDEX('CONTROL MASTER'!$AA$2:$AA$495,(SUMPRODUCT((('CONTROL MASTER'!$S$2:$S$495=8)*('CONTROL MASTER'!$Z$2:$Z$495&lt;=1)*('CONTROL MASTER'!$AB$2:$AB$495&gt;=1)*('CONTROL MASTER'!$AA$2:$AA$495&lt;=9)*('CONTROL MASTER'!$AC$2:$AC$495&gt;=9))*ROW('CONTROL MASTER'!$S$2:$S$495))-(ROW('CONTROL MASTER'!#REF!)-1))))+1)))-1)*50+1,50))&amp;"_"&amp;INDEX('CONTROL MASTER'!$P$2:$P$495,(SUMPRODUCT((('CONTROL MASTER'!$S$2:$S$495=8)*('CONTROL MASTER'!$Z$2:$Z$495&lt;=1)*('CONTROL MASTER'!$AB$2:$AB$495&gt;=1)*('CONTROL MASTER'!$AA$2:$AA$495&lt;=9)*('CONTROL MASTER'!$AC$2:$AC$495&gt;=9))*ROW('CONTROL MASTER'!$S$2:$S$495))-(ROW('CONTROL MASTER'!#REF!)-1))),"")),"")</f>
        <v/>
      </c>
      <c r="K101" s="10" t="str">
        <f>IFERROR(IF(SUMPRODUCT((('CONTROL MASTER'!$S$2:$S$495=8)*('CONTROL MASTER'!$T$2:$T$495&lt;=1)*('CONTROL MASTER'!$V$2:$V$495&gt;=1)*('CONTROL MASTER'!$U$2:$U$495&lt;=10)*('CONTROL MASTER'!$W$2:$W$495&gt;=10))*ROW('CONTROL MASTER'!$S$2:$S$495))&gt;0,INDEX('CONTROL MASTER'!$X$2:$X$495,(SUMPRODUCT((('CONTROL MASTER'!$S$2:$S$495=8)*('CONTROL MASTER'!$T$2:$T$495&lt;=1)*('CONTROL MASTER'!$V$2:$V$495&gt;=1)*('CONTROL MASTER'!$U$2:$U$495&lt;=10)*('CONTROL MASTER'!$W$2:$W$495&gt;=10))*ROW('CONTROL MASTER'!$S$2:$S$495))-(ROW('CONTROL MASTER'!#REF!)-1)))&amp;TRIM(MID(SUBSTITUTE(SUBSTITUTE(INDEX('CONTROL MASTER'!$N$2:$N$495,(SUMPRODUCT((('CONTROL MASTER'!$S$2:$S$495=8)*('CONTROL MASTER'!$T$2:$T$495&lt;=1)*('CONTROL MASTER'!$V$2:$V$495&gt;=1)*('CONTROL MASTER'!$U$2:$U$495&lt;=10)*('CONTROL MASTER'!$W$2:$W$495&gt;=10))*ROW('CONTROL MASTER'!$S$2:$S$495))-(ROW('CONTROL MASTER'!#REF!)-1))),":",","),",",REPT(" ",50)),((((1-INDEX('CONTROL MASTER'!$T$2:$T$495,(SUMPRODUCT((('CONTROL MASTER'!$S$2:$S$495=8)*('CONTROL MASTER'!$T$2:$T$495&lt;=1)*('CONTROL MASTER'!$V$2:$V$495&gt;=1)*('CONTROL MASTER'!$U$2:$U$495&lt;=10)*('CONTROL MASTER'!$W$2:$W$495&gt;=10))*ROW('CONTROL MASTER'!$S$2:$S$495))-(ROW('CONTROL MASTER'!#REF!)-1))))*(INDEX('CONTROL MASTER'!$W$2:$W$495,(SUMPRODUCT((('CONTROL MASTER'!$S$2:$S$495=8)*('CONTROL MASTER'!$T$2:$T$495&lt;=1)*('CONTROL MASTER'!$V$2:$V$495&gt;=1)*('CONTROL MASTER'!$U$2:$U$495&lt;=10)*('CONTROL MASTER'!$W$2:$W$495&gt;=10))*ROW('CONTROL MASTER'!$S$2:$S$495))-(ROW('CONTROL MASTER'!#REF!)-1)))-INDEX('CONTROL MASTER'!$U$2:$U$495,(SUMPRODUCT((('CONTROL MASTER'!$S$2:$S$495=8)*('CONTROL MASTER'!$T$2:$T$495&lt;=1)*('CONTROL MASTER'!$V$2:$V$495&gt;=1)*('CONTROL MASTER'!$U$2:$U$495&lt;=10)*('CONTROL MASTER'!$W$2:$W$495&gt;=10))*ROW('CONTROL MASTER'!$S$2:$S$495))-(ROW('CONTROL MASTER'!#REF!)-1)))+1)+(10-INDEX('CONTROL MASTER'!$U$2:$U$495,(SUMPRODUCT((('CONTROL MASTER'!$S$2:$S$495=8)*('CONTROL MASTER'!$T$2:$T$495&lt;=1)*('CONTROL MASTER'!$V$2:$V$495&gt;=1)*('CONTROL MASTER'!$U$2:$U$495&lt;=10)*('CONTROL MASTER'!$W$2:$W$495&gt;=10))*ROW('CONTROL MASTER'!$S$2:$S$495))-(ROW('CONTROL MASTER'!#REF!)-1))))+1))-1)*50+1,50))&amp;"_"&amp;INDEX('CONTROL MASTER'!$P$2:$P$495,(SUMPRODUCT((('CONTROL MASTER'!$S$2:$S$495=8)*('CONTROL MASTER'!$T$2:$T$495&lt;=1)*('CONTROL MASTER'!$V$2:$V$495&gt;=1)*('CONTROL MASTER'!$U$2:$U$495&lt;=10)*('CONTROL MASTER'!$W$2:$W$495&gt;=10))*ROW('CONTROL MASTER'!$S$2:$S$495))-(ROW('CONTROL MASTER'!#REF!)-1))),IF(SUMPRODUCT((('CONTROL MASTER'!$S$2:$S$495=8)*('CONTROL MASTER'!$Z$2:$Z$495&lt;=1)*('CONTROL MASTER'!$AB$2:$AB$495&gt;=1)*('CONTROL MASTER'!$AA$2:$AA$495&lt;=10)*('CONTROL MASTER'!$AC$2:$AC$495&gt;=10))*ROW('CONTROL MASTER'!$S$2:$S$495))&gt;0,INDEX('CONTROL MASTER'!$X$2:$X$495,(SUMPRODUCT((('CONTROL MASTER'!$S$2:$S$495=8)*('CONTROL MASTER'!$Z$2:$Z$495&lt;=1)*('CONTROL MASTER'!$AB$2:$AB$495&gt;=1)*('CONTROL MASTER'!$AA$2:$AA$495&lt;=10)*('CONTROL MASTER'!$AC$2:$AC$495&gt;=10))*ROW('CONTROL MASTER'!$S$2:$S$495))-(ROW('CONTROL MASTER'!#REF!)-1)))&amp;TRIM(MID(SUBSTITUTE(SUBSTITUTE(INDEX('CONTROL MASTER'!$N$2:$N$495,(SUMPRODUCT((('CONTROL MASTER'!$S$2:$S$495=8)*('CONTROL MASTER'!$Z$2:$Z$495&lt;=1)*('CONTROL MASTER'!$AB$2:$AB$495&gt;=1)*('CONTROL MASTER'!$AA$2:$AA$495&lt;=10)*('CONTROL MASTER'!$AC$2:$AC$495&gt;=10))*ROW('CONTROL MASTER'!$S$2:$S$495))-(ROW('CONTROL MASTER'!#REF!)-1))),":",","),",",REPT(" ",50)),(((INDEX('CONTROL MASTER'!$Y$2:$Y$495,(SUMPRODUCT((('CONTROL MASTER'!$S$2:$S$495=8)*('CONTROL MASTER'!$Z$2:$Z$495&lt;=1)*('CONTROL MASTER'!$AB$2:$AB$495&gt;=1)*('CONTROL MASTER'!$AA$2:$AA$495&lt;=10)*('CONTROL MASTER'!$AC$2:$AC$495&gt;=10))*ROW('CONTROL MASTER'!$S$2:$S$495))-(ROW('CONTROL MASTER'!#REF!)-1)))+((1-INDEX('CONTROL MASTER'!$Z$2:$Z$495,(SUMPRODUCT((('CONTROL MASTER'!$S$2:$S$495=8)*('CONTROL MASTER'!$Z$2:$Z$495&lt;=1)*('CONTROL MASTER'!$AB$2:$AB$495&gt;=1)*('CONTROL MASTER'!$AA$2:$AA$495&lt;=10)*('CONTROL MASTER'!$AC$2:$AC$495&gt;=10))*ROW('CONTROL MASTER'!$S$2:$S$495))-(ROW('CONTROL MASTER'!#REF!)-1))))*(INDEX('CONTROL MASTER'!$AC$2:$AC$495,(SUMPRODUCT((('CONTROL MASTER'!$S$2:$S$495=8)*('CONTROL MASTER'!$Z$2:$Z$495&lt;=1)*('CONTROL MASTER'!$AB$2:$AB$495&gt;=1)*('CONTROL MASTER'!$AA$2:$AA$495&lt;=10)*('CONTROL MASTER'!$AC$2:$AC$495&gt;=10))*ROW('CONTROL MASTER'!$S$2:$S$495))-(ROW('CONTROL MASTER'!#REF!)-1)))-INDEX('CONTROL MASTER'!$AA$2:$AA$495,(SUMPRODUCT((('CONTROL MASTER'!$S$2:$S$495=8)*('CONTROL MASTER'!$Z$2:$Z$495&lt;=1)*('CONTROL MASTER'!$AB$2:$AB$495&gt;=1)*('CONTROL MASTER'!$AA$2:$AA$495&lt;=10)*('CONTROL MASTER'!$AC$2:$AC$495&gt;=10))*ROW('CONTROL MASTER'!$S$2:$S$495))-(ROW('CONTROL MASTER'!#REF!)-1)))+1)+(10-INDEX('CONTROL MASTER'!$AA$2:$AA$495,(SUMPRODUCT((('CONTROL MASTER'!$S$2:$S$495=8)*('CONTROL MASTER'!$Z$2:$Z$495&lt;=1)*('CONTROL MASTER'!$AB$2:$AB$495&gt;=1)*('CONTROL MASTER'!$AA$2:$AA$495&lt;=10)*('CONTROL MASTER'!$AC$2:$AC$495&gt;=10))*ROW('CONTROL MASTER'!$S$2:$S$495))-(ROW('CONTROL MASTER'!#REF!)-1))))+1)))-1)*50+1,50))&amp;"_"&amp;INDEX('CONTROL MASTER'!$P$2:$P$495,(SUMPRODUCT((('CONTROL MASTER'!$S$2:$S$495=8)*('CONTROL MASTER'!$Z$2:$Z$495&lt;=1)*('CONTROL MASTER'!$AB$2:$AB$495&gt;=1)*('CONTROL MASTER'!$AA$2:$AA$495&lt;=10)*('CONTROL MASTER'!$AC$2:$AC$495&gt;=10))*ROW('CONTROL MASTER'!$S$2:$S$495))-(ROW('CONTROL MASTER'!#REF!)-1))),"")),"")</f>
        <v/>
      </c>
    </row>
    <row r="102" spans="1:11" ht="15" customHeight="1" x14ac:dyDescent="0.35">
      <c r="A102" s="8" t="s">
        <v>29</v>
      </c>
      <c r="B102" s="10" t="str">
        <f>IFERROR(IF(SUMPRODUCT((('CONTROL MASTER'!$S$2:$S$495=8)*('CONTROL MASTER'!$T$2:$T$495&lt;=2)*('CONTROL MASTER'!$V$2:$V$495&gt;=2)*('CONTROL MASTER'!$U$2:$U$495&lt;=1)*('CONTROL MASTER'!$W$2:$W$495&gt;=1))*ROW('CONTROL MASTER'!$S$2:$S$495))&gt;0,INDEX('CONTROL MASTER'!$X$2:$X$495,(SUMPRODUCT((('CONTROL MASTER'!$S$2:$S$495=8)*('CONTROL MASTER'!$T$2:$T$495&lt;=2)*('CONTROL MASTER'!$V$2:$V$495&gt;=2)*('CONTROL MASTER'!$U$2:$U$495&lt;=1)*('CONTROL MASTER'!$W$2:$W$495&gt;=1))*ROW('CONTROL MASTER'!$S$2:$S$495))-(ROW('CONTROL MASTER'!#REF!)-1)))&amp;TRIM(MID(SUBSTITUTE(SUBSTITUTE(INDEX('CONTROL MASTER'!$N$2:$N$495,(SUMPRODUCT((('CONTROL MASTER'!$S$2:$S$495=8)*('CONTROL MASTER'!$T$2:$T$495&lt;=2)*('CONTROL MASTER'!$V$2:$V$495&gt;=2)*('CONTROL MASTER'!$U$2:$U$495&lt;=1)*('CONTROL MASTER'!$W$2:$W$495&gt;=1))*ROW('CONTROL MASTER'!$S$2:$S$495))-(ROW('CONTROL MASTER'!#REF!)-1))),":",","),",",REPT(" ",50)),((((2-INDEX('CONTROL MASTER'!$T$2:$T$495,(SUMPRODUCT((('CONTROL MASTER'!$S$2:$S$495=8)*('CONTROL MASTER'!$T$2:$T$495&lt;=2)*('CONTROL MASTER'!$V$2:$V$495&gt;=2)*('CONTROL MASTER'!$U$2:$U$495&lt;=1)*('CONTROL MASTER'!$W$2:$W$495&gt;=1))*ROW('CONTROL MASTER'!$S$2:$S$495))-(ROW('CONTROL MASTER'!#REF!)-1))))*(INDEX('CONTROL MASTER'!$W$2:$W$495,(SUMPRODUCT((('CONTROL MASTER'!$S$2:$S$495=8)*('CONTROL MASTER'!$T$2:$T$495&lt;=2)*('CONTROL MASTER'!$V$2:$V$495&gt;=2)*('CONTROL MASTER'!$U$2:$U$495&lt;=1)*('CONTROL MASTER'!$W$2:$W$495&gt;=1))*ROW('CONTROL MASTER'!$S$2:$S$495))-(ROW('CONTROL MASTER'!#REF!)-1)))-INDEX('CONTROL MASTER'!$U$2:$U$495,(SUMPRODUCT((('CONTROL MASTER'!$S$2:$S$495=8)*('CONTROL MASTER'!$T$2:$T$495&lt;=2)*('CONTROL MASTER'!$V$2:$V$495&gt;=2)*('CONTROL MASTER'!$U$2:$U$495&lt;=1)*('CONTROL MASTER'!$W$2:$W$495&gt;=1))*ROW('CONTROL MASTER'!$S$2:$S$495))-(ROW('CONTROL MASTER'!#REF!)-1)))+1)+(1-INDEX('CONTROL MASTER'!$U$2:$U$495,(SUMPRODUCT((('CONTROL MASTER'!$S$2:$S$495=8)*('CONTROL MASTER'!$T$2:$T$495&lt;=2)*('CONTROL MASTER'!$V$2:$V$495&gt;=2)*('CONTROL MASTER'!$U$2:$U$495&lt;=1)*('CONTROL MASTER'!$W$2:$W$495&gt;=1))*ROW('CONTROL MASTER'!$S$2:$S$495))-(ROW('CONTROL MASTER'!#REF!)-1))))+1))-1)*50+1,50))&amp;"_"&amp;INDEX('CONTROL MASTER'!$P$2:$P$495,(SUMPRODUCT((('CONTROL MASTER'!$S$2:$S$495=8)*('CONTROL MASTER'!$T$2:$T$495&lt;=2)*('CONTROL MASTER'!$V$2:$V$495&gt;=2)*('CONTROL MASTER'!$U$2:$U$495&lt;=1)*('CONTROL MASTER'!$W$2:$W$495&gt;=1))*ROW('CONTROL MASTER'!$S$2:$S$495))-(ROW('CONTROL MASTER'!#REF!)-1))),IF(SUMPRODUCT((('CONTROL MASTER'!$S$2:$S$495=8)*('CONTROL MASTER'!$Z$2:$Z$495&lt;=2)*('CONTROL MASTER'!$AB$2:$AB$495&gt;=2)*('CONTROL MASTER'!$AA$2:$AA$495&lt;=1)*('CONTROL MASTER'!$AC$2:$AC$495&gt;=1))*ROW('CONTROL MASTER'!$S$2:$S$495))&gt;0,INDEX('CONTROL MASTER'!$X$2:$X$495,(SUMPRODUCT((('CONTROL MASTER'!$S$2:$S$495=8)*('CONTROL MASTER'!$Z$2:$Z$495&lt;=2)*('CONTROL MASTER'!$AB$2:$AB$495&gt;=2)*('CONTROL MASTER'!$AA$2:$AA$495&lt;=1)*('CONTROL MASTER'!$AC$2:$AC$495&gt;=1))*ROW('CONTROL MASTER'!$S$2:$S$495))-(ROW('CONTROL MASTER'!#REF!)-1)))&amp;TRIM(MID(SUBSTITUTE(SUBSTITUTE(INDEX('CONTROL MASTER'!$N$2:$N$495,(SUMPRODUCT((('CONTROL MASTER'!$S$2:$S$495=8)*('CONTROL MASTER'!$Z$2:$Z$495&lt;=2)*('CONTROL MASTER'!$AB$2:$AB$495&gt;=2)*('CONTROL MASTER'!$AA$2:$AA$495&lt;=1)*('CONTROL MASTER'!$AC$2:$AC$495&gt;=1))*ROW('CONTROL MASTER'!$S$2:$S$495))-(ROW('CONTROL MASTER'!#REF!)-1))),":",","),",",REPT(" ",50)),(((INDEX('CONTROL MASTER'!$Y$2:$Y$495,(SUMPRODUCT((('CONTROL MASTER'!$S$2:$S$495=8)*('CONTROL MASTER'!$Z$2:$Z$495&lt;=2)*('CONTROL MASTER'!$AB$2:$AB$495&gt;=2)*('CONTROL MASTER'!$AA$2:$AA$495&lt;=1)*('CONTROL MASTER'!$AC$2:$AC$495&gt;=1))*ROW('CONTROL MASTER'!$S$2:$S$495))-(ROW('CONTROL MASTER'!#REF!)-1)))+((2-INDEX('CONTROL MASTER'!$Z$2:$Z$495,(SUMPRODUCT((('CONTROL MASTER'!$S$2:$S$495=8)*('CONTROL MASTER'!$Z$2:$Z$495&lt;=2)*('CONTROL MASTER'!$AB$2:$AB$495&gt;=2)*('CONTROL MASTER'!$AA$2:$AA$495&lt;=1)*('CONTROL MASTER'!$AC$2:$AC$495&gt;=1))*ROW('CONTROL MASTER'!$S$2:$S$495))-(ROW('CONTROL MASTER'!#REF!)-1))))*(INDEX('CONTROL MASTER'!$AC$2:$AC$495,(SUMPRODUCT((('CONTROL MASTER'!$S$2:$S$495=8)*('CONTROL MASTER'!$Z$2:$Z$495&lt;=2)*('CONTROL MASTER'!$AB$2:$AB$495&gt;=2)*('CONTROL MASTER'!$AA$2:$AA$495&lt;=1)*('CONTROL MASTER'!$AC$2:$AC$495&gt;=1))*ROW('CONTROL MASTER'!$S$2:$S$495))-(ROW('CONTROL MASTER'!#REF!)-1)))-INDEX('CONTROL MASTER'!$AA$2:$AA$495,(SUMPRODUCT((('CONTROL MASTER'!$S$2:$S$495=8)*('CONTROL MASTER'!$Z$2:$Z$495&lt;=2)*('CONTROL MASTER'!$AB$2:$AB$495&gt;=2)*('CONTROL MASTER'!$AA$2:$AA$495&lt;=1)*('CONTROL MASTER'!$AC$2:$AC$495&gt;=1))*ROW('CONTROL MASTER'!$S$2:$S$495))-(ROW('CONTROL MASTER'!#REF!)-1)))+1)+(1-INDEX('CONTROL MASTER'!$AA$2:$AA$495,(SUMPRODUCT((('CONTROL MASTER'!$S$2:$S$495=8)*('CONTROL MASTER'!$Z$2:$Z$495&lt;=2)*('CONTROL MASTER'!$AB$2:$AB$495&gt;=2)*('CONTROL MASTER'!$AA$2:$AA$495&lt;=1)*('CONTROL MASTER'!$AC$2:$AC$495&gt;=1))*ROW('CONTROL MASTER'!$S$2:$S$495))-(ROW('CONTROL MASTER'!#REF!)-1))))+1)))-1)*50+1,50))&amp;"_"&amp;INDEX('CONTROL MASTER'!$P$2:$P$495,(SUMPRODUCT((('CONTROL MASTER'!$S$2:$S$495=8)*('CONTROL MASTER'!$Z$2:$Z$495&lt;=2)*('CONTROL MASTER'!$AB$2:$AB$495&gt;=2)*('CONTROL MASTER'!$AA$2:$AA$495&lt;=1)*('CONTROL MASTER'!$AC$2:$AC$495&gt;=1))*ROW('CONTROL MASTER'!$S$2:$S$495))-(ROW('CONTROL MASTER'!#REF!)-1))),"")),"")</f>
        <v/>
      </c>
      <c r="C102" s="10" t="str">
        <f>IFERROR(IF(SUMPRODUCT((('CONTROL MASTER'!$S$2:$S$495=8)*('CONTROL MASTER'!$T$2:$T$495&lt;=2)*('CONTROL MASTER'!$V$2:$V$495&gt;=2)*('CONTROL MASTER'!$U$2:$U$495&lt;=2)*('CONTROL MASTER'!$W$2:$W$495&gt;=2))*ROW('CONTROL MASTER'!$S$2:$S$495))&gt;0,INDEX('CONTROL MASTER'!$X$2:$X$495,(SUMPRODUCT((('CONTROL MASTER'!$S$2:$S$495=8)*('CONTROL MASTER'!$T$2:$T$495&lt;=2)*('CONTROL MASTER'!$V$2:$V$495&gt;=2)*('CONTROL MASTER'!$U$2:$U$495&lt;=2)*('CONTROL MASTER'!$W$2:$W$495&gt;=2))*ROW('CONTROL MASTER'!$S$2:$S$495))-(ROW('CONTROL MASTER'!#REF!)-1)))&amp;TRIM(MID(SUBSTITUTE(SUBSTITUTE(INDEX('CONTROL MASTER'!$N$2:$N$495,(SUMPRODUCT((('CONTROL MASTER'!$S$2:$S$495=8)*('CONTROL MASTER'!$T$2:$T$495&lt;=2)*('CONTROL MASTER'!$V$2:$V$495&gt;=2)*('CONTROL MASTER'!$U$2:$U$495&lt;=2)*('CONTROL MASTER'!$W$2:$W$495&gt;=2))*ROW('CONTROL MASTER'!$S$2:$S$495))-(ROW('CONTROL MASTER'!#REF!)-1))),":",","),",",REPT(" ",50)),((((2-INDEX('CONTROL MASTER'!$T$2:$T$495,(SUMPRODUCT((('CONTROL MASTER'!$S$2:$S$495=8)*('CONTROL MASTER'!$T$2:$T$495&lt;=2)*('CONTROL MASTER'!$V$2:$V$495&gt;=2)*('CONTROL MASTER'!$U$2:$U$495&lt;=2)*('CONTROL MASTER'!$W$2:$W$495&gt;=2))*ROW('CONTROL MASTER'!$S$2:$S$495))-(ROW('CONTROL MASTER'!#REF!)-1))))*(INDEX('CONTROL MASTER'!$W$2:$W$495,(SUMPRODUCT((('CONTROL MASTER'!$S$2:$S$495=8)*('CONTROL MASTER'!$T$2:$T$495&lt;=2)*('CONTROL MASTER'!$V$2:$V$495&gt;=2)*('CONTROL MASTER'!$U$2:$U$495&lt;=2)*('CONTROL MASTER'!$W$2:$W$495&gt;=2))*ROW('CONTROL MASTER'!$S$2:$S$495))-(ROW('CONTROL MASTER'!#REF!)-1)))-INDEX('CONTROL MASTER'!$U$2:$U$495,(SUMPRODUCT((('CONTROL MASTER'!$S$2:$S$495=8)*('CONTROL MASTER'!$T$2:$T$495&lt;=2)*('CONTROL MASTER'!$V$2:$V$495&gt;=2)*('CONTROL MASTER'!$U$2:$U$495&lt;=2)*('CONTROL MASTER'!$W$2:$W$495&gt;=2))*ROW('CONTROL MASTER'!$S$2:$S$495))-(ROW('CONTROL MASTER'!#REF!)-1)))+1)+(2-INDEX('CONTROL MASTER'!$U$2:$U$495,(SUMPRODUCT((('CONTROL MASTER'!$S$2:$S$495=8)*('CONTROL MASTER'!$T$2:$T$495&lt;=2)*('CONTROL MASTER'!$V$2:$V$495&gt;=2)*('CONTROL MASTER'!$U$2:$U$495&lt;=2)*('CONTROL MASTER'!$W$2:$W$495&gt;=2))*ROW('CONTROL MASTER'!$S$2:$S$495))-(ROW('CONTROL MASTER'!#REF!)-1))))+1))-1)*50+1,50))&amp;"_"&amp;INDEX('CONTROL MASTER'!$P$2:$P$495,(SUMPRODUCT((('CONTROL MASTER'!$S$2:$S$495=8)*('CONTROL MASTER'!$T$2:$T$495&lt;=2)*('CONTROL MASTER'!$V$2:$V$495&gt;=2)*('CONTROL MASTER'!$U$2:$U$495&lt;=2)*('CONTROL MASTER'!$W$2:$W$495&gt;=2))*ROW('CONTROL MASTER'!$S$2:$S$495))-(ROW('CONTROL MASTER'!#REF!)-1))),IF(SUMPRODUCT((('CONTROL MASTER'!$S$2:$S$495=8)*('CONTROL MASTER'!$Z$2:$Z$495&lt;=2)*('CONTROL MASTER'!$AB$2:$AB$495&gt;=2)*('CONTROL MASTER'!$AA$2:$AA$495&lt;=2)*('CONTROL MASTER'!$AC$2:$AC$495&gt;=2))*ROW('CONTROL MASTER'!$S$2:$S$495))&gt;0,INDEX('CONTROL MASTER'!$X$2:$X$495,(SUMPRODUCT((('CONTROL MASTER'!$S$2:$S$495=8)*('CONTROL MASTER'!$Z$2:$Z$495&lt;=2)*('CONTROL MASTER'!$AB$2:$AB$495&gt;=2)*('CONTROL MASTER'!$AA$2:$AA$495&lt;=2)*('CONTROL MASTER'!$AC$2:$AC$495&gt;=2))*ROW('CONTROL MASTER'!$S$2:$S$495))-(ROW('CONTROL MASTER'!#REF!)-1)))&amp;TRIM(MID(SUBSTITUTE(SUBSTITUTE(INDEX('CONTROL MASTER'!$N$2:$N$495,(SUMPRODUCT((('CONTROL MASTER'!$S$2:$S$495=8)*('CONTROL MASTER'!$Z$2:$Z$495&lt;=2)*('CONTROL MASTER'!$AB$2:$AB$495&gt;=2)*('CONTROL MASTER'!$AA$2:$AA$495&lt;=2)*('CONTROL MASTER'!$AC$2:$AC$495&gt;=2))*ROW('CONTROL MASTER'!$S$2:$S$495))-(ROW('CONTROL MASTER'!#REF!)-1))),":",","),",",REPT(" ",50)),(((INDEX('CONTROL MASTER'!$Y$2:$Y$495,(SUMPRODUCT((('CONTROL MASTER'!$S$2:$S$495=8)*('CONTROL MASTER'!$Z$2:$Z$495&lt;=2)*('CONTROL MASTER'!$AB$2:$AB$495&gt;=2)*('CONTROL MASTER'!$AA$2:$AA$495&lt;=2)*('CONTROL MASTER'!$AC$2:$AC$495&gt;=2))*ROW('CONTROL MASTER'!$S$2:$S$495))-(ROW('CONTROL MASTER'!#REF!)-1)))+((2-INDEX('CONTROL MASTER'!$Z$2:$Z$495,(SUMPRODUCT((('CONTROL MASTER'!$S$2:$S$495=8)*('CONTROL MASTER'!$Z$2:$Z$495&lt;=2)*('CONTROL MASTER'!$AB$2:$AB$495&gt;=2)*('CONTROL MASTER'!$AA$2:$AA$495&lt;=2)*('CONTROL MASTER'!$AC$2:$AC$495&gt;=2))*ROW('CONTROL MASTER'!$S$2:$S$495))-(ROW('CONTROL MASTER'!#REF!)-1))))*(INDEX('CONTROL MASTER'!$AC$2:$AC$495,(SUMPRODUCT((('CONTROL MASTER'!$S$2:$S$495=8)*('CONTROL MASTER'!$Z$2:$Z$495&lt;=2)*('CONTROL MASTER'!$AB$2:$AB$495&gt;=2)*('CONTROL MASTER'!$AA$2:$AA$495&lt;=2)*('CONTROL MASTER'!$AC$2:$AC$495&gt;=2))*ROW('CONTROL MASTER'!$S$2:$S$495))-(ROW('CONTROL MASTER'!#REF!)-1)))-INDEX('CONTROL MASTER'!$AA$2:$AA$495,(SUMPRODUCT((('CONTROL MASTER'!$S$2:$S$495=8)*('CONTROL MASTER'!$Z$2:$Z$495&lt;=2)*('CONTROL MASTER'!$AB$2:$AB$495&gt;=2)*('CONTROL MASTER'!$AA$2:$AA$495&lt;=2)*('CONTROL MASTER'!$AC$2:$AC$495&gt;=2))*ROW('CONTROL MASTER'!$S$2:$S$495))-(ROW('CONTROL MASTER'!#REF!)-1)))+1)+(2-INDEX('CONTROL MASTER'!$AA$2:$AA$495,(SUMPRODUCT((('CONTROL MASTER'!$S$2:$S$495=8)*('CONTROL MASTER'!$Z$2:$Z$495&lt;=2)*('CONTROL MASTER'!$AB$2:$AB$495&gt;=2)*('CONTROL MASTER'!$AA$2:$AA$495&lt;=2)*('CONTROL MASTER'!$AC$2:$AC$495&gt;=2))*ROW('CONTROL MASTER'!$S$2:$S$495))-(ROW('CONTROL MASTER'!#REF!)-1))))+1)))-1)*50+1,50))&amp;"_"&amp;INDEX('CONTROL MASTER'!$P$2:$P$495,(SUMPRODUCT((('CONTROL MASTER'!$S$2:$S$495=8)*('CONTROL MASTER'!$Z$2:$Z$495&lt;=2)*('CONTROL MASTER'!$AB$2:$AB$495&gt;=2)*('CONTROL MASTER'!$AA$2:$AA$495&lt;=2)*('CONTROL MASTER'!$AC$2:$AC$495&gt;=2))*ROW('CONTROL MASTER'!$S$2:$S$495))-(ROW('CONTROL MASTER'!#REF!)-1))),"")),"")</f>
        <v/>
      </c>
      <c r="D102" s="10" t="str">
        <f>IFERROR(IF(SUMPRODUCT((('CONTROL MASTER'!$S$2:$S$495=8)*('CONTROL MASTER'!$T$2:$T$495&lt;=2)*('CONTROL MASTER'!$V$2:$V$495&gt;=2)*('CONTROL MASTER'!$U$2:$U$495&lt;=3)*('CONTROL MASTER'!$W$2:$W$495&gt;=3))*ROW('CONTROL MASTER'!$S$2:$S$495))&gt;0,INDEX('CONTROL MASTER'!$X$2:$X$495,(SUMPRODUCT((('CONTROL MASTER'!$S$2:$S$495=8)*('CONTROL MASTER'!$T$2:$T$495&lt;=2)*('CONTROL MASTER'!$V$2:$V$495&gt;=2)*('CONTROL MASTER'!$U$2:$U$495&lt;=3)*('CONTROL MASTER'!$W$2:$W$495&gt;=3))*ROW('CONTROL MASTER'!$S$2:$S$495))-(ROW('CONTROL MASTER'!#REF!)-1)))&amp;TRIM(MID(SUBSTITUTE(SUBSTITUTE(INDEX('CONTROL MASTER'!$N$2:$N$495,(SUMPRODUCT((('CONTROL MASTER'!$S$2:$S$495=8)*('CONTROL MASTER'!$T$2:$T$495&lt;=2)*('CONTROL MASTER'!$V$2:$V$495&gt;=2)*('CONTROL MASTER'!$U$2:$U$495&lt;=3)*('CONTROL MASTER'!$W$2:$W$495&gt;=3))*ROW('CONTROL MASTER'!$S$2:$S$495))-(ROW('CONTROL MASTER'!#REF!)-1))),":",","),",",REPT(" ",50)),((((2-INDEX('CONTROL MASTER'!$T$2:$T$495,(SUMPRODUCT((('CONTROL MASTER'!$S$2:$S$495=8)*('CONTROL MASTER'!$T$2:$T$495&lt;=2)*('CONTROL MASTER'!$V$2:$V$495&gt;=2)*('CONTROL MASTER'!$U$2:$U$495&lt;=3)*('CONTROL MASTER'!$W$2:$W$495&gt;=3))*ROW('CONTROL MASTER'!$S$2:$S$495))-(ROW('CONTROL MASTER'!#REF!)-1))))*(INDEX('CONTROL MASTER'!$W$2:$W$495,(SUMPRODUCT((('CONTROL MASTER'!$S$2:$S$495=8)*('CONTROL MASTER'!$T$2:$T$495&lt;=2)*('CONTROL MASTER'!$V$2:$V$495&gt;=2)*('CONTROL MASTER'!$U$2:$U$495&lt;=3)*('CONTROL MASTER'!$W$2:$W$495&gt;=3))*ROW('CONTROL MASTER'!$S$2:$S$495))-(ROW('CONTROL MASTER'!#REF!)-1)))-INDEX('CONTROL MASTER'!$U$2:$U$495,(SUMPRODUCT((('CONTROL MASTER'!$S$2:$S$495=8)*('CONTROL MASTER'!$T$2:$T$495&lt;=2)*('CONTROL MASTER'!$V$2:$V$495&gt;=2)*('CONTROL MASTER'!$U$2:$U$495&lt;=3)*('CONTROL MASTER'!$W$2:$W$495&gt;=3))*ROW('CONTROL MASTER'!$S$2:$S$495))-(ROW('CONTROL MASTER'!#REF!)-1)))+1)+(3-INDEX('CONTROL MASTER'!$U$2:$U$495,(SUMPRODUCT((('CONTROL MASTER'!$S$2:$S$495=8)*('CONTROL MASTER'!$T$2:$T$495&lt;=2)*('CONTROL MASTER'!$V$2:$V$495&gt;=2)*('CONTROL MASTER'!$U$2:$U$495&lt;=3)*('CONTROL MASTER'!$W$2:$W$495&gt;=3))*ROW('CONTROL MASTER'!$S$2:$S$495))-(ROW('CONTROL MASTER'!#REF!)-1))))+1))-1)*50+1,50))&amp;"_"&amp;INDEX('CONTROL MASTER'!$P$2:$P$495,(SUMPRODUCT((('CONTROL MASTER'!$S$2:$S$495=8)*('CONTROL MASTER'!$T$2:$T$495&lt;=2)*('CONTROL MASTER'!$V$2:$V$495&gt;=2)*('CONTROL MASTER'!$U$2:$U$495&lt;=3)*('CONTROL MASTER'!$W$2:$W$495&gt;=3))*ROW('CONTROL MASTER'!$S$2:$S$495))-(ROW('CONTROL MASTER'!#REF!)-1))),IF(SUMPRODUCT((('CONTROL MASTER'!$S$2:$S$495=8)*('CONTROL MASTER'!$Z$2:$Z$495&lt;=2)*('CONTROL MASTER'!$AB$2:$AB$495&gt;=2)*('CONTROL MASTER'!$AA$2:$AA$495&lt;=3)*('CONTROL MASTER'!$AC$2:$AC$495&gt;=3))*ROW('CONTROL MASTER'!$S$2:$S$495))&gt;0,INDEX('CONTROL MASTER'!$X$2:$X$495,(SUMPRODUCT((('CONTROL MASTER'!$S$2:$S$495=8)*('CONTROL MASTER'!$Z$2:$Z$495&lt;=2)*('CONTROL MASTER'!$AB$2:$AB$495&gt;=2)*('CONTROL MASTER'!$AA$2:$AA$495&lt;=3)*('CONTROL MASTER'!$AC$2:$AC$495&gt;=3))*ROW('CONTROL MASTER'!$S$2:$S$495))-(ROW('CONTROL MASTER'!#REF!)-1)))&amp;TRIM(MID(SUBSTITUTE(SUBSTITUTE(INDEX('CONTROL MASTER'!$N$2:$N$495,(SUMPRODUCT((('CONTROL MASTER'!$S$2:$S$495=8)*('CONTROL MASTER'!$Z$2:$Z$495&lt;=2)*('CONTROL MASTER'!$AB$2:$AB$495&gt;=2)*('CONTROL MASTER'!$AA$2:$AA$495&lt;=3)*('CONTROL MASTER'!$AC$2:$AC$495&gt;=3))*ROW('CONTROL MASTER'!$S$2:$S$495))-(ROW('CONTROL MASTER'!#REF!)-1))),":",","),",",REPT(" ",50)),(((INDEX('CONTROL MASTER'!$Y$2:$Y$495,(SUMPRODUCT((('CONTROL MASTER'!$S$2:$S$495=8)*('CONTROL MASTER'!$Z$2:$Z$495&lt;=2)*('CONTROL MASTER'!$AB$2:$AB$495&gt;=2)*('CONTROL MASTER'!$AA$2:$AA$495&lt;=3)*('CONTROL MASTER'!$AC$2:$AC$495&gt;=3))*ROW('CONTROL MASTER'!$S$2:$S$495))-(ROW('CONTROL MASTER'!#REF!)-1)))+((2-INDEX('CONTROL MASTER'!$Z$2:$Z$495,(SUMPRODUCT((('CONTROL MASTER'!$S$2:$S$495=8)*('CONTROL MASTER'!$Z$2:$Z$495&lt;=2)*('CONTROL MASTER'!$AB$2:$AB$495&gt;=2)*('CONTROL MASTER'!$AA$2:$AA$495&lt;=3)*('CONTROL MASTER'!$AC$2:$AC$495&gt;=3))*ROW('CONTROL MASTER'!$S$2:$S$495))-(ROW('CONTROL MASTER'!#REF!)-1))))*(INDEX('CONTROL MASTER'!$AC$2:$AC$495,(SUMPRODUCT((('CONTROL MASTER'!$S$2:$S$495=8)*('CONTROL MASTER'!$Z$2:$Z$495&lt;=2)*('CONTROL MASTER'!$AB$2:$AB$495&gt;=2)*('CONTROL MASTER'!$AA$2:$AA$495&lt;=3)*('CONTROL MASTER'!$AC$2:$AC$495&gt;=3))*ROW('CONTROL MASTER'!$S$2:$S$495))-(ROW('CONTROL MASTER'!#REF!)-1)))-INDEX('CONTROL MASTER'!$AA$2:$AA$495,(SUMPRODUCT((('CONTROL MASTER'!$S$2:$S$495=8)*('CONTROL MASTER'!$Z$2:$Z$495&lt;=2)*('CONTROL MASTER'!$AB$2:$AB$495&gt;=2)*('CONTROL MASTER'!$AA$2:$AA$495&lt;=3)*('CONTROL MASTER'!$AC$2:$AC$495&gt;=3))*ROW('CONTROL MASTER'!$S$2:$S$495))-(ROW('CONTROL MASTER'!#REF!)-1)))+1)+(3-INDEX('CONTROL MASTER'!$AA$2:$AA$495,(SUMPRODUCT((('CONTROL MASTER'!$S$2:$S$495=8)*('CONTROL MASTER'!$Z$2:$Z$495&lt;=2)*('CONTROL MASTER'!$AB$2:$AB$495&gt;=2)*('CONTROL MASTER'!$AA$2:$AA$495&lt;=3)*('CONTROL MASTER'!$AC$2:$AC$495&gt;=3))*ROW('CONTROL MASTER'!$S$2:$S$495))-(ROW('CONTROL MASTER'!#REF!)-1))))+1)))-1)*50+1,50))&amp;"_"&amp;INDEX('CONTROL MASTER'!$P$2:$P$495,(SUMPRODUCT((('CONTROL MASTER'!$S$2:$S$495=8)*('CONTROL MASTER'!$Z$2:$Z$495&lt;=2)*('CONTROL MASTER'!$AB$2:$AB$495&gt;=2)*('CONTROL MASTER'!$AA$2:$AA$495&lt;=3)*('CONTROL MASTER'!$AC$2:$AC$495&gt;=3))*ROW('CONTROL MASTER'!$S$2:$S$495))-(ROW('CONTROL MASTER'!#REF!)-1))),"")),"")</f>
        <v/>
      </c>
      <c r="E102" s="10" t="str">
        <f>IFERROR(IF(SUMPRODUCT((('CONTROL MASTER'!$S$2:$S$495=8)*('CONTROL MASTER'!$T$2:$T$495&lt;=2)*('CONTROL MASTER'!$V$2:$V$495&gt;=2)*('CONTROL MASTER'!$U$2:$U$495&lt;=4)*('CONTROL MASTER'!$W$2:$W$495&gt;=4))*ROW('CONTROL MASTER'!$S$2:$S$495))&gt;0,INDEX('CONTROL MASTER'!$X$2:$X$495,(SUMPRODUCT((('CONTROL MASTER'!$S$2:$S$495=8)*('CONTROL MASTER'!$T$2:$T$495&lt;=2)*('CONTROL MASTER'!$V$2:$V$495&gt;=2)*('CONTROL MASTER'!$U$2:$U$495&lt;=4)*('CONTROL MASTER'!$W$2:$W$495&gt;=4))*ROW('CONTROL MASTER'!$S$2:$S$495))-(ROW('CONTROL MASTER'!#REF!)-1)))&amp;TRIM(MID(SUBSTITUTE(SUBSTITUTE(INDEX('CONTROL MASTER'!$N$2:$N$495,(SUMPRODUCT((('CONTROL MASTER'!$S$2:$S$495=8)*('CONTROL MASTER'!$T$2:$T$495&lt;=2)*('CONTROL MASTER'!$V$2:$V$495&gt;=2)*('CONTROL MASTER'!$U$2:$U$495&lt;=4)*('CONTROL MASTER'!$W$2:$W$495&gt;=4))*ROW('CONTROL MASTER'!$S$2:$S$495))-(ROW('CONTROL MASTER'!#REF!)-1))),":",","),",",REPT(" ",50)),((((2-INDEX('CONTROL MASTER'!$T$2:$T$495,(SUMPRODUCT((('CONTROL MASTER'!$S$2:$S$495=8)*('CONTROL MASTER'!$T$2:$T$495&lt;=2)*('CONTROL MASTER'!$V$2:$V$495&gt;=2)*('CONTROL MASTER'!$U$2:$U$495&lt;=4)*('CONTROL MASTER'!$W$2:$W$495&gt;=4))*ROW('CONTROL MASTER'!$S$2:$S$495))-(ROW('CONTROL MASTER'!#REF!)-1))))*(INDEX('CONTROL MASTER'!$W$2:$W$495,(SUMPRODUCT((('CONTROL MASTER'!$S$2:$S$495=8)*('CONTROL MASTER'!$T$2:$T$495&lt;=2)*('CONTROL MASTER'!$V$2:$V$495&gt;=2)*('CONTROL MASTER'!$U$2:$U$495&lt;=4)*('CONTROL MASTER'!$W$2:$W$495&gt;=4))*ROW('CONTROL MASTER'!$S$2:$S$495))-(ROW('CONTROL MASTER'!#REF!)-1)))-INDEX('CONTROL MASTER'!$U$2:$U$495,(SUMPRODUCT((('CONTROL MASTER'!$S$2:$S$495=8)*('CONTROL MASTER'!$T$2:$T$495&lt;=2)*('CONTROL MASTER'!$V$2:$V$495&gt;=2)*('CONTROL MASTER'!$U$2:$U$495&lt;=4)*('CONTROL MASTER'!$W$2:$W$495&gt;=4))*ROW('CONTROL MASTER'!$S$2:$S$495))-(ROW('CONTROL MASTER'!#REF!)-1)))+1)+(4-INDEX('CONTROL MASTER'!$U$2:$U$495,(SUMPRODUCT((('CONTROL MASTER'!$S$2:$S$495=8)*('CONTROL MASTER'!$T$2:$T$495&lt;=2)*('CONTROL MASTER'!$V$2:$V$495&gt;=2)*('CONTROL MASTER'!$U$2:$U$495&lt;=4)*('CONTROL MASTER'!$W$2:$W$495&gt;=4))*ROW('CONTROL MASTER'!$S$2:$S$495))-(ROW('CONTROL MASTER'!#REF!)-1))))+1))-1)*50+1,50))&amp;"_"&amp;INDEX('CONTROL MASTER'!$P$2:$P$495,(SUMPRODUCT((('CONTROL MASTER'!$S$2:$S$495=8)*('CONTROL MASTER'!$T$2:$T$495&lt;=2)*('CONTROL MASTER'!$V$2:$V$495&gt;=2)*('CONTROL MASTER'!$U$2:$U$495&lt;=4)*('CONTROL MASTER'!$W$2:$W$495&gt;=4))*ROW('CONTROL MASTER'!$S$2:$S$495))-(ROW('CONTROL MASTER'!#REF!)-1))),IF(SUMPRODUCT((('CONTROL MASTER'!$S$2:$S$495=8)*('CONTROL MASTER'!$Z$2:$Z$495&lt;=2)*('CONTROL MASTER'!$AB$2:$AB$495&gt;=2)*('CONTROL MASTER'!$AA$2:$AA$495&lt;=4)*('CONTROL MASTER'!$AC$2:$AC$495&gt;=4))*ROW('CONTROL MASTER'!$S$2:$S$495))&gt;0,INDEX('CONTROL MASTER'!$X$2:$X$495,(SUMPRODUCT((('CONTROL MASTER'!$S$2:$S$495=8)*('CONTROL MASTER'!$Z$2:$Z$495&lt;=2)*('CONTROL MASTER'!$AB$2:$AB$495&gt;=2)*('CONTROL MASTER'!$AA$2:$AA$495&lt;=4)*('CONTROL MASTER'!$AC$2:$AC$495&gt;=4))*ROW('CONTROL MASTER'!$S$2:$S$495))-(ROW('CONTROL MASTER'!#REF!)-1)))&amp;TRIM(MID(SUBSTITUTE(SUBSTITUTE(INDEX('CONTROL MASTER'!$N$2:$N$495,(SUMPRODUCT((('CONTROL MASTER'!$S$2:$S$495=8)*('CONTROL MASTER'!$Z$2:$Z$495&lt;=2)*('CONTROL MASTER'!$AB$2:$AB$495&gt;=2)*('CONTROL MASTER'!$AA$2:$AA$495&lt;=4)*('CONTROL MASTER'!$AC$2:$AC$495&gt;=4))*ROW('CONTROL MASTER'!$S$2:$S$495))-(ROW('CONTROL MASTER'!#REF!)-1))),":",","),",",REPT(" ",50)),(((INDEX('CONTROL MASTER'!$Y$2:$Y$495,(SUMPRODUCT((('CONTROL MASTER'!$S$2:$S$495=8)*('CONTROL MASTER'!$Z$2:$Z$495&lt;=2)*('CONTROL MASTER'!$AB$2:$AB$495&gt;=2)*('CONTROL MASTER'!$AA$2:$AA$495&lt;=4)*('CONTROL MASTER'!$AC$2:$AC$495&gt;=4))*ROW('CONTROL MASTER'!$S$2:$S$495))-(ROW('CONTROL MASTER'!#REF!)-1)))+((2-INDEX('CONTROL MASTER'!$Z$2:$Z$495,(SUMPRODUCT((('CONTROL MASTER'!$S$2:$S$495=8)*('CONTROL MASTER'!$Z$2:$Z$495&lt;=2)*('CONTROL MASTER'!$AB$2:$AB$495&gt;=2)*('CONTROL MASTER'!$AA$2:$AA$495&lt;=4)*('CONTROL MASTER'!$AC$2:$AC$495&gt;=4))*ROW('CONTROL MASTER'!$S$2:$S$495))-(ROW('CONTROL MASTER'!#REF!)-1))))*(INDEX('CONTROL MASTER'!$AC$2:$AC$495,(SUMPRODUCT((('CONTROL MASTER'!$S$2:$S$495=8)*('CONTROL MASTER'!$Z$2:$Z$495&lt;=2)*('CONTROL MASTER'!$AB$2:$AB$495&gt;=2)*('CONTROL MASTER'!$AA$2:$AA$495&lt;=4)*('CONTROL MASTER'!$AC$2:$AC$495&gt;=4))*ROW('CONTROL MASTER'!$S$2:$S$495))-(ROW('CONTROL MASTER'!#REF!)-1)))-INDEX('CONTROL MASTER'!$AA$2:$AA$495,(SUMPRODUCT((('CONTROL MASTER'!$S$2:$S$495=8)*('CONTROL MASTER'!$Z$2:$Z$495&lt;=2)*('CONTROL MASTER'!$AB$2:$AB$495&gt;=2)*('CONTROL MASTER'!$AA$2:$AA$495&lt;=4)*('CONTROL MASTER'!$AC$2:$AC$495&gt;=4))*ROW('CONTROL MASTER'!$S$2:$S$495))-(ROW('CONTROL MASTER'!#REF!)-1)))+1)+(4-INDEX('CONTROL MASTER'!$AA$2:$AA$495,(SUMPRODUCT((('CONTROL MASTER'!$S$2:$S$495=8)*('CONTROL MASTER'!$Z$2:$Z$495&lt;=2)*('CONTROL MASTER'!$AB$2:$AB$495&gt;=2)*('CONTROL MASTER'!$AA$2:$AA$495&lt;=4)*('CONTROL MASTER'!$AC$2:$AC$495&gt;=4))*ROW('CONTROL MASTER'!$S$2:$S$495))-(ROW('CONTROL MASTER'!#REF!)-1))))+1)))-1)*50+1,50))&amp;"_"&amp;INDEX('CONTROL MASTER'!$P$2:$P$495,(SUMPRODUCT((('CONTROL MASTER'!$S$2:$S$495=8)*('CONTROL MASTER'!$Z$2:$Z$495&lt;=2)*('CONTROL MASTER'!$AB$2:$AB$495&gt;=2)*('CONTROL MASTER'!$AA$2:$AA$495&lt;=4)*('CONTROL MASTER'!$AC$2:$AC$495&gt;=4))*ROW('CONTROL MASTER'!$S$2:$S$495))-(ROW('CONTROL MASTER'!#REF!)-1))),"")),"")</f>
        <v/>
      </c>
      <c r="F102" s="10" t="str">
        <f>IFERROR(IF(SUMPRODUCT((('CONTROL MASTER'!$S$2:$S$495=8)*('CONTROL MASTER'!$T$2:$T$495&lt;=2)*('CONTROL MASTER'!$V$2:$V$495&gt;=2)*('CONTROL MASTER'!$U$2:$U$495&lt;=5)*('CONTROL MASTER'!$W$2:$W$495&gt;=5))*ROW('CONTROL MASTER'!$S$2:$S$495))&gt;0,INDEX('CONTROL MASTER'!$X$2:$X$495,(SUMPRODUCT((('CONTROL MASTER'!$S$2:$S$495=8)*('CONTROL MASTER'!$T$2:$T$495&lt;=2)*('CONTROL MASTER'!$V$2:$V$495&gt;=2)*('CONTROL MASTER'!$U$2:$U$495&lt;=5)*('CONTROL MASTER'!$W$2:$W$495&gt;=5))*ROW('CONTROL MASTER'!$S$2:$S$495))-(ROW('CONTROL MASTER'!#REF!)-1)))&amp;TRIM(MID(SUBSTITUTE(SUBSTITUTE(INDEX('CONTROL MASTER'!$N$2:$N$495,(SUMPRODUCT((('CONTROL MASTER'!$S$2:$S$495=8)*('CONTROL MASTER'!$T$2:$T$495&lt;=2)*('CONTROL MASTER'!$V$2:$V$495&gt;=2)*('CONTROL MASTER'!$U$2:$U$495&lt;=5)*('CONTROL MASTER'!$W$2:$W$495&gt;=5))*ROW('CONTROL MASTER'!$S$2:$S$495))-(ROW('CONTROL MASTER'!#REF!)-1))),":",","),",",REPT(" ",50)),((((2-INDEX('CONTROL MASTER'!$T$2:$T$495,(SUMPRODUCT((('CONTROL MASTER'!$S$2:$S$495=8)*('CONTROL MASTER'!$T$2:$T$495&lt;=2)*('CONTROL MASTER'!$V$2:$V$495&gt;=2)*('CONTROL MASTER'!$U$2:$U$495&lt;=5)*('CONTROL MASTER'!$W$2:$W$495&gt;=5))*ROW('CONTROL MASTER'!$S$2:$S$495))-(ROW('CONTROL MASTER'!#REF!)-1))))*(INDEX('CONTROL MASTER'!$W$2:$W$495,(SUMPRODUCT((('CONTROL MASTER'!$S$2:$S$495=8)*('CONTROL MASTER'!$T$2:$T$495&lt;=2)*('CONTROL MASTER'!$V$2:$V$495&gt;=2)*('CONTROL MASTER'!$U$2:$U$495&lt;=5)*('CONTROL MASTER'!$W$2:$W$495&gt;=5))*ROW('CONTROL MASTER'!$S$2:$S$495))-(ROW('CONTROL MASTER'!#REF!)-1)))-INDEX('CONTROL MASTER'!$U$2:$U$495,(SUMPRODUCT((('CONTROL MASTER'!$S$2:$S$495=8)*('CONTROL MASTER'!$T$2:$T$495&lt;=2)*('CONTROL MASTER'!$V$2:$V$495&gt;=2)*('CONTROL MASTER'!$U$2:$U$495&lt;=5)*('CONTROL MASTER'!$W$2:$W$495&gt;=5))*ROW('CONTROL MASTER'!$S$2:$S$495))-(ROW('CONTROL MASTER'!#REF!)-1)))+1)+(5-INDEX('CONTROL MASTER'!$U$2:$U$495,(SUMPRODUCT((('CONTROL MASTER'!$S$2:$S$495=8)*('CONTROL MASTER'!$T$2:$T$495&lt;=2)*('CONTROL MASTER'!$V$2:$V$495&gt;=2)*('CONTROL MASTER'!$U$2:$U$495&lt;=5)*('CONTROL MASTER'!$W$2:$W$495&gt;=5))*ROW('CONTROL MASTER'!$S$2:$S$495))-(ROW('CONTROL MASTER'!#REF!)-1))))+1))-1)*50+1,50))&amp;"_"&amp;INDEX('CONTROL MASTER'!$P$2:$P$495,(SUMPRODUCT((('CONTROL MASTER'!$S$2:$S$495=8)*('CONTROL MASTER'!$T$2:$T$495&lt;=2)*('CONTROL MASTER'!$V$2:$V$495&gt;=2)*('CONTROL MASTER'!$U$2:$U$495&lt;=5)*('CONTROL MASTER'!$W$2:$W$495&gt;=5))*ROW('CONTROL MASTER'!$S$2:$S$495))-(ROW('CONTROL MASTER'!#REF!)-1))),IF(SUMPRODUCT((('CONTROL MASTER'!$S$2:$S$495=8)*('CONTROL MASTER'!$Z$2:$Z$495&lt;=2)*('CONTROL MASTER'!$AB$2:$AB$495&gt;=2)*('CONTROL MASTER'!$AA$2:$AA$495&lt;=5)*('CONTROL MASTER'!$AC$2:$AC$495&gt;=5))*ROW('CONTROL MASTER'!$S$2:$S$495))&gt;0,INDEX('CONTROL MASTER'!$X$2:$X$495,(SUMPRODUCT((('CONTROL MASTER'!$S$2:$S$495=8)*('CONTROL MASTER'!$Z$2:$Z$495&lt;=2)*('CONTROL MASTER'!$AB$2:$AB$495&gt;=2)*('CONTROL MASTER'!$AA$2:$AA$495&lt;=5)*('CONTROL MASTER'!$AC$2:$AC$495&gt;=5))*ROW('CONTROL MASTER'!$S$2:$S$495))-(ROW('CONTROL MASTER'!#REF!)-1)))&amp;TRIM(MID(SUBSTITUTE(SUBSTITUTE(INDEX('CONTROL MASTER'!$N$2:$N$495,(SUMPRODUCT((('CONTROL MASTER'!$S$2:$S$495=8)*('CONTROL MASTER'!$Z$2:$Z$495&lt;=2)*('CONTROL MASTER'!$AB$2:$AB$495&gt;=2)*('CONTROL MASTER'!$AA$2:$AA$495&lt;=5)*('CONTROL MASTER'!$AC$2:$AC$495&gt;=5))*ROW('CONTROL MASTER'!$S$2:$S$495))-(ROW('CONTROL MASTER'!#REF!)-1))),":",","),",",REPT(" ",50)),(((INDEX('CONTROL MASTER'!$Y$2:$Y$495,(SUMPRODUCT((('CONTROL MASTER'!$S$2:$S$495=8)*('CONTROL MASTER'!$Z$2:$Z$495&lt;=2)*('CONTROL MASTER'!$AB$2:$AB$495&gt;=2)*('CONTROL MASTER'!$AA$2:$AA$495&lt;=5)*('CONTROL MASTER'!$AC$2:$AC$495&gt;=5))*ROW('CONTROL MASTER'!$S$2:$S$495))-(ROW('CONTROL MASTER'!#REF!)-1)))+((2-INDEX('CONTROL MASTER'!$Z$2:$Z$495,(SUMPRODUCT((('CONTROL MASTER'!$S$2:$S$495=8)*('CONTROL MASTER'!$Z$2:$Z$495&lt;=2)*('CONTROL MASTER'!$AB$2:$AB$495&gt;=2)*('CONTROL MASTER'!$AA$2:$AA$495&lt;=5)*('CONTROL MASTER'!$AC$2:$AC$495&gt;=5))*ROW('CONTROL MASTER'!$S$2:$S$495))-(ROW('CONTROL MASTER'!#REF!)-1))))*(INDEX('CONTROL MASTER'!$AC$2:$AC$495,(SUMPRODUCT((('CONTROL MASTER'!$S$2:$S$495=8)*('CONTROL MASTER'!$Z$2:$Z$495&lt;=2)*('CONTROL MASTER'!$AB$2:$AB$495&gt;=2)*('CONTROL MASTER'!$AA$2:$AA$495&lt;=5)*('CONTROL MASTER'!$AC$2:$AC$495&gt;=5))*ROW('CONTROL MASTER'!$S$2:$S$495))-(ROW('CONTROL MASTER'!#REF!)-1)))-INDEX('CONTROL MASTER'!$AA$2:$AA$495,(SUMPRODUCT((('CONTROL MASTER'!$S$2:$S$495=8)*('CONTROL MASTER'!$Z$2:$Z$495&lt;=2)*('CONTROL MASTER'!$AB$2:$AB$495&gt;=2)*('CONTROL MASTER'!$AA$2:$AA$495&lt;=5)*('CONTROL MASTER'!$AC$2:$AC$495&gt;=5))*ROW('CONTROL MASTER'!$S$2:$S$495))-(ROW('CONTROL MASTER'!#REF!)-1)))+1)+(5-INDEX('CONTROL MASTER'!$AA$2:$AA$495,(SUMPRODUCT((('CONTROL MASTER'!$S$2:$S$495=8)*('CONTROL MASTER'!$Z$2:$Z$495&lt;=2)*('CONTROL MASTER'!$AB$2:$AB$495&gt;=2)*('CONTROL MASTER'!$AA$2:$AA$495&lt;=5)*('CONTROL MASTER'!$AC$2:$AC$495&gt;=5))*ROW('CONTROL MASTER'!$S$2:$S$495))-(ROW('CONTROL MASTER'!#REF!)-1))))+1)))-1)*50+1,50))&amp;"_"&amp;INDEX('CONTROL MASTER'!$P$2:$P$495,(SUMPRODUCT((('CONTROL MASTER'!$S$2:$S$495=8)*('CONTROL MASTER'!$Z$2:$Z$495&lt;=2)*('CONTROL MASTER'!$AB$2:$AB$495&gt;=2)*('CONTROL MASTER'!$AA$2:$AA$495&lt;=5)*('CONTROL MASTER'!$AC$2:$AC$495&gt;=5))*ROW('CONTROL MASTER'!$S$2:$S$495))-(ROW('CONTROL MASTER'!#REF!)-1))),"")),"")</f>
        <v/>
      </c>
      <c r="G102" s="10" t="str">
        <f>IFERROR(IF(SUMPRODUCT((('CONTROL MASTER'!$S$2:$S$495=8)*('CONTROL MASTER'!$T$2:$T$495&lt;=2)*('CONTROL MASTER'!$V$2:$V$495&gt;=2)*('CONTROL MASTER'!$U$2:$U$495&lt;=6)*('CONTROL MASTER'!$W$2:$W$495&gt;=6))*ROW('CONTROL MASTER'!$S$2:$S$495))&gt;0,INDEX('CONTROL MASTER'!$X$2:$X$495,(SUMPRODUCT((('CONTROL MASTER'!$S$2:$S$495=8)*('CONTROL MASTER'!$T$2:$T$495&lt;=2)*('CONTROL MASTER'!$V$2:$V$495&gt;=2)*('CONTROL MASTER'!$U$2:$U$495&lt;=6)*('CONTROL MASTER'!$W$2:$W$495&gt;=6))*ROW('CONTROL MASTER'!$S$2:$S$495))-(ROW('CONTROL MASTER'!#REF!)-1)))&amp;TRIM(MID(SUBSTITUTE(SUBSTITUTE(INDEX('CONTROL MASTER'!$N$2:$N$495,(SUMPRODUCT((('CONTROL MASTER'!$S$2:$S$495=8)*('CONTROL MASTER'!$T$2:$T$495&lt;=2)*('CONTROL MASTER'!$V$2:$V$495&gt;=2)*('CONTROL MASTER'!$U$2:$U$495&lt;=6)*('CONTROL MASTER'!$W$2:$W$495&gt;=6))*ROW('CONTROL MASTER'!$S$2:$S$495))-(ROW('CONTROL MASTER'!#REF!)-1))),":",","),",",REPT(" ",50)),((((2-INDEX('CONTROL MASTER'!$T$2:$T$495,(SUMPRODUCT((('CONTROL MASTER'!$S$2:$S$495=8)*('CONTROL MASTER'!$T$2:$T$495&lt;=2)*('CONTROL MASTER'!$V$2:$V$495&gt;=2)*('CONTROL MASTER'!$U$2:$U$495&lt;=6)*('CONTROL MASTER'!$W$2:$W$495&gt;=6))*ROW('CONTROL MASTER'!$S$2:$S$495))-(ROW('CONTROL MASTER'!#REF!)-1))))*(INDEX('CONTROL MASTER'!$W$2:$W$495,(SUMPRODUCT((('CONTROL MASTER'!$S$2:$S$495=8)*('CONTROL MASTER'!$T$2:$T$495&lt;=2)*('CONTROL MASTER'!$V$2:$V$495&gt;=2)*('CONTROL MASTER'!$U$2:$U$495&lt;=6)*('CONTROL MASTER'!$W$2:$W$495&gt;=6))*ROW('CONTROL MASTER'!$S$2:$S$495))-(ROW('CONTROL MASTER'!#REF!)-1)))-INDEX('CONTROL MASTER'!$U$2:$U$495,(SUMPRODUCT((('CONTROL MASTER'!$S$2:$S$495=8)*('CONTROL MASTER'!$T$2:$T$495&lt;=2)*('CONTROL MASTER'!$V$2:$V$495&gt;=2)*('CONTROL MASTER'!$U$2:$U$495&lt;=6)*('CONTROL MASTER'!$W$2:$W$495&gt;=6))*ROW('CONTROL MASTER'!$S$2:$S$495))-(ROW('CONTROL MASTER'!#REF!)-1)))+1)+(6-INDEX('CONTROL MASTER'!$U$2:$U$495,(SUMPRODUCT((('CONTROL MASTER'!$S$2:$S$495=8)*('CONTROL MASTER'!$T$2:$T$495&lt;=2)*('CONTROL MASTER'!$V$2:$V$495&gt;=2)*('CONTROL MASTER'!$U$2:$U$495&lt;=6)*('CONTROL MASTER'!$W$2:$W$495&gt;=6))*ROW('CONTROL MASTER'!$S$2:$S$495))-(ROW('CONTROL MASTER'!#REF!)-1))))+1))-1)*50+1,50))&amp;"_"&amp;INDEX('CONTROL MASTER'!$P$2:$P$495,(SUMPRODUCT((('CONTROL MASTER'!$S$2:$S$495=8)*('CONTROL MASTER'!$T$2:$T$495&lt;=2)*('CONTROL MASTER'!$V$2:$V$495&gt;=2)*('CONTROL MASTER'!$U$2:$U$495&lt;=6)*('CONTROL MASTER'!$W$2:$W$495&gt;=6))*ROW('CONTROL MASTER'!$S$2:$S$495))-(ROW('CONTROL MASTER'!#REF!)-1))),IF(SUMPRODUCT((('CONTROL MASTER'!$S$2:$S$495=8)*('CONTROL MASTER'!$Z$2:$Z$495&lt;=2)*('CONTROL MASTER'!$AB$2:$AB$495&gt;=2)*('CONTROL MASTER'!$AA$2:$AA$495&lt;=6)*('CONTROL MASTER'!$AC$2:$AC$495&gt;=6))*ROW('CONTROL MASTER'!$S$2:$S$495))&gt;0,INDEX('CONTROL MASTER'!$X$2:$X$495,(SUMPRODUCT((('CONTROL MASTER'!$S$2:$S$495=8)*('CONTROL MASTER'!$Z$2:$Z$495&lt;=2)*('CONTROL MASTER'!$AB$2:$AB$495&gt;=2)*('CONTROL MASTER'!$AA$2:$AA$495&lt;=6)*('CONTROL MASTER'!$AC$2:$AC$495&gt;=6))*ROW('CONTROL MASTER'!$S$2:$S$495))-(ROW('CONTROL MASTER'!#REF!)-1)))&amp;TRIM(MID(SUBSTITUTE(SUBSTITUTE(INDEX('CONTROL MASTER'!$N$2:$N$495,(SUMPRODUCT((('CONTROL MASTER'!$S$2:$S$495=8)*('CONTROL MASTER'!$Z$2:$Z$495&lt;=2)*('CONTROL MASTER'!$AB$2:$AB$495&gt;=2)*('CONTROL MASTER'!$AA$2:$AA$495&lt;=6)*('CONTROL MASTER'!$AC$2:$AC$495&gt;=6))*ROW('CONTROL MASTER'!$S$2:$S$495))-(ROW('CONTROL MASTER'!#REF!)-1))),":",","),",",REPT(" ",50)),(((INDEX('CONTROL MASTER'!$Y$2:$Y$495,(SUMPRODUCT((('CONTROL MASTER'!$S$2:$S$495=8)*('CONTROL MASTER'!$Z$2:$Z$495&lt;=2)*('CONTROL MASTER'!$AB$2:$AB$495&gt;=2)*('CONTROL MASTER'!$AA$2:$AA$495&lt;=6)*('CONTROL MASTER'!$AC$2:$AC$495&gt;=6))*ROW('CONTROL MASTER'!$S$2:$S$495))-(ROW('CONTROL MASTER'!#REF!)-1)))+((2-INDEX('CONTROL MASTER'!$Z$2:$Z$495,(SUMPRODUCT((('CONTROL MASTER'!$S$2:$S$495=8)*('CONTROL MASTER'!$Z$2:$Z$495&lt;=2)*('CONTROL MASTER'!$AB$2:$AB$495&gt;=2)*('CONTROL MASTER'!$AA$2:$AA$495&lt;=6)*('CONTROL MASTER'!$AC$2:$AC$495&gt;=6))*ROW('CONTROL MASTER'!$S$2:$S$495))-(ROW('CONTROL MASTER'!#REF!)-1))))*(INDEX('CONTROL MASTER'!$AC$2:$AC$495,(SUMPRODUCT((('CONTROL MASTER'!$S$2:$S$495=8)*('CONTROL MASTER'!$Z$2:$Z$495&lt;=2)*('CONTROL MASTER'!$AB$2:$AB$495&gt;=2)*('CONTROL MASTER'!$AA$2:$AA$495&lt;=6)*('CONTROL MASTER'!$AC$2:$AC$495&gt;=6))*ROW('CONTROL MASTER'!$S$2:$S$495))-(ROW('CONTROL MASTER'!#REF!)-1)))-INDEX('CONTROL MASTER'!$AA$2:$AA$495,(SUMPRODUCT((('CONTROL MASTER'!$S$2:$S$495=8)*('CONTROL MASTER'!$Z$2:$Z$495&lt;=2)*('CONTROL MASTER'!$AB$2:$AB$495&gt;=2)*('CONTROL MASTER'!$AA$2:$AA$495&lt;=6)*('CONTROL MASTER'!$AC$2:$AC$495&gt;=6))*ROW('CONTROL MASTER'!$S$2:$S$495))-(ROW('CONTROL MASTER'!#REF!)-1)))+1)+(6-INDEX('CONTROL MASTER'!$AA$2:$AA$495,(SUMPRODUCT((('CONTROL MASTER'!$S$2:$S$495=8)*('CONTROL MASTER'!$Z$2:$Z$495&lt;=2)*('CONTROL MASTER'!$AB$2:$AB$495&gt;=2)*('CONTROL MASTER'!$AA$2:$AA$495&lt;=6)*('CONTROL MASTER'!$AC$2:$AC$495&gt;=6))*ROW('CONTROL MASTER'!$S$2:$S$495))-(ROW('CONTROL MASTER'!#REF!)-1))))+1)))-1)*50+1,50))&amp;"_"&amp;INDEX('CONTROL MASTER'!$P$2:$P$495,(SUMPRODUCT((('CONTROL MASTER'!$S$2:$S$495=8)*('CONTROL MASTER'!$Z$2:$Z$495&lt;=2)*('CONTROL MASTER'!$AB$2:$AB$495&gt;=2)*('CONTROL MASTER'!$AA$2:$AA$495&lt;=6)*('CONTROL MASTER'!$AC$2:$AC$495&gt;=6))*ROW('CONTROL MASTER'!$S$2:$S$495))-(ROW('CONTROL MASTER'!#REF!)-1))),"")),"")</f>
        <v/>
      </c>
      <c r="H102" s="10" t="str">
        <f>IFERROR(IF(SUMPRODUCT((('CONTROL MASTER'!$S$2:$S$495=8)*('CONTROL MASTER'!$T$2:$T$495&lt;=2)*('CONTROL MASTER'!$V$2:$V$495&gt;=2)*('CONTROL MASTER'!$U$2:$U$495&lt;=7)*('CONTROL MASTER'!$W$2:$W$495&gt;=7))*ROW('CONTROL MASTER'!$S$2:$S$495))&gt;0,INDEX('CONTROL MASTER'!$X$2:$X$495,(SUMPRODUCT((('CONTROL MASTER'!$S$2:$S$495=8)*('CONTROL MASTER'!$T$2:$T$495&lt;=2)*('CONTROL MASTER'!$V$2:$V$495&gt;=2)*('CONTROL MASTER'!$U$2:$U$495&lt;=7)*('CONTROL MASTER'!$W$2:$W$495&gt;=7))*ROW('CONTROL MASTER'!$S$2:$S$495))-(ROW('CONTROL MASTER'!#REF!)-1)))&amp;TRIM(MID(SUBSTITUTE(SUBSTITUTE(INDEX('CONTROL MASTER'!$N$2:$N$495,(SUMPRODUCT((('CONTROL MASTER'!$S$2:$S$495=8)*('CONTROL MASTER'!$T$2:$T$495&lt;=2)*('CONTROL MASTER'!$V$2:$V$495&gt;=2)*('CONTROL MASTER'!$U$2:$U$495&lt;=7)*('CONTROL MASTER'!$W$2:$W$495&gt;=7))*ROW('CONTROL MASTER'!$S$2:$S$495))-(ROW('CONTROL MASTER'!#REF!)-1))),":",","),",",REPT(" ",50)),((((2-INDEX('CONTROL MASTER'!$T$2:$T$495,(SUMPRODUCT((('CONTROL MASTER'!$S$2:$S$495=8)*('CONTROL MASTER'!$T$2:$T$495&lt;=2)*('CONTROL MASTER'!$V$2:$V$495&gt;=2)*('CONTROL MASTER'!$U$2:$U$495&lt;=7)*('CONTROL MASTER'!$W$2:$W$495&gt;=7))*ROW('CONTROL MASTER'!$S$2:$S$495))-(ROW('CONTROL MASTER'!#REF!)-1))))*(INDEX('CONTROL MASTER'!$W$2:$W$495,(SUMPRODUCT((('CONTROL MASTER'!$S$2:$S$495=8)*('CONTROL MASTER'!$T$2:$T$495&lt;=2)*('CONTROL MASTER'!$V$2:$V$495&gt;=2)*('CONTROL MASTER'!$U$2:$U$495&lt;=7)*('CONTROL MASTER'!$W$2:$W$495&gt;=7))*ROW('CONTROL MASTER'!$S$2:$S$495))-(ROW('CONTROL MASTER'!#REF!)-1)))-INDEX('CONTROL MASTER'!$U$2:$U$495,(SUMPRODUCT((('CONTROL MASTER'!$S$2:$S$495=8)*('CONTROL MASTER'!$T$2:$T$495&lt;=2)*('CONTROL MASTER'!$V$2:$V$495&gt;=2)*('CONTROL MASTER'!$U$2:$U$495&lt;=7)*('CONTROL MASTER'!$W$2:$W$495&gt;=7))*ROW('CONTROL MASTER'!$S$2:$S$495))-(ROW('CONTROL MASTER'!#REF!)-1)))+1)+(7-INDEX('CONTROL MASTER'!$U$2:$U$495,(SUMPRODUCT((('CONTROL MASTER'!$S$2:$S$495=8)*('CONTROL MASTER'!$T$2:$T$495&lt;=2)*('CONTROL MASTER'!$V$2:$V$495&gt;=2)*('CONTROL MASTER'!$U$2:$U$495&lt;=7)*('CONTROL MASTER'!$W$2:$W$495&gt;=7))*ROW('CONTROL MASTER'!$S$2:$S$495))-(ROW('CONTROL MASTER'!#REF!)-1))))+1))-1)*50+1,50))&amp;"_"&amp;INDEX('CONTROL MASTER'!$P$2:$P$495,(SUMPRODUCT((('CONTROL MASTER'!$S$2:$S$495=8)*('CONTROL MASTER'!$T$2:$T$495&lt;=2)*('CONTROL MASTER'!$V$2:$V$495&gt;=2)*('CONTROL MASTER'!$U$2:$U$495&lt;=7)*('CONTROL MASTER'!$W$2:$W$495&gt;=7))*ROW('CONTROL MASTER'!$S$2:$S$495))-(ROW('CONTROL MASTER'!#REF!)-1))),IF(SUMPRODUCT((('CONTROL MASTER'!$S$2:$S$495=8)*('CONTROL MASTER'!$Z$2:$Z$495&lt;=2)*('CONTROL MASTER'!$AB$2:$AB$495&gt;=2)*('CONTROL MASTER'!$AA$2:$AA$495&lt;=7)*('CONTROL MASTER'!$AC$2:$AC$495&gt;=7))*ROW('CONTROL MASTER'!$S$2:$S$495))&gt;0,INDEX('CONTROL MASTER'!$X$2:$X$495,(SUMPRODUCT((('CONTROL MASTER'!$S$2:$S$495=8)*('CONTROL MASTER'!$Z$2:$Z$495&lt;=2)*('CONTROL MASTER'!$AB$2:$AB$495&gt;=2)*('CONTROL MASTER'!$AA$2:$AA$495&lt;=7)*('CONTROL MASTER'!$AC$2:$AC$495&gt;=7))*ROW('CONTROL MASTER'!$S$2:$S$495))-(ROW('CONTROL MASTER'!#REF!)-1)))&amp;TRIM(MID(SUBSTITUTE(SUBSTITUTE(INDEX('CONTROL MASTER'!$N$2:$N$495,(SUMPRODUCT((('CONTROL MASTER'!$S$2:$S$495=8)*('CONTROL MASTER'!$Z$2:$Z$495&lt;=2)*('CONTROL MASTER'!$AB$2:$AB$495&gt;=2)*('CONTROL MASTER'!$AA$2:$AA$495&lt;=7)*('CONTROL MASTER'!$AC$2:$AC$495&gt;=7))*ROW('CONTROL MASTER'!$S$2:$S$495))-(ROW('CONTROL MASTER'!#REF!)-1))),":",","),",",REPT(" ",50)),(((INDEX('CONTROL MASTER'!$Y$2:$Y$495,(SUMPRODUCT((('CONTROL MASTER'!$S$2:$S$495=8)*('CONTROL MASTER'!$Z$2:$Z$495&lt;=2)*('CONTROL MASTER'!$AB$2:$AB$495&gt;=2)*('CONTROL MASTER'!$AA$2:$AA$495&lt;=7)*('CONTROL MASTER'!$AC$2:$AC$495&gt;=7))*ROW('CONTROL MASTER'!$S$2:$S$495))-(ROW('CONTROL MASTER'!#REF!)-1)))+((2-INDEX('CONTROL MASTER'!$Z$2:$Z$495,(SUMPRODUCT((('CONTROL MASTER'!$S$2:$S$495=8)*('CONTROL MASTER'!$Z$2:$Z$495&lt;=2)*('CONTROL MASTER'!$AB$2:$AB$495&gt;=2)*('CONTROL MASTER'!$AA$2:$AA$495&lt;=7)*('CONTROL MASTER'!$AC$2:$AC$495&gt;=7))*ROW('CONTROL MASTER'!$S$2:$S$495))-(ROW('CONTROL MASTER'!#REF!)-1))))*(INDEX('CONTROL MASTER'!$AC$2:$AC$495,(SUMPRODUCT((('CONTROL MASTER'!$S$2:$S$495=8)*('CONTROL MASTER'!$Z$2:$Z$495&lt;=2)*('CONTROL MASTER'!$AB$2:$AB$495&gt;=2)*('CONTROL MASTER'!$AA$2:$AA$495&lt;=7)*('CONTROL MASTER'!$AC$2:$AC$495&gt;=7))*ROW('CONTROL MASTER'!$S$2:$S$495))-(ROW('CONTROL MASTER'!#REF!)-1)))-INDEX('CONTROL MASTER'!$AA$2:$AA$495,(SUMPRODUCT((('CONTROL MASTER'!$S$2:$S$495=8)*('CONTROL MASTER'!$Z$2:$Z$495&lt;=2)*('CONTROL MASTER'!$AB$2:$AB$495&gt;=2)*('CONTROL MASTER'!$AA$2:$AA$495&lt;=7)*('CONTROL MASTER'!$AC$2:$AC$495&gt;=7))*ROW('CONTROL MASTER'!$S$2:$S$495))-(ROW('CONTROL MASTER'!#REF!)-1)))+1)+(7-INDEX('CONTROL MASTER'!$AA$2:$AA$495,(SUMPRODUCT((('CONTROL MASTER'!$S$2:$S$495=8)*('CONTROL MASTER'!$Z$2:$Z$495&lt;=2)*('CONTROL MASTER'!$AB$2:$AB$495&gt;=2)*('CONTROL MASTER'!$AA$2:$AA$495&lt;=7)*('CONTROL MASTER'!$AC$2:$AC$495&gt;=7))*ROW('CONTROL MASTER'!$S$2:$S$495))-(ROW('CONTROL MASTER'!#REF!)-1))))+1)))-1)*50+1,50))&amp;"_"&amp;INDEX('CONTROL MASTER'!$P$2:$P$495,(SUMPRODUCT((('CONTROL MASTER'!$S$2:$S$495=8)*('CONTROL MASTER'!$Z$2:$Z$495&lt;=2)*('CONTROL MASTER'!$AB$2:$AB$495&gt;=2)*('CONTROL MASTER'!$AA$2:$AA$495&lt;=7)*('CONTROL MASTER'!$AC$2:$AC$495&gt;=7))*ROW('CONTROL MASTER'!$S$2:$S$495))-(ROW('CONTROL MASTER'!#REF!)-1))),"")),"")</f>
        <v/>
      </c>
      <c r="I102" s="10" t="str">
        <f>IFERROR(IF(SUMPRODUCT((('CONTROL MASTER'!$S$2:$S$495=8)*('CONTROL MASTER'!$T$2:$T$495&lt;=2)*('CONTROL MASTER'!$V$2:$V$495&gt;=2)*('CONTROL MASTER'!$U$2:$U$495&lt;=8)*('CONTROL MASTER'!$W$2:$W$495&gt;=8))*ROW('CONTROL MASTER'!$S$2:$S$495))&gt;0,INDEX('CONTROL MASTER'!$X$2:$X$495,(SUMPRODUCT((('CONTROL MASTER'!$S$2:$S$495=8)*('CONTROL MASTER'!$T$2:$T$495&lt;=2)*('CONTROL MASTER'!$V$2:$V$495&gt;=2)*('CONTROL MASTER'!$U$2:$U$495&lt;=8)*('CONTROL MASTER'!$W$2:$W$495&gt;=8))*ROW('CONTROL MASTER'!$S$2:$S$495))-(ROW('CONTROL MASTER'!#REF!)-1)))&amp;TRIM(MID(SUBSTITUTE(SUBSTITUTE(INDEX('CONTROL MASTER'!$N$2:$N$495,(SUMPRODUCT((('CONTROL MASTER'!$S$2:$S$495=8)*('CONTROL MASTER'!$T$2:$T$495&lt;=2)*('CONTROL MASTER'!$V$2:$V$495&gt;=2)*('CONTROL MASTER'!$U$2:$U$495&lt;=8)*('CONTROL MASTER'!$W$2:$W$495&gt;=8))*ROW('CONTROL MASTER'!$S$2:$S$495))-(ROW('CONTROL MASTER'!#REF!)-1))),":",","),",",REPT(" ",50)),((((2-INDEX('CONTROL MASTER'!$T$2:$T$495,(SUMPRODUCT((('CONTROL MASTER'!$S$2:$S$495=8)*('CONTROL MASTER'!$T$2:$T$495&lt;=2)*('CONTROL MASTER'!$V$2:$V$495&gt;=2)*('CONTROL MASTER'!$U$2:$U$495&lt;=8)*('CONTROL MASTER'!$W$2:$W$495&gt;=8))*ROW('CONTROL MASTER'!$S$2:$S$495))-(ROW('CONTROL MASTER'!#REF!)-1))))*(INDEX('CONTROL MASTER'!$W$2:$W$495,(SUMPRODUCT((('CONTROL MASTER'!$S$2:$S$495=8)*('CONTROL MASTER'!$T$2:$T$495&lt;=2)*('CONTROL MASTER'!$V$2:$V$495&gt;=2)*('CONTROL MASTER'!$U$2:$U$495&lt;=8)*('CONTROL MASTER'!$W$2:$W$495&gt;=8))*ROW('CONTROL MASTER'!$S$2:$S$495))-(ROW('CONTROL MASTER'!#REF!)-1)))-INDEX('CONTROL MASTER'!$U$2:$U$495,(SUMPRODUCT((('CONTROL MASTER'!$S$2:$S$495=8)*('CONTROL MASTER'!$T$2:$T$495&lt;=2)*('CONTROL MASTER'!$V$2:$V$495&gt;=2)*('CONTROL MASTER'!$U$2:$U$495&lt;=8)*('CONTROL MASTER'!$W$2:$W$495&gt;=8))*ROW('CONTROL MASTER'!$S$2:$S$495))-(ROW('CONTROL MASTER'!#REF!)-1)))+1)+(8-INDEX('CONTROL MASTER'!$U$2:$U$495,(SUMPRODUCT((('CONTROL MASTER'!$S$2:$S$495=8)*('CONTROL MASTER'!$T$2:$T$495&lt;=2)*('CONTROL MASTER'!$V$2:$V$495&gt;=2)*('CONTROL MASTER'!$U$2:$U$495&lt;=8)*('CONTROL MASTER'!$W$2:$W$495&gt;=8))*ROW('CONTROL MASTER'!$S$2:$S$495))-(ROW('CONTROL MASTER'!#REF!)-1))))+1))-1)*50+1,50))&amp;"_"&amp;INDEX('CONTROL MASTER'!$P$2:$P$495,(SUMPRODUCT((('CONTROL MASTER'!$S$2:$S$495=8)*('CONTROL MASTER'!$T$2:$T$495&lt;=2)*('CONTROL MASTER'!$V$2:$V$495&gt;=2)*('CONTROL MASTER'!$U$2:$U$495&lt;=8)*('CONTROL MASTER'!$W$2:$W$495&gt;=8))*ROW('CONTROL MASTER'!$S$2:$S$495))-(ROW('CONTROL MASTER'!#REF!)-1))),IF(SUMPRODUCT((('CONTROL MASTER'!$S$2:$S$495=8)*('CONTROL MASTER'!$Z$2:$Z$495&lt;=2)*('CONTROL MASTER'!$AB$2:$AB$495&gt;=2)*('CONTROL MASTER'!$AA$2:$AA$495&lt;=8)*('CONTROL MASTER'!$AC$2:$AC$495&gt;=8))*ROW('CONTROL MASTER'!$S$2:$S$495))&gt;0,INDEX('CONTROL MASTER'!$X$2:$X$495,(SUMPRODUCT((('CONTROL MASTER'!$S$2:$S$495=8)*('CONTROL MASTER'!$Z$2:$Z$495&lt;=2)*('CONTROL MASTER'!$AB$2:$AB$495&gt;=2)*('CONTROL MASTER'!$AA$2:$AA$495&lt;=8)*('CONTROL MASTER'!$AC$2:$AC$495&gt;=8))*ROW('CONTROL MASTER'!$S$2:$S$495))-(ROW('CONTROL MASTER'!#REF!)-1)))&amp;TRIM(MID(SUBSTITUTE(SUBSTITUTE(INDEX('CONTROL MASTER'!$N$2:$N$495,(SUMPRODUCT((('CONTROL MASTER'!$S$2:$S$495=8)*('CONTROL MASTER'!$Z$2:$Z$495&lt;=2)*('CONTROL MASTER'!$AB$2:$AB$495&gt;=2)*('CONTROL MASTER'!$AA$2:$AA$495&lt;=8)*('CONTROL MASTER'!$AC$2:$AC$495&gt;=8))*ROW('CONTROL MASTER'!$S$2:$S$495))-(ROW('CONTROL MASTER'!#REF!)-1))),":",","),",",REPT(" ",50)),(((INDEX('CONTROL MASTER'!$Y$2:$Y$495,(SUMPRODUCT((('CONTROL MASTER'!$S$2:$S$495=8)*('CONTROL MASTER'!$Z$2:$Z$495&lt;=2)*('CONTROL MASTER'!$AB$2:$AB$495&gt;=2)*('CONTROL MASTER'!$AA$2:$AA$495&lt;=8)*('CONTROL MASTER'!$AC$2:$AC$495&gt;=8))*ROW('CONTROL MASTER'!$S$2:$S$495))-(ROW('CONTROL MASTER'!#REF!)-1)))+((2-INDEX('CONTROL MASTER'!$Z$2:$Z$495,(SUMPRODUCT((('CONTROL MASTER'!$S$2:$S$495=8)*('CONTROL MASTER'!$Z$2:$Z$495&lt;=2)*('CONTROL MASTER'!$AB$2:$AB$495&gt;=2)*('CONTROL MASTER'!$AA$2:$AA$495&lt;=8)*('CONTROL MASTER'!$AC$2:$AC$495&gt;=8))*ROW('CONTROL MASTER'!$S$2:$S$495))-(ROW('CONTROL MASTER'!#REF!)-1))))*(INDEX('CONTROL MASTER'!$AC$2:$AC$495,(SUMPRODUCT((('CONTROL MASTER'!$S$2:$S$495=8)*('CONTROL MASTER'!$Z$2:$Z$495&lt;=2)*('CONTROL MASTER'!$AB$2:$AB$495&gt;=2)*('CONTROL MASTER'!$AA$2:$AA$495&lt;=8)*('CONTROL MASTER'!$AC$2:$AC$495&gt;=8))*ROW('CONTROL MASTER'!$S$2:$S$495))-(ROW('CONTROL MASTER'!#REF!)-1)))-INDEX('CONTROL MASTER'!$AA$2:$AA$495,(SUMPRODUCT((('CONTROL MASTER'!$S$2:$S$495=8)*('CONTROL MASTER'!$Z$2:$Z$495&lt;=2)*('CONTROL MASTER'!$AB$2:$AB$495&gt;=2)*('CONTROL MASTER'!$AA$2:$AA$495&lt;=8)*('CONTROL MASTER'!$AC$2:$AC$495&gt;=8))*ROW('CONTROL MASTER'!$S$2:$S$495))-(ROW('CONTROL MASTER'!#REF!)-1)))+1)+(8-INDEX('CONTROL MASTER'!$AA$2:$AA$495,(SUMPRODUCT((('CONTROL MASTER'!$S$2:$S$495=8)*('CONTROL MASTER'!$Z$2:$Z$495&lt;=2)*('CONTROL MASTER'!$AB$2:$AB$495&gt;=2)*('CONTROL MASTER'!$AA$2:$AA$495&lt;=8)*('CONTROL MASTER'!$AC$2:$AC$495&gt;=8))*ROW('CONTROL MASTER'!$S$2:$S$495))-(ROW('CONTROL MASTER'!#REF!)-1))))+1)))-1)*50+1,50))&amp;"_"&amp;INDEX('CONTROL MASTER'!$P$2:$P$495,(SUMPRODUCT((('CONTROL MASTER'!$S$2:$S$495=8)*('CONTROL MASTER'!$Z$2:$Z$495&lt;=2)*('CONTROL MASTER'!$AB$2:$AB$495&gt;=2)*('CONTROL MASTER'!$AA$2:$AA$495&lt;=8)*('CONTROL MASTER'!$AC$2:$AC$495&gt;=8))*ROW('CONTROL MASTER'!$S$2:$S$495))-(ROW('CONTROL MASTER'!#REF!)-1))),"")),"")</f>
        <v/>
      </c>
      <c r="J102" s="10" t="str">
        <f>IFERROR(IF(SUMPRODUCT((('CONTROL MASTER'!$S$2:$S$495=8)*('CONTROL MASTER'!$T$2:$T$495&lt;=2)*('CONTROL MASTER'!$V$2:$V$495&gt;=2)*('CONTROL MASTER'!$U$2:$U$495&lt;=9)*('CONTROL MASTER'!$W$2:$W$495&gt;=9))*ROW('CONTROL MASTER'!$S$2:$S$495))&gt;0,INDEX('CONTROL MASTER'!$X$2:$X$495,(SUMPRODUCT((('CONTROL MASTER'!$S$2:$S$495=8)*('CONTROL MASTER'!$T$2:$T$495&lt;=2)*('CONTROL MASTER'!$V$2:$V$495&gt;=2)*('CONTROL MASTER'!$U$2:$U$495&lt;=9)*('CONTROL MASTER'!$W$2:$W$495&gt;=9))*ROW('CONTROL MASTER'!$S$2:$S$495))-(ROW('CONTROL MASTER'!#REF!)-1)))&amp;TRIM(MID(SUBSTITUTE(SUBSTITUTE(INDEX('CONTROL MASTER'!$N$2:$N$495,(SUMPRODUCT((('CONTROL MASTER'!$S$2:$S$495=8)*('CONTROL MASTER'!$T$2:$T$495&lt;=2)*('CONTROL MASTER'!$V$2:$V$495&gt;=2)*('CONTROL MASTER'!$U$2:$U$495&lt;=9)*('CONTROL MASTER'!$W$2:$W$495&gt;=9))*ROW('CONTROL MASTER'!$S$2:$S$495))-(ROW('CONTROL MASTER'!#REF!)-1))),":",","),",",REPT(" ",50)),((((2-INDEX('CONTROL MASTER'!$T$2:$T$495,(SUMPRODUCT((('CONTROL MASTER'!$S$2:$S$495=8)*('CONTROL MASTER'!$T$2:$T$495&lt;=2)*('CONTROL MASTER'!$V$2:$V$495&gt;=2)*('CONTROL MASTER'!$U$2:$U$495&lt;=9)*('CONTROL MASTER'!$W$2:$W$495&gt;=9))*ROW('CONTROL MASTER'!$S$2:$S$495))-(ROW('CONTROL MASTER'!#REF!)-1))))*(INDEX('CONTROL MASTER'!$W$2:$W$495,(SUMPRODUCT((('CONTROL MASTER'!$S$2:$S$495=8)*('CONTROL MASTER'!$T$2:$T$495&lt;=2)*('CONTROL MASTER'!$V$2:$V$495&gt;=2)*('CONTROL MASTER'!$U$2:$U$495&lt;=9)*('CONTROL MASTER'!$W$2:$W$495&gt;=9))*ROW('CONTROL MASTER'!$S$2:$S$495))-(ROW('CONTROL MASTER'!#REF!)-1)))-INDEX('CONTROL MASTER'!$U$2:$U$495,(SUMPRODUCT((('CONTROL MASTER'!$S$2:$S$495=8)*('CONTROL MASTER'!$T$2:$T$495&lt;=2)*('CONTROL MASTER'!$V$2:$V$495&gt;=2)*('CONTROL MASTER'!$U$2:$U$495&lt;=9)*('CONTROL MASTER'!$W$2:$W$495&gt;=9))*ROW('CONTROL MASTER'!$S$2:$S$495))-(ROW('CONTROL MASTER'!#REF!)-1)))+1)+(9-INDEX('CONTROL MASTER'!$U$2:$U$495,(SUMPRODUCT((('CONTROL MASTER'!$S$2:$S$495=8)*('CONTROL MASTER'!$T$2:$T$495&lt;=2)*('CONTROL MASTER'!$V$2:$V$495&gt;=2)*('CONTROL MASTER'!$U$2:$U$495&lt;=9)*('CONTROL MASTER'!$W$2:$W$495&gt;=9))*ROW('CONTROL MASTER'!$S$2:$S$495))-(ROW('CONTROL MASTER'!#REF!)-1))))+1))-1)*50+1,50))&amp;"_"&amp;INDEX('CONTROL MASTER'!$P$2:$P$495,(SUMPRODUCT((('CONTROL MASTER'!$S$2:$S$495=8)*('CONTROL MASTER'!$T$2:$T$495&lt;=2)*('CONTROL MASTER'!$V$2:$V$495&gt;=2)*('CONTROL MASTER'!$U$2:$U$495&lt;=9)*('CONTROL MASTER'!$W$2:$W$495&gt;=9))*ROW('CONTROL MASTER'!$S$2:$S$495))-(ROW('CONTROL MASTER'!#REF!)-1))),IF(SUMPRODUCT((('CONTROL MASTER'!$S$2:$S$495=8)*('CONTROL MASTER'!$Z$2:$Z$495&lt;=2)*('CONTROL MASTER'!$AB$2:$AB$495&gt;=2)*('CONTROL MASTER'!$AA$2:$AA$495&lt;=9)*('CONTROL MASTER'!$AC$2:$AC$495&gt;=9))*ROW('CONTROL MASTER'!$S$2:$S$495))&gt;0,INDEX('CONTROL MASTER'!$X$2:$X$495,(SUMPRODUCT((('CONTROL MASTER'!$S$2:$S$495=8)*('CONTROL MASTER'!$Z$2:$Z$495&lt;=2)*('CONTROL MASTER'!$AB$2:$AB$495&gt;=2)*('CONTROL MASTER'!$AA$2:$AA$495&lt;=9)*('CONTROL MASTER'!$AC$2:$AC$495&gt;=9))*ROW('CONTROL MASTER'!$S$2:$S$495))-(ROW('CONTROL MASTER'!#REF!)-1)))&amp;TRIM(MID(SUBSTITUTE(SUBSTITUTE(INDEX('CONTROL MASTER'!$N$2:$N$495,(SUMPRODUCT((('CONTROL MASTER'!$S$2:$S$495=8)*('CONTROL MASTER'!$Z$2:$Z$495&lt;=2)*('CONTROL MASTER'!$AB$2:$AB$495&gt;=2)*('CONTROL MASTER'!$AA$2:$AA$495&lt;=9)*('CONTROL MASTER'!$AC$2:$AC$495&gt;=9))*ROW('CONTROL MASTER'!$S$2:$S$495))-(ROW('CONTROL MASTER'!#REF!)-1))),":",","),",",REPT(" ",50)),(((INDEX('CONTROL MASTER'!$Y$2:$Y$495,(SUMPRODUCT((('CONTROL MASTER'!$S$2:$S$495=8)*('CONTROL MASTER'!$Z$2:$Z$495&lt;=2)*('CONTROL MASTER'!$AB$2:$AB$495&gt;=2)*('CONTROL MASTER'!$AA$2:$AA$495&lt;=9)*('CONTROL MASTER'!$AC$2:$AC$495&gt;=9))*ROW('CONTROL MASTER'!$S$2:$S$495))-(ROW('CONTROL MASTER'!#REF!)-1)))+((2-INDEX('CONTROL MASTER'!$Z$2:$Z$495,(SUMPRODUCT((('CONTROL MASTER'!$S$2:$S$495=8)*('CONTROL MASTER'!$Z$2:$Z$495&lt;=2)*('CONTROL MASTER'!$AB$2:$AB$495&gt;=2)*('CONTROL MASTER'!$AA$2:$AA$495&lt;=9)*('CONTROL MASTER'!$AC$2:$AC$495&gt;=9))*ROW('CONTROL MASTER'!$S$2:$S$495))-(ROW('CONTROL MASTER'!#REF!)-1))))*(INDEX('CONTROL MASTER'!$AC$2:$AC$495,(SUMPRODUCT((('CONTROL MASTER'!$S$2:$S$495=8)*('CONTROL MASTER'!$Z$2:$Z$495&lt;=2)*('CONTROL MASTER'!$AB$2:$AB$495&gt;=2)*('CONTROL MASTER'!$AA$2:$AA$495&lt;=9)*('CONTROL MASTER'!$AC$2:$AC$495&gt;=9))*ROW('CONTROL MASTER'!$S$2:$S$495))-(ROW('CONTROL MASTER'!#REF!)-1)))-INDEX('CONTROL MASTER'!$AA$2:$AA$495,(SUMPRODUCT((('CONTROL MASTER'!$S$2:$S$495=8)*('CONTROL MASTER'!$Z$2:$Z$495&lt;=2)*('CONTROL MASTER'!$AB$2:$AB$495&gt;=2)*('CONTROL MASTER'!$AA$2:$AA$495&lt;=9)*('CONTROL MASTER'!$AC$2:$AC$495&gt;=9))*ROW('CONTROL MASTER'!$S$2:$S$495))-(ROW('CONTROL MASTER'!#REF!)-1)))+1)+(9-INDEX('CONTROL MASTER'!$AA$2:$AA$495,(SUMPRODUCT((('CONTROL MASTER'!$S$2:$S$495=8)*('CONTROL MASTER'!$Z$2:$Z$495&lt;=2)*('CONTROL MASTER'!$AB$2:$AB$495&gt;=2)*('CONTROL MASTER'!$AA$2:$AA$495&lt;=9)*('CONTROL MASTER'!$AC$2:$AC$495&gt;=9))*ROW('CONTROL MASTER'!$S$2:$S$495))-(ROW('CONTROL MASTER'!#REF!)-1))))+1)))-1)*50+1,50))&amp;"_"&amp;INDEX('CONTROL MASTER'!$P$2:$P$495,(SUMPRODUCT((('CONTROL MASTER'!$S$2:$S$495=8)*('CONTROL MASTER'!$Z$2:$Z$495&lt;=2)*('CONTROL MASTER'!$AB$2:$AB$495&gt;=2)*('CONTROL MASTER'!$AA$2:$AA$495&lt;=9)*('CONTROL MASTER'!$AC$2:$AC$495&gt;=9))*ROW('CONTROL MASTER'!$S$2:$S$495))-(ROW('CONTROL MASTER'!#REF!)-1))),"")),"")</f>
        <v/>
      </c>
      <c r="K102" s="10" t="str">
        <f>IFERROR(IF(SUMPRODUCT((('CONTROL MASTER'!$S$2:$S$495=8)*('CONTROL MASTER'!$T$2:$T$495&lt;=2)*('CONTROL MASTER'!$V$2:$V$495&gt;=2)*('CONTROL MASTER'!$U$2:$U$495&lt;=10)*('CONTROL MASTER'!$W$2:$W$495&gt;=10))*ROW('CONTROL MASTER'!$S$2:$S$495))&gt;0,INDEX('CONTROL MASTER'!$X$2:$X$495,(SUMPRODUCT((('CONTROL MASTER'!$S$2:$S$495=8)*('CONTROL MASTER'!$T$2:$T$495&lt;=2)*('CONTROL MASTER'!$V$2:$V$495&gt;=2)*('CONTROL MASTER'!$U$2:$U$495&lt;=10)*('CONTROL MASTER'!$W$2:$W$495&gt;=10))*ROW('CONTROL MASTER'!$S$2:$S$495))-(ROW('CONTROL MASTER'!#REF!)-1)))&amp;TRIM(MID(SUBSTITUTE(SUBSTITUTE(INDEX('CONTROL MASTER'!$N$2:$N$495,(SUMPRODUCT((('CONTROL MASTER'!$S$2:$S$495=8)*('CONTROL MASTER'!$T$2:$T$495&lt;=2)*('CONTROL MASTER'!$V$2:$V$495&gt;=2)*('CONTROL MASTER'!$U$2:$U$495&lt;=10)*('CONTROL MASTER'!$W$2:$W$495&gt;=10))*ROW('CONTROL MASTER'!$S$2:$S$495))-(ROW('CONTROL MASTER'!#REF!)-1))),":",","),",",REPT(" ",50)),((((2-INDEX('CONTROL MASTER'!$T$2:$T$495,(SUMPRODUCT((('CONTROL MASTER'!$S$2:$S$495=8)*('CONTROL MASTER'!$T$2:$T$495&lt;=2)*('CONTROL MASTER'!$V$2:$V$495&gt;=2)*('CONTROL MASTER'!$U$2:$U$495&lt;=10)*('CONTROL MASTER'!$W$2:$W$495&gt;=10))*ROW('CONTROL MASTER'!$S$2:$S$495))-(ROW('CONTROL MASTER'!#REF!)-1))))*(INDEX('CONTROL MASTER'!$W$2:$W$495,(SUMPRODUCT((('CONTROL MASTER'!$S$2:$S$495=8)*('CONTROL MASTER'!$T$2:$T$495&lt;=2)*('CONTROL MASTER'!$V$2:$V$495&gt;=2)*('CONTROL MASTER'!$U$2:$U$495&lt;=10)*('CONTROL MASTER'!$W$2:$W$495&gt;=10))*ROW('CONTROL MASTER'!$S$2:$S$495))-(ROW('CONTROL MASTER'!#REF!)-1)))-INDEX('CONTROL MASTER'!$U$2:$U$495,(SUMPRODUCT((('CONTROL MASTER'!$S$2:$S$495=8)*('CONTROL MASTER'!$T$2:$T$495&lt;=2)*('CONTROL MASTER'!$V$2:$V$495&gt;=2)*('CONTROL MASTER'!$U$2:$U$495&lt;=10)*('CONTROL MASTER'!$W$2:$W$495&gt;=10))*ROW('CONTROL MASTER'!$S$2:$S$495))-(ROW('CONTROL MASTER'!#REF!)-1)))+1)+(10-INDEX('CONTROL MASTER'!$U$2:$U$495,(SUMPRODUCT((('CONTROL MASTER'!$S$2:$S$495=8)*('CONTROL MASTER'!$T$2:$T$495&lt;=2)*('CONTROL MASTER'!$V$2:$V$495&gt;=2)*('CONTROL MASTER'!$U$2:$U$495&lt;=10)*('CONTROL MASTER'!$W$2:$W$495&gt;=10))*ROW('CONTROL MASTER'!$S$2:$S$495))-(ROW('CONTROL MASTER'!#REF!)-1))))+1))-1)*50+1,50))&amp;"_"&amp;INDEX('CONTROL MASTER'!$P$2:$P$495,(SUMPRODUCT((('CONTROL MASTER'!$S$2:$S$495=8)*('CONTROL MASTER'!$T$2:$T$495&lt;=2)*('CONTROL MASTER'!$V$2:$V$495&gt;=2)*('CONTROL MASTER'!$U$2:$U$495&lt;=10)*('CONTROL MASTER'!$W$2:$W$495&gt;=10))*ROW('CONTROL MASTER'!$S$2:$S$495))-(ROW('CONTROL MASTER'!#REF!)-1))),IF(SUMPRODUCT((('CONTROL MASTER'!$S$2:$S$495=8)*('CONTROL MASTER'!$Z$2:$Z$495&lt;=2)*('CONTROL MASTER'!$AB$2:$AB$495&gt;=2)*('CONTROL MASTER'!$AA$2:$AA$495&lt;=10)*('CONTROL MASTER'!$AC$2:$AC$495&gt;=10))*ROW('CONTROL MASTER'!$S$2:$S$495))&gt;0,INDEX('CONTROL MASTER'!$X$2:$X$495,(SUMPRODUCT((('CONTROL MASTER'!$S$2:$S$495=8)*('CONTROL MASTER'!$Z$2:$Z$495&lt;=2)*('CONTROL MASTER'!$AB$2:$AB$495&gt;=2)*('CONTROL MASTER'!$AA$2:$AA$495&lt;=10)*('CONTROL MASTER'!$AC$2:$AC$495&gt;=10))*ROW('CONTROL MASTER'!$S$2:$S$495))-(ROW('CONTROL MASTER'!#REF!)-1)))&amp;TRIM(MID(SUBSTITUTE(SUBSTITUTE(INDEX('CONTROL MASTER'!$N$2:$N$495,(SUMPRODUCT((('CONTROL MASTER'!$S$2:$S$495=8)*('CONTROL MASTER'!$Z$2:$Z$495&lt;=2)*('CONTROL MASTER'!$AB$2:$AB$495&gt;=2)*('CONTROL MASTER'!$AA$2:$AA$495&lt;=10)*('CONTROL MASTER'!$AC$2:$AC$495&gt;=10))*ROW('CONTROL MASTER'!$S$2:$S$495))-(ROW('CONTROL MASTER'!#REF!)-1))),":",","),",",REPT(" ",50)),(((INDEX('CONTROL MASTER'!$Y$2:$Y$495,(SUMPRODUCT((('CONTROL MASTER'!$S$2:$S$495=8)*('CONTROL MASTER'!$Z$2:$Z$495&lt;=2)*('CONTROL MASTER'!$AB$2:$AB$495&gt;=2)*('CONTROL MASTER'!$AA$2:$AA$495&lt;=10)*('CONTROL MASTER'!$AC$2:$AC$495&gt;=10))*ROW('CONTROL MASTER'!$S$2:$S$495))-(ROW('CONTROL MASTER'!#REF!)-1)))+((2-INDEX('CONTROL MASTER'!$Z$2:$Z$495,(SUMPRODUCT((('CONTROL MASTER'!$S$2:$S$495=8)*('CONTROL MASTER'!$Z$2:$Z$495&lt;=2)*('CONTROL MASTER'!$AB$2:$AB$495&gt;=2)*('CONTROL MASTER'!$AA$2:$AA$495&lt;=10)*('CONTROL MASTER'!$AC$2:$AC$495&gt;=10))*ROW('CONTROL MASTER'!$S$2:$S$495))-(ROW('CONTROL MASTER'!#REF!)-1))))*(INDEX('CONTROL MASTER'!$AC$2:$AC$495,(SUMPRODUCT((('CONTROL MASTER'!$S$2:$S$495=8)*('CONTROL MASTER'!$Z$2:$Z$495&lt;=2)*('CONTROL MASTER'!$AB$2:$AB$495&gt;=2)*('CONTROL MASTER'!$AA$2:$AA$495&lt;=10)*('CONTROL MASTER'!$AC$2:$AC$495&gt;=10))*ROW('CONTROL MASTER'!$S$2:$S$495))-(ROW('CONTROL MASTER'!#REF!)-1)))-INDEX('CONTROL MASTER'!$AA$2:$AA$495,(SUMPRODUCT((('CONTROL MASTER'!$S$2:$S$495=8)*('CONTROL MASTER'!$Z$2:$Z$495&lt;=2)*('CONTROL MASTER'!$AB$2:$AB$495&gt;=2)*('CONTROL MASTER'!$AA$2:$AA$495&lt;=10)*('CONTROL MASTER'!$AC$2:$AC$495&gt;=10))*ROW('CONTROL MASTER'!$S$2:$S$495))-(ROW('CONTROL MASTER'!#REF!)-1)))+1)+(10-INDEX('CONTROL MASTER'!$AA$2:$AA$495,(SUMPRODUCT((('CONTROL MASTER'!$S$2:$S$495=8)*('CONTROL MASTER'!$Z$2:$Z$495&lt;=2)*('CONTROL MASTER'!$AB$2:$AB$495&gt;=2)*('CONTROL MASTER'!$AA$2:$AA$495&lt;=10)*('CONTROL MASTER'!$AC$2:$AC$495&gt;=10))*ROW('CONTROL MASTER'!$S$2:$S$495))-(ROW('CONTROL MASTER'!#REF!)-1))))+1)))-1)*50+1,50))&amp;"_"&amp;INDEX('CONTROL MASTER'!$P$2:$P$495,(SUMPRODUCT((('CONTROL MASTER'!$S$2:$S$495=8)*('CONTROL MASTER'!$Z$2:$Z$495&lt;=2)*('CONTROL MASTER'!$AB$2:$AB$495&gt;=2)*('CONTROL MASTER'!$AA$2:$AA$495&lt;=10)*('CONTROL MASTER'!$AC$2:$AC$495&gt;=10))*ROW('CONTROL MASTER'!$S$2:$S$495))-(ROW('CONTROL MASTER'!#REF!)-1))),"")),"")</f>
        <v/>
      </c>
    </row>
    <row r="103" spans="1:11" ht="15" customHeight="1" x14ac:dyDescent="0.35">
      <c r="A103" s="8" t="s">
        <v>30</v>
      </c>
      <c r="B103" s="10" t="str">
        <f>IFERROR(IF(SUMPRODUCT((('CONTROL MASTER'!$S$2:$S$495=8)*('CONTROL MASTER'!$T$2:$T$495&lt;=3)*('CONTROL MASTER'!$V$2:$V$495&gt;=3)*('CONTROL MASTER'!$U$2:$U$495&lt;=1)*('CONTROL MASTER'!$W$2:$W$495&gt;=1))*ROW('CONTROL MASTER'!$S$2:$S$495))&gt;0,INDEX('CONTROL MASTER'!$X$2:$X$495,(SUMPRODUCT((('CONTROL MASTER'!$S$2:$S$495=8)*('CONTROL MASTER'!$T$2:$T$495&lt;=3)*('CONTROL MASTER'!$V$2:$V$495&gt;=3)*('CONTROL MASTER'!$U$2:$U$495&lt;=1)*('CONTROL MASTER'!$W$2:$W$495&gt;=1))*ROW('CONTROL MASTER'!$S$2:$S$495))-(ROW('CONTROL MASTER'!#REF!)-1)))&amp;TRIM(MID(SUBSTITUTE(SUBSTITUTE(INDEX('CONTROL MASTER'!$N$2:$N$495,(SUMPRODUCT((('CONTROL MASTER'!$S$2:$S$495=8)*('CONTROL MASTER'!$T$2:$T$495&lt;=3)*('CONTROL MASTER'!$V$2:$V$495&gt;=3)*('CONTROL MASTER'!$U$2:$U$495&lt;=1)*('CONTROL MASTER'!$W$2:$W$495&gt;=1))*ROW('CONTROL MASTER'!$S$2:$S$495))-(ROW('CONTROL MASTER'!#REF!)-1))),":",","),",",REPT(" ",50)),((((3-INDEX('CONTROL MASTER'!$T$2:$T$495,(SUMPRODUCT((('CONTROL MASTER'!$S$2:$S$495=8)*('CONTROL MASTER'!$T$2:$T$495&lt;=3)*('CONTROL MASTER'!$V$2:$V$495&gt;=3)*('CONTROL MASTER'!$U$2:$U$495&lt;=1)*('CONTROL MASTER'!$W$2:$W$495&gt;=1))*ROW('CONTROL MASTER'!$S$2:$S$495))-(ROW('CONTROL MASTER'!#REF!)-1))))*(INDEX('CONTROL MASTER'!$W$2:$W$495,(SUMPRODUCT((('CONTROL MASTER'!$S$2:$S$495=8)*('CONTROL MASTER'!$T$2:$T$495&lt;=3)*('CONTROL MASTER'!$V$2:$V$495&gt;=3)*('CONTROL MASTER'!$U$2:$U$495&lt;=1)*('CONTROL MASTER'!$W$2:$W$495&gt;=1))*ROW('CONTROL MASTER'!$S$2:$S$495))-(ROW('CONTROL MASTER'!#REF!)-1)))-INDEX('CONTROL MASTER'!$U$2:$U$495,(SUMPRODUCT((('CONTROL MASTER'!$S$2:$S$495=8)*('CONTROL MASTER'!$T$2:$T$495&lt;=3)*('CONTROL MASTER'!$V$2:$V$495&gt;=3)*('CONTROL MASTER'!$U$2:$U$495&lt;=1)*('CONTROL MASTER'!$W$2:$W$495&gt;=1))*ROW('CONTROL MASTER'!$S$2:$S$495))-(ROW('CONTROL MASTER'!#REF!)-1)))+1)+(1-INDEX('CONTROL MASTER'!$U$2:$U$495,(SUMPRODUCT((('CONTROL MASTER'!$S$2:$S$495=8)*('CONTROL MASTER'!$T$2:$T$495&lt;=3)*('CONTROL MASTER'!$V$2:$V$495&gt;=3)*('CONTROL MASTER'!$U$2:$U$495&lt;=1)*('CONTROL MASTER'!$W$2:$W$495&gt;=1))*ROW('CONTROL MASTER'!$S$2:$S$495))-(ROW('CONTROL MASTER'!#REF!)-1))))+1))-1)*50+1,50))&amp;"_"&amp;INDEX('CONTROL MASTER'!$P$2:$P$495,(SUMPRODUCT((('CONTROL MASTER'!$S$2:$S$495=8)*('CONTROL MASTER'!$T$2:$T$495&lt;=3)*('CONTROL MASTER'!$V$2:$V$495&gt;=3)*('CONTROL MASTER'!$U$2:$U$495&lt;=1)*('CONTROL MASTER'!$W$2:$W$495&gt;=1))*ROW('CONTROL MASTER'!$S$2:$S$495))-(ROW('CONTROL MASTER'!#REF!)-1))),IF(SUMPRODUCT((('CONTROL MASTER'!$S$2:$S$495=8)*('CONTROL MASTER'!$Z$2:$Z$495&lt;=3)*('CONTROL MASTER'!$AB$2:$AB$495&gt;=3)*('CONTROL MASTER'!$AA$2:$AA$495&lt;=1)*('CONTROL MASTER'!$AC$2:$AC$495&gt;=1))*ROW('CONTROL MASTER'!$S$2:$S$495))&gt;0,INDEX('CONTROL MASTER'!$X$2:$X$495,(SUMPRODUCT((('CONTROL MASTER'!$S$2:$S$495=8)*('CONTROL MASTER'!$Z$2:$Z$495&lt;=3)*('CONTROL MASTER'!$AB$2:$AB$495&gt;=3)*('CONTROL MASTER'!$AA$2:$AA$495&lt;=1)*('CONTROL MASTER'!$AC$2:$AC$495&gt;=1))*ROW('CONTROL MASTER'!$S$2:$S$495))-(ROW('CONTROL MASTER'!#REF!)-1)))&amp;TRIM(MID(SUBSTITUTE(SUBSTITUTE(INDEX('CONTROL MASTER'!$N$2:$N$495,(SUMPRODUCT((('CONTROL MASTER'!$S$2:$S$495=8)*('CONTROL MASTER'!$Z$2:$Z$495&lt;=3)*('CONTROL MASTER'!$AB$2:$AB$495&gt;=3)*('CONTROL MASTER'!$AA$2:$AA$495&lt;=1)*('CONTROL MASTER'!$AC$2:$AC$495&gt;=1))*ROW('CONTROL MASTER'!$S$2:$S$495))-(ROW('CONTROL MASTER'!#REF!)-1))),":",","),",",REPT(" ",50)),(((INDEX('CONTROL MASTER'!$Y$2:$Y$495,(SUMPRODUCT((('CONTROL MASTER'!$S$2:$S$495=8)*('CONTROL MASTER'!$Z$2:$Z$495&lt;=3)*('CONTROL MASTER'!$AB$2:$AB$495&gt;=3)*('CONTROL MASTER'!$AA$2:$AA$495&lt;=1)*('CONTROL MASTER'!$AC$2:$AC$495&gt;=1))*ROW('CONTROL MASTER'!$S$2:$S$495))-(ROW('CONTROL MASTER'!#REF!)-1)))+((3-INDEX('CONTROL MASTER'!$Z$2:$Z$495,(SUMPRODUCT((('CONTROL MASTER'!$S$2:$S$495=8)*('CONTROL MASTER'!$Z$2:$Z$495&lt;=3)*('CONTROL MASTER'!$AB$2:$AB$495&gt;=3)*('CONTROL MASTER'!$AA$2:$AA$495&lt;=1)*('CONTROL MASTER'!$AC$2:$AC$495&gt;=1))*ROW('CONTROL MASTER'!$S$2:$S$495))-(ROW('CONTROL MASTER'!#REF!)-1))))*(INDEX('CONTROL MASTER'!$AC$2:$AC$495,(SUMPRODUCT((('CONTROL MASTER'!$S$2:$S$495=8)*('CONTROL MASTER'!$Z$2:$Z$495&lt;=3)*('CONTROL MASTER'!$AB$2:$AB$495&gt;=3)*('CONTROL MASTER'!$AA$2:$AA$495&lt;=1)*('CONTROL MASTER'!$AC$2:$AC$495&gt;=1))*ROW('CONTROL MASTER'!$S$2:$S$495))-(ROW('CONTROL MASTER'!#REF!)-1)))-INDEX('CONTROL MASTER'!$AA$2:$AA$495,(SUMPRODUCT((('CONTROL MASTER'!$S$2:$S$495=8)*('CONTROL MASTER'!$Z$2:$Z$495&lt;=3)*('CONTROL MASTER'!$AB$2:$AB$495&gt;=3)*('CONTROL MASTER'!$AA$2:$AA$495&lt;=1)*('CONTROL MASTER'!$AC$2:$AC$495&gt;=1))*ROW('CONTROL MASTER'!$S$2:$S$495))-(ROW('CONTROL MASTER'!#REF!)-1)))+1)+(1-INDEX('CONTROL MASTER'!$AA$2:$AA$495,(SUMPRODUCT((('CONTROL MASTER'!$S$2:$S$495=8)*('CONTROL MASTER'!$Z$2:$Z$495&lt;=3)*('CONTROL MASTER'!$AB$2:$AB$495&gt;=3)*('CONTROL MASTER'!$AA$2:$AA$495&lt;=1)*('CONTROL MASTER'!$AC$2:$AC$495&gt;=1))*ROW('CONTROL MASTER'!$S$2:$S$495))-(ROW('CONTROL MASTER'!#REF!)-1))))+1)))-1)*50+1,50))&amp;"_"&amp;INDEX('CONTROL MASTER'!$P$2:$P$495,(SUMPRODUCT((('CONTROL MASTER'!$S$2:$S$495=8)*('CONTROL MASTER'!$Z$2:$Z$495&lt;=3)*('CONTROL MASTER'!$AB$2:$AB$495&gt;=3)*('CONTROL MASTER'!$AA$2:$AA$495&lt;=1)*('CONTROL MASTER'!$AC$2:$AC$495&gt;=1))*ROW('CONTROL MASTER'!$S$2:$S$495))-(ROW('CONTROL MASTER'!#REF!)-1))),"")),"")</f>
        <v/>
      </c>
      <c r="C103" s="10" t="str">
        <f>IFERROR(IF(SUMPRODUCT((('CONTROL MASTER'!$S$2:$S$495=8)*('CONTROL MASTER'!$T$2:$T$495&lt;=3)*('CONTROL MASTER'!$V$2:$V$495&gt;=3)*('CONTROL MASTER'!$U$2:$U$495&lt;=2)*('CONTROL MASTER'!$W$2:$W$495&gt;=2))*ROW('CONTROL MASTER'!$S$2:$S$495))&gt;0,INDEX('CONTROL MASTER'!$X$2:$X$495,(SUMPRODUCT((('CONTROL MASTER'!$S$2:$S$495=8)*('CONTROL MASTER'!$T$2:$T$495&lt;=3)*('CONTROL MASTER'!$V$2:$V$495&gt;=3)*('CONTROL MASTER'!$U$2:$U$495&lt;=2)*('CONTROL MASTER'!$W$2:$W$495&gt;=2))*ROW('CONTROL MASTER'!$S$2:$S$495))-(ROW('CONTROL MASTER'!#REF!)-1)))&amp;TRIM(MID(SUBSTITUTE(SUBSTITUTE(INDEX('CONTROL MASTER'!$N$2:$N$495,(SUMPRODUCT((('CONTROL MASTER'!$S$2:$S$495=8)*('CONTROL MASTER'!$T$2:$T$495&lt;=3)*('CONTROL MASTER'!$V$2:$V$495&gt;=3)*('CONTROL MASTER'!$U$2:$U$495&lt;=2)*('CONTROL MASTER'!$W$2:$W$495&gt;=2))*ROW('CONTROL MASTER'!$S$2:$S$495))-(ROW('CONTROL MASTER'!#REF!)-1))),":",","),",",REPT(" ",50)),((((3-INDEX('CONTROL MASTER'!$T$2:$T$495,(SUMPRODUCT((('CONTROL MASTER'!$S$2:$S$495=8)*('CONTROL MASTER'!$T$2:$T$495&lt;=3)*('CONTROL MASTER'!$V$2:$V$495&gt;=3)*('CONTROL MASTER'!$U$2:$U$495&lt;=2)*('CONTROL MASTER'!$W$2:$W$495&gt;=2))*ROW('CONTROL MASTER'!$S$2:$S$495))-(ROW('CONTROL MASTER'!#REF!)-1))))*(INDEX('CONTROL MASTER'!$W$2:$W$495,(SUMPRODUCT((('CONTROL MASTER'!$S$2:$S$495=8)*('CONTROL MASTER'!$T$2:$T$495&lt;=3)*('CONTROL MASTER'!$V$2:$V$495&gt;=3)*('CONTROL MASTER'!$U$2:$U$495&lt;=2)*('CONTROL MASTER'!$W$2:$W$495&gt;=2))*ROW('CONTROL MASTER'!$S$2:$S$495))-(ROW('CONTROL MASTER'!#REF!)-1)))-INDEX('CONTROL MASTER'!$U$2:$U$495,(SUMPRODUCT((('CONTROL MASTER'!$S$2:$S$495=8)*('CONTROL MASTER'!$T$2:$T$495&lt;=3)*('CONTROL MASTER'!$V$2:$V$495&gt;=3)*('CONTROL MASTER'!$U$2:$U$495&lt;=2)*('CONTROL MASTER'!$W$2:$W$495&gt;=2))*ROW('CONTROL MASTER'!$S$2:$S$495))-(ROW('CONTROL MASTER'!#REF!)-1)))+1)+(2-INDEX('CONTROL MASTER'!$U$2:$U$495,(SUMPRODUCT((('CONTROL MASTER'!$S$2:$S$495=8)*('CONTROL MASTER'!$T$2:$T$495&lt;=3)*('CONTROL MASTER'!$V$2:$V$495&gt;=3)*('CONTROL MASTER'!$U$2:$U$495&lt;=2)*('CONTROL MASTER'!$W$2:$W$495&gt;=2))*ROW('CONTROL MASTER'!$S$2:$S$495))-(ROW('CONTROL MASTER'!#REF!)-1))))+1))-1)*50+1,50))&amp;"_"&amp;INDEX('CONTROL MASTER'!$P$2:$P$495,(SUMPRODUCT((('CONTROL MASTER'!$S$2:$S$495=8)*('CONTROL MASTER'!$T$2:$T$495&lt;=3)*('CONTROL MASTER'!$V$2:$V$495&gt;=3)*('CONTROL MASTER'!$U$2:$U$495&lt;=2)*('CONTROL MASTER'!$W$2:$W$495&gt;=2))*ROW('CONTROL MASTER'!$S$2:$S$495))-(ROW('CONTROL MASTER'!#REF!)-1))),IF(SUMPRODUCT((('CONTROL MASTER'!$S$2:$S$495=8)*('CONTROL MASTER'!$Z$2:$Z$495&lt;=3)*('CONTROL MASTER'!$AB$2:$AB$495&gt;=3)*('CONTROL MASTER'!$AA$2:$AA$495&lt;=2)*('CONTROL MASTER'!$AC$2:$AC$495&gt;=2))*ROW('CONTROL MASTER'!$S$2:$S$495))&gt;0,INDEX('CONTROL MASTER'!$X$2:$X$495,(SUMPRODUCT((('CONTROL MASTER'!$S$2:$S$495=8)*('CONTROL MASTER'!$Z$2:$Z$495&lt;=3)*('CONTROL MASTER'!$AB$2:$AB$495&gt;=3)*('CONTROL MASTER'!$AA$2:$AA$495&lt;=2)*('CONTROL MASTER'!$AC$2:$AC$495&gt;=2))*ROW('CONTROL MASTER'!$S$2:$S$495))-(ROW('CONTROL MASTER'!#REF!)-1)))&amp;TRIM(MID(SUBSTITUTE(SUBSTITUTE(INDEX('CONTROL MASTER'!$N$2:$N$495,(SUMPRODUCT((('CONTROL MASTER'!$S$2:$S$495=8)*('CONTROL MASTER'!$Z$2:$Z$495&lt;=3)*('CONTROL MASTER'!$AB$2:$AB$495&gt;=3)*('CONTROL MASTER'!$AA$2:$AA$495&lt;=2)*('CONTROL MASTER'!$AC$2:$AC$495&gt;=2))*ROW('CONTROL MASTER'!$S$2:$S$495))-(ROW('CONTROL MASTER'!#REF!)-1))),":",","),",",REPT(" ",50)),(((INDEX('CONTROL MASTER'!$Y$2:$Y$495,(SUMPRODUCT((('CONTROL MASTER'!$S$2:$S$495=8)*('CONTROL MASTER'!$Z$2:$Z$495&lt;=3)*('CONTROL MASTER'!$AB$2:$AB$495&gt;=3)*('CONTROL MASTER'!$AA$2:$AA$495&lt;=2)*('CONTROL MASTER'!$AC$2:$AC$495&gt;=2))*ROW('CONTROL MASTER'!$S$2:$S$495))-(ROW('CONTROL MASTER'!#REF!)-1)))+((3-INDEX('CONTROL MASTER'!$Z$2:$Z$495,(SUMPRODUCT((('CONTROL MASTER'!$S$2:$S$495=8)*('CONTROL MASTER'!$Z$2:$Z$495&lt;=3)*('CONTROL MASTER'!$AB$2:$AB$495&gt;=3)*('CONTROL MASTER'!$AA$2:$AA$495&lt;=2)*('CONTROL MASTER'!$AC$2:$AC$495&gt;=2))*ROW('CONTROL MASTER'!$S$2:$S$495))-(ROW('CONTROL MASTER'!#REF!)-1))))*(INDEX('CONTROL MASTER'!$AC$2:$AC$495,(SUMPRODUCT((('CONTROL MASTER'!$S$2:$S$495=8)*('CONTROL MASTER'!$Z$2:$Z$495&lt;=3)*('CONTROL MASTER'!$AB$2:$AB$495&gt;=3)*('CONTROL MASTER'!$AA$2:$AA$495&lt;=2)*('CONTROL MASTER'!$AC$2:$AC$495&gt;=2))*ROW('CONTROL MASTER'!$S$2:$S$495))-(ROW('CONTROL MASTER'!#REF!)-1)))-INDEX('CONTROL MASTER'!$AA$2:$AA$495,(SUMPRODUCT((('CONTROL MASTER'!$S$2:$S$495=8)*('CONTROL MASTER'!$Z$2:$Z$495&lt;=3)*('CONTROL MASTER'!$AB$2:$AB$495&gt;=3)*('CONTROL MASTER'!$AA$2:$AA$495&lt;=2)*('CONTROL MASTER'!$AC$2:$AC$495&gt;=2))*ROW('CONTROL MASTER'!$S$2:$S$495))-(ROW('CONTROL MASTER'!#REF!)-1)))+1)+(2-INDEX('CONTROL MASTER'!$AA$2:$AA$495,(SUMPRODUCT((('CONTROL MASTER'!$S$2:$S$495=8)*('CONTROL MASTER'!$Z$2:$Z$495&lt;=3)*('CONTROL MASTER'!$AB$2:$AB$495&gt;=3)*('CONTROL MASTER'!$AA$2:$AA$495&lt;=2)*('CONTROL MASTER'!$AC$2:$AC$495&gt;=2))*ROW('CONTROL MASTER'!$S$2:$S$495))-(ROW('CONTROL MASTER'!#REF!)-1))))+1)))-1)*50+1,50))&amp;"_"&amp;INDEX('CONTROL MASTER'!$P$2:$P$495,(SUMPRODUCT((('CONTROL MASTER'!$S$2:$S$495=8)*('CONTROL MASTER'!$Z$2:$Z$495&lt;=3)*('CONTROL MASTER'!$AB$2:$AB$495&gt;=3)*('CONTROL MASTER'!$AA$2:$AA$495&lt;=2)*('CONTROL MASTER'!$AC$2:$AC$495&gt;=2))*ROW('CONTROL MASTER'!$S$2:$S$495))-(ROW('CONTROL MASTER'!#REF!)-1))),"")),"")</f>
        <v/>
      </c>
      <c r="D103" s="10" t="str">
        <f>IFERROR(IF(SUMPRODUCT((('CONTROL MASTER'!$S$2:$S$495=8)*('CONTROL MASTER'!$T$2:$T$495&lt;=3)*('CONTROL MASTER'!$V$2:$V$495&gt;=3)*('CONTROL MASTER'!$U$2:$U$495&lt;=3)*('CONTROL MASTER'!$W$2:$W$495&gt;=3))*ROW('CONTROL MASTER'!$S$2:$S$495))&gt;0,INDEX('CONTROL MASTER'!$X$2:$X$495,(SUMPRODUCT((('CONTROL MASTER'!$S$2:$S$495=8)*('CONTROL MASTER'!$T$2:$T$495&lt;=3)*('CONTROL MASTER'!$V$2:$V$495&gt;=3)*('CONTROL MASTER'!$U$2:$U$495&lt;=3)*('CONTROL MASTER'!$W$2:$W$495&gt;=3))*ROW('CONTROL MASTER'!$S$2:$S$495))-(ROW('CONTROL MASTER'!#REF!)-1)))&amp;TRIM(MID(SUBSTITUTE(SUBSTITUTE(INDEX('CONTROL MASTER'!$N$2:$N$495,(SUMPRODUCT((('CONTROL MASTER'!$S$2:$S$495=8)*('CONTROL MASTER'!$T$2:$T$495&lt;=3)*('CONTROL MASTER'!$V$2:$V$495&gt;=3)*('CONTROL MASTER'!$U$2:$U$495&lt;=3)*('CONTROL MASTER'!$W$2:$W$495&gt;=3))*ROW('CONTROL MASTER'!$S$2:$S$495))-(ROW('CONTROL MASTER'!#REF!)-1))),":",","),",",REPT(" ",50)),((((3-INDEX('CONTROL MASTER'!$T$2:$T$495,(SUMPRODUCT((('CONTROL MASTER'!$S$2:$S$495=8)*('CONTROL MASTER'!$T$2:$T$495&lt;=3)*('CONTROL MASTER'!$V$2:$V$495&gt;=3)*('CONTROL MASTER'!$U$2:$U$495&lt;=3)*('CONTROL MASTER'!$W$2:$W$495&gt;=3))*ROW('CONTROL MASTER'!$S$2:$S$495))-(ROW('CONTROL MASTER'!#REF!)-1))))*(INDEX('CONTROL MASTER'!$W$2:$W$495,(SUMPRODUCT((('CONTROL MASTER'!$S$2:$S$495=8)*('CONTROL MASTER'!$T$2:$T$495&lt;=3)*('CONTROL MASTER'!$V$2:$V$495&gt;=3)*('CONTROL MASTER'!$U$2:$U$495&lt;=3)*('CONTROL MASTER'!$W$2:$W$495&gt;=3))*ROW('CONTROL MASTER'!$S$2:$S$495))-(ROW('CONTROL MASTER'!#REF!)-1)))-INDEX('CONTROL MASTER'!$U$2:$U$495,(SUMPRODUCT((('CONTROL MASTER'!$S$2:$S$495=8)*('CONTROL MASTER'!$T$2:$T$495&lt;=3)*('CONTROL MASTER'!$V$2:$V$495&gt;=3)*('CONTROL MASTER'!$U$2:$U$495&lt;=3)*('CONTROL MASTER'!$W$2:$W$495&gt;=3))*ROW('CONTROL MASTER'!$S$2:$S$495))-(ROW('CONTROL MASTER'!#REF!)-1)))+1)+(3-INDEX('CONTROL MASTER'!$U$2:$U$495,(SUMPRODUCT((('CONTROL MASTER'!$S$2:$S$495=8)*('CONTROL MASTER'!$T$2:$T$495&lt;=3)*('CONTROL MASTER'!$V$2:$V$495&gt;=3)*('CONTROL MASTER'!$U$2:$U$495&lt;=3)*('CONTROL MASTER'!$W$2:$W$495&gt;=3))*ROW('CONTROL MASTER'!$S$2:$S$495))-(ROW('CONTROL MASTER'!#REF!)-1))))+1))-1)*50+1,50))&amp;"_"&amp;INDEX('CONTROL MASTER'!$P$2:$P$495,(SUMPRODUCT((('CONTROL MASTER'!$S$2:$S$495=8)*('CONTROL MASTER'!$T$2:$T$495&lt;=3)*('CONTROL MASTER'!$V$2:$V$495&gt;=3)*('CONTROL MASTER'!$U$2:$U$495&lt;=3)*('CONTROL MASTER'!$W$2:$W$495&gt;=3))*ROW('CONTROL MASTER'!$S$2:$S$495))-(ROW('CONTROL MASTER'!#REF!)-1))),IF(SUMPRODUCT((('CONTROL MASTER'!$S$2:$S$495=8)*('CONTROL MASTER'!$Z$2:$Z$495&lt;=3)*('CONTROL MASTER'!$AB$2:$AB$495&gt;=3)*('CONTROL MASTER'!$AA$2:$AA$495&lt;=3)*('CONTROL MASTER'!$AC$2:$AC$495&gt;=3))*ROW('CONTROL MASTER'!$S$2:$S$495))&gt;0,INDEX('CONTROL MASTER'!$X$2:$X$495,(SUMPRODUCT((('CONTROL MASTER'!$S$2:$S$495=8)*('CONTROL MASTER'!$Z$2:$Z$495&lt;=3)*('CONTROL MASTER'!$AB$2:$AB$495&gt;=3)*('CONTROL MASTER'!$AA$2:$AA$495&lt;=3)*('CONTROL MASTER'!$AC$2:$AC$495&gt;=3))*ROW('CONTROL MASTER'!$S$2:$S$495))-(ROW('CONTROL MASTER'!#REF!)-1)))&amp;TRIM(MID(SUBSTITUTE(SUBSTITUTE(INDEX('CONTROL MASTER'!$N$2:$N$495,(SUMPRODUCT((('CONTROL MASTER'!$S$2:$S$495=8)*('CONTROL MASTER'!$Z$2:$Z$495&lt;=3)*('CONTROL MASTER'!$AB$2:$AB$495&gt;=3)*('CONTROL MASTER'!$AA$2:$AA$495&lt;=3)*('CONTROL MASTER'!$AC$2:$AC$495&gt;=3))*ROW('CONTROL MASTER'!$S$2:$S$495))-(ROW('CONTROL MASTER'!#REF!)-1))),":",","),",",REPT(" ",50)),(((INDEX('CONTROL MASTER'!$Y$2:$Y$495,(SUMPRODUCT((('CONTROL MASTER'!$S$2:$S$495=8)*('CONTROL MASTER'!$Z$2:$Z$495&lt;=3)*('CONTROL MASTER'!$AB$2:$AB$495&gt;=3)*('CONTROL MASTER'!$AA$2:$AA$495&lt;=3)*('CONTROL MASTER'!$AC$2:$AC$495&gt;=3))*ROW('CONTROL MASTER'!$S$2:$S$495))-(ROW('CONTROL MASTER'!#REF!)-1)))+((3-INDEX('CONTROL MASTER'!$Z$2:$Z$495,(SUMPRODUCT((('CONTROL MASTER'!$S$2:$S$495=8)*('CONTROL MASTER'!$Z$2:$Z$495&lt;=3)*('CONTROL MASTER'!$AB$2:$AB$495&gt;=3)*('CONTROL MASTER'!$AA$2:$AA$495&lt;=3)*('CONTROL MASTER'!$AC$2:$AC$495&gt;=3))*ROW('CONTROL MASTER'!$S$2:$S$495))-(ROW('CONTROL MASTER'!#REF!)-1))))*(INDEX('CONTROL MASTER'!$AC$2:$AC$495,(SUMPRODUCT((('CONTROL MASTER'!$S$2:$S$495=8)*('CONTROL MASTER'!$Z$2:$Z$495&lt;=3)*('CONTROL MASTER'!$AB$2:$AB$495&gt;=3)*('CONTROL MASTER'!$AA$2:$AA$495&lt;=3)*('CONTROL MASTER'!$AC$2:$AC$495&gt;=3))*ROW('CONTROL MASTER'!$S$2:$S$495))-(ROW('CONTROL MASTER'!#REF!)-1)))-INDEX('CONTROL MASTER'!$AA$2:$AA$495,(SUMPRODUCT((('CONTROL MASTER'!$S$2:$S$495=8)*('CONTROL MASTER'!$Z$2:$Z$495&lt;=3)*('CONTROL MASTER'!$AB$2:$AB$495&gt;=3)*('CONTROL MASTER'!$AA$2:$AA$495&lt;=3)*('CONTROL MASTER'!$AC$2:$AC$495&gt;=3))*ROW('CONTROL MASTER'!$S$2:$S$495))-(ROW('CONTROL MASTER'!#REF!)-1)))+1)+(3-INDEX('CONTROL MASTER'!$AA$2:$AA$495,(SUMPRODUCT((('CONTROL MASTER'!$S$2:$S$495=8)*('CONTROL MASTER'!$Z$2:$Z$495&lt;=3)*('CONTROL MASTER'!$AB$2:$AB$495&gt;=3)*('CONTROL MASTER'!$AA$2:$AA$495&lt;=3)*('CONTROL MASTER'!$AC$2:$AC$495&gt;=3))*ROW('CONTROL MASTER'!$S$2:$S$495))-(ROW('CONTROL MASTER'!#REF!)-1))))+1)))-1)*50+1,50))&amp;"_"&amp;INDEX('CONTROL MASTER'!$P$2:$P$495,(SUMPRODUCT((('CONTROL MASTER'!$S$2:$S$495=8)*('CONTROL MASTER'!$Z$2:$Z$495&lt;=3)*('CONTROL MASTER'!$AB$2:$AB$495&gt;=3)*('CONTROL MASTER'!$AA$2:$AA$495&lt;=3)*('CONTROL MASTER'!$AC$2:$AC$495&gt;=3))*ROW('CONTROL MASTER'!$S$2:$S$495))-(ROW('CONTROL MASTER'!#REF!)-1))),"")),"")</f>
        <v/>
      </c>
      <c r="E103" s="10" t="str">
        <f>IFERROR(IF(SUMPRODUCT((('CONTROL MASTER'!$S$2:$S$495=8)*('CONTROL MASTER'!$T$2:$T$495&lt;=3)*('CONTROL MASTER'!$V$2:$V$495&gt;=3)*('CONTROL MASTER'!$U$2:$U$495&lt;=4)*('CONTROL MASTER'!$W$2:$W$495&gt;=4))*ROW('CONTROL MASTER'!$S$2:$S$495))&gt;0,INDEX('CONTROL MASTER'!$X$2:$X$495,(SUMPRODUCT((('CONTROL MASTER'!$S$2:$S$495=8)*('CONTROL MASTER'!$T$2:$T$495&lt;=3)*('CONTROL MASTER'!$V$2:$V$495&gt;=3)*('CONTROL MASTER'!$U$2:$U$495&lt;=4)*('CONTROL MASTER'!$W$2:$W$495&gt;=4))*ROW('CONTROL MASTER'!$S$2:$S$495))-(ROW('CONTROL MASTER'!#REF!)-1)))&amp;TRIM(MID(SUBSTITUTE(SUBSTITUTE(INDEX('CONTROL MASTER'!$N$2:$N$495,(SUMPRODUCT((('CONTROL MASTER'!$S$2:$S$495=8)*('CONTROL MASTER'!$T$2:$T$495&lt;=3)*('CONTROL MASTER'!$V$2:$V$495&gt;=3)*('CONTROL MASTER'!$U$2:$U$495&lt;=4)*('CONTROL MASTER'!$W$2:$W$495&gt;=4))*ROW('CONTROL MASTER'!$S$2:$S$495))-(ROW('CONTROL MASTER'!#REF!)-1))),":",","),",",REPT(" ",50)),((((3-INDEX('CONTROL MASTER'!$T$2:$T$495,(SUMPRODUCT((('CONTROL MASTER'!$S$2:$S$495=8)*('CONTROL MASTER'!$T$2:$T$495&lt;=3)*('CONTROL MASTER'!$V$2:$V$495&gt;=3)*('CONTROL MASTER'!$U$2:$U$495&lt;=4)*('CONTROL MASTER'!$W$2:$W$495&gt;=4))*ROW('CONTROL MASTER'!$S$2:$S$495))-(ROW('CONTROL MASTER'!#REF!)-1))))*(INDEX('CONTROL MASTER'!$W$2:$W$495,(SUMPRODUCT((('CONTROL MASTER'!$S$2:$S$495=8)*('CONTROL MASTER'!$T$2:$T$495&lt;=3)*('CONTROL MASTER'!$V$2:$V$495&gt;=3)*('CONTROL MASTER'!$U$2:$U$495&lt;=4)*('CONTROL MASTER'!$W$2:$W$495&gt;=4))*ROW('CONTROL MASTER'!$S$2:$S$495))-(ROW('CONTROL MASTER'!#REF!)-1)))-INDEX('CONTROL MASTER'!$U$2:$U$495,(SUMPRODUCT((('CONTROL MASTER'!$S$2:$S$495=8)*('CONTROL MASTER'!$T$2:$T$495&lt;=3)*('CONTROL MASTER'!$V$2:$V$495&gt;=3)*('CONTROL MASTER'!$U$2:$U$495&lt;=4)*('CONTROL MASTER'!$W$2:$W$495&gt;=4))*ROW('CONTROL MASTER'!$S$2:$S$495))-(ROW('CONTROL MASTER'!#REF!)-1)))+1)+(4-INDEX('CONTROL MASTER'!$U$2:$U$495,(SUMPRODUCT((('CONTROL MASTER'!$S$2:$S$495=8)*('CONTROL MASTER'!$T$2:$T$495&lt;=3)*('CONTROL MASTER'!$V$2:$V$495&gt;=3)*('CONTROL MASTER'!$U$2:$U$495&lt;=4)*('CONTROL MASTER'!$W$2:$W$495&gt;=4))*ROW('CONTROL MASTER'!$S$2:$S$495))-(ROW('CONTROL MASTER'!#REF!)-1))))+1))-1)*50+1,50))&amp;"_"&amp;INDEX('CONTROL MASTER'!$P$2:$P$495,(SUMPRODUCT((('CONTROL MASTER'!$S$2:$S$495=8)*('CONTROL MASTER'!$T$2:$T$495&lt;=3)*('CONTROL MASTER'!$V$2:$V$495&gt;=3)*('CONTROL MASTER'!$U$2:$U$495&lt;=4)*('CONTROL MASTER'!$W$2:$W$495&gt;=4))*ROW('CONTROL MASTER'!$S$2:$S$495))-(ROW('CONTROL MASTER'!#REF!)-1))),IF(SUMPRODUCT((('CONTROL MASTER'!$S$2:$S$495=8)*('CONTROL MASTER'!$Z$2:$Z$495&lt;=3)*('CONTROL MASTER'!$AB$2:$AB$495&gt;=3)*('CONTROL MASTER'!$AA$2:$AA$495&lt;=4)*('CONTROL MASTER'!$AC$2:$AC$495&gt;=4))*ROW('CONTROL MASTER'!$S$2:$S$495))&gt;0,INDEX('CONTROL MASTER'!$X$2:$X$495,(SUMPRODUCT((('CONTROL MASTER'!$S$2:$S$495=8)*('CONTROL MASTER'!$Z$2:$Z$495&lt;=3)*('CONTROL MASTER'!$AB$2:$AB$495&gt;=3)*('CONTROL MASTER'!$AA$2:$AA$495&lt;=4)*('CONTROL MASTER'!$AC$2:$AC$495&gt;=4))*ROW('CONTROL MASTER'!$S$2:$S$495))-(ROW('CONTROL MASTER'!#REF!)-1)))&amp;TRIM(MID(SUBSTITUTE(SUBSTITUTE(INDEX('CONTROL MASTER'!$N$2:$N$495,(SUMPRODUCT((('CONTROL MASTER'!$S$2:$S$495=8)*('CONTROL MASTER'!$Z$2:$Z$495&lt;=3)*('CONTROL MASTER'!$AB$2:$AB$495&gt;=3)*('CONTROL MASTER'!$AA$2:$AA$495&lt;=4)*('CONTROL MASTER'!$AC$2:$AC$495&gt;=4))*ROW('CONTROL MASTER'!$S$2:$S$495))-(ROW('CONTROL MASTER'!#REF!)-1))),":",","),",",REPT(" ",50)),(((INDEX('CONTROL MASTER'!$Y$2:$Y$495,(SUMPRODUCT((('CONTROL MASTER'!$S$2:$S$495=8)*('CONTROL MASTER'!$Z$2:$Z$495&lt;=3)*('CONTROL MASTER'!$AB$2:$AB$495&gt;=3)*('CONTROL MASTER'!$AA$2:$AA$495&lt;=4)*('CONTROL MASTER'!$AC$2:$AC$495&gt;=4))*ROW('CONTROL MASTER'!$S$2:$S$495))-(ROW('CONTROL MASTER'!#REF!)-1)))+((3-INDEX('CONTROL MASTER'!$Z$2:$Z$495,(SUMPRODUCT((('CONTROL MASTER'!$S$2:$S$495=8)*('CONTROL MASTER'!$Z$2:$Z$495&lt;=3)*('CONTROL MASTER'!$AB$2:$AB$495&gt;=3)*('CONTROL MASTER'!$AA$2:$AA$495&lt;=4)*('CONTROL MASTER'!$AC$2:$AC$495&gt;=4))*ROW('CONTROL MASTER'!$S$2:$S$495))-(ROW('CONTROL MASTER'!#REF!)-1))))*(INDEX('CONTROL MASTER'!$AC$2:$AC$495,(SUMPRODUCT((('CONTROL MASTER'!$S$2:$S$495=8)*('CONTROL MASTER'!$Z$2:$Z$495&lt;=3)*('CONTROL MASTER'!$AB$2:$AB$495&gt;=3)*('CONTROL MASTER'!$AA$2:$AA$495&lt;=4)*('CONTROL MASTER'!$AC$2:$AC$495&gt;=4))*ROW('CONTROL MASTER'!$S$2:$S$495))-(ROW('CONTROL MASTER'!#REF!)-1)))-INDEX('CONTROL MASTER'!$AA$2:$AA$495,(SUMPRODUCT((('CONTROL MASTER'!$S$2:$S$495=8)*('CONTROL MASTER'!$Z$2:$Z$495&lt;=3)*('CONTROL MASTER'!$AB$2:$AB$495&gt;=3)*('CONTROL MASTER'!$AA$2:$AA$495&lt;=4)*('CONTROL MASTER'!$AC$2:$AC$495&gt;=4))*ROW('CONTROL MASTER'!$S$2:$S$495))-(ROW('CONTROL MASTER'!#REF!)-1)))+1)+(4-INDEX('CONTROL MASTER'!$AA$2:$AA$495,(SUMPRODUCT((('CONTROL MASTER'!$S$2:$S$495=8)*('CONTROL MASTER'!$Z$2:$Z$495&lt;=3)*('CONTROL MASTER'!$AB$2:$AB$495&gt;=3)*('CONTROL MASTER'!$AA$2:$AA$495&lt;=4)*('CONTROL MASTER'!$AC$2:$AC$495&gt;=4))*ROW('CONTROL MASTER'!$S$2:$S$495))-(ROW('CONTROL MASTER'!#REF!)-1))))+1)))-1)*50+1,50))&amp;"_"&amp;INDEX('CONTROL MASTER'!$P$2:$P$495,(SUMPRODUCT((('CONTROL MASTER'!$S$2:$S$495=8)*('CONTROL MASTER'!$Z$2:$Z$495&lt;=3)*('CONTROL MASTER'!$AB$2:$AB$495&gt;=3)*('CONTROL MASTER'!$AA$2:$AA$495&lt;=4)*('CONTROL MASTER'!$AC$2:$AC$495&gt;=4))*ROW('CONTROL MASTER'!$S$2:$S$495))-(ROW('CONTROL MASTER'!#REF!)-1))),"")),"")</f>
        <v/>
      </c>
      <c r="F103" s="10" t="str">
        <f>IFERROR(IF(SUMPRODUCT((('CONTROL MASTER'!$S$2:$S$495=8)*('CONTROL MASTER'!$T$2:$T$495&lt;=3)*('CONTROL MASTER'!$V$2:$V$495&gt;=3)*('CONTROL MASTER'!$U$2:$U$495&lt;=5)*('CONTROL MASTER'!$W$2:$W$495&gt;=5))*ROW('CONTROL MASTER'!$S$2:$S$495))&gt;0,INDEX('CONTROL MASTER'!$X$2:$X$495,(SUMPRODUCT((('CONTROL MASTER'!$S$2:$S$495=8)*('CONTROL MASTER'!$T$2:$T$495&lt;=3)*('CONTROL MASTER'!$V$2:$V$495&gt;=3)*('CONTROL MASTER'!$U$2:$U$495&lt;=5)*('CONTROL MASTER'!$W$2:$W$495&gt;=5))*ROW('CONTROL MASTER'!$S$2:$S$495))-(ROW('CONTROL MASTER'!#REF!)-1)))&amp;TRIM(MID(SUBSTITUTE(SUBSTITUTE(INDEX('CONTROL MASTER'!$N$2:$N$495,(SUMPRODUCT((('CONTROL MASTER'!$S$2:$S$495=8)*('CONTROL MASTER'!$T$2:$T$495&lt;=3)*('CONTROL MASTER'!$V$2:$V$495&gt;=3)*('CONTROL MASTER'!$U$2:$U$495&lt;=5)*('CONTROL MASTER'!$W$2:$W$495&gt;=5))*ROW('CONTROL MASTER'!$S$2:$S$495))-(ROW('CONTROL MASTER'!#REF!)-1))),":",","),",",REPT(" ",50)),((((3-INDEX('CONTROL MASTER'!$T$2:$T$495,(SUMPRODUCT((('CONTROL MASTER'!$S$2:$S$495=8)*('CONTROL MASTER'!$T$2:$T$495&lt;=3)*('CONTROL MASTER'!$V$2:$V$495&gt;=3)*('CONTROL MASTER'!$U$2:$U$495&lt;=5)*('CONTROL MASTER'!$W$2:$W$495&gt;=5))*ROW('CONTROL MASTER'!$S$2:$S$495))-(ROW('CONTROL MASTER'!#REF!)-1))))*(INDEX('CONTROL MASTER'!$W$2:$W$495,(SUMPRODUCT((('CONTROL MASTER'!$S$2:$S$495=8)*('CONTROL MASTER'!$T$2:$T$495&lt;=3)*('CONTROL MASTER'!$V$2:$V$495&gt;=3)*('CONTROL MASTER'!$U$2:$U$495&lt;=5)*('CONTROL MASTER'!$W$2:$W$495&gt;=5))*ROW('CONTROL MASTER'!$S$2:$S$495))-(ROW('CONTROL MASTER'!#REF!)-1)))-INDEX('CONTROL MASTER'!$U$2:$U$495,(SUMPRODUCT((('CONTROL MASTER'!$S$2:$S$495=8)*('CONTROL MASTER'!$T$2:$T$495&lt;=3)*('CONTROL MASTER'!$V$2:$V$495&gt;=3)*('CONTROL MASTER'!$U$2:$U$495&lt;=5)*('CONTROL MASTER'!$W$2:$W$495&gt;=5))*ROW('CONTROL MASTER'!$S$2:$S$495))-(ROW('CONTROL MASTER'!#REF!)-1)))+1)+(5-INDEX('CONTROL MASTER'!$U$2:$U$495,(SUMPRODUCT((('CONTROL MASTER'!$S$2:$S$495=8)*('CONTROL MASTER'!$T$2:$T$495&lt;=3)*('CONTROL MASTER'!$V$2:$V$495&gt;=3)*('CONTROL MASTER'!$U$2:$U$495&lt;=5)*('CONTROL MASTER'!$W$2:$W$495&gt;=5))*ROW('CONTROL MASTER'!$S$2:$S$495))-(ROW('CONTROL MASTER'!#REF!)-1))))+1))-1)*50+1,50))&amp;"_"&amp;INDEX('CONTROL MASTER'!$P$2:$P$495,(SUMPRODUCT((('CONTROL MASTER'!$S$2:$S$495=8)*('CONTROL MASTER'!$T$2:$T$495&lt;=3)*('CONTROL MASTER'!$V$2:$V$495&gt;=3)*('CONTROL MASTER'!$U$2:$U$495&lt;=5)*('CONTROL MASTER'!$W$2:$W$495&gt;=5))*ROW('CONTROL MASTER'!$S$2:$S$495))-(ROW('CONTROL MASTER'!#REF!)-1))),IF(SUMPRODUCT((('CONTROL MASTER'!$S$2:$S$495=8)*('CONTROL MASTER'!$Z$2:$Z$495&lt;=3)*('CONTROL MASTER'!$AB$2:$AB$495&gt;=3)*('CONTROL MASTER'!$AA$2:$AA$495&lt;=5)*('CONTROL MASTER'!$AC$2:$AC$495&gt;=5))*ROW('CONTROL MASTER'!$S$2:$S$495))&gt;0,INDEX('CONTROL MASTER'!$X$2:$X$495,(SUMPRODUCT((('CONTROL MASTER'!$S$2:$S$495=8)*('CONTROL MASTER'!$Z$2:$Z$495&lt;=3)*('CONTROL MASTER'!$AB$2:$AB$495&gt;=3)*('CONTROL MASTER'!$AA$2:$AA$495&lt;=5)*('CONTROL MASTER'!$AC$2:$AC$495&gt;=5))*ROW('CONTROL MASTER'!$S$2:$S$495))-(ROW('CONTROL MASTER'!#REF!)-1)))&amp;TRIM(MID(SUBSTITUTE(SUBSTITUTE(INDEX('CONTROL MASTER'!$N$2:$N$495,(SUMPRODUCT((('CONTROL MASTER'!$S$2:$S$495=8)*('CONTROL MASTER'!$Z$2:$Z$495&lt;=3)*('CONTROL MASTER'!$AB$2:$AB$495&gt;=3)*('CONTROL MASTER'!$AA$2:$AA$495&lt;=5)*('CONTROL MASTER'!$AC$2:$AC$495&gt;=5))*ROW('CONTROL MASTER'!$S$2:$S$495))-(ROW('CONTROL MASTER'!#REF!)-1))),":",","),",",REPT(" ",50)),(((INDEX('CONTROL MASTER'!$Y$2:$Y$495,(SUMPRODUCT((('CONTROL MASTER'!$S$2:$S$495=8)*('CONTROL MASTER'!$Z$2:$Z$495&lt;=3)*('CONTROL MASTER'!$AB$2:$AB$495&gt;=3)*('CONTROL MASTER'!$AA$2:$AA$495&lt;=5)*('CONTROL MASTER'!$AC$2:$AC$495&gt;=5))*ROW('CONTROL MASTER'!$S$2:$S$495))-(ROW('CONTROL MASTER'!#REF!)-1)))+((3-INDEX('CONTROL MASTER'!$Z$2:$Z$495,(SUMPRODUCT((('CONTROL MASTER'!$S$2:$S$495=8)*('CONTROL MASTER'!$Z$2:$Z$495&lt;=3)*('CONTROL MASTER'!$AB$2:$AB$495&gt;=3)*('CONTROL MASTER'!$AA$2:$AA$495&lt;=5)*('CONTROL MASTER'!$AC$2:$AC$495&gt;=5))*ROW('CONTROL MASTER'!$S$2:$S$495))-(ROW('CONTROL MASTER'!#REF!)-1))))*(INDEX('CONTROL MASTER'!$AC$2:$AC$495,(SUMPRODUCT((('CONTROL MASTER'!$S$2:$S$495=8)*('CONTROL MASTER'!$Z$2:$Z$495&lt;=3)*('CONTROL MASTER'!$AB$2:$AB$495&gt;=3)*('CONTROL MASTER'!$AA$2:$AA$495&lt;=5)*('CONTROL MASTER'!$AC$2:$AC$495&gt;=5))*ROW('CONTROL MASTER'!$S$2:$S$495))-(ROW('CONTROL MASTER'!#REF!)-1)))-INDEX('CONTROL MASTER'!$AA$2:$AA$495,(SUMPRODUCT((('CONTROL MASTER'!$S$2:$S$495=8)*('CONTROL MASTER'!$Z$2:$Z$495&lt;=3)*('CONTROL MASTER'!$AB$2:$AB$495&gt;=3)*('CONTROL MASTER'!$AA$2:$AA$495&lt;=5)*('CONTROL MASTER'!$AC$2:$AC$495&gt;=5))*ROW('CONTROL MASTER'!$S$2:$S$495))-(ROW('CONTROL MASTER'!#REF!)-1)))+1)+(5-INDEX('CONTROL MASTER'!$AA$2:$AA$495,(SUMPRODUCT((('CONTROL MASTER'!$S$2:$S$495=8)*('CONTROL MASTER'!$Z$2:$Z$495&lt;=3)*('CONTROL MASTER'!$AB$2:$AB$495&gt;=3)*('CONTROL MASTER'!$AA$2:$AA$495&lt;=5)*('CONTROL MASTER'!$AC$2:$AC$495&gt;=5))*ROW('CONTROL MASTER'!$S$2:$S$495))-(ROW('CONTROL MASTER'!#REF!)-1))))+1)))-1)*50+1,50))&amp;"_"&amp;INDEX('CONTROL MASTER'!$P$2:$P$495,(SUMPRODUCT((('CONTROL MASTER'!$S$2:$S$495=8)*('CONTROL MASTER'!$Z$2:$Z$495&lt;=3)*('CONTROL MASTER'!$AB$2:$AB$495&gt;=3)*('CONTROL MASTER'!$AA$2:$AA$495&lt;=5)*('CONTROL MASTER'!$AC$2:$AC$495&gt;=5))*ROW('CONTROL MASTER'!$S$2:$S$495))-(ROW('CONTROL MASTER'!#REF!)-1))),"")),"")</f>
        <v/>
      </c>
      <c r="G103" s="10" t="str">
        <f>IFERROR(IF(SUMPRODUCT((('CONTROL MASTER'!$S$2:$S$495=8)*('CONTROL MASTER'!$T$2:$T$495&lt;=3)*('CONTROL MASTER'!$V$2:$V$495&gt;=3)*('CONTROL MASTER'!$U$2:$U$495&lt;=6)*('CONTROL MASTER'!$W$2:$W$495&gt;=6))*ROW('CONTROL MASTER'!$S$2:$S$495))&gt;0,INDEX('CONTROL MASTER'!$X$2:$X$495,(SUMPRODUCT((('CONTROL MASTER'!$S$2:$S$495=8)*('CONTROL MASTER'!$T$2:$T$495&lt;=3)*('CONTROL MASTER'!$V$2:$V$495&gt;=3)*('CONTROL MASTER'!$U$2:$U$495&lt;=6)*('CONTROL MASTER'!$W$2:$W$495&gt;=6))*ROW('CONTROL MASTER'!$S$2:$S$495))-(ROW('CONTROL MASTER'!#REF!)-1)))&amp;TRIM(MID(SUBSTITUTE(SUBSTITUTE(INDEX('CONTROL MASTER'!$N$2:$N$495,(SUMPRODUCT((('CONTROL MASTER'!$S$2:$S$495=8)*('CONTROL MASTER'!$T$2:$T$495&lt;=3)*('CONTROL MASTER'!$V$2:$V$495&gt;=3)*('CONTROL MASTER'!$U$2:$U$495&lt;=6)*('CONTROL MASTER'!$W$2:$W$495&gt;=6))*ROW('CONTROL MASTER'!$S$2:$S$495))-(ROW('CONTROL MASTER'!#REF!)-1))),":",","),",",REPT(" ",50)),((((3-INDEX('CONTROL MASTER'!$T$2:$T$495,(SUMPRODUCT((('CONTROL MASTER'!$S$2:$S$495=8)*('CONTROL MASTER'!$T$2:$T$495&lt;=3)*('CONTROL MASTER'!$V$2:$V$495&gt;=3)*('CONTROL MASTER'!$U$2:$U$495&lt;=6)*('CONTROL MASTER'!$W$2:$W$495&gt;=6))*ROW('CONTROL MASTER'!$S$2:$S$495))-(ROW('CONTROL MASTER'!#REF!)-1))))*(INDEX('CONTROL MASTER'!$W$2:$W$495,(SUMPRODUCT((('CONTROL MASTER'!$S$2:$S$495=8)*('CONTROL MASTER'!$T$2:$T$495&lt;=3)*('CONTROL MASTER'!$V$2:$V$495&gt;=3)*('CONTROL MASTER'!$U$2:$U$495&lt;=6)*('CONTROL MASTER'!$W$2:$W$495&gt;=6))*ROW('CONTROL MASTER'!$S$2:$S$495))-(ROW('CONTROL MASTER'!#REF!)-1)))-INDEX('CONTROL MASTER'!$U$2:$U$495,(SUMPRODUCT((('CONTROL MASTER'!$S$2:$S$495=8)*('CONTROL MASTER'!$T$2:$T$495&lt;=3)*('CONTROL MASTER'!$V$2:$V$495&gt;=3)*('CONTROL MASTER'!$U$2:$U$495&lt;=6)*('CONTROL MASTER'!$W$2:$W$495&gt;=6))*ROW('CONTROL MASTER'!$S$2:$S$495))-(ROW('CONTROL MASTER'!#REF!)-1)))+1)+(6-INDEX('CONTROL MASTER'!$U$2:$U$495,(SUMPRODUCT((('CONTROL MASTER'!$S$2:$S$495=8)*('CONTROL MASTER'!$T$2:$T$495&lt;=3)*('CONTROL MASTER'!$V$2:$V$495&gt;=3)*('CONTROL MASTER'!$U$2:$U$495&lt;=6)*('CONTROL MASTER'!$W$2:$W$495&gt;=6))*ROW('CONTROL MASTER'!$S$2:$S$495))-(ROW('CONTROL MASTER'!#REF!)-1))))+1))-1)*50+1,50))&amp;"_"&amp;INDEX('CONTROL MASTER'!$P$2:$P$495,(SUMPRODUCT((('CONTROL MASTER'!$S$2:$S$495=8)*('CONTROL MASTER'!$T$2:$T$495&lt;=3)*('CONTROL MASTER'!$V$2:$V$495&gt;=3)*('CONTROL MASTER'!$U$2:$U$495&lt;=6)*('CONTROL MASTER'!$W$2:$W$495&gt;=6))*ROW('CONTROL MASTER'!$S$2:$S$495))-(ROW('CONTROL MASTER'!#REF!)-1))),IF(SUMPRODUCT((('CONTROL MASTER'!$S$2:$S$495=8)*('CONTROL MASTER'!$Z$2:$Z$495&lt;=3)*('CONTROL MASTER'!$AB$2:$AB$495&gt;=3)*('CONTROL MASTER'!$AA$2:$AA$495&lt;=6)*('CONTROL MASTER'!$AC$2:$AC$495&gt;=6))*ROW('CONTROL MASTER'!$S$2:$S$495))&gt;0,INDEX('CONTROL MASTER'!$X$2:$X$495,(SUMPRODUCT((('CONTROL MASTER'!$S$2:$S$495=8)*('CONTROL MASTER'!$Z$2:$Z$495&lt;=3)*('CONTROL MASTER'!$AB$2:$AB$495&gt;=3)*('CONTROL MASTER'!$AA$2:$AA$495&lt;=6)*('CONTROL MASTER'!$AC$2:$AC$495&gt;=6))*ROW('CONTROL MASTER'!$S$2:$S$495))-(ROW('CONTROL MASTER'!#REF!)-1)))&amp;TRIM(MID(SUBSTITUTE(SUBSTITUTE(INDEX('CONTROL MASTER'!$N$2:$N$495,(SUMPRODUCT((('CONTROL MASTER'!$S$2:$S$495=8)*('CONTROL MASTER'!$Z$2:$Z$495&lt;=3)*('CONTROL MASTER'!$AB$2:$AB$495&gt;=3)*('CONTROL MASTER'!$AA$2:$AA$495&lt;=6)*('CONTROL MASTER'!$AC$2:$AC$495&gt;=6))*ROW('CONTROL MASTER'!$S$2:$S$495))-(ROW('CONTROL MASTER'!#REF!)-1))),":",","),",",REPT(" ",50)),(((INDEX('CONTROL MASTER'!$Y$2:$Y$495,(SUMPRODUCT((('CONTROL MASTER'!$S$2:$S$495=8)*('CONTROL MASTER'!$Z$2:$Z$495&lt;=3)*('CONTROL MASTER'!$AB$2:$AB$495&gt;=3)*('CONTROL MASTER'!$AA$2:$AA$495&lt;=6)*('CONTROL MASTER'!$AC$2:$AC$495&gt;=6))*ROW('CONTROL MASTER'!$S$2:$S$495))-(ROW('CONTROL MASTER'!#REF!)-1)))+((3-INDEX('CONTROL MASTER'!$Z$2:$Z$495,(SUMPRODUCT((('CONTROL MASTER'!$S$2:$S$495=8)*('CONTROL MASTER'!$Z$2:$Z$495&lt;=3)*('CONTROL MASTER'!$AB$2:$AB$495&gt;=3)*('CONTROL MASTER'!$AA$2:$AA$495&lt;=6)*('CONTROL MASTER'!$AC$2:$AC$495&gt;=6))*ROW('CONTROL MASTER'!$S$2:$S$495))-(ROW('CONTROL MASTER'!#REF!)-1))))*(INDEX('CONTROL MASTER'!$AC$2:$AC$495,(SUMPRODUCT((('CONTROL MASTER'!$S$2:$S$495=8)*('CONTROL MASTER'!$Z$2:$Z$495&lt;=3)*('CONTROL MASTER'!$AB$2:$AB$495&gt;=3)*('CONTROL MASTER'!$AA$2:$AA$495&lt;=6)*('CONTROL MASTER'!$AC$2:$AC$495&gt;=6))*ROW('CONTROL MASTER'!$S$2:$S$495))-(ROW('CONTROL MASTER'!#REF!)-1)))-INDEX('CONTROL MASTER'!$AA$2:$AA$495,(SUMPRODUCT((('CONTROL MASTER'!$S$2:$S$495=8)*('CONTROL MASTER'!$Z$2:$Z$495&lt;=3)*('CONTROL MASTER'!$AB$2:$AB$495&gt;=3)*('CONTROL MASTER'!$AA$2:$AA$495&lt;=6)*('CONTROL MASTER'!$AC$2:$AC$495&gt;=6))*ROW('CONTROL MASTER'!$S$2:$S$495))-(ROW('CONTROL MASTER'!#REF!)-1)))+1)+(6-INDEX('CONTROL MASTER'!$AA$2:$AA$495,(SUMPRODUCT((('CONTROL MASTER'!$S$2:$S$495=8)*('CONTROL MASTER'!$Z$2:$Z$495&lt;=3)*('CONTROL MASTER'!$AB$2:$AB$495&gt;=3)*('CONTROL MASTER'!$AA$2:$AA$495&lt;=6)*('CONTROL MASTER'!$AC$2:$AC$495&gt;=6))*ROW('CONTROL MASTER'!$S$2:$S$495))-(ROW('CONTROL MASTER'!#REF!)-1))))+1)))-1)*50+1,50))&amp;"_"&amp;INDEX('CONTROL MASTER'!$P$2:$P$495,(SUMPRODUCT((('CONTROL MASTER'!$S$2:$S$495=8)*('CONTROL MASTER'!$Z$2:$Z$495&lt;=3)*('CONTROL MASTER'!$AB$2:$AB$495&gt;=3)*('CONTROL MASTER'!$AA$2:$AA$495&lt;=6)*('CONTROL MASTER'!$AC$2:$AC$495&gt;=6))*ROW('CONTROL MASTER'!$S$2:$S$495))-(ROW('CONTROL MASTER'!#REF!)-1))),"")),"")</f>
        <v/>
      </c>
      <c r="H103" s="10" t="str">
        <f>IFERROR(IF(SUMPRODUCT((('CONTROL MASTER'!$S$2:$S$495=8)*('CONTROL MASTER'!$T$2:$T$495&lt;=3)*('CONTROL MASTER'!$V$2:$V$495&gt;=3)*('CONTROL MASTER'!$U$2:$U$495&lt;=7)*('CONTROL MASTER'!$W$2:$W$495&gt;=7))*ROW('CONTROL MASTER'!$S$2:$S$495))&gt;0,INDEX('CONTROL MASTER'!$X$2:$X$495,(SUMPRODUCT((('CONTROL MASTER'!$S$2:$S$495=8)*('CONTROL MASTER'!$T$2:$T$495&lt;=3)*('CONTROL MASTER'!$V$2:$V$495&gt;=3)*('CONTROL MASTER'!$U$2:$U$495&lt;=7)*('CONTROL MASTER'!$W$2:$W$495&gt;=7))*ROW('CONTROL MASTER'!$S$2:$S$495))-(ROW('CONTROL MASTER'!#REF!)-1)))&amp;TRIM(MID(SUBSTITUTE(SUBSTITUTE(INDEX('CONTROL MASTER'!$N$2:$N$495,(SUMPRODUCT((('CONTROL MASTER'!$S$2:$S$495=8)*('CONTROL MASTER'!$T$2:$T$495&lt;=3)*('CONTROL MASTER'!$V$2:$V$495&gt;=3)*('CONTROL MASTER'!$U$2:$U$495&lt;=7)*('CONTROL MASTER'!$W$2:$W$495&gt;=7))*ROW('CONTROL MASTER'!$S$2:$S$495))-(ROW('CONTROL MASTER'!#REF!)-1))),":",","),",",REPT(" ",50)),((((3-INDEX('CONTROL MASTER'!$T$2:$T$495,(SUMPRODUCT((('CONTROL MASTER'!$S$2:$S$495=8)*('CONTROL MASTER'!$T$2:$T$495&lt;=3)*('CONTROL MASTER'!$V$2:$V$495&gt;=3)*('CONTROL MASTER'!$U$2:$U$495&lt;=7)*('CONTROL MASTER'!$W$2:$W$495&gt;=7))*ROW('CONTROL MASTER'!$S$2:$S$495))-(ROW('CONTROL MASTER'!#REF!)-1))))*(INDEX('CONTROL MASTER'!$W$2:$W$495,(SUMPRODUCT((('CONTROL MASTER'!$S$2:$S$495=8)*('CONTROL MASTER'!$T$2:$T$495&lt;=3)*('CONTROL MASTER'!$V$2:$V$495&gt;=3)*('CONTROL MASTER'!$U$2:$U$495&lt;=7)*('CONTROL MASTER'!$W$2:$W$495&gt;=7))*ROW('CONTROL MASTER'!$S$2:$S$495))-(ROW('CONTROL MASTER'!#REF!)-1)))-INDEX('CONTROL MASTER'!$U$2:$U$495,(SUMPRODUCT((('CONTROL MASTER'!$S$2:$S$495=8)*('CONTROL MASTER'!$T$2:$T$495&lt;=3)*('CONTROL MASTER'!$V$2:$V$495&gt;=3)*('CONTROL MASTER'!$U$2:$U$495&lt;=7)*('CONTROL MASTER'!$W$2:$W$495&gt;=7))*ROW('CONTROL MASTER'!$S$2:$S$495))-(ROW('CONTROL MASTER'!#REF!)-1)))+1)+(7-INDEX('CONTROL MASTER'!$U$2:$U$495,(SUMPRODUCT((('CONTROL MASTER'!$S$2:$S$495=8)*('CONTROL MASTER'!$T$2:$T$495&lt;=3)*('CONTROL MASTER'!$V$2:$V$495&gt;=3)*('CONTROL MASTER'!$U$2:$U$495&lt;=7)*('CONTROL MASTER'!$W$2:$W$495&gt;=7))*ROW('CONTROL MASTER'!$S$2:$S$495))-(ROW('CONTROL MASTER'!#REF!)-1))))+1))-1)*50+1,50))&amp;"_"&amp;INDEX('CONTROL MASTER'!$P$2:$P$495,(SUMPRODUCT((('CONTROL MASTER'!$S$2:$S$495=8)*('CONTROL MASTER'!$T$2:$T$495&lt;=3)*('CONTROL MASTER'!$V$2:$V$495&gt;=3)*('CONTROL MASTER'!$U$2:$U$495&lt;=7)*('CONTROL MASTER'!$W$2:$W$495&gt;=7))*ROW('CONTROL MASTER'!$S$2:$S$495))-(ROW('CONTROL MASTER'!#REF!)-1))),IF(SUMPRODUCT((('CONTROL MASTER'!$S$2:$S$495=8)*('CONTROL MASTER'!$Z$2:$Z$495&lt;=3)*('CONTROL MASTER'!$AB$2:$AB$495&gt;=3)*('CONTROL MASTER'!$AA$2:$AA$495&lt;=7)*('CONTROL MASTER'!$AC$2:$AC$495&gt;=7))*ROW('CONTROL MASTER'!$S$2:$S$495))&gt;0,INDEX('CONTROL MASTER'!$X$2:$X$495,(SUMPRODUCT((('CONTROL MASTER'!$S$2:$S$495=8)*('CONTROL MASTER'!$Z$2:$Z$495&lt;=3)*('CONTROL MASTER'!$AB$2:$AB$495&gt;=3)*('CONTROL MASTER'!$AA$2:$AA$495&lt;=7)*('CONTROL MASTER'!$AC$2:$AC$495&gt;=7))*ROW('CONTROL MASTER'!$S$2:$S$495))-(ROW('CONTROL MASTER'!#REF!)-1)))&amp;TRIM(MID(SUBSTITUTE(SUBSTITUTE(INDEX('CONTROL MASTER'!$N$2:$N$495,(SUMPRODUCT((('CONTROL MASTER'!$S$2:$S$495=8)*('CONTROL MASTER'!$Z$2:$Z$495&lt;=3)*('CONTROL MASTER'!$AB$2:$AB$495&gt;=3)*('CONTROL MASTER'!$AA$2:$AA$495&lt;=7)*('CONTROL MASTER'!$AC$2:$AC$495&gt;=7))*ROW('CONTROL MASTER'!$S$2:$S$495))-(ROW('CONTROL MASTER'!#REF!)-1))),":",","),",",REPT(" ",50)),(((INDEX('CONTROL MASTER'!$Y$2:$Y$495,(SUMPRODUCT((('CONTROL MASTER'!$S$2:$S$495=8)*('CONTROL MASTER'!$Z$2:$Z$495&lt;=3)*('CONTROL MASTER'!$AB$2:$AB$495&gt;=3)*('CONTROL MASTER'!$AA$2:$AA$495&lt;=7)*('CONTROL MASTER'!$AC$2:$AC$495&gt;=7))*ROW('CONTROL MASTER'!$S$2:$S$495))-(ROW('CONTROL MASTER'!#REF!)-1)))+((3-INDEX('CONTROL MASTER'!$Z$2:$Z$495,(SUMPRODUCT((('CONTROL MASTER'!$S$2:$S$495=8)*('CONTROL MASTER'!$Z$2:$Z$495&lt;=3)*('CONTROL MASTER'!$AB$2:$AB$495&gt;=3)*('CONTROL MASTER'!$AA$2:$AA$495&lt;=7)*('CONTROL MASTER'!$AC$2:$AC$495&gt;=7))*ROW('CONTROL MASTER'!$S$2:$S$495))-(ROW('CONTROL MASTER'!#REF!)-1))))*(INDEX('CONTROL MASTER'!$AC$2:$AC$495,(SUMPRODUCT((('CONTROL MASTER'!$S$2:$S$495=8)*('CONTROL MASTER'!$Z$2:$Z$495&lt;=3)*('CONTROL MASTER'!$AB$2:$AB$495&gt;=3)*('CONTROL MASTER'!$AA$2:$AA$495&lt;=7)*('CONTROL MASTER'!$AC$2:$AC$495&gt;=7))*ROW('CONTROL MASTER'!$S$2:$S$495))-(ROW('CONTROL MASTER'!#REF!)-1)))-INDEX('CONTROL MASTER'!$AA$2:$AA$495,(SUMPRODUCT((('CONTROL MASTER'!$S$2:$S$495=8)*('CONTROL MASTER'!$Z$2:$Z$495&lt;=3)*('CONTROL MASTER'!$AB$2:$AB$495&gt;=3)*('CONTROL MASTER'!$AA$2:$AA$495&lt;=7)*('CONTROL MASTER'!$AC$2:$AC$495&gt;=7))*ROW('CONTROL MASTER'!$S$2:$S$495))-(ROW('CONTROL MASTER'!#REF!)-1)))+1)+(7-INDEX('CONTROL MASTER'!$AA$2:$AA$495,(SUMPRODUCT((('CONTROL MASTER'!$S$2:$S$495=8)*('CONTROL MASTER'!$Z$2:$Z$495&lt;=3)*('CONTROL MASTER'!$AB$2:$AB$495&gt;=3)*('CONTROL MASTER'!$AA$2:$AA$495&lt;=7)*('CONTROL MASTER'!$AC$2:$AC$495&gt;=7))*ROW('CONTROL MASTER'!$S$2:$S$495))-(ROW('CONTROL MASTER'!#REF!)-1))))+1)))-1)*50+1,50))&amp;"_"&amp;INDEX('CONTROL MASTER'!$P$2:$P$495,(SUMPRODUCT((('CONTROL MASTER'!$S$2:$S$495=8)*('CONTROL MASTER'!$Z$2:$Z$495&lt;=3)*('CONTROL MASTER'!$AB$2:$AB$495&gt;=3)*('CONTROL MASTER'!$AA$2:$AA$495&lt;=7)*('CONTROL MASTER'!$AC$2:$AC$495&gt;=7))*ROW('CONTROL MASTER'!$S$2:$S$495))-(ROW('CONTROL MASTER'!#REF!)-1))),"")),"")</f>
        <v/>
      </c>
      <c r="I103" s="10" t="str">
        <f>IFERROR(IF(SUMPRODUCT((('CONTROL MASTER'!$S$2:$S$495=8)*('CONTROL MASTER'!$T$2:$T$495&lt;=3)*('CONTROL MASTER'!$V$2:$V$495&gt;=3)*('CONTROL MASTER'!$U$2:$U$495&lt;=8)*('CONTROL MASTER'!$W$2:$W$495&gt;=8))*ROW('CONTROL MASTER'!$S$2:$S$495))&gt;0,INDEX('CONTROL MASTER'!$X$2:$X$495,(SUMPRODUCT((('CONTROL MASTER'!$S$2:$S$495=8)*('CONTROL MASTER'!$T$2:$T$495&lt;=3)*('CONTROL MASTER'!$V$2:$V$495&gt;=3)*('CONTROL MASTER'!$U$2:$U$495&lt;=8)*('CONTROL MASTER'!$W$2:$W$495&gt;=8))*ROW('CONTROL MASTER'!$S$2:$S$495))-(ROW('CONTROL MASTER'!#REF!)-1)))&amp;TRIM(MID(SUBSTITUTE(SUBSTITUTE(INDEX('CONTROL MASTER'!$N$2:$N$495,(SUMPRODUCT((('CONTROL MASTER'!$S$2:$S$495=8)*('CONTROL MASTER'!$T$2:$T$495&lt;=3)*('CONTROL MASTER'!$V$2:$V$495&gt;=3)*('CONTROL MASTER'!$U$2:$U$495&lt;=8)*('CONTROL MASTER'!$W$2:$W$495&gt;=8))*ROW('CONTROL MASTER'!$S$2:$S$495))-(ROW('CONTROL MASTER'!#REF!)-1))),":",","),",",REPT(" ",50)),((((3-INDEX('CONTROL MASTER'!$T$2:$T$495,(SUMPRODUCT((('CONTROL MASTER'!$S$2:$S$495=8)*('CONTROL MASTER'!$T$2:$T$495&lt;=3)*('CONTROL MASTER'!$V$2:$V$495&gt;=3)*('CONTROL MASTER'!$U$2:$U$495&lt;=8)*('CONTROL MASTER'!$W$2:$W$495&gt;=8))*ROW('CONTROL MASTER'!$S$2:$S$495))-(ROW('CONTROL MASTER'!#REF!)-1))))*(INDEX('CONTROL MASTER'!$W$2:$W$495,(SUMPRODUCT((('CONTROL MASTER'!$S$2:$S$495=8)*('CONTROL MASTER'!$T$2:$T$495&lt;=3)*('CONTROL MASTER'!$V$2:$V$495&gt;=3)*('CONTROL MASTER'!$U$2:$U$495&lt;=8)*('CONTROL MASTER'!$W$2:$W$495&gt;=8))*ROW('CONTROL MASTER'!$S$2:$S$495))-(ROW('CONTROL MASTER'!#REF!)-1)))-INDEX('CONTROL MASTER'!$U$2:$U$495,(SUMPRODUCT((('CONTROL MASTER'!$S$2:$S$495=8)*('CONTROL MASTER'!$T$2:$T$495&lt;=3)*('CONTROL MASTER'!$V$2:$V$495&gt;=3)*('CONTROL MASTER'!$U$2:$U$495&lt;=8)*('CONTROL MASTER'!$W$2:$W$495&gt;=8))*ROW('CONTROL MASTER'!$S$2:$S$495))-(ROW('CONTROL MASTER'!#REF!)-1)))+1)+(8-INDEX('CONTROL MASTER'!$U$2:$U$495,(SUMPRODUCT((('CONTROL MASTER'!$S$2:$S$495=8)*('CONTROL MASTER'!$T$2:$T$495&lt;=3)*('CONTROL MASTER'!$V$2:$V$495&gt;=3)*('CONTROL MASTER'!$U$2:$U$495&lt;=8)*('CONTROL MASTER'!$W$2:$W$495&gt;=8))*ROW('CONTROL MASTER'!$S$2:$S$495))-(ROW('CONTROL MASTER'!#REF!)-1))))+1))-1)*50+1,50))&amp;"_"&amp;INDEX('CONTROL MASTER'!$P$2:$P$495,(SUMPRODUCT((('CONTROL MASTER'!$S$2:$S$495=8)*('CONTROL MASTER'!$T$2:$T$495&lt;=3)*('CONTROL MASTER'!$V$2:$V$495&gt;=3)*('CONTROL MASTER'!$U$2:$U$495&lt;=8)*('CONTROL MASTER'!$W$2:$W$495&gt;=8))*ROW('CONTROL MASTER'!$S$2:$S$495))-(ROW('CONTROL MASTER'!#REF!)-1))),IF(SUMPRODUCT((('CONTROL MASTER'!$S$2:$S$495=8)*('CONTROL MASTER'!$Z$2:$Z$495&lt;=3)*('CONTROL MASTER'!$AB$2:$AB$495&gt;=3)*('CONTROL MASTER'!$AA$2:$AA$495&lt;=8)*('CONTROL MASTER'!$AC$2:$AC$495&gt;=8))*ROW('CONTROL MASTER'!$S$2:$S$495))&gt;0,INDEX('CONTROL MASTER'!$X$2:$X$495,(SUMPRODUCT((('CONTROL MASTER'!$S$2:$S$495=8)*('CONTROL MASTER'!$Z$2:$Z$495&lt;=3)*('CONTROL MASTER'!$AB$2:$AB$495&gt;=3)*('CONTROL MASTER'!$AA$2:$AA$495&lt;=8)*('CONTROL MASTER'!$AC$2:$AC$495&gt;=8))*ROW('CONTROL MASTER'!$S$2:$S$495))-(ROW('CONTROL MASTER'!#REF!)-1)))&amp;TRIM(MID(SUBSTITUTE(SUBSTITUTE(INDEX('CONTROL MASTER'!$N$2:$N$495,(SUMPRODUCT((('CONTROL MASTER'!$S$2:$S$495=8)*('CONTROL MASTER'!$Z$2:$Z$495&lt;=3)*('CONTROL MASTER'!$AB$2:$AB$495&gt;=3)*('CONTROL MASTER'!$AA$2:$AA$495&lt;=8)*('CONTROL MASTER'!$AC$2:$AC$495&gt;=8))*ROW('CONTROL MASTER'!$S$2:$S$495))-(ROW('CONTROL MASTER'!#REF!)-1))),":",","),",",REPT(" ",50)),(((INDEX('CONTROL MASTER'!$Y$2:$Y$495,(SUMPRODUCT((('CONTROL MASTER'!$S$2:$S$495=8)*('CONTROL MASTER'!$Z$2:$Z$495&lt;=3)*('CONTROL MASTER'!$AB$2:$AB$495&gt;=3)*('CONTROL MASTER'!$AA$2:$AA$495&lt;=8)*('CONTROL MASTER'!$AC$2:$AC$495&gt;=8))*ROW('CONTROL MASTER'!$S$2:$S$495))-(ROW('CONTROL MASTER'!#REF!)-1)))+((3-INDEX('CONTROL MASTER'!$Z$2:$Z$495,(SUMPRODUCT((('CONTROL MASTER'!$S$2:$S$495=8)*('CONTROL MASTER'!$Z$2:$Z$495&lt;=3)*('CONTROL MASTER'!$AB$2:$AB$495&gt;=3)*('CONTROL MASTER'!$AA$2:$AA$495&lt;=8)*('CONTROL MASTER'!$AC$2:$AC$495&gt;=8))*ROW('CONTROL MASTER'!$S$2:$S$495))-(ROW('CONTROL MASTER'!#REF!)-1))))*(INDEX('CONTROL MASTER'!$AC$2:$AC$495,(SUMPRODUCT((('CONTROL MASTER'!$S$2:$S$495=8)*('CONTROL MASTER'!$Z$2:$Z$495&lt;=3)*('CONTROL MASTER'!$AB$2:$AB$495&gt;=3)*('CONTROL MASTER'!$AA$2:$AA$495&lt;=8)*('CONTROL MASTER'!$AC$2:$AC$495&gt;=8))*ROW('CONTROL MASTER'!$S$2:$S$495))-(ROW('CONTROL MASTER'!#REF!)-1)))-INDEX('CONTROL MASTER'!$AA$2:$AA$495,(SUMPRODUCT((('CONTROL MASTER'!$S$2:$S$495=8)*('CONTROL MASTER'!$Z$2:$Z$495&lt;=3)*('CONTROL MASTER'!$AB$2:$AB$495&gt;=3)*('CONTROL MASTER'!$AA$2:$AA$495&lt;=8)*('CONTROL MASTER'!$AC$2:$AC$495&gt;=8))*ROW('CONTROL MASTER'!$S$2:$S$495))-(ROW('CONTROL MASTER'!#REF!)-1)))+1)+(8-INDEX('CONTROL MASTER'!$AA$2:$AA$495,(SUMPRODUCT((('CONTROL MASTER'!$S$2:$S$495=8)*('CONTROL MASTER'!$Z$2:$Z$495&lt;=3)*('CONTROL MASTER'!$AB$2:$AB$495&gt;=3)*('CONTROL MASTER'!$AA$2:$AA$495&lt;=8)*('CONTROL MASTER'!$AC$2:$AC$495&gt;=8))*ROW('CONTROL MASTER'!$S$2:$S$495))-(ROW('CONTROL MASTER'!#REF!)-1))))+1)))-1)*50+1,50))&amp;"_"&amp;INDEX('CONTROL MASTER'!$P$2:$P$495,(SUMPRODUCT((('CONTROL MASTER'!$S$2:$S$495=8)*('CONTROL MASTER'!$Z$2:$Z$495&lt;=3)*('CONTROL MASTER'!$AB$2:$AB$495&gt;=3)*('CONTROL MASTER'!$AA$2:$AA$495&lt;=8)*('CONTROL MASTER'!$AC$2:$AC$495&gt;=8))*ROW('CONTROL MASTER'!$S$2:$S$495))-(ROW('CONTROL MASTER'!#REF!)-1))),"")),"")</f>
        <v/>
      </c>
      <c r="J103" s="10" t="str">
        <f>IFERROR(IF(SUMPRODUCT((('CONTROL MASTER'!$S$2:$S$495=8)*('CONTROL MASTER'!$T$2:$T$495&lt;=3)*('CONTROL MASTER'!$V$2:$V$495&gt;=3)*('CONTROL MASTER'!$U$2:$U$495&lt;=9)*('CONTROL MASTER'!$W$2:$W$495&gt;=9))*ROW('CONTROL MASTER'!$S$2:$S$495))&gt;0,INDEX('CONTROL MASTER'!$X$2:$X$495,(SUMPRODUCT((('CONTROL MASTER'!$S$2:$S$495=8)*('CONTROL MASTER'!$T$2:$T$495&lt;=3)*('CONTROL MASTER'!$V$2:$V$495&gt;=3)*('CONTROL MASTER'!$U$2:$U$495&lt;=9)*('CONTROL MASTER'!$W$2:$W$495&gt;=9))*ROW('CONTROL MASTER'!$S$2:$S$495))-(ROW('CONTROL MASTER'!#REF!)-1)))&amp;TRIM(MID(SUBSTITUTE(SUBSTITUTE(INDEX('CONTROL MASTER'!$N$2:$N$495,(SUMPRODUCT((('CONTROL MASTER'!$S$2:$S$495=8)*('CONTROL MASTER'!$T$2:$T$495&lt;=3)*('CONTROL MASTER'!$V$2:$V$495&gt;=3)*('CONTROL MASTER'!$U$2:$U$495&lt;=9)*('CONTROL MASTER'!$W$2:$W$495&gt;=9))*ROW('CONTROL MASTER'!$S$2:$S$495))-(ROW('CONTROL MASTER'!#REF!)-1))),":",","),",",REPT(" ",50)),((((3-INDEX('CONTROL MASTER'!$T$2:$T$495,(SUMPRODUCT((('CONTROL MASTER'!$S$2:$S$495=8)*('CONTROL MASTER'!$T$2:$T$495&lt;=3)*('CONTROL MASTER'!$V$2:$V$495&gt;=3)*('CONTROL MASTER'!$U$2:$U$495&lt;=9)*('CONTROL MASTER'!$W$2:$W$495&gt;=9))*ROW('CONTROL MASTER'!$S$2:$S$495))-(ROW('CONTROL MASTER'!#REF!)-1))))*(INDEX('CONTROL MASTER'!$W$2:$W$495,(SUMPRODUCT((('CONTROL MASTER'!$S$2:$S$495=8)*('CONTROL MASTER'!$T$2:$T$495&lt;=3)*('CONTROL MASTER'!$V$2:$V$495&gt;=3)*('CONTROL MASTER'!$U$2:$U$495&lt;=9)*('CONTROL MASTER'!$W$2:$W$495&gt;=9))*ROW('CONTROL MASTER'!$S$2:$S$495))-(ROW('CONTROL MASTER'!#REF!)-1)))-INDEX('CONTROL MASTER'!$U$2:$U$495,(SUMPRODUCT((('CONTROL MASTER'!$S$2:$S$495=8)*('CONTROL MASTER'!$T$2:$T$495&lt;=3)*('CONTROL MASTER'!$V$2:$V$495&gt;=3)*('CONTROL MASTER'!$U$2:$U$495&lt;=9)*('CONTROL MASTER'!$W$2:$W$495&gt;=9))*ROW('CONTROL MASTER'!$S$2:$S$495))-(ROW('CONTROL MASTER'!#REF!)-1)))+1)+(9-INDEX('CONTROL MASTER'!$U$2:$U$495,(SUMPRODUCT((('CONTROL MASTER'!$S$2:$S$495=8)*('CONTROL MASTER'!$T$2:$T$495&lt;=3)*('CONTROL MASTER'!$V$2:$V$495&gt;=3)*('CONTROL MASTER'!$U$2:$U$495&lt;=9)*('CONTROL MASTER'!$W$2:$W$495&gt;=9))*ROW('CONTROL MASTER'!$S$2:$S$495))-(ROW('CONTROL MASTER'!#REF!)-1))))+1))-1)*50+1,50))&amp;"_"&amp;INDEX('CONTROL MASTER'!$P$2:$P$495,(SUMPRODUCT((('CONTROL MASTER'!$S$2:$S$495=8)*('CONTROL MASTER'!$T$2:$T$495&lt;=3)*('CONTROL MASTER'!$V$2:$V$495&gt;=3)*('CONTROL MASTER'!$U$2:$U$495&lt;=9)*('CONTROL MASTER'!$W$2:$W$495&gt;=9))*ROW('CONTROL MASTER'!$S$2:$S$495))-(ROW('CONTROL MASTER'!#REF!)-1))),IF(SUMPRODUCT((('CONTROL MASTER'!$S$2:$S$495=8)*('CONTROL MASTER'!$Z$2:$Z$495&lt;=3)*('CONTROL MASTER'!$AB$2:$AB$495&gt;=3)*('CONTROL MASTER'!$AA$2:$AA$495&lt;=9)*('CONTROL MASTER'!$AC$2:$AC$495&gt;=9))*ROW('CONTROL MASTER'!$S$2:$S$495))&gt;0,INDEX('CONTROL MASTER'!$X$2:$X$495,(SUMPRODUCT((('CONTROL MASTER'!$S$2:$S$495=8)*('CONTROL MASTER'!$Z$2:$Z$495&lt;=3)*('CONTROL MASTER'!$AB$2:$AB$495&gt;=3)*('CONTROL MASTER'!$AA$2:$AA$495&lt;=9)*('CONTROL MASTER'!$AC$2:$AC$495&gt;=9))*ROW('CONTROL MASTER'!$S$2:$S$495))-(ROW('CONTROL MASTER'!#REF!)-1)))&amp;TRIM(MID(SUBSTITUTE(SUBSTITUTE(INDEX('CONTROL MASTER'!$N$2:$N$495,(SUMPRODUCT((('CONTROL MASTER'!$S$2:$S$495=8)*('CONTROL MASTER'!$Z$2:$Z$495&lt;=3)*('CONTROL MASTER'!$AB$2:$AB$495&gt;=3)*('CONTROL MASTER'!$AA$2:$AA$495&lt;=9)*('CONTROL MASTER'!$AC$2:$AC$495&gt;=9))*ROW('CONTROL MASTER'!$S$2:$S$495))-(ROW('CONTROL MASTER'!#REF!)-1))),":",","),",",REPT(" ",50)),(((INDEX('CONTROL MASTER'!$Y$2:$Y$495,(SUMPRODUCT((('CONTROL MASTER'!$S$2:$S$495=8)*('CONTROL MASTER'!$Z$2:$Z$495&lt;=3)*('CONTROL MASTER'!$AB$2:$AB$495&gt;=3)*('CONTROL MASTER'!$AA$2:$AA$495&lt;=9)*('CONTROL MASTER'!$AC$2:$AC$495&gt;=9))*ROW('CONTROL MASTER'!$S$2:$S$495))-(ROW('CONTROL MASTER'!#REF!)-1)))+((3-INDEX('CONTROL MASTER'!$Z$2:$Z$495,(SUMPRODUCT((('CONTROL MASTER'!$S$2:$S$495=8)*('CONTROL MASTER'!$Z$2:$Z$495&lt;=3)*('CONTROL MASTER'!$AB$2:$AB$495&gt;=3)*('CONTROL MASTER'!$AA$2:$AA$495&lt;=9)*('CONTROL MASTER'!$AC$2:$AC$495&gt;=9))*ROW('CONTROL MASTER'!$S$2:$S$495))-(ROW('CONTROL MASTER'!#REF!)-1))))*(INDEX('CONTROL MASTER'!$AC$2:$AC$495,(SUMPRODUCT((('CONTROL MASTER'!$S$2:$S$495=8)*('CONTROL MASTER'!$Z$2:$Z$495&lt;=3)*('CONTROL MASTER'!$AB$2:$AB$495&gt;=3)*('CONTROL MASTER'!$AA$2:$AA$495&lt;=9)*('CONTROL MASTER'!$AC$2:$AC$495&gt;=9))*ROW('CONTROL MASTER'!$S$2:$S$495))-(ROW('CONTROL MASTER'!#REF!)-1)))-INDEX('CONTROL MASTER'!$AA$2:$AA$495,(SUMPRODUCT((('CONTROL MASTER'!$S$2:$S$495=8)*('CONTROL MASTER'!$Z$2:$Z$495&lt;=3)*('CONTROL MASTER'!$AB$2:$AB$495&gt;=3)*('CONTROL MASTER'!$AA$2:$AA$495&lt;=9)*('CONTROL MASTER'!$AC$2:$AC$495&gt;=9))*ROW('CONTROL MASTER'!$S$2:$S$495))-(ROW('CONTROL MASTER'!#REF!)-1)))+1)+(9-INDEX('CONTROL MASTER'!$AA$2:$AA$495,(SUMPRODUCT((('CONTROL MASTER'!$S$2:$S$495=8)*('CONTROL MASTER'!$Z$2:$Z$495&lt;=3)*('CONTROL MASTER'!$AB$2:$AB$495&gt;=3)*('CONTROL MASTER'!$AA$2:$AA$495&lt;=9)*('CONTROL MASTER'!$AC$2:$AC$495&gt;=9))*ROW('CONTROL MASTER'!$S$2:$S$495))-(ROW('CONTROL MASTER'!#REF!)-1))))+1)))-1)*50+1,50))&amp;"_"&amp;INDEX('CONTROL MASTER'!$P$2:$P$495,(SUMPRODUCT((('CONTROL MASTER'!$S$2:$S$495=8)*('CONTROL MASTER'!$Z$2:$Z$495&lt;=3)*('CONTROL MASTER'!$AB$2:$AB$495&gt;=3)*('CONTROL MASTER'!$AA$2:$AA$495&lt;=9)*('CONTROL MASTER'!$AC$2:$AC$495&gt;=9))*ROW('CONTROL MASTER'!$S$2:$S$495))-(ROW('CONTROL MASTER'!#REF!)-1))),"")),"")</f>
        <v/>
      </c>
      <c r="K103" s="10" t="str">
        <f>IFERROR(IF(SUMPRODUCT((('CONTROL MASTER'!$S$2:$S$495=8)*('CONTROL MASTER'!$T$2:$T$495&lt;=3)*('CONTROL MASTER'!$V$2:$V$495&gt;=3)*('CONTROL MASTER'!$U$2:$U$495&lt;=10)*('CONTROL MASTER'!$W$2:$W$495&gt;=10))*ROW('CONTROL MASTER'!$S$2:$S$495))&gt;0,INDEX('CONTROL MASTER'!$X$2:$X$495,(SUMPRODUCT((('CONTROL MASTER'!$S$2:$S$495=8)*('CONTROL MASTER'!$T$2:$T$495&lt;=3)*('CONTROL MASTER'!$V$2:$V$495&gt;=3)*('CONTROL MASTER'!$U$2:$U$495&lt;=10)*('CONTROL MASTER'!$W$2:$W$495&gt;=10))*ROW('CONTROL MASTER'!$S$2:$S$495))-(ROW('CONTROL MASTER'!#REF!)-1)))&amp;TRIM(MID(SUBSTITUTE(SUBSTITUTE(INDEX('CONTROL MASTER'!$N$2:$N$495,(SUMPRODUCT((('CONTROL MASTER'!$S$2:$S$495=8)*('CONTROL MASTER'!$T$2:$T$495&lt;=3)*('CONTROL MASTER'!$V$2:$V$495&gt;=3)*('CONTROL MASTER'!$U$2:$U$495&lt;=10)*('CONTROL MASTER'!$W$2:$W$495&gt;=10))*ROW('CONTROL MASTER'!$S$2:$S$495))-(ROW('CONTROL MASTER'!#REF!)-1))),":",","),",",REPT(" ",50)),((((3-INDEX('CONTROL MASTER'!$T$2:$T$495,(SUMPRODUCT((('CONTROL MASTER'!$S$2:$S$495=8)*('CONTROL MASTER'!$T$2:$T$495&lt;=3)*('CONTROL MASTER'!$V$2:$V$495&gt;=3)*('CONTROL MASTER'!$U$2:$U$495&lt;=10)*('CONTROL MASTER'!$W$2:$W$495&gt;=10))*ROW('CONTROL MASTER'!$S$2:$S$495))-(ROW('CONTROL MASTER'!#REF!)-1))))*(INDEX('CONTROL MASTER'!$W$2:$W$495,(SUMPRODUCT((('CONTROL MASTER'!$S$2:$S$495=8)*('CONTROL MASTER'!$T$2:$T$495&lt;=3)*('CONTROL MASTER'!$V$2:$V$495&gt;=3)*('CONTROL MASTER'!$U$2:$U$495&lt;=10)*('CONTROL MASTER'!$W$2:$W$495&gt;=10))*ROW('CONTROL MASTER'!$S$2:$S$495))-(ROW('CONTROL MASTER'!#REF!)-1)))-INDEX('CONTROL MASTER'!$U$2:$U$495,(SUMPRODUCT((('CONTROL MASTER'!$S$2:$S$495=8)*('CONTROL MASTER'!$T$2:$T$495&lt;=3)*('CONTROL MASTER'!$V$2:$V$495&gt;=3)*('CONTROL MASTER'!$U$2:$U$495&lt;=10)*('CONTROL MASTER'!$W$2:$W$495&gt;=10))*ROW('CONTROL MASTER'!$S$2:$S$495))-(ROW('CONTROL MASTER'!#REF!)-1)))+1)+(10-INDEX('CONTROL MASTER'!$U$2:$U$495,(SUMPRODUCT((('CONTROL MASTER'!$S$2:$S$495=8)*('CONTROL MASTER'!$T$2:$T$495&lt;=3)*('CONTROL MASTER'!$V$2:$V$495&gt;=3)*('CONTROL MASTER'!$U$2:$U$495&lt;=10)*('CONTROL MASTER'!$W$2:$W$495&gt;=10))*ROW('CONTROL MASTER'!$S$2:$S$495))-(ROW('CONTROL MASTER'!#REF!)-1))))+1))-1)*50+1,50))&amp;"_"&amp;INDEX('CONTROL MASTER'!$P$2:$P$495,(SUMPRODUCT((('CONTROL MASTER'!$S$2:$S$495=8)*('CONTROL MASTER'!$T$2:$T$495&lt;=3)*('CONTROL MASTER'!$V$2:$V$495&gt;=3)*('CONTROL MASTER'!$U$2:$U$495&lt;=10)*('CONTROL MASTER'!$W$2:$W$495&gt;=10))*ROW('CONTROL MASTER'!$S$2:$S$495))-(ROW('CONTROL MASTER'!#REF!)-1))),IF(SUMPRODUCT((('CONTROL MASTER'!$S$2:$S$495=8)*('CONTROL MASTER'!$Z$2:$Z$495&lt;=3)*('CONTROL MASTER'!$AB$2:$AB$495&gt;=3)*('CONTROL MASTER'!$AA$2:$AA$495&lt;=10)*('CONTROL MASTER'!$AC$2:$AC$495&gt;=10))*ROW('CONTROL MASTER'!$S$2:$S$495))&gt;0,INDEX('CONTROL MASTER'!$X$2:$X$495,(SUMPRODUCT((('CONTROL MASTER'!$S$2:$S$495=8)*('CONTROL MASTER'!$Z$2:$Z$495&lt;=3)*('CONTROL MASTER'!$AB$2:$AB$495&gt;=3)*('CONTROL MASTER'!$AA$2:$AA$495&lt;=10)*('CONTROL MASTER'!$AC$2:$AC$495&gt;=10))*ROW('CONTROL MASTER'!$S$2:$S$495))-(ROW('CONTROL MASTER'!#REF!)-1)))&amp;TRIM(MID(SUBSTITUTE(SUBSTITUTE(INDEX('CONTROL MASTER'!$N$2:$N$495,(SUMPRODUCT((('CONTROL MASTER'!$S$2:$S$495=8)*('CONTROL MASTER'!$Z$2:$Z$495&lt;=3)*('CONTROL MASTER'!$AB$2:$AB$495&gt;=3)*('CONTROL MASTER'!$AA$2:$AA$495&lt;=10)*('CONTROL MASTER'!$AC$2:$AC$495&gt;=10))*ROW('CONTROL MASTER'!$S$2:$S$495))-(ROW('CONTROL MASTER'!#REF!)-1))),":",","),",",REPT(" ",50)),(((INDEX('CONTROL MASTER'!$Y$2:$Y$495,(SUMPRODUCT((('CONTROL MASTER'!$S$2:$S$495=8)*('CONTROL MASTER'!$Z$2:$Z$495&lt;=3)*('CONTROL MASTER'!$AB$2:$AB$495&gt;=3)*('CONTROL MASTER'!$AA$2:$AA$495&lt;=10)*('CONTROL MASTER'!$AC$2:$AC$495&gt;=10))*ROW('CONTROL MASTER'!$S$2:$S$495))-(ROW('CONTROL MASTER'!#REF!)-1)))+((3-INDEX('CONTROL MASTER'!$Z$2:$Z$495,(SUMPRODUCT((('CONTROL MASTER'!$S$2:$S$495=8)*('CONTROL MASTER'!$Z$2:$Z$495&lt;=3)*('CONTROL MASTER'!$AB$2:$AB$495&gt;=3)*('CONTROL MASTER'!$AA$2:$AA$495&lt;=10)*('CONTROL MASTER'!$AC$2:$AC$495&gt;=10))*ROW('CONTROL MASTER'!$S$2:$S$495))-(ROW('CONTROL MASTER'!#REF!)-1))))*(INDEX('CONTROL MASTER'!$AC$2:$AC$495,(SUMPRODUCT((('CONTROL MASTER'!$S$2:$S$495=8)*('CONTROL MASTER'!$Z$2:$Z$495&lt;=3)*('CONTROL MASTER'!$AB$2:$AB$495&gt;=3)*('CONTROL MASTER'!$AA$2:$AA$495&lt;=10)*('CONTROL MASTER'!$AC$2:$AC$495&gt;=10))*ROW('CONTROL MASTER'!$S$2:$S$495))-(ROW('CONTROL MASTER'!#REF!)-1)))-INDEX('CONTROL MASTER'!$AA$2:$AA$495,(SUMPRODUCT((('CONTROL MASTER'!$S$2:$S$495=8)*('CONTROL MASTER'!$Z$2:$Z$495&lt;=3)*('CONTROL MASTER'!$AB$2:$AB$495&gt;=3)*('CONTROL MASTER'!$AA$2:$AA$495&lt;=10)*('CONTROL MASTER'!$AC$2:$AC$495&gt;=10))*ROW('CONTROL MASTER'!$S$2:$S$495))-(ROW('CONTROL MASTER'!#REF!)-1)))+1)+(10-INDEX('CONTROL MASTER'!$AA$2:$AA$495,(SUMPRODUCT((('CONTROL MASTER'!$S$2:$S$495=8)*('CONTROL MASTER'!$Z$2:$Z$495&lt;=3)*('CONTROL MASTER'!$AB$2:$AB$495&gt;=3)*('CONTROL MASTER'!$AA$2:$AA$495&lt;=10)*('CONTROL MASTER'!$AC$2:$AC$495&gt;=10))*ROW('CONTROL MASTER'!$S$2:$S$495))-(ROW('CONTROL MASTER'!#REF!)-1))))+1)))-1)*50+1,50))&amp;"_"&amp;INDEX('CONTROL MASTER'!$P$2:$P$495,(SUMPRODUCT((('CONTROL MASTER'!$S$2:$S$495=8)*('CONTROL MASTER'!$Z$2:$Z$495&lt;=3)*('CONTROL MASTER'!$AB$2:$AB$495&gt;=3)*('CONTROL MASTER'!$AA$2:$AA$495&lt;=10)*('CONTROL MASTER'!$AC$2:$AC$495&gt;=10))*ROW('CONTROL MASTER'!$S$2:$S$495))-(ROW('CONTROL MASTER'!#REF!)-1))),"")),"")</f>
        <v/>
      </c>
    </row>
    <row r="104" spans="1:11" ht="15" customHeight="1" x14ac:dyDescent="0.35">
      <c r="A104" s="8" t="s">
        <v>31</v>
      </c>
      <c r="B104" s="10" t="str">
        <f>IFERROR(IF(SUMPRODUCT((('CONTROL MASTER'!$S$2:$S$495=8)*('CONTROL MASTER'!$T$2:$T$495&lt;=4)*('CONTROL MASTER'!$V$2:$V$495&gt;=4)*('CONTROL MASTER'!$U$2:$U$495&lt;=1)*('CONTROL MASTER'!$W$2:$W$495&gt;=1))*ROW('CONTROL MASTER'!$S$2:$S$495))&gt;0,INDEX('CONTROL MASTER'!$X$2:$X$495,(SUMPRODUCT((('CONTROL MASTER'!$S$2:$S$495=8)*('CONTROL MASTER'!$T$2:$T$495&lt;=4)*('CONTROL MASTER'!$V$2:$V$495&gt;=4)*('CONTROL MASTER'!$U$2:$U$495&lt;=1)*('CONTROL MASTER'!$W$2:$W$495&gt;=1))*ROW('CONTROL MASTER'!$S$2:$S$495))-(ROW('CONTROL MASTER'!#REF!)-1)))&amp;TRIM(MID(SUBSTITUTE(SUBSTITUTE(INDEX('CONTROL MASTER'!$N$2:$N$495,(SUMPRODUCT((('CONTROL MASTER'!$S$2:$S$495=8)*('CONTROL MASTER'!$T$2:$T$495&lt;=4)*('CONTROL MASTER'!$V$2:$V$495&gt;=4)*('CONTROL MASTER'!$U$2:$U$495&lt;=1)*('CONTROL MASTER'!$W$2:$W$495&gt;=1))*ROW('CONTROL MASTER'!$S$2:$S$495))-(ROW('CONTROL MASTER'!#REF!)-1))),":",","),",",REPT(" ",50)),((((4-INDEX('CONTROL MASTER'!$T$2:$T$495,(SUMPRODUCT((('CONTROL MASTER'!$S$2:$S$495=8)*('CONTROL MASTER'!$T$2:$T$495&lt;=4)*('CONTROL MASTER'!$V$2:$V$495&gt;=4)*('CONTROL MASTER'!$U$2:$U$495&lt;=1)*('CONTROL MASTER'!$W$2:$W$495&gt;=1))*ROW('CONTROL MASTER'!$S$2:$S$495))-(ROW('CONTROL MASTER'!#REF!)-1))))*(INDEX('CONTROL MASTER'!$W$2:$W$495,(SUMPRODUCT((('CONTROL MASTER'!$S$2:$S$495=8)*('CONTROL MASTER'!$T$2:$T$495&lt;=4)*('CONTROL MASTER'!$V$2:$V$495&gt;=4)*('CONTROL MASTER'!$U$2:$U$495&lt;=1)*('CONTROL MASTER'!$W$2:$W$495&gt;=1))*ROW('CONTROL MASTER'!$S$2:$S$495))-(ROW('CONTROL MASTER'!#REF!)-1)))-INDEX('CONTROL MASTER'!$U$2:$U$495,(SUMPRODUCT((('CONTROL MASTER'!$S$2:$S$495=8)*('CONTROL MASTER'!$T$2:$T$495&lt;=4)*('CONTROL MASTER'!$V$2:$V$495&gt;=4)*('CONTROL MASTER'!$U$2:$U$495&lt;=1)*('CONTROL MASTER'!$W$2:$W$495&gt;=1))*ROW('CONTROL MASTER'!$S$2:$S$495))-(ROW('CONTROL MASTER'!#REF!)-1)))+1)+(1-INDEX('CONTROL MASTER'!$U$2:$U$495,(SUMPRODUCT((('CONTROL MASTER'!$S$2:$S$495=8)*('CONTROL MASTER'!$T$2:$T$495&lt;=4)*('CONTROL MASTER'!$V$2:$V$495&gt;=4)*('CONTROL MASTER'!$U$2:$U$495&lt;=1)*('CONTROL MASTER'!$W$2:$W$495&gt;=1))*ROW('CONTROL MASTER'!$S$2:$S$495))-(ROW('CONTROL MASTER'!#REF!)-1))))+1))-1)*50+1,50))&amp;"_"&amp;INDEX('CONTROL MASTER'!$P$2:$P$495,(SUMPRODUCT((('CONTROL MASTER'!$S$2:$S$495=8)*('CONTROL MASTER'!$T$2:$T$495&lt;=4)*('CONTROL MASTER'!$V$2:$V$495&gt;=4)*('CONTROL MASTER'!$U$2:$U$495&lt;=1)*('CONTROL MASTER'!$W$2:$W$495&gt;=1))*ROW('CONTROL MASTER'!$S$2:$S$495))-(ROW('CONTROL MASTER'!#REF!)-1))),IF(SUMPRODUCT((('CONTROL MASTER'!$S$2:$S$495=8)*('CONTROL MASTER'!$Z$2:$Z$495&lt;=4)*('CONTROL MASTER'!$AB$2:$AB$495&gt;=4)*('CONTROL MASTER'!$AA$2:$AA$495&lt;=1)*('CONTROL MASTER'!$AC$2:$AC$495&gt;=1))*ROW('CONTROL MASTER'!$S$2:$S$495))&gt;0,INDEX('CONTROL MASTER'!$X$2:$X$495,(SUMPRODUCT((('CONTROL MASTER'!$S$2:$S$495=8)*('CONTROL MASTER'!$Z$2:$Z$495&lt;=4)*('CONTROL MASTER'!$AB$2:$AB$495&gt;=4)*('CONTROL MASTER'!$AA$2:$AA$495&lt;=1)*('CONTROL MASTER'!$AC$2:$AC$495&gt;=1))*ROW('CONTROL MASTER'!$S$2:$S$495))-(ROW('CONTROL MASTER'!#REF!)-1)))&amp;TRIM(MID(SUBSTITUTE(SUBSTITUTE(INDEX('CONTROL MASTER'!$N$2:$N$495,(SUMPRODUCT((('CONTROL MASTER'!$S$2:$S$495=8)*('CONTROL MASTER'!$Z$2:$Z$495&lt;=4)*('CONTROL MASTER'!$AB$2:$AB$495&gt;=4)*('CONTROL MASTER'!$AA$2:$AA$495&lt;=1)*('CONTROL MASTER'!$AC$2:$AC$495&gt;=1))*ROW('CONTROL MASTER'!$S$2:$S$495))-(ROW('CONTROL MASTER'!#REF!)-1))),":",","),",",REPT(" ",50)),(((INDEX('CONTROL MASTER'!$Y$2:$Y$495,(SUMPRODUCT((('CONTROL MASTER'!$S$2:$S$495=8)*('CONTROL MASTER'!$Z$2:$Z$495&lt;=4)*('CONTROL MASTER'!$AB$2:$AB$495&gt;=4)*('CONTROL MASTER'!$AA$2:$AA$495&lt;=1)*('CONTROL MASTER'!$AC$2:$AC$495&gt;=1))*ROW('CONTROL MASTER'!$S$2:$S$495))-(ROW('CONTROL MASTER'!#REF!)-1)))+((4-INDEX('CONTROL MASTER'!$Z$2:$Z$495,(SUMPRODUCT((('CONTROL MASTER'!$S$2:$S$495=8)*('CONTROL MASTER'!$Z$2:$Z$495&lt;=4)*('CONTROL MASTER'!$AB$2:$AB$495&gt;=4)*('CONTROL MASTER'!$AA$2:$AA$495&lt;=1)*('CONTROL MASTER'!$AC$2:$AC$495&gt;=1))*ROW('CONTROL MASTER'!$S$2:$S$495))-(ROW('CONTROL MASTER'!#REF!)-1))))*(INDEX('CONTROL MASTER'!$AC$2:$AC$495,(SUMPRODUCT((('CONTROL MASTER'!$S$2:$S$495=8)*('CONTROL MASTER'!$Z$2:$Z$495&lt;=4)*('CONTROL MASTER'!$AB$2:$AB$495&gt;=4)*('CONTROL MASTER'!$AA$2:$AA$495&lt;=1)*('CONTROL MASTER'!$AC$2:$AC$495&gt;=1))*ROW('CONTROL MASTER'!$S$2:$S$495))-(ROW('CONTROL MASTER'!#REF!)-1)))-INDEX('CONTROL MASTER'!$AA$2:$AA$495,(SUMPRODUCT((('CONTROL MASTER'!$S$2:$S$495=8)*('CONTROL MASTER'!$Z$2:$Z$495&lt;=4)*('CONTROL MASTER'!$AB$2:$AB$495&gt;=4)*('CONTROL MASTER'!$AA$2:$AA$495&lt;=1)*('CONTROL MASTER'!$AC$2:$AC$495&gt;=1))*ROW('CONTROL MASTER'!$S$2:$S$495))-(ROW('CONTROL MASTER'!#REF!)-1)))+1)+(1-INDEX('CONTROL MASTER'!$AA$2:$AA$495,(SUMPRODUCT((('CONTROL MASTER'!$S$2:$S$495=8)*('CONTROL MASTER'!$Z$2:$Z$495&lt;=4)*('CONTROL MASTER'!$AB$2:$AB$495&gt;=4)*('CONTROL MASTER'!$AA$2:$AA$495&lt;=1)*('CONTROL MASTER'!$AC$2:$AC$495&gt;=1))*ROW('CONTROL MASTER'!$S$2:$S$495))-(ROW('CONTROL MASTER'!#REF!)-1))))+1)))-1)*50+1,50))&amp;"_"&amp;INDEX('CONTROL MASTER'!$P$2:$P$495,(SUMPRODUCT((('CONTROL MASTER'!$S$2:$S$495=8)*('CONTROL MASTER'!$Z$2:$Z$495&lt;=4)*('CONTROL MASTER'!$AB$2:$AB$495&gt;=4)*('CONTROL MASTER'!$AA$2:$AA$495&lt;=1)*('CONTROL MASTER'!$AC$2:$AC$495&gt;=1))*ROW('CONTROL MASTER'!$S$2:$S$495))-(ROW('CONTROL MASTER'!#REF!)-1))),"")),"")</f>
        <v/>
      </c>
      <c r="C104" s="10" t="str">
        <f>IFERROR(IF(SUMPRODUCT((('CONTROL MASTER'!$S$2:$S$495=8)*('CONTROL MASTER'!$T$2:$T$495&lt;=4)*('CONTROL MASTER'!$V$2:$V$495&gt;=4)*('CONTROL MASTER'!$U$2:$U$495&lt;=2)*('CONTROL MASTER'!$W$2:$W$495&gt;=2))*ROW('CONTROL MASTER'!$S$2:$S$495))&gt;0,INDEX('CONTROL MASTER'!$X$2:$X$495,(SUMPRODUCT((('CONTROL MASTER'!$S$2:$S$495=8)*('CONTROL MASTER'!$T$2:$T$495&lt;=4)*('CONTROL MASTER'!$V$2:$V$495&gt;=4)*('CONTROL MASTER'!$U$2:$U$495&lt;=2)*('CONTROL MASTER'!$W$2:$W$495&gt;=2))*ROW('CONTROL MASTER'!$S$2:$S$495))-(ROW('CONTROL MASTER'!#REF!)-1)))&amp;TRIM(MID(SUBSTITUTE(SUBSTITUTE(INDEX('CONTROL MASTER'!$N$2:$N$495,(SUMPRODUCT((('CONTROL MASTER'!$S$2:$S$495=8)*('CONTROL MASTER'!$T$2:$T$495&lt;=4)*('CONTROL MASTER'!$V$2:$V$495&gt;=4)*('CONTROL MASTER'!$U$2:$U$495&lt;=2)*('CONTROL MASTER'!$W$2:$W$495&gt;=2))*ROW('CONTROL MASTER'!$S$2:$S$495))-(ROW('CONTROL MASTER'!#REF!)-1))),":",","),",",REPT(" ",50)),((((4-INDEX('CONTROL MASTER'!$T$2:$T$495,(SUMPRODUCT((('CONTROL MASTER'!$S$2:$S$495=8)*('CONTROL MASTER'!$T$2:$T$495&lt;=4)*('CONTROL MASTER'!$V$2:$V$495&gt;=4)*('CONTROL MASTER'!$U$2:$U$495&lt;=2)*('CONTROL MASTER'!$W$2:$W$495&gt;=2))*ROW('CONTROL MASTER'!$S$2:$S$495))-(ROW('CONTROL MASTER'!#REF!)-1))))*(INDEX('CONTROL MASTER'!$W$2:$W$495,(SUMPRODUCT((('CONTROL MASTER'!$S$2:$S$495=8)*('CONTROL MASTER'!$T$2:$T$495&lt;=4)*('CONTROL MASTER'!$V$2:$V$495&gt;=4)*('CONTROL MASTER'!$U$2:$U$495&lt;=2)*('CONTROL MASTER'!$W$2:$W$495&gt;=2))*ROW('CONTROL MASTER'!$S$2:$S$495))-(ROW('CONTROL MASTER'!#REF!)-1)))-INDEX('CONTROL MASTER'!$U$2:$U$495,(SUMPRODUCT((('CONTROL MASTER'!$S$2:$S$495=8)*('CONTROL MASTER'!$T$2:$T$495&lt;=4)*('CONTROL MASTER'!$V$2:$V$495&gt;=4)*('CONTROL MASTER'!$U$2:$U$495&lt;=2)*('CONTROL MASTER'!$W$2:$W$495&gt;=2))*ROW('CONTROL MASTER'!$S$2:$S$495))-(ROW('CONTROL MASTER'!#REF!)-1)))+1)+(2-INDEX('CONTROL MASTER'!$U$2:$U$495,(SUMPRODUCT((('CONTROL MASTER'!$S$2:$S$495=8)*('CONTROL MASTER'!$T$2:$T$495&lt;=4)*('CONTROL MASTER'!$V$2:$V$495&gt;=4)*('CONTROL MASTER'!$U$2:$U$495&lt;=2)*('CONTROL MASTER'!$W$2:$W$495&gt;=2))*ROW('CONTROL MASTER'!$S$2:$S$495))-(ROW('CONTROL MASTER'!#REF!)-1))))+1))-1)*50+1,50))&amp;"_"&amp;INDEX('CONTROL MASTER'!$P$2:$P$495,(SUMPRODUCT((('CONTROL MASTER'!$S$2:$S$495=8)*('CONTROL MASTER'!$T$2:$T$495&lt;=4)*('CONTROL MASTER'!$V$2:$V$495&gt;=4)*('CONTROL MASTER'!$U$2:$U$495&lt;=2)*('CONTROL MASTER'!$W$2:$W$495&gt;=2))*ROW('CONTROL MASTER'!$S$2:$S$495))-(ROW('CONTROL MASTER'!#REF!)-1))),IF(SUMPRODUCT((('CONTROL MASTER'!$S$2:$S$495=8)*('CONTROL MASTER'!$Z$2:$Z$495&lt;=4)*('CONTROL MASTER'!$AB$2:$AB$495&gt;=4)*('CONTROL MASTER'!$AA$2:$AA$495&lt;=2)*('CONTROL MASTER'!$AC$2:$AC$495&gt;=2))*ROW('CONTROL MASTER'!$S$2:$S$495))&gt;0,INDEX('CONTROL MASTER'!$X$2:$X$495,(SUMPRODUCT((('CONTROL MASTER'!$S$2:$S$495=8)*('CONTROL MASTER'!$Z$2:$Z$495&lt;=4)*('CONTROL MASTER'!$AB$2:$AB$495&gt;=4)*('CONTROL MASTER'!$AA$2:$AA$495&lt;=2)*('CONTROL MASTER'!$AC$2:$AC$495&gt;=2))*ROW('CONTROL MASTER'!$S$2:$S$495))-(ROW('CONTROL MASTER'!#REF!)-1)))&amp;TRIM(MID(SUBSTITUTE(SUBSTITUTE(INDEX('CONTROL MASTER'!$N$2:$N$495,(SUMPRODUCT((('CONTROL MASTER'!$S$2:$S$495=8)*('CONTROL MASTER'!$Z$2:$Z$495&lt;=4)*('CONTROL MASTER'!$AB$2:$AB$495&gt;=4)*('CONTROL MASTER'!$AA$2:$AA$495&lt;=2)*('CONTROL MASTER'!$AC$2:$AC$495&gt;=2))*ROW('CONTROL MASTER'!$S$2:$S$495))-(ROW('CONTROL MASTER'!#REF!)-1))),":",","),",",REPT(" ",50)),(((INDEX('CONTROL MASTER'!$Y$2:$Y$495,(SUMPRODUCT((('CONTROL MASTER'!$S$2:$S$495=8)*('CONTROL MASTER'!$Z$2:$Z$495&lt;=4)*('CONTROL MASTER'!$AB$2:$AB$495&gt;=4)*('CONTROL MASTER'!$AA$2:$AA$495&lt;=2)*('CONTROL MASTER'!$AC$2:$AC$495&gt;=2))*ROW('CONTROL MASTER'!$S$2:$S$495))-(ROW('CONTROL MASTER'!#REF!)-1)))+((4-INDEX('CONTROL MASTER'!$Z$2:$Z$495,(SUMPRODUCT((('CONTROL MASTER'!$S$2:$S$495=8)*('CONTROL MASTER'!$Z$2:$Z$495&lt;=4)*('CONTROL MASTER'!$AB$2:$AB$495&gt;=4)*('CONTROL MASTER'!$AA$2:$AA$495&lt;=2)*('CONTROL MASTER'!$AC$2:$AC$495&gt;=2))*ROW('CONTROL MASTER'!$S$2:$S$495))-(ROW('CONTROL MASTER'!#REF!)-1))))*(INDEX('CONTROL MASTER'!$AC$2:$AC$495,(SUMPRODUCT((('CONTROL MASTER'!$S$2:$S$495=8)*('CONTROL MASTER'!$Z$2:$Z$495&lt;=4)*('CONTROL MASTER'!$AB$2:$AB$495&gt;=4)*('CONTROL MASTER'!$AA$2:$AA$495&lt;=2)*('CONTROL MASTER'!$AC$2:$AC$495&gt;=2))*ROW('CONTROL MASTER'!$S$2:$S$495))-(ROW('CONTROL MASTER'!#REF!)-1)))-INDEX('CONTROL MASTER'!$AA$2:$AA$495,(SUMPRODUCT((('CONTROL MASTER'!$S$2:$S$495=8)*('CONTROL MASTER'!$Z$2:$Z$495&lt;=4)*('CONTROL MASTER'!$AB$2:$AB$495&gt;=4)*('CONTROL MASTER'!$AA$2:$AA$495&lt;=2)*('CONTROL MASTER'!$AC$2:$AC$495&gt;=2))*ROW('CONTROL MASTER'!$S$2:$S$495))-(ROW('CONTROL MASTER'!#REF!)-1)))+1)+(2-INDEX('CONTROL MASTER'!$AA$2:$AA$495,(SUMPRODUCT((('CONTROL MASTER'!$S$2:$S$495=8)*('CONTROL MASTER'!$Z$2:$Z$495&lt;=4)*('CONTROL MASTER'!$AB$2:$AB$495&gt;=4)*('CONTROL MASTER'!$AA$2:$AA$495&lt;=2)*('CONTROL MASTER'!$AC$2:$AC$495&gt;=2))*ROW('CONTROL MASTER'!$S$2:$S$495))-(ROW('CONTROL MASTER'!#REF!)-1))))+1)))-1)*50+1,50))&amp;"_"&amp;INDEX('CONTROL MASTER'!$P$2:$P$495,(SUMPRODUCT((('CONTROL MASTER'!$S$2:$S$495=8)*('CONTROL MASTER'!$Z$2:$Z$495&lt;=4)*('CONTROL MASTER'!$AB$2:$AB$495&gt;=4)*('CONTROL MASTER'!$AA$2:$AA$495&lt;=2)*('CONTROL MASTER'!$AC$2:$AC$495&gt;=2))*ROW('CONTROL MASTER'!$S$2:$S$495))-(ROW('CONTROL MASTER'!#REF!)-1))),"")),"")</f>
        <v/>
      </c>
      <c r="D104" s="10" t="str">
        <f>IFERROR(IF(SUMPRODUCT((('CONTROL MASTER'!$S$2:$S$495=8)*('CONTROL MASTER'!$T$2:$T$495&lt;=4)*('CONTROL MASTER'!$V$2:$V$495&gt;=4)*('CONTROL MASTER'!$U$2:$U$495&lt;=3)*('CONTROL MASTER'!$W$2:$W$495&gt;=3))*ROW('CONTROL MASTER'!$S$2:$S$495))&gt;0,INDEX('CONTROL MASTER'!$X$2:$X$495,(SUMPRODUCT((('CONTROL MASTER'!$S$2:$S$495=8)*('CONTROL MASTER'!$T$2:$T$495&lt;=4)*('CONTROL MASTER'!$V$2:$V$495&gt;=4)*('CONTROL MASTER'!$U$2:$U$495&lt;=3)*('CONTROL MASTER'!$W$2:$W$495&gt;=3))*ROW('CONTROL MASTER'!$S$2:$S$495))-(ROW('CONTROL MASTER'!#REF!)-1)))&amp;TRIM(MID(SUBSTITUTE(SUBSTITUTE(INDEX('CONTROL MASTER'!$N$2:$N$495,(SUMPRODUCT((('CONTROL MASTER'!$S$2:$S$495=8)*('CONTROL MASTER'!$T$2:$T$495&lt;=4)*('CONTROL MASTER'!$V$2:$V$495&gt;=4)*('CONTROL MASTER'!$U$2:$U$495&lt;=3)*('CONTROL MASTER'!$W$2:$W$495&gt;=3))*ROW('CONTROL MASTER'!$S$2:$S$495))-(ROW('CONTROL MASTER'!#REF!)-1))),":",","),",",REPT(" ",50)),((((4-INDEX('CONTROL MASTER'!$T$2:$T$495,(SUMPRODUCT((('CONTROL MASTER'!$S$2:$S$495=8)*('CONTROL MASTER'!$T$2:$T$495&lt;=4)*('CONTROL MASTER'!$V$2:$V$495&gt;=4)*('CONTROL MASTER'!$U$2:$U$495&lt;=3)*('CONTROL MASTER'!$W$2:$W$495&gt;=3))*ROW('CONTROL MASTER'!$S$2:$S$495))-(ROW('CONTROL MASTER'!#REF!)-1))))*(INDEX('CONTROL MASTER'!$W$2:$W$495,(SUMPRODUCT((('CONTROL MASTER'!$S$2:$S$495=8)*('CONTROL MASTER'!$T$2:$T$495&lt;=4)*('CONTROL MASTER'!$V$2:$V$495&gt;=4)*('CONTROL MASTER'!$U$2:$U$495&lt;=3)*('CONTROL MASTER'!$W$2:$W$495&gt;=3))*ROW('CONTROL MASTER'!$S$2:$S$495))-(ROW('CONTROL MASTER'!#REF!)-1)))-INDEX('CONTROL MASTER'!$U$2:$U$495,(SUMPRODUCT((('CONTROL MASTER'!$S$2:$S$495=8)*('CONTROL MASTER'!$T$2:$T$495&lt;=4)*('CONTROL MASTER'!$V$2:$V$495&gt;=4)*('CONTROL MASTER'!$U$2:$U$495&lt;=3)*('CONTROL MASTER'!$W$2:$W$495&gt;=3))*ROW('CONTROL MASTER'!$S$2:$S$495))-(ROW('CONTROL MASTER'!#REF!)-1)))+1)+(3-INDEX('CONTROL MASTER'!$U$2:$U$495,(SUMPRODUCT((('CONTROL MASTER'!$S$2:$S$495=8)*('CONTROL MASTER'!$T$2:$T$495&lt;=4)*('CONTROL MASTER'!$V$2:$V$495&gt;=4)*('CONTROL MASTER'!$U$2:$U$495&lt;=3)*('CONTROL MASTER'!$W$2:$W$495&gt;=3))*ROW('CONTROL MASTER'!$S$2:$S$495))-(ROW('CONTROL MASTER'!#REF!)-1))))+1))-1)*50+1,50))&amp;"_"&amp;INDEX('CONTROL MASTER'!$P$2:$P$495,(SUMPRODUCT((('CONTROL MASTER'!$S$2:$S$495=8)*('CONTROL MASTER'!$T$2:$T$495&lt;=4)*('CONTROL MASTER'!$V$2:$V$495&gt;=4)*('CONTROL MASTER'!$U$2:$U$495&lt;=3)*('CONTROL MASTER'!$W$2:$W$495&gt;=3))*ROW('CONTROL MASTER'!$S$2:$S$495))-(ROW('CONTROL MASTER'!#REF!)-1))),IF(SUMPRODUCT((('CONTROL MASTER'!$S$2:$S$495=8)*('CONTROL MASTER'!$Z$2:$Z$495&lt;=4)*('CONTROL MASTER'!$AB$2:$AB$495&gt;=4)*('CONTROL MASTER'!$AA$2:$AA$495&lt;=3)*('CONTROL MASTER'!$AC$2:$AC$495&gt;=3))*ROW('CONTROL MASTER'!$S$2:$S$495))&gt;0,INDEX('CONTROL MASTER'!$X$2:$X$495,(SUMPRODUCT((('CONTROL MASTER'!$S$2:$S$495=8)*('CONTROL MASTER'!$Z$2:$Z$495&lt;=4)*('CONTROL MASTER'!$AB$2:$AB$495&gt;=4)*('CONTROL MASTER'!$AA$2:$AA$495&lt;=3)*('CONTROL MASTER'!$AC$2:$AC$495&gt;=3))*ROW('CONTROL MASTER'!$S$2:$S$495))-(ROW('CONTROL MASTER'!#REF!)-1)))&amp;TRIM(MID(SUBSTITUTE(SUBSTITUTE(INDEX('CONTROL MASTER'!$N$2:$N$495,(SUMPRODUCT((('CONTROL MASTER'!$S$2:$S$495=8)*('CONTROL MASTER'!$Z$2:$Z$495&lt;=4)*('CONTROL MASTER'!$AB$2:$AB$495&gt;=4)*('CONTROL MASTER'!$AA$2:$AA$495&lt;=3)*('CONTROL MASTER'!$AC$2:$AC$495&gt;=3))*ROW('CONTROL MASTER'!$S$2:$S$495))-(ROW('CONTROL MASTER'!#REF!)-1))),":",","),",",REPT(" ",50)),(((INDEX('CONTROL MASTER'!$Y$2:$Y$495,(SUMPRODUCT((('CONTROL MASTER'!$S$2:$S$495=8)*('CONTROL MASTER'!$Z$2:$Z$495&lt;=4)*('CONTROL MASTER'!$AB$2:$AB$495&gt;=4)*('CONTROL MASTER'!$AA$2:$AA$495&lt;=3)*('CONTROL MASTER'!$AC$2:$AC$495&gt;=3))*ROW('CONTROL MASTER'!$S$2:$S$495))-(ROW('CONTROL MASTER'!#REF!)-1)))+((4-INDEX('CONTROL MASTER'!$Z$2:$Z$495,(SUMPRODUCT((('CONTROL MASTER'!$S$2:$S$495=8)*('CONTROL MASTER'!$Z$2:$Z$495&lt;=4)*('CONTROL MASTER'!$AB$2:$AB$495&gt;=4)*('CONTROL MASTER'!$AA$2:$AA$495&lt;=3)*('CONTROL MASTER'!$AC$2:$AC$495&gt;=3))*ROW('CONTROL MASTER'!$S$2:$S$495))-(ROW('CONTROL MASTER'!#REF!)-1))))*(INDEX('CONTROL MASTER'!$AC$2:$AC$495,(SUMPRODUCT((('CONTROL MASTER'!$S$2:$S$495=8)*('CONTROL MASTER'!$Z$2:$Z$495&lt;=4)*('CONTROL MASTER'!$AB$2:$AB$495&gt;=4)*('CONTROL MASTER'!$AA$2:$AA$495&lt;=3)*('CONTROL MASTER'!$AC$2:$AC$495&gt;=3))*ROW('CONTROL MASTER'!$S$2:$S$495))-(ROW('CONTROL MASTER'!#REF!)-1)))-INDEX('CONTROL MASTER'!$AA$2:$AA$495,(SUMPRODUCT((('CONTROL MASTER'!$S$2:$S$495=8)*('CONTROL MASTER'!$Z$2:$Z$495&lt;=4)*('CONTROL MASTER'!$AB$2:$AB$495&gt;=4)*('CONTROL MASTER'!$AA$2:$AA$495&lt;=3)*('CONTROL MASTER'!$AC$2:$AC$495&gt;=3))*ROW('CONTROL MASTER'!$S$2:$S$495))-(ROW('CONTROL MASTER'!#REF!)-1)))+1)+(3-INDEX('CONTROL MASTER'!$AA$2:$AA$495,(SUMPRODUCT((('CONTROL MASTER'!$S$2:$S$495=8)*('CONTROL MASTER'!$Z$2:$Z$495&lt;=4)*('CONTROL MASTER'!$AB$2:$AB$495&gt;=4)*('CONTROL MASTER'!$AA$2:$AA$495&lt;=3)*('CONTROL MASTER'!$AC$2:$AC$495&gt;=3))*ROW('CONTROL MASTER'!$S$2:$S$495))-(ROW('CONTROL MASTER'!#REF!)-1))))+1)))-1)*50+1,50))&amp;"_"&amp;INDEX('CONTROL MASTER'!$P$2:$P$495,(SUMPRODUCT((('CONTROL MASTER'!$S$2:$S$495=8)*('CONTROL MASTER'!$Z$2:$Z$495&lt;=4)*('CONTROL MASTER'!$AB$2:$AB$495&gt;=4)*('CONTROL MASTER'!$AA$2:$AA$495&lt;=3)*('CONTROL MASTER'!$AC$2:$AC$495&gt;=3))*ROW('CONTROL MASTER'!$S$2:$S$495))-(ROW('CONTROL MASTER'!#REF!)-1))),"")),"")</f>
        <v/>
      </c>
      <c r="E104" s="10" t="str">
        <f>IFERROR(IF(SUMPRODUCT((('CONTROL MASTER'!$S$2:$S$495=8)*('CONTROL MASTER'!$T$2:$T$495&lt;=4)*('CONTROL MASTER'!$V$2:$V$495&gt;=4)*('CONTROL MASTER'!$U$2:$U$495&lt;=4)*('CONTROL MASTER'!$W$2:$W$495&gt;=4))*ROW('CONTROL MASTER'!$S$2:$S$495))&gt;0,INDEX('CONTROL MASTER'!$X$2:$X$495,(SUMPRODUCT((('CONTROL MASTER'!$S$2:$S$495=8)*('CONTROL MASTER'!$T$2:$T$495&lt;=4)*('CONTROL MASTER'!$V$2:$V$495&gt;=4)*('CONTROL MASTER'!$U$2:$U$495&lt;=4)*('CONTROL MASTER'!$W$2:$W$495&gt;=4))*ROW('CONTROL MASTER'!$S$2:$S$495))-(ROW('CONTROL MASTER'!#REF!)-1)))&amp;TRIM(MID(SUBSTITUTE(SUBSTITUTE(INDEX('CONTROL MASTER'!$N$2:$N$495,(SUMPRODUCT((('CONTROL MASTER'!$S$2:$S$495=8)*('CONTROL MASTER'!$T$2:$T$495&lt;=4)*('CONTROL MASTER'!$V$2:$V$495&gt;=4)*('CONTROL MASTER'!$U$2:$U$495&lt;=4)*('CONTROL MASTER'!$W$2:$W$495&gt;=4))*ROW('CONTROL MASTER'!$S$2:$S$495))-(ROW('CONTROL MASTER'!#REF!)-1))),":",","),",",REPT(" ",50)),((((4-INDEX('CONTROL MASTER'!$T$2:$T$495,(SUMPRODUCT((('CONTROL MASTER'!$S$2:$S$495=8)*('CONTROL MASTER'!$T$2:$T$495&lt;=4)*('CONTROL MASTER'!$V$2:$V$495&gt;=4)*('CONTROL MASTER'!$U$2:$U$495&lt;=4)*('CONTROL MASTER'!$W$2:$W$495&gt;=4))*ROW('CONTROL MASTER'!$S$2:$S$495))-(ROW('CONTROL MASTER'!#REF!)-1))))*(INDEX('CONTROL MASTER'!$W$2:$W$495,(SUMPRODUCT((('CONTROL MASTER'!$S$2:$S$495=8)*('CONTROL MASTER'!$T$2:$T$495&lt;=4)*('CONTROL MASTER'!$V$2:$V$495&gt;=4)*('CONTROL MASTER'!$U$2:$U$495&lt;=4)*('CONTROL MASTER'!$W$2:$W$495&gt;=4))*ROW('CONTROL MASTER'!$S$2:$S$495))-(ROW('CONTROL MASTER'!#REF!)-1)))-INDEX('CONTROL MASTER'!$U$2:$U$495,(SUMPRODUCT((('CONTROL MASTER'!$S$2:$S$495=8)*('CONTROL MASTER'!$T$2:$T$495&lt;=4)*('CONTROL MASTER'!$V$2:$V$495&gt;=4)*('CONTROL MASTER'!$U$2:$U$495&lt;=4)*('CONTROL MASTER'!$W$2:$W$495&gt;=4))*ROW('CONTROL MASTER'!$S$2:$S$495))-(ROW('CONTROL MASTER'!#REF!)-1)))+1)+(4-INDEX('CONTROL MASTER'!$U$2:$U$495,(SUMPRODUCT((('CONTROL MASTER'!$S$2:$S$495=8)*('CONTROL MASTER'!$T$2:$T$495&lt;=4)*('CONTROL MASTER'!$V$2:$V$495&gt;=4)*('CONTROL MASTER'!$U$2:$U$495&lt;=4)*('CONTROL MASTER'!$W$2:$W$495&gt;=4))*ROW('CONTROL MASTER'!$S$2:$S$495))-(ROW('CONTROL MASTER'!#REF!)-1))))+1))-1)*50+1,50))&amp;"_"&amp;INDEX('CONTROL MASTER'!$P$2:$P$495,(SUMPRODUCT((('CONTROL MASTER'!$S$2:$S$495=8)*('CONTROL MASTER'!$T$2:$T$495&lt;=4)*('CONTROL MASTER'!$V$2:$V$495&gt;=4)*('CONTROL MASTER'!$U$2:$U$495&lt;=4)*('CONTROL MASTER'!$W$2:$W$495&gt;=4))*ROW('CONTROL MASTER'!$S$2:$S$495))-(ROW('CONTROL MASTER'!#REF!)-1))),IF(SUMPRODUCT((('CONTROL MASTER'!$S$2:$S$495=8)*('CONTROL MASTER'!$Z$2:$Z$495&lt;=4)*('CONTROL MASTER'!$AB$2:$AB$495&gt;=4)*('CONTROL MASTER'!$AA$2:$AA$495&lt;=4)*('CONTROL MASTER'!$AC$2:$AC$495&gt;=4))*ROW('CONTROL MASTER'!$S$2:$S$495))&gt;0,INDEX('CONTROL MASTER'!$X$2:$X$495,(SUMPRODUCT((('CONTROL MASTER'!$S$2:$S$495=8)*('CONTROL MASTER'!$Z$2:$Z$495&lt;=4)*('CONTROL MASTER'!$AB$2:$AB$495&gt;=4)*('CONTROL MASTER'!$AA$2:$AA$495&lt;=4)*('CONTROL MASTER'!$AC$2:$AC$495&gt;=4))*ROW('CONTROL MASTER'!$S$2:$S$495))-(ROW('CONTROL MASTER'!#REF!)-1)))&amp;TRIM(MID(SUBSTITUTE(SUBSTITUTE(INDEX('CONTROL MASTER'!$N$2:$N$495,(SUMPRODUCT((('CONTROL MASTER'!$S$2:$S$495=8)*('CONTROL MASTER'!$Z$2:$Z$495&lt;=4)*('CONTROL MASTER'!$AB$2:$AB$495&gt;=4)*('CONTROL MASTER'!$AA$2:$AA$495&lt;=4)*('CONTROL MASTER'!$AC$2:$AC$495&gt;=4))*ROW('CONTROL MASTER'!$S$2:$S$495))-(ROW('CONTROL MASTER'!#REF!)-1))),":",","),",",REPT(" ",50)),(((INDEX('CONTROL MASTER'!$Y$2:$Y$495,(SUMPRODUCT((('CONTROL MASTER'!$S$2:$S$495=8)*('CONTROL MASTER'!$Z$2:$Z$495&lt;=4)*('CONTROL MASTER'!$AB$2:$AB$495&gt;=4)*('CONTROL MASTER'!$AA$2:$AA$495&lt;=4)*('CONTROL MASTER'!$AC$2:$AC$495&gt;=4))*ROW('CONTROL MASTER'!$S$2:$S$495))-(ROW('CONTROL MASTER'!#REF!)-1)))+((4-INDEX('CONTROL MASTER'!$Z$2:$Z$495,(SUMPRODUCT((('CONTROL MASTER'!$S$2:$S$495=8)*('CONTROL MASTER'!$Z$2:$Z$495&lt;=4)*('CONTROL MASTER'!$AB$2:$AB$495&gt;=4)*('CONTROL MASTER'!$AA$2:$AA$495&lt;=4)*('CONTROL MASTER'!$AC$2:$AC$495&gt;=4))*ROW('CONTROL MASTER'!$S$2:$S$495))-(ROW('CONTROL MASTER'!#REF!)-1))))*(INDEX('CONTROL MASTER'!$AC$2:$AC$495,(SUMPRODUCT((('CONTROL MASTER'!$S$2:$S$495=8)*('CONTROL MASTER'!$Z$2:$Z$495&lt;=4)*('CONTROL MASTER'!$AB$2:$AB$495&gt;=4)*('CONTROL MASTER'!$AA$2:$AA$495&lt;=4)*('CONTROL MASTER'!$AC$2:$AC$495&gt;=4))*ROW('CONTROL MASTER'!$S$2:$S$495))-(ROW('CONTROL MASTER'!#REF!)-1)))-INDEX('CONTROL MASTER'!$AA$2:$AA$495,(SUMPRODUCT((('CONTROL MASTER'!$S$2:$S$495=8)*('CONTROL MASTER'!$Z$2:$Z$495&lt;=4)*('CONTROL MASTER'!$AB$2:$AB$495&gt;=4)*('CONTROL MASTER'!$AA$2:$AA$495&lt;=4)*('CONTROL MASTER'!$AC$2:$AC$495&gt;=4))*ROW('CONTROL MASTER'!$S$2:$S$495))-(ROW('CONTROL MASTER'!#REF!)-1)))+1)+(4-INDEX('CONTROL MASTER'!$AA$2:$AA$495,(SUMPRODUCT((('CONTROL MASTER'!$S$2:$S$495=8)*('CONTROL MASTER'!$Z$2:$Z$495&lt;=4)*('CONTROL MASTER'!$AB$2:$AB$495&gt;=4)*('CONTROL MASTER'!$AA$2:$AA$495&lt;=4)*('CONTROL MASTER'!$AC$2:$AC$495&gt;=4))*ROW('CONTROL MASTER'!$S$2:$S$495))-(ROW('CONTROL MASTER'!#REF!)-1))))+1)))-1)*50+1,50))&amp;"_"&amp;INDEX('CONTROL MASTER'!$P$2:$P$495,(SUMPRODUCT((('CONTROL MASTER'!$S$2:$S$495=8)*('CONTROL MASTER'!$Z$2:$Z$495&lt;=4)*('CONTROL MASTER'!$AB$2:$AB$495&gt;=4)*('CONTROL MASTER'!$AA$2:$AA$495&lt;=4)*('CONTROL MASTER'!$AC$2:$AC$495&gt;=4))*ROW('CONTROL MASTER'!$S$2:$S$495))-(ROW('CONTROL MASTER'!#REF!)-1))),"")),"")</f>
        <v/>
      </c>
      <c r="F104" s="10" t="str">
        <f>IFERROR(IF(SUMPRODUCT((('CONTROL MASTER'!$S$2:$S$495=8)*('CONTROL MASTER'!$T$2:$T$495&lt;=4)*('CONTROL MASTER'!$V$2:$V$495&gt;=4)*('CONTROL MASTER'!$U$2:$U$495&lt;=5)*('CONTROL MASTER'!$W$2:$W$495&gt;=5))*ROW('CONTROL MASTER'!$S$2:$S$495))&gt;0,INDEX('CONTROL MASTER'!$X$2:$X$495,(SUMPRODUCT((('CONTROL MASTER'!$S$2:$S$495=8)*('CONTROL MASTER'!$T$2:$T$495&lt;=4)*('CONTROL MASTER'!$V$2:$V$495&gt;=4)*('CONTROL MASTER'!$U$2:$U$495&lt;=5)*('CONTROL MASTER'!$W$2:$W$495&gt;=5))*ROW('CONTROL MASTER'!$S$2:$S$495))-(ROW('CONTROL MASTER'!#REF!)-1)))&amp;TRIM(MID(SUBSTITUTE(SUBSTITUTE(INDEX('CONTROL MASTER'!$N$2:$N$495,(SUMPRODUCT((('CONTROL MASTER'!$S$2:$S$495=8)*('CONTROL MASTER'!$T$2:$T$495&lt;=4)*('CONTROL MASTER'!$V$2:$V$495&gt;=4)*('CONTROL MASTER'!$U$2:$U$495&lt;=5)*('CONTROL MASTER'!$W$2:$W$495&gt;=5))*ROW('CONTROL MASTER'!$S$2:$S$495))-(ROW('CONTROL MASTER'!#REF!)-1))),":",","),",",REPT(" ",50)),((((4-INDEX('CONTROL MASTER'!$T$2:$T$495,(SUMPRODUCT((('CONTROL MASTER'!$S$2:$S$495=8)*('CONTROL MASTER'!$T$2:$T$495&lt;=4)*('CONTROL MASTER'!$V$2:$V$495&gt;=4)*('CONTROL MASTER'!$U$2:$U$495&lt;=5)*('CONTROL MASTER'!$W$2:$W$495&gt;=5))*ROW('CONTROL MASTER'!$S$2:$S$495))-(ROW('CONTROL MASTER'!#REF!)-1))))*(INDEX('CONTROL MASTER'!$W$2:$W$495,(SUMPRODUCT((('CONTROL MASTER'!$S$2:$S$495=8)*('CONTROL MASTER'!$T$2:$T$495&lt;=4)*('CONTROL MASTER'!$V$2:$V$495&gt;=4)*('CONTROL MASTER'!$U$2:$U$495&lt;=5)*('CONTROL MASTER'!$W$2:$W$495&gt;=5))*ROW('CONTROL MASTER'!$S$2:$S$495))-(ROW('CONTROL MASTER'!#REF!)-1)))-INDEX('CONTROL MASTER'!$U$2:$U$495,(SUMPRODUCT((('CONTROL MASTER'!$S$2:$S$495=8)*('CONTROL MASTER'!$T$2:$T$495&lt;=4)*('CONTROL MASTER'!$V$2:$V$495&gt;=4)*('CONTROL MASTER'!$U$2:$U$495&lt;=5)*('CONTROL MASTER'!$W$2:$W$495&gt;=5))*ROW('CONTROL MASTER'!$S$2:$S$495))-(ROW('CONTROL MASTER'!#REF!)-1)))+1)+(5-INDEX('CONTROL MASTER'!$U$2:$U$495,(SUMPRODUCT((('CONTROL MASTER'!$S$2:$S$495=8)*('CONTROL MASTER'!$T$2:$T$495&lt;=4)*('CONTROL MASTER'!$V$2:$V$495&gt;=4)*('CONTROL MASTER'!$U$2:$U$495&lt;=5)*('CONTROL MASTER'!$W$2:$W$495&gt;=5))*ROW('CONTROL MASTER'!$S$2:$S$495))-(ROW('CONTROL MASTER'!#REF!)-1))))+1))-1)*50+1,50))&amp;"_"&amp;INDEX('CONTROL MASTER'!$P$2:$P$495,(SUMPRODUCT((('CONTROL MASTER'!$S$2:$S$495=8)*('CONTROL MASTER'!$T$2:$T$495&lt;=4)*('CONTROL MASTER'!$V$2:$V$495&gt;=4)*('CONTROL MASTER'!$U$2:$U$495&lt;=5)*('CONTROL MASTER'!$W$2:$W$495&gt;=5))*ROW('CONTROL MASTER'!$S$2:$S$495))-(ROW('CONTROL MASTER'!#REF!)-1))),IF(SUMPRODUCT((('CONTROL MASTER'!$S$2:$S$495=8)*('CONTROL MASTER'!$Z$2:$Z$495&lt;=4)*('CONTROL MASTER'!$AB$2:$AB$495&gt;=4)*('CONTROL MASTER'!$AA$2:$AA$495&lt;=5)*('CONTROL MASTER'!$AC$2:$AC$495&gt;=5))*ROW('CONTROL MASTER'!$S$2:$S$495))&gt;0,INDEX('CONTROL MASTER'!$X$2:$X$495,(SUMPRODUCT((('CONTROL MASTER'!$S$2:$S$495=8)*('CONTROL MASTER'!$Z$2:$Z$495&lt;=4)*('CONTROL MASTER'!$AB$2:$AB$495&gt;=4)*('CONTROL MASTER'!$AA$2:$AA$495&lt;=5)*('CONTROL MASTER'!$AC$2:$AC$495&gt;=5))*ROW('CONTROL MASTER'!$S$2:$S$495))-(ROW('CONTROL MASTER'!#REF!)-1)))&amp;TRIM(MID(SUBSTITUTE(SUBSTITUTE(INDEX('CONTROL MASTER'!$N$2:$N$495,(SUMPRODUCT((('CONTROL MASTER'!$S$2:$S$495=8)*('CONTROL MASTER'!$Z$2:$Z$495&lt;=4)*('CONTROL MASTER'!$AB$2:$AB$495&gt;=4)*('CONTROL MASTER'!$AA$2:$AA$495&lt;=5)*('CONTROL MASTER'!$AC$2:$AC$495&gt;=5))*ROW('CONTROL MASTER'!$S$2:$S$495))-(ROW('CONTROL MASTER'!#REF!)-1))),":",","),",",REPT(" ",50)),(((INDEX('CONTROL MASTER'!$Y$2:$Y$495,(SUMPRODUCT((('CONTROL MASTER'!$S$2:$S$495=8)*('CONTROL MASTER'!$Z$2:$Z$495&lt;=4)*('CONTROL MASTER'!$AB$2:$AB$495&gt;=4)*('CONTROL MASTER'!$AA$2:$AA$495&lt;=5)*('CONTROL MASTER'!$AC$2:$AC$495&gt;=5))*ROW('CONTROL MASTER'!$S$2:$S$495))-(ROW('CONTROL MASTER'!#REF!)-1)))+((4-INDEX('CONTROL MASTER'!$Z$2:$Z$495,(SUMPRODUCT((('CONTROL MASTER'!$S$2:$S$495=8)*('CONTROL MASTER'!$Z$2:$Z$495&lt;=4)*('CONTROL MASTER'!$AB$2:$AB$495&gt;=4)*('CONTROL MASTER'!$AA$2:$AA$495&lt;=5)*('CONTROL MASTER'!$AC$2:$AC$495&gt;=5))*ROW('CONTROL MASTER'!$S$2:$S$495))-(ROW('CONTROL MASTER'!#REF!)-1))))*(INDEX('CONTROL MASTER'!$AC$2:$AC$495,(SUMPRODUCT((('CONTROL MASTER'!$S$2:$S$495=8)*('CONTROL MASTER'!$Z$2:$Z$495&lt;=4)*('CONTROL MASTER'!$AB$2:$AB$495&gt;=4)*('CONTROL MASTER'!$AA$2:$AA$495&lt;=5)*('CONTROL MASTER'!$AC$2:$AC$495&gt;=5))*ROW('CONTROL MASTER'!$S$2:$S$495))-(ROW('CONTROL MASTER'!#REF!)-1)))-INDEX('CONTROL MASTER'!$AA$2:$AA$495,(SUMPRODUCT((('CONTROL MASTER'!$S$2:$S$495=8)*('CONTROL MASTER'!$Z$2:$Z$495&lt;=4)*('CONTROL MASTER'!$AB$2:$AB$495&gt;=4)*('CONTROL MASTER'!$AA$2:$AA$495&lt;=5)*('CONTROL MASTER'!$AC$2:$AC$495&gt;=5))*ROW('CONTROL MASTER'!$S$2:$S$495))-(ROW('CONTROL MASTER'!#REF!)-1)))+1)+(5-INDEX('CONTROL MASTER'!$AA$2:$AA$495,(SUMPRODUCT((('CONTROL MASTER'!$S$2:$S$495=8)*('CONTROL MASTER'!$Z$2:$Z$495&lt;=4)*('CONTROL MASTER'!$AB$2:$AB$495&gt;=4)*('CONTROL MASTER'!$AA$2:$AA$495&lt;=5)*('CONTROL MASTER'!$AC$2:$AC$495&gt;=5))*ROW('CONTROL MASTER'!$S$2:$S$495))-(ROW('CONTROL MASTER'!#REF!)-1))))+1)))-1)*50+1,50))&amp;"_"&amp;INDEX('CONTROL MASTER'!$P$2:$P$495,(SUMPRODUCT((('CONTROL MASTER'!$S$2:$S$495=8)*('CONTROL MASTER'!$Z$2:$Z$495&lt;=4)*('CONTROL MASTER'!$AB$2:$AB$495&gt;=4)*('CONTROL MASTER'!$AA$2:$AA$495&lt;=5)*('CONTROL MASTER'!$AC$2:$AC$495&gt;=5))*ROW('CONTROL MASTER'!$S$2:$S$495))-(ROW('CONTROL MASTER'!#REF!)-1))),"")),"")</f>
        <v/>
      </c>
      <c r="G104" s="10" t="str">
        <f>IFERROR(IF(SUMPRODUCT((('CONTROL MASTER'!$S$2:$S$495=8)*('CONTROL MASTER'!$T$2:$T$495&lt;=4)*('CONTROL MASTER'!$V$2:$V$495&gt;=4)*('CONTROL MASTER'!$U$2:$U$495&lt;=6)*('CONTROL MASTER'!$W$2:$W$495&gt;=6))*ROW('CONTROL MASTER'!$S$2:$S$495))&gt;0,INDEX('CONTROL MASTER'!$X$2:$X$495,(SUMPRODUCT((('CONTROL MASTER'!$S$2:$S$495=8)*('CONTROL MASTER'!$T$2:$T$495&lt;=4)*('CONTROL MASTER'!$V$2:$V$495&gt;=4)*('CONTROL MASTER'!$U$2:$U$495&lt;=6)*('CONTROL MASTER'!$W$2:$W$495&gt;=6))*ROW('CONTROL MASTER'!$S$2:$S$495))-(ROW('CONTROL MASTER'!#REF!)-1)))&amp;TRIM(MID(SUBSTITUTE(SUBSTITUTE(INDEX('CONTROL MASTER'!$N$2:$N$495,(SUMPRODUCT((('CONTROL MASTER'!$S$2:$S$495=8)*('CONTROL MASTER'!$T$2:$T$495&lt;=4)*('CONTROL MASTER'!$V$2:$V$495&gt;=4)*('CONTROL MASTER'!$U$2:$U$495&lt;=6)*('CONTROL MASTER'!$W$2:$W$495&gt;=6))*ROW('CONTROL MASTER'!$S$2:$S$495))-(ROW('CONTROL MASTER'!#REF!)-1))),":",","),",",REPT(" ",50)),((((4-INDEX('CONTROL MASTER'!$T$2:$T$495,(SUMPRODUCT((('CONTROL MASTER'!$S$2:$S$495=8)*('CONTROL MASTER'!$T$2:$T$495&lt;=4)*('CONTROL MASTER'!$V$2:$V$495&gt;=4)*('CONTROL MASTER'!$U$2:$U$495&lt;=6)*('CONTROL MASTER'!$W$2:$W$495&gt;=6))*ROW('CONTROL MASTER'!$S$2:$S$495))-(ROW('CONTROL MASTER'!#REF!)-1))))*(INDEX('CONTROL MASTER'!$W$2:$W$495,(SUMPRODUCT((('CONTROL MASTER'!$S$2:$S$495=8)*('CONTROL MASTER'!$T$2:$T$495&lt;=4)*('CONTROL MASTER'!$V$2:$V$495&gt;=4)*('CONTROL MASTER'!$U$2:$U$495&lt;=6)*('CONTROL MASTER'!$W$2:$W$495&gt;=6))*ROW('CONTROL MASTER'!$S$2:$S$495))-(ROW('CONTROL MASTER'!#REF!)-1)))-INDEX('CONTROL MASTER'!$U$2:$U$495,(SUMPRODUCT((('CONTROL MASTER'!$S$2:$S$495=8)*('CONTROL MASTER'!$T$2:$T$495&lt;=4)*('CONTROL MASTER'!$V$2:$V$495&gt;=4)*('CONTROL MASTER'!$U$2:$U$495&lt;=6)*('CONTROL MASTER'!$W$2:$W$495&gt;=6))*ROW('CONTROL MASTER'!$S$2:$S$495))-(ROW('CONTROL MASTER'!#REF!)-1)))+1)+(6-INDEX('CONTROL MASTER'!$U$2:$U$495,(SUMPRODUCT((('CONTROL MASTER'!$S$2:$S$495=8)*('CONTROL MASTER'!$T$2:$T$495&lt;=4)*('CONTROL MASTER'!$V$2:$V$495&gt;=4)*('CONTROL MASTER'!$U$2:$U$495&lt;=6)*('CONTROL MASTER'!$W$2:$W$495&gt;=6))*ROW('CONTROL MASTER'!$S$2:$S$495))-(ROW('CONTROL MASTER'!#REF!)-1))))+1))-1)*50+1,50))&amp;"_"&amp;INDEX('CONTROL MASTER'!$P$2:$P$495,(SUMPRODUCT((('CONTROL MASTER'!$S$2:$S$495=8)*('CONTROL MASTER'!$T$2:$T$495&lt;=4)*('CONTROL MASTER'!$V$2:$V$495&gt;=4)*('CONTROL MASTER'!$U$2:$U$495&lt;=6)*('CONTROL MASTER'!$W$2:$W$495&gt;=6))*ROW('CONTROL MASTER'!$S$2:$S$495))-(ROW('CONTROL MASTER'!#REF!)-1))),IF(SUMPRODUCT((('CONTROL MASTER'!$S$2:$S$495=8)*('CONTROL MASTER'!$Z$2:$Z$495&lt;=4)*('CONTROL MASTER'!$AB$2:$AB$495&gt;=4)*('CONTROL MASTER'!$AA$2:$AA$495&lt;=6)*('CONTROL MASTER'!$AC$2:$AC$495&gt;=6))*ROW('CONTROL MASTER'!$S$2:$S$495))&gt;0,INDEX('CONTROL MASTER'!$X$2:$X$495,(SUMPRODUCT((('CONTROL MASTER'!$S$2:$S$495=8)*('CONTROL MASTER'!$Z$2:$Z$495&lt;=4)*('CONTROL MASTER'!$AB$2:$AB$495&gt;=4)*('CONTROL MASTER'!$AA$2:$AA$495&lt;=6)*('CONTROL MASTER'!$AC$2:$AC$495&gt;=6))*ROW('CONTROL MASTER'!$S$2:$S$495))-(ROW('CONTROL MASTER'!#REF!)-1)))&amp;TRIM(MID(SUBSTITUTE(SUBSTITUTE(INDEX('CONTROL MASTER'!$N$2:$N$495,(SUMPRODUCT((('CONTROL MASTER'!$S$2:$S$495=8)*('CONTROL MASTER'!$Z$2:$Z$495&lt;=4)*('CONTROL MASTER'!$AB$2:$AB$495&gt;=4)*('CONTROL MASTER'!$AA$2:$AA$495&lt;=6)*('CONTROL MASTER'!$AC$2:$AC$495&gt;=6))*ROW('CONTROL MASTER'!$S$2:$S$495))-(ROW('CONTROL MASTER'!#REF!)-1))),":",","),",",REPT(" ",50)),(((INDEX('CONTROL MASTER'!$Y$2:$Y$495,(SUMPRODUCT((('CONTROL MASTER'!$S$2:$S$495=8)*('CONTROL MASTER'!$Z$2:$Z$495&lt;=4)*('CONTROL MASTER'!$AB$2:$AB$495&gt;=4)*('CONTROL MASTER'!$AA$2:$AA$495&lt;=6)*('CONTROL MASTER'!$AC$2:$AC$495&gt;=6))*ROW('CONTROL MASTER'!$S$2:$S$495))-(ROW('CONTROL MASTER'!#REF!)-1)))+((4-INDEX('CONTROL MASTER'!$Z$2:$Z$495,(SUMPRODUCT((('CONTROL MASTER'!$S$2:$S$495=8)*('CONTROL MASTER'!$Z$2:$Z$495&lt;=4)*('CONTROL MASTER'!$AB$2:$AB$495&gt;=4)*('CONTROL MASTER'!$AA$2:$AA$495&lt;=6)*('CONTROL MASTER'!$AC$2:$AC$495&gt;=6))*ROW('CONTROL MASTER'!$S$2:$S$495))-(ROW('CONTROL MASTER'!#REF!)-1))))*(INDEX('CONTROL MASTER'!$AC$2:$AC$495,(SUMPRODUCT((('CONTROL MASTER'!$S$2:$S$495=8)*('CONTROL MASTER'!$Z$2:$Z$495&lt;=4)*('CONTROL MASTER'!$AB$2:$AB$495&gt;=4)*('CONTROL MASTER'!$AA$2:$AA$495&lt;=6)*('CONTROL MASTER'!$AC$2:$AC$495&gt;=6))*ROW('CONTROL MASTER'!$S$2:$S$495))-(ROW('CONTROL MASTER'!#REF!)-1)))-INDEX('CONTROL MASTER'!$AA$2:$AA$495,(SUMPRODUCT((('CONTROL MASTER'!$S$2:$S$495=8)*('CONTROL MASTER'!$Z$2:$Z$495&lt;=4)*('CONTROL MASTER'!$AB$2:$AB$495&gt;=4)*('CONTROL MASTER'!$AA$2:$AA$495&lt;=6)*('CONTROL MASTER'!$AC$2:$AC$495&gt;=6))*ROW('CONTROL MASTER'!$S$2:$S$495))-(ROW('CONTROL MASTER'!#REF!)-1)))+1)+(6-INDEX('CONTROL MASTER'!$AA$2:$AA$495,(SUMPRODUCT((('CONTROL MASTER'!$S$2:$S$495=8)*('CONTROL MASTER'!$Z$2:$Z$495&lt;=4)*('CONTROL MASTER'!$AB$2:$AB$495&gt;=4)*('CONTROL MASTER'!$AA$2:$AA$495&lt;=6)*('CONTROL MASTER'!$AC$2:$AC$495&gt;=6))*ROW('CONTROL MASTER'!$S$2:$S$495))-(ROW('CONTROL MASTER'!#REF!)-1))))+1)))-1)*50+1,50))&amp;"_"&amp;INDEX('CONTROL MASTER'!$P$2:$P$495,(SUMPRODUCT((('CONTROL MASTER'!$S$2:$S$495=8)*('CONTROL MASTER'!$Z$2:$Z$495&lt;=4)*('CONTROL MASTER'!$AB$2:$AB$495&gt;=4)*('CONTROL MASTER'!$AA$2:$AA$495&lt;=6)*('CONTROL MASTER'!$AC$2:$AC$495&gt;=6))*ROW('CONTROL MASTER'!$S$2:$S$495))-(ROW('CONTROL MASTER'!#REF!)-1))),"")),"")</f>
        <v/>
      </c>
      <c r="H104" s="10" t="str">
        <f>IFERROR(IF(SUMPRODUCT((('CONTROL MASTER'!$S$2:$S$495=8)*('CONTROL MASTER'!$T$2:$T$495&lt;=4)*('CONTROL MASTER'!$V$2:$V$495&gt;=4)*('CONTROL MASTER'!$U$2:$U$495&lt;=7)*('CONTROL MASTER'!$W$2:$W$495&gt;=7))*ROW('CONTROL MASTER'!$S$2:$S$495))&gt;0,INDEX('CONTROL MASTER'!$X$2:$X$495,(SUMPRODUCT((('CONTROL MASTER'!$S$2:$S$495=8)*('CONTROL MASTER'!$T$2:$T$495&lt;=4)*('CONTROL MASTER'!$V$2:$V$495&gt;=4)*('CONTROL MASTER'!$U$2:$U$495&lt;=7)*('CONTROL MASTER'!$W$2:$W$495&gt;=7))*ROW('CONTROL MASTER'!$S$2:$S$495))-(ROW('CONTROL MASTER'!#REF!)-1)))&amp;TRIM(MID(SUBSTITUTE(SUBSTITUTE(INDEX('CONTROL MASTER'!$N$2:$N$495,(SUMPRODUCT((('CONTROL MASTER'!$S$2:$S$495=8)*('CONTROL MASTER'!$T$2:$T$495&lt;=4)*('CONTROL MASTER'!$V$2:$V$495&gt;=4)*('CONTROL MASTER'!$U$2:$U$495&lt;=7)*('CONTROL MASTER'!$W$2:$W$495&gt;=7))*ROW('CONTROL MASTER'!$S$2:$S$495))-(ROW('CONTROL MASTER'!#REF!)-1))),":",","),",",REPT(" ",50)),((((4-INDEX('CONTROL MASTER'!$T$2:$T$495,(SUMPRODUCT((('CONTROL MASTER'!$S$2:$S$495=8)*('CONTROL MASTER'!$T$2:$T$495&lt;=4)*('CONTROL MASTER'!$V$2:$V$495&gt;=4)*('CONTROL MASTER'!$U$2:$U$495&lt;=7)*('CONTROL MASTER'!$W$2:$W$495&gt;=7))*ROW('CONTROL MASTER'!$S$2:$S$495))-(ROW('CONTROL MASTER'!#REF!)-1))))*(INDEX('CONTROL MASTER'!$W$2:$W$495,(SUMPRODUCT((('CONTROL MASTER'!$S$2:$S$495=8)*('CONTROL MASTER'!$T$2:$T$495&lt;=4)*('CONTROL MASTER'!$V$2:$V$495&gt;=4)*('CONTROL MASTER'!$U$2:$U$495&lt;=7)*('CONTROL MASTER'!$W$2:$W$495&gt;=7))*ROW('CONTROL MASTER'!$S$2:$S$495))-(ROW('CONTROL MASTER'!#REF!)-1)))-INDEX('CONTROL MASTER'!$U$2:$U$495,(SUMPRODUCT((('CONTROL MASTER'!$S$2:$S$495=8)*('CONTROL MASTER'!$T$2:$T$495&lt;=4)*('CONTROL MASTER'!$V$2:$V$495&gt;=4)*('CONTROL MASTER'!$U$2:$U$495&lt;=7)*('CONTROL MASTER'!$W$2:$W$495&gt;=7))*ROW('CONTROL MASTER'!$S$2:$S$495))-(ROW('CONTROL MASTER'!#REF!)-1)))+1)+(7-INDEX('CONTROL MASTER'!$U$2:$U$495,(SUMPRODUCT((('CONTROL MASTER'!$S$2:$S$495=8)*('CONTROL MASTER'!$T$2:$T$495&lt;=4)*('CONTROL MASTER'!$V$2:$V$495&gt;=4)*('CONTROL MASTER'!$U$2:$U$495&lt;=7)*('CONTROL MASTER'!$W$2:$W$495&gt;=7))*ROW('CONTROL MASTER'!$S$2:$S$495))-(ROW('CONTROL MASTER'!#REF!)-1))))+1))-1)*50+1,50))&amp;"_"&amp;INDEX('CONTROL MASTER'!$P$2:$P$495,(SUMPRODUCT((('CONTROL MASTER'!$S$2:$S$495=8)*('CONTROL MASTER'!$T$2:$T$495&lt;=4)*('CONTROL MASTER'!$V$2:$V$495&gt;=4)*('CONTROL MASTER'!$U$2:$U$495&lt;=7)*('CONTROL MASTER'!$W$2:$W$495&gt;=7))*ROW('CONTROL MASTER'!$S$2:$S$495))-(ROW('CONTROL MASTER'!#REF!)-1))),IF(SUMPRODUCT((('CONTROL MASTER'!$S$2:$S$495=8)*('CONTROL MASTER'!$Z$2:$Z$495&lt;=4)*('CONTROL MASTER'!$AB$2:$AB$495&gt;=4)*('CONTROL MASTER'!$AA$2:$AA$495&lt;=7)*('CONTROL MASTER'!$AC$2:$AC$495&gt;=7))*ROW('CONTROL MASTER'!$S$2:$S$495))&gt;0,INDEX('CONTROL MASTER'!$X$2:$X$495,(SUMPRODUCT((('CONTROL MASTER'!$S$2:$S$495=8)*('CONTROL MASTER'!$Z$2:$Z$495&lt;=4)*('CONTROL MASTER'!$AB$2:$AB$495&gt;=4)*('CONTROL MASTER'!$AA$2:$AA$495&lt;=7)*('CONTROL MASTER'!$AC$2:$AC$495&gt;=7))*ROW('CONTROL MASTER'!$S$2:$S$495))-(ROW('CONTROL MASTER'!#REF!)-1)))&amp;TRIM(MID(SUBSTITUTE(SUBSTITUTE(INDEX('CONTROL MASTER'!$N$2:$N$495,(SUMPRODUCT((('CONTROL MASTER'!$S$2:$S$495=8)*('CONTROL MASTER'!$Z$2:$Z$495&lt;=4)*('CONTROL MASTER'!$AB$2:$AB$495&gt;=4)*('CONTROL MASTER'!$AA$2:$AA$495&lt;=7)*('CONTROL MASTER'!$AC$2:$AC$495&gt;=7))*ROW('CONTROL MASTER'!$S$2:$S$495))-(ROW('CONTROL MASTER'!#REF!)-1))),":",","),",",REPT(" ",50)),(((INDEX('CONTROL MASTER'!$Y$2:$Y$495,(SUMPRODUCT((('CONTROL MASTER'!$S$2:$S$495=8)*('CONTROL MASTER'!$Z$2:$Z$495&lt;=4)*('CONTROL MASTER'!$AB$2:$AB$495&gt;=4)*('CONTROL MASTER'!$AA$2:$AA$495&lt;=7)*('CONTROL MASTER'!$AC$2:$AC$495&gt;=7))*ROW('CONTROL MASTER'!$S$2:$S$495))-(ROW('CONTROL MASTER'!#REF!)-1)))+((4-INDEX('CONTROL MASTER'!$Z$2:$Z$495,(SUMPRODUCT((('CONTROL MASTER'!$S$2:$S$495=8)*('CONTROL MASTER'!$Z$2:$Z$495&lt;=4)*('CONTROL MASTER'!$AB$2:$AB$495&gt;=4)*('CONTROL MASTER'!$AA$2:$AA$495&lt;=7)*('CONTROL MASTER'!$AC$2:$AC$495&gt;=7))*ROW('CONTROL MASTER'!$S$2:$S$495))-(ROW('CONTROL MASTER'!#REF!)-1))))*(INDEX('CONTROL MASTER'!$AC$2:$AC$495,(SUMPRODUCT((('CONTROL MASTER'!$S$2:$S$495=8)*('CONTROL MASTER'!$Z$2:$Z$495&lt;=4)*('CONTROL MASTER'!$AB$2:$AB$495&gt;=4)*('CONTROL MASTER'!$AA$2:$AA$495&lt;=7)*('CONTROL MASTER'!$AC$2:$AC$495&gt;=7))*ROW('CONTROL MASTER'!$S$2:$S$495))-(ROW('CONTROL MASTER'!#REF!)-1)))-INDEX('CONTROL MASTER'!$AA$2:$AA$495,(SUMPRODUCT((('CONTROL MASTER'!$S$2:$S$495=8)*('CONTROL MASTER'!$Z$2:$Z$495&lt;=4)*('CONTROL MASTER'!$AB$2:$AB$495&gt;=4)*('CONTROL MASTER'!$AA$2:$AA$495&lt;=7)*('CONTROL MASTER'!$AC$2:$AC$495&gt;=7))*ROW('CONTROL MASTER'!$S$2:$S$495))-(ROW('CONTROL MASTER'!#REF!)-1)))+1)+(7-INDEX('CONTROL MASTER'!$AA$2:$AA$495,(SUMPRODUCT((('CONTROL MASTER'!$S$2:$S$495=8)*('CONTROL MASTER'!$Z$2:$Z$495&lt;=4)*('CONTROL MASTER'!$AB$2:$AB$495&gt;=4)*('CONTROL MASTER'!$AA$2:$AA$495&lt;=7)*('CONTROL MASTER'!$AC$2:$AC$495&gt;=7))*ROW('CONTROL MASTER'!$S$2:$S$495))-(ROW('CONTROL MASTER'!#REF!)-1))))+1)))-1)*50+1,50))&amp;"_"&amp;INDEX('CONTROL MASTER'!$P$2:$P$495,(SUMPRODUCT((('CONTROL MASTER'!$S$2:$S$495=8)*('CONTROL MASTER'!$Z$2:$Z$495&lt;=4)*('CONTROL MASTER'!$AB$2:$AB$495&gt;=4)*('CONTROL MASTER'!$AA$2:$AA$495&lt;=7)*('CONTROL MASTER'!$AC$2:$AC$495&gt;=7))*ROW('CONTROL MASTER'!$S$2:$S$495))-(ROW('CONTROL MASTER'!#REF!)-1))),"")),"")</f>
        <v/>
      </c>
      <c r="I104" s="10" t="str">
        <f>IFERROR(IF(SUMPRODUCT((('CONTROL MASTER'!$S$2:$S$495=8)*('CONTROL MASTER'!$T$2:$T$495&lt;=4)*('CONTROL MASTER'!$V$2:$V$495&gt;=4)*('CONTROL MASTER'!$U$2:$U$495&lt;=8)*('CONTROL MASTER'!$W$2:$W$495&gt;=8))*ROW('CONTROL MASTER'!$S$2:$S$495))&gt;0,INDEX('CONTROL MASTER'!$X$2:$X$495,(SUMPRODUCT((('CONTROL MASTER'!$S$2:$S$495=8)*('CONTROL MASTER'!$T$2:$T$495&lt;=4)*('CONTROL MASTER'!$V$2:$V$495&gt;=4)*('CONTROL MASTER'!$U$2:$U$495&lt;=8)*('CONTROL MASTER'!$W$2:$W$495&gt;=8))*ROW('CONTROL MASTER'!$S$2:$S$495))-(ROW('CONTROL MASTER'!#REF!)-1)))&amp;TRIM(MID(SUBSTITUTE(SUBSTITUTE(INDEX('CONTROL MASTER'!$N$2:$N$495,(SUMPRODUCT((('CONTROL MASTER'!$S$2:$S$495=8)*('CONTROL MASTER'!$T$2:$T$495&lt;=4)*('CONTROL MASTER'!$V$2:$V$495&gt;=4)*('CONTROL MASTER'!$U$2:$U$495&lt;=8)*('CONTROL MASTER'!$W$2:$W$495&gt;=8))*ROW('CONTROL MASTER'!$S$2:$S$495))-(ROW('CONTROL MASTER'!#REF!)-1))),":",","),",",REPT(" ",50)),((((4-INDEX('CONTROL MASTER'!$T$2:$T$495,(SUMPRODUCT((('CONTROL MASTER'!$S$2:$S$495=8)*('CONTROL MASTER'!$T$2:$T$495&lt;=4)*('CONTROL MASTER'!$V$2:$V$495&gt;=4)*('CONTROL MASTER'!$U$2:$U$495&lt;=8)*('CONTROL MASTER'!$W$2:$W$495&gt;=8))*ROW('CONTROL MASTER'!$S$2:$S$495))-(ROW('CONTROL MASTER'!#REF!)-1))))*(INDEX('CONTROL MASTER'!$W$2:$W$495,(SUMPRODUCT((('CONTROL MASTER'!$S$2:$S$495=8)*('CONTROL MASTER'!$T$2:$T$495&lt;=4)*('CONTROL MASTER'!$V$2:$V$495&gt;=4)*('CONTROL MASTER'!$U$2:$U$495&lt;=8)*('CONTROL MASTER'!$W$2:$W$495&gt;=8))*ROW('CONTROL MASTER'!$S$2:$S$495))-(ROW('CONTROL MASTER'!#REF!)-1)))-INDEX('CONTROL MASTER'!$U$2:$U$495,(SUMPRODUCT((('CONTROL MASTER'!$S$2:$S$495=8)*('CONTROL MASTER'!$T$2:$T$495&lt;=4)*('CONTROL MASTER'!$V$2:$V$495&gt;=4)*('CONTROL MASTER'!$U$2:$U$495&lt;=8)*('CONTROL MASTER'!$W$2:$W$495&gt;=8))*ROW('CONTROL MASTER'!$S$2:$S$495))-(ROW('CONTROL MASTER'!#REF!)-1)))+1)+(8-INDEX('CONTROL MASTER'!$U$2:$U$495,(SUMPRODUCT((('CONTROL MASTER'!$S$2:$S$495=8)*('CONTROL MASTER'!$T$2:$T$495&lt;=4)*('CONTROL MASTER'!$V$2:$V$495&gt;=4)*('CONTROL MASTER'!$U$2:$U$495&lt;=8)*('CONTROL MASTER'!$W$2:$W$495&gt;=8))*ROW('CONTROL MASTER'!$S$2:$S$495))-(ROW('CONTROL MASTER'!#REF!)-1))))+1))-1)*50+1,50))&amp;"_"&amp;INDEX('CONTROL MASTER'!$P$2:$P$495,(SUMPRODUCT((('CONTROL MASTER'!$S$2:$S$495=8)*('CONTROL MASTER'!$T$2:$T$495&lt;=4)*('CONTROL MASTER'!$V$2:$V$495&gt;=4)*('CONTROL MASTER'!$U$2:$U$495&lt;=8)*('CONTROL MASTER'!$W$2:$W$495&gt;=8))*ROW('CONTROL MASTER'!$S$2:$S$495))-(ROW('CONTROL MASTER'!#REF!)-1))),IF(SUMPRODUCT((('CONTROL MASTER'!$S$2:$S$495=8)*('CONTROL MASTER'!$Z$2:$Z$495&lt;=4)*('CONTROL MASTER'!$AB$2:$AB$495&gt;=4)*('CONTROL MASTER'!$AA$2:$AA$495&lt;=8)*('CONTROL MASTER'!$AC$2:$AC$495&gt;=8))*ROW('CONTROL MASTER'!$S$2:$S$495))&gt;0,INDEX('CONTROL MASTER'!$X$2:$X$495,(SUMPRODUCT((('CONTROL MASTER'!$S$2:$S$495=8)*('CONTROL MASTER'!$Z$2:$Z$495&lt;=4)*('CONTROL MASTER'!$AB$2:$AB$495&gt;=4)*('CONTROL MASTER'!$AA$2:$AA$495&lt;=8)*('CONTROL MASTER'!$AC$2:$AC$495&gt;=8))*ROW('CONTROL MASTER'!$S$2:$S$495))-(ROW('CONTROL MASTER'!#REF!)-1)))&amp;TRIM(MID(SUBSTITUTE(SUBSTITUTE(INDEX('CONTROL MASTER'!$N$2:$N$495,(SUMPRODUCT((('CONTROL MASTER'!$S$2:$S$495=8)*('CONTROL MASTER'!$Z$2:$Z$495&lt;=4)*('CONTROL MASTER'!$AB$2:$AB$495&gt;=4)*('CONTROL MASTER'!$AA$2:$AA$495&lt;=8)*('CONTROL MASTER'!$AC$2:$AC$495&gt;=8))*ROW('CONTROL MASTER'!$S$2:$S$495))-(ROW('CONTROL MASTER'!#REF!)-1))),":",","),",",REPT(" ",50)),(((INDEX('CONTROL MASTER'!$Y$2:$Y$495,(SUMPRODUCT((('CONTROL MASTER'!$S$2:$S$495=8)*('CONTROL MASTER'!$Z$2:$Z$495&lt;=4)*('CONTROL MASTER'!$AB$2:$AB$495&gt;=4)*('CONTROL MASTER'!$AA$2:$AA$495&lt;=8)*('CONTROL MASTER'!$AC$2:$AC$495&gt;=8))*ROW('CONTROL MASTER'!$S$2:$S$495))-(ROW('CONTROL MASTER'!#REF!)-1)))+((4-INDEX('CONTROL MASTER'!$Z$2:$Z$495,(SUMPRODUCT((('CONTROL MASTER'!$S$2:$S$495=8)*('CONTROL MASTER'!$Z$2:$Z$495&lt;=4)*('CONTROL MASTER'!$AB$2:$AB$495&gt;=4)*('CONTROL MASTER'!$AA$2:$AA$495&lt;=8)*('CONTROL MASTER'!$AC$2:$AC$495&gt;=8))*ROW('CONTROL MASTER'!$S$2:$S$495))-(ROW('CONTROL MASTER'!#REF!)-1))))*(INDEX('CONTROL MASTER'!$AC$2:$AC$495,(SUMPRODUCT((('CONTROL MASTER'!$S$2:$S$495=8)*('CONTROL MASTER'!$Z$2:$Z$495&lt;=4)*('CONTROL MASTER'!$AB$2:$AB$495&gt;=4)*('CONTROL MASTER'!$AA$2:$AA$495&lt;=8)*('CONTROL MASTER'!$AC$2:$AC$495&gt;=8))*ROW('CONTROL MASTER'!$S$2:$S$495))-(ROW('CONTROL MASTER'!#REF!)-1)))-INDEX('CONTROL MASTER'!$AA$2:$AA$495,(SUMPRODUCT((('CONTROL MASTER'!$S$2:$S$495=8)*('CONTROL MASTER'!$Z$2:$Z$495&lt;=4)*('CONTROL MASTER'!$AB$2:$AB$495&gt;=4)*('CONTROL MASTER'!$AA$2:$AA$495&lt;=8)*('CONTROL MASTER'!$AC$2:$AC$495&gt;=8))*ROW('CONTROL MASTER'!$S$2:$S$495))-(ROW('CONTROL MASTER'!#REF!)-1)))+1)+(8-INDEX('CONTROL MASTER'!$AA$2:$AA$495,(SUMPRODUCT((('CONTROL MASTER'!$S$2:$S$495=8)*('CONTROL MASTER'!$Z$2:$Z$495&lt;=4)*('CONTROL MASTER'!$AB$2:$AB$495&gt;=4)*('CONTROL MASTER'!$AA$2:$AA$495&lt;=8)*('CONTROL MASTER'!$AC$2:$AC$495&gt;=8))*ROW('CONTROL MASTER'!$S$2:$S$495))-(ROW('CONTROL MASTER'!#REF!)-1))))+1)))-1)*50+1,50))&amp;"_"&amp;INDEX('CONTROL MASTER'!$P$2:$P$495,(SUMPRODUCT((('CONTROL MASTER'!$S$2:$S$495=8)*('CONTROL MASTER'!$Z$2:$Z$495&lt;=4)*('CONTROL MASTER'!$AB$2:$AB$495&gt;=4)*('CONTROL MASTER'!$AA$2:$AA$495&lt;=8)*('CONTROL MASTER'!$AC$2:$AC$495&gt;=8))*ROW('CONTROL MASTER'!$S$2:$S$495))-(ROW('CONTROL MASTER'!#REF!)-1))),"")),"")</f>
        <v/>
      </c>
      <c r="J104" s="10" t="str">
        <f>IFERROR(IF(SUMPRODUCT((('CONTROL MASTER'!$S$2:$S$495=8)*('CONTROL MASTER'!$T$2:$T$495&lt;=4)*('CONTROL MASTER'!$V$2:$V$495&gt;=4)*('CONTROL MASTER'!$U$2:$U$495&lt;=9)*('CONTROL MASTER'!$W$2:$W$495&gt;=9))*ROW('CONTROL MASTER'!$S$2:$S$495))&gt;0,INDEX('CONTROL MASTER'!$X$2:$X$495,(SUMPRODUCT((('CONTROL MASTER'!$S$2:$S$495=8)*('CONTROL MASTER'!$T$2:$T$495&lt;=4)*('CONTROL MASTER'!$V$2:$V$495&gt;=4)*('CONTROL MASTER'!$U$2:$U$495&lt;=9)*('CONTROL MASTER'!$W$2:$W$495&gt;=9))*ROW('CONTROL MASTER'!$S$2:$S$495))-(ROW('CONTROL MASTER'!#REF!)-1)))&amp;TRIM(MID(SUBSTITUTE(SUBSTITUTE(INDEX('CONTROL MASTER'!$N$2:$N$495,(SUMPRODUCT((('CONTROL MASTER'!$S$2:$S$495=8)*('CONTROL MASTER'!$T$2:$T$495&lt;=4)*('CONTROL MASTER'!$V$2:$V$495&gt;=4)*('CONTROL MASTER'!$U$2:$U$495&lt;=9)*('CONTROL MASTER'!$W$2:$W$495&gt;=9))*ROW('CONTROL MASTER'!$S$2:$S$495))-(ROW('CONTROL MASTER'!#REF!)-1))),":",","),",",REPT(" ",50)),((((4-INDEX('CONTROL MASTER'!$T$2:$T$495,(SUMPRODUCT((('CONTROL MASTER'!$S$2:$S$495=8)*('CONTROL MASTER'!$T$2:$T$495&lt;=4)*('CONTROL MASTER'!$V$2:$V$495&gt;=4)*('CONTROL MASTER'!$U$2:$U$495&lt;=9)*('CONTROL MASTER'!$W$2:$W$495&gt;=9))*ROW('CONTROL MASTER'!$S$2:$S$495))-(ROW('CONTROL MASTER'!#REF!)-1))))*(INDEX('CONTROL MASTER'!$W$2:$W$495,(SUMPRODUCT((('CONTROL MASTER'!$S$2:$S$495=8)*('CONTROL MASTER'!$T$2:$T$495&lt;=4)*('CONTROL MASTER'!$V$2:$V$495&gt;=4)*('CONTROL MASTER'!$U$2:$U$495&lt;=9)*('CONTROL MASTER'!$W$2:$W$495&gt;=9))*ROW('CONTROL MASTER'!$S$2:$S$495))-(ROW('CONTROL MASTER'!#REF!)-1)))-INDEX('CONTROL MASTER'!$U$2:$U$495,(SUMPRODUCT((('CONTROL MASTER'!$S$2:$S$495=8)*('CONTROL MASTER'!$T$2:$T$495&lt;=4)*('CONTROL MASTER'!$V$2:$V$495&gt;=4)*('CONTROL MASTER'!$U$2:$U$495&lt;=9)*('CONTROL MASTER'!$W$2:$W$495&gt;=9))*ROW('CONTROL MASTER'!$S$2:$S$495))-(ROW('CONTROL MASTER'!#REF!)-1)))+1)+(9-INDEX('CONTROL MASTER'!$U$2:$U$495,(SUMPRODUCT((('CONTROL MASTER'!$S$2:$S$495=8)*('CONTROL MASTER'!$T$2:$T$495&lt;=4)*('CONTROL MASTER'!$V$2:$V$495&gt;=4)*('CONTROL MASTER'!$U$2:$U$495&lt;=9)*('CONTROL MASTER'!$W$2:$W$495&gt;=9))*ROW('CONTROL MASTER'!$S$2:$S$495))-(ROW('CONTROL MASTER'!#REF!)-1))))+1))-1)*50+1,50))&amp;"_"&amp;INDEX('CONTROL MASTER'!$P$2:$P$495,(SUMPRODUCT((('CONTROL MASTER'!$S$2:$S$495=8)*('CONTROL MASTER'!$T$2:$T$495&lt;=4)*('CONTROL MASTER'!$V$2:$V$495&gt;=4)*('CONTROL MASTER'!$U$2:$U$495&lt;=9)*('CONTROL MASTER'!$W$2:$W$495&gt;=9))*ROW('CONTROL MASTER'!$S$2:$S$495))-(ROW('CONTROL MASTER'!#REF!)-1))),IF(SUMPRODUCT((('CONTROL MASTER'!$S$2:$S$495=8)*('CONTROL MASTER'!$Z$2:$Z$495&lt;=4)*('CONTROL MASTER'!$AB$2:$AB$495&gt;=4)*('CONTROL MASTER'!$AA$2:$AA$495&lt;=9)*('CONTROL MASTER'!$AC$2:$AC$495&gt;=9))*ROW('CONTROL MASTER'!$S$2:$S$495))&gt;0,INDEX('CONTROL MASTER'!$X$2:$X$495,(SUMPRODUCT((('CONTROL MASTER'!$S$2:$S$495=8)*('CONTROL MASTER'!$Z$2:$Z$495&lt;=4)*('CONTROL MASTER'!$AB$2:$AB$495&gt;=4)*('CONTROL MASTER'!$AA$2:$AA$495&lt;=9)*('CONTROL MASTER'!$AC$2:$AC$495&gt;=9))*ROW('CONTROL MASTER'!$S$2:$S$495))-(ROW('CONTROL MASTER'!#REF!)-1)))&amp;TRIM(MID(SUBSTITUTE(SUBSTITUTE(INDEX('CONTROL MASTER'!$N$2:$N$495,(SUMPRODUCT((('CONTROL MASTER'!$S$2:$S$495=8)*('CONTROL MASTER'!$Z$2:$Z$495&lt;=4)*('CONTROL MASTER'!$AB$2:$AB$495&gt;=4)*('CONTROL MASTER'!$AA$2:$AA$495&lt;=9)*('CONTROL MASTER'!$AC$2:$AC$495&gt;=9))*ROW('CONTROL MASTER'!$S$2:$S$495))-(ROW('CONTROL MASTER'!#REF!)-1))),":",","),",",REPT(" ",50)),(((INDEX('CONTROL MASTER'!$Y$2:$Y$495,(SUMPRODUCT((('CONTROL MASTER'!$S$2:$S$495=8)*('CONTROL MASTER'!$Z$2:$Z$495&lt;=4)*('CONTROL MASTER'!$AB$2:$AB$495&gt;=4)*('CONTROL MASTER'!$AA$2:$AA$495&lt;=9)*('CONTROL MASTER'!$AC$2:$AC$495&gt;=9))*ROW('CONTROL MASTER'!$S$2:$S$495))-(ROW('CONTROL MASTER'!#REF!)-1)))+((4-INDEX('CONTROL MASTER'!$Z$2:$Z$495,(SUMPRODUCT((('CONTROL MASTER'!$S$2:$S$495=8)*('CONTROL MASTER'!$Z$2:$Z$495&lt;=4)*('CONTROL MASTER'!$AB$2:$AB$495&gt;=4)*('CONTROL MASTER'!$AA$2:$AA$495&lt;=9)*('CONTROL MASTER'!$AC$2:$AC$495&gt;=9))*ROW('CONTROL MASTER'!$S$2:$S$495))-(ROW('CONTROL MASTER'!#REF!)-1))))*(INDEX('CONTROL MASTER'!$AC$2:$AC$495,(SUMPRODUCT((('CONTROL MASTER'!$S$2:$S$495=8)*('CONTROL MASTER'!$Z$2:$Z$495&lt;=4)*('CONTROL MASTER'!$AB$2:$AB$495&gt;=4)*('CONTROL MASTER'!$AA$2:$AA$495&lt;=9)*('CONTROL MASTER'!$AC$2:$AC$495&gt;=9))*ROW('CONTROL MASTER'!$S$2:$S$495))-(ROW('CONTROL MASTER'!#REF!)-1)))-INDEX('CONTROL MASTER'!$AA$2:$AA$495,(SUMPRODUCT((('CONTROL MASTER'!$S$2:$S$495=8)*('CONTROL MASTER'!$Z$2:$Z$495&lt;=4)*('CONTROL MASTER'!$AB$2:$AB$495&gt;=4)*('CONTROL MASTER'!$AA$2:$AA$495&lt;=9)*('CONTROL MASTER'!$AC$2:$AC$495&gt;=9))*ROW('CONTROL MASTER'!$S$2:$S$495))-(ROW('CONTROL MASTER'!#REF!)-1)))+1)+(9-INDEX('CONTROL MASTER'!$AA$2:$AA$495,(SUMPRODUCT((('CONTROL MASTER'!$S$2:$S$495=8)*('CONTROL MASTER'!$Z$2:$Z$495&lt;=4)*('CONTROL MASTER'!$AB$2:$AB$495&gt;=4)*('CONTROL MASTER'!$AA$2:$AA$495&lt;=9)*('CONTROL MASTER'!$AC$2:$AC$495&gt;=9))*ROW('CONTROL MASTER'!$S$2:$S$495))-(ROW('CONTROL MASTER'!#REF!)-1))))+1)))-1)*50+1,50))&amp;"_"&amp;INDEX('CONTROL MASTER'!$P$2:$P$495,(SUMPRODUCT((('CONTROL MASTER'!$S$2:$S$495=8)*('CONTROL MASTER'!$Z$2:$Z$495&lt;=4)*('CONTROL MASTER'!$AB$2:$AB$495&gt;=4)*('CONTROL MASTER'!$AA$2:$AA$495&lt;=9)*('CONTROL MASTER'!$AC$2:$AC$495&gt;=9))*ROW('CONTROL MASTER'!$S$2:$S$495))-(ROW('CONTROL MASTER'!#REF!)-1))),"")),"")</f>
        <v/>
      </c>
      <c r="K104" s="10" t="str">
        <f>IFERROR(IF(SUMPRODUCT((('CONTROL MASTER'!$S$2:$S$495=8)*('CONTROL MASTER'!$T$2:$T$495&lt;=4)*('CONTROL MASTER'!$V$2:$V$495&gt;=4)*('CONTROL MASTER'!$U$2:$U$495&lt;=10)*('CONTROL MASTER'!$W$2:$W$495&gt;=10))*ROW('CONTROL MASTER'!$S$2:$S$495))&gt;0,INDEX('CONTROL MASTER'!$X$2:$X$495,(SUMPRODUCT((('CONTROL MASTER'!$S$2:$S$495=8)*('CONTROL MASTER'!$T$2:$T$495&lt;=4)*('CONTROL MASTER'!$V$2:$V$495&gt;=4)*('CONTROL MASTER'!$U$2:$U$495&lt;=10)*('CONTROL MASTER'!$W$2:$W$495&gt;=10))*ROW('CONTROL MASTER'!$S$2:$S$495))-(ROW('CONTROL MASTER'!#REF!)-1)))&amp;TRIM(MID(SUBSTITUTE(SUBSTITUTE(INDEX('CONTROL MASTER'!$N$2:$N$495,(SUMPRODUCT((('CONTROL MASTER'!$S$2:$S$495=8)*('CONTROL MASTER'!$T$2:$T$495&lt;=4)*('CONTROL MASTER'!$V$2:$V$495&gt;=4)*('CONTROL MASTER'!$U$2:$U$495&lt;=10)*('CONTROL MASTER'!$W$2:$W$495&gt;=10))*ROW('CONTROL MASTER'!$S$2:$S$495))-(ROW('CONTROL MASTER'!#REF!)-1))),":",","),",",REPT(" ",50)),((((4-INDEX('CONTROL MASTER'!$T$2:$T$495,(SUMPRODUCT((('CONTROL MASTER'!$S$2:$S$495=8)*('CONTROL MASTER'!$T$2:$T$495&lt;=4)*('CONTROL MASTER'!$V$2:$V$495&gt;=4)*('CONTROL MASTER'!$U$2:$U$495&lt;=10)*('CONTROL MASTER'!$W$2:$W$495&gt;=10))*ROW('CONTROL MASTER'!$S$2:$S$495))-(ROW('CONTROL MASTER'!#REF!)-1))))*(INDEX('CONTROL MASTER'!$W$2:$W$495,(SUMPRODUCT((('CONTROL MASTER'!$S$2:$S$495=8)*('CONTROL MASTER'!$T$2:$T$495&lt;=4)*('CONTROL MASTER'!$V$2:$V$495&gt;=4)*('CONTROL MASTER'!$U$2:$U$495&lt;=10)*('CONTROL MASTER'!$W$2:$W$495&gt;=10))*ROW('CONTROL MASTER'!$S$2:$S$495))-(ROW('CONTROL MASTER'!#REF!)-1)))-INDEX('CONTROL MASTER'!$U$2:$U$495,(SUMPRODUCT((('CONTROL MASTER'!$S$2:$S$495=8)*('CONTROL MASTER'!$T$2:$T$495&lt;=4)*('CONTROL MASTER'!$V$2:$V$495&gt;=4)*('CONTROL MASTER'!$U$2:$U$495&lt;=10)*('CONTROL MASTER'!$W$2:$W$495&gt;=10))*ROW('CONTROL MASTER'!$S$2:$S$495))-(ROW('CONTROL MASTER'!#REF!)-1)))+1)+(10-INDEX('CONTROL MASTER'!$U$2:$U$495,(SUMPRODUCT((('CONTROL MASTER'!$S$2:$S$495=8)*('CONTROL MASTER'!$T$2:$T$495&lt;=4)*('CONTROL MASTER'!$V$2:$V$495&gt;=4)*('CONTROL MASTER'!$U$2:$U$495&lt;=10)*('CONTROL MASTER'!$W$2:$W$495&gt;=10))*ROW('CONTROL MASTER'!$S$2:$S$495))-(ROW('CONTROL MASTER'!#REF!)-1))))+1))-1)*50+1,50))&amp;"_"&amp;INDEX('CONTROL MASTER'!$P$2:$P$495,(SUMPRODUCT((('CONTROL MASTER'!$S$2:$S$495=8)*('CONTROL MASTER'!$T$2:$T$495&lt;=4)*('CONTROL MASTER'!$V$2:$V$495&gt;=4)*('CONTROL MASTER'!$U$2:$U$495&lt;=10)*('CONTROL MASTER'!$W$2:$W$495&gt;=10))*ROW('CONTROL MASTER'!$S$2:$S$495))-(ROW('CONTROL MASTER'!#REF!)-1))),IF(SUMPRODUCT((('CONTROL MASTER'!$S$2:$S$495=8)*('CONTROL MASTER'!$Z$2:$Z$495&lt;=4)*('CONTROL MASTER'!$AB$2:$AB$495&gt;=4)*('CONTROL MASTER'!$AA$2:$AA$495&lt;=10)*('CONTROL MASTER'!$AC$2:$AC$495&gt;=10))*ROW('CONTROL MASTER'!$S$2:$S$495))&gt;0,INDEX('CONTROL MASTER'!$X$2:$X$495,(SUMPRODUCT((('CONTROL MASTER'!$S$2:$S$495=8)*('CONTROL MASTER'!$Z$2:$Z$495&lt;=4)*('CONTROL MASTER'!$AB$2:$AB$495&gt;=4)*('CONTROL MASTER'!$AA$2:$AA$495&lt;=10)*('CONTROL MASTER'!$AC$2:$AC$495&gt;=10))*ROW('CONTROL MASTER'!$S$2:$S$495))-(ROW('CONTROL MASTER'!#REF!)-1)))&amp;TRIM(MID(SUBSTITUTE(SUBSTITUTE(INDEX('CONTROL MASTER'!$N$2:$N$495,(SUMPRODUCT((('CONTROL MASTER'!$S$2:$S$495=8)*('CONTROL MASTER'!$Z$2:$Z$495&lt;=4)*('CONTROL MASTER'!$AB$2:$AB$495&gt;=4)*('CONTROL MASTER'!$AA$2:$AA$495&lt;=10)*('CONTROL MASTER'!$AC$2:$AC$495&gt;=10))*ROW('CONTROL MASTER'!$S$2:$S$495))-(ROW('CONTROL MASTER'!#REF!)-1))),":",","),",",REPT(" ",50)),(((INDEX('CONTROL MASTER'!$Y$2:$Y$495,(SUMPRODUCT((('CONTROL MASTER'!$S$2:$S$495=8)*('CONTROL MASTER'!$Z$2:$Z$495&lt;=4)*('CONTROL MASTER'!$AB$2:$AB$495&gt;=4)*('CONTROL MASTER'!$AA$2:$AA$495&lt;=10)*('CONTROL MASTER'!$AC$2:$AC$495&gt;=10))*ROW('CONTROL MASTER'!$S$2:$S$495))-(ROW('CONTROL MASTER'!#REF!)-1)))+((4-INDEX('CONTROL MASTER'!$Z$2:$Z$495,(SUMPRODUCT((('CONTROL MASTER'!$S$2:$S$495=8)*('CONTROL MASTER'!$Z$2:$Z$495&lt;=4)*('CONTROL MASTER'!$AB$2:$AB$495&gt;=4)*('CONTROL MASTER'!$AA$2:$AA$495&lt;=10)*('CONTROL MASTER'!$AC$2:$AC$495&gt;=10))*ROW('CONTROL MASTER'!$S$2:$S$495))-(ROW('CONTROL MASTER'!#REF!)-1))))*(INDEX('CONTROL MASTER'!$AC$2:$AC$495,(SUMPRODUCT((('CONTROL MASTER'!$S$2:$S$495=8)*('CONTROL MASTER'!$Z$2:$Z$495&lt;=4)*('CONTROL MASTER'!$AB$2:$AB$495&gt;=4)*('CONTROL MASTER'!$AA$2:$AA$495&lt;=10)*('CONTROL MASTER'!$AC$2:$AC$495&gt;=10))*ROW('CONTROL MASTER'!$S$2:$S$495))-(ROW('CONTROL MASTER'!#REF!)-1)))-INDEX('CONTROL MASTER'!$AA$2:$AA$495,(SUMPRODUCT((('CONTROL MASTER'!$S$2:$S$495=8)*('CONTROL MASTER'!$Z$2:$Z$495&lt;=4)*('CONTROL MASTER'!$AB$2:$AB$495&gt;=4)*('CONTROL MASTER'!$AA$2:$AA$495&lt;=10)*('CONTROL MASTER'!$AC$2:$AC$495&gt;=10))*ROW('CONTROL MASTER'!$S$2:$S$495))-(ROW('CONTROL MASTER'!#REF!)-1)))+1)+(10-INDEX('CONTROL MASTER'!$AA$2:$AA$495,(SUMPRODUCT((('CONTROL MASTER'!$S$2:$S$495=8)*('CONTROL MASTER'!$Z$2:$Z$495&lt;=4)*('CONTROL MASTER'!$AB$2:$AB$495&gt;=4)*('CONTROL MASTER'!$AA$2:$AA$495&lt;=10)*('CONTROL MASTER'!$AC$2:$AC$495&gt;=10))*ROW('CONTROL MASTER'!$S$2:$S$495))-(ROW('CONTROL MASTER'!#REF!)-1))))+1)))-1)*50+1,50))&amp;"_"&amp;INDEX('CONTROL MASTER'!$P$2:$P$495,(SUMPRODUCT((('CONTROL MASTER'!$S$2:$S$495=8)*('CONTROL MASTER'!$Z$2:$Z$495&lt;=4)*('CONTROL MASTER'!$AB$2:$AB$495&gt;=4)*('CONTROL MASTER'!$AA$2:$AA$495&lt;=10)*('CONTROL MASTER'!$AC$2:$AC$495&gt;=10))*ROW('CONTROL MASTER'!$S$2:$S$495))-(ROW('CONTROL MASTER'!#REF!)-1))),"")),"")</f>
        <v/>
      </c>
    </row>
    <row r="105" spans="1:11" ht="15" customHeight="1" x14ac:dyDescent="0.35">
      <c r="A105" s="8" t="s">
        <v>32</v>
      </c>
      <c r="B105" s="10" t="str">
        <f>IFERROR(IF(SUMPRODUCT((('CONTROL MASTER'!$S$2:$S$495=8)*('CONTROL MASTER'!$T$2:$T$495&lt;=5)*('CONTROL MASTER'!$V$2:$V$495&gt;=5)*('CONTROL MASTER'!$U$2:$U$495&lt;=1)*('CONTROL MASTER'!$W$2:$W$495&gt;=1))*ROW('CONTROL MASTER'!$S$2:$S$495))&gt;0,INDEX('CONTROL MASTER'!$X$2:$X$495,(SUMPRODUCT((('CONTROL MASTER'!$S$2:$S$495=8)*('CONTROL MASTER'!$T$2:$T$495&lt;=5)*('CONTROL MASTER'!$V$2:$V$495&gt;=5)*('CONTROL MASTER'!$U$2:$U$495&lt;=1)*('CONTROL MASTER'!$W$2:$W$495&gt;=1))*ROW('CONTROL MASTER'!$S$2:$S$495))-(ROW('CONTROL MASTER'!#REF!)-1)))&amp;TRIM(MID(SUBSTITUTE(SUBSTITUTE(INDEX('CONTROL MASTER'!$N$2:$N$495,(SUMPRODUCT((('CONTROL MASTER'!$S$2:$S$495=8)*('CONTROL MASTER'!$T$2:$T$495&lt;=5)*('CONTROL MASTER'!$V$2:$V$495&gt;=5)*('CONTROL MASTER'!$U$2:$U$495&lt;=1)*('CONTROL MASTER'!$W$2:$W$495&gt;=1))*ROW('CONTROL MASTER'!$S$2:$S$495))-(ROW('CONTROL MASTER'!#REF!)-1))),":",","),",",REPT(" ",50)),((((5-INDEX('CONTROL MASTER'!$T$2:$T$495,(SUMPRODUCT((('CONTROL MASTER'!$S$2:$S$495=8)*('CONTROL MASTER'!$T$2:$T$495&lt;=5)*('CONTROL MASTER'!$V$2:$V$495&gt;=5)*('CONTROL MASTER'!$U$2:$U$495&lt;=1)*('CONTROL MASTER'!$W$2:$W$495&gt;=1))*ROW('CONTROL MASTER'!$S$2:$S$495))-(ROW('CONTROL MASTER'!#REF!)-1))))*(INDEX('CONTROL MASTER'!$W$2:$W$495,(SUMPRODUCT((('CONTROL MASTER'!$S$2:$S$495=8)*('CONTROL MASTER'!$T$2:$T$495&lt;=5)*('CONTROL MASTER'!$V$2:$V$495&gt;=5)*('CONTROL MASTER'!$U$2:$U$495&lt;=1)*('CONTROL MASTER'!$W$2:$W$495&gt;=1))*ROW('CONTROL MASTER'!$S$2:$S$495))-(ROW('CONTROL MASTER'!#REF!)-1)))-INDEX('CONTROL MASTER'!$U$2:$U$495,(SUMPRODUCT((('CONTROL MASTER'!$S$2:$S$495=8)*('CONTROL MASTER'!$T$2:$T$495&lt;=5)*('CONTROL MASTER'!$V$2:$V$495&gt;=5)*('CONTROL MASTER'!$U$2:$U$495&lt;=1)*('CONTROL MASTER'!$W$2:$W$495&gt;=1))*ROW('CONTROL MASTER'!$S$2:$S$495))-(ROW('CONTROL MASTER'!#REF!)-1)))+1)+(1-INDEX('CONTROL MASTER'!$U$2:$U$495,(SUMPRODUCT((('CONTROL MASTER'!$S$2:$S$495=8)*('CONTROL MASTER'!$T$2:$T$495&lt;=5)*('CONTROL MASTER'!$V$2:$V$495&gt;=5)*('CONTROL MASTER'!$U$2:$U$495&lt;=1)*('CONTROL MASTER'!$W$2:$W$495&gt;=1))*ROW('CONTROL MASTER'!$S$2:$S$495))-(ROW('CONTROL MASTER'!#REF!)-1))))+1))-1)*50+1,50))&amp;"_"&amp;INDEX('CONTROL MASTER'!$P$2:$P$495,(SUMPRODUCT((('CONTROL MASTER'!$S$2:$S$495=8)*('CONTROL MASTER'!$T$2:$T$495&lt;=5)*('CONTROL MASTER'!$V$2:$V$495&gt;=5)*('CONTROL MASTER'!$U$2:$U$495&lt;=1)*('CONTROL MASTER'!$W$2:$W$495&gt;=1))*ROW('CONTROL MASTER'!$S$2:$S$495))-(ROW('CONTROL MASTER'!#REF!)-1))),IF(SUMPRODUCT((('CONTROL MASTER'!$S$2:$S$495=8)*('CONTROL MASTER'!$Z$2:$Z$495&lt;=5)*('CONTROL MASTER'!$AB$2:$AB$495&gt;=5)*('CONTROL MASTER'!$AA$2:$AA$495&lt;=1)*('CONTROL MASTER'!$AC$2:$AC$495&gt;=1))*ROW('CONTROL MASTER'!$S$2:$S$495))&gt;0,INDEX('CONTROL MASTER'!$X$2:$X$495,(SUMPRODUCT((('CONTROL MASTER'!$S$2:$S$495=8)*('CONTROL MASTER'!$Z$2:$Z$495&lt;=5)*('CONTROL MASTER'!$AB$2:$AB$495&gt;=5)*('CONTROL MASTER'!$AA$2:$AA$495&lt;=1)*('CONTROL MASTER'!$AC$2:$AC$495&gt;=1))*ROW('CONTROL MASTER'!$S$2:$S$495))-(ROW('CONTROL MASTER'!#REF!)-1)))&amp;TRIM(MID(SUBSTITUTE(SUBSTITUTE(INDEX('CONTROL MASTER'!$N$2:$N$495,(SUMPRODUCT((('CONTROL MASTER'!$S$2:$S$495=8)*('CONTROL MASTER'!$Z$2:$Z$495&lt;=5)*('CONTROL MASTER'!$AB$2:$AB$495&gt;=5)*('CONTROL MASTER'!$AA$2:$AA$495&lt;=1)*('CONTROL MASTER'!$AC$2:$AC$495&gt;=1))*ROW('CONTROL MASTER'!$S$2:$S$495))-(ROW('CONTROL MASTER'!#REF!)-1))),":",","),",",REPT(" ",50)),(((INDEX('CONTROL MASTER'!$Y$2:$Y$495,(SUMPRODUCT((('CONTROL MASTER'!$S$2:$S$495=8)*('CONTROL MASTER'!$Z$2:$Z$495&lt;=5)*('CONTROL MASTER'!$AB$2:$AB$495&gt;=5)*('CONTROL MASTER'!$AA$2:$AA$495&lt;=1)*('CONTROL MASTER'!$AC$2:$AC$495&gt;=1))*ROW('CONTROL MASTER'!$S$2:$S$495))-(ROW('CONTROL MASTER'!#REF!)-1)))+((5-INDEX('CONTROL MASTER'!$Z$2:$Z$495,(SUMPRODUCT((('CONTROL MASTER'!$S$2:$S$495=8)*('CONTROL MASTER'!$Z$2:$Z$495&lt;=5)*('CONTROL MASTER'!$AB$2:$AB$495&gt;=5)*('CONTROL MASTER'!$AA$2:$AA$495&lt;=1)*('CONTROL MASTER'!$AC$2:$AC$495&gt;=1))*ROW('CONTROL MASTER'!$S$2:$S$495))-(ROW('CONTROL MASTER'!#REF!)-1))))*(INDEX('CONTROL MASTER'!$AC$2:$AC$495,(SUMPRODUCT((('CONTROL MASTER'!$S$2:$S$495=8)*('CONTROL MASTER'!$Z$2:$Z$495&lt;=5)*('CONTROL MASTER'!$AB$2:$AB$495&gt;=5)*('CONTROL MASTER'!$AA$2:$AA$495&lt;=1)*('CONTROL MASTER'!$AC$2:$AC$495&gt;=1))*ROW('CONTROL MASTER'!$S$2:$S$495))-(ROW('CONTROL MASTER'!#REF!)-1)))-INDEX('CONTROL MASTER'!$AA$2:$AA$495,(SUMPRODUCT((('CONTROL MASTER'!$S$2:$S$495=8)*('CONTROL MASTER'!$Z$2:$Z$495&lt;=5)*('CONTROL MASTER'!$AB$2:$AB$495&gt;=5)*('CONTROL MASTER'!$AA$2:$AA$495&lt;=1)*('CONTROL MASTER'!$AC$2:$AC$495&gt;=1))*ROW('CONTROL MASTER'!$S$2:$S$495))-(ROW('CONTROL MASTER'!#REF!)-1)))+1)+(1-INDEX('CONTROL MASTER'!$AA$2:$AA$495,(SUMPRODUCT((('CONTROL MASTER'!$S$2:$S$495=8)*('CONTROL MASTER'!$Z$2:$Z$495&lt;=5)*('CONTROL MASTER'!$AB$2:$AB$495&gt;=5)*('CONTROL MASTER'!$AA$2:$AA$495&lt;=1)*('CONTROL MASTER'!$AC$2:$AC$495&gt;=1))*ROW('CONTROL MASTER'!$S$2:$S$495))-(ROW('CONTROL MASTER'!#REF!)-1))))+1)))-1)*50+1,50))&amp;"_"&amp;INDEX('CONTROL MASTER'!$P$2:$P$495,(SUMPRODUCT((('CONTROL MASTER'!$S$2:$S$495=8)*('CONTROL MASTER'!$Z$2:$Z$495&lt;=5)*('CONTROL MASTER'!$AB$2:$AB$495&gt;=5)*('CONTROL MASTER'!$AA$2:$AA$495&lt;=1)*('CONTROL MASTER'!$AC$2:$AC$495&gt;=1))*ROW('CONTROL MASTER'!$S$2:$S$495))-(ROW('CONTROL MASTER'!#REF!)-1))),"")),"")</f>
        <v/>
      </c>
      <c r="C105" s="10" t="str">
        <f>IFERROR(IF(SUMPRODUCT((('CONTROL MASTER'!$S$2:$S$495=8)*('CONTROL MASTER'!$T$2:$T$495&lt;=5)*('CONTROL MASTER'!$V$2:$V$495&gt;=5)*('CONTROL MASTER'!$U$2:$U$495&lt;=2)*('CONTROL MASTER'!$W$2:$W$495&gt;=2))*ROW('CONTROL MASTER'!$S$2:$S$495))&gt;0,INDEX('CONTROL MASTER'!$X$2:$X$495,(SUMPRODUCT((('CONTROL MASTER'!$S$2:$S$495=8)*('CONTROL MASTER'!$T$2:$T$495&lt;=5)*('CONTROL MASTER'!$V$2:$V$495&gt;=5)*('CONTROL MASTER'!$U$2:$U$495&lt;=2)*('CONTROL MASTER'!$W$2:$W$495&gt;=2))*ROW('CONTROL MASTER'!$S$2:$S$495))-(ROW('CONTROL MASTER'!#REF!)-1)))&amp;TRIM(MID(SUBSTITUTE(SUBSTITUTE(INDEX('CONTROL MASTER'!$N$2:$N$495,(SUMPRODUCT((('CONTROL MASTER'!$S$2:$S$495=8)*('CONTROL MASTER'!$T$2:$T$495&lt;=5)*('CONTROL MASTER'!$V$2:$V$495&gt;=5)*('CONTROL MASTER'!$U$2:$U$495&lt;=2)*('CONTROL MASTER'!$W$2:$W$495&gt;=2))*ROW('CONTROL MASTER'!$S$2:$S$495))-(ROW('CONTROL MASTER'!#REF!)-1))),":",","),",",REPT(" ",50)),((((5-INDEX('CONTROL MASTER'!$T$2:$T$495,(SUMPRODUCT((('CONTROL MASTER'!$S$2:$S$495=8)*('CONTROL MASTER'!$T$2:$T$495&lt;=5)*('CONTROL MASTER'!$V$2:$V$495&gt;=5)*('CONTROL MASTER'!$U$2:$U$495&lt;=2)*('CONTROL MASTER'!$W$2:$W$495&gt;=2))*ROW('CONTROL MASTER'!$S$2:$S$495))-(ROW('CONTROL MASTER'!#REF!)-1))))*(INDEX('CONTROL MASTER'!$W$2:$W$495,(SUMPRODUCT((('CONTROL MASTER'!$S$2:$S$495=8)*('CONTROL MASTER'!$T$2:$T$495&lt;=5)*('CONTROL MASTER'!$V$2:$V$495&gt;=5)*('CONTROL MASTER'!$U$2:$U$495&lt;=2)*('CONTROL MASTER'!$W$2:$W$495&gt;=2))*ROW('CONTROL MASTER'!$S$2:$S$495))-(ROW('CONTROL MASTER'!#REF!)-1)))-INDEX('CONTROL MASTER'!$U$2:$U$495,(SUMPRODUCT((('CONTROL MASTER'!$S$2:$S$495=8)*('CONTROL MASTER'!$T$2:$T$495&lt;=5)*('CONTROL MASTER'!$V$2:$V$495&gt;=5)*('CONTROL MASTER'!$U$2:$U$495&lt;=2)*('CONTROL MASTER'!$W$2:$W$495&gt;=2))*ROW('CONTROL MASTER'!$S$2:$S$495))-(ROW('CONTROL MASTER'!#REF!)-1)))+1)+(2-INDEX('CONTROL MASTER'!$U$2:$U$495,(SUMPRODUCT((('CONTROL MASTER'!$S$2:$S$495=8)*('CONTROL MASTER'!$T$2:$T$495&lt;=5)*('CONTROL MASTER'!$V$2:$V$495&gt;=5)*('CONTROL MASTER'!$U$2:$U$495&lt;=2)*('CONTROL MASTER'!$W$2:$W$495&gt;=2))*ROW('CONTROL MASTER'!$S$2:$S$495))-(ROW('CONTROL MASTER'!#REF!)-1))))+1))-1)*50+1,50))&amp;"_"&amp;INDEX('CONTROL MASTER'!$P$2:$P$495,(SUMPRODUCT((('CONTROL MASTER'!$S$2:$S$495=8)*('CONTROL MASTER'!$T$2:$T$495&lt;=5)*('CONTROL MASTER'!$V$2:$V$495&gt;=5)*('CONTROL MASTER'!$U$2:$U$495&lt;=2)*('CONTROL MASTER'!$W$2:$W$495&gt;=2))*ROW('CONTROL MASTER'!$S$2:$S$495))-(ROW('CONTROL MASTER'!#REF!)-1))),IF(SUMPRODUCT((('CONTROL MASTER'!$S$2:$S$495=8)*('CONTROL MASTER'!$Z$2:$Z$495&lt;=5)*('CONTROL MASTER'!$AB$2:$AB$495&gt;=5)*('CONTROL MASTER'!$AA$2:$AA$495&lt;=2)*('CONTROL MASTER'!$AC$2:$AC$495&gt;=2))*ROW('CONTROL MASTER'!$S$2:$S$495))&gt;0,INDEX('CONTROL MASTER'!$X$2:$X$495,(SUMPRODUCT((('CONTROL MASTER'!$S$2:$S$495=8)*('CONTROL MASTER'!$Z$2:$Z$495&lt;=5)*('CONTROL MASTER'!$AB$2:$AB$495&gt;=5)*('CONTROL MASTER'!$AA$2:$AA$495&lt;=2)*('CONTROL MASTER'!$AC$2:$AC$495&gt;=2))*ROW('CONTROL MASTER'!$S$2:$S$495))-(ROW('CONTROL MASTER'!#REF!)-1)))&amp;TRIM(MID(SUBSTITUTE(SUBSTITUTE(INDEX('CONTROL MASTER'!$N$2:$N$495,(SUMPRODUCT((('CONTROL MASTER'!$S$2:$S$495=8)*('CONTROL MASTER'!$Z$2:$Z$495&lt;=5)*('CONTROL MASTER'!$AB$2:$AB$495&gt;=5)*('CONTROL MASTER'!$AA$2:$AA$495&lt;=2)*('CONTROL MASTER'!$AC$2:$AC$495&gt;=2))*ROW('CONTROL MASTER'!$S$2:$S$495))-(ROW('CONTROL MASTER'!#REF!)-1))),":",","),",",REPT(" ",50)),(((INDEX('CONTROL MASTER'!$Y$2:$Y$495,(SUMPRODUCT((('CONTROL MASTER'!$S$2:$S$495=8)*('CONTROL MASTER'!$Z$2:$Z$495&lt;=5)*('CONTROL MASTER'!$AB$2:$AB$495&gt;=5)*('CONTROL MASTER'!$AA$2:$AA$495&lt;=2)*('CONTROL MASTER'!$AC$2:$AC$495&gt;=2))*ROW('CONTROL MASTER'!$S$2:$S$495))-(ROW('CONTROL MASTER'!#REF!)-1)))+((5-INDEX('CONTROL MASTER'!$Z$2:$Z$495,(SUMPRODUCT((('CONTROL MASTER'!$S$2:$S$495=8)*('CONTROL MASTER'!$Z$2:$Z$495&lt;=5)*('CONTROL MASTER'!$AB$2:$AB$495&gt;=5)*('CONTROL MASTER'!$AA$2:$AA$495&lt;=2)*('CONTROL MASTER'!$AC$2:$AC$495&gt;=2))*ROW('CONTROL MASTER'!$S$2:$S$495))-(ROW('CONTROL MASTER'!#REF!)-1))))*(INDEX('CONTROL MASTER'!$AC$2:$AC$495,(SUMPRODUCT((('CONTROL MASTER'!$S$2:$S$495=8)*('CONTROL MASTER'!$Z$2:$Z$495&lt;=5)*('CONTROL MASTER'!$AB$2:$AB$495&gt;=5)*('CONTROL MASTER'!$AA$2:$AA$495&lt;=2)*('CONTROL MASTER'!$AC$2:$AC$495&gt;=2))*ROW('CONTROL MASTER'!$S$2:$S$495))-(ROW('CONTROL MASTER'!#REF!)-1)))-INDEX('CONTROL MASTER'!$AA$2:$AA$495,(SUMPRODUCT((('CONTROL MASTER'!$S$2:$S$495=8)*('CONTROL MASTER'!$Z$2:$Z$495&lt;=5)*('CONTROL MASTER'!$AB$2:$AB$495&gt;=5)*('CONTROL MASTER'!$AA$2:$AA$495&lt;=2)*('CONTROL MASTER'!$AC$2:$AC$495&gt;=2))*ROW('CONTROL MASTER'!$S$2:$S$495))-(ROW('CONTROL MASTER'!#REF!)-1)))+1)+(2-INDEX('CONTROL MASTER'!$AA$2:$AA$495,(SUMPRODUCT((('CONTROL MASTER'!$S$2:$S$495=8)*('CONTROL MASTER'!$Z$2:$Z$495&lt;=5)*('CONTROL MASTER'!$AB$2:$AB$495&gt;=5)*('CONTROL MASTER'!$AA$2:$AA$495&lt;=2)*('CONTROL MASTER'!$AC$2:$AC$495&gt;=2))*ROW('CONTROL MASTER'!$S$2:$S$495))-(ROW('CONTROL MASTER'!#REF!)-1))))+1)))-1)*50+1,50))&amp;"_"&amp;INDEX('CONTROL MASTER'!$P$2:$P$495,(SUMPRODUCT((('CONTROL MASTER'!$S$2:$S$495=8)*('CONTROL MASTER'!$Z$2:$Z$495&lt;=5)*('CONTROL MASTER'!$AB$2:$AB$495&gt;=5)*('CONTROL MASTER'!$AA$2:$AA$495&lt;=2)*('CONTROL MASTER'!$AC$2:$AC$495&gt;=2))*ROW('CONTROL MASTER'!$S$2:$S$495))-(ROW('CONTROL MASTER'!#REF!)-1))),"")),"")</f>
        <v/>
      </c>
      <c r="D105" s="10" t="str">
        <f>IFERROR(IF(SUMPRODUCT((('CONTROL MASTER'!$S$2:$S$495=8)*('CONTROL MASTER'!$T$2:$T$495&lt;=5)*('CONTROL MASTER'!$V$2:$V$495&gt;=5)*('CONTROL MASTER'!$U$2:$U$495&lt;=3)*('CONTROL MASTER'!$W$2:$W$495&gt;=3))*ROW('CONTROL MASTER'!$S$2:$S$495))&gt;0,INDEX('CONTROL MASTER'!$X$2:$X$495,(SUMPRODUCT((('CONTROL MASTER'!$S$2:$S$495=8)*('CONTROL MASTER'!$T$2:$T$495&lt;=5)*('CONTROL MASTER'!$V$2:$V$495&gt;=5)*('CONTROL MASTER'!$U$2:$U$495&lt;=3)*('CONTROL MASTER'!$W$2:$W$495&gt;=3))*ROW('CONTROL MASTER'!$S$2:$S$495))-(ROW('CONTROL MASTER'!#REF!)-1)))&amp;TRIM(MID(SUBSTITUTE(SUBSTITUTE(INDEX('CONTROL MASTER'!$N$2:$N$495,(SUMPRODUCT((('CONTROL MASTER'!$S$2:$S$495=8)*('CONTROL MASTER'!$T$2:$T$495&lt;=5)*('CONTROL MASTER'!$V$2:$V$495&gt;=5)*('CONTROL MASTER'!$U$2:$U$495&lt;=3)*('CONTROL MASTER'!$W$2:$W$495&gt;=3))*ROW('CONTROL MASTER'!$S$2:$S$495))-(ROW('CONTROL MASTER'!#REF!)-1))),":",","),",",REPT(" ",50)),((((5-INDEX('CONTROL MASTER'!$T$2:$T$495,(SUMPRODUCT((('CONTROL MASTER'!$S$2:$S$495=8)*('CONTROL MASTER'!$T$2:$T$495&lt;=5)*('CONTROL MASTER'!$V$2:$V$495&gt;=5)*('CONTROL MASTER'!$U$2:$U$495&lt;=3)*('CONTROL MASTER'!$W$2:$W$495&gt;=3))*ROW('CONTROL MASTER'!$S$2:$S$495))-(ROW('CONTROL MASTER'!#REF!)-1))))*(INDEX('CONTROL MASTER'!$W$2:$W$495,(SUMPRODUCT((('CONTROL MASTER'!$S$2:$S$495=8)*('CONTROL MASTER'!$T$2:$T$495&lt;=5)*('CONTROL MASTER'!$V$2:$V$495&gt;=5)*('CONTROL MASTER'!$U$2:$U$495&lt;=3)*('CONTROL MASTER'!$W$2:$W$495&gt;=3))*ROW('CONTROL MASTER'!$S$2:$S$495))-(ROW('CONTROL MASTER'!#REF!)-1)))-INDEX('CONTROL MASTER'!$U$2:$U$495,(SUMPRODUCT((('CONTROL MASTER'!$S$2:$S$495=8)*('CONTROL MASTER'!$T$2:$T$495&lt;=5)*('CONTROL MASTER'!$V$2:$V$495&gt;=5)*('CONTROL MASTER'!$U$2:$U$495&lt;=3)*('CONTROL MASTER'!$W$2:$W$495&gt;=3))*ROW('CONTROL MASTER'!$S$2:$S$495))-(ROW('CONTROL MASTER'!#REF!)-1)))+1)+(3-INDEX('CONTROL MASTER'!$U$2:$U$495,(SUMPRODUCT((('CONTROL MASTER'!$S$2:$S$495=8)*('CONTROL MASTER'!$T$2:$T$495&lt;=5)*('CONTROL MASTER'!$V$2:$V$495&gt;=5)*('CONTROL MASTER'!$U$2:$U$495&lt;=3)*('CONTROL MASTER'!$W$2:$W$495&gt;=3))*ROW('CONTROL MASTER'!$S$2:$S$495))-(ROW('CONTROL MASTER'!#REF!)-1))))+1))-1)*50+1,50))&amp;"_"&amp;INDEX('CONTROL MASTER'!$P$2:$P$495,(SUMPRODUCT((('CONTROL MASTER'!$S$2:$S$495=8)*('CONTROL MASTER'!$T$2:$T$495&lt;=5)*('CONTROL MASTER'!$V$2:$V$495&gt;=5)*('CONTROL MASTER'!$U$2:$U$495&lt;=3)*('CONTROL MASTER'!$W$2:$W$495&gt;=3))*ROW('CONTROL MASTER'!$S$2:$S$495))-(ROW('CONTROL MASTER'!#REF!)-1))),IF(SUMPRODUCT((('CONTROL MASTER'!$S$2:$S$495=8)*('CONTROL MASTER'!$Z$2:$Z$495&lt;=5)*('CONTROL MASTER'!$AB$2:$AB$495&gt;=5)*('CONTROL MASTER'!$AA$2:$AA$495&lt;=3)*('CONTROL MASTER'!$AC$2:$AC$495&gt;=3))*ROW('CONTROL MASTER'!$S$2:$S$495))&gt;0,INDEX('CONTROL MASTER'!$X$2:$X$495,(SUMPRODUCT((('CONTROL MASTER'!$S$2:$S$495=8)*('CONTROL MASTER'!$Z$2:$Z$495&lt;=5)*('CONTROL MASTER'!$AB$2:$AB$495&gt;=5)*('CONTROL MASTER'!$AA$2:$AA$495&lt;=3)*('CONTROL MASTER'!$AC$2:$AC$495&gt;=3))*ROW('CONTROL MASTER'!$S$2:$S$495))-(ROW('CONTROL MASTER'!#REF!)-1)))&amp;TRIM(MID(SUBSTITUTE(SUBSTITUTE(INDEX('CONTROL MASTER'!$N$2:$N$495,(SUMPRODUCT((('CONTROL MASTER'!$S$2:$S$495=8)*('CONTROL MASTER'!$Z$2:$Z$495&lt;=5)*('CONTROL MASTER'!$AB$2:$AB$495&gt;=5)*('CONTROL MASTER'!$AA$2:$AA$495&lt;=3)*('CONTROL MASTER'!$AC$2:$AC$495&gt;=3))*ROW('CONTROL MASTER'!$S$2:$S$495))-(ROW('CONTROL MASTER'!#REF!)-1))),":",","),",",REPT(" ",50)),(((INDEX('CONTROL MASTER'!$Y$2:$Y$495,(SUMPRODUCT((('CONTROL MASTER'!$S$2:$S$495=8)*('CONTROL MASTER'!$Z$2:$Z$495&lt;=5)*('CONTROL MASTER'!$AB$2:$AB$495&gt;=5)*('CONTROL MASTER'!$AA$2:$AA$495&lt;=3)*('CONTROL MASTER'!$AC$2:$AC$495&gt;=3))*ROW('CONTROL MASTER'!$S$2:$S$495))-(ROW('CONTROL MASTER'!#REF!)-1)))+((5-INDEX('CONTROL MASTER'!$Z$2:$Z$495,(SUMPRODUCT((('CONTROL MASTER'!$S$2:$S$495=8)*('CONTROL MASTER'!$Z$2:$Z$495&lt;=5)*('CONTROL MASTER'!$AB$2:$AB$495&gt;=5)*('CONTROL MASTER'!$AA$2:$AA$495&lt;=3)*('CONTROL MASTER'!$AC$2:$AC$495&gt;=3))*ROW('CONTROL MASTER'!$S$2:$S$495))-(ROW('CONTROL MASTER'!#REF!)-1))))*(INDEX('CONTROL MASTER'!$AC$2:$AC$495,(SUMPRODUCT((('CONTROL MASTER'!$S$2:$S$495=8)*('CONTROL MASTER'!$Z$2:$Z$495&lt;=5)*('CONTROL MASTER'!$AB$2:$AB$495&gt;=5)*('CONTROL MASTER'!$AA$2:$AA$495&lt;=3)*('CONTROL MASTER'!$AC$2:$AC$495&gt;=3))*ROW('CONTROL MASTER'!$S$2:$S$495))-(ROW('CONTROL MASTER'!#REF!)-1)))-INDEX('CONTROL MASTER'!$AA$2:$AA$495,(SUMPRODUCT((('CONTROL MASTER'!$S$2:$S$495=8)*('CONTROL MASTER'!$Z$2:$Z$495&lt;=5)*('CONTROL MASTER'!$AB$2:$AB$495&gt;=5)*('CONTROL MASTER'!$AA$2:$AA$495&lt;=3)*('CONTROL MASTER'!$AC$2:$AC$495&gt;=3))*ROW('CONTROL MASTER'!$S$2:$S$495))-(ROW('CONTROL MASTER'!#REF!)-1)))+1)+(3-INDEX('CONTROL MASTER'!$AA$2:$AA$495,(SUMPRODUCT((('CONTROL MASTER'!$S$2:$S$495=8)*('CONTROL MASTER'!$Z$2:$Z$495&lt;=5)*('CONTROL MASTER'!$AB$2:$AB$495&gt;=5)*('CONTROL MASTER'!$AA$2:$AA$495&lt;=3)*('CONTROL MASTER'!$AC$2:$AC$495&gt;=3))*ROW('CONTROL MASTER'!$S$2:$S$495))-(ROW('CONTROL MASTER'!#REF!)-1))))+1)))-1)*50+1,50))&amp;"_"&amp;INDEX('CONTROL MASTER'!$P$2:$P$495,(SUMPRODUCT((('CONTROL MASTER'!$S$2:$S$495=8)*('CONTROL MASTER'!$Z$2:$Z$495&lt;=5)*('CONTROL MASTER'!$AB$2:$AB$495&gt;=5)*('CONTROL MASTER'!$AA$2:$AA$495&lt;=3)*('CONTROL MASTER'!$AC$2:$AC$495&gt;=3))*ROW('CONTROL MASTER'!$S$2:$S$495))-(ROW('CONTROL MASTER'!#REF!)-1))),"")),"")</f>
        <v/>
      </c>
      <c r="E105" s="10" t="str">
        <f>IFERROR(IF(SUMPRODUCT((('CONTROL MASTER'!$S$2:$S$495=8)*('CONTROL MASTER'!$T$2:$T$495&lt;=5)*('CONTROL MASTER'!$V$2:$V$495&gt;=5)*('CONTROL MASTER'!$U$2:$U$495&lt;=4)*('CONTROL MASTER'!$W$2:$W$495&gt;=4))*ROW('CONTROL MASTER'!$S$2:$S$495))&gt;0,INDEX('CONTROL MASTER'!$X$2:$X$495,(SUMPRODUCT((('CONTROL MASTER'!$S$2:$S$495=8)*('CONTROL MASTER'!$T$2:$T$495&lt;=5)*('CONTROL MASTER'!$V$2:$V$495&gt;=5)*('CONTROL MASTER'!$U$2:$U$495&lt;=4)*('CONTROL MASTER'!$W$2:$W$495&gt;=4))*ROW('CONTROL MASTER'!$S$2:$S$495))-(ROW('CONTROL MASTER'!#REF!)-1)))&amp;TRIM(MID(SUBSTITUTE(SUBSTITUTE(INDEX('CONTROL MASTER'!$N$2:$N$495,(SUMPRODUCT((('CONTROL MASTER'!$S$2:$S$495=8)*('CONTROL MASTER'!$T$2:$T$495&lt;=5)*('CONTROL MASTER'!$V$2:$V$495&gt;=5)*('CONTROL MASTER'!$U$2:$U$495&lt;=4)*('CONTROL MASTER'!$W$2:$W$495&gt;=4))*ROW('CONTROL MASTER'!$S$2:$S$495))-(ROW('CONTROL MASTER'!#REF!)-1))),":",","),",",REPT(" ",50)),((((5-INDEX('CONTROL MASTER'!$T$2:$T$495,(SUMPRODUCT((('CONTROL MASTER'!$S$2:$S$495=8)*('CONTROL MASTER'!$T$2:$T$495&lt;=5)*('CONTROL MASTER'!$V$2:$V$495&gt;=5)*('CONTROL MASTER'!$U$2:$U$495&lt;=4)*('CONTROL MASTER'!$W$2:$W$495&gt;=4))*ROW('CONTROL MASTER'!$S$2:$S$495))-(ROW('CONTROL MASTER'!#REF!)-1))))*(INDEX('CONTROL MASTER'!$W$2:$W$495,(SUMPRODUCT((('CONTROL MASTER'!$S$2:$S$495=8)*('CONTROL MASTER'!$T$2:$T$495&lt;=5)*('CONTROL MASTER'!$V$2:$V$495&gt;=5)*('CONTROL MASTER'!$U$2:$U$495&lt;=4)*('CONTROL MASTER'!$W$2:$W$495&gt;=4))*ROW('CONTROL MASTER'!$S$2:$S$495))-(ROW('CONTROL MASTER'!#REF!)-1)))-INDEX('CONTROL MASTER'!$U$2:$U$495,(SUMPRODUCT((('CONTROL MASTER'!$S$2:$S$495=8)*('CONTROL MASTER'!$T$2:$T$495&lt;=5)*('CONTROL MASTER'!$V$2:$V$495&gt;=5)*('CONTROL MASTER'!$U$2:$U$495&lt;=4)*('CONTROL MASTER'!$W$2:$W$495&gt;=4))*ROW('CONTROL MASTER'!$S$2:$S$495))-(ROW('CONTROL MASTER'!#REF!)-1)))+1)+(4-INDEX('CONTROL MASTER'!$U$2:$U$495,(SUMPRODUCT((('CONTROL MASTER'!$S$2:$S$495=8)*('CONTROL MASTER'!$T$2:$T$495&lt;=5)*('CONTROL MASTER'!$V$2:$V$495&gt;=5)*('CONTROL MASTER'!$U$2:$U$495&lt;=4)*('CONTROL MASTER'!$W$2:$W$495&gt;=4))*ROW('CONTROL MASTER'!$S$2:$S$495))-(ROW('CONTROL MASTER'!#REF!)-1))))+1))-1)*50+1,50))&amp;"_"&amp;INDEX('CONTROL MASTER'!$P$2:$P$495,(SUMPRODUCT((('CONTROL MASTER'!$S$2:$S$495=8)*('CONTROL MASTER'!$T$2:$T$495&lt;=5)*('CONTROL MASTER'!$V$2:$V$495&gt;=5)*('CONTROL MASTER'!$U$2:$U$495&lt;=4)*('CONTROL MASTER'!$W$2:$W$495&gt;=4))*ROW('CONTROL MASTER'!$S$2:$S$495))-(ROW('CONTROL MASTER'!#REF!)-1))),IF(SUMPRODUCT((('CONTROL MASTER'!$S$2:$S$495=8)*('CONTROL MASTER'!$Z$2:$Z$495&lt;=5)*('CONTROL MASTER'!$AB$2:$AB$495&gt;=5)*('CONTROL MASTER'!$AA$2:$AA$495&lt;=4)*('CONTROL MASTER'!$AC$2:$AC$495&gt;=4))*ROW('CONTROL MASTER'!$S$2:$S$495))&gt;0,INDEX('CONTROL MASTER'!$X$2:$X$495,(SUMPRODUCT((('CONTROL MASTER'!$S$2:$S$495=8)*('CONTROL MASTER'!$Z$2:$Z$495&lt;=5)*('CONTROL MASTER'!$AB$2:$AB$495&gt;=5)*('CONTROL MASTER'!$AA$2:$AA$495&lt;=4)*('CONTROL MASTER'!$AC$2:$AC$495&gt;=4))*ROW('CONTROL MASTER'!$S$2:$S$495))-(ROW('CONTROL MASTER'!#REF!)-1)))&amp;TRIM(MID(SUBSTITUTE(SUBSTITUTE(INDEX('CONTROL MASTER'!$N$2:$N$495,(SUMPRODUCT((('CONTROL MASTER'!$S$2:$S$495=8)*('CONTROL MASTER'!$Z$2:$Z$495&lt;=5)*('CONTROL MASTER'!$AB$2:$AB$495&gt;=5)*('CONTROL MASTER'!$AA$2:$AA$495&lt;=4)*('CONTROL MASTER'!$AC$2:$AC$495&gt;=4))*ROW('CONTROL MASTER'!$S$2:$S$495))-(ROW('CONTROL MASTER'!#REF!)-1))),":",","),",",REPT(" ",50)),(((INDEX('CONTROL MASTER'!$Y$2:$Y$495,(SUMPRODUCT((('CONTROL MASTER'!$S$2:$S$495=8)*('CONTROL MASTER'!$Z$2:$Z$495&lt;=5)*('CONTROL MASTER'!$AB$2:$AB$495&gt;=5)*('CONTROL MASTER'!$AA$2:$AA$495&lt;=4)*('CONTROL MASTER'!$AC$2:$AC$495&gt;=4))*ROW('CONTROL MASTER'!$S$2:$S$495))-(ROW('CONTROL MASTER'!#REF!)-1)))+((5-INDEX('CONTROL MASTER'!$Z$2:$Z$495,(SUMPRODUCT((('CONTROL MASTER'!$S$2:$S$495=8)*('CONTROL MASTER'!$Z$2:$Z$495&lt;=5)*('CONTROL MASTER'!$AB$2:$AB$495&gt;=5)*('CONTROL MASTER'!$AA$2:$AA$495&lt;=4)*('CONTROL MASTER'!$AC$2:$AC$495&gt;=4))*ROW('CONTROL MASTER'!$S$2:$S$495))-(ROW('CONTROL MASTER'!#REF!)-1))))*(INDEX('CONTROL MASTER'!$AC$2:$AC$495,(SUMPRODUCT((('CONTROL MASTER'!$S$2:$S$495=8)*('CONTROL MASTER'!$Z$2:$Z$495&lt;=5)*('CONTROL MASTER'!$AB$2:$AB$495&gt;=5)*('CONTROL MASTER'!$AA$2:$AA$495&lt;=4)*('CONTROL MASTER'!$AC$2:$AC$495&gt;=4))*ROW('CONTROL MASTER'!$S$2:$S$495))-(ROW('CONTROL MASTER'!#REF!)-1)))-INDEX('CONTROL MASTER'!$AA$2:$AA$495,(SUMPRODUCT((('CONTROL MASTER'!$S$2:$S$495=8)*('CONTROL MASTER'!$Z$2:$Z$495&lt;=5)*('CONTROL MASTER'!$AB$2:$AB$495&gt;=5)*('CONTROL MASTER'!$AA$2:$AA$495&lt;=4)*('CONTROL MASTER'!$AC$2:$AC$495&gt;=4))*ROW('CONTROL MASTER'!$S$2:$S$495))-(ROW('CONTROL MASTER'!#REF!)-1)))+1)+(4-INDEX('CONTROL MASTER'!$AA$2:$AA$495,(SUMPRODUCT((('CONTROL MASTER'!$S$2:$S$495=8)*('CONTROL MASTER'!$Z$2:$Z$495&lt;=5)*('CONTROL MASTER'!$AB$2:$AB$495&gt;=5)*('CONTROL MASTER'!$AA$2:$AA$495&lt;=4)*('CONTROL MASTER'!$AC$2:$AC$495&gt;=4))*ROW('CONTROL MASTER'!$S$2:$S$495))-(ROW('CONTROL MASTER'!#REF!)-1))))+1)))-1)*50+1,50))&amp;"_"&amp;INDEX('CONTROL MASTER'!$P$2:$P$495,(SUMPRODUCT((('CONTROL MASTER'!$S$2:$S$495=8)*('CONTROL MASTER'!$Z$2:$Z$495&lt;=5)*('CONTROL MASTER'!$AB$2:$AB$495&gt;=5)*('CONTROL MASTER'!$AA$2:$AA$495&lt;=4)*('CONTROL MASTER'!$AC$2:$AC$495&gt;=4))*ROW('CONTROL MASTER'!$S$2:$S$495))-(ROW('CONTROL MASTER'!#REF!)-1))),"")),"")</f>
        <v/>
      </c>
      <c r="F105" s="10" t="str">
        <f>IFERROR(IF(SUMPRODUCT((('CONTROL MASTER'!$S$2:$S$495=8)*('CONTROL MASTER'!$T$2:$T$495&lt;=5)*('CONTROL MASTER'!$V$2:$V$495&gt;=5)*('CONTROL MASTER'!$U$2:$U$495&lt;=5)*('CONTROL MASTER'!$W$2:$W$495&gt;=5))*ROW('CONTROL MASTER'!$S$2:$S$495))&gt;0,INDEX('CONTROL MASTER'!$X$2:$X$495,(SUMPRODUCT((('CONTROL MASTER'!$S$2:$S$495=8)*('CONTROL MASTER'!$T$2:$T$495&lt;=5)*('CONTROL MASTER'!$V$2:$V$495&gt;=5)*('CONTROL MASTER'!$U$2:$U$495&lt;=5)*('CONTROL MASTER'!$W$2:$W$495&gt;=5))*ROW('CONTROL MASTER'!$S$2:$S$495))-(ROW('CONTROL MASTER'!#REF!)-1)))&amp;TRIM(MID(SUBSTITUTE(SUBSTITUTE(INDEX('CONTROL MASTER'!$N$2:$N$495,(SUMPRODUCT((('CONTROL MASTER'!$S$2:$S$495=8)*('CONTROL MASTER'!$T$2:$T$495&lt;=5)*('CONTROL MASTER'!$V$2:$V$495&gt;=5)*('CONTROL MASTER'!$U$2:$U$495&lt;=5)*('CONTROL MASTER'!$W$2:$W$495&gt;=5))*ROW('CONTROL MASTER'!$S$2:$S$495))-(ROW('CONTROL MASTER'!#REF!)-1))),":",","),",",REPT(" ",50)),((((5-INDEX('CONTROL MASTER'!$T$2:$T$495,(SUMPRODUCT((('CONTROL MASTER'!$S$2:$S$495=8)*('CONTROL MASTER'!$T$2:$T$495&lt;=5)*('CONTROL MASTER'!$V$2:$V$495&gt;=5)*('CONTROL MASTER'!$U$2:$U$495&lt;=5)*('CONTROL MASTER'!$W$2:$W$495&gt;=5))*ROW('CONTROL MASTER'!$S$2:$S$495))-(ROW('CONTROL MASTER'!#REF!)-1))))*(INDEX('CONTROL MASTER'!$W$2:$W$495,(SUMPRODUCT((('CONTROL MASTER'!$S$2:$S$495=8)*('CONTROL MASTER'!$T$2:$T$495&lt;=5)*('CONTROL MASTER'!$V$2:$V$495&gt;=5)*('CONTROL MASTER'!$U$2:$U$495&lt;=5)*('CONTROL MASTER'!$W$2:$W$495&gt;=5))*ROW('CONTROL MASTER'!$S$2:$S$495))-(ROW('CONTROL MASTER'!#REF!)-1)))-INDEX('CONTROL MASTER'!$U$2:$U$495,(SUMPRODUCT((('CONTROL MASTER'!$S$2:$S$495=8)*('CONTROL MASTER'!$T$2:$T$495&lt;=5)*('CONTROL MASTER'!$V$2:$V$495&gt;=5)*('CONTROL MASTER'!$U$2:$U$495&lt;=5)*('CONTROL MASTER'!$W$2:$W$495&gt;=5))*ROW('CONTROL MASTER'!$S$2:$S$495))-(ROW('CONTROL MASTER'!#REF!)-1)))+1)+(5-INDEX('CONTROL MASTER'!$U$2:$U$495,(SUMPRODUCT((('CONTROL MASTER'!$S$2:$S$495=8)*('CONTROL MASTER'!$T$2:$T$495&lt;=5)*('CONTROL MASTER'!$V$2:$V$495&gt;=5)*('CONTROL MASTER'!$U$2:$U$495&lt;=5)*('CONTROL MASTER'!$W$2:$W$495&gt;=5))*ROW('CONTROL MASTER'!$S$2:$S$495))-(ROW('CONTROL MASTER'!#REF!)-1))))+1))-1)*50+1,50))&amp;"_"&amp;INDEX('CONTROL MASTER'!$P$2:$P$495,(SUMPRODUCT((('CONTROL MASTER'!$S$2:$S$495=8)*('CONTROL MASTER'!$T$2:$T$495&lt;=5)*('CONTROL MASTER'!$V$2:$V$495&gt;=5)*('CONTROL MASTER'!$U$2:$U$495&lt;=5)*('CONTROL MASTER'!$W$2:$W$495&gt;=5))*ROW('CONTROL MASTER'!$S$2:$S$495))-(ROW('CONTROL MASTER'!#REF!)-1))),IF(SUMPRODUCT((('CONTROL MASTER'!$S$2:$S$495=8)*('CONTROL MASTER'!$Z$2:$Z$495&lt;=5)*('CONTROL MASTER'!$AB$2:$AB$495&gt;=5)*('CONTROL MASTER'!$AA$2:$AA$495&lt;=5)*('CONTROL MASTER'!$AC$2:$AC$495&gt;=5))*ROW('CONTROL MASTER'!$S$2:$S$495))&gt;0,INDEX('CONTROL MASTER'!$X$2:$X$495,(SUMPRODUCT((('CONTROL MASTER'!$S$2:$S$495=8)*('CONTROL MASTER'!$Z$2:$Z$495&lt;=5)*('CONTROL MASTER'!$AB$2:$AB$495&gt;=5)*('CONTROL MASTER'!$AA$2:$AA$495&lt;=5)*('CONTROL MASTER'!$AC$2:$AC$495&gt;=5))*ROW('CONTROL MASTER'!$S$2:$S$495))-(ROW('CONTROL MASTER'!#REF!)-1)))&amp;TRIM(MID(SUBSTITUTE(SUBSTITUTE(INDEX('CONTROL MASTER'!$N$2:$N$495,(SUMPRODUCT((('CONTROL MASTER'!$S$2:$S$495=8)*('CONTROL MASTER'!$Z$2:$Z$495&lt;=5)*('CONTROL MASTER'!$AB$2:$AB$495&gt;=5)*('CONTROL MASTER'!$AA$2:$AA$495&lt;=5)*('CONTROL MASTER'!$AC$2:$AC$495&gt;=5))*ROW('CONTROL MASTER'!$S$2:$S$495))-(ROW('CONTROL MASTER'!#REF!)-1))),":",","),",",REPT(" ",50)),(((INDEX('CONTROL MASTER'!$Y$2:$Y$495,(SUMPRODUCT((('CONTROL MASTER'!$S$2:$S$495=8)*('CONTROL MASTER'!$Z$2:$Z$495&lt;=5)*('CONTROL MASTER'!$AB$2:$AB$495&gt;=5)*('CONTROL MASTER'!$AA$2:$AA$495&lt;=5)*('CONTROL MASTER'!$AC$2:$AC$495&gt;=5))*ROW('CONTROL MASTER'!$S$2:$S$495))-(ROW('CONTROL MASTER'!#REF!)-1)))+((5-INDEX('CONTROL MASTER'!$Z$2:$Z$495,(SUMPRODUCT((('CONTROL MASTER'!$S$2:$S$495=8)*('CONTROL MASTER'!$Z$2:$Z$495&lt;=5)*('CONTROL MASTER'!$AB$2:$AB$495&gt;=5)*('CONTROL MASTER'!$AA$2:$AA$495&lt;=5)*('CONTROL MASTER'!$AC$2:$AC$495&gt;=5))*ROW('CONTROL MASTER'!$S$2:$S$495))-(ROW('CONTROL MASTER'!#REF!)-1))))*(INDEX('CONTROL MASTER'!$AC$2:$AC$495,(SUMPRODUCT((('CONTROL MASTER'!$S$2:$S$495=8)*('CONTROL MASTER'!$Z$2:$Z$495&lt;=5)*('CONTROL MASTER'!$AB$2:$AB$495&gt;=5)*('CONTROL MASTER'!$AA$2:$AA$495&lt;=5)*('CONTROL MASTER'!$AC$2:$AC$495&gt;=5))*ROW('CONTROL MASTER'!$S$2:$S$495))-(ROW('CONTROL MASTER'!#REF!)-1)))-INDEX('CONTROL MASTER'!$AA$2:$AA$495,(SUMPRODUCT((('CONTROL MASTER'!$S$2:$S$495=8)*('CONTROL MASTER'!$Z$2:$Z$495&lt;=5)*('CONTROL MASTER'!$AB$2:$AB$495&gt;=5)*('CONTROL MASTER'!$AA$2:$AA$495&lt;=5)*('CONTROL MASTER'!$AC$2:$AC$495&gt;=5))*ROW('CONTROL MASTER'!$S$2:$S$495))-(ROW('CONTROL MASTER'!#REF!)-1)))+1)+(5-INDEX('CONTROL MASTER'!$AA$2:$AA$495,(SUMPRODUCT((('CONTROL MASTER'!$S$2:$S$495=8)*('CONTROL MASTER'!$Z$2:$Z$495&lt;=5)*('CONTROL MASTER'!$AB$2:$AB$495&gt;=5)*('CONTROL MASTER'!$AA$2:$AA$495&lt;=5)*('CONTROL MASTER'!$AC$2:$AC$495&gt;=5))*ROW('CONTROL MASTER'!$S$2:$S$495))-(ROW('CONTROL MASTER'!#REF!)-1))))+1)))-1)*50+1,50))&amp;"_"&amp;INDEX('CONTROL MASTER'!$P$2:$P$495,(SUMPRODUCT((('CONTROL MASTER'!$S$2:$S$495=8)*('CONTROL MASTER'!$Z$2:$Z$495&lt;=5)*('CONTROL MASTER'!$AB$2:$AB$495&gt;=5)*('CONTROL MASTER'!$AA$2:$AA$495&lt;=5)*('CONTROL MASTER'!$AC$2:$AC$495&gt;=5))*ROW('CONTROL MASTER'!$S$2:$S$495))-(ROW('CONTROL MASTER'!#REF!)-1))),"")),"")</f>
        <v/>
      </c>
      <c r="G105" s="10" t="str">
        <f>IFERROR(IF(SUMPRODUCT((('CONTROL MASTER'!$S$2:$S$495=8)*('CONTROL MASTER'!$T$2:$T$495&lt;=5)*('CONTROL MASTER'!$V$2:$V$495&gt;=5)*('CONTROL MASTER'!$U$2:$U$495&lt;=6)*('CONTROL MASTER'!$W$2:$W$495&gt;=6))*ROW('CONTROL MASTER'!$S$2:$S$495))&gt;0,INDEX('CONTROL MASTER'!$X$2:$X$495,(SUMPRODUCT((('CONTROL MASTER'!$S$2:$S$495=8)*('CONTROL MASTER'!$T$2:$T$495&lt;=5)*('CONTROL MASTER'!$V$2:$V$495&gt;=5)*('CONTROL MASTER'!$U$2:$U$495&lt;=6)*('CONTROL MASTER'!$W$2:$W$495&gt;=6))*ROW('CONTROL MASTER'!$S$2:$S$495))-(ROW('CONTROL MASTER'!#REF!)-1)))&amp;TRIM(MID(SUBSTITUTE(SUBSTITUTE(INDEX('CONTROL MASTER'!$N$2:$N$495,(SUMPRODUCT((('CONTROL MASTER'!$S$2:$S$495=8)*('CONTROL MASTER'!$T$2:$T$495&lt;=5)*('CONTROL MASTER'!$V$2:$V$495&gt;=5)*('CONTROL MASTER'!$U$2:$U$495&lt;=6)*('CONTROL MASTER'!$W$2:$W$495&gt;=6))*ROW('CONTROL MASTER'!$S$2:$S$495))-(ROW('CONTROL MASTER'!#REF!)-1))),":",","),",",REPT(" ",50)),((((5-INDEX('CONTROL MASTER'!$T$2:$T$495,(SUMPRODUCT((('CONTROL MASTER'!$S$2:$S$495=8)*('CONTROL MASTER'!$T$2:$T$495&lt;=5)*('CONTROL MASTER'!$V$2:$V$495&gt;=5)*('CONTROL MASTER'!$U$2:$U$495&lt;=6)*('CONTROL MASTER'!$W$2:$W$495&gt;=6))*ROW('CONTROL MASTER'!$S$2:$S$495))-(ROW('CONTROL MASTER'!#REF!)-1))))*(INDEX('CONTROL MASTER'!$W$2:$W$495,(SUMPRODUCT((('CONTROL MASTER'!$S$2:$S$495=8)*('CONTROL MASTER'!$T$2:$T$495&lt;=5)*('CONTROL MASTER'!$V$2:$V$495&gt;=5)*('CONTROL MASTER'!$U$2:$U$495&lt;=6)*('CONTROL MASTER'!$W$2:$W$495&gt;=6))*ROW('CONTROL MASTER'!$S$2:$S$495))-(ROW('CONTROL MASTER'!#REF!)-1)))-INDEX('CONTROL MASTER'!$U$2:$U$495,(SUMPRODUCT((('CONTROL MASTER'!$S$2:$S$495=8)*('CONTROL MASTER'!$T$2:$T$495&lt;=5)*('CONTROL MASTER'!$V$2:$V$495&gt;=5)*('CONTROL MASTER'!$U$2:$U$495&lt;=6)*('CONTROL MASTER'!$W$2:$W$495&gt;=6))*ROW('CONTROL MASTER'!$S$2:$S$495))-(ROW('CONTROL MASTER'!#REF!)-1)))+1)+(6-INDEX('CONTROL MASTER'!$U$2:$U$495,(SUMPRODUCT((('CONTROL MASTER'!$S$2:$S$495=8)*('CONTROL MASTER'!$T$2:$T$495&lt;=5)*('CONTROL MASTER'!$V$2:$V$495&gt;=5)*('CONTROL MASTER'!$U$2:$U$495&lt;=6)*('CONTROL MASTER'!$W$2:$W$495&gt;=6))*ROW('CONTROL MASTER'!$S$2:$S$495))-(ROW('CONTROL MASTER'!#REF!)-1))))+1))-1)*50+1,50))&amp;"_"&amp;INDEX('CONTROL MASTER'!$P$2:$P$495,(SUMPRODUCT((('CONTROL MASTER'!$S$2:$S$495=8)*('CONTROL MASTER'!$T$2:$T$495&lt;=5)*('CONTROL MASTER'!$V$2:$V$495&gt;=5)*('CONTROL MASTER'!$U$2:$U$495&lt;=6)*('CONTROL MASTER'!$W$2:$W$495&gt;=6))*ROW('CONTROL MASTER'!$S$2:$S$495))-(ROW('CONTROL MASTER'!#REF!)-1))),IF(SUMPRODUCT((('CONTROL MASTER'!$S$2:$S$495=8)*('CONTROL MASTER'!$Z$2:$Z$495&lt;=5)*('CONTROL MASTER'!$AB$2:$AB$495&gt;=5)*('CONTROL MASTER'!$AA$2:$AA$495&lt;=6)*('CONTROL MASTER'!$AC$2:$AC$495&gt;=6))*ROW('CONTROL MASTER'!$S$2:$S$495))&gt;0,INDEX('CONTROL MASTER'!$X$2:$X$495,(SUMPRODUCT((('CONTROL MASTER'!$S$2:$S$495=8)*('CONTROL MASTER'!$Z$2:$Z$495&lt;=5)*('CONTROL MASTER'!$AB$2:$AB$495&gt;=5)*('CONTROL MASTER'!$AA$2:$AA$495&lt;=6)*('CONTROL MASTER'!$AC$2:$AC$495&gt;=6))*ROW('CONTROL MASTER'!$S$2:$S$495))-(ROW('CONTROL MASTER'!#REF!)-1)))&amp;TRIM(MID(SUBSTITUTE(SUBSTITUTE(INDEX('CONTROL MASTER'!$N$2:$N$495,(SUMPRODUCT((('CONTROL MASTER'!$S$2:$S$495=8)*('CONTROL MASTER'!$Z$2:$Z$495&lt;=5)*('CONTROL MASTER'!$AB$2:$AB$495&gt;=5)*('CONTROL MASTER'!$AA$2:$AA$495&lt;=6)*('CONTROL MASTER'!$AC$2:$AC$495&gt;=6))*ROW('CONTROL MASTER'!$S$2:$S$495))-(ROW('CONTROL MASTER'!#REF!)-1))),":",","),",",REPT(" ",50)),(((INDEX('CONTROL MASTER'!$Y$2:$Y$495,(SUMPRODUCT((('CONTROL MASTER'!$S$2:$S$495=8)*('CONTROL MASTER'!$Z$2:$Z$495&lt;=5)*('CONTROL MASTER'!$AB$2:$AB$495&gt;=5)*('CONTROL MASTER'!$AA$2:$AA$495&lt;=6)*('CONTROL MASTER'!$AC$2:$AC$495&gt;=6))*ROW('CONTROL MASTER'!$S$2:$S$495))-(ROW('CONTROL MASTER'!#REF!)-1)))+((5-INDEX('CONTROL MASTER'!$Z$2:$Z$495,(SUMPRODUCT((('CONTROL MASTER'!$S$2:$S$495=8)*('CONTROL MASTER'!$Z$2:$Z$495&lt;=5)*('CONTROL MASTER'!$AB$2:$AB$495&gt;=5)*('CONTROL MASTER'!$AA$2:$AA$495&lt;=6)*('CONTROL MASTER'!$AC$2:$AC$495&gt;=6))*ROW('CONTROL MASTER'!$S$2:$S$495))-(ROW('CONTROL MASTER'!#REF!)-1))))*(INDEX('CONTROL MASTER'!$AC$2:$AC$495,(SUMPRODUCT((('CONTROL MASTER'!$S$2:$S$495=8)*('CONTROL MASTER'!$Z$2:$Z$495&lt;=5)*('CONTROL MASTER'!$AB$2:$AB$495&gt;=5)*('CONTROL MASTER'!$AA$2:$AA$495&lt;=6)*('CONTROL MASTER'!$AC$2:$AC$495&gt;=6))*ROW('CONTROL MASTER'!$S$2:$S$495))-(ROW('CONTROL MASTER'!#REF!)-1)))-INDEX('CONTROL MASTER'!$AA$2:$AA$495,(SUMPRODUCT((('CONTROL MASTER'!$S$2:$S$495=8)*('CONTROL MASTER'!$Z$2:$Z$495&lt;=5)*('CONTROL MASTER'!$AB$2:$AB$495&gt;=5)*('CONTROL MASTER'!$AA$2:$AA$495&lt;=6)*('CONTROL MASTER'!$AC$2:$AC$495&gt;=6))*ROW('CONTROL MASTER'!$S$2:$S$495))-(ROW('CONTROL MASTER'!#REF!)-1)))+1)+(6-INDEX('CONTROL MASTER'!$AA$2:$AA$495,(SUMPRODUCT((('CONTROL MASTER'!$S$2:$S$495=8)*('CONTROL MASTER'!$Z$2:$Z$495&lt;=5)*('CONTROL MASTER'!$AB$2:$AB$495&gt;=5)*('CONTROL MASTER'!$AA$2:$AA$495&lt;=6)*('CONTROL MASTER'!$AC$2:$AC$495&gt;=6))*ROW('CONTROL MASTER'!$S$2:$S$495))-(ROW('CONTROL MASTER'!#REF!)-1))))+1)))-1)*50+1,50))&amp;"_"&amp;INDEX('CONTROL MASTER'!$P$2:$P$495,(SUMPRODUCT((('CONTROL MASTER'!$S$2:$S$495=8)*('CONTROL MASTER'!$Z$2:$Z$495&lt;=5)*('CONTROL MASTER'!$AB$2:$AB$495&gt;=5)*('CONTROL MASTER'!$AA$2:$AA$495&lt;=6)*('CONTROL MASTER'!$AC$2:$AC$495&gt;=6))*ROW('CONTROL MASTER'!$S$2:$S$495))-(ROW('CONTROL MASTER'!#REF!)-1))),"")),"")</f>
        <v/>
      </c>
      <c r="H105" s="10" t="str">
        <f>IFERROR(IF(SUMPRODUCT((('CONTROL MASTER'!$S$2:$S$495=8)*('CONTROL MASTER'!$T$2:$T$495&lt;=5)*('CONTROL MASTER'!$V$2:$V$495&gt;=5)*('CONTROL MASTER'!$U$2:$U$495&lt;=7)*('CONTROL MASTER'!$W$2:$W$495&gt;=7))*ROW('CONTROL MASTER'!$S$2:$S$495))&gt;0,INDEX('CONTROL MASTER'!$X$2:$X$495,(SUMPRODUCT((('CONTROL MASTER'!$S$2:$S$495=8)*('CONTROL MASTER'!$T$2:$T$495&lt;=5)*('CONTROL MASTER'!$V$2:$V$495&gt;=5)*('CONTROL MASTER'!$U$2:$U$495&lt;=7)*('CONTROL MASTER'!$W$2:$W$495&gt;=7))*ROW('CONTROL MASTER'!$S$2:$S$495))-(ROW('CONTROL MASTER'!#REF!)-1)))&amp;TRIM(MID(SUBSTITUTE(SUBSTITUTE(INDEX('CONTROL MASTER'!$N$2:$N$495,(SUMPRODUCT((('CONTROL MASTER'!$S$2:$S$495=8)*('CONTROL MASTER'!$T$2:$T$495&lt;=5)*('CONTROL MASTER'!$V$2:$V$495&gt;=5)*('CONTROL MASTER'!$U$2:$U$495&lt;=7)*('CONTROL MASTER'!$W$2:$W$495&gt;=7))*ROW('CONTROL MASTER'!$S$2:$S$495))-(ROW('CONTROL MASTER'!#REF!)-1))),":",","),",",REPT(" ",50)),((((5-INDEX('CONTROL MASTER'!$T$2:$T$495,(SUMPRODUCT((('CONTROL MASTER'!$S$2:$S$495=8)*('CONTROL MASTER'!$T$2:$T$495&lt;=5)*('CONTROL MASTER'!$V$2:$V$495&gt;=5)*('CONTROL MASTER'!$U$2:$U$495&lt;=7)*('CONTROL MASTER'!$W$2:$W$495&gt;=7))*ROW('CONTROL MASTER'!$S$2:$S$495))-(ROW('CONTROL MASTER'!#REF!)-1))))*(INDEX('CONTROL MASTER'!$W$2:$W$495,(SUMPRODUCT((('CONTROL MASTER'!$S$2:$S$495=8)*('CONTROL MASTER'!$T$2:$T$495&lt;=5)*('CONTROL MASTER'!$V$2:$V$495&gt;=5)*('CONTROL MASTER'!$U$2:$U$495&lt;=7)*('CONTROL MASTER'!$W$2:$W$495&gt;=7))*ROW('CONTROL MASTER'!$S$2:$S$495))-(ROW('CONTROL MASTER'!#REF!)-1)))-INDEX('CONTROL MASTER'!$U$2:$U$495,(SUMPRODUCT((('CONTROL MASTER'!$S$2:$S$495=8)*('CONTROL MASTER'!$T$2:$T$495&lt;=5)*('CONTROL MASTER'!$V$2:$V$495&gt;=5)*('CONTROL MASTER'!$U$2:$U$495&lt;=7)*('CONTROL MASTER'!$W$2:$W$495&gt;=7))*ROW('CONTROL MASTER'!$S$2:$S$495))-(ROW('CONTROL MASTER'!#REF!)-1)))+1)+(7-INDEX('CONTROL MASTER'!$U$2:$U$495,(SUMPRODUCT((('CONTROL MASTER'!$S$2:$S$495=8)*('CONTROL MASTER'!$T$2:$T$495&lt;=5)*('CONTROL MASTER'!$V$2:$V$495&gt;=5)*('CONTROL MASTER'!$U$2:$U$495&lt;=7)*('CONTROL MASTER'!$W$2:$W$495&gt;=7))*ROW('CONTROL MASTER'!$S$2:$S$495))-(ROW('CONTROL MASTER'!#REF!)-1))))+1))-1)*50+1,50))&amp;"_"&amp;INDEX('CONTROL MASTER'!$P$2:$P$495,(SUMPRODUCT((('CONTROL MASTER'!$S$2:$S$495=8)*('CONTROL MASTER'!$T$2:$T$495&lt;=5)*('CONTROL MASTER'!$V$2:$V$495&gt;=5)*('CONTROL MASTER'!$U$2:$U$495&lt;=7)*('CONTROL MASTER'!$W$2:$W$495&gt;=7))*ROW('CONTROL MASTER'!$S$2:$S$495))-(ROW('CONTROL MASTER'!#REF!)-1))),IF(SUMPRODUCT((('CONTROL MASTER'!$S$2:$S$495=8)*('CONTROL MASTER'!$Z$2:$Z$495&lt;=5)*('CONTROL MASTER'!$AB$2:$AB$495&gt;=5)*('CONTROL MASTER'!$AA$2:$AA$495&lt;=7)*('CONTROL MASTER'!$AC$2:$AC$495&gt;=7))*ROW('CONTROL MASTER'!$S$2:$S$495))&gt;0,INDEX('CONTROL MASTER'!$X$2:$X$495,(SUMPRODUCT((('CONTROL MASTER'!$S$2:$S$495=8)*('CONTROL MASTER'!$Z$2:$Z$495&lt;=5)*('CONTROL MASTER'!$AB$2:$AB$495&gt;=5)*('CONTROL MASTER'!$AA$2:$AA$495&lt;=7)*('CONTROL MASTER'!$AC$2:$AC$495&gt;=7))*ROW('CONTROL MASTER'!$S$2:$S$495))-(ROW('CONTROL MASTER'!#REF!)-1)))&amp;TRIM(MID(SUBSTITUTE(SUBSTITUTE(INDEX('CONTROL MASTER'!$N$2:$N$495,(SUMPRODUCT((('CONTROL MASTER'!$S$2:$S$495=8)*('CONTROL MASTER'!$Z$2:$Z$495&lt;=5)*('CONTROL MASTER'!$AB$2:$AB$495&gt;=5)*('CONTROL MASTER'!$AA$2:$AA$495&lt;=7)*('CONTROL MASTER'!$AC$2:$AC$495&gt;=7))*ROW('CONTROL MASTER'!$S$2:$S$495))-(ROW('CONTROL MASTER'!#REF!)-1))),":",","),",",REPT(" ",50)),(((INDEX('CONTROL MASTER'!$Y$2:$Y$495,(SUMPRODUCT((('CONTROL MASTER'!$S$2:$S$495=8)*('CONTROL MASTER'!$Z$2:$Z$495&lt;=5)*('CONTROL MASTER'!$AB$2:$AB$495&gt;=5)*('CONTROL MASTER'!$AA$2:$AA$495&lt;=7)*('CONTROL MASTER'!$AC$2:$AC$495&gt;=7))*ROW('CONTROL MASTER'!$S$2:$S$495))-(ROW('CONTROL MASTER'!#REF!)-1)))+((5-INDEX('CONTROL MASTER'!$Z$2:$Z$495,(SUMPRODUCT((('CONTROL MASTER'!$S$2:$S$495=8)*('CONTROL MASTER'!$Z$2:$Z$495&lt;=5)*('CONTROL MASTER'!$AB$2:$AB$495&gt;=5)*('CONTROL MASTER'!$AA$2:$AA$495&lt;=7)*('CONTROL MASTER'!$AC$2:$AC$495&gt;=7))*ROW('CONTROL MASTER'!$S$2:$S$495))-(ROW('CONTROL MASTER'!#REF!)-1))))*(INDEX('CONTROL MASTER'!$AC$2:$AC$495,(SUMPRODUCT((('CONTROL MASTER'!$S$2:$S$495=8)*('CONTROL MASTER'!$Z$2:$Z$495&lt;=5)*('CONTROL MASTER'!$AB$2:$AB$495&gt;=5)*('CONTROL MASTER'!$AA$2:$AA$495&lt;=7)*('CONTROL MASTER'!$AC$2:$AC$495&gt;=7))*ROW('CONTROL MASTER'!$S$2:$S$495))-(ROW('CONTROL MASTER'!#REF!)-1)))-INDEX('CONTROL MASTER'!$AA$2:$AA$495,(SUMPRODUCT((('CONTROL MASTER'!$S$2:$S$495=8)*('CONTROL MASTER'!$Z$2:$Z$495&lt;=5)*('CONTROL MASTER'!$AB$2:$AB$495&gt;=5)*('CONTROL MASTER'!$AA$2:$AA$495&lt;=7)*('CONTROL MASTER'!$AC$2:$AC$495&gt;=7))*ROW('CONTROL MASTER'!$S$2:$S$495))-(ROW('CONTROL MASTER'!#REF!)-1)))+1)+(7-INDEX('CONTROL MASTER'!$AA$2:$AA$495,(SUMPRODUCT((('CONTROL MASTER'!$S$2:$S$495=8)*('CONTROL MASTER'!$Z$2:$Z$495&lt;=5)*('CONTROL MASTER'!$AB$2:$AB$495&gt;=5)*('CONTROL MASTER'!$AA$2:$AA$495&lt;=7)*('CONTROL MASTER'!$AC$2:$AC$495&gt;=7))*ROW('CONTROL MASTER'!$S$2:$S$495))-(ROW('CONTROL MASTER'!#REF!)-1))))+1)))-1)*50+1,50))&amp;"_"&amp;INDEX('CONTROL MASTER'!$P$2:$P$495,(SUMPRODUCT((('CONTROL MASTER'!$S$2:$S$495=8)*('CONTROL MASTER'!$Z$2:$Z$495&lt;=5)*('CONTROL MASTER'!$AB$2:$AB$495&gt;=5)*('CONTROL MASTER'!$AA$2:$AA$495&lt;=7)*('CONTROL MASTER'!$AC$2:$AC$495&gt;=7))*ROW('CONTROL MASTER'!$S$2:$S$495))-(ROW('CONTROL MASTER'!#REF!)-1))),"")),"")</f>
        <v/>
      </c>
      <c r="I105" s="10" t="str">
        <f>IFERROR(IF(SUMPRODUCT((('CONTROL MASTER'!$S$2:$S$495=8)*('CONTROL MASTER'!$T$2:$T$495&lt;=5)*('CONTROL MASTER'!$V$2:$V$495&gt;=5)*('CONTROL MASTER'!$U$2:$U$495&lt;=8)*('CONTROL MASTER'!$W$2:$W$495&gt;=8))*ROW('CONTROL MASTER'!$S$2:$S$495))&gt;0,INDEX('CONTROL MASTER'!$X$2:$X$495,(SUMPRODUCT((('CONTROL MASTER'!$S$2:$S$495=8)*('CONTROL MASTER'!$T$2:$T$495&lt;=5)*('CONTROL MASTER'!$V$2:$V$495&gt;=5)*('CONTROL MASTER'!$U$2:$U$495&lt;=8)*('CONTROL MASTER'!$W$2:$W$495&gt;=8))*ROW('CONTROL MASTER'!$S$2:$S$495))-(ROW('CONTROL MASTER'!#REF!)-1)))&amp;TRIM(MID(SUBSTITUTE(SUBSTITUTE(INDEX('CONTROL MASTER'!$N$2:$N$495,(SUMPRODUCT((('CONTROL MASTER'!$S$2:$S$495=8)*('CONTROL MASTER'!$T$2:$T$495&lt;=5)*('CONTROL MASTER'!$V$2:$V$495&gt;=5)*('CONTROL MASTER'!$U$2:$U$495&lt;=8)*('CONTROL MASTER'!$W$2:$W$495&gt;=8))*ROW('CONTROL MASTER'!$S$2:$S$495))-(ROW('CONTROL MASTER'!#REF!)-1))),":",","),",",REPT(" ",50)),((((5-INDEX('CONTROL MASTER'!$T$2:$T$495,(SUMPRODUCT((('CONTROL MASTER'!$S$2:$S$495=8)*('CONTROL MASTER'!$T$2:$T$495&lt;=5)*('CONTROL MASTER'!$V$2:$V$495&gt;=5)*('CONTROL MASTER'!$U$2:$U$495&lt;=8)*('CONTROL MASTER'!$W$2:$W$495&gt;=8))*ROW('CONTROL MASTER'!$S$2:$S$495))-(ROW('CONTROL MASTER'!#REF!)-1))))*(INDEX('CONTROL MASTER'!$W$2:$W$495,(SUMPRODUCT((('CONTROL MASTER'!$S$2:$S$495=8)*('CONTROL MASTER'!$T$2:$T$495&lt;=5)*('CONTROL MASTER'!$V$2:$V$495&gt;=5)*('CONTROL MASTER'!$U$2:$U$495&lt;=8)*('CONTROL MASTER'!$W$2:$W$495&gt;=8))*ROW('CONTROL MASTER'!$S$2:$S$495))-(ROW('CONTROL MASTER'!#REF!)-1)))-INDEX('CONTROL MASTER'!$U$2:$U$495,(SUMPRODUCT((('CONTROL MASTER'!$S$2:$S$495=8)*('CONTROL MASTER'!$T$2:$T$495&lt;=5)*('CONTROL MASTER'!$V$2:$V$495&gt;=5)*('CONTROL MASTER'!$U$2:$U$495&lt;=8)*('CONTROL MASTER'!$W$2:$W$495&gt;=8))*ROW('CONTROL MASTER'!$S$2:$S$495))-(ROW('CONTROL MASTER'!#REF!)-1)))+1)+(8-INDEX('CONTROL MASTER'!$U$2:$U$495,(SUMPRODUCT((('CONTROL MASTER'!$S$2:$S$495=8)*('CONTROL MASTER'!$T$2:$T$495&lt;=5)*('CONTROL MASTER'!$V$2:$V$495&gt;=5)*('CONTROL MASTER'!$U$2:$U$495&lt;=8)*('CONTROL MASTER'!$W$2:$W$495&gt;=8))*ROW('CONTROL MASTER'!$S$2:$S$495))-(ROW('CONTROL MASTER'!#REF!)-1))))+1))-1)*50+1,50))&amp;"_"&amp;INDEX('CONTROL MASTER'!$P$2:$P$495,(SUMPRODUCT((('CONTROL MASTER'!$S$2:$S$495=8)*('CONTROL MASTER'!$T$2:$T$495&lt;=5)*('CONTROL MASTER'!$V$2:$V$495&gt;=5)*('CONTROL MASTER'!$U$2:$U$495&lt;=8)*('CONTROL MASTER'!$W$2:$W$495&gt;=8))*ROW('CONTROL MASTER'!$S$2:$S$495))-(ROW('CONTROL MASTER'!#REF!)-1))),IF(SUMPRODUCT((('CONTROL MASTER'!$S$2:$S$495=8)*('CONTROL MASTER'!$Z$2:$Z$495&lt;=5)*('CONTROL MASTER'!$AB$2:$AB$495&gt;=5)*('CONTROL MASTER'!$AA$2:$AA$495&lt;=8)*('CONTROL MASTER'!$AC$2:$AC$495&gt;=8))*ROW('CONTROL MASTER'!$S$2:$S$495))&gt;0,INDEX('CONTROL MASTER'!$X$2:$X$495,(SUMPRODUCT((('CONTROL MASTER'!$S$2:$S$495=8)*('CONTROL MASTER'!$Z$2:$Z$495&lt;=5)*('CONTROL MASTER'!$AB$2:$AB$495&gt;=5)*('CONTROL MASTER'!$AA$2:$AA$495&lt;=8)*('CONTROL MASTER'!$AC$2:$AC$495&gt;=8))*ROW('CONTROL MASTER'!$S$2:$S$495))-(ROW('CONTROL MASTER'!#REF!)-1)))&amp;TRIM(MID(SUBSTITUTE(SUBSTITUTE(INDEX('CONTROL MASTER'!$N$2:$N$495,(SUMPRODUCT((('CONTROL MASTER'!$S$2:$S$495=8)*('CONTROL MASTER'!$Z$2:$Z$495&lt;=5)*('CONTROL MASTER'!$AB$2:$AB$495&gt;=5)*('CONTROL MASTER'!$AA$2:$AA$495&lt;=8)*('CONTROL MASTER'!$AC$2:$AC$495&gt;=8))*ROW('CONTROL MASTER'!$S$2:$S$495))-(ROW('CONTROL MASTER'!#REF!)-1))),":",","),",",REPT(" ",50)),(((INDEX('CONTROL MASTER'!$Y$2:$Y$495,(SUMPRODUCT((('CONTROL MASTER'!$S$2:$S$495=8)*('CONTROL MASTER'!$Z$2:$Z$495&lt;=5)*('CONTROL MASTER'!$AB$2:$AB$495&gt;=5)*('CONTROL MASTER'!$AA$2:$AA$495&lt;=8)*('CONTROL MASTER'!$AC$2:$AC$495&gt;=8))*ROW('CONTROL MASTER'!$S$2:$S$495))-(ROW('CONTROL MASTER'!#REF!)-1)))+((5-INDEX('CONTROL MASTER'!$Z$2:$Z$495,(SUMPRODUCT((('CONTROL MASTER'!$S$2:$S$495=8)*('CONTROL MASTER'!$Z$2:$Z$495&lt;=5)*('CONTROL MASTER'!$AB$2:$AB$495&gt;=5)*('CONTROL MASTER'!$AA$2:$AA$495&lt;=8)*('CONTROL MASTER'!$AC$2:$AC$495&gt;=8))*ROW('CONTROL MASTER'!$S$2:$S$495))-(ROW('CONTROL MASTER'!#REF!)-1))))*(INDEX('CONTROL MASTER'!$AC$2:$AC$495,(SUMPRODUCT((('CONTROL MASTER'!$S$2:$S$495=8)*('CONTROL MASTER'!$Z$2:$Z$495&lt;=5)*('CONTROL MASTER'!$AB$2:$AB$495&gt;=5)*('CONTROL MASTER'!$AA$2:$AA$495&lt;=8)*('CONTROL MASTER'!$AC$2:$AC$495&gt;=8))*ROW('CONTROL MASTER'!$S$2:$S$495))-(ROW('CONTROL MASTER'!#REF!)-1)))-INDEX('CONTROL MASTER'!$AA$2:$AA$495,(SUMPRODUCT((('CONTROL MASTER'!$S$2:$S$495=8)*('CONTROL MASTER'!$Z$2:$Z$495&lt;=5)*('CONTROL MASTER'!$AB$2:$AB$495&gt;=5)*('CONTROL MASTER'!$AA$2:$AA$495&lt;=8)*('CONTROL MASTER'!$AC$2:$AC$495&gt;=8))*ROW('CONTROL MASTER'!$S$2:$S$495))-(ROW('CONTROL MASTER'!#REF!)-1)))+1)+(8-INDEX('CONTROL MASTER'!$AA$2:$AA$495,(SUMPRODUCT((('CONTROL MASTER'!$S$2:$S$495=8)*('CONTROL MASTER'!$Z$2:$Z$495&lt;=5)*('CONTROL MASTER'!$AB$2:$AB$495&gt;=5)*('CONTROL MASTER'!$AA$2:$AA$495&lt;=8)*('CONTROL MASTER'!$AC$2:$AC$495&gt;=8))*ROW('CONTROL MASTER'!$S$2:$S$495))-(ROW('CONTROL MASTER'!#REF!)-1))))+1)))-1)*50+1,50))&amp;"_"&amp;INDEX('CONTROL MASTER'!$P$2:$P$495,(SUMPRODUCT((('CONTROL MASTER'!$S$2:$S$495=8)*('CONTROL MASTER'!$Z$2:$Z$495&lt;=5)*('CONTROL MASTER'!$AB$2:$AB$495&gt;=5)*('CONTROL MASTER'!$AA$2:$AA$495&lt;=8)*('CONTROL MASTER'!$AC$2:$AC$495&gt;=8))*ROW('CONTROL MASTER'!$S$2:$S$495))-(ROW('CONTROL MASTER'!#REF!)-1))),"")),"")</f>
        <v/>
      </c>
      <c r="J105" s="10" t="str">
        <f>IFERROR(IF(SUMPRODUCT((('CONTROL MASTER'!$S$2:$S$495=8)*('CONTROL MASTER'!$T$2:$T$495&lt;=5)*('CONTROL MASTER'!$V$2:$V$495&gt;=5)*('CONTROL MASTER'!$U$2:$U$495&lt;=9)*('CONTROL MASTER'!$W$2:$W$495&gt;=9))*ROW('CONTROL MASTER'!$S$2:$S$495))&gt;0,INDEX('CONTROL MASTER'!$X$2:$X$495,(SUMPRODUCT((('CONTROL MASTER'!$S$2:$S$495=8)*('CONTROL MASTER'!$T$2:$T$495&lt;=5)*('CONTROL MASTER'!$V$2:$V$495&gt;=5)*('CONTROL MASTER'!$U$2:$U$495&lt;=9)*('CONTROL MASTER'!$W$2:$W$495&gt;=9))*ROW('CONTROL MASTER'!$S$2:$S$495))-(ROW('CONTROL MASTER'!#REF!)-1)))&amp;TRIM(MID(SUBSTITUTE(SUBSTITUTE(INDEX('CONTROL MASTER'!$N$2:$N$495,(SUMPRODUCT((('CONTROL MASTER'!$S$2:$S$495=8)*('CONTROL MASTER'!$T$2:$T$495&lt;=5)*('CONTROL MASTER'!$V$2:$V$495&gt;=5)*('CONTROL MASTER'!$U$2:$U$495&lt;=9)*('CONTROL MASTER'!$W$2:$W$495&gt;=9))*ROW('CONTROL MASTER'!$S$2:$S$495))-(ROW('CONTROL MASTER'!#REF!)-1))),":",","),",",REPT(" ",50)),((((5-INDEX('CONTROL MASTER'!$T$2:$T$495,(SUMPRODUCT((('CONTROL MASTER'!$S$2:$S$495=8)*('CONTROL MASTER'!$T$2:$T$495&lt;=5)*('CONTROL MASTER'!$V$2:$V$495&gt;=5)*('CONTROL MASTER'!$U$2:$U$495&lt;=9)*('CONTROL MASTER'!$W$2:$W$495&gt;=9))*ROW('CONTROL MASTER'!$S$2:$S$495))-(ROW('CONTROL MASTER'!#REF!)-1))))*(INDEX('CONTROL MASTER'!$W$2:$W$495,(SUMPRODUCT((('CONTROL MASTER'!$S$2:$S$495=8)*('CONTROL MASTER'!$T$2:$T$495&lt;=5)*('CONTROL MASTER'!$V$2:$V$495&gt;=5)*('CONTROL MASTER'!$U$2:$U$495&lt;=9)*('CONTROL MASTER'!$W$2:$W$495&gt;=9))*ROW('CONTROL MASTER'!$S$2:$S$495))-(ROW('CONTROL MASTER'!#REF!)-1)))-INDEX('CONTROL MASTER'!$U$2:$U$495,(SUMPRODUCT((('CONTROL MASTER'!$S$2:$S$495=8)*('CONTROL MASTER'!$T$2:$T$495&lt;=5)*('CONTROL MASTER'!$V$2:$V$495&gt;=5)*('CONTROL MASTER'!$U$2:$U$495&lt;=9)*('CONTROL MASTER'!$W$2:$W$495&gt;=9))*ROW('CONTROL MASTER'!$S$2:$S$495))-(ROW('CONTROL MASTER'!#REF!)-1)))+1)+(9-INDEX('CONTROL MASTER'!$U$2:$U$495,(SUMPRODUCT((('CONTROL MASTER'!$S$2:$S$495=8)*('CONTROL MASTER'!$T$2:$T$495&lt;=5)*('CONTROL MASTER'!$V$2:$V$495&gt;=5)*('CONTROL MASTER'!$U$2:$U$495&lt;=9)*('CONTROL MASTER'!$W$2:$W$495&gt;=9))*ROW('CONTROL MASTER'!$S$2:$S$495))-(ROW('CONTROL MASTER'!#REF!)-1))))+1))-1)*50+1,50))&amp;"_"&amp;INDEX('CONTROL MASTER'!$P$2:$P$495,(SUMPRODUCT((('CONTROL MASTER'!$S$2:$S$495=8)*('CONTROL MASTER'!$T$2:$T$495&lt;=5)*('CONTROL MASTER'!$V$2:$V$495&gt;=5)*('CONTROL MASTER'!$U$2:$U$495&lt;=9)*('CONTROL MASTER'!$W$2:$W$495&gt;=9))*ROW('CONTROL MASTER'!$S$2:$S$495))-(ROW('CONTROL MASTER'!#REF!)-1))),IF(SUMPRODUCT((('CONTROL MASTER'!$S$2:$S$495=8)*('CONTROL MASTER'!$Z$2:$Z$495&lt;=5)*('CONTROL MASTER'!$AB$2:$AB$495&gt;=5)*('CONTROL MASTER'!$AA$2:$AA$495&lt;=9)*('CONTROL MASTER'!$AC$2:$AC$495&gt;=9))*ROW('CONTROL MASTER'!$S$2:$S$495))&gt;0,INDEX('CONTROL MASTER'!$X$2:$X$495,(SUMPRODUCT((('CONTROL MASTER'!$S$2:$S$495=8)*('CONTROL MASTER'!$Z$2:$Z$495&lt;=5)*('CONTROL MASTER'!$AB$2:$AB$495&gt;=5)*('CONTROL MASTER'!$AA$2:$AA$495&lt;=9)*('CONTROL MASTER'!$AC$2:$AC$495&gt;=9))*ROW('CONTROL MASTER'!$S$2:$S$495))-(ROW('CONTROL MASTER'!#REF!)-1)))&amp;TRIM(MID(SUBSTITUTE(SUBSTITUTE(INDEX('CONTROL MASTER'!$N$2:$N$495,(SUMPRODUCT((('CONTROL MASTER'!$S$2:$S$495=8)*('CONTROL MASTER'!$Z$2:$Z$495&lt;=5)*('CONTROL MASTER'!$AB$2:$AB$495&gt;=5)*('CONTROL MASTER'!$AA$2:$AA$495&lt;=9)*('CONTROL MASTER'!$AC$2:$AC$495&gt;=9))*ROW('CONTROL MASTER'!$S$2:$S$495))-(ROW('CONTROL MASTER'!#REF!)-1))),":",","),",",REPT(" ",50)),(((INDEX('CONTROL MASTER'!$Y$2:$Y$495,(SUMPRODUCT((('CONTROL MASTER'!$S$2:$S$495=8)*('CONTROL MASTER'!$Z$2:$Z$495&lt;=5)*('CONTROL MASTER'!$AB$2:$AB$495&gt;=5)*('CONTROL MASTER'!$AA$2:$AA$495&lt;=9)*('CONTROL MASTER'!$AC$2:$AC$495&gt;=9))*ROW('CONTROL MASTER'!$S$2:$S$495))-(ROW('CONTROL MASTER'!#REF!)-1)))+((5-INDEX('CONTROL MASTER'!$Z$2:$Z$495,(SUMPRODUCT((('CONTROL MASTER'!$S$2:$S$495=8)*('CONTROL MASTER'!$Z$2:$Z$495&lt;=5)*('CONTROL MASTER'!$AB$2:$AB$495&gt;=5)*('CONTROL MASTER'!$AA$2:$AA$495&lt;=9)*('CONTROL MASTER'!$AC$2:$AC$495&gt;=9))*ROW('CONTROL MASTER'!$S$2:$S$495))-(ROW('CONTROL MASTER'!#REF!)-1))))*(INDEX('CONTROL MASTER'!$AC$2:$AC$495,(SUMPRODUCT((('CONTROL MASTER'!$S$2:$S$495=8)*('CONTROL MASTER'!$Z$2:$Z$495&lt;=5)*('CONTROL MASTER'!$AB$2:$AB$495&gt;=5)*('CONTROL MASTER'!$AA$2:$AA$495&lt;=9)*('CONTROL MASTER'!$AC$2:$AC$495&gt;=9))*ROW('CONTROL MASTER'!$S$2:$S$495))-(ROW('CONTROL MASTER'!#REF!)-1)))-INDEX('CONTROL MASTER'!$AA$2:$AA$495,(SUMPRODUCT((('CONTROL MASTER'!$S$2:$S$495=8)*('CONTROL MASTER'!$Z$2:$Z$495&lt;=5)*('CONTROL MASTER'!$AB$2:$AB$495&gt;=5)*('CONTROL MASTER'!$AA$2:$AA$495&lt;=9)*('CONTROL MASTER'!$AC$2:$AC$495&gt;=9))*ROW('CONTROL MASTER'!$S$2:$S$495))-(ROW('CONTROL MASTER'!#REF!)-1)))+1)+(9-INDEX('CONTROL MASTER'!$AA$2:$AA$495,(SUMPRODUCT((('CONTROL MASTER'!$S$2:$S$495=8)*('CONTROL MASTER'!$Z$2:$Z$495&lt;=5)*('CONTROL MASTER'!$AB$2:$AB$495&gt;=5)*('CONTROL MASTER'!$AA$2:$AA$495&lt;=9)*('CONTROL MASTER'!$AC$2:$AC$495&gt;=9))*ROW('CONTROL MASTER'!$S$2:$S$495))-(ROW('CONTROL MASTER'!#REF!)-1))))+1)))-1)*50+1,50))&amp;"_"&amp;INDEX('CONTROL MASTER'!$P$2:$P$495,(SUMPRODUCT((('CONTROL MASTER'!$S$2:$S$495=8)*('CONTROL MASTER'!$Z$2:$Z$495&lt;=5)*('CONTROL MASTER'!$AB$2:$AB$495&gt;=5)*('CONTROL MASTER'!$AA$2:$AA$495&lt;=9)*('CONTROL MASTER'!$AC$2:$AC$495&gt;=9))*ROW('CONTROL MASTER'!$S$2:$S$495))-(ROW('CONTROL MASTER'!#REF!)-1))),"")),"")</f>
        <v/>
      </c>
      <c r="K105" s="10" t="str">
        <f>IFERROR(IF(SUMPRODUCT((('CONTROL MASTER'!$S$2:$S$495=8)*('CONTROL MASTER'!$T$2:$T$495&lt;=5)*('CONTROL MASTER'!$V$2:$V$495&gt;=5)*('CONTROL MASTER'!$U$2:$U$495&lt;=10)*('CONTROL MASTER'!$W$2:$W$495&gt;=10))*ROW('CONTROL MASTER'!$S$2:$S$495))&gt;0,INDEX('CONTROL MASTER'!$X$2:$X$495,(SUMPRODUCT((('CONTROL MASTER'!$S$2:$S$495=8)*('CONTROL MASTER'!$T$2:$T$495&lt;=5)*('CONTROL MASTER'!$V$2:$V$495&gt;=5)*('CONTROL MASTER'!$U$2:$U$495&lt;=10)*('CONTROL MASTER'!$W$2:$W$495&gt;=10))*ROW('CONTROL MASTER'!$S$2:$S$495))-(ROW('CONTROL MASTER'!#REF!)-1)))&amp;TRIM(MID(SUBSTITUTE(SUBSTITUTE(INDEX('CONTROL MASTER'!$N$2:$N$495,(SUMPRODUCT((('CONTROL MASTER'!$S$2:$S$495=8)*('CONTROL MASTER'!$T$2:$T$495&lt;=5)*('CONTROL MASTER'!$V$2:$V$495&gt;=5)*('CONTROL MASTER'!$U$2:$U$495&lt;=10)*('CONTROL MASTER'!$W$2:$W$495&gt;=10))*ROW('CONTROL MASTER'!$S$2:$S$495))-(ROW('CONTROL MASTER'!#REF!)-1))),":",","),",",REPT(" ",50)),((((5-INDEX('CONTROL MASTER'!$T$2:$T$495,(SUMPRODUCT((('CONTROL MASTER'!$S$2:$S$495=8)*('CONTROL MASTER'!$T$2:$T$495&lt;=5)*('CONTROL MASTER'!$V$2:$V$495&gt;=5)*('CONTROL MASTER'!$U$2:$U$495&lt;=10)*('CONTROL MASTER'!$W$2:$W$495&gt;=10))*ROW('CONTROL MASTER'!$S$2:$S$495))-(ROW('CONTROL MASTER'!#REF!)-1))))*(INDEX('CONTROL MASTER'!$W$2:$W$495,(SUMPRODUCT((('CONTROL MASTER'!$S$2:$S$495=8)*('CONTROL MASTER'!$T$2:$T$495&lt;=5)*('CONTROL MASTER'!$V$2:$V$495&gt;=5)*('CONTROL MASTER'!$U$2:$U$495&lt;=10)*('CONTROL MASTER'!$W$2:$W$495&gt;=10))*ROW('CONTROL MASTER'!$S$2:$S$495))-(ROW('CONTROL MASTER'!#REF!)-1)))-INDEX('CONTROL MASTER'!$U$2:$U$495,(SUMPRODUCT((('CONTROL MASTER'!$S$2:$S$495=8)*('CONTROL MASTER'!$T$2:$T$495&lt;=5)*('CONTROL MASTER'!$V$2:$V$495&gt;=5)*('CONTROL MASTER'!$U$2:$U$495&lt;=10)*('CONTROL MASTER'!$W$2:$W$495&gt;=10))*ROW('CONTROL MASTER'!$S$2:$S$495))-(ROW('CONTROL MASTER'!#REF!)-1)))+1)+(10-INDEX('CONTROL MASTER'!$U$2:$U$495,(SUMPRODUCT((('CONTROL MASTER'!$S$2:$S$495=8)*('CONTROL MASTER'!$T$2:$T$495&lt;=5)*('CONTROL MASTER'!$V$2:$V$495&gt;=5)*('CONTROL MASTER'!$U$2:$U$495&lt;=10)*('CONTROL MASTER'!$W$2:$W$495&gt;=10))*ROW('CONTROL MASTER'!$S$2:$S$495))-(ROW('CONTROL MASTER'!#REF!)-1))))+1))-1)*50+1,50))&amp;"_"&amp;INDEX('CONTROL MASTER'!$P$2:$P$495,(SUMPRODUCT((('CONTROL MASTER'!$S$2:$S$495=8)*('CONTROL MASTER'!$T$2:$T$495&lt;=5)*('CONTROL MASTER'!$V$2:$V$495&gt;=5)*('CONTROL MASTER'!$U$2:$U$495&lt;=10)*('CONTROL MASTER'!$W$2:$W$495&gt;=10))*ROW('CONTROL MASTER'!$S$2:$S$495))-(ROW('CONTROL MASTER'!#REF!)-1))),IF(SUMPRODUCT((('CONTROL MASTER'!$S$2:$S$495=8)*('CONTROL MASTER'!$Z$2:$Z$495&lt;=5)*('CONTROL MASTER'!$AB$2:$AB$495&gt;=5)*('CONTROL MASTER'!$AA$2:$AA$495&lt;=10)*('CONTROL MASTER'!$AC$2:$AC$495&gt;=10))*ROW('CONTROL MASTER'!$S$2:$S$495))&gt;0,INDEX('CONTROL MASTER'!$X$2:$X$495,(SUMPRODUCT((('CONTROL MASTER'!$S$2:$S$495=8)*('CONTROL MASTER'!$Z$2:$Z$495&lt;=5)*('CONTROL MASTER'!$AB$2:$AB$495&gt;=5)*('CONTROL MASTER'!$AA$2:$AA$495&lt;=10)*('CONTROL MASTER'!$AC$2:$AC$495&gt;=10))*ROW('CONTROL MASTER'!$S$2:$S$495))-(ROW('CONTROL MASTER'!#REF!)-1)))&amp;TRIM(MID(SUBSTITUTE(SUBSTITUTE(INDEX('CONTROL MASTER'!$N$2:$N$495,(SUMPRODUCT((('CONTROL MASTER'!$S$2:$S$495=8)*('CONTROL MASTER'!$Z$2:$Z$495&lt;=5)*('CONTROL MASTER'!$AB$2:$AB$495&gt;=5)*('CONTROL MASTER'!$AA$2:$AA$495&lt;=10)*('CONTROL MASTER'!$AC$2:$AC$495&gt;=10))*ROW('CONTROL MASTER'!$S$2:$S$495))-(ROW('CONTROL MASTER'!#REF!)-1))),":",","),",",REPT(" ",50)),(((INDEX('CONTROL MASTER'!$Y$2:$Y$495,(SUMPRODUCT((('CONTROL MASTER'!$S$2:$S$495=8)*('CONTROL MASTER'!$Z$2:$Z$495&lt;=5)*('CONTROL MASTER'!$AB$2:$AB$495&gt;=5)*('CONTROL MASTER'!$AA$2:$AA$495&lt;=10)*('CONTROL MASTER'!$AC$2:$AC$495&gt;=10))*ROW('CONTROL MASTER'!$S$2:$S$495))-(ROW('CONTROL MASTER'!#REF!)-1)))+((5-INDEX('CONTROL MASTER'!$Z$2:$Z$495,(SUMPRODUCT((('CONTROL MASTER'!$S$2:$S$495=8)*('CONTROL MASTER'!$Z$2:$Z$495&lt;=5)*('CONTROL MASTER'!$AB$2:$AB$495&gt;=5)*('CONTROL MASTER'!$AA$2:$AA$495&lt;=10)*('CONTROL MASTER'!$AC$2:$AC$495&gt;=10))*ROW('CONTROL MASTER'!$S$2:$S$495))-(ROW('CONTROL MASTER'!#REF!)-1))))*(INDEX('CONTROL MASTER'!$AC$2:$AC$495,(SUMPRODUCT((('CONTROL MASTER'!$S$2:$S$495=8)*('CONTROL MASTER'!$Z$2:$Z$495&lt;=5)*('CONTROL MASTER'!$AB$2:$AB$495&gt;=5)*('CONTROL MASTER'!$AA$2:$AA$495&lt;=10)*('CONTROL MASTER'!$AC$2:$AC$495&gt;=10))*ROW('CONTROL MASTER'!$S$2:$S$495))-(ROW('CONTROL MASTER'!#REF!)-1)))-INDEX('CONTROL MASTER'!$AA$2:$AA$495,(SUMPRODUCT((('CONTROL MASTER'!$S$2:$S$495=8)*('CONTROL MASTER'!$Z$2:$Z$495&lt;=5)*('CONTROL MASTER'!$AB$2:$AB$495&gt;=5)*('CONTROL MASTER'!$AA$2:$AA$495&lt;=10)*('CONTROL MASTER'!$AC$2:$AC$495&gt;=10))*ROW('CONTROL MASTER'!$S$2:$S$495))-(ROW('CONTROL MASTER'!#REF!)-1)))+1)+(10-INDEX('CONTROL MASTER'!$AA$2:$AA$495,(SUMPRODUCT((('CONTROL MASTER'!$S$2:$S$495=8)*('CONTROL MASTER'!$Z$2:$Z$495&lt;=5)*('CONTROL MASTER'!$AB$2:$AB$495&gt;=5)*('CONTROL MASTER'!$AA$2:$AA$495&lt;=10)*('CONTROL MASTER'!$AC$2:$AC$495&gt;=10))*ROW('CONTROL MASTER'!$S$2:$S$495))-(ROW('CONTROL MASTER'!#REF!)-1))))+1)))-1)*50+1,50))&amp;"_"&amp;INDEX('CONTROL MASTER'!$P$2:$P$495,(SUMPRODUCT((('CONTROL MASTER'!$S$2:$S$495=8)*('CONTROL MASTER'!$Z$2:$Z$495&lt;=5)*('CONTROL MASTER'!$AB$2:$AB$495&gt;=5)*('CONTROL MASTER'!$AA$2:$AA$495&lt;=10)*('CONTROL MASTER'!$AC$2:$AC$495&gt;=10))*ROW('CONTROL MASTER'!$S$2:$S$495))-(ROW('CONTROL MASTER'!#REF!)-1))),"")),"")</f>
        <v/>
      </c>
    </row>
    <row r="106" spans="1:11" ht="15" customHeight="1" x14ac:dyDescent="0.35">
      <c r="A106" s="8" t="s">
        <v>33</v>
      </c>
      <c r="B106" s="10" t="str">
        <f>IFERROR(IF(SUMPRODUCT((('CONTROL MASTER'!$S$2:$S$495=8)*('CONTROL MASTER'!$T$2:$T$495&lt;=6)*('CONTROL MASTER'!$V$2:$V$495&gt;=6)*('CONTROL MASTER'!$U$2:$U$495&lt;=1)*('CONTROL MASTER'!$W$2:$W$495&gt;=1))*ROW('CONTROL MASTER'!$S$2:$S$495))&gt;0,INDEX('CONTROL MASTER'!$X$2:$X$495,(SUMPRODUCT((('CONTROL MASTER'!$S$2:$S$495=8)*('CONTROL MASTER'!$T$2:$T$495&lt;=6)*('CONTROL MASTER'!$V$2:$V$495&gt;=6)*('CONTROL MASTER'!$U$2:$U$495&lt;=1)*('CONTROL MASTER'!$W$2:$W$495&gt;=1))*ROW('CONTROL MASTER'!$S$2:$S$495))-(ROW('CONTROL MASTER'!#REF!)-1)))&amp;TRIM(MID(SUBSTITUTE(SUBSTITUTE(INDEX('CONTROL MASTER'!$N$2:$N$495,(SUMPRODUCT((('CONTROL MASTER'!$S$2:$S$495=8)*('CONTROL MASTER'!$T$2:$T$495&lt;=6)*('CONTROL MASTER'!$V$2:$V$495&gt;=6)*('CONTROL MASTER'!$U$2:$U$495&lt;=1)*('CONTROL MASTER'!$W$2:$W$495&gt;=1))*ROW('CONTROL MASTER'!$S$2:$S$495))-(ROW('CONTROL MASTER'!#REF!)-1))),":",","),",",REPT(" ",50)),((((6-INDEX('CONTROL MASTER'!$T$2:$T$495,(SUMPRODUCT((('CONTROL MASTER'!$S$2:$S$495=8)*('CONTROL MASTER'!$T$2:$T$495&lt;=6)*('CONTROL MASTER'!$V$2:$V$495&gt;=6)*('CONTROL MASTER'!$U$2:$U$495&lt;=1)*('CONTROL MASTER'!$W$2:$W$495&gt;=1))*ROW('CONTROL MASTER'!$S$2:$S$495))-(ROW('CONTROL MASTER'!#REF!)-1))))*(INDEX('CONTROL MASTER'!$W$2:$W$495,(SUMPRODUCT((('CONTROL MASTER'!$S$2:$S$495=8)*('CONTROL MASTER'!$T$2:$T$495&lt;=6)*('CONTROL MASTER'!$V$2:$V$495&gt;=6)*('CONTROL MASTER'!$U$2:$U$495&lt;=1)*('CONTROL MASTER'!$W$2:$W$495&gt;=1))*ROW('CONTROL MASTER'!$S$2:$S$495))-(ROW('CONTROL MASTER'!#REF!)-1)))-INDEX('CONTROL MASTER'!$U$2:$U$495,(SUMPRODUCT((('CONTROL MASTER'!$S$2:$S$495=8)*('CONTROL MASTER'!$T$2:$T$495&lt;=6)*('CONTROL MASTER'!$V$2:$V$495&gt;=6)*('CONTROL MASTER'!$U$2:$U$495&lt;=1)*('CONTROL MASTER'!$W$2:$W$495&gt;=1))*ROW('CONTROL MASTER'!$S$2:$S$495))-(ROW('CONTROL MASTER'!#REF!)-1)))+1)+(1-INDEX('CONTROL MASTER'!$U$2:$U$495,(SUMPRODUCT((('CONTROL MASTER'!$S$2:$S$495=8)*('CONTROL MASTER'!$T$2:$T$495&lt;=6)*('CONTROL MASTER'!$V$2:$V$495&gt;=6)*('CONTROL MASTER'!$U$2:$U$495&lt;=1)*('CONTROL MASTER'!$W$2:$W$495&gt;=1))*ROW('CONTROL MASTER'!$S$2:$S$495))-(ROW('CONTROL MASTER'!#REF!)-1))))+1))-1)*50+1,50))&amp;"_"&amp;INDEX('CONTROL MASTER'!$P$2:$P$495,(SUMPRODUCT((('CONTROL MASTER'!$S$2:$S$495=8)*('CONTROL MASTER'!$T$2:$T$495&lt;=6)*('CONTROL MASTER'!$V$2:$V$495&gt;=6)*('CONTROL MASTER'!$U$2:$U$495&lt;=1)*('CONTROL MASTER'!$W$2:$W$495&gt;=1))*ROW('CONTROL MASTER'!$S$2:$S$495))-(ROW('CONTROL MASTER'!#REF!)-1))),IF(SUMPRODUCT((('CONTROL MASTER'!$S$2:$S$495=8)*('CONTROL MASTER'!$Z$2:$Z$495&lt;=6)*('CONTROL MASTER'!$AB$2:$AB$495&gt;=6)*('CONTROL MASTER'!$AA$2:$AA$495&lt;=1)*('CONTROL MASTER'!$AC$2:$AC$495&gt;=1))*ROW('CONTROL MASTER'!$S$2:$S$495))&gt;0,INDEX('CONTROL MASTER'!$X$2:$X$495,(SUMPRODUCT((('CONTROL MASTER'!$S$2:$S$495=8)*('CONTROL MASTER'!$Z$2:$Z$495&lt;=6)*('CONTROL MASTER'!$AB$2:$AB$495&gt;=6)*('CONTROL MASTER'!$AA$2:$AA$495&lt;=1)*('CONTROL MASTER'!$AC$2:$AC$495&gt;=1))*ROW('CONTROL MASTER'!$S$2:$S$495))-(ROW('CONTROL MASTER'!#REF!)-1)))&amp;TRIM(MID(SUBSTITUTE(SUBSTITUTE(INDEX('CONTROL MASTER'!$N$2:$N$495,(SUMPRODUCT((('CONTROL MASTER'!$S$2:$S$495=8)*('CONTROL MASTER'!$Z$2:$Z$495&lt;=6)*('CONTROL MASTER'!$AB$2:$AB$495&gt;=6)*('CONTROL MASTER'!$AA$2:$AA$495&lt;=1)*('CONTROL MASTER'!$AC$2:$AC$495&gt;=1))*ROW('CONTROL MASTER'!$S$2:$S$495))-(ROW('CONTROL MASTER'!#REF!)-1))),":",","),",",REPT(" ",50)),(((INDEX('CONTROL MASTER'!$Y$2:$Y$495,(SUMPRODUCT((('CONTROL MASTER'!$S$2:$S$495=8)*('CONTROL MASTER'!$Z$2:$Z$495&lt;=6)*('CONTROL MASTER'!$AB$2:$AB$495&gt;=6)*('CONTROL MASTER'!$AA$2:$AA$495&lt;=1)*('CONTROL MASTER'!$AC$2:$AC$495&gt;=1))*ROW('CONTROL MASTER'!$S$2:$S$495))-(ROW('CONTROL MASTER'!#REF!)-1)))+((6-INDEX('CONTROL MASTER'!$Z$2:$Z$495,(SUMPRODUCT((('CONTROL MASTER'!$S$2:$S$495=8)*('CONTROL MASTER'!$Z$2:$Z$495&lt;=6)*('CONTROL MASTER'!$AB$2:$AB$495&gt;=6)*('CONTROL MASTER'!$AA$2:$AA$495&lt;=1)*('CONTROL MASTER'!$AC$2:$AC$495&gt;=1))*ROW('CONTROL MASTER'!$S$2:$S$495))-(ROW('CONTROL MASTER'!#REF!)-1))))*(INDEX('CONTROL MASTER'!$AC$2:$AC$495,(SUMPRODUCT((('CONTROL MASTER'!$S$2:$S$495=8)*('CONTROL MASTER'!$Z$2:$Z$495&lt;=6)*('CONTROL MASTER'!$AB$2:$AB$495&gt;=6)*('CONTROL MASTER'!$AA$2:$AA$495&lt;=1)*('CONTROL MASTER'!$AC$2:$AC$495&gt;=1))*ROW('CONTROL MASTER'!$S$2:$S$495))-(ROW('CONTROL MASTER'!#REF!)-1)))-INDEX('CONTROL MASTER'!$AA$2:$AA$495,(SUMPRODUCT((('CONTROL MASTER'!$S$2:$S$495=8)*('CONTROL MASTER'!$Z$2:$Z$495&lt;=6)*('CONTROL MASTER'!$AB$2:$AB$495&gt;=6)*('CONTROL MASTER'!$AA$2:$AA$495&lt;=1)*('CONTROL MASTER'!$AC$2:$AC$495&gt;=1))*ROW('CONTROL MASTER'!$S$2:$S$495))-(ROW('CONTROL MASTER'!#REF!)-1)))+1)+(1-INDEX('CONTROL MASTER'!$AA$2:$AA$495,(SUMPRODUCT((('CONTROL MASTER'!$S$2:$S$495=8)*('CONTROL MASTER'!$Z$2:$Z$495&lt;=6)*('CONTROL MASTER'!$AB$2:$AB$495&gt;=6)*('CONTROL MASTER'!$AA$2:$AA$495&lt;=1)*('CONTROL MASTER'!$AC$2:$AC$495&gt;=1))*ROW('CONTROL MASTER'!$S$2:$S$495))-(ROW('CONTROL MASTER'!#REF!)-1))))+1)))-1)*50+1,50))&amp;"_"&amp;INDEX('CONTROL MASTER'!$P$2:$P$495,(SUMPRODUCT((('CONTROL MASTER'!$S$2:$S$495=8)*('CONTROL MASTER'!$Z$2:$Z$495&lt;=6)*('CONTROL MASTER'!$AB$2:$AB$495&gt;=6)*('CONTROL MASTER'!$AA$2:$AA$495&lt;=1)*('CONTROL MASTER'!$AC$2:$AC$495&gt;=1))*ROW('CONTROL MASTER'!$S$2:$S$495))-(ROW('CONTROL MASTER'!#REF!)-1))),"")),"")</f>
        <v/>
      </c>
      <c r="C106" s="10" t="str">
        <f>IFERROR(IF(SUMPRODUCT((('CONTROL MASTER'!$S$2:$S$495=8)*('CONTROL MASTER'!$T$2:$T$495&lt;=6)*('CONTROL MASTER'!$V$2:$V$495&gt;=6)*('CONTROL MASTER'!$U$2:$U$495&lt;=2)*('CONTROL MASTER'!$W$2:$W$495&gt;=2))*ROW('CONTROL MASTER'!$S$2:$S$495))&gt;0,INDEX('CONTROL MASTER'!$X$2:$X$495,(SUMPRODUCT((('CONTROL MASTER'!$S$2:$S$495=8)*('CONTROL MASTER'!$T$2:$T$495&lt;=6)*('CONTROL MASTER'!$V$2:$V$495&gt;=6)*('CONTROL MASTER'!$U$2:$U$495&lt;=2)*('CONTROL MASTER'!$W$2:$W$495&gt;=2))*ROW('CONTROL MASTER'!$S$2:$S$495))-(ROW('CONTROL MASTER'!#REF!)-1)))&amp;TRIM(MID(SUBSTITUTE(SUBSTITUTE(INDEX('CONTROL MASTER'!$N$2:$N$495,(SUMPRODUCT((('CONTROL MASTER'!$S$2:$S$495=8)*('CONTROL MASTER'!$T$2:$T$495&lt;=6)*('CONTROL MASTER'!$V$2:$V$495&gt;=6)*('CONTROL MASTER'!$U$2:$U$495&lt;=2)*('CONTROL MASTER'!$W$2:$W$495&gt;=2))*ROW('CONTROL MASTER'!$S$2:$S$495))-(ROW('CONTROL MASTER'!#REF!)-1))),":",","),",",REPT(" ",50)),((((6-INDEX('CONTROL MASTER'!$T$2:$T$495,(SUMPRODUCT((('CONTROL MASTER'!$S$2:$S$495=8)*('CONTROL MASTER'!$T$2:$T$495&lt;=6)*('CONTROL MASTER'!$V$2:$V$495&gt;=6)*('CONTROL MASTER'!$U$2:$U$495&lt;=2)*('CONTROL MASTER'!$W$2:$W$495&gt;=2))*ROW('CONTROL MASTER'!$S$2:$S$495))-(ROW('CONTROL MASTER'!#REF!)-1))))*(INDEX('CONTROL MASTER'!$W$2:$W$495,(SUMPRODUCT((('CONTROL MASTER'!$S$2:$S$495=8)*('CONTROL MASTER'!$T$2:$T$495&lt;=6)*('CONTROL MASTER'!$V$2:$V$495&gt;=6)*('CONTROL MASTER'!$U$2:$U$495&lt;=2)*('CONTROL MASTER'!$W$2:$W$495&gt;=2))*ROW('CONTROL MASTER'!$S$2:$S$495))-(ROW('CONTROL MASTER'!#REF!)-1)))-INDEX('CONTROL MASTER'!$U$2:$U$495,(SUMPRODUCT((('CONTROL MASTER'!$S$2:$S$495=8)*('CONTROL MASTER'!$T$2:$T$495&lt;=6)*('CONTROL MASTER'!$V$2:$V$495&gt;=6)*('CONTROL MASTER'!$U$2:$U$495&lt;=2)*('CONTROL MASTER'!$W$2:$W$495&gt;=2))*ROW('CONTROL MASTER'!$S$2:$S$495))-(ROW('CONTROL MASTER'!#REF!)-1)))+1)+(2-INDEX('CONTROL MASTER'!$U$2:$U$495,(SUMPRODUCT((('CONTROL MASTER'!$S$2:$S$495=8)*('CONTROL MASTER'!$T$2:$T$495&lt;=6)*('CONTROL MASTER'!$V$2:$V$495&gt;=6)*('CONTROL MASTER'!$U$2:$U$495&lt;=2)*('CONTROL MASTER'!$W$2:$W$495&gt;=2))*ROW('CONTROL MASTER'!$S$2:$S$495))-(ROW('CONTROL MASTER'!#REF!)-1))))+1))-1)*50+1,50))&amp;"_"&amp;INDEX('CONTROL MASTER'!$P$2:$P$495,(SUMPRODUCT((('CONTROL MASTER'!$S$2:$S$495=8)*('CONTROL MASTER'!$T$2:$T$495&lt;=6)*('CONTROL MASTER'!$V$2:$V$495&gt;=6)*('CONTROL MASTER'!$U$2:$U$495&lt;=2)*('CONTROL MASTER'!$W$2:$W$495&gt;=2))*ROW('CONTROL MASTER'!$S$2:$S$495))-(ROW('CONTROL MASTER'!#REF!)-1))),IF(SUMPRODUCT((('CONTROL MASTER'!$S$2:$S$495=8)*('CONTROL MASTER'!$Z$2:$Z$495&lt;=6)*('CONTROL MASTER'!$AB$2:$AB$495&gt;=6)*('CONTROL MASTER'!$AA$2:$AA$495&lt;=2)*('CONTROL MASTER'!$AC$2:$AC$495&gt;=2))*ROW('CONTROL MASTER'!$S$2:$S$495))&gt;0,INDEX('CONTROL MASTER'!$X$2:$X$495,(SUMPRODUCT((('CONTROL MASTER'!$S$2:$S$495=8)*('CONTROL MASTER'!$Z$2:$Z$495&lt;=6)*('CONTROL MASTER'!$AB$2:$AB$495&gt;=6)*('CONTROL MASTER'!$AA$2:$AA$495&lt;=2)*('CONTROL MASTER'!$AC$2:$AC$495&gt;=2))*ROW('CONTROL MASTER'!$S$2:$S$495))-(ROW('CONTROL MASTER'!#REF!)-1)))&amp;TRIM(MID(SUBSTITUTE(SUBSTITUTE(INDEX('CONTROL MASTER'!$N$2:$N$495,(SUMPRODUCT((('CONTROL MASTER'!$S$2:$S$495=8)*('CONTROL MASTER'!$Z$2:$Z$495&lt;=6)*('CONTROL MASTER'!$AB$2:$AB$495&gt;=6)*('CONTROL MASTER'!$AA$2:$AA$495&lt;=2)*('CONTROL MASTER'!$AC$2:$AC$495&gt;=2))*ROW('CONTROL MASTER'!$S$2:$S$495))-(ROW('CONTROL MASTER'!#REF!)-1))),":",","),",",REPT(" ",50)),(((INDEX('CONTROL MASTER'!$Y$2:$Y$495,(SUMPRODUCT((('CONTROL MASTER'!$S$2:$S$495=8)*('CONTROL MASTER'!$Z$2:$Z$495&lt;=6)*('CONTROL MASTER'!$AB$2:$AB$495&gt;=6)*('CONTROL MASTER'!$AA$2:$AA$495&lt;=2)*('CONTROL MASTER'!$AC$2:$AC$495&gt;=2))*ROW('CONTROL MASTER'!$S$2:$S$495))-(ROW('CONTROL MASTER'!#REF!)-1)))+((6-INDEX('CONTROL MASTER'!$Z$2:$Z$495,(SUMPRODUCT((('CONTROL MASTER'!$S$2:$S$495=8)*('CONTROL MASTER'!$Z$2:$Z$495&lt;=6)*('CONTROL MASTER'!$AB$2:$AB$495&gt;=6)*('CONTROL MASTER'!$AA$2:$AA$495&lt;=2)*('CONTROL MASTER'!$AC$2:$AC$495&gt;=2))*ROW('CONTROL MASTER'!$S$2:$S$495))-(ROW('CONTROL MASTER'!#REF!)-1))))*(INDEX('CONTROL MASTER'!$AC$2:$AC$495,(SUMPRODUCT((('CONTROL MASTER'!$S$2:$S$495=8)*('CONTROL MASTER'!$Z$2:$Z$495&lt;=6)*('CONTROL MASTER'!$AB$2:$AB$495&gt;=6)*('CONTROL MASTER'!$AA$2:$AA$495&lt;=2)*('CONTROL MASTER'!$AC$2:$AC$495&gt;=2))*ROW('CONTROL MASTER'!$S$2:$S$495))-(ROW('CONTROL MASTER'!#REF!)-1)))-INDEX('CONTROL MASTER'!$AA$2:$AA$495,(SUMPRODUCT((('CONTROL MASTER'!$S$2:$S$495=8)*('CONTROL MASTER'!$Z$2:$Z$495&lt;=6)*('CONTROL MASTER'!$AB$2:$AB$495&gt;=6)*('CONTROL MASTER'!$AA$2:$AA$495&lt;=2)*('CONTROL MASTER'!$AC$2:$AC$495&gt;=2))*ROW('CONTROL MASTER'!$S$2:$S$495))-(ROW('CONTROL MASTER'!#REF!)-1)))+1)+(2-INDEX('CONTROL MASTER'!$AA$2:$AA$495,(SUMPRODUCT((('CONTROL MASTER'!$S$2:$S$495=8)*('CONTROL MASTER'!$Z$2:$Z$495&lt;=6)*('CONTROL MASTER'!$AB$2:$AB$495&gt;=6)*('CONTROL MASTER'!$AA$2:$AA$495&lt;=2)*('CONTROL MASTER'!$AC$2:$AC$495&gt;=2))*ROW('CONTROL MASTER'!$S$2:$S$495))-(ROW('CONTROL MASTER'!#REF!)-1))))+1)))-1)*50+1,50))&amp;"_"&amp;INDEX('CONTROL MASTER'!$P$2:$P$495,(SUMPRODUCT((('CONTROL MASTER'!$S$2:$S$495=8)*('CONTROL MASTER'!$Z$2:$Z$495&lt;=6)*('CONTROL MASTER'!$AB$2:$AB$495&gt;=6)*('CONTROL MASTER'!$AA$2:$AA$495&lt;=2)*('CONTROL MASTER'!$AC$2:$AC$495&gt;=2))*ROW('CONTROL MASTER'!$S$2:$S$495))-(ROW('CONTROL MASTER'!#REF!)-1))),"")),"")</f>
        <v/>
      </c>
      <c r="D106" s="10" t="str">
        <f>IFERROR(IF(SUMPRODUCT((('CONTROL MASTER'!$S$2:$S$495=8)*('CONTROL MASTER'!$T$2:$T$495&lt;=6)*('CONTROL MASTER'!$V$2:$V$495&gt;=6)*('CONTROL MASTER'!$U$2:$U$495&lt;=3)*('CONTROL MASTER'!$W$2:$W$495&gt;=3))*ROW('CONTROL MASTER'!$S$2:$S$495))&gt;0,INDEX('CONTROL MASTER'!$X$2:$X$495,(SUMPRODUCT((('CONTROL MASTER'!$S$2:$S$495=8)*('CONTROL MASTER'!$T$2:$T$495&lt;=6)*('CONTROL MASTER'!$V$2:$V$495&gt;=6)*('CONTROL MASTER'!$U$2:$U$495&lt;=3)*('CONTROL MASTER'!$W$2:$W$495&gt;=3))*ROW('CONTROL MASTER'!$S$2:$S$495))-(ROW('CONTROL MASTER'!#REF!)-1)))&amp;TRIM(MID(SUBSTITUTE(SUBSTITUTE(INDEX('CONTROL MASTER'!$N$2:$N$495,(SUMPRODUCT((('CONTROL MASTER'!$S$2:$S$495=8)*('CONTROL MASTER'!$T$2:$T$495&lt;=6)*('CONTROL MASTER'!$V$2:$V$495&gt;=6)*('CONTROL MASTER'!$U$2:$U$495&lt;=3)*('CONTROL MASTER'!$W$2:$W$495&gt;=3))*ROW('CONTROL MASTER'!$S$2:$S$495))-(ROW('CONTROL MASTER'!#REF!)-1))),":",","),",",REPT(" ",50)),((((6-INDEX('CONTROL MASTER'!$T$2:$T$495,(SUMPRODUCT((('CONTROL MASTER'!$S$2:$S$495=8)*('CONTROL MASTER'!$T$2:$T$495&lt;=6)*('CONTROL MASTER'!$V$2:$V$495&gt;=6)*('CONTROL MASTER'!$U$2:$U$495&lt;=3)*('CONTROL MASTER'!$W$2:$W$495&gt;=3))*ROW('CONTROL MASTER'!$S$2:$S$495))-(ROW('CONTROL MASTER'!#REF!)-1))))*(INDEX('CONTROL MASTER'!$W$2:$W$495,(SUMPRODUCT((('CONTROL MASTER'!$S$2:$S$495=8)*('CONTROL MASTER'!$T$2:$T$495&lt;=6)*('CONTROL MASTER'!$V$2:$V$495&gt;=6)*('CONTROL MASTER'!$U$2:$U$495&lt;=3)*('CONTROL MASTER'!$W$2:$W$495&gt;=3))*ROW('CONTROL MASTER'!$S$2:$S$495))-(ROW('CONTROL MASTER'!#REF!)-1)))-INDEX('CONTROL MASTER'!$U$2:$U$495,(SUMPRODUCT((('CONTROL MASTER'!$S$2:$S$495=8)*('CONTROL MASTER'!$T$2:$T$495&lt;=6)*('CONTROL MASTER'!$V$2:$V$495&gt;=6)*('CONTROL MASTER'!$U$2:$U$495&lt;=3)*('CONTROL MASTER'!$W$2:$W$495&gt;=3))*ROW('CONTROL MASTER'!$S$2:$S$495))-(ROW('CONTROL MASTER'!#REF!)-1)))+1)+(3-INDEX('CONTROL MASTER'!$U$2:$U$495,(SUMPRODUCT((('CONTROL MASTER'!$S$2:$S$495=8)*('CONTROL MASTER'!$T$2:$T$495&lt;=6)*('CONTROL MASTER'!$V$2:$V$495&gt;=6)*('CONTROL MASTER'!$U$2:$U$495&lt;=3)*('CONTROL MASTER'!$W$2:$W$495&gt;=3))*ROW('CONTROL MASTER'!$S$2:$S$495))-(ROW('CONTROL MASTER'!#REF!)-1))))+1))-1)*50+1,50))&amp;"_"&amp;INDEX('CONTROL MASTER'!$P$2:$P$495,(SUMPRODUCT((('CONTROL MASTER'!$S$2:$S$495=8)*('CONTROL MASTER'!$T$2:$T$495&lt;=6)*('CONTROL MASTER'!$V$2:$V$495&gt;=6)*('CONTROL MASTER'!$U$2:$U$495&lt;=3)*('CONTROL MASTER'!$W$2:$W$495&gt;=3))*ROW('CONTROL MASTER'!$S$2:$S$495))-(ROW('CONTROL MASTER'!#REF!)-1))),IF(SUMPRODUCT((('CONTROL MASTER'!$S$2:$S$495=8)*('CONTROL MASTER'!$Z$2:$Z$495&lt;=6)*('CONTROL MASTER'!$AB$2:$AB$495&gt;=6)*('CONTROL MASTER'!$AA$2:$AA$495&lt;=3)*('CONTROL MASTER'!$AC$2:$AC$495&gt;=3))*ROW('CONTROL MASTER'!$S$2:$S$495))&gt;0,INDEX('CONTROL MASTER'!$X$2:$X$495,(SUMPRODUCT((('CONTROL MASTER'!$S$2:$S$495=8)*('CONTROL MASTER'!$Z$2:$Z$495&lt;=6)*('CONTROL MASTER'!$AB$2:$AB$495&gt;=6)*('CONTROL MASTER'!$AA$2:$AA$495&lt;=3)*('CONTROL MASTER'!$AC$2:$AC$495&gt;=3))*ROW('CONTROL MASTER'!$S$2:$S$495))-(ROW('CONTROL MASTER'!#REF!)-1)))&amp;TRIM(MID(SUBSTITUTE(SUBSTITUTE(INDEX('CONTROL MASTER'!$N$2:$N$495,(SUMPRODUCT((('CONTROL MASTER'!$S$2:$S$495=8)*('CONTROL MASTER'!$Z$2:$Z$495&lt;=6)*('CONTROL MASTER'!$AB$2:$AB$495&gt;=6)*('CONTROL MASTER'!$AA$2:$AA$495&lt;=3)*('CONTROL MASTER'!$AC$2:$AC$495&gt;=3))*ROW('CONTROL MASTER'!$S$2:$S$495))-(ROW('CONTROL MASTER'!#REF!)-1))),":",","),",",REPT(" ",50)),(((INDEX('CONTROL MASTER'!$Y$2:$Y$495,(SUMPRODUCT((('CONTROL MASTER'!$S$2:$S$495=8)*('CONTROL MASTER'!$Z$2:$Z$495&lt;=6)*('CONTROL MASTER'!$AB$2:$AB$495&gt;=6)*('CONTROL MASTER'!$AA$2:$AA$495&lt;=3)*('CONTROL MASTER'!$AC$2:$AC$495&gt;=3))*ROW('CONTROL MASTER'!$S$2:$S$495))-(ROW('CONTROL MASTER'!#REF!)-1)))+((6-INDEX('CONTROL MASTER'!$Z$2:$Z$495,(SUMPRODUCT((('CONTROL MASTER'!$S$2:$S$495=8)*('CONTROL MASTER'!$Z$2:$Z$495&lt;=6)*('CONTROL MASTER'!$AB$2:$AB$495&gt;=6)*('CONTROL MASTER'!$AA$2:$AA$495&lt;=3)*('CONTROL MASTER'!$AC$2:$AC$495&gt;=3))*ROW('CONTROL MASTER'!$S$2:$S$495))-(ROW('CONTROL MASTER'!#REF!)-1))))*(INDEX('CONTROL MASTER'!$AC$2:$AC$495,(SUMPRODUCT((('CONTROL MASTER'!$S$2:$S$495=8)*('CONTROL MASTER'!$Z$2:$Z$495&lt;=6)*('CONTROL MASTER'!$AB$2:$AB$495&gt;=6)*('CONTROL MASTER'!$AA$2:$AA$495&lt;=3)*('CONTROL MASTER'!$AC$2:$AC$495&gt;=3))*ROW('CONTROL MASTER'!$S$2:$S$495))-(ROW('CONTROL MASTER'!#REF!)-1)))-INDEX('CONTROL MASTER'!$AA$2:$AA$495,(SUMPRODUCT((('CONTROL MASTER'!$S$2:$S$495=8)*('CONTROL MASTER'!$Z$2:$Z$495&lt;=6)*('CONTROL MASTER'!$AB$2:$AB$495&gt;=6)*('CONTROL MASTER'!$AA$2:$AA$495&lt;=3)*('CONTROL MASTER'!$AC$2:$AC$495&gt;=3))*ROW('CONTROL MASTER'!$S$2:$S$495))-(ROW('CONTROL MASTER'!#REF!)-1)))+1)+(3-INDEX('CONTROL MASTER'!$AA$2:$AA$495,(SUMPRODUCT((('CONTROL MASTER'!$S$2:$S$495=8)*('CONTROL MASTER'!$Z$2:$Z$495&lt;=6)*('CONTROL MASTER'!$AB$2:$AB$495&gt;=6)*('CONTROL MASTER'!$AA$2:$AA$495&lt;=3)*('CONTROL MASTER'!$AC$2:$AC$495&gt;=3))*ROW('CONTROL MASTER'!$S$2:$S$495))-(ROW('CONTROL MASTER'!#REF!)-1))))+1)))-1)*50+1,50))&amp;"_"&amp;INDEX('CONTROL MASTER'!$P$2:$P$495,(SUMPRODUCT((('CONTROL MASTER'!$S$2:$S$495=8)*('CONTROL MASTER'!$Z$2:$Z$495&lt;=6)*('CONTROL MASTER'!$AB$2:$AB$495&gt;=6)*('CONTROL MASTER'!$AA$2:$AA$495&lt;=3)*('CONTROL MASTER'!$AC$2:$AC$495&gt;=3))*ROW('CONTROL MASTER'!$S$2:$S$495))-(ROW('CONTROL MASTER'!#REF!)-1))),"")),"")</f>
        <v/>
      </c>
      <c r="E106" s="10" t="str">
        <f>IFERROR(IF(SUMPRODUCT((('CONTROL MASTER'!$S$2:$S$495=8)*('CONTROL MASTER'!$T$2:$T$495&lt;=6)*('CONTROL MASTER'!$V$2:$V$495&gt;=6)*('CONTROL MASTER'!$U$2:$U$495&lt;=4)*('CONTROL MASTER'!$W$2:$W$495&gt;=4))*ROW('CONTROL MASTER'!$S$2:$S$495))&gt;0,INDEX('CONTROL MASTER'!$X$2:$X$495,(SUMPRODUCT((('CONTROL MASTER'!$S$2:$S$495=8)*('CONTROL MASTER'!$T$2:$T$495&lt;=6)*('CONTROL MASTER'!$V$2:$V$495&gt;=6)*('CONTROL MASTER'!$U$2:$U$495&lt;=4)*('CONTROL MASTER'!$W$2:$W$495&gt;=4))*ROW('CONTROL MASTER'!$S$2:$S$495))-(ROW('CONTROL MASTER'!#REF!)-1)))&amp;TRIM(MID(SUBSTITUTE(SUBSTITUTE(INDEX('CONTROL MASTER'!$N$2:$N$495,(SUMPRODUCT((('CONTROL MASTER'!$S$2:$S$495=8)*('CONTROL MASTER'!$T$2:$T$495&lt;=6)*('CONTROL MASTER'!$V$2:$V$495&gt;=6)*('CONTROL MASTER'!$U$2:$U$495&lt;=4)*('CONTROL MASTER'!$W$2:$W$495&gt;=4))*ROW('CONTROL MASTER'!$S$2:$S$495))-(ROW('CONTROL MASTER'!#REF!)-1))),":",","),",",REPT(" ",50)),((((6-INDEX('CONTROL MASTER'!$T$2:$T$495,(SUMPRODUCT((('CONTROL MASTER'!$S$2:$S$495=8)*('CONTROL MASTER'!$T$2:$T$495&lt;=6)*('CONTROL MASTER'!$V$2:$V$495&gt;=6)*('CONTROL MASTER'!$U$2:$U$495&lt;=4)*('CONTROL MASTER'!$W$2:$W$495&gt;=4))*ROW('CONTROL MASTER'!$S$2:$S$495))-(ROW('CONTROL MASTER'!#REF!)-1))))*(INDEX('CONTROL MASTER'!$W$2:$W$495,(SUMPRODUCT((('CONTROL MASTER'!$S$2:$S$495=8)*('CONTROL MASTER'!$T$2:$T$495&lt;=6)*('CONTROL MASTER'!$V$2:$V$495&gt;=6)*('CONTROL MASTER'!$U$2:$U$495&lt;=4)*('CONTROL MASTER'!$W$2:$W$495&gt;=4))*ROW('CONTROL MASTER'!$S$2:$S$495))-(ROW('CONTROL MASTER'!#REF!)-1)))-INDEX('CONTROL MASTER'!$U$2:$U$495,(SUMPRODUCT((('CONTROL MASTER'!$S$2:$S$495=8)*('CONTROL MASTER'!$T$2:$T$495&lt;=6)*('CONTROL MASTER'!$V$2:$V$495&gt;=6)*('CONTROL MASTER'!$U$2:$U$495&lt;=4)*('CONTROL MASTER'!$W$2:$W$495&gt;=4))*ROW('CONTROL MASTER'!$S$2:$S$495))-(ROW('CONTROL MASTER'!#REF!)-1)))+1)+(4-INDEX('CONTROL MASTER'!$U$2:$U$495,(SUMPRODUCT((('CONTROL MASTER'!$S$2:$S$495=8)*('CONTROL MASTER'!$T$2:$T$495&lt;=6)*('CONTROL MASTER'!$V$2:$V$495&gt;=6)*('CONTROL MASTER'!$U$2:$U$495&lt;=4)*('CONTROL MASTER'!$W$2:$W$495&gt;=4))*ROW('CONTROL MASTER'!$S$2:$S$495))-(ROW('CONTROL MASTER'!#REF!)-1))))+1))-1)*50+1,50))&amp;"_"&amp;INDEX('CONTROL MASTER'!$P$2:$P$495,(SUMPRODUCT((('CONTROL MASTER'!$S$2:$S$495=8)*('CONTROL MASTER'!$T$2:$T$495&lt;=6)*('CONTROL MASTER'!$V$2:$V$495&gt;=6)*('CONTROL MASTER'!$U$2:$U$495&lt;=4)*('CONTROL MASTER'!$W$2:$W$495&gt;=4))*ROW('CONTROL MASTER'!$S$2:$S$495))-(ROW('CONTROL MASTER'!#REF!)-1))),IF(SUMPRODUCT((('CONTROL MASTER'!$S$2:$S$495=8)*('CONTROL MASTER'!$Z$2:$Z$495&lt;=6)*('CONTROL MASTER'!$AB$2:$AB$495&gt;=6)*('CONTROL MASTER'!$AA$2:$AA$495&lt;=4)*('CONTROL MASTER'!$AC$2:$AC$495&gt;=4))*ROW('CONTROL MASTER'!$S$2:$S$495))&gt;0,INDEX('CONTROL MASTER'!$X$2:$X$495,(SUMPRODUCT((('CONTROL MASTER'!$S$2:$S$495=8)*('CONTROL MASTER'!$Z$2:$Z$495&lt;=6)*('CONTROL MASTER'!$AB$2:$AB$495&gt;=6)*('CONTROL MASTER'!$AA$2:$AA$495&lt;=4)*('CONTROL MASTER'!$AC$2:$AC$495&gt;=4))*ROW('CONTROL MASTER'!$S$2:$S$495))-(ROW('CONTROL MASTER'!#REF!)-1)))&amp;TRIM(MID(SUBSTITUTE(SUBSTITUTE(INDEX('CONTROL MASTER'!$N$2:$N$495,(SUMPRODUCT((('CONTROL MASTER'!$S$2:$S$495=8)*('CONTROL MASTER'!$Z$2:$Z$495&lt;=6)*('CONTROL MASTER'!$AB$2:$AB$495&gt;=6)*('CONTROL MASTER'!$AA$2:$AA$495&lt;=4)*('CONTROL MASTER'!$AC$2:$AC$495&gt;=4))*ROW('CONTROL MASTER'!$S$2:$S$495))-(ROW('CONTROL MASTER'!#REF!)-1))),":",","),",",REPT(" ",50)),(((INDEX('CONTROL MASTER'!$Y$2:$Y$495,(SUMPRODUCT((('CONTROL MASTER'!$S$2:$S$495=8)*('CONTROL MASTER'!$Z$2:$Z$495&lt;=6)*('CONTROL MASTER'!$AB$2:$AB$495&gt;=6)*('CONTROL MASTER'!$AA$2:$AA$495&lt;=4)*('CONTROL MASTER'!$AC$2:$AC$495&gt;=4))*ROW('CONTROL MASTER'!$S$2:$S$495))-(ROW('CONTROL MASTER'!#REF!)-1)))+((6-INDEX('CONTROL MASTER'!$Z$2:$Z$495,(SUMPRODUCT((('CONTROL MASTER'!$S$2:$S$495=8)*('CONTROL MASTER'!$Z$2:$Z$495&lt;=6)*('CONTROL MASTER'!$AB$2:$AB$495&gt;=6)*('CONTROL MASTER'!$AA$2:$AA$495&lt;=4)*('CONTROL MASTER'!$AC$2:$AC$495&gt;=4))*ROW('CONTROL MASTER'!$S$2:$S$495))-(ROW('CONTROL MASTER'!#REF!)-1))))*(INDEX('CONTROL MASTER'!$AC$2:$AC$495,(SUMPRODUCT((('CONTROL MASTER'!$S$2:$S$495=8)*('CONTROL MASTER'!$Z$2:$Z$495&lt;=6)*('CONTROL MASTER'!$AB$2:$AB$495&gt;=6)*('CONTROL MASTER'!$AA$2:$AA$495&lt;=4)*('CONTROL MASTER'!$AC$2:$AC$495&gt;=4))*ROW('CONTROL MASTER'!$S$2:$S$495))-(ROW('CONTROL MASTER'!#REF!)-1)))-INDEX('CONTROL MASTER'!$AA$2:$AA$495,(SUMPRODUCT((('CONTROL MASTER'!$S$2:$S$495=8)*('CONTROL MASTER'!$Z$2:$Z$495&lt;=6)*('CONTROL MASTER'!$AB$2:$AB$495&gt;=6)*('CONTROL MASTER'!$AA$2:$AA$495&lt;=4)*('CONTROL MASTER'!$AC$2:$AC$495&gt;=4))*ROW('CONTROL MASTER'!$S$2:$S$495))-(ROW('CONTROL MASTER'!#REF!)-1)))+1)+(4-INDEX('CONTROL MASTER'!$AA$2:$AA$495,(SUMPRODUCT((('CONTROL MASTER'!$S$2:$S$495=8)*('CONTROL MASTER'!$Z$2:$Z$495&lt;=6)*('CONTROL MASTER'!$AB$2:$AB$495&gt;=6)*('CONTROL MASTER'!$AA$2:$AA$495&lt;=4)*('CONTROL MASTER'!$AC$2:$AC$495&gt;=4))*ROW('CONTROL MASTER'!$S$2:$S$495))-(ROW('CONTROL MASTER'!#REF!)-1))))+1)))-1)*50+1,50))&amp;"_"&amp;INDEX('CONTROL MASTER'!$P$2:$P$495,(SUMPRODUCT((('CONTROL MASTER'!$S$2:$S$495=8)*('CONTROL MASTER'!$Z$2:$Z$495&lt;=6)*('CONTROL MASTER'!$AB$2:$AB$495&gt;=6)*('CONTROL MASTER'!$AA$2:$AA$495&lt;=4)*('CONTROL MASTER'!$AC$2:$AC$495&gt;=4))*ROW('CONTROL MASTER'!$S$2:$S$495))-(ROW('CONTROL MASTER'!#REF!)-1))),"")),"")</f>
        <v/>
      </c>
      <c r="F106" s="10" t="str">
        <f>IFERROR(IF(SUMPRODUCT((('CONTROL MASTER'!$S$2:$S$495=8)*('CONTROL MASTER'!$T$2:$T$495&lt;=6)*('CONTROL MASTER'!$V$2:$V$495&gt;=6)*('CONTROL MASTER'!$U$2:$U$495&lt;=5)*('CONTROL MASTER'!$W$2:$W$495&gt;=5))*ROW('CONTROL MASTER'!$S$2:$S$495))&gt;0,INDEX('CONTROL MASTER'!$X$2:$X$495,(SUMPRODUCT((('CONTROL MASTER'!$S$2:$S$495=8)*('CONTROL MASTER'!$T$2:$T$495&lt;=6)*('CONTROL MASTER'!$V$2:$V$495&gt;=6)*('CONTROL MASTER'!$U$2:$U$495&lt;=5)*('CONTROL MASTER'!$W$2:$W$495&gt;=5))*ROW('CONTROL MASTER'!$S$2:$S$495))-(ROW('CONTROL MASTER'!#REF!)-1)))&amp;TRIM(MID(SUBSTITUTE(SUBSTITUTE(INDEX('CONTROL MASTER'!$N$2:$N$495,(SUMPRODUCT((('CONTROL MASTER'!$S$2:$S$495=8)*('CONTROL MASTER'!$T$2:$T$495&lt;=6)*('CONTROL MASTER'!$V$2:$V$495&gt;=6)*('CONTROL MASTER'!$U$2:$U$495&lt;=5)*('CONTROL MASTER'!$W$2:$W$495&gt;=5))*ROW('CONTROL MASTER'!$S$2:$S$495))-(ROW('CONTROL MASTER'!#REF!)-1))),":",","),",",REPT(" ",50)),((((6-INDEX('CONTROL MASTER'!$T$2:$T$495,(SUMPRODUCT((('CONTROL MASTER'!$S$2:$S$495=8)*('CONTROL MASTER'!$T$2:$T$495&lt;=6)*('CONTROL MASTER'!$V$2:$V$495&gt;=6)*('CONTROL MASTER'!$U$2:$U$495&lt;=5)*('CONTROL MASTER'!$W$2:$W$495&gt;=5))*ROW('CONTROL MASTER'!$S$2:$S$495))-(ROW('CONTROL MASTER'!#REF!)-1))))*(INDEX('CONTROL MASTER'!$W$2:$W$495,(SUMPRODUCT((('CONTROL MASTER'!$S$2:$S$495=8)*('CONTROL MASTER'!$T$2:$T$495&lt;=6)*('CONTROL MASTER'!$V$2:$V$495&gt;=6)*('CONTROL MASTER'!$U$2:$U$495&lt;=5)*('CONTROL MASTER'!$W$2:$W$495&gt;=5))*ROW('CONTROL MASTER'!$S$2:$S$495))-(ROW('CONTROL MASTER'!#REF!)-1)))-INDEX('CONTROL MASTER'!$U$2:$U$495,(SUMPRODUCT((('CONTROL MASTER'!$S$2:$S$495=8)*('CONTROL MASTER'!$T$2:$T$495&lt;=6)*('CONTROL MASTER'!$V$2:$V$495&gt;=6)*('CONTROL MASTER'!$U$2:$U$495&lt;=5)*('CONTROL MASTER'!$W$2:$W$495&gt;=5))*ROW('CONTROL MASTER'!$S$2:$S$495))-(ROW('CONTROL MASTER'!#REF!)-1)))+1)+(5-INDEX('CONTROL MASTER'!$U$2:$U$495,(SUMPRODUCT((('CONTROL MASTER'!$S$2:$S$495=8)*('CONTROL MASTER'!$T$2:$T$495&lt;=6)*('CONTROL MASTER'!$V$2:$V$495&gt;=6)*('CONTROL MASTER'!$U$2:$U$495&lt;=5)*('CONTROL MASTER'!$W$2:$W$495&gt;=5))*ROW('CONTROL MASTER'!$S$2:$S$495))-(ROW('CONTROL MASTER'!#REF!)-1))))+1))-1)*50+1,50))&amp;"_"&amp;INDEX('CONTROL MASTER'!$P$2:$P$495,(SUMPRODUCT((('CONTROL MASTER'!$S$2:$S$495=8)*('CONTROL MASTER'!$T$2:$T$495&lt;=6)*('CONTROL MASTER'!$V$2:$V$495&gt;=6)*('CONTROL MASTER'!$U$2:$U$495&lt;=5)*('CONTROL MASTER'!$W$2:$W$495&gt;=5))*ROW('CONTROL MASTER'!$S$2:$S$495))-(ROW('CONTROL MASTER'!#REF!)-1))),IF(SUMPRODUCT((('CONTROL MASTER'!$S$2:$S$495=8)*('CONTROL MASTER'!$Z$2:$Z$495&lt;=6)*('CONTROL MASTER'!$AB$2:$AB$495&gt;=6)*('CONTROL MASTER'!$AA$2:$AA$495&lt;=5)*('CONTROL MASTER'!$AC$2:$AC$495&gt;=5))*ROW('CONTROL MASTER'!$S$2:$S$495))&gt;0,INDEX('CONTROL MASTER'!$X$2:$X$495,(SUMPRODUCT((('CONTROL MASTER'!$S$2:$S$495=8)*('CONTROL MASTER'!$Z$2:$Z$495&lt;=6)*('CONTROL MASTER'!$AB$2:$AB$495&gt;=6)*('CONTROL MASTER'!$AA$2:$AA$495&lt;=5)*('CONTROL MASTER'!$AC$2:$AC$495&gt;=5))*ROW('CONTROL MASTER'!$S$2:$S$495))-(ROW('CONTROL MASTER'!#REF!)-1)))&amp;TRIM(MID(SUBSTITUTE(SUBSTITUTE(INDEX('CONTROL MASTER'!$N$2:$N$495,(SUMPRODUCT((('CONTROL MASTER'!$S$2:$S$495=8)*('CONTROL MASTER'!$Z$2:$Z$495&lt;=6)*('CONTROL MASTER'!$AB$2:$AB$495&gt;=6)*('CONTROL MASTER'!$AA$2:$AA$495&lt;=5)*('CONTROL MASTER'!$AC$2:$AC$495&gt;=5))*ROW('CONTROL MASTER'!$S$2:$S$495))-(ROW('CONTROL MASTER'!#REF!)-1))),":",","),",",REPT(" ",50)),(((INDEX('CONTROL MASTER'!$Y$2:$Y$495,(SUMPRODUCT((('CONTROL MASTER'!$S$2:$S$495=8)*('CONTROL MASTER'!$Z$2:$Z$495&lt;=6)*('CONTROL MASTER'!$AB$2:$AB$495&gt;=6)*('CONTROL MASTER'!$AA$2:$AA$495&lt;=5)*('CONTROL MASTER'!$AC$2:$AC$495&gt;=5))*ROW('CONTROL MASTER'!$S$2:$S$495))-(ROW('CONTROL MASTER'!#REF!)-1)))+((6-INDEX('CONTROL MASTER'!$Z$2:$Z$495,(SUMPRODUCT((('CONTROL MASTER'!$S$2:$S$495=8)*('CONTROL MASTER'!$Z$2:$Z$495&lt;=6)*('CONTROL MASTER'!$AB$2:$AB$495&gt;=6)*('CONTROL MASTER'!$AA$2:$AA$495&lt;=5)*('CONTROL MASTER'!$AC$2:$AC$495&gt;=5))*ROW('CONTROL MASTER'!$S$2:$S$495))-(ROW('CONTROL MASTER'!#REF!)-1))))*(INDEX('CONTROL MASTER'!$AC$2:$AC$495,(SUMPRODUCT((('CONTROL MASTER'!$S$2:$S$495=8)*('CONTROL MASTER'!$Z$2:$Z$495&lt;=6)*('CONTROL MASTER'!$AB$2:$AB$495&gt;=6)*('CONTROL MASTER'!$AA$2:$AA$495&lt;=5)*('CONTROL MASTER'!$AC$2:$AC$495&gt;=5))*ROW('CONTROL MASTER'!$S$2:$S$495))-(ROW('CONTROL MASTER'!#REF!)-1)))-INDEX('CONTROL MASTER'!$AA$2:$AA$495,(SUMPRODUCT((('CONTROL MASTER'!$S$2:$S$495=8)*('CONTROL MASTER'!$Z$2:$Z$495&lt;=6)*('CONTROL MASTER'!$AB$2:$AB$495&gt;=6)*('CONTROL MASTER'!$AA$2:$AA$495&lt;=5)*('CONTROL MASTER'!$AC$2:$AC$495&gt;=5))*ROW('CONTROL MASTER'!$S$2:$S$495))-(ROW('CONTROL MASTER'!#REF!)-1)))+1)+(5-INDEX('CONTROL MASTER'!$AA$2:$AA$495,(SUMPRODUCT((('CONTROL MASTER'!$S$2:$S$495=8)*('CONTROL MASTER'!$Z$2:$Z$495&lt;=6)*('CONTROL MASTER'!$AB$2:$AB$495&gt;=6)*('CONTROL MASTER'!$AA$2:$AA$495&lt;=5)*('CONTROL MASTER'!$AC$2:$AC$495&gt;=5))*ROW('CONTROL MASTER'!$S$2:$S$495))-(ROW('CONTROL MASTER'!#REF!)-1))))+1)))-1)*50+1,50))&amp;"_"&amp;INDEX('CONTROL MASTER'!$P$2:$P$495,(SUMPRODUCT((('CONTROL MASTER'!$S$2:$S$495=8)*('CONTROL MASTER'!$Z$2:$Z$495&lt;=6)*('CONTROL MASTER'!$AB$2:$AB$495&gt;=6)*('CONTROL MASTER'!$AA$2:$AA$495&lt;=5)*('CONTROL MASTER'!$AC$2:$AC$495&gt;=5))*ROW('CONTROL MASTER'!$S$2:$S$495))-(ROW('CONTROL MASTER'!#REF!)-1))),"")),"")</f>
        <v/>
      </c>
      <c r="G106" s="10" t="str">
        <f>IFERROR(IF(SUMPRODUCT((('CONTROL MASTER'!$S$2:$S$495=8)*('CONTROL MASTER'!$T$2:$T$495&lt;=6)*('CONTROL MASTER'!$V$2:$V$495&gt;=6)*('CONTROL MASTER'!$U$2:$U$495&lt;=6)*('CONTROL MASTER'!$W$2:$W$495&gt;=6))*ROW('CONTROL MASTER'!$S$2:$S$495))&gt;0,INDEX('CONTROL MASTER'!$X$2:$X$495,(SUMPRODUCT((('CONTROL MASTER'!$S$2:$S$495=8)*('CONTROL MASTER'!$T$2:$T$495&lt;=6)*('CONTROL MASTER'!$V$2:$V$495&gt;=6)*('CONTROL MASTER'!$U$2:$U$495&lt;=6)*('CONTROL MASTER'!$W$2:$W$495&gt;=6))*ROW('CONTROL MASTER'!$S$2:$S$495))-(ROW('CONTROL MASTER'!#REF!)-1)))&amp;TRIM(MID(SUBSTITUTE(SUBSTITUTE(INDEX('CONTROL MASTER'!$N$2:$N$495,(SUMPRODUCT((('CONTROL MASTER'!$S$2:$S$495=8)*('CONTROL MASTER'!$T$2:$T$495&lt;=6)*('CONTROL MASTER'!$V$2:$V$495&gt;=6)*('CONTROL MASTER'!$U$2:$U$495&lt;=6)*('CONTROL MASTER'!$W$2:$W$495&gt;=6))*ROW('CONTROL MASTER'!$S$2:$S$495))-(ROW('CONTROL MASTER'!#REF!)-1))),":",","),",",REPT(" ",50)),((((6-INDEX('CONTROL MASTER'!$T$2:$T$495,(SUMPRODUCT((('CONTROL MASTER'!$S$2:$S$495=8)*('CONTROL MASTER'!$T$2:$T$495&lt;=6)*('CONTROL MASTER'!$V$2:$V$495&gt;=6)*('CONTROL MASTER'!$U$2:$U$495&lt;=6)*('CONTROL MASTER'!$W$2:$W$495&gt;=6))*ROW('CONTROL MASTER'!$S$2:$S$495))-(ROW('CONTROL MASTER'!#REF!)-1))))*(INDEX('CONTROL MASTER'!$W$2:$W$495,(SUMPRODUCT((('CONTROL MASTER'!$S$2:$S$495=8)*('CONTROL MASTER'!$T$2:$T$495&lt;=6)*('CONTROL MASTER'!$V$2:$V$495&gt;=6)*('CONTROL MASTER'!$U$2:$U$495&lt;=6)*('CONTROL MASTER'!$W$2:$W$495&gt;=6))*ROW('CONTROL MASTER'!$S$2:$S$495))-(ROW('CONTROL MASTER'!#REF!)-1)))-INDEX('CONTROL MASTER'!$U$2:$U$495,(SUMPRODUCT((('CONTROL MASTER'!$S$2:$S$495=8)*('CONTROL MASTER'!$T$2:$T$495&lt;=6)*('CONTROL MASTER'!$V$2:$V$495&gt;=6)*('CONTROL MASTER'!$U$2:$U$495&lt;=6)*('CONTROL MASTER'!$W$2:$W$495&gt;=6))*ROW('CONTROL MASTER'!$S$2:$S$495))-(ROW('CONTROL MASTER'!#REF!)-1)))+1)+(6-INDEX('CONTROL MASTER'!$U$2:$U$495,(SUMPRODUCT((('CONTROL MASTER'!$S$2:$S$495=8)*('CONTROL MASTER'!$T$2:$T$495&lt;=6)*('CONTROL MASTER'!$V$2:$V$495&gt;=6)*('CONTROL MASTER'!$U$2:$U$495&lt;=6)*('CONTROL MASTER'!$W$2:$W$495&gt;=6))*ROW('CONTROL MASTER'!$S$2:$S$495))-(ROW('CONTROL MASTER'!#REF!)-1))))+1))-1)*50+1,50))&amp;"_"&amp;INDEX('CONTROL MASTER'!$P$2:$P$495,(SUMPRODUCT((('CONTROL MASTER'!$S$2:$S$495=8)*('CONTROL MASTER'!$T$2:$T$495&lt;=6)*('CONTROL MASTER'!$V$2:$V$495&gt;=6)*('CONTROL MASTER'!$U$2:$U$495&lt;=6)*('CONTROL MASTER'!$W$2:$W$495&gt;=6))*ROW('CONTROL MASTER'!$S$2:$S$495))-(ROW('CONTROL MASTER'!#REF!)-1))),IF(SUMPRODUCT((('CONTROL MASTER'!$S$2:$S$495=8)*('CONTROL MASTER'!$Z$2:$Z$495&lt;=6)*('CONTROL MASTER'!$AB$2:$AB$495&gt;=6)*('CONTROL MASTER'!$AA$2:$AA$495&lt;=6)*('CONTROL MASTER'!$AC$2:$AC$495&gt;=6))*ROW('CONTROL MASTER'!$S$2:$S$495))&gt;0,INDEX('CONTROL MASTER'!$X$2:$X$495,(SUMPRODUCT((('CONTROL MASTER'!$S$2:$S$495=8)*('CONTROL MASTER'!$Z$2:$Z$495&lt;=6)*('CONTROL MASTER'!$AB$2:$AB$495&gt;=6)*('CONTROL MASTER'!$AA$2:$AA$495&lt;=6)*('CONTROL MASTER'!$AC$2:$AC$495&gt;=6))*ROW('CONTROL MASTER'!$S$2:$S$495))-(ROW('CONTROL MASTER'!#REF!)-1)))&amp;TRIM(MID(SUBSTITUTE(SUBSTITUTE(INDEX('CONTROL MASTER'!$N$2:$N$495,(SUMPRODUCT((('CONTROL MASTER'!$S$2:$S$495=8)*('CONTROL MASTER'!$Z$2:$Z$495&lt;=6)*('CONTROL MASTER'!$AB$2:$AB$495&gt;=6)*('CONTROL MASTER'!$AA$2:$AA$495&lt;=6)*('CONTROL MASTER'!$AC$2:$AC$495&gt;=6))*ROW('CONTROL MASTER'!$S$2:$S$495))-(ROW('CONTROL MASTER'!#REF!)-1))),":",","),",",REPT(" ",50)),(((INDEX('CONTROL MASTER'!$Y$2:$Y$495,(SUMPRODUCT((('CONTROL MASTER'!$S$2:$S$495=8)*('CONTROL MASTER'!$Z$2:$Z$495&lt;=6)*('CONTROL MASTER'!$AB$2:$AB$495&gt;=6)*('CONTROL MASTER'!$AA$2:$AA$495&lt;=6)*('CONTROL MASTER'!$AC$2:$AC$495&gt;=6))*ROW('CONTROL MASTER'!$S$2:$S$495))-(ROW('CONTROL MASTER'!#REF!)-1)))+((6-INDEX('CONTROL MASTER'!$Z$2:$Z$495,(SUMPRODUCT((('CONTROL MASTER'!$S$2:$S$495=8)*('CONTROL MASTER'!$Z$2:$Z$495&lt;=6)*('CONTROL MASTER'!$AB$2:$AB$495&gt;=6)*('CONTROL MASTER'!$AA$2:$AA$495&lt;=6)*('CONTROL MASTER'!$AC$2:$AC$495&gt;=6))*ROW('CONTROL MASTER'!$S$2:$S$495))-(ROW('CONTROL MASTER'!#REF!)-1))))*(INDEX('CONTROL MASTER'!$AC$2:$AC$495,(SUMPRODUCT((('CONTROL MASTER'!$S$2:$S$495=8)*('CONTROL MASTER'!$Z$2:$Z$495&lt;=6)*('CONTROL MASTER'!$AB$2:$AB$495&gt;=6)*('CONTROL MASTER'!$AA$2:$AA$495&lt;=6)*('CONTROL MASTER'!$AC$2:$AC$495&gt;=6))*ROW('CONTROL MASTER'!$S$2:$S$495))-(ROW('CONTROL MASTER'!#REF!)-1)))-INDEX('CONTROL MASTER'!$AA$2:$AA$495,(SUMPRODUCT((('CONTROL MASTER'!$S$2:$S$495=8)*('CONTROL MASTER'!$Z$2:$Z$495&lt;=6)*('CONTROL MASTER'!$AB$2:$AB$495&gt;=6)*('CONTROL MASTER'!$AA$2:$AA$495&lt;=6)*('CONTROL MASTER'!$AC$2:$AC$495&gt;=6))*ROW('CONTROL MASTER'!$S$2:$S$495))-(ROW('CONTROL MASTER'!#REF!)-1)))+1)+(6-INDEX('CONTROL MASTER'!$AA$2:$AA$495,(SUMPRODUCT((('CONTROL MASTER'!$S$2:$S$495=8)*('CONTROL MASTER'!$Z$2:$Z$495&lt;=6)*('CONTROL MASTER'!$AB$2:$AB$495&gt;=6)*('CONTROL MASTER'!$AA$2:$AA$495&lt;=6)*('CONTROL MASTER'!$AC$2:$AC$495&gt;=6))*ROW('CONTROL MASTER'!$S$2:$S$495))-(ROW('CONTROL MASTER'!#REF!)-1))))+1)))-1)*50+1,50))&amp;"_"&amp;INDEX('CONTROL MASTER'!$P$2:$P$495,(SUMPRODUCT((('CONTROL MASTER'!$S$2:$S$495=8)*('CONTROL MASTER'!$Z$2:$Z$495&lt;=6)*('CONTROL MASTER'!$AB$2:$AB$495&gt;=6)*('CONTROL MASTER'!$AA$2:$AA$495&lt;=6)*('CONTROL MASTER'!$AC$2:$AC$495&gt;=6))*ROW('CONTROL MASTER'!$S$2:$S$495))-(ROW('CONTROL MASTER'!#REF!)-1))),"")),"")</f>
        <v/>
      </c>
      <c r="H106" s="10" t="str">
        <f>IFERROR(IF(SUMPRODUCT((('CONTROL MASTER'!$S$2:$S$495=8)*('CONTROL MASTER'!$T$2:$T$495&lt;=6)*('CONTROL MASTER'!$V$2:$V$495&gt;=6)*('CONTROL MASTER'!$U$2:$U$495&lt;=7)*('CONTROL MASTER'!$W$2:$W$495&gt;=7))*ROW('CONTROL MASTER'!$S$2:$S$495))&gt;0,INDEX('CONTROL MASTER'!$X$2:$X$495,(SUMPRODUCT((('CONTROL MASTER'!$S$2:$S$495=8)*('CONTROL MASTER'!$T$2:$T$495&lt;=6)*('CONTROL MASTER'!$V$2:$V$495&gt;=6)*('CONTROL MASTER'!$U$2:$U$495&lt;=7)*('CONTROL MASTER'!$W$2:$W$495&gt;=7))*ROW('CONTROL MASTER'!$S$2:$S$495))-(ROW('CONTROL MASTER'!#REF!)-1)))&amp;TRIM(MID(SUBSTITUTE(SUBSTITUTE(INDEX('CONTROL MASTER'!$N$2:$N$495,(SUMPRODUCT((('CONTROL MASTER'!$S$2:$S$495=8)*('CONTROL MASTER'!$T$2:$T$495&lt;=6)*('CONTROL MASTER'!$V$2:$V$495&gt;=6)*('CONTROL MASTER'!$U$2:$U$495&lt;=7)*('CONTROL MASTER'!$W$2:$W$495&gt;=7))*ROW('CONTROL MASTER'!$S$2:$S$495))-(ROW('CONTROL MASTER'!#REF!)-1))),":",","),",",REPT(" ",50)),((((6-INDEX('CONTROL MASTER'!$T$2:$T$495,(SUMPRODUCT((('CONTROL MASTER'!$S$2:$S$495=8)*('CONTROL MASTER'!$T$2:$T$495&lt;=6)*('CONTROL MASTER'!$V$2:$V$495&gt;=6)*('CONTROL MASTER'!$U$2:$U$495&lt;=7)*('CONTROL MASTER'!$W$2:$W$495&gt;=7))*ROW('CONTROL MASTER'!$S$2:$S$495))-(ROW('CONTROL MASTER'!#REF!)-1))))*(INDEX('CONTROL MASTER'!$W$2:$W$495,(SUMPRODUCT((('CONTROL MASTER'!$S$2:$S$495=8)*('CONTROL MASTER'!$T$2:$T$495&lt;=6)*('CONTROL MASTER'!$V$2:$V$495&gt;=6)*('CONTROL MASTER'!$U$2:$U$495&lt;=7)*('CONTROL MASTER'!$W$2:$W$495&gt;=7))*ROW('CONTROL MASTER'!$S$2:$S$495))-(ROW('CONTROL MASTER'!#REF!)-1)))-INDEX('CONTROL MASTER'!$U$2:$U$495,(SUMPRODUCT((('CONTROL MASTER'!$S$2:$S$495=8)*('CONTROL MASTER'!$T$2:$T$495&lt;=6)*('CONTROL MASTER'!$V$2:$V$495&gt;=6)*('CONTROL MASTER'!$U$2:$U$495&lt;=7)*('CONTROL MASTER'!$W$2:$W$495&gt;=7))*ROW('CONTROL MASTER'!$S$2:$S$495))-(ROW('CONTROL MASTER'!#REF!)-1)))+1)+(7-INDEX('CONTROL MASTER'!$U$2:$U$495,(SUMPRODUCT((('CONTROL MASTER'!$S$2:$S$495=8)*('CONTROL MASTER'!$T$2:$T$495&lt;=6)*('CONTROL MASTER'!$V$2:$V$495&gt;=6)*('CONTROL MASTER'!$U$2:$U$495&lt;=7)*('CONTROL MASTER'!$W$2:$W$495&gt;=7))*ROW('CONTROL MASTER'!$S$2:$S$495))-(ROW('CONTROL MASTER'!#REF!)-1))))+1))-1)*50+1,50))&amp;"_"&amp;INDEX('CONTROL MASTER'!$P$2:$P$495,(SUMPRODUCT((('CONTROL MASTER'!$S$2:$S$495=8)*('CONTROL MASTER'!$T$2:$T$495&lt;=6)*('CONTROL MASTER'!$V$2:$V$495&gt;=6)*('CONTROL MASTER'!$U$2:$U$495&lt;=7)*('CONTROL MASTER'!$W$2:$W$495&gt;=7))*ROW('CONTROL MASTER'!$S$2:$S$495))-(ROW('CONTROL MASTER'!#REF!)-1))),IF(SUMPRODUCT((('CONTROL MASTER'!$S$2:$S$495=8)*('CONTROL MASTER'!$Z$2:$Z$495&lt;=6)*('CONTROL MASTER'!$AB$2:$AB$495&gt;=6)*('CONTROL MASTER'!$AA$2:$AA$495&lt;=7)*('CONTROL MASTER'!$AC$2:$AC$495&gt;=7))*ROW('CONTROL MASTER'!$S$2:$S$495))&gt;0,INDEX('CONTROL MASTER'!$X$2:$X$495,(SUMPRODUCT((('CONTROL MASTER'!$S$2:$S$495=8)*('CONTROL MASTER'!$Z$2:$Z$495&lt;=6)*('CONTROL MASTER'!$AB$2:$AB$495&gt;=6)*('CONTROL MASTER'!$AA$2:$AA$495&lt;=7)*('CONTROL MASTER'!$AC$2:$AC$495&gt;=7))*ROW('CONTROL MASTER'!$S$2:$S$495))-(ROW('CONTROL MASTER'!#REF!)-1)))&amp;TRIM(MID(SUBSTITUTE(SUBSTITUTE(INDEX('CONTROL MASTER'!$N$2:$N$495,(SUMPRODUCT((('CONTROL MASTER'!$S$2:$S$495=8)*('CONTROL MASTER'!$Z$2:$Z$495&lt;=6)*('CONTROL MASTER'!$AB$2:$AB$495&gt;=6)*('CONTROL MASTER'!$AA$2:$AA$495&lt;=7)*('CONTROL MASTER'!$AC$2:$AC$495&gt;=7))*ROW('CONTROL MASTER'!$S$2:$S$495))-(ROW('CONTROL MASTER'!#REF!)-1))),":",","),",",REPT(" ",50)),(((INDEX('CONTROL MASTER'!$Y$2:$Y$495,(SUMPRODUCT((('CONTROL MASTER'!$S$2:$S$495=8)*('CONTROL MASTER'!$Z$2:$Z$495&lt;=6)*('CONTROL MASTER'!$AB$2:$AB$495&gt;=6)*('CONTROL MASTER'!$AA$2:$AA$495&lt;=7)*('CONTROL MASTER'!$AC$2:$AC$495&gt;=7))*ROW('CONTROL MASTER'!$S$2:$S$495))-(ROW('CONTROL MASTER'!#REF!)-1)))+((6-INDEX('CONTROL MASTER'!$Z$2:$Z$495,(SUMPRODUCT((('CONTROL MASTER'!$S$2:$S$495=8)*('CONTROL MASTER'!$Z$2:$Z$495&lt;=6)*('CONTROL MASTER'!$AB$2:$AB$495&gt;=6)*('CONTROL MASTER'!$AA$2:$AA$495&lt;=7)*('CONTROL MASTER'!$AC$2:$AC$495&gt;=7))*ROW('CONTROL MASTER'!$S$2:$S$495))-(ROW('CONTROL MASTER'!#REF!)-1))))*(INDEX('CONTROL MASTER'!$AC$2:$AC$495,(SUMPRODUCT((('CONTROL MASTER'!$S$2:$S$495=8)*('CONTROL MASTER'!$Z$2:$Z$495&lt;=6)*('CONTROL MASTER'!$AB$2:$AB$495&gt;=6)*('CONTROL MASTER'!$AA$2:$AA$495&lt;=7)*('CONTROL MASTER'!$AC$2:$AC$495&gt;=7))*ROW('CONTROL MASTER'!$S$2:$S$495))-(ROW('CONTROL MASTER'!#REF!)-1)))-INDEX('CONTROL MASTER'!$AA$2:$AA$495,(SUMPRODUCT((('CONTROL MASTER'!$S$2:$S$495=8)*('CONTROL MASTER'!$Z$2:$Z$495&lt;=6)*('CONTROL MASTER'!$AB$2:$AB$495&gt;=6)*('CONTROL MASTER'!$AA$2:$AA$495&lt;=7)*('CONTROL MASTER'!$AC$2:$AC$495&gt;=7))*ROW('CONTROL MASTER'!$S$2:$S$495))-(ROW('CONTROL MASTER'!#REF!)-1)))+1)+(7-INDEX('CONTROL MASTER'!$AA$2:$AA$495,(SUMPRODUCT((('CONTROL MASTER'!$S$2:$S$495=8)*('CONTROL MASTER'!$Z$2:$Z$495&lt;=6)*('CONTROL MASTER'!$AB$2:$AB$495&gt;=6)*('CONTROL MASTER'!$AA$2:$AA$495&lt;=7)*('CONTROL MASTER'!$AC$2:$AC$495&gt;=7))*ROW('CONTROL MASTER'!$S$2:$S$495))-(ROW('CONTROL MASTER'!#REF!)-1))))+1)))-1)*50+1,50))&amp;"_"&amp;INDEX('CONTROL MASTER'!$P$2:$P$495,(SUMPRODUCT((('CONTROL MASTER'!$S$2:$S$495=8)*('CONTROL MASTER'!$Z$2:$Z$495&lt;=6)*('CONTROL MASTER'!$AB$2:$AB$495&gt;=6)*('CONTROL MASTER'!$AA$2:$AA$495&lt;=7)*('CONTROL MASTER'!$AC$2:$AC$495&gt;=7))*ROW('CONTROL MASTER'!$S$2:$S$495))-(ROW('CONTROL MASTER'!#REF!)-1))),"")),"")</f>
        <v/>
      </c>
      <c r="I106" s="10" t="str">
        <f>IFERROR(IF(SUMPRODUCT((('CONTROL MASTER'!$S$2:$S$495=8)*('CONTROL MASTER'!$T$2:$T$495&lt;=6)*('CONTROL MASTER'!$V$2:$V$495&gt;=6)*('CONTROL MASTER'!$U$2:$U$495&lt;=8)*('CONTROL MASTER'!$W$2:$W$495&gt;=8))*ROW('CONTROL MASTER'!$S$2:$S$495))&gt;0,INDEX('CONTROL MASTER'!$X$2:$X$495,(SUMPRODUCT((('CONTROL MASTER'!$S$2:$S$495=8)*('CONTROL MASTER'!$T$2:$T$495&lt;=6)*('CONTROL MASTER'!$V$2:$V$495&gt;=6)*('CONTROL MASTER'!$U$2:$U$495&lt;=8)*('CONTROL MASTER'!$W$2:$W$495&gt;=8))*ROW('CONTROL MASTER'!$S$2:$S$495))-(ROW('CONTROL MASTER'!#REF!)-1)))&amp;TRIM(MID(SUBSTITUTE(SUBSTITUTE(INDEX('CONTROL MASTER'!$N$2:$N$495,(SUMPRODUCT((('CONTROL MASTER'!$S$2:$S$495=8)*('CONTROL MASTER'!$T$2:$T$495&lt;=6)*('CONTROL MASTER'!$V$2:$V$495&gt;=6)*('CONTROL MASTER'!$U$2:$U$495&lt;=8)*('CONTROL MASTER'!$W$2:$W$495&gt;=8))*ROW('CONTROL MASTER'!$S$2:$S$495))-(ROW('CONTROL MASTER'!#REF!)-1))),":",","),",",REPT(" ",50)),((((6-INDEX('CONTROL MASTER'!$T$2:$T$495,(SUMPRODUCT((('CONTROL MASTER'!$S$2:$S$495=8)*('CONTROL MASTER'!$T$2:$T$495&lt;=6)*('CONTROL MASTER'!$V$2:$V$495&gt;=6)*('CONTROL MASTER'!$U$2:$U$495&lt;=8)*('CONTROL MASTER'!$W$2:$W$495&gt;=8))*ROW('CONTROL MASTER'!$S$2:$S$495))-(ROW('CONTROL MASTER'!#REF!)-1))))*(INDEX('CONTROL MASTER'!$W$2:$W$495,(SUMPRODUCT((('CONTROL MASTER'!$S$2:$S$495=8)*('CONTROL MASTER'!$T$2:$T$495&lt;=6)*('CONTROL MASTER'!$V$2:$V$495&gt;=6)*('CONTROL MASTER'!$U$2:$U$495&lt;=8)*('CONTROL MASTER'!$W$2:$W$495&gt;=8))*ROW('CONTROL MASTER'!$S$2:$S$495))-(ROW('CONTROL MASTER'!#REF!)-1)))-INDEX('CONTROL MASTER'!$U$2:$U$495,(SUMPRODUCT((('CONTROL MASTER'!$S$2:$S$495=8)*('CONTROL MASTER'!$T$2:$T$495&lt;=6)*('CONTROL MASTER'!$V$2:$V$495&gt;=6)*('CONTROL MASTER'!$U$2:$U$495&lt;=8)*('CONTROL MASTER'!$W$2:$W$495&gt;=8))*ROW('CONTROL MASTER'!$S$2:$S$495))-(ROW('CONTROL MASTER'!#REF!)-1)))+1)+(8-INDEX('CONTROL MASTER'!$U$2:$U$495,(SUMPRODUCT((('CONTROL MASTER'!$S$2:$S$495=8)*('CONTROL MASTER'!$T$2:$T$495&lt;=6)*('CONTROL MASTER'!$V$2:$V$495&gt;=6)*('CONTROL MASTER'!$U$2:$U$495&lt;=8)*('CONTROL MASTER'!$W$2:$W$495&gt;=8))*ROW('CONTROL MASTER'!$S$2:$S$495))-(ROW('CONTROL MASTER'!#REF!)-1))))+1))-1)*50+1,50))&amp;"_"&amp;INDEX('CONTROL MASTER'!$P$2:$P$495,(SUMPRODUCT((('CONTROL MASTER'!$S$2:$S$495=8)*('CONTROL MASTER'!$T$2:$T$495&lt;=6)*('CONTROL MASTER'!$V$2:$V$495&gt;=6)*('CONTROL MASTER'!$U$2:$U$495&lt;=8)*('CONTROL MASTER'!$W$2:$W$495&gt;=8))*ROW('CONTROL MASTER'!$S$2:$S$495))-(ROW('CONTROL MASTER'!#REF!)-1))),IF(SUMPRODUCT((('CONTROL MASTER'!$S$2:$S$495=8)*('CONTROL MASTER'!$Z$2:$Z$495&lt;=6)*('CONTROL MASTER'!$AB$2:$AB$495&gt;=6)*('CONTROL MASTER'!$AA$2:$AA$495&lt;=8)*('CONTROL MASTER'!$AC$2:$AC$495&gt;=8))*ROW('CONTROL MASTER'!$S$2:$S$495))&gt;0,INDEX('CONTROL MASTER'!$X$2:$X$495,(SUMPRODUCT((('CONTROL MASTER'!$S$2:$S$495=8)*('CONTROL MASTER'!$Z$2:$Z$495&lt;=6)*('CONTROL MASTER'!$AB$2:$AB$495&gt;=6)*('CONTROL MASTER'!$AA$2:$AA$495&lt;=8)*('CONTROL MASTER'!$AC$2:$AC$495&gt;=8))*ROW('CONTROL MASTER'!$S$2:$S$495))-(ROW('CONTROL MASTER'!#REF!)-1)))&amp;TRIM(MID(SUBSTITUTE(SUBSTITUTE(INDEX('CONTROL MASTER'!$N$2:$N$495,(SUMPRODUCT((('CONTROL MASTER'!$S$2:$S$495=8)*('CONTROL MASTER'!$Z$2:$Z$495&lt;=6)*('CONTROL MASTER'!$AB$2:$AB$495&gt;=6)*('CONTROL MASTER'!$AA$2:$AA$495&lt;=8)*('CONTROL MASTER'!$AC$2:$AC$495&gt;=8))*ROW('CONTROL MASTER'!$S$2:$S$495))-(ROW('CONTROL MASTER'!#REF!)-1))),":",","),",",REPT(" ",50)),(((INDEX('CONTROL MASTER'!$Y$2:$Y$495,(SUMPRODUCT((('CONTROL MASTER'!$S$2:$S$495=8)*('CONTROL MASTER'!$Z$2:$Z$495&lt;=6)*('CONTROL MASTER'!$AB$2:$AB$495&gt;=6)*('CONTROL MASTER'!$AA$2:$AA$495&lt;=8)*('CONTROL MASTER'!$AC$2:$AC$495&gt;=8))*ROW('CONTROL MASTER'!$S$2:$S$495))-(ROW('CONTROL MASTER'!#REF!)-1)))+((6-INDEX('CONTROL MASTER'!$Z$2:$Z$495,(SUMPRODUCT((('CONTROL MASTER'!$S$2:$S$495=8)*('CONTROL MASTER'!$Z$2:$Z$495&lt;=6)*('CONTROL MASTER'!$AB$2:$AB$495&gt;=6)*('CONTROL MASTER'!$AA$2:$AA$495&lt;=8)*('CONTROL MASTER'!$AC$2:$AC$495&gt;=8))*ROW('CONTROL MASTER'!$S$2:$S$495))-(ROW('CONTROL MASTER'!#REF!)-1))))*(INDEX('CONTROL MASTER'!$AC$2:$AC$495,(SUMPRODUCT((('CONTROL MASTER'!$S$2:$S$495=8)*('CONTROL MASTER'!$Z$2:$Z$495&lt;=6)*('CONTROL MASTER'!$AB$2:$AB$495&gt;=6)*('CONTROL MASTER'!$AA$2:$AA$495&lt;=8)*('CONTROL MASTER'!$AC$2:$AC$495&gt;=8))*ROW('CONTROL MASTER'!$S$2:$S$495))-(ROW('CONTROL MASTER'!#REF!)-1)))-INDEX('CONTROL MASTER'!$AA$2:$AA$495,(SUMPRODUCT((('CONTROL MASTER'!$S$2:$S$495=8)*('CONTROL MASTER'!$Z$2:$Z$495&lt;=6)*('CONTROL MASTER'!$AB$2:$AB$495&gt;=6)*('CONTROL MASTER'!$AA$2:$AA$495&lt;=8)*('CONTROL MASTER'!$AC$2:$AC$495&gt;=8))*ROW('CONTROL MASTER'!$S$2:$S$495))-(ROW('CONTROL MASTER'!#REF!)-1)))+1)+(8-INDEX('CONTROL MASTER'!$AA$2:$AA$495,(SUMPRODUCT((('CONTROL MASTER'!$S$2:$S$495=8)*('CONTROL MASTER'!$Z$2:$Z$495&lt;=6)*('CONTROL MASTER'!$AB$2:$AB$495&gt;=6)*('CONTROL MASTER'!$AA$2:$AA$495&lt;=8)*('CONTROL MASTER'!$AC$2:$AC$495&gt;=8))*ROW('CONTROL MASTER'!$S$2:$S$495))-(ROW('CONTROL MASTER'!#REF!)-1))))+1)))-1)*50+1,50))&amp;"_"&amp;INDEX('CONTROL MASTER'!$P$2:$P$495,(SUMPRODUCT((('CONTROL MASTER'!$S$2:$S$495=8)*('CONTROL MASTER'!$Z$2:$Z$495&lt;=6)*('CONTROL MASTER'!$AB$2:$AB$495&gt;=6)*('CONTROL MASTER'!$AA$2:$AA$495&lt;=8)*('CONTROL MASTER'!$AC$2:$AC$495&gt;=8))*ROW('CONTROL MASTER'!$S$2:$S$495))-(ROW('CONTROL MASTER'!#REF!)-1))),"")),"")</f>
        <v/>
      </c>
      <c r="J106" s="10" t="str">
        <f>IFERROR(IF(SUMPRODUCT((('CONTROL MASTER'!$S$2:$S$495=8)*('CONTROL MASTER'!$T$2:$T$495&lt;=6)*('CONTROL MASTER'!$V$2:$V$495&gt;=6)*('CONTROL MASTER'!$U$2:$U$495&lt;=9)*('CONTROL MASTER'!$W$2:$W$495&gt;=9))*ROW('CONTROL MASTER'!$S$2:$S$495))&gt;0,INDEX('CONTROL MASTER'!$X$2:$X$495,(SUMPRODUCT((('CONTROL MASTER'!$S$2:$S$495=8)*('CONTROL MASTER'!$T$2:$T$495&lt;=6)*('CONTROL MASTER'!$V$2:$V$495&gt;=6)*('CONTROL MASTER'!$U$2:$U$495&lt;=9)*('CONTROL MASTER'!$W$2:$W$495&gt;=9))*ROW('CONTROL MASTER'!$S$2:$S$495))-(ROW('CONTROL MASTER'!#REF!)-1)))&amp;TRIM(MID(SUBSTITUTE(SUBSTITUTE(INDEX('CONTROL MASTER'!$N$2:$N$495,(SUMPRODUCT((('CONTROL MASTER'!$S$2:$S$495=8)*('CONTROL MASTER'!$T$2:$T$495&lt;=6)*('CONTROL MASTER'!$V$2:$V$495&gt;=6)*('CONTROL MASTER'!$U$2:$U$495&lt;=9)*('CONTROL MASTER'!$W$2:$W$495&gt;=9))*ROW('CONTROL MASTER'!$S$2:$S$495))-(ROW('CONTROL MASTER'!#REF!)-1))),":",","),",",REPT(" ",50)),((((6-INDEX('CONTROL MASTER'!$T$2:$T$495,(SUMPRODUCT((('CONTROL MASTER'!$S$2:$S$495=8)*('CONTROL MASTER'!$T$2:$T$495&lt;=6)*('CONTROL MASTER'!$V$2:$V$495&gt;=6)*('CONTROL MASTER'!$U$2:$U$495&lt;=9)*('CONTROL MASTER'!$W$2:$W$495&gt;=9))*ROW('CONTROL MASTER'!$S$2:$S$495))-(ROW('CONTROL MASTER'!#REF!)-1))))*(INDEX('CONTROL MASTER'!$W$2:$W$495,(SUMPRODUCT((('CONTROL MASTER'!$S$2:$S$495=8)*('CONTROL MASTER'!$T$2:$T$495&lt;=6)*('CONTROL MASTER'!$V$2:$V$495&gt;=6)*('CONTROL MASTER'!$U$2:$U$495&lt;=9)*('CONTROL MASTER'!$W$2:$W$495&gt;=9))*ROW('CONTROL MASTER'!$S$2:$S$495))-(ROW('CONTROL MASTER'!#REF!)-1)))-INDEX('CONTROL MASTER'!$U$2:$U$495,(SUMPRODUCT((('CONTROL MASTER'!$S$2:$S$495=8)*('CONTROL MASTER'!$T$2:$T$495&lt;=6)*('CONTROL MASTER'!$V$2:$V$495&gt;=6)*('CONTROL MASTER'!$U$2:$U$495&lt;=9)*('CONTROL MASTER'!$W$2:$W$495&gt;=9))*ROW('CONTROL MASTER'!$S$2:$S$495))-(ROW('CONTROL MASTER'!#REF!)-1)))+1)+(9-INDEX('CONTROL MASTER'!$U$2:$U$495,(SUMPRODUCT((('CONTROL MASTER'!$S$2:$S$495=8)*('CONTROL MASTER'!$T$2:$T$495&lt;=6)*('CONTROL MASTER'!$V$2:$V$495&gt;=6)*('CONTROL MASTER'!$U$2:$U$495&lt;=9)*('CONTROL MASTER'!$W$2:$W$495&gt;=9))*ROW('CONTROL MASTER'!$S$2:$S$495))-(ROW('CONTROL MASTER'!#REF!)-1))))+1))-1)*50+1,50))&amp;"_"&amp;INDEX('CONTROL MASTER'!$P$2:$P$495,(SUMPRODUCT((('CONTROL MASTER'!$S$2:$S$495=8)*('CONTROL MASTER'!$T$2:$T$495&lt;=6)*('CONTROL MASTER'!$V$2:$V$495&gt;=6)*('CONTROL MASTER'!$U$2:$U$495&lt;=9)*('CONTROL MASTER'!$W$2:$W$495&gt;=9))*ROW('CONTROL MASTER'!$S$2:$S$495))-(ROW('CONTROL MASTER'!#REF!)-1))),IF(SUMPRODUCT((('CONTROL MASTER'!$S$2:$S$495=8)*('CONTROL MASTER'!$Z$2:$Z$495&lt;=6)*('CONTROL MASTER'!$AB$2:$AB$495&gt;=6)*('CONTROL MASTER'!$AA$2:$AA$495&lt;=9)*('CONTROL MASTER'!$AC$2:$AC$495&gt;=9))*ROW('CONTROL MASTER'!$S$2:$S$495))&gt;0,INDEX('CONTROL MASTER'!$X$2:$X$495,(SUMPRODUCT((('CONTROL MASTER'!$S$2:$S$495=8)*('CONTROL MASTER'!$Z$2:$Z$495&lt;=6)*('CONTROL MASTER'!$AB$2:$AB$495&gt;=6)*('CONTROL MASTER'!$AA$2:$AA$495&lt;=9)*('CONTROL MASTER'!$AC$2:$AC$495&gt;=9))*ROW('CONTROL MASTER'!$S$2:$S$495))-(ROW('CONTROL MASTER'!#REF!)-1)))&amp;TRIM(MID(SUBSTITUTE(SUBSTITUTE(INDEX('CONTROL MASTER'!$N$2:$N$495,(SUMPRODUCT((('CONTROL MASTER'!$S$2:$S$495=8)*('CONTROL MASTER'!$Z$2:$Z$495&lt;=6)*('CONTROL MASTER'!$AB$2:$AB$495&gt;=6)*('CONTROL MASTER'!$AA$2:$AA$495&lt;=9)*('CONTROL MASTER'!$AC$2:$AC$495&gt;=9))*ROW('CONTROL MASTER'!$S$2:$S$495))-(ROW('CONTROL MASTER'!#REF!)-1))),":",","),",",REPT(" ",50)),(((INDEX('CONTROL MASTER'!$Y$2:$Y$495,(SUMPRODUCT((('CONTROL MASTER'!$S$2:$S$495=8)*('CONTROL MASTER'!$Z$2:$Z$495&lt;=6)*('CONTROL MASTER'!$AB$2:$AB$495&gt;=6)*('CONTROL MASTER'!$AA$2:$AA$495&lt;=9)*('CONTROL MASTER'!$AC$2:$AC$495&gt;=9))*ROW('CONTROL MASTER'!$S$2:$S$495))-(ROW('CONTROL MASTER'!#REF!)-1)))+((6-INDEX('CONTROL MASTER'!$Z$2:$Z$495,(SUMPRODUCT((('CONTROL MASTER'!$S$2:$S$495=8)*('CONTROL MASTER'!$Z$2:$Z$495&lt;=6)*('CONTROL MASTER'!$AB$2:$AB$495&gt;=6)*('CONTROL MASTER'!$AA$2:$AA$495&lt;=9)*('CONTROL MASTER'!$AC$2:$AC$495&gt;=9))*ROW('CONTROL MASTER'!$S$2:$S$495))-(ROW('CONTROL MASTER'!#REF!)-1))))*(INDEX('CONTROL MASTER'!$AC$2:$AC$495,(SUMPRODUCT((('CONTROL MASTER'!$S$2:$S$495=8)*('CONTROL MASTER'!$Z$2:$Z$495&lt;=6)*('CONTROL MASTER'!$AB$2:$AB$495&gt;=6)*('CONTROL MASTER'!$AA$2:$AA$495&lt;=9)*('CONTROL MASTER'!$AC$2:$AC$495&gt;=9))*ROW('CONTROL MASTER'!$S$2:$S$495))-(ROW('CONTROL MASTER'!#REF!)-1)))-INDEX('CONTROL MASTER'!$AA$2:$AA$495,(SUMPRODUCT((('CONTROL MASTER'!$S$2:$S$495=8)*('CONTROL MASTER'!$Z$2:$Z$495&lt;=6)*('CONTROL MASTER'!$AB$2:$AB$495&gt;=6)*('CONTROL MASTER'!$AA$2:$AA$495&lt;=9)*('CONTROL MASTER'!$AC$2:$AC$495&gt;=9))*ROW('CONTROL MASTER'!$S$2:$S$495))-(ROW('CONTROL MASTER'!#REF!)-1)))+1)+(9-INDEX('CONTROL MASTER'!$AA$2:$AA$495,(SUMPRODUCT((('CONTROL MASTER'!$S$2:$S$495=8)*('CONTROL MASTER'!$Z$2:$Z$495&lt;=6)*('CONTROL MASTER'!$AB$2:$AB$495&gt;=6)*('CONTROL MASTER'!$AA$2:$AA$495&lt;=9)*('CONTROL MASTER'!$AC$2:$AC$495&gt;=9))*ROW('CONTROL MASTER'!$S$2:$S$495))-(ROW('CONTROL MASTER'!#REF!)-1))))+1)))-1)*50+1,50))&amp;"_"&amp;INDEX('CONTROL MASTER'!$P$2:$P$495,(SUMPRODUCT((('CONTROL MASTER'!$S$2:$S$495=8)*('CONTROL MASTER'!$Z$2:$Z$495&lt;=6)*('CONTROL MASTER'!$AB$2:$AB$495&gt;=6)*('CONTROL MASTER'!$AA$2:$AA$495&lt;=9)*('CONTROL MASTER'!$AC$2:$AC$495&gt;=9))*ROW('CONTROL MASTER'!$S$2:$S$495))-(ROW('CONTROL MASTER'!#REF!)-1))),"")),"")</f>
        <v/>
      </c>
      <c r="K106" s="10" t="str">
        <f>IFERROR(IF(SUMPRODUCT((('CONTROL MASTER'!$S$2:$S$495=8)*('CONTROL MASTER'!$T$2:$T$495&lt;=6)*('CONTROL MASTER'!$V$2:$V$495&gt;=6)*('CONTROL MASTER'!$U$2:$U$495&lt;=10)*('CONTROL MASTER'!$W$2:$W$495&gt;=10))*ROW('CONTROL MASTER'!$S$2:$S$495))&gt;0,INDEX('CONTROL MASTER'!$X$2:$X$495,(SUMPRODUCT((('CONTROL MASTER'!$S$2:$S$495=8)*('CONTROL MASTER'!$T$2:$T$495&lt;=6)*('CONTROL MASTER'!$V$2:$V$495&gt;=6)*('CONTROL MASTER'!$U$2:$U$495&lt;=10)*('CONTROL MASTER'!$W$2:$W$495&gt;=10))*ROW('CONTROL MASTER'!$S$2:$S$495))-(ROW('CONTROL MASTER'!#REF!)-1)))&amp;TRIM(MID(SUBSTITUTE(SUBSTITUTE(INDEX('CONTROL MASTER'!$N$2:$N$495,(SUMPRODUCT((('CONTROL MASTER'!$S$2:$S$495=8)*('CONTROL MASTER'!$T$2:$T$495&lt;=6)*('CONTROL MASTER'!$V$2:$V$495&gt;=6)*('CONTROL MASTER'!$U$2:$U$495&lt;=10)*('CONTROL MASTER'!$W$2:$W$495&gt;=10))*ROW('CONTROL MASTER'!$S$2:$S$495))-(ROW('CONTROL MASTER'!#REF!)-1))),":",","),",",REPT(" ",50)),((((6-INDEX('CONTROL MASTER'!$T$2:$T$495,(SUMPRODUCT((('CONTROL MASTER'!$S$2:$S$495=8)*('CONTROL MASTER'!$T$2:$T$495&lt;=6)*('CONTROL MASTER'!$V$2:$V$495&gt;=6)*('CONTROL MASTER'!$U$2:$U$495&lt;=10)*('CONTROL MASTER'!$W$2:$W$495&gt;=10))*ROW('CONTROL MASTER'!$S$2:$S$495))-(ROW('CONTROL MASTER'!#REF!)-1))))*(INDEX('CONTROL MASTER'!$W$2:$W$495,(SUMPRODUCT((('CONTROL MASTER'!$S$2:$S$495=8)*('CONTROL MASTER'!$T$2:$T$495&lt;=6)*('CONTROL MASTER'!$V$2:$V$495&gt;=6)*('CONTROL MASTER'!$U$2:$U$495&lt;=10)*('CONTROL MASTER'!$W$2:$W$495&gt;=10))*ROW('CONTROL MASTER'!$S$2:$S$495))-(ROW('CONTROL MASTER'!#REF!)-1)))-INDEX('CONTROL MASTER'!$U$2:$U$495,(SUMPRODUCT((('CONTROL MASTER'!$S$2:$S$495=8)*('CONTROL MASTER'!$T$2:$T$495&lt;=6)*('CONTROL MASTER'!$V$2:$V$495&gt;=6)*('CONTROL MASTER'!$U$2:$U$495&lt;=10)*('CONTROL MASTER'!$W$2:$W$495&gt;=10))*ROW('CONTROL MASTER'!$S$2:$S$495))-(ROW('CONTROL MASTER'!#REF!)-1)))+1)+(10-INDEX('CONTROL MASTER'!$U$2:$U$495,(SUMPRODUCT((('CONTROL MASTER'!$S$2:$S$495=8)*('CONTROL MASTER'!$T$2:$T$495&lt;=6)*('CONTROL MASTER'!$V$2:$V$495&gt;=6)*('CONTROL MASTER'!$U$2:$U$495&lt;=10)*('CONTROL MASTER'!$W$2:$W$495&gt;=10))*ROW('CONTROL MASTER'!$S$2:$S$495))-(ROW('CONTROL MASTER'!#REF!)-1))))+1))-1)*50+1,50))&amp;"_"&amp;INDEX('CONTROL MASTER'!$P$2:$P$495,(SUMPRODUCT((('CONTROL MASTER'!$S$2:$S$495=8)*('CONTROL MASTER'!$T$2:$T$495&lt;=6)*('CONTROL MASTER'!$V$2:$V$495&gt;=6)*('CONTROL MASTER'!$U$2:$U$495&lt;=10)*('CONTROL MASTER'!$W$2:$W$495&gt;=10))*ROW('CONTROL MASTER'!$S$2:$S$495))-(ROW('CONTROL MASTER'!#REF!)-1))),IF(SUMPRODUCT((('CONTROL MASTER'!$S$2:$S$495=8)*('CONTROL MASTER'!$Z$2:$Z$495&lt;=6)*('CONTROL MASTER'!$AB$2:$AB$495&gt;=6)*('CONTROL MASTER'!$AA$2:$AA$495&lt;=10)*('CONTROL MASTER'!$AC$2:$AC$495&gt;=10))*ROW('CONTROL MASTER'!$S$2:$S$495))&gt;0,INDEX('CONTROL MASTER'!$X$2:$X$495,(SUMPRODUCT((('CONTROL MASTER'!$S$2:$S$495=8)*('CONTROL MASTER'!$Z$2:$Z$495&lt;=6)*('CONTROL MASTER'!$AB$2:$AB$495&gt;=6)*('CONTROL MASTER'!$AA$2:$AA$495&lt;=10)*('CONTROL MASTER'!$AC$2:$AC$495&gt;=10))*ROW('CONTROL MASTER'!$S$2:$S$495))-(ROW('CONTROL MASTER'!#REF!)-1)))&amp;TRIM(MID(SUBSTITUTE(SUBSTITUTE(INDEX('CONTROL MASTER'!$N$2:$N$495,(SUMPRODUCT((('CONTROL MASTER'!$S$2:$S$495=8)*('CONTROL MASTER'!$Z$2:$Z$495&lt;=6)*('CONTROL MASTER'!$AB$2:$AB$495&gt;=6)*('CONTROL MASTER'!$AA$2:$AA$495&lt;=10)*('CONTROL MASTER'!$AC$2:$AC$495&gt;=10))*ROW('CONTROL MASTER'!$S$2:$S$495))-(ROW('CONTROL MASTER'!#REF!)-1))),":",","),",",REPT(" ",50)),(((INDEX('CONTROL MASTER'!$Y$2:$Y$495,(SUMPRODUCT((('CONTROL MASTER'!$S$2:$S$495=8)*('CONTROL MASTER'!$Z$2:$Z$495&lt;=6)*('CONTROL MASTER'!$AB$2:$AB$495&gt;=6)*('CONTROL MASTER'!$AA$2:$AA$495&lt;=10)*('CONTROL MASTER'!$AC$2:$AC$495&gt;=10))*ROW('CONTROL MASTER'!$S$2:$S$495))-(ROW('CONTROL MASTER'!#REF!)-1)))+((6-INDEX('CONTROL MASTER'!$Z$2:$Z$495,(SUMPRODUCT((('CONTROL MASTER'!$S$2:$S$495=8)*('CONTROL MASTER'!$Z$2:$Z$495&lt;=6)*('CONTROL MASTER'!$AB$2:$AB$495&gt;=6)*('CONTROL MASTER'!$AA$2:$AA$495&lt;=10)*('CONTROL MASTER'!$AC$2:$AC$495&gt;=10))*ROW('CONTROL MASTER'!$S$2:$S$495))-(ROW('CONTROL MASTER'!#REF!)-1))))*(INDEX('CONTROL MASTER'!$AC$2:$AC$495,(SUMPRODUCT((('CONTROL MASTER'!$S$2:$S$495=8)*('CONTROL MASTER'!$Z$2:$Z$495&lt;=6)*('CONTROL MASTER'!$AB$2:$AB$495&gt;=6)*('CONTROL MASTER'!$AA$2:$AA$495&lt;=10)*('CONTROL MASTER'!$AC$2:$AC$495&gt;=10))*ROW('CONTROL MASTER'!$S$2:$S$495))-(ROW('CONTROL MASTER'!#REF!)-1)))-INDEX('CONTROL MASTER'!$AA$2:$AA$495,(SUMPRODUCT((('CONTROL MASTER'!$S$2:$S$495=8)*('CONTROL MASTER'!$Z$2:$Z$495&lt;=6)*('CONTROL MASTER'!$AB$2:$AB$495&gt;=6)*('CONTROL MASTER'!$AA$2:$AA$495&lt;=10)*('CONTROL MASTER'!$AC$2:$AC$495&gt;=10))*ROW('CONTROL MASTER'!$S$2:$S$495))-(ROW('CONTROL MASTER'!#REF!)-1)))+1)+(10-INDEX('CONTROL MASTER'!$AA$2:$AA$495,(SUMPRODUCT((('CONTROL MASTER'!$S$2:$S$495=8)*('CONTROL MASTER'!$Z$2:$Z$495&lt;=6)*('CONTROL MASTER'!$AB$2:$AB$495&gt;=6)*('CONTROL MASTER'!$AA$2:$AA$495&lt;=10)*('CONTROL MASTER'!$AC$2:$AC$495&gt;=10))*ROW('CONTROL MASTER'!$S$2:$S$495))-(ROW('CONTROL MASTER'!#REF!)-1))))+1)))-1)*50+1,50))&amp;"_"&amp;INDEX('CONTROL MASTER'!$P$2:$P$495,(SUMPRODUCT((('CONTROL MASTER'!$S$2:$S$495=8)*('CONTROL MASTER'!$Z$2:$Z$495&lt;=6)*('CONTROL MASTER'!$AB$2:$AB$495&gt;=6)*('CONTROL MASTER'!$AA$2:$AA$495&lt;=10)*('CONTROL MASTER'!$AC$2:$AC$495&gt;=10))*ROW('CONTROL MASTER'!$S$2:$S$495))-(ROW('CONTROL MASTER'!#REF!)-1))),"")),"")</f>
        <v/>
      </c>
    </row>
    <row r="107" spans="1:11" ht="15" customHeight="1" x14ac:dyDescent="0.35">
      <c r="A107" s="8" t="s">
        <v>34</v>
      </c>
      <c r="B107" s="10" t="str">
        <f>IFERROR(IF(SUMPRODUCT((('CONTROL MASTER'!$S$2:$S$495=8)*('CONTROL MASTER'!$T$2:$T$495&lt;=7)*('CONTROL MASTER'!$V$2:$V$495&gt;=7)*('CONTROL MASTER'!$U$2:$U$495&lt;=1)*('CONTROL MASTER'!$W$2:$W$495&gt;=1))*ROW('CONTROL MASTER'!$S$2:$S$495))&gt;0,INDEX('CONTROL MASTER'!$X$2:$X$495,(SUMPRODUCT((('CONTROL MASTER'!$S$2:$S$495=8)*('CONTROL MASTER'!$T$2:$T$495&lt;=7)*('CONTROL MASTER'!$V$2:$V$495&gt;=7)*('CONTROL MASTER'!$U$2:$U$495&lt;=1)*('CONTROL MASTER'!$W$2:$W$495&gt;=1))*ROW('CONTROL MASTER'!$S$2:$S$495))-(ROW('CONTROL MASTER'!#REF!)-1)))&amp;TRIM(MID(SUBSTITUTE(SUBSTITUTE(INDEX('CONTROL MASTER'!$N$2:$N$495,(SUMPRODUCT((('CONTROL MASTER'!$S$2:$S$495=8)*('CONTROL MASTER'!$T$2:$T$495&lt;=7)*('CONTROL MASTER'!$V$2:$V$495&gt;=7)*('CONTROL MASTER'!$U$2:$U$495&lt;=1)*('CONTROL MASTER'!$W$2:$W$495&gt;=1))*ROW('CONTROL MASTER'!$S$2:$S$495))-(ROW('CONTROL MASTER'!#REF!)-1))),":",","),",",REPT(" ",50)),((((7-INDEX('CONTROL MASTER'!$T$2:$T$495,(SUMPRODUCT((('CONTROL MASTER'!$S$2:$S$495=8)*('CONTROL MASTER'!$T$2:$T$495&lt;=7)*('CONTROL MASTER'!$V$2:$V$495&gt;=7)*('CONTROL MASTER'!$U$2:$U$495&lt;=1)*('CONTROL MASTER'!$W$2:$W$495&gt;=1))*ROW('CONTROL MASTER'!$S$2:$S$495))-(ROW('CONTROL MASTER'!#REF!)-1))))*(INDEX('CONTROL MASTER'!$W$2:$W$495,(SUMPRODUCT((('CONTROL MASTER'!$S$2:$S$495=8)*('CONTROL MASTER'!$T$2:$T$495&lt;=7)*('CONTROL MASTER'!$V$2:$V$495&gt;=7)*('CONTROL MASTER'!$U$2:$U$495&lt;=1)*('CONTROL MASTER'!$W$2:$W$495&gt;=1))*ROW('CONTROL MASTER'!$S$2:$S$495))-(ROW('CONTROL MASTER'!#REF!)-1)))-INDEX('CONTROL MASTER'!$U$2:$U$495,(SUMPRODUCT((('CONTROL MASTER'!$S$2:$S$495=8)*('CONTROL MASTER'!$T$2:$T$495&lt;=7)*('CONTROL MASTER'!$V$2:$V$495&gt;=7)*('CONTROL MASTER'!$U$2:$U$495&lt;=1)*('CONTROL MASTER'!$W$2:$W$495&gt;=1))*ROW('CONTROL MASTER'!$S$2:$S$495))-(ROW('CONTROL MASTER'!#REF!)-1)))+1)+(1-INDEX('CONTROL MASTER'!$U$2:$U$495,(SUMPRODUCT((('CONTROL MASTER'!$S$2:$S$495=8)*('CONTROL MASTER'!$T$2:$T$495&lt;=7)*('CONTROL MASTER'!$V$2:$V$495&gt;=7)*('CONTROL MASTER'!$U$2:$U$495&lt;=1)*('CONTROL MASTER'!$W$2:$W$495&gt;=1))*ROW('CONTROL MASTER'!$S$2:$S$495))-(ROW('CONTROL MASTER'!#REF!)-1))))+1))-1)*50+1,50))&amp;"_"&amp;INDEX('CONTROL MASTER'!$P$2:$P$495,(SUMPRODUCT((('CONTROL MASTER'!$S$2:$S$495=8)*('CONTROL MASTER'!$T$2:$T$495&lt;=7)*('CONTROL MASTER'!$V$2:$V$495&gt;=7)*('CONTROL MASTER'!$U$2:$U$495&lt;=1)*('CONTROL MASTER'!$W$2:$W$495&gt;=1))*ROW('CONTROL MASTER'!$S$2:$S$495))-(ROW('CONTROL MASTER'!#REF!)-1))),IF(SUMPRODUCT((('CONTROL MASTER'!$S$2:$S$495=8)*('CONTROL MASTER'!$Z$2:$Z$495&lt;=7)*('CONTROL MASTER'!$AB$2:$AB$495&gt;=7)*('CONTROL MASTER'!$AA$2:$AA$495&lt;=1)*('CONTROL MASTER'!$AC$2:$AC$495&gt;=1))*ROW('CONTROL MASTER'!$S$2:$S$495))&gt;0,INDEX('CONTROL MASTER'!$X$2:$X$495,(SUMPRODUCT((('CONTROL MASTER'!$S$2:$S$495=8)*('CONTROL MASTER'!$Z$2:$Z$495&lt;=7)*('CONTROL MASTER'!$AB$2:$AB$495&gt;=7)*('CONTROL MASTER'!$AA$2:$AA$495&lt;=1)*('CONTROL MASTER'!$AC$2:$AC$495&gt;=1))*ROW('CONTROL MASTER'!$S$2:$S$495))-(ROW('CONTROL MASTER'!#REF!)-1)))&amp;TRIM(MID(SUBSTITUTE(SUBSTITUTE(INDEX('CONTROL MASTER'!$N$2:$N$495,(SUMPRODUCT((('CONTROL MASTER'!$S$2:$S$495=8)*('CONTROL MASTER'!$Z$2:$Z$495&lt;=7)*('CONTROL MASTER'!$AB$2:$AB$495&gt;=7)*('CONTROL MASTER'!$AA$2:$AA$495&lt;=1)*('CONTROL MASTER'!$AC$2:$AC$495&gt;=1))*ROW('CONTROL MASTER'!$S$2:$S$495))-(ROW('CONTROL MASTER'!#REF!)-1))),":",","),",",REPT(" ",50)),(((INDEX('CONTROL MASTER'!$Y$2:$Y$495,(SUMPRODUCT((('CONTROL MASTER'!$S$2:$S$495=8)*('CONTROL MASTER'!$Z$2:$Z$495&lt;=7)*('CONTROL MASTER'!$AB$2:$AB$495&gt;=7)*('CONTROL MASTER'!$AA$2:$AA$495&lt;=1)*('CONTROL MASTER'!$AC$2:$AC$495&gt;=1))*ROW('CONTROL MASTER'!$S$2:$S$495))-(ROW('CONTROL MASTER'!#REF!)-1)))+((7-INDEX('CONTROL MASTER'!$Z$2:$Z$495,(SUMPRODUCT((('CONTROL MASTER'!$S$2:$S$495=8)*('CONTROL MASTER'!$Z$2:$Z$495&lt;=7)*('CONTROL MASTER'!$AB$2:$AB$495&gt;=7)*('CONTROL MASTER'!$AA$2:$AA$495&lt;=1)*('CONTROL MASTER'!$AC$2:$AC$495&gt;=1))*ROW('CONTROL MASTER'!$S$2:$S$495))-(ROW('CONTROL MASTER'!#REF!)-1))))*(INDEX('CONTROL MASTER'!$AC$2:$AC$495,(SUMPRODUCT((('CONTROL MASTER'!$S$2:$S$495=8)*('CONTROL MASTER'!$Z$2:$Z$495&lt;=7)*('CONTROL MASTER'!$AB$2:$AB$495&gt;=7)*('CONTROL MASTER'!$AA$2:$AA$495&lt;=1)*('CONTROL MASTER'!$AC$2:$AC$495&gt;=1))*ROW('CONTROL MASTER'!$S$2:$S$495))-(ROW('CONTROL MASTER'!#REF!)-1)))-INDEX('CONTROL MASTER'!$AA$2:$AA$495,(SUMPRODUCT((('CONTROL MASTER'!$S$2:$S$495=8)*('CONTROL MASTER'!$Z$2:$Z$495&lt;=7)*('CONTROL MASTER'!$AB$2:$AB$495&gt;=7)*('CONTROL MASTER'!$AA$2:$AA$495&lt;=1)*('CONTROL MASTER'!$AC$2:$AC$495&gt;=1))*ROW('CONTROL MASTER'!$S$2:$S$495))-(ROW('CONTROL MASTER'!#REF!)-1)))+1)+(1-INDEX('CONTROL MASTER'!$AA$2:$AA$495,(SUMPRODUCT((('CONTROL MASTER'!$S$2:$S$495=8)*('CONTROL MASTER'!$Z$2:$Z$495&lt;=7)*('CONTROL MASTER'!$AB$2:$AB$495&gt;=7)*('CONTROL MASTER'!$AA$2:$AA$495&lt;=1)*('CONTROL MASTER'!$AC$2:$AC$495&gt;=1))*ROW('CONTROL MASTER'!$S$2:$S$495))-(ROW('CONTROL MASTER'!#REF!)-1))))+1)))-1)*50+1,50))&amp;"_"&amp;INDEX('CONTROL MASTER'!$P$2:$P$495,(SUMPRODUCT((('CONTROL MASTER'!$S$2:$S$495=8)*('CONTROL MASTER'!$Z$2:$Z$495&lt;=7)*('CONTROL MASTER'!$AB$2:$AB$495&gt;=7)*('CONTROL MASTER'!$AA$2:$AA$495&lt;=1)*('CONTROL MASTER'!$AC$2:$AC$495&gt;=1))*ROW('CONTROL MASTER'!$S$2:$S$495))-(ROW('CONTROL MASTER'!#REF!)-1))),"")),"")</f>
        <v/>
      </c>
      <c r="C107" s="10" t="str">
        <f>IFERROR(IF(SUMPRODUCT((('CONTROL MASTER'!$S$2:$S$495=8)*('CONTROL MASTER'!$T$2:$T$495&lt;=7)*('CONTROL MASTER'!$V$2:$V$495&gt;=7)*('CONTROL MASTER'!$U$2:$U$495&lt;=2)*('CONTROL MASTER'!$W$2:$W$495&gt;=2))*ROW('CONTROL MASTER'!$S$2:$S$495))&gt;0,INDEX('CONTROL MASTER'!$X$2:$X$495,(SUMPRODUCT((('CONTROL MASTER'!$S$2:$S$495=8)*('CONTROL MASTER'!$T$2:$T$495&lt;=7)*('CONTROL MASTER'!$V$2:$V$495&gt;=7)*('CONTROL MASTER'!$U$2:$U$495&lt;=2)*('CONTROL MASTER'!$W$2:$W$495&gt;=2))*ROW('CONTROL MASTER'!$S$2:$S$495))-(ROW('CONTROL MASTER'!#REF!)-1)))&amp;TRIM(MID(SUBSTITUTE(SUBSTITUTE(INDEX('CONTROL MASTER'!$N$2:$N$495,(SUMPRODUCT((('CONTROL MASTER'!$S$2:$S$495=8)*('CONTROL MASTER'!$T$2:$T$495&lt;=7)*('CONTROL MASTER'!$V$2:$V$495&gt;=7)*('CONTROL MASTER'!$U$2:$U$495&lt;=2)*('CONTROL MASTER'!$W$2:$W$495&gt;=2))*ROW('CONTROL MASTER'!$S$2:$S$495))-(ROW('CONTROL MASTER'!#REF!)-1))),":",","),",",REPT(" ",50)),((((7-INDEX('CONTROL MASTER'!$T$2:$T$495,(SUMPRODUCT((('CONTROL MASTER'!$S$2:$S$495=8)*('CONTROL MASTER'!$T$2:$T$495&lt;=7)*('CONTROL MASTER'!$V$2:$V$495&gt;=7)*('CONTROL MASTER'!$U$2:$U$495&lt;=2)*('CONTROL MASTER'!$W$2:$W$495&gt;=2))*ROW('CONTROL MASTER'!$S$2:$S$495))-(ROW('CONTROL MASTER'!#REF!)-1))))*(INDEX('CONTROL MASTER'!$W$2:$W$495,(SUMPRODUCT((('CONTROL MASTER'!$S$2:$S$495=8)*('CONTROL MASTER'!$T$2:$T$495&lt;=7)*('CONTROL MASTER'!$V$2:$V$495&gt;=7)*('CONTROL MASTER'!$U$2:$U$495&lt;=2)*('CONTROL MASTER'!$W$2:$W$495&gt;=2))*ROW('CONTROL MASTER'!$S$2:$S$495))-(ROW('CONTROL MASTER'!#REF!)-1)))-INDEX('CONTROL MASTER'!$U$2:$U$495,(SUMPRODUCT((('CONTROL MASTER'!$S$2:$S$495=8)*('CONTROL MASTER'!$T$2:$T$495&lt;=7)*('CONTROL MASTER'!$V$2:$V$495&gt;=7)*('CONTROL MASTER'!$U$2:$U$495&lt;=2)*('CONTROL MASTER'!$W$2:$W$495&gt;=2))*ROW('CONTROL MASTER'!$S$2:$S$495))-(ROW('CONTROL MASTER'!#REF!)-1)))+1)+(2-INDEX('CONTROL MASTER'!$U$2:$U$495,(SUMPRODUCT((('CONTROL MASTER'!$S$2:$S$495=8)*('CONTROL MASTER'!$T$2:$T$495&lt;=7)*('CONTROL MASTER'!$V$2:$V$495&gt;=7)*('CONTROL MASTER'!$U$2:$U$495&lt;=2)*('CONTROL MASTER'!$W$2:$W$495&gt;=2))*ROW('CONTROL MASTER'!$S$2:$S$495))-(ROW('CONTROL MASTER'!#REF!)-1))))+1))-1)*50+1,50))&amp;"_"&amp;INDEX('CONTROL MASTER'!$P$2:$P$495,(SUMPRODUCT((('CONTROL MASTER'!$S$2:$S$495=8)*('CONTROL MASTER'!$T$2:$T$495&lt;=7)*('CONTROL MASTER'!$V$2:$V$495&gt;=7)*('CONTROL MASTER'!$U$2:$U$495&lt;=2)*('CONTROL MASTER'!$W$2:$W$495&gt;=2))*ROW('CONTROL MASTER'!$S$2:$S$495))-(ROW('CONTROL MASTER'!#REF!)-1))),IF(SUMPRODUCT((('CONTROL MASTER'!$S$2:$S$495=8)*('CONTROL MASTER'!$Z$2:$Z$495&lt;=7)*('CONTROL MASTER'!$AB$2:$AB$495&gt;=7)*('CONTROL MASTER'!$AA$2:$AA$495&lt;=2)*('CONTROL MASTER'!$AC$2:$AC$495&gt;=2))*ROW('CONTROL MASTER'!$S$2:$S$495))&gt;0,INDEX('CONTROL MASTER'!$X$2:$X$495,(SUMPRODUCT((('CONTROL MASTER'!$S$2:$S$495=8)*('CONTROL MASTER'!$Z$2:$Z$495&lt;=7)*('CONTROL MASTER'!$AB$2:$AB$495&gt;=7)*('CONTROL MASTER'!$AA$2:$AA$495&lt;=2)*('CONTROL MASTER'!$AC$2:$AC$495&gt;=2))*ROW('CONTROL MASTER'!$S$2:$S$495))-(ROW('CONTROL MASTER'!#REF!)-1)))&amp;TRIM(MID(SUBSTITUTE(SUBSTITUTE(INDEX('CONTROL MASTER'!$N$2:$N$495,(SUMPRODUCT((('CONTROL MASTER'!$S$2:$S$495=8)*('CONTROL MASTER'!$Z$2:$Z$495&lt;=7)*('CONTROL MASTER'!$AB$2:$AB$495&gt;=7)*('CONTROL MASTER'!$AA$2:$AA$495&lt;=2)*('CONTROL MASTER'!$AC$2:$AC$495&gt;=2))*ROW('CONTROL MASTER'!$S$2:$S$495))-(ROW('CONTROL MASTER'!#REF!)-1))),":",","),",",REPT(" ",50)),(((INDEX('CONTROL MASTER'!$Y$2:$Y$495,(SUMPRODUCT((('CONTROL MASTER'!$S$2:$S$495=8)*('CONTROL MASTER'!$Z$2:$Z$495&lt;=7)*('CONTROL MASTER'!$AB$2:$AB$495&gt;=7)*('CONTROL MASTER'!$AA$2:$AA$495&lt;=2)*('CONTROL MASTER'!$AC$2:$AC$495&gt;=2))*ROW('CONTROL MASTER'!$S$2:$S$495))-(ROW('CONTROL MASTER'!#REF!)-1)))+((7-INDEX('CONTROL MASTER'!$Z$2:$Z$495,(SUMPRODUCT((('CONTROL MASTER'!$S$2:$S$495=8)*('CONTROL MASTER'!$Z$2:$Z$495&lt;=7)*('CONTROL MASTER'!$AB$2:$AB$495&gt;=7)*('CONTROL MASTER'!$AA$2:$AA$495&lt;=2)*('CONTROL MASTER'!$AC$2:$AC$495&gt;=2))*ROW('CONTROL MASTER'!$S$2:$S$495))-(ROW('CONTROL MASTER'!#REF!)-1))))*(INDEX('CONTROL MASTER'!$AC$2:$AC$495,(SUMPRODUCT((('CONTROL MASTER'!$S$2:$S$495=8)*('CONTROL MASTER'!$Z$2:$Z$495&lt;=7)*('CONTROL MASTER'!$AB$2:$AB$495&gt;=7)*('CONTROL MASTER'!$AA$2:$AA$495&lt;=2)*('CONTROL MASTER'!$AC$2:$AC$495&gt;=2))*ROW('CONTROL MASTER'!$S$2:$S$495))-(ROW('CONTROL MASTER'!#REF!)-1)))-INDEX('CONTROL MASTER'!$AA$2:$AA$495,(SUMPRODUCT((('CONTROL MASTER'!$S$2:$S$495=8)*('CONTROL MASTER'!$Z$2:$Z$495&lt;=7)*('CONTROL MASTER'!$AB$2:$AB$495&gt;=7)*('CONTROL MASTER'!$AA$2:$AA$495&lt;=2)*('CONTROL MASTER'!$AC$2:$AC$495&gt;=2))*ROW('CONTROL MASTER'!$S$2:$S$495))-(ROW('CONTROL MASTER'!#REF!)-1)))+1)+(2-INDEX('CONTROL MASTER'!$AA$2:$AA$495,(SUMPRODUCT((('CONTROL MASTER'!$S$2:$S$495=8)*('CONTROL MASTER'!$Z$2:$Z$495&lt;=7)*('CONTROL MASTER'!$AB$2:$AB$495&gt;=7)*('CONTROL MASTER'!$AA$2:$AA$495&lt;=2)*('CONTROL MASTER'!$AC$2:$AC$495&gt;=2))*ROW('CONTROL MASTER'!$S$2:$S$495))-(ROW('CONTROL MASTER'!#REF!)-1))))+1)))-1)*50+1,50))&amp;"_"&amp;INDEX('CONTROL MASTER'!$P$2:$P$495,(SUMPRODUCT((('CONTROL MASTER'!$S$2:$S$495=8)*('CONTROL MASTER'!$Z$2:$Z$495&lt;=7)*('CONTROL MASTER'!$AB$2:$AB$495&gt;=7)*('CONTROL MASTER'!$AA$2:$AA$495&lt;=2)*('CONTROL MASTER'!$AC$2:$AC$495&gt;=2))*ROW('CONTROL MASTER'!$S$2:$S$495))-(ROW('CONTROL MASTER'!#REF!)-1))),"")),"")</f>
        <v/>
      </c>
      <c r="D107" s="10" t="str">
        <f>IFERROR(IF(SUMPRODUCT((('CONTROL MASTER'!$S$2:$S$495=8)*('CONTROL MASTER'!$T$2:$T$495&lt;=7)*('CONTROL MASTER'!$V$2:$V$495&gt;=7)*('CONTROL MASTER'!$U$2:$U$495&lt;=3)*('CONTROL MASTER'!$W$2:$W$495&gt;=3))*ROW('CONTROL MASTER'!$S$2:$S$495))&gt;0,INDEX('CONTROL MASTER'!$X$2:$X$495,(SUMPRODUCT((('CONTROL MASTER'!$S$2:$S$495=8)*('CONTROL MASTER'!$T$2:$T$495&lt;=7)*('CONTROL MASTER'!$V$2:$V$495&gt;=7)*('CONTROL MASTER'!$U$2:$U$495&lt;=3)*('CONTROL MASTER'!$W$2:$W$495&gt;=3))*ROW('CONTROL MASTER'!$S$2:$S$495))-(ROW('CONTROL MASTER'!#REF!)-1)))&amp;TRIM(MID(SUBSTITUTE(SUBSTITUTE(INDEX('CONTROL MASTER'!$N$2:$N$495,(SUMPRODUCT((('CONTROL MASTER'!$S$2:$S$495=8)*('CONTROL MASTER'!$T$2:$T$495&lt;=7)*('CONTROL MASTER'!$V$2:$V$495&gt;=7)*('CONTROL MASTER'!$U$2:$U$495&lt;=3)*('CONTROL MASTER'!$W$2:$W$495&gt;=3))*ROW('CONTROL MASTER'!$S$2:$S$495))-(ROW('CONTROL MASTER'!#REF!)-1))),":",","),",",REPT(" ",50)),((((7-INDEX('CONTROL MASTER'!$T$2:$T$495,(SUMPRODUCT((('CONTROL MASTER'!$S$2:$S$495=8)*('CONTROL MASTER'!$T$2:$T$495&lt;=7)*('CONTROL MASTER'!$V$2:$V$495&gt;=7)*('CONTROL MASTER'!$U$2:$U$495&lt;=3)*('CONTROL MASTER'!$W$2:$W$495&gt;=3))*ROW('CONTROL MASTER'!$S$2:$S$495))-(ROW('CONTROL MASTER'!#REF!)-1))))*(INDEX('CONTROL MASTER'!$W$2:$W$495,(SUMPRODUCT((('CONTROL MASTER'!$S$2:$S$495=8)*('CONTROL MASTER'!$T$2:$T$495&lt;=7)*('CONTROL MASTER'!$V$2:$V$495&gt;=7)*('CONTROL MASTER'!$U$2:$U$495&lt;=3)*('CONTROL MASTER'!$W$2:$W$495&gt;=3))*ROW('CONTROL MASTER'!$S$2:$S$495))-(ROW('CONTROL MASTER'!#REF!)-1)))-INDEX('CONTROL MASTER'!$U$2:$U$495,(SUMPRODUCT((('CONTROL MASTER'!$S$2:$S$495=8)*('CONTROL MASTER'!$T$2:$T$495&lt;=7)*('CONTROL MASTER'!$V$2:$V$495&gt;=7)*('CONTROL MASTER'!$U$2:$U$495&lt;=3)*('CONTROL MASTER'!$W$2:$W$495&gt;=3))*ROW('CONTROL MASTER'!$S$2:$S$495))-(ROW('CONTROL MASTER'!#REF!)-1)))+1)+(3-INDEX('CONTROL MASTER'!$U$2:$U$495,(SUMPRODUCT((('CONTROL MASTER'!$S$2:$S$495=8)*('CONTROL MASTER'!$T$2:$T$495&lt;=7)*('CONTROL MASTER'!$V$2:$V$495&gt;=7)*('CONTROL MASTER'!$U$2:$U$495&lt;=3)*('CONTROL MASTER'!$W$2:$W$495&gt;=3))*ROW('CONTROL MASTER'!$S$2:$S$495))-(ROW('CONTROL MASTER'!#REF!)-1))))+1))-1)*50+1,50))&amp;"_"&amp;INDEX('CONTROL MASTER'!$P$2:$P$495,(SUMPRODUCT((('CONTROL MASTER'!$S$2:$S$495=8)*('CONTROL MASTER'!$T$2:$T$495&lt;=7)*('CONTROL MASTER'!$V$2:$V$495&gt;=7)*('CONTROL MASTER'!$U$2:$U$495&lt;=3)*('CONTROL MASTER'!$W$2:$W$495&gt;=3))*ROW('CONTROL MASTER'!$S$2:$S$495))-(ROW('CONTROL MASTER'!#REF!)-1))),IF(SUMPRODUCT((('CONTROL MASTER'!$S$2:$S$495=8)*('CONTROL MASTER'!$Z$2:$Z$495&lt;=7)*('CONTROL MASTER'!$AB$2:$AB$495&gt;=7)*('CONTROL MASTER'!$AA$2:$AA$495&lt;=3)*('CONTROL MASTER'!$AC$2:$AC$495&gt;=3))*ROW('CONTROL MASTER'!$S$2:$S$495))&gt;0,INDEX('CONTROL MASTER'!$X$2:$X$495,(SUMPRODUCT((('CONTROL MASTER'!$S$2:$S$495=8)*('CONTROL MASTER'!$Z$2:$Z$495&lt;=7)*('CONTROL MASTER'!$AB$2:$AB$495&gt;=7)*('CONTROL MASTER'!$AA$2:$AA$495&lt;=3)*('CONTROL MASTER'!$AC$2:$AC$495&gt;=3))*ROW('CONTROL MASTER'!$S$2:$S$495))-(ROW('CONTROL MASTER'!#REF!)-1)))&amp;TRIM(MID(SUBSTITUTE(SUBSTITUTE(INDEX('CONTROL MASTER'!$N$2:$N$495,(SUMPRODUCT((('CONTROL MASTER'!$S$2:$S$495=8)*('CONTROL MASTER'!$Z$2:$Z$495&lt;=7)*('CONTROL MASTER'!$AB$2:$AB$495&gt;=7)*('CONTROL MASTER'!$AA$2:$AA$495&lt;=3)*('CONTROL MASTER'!$AC$2:$AC$495&gt;=3))*ROW('CONTROL MASTER'!$S$2:$S$495))-(ROW('CONTROL MASTER'!#REF!)-1))),":",","),",",REPT(" ",50)),(((INDEX('CONTROL MASTER'!$Y$2:$Y$495,(SUMPRODUCT((('CONTROL MASTER'!$S$2:$S$495=8)*('CONTROL MASTER'!$Z$2:$Z$495&lt;=7)*('CONTROL MASTER'!$AB$2:$AB$495&gt;=7)*('CONTROL MASTER'!$AA$2:$AA$495&lt;=3)*('CONTROL MASTER'!$AC$2:$AC$495&gt;=3))*ROW('CONTROL MASTER'!$S$2:$S$495))-(ROW('CONTROL MASTER'!#REF!)-1)))+((7-INDEX('CONTROL MASTER'!$Z$2:$Z$495,(SUMPRODUCT((('CONTROL MASTER'!$S$2:$S$495=8)*('CONTROL MASTER'!$Z$2:$Z$495&lt;=7)*('CONTROL MASTER'!$AB$2:$AB$495&gt;=7)*('CONTROL MASTER'!$AA$2:$AA$495&lt;=3)*('CONTROL MASTER'!$AC$2:$AC$495&gt;=3))*ROW('CONTROL MASTER'!$S$2:$S$495))-(ROW('CONTROL MASTER'!#REF!)-1))))*(INDEX('CONTROL MASTER'!$AC$2:$AC$495,(SUMPRODUCT((('CONTROL MASTER'!$S$2:$S$495=8)*('CONTROL MASTER'!$Z$2:$Z$495&lt;=7)*('CONTROL MASTER'!$AB$2:$AB$495&gt;=7)*('CONTROL MASTER'!$AA$2:$AA$495&lt;=3)*('CONTROL MASTER'!$AC$2:$AC$495&gt;=3))*ROW('CONTROL MASTER'!$S$2:$S$495))-(ROW('CONTROL MASTER'!#REF!)-1)))-INDEX('CONTROL MASTER'!$AA$2:$AA$495,(SUMPRODUCT((('CONTROL MASTER'!$S$2:$S$495=8)*('CONTROL MASTER'!$Z$2:$Z$495&lt;=7)*('CONTROL MASTER'!$AB$2:$AB$495&gt;=7)*('CONTROL MASTER'!$AA$2:$AA$495&lt;=3)*('CONTROL MASTER'!$AC$2:$AC$495&gt;=3))*ROW('CONTROL MASTER'!$S$2:$S$495))-(ROW('CONTROL MASTER'!#REF!)-1)))+1)+(3-INDEX('CONTROL MASTER'!$AA$2:$AA$495,(SUMPRODUCT((('CONTROL MASTER'!$S$2:$S$495=8)*('CONTROL MASTER'!$Z$2:$Z$495&lt;=7)*('CONTROL MASTER'!$AB$2:$AB$495&gt;=7)*('CONTROL MASTER'!$AA$2:$AA$495&lt;=3)*('CONTROL MASTER'!$AC$2:$AC$495&gt;=3))*ROW('CONTROL MASTER'!$S$2:$S$495))-(ROW('CONTROL MASTER'!#REF!)-1))))+1)))-1)*50+1,50))&amp;"_"&amp;INDEX('CONTROL MASTER'!$P$2:$P$495,(SUMPRODUCT((('CONTROL MASTER'!$S$2:$S$495=8)*('CONTROL MASTER'!$Z$2:$Z$495&lt;=7)*('CONTROL MASTER'!$AB$2:$AB$495&gt;=7)*('CONTROL MASTER'!$AA$2:$AA$495&lt;=3)*('CONTROL MASTER'!$AC$2:$AC$495&gt;=3))*ROW('CONTROL MASTER'!$S$2:$S$495))-(ROW('CONTROL MASTER'!#REF!)-1))),"")),"")</f>
        <v/>
      </c>
      <c r="E107" s="10" t="str">
        <f>IFERROR(IF(SUMPRODUCT((('CONTROL MASTER'!$S$2:$S$495=8)*('CONTROL MASTER'!$T$2:$T$495&lt;=7)*('CONTROL MASTER'!$V$2:$V$495&gt;=7)*('CONTROL MASTER'!$U$2:$U$495&lt;=4)*('CONTROL MASTER'!$W$2:$W$495&gt;=4))*ROW('CONTROL MASTER'!$S$2:$S$495))&gt;0,INDEX('CONTROL MASTER'!$X$2:$X$495,(SUMPRODUCT((('CONTROL MASTER'!$S$2:$S$495=8)*('CONTROL MASTER'!$T$2:$T$495&lt;=7)*('CONTROL MASTER'!$V$2:$V$495&gt;=7)*('CONTROL MASTER'!$U$2:$U$495&lt;=4)*('CONTROL MASTER'!$W$2:$W$495&gt;=4))*ROW('CONTROL MASTER'!$S$2:$S$495))-(ROW('CONTROL MASTER'!#REF!)-1)))&amp;TRIM(MID(SUBSTITUTE(SUBSTITUTE(INDEX('CONTROL MASTER'!$N$2:$N$495,(SUMPRODUCT((('CONTROL MASTER'!$S$2:$S$495=8)*('CONTROL MASTER'!$T$2:$T$495&lt;=7)*('CONTROL MASTER'!$V$2:$V$495&gt;=7)*('CONTROL MASTER'!$U$2:$U$495&lt;=4)*('CONTROL MASTER'!$W$2:$W$495&gt;=4))*ROW('CONTROL MASTER'!$S$2:$S$495))-(ROW('CONTROL MASTER'!#REF!)-1))),":",","),",",REPT(" ",50)),((((7-INDEX('CONTROL MASTER'!$T$2:$T$495,(SUMPRODUCT((('CONTROL MASTER'!$S$2:$S$495=8)*('CONTROL MASTER'!$T$2:$T$495&lt;=7)*('CONTROL MASTER'!$V$2:$V$495&gt;=7)*('CONTROL MASTER'!$U$2:$U$495&lt;=4)*('CONTROL MASTER'!$W$2:$W$495&gt;=4))*ROW('CONTROL MASTER'!$S$2:$S$495))-(ROW('CONTROL MASTER'!#REF!)-1))))*(INDEX('CONTROL MASTER'!$W$2:$W$495,(SUMPRODUCT((('CONTROL MASTER'!$S$2:$S$495=8)*('CONTROL MASTER'!$T$2:$T$495&lt;=7)*('CONTROL MASTER'!$V$2:$V$495&gt;=7)*('CONTROL MASTER'!$U$2:$U$495&lt;=4)*('CONTROL MASTER'!$W$2:$W$495&gt;=4))*ROW('CONTROL MASTER'!$S$2:$S$495))-(ROW('CONTROL MASTER'!#REF!)-1)))-INDEX('CONTROL MASTER'!$U$2:$U$495,(SUMPRODUCT((('CONTROL MASTER'!$S$2:$S$495=8)*('CONTROL MASTER'!$T$2:$T$495&lt;=7)*('CONTROL MASTER'!$V$2:$V$495&gt;=7)*('CONTROL MASTER'!$U$2:$U$495&lt;=4)*('CONTROL MASTER'!$W$2:$W$495&gt;=4))*ROW('CONTROL MASTER'!$S$2:$S$495))-(ROW('CONTROL MASTER'!#REF!)-1)))+1)+(4-INDEX('CONTROL MASTER'!$U$2:$U$495,(SUMPRODUCT((('CONTROL MASTER'!$S$2:$S$495=8)*('CONTROL MASTER'!$T$2:$T$495&lt;=7)*('CONTROL MASTER'!$V$2:$V$495&gt;=7)*('CONTROL MASTER'!$U$2:$U$495&lt;=4)*('CONTROL MASTER'!$W$2:$W$495&gt;=4))*ROW('CONTROL MASTER'!$S$2:$S$495))-(ROW('CONTROL MASTER'!#REF!)-1))))+1))-1)*50+1,50))&amp;"_"&amp;INDEX('CONTROL MASTER'!$P$2:$P$495,(SUMPRODUCT((('CONTROL MASTER'!$S$2:$S$495=8)*('CONTROL MASTER'!$T$2:$T$495&lt;=7)*('CONTROL MASTER'!$V$2:$V$495&gt;=7)*('CONTROL MASTER'!$U$2:$U$495&lt;=4)*('CONTROL MASTER'!$W$2:$W$495&gt;=4))*ROW('CONTROL MASTER'!$S$2:$S$495))-(ROW('CONTROL MASTER'!#REF!)-1))),IF(SUMPRODUCT((('CONTROL MASTER'!$S$2:$S$495=8)*('CONTROL MASTER'!$Z$2:$Z$495&lt;=7)*('CONTROL MASTER'!$AB$2:$AB$495&gt;=7)*('CONTROL MASTER'!$AA$2:$AA$495&lt;=4)*('CONTROL MASTER'!$AC$2:$AC$495&gt;=4))*ROW('CONTROL MASTER'!$S$2:$S$495))&gt;0,INDEX('CONTROL MASTER'!$X$2:$X$495,(SUMPRODUCT((('CONTROL MASTER'!$S$2:$S$495=8)*('CONTROL MASTER'!$Z$2:$Z$495&lt;=7)*('CONTROL MASTER'!$AB$2:$AB$495&gt;=7)*('CONTROL MASTER'!$AA$2:$AA$495&lt;=4)*('CONTROL MASTER'!$AC$2:$AC$495&gt;=4))*ROW('CONTROL MASTER'!$S$2:$S$495))-(ROW('CONTROL MASTER'!#REF!)-1)))&amp;TRIM(MID(SUBSTITUTE(SUBSTITUTE(INDEX('CONTROL MASTER'!$N$2:$N$495,(SUMPRODUCT((('CONTROL MASTER'!$S$2:$S$495=8)*('CONTROL MASTER'!$Z$2:$Z$495&lt;=7)*('CONTROL MASTER'!$AB$2:$AB$495&gt;=7)*('CONTROL MASTER'!$AA$2:$AA$495&lt;=4)*('CONTROL MASTER'!$AC$2:$AC$495&gt;=4))*ROW('CONTROL MASTER'!$S$2:$S$495))-(ROW('CONTROL MASTER'!#REF!)-1))),":",","),",",REPT(" ",50)),(((INDEX('CONTROL MASTER'!$Y$2:$Y$495,(SUMPRODUCT((('CONTROL MASTER'!$S$2:$S$495=8)*('CONTROL MASTER'!$Z$2:$Z$495&lt;=7)*('CONTROL MASTER'!$AB$2:$AB$495&gt;=7)*('CONTROL MASTER'!$AA$2:$AA$495&lt;=4)*('CONTROL MASTER'!$AC$2:$AC$495&gt;=4))*ROW('CONTROL MASTER'!$S$2:$S$495))-(ROW('CONTROL MASTER'!#REF!)-1)))+((7-INDEX('CONTROL MASTER'!$Z$2:$Z$495,(SUMPRODUCT((('CONTROL MASTER'!$S$2:$S$495=8)*('CONTROL MASTER'!$Z$2:$Z$495&lt;=7)*('CONTROL MASTER'!$AB$2:$AB$495&gt;=7)*('CONTROL MASTER'!$AA$2:$AA$495&lt;=4)*('CONTROL MASTER'!$AC$2:$AC$495&gt;=4))*ROW('CONTROL MASTER'!$S$2:$S$495))-(ROW('CONTROL MASTER'!#REF!)-1))))*(INDEX('CONTROL MASTER'!$AC$2:$AC$495,(SUMPRODUCT((('CONTROL MASTER'!$S$2:$S$495=8)*('CONTROL MASTER'!$Z$2:$Z$495&lt;=7)*('CONTROL MASTER'!$AB$2:$AB$495&gt;=7)*('CONTROL MASTER'!$AA$2:$AA$495&lt;=4)*('CONTROL MASTER'!$AC$2:$AC$495&gt;=4))*ROW('CONTROL MASTER'!$S$2:$S$495))-(ROW('CONTROL MASTER'!#REF!)-1)))-INDEX('CONTROL MASTER'!$AA$2:$AA$495,(SUMPRODUCT((('CONTROL MASTER'!$S$2:$S$495=8)*('CONTROL MASTER'!$Z$2:$Z$495&lt;=7)*('CONTROL MASTER'!$AB$2:$AB$495&gt;=7)*('CONTROL MASTER'!$AA$2:$AA$495&lt;=4)*('CONTROL MASTER'!$AC$2:$AC$495&gt;=4))*ROW('CONTROL MASTER'!$S$2:$S$495))-(ROW('CONTROL MASTER'!#REF!)-1)))+1)+(4-INDEX('CONTROL MASTER'!$AA$2:$AA$495,(SUMPRODUCT((('CONTROL MASTER'!$S$2:$S$495=8)*('CONTROL MASTER'!$Z$2:$Z$495&lt;=7)*('CONTROL MASTER'!$AB$2:$AB$495&gt;=7)*('CONTROL MASTER'!$AA$2:$AA$495&lt;=4)*('CONTROL MASTER'!$AC$2:$AC$495&gt;=4))*ROW('CONTROL MASTER'!$S$2:$S$495))-(ROW('CONTROL MASTER'!#REF!)-1))))+1)))-1)*50+1,50))&amp;"_"&amp;INDEX('CONTROL MASTER'!$P$2:$P$495,(SUMPRODUCT((('CONTROL MASTER'!$S$2:$S$495=8)*('CONTROL MASTER'!$Z$2:$Z$495&lt;=7)*('CONTROL MASTER'!$AB$2:$AB$495&gt;=7)*('CONTROL MASTER'!$AA$2:$AA$495&lt;=4)*('CONTROL MASTER'!$AC$2:$AC$495&gt;=4))*ROW('CONTROL MASTER'!$S$2:$S$495))-(ROW('CONTROL MASTER'!#REF!)-1))),"")),"")</f>
        <v/>
      </c>
      <c r="F107" s="10" t="str">
        <f>IFERROR(IF(SUMPRODUCT((('CONTROL MASTER'!$S$2:$S$495=8)*('CONTROL MASTER'!$T$2:$T$495&lt;=7)*('CONTROL MASTER'!$V$2:$V$495&gt;=7)*('CONTROL MASTER'!$U$2:$U$495&lt;=5)*('CONTROL MASTER'!$W$2:$W$495&gt;=5))*ROW('CONTROL MASTER'!$S$2:$S$495))&gt;0,INDEX('CONTROL MASTER'!$X$2:$X$495,(SUMPRODUCT((('CONTROL MASTER'!$S$2:$S$495=8)*('CONTROL MASTER'!$T$2:$T$495&lt;=7)*('CONTROL MASTER'!$V$2:$V$495&gt;=7)*('CONTROL MASTER'!$U$2:$U$495&lt;=5)*('CONTROL MASTER'!$W$2:$W$495&gt;=5))*ROW('CONTROL MASTER'!$S$2:$S$495))-(ROW('CONTROL MASTER'!#REF!)-1)))&amp;TRIM(MID(SUBSTITUTE(SUBSTITUTE(INDEX('CONTROL MASTER'!$N$2:$N$495,(SUMPRODUCT((('CONTROL MASTER'!$S$2:$S$495=8)*('CONTROL MASTER'!$T$2:$T$495&lt;=7)*('CONTROL MASTER'!$V$2:$V$495&gt;=7)*('CONTROL MASTER'!$U$2:$U$495&lt;=5)*('CONTROL MASTER'!$W$2:$W$495&gt;=5))*ROW('CONTROL MASTER'!$S$2:$S$495))-(ROW('CONTROL MASTER'!#REF!)-1))),":",","),",",REPT(" ",50)),((((7-INDEX('CONTROL MASTER'!$T$2:$T$495,(SUMPRODUCT((('CONTROL MASTER'!$S$2:$S$495=8)*('CONTROL MASTER'!$T$2:$T$495&lt;=7)*('CONTROL MASTER'!$V$2:$V$495&gt;=7)*('CONTROL MASTER'!$U$2:$U$495&lt;=5)*('CONTROL MASTER'!$W$2:$W$495&gt;=5))*ROW('CONTROL MASTER'!$S$2:$S$495))-(ROW('CONTROL MASTER'!#REF!)-1))))*(INDEX('CONTROL MASTER'!$W$2:$W$495,(SUMPRODUCT((('CONTROL MASTER'!$S$2:$S$495=8)*('CONTROL MASTER'!$T$2:$T$495&lt;=7)*('CONTROL MASTER'!$V$2:$V$495&gt;=7)*('CONTROL MASTER'!$U$2:$U$495&lt;=5)*('CONTROL MASTER'!$W$2:$W$495&gt;=5))*ROW('CONTROL MASTER'!$S$2:$S$495))-(ROW('CONTROL MASTER'!#REF!)-1)))-INDEX('CONTROL MASTER'!$U$2:$U$495,(SUMPRODUCT((('CONTROL MASTER'!$S$2:$S$495=8)*('CONTROL MASTER'!$T$2:$T$495&lt;=7)*('CONTROL MASTER'!$V$2:$V$495&gt;=7)*('CONTROL MASTER'!$U$2:$U$495&lt;=5)*('CONTROL MASTER'!$W$2:$W$495&gt;=5))*ROW('CONTROL MASTER'!$S$2:$S$495))-(ROW('CONTROL MASTER'!#REF!)-1)))+1)+(5-INDEX('CONTROL MASTER'!$U$2:$U$495,(SUMPRODUCT((('CONTROL MASTER'!$S$2:$S$495=8)*('CONTROL MASTER'!$T$2:$T$495&lt;=7)*('CONTROL MASTER'!$V$2:$V$495&gt;=7)*('CONTROL MASTER'!$U$2:$U$495&lt;=5)*('CONTROL MASTER'!$W$2:$W$495&gt;=5))*ROW('CONTROL MASTER'!$S$2:$S$495))-(ROW('CONTROL MASTER'!#REF!)-1))))+1))-1)*50+1,50))&amp;"_"&amp;INDEX('CONTROL MASTER'!$P$2:$P$495,(SUMPRODUCT((('CONTROL MASTER'!$S$2:$S$495=8)*('CONTROL MASTER'!$T$2:$T$495&lt;=7)*('CONTROL MASTER'!$V$2:$V$495&gt;=7)*('CONTROL MASTER'!$U$2:$U$495&lt;=5)*('CONTROL MASTER'!$W$2:$W$495&gt;=5))*ROW('CONTROL MASTER'!$S$2:$S$495))-(ROW('CONTROL MASTER'!#REF!)-1))),IF(SUMPRODUCT((('CONTROL MASTER'!$S$2:$S$495=8)*('CONTROL MASTER'!$Z$2:$Z$495&lt;=7)*('CONTROL MASTER'!$AB$2:$AB$495&gt;=7)*('CONTROL MASTER'!$AA$2:$AA$495&lt;=5)*('CONTROL MASTER'!$AC$2:$AC$495&gt;=5))*ROW('CONTROL MASTER'!$S$2:$S$495))&gt;0,INDEX('CONTROL MASTER'!$X$2:$X$495,(SUMPRODUCT((('CONTROL MASTER'!$S$2:$S$495=8)*('CONTROL MASTER'!$Z$2:$Z$495&lt;=7)*('CONTROL MASTER'!$AB$2:$AB$495&gt;=7)*('CONTROL MASTER'!$AA$2:$AA$495&lt;=5)*('CONTROL MASTER'!$AC$2:$AC$495&gt;=5))*ROW('CONTROL MASTER'!$S$2:$S$495))-(ROW('CONTROL MASTER'!#REF!)-1)))&amp;TRIM(MID(SUBSTITUTE(SUBSTITUTE(INDEX('CONTROL MASTER'!$N$2:$N$495,(SUMPRODUCT((('CONTROL MASTER'!$S$2:$S$495=8)*('CONTROL MASTER'!$Z$2:$Z$495&lt;=7)*('CONTROL MASTER'!$AB$2:$AB$495&gt;=7)*('CONTROL MASTER'!$AA$2:$AA$495&lt;=5)*('CONTROL MASTER'!$AC$2:$AC$495&gt;=5))*ROW('CONTROL MASTER'!$S$2:$S$495))-(ROW('CONTROL MASTER'!#REF!)-1))),":",","),",",REPT(" ",50)),(((INDEX('CONTROL MASTER'!$Y$2:$Y$495,(SUMPRODUCT((('CONTROL MASTER'!$S$2:$S$495=8)*('CONTROL MASTER'!$Z$2:$Z$495&lt;=7)*('CONTROL MASTER'!$AB$2:$AB$495&gt;=7)*('CONTROL MASTER'!$AA$2:$AA$495&lt;=5)*('CONTROL MASTER'!$AC$2:$AC$495&gt;=5))*ROW('CONTROL MASTER'!$S$2:$S$495))-(ROW('CONTROL MASTER'!#REF!)-1)))+((7-INDEX('CONTROL MASTER'!$Z$2:$Z$495,(SUMPRODUCT((('CONTROL MASTER'!$S$2:$S$495=8)*('CONTROL MASTER'!$Z$2:$Z$495&lt;=7)*('CONTROL MASTER'!$AB$2:$AB$495&gt;=7)*('CONTROL MASTER'!$AA$2:$AA$495&lt;=5)*('CONTROL MASTER'!$AC$2:$AC$495&gt;=5))*ROW('CONTROL MASTER'!$S$2:$S$495))-(ROW('CONTROL MASTER'!#REF!)-1))))*(INDEX('CONTROL MASTER'!$AC$2:$AC$495,(SUMPRODUCT((('CONTROL MASTER'!$S$2:$S$495=8)*('CONTROL MASTER'!$Z$2:$Z$495&lt;=7)*('CONTROL MASTER'!$AB$2:$AB$495&gt;=7)*('CONTROL MASTER'!$AA$2:$AA$495&lt;=5)*('CONTROL MASTER'!$AC$2:$AC$495&gt;=5))*ROW('CONTROL MASTER'!$S$2:$S$495))-(ROW('CONTROL MASTER'!#REF!)-1)))-INDEX('CONTROL MASTER'!$AA$2:$AA$495,(SUMPRODUCT((('CONTROL MASTER'!$S$2:$S$495=8)*('CONTROL MASTER'!$Z$2:$Z$495&lt;=7)*('CONTROL MASTER'!$AB$2:$AB$495&gt;=7)*('CONTROL MASTER'!$AA$2:$AA$495&lt;=5)*('CONTROL MASTER'!$AC$2:$AC$495&gt;=5))*ROW('CONTROL MASTER'!$S$2:$S$495))-(ROW('CONTROL MASTER'!#REF!)-1)))+1)+(5-INDEX('CONTROL MASTER'!$AA$2:$AA$495,(SUMPRODUCT((('CONTROL MASTER'!$S$2:$S$495=8)*('CONTROL MASTER'!$Z$2:$Z$495&lt;=7)*('CONTROL MASTER'!$AB$2:$AB$495&gt;=7)*('CONTROL MASTER'!$AA$2:$AA$495&lt;=5)*('CONTROL MASTER'!$AC$2:$AC$495&gt;=5))*ROW('CONTROL MASTER'!$S$2:$S$495))-(ROW('CONTROL MASTER'!#REF!)-1))))+1)))-1)*50+1,50))&amp;"_"&amp;INDEX('CONTROL MASTER'!$P$2:$P$495,(SUMPRODUCT((('CONTROL MASTER'!$S$2:$S$495=8)*('CONTROL MASTER'!$Z$2:$Z$495&lt;=7)*('CONTROL MASTER'!$AB$2:$AB$495&gt;=7)*('CONTROL MASTER'!$AA$2:$AA$495&lt;=5)*('CONTROL MASTER'!$AC$2:$AC$495&gt;=5))*ROW('CONTROL MASTER'!$S$2:$S$495))-(ROW('CONTROL MASTER'!#REF!)-1))),"")),"")</f>
        <v/>
      </c>
      <c r="G107" s="10" t="str">
        <f>IFERROR(IF(SUMPRODUCT((('CONTROL MASTER'!$S$2:$S$495=8)*('CONTROL MASTER'!$T$2:$T$495&lt;=7)*('CONTROL MASTER'!$V$2:$V$495&gt;=7)*('CONTROL MASTER'!$U$2:$U$495&lt;=6)*('CONTROL MASTER'!$W$2:$W$495&gt;=6))*ROW('CONTROL MASTER'!$S$2:$S$495))&gt;0,INDEX('CONTROL MASTER'!$X$2:$X$495,(SUMPRODUCT((('CONTROL MASTER'!$S$2:$S$495=8)*('CONTROL MASTER'!$T$2:$T$495&lt;=7)*('CONTROL MASTER'!$V$2:$V$495&gt;=7)*('CONTROL MASTER'!$U$2:$U$495&lt;=6)*('CONTROL MASTER'!$W$2:$W$495&gt;=6))*ROW('CONTROL MASTER'!$S$2:$S$495))-(ROW('CONTROL MASTER'!#REF!)-1)))&amp;TRIM(MID(SUBSTITUTE(SUBSTITUTE(INDEX('CONTROL MASTER'!$N$2:$N$495,(SUMPRODUCT((('CONTROL MASTER'!$S$2:$S$495=8)*('CONTROL MASTER'!$T$2:$T$495&lt;=7)*('CONTROL MASTER'!$V$2:$V$495&gt;=7)*('CONTROL MASTER'!$U$2:$U$495&lt;=6)*('CONTROL MASTER'!$W$2:$W$495&gt;=6))*ROW('CONTROL MASTER'!$S$2:$S$495))-(ROW('CONTROL MASTER'!#REF!)-1))),":",","),",",REPT(" ",50)),((((7-INDEX('CONTROL MASTER'!$T$2:$T$495,(SUMPRODUCT((('CONTROL MASTER'!$S$2:$S$495=8)*('CONTROL MASTER'!$T$2:$T$495&lt;=7)*('CONTROL MASTER'!$V$2:$V$495&gt;=7)*('CONTROL MASTER'!$U$2:$U$495&lt;=6)*('CONTROL MASTER'!$W$2:$W$495&gt;=6))*ROW('CONTROL MASTER'!$S$2:$S$495))-(ROW('CONTROL MASTER'!#REF!)-1))))*(INDEX('CONTROL MASTER'!$W$2:$W$495,(SUMPRODUCT((('CONTROL MASTER'!$S$2:$S$495=8)*('CONTROL MASTER'!$T$2:$T$495&lt;=7)*('CONTROL MASTER'!$V$2:$V$495&gt;=7)*('CONTROL MASTER'!$U$2:$U$495&lt;=6)*('CONTROL MASTER'!$W$2:$W$495&gt;=6))*ROW('CONTROL MASTER'!$S$2:$S$495))-(ROW('CONTROL MASTER'!#REF!)-1)))-INDEX('CONTROL MASTER'!$U$2:$U$495,(SUMPRODUCT((('CONTROL MASTER'!$S$2:$S$495=8)*('CONTROL MASTER'!$T$2:$T$495&lt;=7)*('CONTROL MASTER'!$V$2:$V$495&gt;=7)*('CONTROL MASTER'!$U$2:$U$495&lt;=6)*('CONTROL MASTER'!$W$2:$W$495&gt;=6))*ROW('CONTROL MASTER'!$S$2:$S$495))-(ROW('CONTROL MASTER'!#REF!)-1)))+1)+(6-INDEX('CONTROL MASTER'!$U$2:$U$495,(SUMPRODUCT((('CONTROL MASTER'!$S$2:$S$495=8)*('CONTROL MASTER'!$T$2:$T$495&lt;=7)*('CONTROL MASTER'!$V$2:$V$495&gt;=7)*('CONTROL MASTER'!$U$2:$U$495&lt;=6)*('CONTROL MASTER'!$W$2:$W$495&gt;=6))*ROW('CONTROL MASTER'!$S$2:$S$495))-(ROW('CONTROL MASTER'!#REF!)-1))))+1))-1)*50+1,50))&amp;"_"&amp;INDEX('CONTROL MASTER'!$P$2:$P$495,(SUMPRODUCT((('CONTROL MASTER'!$S$2:$S$495=8)*('CONTROL MASTER'!$T$2:$T$495&lt;=7)*('CONTROL MASTER'!$V$2:$V$495&gt;=7)*('CONTROL MASTER'!$U$2:$U$495&lt;=6)*('CONTROL MASTER'!$W$2:$W$495&gt;=6))*ROW('CONTROL MASTER'!$S$2:$S$495))-(ROW('CONTROL MASTER'!#REF!)-1))),IF(SUMPRODUCT((('CONTROL MASTER'!$S$2:$S$495=8)*('CONTROL MASTER'!$Z$2:$Z$495&lt;=7)*('CONTROL MASTER'!$AB$2:$AB$495&gt;=7)*('CONTROL MASTER'!$AA$2:$AA$495&lt;=6)*('CONTROL MASTER'!$AC$2:$AC$495&gt;=6))*ROW('CONTROL MASTER'!$S$2:$S$495))&gt;0,INDEX('CONTROL MASTER'!$X$2:$X$495,(SUMPRODUCT((('CONTROL MASTER'!$S$2:$S$495=8)*('CONTROL MASTER'!$Z$2:$Z$495&lt;=7)*('CONTROL MASTER'!$AB$2:$AB$495&gt;=7)*('CONTROL MASTER'!$AA$2:$AA$495&lt;=6)*('CONTROL MASTER'!$AC$2:$AC$495&gt;=6))*ROW('CONTROL MASTER'!$S$2:$S$495))-(ROW('CONTROL MASTER'!#REF!)-1)))&amp;TRIM(MID(SUBSTITUTE(SUBSTITUTE(INDEX('CONTROL MASTER'!$N$2:$N$495,(SUMPRODUCT((('CONTROL MASTER'!$S$2:$S$495=8)*('CONTROL MASTER'!$Z$2:$Z$495&lt;=7)*('CONTROL MASTER'!$AB$2:$AB$495&gt;=7)*('CONTROL MASTER'!$AA$2:$AA$495&lt;=6)*('CONTROL MASTER'!$AC$2:$AC$495&gt;=6))*ROW('CONTROL MASTER'!$S$2:$S$495))-(ROW('CONTROL MASTER'!#REF!)-1))),":",","),",",REPT(" ",50)),(((INDEX('CONTROL MASTER'!$Y$2:$Y$495,(SUMPRODUCT((('CONTROL MASTER'!$S$2:$S$495=8)*('CONTROL MASTER'!$Z$2:$Z$495&lt;=7)*('CONTROL MASTER'!$AB$2:$AB$495&gt;=7)*('CONTROL MASTER'!$AA$2:$AA$495&lt;=6)*('CONTROL MASTER'!$AC$2:$AC$495&gt;=6))*ROW('CONTROL MASTER'!$S$2:$S$495))-(ROW('CONTROL MASTER'!#REF!)-1)))+((7-INDEX('CONTROL MASTER'!$Z$2:$Z$495,(SUMPRODUCT((('CONTROL MASTER'!$S$2:$S$495=8)*('CONTROL MASTER'!$Z$2:$Z$495&lt;=7)*('CONTROL MASTER'!$AB$2:$AB$495&gt;=7)*('CONTROL MASTER'!$AA$2:$AA$495&lt;=6)*('CONTROL MASTER'!$AC$2:$AC$495&gt;=6))*ROW('CONTROL MASTER'!$S$2:$S$495))-(ROW('CONTROL MASTER'!#REF!)-1))))*(INDEX('CONTROL MASTER'!$AC$2:$AC$495,(SUMPRODUCT((('CONTROL MASTER'!$S$2:$S$495=8)*('CONTROL MASTER'!$Z$2:$Z$495&lt;=7)*('CONTROL MASTER'!$AB$2:$AB$495&gt;=7)*('CONTROL MASTER'!$AA$2:$AA$495&lt;=6)*('CONTROL MASTER'!$AC$2:$AC$495&gt;=6))*ROW('CONTROL MASTER'!$S$2:$S$495))-(ROW('CONTROL MASTER'!#REF!)-1)))-INDEX('CONTROL MASTER'!$AA$2:$AA$495,(SUMPRODUCT((('CONTROL MASTER'!$S$2:$S$495=8)*('CONTROL MASTER'!$Z$2:$Z$495&lt;=7)*('CONTROL MASTER'!$AB$2:$AB$495&gt;=7)*('CONTROL MASTER'!$AA$2:$AA$495&lt;=6)*('CONTROL MASTER'!$AC$2:$AC$495&gt;=6))*ROW('CONTROL MASTER'!$S$2:$S$495))-(ROW('CONTROL MASTER'!#REF!)-1)))+1)+(6-INDEX('CONTROL MASTER'!$AA$2:$AA$495,(SUMPRODUCT((('CONTROL MASTER'!$S$2:$S$495=8)*('CONTROL MASTER'!$Z$2:$Z$495&lt;=7)*('CONTROL MASTER'!$AB$2:$AB$495&gt;=7)*('CONTROL MASTER'!$AA$2:$AA$495&lt;=6)*('CONTROL MASTER'!$AC$2:$AC$495&gt;=6))*ROW('CONTROL MASTER'!$S$2:$S$495))-(ROW('CONTROL MASTER'!#REF!)-1))))+1)))-1)*50+1,50))&amp;"_"&amp;INDEX('CONTROL MASTER'!$P$2:$P$495,(SUMPRODUCT((('CONTROL MASTER'!$S$2:$S$495=8)*('CONTROL MASTER'!$Z$2:$Z$495&lt;=7)*('CONTROL MASTER'!$AB$2:$AB$495&gt;=7)*('CONTROL MASTER'!$AA$2:$AA$495&lt;=6)*('CONTROL MASTER'!$AC$2:$AC$495&gt;=6))*ROW('CONTROL MASTER'!$S$2:$S$495))-(ROW('CONTROL MASTER'!#REF!)-1))),"")),"")</f>
        <v/>
      </c>
      <c r="H107" s="10" t="str">
        <f>IFERROR(IF(SUMPRODUCT((('CONTROL MASTER'!$S$2:$S$495=8)*('CONTROL MASTER'!$T$2:$T$495&lt;=7)*('CONTROL MASTER'!$V$2:$V$495&gt;=7)*('CONTROL MASTER'!$U$2:$U$495&lt;=7)*('CONTROL MASTER'!$W$2:$W$495&gt;=7))*ROW('CONTROL MASTER'!$S$2:$S$495))&gt;0,INDEX('CONTROL MASTER'!$X$2:$X$495,(SUMPRODUCT((('CONTROL MASTER'!$S$2:$S$495=8)*('CONTROL MASTER'!$T$2:$T$495&lt;=7)*('CONTROL MASTER'!$V$2:$V$495&gt;=7)*('CONTROL MASTER'!$U$2:$U$495&lt;=7)*('CONTROL MASTER'!$W$2:$W$495&gt;=7))*ROW('CONTROL MASTER'!$S$2:$S$495))-(ROW('CONTROL MASTER'!#REF!)-1)))&amp;TRIM(MID(SUBSTITUTE(SUBSTITUTE(INDEX('CONTROL MASTER'!$N$2:$N$495,(SUMPRODUCT((('CONTROL MASTER'!$S$2:$S$495=8)*('CONTROL MASTER'!$T$2:$T$495&lt;=7)*('CONTROL MASTER'!$V$2:$V$495&gt;=7)*('CONTROL MASTER'!$U$2:$U$495&lt;=7)*('CONTROL MASTER'!$W$2:$W$495&gt;=7))*ROW('CONTROL MASTER'!$S$2:$S$495))-(ROW('CONTROL MASTER'!#REF!)-1))),":",","),",",REPT(" ",50)),((((7-INDEX('CONTROL MASTER'!$T$2:$T$495,(SUMPRODUCT((('CONTROL MASTER'!$S$2:$S$495=8)*('CONTROL MASTER'!$T$2:$T$495&lt;=7)*('CONTROL MASTER'!$V$2:$V$495&gt;=7)*('CONTROL MASTER'!$U$2:$U$495&lt;=7)*('CONTROL MASTER'!$W$2:$W$495&gt;=7))*ROW('CONTROL MASTER'!$S$2:$S$495))-(ROW('CONTROL MASTER'!#REF!)-1))))*(INDEX('CONTROL MASTER'!$W$2:$W$495,(SUMPRODUCT((('CONTROL MASTER'!$S$2:$S$495=8)*('CONTROL MASTER'!$T$2:$T$495&lt;=7)*('CONTROL MASTER'!$V$2:$V$495&gt;=7)*('CONTROL MASTER'!$U$2:$U$495&lt;=7)*('CONTROL MASTER'!$W$2:$W$495&gt;=7))*ROW('CONTROL MASTER'!$S$2:$S$495))-(ROW('CONTROL MASTER'!#REF!)-1)))-INDEX('CONTROL MASTER'!$U$2:$U$495,(SUMPRODUCT((('CONTROL MASTER'!$S$2:$S$495=8)*('CONTROL MASTER'!$T$2:$T$495&lt;=7)*('CONTROL MASTER'!$V$2:$V$495&gt;=7)*('CONTROL MASTER'!$U$2:$U$495&lt;=7)*('CONTROL MASTER'!$W$2:$W$495&gt;=7))*ROW('CONTROL MASTER'!$S$2:$S$495))-(ROW('CONTROL MASTER'!#REF!)-1)))+1)+(7-INDEX('CONTROL MASTER'!$U$2:$U$495,(SUMPRODUCT((('CONTROL MASTER'!$S$2:$S$495=8)*('CONTROL MASTER'!$T$2:$T$495&lt;=7)*('CONTROL MASTER'!$V$2:$V$495&gt;=7)*('CONTROL MASTER'!$U$2:$U$495&lt;=7)*('CONTROL MASTER'!$W$2:$W$495&gt;=7))*ROW('CONTROL MASTER'!$S$2:$S$495))-(ROW('CONTROL MASTER'!#REF!)-1))))+1))-1)*50+1,50))&amp;"_"&amp;INDEX('CONTROL MASTER'!$P$2:$P$495,(SUMPRODUCT((('CONTROL MASTER'!$S$2:$S$495=8)*('CONTROL MASTER'!$T$2:$T$495&lt;=7)*('CONTROL MASTER'!$V$2:$V$495&gt;=7)*('CONTROL MASTER'!$U$2:$U$495&lt;=7)*('CONTROL MASTER'!$W$2:$W$495&gt;=7))*ROW('CONTROL MASTER'!$S$2:$S$495))-(ROW('CONTROL MASTER'!#REF!)-1))),IF(SUMPRODUCT((('CONTROL MASTER'!$S$2:$S$495=8)*('CONTROL MASTER'!$Z$2:$Z$495&lt;=7)*('CONTROL MASTER'!$AB$2:$AB$495&gt;=7)*('CONTROL MASTER'!$AA$2:$AA$495&lt;=7)*('CONTROL MASTER'!$AC$2:$AC$495&gt;=7))*ROW('CONTROL MASTER'!$S$2:$S$495))&gt;0,INDEX('CONTROL MASTER'!$X$2:$X$495,(SUMPRODUCT((('CONTROL MASTER'!$S$2:$S$495=8)*('CONTROL MASTER'!$Z$2:$Z$495&lt;=7)*('CONTROL MASTER'!$AB$2:$AB$495&gt;=7)*('CONTROL MASTER'!$AA$2:$AA$495&lt;=7)*('CONTROL MASTER'!$AC$2:$AC$495&gt;=7))*ROW('CONTROL MASTER'!$S$2:$S$495))-(ROW('CONTROL MASTER'!#REF!)-1)))&amp;TRIM(MID(SUBSTITUTE(SUBSTITUTE(INDEX('CONTROL MASTER'!$N$2:$N$495,(SUMPRODUCT((('CONTROL MASTER'!$S$2:$S$495=8)*('CONTROL MASTER'!$Z$2:$Z$495&lt;=7)*('CONTROL MASTER'!$AB$2:$AB$495&gt;=7)*('CONTROL MASTER'!$AA$2:$AA$495&lt;=7)*('CONTROL MASTER'!$AC$2:$AC$495&gt;=7))*ROW('CONTROL MASTER'!$S$2:$S$495))-(ROW('CONTROL MASTER'!#REF!)-1))),":",","),",",REPT(" ",50)),(((INDEX('CONTROL MASTER'!$Y$2:$Y$495,(SUMPRODUCT((('CONTROL MASTER'!$S$2:$S$495=8)*('CONTROL MASTER'!$Z$2:$Z$495&lt;=7)*('CONTROL MASTER'!$AB$2:$AB$495&gt;=7)*('CONTROL MASTER'!$AA$2:$AA$495&lt;=7)*('CONTROL MASTER'!$AC$2:$AC$495&gt;=7))*ROW('CONTROL MASTER'!$S$2:$S$495))-(ROW('CONTROL MASTER'!#REF!)-1)))+((7-INDEX('CONTROL MASTER'!$Z$2:$Z$495,(SUMPRODUCT((('CONTROL MASTER'!$S$2:$S$495=8)*('CONTROL MASTER'!$Z$2:$Z$495&lt;=7)*('CONTROL MASTER'!$AB$2:$AB$495&gt;=7)*('CONTROL MASTER'!$AA$2:$AA$495&lt;=7)*('CONTROL MASTER'!$AC$2:$AC$495&gt;=7))*ROW('CONTROL MASTER'!$S$2:$S$495))-(ROW('CONTROL MASTER'!#REF!)-1))))*(INDEX('CONTROL MASTER'!$AC$2:$AC$495,(SUMPRODUCT((('CONTROL MASTER'!$S$2:$S$495=8)*('CONTROL MASTER'!$Z$2:$Z$495&lt;=7)*('CONTROL MASTER'!$AB$2:$AB$495&gt;=7)*('CONTROL MASTER'!$AA$2:$AA$495&lt;=7)*('CONTROL MASTER'!$AC$2:$AC$495&gt;=7))*ROW('CONTROL MASTER'!$S$2:$S$495))-(ROW('CONTROL MASTER'!#REF!)-1)))-INDEX('CONTROL MASTER'!$AA$2:$AA$495,(SUMPRODUCT((('CONTROL MASTER'!$S$2:$S$495=8)*('CONTROL MASTER'!$Z$2:$Z$495&lt;=7)*('CONTROL MASTER'!$AB$2:$AB$495&gt;=7)*('CONTROL MASTER'!$AA$2:$AA$495&lt;=7)*('CONTROL MASTER'!$AC$2:$AC$495&gt;=7))*ROW('CONTROL MASTER'!$S$2:$S$495))-(ROW('CONTROL MASTER'!#REF!)-1)))+1)+(7-INDEX('CONTROL MASTER'!$AA$2:$AA$495,(SUMPRODUCT((('CONTROL MASTER'!$S$2:$S$495=8)*('CONTROL MASTER'!$Z$2:$Z$495&lt;=7)*('CONTROL MASTER'!$AB$2:$AB$495&gt;=7)*('CONTROL MASTER'!$AA$2:$AA$495&lt;=7)*('CONTROL MASTER'!$AC$2:$AC$495&gt;=7))*ROW('CONTROL MASTER'!$S$2:$S$495))-(ROW('CONTROL MASTER'!#REF!)-1))))+1)))-1)*50+1,50))&amp;"_"&amp;INDEX('CONTROL MASTER'!$P$2:$P$495,(SUMPRODUCT((('CONTROL MASTER'!$S$2:$S$495=8)*('CONTROL MASTER'!$Z$2:$Z$495&lt;=7)*('CONTROL MASTER'!$AB$2:$AB$495&gt;=7)*('CONTROL MASTER'!$AA$2:$AA$495&lt;=7)*('CONTROL MASTER'!$AC$2:$AC$495&gt;=7))*ROW('CONTROL MASTER'!$S$2:$S$495))-(ROW('CONTROL MASTER'!#REF!)-1))),"")),"")</f>
        <v/>
      </c>
      <c r="I107" s="10" t="str">
        <f>IFERROR(IF(SUMPRODUCT((('CONTROL MASTER'!$S$2:$S$495=8)*('CONTROL MASTER'!$T$2:$T$495&lt;=7)*('CONTROL MASTER'!$V$2:$V$495&gt;=7)*('CONTROL MASTER'!$U$2:$U$495&lt;=8)*('CONTROL MASTER'!$W$2:$W$495&gt;=8))*ROW('CONTROL MASTER'!$S$2:$S$495))&gt;0,INDEX('CONTROL MASTER'!$X$2:$X$495,(SUMPRODUCT((('CONTROL MASTER'!$S$2:$S$495=8)*('CONTROL MASTER'!$T$2:$T$495&lt;=7)*('CONTROL MASTER'!$V$2:$V$495&gt;=7)*('CONTROL MASTER'!$U$2:$U$495&lt;=8)*('CONTROL MASTER'!$W$2:$W$495&gt;=8))*ROW('CONTROL MASTER'!$S$2:$S$495))-(ROW('CONTROL MASTER'!#REF!)-1)))&amp;TRIM(MID(SUBSTITUTE(SUBSTITUTE(INDEX('CONTROL MASTER'!$N$2:$N$495,(SUMPRODUCT((('CONTROL MASTER'!$S$2:$S$495=8)*('CONTROL MASTER'!$T$2:$T$495&lt;=7)*('CONTROL MASTER'!$V$2:$V$495&gt;=7)*('CONTROL MASTER'!$U$2:$U$495&lt;=8)*('CONTROL MASTER'!$W$2:$W$495&gt;=8))*ROW('CONTROL MASTER'!$S$2:$S$495))-(ROW('CONTROL MASTER'!#REF!)-1))),":",","),",",REPT(" ",50)),((((7-INDEX('CONTROL MASTER'!$T$2:$T$495,(SUMPRODUCT((('CONTROL MASTER'!$S$2:$S$495=8)*('CONTROL MASTER'!$T$2:$T$495&lt;=7)*('CONTROL MASTER'!$V$2:$V$495&gt;=7)*('CONTROL MASTER'!$U$2:$U$495&lt;=8)*('CONTROL MASTER'!$W$2:$W$495&gt;=8))*ROW('CONTROL MASTER'!$S$2:$S$495))-(ROW('CONTROL MASTER'!#REF!)-1))))*(INDEX('CONTROL MASTER'!$W$2:$W$495,(SUMPRODUCT((('CONTROL MASTER'!$S$2:$S$495=8)*('CONTROL MASTER'!$T$2:$T$495&lt;=7)*('CONTROL MASTER'!$V$2:$V$495&gt;=7)*('CONTROL MASTER'!$U$2:$U$495&lt;=8)*('CONTROL MASTER'!$W$2:$W$495&gt;=8))*ROW('CONTROL MASTER'!$S$2:$S$495))-(ROW('CONTROL MASTER'!#REF!)-1)))-INDEX('CONTROL MASTER'!$U$2:$U$495,(SUMPRODUCT((('CONTROL MASTER'!$S$2:$S$495=8)*('CONTROL MASTER'!$T$2:$T$495&lt;=7)*('CONTROL MASTER'!$V$2:$V$495&gt;=7)*('CONTROL MASTER'!$U$2:$U$495&lt;=8)*('CONTROL MASTER'!$W$2:$W$495&gt;=8))*ROW('CONTROL MASTER'!$S$2:$S$495))-(ROW('CONTROL MASTER'!#REF!)-1)))+1)+(8-INDEX('CONTROL MASTER'!$U$2:$U$495,(SUMPRODUCT((('CONTROL MASTER'!$S$2:$S$495=8)*('CONTROL MASTER'!$T$2:$T$495&lt;=7)*('CONTROL MASTER'!$V$2:$V$495&gt;=7)*('CONTROL MASTER'!$U$2:$U$495&lt;=8)*('CONTROL MASTER'!$W$2:$W$495&gt;=8))*ROW('CONTROL MASTER'!$S$2:$S$495))-(ROW('CONTROL MASTER'!#REF!)-1))))+1))-1)*50+1,50))&amp;"_"&amp;INDEX('CONTROL MASTER'!$P$2:$P$495,(SUMPRODUCT((('CONTROL MASTER'!$S$2:$S$495=8)*('CONTROL MASTER'!$T$2:$T$495&lt;=7)*('CONTROL MASTER'!$V$2:$V$495&gt;=7)*('CONTROL MASTER'!$U$2:$U$495&lt;=8)*('CONTROL MASTER'!$W$2:$W$495&gt;=8))*ROW('CONTROL MASTER'!$S$2:$S$495))-(ROW('CONTROL MASTER'!#REF!)-1))),IF(SUMPRODUCT((('CONTROL MASTER'!$S$2:$S$495=8)*('CONTROL MASTER'!$Z$2:$Z$495&lt;=7)*('CONTROL MASTER'!$AB$2:$AB$495&gt;=7)*('CONTROL MASTER'!$AA$2:$AA$495&lt;=8)*('CONTROL MASTER'!$AC$2:$AC$495&gt;=8))*ROW('CONTROL MASTER'!$S$2:$S$495))&gt;0,INDEX('CONTROL MASTER'!$X$2:$X$495,(SUMPRODUCT((('CONTROL MASTER'!$S$2:$S$495=8)*('CONTROL MASTER'!$Z$2:$Z$495&lt;=7)*('CONTROL MASTER'!$AB$2:$AB$495&gt;=7)*('CONTROL MASTER'!$AA$2:$AA$495&lt;=8)*('CONTROL MASTER'!$AC$2:$AC$495&gt;=8))*ROW('CONTROL MASTER'!$S$2:$S$495))-(ROW('CONTROL MASTER'!#REF!)-1)))&amp;TRIM(MID(SUBSTITUTE(SUBSTITUTE(INDEX('CONTROL MASTER'!$N$2:$N$495,(SUMPRODUCT((('CONTROL MASTER'!$S$2:$S$495=8)*('CONTROL MASTER'!$Z$2:$Z$495&lt;=7)*('CONTROL MASTER'!$AB$2:$AB$495&gt;=7)*('CONTROL MASTER'!$AA$2:$AA$495&lt;=8)*('CONTROL MASTER'!$AC$2:$AC$495&gt;=8))*ROW('CONTROL MASTER'!$S$2:$S$495))-(ROW('CONTROL MASTER'!#REF!)-1))),":",","),",",REPT(" ",50)),(((INDEX('CONTROL MASTER'!$Y$2:$Y$495,(SUMPRODUCT((('CONTROL MASTER'!$S$2:$S$495=8)*('CONTROL MASTER'!$Z$2:$Z$495&lt;=7)*('CONTROL MASTER'!$AB$2:$AB$495&gt;=7)*('CONTROL MASTER'!$AA$2:$AA$495&lt;=8)*('CONTROL MASTER'!$AC$2:$AC$495&gt;=8))*ROW('CONTROL MASTER'!$S$2:$S$495))-(ROW('CONTROL MASTER'!#REF!)-1)))+((7-INDEX('CONTROL MASTER'!$Z$2:$Z$495,(SUMPRODUCT((('CONTROL MASTER'!$S$2:$S$495=8)*('CONTROL MASTER'!$Z$2:$Z$495&lt;=7)*('CONTROL MASTER'!$AB$2:$AB$495&gt;=7)*('CONTROL MASTER'!$AA$2:$AA$495&lt;=8)*('CONTROL MASTER'!$AC$2:$AC$495&gt;=8))*ROW('CONTROL MASTER'!$S$2:$S$495))-(ROW('CONTROL MASTER'!#REF!)-1))))*(INDEX('CONTROL MASTER'!$AC$2:$AC$495,(SUMPRODUCT((('CONTROL MASTER'!$S$2:$S$495=8)*('CONTROL MASTER'!$Z$2:$Z$495&lt;=7)*('CONTROL MASTER'!$AB$2:$AB$495&gt;=7)*('CONTROL MASTER'!$AA$2:$AA$495&lt;=8)*('CONTROL MASTER'!$AC$2:$AC$495&gt;=8))*ROW('CONTROL MASTER'!$S$2:$S$495))-(ROW('CONTROL MASTER'!#REF!)-1)))-INDEX('CONTROL MASTER'!$AA$2:$AA$495,(SUMPRODUCT((('CONTROL MASTER'!$S$2:$S$495=8)*('CONTROL MASTER'!$Z$2:$Z$495&lt;=7)*('CONTROL MASTER'!$AB$2:$AB$495&gt;=7)*('CONTROL MASTER'!$AA$2:$AA$495&lt;=8)*('CONTROL MASTER'!$AC$2:$AC$495&gt;=8))*ROW('CONTROL MASTER'!$S$2:$S$495))-(ROW('CONTROL MASTER'!#REF!)-1)))+1)+(8-INDEX('CONTROL MASTER'!$AA$2:$AA$495,(SUMPRODUCT((('CONTROL MASTER'!$S$2:$S$495=8)*('CONTROL MASTER'!$Z$2:$Z$495&lt;=7)*('CONTROL MASTER'!$AB$2:$AB$495&gt;=7)*('CONTROL MASTER'!$AA$2:$AA$495&lt;=8)*('CONTROL MASTER'!$AC$2:$AC$495&gt;=8))*ROW('CONTROL MASTER'!$S$2:$S$495))-(ROW('CONTROL MASTER'!#REF!)-1))))+1)))-1)*50+1,50))&amp;"_"&amp;INDEX('CONTROL MASTER'!$P$2:$P$495,(SUMPRODUCT((('CONTROL MASTER'!$S$2:$S$495=8)*('CONTROL MASTER'!$Z$2:$Z$495&lt;=7)*('CONTROL MASTER'!$AB$2:$AB$495&gt;=7)*('CONTROL MASTER'!$AA$2:$AA$495&lt;=8)*('CONTROL MASTER'!$AC$2:$AC$495&gt;=8))*ROW('CONTROL MASTER'!$S$2:$S$495))-(ROW('CONTROL MASTER'!#REF!)-1))),"")),"")</f>
        <v/>
      </c>
      <c r="J107" s="10" t="str">
        <f>IFERROR(IF(SUMPRODUCT((('CONTROL MASTER'!$S$2:$S$495=8)*('CONTROL MASTER'!$T$2:$T$495&lt;=7)*('CONTROL MASTER'!$V$2:$V$495&gt;=7)*('CONTROL MASTER'!$U$2:$U$495&lt;=9)*('CONTROL MASTER'!$W$2:$W$495&gt;=9))*ROW('CONTROL MASTER'!$S$2:$S$495))&gt;0,INDEX('CONTROL MASTER'!$X$2:$X$495,(SUMPRODUCT((('CONTROL MASTER'!$S$2:$S$495=8)*('CONTROL MASTER'!$T$2:$T$495&lt;=7)*('CONTROL MASTER'!$V$2:$V$495&gt;=7)*('CONTROL MASTER'!$U$2:$U$495&lt;=9)*('CONTROL MASTER'!$W$2:$W$495&gt;=9))*ROW('CONTROL MASTER'!$S$2:$S$495))-(ROW('CONTROL MASTER'!#REF!)-1)))&amp;TRIM(MID(SUBSTITUTE(SUBSTITUTE(INDEX('CONTROL MASTER'!$N$2:$N$495,(SUMPRODUCT((('CONTROL MASTER'!$S$2:$S$495=8)*('CONTROL MASTER'!$T$2:$T$495&lt;=7)*('CONTROL MASTER'!$V$2:$V$495&gt;=7)*('CONTROL MASTER'!$U$2:$U$495&lt;=9)*('CONTROL MASTER'!$W$2:$W$495&gt;=9))*ROW('CONTROL MASTER'!$S$2:$S$495))-(ROW('CONTROL MASTER'!#REF!)-1))),":",","),",",REPT(" ",50)),((((7-INDEX('CONTROL MASTER'!$T$2:$T$495,(SUMPRODUCT((('CONTROL MASTER'!$S$2:$S$495=8)*('CONTROL MASTER'!$T$2:$T$495&lt;=7)*('CONTROL MASTER'!$V$2:$V$495&gt;=7)*('CONTROL MASTER'!$U$2:$U$495&lt;=9)*('CONTROL MASTER'!$W$2:$W$495&gt;=9))*ROW('CONTROL MASTER'!$S$2:$S$495))-(ROW('CONTROL MASTER'!#REF!)-1))))*(INDEX('CONTROL MASTER'!$W$2:$W$495,(SUMPRODUCT((('CONTROL MASTER'!$S$2:$S$495=8)*('CONTROL MASTER'!$T$2:$T$495&lt;=7)*('CONTROL MASTER'!$V$2:$V$495&gt;=7)*('CONTROL MASTER'!$U$2:$U$495&lt;=9)*('CONTROL MASTER'!$W$2:$W$495&gt;=9))*ROW('CONTROL MASTER'!$S$2:$S$495))-(ROW('CONTROL MASTER'!#REF!)-1)))-INDEX('CONTROL MASTER'!$U$2:$U$495,(SUMPRODUCT((('CONTROL MASTER'!$S$2:$S$495=8)*('CONTROL MASTER'!$T$2:$T$495&lt;=7)*('CONTROL MASTER'!$V$2:$V$495&gt;=7)*('CONTROL MASTER'!$U$2:$U$495&lt;=9)*('CONTROL MASTER'!$W$2:$W$495&gt;=9))*ROW('CONTROL MASTER'!$S$2:$S$495))-(ROW('CONTROL MASTER'!#REF!)-1)))+1)+(9-INDEX('CONTROL MASTER'!$U$2:$U$495,(SUMPRODUCT((('CONTROL MASTER'!$S$2:$S$495=8)*('CONTROL MASTER'!$T$2:$T$495&lt;=7)*('CONTROL MASTER'!$V$2:$V$495&gt;=7)*('CONTROL MASTER'!$U$2:$U$495&lt;=9)*('CONTROL MASTER'!$W$2:$W$495&gt;=9))*ROW('CONTROL MASTER'!$S$2:$S$495))-(ROW('CONTROL MASTER'!#REF!)-1))))+1))-1)*50+1,50))&amp;"_"&amp;INDEX('CONTROL MASTER'!$P$2:$P$495,(SUMPRODUCT((('CONTROL MASTER'!$S$2:$S$495=8)*('CONTROL MASTER'!$T$2:$T$495&lt;=7)*('CONTROL MASTER'!$V$2:$V$495&gt;=7)*('CONTROL MASTER'!$U$2:$U$495&lt;=9)*('CONTROL MASTER'!$W$2:$W$495&gt;=9))*ROW('CONTROL MASTER'!$S$2:$S$495))-(ROW('CONTROL MASTER'!#REF!)-1))),IF(SUMPRODUCT((('CONTROL MASTER'!$S$2:$S$495=8)*('CONTROL MASTER'!$Z$2:$Z$495&lt;=7)*('CONTROL MASTER'!$AB$2:$AB$495&gt;=7)*('CONTROL MASTER'!$AA$2:$AA$495&lt;=9)*('CONTROL MASTER'!$AC$2:$AC$495&gt;=9))*ROW('CONTROL MASTER'!$S$2:$S$495))&gt;0,INDEX('CONTROL MASTER'!$X$2:$X$495,(SUMPRODUCT((('CONTROL MASTER'!$S$2:$S$495=8)*('CONTROL MASTER'!$Z$2:$Z$495&lt;=7)*('CONTROL MASTER'!$AB$2:$AB$495&gt;=7)*('CONTROL MASTER'!$AA$2:$AA$495&lt;=9)*('CONTROL MASTER'!$AC$2:$AC$495&gt;=9))*ROW('CONTROL MASTER'!$S$2:$S$495))-(ROW('CONTROL MASTER'!#REF!)-1)))&amp;TRIM(MID(SUBSTITUTE(SUBSTITUTE(INDEX('CONTROL MASTER'!$N$2:$N$495,(SUMPRODUCT((('CONTROL MASTER'!$S$2:$S$495=8)*('CONTROL MASTER'!$Z$2:$Z$495&lt;=7)*('CONTROL MASTER'!$AB$2:$AB$495&gt;=7)*('CONTROL MASTER'!$AA$2:$AA$495&lt;=9)*('CONTROL MASTER'!$AC$2:$AC$495&gt;=9))*ROW('CONTROL MASTER'!$S$2:$S$495))-(ROW('CONTROL MASTER'!#REF!)-1))),":",","),",",REPT(" ",50)),(((INDEX('CONTROL MASTER'!$Y$2:$Y$495,(SUMPRODUCT((('CONTROL MASTER'!$S$2:$S$495=8)*('CONTROL MASTER'!$Z$2:$Z$495&lt;=7)*('CONTROL MASTER'!$AB$2:$AB$495&gt;=7)*('CONTROL MASTER'!$AA$2:$AA$495&lt;=9)*('CONTROL MASTER'!$AC$2:$AC$495&gt;=9))*ROW('CONTROL MASTER'!$S$2:$S$495))-(ROW('CONTROL MASTER'!#REF!)-1)))+((7-INDEX('CONTROL MASTER'!$Z$2:$Z$495,(SUMPRODUCT((('CONTROL MASTER'!$S$2:$S$495=8)*('CONTROL MASTER'!$Z$2:$Z$495&lt;=7)*('CONTROL MASTER'!$AB$2:$AB$495&gt;=7)*('CONTROL MASTER'!$AA$2:$AA$495&lt;=9)*('CONTROL MASTER'!$AC$2:$AC$495&gt;=9))*ROW('CONTROL MASTER'!$S$2:$S$495))-(ROW('CONTROL MASTER'!#REF!)-1))))*(INDEX('CONTROL MASTER'!$AC$2:$AC$495,(SUMPRODUCT((('CONTROL MASTER'!$S$2:$S$495=8)*('CONTROL MASTER'!$Z$2:$Z$495&lt;=7)*('CONTROL MASTER'!$AB$2:$AB$495&gt;=7)*('CONTROL MASTER'!$AA$2:$AA$495&lt;=9)*('CONTROL MASTER'!$AC$2:$AC$495&gt;=9))*ROW('CONTROL MASTER'!$S$2:$S$495))-(ROW('CONTROL MASTER'!#REF!)-1)))-INDEX('CONTROL MASTER'!$AA$2:$AA$495,(SUMPRODUCT((('CONTROL MASTER'!$S$2:$S$495=8)*('CONTROL MASTER'!$Z$2:$Z$495&lt;=7)*('CONTROL MASTER'!$AB$2:$AB$495&gt;=7)*('CONTROL MASTER'!$AA$2:$AA$495&lt;=9)*('CONTROL MASTER'!$AC$2:$AC$495&gt;=9))*ROW('CONTROL MASTER'!$S$2:$S$495))-(ROW('CONTROL MASTER'!#REF!)-1)))+1)+(9-INDEX('CONTROL MASTER'!$AA$2:$AA$495,(SUMPRODUCT((('CONTROL MASTER'!$S$2:$S$495=8)*('CONTROL MASTER'!$Z$2:$Z$495&lt;=7)*('CONTROL MASTER'!$AB$2:$AB$495&gt;=7)*('CONTROL MASTER'!$AA$2:$AA$495&lt;=9)*('CONTROL MASTER'!$AC$2:$AC$495&gt;=9))*ROW('CONTROL MASTER'!$S$2:$S$495))-(ROW('CONTROL MASTER'!#REF!)-1))))+1)))-1)*50+1,50))&amp;"_"&amp;INDEX('CONTROL MASTER'!$P$2:$P$495,(SUMPRODUCT((('CONTROL MASTER'!$S$2:$S$495=8)*('CONTROL MASTER'!$Z$2:$Z$495&lt;=7)*('CONTROL MASTER'!$AB$2:$AB$495&gt;=7)*('CONTROL MASTER'!$AA$2:$AA$495&lt;=9)*('CONTROL MASTER'!$AC$2:$AC$495&gt;=9))*ROW('CONTROL MASTER'!$S$2:$S$495))-(ROW('CONTROL MASTER'!#REF!)-1))),"")),"")</f>
        <v/>
      </c>
      <c r="K107" s="10" t="str">
        <f>IFERROR(IF(SUMPRODUCT((('CONTROL MASTER'!$S$2:$S$495=8)*('CONTROL MASTER'!$T$2:$T$495&lt;=7)*('CONTROL MASTER'!$V$2:$V$495&gt;=7)*('CONTROL MASTER'!$U$2:$U$495&lt;=10)*('CONTROL MASTER'!$W$2:$W$495&gt;=10))*ROW('CONTROL MASTER'!$S$2:$S$495))&gt;0,INDEX('CONTROL MASTER'!$X$2:$X$495,(SUMPRODUCT((('CONTROL MASTER'!$S$2:$S$495=8)*('CONTROL MASTER'!$T$2:$T$495&lt;=7)*('CONTROL MASTER'!$V$2:$V$495&gt;=7)*('CONTROL MASTER'!$U$2:$U$495&lt;=10)*('CONTROL MASTER'!$W$2:$W$495&gt;=10))*ROW('CONTROL MASTER'!$S$2:$S$495))-(ROW('CONTROL MASTER'!#REF!)-1)))&amp;TRIM(MID(SUBSTITUTE(SUBSTITUTE(INDEX('CONTROL MASTER'!$N$2:$N$495,(SUMPRODUCT((('CONTROL MASTER'!$S$2:$S$495=8)*('CONTROL MASTER'!$T$2:$T$495&lt;=7)*('CONTROL MASTER'!$V$2:$V$495&gt;=7)*('CONTROL MASTER'!$U$2:$U$495&lt;=10)*('CONTROL MASTER'!$W$2:$W$495&gt;=10))*ROW('CONTROL MASTER'!$S$2:$S$495))-(ROW('CONTROL MASTER'!#REF!)-1))),":",","),",",REPT(" ",50)),((((7-INDEX('CONTROL MASTER'!$T$2:$T$495,(SUMPRODUCT((('CONTROL MASTER'!$S$2:$S$495=8)*('CONTROL MASTER'!$T$2:$T$495&lt;=7)*('CONTROL MASTER'!$V$2:$V$495&gt;=7)*('CONTROL MASTER'!$U$2:$U$495&lt;=10)*('CONTROL MASTER'!$W$2:$W$495&gt;=10))*ROW('CONTROL MASTER'!$S$2:$S$495))-(ROW('CONTROL MASTER'!#REF!)-1))))*(INDEX('CONTROL MASTER'!$W$2:$W$495,(SUMPRODUCT((('CONTROL MASTER'!$S$2:$S$495=8)*('CONTROL MASTER'!$T$2:$T$495&lt;=7)*('CONTROL MASTER'!$V$2:$V$495&gt;=7)*('CONTROL MASTER'!$U$2:$U$495&lt;=10)*('CONTROL MASTER'!$W$2:$W$495&gt;=10))*ROW('CONTROL MASTER'!$S$2:$S$495))-(ROW('CONTROL MASTER'!#REF!)-1)))-INDEX('CONTROL MASTER'!$U$2:$U$495,(SUMPRODUCT((('CONTROL MASTER'!$S$2:$S$495=8)*('CONTROL MASTER'!$T$2:$T$495&lt;=7)*('CONTROL MASTER'!$V$2:$V$495&gt;=7)*('CONTROL MASTER'!$U$2:$U$495&lt;=10)*('CONTROL MASTER'!$W$2:$W$495&gt;=10))*ROW('CONTROL MASTER'!$S$2:$S$495))-(ROW('CONTROL MASTER'!#REF!)-1)))+1)+(10-INDEX('CONTROL MASTER'!$U$2:$U$495,(SUMPRODUCT((('CONTROL MASTER'!$S$2:$S$495=8)*('CONTROL MASTER'!$T$2:$T$495&lt;=7)*('CONTROL MASTER'!$V$2:$V$495&gt;=7)*('CONTROL MASTER'!$U$2:$U$495&lt;=10)*('CONTROL MASTER'!$W$2:$W$495&gt;=10))*ROW('CONTROL MASTER'!$S$2:$S$495))-(ROW('CONTROL MASTER'!#REF!)-1))))+1))-1)*50+1,50))&amp;"_"&amp;INDEX('CONTROL MASTER'!$P$2:$P$495,(SUMPRODUCT((('CONTROL MASTER'!$S$2:$S$495=8)*('CONTROL MASTER'!$T$2:$T$495&lt;=7)*('CONTROL MASTER'!$V$2:$V$495&gt;=7)*('CONTROL MASTER'!$U$2:$U$495&lt;=10)*('CONTROL MASTER'!$W$2:$W$495&gt;=10))*ROW('CONTROL MASTER'!$S$2:$S$495))-(ROW('CONTROL MASTER'!#REF!)-1))),IF(SUMPRODUCT((('CONTROL MASTER'!$S$2:$S$495=8)*('CONTROL MASTER'!$Z$2:$Z$495&lt;=7)*('CONTROL MASTER'!$AB$2:$AB$495&gt;=7)*('CONTROL MASTER'!$AA$2:$AA$495&lt;=10)*('CONTROL MASTER'!$AC$2:$AC$495&gt;=10))*ROW('CONTROL MASTER'!$S$2:$S$495))&gt;0,INDEX('CONTROL MASTER'!$X$2:$X$495,(SUMPRODUCT((('CONTROL MASTER'!$S$2:$S$495=8)*('CONTROL MASTER'!$Z$2:$Z$495&lt;=7)*('CONTROL MASTER'!$AB$2:$AB$495&gt;=7)*('CONTROL MASTER'!$AA$2:$AA$495&lt;=10)*('CONTROL MASTER'!$AC$2:$AC$495&gt;=10))*ROW('CONTROL MASTER'!$S$2:$S$495))-(ROW('CONTROL MASTER'!#REF!)-1)))&amp;TRIM(MID(SUBSTITUTE(SUBSTITUTE(INDEX('CONTROL MASTER'!$N$2:$N$495,(SUMPRODUCT((('CONTROL MASTER'!$S$2:$S$495=8)*('CONTROL MASTER'!$Z$2:$Z$495&lt;=7)*('CONTROL MASTER'!$AB$2:$AB$495&gt;=7)*('CONTROL MASTER'!$AA$2:$AA$495&lt;=10)*('CONTROL MASTER'!$AC$2:$AC$495&gt;=10))*ROW('CONTROL MASTER'!$S$2:$S$495))-(ROW('CONTROL MASTER'!#REF!)-1))),":",","),",",REPT(" ",50)),(((INDEX('CONTROL MASTER'!$Y$2:$Y$495,(SUMPRODUCT((('CONTROL MASTER'!$S$2:$S$495=8)*('CONTROL MASTER'!$Z$2:$Z$495&lt;=7)*('CONTROL MASTER'!$AB$2:$AB$495&gt;=7)*('CONTROL MASTER'!$AA$2:$AA$495&lt;=10)*('CONTROL MASTER'!$AC$2:$AC$495&gt;=10))*ROW('CONTROL MASTER'!$S$2:$S$495))-(ROW('CONTROL MASTER'!#REF!)-1)))+((7-INDEX('CONTROL MASTER'!$Z$2:$Z$495,(SUMPRODUCT((('CONTROL MASTER'!$S$2:$S$495=8)*('CONTROL MASTER'!$Z$2:$Z$495&lt;=7)*('CONTROL MASTER'!$AB$2:$AB$495&gt;=7)*('CONTROL MASTER'!$AA$2:$AA$495&lt;=10)*('CONTROL MASTER'!$AC$2:$AC$495&gt;=10))*ROW('CONTROL MASTER'!$S$2:$S$495))-(ROW('CONTROL MASTER'!#REF!)-1))))*(INDEX('CONTROL MASTER'!$AC$2:$AC$495,(SUMPRODUCT((('CONTROL MASTER'!$S$2:$S$495=8)*('CONTROL MASTER'!$Z$2:$Z$495&lt;=7)*('CONTROL MASTER'!$AB$2:$AB$495&gt;=7)*('CONTROL MASTER'!$AA$2:$AA$495&lt;=10)*('CONTROL MASTER'!$AC$2:$AC$495&gt;=10))*ROW('CONTROL MASTER'!$S$2:$S$495))-(ROW('CONTROL MASTER'!#REF!)-1)))-INDEX('CONTROL MASTER'!$AA$2:$AA$495,(SUMPRODUCT((('CONTROL MASTER'!$S$2:$S$495=8)*('CONTROL MASTER'!$Z$2:$Z$495&lt;=7)*('CONTROL MASTER'!$AB$2:$AB$495&gt;=7)*('CONTROL MASTER'!$AA$2:$AA$495&lt;=10)*('CONTROL MASTER'!$AC$2:$AC$495&gt;=10))*ROW('CONTROL MASTER'!$S$2:$S$495))-(ROW('CONTROL MASTER'!#REF!)-1)))+1)+(10-INDEX('CONTROL MASTER'!$AA$2:$AA$495,(SUMPRODUCT((('CONTROL MASTER'!$S$2:$S$495=8)*('CONTROL MASTER'!$Z$2:$Z$495&lt;=7)*('CONTROL MASTER'!$AB$2:$AB$495&gt;=7)*('CONTROL MASTER'!$AA$2:$AA$495&lt;=10)*('CONTROL MASTER'!$AC$2:$AC$495&gt;=10))*ROW('CONTROL MASTER'!$S$2:$S$495))-(ROW('CONTROL MASTER'!#REF!)-1))))+1)))-1)*50+1,50))&amp;"_"&amp;INDEX('CONTROL MASTER'!$P$2:$P$495,(SUMPRODUCT((('CONTROL MASTER'!$S$2:$S$495=8)*('CONTROL MASTER'!$Z$2:$Z$495&lt;=7)*('CONTROL MASTER'!$AB$2:$AB$495&gt;=7)*('CONTROL MASTER'!$AA$2:$AA$495&lt;=10)*('CONTROL MASTER'!$AC$2:$AC$495&gt;=10))*ROW('CONTROL MASTER'!$S$2:$S$495))-(ROW('CONTROL MASTER'!#REF!)-1))),"")),"")</f>
        <v/>
      </c>
    </row>
    <row r="108" spans="1:11" ht="15" customHeight="1" x14ac:dyDescent="0.35">
      <c r="A108" s="8" t="s">
        <v>35</v>
      </c>
      <c r="B108" s="10" t="str">
        <f>IFERROR(IF(SUMPRODUCT((('CONTROL MASTER'!$S$2:$S$495=8)*('CONTROL MASTER'!$T$2:$T$495&lt;=8)*('CONTROL MASTER'!$V$2:$V$495&gt;=8)*('CONTROL MASTER'!$U$2:$U$495&lt;=1)*('CONTROL MASTER'!$W$2:$W$495&gt;=1))*ROW('CONTROL MASTER'!$S$2:$S$495))&gt;0,INDEX('CONTROL MASTER'!$X$2:$X$495,(SUMPRODUCT((('CONTROL MASTER'!$S$2:$S$495=8)*('CONTROL MASTER'!$T$2:$T$495&lt;=8)*('CONTROL MASTER'!$V$2:$V$495&gt;=8)*('CONTROL MASTER'!$U$2:$U$495&lt;=1)*('CONTROL MASTER'!$W$2:$W$495&gt;=1))*ROW('CONTROL MASTER'!$S$2:$S$495))-(ROW('CONTROL MASTER'!#REF!)-1)))&amp;TRIM(MID(SUBSTITUTE(SUBSTITUTE(INDEX('CONTROL MASTER'!$N$2:$N$495,(SUMPRODUCT((('CONTROL MASTER'!$S$2:$S$495=8)*('CONTROL MASTER'!$T$2:$T$495&lt;=8)*('CONTROL MASTER'!$V$2:$V$495&gt;=8)*('CONTROL MASTER'!$U$2:$U$495&lt;=1)*('CONTROL MASTER'!$W$2:$W$495&gt;=1))*ROW('CONTROL MASTER'!$S$2:$S$495))-(ROW('CONTROL MASTER'!#REF!)-1))),":",","),",",REPT(" ",50)),((((8-INDEX('CONTROL MASTER'!$T$2:$T$495,(SUMPRODUCT((('CONTROL MASTER'!$S$2:$S$495=8)*('CONTROL MASTER'!$T$2:$T$495&lt;=8)*('CONTROL MASTER'!$V$2:$V$495&gt;=8)*('CONTROL MASTER'!$U$2:$U$495&lt;=1)*('CONTROL MASTER'!$W$2:$W$495&gt;=1))*ROW('CONTROL MASTER'!$S$2:$S$495))-(ROW('CONTROL MASTER'!#REF!)-1))))*(INDEX('CONTROL MASTER'!$W$2:$W$495,(SUMPRODUCT((('CONTROL MASTER'!$S$2:$S$495=8)*('CONTROL MASTER'!$T$2:$T$495&lt;=8)*('CONTROL MASTER'!$V$2:$V$495&gt;=8)*('CONTROL MASTER'!$U$2:$U$495&lt;=1)*('CONTROL MASTER'!$W$2:$W$495&gt;=1))*ROW('CONTROL MASTER'!$S$2:$S$495))-(ROW('CONTROL MASTER'!#REF!)-1)))-INDEX('CONTROL MASTER'!$U$2:$U$495,(SUMPRODUCT((('CONTROL MASTER'!$S$2:$S$495=8)*('CONTROL MASTER'!$T$2:$T$495&lt;=8)*('CONTROL MASTER'!$V$2:$V$495&gt;=8)*('CONTROL MASTER'!$U$2:$U$495&lt;=1)*('CONTROL MASTER'!$W$2:$W$495&gt;=1))*ROW('CONTROL MASTER'!$S$2:$S$495))-(ROW('CONTROL MASTER'!#REF!)-1)))+1)+(1-INDEX('CONTROL MASTER'!$U$2:$U$495,(SUMPRODUCT((('CONTROL MASTER'!$S$2:$S$495=8)*('CONTROL MASTER'!$T$2:$T$495&lt;=8)*('CONTROL MASTER'!$V$2:$V$495&gt;=8)*('CONTROL MASTER'!$U$2:$U$495&lt;=1)*('CONTROL MASTER'!$W$2:$W$495&gt;=1))*ROW('CONTROL MASTER'!$S$2:$S$495))-(ROW('CONTROL MASTER'!#REF!)-1))))+1))-1)*50+1,50))&amp;"_"&amp;INDEX('CONTROL MASTER'!$P$2:$P$495,(SUMPRODUCT((('CONTROL MASTER'!$S$2:$S$495=8)*('CONTROL MASTER'!$T$2:$T$495&lt;=8)*('CONTROL MASTER'!$V$2:$V$495&gt;=8)*('CONTROL MASTER'!$U$2:$U$495&lt;=1)*('CONTROL MASTER'!$W$2:$W$495&gt;=1))*ROW('CONTROL MASTER'!$S$2:$S$495))-(ROW('CONTROL MASTER'!#REF!)-1))),IF(SUMPRODUCT((('CONTROL MASTER'!$S$2:$S$495=8)*('CONTROL MASTER'!$Z$2:$Z$495&lt;=8)*('CONTROL MASTER'!$AB$2:$AB$495&gt;=8)*('CONTROL MASTER'!$AA$2:$AA$495&lt;=1)*('CONTROL MASTER'!$AC$2:$AC$495&gt;=1))*ROW('CONTROL MASTER'!$S$2:$S$495))&gt;0,INDEX('CONTROL MASTER'!$X$2:$X$495,(SUMPRODUCT((('CONTROL MASTER'!$S$2:$S$495=8)*('CONTROL MASTER'!$Z$2:$Z$495&lt;=8)*('CONTROL MASTER'!$AB$2:$AB$495&gt;=8)*('CONTROL MASTER'!$AA$2:$AA$495&lt;=1)*('CONTROL MASTER'!$AC$2:$AC$495&gt;=1))*ROW('CONTROL MASTER'!$S$2:$S$495))-(ROW('CONTROL MASTER'!#REF!)-1)))&amp;TRIM(MID(SUBSTITUTE(SUBSTITUTE(INDEX('CONTROL MASTER'!$N$2:$N$495,(SUMPRODUCT((('CONTROL MASTER'!$S$2:$S$495=8)*('CONTROL MASTER'!$Z$2:$Z$495&lt;=8)*('CONTROL MASTER'!$AB$2:$AB$495&gt;=8)*('CONTROL MASTER'!$AA$2:$AA$495&lt;=1)*('CONTROL MASTER'!$AC$2:$AC$495&gt;=1))*ROW('CONTROL MASTER'!$S$2:$S$495))-(ROW('CONTROL MASTER'!#REF!)-1))),":",","),",",REPT(" ",50)),(((INDEX('CONTROL MASTER'!$Y$2:$Y$495,(SUMPRODUCT((('CONTROL MASTER'!$S$2:$S$495=8)*('CONTROL MASTER'!$Z$2:$Z$495&lt;=8)*('CONTROL MASTER'!$AB$2:$AB$495&gt;=8)*('CONTROL MASTER'!$AA$2:$AA$495&lt;=1)*('CONTROL MASTER'!$AC$2:$AC$495&gt;=1))*ROW('CONTROL MASTER'!$S$2:$S$495))-(ROW('CONTROL MASTER'!#REF!)-1)))+((8-INDEX('CONTROL MASTER'!$Z$2:$Z$495,(SUMPRODUCT((('CONTROL MASTER'!$S$2:$S$495=8)*('CONTROL MASTER'!$Z$2:$Z$495&lt;=8)*('CONTROL MASTER'!$AB$2:$AB$495&gt;=8)*('CONTROL MASTER'!$AA$2:$AA$495&lt;=1)*('CONTROL MASTER'!$AC$2:$AC$495&gt;=1))*ROW('CONTROL MASTER'!$S$2:$S$495))-(ROW('CONTROL MASTER'!#REF!)-1))))*(INDEX('CONTROL MASTER'!$AC$2:$AC$495,(SUMPRODUCT((('CONTROL MASTER'!$S$2:$S$495=8)*('CONTROL MASTER'!$Z$2:$Z$495&lt;=8)*('CONTROL MASTER'!$AB$2:$AB$495&gt;=8)*('CONTROL MASTER'!$AA$2:$AA$495&lt;=1)*('CONTROL MASTER'!$AC$2:$AC$495&gt;=1))*ROW('CONTROL MASTER'!$S$2:$S$495))-(ROW('CONTROL MASTER'!#REF!)-1)))-INDEX('CONTROL MASTER'!$AA$2:$AA$495,(SUMPRODUCT((('CONTROL MASTER'!$S$2:$S$495=8)*('CONTROL MASTER'!$Z$2:$Z$495&lt;=8)*('CONTROL MASTER'!$AB$2:$AB$495&gt;=8)*('CONTROL MASTER'!$AA$2:$AA$495&lt;=1)*('CONTROL MASTER'!$AC$2:$AC$495&gt;=1))*ROW('CONTROL MASTER'!$S$2:$S$495))-(ROW('CONTROL MASTER'!#REF!)-1)))+1)+(1-INDEX('CONTROL MASTER'!$AA$2:$AA$495,(SUMPRODUCT((('CONTROL MASTER'!$S$2:$S$495=8)*('CONTROL MASTER'!$Z$2:$Z$495&lt;=8)*('CONTROL MASTER'!$AB$2:$AB$495&gt;=8)*('CONTROL MASTER'!$AA$2:$AA$495&lt;=1)*('CONTROL MASTER'!$AC$2:$AC$495&gt;=1))*ROW('CONTROL MASTER'!$S$2:$S$495))-(ROW('CONTROL MASTER'!#REF!)-1))))+1)))-1)*50+1,50))&amp;"_"&amp;INDEX('CONTROL MASTER'!$P$2:$P$495,(SUMPRODUCT((('CONTROL MASTER'!$S$2:$S$495=8)*('CONTROL MASTER'!$Z$2:$Z$495&lt;=8)*('CONTROL MASTER'!$AB$2:$AB$495&gt;=8)*('CONTROL MASTER'!$AA$2:$AA$495&lt;=1)*('CONTROL MASTER'!$AC$2:$AC$495&gt;=1))*ROW('CONTROL MASTER'!$S$2:$S$495))-(ROW('CONTROL MASTER'!#REF!)-1))),"")),"")</f>
        <v/>
      </c>
      <c r="C108" s="10" t="str">
        <f>IFERROR(IF(SUMPRODUCT((('CONTROL MASTER'!$S$2:$S$495=8)*('CONTROL MASTER'!$T$2:$T$495&lt;=8)*('CONTROL MASTER'!$V$2:$V$495&gt;=8)*('CONTROL MASTER'!$U$2:$U$495&lt;=2)*('CONTROL MASTER'!$W$2:$W$495&gt;=2))*ROW('CONTROL MASTER'!$S$2:$S$495))&gt;0,INDEX('CONTROL MASTER'!$X$2:$X$495,(SUMPRODUCT((('CONTROL MASTER'!$S$2:$S$495=8)*('CONTROL MASTER'!$T$2:$T$495&lt;=8)*('CONTROL MASTER'!$V$2:$V$495&gt;=8)*('CONTROL MASTER'!$U$2:$U$495&lt;=2)*('CONTROL MASTER'!$W$2:$W$495&gt;=2))*ROW('CONTROL MASTER'!$S$2:$S$495))-(ROW('CONTROL MASTER'!#REF!)-1)))&amp;TRIM(MID(SUBSTITUTE(SUBSTITUTE(INDEX('CONTROL MASTER'!$N$2:$N$495,(SUMPRODUCT((('CONTROL MASTER'!$S$2:$S$495=8)*('CONTROL MASTER'!$T$2:$T$495&lt;=8)*('CONTROL MASTER'!$V$2:$V$495&gt;=8)*('CONTROL MASTER'!$U$2:$U$495&lt;=2)*('CONTROL MASTER'!$W$2:$W$495&gt;=2))*ROW('CONTROL MASTER'!$S$2:$S$495))-(ROW('CONTROL MASTER'!#REF!)-1))),":",","),",",REPT(" ",50)),((((8-INDEX('CONTROL MASTER'!$T$2:$T$495,(SUMPRODUCT((('CONTROL MASTER'!$S$2:$S$495=8)*('CONTROL MASTER'!$T$2:$T$495&lt;=8)*('CONTROL MASTER'!$V$2:$V$495&gt;=8)*('CONTROL MASTER'!$U$2:$U$495&lt;=2)*('CONTROL MASTER'!$W$2:$W$495&gt;=2))*ROW('CONTROL MASTER'!$S$2:$S$495))-(ROW('CONTROL MASTER'!#REF!)-1))))*(INDEX('CONTROL MASTER'!$W$2:$W$495,(SUMPRODUCT((('CONTROL MASTER'!$S$2:$S$495=8)*('CONTROL MASTER'!$T$2:$T$495&lt;=8)*('CONTROL MASTER'!$V$2:$V$495&gt;=8)*('CONTROL MASTER'!$U$2:$U$495&lt;=2)*('CONTROL MASTER'!$W$2:$W$495&gt;=2))*ROW('CONTROL MASTER'!$S$2:$S$495))-(ROW('CONTROL MASTER'!#REF!)-1)))-INDEX('CONTROL MASTER'!$U$2:$U$495,(SUMPRODUCT((('CONTROL MASTER'!$S$2:$S$495=8)*('CONTROL MASTER'!$T$2:$T$495&lt;=8)*('CONTROL MASTER'!$V$2:$V$495&gt;=8)*('CONTROL MASTER'!$U$2:$U$495&lt;=2)*('CONTROL MASTER'!$W$2:$W$495&gt;=2))*ROW('CONTROL MASTER'!$S$2:$S$495))-(ROW('CONTROL MASTER'!#REF!)-1)))+1)+(2-INDEX('CONTROL MASTER'!$U$2:$U$495,(SUMPRODUCT((('CONTROL MASTER'!$S$2:$S$495=8)*('CONTROL MASTER'!$T$2:$T$495&lt;=8)*('CONTROL MASTER'!$V$2:$V$495&gt;=8)*('CONTROL MASTER'!$U$2:$U$495&lt;=2)*('CONTROL MASTER'!$W$2:$W$495&gt;=2))*ROW('CONTROL MASTER'!$S$2:$S$495))-(ROW('CONTROL MASTER'!#REF!)-1))))+1))-1)*50+1,50))&amp;"_"&amp;INDEX('CONTROL MASTER'!$P$2:$P$495,(SUMPRODUCT((('CONTROL MASTER'!$S$2:$S$495=8)*('CONTROL MASTER'!$T$2:$T$495&lt;=8)*('CONTROL MASTER'!$V$2:$V$495&gt;=8)*('CONTROL MASTER'!$U$2:$U$495&lt;=2)*('CONTROL MASTER'!$W$2:$W$495&gt;=2))*ROW('CONTROL MASTER'!$S$2:$S$495))-(ROW('CONTROL MASTER'!#REF!)-1))),IF(SUMPRODUCT((('CONTROL MASTER'!$S$2:$S$495=8)*('CONTROL MASTER'!$Z$2:$Z$495&lt;=8)*('CONTROL MASTER'!$AB$2:$AB$495&gt;=8)*('CONTROL MASTER'!$AA$2:$AA$495&lt;=2)*('CONTROL MASTER'!$AC$2:$AC$495&gt;=2))*ROW('CONTROL MASTER'!$S$2:$S$495))&gt;0,INDEX('CONTROL MASTER'!$X$2:$X$495,(SUMPRODUCT((('CONTROL MASTER'!$S$2:$S$495=8)*('CONTROL MASTER'!$Z$2:$Z$495&lt;=8)*('CONTROL MASTER'!$AB$2:$AB$495&gt;=8)*('CONTROL MASTER'!$AA$2:$AA$495&lt;=2)*('CONTROL MASTER'!$AC$2:$AC$495&gt;=2))*ROW('CONTROL MASTER'!$S$2:$S$495))-(ROW('CONTROL MASTER'!#REF!)-1)))&amp;TRIM(MID(SUBSTITUTE(SUBSTITUTE(INDEX('CONTROL MASTER'!$N$2:$N$495,(SUMPRODUCT((('CONTROL MASTER'!$S$2:$S$495=8)*('CONTROL MASTER'!$Z$2:$Z$495&lt;=8)*('CONTROL MASTER'!$AB$2:$AB$495&gt;=8)*('CONTROL MASTER'!$AA$2:$AA$495&lt;=2)*('CONTROL MASTER'!$AC$2:$AC$495&gt;=2))*ROW('CONTROL MASTER'!$S$2:$S$495))-(ROW('CONTROL MASTER'!#REF!)-1))),":",","),",",REPT(" ",50)),(((INDEX('CONTROL MASTER'!$Y$2:$Y$495,(SUMPRODUCT((('CONTROL MASTER'!$S$2:$S$495=8)*('CONTROL MASTER'!$Z$2:$Z$495&lt;=8)*('CONTROL MASTER'!$AB$2:$AB$495&gt;=8)*('CONTROL MASTER'!$AA$2:$AA$495&lt;=2)*('CONTROL MASTER'!$AC$2:$AC$495&gt;=2))*ROW('CONTROL MASTER'!$S$2:$S$495))-(ROW('CONTROL MASTER'!#REF!)-1)))+((8-INDEX('CONTROL MASTER'!$Z$2:$Z$495,(SUMPRODUCT((('CONTROL MASTER'!$S$2:$S$495=8)*('CONTROL MASTER'!$Z$2:$Z$495&lt;=8)*('CONTROL MASTER'!$AB$2:$AB$495&gt;=8)*('CONTROL MASTER'!$AA$2:$AA$495&lt;=2)*('CONTROL MASTER'!$AC$2:$AC$495&gt;=2))*ROW('CONTROL MASTER'!$S$2:$S$495))-(ROW('CONTROL MASTER'!#REF!)-1))))*(INDEX('CONTROL MASTER'!$AC$2:$AC$495,(SUMPRODUCT((('CONTROL MASTER'!$S$2:$S$495=8)*('CONTROL MASTER'!$Z$2:$Z$495&lt;=8)*('CONTROL MASTER'!$AB$2:$AB$495&gt;=8)*('CONTROL MASTER'!$AA$2:$AA$495&lt;=2)*('CONTROL MASTER'!$AC$2:$AC$495&gt;=2))*ROW('CONTROL MASTER'!$S$2:$S$495))-(ROW('CONTROL MASTER'!#REF!)-1)))-INDEX('CONTROL MASTER'!$AA$2:$AA$495,(SUMPRODUCT((('CONTROL MASTER'!$S$2:$S$495=8)*('CONTROL MASTER'!$Z$2:$Z$495&lt;=8)*('CONTROL MASTER'!$AB$2:$AB$495&gt;=8)*('CONTROL MASTER'!$AA$2:$AA$495&lt;=2)*('CONTROL MASTER'!$AC$2:$AC$495&gt;=2))*ROW('CONTROL MASTER'!$S$2:$S$495))-(ROW('CONTROL MASTER'!#REF!)-1)))+1)+(2-INDEX('CONTROL MASTER'!$AA$2:$AA$495,(SUMPRODUCT((('CONTROL MASTER'!$S$2:$S$495=8)*('CONTROL MASTER'!$Z$2:$Z$495&lt;=8)*('CONTROL MASTER'!$AB$2:$AB$495&gt;=8)*('CONTROL MASTER'!$AA$2:$AA$495&lt;=2)*('CONTROL MASTER'!$AC$2:$AC$495&gt;=2))*ROW('CONTROL MASTER'!$S$2:$S$495))-(ROW('CONTROL MASTER'!#REF!)-1))))+1)))-1)*50+1,50))&amp;"_"&amp;INDEX('CONTROL MASTER'!$P$2:$P$495,(SUMPRODUCT((('CONTROL MASTER'!$S$2:$S$495=8)*('CONTROL MASTER'!$Z$2:$Z$495&lt;=8)*('CONTROL MASTER'!$AB$2:$AB$495&gt;=8)*('CONTROL MASTER'!$AA$2:$AA$495&lt;=2)*('CONTROL MASTER'!$AC$2:$AC$495&gt;=2))*ROW('CONTROL MASTER'!$S$2:$S$495))-(ROW('CONTROL MASTER'!#REF!)-1))),"")),"")</f>
        <v/>
      </c>
      <c r="D108" s="10" t="str">
        <f>IFERROR(IF(SUMPRODUCT((('CONTROL MASTER'!$S$2:$S$495=8)*('CONTROL MASTER'!$T$2:$T$495&lt;=8)*('CONTROL MASTER'!$V$2:$V$495&gt;=8)*('CONTROL MASTER'!$U$2:$U$495&lt;=3)*('CONTROL MASTER'!$W$2:$W$495&gt;=3))*ROW('CONTROL MASTER'!$S$2:$S$495))&gt;0,INDEX('CONTROL MASTER'!$X$2:$X$495,(SUMPRODUCT((('CONTROL MASTER'!$S$2:$S$495=8)*('CONTROL MASTER'!$T$2:$T$495&lt;=8)*('CONTROL MASTER'!$V$2:$V$495&gt;=8)*('CONTROL MASTER'!$U$2:$U$495&lt;=3)*('CONTROL MASTER'!$W$2:$W$495&gt;=3))*ROW('CONTROL MASTER'!$S$2:$S$495))-(ROW('CONTROL MASTER'!#REF!)-1)))&amp;TRIM(MID(SUBSTITUTE(SUBSTITUTE(INDEX('CONTROL MASTER'!$N$2:$N$495,(SUMPRODUCT((('CONTROL MASTER'!$S$2:$S$495=8)*('CONTROL MASTER'!$T$2:$T$495&lt;=8)*('CONTROL MASTER'!$V$2:$V$495&gt;=8)*('CONTROL MASTER'!$U$2:$U$495&lt;=3)*('CONTROL MASTER'!$W$2:$W$495&gt;=3))*ROW('CONTROL MASTER'!$S$2:$S$495))-(ROW('CONTROL MASTER'!#REF!)-1))),":",","),",",REPT(" ",50)),((((8-INDEX('CONTROL MASTER'!$T$2:$T$495,(SUMPRODUCT((('CONTROL MASTER'!$S$2:$S$495=8)*('CONTROL MASTER'!$T$2:$T$495&lt;=8)*('CONTROL MASTER'!$V$2:$V$495&gt;=8)*('CONTROL MASTER'!$U$2:$U$495&lt;=3)*('CONTROL MASTER'!$W$2:$W$495&gt;=3))*ROW('CONTROL MASTER'!$S$2:$S$495))-(ROW('CONTROL MASTER'!#REF!)-1))))*(INDEX('CONTROL MASTER'!$W$2:$W$495,(SUMPRODUCT((('CONTROL MASTER'!$S$2:$S$495=8)*('CONTROL MASTER'!$T$2:$T$495&lt;=8)*('CONTROL MASTER'!$V$2:$V$495&gt;=8)*('CONTROL MASTER'!$U$2:$U$495&lt;=3)*('CONTROL MASTER'!$W$2:$W$495&gt;=3))*ROW('CONTROL MASTER'!$S$2:$S$495))-(ROW('CONTROL MASTER'!#REF!)-1)))-INDEX('CONTROL MASTER'!$U$2:$U$495,(SUMPRODUCT((('CONTROL MASTER'!$S$2:$S$495=8)*('CONTROL MASTER'!$T$2:$T$495&lt;=8)*('CONTROL MASTER'!$V$2:$V$495&gt;=8)*('CONTROL MASTER'!$U$2:$U$495&lt;=3)*('CONTROL MASTER'!$W$2:$W$495&gt;=3))*ROW('CONTROL MASTER'!$S$2:$S$495))-(ROW('CONTROL MASTER'!#REF!)-1)))+1)+(3-INDEX('CONTROL MASTER'!$U$2:$U$495,(SUMPRODUCT((('CONTROL MASTER'!$S$2:$S$495=8)*('CONTROL MASTER'!$T$2:$T$495&lt;=8)*('CONTROL MASTER'!$V$2:$V$495&gt;=8)*('CONTROL MASTER'!$U$2:$U$495&lt;=3)*('CONTROL MASTER'!$W$2:$W$495&gt;=3))*ROW('CONTROL MASTER'!$S$2:$S$495))-(ROW('CONTROL MASTER'!#REF!)-1))))+1))-1)*50+1,50))&amp;"_"&amp;INDEX('CONTROL MASTER'!$P$2:$P$495,(SUMPRODUCT((('CONTROL MASTER'!$S$2:$S$495=8)*('CONTROL MASTER'!$T$2:$T$495&lt;=8)*('CONTROL MASTER'!$V$2:$V$495&gt;=8)*('CONTROL MASTER'!$U$2:$U$495&lt;=3)*('CONTROL MASTER'!$W$2:$W$495&gt;=3))*ROW('CONTROL MASTER'!$S$2:$S$495))-(ROW('CONTROL MASTER'!#REF!)-1))),IF(SUMPRODUCT((('CONTROL MASTER'!$S$2:$S$495=8)*('CONTROL MASTER'!$Z$2:$Z$495&lt;=8)*('CONTROL MASTER'!$AB$2:$AB$495&gt;=8)*('CONTROL MASTER'!$AA$2:$AA$495&lt;=3)*('CONTROL MASTER'!$AC$2:$AC$495&gt;=3))*ROW('CONTROL MASTER'!$S$2:$S$495))&gt;0,INDEX('CONTROL MASTER'!$X$2:$X$495,(SUMPRODUCT((('CONTROL MASTER'!$S$2:$S$495=8)*('CONTROL MASTER'!$Z$2:$Z$495&lt;=8)*('CONTROL MASTER'!$AB$2:$AB$495&gt;=8)*('CONTROL MASTER'!$AA$2:$AA$495&lt;=3)*('CONTROL MASTER'!$AC$2:$AC$495&gt;=3))*ROW('CONTROL MASTER'!$S$2:$S$495))-(ROW('CONTROL MASTER'!#REF!)-1)))&amp;TRIM(MID(SUBSTITUTE(SUBSTITUTE(INDEX('CONTROL MASTER'!$N$2:$N$495,(SUMPRODUCT((('CONTROL MASTER'!$S$2:$S$495=8)*('CONTROL MASTER'!$Z$2:$Z$495&lt;=8)*('CONTROL MASTER'!$AB$2:$AB$495&gt;=8)*('CONTROL MASTER'!$AA$2:$AA$495&lt;=3)*('CONTROL MASTER'!$AC$2:$AC$495&gt;=3))*ROW('CONTROL MASTER'!$S$2:$S$495))-(ROW('CONTROL MASTER'!#REF!)-1))),":",","),",",REPT(" ",50)),(((INDEX('CONTROL MASTER'!$Y$2:$Y$495,(SUMPRODUCT((('CONTROL MASTER'!$S$2:$S$495=8)*('CONTROL MASTER'!$Z$2:$Z$495&lt;=8)*('CONTROL MASTER'!$AB$2:$AB$495&gt;=8)*('CONTROL MASTER'!$AA$2:$AA$495&lt;=3)*('CONTROL MASTER'!$AC$2:$AC$495&gt;=3))*ROW('CONTROL MASTER'!$S$2:$S$495))-(ROW('CONTROL MASTER'!#REF!)-1)))+((8-INDEX('CONTROL MASTER'!$Z$2:$Z$495,(SUMPRODUCT((('CONTROL MASTER'!$S$2:$S$495=8)*('CONTROL MASTER'!$Z$2:$Z$495&lt;=8)*('CONTROL MASTER'!$AB$2:$AB$495&gt;=8)*('CONTROL MASTER'!$AA$2:$AA$495&lt;=3)*('CONTROL MASTER'!$AC$2:$AC$495&gt;=3))*ROW('CONTROL MASTER'!$S$2:$S$495))-(ROW('CONTROL MASTER'!#REF!)-1))))*(INDEX('CONTROL MASTER'!$AC$2:$AC$495,(SUMPRODUCT((('CONTROL MASTER'!$S$2:$S$495=8)*('CONTROL MASTER'!$Z$2:$Z$495&lt;=8)*('CONTROL MASTER'!$AB$2:$AB$495&gt;=8)*('CONTROL MASTER'!$AA$2:$AA$495&lt;=3)*('CONTROL MASTER'!$AC$2:$AC$495&gt;=3))*ROW('CONTROL MASTER'!$S$2:$S$495))-(ROW('CONTROL MASTER'!#REF!)-1)))-INDEX('CONTROL MASTER'!$AA$2:$AA$495,(SUMPRODUCT((('CONTROL MASTER'!$S$2:$S$495=8)*('CONTROL MASTER'!$Z$2:$Z$495&lt;=8)*('CONTROL MASTER'!$AB$2:$AB$495&gt;=8)*('CONTROL MASTER'!$AA$2:$AA$495&lt;=3)*('CONTROL MASTER'!$AC$2:$AC$495&gt;=3))*ROW('CONTROL MASTER'!$S$2:$S$495))-(ROW('CONTROL MASTER'!#REF!)-1)))+1)+(3-INDEX('CONTROL MASTER'!$AA$2:$AA$495,(SUMPRODUCT((('CONTROL MASTER'!$S$2:$S$495=8)*('CONTROL MASTER'!$Z$2:$Z$495&lt;=8)*('CONTROL MASTER'!$AB$2:$AB$495&gt;=8)*('CONTROL MASTER'!$AA$2:$AA$495&lt;=3)*('CONTROL MASTER'!$AC$2:$AC$495&gt;=3))*ROW('CONTROL MASTER'!$S$2:$S$495))-(ROW('CONTROL MASTER'!#REF!)-1))))+1)))-1)*50+1,50))&amp;"_"&amp;INDEX('CONTROL MASTER'!$P$2:$P$495,(SUMPRODUCT((('CONTROL MASTER'!$S$2:$S$495=8)*('CONTROL MASTER'!$Z$2:$Z$495&lt;=8)*('CONTROL MASTER'!$AB$2:$AB$495&gt;=8)*('CONTROL MASTER'!$AA$2:$AA$495&lt;=3)*('CONTROL MASTER'!$AC$2:$AC$495&gt;=3))*ROW('CONTROL MASTER'!$S$2:$S$495))-(ROW('CONTROL MASTER'!#REF!)-1))),"")),"")</f>
        <v/>
      </c>
      <c r="E108" s="10" t="str">
        <f>IFERROR(IF(SUMPRODUCT((('CONTROL MASTER'!$S$2:$S$495=8)*('CONTROL MASTER'!$T$2:$T$495&lt;=8)*('CONTROL MASTER'!$V$2:$V$495&gt;=8)*('CONTROL MASTER'!$U$2:$U$495&lt;=4)*('CONTROL MASTER'!$W$2:$W$495&gt;=4))*ROW('CONTROL MASTER'!$S$2:$S$495))&gt;0,INDEX('CONTROL MASTER'!$X$2:$X$495,(SUMPRODUCT((('CONTROL MASTER'!$S$2:$S$495=8)*('CONTROL MASTER'!$T$2:$T$495&lt;=8)*('CONTROL MASTER'!$V$2:$V$495&gt;=8)*('CONTROL MASTER'!$U$2:$U$495&lt;=4)*('CONTROL MASTER'!$W$2:$W$495&gt;=4))*ROW('CONTROL MASTER'!$S$2:$S$495))-(ROW('CONTROL MASTER'!#REF!)-1)))&amp;TRIM(MID(SUBSTITUTE(SUBSTITUTE(INDEX('CONTROL MASTER'!$N$2:$N$495,(SUMPRODUCT((('CONTROL MASTER'!$S$2:$S$495=8)*('CONTROL MASTER'!$T$2:$T$495&lt;=8)*('CONTROL MASTER'!$V$2:$V$495&gt;=8)*('CONTROL MASTER'!$U$2:$U$495&lt;=4)*('CONTROL MASTER'!$W$2:$W$495&gt;=4))*ROW('CONTROL MASTER'!$S$2:$S$495))-(ROW('CONTROL MASTER'!#REF!)-1))),":",","),",",REPT(" ",50)),((((8-INDEX('CONTROL MASTER'!$T$2:$T$495,(SUMPRODUCT((('CONTROL MASTER'!$S$2:$S$495=8)*('CONTROL MASTER'!$T$2:$T$495&lt;=8)*('CONTROL MASTER'!$V$2:$V$495&gt;=8)*('CONTROL MASTER'!$U$2:$U$495&lt;=4)*('CONTROL MASTER'!$W$2:$W$495&gt;=4))*ROW('CONTROL MASTER'!$S$2:$S$495))-(ROW('CONTROL MASTER'!#REF!)-1))))*(INDEX('CONTROL MASTER'!$W$2:$W$495,(SUMPRODUCT((('CONTROL MASTER'!$S$2:$S$495=8)*('CONTROL MASTER'!$T$2:$T$495&lt;=8)*('CONTROL MASTER'!$V$2:$V$495&gt;=8)*('CONTROL MASTER'!$U$2:$U$495&lt;=4)*('CONTROL MASTER'!$W$2:$W$495&gt;=4))*ROW('CONTROL MASTER'!$S$2:$S$495))-(ROW('CONTROL MASTER'!#REF!)-1)))-INDEX('CONTROL MASTER'!$U$2:$U$495,(SUMPRODUCT((('CONTROL MASTER'!$S$2:$S$495=8)*('CONTROL MASTER'!$T$2:$T$495&lt;=8)*('CONTROL MASTER'!$V$2:$V$495&gt;=8)*('CONTROL MASTER'!$U$2:$U$495&lt;=4)*('CONTROL MASTER'!$W$2:$W$495&gt;=4))*ROW('CONTROL MASTER'!$S$2:$S$495))-(ROW('CONTROL MASTER'!#REF!)-1)))+1)+(4-INDEX('CONTROL MASTER'!$U$2:$U$495,(SUMPRODUCT((('CONTROL MASTER'!$S$2:$S$495=8)*('CONTROL MASTER'!$T$2:$T$495&lt;=8)*('CONTROL MASTER'!$V$2:$V$495&gt;=8)*('CONTROL MASTER'!$U$2:$U$495&lt;=4)*('CONTROL MASTER'!$W$2:$W$495&gt;=4))*ROW('CONTROL MASTER'!$S$2:$S$495))-(ROW('CONTROL MASTER'!#REF!)-1))))+1))-1)*50+1,50))&amp;"_"&amp;INDEX('CONTROL MASTER'!$P$2:$P$495,(SUMPRODUCT((('CONTROL MASTER'!$S$2:$S$495=8)*('CONTROL MASTER'!$T$2:$T$495&lt;=8)*('CONTROL MASTER'!$V$2:$V$495&gt;=8)*('CONTROL MASTER'!$U$2:$U$495&lt;=4)*('CONTROL MASTER'!$W$2:$W$495&gt;=4))*ROW('CONTROL MASTER'!$S$2:$S$495))-(ROW('CONTROL MASTER'!#REF!)-1))),IF(SUMPRODUCT((('CONTROL MASTER'!$S$2:$S$495=8)*('CONTROL MASTER'!$Z$2:$Z$495&lt;=8)*('CONTROL MASTER'!$AB$2:$AB$495&gt;=8)*('CONTROL MASTER'!$AA$2:$AA$495&lt;=4)*('CONTROL MASTER'!$AC$2:$AC$495&gt;=4))*ROW('CONTROL MASTER'!$S$2:$S$495))&gt;0,INDEX('CONTROL MASTER'!$X$2:$X$495,(SUMPRODUCT((('CONTROL MASTER'!$S$2:$S$495=8)*('CONTROL MASTER'!$Z$2:$Z$495&lt;=8)*('CONTROL MASTER'!$AB$2:$AB$495&gt;=8)*('CONTROL MASTER'!$AA$2:$AA$495&lt;=4)*('CONTROL MASTER'!$AC$2:$AC$495&gt;=4))*ROW('CONTROL MASTER'!$S$2:$S$495))-(ROW('CONTROL MASTER'!#REF!)-1)))&amp;TRIM(MID(SUBSTITUTE(SUBSTITUTE(INDEX('CONTROL MASTER'!$N$2:$N$495,(SUMPRODUCT((('CONTROL MASTER'!$S$2:$S$495=8)*('CONTROL MASTER'!$Z$2:$Z$495&lt;=8)*('CONTROL MASTER'!$AB$2:$AB$495&gt;=8)*('CONTROL MASTER'!$AA$2:$AA$495&lt;=4)*('CONTROL MASTER'!$AC$2:$AC$495&gt;=4))*ROW('CONTROL MASTER'!$S$2:$S$495))-(ROW('CONTROL MASTER'!#REF!)-1))),":",","),",",REPT(" ",50)),(((INDEX('CONTROL MASTER'!$Y$2:$Y$495,(SUMPRODUCT((('CONTROL MASTER'!$S$2:$S$495=8)*('CONTROL MASTER'!$Z$2:$Z$495&lt;=8)*('CONTROL MASTER'!$AB$2:$AB$495&gt;=8)*('CONTROL MASTER'!$AA$2:$AA$495&lt;=4)*('CONTROL MASTER'!$AC$2:$AC$495&gt;=4))*ROW('CONTROL MASTER'!$S$2:$S$495))-(ROW('CONTROL MASTER'!#REF!)-1)))+((8-INDEX('CONTROL MASTER'!$Z$2:$Z$495,(SUMPRODUCT((('CONTROL MASTER'!$S$2:$S$495=8)*('CONTROL MASTER'!$Z$2:$Z$495&lt;=8)*('CONTROL MASTER'!$AB$2:$AB$495&gt;=8)*('CONTROL MASTER'!$AA$2:$AA$495&lt;=4)*('CONTROL MASTER'!$AC$2:$AC$495&gt;=4))*ROW('CONTROL MASTER'!$S$2:$S$495))-(ROW('CONTROL MASTER'!#REF!)-1))))*(INDEX('CONTROL MASTER'!$AC$2:$AC$495,(SUMPRODUCT((('CONTROL MASTER'!$S$2:$S$495=8)*('CONTROL MASTER'!$Z$2:$Z$495&lt;=8)*('CONTROL MASTER'!$AB$2:$AB$495&gt;=8)*('CONTROL MASTER'!$AA$2:$AA$495&lt;=4)*('CONTROL MASTER'!$AC$2:$AC$495&gt;=4))*ROW('CONTROL MASTER'!$S$2:$S$495))-(ROW('CONTROL MASTER'!#REF!)-1)))-INDEX('CONTROL MASTER'!$AA$2:$AA$495,(SUMPRODUCT((('CONTROL MASTER'!$S$2:$S$495=8)*('CONTROL MASTER'!$Z$2:$Z$495&lt;=8)*('CONTROL MASTER'!$AB$2:$AB$495&gt;=8)*('CONTROL MASTER'!$AA$2:$AA$495&lt;=4)*('CONTROL MASTER'!$AC$2:$AC$495&gt;=4))*ROW('CONTROL MASTER'!$S$2:$S$495))-(ROW('CONTROL MASTER'!#REF!)-1)))+1)+(4-INDEX('CONTROL MASTER'!$AA$2:$AA$495,(SUMPRODUCT((('CONTROL MASTER'!$S$2:$S$495=8)*('CONTROL MASTER'!$Z$2:$Z$495&lt;=8)*('CONTROL MASTER'!$AB$2:$AB$495&gt;=8)*('CONTROL MASTER'!$AA$2:$AA$495&lt;=4)*('CONTROL MASTER'!$AC$2:$AC$495&gt;=4))*ROW('CONTROL MASTER'!$S$2:$S$495))-(ROW('CONTROL MASTER'!#REF!)-1))))+1)))-1)*50+1,50))&amp;"_"&amp;INDEX('CONTROL MASTER'!$P$2:$P$495,(SUMPRODUCT((('CONTROL MASTER'!$S$2:$S$495=8)*('CONTROL MASTER'!$Z$2:$Z$495&lt;=8)*('CONTROL MASTER'!$AB$2:$AB$495&gt;=8)*('CONTROL MASTER'!$AA$2:$AA$495&lt;=4)*('CONTROL MASTER'!$AC$2:$AC$495&gt;=4))*ROW('CONTROL MASTER'!$S$2:$S$495))-(ROW('CONTROL MASTER'!#REF!)-1))),"")),"")</f>
        <v/>
      </c>
      <c r="F108" s="10" t="str">
        <f>IFERROR(IF(SUMPRODUCT((('CONTROL MASTER'!$S$2:$S$495=8)*('CONTROL MASTER'!$T$2:$T$495&lt;=8)*('CONTROL MASTER'!$V$2:$V$495&gt;=8)*('CONTROL MASTER'!$U$2:$U$495&lt;=5)*('CONTROL MASTER'!$W$2:$W$495&gt;=5))*ROW('CONTROL MASTER'!$S$2:$S$495))&gt;0,INDEX('CONTROL MASTER'!$X$2:$X$495,(SUMPRODUCT((('CONTROL MASTER'!$S$2:$S$495=8)*('CONTROL MASTER'!$T$2:$T$495&lt;=8)*('CONTROL MASTER'!$V$2:$V$495&gt;=8)*('CONTROL MASTER'!$U$2:$U$495&lt;=5)*('CONTROL MASTER'!$W$2:$W$495&gt;=5))*ROW('CONTROL MASTER'!$S$2:$S$495))-(ROW('CONTROL MASTER'!#REF!)-1)))&amp;TRIM(MID(SUBSTITUTE(SUBSTITUTE(INDEX('CONTROL MASTER'!$N$2:$N$495,(SUMPRODUCT((('CONTROL MASTER'!$S$2:$S$495=8)*('CONTROL MASTER'!$T$2:$T$495&lt;=8)*('CONTROL MASTER'!$V$2:$V$495&gt;=8)*('CONTROL MASTER'!$U$2:$U$495&lt;=5)*('CONTROL MASTER'!$W$2:$W$495&gt;=5))*ROW('CONTROL MASTER'!$S$2:$S$495))-(ROW('CONTROL MASTER'!#REF!)-1))),":",","),",",REPT(" ",50)),((((8-INDEX('CONTROL MASTER'!$T$2:$T$495,(SUMPRODUCT((('CONTROL MASTER'!$S$2:$S$495=8)*('CONTROL MASTER'!$T$2:$T$495&lt;=8)*('CONTROL MASTER'!$V$2:$V$495&gt;=8)*('CONTROL MASTER'!$U$2:$U$495&lt;=5)*('CONTROL MASTER'!$W$2:$W$495&gt;=5))*ROW('CONTROL MASTER'!$S$2:$S$495))-(ROW('CONTROL MASTER'!#REF!)-1))))*(INDEX('CONTROL MASTER'!$W$2:$W$495,(SUMPRODUCT((('CONTROL MASTER'!$S$2:$S$495=8)*('CONTROL MASTER'!$T$2:$T$495&lt;=8)*('CONTROL MASTER'!$V$2:$V$495&gt;=8)*('CONTROL MASTER'!$U$2:$U$495&lt;=5)*('CONTROL MASTER'!$W$2:$W$495&gt;=5))*ROW('CONTROL MASTER'!$S$2:$S$495))-(ROW('CONTROL MASTER'!#REF!)-1)))-INDEX('CONTROL MASTER'!$U$2:$U$495,(SUMPRODUCT((('CONTROL MASTER'!$S$2:$S$495=8)*('CONTROL MASTER'!$T$2:$T$495&lt;=8)*('CONTROL MASTER'!$V$2:$V$495&gt;=8)*('CONTROL MASTER'!$U$2:$U$495&lt;=5)*('CONTROL MASTER'!$W$2:$W$495&gt;=5))*ROW('CONTROL MASTER'!$S$2:$S$495))-(ROW('CONTROL MASTER'!#REF!)-1)))+1)+(5-INDEX('CONTROL MASTER'!$U$2:$U$495,(SUMPRODUCT((('CONTROL MASTER'!$S$2:$S$495=8)*('CONTROL MASTER'!$T$2:$T$495&lt;=8)*('CONTROL MASTER'!$V$2:$V$495&gt;=8)*('CONTROL MASTER'!$U$2:$U$495&lt;=5)*('CONTROL MASTER'!$W$2:$W$495&gt;=5))*ROW('CONTROL MASTER'!$S$2:$S$495))-(ROW('CONTROL MASTER'!#REF!)-1))))+1))-1)*50+1,50))&amp;"_"&amp;INDEX('CONTROL MASTER'!$P$2:$P$495,(SUMPRODUCT((('CONTROL MASTER'!$S$2:$S$495=8)*('CONTROL MASTER'!$T$2:$T$495&lt;=8)*('CONTROL MASTER'!$V$2:$V$495&gt;=8)*('CONTROL MASTER'!$U$2:$U$495&lt;=5)*('CONTROL MASTER'!$W$2:$W$495&gt;=5))*ROW('CONTROL MASTER'!$S$2:$S$495))-(ROW('CONTROL MASTER'!#REF!)-1))),IF(SUMPRODUCT((('CONTROL MASTER'!$S$2:$S$495=8)*('CONTROL MASTER'!$Z$2:$Z$495&lt;=8)*('CONTROL MASTER'!$AB$2:$AB$495&gt;=8)*('CONTROL MASTER'!$AA$2:$AA$495&lt;=5)*('CONTROL MASTER'!$AC$2:$AC$495&gt;=5))*ROW('CONTROL MASTER'!$S$2:$S$495))&gt;0,INDEX('CONTROL MASTER'!$X$2:$X$495,(SUMPRODUCT((('CONTROL MASTER'!$S$2:$S$495=8)*('CONTROL MASTER'!$Z$2:$Z$495&lt;=8)*('CONTROL MASTER'!$AB$2:$AB$495&gt;=8)*('CONTROL MASTER'!$AA$2:$AA$495&lt;=5)*('CONTROL MASTER'!$AC$2:$AC$495&gt;=5))*ROW('CONTROL MASTER'!$S$2:$S$495))-(ROW('CONTROL MASTER'!#REF!)-1)))&amp;TRIM(MID(SUBSTITUTE(SUBSTITUTE(INDEX('CONTROL MASTER'!$N$2:$N$495,(SUMPRODUCT((('CONTROL MASTER'!$S$2:$S$495=8)*('CONTROL MASTER'!$Z$2:$Z$495&lt;=8)*('CONTROL MASTER'!$AB$2:$AB$495&gt;=8)*('CONTROL MASTER'!$AA$2:$AA$495&lt;=5)*('CONTROL MASTER'!$AC$2:$AC$495&gt;=5))*ROW('CONTROL MASTER'!$S$2:$S$495))-(ROW('CONTROL MASTER'!#REF!)-1))),":",","),",",REPT(" ",50)),(((INDEX('CONTROL MASTER'!$Y$2:$Y$495,(SUMPRODUCT((('CONTROL MASTER'!$S$2:$S$495=8)*('CONTROL MASTER'!$Z$2:$Z$495&lt;=8)*('CONTROL MASTER'!$AB$2:$AB$495&gt;=8)*('CONTROL MASTER'!$AA$2:$AA$495&lt;=5)*('CONTROL MASTER'!$AC$2:$AC$495&gt;=5))*ROW('CONTROL MASTER'!$S$2:$S$495))-(ROW('CONTROL MASTER'!#REF!)-1)))+((8-INDEX('CONTROL MASTER'!$Z$2:$Z$495,(SUMPRODUCT((('CONTROL MASTER'!$S$2:$S$495=8)*('CONTROL MASTER'!$Z$2:$Z$495&lt;=8)*('CONTROL MASTER'!$AB$2:$AB$495&gt;=8)*('CONTROL MASTER'!$AA$2:$AA$495&lt;=5)*('CONTROL MASTER'!$AC$2:$AC$495&gt;=5))*ROW('CONTROL MASTER'!$S$2:$S$495))-(ROW('CONTROL MASTER'!#REF!)-1))))*(INDEX('CONTROL MASTER'!$AC$2:$AC$495,(SUMPRODUCT((('CONTROL MASTER'!$S$2:$S$495=8)*('CONTROL MASTER'!$Z$2:$Z$495&lt;=8)*('CONTROL MASTER'!$AB$2:$AB$495&gt;=8)*('CONTROL MASTER'!$AA$2:$AA$495&lt;=5)*('CONTROL MASTER'!$AC$2:$AC$495&gt;=5))*ROW('CONTROL MASTER'!$S$2:$S$495))-(ROW('CONTROL MASTER'!#REF!)-1)))-INDEX('CONTROL MASTER'!$AA$2:$AA$495,(SUMPRODUCT((('CONTROL MASTER'!$S$2:$S$495=8)*('CONTROL MASTER'!$Z$2:$Z$495&lt;=8)*('CONTROL MASTER'!$AB$2:$AB$495&gt;=8)*('CONTROL MASTER'!$AA$2:$AA$495&lt;=5)*('CONTROL MASTER'!$AC$2:$AC$495&gt;=5))*ROW('CONTROL MASTER'!$S$2:$S$495))-(ROW('CONTROL MASTER'!#REF!)-1)))+1)+(5-INDEX('CONTROL MASTER'!$AA$2:$AA$495,(SUMPRODUCT((('CONTROL MASTER'!$S$2:$S$495=8)*('CONTROL MASTER'!$Z$2:$Z$495&lt;=8)*('CONTROL MASTER'!$AB$2:$AB$495&gt;=8)*('CONTROL MASTER'!$AA$2:$AA$495&lt;=5)*('CONTROL MASTER'!$AC$2:$AC$495&gt;=5))*ROW('CONTROL MASTER'!$S$2:$S$495))-(ROW('CONTROL MASTER'!#REF!)-1))))+1)))-1)*50+1,50))&amp;"_"&amp;INDEX('CONTROL MASTER'!$P$2:$P$495,(SUMPRODUCT((('CONTROL MASTER'!$S$2:$S$495=8)*('CONTROL MASTER'!$Z$2:$Z$495&lt;=8)*('CONTROL MASTER'!$AB$2:$AB$495&gt;=8)*('CONTROL MASTER'!$AA$2:$AA$495&lt;=5)*('CONTROL MASTER'!$AC$2:$AC$495&gt;=5))*ROW('CONTROL MASTER'!$S$2:$S$495))-(ROW('CONTROL MASTER'!#REF!)-1))),"")),"")</f>
        <v/>
      </c>
      <c r="G108" s="10" t="str">
        <f>IFERROR(IF(SUMPRODUCT((('CONTROL MASTER'!$S$2:$S$495=8)*('CONTROL MASTER'!$T$2:$T$495&lt;=8)*('CONTROL MASTER'!$V$2:$V$495&gt;=8)*('CONTROL MASTER'!$U$2:$U$495&lt;=6)*('CONTROL MASTER'!$W$2:$W$495&gt;=6))*ROW('CONTROL MASTER'!$S$2:$S$495))&gt;0,INDEX('CONTROL MASTER'!$X$2:$X$495,(SUMPRODUCT((('CONTROL MASTER'!$S$2:$S$495=8)*('CONTROL MASTER'!$T$2:$T$495&lt;=8)*('CONTROL MASTER'!$V$2:$V$495&gt;=8)*('CONTROL MASTER'!$U$2:$U$495&lt;=6)*('CONTROL MASTER'!$W$2:$W$495&gt;=6))*ROW('CONTROL MASTER'!$S$2:$S$495))-(ROW('CONTROL MASTER'!#REF!)-1)))&amp;TRIM(MID(SUBSTITUTE(SUBSTITUTE(INDEX('CONTROL MASTER'!$N$2:$N$495,(SUMPRODUCT((('CONTROL MASTER'!$S$2:$S$495=8)*('CONTROL MASTER'!$T$2:$T$495&lt;=8)*('CONTROL MASTER'!$V$2:$V$495&gt;=8)*('CONTROL MASTER'!$U$2:$U$495&lt;=6)*('CONTROL MASTER'!$W$2:$W$495&gt;=6))*ROW('CONTROL MASTER'!$S$2:$S$495))-(ROW('CONTROL MASTER'!#REF!)-1))),":",","),",",REPT(" ",50)),((((8-INDEX('CONTROL MASTER'!$T$2:$T$495,(SUMPRODUCT((('CONTROL MASTER'!$S$2:$S$495=8)*('CONTROL MASTER'!$T$2:$T$495&lt;=8)*('CONTROL MASTER'!$V$2:$V$495&gt;=8)*('CONTROL MASTER'!$U$2:$U$495&lt;=6)*('CONTROL MASTER'!$W$2:$W$495&gt;=6))*ROW('CONTROL MASTER'!$S$2:$S$495))-(ROW('CONTROL MASTER'!#REF!)-1))))*(INDEX('CONTROL MASTER'!$W$2:$W$495,(SUMPRODUCT((('CONTROL MASTER'!$S$2:$S$495=8)*('CONTROL MASTER'!$T$2:$T$495&lt;=8)*('CONTROL MASTER'!$V$2:$V$495&gt;=8)*('CONTROL MASTER'!$U$2:$U$495&lt;=6)*('CONTROL MASTER'!$W$2:$W$495&gt;=6))*ROW('CONTROL MASTER'!$S$2:$S$495))-(ROW('CONTROL MASTER'!#REF!)-1)))-INDEX('CONTROL MASTER'!$U$2:$U$495,(SUMPRODUCT((('CONTROL MASTER'!$S$2:$S$495=8)*('CONTROL MASTER'!$T$2:$T$495&lt;=8)*('CONTROL MASTER'!$V$2:$V$495&gt;=8)*('CONTROL MASTER'!$U$2:$U$495&lt;=6)*('CONTROL MASTER'!$W$2:$W$495&gt;=6))*ROW('CONTROL MASTER'!$S$2:$S$495))-(ROW('CONTROL MASTER'!#REF!)-1)))+1)+(6-INDEX('CONTROL MASTER'!$U$2:$U$495,(SUMPRODUCT((('CONTROL MASTER'!$S$2:$S$495=8)*('CONTROL MASTER'!$T$2:$T$495&lt;=8)*('CONTROL MASTER'!$V$2:$V$495&gt;=8)*('CONTROL MASTER'!$U$2:$U$495&lt;=6)*('CONTROL MASTER'!$W$2:$W$495&gt;=6))*ROW('CONTROL MASTER'!$S$2:$S$495))-(ROW('CONTROL MASTER'!#REF!)-1))))+1))-1)*50+1,50))&amp;"_"&amp;INDEX('CONTROL MASTER'!$P$2:$P$495,(SUMPRODUCT((('CONTROL MASTER'!$S$2:$S$495=8)*('CONTROL MASTER'!$T$2:$T$495&lt;=8)*('CONTROL MASTER'!$V$2:$V$495&gt;=8)*('CONTROL MASTER'!$U$2:$U$495&lt;=6)*('CONTROL MASTER'!$W$2:$W$495&gt;=6))*ROW('CONTROL MASTER'!$S$2:$S$495))-(ROW('CONTROL MASTER'!#REF!)-1))),IF(SUMPRODUCT((('CONTROL MASTER'!$S$2:$S$495=8)*('CONTROL MASTER'!$Z$2:$Z$495&lt;=8)*('CONTROL MASTER'!$AB$2:$AB$495&gt;=8)*('CONTROL MASTER'!$AA$2:$AA$495&lt;=6)*('CONTROL MASTER'!$AC$2:$AC$495&gt;=6))*ROW('CONTROL MASTER'!$S$2:$S$495))&gt;0,INDEX('CONTROL MASTER'!$X$2:$X$495,(SUMPRODUCT((('CONTROL MASTER'!$S$2:$S$495=8)*('CONTROL MASTER'!$Z$2:$Z$495&lt;=8)*('CONTROL MASTER'!$AB$2:$AB$495&gt;=8)*('CONTROL MASTER'!$AA$2:$AA$495&lt;=6)*('CONTROL MASTER'!$AC$2:$AC$495&gt;=6))*ROW('CONTROL MASTER'!$S$2:$S$495))-(ROW('CONTROL MASTER'!#REF!)-1)))&amp;TRIM(MID(SUBSTITUTE(SUBSTITUTE(INDEX('CONTROL MASTER'!$N$2:$N$495,(SUMPRODUCT((('CONTROL MASTER'!$S$2:$S$495=8)*('CONTROL MASTER'!$Z$2:$Z$495&lt;=8)*('CONTROL MASTER'!$AB$2:$AB$495&gt;=8)*('CONTROL MASTER'!$AA$2:$AA$495&lt;=6)*('CONTROL MASTER'!$AC$2:$AC$495&gt;=6))*ROW('CONTROL MASTER'!$S$2:$S$495))-(ROW('CONTROL MASTER'!#REF!)-1))),":",","),",",REPT(" ",50)),(((INDEX('CONTROL MASTER'!$Y$2:$Y$495,(SUMPRODUCT((('CONTROL MASTER'!$S$2:$S$495=8)*('CONTROL MASTER'!$Z$2:$Z$495&lt;=8)*('CONTROL MASTER'!$AB$2:$AB$495&gt;=8)*('CONTROL MASTER'!$AA$2:$AA$495&lt;=6)*('CONTROL MASTER'!$AC$2:$AC$495&gt;=6))*ROW('CONTROL MASTER'!$S$2:$S$495))-(ROW('CONTROL MASTER'!#REF!)-1)))+((8-INDEX('CONTROL MASTER'!$Z$2:$Z$495,(SUMPRODUCT((('CONTROL MASTER'!$S$2:$S$495=8)*('CONTROL MASTER'!$Z$2:$Z$495&lt;=8)*('CONTROL MASTER'!$AB$2:$AB$495&gt;=8)*('CONTROL MASTER'!$AA$2:$AA$495&lt;=6)*('CONTROL MASTER'!$AC$2:$AC$495&gt;=6))*ROW('CONTROL MASTER'!$S$2:$S$495))-(ROW('CONTROL MASTER'!#REF!)-1))))*(INDEX('CONTROL MASTER'!$AC$2:$AC$495,(SUMPRODUCT((('CONTROL MASTER'!$S$2:$S$495=8)*('CONTROL MASTER'!$Z$2:$Z$495&lt;=8)*('CONTROL MASTER'!$AB$2:$AB$495&gt;=8)*('CONTROL MASTER'!$AA$2:$AA$495&lt;=6)*('CONTROL MASTER'!$AC$2:$AC$495&gt;=6))*ROW('CONTROL MASTER'!$S$2:$S$495))-(ROW('CONTROL MASTER'!#REF!)-1)))-INDEX('CONTROL MASTER'!$AA$2:$AA$495,(SUMPRODUCT((('CONTROL MASTER'!$S$2:$S$495=8)*('CONTROL MASTER'!$Z$2:$Z$495&lt;=8)*('CONTROL MASTER'!$AB$2:$AB$495&gt;=8)*('CONTROL MASTER'!$AA$2:$AA$495&lt;=6)*('CONTROL MASTER'!$AC$2:$AC$495&gt;=6))*ROW('CONTROL MASTER'!$S$2:$S$495))-(ROW('CONTROL MASTER'!#REF!)-1)))+1)+(6-INDEX('CONTROL MASTER'!$AA$2:$AA$495,(SUMPRODUCT((('CONTROL MASTER'!$S$2:$S$495=8)*('CONTROL MASTER'!$Z$2:$Z$495&lt;=8)*('CONTROL MASTER'!$AB$2:$AB$495&gt;=8)*('CONTROL MASTER'!$AA$2:$AA$495&lt;=6)*('CONTROL MASTER'!$AC$2:$AC$495&gt;=6))*ROW('CONTROL MASTER'!$S$2:$S$495))-(ROW('CONTROL MASTER'!#REF!)-1))))+1)))-1)*50+1,50))&amp;"_"&amp;INDEX('CONTROL MASTER'!$P$2:$P$495,(SUMPRODUCT((('CONTROL MASTER'!$S$2:$S$495=8)*('CONTROL MASTER'!$Z$2:$Z$495&lt;=8)*('CONTROL MASTER'!$AB$2:$AB$495&gt;=8)*('CONTROL MASTER'!$AA$2:$AA$495&lt;=6)*('CONTROL MASTER'!$AC$2:$AC$495&gt;=6))*ROW('CONTROL MASTER'!$S$2:$S$495))-(ROW('CONTROL MASTER'!#REF!)-1))),"")),"")</f>
        <v/>
      </c>
      <c r="H108" s="10" t="str">
        <f>IFERROR(IF(SUMPRODUCT((('CONTROL MASTER'!$S$2:$S$495=8)*('CONTROL MASTER'!$T$2:$T$495&lt;=8)*('CONTROL MASTER'!$V$2:$V$495&gt;=8)*('CONTROL MASTER'!$U$2:$U$495&lt;=7)*('CONTROL MASTER'!$W$2:$W$495&gt;=7))*ROW('CONTROL MASTER'!$S$2:$S$495))&gt;0,INDEX('CONTROL MASTER'!$X$2:$X$495,(SUMPRODUCT((('CONTROL MASTER'!$S$2:$S$495=8)*('CONTROL MASTER'!$T$2:$T$495&lt;=8)*('CONTROL MASTER'!$V$2:$V$495&gt;=8)*('CONTROL MASTER'!$U$2:$U$495&lt;=7)*('CONTROL MASTER'!$W$2:$W$495&gt;=7))*ROW('CONTROL MASTER'!$S$2:$S$495))-(ROW('CONTROL MASTER'!#REF!)-1)))&amp;TRIM(MID(SUBSTITUTE(SUBSTITUTE(INDEX('CONTROL MASTER'!$N$2:$N$495,(SUMPRODUCT((('CONTROL MASTER'!$S$2:$S$495=8)*('CONTROL MASTER'!$T$2:$T$495&lt;=8)*('CONTROL MASTER'!$V$2:$V$495&gt;=8)*('CONTROL MASTER'!$U$2:$U$495&lt;=7)*('CONTROL MASTER'!$W$2:$W$495&gt;=7))*ROW('CONTROL MASTER'!$S$2:$S$495))-(ROW('CONTROL MASTER'!#REF!)-1))),":",","),",",REPT(" ",50)),((((8-INDEX('CONTROL MASTER'!$T$2:$T$495,(SUMPRODUCT((('CONTROL MASTER'!$S$2:$S$495=8)*('CONTROL MASTER'!$T$2:$T$495&lt;=8)*('CONTROL MASTER'!$V$2:$V$495&gt;=8)*('CONTROL MASTER'!$U$2:$U$495&lt;=7)*('CONTROL MASTER'!$W$2:$W$495&gt;=7))*ROW('CONTROL MASTER'!$S$2:$S$495))-(ROW('CONTROL MASTER'!#REF!)-1))))*(INDEX('CONTROL MASTER'!$W$2:$W$495,(SUMPRODUCT((('CONTROL MASTER'!$S$2:$S$495=8)*('CONTROL MASTER'!$T$2:$T$495&lt;=8)*('CONTROL MASTER'!$V$2:$V$495&gt;=8)*('CONTROL MASTER'!$U$2:$U$495&lt;=7)*('CONTROL MASTER'!$W$2:$W$495&gt;=7))*ROW('CONTROL MASTER'!$S$2:$S$495))-(ROW('CONTROL MASTER'!#REF!)-1)))-INDEX('CONTROL MASTER'!$U$2:$U$495,(SUMPRODUCT((('CONTROL MASTER'!$S$2:$S$495=8)*('CONTROL MASTER'!$T$2:$T$495&lt;=8)*('CONTROL MASTER'!$V$2:$V$495&gt;=8)*('CONTROL MASTER'!$U$2:$U$495&lt;=7)*('CONTROL MASTER'!$W$2:$W$495&gt;=7))*ROW('CONTROL MASTER'!$S$2:$S$495))-(ROW('CONTROL MASTER'!#REF!)-1)))+1)+(7-INDEX('CONTROL MASTER'!$U$2:$U$495,(SUMPRODUCT((('CONTROL MASTER'!$S$2:$S$495=8)*('CONTROL MASTER'!$T$2:$T$495&lt;=8)*('CONTROL MASTER'!$V$2:$V$495&gt;=8)*('CONTROL MASTER'!$U$2:$U$495&lt;=7)*('CONTROL MASTER'!$W$2:$W$495&gt;=7))*ROW('CONTROL MASTER'!$S$2:$S$495))-(ROW('CONTROL MASTER'!#REF!)-1))))+1))-1)*50+1,50))&amp;"_"&amp;INDEX('CONTROL MASTER'!$P$2:$P$495,(SUMPRODUCT((('CONTROL MASTER'!$S$2:$S$495=8)*('CONTROL MASTER'!$T$2:$T$495&lt;=8)*('CONTROL MASTER'!$V$2:$V$495&gt;=8)*('CONTROL MASTER'!$U$2:$U$495&lt;=7)*('CONTROL MASTER'!$W$2:$W$495&gt;=7))*ROW('CONTROL MASTER'!$S$2:$S$495))-(ROW('CONTROL MASTER'!#REF!)-1))),IF(SUMPRODUCT((('CONTROL MASTER'!$S$2:$S$495=8)*('CONTROL MASTER'!$Z$2:$Z$495&lt;=8)*('CONTROL MASTER'!$AB$2:$AB$495&gt;=8)*('CONTROL MASTER'!$AA$2:$AA$495&lt;=7)*('CONTROL MASTER'!$AC$2:$AC$495&gt;=7))*ROW('CONTROL MASTER'!$S$2:$S$495))&gt;0,INDEX('CONTROL MASTER'!$X$2:$X$495,(SUMPRODUCT((('CONTROL MASTER'!$S$2:$S$495=8)*('CONTROL MASTER'!$Z$2:$Z$495&lt;=8)*('CONTROL MASTER'!$AB$2:$AB$495&gt;=8)*('CONTROL MASTER'!$AA$2:$AA$495&lt;=7)*('CONTROL MASTER'!$AC$2:$AC$495&gt;=7))*ROW('CONTROL MASTER'!$S$2:$S$495))-(ROW('CONTROL MASTER'!#REF!)-1)))&amp;TRIM(MID(SUBSTITUTE(SUBSTITUTE(INDEX('CONTROL MASTER'!$N$2:$N$495,(SUMPRODUCT((('CONTROL MASTER'!$S$2:$S$495=8)*('CONTROL MASTER'!$Z$2:$Z$495&lt;=8)*('CONTROL MASTER'!$AB$2:$AB$495&gt;=8)*('CONTROL MASTER'!$AA$2:$AA$495&lt;=7)*('CONTROL MASTER'!$AC$2:$AC$495&gt;=7))*ROW('CONTROL MASTER'!$S$2:$S$495))-(ROW('CONTROL MASTER'!#REF!)-1))),":",","),",",REPT(" ",50)),(((INDEX('CONTROL MASTER'!$Y$2:$Y$495,(SUMPRODUCT((('CONTROL MASTER'!$S$2:$S$495=8)*('CONTROL MASTER'!$Z$2:$Z$495&lt;=8)*('CONTROL MASTER'!$AB$2:$AB$495&gt;=8)*('CONTROL MASTER'!$AA$2:$AA$495&lt;=7)*('CONTROL MASTER'!$AC$2:$AC$495&gt;=7))*ROW('CONTROL MASTER'!$S$2:$S$495))-(ROW('CONTROL MASTER'!#REF!)-1)))+((8-INDEX('CONTROL MASTER'!$Z$2:$Z$495,(SUMPRODUCT((('CONTROL MASTER'!$S$2:$S$495=8)*('CONTROL MASTER'!$Z$2:$Z$495&lt;=8)*('CONTROL MASTER'!$AB$2:$AB$495&gt;=8)*('CONTROL MASTER'!$AA$2:$AA$495&lt;=7)*('CONTROL MASTER'!$AC$2:$AC$495&gt;=7))*ROW('CONTROL MASTER'!$S$2:$S$495))-(ROW('CONTROL MASTER'!#REF!)-1))))*(INDEX('CONTROL MASTER'!$AC$2:$AC$495,(SUMPRODUCT((('CONTROL MASTER'!$S$2:$S$495=8)*('CONTROL MASTER'!$Z$2:$Z$495&lt;=8)*('CONTROL MASTER'!$AB$2:$AB$495&gt;=8)*('CONTROL MASTER'!$AA$2:$AA$495&lt;=7)*('CONTROL MASTER'!$AC$2:$AC$495&gt;=7))*ROW('CONTROL MASTER'!$S$2:$S$495))-(ROW('CONTROL MASTER'!#REF!)-1)))-INDEX('CONTROL MASTER'!$AA$2:$AA$495,(SUMPRODUCT((('CONTROL MASTER'!$S$2:$S$495=8)*('CONTROL MASTER'!$Z$2:$Z$495&lt;=8)*('CONTROL MASTER'!$AB$2:$AB$495&gt;=8)*('CONTROL MASTER'!$AA$2:$AA$495&lt;=7)*('CONTROL MASTER'!$AC$2:$AC$495&gt;=7))*ROW('CONTROL MASTER'!$S$2:$S$495))-(ROW('CONTROL MASTER'!#REF!)-1)))+1)+(7-INDEX('CONTROL MASTER'!$AA$2:$AA$495,(SUMPRODUCT((('CONTROL MASTER'!$S$2:$S$495=8)*('CONTROL MASTER'!$Z$2:$Z$495&lt;=8)*('CONTROL MASTER'!$AB$2:$AB$495&gt;=8)*('CONTROL MASTER'!$AA$2:$AA$495&lt;=7)*('CONTROL MASTER'!$AC$2:$AC$495&gt;=7))*ROW('CONTROL MASTER'!$S$2:$S$495))-(ROW('CONTROL MASTER'!#REF!)-1))))+1)))-1)*50+1,50))&amp;"_"&amp;INDEX('CONTROL MASTER'!$P$2:$P$495,(SUMPRODUCT((('CONTROL MASTER'!$S$2:$S$495=8)*('CONTROL MASTER'!$Z$2:$Z$495&lt;=8)*('CONTROL MASTER'!$AB$2:$AB$495&gt;=8)*('CONTROL MASTER'!$AA$2:$AA$495&lt;=7)*('CONTROL MASTER'!$AC$2:$AC$495&gt;=7))*ROW('CONTROL MASTER'!$S$2:$S$495))-(ROW('CONTROL MASTER'!#REF!)-1))),"")),"")</f>
        <v/>
      </c>
      <c r="I108" s="10" t="str">
        <f>IFERROR(IF(SUMPRODUCT((('CONTROL MASTER'!$S$2:$S$495=8)*('CONTROL MASTER'!$T$2:$T$495&lt;=8)*('CONTROL MASTER'!$V$2:$V$495&gt;=8)*('CONTROL MASTER'!$U$2:$U$495&lt;=8)*('CONTROL MASTER'!$W$2:$W$495&gt;=8))*ROW('CONTROL MASTER'!$S$2:$S$495))&gt;0,INDEX('CONTROL MASTER'!$X$2:$X$495,(SUMPRODUCT((('CONTROL MASTER'!$S$2:$S$495=8)*('CONTROL MASTER'!$T$2:$T$495&lt;=8)*('CONTROL MASTER'!$V$2:$V$495&gt;=8)*('CONTROL MASTER'!$U$2:$U$495&lt;=8)*('CONTROL MASTER'!$W$2:$W$495&gt;=8))*ROW('CONTROL MASTER'!$S$2:$S$495))-(ROW('CONTROL MASTER'!#REF!)-1)))&amp;TRIM(MID(SUBSTITUTE(SUBSTITUTE(INDEX('CONTROL MASTER'!$N$2:$N$495,(SUMPRODUCT((('CONTROL MASTER'!$S$2:$S$495=8)*('CONTROL MASTER'!$T$2:$T$495&lt;=8)*('CONTROL MASTER'!$V$2:$V$495&gt;=8)*('CONTROL MASTER'!$U$2:$U$495&lt;=8)*('CONTROL MASTER'!$W$2:$W$495&gt;=8))*ROW('CONTROL MASTER'!$S$2:$S$495))-(ROW('CONTROL MASTER'!#REF!)-1))),":",","),",",REPT(" ",50)),((((8-INDEX('CONTROL MASTER'!$T$2:$T$495,(SUMPRODUCT((('CONTROL MASTER'!$S$2:$S$495=8)*('CONTROL MASTER'!$T$2:$T$495&lt;=8)*('CONTROL MASTER'!$V$2:$V$495&gt;=8)*('CONTROL MASTER'!$U$2:$U$495&lt;=8)*('CONTROL MASTER'!$W$2:$W$495&gt;=8))*ROW('CONTROL MASTER'!$S$2:$S$495))-(ROW('CONTROL MASTER'!#REF!)-1))))*(INDEX('CONTROL MASTER'!$W$2:$W$495,(SUMPRODUCT((('CONTROL MASTER'!$S$2:$S$495=8)*('CONTROL MASTER'!$T$2:$T$495&lt;=8)*('CONTROL MASTER'!$V$2:$V$495&gt;=8)*('CONTROL MASTER'!$U$2:$U$495&lt;=8)*('CONTROL MASTER'!$W$2:$W$495&gt;=8))*ROW('CONTROL MASTER'!$S$2:$S$495))-(ROW('CONTROL MASTER'!#REF!)-1)))-INDEX('CONTROL MASTER'!$U$2:$U$495,(SUMPRODUCT((('CONTROL MASTER'!$S$2:$S$495=8)*('CONTROL MASTER'!$T$2:$T$495&lt;=8)*('CONTROL MASTER'!$V$2:$V$495&gt;=8)*('CONTROL MASTER'!$U$2:$U$495&lt;=8)*('CONTROL MASTER'!$W$2:$W$495&gt;=8))*ROW('CONTROL MASTER'!$S$2:$S$495))-(ROW('CONTROL MASTER'!#REF!)-1)))+1)+(8-INDEX('CONTROL MASTER'!$U$2:$U$495,(SUMPRODUCT((('CONTROL MASTER'!$S$2:$S$495=8)*('CONTROL MASTER'!$T$2:$T$495&lt;=8)*('CONTROL MASTER'!$V$2:$V$495&gt;=8)*('CONTROL MASTER'!$U$2:$U$495&lt;=8)*('CONTROL MASTER'!$W$2:$W$495&gt;=8))*ROW('CONTROL MASTER'!$S$2:$S$495))-(ROW('CONTROL MASTER'!#REF!)-1))))+1))-1)*50+1,50))&amp;"_"&amp;INDEX('CONTROL MASTER'!$P$2:$P$495,(SUMPRODUCT((('CONTROL MASTER'!$S$2:$S$495=8)*('CONTROL MASTER'!$T$2:$T$495&lt;=8)*('CONTROL MASTER'!$V$2:$V$495&gt;=8)*('CONTROL MASTER'!$U$2:$U$495&lt;=8)*('CONTROL MASTER'!$W$2:$W$495&gt;=8))*ROW('CONTROL MASTER'!$S$2:$S$495))-(ROW('CONTROL MASTER'!#REF!)-1))),IF(SUMPRODUCT((('CONTROL MASTER'!$S$2:$S$495=8)*('CONTROL MASTER'!$Z$2:$Z$495&lt;=8)*('CONTROL MASTER'!$AB$2:$AB$495&gt;=8)*('CONTROL MASTER'!$AA$2:$AA$495&lt;=8)*('CONTROL MASTER'!$AC$2:$AC$495&gt;=8))*ROW('CONTROL MASTER'!$S$2:$S$495))&gt;0,INDEX('CONTROL MASTER'!$X$2:$X$495,(SUMPRODUCT((('CONTROL MASTER'!$S$2:$S$495=8)*('CONTROL MASTER'!$Z$2:$Z$495&lt;=8)*('CONTROL MASTER'!$AB$2:$AB$495&gt;=8)*('CONTROL MASTER'!$AA$2:$AA$495&lt;=8)*('CONTROL MASTER'!$AC$2:$AC$495&gt;=8))*ROW('CONTROL MASTER'!$S$2:$S$495))-(ROW('CONTROL MASTER'!#REF!)-1)))&amp;TRIM(MID(SUBSTITUTE(SUBSTITUTE(INDEX('CONTROL MASTER'!$N$2:$N$495,(SUMPRODUCT((('CONTROL MASTER'!$S$2:$S$495=8)*('CONTROL MASTER'!$Z$2:$Z$495&lt;=8)*('CONTROL MASTER'!$AB$2:$AB$495&gt;=8)*('CONTROL MASTER'!$AA$2:$AA$495&lt;=8)*('CONTROL MASTER'!$AC$2:$AC$495&gt;=8))*ROW('CONTROL MASTER'!$S$2:$S$495))-(ROW('CONTROL MASTER'!#REF!)-1))),":",","),",",REPT(" ",50)),(((INDEX('CONTROL MASTER'!$Y$2:$Y$495,(SUMPRODUCT((('CONTROL MASTER'!$S$2:$S$495=8)*('CONTROL MASTER'!$Z$2:$Z$495&lt;=8)*('CONTROL MASTER'!$AB$2:$AB$495&gt;=8)*('CONTROL MASTER'!$AA$2:$AA$495&lt;=8)*('CONTROL MASTER'!$AC$2:$AC$495&gt;=8))*ROW('CONTROL MASTER'!$S$2:$S$495))-(ROW('CONTROL MASTER'!#REF!)-1)))+((8-INDEX('CONTROL MASTER'!$Z$2:$Z$495,(SUMPRODUCT((('CONTROL MASTER'!$S$2:$S$495=8)*('CONTROL MASTER'!$Z$2:$Z$495&lt;=8)*('CONTROL MASTER'!$AB$2:$AB$495&gt;=8)*('CONTROL MASTER'!$AA$2:$AA$495&lt;=8)*('CONTROL MASTER'!$AC$2:$AC$495&gt;=8))*ROW('CONTROL MASTER'!$S$2:$S$495))-(ROW('CONTROL MASTER'!#REF!)-1))))*(INDEX('CONTROL MASTER'!$AC$2:$AC$495,(SUMPRODUCT((('CONTROL MASTER'!$S$2:$S$495=8)*('CONTROL MASTER'!$Z$2:$Z$495&lt;=8)*('CONTROL MASTER'!$AB$2:$AB$495&gt;=8)*('CONTROL MASTER'!$AA$2:$AA$495&lt;=8)*('CONTROL MASTER'!$AC$2:$AC$495&gt;=8))*ROW('CONTROL MASTER'!$S$2:$S$495))-(ROW('CONTROL MASTER'!#REF!)-1)))-INDEX('CONTROL MASTER'!$AA$2:$AA$495,(SUMPRODUCT((('CONTROL MASTER'!$S$2:$S$495=8)*('CONTROL MASTER'!$Z$2:$Z$495&lt;=8)*('CONTROL MASTER'!$AB$2:$AB$495&gt;=8)*('CONTROL MASTER'!$AA$2:$AA$495&lt;=8)*('CONTROL MASTER'!$AC$2:$AC$495&gt;=8))*ROW('CONTROL MASTER'!$S$2:$S$495))-(ROW('CONTROL MASTER'!#REF!)-1)))+1)+(8-INDEX('CONTROL MASTER'!$AA$2:$AA$495,(SUMPRODUCT((('CONTROL MASTER'!$S$2:$S$495=8)*('CONTROL MASTER'!$Z$2:$Z$495&lt;=8)*('CONTROL MASTER'!$AB$2:$AB$495&gt;=8)*('CONTROL MASTER'!$AA$2:$AA$495&lt;=8)*('CONTROL MASTER'!$AC$2:$AC$495&gt;=8))*ROW('CONTROL MASTER'!$S$2:$S$495))-(ROW('CONTROL MASTER'!#REF!)-1))))+1)))-1)*50+1,50))&amp;"_"&amp;INDEX('CONTROL MASTER'!$P$2:$P$495,(SUMPRODUCT((('CONTROL MASTER'!$S$2:$S$495=8)*('CONTROL MASTER'!$Z$2:$Z$495&lt;=8)*('CONTROL MASTER'!$AB$2:$AB$495&gt;=8)*('CONTROL MASTER'!$AA$2:$AA$495&lt;=8)*('CONTROL MASTER'!$AC$2:$AC$495&gt;=8))*ROW('CONTROL MASTER'!$S$2:$S$495))-(ROW('CONTROL MASTER'!#REF!)-1))),"")),"")</f>
        <v/>
      </c>
      <c r="J108" s="10" t="str">
        <f>IFERROR(IF(SUMPRODUCT((('CONTROL MASTER'!$S$2:$S$495=8)*('CONTROL MASTER'!$T$2:$T$495&lt;=8)*('CONTROL MASTER'!$V$2:$V$495&gt;=8)*('CONTROL MASTER'!$U$2:$U$495&lt;=9)*('CONTROL MASTER'!$W$2:$W$495&gt;=9))*ROW('CONTROL MASTER'!$S$2:$S$495))&gt;0,INDEX('CONTROL MASTER'!$X$2:$X$495,(SUMPRODUCT((('CONTROL MASTER'!$S$2:$S$495=8)*('CONTROL MASTER'!$T$2:$T$495&lt;=8)*('CONTROL MASTER'!$V$2:$V$495&gt;=8)*('CONTROL MASTER'!$U$2:$U$495&lt;=9)*('CONTROL MASTER'!$W$2:$W$495&gt;=9))*ROW('CONTROL MASTER'!$S$2:$S$495))-(ROW('CONTROL MASTER'!#REF!)-1)))&amp;TRIM(MID(SUBSTITUTE(SUBSTITUTE(INDEX('CONTROL MASTER'!$N$2:$N$495,(SUMPRODUCT((('CONTROL MASTER'!$S$2:$S$495=8)*('CONTROL MASTER'!$T$2:$T$495&lt;=8)*('CONTROL MASTER'!$V$2:$V$495&gt;=8)*('CONTROL MASTER'!$U$2:$U$495&lt;=9)*('CONTROL MASTER'!$W$2:$W$495&gt;=9))*ROW('CONTROL MASTER'!$S$2:$S$495))-(ROW('CONTROL MASTER'!#REF!)-1))),":",","),",",REPT(" ",50)),((((8-INDEX('CONTROL MASTER'!$T$2:$T$495,(SUMPRODUCT((('CONTROL MASTER'!$S$2:$S$495=8)*('CONTROL MASTER'!$T$2:$T$495&lt;=8)*('CONTROL MASTER'!$V$2:$V$495&gt;=8)*('CONTROL MASTER'!$U$2:$U$495&lt;=9)*('CONTROL MASTER'!$W$2:$W$495&gt;=9))*ROW('CONTROL MASTER'!$S$2:$S$495))-(ROW('CONTROL MASTER'!#REF!)-1))))*(INDEX('CONTROL MASTER'!$W$2:$W$495,(SUMPRODUCT((('CONTROL MASTER'!$S$2:$S$495=8)*('CONTROL MASTER'!$T$2:$T$495&lt;=8)*('CONTROL MASTER'!$V$2:$V$495&gt;=8)*('CONTROL MASTER'!$U$2:$U$495&lt;=9)*('CONTROL MASTER'!$W$2:$W$495&gt;=9))*ROW('CONTROL MASTER'!$S$2:$S$495))-(ROW('CONTROL MASTER'!#REF!)-1)))-INDEX('CONTROL MASTER'!$U$2:$U$495,(SUMPRODUCT((('CONTROL MASTER'!$S$2:$S$495=8)*('CONTROL MASTER'!$T$2:$T$495&lt;=8)*('CONTROL MASTER'!$V$2:$V$495&gt;=8)*('CONTROL MASTER'!$U$2:$U$495&lt;=9)*('CONTROL MASTER'!$W$2:$W$495&gt;=9))*ROW('CONTROL MASTER'!$S$2:$S$495))-(ROW('CONTROL MASTER'!#REF!)-1)))+1)+(9-INDEX('CONTROL MASTER'!$U$2:$U$495,(SUMPRODUCT((('CONTROL MASTER'!$S$2:$S$495=8)*('CONTROL MASTER'!$T$2:$T$495&lt;=8)*('CONTROL MASTER'!$V$2:$V$495&gt;=8)*('CONTROL MASTER'!$U$2:$U$495&lt;=9)*('CONTROL MASTER'!$W$2:$W$495&gt;=9))*ROW('CONTROL MASTER'!$S$2:$S$495))-(ROW('CONTROL MASTER'!#REF!)-1))))+1))-1)*50+1,50))&amp;"_"&amp;INDEX('CONTROL MASTER'!$P$2:$P$495,(SUMPRODUCT((('CONTROL MASTER'!$S$2:$S$495=8)*('CONTROL MASTER'!$T$2:$T$495&lt;=8)*('CONTROL MASTER'!$V$2:$V$495&gt;=8)*('CONTROL MASTER'!$U$2:$U$495&lt;=9)*('CONTROL MASTER'!$W$2:$W$495&gt;=9))*ROW('CONTROL MASTER'!$S$2:$S$495))-(ROW('CONTROL MASTER'!#REF!)-1))),IF(SUMPRODUCT((('CONTROL MASTER'!$S$2:$S$495=8)*('CONTROL MASTER'!$Z$2:$Z$495&lt;=8)*('CONTROL MASTER'!$AB$2:$AB$495&gt;=8)*('CONTROL MASTER'!$AA$2:$AA$495&lt;=9)*('CONTROL MASTER'!$AC$2:$AC$495&gt;=9))*ROW('CONTROL MASTER'!$S$2:$S$495))&gt;0,INDEX('CONTROL MASTER'!$X$2:$X$495,(SUMPRODUCT((('CONTROL MASTER'!$S$2:$S$495=8)*('CONTROL MASTER'!$Z$2:$Z$495&lt;=8)*('CONTROL MASTER'!$AB$2:$AB$495&gt;=8)*('CONTROL MASTER'!$AA$2:$AA$495&lt;=9)*('CONTROL MASTER'!$AC$2:$AC$495&gt;=9))*ROW('CONTROL MASTER'!$S$2:$S$495))-(ROW('CONTROL MASTER'!#REF!)-1)))&amp;TRIM(MID(SUBSTITUTE(SUBSTITUTE(INDEX('CONTROL MASTER'!$N$2:$N$495,(SUMPRODUCT((('CONTROL MASTER'!$S$2:$S$495=8)*('CONTROL MASTER'!$Z$2:$Z$495&lt;=8)*('CONTROL MASTER'!$AB$2:$AB$495&gt;=8)*('CONTROL MASTER'!$AA$2:$AA$495&lt;=9)*('CONTROL MASTER'!$AC$2:$AC$495&gt;=9))*ROW('CONTROL MASTER'!$S$2:$S$495))-(ROW('CONTROL MASTER'!#REF!)-1))),":",","),",",REPT(" ",50)),(((INDEX('CONTROL MASTER'!$Y$2:$Y$495,(SUMPRODUCT((('CONTROL MASTER'!$S$2:$S$495=8)*('CONTROL MASTER'!$Z$2:$Z$495&lt;=8)*('CONTROL MASTER'!$AB$2:$AB$495&gt;=8)*('CONTROL MASTER'!$AA$2:$AA$495&lt;=9)*('CONTROL MASTER'!$AC$2:$AC$495&gt;=9))*ROW('CONTROL MASTER'!$S$2:$S$495))-(ROW('CONTROL MASTER'!#REF!)-1)))+((8-INDEX('CONTROL MASTER'!$Z$2:$Z$495,(SUMPRODUCT((('CONTROL MASTER'!$S$2:$S$495=8)*('CONTROL MASTER'!$Z$2:$Z$495&lt;=8)*('CONTROL MASTER'!$AB$2:$AB$495&gt;=8)*('CONTROL MASTER'!$AA$2:$AA$495&lt;=9)*('CONTROL MASTER'!$AC$2:$AC$495&gt;=9))*ROW('CONTROL MASTER'!$S$2:$S$495))-(ROW('CONTROL MASTER'!#REF!)-1))))*(INDEX('CONTROL MASTER'!$AC$2:$AC$495,(SUMPRODUCT((('CONTROL MASTER'!$S$2:$S$495=8)*('CONTROL MASTER'!$Z$2:$Z$495&lt;=8)*('CONTROL MASTER'!$AB$2:$AB$495&gt;=8)*('CONTROL MASTER'!$AA$2:$AA$495&lt;=9)*('CONTROL MASTER'!$AC$2:$AC$495&gt;=9))*ROW('CONTROL MASTER'!$S$2:$S$495))-(ROW('CONTROL MASTER'!#REF!)-1)))-INDEX('CONTROL MASTER'!$AA$2:$AA$495,(SUMPRODUCT((('CONTROL MASTER'!$S$2:$S$495=8)*('CONTROL MASTER'!$Z$2:$Z$495&lt;=8)*('CONTROL MASTER'!$AB$2:$AB$495&gt;=8)*('CONTROL MASTER'!$AA$2:$AA$495&lt;=9)*('CONTROL MASTER'!$AC$2:$AC$495&gt;=9))*ROW('CONTROL MASTER'!$S$2:$S$495))-(ROW('CONTROL MASTER'!#REF!)-1)))+1)+(9-INDEX('CONTROL MASTER'!$AA$2:$AA$495,(SUMPRODUCT((('CONTROL MASTER'!$S$2:$S$495=8)*('CONTROL MASTER'!$Z$2:$Z$495&lt;=8)*('CONTROL MASTER'!$AB$2:$AB$495&gt;=8)*('CONTROL MASTER'!$AA$2:$AA$495&lt;=9)*('CONTROL MASTER'!$AC$2:$AC$495&gt;=9))*ROW('CONTROL MASTER'!$S$2:$S$495))-(ROW('CONTROL MASTER'!#REF!)-1))))+1)))-1)*50+1,50))&amp;"_"&amp;INDEX('CONTROL MASTER'!$P$2:$P$495,(SUMPRODUCT((('CONTROL MASTER'!$S$2:$S$495=8)*('CONTROL MASTER'!$Z$2:$Z$495&lt;=8)*('CONTROL MASTER'!$AB$2:$AB$495&gt;=8)*('CONTROL MASTER'!$AA$2:$AA$495&lt;=9)*('CONTROL MASTER'!$AC$2:$AC$495&gt;=9))*ROW('CONTROL MASTER'!$S$2:$S$495))-(ROW('CONTROL MASTER'!#REF!)-1))),"")),"")</f>
        <v/>
      </c>
      <c r="K108" s="10" t="str">
        <f>IFERROR(IF(SUMPRODUCT((('CONTROL MASTER'!$S$2:$S$495=8)*('CONTROL MASTER'!$T$2:$T$495&lt;=8)*('CONTROL MASTER'!$V$2:$V$495&gt;=8)*('CONTROL MASTER'!$U$2:$U$495&lt;=10)*('CONTROL MASTER'!$W$2:$W$495&gt;=10))*ROW('CONTROL MASTER'!$S$2:$S$495))&gt;0,INDEX('CONTROL MASTER'!$X$2:$X$495,(SUMPRODUCT((('CONTROL MASTER'!$S$2:$S$495=8)*('CONTROL MASTER'!$T$2:$T$495&lt;=8)*('CONTROL MASTER'!$V$2:$V$495&gt;=8)*('CONTROL MASTER'!$U$2:$U$495&lt;=10)*('CONTROL MASTER'!$W$2:$W$495&gt;=10))*ROW('CONTROL MASTER'!$S$2:$S$495))-(ROW('CONTROL MASTER'!#REF!)-1)))&amp;TRIM(MID(SUBSTITUTE(SUBSTITUTE(INDEX('CONTROL MASTER'!$N$2:$N$495,(SUMPRODUCT((('CONTROL MASTER'!$S$2:$S$495=8)*('CONTROL MASTER'!$T$2:$T$495&lt;=8)*('CONTROL MASTER'!$V$2:$V$495&gt;=8)*('CONTROL MASTER'!$U$2:$U$495&lt;=10)*('CONTROL MASTER'!$W$2:$W$495&gt;=10))*ROW('CONTROL MASTER'!$S$2:$S$495))-(ROW('CONTROL MASTER'!#REF!)-1))),":",","),",",REPT(" ",50)),((((8-INDEX('CONTROL MASTER'!$T$2:$T$495,(SUMPRODUCT((('CONTROL MASTER'!$S$2:$S$495=8)*('CONTROL MASTER'!$T$2:$T$495&lt;=8)*('CONTROL MASTER'!$V$2:$V$495&gt;=8)*('CONTROL MASTER'!$U$2:$U$495&lt;=10)*('CONTROL MASTER'!$W$2:$W$495&gt;=10))*ROW('CONTROL MASTER'!$S$2:$S$495))-(ROW('CONTROL MASTER'!#REF!)-1))))*(INDEX('CONTROL MASTER'!$W$2:$W$495,(SUMPRODUCT((('CONTROL MASTER'!$S$2:$S$495=8)*('CONTROL MASTER'!$T$2:$T$495&lt;=8)*('CONTROL MASTER'!$V$2:$V$495&gt;=8)*('CONTROL MASTER'!$U$2:$U$495&lt;=10)*('CONTROL MASTER'!$W$2:$W$495&gt;=10))*ROW('CONTROL MASTER'!$S$2:$S$495))-(ROW('CONTROL MASTER'!#REF!)-1)))-INDEX('CONTROL MASTER'!$U$2:$U$495,(SUMPRODUCT((('CONTROL MASTER'!$S$2:$S$495=8)*('CONTROL MASTER'!$T$2:$T$495&lt;=8)*('CONTROL MASTER'!$V$2:$V$495&gt;=8)*('CONTROL MASTER'!$U$2:$U$495&lt;=10)*('CONTROL MASTER'!$W$2:$W$495&gt;=10))*ROW('CONTROL MASTER'!$S$2:$S$495))-(ROW('CONTROL MASTER'!#REF!)-1)))+1)+(10-INDEX('CONTROL MASTER'!$U$2:$U$495,(SUMPRODUCT((('CONTROL MASTER'!$S$2:$S$495=8)*('CONTROL MASTER'!$T$2:$T$495&lt;=8)*('CONTROL MASTER'!$V$2:$V$495&gt;=8)*('CONTROL MASTER'!$U$2:$U$495&lt;=10)*('CONTROL MASTER'!$W$2:$W$495&gt;=10))*ROW('CONTROL MASTER'!$S$2:$S$495))-(ROW('CONTROL MASTER'!#REF!)-1))))+1))-1)*50+1,50))&amp;"_"&amp;INDEX('CONTROL MASTER'!$P$2:$P$495,(SUMPRODUCT((('CONTROL MASTER'!$S$2:$S$495=8)*('CONTROL MASTER'!$T$2:$T$495&lt;=8)*('CONTROL MASTER'!$V$2:$V$495&gt;=8)*('CONTROL MASTER'!$U$2:$U$495&lt;=10)*('CONTROL MASTER'!$W$2:$W$495&gt;=10))*ROW('CONTROL MASTER'!$S$2:$S$495))-(ROW('CONTROL MASTER'!#REF!)-1))),IF(SUMPRODUCT((('CONTROL MASTER'!$S$2:$S$495=8)*('CONTROL MASTER'!$Z$2:$Z$495&lt;=8)*('CONTROL MASTER'!$AB$2:$AB$495&gt;=8)*('CONTROL MASTER'!$AA$2:$AA$495&lt;=10)*('CONTROL MASTER'!$AC$2:$AC$495&gt;=10))*ROW('CONTROL MASTER'!$S$2:$S$495))&gt;0,INDEX('CONTROL MASTER'!$X$2:$X$495,(SUMPRODUCT((('CONTROL MASTER'!$S$2:$S$495=8)*('CONTROL MASTER'!$Z$2:$Z$495&lt;=8)*('CONTROL MASTER'!$AB$2:$AB$495&gt;=8)*('CONTROL MASTER'!$AA$2:$AA$495&lt;=10)*('CONTROL MASTER'!$AC$2:$AC$495&gt;=10))*ROW('CONTROL MASTER'!$S$2:$S$495))-(ROW('CONTROL MASTER'!#REF!)-1)))&amp;TRIM(MID(SUBSTITUTE(SUBSTITUTE(INDEX('CONTROL MASTER'!$N$2:$N$495,(SUMPRODUCT((('CONTROL MASTER'!$S$2:$S$495=8)*('CONTROL MASTER'!$Z$2:$Z$495&lt;=8)*('CONTROL MASTER'!$AB$2:$AB$495&gt;=8)*('CONTROL MASTER'!$AA$2:$AA$495&lt;=10)*('CONTROL MASTER'!$AC$2:$AC$495&gt;=10))*ROW('CONTROL MASTER'!$S$2:$S$495))-(ROW('CONTROL MASTER'!#REF!)-1))),":",","),",",REPT(" ",50)),(((INDEX('CONTROL MASTER'!$Y$2:$Y$495,(SUMPRODUCT((('CONTROL MASTER'!$S$2:$S$495=8)*('CONTROL MASTER'!$Z$2:$Z$495&lt;=8)*('CONTROL MASTER'!$AB$2:$AB$495&gt;=8)*('CONTROL MASTER'!$AA$2:$AA$495&lt;=10)*('CONTROL MASTER'!$AC$2:$AC$495&gt;=10))*ROW('CONTROL MASTER'!$S$2:$S$495))-(ROW('CONTROL MASTER'!#REF!)-1)))+((8-INDEX('CONTROL MASTER'!$Z$2:$Z$495,(SUMPRODUCT((('CONTROL MASTER'!$S$2:$S$495=8)*('CONTROL MASTER'!$Z$2:$Z$495&lt;=8)*('CONTROL MASTER'!$AB$2:$AB$495&gt;=8)*('CONTROL MASTER'!$AA$2:$AA$495&lt;=10)*('CONTROL MASTER'!$AC$2:$AC$495&gt;=10))*ROW('CONTROL MASTER'!$S$2:$S$495))-(ROW('CONTROL MASTER'!#REF!)-1))))*(INDEX('CONTROL MASTER'!$AC$2:$AC$495,(SUMPRODUCT((('CONTROL MASTER'!$S$2:$S$495=8)*('CONTROL MASTER'!$Z$2:$Z$495&lt;=8)*('CONTROL MASTER'!$AB$2:$AB$495&gt;=8)*('CONTROL MASTER'!$AA$2:$AA$495&lt;=10)*('CONTROL MASTER'!$AC$2:$AC$495&gt;=10))*ROW('CONTROL MASTER'!$S$2:$S$495))-(ROW('CONTROL MASTER'!#REF!)-1)))-INDEX('CONTROL MASTER'!$AA$2:$AA$495,(SUMPRODUCT((('CONTROL MASTER'!$S$2:$S$495=8)*('CONTROL MASTER'!$Z$2:$Z$495&lt;=8)*('CONTROL MASTER'!$AB$2:$AB$495&gt;=8)*('CONTROL MASTER'!$AA$2:$AA$495&lt;=10)*('CONTROL MASTER'!$AC$2:$AC$495&gt;=10))*ROW('CONTROL MASTER'!$S$2:$S$495))-(ROW('CONTROL MASTER'!#REF!)-1)))+1)+(10-INDEX('CONTROL MASTER'!$AA$2:$AA$495,(SUMPRODUCT((('CONTROL MASTER'!$S$2:$S$495=8)*('CONTROL MASTER'!$Z$2:$Z$495&lt;=8)*('CONTROL MASTER'!$AB$2:$AB$495&gt;=8)*('CONTROL MASTER'!$AA$2:$AA$495&lt;=10)*('CONTROL MASTER'!$AC$2:$AC$495&gt;=10))*ROW('CONTROL MASTER'!$S$2:$S$495))-(ROW('CONTROL MASTER'!#REF!)-1))))+1)))-1)*50+1,50))&amp;"_"&amp;INDEX('CONTROL MASTER'!$P$2:$P$495,(SUMPRODUCT((('CONTROL MASTER'!$S$2:$S$495=8)*('CONTROL MASTER'!$Z$2:$Z$495&lt;=8)*('CONTROL MASTER'!$AB$2:$AB$495&gt;=8)*('CONTROL MASTER'!$AA$2:$AA$495&lt;=10)*('CONTROL MASTER'!$AC$2:$AC$495&gt;=10))*ROW('CONTROL MASTER'!$S$2:$S$495))-(ROW('CONTROL MASTER'!#REF!)-1))),"")),"")</f>
        <v/>
      </c>
    </row>
    <row r="109" spans="1:11" ht="15" customHeight="1" x14ac:dyDescent="0.35">
      <c r="A109" s="8" t="s">
        <v>81</v>
      </c>
      <c r="B109" s="10" t="str">
        <f>IFERROR(IF(SUMPRODUCT((('CONTROL MASTER'!$S$2:$S$495=8)*('CONTROL MASTER'!$T$2:$T$495&lt;=9)*('CONTROL MASTER'!$V$2:$V$495&gt;=9)*('CONTROL MASTER'!$U$2:$U$495&lt;=1)*('CONTROL MASTER'!$W$2:$W$495&gt;=1))*ROW('CONTROL MASTER'!$S$2:$S$495))&gt;0,INDEX('CONTROL MASTER'!$X$2:$X$495,(SUMPRODUCT((('CONTROL MASTER'!$S$2:$S$495=8)*('CONTROL MASTER'!$T$2:$T$495&lt;=9)*('CONTROL MASTER'!$V$2:$V$495&gt;=9)*('CONTROL MASTER'!$U$2:$U$495&lt;=1)*('CONTROL MASTER'!$W$2:$W$495&gt;=1))*ROW('CONTROL MASTER'!$S$2:$S$495))-(ROW('CONTROL MASTER'!#REF!)-1)))&amp;TRIM(MID(SUBSTITUTE(SUBSTITUTE(INDEX('CONTROL MASTER'!$N$2:$N$495,(SUMPRODUCT((('CONTROL MASTER'!$S$2:$S$495=8)*('CONTROL MASTER'!$T$2:$T$495&lt;=9)*('CONTROL MASTER'!$V$2:$V$495&gt;=9)*('CONTROL MASTER'!$U$2:$U$495&lt;=1)*('CONTROL MASTER'!$W$2:$W$495&gt;=1))*ROW('CONTROL MASTER'!$S$2:$S$495))-(ROW('CONTROL MASTER'!#REF!)-1))),":",","),",",REPT(" ",50)),((((9-INDEX('CONTROL MASTER'!$T$2:$T$495,(SUMPRODUCT((('CONTROL MASTER'!$S$2:$S$495=8)*('CONTROL MASTER'!$T$2:$T$495&lt;=9)*('CONTROL MASTER'!$V$2:$V$495&gt;=9)*('CONTROL MASTER'!$U$2:$U$495&lt;=1)*('CONTROL MASTER'!$W$2:$W$495&gt;=1))*ROW('CONTROL MASTER'!$S$2:$S$495))-(ROW('CONTROL MASTER'!#REF!)-1))))*(INDEX('CONTROL MASTER'!$W$2:$W$495,(SUMPRODUCT((('CONTROL MASTER'!$S$2:$S$495=8)*('CONTROL MASTER'!$T$2:$T$495&lt;=9)*('CONTROL MASTER'!$V$2:$V$495&gt;=9)*('CONTROL MASTER'!$U$2:$U$495&lt;=1)*('CONTROL MASTER'!$W$2:$W$495&gt;=1))*ROW('CONTROL MASTER'!$S$2:$S$495))-(ROW('CONTROL MASTER'!#REF!)-1)))-INDEX('CONTROL MASTER'!$U$2:$U$495,(SUMPRODUCT((('CONTROL MASTER'!$S$2:$S$495=8)*('CONTROL MASTER'!$T$2:$T$495&lt;=9)*('CONTROL MASTER'!$V$2:$V$495&gt;=9)*('CONTROL MASTER'!$U$2:$U$495&lt;=1)*('CONTROL MASTER'!$W$2:$W$495&gt;=1))*ROW('CONTROL MASTER'!$S$2:$S$495))-(ROW('CONTROL MASTER'!#REF!)-1)))+1)+(1-INDEX('CONTROL MASTER'!$U$2:$U$495,(SUMPRODUCT((('CONTROL MASTER'!$S$2:$S$495=8)*('CONTROL MASTER'!$T$2:$T$495&lt;=9)*('CONTROL MASTER'!$V$2:$V$495&gt;=9)*('CONTROL MASTER'!$U$2:$U$495&lt;=1)*('CONTROL MASTER'!$W$2:$W$495&gt;=1))*ROW('CONTROL MASTER'!$S$2:$S$495))-(ROW('CONTROL MASTER'!#REF!)-1))))+1))-1)*50+1,50))&amp;"_"&amp;INDEX('CONTROL MASTER'!$P$2:$P$495,(SUMPRODUCT((('CONTROL MASTER'!$S$2:$S$495=8)*('CONTROL MASTER'!$T$2:$T$495&lt;=9)*('CONTROL MASTER'!$V$2:$V$495&gt;=9)*('CONTROL MASTER'!$U$2:$U$495&lt;=1)*('CONTROL MASTER'!$W$2:$W$495&gt;=1))*ROW('CONTROL MASTER'!$S$2:$S$495))-(ROW('CONTROL MASTER'!#REF!)-1))),IF(SUMPRODUCT((('CONTROL MASTER'!$S$2:$S$495=8)*('CONTROL MASTER'!$Z$2:$Z$495&lt;=9)*('CONTROL MASTER'!$AB$2:$AB$495&gt;=9)*('CONTROL MASTER'!$AA$2:$AA$495&lt;=1)*('CONTROL MASTER'!$AC$2:$AC$495&gt;=1))*ROW('CONTROL MASTER'!$S$2:$S$495))&gt;0,INDEX('CONTROL MASTER'!$X$2:$X$495,(SUMPRODUCT((('CONTROL MASTER'!$S$2:$S$495=8)*('CONTROL MASTER'!$Z$2:$Z$495&lt;=9)*('CONTROL MASTER'!$AB$2:$AB$495&gt;=9)*('CONTROL MASTER'!$AA$2:$AA$495&lt;=1)*('CONTROL MASTER'!$AC$2:$AC$495&gt;=1))*ROW('CONTROL MASTER'!$S$2:$S$495))-(ROW('CONTROL MASTER'!#REF!)-1)))&amp;TRIM(MID(SUBSTITUTE(SUBSTITUTE(INDEX('CONTROL MASTER'!$N$2:$N$495,(SUMPRODUCT((('CONTROL MASTER'!$S$2:$S$495=8)*('CONTROL MASTER'!$Z$2:$Z$495&lt;=9)*('CONTROL MASTER'!$AB$2:$AB$495&gt;=9)*('CONTROL MASTER'!$AA$2:$AA$495&lt;=1)*('CONTROL MASTER'!$AC$2:$AC$495&gt;=1))*ROW('CONTROL MASTER'!$S$2:$S$495))-(ROW('CONTROL MASTER'!#REF!)-1))),":",","),",",REPT(" ",50)),(((INDEX('CONTROL MASTER'!$Y$2:$Y$495,(SUMPRODUCT((('CONTROL MASTER'!$S$2:$S$495=8)*('CONTROL MASTER'!$Z$2:$Z$495&lt;=9)*('CONTROL MASTER'!$AB$2:$AB$495&gt;=9)*('CONTROL MASTER'!$AA$2:$AA$495&lt;=1)*('CONTROL MASTER'!$AC$2:$AC$495&gt;=1))*ROW('CONTROL MASTER'!$S$2:$S$495))-(ROW('CONTROL MASTER'!#REF!)-1)))+((9-INDEX('CONTROL MASTER'!$Z$2:$Z$495,(SUMPRODUCT((('CONTROL MASTER'!$S$2:$S$495=8)*('CONTROL MASTER'!$Z$2:$Z$495&lt;=9)*('CONTROL MASTER'!$AB$2:$AB$495&gt;=9)*('CONTROL MASTER'!$AA$2:$AA$495&lt;=1)*('CONTROL MASTER'!$AC$2:$AC$495&gt;=1))*ROW('CONTROL MASTER'!$S$2:$S$495))-(ROW('CONTROL MASTER'!#REF!)-1))))*(INDEX('CONTROL MASTER'!$AC$2:$AC$495,(SUMPRODUCT((('CONTROL MASTER'!$S$2:$S$495=8)*('CONTROL MASTER'!$Z$2:$Z$495&lt;=9)*('CONTROL MASTER'!$AB$2:$AB$495&gt;=9)*('CONTROL MASTER'!$AA$2:$AA$495&lt;=1)*('CONTROL MASTER'!$AC$2:$AC$495&gt;=1))*ROW('CONTROL MASTER'!$S$2:$S$495))-(ROW('CONTROL MASTER'!#REF!)-1)))-INDEX('CONTROL MASTER'!$AA$2:$AA$495,(SUMPRODUCT((('CONTROL MASTER'!$S$2:$S$495=8)*('CONTROL MASTER'!$Z$2:$Z$495&lt;=9)*('CONTROL MASTER'!$AB$2:$AB$495&gt;=9)*('CONTROL MASTER'!$AA$2:$AA$495&lt;=1)*('CONTROL MASTER'!$AC$2:$AC$495&gt;=1))*ROW('CONTROL MASTER'!$S$2:$S$495))-(ROW('CONTROL MASTER'!#REF!)-1)))+1)+(1-INDEX('CONTROL MASTER'!$AA$2:$AA$495,(SUMPRODUCT((('CONTROL MASTER'!$S$2:$S$495=8)*('CONTROL MASTER'!$Z$2:$Z$495&lt;=9)*('CONTROL MASTER'!$AB$2:$AB$495&gt;=9)*('CONTROL MASTER'!$AA$2:$AA$495&lt;=1)*('CONTROL MASTER'!$AC$2:$AC$495&gt;=1))*ROW('CONTROL MASTER'!$S$2:$S$495))-(ROW('CONTROL MASTER'!#REF!)-1))))+1)))-1)*50+1,50))&amp;"_"&amp;INDEX('CONTROL MASTER'!$P$2:$P$495,(SUMPRODUCT((('CONTROL MASTER'!$S$2:$S$495=8)*('CONTROL MASTER'!$Z$2:$Z$495&lt;=9)*('CONTROL MASTER'!$AB$2:$AB$495&gt;=9)*('CONTROL MASTER'!$AA$2:$AA$495&lt;=1)*('CONTROL MASTER'!$AC$2:$AC$495&gt;=1))*ROW('CONTROL MASTER'!$S$2:$S$495))-(ROW('CONTROL MASTER'!#REF!)-1))),"")),"")</f>
        <v/>
      </c>
      <c r="C109" s="10" t="str">
        <f>IFERROR(IF(SUMPRODUCT((('CONTROL MASTER'!$S$2:$S$495=8)*('CONTROL MASTER'!$T$2:$T$495&lt;=9)*('CONTROL MASTER'!$V$2:$V$495&gt;=9)*('CONTROL MASTER'!$U$2:$U$495&lt;=2)*('CONTROL MASTER'!$W$2:$W$495&gt;=2))*ROW('CONTROL MASTER'!$S$2:$S$495))&gt;0,INDEX('CONTROL MASTER'!$X$2:$X$495,(SUMPRODUCT((('CONTROL MASTER'!$S$2:$S$495=8)*('CONTROL MASTER'!$T$2:$T$495&lt;=9)*('CONTROL MASTER'!$V$2:$V$495&gt;=9)*('CONTROL MASTER'!$U$2:$U$495&lt;=2)*('CONTROL MASTER'!$W$2:$W$495&gt;=2))*ROW('CONTROL MASTER'!$S$2:$S$495))-(ROW('CONTROL MASTER'!#REF!)-1)))&amp;TRIM(MID(SUBSTITUTE(SUBSTITUTE(INDEX('CONTROL MASTER'!$N$2:$N$495,(SUMPRODUCT((('CONTROL MASTER'!$S$2:$S$495=8)*('CONTROL MASTER'!$T$2:$T$495&lt;=9)*('CONTROL MASTER'!$V$2:$V$495&gt;=9)*('CONTROL MASTER'!$U$2:$U$495&lt;=2)*('CONTROL MASTER'!$W$2:$W$495&gt;=2))*ROW('CONTROL MASTER'!$S$2:$S$495))-(ROW('CONTROL MASTER'!#REF!)-1))),":",","),",",REPT(" ",50)),((((9-INDEX('CONTROL MASTER'!$T$2:$T$495,(SUMPRODUCT((('CONTROL MASTER'!$S$2:$S$495=8)*('CONTROL MASTER'!$T$2:$T$495&lt;=9)*('CONTROL MASTER'!$V$2:$V$495&gt;=9)*('CONTROL MASTER'!$U$2:$U$495&lt;=2)*('CONTROL MASTER'!$W$2:$W$495&gt;=2))*ROW('CONTROL MASTER'!$S$2:$S$495))-(ROW('CONTROL MASTER'!#REF!)-1))))*(INDEX('CONTROL MASTER'!$W$2:$W$495,(SUMPRODUCT((('CONTROL MASTER'!$S$2:$S$495=8)*('CONTROL MASTER'!$T$2:$T$495&lt;=9)*('CONTROL MASTER'!$V$2:$V$495&gt;=9)*('CONTROL MASTER'!$U$2:$U$495&lt;=2)*('CONTROL MASTER'!$W$2:$W$495&gt;=2))*ROW('CONTROL MASTER'!$S$2:$S$495))-(ROW('CONTROL MASTER'!#REF!)-1)))-INDEX('CONTROL MASTER'!$U$2:$U$495,(SUMPRODUCT((('CONTROL MASTER'!$S$2:$S$495=8)*('CONTROL MASTER'!$T$2:$T$495&lt;=9)*('CONTROL MASTER'!$V$2:$V$495&gt;=9)*('CONTROL MASTER'!$U$2:$U$495&lt;=2)*('CONTROL MASTER'!$W$2:$W$495&gt;=2))*ROW('CONTROL MASTER'!$S$2:$S$495))-(ROW('CONTROL MASTER'!#REF!)-1)))+1)+(2-INDEX('CONTROL MASTER'!$U$2:$U$495,(SUMPRODUCT((('CONTROL MASTER'!$S$2:$S$495=8)*('CONTROL MASTER'!$T$2:$T$495&lt;=9)*('CONTROL MASTER'!$V$2:$V$495&gt;=9)*('CONTROL MASTER'!$U$2:$U$495&lt;=2)*('CONTROL MASTER'!$W$2:$W$495&gt;=2))*ROW('CONTROL MASTER'!$S$2:$S$495))-(ROW('CONTROL MASTER'!#REF!)-1))))+1))-1)*50+1,50))&amp;"_"&amp;INDEX('CONTROL MASTER'!$P$2:$P$495,(SUMPRODUCT((('CONTROL MASTER'!$S$2:$S$495=8)*('CONTROL MASTER'!$T$2:$T$495&lt;=9)*('CONTROL MASTER'!$V$2:$V$495&gt;=9)*('CONTROL MASTER'!$U$2:$U$495&lt;=2)*('CONTROL MASTER'!$W$2:$W$495&gt;=2))*ROW('CONTROL MASTER'!$S$2:$S$495))-(ROW('CONTROL MASTER'!#REF!)-1))),IF(SUMPRODUCT((('CONTROL MASTER'!$S$2:$S$495=8)*('CONTROL MASTER'!$Z$2:$Z$495&lt;=9)*('CONTROL MASTER'!$AB$2:$AB$495&gt;=9)*('CONTROL MASTER'!$AA$2:$AA$495&lt;=2)*('CONTROL MASTER'!$AC$2:$AC$495&gt;=2))*ROW('CONTROL MASTER'!$S$2:$S$495))&gt;0,INDEX('CONTROL MASTER'!$X$2:$X$495,(SUMPRODUCT((('CONTROL MASTER'!$S$2:$S$495=8)*('CONTROL MASTER'!$Z$2:$Z$495&lt;=9)*('CONTROL MASTER'!$AB$2:$AB$495&gt;=9)*('CONTROL MASTER'!$AA$2:$AA$495&lt;=2)*('CONTROL MASTER'!$AC$2:$AC$495&gt;=2))*ROW('CONTROL MASTER'!$S$2:$S$495))-(ROW('CONTROL MASTER'!#REF!)-1)))&amp;TRIM(MID(SUBSTITUTE(SUBSTITUTE(INDEX('CONTROL MASTER'!$N$2:$N$495,(SUMPRODUCT((('CONTROL MASTER'!$S$2:$S$495=8)*('CONTROL MASTER'!$Z$2:$Z$495&lt;=9)*('CONTROL MASTER'!$AB$2:$AB$495&gt;=9)*('CONTROL MASTER'!$AA$2:$AA$495&lt;=2)*('CONTROL MASTER'!$AC$2:$AC$495&gt;=2))*ROW('CONTROL MASTER'!$S$2:$S$495))-(ROW('CONTROL MASTER'!#REF!)-1))),":",","),",",REPT(" ",50)),(((INDEX('CONTROL MASTER'!$Y$2:$Y$495,(SUMPRODUCT((('CONTROL MASTER'!$S$2:$S$495=8)*('CONTROL MASTER'!$Z$2:$Z$495&lt;=9)*('CONTROL MASTER'!$AB$2:$AB$495&gt;=9)*('CONTROL MASTER'!$AA$2:$AA$495&lt;=2)*('CONTROL MASTER'!$AC$2:$AC$495&gt;=2))*ROW('CONTROL MASTER'!$S$2:$S$495))-(ROW('CONTROL MASTER'!#REF!)-1)))+((9-INDEX('CONTROL MASTER'!$Z$2:$Z$495,(SUMPRODUCT((('CONTROL MASTER'!$S$2:$S$495=8)*('CONTROL MASTER'!$Z$2:$Z$495&lt;=9)*('CONTROL MASTER'!$AB$2:$AB$495&gt;=9)*('CONTROL MASTER'!$AA$2:$AA$495&lt;=2)*('CONTROL MASTER'!$AC$2:$AC$495&gt;=2))*ROW('CONTROL MASTER'!$S$2:$S$495))-(ROW('CONTROL MASTER'!#REF!)-1))))*(INDEX('CONTROL MASTER'!$AC$2:$AC$495,(SUMPRODUCT((('CONTROL MASTER'!$S$2:$S$495=8)*('CONTROL MASTER'!$Z$2:$Z$495&lt;=9)*('CONTROL MASTER'!$AB$2:$AB$495&gt;=9)*('CONTROL MASTER'!$AA$2:$AA$495&lt;=2)*('CONTROL MASTER'!$AC$2:$AC$495&gt;=2))*ROW('CONTROL MASTER'!$S$2:$S$495))-(ROW('CONTROL MASTER'!#REF!)-1)))-INDEX('CONTROL MASTER'!$AA$2:$AA$495,(SUMPRODUCT((('CONTROL MASTER'!$S$2:$S$495=8)*('CONTROL MASTER'!$Z$2:$Z$495&lt;=9)*('CONTROL MASTER'!$AB$2:$AB$495&gt;=9)*('CONTROL MASTER'!$AA$2:$AA$495&lt;=2)*('CONTROL MASTER'!$AC$2:$AC$495&gt;=2))*ROW('CONTROL MASTER'!$S$2:$S$495))-(ROW('CONTROL MASTER'!#REF!)-1)))+1)+(2-INDEX('CONTROL MASTER'!$AA$2:$AA$495,(SUMPRODUCT((('CONTROL MASTER'!$S$2:$S$495=8)*('CONTROL MASTER'!$Z$2:$Z$495&lt;=9)*('CONTROL MASTER'!$AB$2:$AB$495&gt;=9)*('CONTROL MASTER'!$AA$2:$AA$495&lt;=2)*('CONTROL MASTER'!$AC$2:$AC$495&gt;=2))*ROW('CONTROL MASTER'!$S$2:$S$495))-(ROW('CONTROL MASTER'!#REF!)-1))))+1)))-1)*50+1,50))&amp;"_"&amp;INDEX('CONTROL MASTER'!$P$2:$P$495,(SUMPRODUCT((('CONTROL MASTER'!$S$2:$S$495=8)*('CONTROL MASTER'!$Z$2:$Z$495&lt;=9)*('CONTROL MASTER'!$AB$2:$AB$495&gt;=9)*('CONTROL MASTER'!$AA$2:$AA$495&lt;=2)*('CONTROL MASTER'!$AC$2:$AC$495&gt;=2))*ROW('CONTROL MASTER'!$S$2:$S$495))-(ROW('CONTROL MASTER'!#REF!)-1))),"")),"")</f>
        <v/>
      </c>
      <c r="D109" s="10" t="str">
        <f>IFERROR(IF(SUMPRODUCT((('CONTROL MASTER'!$S$2:$S$495=8)*('CONTROL MASTER'!$T$2:$T$495&lt;=9)*('CONTROL MASTER'!$V$2:$V$495&gt;=9)*('CONTROL MASTER'!$U$2:$U$495&lt;=3)*('CONTROL MASTER'!$W$2:$W$495&gt;=3))*ROW('CONTROL MASTER'!$S$2:$S$495))&gt;0,INDEX('CONTROL MASTER'!$X$2:$X$495,(SUMPRODUCT((('CONTROL MASTER'!$S$2:$S$495=8)*('CONTROL MASTER'!$T$2:$T$495&lt;=9)*('CONTROL MASTER'!$V$2:$V$495&gt;=9)*('CONTROL MASTER'!$U$2:$U$495&lt;=3)*('CONTROL MASTER'!$W$2:$W$495&gt;=3))*ROW('CONTROL MASTER'!$S$2:$S$495))-(ROW('CONTROL MASTER'!#REF!)-1)))&amp;TRIM(MID(SUBSTITUTE(SUBSTITUTE(INDEX('CONTROL MASTER'!$N$2:$N$495,(SUMPRODUCT((('CONTROL MASTER'!$S$2:$S$495=8)*('CONTROL MASTER'!$T$2:$T$495&lt;=9)*('CONTROL MASTER'!$V$2:$V$495&gt;=9)*('CONTROL MASTER'!$U$2:$U$495&lt;=3)*('CONTROL MASTER'!$W$2:$W$495&gt;=3))*ROW('CONTROL MASTER'!$S$2:$S$495))-(ROW('CONTROL MASTER'!#REF!)-1))),":",","),",",REPT(" ",50)),((((9-INDEX('CONTROL MASTER'!$T$2:$T$495,(SUMPRODUCT((('CONTROL MASTER'!$S$2:$S$495=8)*('CONTROL MASTER'!$T$2:$T$495&lt;=9)*('CONTROL MASTER'!$V$2:$V$495&gt;=9)*('CONTROL MASTER'!$U$2:$U$495&lt;=3)*('CONTROL MASTER'!$W$2:$W$495&gt;=3))*ROW('CONTROL MASTER'!$S$2:$S$495))-(ROW('CONTROL MASTER'!#REF!)-1))))*(INDEX('CONTROL MASTER'!$W$2:$W$495,(SUMPRODUCT((('CONTROL MASTER'!$S$2:$S$495=8)*('CONTROL MASTER'!$T$2:$T$495&lt;=9)*('CONTROL MASTER'!$V$2:$V$495&gt;=9)*('CONTROL MASTER'!$U$2:$U$495&lt;=3)*('CONTROL MASTER'!$W$2:$W$495&gt;=3))*ROW('CONTROL MASTER'!$S$2:$S$495))-(ROW('CONTROL MASTER'!#REF!)-1)))-INDEX('CONTROL MASTER'!$U$2:$U$495,(SUMPRODUCT((('CONTROL MASTER'!$S$2:$S$495=8)*('CONTROL MASTER'!$T$2:$T$495&lt;=9)*('CONTROL MASTER'!$V$2:$V$495&gt;=9)*('CONTROL MASTER'!$U$2:$U$495&lt;=3)*('CONTROL MASTER'!$W$2:$W$495&gt;=3))*ROW('CONTROL MASTER'!$S$2:$S$495))-(ROW('CONTROL MASTER'!#REF!)-1)))+1)+(3-INDEX('CONTROL MASTER'!$U$2:$U$495,(SUMPRODUCT((('CONTROL MASTER'!$S$2:$S$495=8)*('CONTROL MASTER'!$T$2:$T$495&lt;=9)*('CONTROL MASTER'!$V$2:$V$495&gt;=9)*('CONTROL MASTER'!$U$2:$U$495&lt;=3)*('CONTROL MASTER'!$W$2:$W$495&gt;=3))*ROW('CONTROL MASTER'!$S$2:$S$495))-(ROW('CONTROL MASTER'!#REF!)-1))))+1))-1)*50+1,50))&amp;"_"&amp;INDEX('CONTROL MASTER'!$P$2:$P$495,(SUMPRODUCT((('CONTROL MASTER'!$S$2:$S$495=8)*('CONTROL MASTER'!$T$2:$T$495&lt;=9)*('CONTROL MASTER'!$V$2:$V$495&gt;=9)*('CONTROL MASTER'!$U$2:$U$495&lt;=3)*('CONTROL MASTER'!$W$2:$W$495&gt;=3))*ROW('CONTROL MASTER'!$S$2:$S$495))-(ROW('CONTROL MASTER'!#REF!)-1))),IF(SUMPRODUCT((('CONTROL MASTER'!$S$2:$S$495=8)*('CONTROL MASTER'!$Z$2:$Z$495&lt;=9)*('CONTROL MASTER'!$AB$2:$AB$495&gt;=9)*('CONTROL MASTER'!$AA$2:$AA$495&lt;=3)*('CONTROL MASTER'!$AC$2:$AC$495&gt;=3))*ROW('CONTROL MASTER'!$S$2:$S$495))&gt;0,INDEX('CONTROL MASTER'!$X$2:$X$495,(SUMPRODUCT((('CONTROL MASTER'!$S$2:$S$495=8)*('CONTROL MASTER'!$Z$2:$Z$495&lt;=9)*('CONTROL MASTER'!$AB$2:$AB$495&gt;=9)*('CONTROL MASTER'!$AA$2:$AA$495&lt;=3)*('CONTROL MASTER'!$AC$2:$AC$495&gt;=3))*ROW('CONTROL MASTER'!$S$2:$S$495))-(ROW('CONTROL MASTER'!#REF!)-1)))&amp;TRIM(MID(SUBSTITUTE(SUBSTITUTE(INDEX('CONTROL MASTER'!$N$2:$N$495,(SUMPRODUCT((('CONTROL MASTER'!$S$2:$S$495=8)*('CONTROL MASTER'!$Z$2:$Z$495&lt;=9)*('CONTROL MASTER'!$AB$2:$AB$495&gt;=9)*('CONTROL MASTER'!$AA$2:$AA$495&lt;=3)*('CONTROL MASTER'!$AC$2:$AC$495&gt;=3))*ROW('CONTROL MASTER'!$S$2:$S$495))-(ROW('CONTROL MASTER'!#REF!)-1))),":",","),",",REPT(" ",50)),(((INDEX('CONTROL MASTER'!$Y$2:$Y$495,(SUMPRODUCT((('CONTROL MASTER'!$S$2:$S$495=8)*('CONTROL MASTER'!$Z$2:$Z$495&lt;=9)*('CONTROL MASTER'!$AB$2:$AB$495&gt;=9)*('CONTROL MASTER'!$AA$2:$AA$495&lt;=3)*('CONTROL MASTER'!$AC$2:$AC$495&gt;=3))*ROW('CONTROL MASTER'!$S$2:$S$495))-(ROW('CONTROL MASTER'!#REF!)-1)))+((9-INDEX('CONTROL MASTER'!$Z$2:$Z$495,(SUMPRODUCT((('CONTROL MASTER'!$S$2:$S$495=8)*('CONTROL MASTER'!$Z$2:$Z$495&lt;=9)*('CONTROL MASTER'!$AB$2:$AB$495&gt;=9)*('CONTROL MASTER'!$AA$2:$AA$495&lt;=3)*('CONTROL MASTER'!$AC$2:$AC$495&gt;=3))*ROW('CONTROL MASTER'!$S$2:$S$495))-(ROW('CONTROL MASTER'!#REF!)-1))))*(INDEX('CONTROL MASTER'!$AC$2:$AC$495,(SUMPRODUCT((('CONTROL MASTER'!$S$2:$S$495=8)*('CONTROL MASTER'!$Z$2:$Z$495&lt;=9)*('CONTROL MASTER'!$AB$2:$AB$495&gt;=9)*('CONTROL MASTER'!$AA$2:$AA$495&lt;=3)*('CONTROL MASTER'!$AC$2:$AC$495&gt;=3))*ROW('CONTROL MASTER'!$S$2:$S$495))-(ROW('CONTROL MASTER'!#REF!)-1)))-INDEX('CONTROL MASTER'!$AA$2:$AA$495,(SUMPRODUCT((('CONTROL MASTER'!$S$2:$S$495=8)*('CONTROL MASTER'!$Z$2:$Z$495&lt;=9)*('CONTROL MASTER'!$AB$2:$AB$495&gt;=9)*('CONTROL MASTER'!$AA$2:$AA$495&lt;=3)*('CONTROL MASTER'!$AC$2:$AC$495&gt;=3))*ROW('CONTROL MASTER'!$S$2:$S$495))-(ROW('CONTROL MASTER'!#REF!)-1)))+1)+(3-INDEX('CONTROL MASTER'!$AA$2:$AA$495,(SUMPRODUCT((('CONTROL MASTER'!$S$2:$S$495=8)*('CONTROL MASTER'!$Z$2:$Z$495&lt;=9)*('CONTROL MASTER'!$AB$2:$AB$495&gt;=9)*('CONTROL MASTER'!$AA$2:$AA$495&lt;=3)*('CONTROL MASTER'!$AC$2:$AC$495&gt;=3))*ROW('CONTROL MASTER'!$S$2:$S$495))-(ROW('CONTROL MASTER'!#REF!)-1))))+1)))-1)*50+1,50))&amp;"_"&amp;INDEX('CONTROL MASTER'!$P$2:$P$495,(SUMPRODUCT((('CONTROL MASTER'!$S$2:$S$495=8)*('CONTROL MASTER'!$Z$2:$Z$495&lt;=9)*('CONTROL MASTER'!$AB$2:$AB$495&gt;=9)*('CONTROL MASTER'!$AA$2:$AA$495&lt;=3)*('CONTROL MASTER'!$AC$2:$AC$495&gt;=3))*ROW('CONTROL MASTER'!$S$2:$S$495))-(ROW('CONTROL MASTER'!#REF!)-1))),"")),"")</f>
        <v/>
      </c>
      <c r="E109" s="10" t="str">
        <f>IFERROR(IF(SUMPRODUCT((('CONTROL MASTER'!$S$2:$S$495=8)*('CONTROL MASTER'!$T$2:$T$495&lt;=9)*('CONTROL MASTER'!$V$2:$V$495&gt;=9)*('CONTROL MASTER'!$U$2:$U$495&lt;=4)*('CONTROL MASTER'!$W$2:$W$495&gt;=4))*ROW('CONTROL MASTER'!$S$2:$S$495))&gt;0,INDEX('CONTROL MASTER'!$X$2:$X$495,(SUMPRODUCT((('CONTROL MASTER'!$S$2:$S$495=8)*('CONTROL MASTER'!$T$2:$T$495&lt;=9)*('CONTROL MASTER'!$V$2:$V$495&gt;=9)*('CONTROL MASTER'!$U$2:$U$495&lt;=4)*('CONTROL MASTER'!$W$2:$W$495&gt;=4))*ROW('CONTROL MASTER'!$S$2:$S$495))-(ROW('CONTROL MASTER'!#REF!)-1)))&amp;TRIM(MID(SUBSTITUTE(SUBSTITUTE(INDEX('CONTROL MASTER'!$N$2:$N$495,(SUMPRODUCT((('CONTROL MASTER'!$S$2:$S$495=8)*('CONTROL MASTER'!$T$2:$T$495&lt;=9)*('CONTROL MASTER'!$V$2:$V$495&gt;=9)*('CONTROL MASTER'!$U$2:$U$495&lt;=4)*('CONTROL MASTER'!$W$2:$W$495&gt;=4))*ROW('CONTROL MASTER'!$S$2:$S$495))-(ROW('CONTROL MASTER'!#REF!)-1))),":",","),",",REPT(" ",50)),((((9-INDEX('CONTROL MASTER'!$T$2:$T$495,(SUMPRODUCT((('CONTROL MASTER'!$S$2:$S$495=8)*('CONTROL MASTER'!$T$2:$T$495&lt;=9)*('CONTROL MASTER'!$V$2:$V$495&gt;=9)*('CONTROL MASTER'!$U$2:$U$495&lt;=4)*('CONTROL MASTER'!$W$2:$W$495&gt;=4))*ROW('CONTROL MASTER'!$S$2:$S$495))-(ROW('CONTROL MASTER'!#REF!)-1))))*(INDEX('CONTROL MASTER'!$W$2:$W$495,(SUMPRODUCT((('CONTROL MASTER'!$S$2:$S$495=8)*('CONTROL MASTER'!$T$2:$T$495&lt;=9)*('CONTROL MASTER'!$V$2:$V$495&gt;=9)*('CONTROL MASTER'!$U$2:$U$495&lt;=4)*('CONTROL MASTER'!$W$2:$W$495&gt;=4))*ROW('CONTROL MASTER'!$S$2:$S$495))-(ROW('CONTROL MASTER'!#REF!)-1)))-INDEX('CONTROL MASTER'!$U$2:$U$495,(SUMPRODUCT((('CONTROL MASTER'!$S$2:$S$495=8)*('CONTROL MASTER'!$T$2:$T$495&lt;=9)*('CONTROL MASTER'!$V$2:$V$495&gt;=9)*('CONTROL MASTER'!$U$2:$U$495&lt;=4)*('CONTROL MASTER'!$W$2:$W$495&gt;=4))*ROW('CONTROL MASTER'!$S$2:$S$495))-(ROW('CONTROL MASTER'!#REF!)-1)))+1)+(4-INDEX('CONTROL MASTER'!$U$2:$U$495,(SUMPRODUCT((('CONTROL MASTER'!$S$2:$S$495=8)*('CONTROL MASTER'!$T$2:$T$495&lt;=9)*('CONTROL MASTER'!$V$2:$V$495&gt;=9)*('CONTROL MASTER'!$U$2:$U$495&lt;=4)*('CONTROL MASTER'!$W$2:$W$495&gt;=4))*ROW('CONTROL MASTER'!$S$2:$S$495))-(ROW('CONTROL MASTER'!#REF!)-1))))+1))-1)*50+1,50))&amp;"_"&amp;INDEX('CONTROL MASTER'!$P$2:$P$495,(SUMPRODUCT((('CONTROL MASTER'!$S$2:$S$495=8)*('CONTROL MASTER'!$T$2:$T$495&lt;=9)*('CONTROL MASTER'!$V$2:$V$495&gt;=9)*('CONTROL MASTER'!$U$2:$U$495&lt;=4)*('CONTROL MASTER'!$W$2:$W$495&gt;=4))*ROW('CONTROL MASTER'!$S$2:$S$495))-(ROW('CONTROL MASTER'!#REF!)-1))),IF(SUMPRODUCT((('CONTROL MASTER'!$S$2:$S$495=8)*('CONTROL MASTER'!$Z$2:$Z$495&lt;=9)*('CONTROL MASTER'!$AB$2:$AB$495&gt;=9)*('CONTROL MASTER'!$AA$2:$AA$495&lt;=4)*('CONTROL MASTER'!$AC$2:$AC$495&gt;=4))*ROW('CONTROL MASTER'!$S$2:$S$495))&gt;0,INDEX('CONTROL MASTER'!$X$2:$X$495,(SUMPRODUCT((('CONTROL MASTER'!$S$2:$S$495=8)*('CONTROL MASTER'!$Z$2:$Z$495&lt;=9)*('CONTROL MASTER'!$AB$2:$AB$495&gt;=9)*('CONTROL MASTER'!$AA$2:$AA$495&lt;=4)*('CONTROL MASTER'!$AC$2:$AC$495&gt;=4))*ROW('CONTROL MASTER'!$S$2:$S$495))-(ROW('CONTROL MASTER'!#REF!)-1)))&amp;TRIM(MID(SUBSTITUTE(SUBSTITUTE(INDEX('CONTROL MASTER'!$N$2:$N$495,(SUMPRODUCT((('CONTROL MASTER'!$S$2:$S$495=8)*('CONTROL MASTER'!$Z$2:$Z$495&lt;=9)*('CONTROL MASTER'!$AB$2:$AB$495&gt;=9)*('CONTROL MASTER'!$AA$2:$AA$495&lt;=4)*('CONTROL MASTER'!$AC$2:$AC$495&gt;=4))*ROW('CONTROL MASTER'!$S$2:$S$495))-(ROW('CONTROL MASTER'!#REF!)-1))),":",","),",",REPT(" ",50)),(((INDEX('CONTROL MASTER'!$Y$2:$Y$495,(SUMPRODUCT((('CONTROL MASTER'!$S$2:$S$495=8)*('CONTROL MASTER'!$Z$2:$Z$495&lt;=9)*('CONTROL MASTER'!$AB$2:$AB$495&gt;=9)*('CONTROL MASTER'!$AA$2:$AA$495&lt;=4)*('CONTROL MASTER'!$AC$2:$AC$495&gt;=4))*ROW('CONTROL MASTER'!$S$2:$S$495))-(ROW('CONTROL MASTER'!#REF!)-1)))+((9-INDEX('CONTROL MASTER'!$Z$2:$Z$495,(SUMPRODUCT((('CONTROL MASTER'!$S$2:$S$495=8)*('CONTROL MASTER'!$Z$2:$Z$495&lt;=9)*('CONTROL MASTER'!$AB$2:$AB$495&gt;=9)*('CONTROL MASTER'!$AA$2:$AA$495&lt;=4)*('CONTROL MASTER'!$AC$2:$AC$495&gt;=4))*ROW('CONTROL MASTER'!$S$2:$S$495))-(ROW('CONTROL MASTER'!#REF!)-1))))*(INDEX('CONTROL MASTER'!$AC$2:$AC$495,(SUMPRODUCT((('CONTROL MASTER'!$S$2:$S$495=8)*('CONTROL MASTER'!$Z$2:$Z$495&lt;=9)*('CONTROL MASTER'!$AB$2:$AB$495&gt;=9)*('CONTROL MASTER'!$AA$2:$AA$495&lt;=4)*('CONTROL MASTER'!$AC$2:$AC$495&gt;=4))*ROW('CONTROL MASTER'!$S$2:$S$495))-(ROW('CONTROL MASTER'!#REF!)-1)))-INDEX('CONTROL MASTER'!$AA$2:$AA$495,(SUMPRODUCT((('CONTROL MASTER'!$S$2:$S$495=8)*('CONTROL MASTER'!$Z$2:$Z$495&lt;=9)*('CONTROL MASTER'!$AB$2:$AB$495&gt;=9)*('CONTROL MASTER'!$AA$2:$AA$495&lt;=4)*('CONTROL MASTER'!$AC$2:$AC$495&gt;=4))*ROW('CONTROL MASTER'!$S$2:$S$495))-(ROW('CONTROL MASTER'!#REF!)-1)))+1)+(4-INDEX('CONTROL MASTER'!$AA$2:$AA$495,(SUMPRODUCT((('CONTROL MASTER'!$S$2:$S$495=8)*('CONTROL MASTER'!$Z$2:$Z$495&lt;=9)*('CONTROL MASTER'!$AB$2:$AB$495&gt;=9)*('CONTROL MASTER'!$AA$2:$AA$495&lt;=4)*('CONTROL MASTER'!$AC$2:$AC$495&gt;=4))*ROW('CONTROL MASTER'!$S$2:$S$495))-(ROW('CONTROL MASTER'!#REF!)-1))))+1)))-1)*50+1,50))&amp;"_"&amp;INDEX('CONTROL MASTER'!$P$2:$P$495,(SUMPRODUCT((('CONTROL MASTER'!$S$2:$S$495=8)*('CONTROL MASTER'!$Z$2:$Z$495&lt;=9)*('CONTROL MASTER'!$AB$2:$AB$495&gt;=9)*('CONTROL MASTER'!$AA$2:$AA$495&lt;=4)*('CONTROL MASTER'!$AC$2:$AC$495&gt;=4))*ROW('CONTROL MASTER'!$S$2:$S$495))-(ROW('CONTROL MASTER'!#REF!)-1))),"")),"")</f>
        <v/>
      </c>
      <c r="F109" s="10" t="str">
        <f>IFERROR(IF(SUMPRODUCT((('CONTROL MASTER'!$S$2:$S$495=8)*('CONTROL MASTER'!$T$2:$T$495&lt;=9)*('CONTROL MASTER'!$V$2:$V$495&gt;=9)*('CONTROL MASTER'!$U$2:$U$495&lt;=5)*('CONTROL MASTER'!$W$2:$W$495&gt;=5))*ROW('CONTROL MASTER'!$S$2:$S$495))&gt;0,INDEX('CONTROL MASTER'!$X$2:$X$495,(SUMPRODUCT((('CONTROL MASTER'!$S$2:$S$495=8)*('CONTROL MASTER'!$T$2:$T$495&lt;=9)*('CONTROL MASTER'!$V$2:$V$495&gt;=9)*('CONTROL MASTER'!$U$2:$U$495&lt;=5)*('CONTROL MASTER'!$W$2:$W$495&gt;=5))*ROW('CONTROL MASTER'!$S$2:$S$495))-(ROW('CONTROL MASTER'!#REF!)-1)))&amp;TRIM(MID(SUBSTITUTE(SUBSTITUTE(INDEX('CONTROL MASTER'!$N$2:$N$495,(SUMPRODUCT((('CONTROL MASTER'!$S$2:$S$495=8)*('CONTROL MASTER'!$T$2:$T$495&lt;=9)*('CONTROL MASTER'!$V$2:$V$495&gt;=9)*('CONTROL MASTER'!$U$2:$U$495&lt;=5)*('CONTROL MASTER'!$W$2:$W$495&gt;=5))*ROW('CONTROL MASTER'!$S$2:$S$495))-(ROW('CONTROL MASTER'!#REF!)-1))),":",","),",",REPT(" ",50)),((((9-INDEX('CONTROL MASTER'!$T$2:$T$495,(SUMPRODUCT((('CONTROL MASTER'!$S$2:$S$495=8)*('CONTROL MASTER'!$T$2:$T$495&lt;=9)*('CONTROL MASTER'!$V$2:$V$495&gt;=9)*('CONTROL MASTER'!$U$2:$U$495&lt;=5)*('CONTROL MASTER'!$W$2:$W$495&gt;=5))*ROW('CONTROL MASTER'!$S$2:$S$495))-(ROW('CONTROL MASTER'!#REF!)-1))))*(INDEX('CONTROL MASTER'!$W$2:$W$495,(SUMPRODUCT((('CONTROL MASTER'!$S$2:$S$495=8)*('CONTROL MASTER'!$T$2:$T$495&lt;=9)*('CONTROL MASTER'!$V$2:$V$495&gt;=9)*('CONTROL MASTER'!$U$2:$U$495&lt;=5)*('CONTROL MASTER'!$W$2:$W$495&gt;=5))*ROW('CONTROL MASTER'!$S$2:$S$495))-(ROW('CONTROL MASTER'!#REF!)-1)))-INDEX('CONTROL MASTER'!$U$2:$U$495,(SUMPRODUCT((('CONTROL MASTER'!$S$2:$S$495=8)*('CONTROL MASTER'!$T$2:$T$495&lt;=9)*('CONTROL MASTER'!$V$2:$V$495&gt;=9)*('CONTROL MASTER'!$U$2:$U$495&lt;=5)*('CONTROL MASTER'!$W$2:$W$495&gt;=5))*ROW('CONTROL MASTER'!$S$2:$S$495))-(ROW('CONTROL MASTER'!#REF!)-1)))+1)+(5-INDEX('CONTROL MASTER'!$U$2:$U$495,(SUMPRODUCT((('CONTROL MASTER'!$S$2:$S$495=8)*('CONTROL MASTER'!$T$2:$T$495&lt;=9)*('CONTROL MASTER'!$V$2:$V$495&gt;=9)*('CONTROL MASTER'!$U$2:$U$495&lt;=5)*('CONTROL MASTER'!$W$2:$W$495&gt;=5))*ROW('CONTROL MASTER'!$S$2:$S$495))-(ROW('CONTROL MASTER'!#REF!)-1))))+1))-1)*50+1,50))&amp;"_"&amp;INDEX('CONTROL MASTER'!$P$2:$P$495,(SUMPRODUCT((('CONTROL MASTER'!$S$2:$S$495=8)*('CONTROL MASTER'!$T$2:$T$495&lt;=9)*('CONTROL MASTER'!$V$2:$V$495&gt;=9)*('CONTROL MASTER'!$U$2:$U$495&lt;=5)*('CONTROL MASTER'!$W$2:$W$495&gt;=5))*ROW('CONTROL MASTER'!$S$2:$S$495))-(ROW('CONTROL MASTER'!#REF!)-1))),IF(SUMPRODUCT((('CONTROL MASTER'!$S$2:$S$495=8)*('CONTROL MASTER'!$Z$2:$Z$495&lt;=9)*('CONTROL MASTER'!$AB$2:$AB$495&gt;=9)*('CONTROL MASTER'!$AA$2:$AA$495&lt;=5)*('CONTROL MASTER'!$AC$2:$AC$495&gt;=5))*ROW('CONTROL MASTER'!$S$2:$S$495))&gt;0,INDEX('CONTROL MASTER'!$X$2:$X$495,(SUMPRODUCT((('CONTROL MASTER'!$S$2:$S$495=8)*('CONTROL MASTER'!$Z$2:$Z$495&lt;=9)*('CONTROL MASTER'!$AB$2:$AB$495&gt;=9)*('CONTROL MASTER'!$AA$2:$AA$495&lt;=5)*('CONTROL MASTER'!$AC$2:$AC$495&gt;=5))*ROW('CONTROL MASTER'!$S$2:$S$495))-(ROW('CONTROL MASTER'!#REF!)-1)))&amp;TRIM(MID(SUBSTITUTE(SUBSTITUTE(INDEX('CONTROL MASTER'!$N$2:$N$495,(SUMPRODUCT((('CONTROL MASTER'!$S$2:$S$495=8)*('CONTROL MASTER'!$Z$2:$Z$495&lt;=9)*('CONTROL MASTER'!$AB$2:$AB$495&gt;=9)*('CONTROL MASTER'!$AA$2:$AA$495&lt;=5)*('CONTROL MASTER'!$AC$2:$AC$495&gt;=5))*ROW('CONTROL MASTER'!$S$2:$S$495))-(ROW('CONTROL MASTER'!#REF!)-1))),":",","),",",REPT(" ",50)),(((INDEX('CONTROL MASTER'!$Y$2:$Y$495,(SUMPRODUCT((('CONTROL MASTER'!$S$2:$S$495=8)*('CONTROL MASTER'!$Z$2:$Z$495&lt;=9)*('CONTROL MASTER'!$AB$2:$AB$495&gt;=9)*('CONTROL MASTER'!$AA$2:$AA$495&lt;=5)*('CONTROL MASTER'!$AC$2:$AC$495&gt;=5))*ROW('CONTROL MASTER'!$S$2:$S$495))-(ROW('CONTROL MASTER'!#REF!)-1)))+((9-INDEX('CONTROL MASTER'!$Z$2:$Z$495,(SUMPRODUCT((('CONTROL MASTER'!$S$2:$S$495=8)*('CONTROL MASTER'!$Z$2:$Z$495&lt;=9)*('CONTROL MASTER'!$AB$2:$AB$495&gt;=9)*('CONTROL MASTER'!$AA$2:$AA$495&lt;=5)*('CONTROL MASTER'!$AC$2:$AC$495&gt;=5))*ROW('CONTROL MASTER'!$S$2:$S$495))-(ROW('CONTROL MASTER'!#REF!)-1))))*(INDEX('CONTROL MASTER'!$AC$2:$AC$495,(SUMPRODUCT((('CONTROL MASTER'!$S$2:$S$495=8)*('CONTROL MASTER'!$Z$2:$Z$495&lt;=9)*('CONTROL MASTER'!$AB$2:$AB$495&gt;=9)*('CONTROL MASTER'!$AA$2:$AA$495&lt;=5)*('CONTROL MASTER'!$AC$2:$AC$495&gt;=5))*ROW('CONTROL MASTER'!$S$2:$S$495))-(ROW('CONTROL MASTER'!#REF!)-1)))-INDEX('CONTROL MASTER'!$AA$2:$AA$495,(SUMPRODUCT((('CONTROL MASTER'!$S$2:$S$495=8)*('CONTROL MASTER'!$Z$2:$Z$495&lt;=9)*('CONTROL MASTER'!$AB$2:$AB$495&gt;=9)*('CONTROL MASTER'!$AA$2:$AA$495&lt;=5)*('CONTROL MASTER'!$AC$2:$AC$495&gt;=5))*ROW('CONTROL MASTER'!$S$2:$S$495))-(ROW('CONTROL MASTER'!#REF!)-1)))+1)+(5-INDEX('CONTROL MASTER'!$AA$2:$AA$495,(SUMPRODUCT((('CONTROL MASTER'!$S$2:$S$495=8)*('CONTROL MASTER'!$Z$2:$Z$495&lt;=9)*('CONTROL MASTER'!$AB$2:$AB$495&gt;=9)*('CONTROL MASTER'!$AA$2:$AA$495&lt;=5)*('CONTROL MASTER'!$AC$2:$AC$495&gt;=5))*ROW('CONTROL MASTER'!$S$2:$S$495))-(ROW('CONTROL MASTER'!#REF!)-1))))+1)))-1)*50+1,50))&amp;"_"&amp;INDEX('CONTROL MASTER'!$P$2:$P$495,(SUMPRODUCT((('CONTROL MASTER'!$S$2:$S$495=8)*('CONTROL MASTER'!$Z$2:$Z$495&lt;=9)*('CONTROL MASTER'!$AB$2:$AB$495&gt;=9)*('CONTROL MASTER'!$AA$2:$AA$495&lt;=5)*('CONTROL MASTER'!$AC$2:$AC$495&gt;=5))*ROW('CONTROL MASTER'!$S$2:$S$495))-(ROW('CONTROL MASTER'!#REF!)-1))),"")),"")</f>
        <v/>
      </c>
      <c r="G109" s="10" t="str">
        <f>IFERROR(IF(SUMPRODUCT((('CONTROL MASTER'!$S$2:$S$495=8)*('CONTROL MASTER'!$T$2:$T$495&lt;=9)*('CONTROL MASTER'!$V$2:$V$495&gt;=9)*('CONTROL MASTER'!$U$2:$U$495&lt;=6)*('CONTROL MASTER'!$W$2:$W$495&gt;=6))*ROW('CONTROL MASTER'!$S$2:$S$495))&gt;0,INDEX('CONTROL MASTER'!$X$2:$X$495,(SUMPRODUCT((('CONTROL MASTER'!$S$2:$S$495=8)*('CONTROL MASTER'!$T$2:$T$495&lt;=9)*('CONTROL MASTER'!$V$2:$V$495&gt;=9)*('CONTROL MASTER'!$U$2:$U$495&lt;=6)*('CONTROL MASTER'!$W$2:$W$495&gt;=6))*ROW('CONTROL MASTER'!$S$2:$S$495))-(ROW('CONTROL MASTER'!#REF!)-1)))&amp;TRIM(MID(SUBSTITUTE(SUBSTITUTE(INDEX('CONTROL MASTER'!$N$2:$N$495,(SUMPRODUCT((('CONTROL MASTER'!$S$2:$S$495=8)*('CONTROL MASTER'!$T$2:$T$495&lt;=9)*('CONTROL MASTER'!$V$2:$V$495&gt;=9)*('CONTROL MASTER'!$U$2:$U$495&lt;=6)*('CONTROL MASTER'!$W$2:$W$495&gt;=6))*ROW('CONTROL MASTER'!$S$2:$S$495))-(ROW('CONTROL MASTER'!#REF!)-1))),":",","),",",REPT(" ",50)),((((9-INDEX('CONTROL MASTER'!$T$2:$T$495,(SUMPRODUCT((('CONTROL MASTER'!$S$2:$S$495=8)*('CONTROL MASTER'!$T$2:$T$495&lt;=9)*('CONTROL MASTER'!$V$2:$V$495&gt;=9)*('CONTROL MASTER'!$U$2:$U$495&lt;=6)*('CONTROL MASTER'!$W$2:$W$495&gt;=6))*ROW('CONTROL MASTER'!$S$2:$S$495))-(ROW('CONTROL MASTER'!#REF!)-1))))*(INDEX('CONTROL MASTER'!$W$2:$W$495,(SUMPRODUCT((('CONTROL MASTER'!$S$2:$S$495=8)*('CONTROL MASTER'!$T$2:$T$495&lt;=9)*('CONTROL MASTER'!$V$2:$V$495&gt;=9)*('CONTROL MASTER'!$U$2:$U$495&lt;=6)*('CONTROL MASTER'!$W$2:$W$495&gt;=6))*ROW('CONTROL MASTER'!$S$2:$S$495))-(ROW('CONTROL MASTER'!#REF!)-1)))-INDEX('CONTROL MASTER'!$U$2:$U$495,(SUMPRODUCT((('CONTROL MASTER'!$S$2:$S$495=8)*('CONTROL MASTER'!$T$2:$T$495&lt;=9)*('CONTROL MASTER'!$V$2:$V$495&gt;=9)*('CONTROL MASTER'!$U$2:$U$495&lt;=6)*('CONTROL MASTER'!$W$2:$W$495&gt;=6))*ROW('CONTROL MASTER'!$S$2:$S$495))-(ROW('CONTROL MASTER'!#REF!)-1)))+1)+(6-INDEX('CONTROL MASTER'!$U$2:$U$495,(SUMPRODUCT((('CONTROL MASTER'!$S$2:$S$495=8)*('CONTROL MASTER'!$T$2:$T$495&lt;=9)*('CONTROL MASTER'!$V$2:$V$495&gt;=9)*('CONTROL MASTER'!$U$2:$U$495&lt;=6)*('CONTROL MASTER'!$W$2:$W$495&gt;=6))*ROW('CONTROL MASTER'!$S$2:$S$495))-(ROW('CONTROL MASTER'!#REF!)-1))))+1))-1)*50+1,50))&amp;"_"&amp;INDEX('CONTROL MASTER'!$P$2:$P$495,(SUMPRODUCT((('CONTROL MASTER'!$S$2:$S$495=8)*('CONTROL MASTER'!$T$2:$T$495&lt;=9)*('CONTROL MASTER'!$V$2:$V$495&gt;=9)*('CONTROL MASTER'!$U$2:$U$495&lt;=6)*('CONTROL MASTER'!$W$2:$W$495&gt;=6))*ROW('CONTROL MASTER'!$S$2:$S$495))-(ROW('CONTROL MASTER'!#REF!)-1))),IF(SUMPRODUCT((('CONTROL MASTER'!$S$2:$S$495=8)*('CONTROL MASTER'!$Z$2:$Z$495&lt;=9)*('CONTROL MASTER'!$AB$2:$AB$495&gt;=9)*('CONTROL MASTER'!$AA$2:$AA$495&lt;=6)*('CONTROL MASTER'!$AC$2:$AC$495&gt;=6))*ROW('CONTROL MASTER'!$S$2:$S$495))&gt;0,INDEX('CONTROL MASTER'!$X$2:$X$495,(SUMPRODUCT((('CONTROL MASTER'!$S$2:$S$495=8)*('CONTROL MASTER'!$Z$2:$Z$495&lt;=9)*('CONTROL MASTER'!$AB$2:$AB$495&gt;=9)*('CONTROL MASTER'!$AA$2:$AA$495&lt;=6)*('CONTROL MASTER'!$AC$2:$AC$495&gt;=6))*ROW('CONTROL MASTER'!$S$2:$S$495))-(ROW('CONTROL MASTER'!#REF!)-1)))&amp;TRIM(MID(SUBSTITUTE(SUBSTITUTE(INDEX('CONTROL MASTER'!$N$2:$N$495,(SUMPRODUCT((('CONTROL MASTER'!$S$2:$S$495=8)*('CONTROL MASTER'!$Z$2:$Z$495&lt;=9)*('CONTROL MASTER'!$AB$2:$AB$495&gt;=9)*('CONTROL MASTER'!$AA$2:$AA$495&lt;=6)*('CONTROL MASTER'!$AC$2:$AC$495&gt;=6))*ROW('CONTROL MASTER'!$S$2:$S$495))-(ROW('CONTROL MASTER'!#REF!)-1))),":",","),",",REPT(" ",50)),(((INDEX('CONTROL MASTER'!$Y$2:$Y$495,(SUMPRODUCT((('CONTROL MASTER'!$S$2:$S$495=8)*('CONTROL MASTER'!$Z$2:$Z$495&lt;=9)*('CONTROL MASTER'!$AB$2:$AB$495&gt;=9)*('CONTROL MASTER'!$AA$2:$AA$495&lt;=6)*('CONTROL MASTER'!$AC$2:$AC$495&gt;=6))*ROW('CONTROL MASTER'!$S$2:$S$495))-(ROW('CONTROL MASTER'!#REF!)-1)))+((9-INDEX('CONTROL MASTER'!$Z$2:$Z$495,(SUMPRODUCT((('CONTROL MASTER'!$S$2:$S$495=8)*('CONTROL MASTER'!$Z$2:$Z$495&lt;=9)*('CONTROL MASTER'!$AB$2:$AB$495&gt;=9)*('CONTROL MASTER'!$AA$2:$AA$495&lt;=6)*('CONTROL MASTER'!$AC$2:$AC$495&gt;=6))*ROW('CONTROL MASTER'!$S$2:$S$495))-(ROW('CONTROL MASTER'!#REF!)-1))))*(INDEX('CONTROL MASTER'!$AC$2:$AC$495,(SUMPRODUCT((('CONTROL MASTER'!$S$2:$S$495=8)*('CONTROL MASTER'!$Z$2:$Z$495&lt;=9)*('CONTROL MASTER'!$AB$2:$AB$495&gt;=9)*('CONTROL MASTER'!$AA$2:$AA$495&lt;=6)*('CONTROL MASTER'!$AC$2:$AC$495&gt;=6))*ROW('CONTROL MASTER'!$S$2:$S$495))-(ROW('CONTROL MASTER'!#REF!)-1)))-INDEX('CONTROL MASTER'!$AA$2:$AA$495,(SUMPRODUCT((('CONTROL MASTER'!$S$2:$S$495=8)*('CONTROL MASTER'!$Z$2:$Z$495&lt;=9)*('CONTROL MASTER'!$AB$2:$AB$495&gt;=9)*('CONTROL MASTER'!$AA$2:$AA$495&lt;=6)*('CONTROL MASTER'!$AC$2:$AC$495&gt;=6))*ROW('CONTROL MASTER'!$S$2:$S$495))-(ROW('CONTROL MASTER'!#REF!)-1)))+1)+(6-INDEX('CONTROL MASTER'!$AA$2:$AA$495,(SUMPRODUCT((('CONTROL MASTER'!$S$2:$S$495=8)*('CONTROL MASTER'!$Z$2:$Z$495&lt;=9)*('CONTROL MASTER'!$AB$2:$AB$495&gt;=9)*('CONTROL MASTER'!$AA$2:$AA$495&lt;=6)*('CONTROL MASTER'!$AC$2:$AC$495&gt;=6))*ROW('CONTROL MASTER'!$S$2:$S$495))-(ROW('CONTROL MASTER'!#REF!)-1))))+1)))-1)*50+1,50))&amp;"_"&amp;INDEX('CONTROL MASTER'!$P$2:$P$495,(SUMPRODUCT((('CONTROL MASTER'!$S$2:$S$495=8)*('CONTROL MASTER'!$Z$2:$Z$495&lt;=9)*('CONTROL MASTER'!$AB$2:$AB$495&gt;=9)*('CONTROL MASTER'!$AA$2:$AA$495&lt;=6)*('CONTROL MASTER'!$AC$2:$AC$495&gt;=6))*ROW('CONTROL MASTER'!$S$2:$S$495))-(ROW('CONTROL MASTER'!#REF!)-1))),"")),"")</f>
        <v/>
      </c>
      <c r="H109" s="10" t="str">
        <f>IFERROR(IF(SUMPRODUCT((('CONTROL MASTER'!$S$2:$S$495=8)*('CONTROL MASTER'!$T$2:$T$495&lt;=9)*('CONTROL MASTER'!$V$2:$V$495&gt;=9)*('CONTROL MASTER'!$U$2:$U$495&lt;=7)*('CONTROL MASTER'!$W$2:$W$495&gt;=7))*ROW('CONTROL MASTER'!$S$2:$S$495))&gt;0,INDEX('CONTROL MASTER'!$X$2:$X$495,(SUMPRODUCT((('CONTROL MASTER'!$S$2:$S$495=8)*('CONTROL MASTER'!$T$2:$T$495&lt;=9)*('CONTROL MASTER'!$V$2:$V$495&gt;=9)*('CONTROL MASTER'!$U$2:$U$495&lt;=7)*('CONTROL MASTER'!$W$2:$W$495&gt;=7))*ROW('CONTROL MASTER'!$S$2:$S$495))-(ROW('CONTROL MASTER'!#REF!)-1)))&amp;TRIM(MID(SUBSTITUTE(SUBSTITUTE(INDEX('CONTROL MASTER'!$N$2:$N$495,(SUMPRODUCT((('CONTROL MASTER'!$S$2:$S$495=8)*('CONTROL MASTER'!$T$2:$T$495&lt;=9)*('CONTROL MASTER'!$V$2:$V$495&gt;=9)*('CONTROL MASTER'!$U$2:$U$495&lt;=7)*('CONTROL MASTER'!$W$2:$W$495&gt;=7))*ROW('CONTROL MASTER'!$S$2:$S$495))-(ROW('CONTROL MASTER'!#REF!)-1))),":",","),",",REPT(" ",50)),((((9-INDEX('CONTROL MASTER'!$T$2:$T$495,(SUMPRODUCT((('CONTROL MASTER'!$S$2:$S$495=8)*('CONTROL MASTER'!$T$2:$T$495&lt;=9)*('CONTROL MASTER'!$V$2:$V$495&gt;=9)*('CONTROL MASTER'!$U$2:$U$495&lt;=7)*('CONTROL MASTER'!$W$2:$W$495&gt;=7))*ROW('CONTROL MASTER'!$S$2:$S$495))-(ROW('CONTROL MASTER'!#REF!)-1))))*(INDEX('CONTROL MASTER'!$W$2:$W$495,(SUMPRODUCT((('CONTROL MASTER'!$S$2:$S$495=8)*('CONTROL MASTER'!$T$2:$T$495&lt;=9)*('CONTROL MASTER'!$V$2:$V$495&gt;=9)*('CONTROL MASTER'!$U$2:$U$495&lt;=7)*('CONTROL MASTER'!$W$2:$W$495&gt;=7))*ROW('CONTROL MASTER'!$S$2:$S$495))-(ROW('CONTROL MASTER'!#REF!)-1)))-INDEX('CONTROL MASTER'!$U$2:$U$495,(SUMPRODUCT((('CONTROL MASTER'!$S$2:$S$495=8)*('CONTROL MASTER'!$T$2:$T$495&lt;=9)*('CONTROL MASTER'!$V$2:$V$495&gt;=9)*('CONTROL MASTER'!$U$2:$U$495&lt;=7)*('CONTROL MASTER'!$W$2:$W$495&gt;=7))*ROW('CONTROL MASTER'!$S$2:$S$495))-(ROW('CONTROL MASTER'!#REF!)-1)))+1)+(7-INDEX('CONTROL MASTER'!$U$2:$U$495,(SUMPRODUCT((('CONTROL MASTER'!$S$2:$S$495=8)*('CONTROL MASTER'!$T$2:$T$495&lt;=9)*('CONTROL MASTER'!$V$2:$V$495&gt;=9)*('CONTROL MASTER'!$U$2:$U$495&lt;=7)*('CONTROL MASTER'!$W$2:$W$495&gt;=7))*ROW('CONTROL MASTER'!$S$2:$S$495))-(ROW('CONTROL MASTER'!#REF!)-1))))+1))-1)*50+1,50))&amp;"_"&amp;INDEX('CONTROL MASTER'!$P$2:$P$495,(SUMPRODUCT((('CONTROL MASTER'!$S$2:$S$495=8)*('CONTROL MASTER'!$T$2:$T$495&lt;=9)*('CONTROL MASTER'!$V$2:$V$495&gt;=9)*('CONTROL MASTER'!$U$2:$U$495&lt;=7)*('CONTROL MASTER'!$W$2:$W$495&gt;=7))*ROW('CONTROL MASTER'!$S$2:$S$495))-(ROW('CONTROL MASTER'!#REF!)-1))),IF(SUMPRODUCT((('CONTROL MASTER'!$S$2:$S$495=8)*('CONTROL MASTER'!$Z$2:$Z$495&lt;=9)*('CONTROL MASTER'!$AB$2:$AB$495&gt;=9)*('CONTROL MASTER'!$AA$2:$AA$495&lt;=7)*('CONTROL MASTER'!$AC$2:$AC$495&gt;=7))*ROW('CONTROL MASTER'!$S$2:$S$495))&gt;0,INDEX('CONTROL MASTER'!$X$2:$X$495,(SUMPRODUCT((('CONTROL MASTER'!$S$2:$S$495=8)*('CONTROL MASTER'!$Z$2:$Z$495&lt;=9)*('CONTROL MASTER'!$AB$2:$AB$495&gt;=9)*('CONTROL MASTER'!$AA$2:$AA$495&lt;=7)*('CONTROL MASTER'!$AC$2:$AC$495&gt;=7))*ROW('CONTROL MASTER'!$S$2:$S$495))-(ROW('CONTROL MASTER'!#REF!)-1)))&amp;TRIM(MID(SUBSTITUTE(SUBSTITUTE(INDEX('CONTROL MASTER'!$N$2:$N$495,(SUMPRODUCT((('CONTROL MASTER'!$S$2:$S$495=8)*('CONTROL MASTER'!$Z$2:$Z$495&lt;=9)*('CONTROL MASTER'!$AB$2:$AB$495&gt;=9)*('CONTROL MASTER'!$AA$2:$AA$495&lt;=7)*('CONTROL MASTER'!$AC$2:$AC$495&gt;=7))*ROW('CONTROL MASTER'!$S$2:$S$495))-(ROW('CONTROL MASTER'!#REF!)-1))),":",","),",",REPT(" ",50)),(((INDEX('CONTROL MASTER'!$Y$2:$Y$495,(SUMPRODUCT((('CONTROL MASTER'!$S$2:$S$495=8)*('CONTROL MASTER'!$Z$2:$Z$495&lt;=9)*('CONTROL MASTER'!$AB$2:$AB$495&gt;=9)*('CONTROL MASTER'!$AA$2:$AA$495&lt;=7)*('CONTROL MASTER'!$AC$2:$AC$495&gt;=7))*ROW('CONTROL MASTER'!$S$2:$S$495))-(ROW('CONTROL MASTER'!#REF!)-1)))+((9-INDEX('CONTROL MASTER'!$Z$2:$Z$495,(SUMPRODUCT((('CONTROL MASTER'!$S$2:$S$495=8)*('CONTROL MASTER'!$Z$2:$Z$495&lt;=9)*('CONTROL MASTER'!$AB$2:$AB$495&gt;=9)*('CONTROL MASTER'!$AA$2:$AA$495&lt;=7)*('CONTROL MASTER'!$AC$2:$AC$495&gt;=7))*ROW('CONTROL MASTER'!$S$2:$S$495))-(ROW('CONTROL MASTER'!#REF!)-1))))*(INDEX('CONTROL MASTER'!$AC$2:$AC$495,(SUMPRODUCT((('CONTROL MASTER'!$S$2:$S$495=8)*('CONTROL MASTER'!$Z$2:$Z$495&lt;=9)*('CONTROL MASTER'!$AB$2:$AB$495&gt;=9)*('CONTROL MASTER'!$AA$2:$AA$495&lt;=7)*('CONTROL MASTER'!$AC$2:$AC$495&gt;=7))*ROW('CONTROL MASTER'!$S$2:$S$495))-(ROW('CONTROL MASTER'!#REF!)-1)))-INDEX('CONTROL MASTER'!$AA$2:$AA$495,(SUMPRODUCT((('CONTROL MASTER'!$S$2:$S$495=8)*('CONTROL MASTER'!$Z$2:$Z$495&lt;=9)*('CONTROL MASTER'!$AB$2:$AB$495&gt;=9)*('CONTROL MASTER'!$AA$2:$AA$495&lt;=7)*('CONTROL MASTER'!$AC$2:$AC$495&gt;=7))*ROW('CONTROL MASTER'!$S$2:$S$495))-(ROW('CONTROL MASTER'!#REF!)-1)))+1)+(7-INDEX('CONTROL MASTER'!$AA$2:$AA$495,(SUMPRODUCT((('CONTROL MASTER'!$S$2:$S$495=8)*('CONTROL MASTER'!$Z$2:$Z$495&lt;=9)*('CONTROL MASTER'!$AB$2:$AB$495&gt;=9)*('CONTROL MASTER'!$AA$2:$AA$495&lt;=7)*('CONTROL MASTER'!$AC$2:$AC$495&gt;=7))*ROW('CONTROL MASTER'!$S$2:$S$495))-(ROW('CONTROL MASTER'!#REF!)-1))))+1)))-1)*50+1,50))&amp;"_"&amp;INDEX('CONTROL MASTER'!$P$2:$P$495,(SUMPRODUCT((('CONTROL MASTER'!$S$2:$S$495=8)*('CONTROL MASTER'!$Z$2:$Z$495&lt;=9)*('CONTROL MASTER'!$AB$2:$AB$495&gt;=9)*('CONTROL MASTER'!$AA$2:$AA$495&lt;=7)*('CONTROL MASTER'!$AC$2:$AC$495&gt;=7))*ROW('CONTROL MASTER'!$S$2:$S$495))-(ROW('CONTROL MASTER'!#REF!)-1))),"")),"")</f>
        <v/>
      </c>
      <c r="I109" s="10" t="str">
        <f>IFERROR(IF(SUMPRODUCT((('CONTROL MASTER'!$S$2:$S$495=8)*('CONTROL MASTER'!$T$2:$T$495&lt;=9)*('CONTROL MASTER'!$V$2:$V$495&gt;=9)*('CONTROL MASTER'!$U$2:$U$495&lt;=8)*('CONTROL MASTER'!$W$2:$W$495&gt;=8))*ROW('CONTROL MASTER'!$S$2:$S$495))&gt;0,INDEX('CONTROL MASTER'!$X$2:$X$495,(SUMPRODUCT((('CONTROL MASTER'!$S$2:$S$495=8)*('CONTROL MASTER'!$T$2:$T$495&lt;=9)*('CONTROL MASTER'!$V$2:$V$495&gt;=9)*('CONTROL MASTER'!$U$2:$U$495&lt;=8)*('CONTROL MASTER'!$W$2:$W$495&gt;=8))*ROW('CONTROL MASTER'!$S$2:$S$495))-(ROW('CONTROL MASTER'!#REF!)-1)))&amp;TRIM(MID(SUBSTITUTE(SUBSTITUTE(INDEX('CONTROL MASTER'!$N$2:$N$495,(SUMPRODUCT((('CONTROL MASTER'!$S$2:$S$495=8)*('CONTROL MASTER'!$T$2:$T$495&lt;=9)*('CONTROL MASTER'!$V$2:$V$495&gt;=9)*('CONTROL MASTER'!$U$2:$U$495&lt;=8)*('CONTROL MASTER'!$W$2:$W$495&gt;=8))*ROW('CONTROL MASTER'!$S$2:$S$495))-(ROW('CONTROL MASTER'!#REF!)-1))),":",","),",",REPT(" ",50)),((((9-INDEX('CONTROL MASTER'!$T$2:$T$495,(SUMPRODUCT((('CONTROL MASTER'!$S$2:$S$495=8)*('CONTROL MASTER'!$T$2:$T$495&lt;=9)*('CONTROL MASTER'!$V$2:$V$495&gt;=9)*('CONTROL MASTER'!$U$2:$U$495&lt;=8)*('CONTROL MASTER'!$W$2:$W$495&gt;=8))*ROW('CONTROL MASTER'!$S$2:$S$495))-(ROW('CONTROL MASTER'!#REF!)-1))))*(INDEX('CONTROL MASTER'!$W$2:$W$495,(SUMPRODUCT((('CONTROL MASTER'!$S$2:$S$495=8)*('CONTROL MASTER'!$T$2:$T$495&lt;=9)*('CONTROL MASTER'!$V$2:$V$495&gt;=9)*('CONTROL MASTER'!$U$2:$U$495&lt;=8)*('CONTROL MASTER'!$W$2:$W$495&gt;=8))*ROW('CONTROL MASTER'!$S$2:$S$495))-(ROW('CONTROL MASTER'!#REF!)-1)))-INDEX('CONTROL MASTER'!$U$2:$U$495,(SUMPRODUCT((('CONTROL MASTER'!$S$2:$S$495=8)*('CONTROL MASTER'!$T$2:$T$495&lt;=9)*('CONTROL MASTER'!$V$2:$V$495&gt;=9)*('CONTROL MASTER'!$U$2:$U$495&lt;=8)*('CONTROL MASTER'!$W$2:$W$495&gt;=8))*ROW('CONTROL MASTER'!$S$2:$S$495))-(ROW('CONTROL MASTER'!#REF!)-1)))+1)+(8-INDEX('CONTROL MASTER'!$U$2:$U$495,(SUMPRODUCT((('CONTROL MASTER'!$S$2:$S$495=8)*('CONTROL MASTER'!$T$2:$T$495&lt;=9)*('CONTROL MASTER'!$V$2:$V$495&gt;=9)*('CONTROL MASTER'!$U$2:$U$495&lt;=8)*('CONTROL MASTER'!$W$2:$W$495&gt;=8))*ROW('CONTROL MASTER'!$S$2:$S$495))-(ROW('CONTROL MASTER'!#REF!)-1))))+1))-1)*50+1,50))&amp;"_"&amp;INDEX('CONTROL MASTER'!$P$2:$P$495,(SUMPRODUCT((('CONTROL MASTER'!$S$2:$S$495=8)*('CONTROL MASTER'!$T$2:$T$495&lt;=9)*('CONTROL MASTER'!$V$2:$V$495&gt;=9)*('CONTROL MASTER'!$U$2:$U$495&lt;=8)*('CONTROL MASTER'!$W$2:$W$495&gt;=8))*ROW('CONTROL MASTER'!$S$2:$S$495))-(ROW('CONTROL MASTER'!#REF!)-1))),IF(SUMPRODUCT((('CONTROL MASTER'!$S$2:$S$495=8)*('CONTROL MASTER'!$Z$2:$Z$495&lt;=9)*('CONTROL MASTER'!$AB$2:$AB$495&gt;=9)*('CONTROL MASTER'!$AA$2:$AA$495&lt;=8)*('CONTROL MASTER'!$AC$2:$AC$495&gt;=8))*ROW('CONTROL MASTER'!$S$2:$S$495))&gt;0,INDEX('CONTROL MASTER'!$X$2:$X$495,(SUMPRODUCT((('CONTROL MASTER'!$S$2:$S$495=8)*('CONTROL MASTER'!$Z$2:$Z$495&lt;=9)*('CONTROL MASTER'!$AB$2:$AB$495&gt;=9)*('CONTROL MASTER'!$AA$2:$AA$495&lt;=8)*('CONTROL MASTER'!$AC$2:$AC$495&gt;=8))*ROW('CONTROL MASTER'!$S$2:$S$495))-(ROW('CONTROL MASTER'!#REF!)-1)))&amp;TRIM(MID(SUBSTITUTE(SUBSTITUTE(INDEX('CONTROL MASTER'!$N$2:$N$495,(SUMPRODUCT((('CONTROL MASTER'!$S$2:$S$495=8)*('CONTROL MASTER'!$Z$2:$Z$495&lt;=9)*('CONTROL MASTER'!$AB$2:$AB$495&gt;=9)*('CONTROL MASTER'!$AA$2:$AA$495&lt;=8)*('CONTROL MASTER'!$AC$2:$AC$495&gt;=8))*ROW('CONTROL MASTER'!$S$2:$S$495))-(ROW('CONTROL MASTER'!#REF!)-1))),":",","),",",REPT(" ",50)),(((INDEX('CONTROL MASTER'!$Y$2:$Y$495,(SUMPRODUCT((('CONTROL MASTER'!$S$2:$S$495=8)*('CONTROL MASTER'!$Z$2:$Z$495&lt;=9)*('CONTROL MASTER'!$AB$2:$AB$495&gt;=9)*('CONTROL MASTER'!$AA$2:$AA$495&lt;=8)*('CONTROL MASTER'!$AC$2:$AC$495&gt;=8))*ROW('CONTROL MASTER'!$S$2:$S$495))-(ROW('CONTROL MASTER'!#REF!)-1)))+((9-INDEX('CONTROL MASTER'!$Z$2:$Z$495,(SUMPRODUCT((('CONTROL MASTER'!$S$2:$S$495=8)*('CONTROL MASTER'!$Z$2:$Z$495&lt;=9)*('CONTROL MASTER'!$AB$2:$AB$495&gt;=9)*('CONTROL MASTER'!$AA$2:$AA$495&lt;=8)*('CONTROL MASTER'!$AC$2:$AC$495&gt;=8))*ROW('CONTROL MASTER'!$S$2:$S$495))-(ROW('CONTROL MASTER'!#REF!)-1))))*(INDEX('CONTROL MASTER'!$AC$2:$AC$495,(SUMPRODUCT((('CONTROL MASTER'!$S$2:$S$495=8)*('CONTROL MASTER'!$Z$2:$Z$495&lt;=9)*('CONTROL MASTER'!$AB$2:$AB$495&gt;=9)*('CONTROL MASTER'!$AA$2:$AA$495&lt;=8)*('CONTROL MASTER'!$AC$2:$AC$495&gt;=8))*ROW('CONTROL MASTER'!$S$2:$S$495))-(ROW('CONTROL MASTER'!#REF!)-1)))-INDEX('CONTROL MASTER'!$AA$2:$AA$495,(SUMPRODUCT((('CONTROL MASTER'!$S$2:$S$495=8)*('CONTROL MASTER'!$Z$2:$Z$495&lt;=9)*('CONTROL MASTER'!$AB$2:$AB$495&gt;=9)*('CONTROL MASTER'!$AA$2:$AA$495&lt;=8)*('CONTROL MASTER'!$AC$2:$AC$495&gt;=8))*ROW('CONTROL MASTER'!$S$2:$S$495))-(ROW('CONTROL MASTER'!#REF!)-1)))+1)+(8-INDEX('CONTROL MASTER'!$AA$2:$AA$495,(SUMPRODUCT((('CONTROL MASTER'!$S$2:$S$495=8)*('CONTROL MASTER'!$Z$2:$Z$495&lt;=9)*('CONTROL MASTER'!$AB$2:$AB$495&gt;=9)*('CONTROL MASTER'!$AA$2:$AA$495&lt;=8)*('CONTROL MASTER'!$AC$2:$AC$495&gt;=8))*ROW('CONTROL MASTER'!$S$2:$S$495))-(ROW('CONTROL MASTER'!#REF!)-1))))+1)))-1)*50+1,50))&amp;"_"&amp;INDEX('CONTROL MASTER'!$P$2:$P$495,(SUMPRODUCT((('CONTROL MASTER'!$S$2:$S$495=8)*('CONTROL MASTER'!$Z$2:$Z$495&lt;=9)*('CONTROL MASTER'!$AB$2:$AB$495&gt;=9)*('CONTROL MASTER'!$AA$2:$AA$495&lt;=8)*('CONTROL MASTER'!$AC$2:$AC$495&gt;=8))*ROW('CONTROL MASTER'!$S$2:$S$495))-(ROW('CONTROL MASTER'!#REF!)-1))),"")),"")</f>
        <v/>
      </c>
      <c r="J109" s="10" t="str">
        <f>IFERROR(IF(SUMPRODUCT((('CONTROL MASTER'!$S$2:$S$495=8)*('CONTROL MASTER'!$T$2:$T$495&lt;=9)*('CONTROL MASTER'!$V$2:$V$495&gt;=9)*('CONTROL MASTER'!$U$2:$U$495&lt;=9)*('CONTROL MASTER'!$W$2:$W$495&gt;=9))*ROW('CONTROL MASTER'!$S$2:$S$495))&gt;0,INDEX('CONTROL MASTER'!$X$2:$X$495,(SUMPRODUCT((('CONTROL MASTER'!$S$2:$S$495=8)*('CONTROL MASTER'!$T$2:$T$495&lt;=9)*('CONTROL MASTER'!$V$2:$V$495&gt;=9)*('CONTROL MASTER'!$U$2:$U$495&lt;=9)*('CONTROL MASTER'!$W$2:$W$495&gt;=9))*ROW('CONTROL MASTER'!$S$2:$S$495))-(ROW('CONTROL MASTER'!#REF!)-1)))&amp;TRIM(MID(SUBSTITUTE(SUBSTITUTE(INDEX('CONTROL MASTER'!$N$2:$N$495,(SUMPRODUCT((('CONTROL MASTER'!$S$2:$S$495=8)*('CONTROL MASTER'!$T$2:$T$495&lt;=9)*('CONTROL MASTER'!$V$2:$V$495&gt;=9)*('CONTROL MASTER'!$U$2:$U$495&lt;=9)*('CONTROL MASTER'!$W$2:$W$495&gt;=9))*ROW('CONTROL MASTER'!$S$2:$S$495))-(ROW('CONTROL MASTER'!#REF!)-1))),":",","),",",REPT(" ",50)),((((9-INDEX('CONTROL MASTER'!$T$2:$T$495,(SUMPRODUCT((('CONTROL MASTER'!$S$2:$S$495=8)*('CONTROL MASTER'!$T$2:$T$495&lt;=9)*('CONTROL MASTER'!$V$2:$V$495&gt;=9)*('CONTROL MASTER'!$U$2:$U$495&lt;=9)*('CONTROL MASTER'!$W$2:$W$495&gt;=9))*ROW('CONTROL MASTER'!$S$2:$S$495))-(ROW('CONTROL MASTER'!#REF!)-1))))*(INDEX('CONTROL MASTER'!$W$2:$W$495,(SUMPRODUCT((('CONTROL MASTER'!$S$2:$S$495=8)*('CONTROL MASTER'!$T$2:$T$495&lt;=9)*('CONTROL MASTER'!$V$2:$V$495&gt;=9)*('CONTROL MASTER'!$U$2:$U$495&lt;=9)*('CONTROL MASTER'!$W$2:$W$495&gt;=9))*ROW('CONTROL MASTER'!$S$2:$S$495))-(ROW('CONTROL MASTER'!#REF!)-1)))-INDEX('CONTROL MASTER'!$U$2:$U$495,(SUMPRODUCT((('CONTROL MASTER'!$S$2:$S$495=8)*('CONTROL MASTER'!$T$2:$T$495&lt;=9)*('CONTROL MASTER'!$V$2:$V$495&gt;=9)*('CONTROL MASTER'!$U$2:$U$495&lt;=9)*('CONTROL MASTER'!$W$2:$W$495&gt;=9))*ROW('CONTROL MASTER'!$S$2:$S$495))-(ROW('CONTROL MASTER'!#REF!)-1)))+1)+(9-INDEX('CONTROL MASTER'!$U$2:$U$495,(SUMPRODUCT((('CONTROL MASTER'!$S$2:$S$495=8)*('CONTROL MASTER'!$T$2:$T$495&lt;=9)*('CONTROL MASTER'!$V$2:$V$495&gt;=9)*('CONTROL MASTER'!$U$2:$U$495&lt;=9)*('CONTROL MASTER'!$W$2:$W$495&gt;=9))*ROW('CONTROL MASTER'!$S$2:$S$495))-(ROW('CONTROL MASTER'!#REF!)-1))))+1))-1)*50+1,50))&amp;"_"&amp;INDEX('CONTROL MASTER'!$P$2:$P$495,(SUMPRODUCT((('CONTROL MASTER'!$S$2:$S$495=8)*('CONTROL MASTER'!$T$2:$T$495&lt;=9)*('CONTROL MASTER'!$V$2:$V$495&gt;=9)*('CONTROL MASTER'!$U$2:$U$495&lt;=9)*('CONTROL MASTER'!$W$2:$W$495&gt;=9))*ROW('CONTROL MASTER'!$S$2:$S$495))-(ROW('CONTROL MASTER'!#REF!)-1))),IF(SUMPRODUCT((('CONTROL MASTER'!$S$2:$S$495=8)*('CONTROL MASTER'!$Z$2:$Z$495&lt;=9)*('CONTROL MASTER'!$AB$2:$AB$495&gt;=9)*('CONTROL MASTER'!$AA$2:$AA$495&lt;=9)*('CONTROL MASTER'!$AC$2:$AC$495&gt;=9))*ROW('CONTROL MASTER'!$S$2:$S$495))&gt;0,INDEX('CONTROL MASTER'!$X$2:$X$495,(SUMPRODUCT((('CONTROL MASTER'!$S$2:$S$495=8)*('CONTROL MASTER'!$Z$2:$Z$495&lt;=9)*('CONTROL MASTER'!$AB$2:$AB$495&gt;=9)*('CONTROL MASTER'!$AA$2:$AA$495&lt;=9)*('CONTROL MASTER'!$AC$2:$AC$495&gt;=9))*ROW('CONTROL MASTER'!$S$2:$S$495))-(ROW('CONTROL MASTER'!#REF!)-1)))&amp;TRIM(MID(SUBSTITUTE(SUBSTITUTE(INDEX('CONTROL MASTER'!$N$2:$N$495,(SUMPRODUCT((('CONTROL MASTER'!$S$2:$S$495=8)*('CONTROL MASTER'!$Z$2:$Z$495&lt;=9)*('CONTROL MASTER'!$AB$2:$AB$495&gt;=9)*('CONTROL MASTER'!$AA$2:$AA$495&lt;=9)*('CONTROL MASTER'!$AC$2:$AC$495&gt;=9))*ROW('CONTROL MASTER'!$S$2:$S$495))-(ROW('CONTROL MASTER'!#REF!)-1))),":",","),",",REPT(" ",50)),(((INDEX('CONTROL MASTER'!$Y$2:$Y$495,(SUMPRODUCT((('CONTROL MASTER'!$S$2:$S$495=8)*('CONTROL MASTER'!$Z$2:$Z$495&lt;=9)*('CONTROL MASTER'!$AB$2:$AB$495&gt;=9)*('CONTROL MASTER'!$AA$2:$AA$495&lt;=9)*('CONTROL MASTER'!$AC$2:$AC$495&gt;=9))*ROW('CONTROL MASTER'!$S$2:$S$495))-(ROW('CONTROL MASTER'!#REF!)-1)))+((9-INDEX('CONTROL MASTER'!$Z$2:$Z$495,(SUMPRODUCT((('CONTROL MASTER'!$S$2:$S$495=8)*('CONTROL MASTER'!$Z$2:$Z$495&lt;=9)*('CONTROL MASTER'!$AB$2:$AB$495&gt;=9)*('CONTROL MASTER'!$AA$2:$AA$495&lt;=9)*('CONTROL MASTER'!$AC$2:$AC$495&gt;=9))*ROW('CONTROL MASTER'!$S$2:$S$495))-(ROW('CONTROL MASTER'!#REF!)-1))))*(INDEX('CONTROL MASTER'!$AC$2:$AC$495,(SUMPRODUCT((('CONTROL MASTER'!$S$2:$S$495=8)*('CONTROL MASTER'!$Z$2:$Z$495&lt;=9)*('CONTROL MASTER'!$AB$2:$AB$495&gt;=9)*('CONTROL MASTER'!$AA$2:$AA$495&lt;=9)*('CONTROL MASTER'!$AC$2:$AC$495&gt;=9))*ROW('CONTROL MASTER'!$S$2:$S$495))-(ROW('CONTROL MASTER'!#REF!)-1)))-INDEX('CONTROL MASTER'!$AA$2:$AA$495,(SUMPRODUCT((('CONTROL MASTER'!$S$2:$S$495=8)*('CONTROL MASTER'!$Z$2:$Z$495&lt;=9)*('CONTROL MASTER'!$AB$2:$AB$495&gt;=9)*('CONTROL MASTER'!$AA$2:$AA$495&lt;=9)*('CONTROL MASTER'!$AC$2:$AC$495&gt;=9))*ROW('CONTROL MASTER'!$S$2:$S$495))-(ROW('CONTROL MASTER'!#REF!)-1)))+1)+(9-INDEX('CONTROL MASTER'!$AA$2:$AA$495,(SUMPRODUCT((('CONTROL MASTER'!$S$2:$S$495=8)*('CONTROL MASTER'!$Z$2:$Z$495&lt;=9)*('CONTROL MASTER'!$AB$2:$AB$495&gt;=9)*('CONTROL MASTER'!$AA$2:$AA$495&lt;=9)*('CONTROL MASTER'!$AC$2:$AC$495&gt;=9))*ROW('CONTROL MASTER'!$S$2:$S$495))-(ROW('CONTROL MASTER'!#REF!)-1))))+1)))-1)*50+1,50))&amp;"_"&amp;INDEX('CONTROL MASTER'!$P$2:$P$495,(SUMPRODUCT((('CONTROL MASTER'!$S$2:$S$495=8)*('CONTROL MASTER'!$Z$2:$Z$495&lt;=9)*('CONTROL MASTER'!$AB$2:$AB$495&gt;=9)*('CONTROL MASTER'!$AA$2:$AA$495&lt;=9)*('CONTROL MASTER'!$AC$2:$AC$495&gt;=9))*ROW('CONTROL MASTER'!$S$2:$S$495))-(ROW('CONTROL MASTER'!#REF!)-1))),"")),"")</f>
        <v/>
      </c>
      <c r="K109" s="10" t="str">
        <f>IFERROR(IF(SUMPRODUCT((('CONTROL MASTER'!$S$2:$S$495=8)*('CONTROL MASTER'!$T$2:$T$495&lt;=9)*('CONTROL MASTER'!$V$2:$V$495&gt;=9)*('CONTROL MASTER'!$U$2:$U$495&lt;=10)*('CONTROL MASTER'!$W$2:$W$495&gt;=10))*ROW('CONTROL MASTER'!$S$2:$S$495))&gt;0,INDEX('CONTROL MASTER'!$X$2:$X$495,(SUMPRODUCT((('CONTROL MASTER'!$S$2:$S$495=8)*('CONTROL MASTER'!$T$2:$T$495&lt;=9)*('CONTROL MASTER'!$V$2:$V$495&gt;=9)*('CONTROL MASTER'!$U$2:$U$495&lt;=10)*('CONTROL MASTER'!$W$2:$W$495&gt;=10))*ROW('CONTROL MASTER'!$S$2:$S$495))-(ROW('CONTROL MASTER'!#REF!)-1)))&amp;TRIM(MID(SUBSTITUTE(SUBSTITUTE(INDEX('CONTROL MASTER'!$N$2:$N$495,(SUMPRODUCT((('CONTROL MASTER'!$S$2:$S$495=8)*('CONTROL MASTER'!$T$2:$T$495&lt;=9)*('CONTROL MASTER'!$V$2:$V$495&gt;=9)*('CONTROL MASTER'!$U$2:$U$495&lt;=10)*('CONTROL MASTER'!$W$2:$W$495&gt;=10))*ROW('CONTROL MASTER'!$S$2:$S$495))-(ROW('CONTROL MASTER'!#REF!)-1))),":",","),",",REPT(" ",50)),((((9-INDEX('CONTROL MASTER'!$T$2:$T$495,(SUMPRODUCT((('CONTROL MASTER'!$S$2:$S$495=8)*('CONTROL MASTER'!$T$2:$T$495&lt;=9)*('CONTROL MASTER'!$V$2:$V$495&gt;=9)*('CONTROL MASTER'!$U$2:$U$495&lt;=10)*('CONTROL MASTER'!$W$2:$W$495&gt;=10))*ROW('CONTROL MASTER'!$S$2:$S$495))-(ROW('CONTROL MASTER'!#REF!)-1))))*(INDEX('CONTROL MASTER'!$W$2:$W$495,(SUMPRODUCT((('CONTROL MASTER'!$S$2:$S$495=8)*('CONTROL MASTER'!$T$2:$T$495&lt;=9)*('CONTROL MASTER'!$V$2:$V$495&gt;=9)*('CONTROL MASTER'!$U$2:$U$495&lt;=10)*('CONTROL MASTER'!$W$2:$W$495&gt;=10))*ROW('CONTROL MASTER'!$S$2:$S$495))-(ROW('CONTROL MASTER'!#REF!)-1)))-INDEX('CONTROL MASTER'!$U$2:$U$495,(SUMPRODUCT((('CONTROL MASTER'!$S$2:$S$495=8)*('CONTROL MASTER'!$T$2:$T$495&lt;=9)*('CONTROL MASTER'!$V$2:$V$495&gt;=9)*('CONTROL MASTER'!$U$2:$U$495&lt;=10)*('CONTROL MASTER'!$W$2:$W$495&gt;=10))*ROW('CONTROL MASTER'!$S$2:$S$495))-(ROW('CONTROL MASTER'!#REF!)-1)))+1)+(10-INDEX('CONTROL MASTER'!$U$2:$U$495,(SUMPRODUCT((('CONTROL MASTER'!$S$2:$S$495=8)*('CONTROL MASTER'!$T$2:$T$495&lt;=9)*('CONTROL MASTER'!$V$2:$V$495&gt;=9)*('CONTROL MASTER'!$U$2:$U$495&lt;=10)*('CONTROL MASTER'!$W$2:$W$495&gt;=10))*ROW('CONTROL MASTER'!$S$2:$S$495))-(ROW('CONTROL MASTER'!#REF!)-1))))+1))-1)*50+1,50))&amp;"_"&amp;INDEX('CONTROL MASTER'!$P$2:$P$495,(SUMPRODUCT((('CONTROL MASTER'!$S$2:$S$495=8)*('CONTROL MASTER'!$T$2:$T$495&lt;=9)*('CONTROL MASTER'!$V$2:$V$495&gt;=9)*('CONTROL MASTER'!$U$2:$U$495&lt;=10)*('CONTROL MASTER'!$W$2:$W$495&gt;=10))*ROW('CONTROL MASTER'!$S$2:$S$495))-(ROW('CONTROL MASTER'!#REF!)-1))),IF(SUMPRODUCT((('CONTROL MASTER'!$S$2:$S$495=8)*('CONTROL MASTER'!$Z$2:$Z$495&lt;=9)*('CONTROL MASTER'!$AB$2:$AB$495&gt;=9)*('CONTROL MASTER'!$AA$2:$AA$495&lt;=10)*('CONTROL MASTER'!$AC$2:$AC$495&gt;=10))*ROW('CONTROL MASTER'!$S$2:$S$495))&gt;0,INDEX('CONTROL MASTER'!$X$2:$X$495,(SUMPRODUCT((('CONTROL MASTER'!$S$2:$S$495=8)*('CONTROL MASTER'!$Z$2:$Z$495&lt;=9)*('CONTROL MASTER'!$AB$2:$AB$495&gt;=9)*('CONTROL MASTER'!$AA$2:$AA$495&lt;=10)*('CONTROL MASTER'!$AC$2:$AC$495&gt;=10))*ROW('CONTROL MASTER'!$S$2:$S$495))-(ROW('CONTROL MASTER'!#REF!)-1)))&amp;TRIM(MID(SUBSTITUTE(SUBSTITUTE(INDEX('CONTROL MASTER'!$N$2:$N$495,(SUMPRODUCT((('CONTROL MASTER'!$S$2:$S$495=8)*('CONTROL MASTER'!$Z$2:$Z$495&lt;=9)*('CONTROL MASTER'!$AB$2:$AB$495&gt;=9)*('CONTROL MASTER'!$AA$2:$AA$495&lt;=10)*('CONTROL MASTER'!$AC$2:$AC$495&gt;=10))*ROW('CONTROL MASTER'!$S$2:$S$495))-(ROW('CONTROL MASTER'!#REF!)-1))),":",","),",",REPT(" ",50)),(((INDEX('CONTROL MASTER'!$Y$2:$Y$495,(SUMPRODUCT((('CONTROL MASTER'!$S$2:$S$495=8)*('CONTROL MASTER'!$Z$2:$Z$495&lt;=9)*('CONTROL MASTER'!$AB$2:$AB$495&gt;=9)*('CONTROL MASTER'!$AA$2:$AA$495&lt;=10)*('CONTROL MASTER'!$AC$2:$AC$495&gt;=10))*ROW('CONTROL MASTER'!$S$2:$S$495))-(ROW('CONTROL MASTER'!#REF!)-1)))+((9-INDEX('CONTROL MASTER'!$Z$2:$Z$495,(SUMPRODUCT((('CONTROL MASTER'!$S$2:$S$495=8)*('CONTROL MASTER'!$Z$2:$Z$495&lt;=9)*('CONTROL MASTER'!$AB$2:$AB$495&gt;=9)*('CONTROL MASTER'!$AA$2:$AA$495&lt;=10)*('CONTROL MASTER'!$AC$2:$AC$495&gt;=10))*ROW('CONTROL MASTER'!$S$2:$S$495))-(ROW('CONTROL MASTER'!#REF!)-1))))*(INDEX('CONTROL MASTER'!$AC$2:$AC$495,(SUMPRODUCT((('CONTROL MASTER'!$S$2:$S$495=8)*('CONTROL MASTER'!$Z$2:$Z$495&lt;=9)*('CONTROL MASTER'!$AB$2:$AB$495&gt;=9)*('CONTROL MASTER'!$AA$2:$AA$495&lt;=10)*('CONTROL MASTER'!$AC$2:$AC$495&gt;=10))*ROW('CONTROL MASTER'!$S$2:$S$495))-(ROW('CONTROL MASTER'!#REF!)-1)))-INDEX('CONTROL MASTER'!$AA$2:$AA$495,(SUMPRODUCT((('CONTROL MASTER'!$S$2:$S$495=8)*('CONTROL MASTER'!$Z$2:$Z$495&lt;=9)*('CONTROL MASTER'!$AB$2:$AB$495&gt;=9)*('CONTROL MASTER'!$AA$2:$AA$495&lt;=10)*('CONTROL MASTER'!$AC$2:$AC$495&gt;=10))*ROW('CONTROL MASTER'!$S$2:$S$495))-(ROW('CONTROL MASTER'!#REF!)-1)))+1)+(10-INDEX('CONTROL MASTER'!$AA$2:$AA$495,(SUMPRODUCT((('CONTROL MASTER'!$S$2:$S$495=8)*('CONTROL MASTER'!$Z$2:$Z$495&lt;=9)*('CONTROL MASTER'!$AB$2:$AB$495&gt;=9)*('CONTROL MASTER'!$AA$2:$AA$495&lt;=10)*('CONTROL MASTER'!$AC$2:$AC$495&gt;=10))*ROW('CONTROL MASTER'!$S$2:$S$495))-(ROW('CONTROL MASTER'!#REF!)-1))))+1)))-1)*50+1,50))&amp;"_"&amp;INDEX('CONTROL MASTER'!$P$2:$P$495,(SUMPRODUCT((('CONTROL MASTER'!$S$2:$S$495=8)*('CONTROL MASTER'!$Z$2:$Z$495&lt;=9)*('CONTROL MASTER'!$AB$2:$AB$495&gt;=9)*('CONTROL MASTER'!$AA$2:$AA$495&lt;=10)*('CONTROL MASTER'!$AC$2:$AC$495&gt;=10))*ROW('CONTROL MASTER'!$S$2:$S$495))-(ROW('CONTROL MASTER'!#REF!)-1))),"")),"")</f>
        <v/>
      </c>
    </row>
    <row r="110" spans="1:11" ht="15" customHeight="1" x14ac:dyDescent="0.35">
      <c r="A110" s="8" t="s">
        <v>82</v>
      </c>
      <c r="B110" s="10" t="str">
        <f>IFERROR(IF(SUMPRODUCT((('CONTROL MASTER'!$S$2:$S$495=8)*('CONTROL MASTER'!$T$2:$T$495&lt;=10)*('CONTROL MASTER'!$V$2:$V$495&gt;=10)*('CONTROL MASTER'!$U$2:$U$495&lt;=1)*('CONTROL MASTER'!$W$2:$W$495&gt;=1))*ROW('CONTROL MASTER'!$S$2:$S$495))&gt;0,INDEX('CONTROL MASTER'!$X$2:$X$495,(SUMPRODUCT((('CONTROL MASTER'!$S$2:$S$495=8)*('CONTROL MASTER'!$T$2:$T$495&lt;=10)*('CONTROL MASTER'!$V$2:$V$495&gt;=10)*('CONTROL MASTER'!$U$2:$U$495&lt;=1)*('CONTROL MASTER'!$W$2:$W$495&gt;=1))*ROW('CONTROL MASTER'!$S$2:$S$495))-(ROW('CONTROL MASTER'!#REF!)-1)))&amp;TRIM(MID(SUBSTITUTE(SUBSTITUTE(INDEX('CONTROL MASTER'!$N$2:$N$495,(SUMPRODUCT((('CONTROL MASTER'!$S$2:$S$495=8)*('CONTROL MASTER'!$T$2:$T$495&lt;=10)*('CONTROL MASTER'!$V$2:$V$495&gt;=10)*('CONTROL MASTER'!$U$2:$U$495&lt;=1)*('CONTROL MASTER'!$W$2:$W$495&gt;=1))*ROW('CONTROL MASTER'!$S$2:$S$495))-(ROW('CONTROL MASTER'!#REF!)-1))),":",","),",",REPT(" ",50)),((((10-INDEX('CONTROL MASTER'!$T$2:$T$495,(SUMPRODUCT((('CONTROL MASTER'!$S$2:$S$495=8)*('CONTROL MASTER'!$T$2:$T$495&lt;=10)*('CONTROL MASTER'!$V$2:$V$495&gt;=10)*('CONTROL MASTER'!$U$2:$U$495&lt;=1)*('CONTROL MASTER'!$W$2:$W$495&gt;=1))*ROW('CONTROL MASTER'!$S$2:$S$495))-(ROW('CONTROL MASTER'!#REF!)-1))))*(INDEX('CONTROL MASTER'!$W$2:$W$495,(SUMPRODUCT((('CONTROL MASTER'!$S$2:$S$495=8)*('CONTROL MASTER'!$T$2:$T$495&lt;=10)*('CONTROL MASTER'!$V$2:$V$495&gt;=10)*('CONTROL MASTER'!$U$2:$U$495&lt;=1)*('CONTROL MASTER'!$W$2:$W$495&gt;=1))*ROW('CONTROL MASTER'!$S$2:$S$495))-(ROW('CONTROL MASTER'!#REF!)-1)))-INDEX('CONTROL MASTER'!$U$2:$U$495,(SUMPRODUCT((('CONTROL MASTER'!$S$2:$S$495=8)*('CONTROL MASTER'!$T$2:$T$495&lt;=10)*('CONTROL MASTER'!$V$2:$V$495&gt;=10)*('CONTROL MASTER'!$U$2:$U$495&lt;=1)*('CONTROL MASTER'!$W$2:$W$495&gt;=1))*ROW('CONTROL MASTER'!$S$2:$S$495))-(ROW('CONTROL MASTER'!#REF!)-1)))+1)+(1-INDEX('CONTROL MASTER'!$U$2:$U$495,(SUMPRODUCT((('CONTROL MASTER'!$S$2:$S$495=8)*('CONTROL MASTER'!$T$2:$T$495&lt;=10)*('CONTROL MASTER'!$V$2:$V$495&gt;=10)*('CONTROL MASTER'!$U$2:$U$495&lt;=1)*('CONTROL MASTER'!$W$2:$W$495&gt;=1))*ROW('CONTROL MASTER'!$S$2:$S$495))-(ROW('CONTROL MASTER'!#REF!)-1))))+1))-1)*50+1,50))&amp;"_"&amp;INDEX('CONTROL MASTER'!$P$2:$P$495,(SUMPRODUCT((('CONTROL MASTER'!$S$2:$S$495=8)*('CONTROL MASTER'!$T$2:$T$495&lt;=10)*('CONTROL MASTER'!$V$2:$V$495&gt;=10)*('CONTROL MASTER'!$U$2:$U$495&lt;=1)*('CONTROL MASTER'!$W$2:$W$495&gt;=1))*ROW('CONTROL MASTER'!$S$2:$S$495))-(ROW('CONTROL MASTER'!#REF!)-1))),IF(SUMPRODUCT((('CONTROL MASTER'!$S$2:$S$495=8)*('CONTROL MASTER'!$Z$2:$Z$495&lt;=10)*('CONTROL MASTER'!$AB$2:$AB$495&gt;=10)*('CONTROL MASTER'!$AA$2:$AA$495&lt;=1)*('CONTROL MASTER'!$AC$2:$AC$495&gt;=1))*ROW('CONTROL MASTER'!$S$2:$S$495))&gt;0,INDEX('CONTROL MASTER'!$X$2:$X$495,(SUMPRODUCT((('CONTROL MASTER'!$S$2:$S$495=8)*('CONTROL MASTER'!$Z$2:$Z$495&lt;=10)*('CONTROL MASTER'!$AB$2:$AB$495&gt;=10)*('CONTROL MASTER'!$AA$2:$AA$495&lt;=1)*('CONTROL MASTER'!$AC$2:$AC$495&gt;=1))*ROW('CONTROL MASTER'!$S$2:$S$495))-(ROW('CONTROL MASTER'!#REF!)-1)))&amp;TRIM(MID(SUBSTITUTE(SUBSTITUTE(INDEX('CONTROL MASTER'!$N$2:$N$495,(SUMPRODUCT((('CONTROL MASTER'!$S$2:$S$495=8)*('CONTROL MASTER'!$Z$2:$Z$495&lt;=10)*('CONTROL MASTER'!$AB$2:$AB$495&gt;=10)*('CONTROL MASTER'!$AA$2:$AA$495&lt;=1)*('CONTROL MASTER'!$AC$2:$AC$495&gt;=1))*ROW('CONTROL MASTER'!$S$2:$S$495))-(ROW('CONTROL MASTER'!#REF!)-1))),":",","),",",REPT(" ",50)),(((INDEX('CONTROL MASTER'!$Y$2:$Y$495,(SUMPRODUCT((('CONTROL MASTER'!$S$2:$S$495=8)*('CONTROL MASTER'!$Z$2:$Z$495&lt;=10)*('CONTROL MASTER'!$AB$2:$AB$495&gt;=10)*('CONTROL MASTER'!$AA$2:$AA$495&lt;=1)*('CONTROL MASTER'!$AC$2:$AC$495&gt;=1))*ROW('CONTROL MASTER'!$S$2:$S$495))-(ROW('CONTROL MASTER'!#REF!)-1)))+((10-INDEX('CONTROL MASTER'!$Z$2:$Z$495,(SUMPRODUCT((('CONTROL MASTER'!$S$2:$S$495=8)*('CONTROL MASTER'!$Z$2:$Z$495&lt;=10)*('CONTROL MASTER'!$AB$2:$AB$495&gt;=10)*('CONTROL MASTER'!$AA$2:$AA$495&lt;=1)*('CONTROL MASTER'!$AC$2:$AC$495&gt;=1))*ROW('CONTROL MASTER'!$S$2:$S$495))-(ROW('CONTROL MASTER'!#REF!)-1))))*(INDEX('CONTROL MASTER'!$AC$2:$AC$495,(SUMPRODUCT((('CONTROL MASTER'!$S$2:$S$495=8)*('CONTROL MASTER'!$Z$2:$Z$495&lt;=10)*('CONTROL MASTER'!$AB$2:$AB$495&gt;=10)*('CONTROL MASTER'!$AA$2:$AA$495&lt;=1)*('CONTROL MASTER'!$AC$2:$AC$495&gt;=1))*ROW('CONTROL MASTER'!$S$2:$S$495))-(ROW('CONTROL MASTER'!#REF!)-1)))-INDEX('CONTROL MASTER'!$AA$2:$AA$495,(SUMPRODUCT((('CONTROL MASTER'!$S$2:$S$495=8)*('CONTROL MASTER'!$Z$2:$Z$495&lt;=10)*('CONTROL MASTER'!$AB$2:$AB$495&gt;=10)*('CONTROL MASTER'!$AA$2:$AA$495&lt;=1)*('CONTROL MASTER'!$AC$2:$AC$495&gt;=1))*ROW('CONTROL MASTER'!$S$2:$S$495))-(ROW('CONTROL MASTER'!#REF!)-1)))+1)+(1-INDEX('CONTROL MASTER'!$AA$2:$AA$495,(SUMPRODUCT((('CONTROL MASTER'!$S$2:$S$495=8)*('CONTROL MASTER'!$Z$2:$Z$495&lt;=10)*('CONTROL MASTER'!$AB$2:$AB$495&gt;=10)*('CONTROL MASTER'!$AA$2:$AA$495&lt;=1)*('CONTROL MASTER'!$AC$2:$AC$495&gt;=1))*ROW('CONTROL MASTER'!$S$2:$S$495))-(ROW('CONTROL MASTER'!#REF!)-1))))+1)))-1)*50+1,50))&amp;"_"&amp;INDEX('CONTROL MASTER'!$P$2:$P$495,(SUMPRODUCT((('CONTROL MASTER'!$S$2:$S$495=8)*('CONTROL MASTER'!$Z$2:$Z$495&lt;=10)*('CONTROL MASTER'!$AB$2:$AB$495&gt;=10)*('CONTROL MASTER'!$AA$2:$AA$495&lt;=1)*('CONTROL MASTER'!$AC$2:$AC$495&gt;=1))*ROW('CONTROL MASTER'!$S$2:$S$495))-(ROW('CONTROL MASTER'!#REF!)-1))),"")),"")</f>
        <v/>
      </c>
      <c r="C110" s="10" t="str">
        <f>IFERROR(IF(SUMPRODUCT((('CONTROL MASTER'!$S$2:$S$495=8)*('CONTROL MASTER'!$T$2:$T$495&lt;=10)*('CONTROL MASTER'!$V$2:$V$495&gt;=10)*('CONTROL MASTER'!$U$2:$U$495&lt;=2)*('CONTROL MASTER'!$W$2:$W$495&gt;=2))*ROW('CONTROL MASTER'!$S$2:$S$495))&gt;0,INDEX('CONTROL MASTER'!$X$2:$X$495,(SUMPRODUCT((('CONTROL MASTER'!$S$2:$S$495=8)*('CONTROL MASTER'!$T$2:$T$495&lt;=10)*('CONTROL MASTER'!$V$2:$V$495&gt;=10)*('CONTROL MASTER'!$U$2:$U$495&lt;=2)*('CONTROL MASTER'!$W$2:$W$495&gt;=2))*ROW('CONTROL MASTER'!$S$2:$S$495))-(ROW('CONTROL MASTER'!#REF!)-1)))&amp;TRIM(MID(SUBSTITUTE(SUBSTITUTE(INDEX('CONTROL MASTER'!$N$2:$N$495,(SUMPRODUCT((('CONTROL MASTER'!$S$2:$S$495=8)*('CONTROL MASTER'!$T$2:$T$495&lt;=10)*('CONTROL MASTER'!$V$2:$V$495&gt;=10)*('CONTROL MASTER'!$U$2:$U$495&lt;=2)*('CONTROL MASTER'!$W$2:$W$495&gt;=2))*ROW('CONTROL MASTER'!$S$2:$S$495))-(ROW('CONTROL MASTER'!#REF!)-1))),":",","),",",REPT(" ",50)),((((10-INDEX('CONTROL MASTER'!$T$2:$T$495,(SUMPRODUCT((('CONTROL MASTER'!$S$2:$S$495=8)*('CONTROL MASTER'!$T$2:$T$495&lt;=10)*('CONTROL MASTER'!$V$2:$V$495&gt;=10)*('CONTROL MASTER'!$U$2:$U$495&lt;=2)*('CONTROL MASTER'!$W$2:$W$495&gt;=2))*ROW('CONTROL MASTER'!$S$2:$S$495))-(ROW('CONTROL MASTER'!#REF!)-1))))*(INDEX('CONTROL MASTER'!$W$2:$W$495,(SUMPRODUCT((('CONTROL MASTER'!$S$2:$S$495=8)*('CONTROL MASTER'!$T$2:$T$495&lt;=10)*('CONTROL MASTER'!$V$2:$V$495&gt;=10)*('CONTROL MASTER'!$U$2:$U$495&lt;=2)*('CONTROL MASTER'!$W$2:$W$495&gt;=2))*ROW('CONTROL MASTER'!$S$2:$S$495))-(ROW('CONTROL MASTER'!#REF!)-1)))-INDEX('CONTROL MASTER'!$U$2:$U$495,(SUMPRODUCT((('CONTROL MASTER'!$S$2:$S$495=8)*('CONTROL MASTER'!$T$2:$T$495&lt;=10)*('CONTROL MASTER'!$V$2:$V$495&gt;=10)*('CONTROL MASTER'!$U$2:$U$495&lt;=2)*('CONTROL MASTER'!$W$2:$W$495&gt;=2))*ROW('CONTROL MASTER'!$S$2:$S$495))-(ROW('CONTROL MASTER'!#REF!)-1)))+1)+(2-INDEX('CONTROL MASTER'!$U$2:$U$495,(SUMPRODUCT((('CONTROL MASTER'!$S$2:$S$495=8)*('CONTROL MASTER'!$T$2:$T$495&lt;=10)*('CONTROL MASTER'!$V$2:$V$495&gt;=10)*('CONTROL MASTER'!$U$2:$U$495&lt;=2)*('CONTROL MASTER'!$W$2:$W$495&gt;=2))*ROW('CONTROL MASTER'!$S$2:$S$495))-(ROW('CONTROL MASTER'!#REF!)-1))))+1))-1)*50+1,50))&amp;"_"&amp;INDEX('CONTROL MASTER'!$P$2:$P$495,(SUMPRODUCT((('CONTROL MASTER'!$S$2:$S$495=8)*('CONTROL MASTER'!$T$2:$T$495&lt;=10)*('CONTROL MASTER'!$V$2:$V$495&gt;=10)*('CONTROL MASTER'!$U$2:$U$495&lt;=2)*('CONTROL MASTER'!$W$2:$W$495&gt;=2))*ROW('CONTROL MASTER'!$S$2:$S$495))-(ROW('CONTROL MASTER'!#REF!)-1))),IF(SUMPRODUCT((('CONTROL MASTER'!$S$2:$S$495=8)*('CONTROL MASTER'!$Z$2:$Z$495&lt;=10)*('CONTROL MASTER'!$AB$2:$AB$495&gt;=10)*('CONTROL MASTER'!$AA$2:$AA$495&lt;=2)*('CONTROL MASTER'!$AC$2:$AC$495&gt;=2))*ROW('CONTROL MASTER'!$S$2:$S$495))&gt;0,INDEX('CONTROL MASTER'!$X$2:$X$495,(SUMPRODUCT((('CONTROL MASTER'!$S$2:$S$495=8)*('CONTROL MASTER'!$Z$2:$Z$495&lt;=10)*('CONTROL MASTER'!$AB$2:$AB$495&gt;=10)*('CONTROL MASTER'!$AA$2:$AA$495&lt;=2)*('CONTROL MASTER'!$AC$2:$AC$495&gt;=2))*ROW('CONTROL MASTER'!$S$2:$S$495))-(ROW('CONTROL MASTER'!#REF!)-1)))&amp;TRIM(MID(SUBSTITUTE(SUBSTITUTE(INDEX('CONTROL MASTER'!$N$2:$N$495,(SUMPRODUCT((('CONTROL MASTER'!$S$2:$S$495=8)*('CONTROL MASTER'!$Z$2:$Z$495&lt;=10)*('CONTROL MASTER'!$AB$2:$AB$495&gt;=10)*('CONTROL MASTER'!$AA$2:$AA$495&lt;=2)*('CONTROL MASTER'!$AC$2:$AC$495&gt;=2))*ROW('CONTROL MASTER'!$S$2:$S$495))-(ROW('CONTROL MASTER'!#REF!)-1))),":",","),",",REPT(" ",50)),(((INDEX('CONTROL MASTER'!$Y$2:$Y$495,(SUMPRODUCT((('CONTROL MASTER'!$S$2:$S$495=8)*('CONTROL MASTER'!$Z$2:$Z$495&lt;=10)*('CONTROL MASTER'!$AB$2:$AB$495&gt;=10)*('CONTROL MASTER'!$AA$2:$AA$495&lt;=2)*('CONTROL MASTER'!$AC$2:$AC$495&gt;=2))*ROW('CONTROL MASTER'!$S$2:$S$495))-(ROW('CONTROL MASTER'!#REF!)-1)))+((10-INDEX('CONTROL MASTER'!$Z$2:$Z$495,(SUMPRODUCT((('CONTROL MASTER'!$S$2:$S$495=8)*('CONTROL MASTER'!$Z$2:$Z$495&lt;=10)*('CONTROL MASTER'!$AB$2:$AB$495&gt;=10)*('CONTROL MASTER'!$AA$2:$AA$495&lt;=2)*('CONTROL MASTER'!$AC$2:$AC$495&gt;=2))*ROW('CONTROL MASTER'!$S$2:$S$495))-(ROW('CONTROL MASTER'!#REF!)-1))))*(INDEX('CONTROL MASTER'!$AC$2:$AC$495,(SUMPRODUCT((('CONTROL MASTER'!$S$2:$S$495=8)*('CONTROL MASTER'!$Z$2:$Z$495&lt;=10)*('CONTROL MASTER'!$AB$2:$AB$495&gt;=10)*('CONTROL MASTER'!$AA$2:$AA$495&lt;=2)*('CONTROL MASTER'!$AC$2:$AC$495&gt;=2))*ROW('CONTROL MASTER'!$S$2:$S$495))-(ROW('CONTROL MASTER'!#REF!)-1)))-INDEX('CONTROL MASTER'!$AA$2:$AA$495,(SUMPRODUCT((('CONTROL MASTER'!$S$2:$S$495=8)*('CONTROL MASTER'!$Z$2:$Z$495&lt;=10)*('CONTROL MASTER'!$AB$2:$AB$495&gt;=10)*('CONTROL MASTER'!$AA$2:$AA$495&lt;=2)*('CONTROL MASTER'!$AC$2:$AC$495&gt;=2))*ROW('CONTROL MASTER'!$S$2:$S$495))-(ROW('CONTROL MASTER'!#REF!)-1)))+1)+(2-INDEX('CONTROL MASTER'!$AA$2:$AA$495,(SUMPRODUCT((('CONTROL MASTER'!$S$2:$S$495=8)*('CONTROL MASTER'!$Z$2:$Z$495&lt;=10)*('CONTROL MASTER'!$AB$2:$AB$495&gt;=10)*('CONTROL MASTER'!$AA$2:$AA$495&lt;=2)*('CONTROL MASTER'!$AC$2:$AC$495&gt;=2))*ROW('CONTROL MASTER'!$S$2:$S$495))-(ROW('CONTROL MASTER'!#REF!)-1))))+1)))-1)*50+1,50))&amp;"_"&amp;INDEX('CONTROL MASTER'!$P$2:$P$495,(SUMPRODUCT((('CONTROL MASTER'!$S$2:$S$495=8)*('CONTROL MASTER'!$Z$2:$Z$495&lt;=10)*('CONTROL MASTER'!$AB$2:$AB$495&gt;=10)*('CONTROL MASTER'!$AA$2:$AA$495&lt;=2)*('CONTROL MASTER'!$AC$2:$AC$495&gt;=2))*ROW('CONTROL MASTER'!$S$2:$S$495))-(ROW('CONTROL MASTER'!#REF!)-1))),"")),"")</f>
        <v/>
      </c>
      <c r="D110" s="10" t="str">
        <f>IFERROR(IF(SUMPRODUCT((('CONTROL MASTER'!$S$2:$S$495=8)*('CONTROL MASTER'!$T$2:$T$495&lt;=10)*('CONTROL MASTER'!$V$2:$V$495&gt;=10)*('CONTROL MASTER'!$U$2:$U$495&lt;=3)*('CONTROL MASTER'!$W$2:$W$495&gt;=3))*ROW('CONTROL MASTER'!$S$2:$S$495))&gt;0,INDEX('CONTROL MASTER'!$X$2:$X$495,(SUMPRODUCT((('CONTROL MASTER'!$S$2:$S$495=8)*('CONTROL MASTER'!$T$2:$T$495&lt;=10)*('CONTROL MASTER'!$V$2:$V$495&gt;=10)*('CONTROL MASTER'!$U$2:$U$495&lt;=3)*('CONTROL MASTER'!$W$2:$W$495&gt;=3))*ROW('CONTROL MASTER'!$S$2:$S$495))-(ROW('CONTROL MASTER'!#REF!)-1)))&amp;TRIM(MID(SUBSTITUTE(SUBSTITUTE(INDEX('CONTROL MASTER'!$N$2:$N$495,(SUMPRODUCT((('CONTROL MASTER'!$S$2:$S$495=8)*('CONTROL MASTER'!$T$2:$T$495&lt;=10)*('CONTROL MASTER'!$V$2:$V$495&gt;=10)*('CONTROL MASTER'!$U$2:$U$495&lt;=3)*('CONTROL MASTER'!$W$2:$W$495&gt;=3))*ROW('CONTROL MASTER'!$S$2:$S$495))-(ROW('CONTROL MASTER'!#REF!)-1))),":",","),",",REPT(" ",50)),((((10-INDEX('CONTROL MASTER'!$T$2:$T$495,(SUMPRODUCT((('CONTROL MASTER'!$S$2:$S$495=8)*('CONTROL MASTER'!$T$2:$T$495&lt;=10)*('CONTROL MASTER'!$V$2:$V$495&gt;=10)*('CONTROL MASTER'!$U$2:$U$495&lt;=3)*('CONTROL MASTER'!$W$2:$W$495&gt;=3))*ROW('CONTROL MASTER'!$S$2:$S$495))-(ROW('CONTROL MASTER'!#REF!)-1))))*(INDEX('CONTROL MASTER'!$W$2:$W$495,(SUMPRODUCT((('CONTROL MASTER'!$S$2:$S$495=8)*('CONTROL MASTER'!$T$2:$T$495&lt;=10)*('CONTROL MASTER'!$V$2:$V$495&gt;=10)*('CONTROL MASTER'!$U$2:$U$495&lt;=3)*('CONTROL MASTER'!$W$2:$W$495&gt;=3))*ROW('CONTROL MASTER'!$S$2:$S$495))-(ROW('CONTROL MASTER'!#REF!)-1)))-INDEX('CONTROL MASTER'!$U$2:$U$495,(SUMPRODUCT((('CONTROL MASTER'!$S$2:$S$495=8)*('CONTROL MASTER'!$T$2:$T$495&lt;=10)*('CONTROL MASTER'!$V$2:$V$495&gt;=10)*('CONTROL MASTER'!$U$2:$U$495&lt;=3)*('CONTROL MASTER'!$W$2:$W$495&gt;=3))*ROW('CONTROL MASTER'!$S$2:$S$495))-(ROW('CONTROL MASTER'!#REF!)-1)))+1)+(3-INDEX('CONTROL MASTER'!$U$2:$U$495,(SUMPRODUCT((('CONTROL MASTER'!$S$2:$S$495=8)*('CONTROL MASTER'!$T$2:$T$495&lt;=10)*('CONTROL MASTER'!$V$2:$V$495&gt;=10)*('CONTROL MASTER'!$U$2:$U$495&lt;=3)*('CONTROL MASTER'!$W$2:$W$495&gt;=3))*ROW('CONTROL MASTER'!$S$2:$S$495))-(ROW('CONTROL MASTER'!#REF!)-1))))+1))-1)*50+1,50))&amp;"_"&amp;INDEX('CONTROL MASTER'!$P$2:$P$495,(SUMPRODUCT((('CONTROL MASTER'!$S$2:$S$495=8)*('CONTROL MASTER'!$T$2:$T$495&lt;=10)*('CONTROL MASTER'!$V$2:$V$495&gt;=10)*('CONTROL MASTER'!$U$2:$U$495&lt;=3)*('CONTROL MASTER'!$W$2:$W$495&gt;=3))*ROW('CONTROL MASTER'!$S$2:$S$495))-(ROW('CONTROL MASTER'!#REF!)-1))),IF(SUMPRODUCT((('CONTROL MASTER'!$S$2:$S$495=8)*('CONTROL MASTER'!$Z$2:$Z$495&lt;=10)*('CONTROL MASTER'!$AB$2:$AB$495&gt;=10)*('CONTROL MASTER'!$AA$2:$AA$495&lt;=3)*('CONTROL MASTER'!$AC$2:$AC$495&gt;=3))*ROW('CONTROL MASTER'!$S$2:$S$495))&gt;0,INDEX('CONTROL MASTER'!$X$2:$X$495,(SUMPRODUCT((('CONTROL MASTER'!$S$2:$S$495=8)*('CONTROL MASTER'!$Z$2:$Z$495&lt;=10)*('CONTROL MASTER'!$AB$2:$AB$495&gt;=10)*('CONTROL MASTER'!$AA$2:$AA$495&lt;=3)*('CONTROL MASTER'!$AC$2:$AC$495&gt;=3))*ROW('CONTROL MASTER'!$S$2:$S$495))-(ROW('CONTROL MASTER'!#REF!)-1)))&amp;TRIM(MID(SUBSTITUTE(SUBSTITUTE(INDEX('CONTROL MASTER'!$N$2:$N$495,(SUMPRODUCT((('CONTROL MASTER'!$S$2:$S$495=8)*('CONTROL MASTER'!$Z$2:$Z$495&lt;=10)*('CONTROL MASTER'!$AB$2:$AB$495&gt;=10)*('CONTROL MASTER'!$AA$2:$AA$495&lt;=3)*('CONTROL MASTER'!$AC$2:$AC$495&gt;=3))*ROW('CONTROL MASTER'!$S$2:$S$495))-(ROW('CONTROL MASTER'!#REF!)-1))),":",","),",",REPT(" ",50)),(((INDEX('CONTROL MASTER'!$Y$2:$Y$495,(SUMPRODUCT((('CONTROL MASTER'!$S$2:$S$495=8)*('CONTROL MASTER'!$Z$2:$Z$495&lt;=10)*('CONTROL MASTER'!$AB$2:$AB$495&gt;=10)*('CONTROL MASTER'!$AA$2:$AA$495&lt;=3)*('CONTROL MASTER'!$AC$2:$AC$495&gt;=3))*ROW('CONTROL MASTER'!$S$2:$S$495))-(ROW('CONTROL MASTER'!#REF!)-1)))+((10-INDEX('CONTROL MASTER'!$Z$2:$Z$495,(SUMPRODUCT((('CONTROL MASTER'!$S$2:$S$495=8)*('CONTROL MASTER'!$Z$2:$Z$495&lt;=10)*('CONTROL MASTER'!$AB$2:$AB$495&gt;=10)*('CONTROL MASTER'!$AA$2:$AA$495&lt;=3)*('CONTROL MASTER'!$AC$2:$AC$495&gt;=3))*ROW('CONTROL MASTER'!$S$2:$S$495))-(ROW('CONTROL MASTER'!#REF!)-1))))*(INDEX('CONTROL MASTER'!$AC$2:$AC$495,(SUMPRODUCT((('CONTROL MASTER'!$S$2:$S$495=8)*('CONTROL MASTER'!$Z$2:$Z$495&lt;=10)*('CONTROL MASTER'!$AB$2:$AB$495&gt;=10)*('CONTROL MASTER'!$AA$2:$AA$495&lt;=3)*('CONTROL MASTER'!$AC$2:$AC$495&gt;=3))*ROW('CONTROL MASTER'!$S$2:$S$495))-(ROW('CONTROL MASTER'!#REF!)-1)))-INDEX('CONTROL MASTER'!$AA$2:$AA$495,(SUMPRODUCT((('CONTROL MASTER'!$S$2:$S$495=8)*('CONTROL MASTER'!$Z$2:$Z$495&lt;=10)*('CONTROL MASTER'!$AB$2:$AB$495&gt;=10)*('CONTROL MASTER'!$AA$2:$AA$495&lt;=3)*('CONTROL MASTER'!$AC$2:$AC$495&gt;=3))*ROW('CONTROL MASTER'!$S$2:$S$495))-(ROW('CONTROL MASTER'!#REF!)-1)))+1)+(3-INDEX('CONTROL MASTER'!$AA$2:$AA$495,(SUMPRODUCT((('CONTROL MASTER'!$S$2:$S$495=8)*('CONTROL MASTER'!$Z$2:$Z$495&lt;=10)*('CONTROL MASTER'!$AB$2:$AB$495&gt;=10)*('CONTROL MASTER'!$AA$2:$AA$495&lt;=3)*('CONTROL MASTER'!$AC$2:$AC$495&gt;=3))*ROW('CONTROL MASTER'!$S$2:$S$495))-(ROW('CONTROL MASTER'!#REF!)-1))))+1)))-1)*50+1,50))&amp;"_"&amp;INDEX('CONTROL MASTER'!$P$2:$P$495,(SUMPRODUCT((('CONTROL MASTER'!$S$2:$S$495=8)*('CONTROL MASTER'!$Z$2:$Z$495&lt;=10)*('CONTROL MASTER'!$AB$2:$AB$495&gt;=10)*('CONTROL MASTER'!$AA$2:$AA$495&lt;=3)*('CONTROL MASTER'!$AC$2:$AC$495&gt;=3))*ROW('CONTROL MASTER'!$S$2:$S$495))-(ROW('CONTROL MASTER'!#REF!)-1))),"")),"")</f>
        <v/>
      </c>
      <c r="E110" s="10" t="str">
        <f>IFERROR(IF(SUMPRODUCT((('CONTROL MASTER'!$S$2:$S$495=8)*('CONTROL MASTER'!$T$2:$T$495&lt;=10)*('CONTROL MASTER'!$V$2:$V$495&gt;=10)*('CONTROL MASTER'!$U$2:$U$495&lt;=4)*('CONTROL MASTER'!$W$2:$W$495&gt;=4))*ROW('CONTROL MASTER'!$S$2:$S$495))&gt;0,INDEX('CONTROL MASTER'!$X$2:$X$495,(SUMPRODUCT((('CONTROL MASTER'!$S$2:$S$495=8)*('CONTROL MASTER'!$T$2:$T$495&lt;=10)*('CONTROL MASTER'!$V$2:$V$495&gt;=10)*('CONTROL MASTER'!$U$2:$U$495&lt;=4)*('CONTROL MASTER'!$W$2:$W$495&gt;=4))*ROW('CONTROL MASTER'!$S$2:$S$495))-(ROW('CONTROL MASTER'!#REF!)-1)))&amp;TRIM(MID(SUBSTITUTE(SUBSTITUTE(INDEX('CONTROL MASTER'!$N$2:$N$495,(SUMPRODUCT((('CONTROL MASTER'!$S$2:$S$495=8)*('CONTROL MASTER'!$T$2:$T$495&lt;=10)*('CONTROL MASTER'!$V$2:$V$495&gt;=10)*('CONTROL MASTER'!$U$2:$U$495&lt;=4)*('CONTROL MASTER'!$W$2:$W$495&gt;=4))*ROW('CONTROL MASTER'!$S$2:$S$495))-(ROW('CONTROL MASTER'!#REF!)-1))),":",","),",",REPT(" ",50)),((((10-INDEX('CONTROL MASTER'!$T$2:$T$495,(SUMPRODUCT((('CONTROL MASTER'!$S$2:$S$495=8)*('CONTROL MASTER'!$T$2:$T$495&lt;=10)*('CONTROL MASTER'!$V$2:$V$495&gt;=10)*('CONTROL MASTER'!$U$2:$U$495&lt;=4)*('CONTROL MASTER'!$W$2:$W$495&gt;=4))*ROW('CONTROL MASTER'!$S$2:$S$495))-(ROW('CONTROL MASTER'!#REF!)-1))))*(INDEX('CONTROL MASTER'!$W$2:$W$495,(SUMPRODUCT((('CONTROL MASTER'!$S$2:$S$495=8)*('CONTROL MASTER'!$T$2:$T$495&lt;=10)*('CONTROL MASTER'!$V$2:$V$495&gt;=10)*('CONTROL MASTER'!$U$2:$U$495&lt;=4)*('CONTROL MASTER'!$W$2:$W$495&gt;=4))*ROW('CONTROL MASTER'!$S$2:$S$495))-(ROW('CONTROL MASTER'!#REF!)-1)))-INDEX('CONTROL MASTER'!$U$2:$U$495,(SUMPRODUCT((('CONTROL MASTER'!$S$2:$S$495=8)*('CONTROL MASTER'!$T$2:$T$495&lt;=10)*('CONTROL MASTER'!$V$2:$V$495&gt;=10)*('CONTROL MASTER'!$U$2:$U$495&lt;=4)*('CONTROL MASTER'!$W$2:$W$495&gt;=4))*ROW('CONTROL MASTER'!$S$2:$S$495))-(ROW('CONTROL MASTER'!#REF!)-1)))+1)+(4-INDEX('CONTROL MASTER'!$U$2:$U$495,(SUMPRODUCT((('CONTROL MASTER'!$S$2:$S$495=8)*('CONTROL MASTER'!$T$2:$T$495&lt;=10)*('CONTROL MASTER'!$V$2:$V$495&gt;=10)*('CONTROL MASTER'!$U$2:$U$495&lt;=4)*('CONTROL MASTER'!$W$2:$W$495&gt;=4))*ROW('CONTROL MASTER'!$S$2:$S$495))-(ROW('CONTROL MASTER'!#REF!)-1))))+1))-1)*50+1,50))&amp;"_"&amp;INDEX('CONTROL MASTER'!$P$2:$P$495,(SUMPRODUCT((('CONTROL MASTER'!$S$2:$S$495=8)*('CONTROL MASTER'!$T$2:$T$495&lt;=10)*('CONTROL MASTER'!$V$2:$V$495&gt;=10)*('CONTROL MASTER'!$U$2:$U$495&lt;=4)*('CONTROL MASTER'!$W$2:$W$495&gt;=4))*ROW('CONTROL MASTER'!$S$2:$S$495))-(ROW('CONTROL MASTER'!#REF!)-1))),IF(SUMPRODUCT((('CONTROL MASTER'!$S$2:$S$495=8)*('CONTROL MASTER'!$Z$2:$Z$495&lt;=10)*('CONTROL MASTER'!$AB$2:$AB$495&gt;=10)*('CONTROL MASTER'!$AA$2:$AA$495&lt;=4)*('CONTROL MASTER'!$AC$2:$AC$495&gt;=4))*ROW('CONTROL MASTER'!$S$2:$S$495))&gt;0,INDEX('CONTROL MASTER'!$X$2:$X$495,(SUMPRODUCT((('CONTROL MASTER'!$S$2:$S$495=8)*('CONTROL MASTER'!$Z$2:$Z$495&lt;=10)*('CONTROL MASTER'!$AB$2:$AB$495&gt;=10)*('CONTROL MASTER'!$AA$2:$AA$495&lt;=4)*('CONTROL MASTER'!$AC$2:$AC$495&gt;=4))*ROW('CONTROL MASTER'!$S$2:$S$495))-(ROW('CONTROL MASTER'!#REF!)-1)))&amp;TRIM(MID(SUBSTITUTE(SUBSTITUTE(INDEX('CONTROL MASTER'!$N$2:$N$495,(SUMPRODUCT((('CONTROL MASTER'!$S$2:$S$495=8)*('CONTROL MASTER'!$Z$2:$Z$495&lt;=10)*('CONTROL MASTER'!$AB$2:$AB$495&gt;=10)*('CONTROL MASTER'!$AA$2:$AA$495&lt;=4)*('CONTROL MASTER'!$AC$2:$AC$495&gt;=4))*ROW('CONTROL MASTER'!$S$2:$S$495))-(ROW('CONTROL MASTER'!#REF!)-1))),":",","),",",REPT(" ",50)),(((INDEX('CONTROL MASTER'!$Y$2:$Y$495,(SUMPRODUCT((('CONTROL MASTER'!$S$2:$S$495=8)*('CONTROL MASTER'!$Z$2:$Z$495&lt;=10)*('CONTROL MASTER'!$AB$2:$AB$495&gt;=10)*('CONTROL MASTER'!$AA$2:$AA$495&lt;=4)*('CONTROL MASTER'!$AC$2:$AC$495&gt;=4))*ROW('CONTROL MASTER'!$S$2:$S$495))-(ROW('CONTROL MASTER'!#REF!)-1)))+((10-INDEX('CONTROL MASTER'!$Z$2:$Z$495,(SUMPRODUCT((('CONTROL MASTER'!$S$2:$S$495=8)*('CONTROL MASTER'!$Z$2:$Z$495&lt;=10)*('CONTROL MASTER'!$AB$2:$AB$495&gt;=10)*('CONTROL MASTER'!$AA$2:$AA$495&lt;=4)*('CONTROL MASTER'!$AC$2:$AC$495&gt;=4))*ROW('CONTROL MASTER'!$S$2:$S$495))-(ROW('CONTROL MASTER'!#REF!)-1))))*(INDEX('CONTROL MASTER'!$AC$2:$AC$495,(SUMPRODUCT((('CONTROL MASTER'!$S$2:$S$495=8)*('CONTROL MASTER'!$Z$2:$Z$495&lt;=10)*('CONTROL MASTER'!$AB$2:$AB$495&gt;=10)*('CONTROL MASTER'!$AA$2:$AA$495&lt;=4)*('CONTROL MASTER'!$AC$2:$AC$495&gt;=4))*ROW('CONTROL MASTER'!$S$2:$S$495))-(ROW('CONTROL MASTER'!#REF!)-1)))-INDEX('CONTROL MASTER'!$AA$2:$AA$495,(SUMPRODUCT((('CONTROL MASTER'!$S$2:$S$495=8)*('CONTROL MASTER'!$Z$2:$Z$495&lt;=10)*('CONTROL MASTER'!$AB$2:$AB$495&gt;=10)*('CONTROL MASTER'!$AA$2:$AA$495&lt;=4)*('CONTROL MASTER'!$AC$2:$AC$495&gt;=4))*ROW('CONTROL MASTER'!$S$2:$S$495))-(ROW('CONTROL MASTER'!#REF!)-1)))+1)+(4-INDEX('CONTROL MASTER'!$AA$2:$AA$495,(SUMPRODUCT((('CONTROL MASTER'!$S$2:$S$495=8)*('CONTROL MASTER'!$Z$2:$Z$495&lt;=10)*('CONTROL MASTER'!$AB$2:$AB$495&gt;=10)*('CONTROL MASTER'!$AA$2:$AA$495&lt;=4)*('CONTROL MASTER'!$AC$2:$AC$495&gt;=4))*ROW('CONTROL MASTER'!$S$2:$S$495))-(ROW('CONTROL MASTER'!#REF!)-1))))+1)))-1)*50+1,50))&amp;"_"&amp;INDEX('CONTROL MASTER'!$P$2:$P$495,(SUMPRODUCT((('CONTROL MASTER'!$S$2:$S$495=8)*('CONTROL MASTER'!$Z$2:$Z$495&lt;=10)*('CONTROL MASTER'!$AB$2:$AB$495&gt;=10)*('CONTROL MASTER'!$AA$2:$AA$495&lt;=4)*('CONTROL MASTER'!$AC$2:$AC$495&gt;=4))*ROW('CONTROL MASTER'!$S$2:$S$495))-(ROW('CONTROL MASTER'!#REF!)-1))),"")),"")</f>
        <v/>
      </c>
      <c r="F110" s="10" t="str">
        <f>IFERROR(IF(SUMPRODUCT((('CONTROL MASTER'!$S$2:$S$495=8)*('CONTROL MASTER'!$T$2:$T$495&lt;=10)*('CONTROL MASTER'!$V$2:$V$495&gt;=10)*('CONTROL MASTER'!$U$2:$U$495&lt;=5)*('CONTROL MASTER'!$W$2:$W$495&gt;=5))*ROW('CONTROL MASTER'!$S$2:$S$495))&gt;0,INDEX('CONTROL MASTER'!$X$2:$X$495,(SUMPRODUCT((('CONTROL MASTER'!$S$2:$S$495=8)*('CONTROL MASTER'!$T$2:$T$495&lt;=10)*('CONTROL MASTER'!$V$2:$V$495&gt;=10)*('CONTROL MASTER'!$U$2:$U$495&lt;=5)*('CONTROL MASTER'!$W$2:$W$495&gt;=5))*ROW('CONTROL MASTER'!$S$2:$S$495))-(ROW('CONTROL MASTER'!#REF!)-1)))&amp;TRIM(MID(SUBSTITUTE(SUBSTITUTE(INDEX('CONTROL MASTER'!$N$2:$N$495,(SUMPRODUCT((('CONTROL MASTER'!$S$2:$S$495=8)*('CONTROL MASTER'!$T$2:$T$495&lt;=10)*('CONTROL MASTER'!$V$2:$V$495&gt;=10)*('CONTROL MASTER'!$U$2:$U$495&lt;=5)*('CONTROL MASTER'!$W$2:$W$495&gt;=5))*ROW('CONTROL MASTER'!$S$2:$S$495))-(ROW('CONTROL MASTER'!#REF!)-1))),":",","),",",REPT(" ",50)),((((10-INDEX('CONTROL MASTER'!$T$2:$T$495,(SUMPRODUCT((('CONTROL MASTER'!$S$2:$S$495=8)*('CONTROL MASTER'!$T$2:$T$495&lt;=10)*('CONTROL MASTER'!$V$2:$V$495&gt;=10)*('CONTROL MASTER'!$U$2:$U$495&lt;=5)*('CONTROL MASTER'!$W$2:$W$495&gt;=5))*ROW('CONTROL MASTER'!$S$2:$S$495))-(ROW('CONTROL MASTER'!#REF!)-1))))*(INDEX('CONTROL MASTER'!$W$2:$W$495,(SUMPRODUCT((('CONTROL MASTER'!$S$2:$S$495=8)*('CONTROL MASTER'!$T$2:$T$495&lt;=10)*('CONTROL MASTER'!$V$2:$V$495&gt;=10)*('CONTROL MASTER'!$U$2:$U$495&lt;=5)*('CONTROL MASTER'!$W$2:$W$495&gt;=5))*ROW('CONTROL MASTER'!$S$2:$S$495))-(ROW('CONTROL MASTER'!#REF!)-1)))-INDEX('CONTROL MASTER'!$U$2:$U$495,(SUMPRODUCT((('CONTROL MASTER'!$S$2:$S$495=8)*('CONTROL MASTER'!$T$2:$T$495&lt;=10)*('CONTROL MASTER'!$V$2:$V$495&gt;=10)*('CONTROL MASTER'!$U$2:$U$495&lt;=5)*('CONTROL MASTER'!$W$2:$W$495&gt;=5))*ROW('CONTROL MASTER'!$S$2:$S$495))-(ROW('CONTROL MASTER'!#REF!)-1)))+1)+(5-INDEX('CONTROL MASTER'!$U$2:$U$495,(SUMPRODUCT((('CONTROL MASTER'!$S$2:$S$495=8)*('CONTROL MASTER'!$T$2:$T$495&lt;=10)*('CONTROL MASTER'!$V$2:$V$495&gt;=10)*('CONTROL MASTER'!$U$2:$U$495&lt;=5)*('CONTROL MASTER'!$W$2:$W$495&gt;=5))*ROW('CONTROL MASTER'!$S$2:$S$495))-(ROW('CONTROL MASTER'!#REF!)-1))))+1))-1)*50+1,50))&amp;"_"&amp;INDEX('CONTROL MASTER'!$P$2:$P$495,(SUMPRODUCT((('CONTROL MASTER'!$S$2:$S$495=8)*('CONTROL MASTER'!$T$2:$T$495&lt;=10)*('CONTROL MASTER'!$V$2:$V$495&gt;=10)*('CONTROL MASTER'!$U$2:$U$495&lt;=5)*('CONTROL MASTER'!$W$2:$W$495&gt;=5))*ROW('CONTROL MASTER'!$S$2:$S$495))-(ROW('CONTROL MASTER'!#REF!)-1))),IF(SUMPRODUCT((('CONTROL MASTER'!$S$2:$S$495=8)*('CONTROL MASTER'!$Z$2:$Z$495&lt;=10)*('CONTROL MASTER'!$AB$2:$AB$495&gt;=10)*('CONTROL MASTER'!$AA$2:$AA$495&lt;=5)*('CONTROL MASTER'!$AC$2:$AC$495&gt;=5))*ROW('CONTROL MASTER'!$S$2:$S$495))&gt;0,INDEX('CONTROL MASTER'!$X$2:$X$495,(SUMPRODUCT((('CONTROL MASTER'!$S$2:$S$495=8)*('CONTROL MASTER'!$Z$2:$Z$495&lt;=10)*('CONTROL MASTER'!$AB$2:$AB$495&gt;=10)*('CONTROL MASTER'!$AA$2:$AA$495&lt;=5)*('CONTROL MASTER'!$AC$2:$AC$495&gt;=5))*ROW('CONTROL MASTER'!$S$2:$S$495))-(ROW('CONTROL MASTER'!#REF!)-1)))&amp;TRIM(MID(SUBSTITUTE(SUBSTITUTE(INDEX('CONTROL MASTER'!$N$2:$N$495,(SUMPRODUCT((('CONTROL MASTER'!$S$2:$S$495=8)*('CONTROL MASTER'!$Z$2:$Z$495&lt;=10)*('CONTROL MASTER'!$AB$2:$AB$495&gt;=10)*('CONTROL MASTER'!$AA$2:$AA$495&lt;=5)*('CONTROL MASTER'!$AC$2:$AC$495&gt;=5))*ROW('CONTROL MASTER'!$S$2:$S$495))-(ROW('CONTROL MASTER'!#REF!)-1))),":",","),",",REPT(" ",50)),(((INDEX('CONTROL MASTER'!$Y$2:$Y$495,(SUMPRODUCT((('CONTROL MASTER'!$S$2:$S$495=8)*('CONTROL MASTER'!$Z$2:$Z$495&lt;=10)*('CONTROL MASTER'!$AB$2:$AB$495&gt;=10)*('CONTROL MASTER'!$AA$2:$AA$495&lt;=5)*('CONTROL MASTER'!$AC$2:$AC$495&gt;=5))*ROW('CONTROL MASTER'!$S$2:$S$495))-(ROW('CONTROL MASTER'!#REF!)-1)))+((10-INDEX('CONTROL MASTER'!$Z$2:$Z$495,(SUMPRODUCT((('CONTROL MASTER'!$S$2:$S$495=8)*('CONTROL MASTER'!$Z$2:$Z$495&lt;=10)*('CONTROL MASTER'!$AB$2:$AB$495&gt;=10)*('CONTROL MASTER'!$AA$2:$AA$495&lt;=5)*('CONTROL MASTER'!$AC$2:$AC$495&gt;=5))*ROW('CONTROL MASTER'!$S$2:$S$495))-(ROW('CONTROL MASTER'!#REF!)-1))))*(INDEX('CONTROL MASTER'!$AC$2:$AC$495,(SUMPRODUCT((('CONTROL MASTER'!$S$2:$S$495=8)*('CONTROL MASTER'!$Z$2:$Z$495&lt;=10)*('CONTROL MASTER'!$AB$2:$AB$495&gt;=10)*('CONTROL MASTER'!$AA$2:$AA$495&lt;=5)*('CONTROL MASTER'!$AC$2:$AC$495&gt;=5))*ROW('CONTROL MASTER'!$S$2:$S$495))-(ROW('CONTROL MASTER'!#REF!)-1)))-INDEX('CONTROL MASTER'!$AA$2:$AA$495,(SUMPRODUCT((('CONTROL MASTER'!$S$2:$S$495=8)*('CONTROL MASTER'!$Z$2:$Z$495&lt;=10)*('CONTROL MASTER'!$AB$2:$AB$495&gt;=10)*('CONTROL MASTER'!$AA$2:$AA$495&lt;=5)*('CONTROL MASTER'!$AC$2:$AC$495&gt;=5))*ROW('CONTROL MASTER'!$S$2:$S$495))-(ROW('CONTROL MASTER'!#REF!)-1)))+1)+(5-INDEX('CONTROL MASTER'!$AA$2:$AA$495,(SUMPRODUCT((('CONTROL MASTER'!$S$2:$S$495=8)*('CONTROL MASTER'!$Z$2:$Z$495&lt;=10)*('CONTROL MASTER'!$AB$2:$AB$495&gt;=10)*('CONTROL MASTER'!$AA$2:$AA$495&lt;=5)*('CONTROL MASTER'!$AC$2:$AC$495&gt;=5))*ROW('CONTROL MASTER'!$S$2:$S$495))-(ROW('CONTROL MASTER'!#REF!)-1))))+1)))-1)*50+1,50))&amp;"_"&amp;INDEX('CONTROL MASTER'!$P$2:$P$495,(SUMPRODUCT((('CONTROL MASTER'!$S$2:$S$495=8)*('CONTROL MASTER'!$Z$2:$Z$495&lt;=10)*('CONTROL MASTER'!$AB$2:$AB$495&gt;=10)*('CONTROL MASTER'!$AA$2:$AA$495&lt;=5)*('CONTROL MASTER'!$AC$2:$AC$495&gt;=5))*ROW('CONTROL MASTER'!$S$2:$S$495))-(ROW('CONTROL MASTER'!#REF!)-1))),"")),"")</f>
        <v/>
      </c>
      <c r="G110" s="10" t="str">
        <f>IFERROR(IF(SUMPRODUCT((('CONTROL MASTER'!$S$2:$S$495=8)*('CONTROL MASTER'!$T$2:$T$495&lt;=10)*('CONTROL MASTER'!$V$2:$V$495&gt;=10)*('CONTROL MASTER'!$U$2:$U$495&lt;=6)*('CONTROL MASTER'!$W$2:$W$495&gt;=6))*ROW('CONTROL MASTER'!$S$2:$S$495))&gt;0,INDEX('CONTROL MASTER'!$X$2:$X$495,(SUMPRODUCT((('CONTROL MASTER'!$S$2:$S$495=8)*('CONTROL MASTER'!$T$2:$T$495&lt;=10)*('CONTROL MASTER'!$V$2:$V$495&gt;=10)*('CONTROL MASTER'!$U$2:$U$495&lt;=6)*('CONTROL MASTER'!$W$2:$W$495&gt;=6))*ROW('CONTROL MASTER'!$S$2:$S$495))-(ROW('CONTROL MASTER'!#REF!)-1)))&amp;TRIM(MID(SUBSTITUTE(SUBSTITUTE(INDEX('CONTROL MASTER'!$N$2:$N$495,(SUMPRODUCT((('CONTROL MASTER'!$S$2:$S$495=8)*('CONTROL MASTER'!$T$2:$T$495&lt;=10)*('CONTROL MASTER'!$V$2:$V$495&gt;=10)*('CONTROL MASTER'!$U$2:$U$495&lt;=6)*('CONTROL MASTER'!$W$2:$W$495&gt;=6))*ROW('CONTROL MASTER'!$S$2:$S$495))-(ROW('CONTROL MASTER'!#REF!)-1))),":",","),",",REPT(" ",50)),((((10-INDEX('CONTROL MASTER'!$T$2:$T$495,(SUMPRODUCT((('CONTROL MASTER'!$S$2:$S$495=8)*('CONTROL MASTER'!$T$2:$T$495&lt;=10)*('CONTROL MASTER'!$V$2:$V$495&gt;=10)*('CONTROL MASTER'!$U$2:$U$495&lt;=6)*('CONTROL MASTER'!$W$2:$W$495&gt;=6))*ROW('CONTROL MASTER'!$S$2:$S$495))-(ROW('CONTROL MASTER'!#REF!)-1))))*(INDEX('CONTROL MASTER'!$W$2:$W$495,(SUMPRODUCT((('CONTROL MASTER'!$S$2:$S$495=8)*('CONTROL MASTER'!$T$2:$T$495&lt;=10)*('CONTROL MASTER'!$V$2:$V$495&gt;=10)*('CONTROL MASTER'!$U$2:$U$495&lt;=6)*('CONTROL MASTER'!$W$2:$W$495&gt;=6))*ROW('CONTROL MASTER'!$S$2:$S$495))-(ROW('CONTROL MASTER'!#REF!)-1)))-INDEX('CONTROL MASTER'!$U$2:$U$495,(SUMPRODUCT((('CONTROL MASTER'!$S$2:$S$495=8)*('CONTROL MASTER'!$T$2:$T$495&lt;=10)*('CONTROL MASTER'!$V$2:$V$495&gt;=10)*('CONTROL MASTER'!$U$2:$U$495&lt;=6)*('CONTROL MASTER'!$W$2:$W$495&gt;=6))*ROW('CONTROL MASTER'!$S$2:$S$495))-(ROW('CONTROL MASTER'!#REF!)-1)))+1)+(6-INDEX('CONTROL MASTER'!$U$2:$U$495,(SUMPRODUCT((('CONTROL MASTER'!$S$2:$S$495=8)*('CONTROL MASTER'!$T$2:$T$495&lt;=10)*('CONTROL MASTER'!$V$2:$V$495&gt;=10)*('CONTROL MASTER'!$U$2:$U$495&lt;=6)*('CONTROL MASTER'!$W$2:$W$495&gt;=6))*ROW('CONTROL MASTER'!$S$2:$S$495))-(ROW('CONTROL MASTER'!#REF!)-1))))+1))-1)*50+1,50))&amp;"_"&amp;INDEX('CONTROL MASTER'!$P$2:$P$495,(SUMPRODUCT((('CONTROL MASTER'!$S$2:$S$495=8)*('CONTROL MASTER'!$T$2:$T$495&lt;=10)*('CONTROL MASTER'!$V$2:$V$495&gt;=10)*('CONTROL MASTER'!$U$2:$U$495&lt;=6)*('CONTROL MASTER'!$W$2:$W$495&gt;=6))*ROW('CONTROL MASTER'!$S$2:$S$495))-(ROW('CONTROL MASTER'!#REF!)-1))),IF(SUMPRODUCT((('CONTROL MASTER'!$S$2:$S$495=8)*('CONTROL MASTER'!$Z$2:$Z$495&lt;=10)*('CONTROL MASTER'!$AB$2:$AB$495&gt;=10)*('CONTROL MASTER'!$AA$2:$AA$495&lt;=6)*('CONTROL MASTER'!$AC$2:$AC$495&gt;=6))*ROW('CONTROL MASTER'!$S$2:$S$495))&gt;0,INDEX('CONTROL MASTER'!$X$2:$X$495,(SUMPRODUCT((('CONTROL MASTER'!$S$2:$S$495=8)*('CONTROL MASTER'!$Z$2:$Z$495&lt;=10)*('CONTROL MASTER'!$AB$2:$AB$495&gt;=10)*('CONTROL MASTER'!$AA$2:$AA$495&lt;=6)*('CONTROL MASTER'!$AC$2:$AC$495&gt;=6))*ROW('CONTROL MASTER'!$S$2:$S$495))-(ROW('CONTROL MASTER'!#REF!)-1)))&amp;TRIM(MID(SUBSTITUTE(SUBSTITUTE(INDEX('CONTROL MASTER'!$N$2:$N$495,(SUMPRODUCT((('CONTROL MASTER'!$S$2:$S$495=8)*('CONTROL MASTER'!$Z$2:$Z$495&lt;=10)*('CONTROL MASTER'!$AB$2:$AB$495&gt;=10)*('CONTROL MASTER'!$AA$2:$AA$495&lt;=6)*('CONTROL MASTER'!$AC$2:$AC$495&gt;=6))*ROW('CONTROL MASTER'!$S$2:$S$495))-(ROW('CONTROL MASTER'!#REF!)-1))),":",","),",",REPT(" ",50)),(((INDEX('CONTROL MASTER'!$Y$2:$Y$495,(SUMPRODUCT((('CONTROL MASTER'!$S$2:$S$495=8)*('CONTROL MASTER'!$Z$2:$Z$495&lt;=10)*('CONTROL MASTER'!$AB$2:$AB$495&gt;=10)*('CONTROL MASTER'!$AA$2:$AA$495&lt;=6)*('CONTROL MASTER'!$AC$2:$AC$495&gt;=6))*ROW('CONTROL MASTER'!$S$2:$S$495))-(ROW('CONTROL MASTER'!#REF!)-1)))+((10-INDEX('CONTROL MASTER'!$Z$2:$Z$495,(SUMPRODUCT((('CONTROL MASTER'!$S$2:$S$495=8)*('CONTROL MASTER'!$Z$2:$Z$495&lt;=10)*('CONTROL MASTER'!$AB$2:$AB$495&gt;=10)*('CONTROL MASTER'!$AA$2:$AA$495&lt;=6)*('CONTROL MASTER'!$AC$2:$AC$495&gt;=6))*ROW('CONTROL MASTER'!$S$2:$S$495))-(ROW('CONTROL MASTER'!#REF!)-1))))*(INDEX('CONTROL MASTER'!$AC$2:$AC$495,(SUMPRODUCT((('CONTROL MASTER'!$S$2:$S$495=8)*('CONTROL MASTER'!$Z$2:$Z$495&lt;=10)*('CONTROL MASTER'!$AB$2:$AB$495&gt;=10)*('CONTROL MASTER'!$AA$2:$AA$495&lt;=6)*('CONTROL MASTER'!$AC$2:$AC$495&gt;=6))*ROW('CONTROL MASTER'!$S$2:$S$495))-(ROW('CONTROL MASTER'!#REF!)-1)))-INDEX('CONTROL MASTER'!$AA$2:$AA$495,(SUMPRODUCT((('CONTROL MASTER'!$S$2:$S$495=8)*('CONTROL MASTER'!$Z$2:$Z$495&lt;=10)*('CONTROL MASTER'!$AB$2:$AB$495&gt;=10)*('CONTROL MASTER'!$AA$2:$AA$495&lt;=6)*('CONTROL MASTER'!$AC$2:$AC$495&gt;=6))*ROW('CONTROL MASTER'!$S$2:$S$495))-(ROW('CONTROL MASTER'!#REF!)-1)))+1)+(6-INDEX('CONTROL MASTER'!$AA$2:$AA$495,(SUMPRODUCT((('CONTROL MASTER'!$S$2:$S$495=8)*('CONTROL MASTER'!$Z$2:$Z$495&lt;=10)*('CONTROL MASTER'!$AB$2:$AB$495&gt;=10)*('CONTROL MASTER'!$AA$2:$AA$495&lt;=6)*('CONTROL MASTER'!$AC$2:$AC$495&gt;=6))*ROW('CONTROL MASTER'!$S$2:$S$495))-(ROW('CONTROL MASTER'!#REF!)-1))))+1)))-1)*50+1,50))&amp;"_"&amp;INDEX('CONTROL MASTER'!$P$2:$P$495,(SUMPRODUCT((('CONTROL MASTER'!$S$2:$S$495=8)*('CONTROL MASTER'!$Z$2:$Z$495&lt;=10)*('CONTROL MASTER'!$AB$2:$AB$495&gt;=10)*('CONTROL MASTER'!$AA$2:$AA$495&lt;=6)*('CONTROL MASTER'!$AC$2:$AC$495&gt;=6))*ROW('CONTROL MASTER'!$S$2:$S$495))-(ROW('CONTROL MASTER'!#REF!)-1))),"")),"")</f>
        <v/>
      </c>
      <c r="H110" s="10" t="str">
        <f>IFERROR(IF(SUMPRODUCT((('CONTROL MASTER'!$S$2:$S$495=8)*('CONTROL MASTER'!$T$2:$T$495&lt;=10)*('CONTROL MASTER'!$V$2:$V$495&gt;=10)*('CONTROL MASTER'!$U$2:$U$495&lt;=7)*('CONTROL MASTER'!$W$2:$W$495&gt;=7))*ROW('CONTROL MASTER'!$S$2:$S$495))&gt;0,INDEX('CONTROL MASTER'!$X$2:$X$495,(SUMPRODUCT((('CONTROL MASTER'!$S$2:$S$495=8)*('CONTROL MASTER'!$T$2:$T$495&lt;=10)*('CONTROL MASTER'!$V$2:$V$495&gt;=10)*('CONTROL MASTER'!$U$2:$U$495&lt;=7)*('CONTROL MASTER'!$W$2:$W$495&gt;=7))*ROW('CONTROL MASTER'!$S$2:$S$495))-(ROW('CONTROL MASTER'!#REF!)-1)))&amp;TRIM(MID(SUBSTITUTE(SUBSTITUTE(INDEX('CONTROL MASTER'!$N$2:$N$495,(SUMPRODUCT((('CONTROL MASTER'!$S$2:$S$495=8)*('CONTROL MASTER'!$T$2:$T$495&lt;=10)*('CONTROL MASTER'!$V$2:$V$495&gt;=10)*('CONTROL MASTER'!$U$2:$U$495&lt;=7)*('CONTROL MASTER'!$W$2:$W$495&gt;=7))*ROW('CONTROL MASTER'!$S$2:$S$495))-(ROW('CONTROL MASTER'!#REF!)-1))),":",","),",",REPT(" ",50)),((((10-INDEX('CONTROL MASTER'!$T$2:$T$495,(SUMPRODUCT((('CONTROL MASTER'!$S$2:$S$495=8)*('CONTROL MASTER'!$T$2:$T$495&lt;=10)*('CONTROL MASTER'!$V$2:$V$495&gt;=10)*('CONTROL MASTER'!$U$2:$U$495&lt;=7)*('CONTROL MASTER'!$W$2:$W$495&gt;=7))*ROW('CONTROL MASTER'!$S$2:$S$495))-(ROW('CONTROL MASTER'!#REF!)-1))))*(INDEX('CONTROL MASTER'!$W$2:$W$495,(SUMPRODUCT((('CONTROL MASTER'!$S$2:$S$495=8)*('CONTROL MASTER'!$T$2:$T$495&lt;=10)*('CONTROL MASTER'!$V$2:$V$495&gt;=10)*('CONTROL MASTER'!$U$2:$U$495&lt;=7)*('CONTROL MASTER'!$W$2:$W$495&gt;=7))*ROW('CONTROL MASTER'!$S$2:$S$495))-(ROW('CONTROL MASTER'!#REF!)-1)))-INDEX('CONTROL MASTER'!$U$2:$U$495,(SUMPRODUCT((('CONTROL MASTER'!$S$2:$S$495=8)*('CONTROL MASTER'!$T$2:$T$495&lt;=10)*('CONTROL MASTER'!$V$2:$V$495&gt;=10)*('CONTROL MASTER'!$U$2:$U$495&lt;=7)*('CONTROL MASTER'!$W$2:$W$495&gt;=7))*ROW('CONTROL MASTER'!$S$2:$S$495))-(ROW('CONTROL MASTER'!#REF!)-1)))+1)+(7-INDEX('CONTROL MASTER'!$U$2:$U$495,(SUMPRODUCT((('CONTROL MASTER'!$S$2:$S$495=8)*('CONTROL MASTER'!$T$2:$T$495&lt;=10)*('CONTROL MASTER'!$V$2:$V$495&gt;=10)*('CONTROL MASTER'!$U$2:$U$495&lt;=7)*('CONTROL MASTER'!$W$2:$W$495&gt;=7))*ROW('CONTROL MASTER'!$S$2:$S$495))-(ROW('CONTROL MASTER'!#REF!)-1))))+1))-1)*50+1,50))&amp;"_"&amp;INDEX('CONTROL MASTER'!$P$2:$P$495,(SUMPRODUCT((('CONTROL MASTER'!$S$2:$S$495=8)*('CONTROL MASTER'!$T$2:$T$495&lt;=10)*('CONTROL MASTER'!$V$2:$V$495&gt;=10)*('CONTROL MASTER'!$U$2:$U$495&lt;=7)*('CONTROL MASTER'!$W$2:$W$495&gt;=7))*ROW('CONTROL MASTER'!$S$2:$S$495))-(ROW('CONTROL MASTER'!#REF!)-1))),IF(SUMPRODUCT((('CONTROL MASTER'!$S$2:$S$495=8)*('CONTROL MASTER'!$Z$2:$Z$495&lt;=10)*('CONTROL MASTER'!$AB$2:$AB$495&gt;=10)*('CONTROL MASTER'!$AA$2:$AA$495&lt;=7)*('CONTROL MASTER'!$AC$2:$AC$495&gt;=7))*ROW('CONTROL MASTER'!$S$2:$S$495))&gt;0,INDEX('CONTROL MASTER'!$X$2:$X$495,(SUMPRODUCT((('CONTROL MASTER'!$S$2:$S$495=8)*('CONTROL MASTER'!$Z$2:$Z$495&lt;=10)*('CONTROL MASTER'!$AB$2:$AB$495&gt;=10)*('CONTROL MASTER'!$AA$2:$AA$495&lt;=7)*('CONTROL MASTER'!$AC$2:$AC$495&gt;=7))*ROW('CONTROL MASTER'!$S$2:$S$495))-(ROW('CONTROL MASTER'!#REF!)-1)))&amp;TRIM(MID(SUBSTITUTE(SUBSTITUTE(INDEX('CONTROL MASTER'!$N$2:$N$495,(SUMPRODUCT((('CONTROL MASTER'!$S$2:$S$495=8)*('CONTROL MASTER'!$Z$2:$Z$495&lt;=10)*('CONTROL MASTER'!$AB$2:$AB$495&gt;=10)*('CONTROL MASTER'!$AA$2:$AA$495&lt;=7)*('CONTROL MASTER'!$AC$2:$AC$495&gt;=7))*ROW('CONTROL MASTER'!$S$2:$S$495))-(ROW('CONTROL MASTER'!#REF!)-1))),":",","),",",REPT(" ",50)),(((INDEX('CONTROL MASTER'!$Y$2:$Y$495,(SUMPRODUCT((('CONTROL MASTER'!$S$2:$S$495=8)*('CONTROL MASTER'!$Z$2:$Z$495&lt;=10)*('CONTROL MASTER'!$AB$2:$AB$495&gt;=10)*('CONTROL MASTER'!$AA$2:$AA$495&lt;=7)*('CONTROL MASTER'!$AC$2:$AC$495&gt;=7))*ROW('CONTROL MASTER'!$S$2:$S$495))-(ROW('CONTROL MASTER'!#REF!)-1)))+((10-INDEX('CONTROL MASTER'!$Z$2:$Z$495,(SUMPRODUCT((('CONTROL MASTER'!$S$2:$S$495=8)*('CONTROL MASTER'!$Z$2:$Z$495&lt;=10)*('CONTROL MASTER'!$AB$2:$AB$495&gt;=10)*('CONTROL MASTER'!$AA$2:$AA$495&lt;=7)*('CONTROL MASTER'!$AC$2:$AC$495&gt;=7))*ROW('CONTROL MASTER'!$S$2:$S$495))-(ROW('CONTROL MASTER'!#REF!)-1))))*(INDEX('CONTROL MASTER'!$AC$2:$AC$495,(SUMPRODUCT((('CONTROL MASTER'!$S$2:$S$495=8)*('CONTROL MASTER'!$Z$2:$Z$495&lt;=10)*('CONTROL MASTER'!$AB$2:$AB$495&gt;=10)*('CONTROL MASTER'!$AA$2:$AA$495&lt;=7)*('CONTROL MASTER'!$AC$2:$AC$495&gt;=7))*ROW('CONTROL MASTER'!$S$2:$S$495))-(ROW('CONTROL MASTER'!#REF!)-1)))-INDEX('CONTROL MASTER'!$AA$2:$AA$495,(SUMPRODUCT((('CONTROL MASTER'!$S$2:$S$495=8)*('CONTROL MASTER'!$Z$2:$Z$495&lt;=10)*('CONTROL MASTER'!$AB$2:$AB$495&gt;=10)*('CONTROL MASTER'!$AA$2:$AA$495&lt;=7)*('CONTROL MASTER'!$AC$2:$AC$495&gt;=7))*ROW('CONTROL MASTER'!$S$2:$S$495))-(ROW('CONTROL MASTER'!#REF!)-1)))+1)+(7-INDEX('CONTROL MASTER'!$AA$2:$AA$495,(SUMPRODUCT((('CONTROL MASTER'!$S$2:$S$495=8)*('CONTROL MASTER'!$Z$2:$Z$495&lt;=10)*('CONTROL MASTER'!$AB$2:$AB$495&gt;=10)*('CONTROL MASTER'!$AA$2:$AA$495&lt;=7)*('CONTROL MASTER'!$AC$2:$AC$495&gt;=7))*ROW('CONTROL MASTER'!$S$2:$S$495))-(ROW('CONTROL MASTER'!#REF!)-1))))+1)))-1)*50+1,50))&amp;"_"&amp;INDEX('CONTROL MASTER'!$P$2:$P$495,(SUMPRODUCT((('CONTROL MASTER'!$S$2:$S$495=8)*('CONTROL MASTER'!$Z$2:$Z$495&lt;=10)*('CONTROL MASTER'!$AB$2:$AB$495&gt;=10)*('CONTROL MASTER'!$AA$2:$AA$495&lt;=7)*('CONTROL MASTER'!$AC$2:$AC$495&gt;=7))*ROW('CONTROL MASTER'!$S$2:$S$495))-(ROW('CONTROL MASTER'!#REF!)-1))),"")),"")</f>
        <v/>
      </c>
      <c r="I110" s="10" t="str">
        <f>IFERROR(IF(SUMPRODUCT((('CONTROL MASTER'!$S$2:$S$495=8)*('CONTROL MASTER'!$T$2:$T$495&lt;=10)*('CONTROL MASTER'!$V$2:$V$495&gt;=10)*('CONTROL MASTER'!$U$2:$U$495&lt;=8)*('CONTROL MASTER'!$W$2:$W$495&gt;=8))*ROW('CONTROL MASTER'!$S$2:$S$495))&gt;0,INDEX('CONTROL MASTER'!$X$2:$X$495,(SUMPRODUCT((('CONTROL MASTER'!$S$2:$S$495=8)*('CONTROL MASTER'!$T$2:$T$495&lt;=10)*('CONTROL MASTER'!$V$2:$V$495&gt;=10)*('CONTROL MASTER'!$U$2:$U$495&lt;=8)*('CONTROL MASTER'!$W$2:$W$495&gt;=8))*ROW('CONTROL MASTER'!$S$2:$S$495))-(ROW('CONTROL MASTER'!#REF!)-1)))&amp;TRIM(MID(SUBSTITUTE(SUBSTITUTE(INDEX('CONTROL MASTER'!$N$2:$N$495,(SUMPRODUCT((('CONTROL MASTER'!$S$2:$S$495=8)*('CONTROL MASTER'!$T$2:$T$495&lt;=10)*('CONTROL MASTER'!$V$2:$V$495&gt;=10)*('CONTROL MASTER'!$U$2:$U$495&lt;=8)*('CONTROL MASTER'!$W$2:$W$495&gt;=8))*ROW('CONTROL MASTER'!$S$2:$S$495))-(ROW('CONTROL MASTER'!#REF!)-1))),":",","),",",REPT(" ",50)),((((10-INDEX('CONTROL MASTER'!$T$2:$T$495,(SUMPRODUCT((('CONTROL MASTER'!$S$2:$S$495=8)*('CONTROL MASTER'!$T$2:$T$495&lt;=10)*('CONTROL MASTER'!$V$2:$V$495&gt;=10)*('CONTROL MASTER'!$U$2:$U$495&lt;=8)*('CONTROL MASTER'!$W$2:$W$495&gt;=8))*ROW('CONTROL MASTER'!$S$2:$S$495))-(ROW('CONTROL MASTER'!#REF!)-1))))*(INDEX('CONTROL MASTER'!$W$2:$W$495,(SUMPRODUCT((('CONTROL MASTER'!$S$2:$S$495=8)*('CONTROL MASTER'!$T$2:$T$495&lt;=10)*('CONTROL MASTER'!$V$2:$V$495&gt;=10)*('CONTROL MASTER'!$U$2:$U$495&lt;=8)*('CONTROL MASTER'!$W$2:$W$495&gt;=8))*ROW('CONTROL MASTER'!$S$2:$S$495))-(ROW('CONTROL MASTER'!#REF!)-1)))-INDEX('CONTROL MASTER'!$U$2:$U$495,(SUMPRODUCT((('CONTROL MASTER'!$S$2:$S$495=8)*('CONTROL MASTER'!$T$2:$T$495&lt;=10)*('CONTROL MASTER'!$V$2:$V$495&gt;=10)*('CONTROL MASTER'!$U$2:$U$495&lt;=8)*('CONTROL MASTER'!$W$2:$W$495&gt;=8))*ROW('CONTROL MASTER'!$S$2:$S$495))-(ROW('CONTROL MASTER'!#REF!)-1)))+1)+(8-INDEX('CONTROL MASTER'!$U$2:$U$495,(SUMPRODUCT((('CONTROL MASTER'!$S$2:$S$495=8)*('CONTROL MASTER'!$T$2:$T$495&lt;=10)*('CONTROL MASTER'!$V$2:$V$495&gt;=10)*('CONTROL MASTER'!$U$2:$U$495&lt;=8)*('CONTROL MASTER'!$W$2:$W$495&gt;=8))*ROW('CONTROL MASTER'!$S$2:$S$495))-(ROW('CONTROL MASTER'!#REF!)-1))))+1))-1)*50+1,50))&amp;"_"&amp;INDEX('CONTROL MASTER'!$P$2:$P$495,(SUMPRODUCT((('CONTROL MASTER'!$S$2:$S$495=8)*('CONTROL MASTER'!$T$2:$T$495&lt;=10)*('CONTROL MASTER'!$V$2:$V$495&gt;=10)*('CONTROL MASTER'!$U$2:$U$495&lt;=8)*('CONTROL MASTER'!$W$2:$W$495&gt;=8))*ROW('CONTROL MASTER'!$S$2:$S$495))-(ROW('CONTROL MASTER'!#REF!)-1))),IF(SUMPRODUCT((('CONTROL MASTER'!$S$2:$S$495=8)*('CONTROL MASTER'!$Z$2:$Z$495&lt;=10)*('CONTROL MASTER'!$AB$2:$AB$495&gt;=10)*('CONTROL MASTER'!$AA$2:$AA$495&lt;=8)*('CONTROL MASTER'!$AC$2:$AC$495&gt;=8))*ROW('CONTROL MASTER'!$S$2:$S$495))&gt;0,INDEX('CONTROL MASTER'!$X$2:$X$495,(SUMPRODUCT((('CONTROL MASTER'!$S$2:$S$495=8)*('CONTROL MASTER'!$Z$2:$Z$495&lt;=10)*('CONTROL MASTER'!$AB$2:$AB$495&gt;=10)*('CONTROL MASTER'!$AA$2:$AA$495&lt;=8)*('CONTROL MASTER'!$AC$2:$AC$495&gt;=8))*ROW('CONTROL MASTER'!$S$2:$S$495))-(ROW('CONTROL MASTER'!#REF!)-1)))&amp;TRIM(MID(SUBSTITUTE(SUBSTITUTE(INDEX('CONTROL MASTER'!$N$2:$N$495,(SUMPRODUCT((('CONTROL MASTER'!$S$2:$S$495=8)*('CONTROL MASTER'!$Z$2:$Z$495&lt;=10)*('CONTROL MASTER'!$AB$2:$AB$495&gt;=10)*('CONTROL MASTER'!$AA$2:$AA$495&lt;=8)*('CONTROL MASTER'!$AC$2:$AC$495&gt;=8))*ROW('CONTROL MASTER'!$S$2:$S$495))-(ROW('CONTROL MASTER'!#REF!)-1))),":",","),",",REPT(" ",50)),(((INDEX('CONTROL MASTER'!$Y$2:$Y$495,(SUMPRODUCT((('CONTROL MASTER'!$S$2:$S$495=8)*('CONTROL MASTER'!$Z$2:$Z$495&lt;=10)*('CONTROL MASTER'!$AB$2:$AB$495&gt;=10)*('CONTROL MASTER'!$AA$2:$AA$495&lt;=8)*('CONTROL MASTER'!$AC$2:$AC$495&gt;=8))*ROW('CONTROL MASTER'!$S$2:$S$495))-(ROW('CONTROL MASTER'!#REF!)-1)))+((10-INDEX('CONTROL MASTER'!$Z$2:$Z$495,(SUMPRODUCT((('CONTROL MASTER'!$S$2:$S$495=8)*('CONTROL MASTER'!$Z$2:$Z$495&lt;=10)*('CONTROL MASTER'!$AB$2:$AB$495&gt;=10)*('CONTROL MASTER'!$AA$2:$AA$495&lt;=8)*('CONTROL MASTER'!$AC$2:$AC$495&gt;=8))*ROW('CONTROL MASTER'!$S$2:$S$495))-(ROW('CONTROL MASTER'!#REF!)-1))))*(INDEX('CONTROL MASTER'!$AC$2:$AC$495,(SUMPRODUCT((('CONTROL MASTER'!$S$2:$S$495=8)*('CONTROL MASTER'!$Z$2:$Z$495&lt;=10)*('CONTROL MASTER'!$AB$2:$AB$495&gt;=10)*('CONTROL MASTER'!$AA$2:$AA$495&lt;=8)*('CONTROL MASTER'!$AC$2:$AC$495&gt;=8))*ROW('CONTROL MASTER'!$S$2:$S$495))-(ROW('CONTROL MASTER'!#REF!)-1)))-INDEX('CONTROL MASTER'!$AA$2:$AA$495,(SUMPRODUCT((('CONTROL MASTER'!$S$2:$S$495=8)*('CONTROL MASTER'!$Z$2:$Z$495&lt;=10)*('CONTROL MASTER'!$AB$2:$AB$495&gt;=10)*('CONTROL MASTER'!$AA$2:$AA$495&lt;=8)*('CONTROL MASTER'!$AC$2:$AC$495&gt;=8))*ROW('CONTROL MASTER'!$S$2:$S$495))-(ROW('CONTROL MASTER'!#REF!)-1)))+1)+(8-INDEX('CONTROL MASTER'!$AA$2:$AA$495,(SUMPRODUCT((('CONTROL MASTER'!$S$2:$S$495=8)*('CONTROL MASTER'!$Z$2:$Z$495&lt;=10)*('CONTROL MASTER'!$AB$2:$AB$495&gt;=10)*('CONTROL MASTER'!$AA$2:$AA$495&lt;=8)*('CONTROL MASTER'!$AC$2:$AC$495&gt;=8))*ROW('CONTROL MASTER'!$S$2:$S$495))-(ROW('CONTROL MASTER'!#REF!)-1))))+1)))-1)*50+1,50))&amp;"_"&amp;INDEX('CONTROL MASTER'!$P$2:$P$495,(SUMPRODUCT((('CONTROL MASTER'!$S$2:$S$495=8)*('CONTROL MASTER'!$Z$2:$Z$495&lt;=10)*('CONTROL MASTER'!$AB$2:$AB$495&gt;=10)*('CONTROL MASTER'!$AA$2:$AA$495&lt;=8)*('CONTROL MASTER'!$AC$2:$AC$495&gt;=8))*ROW('CONTROL MASTER'!$S$2:$S$495))-(ROW('CONTROL MASTER'!#REF!)-1))),"")),"")</f>
        <v/>
      </c>
      <c r="J110" s="10" t="str">
        <f>IFERROR(IF(SUMPRODUCT((('CONTROL MASTER'!$S$2:$S$495=8)*('CONTROL MASTER'!$T$2:$T$495&lt;=10)*('CONTROL MASTER'!$V$2:$V$495&gt;=10)*('CONTROL MASTER'!$U$2:$U$495&lt;=9)*('CONTROL MASTER'!$W$2:$W$495&gt;=9))*ROW('CONTROL MASTER'!$S$2:$S$495))&gt;0,INDEX('CONTROL MASTER'!$X$2:$X$495,(SUMPRODUCT((('CONTROL MASTER'!$S$2:$S$495=8)*('CONTROL MASTER'!$T$2:$T$495&lt;=10)*('CONTROL MASTER'!$V$2:$V$495&gt;=10)*('CONTROL MASTER'!$U$2:$U$495&lt;=9)*('CONTROL MASTER'!$W$2:$W$495&gt;=9))*ROW('CONTROL MASTER'!$S$2:$S$495))-(ROW('CONTROL MASTER'!#REF!)-1)))&amp;TRIM(MID(SUBSTITUTE(SUBSTITUTE(INDEX('CONTROL MASTER'!$N$2:$N$495,(SUMPRODUCT((('CONTROL MASTER'!$S$2:$S$495=8)*('CONTROL MASTER'!$T$2:$T$495&lt;=10)*('CONTROL MASTER'!$V$2:$V$495&gt;=10)*('CONTROL MASTER'!$U$2:$U$495&lt;=9)*('CONTROL MASTER'!$W$2:$W$495&gt;=9))*ROW('CONTROL MASTER'!$S$2:$S$495))-(ROW('CONTROL MASTER'!#REF!)-1))),":",","),",",REPT(" ",50)),((((10-INDEX('CONTROL MASTER'!$T$2:$T$495,(SUMPRODUCT((('CONTROL MASTER'!$S$2:$S$495=8)*('CONTROL MASTER'!$T$2:$T$495&lt;=10)*('CONTROL MASTER'!$V$2:$V$495&gt;=10)*('CONTROL MASTER'!$U$2:$U$495&lt;=9)*('CONTROL MASTER'!$W$2:$W$495&gt;=9))*ROW('CONTROL MASTER'!$S$2:$S$495))-(ROW('CONTROL MASTER'!#REF!)-1))))*(INDEX('CONTROL MASTER'!$W$2:$W$495,(SUMPRODUCT((('CONTROL MASTER'!$S$2:$S$495=8)*('CONTROL MASTER'!$T$2:$T$495&lt;=10)*('CONTROL MASTER'!$V$2:$V$495&gt;=10)*('CONTROL MASTER'!$U$2:$U$495&lt;=9)*('CONTROL MASTER'!$W$2:$W$495&gt;=9))*ROW('CONTROL MASTER'!$S$2:$S$495))-(ROW('CONTROL MASTER'!#REF!)-1)))-INDEX('CONTROL MASTER'!$U$2:$U$495,(SUMPRODUCT((('CONTROL MASTER'!$S$2:$S$495=8)*('CONTROL MASTER'!$T$2:$T$495&lt;=10)*('CONTROL MASTER'!$V$2:$V$495&gt;=10)*('CONTROL MASTER'!$U$2:$U$495&lt;=9)*('CONTROL MASTER'!$W$2:$W$495&gt;=9))*ROW('CONTROL MASTER'!$S$2:$S$495))-(ROW('CONTROL MASTER'!#REF!)-1)))+1)+(9-INDEX('CONTROL MASTER'!$U$2:$U$495,(SUMPRODUCT((('CONTROL MASTER'!$S$2:$S$495=8)*('CONTROL MASTER'!$T$2:$T$495&lt;=10)*('CONTROL MASTER'!$V$2:$V$495&gt;=10)*('CONTROL MASTER'!$U$2:$U$495&lt;=9)*('CONTROL MASTER'!$W$2:$W$495&gt;=9))*ROW('CONTROL MASTER'!$S$2:$S$495))-(ROW('CONTROL MASTER'!#REF!)-1))))+1))-1)*50+1,50))&amp;"_"&amp;INDEX('CONTROL MASTER'!$P$2:$P$495,(SUMPRODUCT((('CONTROL MASTER'!$S$2:$S$495=8)*('CONTROL MASTER'!$T$2:$T$495&lt;=10)*('CONTROL MASTER'!$V$2:$V$495&gt;=10)*('CONTROL MASTER'!$U$2:$U$495&lt;=9)*('CONTROL MASTER'!$W$2:$W$495&gt;=9))*ROW('CONTROL MASTER'!$S$2:$S$495))-(ROW('CONTROL MASTER'!#REF!)-1))),IF(SUMPRODUCT((('CONTROL MASTER'!$S$2:$S$495=8)*('CONTROL MASTER'!$Z$2:$Z$495&lt;=10)*('CONTROL MASTER'!$AB$2:$AB$495&gt;=10)*('CONTROL MASTER'!$AA$2:$AA$495&lt;=9)*('CONTROL MASTER'!$AC$2:$AC$495&gt;=9))*ROW('CONTROL MASTER'!$S$2:$S$495))&gt;0,INDEX('CONTROL MASTER'!$X$2:$X$495,(SUMPRODUCT((('CONTROL MASTER'!$S$2:$S$495=8)*('CONTROL MASTER'!$Z$2:$Z$495&lt;=10)*('CONTROL MASTER'!$AB$2:$AB$495&gt;=10)*('CONTROL MASTER'!$AA$2:$AA$495&lt;=9)*('CONTROL MASTER'!$AC$2:$AC$495&gt;=9))*ROW('CONTROL MASTER'!$S$2:$S$495))-(ROW('CONTROL MASTER'!#REF!)-1)))&amp;TRIM(MID(SUBSTITUTE(SUBSTITUTE(INDEX('CONTROL MASTER'!$N$2:$N$495,(SUMPRODUCT((('CONTROL MASTER'!$S$2:$S$495=8)*('CONTROL MASTER'!$Z$2:$Z$495&lt;=10)*('CONTROL MASTER'!$AB$2:$AB$495&gt;=10)*('CONTROL MASTER'!$AA$2:$AA$495&lt;=9)*('CONTROL MASTER'!$AC$2:$AC$495&gt;=9))*ROW('CONTROL MASTER'!$S$2:$S$495))-(ROW('CONTROL MASTER'!#REF!)-1))),":",","),",",REPT(" ",50)),(((INDEX('CONTROL MASTER'!$Y$2:$Y$495,(SUMPRODUCT((('CONTROL MASTER'!$S$2:$S$495=8)*('CONTROL MASTER'!$Z$2:$Z$495&lt;=10)*('CONTROL MASTER'!$AB$2:$AB$495&gt;=10)*('CONTROL MASTER'!$AA$2:$AA$495&lt;=9)*('CONTROL MASTER'!$AC$2:$AC$495&gt;=9))*ROW('CONTROL MASTER'!$S$2:$S$495))-(ROW('CONTROL MASTER'!#REF!)-1)))+((10-INDEX('CONTROL MASTER'!$Z$2:$Z$495,(SUMPRODUCT((('CONTROL MASTER'!$S$2:$S$495=8)*('CONTROL MASTER'!$Z$2:$Z$495&lt;=10)*('CONTROL MASTER'!$AB$2:$AB$495&gt;=10)*('CONTROL MASTER'!$AA$2:$AA$495&lt;=9)*('CONTROL MASTER'!$AC$2:$AC$495&gt;=9))*ROW('CONTROL MASTER'!$S$2:$S$495))-(ROW('CONTROL MASTER'!#REF!)-1))))*(INDEX('CONTROL MASTER'!$AC$2:$AC$495,(SUMPRODUCT((('CONTROL MASTER'!$S$2:$S$495=8)*('CONTROL MASTER'!$Z$2:$Z$495&lt;=10)*('CONTROL MASTER'!$AB$2:$AB$495&gt;=10)*('CONTROL MASTER'!$AA$2:$AA$495&lt;=9)*('CONTROL MASTER'!$AC$2:$AC$495&gt;=9))*ROW('CONTROL MASTER'!$S$2:$S$495))-(ROW('CONTROL MASTER'!#REF!)-1)))-INDEX('CONTROL MASTER'!$AA$2:$AA$495,(SUMPRODUCT((('CONTROL MASTER'!$S$2:$S$495=8)*('CONTROL MASTER'!$Z$2:$Z$495&lt;=10)*('CONTROL MASTER'!$AB$2:$AB$495&gt;=10)*('CONTROL MASTER'!$AA$2:$AA$495&lt;=9)*('CONTROL MASTER'!$AC$2:$AC$495&gt;=9))*ROW('CONTROL MASTER'!$S$2:$S$495))-(ROW('CONTROL MASTER'!#REF!)-1)))+1)+(9-INDEX('CONTROL MASTER'!$AA$2:$AA$495,(SUMPRODUCT((('CONTROL MASTER'!$S$2:$S$495=8)*('CONTROL MASTER'!$Z$2:$Z$495&lt;=10)*('CONTROL MASTER'!$AB$2:$AB$495&gt;=10)*('CONTROL MASTER'!$AA$2:$AA$495&lt;=9)*('CONTROL MASTER'!$AC$2:$AC$495&gt;=9))*ROW('CONTROL MASTER'!$S$2:$S$495))-(ROW('CONTROL MASTER'!#REF!)-1))))+1)))-1)*50+1,50))&amp;"_"&amp;INDEX('CONTROL MASTER'!$P$2:$P$495,(SUMPRODUCT((('CONTROL MASTER'!$S$2:$S$495=8)*('CONTROL MASTER'!$Z$2:$Z$495&lt;=10)*('CONTROL MASTER'!$AB$2:$AB$495&gt;=10)*('CONTROL MASTER'!$AA$2:$AA$495&lt;=9)*('CONTROL MASTER'!$AC$2:$AC$495&gt;=9))*ROW('CONTROL MASTER'!$S$2:$S$495))-(ROW('CONTROL MASTER'!#REF!)-1))),"")),"")</f>
        <v/>
      </c>
      <c r="K110" s="10" t="str">
        <f>IFERROR(IF(SUMPRODUCT((('CONTROL MASTER'!$S$2:$S$495=8)*('CONTROL MASTER'!$T$2:$T$495&lt;=10)*('CONTROL MASTER'!$V$2:$V$495&gt;=10)*('CONTROL MASTER'!$U$2:$U$495&lt;=10)*('CONTROL MASTER'!$W$2:$W$495&gt;=10))*ROW('CONTROL MASTER'!$S$2:$S$495))&gt;0,INDEX('CONTROL MASTER'!$X$2:$X$495,(SUMPRODUCT((('CONTROL MASTER'!$S$2:$S$495=8)*('CONTROL MASTER'!$T$2:$T$495&lt;=10)*('CONTROL MASTER'!$V$2:$V$495&gt;=10)*('CONTROL MASTER'!$U$2:$U$495&lt;=10)*('CONTROL MASTER'!$W$2:$W$495&gt;=10))*ROW('CONTROL MASTER'!$S$2:$S$495))-(ROW('CONTROL MASTER'!#REF!)-1)))&amp;TRIM(MID(SUBSTITUTE(SUBSTITUTE(INDEX('CONTROL MASTER'!$N$2:$N$495,(SUMPRODUCT((('CONTROL MASTER'!$S$2:$S$495=8)*('CONTROL MASTER'!$T$2:$T$495&lt;=10)*('CONTROL MASTER'!$V$2:$V$495&gt;=10)*('CONTROL MASTER'!$U$2:$U$495&lt;=10)*('CONTROL MASTER'!$W$2:$W$495&gt;=10))*ROW('CONTROL MASTER'!$S$2:$S$495))-(ROW('CONTROL MASTER'!#REF!)-1))),":",","),",",REPT(" ",50)),((((10-INDEX('CONTROL MASTER'!$T$2:$T$495,(SUMPRODUCT((('CONTROL MASTER'!$S$2:$S$495=8)*('CONTROL MASTER'!$T$2:$T$495&lt;=10)*('CONTROL MASTER'!$V$2:$V$495&gt;=10)*('CONTROL MASTER'!$U$2:$U$495&lt;=10)*('CONTROL MASTER'!$W$2:$W$495&gt;=10))*ROW('CONTROL MASTER'!$S$2:$S$495))-(ROW('CONTROL MASTER'!#REF!)-1))))*(INDEX('CONTROL MASTER'!$W$2:$W$495,(SUMPRODUCT((('CONTROL MASTER'!$S$2:$S$495=8)*('CONTROL MASTER'!$T$2:$T$495&lt;=10)*('CONTROL MASTER'!$V$2:$V$495&gt;=10)*('CONTROL MASTER'!$U$2:$U$495&lt;=10)*('CONTROL MASTER'!$W$2:$W$495&gt;=10))*ROW('CONTROL MASTER'!$S$2:$S$495))-(ROW('CONTROL MASTER'!#REF!)-1)))-INDEX('CONTROL MASTER'!$U$2:$U$495,(SUMPRODUCT((('CONTROL MASTER'!$S$2:$S$495=8)*('CONTROL MASTER'!$T$2:$T$495&lt;=10)*('CONTROL MASTER'!$V$2:$V$495&gt;=10)*('CONTROL MASTER'!$U$2:$U$495&lt;=10)*('CONTROL MASTER'!$W$2:$W$495&gt;=10))*ROW('CONTROL MASTER'!$S$2:$S$495))-(ROW('CONTROL MASTER'!#REF!)-1)))+1)+(10-INDEX('CONTROL MASTER'!$U$2:$U$495,(SUMPRODUCT((('CONTROL MASTER'!$S$2:$S$495=8)*('CONTROL MASTER'!$T$2:$T$495&lt;=10)*('CONTROL MASTER'!$V$2:$V$495&gt;=10)*('CONTROL MASTER'!$U$2:$U$495&lt;=10)*('CONTROL MASTER'!$W$2:$W$495&gt;=10))*ROW('CONTROL MASTER'!$S$2:$S$495))-(ROW('CONTROL MASTER'!#REF!)-1))))+1))-1)*50+1,50))&amp;"_"&amp;INDEX('CONTROL MASTER'!$P$2:$P$495,(SUMPRODUCT((('CONTROL MASTER'!$S$2:$S$495=8)*('CONTROL MASTER'!$T$2:$T$495&lt;=10)*('CONTROL MASTER'!$V$2:$V$495&gt;=10)*('CONTROL MASTER'!$U$2:$U$495&lt;=10)*('CONTROL MASTER'!$W$2:$W$495&gt;=10))*ROW('CONTROL MASTER'!$S$2:$S$495))-(ROW('CONTROL MASTER'!#REF!)-1))),IF(SUMPRODUCT((('CONTROL MASTER'!$S$2:$S$495=8)*('CONTROL MASTER'!$Z$2:$Z$495&lt;=10)*('CONTROL MASTER'!$AB$2:$AB$495&gt;=10)*('CONTROL MASTER'!$AA$2:$AA$495&lt;=10)*('CONTROL MASTER'!$AC$2:$AC$495&gt;=10))*ROW('CONTROL MASTER'!$S$2:$S$495))&gt;0,INDEX('CONTROL MASTER'!$X$2:$X$495,(SUMPRODUCT((('CONTROL MASTER'!$S$2:$S$495=8)*('CONTROL MASTER'!$Z$2:$Z$495&lt;=10)*('CONTROL MASTER'!$AB$2:$AB$495&gt;=10)*('CONTROL MASTER'!$AA$2:$AA$495&lt;=10)*('CONTROL MASTER'!$AC$2:$AC$495&gt;=10))*ROW('CONTROL MASTER'!$S$2:$S$495))-(ROW('CONTROL MASTER'!#REF!)-1)))&amp;TRIM(MID(SUBSTITUTE(SUBSTITUTE(INDEX('CONTROL MASTER'!$N$2:$N$495,(SUMPRODUCT((('CONTROL MASTER'!$S$2:$S$495=8)*('CONTROL MASTER'!$Z$2:$Z$495&lt;=10)*('CONTROL MASTER'!$AB$2:$AB$495&gt;=10)*('CONTROL MASTER'!$AA$2:$AA$495&lt;=10)*('CONTROL MASTER'!$AC$2:$AC$495&gt;=10))*ROW('CONTROL MASTER'!$S$2:$S$495))-(ROW('CONTROL MASTER'!#REF!)-1))),":",","),",",REPT(" ",50)),(((INDEX('CONTROL MASTER'!$Y$2:$Y$495,(SUMPRODUCT((('CONTROL MASTER'!$S$2:$S$495=8)*('CONTROL MASTER'!$Z$2:$Z$495&lt;=10)*('CONTROL MASTER'!$AB$2:$AB$495&gt;=10)*('CONTROL MASTER'!$AA$2:$AA$495&lt;=10)*('CONTROL MASTER'!$AC$2:$AC$495&gt;=10))*ROW('CONTROL MASTER'!$S$2:$S$495))-(ROW('CONTROL MASTER'!#REF!)-1)))+((10-INDEX('CONTROL MASTER'!$Z$2:$Z$495,(SUMPRODUCT((('CONTROL MASTER'!$S$2:$S$495=8)*('CONTROL MASTER'!$Z$2:$Z$495&lt;=10)*('CONTROL MASTER'!$AB$2:$AB$495&gt;=10)*('CONTROL MASTER'!$AA$2:$AA$495&lt;=10)*('CONTROL MASTER'!$AC$2:$AC$495&gt;=10))*ROW('CONTROL MASTER'!$S$2:$S$495))-(ROW('CONTROL MASTER'!#REF!)-1))))*(INDEX('CONTROL MASTER'!$AC$2:$AC$495,(SUMPRODUCT((('CONTROL MASTER'!$S$2:$S$495=8)*('CONTROL MASTER'!$Z$2:$Z$495&lt;=10)*('CONTROL MASTER'!$AB$2:$AB$495&gt;=10)*('CONTROL MASTER'!$AA$2:$AA$495&lt;=10)*('CONTROL MASTER'!$AC$2:$AC$495&gt;=10))*ROW('CONTROL MASTER'!$S$2:$S$495))-(ROW('CONTROL MASTER'!#REF!)-1)))-INDEX('CONTROL MASTER'!$AA$2:$AA$495,(SUMPRODUCT((('CONTROL MASTER'!$S$2:$S$495=8)*('CONTROL MASTER'!$Z$2:$Z$495&lt;=10)*('CONTROL MASTER'!$AB$2:$AB$495&gt;=10)*('CONTROL MASTER'!$AA$2:$AA$495&lt;=10)*('CONTROL MASTER'!$AC$2:$AC$495&gt;=10))*ROW('CONTROL MASTER'!$S$2:$S$495))-(ROW('CONTROL MASTER'!#REF!)-1)))+1)+(10-INDEX('CONTROL MASTER'!$AA$2:$AA$495,(SUMPRODUCT((('CONTROL MASTER'!$S$2:$S$495=8)*('CONTROL MASTER'!$Z$2:$Z$495&lt;=10)*('CONTROL MASTER'!$AB$2:$AB$495&gt;=10)*('CONTROL MASTER'!$AA$2:$AA$495&lt;=10)*('CONTROL MASTER'!$AC$2:$AC$495&gt;=10))*ROW('CONTROL MASTER'!$S$2:$S$495))-(ROW('CONTROL MASTER'!#REF!)-1))))+1)))-1)*50+1,50))&amp;"_"&amp;INDEX('CONTROL MASTER'!$P$2:$P$495,(SUMPRODUCT((('CONTROL MASTER'!$S$2:$S$495=8)*('CONTROL MASTER'!$Z$2:$Z$495&lt;=10)*('CONTROL MASTER'!$AB$2:$AB$495&gt;=10)*('CONTROL MASTER'!$AA$2:$AA$495&lt;=10)*('CONTROL MASTER'!$AC$2:$AC$495&gt;=10))*ROW('CONTROL MASTER'!$S$2:$S$495))-(ROW('CONTROL MASTER'!#REF!)-1))),"")),"")</f>
        <v/>
      </c>
    </row>
    <row r="113" spans="1:11" ht="15" customHeight="1" x14ac:dyDescent="0.35">
      <c r="A113" s="12" t="s">
        <v>165</v>
      </c>
      <c r="B113" s="13"/>
      <c r="C113" s="13"/>
      <c r="D113" s="13"/>
      <c r="E113" s="13"/>
      <c r="F113" s="13"/>
      <c r="G113" s="13"/>
      <c r="H113" s="13"/>
      <c r="I113" s="13"/>
      <c r="J113" s="13"/>
      <c r="K113" s="13"/>
    </row>
    <row r="114" spans="1:11" ht="15" customHeight="1" x14ac:dyDescent="0.35">
      <c r="B114" s="8">
        <v>1</v>
      </c>
      <c r="C114" s="8">
        <v>2</v>
      </c>
      <c r="D114" s="8">
        <v>3</v>
      </c>
      <c r="E114" s="8">
        <v>4</v>
      </c>
      <c r="F114" s="8">
        <v>5</v>
      </c>
      <c r="G114" s="8">
        <v>6</v>
      </c>
      <c r="H114" s="8">
        <v>7</v>
      </c>
      <c r="I114" s="8">
        <v>8</v>
      </c>
      <c r="J114" s="8">
        <v>9</v>
      </c>
      <c r="K114" s="8">
        <v>10</v>
      </c>
    </row>
    <row r="115" spans="1:11" ht="15" customHeight="1" x14ac:dyDescent="0.35">
      <c r="A115" s="8" t="s">
        <v>28</v>
      </c>
      <c r="B115" s="10" t="str">
        <f>IFERROR(IF(SUMPRODUCT((('CONTROL MASTER'!$S$2:$S$495=9)*('CONTROL MASTER'!$T$2:$T$495&lt;=1)*('CONTROL MASTER'!$V$2:$V$495&gt;=1)*('CONTROL MASTER'!$U$2:$U$495&lt;=1)*('CONTROL MASTER'!$W$2:$W$495&gt;=1))*ROW('CONTROL MASTER'!$S$2:$S$495))&gt;0,INDEX('CONTROL MASTER'!$X$2:$X$495,(SUMPRODUCT((('CONTROL MASTER'!$S$2:$S$495=9)*('CONTROL MASTER'!$T$2:$T$495&lt;=1)*('CONTROL MASTER'!$V$2:$V$495&gt;=1)*('CONTROL MASTER'!$U$2:$U$495&lt;=1)*('CONTROL MASTER'!$W$2:$W$495&gt;=1))*ROW('CONTROL MASTER'!$S$2:$S$495))-(ROW('CONTROL MASTER'!#REF!)-1)))&amp;TRIM(MID(SUBSTITUTE(SUBSTITUTE(INDEX('CONTROL MASTER'!$N$2:$N$495,(SUMPRODUCT((('CONTROL MASTER'!$S$2:$S$495=9)*('CONTROL MASTER'!$T$2:$T$495&lt;=1)*('CONTROL MASTER'!$V$2:$V$495&gt;=1)*('CONTROL MASTER'!$U$2:$U$495&lt;=1)*('CONTROL MASTER'!$W$2:$W$495&gt;=1))*ROW('CONTROL MASTER'!$S$2:$S$495))-(ROW('CONTROL MASTER'!#REF!)-1))),":",","),",",REPT(" ",50)),((((1-INDEX('CONTROL MASTER'!$T$2:$T$495,(SUMPRODUCT((('CONTROL MASTER'!$S$2:$S$495=9)*('CONTROL MASTER'!$T$2:$T$495&lt;=1)*('CONTROL MASTER'!$V$2:$V$495&gt;=1)*('CONTROL MASTER'!$U$2:$U$495&lt;=1)*('CONTROL MASTER'!$W$2:$W$495&gt;=1))*ROW('CONTROL MASTER'!$S$2:$S$495))-(ROW('CONTROL MASTER'!#REF!)-1))))*(INDEX('CONTROL MASTER'!$W$2:$W$495,(SUMPRODUCT((('CONTROL MASTER'!$S$2:$S$495=9)*('CONTROL MASTER'!$T$2:$T$495&lt;=1)*('CONTROL MASTER'!$V$2:$V$495&gt;=1)*('CONTROL MASTER'!$U$2:$U$495&lt;=1)*('CONTROL MASTER'!$W$2:$W$495&gt;=1))*ROW('CONTROL MASTER'!$S$2:$S$495))-(ROW('CONTROL MASTER'!#REF!)-1)))-INDEX('CONTROL MASTER'!$U$2:$U$495,(SUMPRODUCT((('CONTROL MASTER'!$S$2:$S$495=9)*('CONTROL MASTER'!$T$2:$T$495&lt;=1)*('CONTROL MASTER'!$V$2:$V$495&gt;=1)*('CONTROL MASTER'!$U$2:$U$495&lt;=1)*('CONTROL MASTER'!$W$2:$W$495&gt;=1))*ROW('CONTROL MASTER'!$S$2:$S$495))-(ROW('CONTROL MASTER'!#REF!)-1)))+1)+(1-INDEX('CONTROL MASTER'!$U$2:$U$495,(SUMPRODUCT((('CONTROL MASTER'!$S$2:$S$495=9)*('CONTROL MASTER'!$T$2:$T$495&lt;=1)*('CONTROL MASTER'!$V$2:$V$495&gt;=1)*('CONTROL MASTER'!$U$2:$U$495&lt;=1)*('CONTROL MASTER'!$W$2:$W$495&gt;=1))*ROW('CONTROL MASTER'!$S$2:$S$495))-(ROW('CONTROL MASTER'!#REF!)-1))))+1))-1)*50+1,50))&amp;"_"&amp;INDEX('CONTROL MASTER'!$P$2:$P$495,(SUMPRODUCT((('CONTROL MASTER'!$S$2:$S$495=9)*('CONTROL MASTER'!$T$2:$T$495&lt;=1)*('CONTROL MASTER'!$V$2:$V$495&gt;=1)*('CONTROL MASTER'!$U$2:$U$495&lt;=1)*('CONTROL MASTER'!$W$2:$W$495&gt;=1))*ROW('CONTROL MASTER'!$S$2:$S$495))-(ROW('CONTROL MASTER'!#REF!)-1))),IF(SUMPRODUCT((('CONTROL MASTER'!$S$2:$S$495=9)*('CONTROL MASTER'!$Z$2:$Z$495&lt;=1)*('CONTROL MASTER'!$AB$2:$AB$495&gt;=1)*('CONTROL MASTER'!$AA$2:$AA$495&lt;=1)*('CONTROL MASTER'!$AC$2:$AC$495&gt;=1))*ROW('CONTROL MASTER'!$S$2:$S$495))&gt;0,INDEX('CONTROL MASTER'!$X$2:$X$495,(SUMPRODUCT((('CONTROL MASTER'!$S$2:$S$495=9)*('CONTROL MASTER'!$Z$2:$Z$495&lt;=1)*('CONTROL MASTER'!$AB$2:$AB$495&gt;=1)*('CONTROL MASTER'!$AA$2:$AA$495&lt;=1)*('CONTROL MASTER'!$AC$2:$AC$495&gt;=1))*ROW('CONTROL MASTER'!$S$2:$S$495))-(ROW('CONTROL MASTER'!#REF!)-1)))&amp;TRIM(MID(SUBSTITUTE(SUBSTITUTE(INDEX('CONTROL MASTER'!$N$2:$N$495,(SUMPRODUCT((('CONTROL MASTER'!$S$2:$S$495=9)*('CONTROL MASTER'!$Z$2:$Z$495&lt;=1)*('CONTROL MASTER'!$AB$2:$AB$495&gt;=1)*('CONTROL MASTER'!$AA$2:$AA$495&lt;=1)*('CONTROL MASTER'!$AC$2:$AC$495&gt;=1))*ROW('CONTROL MASTER'!$S$2:$S$495))-(ROW('CONTROL MASTER'!#REF!)-1))),":",","),",",REPT(" ",50)),(((INDEX('CONTROL MASTER'!$Y$2:$Y$495,(SUMPRODUCT((('CONTROL MASTER'!$S$2:$S$495=9)*('CONTROL MASTER'!$Z$2:$Z$495&lt;=1)*('CONTROL MASTER'!$AB$2:$AB$495&gt;=1)*('CONTROL MASTER'!$AA$2:$AA$495&lt;=1)*('CONTROL MASTER'!$AC$2:$AC$495&gt;=1))*ROW('CONTROL MASTER'!$S$2:$S$495))-(ROW('CONTROL MASTER'!#REF!)-1)))+((1-INDEX('CONTROL MASTER'!$Z$2:$Z$495,(SUMPRODUCT((('CONTROL MASTER'!$S$2:$S$495=9)*('CONTROL MASTER'!$Z$2:$Z$495&lt;=1)*('CONTROL MASTER'!$AB$2:$AB$495&gt;=1)*('CONTROL MASTER'!$AA$2:$AA$495&lt;=1)*('CONTROL MASTER'!$AC$2:$AC$495&gt;=1))*ROW('CONTROL MASTER'!$S$2:$S$495))-(ROW('CONTROL MASTER'!#REF!)-1))))*(INDEX('CONTROL MASTER'!$AC$2:$AC$495,(SUMPRODUCT((('CONTROL MASTER'!$S$2:$S$495=9)*('CONTROL MASTER'!$Z$2:$Z$495&lt;=1)*('CONTROL MASTER'!$AB$2:$AB$495&gt;=1)*('CONTROL MASTER'!$AA$2:$AA$495&lt;=1)*('CONTROL MASTER'!$AC$2:$AC$495&gt;=1))*ROW('CONTROL MASTER'!$S$2:$S$495))-(ROW('CONTROL MASTER'!#REF!)-1)))-INDEX('CONTROL MASTER'!$AA$2:$AA$495,(SUMPRODUCT((('CONTROL MASTER'!$S$2:$S$495=9)*('CONTROL MASTER'!$Z$2:$Z$495&lt;=1)*('CONTROL MASTER'!$AB$2:$AB$495&gt;=1)*('CONTROL MASTER'!$AA$2:$AA$495&lt;=1)*('CONTROL MASTER'!$AC$2:$AC$495&gt;=1))*ROW('CONTROL MASTER'!$S$2:$S$495))-(ROW('CONTROL MASTER'!#REF!)-1)))+1)+(1-INDEX('CONTROL MASTER'!$AA$2:$AA$495,(SUMPRODUCT((('CONTROL MASTER'!$S$2:$S$495=9)*('CONTROL MASTER'!$Z$2:$Z$495&lt;=1)*('CONTROL MASTER'!$AB$2:$AB$495&gt;=1)*('CONTROL MASTER'!$AA$2:$AA$495&lt;=1)*('CONTROL MASTER'!$AC$2:$AC$495&gt;=1))*ROW('CONTROL MASTER'!$S$2:$S$495))-(ROW('CONTROL MASTER'!#REF!)-1))))+1)))-1)*50+1,50))&amp;"_"&amp;INDEX('CONTROL MASTER'!$P$2:$P$495,(SUMPRODUCT((('CONTROL MASTER'!$S$2:$S$495=9)*('CONTROL MASTER'!$Z$2:$Z$495&lt;=1)*('CONTROL MASTER'!$AB$2:$AB$495&gt;=1)*('CONTROL MASTER'!$AA$2:$AA$495&lt;=1)*('CONTROL MASTER'!$AC$2:$AC$495&gt;=1))*ROW('CONTROL MASTER'!$S$2:$S$495))-(ROW('CONTROL MASTER'!#REF!)-1))),"")),"")</f>
        <v/>
      </c>
      <c r="C115" s="10" t="str">
        <f>IFERROR(IF(SUMPRODUCT((('CONTROL MASTER'!$S$2:$S$495=9)*('CONTROL MASTER'!$T$2:$T$495&lt;=1)*('CONTROL MASTER'!$V$2:$V$495&gt;=1)*('CONTROL MASTER'!$U$2:$U$495&lt;=2)*('CONTROL MASTER'!$W$2:$W$495&gt;=2))*ROW('CONTROL MASTER'!$S$2:$S$495))&gt;0,INDEX('CONTROL MASTER'!$X$2:$X$495,(SUMPRODUCT((('CONTROL MASTER'!$S$2:$S$495=9)*('CONTROL MASTER'!$T$2:$T$495&lt;=1)*('CONTROL MASTER'!$V$2:$V$495&gt;=1)*('CONTROL MASTER'!$U$2:$U$495&lt;=2)*('CONTROL MASTER'!$W$2:$W$495&gt;=2))*ROW('CONTROL MASTER'!$S$2:$S$495))-(ROW('CONTROL MASTER'!#REF!)-1)))&amp;TRIM(MID(SUBSTITUTE(SUBSTITUTE(INDEX('CONTROL MASTER'!$N$2:$N$495,(SUMPRODUCT((('CONTROL MASTER'!$S$2:$S$495=9)*('CONTROL MASTER'!$T$2:$T$495&lt;=1)*('CONTROL MASTER'!$V$2:$V$495&gt;=1)*('CONTROL MASTER'!$U$2:$U$495&lt;=2)*('CONTROL MASTER'!$W$2:$W$495&gt;=2))*ROW('CONTROL MASTER'!$S$2:$S$495))-(ROW('CONTROL MASTER'!#REF!)-1))),":",","),",",REPT(" ",50)),((((1-INDEX('CONTROL MASTER'!$T$2:$T$495,(SUMPRODUCT((('CONTROL MASTER'!$S$2:$S$495=9)*('CONTROL MASTER'!$T$2:$T$495&lt;=1)*('CONTROL MASTER'!$V$2:$V$495&gt;=1)*('CONTROL MASTER'!$U$2:$U$495&lt;=2)*('CONTROL MASTER'!$W$2:$W$495&gt;=2))*ROW('CONTROL MASTER'!$S$2:$S$495))-(ROW('CONTROL MASTER'!#REF!)-1))))*(INDEX('CONTROL MASTER'!$W$2:$W$495,(SUMPRODUCT((('CONTROL MASTER'!$S$2:$S$495=9)*('CONTROL MASTER'!$T$2:$T$495&lt;=1)*('CONTROL MASTER'!$V$2:$V$495&gt;=1)*('CONTROL MASTER'!$U$2:$U$495&lt;=2)*('CONTROL MASTER'!$W$2:$W$495&gt;=2))*ROW('CONTROL MASTER'!$S$2:$S$495))-(ROW('CONTROL MASTER'!#REF!)-1)))-INDEX('CONTROL MASTER'!$U$2:$U$495,(SUMPRODUCT((('CONTROL MASTER'!$S$2:$S$495=9)*('CONTROL MASTER'!$T$2:$T$495&lt;=1)*('CONTROL MASTER'!$V$2:$V$495&gt;=1)*('CONTROL MASTER'!$U$2:$U$495&lt;=2)*('CONTROL MASTER'!$W$2:$W$495&gt;=2))*ROW('CONTROL MASTER'!$S$2:$S$495))-(ROW('CONTROL MASTER'!#REF!)-1)))+1)+(2-INDEX('CONTROL MASTER'!$U$2:$U$495,(SUMPRODUCT((('CONTROL MASTER'!$S$2:$S$495=9)*('CONTROL MASTER'!$T$2:$T$495&lt;=1)*('CONTROL MASTER'!$V$2:$V$495&gt;=1)*('CONTROL MASTER'!$U$2:$U$495&lt;=2)*('CONTROL MASTER'!$W$2:$W$495&gt;=2))*ROW('CONTROL MASTER'!$S$2:$S$495))-(ROW('CONTROL MASTER'!#REF!)-1))))+1))-1)*50+1,50))&amp;"_"&amp;INDEX('CONTROL MASTER'!$P$2:$P$495,(SUMPRODUCT((('CONTROL MASTER'!$S$2:$S$495=9)*('CONTROL MASTER'!$T$2:$T$495&lt;=1)*('CONTROL MASTER'!$V$2:$V$495&gt;=1)*('CONTROL MASTER'!$U$2:$U$495&lt;=2)*('CONTROL MASTER'!$W$2:$W$495&gt;=2))*ROW('CONTROL MASTER'!$S$2:$S$495))-(ROW('CONTROL MASTER'!#REF!)-1))),IF(SUMPRODUCT((('CONTROL MASTER'!$S$2:$S$495=9)*('CONTROL MASTER'!$Z$2:$Z$495&lt;=1)*('CONTROL MASTER'!$AB$2:$AB$495&gt;=1)*('CONTROL MASTER'!$AA$2:$AA$495&lt;=2)*('CONTROL MASTER'!$AC$2:$AC$495&gt;=2))*ROW('CONTROL MASTER'!$S$2:$S$495))&gt;0,INDEX('CONTROL MASTER'!$X$2:$X$495,(SUMPRODUCT((('CONTROL MASTER'!$S$2:$S$495=9)*('CONTROL MASTER'!$Z$2:$Z$495&lt;=1)*('CONTROL MASTER'!$AB$2:$AB$495&gt;=1)*('CONTROL MASTER'!$AA$2:$AA$495&lt;=2)*('CONTROL MASTER'!$AC$2:$AC$495&gt;=2))*ROW('CONTROL MASTER'!$S$2:$S$495))-(ROW('CONTROL MASTER'!#REF!)-1)))&amp;TRIM(MID(SUBSTITUTE(SUBSTITUTE(INDEX('CONTROL MASTER'!$N$2:$N$495,(SUMPRODUCT((('CONTROL MASTER'!$S$2:$S$495=9)*('CONTROL MASTER'!$Z$2:$Z$495&lt;=1)*('CONTROL MASTER'!$AB$2:$AB$495&gt;=1)*('CONTROL MASTER'!$AA$2:$AA$495&lt;=2)*('CONTROL MASTER'!$AC$2:$AC$495&gt;=2))*ROW('CONTROL MASTER'!$S$2:$S$495))-(ROW('CONTROL MASTER'!#REF!)-1))),":",","),",",REPT(" ",50)),(((INDEX('CONTROL MASTER'!$Y$2:$Y$495,(SUMPRODUCT((('CONTROL MASTER'!$S$2:$S$495=9)*('CONTROL MASTER'!$Z$2:$Z$495&lt;=1)*('CONTROL MASTER'!$AB$2:$AB$495&gt;=1)*('CONTROL MASTER'!$AA$2:$AA$495&lt;=2)*('CONTROL MASTER'!$AC$2:$AC$495&gt;=2))*ROW('CONTROL MASTER'!$S$2:$S$495))-(ROW('CONTROL MASTER'!#REF!)-1)))+((1-INDEX('CONTROL MASTER'!$Z$2:$Z$495,(SUMPRODUCT((('CONTROL MASTER'!$S$2:$S$495=9)*('CONTROL MASTER'!$Z$2:$Z$495&lt;=1)*('CONTROL MASTER'!$AB$2:$AB$495&gt;=1)*('CONTROL MASTER'!$AA$2:$AA$495&lt;=2)*('CONTROL MASTER'!$AC$2:$AC$495&gt;=2))*ROW('CONTROL MASTER'!$S$2:$S$495))-(ROW('CONTROL MASTER'!#REF!)-1))))*(INDEX('CONTROL MASTER'!$AC$2:$AC$495,(SUMPRODUCT((('CONTROL MASTER'!$S$2:$S$495=9)*('CONTROL MASTER'!$Z$2:$Z$495&lt;=1)*('CONTROL MASTER'!$AB$2:$AB$495&gt;=1)*('CONTROL MASTER'!$AA$2:$AA$495&lt;=2)*('CONTROL MASTER'!$AC$2:$AC$495&gt;=2))*ROW('CONTROL MASTER'!$S$2:$S$495))-(ROW('CONTROL MASTER'!#REF!)-1)))-INDEX('CONTROL MASTER'!$AA$2:$AA$495,(SUMPRODUCT((('CONTROL MASTER'!$S$2:$S$495=9)*('CONTROL MASTER'!$Z$2:$Z$495&lt;=1)*('CONTROL MASTER'!$AB$2:$AB$495&gt;=1)*('CONTROL MASTER'!$AA$2:$AA$495&lt;=2)*('CONTROL MASTER'!$AC$2:$AC$495&gt;=2))*ROW('CONTROL MASTER'!$S$2:$S$495))-(ROW('CONTROL MASTER'!#REF!)-1)))+1)+(2-INDEX('CONTROL MASTER'!$AA$2:$AA$495,(SUMPRODUCT((('CONTROL MASTER'!$S$2:$S$495=9)*('CONTROL MASTER'!$Z$2:$Z$495&lt;=1)*('CONTROL MASTER'!$AB$2:$AB$495&gt;=1)*('CONTROL MASTER'!$AA$2:$AA$495&lt;=2)*('CONTROL MASTER'!$AC$2:$AC$495&gt;=2))*ROW('CONTROL MASTER'!$S$2:$S$495))-(ROW('CONTROL MASTER'!#REF!)-1))))+1)))-1)*50+1,50))&amp;"_"&amp;INDEX('CONTROL MASTER'!$P$2:$P$495,(SUMPRODUCT((('CONTROL MASTER'!$S$2:$S$495=9)*('CONTROL MASTER'!$Z$2:$Z$495&lt;=1)*('CONTROL MASTER'!$AB$2:$AB$495&gt;=1)*('CONTROL MASTER'!$AA$2:$AA$495&lt;=2)*('CONTROL MASTER'!$AC$2:$AC$495&gt;=2))*ROW('CONTROL MASTER'!$S$2:$S$495))-(ROW('CONTROL MASTER'!#REF!)-1))),"")),"")</f>
        <v/>
      </c>
      <c r="D115" s="10" t="str">
        <f>IFERROR(IF(SUMPRODUCT((('CONTROL MASTER'!$S$2:$S$495=9)*('CONTROL MASTER'!$T$2:$T$495&lt;=1)*('CONTROL MASTER'!$V$2:$V$495&gt;=1)*('CONTROL MASTER'!$U$2:$U$495&lt;=3)*('CONTROL MASTER'!$W$2:$W$495&gt;=3))*ROW('CONTROL MASTER'!$S$2:$S$495))&gt;0,INDEX('CONTROL MASTER'!$X$2:$X$495,(SUMPRODUCT((('CONTROL MASTER'!$S$2:$S$495=9)*('CONTROL MASTER'!$T$2:$T$495&lt;=1)*('CONTROL MASTER'!$V$2:$V$495&gt;=1)*('CONTROL MASTER'!$U$2:$U$495&lt;=3)*('CONTROL MASTER'!$W$2:$W$495&gt;=3))*ROW('CONTROL MASTER'!$S$2:$S$495))-(ROW('CONTROL MASTER'!#REF!)-1)))&amp;TRIM(MID(SUBSTITUTE(SUBSTITUTE(INDEX('CONTROL MASTER'!$N$2:$N$495,(SUMPRODUCT((('CONTROL MASTER'!$S$2:$S$495=9)*('CONTROL MASTER'!$T$2:$T$495&lt;=1)*('CONTROL MASTER'!$V$2:$V$495&gt;=1)*('CONTROL MASTER'!$U$2:$U$495&lt;=3)*('CONTROL MASTER'!$W$2:$W$495&gt;=3))*ROW('CONTROL MASTER'!$S$2:$S$495))-(ROW('CONTROL MASTER'!#REF!)-1))),":",","),",",REPT(" ",50)),((((1-INDEX('CONTROL MASTER'!$T$2:$T$495,(SUMPRODUCT((('CONTROL MASTER'!$S$2:$S$495=9)*('CONTROL MASTER'!$T$2:$T$495&lt;=1)*('CONTROL MASTER'!$V$2:$V$495&gt;=1)*('CONTROL MASTER'!$U$2:$U$495&lt;=3)*('CONTROL MASTER'!$W$2:$W$495&gt;=3))*ROW('CONTROL MASTER'!$S$2:$S$495))-(ROW('CONTROL MASTER'!#REF!)-1))))*(INDEX('CONTROL MASTER'!$W$2:$W$495,(SUMPRODUCT((('CONTROL MASTER'!$S$2:$S$495=9)*('CONTROL MASTER'!$T$2:$T$495&lt;=1)*('CONTROL MASTER'!$V$2:$V$495&gt;=1)*('CONTROL MASTER'!$U$2:$U$495&lt;=3)*('CONTROL MASTER'!$W$2:$W$495&gt;=3))*ROW('CONTROL MASTER'!$S$2:$S$495))-(ROW('CONTROL MASTER'!#REF!)-1)))-INDEX('CONTROL MASTER'!$U$2:$U$495,(SUMPRODUCT((('CONTROL MASTER'!$S$2:$S$495=9)*('CONTROL MASTER'!$T$2:$T$495&lt;=1)*('CONTROL MASTER'!$V$2:$V$495&gt;=1)*('CONTROL MASTER'!$U$2:$U$495&lt;=3)*('CONTROL MASTER'!$W$2:$W$495&gt;=3))*ROW('CONTROL MASTER'!$S$2:$S$495))-(ROW('CONTROL MASTER'!#REF!)-1)))+1)+(3-INDEX('CONTROL MASTER'!$U$2:$U$495,(SUMPRODUCT((('CONTROL MASTER'!$S$2:$S$495=9)*('CONTROL MASTER'!$T$2:$T$495&lt;=1)*('CONTROL MASTER'!$V$2:$V$495&gt;=1)*('CONTROL MASTER'!$U$2:$U$495&lt;=3)*('CONTROL MASTER'!$W$2:$W$495&gt;=3))*ROW('CONTROL MASTER'!$S$2:$S$495))-(ROW('CONTROL MASTER'!#REF!)-1))))+1))-1)*50+1,50))&amp;"_"&amp;INDEX('CONTROL MASTER'!$P$2:$P$495,(SUMPRODUCT((('CONTROL MASTER'!$S$2:$S$495=9)*('CONTROL MASTER'!$T$2:$T$495&lt;=1)*('CONTROL MASTER'!$V$2:$V$495&gt;=1)*('CONTROL MASTER'!$U$2:$U$495&lt;=3)*('CONTROL MASTER'!$W$2:$W$495&gt;=3))*ROW('CONTROL MASTER'!$S$2:$S$495))-(ROW('CONTROL MASTER'!#REF!)-1))),IF(SUMPRODUCT((('CONTROL MASTER'!$S$2:$S$495=9)*('CONTROL MASTER'!$Z$2:$Z$495&lt;=1)*('CONTROL MASTER'!$AB$2:$AB$495&gt;=1)*('CONTROL MASTER'!$AA$2:$AA$495&lt;=3)*('CONTROL MASTER'!$AC$2:$AC$495&gt;=3))*ROW('CONTROL MASTER'!$S$2:$S$495))&gt;0,INDEX('CONTROL MASTER'!$X$2:$X$495,(SUMPRODUCT((('CONTROL MASTER'!$S$2:$S$495=9)*('CONTROL MASTER'!$Z$2:$Z$495&lt;=1)*('CONTROL MASTER'!$AB$2:$AB$495&gt;=1)*('CONTROL MASTER'!$AA$2:$AA$495&lt;=3)*('CONTROL MASTER'!$AC$2:$AC$495&gt;=3))*ROW('CONTROL MASTER'!$S$2:$S$495))-(ROW('CONTROL MASTER'!#REF!)-1)))&amp;TRIM(MID(SUBSTITUTE(SUBSTITUTE(INDEX('CONTROL MASTER'!$N$2:$N$495,(SUMPRODUCT((('CONTROL MASTER'!$S$2:$S$495=9)*('CONTROL MASTER'!$Z$2:$Z$495&lt;=1)*('CONTROL MASTER'!$AB$2:$AB$495&gt;=1)*('CONTROL MASTER'!$AA$2:$AA$495&lt;=3)*('CONTROL MASTER'!$AC$2:$AC$495&gt;=3))*ROW('CONTROL MASTER'!$S$2:$S$495))-(ROW('CONTROL MASTER'!#REF!)-1))),":",","),",",REPT(" ",50)),(((INDEX('CONTROL MASTER'!$Y$2:$Y$495,(SUMPRODUCT((('CONTROL MASTER'!$S$2:$S$495=9)*('CONTROL MASTER'!$Z$2:$Z$495&lt;=1)*('CONTROL MASTER'!$AB$2:$AB$495&gt;=1)*('CONTROL MASTER'!$AA$2:$AA$495&lt;=3)*('CONTROL MASTER'!$AC$2:$AC$495&gt;=3))*ROW('CONTROL MASTER'!$S$2:$S$495))-(ROW('CONTROL MASTER'!#REF!)-1)))+((1-INDEX('CONTROL MASTER'!$Z$2:$Z$495,(SUMPRODUCT((('CONTROL MASTER'!$S$2:$S$495=9)*('CONTROL MASTER'!$Z$2:$Z$495&lt;=1)*('CONTROL MASTER'!$AB$2:$AB$495&gt;=1)*('CONTROL MASTER'!$AA$2:$AA$495&lt;=3)*('CONTROL MASTER'!$AC$2:$AC$495&gt;=3))*ROW('CONTROL MASTER'!$S$2:$S$495))-(ROW('CONTROL MASTER'!#REF!)-1))))*(INDEX('CONTROL MASTER'!$AC$2:$AC$495,(SUMPRODUCT((('CONTROL MASTER'!$S$2:$S$495=9)*('CONTROL MASTER'!$Z$2:$Z$495&lt;=1)*('CONTROL MASTER'!$AB$2:$AB$495&gt;=1)*('CONTROL MASTER'!$AA$2:$AA$495&lt;=3)*('CONTROL MASTER'!$AC$2:$AC$495&gt;=3))*ROW('CONTROL MASTER'!$S$2:$S$495))-(ROW('CONTROL MASTER'!#REF!)-1)))-INDEX('CONTROL MASTER'!$AA$2:$AA$495,(SUMPRODUCT((('CONTROL MASTER'!$S$2:$S$495=9)*('CONTROL MASTER'!$Z$2:$Z$495&lt;=1)*('CONTROL MASTER'!$AB$2:$AB$495&gt;=1)*('CONTROL MASTER'!$AA$2:$AA$495&lt;=3)*('CONTROL MASTER'!$AC$2:$AC$495&gt;=3))*ROW('CONTROL MASTER'!$S$2:$S$495))-(ROW('CONTROL MASTER'!#REF!)-1)))+1)+(3-INDEX('CONTROL MASTER'!$AA$2:$AA$495,(SUMPRODUCT((('CONTROL MASTER'!$S$2:$S$495=9)*('CONTROL MASTER'!$Z$2:$Z$495&lt;=1)*('CONTROL MASTER'!$AB$2:$AB$495&gt;=1)*('CONTROL MASTER'!$AA$2:$AA$495&lt;=3)*('CONTROL MASTER'!$AC$2:$AC$495&gt;=3))*ROW('CONTROL MASTER'!$S$2:$S$495))-(ROW('CONTROL MASTER'!#REF!)-1))))+1)))-1)*50+1,50))&amp;"_"&amp;INDEX('CONTROL MASTER'!$P$2:$P$495,(SUMPRODUCT((('CONTROL MASTER'!$S$2:$S$495=9)*('CONTROL MASTER'!$Z$2:$Z$495&lt;=1)*('CONTROL MASTER'!$AB$2:$AB$495&gt;=1)*('CONTROL MASTER'!$AA$2:$AA$495&lt;=3)*('CONTROL MASTER'!$AC$2:$AC$495&gt;=3))*ROW('CONTROL MASTER'!$S$2:$S$495))-(ROW('CONTROL MASTER'!#REF!)-1))),"")),"")</f>
        <v/>
      </c>
      <c r="E115" s="10" t="str">
        <f>IFERROR(IF(SUMPRODUCT((('CONTROL MASTER'!$S$2:$S$495=9)*('CONTROL MASTER'!$T$2:$T$495&lt;=1)*('CONTROL MASTER'!$V$2:$V$495&gt;=1)*('CONTROL MASTER'!$U$2:$U$495&lt;=4)*('CONTROL MASTER'!$W$2:$W$495&gt;=4))*ROW('CONTROL MASTER'!$S$2:$S$495))&gt;0,INDEX('CONTROL MASTER'!$X$2:$X$495,(SUMPRODUCT((('CONTROL MASTER'!$S$2:$S$495=9)*('CONTROL MASTER'!$T$2:$T$495&lt;=1)*('CONTROL MASTER'!$V$2:$V$495&gt;=1)*('CONTROL MASTER'!$U$2:$U$495&lt;=4)*('CONTROL MASTER'!$W$2:$W$495&gt;=4))*ROW('CONTROL MASTER'!$S$2:$S$495))-(ROW('CONTROL MASTER'!#REF!)-1)))&amp;TRIM(MID(SUBSTITUTE(SUBSTITUTE(INDEX('CONTROL MASTER'!$N$2:$N$495,(SUMPRODUCT((('CONTROL MASTER'!$S$2:$S$495=9)*('CONTROL MASTER'!$T$2:$T$495&lt;=1)*('CONTROL MASTER'!$V$2:$V$495&gt;=1)*('CONTROL MASTER'!$U$2:$U$495&lt;=4)*('CONTROL MASTER'!$W$2:$W$495&gt;=4))*ROW('CONTROL MASTER'!$S$2:$S$495))-(ROW('CONTROL MASTER'!#REF!)-1))),":",","),",",REPT(" ",50)),((((1-INDEX('CONTROL MASTER'!$T$2:$T$495,(SUMPRODUCT((('CONTROL MASTER'!$S$2:$S$495=9)*('CONTROL MASTER'!$T$2:$T$495&lt;=1)*('CONTROL MASTER'!$V$2:$V$495&gt;=1)*('CONTROL MASTER'!$U$2:$U$495&lt;=4)*('CONTROL MASTER'!$W$2:$W$495&gt;=4))*ROW('CONTROL MASTER'!$S$2:$S$495))-(ROW('CONTROL MASTER'!#REF!)-1))))*(INDEX('CONTROL MASTER'!$W$2:$W$495,(SUMPRODUCT((('CONTROL MASTER'!$S$2:$S$495=9)*('CONTROL MASTER'!$T$2:$T$495&lt;=1)*('CONTROL MASTER'!$V$2:$V$495&gt;=1)*('CONTROL MASTER'!$U$2:$U$495&lt;=4)*('CONTROL MASTER'!$W$2:$W$495&gt;=4))*ROW('CONTROL MASTER'!$S$2:$S$495))-(ROW('CONTROL MASTER'!#REF!)-1)))-INDEX('CONTROL MASTER'!$U$2:$U$495,(SUMPRODUCT((('CONTROL MASTER'!$S$2:$S$495=9)*('CONTROL MASTER'!$T$2:$T$495&lt;=1)*('CONTROL MASTER'!$V$2:$V$495&gt;=1)*('CONTROL MASTER'!$U$2:$U$495&lt;=4)*('CONTROL MASTER'!$W$2:$W$495&gt;=4))*ROW('CONTROL MASTER'!$S$2:$S$495))-(ROW('CONTROL MASTER'!#REF!)-1)))+1)+(4-INDEX('CONTROL MASTER'!$U$2:$U$495,(SUMPRODUCT((('CONTROL MASTER'!$S$2:$S$495=9)*('CONTROL MASTER'!$T$2:$T$495&lt;=1)*('CONTROL MASTER'!$V$2:$V$495&gt;=1)*('CONTROL MASTER'!$U$2:$U$495&lt;=4)*('CONTROL MASTER'!$W$2:$W$495&gt;=4))*ROW('CONTROL MASTER'!$S$2:$S$495))-(ROW('CONTROL MASTER'!#REF!)-1))))+1))-1)*50+1,50))&amp;"_"&amp;INDEX('CONTROL MASTER'!$P$2:$P$495,(SUMPRODUCT((('CONTROL MASTER'!$S$2:$S$495=9)*('CONTROL MASTER'!$T$2:$T$495&lt;=1)*('CONTROL MASTER'!$V$2:$V$495&gt;=1)*('CONTROL MASTER'!$U$2:$U$495&lt;=4)*('CONTROL MASTER'!$W$2:$W$495&gt;=4))*ROW('CONTROL MASTER'!$S$2:$S$495))-(ROW('CONTROL MASTER'!#REF!)-1))),IF(SUMPRODUCT((('CONTROL MASTER'!$S$2:$S$495=9)*('CONTROL MASTER'!$Z$2:$Z$495&lt;=1)*('CONTROL MASTER'!$AB$2:$AB$495&gt;=1)*('CONTROL MASTER'!$AA$2:$AA$495&lt;=4)*('CONTROL MASTER'!$AC$2:$AC$495&gt;=4))*ROW('CONTROL MASTER'!$S$2:$S$495))&gt;0,INDEX('CONTROL MASTER'!$X$2:$X$495,(SUMPRODUCT((('CONTROL MASTER'!$S$2:$S$495=9)*('CONTROL MASTER'!$Z$2:$Z$495&lt;=1)*('CONTROL MASTER'!$AB$2:$AB$495&gt;=1)*('CONTROL MASTER'!$AA$2:$AA$495&lt;=4)*('CONTROL MASTER'!$AC$2:$AC$495&gt;=4))*ROW('CONTROL MASTER'!$S$2:$S$495))-(ROW('CONTROL MASTER'!#REF!)-1)))&amp;TRIM(MID(SUBSTITUTE(SUBSTITUTE(INDEX('CONTROL MASTER'!$N$2:$N$495,(SUMPRODUCT((('CONTROL MASTER'!$S$2:$S$495=9)*('CONTROL MASTER'!$Z$2:$Z$495&lt;=1)*('CONTROL MASTER'!$AB$2:$AB$495&gt;=1)*('CONTROL MASTER'!$AA$2:$AA$495&lt;=4)*('CONTROL MASTER'!$AC$2:$AC$495&gt;=4))*ROW('CONTROL MASTER'!$S$2:$S$495))-(ROW('CONTROL MASTER'!#REF!)-1))),":",","),",",REPT(" ",50)),(((INDEX('CONTROL MASTER'!$Y$2:$Y$495,(SUMPRODUCT((('CONTROL MASTER'!$S$2:$S$495=9)*('CONTROL MASTER'!$Z$2:$Z$495&lt;=1)*('CONTROL MASTER'!$AB$2:$AB$495&gt;=1)*('CONTROL MASTER'!$AA$2:$AA$495&lt;=4)*('CONTROL MASTER'!$AC$2:$AC$495&gt;=4))*ROW('CONTROL MASTER'!$S$2:$S$495))-(ROW('CONTROL MASTER'!#REF!)-1)))+((1-INDEX('CONTROL MASTER'!$Z$2:$Z$495,(SUMPRODUCT((('CONTROL MASTER'!$S$2:$S$495=9)*('CONTROL MASTER'!$Z$2:$Z$495&lt;=1)*('CONTROL MASTER'!$AB$2:$AB$495&gt;=1)*('CONTROL MASTER'!$AA$2:$AA$495&lt;=4)*('CONTROL MASTER'!$AC$2:$AC$495&gt;=4))*ROW('CONTROL MASTER'!$S$2:$S$495))-(ROW('CONTROL MASTER'!#REF!)-1))))*(INDEX('CONTROL MASTER'!$AC$2:$AC$495,(SUMPRODUCT((('CONTROL MASTER'!$S$2:$S$495=9)*('CONTROL MASTER'!$Z$2:$Z$495&lt;=1)*('CONTROL MASTER'!$AB$2:$AB$495&gt;=1)*('CONTROL MASTER'!$AA$2:$AA$495&lt;=4)*('CONTROL MASTER'!$AC$2:$AC$495&gt;=4))*ROW('CONTROL MASTER'!$S$2:$S$495))-(ROW('CONTROL MASTER'!#REF!)-1)))-INDEX('CONTROL MASTER'!$AA$2:$AA$495,(SUMPRODUCT((('CONTROL MASTER'!$S$2:$S$495=9)*('CONTROL MASTER'!$Z$2:$Z$495&lt;=1)*('CONTROL MASTER'!$AB$2:$AB$495&gt;=1)*('CONTROL MASTER'!$AA$2:$AA$495&lt;=4)*('CONTROL MASTER'!$AC$2:$AC$495&gt;=4))*ROW('CONTROL MASTER'!$S$2:$S$495))-(ROW('CONTROL MASTER'!#REF!)-1)))+1)+(4-INDEX('CONTROL MASTER'!$AA$2:$AA$495,(SUMPRODUCT((('CONTROL MASTER'!$S$2:$S$495=9)*('CONTROL MASTER'!$Z$2:$Z$495&lt;=1)*('CONTROL MASTER'!$AB$2:$AB$495&gt;=1)*('CONTROL MASTER'!$AA$2:$AA$495&lt;=4)*('CONTROL MASTER'!$AC$2:$AC$495&gt;=4))*ROW('CONTROL MASTER'!$S$2:$S$495))-(ROW('CONTROL MASTER'!#REF!)-1))))+1)))-1)*50+1,50))&amp;"_"&amp;INDEX('CONTROL MASTER'!$P$2:$P$495,(SUMPRODUCT((('CONTROL MASTER'!$S$2:$S$495=9)*('CONTROL MASTER'!$Z$2:$Z$495&lt;=1)*('CONTROL MASTER'!$AB$2:$AB$495&gt;=1)*('CONTROL MASTER'!$AA$2:$AA$495&lt;=4)*('CONTROL MASTER'!$AC$2:$AC$495&gt;=4))*ROW('CONTROL MASTER'!$S$2:$S$495))-(ROW('CONTROL MASTER'!#REF!)-1))),"")),"")</f>
        <v/>
      </c>
      <c r="F115" s="10" t="str">
        <f>IFERROR(IF(SUMPRODUCT((('CONTROL MASTER'!$S$2:$S$495=9)*('CONTROL MASTER'!$T$2:$T$495&lt;=1)*('CONTROL MASTER'!$V$2:$V$495&gt;=1)*('CONTROL MASTER'!$U$2:$U$495&lt;=5)*('CONTROL MASTER'!$W$2:$W$495&gt;=5))*ROW('CONTROL MASTER'!$S$2:$S$495))&gt;0,INDEX('CONTROL MASTER'!$X$2:$X$495,(SUMPRODUCT((('CONTROL MASTER'!$S$2:$S$495=9)*('CONTROL MASTER'!$T$2:$T$495&lt;=1)*('CONTROL MASTER'!$V$2:$V$495&gt;=1)*('CONTROL MASTER'!$U$2:$U$495&lt;=5)*('CONTROL MASTER'!$W$2:$W$495&gt;=5))*ROW('CONTROL MASTER'!$S$2:$S$495))-(ROW('CONTROL MASTER'!#REF!)-1)))&amp;TRIM(MID(SUBSTITUTE(SUBSTITUTE(INDEX('CONTROL MASTER'!$N$2:$N$495,(SUMPRODUCT((('CONTROL MASTER'!$S$2:$S$495=9)*('CONTROL MASTER'!$T$2:$T$495&lt;=1)*('CONTROL MASTER'!$V$2:$V$495&gt;=1)*('CONTROL MASTER'!$U$2:$U$495&lt;=5)*('CONTROL MASTER'!$W$2:$W$495&gt;=5))*ROW('CONTROL MASTER'!$S$2:$S$495))-(ROW('CONTROL MASTER'!#REF!)-1))),":",","),",",REPT(" ",50)),((((1-INDEX('CONTROL MASTER'!$T$2:$T$495,(SUMPRODUCT((('CONTROL MASTER'!$S$2:$S$495=9)*('CONTROL MASTER'!$T$2:$T$495&lt;=1)*('CONTROL MASTER'!$V$2:$V$495&gt;=1)*('CONTROL MASTER'!$U$2:$U$495&lt;=5)*('CONTROL MASTER'!$W$2:$W$495&gt;=5))*ROW('CONTROL MASTER'!$S$2:$S$495))-(ROW('CONTROL MASTER'!#REF!)-1))))*(INDEX('CONTROL MASTER'!$W$2:$W$495,(SUMPRODUCT((('CONTROL MASTER'!$S$2:$S$495=9)*('CONTROL MASTER'!$T$2:$T$495&lt;=1)*('CONTROL MASTER'!$V$2:$V$495&gt;=1)*('CONTROL MASTER'!$U$2:$U$495&lt;=5)*('CONTROL MASTER'!$W$2:$W$495&gt;=5))*ROW('CONTROL MASTER'!$S$2:$S$495))-(ROW('CONTROL MASTER'!#REF!)-1)))-INDEX('CONTROL MASTER'!$U$2:$U$495,(SUMPRODUCT((('CONTROL MASTER'!$S$2:$S$495=9)*('CONTROL MASTER'!$T$2:$T$495&lt;=1)*('CONTROL MASTER'!$V$2:$V$495&gt;=1)*('CONTROL MASTER'!$U$2:$U$495&lt;=5)*('CONTROL MASTER'!$W$2:$W$495&gt;=5))*ROW('CONTROL MASTER'!$S$2:$S$495))-(ROW('CONTROL MASTER'!#REF!)-1)))+1)+(5-INDEX('CONTROL MASTER'!$U$2:$U$495,(SUMPRODUCT((('CONTROL MASTER'!$S$2:$S$495=9)*('CONTROL MASTER'!$T$2:$T$495&lt;=1)*('CONTROL MASTER'!$V$2:$V$495&gt;=1)*('CONTROL MASTER'!$U$2:$U$495&lt;=5)*('CONTROL MASTER'!$W$2:$W$495&gt;=5))*ROW('CONTROL MASTER'!$S$2:$S$495))-(ROW('CONTROL MASTER'!#REF!)-1))))+1))-1)*50+1,50))&amp;"_"&amp;INDEX('CONTROL MASTER'!$P$2:$P$495,(SUMPRODUCT((('CONTROL MASTER'!$S$2:$S$495=9)*('CONTROL MASTER'!$T$2:$T$495&lt;=1)*('CONTROL MASTER'!$V$2:$V$495&gt;=1)*('CONTROL MASTER'!$U$2:$U$495&lt;=5)*('CONTROL MASTER'!$W$2:$W$495&gt;=5))*ROW('CONTROL MASTER'!$S$2:$S$495))-(ROW('CONTROL MASTER'!#REF!)-1))),IF(SUMPRODUCT((('CONTROL MASTER'!$S$2:$S$495=9)*('CONTROL MASTER'!$Z$2:$Z$495&lt;=1)*('CONTROL MASTER'!$AB$2:$AB$495&gt;=1)*('CONTROL MASTER'!$AA$2:$AA$495&lt;=5)*('CONTROL MASTER'!$AC$2:$AC$495&gt;=5))*ROW('CONTROL MASTER'!$S$2:$S$495))&gt;0,INDEX('CONTROL MASTER'!$X$2:$X$495,(SUMPRODUCT((('CONTROL MASTER'!$S$2:$S$495=9)*('CONTROL MASTER'!$Z$2:$Z$495&lt;=1)*('CONTROL MASTER'!$AB$2:$AB$495&gt;=1)*('CONTROL MASTER'!$AA$2:$AA$495&lt;=5)*('CONTROL MASTER'!$AC$2:$AC$495&gt;=5))*ROW('CONTROL MASTER'!$S$2:$S$495))-(ROW('CONTROL MASTER'!#REF!)-1)))&amp;TRIM(MID(SUBSTITUTE(SUBSTITUTE(INDEX('CONTROL MASTER'!$N$2:$N$495,(SUMPRODUCT((('CONTROL MASTER'!$S$2:$S$495=9)*('CONTROL MASTER'!$Z$2:$Z$495&lt;=1)*('CONTROL MASTER'!$AB$2:$AB$495&gt;=1)*('CONTROL MASTER'!$AA$2:$AA$495&lt;=5)*('CONTROL MASTER'!$AC$2:$AC$495&gt;=5))*ROW('CONTROL MASTER'!$S$2:$S$495))-(ROW('CONTROL MASTER'!#REF!)-1))),":",","),",",REPT(" ",50)),(((INDEX('CONTROL MASTER'!$Y$2:$Y$495,(SUMPRODUCT((('CONTROL MASTER'!$S$2:$S$495=9)*('CONTROL MASTER'!$Z$2:$Z$495&lt;=1)*('CONTROL MASTER'!$AB$2:$AB$495&gt;=1)*('CONTROL MASTER'!$AA$2:$AA$495&lt;=5)*('CONTROL MASTER'!$AC$2:$AC$495&gt;=5))*ROW('CONTROL MASTER'!$S$2:$S$495))-(ROW('CONTROL MASTER'!#REF!)-1)))+((1-INDEX('CONTROL MASTER'!$Z$2:$Z$495,(SUMPRODUCT((('CONTROL MASTER'!$S$2:$S$495=9)*('CONTROL MASTER'!$Z$2:$Z$495&lt;=1)*('CONTROL MASTER'!$AB$2:$AB$495&gt;=1)*('CONTROL MASTER'!$AA$2:$AA$495&lt;=5)*('CONTROL MASTER'!$AC$2:$AC$495&gt;=5))*ROW('CONTROL MASTER'!$S$2:$S$495))-(ROW('CONTROL MASTER'!#REF!)-1))))*(INDEX('CONTROL MASTER'!$AC$2:$AC$495,(SUMPRODUCT((('CONTROL MASTER'!$S$2:$S$495=9)*('CONTROL MASTER'!$Z$2:$Z$495&lt;=1)*('CONTROL MASTER'!$AB$2:$AB$495&gt;=1)*('CONTROL MASTER'!$AA$2:$AA$495&lt;=5)*('CONTROL MASTER'!$AC$2:$AC$495&gt;=5))*ROW('CONTROL MASTER'!$S$2:$S$495))-(ROW('CONTROL MASTER'!#REF!)-1)))-INDEX('CONTROL MASTER'!$AA$2:$AA$495,(SUMPRODUCT((('CONTROL MASTER'!$S$2:$S$495=9)*('CONTROL MASTER'!$Z$2:$Z$495&lt;=1)*('CONTROL MASTER'!$AB$2:$AB$495&gt;=1)*('CONTROL MASTER'!$AA$2:$AA$495&lt;=5)*('CONTROL MASTER'!$AC$2:$AC$495&gt;=5))*ROW('CONTROL MASTER'!$S$2:$S$495))-(ROW('CONTROL MASTER'!#REF!)-1)))+1)+(5-INDEX('CONTROL MASTER'!$AA$2:$AA$495,(SUMPRODUCT((('CONTROL MASTER'!$S$2:$S$495=9)*('CONTROL MASTER'!$Z$2:$Z$495&lt;=1)*('CONTROL MASTER'!$AB$2:$AB$495&gt;=1)*('CONTROL MASTER'!$AA$2:$AA$495&lt;=5)*('CONTROL MASTER'!$AC$2:$AC$495&gt;=5))*ROW('CONTROL MASTER'!$S$2:$S$495))-(ROW('CONTROL MASTER'!#REF!)-1))))+1)))-1)*50+1,50))&amp;"_"&amp;INDEX('CONTROL MASTER'!$P$2:$P$495,(SUMPRODUCT((('CONTROL MASTER'!$S$2:$S$495=9)*('CONTROL MASTER'!$Z$2:$Z$495&lt;=1)*('CONTROL MASTER'!$AB$2:$AB$495&gt;=1)*('CONTROL MASTER'!$AA$2:$AA$495&lt;=5)*('CONTROL MASTER'!$AC$2:$AC$495&gt;=5))*ROW('CONTROL MASTER'!$S$2:$S$495))-(ROW('CONTROL MASTER'!#REF!)-1))),"")),"")</f>
        <v/>
      </c>
      <c r="G115" s="10" t="str">
        <f>IFERROR(IF(SUMPRODUCT((('CONTROL MASTER'!$S$2:$S$495=9)*('CONTROL MASTER'!$T$2:$T$495&lt;=1)*('CONTROL MASTER'!$V$2:$V$495&gt;=1)*('CONTROL MASTER'!$U$2:$U$495&lt;=6)*('CONTROL MASTER'!$W$2:$W$495&gt;=6))*ROW('CONTROL MASTER'!$S$2:$S$495))&gt;0,INDEX('CONTROL MASTER'!$X$2:$X$495,(SUMPRODUCT((('CONTROL MASTER'!$S$2:$S$495=9)*('CONTROL MASTER'!$T$2:$T$495&lt;=1)*('CONTROL MASTER'!$V$2:$V$495&gt;=1)*('CONTROL MASTER'!$U$2:$U$495&lt;=6)*('CONTROL MASTER'!$W$2:$W$495&gt;=6))*ROW('CONTROL MASTER'!$S$2:$S$495))-(ROW('CONTROL MASTER'!#REF!)-1)))&amp;TRIM(MID(SUBSTITUTE(SUBSTITUTE(INDEX('CONTROL MASTER'!$N$2:$N$495,(SUMPRODUCT((('CONTROL MASTER'!$S$2:$S$495=9)*('CONTROL MASTER'!$T$2:$T$495&lt;=1)*('CONTROL MASTER'!$V$2:$V$495&gt;=1)*('CONTROL MASTER'!$U$2:$U$495&lt;=6)*('CONTROL MASTER'!$W$2:$W$495&gt;=6))*ROW('CONTROL MASTER'!$S$2:$S$495))-(ROW('CONTROL MASTER'!#REF!)-1))),":",","),",",REPT(" ",50)),((((1-INDEX('CONTROL MASTER'!$T$2:$T$495,(SUMPRODUCT((('CONTROL MASTER'!$S$2:$S$495=9)*('CONTROL MASTER'!$T$2:$T$495&lt;=1)*('CONTROL MASTER'!$V$2:$V$495&gt;=1)*('CONTROL MASTER'!$U$2:$U$495&lt;=6)*('CONTROL MASTER'!$W$2:$W$495&gt;=6))*ROW('CONTROL MASTER'!$S$2:$S$495))-(ROW('CONTROL MASTER'!#REF!)-1))))*(INDEX('CONTROL MASTER'!$W$2:$W$495,(SUMPRODUCT((('CONTROL MASTER'!$S$2:$S$495=9)*('CONTROL MASTER'!$T$2:$T$495&lt;=1)*('CONTROL MASTER'!$V$2:$V$495&gt;=1)*('CONTROL MASTER'!$U$2:$U$495&lt;=6)*('CONTROL MASTER'!$W$2:$W$495&gt;=6))*ROW('CONTROL MASTER'!$S$2:$S$495))-(ROW('CONTROL MASTER'!#REF!)-1)))-INDEX('CONTROL MASTER'!$U$2:$U$495,(SUMPRODUCT((('CONTROL MASTER'!$S$2:$S$495=9)*('CONTROL MASTER'!$T$2:$T$495&lt;=1)*('CONTROL MASTER'!$V$2:$V$495&gt;=1)*('CONTROL MASTER'!$U$2:$U$495&lt;=6)*('CONTROL MASTER'!$W$2:$W$495&gt;=6))*ROW('CONTROL MASTER'!$S$2:$S$495))-(ROW('CONTROL MASTER'!#REF!)-1)))+1)+(6-INDEX('CONTROL MASTER'!$U$2:$U$495,(SUMPRODUCT((('CONTROL MASTER'!$S$2:$S$495=9)*('CONTROL MASTER'!$T$2:$T$495&lt;=1)*('CONTROL MASTER'!$V$2:$V$495&gt;=1)*('CONTROL MASTER'!$U$2:$U$495&lt;=6)*('CONTROL MASTER'!$W$2:$W$495&gt;=6))*ROW('CONTROL MASTER'!$S$2:$S$495))-(ROW('CONTROL MASTER'!#REF!)-1))))+1))-1)*50+1,50))&amp;"_"&amp;INDEX('CONTROL MASTER'!$P$2:$P$495,(SUMPRODUCT((('CONTROL MASTER'!$S$2:$S$495=9)*('CONTROL MASTER'!$T$2:$T$495&lt;=1)*('CONTROL MASTER'!$V$2:$V$495&gt;=1)*('CONTROL MASTER'!$U$2:$U$495&lt;=6)*('CONTROL MASTER'!$W$2:$W$495&gt;=6))*ROW('CONTROL MASTER'!$S$2:$S$495))-(ROW('CONTROL MASTER'!#REF!)-1))),IF(SUMPRODUCT((('CONTROL MASTER'!$S$2:$S$495=9)*('CONTROL MASTER'!$Z$2:$Z$495&lt;=1)*('CONTROL MASTER'!$AB$2:$AB$495&gt;=1)*('CONTROL MASTER'!$AA$2:$AA$495&lt;=6)*('CONTROL MASTER'!$AC$2:$AC$495&gt;=6))*ROW('CONTROL MASTER'!$S$2:$S$495))&gt;0,INDEX('CONTROL MASTER'!$X$2:$X$495,(SUMPRODUCT((('CONTROL MASTER'!$S$2:$S$495=9)*('CONTROL MASTER'!$Z$2:$Z$495&lt;=1)*('CONTROL MASTER'!$AB$2:$AB$495&gt;=1)*('CONTROL MASTER'!$AA$2:$AA$495&lt;=6)*('CONTROL MASTER'!$AC$2:$AC$495&gt;=6))*ROW('CONTROL MASTER'!$S$2:$S$495))-(ROW('CONTROL MASTER'!#REF!)-1)))&amp;TRIM(MID(SUBSTITUTE(SUBSTITUTE(INDEX('CONTROL MASTER'!$N$2:$N$495,(SUMPRODUCT((('CONTROL MASTER'!$S$2:$S$495=9)*('CONTROL MASTER'!$Z$2:$Z$495&lt;=1)*('CONTROL MASTER'!$AB$2:$AB$495&gt;=1)*('CONTROL MASTER'!$AA$2:$AA$495&lt;=6)*('CONTROL MASTER'!$AC$2:$AC$495&gt;=6))*ROW('CONTROL MASTER'!$S$2:$S$495))-(ROW('CONTROL MASTER'!#REF!)-1))),":",","),",",REPT(" ",50)),(((INDEX('CONTROL MASTER'!$Y$2:$Y$495,(SUMPRODUCT((('CONTROL MASTER'!$S$2:$S$495=9)*('CONTROL MASTER'!$Z$2:$Z$495&lt;=1)*('CONTROL MASTER'!$AB$2:$AB$495&gt;=1)*('CONTROL MASTER'!$AA$2:$AA$495&lt;=6)*('CONTROL MASTER'!$AC$2:$AC$495&gt;=6))*ROW('CONTROL MASTER'!$S$2:$S$495))-(ROW('CONTROL MASTER'!#REF!)-1)))+((1-INDEX('CONTROL MASTER'!$Z$2:$Z$495,(SUMPRODUCT((('CONTROL MASTER'!$S$2:$S$495=9)*('CONTROL MASTER'!$Z$2:$Z$495&lt;=1)*('CONTROL MASTER'!$AB$2:$AB$495&gt;=1)*('CONTROL MASTER'!$AA$2:$AA$495&lt;=6)*('CONTROL MASTER'!$AC$2:$AC$495&gt;=6))*ROW('CONTROL MASTER'!$S$2:$S$495))-(ROW('CONTROL MASTER'!#REF!)-1))))*(INDEX('CONTROL MASTER'!$AC$2:$AC$495,(SUMPRODUCT((('CONTROL MASTER'!$S$2:$S$495=9)*('CONTROL MASTER'!$Z$2:$Z$495&lt;=1)*('CONTROL MASTER'!$AB$2:$AB$495&gt;=1)*('CONTROL MASTER'!$AA$2:$AA$495&lt;=6)*('CONTROL MASTER'!$AC$2:$AC$495&gt;=6))*ROW('CONTROL MASTER'!$S$2:$S$495))-(ROW('CONTROL MASTER'!#REF!)-1)))-INDEX('CONTROL MASTER'!$AA$2:$AA$495,(SUMPRODUCT((('CONTROL MASTER'!$S$2:$S$495=9)*('CONTROL MASTER'!$Z$2:$Z$495&lt;=1)*('CONTROL MASTER'!$AB$2:$AB$495&gt;=1)*('CONTROL MASTER'!$AA$2:$AA$495&lt;=6)*('CONTROL MASTER'!$AC$2:$AC$495&gt;=6))*ROW('CONTROL MASTER'!$S$2:$S$495))-(ROW('CONTROL MASTER'!#REF!)-1)))+1)+(6-INDEX('CONTROL MASTER'!$AA$2:$AA$495,(SUMPRODUCT((('CONTROL MASTER'!$S$2:$S$495=9)*('CONTROL MASTER'!$Z$2:$Z$495&lt;=1)*('CONTROL MASTER'!$AB$2:$AB$495&gt;=1)*('CONTROL MASTER'!$AA$2:$AA$495&lt;=6)*('CONTROL MASTER'!$AC$2:$AC$495&gt;=6))*ROW('CONTROL MASTER'!$S$2:$S$495))-(ROW('CONTROL MASTER'!#REF!)-1))))+1)))-1)*50+1,50))&amp;"_"&amp;INDEX('CONTROL MASTER'!$P$2:$P$495,(SUMPRODUCT((('CONTROL MASTER'!$S$2:$S$495=9)*('CONTROL MASTER'!$Z$2:$Z$495&lt;=1)*('CONTROL MASTER'!$AB$2:$AB$495&gt;=1)*('CONTROL MASTER'!$AA$2:$AA$495&lt;=6)*('CONTROL MASTER'!$AC$2:$AC$495&gt;=6))*ROW('CONTROL MASTER'!$S$2:$S$495))-(ROW('CONTROL MASTER'!#REF!)-1))),"")),"")</f>
        <v/>
      </c>
      <c r="H115" s="10" t="str">
        <f>IFERROR(IF(SUMPRODUCT((('CONTROL MASTER'!$S$2:$S$495=9)*('CONTROL MASTER'!$T$2:$T$495&lt;=1)*('CONTROL MASTER'!$V$2:$V$495&gt;=1)*('CONTROL MASTER'!$U$2:$U$495&lt;=7)*('CONTROL MASTER'!$W$2:$W$495&gt;=7))*ROW('CONTROL MASTER'!$S$2:$S$495))&gt;0,INDEX('CONTROL MASTER'!$X$2:$X$495,(SUMPRODUCT((('CONTROL MASTER'!$S$2:$S$495=9)*('CONTROL MASTER'!$T$2:$T$495&lt;=1)*('CONTROL MASTER'!$V$2:$V$495&gt;=1)*('CONTROL MASTER'!$U$2:$U$495&lt;=7)*('CONTROL MASTER'!$W$2:$W$495&gt;=7))*ROW('CONTROL MASTER'!$S$2:$S$495))-(ROW('CONTROL MASTER'!#REF!)-1)))&amp;TRIM(MID(SUBSTITUTE(SUBSTITUTE(INDEX('CONTROL MASTER'!$N$2:$N$495,(SUMPRODUCT((('CONTROL MASTER'!$S$2:$S$495=9)*('CONTROL MASTER'!$T$2:$T$495&lt;=1)*('CONTROL MASTER'!$V$2:$V$495&gt;=1)*('CONTROL MASTER'!$U$2:$U$495&lt;=7)*('CONTROL MASTER'!$W$2:$W$495&gt;=7))*ROW('CONTROL MASTER'!$S$2:$S$495))-(ROW('CONTROL MASTER'!#REF!)-1))),":",","),",",REPT(" ",50)),((((1-INDEX('CONTROL MASTER'!$T$2:$T$495,(SUMPRODUCT((('CONTROL MASTER'!$S$2:$S$495=9)*('CONTROL MASTER'!$T$2:$T$495&lt;=1)*('CONTROL MASTER'!$V$2:$V$495&gt;=1)*('CONTROL MASTER'!$U$2:$U$495&lt;=7)*('CONTROL MASTER'!$W$2:$W$495&gt;=7))*ROW('CONTROL MASTER'!$S$2:$S$495))-(ROW('CONTROL MASTER'!#REF!)-1))))*(INDEX('CONTROL MASTER'!$W$2:$W$495,(SUMPRODUCT((('CONTROL MASTER'!$S$2:$S$495=9)*('CONTROL MASTER'!$T$2:$T$495&lt;=1)*('CONTROL MASTER'!$V$2:$V$495&gt;=1)*('CONTROL MASTER'!$U$2:$U$495&lt;=7)*('CONTROL MASTER'!$W$2:$W$495&gt;=7))*ROW('CONTROL MASTER'!$S$2:$S$495))-(ROW('CONTROL MASTER'!#REF!)-1)))-INDEX('CONTROL MASTER'!$U$2:$U$495,(SUMPRODUCT((('CONTROL MASTER'!$S$2:$S$495=9)*('CONTROL MASTER'!$T$2:$T$495&lt;=1)*('CONTROL MASTER'!$V$2:$V$495&gt;=1)*('CONTROL MASTER'!$U$2:$U$495&lt;=7)*('CONTROL MASTER'!$W$2:$W$495&gt;=7))*ROW('CONTROL MASTER'!$S$2:$S$495))-(ROW('CONTROL MASTER'!#REF!)-1)))+1)+(7-INDEX('CONTROL MASTER'!$U$2:$U$495,(SUMPRODUCT((('CONTROL MASTER'!$S$2:$S$495=9)*('CONTROL MASTER'!$T$2:$T$495&lt;=1)*('CONTROL MASTER'!$V$2:$V$495&gt;=1)*('CONTROL MASTER'!$U$2:$U$495&lt;=7)*('CONTROL MASTER'!$W$2:$W$495&gt;=7))*ROW('CONTROL MASTER'!$S$2:$S$495))-(ROW('CONTROL MASTER'!#REF!)-1))))+1))-1)*50+1,50))&amp;"_"&amp;INDEX('CONTROL MASTER'!$P$2:$P$495,(SUMPRODUCT((('CONTROL MASTER'!$S$2:$S$495=9)*('CONTROL MASTER'!$T$2:$T$495&lt;=1)*('CONTROL MASTER'!$V$2:$V$495&gt;=1)*('CONTROL MASTER'!$U$2:$U$495&lt;=7)*('CONTROL MASTER'!$W$2:$W$495&gt;=7))*ROW('CONTROL MASTER'!$S$2:$S$495))-(ROW('CONTROL MASTER'!#REF!)-1))),IF(SUMPRODUCT((('CONTROL MASTER'!$S$2:$S$495=9)*('CONTROL MASTER'!$Z$2:$Z$495&lt;=1)*('CONTROL MASTER'!$AB$2:$AB$495&gt;=1)*('CONTROL MASTER'!$AA$2:$AA$495&lt;=7)*('CONTROL MASTER'!$AC$2:$AC$495&gt;=7))*ROW('CONTROL MASTER'!$S$2:$S$495))&gt;0,INDEX('CONTROL MASTER'!$X$2:$X$495,(SUMPRODUCT((('CONTROL MASTER'!$S$2:$S$495=9)*('CONTROL MASTER'!$Z$2:$Z$495&lt;=1)*('CONTROL MASTER'!$AB$2:$AB$495&gt;=1)*('CONTROL MASTER'!$AA$2:$AA$495&lt;=7)*('CONTROL MASTER'!$AC$2:$AC$495&gt;=7))*ROW('CONTROL MASTER'!$S$2:$S$495))-(ROW('CONTROL MASTER'!#REF!)-1)))&amp;TRIM(MID(SUBSTITUTE(SUBSTITUTE(INDEX('CONTROL MASTER'!$N$2:$N$495,(SUMPRODUCT((('CONTROL MASTER'!$S$2:$S$495=9)*('CONTROL MASTER'!$Z$2:$Z$495&lt;=1)*('CONTROL MASTER'!$AB$2:$AB$495&gt;=1)*('CONTROL MASTER'!$AA$2:$AA$495&lt;=7)*('CONTROL MASTER'!$AC$2:$AC$495&gt;=7))*ROW('CONTROL MASTER'!$S$2:$S$495))-(ROW('CONTROL MASTER'!#REF!)-1))),":",","),",",REPT(" ",50)),(((INDEX('CONTROL MASTER'!$Y$2:$Y$495,(SUMPRODUCT((('CONTROL MASTER'!$S$2:$S$495=9)*('CONTROL MASTER'!$Z$2:$Z$495&lt;=1)*('CONTROL MASTER'!$AB$2:$AB$495&gt;=1)*('CONTROL MASTER'!$AA$2:$AA$495&lt;=7)*('CONTROL MASTER'!$AC$2:$AC$495&gt;=7))*ROW('CONTROL MASTER'!$S$2:$S$495))-(ROW('CONTROL MASTER'!#REF!)-1)))+((1-INDEX('CONTROL MASTER'!$Z$2:$Z$495,(SUMPRODUCT((('CONTROL MASTER'!$S$2:$S$495=9)*('CONTROL MASTER'!$Z$2:$Z$495&lt;=1)*('CONTROL MASTER'!$AB$2:$AB$495&gt;=1)*('CONTROL MASTER'!$AA$2:$AA$495&lt;=7)*('CONTROL MASTER'!$AC$2:$AC$495&gt;=7))*ROW('CONTROL MASTER'!$S$2:$S$495))-(ROW('CONTROL MASTER'!#REF!)-1))))*(INDEX('CONTROL MASTER'!$AC$2:$AC$495,(SUMPRODUCT((('CONTROL MASTER'!$S$2:$S$495=9)*('CONTROL MASTER'!$Z$2:$Z$495&lt;=1)*('CONTROL MASTER'!$AB$2:$AB$495&gt;=1)*('CONTROL MASTER'!$AA$2:$AA$495&lt;=7)*('CONTROL MASTER'!$AC$2:$AC$495&gt;=7))*ROW('CONTROL MASTER'!$S$2:$S$495))-(ROW('CONTROL MASTER'!#REF!)-1)))-INDEX('CONTROL MASTER'!$AA$2:$AA$495,(SUMPRODUCT((('CONTROL MASTER'!$S$2:$S$495=9)*('CONTROL MASTER'!$Z$2:$Z$495&lt;=1)*('CONTROL MASTER'!$AB$2:$AB$495&gt;=1)*('CONTROL MASTER'!$AA$2:$AA$495&lt;=7)*('CONTROL MASTER'!$AC$2:$AC$495&gt;=7))*ROW('CONTROL MASTER'!$S$2:$S$495))-(ROW('CONTROL MASTER'!#REF!)-1)))+1)+(7-INDEX('CONTROL MASTER'!$AA$2:$AA$495,(SUMPRODUCT((('CONTROL MASTER'!$S$2:$S$495=9)*('CONTROL MASTER'!$Z$2:$Z$495&lt;=1)*('CONTROL MASTER'!$AB$2:$AB$495&gt;=1)*('CONTROL MASTER'!$AA$2:$AA$495&lt;=7)*('CONTROL MASTER'!$AC$2:$AC$495&gt;=7))*ROW('CONTROL MASTER'!$S$2:$S$495))-(ROW('CONTROL MASTER'!#REF!)-1))))+1)))-1)*50+1,50))&amp;"_"&amp;INDEX('CONTROL MASTER'!$P$2:$P$495,(SUMPRODUCT((('CONTROL MASTER'!$S$2:$S$495=9)*('CONTROL MASTER'!$Z$2:$Z$495&lt;=1)*('CONTROL MASTER'!$AB$2:$AB$495&gt;=1)*('CONTROL MASTER'!$AA$2:$AA$495&lt;=7)*('CONTROL MASTER'!$AC$2:$AC$495&gt;=7))*ROW('CONTROL MASTER'!$S$2:$S$495))-(ROW('CONTROL MASTER'!#REF!)-1))),"")),"")</f>
        <v/>
      </c>
      <c r="I115" s="10" t="str">
        <f>IFERROR(IF(SUMPRODUCT((('CONTROL MASTER'!$S$2:$S$495=9)*('CONTROL MASTER'!$T$2:$T$495&lt;=1)*('CONTROL MASTER'!$V$2:$V$495&gt;=1)*('CONTROL MASTER'!$U$2:$U$495&lt;=8)*('CONTROL MASTER'!$W$2:$W$495&gt;=8))*ROW('CONTROL MASTER'!$S$2:$S$495))&gt;0,INDEX('CONTROL MASTER'!$X$2:$X$495,(SUMPRODUCT((('CONTROL MASTER'!$S$2:$S$495=9)*('CONTROL MASTER'!$T$2:$T$495&lt;=1)*('CONTROL MASTER'!$V$2:$V$495&gt;=1)*('CONTROL MASTER'!$U$2:$U$495&lt;=8)*('CONTROL MASTER'!$W$2:$W$495&gt;=8))*ROW('CONTROL MASTER'!$S$2:$S$495))-(ROW('CONTROL MASTER'!#REF!)-1)))&amp;TRIM(MID(SUBSTITUTE(SUBSTITUTE(INDEX('CONTROL MASTER'!$N$2:$N$495,(SUMPRODUCT((('CONTROL MASTER'!$S$2:$S$495=9)*('CONTROL MASTER'!$T$2:$T$495&lt;=1)*('CONTROL MASTER'!$V$2:$V$495&gt;=1)*('CONTROL MASTER'!$U$2:$U$495&lt;=8)*('CONTROL MASTER'!$W$2:$W$495&gt;=8))*ROW('CONTROL MASTER'!$S$2:$S$495))-(ROW('CONTROL MASTER'!#REF!)-1))),":",","),",",REPT(" ",50)),((((1-INDEX('CONTROL MASTER'!$T$2:$T$495,(SUMPRODUCT((('CONTROL MASTER'!$S$2:$S$495=9)*('CONTROL MASTER'!$T$2:$T$495&lt;=1)*('CONTROL MASTER'!$V$2:$V$495&gt;=1)*('CONTROL MASTER'!$U$2:$U$495&lt;=8)*('CONTROL MASTER'!$W$2:$W$495&gt;=8))*ROW('CONTROL MASTER'!$S$2:$S$495))-(ROW('CONTROL MASTER'!#REF!)-1))))*(INDEX('CONTROL MASTER'!$W$2:$W$495,(SUMPRODUCT((('CONTROL MASTER'!$S$2:$S$495=9)*('CONTROL MASTER'!$T$2:$T$495&lt;=1)*('CONTROL MASTER'!$V$2:$V$495&gt;=1)*('CONTROL MASTER'!$U$2:$U$495&lt;=8)*('CONTROL MASTER'!$W$2:$W$495&gt;=8))*ROW('CONTROL MASTER'!$S$2:$S$495))-(ROW('CONTROL MASTER'!#REF!)-1)))-INDEX('CONTROL MASTER'!$U$2:$U$495,(SUMPRODUCT((('CONTROL MASTER'!$S$2:$S$495=9)*('CONTROL MASTER'!$T$2:$T$495&lt;=1)*('CONTROL MASTER'!$V$2:$V$495&gt;=1)*('CONTROL MASTER'!$U$2:$U$495&lt;=8)*('CONTROL MASTER'!$W$2:$W$495&gt;=8))*ROW('CONTROL MASTER'!$S$2:$S$495))-(ROW('CONTROL MASTER'!#REF!)-1)))+1)+(8-INDEX('CONTROL MASTER'!$U$2:$U$495,(SUMPRODUCT((('CONTROL MASTER'!$S$2:$S$495=9)*('CONTROL MASTER'!$T$2:$T$495&lt;=1)*('CONTROL MASTER'!$V$2:$V$495&gt;=1)*('CONTROL MASTER'!$U$2:$U$495&lt;=8)*('CONTROL MASTER'!$W$2:$W$495&gt;=8))*ROW('CONTROL MASTER'!$S$2:$S$495))-(ROW('CONTROL MASTER'!#REF!)-1))))+1))-1)*50+1,50))&amp;"_"&amp;INDEX('CONTROL MASTER'!$P$2:$P$495,(SUMPRODUCT((('CONTROL MASTER'!$S$2:$S$495=9)*('CONTROL MASTER'!$T$2:$T$495&lt;=1)*('CONTROL MASTER'!$V$2:$V$495&gt;=1)*('CONTROL MASTER'!$U$2:$U$495&lt;=8)*('CONTROL MASTER'!$W$2:$W$495&gt;=8))*ROW('CONTROL MASTER'!$S$2:$S$495))-(ROW('CONTROL MASTER'!#REF!)-1))),IF(SUMPRODUCT((('CONTROL MASTER'!$S$2:$S$495=9)*('CONTROL MASTER'!$Z$2:$Z$495&lt;=1)*('CONTROL MASTER'!$AB$2:$AB$495&gt;=1)*('CONTROL MASTER'!$AA$2:$AA$495&lt;=8)*('CONTROL MASTER'!$AC$2:$AC$495&gt;=8))*ROW('CONTROL MASTER'!$S$2:$S$495))&gt;0,INDEX('CONTROL MASTER'!$X$2:$X$495,(SUMPRODUCT((('CONTROL MASTER'!$S$2:$S$495=9)*('CONTROL MASTER'!$Z$2:$Z$495&lt;=1)*('CONTROL MASTER'!$AB$2:$AB$495&gt;=1)*('CONTROL MASTER'!$AA$2:$AA$495&lt;=8)*('CONTROL MASTER'!$AC$2:$AC$495&gt;=8))*ROW('CONTROL MASTER'!$S$2:$S$495))-(ROW('CONTROL MASTER'!#REF!)-1)))&amp;TRIM(MID(SUBSTITUTE(SUBSTITUTE(INDEX('CONTROL MASTER'!$N$2:$N$495,(SUMPRODUCT((('CONTROL MASTER'!$S$2:$S$495=9)*('CONTROL MASTER'!$Z$2:$Z$495&lt;=1)*('CONTROL MASTER'!$AB$2:$AB$495&gt;=1)*('CONTROL MASTER'!$AA$2:$AA$495&lt;=8)*('CONTROL MASTER'!$AC$2:$AC$495&gt;=8))*ROW('CONTROL MASTER'!$S$2:$S$495))-(ROW('CONTROL MASTER'!#REF!)-1))),":",","),",",REPT(" ",50)),(((INDEX('CONTROL MASTER'!$Y$2:$Y$495,(SUMPRODUCT((('CONTROL MASTER'!$S$2:$S$495=9)*('CONTROL MASTER'!$Z$2:$Z$495&lt;=1)*('CONTROL MASTER'!$AB$2:$AB$495&gt;=1)*('CONTROL MASTER'!$AA$2:$AA$495&lt;=8)*('CONTROL MASTER'!$AC$2:$AC$495&gt;=8))*ROW('CONTROL MASTER'!$S$2:$S$495))-(ROW('CONTROL MASTER'!#REF!)-1)))+((1-INDEX('CONTROL MASTER'!$Z$2:$Z$495,(SUMPRODUCT((('CONTROL MASTER'!$S$2:$S$495=9)*('CONTROL MASTER'!$Z$2:$Z$495&lt;=1)*('CONTROL MASTER'!$AB$2:$AB$495&gt;=1)*('CONTROL MASTER'!$AA$2:$AA$495&lt;=8)*('CONTROL MASTER'!$AC$2:$AC$495&gt;=8))*ROW('CONTROL MASTER'!$S$2:$S$495))-(ROW('CONTROL MASTER'!#REF!)-1))))*(INDEX('CONTROL MASTER'!$AC$2:$AC$495,(SUMPRODUCT((('CONTROL MASTER'!$S$2:$S$495=9)*('CONTROL MASTER'!$Z$2:$Z$495&lt;=1)*('CONTROL MASTER'!$AB$2:$AB$495&gt;=1)*('CONTROL MASTER'!$AA$2:$AA$495&lt;=8)*('CONTROL MASTER'!$AC$2:$AC$495&gt;=8))*ROW('CONTROL MASTER'!$S$2:$S$495))-(ROW('CONTROL MASTER'!#REF!)-1)))-INDEX('CONTROL MASTER'!$AA$2:$AA$495,(SUMPRODUCT((('CONTROL MASTER'!$S$2:$S$495=9)*('CONTROL MASTER'!$Z$2:$Z$495&lt;=1)*('CONTROL MASTER'!$AB$2:$AB$495&gt;=1)*('CONTROL MASTER'!$AA$2:$AA$495&lt;=8)*('CONTROL MASTER'!$AC$2:$AC$495&gt;=8))*ROW('CONTROL MASTER'!$S$2:$S$495))-(ROW('CONTROL MASTER'!#REF!)-1)))+1)+(8-INDEX('CONTROL MASTER'!$AA$2:$AA$495,(SUMPRODUCT((('CONTROL MASTER'!$S$2:$S$495=9)*('CONTROL MASTER'!$Z$2:$Z$495&lt;=1)*('CONTROL MASTER'!$AB$2:$AB$495&gt;=1)*('CONTROL MASTER'!$AA$2:$AA$495&lt;=8)*('CONTROL MASTER'!$AC$2:$AC$495&gt;=8))*ROW('CONTROL MASTER'!$S$2:$S$495))-(ROW('CONTROL MASTER'!#REF!)-1))))+1)))-1)*50+1,50))&amp;"_"&amp;INDEX('CONTROL MASTER'!$P$2:$P$495,(SUMPRODUCT((('CONTROL MASTER'!$S$2:$S$495=9)*('CONTROL MASTER'!$Z$2:$Z$495&lt;=1)*('CONTROL MASTER'!$AB$2:$AB$495&gt;=1)*('CONTROL MASTER'!$AA$2:$AA$495&lt;=8)*('CONTROL MASTER'!$AC$2:$AC$495&gt;=8))*ROW('CONTROL MASTER'!$S$2:$S$495))-(ROW('CONTROL MASTER'!#REF!)-1))),"")),"")</f>
        <v/>
      </c>
      <c r="J115" s="10" t="str">
        <f>IFERROR(IF(SUMPRODUCT((('CONTROL MASTER'!$S$2:$S$495=9)*('CONTROL MASTER'!$T$2:$T$495&lt;=1)*('CONTROL MASTER'!$V$2:$V$495&gt;=1)*('CONTROL MASTER'!$U$2:$U$495&lt;=9)*('CONTROL MASTER'!$W$2:$W$495&gt;=9))*ROW('CONTROL MASTER'!$S$2:$S$495))&gt;0,INDEX('CONTROL MASTER'!$X$2:$X$495,(SUMPRODUCT((('CONTROL MASTER'!$S$2:$S$495=9)*('CONTROL MASTER'!$T$2:$T$495&lt;=1)*('CONTROL MASTER'!$V$2:$V$495&gt;=1)*('CONTROL MASTER'!$U$2:$U$495&lt;=9)*('CONTROL MASTER'!$W$2:$W$495&gt;=9))*ROW('CONTROL MASTER'!$S$2:$S$495))-(ROW('CONTROL MASTER'!#REF!)-1)))&amp;TRIM(MID(SUBSTITUTE(SUBSTITUTE(INDEX('CONTROL MASTER'!$N$2:$N$495,(SUMPRODUCT((('CONTROL MASTER'!$S$2:$S$495=9)*('CONTROL MASTER'!$T$2:$T$495&lt;=1)*('CONTROL MASTER'!$V$2:$V$495&gt;=1)*('CONTROL MASTER'!$U$2:$U$495&lt;=9)*('CONTROL MASTER'!$W$2:$W$495&gt;=9))*ROW('CONTROL MASTER'!$S$2:$S$495))-(ROW('CONTROL MASTER'!#REF!)-1))),":",","),",",REPT(" ",50)),((((1-INDEX('CONTROL MASTER'!$T$2:$T$495,(SUMPRODUCT((('CONTROL MASTER'!$S$2:$S$495=9)*('CONTROL MASTER'!$T$2:$T$495&lt;=1)*('CONTROL MASTER'!$V$2:$V$495&gt;=1)*('CONTROL MASTER'!$U$2:$U$495&lt;=9)*('CONTROL MASTER'!$W$2:$W$495&gt;=9))*ROW('CONTROL MASTER'!$S$2:$S$495))-(ROW('CONTROL MASTER'!#REF!)-1))))*(INDEX('CONTROL MASTER'!$W$2:$W$495,(SUMPRODUCT((('CONTROL MASTER'!$S$2:$S$495=9)*('CONTROL MASTER'!$T$2:$T$495&lt;=1)*('CONTROL MASTER'!$V$2:$V$495&gt;=1)*('CONTROL MASTER'!$U$2:$U$495&lt;=9)*('CONTROL MASTER'!$W$2:$W$495&gt;=9))*ROW('CONTROL MASTER'!$S$2:$S$495))-(ROW('CONTROL MASTER'!#REF!)-1)))-INDEX('CONTROL MASTER'!$U$2:$U$495,(SUMPRODUCT((('CONTROL MASTER'!$S$2:$S$495=9)*('CONTROL MASTER'!$T$2:$T$495&lt;=1)*('CONTROL MASTER'!$V$2:$V$495&gt;=1)*('CONTROL MASTER'!$U$2:$U$495&lt;=9)*('CONTROL MASTER'!$W$2:$W$495&gt;=9))*ROW('CONTROL MASTER'!$S$2:$S$495))-(ROW('CONTROL MASTER'!#REF!)-1)))+1)+(9-INDEX('CONTROL MASTER'!$U$2:$U$495,(SUMPRODUCT((('CONTROL MASTER'!$S$2:$S$495=9)*('CONTROL MASTER'!$T$2:$T$495&lt;=1)*('CONTROL MASTER'!$V$2:$V$495&gt;=1)*('CONTROL MASTER'!$U$2:$U$495&lt;=9)*('CONTROL MASTER'!$W$2:$W$495&gt;=9))*ROW('CONTROL MASTER'!$S$2:$S$495))-(ROW('CONTROL MASTER'!#REF!)-1))))+1))-1)*50+1,50))&amp;"_"&amp;INDEX('CONTROL MASTER'!$P$2:$P$495,(SUMPRODUCT((('CONTROL MASTER'!$S$2:$S$495=9)*('CONTROL MASTER'!$T$2:$T$495&lt;=1)*('CONTROL MASTER'!$V$2:$V$495&gt;=1)*('CONTROL MASTER'!$U$2:$U$495&lt;=9)*('CONTROL MASTER'!$W$2:$W$495&gt;=9))*ROW('CONTROL MASTER'!$S$2:$S$495))-(ROW('CONTROL MASTER'!#REF!)-1))),IF(SUMPRODUCT((('CONTROL MASTER'!$S$2:$S$495=9)*('CONTROL MASTER'!$Z$2:$Z$495&lt;=1)*('CONTROL MASTER'!$AB$2:$AB$495&gt;=1)*('CONTROL MASTER'!$AA$2:$AA$495&lt;=9)*('CONTROL MASTER'!$AC$2:$AC$495&gt;=9))*ROW('CONTROL MASTER'!$S$2:$S$495))&gt;0,INDEX('CONTROL MASTER'!$X$2:$X$495,(SUMPRODUCT((('CONTROL MASTER'!$S$2:$S$495=9)*('CONTROL MASTER'!$Z$2:$Z$495&lt;=1)*('CONTROL MASTER'!$AB$2:$AB$495&gt;=1)*('CONTROL MASTER'!$AA$2:$AA$495&lt;=9)*('CONTROL MASTER'!$AC$2:$AC$495&gt;=9))*ROW('CONTROL MASTER'!$S$2:$S$495))-(ROW('CONTROL MASTER'!#REF!)-1)))&amp;TRIM(MID(SUBSTITUTE(SUBSTITUTE(INDEX('CONTROL MASTER'!$N$2:$N$495,(SUMPRODUCT((('CONTROL MASTER'!$S$2:$S$495=9)*('CONTROL MASTER'!$Z$2:$Z$495&lt;=1)*('CONTROL MASTER'!$AB$2:$AB$495&gt;=1)*('CONTROL MASTER'!$AA$2:$AA$495&lt;=9)*('CONTROL MASTER'!$AC$2:$AC$495&gt;=9))*ROW('CONTROL MASTER'!$S$2:$S$495))-(ROW('CONTROL MASTER'!#REF!)-1))),":",","),",",REPT(" ",50)),(((INDEX('CONTROL MASTER'!$Y$2:$Y$495,(SUMPRODUCT((('CONTROL MASTER'!$S$2:$S$495=9)*('CONTROL MASTER'!$Z$2:$Z$495&lt;=1)*('CONTROL MASTER'!$AB$2:$AB$495&gt;=1)*('CONTROL MASTER'!$AA$2:$AA$495&lt;=9)*('CONTROL MASTER'!$AC$2:$AC$495&gt;=9))*ROW('CONTROL MASTER'!$S$2:$S$495))-(ROW('CONTROL MASTER'!#REF!)-1)))+((1-INDEX('CONTROL MASTER'!$Z$2:$Z$495,(SUMPRODUCT((('CONTROL MASTER'!$S$2:$S$495=9)*('CONTROL MASTER'!$Z$2:$Z$495&lt;=1)*('CONTROL MASTER'!$AB$2:$AB$495&gt;=1)*('CONTROL MASTER'!$AA$2:$AA$495&lt;=9)*('CONTROL MASTER'!$AC$2:$AC$495&gt;=9))*ROW('CONTROL MASTER'!$S$2:$S$495))-(ROW('CONTROL MASTER'!#REF!)-1))))*(INDEX('CONTROL MASTER'!$AC$2:$AC$495,(SUMPRODUCT((('CONTROL MASTER'!$S$2:$S$495=9)*('CONTROL MASTER'!$Z$2:$Z$495&lt;=1)*('CONTROL MASTER'!$AB$2:$AB$495&gt;=1)*('CONTROL MASTER'!$AA$2:$AA$495&lt;=9)*('CONTROL MASTER'!$AC$2:$AC$495&gt;=9))*ROW('CONTROL MASTER'!$S$2:$S$495))-(ROW('CONTROL MASTER'!#REF!)-1)))-INDEX('CONTROL MASTER'!$AA$2:$AA$495,(SUMPRODUCT((('CONTROL MASTER'!$S$2:$S$495=9)*('CONTROL MASTER'!$Z$2:$Z$495&lt;=1)*('CONTROL MASTER'!$AB$2:$AB$495&gt;=1)*('CONTROL MASTER'!$AA$2:$AA$495&lt;=9)*('CONTROL MASTER'!$AC$2:$AC$495&gt;=9))*ROW('CONTROL MASTER'!$S$2:$S$495))-(ROW('CONTROL MASTER'!#REF!)-1)))+1)+(9-INDEX('CONTROL MASTER'!$AA$2:$AA$495,(SUMPRODUCT((('CONTROL MASTER'!$S$2:$S$495=9)*('CONTROL MASTER'!$Z$2:$Z$495&lt;=1)*('CONTROL MASTER'!$AB$2:$AB$495&gt;=1)*('CONTROL MASTER'!$AA$2:$AA$495&lt;=9)*('CONTROL MASTER'!$AC$2:$AC$495&gt;=9))*ROW('CONTROL MASTER'!$S$2:$S$495))-(ROW('CONTROL MASTER'!#REF!)-1))))+1)))-1)*50+1,50))&amp;"_"&amp;INDEX('CONTROL MASTER'!$P$2:$P$495,(SUMPRODUCT((('CONTROL MASTER'!$S$2:$S$495=9)*('CONTROL MASTER'!$Z$2:$Z$495&lt;=1)*('CONTROL MASTER'!$AB$2:$AB$495&gt;=1)*('CONTROL MASTER'!$AA$2:$AA$495&lt;=9)*('CONTROL MASTER'!$AC$2:$AC$495&gt;=9))*ROW('CONTROL MASTER'!$S$2:$S$495))-(ROW('CONTROL MASTER'!#REF!)-1))),"")),"")</f>
        <v/>
      </c>
      <c r="K115" s="10" t="str">
        <f>IFERROR(IF(SUMPRODUCT((('CONTROL MASTER'!$S$2:$S$495=9)*('CONTROL MASTER'!$T$2:$T$495&lt;=1)*('CONTROL MASTER'!$V$2:$V$495&gt;=1)*('CONTROL MASTER'!$U$2:$U$495&lt;=10)*('CONTROL MASTER'!$W$2:$W$495&gt;=10))*ROW('CONTROL MASTER'!$S$2:$S$495))&gt;0,INDEX('CONTROL MASTER'!$X$2:$X$495,(SUMPRODUCT((('CONTROL MASTER'!$S$2:$S$495=9)*('CONTROL MASTER'!$T$2:$T$495&lt;=1)*('CONTROL MASTER'!$V$2:$V$495&gt;=1)*('CONTROL MASTER'!$U$2:$U$495&lt;=10)*('CONTROL MASTER'!$W$2:$W$495&gt;=10))*ROW('CONTROL MASTER'!$S$2:$S$495))-(ROW('CONTROL MASTER'!#REF!)-1)))&amp;TRIM(MID(SUBSTITUTE(SUBSTITUTE(INDEX('CONTROL MASTER'!$N$2:$N$495,(SUMPRODUCT((('CONTROL MASTER'!$S$2:$S$495=9)*('CONTROL MASTER'!$T$2:$T$495&lt;=1)*('CONTROL MASTER'!$V$2:$V$495&gt;=1)*('CONTROL MASTER'!$U$2:$U$495&lt;=10)*('CONTROL MASTER'!$W$2:$W$495&gt;=10))*ROW('CONTROL MASTER'!$S$2:$S$495))-(ROW('CONTROL MASTER'!#REF!)-1))),":",","),",",REPT(" ",50)),((((1-INDEX('CONTROL MASTER'!$T$2:$T$495,(SUMPRODUCT((('CONTROL MASTER'!$S$2:$S$495=9)*('CONTROL MASTER'!$T$2:$T$495&lt;=1)*('CONTROL MASTER'!$V$2:$V$495&gt;=1)*('CONTROL MASTER'!$U$2:$U$495&lt;=10)*('CONTROL MASTER'!$W$2:$W$495&gt;=10))*ROW('CONTROL MASTER'!$S$2:$S$495))-(ROW('CONTROL MASTER'!#REF!)-1))))*(INDEX('CONTROL MASTER'!$W$2:$W$495,(SUMPRODUCT((('CONTROL MASTER'!$S$2:$S$495=9)*('CONTROL MASTER'!$T$2:$T$495&lt;=1)*('CONTROL MASTER'!$V$2:$V$495&gt;=1)*('CONTROL MASTER'!$U$2:$U$495&lt;=10)*('CONTROL MASTER'!$W$2:$W$495&gt;=10))*ROW('CONTROL MASTER'!$S$2:$S$495))-(ROW('CONTROL MASTER'!#REF!)-1)))-INDEX('CONTROL MASTER'!$U$2:$U$495,(SUMPRODUCT((('CONTROL MASTER'!$S$2:$S$495=9)*('CONTROL MASTER'!$T$2:$T$495&lt;=1)*('CONTROL MASTER'!$V$2:$V$495&gt;=1)*('CONTROL MASTER'!$U$2:$U$495&lt;=10)*('CONTROL MASTER'!$W$2:$W$495&gt;=10))*ROW('CONTROL MASTER'!$S$2:$S$495))-(ROW('CONTROL MASTER'!#REF!)-1)))+1)+(10-INDEX('CONTROL MASTER'!$U$2:$U$495,(SUMPRODUCT((('CONTROL MASTER'!$S$2:$S$495=9)*('CONTROL MASTER'!$T$2:$T$495&lt;=1)*('CONTROL MASTER'!$V$2:$V$495&gt;=1)*('CONTROL MASTER'!$U$2:$U$495&lt;=10)*('CONTROL MASTER'!$W$2:$W$495&gt;=10))*ROW('CONTROL MASTER'!$S$2:$S$495))-(ROW('CONTROL MASTER'!#REF!)-1))))+1))-1)*50+1,50))&amp;"_"&amp;INDEX('CONTROL MASTER'!$P$2:$P$495,(SUMPRODUCT((('CONTROL MASTER'!$S$2:$S$495=9)*('CONTROL MASTER'!$T$2:$T$495&lt;=1)*('CONTROL MASTER'!$V$2:$V$495&gt;=1)*('CONTROL MASTER'!$U$2:$U$495&lt;=10)*('CONTROL MASTER'!$W$2:$W$495&gt;=10))*ROW('CONTROL MASTER'!$S$2:$S$495))-(ROW('CONTROL MASTER'!#REF!)-1))),IF(SUMPRODUCT((('CONTROL MASTER'!$S$2:$S$495=9)*('CONTROL MASTER'!$Z$2:$Z$495&lt;=1)*('CONTROL MASTER'!$AB$2:$AB$495&gt;=1)*('CONTROL MASTER'!$AA$2:$AA$495&lt;=10)*('CONTROL MASTER'!$AC$2:$AC$495&gt;=10))*ROW('CONTROL MASTER'!$S$2:$S$495))&gt;0,INDEX('CONTROL MASTER'!$X$2:$X$495,(SUMPRODUCT((('CONTROL MASTER'!$S$2:$S$495=9)*('CONTROL MASTER'!$Z$2:$Z$495&lt;=1)*('CONTROL MASTER'!$AB$2:$AB$495&gt;=1)*('CONTROL MASTER'!$AA$2:$AA$495&lt;=10)*('CONTROL MASTER'!$AC$2:$AC$495&gt;=10))*ROW('CONTROL MASTER'!$S$2:$S$495))-(ROW('CONTROL MASTER'!#REF!)-1)))&amp;TRIM(MID(SUBSTITUTE(SUBSTITUTE(INDEX('CONTROL MASTER'!$N$2:$N$495,(SUMPRODUCT((('CONTROL MASTER'!$S$2:$S$495=9)*('CONTROL MASTER'!$Z$2:$Z$495&lt;=1)*('CONTROL MASTER'!$AB$2:$AB$495&gt;=1)*('CONTROL MASTER'!$AA$2:$AA$495&lt;=10)*('CONTROL MASTER'!$AC$2:$AC$495&gt;=10))*ROW('CONTROL MASTER'!$S$2:$S$495))-(ROW('CONTROL MASTER'!#REF!)-1))),":",","),",",REPT(" ",50)),(((INDEX('CONTROL MASTER'!$Y$2:$Y$495,(SUMPRODUCT((('CONTROL MASTER'!$S$2:$S$495=9)*('CONTROL MASTER'!$Z$2:$Z$495&lt;=1)*('CONTROL MASTER'!$AB$2:$AB$495&gt;=1)*('CONTROL MASTER'!$AA$2:$AA$495&lt;=10)*('CONTROL MASTER'!$AC$2:$AC$495&gt;=10))*ROW('CONTROL MASTER'!$S$2:$S$495))-(ROW('CONTROL MASTER'!#REF!)-1)))+((1-INDEX('CONTROL MASTER'!$Z$2:$Z$495,(SUMPRODUCT((('CONTROL MASTER'!$S$2:$S$495=9)*('CONTROL MASTER'!$Z$2:$Z$495&lt;=1)*('CONTROL MASTER'!$AB$2:$AB$495&gt;=1)*('CONTROL MASTER'!$AA$2:$AA$495&lt;=10)*('CONTROL MASTER'!$AC$2:$AC$495&gt;=10))*ROW('CONTROL MASTER'!$S$2:$S$495))-(ROW('CONTROL MASTER'!#REF!)-1))))*(INDEX('CONTROL MASTER'!$AC$2:$AC$495,(SUMPRODUCT((('CONTROL MASTER'!$S$2:$S$495=9)*('CONTROL MASTER'!$Z$2:$Z$495&lt;=1)*('CONTROL MASTER'!$AB$2:$AB$495&gt;=1)*('CONTROL MASTER'!$AA$2:$AA$495&lt;=10)*('CONTROL MASTER'!$AC$2:$AC$495&gt;=10))*ROW('CONTROL MASTER'!$S$2:$S$495))-(ROW('CONTROL MASTER'!#REF!)-1)))-INDEX('CONTROL MASTER'!$AA$2:$AA$495,(SUMPRODUCT((('CONTROL MASTER'!$S$2:$S$495=9)*('CONTROL MASTER'!$Z$2:$Z$495&lt;=1)*('CONTROL MASTER'!$AB$2:$AB$495&gt;=1)*('CONTROL MASTER'!$AA$2:$AA$495&lt;=10)*('CONTROL MASTER'!$AC$2:$AC$495&gt;=10))*ROW('CONTROL MASTER'!$S$2:$S$495))-(ROW('CONTROL MASTER'!#REF!)-1)))+1)+(10-INDEX('CONTROL MASTER'!$AA$2:$AA$495,(SUMPRODUCT((('CONTROL MASTER'!$S$2:$S$495=9)*('CONTROL MASTER'!$Z$2:$Z$495&lt;=1)*('CONTROL MASTER'!$AB$2:$AB$495&gt;=1)*('CONTROL MASTER'!$AA$2:$AA$495&lt;=10)*('CONTROL MASTER'!$AC$2:$AC$495&gt;=10))*ROW('CONTROL MASTER'!$S$2:$S$495))-(ROW('CONTROL MASTER'!#REF!)-1))))+1)))-1)*50+1,50))&amp;"_"&amp;INDEX('CONTROL MASTER'!$P$2:$P$495,(SUMPRODUCT((('CONTROL MASTER'!$S$2:$S$495=9)*('CONTROL MASTER'!$Z$2:$Z$495&lt;=1)*('CONTROL MASTER'!$AB$2:$AB$495&gt;=1)*('CONTROL MASTER'!$AA$2:$AA$495&lt;=10)*('CONTROL MASTER'!$AC$2:$AC$495&gt;=10))*ROW('CONTROL MASTER'!$S$2:$S$495))-(ROW('CONTROL MASTER'!#REF!)-1))),"")),"")</f>
        <v/>
      </c>
    </row>
    <row r="116" spans="1:11" ht="15" customHeight="1" x14ac:dyDescent="0.35">
      <c r="A116" s="8" t="s">
        <v>29</v>
      </c>
      <c r="B116" s="10" t="str">
        <f>IFERROR(IF(SUMPRODUCT((('CONTROL MASTER'!$S$2:$S$495=9)*('CONTROL MASTER'!$T$2:$T$495&lt;=2)*('CONTROL MASTER'!$V$2:$V$495&gt;=2)*('CONTROL MASTER'!$U$2:$U$495&lt;=1)*('CONTROL MASTER'!$W$2:$W$495&gt;=1))*ROW('CONTROL MASTER'!$S$2:$S$495))&gt;0,INDEX('CONTROL MASTER'!$X$2:$X$495,(SUMPRODUCT((('CONTROL MASTER'!$S$2:$S$495=9)*('CONTROL MASTER'!$T$2:$T$495&lt;=2)*('CONTROL MASTER'!$V$2:$V$495&gt;=2)*('CONTROL MASTER'!$U$2:$U$495&lt;=1)*('CONTROL MASTER'!$W$2:$W$495&gt;=1))*ROW('CONTROL MASTER'!$S$2:$S$495))-(ROW('CONTROL MASTER'!#REF!)-1)))&amp;TRIM(MID(SUBSTITUTE(SUBSTITUTE(INDEX('CONTROL MASTER'!$N$2:$N$495,(SUMPRODUCT((('CONTROL MASTER'!$S$2:$S$495=9)*('CONTROL MASTER'!$T$2:$T$495&lt;=2)*('CONTROL MASTER'!$V$2:$V$495&gt;=2)*('CONTROL MASTER'!$U$2:$U$495&lt;=1)*('CONTROL MASTER'!$W$2:$W$495&gt;=1))*ROW('CONTROL MASTER'!$S$2:$S$495))-(ROW('CONTROL MASTER'!#REF!)-1))),":",","),",",REPT(" ",50)),((((2-INDEX('CONTROL MASTER'!$T$2:$T$495,(SUMPRODUCT((('CONTROL MASTER'!$S$2:$S$495=9)*('CONTROL MASTER'!$T$2:$T$495&lt;=2)*('CONTROL MASTER'!$V$2:$V$495&gt;=2)*('CONTROL MASTER'!$U$2:$U$495&lt;=1)*('CONTROL MASTER'!$W$2:$W$495&gt;=1))*ROW('CONTROL MASTER'!$S$2:$S$495))-(ROW('CONTROL MASTER'!#REF!)-1))))*(INDEX('CONTROL MASTER'!$W$2:$W$495,(SUMPRODUCT((('CONTROL MASTER'!$S$2:$S$495=9)*('CONTROL MASTER'!$T$2:$T$495&lt;=2)*('CONTROL MASTER'!$V$2:$V$495&gt;=2)*('CONTROL MASTER'!$U$2:$U$495&lt;=1)*('CONTROL MASTER'!$W$2:$W$495&gt;=1))*ROW('CONTROL MASTER'!$S$2:$S$495))-(ROW('CONTROL MASTER'!#REF!)-1)))-INDEX('CONTROL MASTER'!$U$2:$U$495,(SUMPRODUCT((('CONTROL MASTER'!$S$2:$S$495=9)*('CONTROL MASTER'!$T$2:$T$495&lt;=2)*('CONTROL MASTER'!$V$2:$V$495&gt;=2)*('CONTROL MASTER'!$U$2:$U$495&lt;=1)*('CONTROL MASTER'!$W$2:$W$495&gt;=1))*ROW('CONTROL MASTER'!$S$2:$S$495))-(ROW('CONTROL MASTER'!#REF!)-1)))+1)+(1-INDEX('CONTROL MASTER'!$U$2:$U$495,(SUMPRODUCT((('CONTROL MASTER'!$S$2:$S$495=9)*('CONTROL MASTER'!$T$2:$T$495&lt;=2)*('CONTROL MASTER'!$V$2:$V$495&gt;=2)*('CONTROL MASTER'!$U$2:$U$495&lt;=1)*('CONTROL MASTER'!$W$2:$W$495&gt;=1))*ROW('CONTROL MASTER'!$S$2:$S$495))-(ROW('CONTROL MASTER'!#REF!)-1))))+1))-1)*50+1,50))&amp;"_"&amp;INDEX('CONTROL MASTER'!$P$2:$P$495,(SUMPRODUCT((('CONTROL MASTER'!$S$2:$S$495=9)*('CONTROL MASTER'!$T$2:$T$495&lt;=2)*('CONTROL MASTER'!$V$2:$V$495&gt;=2)*('CONTROL MASTER'!$U$2:$U$495&lt;=1)*('CONTROL MASTER'!$W$2:$W$495&gt;=1))*ROW('CONTROL MASTER'!$S$2:$S$495))-(ROW('CONTROL MASTER'!#REF!)-1))),IF(SUMPRODUCT((('CONTROL MASTER'!$S$2:$S$495=9)*('CONTROL MASTER'!$Z$2:$Z$495&lt;=2)*('CONTROL MASTER'!$AB$2:$AB$495&gt;=2)*('CONTROL MASTER'!$AA$2:$AA$495&lt;=1)*('CONTROL MASTER'!$AC$2:$AC$495&gt;=1))*ROW('CONTROL MASTER'!$S$2:$S$495))&gt;0,INDEX('CONTROL MASTER'!$X$2:$X$495,(SUMPRODUCT((('CONTROL MASTER'!$S$2:$S$495=9)*('CONTROL MASTER'!$Z$2:$Z$495&lt;=2)*('CONTROL MASTER'!$AB$2:$AB$495&gt;=2)*('CONTROL MASTER'!$AA$2:$AA$495&lt;=1)*('CONTROL MASTER'!$AC$2:$AC$495&gt;=1))*ROW('CONTROL MASTER'!$S$2:$S$495))-(ROW('CONTROL MASTER'!#REF!)-1)))&amp;TRIM(MID(SUBSTITUTE(SUBSTITUTE(INDEX('CONTROL MASTER'!$N$2:$N$495,(SUMPRODUCT((('CONTROL MASTER'!$S$2:$S$495=9)*('CONTROL MASTER'!$Z$2:$Z$495&lt;=2)*('CONTROL MASTER'!$AB$2:$AB$495&gt;=2)*('CONTROL MASTER'!$AA$2:$AA$495&lt;=1)*('CONTROL MASTER'!$AC$2:$AC$495&gt;=1))*ROW('CONTROL MASTER'!$S$2:$S$495))-(ROW('CONTROL MASTER'!#REF!)-1))),":",","),",",REPT(" ",50)),(((INDEX('CONTROL MASTER'!$Y$2:$Y$495,(SUMPRODUCT((('CONTROL MASTER'!$S$2:$S$495=9)*('CONTROL MASTER'!$Z$2:$Z$495&lt;=2)*('CONTROL MASTER'!$AB$2:$AB$495&gt;=2)*('CONTROL MASTER'!$AA$2:$AA$495&lt;=1)*('CONTROL MASTER'!$AC$2:$AC$495&gt;=1))*ROW('CONTROL MASTER'!$S$2:$S$495))-(ROW('CONTROL MASTER'!#REF!)-1)))+((2-INDEX('CONTROL MASTER'!$Z$2:$Z$495,(SUMPRODUCT((('CONTROL MASTER'!$S$2:$S$495=9)*('CONTROL MASTER'!$Z$2:$Z$495&lt;=2)*('CONTROL MASTER'!$AB$2:$AB$495&gt;=2)*('CONTROL MASTER'!$AA$2:$AA$495&lt;=1)*('CONTROL MASTER'!$AC$2:$AC$495&gt;=1))*ROW('CONTROL MASTER'!$S$2:$S$495))-(ROW('CONTROL MASTER'!#REF!)-1))))*(INDEX('CONTROL MASTER'!$AC$2:$AC$495,(SUMPRODUCT((('CONTROL MASTER'!$S$2:$S$495=9)*('CONTROL MASTER'!$Z$2:$Z$495&lt;=2)*('CONTROL MASTER'!$AB$2:$AB$495&gt;=2)*('CONTROL MASTER'!$AA$2:$AA$495&lt;=1)*('CONTROL MASTER'!$AC$2:$AC$495&gt;=1))*ROW('CONTROL MASTER'!$S$2:$S$495))-(ROW('CONTROL MASTER'!#REF!)-1)))-INDEX('CONTROL MASTER'!$AA$2:$AA$495,(SUMPRODUCT((('CONTROL MASTER'!$S$2:$S$495=9)*('CONTROL MASTER'!$Z$2:$Z$495&lt;=2)*('CONTROL MASTER'!$AB$2:$AB$495&gt;=2)*('CONTROL MASTER'!$AA$2:$AA$495&lt;=1)*('CONTROL MASTER'!$AC$2:$AC$495&gt;=1))*ROW('CONTROL MASTER'!$S$2:$S$495))-(ROW('CONTROL MASTER'!#REF!)-1)))+1)+(1-INDEX('CONTROL MASTER'!$AA$2:$AA$495,(SUMPRODUCT((('CONTROL MASTER'!$S$2:$S$495=9)*('CONTROL MASTER'!$Z$2:$Z$495&lt;=2)*('CONTROL MASTER'!$AB$2:$AB$495&gt;=2)*('CONTROL MASTER'!$AA$2:$AA$495&lt;=1)*('CONTROL MASTER'!$AC$2:$AC$495&gt;=1))*ROW('CONTROL MASTER'!$S$2:$S$495))-(ROW('CONTROL MASTER'!#REF!)-1))))+1)))-1)*50+1,50))&amp;"_"&amp;INDEX('CONTROL MASTER'!$P$2:$P$495,(SUMPRODUCT((('CONTROL MASTER'!$S$2:$S$495=9)*('CONTROL MASTER'!$Z$2:$Z$495&lt;=2)*('CONTROL MASTER'!$AB$2:$AB$495&gt;=2)*('CONTROL MASTER'!$AA$2:$AA$495&lt;=1)*('CONTROL MASTER'!$AC$2:$AC$495&gt;=1))*ROW('CONTROL MASTER'!$S$2:$S$495))-(ROW('CONTROL MASTER'!#REF!)-1))),"")),"")</f>
        <v/>
      </c>
      <c r="C116" s="10" t="str">
        <f>IFERROR(IF(SUMPRODUCT((('CONTROL MASTER'!$S$2:$S$495=9)*('CONTROL MASTER'!$T$2:$T$495&lt;=2)*('CONTROL MASTER'!$V$2:$V$495&gt;=2)*('CONTROL MASTER'!$U$2:$U$495&lt;=2)*('CONTROL MASTER'!$W$2:$W$495&gt;=2))*ROW('CONTROL MASTER'!$S$2:$S$495))&gt;0,INDEX('CONTROL MASTER'!$X$2:$X$495,(SUMPRODUCT((('CONTROL MASTER'!$S$2:$S$495=9)*('CONTROL MASTER'!$T$2:$T$495&lt;=2)*('CONTROL MASTER'!$V$2:$V$495&gt;=2)*('CONTROL MASTER'!$U$2:$U$495&lt;=2)*('CONTROL MASTER'!$W$2:$W$495&gt;=2))*ROW('CONTROL MASTER'!$S$2:$S$495))-(ROW('CONTROL MASTER'!#REF!)-1)))&amp;TRIM(MID(SUBSTITUTE(SUBSTITUTE(INDEX('CONTROL MASTER'!$N$2:$N$495,(SUMPRODUCT((('CONTROL MASTER'!$S$2:$S$495=9)*('CONTROL MASTER'!$T$2:$T$495&lt;=2)*('CONTROL MASTER'!$V$2:$V$495&gt;=2)*('CONTROL MASTER'!$U$2:$U$495&lt;=2)*('CONTROL MASTER'!$W$2:$W$495&gt;=2))*ROW('CONTROL MASTER'!$S$2:$S$495))-(ROW('CONTROL MASTER'!#REF!)-1))),":",","),",",REPT(" ",50)),((((2-INDEX('CONTROL MASTER'!$T$2:$T$495,(SUMPRODUCT((('CONTROL MASTER'!$S$2:$S$495=9)*('CONTROL MASTER'!$T$2:$T$495&lt;=2)*('CONTROL MASTER'!$V$2:$V$495&gt;=2)*('CONTROL MASTER'!$U$2:$U$495&lt;=2)*('CONTROL MASTER'!$W$2:$W$495&gt;=2))*ROW('CONTROL MASTER'!$S$2:$S$495))-(ROW('CONTROL MASTER'!#REF!)-1))))*(INDEX('CONTROL MASTER'!$W$2:$W$495,(SUMPRODUCT((('CONTROL MASTER'!$S$2:$S$495=9)*('CONTROL MASTER'!$T$2:$T$495&lt;=2)*('CONTROL MASTER'!$V$2:$V$495&gt;=2)*('CONTROL MASTER'!$U$2:$U$495&lt;=2)*('CONTROL MASTER'!$W$2:$W$495&gt;=2))*ROW('CONTROL MASTER'!$S$2:$S$495))-(ROW('CONTROL MASTER'!#REF!)-1)))-INDEX('CONTROL MASTER'!$U$2:$U$495,(SUMPRODUCT((('CONTROL MASTER'!$S$2:$S$495=9)*('CONTROL MASTER'!$T$2:$T$495&lt;=2)*('CONTROL MASTER'!$V$2:$V$495&gt;=2)*('CONTROL MASTER'!$U$2:$U$495&lt;=2)*('CONTROL MASTER'!$W$2:$W$495&gt;=2))*ROW('CONTROL MASTER'!$S$2:$S$495))-(ROW('CONTROL MASTER'!#REF!)-1)))+1)+(2-INDEX('CONTROL MASTER'!$U$2:$U$495,(SUMPRODUCT((('CONTROL MASTER'!$S$2:$S$495=9)*('CONTROL MASTER'!$T$2:$T$495&lt;=2)*('CONTROL MASTER'!$V$2:$V$495&gt;=2)*('CONTROL MASTER'!$U$2:$U$495&lt;=2)*('CONTROL MASTER'!$W$2:$W$495&gt;=2))*ROW('CONTROL MASTER'!$S$2:$S$495))-(ROW('CONTROL MASTER'!#REF!)-1))))+1))-1)*50+1,50))&amp;"_"&amp;INDEX('CONTROL MASTER'!$P$2:$P$495,(SUMPRODUCT((('CONTROL MASTER'!$S$2:$S$495=9)*('CONTROL MASTER'!$T$2:$T$495&lt;=2)*('CONTROL MASTER'!$V$2:$V$495&gt;=2)*('CONTROL MASTER'!$U$2:$U$495&lt;=2)*('CONTROL MASTER'!$W$2:$W$495&gt;=2))*ROW('CONTROL MASTER'!$S$2:$S$495))-(ROW('CONTROL MASTER'!#REF!)-1))),IF(SUMPRODUCT((('CONTROL MASTER'!$S$2:$S$495=9)*('CONTROL MASTER'!$Z$2:$Z$495&lt;=2)*('CONTROL MASTER'!$AB$2:$AB$495&gt;=2)*('CONTROL MASTER'!$AA$2:$AA$495&lt;=2)*('CONTROL MASTER'!$AC$2:$AC$495&gt;=2))*ROW('CONTROL MASTER'!$S$2:$S$495))&gt;0,INDEX('CONTROL MASTER'!$X$2:$X$495,(SUMPRODUCT((('CONTROL MASTER'!$S$2:$S$495=9)*('CONTROL MASTER'!$Z$2:$Z$495&lt;=2)*('CONTROL MASTER'!$AB$2:$AB$495&gt;=2)*('CONTROL MASTER'!$AA$2:$AA$495&lt;=2)*('CONTROL MASTER'!$AC$2:$AC$495&gt;=2))*ROW('CONTROL MASTER'!$S$2:$S$495))-(ROW('CONTROL MASTER'!#REF!)-1)))&amp;TRIM(MID(SUBSTITUTE(SUBSTITUTE(INDEX('CONTROL MASTER'!$N$2:$N$495,(SUMPRODUCT((('CONTROL MASTER'!$S$2:$S$495=9)*('CONTROL MASTER'!$Z$2:$Z$495&lt;=2)*('CONTROL MASTER'!$AB$2:$AB$495&gt;=2)*('CONTROL MASTER'!$AA$2:$AA$495&lt;=2)*('CONTROL MASTER'!$AC$2:$AC$495&gt;=2))*ROW('CONTROL MASTER'!$S$2:$S$495))-(ROW('CONTROL MASTER'!#REF!)-1))),":",","),",",REPT(" ",50)),(((INDEX('CONTROL MASTER'!$Y$2:$Y$495,(SUMPRODUCT((('CONTROL MASTER'!$S$2:$S$495=9)*('CONTROL MASTER'!$Z$2:$Z$495&lt;=2)*('CONTROL MASTER'!$AB$2:$AB$495&gt;=2)*('CONTROL MASTER'!$AA$2:$AA$495&lt;=2)*('CONTROL MASTER'!$AC$2:$AC$495&gt;=2))*ROW('CONTROL MASTER'!$S$2:$S$495))-(ROW('CONTROL MASTER'!#REF!)-1)))+((2-INDEX('CONTROL MASTER'!$Z$2:$Z$495,(SUMPRODUCT((('CONTROL MASTER'!$S$2:$S$495=9)*('CONTROL MASTER'!$Z$2:$Z$495&lt;=2)*('CONTROL MASTER'!$AB$2:$AB$495&gt;=2)*('CONTROL MASTER'!$AA$2:$AA$495&lt;=2)*('CONTROL MASTER'!$AC$2:$AC$495&gt;=2))*ROW('CONTROL MASTER'!$S$2:$S$495))-(ROW('CONTROL MASTER'!#REF!)-1))))*(INDEX('CONTROL MASTER'!$AC$2:$AC$495,(SUMPRODUCT((('CONTROL MASTER'!$S$2:$S$495=9)*('CONTROL MASTER'!$Z$2:$Z$495&lt;=2)*('CONTROL MASTER'!$AB$2:$AB$495&gt;=2)*('CONTROL MASTER'!$AA$2:$AA$495&lt;=2)*('CONTROL MASTER'!$AC$2:$AC$495&gt;=2))*ROW('CONTROL MASTER'!$S$2:$S$495))-(ROW('CONTROL MASTER'!#REF!)-1)))-INDEX('CONTROL MASTER'!$AA$2:$AA$495,(SUMPRODUCT((('CONTROL MASTER'!$S$2:$S$495=9)*('CONTROL MASTER'!$Z$2:$Z$495&lt;=2)*('CONTROL MASTER'!$AB$2:$AB$495&gt;=2)*('CONTROL MASTER'!$AA$2:$AA$495&lt;=2)*('CONTROL MASTER'!$AC$2:$AC$495&gt;=2))*ROW('CONTROL MASTER'!$S$2:$S$495))-(ROW('CONTROL MASTER'!#REF!)-1)))+1)+(2-INDEX('CONTROL MASTER'!$AA$2:$AA$495,(SUMPRODUCT((('CONTROL MASTER'!$S$2:$S$495=9)*('CONTROL MASTER'!$Z$2:$Z$495&lt;=2)*('CONTROL MASTER'!$AB$2:$AB$495&gt;=2)*('CONTROL MASTER'!$AA$2:$AA$495&lt;=2)*('CONTROL MASTER'!$AC$2:$AC$495&gt;=2))*ROW('CONTROL MASTER'!$S$2:$S$495))-(ROW('CONTROL MASTER'!#REF!)-1))))+1)))-1)*50+1,50))&amp;"_"&amp;INDEX('CONTROL MASTER'!$P$2:$P$495,(SUMPRODUCT((('CONTROL MASTER'!$S$2:$S$495=9)*('CONTROL MASTER'!$Z$2:$Z$495&lt;=2)*('CONTROL MASTER'!$AB$2:$AB$495&gt;=2)*('CONTROL MASTER'!$AA$2:$AA$495&lt;=2)*('CONTROL MASTER'!$AC$2:$AC$495&gt;=2))*ROW('CONTROL MASTER'!$S$2:$S$495))-(ROW('CONTROL MASTER'!#REF!)-1))),"")),"")</f>
        <v/>
      </c>
      <c r="D116" s="10" t="str">
        <f>IFERROR(IF(SUMPRODUCT((('CONTROL MASTER'!$S$2:$S$495=9)*('CONTROL MASTER'!$T$2:$T$495&lt;=2)*('CONTROL MASTER'!$V$2:$V$495&gt;=2)*('CONTROL MASTER'!$U$2:$U$495&lt;=3)*('CONTROL MASTER'!$W$2:$W$495&gt;=3))*ROW('CONTROL MASTER'!$S$2:$S$495))&gt;0,INDEX('CONTROL MASTER'!$X$2:$X$495,(SUMPRODUCT((('CONTROL MASTER'!$S$2:$S$495=9)*('CONTROL MASTER'!$T$2:$T$495&lt;=2)*('CONTROL MASTER'!$V$2:$V$495&gt;=2)*('CONTROL MASTER'!$U$2:$U$495&lt;=3)*('CONTROL MASTER'!$W$2:$W$495&gt;=3))*ROW('CONTROL MASTER'!$S$2:$S$495))-(ROW('CONTROL MASTER'!#REF!)-1)))&amp;TRIM(MID(SUBSTITUTE(SUBSTITUTE(INDEX('CONTROL MASTER'!$N$2:$N$495,(SUMPRODUCT((('CONTROL MASTER'!$S$2:$S$495=9)*('CONTROL MASTER'!$T$2:$T$495&lt;=2)*('CONTROL MASTER'!$V$2:$V$495&gt;=2)*('CONTROL MASTER'!$U$2:$U$495&lt;=3)*('CONTROL MASTER'!$W$2:$W$495&gt;=3))*ROW('CONTROL MASTER'!$S$2:$S$495))-(ROW('CONTROL MASTER'!#REF!)-1))),":",","),",",REPT(" ",50)),((((2-INDEX('CONTROL MASTER'!$T$2:$T$495,(SUMPRODUCT((('CONTROL MASTER'!$S$2:$S$495=9)*('CONTROL MASTER'!$T$2:$T$495&lt;=2)*('CONTROL MASTER'!$V$2:$V$495&gt;=2)*('CONTROL MASTER'!$U$2:$U$495&lt;=3)*('CONTROL MASTER'!$W$2:$W$495&gt;=3))*ROW('CONTROL MASTER'!$S$2:$S$495))-(ROW('CONTROL MASTER'!#REF!)-1))))*(INDEX('CONTROL MASTER'!$W$2:$W$495,(SUMPRODUCT((('CONTROL MASTER'!$S$2:$S$495=9)*('CONTROL MASTER'!$T$2:$T$495&lt;=2)*('CONTROL MASTER'!$V$2:$V$495&gt;=2)*('CONTROL MASTER'!$U$2:$U$495&lt;=3)*('CONTROL MASTER'!$W$2:$W$495&gt;=3))*ROW('CONTROL MASTER'!$S$2:$S$495))-(ROW('CONTROL MASTER'!#REF!)-1)))-INDEX('CONTROL MASTER'!$U$2:$U$495,(SUMPRODUCT((('CONTROL MASTER'!$S$2:$S$495=9)*('CONTROL MASTER'!$T$2:$T$495&lt;=2)*('CONTROL MASTER'!$V$2:$V$495&gt;=2)*('CONTROL MASTER'!$U$2:$U$495&lt;=3)*('CONTROL MASTER'!$W$2:$W$495&gt;=3))*ROW('CONTROL MASTER'!$S$2:$S$495))-(ROW('CONTROL MASTER'!#REF!)-1)))+1)+(3-INDEX('CONTROL MASTER'!$U$2:$U$495,(SUMPRODUCT((('CONTROL MASTER'!$S$2:$S$495=9)*('CONTROL MASTER'!$T$2:$T$495&lt;=2)*('CONTROL MASTER'!$V$2:$V$495&gt;=2)*('CONTROL MASTER'!$U$2:$U$495&lt;=3)*('CONTROL MASTER'!$W$2:$W$495&gt;=3))*ROW('CONTROL MASTER'!$S$2:$S$495))-(ROW('CONTROL MASTER'!#REF!)-1))))+1))-1)*50+1,50))&amp;"_"&amp;INDEX('CONTROL MASTER'!$P$2:$P$495,(SUMPRODUCT((('CONTROL MASTER'!$S$2:$S$495=9)*('CONTROL MASTER'!$T$2:$T$495&lt;=2)*('CONTROL MASTER'!$V$2:$V$495&gt;=2)*('CONTROL MASTER'!$U$2:$U$495&lt;=3)*('CONTROL MASTER'!$W$2:$W$495&gt;=3))*ROW('CONTROL MASTER'!$S$2:$S$495))-(ROW('CONTROL MASTER'!#REF!)-1))),IF(SUMPRODUCT((('CONTROL MASTER'!$S$2:$S$495=9)*('CONTROL MASTER'!$Z$2:$Z$495&lt;=2)*('CONTROL MASTER'!$AB$2:$AB$495&gt;=2)*('CONTROL MASTER'!$AA$2:$AA$495&lt;=3)*('CONTROL MASTER'!$AC$2:$AC$495&gt;=3))*ROW('CONTROL MASTER'!$S$2:$S$495))&gt;0,INDEX('CONTROL MASTER'!$X$2:$X$495,(SUMPRODUCT((('CONTROL MASTER'!$S$2:$S$495=9)*('CONTROL MASTER'!$Z$2:$Z$495&lt;=2)*('CONTROL MASTER'!$AB$2:$AB$495&gt;=2)*('CONTROL MASTER'!$AA$2:$AA$495&lt;=3)*('CONTROL MASTER'!$AC$2:$AC$495&gt;=3))*ROW('CONTROL MASTER'!$S$2:$S$495))-(ROW('CONTROL MASTER'!#REF!)-1)))&amp;TRIM(MID(SUBSTITUTE(SUBSTITUTE(INDEX('CONTROL MASTER'!$N$2:$N$495,(SUMPRODUCT((('CONTROL MASTER'!$S$2:$S$495=9)*('CONTROL MASTER'!$Z$2:$Z$495&lt;=2)*('CONTROL MASTER'!$AB$2:$AB$495&gt;=2)*('CONTROL MASTER'!$AA$2:$AA$495&lt;=3)*('CONTROL MASTER'!$AC$2:$AC$495&gt;=3))*ROW('CONTROL MASTER'!$S$2:$S$495))-(ROW('CONTROL MASTER'!#REF!)-1))),":",","),",",REPT(" ",50)),(((INDEX('CONTROL MASTER'!$Y$2:$Y$495,(SUMPRODUCT((('CONTROL MASTER'!$S$2:$S$495=9)*('CONTROL MASTER'!$Z$2:$Z$495&lt;=2)*('CONTROL MASTER'!$AB$2:$AB$495&gt;=2)*('CONTROL MASTER'!$AA$2:$AA$495&lt;=3)*('CONTROL MASTER'!$AC$2:$AC$495&gt;=3))*ROW('CONTROL MASTER'!$S$2:$S$495))-(ROW('CONTROL MASTER'!#REF!)-1)))+((2-INDEX('CONTROL MASTER'!$Z$2:$Z$495,(SUMPRODUCT((('CONTROL MASTER'!$S$2:$S$495=9)*('CONTROL MASTER'!$Z$2:$Z$495&lt;=2)*('CONTROL MASTER'!$AB$2:$AB$495&gt;=2)*('CONTROL MASTER'!$AA$2:$AA$495&lt;=3)*('CONTROL MASTER'!$AC$2:$AC$495&gt;=3))*ROW('CONTROL MASTER'!$S$2:$S$495))-(ROW('CONTROL MASTER'!#REF!)-1))))*(INDEX('CONTROL MASTER'!$AC$2:$AC$495,(SUMPRODUCT((('CONTROL MASTER'!$S$2:$S$495=9)*('CONTROL MASTER'!$Z$2:$Z$495&lt;=2)*('CONTROL MASTER'!$AB$2:$AB$495&gt;=2)*('CONTROL MASTER'!$AA$2:$AA$495&lt;=3)*('CONTROL MASTER'!$AC$2:$AC$495&gt;=3))*ROW('CONTROL MASTER'!$S$2:$S$495))-(ROW('CONTROL MASTER'!#REF!)-1)))-INDEX('CONTROL MASTER'!$AA$2:$AA$495,(SUMPRODUCT((('CONTROL MASTER'!$S$2:$S$495=9)*('CONTROL MASTER'!$Z$2:$Z$495&lt;=2)*('CONTROL MASTER'!$AB$2:$AB$495&gt;=2)*('CONTROL MASTER'!$AA$2:$AA$495&lt;=3)*('CONTROL MASTER'!$AC$2:$AC$495&gt;=3))*ROW('CONTROL MASTER'!$S$2:$S$495))-(ROW('CONTROL MASTER'!#REF!)-1)))+1)+(3-INDEX('CONTROL MASTER'!$AA$2:$AA$495,(SUMPRODUCT((('CONTROL MASTER'!$S$2:$S$495=9)*('CONTROL MASTER'!$Z$2:$Z$495&lt;=2)*('CONTROL MASTER'!$AB$2:$AB$495&gt;=2)*('CONTROL MASTER'!$AA$2:$AA$495&lt;=3)*('CONTROL MASTER'!$AC$2:$AC$495&gt;=3))*ROW('CONTROL MASTER'!$S$2:$S$495))-(ROW('CONTROL MASTER'!#REF!)-1))))+1)))-1)*50+1,50))&amp;"_"&amp;INDEX('CONTROL MASTER'!$P$2:$P$495,(SUMPRODUCT((('CONTROL MASTER'!$S$2:$S$495=9)*('CONTROL MASTER'!$Z$2:$Z$495&lt;=2)*('CONTROL MASTER'!$AB$2:$AB$495&gt;=2)*('CONTROL MASTER'!$AA$2:$AA$495&lt;=3)*('CONTROL MASTER'!$AC$2:$AC$495&gt;=3))*ROW('CONTROL MASTER'!$S$2:$S$495))-(ROW('CONTROL MASTER'!#REF!)-1))),"")),"")</f>
        <v/>
      </c>
      <c r="E116" s="10" t="str">
        <f>IFERROR(IF(SUMPRODUCT((('CONTROL MASTER'!$S$2:$S$495=9)*('CONTROL MASTER'!$T$2:$T$495&lt;=2)*('CONTROL MASTER'!$V$2:$V$495&gt;=2)*('CONTROL MASTER'!$U$2:$U$495&lt;=4)*('CONTROL MASTER'!$W$2:$W$495&gt;=4))*ROW('CONTROL MASTER'!$S$2:$S$495))&gt;0,INDEX('CONTROL MASTER'!$X$2:$X$495,(SUMPRODUCT((('CONTROL MASTER'!$S$2:$S$495=9)*('CONTROL MASTER'!$T$2:$T$495&lt;=2)*('CONTROL MASTER'!$V$2:$V$495&gt;=2)*('CONTROL MASTER'!$U$2:$U$495&lt;=4)*('CONTROL MASTER'!$W$2:$W$495&gt;=4))*ROW('CONTROL MASTER'!$S$2:$S$495))-(ROW('CONTROL MASTER'!#REF!)-1)))&amp;TRIM(MID(SUBSTITUTE(SUBSTITUTE(INDEX('CONTROL MASTER'!$N$2:$N$495,(SUMPRODUCT((('CONTROL MASTER'!$S$2:$S$495=9)*('CONTROL MASTER'!$T$2:$T$495&lt;=2)*('CONTROL MASTER'!$V$2:$V$495&gt;=2)*('CONTROL MASTER'!$U$2:$U$495&lt;=4)*('CONTROL MASTER'!$W$2:$W$495&gt;=4))*ROW('CONTROL MASTER'!$S$2:$S$495))-(ROW('CONTROL MASTER'!#REF!)-1))),":",","),",",REPT(" ",50)),((((2-INDEX('CONTROL MASTER'!$T$2:$T$495,(SUMPRODUCT((('CONTROL MASTER'!$S$2:$S$495=9)*('CONTROL MASTER'!$T$2:$T$495&lt;=2)*('CONTROL MASTER'!$V$2:$V$495&gt;=2)*('CONTROL MASTER'!$U$2:$U$495&lt;=4)*('CONTROL MASTER'!$W$2:$W$495&gt;=4))*ROW('CONTROL MASTER'!$S$2:$S$495))-(ROW('CONTROL MASTER'!#REF!)-1))))*(INDEX('CONTROL MASTER'!$W$2:$W$495,(SUMPRODUCT((('CONTROL MASTER'!$S$2:$S$495=9)*('CONTROL MASTER'!$T$2:$T$495&lt;=2)*('CONTROL MASTER'!$V$2:$V$495&gt;=2)*('CONTROL MASTER'!$U$2:$U$495&lt;=4)*('CONTROL MASTER'!$W$2:$W$495&gt;=4))*ROW('CONTROL MASTER'!$S$2:$S$495))-(ROW('CONTROL MASTER'!#REF!)-1)))-INDEX('CONTROL MASTER'!$U$2:$U$495,(SUMPRODUCT((('CONTROL MASTER'!$S$2:$S$495=9)*('CONTROL MASTER'!$T$2:$T$495&lt;=2)*('CONTROL MASTER'!$V$2:$V$495&gt;=2)*('CONTROL MASTER'!$U$2:$U$495&lt;=4)*('CONTROL MASTER'!$W$2:$W$495&gt;=4))*ROW('CONTROL MASTER'!$S$2:$S$495))-(ROW('CONTROL MASTER'!#REF!)-1)))+1)+(4-INDEX('CONTROL MASTER'!$U$2:$U$495,(SUMPRODUCT((('CONTROL MASTER'!$S$2:$S$495=9)*('CONTROL MASTER'!$T$2:$T$495&lt;=2)*('CONTROL MASTER'!$V$2:$V$495&gt;=2)*('CONTROL MASTER'!$U$2:$U$495&lt;=4)*('CONTROL MASTER'!$W$2:$W$495&gt;=4))*ROW('CONTROL MASTER'!$S$2:$S$495))-(ROW('CONTROL MASTER'!#REF!)-1))))+1))-1)*50+1,50))&amp;"_"&amp;INDEX('CONTROL MASTER'!$P$2:$P$495,(SUMPRODUCT((('CONTROL MASTER'!$S$2:$S$495=9)*('CONTROL MASTER'!$T$2:$T$495&lt;=2)*('CONTROL MASTER'!$V$2:$V$495&gt;=2)*('CONTROL MASTER'!$U$2:$U$495&lt;=4)*('CONTROL MASTER'!$W$2:$W$495&gt;=4))*ROW('CONTROL MASTER'!$S$2:$S$495))-(ROW('CONTROL MASTER'!#REF!)-1))),IF(SUMPRODUCT((('CONTROL MASTER'!$S$2:$S$495=9)*('CONTROL MASTER'!$Z$2:$Z$495&lt;=2)*('CONTROL MASTER'!$AB$2:$AB$495&gt;=2)*('CONTROL MASTER'!$AA$2:$AA$495&lt;=4)*('CONTROL MASTER'!$AC$2:$AC$495&gt;=4))*ROW('CONTROL MASTER'!$S$2:$S$495))&gt;0,INDEX('CONTROL MASTER'!$X$2:$X$495,(SUMPRODUCT((('CONTROL MASTER'!$S$2:$S$495=9)*('CONTROL MASTER'!$Z$2:$Z$495&lt;=2)*('CONTROL MASTER'!$AB$2:$AB$495&gt;=2)*('CONTROL MASTER'!$AA$2:$AA$495&lt;=4)*('CONTROL MASTER'!$AC$2:$AC$495&gt;=4))*ROW('CONTROL MASTER'!$S$2:$S$495))-(ROW('CONTROL MASTER'!#REF!)-1)))&amp;TRIM(MID(SUBSTITUTE(SUBSTITUTE(INDEX('CONTROL MASTER'!$N$2:$N$495,(SUMPRODUCT((('CONTROL MASTER'!$S$2:$S$495=9)*('CONTROL MASTER'!$Z$2:$Z$495&lt;=2)*('CONTROL MASTER'!$AB$2:$AB$495&gt;=2)*('CONTROL MASTER'!$AA$2:$AA$495&lt;=4)*('CONTROL MASTER'!$AC$2:$AC$495&gt;=4))*ROW('CONTROL MASTER'!$S$2:$S$495))-(ROW('CONTROL MASTER'!#REF!)-1))),":",","),",",REPT(" ",50)),(((INDEX('CONTROL MASTER'!$Y$2:$Y$495,(SUMPRODUCT((('CONTROL MASTER'!$S$2:$S$495=9)*('CONTROL MASTER'!$Z$2:$Z$495&lt;=2)*('CONTROL MASTER'!$AB$2:$AB$495&gt;=2)*('CONTROL MASTER'!$AA$2:$AA$495&lt;=4)*('CONTROL MASTER'!$AC$2:$AC$495&gt;=4))*ROW('CONTROL MASTER'!$S$2:$S$495))-(ROW('CONTROL MASTER'!#REF!)-1)))+((2-INDEX('CONTROL MASTER'!$Z$2:$Z$495,(SUMPRODUCT((('CONTROL MASTER'!$S$2:$S$495=9)*('CONTROL MASTER'!$Z$2:$Z$495&lt;=2)*('CONTROL MASTER'!$AB$2:$AB$495&gt;=2)*('CONTROL MASTER'!$AA$2:$AA$495&lt;=4)*('CONTROL MASTER'!$AC$2:$AC$495&gt;=4))*ROW('CONTROL MASTER'!$S$2:$S$495))-(ROW('CONTROL MASTER'!#REF!)-1))))*(INDEX('CONTROL MASTER'!$AC$2:$AC$495,(SUMPRODUCT((('CONTROL MASTER'!$S$2:$S$495=9)*('CONTROL MASTER'!$Z$2:$Z$495&lt;=2)*('CONTROL MASTER'!$AB$2:$AB$495&gt;=2)*('CONTROL MASTER'!$AA$2:$AA$495&lt;=4)*('CONTROL MASTER'!$AC$2:$AC$495&gt;=4))*ROW('CONTROL MASTER'!$S$2:$S$495))-(ROW('CONTROL MASTER'!#REF!)-1)))-INDEX('CONTROL MASTER'!$AA$2:$AA$495,(SUMPRODUCT((('CONTROL MASTER'!$S$2:$S$495=9)*('CONTROL MASTER'!$Z$2:$Z$495&lt;=2)*('CONTROL MASTER'!$AB$2:$AB$495&gt;=2)*('CONTROL MASTER'!$AA$2:$AA$495&lt;=4)*('CONTROL MASTER'!$AC$2:$AC$495&gt;=4))*ROW('CONTROL MASTER'!$S$2:$S$495))-(ROW('CONTROL MASTER'!#REF!)-1)))+1)+(4-INDEX('CONTROL MASTER'!$AA$2:$AA$495,(SUMPRODUCT((('CONTROL MASTER'!$S$2:$S$495=9)*('CONTROL MASTER'!$Z$2:$Z$495&lt;=2)*('CONTROL MASTER'!$AB$2:$AB$495&gt;=2)*('CONTROL MASTER'!$AA$2:$AA$495&lt;=4)*('CONTROL MASTER'!$AC$2:$AC$495&gt;=4))*ROW('CONTROL MASTER'!$S$2:$S$495))-(ROW('CONTROL MASTER'!#REF!)-1))))+1)))-1)*50+1,50))&amp;"_"&amp;INDEX('CONTROL MASTER'!$P$2:$P$495,(SUMPRODUCT((('CONTROL MASTER'!$S$2:$S$495=9)*('CONTROL MASTER'!$Z$2:$Z$495&lt;=2)*('CONTROL MASTER'!$AB$2:$AB$495&gt;=2)*('CONTROL MASTER'!$AA$2:$AA$495&lt;=4)*('CONTROL MASTER'!$AC$2:$AC$495&gt;=4))*ROW('CONTROL MASTER'!$S$2:$S$495))-(ROW('CONTROL MASTER'!#REF!)-1))),"")),"")</f>
        <v/>
      </c>
      <c r="F116" s="10" t="str">
        <f>IFERROR(IF(SUMPRODUCT((('CONTROL MASTER'!$S$2:$S$495=9)*('CONTROL MASTER'!$T$2:$T$495&lt;=2)*('CONTROL MASTER'!$V$2:$V$495&gt;=2)*('CONTROL MASTER'!$U$2:$U$495&lt;=5)*('CONTROL MASTER'!$W$2:$W$495&gt;=5))*ROW('CONTROL MASTER'!$S$2:$S$495))&gt;0,INDEX('CONTROL MASTER'!$X$2:$X$495,(SUMPRODUCT((('CONTROL MASTER'!$S$2:$S$495=9)*('CONTROL MASTER'!$T$2:$T$495&lt;=2)*('CONTROL MASTER'!$V$2:$V$495&gt;=2)*('CONTROL MASTER'!$U$2:$U$495&lt;=5)*('CONTROL MASTER'!$W$2:$W$495&gt;=5))*ROW('CONTROL MASTER'!$S$2:$S$495))-(ROW('CONTROL MASTER'!#REF!)-1)))&amp;TRIM(MID(SUBSTITUTE(SUBSTITUTE(INDEX('CONTROL MASTER'!$N$2:$N$495,(SUMPRODUCT((('CONTROL MASTER'!$S$2:$S$495=9)*('CONTROL MASTER'!$T$2:$T$495&lt;=2)*('CONTROL MASTER'!$V$2:$V$495&gt;=2)*('CONTROL MASTER'!$U$2:$U$495&lt;=5)*('CONTROL MASTER'!$W$2:$W$495&gt;=5))*ROW('CONTROL MASTER'!$S$2:$S$495))-(ROW('CONTROL MASTER'!#REF!)-1))),":",","),",",REPT(" ",50)),((((2-INDEX('CONTROL MASTER'!$T$2:$T$495,(SUMPRODUCT((('CONTROL MASTER'!$S$2:$S$495=9)*('CONTROL MASTER'!$T$2:$T$495&lt;=2)*('CONTROL MASTER'!$V$2:$V$495&gt;=2)*('CONTROL MASTER'!$U$2:$U$495&lt;=5)*('CONTROL MASTER'!$W$2:$W$495&gt;=5))*ROW('CONTROL MASTER'!$S$2:$S$495))-(ROW('CONTROL MASTER'!#REF!)-1))))*(INDEX('CONTROL MASTER'!$W$2:$W$495,(SUMPRODUCT((('CONTROL MASTER'!$S$2:$S$495=9)*('CONTROL MASTER'!$T$2:$T$495&lt;=2)*('CONTROL MASTER'!$V$2:$V$495&gt;=2)*('CONTROL MASTER'!$U$2:$U$495&lt;=5)*('CONTROL MASTER'!$W$2:$W$495&gt;=5))*ROW('CONTROL MASTER'!$S$2:$S$495))-(ROW('CONTROL MASTER'!#REF!)-1)))-INDEX('CONTROL MASTER'!$U$2:$U$495,(SUMPRODUCT((('CONTROL MASTER'!$S$2:$S$495=9)*('CONTROL MASTER'!$T$2:$T$495&lt;=2)*('CONTROL MASTER'!$V$2:$V$495&gt;=2)*('CONTROL MASTER'!$U$2:$U$495&lt;=5)*('CONTROL MASTER'!$W$2:$W$495&gt;=5))*ROW('CONTROL MASTER'!$S$2:$S$495))-(ROW('CONTROL MASTER'!#REF!)-1)))+1)+(5-INDEX('CONTROL MASTER'!$U$2:$U$495,(SUMPRODUCT((('CONTROL MASTER'!$S$2:$S$495=9)*('CONTROL MASTER'!$T$2:$T$495&lt;=2)*('CONTROL MASTER'!$V$2:$V$495&gt;=2)*('CONTROL MASTER'!$U$2:$U$495&lt;=5)*('CONTROL MASTER'!$W$2:$W$495&gt;=5))*ROW('CONTROL MASTER'!$S$2:$S$495))-(ROW('CONTROL MASTER'!#REF!)-1))))+1))-1)*50+1,50))&amp;"_"&amp;INDEX('CONTROL MASTER'!$P$2:$P$495,(SUMPRODUCT((('CONTROL MASTER'!$S$2:$S$495=9)*('CONTROL MASTER'!$T$2:$T$495&lt;=2)*('CONTROL MASTER'!$V$2:$V$495&gt;=2)*('CONTROL MASTER'!$U$2:$U$495&lt;=5)*('CONTROL MASTER'!$W$2:$W$495&gt;=5))*ROW('CONTROL MASTER'!$S$2:$S$495))-(ROW('CONTROL MASTER'!#REF!)-1))),IF(SUMPRODUCT((('CONTROL MASTER'!$S$2:$S$495=9)*('CONTROL MASTER'!$Z$2:$Z$495&lt;=2)*('CONTROL MASTER'!$AB$2:$AB$495&gt;=2)*('CONTROL MASTER'!$AA$2:$AA$495&lt;=5)*('CONTROL MASTER'!$AC$2:$AC$495&gt;=5))*ROW('CONTROL MASTER'!$S$2:$S$495))&gt;0,INDEX('CONTROL MASTER'!$X$2:$X$495,(SUMPRODUCT((('CONTROL MASTER'!$S$2:$S$495=9)*('CONTROL MASTER'!$Z$2:$Z$495&lt;=2)*('CONTROL MASTER'!$AB$2:$AB$495&gt;=2)*('CONTROL MASTER'!$AA$2:$AA$495&lt;=5)*('CONTROL MASTER'!$AC$2:$AC$495&gt;=5))*ROW('CONTROL MASTER'!$S$2:$S$495))-(ROW('CONTROL MASTER'!#REF!)-1)))&amp;TRIM(MID(SUBSTITUTE(SUBSTITUTE(INDEX('CONTROL MASTER'!$N$2:$N$495,(SUMPRODUCT((('CONTROL MASTER'!$S$2:$S$495=9)*('CONTROL MASTER'!$Z$2:$Z$495&lt;=2)*('CONTROL MASTER'!$AB$2:$AB$495&gt;=2)*('CONTROL MASTER'!$AA$2:$AA$495&lt;=5)*('CONTROL MASTER'!$AC$2:$AC$495&gt;=5))*ROW('CONTROL MASTER'!$S$2:$S$495))-(ROW('CONTROL MASTER'!#REF!)-1))),":",","),",",REPT(" ",50)),(((INDEX('CONTROL MASTER'!$Y$2:$Y$495,(SUMPRODUCT((('CONTROL MASTER'!$S$2:$S$495=9)*('CONTROL MASTER'!$Z$2:$Z$495&lt;=2)*('CONTROL MASTER'!$AB$2:$AB$495&gt;=2)*('CONTROL MASTER'!$AA$2:$AA$495&lt;=5)*('CONTROL MASTER'!$AC$2:$AC$495&gt;=5))*ROW('CONTROL MASTER'!$S$2:$S$495))-(ROW('CONTROL MASTER'!#REF!)-1)))+((2-INDEX('CONTROL MASTER'!$Z$2:$Z$495,(SUMPRODUCT((('CONTROL MASTER'!$S$2:$S$495=9)*('CONTROL MASTER'!$Z$2:$Z$495&lt;=2)*('CONTROL MASTER'!$AB$2:$AB$495&gt;=2)*('CONTROL MASTER'!$AA$2:$AA$495&lt;=5)*('CONTROL MASTER'!$AC$2:$AC$495&gt;=5))*ROW('CONTROL MASTER'!$S$2:$S$495))-(ROW('CONTROL MASTER'!#REF!)-1))))*(INDEX('CONTROL MASTER'!$AC$2:$AC$495,(SUMPRODUCT((('CONTROL MASTER'!$S$2:$S$495=9)*('CONTROL MASTER'!$Z$2:$Z$495&lt;=2)*('CONTROL MASTER'!$AB$2:$AB$495&gt;=2)*('CONTROL MASTER'!$AA$2:$AA$495&lt;=5)*('CONTROL MASTER'!$AC$2:$AC$495&gt;=5))*ROW('CONTROL MASTER'!$S$2:$S$495))-(ROW('CONTROL MASTER'!#REF!)-1)))-INDEX('CONTROL MASTER'!$AA$2:$AA$495,(SUMPRODUCT((('CONTROL MASTER'!$S$2:$S$495=9)*('CONTROL MASTER'!$Z$2:$Z$495&lt;=2)*('CONTROL MASTER'!$AB$2:$AB$495&gt;=2)*('CONTROL MASTER'!$AA$2:$AA$495&lt;=5)*('CONTROL MASTER'!$AC$2:$AC$495&gt;=5))*ROW('CONTROL MASTER'!$S$2:$S$495))-(ROW('CONTROL MASTER'!#REF!)-1)))+1)+(5-INDEX('CONTROL MASTER'!$AA$2:$AA$495,(SUMPRODUCT((('CONTROL MASTER'!$S$2:$S$495=9)*('CONTROL MASTER'!$Z$2:$Z$495&lt;=2)*('CONTROL MASTER'!$AB$2:$AB$495&gt;=2)*('CONTROL MASTER'!$AA$2:$AA$495&lt;=5)*('CONTROL MASTER'!$AC$2:$AC$495&gt;=5))*ROW('CONTROL MASTER'!$S$2:$S$495))-(ROW('CONTROL MASTER'!#REF!)-1))))+1)))-1)*50+1,50))&amp;"_"&amp;INDEX('CONTROL MASTER'!$P$2:$P$495,(SUMPRODUCT((('CONTROL MASTER'!$S$2:$S$495=9)*('CONTROL MASTER'!$Z$2:$Z$495&lt;=2)*('CONTROL MASTER'!$AB$2:$AB$495&gt;=2)*('CONTROL MASTER'!$AA$2:$AA$495&lt;=5)*('CONTROL MASTER'!$AC$2:$AC$495&gt;=5))*ROW('CONTROL MASTER'!$S$2:$S$495))-(ROW('CONTROL MASTER'!#REF!)-1))),"")),"")</f>
        <v/>
      </c>
      <c r="G116" s="10" t="str">
        <f>IFERROR(IF(SUMPRODUCT((('CONTROL MASTER'!$S$2:$S$495=9)*('CONTROL MASTER'!$T$2:$T$495&lt;=2)*('CONTROL MASTER'!$V$2:$V$495&gt;=2)*('CONTROL MASTER'!$U$2:$U$495&lt;=6)*('CONTROL MASTER'!$W$2:$W$495&gt;=6))*ROW('CONTROL MASTER'!$S$2:$S$495))&gt;0,INDEX('CONTROL MASTER'!$X$2:$X$495,(SUMPRODUCT((('CONTROL MASTER'!$S$2:$S$495=9)*('CONTROL MASTER'!$T$2:$T$495&lt;=2)*('CONTROL MASTER'!$V$2:$V$495&gt;=2)*('CONTROL MASTER'!$U$2:$U$495&lt;=6)*('CONTROL MASTER'!$W$2:$W$495&gt;=6))*ROW('CONTROL MASTER'!$S$2:$S$495))-(ROW('CONTROL MASTER'!#REF!)-1)))&amp;TRIM(MID(SUBSTITUTE(SUBSTITUTE(INDEX('CONTROL MASTER'!$N$2:$N$495,(SUMPRODUCT((('CONTROL MASTER'!$S$2:$S$495=9)*('CONTROL MASTER'!$T$2:$T$495&lt;=2)*('CONTROL MASTER'!$V$2:$V$495&gt;=2)*('CONTROL MASTER'!$U$2:$U$495&lt;=6)*('CONTROL MASTER'!$W$2:$W$495&gt;=6))*ROW('CONTROL MASTER'!$S$2:$S$495))-(ROW('CONTROL MASTER'!#REF!)-1))),":",","),",",REPT(" ",50)),((((2-INDEX('CONTROL MASTER'!$T$2:$T$495,(SUMPRODUCT((('CONTROL MASTER'!$S$2:$S$495=9)*('CONTROL MASTER'!$T$2:$T$495&lt;=2)*('CONTROL MASTER'!$V$2:$V$495&gt;=2)*('CONTROL MASTER'!$U$2:$U$495&lt;=6)*('CONTROL MASTER'!$W$2:$W$495&gt;=6))*ROW('CONTROL MASTER'!$S$2:$S$495))-(ROW('CONTROL MASTER'!#REF!)-1))))*(INDEX('CONTROL MASTER'!$W$2:$W$495,(SUMPRODUCT((('CONTROL MASTER'!$S$2:$S$495=9)*('CONTROL MASTER'!$T$2:$T$495&lt;=2)*('CONTROL MASTER'!$V$2:$V$495&gt;=2)*('CONTROL MASTER'!$U$2:$U$495&lt;=6)*('CONTROL MASTER'!$W$2:$W$495&gt;=6))*ROW('CONTROL MASTER'!$S$2:$S$495))-(ROW('CONTROL MASTER'!#REF!)-1)))-INDEX('CONTROL MASTER'!$U$2:$U$495,(SUMPRODUCT((('CONTROL MASTER'!$S$2:$S$495=9)*('CONTROL MASTER'!$T$2:$T$495&lt;=2)*('CONTROL MASTER'!$V$2:$V$495&gt;=2)*('CONTROL MASTER'!$U$2:$U$495&lt;=6)*('CONTROL MASTER'!$W$2:$W$495&gt;=6))*ROW('CONTROL MASTER'!$S$2:$S$495))-(ROW('CONTROL MASTER'!#REF!)-1)))+1)+(6-INDEX('CONTROL MASTER'!$U$2:$U$495,(SUMPRODUCT((('CONTROL MASTER'!$S$2:$S$495=9)*('CONTROL MASTER'!$T$2:$T$495&lt;=2)*('CONTROL MASTER'!$V$2:$V$495&gt;=2)*('CONTROL MASTER'!$U$2:$U$495&lt;=6)*('CONTROL MASTER'!$W$2:$W$495&gt;=6))*ROW('CONTROL MASTER'!$S$2:$S$495))-(ROW('CONTROL MASTER'!#REF!)-1))))+1))-1)*50+1,50))&amp;"_"&amp;INDEX('CONTROL MASTER'!$P$2:$P$495,(SUMPRODUCT((('CONTROL MASTER'!$S$2:$S$495=9)*('CONTROL MASTER'!$T$2:$T$495&lt;=2)*('CONTROL MASTER'!$V$2:$V$495&gt;=2)*('CONTROL MASTER'!$U$2:$U$495&lt;=6)*('CONTROL MASTER'!$W$2:$W$495&gt;=6))*ROW('CONTROL MASTER'!$S$2:$S$495))-(ROW('CONTROL MASTER'!#REF!)-1))),IF(SUMPRODUCT((('CONTROL MASTER'!$S$2:$S$495=9)*('CONTROL MASTER'!$Z$2:$Z$495&lt;=2)*('CONTROL MASTER'!$AB$2:$AB$495&gt;=2)*('CONTROL MASTER'!$AA$2:$AA$495&lt;=6)*('CONTROL MASTER'!$AC$2:$AC$495&gt;=6))*ROW('CONTROL MASTER'!$S$2:$S$495))&gt;0,INDEX('CONTROL MASTER'!$X$2:$X$495,(SUMPRODUCT((('CONTROL MASTER'!$S$2:$S$495=9)*('CONTROL MASTER'!$Z$2:$Z$495&lt;=2)*('CONTROL MASTER'!$AB$2:$AB$495&gt;=2)*('CONTROL MASTER'!$AA$2:$AA$495&lt;=6)*('CONTROL MASTER'!$AC$2:$AC$495&gt;=6))*ROW('CONTROL MASTER'!$S$2:$S$495))-(ROW('CONTROL MASTER'!#REF!)-1)))&amp;TRIM(MID(SUBSTITUTE(SUBSTITUTE(INDEX('CONTROL MASTER'!$N$2:$N$495,(SUMPRODUCT((('CONTROL MASTER'!$S$2:$S$495=9)*('CONTROL MASTER'!$Z$2:$Z$495&lt;=2)*('CONTROL MASTER'!$AB$2:$AB$495&gt;=2)*('CONTROL MASTER'!$AA$2:$AA$495&lt;=6)*('CONTROL MASTER'!$AC$2:$AC$495&gt;=6))*ROW('CONTROL MASTER'!$S$2:$S$495))-(ROW('CONTROL MASTER'!#REF!)-1))),":",","),",",REPT(" ",50)),(((INDEX('CONTROL MASTER'!$Y$2:$Y$495,(SUMPRODUCT((('CONTROL MASTER'!$S$2:$S$495=9)*('CONTROL MASTER'!$Z$2:$Z$495&lt;=2)*('CONTROL MASTER'!$AB$2:$AB$495&gt;=2)*('CONTROL MASTER'!$AA$2:$AA$495&lt;=6)*('CONTROL MASTER'!$AC$2:$AC$495&gt;=6))*ROW('CONTROL MASTER'!$S$2:$S$495))-(ROW('CONTROL MASTER'!#REF!)-1)))+((2-INDEX('CONTROL MASTER'!$Z$2:$Z$495,(SUMPRODUCT((('CONTROL MASTER'!$S$2:$S$495=9)*('CONTROL MASTER'!$Z$2:$Z$495&lt;=2)*('CONTROL MASTER'!$AB$2:$AB$495&gt;=2)*('CONTROL MASTER'!$AA$2:$AA$495&lt;=6)*('CONTROL MASTER'!$AC$2:$AC$495&gt;=6))*ROW('CONTROL MASTER'!$S$2:$S$495))-(ROW('CONTROL MASTER'!#REF!)-1))))*(INDEX('CONTROL MASTER'!$AC$2:$AC$495,(SUMPRODUCT((('CONTROL MASTER'!$S$2:$S$495=9)*('CONTROL MASTER'!$Z$2:$Z$495&lt;=2)*('CONTROL MASTER'!$AB$2:$AB$495&gt;=2)*('CONTROL MASTER'!$AA$2:$AA$495&lt;=6)*('CONTROL MASTER'!$AC$2:$AC$495&gt;=6))*ROW('CONTROL MASTER'!$S$2:$S$495))-(ROW('CONTROL MASTER'!#REF!)-1)))-INDEX('CONTROL MASTER'!$AA$2:$AA$495,(SUMPRODUCT((('CONTROL MASTER'!$S$2:$S$495=9)*('CONTROL MASTER'!$Z$2:$Z$495&lt;=2)*('CONTROL MASTER'!$AB$2:$AB$495&gt;=2)*('CONTROL MASTER'!$AA$2:$AA$495&lt;=6)*('CONTROL MASTER'!$AC$2:$AC$495&gt;=6))*ROW('CONTROL MASTER'!$S$2:$S$495))-(ROW('CONTROL MASTER'!#REF!)-1)))+1)+(6-INDEX('CONTROL MASTER'!$AA$2:$AA$495,(SUMPRODUCT((('CONTROL MASTER'!$S$2:$S$495=9)*('CONTROL MASTER'!$Z$2:$Z$495&lt;=2)*('CONTROL MASTER'!$AB$2:$AB$495&gt;=2)*('CONTROL MASTER'!$AA$2:$AA$495&lt;=6)*('CONTROL MASTER'!$AC$2:$AC$495&gt;=6))*ROW('CONTROL MASTER'!$S$2:$S$495))-(ROW('CONTROL MASTER'!#REF!)-1))))+1)))-1)*50+1,50))&amp;"_"&amp;INDEX('CONTROL MASTER'!$P$2:$P$495,(SUMPRODUCT((('CONTROL MASTER'!$S$2:$S$495=9)*('CONTROL MASTER'!$Z$2:$Z$495&lt;=2)*('CONTROL MASTER'!$AB$2:$AB$495&gt;=2)*('CONTROL MASTER'!$AA$2:$AA$495&lt;=6)*('CONTROL MASTER'!$AC$2:$AC$495&gt;=6))*ROW('CONTROL MASTER'!$S$2:$S$495))-(ROW('CONTROL MASTER'!#REF!)-1))),"")),"")</f>
        <v/>
      </c>
      <c r="H116" s="10" t="str">
        <f>IFERROR(IF(SUMPRODUCT((('CONTROL MASTER'!$S$2:$S$495=9)*('CONTROL MASTER'!$T$2:$T$495&lt;=2)*('CONTROL MASTER'!$V$2:$V$495&gt;=2)*('CONTROL MASTER'!$U$2:$U$495&lt;=7)*('CONTROL MASTER'!$W$2:$W$495&gt;=7))*ROW('CONTROL MASTER'!$S$2:$S$495))&gt;0,INDEX('CONTROL MASTER'!$X$2:$X$495,(SUMPRODUCT((('CONTROL MASTER'!$S$2:$S$495=9)*('CONTROL MASTER'!$T$2:$T$495&lt;=2)*('CONTROL MASTER'!$V$2:$V$495&gt;=2)*('CONTROL MASTER'!$U$2:$U$495&lt;=7)*('CONTROL MASTER'!$W$2:$W$495&gt;=7))*ROW('CONTROL MASTER'!$S$2:$S$495))-(ROW('CONTROL MASTER'!#REF!)-1)))&amp;TRIM(MID(SUBSTITUTE(SUBSTITUTE(INDEX('CONTROL MASTER'!$N$2:$N$495,(SUMPRODUCT((('CONTROL MASTER'!$S$2:$S$495=9)*('CONTROL MASTER'!$T$2:$T$495&lt;=2)*('CONTROL MASTER'!$V$2:$V$495&gt;=2)*('CONTROL MASTER'!$U$2:$U$495&lt;=7)*('CONTROL MASTER'!$W$2:$W$495&gt;=7))*ROW('CONTROL MASTER'!$S$2:$S$495))-(ROW('CONTROL MASTER'!#REF!)-1))),":",","),",",REPT(" ",50)),((((2-INDEX('CONTROL MASTER'!$T$2:$T$495,(SUMPRODUCT((('CONTROL MASTER'!$S$2:$S$495=9)*('CONTROL MASTER'!$T$2:$T$495&lt;=2)*('CONTROL MASTER'!$V$2:$V$495&gt;=2)*('CONTROL MASTER'!$U$2:$U$495&lt;=7)*('CONTROL MASTER'!$W$2:$W$495&gt;=7))*ROW('CONTROL MASTER'!$S$2:$S$495))-(ROW('CONTROL MASTER'!#REF!)-1))))*(INDEX('CONTROL MASTER'!$W$2:$W$495,(SUMPRODUCT((('CONTROL MASTER'!$S$2:$S$495=9)*('CONTROL MASTER'!$T$2:$T$495&lt;=2)*('CONTROL MASTER'!$V$2:$V$495&gt;=2)*('CONTROL MASTER'!$U$2:$U$495&lt;=7)*('CONTROL MASTER'!$W$2:$W$495&gt;=7))*ROW('CONTROL MASTER'!$S$2:$S$495))-(ROW('CONTROL MASTER'!#REF!)-1)))-INDEX('CONTROL MASTER'!$U$2:$U$495,(SUMPRODUCT((('CONTROL MASTER'!$S$2:$S$495=9)*('CONTROL MASTER'!$T$2:$T$495&lt;=2)*('CONTROL MASTER'!$V$2:$V$495&gt;=2)*('CONTROL MASTER'!$U$2:$U$495&lt;=7)*('CONTROL MASTER'!$W$2:$W$495&gt;=7))*ROW('CONTROL MASTER'!$S$2:$S$495))-(ROW('CONTROL MASTER'!#REF!)-1)))+1)+(7-INDEX('CONTROL MASTER'!$U$2:$U$495,(SUMPRODUCT((('CONTROL MASTER'!$S$2:$S$495=9)*('CONTROL MASTER'!$T$2:$T$495&lt;=2)*('CONTROL MASTER'!$V$2:$V$495&gt;=2)*('CONTROL MASTER'!$U$2:$U$495&lt;=7)*('CONTROL MASTER'!$W$2:$W$495&gt;=7))*ROW('CONTROL MASTER'!$S$2:$S$495))-(ROW('CONTROL MASTER'!#REF!)-1))))+1))-1)*50+1,50))&amp;"_"&amp;INDEX('CONTROL MASTER'!$P$2:$P$495,(SUMPRODUCT((('CONTROL MASTER'!$S$2:$S$495=9)*('CONTROL MASTER'!$T$2:$T$495&lt;=2)*('CONTROL MASTER'!$V$2:$V$495&gt;=2)*('CONTROL MASTER'!$U$2:$U$495&lt;=7)*('CONTROL MASTER'!$W$2:$W$495&gt;=7))*ROW('CONTROL MASTER'!$S$2:$S$495))-(ROW('CONTROL MASTER'!#REF!)-1))),IF(SUMPRODUCT((('CONTROL MASTER'!$S$2:$S$495=9)*('CONTROL MASTER'!$Z$2:$Z$495&lt;=2)*('CONTROL MASTER'!$AB$2:$AB$495&gt;=2)*('CONTROL MASTER'!$AA$2:$AA$495&lt;=7)*('CONTROL MASTER'!$AC$2:$AC$495&gt;=7))*ROW('CONTROL MASTER'!$S$2:$S$495))&gt;0,INDEX('CONTROL MASTER'!$X$2:$X$495,(SUMPRODUCT((('CONTROL MASTER'!$S$2:$S$495=9)*('CONTROL MASTER'!$Z$2:$Z$495&lt;=2)*('CONTROL MASTER'!$AB$2:$AB$495&gt;=2)*('CONTROL MASTER'!$AA$2:$AA$495&lt;=7)*('CONTROL MASTER'!$AC$2:$AC$495&gt;=7))*ROW('CONTROL MASTER'!$S$2:$S$495))-(ROW('CONTROL MASTER'!#REF!)-1)))&amp;TRIM(MID(SUBSTITUTE(SUBSTITUTE(INDEX('CONTROL MASTER'!$N$2:$N$495,(SUMPRODUCT((('CONTROL MASTER'!$S$2:$S$495=9)*('CONTROL MASTER'!$Z$2:$Z$495&lt;=2)*('CONTROL MASTER'!$AB$2:$AB$495&gt;=2)*('CONTROL MASTER'!$AA$2:$AA$495&lt;=7)*('CONTROL MASTER'!$AC$2:$AC$495&gt;=7))*ROW('CONTROL MASTER'!$S$2:$S$495))-(ROW('CONTROL MASTER'!#REF!)-1))),":",","),",",REPT(" ",50)),(((INDEX('CONTROL MASTER'!$Y$2:$Y$495,(SUMPRODUCT((('CONTROL MASTER'!$S$2:$S$495=9)*('CONTROL MASTER'!$Z$2:$Z$495&lt;=2)*('CONTROL MASTER'!$AB$2:$AB$495&gt;=2)*('CONTROL MASTER'!$AA$2:$AA$495&lt;=7)*('CONTROL MASTER'!$AC$2:$AC$495&gt;=7))*ROW('CONTROL MASTER'!$S$2:$S$495))-(ROW('CONTROL MASTER'!#REF!)-1)))+((2-INDEX('CONTROL MASTER'!$Z$2:$Z$495,(SUMPRODUCT((('CONTROL MASTER'!$S$2:$S$495=9)*('CONTROL MASTER'!$Z$2:$Z$495&lt;=2)*('CONTROL MASTER'!$AB$2:$AB$495&gt;=2)*('CONTROL MASTER'!$AA$2:$AA$495&lt;=7)*('CONTROL MASTER'!$AC$2:$AC$495&gt;=7))*ROW('CONTROL MASTER'!$S$2:$S$495))-(ROW('CONTROL MASTER'!#REF!)-1))))*(INDEX('CONTROL MASTER'!$AC$2:$AC$495,(SUMPRODUCT((('CONTROL MASTER'!$S$2:$S$495=9)*('CONTROL MASTER'!$Z$2:$Z$495&lt;=2)*('CONTROL MASTER'!$AB$2:$AB$495&gt;=2)*('CONTROL MASTER'!$AA$2:$AA$495&lt;=7)*('CONTROL MASTER'!$AC$2:$AC$495&gt;=7))*ROW('CONTROL MASTER'!$S$2:$S$495))-(ROW('CONTROL MASTER'!#REF!)-1)))-INDEX('CONTROL MASTER'!$AA$2:$AA$495,(SUMPRODUCT((('CONTROL MASTER'!$S$2:$S$495=9)*('CONTROL MASTER'!$Z$2:$Z$495&lt;=2)*('CONTROL MASTER'!$AB$2:$AB$495&gt;=2)*('CONTROL MASTER'!$AA$2:$AA$495&lt;=7)*('CONTROL MASTER'!$AC$2:$AC$495&gt;=7))*ROW('CONTROL MASTER'!$S$2:$S$495))-(ROW('CONTROL MASTER'!#REF!)-1)))+1)+(7-INDEX('CONTROL MASTER'!$AA$2:$AA$495,(SUMPRODUCT((('CONTROL MASTER'!$S$2:$S$495=9)*('CONTROL MASTER'!$Z$2:$Z$495&lt;=2)*('CONTROL MASTER'!$AB$2:$AB$495&gt;=2)*('CONTROL MASTER'!$AA$2:$AA$495&lt;=7)*('CONTROL MASTER'!$AC$2:$AC$495&gt;=7))*ROW('CONTROL MASTER'!$S$2:$S$495))-(ROW('CONTROL MASTER'!#REF!)-1))))+1)))-1)*50+1,50))&amp;"_"&amp;INDEX('CONTROL MASTER'!$P$2:$P$495,(SUMPRODUCT((('CONTROL MASTER'!$S$2:$S$495=9)*('CONTROL MASTER'!$Z$2:$Z$495&lt;=2)*('CONTROL MASTER'!$AB$2:$AB$495&gt;=2)*('CONTROL MASTER'!$AA$2:$AA$495&lt;=7)*('CONTROL MASTER'!$AC$2:$AC$495&gt;=7))*ROW('CONTROL MASTER'!$S$2:$S$495))-(ROW('CONTROL MASTER'!#REF!)-1))),"")),"")</f>
        <v/>
      </c>
      <c r="I116" s="10" t="str">
        <f>IFERROR(IF(SUMPRODUCT((('CONTROL MASTER'!$S$2:$S$495=9)*('CONTROL MASTER'!$T$2:$T$495&lt;=2)*('CONTROL MASTER'!$V$2:$V$495&gt;=2)*('CONTROL MASTER'!$U$2:$U$495&lt;=8)*('CONTROL MASTER'!$W$2:$W$495&gt;=8))*ROW('CONTROL MASTER'!$S$2:$S$495))&gt;0,INDEX('CONTROL MASTER'!$X$2:$X$495,(SUMPRODUCT((('CONTROL MASTER'!$S$2:$S$495=9)*('CONTROL MASTER'!$T$2:$T$495&lt;=2)*('CONTROL MASTER'!$V$2:$V$495&gt;=2)*('CONTROL MASTER'!$U$2:$U$495&lt;=8)*('CONTROL MASTER'!$W$2:$W$495&gt;=8))*ROW('CONTROL MASTER'!$S$2:$S$495))-(ROW('CONTROL MASTER'!#REF!)-1)))&amp;TRIM(MID(SUBSTITUTE(SUBSTITUTE(INDEX('CONTROL MASTER'!$N$2:$N$495,(SUMPRODUCT((('CONTROL MASTER'!$S$2:$S$495=9)*('CONTROL MASTER'!$T$2:$T$495&lt;=2)*('CONTROL MASTER'!$V$2:$V$495&gt;=2)*('CONTROL MASTER'!$U$2:$U$495&lt;=8)*('CONTROL MASTER'!$W$2:$W$495&gt;=8))*ROW('CONTROL MASTER'!$S$2:$S$495))-(ROW('CONTROL MASTER'!#REF!)-1))),":",","),",",REPT(" ",50)),((((2-INDEX('CONTROL MASTER'!$T$2:$T$495,(SUMPRODUCT((('CONTROL MASTER'!$S$2:$S$495=9)*('CONTROL MASTER'!$T$2:$T$495&lt;=2)*('CONTROL MASTER'!$V$2:$V$495&gt;=2)*('CONTROL MASTER'!$U$2:$U$495&lt;=8)*('CONTROL MASTER'!$W$2:$W$495&gt;=8))*ROW('CONTROL MASTER'!$S$2:$S$495))-(ROW('CONTROL MASTER'!#REF!)-1))))*(INDEX('CONTROL MASTER'!$W$2:$W$495,(SUMPRODUCT((('CONTROL MASTER'!$S$2:$S$495=9)*('CONTROL MASTER'!$T$2:$T$495&lt;=2)*('CONTROL MASTER'!$V$2:$V$495&gt;=2)*('CONTROL MASTER'!$U$2:$U$495&lt;=8)*('CONTROL MASTER'!$W$2:$W$495&gt;=8))*ROW('CONTROL MASTER'!$S$2:$S$495))-(ROW('CONTROL MASTER'!#REF!)-1)))-INDEX('CONTROL MASTER'!$U$2:$U$495,(SUMPRODUCT((('CONTROL MASTER'!$S$2:$S$495=9)*('CONTROL MASTER'!$T$2:$T$495&lt;=2)*('CONTROL MASTER'!$V$2:$V$495&gt;=2)*('CONTROL MASTER'!$U$2:$U$495&lt;=8)*('CONTROL MASTER'!$W$2:$W$495&gt;=8))*ROW('CONTROL MASTER'!$S$2:$S$495))-(ROW('CONTROL MASTER'!#REF!)-1)))+1)+(8-INDEX('CONTROL MASTER'!$U$2:$U$495,(SUMPRODUCT((('CONTROL MASTER'!$S$2:$S$495=9)*('CONTROL MASTER'!$T$2:$T$495&lt;=2)*('CONTROL MASTER'!$V$2:$V$495&gt;=2)*('CONTROL MASTER'!$U$2:$U$495&lt;=8)*('CONTROL MASTER'!$W$2:$W$495&gt;=8))*ROW('CONTROL MASTER'!$S$2:$S$495))-(ROW('CONTROL MASTER'!#REF!)-1))))+1))-1)*50+1,50))&amp;"_"&amp;INDEX('CONTROL MASTER'!$P$2:$P$495,(SUMPRODUCT((('CONTROL MASTER'!$S$2:$S$495=9)*('CONTROL MASTER'!$T$2:$T$495&lt;=2)*('CONTROL MASTER'!$V$2:$V$495&gt;=2)*('CONTROL MASTER'!$U$2:$U$495&lt;=8)*('CONTROL MASTER'!$W$2:$W$495&gt;=8))*ROW('CONTROL MASTER'!$S$2:$S$495))-(ROW('CONTROL MASTER'!#REF!)-1))),IF(SUMPRODUCT((('CONTROL MASTER'!$S$2:$S$495=9)*('CONTROL MASTER'!$Z$2:$Z$495&lt;=2)*('CONTROL MASTER'!$AB$2:$AB$495&gt;=2)*('CONTROL MASTER'!$AA$2:$AA$495&lt;=8)*('CONTROL MASTER'!$AC$2:$AC$495&gt;=8))*ROW('CONTROL MASTER'!$S$2:$S$495))&gt;0,INDEX('CONTROL MASTER'!$X$2:$X$495,(SUMPRODUCT((('CONTROL MASTER'!$S$2:$S$495=9)*('CONTROL MASTER'!$Z$2:$Z$495&lt;=2)*('CONTROL MASTER'!$AB$2:$AB$495&gt;=2)*('CONTROL MASTER'!$AA$2:$AA$495&lt;=8)*('CONTROL MASTER'!$AC$2:$AC$495&gt;=8))*ROW('CONTROL MASTER'!$S$2:$S$495))-(ROW('CONTROL MASTER'!#REF!)-1)))&amp;TRIM(MID(SUBSTITUTE(SUBSTITUTE(INDEX('CONTROL MASTER'!$N$2:$N$495,(SUMPRODUCT((('CONTROL MASTER'!$S$2:$S$495=9)*('CONTROL MASTER'!$Z$2:$Z$495&lt;=2)*('CONTROL MASTER'!$AB$2:$AB$495&gt;=2)*('CONTROL MASTER'!$AA$2:$AA$495&lt;=8)*('CONTROL MASTER'!$AC$2:$AC$495&gt;=8))*ROW('CONTROL MASTER'!$S$2:$S$495))-(ROW('CONTROL MASTER'!#REF!)-1))),":",","),",",REPT(" ",50)),(((INDEX('CONTROL MASTER'!$Y$2:$Y$495,(SUMPRODUCT((('CONTROL MASTER'!$S$2:$S$495=9)*('CONTROL MASTER'!$Z$2:$Z$495&lt;=2)*('CONTROL MASTER'!$AB$2:$AB$495&gt;=2)*('CONTROL MASTER'!$AA$2:$AA$495&lt;=8)*('CONTROL MASTER'!$AC$2:$AC$495&gt;=8))*ROW('CONTROL MASTER'!$S$2:$S$495))-(ROW('CONTROL MASTER'!#REF!)-1)))+((2-INDEX('CONTROL MASTER'!$Z$2:$Z$495,(SUMPRODUCT((('CONTROL MASTER'!$S$2:$S$495=9)*('CONTROL MASTER'!$Z$2:$Z$495&lt;=2)*('CONTROL MASTER'!$AB$2:$AB$495&gt;=2)*('CONTROL MASTER'!$AA$2:$AA$495&lt;=8)*('CONTROL MASTER'!$AC$2:$AC$495&gt;=8))*ROW('CONTROL MASTER'!$S$2:$S$495))-(ROW('CONTROL MASTER'!#REF!)-1))))*(INDEX('CONTROL MASTER'!$AC$2:$AC$495,(SUMPRODUCT((('CONTROL MASTER'!$S$2:$S$495=9)*('CONTROL MASTER'!$Z$2:$Z$495&lt;=2)*('CONTROL MASTER'!$AB$2:$AB$495&gt;=2)*('CONTROL MASTER'!$AA$2:$AA$495&lt;=8)*('CONTROL MASTER'!$AC$2:$AC$495&gt;=8))*ROW('CONTROL MASTER'!$S$2:$S$495))-(ROW('CONTROL MASTER'!#REF!)-1)))-INDEX('CONTROL MASTER'!$AA$2:$AA$495,(SUMPRODUCT((('CONTROL MASTER'!$S$2:$S$495=9)*('CONTROL MASTER'!$Z$2:$Z$495&lt;=2)*('CONTROL MASTER'!$AB$2:$AB$495&gt;=2)*('CONTROL MASTER'!$AA$2:$AA$495&lt;=8)*('CONTROL MASTER'!$AC$2:$AC$495&gt;=8))*ROW('CONTROL MASTER'!$S$2:$S$495))-(ROW('CONTROL MASTER'!#REF!)-1)))+1)+(8-INDEX('CONTROL MASTER'!$AA$2:$AA$495,(SUMPRODUCT((('CONTROL MASTER'!$S$2:$S$495=9)*('CONTROL MASTER'!$Z$2:$Z$495&lt;=2)*('CONTROL MASTER'!$AB$2:$AB$495&gt;=2)*('CONTROL MASTER'!$AA$2:$AA$495&lt;=8)*('CONTROL MASTER'!$AC$2:$AC$495&gt;=8))*ROW('CONTROL MASTER'!$S$2:$S$495))-(ROW('CONTROL MASTER'!#REF!)-1))))+1)))-1)*50+1,50))&amp;"_"&amp;INDEX('CONTROL MASTER'!$P$2:$P$495,(SUMPRODUCT((('CONTROL MASTER'!$S$2:$S$495=9)*('CONTROL MASTER'!$Z$2:$Z$495&lt;=2)*('CONTROL MASTER'!$AB$2:$AB$495&gt;=2)*('CONTROL MASTER'!$AA$2:$AA$495&lt;=8)*('CONTROL MASTER'!$AC$2:$AC$495&gt;=8))*ROW('CONTROL MASTER'!$S$2:$S$495))-(ROW('CONTROL MASTER'!#REF!)-1))),"")),"")</f>
        <v/>
      </c>
      <c r="J116" s="10" t="str">
        <f>IFERROR(IF(SUMPRODUCT((('CONTROL MASTER'!$S$2:$S$495=9)*('CONTROL MASTER'!$T$2:$T$495&lt;=2)*('CONTROL MASTER'!$V$2:$V$495&gt;=2)*('CONTROL MASTER'!$U$2:$U$495&lt;=9)*('CONTROL MASTER'!$W$2:$W$495&gt;=9))*ROW('CONTROL MASTER'!$S$2:$S$495))&gt;0,INDEX('CONTROL MASTER'!$X$2:$X$495,(SUMPRODUCT((('CONTROL MASTER'!$S$2:$S$495=9)*('CONTROL MASTER'!$T$2:$T$495&lt;=2)*('CONTROL MASTER'!$V$2:$V$495&gt;=2)*('CONTROL MASTER'!$U$2:$U$495&lt;=9)*('CONTROL MASTER'!$W$2:$W$495&gt;=9))*ROW('CONTROL MASTER'!$S$2:$S$495))-(ROW('CONTROL MASTER'!#REF!)-1)))&amp;TRIM(MID(SUBSTITUTE(SUBSTITUTE(INDEX('CONTROL MASTER'!$N$2:$N$495,(SUMPRODUCT((('CONTROL MASTER'!$S$2:$S$495=9)*('CONTROL MASTER'!$T$2:$T$495&lt;=2)*('CONTROL MASTER'!$V$2:$V$495&gt;=2)*('CONTROL MASTER'!$U$2:$U$495&lt;=9)*('CONTROL MASTER'!$W$2:$W$495&gt;=9))*ROW('CONTROL MASTER'!$S$2:$S$495))-(ROW('CONTROL MASTER'!#REF!)-1))),":",","),",",REPT(" ",50)),((((2-INDEX('CONTROL MASTER'!$T$2:$T$495,(SUMPRODUCT((('CONTROL MASTER'!$S$2:$S$495=9)*('CONTROL MASTER'!$T$2:$T$495&lt;=2)*('CONTROL MASTER'!$V$2:$V$495&gt;=2)*('CONTROL MASTER'!$U$2:$U$495&lt;=9)*('CONTROL MASTER'!$W$2:$W$495&gt;=9))*ROW('CONTROL MASTER'!$S$2:$S$495))-(ROW('CONTROL MASTER'!#REF!)-1))))*(INDEX('CONTROL MASTER'!$W$2:$W$495,(SUMPRODUCT((('CONTROL MASTER'!$S$2:$S$495=9)*('CONTROL MASTER'!$T$2:$T$495&lt;=2)*('CONTROL MASTER'!$V$2:$V$495&gt;=2)*('CONTROL MASTER'!$U$2:$U$495&lt;=9)*('CONTROL MASTER'!$W$2:$W$495&gt;=9))*ROW('CONTROL MASTER'!$S$2:$S$495))-(ROW('CONTROL MASTER'!#REF!)-1)))-INDEX('CONTROL MASTER'!$U$2:$U$495,(SUMPRODUCT((('CONTROL MASTER'!$S$2:$S$495=9)*('CONTROL MASTER'!$T$2:$T$495&lt;=2)*('CONTROL MASTER'!$V$2:$V$495&gt;=2)*('CONTROL MASTER'!$U$2:$U$495&lt;=9)*('CONTROL MASTER'!$W$2:$W$495&gt;=9))*ROW('CONTROL MASTER'!$S$2:$S$495))-(ROW('CONTROL MASTER'!#REF!)-1)))+1)+(9-INDEX('CONTROL MASTER'!$U$2:$U$495,(SUMPRODUCT((('CONTROL MASTER'!$S$2:$S$495=9)*('CONTROL MASTER'!$T$2:$T$495&lt;=2)*('CONTROL MASTER'!$V$2:$V$495&gt;=2)*('CONTROL MASTER'!$U$2:$U$495&lt;=9)*('CONTROL MASTER'!$W$2:$W$495&gt;=9))*ROW('CONTROL MASTER'!$S$2:$S$495))-(ROW('CONTROL MASTER'!#REF!)-1))))+1))-1)*50+1,50))&amp;"_"&amp;INDEX('CONTROL MASTER'!$P$2:$P$495,(SUMPRODUCT((('CONTROL MASTER'!$S$2:$S$495=9)*('CONTROL MASTER'!$T$2:$T$495&lt;=2)*('CONTROL MASTER'!$V$2:$V$495&gt;=2)*('CONTROL MASTER'!$U$2:$U$495&lt;=9)*('CONTROL MASTER'!$W$2:$W$495&gt;=9))*ROW('CONTROL MASTER'!$S$2:$S$495))-(ROW('CONTROL MASTER'!#REF!)-1))),IF(SUMPRODUCT((('CONTROL MASTER'!$S$2:$S$495=9)*('CONTROL MASTER'!$Z$2:$Z$495&lt;=2)*('CONTROL MASTER'!$AB$2:$AB$495&gt;=2)*('CONTROL MASTER'!$AA$2:$AA$495&lt;=9)*('CONTROL MASTER'!$AC$2:$AC$495&gt;=9))*ROW('CONTROL MASTER'!$S$2:$S$495))&gt;0,INDEX('CONTROL MASTER'!$X$2:$X$495,(SUMPRODUCT((('CONTROL MASTER'!$S$2:$S$495=9)*('CONTROL MASTER'!$Z$2:$Z$495&lt;=2)*('CONTROL MASTER'!$AB$2:$AB$495&gt;=2)*('CONTROL MASTER'!$AA$2:$AA$495&lt;=9)*('CONTROL MASTER'!$AC$2:$AC$495&gt;=9))*ROW('CONTROL MASTER'!$S$2:$S$495))-(ROW('CONTROL MASTER'!#REF!)-1)))&amp;TRIM(MID(SUBSTITUTE(SUBSTITUTE(INDEX('CONTROL MASTER'!$N$2:$N$495,(SUMPRODUCT((('CONTROL MASTER'!$S$2:$S$495=9)*('CONTROL MASTER'!$Z$2:$Z$495&lt;=2)*('CONTROL MASTER'!$AB$2:$AB$495&gt;=2)*('CONTROL MASTER'!$AA$2:$AA$495&lt;=9)*('CONTROL MASTER'!$AC$2:$AC$495&gt;=9))*ROW('CONTROL MASTER'!$S$2:$S$495))-(ROW('CONTROL MASTER'!#REF!)-1))),":",","),",",REPT(" ",50)),(((INDEX('CONTROL MASTER'!$Y$2:$Y$495,(SUMPRODUCT((('CONTROL MASTER'!$S$2:$S$495=9)*('CONTROL MASTER'!$Z$2:$Z$495&lt;=2)*('CONTROL MASTER'!$AB$2:$AB$495&gt;=2)*('CONTROL MASTER'!$AA$2:$AA$495&lt;=9)*('CONTROL MASTER'!$AC$2:$AC$495&gt;=9))*ROW('CONTROL MASTER'!$S$2:$S$495))-(ROW('CONTROL MASTER'!#REF!)-1)))+((2-INDEX('CONTROL MASTER'!$Z$2:$Z$495,(SUMPRODUCT((('CONTROL MASTER'!$S$2:$S$495=9)*('CONTROL MASTER'!$Z$2:$Z$495&lt;=2)*('CONTROL MASTER'!$AB$2:$AB$495&gt;=2)*('CONTROL MASTER'!$AA$2:$AA$495&lt;=9)*('CONTROL MASTER'!$AC$2:$AC$495&gt;=9))*ROW('CONTROL MASTER'!$S$2:$S$495))-(ROW('CONTROL MASTER'!#REF!)-1))))*(INDEX('CONTROL MASTER'!$AC$2:$AC$495,(SUMPRODUCT((('CONTROL MASTER'!$S$2:$S$495=9)*('CONTROL MASTER'!$Z$2:$Z$495&lt;=2)*('CONTROL MASTER'!$AB$2:$AB$495&gt;=2)*('CONTROL MASTER'!$AA$2:$AA$495&lt;=9)*('CONTROL MASTER'!$AC$2:$AC$495&gt;=9))*ROW('CONTROL MASTER'!$S$2:$S$495))-(ROW('CONTROL MASTER'!#REF!)-1)))-INDEX('CONTROL MASTER'!$AA$2:$AA$495,(SUMPRODUCT((('CONTROL MASTER'!$S$2:$S$495=9)*('CONTROL MASTER'!$Z$2:$Z$495&lt;=2)*('CONTROL MASTER'!$AB$2:$AB$495&gt;=2)*('CONTROL MASTER'!$AA$2:$AA$495&lt;=9)*('CONTROL MASTER'!$AC$2:$AC$495&gt;=9))*ROW('CONTROL MASTER'!$S$2:$S$495))-(ROW('CONTROL MASTER'!#REF!)-1)))+1)+(9-INDEX('CONTROL MASTER'!$AA$2:$AA$495,(SUMPRODUCT((('CONTROL MASTER'!$S$2:$S$495=9)*('CONTROL MASTER'!$Z$2:$Z$495&lt;=2)*('CONTROL MASTER'!$AB$2:$AB$495&gt;=2)*('CONTROL MASTER'!$AA$2:$AA$495&lt;=9)*('CONTROL MASTER'!$AC$2:$AC$495&gt;=9))*ROW('CONTROL MASTER'!$S$2:$S$495))-(ROW('CONTROL MASTER'!#REF!)-1))))+1)))-1)*50+1,50))&amp;"_"&amp;INDEX('CONTROL MASTER'!$P$2:$P$495,(SUMPRODUCT((('CONTROL MASTER'!$S$2:$S$495=9)*('CONTROL MASTER'!$Z$2:$Z$495&lt;=2)*('CONTROL MASTER'!$AB$2:$AB$495&gt;=2)*('CONTROL MASTER'!$AA$2:$AA$495&lt;=9)*('CONTROL MASTER'!$AC$2:$AC$495&gt;=9))*ROW('CONTROL MASTER'!$S$2:$S$495))-(ROW('CONTROL MASTER'!#REF!)-1))),"")),"")</f>
        <v/>
      </c>
      <c r="K116" s="10" t="str">
        <f>IFERROR(IF(SUMPRODUCT((('CONTROL MASTER'!$S$2:$S$495=9)*('CONTROL MASTER'!$T$2:$T$495&lt;=2)*('CONTROL MASTER'!$V$2:$V$495&gt;=2)*('CONTROL MASTER'!$U$2:$U$495&lt;=10)*('CONTROL MASTER'!$W$2:$W$495&gt;=10))*ROW('CONTROL MASTER'!$S$2:$S$495))&gt;0,INDEX('CONTROL MASTER'!$X$2:$X$495,(SUMPRODUCT((('CONTROL MASTER'!$S$2:$S$495=9)*('CONTROL MASTER'!$T$2:$T$495&lt;=2)*('CONTROL MASTER'!$V$2:$V$495&gt;=2)*('CONTROL MASTER'!$U$2:$U$495&lt;=10)*('CONTROL MASTER'!$W$2:$W$495&gt;=10))*ROW('CONTROL MASTER'!$S$2:$S$495))-(ROW('CONTROL MASTER'!#REF!)-1)))&amp;TRIM(MID(SUBSTITUTE(SUBSTITUTE(INDEX('CONTROL MASTER'!$N$2:$N$495,(SUMPRODUCT((('CONTROL MASTER'!$S$2:$S$495=9)*('CONTROL MASTER'!$T$2:$T$495&lt;=2)*('CONTROL MASTER'!$V$2:$V$495&gt;=2)*('CONTROL MASTER'!$U$2:$U$495&lt;=10)*('CONTROL MASTER'!$W$2:$W$495&gt;=10))*ROW('CONTROL MASTER'!$S$2:$S$495))-(ROW('CONTROL MASTER'!#REF!)-1))),":",","),",",REPT(" ",50)),((((2-INDEX('CONTROL MASTER'!$T$2:$T$495,(SUMPRODUCT((('CONTROL MASTER'!$S$2:$S$495=9)*('CONTROL MASTER'!$T$2:$T$495&lt;=2)*('CONTROL MASTER'!$V$2:$V$495&gt;=2)*('CONTROL MASTER'!$U$2:$U$495&lt;=10)*('CONTROL MASTER'!$W$2:$W$495&gt;=10))*ROW('CONTROL MASTER'!$S$2:$S$495))-(ROW('CONTROL MASTER'!#REF!)-1))))*(INDEX('CONTROL MASTER'!$W$2:$W$495,(SUMPRODUCT((('CONTROL MASTER'!$S$2:$S$495=9)*('CONTROL MASTER'!$T$2:$T$495&lt;=2)*('CONTROL MASTER'!$V$2:$V$495&gt;=2)*('CONTROL MASTER'!$U$2:$U$495&lt;=10)*('CONTROL MASTER'!$W$2:$W$495&gt;=10))*ROW('CONTROL MASTER'!$S$2:$S$495))-(ROW('CONTROL MASTER'!#REF!)-1)))-INDEX('CONTROL MASTER'!$U$2:$U$495,(SUMPRODUCT((('CONTROL MASTER'!$S$2:$S$495=9)*('CONTROL MASTER'!$T$2:$T$495&lt;=2)*('CONTROL MASTER'!$V$2:$V$495&gt;=2)*('CONTROL MASTER'!$U$2:$U$495&lt;=10)*('CONTROL MASTER'!$W$2:$W$495&gt;=10))*ROW('CONTROL MASTER'!$S$2:$S$495))-(ROW('CONTROL MASTER'!#REF!)-1)))+1)+(10-INDEX('CONTROL MASTER'!$U$2:$U$495,(SUMPRODUCT((('CONTROL MASTER'!$S$2:$S$495=9)*('CONTROL MASTER'!$T$2:$T$495&lt;=2)*('CONTROL MASTER'!$V$2:$V$495&gt;=2)*('CONTROL MASTER'!$U$2:$U$495&lt;=10)*('CONTROL MASTER'!$W$2:$W$495&gt;=10))*ROW('CONTROL MASTER'!$S$2:$S$495))-(ROW('CONTROL MASTER'!#REF!)-1))))+1))-1)*50+1,50))&amp;"_"&amp;INDEX('CONTROL MASTER'!$P$2:$P$495,(SUMPRODUCT((('CONTROL MASTER'!$S$2:$S$495=9)*('CONTROL MASTER'!$T$2:$T$495&lt;=2)*('CONTROL MASTER'!$V$2:$V$495&gt;=2)*('CONTROL MASTER'!$U$2:$U$495&lt;=10)*('CONTROL MASTER'!$W$2:$W$495&gt;=10))*ROW('CONTROL MASTER'!$S$2:$S$495))-(ROW('CONTROL MASTER'!#REF!)-1))),IF(SUMPRODUCT((('CONTROL MASTER'!$S$2:$S$495=9)*('CONTROL MASTER'!$Z$2:$Z$495&lt;=2)*('CONTROL MASTER'!$AB$2:$AB$495&gt;=2)*('CONTROL MASTER'!$AA$2:$AA$495&lt;=10)*('CONTROL MASTER'!$AC$2:$AC$495&gt;=10))*ROW('CONTROL MASTER'!$S$2:$S$495))&gt;0,INDEX('CONTROL MASTER'!$X$2:$X$495,(SUMPRODUCT((('CONTROL MASTER'!$S$2:$S$495=9)*('CONTROL MASTER'!$Z$2:$Z$495&lt;=2)*('CONTROL MASTER'!$AB$2:$AB$495&gt;=2)*('CONTROL MASTER'!$AA$2:$AA$495&lt;=10)*('CONTROL MASTER'!$AC$2:$AC$495&gt;=10))*ROW('CONTROL MASTER'!$S$2:$S$495))-(ROW('CONTROL MASTER'!#REF!)-1)))&amp;TRIM(MID(SUBSTITUTE(SUBSTITUTE(INDEX('CONTROL MASTER'!$N$2:$N$495,(SUMPRODUCT((('CONTROL MASTER'!$S$2:$S$495=9)*('CONTROL MASTER'!$Z$2:$Z$495&lt;=2)*('CONTROL MASTER'!$AB$2:$AB$495&gt;=2)*('CONTROL MASTER'!$AA$2:$AA$495&lt;=10)*('CONTROL MASTER'!$AC$2:$AC$495&gt;=10))*ROW('CONTROL MASTER'!$S$2:$S$495))-(ROW('CONTROL MASTER'!#REF!)-1))),":",","),",",REPT(" ",50)),(((INDEX('CONTROL MASTER'!$Y$2:$Y$495,(SUMPRODUCT((('CONTROL MASTER'!$S$2:$S$495=9)*('CONTROL MASTER'!$Z$2:$Z$495&lt;=2)*('CONTROL MASTER'!$AB$2:$AB$495&gt;=2)*('CONTROL MASTER'!$AA$2:$AA$495&lt;=10)*('CONTROL MASTER'!$AC$2:$AC$495&gt;=10))*ROW('CONTROL MASTER'!$S$2:$S$495))-(ROW('CONTROL MASTER'!#REF!)-1)))+((2-INDEX('CONTROL MASTER'!$Z$2:$Z$495,(SUMPRODUCT((('CONTROL MASTER'!$S$2:$S$495=9)*('CONTROL MASTER'!$Z$2:$Z$495&lt;=2)*('CONTROL MASTER'!$AB$2:$AB$495&gt;=2)*('CONTROL MASTER'!$AA$2:$AA$495&lt;=10)*('CONTROL MASTER'!$AC$2:$AC$495&gt;=10))*ROW('CONTROL MASTER'!$S$2:$S$495))-(ROW('CONTROL MASTER'!#REF!)-1))))*(INDEX('CONTROL MASTER'!$AC$2:$AC$495,(SUMPRODUCT((('CONTROL MASTER'!$S$2:$S$495=9)*('CONTROL MASTER'!$Z$2:$Z$495&lt;=2)*('CONTROL MASTER'!$AB$2:$AB$495&gt;=2)*('CONTROL MASTER'!$AA$2:$AA$495&lt;=10)*('CONTROL MASTER'!$AC$2:$AC$495&gt;=10))*ROW('CONTROL MASTER'!$S$2:$S$495))-(ROW('CONTROL MASTER'!#REF!)-1)))-INDEX('CONTROL MASTER'!$AA$2:$AA$495,(SUMPRODUCT((('CONTROL MASTER'!$S$2:$S$495=9)*('CONTROL MASTER'!$Z$2:$Z$495&lt;=2)*('CONTROL MASTER'!$AB$2:$AB$495&gt;=2)*('CONTROL MASTER'!$AA$2:$AA$495&lt;=10)*('CONTROL MASTER'!$AC$2:$AC$495&gt;=10))*ROW('CONTROL MASTER'!$S$2:$S$495))-(ROW('CONTROL MASTER'!#REF!)-1)))+1)+(10-INDEX('CONTROL MASTER'!$AA$2:$AA$495,(SUMPRODUCT((('CONTROL MASTER'!$S$2:$S$495=9)*('CONTROL MASTER'!$Z$2:$Z$495&lt;=2)*('CONTROL MASTER'!$AB$2:$AB$495&gt;=2)*('CONTROL MASTER'!$AA$2:$AA$495&lt;=10)*('CONTROL MASTER'!$AC$2:$AC$495&gt;=10))*ROW('CONTROL MASTER'!$S$2:$S$495))-(ROW('CONTROL MASTER'!#REF!)-1))))+1)))-1)*50+1,50))&amp;"_"&amp;INDEX('CONTROL MASTER'!$P$2:$P$495,(SUMPRODUCT((('CONTROL MASTER'!$S$2:$S$495=9)*('CONTROL MASTER'!$Z$2:$Z$495&lt;=2)*('CONTROL MASTER'!$AB$2:$AB$495&gt;=2)*('CONTROL MASTER'!$AA$2:$AA$495&lt;=10)*('CONTROL MASTER'!$AC$2:$AC$495&gt;=10))*ROW('CONTROL MASTER'!$S$2:$S$495))-(ROW('CONTROL MASTER'!#REF!)-1))),"")),"")</f>
        <v/>
      </c>
    </row>
    <row r="117" spans="1:11" ht="15" customHeight="1" x14ac:dyDescent="0.35">
      <c r="A117" s="8" t="s">
        <v>30</v>
      </c>
      <c r="B117" s="10" t="str">
        <f>IFERROR(IF(SUMPRODUCT((('CONTROL MASTER'!$S$2:$S$495=9)*('CONTROL MASTER'!$T$2:$T$495&lt;=3)*('CONTROL MASTER'!$V$2:$V$495&gt;=3)*('CONTROL MASTER'!$U$2:$U$495&lt;=1)*('CONTROL MASTER'!$W$2:$W$495&gt;=1))*ROW('CONTROL MASTER'!$S$2:$S$495))&gt;0,INDEX('CONTROL MASTER'!$X$2:$X$495,(SUMPRODUCT((('CONTROL MASTER'!$S$2:$S$495=9)*('CONTROL MASTER'!$T$2:$T$495&lt;=3)*('CONTROL MASTER'!$V$2:$V$495&gt;=3)*('CONTROL MASTER'!$U$2:$U$495&lt;=1)*('CONTROL MASTER'!$W$2:$W$495&gt;=1))*ROW('CONTROL MASTER'!$S$2:$S$495))-(ROW('CONTROL MASTER'!#REF!)-1)))&amp;TRIM(MID(SUBSTITUTE(SUBSTITUTE(INDEX('CONTROL MASTER'!$N$2:$N$495,(SUMPRODUCT((('CONTROL MASTER'!$S$2:$S$495=9)*('CONTROL MASTER'!$T$2:$T$495&lt;=3)*('CONTROL MASTER'!$V$2:$V$495&gt;=3)*('CONTROL MASTER'!$U$2:$U$495&lt;=1)*('CONTROL MASTER'!$W$2:$W$495&gt;=1))*ROW('CONTROL MASTER'!$S$2:$S$495))-(ROW('CONTROL MASTER'!#REF!)-1))),":",","),",",REPT(" ",50)),((((3-INDEX('CONTROL MASTER'!$T$2:$T$495,(SUMPRODUCT((('CONTROL MASTER'!$S$2:$S$495=9)*('CONTROL MASTER'!$T$2:$T$495&lt;=3)*('CONTROL MASTER'!$V$2:$V$495&gt;=3)*('CONTROL MASTER'!$U$2:$U$495&lt;=1)*('CONTROL MASTER'!$W$2:$W$495&gt;=1))*ROW('CONTROL MASTER'!$S$2:$S$495))-(ROW('CONTROL MASTER'!#REF!)-1))))*(INDEX('CONTROL MASTER'!$W$2:$W$495,(SUMPRODUCT((('CONTROL MASTER'!$S$2:$S$495=9)*('CONTROL MASTER'!$T$2:$T$495&lt;=3)*('CONTROL MASTER'!$V$2:$V$495&gt;=3)*('CONTROL MASTER'!$U$2:$U$495&lt;=1)*('CONTROL MASTER'!$W$2:$W$495&gt;=1))*ROW('CONTROL MASTER'!$S$2:$S$495))-(ROW('CONTROL MASTER'!#REF!)-1)))-INDEX('CONTROL MASTER'!$U$2:$U$495,(SUMPRODUCT((('CONTROL MASTER'!$S$2:$S$495=9)*('CONTROL MASTER'!$T$2:$T$495&lt;=3)*('CONTROL MASTER'!$V$2:$V$495&gt;=3)*('CONTROL MASTER'!$U$2:$U$495&lt;=1)*('CONTROL MASTER'!$W$2:$W$495&gt;=1))*ROW('CONTROL MASTER'!$S$2:$S$495))-(ROW('CONTROL MASTER'!#REF!)-1)))+1)+(1-INDEX('CONTROL MASTER'!$U$2:$U$495,(SUMPRODUCT((('CONTROL MASTER'!$S$2:$S$495=9)*('CONTROL MASTER'!$T$2:$T$495&lt;=3)*('CONTROL MASTER'!$V$2:$V$495&gt;=3)*('CONTROL MASTER'!$U$2:$U$495&lt;=1)*('CONTROL MASTER'!$W$2:$W$495&gt;=1))*ROW('CONTROL MASTER'!$S$2:$S$495))-(ROW('CONTROL MASTER'!#REF!)-1))))+1))-1)*50+1,50))&amp;"_"&amp;INDEX('CONTROL MASTER'!$P$2:$P$495,(SUMPRODUCT((('CONTROL MASTER'!$S$2:$S$495=9)*('CONTROL MASTER'!$T$2:$T$495&lt;=3)*('CONTROL MASTER'!$V$2:$V$495&gt;=3)*('CONTROL MASTER'!$U$2:$U$495&lt;=1)*('CONTROL MASTER'!$W$2:$W$495&gt;=1))*ROW('CONTROL MASTER'!$S$2:$S$495))-(ROW('CONTROL MASTER'!#REF!)-1))),IF(SUMPRODUCT((('CONTROL MASTER'!$S$2:$S$495=9)*('CONTROL MASTER'!$Z$2:$Z$495&lt;=3)*('CONTROL MASTER'!$AB$2:$AB$495&gt;=3)*('CONTROL MASTER'!$AA$2:$AA$495&lt;=1)*('CONTROL MASTER'!$AC$2:$AC$495&gt;=1))*ROW('CONTROL MASTER'!$S$2:$S$495))&gt;0,INDEX('CONTROL MASTER'!$X$2:$X$495,(SUMPRODUCT((('CONTROL MASTER'!$S$2:$S$495=9)*('CONTROL MASTER'!$Z$2:$Z$495&lt;=3)*('CONTROL MASTER'!$AB$2:$AB$495&gt;=3)*('CONTROL MASTER'!$AA$2:$AA$495&lt;=1)*('CONTROL MASTER'!$AC$2:$AC$495&gt;=1))*ROW('CONTROL MASTER'!$S$2:$S$495))-(ROW('CONTROL MASTER'!#REF!)-1)))&amp;TRIM(MID(SUBSTITUTE(SUBSTITUTE(INDEX('CONTROL MASTER'!$N$2:$N$495,(SUMPRODUCT((('CONTROL MASTER'!$S$2:$S$495=9)*('CONTROL MASTER'!$Z$2:$Z$495&lt;=3)*('CONTROL MASTER'!$AB$2:$AB$495&gt;=3)*('CONTROL MASTER'!$AA$2:$AA$495&lt;=1)*('CONTROL MASTER'!$AC$2:$AC$495&gt;=1))*ROW('CONTROL MASTER'!$S$2:$S$495))-(ROW('CONTROL MASTER'!#REF!)-1))),":",","),",",REPT(" ",50)),(((INDEX('CONTROL MASTER'!$Y$2:$Y$495,(SUMPRODUCT((('CONTROL MASTER'!$S$2:$S$495=9)*('CONTROL MASTER'!$Z$2:$Z$495&lt;=3)*('CONTROL MASTER'!$AB$2:$AB$495&gt;=3)*('CONTROL MASTER'!$AA$2:$AA$495&lt;=1)*('CONTROL MASTER'!$AC$2:$AC$495&gt;=1))*ROW('CONTROL MASTER'!$S$2:$S$495))-(ROW('CONTROL MASTER'!#REF!)-1)))+((3-INDEX('CONTROL MASTER'!$Z$2:$Z$495,(SUMPRODUCT((('CONTROL MASTER'!$S$2:$S$495=9)*('CONTROL MASTER'!$Z$2:$Z$495&lt;=3)*('CONTROL MASTER'!$AB$2:$AB$495&gt;=3)*('CONTROL MASTER'!$AA$2:$AA$495&lt;=1)*('CONTROL MASTER'!$AC$2:$AC$495&gt;=1))*ROW('CONTROL MASTER'!$S$2:$S$495))-(ROW('CONTROL MASTER'!#REF!)-1))))*(INDEX('CONTROL MASTER'!$AC$2:$AC$495,(SUMPRODUCT((('CONTROL MASTER'!$S$2:$S$495=9)*('CONTROL MASTER'!$Z$2:$Z$495&lt;=3)*('CONTROL MASTER'!$AB$2:$AB$495&gt;=3)*('CONTROL MASTER'!$AA$2:$AA$495&lt;=1)*('CONTROL MASTER'!$AC$2:$AC$495&gt;=1))*ROW('CONTROL MASTER'!$S$2:$S$495))-(ROW('CONTROL MASTER'!#REF!)-1)))-INDEX('CONTROL MASTER'!$AA$2:$AA$495,(SUMPRODUCT((('CONTROL MASTER'!$S$2:$S$495=9)*('CONTROL MASTER'!$Z$2:$Z$495&lt;=3)*('CONTROL MASTER'!$AB$2:$AB$495&gt;=3)*('CONTROL MASTER'!$AA$2:$AA$495&lt;=1)*('CONTROL MASTER'!$AC$2:$AC$495&gt;=1))*ROW('CONTROL MASTER'!$S$2:$S$495))-(ROW('CONTROL MASTER'!#REF!)-1)))+1)+(1-INDEX('CONTROL MASTER'!$AA$2:$AA$495,(SUMPRODUCT((('CONTROL MASTER'!$S$2:$S$495=9)*('CONTROL MASTER'!$Z$2:$Z$495&lt;=3)*('CONTROL MASTER'!$AB$2:$AB$495&gt;=3)*('CONTROL MASTER'!$AA$2:$AA$495&lt;=1)*('CONTROL MASTER'!$AC$2:$AC$495&gt;=1))*ROW('CONTROL MASTER'!$S$2:$S$495))-(ROW('CONTROL MASTER'!#REF!)-1))))+1)))-1)*50+1,50))&amp;"_"&amp;INDEX('CONTROL MASTER'!$P$2:$P$495,(SUMPRODUCT((('CONTROL MASTER'!$S$2:$S$495=9)*('CONTROL MASTER'!$Z$2:$Z$495&lt;=3)*('CONTROL MASTER'!$AB$2:$AB$495&gt;=3)*('CONTROL MASTER'!$AA$2:$AA$495&lt;=1)*('CONTROL MASTER'!$AC$2:$AC$495&gt;=1))*ROW('CONTROL MASTER'!$S$2:$S$495))-(ROW('CONTROL MASTER'!#REF!)-1))),"")),"")</f>
        <v/>
      </c>
      <c r="C117" s="10" t="str">
        <f>IFERROR(IF(SUMPRODUCT((('CONTROL MASTER'!$S$2:$S$495=9)*('CONTROL MASTER'!$T$2:$T$495&lt;=3)*('CONTROL MASTER'!$V$2:$V$495&gt;=3)*('CONTROL MASTER'!$U$2:$U$495&lt;=2)*('CONTROL MASTER'!$W$2:$W$495&gt;=2))*ROW('CONTROL MASTER'!$S$2:$S$495))&gt;0,INDEX('CONTROL MASTER'!$X$2:$X$495,(SUMPRODUCT((('CONTROL MASTER'!$S$2:$S$495=9)*('CONTROL MASTER'!$T$2:$T$495&lt;=3)*('CONTROL MASTER'!$V$2:$V$495&gt;=3)*('CONTROL MASTER'!$U$2:$U$495&lt;=2)*('CONTROL MASTER'!$W$2:$W$495&gt;=2))*ROW('CONTROL MASTER'!$S$2:$S$495))-(ROW('CONTROL MASTER'!#REF!)-1)))&amp;TRIM(MID(SUBSTITUTE(SUBSTITUTE(INDEX('CONTROL MASTER'!$N$2:$N$495,(SUMPRODUCT((('CONTROL MASTER'!$S$2:$S$495=9)*('CONTROL MASTER'!$T$2:$T$495&lt;=3)*('CONTROL MASTER'!$V$2:$V$495&gt;=3)*('CONTROL MASTER'!$U$2:$U$495&lt;=2)*('CONTROL MASTER'!$W$2:$W$495&gt;=2))*ROW('CONTROL MASTER'!$S$2:$S$495))-(ROW('CONTROL MASTER'!#REF!)-1))),":",","),",",REPT(" ",50)),((((3-INDEX('CONTROL MASTER'!$T$2:$T$495,(SUMPRODUCT((('CONTROL MASTER'!$S$2:$S$495=9)*('CONTROL MASTER'!$T$2:$T$495&lt;=3)*('CONTROL MASTER'!$V$2:$V$495&gt;=3)*('CONTROL MASTER'!$U$2:$U$495&lt;=2)*('CONTROL MASTER'!$W$2:$W$495&gt;=2))*ROW('CONTROL MASTER'!$S$2:$S$495))-(ROW('CONTROL MASTER'!#REF!)-1))))*(INDEX('CONTROL MASTER'!$W$2:$W$495,(SUMPRODUCT((('CONTROL MASTER'!$S$2:$S$495=9)*('CONTROL MASTER'!$T$2:$T$495&lt;=3)*('CONTROL MASTER'!$V$2:$V$495&gt;=3)*('CONTROL MASTER'!$U$2:$U$495&lt;=2)*('CONTROL MASTER'!$W$2:$W$495&gt;=2))*ROW('CONTROL MASTER'!$S$2:$S$495))-(ROW('CONTROL MASTER'!#REF!)-1)))-INDEX('CONTROL MASTER'!$U$2:$U$495,(SUMPRODUCT((('CONTROL MASTER'!$S$2:$S$495=9)*('CONTROL MASTER'!$T$2:$T$495&lt;=3)*('CONTROL MASTER'!$V$2:$V$495&gt;=3)*('CONTROL MASTER'!$U$2:$U$495&lt;=2)*('CONTROL MASTER'!$W$2:$W$495&gt;=2))*ROW('CONTROL MASTER'!$S$2:$S$495))-(ROW('CONTROL MASTER'!#REF!)-1)))+1)+(2-INDEX('CONTROL MASTER'!$U$2:$U$495,(SUMPRODUCT((('CONTROL MASTER'!$S$2:$S$495=9)*('CONTROL MASTER'!$T$2:$T$495&lt;=3)*('CONTROL MASTER'!$V$2:$V$495&gt;=3)*('CONTROL MASTER'!$U$2:$U$495&lt;=2)*('CONTROL MASTER'!$W$2:$W$495&gt;=2))*ROW('CONTROL MASTER'!$S$2:$S$495))-(ROW('CONTROL MASTER'!#REF!)-1))))+1))-1)*50+1,50))&amp;"_"&amp;INDEX('CONTROL MASTER'!$P$2:$P$495,(SUMPRODUCT((('CONTROL MASTER'!$S$2:$S$495=9)*('CONTROL MASTER'!$T$2:$T$495&lt;=3)*('CONTROL MASTER'!$V$2:$V$495&gt;=3)*('CONTROL MASTER'!$U$2:$U$495&lt;=2)*('CONTROL MASTER'!$W$2:$W$495&gt;=2))*ROW('CONTROL MASTER'!$S$2:$S$495))-(ROW('CONTROL MASTER'!#REF!)-1))),IF(SUMPRODUCT((('CONTROL MASTER'!$S$2:$S$495=9)*('CONTROL MASTER'!$Z$2:$Z$495&lt;=3)*('CONTROL MASTER'!$AB$2:$AB$495&gt;=3)*('CONTROL MASTER'!$AA$2:$AA$495&lt;=2)*('CONTROL MASTER'!$AC$2:$AC$495&gt;=2))*ROW('CONTROL MASTER'!$S$2:$S$495))&gt;0,INDEX('CONTROL MASTER'!$X$2:$X$495,(SUMPRODUCT((('CONTROL MASTER'!$S$2:$S$495=9)*('CONTROL MASTER'!$Z$2:$Z$495&lt;=3)*('CONTROL MASTER'!$AB$2:$AB$495&gt;=3)*('CONTROL MASTER'!$AA$2:$AA$495&lt;=2)*('CONTROL MASTER'!$AC$2:$AC$495&gt;=2))*ROW('CONTROL MASTER'!$S$2:$S$495))-(ROW('CONTROL MASTER'!#REF!)-1)))&amp;TRIM(MID(SUBSTITUTE(SUBSTITUTE(INDEX('CONTROL MASTER'!$N$2:$N$495,(SUMPRODUCT((('CONTROL MASTER'!$S$2:$S$495=9)*('CONTROL MASTER'!$Z$2:$Z$495&lt;=3)*('CONTROL MASTER'!$AB$2:$AB$495&gt;=3)*('CONTROL MASTER'!$AA$2:$AA$495&lt;=2)*('CONTROL MASTER'!$AC$2:$AC$495&gt;=2))*ROW('CONTROL MASTER'!$S$2:$S$495))-(ROW('CONTROL MASTER'!#REF!)-1))),":",","),",",REPT(" ",50)),(((INDEX('CONTROL MASTER'!$Y$2:$Y$495,(SUMPRODUCT((('CONTROL MASTER'!$S$2:$S$495=9)*('CONTROL MASTER'!$Z$2:$Z$495&lt;=3)*('CONTROL MASTER'!$AB$2:$AB$495&gt;=3)*('CONTROL MASTER'!$AA$2:$AA$495&lt;=2)*('CONTROL MASTER'!$AC$2:$AC$495&gt;=2))*ROW('CONTROL MASTER'!$S$2:$S$495))-(ROW('CONTROL MASTER'!#REF!)-1)))+((3-INDEX('CONTROL MASTER'!$Z$2:$Z$495,(SUMPRODUCT((('CONTROL MASTER'!$S$2:$S$495=9)*('CONTROL MASTER'!$Z$2:$Z$495&lt;=3)*('CONTROL MASTER'!$AB$2:$AB$495&gt;=3)*('CONTROL MASTER'!$AA$2:$AA$495&lt;=2)*('CONTROL MASTER'!$AC$2:$AC$495&gt;=2))*ROW('CONTROL MASTER'!$S$2:$S$495))-(ROW('CONTROL MASTER'!#REF!)-1))))*(INDEX('CONTROL MASTER'!$AC$2:$AC$495,(SUMPRODUCT((('CONTROL MASTER'!$S$2:$S$495=9)*('CONTROL MASTER'!$Z$2:$Z$495&lt;=3)*('CONTROL MASTER'!$AB$2:$AB$495&gt;=3)*('CONTROL MASTER'!$AA$2:$AA$495&lt;=2)*('CONTROL MASTER'!$AC$2:$AC$495&gt;=2))*ROW('CONTROL MASTER'!$S$2:$S$495))-(ROW('CONTROL MASTER'!#REF!)-1)))-INDEX('CONTROL MASTER'!$AA$2:$AA$495,(SUMPRODUCT((('CONTROL MASTER'!$S$2:$S$495=9)*('CONTROL MASTER'!$Z$2:$Z$495&lt;=3)*('CONTROL MASTER'!$AB$2:$AB$495&gt;=3)*('CONTROL MASTER'!$AA$2:$AA$495&lt;=2)*('CONTROL MASTER'!$AC$2:$AC$495&gt;=2))*ROW('CONTROL MASTER'!$S$2:$S$495))-(ROW('CONTROL MASTER'!#REF!)-1)))+1)+(2-INDEX('CONTROL MASTER'!$AA$2:$AA$495,(SUMPRODUCT((('CONTROL MASTER'!$S$2:$S$495=9)*('CONTROL MASTER'!$Z$2:$Z$495&lt;=3)*('CONTROL MASTER'!$AB$2:$AB$495&gt;=3)*('CONTROL MASTER'!$AA$2:$AA$495&lt;=2)*('CONTROL MASTER'!$AC$2:$AC$495&gt;=2))*ROW('CONTROL MASTER'!$S$2:$S$495))-(ROW('CONTROL MASTER'!#REF!)-1))))+1)))-1)*50+1,50))&amp;"_"&amp;INDEX('CONTROL MASTER'!$P$2:$P$495,(SUMPRODUCT((('CONTROL MASTER'!$S$2:$S$495=9)*('CONTROL MASTER'!$Z$2:$Z$495&lt;=3)*('CONTROL MASTER'!$AB$2:$AB$495&gt;=3)*('CONTROL MASTER'!$AA$2:$AA$495&lt;=2)*('CONTROL MASTER'!$AC$2:$AC$495&gt;=2))*ROW('CONTROL MASTER'!$S$2:$S$495))-(ROW('CONTROL MASTER'!#REF!)-1))),"")),"")</f>
        <v/>
      </c>
      <c r="D117" s="10" t="str">
        <f>IFERROR(IF(SUMPRODUCT((('CONTROL MASTER'!$S$2:$S$495=9)*('CONTROL MASTER'!$T$2:$T$495&lt;=3)*('CONTROL MASTER'!$V$2:$V$495&gt;=3)*('CONTROL MASTER'!$U$2:$U$495&lt;=3)*('CONTROL MASTER'!$W$2:$W$495&gt;=3))*ROW('CONTROL MASTER'!$S$2:$S$495))&gt;0,INDEX('CONTROL MASTER'!$X$2:$X$495,(SUMPRODUCT((('CONTROL MASTER'!$S$2:$S$495=9)*('CONTROL MASTER'!$T$2:$T$495&lt;=3)*('CONTROL MASTER'!$V$2:$V$495&gt;=3)*('CONTROL MASTER'!$U$2:$U$495&lt;=3)*('CONTROL MASTER'!$W$2:$W$495&gt;=3))*ROW('CONTROL MASTER'!$S$2:$S$495))-(ROW('CONTROL MASTER'!#REF!)-1)))&amp;TRIM(MID(SUBSTITUTE(SUBSTITUTE(INDEX('CONTROL MASTER'!$N$2:$N$495,(SUMPRODUCT((('CONTROL MASTER'!$S$2:$S$495=9)*('CONTROL MASTER'!$T$2:$T$495&lt;=3)*('CONTROL MASTER'!$V$2:$V$495&gt;=3)*('CONTROL MASTER'!$U$2:$U$495&lt;=3)*('CONTROL MASTER'!$W$2:$W$495&gt;=3))*ROW('CONTROL MASTER'!$S$2:$S$495))-(ROW('CONTROL MASTER'!#REF!)-1))),":",","),",",REPT(" ",50)),((((3-INDEX('CONTROL MASTER'!$T$2:$T$495,(SUMPRODUCT((('CONTROL MASTER'!$S$2:$S$495=9)*('CONTROL MASTER'!$T$2:$T$495&lt;=3)*('CONTROL MASTER'!$V$2:$V$495&gt;=3)*('CONTROL MASTER'!$U$2:$U$495&lt;=3)*('CONTROL MASTER'!$W$2:$W$495&gt;=3))*ROW('CONTROL MASTER'!$S$2:$S$495))-(ROW('CONTROL MASTER'!#REF!)-1))))*(INDEX('CONTROL MASTER'!$W$2:$W$495,(SUMPRODUCT((('CONTROL MASTER'!$S$2:$S$495=9)*('CONTROL MASTER'!$T$2:$T$495&lt;=3)*('CONTROL MASTER'!$V$2:$V$495&gt;=3)*('CONTROL MASTER'!$U$2:$U$495&lt;=3)*('CONTROL MASTER'!$W$2:$W$495&gt;=3))*ROW('CONTROL MASTER'!$S$2:$S$495))-(ROW('CONTROL MASTER'!#REF!)-1)))-INDEX('CONTROL MASTER'!$U$2:$U$495,(SUMPRODUCT((('CONTROL MASTER'!$S$2:$S$495=9)*('CONTROL MASTER'!$T$2:$T$495&lt;=3)*('CONTROL MASTER'!$V$2:$V$495&gt;=3)*('CONTROL MASTER'!$U$2:$U$495&lt;=3)*('CONTROL MASTER'!$W$2:$W$495&gt;=3))*ROW('CONTROL MASTER'!$S$2:$S$495))-(ROW('CONTROL MASTER'!#REF!)-1)))+1)+(3-INDEX('CONTROL MASTER'!$U$2:$U$495,(SUMPRODUCT((('CONTROL MASTER'!$S$2:$S$495=9)*('CONTROL MASTER'!$T$2:$T$495&lt;=3)*('CONTROL MASTER'!$V$2:$V$495&gt;=3)*('CONTROL MASTER'!$U$2:$U$495&lt;=3)*('CONTROL MASTER'!$W$2:$W$495&gt;=3))*ROW('CONTROL MASTER'!$S$2:$S$495))-(ROW('CONTROL MASTER'!#REF!)-1))))+1))-1)*50+1,50))&amp;"_"&amp;INDEX('CONTROL MASTER'!$P$2:$P$495,(SUMPRODUCT((('CONTROL MASTER'!$S$2:$S$495=9)*('CONTROL MASTER'!$T$2:$T$495&lt;=3)*('CONTROL MASTER'!$V$2:$V$495&gt;=3)*('CONTROL MASTER'!$U$2:$U$495&lt;=3)*('CONTROL MASTER'!$W$2:$W$495&gt;=3))*ROW('CONTROL MASTER'!$S$2:$S$495))-(ROW('CONTROL MASTER'!#REF!)-1))),IF(SUMPRODUCT((('CONTROL MASTER'!$S$2:$S$495=9)*('CONTROL MASTER'!$Z$2:$Z$495&lt;=3)*('CONTROL MASTER'!$AB$2:$AB$495&gt;=3)*('CONTROL MASTER'!$AA$2:$AA$495&lt;=3)*('CONTROL MASTER'!$AC$2:$AC$495&gt;=3))*ROW('CONTROL MASTER'!$S$2:$S$495))&gt;0,INDEX('CONTROL MASTER'!$X$2:$X$495,(SUMPRODUCT((('CONTROL MASTER'!$S$2:$S$495=9)*('CONTROL MASTER'!$Z$2:$Z$495&lt;=3)*('CONTROL MASTER'!$AB$2:$AB$495&gt;=3)*('CONTROL MASTER'!$AA$2:$AA$495&lt;=3)*('CONTROL MASTER'!$AC$2:$AC$495&gt;=3))*ROW('CONTROL MASTER'!$S$2:$S$495))-(ROW('CONTROL MASTER'!#REF!)-1)))&amp;TRIM(MID(SUBSTITUTE(SUBSTITUTE(INDEX('CONTROL MASTER'!$N$2:$N$495,(SUMPRODUCT((('CONTROL MASTER'!$S$2:$S$495=9)*('CONTROL MASTER'!$Z$2:$Z$495&lt;=3)*('CONTROL MASTER'!$AB$2:$AB$495&gt;=3)*('CONTROL MASTER'!$AA$2:$AA$495&lt;=3)*('CONTROL MASTER'!$AC$2:$AC$495&gt;=3))*ROW('CONTROL MASTER'!$S$2:$S$495))-(ROW('CONTROL MASTER'!#REF!)-1))),":",","),",",REPT(" ",50)),(((INDEX('CONTROL MASTER'!$Y$2:$Y$495,(SUMPRODUCT((('CONTROL MASTER'!$S$2:$S$495=9)*('CONTROL MASTER'!$Z$2:$Z$495&lt;=3)*('CONTROL MASTER'!$AB$2:$AB$495&gt;=3)*('CONTROL MASTER'!$AA$2:$AA$495&lt;=3)*('CONTROL MASTER'!$AC$2:$AC$495&gt;=3))*ROW('CONTROL MASTER'!$S$2:$S$495))-(ROW('CONTROL MASTER'!#REF!)-1)))+((3-INDEX('CONTROL MASTER'!$Z$2:$Z$495,(SUMPRODUCT((('CONTROL MASTER'!$S$2:$S$495=9)*('CONTROL MASTER'!$Z$2:$Z$495&lt;=3)*('CONTROL MASTER'!$AB$2:$AB$495&gt;=3)*('CONTROL MASTER'!$AA$2:$AA$495&lt;=3)*('CONTROL MASTER'!$AC$2:$AC$495&gt;=3))*ROW('CONTROL MASTER'!$S$2:$S$495))-(ROW('CONTROL MASTER'!#REF!)-1))))*(INDEX('CONTROL MASTER'!$AC$2:$AC$495,(SUMPRODUCT((('CONTROL MASTER'!$S$2:$S$495=9)*('CONTROL MASTER'!$Z$2:$Z$495&lt;=3)*('CONTROL MASTER'!$AB$2:$AB$495&gt;=3)*('CONTROL MASTER'!$AA$2:$AA$495&lt;=3)*('CONTROL MASTER'!$AC$2:$AC$495&gt;=3))*ROW('CONTROL MASTER'!$S$2:$S$495))-(ROW('CONTROL MASTER'!#REF!)-1)))-INDEX('CONTROL MASTER'!$AA$2:$AA$495,(SUMPRODUCT((('CONTROL MASTER'!$S$2:$S$495=9)*('CONTROL MASTER'!$Z$2:$Z$495&lt;=3)*('CONTROL MASTER'!$AB$2:$AB$495&gt;=3)*('CONTROL MASTER'!$AA$2:$AA$495&lt;=3)*('CONTROL MASTER'!$AC$2:$AC$495&gt;=3))*ROW('CONTROL MASTER'!$S$2:$S$495))-(ROW('CONTROL MASTER'!#REF!)-1)))+1)+(3-INDEX('CONTROL MASTER'!$AA$2:$AA$495,(SUMPRODUCT((('CONTROL MASTER'!$S$2:$S$495=9)*('CONTROL MASTER'!$Z$2:$Z$495&lt;=3)*('CONTROL MASTER'!$AB$2:$AB$495&gt;=3)*('CONTROL MASTER'!$AA$2:$AA$495&lt;=3)*('CONTROL MASTER'!$AC$2:$AC$495&gt;=3))*ROW('CONTROL MASTER'!$S$2:$S$495))-(ROW('CONTROL MASTER'!#REF!)-1))))+1)))-1)*50+1,50))&amp;"_"&amp;INDEX('CONTROL MASTER'!$P$2:$P$495,(SUMPRODUCT((('CONTROL MASTER'!$S$2:$S$495=9)*('CONTROL MASTER'!$Z$2:$Z$495&lt;=3)*('CONTROL MASTER'!$AB$2:$AB$495&gt;=3)*('CONTROL MASTER'!$AA$2:$AA$495&lt;=3)*('CONTROL MASTER'!$AC$2:$AC$495&gt;=3))*ROW('CONTROL MASTER'!$S$2:$S$495))-(ROW('CONTROL MASTER'!#REF!)-1))),"")),"")</f>
        <v/>
      </c>
      <c r="E117" s="10" t="str">
        <f>IFERROR(IF(SUMPRODUCT((('CONTROL MASTER'!$S$2:$S$495=9)*('CONTROL MASTER'!$T$2:$T$495&lt;=3)*('CONTROL MASTER'!$V$2:$V$495&gt;=3)*('CONTROL MASTER'!$U$2:$U$495&lt;=4)*('CONTROL MASTER'!$W$2:$W$495&gt;=4))*ROW('CONTROL MASTER'!$S$2:$S$495))&gt;0,INDEX('CONTROL MASTER'!$X$2:$X$495,(SUMPRODUCT((('CONTROL MASTER'!$S$2:$S$495=9)*('CONTROL MASTER'!$T$2:$T$495&lt;=3)*('CONTROL MASTER'!$V$2:$V$495&gt;=3)*('CONTROL MASTER'!$U$2:$U$495&lt;=4)*('CONTROL MASTER'!$W$2:$W$495&gt;=4))*ROW('CONTROL MASTER'!$S$2:$S$495))-(ROW('CONTROL MASTER'!#REF!)-1)))&amp;TRIM(MID(SUBSTITUTE(SUBSTITUTE(INDEX('CONTROL MASTER'!$N$2:$N$495,(SUMPRODUCT((('CONTROL MASTER'!$S$2:$S$495=9)*('CONTROL MASTER'!$T$2:$T$495&lt;=3)*('CONTROL MASTER'!$V$2:$V$495&gt;=3)*('CONTROL MASTER'!$U$2:$U$495&lt;=4)*('CONTROL MASTER'!$W$2:$W$495&gt;=4))*ROW('CONTROL MASTER'!$S$2:$S$495))-(ROW('CONTROL MASTER'!#REF!)-1))),":",","),",",REPT(" ",50)),((((3-INDEX('CONTROL MASTER'!$T$2:$T$495,(SUMPRODUCT((('CONTROL MASTER'!$S$2:$S$495=9)*('CONTROL MASTER'!$T$2:$T$495&lt;=3)*('CONTROL MASTER'!$V$2:$V$495&gt;=3)*('CONTROL MASTER'!$U$2:$U$495&lt;=4)*('CONTROL MASTER'!$W$2:$W$495&gt;=4))*ROW('CONTROL MASTER'!$S$2:$S$495))-(ROW('CONTROL MASTER'!#REF!)-1))))*(INDEX('CONTROL MASTER'!$W$2:$W$495,(SUMPRODUCT((('CONTROL MASTER'!$S$2:$S$495=9)*('CONTROL MASTER'!$T$2:$T$495&lt;=3)*('CONTROL MASTER'!$V$2:$V$495&gt;=3)*('CONTROL MASTER'!$U$2:$U$495&lt;=4)*('CONTROL MASTER'!$W$2:$W$495&gt;=4))*ROW('CONTROL MASTER'!$S$2:$S$495))-(ROW('CONTROL MASTER'!#REF!)-1)))-INDEX('CONTROL MASTER'!$U$2:$U$495,(SUMPRODUCT((('CONTROL MASTER'!$S$2:$S$495=9)*('CONTROL MASTER'!$T$2:$T$495&lt;=3)*('CONTROL MASTER'!$V$2:$V$495&gt;=3)*('CONTROL MASTER'!$U$2:$U$495&lt;=4)*('CONTROL MASTER'!$W$2:$W$495&gt;=4))*ROW('CONTROL MASTER'!$S$2:$S$495))-(ROW('CONTROL MASTER'!#REF!)-1)))+1)+(4-INDEX('CONTROL MASTER'!$U$2:$U$495,(SUMPRODUCT((('CONTROL MASTER'!$S$2:$S$495=9)*('CONTROL MASTER'!$T$2:$T$495&lt;=3)*('CONTROL MASTER'!$V$2:$V$495&gt;=3)*('CONTROL MASTER'!$U$2:$U$495&lt;=4)*('CONTROL MASTER'!$W$2:$W$495&gt;=4))*ROW('CONTROL MASTER'!$S$2:$S$495))-(ROW('CONTROL MASTER'!#REF!)-1))))+1))-1)*50+1,50))&amp;"_"&amp;INDEX('CONTROL MASTER'!$P$2:$P$495,(SUMPRODUCT((('CONTROL MASTER'!$S$2:$S$495=9)*('CONTROL MASTER'!$T$2:$T$495&lt;=3)*('CONTROL MASTER'!$V$2:$V$495&gt;=3)*('CONTROL MASTER'!$U$2:$U$495&lt;=4)*('CONTROL MASTER'!$W$2:$W$495&gt;=4))*ROW('CONTROL MASTER'!$S$2:$S$495))-(ROW('CONTROL MASTER'!#REF!)-1))),IF(SUMPRODUCT((('CONTROL MASTER'!$S$2:$S$495=9)*('CONTROL MASTER'!$Z$2:$Z$495&lt;=3)*('CONTROL MASTER'!$AB$2:$AB$495&gt;=3)*('CONTROL MASTER'!$AA$2:$AA$495&lt;=4)*('CONTROL MASTER'!$AC$2:$AC$495&gt;=4))*ROW('CONTROL MASTER'!$S$2:$S$495))&gt;0,INDEX('CONTROL MASTER'!$X$2:$X$495,(SUMPRODUCT((('CONTROL MASTER'!$S$2:$S$495=9)*('CONTROL MASTER'!$Z$2:$Z$495&lt;=3)*('CONTROL MASTER'!$AB$2:$AB$495&gt;=3)*('CONTROL MASTER'!$AA$2:$AA$495&lt;=4)*('CONTROL MASTER'!$AC$2:$AC$495&gt;=4))*ROW('CONTROL MASTER'!$S$2:$S$495))-(ROW('CONTROL MASTER'!#REF!)-1)))&amp;TRIM(MID(SUBSTITUTE(SUBSTITUTE(INDEX('CONTROL MASTER'!$N$2:$N$495,(SUMPRODUCT((('CONTROL MASTER'!$S$2:$S$495=9)*('CONTROL MASTER'!$Z$2:$Z$495&lt;=3)*('CONTROL MASTER'!$AB$2:$AB$495&gt;=3)*('CONTROL MASTER'!$AA$2:$AA$495&lt;=4)*('CONTROL MASTER'!$AC$2:$AC$495&gt;=4))*ROW('CONTROL MASTER'!$S$2:$S$495))-(ROW('CONTROL MASTER'!#REF!)-1))),":",","),",",REPT(" ",50)),(((INDEX('CONTROL MASTER'!$Y$2:$Y$495,(SUMPRODUCT((('CONTROL MASTER'!$S$2:$S$495=9)*('CONTROL MASTER'!$Z$2:$Z$495&lt;=3)*('CONTROL MASTER'!$AB$2:$AB$495&gt;=3)*('CONTROL MASTER'!$AA$2:$AA$495&lt;=4)*('CONTROL MASTER'!$AC$2:$AC$495&gt;=4))*ROW('CONTROL MASTER'!$S$2:$S$495))-(ROW('CONTROL MASTER'!#REF!)-1)))+((3-INDEX('CONTROL MASTER'!$Z$2:$Z$495,(SUMPRODUCT((('CONTROL MASTER'!$S$2:$S$495=9)*('CONTROL MASTER'!$Z$2:$Z$495&lt;=3)*('CONTROL MASTER'!$AB$2:$AB$495&gt;=3)*('CONTROL MASTER'!$AA$2:$AA$495&lt;=4)*('CONTROL MASTER'!$AC$2:$AC$495&gt;=4))*ROW('CONTROL MASTER'!$S$2:$S$495))-(ROW('CONTROL MASTER'!#REF!)-1))))*(INDEX('CONTROL MASTER'!$AC$2:$AC$495,(SUMPRODUCT((('CONTROL MASTER'!$S$2:$S$495=9)*('CONTROL MASTER'!$Z$2:$Z$495&lt;=3)*('CONTROL MASTER'!$AB$2:$AB$495&gt;=3)*('CONTROL MASTER'!$AA$2:$AA$495&lt;=4)*('CONTROL MASTER'!$AC$2:$AC$495&gt;=4))*ROW('CONTROL MASTER'!$S$2:$S$495))-(ROW('CONTROL MASTER'!#REF!)-1)))-INDEX('CONTROL MASTER'!$AA$2:$AA$495,(SUMPRODUCT((('CONTROL MASTER'!$S$2:$S$495=9)*('CONTROL MASTER'!$Z$2:$Z$495&lt;=3)*('CONTROL MASTER'!$AB$2:$AB$495&gt;=3)*('CONTROL MASTER'!$AA$2:$AA$495&lt;=4)*('CONTROL MASTER'!$AC$2:$AC$495&gt;=4))*ROW('CONTROL MASTER'!$S$2:$S$495))-(ROW('CONTROL MASTER'!#REF!)-1)))+1)+(4-INDEX('CONTROL MASTER'!$AA$2:$AA$495,(SUMPRODUCT((('CONTROL MASTER'!$S$2:$S$495=9)*('CONTROL MASTER'!$Z$2:$Z$495&lt;=3)*('CONTROL MASTER'!$AB$2:$AB$495&gt;=3)*('CONTROL MASTER'!$AA$2:$AA$495&lt;=4)*('CONTROL MASTER'!$AC$2:$AC$495&gt;=4))*ROW('CONTROL MASTER'!$S$2:$S$495))-(ROW('CONTROL MASTER'!#REF!)-1))))+1)))-1)*50+1,50))&amp;"_"&amp;INDEX('CONTROL MASTER'!$P$2:$P$495,(SUMPRODUCT((('CONTROL MASTER'!$S$2:$S$495=9)*('CONTROL MASTER'!$Z$2:$Z$495&lt;=3)*('CONTROL MASTER'!$AB$2:$AB$495&gt;=3)*('CONTROL MASTER'!$AA$2:$AA$495&lt;=4)*('CONTROL MASTER'!$AC$2:$AC$495&gt;=4))*ROW('CONTROL MASTER'!$S$2:$S$495))-(ROW('CONTROL MASTER'!#REF!)-1))),"")),"")</f>
        <v/>
      </c>
      <c r="F117" s="10" t="str">
        <f>IFERROR(IF(SUMPRODUCT((('CONTROL MASTER'!$S$2:$S$495=9)*('CONTROL MASTER'!$T$2:$T$495&lt;=3)*('CONTROL MASTER'!$V$2:$V$495&gt;=3)*('CONTROL MASTER'!$U$2:$U$495&lt;=5)*('CONTROL MASTER'!$W$2:$W$495&gt;=5))*ROW('CONTROL MASTER'!$S$2:$S$495))&gt;0,INDEX('CONTROL MASTER'!$X$2:$X$495,(SUMPRODUCT((('CONTROL MASTER'!$S$2:$S$495=9)*('CONTROL MASTER'!$T$2:$T$495&lt;=3)*('CONTROL MASTER'!$V$2:$V$495&gt;=3)*('CONTROL MASTER'!$U$2:$U$495&lt;=5)*('CONTROL MASTER'!$W$2:$W$495&gt;=5))*ROW('CONTROL MASTER'!$S$2:$S$495))-(ROW('CONTROL MASTER'!#REF!)-1)))&amp;TRIM(MID(SUBSTITUTE(SUBSTITUTE(INDEX('CONTROL MASTER'!$N$2:$N$495,(SUMPRODUCT((('CONTROL MASTER'!$S$2:$S$495=9)*('CONTROL MASTER'!$T$2:$T$495&lt;=3)*('CONTROL MASTER'!$V$2:$V$495&gt;=3)*('CONTROL MASTER'!$U$2:$U$495&lt;=5)*('CONTROL MASTER'!$W$2:$W$495&gt;=5))*ROW('CONTROL MASTER'!$S$2:$S$495))-(ROW('CONTROL MASTER'!#REF!)-1))),":",","),",",REPT(" ",50)),((((3-INDEX('CONTROL MASTER'!$T$2:$T$495,(SUMPRODUCT((('CONTROL MASTER'!$S$2:$S$495=9)*('CONTROL MASTER'!$T$2:$T$495&lt;=3)*('CONTROL MASTER'!$V$2:$V$495&gt;=3)*('CONTROL MASTER'!$U$2:$U$495&lt;=5)*('CONTROL MASTER'!$W$2:$W$495&gt;=5))*ROW('CONTROL MASTER'!$S$2:$S$495))-(ROW('CONTROL MASTER'!#REF!)-1))))*(INDEX('CONTROL MASTER'!$W$2:$W$495,(SUMPRODUCT((('CONTROL MASTER'!$S$2:$S$495=9)*('CONTROL MASTER'!$T$2:$T$495&lt;=3)*('CONTROL MASTER'!$V$2:$V$495&gt;=3)*('CONTROL MASTER'!$U$2:$U$495&lt;=5)*('CONTROL MASTER'!$W$2:$W$495&gt;=5))*ROW('CONTROL MASTER'!$S$2:$S$495))-(ROW('CONTROL MASTER'!#REF!)-1)))-INDEX('CONTROL MASTER'!$U$2:$U$495,(SUMPRODUCT((('CONTROL MASTER'!$S$2:$S$495=9)*('CONTROL MASTER'!$T$2:$T$495&lt;=3)*('CONTROL MASTER'!$V$2:$V$495&gt;=3)*('CONTROL MASTER'!$U$2:$U$495&lt;=5)*('CONTROL MASTER'!$W$2:$W$495&gt;=5))*ROW('CONTROL MASTER'!$S$2:$S$495))-(ROW('CONTROL MASTER'!#REF!)-1)))+1)+(5-INDEX('CONTROL MASTER'!$U$2:$U$495,(SUMPRODUCT((('CONTROL MASTER'!$S$2:$S$495=9)*('CONTROL MASTER'!$T$2:$T$495&lt;=3)*('CONTROL MASTER'!$V$2:$V$495&gt;=3)*('CONTROL MASTER'!$U$2:$U$495&lt;=5)*('CONTROL MASTER'!$W$2:$W$495&gt;=5))*ROW('CONTROL MASTER'!$S$2:$S$495))-(ROW('CONTROL MASTER'!#REF!)-1))))+1))-1)*50+1,50))&amp;"_"&amp;INDEX('CONTROL MASTER'!$P$2:$P$495,(SUMPRODUCT((('CONTROL MASTER'!$S$2:$S$495=9)*('CONTROL MASTER'!$T$2:$T$495&lt;=3)*('CONTROL MASTER'!$V$2:$V$495&gt;=3)*('CONTROL MASTER'!$U$2:$U$495&lt;=5)*('CONTROL MASTER'!$W$2:$W$495&gt;=5))*ROW('CONTROL MASTER'!$S$2:$S$495))-(ROW('CONTROL MASTER'!#REF!)-1))),IF(SUMPRODUCT((('CONTROL MASTER'!$S$2:$S$495=9)*('CONTROL MASTER'!$Z$2:$Z$495&lt;=3)*('CONTROL MASTER'!$AB$2:$AB$495&gt;=3)*('CONTROL MASTER'!$AA$2:$AA$495&lt;=5)*('CONTROL MASTER'!$AC$2:$AC$495&gt;=5))*ROW('CONTROL MASTER'!$S$2:$S$495))&gt;0,INDEX('CONTROL MASTER'!$X$2:$X$495,(SUMPRODUCT((('CONTROL MASTER'!$S$2:$S$495=9)*('CONTROL MASTER'!$Z$2:$Z$495&lt;=3)*('CONTROL MASTER'!$AB$2:$AB$495&gt;=3)*('CONTROL MASTER'!$AA$2:$AA$495&lt;=5)*('CONTROL MASTER'!$AC$2:$AC$495&gt;=5))*ROW('CONTROL MASTER'!$S$2:$S$495))-(ROW('CONTROL MASTER'!#REF!)-1)))&amp;TRIM(MID(SUBSTITUTE(SUBSTITUTE(INDEX('CONTROL MASTER'!$N$2:$N$495,(SUMPRODUCT((('CONTROL MASTER'!$S$2:$S$495=9)*('CONTROL MASTER'!$Z$2:$Z$495&lt;=3)*('CONTROL MASTER'!$AB$2:$AB$495&gt;=3)*('CONTROL MASTER'!$AA$2:$AA$495&lt;=5)*('CONTROL MASTER'!$AC$2:$AC$495&gt;=5))*ROW('CONTROL MASTER'!$S$2:$S$495))-(ROW('CONTROL MASTER'!#REF!)-1))),":",","),",",REPT(" ",50)),(((INDEX('CONTROL MASTER'!$Y$2:$Y$495,(SUMPRODUCT((('CONTROL MASTER'!$S$2:$S$495=9)*('CONTROL MASTER'!$Z$2:$Z$495&lt;=3)*('CONTROL MASTER'!$AB$2:$AB$495&gt;=3)*('CONTROL MASTER'!$AA$2:$AA$495&lt;=5)*('CONTROL MASTER'!$AC$2:$AC$495&gt;=5))*ROW('CONTROL MASTER'!$S$2:$S$495))-(ROW('CONTROL MASTER'!#REF!)-1)))+((3-INDEX('CONTROL MASTER'!$Z$2:$Z$495,(SUMPRODUCT((('CONTROL MASTER'!$S$2:$S$495=9)*('CONTROL MASTER'!$Z$2:$Z$495&lt;=3)*('CONTROL MASTER'!$AB$2:$AB$495&gt;=3)*('CONTROL MASTER'!$AA$2:$AA$495&lt;=5)*('CONTROL MASTER'!$AC$2:$AC$495&gt;=5))*ROW('CONTROL MASTER'!$S$2:$S$495))-(ROW('CONTROL MASTER'!#REF!)-1))))*(INDEX('CONTROL MASTER'!$AC$2:$AC$495,(SUMPRODUCT((('CONTROL MASTER'!$S$2:$S$495=9)*('CONTROL MASTER'!$Z$2:$Z$495&lt;=3)*('CONTROL MASTER'!$AB$2:$AB$495&gt;=3)*('CONTROL MASTER'!$AA$2:$AA$495&lt;=5)*('CONTROL MASTER'!$AC$2:$AC$495&gt;=5))*ROW('CONTROL MASTER'!$S$2:$S$495))-(ROW('CONTROL MASTER'!#REF!)-1)))-INDEX('CONTROL MASTER'!$AA$2:$AA$495,(SUMPRODUCT((('CONTROL MASTER'!$S$2:$S$495=9)*('CONTROL MASTER'!$Z$2:$Z$495&lt;=3)*('CONTROL MASTER'!$AB$2:$AB$495&gt;=3)*('CONTROL MASTER'!$AA$2:$AA$495&lt;=5)*('CONTROL MASTER'!$AC$2:$AC$495&gt;=5))*ROW('CONTROL MASTER'!$S$2:$S$495))-(ROW('CONTROL MASTER'!#REF!)-1)))+1)+(5-INDEX('CONTROL MASTER'!$AA$2:$AA$495,(SUMPRODUCT((('CONTROL MASTER'!$S$2:$S$495=9)*('CONTROL MASTER'!$Z$2:$Z$495&lt;=3)*('CONTROL MASTER'!$AB$2:$AB$495&gt;=3)*('CONTROL MASTER'!$AA$2:$AA$495&lt;=5)*('CONTROL MASTER'!$AC$2:$AC$495&gt;=5))*ROW('CONTROL MASTER'!$S$2:$S$495))-(ROW('CONTROL MASTER'!#REF!)-1))))+1)))-1)*50+1,50))&amp;"_"&amp;INDEX('CONTROL MASTER'!$P$2:$P$495,(SUMPRODUCT((('CONTROL MASTER'!$S$2:$S$495=9)*('CONTROL MASTER'!$Z$2:$Z$495&lt;=3)*('CONTROL MASTER'!$AB$2:$AB$495&gt;=3)*('CONTROL MASTER'!$AA$2:$AA$495&lt;=5)*('CONTROL MASTER'!$AC$2:$AC$495&gt;=5))*ROW('CONTROL MASTER'!$S$2:$S$495))-(ROW('CONTROL MASTER'!#REF!)-1))),"")),"")</f>
        <v/>
      </c>
      <c r="G117" s="10" t="str">
        <f>IFERROR(IF(SUMPRODUCT((('CONTROL MASTER'!$S$2:$S$495=9)*('CONTROL MASTER'!$T$2:$T$495&lt;=3)*('CONTROL MASTER'!$V$2:$V$495&gt;=3)*('CONTROL MASTER'!$U$2:$U$495&lt;=6)*('CONTROL MASTER'!$W$2:$W$495&gt;=6))*ROW('CONTROL MASTER'!$S$2:$S$495))&gt;0,INDEX('CONTROL MASTER'!$X$2:$X$495,(SUMPRODUCT((('CONTROL MASTER'!$S$2:$S$495=9)*('CONTROL MASTER'!$T$2:$T$495&lt;=3)*('CONTROL MASTER'!$V$2:$V$495&gt;=3)*('CONTROL MASTER'!$U$2:$U$495&lt;=6)*('CONTROL MASTER'!$W$2:$W$495&gt;=6))*ROW('CONTROL MASTER'!$S$2:$S$495))-(ROW('CONTROL MASTER'!#REF!)-1)))&amp;TRIM(MID(SUBSTITUTE(SUBSTITUTE(INDEX('CONTROL MASTER'!$N$2:$N$495,(SUMPRODUCT((('CONTROL MASTER'!$S$2:$S$495=9)*('CONTROL MASTER'!$T$2:$T$495&lt;=3)*('CONTROL MASTER'!$V$2:$V$495&gt;=3)*('CONTROL MASTER'!$U$2:$U$495&lt;=6)*('CONTROL MASTER'!$W$2:$W$495&gt;=6))*ROW('CONTROL MASTER'!$S$2:$S$495))-(ROW('CONTROL MASTER'!#REF!)-1))),":",","),",",REPT(" ",50)),((((3-INDEX('CONTROL MASTER'!$T$2:$T$495,(SUMPRODUCT((('CONTROL MASTER'!$S$2:$S$495=9)*('CONTROL MASTER'!$T$2:$T$495&lt;=3)*('CONTROL MASTER'!$V$2:$V$495&gt;=3)*('CONTROL MASTER'!$U$2:$U$495&lt;=6)*('CONTROL MASTER'!$W$2:$W$495&gt;=6))*ROW('CONTROL MASTER'!$S$2:$S$495))-(ROW('CONTROL MASTER'!#REF!)-1))))*(INDEX('CONTROL MASTER'!$W$2:$W$495,(SUMPRODUCT((('CONTROL MASTER'!$S$2:$S$495=9)*('CONTROL MASTER'!$T$2:$T$495&lt;=3)*('CONTROL MASTER'!$V$2:$V$495&gt;=3)*('CONTROL MASTER'!$U$2:$U$495&lt;=6)*('CONTROL MASTER'!$W$2:$W$495&gt;=6))*ROW('CONTROL MASTER'!$S$2:$S$495))-(ROW('CONTROL MASTER'!#REF!)-1)))-INDEX('CONTROL MASTER'!$U$2:$U$495,(SUMPRODUCT((('CONTROL MASTER'!$S$2:$S$495=9)*('CONTROL MASTER'!$T$2:$T$495&lt;=3)*('CONTROL MASTER'!$V$2:$V$495&gt;=3)*('CONTROL MASTER'!$U$2:$U$495&lt;=6)*('CONTROL MASTER'!$W$2:$W$495&gt;=6))*ROW('CONTROL MASTER'!$S$2:$S$495))-(ROW('CONTROL MASTER'!#REF!)-1)))+1)+(6-INDEX('CONTROL MASTER'!$U$2:$U$495,(SUMPRODUCT((('CONTROL MASTER'!$S$2:$S$495=9)*('CONTROL MASTER'!$T$2:$T$495&lt;=3)*('CONTROL MASTER'!$V$2:$V$495&gt;=3)*('CONTROL MASTER'!$U$2:$U$495&lt;=6)*('CONTROL MASTER'!$W$2:$W$495&gt;=6))*ROW('CONTROL MASTER'!$S$2:$S$495))-(ROW('CONTROL MASTER'!#REF!)-1))))+1))-1)*50+1,50))&amp;"_"&amp;INDEX('CONTROL MASTER'!$P$2:$P$495,(SUMPRODUCT((('CONTROL MASTER'!$S$2:$S$495=9)*('CONTROL MASTER'!$T$2:$T$495&lt;=3)*('CONTROL MASTER'!$V$2:$V$495&gt;=3)*('CONTROL MASTER'!$U$2:$U$495&lt;=6)*('CONTROL MASTER'!$W$2:$W$495&gt;=6))*ROW('CONTROL MASTER'!$S$2:$S$495))-(ROW('CONTROL MASTER'!#REF!)-1))),IF(SUMPRODUCT((('CONTROL MASTER'!$S$2:$S$495=9)*('CONTROL MASTER'!$Z$2:$Z$495&lt;=3)*('CONTROL MASTER'!$AB$2:$AB$495&gt;=3)*('CONTROL MASTER'!$AA$2:$AA$495&lt;=6)*('CONTROL MASTER'!$AC$2:$AC$495&gt;=6))*ROW('CONTROL MASTER'!$S$2:$S$495))&gt;0,INDEX('CONTROL MASTER'!$X$2:$X$495,(SUMPRODUCT((('CONTROL MASTER'!$S$2:$S$495=9)*('CONTROL MASTER'!$Z$2:$Z$495&lt;=3)*('CONTROL MASTER'!$AB$2:$AB$495&gt;=3)*('CONTROL MASTER'!$AA$2:$AA$495&lt;=6)*('CONTROL MASTER'!$AC$2:$AC$495&gt;=6))*ROW('CONTROL MASTER'!$S$2:$S$495))-(ROW('CONTROL MASTER'!#REF!)-1)))&amp;TRIM(MID(SUBSTITUTE(SUBSTITUTE(INDEX('CONTROL MASTER'!$N$2:$N$495,(SUMPRODUCT((('CONTROL MASTER'!$S$2:$S$495=9)*('CONTROL MASTER'!$Z$2:$Z$495&lt;=3)*('CONTROL MASTER'!$AB$2:$AB$495&gt;=3)*('CONTROL MASTER'!$AA$2:$AA$495&lt;=6)*('CONTROL MASTER'!$AC$2:$AC$495&gt;=6))*ROW('CONTROL MASTER'!$S$2:$S$495))-(ROW('CONTROL MASTER'!#REF!)-1))),":",","),",",REPT(" ",50)),(((INDEX('CONTROL MASTER'!$Y$2:$Y$495,(SUMPRODUCT((('CONTROL MASTER'!$S$2:$S$495=9)*('CONTROL MASTER'!$Z$2:$Z$495&lt;=3)*('CONTROL MASTER'!$AB$2:$AB$495&gt;=3)*('CONTROL MASTER'!$AA$2:$AA$495&lt;=6)*('CONTROL MASTER'!$AC$2:$AC$495&gt;=6))*ROW('CONTROL MASTER'!$S$2:$S$495))-(ROW('CONTROL MASTER'!#REF!)-1)))+((3-INDEX('CONTROL MASTER'!$Z$2:$Z$495,(SUMPRODUCT((('CONTROL MASTER'!$S$2:$S$495=9)*('CONTROL MASTER'!$Z$2:$Z$495&lt;=3)*('CONTROL MASTER'!$AB$2:$AB$495&gt;=3)*('CONTROL MASTER'!$AA$2:$AA$495&lt;=6)*('CONTROL MASTER'!$AC$2:$AC$495&gt;=6))*ROW('CONTROL MASTER'!$S$2:$S$495))-(ROW('CONTROL MASTER'!#REF!)-1))))*(INDEX('CONTROL MASTER'!$AC$2:$AC$495,(SUMPRODUCT((('CONTROL MASTER'!$S$2:$S$495=9)*('CONTROL MASTER'!$Z$2:$Z$495&lt;=3)*('CONTROL MASTER'!$AB$2:$AB$495&gt;=3)*('CONTROL MASTER'!$AA$2:$AA$495&lt;=6)*('CONTROL MASTER'!$AC$2:$AC$495&gt;=6))*ROW('CONTROL MASTER'!$S$2:$S$495))-(ROW('CONTROL MASTER'!#REF!)-1)))-INDEX('CONTROL MASTER'!$AA$2:$AA$495,(SUMPRODUCT((('CONTROL MASTER'!$S$2:$S$495=9)*('CONTROL MASTER'!$Z$2:$Z$495&lt;=3)*('CONTROL MASTER'!$AB$2:$AB$495&gt;=3)*('CONTROL MASTER'!$AA$2:$AA$495&lt;=6)*('CONTROL MASTER'!$AC$2:$AC$495&gt;=6))*ROW('CONTROL MASTER'!$S$2:$S$495))-(ROW('CONTROL MASTER'!#REF!)-1)))+1)+(6-INDEX('CONTROL MASTER'!$AA$2:$AA$495,(SUMPRODUCT((('CONTROL MASTER'!$S$2:$S$495=9)*('CONTROL MASTER'!$Z$2:$Z$495&lt;=3)*('CONTROL MASTER'!$AB$2:$AB$495&gt;=3)*('CONTROL MASTER'!$AA$2:$AA$495&lt;=6)*('CONTROL MASTER'!$AC$2:$AC$495&gt;=6))*ROW('CONTROL MASTER'!$S$2:$S$495))-(ROW('CONTROL MASTER'!#REF!)-1))))+1)))-1)*50+1,50))&amp;"_"&amp;INDEX('CONTROL MASTER'!$P$2:$P$495,(SUMPRODUCT((('CONTROL MASTER'!$S$2:$S$495=9)*('CONTROL MASTER'!$Z$2:$Z$495&lt;=3)*('CONTROL MASTER'!$AB$2:$AB$495&gt;=3)*('CONTROL MASTER'!$AA$2:$AA$495&lt;=6)*('CONTROL MASTER'!$AC$2:$AC$495&gt;=6))*ROW('CONTROL MASTER'!$S$2:$S$495))-(ROW('CONTROL MASTER'!#REF!)-1))),"")),"")</f>
        <v/>
      </c>
      <c r="H117" s="10" t="str">
        <f>IFERROR(IF(SUMPRODUCT((('CONTROL MASTER'!$S$2:$S$495=9)*('CONTROL MASTER'!$T$2:$T$495&lt;=3)*('CONTROL MASTER'!$V$2:$V$495&gt;=3)*('CONTROL MASTER'!$U$2:$U$495&lt;=7)*('CONTROL MASTER'!$W$2:$W$495&gt;=7))*ROW('CONTROL MASTER'!$S$2:$S$495))&gt;0,INDEX('CONTROL MASTER'!$X$2:$X$495,(SUMPRODUCT((('CONTROL MASTER'!$S$2:$S$495=9)*('CONTROL MASTER'!$T$2:$T$495&lt;=3)*('CONTROL MASTER'!$V$2:$V$495&gt;=3)*('CONTROL MASTER'!$U$2:$U$495&lt;=7)*('CONTROL MASTER'!$W$2:$W$495&gt;=7))*ROW('CONTROL MASTER'!$S$2:$S$495))-(ROW('CONTROL MASTER'!#REF!)-1)))&amp;TRIM(MID(SUBSTITUTE(SUBSTITUTE(INDEX('CONTROL MASTER'!$N$2:$N$495,(SUMPRODUCT((('CONTROL MASTER'!$S$2:$S$495=9)*('CONTROL MASTER'!$T$2:$T$495&lt;=3)*('CONTROL MASTER'!$V$2:$V$495&gt;=3)*('CONTROL MASTER'!$U$2:$U$495&lt;=7)*('CONTROL MASTER'!$W$2:$W$495&gt;=7))*ROW('CONTROL MASTER'!$S$2:$S$495))-(ROW('CONTROL MASTER'!#REF!)-1))),":",","),",",REPT(" ",50)),((((3-INDEX('CONTROL MASTER'!$T$2:$T$495,(SUMPRODUCT((('CONTROL MASTER'!$S$2:$S$495=9)*('CONTROL MASTER'!$T$2:$T$495&lt;=3)*('CONTROL MASTER'!$V$2:$V$495&gt;=3)*('CONTROL MASTER'!$U$2:$U$495&lt;=7)*('CONTROL MASTER'!$W$2:$W$495&gt;=7))*ROW('CONTROL MASTER'!$S$2:$S$495))-(ROW('CONTROL MASTER'!#REF!)-1))))*(INDEX('CONTROL MASTER'!$W$2:$W$495,(SUMPRODUCT((('CONTROL MASTER'!$S$2:$S$495=9)*('CONTROL MASTER'!$T$2:$T$495&lt;=3)*('CONTROL MASTER'!$V$2:$V$495&gt;=3)*('CONTROL MASTER'!$U$2:$U$495&lt;=7)*('CONTROL MASTER'!$W$2:$W$495&gt;=7))*ROW('CONTROL MASTER'!$S$2:$S$495))-(ROW('CONTROL MASTER'!#REF!)-1)))-INDEX('CONTROL MASTER'!$U$2:$U$495,(SUMPRODUCT((('CONTROL MASTER'!$S$2:$S$495=9)*('CONTROL MASTER'!$T$2:$T$495&lt;=3)*('CONTROL MASTER'!$V$2:$V$495&gt;=3)*('CONTROL MASTER'!$U$2:$U$495&lt;=7)*('CONTROL MASTER'!$W$2:$W$495&gt;=7))*ROW('CONTROL MASTER'!$S$2:$S$495))-(ROW('CONTROL MASTER'!#REF!)-1)))+1)+(7-INDEX('CONTROL MASTER'!$U$2:$U$495,(SUMPRODUCT((('CONTROL MASTER'!$S$2:$S$495=9)*('CONTROL MASTER'!$T$2:$T$495&lt;=3)*('CONTROL MASTER'!$V$2:$V$495&gt;=3)*('CONTROL MASTER'!$U$2:$U$495&lt;=7)*('CONTROL MASTER'!$W$2:$W$495&gt;=7))*ROW('CONTROL MASTER'!$S$2:$S$495))-(ROW('CONTROL MASTER'!#REF!)-1))))+1))-1)*50+1,50))&amp;"_"&amp;INDEX('CONTROL MASTER'!$P$2:$P$495,(SUMPRODUCT((('CONTROL MASTER'!$S$2:$S$495=9)*('CONTROL MASTER'!$T$2:$T$495&lt;=3)*('CONTROL MASTER'!$V$2:$V$495&gt;=3)*('CONTROL MASTER'!$U$2:$U$495&lt;=7)*('CONTROL MASTER'!$W$2:$W$495&gt;=7))*ROW('CONTROL MASTER'!$S$2:$S$495))-(ROW('CONTROL MASTER'!#REF!)-1))),IF(SUMPRODUCT((('CONTROL MASTER'!$S$2:$S$495=9)*('CONTROL MASTER'!$Z$2:$Z$495&lt;=3)*('CONTROL MASTER'!$AB$2:$AB$495&gt;=3)*('CONTROL MASTER'!$AA$2:$AA$495&lt;=7)*('CONTROL MASTER'!$AC$2:$AC$495&gt;=7))*ROW('CONTROL MASTER'!$S$2:$S$495))&gt;0,INDEX('CONTROL MASTER'!$X$2:$X$495,(SUMPRODUCT((('CONTROL MASTER'!$S$2:$S$495=9)*('CONTROL MASTER'!$Z$2:$Z$495&lt;=3)*('CONTROL MASTER'!$AB$2:$AB$495&gt;=3)*('CONTROL MASTER'!$AA$2:$AA$495&lt;=7)*('CONTROL MASTER'!$AC$2:$AC$495&gt;=7))*ROW('CONTROL MASTER'!$S$2:$S$495))-(ROW('CONTROL MASTER'!#REF!)-1)))&amp;TRIM(MID(SUBSTITUTE(SUBSTITUTE(INDEX('CONTROL MASTER'!$N$2:$N$495,(SUMPRODUCT((('CONTROL MASTER'!$S$2:$S$495=9)*('CONTROL MASTER'!$Z$2:$Z$495&lt;=3)*('CONTROL MASTER'!$AB$2:$AB$495&gt;=3)*('CONTROL MASTER'!$AA$2:$AA$495&lt;=7)*('CONTROL MASTER'!$AC$2:$AC$495&gt;=7))*ROW('CONTROL MASTER'!$S$2:$S$495))-(ROW('CONTROL MASTER'!#REF!)-1))),":",","),",",REPT(" ",50)),(((INDEX('CONTROL MASTER'!$Y$2:$Y$495,(SUMPRODUCT((('CONTROL MASTER'!$S$2:$S$495=9)*('CONTROL MASTER'!$Z$2:$Z$495&lt;=3)*('CONTROL MASTER'!$AB$2:$AB$495&gt;=3)*('CONTROL MASTER'!$AA$2:$AA$495&lt;=7)*('CONTROL MASTER'!$AC$2:$AC$495&gt;=7))*ROW('CONTROL MASTER'!$S$2:$S$495))-(ROW('CONTROL MASTER'!#REF!)-1)))+((3-INDEX('CONTROL MASTER'!$Z$2:$Z$495,(SUMPRODUCT((('CONTROL MASTER'!$S$2:$S$495=9)*('CONTROL MASTER'!$Z$2:$Z$495&lt;=3)*('CONTROL MASTER'!$AB$2:$AB$495&gt;=3)*('CONTROL MASTER'!$AA$2:$AA$495&lt;=7)*('CONTROL MASTER'!$AC$2:$AC$495&gt;=7))*ROW('CONTROL MASTER'!$S$2:$S$495))-(ROW('CONTROL MASTER'!#REF!)-1))))*(INDEX('CONTROL MASTER'!$AC$2:$AC$495,(SUMPRODUCT((('CONTROL MASTER'!$S$2:$S$495=9)*('CONTROL MASTER'!$Z$2:$Z$495&lt;=3)*('CONTROL MASTER'!$AB$2:$AB$495&gt;=3)*('CONTROL MASTER'!$AA$2:$AA$495&lt;=7)*('CONTROL MASTER'!$AC$2:$AC$495&gt;=7))*ROW('CONTROL MASTER'!$S$2:$S$495))-(ROW('CONTROL MASTER'!#REF!)-1)))-INDEX('CONTROL MASTER'!$AA$2:$AA$495,(SUMPRODUCT((('CONTROL MASTER'!$S$2:$S$495=9)*('CONTROL MASTER'!$Z$2:$Z$495&lt;=3)*('CONTROL MASTER'!$AB$2:$AB$495&gt;=3)*('CONTROL MASTER'!$AA$2:$AA$495&lt;=7)*('CONTROL MASTER'!$AC$2:$AC$495&gt;=7))*ROW('CONTROL MASTER'!$S$2:$S$495))-(ROW('CONTROL MASTER'!#REF!)-1)))+1)+(7-INDEX('CONTROL MASTER'!$AA$2:$AA$495,(SUMPRODUCT((('CONTROL MASTER'!$S$2:$S$495=9)*('CONTROL MASTER'!$Z$2:$Z$495&lt;=3)*('CONTROL MASTER'!$AB$2:$AB$495&gt;=3)*('CONTROL MASTER'!$AA$2:$AA$495&lt;=7)*('CONTROL MASTER'!$AC$2:$AC$495&gt;=7))*ROW('CONTROL MASTER'!$S$2:$S$495))-(ROW('CONTROL MASTER'!#REF!)-1))))+1)))-1)*50+1,50))&amp;"_"&amp;INDEX('CONTROL MASTER'!$P$2:$P$495,(SUMPRODUCT((('CONTROL MASTER'!$S$2:$S$495=9)*('CONTROL MASTER'!$Z$2:$Z$495&lt;=3)*('CONTROL MASTER'!$AB$2:$AB$495&gt;=3)*('CONTROL MASTER'!$AA$2:$AA$495&lt;=7)*('CONTROL MASTER'!$AC$2:$AC$495&gt;=7))*ROW('CONTROL MASTER'!$S$2:$S$495))-(ROW('CONTROL MASTER'!#REF!)-1))),"")),"")</f>
        <v/>
      </c>
      <c r="I117" s="10" t="str">
        <f>IFERROR(IF(SUMPRODUCT((('CONTROL MASTER'!$S$2:$S$495=9)*('CONTROL MASTER'!$T$2:$T$495&lt;=3)*('CONTROL MASTER'!$V$2:$V$495&gt;=3)*('CONTROL MASTER'!$U$2:$U$495&lt;=8)*('CONTROL MASTER'!$W$2:$W$495&gt;=8))*ROW('CONTROL MASTER'!$S$2:$S$495))&gt;0,INDEX('CONTROL MASTER'!$X$2:$X$495,(SUMPRODUCT((('CONTROL MASTER'!$S$2:$S$495=9)*('CONTROL MASTER'!$T$2:$T$495&lt;=3)*('CONTROL MASTER'!$V$2:$V$495&gt;=3)*('CONTROL MASTER'!$U$2:$U$495&lt;=8)*('CONTROL MASTER'!$W$2:$W$495&gt;=8))*ROW('CONTROL MASTER'!$S$2:$S$495))-(ROW('CONTROL MASTER'!#REF!)-1)))&amp;TRIM(MID(SUBSTITUTE(SUBSTITUTE(INDEX('CONTROL MASTER'!$N$2:$N$495,(SUMPRODUCT((('CONTROL MASTER'!$S$2:$S$495=9)*('CONTROL MASTER'!$T$2:$T$495&lt;=3)*('CONTROL MASTER'!$V$2:$V$495&gt;=3)*('CONTROL MASTER'!$U$2:$U$495&lt;=8)*('CONTROL MASTER'!$W$2:$W$495&gt;=8))*ROW('CONTROL MASTER'!$S$2:$S$495))-(ROW('CONTROL MASTER'!#REF!)-1))),":",","),",",REPT(" ",50)),((((3-INDEX('CONTROL MASTER'!$T$2:$T$495,(SUMPRODUCT((('CONTROL MASTER'!$S$2:$S$495=9)*('CONTROL MASTER'!$T$2:$T$495&lt;=3)*('CONTROL MASTER'!$V$2:$V$495&gt;=3)*('CONTROL MASTER'!$U$2:$U$495&lt;=8)*('CONTROL MASTER'!$W$2:$W$495&gt;=8))*ROW('CONTROL MASTER'!$S$2:$S$495))-(ROW('CONTROL MASTER'!#REF!)-1))))*(INDEX('CONTROL MASTER'!$W$2:$W$495,(SUMPRODUCT((('CONTROL MASTER'!$S$2:$S$495=9)*('CONTROL MASTER'!$T$2:$T$495&lt;=3)*('CONTROL MASTER'!$V$2:$V$495&gt;=3)*('CONTROL MASTER'!$U$2:$U$495&lt;=8)*('CONTROL MASTER'!$W$2:$W$495&gt;=8))*ROW('CONTROL MASTER'!$S$2:$S$495))-(ROW('CONTROL MASTER'!#REF!)-1)))-INDEX('CONTROL MASTER'!$U$2:$U$495,(SUMPRODUCT((('CONTROL MASTER'!$S$2:$S$495=9)*('CONTROL MASTER'!$T$2:$T$495&lt;=3)*('CONTROL MASTER'!$V$2:$V$495&gt;=3)*('CONTROL MASTER'!$U$2:$U$495&lt;=8)*('CONTROL MASTER'!$W$2:$W$495&gt;=8))*ROW('CONTROL MASTER'!$S$2:$S$495))-(ROW('CONTROL MASTER'!#REF!)-1)))+1)+(8-INDEX('CONTROL MASTER'!$U$2:$U$495,(SUMPRODUCT((('CONTROL MASTER'!$S$2:$S$495=9)*('CONTROL MASTER'!$T$2:$T$495&lt;=3)*('CONTROL MASTER'!$V$2:$V$495&gt;=3)*('CONTROL MASTER'!$U$2:$U$495&lt;=8)*('CONTROL MASTER'!$W$2:$W$495&gt;=8))*ROW('CONTROL MASTER'!$S$2:$S$495))-(ROW('CONTROL MASTER'!#REF!)-1))))+1))-1)*50+1,50))&amp;"_"&amp;INDEX('CONTROL MASTER'!$P$2:$P$495,(SUMPRODUCT((('CONTROL MASTER'!$S$2:$S$495=9)*('CONTROL MASTER'!$T$2:$T$495&lt;=3)*('CONTROL MASTER'!$V$2:$V$495&gt;=3)*('CONTROL MASTER'!$U$2:$U$495&lt;=8)*('CONTROL MASTER'!$W$2:$W$495&gt;=8))*ROW('CONTROL MASTER'!$S$2:$S$495))-(ROW('CONTROL MASTER'!#REF!)-1))),IF(SUMPRODUCT((('CONTROL MASTER'!$S$2:$S$495=9)*('CONTROL MASTER'!$Z$2:$Z$495&lt;=3)*('CONTROL MASTER'!$AB$2:$AB$495&gt;=3)*('CONTROL MASTER'!$AA$2:$AA$495&lt;=8)*('CONTROL MASTER'!$AC$2:$AC$495&gt;=8))*ROW('CONTROL MASTER'!$S$2:$S$495))&gt;0,INDEX('CONTROL MASTER'!$X$2:$X$495,(SUMPRODUCT((('CONTROL MASTER'!$S$2:$S$495=9)*('CONTROL MASTER'!$Z$2:$Z$495&lt;=3)*('CONTROL MASTER'!$AB$2:$AB$495&gt;=3)*('CONTROL MASTER'!$AA$2:$AA$495&lt;=8)*('CONTROL MASTER'!$AC$2:$AC$495&gt;=8))*ROW('CONTROL MASTER'!$S$2:$S$495))-(ROW('CONTROL MASTER'!#REF!)-1)))&amp;TRIM(MID(SUBSTITUTE(SUBSTITUTE(INDEX('CONTROL MASTER'!$N$2:$N$495,(SUMPRODUCT((('CONTROL MASTER'!$S$2:$S$495=9)*('CONTROL MASTER'!$Z$2:$Z$495&lt;=3)*('CONTROL MASTER'!$AB$2:$AB$495&gt;=3)*('CONTROL MASTER'!$AA$2:$AA$495&lt;=8)*('CONTROL MASTER'!$AC$2:$AC$495&gt;=8))*ROW('CONTROL MASTER'!$S$2:$S$495))-(ROW('CONTROL MASTER'!#REF!)-1))),":",","),",",REPT(" ",50)),(((INDEX('CONTROL MASTER'!$Y$2:$Y$495,(SUMPRODUCT((('CONTROL MASTER'!$S$2:$S$495=9)*('CONTROL MASTER'!$Z$2:$Z$495&lt;=3)*('CONTROL MASTER'!$AB$2:$AB$495&gt;=3)*('CONTROL MASTER'!$AA$2:$AA$495&lt;=8)*('CONTROL MASTER'!$AC$2:$AC$495&gt;=8))*ROW('CONTROL MASTER'!$S$2:$S$495))-(ROW('CONTROL MASTER'!#REF!)-1)))+((3-INDEX('CONTROL MASTER'!$Z$2:$Z$495,(SUMPRODUCT((('CONTROL MASTER'!$S$2:$S$495=9)*('CONTROL MASTER'!$Z$2:$Z$495&lt;=3)*('CONTROL MASTER'!$AB$2:$AB$495&gt;=3)*('CONTROL MASTER'!$AA$2:$AA$495&lt;=8)*('CONTROL MASTER'!$AC$2:$AC$495&gt;=8))*ROW('CONTROL MASTER'!$S$2:$S$495))-(ROW('CONTROL MASTER'!#REF!)-1))))*(INDEX('CONTROL MASTER'!$AC$2:$AC$495,(SUMPRODUCT((('CONTROL MASTER'!$S$2:$S$495=9)*('CONTROL MASTER'!$Z$2:$Z$495&lt;=3)*('CONTROL MASTER'!$AB$2:$AB$495&gt;=3)*('CONTROL MASTER'!$AA$2:$AA$495&lt;=8)*('CONTROL MASTER'!$AC$2:$AC$495&gt;=8))*ROW('CONTROL MASTER'!$S$2:$S$495))-(ROW('CONTROL MASTER'!#REF!)-1)))-INDEX('CONTROL MASTER'!$AA$2:$AA$495,(SUMPRODUCT((('CONTROL MASTER'!$S$2:$S$495=9)*('CONTROL MASTER'!$Z$2:$Z$495&lt;=3)*('CONTROL MASTER'!$AB$2:$AB$495&gt;=3)*('CONTROL MASTER'!$AA$2:$AA$495&lt;=8)*('CONTROL MASTER'!$AC$2:$AC$495&gt;=8))*ROW('CONTROL MASTER'!$S$2:$S$495))-(ROW('CONTROL MASTER'!#REF!)-1)))+1)+(8-INDEX('CONTROL MASTER'!$AA$2:$AA$495,(SUMPRODUCT((('CONTROL MASTER'!$S$2:$S$495=9)*('CONTROL MASTER'!$Z$2:$Z$495&lt;=3)*('CONTROL MASTER'!$AB$2:$AB$495&gt;=3)*('CONTROL MASTER'!$AA$2:$AA$495&lt;=8)*('CONTROL MASTER'!$AC$2:$AC$495&gt;=8))*ROW('CONTROL MASTER'!$S$2:$S$495))-(ROW('CONTROL MASTER'!#REF!)-1))))+1)))-1)*50+1,50))&amp;"_"&amp;INDEX('CONTROL MASTER'!$P$2:$P$495,(SUMPRODUCT((('CONTROL MASTER'!$S$2:$S$495=9)*('CONTROL MASTER'!$Z$2:$Z$495&lt;=3)*('CONTROL MASTER'!$AB$2:$AB$495&gt;=3)*('CONTROL MASTER'!$AA$2:$AA$495&lt;=8)*('CONTROL MASTER'!$AC$2:$AC$495&gt;=8))*ROW('CONTROL MASTER'!$S$2:$S$495))-(ROW('CONTROL MASTER'!#REF!)-1))),"")),"")</f>
        <v/>
      </c>
      <c r="J117" s="10" t="str">
        <f>IFERROR(IF(SUMPRODUCT((('CONTROL MASTER'!$S$2:$S$495=9)*('CONTROL MASTER'!$T$2:$T$495&lt;=3)*('CONTROL MASTER'!$V$2:$V$495&gt;=3)*('CONTROL MASTER'!$U$2:$U$495&lt;=9)*('CONTROL MASTER'!$W$2:$W$495&gt;=9))*ROW('CONTROL MASTER'!$S$2:$S$495))&gt;0,INDEX('CONTROL MASTER'!$X$2:$X$495,(SUMPRODUCT((('CONTROL MASTER'!$S$2:$S$495=9)*('CONTROL MASTER'!$T$2:$T$495&lt;=3)*('CONTROL MASTER'!$V$2:$V$495&gt;=3)*('CONTROL MASTER'!$U$2:$U$495&lt;=9)*('CONTROL MASTER'!$W$2:$W$495&gt;=9))*ROW('CONTROL MASTER'!$S$2:$S$495))-(ROW('CONTROL MASTER'!#REF!)-1)))&amp;TRIM(MID(SUBSTITUTE(SUBSTITUTE(INDEX('CONTROL MASTER'!$N$2:$N$495,(SUMPRODUCT((('CONTROL MASTER'!$S$2:$S$495=9)*('CONTROL MASTER'!$T$2:$T$495&lt;=3)*('CONTROL MASTER'!$V$2:$V$495&gt;=3)*('CONTROL MASTER'!$U$2:$U$495&lt;=9)*('CONTROL MASTER'!$W$2:$W$495&gt;=9))*ROW('CONTROL MASTER'!$S$2:$S$495))-(ROW('CONTROL MASTER'!#REF!)-1))),":",","),",",REPT(" ",50)),((((3-INDEX('CONTROL MASTER'!$T$2:$T$495,(SUMPRODUCT((('CONTROL MASTER'!$S$2:$S$495=9)*('CONTROL MASTER'!$T$2:$T$495&lt;=3)*('CONTROL MASTER'!$V$2:$V$495&gt;=3)*('CONTROL MASTER'!$U$2:$U$495&lt;=9)*('CONTROL MASTER'!$W$2:$W$495&gt;=9))*ROW('CONTROL MASTER'!$S$2:$S$495))-(ROW('CONTROL MASTER'!#REF!)-1))))*(INDEX('CONTROL MASTER'!$W$2:$W$495,(SUMPRODUCT((('CONTROL MASTER'!$S$2:$S$495=9)*('CONTROL MASTER'!$T$2:$T$495&lt;=3)*('CONTROL MASTER'!$V$2:$V$495&gt;=3)*('CONTROL MASTER'!$U$2:$U$495&lt;=9)*('CONTROL MASTER'!$W$2:$W$495&gt;=9))*ROW('CONTROL MASTER'!$S$2:$S$495))-(ROW('CONTROL MASTER'!#REF!)-1)))-INDEX('CONTROL MASTER'!$U$2:$U$495,(SUMPRODUCT((('CONTROL MASTER'!$S$2:$S$495=9)*('CONTROL MASTER'!$T$2:$T$495&lt;=3)*('CONTROL MASTER'!$V$2:$V$495&gt;=3)*('CONTROL MASTER'!$U$2:$U$495&lt;=9)*('CONTROL MASTER'!$W$2:$W$495&gt;=9))*ROW('CONTROL MASTER'!$S$2:$S$495))-(ROW('CONTROL MASTER'!#REF!)-1)))+1)+(9-INDEX('CONTROL MASTER'!$U$2:$U$495,(SUMPRODUCT((('CONTROL MASTER'!$S$2:$S$495=9)*('CONTROL MASTER'!$T$2:$T$495&lt;=3)*('CONTROL MASTER'!$V$2:$V$495&gt;=3)*('CONTROL MASTER'!$U$2:$U$495&lt;=9)*('CONTROL MASTER'!$W$2:$W$495&gt;=9))*ROW('CONTROL MASTER'!$S$2:$S$495))-(ROW('CONTROL MASTER'!#REF!)-1))))+1))-1)*50+1,50))&amp;"_"&amp;INDEX('CONTROL MASTER'!$P$2:$P$495,(SUMPRODUCT((('CONTROL MASTER'!$S$2:$S$495=9)*('CONTROL MASTER'!$T$2:$T$495&lt;=3)*('CONTROL MASTER'!$V$2:$V$495&gt;=3)*('CONTROL MASTER'!$U$2:$U$495&lt;=9)*('CONTROL MASTER'!$W$2:$W$495&gt;=9))*ROW('CONTROL MASTER'!$S$2:$S$495))-(ROW('CONTROL MASTER'!#REF!)-1))),IF(SUMPRODUCT((('CONTROL MASTER'!$S$2:$S$495=9)*('CONTROL MASTER'!$Z$2:$Z$495&lt;=3)*('CONTROL MASTER'!$AB$2:$AB$495&gt;=3)*('CONTROL MASTER'!$AA$2:$AA$495&lt;=9)*('CONTROL MASTER'!$AC$2:$AC$495&gt;=9))*ROW('CONTROL MASTER'!$S$2:$S$495))&gt;0,INDEX('CONTROL MASTER'!$X$2:$X$495,(SUMPRODUCT((('CONTROL MASTER'!$S$2:$S$495=9)*('CONTROL MASTER'!$Z$2:$Z$495&lt;=3)*('CONTROL MASTER'!$AB$2:$AB$495&gt;=3)*('CONTROL MASTER'!$AA$2:$AA$495&lt;=9)*('CONTROL MASTER'!$AC$2:$AC$495&gt;=9))*ROW('CONTROL MASTER'!$S$2:$S$495))-(ROW('CONTROL MASTER'!#REF!)-1)))&amp;TRIM(MID(SUBSTITUTE(SUBSTITUTE(INDEX('CONTROL MASTER'!$N$2:$N$495,(SUMPRODUCT((('CONTROL MASTER'!$S$2:$S$495=9)*('CONTROL MASTER'!$Z$2:$Z$495&lt;=3)*('CONTROL MASTER'!$AB$2:$AB$495&gt;=3)*('CONTROL MASTER'!$AA$2:$AA$495&lt;=9)*('CONTROL MASTER'!$AC$2:$AC$495&gt;=9))*ROW('CONTROL MASTER'!$S$2:$S$495))-(ROW('CONTROL MASTER'!#REF!)-1))),":",","),",",REPT(" ",50)),(((INDEX('CONTROL MASTER'!$Y$2:$Y$495,(SUMPRODUCT((('CONTROL MASTER'!$S$2:$S$495=9)*('CONTROL MASTER'!$Z$2:$Z$495&lt;=3)*('CONTROL MASTER'!$AB$2:$AB$495&gt;=3)*('CONTROL MASTER'!$AA$2:$AA$495&lt;=9)*('CONTROL MASTER'!$AC$2:$AC$495&gt;=9))*ROW('CONTROL MASTER'!$S$2:$S$495))-(ROW('CONTROL MASTER'!#REF!)-1)))+((3-INDEX('CONTROL MASTER'!$Z$2:$Z$495,(SUMPRODUCT((('CONTROL MASTER'!$S$2:$S$495=9)*('CONTROL MASTER'!$Z$2:$Z$495&lt;=3)*('CONTROL MASTER'!$AB$2:$AB$495&gt;=3)*('CONTROL MASTER'!$AA$2:$AA$495&lt;=9)*('CONTROL MASTER'!$AC$2:$AC$495&gt;=9))*ROW('CONTROL MASTER'!$S$2:$S$495))-(ROW('CONTROL MASTER'!#REF!)-1))))*(INDEX('CONTROL MASTER'!$AC$2:$AC$495,(SUMPRODUCT((('CONTROL MASTER'!$S$2:$S$495=9)*('CONTROL MASTER'!$Z$2:$Z$495&lt;=3)*('CONTROL MASTER'!$AB$2:$AB$495&gt;=3)*('CONTROL MASTER'!$AA$2:$AA$495&lt;=9)*('CONTROL MASTER'!$AC$2:$AC$495&gt;=9))*ROW('CONTROL MASTER'!$S$2:$S$495))-(ROW('CONTROL MASTER'!#REF!)-1)))-INDEX('CONTROL MASTER'!$AA$2:$AA$495,(SUMPRODUCT((('CONTROL MASTER'!$S$2:$S$495=9)*('CONTROL MASTER'!$Z$2:$Z$495&lt;=3)*('CONTROL MASTER'!$AB$2:$AB$495&gt;=3)*('CONTROL MASTER'!$AA$2:$AA$495&lt;=9)*('CONTROL MASTER'!$AC$2:$AC$495&gt;=9))*ROW('CONTROL MASTER'!$S$2:$S$495))-(ROW('CONTROL MASTER'!#REF!)-1)))+1)+(9-INDEX('CONTROL MASTER'!$AA$2:$AA$495,(SUMPRODUCT((('CONTROL MASTER'!$S$2:$S$495=9)*('CONTROL MASTER'!$Z$2:$Z$495&lt;=3)*('CONTROL MASTER'!$AB$2:$AB$495&gt;=3)*('CONTROL MASTER'!$AA$2:$AA$495&lt;=9)*('CONTROL MASTER'!$AC$2:$AC$495&gt;=9))*ROW('CONTROL MASTER'!$S$2:$S$495))-(ROW('CONTROL MASTER'!#REF!)-1))))+1)))-1)*50+1,50))&amp;"_"&amp;INDEX('CONTROL MASTER'!$P$2:$P$495,(SUMPRODUCT((('CONTROL MASTER'!$S$2:$S$495=9)*('CONTROL MASTER'!$Z$2:$Z$495&lt;=3)*('CONTROL MASTER'!$AB$2:$AB$495&gt;=3)*('CONTROL MASTER'!$AA$2:$AA$495&lt;=9)*('CONTROL MASTER'!$AC$2:$AC$495&gt;=9))*ROW('CONTROL MASTER'!$S$2:$S$495))-(ROW('CONTROL MASTER'!#REF!)-1))),"")),"")</f>
        <v/>
      </c>
      <c r="K117" s="10" t="str">
        <f>IFERROR(IF(SUMPRODUCT((('CONTROL MASTER'!$S$2:$S$495=9)*('CONTROL MASTER'!$T$2:$T$495&lt;=3)*('CONTROL MASTER'!$V$2:$V$495&gt;=3)*('CONTROL MASTER'!$U$2:$U$495&lt;=10)*('CONTROL MASTER'!$W$2:$W$495&gt;=10))*ROW('CONTROL MASTER'!$S$2:$S$495))&gt;0,INDEX('CONTROL MASTER'!$X$2:$X$495,(SUMPRODUCT((('CONTROL MASTER'!$S$2:$S$495=9)*('CONTROL MASTER'!$T$2:$T$495&lt;=3)*('CONTROL MASTER'!$V$2:$V$495&gt;=3)*('CONTROL MASTER'!$U$2:$U$495&lt;=10)*('CONTROL MASTER'!$W$2:$W$495&gt;=10))*ROW('CONTROL MASTER'!$S$2:$S$495))-(ROW('CONTROL MASTER'!#REF!)-1)))&amp;TRIM(MID(SUBSTITUTE(SUBSTITUTE(INDEX('CONTROL MASTER'!$N$2:$N$495,(SUMPRODUCT((('CONTROL MASTER'!$S$2:$S$495=9)*('CONTROL MASTER'!$T$2:$T$495&lt;=3)*('CONTROL MASTER'!$V$2:$V$495&gt;=3)*('CONTROL MASTER'!$U$2:$U$495&lt;=10)*('CONTROL MASTER'!$W$2:$W$495&gt;=10))*ROW('CONTROL MASTER'!$S$2:$S$495))-(ROW('CONTROL MASTER'!#REF!)-1))),":",","),",",REPT(" ",50)),((((3-INDEX('CONTROL MASTER'!$T$2:$T$495,(SUMPRODUCT((('CONTROL MASTER'!$S$2:$S$495=9)*('CONTROL MASTER'!$T$2:$T$495&lt;=3)*('CONTROL MASTER'!$V$2:$V$495&gt;=3)*('CONTROL MASTER'!$U$2:$U$495&lt;=10)*('CONTROL MASTER'!$W$2:$W$495&gt;=10))*ROW('CONTROL MASTER'!$S$2:$S$495))-(ROW('CONTROL MASTER'!#REF!)-1))))*(INDEX('CONTROL MASTER'!$W$2:$W$495,(SUMPRODUCT((('CONTROL MASTER'!$S$2:$S$495=9)*('CONTROL MASTER'!$T$2:$T$495&lt;=3)*('CONTROL MASTER'!$V$2:$V$495&gt;=3)*('CONTROL MASTER'!$U$2:$U$495&lt;=10)*('CONTROL MASTER'!$W$2:$W$495&gt;=10))*ROW('CONTROL MASTER'!$S$2:$S$495))-(ROW('CONTROL MASTER'!#REF!)-1)))-INDEX('CONTROL MASTER'!$U$2:$U$495,(SUMPRODUCT((('CONTROL MASTER'!$S$2:$S$495=9)*('CONTROL MASTER'!$T$2:$T$495&lt;=3)*('CONTROL MASTER'!$V$2:$V$495&gt;=3)*('CONTROL MASTER'!$U$2:$U$495&lt;=10)*('CONTROL MASTER'!$W$2:$W$495&gt;=10))*ROW('CONTROL MASTER'!$S$2:$S$495))-(ROW('CONTROL MASTER'!#REF!)-1)))+1)+(10-INDEX('CONTROL MASTER'!$U$2:$U$495,(SUMPRODUCT((('CONTROL MASTER'!$S$2:$S$495=9)*('CONTROL MASTER'!$T$2:$T$495&lt;=3)*('CONTROL MASTER'!$V$2:$V$495&gt;=3)*('CONTROL MASTER'!$U$2:$U$495&lt;=10)*('CONTROL MASTER'!$W$2:$W$495&gt;=10))*ROW('CONTROL MASTER'!$S$2:$S$495))-(ROW('CONTROL MASTER'!#REF!)-1))))+1))-1)*50+1,50))&amp;"_"&amp;INDEX('CONTROL MASTER'!$P$2:$P$495,(SUMPRODUCT((('CONTROL MASTER'!$S$2:$S$495=9)*('CONTROL MASTER'!$T$2:$T$495&lt;=3)*('CONTROL MASTER'!$V$2:$V$495&gt;=3)*('CONTROL MASTER'!$U$2:$U$495&lt;=10)*('CONTROL MASTER'!$W$2:$W$495&gt;=10))*ROW('CONTROL MASTER'!$S$2:$S$495))-(ROW('CONTROL MASTER'!#REF!)-1))),IF(SUMPRODUCT((('CONTROL MASTER'!$S$2:$S$495=9)*('CONTROL MASTER'!$Z$2:$Z$495&lt;=3)*('CONTROL MASTER'!$AB$2:$AB$495&gt;=3)*('CONTROL MASTER'!$AA$2:$AA$495&lt;=10)*('CONTROL MASTER'!$AC$2:$AC$495&gt;=10))*ROW('CONTROL MASTER'!$S$2:$S$495))&gt;0,INDEX('CONTROL MASTER'!$X$2:$X$495,(SUMPRODUCT((('CONTROL MASTER'!$S$2:$S$495=9)*('CONTROL MASTER'!$Z$2:$Z$495&lt;=3)*('CONTROL MASTER'!$AB$2:$AB$495&gt;=3)*('CONTROL MASTER'!$AA$2:$AA$495&lt;=10)*('CONTROL MASTER'!$AC$2:$AC$495&gt;=10))*ROW('CONTROL MASTER'!$S$2:$S$495))-(ROW('CONTROL MASTER'!#REF!)-1)))&amp;TRIM(MID(SUBSTITUTE(SUBSTITUTE(INDEX('CONTROL MASTER'!$N$2:$N$495,(SUMPRODUCT((('CONTROL MASTER'!$S$2:$S$495=9)*('CONTROL MASTER'!$Z$2:$Z$495&lt;=3)*('CONTROL MASTER'!$AB$2:$AB$495&gt;=3)*('CONTROL MASTER'!$AA$2:$AA$495&lt;=10)*('CONTROL MASTER'!$AC$2:$AC$495&gt;=10))*ROW('CONTROL MASTER'!$S$2:$S$495))-(ROW('CONTROL MASTER'!#REF!)-1))),":",","),",",REPT(" ",50)),(((INDEX('CONTROL MASTER'!$Y$2:$Y$495,(SUMPRODUCT((('CONTROL MASTER'!$S$2:$S$495=9)*('CONTROL MASTER'!$Z$2:$Z$495&lt;=3)*('CONTROL MASTER'!$AB$2:$AB$495&gt;=3)*('CONTROL MASTER'!$AA$2:$AA$495&lt;=10)*('CONTROL MASTER'!$AC$2:$AC$495&gt;=10))*ROW('CONTROL MASTER'!$S$2:$S$495))-(ROW('CONTROL MASTER'!#REF!)-1)))+((3-INDEX('CONTROL MASTER'!$Z$2:$Z$495,(SUMPRODUCT((('CONTROL MASTER'!$S$2:$S$495=9)*('CONTROL MASTER'!$Z$2:$Z$495&lt;=3)*('CONTROL MASTER'!$AB$2:$AB$495&gt;=3)*('CONTROL MASTER'!$AA$2:$AA$495&lt;=10)*('CONTROL MASTER'!$AC$2:$AC$495&gt;=10))*ROW('CONTROL MASTER'!$S$2:$S$495))-(ROW('CONTROL MASTER'!#REF!)-1))))*(INDEX('CONTROL MASTER'!$AC$2:$AC$495,(SUMPRODUCT((('CONTROL MASTER'!$S$2:$S$495=9)*('CONTROL MASTER'!$Z$2:$Z$495&lt;=3)*('CONTROL MASTER'!$AB$2:$AB$495&gt;=3)*('CONTROL MASTER'!$AA$2:$AA$495&lt;=10)*('CONTROL MASTER'!$AC$2:$AC$495&gt;=10))*ROW('CONTROL MASTER'!$S$2:$S$495))-(ROW('CONTROL MASTER'!#REF!)-1)))-INDEX('CONTROL MASTER'!$AA$2:$AA$495,(SUMPRODUCT((('CONTROL MASTER'!$S$2:$S$495=9)*('CONTROL MASTER'!$Z$2:$Z$495&lt;=3)*('CONTROL MASTER'!$AB$2:$AB$495&gt;=3)*('CONTROL MASTER'!$AA$2:$AA$495&lt;=10)*('CONTROL MASTER'!$AC$2:$AC$495&gt;=10))*ROW('CONTROL MASTER'!$S$2:$S$495))-(ROW('CONTROL MASTER'!#REF!)-1)))+1)+(10-INDEX('CONTROL MASTER'!$AA$2:$AA$495,(SUMPRODUCT((('CONTROL MASTER'!$S$2:$S$495=9)*('CONTROL MASTER'!$Z$2:$Z$495&lt;=3)*('CONTROL MASTER'!$AB$2:$AB$495&gt;=3)*('CONTROL MASTER'!$AA$2:$AA$495&lt;=10)*('CONTROL MASTER'!$AC$2:$AC$495&gt;=10))*ROW('CONTROL MASTER'!$S$2:$S$495))-(ROW('CONTROL MASTER'!#REF!)-1))))+1)))-1)*50+1,50))&amp;"_"&amp;INDEX('CONTROL MASTER'!$P$2:$P$495,(SUMPRODUCT((('CONTROL MASTER'!$S$2:$S$495=9)*('CONTROL MASTER'!$Z$2:$Z$495&lt;=3)*('CONTROL MASTER'!$AB$2:$AB$495&gt;=3)*('CONTROL MASTER'!$AA$2:$AA$495&lt;=10)*('CONTROL MASTER'!$AC$2:$AC$495&gt;=10))*ROW('CONTROL MASTER'!$S$2:$S$495))-(ROW('CONTROL MASTER'!#REF!)-1))),"")),"")</f>
        <v/>
      </c>
    </row>
    <row r="118" spans="1:11" ht="15" customHeight="1" x14ac:dyDescent="0.35">
      <c r="A118" s="8" t="s">
        <v>31</v>
      </c>
      <c r="B118" s="10" t="str">
        <f>IFERROR(IF(SUMPRODUCT((('CONTROL MASTER'!$S$2:$S$495=9)*('CONTROL MASTER'!$T$2:$T$495&lt;=4)*('CONTROL MASTER'!$V$2:$V$495&gt;=4)*('CONTROL MASTER'!$U$2:$U$495&lt;=1)*('CONTROL MASTER'!$W$2:$W$495&gt;=1))*ROW('CONTROL MASTER'!$S$2:$S$495))&gt;0,INDEX('CONTROL MASTER'!$X$2:$X$495,(SUMPRODUCT((('CONTROL MASTER'!$S$2:$S$495=9)*('CONTROL MASTER'!$T$2:$T$495&lt;=4)*('CONTROL MASTER'!$V$2:$V$495&gt;=4)*('CONTROL MASTER'!$U$2:$U$495&lt;=1)*('CONTROL MASTER'!$W$2:$W$495&gt;=1))*ROW('CONTROL MASTER'!$S$2:$S$495))-(ROW('CONTROL MASTER'!#REF!)-1)))&amp;TRIM(MID(SUBSTITUTE(SUBSTITUTE(INDEX('CONTROL MASTER'!$N$2:$N$495,(SUMPRODUCT((('CONTROL MASTER'!$S$2:$S$495=9)*('CONTROL MASTER'!$T$2:$T$495&lt;=4)*('CONTROL MASTER'!$V$2:$V$495&gt;=4)*('CONTROL MASTER'!$U$2:$U$495&lt;=1)*('CONTROL MASTER'!$W$2:$W$495&gt;=1))*ROW('CONTROL MASTER'!$S$2:$S$495))-(ROW('CONTROL MASTER'!#REF!)-1))),":",","),",",REPT(" ",50)),((((4-INDEX('CONTROL MASTER'!$T$2:$T$495,(SUMPRODUCT((('CONTROL MASTER'!$S$2:$S$495=9)*('CONTROL MASTER'!$T$2:$T$495&lt;=4)*('CONTROL MASTER'!$V$2:$V$495&gt;=4)*('CONTROL MASTER'!$U$2:$U$495&lt;=1)*('CONTROL MASTER'!$W$2:$W$495&gt;=1))*ROW('CONTROL MASTER'!$S$2:$S$495))-(ROW('CONTROL MASTER'!#REF!)-1))))*(INDEX('CONTROL MASTER'!$W$2:$W$495,(SUMPRODUCT((('CONTROL MASTER'!$S$2:$S$495=9)*('CONTROL MASTER'!$T$2:$T$495&lt;=4)*('CONTROL MASTER'!$V$2:$V$495&gt;=4)*('CONTROL MASTER'!$U$2:$U$495&lt;=1)*('CONTROL MASTER'!$W$2:$W$495&gt;=1))*ROW('CONTROL MASTER'!$S$2:$S$495))-(ROW('CONTROL MASTER'!#REF!)-1)))-INDEX('CONTROL MASTER'!$U$2:$U$495,(SUMPRODUCT((('CONTROL MASTER'!$S$2:$S$495=9)*('CONTROL MASTER'!$T$2:$T$495&lt;=4)*('CONTROL MASTER'!$V$2:$V$495&gt;=4)*('CONTROL MASTER'!$U$2:$U$495&lt;=1)*('CONTROL MASTER'!$W$2:$W$495&gt;=1))*ROW('CONTROL MASTER'!$S$2:$S$495))-(ROW('CONTROL MASTER'!#REF!)-1)))+1)+(1-INDEX('CONTROL MASTER'!$U$2:$U$495,(SUMPRODUCT((('CONTROL MASTER'!$S$2:$S$495=9)*('CONTROL MASTER'!$T$2:$T$495&lt;=4)*('CONTROL MASTER'!$V$2:$V$495&gt;=4)*('CONTROL MASTER'!$U$2:$U$495&lt;=1)*('CONTROL MASTER'!$W$2:$W$495&gt;=1))*ROW('CONTROL MASTER'!$S$2:$S$495))-(ROW('CONTROL MASTER'!#REF!)-1))))+1))-1)*50+1,50))&amp;"_"&amp;INDEX('CONTROL MASTER'!$P$2:$P$495,(SUMPRODUCT((('CONTROL MASTER'!$S$2:$S$495=9)*('CONTROL MASTER'!$T$2:$T$495&lt;=4)*('CONTROL MASTER'!$V$2:$V$495&gt;=4)*('CONTROL MASTER'!$U$2:$U$495&lt;=1)*('CONTROL MASTER'!$W$2:$W$495&gt;=1))*ROW('CONTROL MASTER'!$S$2:$S$495))-(ROW('CONTROL MASTER'!#REF!)-1))),IF(SUMPRODUCT((('CONTROL MASTER'!$S$2:$S$495=9)*('CONTROL MASTER'!$Z$2:$Z$495&lt;=4)*('CONTROL MASTER'!$AB$2:$AB$495&gt;=4)*('CONTROL MASTER'!$AA$2:$AA$495&lt;=1)*('CONTROL MASTER'!$AC$2:$AC$495&gt;=1))*ROW('CONTROL MASTER'!$S$2:$S$495))&gt;0,INDEX('CONTROL MASTER'!$X$2:$X$495,(SUMPRODUCT((('CONTROL MASTER'!$S$2:$S$495=9)*('CONTROL MASTER'!$Z$2:$Z$495&lt;=4)*('CONTROL MASTER'!$AB$2:$AB$495&gt;=4)*('CONTROL MASTER'!$AA$2:$AA$495&lt;=1)*('CONTROL MASTER'!$AC$2:$AC$495&gt;=1))*ROW('CONTROL MASTER'!$S$2:$S$495))-(ROW('CONTROL MASTER'!#REF!)-1)))&amp;TRIM(MID(SUBSTITUTE(SUBSTITUTE(INDEX('CONTROL MASTER'!$N$2:$N$495,(SUMPRODUCT((('CONTROL MASTER'!$S$2:$S$495=9)*('CONTROL MASTER'!$Z$2:$Z$495&lt;=4)*('CONTROL MASTER'!$AB$2:$AB$495&gt;=4)*('CONTROL MASTER'!$AA$2:$AA$495&lt;=1)*('CONTROL MASTER'!$AC$2:$AC$495&gt;=1))*ROW('CONTROL MASTER'!$S$2:$S$495))-(ROW('CONTROL MASTER'!#REF!)-1))),":",","),",",REPT(" ",50)),(((INDEX('CONTROL MASTER'!$Y$2:$Y$495,(SUMPRODUCT((('CONTROL MASTER'!$S$2:$S$495=9)*('CONTROL MASTER'!$Z$2:$Z$495&lt;=4)*('CONTROL MASTER'!$AB$2:$AB$495&gt;=4)*('CONTROL MASTER'!$AA$2:$AA$495&lt;=1)*('CONTROL MASTER'!$AC$2:$AC$495&gt;=1))*ROW('CONTROL MASTER'!$S$2:$S$495))-(ROW('CONTROL MASTER'!#REF!)-1)))+((4-INDEX('CONTROL MASTER'!$Z$2:$Z$495,(SUMPRODUCT((('CONTROL MASTER'!$S$2:$S$495=9)*('CONTROL MASTER'!$Z$2:$Z$495&lt;=4)*('CONTROL MASTER'!$AB$2:$AB$495&gt;=4)*('CONTROL MASTER'!$AA$2:$AA$495&lt;=1)*('CONTROL MASTER'!$AC$2:$AC$495&gt;=1))*ROW('CONTROL MASTER'!$S$2:$S$495))-(ROW('CONTROL MASTER'!#REF!)-1))))*(INDEX('CONTROL MASTER'!$AC$2:$AC$495,(SUMPRODUCT((('CONTROL MASTER'!$S$2:$S$495=9)*('CONTROL MASTER'!$Z$2:$Z$495&lt;=4)*('CONTROL MASTER'!$AB$2:$AB$495&gt;=4)*('CONTROL MASTER'!$AA$2:$AA$495&lt;=1)*('CONTROL MASTER'!$AC$2:$AC$495&gt;=1))*ROW('CONTROL MASTER'!$S$2:$S$495))-(ROW('CONTROL MASTER'!#REF!)-1)))-INDEX('CONTROL MASTER'!$AA$2:$AA$495,(SUMPRODUCT((('CONTROL MASTER'!$S$2:$S$495=9)*('CONTROL MASTER'!$Z$2:$Z$495&lt;=4)*('CONTROL MASTER'!$AB$2:$AB$495&gt;=4)*('CONTROL MASTER'!$AA$2:$AA$495&lt;=1)*('CONTROL MASTER'!$AC$2:$AC$495&gt;=1))*ROW('CONTROL MASTER'!$S$2:$S$495))-(ROW('CONTROL MASTER'!#REF!)-1)))+1)+(1-INDEX('CONTROL MASTER'!$AA$2:$AA$495,(SUMPRODUCT((('CONTROL MASTER'!$S$2:$S$495=9)*('CONTROL MASTER'!$Z$2:$Z$495&lt;=4)*('CONTROL MASTER'!$AB$2:$AB$495&gt;=4)*('CONTROL MASTER'!$AA$2:$AA$495&lt;=1)*('CONTROL MASTER'!$AC$2:$AC$495&gt;=1))*ROW('CONTROL MASTER'!$S$2:$S$495))-(ROW('CONTROL MASTER'!#REF!)-1))))+1)))-1)*50+1,50))&amp;"_"&amp;INDEX('CONTROL MASTER'!$P$2:$P$495,(SUMPRODUCT((('CONTROL MASTER'!$S$2:$S$495=9)*('CONTROL MASTER'!$Z$2:$Z$495&lt;=4)*('CONTROL MASTER'!$AB$2:$AB$495&gt;=4)*('CONTROL MASTER'!$AA$2:$AA$495&lt;=1)*('CONTROL MASTER'!$AC$2:$AC$495&gt;=1))*ROW('CONTROL MASTER'!$S$2:$S$495))-(ROW('CONTROL MASTER'!#REF!)-1))),"")),"")</f>
        <v/>
      </c>
      <c r="C118" s="10" t="str">
        <f>IFERROR(IF(SUMPRODUCT((('CONTROL MASTER'!$S$2:$S$495=9)*('CONTROL MASTER'!$T$2:$T$495&lt;=4)*('CONTROL MASTER'!$V$2:$V$495&gt;=4)*('CONTROL MASTER'!$U$2:$U$495&lt;=2)*('CONTROL MASTER'!$W$2:$W$495&gt;=2))*ROW('CONTROL MASTER'!$S$2:$S$495))&gt;0,INDEX('CONTROL MASTER'!$X$2:$X$495,(SUMPRODUCT((('CONTROL MASTER'!$S$2:$S$495=9)*('CONTROL MASTER'!$T$2:$T$495&lt;=4)*('CONTROL MASTER'!$V$2:$V$495&gt;=4)*('CONTROL MASTER'!$U$2:$U$495&lt;=2)*('CONTROL MASTER'!$W$2:$W$495&gt;=2))*ROW('CONTROL MASTER'!$S$2:$S$495))-(ROW('CONTROL MASTER'!#REF!)-1)))&amp;TRIM(MID(SUBSTITUTE(SUBSTITUTE(INDEX('CONTROL MASTER'!$N$2:$N$495,(SUMPRODUCT((('CONTROL MASTER'!$S$2:$S$495=9)*('CONTROL MASTER'!$T$2:$T$495&lt;=4)*('CONTROL MASTER'!$V$2:$V$495&gt;=4)*('CONTROL MASTER'!$U$2:$U$495&lt;=2)*('CONTROL MASTER'!$W$2:$W$495&gt;=2))*ROW('CONTROL MASTER'!$S$2:$S$495))-(ROW('CONTROL MASTER'!#REF!)-1))),":",","),",",REPT(" ",50)),((((4-INDEX('CONTROL MASTER'!$T$2:$T$495,(SUMPRODUCT((('CONTROL MASTER'!$S$2:$S$495=9)*('CONTROL MASTER'!$T$2:$T$495&lt;=4)*('CONTROL MASTER'!$V$2:$V$495&gt;=4)*('CONTROL MASTER'!$U$2:$U$495&lt;=2)*('CONTROL MASTER'!$W$2:$W$495&gt;=2))*ROW('CONTROL MASTER'!$S$2:$S$495))-(ROW('CONTROL MASTER'!#REF!)-1))))*(INDEX('CONTROL MASTER'!$W$2:$W$495,(SUMPRODUCT((('CONTROL MASTER'!$S$2:$S$495=9)*('CONTROL MASTER'!$T$2:$T$495&lt;=4)*('CONTROL MASTER'!$V$2:$V$495&gt;=4)*('CONTROL MASTER'!$U$2:$U$495&lt;=2)*('CONTROL MASTER'!$W$2:$W$495&gt;=2))*ROW('CONTROL MASTER'!$S$2:$S$495))-(ROW('CONTROL MASTER'!#REF!)-1)))-INDEX('CONTROL MASTER'!$U$2:$U$495,(SUMPRODUCT((('CONTROL MASTER'!$S$2:$S$495=9)*('CONTROL MASTER'!$T$2:$T$495&lt;=4)*('CONTROL MASTER'!$V$2:$V$495&gt;=4)*('CONTROL MASTER'!$U$2:$U$495&lt;=2)*('CONTROL MASTER'!$W$2:$W$495&gt;=2))*ROW('CONTROL MASTER'!$S$2:$S$495))-(ROW('CONTROL MASTER'!#REF!)-1)))+1)+(2-INDEX('CONTROL MASTER'!$U$2:$U$495,(SUMPRODUCT((('CONTROL MASTER'!$S$2:$S$495=9)*('CONTROL MASTER'!$T$2:$T$495&lt;=4)*('CONTROL MASTER'!$V$2:$V$495&gt;=4)*('CONTROL MASTER'!$U$2:$U$495&lt;=2)*('CONTROL MASTER'!$W$2:$W$495&gt;=2))*ROW('CONTROL MASTER'!$S$2:$S$495))-(ROW('CONTROL MASTER'!#REF!)-1))))+1))-1)*50+1,50))&amp;"_"&amp;INDEX('CONTROL MASTER'!$P$2:$P$495,(SUMPRODUCT((('CONTROL MASTER'!$S$2:$S$495=9)*('CONTROL MASTER'!$T$2:$T$495&lt;=4)*('CONTROL MASTER'!$V$2:$V$495&gt;=4)*('CONTROL MASTER'!$U$2:$U$495&lt;=2)*('CONTROL MASTER'!$W$2:$W$495&gt;=2))*ROW('CONTROL MASTER'!$S$2:$S$495))-(ROW('CONTROL MASTER'!#REF!)-1))),IF(SUMPRODUCT((('CONTROL MASTER'!$S$2:$S$495=9)*('CONTROL MASTER'!$Z$2:$Z$495&lt;=4)*('CONTROL MASTER'!$AB$2:$AB$495&gt;=4)*('CONTROL MASTER'!$AA$2:$AA$495&lt;=2)*('CONTROL MASTER'!$AC$2:$AC$495&gt;=2))*ROW('CONTROL MASTER'!$S$2:$S$495))&gt;0,INDEX('CONTROL MASTER'!$X$2:$X$495,(SUMPRODUCT((('CONTROL MASTER'!$S$2:$S$495=9)*('CONTROL MASTER'!$Z$2:$Z$495&lt;=4)*('CONTROL MASTER'!$AB$2:$AB$495&gt;=4)*('CONTROL MASTER'!$AA$2:$AA$495&lt;=2)*('CONTROL MASTER'!$AC$2:$AC$495&gt;=2))*ROW('CONTROL MASTER'!$S$2:$S$495))-(ROW('CONTROL MASTER'!#REF!)-1)))&amp;TRIM(MID(SUBSTITUTE(SUBSTITUTE(INDEX('CONTROL MASTER'!$N$2:$N$495,(SUMPRODUCT((('CONTROL MASTER'!$S$2:$S$495=9)*('CONTROL MASTER'!$Z$2:$Z$495&lt;=4)*('CONTROL MASTER'!$AB$2:$AB$495&gt;=4)*('CONTROL MASTER'!$AA$2:$AA$495&lt;=2)*('CONTROL MASTER'!$AC$2:$AC$495&gt;=2))*ROW('CONTROL MASTER'!$S$2:$S$495))-(ROW('CONTROL MASTER'!#REF!)-1))),":",","),",",REPT(" ",50)),(((INDEX('CONTROL MASTER'!$Y$2:$Y$495,(SUMPRODUCT((('CONTROL MASTER'!$S$2:$S$495=9)*('CONTROL MASTER'!$Z$2:$Z$495&lt;=4)*('CONTROL MASTER'!$AB$2:$AB$495&gt;=4)*('CONTROL MASTER'!$AA$2:$AA$495&lt;=2)*('CONTROL MASTER'!$AC$2:$AC$495&gt;=2))*ROW('CONTROL MASTER'!$S$2:$S$495))-(ROW('CONTROL MASTER'!#REF!)-1)))+((4-INDEX('CONTROL MASTER'!$Z$2:$Z$495,(SUMPRODUCT((('CONTROL MASTER'!$S$2:$S$495=9)*('CONTROL MASTER'!$Z$2:$Z$495&lt;=4)*('CONTROL MASTER'!$AB$2:$AB$495&gt;=4)*('CONTROL MASTER'!$AA$2:$AA$495&lt;=2)*('CONTROL MASTER'!$AC$2:$AC$495&gt;=2))*ROW('CONTROL MASTER'!$S$2:$S$495))-(ROW('CONTROL MASTER'!#REF!)-1))))*(INDEX('CONTROL MASTER'!$AC$2:$AC$495,(SUMPRODUCT((('CONTROL MASTER'!$S$2:$S$495=9)*('CONTROL MASTER'!$Z$2:$Z$495&lt;=4)*('CONTROL MASTER'!$AB$2:$AB$495&gt;=4)*('CONTROL MASTER'!$AA$2:$AA$495&lt;=2)*('CONTROL MASTER'!$AC$2:$AC$495&gt;=2))*ROW('CONTROL MASTER'!$S$2:$S$495))-(ROW('CONTROL MASTER'!#REF!)-1)))-INDEX('CONTROL MASTER'!$AA$2:$AA$495,(SUMPRODUCT((('CONTROL MASTER'!$S$2:$S$495=9)*('CONTROL MASTER'!$Z$2:$Z$495&lt;=4)*('CONTROL MASTER'!$AB$2:$AB$495&gt;=4)*('CONTROL MASTER'!$AA$2:$AA$495&lt;=2)*('CONTROL MASTER'!$AC$2:$AC$495&gt;=2))*ROW('CONTROL MASTER'!$S$2:$S$495))-(ROW('CONTROL MASTER'!#REF!)-1)))+1)+(2-INDEX('CONTROL MASTER'!$AA$2:$AA$495,(SUMPRODUCT((('CONTROL MASTER'!$S$2:$S$495=9)*('CONTROL MASTER'!$Z$2:$Z$495&lt;=4)*('CONTROL MASTER'!$AB$2:$AB$495&gt;=4)*('CONTROL MASTER'!$AA$2:$AA$495&lt;=2)*('CONTROL MASTER'!$AC$2:$AC$495&gt;=2))*ROW('CONTROL MASTER'!$S$2:$S$495))-(ROW('CONTROL MASTER'!#REF!)-1))))+1)))-1)*50+1,50))&amp;"_"&amp;INDEX('CONTROL MASTER'!$P$2:$P$495,(SUMPRODUCT((('CONTROL MASTER'!$S$2:$S$495=9)*('CONTROL MASTER'!$Z$2:$Z$495&lt;=4)*('CONTROL MASTER'!$AB$2:$AB$495&gt;=4)*('CONTROL MASTER'!$AA$2:$AA$495&lt;=2)*('CONTROL MASTER'!$AC$2:$AC$495&gt;=2))*ROW('CONTROL MASTER'!$S$2:$S$495))-(ROW('CONTROL MASTER'!#REF!)-1))),"")),"")</f>
        <v/>
      </c>
      <c r="D118" s="10" t="str">
        <f>IFERROR(IF(SUMPRODUCT((('CONTROL MASTER'!$S$2:$S$495=9)*('CONTROL MASTER'!$T$2:$T$495&lt;=4)*('CONTROL MASTER'!$V$2:$V$495&gt;=4)*('CONTROL MASTER'!$U$2:$U$495&lt;=3)*('CONTROL MASTER'!$W$2:$W$495&gt;=3))*ROW('CONTROL MASTER'!$S$2:$S$495))&gt;0,INDEX('CONTROL MASTER'!$X$2:$X$495,(SUMPRODUCT((('CONTROL MASTER'!$S$2:$S$495=9)*('CONTROL MASTER'!$T$2:$T$495&lt;=4)*('CONTROL MASTER'!$V$2:$V$495&gt;=4)*('CONTROL MASTER'!$U$2:$U$495&lt;=3)*('CONTROL MASTER'!$W$2:$W$495&gt;=3))*ROW('CONTROL MASTER'!$S$2:$S$495))-(ROW('CONTROL MASTER'!#REF!)-1)))&amp;TRIM(MID(SUBSTITUTE(SUBSTITUTE(INDEX('CONTROL MASTER'!$N$2:$N$495,(SUMPRODUCT((('CONTROL MASTER'!$S$2:$S$495=9)*('CONTROL MASTER'!$T$2:$T$495&lt;=4)*('CONTROL MASTER'!$V$2:$V$495&gt;=4)*('CONTROL MASTER'!$U$2:$U$495&lt;=3)*('CONTROL MASTER'!$W$2:$W$495&gt;=3))*ROW('CONTROL MASTER'!$S$2:$S$495))-(ROW('CONTROL MASTER'!#REF!)-1))),":",","),",",REPT(" ",50)),((((4-INDEX('CONTROL MASTER'!$T$2:$T$495,(SUMPRODUCT((('CONTROL MASTER'!$S$2:$S$495=9)*('CONTROL MASTER'!$T$2:$T$495&lt;=4)*('CONTROL MASTER'!$V$2:$V$495&gt;=4)*('CONTROL MASTER'!$U$2:$U$495&lt;=3)*('CONTROL MASTER'!$W$2:$W$495&gt;=3))*ROW('CONTROL MASTER'!$S$2:$S$495))-(ROW('CONTROL MASTER'!#REF!)-1))))*(INDEX('CONTROL MASTER'!$W$2:$W$495,(SUMPRODUCT((('CONTROL MASTER'!$S$2:$S$495=9)*('CONTROL MASTER'!$T$2:$T$495&lt;=4)*('CONTROL MASTER'!$V$2:$V$495&gt;=4)*('CONTROL MASTER'!$U$2:$U$495&lt;=3)*('CONTROL MASTER'!$W$2:$W$495&gt;=3))*ROW('CONTROL MASTER'!$S$2:$S$495))-(ROW('CONTROL MASTER'!#REF!)-1)))-INDEX('CONTROL MASTER'!$U$2:$U$495,(SUMPRODUCT((('CONTROL MASTER'!$S$2:$S$495=9)*('CONTROL MASTER'!$T$2:$T$495&lt;=4)*('CONTROL MASTER'!$V$2:$V$495&gt;=4)*('CONTROL MASTER'!$U$2:$U$495&lt;=3)*('CONTROL MASTER'!$W$2:$W$495&gt;=3))*ROW('CONTROL MASTER'!$S$2:$S$495))-(ROW('CONTROL MASTER'!#REF!)-1)))+1)+(3-INDEX('CONTROL MASTER'!$U$2:$U$495,(SUMPRODUCT((('CONTROL MASTER'!$S$2:$S$495=9)*('CONTROL MASTER'!$T$2:$T$495&lt;=4)*('CONTROL MASTER'!$V$2:$V$495&gt;=4)*('CONTROL MASTER'!$U$2:$U$495&lt;=3)*('CONTROL MASTER'!$W$2:$W$495&gt;=3))*ROW('CONTROL MASTER'!$S$2:$S$495))-(ROW('CONTROL MASTER'!#REF!)-1))))+1))-1)*50+1,50))&amp;"_"&amp;INDEX('CONTROL MASTER'!$P$2:$P$495,(SUMPRODUCT((('CONTROL MASTER'!$S$2:$S$495=9)*('CONTROL MASTER'!$T$2:$T$495&lt;=4)*('CONTROL MASTER'!$V$2:$V$495&gt;=4)*('CONTROL MASTER'!$U$2:$U$495&lt;=3)*('CONTROL MASTER'!$W$2:$W$495&gt;=3))*ROW('CONTROL MASTER'!$S$2:$S$495))-(ROW('CONTROL MASTER'!#REF!)-1))),IF(SUMPRODUCT((('CONTROL MASTER'!$S$2:$S$495=9)*('CONTROL MASTER'!$Z$2:$Z$495&lt;=4)*('CONTROL MASTER'!$AB$2:$AB$495&gt;=4)*('CONTROL MASTER'!$AA$2:$AA$495&lt;=3)*('CONTROL MASTER'!$AC$2:$AC$495&gt;=3))*ROW('CONTROL MASTER'!$S$2:$S$495))&gt;0,INDEX('CONTROL MASTER'!$X$2:$X$495,(SUMPRODUCT((('CONTROL MASTER'!$S$2:$S$495=9)*('CONTROL MASTER'!$Z$2:$Z$495&lt;=4)*('CONTROL MASTER'!$AB$2:$AB$495&gt;=4)*('CONTROL MASTER'!$AA$2:$AA$495&lt;=3)*('CONTROL MASTER'!$AC$2:$AC$495&gt;=3))*ROW('CONTROL MASTER'!$S$2:$S$495))-(ROW('CONTROL MASTER'!#REF!)-1)))&amp;TRIM(MID(SUBSTITUTE(SUBSTITUTE(INDEX('CONTROL MASTER'!$N$2:$N$495,(SUMPRODUCT((('CONTROL MASTER'!$S$2:$S$495=9)*('CONTROL MASTER'!$Z$2:$Z$495&lt;=4)*('CONTROL MASTER'!$AB$2:$AB$495&gt;=4)*('CONTROL MASTER'!$AA$2:$AA$495&lt;=3)*('CONTROL MASTER'!$AC$2:$AC$495&gt;=3))*ROW('CONTROL MASTER'!$S$2:$S$495))-(ROW('CONTROL MASTER'!#REF!)-1))),":",","),",",REPT(" ",50)),(((INDEX('CONTROL MASTER'!$Y$2:$Y$495,(SUMPRODUCT((('CONTROL MASTER'!$S$2:$S$495=9)*('CONTROL MASTER'!$Z$2:$Z$495&lt;=4)*('CONTROL MASTER'!$AB$2:$AB$495&gt;=4)*('CONTROL MASTER'!$AA$2:$AA$495&lt;=3)*('CONTROL MASTER'!$AC$2:$AC$495&gt;=3))*ROW('CONTROL MASTER'!$S$2:$S$495))-(ROW('CONTROL MASTER'!#REF!)-1)))+((4-INDEX('CONTROL MASTER'!$Z$2:$Z$495,(SUMPRODUCT((('CONTROL MASTER'!$S$2:$S$495=9)*('CONTROL MASTER'!$Z$2:$Z$495&lt;=4)*('CONTROL MASTER'!$AB$2:$AB$495&gt;=4)*('CONTROL MASTER'!$AA$2:$AA$495&lt;=3)*('CONTROL MASTER'!$AC$2:$AC$495&gt;=3))*ROW('CONTROL MASTER'!$S$2:$S$495))-(ROW('CONTROL MASTER'!#REF!)-1))))*(INDEX('CONTROL MASTER'!$AC$2:$AC$495,(SUMPRODUCT((('CONTROL MASTER'!$S$2:$S$495=9)*('CONTROL MASTER'!$Z$2:$Z$495&lt;=4)*('CONTROL MASTER'!$AB$2:$AB$495&gt;=4)*('CONTROL MASTER'!$AA$2:$AA$495&lt;=3)*('CONTROL MASTER'!$AC$2:$AC$495&gt;=3))*ROW('CONTROL MASTER'!$S$2:$S$495))-(ROW('CONTROL MASTER'!#REF!)-1)))-INDEX('CONTROL MASTER'!$AA$2:$AA$495,(SUMPRODUCT((('CONTROL MASTER'!$S$2:$S$495=9)*('CONTROL MASTER'!$Z$2:$Z$495&lt;=4)*('CONTROL MASTER'!$AB$2:$AB$495&gt;=4)*('CONTROL MASTER'!$AA$2:$AA$495&lt;=3)*('CONTROL MASTER'!$AC$2:$AC$495&gt;=3))*ROW('CONTROL MASTER'!$S$2:$S$495))-(ROW('CONTROL MASTER'!#REF!)-1)))+1)+(3-INDEX('CONTROL MASTER'!$AA$2:$AA$495,(SUMPRODUCT((('CONTROL MASTER'!$S$2:$S$495=9)*('CONTROL MASTER'!$Z$2:$Z$495&lt;=4)*('CONTROL MASTER'!$AB$2:$AB$495&gt;=4)*('CONTROL MASTER'!$AA$2:$AA$495&lt;=3)*('CONTROL MASTER'!$AC$2:$AC$495&gt;=3))*ROW('CONTROL MASTER'!$S$2:$S$495))-(ROW('CONTROL MASTER'!#REF!)-1))))+1)))-1)*50+1,50))&amp;"_"&amp;INDEX('CONTROL MASTER'!$P$2:$P$495,(SUMPRODUCT((('CONTROL MASTER'!$S$2:$S$495=9)*('CONTROL MASTER'!$Z$2:$Z$495&lt;=4)*('CONTROL MASTER'!$AB$2:$AB$495&gt;=4)*('CONTROL MASTER'!$AA$2:$AA$495&lt;=3)*('CONTROL MASTER'!$AC$2:$AC$495&gt;=3))*ROW('CONTROL MASTER'!$S$2:$S$495))-(ROW('CONTROL MASTER'!#REF!)-1))),"")),"")</f>
        <v/>
      </c>
      <c r="E118" s="10" t="str">
        <f>IFERROR(IF(SUMPRODUCT((('CONTROL MASTER'!$S$2:$S$495=9)*('CONTROL MASTER'!$T$2:$T$495&lt;=4)*('CONTROL MASTER'!$V$2:$V$495&gt;=4)*('CONTROL MASTER'!$U$2:$U$495&lt;=4)*('CONTROL MASTER'!$W$2:$W$495&gt;=4))*ROW('CONTROL MASTER'!$S$2:$S$495))&gt;0,INDEX('CONTROL MASTER'!$X$2:$X$495,(SUMPRODUCT((('CONTROL MASTER'!$S$2:$S$495=9)*('CONTROL MASTER'!$T$2:$T$495&lt;=4)*('CONTROL MASTER'!$V$2:$V$495&gt;=4)*('CONTROL MASTER'!$U$2:$U$495&lt;=4)*('CONTROL MASTER'!$W$2:$W$495&gt;=4))*ROW('CONTROL MASTER'!$S$2:$S$495))-(ROW('CONTROL MASTER'!#REF!)-1)))&amp;TRIM(MID(SUBSTITUTE(SUBSTITUTE(INDEX('CONTROL MASTER'!$N$2:$N$495,(SUMPRODUCT((('CONTROL MASTER'!$S$2:$S$495=9)*('CONTROL MASTER'!$T$2:$T$495&lt;=4)*('CONTROL MASTER'!$V$2:$V$495&gt;=4)*('CONTROL MASTER'!$U$2:$U$495&lt;=4)*('CONTROL MASTER'!$W$2:$W$495&gt;=4))*ROW('CONTROL MASTER'!$S$2:$S$495))-(ROW('CONTROL MASTER'!#REF!)-1))),":",","),",",REPT(" ",50)),((((4-INDEX('CONTROL MASTER'!$T$2:$T$495,(SUMPRODUCT((('CONTROL MASTER'!$S$2:$S$495=9)*('CONTROL MASTER'!$T$2:$T$495&lt;=4)*('CONTROL MASTER'!$V$2:$V$495&gt;=4)*('CONTROL MASTER'!$U$2:$U$495&lt;=4)*('CONTROL MASTER'!$W$2:$W$495&gt;=4))*ROW('CONTROL MASTER'!$S$2:$S$495))-(ROW('CONTROL MASTER'!#REF!)-1))))*(INDEX('CONTROL MASTER'!$W$2:$W$495,(SUMPRODUCT((('CONTROL MASTER'!$S$2:$S$495=9)*('CONTROL MASTER'!$T$2:$T$495&lt;=4)*('CONTROL MASTER'!$V$2:$V$495&gt;=4)*('CONTROL MASTER'!$U$2:$U$495&lt;=4)*('CONTROL MASTER'!$W$2:$W$495&gt;=4))*ROW('CONTROL MASTER'!$S$2:$S$495))-(ROW('CONTROL MASTER'!#REF!)-1)))-INDEX('CONTROL MASTER'!$U$2:$U$495,(SUMPRODUCT((('CONTROL MASTER'!$S$2:$S$495=9)*('CONTROL MASTER'!$T$2:$T$495&lt;=4)*('CONTROL MASTER'!$V$2:$V$495&gt;=4)*('CONTROL MASTER'!$U$2:$U$495&lt;=4)*('CONTROL MASTER'!$W$2:$W$495&gt;=4))*ROW('CONTROL MASTER'!$S$2:$S$495))-(ROW('CONTROL MASTER'!#REF!)-1)))+1)+(4-INDEX('CONTROL MASTER'!$U$2:$U$495,(SUMPRODUCT((('CONTROL MASTER'!$S$2:$S$495=9)*('CONTROL MASTER'!$T$2:$T$495&lt;=4)*('CONTROL MASTER'!$V$2:$V$495&gt;=4)*('CONTROL MASTER'!$U$2:$U$495&lt;=4)*('CONTROL MASTER'!$W$2:$W$495&gt;=4))*ROW('CONTROL MASTER'!$S$2:$S$495))-(ROW('CONTROL MASTER'!#REF!)-1))))+1))-1)*50+1,50))&amp;"_"&amp;INDEX('CONTROL MASTER'!$P$2:$P$495,(SUMPRODUCT((('CONTROL MASTER'!$S$2:$S$495=9)*('CONTROL MASTER'!$T$2:$T$495&lt;=4)*('CONTROL MASTER'!$V$2:$V$495&gt;=4)*('CONTROL MASTER'!$U$2:$U$495&lt;=4)*('CONTROL MASTER'!$W$2:$W$495&gt;=4))*ROW('CONTROL MASTER'!$S$2:$S$495))-(ROW('CONTROL MASTER'!#REF!)-1))),IF(SUMPRODUCT((('CONTROL MASTER'!$S$2:$S$495=9)*('CONTROL MASTER'!$Z$2:$Z$495&lt;=4)*('CONTROL MASTER'!$AB$2:$AB$495&gt;=4)*('CONTROL MASTER'!$AA$2:$AA$495&lt;=4)*('CONTROL MASTER'!$AC$2:$AC$495&gt;=4))*ROW('CONTROL MASTER'!$S$2:$S$495))&gt;0,INDEX('CONTROL MASTER'!$X$2:$X$495,(SUMPRODUCT((('CONTROL MASTER'!$S$2:$S$495=9)*('CONTROL MASTER'!$Z$2:$Z$495&lt;=4)*('CONTROL MASTER'!$AB$2:$AB$495&gt;=4)*('CONTROL MASTER'!$AA$2:$AA$495&lt;=4)*('CONTROL MASTER'!$AC$2:$AC$495&gt;=4))*ROW('CONTROL MASTER'!$S$2:$S$495))-(ROW('CONTROL MASTER'!#REF!)-1)))&amp;TRIM(MID(SUBSTITUTE(SUBSTITUTE(INDEX('CONTROL MASTER'!$N$2:$N$495,(SUMPRODUCT((('CONTROL MASTER'!$S$2:$S$495=9)*('CONTROL MASTER'!$Z$2:$Z$495&lt;=4)*('CONTROL MASTER'!$AB$2:$AB$495&gt;=4)*('CONTROL MASTER'!$AA$2:$AA$495&lt;=4)*('CONTROL MASTER'!$AC$2:$AC$495&gt;=4))*ROW('CONTROL MASTER'!$S$2:$S$495))-(ROW('CONTROL MASTER'!#REF!)-1))),":",","),",",REPT(" ",50)),(((INDEX('CONTROL MASTER'!$Y$2:$Y$495,(SUMPRODUCT((('CONTROL MASTER'!$S$2:$S$495=9)*('CONTROL MASTER'!$Z$2:$Z$495&lt;=4)*('CONTROL MASTER'!$AB$2:$AB$495&gt;=4)*('CONTROL MASTER'!$AA$2:$AA$495&lt;=4)*('CONTROL MASTER'!$AC$2:$AC$495&gt;=4))*ROW('CONTROL MASTER'!$S$2:$S$495))-(ROW('CONTROL MASTER'!#REF!)-1)))+((4-INDEX('CONTROL MASTER'!$Z$2:$Z$495,(SUMPRODUCT((('CONTROL MASTER'!$S$2:$S$495=9)*('CONTROL MASTER'!$Z$2:$Z$495&lt;=4)*('CONTROL MASTER'!$AB$2:$AB$495&gt;=4)*('CONTROL MASTER'!$AA$2:$AA$495&lt;=4)*('CONTROL MASTER'!$AC$2:$AC$495&gt;=4))*ROW('CONTROL MASTER'!$S$2:$S$495))-(ROW('CONTROL MASTER'!#REF!)-1))))*(INDEX('CONTROL MASTER'!$AC$2:$AC$495,(SUMPRODUCT((('CONTROL MASTER'!$S$2:$S$495=9)*('CONTROL MASTER'!$Z$2:$Z$495&lt;=4)*('CONTROL MASTER'!$AB$2:$AB$495&gt;=4)*('CONTROL MASTER'!$AA$2:$AA$495&lt;=4)*('CONTROL MASTER'!$AC$2:$AC$495&gt;=4))*ROW('CONTROL MASTER'!$S$2:$S$495))-(ROW('CONTROL MASTER'!#REF!)-1)))-INDEX('CONTROL MASTER'!$AA$2:$AA$495,(SUMPRODUCT((('CONTROL MASTER'!$S$2:$S$495=9)*('CONTROL MASTER'!$Z$2:$Z$495&lt;=4)*('CONTROL MASTER'!$AB$2:$AB$495&gt;=4)*('CONTROL MASTER'!$AA$2:$AA$495&lt;=4)*('CONTROL MASTER'!$AC$2:$AC$495&gt;=4))*ROW('CONTROL MASTER'!$S$2:$S$495))-(ROW('CONTROL MASTER'!#REF!)-1)))+1)+(4-INDEX('CONTROL MASTER'!$AA$2:$AA$495,(SUMPRODUCT((('CONTROL MASTER'!$S$2:$S$495=9)*('CONTROL MASTER'!$Z$2:$Z$495&lt;=4)*('CONTROL MASTER'!$AB$2:$AB$495&gt;=4)*('CONTROL MASTER'!$AA$2:$AA$495&lt;=4)*('CONTROL MASTER'!$AC$2:$AC$495&gt;=4))*ROW('CONTROL MASTER'!$S$2:$S$495))-(ROW('CONTROL MASTER'!#REF!)-1))))+1)))-1)*50+1,50))&amp;"_"&amp;INDEX('CONTROL MASTER'!$P$2:$P$495,(SUMPRODUCT((('CONTROL MASTER'!$S$2:$S$495=9)*('CONTROL MASTER'!$Z$2:$Z$495&lt;=4)*('CONTROL MASTER'!$AB$2:$AB$495&gt;=4)*('CONTROL MASTER'!$AA$2:$AA$495&lt;=4)*('CONTROL MASTER'!$AC$2:$AC$495&gt;=4))*ROW('CONTROL MASTER'!$S$2:$S$495))-(ROW('CONTROL MASTER'!#REF!)-1))),"")),"")</f>
        <v/>
      </c>
      <c r="F118" s="10" t="str">
        <f>IFERROR(IF(SUMPRODUCT((('CONTROL MASTER'!$S$2:$S$495=9)*('CONTROL MASTER'!$T$2:$T$495&lt;=4)*('CONTROL MASTER'!$V$2:$V$495&gt;=4)*('CONTROL MASTER'!$U$2:$U$495&lt;=5)*('CONTROL MASTER'!$W$2:$W$495&gt;=5))*ROW('CONTROL MASTER'!$S$2:$S$495))&gt;0,INDEX('CONTROL MASTER'!$X$2:$X$495,(SUMPRODUCT((('CONTROL MASTER'!$S$2:$S$495=9)*('CONTROL MASTER'!$T$2:$T$495&lt;=4)*('CONTROL MASTER'!$V$2:$V$495&gt;=4)*('CONTROL MASTER'!$U$2:$U$495&lt;=5)*('CONTROL MASTER'!$W$2:$W$495&gt;=5))*ROW('CONTROL MASTER'!$S$2:$S$495))-(ROW('CONTROL MASTER'!#REF!)-1)))&amp;TRIM(MID(SUBSTITUTE(SUBSTITUTE(INDEX('CONTROL MASTER'!$N$2:$N$495,(SUMPRODUCT((('CONTROL MASTER'!$S$2:$S$495=9)*('CONTROL MASTER'!$T$2:$T$495&lt;=4)*('CONTROL MASTER'!$V$2:$V$495&gt;=4)*('CONTROL MASTER'!$U$2:$U$495&lt;=5)*('CONTROL MASTER'!$W$2:$W$495&gt;=5))*ROW('CONTROL MASTER'!$S$2:$S$495))-(ROW('CONTROL MASTER'!#REF!)-1))),":",","),",",REPT(" ",50)),((((4-INDEX('CONTROL MASTER'!$T$2:$T$495,(SUMPRODUCT((('CONTROL MASTER'!$S$2:$S$495=9)*('CONTROL MASTER'!$T$2:$T$495&lt;=4)*('CONTROL MASTER'!$V$2:$V$495&gt;=4)*('CONTROL MASTER'!$U$2:$U$495&lt;=5)*('CONTROL MASTER'!$W$2:$W$495&gt;=5))*ROW('CONTROL MASTER'!$S$2:$S$495))-(ROW('CONTROL MASTER'!#REF!)-1))))*(INDEX('CONTROL MASTER'!$W$2:$W$495,(SUMPRODUCT((('CONTROL MASTER'!$S$2:$S$495=9)*('CONTROL MASTER'!$T$2:$T$495&lt;=4)*('CONTROL MASTER'!$V$2:$V$495&gt;=4)*('CONTROL MASTER'!$U$2:$U$495&lt;=5)*('CONTROL MASTER'!$W$2:$W$495&gt;=5))*ROW('CONTROL MASTER'!$S$2:$S$495))-(ROW('CONTROL MASTER'!#REF!)-1)))-INDEX('CONTROL MASTER'!$U$2:$U$495,(SUMPRODUCT((('CONTROL MASTER'!$S$2:$S$495=9)*('CONTROL MASTER'!$T$2:$T$495&lt;=4)*('CONTROL MASTER'!$V$2:$V$495&gt;=4)*('CONTROL MASTER'!$U$2:$U$495&lt;=5)*('CONTROL MASTER'!$W$2:$W$495&gt;=5))*ROW('CONTROL MASTER'!$S$2:$S$495))-(ROW('CONTROL MASTER'!#REF!)-1)))+1)+(5-INDEX('CONTROL MASTER'!$U$2:$U$495,(SUMPRODUCT((('CONTROL MASTER'!$S$2:$S$495=9)*('CONTROL MASTER'!$T$2:$T$495&lt;=4)*('CONTROL MASTER'!$V$2:$V$495&gt;=4)*('CONTROL MASTER'!$U$2:$U$495&lt;=5)*('CONTROL MASTER'!$W$2:$W$495&gt;=5))*ROW('CONTROL MASTER'!$S$2:$S$495))-(ROW('CONTROL MASTER'!#REF!)-1))))+1))-1)*50+1,50))&amp;"_"&amp;INDEX('CONTROL MASTER'!$P$2:$P$495,(SUMPRODUCT((('CONTROL MASTER'!$S$2:$S$495=9)*('CONTROL MASTER'!$T$2:$T$495&lt;=4)*('CONTROL MASTER'!$V$2:$V$495&gt;=4)*('CONTROL MASTER'!$U$2:$U$495&lt;=5)*('CONTROL MASTER'!$W$2:$W$495&gt;=5))*ROW('CONTROL MASTER'!$S$2:$S$495))-(ROW('CONTROL MASTER'!#REF!)-1))),IF(SUMPRODUCT((('CONTROL MASTER'!$S$2:$S$495=9)*('CONTROL MASTER'!$Z$2:$Z$495&lt;=4)*('CONTROL MASTER'!$AB$2:$AB$495&gt;=4)*('CONTROL MASTER'!$AA$2:$AA$495&lt;=5)*('CONTROL MASTER'!$AC$2:$AC$495&gt;=5))*ROW('CONTROL MASTER'!$S$2:$S$495))&gt;0,INDEX('CONTROL MASTER'!$X$2:$X$495,(SUMPRODUCT((('CONTROL MASTER'!$S$2:$S$495=9)*('CONTROL MASTER'!$Z$2:$Z$495&lt;=4)*('CONTROL MASTER'!$AB$2:$AB$495&gt;=4)*('CONTROL MASTER'!$AA$2:$AA$495&lt;=5)*('CONTROL MASTER'!$AC$2:$AC$495&gt;=5))*ROW('CONTROL MASTER'!$S$2:$S$495))-(ROW('CONTROL MASTER'!#REF!)-1)))&amp;TRIM(MID(SUBSTITUTE(SUBSTITUTE(INDEX('CONTROL MASTER'!$N$2:$N$495,(SUMPRODUCT((('CONTROL MASTER'!$S$2:$S$495=9)*('CONTROL MASTER'!$Z$2:$Z$495&lt;=4)*('CONTROL MASTER'!$AB$2:$AB$495&gt;=4)*('CONTROL MASTER'!$AA$2:$AA$495&lt;=5)*('CONTROL MASTER'!$AC$2:$AC$495&gt;=5))*ROW('CONTROL MASTER'!$S$2:$S$495))-(ROW('CONTROL MASTER'!#REF!)-1))),":",","),",",REPT(" ",50)),(((INDEX('CONTROL MASTER'!$Y$2:$Y$495,(SUMPRODUCT((('CONTROL MASTER'!$S$2:$S$495=9)*('CONTROL MASTER'!$Z$2:$Z$495&lt;=4)*('CONTROL MASTER'!$AB$2:$AB$495&gt;=4)*('CONTROL MASTER'!$AA$2:$AA$495&lt;=5)*('CONTROL MASTER'!$AC$2:$AC$495&gt;=5))*ROW('CONTROL MASTER'!$S$2:$S$495))-(ROW('CONTROL MASTER'!#REF!)-1)))+((4-INDEX('CONTROL MASTER'!$Z$2:$Z$495,(SUMPRODUCT((('CONTROL MASTER'!$S$2:$S$495=9)*('CONTROL MASTER'!$Z$2:$Z$495&lt;=4)*('CONTROL MASTER'!$AB$2:$AB$495&gt;=4)*('CONTROL MASTER'!$AA$2:$AA$495&lt;=5)*('CONTROL MASTER'!$AC$2:$AC$495&gt;=5))*ROW('CONTROL MASTER'!$S$2:$S$495))-(ROW('CONTROL MASTER'!#REF!)-1))))*(INDEX('CONTROL MASTER'!$AC$2:$AC$495,(SUMPRODUCT((('CONTROL MASTER'!$S$2:$S$495=9)*('CONTROL MASTER'!$Z$2:$Z$495&lt;=4)*('CONTROL MASTER'!$AB$2:$AB$495&gt;=4)*('CONTROL MASTER'!$AA$2:$AA$495&lt;=5)*('CONTROL MASTER'!$AC$2:$AC$495&gt;=5))*ROW('CONTROL MASTER'!$S$2:$S$495))-(ROW('CONTROL MASTER'!#REF!)-1)))-INDEX('CONTROL MASTER'!$AA$2:$AA$495,(SUMPRODUCT((('CONTROL MASTER'!$S$2:$S$495=9)*('CONTROL MASTER'!$Z$2:$Z$495&lt;=4)*('CONTROL MASTER'!$AB$2:$AB$495&gt;=4)*('CONTROL MASTER'!$AA$2:$AA$495&lt;=5)*('CONTROL MASTER'!$AC$2:$AC$495&gt;=5))*ROW('CONTROL MASTER'!$S$2:$S$495))-(ROW('CONTROL MASTER'!#REF!)-1)))+1)+(5-INDEX('CONTROL MASTER'!$AA$2:$AA$495,(SUMPRODUCT((('CONTROL MASTER'!$S$2:$S$495=9)*('CONTROL MASTER'!$Z$2:$Z$495&lt;=4)*('CONTROL MASTER'!$AB$2:$AB$495&gt;=4)*('CONTROL MASTER'!$AA$2:$AA$495&lt;=5)*('CONTROL MASTER'!$AC$2:$AC$495&gt;=5))*ROW('CONTROL MASTER'!$S$2:$S$495))-(ROW('CONTROL MASTER'!#REF!)-1))))+1)))-1)*50+1,50))&amp;"_"&amp;INDEX('CONTROL MASTER'!$P$2:$P$495,(SUMPRODUCT((('CONTROL MASTER'!$S$2:$S$495=9)*('CONTROL MASTER'!$Z$2:$Z$495&lt;=4)*('CONTROL MASTER'!$AB$2:$AB$495&gt;=4)*('CONTROL MASTER'!$AA$2:$AA$495&lt;=5)*('CONTROL MASTER'!$AC$2:$AC$495&gt;=5))*ROW('CONTROL MASTER'!$S$2:$S$495))-(ROW('CONTROL MASTER'!#REF!)-1))),"")),"")</f>
        <v/>
      </c>
      <c r="G118" s="10" t="str">
        <f>IFERROR(IF(SUMPRODUCT((('CONTROL MASTER'!$S$2:$S$495=9)*('CONTROL MASTER'!$T$2:$T$495&lt;=4)*('CONTROL MASTER'!$V$2:$V$495&gt;=4)*('CONTROL MASTER'!$U$2:$U$495&lt;=6)*('CONTROL MASTER'!$W$2:$W$495&gt;=6))*ROW('CONTROL MASTER'!$S$2:$S$495))&gt;0,INDEX('CONTROL MASTER'!$X$2:$X$495,(SUMPRODUCT((('CONTROL MASTER'!$S$2:$S$495=9)*('CONTROL MASTER'!$T$2:$T$495&lt;=4)*('CONTROL MASTER'!$V$2:$V$495&gt;=4)*('CONTROL MASTER'!$U$2:$U$495&lt;=6)*('CONTROL MASTER'!$W$2:$W$495&gt;=6))*ROW('CONTROL MASTER'!$S$2:$S$495))-(ROW('CONTROL MASTER'!#REF!)-1)))&amp;TRIM(MID(SUBSTITUTE(SUBSTITUTE(INDEX('CONTROL MASTER'!$N$2:$N$495,(SUMPRODUCT((('CONTROL MASTER'!$S$2:$S$495=9)*('CONTROL MASTER'!$T$2:$T$495&lt;=4)*('CONTROL MASTER'!$V$2:$V$495&gt;=4)*('CONTROL MASTER'!$U$2:$U$495&lt;=6)*('CONTROL MASTER'!$W$2:$W$495&gt;=6))*ROW('CONTROL MASTER'!$S$2:$S$495))-(ROW('CONTROL MASTER'!#REF!)-1))),":",","),",",REPT(" ",50)),((((4-INDEX('CONTROL MASTER'!$T$2:$T$495,(SUMPRODUCT((('CONTROL MASTER'!$S$2:$S$495=9)*('CONTROL MASTER'!$T$2:$T$495&lt;=4)*('CONTROL MASTER'!$V$2:$V$495&gt;=4)*('CONTROL MASTER'!$U$2:$U$495&lt;=6)*('CONTROL MASTER'!$W$2:$W$495&gt;=6))*ROW('CONTROL MASTER'!$S$2:$S$495))-(ROW('CONTROL MASTER'!#REF!)-1))))*(INDEX('CONTROL MASTER'!$W$2:$W$495,(SUMPRODUCT((('CONTROL MASTER'!$S$2:$S$495=9)*('CONTROL MASTER'!$T$2:$T$495&lt;=4)*('CONTROL MASTER'!$V$2:$V$495&gt;=4)*('CONTROL MASTER'!$U$2:$U$495&lt;=6)*('CONTROL MASTER'!$W$2:$W$495&gt;=6))*ROW('CONTROL MASTER'!$S$2:$S$495))-(ROW('CONTROL MASTER'!#REF!)-1)))-INDEX('CONTROL MASTER'!$U$2:$U$495,(SUMPRODUCT((('CONTROL MASTER'!$S$2:$S$495=9)*('CONTROL MASTER'!$T$2:$T$495&lt;=4)*('CONTROL MASTER'!$V$2:$V$495&gt;=4)*('CONTROL MASTER'!$U$2:$U$495&lt;=6)*('CONTROL MASTER'!$W$2:$W$495&gt;=6))*ROW('CONTROL MASTER'!$S$2:$S$495))-(ROW('CONTROL MASTER'!#REF!)-1)))+1)+(6-INDEX('CONTROL MASTER'!$U$2:$U$495,(SUMPRODUCT((('CONTROL MASTER'!$S$2:$S$495=9)*('CONTROL MASTER'!$T$2:$T$495&lt;=4)*('CONTROL MASTER'!$V$2:$V$495&gt;=4)*('CONTROL MASTER'!$U$2:$U$495&lt;=6)*('CONTROL MASTER'!$W$2:$W$495&gt;=6))*ROW('CONTROL MASTER'!$S$2:$S$495))-(ROW('CONTROL MASTER'!#REF!)-1))))+1))-1)*50+1,50))&amp;"_"&amp;INDEX('CONTROL MASTER'!$P$2:$P$495,(SUMPRODUCT((('CONTROL MASTER'!$S$2:$S$495=9)*('CONTROL MASTER'!$T$2:$T$495&lt;=4)*('CONTROL MASTER'!$V$2:$V$495&gt;=4)*('CONTROL MASTER'!$U$2:$U$495&lt;=6)*('CONTROL MASTER'!$W$2:$W$495&gt;=6))*ROW('CONTROL MASTER'!$S$2:$S$495))-(ROW('CONTROL MASTER'!#REF!)-1))),IF(SUMPRODUCT((('CONTROL MASTER'!$S$2:$S$495=9)*('CONTROL MASTER'!$Z$2:$Z$495&lt;=4)*('CONTROL MASTER'!$AB$2:$AB$495&gt;=4)*('CONTROL MASTER'!$AA$2:$AA$495&lt;=6)*('CONTROL MASTER'!$AC$2:$AC$495&gt;=6))*ROW('CONTROL MASTER'!$S$2:$S$495))&gt;0,INDEX('CONTROL MASTER'!$X$2:$X$495,(SUMPRODUCT((('CONTROL MASTER'!$S$2:$S$495=9)*('CONTROL MASTER'!$Z$2:$Z$495&lt;=4)*('CONTROL MASTER'!$AB$2:$AB$495&gt;=4)*('CONTROL MASTER'!$AA$2:$AA$495&lt;=6)*('CONTROL MASTER'!$AC$2:$AC$495&gt;=6))*ROW('CONTROL MASTER'!$S$2:$S$495))-(ROW('CONTROL MASTER'!#REF!)-1)))&amp;TRIM(MID(SUBSTITUTE(SUBSTITUTE(INDEX('CONTROL MASTER'!$N$2:$N$495,(SUMPRODUCT((('CONTROL MASTER'!$S$2:$S$495=9)*('CONTROL MASTER'!$Z$2:$Z$495&lt;=4)*('CONTROL MASTER'!$AB$2:$AB$495&gt;=4)*('CONTROL MASTER'!$AA$2:$AA$495&lt;=6)*('CONTROL MASTER'!$AC$2:$AC$495&gt;=6))*ROW('CONTROL MASTER'!$S$2:$S$495))-(ROW('CONTROL MASTER'!#REF!)-1))),":",","),",",REPT(" ",50)),(((INDEX('CONTROL MASTER'!$Y$2:$Y$495,(SUMPRODUCT((('CONTROL MASTER'!$S$2:$S$495=9)*('CONTROL MASTER'!$Z$2:$Z$495&lt;=4)*('CONTROL MASTER'!$AB$2:$AB$495&gt;=4)*('CONTROL MASTER'!$AA$2:$AA$495&lt;=6)*('CONTROL MASTER'!$AC$2:$AC$495&gt;=6))*ROW('CONTROL MASTER'!$S$2:$S$495))-(ROW('CONTROL MASTER'!#REF!)-1)))+((4-INDEX('CONTROL MASTER'!$Z$2:$Z$495,(SUMPRODUCT((('CONTROL MASTER'!$S$2:$S$495=9)*('CONTROL MASTER'!$Z$2:$Z$495&lt;=4)*('CONTROL MASTER'!$AB$2:$AB$495&gt;=4)*('CONTROL MASTER'!$AA$2:$AA$495&lt;=6)*('CONTROL MASTER'!$AC$2:$AC$495&gt;=6))*ROW('CONTROL MASTER'!$S$2:$S$495))-(ROW('CONTROL MASTER'!#REF!)-1))))*(INDEX('CONTROL MASTER'!$AC$2:$AC$495,(SUMPRODUCT((('CONTROL MASTER'!$S$2:$S$495=9)*('CONTROL MASTER'!$Z$2:$Z$495&lt;=4)*('CONTROL MASTER'!$AB$2:$AB$495&gt;=4)*('CONTROL MASTER'!$AA$2:$AA$495&lt;=6)*('CONTROL MASTER'!$AC$2:$AC$495&gt;=6))*ROW('CONTROL MASTER'!$S$2:$S$495))-(ROW('CONTROL MASTER'!#REF!)-1)))-INDEX('CONTROL MASTER'!$AA$2:$AA$495,(SUMPRODUCT((('CONTROL MASTER'!$S$2:$S$495=9)*('CONTROL MASTER'!$Z$2:$Z$495&lt;=4)*('CONTROL MASTER'!$AB$2:$AB$495&gt;=4)*('CONTROL MASTER'!$AA$2:$AA$495&lt;=6)*('CONTROL MASTER'!$AC$2:$AC$495&gt;=6))*ROW('CONTROL MASTER'!$S$2:$S$495))-(ROW('CONTROL MASTER'!#REF!)-1)))+1)+(6-INDEX('CONTROL MASTER'!$AA$2:$AA$495,(SUMPRODUCT((('CONTROL MASTER'!$S$2:$S$495=9)*('CONTROL MASTER'!$Z$2:$Z$495&lt;=4)*('CONTROL MASTER'!$AB$2:$AB$495&gt;=4)*('CONTROL MASTER'!$AA$2:$AA$495&lt;=6)*('CONTROL MASTER'!$AC$2:$AC$495&gt;=6))*ROW('CONTROL MASTER'!$S$2:$S$495))-(ROW('CONTROL MASTER'!#REF!)-1))))+1)))-1)*50+1,50))&amp;"_"&amp;INDEX('CONTROL MASTER'!$P$2:$P$495,(SUMPRODUCT((('CONTROL MASTER'!$S$2:$S$495=9)*('CONTROL MASTER'!$Z$2:$Z$495&lt;=4)*('CONTROL MASTER'!$AB$2:$AB$495&gt;=4)*('CONTROL MASTER'!$AA$2:$AA$495&lt;=6)*('CONTROL MASTER'!$AC$2:$AC$495&gt;=6))*ROW('CONTROL MASTER'!$S$2:$S$495))-(ROW('CONTROL MASTER'!#REF!)-1))),"")),"")</f>
        <v/>
      </c>
      <c r="H118" s="10" t="str">
        <f>IFERROR(IF(SUMPRODUCT((('CONTROL MASTER'!$S$2:$S$495=9)*('CONTROL MASTER'!$T$2:$T$495&lt;=4)*('CONTROL MASTER'!$V$2:$V$495&gt;=4)*('CONTROL MASTER'!$U$2:$U$495&lt;=7)*('CONTROL MASTER'!$W$2:$W$495&gt;=7))*ROW('CONTROL MASTER'!$S$2:$S$495))&gt;0,INDEX('CONTROL MASTER'!$X$2:$X$495,(SUMPRODUCT((('CONTROL MASTER'!$S$2:$S$495=9)*('CONTROL MASTER'!$T$2:$T$495&lt;=4)*('CONTROL MASTER'!$V$2:$V$495&gt;=4)*('CONTROL MASTER'!$U$2:$U$495&lt;=7)*('CONTROL MASTER'!$W$2:$W$495&gt;=7))*ROW('CONTROL MASTER'!$S$2:$S$495))-(ROW('CONTROL MASTER'!#REF!)-1)))&amp;TRIM(MID(SUBSTITUTE(SUBSTITUTE(INDEX('CONTROL MASTER'!$N$2:$N$495,(SUMPRODUCT((('CONTROL MASTER'!$S$2:$S$495=9)*('CONTROL MASTER'!$T$2:$T$495&lt;=4)*('CONTROL MASTER'!$V$2:$V$495&gt;=4)*('CONTROL MASTER'!$U$2:$U$495&lt;=7)*('CONTROL MASTER'!$W$2:$W$495&gt;=7))*ROW('CONTROL MASTER'!$S$2:$S$495))-(ROW('CONTROL MASTER'!#REF!)-1))),":",","),",",REPT(" ",50)),((((4-INDEX('CONTROL MASTER'!$T$2:$T$495,(SUMPRODUCT((('CONTROL MASTER'!$S$2:$S$495=9)*('CONTROL MASTER'!$T$2:$T$495&lt;=4)*('CONTROL MASTER'!$V$2:$V$495&gt;=4)*('CONTROL MASTER'!$U$2:$U$495&lt;=7)*('CONTROL MASTER'!$W$2:$W$495&gt;=7))*ROW('CONTROL MASTER'!$S$2:$S$495))-(ROW('CONTROL MASTER'!#REF!)-1))))*(INDEX('CONTROL MASTER'!$W$2:$W$495,(SUMPRODUCT((('CONTROL MASTER'!$S$2:$S$495=9)*('CONTROL MASTER'!$T$2:$T$495&lt;=4)*('CONTROL MASTER'!$V$2:$V$495&gt;=4)*('CONTROL MASTER'!$U$2:$U$495&lt;=7)*('CONTROL MASTER'!$W$2:$W$495&gt;=7))*ROW('CONTROL MASTER'!$S$2:$S$495))-(ROW('CONTROL MASTER'!#REF!)-1)))-INDEX('CONTROL MASTER'!$U$2:$U$495,(SUMPRODUCT((('CONTROL MASTER'!$S$2:$S$495=9)*('CONTROL MASTER'!$T$2:$T$495&lt;=4)*('CONTROL MASTER'!$V$2:$V$495&gt;=4)*('CONTROL MASTER'!$U$2:$U$495&lt;=7)*('CONTROL MASTER'!$W$2:$W$495&gt;=7))*ROW('CONTROL MASTER'!$S$2:$S$495))-(ROW('CONTROL MASTER'!#REF!)-1)))+1)+(7-INDEX('CONTROL MASTER'!$U$2:$U$495,(SUMPRODUCT((('CONTROL MASTER'!$S$2:$S$495=9)*('CONTROL MASTER'!$T$2:$T$495&lt;=4)*('CONTROL MASTER'!$V$2:$V$495&gt;=4)*('CONTROL MASTER'!$U$2:$U$495&lt;=7)*('CONTROL MASTER'!$W$2:$W$495&gt;=7))*ROW('CONTROL MASTER'!$S$2:$S$495))-(ROW('CONTROL MASTER'!#REF!)-1))))+1))-1)*50+1,50))&amp;"_"&amp;INDEX('CONTROL MASTER'!$P$2:$P$495,(SUMPRODUCT((('CONTROL MASTER'!$S$2:$S$495=9)*('CONTROL MASTER'!$T$2:$T$495&lt;=4)*('CONTROL MASTER'!$V$2:$V$495&gt;=4)*('CONTROL MASTER'!$U$2:$U$495&lt;=7)*('CONTROL MASTER'!$W$2:$W$495&gt;=7))*ROW('CONTROL MASTER'!$S$2:$S$495))-(ROW('CONTROL MASTER'!#REF!)-1))),IF(SUMPRODUCT((('CONTROL MASTER'!$S$2:$S$495=9)*('CONTROL MASTER'!$Z$2:$Z$495&lt;=4)*('CONTROL MASTER'!$AB$2:$AB$495&gt;=4)*('CONTROL MASTER'!$AA$2:$AA$495&lt;=7)*('CONTROL MASTER'!$AC$2:$AC$495&gt;=7))*ROW('CONTROL MASTER'!$S$2:$S$495))&gt;0,INDEX('CONTROL MASTER'!$X$2:$X$495,(SUMPRODUCT((('CONTROL MASTER'!$S$2:$S$495=9)*('CONTROL MASTER'!$Z$2:$Z$495&lt;=4)*('CONTROL MASTER'!$AB$2:$AB$495&gt;=4)*('CONTROL MASTER'!$AA$2:$AA$495&lt;=7)*('CONTROL MASTER'!$AC$2:$AC$495&gt;=7))*ROW('CONTROL MASTER'!$S$2:$S$495))-(ROW('CONTROL MASTER'!#REF!)-1)))&amp;TRIM(MID(SUBSTITUTE(SUBSTITUTE(INDEX('CONTROL MASTER'!$N$2:$N$495,(SUMPRODUCT((('CONTROL MASTER'!$S$2:$S$495=9)*('CONTROL MASTER'!$Z$2:$Z$495&lt;=4)*('CONTROL MASTER'!$AB$2:$AB$495&gt;=4)*('CONTROL MASTER'!$AA$2:$AA$495&lt;=7)*('CONTROL MASTER'!$AC$2:$AC$495&gt;=7))*ROW('CONTROL MASTER'!$S$2:$S$495))-(ROW('CONTROL MASTER'!#REF!)-1))),":",","),",",REPT(" ",50)),(((INDEX('CONTROL MASTER'!$Y$2:$Y$495,(SUMPRODUCT((('CONTROL MASTER'!$S$2:$S$495=9)*('CONTROL MASTER'!$Z$2:$Z$495&lt;=4)*('CONTROL MASTER'!$AB$2:$AB$495&gt;=4)*('CONTROL MASTER'!$AA$2:$AA$495&lt;=7)*('CONTROL MASTER'!$AC$2:$AC$495&gt;=7))*ROW('CONTROL MASTER'!$S$2:$S$495))-(ROW('CONTROL MASTER'!#REF!)-1)))+((4-INDEX('CONTROL MASTER'!$Z$2:$Z$495,(SUMPRODUCT((('CONTROL MASTER'!$S$2:$S$495=9)*('CONTROL MASTER'!$Z$2:$Z$495&lt;=4)*('CONTROL MASTER'!$AB$2:$AB$495&gt;=4)*('CONTROL MASTER'!$AA$2:$AA$495&lt;=7)*('CONTROL MASTER'!$AC$2:$AC$495&gt;=7))*ROW('CONTROL MASTER'!$S$2:$S$495))-(ROW('CONTROL MASTER'!#REF!)-1))))*(INDEX('CONTROL MASTER'!$AC$2:$AC$495,(SUMPRODUCT((('CONTROL MASTER'!$S$2:$S$495=9)*('CONTROL MASTER'!$Z$2:$Z$495&lt;=4)*('CONTROL MASTER'!$AB$2:$AB$495&gt;=4)*('CONTROL MASTER'!$AA$2:$AA$495&lt;=7)*('CONTROL MASTER'!$AC$2:$AC$495&gt;=7))*ROW('CONTROL MASTER'!$S$2:$S$495))-(ROW('CONTROL MASTER'!#REF!)-1)))-INDEX('CONTROL MASTER'!$AA$2:$AA$495,(SUMPRODUCT((('CONTROL MASTER'!$S$2:$S$495=9)*('CONTROL MASTER'!$Z$2:$Z$495&lt;=4)*('CONTROL MASTER'!$AB$2:$AB$495&gt;=4)*('CONTROL MASTER'!$AA$2:$AA$495&lt;=7)*('CONTROL MASTER'!$AC$2:$AC$495&gt;=7))*ROW('CONTROL MASTER'!$S$2:$S$495))-(ROW('CONTROL MASTER'!#REF!)-1)))+1)+(7-INDEX('CONTROL MASTER'!$AA$2:$AA$495,(SUMPRODUCT((('CONTROL MASTER'!$S$2:$S$495=9)*('CONTROL MASTER'!$Z$2:$Z$495&lt;=4)*('CONTROL MASTER'!$AB$2:$AB$495&gt;=4)*('CONTROL MASTER'!$AA$2:$AA$495&lt;=7)*('CONTROL MASTER'!$AC$2:$AC$495&gt;=7))*ROW('CONTROL MASTER'!$S$2:$S$495))-(ROW('CONTROL MASTER'!#REF!)-1))))+1)))-1)*50+1,50))&amp;"_"&amp;INDEX('CONTROL MASTER'!$P$2:$P$495,(SUMPRODUCT((('CONTROL MASTER'!$S$2:$S$495=9)*('CONTROL MASTER'!$Z$2:$Z$495&lt;=4)*('CONTROL MASTER'!$AB$2:$AB$495&gt;=4)*('CONTROL MASTER'!$AA$2:$AA$495&lt;=7)*('CONTROL MASTER'!$AC$2:$AC$495&gt;=7))*ROW('CONTROL MASTER'!$S$2:$S$495))-(ROW('CONTROL MASTER'!#REF!)-1))),"")),"")</f>
        <v/>
      </c>
      <c r="I118" s="10" t="str">
        <f>IFERROR(IF(SUMPRODUCT((('CONTROL MASTER'!$S$2:$S$495=9)*('CONTROL MASTER'!$T$2:$T$495&lt;=4)*('CONTROL MASTER'!$V$2:$V$495&gt;=4)*('CONTROL MASTER'!$U$2:$U$495&lt;=8)*('CONTROL MASTER'!$W$2:$W$495&gt;=8))*ROW('CONTROL MASTER'!$S$2:$S$495))&gt;0,INDEX('CONTROL MASTER'!$X$2:$X$495,(SUMPRODUCT((('CONTROL MASTER'!$S$2:$S$495=9)*('CONTROL MASTER'!$T$2:$T$495&lt;=4)*('CONTROL MASTER'!$V$2:$V$495&gt;=4)*('CONTROL MASTER'!$U$2:$U$495&lt;=8)*('CONTROL MASTER'!$W$2:$W$495&gt;=8))*ROW('CONTROL MASTER'!$S$2:$S$495))-(ROW('CONTROL MASTER'!#REF!)-1)))&amp;TRIM(MID(SUBSTITUTE(SUBSTITUTE(INDEX('CONTROL MASTER'!$N$2:$N$495,(SUMPRODUCT((('CONTROL MASTER'!$S$2:$S$495=9)*('CONTROL MASTER'!$T$2:$T$495&lt;=4)*('CONTROL MASTER'!$V$2:$V$495&gt;=4)*('CONTROL MASTER'!$U$2:$U$495&lt;=8)*('CONTROL MASTER'!$W$2:$W$495&gt;=8))*ROW('CONTROL MASTER'!$S$2:$S$495))-(ROW('CONTROL MASTER'!#REF!)-1))),":",","),",",REPT(" ",50)),((((4-INDEX('CONTROL MASTER'!$T$2:$T$495,(SUMPRODUCT((('CONTROL MASTER'!$S$2:$S$495=9)*('CONTROL MASTER'!$T$2:$T$495&lt;=4)*('CONTROL MASTER'!$V$2:$V$495&gt;=4)*('CONTROL MASTER'!$U$2:$U$495&lt;=8)*('CONTROL MASTER'!$W$2:$W$495&gt;=8))*ROW('CONTROL MASTER'!$S$2:$S$495))-(ROW('CONTROL MASTER'!#REF!)-1))))*(INDEX('CONTROL MASTER'!$W$2:$W$495,(SUMPRODUCT((('CONTROL MASTER'!$S$2:$S$495=9)*('CONTROL MASTER'!$T$2:$T$495&lt;=4)*('CONTROL MASTER'!$V$2:$V$495&gt;=4)*('CONTROL MASTER'!$U$2:$U$495&lt;=8)*('CONTROL MASTER'!$W$2:$W$495&gt;=8))*ROW('CONTROL MASTER'!$S$2:$S$495))-(ROW('CONTROL MASTER'!#REF!)-1)))-INDEX('CONTROL MASTER'!$U$2:$U$495,(SUMPRODUCT((('CONTROL MASTER'!$S$2:$S$495=9)*('CONTROL MASTER'!$T$2:$T$495&lt;=4)*('CONTROL MASTER'!$V$2:$V$495&gt;=4)*('CONTROL MASTER'!$U$2:$U$495&lt;=8)*('CONTROL MASTER'!$W$2:$W$495&gt;=8))*ROW('CONTROL MASTER'!$S$2:$S$495))-(ROW('CONTROL MASTER'!#REF!)-1)))+1)+(8-INDEX('CONTROL MASTER'!$U$2:$U$495,(SUMPRODUCT((('CONTROL MASTER'!$S$2:$S$495=9)*('CONTROL MASTER'!$T$2:$T$495&lt;=4)*('CONTROL MASTER'!$V$2:$V$495&gt;=4)*('CONTROL MASTER'!$U$2:$U$495&lt;=8)*('CONTROL MASTER'!$W$2:$W$495&gt;=8))*ROW('CONTROL MASTER'!$S$2:$S$495))-(ROW('CONTROL MASTER'!#REF!)-1))))+1))-1)*50+1,50))&amp;"_"&amp;INDEX('CONTROL MASTER'!$P$2:$P$495,(SUMPRODUCT((('CONTROL MASTER'!$S$2:$S$495=9)*('CONTROL MASTER'!$T$2:$T$495&lt;=4)*('CONTROL MASTER'!$V$2:$V$495&gt;=4)*('CONTROL MASTER'!$U$2:$U$495&lt;=8)*('CONTROL MASTER'!$W$2:$W$495&gt;=8))*ROW('CONTROL MASTER'!$S$2:$S$495))-(ROW('CONTROL MASTER'!#REF!)-1))),IF(SUMPRODUCT((('CONTROL MASTER'!$S$2:$S$495=9)*('CONTROL MASTER'!$Z$2:$Z$495&lt;=4)*('CONTROL MASTER'!$AB$2:$AB$495&gt;=4)*('CONTROL MASTER'!$AA$2:$AA$495&lt;=8)*('CONTROL MASTER'!$AC$2:$AC$495&gt;=8))*ROW('CONTROL MASTER'!$S$2:$S$495))&gt;0,INDEX('CONTROL MASTER'!$X$2:$X$495,(SUMPRODUCT((('CONTROL MASTER'!$S$2:$S$495=9)*('CONTROL MASTER'!$Z$2:$Z$495&lt;=4)*('CONTROL MASTER'!$AB$2:$AB$495&gt;=4)*('CONTROL MASTER'!$AA$2:$AA$495&lt;=8)*('CONTROL MASTER'!$AC$2:$AC$495&gt;=8))*ROW('CONTROL MASTER'!$S$2:$S$495))-(ROW('CONTROL MASTER'!#REF!)-1)))&amp;TRIM(MID(SUBSTITUTE(SUBSTITUTE(INDEX('CONTROL MASTER'!$N$2:$N$495,(SUMPRODUCT((('CONTROL MASTER'!$S$2:$S$495=9)*('CONTROL MASTER'!$Z$2:$Z$495&lt;=4)*('CONTROL MASTER'!$AB$2:$AB$495&gt;=4)*('CONTROL MASTER'!$AA$2:$AA$495&lt;=8)*('CONTROL MASTER'!$AC$2:$AC$495&gt;=8))*ROW('CONTROL MASTER'!$S$2:$S$495))-(ROW('CONTROL MASTER'!#REF!)-1))),":",","),",",REPT(" ",50)),(((INDEX('CONTROL MASTER'!$Y$2:$Y$495,(SUMPRODUCT((('CONTROL MASTER'!$S$2:$S$495=9)*('CONTROL MASTER'!$Z$2:$Z$495&lt;=4)*('CONTROL MASTER'!$AB$2:$AB$495&gt;=4)*('CONTROL MASTER'!$AA$2:$AA$495&lt;=8)*('CONTROL MASTER'!$AC$2:$AC$495&gt;=8))*ROW('CONTROL MASTER'!$S$2:$S$495))-(ROW('CONTROL MASTER'!#REF!)-1)))+((4-INDEX('CONTROL MASTER'!$Z$2:$Z$495,(SUMPRODUCT((('CONTROL MASTER'!$S$2:$S$495=9)*('CONTROL MASTER'!$Z$2:$Z$495&lt;=4)*('CONTROL MASTER'!$AB$2:$AB$495&gt;=4)*('CONTROL MASTER'!$AA$2:$AA$495&lt;=8)*('CONTROL MASTER'!$AC$2:$AC$495&gt;=8))*ROW('CONTROL MASTER'!$S$2:$S$495))-(ROW('CONTROL MASTER'!#REF!)-1))))*(INDEX('CONTROL MASTER'!$AC$2:$AC$495,(SUMPRODUCT((('CONTROL MASTER'!$S$2:$S$495=9)*('CONTROL MASTER'!$Z$2:$Z$495&lt;=4)*('CONTROL MASTER'!$AB$2:$AB$495&gt;=4)*('CONTROL MASTER'!$AA$2:$AA$495&lt;=8)*('CONTROL MASTER'!$AC$2:$AC$495&gt;=8))*ROW('CONTROL MASTER'!$S$2:$S$495))-(ROW('CONTROL MASTER'!#REF!)-1)))-INDEX('CONTROL MASTER'!$AA$2:$AA$495,(SUMPRODUCT((('CONTROL MASTER'!$S$2:$S$495=9)*('CONTROL MASTER'!$Z$2:$Z$495&lt;=4)*('CONTROL MASTER'!$AB$2:$AB$495&gt;=4)*('CONTROL MASTER'!$AA$2:$AA$495&lt;=8)*('CONTROL MASTER'!$AC$2:$AC$495&gt;=8))*ROW('CONTROL MASTER'!$S$2:$S$495))-(ROW('CONTROL MASTER'!#REF!)-1)))+1)+(8-INDEX('CONTROL MASTER'!$AA$2:$AA$495,(SUMPRODUCT((('CONTROL MASTER'!$S$2:$S$495=9)*('CONTROL MASTER'!$Z$2:$Z$495&lt;=4)*('CONTROL MASTER'!$AB$2:$AB$495&gt;=4)*('CONTROL MASTER'!$AA$2:$AA$495&lt;=8)*('CONTROL MASTER'!$AC$2:$AC$495&gt;=8))*ROW('CONTROL MASTER'!$S$2:$S$495))-(ROW('CONTROL MASTER'!#REF!)-1))))+1)))-1)*50+1,50))&amp;"_"&amp;INDEX('CONTROL MASTER'!$P$2:$P$495,(SUMPRODUCT((('CONTROL MASTER'!$S$2:$S$495=9)*('CONTROL MASTER'!$Z$2:$Z$495&lt;=4)*('CONTROL MASTER'!$AB$2:$AB$495&gt;=4)*('CONTROL MASTER'!$AA$2:$AA$495&lt;=8)*('CONTROL MASTER'!$AC$2:$AC$495&gt;=8))*ROW('CONTROL MASTER'!$S$2:$S$495))-(ROW('CONTROL MASTER'!#REF!)-1))),"")),"")</f>
        <v/>
      </c>
      <c r="J118" s="10" t="str">
        <f>IFERROR(IF(SUMPRODUCT((('CONTROL MASTER'!$S$2:$S$495=9)*('CONTROL MASTER'!$T$2:$T$495&lt;=4)*('CONTROL MASTER'!$V$2:$V$495&gt;=4)*('CONTROL MASTER'!$U$2:$U$495&lt;=9)*('CONTROL MASTER'!$W$2:$W$495&gt;=9))*ROW('CONTROL MASTER'!$S$2:$S$495))&gt;0,INDEX('CONTROL MASTER'!$X$2:$X$495,(SUMPRODUCT((('CONTROL MASTER'!$S$2:$S$495=9)*('CONTROL MASTER'!$T$2:$T$495&lt;=4)*('CONTROL MASTER'!$V$2:$V$495&gt;=4)*('CONTROL MASTER'!$U$2:$U$495&lt;=9)*('CONTROL MASTER'!$W$2:$W$495&gt;=9))*ROW('CONTROL MASTER'!$S$2:$S$495))-(ROW('CONTROL MASTER'!#REF!)-1)))&amp;TRIM(MID(SUBSTITUTE(SUBSTITUTE(INDEX('CONTROL MASTER'!$N$2:$N$495,(SUMPRODUCT((('CONTROL MASTER'!$S$2:$S$495=9)*('CONTROL MASTER'!$T$2:$T$495&lt;=4)*('CONTROL MASTER'!$V$2:$V$495&gt;=4)*('CONTROL MASTER'!$U$2:$U$495&lt;=9)*('CONTROL MASTER'!$W$2:$W$495&gt;=9))*ROW('CONTROL MASTER'!$S$2:$S$495))-(ROW('CONTROL MASTER'!#REF!)-1))),":",","),",",REPT(" ",50)),((((4-INDEX('CONTROL MASTER'!$T$2:$T$495,(SUMPRODUCT((('CONTROL MASTER'!$S$2:$S$495=9)*('CONTROL MASTER'!$T$2:$T$495&lt;=4)*('CONTROL MASTER'!$V$2:$V$495&gt;=4)*('CONTROL MASTER'!$U$2:$U$495&lt;=9)*('CONTROL MASTER'!$W$2:$W$495&gt;=9))*ROW('CONTROL MASTER'!$S$2:$S$495))-(ROW('CONTROL MASTER'!#REF!)-1))))*(INDEX('CONTROL MASTER'!$W$2:$W$495,(SUMPRODUCT((('CONTROL MASTER'!$S$2:$S$495=9)*('CONTROL MASTER'!$T$2:$T$495&lt;=4)*('CONTROL MASTER'!$V$2:$V$495&gt;=4)*('CONTROL MASTER'!$U$2:$U$495&lt;=9)*('CONTROL MASTER'!$W$2:$W$495&gt;=9))*ROW('CONTROL MASTER'!$S$2:$S$495))-(ROW('CONTROL MASTER'!#REF!)-1)))-INDEX('CONTROL MASTER'!$U$2:$U$495,(SUMPRODUCT((('CONTROL MASTER'!$S$2:$S$495=9)*('CONTROL MASTER'!$T$2:$T$495&lt;=4)*('CONTROL MASTER'!$V$2:$V$495&gt;=4)*('CONTROL MASTER'!$U$2:$U$495&lt;=9)*('CONTROL MASTER'!$W$2:$W$495&gt;=9))*ROW('CONTROL MASTER'!$S$2:$S$495))-(ROW('CONTROL MASTER'!#REF!)-1)))+1)+(9-INDEX('CONTROL MASTER'!$U$2:$U$495,(SUMPRODUCT((('CONTROL MASTER'!$S$2:$S$495=9)*('CONTROL MASTER'!$T$2:$T$495&lt;=4)*('CONTROL MASTER'!$V$2:$V$495&gt;=4)*('CONTROL MASTER'!$U$2:$U$495&lt;=9)*('CONTROL MASTER'!$W$2:$W$495&gt;=9))*ROW('CONTROL MASTER'!$S$2:$S$495))-(ROW('CONTROL MASTER'!#REF!)-1))))+1))-1)*50+1,50))&amp;"_"&amp;INDEX('CONTROL MASTER'!$P$2:$P$495,(SUMPRODUCT((('CONTROL MASTER'!$S$2:$S$495=9)*('CONTROL MASTER'!$T$2:$T$495&lt;=4)*('CONTROL MASTER'!$V$2:$V$495&gt;=4)*('CONTROL MASTER'!$U$2:$U$495&lt;=9)*('CONTROL MASTER'!$W$2:$W$495&gt;=9))*ROW('CONTROL MASTER'!$S$2:$S$495))-(ROW('CONTROL MASTER'!#REF!)-1))),IF(SUMPRODUCT((('CONTROL MASTER'!$S$2:$S$495=9)*('CONTROL MASTER'!$Z$2:$Z$495&lt;=4)*('CONTROL MASTER'!$AB$2:$AB$495&gt;=4)*('CONTROL MASTER'!$AA$2:$AA$495&lt;=9)*('CONTROL MASTER'!$AC$2:$AC$495&gt;=9))*ROW('CONTROL MASTER'!$S$2:$S$495))&gt;0,INDEX('CONTROL MASTER'!$X$2:$X$495,(SUMPRODUCT((('CONTROL MASTER'!$S$2:$S$495=9)*('CONTROL MASTER'!$Z$2:$Z$495&lt;=4)*('CONTROL MASTER'!$AB$2:$AB$495&gt;=4)*('CONTROL MASTER'!$AA$2:$AA$495&lt;=9)*('CONTROL MASTER'!$AC$2:$AC$495&gt;=9))*ROW('CONTROL MASTER'!$S$2:$S$495))-(ROW('CONTROL MASTER'!#REF!)-1)))&amp;TRIM(MID(SUBSTITUTE(SUBSTITUTE(INDEX('CONTROL MASTER'!$N$2:$N$495,(SUMPRODUCT((('CONTROL MASTER'!$S$2:$S$495=9)*('CONTROL MASTER'!$Z$2:$Z$495&lt;=4)*('CONTROL MASTER'!$AB$2:$AB$495&gt;=4)*('CONTROL MASTER'!$AA$2:$AA$495&lt;=9)*('CONTROL MASTER'!$AC$2:$AC$495&gt;=9))*ROW('CONTROL MASTER'!$S$2:$S$495))-(ROW('CONTROL MASTER'!#REF!)-1))),":",","),",",REPT(" ",50)),(((INDEX('CONTROL MASTER'!$Y$2:$Y$495,(SUMPRODUCT((('CONTROL MASTER'!$S$2:$S$495=9)*('CONTROL MASTER'!$Z$2:$Z$495&lt;=4)*('CONTROL MASTER'!$AB$2:$AB$495&gt;=4)*('CONTROL MASTER'!$AA$2:$AA$495&lt;=9)*('CONTROL MASTER'!$AC$2:$AC$495&gt;=9))*ROW('CONTROL MASTER'!$S$2:$S$495))-(ROW('CONTROL MASTER'!#REF!)-1)))+((4-INDEX('CONTROL MASTER'!$Z$2:$Z$495,(SUMPRODUCT((('CONTROL MASTER'!$S$2:$S$495=9)*('CONTROL MASTER'!$Z$2:$Z$495&lt;=4)*('CONTROL MASTER'!$AB$2:$AB$495&gt;=4)*('CONTROL MASTER'!$AA$2:$AA$495&lt;=9)*('CONTROL MASTER'!$AC$2:$AC$495&gt;=9))*ROW('CONTROL MASTER'!$S$2:$S$495))-(ROW('CONTROL MASTER'!#REF!)-1))))*(INDEX('CONTROL MASTER'!$AC$2:$AC$495,(SUMPRODUCT((('CONTROL MASTER'!$S$2:$S$495=9)*('CONTROL MASTER'!$Z$2:$Z$495&lt;=4)*('CONTROL MASTER'!$AB$2:$AB$495&gt;=4)*('CONTROL MASTER'!$AA$2:$AA$495&lt;=9)*('CONTROL MASTER'!$AC$2:$AC$495&gt;=9))*ROW('CONTROL MASTER'!$S$2:$S$495))-(ROW('CONTROL MASTER'!#REF!)-1)))-INDEX('CONTROL MASTER'!$AA$2:$AA$495,(SUMPRODUCT((('CONTROL MASTER'!$S$2:$S$495=9)*('CONTROL MASTER'!$Z$2:$Z$495&lt;=4)*('CONTROL MASTER'!$AB$2:$AB$495&gt;=4)*('CONTROL MASTER'!$AA$2:$AA$495&lt;=9)*('CONTROL MASTER'!$AC$2:$AC$495&gt;=9))*ROW('CONTROL MASTER'!$S$2:$S$495))-(ROW('CONTROL MASTER'!#REF!)-1)))+1)+(9-INDEX('CONTROL MASTER'!$AA$2:$AA$495,(SUMPRODUCT((('CONTROL MASTER'!$S$2:$S$495=9)*('CONTROL MASTER'!$Z$2:$Z$495&lt;=4)*('CONTROL MASTER'!$AB$2:$AB$495&gt;=4)*('CONTROL MASTER'!$AA$2:$AA$495&lt;=9)*('CONTROL MASTER'!$AC$2:$AC$495&gt;=9))*ROW('CONTROL MASTER'!$S$2:$S$495))-(ROW('CONTROL MASTER'!#REF!)-1))))+1)))-1)*50+1,50))&amp;"_"&amp;INDEX('CONTROL MASTER'!$P$2:$P$495,(SUMPRODUCT((('CONTROL MASTER'!$S$2:$S$495=9)*('CONTROL MASTER'!$Z$2:$Z$495&lt;=4)*('CONTROL MASTER'!$AB$2:$AB$495&gt;=4)*('CONTROL MASTER'!$AA$2:$AA$495&lt;=9)*('CONTROL MASTER'!$AC$2:$AC$495&gt;=9))*ROW('CONTROL MASTER'!$S$2:$S$495))-(ROW('CONTROL MASTER'!#REF!)-1))),"")),"")</f>
        <v/>
      </c>
      <c r="K118" s="10" t="str">
        <f>IFERROR(IF(SUMPRODUCT((('CONTROL MASTER'!$S$2:$S$495=9)*('CONTROL MASTER'!$T$2:$T$495&lt;=4)*('CONTROL MASTER'!$V$2:$V$495&gt;=4)*('CONTROL MASTER'!$U$2:$U$495&lt;=10)*('CONTROL MASTER'!$W$2:$W$495&gt;=10))*ROW('CONTROL MASTER'!$S$2:$S$495))&gt;0,INDEX('CONTROL MASTER'!$X$2:$X$495,(SUMPRODUCT((('CONTROL MASTER'!$S$2:$S$495=9)*('CONTROL MASTER'!$T$2:$T$495&lt;=4)*('CONTROL MASTER'!$V$2:$V$495&gt;=4)*('CONTROL MASTER'!$U$2:$U$495&lt;=10)*('CONTROL MASTER'!$W$2:$W$495&gt;=10))*ROW('CONTROL MASTER'!$S$2:$S$495))-(ROW('CONTROL MASTER'!#REF!)-1)))&amp;TRIM(MID(SUBSTITUTE(SUBSTITUTE(INDEX('CONTROL MASTER'!$N$2:$N$495,(SUMPRODUCT((('CONTROL MASTER'!$S$2:$S$495=9)*('CONTROL MASTER'!$T$2:$T$495&lt;=4)*('CONTROL MASTER'!$V$2:$V$495&gt;=4)*('CONTROL MASTER'!$U$2:$U$495&lt;=10)*('CONTROL MASTER'!$W$2:$W$495&gt;=10))*ROW('CONTROL MASTER'!$S$2:$S$495))-(ROW('CONTROL MASTER'!#REF!)-1))),":",","),",",REPT(" ",50)),((((4-INDEX('CONTROL MASTER'!$T$2:$T$495,(SUMPRODUCT((('CONTROL MASTER'!$S$2:$S$495=9)*('CONTROL MASTER'!$T$2:$T$495&lt;=4)*('CONTROL MASTER'!$V$2:$V$495&gt;=4)*('CONTROL MASTER'!$U$2:$U$495&lt;=10)*('CONTROL MASTER'!$W$2:$W$495&gt;=10))*ROW('CONTROL MASTER'!$S$2:$S$495))-(ROW('CONTROL MASTER'!#REF!)-1))))*(INDEX('CONTROL MASTER'!$W$2:$W$495,(SUMPRODUCT((('CONTROL MASTER'!$S$2:$S$495=9)*('CONTROL MASTER'!$T$2:$T$495&lt;=4)*('CONTROL MASTER'!$V$2:$V$495&gt;=4)*('CONTROL MASTER'!$U$2:$U$495&lt;=10)*('CONTROL MASTER'!$W$2:$W$495&gt;=10))*ROW('CONTROL MASTER'!$S$2:$S$495))-(ROW('CONTROL MASTER'!#REF!)-1)))-INDEX('CONTROL MASTER'!$U$2:$U$495,(SUMPRODUCT((('CONTROL MASTER'!$S$2:$S$495=9)*('CONTROL MASTER'!$T$2:$T$495&lt;=4)*('CONTROL MASTER'!$V$2:$V$495&gt;=4)*('CONTROL MASTER'!$U$2:$U$495&lt;=10)*('CONTROL MASTER'!$W$2:$W$495&gt;=10))*ROW('CONTROL MASTER'!$S$2:$S$495))-(ROW('CONTROL MASTER'!#REF!)-1)))+1)+(10-INDEX('CONTROL MASTER'!$U$2:$U$495,(SUMPRODUCT((('CONTROL MASTER'!$S$2:$S$495=9)*('CONTROL MASTER'!$T$2:$T$495&lt;=4)*('CONTROL MASTER'!$V$2:$V$495&gt;=4)*('CONTROL MASTER'!$U$2:$U$495&lt;=10)*('CONTROL MASTER'!$W$2:$W$495&gt;=10))*ROW('CONTROL MASTER'!$S$2:$S$495))-(ROW('CONTROL MASTER'!#REF!)-1))))+1))-1)*50+1,50))&amp;"_"&amp;INDEX('CONTROL MASTER'!$P$2:$P$495,(SUMPRODUCT((('CONTROL MASTER'!$S$2:$S$495=9)*('CONTROL MASTER'!$T$2:$T$495&lt;=4)*('CONTROL MASTER'!$V$2:$V$495&gt;=4)*('CONTROL MASTER'!$U$2:$U$495&lt;=10)*('CONTROL MASTER'!$W$2:$W$495&gt;=10))*ROW('CONTROL MASTER'!$S$2:$S$495))-(ROW('CONTROL MASTER'!#REF!)-1))),IF(SUMPRODUCT((('CONTROL MASTER'!$S$2:$S$495=9)*('CONTROL MASTER'!$Z$2:$Z$495&lt;=4)*('CONTROL MASTER'!$AB$2:$AB$495&gt;=4)*('CONTROL MASTER'!$AA$2:$AA$495&lt;=10)*('CONTROL MASTER'!$AC$2:$AC$495&gt;=10))*ROW('CONTROL MASTER'!$S$2:$S$495))&gt;0,INDEX('CONTROL MASTER'!$X$2:$X$495,(SUMPRODUCT((('CONTROL MASTER'!$S$2:$S$495=9)*('CONTROL MASTER'!$Z$2:$Z$495&lt;=4)*('CONTROL MASTER'!$AB$2:$AB$495&gt;=4)*('CONTROL MASTER'!$AA$2:$AA$495&lt;=10)*('CONTROL MASTER'!$AC$2:$AC$495&gt;=10))*ROW('CONTROL MASTER'!$S$2:$S$495))-(ROW('CONTROL MASTER'!#REF!)-1)))&amp;TRIM(MID(SUBSTITUTE(SUBSTITUTE(INDEX('CONTROL MASTER'!$N$2:$N$495,(SUMPRODUCT((('CONTROL MASTER'!$S$2:$S$495=9)*('CONTROL MASTER'!$Z$2:$Z$495&lt;=4)*('CONTROL MASTER'!$AB$2:$AB$495&gt;=4)*('CONTROL MASTER'!$AA$2:$AA$495&lt;=10)*('CONTROL MASTER'!$AC$2:$AC$495&gt;=10))*ROW('CONTROL MASTER'!$S$2:$S$495))-(ROW('CONTROL MASTER'!#REF!)-1))),":",","),",",REPT(" ",50)),(((INDEX('CONTROL MASTER'!$Y$2:$Y$495,(SUMPRODUCT((('CONTROL MASTER'!$S$2:$S$495=9)*('CONTROL MASTER'!$Z$2:$Z$495&lt;=4)*('CONTROL MASTER'!$AB$2:$AB$495&gt;=4)*('CONTROL MASTER'!$AA$2:$AA$495&lt;=10)*('CONTROL MASTER'!$AC$2:$AC$495&gt;=10))*ROW('CONTROL MASTER'!$S$2:$S$495))-(ROW('CONTROL MASTER'!#REF!)-1)))+((4-INDEX('CONTROL MASTER'!$Z$2:$Z$495,(SUMPRODUCT((('CONTROL MASTER'!$S$2:$S$495=9)*('CONTROL MASTER'!$Z$2:$Z$495&lt;=4)*('CONTROL MASTER'!$AB$2:$AB$495&gt;=4)*('CONTROL MASTER'!$AA$2:$AA$495&lt;=10)*('CONTROL MASTER'!$AC$2:$AC$495&gt;=10))*ROW('CONTROL MASTER'!$S$2:$S$495))-(ROW('CONTROL MASTER'!#REF!)-1))))*(INDEX('CONTROL MASTER'!$AC$2:$AC$495,(SUMPRODUCT((('CONTROL MASTER'!$S$2:$S$495=9)*('CONTROL MASTER'!$Z$2:$Z$495&lt;=4)*('CONTROL MASTER'!$AB$2:$AB$495&gt;=4)*('CONTROL MASTER'!$AA$2:$AA$495&lt;=10)*('CONTROL MASTER'!$AC$2:$AC$495&gt;=10))*ROW('CONTROL MASTER'!$S$2:$S$495))-(ROW('CONTROL MASTER'!#REF!)-1)))-INDEX('CONTROL MASTER'!$AA$2:$AA$495,(SUMPRODUCT((('CONTROL MASTER'!$S$2:$S$495=9)*('CONTROL MASTER'!$Z$2:$Z$495&lt;=4)*('CONTROL MASTER'!$AB$2:$AB$495&gt;=4)*('CONTROL MASTER'!$AA$2:$AA$495&lt;=10)*('CONTROL MASTER'!$AC$2:$AC$495&gt;=10))*ROW('CONTROL MASTER'!$S$2:$S$495))-(ROW('CONTROL MASTER'!#REF!)-1)))+1)+(10-INDEX('CONTROL MASTER'!$AA$2:$AA$495,(SUMPRODUCT((('CONTROL MASTER'!$S$2:$S$495=9)*('CONTROL MASTER'!$Z$2:$Z$495&lt;=4)*('CONTROL MASTER'!$AB$2:$AB$495&gt;=4)*('CONTROL MASTER'!$AA$2:$AA$495&lt;=10)*('CONTROL MASTER'!$AC$2:$AC$495&gt;=10))*ROW('CONTROL MASTER'!$S$2:$S$495))-(ROW('CONTROL MASTER'!#REF!)-1))))+1)))-1)*50+1,50))&amp;"_"&amp;INDEX('CONTROL MASTER'!$P$2:$P$495,(SUMPRODUCT((('CONTROL MASTER'!$S$2:$S$495=9)*('CONTROL MASTER'!$Z$2:$Z$495&lt;=4)*('CONTROL MASTER'!$AB$2:$AB$495&gt;=4)*('CONTROL MASTER'!$AA$2:$AA$495&lt;=10)*('CONTROL MASTER'!$AC$2:$AC$495&gt;=10))*ROW('CONTROL MASTER'!$S$2:$S$495))-(ROW('CONTROL MASTER'!#REF!)-1))),"")),"")</f>
        <v/>
      </c>
    </row>
    <row r="119" spans="1:11" ht="15" customHeight="1" x14ac:dyDescent="0.35">
      <c r="A119" s="8" t="s">
        <v>32</v>
      </c>
      <c r="B119" s="10" t="str">
        <f>IFERROR(IF(SUMPRODUCT((('CONTROL MASTER'!$S$2:$S$495=9)*('CONTROL MASTER'!$T$2:$T$495&lt;=5)*('CONTROL MASTER'!$V$2:$V$495&gt;=5)*('CONTROL MASTER'!$U$2:$U$495&lt;=1)*('CONTROL MASTER'!$W$2:$W$495&gt;=1))*ROW('CONTROL MASTER'!$S$2:$S$495))&gt;0,INDEX('CONTROL MASTER'!$X$2:$X$495,(SUMPRODUCT((('CONTROL MASTER'!$S$2:$S$495=9)*('CONTROL MASTER'!$T$2:$T$495&lt;=5)*('CONTROL MASTER'!$V$2:$V$495&gt;=5)*('CONTROL MASTER'!$U$2:$U$495&lt;=1)*('CONTROL MASTER'!$W$2:$W$495&gt;=1))*ROW('CONTROL MASTER'!$S$2:$S$495))-(ROW('CONTROL MASTER'!#REF!)-1)))&amp;TRIM(MID(SUBSTITUTE(SUBSTITUTE(INDEX('CONTROL MASTER'!$N$2:$N$495,(SUMPRODUCT((('CONTROL MASTER'!$S$2:$S$495=9)*('CONTROL MASTER'!$T$2:$T$495&lt;=5)*('CONTROL MASTER'!$V$2:$V$495&gt;=5)*('CONTROL MASTER'!$U$2:$U$495&lt;=1)*('CONTROL MASTER'!$W$2:$W$495&gt;=1))*ROW('CONTROL MASTER'!$S$2:$S$495))-(ROW('CONTROL MASTER'!#REF!)-1))),":",","),",",REPT(" ",50)),((((5-INDEX('CONTROL MASTER'!$T$2:$T$495,(SUMPRODUCT((('CONTROL MASTER'!$S$2:$S$495=9)*('CONTROL MASTER'!$T$2:$T$495&lt;=5)*('CONTROL MASTER'!$V$2:$V$495&gt;=5)*('CONTROL MASTER'!$U$2:$U$495&lt;=1)*('CONTROL MASTER'!$W$2:$W$495&gt;=1))*ROW('CONTROL MASTER'!$S$2:$S$495))-(ROW('CONTROL MASTER'!#REF!)-1))))*(INDEX('CONTROL MASTER'!$W$2:$W$495,(SUMPRODUCT((('CONTROL MASTER'!$S$2:$S$495=9)*('CONTROL MASTER'!$T$2:$T$495&lt;=5)*('CONTROL MASTER'!$V$2:$V$495&gt;=5)*('CONTROL MASTER'!$U$2:$U$495&lt;=1)*('CONTROL MASTER'!$W$2:$W$495&gt;=1))*ROW('CONTROL MASTER'!$S$2:$S$495))-(ROW('CONTROL MASTER'!#REF!)-1)))-INDEX('CONTROL MASTER'!$U$2:$U$495,(SUMPRODUCT((('CONTROL MASTER'!$S$2:$S$495=9)*('CONTROL MASTER'!$T$2:$T$495&lt;=5)*('CONTROL MASTER'!$V$2:$V$495&gt;=5)*('CONTROL MASTER'!$U$2:$U$495&lt;=1)*('CONTROL MASTER'!$W$2:$W$495&gt;=1))*ROW('CONTROL MASTER'!$S$2:$S$495))-(ROW('CONTROL MASTER'!#REF!)-1)))+1)+(1-INDEX('CONTROL MASTER'!$U$2:$U$495,(SUMPRODUCT((('CONTROL MASTER'!$S$2:$S$495=9)*('CONTROL MASTER'!$T$2:$T$495&lt;=5)*('CONTROL MASTER'!$V$2:$V$495&gt;=5)*('CONTROL MASTER'!$U$2:$U$495&lt;=1)*('CONTROL MASTER'!$W$2:$W$495&gt;=1))*ROW('CONTROL MASTER'!$S$2:$S$495))-(ROW('CONTROL MASTER'!#REF!)-1))))+1))-1)*50+1,50))&amp;"_"&amp;INDEX('CONTROL MASTER'!$P$2:$P$495,(SUMPRODUCT((('CONTROL MASTER'!$S$2:$S$495=9)*('CONTROL MASTER'!$T$2:$T$495&lt;=5)*('CONTROL MASTER'!$V$2:$V$495&gt;=5)*('CONTROL MASTER'!$U$2:$U$495&lt;=1)*('CONTROL MASTER'!$W$2:$W$495&gt;=1))*ROW('CONTROL MASTER'!$S$2:$S$495))-(ROW('CONTROL MASTER'!#REF!)-1))),IF(SUMPRODUCT((('CONTROL MASTER'!$S$2:$S$495=9)*('CONTROL MASTER'!$Z$2:$Z$495&lt;=5)*('CONTROL MASTER'!$AB$2:$AB$495&gt;=5)*('CONTROL MASTER'!$AA$2:$AA$495&lt;=1)*('CONTROL MASTER'!$AC$2:$AC$495&gt;=1))*ROW('CONTROL MASTER'!$S$2:$S$495))&gt;0,INDEX('CONTROL MASTER'!$X$2:$X$495,(SUMPRODUCT((('CONTROL MASTER'!$S$2:$S$495=9)*('CONTROL MASTER'!$Z$2:$Z$495&lt;=5)*('CONTROL MASTER'!$AB$2:$AB$495&gt;=5)*('CONTROL MASTER'!$AA$2:$AA$495&lt;=1)*('CONTROL MASTER'!$AC$2:$AC$495&gt;=1))*ROW('CONTROL MASTER'!$S$2:$S$495))-(ROW('CONTROL MASTER'!#REF!)-1)))&amp;TRIM(MID(SUBSTITUTE(SUBSTITUTE(INDEX('CONTROL MASTER'!$N$2:$N$495,(SUMPRODUCT((('CONTROL MASTER'!$S$2:$S$495=9)*('CONTROL MASTER'!$Z$2:$Z$495&lt;=5)*('CONTROL MASTER'!$AB$2:$AB$495&gt;=5)*('CONTROL MASTER'!$AA$2:$AA$495&lt;=1)*('CONTROL MASTER'!$AC$2:$AC$495&gt;=1))*ROW('CONTROL MASTER'!$S$2:$S$495))-(ROW('CONTROL MASTER'!#REF!)-1))),":",","),",",REPT(" ",50)),(((INDEX('CONTROL MASTER'!$Y$2:$Y$495,(SUMPRODUCT((('CONTROL MASTER'!$S$2:$S$495=9)*('CONTROL MASTER'!$Z$2:$Z$495&lt;=5)*('CONTROL MASTER'!$AB$2:$AB$495&gt;=5)*('CONTROL MASTER'!$AA$2:$AA$495&lt;=1)*('CONTROL MASTER'!$AC$2:$AC$495&gt;=1))*ROW('CONTROL MASTER'!$S$2:$S$495))-(ROW('CONTROL MASTER'!#REF!)-1)))+((5-INDEX('CONTROL MASTER'!$Z$2:$Z$495,(SUMPRODUCT((('CONTROL MASTER'!$S$2:$S$495=9)*('CONTROL MASTER'!$Z$2:$Z$495&lt;=5)*('CONTROL MASTER'!$AB$2:$AB$495&gt;=5)*('CONTROL MASTER'!$AA$2:$AA$495&lt;=1)*('CONTROL MASTER'!$AC$2:$AC$495&gt;=1))*ROW('CONTROL MASTER'!$S$2:$S$495))-(ROW('CONTROL MASTER'!#REF!)-1))))*(INDEX('CONTROL MASTER'!$AC$2:$AC$495,(SUMPRODUCT((('CONTROL MASTER'!$S$2:$S$495=9)*('CONTROL MASTER'!$Z$2:$Z$495&lt;=5)*('CONTROL MASTER'!$AB$2:$AB$495&gt;=5)*('CONTROL MASTER'!$AA$2:$AA$495&lt;=1)*('CONTROL MASTER'!$AC$2:$AC$495&gt;=1))*ROW('CONTROL MASTER'!$S$2:$S$495))-(ROW('CONTROL MASTER'!#REF!)-1)))-INDEX('CONTROL MASTER'!$AA$2:$AA$495,(SUMPRODUCT((('CONTROL MASTER'!$S$2:$S$495=9)*('CONTROL MASTER'!$Z$2:$Z$495&lt;=5)*('CONTROL MASTER'!$AB$2:$AB$495&gt;=5)*('CONTROL MASTER'!$AA$2:$AA$495&lt;=1)*('CONTROL MASTER'!$AC$2:$AC$495&gt;=1))*ROW('CONTROL MASTER'!$S$2:$S$495))-(ROW('CONTROL MASTER'!#REF!)-1)))+1)+(1-INDEX('CONTROL MASTER'!$AA$2:$AA$495,(SUMPRODUCT((('CONTROL MASTER'!$S$2:$S$495=9)*('CONTROL MASTER'!$Z$2:$Z$495&lt;=5)*('CONTROL MASTER'!$AB$2:$AB$495&gt;=5)*('CONTROL MASTER'!$AA$2:$AA$495&lt;=1)*('CONTROL MASTER'!$AC$2:$AC$495&gt;=1))*ROW('CONTROL MASTER'!$S$2:$S$495))-(ROW('CONTROL MASTER'!#REF!)-1))))+1)))-1)*50+1,50))&amp;"_"&amp;INDEX('CONTROL MASTER'!$P$2:$P$495,(SUMPRODUCT((('CONTROL MASTER'!$S$2:$S$495=9)*('CONTROL MASTER'!$Z$2:$Z$495&lt;=5)*('CONTROL MASTER'!$AB$2:$AB$495&gt;=5)*('CONTROL MASTER'!$AA$2:$AA$495&lt;=1)*('CONTROL MASTER'!$AC$2:$AC$495&gt;=1))*ROW('CONTROL MASTER'!$S$2:$S$495))-(ROW('CONTROL MASTER'!#REF!)-1))),"")),"")</f>
        <v/>
      </c>
      <c r="C119" s="10" t="str">
        <f>IFERROR(IF(SUMPRODUCT((('CONTROL MASTER'!$S$2:$S$495=9)*('CONTROL MASTER'!$T$2:$T$495&lt;=5)*('CONTROL MASTER'!$V$2:$V$495&gt;=5)*('CONTROL MASTER'!$U$2:$U$495&lt;=2)*('CONTROL MASTER'!$W$2:$W$495&gt;=2))*ROW('CONTROL MASTER'!$S$2:$S$495))&gt;0,INDEX('CONTROL MASTER'!$X$2:$X$495,(SUMPRODUCT((('CONTROL MASTER'!$S$2:$S$495=9)*('CONTROL MASTER'!$T$2:$T$495&lt;=5)*('CONTROL MASTER'!$V$2:$V$495&gt;=5)*('CONTROL MASTER'!$U$2:$U$495&lt;=2)*('CONTROL MASTER'!$W$2:$W$495&gt;=2))*ROW('CONTROL MASTER'!$S$2:$S$495))-(ROW('CONTROL MASTER'!#REF!)-1)))&amp;TRIM(MID(SUBSTITUTE(SUBSTITUTE(INDEX('CONTROL MASTER'!$N$2:$N$495,(SUMPRODUCT((('CONTROL MASTER'!$S$2:$S$495=9)*('CONTROL MASTER'!$T$2:$T$495&lt;=5)*('CONTROL MASTER'!$V$2:$V$495&gt;=5)*('CONTROL MASTER'!$U$2:$U$495&lt;=2)*('CONTROL MASTER'!$W$2:$W$495&gt;=2))*ROW('CONTROL MASTER'!$S$2:$S$495))-(ROW('CONTROL MASTER'!#REF!)-1))),":",","),",",REPT(" ",50)),((((5-INDEX('CONTROL MASTER'!$T$2:$T$495,(SUMPRODUCT((('CONTROL MASTER'!$S$2:$S$495=9)*('CONTROL MASTER'!$T$2:$T$495&lt;=5)*('CONTROL MASTER'!$V$2:$V$495&gt;=5)*('CONTROL MASTER'!$U$2:$U$495&lt;=2)*('CONTROL MASTER'!$W$2:$W$495&gt;=2))*ROW('CONTROL MASTER'!$S$2:$S$495))-(ROW('CONTROL MASTER'!#REF!)-1))))*(INDEX('CONTROL MASTER'!$W$2:$W$495,(SUMPRODUCT((('CONTROL MASTER'!$S$2:$S$495=9)*('CONTROL MASTER'!$T$2:$T$495&lt;=5)*('CONTROL MASTER'!$V$2:$V$495&gt;=5)*('CONTROL MASTER'!$U$2:$U$495&lt;=2)*('CONTROL MASTER'!$W$2:$W$495&gt;=2))*ROW('CONTROL MASTER'!$S$2:$S$495))-(ROW('CONTROL MASTER'!#REF!)-1)))-INDEX('CONTROL MASTER'!$U$2:$U$495,(SUMPRODUCT((('CONTROL MASTER'!$S$2:$S$495=9)*('CONTROL MASTER'!$T$2:$T$495&lt;=5)*('CONTROL MASTER'!$V$2:$V$495&gt;=5)*('CONTROL MASTER'!$U$2:$U$495&lt;=2)*('CONTROL MASTER'!$W$2:$W$495&gt;=2))*ROW('CONTROL MASTER'!$S$2:$S$495))-(ROW('CONTROL MASTER'!#REF!)-1)))+1)+(2-INDEX('CONTROL MASTER'!$U$2:$U$495,(SUMPRODUCT((('CONTROL MASTER'!$S$2:$S$495=9)*('CONTROL MASTER'!$T$2:$T$495&lt;=5)*('CONTROL MASTER'!$V$2:$V$495&gt;=5)*('CONTROL MASTER'!$U$2:$U$495&lt;=2)*('CONTROL MASTER'!$W$2:$W$495&gt;=2))*ROW('CONTROL MASTER'!$S$2:$S$495))-(ROW('CONTROL MASTER'!#REF!)-1))))+1))-1)*50+1,50))&amp;"_"&amp;INDEX('CONTROL MASTER'!$P$2:$P$495,(SUMPRODUCT((('CONTROL MASTER'!$S$2:$S$495=9)*('CONTROL MASTER'!$T$2:$T$495&lt;=5)*('CONTROL MASTER'!$V$2:$V$495&gt;=5)*('CONTROL MASTER'!$U$2:$U$495&lt;=2)*('CONTROL MASTER'!$W$2:$W$495&gt;=2))*ROW('CONTROL MASTER'!$S$2:$S$495))-(ROW('CONTROL MASTER'!#REF!)-1))),IF(SUMPRODUCT((('CONTROL MASTER'!$S$2:$S$495=9)*('CONTROL MASTER'!$Z$2:$Z$495&lt;=5)*('CONTROL MASTER'!$AB$2:$AB$495&gt;=5)*('CONTROL MASTER'!$AA$2:$AA$495&lt;=2)*('CONTROL MASTER'!$AC$2:$AC$495&gt;=2))*ROW('CONTROL MASTER'!$S$2:$S$495))&gt;0,INDEX('CONTROL MASTER'!$X$2:$X$495,(SUMPRODUCT((('CONTROL MASTER'!$S$2:$S$495=9)*('CONTROL MASTER'!$Z$2:$Z$495&lt;=5)*('CONTROL MASTER'!$AB$2:$AB$495&gt;=5)*('CONTROL MASTER'!$AA$2:$AA$495&lt;=2)*('CONTROL MASTER'!$AC$2:$AC$495&gt;=2))*ROW('CONTROL MASTER'!$S$2:$S$495))-(ROW('CONTROL MASTER'!#REF!)-1)))&amp;TRIM(MID(SUBSTITUTE(SUBSTITUTE(INDEX('CONTROL MASTER'!$N$2:$N$495,(SUMPRODUCT((('CONTROL MASTER'!$S$2:$S$495=9)*('CONTROL MASTER'!$Z$2:$Z$495&lt;=5)*('CONTROL MASTER'!$AB$2:$AB$495&gt;=5)*('CONTROL MASTER'!$AA$2:$AA$495&lt;=2)*('CONTROL MASTER'!$AC$2:$AC$495&gt;=2))*ROW('CONTROL MASTER'!$S$2:$S$495))-(ROW('CONTROL MASTER'!#REF!)-1))),":",","),",",REPT(" ",50)),(((INDEX('CONTROL MASTER'!$Y$2:$Y$495,(SUMPRODUCT((('CONTROL MASTER'!$S$2:$S$495=9)*('CONTROL MASTER'!$Z$2:$Z$495&lt;=5)*('CONTROL MASTER'!$AB$2:$AB$495&gt;=5)*('CONTROL MASTER'!$AA$2:$AA$495&lt;=2)*('CONTROL MASTER'!$AC$2:$AC$495&gt;=2))*ROW('CONTROL MASTER'!$S$2:$S$495))-(ROW('CONTROL MASTER'!#REF!)-1)))+((5-INDEX('CONTROL MASTER'!$Z$2:$Z$495,(SUMPRODUCT((('CONTROL MASTER'!$S$2:$S$495=9)*('CONTROL MASTER'!$Z$2:$Z$495&lt;=5)*('CONTROL MASTER'!$AB$2:$AB$495&gt;=5)*('CONTROL MASTER'!$AA$2:$AA$495&lt;=2)*('CONTROL MASTER'!$AC$2:$AC$495&gt;=2))*ROW('CONTROL MASTER'!$S$2:$S$495))-(ROW('CONTROL MASTER'!#REF!)-1))))*(INDEX('CONTROL MASTER'!$AC$2:$AC$495,(SUMPRODUCT((('CONTROL MASTER'!$S$2:$S$495=9)*('CONTROL MASTER'!$Z$2:$Z$495&lt;=5)*('CONTROL MASTER'!$AB$2:$AB$495&gt;=5)*('CONTROL MASTER'!$AA$2:$AA$495&lt;=2)*('CONTROL MASTER'!$AC$2:$AC$495&gt;=2))*ROW('CONTROL MASTER'!$S$2:$S$495))-(ROW('CONTROL MASTER'!#REF!)-1)))-INDEX('CONTROL MASTER'!$AA$2:$AA$495,(SUMPRODUCT((('CONTROL MASTER'!$S$2:$S$495=9)*('CONTROL MASTER'!$Z$2:$Z$495&lt;=5)*('CONTROL MASTER'!$AB$2:$AB$495&gt;=5)*('CONTROL MASTER'!$AA$2:$AA$495&lt;=2)*('CONTROL MASTER'!$AC$2:$AC$495&gt;=2))*ROW('CONTROL MASTER'!$S$2:$S$495))-(ROW('CONTROL MASTER'!#REF!)-1)))+1)+(2-INDEX('CONTROL MASTER'!$AA$2:$AA$495,(SUMPRODUCT((('CONTROL MASTER'!$S$2:$S$495=9)*('CONTROL MASTER'!$Z$2:$Z$495&lt;=5)*('CONTROL MASTER'!$AB$2:$AB$495&gt;=5)*('CONTROL MASTER'!$AA$2:$AA$495&lt;=2)*('CONTROL MASTER'!$AC$2:$AC$495&gt;=2))*ROW('CONTROL MASTER'!$S$2:$S$495))-(ROW('CONTROL MASTER'!#REF!)-1))))+1)))-1)*50+1,50))&amp;"_"&amp;INDEX('CONTROL MASTER'!$P$2:$P$495,(SUMPRODUCT((('CONTROL MASTER'!$S$2:$S$495=9)*('CONTROL MASTER'!$Z$2:$Z$495&lt;=5)*('CONTROL MASTER'!$AB$2:$AB$495&gt;=5)*('CONTROL MASTER'!$AA$2:$AA$495&lt;=2)*('CONTROL MASTER'!$AC$2:$AC$495&gt;=2))*ROW('CONTROL MASTER'!$S$2:$S$495))-(ROW('CONTROL MASTER'!#REF!)-1))),"")),"")</f>
        <v/>
      </c>
      <c r="D119" s="10" t="str">
        <f>IFERROR(IF(SUMPRODUCT((('CONTROL MASTER'!$S$2:$S$495=9)*('CONTROL MASTER'!$T$2:$T$495&lt;=5)*('CONTROL MASTER'!$V$2:$V$495&gt;=5)*('CONTROL MASTER'!$U$2:$U$495&lt;=3)*('CONTROL MASTER'!$W$2:$W$495&gt;=3))*ROW('CONTROL MASTER'!$S$2:$S$495))&gt;0,INDEX('CONTROL MASTER'!$X$2:$X$495,(SUMPRODUCT((('CONTROL MASTER'!$S$2:$S$495=9)*('CONTROL MASTER'!$T$2:$T$495&lt;=5)*('CONTROL MASTER'!$V$2:$V$495&gt;=5)*('CONTROL MASTER'!$U$2:$U$495&lt;=3)*('CONTROL MASTER'!$W$2:$W$495&gt;=3))*ROW('CONTROL MASTER'!$S$2:$S$495))-(ROW('CONTROL MASTER'!#REF!)-1)))&amp;TRIM(MID(SUBSTITUTE(SUBSTITUTE(INDEX('CONTROL MASTER'!$N$2:$N$495,(SUMPRODUCT((('CONTROL MASTER'!$S$2:$S$495=9)*('CONTROL MASTER'!$T$2:$T$495&lt;=5)*('CONTROL MASTER'!$V$2:$V$495&gt;=5)*('CONTROL MASTER'!$U$2:$U$495&lt;=3)*('CONTROL MASTER'!$W$2:$W$495&gt;=3))*ROW('CONTROL MASTER'!$S$2:$S$495))-(ROW('CONTROL MASTER'!#REF!)-1))),":",","),",",REPT(" ",50)),((((5-INDEX('CONTROL MASTER'!$T$2:$T$495,(SUMPRODUCT((('CONTROL MASTER'!$S$2:$S$495=9)*('CONTROL MASTER'!$T$2:$T$495&lt;=5)*('CONTROL MASTER'!$V$2:$V$495&gt;=5)*('CONTROL MASTER'!$U$2:$U$495&lt;=3)*('CONTROL MASTER'!$W$2:$W$495&gt;=3))*ROW('CONTROL MASTER'!$S$2:$S$495))-(ROW('CONTROL MASTER'!#REF!)-1))))*(INDEX('CONTROL MASTER'!$W$2:$W$495,(SUMPRODUCT((('CONTROL MASTER'!$S$2:$S$495=9)*('CONTROL MASTER'!$T$2:$T$495&lt;=5)*('CONTROL MASTER'!$V$2:$V$495&gt;=5)*('CONTROL MASTER'!$U$2:$U$495&lt;=3)*('CONTROL MASTER'!$W$2:$W$495&gt;=3))*ROW('CONTROL MASTER'!$S$2:$S$495))-(ROW('CONTROL MASTER'!#REF!)-1)))-INDEX('CONTROL MASTER'!$U$2:$U$495,(SUMPRODUCT((('CONTROL MASTER'!$S$2:$S$495=9)*('CONTROL MASTER'!$T$2:$T$495&lt;=5)*('CONTROL MASTER'!$V$2:$V$495&gt;=5)*('CONTROL MASTER'!$U$2:$U$495&lt;=3)*('CONTROL MASTER'!$W$2:$W$495&gt;=3))*ROW('CONTROL MASTER'!$S$2:$S$495))-(ROW('CONTROL MASTER'!#REF!)-1)))+1)+(3-INDEX('CONTROL MASTER'!$U$2:$U$495,(SUMPRODUCT((('CONTROL MASTER'!$S$2:$S$495=9)*('CONTROL MASTER'!$T$2:$T$495&lt;=5)*('CONTROL MASTER'!$V$2:$V$495&gt;=5)*('CONTROL MASTER'!$U$2:$U$495&lt;=3)*('CONTROL MASTER'!$W$2:$W$495&gt;=3))*ROW('CONTROL MASTER'!$S$2:$S$495))-(ROW('CONTROL MASTER'!#REF!)-1))))+1))-1)*50+1,50))&amp;"_"&amp;INDEX('CONTROL MASTER'!$P$2:$P$495,(SUMPRODUCT((('CONTROL MASTER'!$S$2:$S$495=9)*('CONTROL MASTER'!$T$2:$T$495&lt;=5)*('CONTROL MASTER'!$V$2:$V$495&gt;=5)*('CONTROL MASTER'!$U$2:$U$495&lt;=3)*('CONTROL MASTER'!$W$2:$W$495&gt;=3))*ROW('CONTROL MASTER'!$S$2:$S$495))-(ROW('CONTROL MASTER'!#REF!)-1))),IF(SUMPRODUCT((('CONTROL MASTER'!$S$2:$S$495=9)*('CONTROL MASTER'!$Z$2:$Z$495&lt;=5)*('CONTROL MASTER'!$AB$2:$AB$495&gt;=5)*('CONTROL MASTER'!$AA$2:$AA$495&lt;=3)*('CONTROL MASTER'!$AC$2:$AC$495&gt;=3))*ROW('CONTROL MASTER'!$S$2:$S$495))&gt;0,INDEX('CONTROL MASTER'!$X$2:$X$495,(SUMPRODUCT((('CONTROL MASTER'!$S$2:$S$495=9)*('CONTROL MASTER'!$Z$2:$Z$495&lt;=5)*('CONTROL MASTER'!$AB$2:$AB$495&gt;=5)*('CONTROL MASTER'!$AA$2:$AA$495&lt;=3)*('CONTROL MASTER'!$AC$2:$AC$495&gt;=3))*ROW('CONTROL MASTER'!$S$2:$S$495))-(ROW('CONTROL MASTER'!#REF!)-1)))&amp;TRIM(MID(SUBSTITUTE(SUBSTITUTE(INDEX('CONTROL MASTER'!$N$2:$N$495,(SUMPRODUCT((('CONTROL MASTER'!$S$2:$S$495=9)*('CONTROL MASTER'!$Z$2:$Z$495&lt;=5)*('CONTROL MASTER'!$AB$2:$AB$495&gt;=5)*('CONTROL MASTER'!$AA$2:$AA$495&lt;=3)*('CONTROL MASTER'!$AC$2:$AC$495&gt;=3))*ROW('CONTROL MASTER'!$S$2:$S$495))-(ROW('CONTROL MASTER'!#REF!)-1))),":",","),",",REPT(" ",50)),(((INDEX('CONTROL MASTER'!$Y$2:$Y$495,(SUMPRODUCT((('CONTROL MASTER'!$S$2:$S$495=9)*('CONTROL MASTER'!$Z$2:$Z$495&lt;=5)*('CONTROL MASTER'!$AB$2:$AB$495&gt;=5)*('CONTROL MASTER'!$AA$2:$AA$495&lt;=3)*('CONTROL MASTER'!$AC$2:$AC$495&gt;=3))*ROW('CONTROL MASTER'!$S$2:$S$495))-(ROW('CONTROL MASTER'!#REF!)-1)))+((5-INDEX('CONTROL MASTER'!$Z$2:$Z$495,(SUMPRODUCT((('CONTROL MASTER'!$S$2:$S$495=9)*('CONTROL MASTER'!$Z$2:$Z$495&lt;=5)*('CONTROL MASTER'!$AB$2:$AB$495&gt;=5)*('CONTROL MASTER'!$AA$2:$AA$495&lt;=3)*('CONTROL MASTER'!$AC$2:$AC$495&gt;=3))*ROW('CONTROL MASTER'!$S$2:$S$495))-(ROW('CONTROL MASTER'!#REF!)-1))))*(INDEX('CONTROL MASTER'!$AC$2:$AC$495,(SUMPRODUCT((('CONTROL MASTER'!$S$2:$S$495=9)*('CONTROL MASTER'!$Z$2:$Z$495&lt;=5)*('CONTROL MASTER'!$AB$2:$AB$495&gt;=5)*('CONTROL MASTER'!$AA$2:$AA$495&lt;=3)*('CONTROL MASTER'!$AC$2:$AC$495&gt;=3))*ROW('CONTROL MASTER'!$S$2:$S$495))-(ROW('CONTROL MASTER'!#REF!)-1)))-INDEX('CONTROL MASTER'!$AA$2:$AA$495,(SUMPRODUCT((('CONTROL MASTER'!$S$2:$S$495=9)*('CONTROL MASTER'!$Z$2:$Z$495&lt;=5)*('CONTROL MASTER'!$AB$2:$AB$495&gt;=5)*('CONTROL MASTER'!$AA$2:$AA$495&lt;=3)*('CONTROL MASTER'!$AC$2:$AC$495&gt;=3))*ROW('CONTROL MASTER'!$S$2:$S$495))-(ROW('CONTROL MASTER'!#REF!)-1)))+1)+(3-INDEX('CONTROL MASTER'!$AA$2:$AA$495,(SUMPRODUCT((('CONTROL MASTER'!$S$2:$S$495=9)*('CONTROL MASTER'!$Z$2:$Z$495&lt;=5)*('CONTROL MASTER'!$AB$2:$AB$495&gt;=5)*('CONTROL MASTER'!$AA$2:$AA$495&lt;=3)*('CONTROL MASTER'!$AC$2:$AC$495&gt;=3))*ROW('CONTROL MASTER'!$S$2:$S$495))-(ROW('CONTROL MASTER'!#REF!)-1))))+1)))-1)*50+1,50))&amp;"_"&amp;INDEX('CONTROL MASTER'!$P$2:$P$495,(SUMPRODUCT((('CONTROL MASTER'!$S$2:$S$495=9)*('CONTROL MASTER'!$Z$2:$Z$495&lt;=5)*('CONTROL MASTER'!$AB$2:$AB$495&gt;=5)*('CONTROL MASTER'!$AA$2:$AA$495&lt;=3)*('CONTROL MASTER'!$AC$2:$AC$495&gt;=3))*ROW('CONTROL MASTER'!$S$2:$S$495))-(ROW('CONTROL MASTER'!#REF!)-1))),"")),"")</f>
        <v/>
      </c>
      <c r="E119" s="10" t="str">
        <f>IFERROR(IF(SUMPRODUCT((('CONTROL MASTER'!$S$2:$S$495=9)*('CONTROL MASTER'!$T$2:$T$495&lt;=5)*('CONTROL MASTER'!$V$2:$V$495&gt;=5)*('CONTROL MASTER'!$U$2:$U$495&lt;=4)*('CONTROL MASTER'!$W$2:$W$495&gt;=4))*ROW('CONTROL MASTER'!$S$2:$S$495))&gt;0,INDEX('CONTROL MASTER'!$X$2:$X$495,(SUMPRODUCT((('CONTROL MASTER'!$S$2:$S$495=9)*('CONTROL MASTER'!$T$2:$T$495&lt;=5)*('CONTROL MASTER'!$V$2:$V$495&gt;=5)*('CONTROL MASTER'!$U$2:$U$495&lt;=4)*('CONTROL MASTER'!$W$2:$W$495&gt;=4))*ROW('CONTROL MASTER'!$S$2:$S$495))-(ROW('CONTROL MASTER'!#REF!)-1)))&amp;TRIM(MID(SUBSTITUTE(SUBSTITUTE(INDEX('CONTROL MASTER'!$N$2:$N$495,(SUMPRODUCT((('CONTROL MASTER'!$S$2:$S$495=9)*('CONTROL MASTER'!$T$2:$T$495&lt;=5)*('CONTROL MASTER'!$V$2:$V$495&gt;=5)*('CONTROL MASTER'!$U$2:$U$495&lt;=4)*('CONTROL MASTER'!$W$2:$W$495&gt;=4))*ROW('CONTROL MASTER'!$S$2:$S$495))-(ROW('CONTROL MASTER'!#REF!)-1))),":",","),",",REPT(" ",50)),((((5-INDEX('CONTROL MASTER'!$T$2:$T$495,(SUMPRODUCT((('CONTROL MASTER'!$S$2:$S$495=9)*('CONTROL MASTER'!$T$2:$T$495&lt;=5)*('CONTROL MASTER'!$V$2:$V$495&gt;=5)*('CONTROL MASTER'!$U$2:$U$495&lt;=4)*('CONTROL MASTER'!$W$2:$W$495&gt;=4))*ROW('CONTROL MASTER'!$S$2:$S$495))-(ROW('CONTROL MASTER'!#REF!)-1))))*(INDEX('CONTROL MASTER'!$W$2:$W$495,(SUMPRODUCT((('CONTROL MASTER'!$S$2:$S$495=9)*('CONTROL MASTER'!$T$2:$T$495&lt;=5)*('CONTROL MASTER'!$V$2:$V$495&gt;=5)*('CONTROL MASTER'!$U$2:$U$495&lt;=4)*('CONTROL MASTER'!$W$2:$W$495&gt;=4))*ROW('CONTROL MASTER'!$S$2:$S$495))-(ROW('CONTROL MASTER'!#REF!)-1)))-INDEX('CONTROL MASTER'!$U$2:$U$495,(SUMPRODUCT((('CONTROL MASTER'!$S$2:$S$495=9)*('CONTROL MASTER'!$T$2:$T$495&lt;=5)*('CONTROL MASTER'!$V$2:$V$495&gt;=5)*('CONTROL MASTER'!$U$2:$U$495&lt;=4)*('CONTROL MASTER'!$W$2:$W$495&gt;=4))*ROW('CONTROL MASTER'!$S$2:$S$495))-(ROW('CONTROL MASTER'!#REF!)-1)))+1)+(4-INDEX('CONTROL MASTER'!$U$2:$U$495,(SUMPRODUCT((('CONTROL MASTER'!$S$2:$S$495=9)*('CONTROL MASTER'!$T$2:$T$495&lt;=5)*('CONTROL MASTER'!$V$2:$V$495&gt;=5)*('CONTROL MASTER'!$U$2:$U$495&lt;=4)*('CONTROL MASTER'!$W$2:$W$495&gt;=4))*ROW('CONTROL MASTER'!$S$2:$S$495))-(ROW('CONTROL MASTER'!#REF!)-1))))+1))-1)*50+1,50))&amp;"_"&amp;INDEX('CONTROL MASTER'!$P$2:$P$495,(SUMPRODUCT((('CONTROL MASTER'!$S$2:$S$495=9)*('CONTROL MASTER'!$T$2:$T$495&lt;=5)*('CONTROL MASTER'!$V$2:$V$495&gt;=5)*('CONTROL MASTER'!$U$2:$U$495&lt;=4)*('CONTROL MASTER'!$W$2:$W$495&gt;=4))*ROW('CONTROL MASTER'!$S$2:$S$495))-(ROW('CONTROL MASTER'!#REF!)-1))),IF(SUMPRODUCT((('CONTROL MASTER'!$S$2:$S$495=9)*('CONTROL MASTER'!$Z$2:$Z$495&lt;=5)*('CONTROL MASTER'!$AB$2:$AB$495&gt;=5)*('CONTROL MASTER'!$AA$2:$AA$495&lt;=4)*('CONTROL MASTER'!$AC$2:$AC$495&gt;=4))*ROW('CONTROL MASTER'!$S$2:$S$495))&gt;0,INDEX('CONTROL MASTER'!$X$2:$X$495,(SUMPRODUCT((('CONTROL MASTER'!$S$2:$S$495=9)*('CONTROL MASTER'!$Z$2:$Z$495&lt;=5)*('CONTROL MASTER'!$AB$2:$AB$495&gt;=5)*('CONTROL MASTER'!$AA$2:$AA$495&lt;=4)*('CONTROL MASTER'!$AC$2:$AC$495&gt;=4))*ROW('CONTROL MASTER'!$S$2:$S$495))-(ROW('CONTROL MASTER'!#REF!)-1)))&amp;TRIM(MID(SUBSTITUTE(SUBSTITUTE(INDEX('CONTROL MASTER'!$N$2:$N$495,(SUMPRODUCT((('CONTROL MASTER'!$S$2:$S$495=9)*('CONTROL MASTER'!$Z$2:$Z$495&lt;=5)*('CONTROL MASTER'!$AB$2:$AB$495&gt;=5)*('CONTROL MASTER'!$AA$2:$AA$495&lt;=4)*('CONTROL MASTER'!$AC$2:$AC$495&gt;=4))*ROW('CONTROL MASTER'!$S$2:$S$495))-(ROW('CONTROL MASTER'!#REF!)-1))),":",","),",",REPT(" ",50)),(((INDEX('CONTROL MASTER'!$Y$2:$Y$495,(SUMPRODUCT((('CONTROL MASTER'!$S$2:$S$495=9)*('CONTROL MASTER'!$Z$2:$Z$495&lt;=5)*('CONTROL MASTER'!$AB$2:$AB$495&gt;=5)*('CONTROL MASTER'!$AA$2:$AA$495&lt;=4)*('CONTROL MASTER'!$AC$2:$AC$495&gt;=4))*ROW('CONTROL MASTER'!$S$2:$S$495))-(ROW('CONTROL MASTER'!#REF!)-1)))+((5-INDEX('CONTROL MASTER'!$Z$2:$Z$495,(SUMPRODUCT((('CONTROL MASTER'!$S$2:$S$495=9)*('CONTROL MASTER'!$Z$2:$Z$495&lt;=5)*('CONTROL MASTER'!$AB$2:$AB$495&gt;=5)*('CONTROL MASTER'!$AA$2:$AA$495&lt;=4)*('CONTROL MASTER'!$AC$2:$AC$495&gt;=4))*ROW('CONTROL MASTER'!$S$2:$S$495))-(ROW('CONTROL MASTER'!#REF!)-1))))*(INDEX('CONTROL MASTER'!$AC$2:$AC$495,(SUMPRODUCT((('CONTROL MASTER'!$S$2:$S$495=9)*('CONTROL MASTER'!$Z$2:$Z$495&lt;=5)*('CONTROL MASTER'!$AB$2:$AB$495&gt;=5)*('CONTROL MASTER'!$AA$2:$AA$495&lt;=4)*('CONTROL MASTER'!$AC$2:$AC$495&gt;=4))*ROW('CONTROL MASTER'!$S$2:$S$495))-(ROW('CONTROL MASTER'!#REF!)-1)))-INDEX('CONTROL MASTER'!$AA$2:$AA$495,(SUMPRODUCT((('CONTROL MASTER'!$S$2:$S$495=9)*('CONTROL MASTER'!$Z$2:$Z$495&lt;=5)*('CONTROL MASTER'!$AB$2:$AB$495&gt;=5)*('CONTROL MASTER'!$AA$2:$AA$495&lt;=4)*('CONTROL MASTER'!$AC$2:$AC$495&gt;=4))*ROW('CONTROL MASTER'!$S$2:$S$495))-(ROW('CONTROL MASTER'!#REF!)-1)))+1)+(4-INDEX('CONTROL MASTER'!$AA$2:$AA$495,(SUMPRODUCT((('CONTROL MASTER'!$S$2:$S$495=9)*('CONTROL MASTER'!$Z$2:$Z$495&lt;=5)*('CONTROL MASTER'!$AB$2:$AB$495&gt;=5)*('CONTROL MASTER'!$AA$2:$AA$495&lt;=4)*('CONTROL MASTER'!$AC$2:$AC$495&gt;=4))*ROW('CONTROL MASTER'!$S$2:$S$495))-(ROW('CONTROL MASTER'!#REF!)-1))))+1)))-1)*50+1,50))&amp;"_"&amp;INDEX('CONTROL MASTER'!$P$2:$P$495,(SUMPRODUCT((('CONTROL MASTER'!$S$2:$S$495=9)*('CONTROL MASTER'!$Z$2:$Z$495&lt;=5)*('CONTROL MASTER'!$AB$2:$AB$495&gt;=5)*('CONTROL MASTER'!$AA$2:$AA$495&lt;=4)*('CONTROL MASTER'!$AC$2:$AC$495&gt;=4))*ROW('CONTROL MASTER'!$S$2:$S$495))-(ROW('CONTROL MASTER'!#REF!)-1))),"")),"")</f>
        <v/>
      </c>
      <c r="F119" s="10" t="str">
        <f>IFERROR(IF(SUMPRODUCT((('CONTROL MASTER'!$S$2:$S$495=9)*('CONTROL MASTER'!$T$2:$T$495&lt;=5)*('CONTROL MASTER'!$V$2:$V$495&gt;=5)*('CONTROL MASTER'!$U$2:$U$495&lt;=5)*('CONTROL MASTER'!$W$2:$W$495&gt;=5))*ROW('CONTROL MASTER'!$S$2:$S$495))&gt;0,INDEX('CONTROL MASTER'!$X$2:$X$495,(SUMPRODUCT((('CONTROL MASTER'!$S$2:$S$495=9)*('CONTROL MASTER'!$T$2:$T$495&lt;=5)*('CONTROL MASTER'!$V$2:$V$495&gt;=5)*('CONTROL MASTER'!$U$2:$U$495&lt;=5)*('CONTROL MASTER'!$W$2:$W$495&gt;=5))*ROW('CONTROL MASTER'!$S$2:$S$495))-(ROW('CONTROL MASTER'!#REF!)-1)))&amp;TRIM(MID(SUBSTITUTE(SUBSTITUTE(INDEX('CONTROL MASTER'!$N$2:$N$495,(SUMPRODUCT((('CONTROL MASTER'!$S$2:$S$495=9)*('CONTROL MASTER'!$T$2:$T$495&lt;=5)*('CONTROL MASTER'!$V$2:$V$495&gt;=5)*('CONTROL MASTER'!$U$2:$U$495&lt;=5)*('CONTROL MASTER'!$W$2:$W$495&gt;=5))*ROW('CONTROL MASTER'!$S$2:$S$495))-(ROW('CONTROL MASTER'!#REF!)-1))),":",","),",",REPT(" ",50)),((((5-INDEX('CONTROL MASTER'!$T$2:$T$495,(SUMPRODUCT((('CONTROL MASTER'!$S$2:$S$495=9)*('CONTROL MASTER'!$T$2:$T$495&lt;=5)*('CONTROL MASTER'!$V$2:$V$495&gt;=5)*('CONTROL MASTER'!$U$2:$U$495&lt;=5)*('CONTROL MASTER'!$W$2:$W$495&gt;=5))*ROW('CONTROL MASTER'!$S$2:$S$495))-(ROW('CONTROL MASTER'!#REF!)-1))))*(INDEX('CONTROL MASTER'!$W$2:$W$495,(SUMPRODUCT((('CONTROL MASTER'!$S$2:$S$495=9)*('CONTROL MASTER'!$T$2:$T$495&lt;=5)*('CONTROL MASTER'!$V$2:$V$495&gt;=5)*('CONTROL MASTER'!$U$2:$U$495&lt;=5)*('CONTROL MASTER'!$W$2:$W$495&gt;=5))*ROW('CONTROL MASTER'!$S$2:$S$495))-(ROW('CONTROL MASTER'!#REF!)-1)))-INDEX('CONTROL MASTER'!$U$2:$U$495,(SUMPRODUCT((('CONTROL MASTER'!$S$2:$S$495=9)*('CONTROL MASTER'!$T$2:$T$495&lt;=5)*('CONTROL MASTER'!$V$2:$V$495&gt;=5)*('CONTROL MASTER'!$U$2:$U$495&lt;=5)*('CONTROL MASTER'!$W$2:$W$495&gt;=5))*ROW('CONTROL MASTER'!$S$2:$S$495))-(ROW('CONTROL MASTER'!#REF!)-1)))+1)+(5-INDEX('CONTROL MASTER'!$U$2:$U$495,(SUMPRODUCT((('CONTROL MASTER'!$S$2:$S$495=9)*('CONTROL MASTER'!$T$2:$T$495&lt;=5)*('CONTROL MASTER'!$V$2:$V$495&gt;=5)*('CONTROL MASTER'!$U$2:$U$495&lt;=5)*('CONTROL MASTER'!$W$2:$W$495&gt;=5))*ROW('CONTROL MASTER'!$S$2:$S$495))-(ROW('CONTROL MASTER'!#REF!)-1))))+1))-1)*50+1,50))&amp;"_"&amp;INDEX('CONTROL MASTER'!$P$2:$P$495,(SUMPRODUCT((('CONTROL MASTER'!$S$2:$S$495=9)*('CONTROL MASTER'!$T$2:$T$495&lt;=5)*('CONTROL MASTER'!$V$2:$V$495&gt;=5)*('CONTROL MASTER'!$U$2:$U$495&lt;=5)*('CONTROL MASTER'!$W$2:$W$495&gt;=5))*ROW('CONTROL MASTER'!$S$2:$S$495))-(ROW('CONTROL MASTER'!#REF!)-1))),IF(SUMPRODUCT((('CONTROL MASTER'!$S$2:$S$495=9)*('CONTROL MASTER'!$Z$2:$Z$495&lt;=5)*('CONTROL MASTER'!$AB$2:$AB$495&gt;=5)*('CONTROL MASTER'!$AA$2:$AA$495&lt;=5)*('CONTROL MASTER'!$AC$2:$AC$495&gt;=5))*ROW('CONTROL MASTER'!$S$2:$S$495))&gt;0,INDEX('CONTROL MASTER'!$X$2:$X$495,(SUMPRODUCT((('CONTROL MASTER'!$S$2:$S$495=9)*('CONTROL MASTER'!$Z$2:$Z$495&lt;=5)*('CONTROL MASTER'!$AB$2:$AB$495&gt;=5)*('CONTROL MASTER'!$AA$2:$AA$495&lt;=5)*('CONTROL MASTER'!$AC$2:$AC$495&gt;=5))*ROW('CONTROL MASTER'!$S$2:$S$495))-(ROW('CONTROL MASTER'!#REF!)-1)))&amp;TRIM(MID(SUBSTITUTE(SUBSTITUTE(INDEX('CONTROL MASTER'!$N$2:$N$495,(SUMPRODUCT((('CONTROL MASTER'!$S$2:$S$495=9)*('CONTROL MASTER'!$Z$2:$Z$495&lt;=5)*('CONTROL MASTER'!$AB$2:$AB$495&gt;=5)*('CONTROL MASTER'!$AA$2:$AA$495&lt;=5)*('CONTROL MASTER'!$AC$2:$AC$495&gt;=5))*ROW('CONTROL MASTER'!$S$2:$S$495))-(ROW('CONTROL MASTER'!#REF!)-1))),":",","),",",REPT(" ",50)),(((INDEX('CONTROL MASTER'!$Y$2:$Y$495,(SUMPRODUCT((('CONTROL MASTER'!$S$2:$S$495=9)*('CONTROL MASTER'!$Z$2:$Z$495&lt;=5)*('CONTROL MASTER'!$AB$2:$AB$495&gt;=5)*('CONTROL MASTER'!$AA$2:$AA$495&lt;=5)*('CONTROL MASTER'!$AC$2:$AC$495&gt;=5))*ROW('CONTROL MASTER'!$S$2:$S$495))-(ROW('CONTROL MASTER'!#REF!)-1)))+((5-INDEX('CONTROL MASTER'!$Z$2:$Z$495,(SUMPRODUCT((('CONTROL MASTER'!$S$2:$S$495=9)*('CONTROL MASTER'!$Z$2:$Z$495&lt;=5)*('CONTROL MASTER'!$AB$2:$AB$495&gt;=5)*('CONTROL MASTER'!$AA$2:$AA$495&lt;=5)*('CONTROL MASTER'!$AC$2:$AC$495&gt;=5))*ROW('CONTROL MASTER'!$S$2:$S$495))-(ROW('CONTROL MASTER'!#REF!)-1))))*(INDEX('CONTROL MASTER'!$AC$2:$AC$495,(SUMPRODUCT((('CONTROL MASTER'!$S$2:$S$495=9)*('CONTROL MASTER'!$Z$2:$Z$495&lt;=5)*('CONTROL MASTER'!$AB$2:$AB$495&gt;=5)*('CONTROL MASTER'!$AA$2:$AA$495&lt;=5)*('CONTROL MASTER'!$AC$2:$AC$495&gt;=5))*ROW('CONTROL MASTER'!$S$2:$S$495))-(ROW('CONTROL MASTER'!#REF!)-1)))-INDEX('CONTROL MASTER'!$AA$2:$AA$495,(SUMPRODUCT((('CONTROL MASTER'!$S$2:$S$495=9)*('CONTROL MASTER'!$Z$2:$Z$495&lt;=5)*('CONTROL MASTER'!$AB$2:$AB$495&gt;=5)*('CONTROL MASTER'!$AA$2:$AA$495&lt;=5)*('CONTROL MASTER'!$AC$2:$AC$495&gt;=5))*ROW('CONTROL MASTER'!$S$2:$S$495))-(ROW('CONTROL MASTER'!#REF!)-1)))+1)+(5-INDEX('CONTROL MASTER'!$AA$2:$AA$495,(SUMPRODUCT((('CONTROL MASTER'!$S$2:$S$495=9)*('CONTROL MASTER'!$Z$2:$Z$495&lt;=5)*('CONTROL MASTER'!$AB$2:$AB$495&gt;=5)*('CONTROL MASTER'!$AA$2:$AA$495&lt;=5)*('CONTROL MASTER'!$AC$2:$AC$495&gt;=5))*ROW('CONTROL MASTER'!$S$2:$S$495))-(ROW('CONTROL MASTER'!#REF!)-1))))+1)))-1)*50+1,50))&amp;"_"&amp;INDEX('CONTROL MASTER'!$P$2:$P$495,(SUMPRODUCT((('CONTROL MASTER'!$S$2:$S$495=9)*('CONTROL MASTER'!$Z$2:$Z$495&lt;=5)*('CONTROL MASTER'!$AB$2:$AB$495&gt;=5)*('CONTROL MASTER'!$AA$2:$AA$495&lt;=5)*('CONTROL MASTER'!$AC$2:$AC$495&gt;=5))*ROW('CONTROL MASTER'!$S$2:$S$495))-(ROW('CONTROL MASTER'!#REF!)-1))),"")),"")</f>
        <v/>
      </c>
      <c r="G119" s="10" t="str">
        <f>IFERROR(IF(SUMPRODUCT((('CONTROL MASTER'!$S$2:$S$495=9)*('CONTROL MASTER'!$T$2:$T$495&lt;=5)*('CONTROL MASTER'!$V$2:$V$495&gt;=5)*('CONTROL MASTER'!$U$2:$U$495&lt;=6)*('CONTROL MASTER'!$W$2:$W$495&gt;=6))*ROW('CONTROL MASTER'!$S$2:$S$495))&gt;0,INDEX('CONTROL MASTER'!$X$2:$X$495,(SUMPRODUCT((('CONTROL MASTER'!$S$2:$S$495=9)*('CONTROL MASTER'!$T$2:$T$495&lt;=5)*('CONTROL MASTER'!$V$2:$V$495&gt;=5)*('CONTROL MASTER'!$U$2:$U$495&lt;=6)*('CONTROL MASTER'!$W$2:$W$495&gt;=6))*ROW('CONTROL MASTER'!$S$2:$S$495))-(ROW('CONTROL MASTER'!#REF!)-1)))&amp;TRIM(MID(SUBSTITUTE(SUBSTITUTE(INDEX('CONTROL MASTER'!$N$2:$N$495,(SUMPRODUCT((('CONTROL MASTER'!$S$2:$S$495=9)*('CONTROL MASTER'!$T$2:$T$495&lt;=5)*('CONTROL MASTER'!$V$2:$V$495&gt;=5)*('CONTROL MASTER'!$U$2:$U$495&lt;=6)*('CONTROL MASTER'!$W$2:$W$495&gt;=6))*ROW('CONTROL MASTER'!$S$2:$S$495))-(ROW('CONTROL MASTER'!#REF!)-1))),":",","),",",REPT(" ",50)),((((5-INDEX('CONTROL MASTER'!$T$2:$T$495,(SUMPRODUCT((('CONTROL MASTER'!$S$2:$S$495=9)*('CONTROL MASTER'!$T$2:$T$495&lt;=5)*('CONTROL MASTER'!$V$2:$V$495&gt;=5)*('CONTROL MASTER'!$U$2:$U$495&lt;=6)*('CONTROL MASTER'!$W$2:$W$495&gt;=6))*ROW('CONTROL MASTER'!$S$2:$S$495))-(ROW('CONTROL MASTER'!#REF!)-1))))*(INDEX('CONTROL MASTER'!$W$2:$W$495,(SUMPRODUCT((('CONTROL MASTER'!$S$2:$S$495=9)*('CONTROL MASTER'!$T$2:$T$495&lt;=5)*('CONTROL MASTER'!$V$2:$V$495&gt;=5)*('CONTROL MASTER'!$U$2:$U$495&lt;=6)*('CONTROL MASTER'!$W$2:$W$495&gt;=6))*ROW('CONTROL MASTER'!$S$2:$S$495))-(ROW('CONTROL MASTER'!#REF!)-1)))-INDEX('CONTROL MASTER'!$U$2:$U$495,(SUMPRODUCT((('CONTROL MASTER'!$S$2:$S$495=9)*('CONTROL MASTER'!$T$2:$T$495&lt;=5)*('CONTROL MASTER'!$V$2:$V$495&gt;=5)*('CONTROL MASTER'!$U$2:$U$495&lt;=6)*('CONTROL MASTER'!$W$2:$W$495&gt;=6))*ROW('CONTROL MASTER'!$S$2:$S$495))-(ROW('CONTROL MASTER'!#REF!)-1)))+1)+(6-INDEX('CONTROL MASTER'!$U$2:$U$495,(SUMPRODUCT((('CONTROL MASTER'!$S$2:$S$495=9)*('CONTROL MASTER'!$T$2:$T$495&lt;=5)*('CONTROL MASTER'!$V$2:$V$495&gt;=5)*('CONTROL MASTER'!$U$2:$U$495&lt;=6)*('CONTROL MASTER'!$W$2:$W$495&gt;=6))*ROW('CONTROL MASTER'!$S$2:$S$495))-(ROW('CONTROL MASTER'!#REF!)-1))))+1))-1)*50+1,50))&amp;"_"&amp;INDEX('CONTROL MASTER'!$P$2:$P$495,(SUMPRODUCT((('CONTROL MASTER'!$S$2:$S$495=9)*('CONTROL MASTER'!$T$2:$T$495&lt;=5)*('CONTROL MASTER'!$V$2:$V$495&gt;=5)*('CONTROL MASTER'!$U$2:$U$495&lt;=6)*('CONTROL MASTER'!$W$2:$W$495&gt;=6))*ROW('CONTROL MASTER'!$S$2:$S$495))-(ROW('CONTROL MASTER'!#REF!)-1))),IF(SUMPRODUCT((('CONTROL MASTER'!$S$2:$S$495=9)*('CONTROL MASTER'!$Z$2:$Z$495&lt;=5)*('CONTROL MASTER'!$AB$2:$AB$495&gt;=5)*('CONTROL MASTER'!$AA$2:$AA$495&lt;=6)*('CONTROL MASTER'!$AC$2:$AC$495&gt;=6))*ROW('CONTROL MASTER'!$S$2:$S$495))&gt;0,INDEX('CONTROL MASTER'!$X$2:$X$495,(SUMPRODUCT((('CONTROL MASTER'!$S$2:$S$495=9)*('CONTROL MASTER'!$Z$2:$Z$495&lt;=5)*('CONTROL MASTER'!$AB$2:$AB$495&gt;=5)*('CONTROL MASTER'!$AA$2:$AA$495&lt;=6)*('CONTROL MASTER'!$AC$2:$AC$495&gt;=6))*ROW('CONTROL MASTER'!$S$2:$S$495))-(ROW('CONTROL MASTER'!#REF!)-1)))&amp;TRIM(MID(SUBSTITUTE(SUBSTITUTE(INDEX('CONTROL MASTER'!$N$2:$N$495,(SUMPRODUCT((('CONTROL MASTER'!$S$2:$S$495=9)*('CONTROL MASTER'!$Z$2:$Z$495&lt;=5)*('CONTROL MASTER'!$AB$2:$AB$495&gt;=5)*('CONTROL MASTER'!$AA$2:$AA$495&lt;=6)*('CONTROL MASTER'!$AC$2:$AC$495&gt;=6))*ROW('CONTROL MASTER'!$S$2:$S$495))-(ROW('CONTROL MASTER'!#REF!)-1))),":",","),",",REPT(" ",50)),(((INDEX('CONTROL MASTER'!$Y$2:$Y$495,(SUMPRODUCT((('CONTROL MASTER'!$S$2:$S$495=9)*('CONTROL MASTER'!$Z$2:$Z$495&lt;=5)*('CONTROL MASTER'!$AB$2:$AB$495&gt;=5)*('CONTROL MASTER'!$AA$2:$AA$495&lt;=6)*('CONTROL MASTER'!$AC$2:$AC$495&gt;=6))*ROW('CONTROL MASTER'!$S$2:$S$495))-(ROW('CONTROL MASTER'!#REF!)-1)))+((5-INDEX('CONTROL MASTER'!$Z$2:$Z$495,(SUMPRODUCT((('CONTROL MASTER'!$S$2:$S$495=9)*('CONTROL MASTER'!$Z$2:$Z$495&lt;=5)*('CONTROL MASTER'!$AB$2:$AB$495&gt;=5)*('CONTROL MASTER'!$AA$2:$AA$495&lt;=6)*('CONTROL MASTER'!$AC$2:$AC$495&gt;=6))*ROW('CONTROL MASTER'!$S$2:$S$495))-(ROW('CONTROL MASTER'!#REF!)-1))))*(INDEX('CONTROL MASTER'!$AC$2:$AC$495,(SUMPRODUCT((('CONTROL MASTER'!$S$2:$S$495=9)*('CONTROL MASTER'!$Z$2:$Z$495&lt;=5)*('CONTROL MASTER'!$AB$2:$AB$495&gt;=5)*('CONTROL MASTER'!$AA$2:$AA$495&lt;=6)*('CONTROL MASTER'!$AC$2:$AC$495&gt;=6))*ROW('CONTROL MASTER'!$S$2:$S$495))-(ROW('CONTROL MASTER'!#REF!)-1)))-INDEX('CONTROL MASTER'!$AA$2:$AA$495,(SUMPRODUCT((('CONTROL MASTER'!$S$2:$S$495=9)*('CONTROL MASTER'!$Z$2:$Z$495&lt;=5)*('CONTROL MASTER'!$AB$2:$AB$495&gt;=5)*('CONTROL MASTER'!$AA$2:$AA$495&lt;=6)*('CONTROL MASTER'!$AC$2:$AC$495&gt;=6))*ROW('CONTROL MASTER'!$S$2:$S$495))-(ROW('CONTROL MASTER'!#REF!)-1)))+1)+(6-INDEX('CONTROL MASTER'!$AA$2:$AA$495,(SUMPRODUCT((('CONTROL MASTER'!$S$2:$S$495=9)*('CONTROL MASTER'!$Z$2:$Z$495&lt;=5)*('CONTROL MASTER'!$AB$2:$AB$495&gt;=5)*('CONTROL MASTER'!$AA$2:$AA$495&lt;=6)*('CONTROL MASTER'!$AC$2:$AC$495&gt;=6))*ROW('CONTROL MASTER'!$S$2:$S$495))-(ROW('CONTROL MASTER'!#REF!)-1))))+1)))-1)*50+1,50))&amp;"_"&amp;INDEX('CONTROL MASTER'!$P$2:$P$495,(SUMPRODUCT((('CONTROL MASTER'!$S$2:$S$495=9)*('CONTROL MASTER'!$Z$2:$Z$495&lt;=5)*('CONTROL MASTER'!$AB$2:$AB$495&gt;=5)*('CONTROL MASTER'!$AA$2:$AA$495&lt;=6)*('CONTROL MASTER'!$AC$2:$AC$495&gt;=6))*ROW('CONTROL MASTER'!$S$2:$S$495))-(ROW('CONTROL MASTER'!#REF!)-1))),"")),"")</f>
        <v/>
      </c>
      <c r="H119" s="10" t="str">
        <f>IFERROR(IF(SUMPRODUCT((('CONTROL MASTER'!$S$2:$S$495=9)*('CONTROL MASTER'!$T$2:$T$495&lt;=5)*('CONTROL MASTER'!$V$2:$V$495&gt;=5)*('CONTROL MASTER'!$U$2:$U$495&lt;=7)*('CONTROL MASTER'!$W$2:$W$495&gt;=7))*ROW('CONTROL MASTER'!$S$2:$S$495))&gt;0,INDEX('CONTROL MASTER'!$X$2:$X$495,(SUMPRODUCT((('CONTROL MASTER'!$S$2:$S$495=9)*('CONTROL MASTER'!$T$2:$T$495&lt;=5)*('CONTROL MASTER'!$V$2:$V$495&gt;=5)*('CONTROL MASTER'!$U$2:$U$495&lt;=7)*('CONTROL MASTER'!$W$2:$W$495&gt;=7))*ROW('CONTROL MASTER'!$S$2:$S$495))-(ROW('CONTROL MASTER'!#REF!)-1)))&amp;TRIM(MID(SUBSTITUTE(SUBSTITUTE(INDEX('CONTROL MASTER'!$N$2:$N$495,(SUMPRODUCT((('CONTROL MASTER'!$S$2:$S$495=9)*('CONTROL MASTER'!$T$2:$T$495&lt;=5)*('CONTROL MASTER'!$V$2:$V$495&gt;=5)*('CONTROL MASTER'!$U$2:$U$495&lt;=7)*('CONTROL MASTER'!$W$2:$W$495&gt;=7))*ROW('CONTROL MASTER'!$S$2:$S$495))-(ROW('CONTROL MASTER'!#REF!)-1))),":",","),",",REPT(" ",50)),((((5-INDEX('CONTROL MASTER'!$T$2:$T$495,(SUMPRODUCT((('CONTROL MASTER'!$S$2:$S$495=9)*('CONTROL MASTER'!$T$2:$T$495&lt;=5)*('CONTROL MASTER'!$V$2:$V$495&gt;=5)*('CONTROL MASTER'!$U$2:$U$495&lt;=7)*('CONTROL MASTER'!$W$2:$W$495&gt;=7))*ROW('CONTROL MASTER'!$S$2:$S$495))-(ROW('CONTROL MASTER'!#REF!)-1))))*(INDEX('CONTROL MASTER'!$W$2:$W$495,(SUMPRODUCT((('CONTROL MASTER'!$S$2:$S$495=9)*('CONTROL MASTER'!$T$2:$T$495&lt;=5)*('CONTROL MASTER'!$V$2:$V$495&gt;=5)*('CONTROL MASTER'!$U$2:$U$495&lt;=7)*('CONTROL MASTER'!$W$2:$W$495&gt;=7))*ROW('CONTROL MASTER'!$S$2:$S$495))-(ROW('CONTROL MASTER'!#REF!)-1)))-INDEX('CONTROL MASTER'!$U$2:$U$495,(SUMPRODUCT((('CONTROL MASTER'!$S$2:$S$495=9)*('CONTROL MASTER'!$T$2:$T$495&lt;=5)*('CONTROL MASTER'!$V$2:$V$495&gt;=5)*('CONTROL MASTER'!$U$2:$U$495&lt;=7)*('CONTROL MASTER'!$W$2:$W$495&gt;=7))*ROW('CONTROL MASTER'!$S$2:$S$495))-(ROW('CONTROL MASTER'!#REF!)-1)))+1)+(7-INDEX('CONTROL MASTER'!$U$2:$U$495,(SUMPRODUCT((('CONTROL MASTER'!$S$2:$S$495=9)*('CONTROL MASTER'!$T$2:$T$495&lt;=5)*('CONTROL MASTER'!$V$2:$V$495&gt;=5)*('CONTROL MASTER'!$U$2:$U$495&lt;=7)*('CONTROL MASTER'!$W$2:$W$495&gt;=7))*ROW('CONTROL MASTER'!$S$2:$S$495))-(ROW('CONTROL MASTER'!#REF!)-1))))+1))-1)*50+1,50))&amp;"_"&amp;INDEX('CONTROL MASTER'!$P$2:$P$495,(SUMPRODUCT((('CONTROL MASTER'!$S$2:$S$495=9)*('CONTROL MASTER'!$T$2:$T$495&lt;=5)*('CONTROL MASTER'!$V$2:$V$495&gt;=5)*('CONTROL MASTER'!$U$2:$U$495&lt;=7)*('CONTROL MASTER'!$W$2:$W$495&gt;=7))*ROW('CONTROL MASTER'!$S$2:$S$495))-(ROW('CONTROL MASTER'!#REF!)-1))),IF(SUMPRODUCT((('CONTROL MASTER'!$S$2:$S$495=9)*('CONTROL MASTER'!$Z$2:$Z$495&lt;=5)*('CONTROL MASTER'!$AB$2:$AB$495&gt;=5)*('CONTROL MASTER'!$AA$2:$AA$495&lt;=7)*('CONTROL MASTER'!$AC$2:$AC$495&gt;=7))*ROW('CONTROL MASTER'!$S$2:$S$495))&gt;0,INDEX('CONTROL MASTER'!$X$2:$X$495,(SUMPRODUCT((('CONTROL MASTER'!$S$2:$S$495=9)*('CONTROL MASTER'!$Z$2:$Z$495&lt;=5)*('CONTROL MASTER'!$AB$2:$AB$495&gt;=5)*('CONTROL MASTER'!$AA$2:$AA$495&lt;=7)*('CONTROL MASTER'!$AC$2:$AC$495&gt;=7))*ROW('CONTROL MASTER'!$S$2:$S$495))-(ROW('CONTROL MASTER'!#REF!)-1)))&amp;TRIM(MID(SUBSTITUTE(SUBSTITUTE(INDEX('CONTROL MASTER'!$N$2:$N$495,(SUMPRODUCT((('CONTROL MASTER'!$S$2:$S$495=9)*('CONTROL MASTER'!$Z$2:$Z$495&lt;=5)*('CONTROL MASTER'!$AB$2:$AB$495&gt;=5)*('CONTROL MASTER'!$AA$2:$AA$495&lt;=7)*('CONTROL MASTER'!$AC$2:$AC$495&gt;=7))*ROW('CONTROL MASTER'!$S$2:$S$495))-(ROW('CONTROL MASTER'!#REF!)-1))),":",","),",",REPT(" ",50)),(((INDEX('CONTROL MASTER'!$Y$2:$Y$495,(SUMPRODUCT((('CONTROL MASTER'!$S$2:$S$495=9)*('CONTROL MASTER'!$Z$2:$Z$495&lt;=5)*('CONTROL MASTER'!$AB$2:$AB$495&gt;=5)*('CONTROL MASTER'!$AA$2:$AA$495&lt;=7)*('CONTROL MASTER'!$AC$2:$AC$495&gt;=7))*ROW('CONTROL MASTER'!$S$2:$S$495))-(ROW('CONTROL MASTER'!#REF!)-1)))+((5-INDEX('CONTROL MASTER'!$Z$2:$Z$495,(SUMPRODUCT((('CONTROL MASTER'!$S$2:$S$495=9)*('CONTROL MASTER'!$Z$2:$Z$495&lt;=5)*('CONTROL MASTER'!$AB$2:$AB$495&gt;=5)*('CONTROL MASTER'!$AA$2:$AA$495&lt;=7)*('CONTROL MASTER'!$AC$2:$AC$495&gt;=7))*ROW('CONTROL MASTER'!$S$2:$S$495))-(ROW('CONTROL MASTER'!#REF!)-1))))*(INDEX('CONTROL MASTER'!$AC$2:$AC$495,(SUMPRODUCT((('CONTROL MASTER'!$S$2:$S$495=9)*('CONTROL MASTER'!$Z$2:$Z$495&lt;=5)*('CONTROL MASTER'!$AB$2:$AB$495&gt;=5)*('CONTROL MASTER'!$AA$2:$AA$495&lt;=7)*('CONTROL MASTER'!$AC$2:$AC$495&gt;=7))*ROW('CONTROL MASTER'!$S$2:$S$495))-(ROW('CONTROL MASTER'!#REF!)-1)))-INDEX('CONTROL MASTER'!$AA$2:$AA$495,(SUMPRODUCT((('CONTROL MASTER'!$S$2:$S$495=9)*('CONTROL MASTER'!$Z$2:$Z$495&lt;=5)*('CONTROL MASTER'!$AB$2:$AB$495&gt;=5)*('CONTROL MASTER'!$AA$2:$AA$495&lt;=7)*('CONTROL MASTER'!$AC$2:$AC$495&gt;=7))*ROW('CONTROL MASTER'!$S$2:$S$495))-(ROW('CONTROL MASTER'!#REF!)-1)))+1)+(7-INDEX('CONTROL MASTER'!$AA$2:$AA$495,(SUMPRODUCT((('CONTROL MASTER'!$S$2:$S$495=9)*('CONTROL MASTER'!$Z$2:$Z$495&lt;=5)*('CONTROL MASTER'!$AB$2:$AB$495&gt;=5)*('CONTROL MASTER'!$AA$2:$AA$495&lt;=7)*('CONTROL MASTER'!$AC$2:$AC$495&gt;=7))*ROW('CONTROL MASTER'!$S$2:$S$495))-(ROW('CONTROL MASTER'!#REF!)-1))))+1)))-1)*50+1,50))&amp;"_"&amp;INDEX('CONTROL MASTER'!$P$2:$P$495,(SUMPRODUCT((('CONTROL MASTER'!$S$2:$S$495=9)*('CONTROL MASTER'!$Z$2:$Z$495&lt;=5)*('CONTROL MASTER'!$AB$2:$AB$495&gt;=5)*('CONTROL MASTER'!$AA$2:$AA$495&lt;=7)*('CONTROL MASTER'!$AC$2:$AC$495&gt;=7))*ROW('CONTROL MASTER'!$S$2:$S$495))-(ROW('CONTROL MASTER'!#REF!)-1))),"")),"")</f>
        <v/>
      </c>
      <c r="I119" s="10" t="str">
        <f>IFERROR(IF(SUMPRODUCT((('CONTROL MASTER'!$S$2:$S$495=9)*('CONTROL MASTER'!$T$2:$T$495&lt;=5)*('CONTROL MASTER'!$V$2:$V$495&gt;=5)*('CONTROL MASTER'!$U$2:$U$495&lt;=8)*('CONTROL MASTER'!$W$2:$W$495&gt;=8))*ROW('CONTROL MASTER'!$S$2:$S$495))&gt;0,INDEX('CONTROL MASTER'!$X$2:$X$495,(SUMPRODUCT((('CONTROL MASTER'!$S$2:$S$495=9)*('CONTROL MASTER'!$T$2:$T$495&lt;=5)*('CONTROL MASTER'!$V$2:$V$495&gt;=5)*('CONTROL MASTER'!$U$2:$U$495&lt;=8)*('CONTROL MASTER'!$W$2:$W$495&gt;=8))*ROW('CONTROL MASTER'!$S$2:$S$495))-(ROW('CONTROL MASTER'!#REF!)-1)))&amp;TRIM(MID(SUBSTITUTE(SUBSTITUTE(INDEX('CONTROL MASTER'!$N$2:$N$495,(SUMPRODUCT((('CONTROL MASTER'!$S$2:$S$495=9)*('CONTROL MASTER'!$T$2:$T$495&lt;=5)*('CONTROL MASTER'!$V$2:$V$495&gt;=5)*('CONTROL MASTER'!$U$2:$U$495&lt;=8)*('CONTROL MASTER'!$W$2:$W$495&gt;=8))*ROW('CONTROL MASTER'!$S$2:$S$495))-(ROW('CONTROL MASTER'!#REF!)-1))),":",","),",",REPT(" ",50)),((((5-INDEX('CONTROL MASTER'!$T$2:$T$495,(SUMPRODUCT((('CONTROL MASTER'!$S$2:$S$495=9)*('CONTROL MASTER'!$T$2:$T$495&lt;=5)*('CONTROL MASTER'!$V$2:$V$495&gt;=5)*('CONTROL MASTER'!$U$2:$U$495&lt;=8)*('CONTROL MASTER'!$W$2:$W$495&gt;=8))*ROW('CONTROL MASTER'!$S$2:$S$495))-(ROW('CONTROL MASTER'!#REF!)-1))))*(INDEX('CONTROL MASTER'!$W$2:$W$495,(SUMPRODUCT((('CONTROL MASTER'!$S$2:$S$495=9)*('CONTROL MASTER'!$T$2:$T$495&lt;=5)*('CONTROL MASTER'!$V$2:$V$495&gt;=5)*('CONTROL MASTER'!$U$2:$U$495&lt;=8)*('CONTROL MASTER'!$W$2:$W$495&gt;=8))*ROW('CONTROL MASTER'!$S$2:$S$495))-(ROW('CONTROL MASTER'!#REF!)-1)))-INDEX('CONTROL MASTER'!$U$2:$U$495,(SUMPRODUCT((('CONTROL MASTER'!$S$2:$S$495=9)*('CONTROL MASTER'!$T$2:$T$495&lt;=5)*('CONTROL MASTER'!$V$2:$V$495&gt;=5)*('CONTROL MASTER'!$U$2:$U$495&lt;=8)*('CONTROL MASTER'!$W$2:$W$495&gt;=8))*ROW('CONTROL MASTER'!$S$2:$S$495))-(ROW('CONTROL MASTER'!#REF!)-1)))+1)+(8-INDEX('CONTROL MASTER'!$U$2:$U$495,(SUMPRODUCT((('CONTROL MASTER'!$S$2:$S$495=9)*('CONTROL MASTER'!$T$2:$T$495&lt;=5)*('CONTROL MASTER'!$V$2:$V$495&gt;=5)*('CONTROL MASTER'!$U$2:$U$495&lt;=8)*('CONTROL MASTER'!$W$2:$W$495&gt;=8))*ROW('CONTROL MASTER'!$S$2:$S$495))-(ROW('CONTROL MASTER'!#REF!)-1))))+1))-1)*50+1,50))&amp;"_"&amp;INDEX('CONTROL MASTER'!$P$2:$P$495,(SUMPRODUCT((('CONTROL MASTER'!$S$2:$S$495=9)*('CONTROL MASTER'!$T$2:$T$495&lt;=5)*('CONTROL MASTER'!$V$2:$V$495&gt;=5)*('CONTROL MASTER'!$U$2:$U$495&lt;=8)*('CONTROL MASTER'!$W$2:$W$495&gt;=8))*ROW('CONTROL MASTER'!$S$2:$S$495))-(ROW('CONTROL MASTER'!#REF!)-1))),IF(SUMPRODUCT((('CONTROL MASTER'!$S$2:$S$495=9)*('CONTROL MASTER'!$Z$2:$Z$495&lt;=5)*('CONTROL MASTER'!$AB$2:$AB$495&gt;=5)*('CONTROL MASTER'!$AA$2:$AA$495&lt;=8)*('CONTROL MASTER'!$AC$2:$AC$495&gt;=8))*ROW('CONTROL MASTER'!$S$2:$S$495))&gt;0,INDEX('CONTROL MASTER'!$X$2:$X$495,(SUMPRODUCT((('CONTROL MASTER'!$S$2:$S$495=9)*('CONTROL MASTER'!$Z$2:$Z$495&lt;=5)*('CONTROL MASTER'!$AB$2:$AB$495&gt;=5)*('CONTROL MASTER'!$AA$2:$AA$495&lt;=8)*('CONTROL MASTER'!$AC$2:$AC$495&gt;=8))*ROW('CONTROL MASTER'!$S$2:$S$495))-(ROW('CONTROL MASTER'!#REF!)-1)))&amp;TRIM(MID(SUBSTITUTE(SUBSTITUTE(INDEX('CONTROL MASTER'!$N$2:$N$495,(SUMPRODUCT((('CONTROL MASTER'!$S$2:$S$495=9)*('CONTROL MASTER'!$Z$2:$Z$495&lt;=5)*('CONTROL MASTER'!$AB$2:$AB$495&gt;=5)*('CONTROL MASTER'!$AA$2:$AA$495&lt;=8)*('CONTROL MASTER'!$AC$2:$AC$495&gt;=8))*ROW('CONTROL MASTER'!$S$2:$S$495))-(ROW('CONTROL MASTER'!#REF!)-1))),":",","),",",REPT(" ",50)),(((INDEX('CONTROL MASTER'!$Y$2:$Y$495,(SUMPRODUCT((('CONTROL MASTER'!$S$2:$S$495=9)*('CONTROL MASTER'!$Z$2:$Z$495&lt;=5)*('CONTROL MASTER'!$AB$2:$AB$495&gt;=5)*('CONTROL MASTER'!$AA$2:$AA$495&lt;=8)*('CONTROL MASTER'!$AC$2:$AC$495&gt;=8))*ROW('CONTROL MASTER'!$S$2:$S$495))-(ROW('CONTROL MASTER'!#REF!)-1)))+((5-INDEX('CONTROL MASTER'!$Z$2:$Z$495,(SUMPRODUCT((('CONTROL MASTER'!$S$2:$S$495=9)*('CONTROL MASTER'!$Z$2:$Z$495&lt;=5)*('CONTROL MASTER'!$AB$2:$AB$495&gt;=5)*('CONTROL MASTER'!$AA$2:$AA$495&lt;=8)*('CONTROL MASTER'!$AC$2:$AC$495&gt;=8))*ROW('CONTROL MASTER'!$S$2:$S$495))-(ROW('CONTROL MASTER'!#REF!)-1))))*(INDEX('CONTROL MASTER'!$AC$2:$AC$495,(SUMPRODUCT((('CONTROL MASTER'!$S$2:$S$495=9)*('CONTROL MASTER'!$Z$2:$Z$495&lt;=5)*('CONTROL MASTER'!$AB$2:$AB$495&gt;=5)*('CONTROL MASTER'!$AA$2:$AA$495&lt;=8)*('CONTROL MASTER'!$AC$2:$AC$495&gt;=8))*ROW('CONTROL MASTER'!$S$2:$S$495))-(ROW('CONTROL MASTER'!#REF!)-1)))-INDEX('CONTROL MASTER'!$AA$2:$AA$495,(SUMPRODUCT((('CONTROL MASTER'!$S$2:$S$495=9)*('CONTROL MASTER'!$Z$2:$Z$495&lt;=5)*('CONTROL MASTER'!$AB$2:$AB$495&gt;=5)*('CONTROL MASTER'!$AA$2:$AA$495&lt;=8)*('CONTROL MASTER'!$AC$2:$AC$495&gt;=8))*ROW('CONTROL MASTER'!$S$2:$S$495))-(ROW('CONTROL MASTER'!#REF!)-1)))+1)+(8-INDEX('CONTROL MASTER'!$AA$2:$AA$495,(SUMPRODUCT((('CONTROL MASTER'!$S$2:$S$495=9)*('CONTROL MASTER'!$Z$2:$Z$495&lt;=5)*('CONTROL MASTER'!$AB$2:$AB$495&gt;=5)*('CONTROL MASTER'!$AA$2:$AA$495&lt;=8)*('CONTROL MASTER'!$AC$2:$AC$495&gt;=8))*ROW('CONTROL MASTER'!$S$2:$S$495))-(ROW('CONTROL MASTER'!#REF!)-1))))+1)))-1)*50+1,50))&amp;"_"&amp;INDEX('CONTROL MASTER'!$P$2:$P$495,(SUMPRODUCT((('CONTROL MASTER'!$S$2:$S$495=9)*('CONTROL MASTER'!$Z$2:$Z$495&lt;=5)*('CONTROL MASTER'!$AB$2:$AB$495&gt;=5)*('CONTROL MASTER'!$AA$2:$AA$495&lt;=8)*('CONTROL MASTER'!$AC$2:$AC$495&gt;=8))*ROW('CONTROL MASTER'!$S$2:$S$495))-(ROW('CONTROL MASTER'!#REF!)-1))),"")),"")</f>
        <v/>
      </c>
      <c r="J119" s="10" t="str">
        <f>IFERROR(IF(SUMPRODUCT((('CONTROL MASTER'!$S$2:$S$495=9)*('CONTROL MASTER'!$T$2:$T$495&lt;=5)*('CONTROL MASTER'!$V$2:$V$495&gt;=5)*('CONTROL MASTER'!$U$2:$U$495&lt;=9)*('CONTROL MASTER'!$W$2:$W$495&gt;=9))*ROW('CONTROL MASTER'!$S$2:$S$495))&gt;0,INDEX('CONTROL MASTER'!$X$2:$X$495,(SUMPRODUCT((('CONTROL MASTER'!$S$2:$S$495=9)*('CONTROL MASTER'!$T$2:$T$495&lt;=5)*('CONTROL MASTER'!$V$2:$V$495&gt;=5)*('CONTROL MASTER'!$U$2:$U$495&lt;=9)*('CONTROL MASTER'!$W$2:$W$495&gt;=9))*ROW('CONTROL MASTER'!$S$2:$S$495))-(ROW('CONTROL MASTER'!#REF!)-1)))&amp;TRIM(MID(SUBSTITUTE(SUBSTITUTE(INDEX('CONTROL MASTER'!$N$2:$N$495,(SUMPRODUCT((('CONTROL MASTER'!$S$2:$S$495=9)*('CONTROL MASTER'!$T$2:$T$495&lt;=5)*('CONTROL MASTER'!$V$2:$V$495&gt;=5)*('CONTROL MASTER'!$U$2:$U$495&lt;=9)*('CONTROL MASTER'!$W$2:$W$495&gt;=9))*ROW('CONTROL MASTER'!$S$2:$S$495))-(ROW('CONTROL MASTER'!#REF!)-1))),":",","),",",REPT(" ",50)),((((5-INDEX('CONTROL MASTER'!$T$2:$T$495,(SUMPRODUCT((('CONTROL MASTER'!$S$2:$S$495=9)*('CONTROL MASTER'!$T$2:$T$495&lt;=5)*('CONTROL MASTER'!$V$2:$V$495&gt;=5)*('CONTROL MASTER'!$U$2:$U$495&lt;=9)*('CONTROL MASTER'!$W$2:$W$495&gt;=9))*ROW('CONTROL MASTER'!$S$2:$S$495))-(ROW('CONTROL MASTER'!#REF!)-1))))*(INDEX('CONTROL MASTER'!$W$2:$W$495,(SUMPRODUCT((('CONTROL MASTER'!$S$2:$S$495=9)*('CONTROL MASTER'!$T$2:$T$495&lt;=5)*('CONTROL MASTER'!$V$2:$V$495&gt;=5)*('CONTROL MASTER'!$U$2:$U$495&lt;=9)*('CONTROL MASTER'!$W$2:$W$495&gt;=9))*ROW('CONTROL MASTER'!$S$2:$S$495))-(ROW('CONTROL MASTER'!#REF!)-1)))-INDEX('CONTROL MASTER'!$U$2:$U$495,(SUMPRODUCT((('CONTROL MASTER'!$S$2:$S$495=9)*('CONTROL MASTER'!$T$2:$T$495&lt;=5)*('CONTROL MASTER'!$V$2:$V$495&gt;=5)*('CONTROL MASTER'!$U$2:$U$495&lt;=9)*('CONTROL MASTER'!$W$2:$W$495&gt;=9))*ROW('CONTROL MASTER'!$S$2:$S$495))-(ROW('CONTROL MASTER'!#REF!)-1)))+1)+(9-INDEX('CONTROL MASTER'!$U$2:$U$495,(SUMPRODUCT((('CONTROL MASTER'!$S$2:$S$495=9)*('CONTROL MASTER'!$T$2:$T$495&lt;=5)*('CONTROL MASTER'!$V$2:$V$495&gt;=5)*('CONTROL MASTER'!$U$2:$U$495&lt;=9)*('CONTROL MASTER'!$W$2:$W$495&gt;=9))*ROW('CONTROL MASTER'!$S$2:$S$495))-(ROW('CONTROL MASTER'!#REF!)-1))))+1))-1)*50+1,50))&amp;"_"&amp;INDEX('CONTROL MASTER'!$P$2:$P$495,(SUMPRODUCT((('CONTROL MASTER'!$S$2:$S$495=9)*('CONTROL MASTER'!$T$2:$T$495&lt;=5)*('CONTROL MASTER'!$V$2:$V$495&gt;=5)*('CONTROL MASTER'!$U$2:$U$495&lt;=9)*('CONTROL MASTER'!$W$2:$W$495&gt;=9))*ROW('CONTROL MASTER'!$S$2:$S$495))-(ROW('CONTROL MASTER'!#REF!)-1))),IF(SUMPRODUCT((('CONTROL MASTER'!$S$2:$S$495=9)*('CONTROL MASTER'!$Z$2:$Z$495&lt;=5)*('CONTROL MASTER'!$AB$2:$AB$495&gt;=5)*('CONTROL MASTER'!$AA$2:$AA$495&lt;=9)*('CONTROL MASTER'!$AC$2:$AC$495&gt;=9))*ROW('CONTROL MASTER'!$S$2:$S$495))&gt;0,INDEX('CONTROL MASTER'!$X$2:$X$495,(SUMPRODUCT((('CONTROL MASTER'!$S$2:$S$495=9)*('CONTROL MASTER'!$Z$2:$Z$495&lt;=5)*('CONTROL MASTER'!$AB$2:$AB$495&gt;=5)*('CONTROL MASTER'!$AA$2:$AA$495&lt;=9)*('CONTROL MASTER'!$AC$2:$AC$495&gt;=9))*ROW('CONTROL MASTER'!$S$2:$S$495))-(ROW('CONTROL MASTER'!#REF!)-1)))&amp;TRIM(MID(SUBSTITUTE(SUBSTITUTE(INDEX('CONTROL MASTER'!$N$2:$N$495,(SUMPRODUCT((('CONTROL MASTER'!$S$2:$S$495=9)*('CONTROL MASTER'!$Z$2:$Z$495&lt;=5)*('CONTROL MASTER'!$AB$2:$AB$495&gt;=5)*('CONTROL MASTER'!$AA$2:$AA$495&lt;=9)*('CONTROL MASTER'!$AC$2:$AC$495&gt;=9))*ROW('CONTROL MASTER'!$S$2:$S$495))-(ROW('CONTROL MASTER'!#REF!)-1))),":",","),",",REPT(" ",50)),(((INDEX('CONTROL MASTER'!$Y$2:$Y$495,(SUMPRODUCT((('CONTROL MASTER'!$S$2:$S$495=9)*('CONTROL MASTER'!$Z$2:$Z$495&lt;=5)*('CONTROL MASTER'!$AB$2:$AB$495&gt;=5)*('CONTROL MASTER'!$AA$2:$AA$495&lt;=9)*('CONTROL MASTER'!$AC$2:$AC$495&gt;=9))*ROW('CONTROL MASTER'!$S$2:$S$495))-(ROW('CONTROL MASTER'!#REF!)-1)))+((5-INDEX('CONTROL MASTER'!$Z$2:$Z$495,(SUMPRODUCT((('CONTROL MASTER'!$S$2:$S$495=9)*('CONTROL MASTER'!$Z$2:$Z$495&lt;=5)*('CONTROL MASTER'!$AB$2:$AB$495&gt;=5)*('CONTROL MASTER'!$AA$2:$AA$495&lt;=9)*('CONTROL MASTER'!$AC$2:$AC$495&gt;=9))*ROW('CONTROL MASTER'!$S$2:$S$495))-(ROW('CONTROL MASTER'!#REF!)-1))))*(INDEX('CONTROL MASTER'!$AC$2:$AC$495,(SUMPRODUCT((('CONTROL MASTER'!$S$2:$S$495=9)*('CONTROL MASTER'!$Z$2:$Z$495&lt;=5)*('CONTROL MASTER'!$AB$2:$AB$495&gt;=5)*('CONTROL MASTER'!$AA$2:$AA$495&lt;=9)*('CONTROL MASTER'!$AC$2:$AC$495&gt;=9))*ROW('CONTROL MASTER'!$S$2:$S$495))-(ROW('CONTROL MASTER'!#REF!)-1)))-INDEX('CONTROL MASTER'!$AA$2:$AA$495,(SUMPRODUCT((('CONTROL MASTER'!$S$2:$S$495=9)*('CONTROL MASTER'!$Z$2:$Z$495&lt;=5)*('CONTROL MASTER'!$AB$2:$AB$495&gt;=5)*('CONTROL MASTER'!$AA$2:$AA$495&lt;=9)*('CONTROL MASTER'!$AC$2:$AC$495&gt;=9))*ROW('CONTROL MASTER'!$S$2:$S$495))-(ROW('CONTROL MASTER'!#REF!)-1)))+1)+(9-INDEX('CONTROL MASTER'!$AA$2:$AA$495,(SUMPRODUCT((('CONTROL MASTER'!$S$2:$S$495=9)*('CONTROL MASTER'!$Z$2:$Z$495&lt;=5)*('CONTROL MASTER'!$AB$2:$AB$495&gt;=5)*('CONTROL MASTER'!$AA$2:$AA$495&lt;=9)*('CONTROL MASTER'!$AC$2:$AC$495&gt;=9))*ROW('CONTROL MASTER'!$S$2:$S$495))-(ROW('CONTROL MASTER'!#REF!)-1))))+1)))-1)*50+1,50))&amp;"_"&amp;INDEX('CONTROL MASTER'!$P$2:$P$495,(SUMPRODUCT((('CONTROL MASTER'!$S$2:$S$495=9)*('CONTROL MASTER'!$Z$2:$Z$495&lt;=5)*('CONTROL MASTER'!$AB$2:$AB$495&gt;=5)*('CONTROL MASTER'!$AA$2:$AA$495&lt;=9)*('CONTROL MASTER'!$AC$2:$AC$495&gt;=9))*ROW('CONTROL MASTER'!$S$2:$S$495))-(ROW('CONTROL MASTER'!#REF!)-1))),"")),"")</f>
        <v/>
      </c>
      <c r="K119" s="10" t="str">
        <f>IFERROR(IF(SUMPRODUCT((('CONTROL MASTER'!$S$2:$S$495=9)*('CONTROL MASTER'!$T$2:$T$495&lt;=5)*('CONTROL MASTER'!$V$2:$V$495&gt;=5)*('CONTROL MASTER'!$U$2:$U$495&lt;=10)*('CONTROL MASTER'!$W$2:$W$495&gt;=10))*ROW('CONTROL MASTER'!$S$2:$S$495))&gt;0,INDEX('CONTROL MASTER'!$X$2:$X$495,(SUMPRODUCT((('CONTROL MASTER'!$S$2:$S$495=9)*('CONTROL MASTER'!$T$2:$T$495&lt;=5)*('CONTROL MASTER'!$V$2:$V$495&gt;=5)*('CONTROL MASTER'!$U$2:$U$495&lt;=10)*('CONTROL MASTER'!$W$2:$W$495&gt;=10))*ROW('CONTROL MASTER'!$S$2:$S$495))-(ROW('CONTROL MASTER'!#REF!)-1)))&amp;TRIM(MID(SUBSTITUTE(SUBSTITUTE(INDEX('CONTROL MASTER'!$N$2:$N$495,(SUMPRODUCT((('CONTROL MASTER'!$S$2:$S$495=9)*('CONTROL MASTER'!$T$2:$T$495&lt;=5)*('CONTROL MASTER'!$V$2:$V$495&gt;=5)*('CONTROL MASTER'!$U$2:$U$495&lt;=10)*('CONTROL MASTER'!$W$2:$W$495&gt;=10))*ROW('CONTROL MASTER'!$S$2:$S$495))-(ROW('CONTROL MASTER'!#REF!)-1))),":",","),",",REPT(" ",50)),((((5-INDEX('CONTROL MASTER'!$T$2:$T$495,(SUMPRODUCT((('CONTROL MASTER'!$S$2:$S$495=9)*('CONTROL MASTER'!$T$2:$T$495&lt;=5)*('CONTROL MASTER'!$V$2:$V$495&gt;=5)*('CONTROL MASTER'!$U$2:$U$495&lt;=10)*('CONTROL MASTER'!$W$2:$W$495&gt;=10))*ROW('CONTROL MASTER'!$S$2:$S$495))-(ROW('CONTROL MASTER'!#REF!)-1))))*(INDEX('CONTROL MASTER'!$W$2:$W$495,(SUMPRODUCT((('CONTROL MASTER'!$S$2:$S$495=9)*('CONTROL MASTER'!$T$2:$T$495&lt;=5)*('CONTROL MASTER'!$V$2:$V$495&gt;=5)*('CONTROL MASTER'!$U$2:$U$495&lt;=10)*('CONTROL MASTER'!$W$2:$W$495&gt;=10))*ROW('CONTROL MASTER'!$S$2:$S$495))-(ROW('CONTROL MASTER'!#REF!)-1)))-INDEX('CONTROL MASTER'!$U$2:$U$495,(SUMPRODUCT((('CONTROL MASTER'!$S$2:$S$495=9)*('CONTROL MASTER'!$T$2:$T$495&lt;=5)*('CONTROL MASTER'!$V$2:$V$495&gt;=5)*('CONTROL MASTER'!$U$2:$U$495&lt;=10)*('CONTROL MASTER'!$W$2:$W$495&gt;=10))*ROW('CONTROL MASTER'!$S$2:$S$495))-(ROW('CONTROL MASTER'!#REF!)-1)))+1)+(10-INDEX('CONTROL MASTER'!$U$2:$U$495,(SUMPRODUCT((('CONTROL MASTER'!$S$2:$S$495=9)*('CONTROL MASTER'!$T$2:$T$495&lt;=5)*('CONTROL MASTER'!$V$2:$V$495&gt;=5)*('CONTROL MASTER'!$U$2:$U$495&lt;=10)*('CONTROL MASTER'!$W$2:$W$495&gt;=10))*ROW('CONTROL MASTER'!$S$2:$S$495))-(ROW('CONTROL MASTER'!#REF!)-1))))+1))-1)*50+1,50))&amp;"_"&amp;INDEX('CONTROL MASTER'!$P$2:$P$495,(SUMPRODUCT((('CONTROL MASTER'!$S$2:$S$495=9)*('CONTROL MASTER'!$T$2:$T$495&lt;=5)*('CONTROL MASTER'!$V$2:$V$495&gt;=5)*('CONTROL MASTER'!$U$2:$U$495&lt;=10)*('CONTROL MASTER'!$W$2:$W$495&gt;=10))*ROW('CONTROL MASTER'!$S$2:$S$495))-(ROW('CONTROL MASTER'!#REF!)-1))),IF(SUMPRODUCT((('CONTROL MASTER'!$S$2:$S$495=9)*('CONTROL MASTER'!$Z$2:$Z$495&lt;=5)*('CONTROL MASTER'!$AB$2:$AB$495&gt;=5)*('CONTROL MASTER'!$AA$2:$AA$495&lt;=10)*('CONTROL MASTER'!$AC$2:$AC$495&gt;=10))*ROW('CONTROL MASTER'!$S$2:$S$495))&gt;0,INDEX('CONTROL MASTER'!$X$2:$X$495,(SUMPRODUCT((('CONTROL MASTER'!$S$2:$S$495=9)*('CONTROL MASTER'!$Z$2:$Z$495&lt;=5)*('CONTROL MASTER'!$AB$2:$AB$495&gt;=5)*('CONTROL MASTER'!$AA$2:$AA$495&lt;=10)*('CONTROL MASTER'!$AC$2:$AC$495&gt;=10))*ROW('CONTROL MASTER'!$S$2:$S$495))-(ROW('CONTROL MASTER'!#REF!)-1)))&amp;TRIM(MID(SUBSTITUTE(SUBSTITUTE(INDEX('CONTROL MASTER'!$N$2:$N$495,(SUMPRODUCT((('CONTROL MASTER'!$S$2:$S$495=9)*('CONTROL MASTER'!$Z$2:$Z$495&lt;=5)*('CONTROL MASTER'!$AB$2:$AB$495&gt;=5)*('CONTROL MASTER'!$AA$2:$AA$495&lt;=10)*('CONTROL MASTER'!$AC$2:$AC$495&gt;=10))*ROW('CONTROL MASTER'!$S$2:$S$495))-(ROW('CONTROL MASTER'!#REF!)-1))),":",","),",",REPT(" ",50)),(((INDEX('CONTROL MASTER'!$Y$2:$Y$495,(SUMPRODUCT((('CONTROL MASTER'!$S$2:$S$495=9)*('CONTROL MASTER'!$Z$2:$Z$495&lt;=5)*('CONTROL MASTER'!$AB$2:$AB$495&gt;=5)*('CONTROL MASTER'!$AA$2:$AA$495&lt;=10)*('CONTROL MASTER'!$AC$2:$AC$495&gt;=10))*ROW('CONTROL MASTER'!$S$2:$S$495))-(ROW('CONTROL MASTER'!#REF!)-1)))+((5-INDEX('CONTROL MASTER'!$Z$2:$Z$495,(SUMPRODUCT((('CONTROL MASTER'!$S$2:$S$495=9)*('CONTROL MASTER'!$Z$2:$Z$495&lt;=5)*('CONTROL MASTER'!$AB$2:$AB$495&gt;=5)*('CONTROL MASTER'!$AA$2:$AA$495&lt;=10)*('CONTROL MASTER'!$AC$2:$AC$495&gt;=10))*ROW('CONTROL MASTER'!$S$2:$S$495))-(ROW('CONTROL MASTER'!#REF!)-1))))*(INDEX('CONTROL MASTER'!$AC$2:$AC$495,(SUMPRODUCT((('CONTROL MASTER'!$S$2:$S$495=9)*('CONTROL MASTER'!$Z$2:$Z$495&lt;=5)*('CONTROL MASTER'!$AB$2:$AB$495&gt;=5)*('CONTROL MASTER'!$AA$2:$AA$495&lt;=10)*('CONTROL MASTER'!$AC$2:$AC$495&gt;=10))*ROW('CONTROL MASTER'!$S$2:$S$495))-(ROW('CONTROL MASTER'!#REF!)-1)))-INDEX('CONTROL MASTER'!$AA$2:$AA$495,(SUMPRODUCT((('CONTROL MASTER'!$S$2:$S$495=9)*('CONTROL MASTER'!$Z$2:$Z$495&lt;=5)*('CONTROL MASTER'!$AB$2:$AB$495&gt;=5)*('CONTROL MASTER'!$AA$2:$AA$495&lt;=10)*('CONTROL MASTER'!$AC$2:$AC$495&gt;=10))*ROW('CONTROL MASTER'!$S$2:$S$495))-(ROW('CONTROL MASTER'!#REF!)-1)))+1)+(10-INDEX('CONTROL MASTER'!$AA$2:$AA$495,(SUMPRODUCT((('CONTROL MASTER'!$S$2:$S$495=9)*('CONTROL MASTER'!$Z$2:$Z$495&lt;=5)*('CONTROL MASTER'!$AB$2:$AB$495&gt;=5)*('CONTROL MASTER'!$AA$2:$AA$495&lt;=10)*('CONTROL MASTER'!$AC$2:$AC$495&gt;=10))*ROW('CONTROL MASTER'!$S$2:$S$495))-(ROW('CONTROL MASTER'!#REF!)-1))))+1)))-1)*50+1,50))&amp;"_"&amp;INDEX('CONTROL MASTER'!$P$2:$P$495,(SUMPRODUCT((('CONTROL MASTER'!$S$2:$S$495=9)*('CONTROL MASTER'!$Z$2:$Z$495&lt;=5)*('CONTROL MASTER'!$AB$2:$AB$495&gt;=5)*('CONTROL MASTER'!$AA$2:$AA$495&lt;=10)*('CONTROL MASTER'!$AC$2:$AC$495&gt;=10))*ROW('CONTROL MASTER'!$S$2:$S$495))-(ROW('CONTROL MASTER'!#REF!)-1))),"")),"")</f>
        <v/>
      </c>
    </row>
    <row r="120" spans="1:11" ht="15" customHeight="1" x14ac:dyDescent="0.35">
      <c r="A120" s="8" t="s">
        <v>33</v>
      </c>
      <c r="B120" s="10" t="str">
        <f>IFERROR(IF(SUMPRODUCT((('CONTROL MASTER'!$S$2:$S$495=9)*('CONTROL MASTER'!$T$2:$T$495&lt;=6)*('CONTROL MASTER'!$V$2:$V$495&gt;=6)*('CONTROL MASTER'!$U$2:$U$495&lt;=1)*('CONTROL MASTER'!$W$2:$W$495&gt;=1))*ROW('CONTROL MASTER'!$S$2:$S$495))&gt;0,INDEX('CONTROL MASTER'!$X$2:$X$495,(SUMPRODUCT((('CONTROL MASTER'!$S$2:$S$495=9)*('CONTROL MASTER'!$T$2:$T$495&lt;=6)*('CONTROL MASTER'!$V$2:$V$495&gt;=6)*('CONTROL MASTER'!$U$2:$U$495&lt;=1)*('CONTROL MASTER'!$W$2:$W$495&gt;=1))*ROW('CONTROL MASTER'!$S$2:$S$495))-(ROW('CONTROL MASTER'!#REF!)-1)))&amp;TRIM(MID(SUBSTITUTE(SUBSTITUTE(INDEX('CONTROL MASTER'!$N$2:$N$495,(SUMPRODUCT((('CONTROL MASTER'!$S$2:$S$495=9)*('CONTROL MASTER'!$T$2:$T$495&lt;=6)*('CONTROL MASTER'!$V$2:$V$495&gt;=6)*('CONTROL MASTER'!$U$2:$U$495&lt;=1)*('CONTROL MASTER'!$W$2:$W$495&gt;=1))*ROW('CONTROL MASTER'!$S$2:$S$495))-(ROW('CONTROL MASTER'!#REF!)-1))),":",","),",",REPT(" ",50)),((((6-INDEX('CONTROL MASTER'!$T$2:$T$495,(SUMPRODUCT((('CONTROL MASTER'!$S$2:$S$495=9)*('CONTROL MASTER'!$T$2:$T$495&lt;=6)*('CONTROL MASTER'!$V$2:$V$495&gt;=6)*('CONTROL MASTER'!$U$2:$U$495&lt;=1)*('CONTROL MASTER'!$W$2:$W$495&gt;=1))*ROW('CONTROL MASTER'!$S$2:$S$495))-(ROW('CONTROL MASTER'!#REF!)-1))))*(INDEX('CONTROL MASTER'!$W$2:$W$495,(SUMPRODUCT((('CONTROL MASTER'!$S$2:$S$495=9)*('CONTROL MASTER'!$T$2:$T$495&lt;=6)*('CONTROL MASTER'!$V$2:$V$495&gt;=6)*('CONTROL MASTER'!$U$2:$U$495&lt;=1)*('CONTROL MASTER'!$W$2:$W$495&gt;=1))*ROW('CONTROL MASTER'!$S$2:$S$495))-(ROW('CONTROL MASTER'!#REF!)-1)))-INDEX('CONTROL MASTER'!$U$2:$U$495,(SUMPRODUCT((('CONTROL MASTER'!$S$2:$S$495=9)*('CONTROL MASTER'!$T$2:$T$495&lt;=6)*('CONTROL MASTER'!$V$2:$V$495&gt;=6)*('CONTROL MASTER'!$U$2:$U$495&lt;=1)*('CONTROL MASTER'!$W$2:$W$495&gt;=1))*ROW('CONTROL MASTER'!$S$2:$S$495))-(ROW('CONTROL MASTER'!#REF!)-1)))+1)+(1-INDEX('CONTROL MASTER'!$U$2:$U$495,(SUMPRODUCT((('CONTROL MASTER'!$S$2:$S$495=9)*('CONTROL MASTER'!$T$2:$T$495&lt;=6)*('CONTROL MASTER'!$V$2:$V$495&gt;=6)*('CONTROL MASTER'!$U$2:$U$495&lt;=1)*('CONTROL MASTER'!$W$2:$W$495&gt;=1))*ROW('CONTROL MASTER'!$S$2:$S$495))-(ROW('CONTROL MASTER'!#REF!)-1))))+1))-1)*50+1,50))&amp;"_"&amp;INDEX('CONTROL MASTER'!$P$2:$P$495,(SUMPRODUCT((('CONTROL MASTER'!$S$2:$S$495=9)*('CONTROL MASTER'!$T$2:$T$495&lt;=6)*('CONTROL MASTER'!$V$2:$V$495&gt;=6)*('CONTROL MASTER'!$U$2:$U$495&lt;=1)*('CONTROL MASTER'!$W$2:$W$495&gt;=1))*ROW('CONTROL MASTER'!$S$2:$S$495))-(ROW('CONTROL MASTER'!#REF!)-1))),IF(SUMPRODUCT((('CONTROL MASTER'!$S$2:$S$495=9)*('CONTROL MASTER'!$Z$2:$Z$495&lt;=6)*('CONTROL MASTER'!$AB$2:$AB$495&gt;=6)*('CONTROL MASTER'!$AA$2:$AA$495&lt;=1)*('CONTROL MASTER'!$AC$2:$AC$495&gt;=1))*ROW('CONTROL MASTER'!$S$2:$S$495))&gt;0,INDEX('CONTROL MASTER'!$X$2:$X$495,(SUMPRODUCT((('CONTROL MASTER'!$S$2:$S$495=9)*('CONTROL MASTER'!$Z$2:$Z$495&lt;=6)*('CONTROL MASTER'!$AB$2:$AB$495&gt;=6)*('CONTROL MASTER'!$AA$2:$AA$495&lt;=1)*('CONTROL MASTER'!$AC$2:$AC$495&gt;=1))*ROW('CONTROL MASTER'!$S$2:$S$495))-(ROW('CONTROL MASTER'!#REF!)-1)))&amp;TRIM(MID(SUBSTITUTE(SUBSTITUTE(INDEX('CONTROL MASTER'!$N$2:$N$495,(SUMPRODUCT((('CONTROL MASTER'!$S$2:$S$495=9)*('CONTROL MASTER'!$Z$2:$Z$495&lt;=6)*('CONTROL MASTER'!$AB$2:$AB$495&gt;=6)*('CONTROL MASTER'!$AA$2:$AA$495&lt;=1)*('CONTROL MASTER'!$AC$2:$AC$495&gt;=1))*ROW('CONTROL MASTER'!$S$2:$S$495))-(ROW('CONTROL MASTER'!#REF!)-1))),":",","),",",REPT(" ",50)),(((INDEX('CONTROL MASTER'!$Y$2:$Y$495,(SUMPRODUCT((('CONTROL MASTER'!$S$2:$S$495=9)*('CONTROL MASTER'!$Z$2:$Z$495&lt;=6)*('CONTROL MASTER'!$AB$2:$AB$495&gt;=6)*('CONTROL MASTER'!$AA$2:$AA$495&lt;=1)*('CONTROL MASTER'!$AC$2:$AC$495&gt;=1))*ROW('CONTROL MASTER'!$S$2:$S$495))-(ROW('CONTROL MASTER'!#REF!)-1)))+((6-INDEX('CONTROL MASTER'!$Z$2:$Z$495,(SUMPRODUCT((('CONTROL MASTER'!$S$2:$S$495=9)*('CONTROL MASTER'!$Z$2:$Z$495&lt;=6)*('CONTROL MASTER'!$AB$2:$AB$495&gt;=6)*('CONTROL MASTER'!$AA$2:$AA$495&lt;=1)*('CONTROL MASTER'!$AC$2:$AC$495&gt;=1))*ROW('CONTROL MASTER'!$S$2:$S$495))-(ROW('CONTROL MASTER'!#REF!)-1))))*(INDEX('CONTROL MASTER'!$AC$2:$AC$495,(SUMPRODUCT((('CONTROL MASTER'!$S$2:$S$495=9)*('CONTROL MASTER'!$Z$2:$Z$495&lt;=6)*('CONTROL MASTER'!$AB$2:$AB$495&gt;=6)*('CONTROL MASTER'!$AA$2:$AA$495&lt;=1)*('CONTROL MASTER'!$AC$2:$AC$495&gt;=1))*ROW('CONTROL MASTER'!$S$2:$S$495))-(ROW('CONTROL MASTER'!#REF!)-1)))-INDEX('CONTROL MASTER'!$AA$2:$AA$495,(SUMPRODUCT((('CONTROL MASTER'!$S$2:$S$495=9)*('CONTROL MASTER'!$Z$2:$Z$495&lt;=6)*('CONTROL MASTER'!$AB$2:$AB$495&gt;=6)*('CONTROL MASTER'!$AA$2:$AA$495&lt;=1)*('CONTROL MASTER'!$AC$2:$AC$495&gt;=1))*ROW('CONTROL MASTER'!$S$2:$S$495))-(ROW('CONTROL MASTER'!#REF!)-1)))+1)+(1-INDEX('CONTROL MASTER'!$AA$2:$AA$495,(SUMPRODUCT((('CONTROL MASTER'!$S$2:$S$495=9)*('CONTROL MASTER'!$Z$2:$Z$495&lt;=6)*('CONTROL MASTER'!$AB$2:$AB$495&gt;=6)*('CONTROL MASTER'!$AA$2:$AA$495&lt;=1)*('CONTROL MASTER'!$AC$2:$AC$495&gt;=1))*ROW('CONTROL MASTER'!$S$2:$S$495))-(ROW('CONTROL MASTER'!#REF!)-1))))+1)))-1)*50+1,50))&amp;"_"&amp;INDEX('CONTROL MASTER'!$P$2:$P$495,(SUMPRODUCT((('CONTROL MASTER'!$S$2:$S$495=9)*('CONTROL MASTER'!$Z$2:$Z$495&lt;=6)*('CONTROL MASTER'!$AB$2:$AB$495&gt;=6)*('CONTROL MASTER'!$AA$2:$AA$495&lt;=1)*('CONTROL MASTER'!$AC$2:$AC$495&gt;=1))*ROW('CONTROL MASTER'!$S$2:$S$495))-(ROW('CONTROL MASTER'!#REF!)-1))),"")),"")</f>
        <v/>
      </c>
      <c r="C120" s="10" t="str">
        <f>IFERROR(IF(SUMPRODUCT((('CONTROL MASTER'!$S$2:$S$495=9)*('CONTROL MASTER'!$T$2:$T$495&lt;=6)*('CONTROL MASTER'!$V$2:$V$495&gt;=6)*('CONTROL MASTER'!$U$2:$U$495&lt;=2)*('CONTROL MASTER'!$W$2:$W$495&gt;=2))*ROW('CONTROL MASTER'!$S$2:$S$495))&gt;0,INDEX('CONTROL MASTER'!$X$2:$X$495,(SUMPRODUCT((('CONTROL MASTER'!$S$2:$S$495=9)*('CONTROL MASTER'!$T$2:$T$495&lt;=6)*('CONTROL MASTER'!$V$2:$V$495&gt;=6)*('CONTROL MASTER'!$U$2:$U$495&lt;=2)*('CONTROL MASTER'!$W$2:$W$495&gt;=2))*ROW('CONTROL MASTER'!$S$2:$S$495))-(ROW('CONTROL MASTER'!#REF!)-1)))&amp;TRIM(MID(SUBSTITUTE(SUBSTITUTE(INDEX('CONTROL MASTER'!$N$2:$N$495,(SUMPRODUCT((('CONTROL MASTER'!$S$2:$S$495=9)*('CONTROL MASTER'!$T$2:$T$495&lt;=6)*('CONTROL MASTER'!$V$2:$V$495&gt;=6)*('CONTROL MASTER'!$U$2:$U$495&lt;=2)*('CONTROL MASTER'!$W$2:$W$495&gt;=2))*ROW('CONTROL MASTER'!$S$2:$S$495))-(ROW('CONTROL MASTER'!#REF!)-1))),":",","),",",REPT(" ",50)),((((6-INDEX('CONTROL MASTER'!$T$2:$T$495,(SUMPRODUCT((('CONTROL MASTER'!$S$2:$S$495=9)*('CONTROL MASTER'!$T$2:$T$495&lt;=6)*('CONTROL MASTER'!$V$2:$V$495&gt;=6)*('CONTROL MASTER'!$U$2:$U$495&lt;=2)*('CONTROL MASTER'!$W$2:$W$495&gt;=2))*ROW('CONTROL MASTER'!$S$2:$S$495))-(ROW('CONTROL MASTER'!#REF!)-1))))*(INDEX('CONTROL MASTER'!$W$2:$W$495,(SUMPRODUCT((('CONTROL MASTER'!$S$2:$S$495=9)*('CONTROL MASTER'!$T$2:$T$495&lt;=6)*('CONTROL MASTER'!$V$2:$V$495&gt;=6)*('CONTROL MASTER'!$U$2:$U$495&lt;=2)*('CONTROL MASTER'!$W$2:$W$495&gt;=2))*ROW('CONTROL MASTER'!$S$2:$S$495))-(ROW('CONTROL MASTER'!#REF!)-1)))-INDEX('CONTROL MASTER'!$U$2:$U$495,(SUMPRODUCT((('CONTROL MASTER'!$S$2:$S$495=9)*('CONTROL MASTER'!$T$2:$T$495&lt;=6)*('CONTROL MASTER'!$V$2:$V$495&gt;=6)*('CONTROL MASTER'!$U$2:$U$495&lt;=2)*('CONTROL MASTER'!$W$2:$W$495&gt;=2))*ROW('CONTROL MASTER'!$S$2:$S$495))-(ROW('CONTROL MASTER'!#REF!)-1)))+1)+(2-INDEX('CONTROL MASTER'!$U$2:$U$495,(SUMPRODUCT((('CONTROL MASTER'!$S$2:$S$495=9)*('CONTROL MASTER'!$T$2:$T$495&lt;=6)*('CONTROL MASTER'!$V$2:$V$495&gt;=6)*('CONTROL MASTER'!$U$2:$U$495&lt;=2)*('CONTROL MASTER'!$W$2:$W$495&gt;=2))*ROW('CONTROL MASTER'!$S$2:$S$495))-(ROW('CONTROL MASTER'!#REF!)-1))))+1))-1)*50+1,50))&amp;"_"&amp;INDEX('CONTROL MASTER'!$P$2:$P$495,(SUMPRODUCT((('CONTROL MASTER'!$S$2:$S$495=9)*('CONTROL MASTER'!$T$2:$T$495&lt;=6)*('CONTROL MASTER'!$V$2:$V$495&gt;=6)*('CONTROL MASTER'!$U$2:$U$495&lt;=2)*('CONTROL MASTER'!$W$2:$W$495&gt;=2))*ROW('CONTROL MASTER'!$S$2:$S$495))-(ROW('CONTROL MASTER'!#REF!)-1))),IF(SUMPRODUCT((('CONTROL MASTER'!$S$2:$S$495=9)*('CONTROL MASTER'!$Z$2:$Z$495&lt;=6)*('CONTROL MASTER'!$AB$2:$AB$495&gt;=6)*('CONTROL MASTER'!$AA$2:$AA$495&lt;=2)*('CONTROL MASTER'!$AC$2:$AC$495&gt;=2))*ROW('CONTROL MASTER'!$S$2:$S$495))&gt;0,INDEX('CONTROL MASTER'!$X$2:$X$495,(SUMPRODUCT((('CONTROL MASTER'!$S$2:$S$495=9)*('CONTROL MASTER'!$Z$2:$Z$495&lt;=6)*('CONTROL MASTER'!$AB$2:$AB$495&gt;=6)*('CONTROL MASTER'!$AA$2:$AA$495&lt;=2)*('CONTROL MASTER'!$AC$2:$AC$495&gt;=2))*ROW('CONTROL MASTER'!$S$2:$S$495))-(ROW('CONTROL MASTER'!#REF!)-1)))&amp;TRIM(MID(SUBSTITUTE(SUBSTITUTE(INDEX('CONTROL MASTER'!$N$2:$N$495,(SUMPRODUCT((('CONTROL MASTER'!$S$2:$S$495=9)*('CONTROL MASTER'!$Z$2:$Z$495&lt;=6)*('CONTROL MASTER'!$AB$2:$AB$495&gt;=6)*('CONTROL MASTER'!$AA$2:$AA$495&lt;=2)*('CONTROL MASTER'!$AC$2:$AC$495&gt;=2))*ROW('CONTROL MASTER'!$S$2:$S$495))-(ROW('CONTROL MASTER'!#REF!)-1))),":",","),",",REPT(" ",50)),(((INDEX('CONTROL MASTER'!$Y$2:$Y$495,(SUMPRODUCT((('CONTROL MASTER'!$S$2:$S$495=9)*('CONTROL MASTER'!$Z$2:$Z$495&lt;=6)*('CONTROL MASTER'!$AB$2:$AB$495&gt;=6)*('CONTROL MASTER'!$AA$2:$AA$495&lt;=2)*('CONTROL MASTER'!$AC$2:$AC$495&gt;=2))*ROW('CONTROL MASTER'!$S$2:$S$495))-(ROW('CONTROL MASTER'!#REF!)-1)))+((6-INDEX('CONTROL MASTER'!$Z$2:$Z$495,(SUMPRODUCT((('CONTROL MASTER'!$S$2:$S$495=9)*('CONTROL MASTER'!$Z$2:$Z$495&lt;=6)*('CONTROL MASTER'!$AB$2:$AB$495&gt;=6)*('CONTROL MASTER'!$AA$2:$AA$495&lt;=2)*('CONTROL MASTER'!$AC$2:$AC$495&gt;=2))*ROW('CONTROL MASTER'!$S$2:$S$495))-(ROW('CONTROL MASTER'!#REF!)-1))))*(INDEX('CONTROL MASTER'!$AC$2:$AC$495,(SUMPRODUCT((('CONTROL MASTER'!$S$2:$S$495=9)*('CONTROL MASTER'!$Z$2:$Z$495&lt;=6)*('CONTROL MASTER'!$AB$2:$AB$495&gt;=6)*('CONTROL MASTER'!$AA$2:$AA$495&lt;=2)*('CONTROL MASTER'!$AC$2:$AC$495&gt;=2))*ROW('CONTROL MASTER'!$S$2:$S$495))-(ROW('CONTROL MASTER'!#REF!)-1)))-INDEX('CONTROL MASTER'!$AA$2:$AA$495,(SUMPRODUCT((('CONTROL MASTER'!$S$2:$S$495=9)*('CONTROL MASTER'!$Z$2:$Z$495&lt;=6)*('CONTROL MASTER'!$AB$2:$AB$495&gt;=6)*('CONTROL MASTER'!$AA$2:$AA$495&lt;=2)*('CONTROL MASTER'!$AC$2:$AC$495&gt;=2))*ROW('CONTROL MASTER'!$S$2:$S$495))-(ROW('CONTROL MASTER'!#REF!)-1)))+1)+(2-INDEX('CONTROL MASTER'!$AA$2:$AA$495,(SUMPRODUCT((('CONTROL MASTER'!$S$2:$S$495=9)*('CONTROL MASTER'!$Z$2:$Z$495&lt;=6)*('CONTROL MASTER'!$AB$2:$AB$495&gt;=6)*('CONTROL MASTER'!$AA$2:$AA$495&lt;=2)*('CONTROL MASTER'!$AC$2:$AC$495&gt;=2))*ROW('CONTROL MASTER'!$S$2:$S$495))-(ROW('CONTROL MASTER'!#REF!)-1))))+1)))-1)*50+1,50))&amp;"_"&amp;INDEX('CONTROL MASTER'!$P$2:$P$495,(SUMPRODUCT((('CONTROL MASTER'!$S$2:$S$495=9)*('CONTROL MASTER'!$Z$2:$Z$495&lt;=6)*('CONTROL MASTER'!$AB$2:$AB$495&gt;=6)*('CONTROL MASTER'!$AA$2:$AA$495&lt;=2)*('CONTROL MASTER'!$AC$2:$AC$495&gt;=2))*ROW('CONTROL MASTER'!$S$2:$S$495))-(ROW('CONTROL MASTER'!#REF!)-1))),"")),"")</f>
        <v/>
      </c>
      <c r="D120" s="10" t="str">
        <f>IFERROR(IF(SUMPRODUCT((('CONTROL MASTER'!$S$2:$S$495=9)*('CONTROL MASTER'!$T$2:$T$495&lt;=6)*('CONTROL MASTER'!$V$2:$V$495&gt;=6)*('CONTROL MASTER'!$U$2:$U$495&lt;=3)*('CONTROL MASTER'!$W$2:$W$495&gt;=3))*ROW('CONTROL MASTER'!$S$2:$S$495))&gt;0,INDEX('CONTROL MASTER'!$X$2:$X$495,(SUMPRODUCT((('CONTROL MASTER'!$S$2:$S$495=9)*('CONTROL MASTER'!$T$2:$T$495&lt;=6)*('CONTROL MASTER'!$V$2:$V$495&gt;=6)*('CONTROL MASTER'!$U$2:$U$495&lt;=3)*('CONTROL MASTER'!$W$2:$W$495&gt;=3))*ROW('CONTROL MASTER'!$S$2:$S$495))-(ROW('CONTROL MASTER'!#REF!)-1)))&amp;TRIM(MID(SUBSTITUTE(SUBSTITUTE(INDEX('CONTROL MASTER'!$N$2:$N$495,(SUMPRODUCT((('CONTROL MASTER'!$S$2:$S$495=9)*('CONTROL MASTER'!$T$2:$T$495&lt;=6)*('CONTROL MASTER'!$V$2:$V$495&gt;=6)*('CONTROL MASTER'!$U$2:$U$495&lt;=3)*('CONTROL MASTER'!$W$2:$W$495&gt;=3))*ROW('CONTROL MASTER'!$S$2:$S$495))-(ROW('CONTROL MASTER'!#REF!)-1))),":",","),",",REPT(" ",50)),((((6-INDEX('CONTROL MASTER'!$T$2:$T$495,(SUMPRODUCT((('CONTROL MASTER'!$S$2:$S$495=9)*('CONTROL MASTER'!$T$2:$T$495&lt;=6)*('CONTROL MASTER'!$V$2:$V$495&gt;=6)*('CONTROL MASTER'!$U$2:$U$495&lt;=3)*('CONTROL MASTER'!$W$2:$W$495&gt;=3))*ROW('CONTROL MASTER'!$S$2:$S$495))-(ROW('CONTROL MASTER'!#REF!)-1))))*(INDEX('CONTROL MASTER'!$W$2:$W$495,(SUMPRODUCT((('CONTROL MASTER'!$S$2:$S$495=9)*('CONTROL MASTER'!$T$2:$T$495&lt;=6)*('CONTROL MASTER'!$V$2:$V$495&gt;=6)*('CONTROL MASTER'!$U$2:$U$495&lt;=3)*('CONTROL MASTER'!$W$2:$W$495&gt;=3))*ROW('CONTROL MASTER'!$S$2:$S$495))-(ROW('CONTROL MASTER'!#REF!)-1)))-INDEX('CONTROL MASTER'!$U$2:$U$495,(SUMPRODUCT((('CONTROL MASTER'!$S$2:$S$495=9)*('CONTROL MASTER'!$T$2:$T$495&lt;=6)*('CONTROL MASTER'!$V$2:$V$495&gt;=6)*('CONTROL MASTER'!$U$2:$U$495&lt;=3)*('CONTROL MASTER'!$W$2:$W$495&gt;=3))*ROW('CONTROL MASTER'!$S$2:$S$495))-(ROW('CONTROL MASTER'!#REF!)-1)))+1)+(3-INDEX('CONTROL MASTER'!$U$2:$U$495,(SUMPRODUCT((('CONTROL MASTER'!$S$2:$S$495=9)*('CONTROL MASTER'!$T$2:$T$495&lt;=6)*('CONTROL MASTER'!$V$2:$V$495&gt;=6)*('CONTROL MASTER'!$U$2:$U$495&lt;=3)*('CONTROL MASTER'!$W$2:$W$495&gt;=3))*ROW('CONTROL MASTER'!$S$2:$S$495))-(ROW('CONTROL MASTER'!#REF!)-1))))+1))-1)*50+1,50))&amp;"_"&amp;INDEX('CONTROL MASTER'!$P$2:$P$495,(SUMPRODUCT((('CONTROL MASTER'!$S$2:$S$495=9)*('CONTROL MASTER'!$T$2:$T$495&lt;=6)*('CONTROL MASTER'!$V$2:$V$495&gt;=6)*('CONTROL MASTER'!$U$2:$U$495&lt;=3)*('CONTROL MASTER'!$W$2:$W$495&gt;=3))*ROW('CONTROL MASTER'!$S$2:$S$495))-(ROW('CONTROL MASTER'!#REF!)-1))),IF(SUMPRODUCT((('CONTROL MASTER'!$S$2:$S$495=9)*('CONTROL MASTER'!$Z$2:$Z$495&lt;=6)*('CONTROL MASTER'!$AB$2:$AB$495&gt;=6)*('CONTROL MASTER'!$AA$2:$AA$495&lt;=3)*('CONTROL MASTER'!$AC$2:$AC$495&gt;=3))*ROW('CONTROL MASTER'!$S$2:$S$495))&gt;0,INDEX('CONTROL MASTER'!$X$2:$X$495,(SUMPRODUCT((('CONTROL MASTER'!$S$2:$S$495=9)*('CONTROL MASTER'!$Z$2:$Z$495&lt;=6)*('CONTROL MASTER'!$AB$2:$AB$495&gt;=6)*('CONTROL MASTER'!$AA$2:$AA$495&lt;=3)*('CONTROL MASTER'!$AC$2:$AC$495&gt;=3))*ROW('CONTROL MASTER'!$S$2:$S$495))-(ROW('CONTROL MASTER'!#REF!)-1)))&amp;TRIM(MID(SUBSTITUTE(SUBSTITUTE(INDEX('CONTROL MASTER'!$N$2:$N$495,(SUMPRODUCT((('CONTROL MASTER'!$S$2:$S$495=9)*('CONTROL MASTER'!$Z$2:$Z$495&lt;=6)*('CONTROL MASTER'!$AB$2:$AB$495&gt;=6)*('CONTROL MASTER'!$AA$2:$AA$495&lt;=3)*('CONTROL MASTER'!$AC$2:$AC$495&gt;=3))*ROW('CONTROL MASTER'!$S$2:$S$495))-(ROW('CONTROL MASTER'!#REF!)-1))),":",","),",",REPT(" ",50)),(((INDEX('CONTROL MASTER'!$Y$2:$Y$495,(SUMPRODUCT((('CONTROL MASTER'!$S$2:$S$495=9)*('CONTROL MASTER'!$Z$2:$Z$495&lt;=6)*('CONTROL MASTER'!$AB$2:$AB$495&gt;=6)*('CONTROL MASTER'!$AA$2:$AA$495&lt;=3)*('CONTROL MASTER'!$AC$2:$AC$495&gt;=3))*ROW('CONTROL MASTER'!$S$2:$S$495))-(ROW('CONTROL MASTER'!#REF!)-1)))+((6-INDEX('CONTROL MASTER'!$Z$2:$Z$495,(SUMPRODUCT((('CONTROL MASTER'!$S$2:$S$495=9)*('CONTROL MASTER'!$Z$2:$Z$495&lt;=6)*('CONTROL MASTER'!$AB$2:$AB$495&gt;=6)*('CONTROL MASTER'!$AA$2:$AA$495&lt;=3)*('CONTROL MASTER'!$AC$2:$AC$495&gt;=3))*ROW('CONTROL MASTER'!$S$2:$S$495))-(ROW('CONTROL MASTER'!#REF!)-1))))*(INDEX('CONTROL MASTER'!$AC$2:$AC$495,(SUMPRODUCT((('CONTROL MASTER'!$S$2:$S$495=9)*('CONTROL MASTER'!$Z$2:$Z$495&lt;=6)*('CONTROL MASTER'!$AB$2:$AB$495&gt;=6)*('CONTROL MASTER'!$AA$2:$AA$495&lt;=3)*('CONTROL MASTER'!$AC$2:$AC$495&gt;=3))*ROW('CONTROL MASTER'!$S$2:$S$495))-(ROW('CONTROL MASTER'!#REF!)-1)))-INDEX('CONTROL MASTER'!$AA$2:$AA$495,(SUMPRODUCT((('CONTROL MASTER'!$S$2:$S$495=9)*('CONTROL MASTER'!$Z$2:$Z$495&lt;=6)*('CONTROL MASTER'!$AB$2:$AB$495&gt;=6)*('CONTROL MASTER'!$AA$2:$AA$495&lt;=3)*('CONTROL MASTER'!$AC$2:$AC$495&gt;=3))*ROW('CONTROL MASTER'!$S$2:$S$495))-(ROW('CONTROL MASTER'!#REF!)-1)))+1)+(3-INDEX('CONTROL MASTER'!$AA$2:$AA$495,(SUMPRODUCT((('CONTROL MASTER'!$S$2:$S$495=9)*('CONTROL MASTER'!$Z$2:$Z$495&lt;=6)*('CONTROL MASTER'!$AB$2:$AB$495&gt;=6)*('CONTROL MASTER'!$AA$2:$AA$495&lt;=3)*('CONTROL MASTER'!$AC$2:$AC$495&gt;=3))*ROW('CONTROL MASTER'!$S$2:$S$495))-(ROW('CONTROL MASTER'!#REF!)-1))))+1)))-1)*50+1,50))&amp;"_"&amp;INDEX('CONTROL MASTER'!$P$2:$P$495,(SUMPRODUCT((('CONTROL MASTER'!$S$2:$S$495=9)*('CONTROL MASTER'!$Z$2:$Z$495&lt;=6)*('CONTROL MASTER'!$AB$2:$AB$495&gt;=6)*('CONTROL MASTER'!$AA$2:$AA$495&lt;=3)*('CONTROL MASTER'!$AC$2:$AC$495&gt;=3))*ROW('CONTROL MASTER'!$S$2:$S$495))-(ROW('CONTROL MASTER'!#REF!)-1))),"")),"")</f>
        <v/>
      </c>
      <c r="E120" s="10" t="str">
        <f>IFERROR(IF(SUMPRODUCT((('CONTROL MASTER'!$S$2:$S$495=9)*('CONTROL MASTER'!$T$2:$T$495&lt;=6)*('CONTROL MASTER'!$V$2:$V$495&gt;=6)*('CONTROL MASTER'!$U$2:$U$495&lt;=4)*('CONTROL MASTER'!$W$2:$W$495&gt;=4))*ROW('CONTROL MASTER'!$S$2:$S$495))&gt;0,INDEX('CONTROL MASTER'!$X$2:$X$495,(SUMPRODUCT((('CONTROL MASTER'!$S$2:$S$495=9)*('CONTROL MASTER'!$T$2:$T$495&lt;=6)*('CONTROL MASTER'!$V$2:$V$495&gt;=6)*('CONTROL MASTER'!$U$2:$U$495&lt;=4)*('CONTROL MASTER'!$W$2:$W$495&gt;=4))*ROW('CONTROL MASTER'!$S$2:$S$495))-(ROW('CONTROL MASTER'!#REF!)-1)))&amp;TRIM(MID(SUBSTITUTE(SUBSTITUTE(INDEX('CONTROL MASTER'!$N$2:$N$495,(SUMPRODUCT((('CONTROL MASTER'!$S$2:$S$495=9)*('CONTROL MASTER'!$T$2:$T$495&lt;=6)*('CONTROL MASTER'!$V$2:$V$495&gt;=6)*('CONTROL MASTER'!$U$2:$U$495&lt;=4)*('CONTROL MASTER'!$W$2:$W$495&gt;=4))*ROW('CONTROL MASTER'!$S$2:$S$495))-(ROW('CONTROL MASTER'!#REF!)-1))),":",","),",",REPT(" ",50)),((((6-INDEX('CONTROL MASTER'!$T$2:$T$495,(SUMPRODUCT((('CONTROL MASTER'!$S$2:$S$495=9)*('CONTROL MASTER'!$T$2:$T$495&lt;=6)*('CONTROL MASTER'!$V$2:$V$495&gt;=6)*('CONTROL MASTER'!$U$2:$U$495&lt;=4)*('CONTROL MASTER'!$W$2:$W$495&gt;=4))*ROW('CONTROL MASTER'!$S$2:$S$495))-(ROW('CONTROL MASTER'!#REF!)-1))))*(INDEX('CONTROL MASTER'!$W$2:$W$495,(SUMPRODUCT((('CONTROL MASTER'!$S$2:$S$495=9)*('CONTROL MASTER'!$T$2:$T$495&lt;=6)*('CONTROL MASTER'!$V$2:$V$495&gt;=6)*('CONTROL MASTER'!$U$2:$U$495&lt;=4)*('CONTROL MASTER'!$W$2:$W$495&gt;=4))*ROW('CONTROL MASTER'!$S$2:$S$495))-(ROW('CONTROL MASTER'!#REF!)-1)))-INDEX('CONTROL MASTER'!$U$2:$U$495,(SUMPRODUCT((('CONTROL MASTER'!$S$2:$S$495=9)*('CONTROL MASTER'!$T$2:$T$495&lt;=6)*('CONTROL MASTER'!$V$2:$V$495&gt;=6)*('CONTROL MASTER'!$U$2:$U$495&lt;=4)*('CONTROL MASTER'!$W$2:$W$495&gt;=4))*ROW('CONTROL MASTER'!$S$2:$S$495))-(ROW('CONTROL MASTER'!#REF!)-1)))+1)+(4-INDEX('CONTROL MASTER'!$U$2:$U$495,(SUMPRODUCT((('CONTROL MASTER'!$S$2:$S$495=9)*('CONTROL MASTER'!$T$2:$T$495&lt;=6)*('CONTROL MASTER'!$V$2:$V$495&gt;=6)*('CONTROL MASTER'!$U$2:$U$495&lt;=4)*('CONTROL MASTER'!$W$2:$W$495&gt;=4))*ROW('CONTROL MASTER'!$S$2:$S$495))-(ROW('CONTROL MASTER'!#REF!)-1))))+1))-1)*50+1,50))&amp;"_"&amp;INDEX('CONTROL MASTER'!$P$2:$P$495,(SUMPRODUCT((('CONTROL MASTER'!$S$2:$S$495=9)*('CONTROL MASTER'!$T$2:$T$495&lt;=6)*('CONTROL MASTER'!$V$2:$V$495&gt;=6)*('CONTROL MASTER'!$U$2:$U$495&lt;=4)*('CONTROL MASTER'!$W$2:$W$495&gt;=4))*ROW('CONTROL MASTER'!$S$2:$S$495))-(ROW('CONTROL MASTER'!#REF!)-1))),IF(SUMPRODUCT((('CONTROL MASTER'!$S$2:$S$495=9)*('CONTROL MASTER'!$Z$2:$Z$495&lt;=6)*('CONTROL MASTER'!$AB$2:$AB$495&gt;=6)*('CONTROL MASTER'!$AA$2:$AA$495&lt;=4)*('CONTROL MASTER'!$AC$2:$AC$495&gt;=4))*ROW('CONTROL MASTER'!$S$2:$S$495))&gt;0,INDEX('CONTROL MASTER'!$X$2:$X$495,(SUMPRODUCT((('CONTROL MASTER'!$S$2:$S$495=9)*('CONTROL MASTER'!$Z$2:$Z$495&lt;=6)*('CONTROL MASTER'!$AB$2:$AB$495&gt;=6)*('CONTROL MASTER'!$AA$2:$AA$495&lt;=4)*('CONTROL MASTER'!$AC$2:$AC$495&gt;=4))*ROW('CONTROL MASTER'!$S$2:$S$495))-(ROW('CONTROL MASTER'!#REF!)-1)))&amp;TRIM(MID(SUBSTITUTE(SUBSTITUTE(INDEX('CONTROL MASTER'!$N$2:$N$495,(SUMPRODUCT((('CONTROL MASTER'!$S$2:$S$495=9)*('CONTROL MASTER'!$Z$2:$Z$495&lt;=6)*('CONTROL MASTER'!$AB$2:$AB$495&gt;=6)*('CONTROL MASTER'!$AA$2:$AA$495&lt;=4)*('CONTROL MASTER'!$AC$2:$AC$495&gt;=4))*ROW('CONTROL MASTER'!$S$2:$S$495))-(ROW('CONTROL MASTER'!#REF!)-1))),":",","),",",REPT(" ",50)),(((INDEX('CONTROL MASTER'!$Y$2:$Y$495,(SUMPRODUCT((('CONTROL MASTER'!$S$2:$S$495=9)*('CONTROL MASTER'!$Z$2:$Z$495&lt;=6)*('CONTROL MASTER'!$AB$2:$AB$495&gt;=6)*('CONTROL MASTER'!$AA$2:$AA$495&lt;=4)*('CONTROL MASTER'!$AC$2:$AC$495&gt;=4))*ROW('CONTROL MASTER'!$S$2:$S$495))-(ROW('CONTROL MASTER'!#REF!)-1)))+((6-INDEX('CONTROL MASTER'!$Z$2:$Z$495,(SUMPRODUCT((('CONTROL MASTER'!$S$2:$S$495=9)*('CONTROL MASTER'!$Z$2:$Z$495&lt;=6)*('CONTROL MASTER'!$AB$2:$AB$495&gt;=6)*('CONTROL MASTER'!$AA$2:$AA$495&lt;=4)*('CONTROL MASTER'!$AC$2:$AC$495&gt;=4))*ROW('CONTROL MASTER'!$S$2:$S$495))-(ROW('CONTROL MASTER'!#REF!)-1))))*(INDEX('CONTROL MASTER'!$AC$2:$AC$495,(SUMPRODUCT((('CONTROL MASTER'!$S$2:$S$495=9)*('CONTROL MASTER'!$Z$2:$Z$495&lt;=6)*('CONTROL MASTER'!$AB$2:$AB$495&gt;=6)*('CONTROL MASTER'!$AA$2:$AA$495&lt;=4)*('CONTROL MASTER'!$AC$2:$AC$495&gt;=4))*ROW('CONTROL MASTER'!$S$2:$S$495))-(ROW('CONTROL MASTER'!#REF!)-1)))-INDEX('CONTROL MASTER'!$AA$2:$AA$495,(SUMPRODUCT((('CONTROL MASTER'!$S$2:$S$495=9)*('CONTROL MASTER'!$Z$2:$Z$495&lt;=6)*('CONTROL MASTER'!$AB$2:$AB$495&gt;=6)*('CONTROL MASTER'!$AA$2:$AA$495&lt;=4)*('CONTROL MASTER'!$AC$2:$AC$495&gt;=4))*ROW('CONTROL MASTER'!$S$2:$S$495))-(ROW('CONTROL MASTER'!#REF!)-1)))+1)+(4-INDEX('CONTROL MASTER'!$AA$2:$AA$495,(SUMPRODUCT((('CONTROL MASTER'!$S$2:$S$495=9)*('CONTROL MASTER'!$Z$2:$Z$495&lt;=6)*('CONTROL MASTER'!$AB$2:$AB$495&gt;=6)*('CONTROL MASTER'!$AA$2:$AA$495&lt;=4)*('CONTROL MASTER'!$AC$2:$AC$495&gt;=4))*ROW('CONTROL MASTER'!$S$2:$S$495))-(ROW('CONTROL MASTER'!#REF!)-1))))+1)))-1)*50+1,50))&amp;"_"&amp;INDEX('CONTROL MASTER'!$P$2:$P$495,(SUMPRODUCT((('CONTROL MASTER'!$S$2:$S$495=9)*('CONTROL MASTER'!$Z$2:$Z$495&lt;=6)*('CONTROL MASTER'!$AB$2:$AB$495&gt;=6)*('CONTROL MASTER'!$AA$2:$AA$495&lt;=4)*('CONTROL MASTER'!$AC$2:$AC$495&gt;=4))*ROW('CONTROL MASTER'!$S$2:$S$495))-(ROW('CONTROL MASTER'!#REF!)-1))),"")),"")</f>
        <v/>
      </c>
      <c r="F120" s="10" t="str">
        <f>IFERROR(IF(SUMPRODUCT((('CONTROL MASTER'!$S$2:$S$495=9)*('CONTROL MASTER'!$T$2:$T$495&lt;=6)*('CONTROL MASTER'!$V$2:$V$495&gt;=6)*('CONTROL MASTER'!$U$2:$U$495&lt;=5)*('CONTROL MASTER'!$W$2:$W$495&gt;=5))*ROW('CONTROL MASTER'!$S$2:$S$495))&gt;0,INDEX('CONTROL MASTER'!$X$2:$X$495,(SUMPRODUCT((('CONTROL MASTER'!$S$2:$S$495=9)*('CONTROL MASTER'!$T$2:$T$495&lt;=6)*('CONTROL MASTER'!$V$2:$V$495&gt;=6)*('CONTROL MASTER'!$U$2:$U$495&lt;=5)*('CONTROL MASTER'!$W$2:$W$495&gt;=5))*ROW('CONTROL MASTER'!$S$2:$S$495))-(ROW('CONTROL MASTER'!#REF!)-1)))&amp;TRIM(MID(SUBSTITUTE(SUBSTITUTE(INDEX('CONTROL MASTER'!$N$2:$N$495,(SUMPRODUCT((('CONTROL MASTER'!$S$2:$S$495=9)*('CONTROL MASTER'!$T$2:$T$495&lt;=6)*('CONTROL MASTER'!$V$2:$V$495&gt;=6)*('CONTROL MASTER'!$U$2:$U$495&lt;=5)*('CONTROL MASTER'!$W$2:$W$495&gt;=5))*ROW('CONTROL MASTER'!$S$2:$S$495))-(ROW('CONTROL MASTER'!#REF!)-1))),":",","),",",REPT(" ",50)),((((6-INDEX('CONTROL MASTER'!$T$2:$T$495,(SUMPRODUCT((('CONTROL MASTER'!$S$2:$S$495=9)*('CONTROL MASTER'!$T$2:$T$495&lt;=6)*('CONTROL MASTER'!$V$2:$V$495&gt;=6)*('CONTROL MASTER'!$U$2:$U$495&lt;=5)*('CONTROL MASTER'!$W$2:$W$495&gt;=5))*ROW('CONTROL MASTER'!$S$2:$S$495))-(ROW('CONTROL MASTER'!#REF!)-1))))*(INDEX('CONTROL MASTER'!$W$2:$W$495,(SUMPRODUCT((('CONTROL MASTER'!$S$2:$S$495=9)*('CONTROL MASTER'!$T$2:$T$495&lt;=6)*('CONTROL MASTER'!$V$2:$V$495&gt;=6)*('CONTROL MASTER'!$U$2:$U$495&lt;=5)*('CONTROL MASTER'!$W$2:$W$495&gt;=5))*ROW('CONTROL MASTER'!$S$2:$S$495))-(ROW('CONTROL MASTER'!#REF!)-1)))-INDEX('CONTROL MASTER'!$U$2:$U$495,(SUMPRODUCT((('CONTROL MASTER'!$S$2:$S$495=9)*('CONTROL MASTER'!$T$2:$T$495&lt;=6)*('CONTROL MASTER'!$V$2:$V$495&gt;=6)*('CONTROL MASTER'!$U$2:$U$495&lt;=5)*('CONTROL MASTER'!$W$2:$W$495&gt;=5))*ROW('CONTROL MASTER'!$S$2:$S$495))-(ROW('CONTROL MASTER'!#REF!)-1)))+1)+(5-INDEX('CONTROL MASTER'!$U$2:$U$495,(SUMPRODUCT((('CONTROL MASTER'!$S$2:$S$495=9)*('CONTROL MASTER'!$T$2:$T$495&lt;=6)*('CONTROL MASTER'!$V$2:$V$495&gt;=6)*('CONTROL MASTER'!$U$2:$U$495&lt;=5)*('CONTROL MASTER'!$W$2:$W$495&gt;=5))*ROW('CONTROL MASTER'!$S$2:$S$495))-(ROW('CONTROL MASTER'!#REF!)-1))))+1))-1)*50+1,50))&amp;"_"&amp;INDEX('CONTROL MASTER'!$P$2:$P$495,(SUMPRODUCT((('CONTROL MASTER'!$S$2:$S$495=9)*('CONTROL MASTER'!$T$2:$T$495&lt;=6)*('CONTROL MASTER'!$V$2:$V$495&gt;=6)*('CONTROL MASTER'!$U$2:$U$495&lt;=5)*('CONTROL MASTER'!$W$2:$W$495&gt;=5))*ROW('CONTROL MASTER'!$S$2:$S$495))-(ROW('CONTROL MASTER'!#REF!)-1))),IF(SUMPRODUCT((('CONTROL MASTER'!$S$2:$S$495=9)*('CONTROL MASTER'!$Z$2:$Z$495&lt;=6)*('CONTROL MASTER'!$AB$2:$AB$495&gt;=6)*('CONTROL MASTER'!$AA$2:$AA$495&lt;=5)*('CONTROL MASTER'!$AC$2:$AC$495&gt;=5))*ROW('CONTROL MASTER'!$S$2:$S$495))&gt;0,INDEX('CONTROL MASTER'!$X$2:$X$495,(SUMPRODUCT((('CONTROL MASTER'!$S$2:$S$495=9)*('CONTROL MASTER'!$Z$2:$Z$495&lt;=6)*('CONTROL MASTER'!$AB$2:$AB$495&gt;=6)*('CONTROL MASTER'!$AA$2:$AA$495&lt;=5)*('CONTROL MASTER'!$AC$2:$AC$495&gt;=5))*ROW('CONTROL MASTER'!$S$2:$S$495))-(ROW('CONTROL MASTER'!#REF!)-1)))&amp;TRIM(MID(SUBSTITUTE(SUBSTITUTE(INDEX('CONTROL MASTER'!$N$2:$N$495,(SUMPRODUCT((('CONTROL MASTER'!$S$2:$S$495=9)*('CONTROL MASTER'!$Z$2:$Z$495&lt;=6)*('CONTROL MASTER'!$AB$2:$AB$495&gt;=6)*('CONTROL MASTER'!$AA$2:$AA$495&lt;=5)*('CONTROL MASTER'!$AC$2:$AC$495&gt;=5))*ROW('CONTROL MASTER'!$S$2:$S$495))-(ROW('CONTROL MASTER'!#REF!)-1))),":",","),",",REPT(" ",50)),(((INDEX('CONTROL MASTER'!$Y$2:$Y$495,(SUMPRODUCT((('CONTROL MASTER'!$S$2:$S$495=9)*('CONTROL MASTER'!$Z$2:$Z$495&lt;=6)*('CONTROL MASTER'!$AB$2:$AB$495&gt;=6)*('CONTROL MASTER'!$AA$2:$AA$495&lt;=5)*('CONTROL MASTER'!$AC$2:$AC$495&gt;=5))*ROW('CONTROL MASTER'!$S$2:$S$495))-(ROW('CONTROL MASTER'!#REF!)-1)))+((6-INDEX('CONTROL MASTER'!$Z$2:$Z$495,(SUMPRODUCT((('CONTROL MASTER'!$S$2:$S$495=9)*('CONTROL MASTER'!$Z$2:$Z$495&lt;=6)*('CONTROL MASTER'!$AB$2:$AB$495&gt;=6)*('CONTROL MASTER'!$AA$2:$AA$495&lt;=5)*('CONTROL MASTER'!$AC$2:$AC$495&gt;=5))*ROW('CONTROL MASTER'!$S$2:$S$495))-(ROW('CONTROL MASTER'!#REF!)-1))))*(INDEX('CONTROL MASTER'!$AC$2:$AC$495,(SUMPRODUCT((('CONTROL MASTER'!$S$2:$S$495=9)*('CONTROL MASTER'!$Z$2:$Z$495&lt;=6)*('CONTROL MASTER'!$AB$2:$AB$495&gt;=6)*('CONTROL MASTER'!$AA$2:$AA$495&lt;=5)*('CONTROL MASTER'!$AC$2:$AC$495&gt;=5))*ROW('CONTROL MASTER'!$S$2:$S$495))-(ROW('CONTROL MASTER'!#REF!)-1)))-INDEX('CONTROL MASTER'!$AA$2:$AA$495,(SUMPRODUCT((('CONTROL MASTER'!$S$2:$S$495=9)*('CONTROL MASTER'!$Z$2:$Z$495&lt;=6)*('CONTROL MASTER'!$AB$2:$AB$495&gt;=6)*('CONTROL MASTER'!$AA$2:$AA$495&lt;=5)*('CONTROL MASTER'!$AC$2:$AC$495&gt;=5))*ROW('CONTROL MASTER'!$S$2:$S$495))-(ROW('CONTROL MASTER'!#REF!)-1)))+1)+(5-INDEX('CONTROL MASTER'!$AA$2:$AA$495,(SUMPRODUCT((('CONTROL MASTER'!$S$2:$S$495=9)*('CONTROL MASTER'!$Z$2:$Z$495&lt;=6)*('CONTROL MASTER'!$AB$2:$AB$495&gt;=6)*('CONTROL MASTER'!$AA$2:$AA$495&lt;=5)*('CONTROL MASTER'!$AC$2:$AC$495&gt;=5))*ROW('CONTROL MASTER'!$S$2:$S$495))-(ROW('CONTROL MASTER'!#REF!)-1))))+1)))-1)*50+1,50))&amp;"_"&amp;INDEX('CONTROL MASTER'!$P$2:$P$495,(SUMPRODUCT((('CONTROL MASTER'!$S$2:$S$495=9)*('CONTROL MASTER'!$Z$2:$Z$495&lt;=6)*('CONTROL MASTER'!$AB$2:$AB$495&gt;=6)*('CONTROL MASTER'!$AA$2:$AA$495&lt;=5)*('CONTROL MASTER'!$AC$2:$AC$495&gt;=5))*ROW('CONTROL MASTER'!$S$2:$S$495))-(ROW('CONTROL MASTER'!#REF!)-1))),"")),"")</f>
        <v/>
      </c>
      <c r="G120" s="10" t="str">
        <f>IFERROR(IF(SUMPRODUCT((('CONTROL MASTER'!$S$2:$S$495=9)*('CONTROL MASTER'!$T$2:$T$495&lt;=6)*('CONTROL MASTER'!$V$2:$V$495&gt;=6)*('CONTROL MASTER'!$U$2:$U$495&lt;=6)*('CONTROL MASTER'!$W$2:$W$495&gt;=6))*ROW('CONTROL MASTER'!$S$2:$S$495))&gt;0,INDEX('CONTROL MASTER'!$X$2:$X$495,(SUMPRODUCT((('CONTROL MASTER'!$S$2:$S$495=9)*('CONTROL MASTER'!$T$2:$T$495&lt;=6)*('CONTROL MASTER'!$V$2:$V$495&gt;=6)*('CONTROL MASTER'!$U$2:$U$495&lt;=6)*('CONTROL MASTER'!$W$2:$W$495&gt;=6))*ROW('CONTROL MASTER'!$S$2:$S$495))-(ROW('CONTROL MASTER'!#REF!)-1)))&amp;TRIM(MID(SUBSTITUTE(SUBSTITUTE(INDEX('CONTROL MASTER'!$N$2:$N$495,(SUMPRODUCT((('CONTROL MASTER'!$S$2:$S$495=9)*('CONTROL MASTER'!$T$2:$T$495&lt;=6)*('CONTROL MASTER'!$V$2:$V$495&gt;=6)*('CONTROL MASTER'!$U$2:$U$495&lt;=6)*('CONTROL MASTER'!$W$2:$W$495&gt;=6))*ROW('CONTROL MASTER'!$S$2:$S$495))-(ROW('CONTROL MASTER'!#REF!)-1))),":",","),",",REPT(" ",50)),((((6-INDEX('CONTROL MASTER'!$T$2:$T$495,(SUMPRODUCT((('CONTROL MASTER'!$S$2:$S$495=9)*('CONTROL MASTER'!$T$2:$T$495&lt;=6)*('CONTROL MASTER'!$V$2:$V$495&gt;=6)*('CONTROL MASTER'!$U$2:$U$495&lt;=6)*('CONTROL MASTER'!$W$2:$W$495&gt;=6))*ROW('CONTROL MASTER'!$S$2:$S$495))-(ROW('CONTROL MASTER'!#REF!)-1))))*(INDEX('CONTROL MASTER'!$W$2:$W$495,(SUMPRODUCT((('CONTROL MASTER'!$S$2:$S$495=9)*('CONTROL MASTER'!$T$2:$T$495&lt;=6)*('CONTROL MASTER'!$V$2:$V$495&gt;=6)*('CONTROL MASTER'!$U$2:$U$495&lt;=6)*('CONTROL MASTER'!$W$2:$W$495&gt;=6))*ROW('CONTROL MASTER'!$S$2:$S$495))-(ROW('CONTROL MASTER'!#REF!)-1)))-INDEX('CONTROL MASTER'!$U$2:$U$495,(SUMPRODUCT((('CONTROL MASTER'!$S$2:$S$495=9)*('CONTROL MASTER'!$T$2:$T$495&lt;=6)*('CONTROL MASTER'!$V$2:$V$495&gt;=6)*('CONTROL MASTER'!$U$2:$U$495&lt;=6)*('CONTROL MASTER'!$W$2:$W$495&gt;=6))*ROW('CONTROL MASTER'!$S$2:$S$495))-(ROW('CONTROL MASTER'!#REF!)-1)))+1)+(6-INDEX('CONTROL MASTER'!$U$2:$U$495,(SUMPRODUCT((('CONTROL MASTER'!$S$2:$S$495=9)*('CONTROL MASTER'!$T$2:$T$495&lt;=6)*('CONTROL MASTER'!$V$2:$V$495&gt;=6)*('CONTROL MASTER'!$U$2:$U$495&lt;=6)*('CONTROL MASTER'!$W$2:$W$495&gt;=6))*ROW('CONTROL MASTER'!$S$2:$S$495))-(ROW('CONTROL MASTER'!#REF!)-1))))+1))-1)*50+1,50))&amp;"_"&amp;INDEX('CONTROL MASTER'!$P$2:$P$495,(SUMPRODUCT((('CONTROL MASTER'!$S$2:$S$495=9)*('CONTROL MASTER'!$T$2:$T$495&lt;=6)*('CONTROL MASTER'!$V$2:$V$495&gt;=6)*('CONTROL MASTER'!$U$2:$U$495&lt;=6)*('CONTROL MASTER'!$W$2:$W$495&gt;=6))*ROW('CONTROL MASTER'!$S$2:$S$495))-(ROW('CONTROL MASTER'!#REF!)-1))),IF(SUMPRODUCT((('CONTROL MASTER'!$S$2:$S$495=9)*('CONTROL MASTER'!$Z$2:$Z$495&lt;=6)*('CONTROL MASTER'!$AB$2:$AB$495&gt;=6)*('CONTROL MASTER'!$AA$2:$AA$495&lt;=6)*('CONTROL MASTER'!$AC$2:$AC$495&gt;=6))*ROW('CONTROL MASTER'!$S$2:$S$495))&gt;0,INDEX('CONTROL MASTER'!$X$2:$X$495,(SUMPRODUCT((('CONTROL MASTER'!$S$2:$S$495=9)*('CONTROL MASTER'!$Z$2:$Z$495&lt;=6)*('CONTROL MASTER'!$AB$2:$AB$495&gt;=6)*('CONTROL MASTER'!$AA$2:$AA$495&lt;=6)*('CONTROL MASTER'!$AC$2:$AC$495&gt;=6))*ROW('CONTROL MASTER'!$S$2:$S$495))-(ROW('CONTROL MASTER'!#REF!)-1)))&amp;TRIM(MID(SUBSTITUTE(SUBSTITUTE(INDEX('CONTROL MASTER'!$N$2:$N$495,(SUMPRODUCT((('CONTROL MASTER'!$S$2:$S$495=9)*('CONTROL MASTER'!$Z$2:$Z$495&lt;=6)*('CONTROL MASTER'!$AB$2:$AB$495&gt;=6)*('CONTROL MASTER'!$AA$2:$AA$495&lt;=6)*('CONTROL MASTER'!$AC$2:$AC$495&gt;=6))*ROW('CONTROL MASTER'!$S$2:$S$495))-(ROW('CONTROL MASTER'!#REF!)-1))),":",","),",",REPT(" ",50)),(((INDEX('CONTROL MASTER'!$Y$2:$Y$495,(SUMPRODUCT((('CONTROL MASTER'!$S$2:$S$495=9)*('CONTROL MASTER'!$Z$2:$Z$495&lt;=6)*('CONTROL MASTER'!$AB$2:$AB$495&gt;=6)*('CONTROL MASTER'!$AA$2:$AA$495&lt;=6)*('CONTROL MASTER'!$AC$2:$AC$495&gt;=6))*ROW('CONTROL MASTER'!$S$2:$S$495))-(ROW('CONTROL MASTER'!#REF!)-1)))+((6-INDEX('CONTROL MASTER'!$Z$2:$Z$495,(SUMPRODUCT((('CONTROL MASTER'!$S$2:$S$495=9)*('CONTROL MASTER'!$Z$2:$Z$495&lt;=6)*('CONTROL MASTER'!$AB$2:$AB$495&gt;=6)*('CONTROL MASTER'!$AA$2:$AA$495&lt;=6)*('CONTROL MASTER'!$AC$2:$AC$495&gt;=6))*ROW('CONTROL MASTER'!$S$2:$S$495))-(ROW('CONTROL MASTER'!#REF!)-1))))*(INDEX('CONTROL MASTER'!$AC$2:$AC$495,(SUMPRODUCT((('CONTROL MASTER'!$S$2:$S$495=9)*('CONTROL MASTER'!$Z$2:$Z$495&lt;=6)*('CONTROL MASTER'!$AB$2:$AB$495&gt;=6)*('CONTROL MASTER'!$AA$2:$AA$495&lt;=6)*('CONTROL MASTER'!$AC$2:$AC$495&gt;=6))*ROW('CONTROL MASTER'!$S$2:$S$495))-(ROW('CONTROL MASTER'!#REF!)-1)))-INDEX('CONTROL MASTER'!$AA$2:$AA$495,(SUMPRODUCT((('CONTROL MASTER'!$S$2:$S$495=9)*('CONTROL MASTER'!$Z$2:$Z$495&lt;=6)*('CONTROL MASTER'!$AB$2:$AB$495&gt;=6)*('CONTROL MASTER'!$AA$2:$AA$495&lt;=6)*('CONTROL MASTER'!$AC$2:$AC$495&gt;=6))*ROW('CONTROL MASTER'!$S$2:$S$495))-(ROW('CONTROL MASTER'!#REF!)-1)))+1)+(6-INDEX('CONTROL MASTER'!$AA$2:$AA$495,(SUMPRODUCT((('CONTROL MASTER'!$S$2:$S$495=9)*('CONTROL MASTER'!$Z$2:$Z$495&lt;=6)*('CONTROL MASTER'!$AB$2:$AB$495&gt;=6)*('CONTROL MASTER'!$AA$2:$AA$495&lt;=6)*('CONTROL MASTER'!$AC$2:$AC$495&gt;=6))*ROW('CONTROL MASTER'!$S$2:$S$495))-(ROW('CONTROL MASTER'!#REF!)-1))))+1)))-1)*50+1,50))&amp;"_"&amp;INDEX('CONTROL MASTER'!$P$2:$P$495,(SUMPRODUCT((('CONTROL MASTER'!$S$2:$S$495=9)*('CONTROL MASTER'!$Z$2:$Z$495&lt;=6)*('CONTROL MASTER'!$AB$2:$AB$495&gt;=6)*('CONTROL MASTER'!$AA$2:$AA$495&lt;=6)*('CONTROL MASTER'!$AC$2:$AC$495&gt;=6))*ROW('CONTROL MASTER'!$S$2:$S$495))-(ROW('CONTROL MASTER'!#REF!)-1))),"")),"")</f>
        <v/>
      </c>
      <c r="H120" s="10" t="str">
        <f>IFERROR(IF(SUMPRODUCT((('CONTROL MASTER'!$S$2:$S$495=9)*('CONTROL MASTER'!$T$2:$T$495&lt;=6)*('CONTROL MASTER'!$V$2:$V$495&gt;=6)*('CONTROL MASTER'!$U$2:$U$495&lt;=7)*('CONTROL MASTER'!$W$2:$W$495&gt;=7))*ROW('CONTROL MASTER'!$S$2:$S$495))&gt;0,INDEX('CONTROL MASTER'!$X$2:$X$495,(SUMPRODUCT((('CONTROL MASTER'!$S$2:$S$495=9)*('CONTROL MASTER'!$T$2:$T$495&lt;=6)*('CONTROL MASTER'!$V$2:$V$495&gt;=6)*('CONTROL MASTER'!$U$2:$U$495&lt;=7)*('CONTROL MASTER'!$W$2:$W$495&gt;=7))*ROW('CONTROL MASTER'!$S$2:$S$495))-(ROW('CONTROL MASTER'!#REF!)-1)))&amp;TRIM(MID(SUBSTITUTE(SUBSTITUTE(INDEX('CONTROL MASTER'!$N$2:$N$495,(SUMPRODUCT((('CONTROL MASTER'!$S$2:$S$495=9)*('CONTROL MASTER'!$T$2:$T$495&lt;=6)*('CONTROL MASTER'!$V$2:$V$495&gt;=6)*('CONTROL MASTER'!$U$2:$U$495&lt;=7)*('CONTROL MASTER'!$W$2:$W$495&gt;=7))*ROW('CONTROL MASTER'!$S$2:$S$495))-(ROW('CONTROL MASTER'!#REF!)-1))),":",","),",",REPT(" ",50)),((((6-INDEX('CONTROL MASTER'!$T$2:$T$495,(SUMPRODUCT((('CONTROL MASTER'!$S$2:$S$495=9)*('CONTROL MASTER'!$T$2:$T$495&lt;=6)*('CONTROL MASTER'!$V$2:$V$495&gt;=6)*('CONTROL MASTER'!$U$2:$U$495&lt;=7)*('CONTROL MASTER'!$W$2:$W$495&gt;=7))*ROW('CONTROL MASTER'!$S$2:$S$495))-(ROW('CONTROL MASTER'!#REF!)-1))))*(INDEX('CONTROL MASTER'!$W$2:$W$495,(SUMPRODUCT((('CONTROL MASTER'!$S$2:$S$495=9)*('CONTROL MASTER'!$T$2:$T$495&lt;=6)*('CONTROL MASTER'!$V$2:$V$495&gt;=6)*('CONTROL MASTER'!$U$2:$U$495&lt;=7)*('CONTROL MASTER'!$W$2:$W$495&gt;=7))*ROW('CONTROL MASTER'!$S$2:$S$495))-(ROW('CONTROL MASTER'!#REF!)-1)))-INDEX('CONTROL MASTER'!$U$2:$U$495,(SUMPRODUCT((('CONTROL MASTER'!$S$2:$S$495=9)*('CONTROL MASTER'!$T$2:$T$495&lt;=6)*('CONTROL MASTER'!$V$2:$V$495&gt;=6)*('CONTROL MASTER'!$U$2:$U$495&lt;=7)*('CONTROL MASTER'!$W$2:$W$495&gt;=7))*ROW('CONTROL MASTER'!$S$2:$S$495))-(ROW('CONTROL MASTER'!#REF!)-1)))+1)+(7-INDEX('CONTROL MASTER'!$U$2:$U$495,(SUMPRODUCT((('CONTROL MASTER'!$S$2:$S$495=9)*('CONTROL MASTER'!$T$2:$T$495&lt;=6)*('CONTROL MASTER'!$V$2:$V$495&gt;=6)*('CONTROL MASTER'!$U$2:$U$495&lt;=7)*('CONTROL MASTER'!$W$2:$W$495&gt;=7))*ROW('CONTROL MASTER'!$S$2:$S$495))-(ROW('CONTROL MASTER'!#REF!)-1))))+1))-1)*50+1,50))&amp;"_"&amp;INDEX('CONTROL MASTER'!$P$2:$P$495,(SUMPRODUCT((('CONTROL MASTER'!$S$2:$S$495=9)*('CONTROL MASTER'!$T$2:$T$495&lt;=6)*('CONTROL MASTER'!$V$2:$V$495&gt;=6)*('CONTROL MASTER'!$U$2:$U$495&lt;=7)*('CONTROL MASTER'!$W$2:$W$495&gt;=7))*ROW('CONTROL MASTER'!$S$2:$S$495))-(ROW('CONTROL MASTER'!#REF!)-1))),IF(SUMPRODUCT((('CONTROL MASTER'!$S$2:$S$495=9)*('CONTROL MASTER'!$Z$2:$Z$495&lt;=6)*('CONTROL MASTER'!$AB$2:$AB$495&gt;=6)*('CONTROL MASTER'!$AA$2:$AA$495&lt;=7)*('CONTROL MASTER'!$AC$2:$AC$495&gt;=7))*ROW('CONTROL MASTER'!$S$2:$S$495))&gt;0,INDEX('CONTROL MASTER'!$X$2:$X$495,(SUMPRODUCT((('CONTROL MASTER'!$S$2:$S$495=9)*('CONTROL MASTER'!$Z$2:$Z$495&lt;=6)*('CONTROL MASTER'!$AB$2:$AB$495&gt;=6)*('CONTROL MASTER'!$AA$2:$AA$495&lt;=7)*('CONTROL MASTER'!$AC$2:$AC$495&gt;=7))*ROW('CONTROL MASTER'!$S$2:$S$495))-(ROW('CONTROL MASTER'!#REF!)-1)))&amp;TRIM(MID(SUBSTITUTE(SUBSTITUTE(INDEX('CONTROL MASTER'!$N$2:$N$495,(SUMPRODUCT((('CONTROL MASTER'!$S$2:$S$495=9)*('CONTROL MASTER'!$Z$2:$Z$495&lt;=6)*('CONTROL MASTER'!$AB$2:$AB$495&gt;=6)*('CONTROL MASTER'!$AA$2:$AA$495&lt;=7)*('CONTROL MASTER'!$AC$2:$AC$495&gt;=7))*ROW('CONTROL MASTER'!$S$2:$S$495))-(ROW('CONTROL MASTER'!#REF!)-1))),":",","),",",REPT(" ",50)),(((INDEX('CONTROL MASTER'!$Y$2:$Y$495,(SUMPRODUCT((('CONTROL MASTER'!$S$2:$S$495=9)*('CONTROL MASTER'!$Z$2:$Z$495&lt;=6)*('CONTROL MASTER'!$AB$2:$AB$495&gt;=6)*('CONTROL MASTER'!$AA$2:$AA$495&lt;=7)*('CONTROL MASTER'!$AC$2:$AC$495&gt;=7))*ROW('CONTROL MASTER'!$S$2:$S$495))-(ROW('CONTROL MASTER'!#REF!)-1)))+((6-INDEX('CONTROL MASTER'!$Z$2:$Z$495,(SUMPRODUCT((('CONTROL MASTER'!$S$2:$S$495=9)*('CONTROL MASTER'!$Z$2:$Z$495&lt;=6)*('CONTROL MASTER'!$AB$2:$AB$495&gt;=6)*('CONTROL MASTER'!$AA$2:$AA$495&lt;=7)*('CONTROL MASTER'!$AC$2:$AC$495&gt;=7))*ROW('CONTROL MASTER'!$S$2:$S$495))-(ROW('CONTROL MASTER'!#REF!)-1))))*(INDEX('CONTROL MASTER'!$AC$2:$AC$495,(SUMPRODUCT((('CONTROL MASTER'!$S$2:$S$495=9)*('CONTROL MASTER'!$Z$2:$Z$495&lt;=6)*('CONTROL MASTER'!$AB$2:$AB$495&gt;=6)*('CONTROL MASTER'!$AA$2:$AA$495&lt;=7)*('CONTROL MASTER'!$AC$2:$AC$495&gt;=7))*ROW('CONTROL MASTER'!$S$2:$S$495))-(ROW('CONTROL MASTER'!#REF!)-1)))-INDEX('CONTROL MASTER'!$AA$2:$AA$495,(SUMPRODUCT((('CONTROL MASTER'!$S$2:$S$495=9)*('CONTROL MASTER'!$Z$2:$Z$495&lt;=6)*('CONTROL MASTER'!$AB$2:$AB$495&gt;=6)*('CONTROL MASTER'!$AA$2:$AA$495&lt;=7)*('CONTROL MASTER'!$AC$2:$AC$495&gt;=7))*ROW('CONTROL MASTER'!$S$2:$S$495))-(ROW('CONTROL MASTER'!#REF!)-1)))+1)+(7-INDEX('CONTROL MASTER'!$AA$2:$AA$495,(SUMPRODUCT((('CONTROL MASTER'!$S$2:$S$495=9)*('CONTROL MASTER'!$Z$2:$Z$495&lt;=6)*('CONTROL MASTER'!$AB$2:$AB$495&gt;=6)*('CONTROL MASTER'!$AA$2:$AA$495&lt;=7)*('CONTROL MASTER'!$AC$2:$AC$495&gt;=7))*ROW('CONTROL MASTER'!$S$2:$S$495))-(ROW('CONTROL MASTER'!#REF!)-1))))+1)))-1)*50+1,50))&amp;"_"&amp;INDEX('CONTROL MASTER'!$P$2:$P$495,(SUMPRODUCT((('CONTROL MASTER'!$S$2:$S$495=9)*('CONTROL MASTER'!$Z$2:$Z$495&lt;=6)*('CONTROL MASTER'!$AB$2:$AB$495&gt;=6)*('CONTROL MASTER'!$AA$2:$AA$495&lt;=7)*('CONTROL MASTER'!$AC$2:$AC$495&gt;=7))*ROW('CONTROL MASTER'!$S$2:$S$495))-(ROW('CONTROL MASTER'!#REF!)-1))),"")),"")</f>
        <v/>
      </c>
      <c r="I120" s="10" t="str">
        <f>IFERROR(IF(SUMPRODUCT((('CONTROL MASTER'!$S$2:$S$495=9)*('CONTROL MASTER'!$T$2:$T$495&lt;=6)*('CONTROL MASTER'!$V$2:$V$495&gt;=6)*('CONTROL MASTER'!$U$2:$U$495&lt;=8)*('CONTROL MASTER'!$W$2:$W$495&gt;=8))*ROW('CONTROL MASTER'!$S$2:$S$495))&gt;0,INDEX('CONTROL MASTER'!$X$2:$X$495,(SUMPRODUCT((('CONTROL MASTER'!$S$2:$S$495=9)*('CONTROL MASTER'!$T$2:$T$495&lt;=6)*('CONTROL MASTER'!$V$2:$V$495&gt;=6)*('CONTROL MASTER'!$U$2:$U$495&lt;=8)*('CONTROL MASTER'!$W$2:$W$495&gt;=8))*ROW('CONTROL MASTER'!$S$2:$S$495))-(ROW('CONTROL MASTER'!#REF!)-1)))&amp;TRIM(MID(SUBSTITUTE(SUBSTITUTE(INDEX('CONTROL MASTER'!$N$2:$N$495,(SUMPRODUCT((('CONTROL MASTER'!$S$2:$S$495=9)*('CONTROL MASTER'!$T$2:$T$495&lt;=6)*('CONTROL MASTER'!$V$2:$V$495&gt;=6)*('CONTROL MASTER'!$U$2:$U$495&lt;=8)*('CONTROL MASTER'!$W$2:$W$495&gt;=8))*ROW('CONTROL MASTER'!$S$2:$S$495))-(ROW('CONTROL MASTER'!#REF!)-1))),":",","),",",REPT(" ",50)),((((6-INDEX('CONTROL MASTER'!$T$2:$T$495,(SUMPRODUCT((('CONTROL MASTER'!$S$2:$S$495=9)*('CONTROL MASTER'!$T$2:$T$495&lt;=6)*('CONTROL MASTER'!$V$2:$V$495&gt;=6)*('CONTROL MASTER'!$U$2:$U$495&lt;=8)*('CONTROL MASTER'!$W$2:$W$495&gt;=8))*ROW('CONTROL MASTER'!$S$2:$S$495))-(ROW('CONTROL MASTER'!#REF!)-1))))*(INDEX('CONTROL MASTER'!$W$2:$W$495,(SUMPRODUCT((('CONTROL MASTER'!$S$2:$S$495=9)*('CONTROL MASTER'!$T$2:$T$495&lt;=6)*('CONTROL MASTER'!$V$2:$V$495&gt;=6)*('CONTROL MASTER'!$U$2:$U$495&lt;=8)*('CONTROL MASTER'!$W$2:$W$495&gt;=8))*ROW('CONTROL MASTER'!$S$2:$S$495))-(ROW('CONTROL MASTER'!#REF!)-1)))-INDEX('CONTROL MASTER'!$U$2:$U$495,(SUMPRODUCT((('CONTROL MASTER'!$S$2:$S$495=9)*('CONTROL MASTER'!$T$2:$T$495&lt;=6)*('CONTROL MASTER'!$V$2:$V$495&gt;=6)*('CONTROL MASTER'!$U$2:$U$495&lt;=8)*('CONTROL MASTER'!$W$2:$W$495&gt;=8))*ROW('CONTROL MASTER'!$S$2:$S$495))-(ROW('CONTROL MASTER'!#REF!)-1)))+1)+(8-INDEX('CONTROL MASTER'!$U$2:$U$495,(SUMPRODUCT((('CONTROL MASTER'!$S$2:$S$495=9)*('CONTROL MASTER'!$T$2:$T$495&lt;=6)*('CONTROL MASTER'!$V$2:$V$495&gt;=6)*('CONTROL MASTER'!$U$2:$U$495&lt;=8)*('CONTROL MASTER'!$W$2:$W$495&gt;=8))*ROW('CONTROL MASTER'!$S$2:$S$495))-(ROW('CONTROL MASTER'!#REF!)-1))))+1))-1)*50+1,50))&amp;"_"&amp;INDEX('CONTROL MASTER'!$P$2:$P$495,(SUMPRODUCT((('CONTROL MASTER'!$S$2:$S$495=9)*('CONTROL MASTER'!$T$2:$T$495&lt;=6)*('CONTROL MASTER'!$V$2:$V$495&gt;=6)*('CONTROL MASTER'!$U$2:$U$495&lt;=8)*('CONTROL MASTER'!$W$2:$W$495&gt;=8))*ROW('CONTROL MASTER'!$S$2:$S$495))-(ROW('CONTROL MASTER'!#REF!)-1))),IF(SUMPRODUCT((('CONTROL MASTER'!$S$2:$S$495=9)*('CONTROL MASTER'!$Z$2:$Z$495&lt;=6)*('CONTROL MASTER'!$AB$2:$AB$495&gt;=6)*('CONTROL MASTER'!$AA$2:$AA$495&lt;=8)*('CONTROL MASTER'!$AC$2:$AC$495&gt;=8))*ROW('CONTROL MASTER'!$S$2:$S$495))&gt;0,INDEX('CONTROL MASTER'!$X$2:$X$495,(SUMPRODUCT((('CONTROL MASTER'!$S$2:$S$495=9)*('CONTROL MASTER'!$Z$2:$Z$495&lt;=6)*('CONTROL MASTER'!$AB$2:$AB$495&gt;=6)*('CONTROL MASTER'!$AA$2:$AA$495&lt;=8)*('CONTROL MASTER'!$AC$2:$AC$495&gt;=8))*ROW('CONTROL MASTER'!$S$2:$S$495))-(ROW('CONTROL MASTER'!#REF!)-1)))&amp;TRIM(MID(SUBSTITUTE(SUBSTITUTE(INDEX('CONTROL MASTER'!$N$2:$N$495,(SUMPRODUCT((('CONTROL MASTER'!$S$2:$S$495=9)*('CONTROL MASTER'!$Z$2:$Z$495&lt;=6)*('CONTROL MASTER'!$AB$2:$AB$495&gt;=6)*('CONTROL MASTER'!$AA$2:$AA$495&lt;=8)*('CONTROL MASTER'!$AC$2:$AC$495&gt;=8))*ROW('CONTROL MASTER'!$S$2:$S$495))-(ROW('CONTROL MASTER'!#REF!)-1))),":",","),",",REPT(" ",50)),(((INDEX('CONTROL MASTER'!$Y$2:$Y$495,(SUMPRODUCT((('CONTROL MASTER'!$S$2:$S$495=9)*('CONTROL MASTER'!$Z$2:$Z$495&lt;=6)*('CONTROL MASTER'!$AB$2:$AB$495&gt;=6)*('CONTROL MASTER'!$AA$2:$AA$495&lt;=8)*('CONTROL MASTER'!$AC$2:$AC$495&gt;=8))*ROW('CONTROL MASTER'!$S$2:$S$495))-(ROW('CONTROL MASTER'!#REF!)-1)))+((6-INDEX('CONTROL MASTER'!$Z$2:$Z$495,(SUMPRODUCT((('CONTROL MASTER'!$S$2:$S$495=9)*('CONTROL MASTER'!$Z$2:$Z$495&lt;=6)*('CONTROL MASTER'!$AB$2:$AB$495&gt;=6)*('CONTROL MASTER'!$AA$2:$AA$495&lt;=8)*('CONTROL MASTER'!$AC$2:$AC$495&gt;=8))*ROW('CONTROL MASTER'!$S$2:$S$495))-(ROW('CONTROL MASTER'!#REF!)-1))))*(INDEX('CONTROL MASTER'!$AC$2:$AC$495,(SUMPRODUCT((('CONTROL MASTER'!$S$2:$S$495=9)*('CONTROL MASTER'!$Z$2:$Z$495&lt;=6)*('CONTROL MASTER'!$AB$2:$AB$495&gt;=6)*('CONTROL MASTER'!$AA$2:$AA$495&lt;=8)*('CONTROL MASTER'!$AC$2:$AC$495&gt;=8))*ROW('CONTROL MASTER'!$S$2:$S$495))-(ROW('CONTROL MASTER'!#REF!)-1)))-INDEX('CONTROL MASTER'!$AA$2:$AA$495,(SUMPRODUCT((('CONTROL MASTER'!$S$2:$S$495=9)*('CONTROL MASTER'!$Z$2:$Z$495&lt;=6)*('CONTROL MASTER'!$AB$2:$AB$495&gt;=6)*('CONTROL MASTER'!$AA$2:$AA$495&lt;=8)*('CONTROL MASTER'!$AC$2:$AC$495&gt;=8))*ROW('CONTROL MASTER'!$S$2:$S$495))-(ROW('CONTROL MASTER'!#REF!)-1)))+1)+(8-INDEX('CONTROL MASTER'!$AA$2:$AA$495,(SUMPRODUCT((('CONTROL MASTER'!$S$2:$S$495=9)*('CONTROL MASTER'!$Z$2:$Z$495&lt;=6)*('CONTROL MASTER'!$AB$2:$AB$495&gt;=6)*('CONTROL MASTER'!$AA$2:$AA$495&lt;=8)*('CONTROL MASTER'!$AC$2:$AC$495&gt;=8))*ROW('CONTROL MASTER'!$S$2:$S$495))-(ROW('CONTROL MASTER'!#REF!)-1))))+1)))-1)*50+1,50))&amp;"_"&amp;INDEX('CONTROL MASTER'!$P$2:$P$495,(SUMPRODUCT((('CONTROL MASTER'!$S$2:$S$495=9)*('CONTROL MASTER'!$Z$2:$Z$495&lt;=6)*('CONTROL MASTER'!$AB$2:$AB$495&gt;=6)*('CONTROL MASTER'!$AA$2:$AA$495&lt;=8)*('CONTROL MASTER'!$AC$2:$AC$495&gt;=8))*ROW('CONTROL MASTER'!$S$2:$S$495))-(ROW('CONTROL MASTER'!#REF!)-1))),"")),"")</f>
        <v/>
      </c>
      <c r="J120" s="10" t="str">
        <f>IFERROR(IF(SUMPRODUCT((('CONTROL MASTER'!$S$2:$S$495=9)*('CONTROL MASTER'!$T$2:$T$495&lt;=6)*('CONTROL MASTER'!$V$2:$V$495&gt;=6)*('CONTROL MASTER'!$U$2:$U$495&lt;=9)*('CONTROL MASTER'!$W$2:$W$495&gt;=9))*ROW('CONTROL MASTER'!$S$2:$S$495))&gt;0,INDEX('CONTROL MASTER'!$X$2:$X$495,(SUMPRODUCT((('CONTROL MASTER'!$S$2:$S$495=9)*('CONTROL MASTER'!$T$2:$T$495&lt;=6)*('CONTROL MASTER'!$V$2:$V$495&gt;=6)*('CONTROL MASTER'!$U$2:$U$495&lt;=9)*('CONTROL MASTER'!$W$2:$W$495&gt;=9))*ROW('CONTROL MASTER'!$S$2:$S$495))-(ROW('CONTROL MASTER'!#REF!)-1)))&amp;TRIM(MID(SUBSTITUTE(SUBSTITUTE(INDEX('CONTROL MASTER'!$N$2:$N$495,(SUMPRODUCT((('CONTROL MASTER'!$S$2:$S$495=9)*('CONTROL MASTER'!$T$2:$T$495&lt;=6)*('CONTROL MASTER'!$V$2:$V$495&gt;=6)*('CONTROL MASTER'!$U$2:$U$495&lt;=9)*('CONTROL MASTER'!$W$2:$W$495&gt;=9))*ROW('CONTROL MASTER'!$S$2:$S$495))-(ROW('CONTROL MASTER'!#REF!)-1))),":",","),",",REPT(" ",50)),((((6-INDEX('CONTROL MASTER'!$T$2:$T$495,(SUMPRODUCT((('CONTROL MASTER'!$S$2:$S$495=9)*('CONTROL MASTER'!$T$2:$T$495&lt;=6)*('CONTROL MASTER'!$V$2:$V$495&gt;=6)*('CONTROL MASTER'!$U$2:$U$495&lt;=9)*('CONTROL MASTER'!$W$2:$W$495&gt;=9))*ROW('CONTROL MASTER'!$S$2:$S$495))-(ROW('CONTROL MASTER'!#REF!)-1))))*(INDEX('CONTROL MASTER'!$W$2:$W$495,(SUMPRODUCT((('CONTROL MASTER'!$S$2:$S$495=9)*('CONTROL MASTER'!$T$2:$T$495&lt;=6)*('CONTROL MASTER'!$V$2:$V$495&gt;=6)*('CONTROL MASTER'!$U$2:$U$495&lt;=9)*('CONTROL MASTER'!$W$2:$W$495&gt;=9))*ROW('CONTROL MASTER'!$S$2:$S$495))-(ROW('CONTROL MASTER'!#REF!)-1)))-INDEX('CONTROL MASTER'!$U$2:$U$495,(SUMPRODUCT((('CONTROL MASTER'!$S$2:$S$495=9)*('CONTROL MASTER'!$T$2:$T$495&lt;=6)*('CONTROL MASTER'!$V$2:$V$495&gt;=6)*('CONTROL MASTER'!$U$2:$U$495&lt;=9)*('CONTROL MASTER'!$W$2:$W$495&gt;=9))*ROW('CONTROL MASTER'!$S$2:$S$495))-(ROW('CONTROL MASTER'!#REF!)-1)))+1)+(9-INDEX('CONTROL MASTER'!$U$2:$U$495,(SUMPRODUCT((('CONTROL MASTER'!$S$2:$S$495=9)*('CONTROL MASTER'!$T$2:$T$495&lt;=6)*('CONTROL MASTER'!$V$2:$V$495&gt;=6)*('CONTROL MASTER'!$U$2:$U$495&lt;=9)*('CONTROL MASTER'!$W$2:$W$495&gt;=9))*ROW('CONTROL MASTER'!$S$2:$S$495))-(ROW('CONTROL MASTER'!#REF!)-1))))+1))-1)*50+1,50))&amp;"_"&amp;INDEX('CONTROL MASTER'!$P$2:$P$495,(SUMPRODUCT((('CONTROL MASTER'!$S$2:$S$495=9)*('CONTROL MASTER'!$T$2:$T$495&lt;=6)*('CONTROL MASTER'!$V$2:$V$495&gt;=6)*('CONTROL MASTER'!$U$2:$U$495&lt;=9)*('CONTROL MASTER'!$W$2:$W$495&gt;=9))*ROW('CONTROL MASTER'!$S$2:$S$495))-(ROW('CONTROL MASTER'!#REF!)-1))),IF(SUMPRODUCT((('CONTROL MASTER'!$S$2:$S$495=9)*('CONTROL MASTER'!$Z$2:$Z$495&lt;=6)*('CONTROL MASTER'!$AB$2:$AB$495&gt;=6)*('CONTROL MASTER'!$AA$2:$AA$495&lt;=9)*('CONTROL MASTER'!$AC$2:$AC$495&gt;=9))*ROW('CONTROL MASTER'!$S$2:$S$495))&gt;0,INDEX('CONTROL MASTER'!$X$2:$X$495,(SUMPRODUCT((('CONTROL MASTER'!$S$2:$S$495=9)*('CONTROL MASTER'!$Z$2:$Z$495&lt;=6)*('CONTROL MASTER'!$AB$2:$AB$495&gt;=6)*('CONTROL MASTER'!$AA$2:$AA$495&lt;=9)*('CONTROL MASTER'!$AC$2:$AC$495&gt;=9))*ROW('CONTROL MASTER'!$S$2:$S$495))-(ROW('CONTROL MASTER'!#REF!)-1)))&amp;TRIM(MID(SUBSTITUTE(SUBSTITUTE(INDEX('CONTROL MASTER'!$N$2:$N$495,(SUMPRODUCT((('CONTROL MASTER'!$S$2:$S$495=9)*('CONTROL MASTER'!$Z$2:$Z$495&lt;=6)*('CONTROL MASTER'!$AB$2:$AB$495&gt;=6)*('CONTROL MASTER'!$AA$2:$AA$495&lt;=9)*('CONTROL MASTER'!$AC$2:$AC$495&gt;=9))*ROW('CONTROL MASTER'!$S$2:$S$495))-(ROW('CONTROL MASTER'!#REF!)-1))),":",","),",",REPT(" ",50)),(((INDEX('CONTROL MASTER'!$Y$2:$Y$495,(SUMPRODUCT((('CONTROL MASTER'!$S$2:$S$495=9)*('CONTROL MASTER'!$Z$2:$Z$495&lt;=6)*('CONTROL MASTER'!$AB$2:$AB$495&gt;=6)*('CONTROL MASTER'!$AA$2:$AA$495&lt;=9)*('CONTROL MASTER'!$AC$2:$AC$495&gt;=9))*ROW('CONTROL MASTER'!$S$2:$S$495))-(ROW('CONTROL MASTER'!#REF!)-1)))+((6-INDEX('CONTROL MASTER'!$Z$2:$Z$495,(SUMPRODUCT((('CONTROL MASTER'!$S$2:$S$495=9)*('CONTROL MASTER'!$Z$2:$Z$495&lt;=6)*('CONTROL MASTER'!$AB$2:$AB$495&gt;=6)*('CONTROL MASTER'!$AA$2:$AA$495&lt;=9)*('CONTROL MASTER'!$AC$2:$AC$495&gt;=9))*ROW('CONTROL MASTER'!$S$2:$S$495))-(ROW('CONTROL MASTER'!#REF!)-1))))*(INDEX('CONTROL MASTER'!$AC$2:$AC$495,(SUMPRODUCT((('CONTROL MASTER'!$S$2:$S$495=9)*('CONTROL MASTER'!$Z$2:$Z$495&lt;=6)*('CONTROL MASTER'!$AB$2:$AB$495&gt;=6)*('CONTROL MASTER'!$AA$2:$AA$495&lt;=9)*('CONTROL MASTER'!$AC$2:$AC$495&gt;=9))*ROW('CONTROL MASTER'!$S$2:$S$495))-(ROW('CONTROL MASTER'!#REF!)-1)))-INDEX('CONTROL MASTER'!$AA$2:$AA$495,(SUMPRODUCT((('CONTROL MASTER'!$S$2:$S$495=9)*('CONTROL MASTER'!$Z$2:$Z$495&lt;=6)*('CONTROL MASTER'!$AB$2:$AB$495&gt;=6)*('CONTROL MASTER'!$AA$2:$AA$495&lt;=9)*('CONTROL MASTER'!$AC$2:$AC$495&gt;=9))*ROW('CONTROL MASTER'!$S$2:$S$495))-(ROW('CONTROL MASTER'!#REF!)-1)))+1)+(9-INDEX('CONTROL MASTER'!$AA$2:$AA$495,(SUMPRODUCT((('CONTROL MASTER'!$S$2:$S$495=9)*('CONTROL MASTER'!$Z$2:$Z$495&lt;=6)*('CONTROL MASTER'!$AB$2:$AB$495&gt;=6)*('CONTROL MASTER'!$AA$2:$AA$495&lt;=9)*('CONTROL MASTER'!$AC$2:$AC$495&gt;=9))*ROW('CONTROL MASTER'!$S$2:$S$495))-(ROW('CONTROL MASTER'!#REF!)-1))))+1)))-1)*50+1,50))&amp;"_"&amp;INDEX('CONTROL MASTER'!$P$2:$P$495,(SUMPRODUCT((('CONTROL MASTER'!$S$2:$S$495=9)*('CONTROL MASTER'!$Z$2:$Z$495&lt;=6)*('CONTROL MASTER'!$AB$2:$AB$495&gt;=6)*('CONTROL MASTER'!$AA$2:$AA$495&lt;=9)*('CONTROL MASTER'!$AC$2:$AC$495&gt;=9))*ROW('CONTROL MASTER'!$S$2:$S$495))-(ROW('CONTROL MASTER'!#REF!)-1))),"")),"")</f>
        <v/>
      </c>
      <c r="K120" s="10" t="str">
        <f>IFERROR(IF(SUMPRODUCT((('CONTROL MASTER'!$S$2:$S$495=9)*('CONTROL MASTER'!$T$2:$T$495&lt;=6)*('CONTROL MASTER'!$V$2:$V$495&gt;=6)*('CONTROL MASTER'!$U$2:$U$495&lt;=10)*('CONTROL MASTER'!$W$2:$W$495&gt;=10))*ROW('CONTROL MASTER'!$S$2:$S$495))&gt;0,INDEX('CONTROL MASTER'!$X$2:$X$495,(SUMPRODUCT((('CONTROL MASTER'!$S$2:$S$495=9)*('CONTROL MASTER'!$T$2:$T$495&lt;=6)*('CONTROL MASTER'!$V$2:$V$495&gt;=6)*('CONTROL MASTER'!$U$2:$U$495&lt;=10)*('CONTROL MASTER'!$W$2:$W$495&gt;=10))*ROW('CONTROL MASTER'!$S$2:$S$495))-(ROW('CONTROL MASTER'!#REF!)-1)))&amp;TRIM(MID(SUBSTITUTE(SUBSTITUTE(INDEX('CONTROL MASTER'!$N$2:$N$495,(SUMPRODUCT((('CONTROL MASTER'!$S$2:$S$495=9)*('CONTROL MASTER'!$T$2:$T$495&lt;=6)*('CONTROL MASTER'!$V$2:$V$495&gt;=6)*('CONTROL MASTER'!$U$2:$U$495&lt;=10)*('CONTROL MASTER'!$W$2:$W$495&gt;=10))*ROW('CONTROL MASTER'!$S$2:$S$495))-(ROW('CONTROL MASTER'!#REF!)-1))),":",","),",",REPT(" ",50)),((((6-INDEX('CONTROL MASTER'!$T$2:$T$495,(SUMPRODUCT((('CONTROL MASTER'!$S$2:$S$495=9)*('CONTROL MASTER'!$T$2:$T$495&lt;=6)*('CONTROL MASTER'!$V$2:$V$495&gt;=6)*('CONTROL MASTER'!$U$2:$U$495&lt;=10)*('CONTROL MASTER'!$W$2:$W$495&gt;=10))*ROW('CONTROL MASTER'!$S$2:$S$495))-(ROW('CONTROL MASTER'!#REF!)-1))))*(INDEX('CONTROL MASTER'!$W$2:$W$495,(SUMPRODUCT((('CONTROL MASTER'!$S$2:$S$495=9)*('CONTROL MASTER'!$T$2:$T$495&lt;=6)*('CONTROL MASTER'!$V$2:$V$495&gt;=6)*('CONTROL MASTER'!$U$2:$U$495&lt;=10)*('CONTROL MASTER'!$W$2:$W$495&gt;=10))*ROW('CONTROL MASTER'!$S$2:$S$495))-(ROW('CONTROL MASTER'!#REF!)-1)))-INDEX('CONTROL MASTER'!$U$2:$U$495,(SUMPRODUCT((('CONTROL MASTER'!$S$2:$S$495=9)*('CONTROL MASTER'!$T$2:$T$495&lt;=6)*('CONTROL MASTER'!$V$2:$V$495&gt;=6)*('CONTROL MASTER'!$U$2:$U$495&lt;=10)*('CONTROL MASTER'!$W$2:$W$495&gt;=10))*ROW('CONTROL MASTER'!$S$2:$S$495))-(ROW('CONTROL MASTER'!#REF!)-1)))+1)+(10-INDEX('CONTROL MASTER'!$U$2:$U$495,(SUMPRODUCT((('CONTROL MASTER'!$S$2:$S$495=9)*('CONTROL MASTER'!$T$2:$T$495&lt;=6)*('CONTROL MASTER'!$V$2:$V$495&gt;=6)*('CONTROL MASTER'!$U$2:$U$495&lt;=10)*('CONTROL MASTER'!$W$2:$W$495&gt;=10))*ROW('CONTROL MASTER'!$S$2:$S$495))-(ROW('CONTROL MASTER'!#REF!)-1))))+1))-1)*50+1,50))&amp;"_"&amp;INDEX('CONTROL MASTER'!$P$2:$P$495,(SUMPRODUCT((('CONTROL MASTER'!$S$2:$S$495=9)*('CONTROL MASTER'!$T$2:$T$495&lt;=6)*('CONTROL MASTER'!$V$2:$V$495&gt;=6)*('CONTROL MASTER'!$U$2:$U$495&lt;=10)*('CONTROL MASTER'!$W$2:$W$495&gt;=10))*ROW('CONTROL MASTER'!$S$2:$S$495))-(ROW('CONTROL MASTER'!#REF!)-1))),IF(SUMPRODUCT((('CONTROL MASTER'!$S$2:$S$495=9)*('CONTROL MASTER'!$Z$2:$Z$495&lt;=6)*('CONTROL MASTER'!$AB$2:$AB$495&gt;=6)*('CONTROL MASTER'!$AA$2:$AA$495&lt;=10)*('CONTROL MASTER'!$AC$2:$AC$495&gt;=10))*ROW('CONTROL MASTER'!$S$2:$S$495))&gt;0,INDEX('CONTROL MASTER'!$X$2:$X$495,(SUMPRODUCT((('CONTROL MASTER'!$S$2:$S$495=9)*('CONTROL MASTER'!$Z$2:$Z$495&lt;=6)*('CONTROL MASTER'!$AB$2:$AB$495&gt;=6)*('CONTROL MASTER'!$AA$2:$AA$495&lt;=10)*('CONTROL MASTER'!$AC$2:$AC$495&gt;=10))*ROW('CONTROL MASTER'!$S$2:$S$495))-(ROW('CONTROL MASTER'!#REF!)-1)))&amp;TRIM(MID(SUBSTITUTE(SUBSTITUTE(INDEX('CONTROL MASTER'!$N$2:$N$495,(SUMPRODUCT((('CONTROL MASTER'!$S$2:$S$495=9)*('CONTROL MASTER'!$Z$2:$Z$495&lt;=6)*('CONTROL MASTER'!$AB$2:$AB$495&gt;=6)*('CONTROL MASTER'!$AA$2:$AA$495&lt;=10)*('CONTROL MASTER'!$AC$2:$AC$495&gt;=10))*ROW('CONTROL MASTER'!$S$2:$S$495))-(ROW('CONTROL MASTER'!#REF!)-1))),":",","),",",REPT(" ",50)),(((INDEX('CONTROL MASTER'!$Y$2:$Y$495,(SUMPRODUCT((('CONTROL MASTER'!$S$2:$S$495=9)*('CONTROL MASTER'!$Z$2:$Z$495&lt;=6)*('CONTROL MASTER'!$AB$2:$AB$495&gt;=6)*('CONTROL MASTER'!$AA$2:$AA$495&lt;=10)*('CONTROL MASTER'!$AC$2:$AC$495&gt;=10))*ROW('CONTROL MASTER'!$S$2:$S$495))-(ROW('CONTROL MASTER'!#REF!)-1)))+((6-INDEX('CONTROL MASTER'!$Z$2:$Z$495,(SUMPRODUCT((('CONTROL MASTER'!$S$2:$S$495=9)*('CONTROL MASTER'!$Z$2:$Z$495&lt;=6)*('CONTROL MASTER'!$AB$2:$AB$495&gt;=6)*('CONTROL MASTER'!$AA$2:$AA$495&lt;=10)*('CONTROL MASTER'!$AC$2:$AC$495&gt;=10))*ROW('CONTROL MASTER'!$S$2:$S$495))-(ROW('CONTROL MASTER'!#REF!)-1))))*(INDEX('CONTROL MASTER'!$AC$2:$AC$495,(SUMPRODUCT((('CONTROL MASTER'!$S$2:$S$495=9)*('CONTROL MASTER'!$Z$2:$Z$495&lt;=6)*('CONTROL MASTER'!$AB$2:$AB$495&gt;=6)*('CONTROL MASTER'!$AA$2:$AA$495&lt;=10)*('CONTROL MASTER'!$AC$2:$AC$495&gt;=10))*ROW('CONTROL MASTER'!$S$2:$S$495))-(ROW('CONTROL MASTER'!#REF!)-1)))-INDEX('CONTROL MASTER'!$AA$2:$AA$495,(SUMPRODUCT((('CONTROL MASTER'!$S$2:$S$495=9)*('CONTROL MASTER'!$Z$2:$Z$495&lt;=6)*('CONTROL MASTER'!$AB$2:$AB$495&gt;=6)*('CONTROL MASTER'!$AA$2:$AA$495&lt;=10)*('CONTROL MASTER'!$AC$2:$AC$495&gt;=10))*ROW('CONTROL MASTER'!$S$2:$S$495))-(ROW('CONTROL MASTER'!#REF!)-1)))+1)+(10-INDEX('CONTROL MASTER'!$AA$2:$AA$495,(SUMPRODUCT((('CONTROL MASTER'!$S$2:$S$495=9)*('CONTROL MASTER'!$Z$2:$Z$495&lt;=6)*('CONTROL MASTER'!$AB$2:$AB$495&gt;=6)*('CONTROL MASTER'!$AA$2:$AA$495&lt;=10)*('CONTROL MASTER'!$AC$2:$AC$495&gt;=10))*ROW('CONTROL MASTER'!$S$2:$S$495))-(ROW('CONTROL MASTER'!#REF!)-1))))+1)))-1)*50+1,50))&amp;"_"&amp;INDEX('CONTROL MASTER'!$P$2:$P$495,(SUMPRODUCT((('CONTROL MASTER'!$S$2:$S$495=9)*('CONTROL MASTER'!$Z$2:$Z$495&lt;=6)*('CONTROL MASTER'!$AB$2:$AB$495&gt;=6)*('CONTROL MASTER'!$AA$2:$AA$495&lt;=10)*('CONTROL MASTER'!$AC$2:$AC$495&gt;=10))*ROW('CONTROL MASTER'!$S$2:$S$495))-(ROW('CONTROL MASTER'!#REF!)-1))),"")),"")</f>
        <v/>
      </c>
    </row>
    <row r="121" spans="1:11" ht="15" customHeight="1" x14ac:dyDescent="0.35">
      <c r="A121" s="8" t="s">
        <v>34</v>
      </c>
      <c r="B121" s="10" t="str">
        <f>IFERROR(IF(SUMPRODUCT((('CONTROL MASTER'!$S$2:$S$495=9)*('CONTROL MASTER'!$T$2:$T$495&lt;=7)*('CONTROL MASTER'!$V$2:$V$495&gt;=7)*('CONTROL MASTER'!$U$2:$U$495&lt;=1)*('CONTROL MASTER'!$W$2:$W$495&gt;=1))*ROW('CONTROL MASTER'!$S$2:$S$495))&gt;0,INDEX('CONTROL MASTER'!$X$2:$X$495,(SUMPRODUCT((('CONTROL MASTER'!$S$2:$S$495=9)*('CONTROL MASTER'!$T$2:$T$495&lt;=7)*('CONTROL MASTER'!$V$2:$V$495&gt;=7)*('CONTROL MASTER'!$U$2:$U$495&lt;=1)*('CONTROL MASTER'!$W$2:$W$495&gt;=1))*ROW('CONTROL MASTER'!$S$2:$S$495))-(ROW('CONTROL MASTER'!#REF!)-1)))&amp;TRIM(MID(SUBSTITUTE(SUBSTITUTE(INDEX('CONTROL MASTER'!$N$2:$N$495,(SUMPRODUCT((('CONTROL MASTER'!$S$2:$S$495=9)*('CONTROL MASTER'!$T$2:$T$495&lt;=7)*('CONTROL MASTER'!$V$2:$V$495&gt;=7)*('CONTROL MASTER'!$U$2:$U$495&lt;=1)*('CONTROL MASTER'!$W$2:$W$495&gt;=1))*ROW('CONTROL MASTER'!$S$2:$S$495))-(ROW('CONTROL MASTER'!#REF!)-1))),":",","),",",REPT(" ",50)),((((7-INDEX('CONTROL MASTER'!$T$2:$T$495,(SUMPRODUCT((('CONTROL MASTER'!$S$2:$S$495=9)*('CONTROL MASTER'!$T$2:$T$495&lt;=7)*('CONTROL MASTER'!$V$2:$V$495&gt;=7)*('CONTROL MASTER'!$U$2:$U$495&lt;=1)*('CONTROL MASTER'!$W$2:$W$495&gt;=1))*ROW('CONTROL MASTER'!$S$2:$S$495))-(ROW('CONTROL MASTER'!#REF!)-1))))*(INDEX('CONTROL MASTER'!$W$2:$W$495,(SUMPRODUCT((('CONTROL MASTER'!$S$2:$S$495=9)*('CONTROL MASTER'!$T$2:$T$495&lt;=7)*('CONTROL MASTER'!$V$2:$V$495&gt;=7)*('CONTROL MASTER'!$U$2:$U$495&lt;=1)*('CONTROL MASTER'!$W$2:$W$495&gt;=1))*ROW('CONTROL MASTER'!$S$2:$S$495))-(ROW('CONTROL MASTER'!#REF!)-1)))-INDEX('CONTROL MASTER'!$U$2:$U$495,(SUMPRODUCT((('CONTROL MASTER'!$S$2:$S$495=9)*('CONTROL MASTER'!$T$2:$T$495&lt;=7)*('CONTROL MASTER'!$V$2:$V$495&gt;=7)*('CONTROL MASTER'!$U$2:$U$495&lt;=1)*('CONTROL MASTER'!$W$2:$W$495&gt;=1))*ROW('CONTROL MASTER'!$S$2:$S$495))-(ROW('CONTROL MASTER'!#REF!)-1)))+1)+(1-INDEX('CONTROL MASTER'!$U$2:$U$495,(SUMPRODUCT((('CONTROL MASTER'!$S$2:$S$495=9)*('CONTROL MASTER'!$T$2:$T$495&lt;=7)*('CONTROL MASTER'!$V$2:$V$495&gt;=7)*('CONTROL MASTER'!$U$2:$U$495&lt;=1)*('CONTROL MASTER'!$W$2:$W$495&gt;=1))*ROW('CONTROL MASTER'!$S$2:$S$495))-(ROW('CONTROL MASTER'!#REF!)-1))))+1))-1)*50+1,50))&amp;"_"&amp;INDEX('CONTROL MASTER'!$P$2:$P$495,(SUMPRODUCT((('CONTROL MASTER'!$S$2:$S$495=9)*('CONTROL MASTER'!$T$2:$T$495&lt;=7)*('CONTROL MASTER'!$V$2:$V$495&gt;=7)*('CONTROL MASTER'!$U$2:$U$495&lt;=1)*('CONTROL MASTER'!$W$2:$W$495&gt;=1))*ROW('CONTROL MASTER'!$S$2:$S$495))-(ROW('CONTROL MASTER'!#REF!)-1))),IF(SUMPRODUCT((('CONTROL MASTER'!$S$2:$S$495=9)*('CONTROL MASTER'!$Z$2:$Z$495&lt;=7)*('CONTROL MASTER'!$AB$2:$AB$495&gt;=7)*('CONTROL MASTER'!$AA$2:$AA$495&lt;=1)*('CONTROL MASTER'!$AC$2:$AC$495&gt;=1))*ROW('CONTROL MASTER'!$S$2:$S$495))&gt;0,INDEX('CONTROL MASTER'!$X$2:$X$495,(SUMPRODUCT((('CONTROL MASTER'!$S$2:$S$495=9)*('CONTROL MASTER'!$Z$2:$Z$495&lt;=7)*('CONTROL MASTER'!$AB$2:$AB$495&gt;=7)*('CONTROL MASTER'!$AA$2:$AA$495&lt;=1)*('CONTROL MASTER'!$AC$2:$AC$495&gt;=1))*ROW('CONTROL MASTER'!$S$2:$S$495))-(ROW('CONTROL MASTER'!#REF!)-1)))&amp;TRIM(MID(SUBSTITUTE(SUBSTITUTE(INDEX('CONTROL MASTER'!$N$2:$N$495,(SUMPRODUCT((('CONTROL MASTER'!$S$2:$S$495=9)*('CONTROL MASTER'!$Z$2:$Z$495&lt;=7)*('CONTROL MASTER'!$AB$2:$AB$495&gt;=7)*('CONTROL MASTER'!$AA$2:$AA$495&lt;=1)*('CONTROL MASTER'!$AC$2:$AC$495&gt;=1))*ROW('CONTROL MASTER'!$S$2:$S$495))-(ROW('CONTROL MASTER'!#REF!)-1))),":",","),",",REPT(" ",50)),(((INDEX('CONTROL MASTER'!$Y$2:$Y$495,(SUMPRODUCT((('CONTROL MASTER'!$S$2:$S$495=9)*('CONTROL MASTER'!$Z$2:$Z$495&lt;=7)*('CONTROL MASTER'!$AB$2:$AB$495&gt;=7)*('CONTROL MASTER'!$AA$2:$AA$495&lt;=1)*('CONTROL MASTER'!$AC$2:$AC$495&gt;=1))*ROW('CONTROL MASTER'!$S$2:$S$495))-(ROW('CONTROL MASTER'!#REF!)-1)))+((7-INDEX('CONTROL MASTER'!$Z$2:$Z$495,(SUMPRODUCT((('CONTROL MASTER'!$S$2:$S$495=9)*('CONTROL MASTER'!$Z$2:$Z$495&lt;=7)*('CONTROL MASTER'!$AB$2:$AB$495&gt;=7)*('CONTROL MASTER'!$AA$2:$AA$495&lt;=1)*('CONTROL MASTER'!$AC$2:$AC$495&gt;=1))*ROW('CONTROL MASTER'!$S$2:$S$495))-(ROW('CONTROL MASTER'!#REF!)-1))))*(INDEX('CONTROL MASTER'!$AC$2:$AC$495,(SUMPRODUCT((('CONTROL MASTER'!$S$2:$S$495=9)*('CONTROL MASTER'!$Z$2:$Z$495&lt;=7)*('CONTROL MASTER'!$AB$2:$AB$495&gt;=7)*('CONTROL MASTER'!$AA$2:$AA$495&lt;=1)*('CONTROL MASTER'!$AC$2:$AC$495&gt;=1))*ROW('CONTROL MASTER'!$S$2:$S$495))-(ROW('CONTROL MASTER'!#REF!)-1)))-INDEX('CONTROL MASTER'!$AA$2:$AA$495,(SUMPRODUCT((('CONTROL MASTER'!$S$2:$S$495=9)*('CONTROL MASTER'!$Z$2:$Z$495&lt;=7)*('CONTROL MASTER'!$AB$2:$AB$495&gt;=7)*('CONTROL MASTER'!$AA$2:$AA$495&lt;=1)*('CONTROL MASTER'!$AC$2:$AC$495&gt;=1))*ROW('CONTROL MASTER'!$S$2:$S$495))-(ROW('CONTROL MASTER'!#REF!)-1)))+1)+(1-INDEX('CONTROL MASTER'!$AA$2:$AA$495,(SUMPRODUCT((('CONTROL MASTER'!$S$2:$S$495=9)*('CONTROL MASTER'!$Z$2:$Z$495&lt;=7)*('CONTROL MASTER'!$AB$2:$AB$495&gt;=7)*('CONTROL MASTER'!$AA$2:$AA$495&lt;=1)*('CONTROL MASTER'!$AC$2:$AC$495&gt;=1))*ROW('CONTROL MASTER'!$S$2:$S$495))-(ROW('CONTROL MASTER'!#REF!)-1))))+1)))-1)*50+1,50))&amp;"_"&amp;INDEX('CONTROL MASTER'!$P$2:$P$495,(SUMPRODUCT((('CONTROL MASTER'!$S$2:$S$495=9)*('CONTROL MASTER'!$Z$2:$Z$495&lt;=7)*('CONTROL MASTER'!$AB$2:$AB$495&gt;=7)*('CONTROL MASTER'!$AA$2:$AA$495&lt;=1)*('CONTROL MASTER'!$AC$2:$AC$495&gt;=1))*ROW('CONTROL MASTER'!$S$2:$S$495))-(ROW('CONTROL MASTER'!#REF!)-1))),"")),"")</f>
        <v/>
      </c>
      <c r="C121" s="10" t="str">
        <f>IFERROR(IF(SUMPRODUCT((('CONTROL MASTER'!$S$2:$S$495=9)*('CONTROL MASTER'!$T$2:$T$495&lt;=7)*('CONTROL MASTER'!$V$2:$V$495&gt;=7)*('CONTROL MASTER'!$U$2:$U$495&lt;=2)*('CONTROL MASTER'!$W$2:$W$495&gt;=2))*ROW('CONTROL MASTER'!$S$2:$S$495))&gt;0,INDEX('CONTROL MASTER'!$X$2:$X$495,(SUMPRODUCT((('CONTROL MASTER'!$S$2:$S$495=9)*('CONTROL MASTER'!$T$2:$T$495&lt;=7)*('CONTROL MASTER'!$V$2:$V$495&gt;=7)*('CONTROL MASTER'!$U$2:$U$495&lt;=2)*('CONTROL MASTER'!$W$2:$W$495&gt;=2))*ROW('CONTROL MASTER'!$S$2:$S$495))-(ROW('CONTROL MASTER'!#REF!)-1)))&amp;TRIM(MID(SUBSTITUTE(SUBSTITUTE(INDEX('CONTROL MASTER'!$N$2:$N$495,(SUMPRODUCT((('CONTROL MASTER'!$S$2:$S$495=9)*('CONTROL MASTER'!$T$2:$T$495&lt;=7)*('CONTROL MASTER'!$V$2:$V$495&gt;=7)*('CONTROL MASTER'!$U$2:$U$495&lt;=2)*('CONTROL MASTER'!$W$2:$W$495&gt;=2))*ROW('CONTROL MASTER'!$S$2:$S$495))-(ROW('CONTROL MASTER'!#REF!)-1))),":",","),",",REPT(" ",50)),((((7-INDEX('CONTROL MASTER'!$T$2:$T$495,(SUMPRODUCT((('CONTROL MASTER'!$S$2:$S$495=9)*('CONTROL MASTER'!$T$2:$T$495&lt;=7)*('CONTROL MASTER'!$V$2:$V$495&gt;=7)*('CONTROL MASTER'!$U$2:$U$495&lt;=2)*('CONTROL MASTER'!$W$2:$W$495&gt;=2))*ROW('CONTROL MASTER'!$S$2:$S$495))-(ROW('CONTROL MASTER'!#REF!)-1))))*(INDEX('CONTROL MASTER'!$W$2:$W$495,(SUMPRODUCT((('CONTROL MASTER'!$S$2:$S$495=9)*('CONTROL MASTER'!$T$2:$T$495&lt;=7)*('CONTROL MASTER'!$V$2:$V$495&gt;=7)*('CONTROL MASTER'!$U$2:$U$495&lt;=2)*('CONTROL MASTER'!$W$2:$W$495&gt;=2))*ROW('CONTROL MASTER'!$S$2:$S$495))-(ROW('CONTROL MASTER'!#REF!)-1)))-INDEX('CONTROL MASTER'!$U$2:$U$495,(SUMPRODUCT((('CONTROL MASTER'!$S$2:$S$495=9)*('CONTROL MASTER'!$T$2:$T$495&lt;=7)*('CONTROL MASTER'!$V$2:$V$495&gt;=7)*('CONTROL MASTER'!$U$2:$U$495&lt;=2)*('CONTROL MASTER'!$W$2:$W$495&gt;=2))*ROW('CONTROL MASTER'!$S$2:$S$495))-(ROW('CONTROL MASTER'!#REF!)-1)))+1)+(2-INDEX('CONTROL MASTER'!$U$2:$U$495,(SUMPRODUCT((('CONTROL MASTER'!$S$2:$S$495=9)*('CONTROL MASTER'!$T$2:$T$495&lt;=7)*('CONTROL MASTER'!$V$2:$V$495&gt;=7)*('CONTROL MASTER'!$U$2:$U$495&lt;=2)*('CONTROL MASTER'!$W$2:$W$495&gt;=2))*ROW('CONTROL MASTER'!$S$2:$S$495))-(ROW('CONTROL MASTER'!#REF!)-1))))+1))-1)*50+1,50))&amp;"_"&amp;INDEX('CONTROL MASTER'!$P$2:$P$495,(SUMPRODUCT((('CONTROL MASTER'!$S$2:$S$495=9)*('CONTROL MASTER'!$T$2:$T$495&lt;=7)*('CONTROL MASTER'!$V$2:$V$495&gt;=7)*('CONTROL MASTER'!$U$2:$U$495&lt;=2)*('CONTROL MASTER'!$W$2:$W$495&gt;=2))*ROW('CONTROL MASTER'!$S$2:$S$495))-(ROW('CONTROL MASTER'!#REF!)-1))),IF(SUMPRODUCT((('CONTROL MASTER'!$S$2:$S$495=9)*('CONTROL MASTER'!$Z$2:$Z$495&lt;=7)*('CONTROL MASTER'!$AB$2:$AB$495&gt;=7)*('CONTROL MASTER'!$AA$2:$AA$495&lt;=2)*('CONTROL MASTER'!$AC$2:$AC$495&gt;=2))*ROW('CONTROL MASTER'!$S$2:$S$495))&gt;0,INDEX('CONTROL MASTER'!$X$2:$X$495,(SUMPRODUCT((('CONTROL MASTER'!$S$2:$S$495=9)*('CONTROL MASTER'!$Z$2:$Z$495&lt;=7)*('CONTROL MASTER'!$AB$2:$AB$495&gt;=7)*('CONTROL MASTER'!$AA$2:$AA$495&lt;=2)*('CONTROL MASTER'!$AC$2:$AC$495&gt;=2))*ROW('CONTROL MASTER'!$S$2:$S$495))-(ROW('CONTROL MASTER'!#REF!)-1)))&amp;TRIM(MID(SUBSTITUTE(SUBSTITUTE(INDEX('CONTROL MASTER'!$N$2:$N$495,(SUMPRODUCT((('CONTROL MASTER'!$S$2:$S$495=9)*('CONTROL MASTER'!$Z$2:$Z$495&lt;=7)*('CONTROL MASTER'!$AB$2:$AB$495&gt;=7)*('CONTROL MASTER'!$AA$2:$AA$495&lt;=2)*('CONTROL MASTER'!$AC$2:$AC$495&gt;=2))*ROW('CONTROL MASTER'!$S$2:$S$495))-(ROW('CONTROL MASTER'!#REF!)-1))),":",","),",",REPT(" ",50)),(((INDEX('CONTROL MASTER'!$Y$2:$Y$495,(SUMPRODUCT((('CONTROL MASTER'!$S$2:$S$495=9)*('CONTROL MASTER'!$Z$2:$Z$495&lt;=7)*('CONTROL MASTER'!$AB$2:$AB$495&gt;=7)*('CONTROL MASTER'!$AA$2:$AA$495&lt;=2)*('CONTROL MASTER'!$AC$2:$AC$495&gt;=2))*ROW('CONTROL MASTER'!$S$2:$S$495))-(ROW('CONTROL MASTER'!#REF!)-1)))+((7-INDEX('CONTROL MASTER'!$Z$2:$Z$495,(SUMPRODUCT((('CONTROL MASTER'!$S$2:$S$495=9)*('CONTROL MASTER'!$Z$2:$Z$495&lt;=7)*('CONTROL MASTER'!$AB$2:$AB$495&gt;=7)*('CONTROL MASTER'!$AA$2:$AA$495&lt;=2)*('CONTROL MASTER'!$AC$2:$AC$495&gt;=2))*ROW('CONTROL MASTER'!$S$2:$S$495))-(ROW('CONTROL MASTER'!#REF!)-1))))*(INDEX('CONTROL MASTER'!$AC$2:$AC$495,(SUMPRODUCT((('CONTROL MASTER'!$S$2:$S$495=9)*('CONTROL MASTER'!$Z$2:$Z$495&lt;=7)*('CONTROL MASTER'!$AB$2:$AB$495&gt;=7)*('CONTROL MASTER'!$AA$2:$AA$495&lt;=2)*('CONTROL MASTER'!$AC$2:$AC$495&gt;=2))*ROW('CONTROL MASTER'!$S$2:$S$495))-(ROW('CONTROL MASTER'!#REF!)-1)))-INDEX('CONTROL MASTER'!$AA$2:$AA$495,(SUMPRODUCT((('CONTROL MASTER'!$S$2:$S$495=9)*('CONTROL MASTER'!$Z$2:$Z$495&lt;=7)*('CONTROL MASTER'!$AB$2:$AB$495&gt;=7)*('CONTROL MASTER'!$AA$2:$AA$495&lt;=2)*('CONTROL MASTER'!$AC$2:$AC$495&gt;=2))*ROW('CONTROL MASTER'!$S$2:$S$495))-(ROW('CONTROL MASTER'!#REF!)-1)))+1)+(2-INDEX('CONTROL MASTER'!$AA$2:$AA$495,(SUMPRODUCT((('CONTROL MASTER'!$S$2:$S$495=9)*('CONTROL MASTER'!$Z$2:$Z$495&lt;=7)*('CONTROL MASTER'!$AB$2:$AB$495&gt;=7)*('CONTROL MASTER'!$AA$2:$AA$495&lt;=2)*('CONTROL MASTER'!$AC$2:$AC$495&gt;=2))*ROW('CONTROL MASTER'!$S$2:$S$495))-(ROW('CONTROL MASTER'!#REF!)-1))))+1)))-1)*50+1,50))&amp;"_"&amp;INDEX('CONTROL MASTER'!$P$2:$P$495,(SUMPRODUCT((('CONTROL MASTER'!$S$2:$S$495=9)*('CONTROL MASTER'!$Z$2:$Z$495&lt;=7)*('CONTROL MASTER'!$AB$2:$AB$495&gt;=7)*('CONTROL MASTER'!$AA$2:$AA$495&lt;=2)*('CONTROL MASTER'!$AC$2:$AC$495&gt;=2))*ROW('CONTROL MASTER'!$S$2:$S$495))-(ROW('CONTROL MASTER'!#REF!)-1))),"")),"")</f>
        <v/>
      </c>
      <c r="D121" s="10" t="str">
        <f>IFERROR(IF(SUMPRODUCT((('CONTROL MASTER'!$S$2:$S$495=9)*('CONTROL MASTER'!$T$2:$T$495&lt;=7)*('CONTROL MASTER'!$V$2:$V$495&gt;=7)*('CONTROL MASTER'!$U$2:$U$495&lt;=3)*('CONTROL MASTER'!$W$2:$W$495&gt;=3))*ROW('CONTROL MASTER'!$S$2:$S$495))&gt;0,INDEX('CONTROL MASTER'!$X$2:$X$495,(SUMPRODUCT((('CONTROL MASTER'!$S$2:$S$495=9)*('CONTROL MASTER'!$T$2:$T$495&lt;=7)*('CONTROL MASTER'!$V$2:$V$495&gt;=7)*('CONTROL MASTER'!$U$2:$U$495&lt;=3)*('CONTROL MASTER'!$W$2:$W$495&gt;=3))*ROW('CONTROL MASTER'!$S$2:$S$495))-(ROW('CONTROL MASTER'!#REF!)-1)))&amp;TRIM(MID(SUBSTITUTE(SUBSTITUTE(INDEX('CONTROL MASTER'!$N$2:$N$495,(SUMPRODUCT((('CONTROL MASTER'!$S$2:$S$495=9)*('CONTROL MASTER'!$T$2:$T$495&lt;=7)*('CONTROL MASTER'!$V$2:$V$495&gt;=7)*('CONTROL MASTER'!$U$2:$U$495&lt;=3)*('CONTROL MASTER'!$W$2:$W$495&gt;=3))*ROW('CONTROL MASTER'!$S$2:$S$495))-(ROW('CONTROL MASTER'!#REF!)-1))),":",","),",",REPT(" ",50)),((((7-INDEX('CONTROL MASTER'!$T$2:$T$495,(SUMPRODUCT((('CONTROL MASTER'!$S$2:$S$495=9)*('CONTROL MASTER'!$T$2:$T$495&lt;=7)*('CONTROL MASTER'!$V$2:$V$495&gt;=7)*('CONTROL MASTER'!$U$2:$U$495&lt;=3)*('CONTROL MASTER'!$W$2:$W$495&gt;=3))*ROW('CONTROL MASTER'!$S$2:$S$495))-(ROW('CONTROL MASTER'!#REF!)-1))))*(INDEX('CONTROL MASTER'!$W$2:$W$495,(SUMPRODUCT((('CONTROL MASTER'!$S$2:$S$495=9)*('CONTROL MASTER'!$T$2:$T$495&lt;=7)*('CONTROL MASTER'!$V$2:$V$495&gt;=7)*('CONTROL MASTER'!$U$2:$U$495&lt;=3)*('CONTROL MASTER'!$W$2:$W$495&gt;=3))*ROW('CONTROL MASTER'!$S$2:$S$495))-(ROW('CONTROL MASTER'!#REF!)-1)))-INDEX('CONTROL MASTER'!$U$2:$U$495,(SUMPRODUCT((('CONTROL MASTER'!$S$2:$S$495=9)*('CONTROL MASTER'!$T$2:$T$495&lt;=7)*('CONTROL MASTER'!$V$2:$V$495&gt;=7)*('CONTROL MASTER'!$U$2:$U$495&lt;=3)*('CONTROL MASTER'!$W$2:$W$495&gt;=3))*ROW('CONTROL MASTER'!$S$2:$S$495))-(ROW('CONTROL MASTER'!#REF!)-1)))+1)+(3-INDEX('CONTROL MASTER'!$U$2:$U$495,(SUMPRODUCT((('CONTROL MASTER'!$S$2:$S$495=9)*('CONTROL MASTER'!$T$2:$T$495&lt;=7)*('CONTROL MASTER'!$V$2:$V$495&gt;=7)*('CONTROL MASTER'!$U$2:$U$495&lt;=3)*('CONTROL MASTER'!$W$2:$W$495&gt;=3))*ROW('CONTROL MASTER'!$S$2:$S$495))-(ROW('CONTROL MASTER'!#REF!)-1))))+1))-1)*50+1,50))&amp;"_"&amp;INDEX('CONTROL MASTER'!$P$2:$P$495,(SUMPRODUCT((('CONTROL MASTER'!$S$2:$S$495=9)*('CONTROL MASTER'!$T$2:$T$495&lt;=7)*('CONTROL MASTER'!$V$2:$V$495&gt;=7)*('CONTROL MASTER'!$U$2:$U$495&lt;=3)*('CONTROL MASTER'!$W$2:$W$495&gt;=3))*ROW('CONTROL MASTER'!$S$2:$S$495))-(ROW('CONTROL MASTER'!#REF!)-1))),IF(SUMPRODUCT((('CONTROL MASTER'!$S$2:$S$495=9)*('CONTROL MASTER'!$Z$2:$Z$495&lt;=7)*('CONTROL MASTER'!$AB$2:$AB$495&gt;=7)*('CONTROL MASTER'!$AA$2:$AA$495&lt;=3)*('CONTROL MASTER'!$AC$2:$AC$495&gt;=3))*ROW('CONTROL MASTER'!$S$2:$S$495))&gt;0,INDEX('CONTROL MASTER'!$X$2:$X$495,(SUMPRODUCT((('CONTROL MASTER'!$S$2:$S$495=9)*('CONTROL MASTER'!$Z$2:$Z$495&lt;=7)*('CONTROL MASTER'!$AB$2:$AB$495&gt;=7)*('CONTROL MASTER'!$AA$2:$AA$495&lt;=3)*('CONTROL MASTER'!$AC$2:$AC$495&gt;=3))*ROW('CONTROL MASTER'!$S$2:$S$495))-(ROW('CONTROL MASTER'!#REF!)-1)))&amp;TRIM(MID(SUBSTITUTE(SUBSTITUTE(INDEX('CONTROL MASTER'!$N$2:$N$495,(SUMPRODUCT((('CONTROL MASTER'!$S$2:$S$495=9)*('CONTROL MASTER'!$Z$2:$Z$495&lt;=7)*('CONTROL MASTER'!$AB$2:$AB$495&gt;=7)*('CONTROL MASTER'!$AA$2:$AA$495&lt;=3)*('CONTROL MASTER'!$AC$2:$AC$495&gt;=3))*ROW('CONTROL MASTER'!$S$2:$S$495))-(ROW('CONTROL MASTER'!#REF!)-1))),":",","),",",REPT(" ",50)),(((INDEX('CONTROL MASTER'!$Y$2:$Y$495,(SUMPRODUCT((('CONTROL MASTER'!$S$2:$S$495=9)*('CONTROL MASTER'!$Z$2:$Z$495&lt;=7)*('CONTROL MASTER'!$AB$2:$AB$495&gt;=7)*('CONTROL MASTER'!$AA$2:$AA$495&lt;=3)*('CONTROL MASTER'!$AC$2:$AC$495&gt;=3))*ROW('CONTROL MASTER'!$S$2:$S$495))-(ROW('CONTROL MASTER'!#REF!)-1)))+((7-INDEX('CONTROL MASTER'!$Z$2:$Z$495,(SUMPRODUCT((('CONTROL MASTER'!$S$2:$S$495=9)*('CONTROL MASTER'!$Z$2:$Z$495&lt;=7)*('CONTROL MASTER'!$AB$2:$AB$495&gt;=7)*('CONTROL MASTER'!$AA$2:$AA$495&lt;=3)*('CONTROL MASTER'!$AC$2:$AC$495&gt;=3))*ROW('CONTROL MASTER'!$S$2:$S$495))-(ROW('CONTROL MASTER'!#REF!)-1))))*(INDEX('CONTROL MASTER'!$AC$2:$AC$495,(SUMPRODUCT((('CONTROL MASTER'!$S$2:$S$495=9)*('CONTROL MASTER'!$Z$2:$Z$495&lt;=7)*('CONTROL MASTER'!$AB$2:$AB$495&gt;=7)*('CONTROL MASTER'!$AA$2:$AA$495&lt;=3)*('CONTROL MASTER'!$AC$2:$AC$495&gt;=3))*ROW('CONTROL MASTER'!$S$2:$S$495))-(ROW('CONTROL MASTER'!#REF!)-1)))-INDEX('CONTROL MASTER'!$AA$2:$AA$495,(SUMPRODUCT((('CONTROL MASTER'!$S$2:$S$495=9)*('CONTROL MASTER'!$Z$2:$Z$495&lt;=7)*('CONTROL MASTER'!$AB$2:$AB$495&gt;=7)*('CONTROL MASTER'!$AA$2:$AA$495&lt;=3)*('CONTROL MASTER'!$AC$2:$AC$495&gt;=3))*ROW('CONTROL MASTER'!$S$2:$S$495))-(ROW('CONTROL MASTER'!#REF!)-1)))+1)+(3-INDEX('CONTROL MASTER'!$AA$2:$AA$495,(SUMPRODUCT((('CONTROL MASTER'!$S$2:$S$495=9)*('CONTROL MASTER'!$Z$2:$Z$495&lt;=7)*('CONTROL MASTER'!$AB$2:$AB$495&gt;=7)*('CONTROL MASTER'!$AA$2:$AA$495&lt;=3)*('CONTROL MASTER'!$AC$2:$AC$495&gt;=3))*ROW('CONTROL MASTER'!$S$2:$S$495))-(ROW('CONTROL MASTER'!#REF!)-1))))+1)))-1)*50+1,50))&amp;"_"&amp;INDEX('CONTROL MASTER'!$P$2:$P$495,(SUMPRODUCT((('CONTROL MASTER'!$S$2:$S$495=9)*('CONTROL MASTER'!$Z$2:$Z$495&lt;=7)*('CONTROL MASTER'!$AB$2:$AB$495&gt;=7)*('CONTROL MASTER'!$AA$2:$AA$495&lt;=3)*('CONTROL MASTER'!$AC$2:$AC$495&gt;=3))*ROW('CONTROL MASTER'!$S$2:$S$495))-(ROW('CONTROL MASTER'!#REF!)-1))),"")),"")</f>
        <v/>
      </c>
      <c r="E121" s="10" t="str">
        <f>IFERROR(IF(SUMPRODUCT((('CONTROL MASTER'!$S$2:$S$495=9)*('CONTROL MASTER'!$T$2:$T$495&lt;=7)*('CONTROL MASTER'!$V$2:$V$495&gt;=7)*('CONTROL MASTER'!$U$2:$U$495&lt;=4)*('CONTROL MASTER'!$W$2:$W$495&gt;=4))*ROW('CONTROL MASTER'!$S$2:$S$495))&gt;0,INDEX('CONTROL MASTER'!$X$2:$X$495,(SUMPRODUCT((('CONTROL MASTER'!$S$2:$S$495=9)*('CONTROL MASTER'!$T$2:$T$495&lt;=7)*('CONTROL MASTER'!$V$2:$V$495&gt;=7)*('CONTROL MASTER'!$U$2:$U$495&lt;=4)*('CONTROL MASTER'!$W$2:$W$495&gt;=4))*ROW('CONTROL MASTER'!$S$2:$S$495))-(ROW('CONTROL MASTER'!#REF!)-1)))&amp;TRIM(MID(SUBSTITUTE(SUBSTITUTE(INDEX('CONTROL MASTER'!$N$2:$N$495,(SUMPRODUCT((('CONTROL MASTER'!$S$2:$S$495=9)*('CONTROL MASTER'!$T$2:$T$495&lt;=7)*('CONTROL MASTER'!$V$2:$V$495&gt;=7)*('CONTROL MASTER'!$U$2:$U$495&lt;=4)*('CONTROL MASTER'!$W$2:$W$495&gt;=4))*ROW('CONTROL MASTER'!$S$2:$S$495))-(ROW('CONTROL MASTER'!#REF!)-1))),":",","),",",REPT(" ",50)),((((7-INDEX('CONTROL MASTER'!$T$2:$T$495,(SUMPRODUCT((('CONTROL MASTER'!$S$2:$S$495=9)*('CONTROL MASTER'!$T$2:$T$495&lt;=7)*('CONTROL MASTER'!$V$2:$V$495&gt;=7)*('CONTROL MASTER'!$U$2:$U$495&lt;=4)*('CONTROL MASTER'!$W$2:$W$495&gt;=4))*ROW('CONTROL MASTER'!$S$2:$S$495))-(ROW('CONTROL MASTER'!#REF!)-1))))*(INDEX('CONTROL MASTER'!$W$2:$W$495,(SUMPRODUCT((('CONTROL MASTER'!$S$2:$S$495=9)*('CONTROL MASTER'!$T$2:$T$495&lt;=7)*('CONTROL MASTER'!$V$2:$V$495&gt;=7)*('CONTROL MASTER'!$U$2:$U$495&lt;=4)*('CONTROL MASTER'!$W$2:$W$495&gt;=4))*ROW('CONTROL MASTER'!$S$2:$S$495))-(ROW('CONTROL MASTER'!#REF!)-1)))-INDEX('CONTROL MASTER'!$U$2:$U$495,(SUMPRODUCT((('CONTROL MASTER'!$S$2:$S$495=9)*('CONTROL MASTER'!$T$2:$T$495&lt;=7)*('CONTROL MASTER'!$V$2:$V$495&gt;=7)*('CONTROL MASTER'!$U$2:$U$495&lt;=4)*('CONTROL MASTER'!$W$2:$W$495&gt;=4))*ROW('CONTROL MASTER'!$S$2:$S$495))-(ROW('CONTROL MASTER'!#REF!)-1)))+1)+(4-INDEX('CONTROL MASTER'!$U$2:$U$495,(SUMPRODUCT((('CONTROL MASTER'!$S$2:$S$495=9)*('CONTROL MASTER'!$T$2:$T$495&lt;=7)*('CONTROL MASTER'!$V$2:$V$495&gt;=7)*('CONTROL MASTER'!$U$2:$U$495&lt;=4)*('CONTROL MASTER'!$W$2:$W$495&gt;=4))*ROW('CONTROL MASTER'!$S$2:$S$495))-(ROW('CONTROL MASTER'!#REF!)-1))))+1))-1)*50+1,50))&amp;"_"&amp;INDEX('CONTROL MASTER'!$P$2:$P$495,(SUMPRODUCT((('CONTROL MASTER'!$S$2:$S$495=9)*('CONTROL MASTER'!$T$2:$T$495&lt;=7)*('CONTROL MASTER'!$V$2:$V$495&gt;=7)*('CONTROL MASTER'!$U$2:$U$495&lt;=4)*('CONTROL MASTER'!$W$2:$W$495&gt;=4))*ROW('CONTROL MASTER'!$S$2:$S$495))-(ROW('CONTROL MASTER'!#REF!)-1))),IF(SUMPRODUCT((('CONTROL MASTER'!$S$2:$S$495=9)*('CONTROL MASTER'!$Z$2:$Z$495&lt;=7)*('CONTROL MASTER'!$AB$2:$AB$495&gt;=7)*('CONTROL MASTER'!$AA$2:$AA$495&lt;=4)*('CONTROL MASTER'!$AC$2:$AC$495&gt;=4))*ROW('CONTROL MASTER'!$S$2:$S$495))&gt;0,INDEX('CONTROL MASTER'!$X$2:$X$495,(SUMPRODUCT((('CONTROL MASTER'!$S$2:$S$495=9)*('CONTROL MASTER'!$Z$2:$Z$495&lt;=7)*('CONTROL MASTER'!$AB$2:$AB$495&gt;=7)*('CONTROL MASTER'!$AA$2:$AA$495&lt;=4)*('CONTROL MASTER'!$AC$2:$AC$495&gt;=4))*ROW('CONTROL MASTER'!$S$2:$S$495))-(ROW('CONTROL MASTER'!#REF!)-1)))&amp;TRIM(MID(SUBSTITUTE(SUBSTITUTE(INDEX('CONTROL MASTER'!$N$2:$N$495,(SUMPRODUCT((('CONTROL MASTER'!$S$2:$S$495=9)*('CONTROL MASTER'!$Z$2:$Z$495&lt;=7)*('CONTROL MASTER'!$AB$2:$AB$495&gt;=7)*('CONTROL MASTER'!$AA$2:$AA$495&lt;=4)*('CONTROL MASTER'!$AC$2:$AC$495&gt;=4))*ROW('CONTROL MASTER'!$S$2:$S$495))-(ROW('CONTROL MASTER'!#REF!)-1))),":",","),",",REPT(" ",50)),(((INDEX('CONTROL MASTER'!$Y$2:$Y$495,(SUMPRODUCT((('CONTROL MASTER'!$S$2:$S$495=9)*('CONTROL MASTER'!$Z$2:$Z$495&lt;=7)*('CONTROL MASTER'!$AB$2:$AB$495&gt;=7)*('CONTROL MASTER'!$AA$2:$AA$495&lt;=4)*('CONTROL MASTER'!$AC$2:$AC$495&gt;=4))*ROW('CONTROL MASTER'!$S$2:$S$495))-(ROW('CONTROL MASTER'!#REF!)-1)))+((7-INDEX('CONTROL MASTER'!$Z$2:$Z$495,(SUMPRODUCT((('CONTROL MASTER'!$S$2:$S$495=9)*('CONTROL MASTER'!$Z$2:$Z$495&lt;=7)*('CONTROL MASTER'!$AB$2:$AB$495&gt;=7)*('CONTROL MASTER'!$AA$2:$AA$495&lt;=4)*('CONTROL MASTER'!$AC$2:$AC$495&gt;=4))*ROW('CONTROL MASTER'!$S$2:$S$495))-(ROW('CONTROL MASTER'!#REF!)-1))))*(INDEX('CONTROL MASTER'!$AC$2:$AC$495,(SUMPRODUCT((('CONTROL MASTER'!$S$2:$S$495=9)*('CONTROL MASTER'!$Z$2:$Z$495&lt;=7)*('CONTROL MASTER'!$AB$2:$AB$495&gt;=7)*('CONTROL MASTER'!$AA$2:$AA$495&lt;=4)*('CONTROL MASTER'!$AC$2:$AC$495&gt;=4))*ROW('CONTROL MASTER'!$S$2:$S$495))-(ROW('CONTROL MASTER'!#REF!)-1)))-INDEX('CONTROL MASTER'!$AA$2:$AA$495,(SUMPRODUCT((('CONTROL MASTER'!$S$2:$S$495=9)*('CONTROL MASTER'!$Z$2:$Z$495&lt;=7)*('CONTROL MASTER'!$AB$2:$AB$495&gt;=7)*('CONTROL MASTER'!$AA$2:$AA$495&lt;=4)*('CONTROL MASTER'!$AC$2:$AC$495&gt;=4))*ROW('CONTROL MASTER'!$S$2:$S$495))-(ROW('CONTROL MASTER'!#REF!)-1)))+1)+(4-INDEX('CONTROL MASTER'!$AA$2:$AA$495,(SUMPRODUCT((('CONTROL MASTER'!$S$2:$S$495=9)*('CONTROL MASTER'!$Z$2:$Z$495&lt;=7)*('CONTROL MASTER'!$AB$2:$AB$495&gt;=7)*('CONTROL MASTER'!$AA$2:$AA$495&lt;=4)*('CONTROL MASTER'!$AC$2:$AC$495&gt;=4))*ROW('CONTROL MASTER'!$S$2:$S$495))-(ROW('CONTROL MASTER'!#REF!)-1))))+1)))-1)*50+1,50))&amp;"_"&amp;INDEX('CONTROL MASTER'!$P$2:$P$495,(SUMPRODUCT((('CONTROL MASTER'!$S$2:$S$495=9)*('CONTROL MASTER'!$Z$2:$Z$495&lt;=7)*('CONTROL MASTER'!$AB$2:$AB$495&gt;=7)*('CONTROL MASTER'!$AA$2:$AA$495&lt;=4)*('CONTROL MASTER'!$AC$2:$AC$495&gt;=4))*ROW('CONTROL MASTER'!$S$2:$S$495))-(ROW('CONTROL MASTER'!#REF!)-1))),"")),"")</f>
        <v/>
      </c>
      <c r="F121" s="10" t="str">
        <f>IFERROR(IF(SUMPRODUCT((('CONTROL MASTER'!$S$2:$S$495=9)*('CONTROL MASTER'!$T$2:$T$495&lt;=7)*('CONTROL MASTER'!$V$2:$V$495&gt;=7)*('CONTROL MASTER'!$U$2:$U$495&lt;=5)*('CONTROL MASTER'!$W$2:$W$495&gt;=5))*ROW('CONTROL MASTER'!$S$2:$S$495))&gt;0,INDEX('CONTROL MASTER'!$X$2:$X$495,(SUMPRODUCT((('CONTROL MASTER'!$S$2:$S$495=9)*('CONTROL MASTER'!$T$2:$T$495&lt;=7)*('CONTROL MASTER'!$V$2:$V$495&gt;=7)*('CONTROL MASTER'!$U$2:$U$495&lt;=5)*('CONTROL MASTER'!$W$2:$W$495&gt;=5))*ROW('CONTROL MASTER'!$S$2:$S$495))-(ROW('CONTROL MASTER'!#REF!)-1)))&amp;TRIM(MID(SUBSTITUTE(SUBSTITUTE(INDEX('CONTROL MASTER'!$N$2:$N$495,(SUMPRODUCT((('CONTROL MASTER'!$S$2:$S$495=9)*('CONTROL MASTER'!$T$2:$T$495&lt;=7)*('CONTROL MASTER'!$V$2:$V$495&gt;=7)*('CONTROL MASTER'!$U$2:$U$495&lt;=5)*('CONTROL MASTER'!$W$2:$W$495&gt;=5))*ROW('CONTROL MASTER'!$S$2:$S$495))-(ROW('CONTROL MASTER'!#REF!)-1))),":",","),",",REPT(" ",50)),((((7-INDEX('CONTROL MASTER'!$T$2:$T$495,(SUMPRODUCT((('CONTROL MASTER'!$S$2:$S$495=9)*('CONTROL MASTER'!$T$2:$T$495&lt;=7)*('CONTROL MASTER'!$V$2:$V$495&gt;=7)*('CONTROL MASTER'!$U$2:$U$495&lt;=5)*('CONTROL MASTER'!$W$2:$W$495&gt;=5))*ROW('CONTROL MASTER'!$S$2:$S$495))-(ROW('CONTROL MASTER'!#REF!)-1))))*(INDEX('CONTROL MASTER'!$W$2:$W$495,(SUMPRODUCT((('CONTROL MASTER'!$S$2:$S$495=9)*('CONTROL MASTER'!$T$2:$T$495&lt;=7)*('CONTROL MASTER'!$V$2:$V$495&gt;=7)*('CONTROL MASTER'!$U$2:$U$495&lt;=5)*('CONTROL MASTER'!$W$2:$W$495&gt;=5))*ROW('CONTROL MASTER'!$S$2:$S$495))-(ROW('CONTROL MASTER'!#REF!)-1)))-INDEX('CONTROL MASTER'!$U$2:$U$495,(SUMPRODUCT((('CONTROL MASTER'!$S$2:$S$495=9)*('CONTROL MASTER'!$T$2:$T$495&lt;=7)*('CONTROL MASTER'!$V$2:$V$495&gt;=7)*('CONTROL MASTER'!$U$2:$U$495&lt;=5)*('CONTROL MASTER'!$W$2:$W$495&gt;=5))*ROW('CONTROL MASTER'!$S$2:$S$495))-(ROW('CONTROL MASTER'!#REF!)-1)))+1)+(5-INDEX('CONTROL MASTER'!$U$2:$U$495,(SUMPRODUCT((('CONTROL MASTER'!$S$2:$S$495=9)*('CONTROL MASTER'!$T$2:$T$495&lt;=7)*('CONTROL MASTER'!$V$2:$V$495&gt;=7)*('CONTROL MASTER'!$U$2:$U$495&lt;=5)*('CONTROL MASTER'!$W$2:$W$495&gt;=5))*ROW('CONTROL MASTER'!$S$2:$S$495))-(ROW('CONTROL MASTER'!#REF!)-1))))+1))-1)*50+1,50))&amp;"_"&amp;INDEX('CONTROL MASTER'!$P$2:$P$495,(SUMPRODUCT((('CONTROL MASTER'!$S$2:$S$495=9)*('CONTROL MASTER'!$T$2:$T$495&lt;=7)*('CONTROL MASTER'!$V$2:$V$495&gt;=7)*('CONTROL MASTER'!$U$2:$U$495&lt;=5)*('CONTROL MASTER'!$W$2:$W$495&gt;=5))*ROW('CONTROL MASTER'!$S$2:$S$495))-(ROW('CONTROL MASTER'!#REF!)-1))),IF(SUMPRODUCT((('CONTROL MASTER'!$S$2:$S$495=9)*('CONTROL MASTER'!$Z$2:$Z$495&lt;=7)*('CONTROL MASTER'!$AB$2:$AB$495&gt;=7)*('CONTROL MASTER'!$AA$2:$AA$495&lt;=5)*('CONTROL MASTER'!$AC$2:$AC$495&gt;=5))*ROW('CONTROL MASTER'!$S$2:$S$495))&gt;0,INDEX('CONTROL MASTER'!$X$2:$X$495,(SUMPRODUCT((('CONTROL MASTER'!$S$2:$S$495=9)*('CONTROL MASTER'!$Z$2:$Z$495&lt;=7)*('CONTROL MASTER'!$AB$2:$AB$495&gt;=7)*('CONTROL MASTER'!$AA$2:$AA$495&lt;=5)*('CONTROL MASTER'!$AC$2:$AC$495&gt;=5))*ROW('CONTROL MASTER'!$S$2:$S$495))-(ROW('CONTROL MASTER'!#REF!)-1)))&amp;TRIM(MID(SUBSTITUTE(SUBSTITUTE(INDEX('CONTROL MASTER'!$N$2:$N$495,(SUMPRODUCT((('CONTROL MASTER'!$S$2:$S$495=9)*('CONTROL MASTER'!$Z$2:$Z$495&lt;=7)*('CONTROL MASTER'!$AB$2:$AB$495&gt;=7)*('CONTROL MASTER'!$AA$2:$AA$495&lt;=5)*('CONTROL MASTER'!$AC$2:$AC$495&gt;=5))*ROW('CONTROL MASTER'!$S$2:$S$495))-(ROW('CONTROL MASTER'!#REF!)-1))),":",","),",",REPT(" ",50)),(((INDEX('CONTROL MASTER'!$Y$2:$Y$495,(SUMPRODUCT((('CONTROL MASTER'!$S$2:$S$495=9)*('CONTROL MASTER'!$Z$2:$Z$495&lt;=7)*('CONTROL MASTER'!$AB$2:$AB$495&gt;=7)*('CONTROL MASTER'!$AA$2:$AA$495&lt;=5)*('CONTROL MASTER'!$AC$2:$AC$495&gt;=5))*ROW('CONTROL MASTER'!$S$2:$S$495))-(ROW('CONTROL MASTER'!#REF!)-1)))+((7-INDEX('CONTROL MASTER'!$Z$2:$Z$495,(SUMPRODUCT((('CONTROL MASTER'!$S$2:$S$495=9)*('CONTROL MASTER'!$Z$2:$Z$495&lt;=7)*('CONTROL MASTER'!$AB$2:$AB$495&gt;=7)*('CONTROL MASTER'!$AA$2:$AA$495&lt;=5)*('CONTROL MASTER'!$AC$2:$AC$495&gt;=5))*ROW('CONTROL MASTER'!$S$2:$S$495))-(ROW('CONTROL MASTER'!#REF!)-1))))*(INDEX('CONTROL MASTER'!$AC$2:$AC$495,(SUMPRODUCT((('CONTROL MASTER'!$S$2:$S$495=9)*('CONTROL MASTER'!$Z$2:$Z$495&lt;=7)*('CONTROL MASTER'!$AB$2:$AB$495&gt;=7)*('CONTROL MASTER'!$AA$2:$AA$495&lt;=5)*('CONTROL MASTER'!$AC$2:$AC$495&gt;=5))*ROW('CONTROL MASTER'!$S$2:$S$495))-(ROW('CONTROL MASTER'!#REF!)-1)))-INDEX('CONTROL MASTER'!$AA$2:$AA$495,(SUMPRODUCT((('CONTROL MASTER'!$S$2:$S$495=9)*('CONTROL MASTER'!$Z$2:$Z$495&lt;=7)*('CONTROL MASTER'!$AB$2:$AB$495&gt;=7)*('CONTROL MASTER'!$AA$2:$AA$495&lt;=5)*('CONTROL MASTER'!$AC$2:$AC$495&gt;=5))*ROW('CONTROL MASTER'!$S$2:$S$495))-(ROW('CONTROL MASTER'!#REF!)-1)))+1)+(5-INDEX('CONTROL MASTER'!$AA$2:$AA$495,(SUMPRODUCT((('CONTROL MASTER'!$S$2:$S$495=9)*('CONTROL MASTER'!$Z$2:$Z$495&lt;=7)*('CONTROL MASTER'!$AB$2:$AB$495&gt;=7)*('CONTROL MASTER'!$AA$2:$AA$495&lt;=5)*('CONTROL MASTER'!$AC$2:$AC$495&gt;=5))*ROW('CONTROL MASTER'!$S$2:$S$495))-(ROW('CONTROL MASTER'!#REF!)-1))))+1)))-1)*50+1,50))&amp;"_"&amp;INDEX('CONTROL MASTER'!$P$2:$P$495,(SUMPRODUCT((('CONTROL MASTER'!$S$2:$S$495=9)*('CONTROL MASTER'!$Z$2:$Z$495&lt;=7)*('CONTROL MASTER'!$AB$2:$AB$495&gt;=7)*('CONTROL MASTER'!$AA$2:$AA$495&lt;=5)*('CONTROL MASTER'!$AC$2:$AC$495&gt;=5))*ROW('CONTROL MASTER'!$S$2:$S$495))-(ROW('CONTROL MASTER'!#REF!)-1))),"")),"")</f>
        <v/>
      </c>
      <c r="G121" s="10" t="str">
        <f>IFERROR(IF(SUMPRODUCT((('CONTROL MASTER'!$S$2:$S$495=9)*('CONTROL MASTER'!$T$2:$T$495&lt;=7)*('CONTROL MASTER'!$V$2:$V$495&gt;=7)*('CONTROL MASTER'!$U$2:$U$495&lt;=6)*('CONTROL MASTER'!$W$2:$W$495&gt;=6))*ROW('CONTROL MASTER'!$S$2:$S$495))&gt;0,INDEX('CONTROL MASTER'!$X$2:$X$495,(SUMPRODUCT((('CONTROL MASTER'!$S$2:$S$495=9)*('CONTROL MASTER'!$T$2:$T$495&lt;=7)*('CONTROL MASTER'!$V$2:$V$495&gt;=7)*('CONTROL MASTER'!$U$2:$U$495&lt;=6)*('CONTROL MASTER'!$W$2:$W$495&gt;=6))*ROW('CONTROL MASTER'!$S$2:$S$495))-(ROW('CONTROL MASTER'!#REF!)-1)))&amp;TRIM(MID(SUBSTITUTE(SUBSTITUTE(INDEX('CONTROL MASTER'!$N$2:$N$495,(SUMPRODUCT((('CONTROL MASTER'!$S$2:$S$495=9)*('CONTROL MASTER'!$T$2:$T$495&lt;=7)*('CONTROL MASTER'!$V$2:$V$495&gt;=7)*('CONTROL MASTER'!$U$2:$U$495&lt;=6)*('CONTROL MASTER'!$W$2:$W$495&gt;=6))*ROW('CONTROL MASTER'!$S$2:$S$495))-(ROW('CONTROL MASTER'!#REF!)-1))),":",","),",",REPT(" ",50)),((((7-INDEX('CONTROL MASTER'!$T$2:$T$495,(SUMPRODUCT((('CONTROL MASTER'!$S$2:$S$495=9)*('CONTROL MASTER'!$T$2:$T$495&lt;=7)*('CONTROL MASTER'!$V$2:$V$495&gt;=7)*('CONTROL MASTER'!$U$2:$U$495&lt;=6)*('CONTROL MASTER'!$W$2:$W$495&gt;=6))*ROW('CONTROL MASTER'!$S$2:$S$495))-(ROW('CONTROL MASTER'!#REF!)-1))))*(INDEX('CONTROL MASTER'!$W$2:$W$495,(SUMPRODUCT((('CONTROL MASTER'!$S$2:$S$495=9)*('CONTROL MASTER'!$T$2:$T$495&lt;=7)*('CONTROL MASTER'!$V$2:$V$495&gt;=7)*('CONTROL MASTER'!$U$2:$U$495&lt;=6)*('CONTROL MASTER'!$W$2:$W$495&gt;=6))*ROW('CONTROL MASTER'!$S$2:$S$495))-(ROW('CONTROL MASTER'!#REF!)-1)))-INDEX('CONTROL MASTER'!$U$2:$U$495,(SUMPRODUCT((('CONTROL MASTER'!$S$2:$S$495=9)*('CONTROL MASTER'!$T$2:$T$495&lt;=7)*('CONTROL MASTER'!$V$2:$V$495&gt;=7)*('CONTROL MASTER'!$U$2:$U$495&lt;=6)*('CONTROL MASTER'!$W$2:$W$495&gt;=6))*ROW('CONTROL MASTER'!$S$2:$S$495))-(ROW('CONTROL MASTER'!#REF!)-1)))+1)+(6-INDEX('CONTROL MASTER'!$U$2:$U$495,(SUMPRODUCT((('CONTROL MASTER'!$S$2:$S$495=9)*('CONTROL MASTER'!$T$2:$T$495&lt;=7)*('CONTROL MASTER'!$V$2:$V$495&gt;=7)*('CONTROL MASTER'!$U$2:$U$495&lt;=6)*('CONTROL MASTER'!$W$2:$W$495&gt;=6))*ROW('CONTROL MASTER'!$S$2:$S$495))-(ROW('CONTROL MASTER'!#REF!)-1))))+1))-1)*50+1,50))&amp;"_"&amp;INDEX('CONTROL MASTER'!$P$2:$P$495,(SUMPRODUCT((('CONTROL MASTER'!$S$2:$S$495=9)*('CONTROL MASTER'!$T$2:$T$495&lt;=7)*('CONTROL MASTER'!$V$2:$V$495&gt;=7)*('CONTROL MASTER'!$U$2:$U$495&lt;=6)*('CONTROL MASTER'!$W$2:$W$495&gt;=6))*ROW('CONTROL MASTER'!$S$2:$S$495))-(ROW('CONTROL MASTER'!#REF!)-1))),IF(SUMPRODUCT((('CONTROL MASTER'!$S$2:$S$495=9)*('CONTROL MASTER'!$Z$2:$Z$495&lt;=7)*('CONTROL MASTER'!$AB$2:$AB$495&gt;=7)*('CONTROL MASTER'!$AA$2:$AA$495&lt;=6)*('CONTROL MASTER'!$AC$2:$AC$495&gt;=6))*ROW('CONTROL MASTER'!$S$2:$S$495))&gt;0,INDEX('CONTROL MASTER'!$X$2:$X$495,(SUMPRODUCT((('CONTROL MASTER'!$S$2:$S$495=9)*('CONTROL MASTER'!$Z$2:$Z$495&lt;=7)*('CONTROL MASTER'!$AB$2:$AB$495&gt;=7)*('CONTROL MASTER'!$AA$2:$AA$495&lt;=6)*('CONTROL MASTER'!$AC$2:$AC$495&gt;=6))*ROW('CONTROL MASTER'!$S$2:$S$495))-(ROW('CONTROL MASTER'!#REF!)-1)))&amp;TRIM(MID(SUBSTITUTE(SUBSTITUTE(INDEX('CONTROL MASTER'!$N$2:$N$495,(SUMPRODUCT((('CONTROL MASTER'!$S$2:$S$495=9)*('CONTROL MASTER'!$Z$2:$Z$495&lt;=7)*('CONTROL MASTER'!$AB$2:$AB$495&gt;=7)*('CONTROL MASTER'!$AA$2:$AA$495&lt;=6)*('CONTROL MASTER'!$AC$2:$AC$495&gt;=6))*ROW('CONTROL MASTER'!$S$2:$S$495))-(ROW('CONTROL MASTER'!#REF!)-1))),":",","),",",REPT(" ",50)),(((INDEX('CONTROL MASTER'!$Y$2:$Y$495,(SUMPRODUCT((('CONTROL MASTER'!$S$2:$S$495=9)*('CONTROL MASTER'!$Z$2:$Z$495&lt;=7)*('CONTROL MASTER'!$AB$2:$AB$495&gt;=7)*('CONTROL MASTER'!$AA$2:$AA$495&lt;=6)*('CONTROL MASTER'!$AC$2:$AC$495&gt;=6))*ROW('CONTROL MASTER'!$S$2:$S$495))-(ROW('CONTROL MASTER'!#REF!)-1)))+((7-INDEX('CONTROL MASTER'!$Z$2:$Z$495,(SUMPRODUCT((('CONTROL MASTER'!$S$2:$S$495=9)*('CONTROL MASTER'!$Z$2:$Z$495&lt;=7)*('CONTROL MASTER'!$AB$2:$AB$495&gt;=7)*('CONTROL MASTER'!$AA$2:$AA$495&lt;=6)*('CONTROL MASTER'!$AC$2:$AC$495&gt;=6))*ROW('CONTROL MASTER'!$S$2:$S$495))-(ROW('CONTROL MASTER'!#REF!)-1))))*(INDEX('CONTROL MASTER'!$AC$2:$AC$495,(SUMPRODUCT((('CONTROL MASTER'!$S$2:$S$495=9)*('CONTROL MASTER'!$Z$2:$Z$495&lt;=7)*('CONTROL MASTER'!$AB$2:$AB$495&gt;=7)*('CONTROL MASTER'!$AA$2:$AA$495&lt;=6)*('CONTROL MASTER'!$AC$2:$AC$495&gt;=6))*ROW('CONTROL MASTER'!$S$2:$S$495))-(ROW('CONTROL MASTER'!#REF!)-1)))-INDEX('CONTROL MASTER'!$AA$2:$AA$495,(SUMPRODUCT((('CONTROL MASTER'!$S$2:$S$495=9)*('CONTROL MASTER'!$Z$2:$Z$495&lt;=7)*('CONTROL MASTER'!$AB$2:$AB$495&gt;=7)*('CONTROL MASTER'!$AA$2:$AA$495&lt;=6)*('CONTROL MASTER'!$AC$2:$AC$495&gt;=6))*ROW('CONTROL MASTER'!$S$2:$S$495))-(ROW('CONTROL MASTER'!#REF!)-1)))+1)+(6-INDEX('CONTROL MASTER'!$AA$2:$AA$495,(SUMPRODUCT((('CONTROL MASTER'!$S$2:$S$495=9)*('CONTROL MASTER'!$Z$2:$Z$495&lt;=7)*('CONTROL MASTER'!$AB$2:$AB$495&gt;=7)*('CONTROL MASTER'!$AA$2:$AA$495&lt;=6)*('CONTROL MASTER'!$AC$2:$AC$495&gt;=6))*ROW('CONTROL MASTER'!$S$2:$S$495))-(ROW('CONTROL MASTER'!#REF!)-1))))+1)))-1)*50+1,50))&amp;"_"&amp;INDEX('CONTROL MASTER'!$P$2:$P$495,(SUMPRODUCT((('CONTROL MASTER'!$S$2:$S$495=9)*('CONTROL MASTER'!$Z$2:$Z$495&lt;=7)*('CONTROL MASTER'!$AB$2:$AB$495&gt;=7)*('CONTROL MASTER'!$AA$2:$AA$495&lt;=6)*('CONTROL MASTER'!$AC$2:$AC$495&gt;=6))*ROW('CONTROL MASTER'!$S$2:$S$495))-(ROW('CONTROL MASTER'!#REF!)-1))),"")),"")</f>
        <v/>
      </c>
      <c r="H121" s="10" t="str">
        <f>IFERROR(IF(SUMPRODUCT((('CONTROL MASTER'!$S$2:$S$495=9)*('CONTROL MASTER'!$T$2:$T$495&lt;=7)*('CONTROL MASTER'!$V$2:$V$495&gt;=7)*('CONTROL MASTER'!$U$2:$U$495&lt;=7)*('CONTROL MASTER'!$W$2:$W$495&gt;=7))*ROW('CONTROL MASTER'!$S$2:$S$495))&gt;0,INDEX('CONTROL MASTER'!$X$2:$X$495,(SUMPRODUCT((('CONTROL MASTER'!$S$2:$S$495=9)*('CONTROL MASTER'!$T$2:$T$495&lt;=7)*('CONTROL MASTER'!$V$2:$V$495&gt;=7)*('CONTROL MASTER'!$U$2:$U$495&lt;=7)*('CONTROL MASTER'!$W$2:$W$495&gt;=7))*ROW('CONTROL MASTER'!$S$2:$S$495))-(ROW('CONTROL MASTER'!#REF!)-1)))&amp;TRIM(MID(SUBSTITUTE(SUBSTITUTE(INDEX('CONTROL MASTER'!$N$2:$N$495,(SUMPRODUCT((('CONTROL MASTER'!$S$2:$S$495=9)*('CONTROL MASTER'!$T$2:$T$495&lt;=7)*('CONTROL MASTER'!$V$2:$V$495&gt;=7)*('CONTROL MASTER'!$U$2:$U$495&lt;=7)*('CONTROL MASTER'!$W$2:$W$495&gt;=7))*ROW('CONTROL MASTER'!$S$2:$S$495))-(ROW('CONTROL MASTER'!#REF!)-1))),":",","),",",REPT(" ",50)),((((7-INDEX('CONTROL MASTER'!$T$2:$T$495,(SUMPRODUCT((('CONTROL MASTER'!$S$2:$S$495=9)*('CONTROL MASTER'!$T$2:$T$495&lt;=7)*('CONTROL MASTER'!$V$2:$V$495&gt;=7)*('CONTROL MASTER'!$U$2:$U$495&lt;=7)*('CONTROL MASTER'!$W$2:$W$495&gt;=7))*ROW('CONTROL MASTER'!$S$2:$S$495))-(ROW('CONTROL MASTER'!#REF!)-1))))*(INDEX('CONTROL MASTER'!$W$2:$W$495,(SUMPRODUCT((('CONTROL MASTER'!$S$2:$S$495=9)*('CONTROL MASTER'!$T$2:$T$495&lt;=7)*('CONTROL MASTER'!$V$2:$V$495&gt;=7)*('CONTROL MASTER'!$U$2:$U$495&lt;=7)*('CONTROL MASTER'!$W$2:$W$495&gt;=7))*ROW('CONTROL MASTER'!$S$2:$S$495))-(ROW('CONTROL MASTER'!#REF!)-1)))-INDEX('CONTROL MASTER'!$U$2:$U$495,(SUMPRODUCT((('CONTROL MASTER'!$S$2:$S$495=9)*('CONTROL MASTER'!$T$2:$T$495&lt;=7)*('CONTROL MASTER'!$V$2:$V$495&gt;=7)*('CONTROL MASTER'!$U$2:$U$495&lt;=7)*('CONTROL MASTER'!$W$2:$W$495&gt;=7))*ROW('CONTROL MASTER'!$S$2:$S$495))-(ROW('CONTROL MASTER'!#REF!)-1)))+1)+(7-INDEX('CONTROL MASTER'!$U$2:$U$495,(SUMPRODUCT((('CONTROL MASTER'!$S$2:$S$495=9)*('CONTROL MASTER'!$T$2:$T$495&lt;=7)*('CONTROL MASTER'!$V$2:$V$495&gt;=7)*('CONTROL MASTER'!$U$2:$U$495&lt;=7)*('CONTROL MASTER'!$W$2:$W$495&gt;=7))*ROW('CONTROL MASTER'!$S$2:$S$495))-(ROW('CONTROL MASTER'!#REF!)-1))))+1))-1)*50+1,50))&amp;"_"&amp;INDEX('CONTROL MASTER'!$P$2:$P$495,(SUMPRODUCT((('CONTROL MASTER'!$S$2:$S$495=9)*('CONTROL MASTER'!$T$2:$T$495&lt;=7)*('CONTROL MASTER'!$V$2:$V$495&gt;=7)*('CONTROL MASTER'!$U$2:$U$495&lt;=7)*('CONTROL MASTER'!$W$2:$W$495&gt;=7))*ROW('CONTROL MASTER'!$S$2:$S$495))-(ROW('CONTROL MASTER'!#REF!)-1))),IF(SUMPRODUCT((('CONTROL MASTER'!$S$2:$S$495=9)*('CONTROL MASTER'!$Z$2:$Z$495&lt;=7)*('CONTROL MASTER'!$AB$2:$AB$495&gt;=7)*('CONTROL MASTER'!$AA$2:$AA$495&lt;=7)*('CONTROL MASTER'!$AC$2:$AC$495&gt;=7))*ROW('CONTROL MASTER'!$S$2:$S$495))&gt;0,INDEX('CONTROL MASTER'!$X$2:$X$495,(SUMPRODUCT((('CONTROL MASTER'!$S$2:$S$495=9)*('CONTROL MASTER'!$Z$2:$Z$495&lt;=7)*('CONTROL MASTER'!$AB$2:$AB$495&gt;=7)*('CONTROL MASTER'!$AA$2:$AA$495&lt;=7)*('CONTROL MASTER'!$AC$2:$AC$495&gt;=7))*ROW('CONTROL MASTER'!$S$2:$S$495))-(ROW('CONTROL MASTER'!#REF!)-1)))&amp;TRIM(MID(SUBSTITUTE(SUBSTITUTE(INDEX('CONTROL MASTER'!$N$2:$N$495,(SUMPRODUCT((('CONTROL MASTER'!$S$2:$S$495=9)*('CONTROL MASTER'!$Z$2:$Z$495&lt;=7)*('CONTROL MASTER'!$AB$2:$AB$495&gt;=7)*('CONTROL MASTER'!$AA$2:$AA$495&lt;=7)*('CONTROL MASTER'!$AC$2:$AC$495&gt;=7))*ROW('CONTROL MASTER'!$S$2:$S$495))-(ROW('CONTROL MASTER'!#REF!)-1))),":",","),",",REPT(" ",50)),(((INDEX('CONTROL MASTER'!$Y$2:$Y$495,(SUMPRODUCT((('CONTROL MASTER'!$S$2:$S$495=9)*('CONTROL MASTER'!$Z$2:$Z$495&lt;=7)*('CONTROL MASTER'!$AB$2:$AB$495&gt;=7)*('CONTROL MASTER'!$AA$2:$AA$495&lt;=7)*('CONTROL MASTER'!$AC$2:$AC$495&gt;=7))*ROW('CONTROL MASTER'!$S$2:$S$495))-(ROW('CONTROL MASTER'!#REF!)-1)))+((7-INDEX('CONTROL MASTER'!$Z$2:$Z$495,(SUMPRODUCT((('CONTROL MASTER'!$S$2:$S$495=9)*('CONTROL MASTER'!$Z$2:$Z$495&lt;=7)*('CONTROL MASTER'!$AB$2:$AB$495&gt;=7)*('CONTROL MASTER'!$AA$2:$AA$495&lt;=7)*('CONTROL MASTER'!$AC$2:$AC$495&gt;=7))*ROW('CONTROL MASTER'!$S$2:$S$495))-(ROW('CONTROL MASTER'!#REF!)-1))))*(INDEX('CONTROL MASTER'!$AC$2:$AC$495,(SUMPRODUCT((('CONTROL MASTER'!$S$2:$S$495=9)*('CONTROL MASTER'!$Z$2:$Z$495&lt;=7)*('CONTROL MASTER'!$AB$2:$AB$495&gt;=7)*('CONTROL MASTER'!$AA$2:$AA$495&lt;=7)*('CONTROL MASTER'!$AC$2:$AC$495&gt;=7))*ROW('CONTROL MASTER'!$S$2:$S$495))-(ROW('CONTROL MASTER'!#REF!)-1)))-INDEX('CONTROL MASTER'!$AA$2:$AA$495,(SUMPRODUCT((('CONTROL MASTER'!$S$2:$S$495=9)*('CONTROL MASTER'!$Z$2:$Z$495&lt;=7)*('CONTROL MASTER'!$AB$2:$AB$495&gt;=7)*('CONTROL MASTER'!$AA$2:$AA$495&lt;=7)*('CONTROL MASTER'!$AC$2:$AC$495&gt;=7))*ROW('CONTROL MASTER'!$S$2:$S$495))-(ROW('CONTROL MASTER'!#REF!)-1)))+1)+(7-INDEX('CONTROL MASTER'!$AA$2:$AA$495,(SUMPRODUCT((('CONTROL MASTER'!$S$2:$S$495=9)*('CONTROL MASTER'!$Z$2:$Z$495&lt;=7)*('CONTROL MASTER'!$AB$2:$AB$495&gt;=7)*('CONTROL MASTER'!$AA$2:$AA$495&lt;=7)*('CONTROL MASTER'!$AC$2:$AC$495&gt;=7))*ROW('CONTROL MASTER'!$S$2:$S$495))-(ROW('CONTROL MASTER'!#REF!)-1))))+1)))-1)*50+1,50))&amp;"_"&amp;INDEX('CONTROL MASTER'!$P$2:$P$495,(SUMPRODUCT((('CONTROL MASTER'!$S$2:$S$495=9)*('CONTROL MASTER'!$Z$2:$Z$495&lt;=7)*('CONTROL MASTER'!$AB$2:$AB$495&gt;=7)*('CONTROL MASTER'!$AA$2:$AA$495&lt;=7)*('CONTROL MASTER'!$AC$2:$AC$495&gt;=7))*ROW('CONTROL MASTER'!$S$2:$S$495))-(ROW('CONTROL MASTER'!#REF!)-1))),"")),"")</f>
        <v/>
      </c>
      <c r="I121" s="10" t="str">
        <f>IFERROR(IF(SUMPRODUCT((('CONTROL MASTER'!$S$2:$S$495=9)*('CONTROL MASTER'!$T$2:$T$495&lt;=7)*('CONTROL MASTER'!$V$2:$V$495&gt;=7)*('CONTROL MASTER'!$U$2:$U$495&lt;=8)*('CONTROL MASTER'!$W$2:$W$495&gt;=8))*ROW('CONTROL MASTER'!$S$2:$S$495))&gt;0,INDEX('CONTROL MASTER'!$X$2:$X$495,(SUMPRODUCT((('CONTROL MASTER'!$S$2:$S$495=9)*('CONTROL MASTER'!$T$2:$T$495&lt;=7)*('CONTROL MASTER'!$V$2:$V$495&gt;=7)*('CONTROL MASTER'!$U$2:$U$495&lt;=8)*('CONTROL MASTER'!$W$2:$W$495&gt;=8))*ROW('CONTROL MASTER'!$S$2:$S$495))-(ROW('CONTROL MASTER'!#REF!)-1)))&amp;TRIM(MID(SUBSTITUTE(SUBSTITUTE(INDEX('CONTROL MASTER'!$N$2:$N$495,(SUMPRODUCT((('CONTROL MASTER'!$S$2:$S$495=9)*('CONTROL MASTER'!$T$2:$T$495&lt;=7)*('CONTROL MASTER'!$V$2:$V$495&gt;=7)*('CONTROL MASTER'!$U$2:$U$495&lt;=8)*('CONTROL MASTER'!$W$2:$W$495&gt;=8))*ROW('CONTROL MASTER'!$S$2:$S$495))-(ROW('CONTROL MASTER'!#REF!)-1))),":",","),",",REPT(" ",50)),((((7-INDEX('CONTROL MASTER'!$T$2:$T$495,(SUMPRODUCT((('CONTROL MASTER'!$S$2:$S$495=9)*('CONTROL MASTER'!$T$2:$T$495&lt;=7)*('CONTROL MASTER'!$V$2:$V$495&gt;=7)*('CONTROL MASTER'!$U$2:$U$495&lt;=8)*('CONTROL MASTER'!$W$2:$W$495&gt;=8))*ROW('CONTROL MASTER'!$S$2:$S$495))-(ROW('CONTROL MASTER'!#REF!)-1))))*(INDEX('CONTROL MASTER'!$W$2:$W$495,(SUMPRODUCT((('CONTROL MASTER'!$S$2:$S$495=9)*('CONTROL MASTER'!$T$2:$T$495&lt;=7)*('CONTROL MASTER'!$V$2:$V$495&gt;=7)*('CONTROL MASTER'!$U$2:$U$495&lt;=8)*('CONTROL MASTER'!$W$2:$W$495&gt;=8))*ROW('CONTROL MASTER'!$S$2:$S$495))-(ROW('CONTROL MASTER'!#REF!)-1)))-INDEX('CONTROL MASTER'!$U$2:$U$495,(SUMPRODUCT((('CONTROL MASTER'!$S$2:$S$495=9)*('CONTROL MASTER'!$T$2:$T$495&lt;=7)*('CONTROL MASTER'!$V$2:$V$495&gt;=7)*('CONTROL MASTER'!$U$2:$U$495&lt;=8)*('CONTROL MASTER'!$W$2:$W$495&gt;=8))*ROW('CONTROL MASTER'!$S$2:$S$495))-(ROW('CONTROL MASTER'!#REF!)-1)))+1)+(8-INDEX('CONTROL MASTER'!$U$2:$U$495,(SUMPRODUCT((('CONTROL MASTER'!$S$2:$S$495=9)*('CONTROL MASTER'!$T$2:$T$495&lt;=7)*('CONTROL MASTER'!$V$2:$V$495&gt;=7)*('CONTROL MASTER'!$U$2:$U$495&lt;=8)*('CONTROL MASTER'!$W$2:$W$495&gt;=8))*ROW('CONTROL MASTER'!$S$2:$S$495))-(ROW('CONTROL MASTER'!#REF!)-1))))+1))-1)*50+1,50))&amp;"_"&amp;INDEX('CONTROL MASTER'!$P$2:$P$495,(SUMPRODUCT((('CONTROL MASTER'!$S$2:$S$495=9)*('CONTROL MASTER'!$T$2:$T$495&lt;=7)*('CONTROL MASTER'!$V$2:$V$495&gt;=7)*('CONTROL MASTER'!$U$2:$U$495&lt;=8)*('CONTROL MASTER'!$W$2:$W$495&gt;=8))*ROW('CONTROL MASTER'!$S$2:$S$495))-(ROW('CONTROL MASTER'!#REF!)-1))),IF(SUMPRODUCT((('CONTROL MASTER'!$S$2:$S$495=9)*('CONTROL MASTER'!$Z$2:$Z$495&lt;=7)*('CONTROL MASTER'!$AB$2:$AB$495&gt;=7)*('CONTROL MASTER'!$AA$2:$AA$495&lt;=8)*('CONTROL MASTER'!$AC$2:$AC$495&gt;=8))*ROW('CONTROL MASTER'!$S$2:$S$495))&gt;0,INDEX('CONTROL MASTER'!$X$2:$X$495,(SUMPRODUCT((('CONTROL MASTER'!$S$2:$S$495=9)*('CONTROL MASTER'!$Z$2:$Z$495&lt;=7)*('CONTROL MASTER'!$AB$2:$AB$495&gt;=7)*('CONTROL MASTER'!$AA$2:$AA$495&lt;=8)*('CONTROL MASTER'!$AC$2:$AC$495&gt;=8))*ROW('CONTROL MASTER'!$S$2:$S$495))-(ROW('CONTROL MASTER'!#REF!)-1)))&amp;TRIM(MID(SUBSTITUTE(SUBSTITUTE(INDEX('CONTROL MASTER'!$N$2:$N$495,(SUMPRODUCT((('CONTROL MASTER'!$S$2:$S$495=9)*('CONTROL MASTER'!$Z$2:$Z$495&lt;=7)*('CONTROL MASTER'!$AB$2:$AB$495&gt;=7)*('CONTROL MASTER'!$AA$2:$AA$495&lt;=8)*('CONTROL MASTER'!$AC$2:$AC$495&gt;=8))*ROW('CONTROL MASTER'!$S$2:$S$495))-(ROW('CONTROL MASTER'!#REF!)-1))),":",","),",",REPT(" ",50)),(((INDEX('CONTROL MASTER'!$Y$2:$Y$495,(SUMPRODUCT((('CONTROL MASTER'!$S$2:$S$495=9)*('CONTROL MASTER'!$Z$2:$Z$495&lt;=7)*('CONTROL MASTER'!$AB$2:$AB$495&gt;=7)*('CONTROL MASTER'!$AA$2:$AA$495&lt;=8)*('CONTROL MASTER'!$AC$2:$AC$495&gt;=8))*ROW('CONTROL MASTER'!$S$2:$S$495))-(ROW('CONTROL MASTER'!#REF!)-1)))+((7-INDEX('CONTROL MASTER'!$Z$2:$Z$495,(SUMPRODUCT((('CONTROL MASTER'!$S$2:$S$495=9)*('CONTROL MASTER'!$Z$2:$Z$495&lt;=7)*('CONTROL MASTER'!$AB$2:$AB$495&gt;=7)*('CONTROL MASTER'!$AA$2:$AA$495&lt;=8)*('CONTROL MASTER'!$AC$2:$AC$495&gt;=8))*ROW('CONTROL MASTER'!$S$2:$S$495))-(ROW('CONTROL MASTER'!#REF!)-1))))*(INDEX('CONTROL MASTER'!$AC$2:$AC$495,(SUMPRODUCT((('CONTROL MASTER'!$S$2:$S$495=9)*('CONTROL MASTER'!$Z$2:$Z$495&lt;=7)*('CONTROL MASTER'!$AB$2:$AB$495&gt;=7)*('CONTROL MASTER'!$AA$2:$AA$495&lt;=8)*('CONTROL MASTER'!$AC$2:$AC$495&gt;=8))*ROW('CONTROL MASTER'!$S$2:$S$495))-(ROW('CONTROL MASTER'!#REF!)-1)))-INDEX('CONTROL MASTER'!$AA$2:$AA$495,(SUMPRODUCT((('CONTROL MASTER'!$S$2:$S$495=9)*('CONTROL MASTER'!$Z$2:$Z$495&lt;=7)*('CONTROL MASTER'!$AB$2:$AB$495&gt;=7)*('CONTROL MASTER'!$AA$2:$AA$495&lt;=8)*('CONTROL MASTER'!$AC$2:$AC$495&gt;=8))*ROW('CONTROL MASTER'!$S$2:$S$495))-(ROW('CONTROL MASTER'!#REF!)-1)))+1)+(8-INDEX('CONTROL MASTER'!$AA$2:$AA$495,(SUMPRODUCT((('CONTROL MASTER'!$S$2:$S$495=9)*('CONTROL MASTER'!$Z$2:$Z$495&lt;=7)*('CONTROL MASTER'!$AB$2:$AB$495&gt;=7)*('CONTROL MASTER'!$AA$2:$AA$495&lt;=8)*('CONTROL MASTER'!$AC$2:$AC$495&gt;=8))*ROW('CONTROL MASTER'!$S$2:$S$495))-(ROW('CONTROL MASTER'!#REF!)-1))))+1)))-1)*50+1,50))&amp;"_"&amp;INDEX('CONTROL MASTER'!$P$2:$P$495,(SUMPRODUCT((('CONTROL MASTER'!$S$2:$S$495=9)*('CONTROL MASTER'!$Z$2:$Z$495&lt;=7)*('CONTROL MASTER'!$AB$2:$AB$495&gt;=7)*('CONTROL MASTER'!$AA$2:$AA$495&lt;=8)*('CONTROL MASTER'!$AC$2:$AC$495&gt;=8))*ROW('CONTROL MASTER'!$S$2:$S$495))-(ROW('CONTROL MASTER'!#REF!)-1))),"")),"")</f>
        <v/>
      </c>
      <c r="J121" s="10" t="str">
        <f>IFERROR(IF(SUMPRODUCT((('CONTROL MASTER'!$S$2:$S$495=9)*('CONTROL MASTER'!$T$2:$T$495&lt;=7)*('CONTROL MASTER'!$V$2:$V$495&gt;=7)*('CONTROL MASTER'!$U$2:$U$495&lt;=9)*('CONTROL MASTER'!$W$2:$W$495&gt;=9))*ROW('CONTROL MASTER'!$S$2:$S$495))&gt;0,INDEX('CONTROL MASTER'!$X$2:$X$495,(SUMPRODUCT((('CONTROL MASTER'!$S$2:$S$495=9)*('CONTROL MASTER'!$T$2:$T$495&lt;=7)*('CONTROL MASTER'!$V$2:$V$495&gt;=7)*('CONTROL MASTER'!$U$2:$U$495&lt;=9)*('CONTROL MASTER'!$W$2:$W$495&gt;=9))*ROW('CONTROL MASTER'!$S$2:$S$495))-(ROW('CONTROL MASTER'!#REF!)-1)))&amp;TRIM(MID(SUBSTITUTE(SUBSTITUTE(INDEX('CONTROL MASTER'!$N$2:$N$495,(SUMPRODUCT((('CONTROL MASTER'!$S$2:$S$495=9)*('CONTROL MASTER'!$T$2:$T$495&lt;=7)*('CONTROL MASTER'!$V$2:$V$495&gt;=7)*('CONTROL MASTER'!$U$2:$U$495&lt;=9)*('CONTROL MASTER'!$W$2:$W$495&gt;=9))*ROW('CONTROL MASTER'!$S$2:$S$495))-(ROW('CONTROL MASTER'!#REF!)-1))),":",","),",",REPT(" ",50)),((((7-INDEX('CONTROL MASTER'!$T$2:$T$495,(SUMPRODUCT((('CONTROL MASTER'!$S$2:$S$495=9)*('CONTROL MASTER'!$T$2:$T$495&lt;=7)*('CONTROL MASTER'!$V$2:$V$495&gt;=7)*('CONTROL MASTER'!$U$2:$U$495&lt;=9)*('CONTROL MASTER'!$W$2:$W$495&gt;=9))*ROW('CONTROL MASTER'!$S$2:$S$495))-(ROW('CONTROL MASTER'!#REF!)-1))))*(INDEX('CONTROL MASTER'!$W$2:$W$495,(SUMPRODUCT((('CONTROL MASTER'!$S$2:$S$495=9)*('CONTROL MASTER'!$T$2:$T$495&lt;=7)*('CONTROL MASTER'!$V$2:$V$495&gt;=7)*('CONTROL MASTER'!$U$2:$U$495&lt;=9)*('CONTROL MASTER'!$W$2:$W$495&gt;=9))*ROW('CONTROL MASTER'!$S$2:$S$495))-(ROW('CONTROL MASTER'!#REF!)-1)))-INDEX('CONTROL MASTER'!$U$2:$U$495,(SUMPRODUCT((('CONTROL MASTER'!$S$2:$S$495=9)*('CONTROL MASTER'!$T$2:$T$495&lt;=7)*('CONTROL MASTER'!$V$2:$V$495&gt;=7)*('CONTROL MASTER'!$U$2:$U$495&lt;=9)*('CONTROL MASTER'!$W$2:$W$495&gt;=9))*ROW('CONTROL MASTER'!$S$2:$S$495))-(ROW('CONTROL MASTER'!#REF!)-1)))+1)+(9-INDEX('CONTROL MASTER'!$U$2:$U$495,(SUMPRODUCT((('CONTROL MASTER'!$S$2:$S$495=9)*('CONTROL MASTER'!$T$2:$T$495&lt;=7)*('CONTROL MASTER'!$V$2:$V$495&gt;=7)*('CONTROL MASTER'!$U$2:$U$495&lt;=9)*('CONTROL MASTER'!$W$2:$W$495&gt;=9))*ROW('CONTROL MASTER'!$S$2:$S$495))-(ROW('CONTROL MASTER'!#REF!)-1))))+1))-1)*50+1,50))&amp;"_"&amp;INDEX('CONTROL MASTER'!$P$2:$P$495,(SUMPRODUCT((('CONTROL MASTER'!$S$2:$S$495=9)*('CONTROL MASTER'!$T$2:$T$495&lt;=7)*('CONTROL MASTER'!$V$2:$V$495&gt;=7)*('CONTROL MASTER'!$U$2:$U$495&lt;=9)*('CONTROL MASTER'!$W$2:$W$495&gt;=9))*ROW('CONTROL MASTER'!$S$2:$S$495))-(ROW('CONTROL MASTER'!#REF!)-1))),IF(SUMPRODUCT((('CONTROL MASTER'!$S$2:$S$495=9)*('CONTROL MASTER'!$Z$2:$Z$495&lt;=7)*('CONTROL MASTER'!$AB$2:$AB$495&gt;=7)*('CONTROL MASTER'!$AA$2:$AA$495&lt;=9)*('CONTROL MASTER'!$AC$2:$AC$495&gt;=9))*ROW('CONTROL MASTER'!$S$2:$S$495))&gt;0,INDEX('CONTROL MASTER'!$X$2:$X$495,(SUMPRODUCT((('CONTROL MASTER'!$S$2:$S$495=9)*('CONTROL MASTER'!$Z$2:$Z$495&lt;=7)*('CONTROL MASTER'!$AB$2:$AB$495&gt;=7)*('CONTROL MASTER'!$AA$2:$AA$495&lt;=9)*('CONTROL MASTER'!$AC$2:$AC$495&gt;=9))*ROW('CONTROL MASTER'!$S$2:$S$495))-(ROW('CONTROL MASTER'!#REF!)-1)))&amp;TRIM(MID(SUBSTITUTE(SUBSTITUTE(INDEX('CONTROL MASTER'!$N$2:$N$495,(SUMPRODUCT((('CONTROL MASTER'!$S$2:$S$495=9)*('CONTROL MASTER'!$Z$2:$Z$495&lt;=7)*('CONTROL MASTER'!$AB$2:$AB$495&gt;=7)*('CONTROL MASTER'!$AA$2:$AA$495&lt;=9)*('CONTROL MASTER'!$AC$2:$AC$495&gt;=9))*ROW('CONTROL MASTER'!$S$2:$S$495))-(ROW('CONTROL MASTER'!#REF!)-1))),":",","),",",REPT(" ",50)),(((INDEX('CONTROL MASTER'!$Y$2:$Y$495,(SUMPRODUCT((('CONTROL MASTER'!$S$2:$S$495=9)*('CONTROL MASTER'!$Z$2:$Z$495&lt;=7)*('CONTROL MASTER'!$AB$2:$AB$495&gt;=7)*('CONTROL MASTER'!$AA$2:$AA$495&lt;=9)*('CONTROL MASTER'!$AC$2:$AC$495&gt;=9))*ROW('CONTROL MASTER'!$S$2:$S$495))-(ROW('CONTROL MASTER'!#REF!)-1)))+((7-INDEX('CONTROL MASTER'!$Z$2:$Z$495,(SUMPRODUCT((('CONTROL MASTER'!$S$2:$S$495=9)*('CONTROL MASTER'!$Z$2:$Z$495&lt;=7)*('CONTROL MASTER'!$AB$2:$AB$495&gt;=7)*('CONTROL MASTER'!$AA$2:$AA$495&lt;=9)*('CONTROL MASTER'!$AC$2:$AC$495&gt;=9))*ROW('CONTROL MASTER'!$S$2:$S$495))-(ROW('CONTROL MASTER'!#REF!)-1))))*(INDEX('CONTROL MASTER'!$AC$2:$AC$495,(SUMPRODUCT((('CONTROL MASTER'!$S$2:$S$495=9)*('CONTROL MASTER'!$Z$2:$Z$495&lt;=7)*('CONTROL MASTER'!$AB$2:$AB$495&gt;=7)*('CONTROL MASTER'!$AA$2:$AA$495&lt;=9)*('CONTROL MASTER'!$AC$2:$AC$495&gt;=9))*ROW('CONTROL MASTER'!$S$2:$S$495))-(ROW('CONTROL MASTER'!#REF!)-1)))-INDEX('CONTROL MASTER'!$AA$2:$AA$495,(SUMPRODUCT((('CONTROL MASTER'!$S$2:$S$495=9)*('CONTROL MASTER'!$Z$2:$Z$495&lt;=7)*('CONTROL MASTER'!$AB$2:$AB$495&gt;=7)*('CONTROL MASTER'!$AA$2:$AA$495&lt;=9)*('CONTROL MASTER'!$AC$2:$AC$495&gt;=9))*ROW('CONTROL MASTER'!$S$2:$S$495))-(ROW('CONTROL MASTER'!#REF!)-1)))+1)+(9-INDEX('CONTROL MASTER'!$AA$2:$AA$495,(SUMPRODUCT((('CONTROL MASTER'!$S$2:$S$495=9)*('CONTROL MASTER'!$Z$2:$Z$495&lt;=7)*('CONTROL MASTER'!$AB$2:$AB$495&gt;=7)*('CONTROL MASTER'!$AA$2:$AA$495&lt;=9)*('CONTROL MASTER'!$AC$2:$AC$495&gt;=9))*ROW('CONTROL MASTER'!$S$2:$S$495))-(ROW('CONTROL MASTER'!#REF!)-1))))+1)))-1)*50+1,50))&amp;"_"&amp;INDEX('CONTROL MASTER'!$P$2:$P$495,(SUMPRODUCT((('CONTROL MASTER'!$S$2:$S$495=9)*('CONTROL MASTER'!$Z$2:$Z$495&lt;=7)*('CONTROL MASTER'!$AB$2:$AB$495&gt;=7)*('CONTROL MASTER'!$AA$2:$AA$495&lt;=9)*('CONTROL MASTER'!$AC$2:$AC$495&gt;=9))*ROW('CONTROL MASTER'!$S$2:$S$495))-(ROW('CONTROL MASTER'!#REF!)-1))),"")),"")</f>
        <v/>
      </c>
      <c r="K121" s="10" t="str">
        <f>IFERROR(IF(SUMPRODUCT((('CONTROL MASTER'!$S$2:$S$495=9)*('CONTROL MASTER'!$T$2:$T$495&lt;=7)*('CONTROL MASTER'!$V$2:$V$495&gt;=7)*('CONTROL MASTER'!$U$2:$U$495&lt;=10)*('CONTROL MASTER'!$W$2:$W$495&gt;=10))*ROW('CONTROL MASTER'!$S$2:$S$495))&gt;0,INDEX('CONTROL MASTER'!$X$2:$X$495,(SUMPRODUCT((('CONTROL MASTER'!$S$2:$S$495=9)*('CONTROL MASTER'!$T$2:$T$495&lt;=7)*('CONTROL MASTER'!$V$2:$V$495&gt;=7)*('CONTROL MASTER'!$U$2:$U$495&lt;=10)*('CONTROL MASTER'!$W$2:$W$495&gt;=10))*ROW('CONTROL MASTER'!$S$2:$S$495))-(ROW('CONTROL MASTER'!#REF!)-1)))&amp;TRIM(MID(SUBSTITUTE(SUBSTITUTE(INDEX('CONTROL MASTER'!$N$2:$N$495,(SUMPRODUCT((('CONTROL MASTER'!$S$2:$S$495=9)*('CONTROL MASTER'!$T$2:$T$495&lt;=7)*('CONTROL MASTER'!$V$2:$V$495&gt;=7)*('CONTROL MASTER'!$U$2:$U$495&lt;=10)*('CONTROL MASTER'!$W$2:$W$495&gt;=10))*ROW('CONTROL MASTER'!$S$2:$S$495))-(ROW('CONTROL MASTER'!#REF!)-1))),":",","),",",REPT(" ",50)),((((7-INDEX('CONTROL MASTER'!$T$2:$T$495,(SUMPRODUCT((('CONTROL MASTER'!$S$2:$S$495=9)*('CONTROL MASTER'!$T$2:$T$495&lt;=7)*('CONTROL MASTER'!$V$2:$V$495&gt;=7)*('CONTROL MASTER'!$U$2:$U$495&lt;=10)*('CONTROL MASTER'!$W$2:$W$495&gt;=10))*ROW('CONTROL MASTER'!$S$2:$S$495))-(ROW('CONTROL MASTER'!#REF!)-1))))*(INDEX('CONTROL MASTER'!$W$2:$W$495,(SUMPRODUCT((('CONTROL MASTER'!$S$2:$S$495=9)*('CONTROL MASTER'!$T$2:$T$495&lt;=7)*('CONTROL MASTER'!$V$2:$V$495&gt;=7)*('CONTROL MASTER'!$U$2:$U$495&lt;=10)*('CONTROL MASTER'!$W$2:$W$495&gt;=10))*ROW('CONTROL MASTER'!$S$2:$S$495))-(ROW('CONTROL MASTER'!#REF!)-1)))-INDEX('CONTROL MASTER'!$U$2:$U$495,(SUMPRODUCT((('CONTROL MASTER'!$S$2:$S$495=9)*('CONTROL MASTER'!$T$2:$T$495&lt;=7)*('CONTROL MASTER'!$V$2:$V$495&gt;=7)*('CONTROL MASTER'!$U$2:$U$495&lt;=10)*('CONTROL MASTER'!$W$2:$W$495&gt;=10))*ROW('CONTROL MASTER'!$S$2:$S$495))-(ROW('CONTROL MASTER'!#REF!)-1)))+1)+(10-INDEX('CONTROL MASTER'!$U$2:$U$495,(SUMPRODUCT((('CONTROL MASTER'!$S$2:$S$495=9)*('CONTROL MASTER'!$T$2:$T$495&lt;=7)*('CONTROL MASTER'!$V$2:$V$495&gt;=7)*('CONTROL MASTER'!$U$2:$U$495&lt;=10)*('CONTROL MASTER'!$W$2:$W$495&gt;=10))*ROW('CONTROL MASTER'!$S$2:$S$495))-(ROW('CONTROL MASTER'!#REF!)-1))))+1))-1)*50+1,50))&amp;"_"&amp;INDEX('CONTROL MASTER'!$P$2:$P$495,(SUMPRODUCT((('CONTROL MASTER'!$S$2:$S$495=9)*('CONTROL MASTER'!$T$2:$T$495&lt;=7)*('CONTROL MASTER'!$V$2:$V$495&gt;=7)*('CONTROL MASTER'!$U$2:$U$495&lt;=10)*('CONTROL MASTER'!$W$2:$W$495&gt;=10))*ROW('CONTROL MASTER'!$S$2:$S$495))-(ROW('CONTROL MASTER'!#REF!)-1))),IF(SUMPRODUCT((('CONTROL MASTER'!$S$2:$S$495=9)*('CONTROL MASTER'!$Z$2:$Z$495&lt;=7)*('CONTROL MASTER'!$AB$2:$AB$495&gt;=7)*('CONTROL MASTER'!$AA$2:$AA$495&lt;=10)*('CONTROL MASTER'!$AC$2:$AC$495&gt;=10))*ROW('CONTROL MASTER'!$S$2:$S$495))&gt;0,INDEX('CONTROL MASTER'!$X$2:$X$495,(SUMPRODUCT((('CONTROL MASTER'!$S$2:$S$495=9)*('CONTROL MASTER'!$Z$2:$Z$495&lt;=7)*('CONTROL MASTER'!$AB$2:$AB$495&gt;=7)*('CONTROL MASTER'!$AA$2:$AA$495&lt;=10)*('CONTROL MASTER'!$AC$2:$AC$495&gt;=10))*ROW('CONTROL MASTER'!$S$2:$S$495))-(ROW('CONTROL MASTER'!#REF!)-1)))&amp;TRIM(MID(SUBSTITUTE(SUBSTITUTE(INDEX('CONTROL MASTER'!$N$2:$N$495,(SUMPRODUCT((('CONTROL MASTER'!$S$2:$S$495=9)*('CONTROL MASTER'!$Z$2:$Z$495&lt;=7)*('CONTROL MASTER'!$AB$2:$AB$495&gt;=7)*('CONTROL MASTER'!$AA$2:$AA$495&lt;=10)*('CONTROL MASTER'!$AC$2:$AC$495&gt;=10))*ROW('CONTROL MASTER'!$S$2:$S$495))-(ROW('CONTROL MASTER'!#REF!)-1))),":",","),",",REPT(" ",50)),(((INDEX('CONTROL MASTER'!$Y$2:$Y$495,(SUMPRODUCT((('CONTROL MASTER'!$S$2:$S$495=9)*('CONTROL MASTER'!$Z$2:$Z$495&lt;=7)*('CONTROL MASTER'!$AB$2:$AB$495&gt;=7)*('CONTROL MASTER'!$AA$2:$AA$495&lt;=10)*('CONTROL MASTER'!$AC$2:$AC$495&gt;=10))*ROW('CONTROL MASTER'!$S$2:$S$495))-(ROW('CONTROL MASTER'!#REF!)-1)))+((7-INDEX('CONTROL MASTER'!$Z$2:$Z$495,(SUMPRODUCT((('CONTROL MASTER'!$S$2:$S$495=9)*('CONTROL MASTER'!$Z$2:$Z$495&lt;=7)*('CONTROL MASTER'!$AB$2:$AB$495&gt;=7)*('CONTROL MASTER'!$AA$2:$AA$495&lt;=10)*('CONTROL MASTER'!$AC$2:$AC$495&gt;=10))*ROW('CONTROL MASTER'!$S$2:$S$495))-(ROW('CONTROL MASTER'!#REF!)-1))))*(INDEX('CONTROL MASTER'!$AC$2:$AC$495,(SUMPRODUCT((('CONTROL MASTER'!$S$2:$S$495=9)*('CONTROL MASTER'!$Z$2:$Z$495&lt;=7)*('CONTROL MASTER'!$AB$2:$AB$495&gt;=7)*('CONTROL MASTER'!$AA$2:$AA$495&lt;=10)*('CONTROL MASTER'!$AC$2:$AC$495&gt;=10))*ROW('CONTROL MASTER'!$S$2:$S$495))-(ROW('CONTROL MASTER'!#REF!)-1)))-INDEX('CONTROL MASTER'!$AA$2:$AA$495,(SUMPRODUCT((('CONTROL MASTER'!$S$2:$S$495=9)*('CONTROL MASTER'!$Z$2:$Z$495&lt;=7)*('CONTROL MASTER'!$AB$2:$AB$495&gt;=7)*('CONTROL MASTER'!$AA$2:$AA$495&lt;=10)*('CONTROL MASTER'!$AC$2:$AC$495&gt;=10))*ROW('CONTROL MASTER'!$S$2:$S$495))-(ROW('CONTROL MASTER'!#REF!)-1)))+1)+(10-INDEX('CONTROL MASTER'!$AA$2:$AA$495,(SUMPRODUCT((('CONTROL MASTER'!$S$2:$S$495=9)*('CONTROL MASTER'!$Z$2:$Z$495&lt;=7)*('CONTROL MASTER'!$AB$2:$AB$495&gt;=7)*('CONTROL MASTER'!$AA$2:$AA$495&lt;=10)*('CONTROL MASTER'!$AC$2:$AC$495&gt;=10))*ROW('CONTROL MASTER'!$S$2:$S$495))-(ROW('CONTROL MASTER'!#REF!)-1))))+1)))-1)*50+1,50))&amp;"_"&amp;INDEX('CONTROL MASTER'!$P$2:$P$495,(SUMPRODUCT((('CONTROL MASTER'!$S$2:$S$495=9)*('CONTROL MASTER'!$Z$2:$Z$495&lt;=7)*('CONTROL MASTER'!$AB$2:$AB$495&gt;=7)*('CONTROL MASTER'!$AA$2:$AA$495&lt;=10)*('CONTROL MASTER'!$AC$2:$AC$495&gt;=10))*ROW('CONTROL MASTER'!$S$2:$S$495))-(ROW('CONTROL MASTER'!#REF!)-1))),"")),"")</f>
        <v/>
      </c>
    </row>
    <row r="122" spans="1:11" ht="15" customHeight="1" x14ac:dyDescent="0.35">
      <c r="A122" s="8" t="s">
        <v>35</v>
      </c>
      <c r="B122" s="10" t="str">
        <f>IFERROR(IF(SUMPRODUCT((('CONTROL MASTER'!$S$2:$S$495=9)*('CONTROL MASTER'!$T$2:$T$495&lt;=8)*('CONTROL MASTER'!$V$2:$V$495&gt;=8)*('CONTROL MASTER'!$U$2:$U$495&lt;=1)*('CONTROL MASTER'!$W$2:$W$495&gt;=1))*ROW('CONTROL MASTER'!$S$2:$S$495))&gt;0,INDEX('CONTROL MASTER'!$X$2:$X$495,(SUMPRODUCT((('CONTROL MASTER'!$S$2:$S$495=9)*('CONTROL MASTER'!$T$2:$T$495&lt;=8)*('CONTROL MASTER'!$V$2:$V$495&gt;=8)*('CONTROL MASTER'!$U$2:$U$495&lt;=1)*('CONTROL MASTER'!$W$2:$W$495&gt;=1))*ROW('CONTROL MASTER'!$S$2:$S$495))-(ROW('CONTROL MASTER'!#REF!)-1)))&amp;TRIM(MID(SUBSTITUTE(SUBSTITUTE(INDEX('CONTROL MASTER'!$N$2:$N$495,(SUMPRODUCT((('CONTROL MASTER'!$S$2:$S$495=9)*('CONTROL MASTER'!$T$2:$T$495&lt;=8)*('CONTROL MASTER'!$V$2:$V$495&gt;=8)*('CONTROL MASTER'!$U$2:$U$495&lt;=1)*('CONTROL MASTER'!$W$2:$W$495&gt;=1))*ROW('CONTROL MASTER'!$S$2:$S$495))-(ROW('CONTROL MASTER'!#REF!)-1))),":",","),",",REPT(" ",50)),((((8-INDEX('CONTROL MASTER'!$T$2:$T$495,(SUMPRODUCT((('CONTROL MASTER'!$S$2:$S$495=9)*('CONTROL MASTER'!$T$2:$T$495&lt;=8)*('CONTROL MASTER'!$V$2:$V$495&gt;=8)*('CONTROL MASTER'!$U$2:$U$495&lt;=1)*('CONTROL MASTER'!$W$2:$W$495&gt;=1))*ROW('CONTROL MASTER'!$S$2:$S$495))-(ROW('CONTROL MASTER'!#REF!)-1))))*(INDEX('CONTROL MASTER'!$W$2:$W$495,(SUMPRODUCT((('CONTROL MASTER'!$S$2:$S$495=9)*('CONTROL MASTER'!$T$2:$T$495&lt;=8)*('CONTROL MASTER'!$V$2:$V$495&gt;=8)*('CONTROL MASTER'!$U$2:$U$495&lt;=1)*('CONTROL MASTER'!$W$2:$W$495&gt;=1))*ROW('CONTROL MASTER'!$S$2:$S$495))-(ROW('CONTROL MASTER'!#REF!)-1)))-INDEX('CONTROL MASTER'!$U$2:$U$495,(SUMPRODUCT((('CONTROL MASTER'!$S$2:$S$495=9)*('CONTROL MASTER'!$T$2:$T$495&lt;=8)*('CONTROL MASTER'!$V$2:$V$495&gt;=8)*('CONTROL MASTER'!$U$2:$U$495&lt;=1)*('CONTROL MASTER'!$W$2:$W$495&gt;=1))*ROW('CONTROL MASTER'!$S$2:$S$495))-(ROW('CONTROL MASTER'!#REF!)-1)))+1)+(1-INDEX('CONTROL MASTER'!$U$2:$U$495,(SUMPRODUCT((('CONTROL MASTER'!$S$2:$S$495=9)*('CONTROL MASTER'!$T$2:$T$495&lt;=8)*('CONTROL MASTER'!$V$2:$V$495&gt;=8)*('CONTROL MASTER'!$U$2:$U$495&lt;=1)*('CONTROL MASTER'!$W$2:$W$495&gt;=1))*ROW('CONTROL MASTER'!$S$2:$S$495))-(ROW('CONTROL MASTER'!#REF!)-1))))+1))-1)*50+1,50))&amp;"_"&amp;INDEX('CONTROL MASTER'!$P$2:$P$495,(SUMPRODUCT((('CONTROL MASTER'!$S$2:$S$495=9)*('CONTROL MASTER'!$T$2:$T$495&lt;=8)*('CONTROL MASTER'!$V$2:$V$495&gt;=8)*('CONTROL MASTER'!$U$2:$U$495&lt;=1)*('CONTROL MASTER'!$W$2:$W$495&gt;=1))*ROW('CONTROL MASTER'!$S$2:$S$495))-(ROW('CONTROL MASTER'!#REF!)-1))),IF(SUMPRODUCT((('CONTROL MASTER'!$S$2:$S$495=9)*('CONTROL MASTER'!$Z$2:$Z$495&lt;=8)*('CONTROL MASTER'!$AB$2:$AB$495&gt;=8)*('CONTROL MASTER'!$AA$2:$AA$495&lt;=1)*('CONTROL MASTER'!$AC$2:$AC$495&gt;=1))*ROW('CONTROL MASTER'!$S$2:$S$495))&gt;0,INDEX('CONTROL MASTER'!$X$2:$X$495,(SUMPRODUCT((('CONTROL MASTER'!$S$2:$S$495=9)*('CONTROL MASTER'!$Z$2:$Z$495&lt;=8)*('CONTROL MASTER'!$AB$2:$AB$495&gt;=8)*('CONTROL MASTER'!$AA$2:$AA$495&lt;=1)*('CONTROL MASTER'!$AC$2:$AC$495&gt;=1))*ROW('CONTROL MASTER'!$S$2:$S$495))-(ROW('CONTROL MASTER'!#REF!)-1)))&amp;TRIM(MID(SUBSTITUTE(SUBSTITUTE(INDEX('CONTROL MASTER'!$N$2:$N$495,(SUMPRODUCT((('CONTROL MASTER'!$S$2:$S$495=9)*('CONTROL MASTER'!$Z$2:$Z$495&lt;=8)*('CONTROL MASTER'!$AB$2:$AB$495&gt;=8)*('CONTROL MASTER'!$AA$2:$AA$495&lt;=1)*('CONTROL MASTER'!$AC$2:$AC$495&gt;=1))*ROW('CONTROL MASTER'!$S$2:$S$495))-(ROW('CONTROL MASTER'!#REF!)-1))),":",","),",",REPT(" ",50)),(((INDEX('CONTROL MASTER'!$Y$2:$Y$495,(SUMPRODUCT((('CONTROL MASTER'!$S$2:$S$495=9)*('CONTROL MASTER'!$Z$2:$Z$495&lt;=8)*('CONTROL MASTER'!$AB$2:$AB$495&gt;=8)*('CONTROL MASTER'!$AA$2:$AA$495&lt;=1)*('CONTROL MASTER'!$AC$2:$AC$495&gt;=1))*ROW('CONTROL MASTER'!$S$2:$S$495))-(ROW('CONTROL MASTER'!#REF!)-1)))+((8-INDEX('CONTROL MASTER'!$Z$2:$Z$495,(SUMPRODUCT((('CONTROL MASTER'!$S$2:$S$495=9)*('CONTROL MASTER'!$Z$2:$Z$495&lt;=8)*('CONTROL MASTER'!$AB$2:$AB$495&gt;=8)*('CONTROL MASTER'!$AA$2:$AA$495&lt;=1)*('CONTROL MASTER'!$AC$2:$AC$495&gt;=1))*ROW('CONTROL MASTER'!$S$2:$S$495))-(ROW('CONTROL MASTER'!#REF!)-1))))*(INDEX('CONTROL MASTER'!$AC$2:$AC$495,(SUMPRODUCT((('CONTROL MASTER'!$S$2:$S$495=9)*('CONTROL MASTER'!$Z$2:$Z$495&lt;=8)*('CONTROL MASTER'!$AB$2:$AB$495&gt;=8)*('CONTROL MASTER'!$AA$2:$AA$495&lt;=1)*('CONTROL MASTER'!$AC$2:$AC$495&gt;=1))*ROW('CONTROL MASTER'!$S$2:$S$495))-(ROW('CONTROL MASTER'!#REF!)-1)))-INDEX('CONTROL MASTER'!$AA$2:$AA$495,(SUMPRODUCT((('CONTROL MASTER'!$S$2:$S$495=9)*('CONTROL MASTER'!$Z$2:$Z$495&lt;=8)*('CONTROL MASTER'!$AB$2:$AB$495&gt;=8)*('CONTROL MASTER'!$AA$2:$AA$495&lt;=1)*('CONTROL MASTER'!$AC$2:$AC$495&gt;=1))*ROW('CONTROL MASTER'!$S$2:$S$495))-(ROW('CONTROL MASTER'!#REF!)-1)))+1)+(1-INDEX('CONTROL MASTER'!$AA$2:$AA$495,(SUMPRODUCT((('CONTROL MASTER'!$S$2:$S$495=9)*('CONTROL MASTER'!$Z$2:$Z$495&lt;=8)*('CONTROL MASTER'!$AB$2:$AB$495&gt;=8)*('CONTROL MASTER'!$AA$2:$AA$495&lt;=1)*('CONTROL MASTER'!$AC$2:$AC$495&gt;=1))*ROW('CONTROL MASTER'!$S$2:$S$495))-(ROW('CONTROL MASTER'!#REF!)-1))))+1)))-1)*50+1,50))&amp;"_"&amp;INDEX('CONTROL MASTER'!$P$2:$P$495,(SUMPRODUCT((('CONTROL MASTER'!$S$2:$S$495=9)*('CONTROL MASTER'!$Z$2:$Z$495&lt;=8)*('CONTROL MASTER'!$AB$2:$AB$495&gt;=8)*('CONTROL MASTER'!$AA$2:$AA$495&lt;=1)*('CONTROL MASTER'!$AC$2:$AC$495&gt;=1))*ROW('CONTROL MASTER'!$S$2:$S$495))-(ROW('CONTROL MASTER'!#REF!)-1))),"")),"")</f>
        <v/>
      </c>
      <c r="C122" s="10" t="str">
        <f>IFERROR(IF(SUMPRODUCT((('CONTROL MASTER'!$S$2:$S$495=9)*('CONTROL MASTER'!$T$2:$T$495&lt;=8)*('CONTROL MASTER'!$V$2:$V$495&gt;=8)*('CONTROL MASTER'!$U$2:$U$495&lt;=2)*('CONTROL MASTER'!$W$2:$W$495&gt;=2))*ROW('CONTROL MASTER'!$S$2:$S$495))&gt;0,INDEX('CONTROL MASTER'!$X$2:$X$495,(SUMPRODUCT((('CONTROL MASTER'!$S$2:$S$495=9)*('CONTROL MASTER'!$T$2:$T$495&lt;=8)*('CONTROL MASTER'!$V$2:$V$495&gt;=8)*('CONTROL MASTER'!$U$2:$U$495&lt;=2)*('CONTROL MASTER'!$W$2:$W$495&gt;=2))*ROW('CONTROL MASTER'!$S$2:$S$495))-(ROW('CONTROL MASTER'!#REF!)-1)))&amp;TRIM(MID(SUBSTITUTE(SUBSTITUTE(INDEX('CONTROL MASTER'!$N$2:$N$495,(SUMPRODUCT((('CONTROL MASTER'!$S$2:$S$495=9)*('CONTROL MASTER'!$T$2:$T$495&lt;=8)*('CONTROL MASTER'!$V$2:$V$495&gt;=8)*('CONTROL MASTER'!$U$2:$U$495&lt;=2)*('CONTROL MASTER'!$W$2:$W$495&gt;=2))*ROW('CONTROL MASTER'!$S$2:$S$495))-(ROW('CONTROL MASTER'!#REF!)-1))),":",","),",",REPT(" ",50)),((((8-INDEX('CONTROL MASTER'!$T$2:$T$495,(SUMPRODUCT((('CONTROL MASTER'!$S$2:$S$495=9)*('CONTROL MASTER'!$T$2:$T$495&lt;=8)*('CONTROL MASTER'!$V$2:$V$495&gt;=8)*('CONTROL MASTER'!$U$2:$U$495&lt;=2)*('CONTROL MASTER'!$W$2:$W$495&gt;=2))*ROW('CONTROL MASTER'!$S$2:$S$495))-(ROW('CONTROL MASTER'!#REF!)-1))))*(INDEX('CONTROL MASTER'!$W$2:$W$495,(SUMPRODUCT((('CONTROL MASTER'!$S$2:$S$495=9)*('CONTROL MASTER'!$T$2:$T$495&lt;=8)*('CONTROL MASTER'!$V$2:$V$495&gt;=8)*('CONTROL MASTER'!$U$2:$U$495&lt;=2)*('CONTROL MASTER'!$W$2:$W$495&gt;=2))*ROW('CONTROL MASTER'!$S$2:$S$495))-(ROW('CONTROL MASTER'!#REF!)-1)))-INDEX('CONTROL MASTER'!$U$2:$U$495,(SUMPRODUCT((('CONTROL MASTER'!$S$2:$S$495=9)*('CONTROL MASTER'!$T$2:$T$495&lt;=8)*('CONTROL MASTER'!$V$2:$V$495&gt;=8)*('CONTROL MASTER'!$U$2:$U$495&lt;=2)*('CONTROL MASTER'!$W$2:$W$495&gt;=2))*ROW('CONTROL MASTER'!$S$2:$S$495))-(ROW('CONTROL MASTER'!#REF!)-1)))+1)+(2-INDEX('CONTROL MASTER'!$U$2:$U$495,(SUMPRODUCT((('CONTROL MASTER'!$S$2:$S$495=9)*('CONTROL MASTER'!$T$2:$T$495&lt;=8)*('CONTROL MASTER'!$V$2:$V$495&gt;=8)*('CONTROL MASTER'!$U$2:$U$495&lt;=2)*('CONTROL MASTER'!$W$2:$W$495&gt;=2))*ROW('CONTROL MASTER'!$S$2:$S$495))-(ROW('CONTROL MASTER'!#REF!)-1))))+1))-1)*50+1,50))&amp;"_"&amp;INDEX('CONTROL MASTER'!$P$2:$P$495,(SUMPRODUCT((('CONTROL MASTER'!$S$2:$S$495=9)*('CONTROL MASTER'!$T$2:$T$495&lt;=8)*('CONTROL MASTER'!$V$2:$V$495&gt;=8)*('CONTROL MASTER'!$U$2:$U$495&lt;=2)*('CONTROL MASTER'!$W$2:$W$495&gt;=2))*ROW('CONTROL MASTER'!$S$2:$S$495))-(ROW('CONTROL MASTER'!#REF!)-1))),IF(SUMPRODUCT((('CONTROL MASTER'!$S$2:$S$495=9)*('CONTROL MASTER'!$Z$2:$Z$495&lt;=8)*('CONTROL MASTER'!$AB$2:$AB$495&gt;=8)*('CONTROL MASTER'!$AA$2:$AA$495&lt;=2)*('CONTROL MASTER'!$AC$2:$AC$495&gt;=2))*ROW('CONTROL MASTER'!$S$2:$S$495))&gt;0,INDEX('CONTROL MASTER'!$X$2:$X$495,(SUMPRODUCT((('CONTROL MASTER'!$S$2:$S$495=9)*('CONTROL MASTER'!$Z$2:$Z$495&lt;=8)*('CONTROL MASTER'!$AB$2:$AB$495&gt;=8)*('CONTROL MASTER'!$AA$2:$AA$495&lt;=2)*('CONTROL MASTER'!$AC$2:$AC$495&gt;=2))*ROW('CONTROL MASTER'!$S$2:$S$495))-(ROW('CONTROL MASTER'!#REF!)-1)))&amp;TRIM(MID(SUBSTITUTE(SUBSTITUTE(INDEX('CONTROL MASTER'!$N$2:$N$495,(SUMPRODUCT((('CONTROL MASTER'!$S$2:$S$495=9)*('CONTROL MASTER'!$Z$2:$Z$495&lt;=8)*('CONTROL MASTER'!$AB$2:$AB$495&gt;=8)*('CONTROL MASTER'!$AA$2:$AA$495&lt;=2)*('CONTROL MASTER'!$AC$2:$AC$495&gt;=2))*ROW('CONTROL MASTER'!$S$2:$S$495))-(ROW('CONTROL MASTER'!#REF!)-1))),":",","),",",REPT(" ",50)),(((INDEX('CONTROL MASTER'!$Y$2:$Y$495,(SUMPRODUCT((('CONTROL MASTER'!$S$2:$S$495=9)*('CONTROL MASTER'!$Z$2:$Z$495&lt;=8)*('CONTROL MASTER'!$AB$2:$AB$495&gt;=8)*('CONTROL MASTER'!$AA$2:$AA$495&lt;=2)*('CONTROL MASTER'!$AC$2:$AC$495&gt;=2))*ROW('CONTROL MASTER'!$S$2:$S$495))-(ROW('CONTROL MASTER'!#REF!)-1)))+((8-INDEX('CONTROL MASTER'!$Z$2:$Z$495,(SUMPRODUCT((('CONTROL MASTER'!$S$2:$S$495=9)*('CONTROL MASTER'!$Z$2:$Z$495&lt;=8)*('CONTROL MASTER'!$AB$2:$AB$495&gt;=8)*('CONTROL MASTER'!$AA$2:$AA$495&lt;=2)*('CONTROL MASTER'!$AC$2:$AC$495&gt;=2))*ROW('CONTROL MASTER'!$S$2:$S$495))-(ROW('CONTROL MASTER'!#REF!)-1))))*(INDEX('CONTROL MASTER'!$AC$2:$AC$495,(SUMPRODUCT((('CONTROL MASTER'!$S$2:$S$495=9)*('CONTROL MASTER'!$Z$2:$Z$495&lt;=8)*('CONTROL MASTER'!$AB$2:$AB$495&gt;=8)*('CONTROL MASTER'!$AA$2:$AA$495&lt;=2)*('CONTROL MASTER'!$AC$2:$AC$495&gt;=2))*ROW('CONTROL MASTER'!$S$2:$S$495))-(ROW('CONTROL MASTER'!#REF!)-1)))-INDEX('CONTROL MASTER'!$AA$2:$AA$495,(SUMPRODUCT((('CONTROL MASTER'!$S$2:$S$495=9)*('CONTROL MASTER'!$Z$2:$Z$495&lt;=8)*('CONTROL MASTER'!$AB$2:$AB$495&gt;=8)*('CONTROL MASTER'!$AA$2:$AA$495&lt;=2)*('CONTROL MASTER'!$AC$2:$AC$495&gt;=2))*ROW('CONTROL MASTER'!$S$2:$S$495))-(ROW('CONTROL MASTER'!#REF!)-1)))+1)+(2-INDEX('CONTROL MASTER'!$AA$2:$AA$495,(SUMPRODUCT((('CONTROL MASTER'!$S$2:$S$495=9)*('CONTROL MASTER'!$Z$2:$Z$495&lt;=8)*('CONTROL MASTER'!$AB$2:$AB$495&gt;=8)*('CONTROL MASTER'!$AA$2:$AA$495&lt;=2)*('CONTROL MASTER'!$AC$2:$AC$495&gt;=2))*ROW('CONTROL MASTER'!$S$2:$S$495))-(ROW('CONTROL MASTER'!#REF!)-1))))+1)))-1)*50+1,50))&amp;"_"&amp;INDEX('CONTROL MASTER'!$P$2:$P$495,(SUMPRODUCT((('CONTROL MASTER'!$S$2:$S$495=9)*('CONTROL MASTER'!$Z$2:$Z$495&lt;=8)*('CONTROL MASTER'!$AB$2:$AB$495&gt;=8)*('CONTROL MASTER'!$AA$2:$AA$495&lt;=2)*('CONTROL MASTER'!$AC$2:$AC$495&gt;=2))*ROW('CONTROL MASTER'!$S$2:$S$495))-(ROW('CONTROL MASTER'!#REF!)-1))),"")),"")</f>
        <v/>
      </c>
      <c r="D122" s="10" t="str">
        <f>IFERROR(IF(SUMPRODUCT((('CONTROL MASTER'!$S$2:$S$495=9)*('CONTROL MASTER'!$T$2:$T$495&lt;=8)*('CONTROL MASTER'!$V$2:$V$495&gt;=8)*('CONTROL MASTER'!$U$2:$U$495&lt;=3)*('CONTROL MASTER'!$W$2:$W$495&gt;=3))*ROW('CONTROL MASTER'!$S$2:$S$495))&gt;0,INDEX('CONTROL MASTER'!$X$2:$X$495,(SUMPRODUCT((('CONTROL MASTER'!$S$2:$S$495=9)*('CONTROL MASTER'!$T$2:$T$495&lt;=8)*('CONTROL MASTER'!$V$2:$V$495&gt;=8)*('CONTROL MASTER'!$U$2:$U$495&lt;=3)*('CONTROL MASTER'!$W$2:$W$495&gt;=3))*ROW('CONTROL MASTER'!$S$2:$S$495))-(ROW('CONTROL MASTER'!#REF!)-1)))&amp;TRIM(MID(SUBSTITUTE(SUBSTITUTE(INDEX('CONTROL MASTER'!$N$2:$N$495,(SUMPRODUCT((('CONTROL MASTER'!$S$2:$S$495=9)*('CONTROL MASTER'!$T$2:$T$495&lt;=8)*('CONTROL MASTER'!$V$2:$V$495&gt;=8)*('CONTROL MASTER'!$U$2:$U$495&lt;=3)*('CONTROL MASTER'!$W$2:$W$495&gt;=3))*ROW('CONTROL MASTER'!$S$2:$S$495))-(ROW('CONTROL MASTER'!#REF!)-1))),":",","),",",REPT(" ",50)),((((8-INDEX('CONTROL MASTER'!$T$2:$T$495,(SUMPRODUCT((('CONTROL MASTER'!$S$2:$S$495=9)*('CONTROL MASTER'!$T$2:$T$495&lt;=8)*('CONTROL MASTER'!$V$2:$V$495&gt;=8)*('CONTROL MASTER'!$U$2:$U$495&lt;=3)*('CONTROL MASTER'!$W$2:$W$495&gt;=3))*ROW('CONTROL MASTER'!$S$2:$S$495))-(ROW('CONTROL MASTER'!#REF!)-1))))*(INDEX('CONTROL MASTER'!$W$2:$W$495,(SUMPRODUCT((('CONTROL MASTER'!$S$2:$S$495=9)*('CONTROL MASTER'!$T$2:$T$495&lt;=8)*('CONTROL MASTER'!$V$2:$V$495&gt;=8)*('CONTROL MASTER'!$U$2:$U$495&lt;=3)*('CONTROL MASTER'!$W$2:$W$495&gt;=3))*ROW('CONTROL MASTER'!$S$2:$S$495))-(ROW('CONTROL MASTER'!#REF!)-1)))-INDEX('CONTROL MASTER'!$U$2:$U$495,(SUMPRODUCT((('CONTROL MASTER'!$S$2:$S$495=9)*('CONTROL MASTER'!$T$2:$T$495&lt;=8)*('CONTROL MASTER'!$V$2:$V$495&gt;=8)*('CONTROL MASTER'!$U$2:$U$495&lt;=3)*('CONTROL MASTER'!$W$2:$W$495&gt;=3))*ROW('CONTROL MASTER'!$S$2:$S$495))-(ROW('CONTROL MASTER'!#REF!)-1)))+1)+(3-INDEX('CONTROL MASTER'!$U$2:$U$495,(SUMPRODUCT((('CONTROL MASTER'!$S$2:$S$495=9)*('CONTROL MASTER'!$T$2:$T$495&lt;=8)*('CONTROL MASTER'!$V$2:$V$495&gt;=8)*('CONTROL MASTER'!$U$2:$U$495&lt;=3)*('CONTROL MASTER'!$W$2:$W$495&gt;=3))*ROW('CONTROL MASTER'!$S$2:$S$495))-(ROW('CONTROL MASTER'!#REF!)-1))))+1))-1)*50+1,50))&amp;"_"&amp;INDEX('CONTROL MASTER'!$P$2:$P$495,(SUMPRODUCT((('CONTROL MASTER'!$S$2:$S$495=9)*('CONTROL MASTER'!$T$2:$T$495&lt;=8)*('CONTROL MASTER'!$V$2:$V$495&gt;=8)*('CONTROL MASTER'!$U$2:$U$495&lt;=3)*('CONTROL MASTER'!$W$2:$W$495&gt;=3))*ROW('CONTROL MASTER'!$S$2:$S$495))-(ROW('CONTROL MASTER'!#REF!)-1))),IF(SUMPRODUCT((('CONTROL MASTER'!$S$2:$S$495=9)*('CONTROL MASTER'!$Z$2:$Z$495&lt;=8)*('CONTROL MASTER'!$AB$2:$AB$495&gt;=8)*('CONTROL MASTER'!$AA$2:$AA$495&lt;=3)*('CONTROL MASTER'!$AC$2:$AC$495&gt;=3))*ROW('CONTROL MASTER'!$S$2:$S$495))&gt;0,INDEX('CONTROL MASTER'!$X$2:$X$495,(SUMPRODUCT((('CONTROL MASTER'!$S$2:$S$495=9)*('CONTROL MASTER'!$Z$2:$Z$495&lt;=8)*('CONTROL MASTER'!$AB$2:$AB$495&gt;=8)*('CONTROL MASTER'!$AA$2:$AA$495&lt;=3)*('CONTROL MASTER'!$AC$2:$AC$495&gt;=3))*ROW('CONTROL MASTER'!$S$2:$S$495))-(ROW('CONTROL MASTER'!#REF!)-1)))&amp;TRIM(MID(SUBSTITUTE(SUBSTITUTE(INDEX('CONTROL MASTER'!$N$2:$N$495,(SUMPRODUCT((('CONTROL MASTER'!$S$2:$S$495=9)*('CONTROL MASTER'!$Z$2:$Z$495&lt;=8)*('CONTROL MASTER'!$AB$2:$AB$495&gt;=8)*('CONTROL MASTER'!$AA$2:$AA$495&lt;=3)*('CONTROL MASTER'!$AC$2:$AC$495&gt;=3))*ROW('CONTROL MASTER'!$S$2:$S$495))-(ROW('CONTROL MASTER'!#REF!)-1))),":",","),",",REPT(" ",50)),(((INDEX('CONTROL MASTER'!$Y$2:$Y$495,(SUMPRODUCT((('CONTROL MASTER'!$S$2:$S$495=9)*('CONTROL MASTER'!$Z$2:$Z$495&lt;=8)*('CONTROL MASTER'!$AB$2:$AB$495&gt;=8)*('CONTROL MASTER'!$AA$2:$AA$495&lt;=3)*('CONTROL MASTER'!$AC$2:$AC$495&gt;=3))*ROW('CONTROL MASTER'!$S$2:$S$495))-(ROW('CONTROL MASTER'!#REF!)-1)))+((8-INDEX('CONTROL MASTER'!$Z$2:$Z$495,(SUMPRODUCT((('CONTROL MASTER'!$S$2:$S$495=9)*('CONTROL MASTER'!$Z$2:$Z$495&lt;=8)*('CONTROL MASTER'!$AB$2:$AB$495&gt;=8)*('CONTROL MASTER'!$AA$2:$AA$495&lt;=3)*('CONTROL MASTER'!$AC$2:$AC$495&gt;=3))*ROW('CONTROL MASTER'!$S$2:$S$495))-(ROW('CONTROL MASTER'!#REF!)-1))))*(INDEX('CONTROL MASTER'!$AC$2:$AC$495,(SUMPRODUCT((('CONTROL MASTER'!$S$2:$S$495=9)*('CONTROL MASTER'!$Z$2:$Z$495&lt;=8)*('CONTROL MASTER'!$AB$2:$AB$495&gt;=8)*('CONTROL MASTER'!$AA$2:$AA$495&lt;=3)*('CONTROL MASTER'!$AC$2:$AC$495&gt;=3))*ROW('CONTROL MASTER'!$S$2:$S$495))-(ROW('CONTROL MASTER'!#REF!)-1)))-INDEX('CONTROL MASTER'!$AA$2:$AA$495,(SUMPRODUCT((('CONTROL MASTER'!$S$2:$S$495=9)*('CONTROL MASTER'!$Z$2:$Z$495&lt;=8)*('CONTROL MASTER'!$AB$2:$AB$495&gt;=8)*('CONTROL MASTER'!$AA$2:$AA$495&lt;=3)*('CONTROL MASTER'!$AC$2:$AC$495&gt;=3))*ROW('CONTROL MASTER'!$S$2:$S$495))-(ROW('CONTROL MASTER'!#REF!)-1)))+1)+(3-INDEX('CONTROL MASTER'!$AA$2:$AA$495,(SUMPRODUCT((('CONTROL MASTER'!$S$2:$S$495=9)*('CONTROL MASTER'!$Z$2:$Z$495&lt;=8)*('CONTROL MASTER'!$AB$2:$AB$495&gt;=8)*('CONTROL MASTER'!$AA$2:$AA$495&lt;=3)*('CONTROL MASTER'!$AC$2:$AC$495&gt;=3))*ROW('CONTROL MASTER'!$S$2:$S$495))-(ROW('CONTROL MASTER'!#REF!)-1))))+1)))-1)*50+1,50))&amp;"_"&amp;INDEX('CONTROL MASTER'!$P$2:$P$495,(SUMPRODUCT((('CONTROL MASTER'!$S$2:$S$495=9)*('CONTROL MASTER'!$Z$2:$Z$495&lt;=8)*('CONTROL MASTER'!$AB$2:$AB$495&gt;=8)*('CONTROL MASTER'!$AA$2:$AA$495&lt;=3)*('CONTROL MASTER'!$AC$2:$AC$495&gt;=3))*ROW('CONTROL MASTER'!$S$2:$S$495))-(ROW('CONTROL MASTER'!#REF!)-1))),"")),"")</f>
        <v/>
      </c>
      <c r="E122" s="10" t="str">
        <f>IFERROR(IF(SUMPRODUCT((('CONTROL MASTER'!$S$2:$S$495=9)*('CONTROL MASTER'!$T$2:$T$495&lt;=8)*('CONTROL MASTER'!$V$2:$V$495&gt;=8)*('CONTROL MASTER'!$U$2:$U$495&lt;=4)*('CONTROL MASTER'!$W$2:$W$495&gt;=4))*ROW('CONTROL MASTER'!$S$2:$S$495))&gt;0,INDEX('CONTROL MASTER'!$X$2:$X$495,(SUMPRODUCT((('CONTROL MASTER'!$S$2:$S$495=9)*('CONTROL MASTER'!$T$2:$T$495&lt;=8)*('CONTROL MASTER'!$V$2:$V$495&gt;=8)*('CONTROL MASTER'!$U$2:$U$495&lt;=4)*('CONTROL MASTER'!$W$2:$W$495&gt;=4))*ROW('CONTROL MASTER'!$S$2:$S$495))-(ROW('CONTROL MASTER'!#REF!)-1)))&amp;TRIM(MID(SUBSTITUTE(SUBSTITUTE(INDEX('CONTROL MASTER'!$N$2:$N$495,(SUMPRODUCT((('CONTROL MASTER'!$S$2:$S$495=9)*('CONTROL MASTER'!$T$2:$T$495&lt;=8)*('CONTROL MASTER'!$V$2:$V$495&gt;=8)*('CONTROL MASTER'!$U$2:$U$495&lt;=4)*('CONTROL MASTER'!$W$2:$W$495&gt;=4))*ROW('CONTROL MASTER'!$S$2:$S$495))-(ROW('CONTROL MASTER'!#REF!)-1))),":",","),",",REPT(" ",50)),((((8-INDEX('CONTROL MASTER'!$T$2:$T$495,(SUMPRODUCT((('CONTROL MASTER'!$S$2:$S$495=9)*('CONTROL MASTER'!$T$2:$T$495&lt;=8)*('CONTROL MASTER'!$V$2:$V$495&gt;=8)*('CONTROL MASTER'!$U$2:$U$495&lt;=4)*('CONTROL MASTER'!$W$2:$W$495&gt;=4))*ROW('CONTROL MASTER'!$S$2:$S$495))-(ROW('CONTROL MASTER'!#REF!)-1))))*(INDEX('CONTROL MASTER'!$W$2:$W$495,(SUMPRODUCT((('CONTROL MASTER'!$S$2:$S$495=9)*('CONTROL MASTER'!$T$2:$T$495&lt;=8)*('CONTROL MASTER'!$V$2:$V$495&gt;=8)*('CONTROL MASTER'!$U$2:$U$495&lt;=4)*('CONTROL MASTER'!$W$2:$W$495&gt;=4))*ROW('CONTROL MASTER'!$S$2:$S$495))-(ROW('CONTROL MASTER'!#REF!)-1)))-INDEX('CONTROL MASTER'!$U$2:$U$495,(SUMPRODUCT((('CONTROL MASTER'!$S$2:$S$495=9)*('CONTROL MASTER'!$T$2:$T$495&lt;=8)*('CONTROL MASTER'!$V$2:$V$495&gt;=8)*('CONTROL MASTER'!$U$2:$U$495&lt;=4)*('CONTROL MASTER'!$W$2:$W$495&gt;=4))*ROW('CONTROL MASTER'!$S$2:$S$495))-(ROW('CONTROL MASTER'!#REF!)-1)))+1)+(4-INDEX('CONTROL MASTER'!$U$2:$U$495,(SUMPRODUCT((('CONTROL MASTER'!$S$2:$S$495=9)*('CONTROL MASTER'!$T$2:$T$495&lt;=8)*('CONTROL MASTER'!$V$2:$V$495&gt;=8)*('CONTROL MASTER'!$U$2:$U$495&lt;=4)*('CONTROL MASTER'!$W$2:$W$495&gt;=4))*ROW('CONTROL MASTER'!$S$2:$S$495))-(ROW('CONTROL MASTER'!#REF!)-1))))+1))-1)*50+1,50))&amp;"_"&amp;INDEX('CONTROL MASTER'!$P$2:$P$495,(SUMPRODUCT((('CONTROL MASTER'!$S$2:$S$495=9)*('CONTROL MASTER'!$T$2:$T$495&lt;=8)*('CONTROL MASTER'!$V$2:$V$495&gt;=8)*('CONTROL MASTER'!$U$2:$U$495&lt;=4)*('CONTROL MASTER'!$W$2:$W$495&gt;=4))*ROW('CONTROL MASTER'!$S$2:$S$495))-(ROW('CONTROL MASTER'!#REF!)-1))),IF(SUMPRODUCT((('CONTROL MASTER'!$S$2:$S$495=9)*('CONTROL MASTER'!$Z$2:$Z$495&lt;=8)*('CONTROL MASTER'!$AB$2:$AB$495&gt;=8)*('CONTROL MASTER'!$AA$2:$AA$495&lt;=4)*('CONTROL MASTER'!$AC$2:$AC$495&gt;=4))*ROW('CONTROL MASTER'!$S$2:$S$495))&gt;0,INDEX('CONTROL MASTER'!$X$2:$X$495,(SUMPRODUCT((('CONTROL MASTER'!$S$2:$S$495=9)*('CONTROL MASTER'!$Z$2:$Z$495&lt;=8)*('CONTROL MASTER'!$AB$2:$AB$495&gt;=8)*('CONTROL MASTER'!$AA$2:$AA$495&lt;=4)*('CONTROL MASTER'!$AC$2:$AC$495&gt;=4))*ROW('CONTROL MASTER'!$S$2:$S$495))-(ROW('CONTROL MASTER'!#REF!)-1)))&amp;TRIM(MID(SUBSTITUTE(SUBSTITUTE(INDEX('CONTROL MASTER'!$N$2:$N$495,(SUMPRODUCT((('CONTROL MASTER'!$S$2:$S$495=9)*('CONTROL MASTER'!$Z$2:$Z$495&lt;=8)*('CONTROL MASTER'!$AB$2:$AB$495&gt;=8)*('CONTROL MASTER'!$AA$2:$AA$495&lt;=4)*('CONTROL MASTER'!$AC$2:$AC$495&gt;=4))*ROW('CONTROL MASTER'!$S$2:$S$495))-(ROW('CONTROL MASTER'!#REF!)-1))),":",","),",",REPT(" ",50)),(((INDEX('CONTROL MASTER'!$Y$2:$Y$495,(SUMPRODUCT((('CONTROL MASTER'!$S$2:$S$495=9)*('CONTROL MASTER'!$Z$2:$Z$495&lt;=8)*('CONTROL MASTER'!$AB$2:$AB$495&gt;=8)*('CONTROL MASTER'!$AA$2:$AA$495&lt;=4)*('CONTROL MASTER'!$AC$2:$AC$495&gt;=4))*ROW('CONTROL MASTER'!$S$2:$S$495))-(ROW('CONTROL MASTER'!#REF!)-1)))+((8-INDEX('CONTROL MASTER'!$Z$2:$Z$495,(SUMPRODUCT((('CONTROL MASTER'!$S$2:$S$495=9)*('CONTROL MASTER'!$Z$2:$Z$495&lt;=8)*('CONTROL MASTER'!$AB$2:$AB$495&gt;=8)*('CONTROL MASTER'!$AA$2:$AA$495&lt;=4)*('CONTROL MASTER'!$AC$2:$AC$495&gt;=4))*ROW('CONTROL MASTER'!$S$2:$S$495))-(ROW('CONTROL MASTER'!#REF!)-1))))*(INDEX('CONTROL MASTER'!$AC$2:$AC$495,(SUMPRODUCT((('CONTROL MASTER'!$S$2:$S$495=9)*('CONTROL MASTER'!$Z$2:$Z$495&lt;=8)*('CONTROL MASTER'!$AB$2:$AB$495&gt;=8)*('CONTROL MASTER'!$AA$2:$AA$495&lt;=4)*('CONTROL MASTER'!$AC$2:$AC$495&gt;=4))*ROW('CONTROL MASTER'!$S$2:$S$495))-(ROW('CONTROL MASTER'!#REF!)-1)))-INDEX('CONTROL MASTER'!$AA$2:$AA$495,(SUMPRODUCT((('CONTROL MASTER'!$S$2:$S$495=9)*('CONTROL MASTER'!$Z$2:$Z$495&lt;=8)*('CONTROL MASTER'!$AB$2:$AB$495&gt;=8)*('CONTROL MASTER'!$AA$2:$AA$495&lt;=4)*('CONTROL MASTER'!$AC$2:$AC$495&gt;=4))*ROW('CONTROL MASTER'!$S$2:$S$495))-(ROW('CONTROL MASTER'!#REF!)-1)))+1)+(4-INDEX('CONTROL MASTER'!$AA$2:$AA$495,(SUMPRODUCT((('CONTROL MASTER'!$S$2:$S$495=9)*('CONTROL MASTER'!$Z$2:$Z$495&lt;=8)*('CONTROL MASTER'!$AB$2:$AB$495&gt;=8)*('CONTROL MASTER'!$AA$2:$AA$495&lt;=4)*('CONTROL MASTER'!$AC$2:$AC$495&gt;=4))*ROW('CONTROL MASTER'!$S$2:$S$495))-(ROW('CONTROL MASTER'!#REF!)-1))))+1)))-1)*50+1,50))&amp;"_"&amp;INDEX('CONTROL MASTER'!$P$2:$P$495,(SUMPRODUCT((('CONTROL MASTER'!$S$2:$S$495=9)*('CONTROL MASTER'!$Z$2:$Z$495&lt;=8)*('CONTROL MASTER'!$AB$2:$AB$495&gt;=8)*('CONTROL MASTER'!$AA$2:$AA$495&lt;=4)*('CONTROL MASTER'!$AC$2:$AC$495&gt;=4))*ROW('CONTROL MASTER'!$S$2:$S$495))-(ROW('CONTROL MASTER'!#REF!)-1))),"")),"")</f>
        <v/>
      </c>
      <c r="F122" s="10" t="str">
        <f>IFERROR(IF(SUMPRODUCT((('CONTROL MASTER'!$S$2:$S$495=9)*('CONTROL MASTER'!$T$2:$T$495&lt;=8)*('CONTROL MASTER'!$V$2:$V$495&gt;=8)*('CONTROL MASTER'!$U$2:$U$495&lt;=5)*('CONTROL MASTER'!$W$2:$W$495&gt;=5))*ROW('CONTROL MASTER'!$S$2:$S$495))&gt;0,INDEX('CONTROL MASTER'!$X$2:$X$495,(SUMPRODUCT((('CONTROL MASTER'!$S$2:$S$495=9)*('CONTROL MASTER'!$T$2:$T$495&lt;=8)*('CONTROL MASTER'!$V$2:$V$495&gt;=8)*('CONTROL MASTER'!$U$2:$U$495&lt;=5)*('CONTROL MASTER'!$W$2:$W$495&gt;=5))*ROW('CONTROL MASTER'!$S$2:$S$495))-(ROW('CONTROL MASTER'!#REF!)-1)))&amp;TRIM(MID(SUBSTITUTE(SUBSTITUTE(INDEX('CONTROL MASTER'!$N$2:$N$495,(SUMPRODUCT((('CONTROL MASTER'!$S$2:$S$495=9)*('CONTROL MASTER'!$T$2:$T$495&lt;=8)*('CONTROL MASTER'!$V$2:$V$495&gt;=8)*('CONTROL MASTER'!$U$2:$U$495&lt;=5)*('CONTROL MASTER'!$W$2:$W$495&gt;=5))*ROW('CONTROL MASTER'!$S$2:$S$495))-(ROW('CONTROL MASTER'!#REF!)-1))),":",","),",",REPT(" ",50)),((((8-INDEX('CONTROL MASTER'!$T$2:$T$495,(SUMPRODUCT((('CONTROL MASTER'!$S$2:$S$495=9)*('CONTROL MASTER'!$T$2:$T$495&lt;=8)*('CONTROL MASTER'!$V$2:$V$495&gt;=8)*('CONTROL MASTER'!$U$2:$U$495&lt;=5)*('CONTROL MASTER'!$W$2:$W$495&gt;=5))*ROW('CONTROL MASTER'!$S$2:$S$495))-(ROW('CONTROL MASTER'!#REF!)-1))))*(INDEX('CONTROL MASTER'!$W$2:$W$495,(SUMPRODUCT((('CONTROL MASTER'!$S$2:$S$495=9)*('CONTROL MASTER'!$T$2:$T$495&lt;=8)*('CONTROL MASTER'!$V$2:$V$495&gt;=8)*('CONTROL MASTER'!$U$2:$U$495&lt;=5)*('CONTROL MASTER'!$W$2:$W$495&gt;=5))*ROW('CONTROL MASTER'!$S$2:$S$495))-(ROW('CONTROL MASTER'!#REF!)-1)))-INDEX('CONTROL MASTER'!$U$2:$U$495,(SUMPRODUCT((('CONTROL MASTER'!$S$2:$S$495=9)*('CONTROL MASTER'!$T$2:$T$495&lt;=8)*('CONTROL MASTER'!$V$2:$V$495&gt;=8)*('CONTROL MASTER'!$U$2:$U$495&lt;=5)*('CONTROL MASTER'!$W$2:$W$495&gt;=5))*ROW('CONTROL MASTER'!$S$2:$S$495))-(ROW('CONTROL MASTER'!#REF!)-1)))+1)+(5-INDEX('CONTROL MASTER'!$U$2:$U$495,(SUMPRODUCT((('CONTROL MASTER'!$S$2:$S$495=9)*('CONTROL MASTER'!$T$2:$T$495&lt;=8)*('CONTROL MASTER'!$V$2:$V$495&gt;=8)*('CONTROL MASTER'!$U$2:$U$495&lt;=5)*('CONTROL MASTER'!$W$2:$W$495&gt;=5))*ROW('CONTROL MASTER'!$S$2:$S$495))-(ROW('CONTROL MASTER'!#REF!)-1))))+1))-1)*50+1,50))&amp;"_"&amp;INDEX('CONTROL MASTER'!$P$2:$P$495,(SUMPRODUCT((('CONTROL MASTER'!$S$2:$S$495=9)*('CONTROL MASTER'!$T$2:$T$495&lt;=8)*('CONTROL MASTER'!$V$2:$V$495&gt;=8)*('CONTROL MASTER'!$U$2:$U$495&lt;=5)*('CONTROL MASTER'!$W$2:$W$495&gt;=5))*ROW('CONTROL MASTER'!$S$2:$S$495))-(ROW('CONTROL MASTER'!#REF!)-1))),IF(SUMPRODUCT((('CONTROL MASTER'!$S$2:$S$495=9)*('CONTROL MASTER'!$Z$2:$Z$495&lt;=8)*('CONTROL MASTER'!$AB$2:$AB$495&gt;=8)*('CONTROL MASTER'!$AA$2:$AA$495&lt;=5)*('CONTROL MASTER'!$AC$2:$AC$495&gt;=5))*ROW('CONTROL MASTER'!$S$2:$S$495))&gt;0,INDEX('CONTROL MASTER'!$X$2:$X$495,(SUMPRODUCT((('CONTROL MASTER'!$S$2:$S$495=9)*('CONTROL MASTER'!$Z$2:$Z$495&lt;=8)*('CONTROL MASTER'!$AB$2:$AB$495&gt;=8)*('CONTROL MASTER'!$AA$2:$AA$495&lt;=5)*('CONTROL MASTER'!$AC$2:$AC$495&gt;=5))*ROW('CONTROL MASTER'!$S$2:$S$495))-(ROW('CONTROL MASTER'!#REF!)-1)))&amp;TRIM(MID(SUBSTITUTE(SUBSTITUTE(INDEX('CONTROL MASTER'!$N$2:$N$495,(SUMPRODUCT((('CONTROL MASTER'!$S$2:$S$495=9)*('CONTROL MASTER'!$Z$2:$Z$495&lt;=8)*('CONTROL MASTER'!$AB$2:$AB$495&gt;=8)*('CONTROL MASTER'!$AA$2:$AA$495&lt;=5)*('CONTROL MASTER'!$AC$2:$AC$495&gt;=5))*ROW('CONTROL MASTER'!$S$2:$S$495))-(ROW('CONTROL MASTER'!#REF!)-1))),":",","),",",REPT(" ",50)),(((INDEX('CONTROL MASTER'!$Y$2:$Y$495,(SUMPRODUCT((('CONTROL MASTER'!$S$2:$S$495=9)*('CONTROL MASTER'!$Z$2:$Z$495&lt;=8)*('CONTROL MASTER'!$AB$2:$AB$495&gt;=8)*('CONTROL MASTER'!$AA$2:$AA$495&lt;=5)*('CONTROL MASTER'!$AC$2:$AC$495&gt;=5))*ROW('CONTROL MASTER'!$S$2:$S$495))-(ROW('CONTROL MASTER'!#REF!)-1)))+((8-INDEX('CONTROL MASTER'!$Z$2:$Z$495,(SUMPRODUCT((('CONTROL MASTER'!$S$2:$S$495=9)*('CONTROL MASTER'!$Z$2:$Z$495&lt;=8)*('CONTROL MASTER'!$AB$2:$AB$495&gt;=8)*('CONTROL MASTER'!$AA$2:$AA$495&lt;=5)*('CONTROL MASTER'!$AC$2:$AC$495&gt;=5))*ROW('CONTROL MASTER'!$S$2:$S$495))-(ROW('CONTROL MASTER'!#REF!)-1))))*(INDEX('CONTROL MASTER'!$AC$2:$AC$495,(SUMPRODUCT((('CONTROL MASTER'!$S$2:$S$495=9)*('CONTROL MASTER'!$Z$2:$Z$495&lt;=8)*('CONTROL MASTER'!$AB$2:$AB$495&gt;=8)*('CONTROL MASTER'!$AA$2:$AA$495&lt;=5)*('CONTROL MASTER'!$AC$2:$AC$495&gt;=5))*ROW('CONTROL MASTER'!$S$2:$S$495))-(ROW('CONTROL MASTER'!#REF!)-1)))-INDEX('CONTROL MASTER'!$AA$2:$AA$495,(SUMPRODUCT((('CONTROL MASTER'!$S$2:$S$495=9)*('CONTROL MASTER'!$Z$2:$Z$495&lt;=8)*('CONTROL MASTER'!$AB$2:$AB$495&gt;=8)*('CONTROL MASTER'!$AA$2:$AA$495&lt;=5)*('CONTROL MASTER'!$AC$2:$AC$495&gt;=5))*ROW('CONTROL MASTER'!$S$2:$S$495))-(ROW('CONTROL MASTER'!#REF!)-1)))+1)+(5-INDEX('CONTROL MASTER'!$AA$2:$AA$495,(SUMPRODUCT((('CONTROL MASTER'!$S$2:$S$495=9)*('CONTROL MASTER'!$Z$2:$Z$495&lt;=8)*('CONTROL MASTER'!$AB$2:$AB$495&gt;=8)*('CONTROL MASTER'!$AA$2:$AA$495&lt;=5)*('CONTROL MASTER'!$AC$2:$AC$495&gt;=5))*ROW('CONTROL MASTER'!$S$2:$S$495))-(ROW('CONTROL MASTER'!#REF!)-1))))+1)))-1)*50+1,50))&amp;"_"&amp;INDEX('CONTROL MASTER'!$P$2:$P$495,(SUMPRODUCT((('CONTROL MASTER'!$S$2:$S$495=9)*('CONTROL MASTER'!$Z$2:$Z$495&lt;=8)*('CONTROL MASTER'!$AB$2:$AB$495&gt;=8)*('CONTROL MASTER'!$AA$2:$AA$495&lt;=5)*('CONTROL MASTER'!$AC$2:$AC$495&gt;=5))*ROW('CONTROL MASTER'!$S$2:$S$495))-(ROW('CONTROL MASTER'!#REF!)-1))),"")),"")</f>
        <v/>
      </c>
      <c r="G122" s="10" t="str">
        <f>IFERROR(IF(SUMPRODUCT((('CONTROL MASTER'!$S$2:$S$495=9)*('CONTROL MASTER'!$T$2:$T$495&lt;=8)*('CONTROL MASTER'!$V$2:$V$495&gt;=8)*('CONTROL MASTER'!$U$2:$U$495&lt;=6)*('CONTROL MASTER'!$W$2:$W$495&gt;=6))*ROW('CONTROL MASTER'!$S$2:$S$495))&gt;0,INDEX('CONTROL MASTER'!$X$2:$X$495,(SUMPRODUCT((('CONTROL MASTER'!$S$2:$S$495=9)*('CONTROL MASTER'!$T$2:$T$495&lt;=8)*('CONTROL MASTER'!$V$2:$V$495&gt;=8)*('CONTROL MASTER'!$U$2:$U$495&lt;=6)*('CONTROL MASTER'!$W$2:$W$495&gt;=6))*ROW('CONTROL MASTER'!$S$2:$S$495))-(ROW('CONTROL MASTER'!#REF!)-1)))&amp;TRIM(MID(SUBSTITUTE(SUBSTITUTE(INDEX('CONTROL MASTER'!$N$2:$N$495,(SUMPRODUCT((('CONTROL MASTER'!$S$2:$S$495=9)*('CONTROL MASTER'!$T$2:$T$495&lt;=8)*('CONTROL MASTER'!$V$2:$V$495&gt;=8)*('CONTROL MASTER'!$U$2:$U$495&lt;=6)*('CONTROL MASTER'!$W$2:$W$495&gt;=6))*ROW('CONTROL MASTER'!$S$2:$S$495))-(ROW('CONTROL MASTER'!#REF!)-1))),":",","),",",REPT(" ",50)),((((8-INDEX('CONTROL MASTER'!$T$2:$T$495,(SUMPRODUCT((('CONTROL MASTER'!$S$2:$S$495=9)*('CONTROL MASTER'!$T$2:$T$495&lt;=8)*('CONTROL MASTER'!$V$2:$V$495&gt;=8)*('CONTROL MASTER'!$U$2:$U$495&lt;=6)*('CONTROL MASTER'!$W$2:$W$495&gt;=6))*ROW('CONTROL MASTER'!$S$2:$S$495))-(ROW('CONTROL MASTER'!#REF!)-1))))*(INDEX('CONTROL MASTER'!$W$2:$W$495,(SUMPRODUCT((('CONTROL MASTER'!$S$2:$S$495=9)*('CONTROL MASTER'!$T$2:$T$495&lt;=8)*('CONTROL MASTER'!$V$2:$V$495&gt;=8)*('CONTROL MASTER'!$U$2:$U$495&lt;=6)*('CONTROL MASTER'!$W$2:$W$495&gt;=6))*ROW('CONTROL MASTER'!$S$2:$S$495))-(ROW('CONTROL MASTER'!#REF!)-1)))-INDEX('CONTROL MASTER'!$U$2:$U$495,(SUMPRODUCT((('CONTROL MASTER'!$S$2:$S$495=9)*('CONTROL MASTER'!$T$2:$T$495&lt;=8)*('CONTROL MASTER'!$V$2:$V$495&gt;=8)*('CONTROL MASTER'!$U$2:$U$495&lt;=6)*('CONTROL MASTER'!$W$2:$W$495&gt;=6))*ROW('CONTROL MASTER'!$S$2:$S$495))-(ROW('CONTROL MASTER'!#REF!)-1)))+1)+(6-INDEX('CONTROL MASTER'!$U$2:$U$495,(SUMPRODUCT((('CONTROL MASTER'!$S$2:$S$495=9)*('CONTROL MASTER'!$T$2:$T$495&lt;=8)*('CONTROL MASTER'!$V$2:$V$495&gt;=8)*('CONTROL MASTER'!$U$2:$U$495&lt;=6)*('CONTROL MASTER'!$W$2:$W$495&gt;=6))*ROW('CONTROL MASTER'!$S$2:$S$495))-(ROW('CONTROL MASTER'!#REF!)-1))))+1))-1)*50+1,50))&amp;"_"&amp;INDEX('CONTROL MASTER'!$P$2:$P$495,(SUMPRODUCT((('CONTROL MASTER'!$S$2:$S$495=9)*('CONTROL MASTER'!$T$2:$T$495&lt;=8)*('CONTROL MASTER'!$V$2:$V$495&gt;=8)*('CONTROL MASTER'!$U$2:$U$495&lt;=6)*('CONTROL MASTER'!$W$2:$W$495&gt;=6))*ROW('CONTROL MASTER'!$S$2:$S$495))-(ROW('CONTROL MASTER'!#REF!)-1))),IF(SUMPRODUCT((('CONTROL MASTER'!$S$2:$S$495=9)*('CONTROL MASTER'!$Z$2:$Z$495&lt;=8)*('CONTROL MASTER'!$AB$2:$AB$495&gt;=8)*('CONTROL MASTER'!$AA$2:$AA$495&lt;=6)*('CONTROL MASTER'!$AC$2:$AC$495&gt;=6))*ROW('CONTROL MASTER'!$S$2:$S$495))&gt;0,INDEX('CONTROL MASTER'!$X$2:$X$495,(SUMPRODUCT((('CONTROL MASTER'!$S$2:$S$495=9)*('CONTROL MASTER'!$Z$2:$Z$495&lt;=8)*('CONTROL MASTER'!$AB$2:$AB$495&gt;=8)*('CONTROL MASTER'!$AA$2:$AA$495&lt;=6)*('CONTROL MASTER'!$AC$2:$AC$495&gt;=6))*ROW('CONTROL MASTER'!$S$2:$S$495))-(ROW('CONTROL MASTER'!#REF!)-1)))&amp;TRIM(MID(SUBSTITUTE(SUBSTITUTE(INDEX('CONTROL MASTER'!$N$2:$N$495,(SUMPRODUCT((('CONTROL MASTER'!$S$2:$S$495=9)*('CONTROL MASTER'!$Z$2:$Z$495&lt;=8)*('CONTROL MASTER'!$AB$2:$AB$495&gt;=8)*('CONTROL MASTER'!$AA$2:$AA$495&lt;=6)*('CONTROL MASTER'!$AC$2:$AC$495&gt;=6))*ROW('CONTROL MASTER'!$S$2:$S$495))-(ROW('CONTROL MASTER'!#REF!)-1))),":",","),",",REPT(" ",50)),(((INDEX('CONTROL MASTER'!$Y$2:$Y$495,(SUMPRODUCT((('CONTROL MASTER'!$S$2:$S$495=9)*('CONTROL MASTER'!$Z$2:$Z$495&lt;=8)*('CONTROL MASTER'!$AB$2:$AB$495&gt;=8)*('CONTROL MASTER'!$AA$2:$AA$495&lt;=6)*('CONTROL MASTER'!$AC$2:$AC$495&gt;=6))*ROW('CONTROL MASTER'!$S$2:$S$495))-(ROW('CONTROL MASTER'!#REF!)-1)))+((8-INDEX('CONTROL MASTER'!$Z$2:$Z$495,(SUMPRODUCT((('CONTROL MASTER'!$S$2:$S$495=9)*('CONTROL MASTER'!$Z$2:$Z$495&lt;=8)*('CONTROL MASTER'!$AB$2:$AB$495&gt;=8)*('CONTROL MASTER'!$AA$2:$AA$495&lt;=6)*('CONTROL MASTER'!$AC$2:$AC$495&gt;=6))*ROW('CONTROL MASTER'!$S$2:$S$495))-(ROW('CONTROL MASTER'!#REF!)-1))))*(INDEX('CONTROL MASTER'!$AC$2:$AC$495,(SUMPRODUCT((('CONTROL MASTER'!$S$2:$S$495=9)*('CONTROL MASTER'!$Z$2:$Z$495&lt;=8)*('CONTROL MASTER'!$AB$2:$AB$495&gt;=8)*('CONTROL MASTER'!$AA$2:$AA$495&lt;=6)*('CONTROL MASTER'!$AC$2:$AC$495&gt;=6))*ROW('CONTROL MASTER'!$S$2:$S$495))-(ROW('CONTROL MASTER'!#REF!)-1)))-INDEX('CONTROL MASTER'!$AA$2:$AA$495,(SUMPRODUCT((('CONTROL MASTER'!$S$2:$S$495=9)*('CONTROL MASTER'!$Z$2:$Z$495&lt;=8)*('CONTROL MASTER'!$AB$2:$AB$495&gt;=8)*('CONTROL MASTER'!$AA$2:$AA$495&lt;=6)*('CONTROL MASTER'!$AC$2:$AC$495&gt;=6))*ROW('CONTROL MASTER'!$S$2:$S$495))-(ROW('CONTROL MASTER'!#REF!)-1)))+1)+(6-INDEX('CONTROL MASTER'!$AA$2:$AA$495,(SUMPRODUCT((('CONTROL MASTER'!$S$2:$S$495=9)*('CONTROL MASTER'!$Z$2:$Z$495&lt;=8)*('CONTROL MASTER'!$AB$2:$AB$495&gt;=8)*('CONTROL MASTER'!$AA$2:$AA$495&lt;=6)*('CONTROL MASTER'!$AC$2:$AC$495&gt;=6))*ROW('CONTROL MASTER'!$S$2:$S$495))-(ROW('CONTROL MASTER'!#REF!)-1))))+1)))-1)*50+1,50))&amp;"_"&amp;INDEX('CONTROL MASTER'!$P$2:$P$495,(SUMPRODUCT((('CONTROL MASTER'!$S$2:$S$495=9)*('CONTROL MASTER'!$Z$2:$Z$495&lt;=8)*('CONTROL MASTER'!$AB$2:$AB$495&gt;=8)*('CONTROL MASTER'!$AA$2:$AA$495&lt;=6)*('CONTROL MASTER'!$AC$2:$AC$495&gt;=6))*ROW('CONTROL MASTER'!$S$2:$S$495))-(ROW('CONTROL MASTER'!#REF!)-1))),"")),"")</f>
        <v/>
      </c>
      <c r="H122" s="10" t="str">
        <f>IFERROR(IF(SUMPRODUCT((('CONTROL MASTER'!$S$2:$S$495=9)*('CONTROL MASTER'!$T$2:$T$495&lt;=8)*('CONTROL MASTER'!$V$2:$V$495&gt;=8)*('CONTROL MASTER'!$U$2:$U$495&lt;=7)*('CONTROL MASTER'!$W$2:$W$495&gt;=7))*ROW('CONTROL MASTER'!$S$2:$S$495))&gt;0,INDEX('CONTROL MASTER'!$X$2:$X$495,(SUMPRODUCT((('CONTROL MASTER'!$S$2:$S$495=9)*('CONTROL MASTER'!$T$2:$T$495&lt;=8)*('CONTROL MASTER'!$V$2:$V$495&gt;=8)*('CONTROL MASTER'!$U$2:$U$495&lt;=7)*('CONTROL MASTER'!$W$2:$W$495&gt;=7))*ROW('CONTROL MASTER'!$S$2:$S$495))-(ROW('CONTROL MASTER'!#REF!)-1)))&amp;TRIM(MID(SUBSTITUTE(SUBSTITUTE(INDEX('CONTROL MASTER'!$N$2:$N$495,(SUMPRODUCT((('CONTROL MASTER'!$S$2:$S$495=9)*('CONTROL MASTER'!$T$2:$T$495&lt;=8)*('CONTROL MASTER'!$V$2:$V$495&gt;=8)*('CONTROL MASTER'!$U$2:$U$495&lt;=7)*('CONTROL MASTER'!$W$2:$W$495&gt;=7))*ROW('CONTROL MASTER'!$S$2:$S$495))-(ROW('CONTROL MASTER'!#REF!)-1))),":",","),",",REPT(" ",50)),((((8-INDEX('CONTROL MASTER'!$T$2:$T$495,(SUMPRODUCT((('CONTROL MASTER'!$S$2:$S$495=9)*('CONTROL MASTER'!$T$2:$T$495&lt;=8)*('CONTROL MASTER'!$V$2:$V$495&gt;=8)*('CONTROL MASTER'!$U$2:$U$495&lt;=7)*('CONTROL MASTER'!$W$2:$W$495&gt;=7))*ROW('CONTROL MASTER'!$S$2:$S$495))-(ROW('CONTROL MASTER'!#REF!)-1))))*(INDEX('CONTROL MASTER'!$W$2:$W$495,(SUMPRODUCT((('CONTROL MASTER'!$S$2:$S$495=9)*('CONTROL MASTER'!$T$2:$T$495&lt;=8)*('CONTROL MASTER'!$V$2:$V$495&gt;=8)*('CONTROL MASTER'!$U$2:$U$495&lt;=7)*('CONTROL MASTER'!$W$2:$W$495&gt;=7))*ROW('CONTROL MASTER'!$S$2:$S$495))-(ROW('CONTROL MASTER'!#REF!)-1)))-INDEX('CONTROL MASTER'!$U$2:$U$495,(SUMPRODUCT((('CONTROL MASTER'!$S$2:$S$495=9)*('CONTROL MASTER'!$T$2:$T$495&lt;=8)*('CONTROL MASTER'!$V$2:$V$495&gt;=8)*('CONTROL MASTER'!$U$2:$U$495&lt;=7)*('CONTROL MASTER'!$W$2:$W$495&gt;=7))*ROW('CONTROL MASTER'!$S$2:$S$495))-(ROW('CONTROL MASTER'!#REF!)-1)))+1)+(7-INDEX('CONTROL MASTER'!$U$2:$U$495,(SUMPRODUCT((('CONTROL MASTER'!$S$2:$S$495=9)*('CONTROL MASTER'!$T$2:$T$495&lt;=8)*('CONTROL MASTER'!$V$2:$V$495&gt;=8)*('CONTROL MASTER'!$U$2:$U$495&lt;=7)*('CONTROL MASTER'!$W$2:$W$495&gt;=7))*ROW('CONTROL MASTER'!$S$2:$S$495))-(ROW('CONTROL MASTER'!#REF!)-1))))+1))-1)*50+1,50))&amp;"_"&amp;INDEX('CONTROL MASTER'!$P$2:$P$495,(SUMPRODUCT((('CONTROL MASTER'!$S$2:$S$495=9)*('CONTROL MASTER'!$T$2:$T$495&lt;=8)*('CONTROL MASTER'!$V$2:$V$495&gt;=8)*('CONTROL MASTER'!$U$2:$U$495&lt;=7)*('CONTROL MASTER'!$W$2:$W$495&gt;=7))*ROW('CONTROL MASTER'!$S$2:$S$495))-(ROW('CONTROL MASTER'!#REF!)-1))),IF(SUMPRODUCT((('CONTROL MASTER'!$S$2:$S$495=9)*('CONTROL MASTER'!$Z$2:$Z$495&lt;=8)*('CONTROL MASTER'!$AB$2:$AB$495&gt;=8)*('CONTROL MASTER'!$AA$2:$AA$495&lt;=7)*('CONTROL MASTER'!$AC$2:$AC$495&gt;=7))*ROW('CONTROL MASTER'!$S$2:$S$495))&gt;0,INDEX('CONTROL MASTER'!$X$2:$X$495,(SUMPRODUCT((('CONTROL MASTER'!$S$2:$S$495=9)*('CONTROL MASTER'!$Z$2:$Z$495&lt;=8)*('CONTROL MASTER'!$AB$2:$AB$495&gt;=8)*('CONTROL MASTER'!$AA$2:$AA$495&lt;=7)*('CONTROL MASTER'!$AC$2:$AC$495&gt;=7))*ROW('CONTROL MASTER'!$S$2:$S$495))-(ROW('CONTROL MASTER'!#REF!)-1)))&amp;TRIM(MID(SUBSTITUTE(SUBSTITUTE(INDEX('CONTROL MASTER'!$N$2:$N$495,(SUMPRODUCT((('CONTROL MASTER'!$S$2:$S$495=9)*('CONTROL MASTER'!$Z$2:$Z$495&lt;=8)*('CONTROL MASTER'!$AB$2:$AB$495&gt;=8)*('CONTROL MASTER'!$AA$2:$AA$495&lt;=7)*('CONTROL MASTER'!$AC$2:$AC$495&gt;=7))*ROW('CONTROL MASTER'!$S$2:$S$495))-(ROW('CONTROL MASTER'!#REF!)-1))),":",","),",",REPT(" ",50)),(((INDEX('CONTROL MASTER'!$Y$2:$Y$495,(SUMPRODUCT((('CONTROL MASTER'!$S$2:$S$495=9)*('CONTROL MASTER'!$Z$2:$Z$495&lt;=8)*('CONTROL MASTER'!$AB$2:$AB$495&gt;=8)*('CONTROL MASTER'!$AA$2:$AA$495&lt;=7)*('CONTROL MASTER'!$AC$2:$AC$495&gt;=7))*ROW('CONTROL MASTER'!$S$2:$S$495))-(ROW('CONTROL MASTER'!#REF!)-1)))+((8-INDEX('CONTROL MASTER'!$Z$2:$Z$495,(SUMPRODUCT((('CONTROL MASTER'!$S$2:$S$495=9)*('CONTROL MASTER'!$Z$2:$Z$495&lt;=8)*('CONTROL MASTER'!$AB$2:$AB$495&gt;=8)*('CONTROL MASTER'!$AA$2:$AA$495&lt;=7)*('CONTROL MASTER'!$AC$2:$AC$495&gt;=7))*ROW('CONTROL MASTER'!$S$2:$S$495))-(ROW('CONTROL MASTER'!#REF!)-1))))*(INDEX('CONTROL MASTER'!$AC$2:$AC$495,(SUMPRODUCT((('CONTROL MASTER'!$S$2:$S$495=9)*('CONTROL MASTER'!$Z$2:$Z$495&lt;=8)*('CONTROL MASTER'!$AB$2:$AB$495&gt;=8)*('CONTROL MASTER'!$AA$2:$AA$495&lt;=7)*('CONTROL MASTER'!$AC$2:$AC$495&gt;=7))*ROW('CONTROL MASTER'!$S$2:$S$495))-(ROW('CONTROL MASTER'!#REF!)-1)))-INDEX('CONTROL MASTER'!$AA$2:$AA$495,(SUMPRODUCT((('CONTROL MASTER'!$S$2:$S$495=9)*('CONTROL MASTER'!$Z$2:$Z$495&lt;=8)*('CONTROL MASTER'!$AB$2:$AB$495&gt;=8)*('CONTROL MASTER'!$AA$2:$AA$495&lt;=7)*('CONTROL MASTER'!$AC$2:$AC$495&gt;=7))*ROW('CONTROL MASTER'!$S$2:$S$495))-(ROW('CONTROL MASTER'!#REF!)-1)))+1)+(7-INDEX('CONTROL MASTER'!$AA$2:$AA$495,(SUMPRODUCT((('CONTROL MASTER'!$S$2:$S$495=9)*('CONTROL MASTER'!$Z$2:$Z$495&lt;=8)*('CONTROL MASTER'!$AB$2:$AB$495&gt;=8)*('CONTROL MASTER'!$AA$2:$AA$495&lt;=7)*('CONTROL MASTER'!$AC$2:$AC$495&gt;=7))*ROW('CONTROL MASTER'!$S$2:$S$495))-(ROW('CONTROL MASTER'!#REF!)-1))))+1)))-1)*50+1,50))&amp;"_"&amp;INDEX('CONTROL MASTER'!$P$2:$P$495,(SUMPRODUCT((('CONTROL MASTER'!$S$2:$S$495=9)*('CONTROL MASTER'!$Z$2:$Z$495&lt;=8)*('CONTROL MASTER'!$AB$2:$AB$495&gt;=8)*('CONTROL MASTER'!$AA$2:$AA$495&lt;=7)*('CONTROL MASTER'!$AC$2:$AC$495&gt;=7))*ROW('CONTROL MASTER'!$S$2:$S$495))-(ROW('CONTROL MASTER'!#REF!)-1))),"")),"")</f>
        <v/>
      </c>
      <c r="I122" s="10" t="str">
        <f>IFERROR(IF(SUMPRODUCT((('CONTROL MASTER'!$S$2:$S$495=9)*('CONTROL MASTER'!$T$2:$T$495&lt;=8)*('CONTROL MASTER'!$V$2:$V$495&gt;=8)*('CONTROL MASTER'!$U$2:$U$495&lt;=8)*('CONTROL MASTER'!$W$2:$W$495&gt;=8))*ROW('CONTROL MASTER'!$S$2:$S$495))&gt;0,INDEX('CONTROL MASTER'!$X$2:$X$495,(SUMPRODUCT((('CONTROL MASTER'!$S$2:$S$495=9)*('CONTROL MASTER'!$T$2:$T$495&lt;=8)*('CONTROL MASTER'!$V$2:$V$495&gt;=8)*('CONTROL MASTER'!$U$2:$U$495&lt;=8)*('CONTROL MASTER'!$W$2:$W$495&gt;=8))*ROW('CONTROL MASTER'!$S$2:$S$495))-(ROW('CONTROL MASTER'!#REF!)-1)))&amp;TRIM(MID(SUBSTITUTE(SUBSTITUTE(INDEX('CONTROL MASTER'!$N$2:$N$495,(SUMPRODUCT((('CONTROL MASTER'!$S$2:$S$495=9)*('CONTROL MASTER'!$T$2:$T$495&lt;=8)*('CONTROL MASTER'!$V$2:$V$495&gt;=8)*('CONTROL MASTER'!$U$2:$U$495&lt;=8)*('CONTROL MASTER'!$W$2:$W$495&gt;=8))*ROW('CONTROL MASTER'!$S$2:$S$495))-(ROW('CONTROL MASTER'!#REF!)-1))),":",","),",",REPT(" ",50)),((((8-INDEX('CONTROL MASTER'!$T$2:$T$495,(SUMPRODUCT((('CONTROL MASTER'!$S$2:$S$495=9)*('CONTROL MASTER'!$T$2:$T$495&lt;=8)*('CONTROL MASTER'!$V$2:$V$495&gt;=8)*('CONTROL MASTER'!$U$2:$U$495&lt;=8)*('CONTROL MASTER'!$W$2:$W$495&gt;=8))*ROW('CONTROL MASTER'!$S$2:$S$495))-(ROW('CONTROL MASTER'!#REF!)-1))))*(INDEX('CONTROL MASTER'!$W$2:$W$495,(SUMPRODUCT((('CONTROL MASTER'!$S$2:$S$495=9)*('CONTROL MASTER'!$T$2:$T$495&lt;=8)*('CONTROL MASTER'!$V$2:$V$495&gt;=8)*('CONTROL MASTER'!$U$2:$U$495&lt;=8)*('CONTROL MASTER'!$W$2:$W$495&gt;=8))*ROW('CONTROL MASTER'!$S$2:$S$495))-(ROW('CONTROL MASTER'!#REF!)-1)))-INDEX('CONTROL MASTER'!$U$2:$U$495,(SUMPRODUCT((('CONTROL MASTER'!$S$2:$S$495=9)*('CONTROL MASTER'!$T$2:$T$495&lt;=8)*('CONTROL MASTER'!$V$2:$V$495&gt;=8)*('CONTROL MASTER'!$U$2:$U$495&lt;=8)*('CONTROL MASTER'!$W$2:$W$495&gt;=8))*ROW('CONTROL MASTER'!$S$2:$S$495))-(ROW('CONTROL MASTER'!#REF!)-1)))+1)+(8-INDEX('CONTROL MASTER'!$U$2:$U$495,(SUMPRODUCT((('CONTROL MASTER'!$S$2:$S$495=9)*('CONTROL MASTER'!$T$2:$T$495&lt;=8)*('CONTROL MASTER'!$V$2:$V$495&gt;=8)*('CONTROL MASTER'!$U$2:$U$495&lt;=8)*('CONTROL MASTER'!$W$2:$W$495&gt;=8))*ROW('CONTROL MASTER'!$S$2:$S$495))-(ROW('CONTROL MASTER'!#REF!)-1))))+1))-1)*50+1,50))&amp;"_"&amp;INDEX('CONTROL MASTER'!$P$2:$P$495,(SUMPRODUCT((('CONTROL MASTER'!$S$2:$S$495=9)*('CONTROL MASTER'!$T$2:$T$495&lt;=8)*('CONTROL MASTER'!$V$2:$V$495&gt;=8)*('CONTROL MASTER'!$U$2:$U$495&lt;=8)*('CONTROL MASTER'!$W$2:$W$495&gt;=8))*ROW('CONTROL MASTER'!$S$2:$S$495))-(ROW('CONTROL MASTER'!#REF!)-1))),IF(SUMPRODUCT((('CONTROL MASTER'!$S$2:$S$495=9)*('CONTROL MASTER'!$Z$2:$Z$495&lt;=8)*('CONTROL MASTER'!$AB$2:$AB$495&gt;=8)*('CONTROL MASTER'!$AA$2:$AA$495&lt;=8)*('CONTROL MASTER'!$AC$2:$AC$495&gt;=8))*ROW('CONTROL MASTER'!$S$2:$S$495))&gt;0,INDEX('CONTROL MASTER'!$X$2:$X$495,(SUMPRODUCT((('CONTROL MASTER'!$S$2:$S$495=9)*('CONTROL MASTER'!$Z$2:$Z$495&lt;=8)*('CONTROL MASTER'!$AB$2:$AB$495&gt;=8)*('CONTROL MASTER'!$AA$2:$AA$495&lt;=8)*('CONTROL MASTER'!$AC$2:$AC$495&gt;=8))*ROW('CONTROL MASTER'!$S$2:$S$495))-(ROW('CONTROL MASTER'!#REF!)-1)))&amp;TRIM(MID(SUBSTITUTE(SUBSTITUTE(INDEX('CONTROL MASTER'!$N$2:$N$495,(SUMPRODUCT((('CONTROL MASTER'!$S$2:$S$495=9)*('CONTROL MASTER'!$Z$2:$Z$495&lt;=8)*('CONTROL MASTER'!$AB$2:$AB$495&gt;=8)*('CONTROL MASTER'!$AA$2:$AA$495&lt;=8)*('CONTROL MASTER'!$AC$2:$AC$495&gt;=8))*ROW('CONTROL MASTER'!$S$2:$S$495))-(ROW('CONTROL MASTER'!#REF!)-1))),":",","),",",REPT(" ",50)),(((INDEX('CONTROL MASTER'!$Y$2:$Y$495,(SUMPRODUCT((('CONTROL MASTER'!$S$2:$S$495=9)*('CONTROL MASTER'!$Z$2:$Z$495&lt;=8)*('CONTROL MASTER'!$AB$2:$AB$495&gt;=8)*('CONTROL MASTER'!$AA$2:$AA$495&lt;=8)*('CONTROL MASTER'!$AC$2:$AC$495&gt;=8))*ROW('CONTROL MASTER'!$S$2:$S$495))-(ROW('CONTROL MASTER'!#REF!)-1)))+((8-INDEX('CONTROL MASTER'!$Z$2:$Z$495,(SUMPRODUCT((('CONTROL MASTER'!$S$2:$S$495=9)*('CONTROL MASTER'!$Z$2:$Z$495&lt;=8)*('CONTROL MASTER'!$AB$2:$AB$495&gt;=8)*('CONTROL MASTER'!$AA$2:$AA$495&lt;=8)*('CONTROL MASTER'!$AC$2:$AC$495&gt;=8))*ROW('CONTROL MASTER'!$S$2:$S$495))-(ROW('CONTROL MASTER'!#REF!)-1))))*(INDEX('CONTROL MASTER'!$AC$2:$AC$495,(SUMPRODUCT((('CONTROL MASTER'!$S$2:$S$495=9)*('CONTROL MASTER'!$Z$2:$Z$495&lt;=8)*('CONTROL MASTER'!$AB$2:$AB$495&gt;=8)*('CONTROL MASTER'!$AA$2:$AA$495&lt;=8)*('CONTROL MASTER'!$AC$2:$AC$495&gt;=8))*ROW('CONTROL MASTER'!$S$2:$S$495))-(ROW('CONTROL MASTER'!#REF!)-1)))-INDEX('CONTROL MASTER'!$AA$2:$AA$495,(SUMPRODUCT((('CONTROL MASTER'!$S$2:$S$495=9)*('CONTROL MASTER'!$Z$2:$Z$495&lt;=8)*('CONTROL MASTER'!$AB$2:$AB$495&gt;=8)*('CONTROL MASTER'!$AA$2:$AA$495&lt;=8)*('CONTROL MASTER'!$AC$2:$AC$495&gt;=8))*ROW('CONTROL MASTER'!$S$2:$S$495))-(ROW('CONTROL MASTER'!#REF!)-1)))+1)+(8-INDEX('CONTROL MASTER'!$AA$2:$AA$495,(SUMPRODUCT((('CONTROL MASTER'!$S$2:$S$495=9)*('CONTROL MASTER'!$Z$2:$Z$495&lt;=8)*('CONTROL MASTER'!$AB$2:$AB$495&gt;=8)*('CONTROL MASTER'!$AA$2:$AA$495&lt;=8)*('CONTROL MASTER'!$AC$2:$AC$495&gt;=8))*ROW('CONTROL MASTER'!$S$2:$S$495))-(ROW('CONTROL MASTER'!#REF!)-1))))+1)))-1)*50+1,50))&amp;"_"&amp;INDEX('CONTROL MASTER'!$P$2:$P$495,(SUMPRODUCT((('CONTROL MASTER'!$S$2:$S$495=9)*('CONTROL MASTER'!$Z$2:$Z$495&lt;=8)*('CONTROL MASTER'!$AB$2:$AB$495&gt;=8)*('CONTROL MASTER'!$AA$2:$AA$495&lt;=8)*('CONTROL MASTER'!$AC$2:$AC$495&gt;=8))*ROW('CONTROL MASTER'!$S$2:$S$495))-(ROW('CONTROL MASTER'!#REF!)-1))),"")),"")</f>
        <v/>
      </c>
      <c r="J122" s="10" t="str">
        <f>IFERROR(IF(SUMPRODUCT((('CONTROL MASTER'!$S$2:$S$495=9)*('CONTROL MASTER'!$T$2:$T$495&lt;=8)*('CONTROL MASTER'!$V$2:$V$495&gt;=8)*('CONTROL MASTER'!$U$2:$U$495&lt;=9)*('CONTROL MASTER'!$W$2:$W$495&gt;=9))*ROW('CONTROL MASTER'!$S$2:$S$495))&gt;0,INDEX('CONTROL MASTER'!$X$2:$X$495,(SUMPRODUCT((('CONTROL MASTER'!$S$2:$S$495=9)*('CONTROL MASTER'!$T$2:$T$495&lt;=8)*('CONTROL MASTER'!$V$2:$V$495&gt;=8)*('CONTROL MASTER'!$U$2:$U$495&lt;=9)*('CONTROL MASTER'!$W$2:$W$495&gt;=9))*ROW('CONTROL MASTER'!$S$2:$S$495))-(ROW('CONTROL MASTER'!#REF!)-1)))&amp;TRIM(MID(SUBSTITUTE(SUBSTITUTE(INDEX('CONTROL MASTER'!$N$2:$N$495,(SUMPRODUCT((('CONTROL MASTER'!$S$2:$S$495=9)*('CONTROL MASTER'!$T$2:$T$495&lt;=8)*('CONTROL MASTER'!$V$2:$V$495&gt;=8)*('CONTROL MASTER'!$U$2:$U$495&lt;=9)*('CONTROL MASTER'!$W$2:$W$495&gt;=9))*ROW('CONTROL MASTER'!$S$2:$S$495))-(ROW('CONTROL MASTER'!#REF!)-1))),":",","),",",REPT(" ",50)),((((8-INDEX('CONTROL MASTER'!$T$2:$T$495,(SUMPRODUCT((('CONTROL MASTER'!$S$2:$S$495=9)*('CONTROL MASTER'!$T$2:$T$495&lt;=8)*('CONTROL MASTER'!$V$2:$V$495&gt;=8)*('CONTROL MASTER'!$U$2:$U$495&lt;=9)*('CONTROL MASTER'!$W$2:$W$495&gt;=9))*ROW('CONTROL MASTER'!$S$2:$S$495))-(ROW('CONTROL MASTER'!#REF!)-1))))*(INDEX('CONTROL MASTER'!$W$2:$W$495,(SUMPRODUCT((('CONTROL MASTER'!$S$2:$S$495=9)*('CONTROL MASTER'!$T$2:$T$495&lt;=8)*('CONTROL MASTER'!$V$2:$V$495&gt;=8)*('CONTROL MASTER'!$U$2:$U$495&lt;=9)*('CONTROL MASTER'!$W$2:$W$495&gt;=9))*ROW('CONTROL MASTER'!$S$2:$S$495))-(ROW('CONTROL MASTER'!#REF!)-1)))-INDEX('CONTROL MASTER'!$U$2:$U$495,(SUMPRODUCT((('CONTROL MASTER'!$S$2:$S$495=9)*('CONTROL MASTER'!$T$2:$T$495&lt;=8)*('CONTROL MASTER'!$V$2:$V$495&gt;=8)*('CONTROL MASTER'!$U$2:$U$495&lt;=9)*('CONTROL MASTER'!$W$2:$W$495&gt;=9))*ROW('CONTROL MASTER'!$S$2:$S$495))-(ROW('CONTROL MASTER'!#REF!)-1)))+1)+(9-INDEX('CONTROL MASTER'!$U$2:$U$495,(SUMPRODUCT((('CONTROL MASTER'!$S$2:$S$495=9)*('CONTROL MASTER'!$T$2:$T$495&lt;=8)*('CONTROL MASTER'!$V$2:$V$495&gt;=8)*('CONTROL MASTER'!$U$2:$U$495&lt;=9)*('CONTROL MASTER'!$W$2:$W$495&gt;=9))*ROW('CONTROL MASTER'!$S$2:$S$495))-(ROW('CONTROL MASTER'!#REF!)-1))))+1))-1)*50+1,50))&amp;"_"&amp;INDEX('CONTROL MASTER'!$P$2:$P$495,(SUMPRODUCT((('CONTROL MASTER'!$S$2:$S$495=9)*('CONTROL MASTER'!$T$2:$T$495&lt;=8)*('CONTROL MASTER'!$V$2:$V$495&gt;=8)*('CONTROL MASTER'!$U$2:$U$495&lt;=9)*('CONTROL MASTER'!$W$2:$W$495&gt;=9))*ROW('CONTROL MASTER'!$S$2:$S$495))-(ROW('CONTROL MASTER'!#REF!)-1))),IF(SUMPRODUCT((('CONTROL MASTER'!$S$2:$S$495=9)*('CONTROL MASTER'!$Z$2:$Z$495&lt;=8)*('CONTROL MASTER'!$AB$2:$AB$495&gt;=8)*('CONTROL MASTER'!$AA$2:$AA$495&lt;=9)*('CONTROL MASTER'!$AC$2:$AC$495&gt;=9))*ROW('CONTROL MASTER'!$S$2:$S$495))&gt;0,INDEX('CONTROL MASTER'!$X$2:$X$495,(SUMPRODUCT((('CONTROL MASTER'!$S$2:$S$495=9)*('CONTROL MASTER'!$Z$2:$Z$495&lt;=8)*('CONTROL MASTER'!$AB$2:$AB$495&gt;=8)*('CONTROL MASTER'!$AA$2:$AA$495&lt;=9)*('CONTROL MASTER'!$AC$2:$AC$495&gt;=9))*ROW('CONTROL MASTER'!$S$2:$S$495))-(ROW('CONTROL MASTER'!#REF!)-1)))&amp;TRIM(MID(SUBSTITUTE(SUBSTITUTE(INDEX('CONTROL MASTER'!$N$2:$N$495,(SUMPRODUCT((('CONTROL MASTER'!$S$2:$S$495=9)*('CONTROL MASTER'!$Z$2:$Z$495&lt;=8)*('CONTROL MASTER'!$AB$2:$AB$495&gt;=8)*('CONTROL MASTER'!$AA$2:$AA$495&lt;=9)*('CONTROL MASTER'!$AC$2:$AC$495&gt;=9))*ROW('CONTROL MASTER'!$S$2:$S$495))-(ROW('CONTROL MASTER'!#REF!)-1))),":",","),",",REPT(" ",50)),(((INDEX('CONTROL MASTER'!$Y$2:$Y$495,(SUMPRODUCT((('CONTROL MASTER'!$S$2:$S$495=9)*('CONTROL MASTER'!$Z$2:$Z$495&lt;=8)*('CONTROL MASTER'!$AB$2:$AB$495&gt;=8)*('CONTROL MASTER'!$AA$2:$AA$495&lt;=9)*('CONTROL MASTER'!$AC$2:$AC$495&gt;=9))*ROW('CONTROL MASTER'!$S$2:$S$495))-(ROW('CONTROL MASTER'!#REF!)-1)))+((8-INDEX('CONTROL MASTER'!$Z$2:$Z$495,(SUMPRODUCT((('CONTROL MASTER'!$S$2:$S$495=9)*('CONTROL MASTER'!$Z$2:$Z$495&lt;=8)*('CONTROL MASTER'!$AB$2:$AB$495&gt;=8)*('CONTROL MASTER'!$AA$2:$AA$495&lt;=9)*('CONTROL MASTER'!$AC$2:$AC$495&gt;=9))*ROW('CONTROL MASTER'!$S$2:$S$495))-(ROW('CONTROL MASTER'!#REF!)-1))))*(INDEX('CONTROL MASTER'!$AC$2:$AC$495,(SUMPRODUCT((('CONTROL MASTER'!$S$2:$S$495=9)*('CONTROL MASTER'!$Z$2:$Z$495&lt;=8)*('CONTROL MASTER'!$AB$2:$AB$495&gt;=8)*('CONTROL MASTER'!$AA$2:$AA$495&lt;=9)*('CONTROL MASTER'!$AC$2:$AC$495&gt;=9))*ROW('CONTROL MASTER'!$S$2:$S$495))-(ROW('CONTROL MASTER'!#REF!)-1)))-INDEX('CONTROL MASTER'!$AA$2:$AA$495,(SUMPRODUCT((('CONTROL MASTER'!$S$2:$S$495=9)*('CONTROL MASTER'!$Z$2:$Z$495&lt;=8)*('CONTROL MASTER'!$AB$2:$AB$495&gt;=8)*('CONTROL MASTER'!$AA$2:$AA$495&lt;=9)*('CONTROL MASTER'!$AC$2:$AC$495&gt;=9))*ROW('CONTROL MASTER'!$S$2:$S$495))-(ROW('CONTROL MASTER'!#REF!)-1)))+1)+(9-INDEX('CONTROL MASTER'!$AA$2:$AA$495,(SUMPRODUCT((('CONTROL MASTER'!$S$2:$S$495=9)*('CONTROL MASTER'!$Z$2:$Z$495&lt;=8)*('CONTROL MASTER'!$AB$2:$AB$495&gt;=8)*('CONTROL MASTER'!$AA$2:$AA$495&lt;=9)*('CONTROL MASTER'!$AC$2:$AC$495&gt;=9))*ROW('CONTROL MASTER'!$S$2:$S$495))-(ROW('CONTROL MASTER'!#REF!)-1))))+1)))-1)*50+1,50))&amp;"_"&amp;INDEX('CONTROL MASTER'!$P$2:$P$495,(SUMPRODUCT((('CONTROL MASTER'!$S$2:$S$495=9)*('CONTROL MASTER'!$Z$2:$Z$495&lt;=8)*('CONTROL MASTER'!$AB$2:$AB$495&gt;=8)*('CONTROL MASTER'!$AA$2:$AA$495&lt;=9)*('CONTROL MASTER'!$AC$2:$AC$495&gt;=9))*ROW('CONTROL MASTER'!$S$2:$S$495))-(ROW('CONTROL MASTER'!#REF!)-1))),"")),"")</f>
        <v/>
      </c>
      <c r="K122" s="10" t="str">
        <f>IFERROR(IF(SUMPRODUCT((('CONTROL MASTER'!$S$2:$S$495=9)*('CONTROL MASTER'!$T$2:$T$495&lt;=8)*('CONTROL MASTER'!$V$2:$V$495&gt;=8)*('CONTROL MASTER'!$U$2:$U$495&lt;=10)*('CONTROL MASTER'!$W$2:$W$495&gt;=10))*ROW('CONTROL MASTER'!$S$2:$S$495))&gt;0,INDEX('CONTROL MASTER'!$X$2:$X$495,(SUMPRODUCT((('CONTROL MASTER'!$S$2:$S$495=9)*('CONTROL MASTER'!$T$2:$T$495&lt;=8)*('CONTROL MASTER'!$V$2:$V$495&gt;=8)*('CONTROL MASTER'!$U$2:$U$495&lt;=10)*('CONTROL MASTER'!$W$2:$W$495&gt;=10))*ROW('CONTROL MASTER'!$S$2:$S$495))-(ROW('CONTROL MASTER'!#REF!)-1)))&amp;TRIM(MID(SUBSTITUTE(SUBSTITUTE(INDEX('CONTROL MASTER'!$N$2:$N$495,(SUMPRODUCT((('CONTROL MASTER'!$S$2:$S$495=9)*('CONTROL MASTER'!$T$2:$T$495&lt;=8)*('CONTROL MASTER'!$V$2:$V$495&gt;=8)*('CONTROL MASTER'!$U$2:$U$495&lt;=10)*('CONTROL MASTER'!$W$2:$W$495&gt;=10))*ROW('CONTROL MASTER'!$S$2:$S$495))-(ROW('CONTROL MASTER'!#REF!)-1))),":",","),",",REPT(" ",50)),((((8-INDEX('CONTROL MASTER'!$T$2:$T$495,(SUMPRODUCT((('CONTROL MASTER'!$S$2:$S$495=9)*('CONTROL MASTER'!$T$2:$T$495&lt;=8)*('CONTROL MASTER'!$V$2:$V$495&gt;=8)*('CONTROL MASTER'!$U$2:$U$495&lt;=10)*('CONTROL MASTER'!$W$2:$W$495&gt;=10))*ROW('CONTROL MASTER'!$S$2:$S$495))-(ROW('CONTROL MASTER'!#REF!)-1))))*(INDEX('CONTROL MASTER'!$W$2:$W$495,(SUMPRODUCT((('CONTROL MASTER'!$S$2:$S$495=9)*('CONTROL MASTER'!$T$2:$T$495&lt;=8)*('CONTROL MASTER'!$V$2:$V$495&gt;=8)*('CONTROL MASTER'!$U$2:$U$495&lt;=10)*('CONTROL MASTER'!$W$2:$W$495&gt;=10))*ROW('CONTROL MASTER'!$S$2:$S$495))-(ROW('CONTROL MASTER'!#REF!)-1)))-INDEX('CONTROL MASTER'!$U$2:$U$495,(SUMPRODUCT((('CONTROL MASTER'!$S$2:$S$495=9)*('CONTROL MASTER'!$T$2:$T$495&lt;=8)*('CONTROL MASTER'!$V$2:$V$495&gt;=8)*('CONTROL MASTER'!$U$2:$U$495&lt;=10)*('CONTROL MASTER'!$W$2:$W$495&gt;=10))*ROW('CONTROL MASTER'!$S$2:$S$495))-(ROW('CONTROL MASTER'!#REF!)-1)))+1)+(10-INDEX('CONTROL MASTER'!$U$2:$U$495,(SUMPRODUCT((('CONTROL MASTER'!$S$2:$S$495=9)*('CONTROL MASTER'!$T$2:$T$495&lt;=8)*('CONTROL MASTER'!$V$2:$V$495&gt;=8)*('CONTROL MASTER'!$U$2:$U$495&lt;=10)*('CONTROL MASTER'!$W$2:$W$495&gt;=10))*ROW('CONTROL MASTER'!$S$2:$S$495))-(ROW('CONTROL MASTER'!#REF!)-1))))+1))-1)*50+1,50))&amp;"_"&amp;INDEX('CONTROL MASTER'!$P$2:$P$495,(SUMPRODUCT((('CONTROL MASTER'!$S$2:$S$495=9)*('CONTROL MASTER'!$T$2:$T$495&lt;=8)*('CONTROL MASTER'!$V$2:$V$495&gt;=8)*('CONTROL MASTER'!$U$2:$U$495&lt;=10)*('CONTROL MASTER'!$W$2:$W$495&gt;=10))*ROW('CONTROL MASTER'!$S$2:$S$495))-(ROW('CONTROL MASTER'!#REF!)-1))),IF(SUMPRODUCT((('CONTROL MASTER'!$S$2:$S$495=9)*('CONTROL MASTER'!$Z$2:$Z$495&lt;=8)*('CONTROL MASTER'!$AB$2:$AB$495&gt;=8)*('CONTROL MASTER'!$AA$2:$AA$495&lt;=10)*('CONTROL MASTER'!$AC$2:$AC$495&gt;=10))*ROW('CONTROL MASTER'!$S$2:$S$495))&gt;0,INDEX('CONTROL MASTER'!$X$2:$X$495,(SUMPRODUCT((('CONTROL MASTER'!$S$2:$S$495=9)*('CONTROL MASTER'!$Z$2:$Z$495&lt;=8)*('CONTROL MASTER'!$AB$2:$AB$495&gt;=8)*('CONTROL MASTER'!$AA$2:$AA$495&lt;=10)*('CONTROL MASTER'!$AC$2:$AC$495&gt;=10))*ROW('CONTROL MASTER'!$S$2:$S$495))-(ROW('CONTROL MASTER'!#REF!)-1)))&amp;TRIM(MID(SUBSTITUTE(SUBSTITUTE(INDEX('CONTROL MASTER'!$N$2:$N$495,(SUMPRODUCT((('CONTROL MASTER'!$S$2:$S$495=9)*('CONTROL MASTER'!$Z$2:$Z$495&lt;=8)*('CONTROL MASTER'!$AB$2:$AB$495&gt;=8)*('CONTROL MASTER'!$AA$2:$AA$495&lt;=10)*('CONTROL MASTER'!$AC$2:$AC$495&gt;=10))*ROW('CONTROL MASTER'!$S$2:$S$495))-(ROW('CONTROL MASTER'!#REF!)-1))),":",","),",",REPT(" ",50)),(((INDEX('CONTROL MASTER'!$Y$2:$Y$495,(SUMPRODUCT((('CONTROL MASTER'!$S$2:$S$495=9)*('CONTROL MASTER'!$Z$2:$Z$495&lt;=8)*('CONTROL MASTER'!$AB$2:$AB$495&gt;=8)*('CONTROL MASTER'!$AA$2:$AA$495&lt;=10)*('CONTROL MASTER'!$AC$2:$AC$495&gt;=10))*ROW('CONTROL MASTER'!$S$2:$S$495))-(ROW('CONTROL MASTER'!#REF!)-1)))+((8-INDEX('CONTROL MASTER'!$Z$2:$Z$495,(SUMPRODUCT((('CONTROL MASTER'!$S$2:$S$495=9)*('CONTROL MASTER'!$Z$2:$Z$495&lt;=8)*('CONTROL MASTER'!$AB$2:$AB$495&gt;=8)*('CONTROL MASTER'!$AA$2:$AA$495&lt;=10)*('CONTROL MASTER'!$AC$2:$AC$495&gt;=10))*ROW('CONTROL MASTER'!$S$2:$S$495))-(ROW('CONTROL MASTER'!#REF!)-1))))*(INDEX('CONTROL MASTER'!$AC$2:$AC$495,(SUMPRODUCT((('CONTROL MASTER'!$S$2:$S$495=9)*('CONTROL MASTER'!$Z$2:$Z$495&lt;=8)*('CONTROL MASTER'!$AB$2:$AB$495&gt;=8)*('CONTROL MASTER'!$AA$2:$AA$495&lt;=10)*('CONTROL MASTER'!$AC$2:$AC$495&gt;=10))*ROW('CONTROL MASTER'!$S$2:$S$495))-(ROW('CONTROL MASTER'!#REF!)-1)))-INDEX('CONTROL MASTER'!$AA$2:$AA$495,(SUMPRODUCT((('CONTROL MASTER'!$S$2:$S$495=9)*('CONTROL MASTER'!$Z$2:$Z$495&lt;=8)*('CONTROL MASTER'!$AB$2:$AB$495&gt;=8)*('CONTROL MASTER'!$AA$2:$AA$495&lt;=10)*('CONTROL MASTER'!$AC$2:$AC$495&gt;=10))*ROW('CONTROL MASTER'!$S$2:$S$495))-(ROW('CONTROL MASTER'!#REF!)-1)))+1)+(10-INDEX('CONTROL MASTER'!$AA$2:$AA$495,(SUMPRODUCT((('CONTROL MASTER'!$S$2:$S$495=9)*('CONTROL MASTER'!$Z$2:$Z$495&lt;=8)*('CONTROL MASTER'!$AB$2:$AB$495&gt;=8)*('CONTROL MASTER'!$AA$2:$AA$495&lt;=10)*('CONTROL MASTER'!$AC$2:$AC$495&gt;=10))*ROW('CONTROL MASTER'!$S$2:$S$495))-(ROW('CONTROL MASTER'!#REF!)-1))))+1)))-1)*50+1,50))&amp;"_"&amp;INDEX('CONTROL MASTER'!$P$2:$P$495,(SUMPRODUCT((('CONTROL MASTER'!$S$2:$S$495=9)*('CONTROL MASTER'!$Z$2:$Z$495&lt;=8)*('CONTROL MASTER'!$AB$2:$AB$495&gt;=8)*('CONTROL MASTER'!$AA$2:$AA$495&lt;=10)*('CONTROL MASTER'!$AC$2:$AC$495&gt;=10))*ROW('CONTROL MASTER'!$S$2:$S$495))-(ROW('CONTROL MASTER'!#REF!)-1))),"")),"")</f>
        <v/>
      </c>
    </row>
    <row r="123" spans="1:11" ht="15" customHeight="1" x14ac:dyDescent="0.35">
      <c r="A123" s="8" t="s">
        <v>81</v>
      </c>
      <c r="B123" s="10" t="str">
        <f>IFERROR(IF(SUMPRODUCT((('CONTROL MASTER'!$S$2:$S$495=9)*('CONTROL MASTER'!$T$2:$T$495&lt;=9)*('CONTROL MASTER'!$V$2:$V$495&gt;=9)*('CONTROL MASTER'!$U$2:$U$495&lt;=1)*('CONTROL MASTER'!$W$2:$W$495&gt;=1))*ROW('CONTROL MASTER'!$S$2:$S$495))&gt;0,INDEX('CONTROL MASTER'!$X$2:$X$495,(SUMPRODUCT((('CONTROL MASTER'!$S$2:$S$495=9)*('CONTROL MASTER'!$T$2:$T$495&lt;=9)*('CONTROL MASTER'!$V$2:$V$495&gt;=9)*('CONTROL MASTER'!$U$2:$U$495&lt;=1)*('CONTROL MASTER'!$W$2:$W$495&gt;=1))*ROW('CONTROL MASTER'!$S$2:$S$495))-(ROW('CONTROL MASTER'!#REF!)-1)))&amp;TRIM(MID(SUBSTITUTE(SUBSTITUTE(INDEX('CONTROL MASTER'!$N$2:$N$495,(SUMPRODUCT((('CONTROL MASTER'!$S$2:$S$495=9)*('CONTROL MASTER'!$T$2:$T$495&lt;=9)*('CONTROL MASTER'!$V$2:$V$495&gt;=9)*('CONTROL MASTER'!$U$2:$U$495&lt;=1)*('CONTROL MASTER'!$W$2:$W$495&gt;=1))*ROW('CONTROL MASTER'!$S$2:$S$495))-(ROW('CONTROL MASTER'!#REF!)-1))),":",","),",",REPT(" ",50)),((((9-INDEX('CONTROL MASTER'!$T$2:$T$495,(SUMPRODUCT((('CONTROL MASTER'!$S$2:$S$495=9)*('CONTROL MASTER'!$T$2:$T$495&lt;=9)*('CONTROL MASTER'!$V$2:$V$495&gt;=9)*('CONTROL MASTER'!$U$2:$U$495&lt;=1)*('CONTROL MASTER'!$W$2:$W$495&gt;=1))*ROW('CONTROL MASTER'!$S$2:$S$495))-(ROW('CONTROL MASTER'!#REF!)-1))))*(INDEX('CONTROL MASTER'!$W$2:$W$495,(SUMPRODUCT((('CONTROL MASTER'!$S$2:$S$495=9)*('CONTROL MASTER'!$T$2:$T$495&lt;=9)*('CONTROL MASTER'!$V$2:$V$495&gt;=9)*('CONTROL MASTER'!$U$2:$U$495&lt;=1)*('CONTROL MASTER'!$W$2:$W$495&gt;=1))*ROW('CONTROL MASTER'!$S$2:$S$495))-(ROW('CONTROL MASTER'!#REF!)-1)))-INDEX('CONTROL MASTER'!$U$2:$U$495,(SUMPRODUCT((('CONTROL MASTER'!$S$2:$S$495=9)*('CONTROL MASTER'!$T$2:$T$495&lt;=9)*('CONTROL MASTER'!$V$2:$V$495&gt;=9)*('CONTROL MASTER'!$U$2:$U$495&lt;=1)*('CONTROL MASTER'!$W$2:$W$495&gt;=1))*ROW('CONTROL MASTER'!$S$2:$S$495))-(ROW('CONTROL MASTER'!#REF!)-1)))+1)+(1-INDEX('CONTROL MASTER'!$U$2:$U$495,(SUMPRODUCT((('CONTROL MASTER'!$S$2:$S$495=9)*('CONTROL MASTER'!$T$2:$T$495&lt;=9)*('CONTROL MASTER'!$V$2:$V$495&gt;=9)*('CONTROL MASTER'!$U$2:$U$495&lt;=1)*('CONTROL MASTER'!$W$2:$W$495&gt;=1))*ROW('CONTROL MASTER'!$S$2:$S$495))-(ROW('CONTROL MASTER'!#REF!)-1))))+1))-1)*50+1,50))&amp;"_"&amp;INDEX('CONTROL MASTER'!$P$2:$P$495,(SUMPRODUCT((('CONTROL MASTER'!$S$2:$S$495=9)*('CONTROL MASTER'!$T$2:$T$495&lt;=9)*('CONTROL MASTER'!$V$2:$V$495&gt;=9)*('CONTROL MASTER'!$U$2:$U$495&lt;=1)*('CONTROL MASTER'!$W$2:$W$495&gt;=1))*ROW('CONTROL MASTER'!$S$2:$S$495))-(ROW('CONTROL MASTER'!#REF!)-1))),IF(SUMPRODUCT((('CONTROL MASTER'!$S$2:$S$495=9)*('CONTROL MASTER'!$Z$2:$Z$495&lt;=9)*('CONTROL MASTER'!$AB$2:$AB$495&gt;=9)*('CONTROL MASTER'!$AA$2:$AA$495&lt;=1)*('CONTROL MASTER'!$AC$2:$AC$495&gt;=1))*ROW('CONTROL MASTER'!$S$2:$S$495))&gt;0,INDEX('CONTROL MASTER'!$X$2:$X$495,(SUMPRODUCT((('CONTROL MASTER'!$S$2:$S$495=9)*('CONTROL MASTER'!$Z$2:$Z$495&lt;=9)*('CONTROL MASTER'!$AB$2:$AB$495&gt;=9)*('CONTROL MASTER'!$AA$2:$AA$495&lt;=1)*('CONTROL MASTER'!$AC$2:$AC$495&gt;=1))*ROW('CONTROL MASTER'!$S$2:$S$495))-(ROW('CONTROL MASTER'!#REF!)-1)))&amp;TRIM(MID(SUBSTITUTE(SUBSTITUTE(INDEX('CONTROL MASTER'!$N$2:$N$495,(SUMPRODUCT((('CONTROL MASTER'!$S$2:$S$495=9)*('CONTROL MASTER'!$Z$2:$Z$495&lt;=9)*('CONTROL MASTER'!$AB$2:$AB$495&gt;=9)*('CONTROL MASTER'!$AA$2:$AA$495&lt;=1)*('CONTROL MASTER'!$AC$2:$AC$495&gt;=1))*ROW('CONTROL MASTER'!$S$2:$S$495))-(ROW('CONTROL MASTER'!#REF!)-1))),":",","),",",REPT(" ",50)),(((INDEX('CONTROL MASTER'!$Y$2:$Y$495,(SUMPRODUCT((('CONTROL MASTER'!$S$2:$S$495=9)*('CONTROL MASTER'!$Z$2:$Z$495&lt;=9)*('CONTROL MASTER'!$AB$2:$AB$495&gt;=9)*('CONTROL MASTER'!$AA$2:$AA$495&lt;=1)*('CONTROL MASTER'!$AC$2:$AC$495&gt;=1))*ROW('CONTROL MASTER'!$S$2:$S$495))-(ROW('CONTROL MASTER'!#REF!)-1)))+((9-INDEX('CONTROL MASTER'!$Z$2:$Z$495,(SUMPRODUCT((('CONTROL MASTER'!$S$2:$S$495=9)*('CONTROL MASTER'!$Z$2:$Z$495&lt;=9)*('CONTROL MASTER'!$AB$2:$AB$495&gt;=9)*('CONTROL MASTER'!$AA$2:$AA$495&lt;=1)*('CONTROL MASTER'!$AC$2:$AC$495&gt;=1))*ROW('CONTROL MASTER'!$S$2:$S$495))-(ROW('CONTROL MASTER'!#REF!)-1))))*(INDEX('CONTROL MASTER'!$AC$2:$AC$495,(SUMPRODUCT((('CONTROL MASTER'!$S$2:$S$495=9)*('CONTROL MASTER'!$Z$2:$Z$495&lt;=9)*('CONTROL MASTER'!$AB$2:$AB$495&gt;=9)*('CONTROL MASTER'!$AA$2:$AA$495&lt;=1)*('CONTROL MASTER'!$AC$2:$AC$495&gt;=1))*ROW('CONTROL MASTER'!$S$2:$S$495))-(ROW('CONTROL MASTER'!#REF!)-1)))-INDEX('CONTROL MASTER'!$AA$2:$AA$495,(SUMPRODUCT((('CONTROL MASTER'!$S$2:$S$495=9)*('CONTROL MASTER'!$Z$2:$Z$495&lt;=9)*('CONTROL MASTER'!$AB$2:$AB$495&gt;=9)*('CONTROL MASTER'!$AA$2:$AA$495&lt;=1)*('CONTROL MASTER'!$AC$2:$AC$495&gt;=1))*ROW('CONTROL MASTER'!$S$2:$S$495))-(ROW('CONTROL MASTER'!#REF!)-1)))+1)+(1-INDEX('CONTROL MASTER'!$AA$2:$AA$495,(SUMPRODUCT((('CONTROL MASTER'!$S$2:$S$495=9)*('CONTROL MASTER'!$Z$2:$Z$495&lt;=9)*('CONTROL MASTER'!$AB$2:$AB$495&gt;=9)*('CONTROL MASTER'!$AA$2:$AA$495&lt;=1)*('CONTROL MASTER'!$AC$2:$AC$495&gt;=1))*ROW('CONTROL MASTER'!$S$2:$S$495))-(ROW('CONTROL MASTER'!#REF!)-1))))+1)))-1)*50+1,50))&amp;"_"&amp;INDEX('CONTROL MASTER'!$P$2:$P$495,(SUMPRODUCT((('CONTROL MASTER'!$S$2:$S$495=9)*('CONTROL MASTER'!$Z$2:$Z$495&lt;=9)*('CONTROL MASTER'!$AB$2:$AB$495&gt;=9)*('CONTROL MASTER'!$AA$2:$AA$495&lt;=1)*('CONTROL MASTER'!$AC$2:$AC$495&gt;=1))*ROW('CONTROL MASTER'!$S$2:$S$495))-(ROW('CONTROL MASTER'!#REF!)-1))),"")),"")</f>
        <v/>
      </c>
      <c r="C123" s="10" t="str">
        <f>IFERROR(IF(SUMPRODUCT((('CONTROL MASTER'!$S$2:$S$495=9)*('CONTROL MASTER'!$T$2:$T$495&lt;=9)*('CONTROL MASTER'!$V$2:$V$495&gt;=9)*('CONTROL MASTER'!$U$2:$U$495&lt;=2)*('CONTROL MASTER'!$W$2:$W$495&gt;=2))*ROW('CONTROL MASTER'!$S$2:$S$495))&gt;0,INDEX('CONTROL MASTER'!$X$2:$X$495,(SUMPRODUCT((('CONTROL MASTER'!$S$2:$S$495=9)*('CONTROL MASTER'!$T$2:$T$495&lt;=9)*('CONTROL MASTER'!$V$2:$V$495&gt;=9)*('CONTROL MASTER'!$U$2:$U$495&lt;=2)*('CONTROL MASTER'!$W$2:$W$495&gt;=2))*ROW('CONTROL MASTER'!$S$2:$S$495))-(ROW('CONTROL MASTER'!#REF!)-1)))&amp;TRIM(MID(SUBSTITUTE(SUBSTITUTE(INDEX('CONTROL MASTER'!$N$2:$N$495,(SUMPRODUCT((('CONTROL MASTER'!$S$2:$S$495=9)*('CONTROL MASTER'!$T$2:$T$495&lt;=9)*('CONTROL MASTER'!$V$2:$V$495&gt;=9)*('CONTROL MASTER'!$U$2:$U$495&lt;=2)*('CONTROL MASTER'!$W$2:$W$495&gt;=2))*ROW('CONTROL MASTER'!$S$2:$S$495))-(ROW('CONTROL MASTER'!#REF!)-1))),":",","),",",REPT(" ",50)),((((9-INDEX('CONTROL MASTER'!$T$2:$T$495,(SUMPRODUCT((('CONTROL MASTER'!$S$2:$S$495=9)*('CONTROL MASTER'!$T$2:$T$495&lt;=9)*('CONTROL MASTER'!$V$2:$V$495&gt;=9)*('CONTROL MASTER'!$U$2:$U$495&lt;=2)*('CONTROL MASTER'!$W$2:$W$495&gt;=2))*ROW('CONTROL MASTER'!$S$2:$S$495))-(ROW('CONTROL MASTER'!#REF!)-1))))*(INDEX('CONTROL MASTER'!$W$2:$W$495,(SUMPRODUCT((('CONTROL MASTER'!$S$2:$S$495=9)*('CONTROL MASTER'!$T$2:$T$495&lt;=9)*('CONTROL MASTER'!$V$2:$V$495&gt;=9)*('CONTROL MASTER'!$U$2:$U$495&lt;=2)*('CONTROL MASTER'!$W$2:$W$495&gt;=2))*ROW('CONTROL MASTER'!$S$2:$S$495))-(ROW('CONTROL MASTER'!#REF!)-1)))-INDEX('CONTROL MASTER'!$U$2:$U$495,(SUMPRODUCT((('CONTROL MASTER'!$S$2:$S$495=9)*('CONTROL MASTER'!$T$2:$T$495&lt;=9)*('CONTROL MASTER'!$V$2:$V$495&gt;=9)*('CONTROL MASTER'!$U$2:$U$495&lt;=2)*('CONTROL MASTER'!$W$2:$W$495&gt;=2))*ROW('CONTROL MASTER'!$S$2:$S$495))-(ROW('CONTROL MASTER'!#REF!)-1)))+1)+(2-INDEX('CONTROL MASTER'!$U$2:$U$495,(SUMPRODUCT((('CONTROL MASTER'!$S$2:$S$495=9)*('CONTROL MASTER'!$T$2:$T$495&lt;=9)*('CONTROL MASTER'!$V$2:$V$495&gt;=9)*('CONTROL MASTER'!$U$2:$U$495&lt;=2)*('CONTROL MASTER'!$W$2:$W$495&gt;=2))*ROW('CONTROL MASTER'!$S$2:$S$495))-(ROW('CONTROL MASTER'!#REF!)-1))))+1))-1)*50+1,50))&amp;"_"&amp;INDEX('CONTROL MASTER'!$P$2:$P$495,(SUMPRODUCT((('CONTROL MASTER'!$S$2:$S$495=9)*('CONTROL MASTER'!$T$2:$T$495&lt;=9)*('CONTROL MASTER'!$V$2:$V$495&gt;=9)*('CONTROL MASTER'!$U$2:$U$495&lt;=2)*('CONTROL MASTER'!$W$2:$W$495&gt;=2))*ROW('CONTROL MASTER'!$S$2:$S$495))-(ROW('CONTROL MASTER'!#REF!)-1))),IF(SUMPRODUCT((('CONTROL MASTER'!$S$2:$S$495=9)*('CONTROL MASTER'!$Z$2:$Z$495&lt;=9)*('CONTROL MASTER'!$AB$2:$AB$495&gt;=9)*('CONTROL MASTER'!$AA$2:$AA$495&lt;=2)*('CONTROL MASTER'!$AC$2:$AC$495&gt;=2))*ROW('CONTROL MASTER'!$S$2:$S$495))&gt;0,INDEX('CONTROL MASTER'!$X$2:$X$495,(SUMPRODUCT((('CONTROL MASTER'!$S$2:$S$495=9)*('CONTROL MASTER'!$Z$2:$Z$495&lt;=9)*('CONTROL MASTER'!$AB$2:$AB$495&gt;=9)*('CONTROL MASTER'!$AA$2:$AA$495&lt;=2)*('CONTROL MASTER'!$AC$2:$AC$495&gt;=2))*ROW('CONTROL MASTER'!$S$2:$S$495))-(ROW('CONTROL MASTER'!#REF!)-1)))&amp;TRIM(MID(SUBSTITUTE(SUBSTITUTE(INDEX('CONTROL MASTER'!$N$2:$N$495,(SUMPRODUCT((('CONTROL MASTER'!$S$2:$S$495=9)*('CONTROL MASTER'!$Z$2:$Z$495&lt;=9)*('CONTROL MASTER'!$AB$2:$AB$495&gt;=9)*('CONTROL MASTER'!$AA$2:$AA$495&lt;=2)*('CONTROL MASTER'!$AC$2:$AC$495&gt;=2))*ROW('CONTROL MASTER'!$S$2:$S$495))-(ROW('CONTROL MASTER'!#REF!)-1))),":",","),",",REPT(" ",50)),(((INDEX('CONTROL MASTER'!$Y$2:$Y$495,(SUMPRODUCT((('CONTROL MASTER'!$S$2:$S$495=9)*('CONTROL MASTER'!$Z$2:$Z$495&lt;=9)*('CONTROL MASTER'!$AB$2:$AB$495&gt;=9)*('CONTROL MASTER'!$AA$2:$AA$495&lt;=2)*('CONTROL MASTER'!$AC$2:$AC$495&gt;=2))*ROW('CONTROL MASTER'!$S$2:$S$495))-(ROW('CONTROL MASTER'!#REF!)-1)))+((9-INDEX('CONTROL MASTER'!$Z$2:$Z$495,(SUMPRODUCT((('CONTROL MASTER'!$S$2:$S$495=9)*('CONTROL MASTER'!$Z$2:$Z$495&lt;=9)*('CONTROL MASTER'!$AB$2:$AB$495&gt;=9)*('CONTROL MASTER'!$AA$2:$AA$495&lt;=2)*('CONTROL MASTER'!$AC$2:$AC$495&gt;=2))*ROW('CONTROL MASTER'!$S$2:$S$495))-(ROW('CONTROL MASTER'!#REF!)-1))))*(INDEX('CONTROL MASTER'!$AC$2:$AC$495,(SUMPRODUCT((('CONTROL MASTER'!$S$2:$S$495=9)*('CONTROL MASTER'!$Z$2:$Z$495&lt;=9)*('CONTROL MASTER'!$AB$2:$AB$495&gt;=9)*('CONTROL MASTER'!$AA$2:$AA$495&lt;=2)*('CONTROL MASTER'!$AC$2:$AC$495&gt;=2))*ROW('CONTROL MASTER'!$S$2:$S$495))-(ROW('CONTROL MASTER'!#REF!)-1)))-INDEX('CONTROL MASTER'!$AA$2:$AA$495,(SUMPRODUCT((('CONTROL MASTER'!$S$2:$S$495=9)*('CONTROL MASTER'!$Z$2:$Z$495&lt;=9)*('CONTROL MASTER'!$AB$2:$AB$495&gt;=9)*('CONTROL MASTER'!$AA$2:$AA$495&lt;=2)*('CONTROL MASTER'!$AC$2:$AC$495&gt;=2))*ROW('CONTROL MASTER'!$S$2:$S$495))-(ROW('CONTROL MASTER'!#REF!)-1)))+1)+(2-INDEX('CONTROL MASTER'!$AA$2:$AA$495,(SUMPRODUCT((('CONTROL MASTER'!$S$2:$S$495=9)*('CONTROL MASTER'!$Z$2:$Z$495&lt;=9)*('CONTROL MASTER'!$AB$2:$AB$495&gt;=9)*('CONTROL MASTER'!$AA$2:$AA$495&lt;=2)*('CONTROL MASTER'!$AC$2:$AC$495&gt;=2))*ROW('CONTROL MASTER'!$S$2:$S$495))-(ROW('CONTROL MASTER'!#REF!)-1))))+1)))-1)*50+1,50))&amp;"_"&amp;INDEX('CONTROL MASTER'!$P$2:$P$495,(SUMPRODUCT((('CONTROL MASTER'!$S$2:$S$495=9)*('CONTROL MASTER'!$Z$2:$Z$495&lt;=9)*('CONTROL MASTER'!$AB$2:$AB$495&gt;=9)*('CONTROL MASTER'!$AA$2:$AA$495&lt;=2)*('CONTROL MASTER'!$AC$2:$AC$495&gt;=2))*ROW('CONTROL MASTER'!$S$2:$S$495))-(ROW('CONTROL MASTER'!#REF!)-1))),"")),"")</f>
        <v/>
      </c>
      <c r="D123" s="10" t="str">
        <f>IFERROR(IF(SUMPRODUCT((('CONTROL MASTER'!$S$2:$S$495=9)*('CONTROL MASTER'!$T$2:$T$495&lt;=9)*('CONTROL MASTER'!$V$2:$V$495&gt;=9)*('CONTROL MASTER'!$U$2:$U$495&lt;=3)*('CONTROL MASTER'!$W$2:$W$495&gt;=3))*ROW('CONTROL MASTER'!$S$2:$S$495))&gt;0,INDEX('CONTROL MASTER'!$X$2:$X$495,(SUMPRODUCT((('CONTROL MASTER'!$S$2:$S$495=9)*('CONTROL MASTER'!$T$2:$T$495&lt;=9)*('CONTROL MASTER'!$V$2:$V$495&gt;=9)*('CONTROL MASTER'!$U$2:$U$495&lt;=3)*('CONTROL MASTER'!$W$2:$W$495&gt;=3))*ROW('CONTROL MASTER'!$S$2:$S$495))-(ROW('CONTROL MASTER'!#REF!)-1)))&amp;TRIM(MID(SUBSTITUTE(SUBSTITUTE(INDEX('CONTROL MASTER'!$N$2:$N$495,(SUMPRODUCT((('CONTROL MASTER'!$S$2:$S$495=9)*('CONTROL MASTER'!$T$2:$T$495&lt;=9)*('CONTROL MASTER'!$V$2:$V$495&gt;=9)*('CONTROL MASTER'!$U$2:$U$495&lt;=3)*('CONTROL MASTER'!$W$2:$W$495&gt;=3))*ROW('CONTROL MASTER'!$S$2:$S$495))-(ROW('CONTROL MASTER'!#REF!)-1))),":",","),",",REPT(" ",50)),((((9-INDEX('CONTROL MASTER'!$T$2:$T$495,(SUMPRODUCT((('CONTROL MASTER'!$S$2:$S$495=9)*('CONTROL MASTER'!$T$2:$T$495&lt;=9)*('CONTROL MASTER'!$V$2:$V$495&gt;=9)*('CONTROL MASTER'!$U$2:$U$495&lt;=3)*('CONTROL MASTER'!$W$2:$W$495&gt;=3))*ROW('CONTROL MASTER'!$S$2:$S$495))-(ROW('CONTROL MASTER'!#REF!)-1))))*(INDEX('CONTROL MASTER'!$W$2:$W$495,(SUMPRODUCT((('CONTROL MASTER'!$S$2:$S$495=9)*('CONTROL MASTER'!$T$2:$T$495&lt;=9)*('CONTROL MASTER'!$V$2:$V$495&gt;=9)*('CONTROL MASTER'!$U$2:$U$495&lt;=3)*('CONTROL MASTER'!$W$2:$W$495&gt;=3))*ROW('CONTROL MASTER'!$S$2:$S$495))-(ROW('CONTROL MASTER'!#REF!)-1)))-INDEX('CONTROL MASTER'!$U$2:$U$495,(SUMPRODUCT((('CONTROL MASTER'!$S$2:$S$495=9)*('CONTROL MASTER'!$T$2:$T$495&lt;=9)*('CONTROL MASTER'!$V$2:$V$495&gt;=9)*('CONTROL MASTER'!$U$2:$U$495&lt;=3)*('CONTROL MASTER'!$W$2:$W$495&gt;=3))*ROW('CONTROL MASTER'!$S$2:$S$495))-(ROW('CONTROL MASTER'!#REF!)-1)))+1)+(3-INDEX('CONTROL MASTER'!$U$2:$U$495,(SUMPRODUCT((('CONTROL MASTER'!$S$2:$S$495=9)*('CONTROL MASTER'!$T$2:$T$495&lt;=9)*('CONTROL MASTER'!$V$2:$V$495&gt;=9)*('CONTROL MASTER'!$U$2:$U$495&lt;=3)*('CONTROL MASTER'!$W$2:$W$495&gt;=3))*ROW('CONTROL MASTER'!$S$2:$S$495))-(ROW('CONTROL MASTER'!#REF!)-1))))+1))-1)*50+1,50))&amp;"_"&amp;INDEX('CONTROL MASTER'!$P$2:$P$495,(SUMPRODUCT((('CONTROL MASTER'!$S$2:$S$495=9)*('CONTROL MASTER'!$T$2:$T$495&lt;=9)*('CONTROL MASTER'!$V$2:$V$495&gt;=9)*('CONTROL MASTER'!$U$2:$U$495&lt;=3)*('CONTROL MASTER'!$W$2:$W$495&gt;=3))*ROW('CONTROL MASTER'!$S$2:$S$495))-(ROW('CONTROL MASTER'!#REF!)-1))),IF(SUMPRODUCT((('CONTROL MASTER'!$S$2:$S$495=9)*('CONTROL MASTER'!$Z$2:$Z$495&lt;=9)*('CONTROL MASTER'!$AB$2:$AB$495&gt;=9)*('CONTROL MASTER'!$AA$2:$AA$495&lt;=3)*('CONTROL MASTER'!$AC$2:$AC$495&gt;=3))*ROW('CONTROL MASTER'!$S$2:$S$495))&gt;0,INDEX('CONTROL MASTER'!$X$2:$X$495,(SUMPRODUCT((('CONTROL MASTER'!$S$2:$S$495=9)*('CONTROL MASTER'!$Z$2:$Z$495&lt;=9)*('CONTROL MASTER'!$AB$2:$AB$495&gt;=9)*('CONTROL MASTER'!$AA$2:$AA$495&lt;=3)*('CONTROL MASTER'!$AC$2:$AC$495&gt;=3))*ROW('CONTROL MASTER'!$S$2:$S$495))-(ROW('CONTROL MASTER'!#REF!)-1)))&amp;TRIM(MID(SUBSTITUTE(SUBSTITUTE(INDEX('CONTROL MASTER'!$N$2:$N$495,(SUMPRODUCT((('CONTROL MASTER'!$S$2:$S$495=9)*('CONTROL MASTER'!$Z$2:$Z$495&lt;=9)*('CONTROL MASTER'!$AB$2:$AB$495&gt;=9)*('CONTROL MASTER'!$AA$2:$AA$495&lt;=3)*('CONTROL MASTER'!$AC$2:$AC$495&gt;=3))*ROW('CONTROL MASTER'!$S$2:$S$495))-(ROW('CONTROL MASTER'!#REF!)-1))),":",","),",",REPT(" ",50)),(((INDEX('CONTROL MASTER'!$Y$2:$Y$495,(SUMPRODUCT((('CONTROL MASTER'!$S$2:$S$495=9)*('CONTROL MASTER'!$Z$2:$Z$495&lt;=9)*('CONTROL MASTER'!$AB$2:$AB$495&gt;=9)*('CONTROL MASTER'!$AA$2:$AA$495&lt;=3)*('CONTROL MASTER'!$AC$2:$AC$495&gt;=3))*ROW('CONTROL MASTER'!$S$2:$S$495))-(ROW('CONTROL MASTER'!#REF!)-1)))+((9-INDEX('CONTROL MASTER'!$Z$2:$Z$495,(SUMPRODUCT((('CONTROL MASTER'!$S$2:$S$495=9)*('CONTROL MASTER'!$Z$2:$Z$495&lt;=9)*('CONTROL MASTER'!$AB$2:$AB$495&gt;=9)*('CONTROL MASTER'!$AA$2:$AA$495&lt;=3)*('CONTROL MASTER'!$AC$2:$AC$495&gt;=3))*ROW('CONTROL MASTER'!$S$2:$S$495))-(ROW('CONTROL MASTER'!#REF!)-1))))*(INDEX('CONTROL MASTER'!$AC$2:$AC$495,(SUMPRODUCT((('CONTROL MASTER'!$S$2:$S$495=9)*('CONTROL MASTER'!$Z$2:$Z$495&lt;=9)*('CONTROL MASTER'!$AB$2:$AB$495&gt;=9)*('CONTROL MASTER'!$AA$2:$AA$495&lt;=3)*('CONTROL MASTER'!$AC$2:$AC$495&gt;=3))*ROW('CONTROL MASTER'!$S$2:$S$495))-(ROW('CONTROL MASTER'!#REF!)-1)))-INDEX('CONTROL MASTER'!$AA$2:$AA$495,(SUMPRODUCT((('CONTROL MASTER'!$S$2:$S$495=9)*('CONTROL MASTER'!$Z$2:$Z$495&lt;=9)*('CONTROL MASTER'!$AB$2:$AB$495&gt;=9)*('CONTROL MASTER'!$AA$2:$AA$495&lt;=3)*('CONTROL MASTER'!$AC$2:$AC$495&gt;=3))*ROW('CONTROL MASTER'!$S$2:$S$495))-(ROW('CONTROL MASTER'!#REF!)-1)))+1)+(3-INDEX('CONTROL MASTER'!$AA$2:$AA$495,(SUMPRODUCT((('CONTROL MASTER'!$S$2:$S$495=9)*('CONTROL MASTER'!$Z$2:$Z$495&lt;=9)*('CONTROL MASTER'!$AB$2:$AB$495&gt;=9)*('CONTROL MASTER'!$AA$2:$AA$495&lt;=3)*('CONTROL MASTER'!$AC$2:$AC$495&gt;=3))*ROW('CONTROL MASTER'!$S$2:$S$495))-(ROW('CONTROL MASTER'!#REF!)-1))))+1)))-1)*50+1,50))&amp;"_"&amp;INDEX('CONTROL MASTER'!$P$2:$P$495,(SUMPRODUCT((('CONTROL MASTER'!$S$2:$S$495=9)*('CONTROL MASTER'!$Z$2:$Z$495&lt;=9)*('CONTROL MASTER'!$AB$2:$AB$495&gt;=9)*('CONTROL MASTER'!$AA$2:$AA$495&lt;=3)*('CONTROL MASTER'!$AC$2:$AC$495&gt;=3))*ROW('CONTROL MASTER'!$S$2:$S$495))-(ROW('CONTROL MASTER'!#REF!)-1))),"")),"")</f>
        <v/>
      </c>
      <c r="E123" s="10" t="str">
        <f>IFERROR(IF(SUMPRODUCT((('CONTROL MASTER'!$S$2:$S$495=9)*('CONTROL MASTER'!$T$2:$T$495&lt;=9)*('CONTROL MASTER'!$V$2:$V$495&gt;=9)*('CONTROL MASTER'!$U$2:$U$495&lt;=4)*('CONTROL MASTER'!$W$2:$W$495&gt;=4))*ROW('CONTROL MASTER'!$S$2:$S$495))&gt;0,INDEX('CONTROL MASTER'!$X$2:$X$495,(SUMPRODUCT((('CONTROL MASTER'!$S$2:$S$495=9)*('CONTROL MASTER'!$T$2:$T$495&lt;=9)*('CONTROL MASTER'!$V$2:$V$495&gt;=9)*('CONTROL MASTER'!$U$2:$U$495&lt;=4)*('CONTROL MASTER'!$W$2:$W$495&gt;=4))*ROW('CONTROL MASTER'!$S$2:$S$495))-(ROW('CONTROL MASTER'!#REF!)-1)))&amp;TRIM(MID(SUBSTITUTE(SUBSTITUTE(INDEX('CONTROL MASTER'!$N$2:$N$495,(SUMPRODUCT((('CONTROL MASTER'!$S$2:$S$495=9)*('CONTROL MASTER'!$T$2:$T$495&lt;=9)*('CONTROL MASTER'!$V$2:$V$495&gt;=9)*('CONTROL MASTER'!$U$2:$U$495&lt;=4)*('CONTROL MASTER'!$W$2:$W$495&gt;=4))*ROW('CONTROL MASTER'!$S$2:$S$495))-(ROW('CONTROL MASTER'!#REF!)-1))),":",","),",",REPT(" ",50)),((((9-INDEX('CONTROL MASTER'!$T$2:$T$495,(SUMPRODUCT((('CONTROL MASTER'!$S$2:$S$495=9)*('CONTROL MASTER'!$T$2:$T$495&lt;=9)*('CONTROL MASTER'!$V$2:$V$495&gt;=9)*('CONTROL MASTER'!$U$2:$U$495&lt;=4)*('CONTROL MASTER'!$W$2:$W$495&gt;=4))*ROW('CONTROL MASTER'!$S$2:$S$495))-(ROW('CONTROL MASTER'!#REF!)-1))))*(INDEX('CONTROL MASTER'!$W$2:$W$495,(SUMPRODUCT((('CONTROL MASTER'!$S$2:$S$495=9)*('CONTROL MASTER'!$T$2:$T$495&lt;=9)*('CONTROL MASTER'!$V$2:$V$495&gt;=9)*('CONTROL MASTER'!$U$2:$U$495&lt;=4)*('CONTROL MASTER'!$W$2:$W$495&gt;=4))*ROW('CONTROL MASTER'!$S$2:$S$495))-(ROW('CONTROL MASTER'!#REF!)-1)))-INDEX('CONTROL MASTER'!$U$2:$U$495,(SUMPRODUCT((('CONTROL MASTER'!$S$2:$S$495=9)*('CONTROL MASTER'!$T$2:$T$495&lt;=9)*('CONTROL MASTER'!$V$2:$V$495&gt;=9)*('CONTROL MASTER'!$U$2:$U$495&lt;=4)*('CONTROL MASTER'!$W$2:$W$495&gt;=4))*ROW('CONTROL MASTER'!$S$2:$S$495))-(ROW('CONTROL MASTER'!#REF!)-1)))+1)+(4-INDEX('CONTROL MASTER'!$U$2:$U$495,(SUMPRODUCT((('CONTROL MASTER'!$S$2:$S$495=9)*('CONTROL MASTER'!$T$2:$T$495&lt;=9)*('CONTROL MASTER'!$V$2:$V$495&gt;=9)*('CONTROL MASTER'!$U$2:$U$495&lt;=4)*('CONTROL MASTER'!$W$2:$W$495&gt;=4))*ROW('CONTROL MASTER'!$S$2:$S$495))-(ROW('CONTROL MASTER'!#REF!)-1))))+1))-1)*50+1,50))&amp;"_"&amp;INDEX('CONTROL MASTER'!$P$2:$P$495,(SUMPRODUCT((('CONTROL MASTER'!$S$2:$S$495=9)*('CONTROL MASTER'!$T$2:$T$495&lt;=9)*('CONTROL MASTER'!$V$2:$V$495&gt;=9)*('CONTROL MASTER'!$U$2:$U$495&lt;=4)*('CONTROL MASTER'!$W$2:$W$495&gt;=4))*ROW('CONTROL MASTER'!$S$2:$S$495))-(ROW('CONTROL MASTER'!#REF!)-1))),IF(SUMPRODUCT((('CONTROL MASTER'!$S$2:$S$495=9)*('CONTROL MASTER'!$Z$2:$Z$495&lt;=9)*('CONTROL MASTER'!$AB$2:$AB$495&gt;=9)*('CONTROL MASTER'!$AA$2:$AA$495&lt;=4)*('CONTROL MASTER'!$AC$2:$AC$495&gt;=4))*ROW('CONTROL MASTER'!$S$2:$S$495))&gt;0,INDEX('CONTROL MASTER'!$X$2:$X$495,(SUMPRODUCT((('CONTROL MASTER'!$S$2:$S$495=9)*('CONTROL MASTER'!$Z$2:$Z$495&lt;=9)*('CONTROL MASTER'!$AB$2:$AB$495&gt;=9)*('CONTROL MASTER'!$AA$2:$AA$495&lt;=4)*('CONTROL MASTER'!$AC$2:$AC$495&gt;=4))*ROW('CONTROL MASTER'!$S$2:$S$495))-(ROW('CONTROL MASTER'!#REF!)-1)))&amp;TRIM(MID(SUBSTITUTE(SUBSTITUTE(INDEX('CONTROL MASTER'!$N$2:$N$495,(SUMPRODUCT((('CONTROL MASTER'!$S$2:$S$495=9)*('CONTROL MASTER'!$Z$2:$Z$495&lt;=9)*('CONTROL MASTER'!$AB$2:$AB$495&gt;=9)*('CONTROL MASTER'!$AA$2:$AA$495&lt;=4)*('CONTROL MASTER'!$AC$2:$AC$495&gt;=4))*ROW('CONTROL MASTER'!$S$2:$S$495))-(ROW('CONTROL MASTER'!#REF!)-1))),":",","),",",REPT(" ",50)),(((INDEX('CONTROL MASTER'!$Y$2:$Y$495,(SUMPRODUCT((('CONTROL MASTER'!$S$2:$S$495=9)*('CONTROL MASTER'!$Z$2:$Z$495&lt;=9)*('CONTROL MASTER'!$AB$2:$AB$495&gt;=9)*('CONTROL MASTER'!$AA$2:$AA$495&lt;=4)*('CONTROL MASTER'!$AC$2:$AC$495&gt;=4))*ROW('CONTROL MASTER'!$S$2:$S$495))-(ROW('CONTROL MASTER'!#REF!)-1)))+((9-INDEX('CONTROL MASTER'!$Z$2:$Z$495,(SUMPRODUCT((('CONTROL MASTER'!$S$2:$S$495=9)*('CONTROL MASTER'!$Z$2:$Z$495&lt;=9)*('CONTROL MASTER'!$AB$2:$AB$495&gt;=9)*('CONTROL MASTER'!$AA$2:$AA$495&lt;=4)*('CONTROL MASTER'!$AC$2:$AC$495&gt;=4))*ROW('CONTROL MASTER'!$S$2:$S$495))-(ROW('CONTROL MASTER'!#REF!)-1))))*(INDEX('CONTROL MASTER'!$AC$2:$AC$495,(SUMPRODUCT((('CONTROL MASTER'!$S$2:$S$495=9)*('CONTROL MASTER'!$Z$2:$Z$495&lt;=9)*('CONTROL MASTER'!$AB$2:$AB$495&gt;=9)*('CONTROL MASTER'!$AA$2:$AA$495&lt;=4)*('CONTROL MASTER'!$AC$2:$AC$495&gt;=4))*ROW('CONTROL MASTER'!$S$2:$S$495))-(ROW('CONTROL MASTER'!#REF!)-1)))-INDEX('CONTROL MASTER'!$AA$2:$AA$495,(SUMPRODUCT((('CONTROL MASTER'!$S$2:$S$495=9)*('CONTROL MASTER'!$Z$2:$Z$495&lt;=9)*('CONTROL MASTER'!$AB$2:$AB$495&gt;=9)*('CONTROL MASTER'!$AA$2:$AA$495&lt;=4)*('CONTROL MASTER'!$AC$2:$AC$495&gt;=4))*ROW('CONTROL MASTER'!$S$2:$S$495))-(ROW('CONTROL MASTER'!#REF!)-1)))+1)+(4-INDEX('CONTROL MASTER'!$AA$2:$AA$495,(SUMPRODUCT((('CONTROL MASTER'!$S$2:$S$495=9)*('CONTROL MASTER'!$Z$2:$Z$495&lt;=9)*('CONTROL MASTER'!$AB$2:$AB$495&gt;=9)*('CONTROL MASTER'!$AA$2:$AA$495&lt;=4)*('CONTROL MASTER'!$AC$2:$AC$495&gt;=4))*ROW('CONTROL MASTER'!$S$2:$S$495))-(ROW('CONTROL MASTER'!#REF!)-1))))+1)))-1)*50+1,50))&amp;"_"&amp;INDEX('CONTROL MASTER'!$P$2:$P$495,(SUMPRODUCT((('CONTROL MASTER'!$S$2:$S$495=9)*('CONTROL MASTER'!$Z$2:$Z$495&lt;=9)*('CONTROL MASTER'!$AB$2:$AB$495&gt;=9)*('CONTROL MASTER'!$AA$2:$AA$495&lt;=4)*('CONTROL MASTER'!$AC$2:$AC$495&gt;=4))*ROW('CONTROL MASTER'!$S$2:$S$495))-(ROW('CONTROL MASTER'!#REF!)-1))),"")),"")</f>
        <v/>
      </c>
      <c r="F123" s="10" t="str">
        <f>IFERROR(IF(SUMPRODUCT((('CONTROL MASTER'!$S$2:$S$495=9)*('CONTROL MASTER'!$T$2:$T$495&lt;=9)*('CONTROL MASTER'!$V$2:$V$495&gt;=9)*('CONTROL MASTER'!$U$2:$U$495&lt;=5)*('CONTROL MASTER'!$W$2:$W$495&gt;=5))*ROW('CONTROL MASTER'!$S$2:$S$495))&gt;0,INDEX('CONTROL MASTER'!$X$2:$X$495,(SUMPRODUCT((('CONTROL MASTER'!$S$2:$S$495=9)*('CONTROL MASTER'!$T$2:$T$495&lt;=9)*('CONTROL MASTER'!$V$2:$V$495&gt;=9)*('CONTROL MASTER'!$U$2:$U$495&lt;=5)*('CONTROL MASTER'!$W$2:$W$495&gt;=5))*ROW('CONTROL MASTER'!$S$2:$S$495))-(ROW('CONTROL MASTER'!#REF!)-1)))&amp;TRIM(MID(SUBSTITUTE(SUBSTITUTE(INDEX('CONTROL MASTER'!$N$2:$N$495,(SUMPRODUCT((('CONTROL MASTER'!$S$2:$S$495=9)*('CONTROL MASTER'!$T$2:$T$495&lt;=9)*('CONTROL MASTER'!$V$2:$V$495&gt;=9)*('CONTROL MASTER'!$U$2:$U$495&lt;=5)*('CONTROL MASTER'!$W$2:$W$495&gt;=5))*ROW('CONTROL MASTER'!$S$2:$S$495))-(ROW('CONTROL MASTER'!#REF!)-1))),":",","),",",REPT(" ",50)),((((9-INDEX('CONTROL MASTER'!$T$2:$T$495,(SUMPRODUCT((('CONTROL MASTER'!$S$2:$S$495=9)*('CONTROL MASTER'!$T$2:$T$495&lt;=9)*('CONTROL MASTER'!$V$2:$V$495&gt;=9)*('CONTROL MASTER'!$U$2:$U$495&lt;=5)*('CONTROL MASTER'!$W$2:$W$495&gt;=5))*ROW('CONTROL MASTER'!$S$2:$S$495))-(ROW('CONTROL MASTER'!#REF!)-1))))*(INDEX('CONTROL MASTER'!$W$2:$W$495,(SUMPRODUCT((('CONTROL MASTER'!$S$2:$S$495=9)*('CONTROL MASTER'!$T$2:$T$495&lt;=9)*('CONTROL MASTER'!$V$2:$V$495&gt;=9)*('CONTROL MASTER'!$U$2:$U$495&lt;=5)*('CONTROL MASTER'!$W$2:$W$495&gt;=5))*ROW('CONTROL MASTER'!$S$2:$S$495))-(ROW('CONTROL MASTER'!#REF!)-1)))-INDEX('CONTROL MASTER'!$U$2:$U$495,(SUMPRODUCT((('CONTROL MASTER'!$S$2:$S$495=9)*('CONTROL MASTER'!$T$2:$T$495&lt;=9)*('CONTROL MASTER'!$V$2:$V$495&gt;=9)*('CONTROL MASTER'!$U$2:$U$495&lt;=5)*('CONTROL MASTER'!$W$2:$W$495&gt;=5))*ROW('CONTROL MASTER'!$S$2:$S$495))-(ROW('CONTROL MASTER'!#REF!)-1)))+1)+(5-INDEX('CONTROL MASTER'!$U$2:$U$495,(SUMPRODUCT((('CONTROL MASTER'!$S$2:$S$495=9)*('CONTROL MASTER'!$T$2:$T$495&lt;=9)*('CONTROL MASTER'!$V$2:$V$495&gt;=9)*('CONTROL MASTER'!$U$2:$U$495&lt;=5)*('CONTROL MASTER'!$W$2:$W$495&gt;=5))*ROW('CONTROL MASTER'!$S$2:$S$495))-(ROW('CONTROL MASTER'!#REF!)-1))))+1))-1)*50+1,50))&amp;"_"&amp;INDEX('CONTROL MASTER'!$P$2:$P$495,(SUMPRODUCT((('CONTROL MASTER'!$S$2:$S$495=9)*('CONTROL MASTER'!$T$2:$T$495&lt;=9)*('CONTROL MASTER'!$V$2:$V$495&gt;=9)*('CONTROL MASTER'!$U$2:$U$495&lt;=5)*('CONTROL MASTER'!$W$2:$W$495&gt;=5))*ROW('CONTROL MASTER'!$S$2:$S$495))-(ROW('CONTROL MASTER'!#REF!)-1))),IF(SUMPRODUCT((('CONTROL MASTER'!$S$2:$S$495=9)*('CONTROL MASTER'!$Z$2:$Z$495&lt;=9)*('CONTROL MASTER'!$AB$2:$AB$495&gt;=9)*('CONTROL MASTER'!$AA$2:$AA$495&lt;=5)*('CONTROL MASTER'!$AC$2:$AC$495&gt;=5))*ROW('CONTROL MASTER'!$S$2:$S$495))&gt;0,INDEX('CONTROL MASTER'!$X$2:$X$495,(SUMPRODUCT((('CONTROL MASTER'!$S$2:$S$495=9)*('CONTROL MASTER'!$Z$2:$Z$495&lt;=9)*('CONTROL MASTER'!$AB$2:$AB$495&gt;=9)*('CONTROL MASTER'!$AA$2:$AA$495&lt;=5)*('CONTROL MASTER'!$AC$2:$AC$495&gt;=5))*ROW('CONTROL MASTER'!$S$2:$S$495))-(ROW('CONTROL MASTER'!#REF!)-1)))&amp;TRIM(MID(SUBSTITUTE(SUBSTITUTE(INDEX('CONTROL MASTER'!$N$2:$N$495,(SUMPRODUCT((('CONTROL MASTER'!$S$2:$S$495=9)*('CONTROL MASTER'!$Z$2:$Z$495&lt;=9)*('CONTROL MASTER'!$AB$2:$AB$495&gt;=9)*('CONTROL MASTER'!$AA$2:$AA$495&lt;=5)*('CONTROL MASTER'!$AC$2:$AC$495&gt;=5))*ROW('CONTROL MASTER'!$S$2:$S$495))-(ROW('CONTROL MASTER'!#REF!)-1))),":",","),",",REPT(" ",50)),(((INDEX('CONTROL MASTER'!$Y$2:$Y$495,(SUMPRODUCT((('CONTROL MASTER'!$S$2:$S$495=9)*('CONTROL MASTER'!$Z$2:$Z$495&lt;=9)*('CONTROL MASTER'!$AB$2:$AB$495&gt;=9)*('CONTROL MASTER'!$AA$2:$AA$495&lt;=5)*('CONTROL MASTER'!$AC$2:$AC$495&gt;=5))*ROW('CONTROL MASTER'!$S$2:$S$495))-(ROW('CONTROL MASTER'!#REF!)-1)))+((9-INDEX('CONTROL MASTER'!$Z$2:$Z$495,(SUMPRODUCT((('CONTROL MASTER'!$S$2:$S$495=9)*('CONTROL MASTER'!$Z$2:$Z$495&lt;=9)*('CONTROL MASTER'!$AB$2:$AB$495&gt;=9)*('CONTROL MASTER'!$AA$2:$AA$495&lt;=5)*('CONTROL MASTER'!$AC$2:$AC$495&gt;=5))*ROW('CONTROL MASTER'!$S$2:$S$495))-(ROW('CONTROL MASTER'!#REF!)-1))))*(INDEX('CONTROL MASTER'!$AC$2:$AC$495,(SUMPRODUCT((('CONTROL MASTER'!$S$2:$S$495=9)*('CONTROL MASTER'!$Z$2:$Z$495&lt;=9)*('CONTROL MASTER'!$AB$2:$AB$495&gt;=9)*('CONTROL MASTER'!$AA$2:$AA$495&lt;=5)*('CONTROL MASTER'!$AC$2:$AC$495&gt;=5))*ROW('CONTROL MASTER'!$S$2:$S$495))-(ROW('CONTROL MASTER'!#REF!)-1)))-INDEX('CONTROL MASTER'!$AA$2:$AA$495,(SUMPRODUCT((('CONTROL MASTER'!$S$2:$S$495=9)*('CONTROL MASTER'!$Z$2:$Z$495&lt;=9)*('CONTROL MASTER'!$AB$2:$AB$495&gt;=9)*('CONTROL MASTER'!$AA$2:$AA$495&lt;=5)*('CONTROL MASTER'!$AC$2:$AC$495&gt;=5))*ROW('CONTROL MASTER'!$S$2:$S$495))-(ROW('CONTROL MASTER'!#REF!)-1)))+1)+(5-INDEX('CONTROL MASTER'!$AA$2:$AA$495,(SUMPRODUCT((('CONTROL MASTER'!$S$2:$S$495=9)*('CONTROL MASTER'!$Z$2:$Z$495&lt;=9)*('CONTROL MASTER'!$AB$2:$AB$495&gt;=9)*('CONTROL MASTER'!$AA$2:$AA$495&lt;=5)*('CONTROL MASTER'!$AC$2:$AC$495&gt;=5))*ROW('CONTROL MASTER'!$S$2:$S$495))-(ROW('CONTROL MASTER'!#REF!)-1))))+1)))-1)*50+1,50))&amp;"_"&amp;INDEX('CONTROL MASTER'!$P$2:$P$495,(SUMPRODUCT((('CONTROL MASTER'!$S$2:$S$495=9)*('CONTROL MASTER'!$Z$2:$Z$495&lt;=9)*('CONTROL MASTER'!$AB$2:$AB$495&gt;=9)*('CONTROL MASTER'!$AA$2:$AA$495&lt;=5)*('CONTROL MASTER'!$AC$2:$AC$495&gt;=5))*ROW('CONTROL MASTER'!$S$2:$S$495))-(ROW('CONTROL MASTER'!#REF!)-1))),"")),"")</f>
        <v/>
      </c>
      <c r="G123" s="10" t="str">
        <f>IFERROR(IF(SUMPRODUCT((('CONTROL MASTER'!$S$2:$S$495=9)*('CONTROL MASTER'!$T$2:$T$495&lt;=9)*('CONTROL MASTER'!$V$2:$V$495&gt;=9)*('CONTROL MASTER'!$U$2:$U$495&lt;=6)*('CONTROL MASTER'!$W$2:$W$495&gt;=6))*ROW('CONTROL MASTER'!$S$2:$S$495))&gt;0,INDEX('CONTROL MASTER'!$X$2:$X$495,(SUMPRODUCT((('CONTROL MASTER'!$S$2:$S$495=9)*('CONTROL MASTER'!$T$2:$T$495&lt;=9)*('CONTROL MASTER'!$V$2:$V$495&gt;=9)*('CONTROL MASTER'!$U$2:$U$495&lt;=6)*('CONTROL MASTER'!$W$2:$W$495&gt;=6))*ROW('CONTROL MASTER'!$S$2:$S$495))-(ROW('CONTROL MASTER'!#REF!)-1)))&amp;TRIM(MID(SUBSTITUTE(SUBSTITUTE(INDEX('CONTROL MASTER'!$N$2:$N$495,(SUMPRODUCT((('CONTROL MASTER'!$S$2:$S$495=9)*('CONTROL MASTER'!$T$2:$T$495&lt;=9)*('CONTROL MASTER'!$V$2:$V$495&gt;=9)*('CONTROL MASTER'!$U$2:$U$495&lt;=6)*('CONTROL MASTER'!$W$2:$W$495&gt;=6))*ROW('CONTROL MASTER'!$S$2:$S$495))-(ROW('CONTROL MASTER'!#REF!)-1))),":",","),",",REPT(" ",50)),((((9-INDEX('CONTROL MASTER'!$T$2:$T$495,(SUMPRODUCT((('CONTROL MASTER'!$S$2:$S$495=9)*('CONTROL MASTER'!$T$2:$T$495&lt;=9)*('CONTROL MASTER'!$V$2:$V$495&gt;=9)*('CONTROL MASTER'!$U$2:$U$495&lt;=6)*('CONTROL MASTER'!$W$2:$W$495&gt;=6))*ROW('CONTROL MASTER'!$S$2:$S$495))-(ROW('CONTROL MASTER'!#REF!)-1))))*(INDEX('CONTROL MASTER'!$W$2:$W$495,(SUMPRODUCT((('CONTROL MASTER'!$S$2:$S$495=9)*('CONTROL MASTER'!$T$2:$T$495&lt;=9)*('CONTROL MASTER'!$V$2:$V$495&gt;=9)*('CONTROL MASTER'!$U$2:$U$495&lt;=6)*('CONTROL MASTER'!$W$2:$W$495&gt;=6))*ROW('CONTROL MASTER'!$S$2:$S$495))-(ROW('CONTROL MASTER'!#REF!)-1)))-INDEX('CONTROL MASTER'!$U$2:$U$495,(SUMPRODUCT((('CONTROL MASTER'!$S$2:$S$495=9)*('CONTROL MASTER'!$T$2:$T$495&lt;=9)*('CONTROL MASTER'!$V$2:$V$495&gt;=9)*('CONTROL MASTER'!$U$2:$U$495&lt;=6)*('CONTROL MASTER'!$W$2:$W$495&gt;=6))*ROW('CONTROL MASTER'!$S$2:$S$495))-(ROW('CONTROL MASTER'!#REF!)-1)))+1)+(6-INDEX('CONTROL MASTER'!$U$2:$U$495,(SUMPRODUCT((('CONTROL MASTER'!$S$2:$S$495=9)*('CONTROL MASTER'!$T$2:$T$495&lt;=9)*('CONTROL MASTER'!$V$2:$V$495&gt;=9)*('CONTROL MASTER'!$U$2:$U$495&lt;=6)*('CONTROL MASTER'!$W$2:$W$495&gt;=6))*ROW('CONTROL MASTER'!$S$2:$S$495))-(ROW('CONTROL MASTER'!#REF!)-1))))+1))-1)*50+1,50))&amp;"_"&amp;INDEX('CONTROL MASTER'!$P$2:$P$495,(SUMPRODUCT((('CONTROL MASTER'!$S$2:$S$495=9)*('CONTROL MASTER'!$T$2:$T$495&lt;=9)*('CONTROL MASTER'!$V$2:$V$495&gt;=9)*('CONTROL MASTER'!$U$2:$U$495&lt;=6)*('CONTROL MASTER'!$W$2:$W$495&gt;=6))*ROW('CONTROL MASTER'!$S$2:$S$495))-(ROW('CONTROL MASTER'!#REF!)-1))),IF(SUMPRODUCT((('CONTROL MASTER'!$S$2:$S$495=9)*('CONTROL MASTER'!$Z$2:$Z$495&lt;=9)*('CONTROL MASTER'!$AB$2:$AB$495&gt;=9)*('CONTROL MASTER'!$AA$2:$AA$495&lt;=6)*('CONTROL MASTER'!$AC$2:$AC$495&gt;=6))*ROW('CONTROL MASTER'!$S$2:$S$495))&gt;0,INDEX('CONTROL MASTER'!$X$2:$X$495,(SUMPRODUCT((('CONTROL MASTER'!$S$2:$S$495=9)*('CONTROL MASTER'!$Z$2:$Z$495&lt;=9)*('CONTROL MASTER'!$AB$2:$AB$495&gt;=9)*('CONTROL MASTER'!$AA$2:$AA$495&lt;=6)*('CONTROL MASTER'!$AC$2:$AC$495&gt;=6))*ROW('CONTROL MASTER'!$S$2:$S$495))-(ROW('CONTROL MASTER'!#REF!)-1)))&amp;TRIM(MID(SUBSTITUTE(SUBSTITUTE(INDEX('CONTROL MASTER'!$N$2:$N$495,(SUMPRODUCT((('CONTROL MASTER'!$S$2:$S$495=9)*('CONTROL MASTER'!$Z$2:$Z$495&lt;=9)*('CONTROL MASTER'!$AB$2:$AB$495&gt;=9)*('CONTROL MASTER'!$AA$2:$AA$495&lt;=6)*('CONTROL MASTER'!$AC$2:$AC$495&gt;=6))*ROW('CONTROL MASTER'!$S$2:$S$495))-(ROW('CONTROL MASTER'!#REF!)-1))),":",","),",",REPT(" ",50)),(((INDEX('CONTROL MASTER'!$Y$2:$Y$495,(SUMPRODUCT((('CONTROL MASTER'!$S$2:$S$495=9)*('CONTROL MASTER'!$Z$2:$Z$495&lt;=9)*('CONTROL MASTER'!$AB$2:$AB$495&gt;=9)*('CONTROL MASTER'!$AA$2:$AA$495&lt;=6)*('CONTROL MASTER'!$AC$2:$AC$495&gt;=6))*ROW('CONTROL MASTER'!$S$2:$S$495))-(ROW('CONTROL MASTER'!#REF!)-1)))+((9-INDEX('CONTROL MASTER'!$Z$2:$Z$495,(SUMPRODUCT((('CONTROL MASTER'!$S$2:$S$495=9)*('CONTROL MASTER'!$Z$2:$Z$495&lt;=9)*('CONTROL MASTER'!$AB$2:$AB$495&gt;=9)*('CONTROL MASTER'!$AA$2:$AA$495&lt;=6)*('CONTROL MASTER'!$AC$2:$AC$495&gt;=6))*ROW('CONTROL MASTER'!$S$2:$S$495))-(ROW('CONTROL MASTER'!#REF!)-1))))*(INDEX('CONTROL MASTER'!$AC$2:$AC$495,(SUMPRODUCT((('CONTROL MASTER'!$S$2:$S$495=9)*('CONTROL MASTER'!$Z$2:$Z$495&lt;=9)*('CONTROL MASTER'!$AB$2:$AB$495&gt;=9)*('CONTROL MASTER'!$AA$2:$AA$495&lt;=6)*('CONTROL MASTER'!$AC$2:$AC$495&gt;=6))*ROW('CONTROL MASTER'!$S$2:$S$495))-(ROW('CONTROL MASTER'!#REF!)-1)))-INDEX('CONTROL MASTER'!$AA$2:$AA$495,(SUMPRODUCT((('CONTROL MASTER'!$S$2:$S$495=9)*('CONTROL MASTER'!$Z$2:$Z$495&lt;=9)*('CONTROL MASTER'!$AB$2:$AB$495&gt;=9)*('CONTROL MASTER'!$AA$2:$AA$495&lt;=6)*('CONTROL MASTER'!$AC$2:$AC$495&gt;=6))*ROW('CONTROL MASTER'!$S$2:$S$495))-(ROW('CONTROL MASTER'!#REF!)-1)))+1)+(6-INDEX('CONTROL MASTER'!$AA$2:$AA$495,(SUMPRODUCT((('CONTROL MASTER'!$S$2:$S$495=9)*('CONTROL MASTER'!$Z$2:$Z$495&lt;=9)*('CONTROL MASTER'!$AB$2:$AB$495&gt;=9)*('CONTROL MASTER'!$AA$2:$AA$495&lt;=6)*('CONTROL MASTER'!$AC$2:$AC$495&gt;=6))*ROW('CONTROL MASTER'!$S$2:$S$495))-(ROW('CONTROL MASTER'!#REF!)-1))))+1)))-1)*50+1,50))&amp;"_"&amp;INDEX('CONTROL MASTER'!$P$2:$P$495,(SUMPRODUCT((('CONTROL MASTER'!$S$2:$S$495=9)*('CONTROL MASTER'!$Z$2:$Z$495&lt;=9)*('CONTROL MASTER'!$AB$2:$AB$495&gt;=9)*('CONTROL MASTER'!$AA$2:$AA$495&lt;=6)*('CONTROL MASTER'!$AC$2:$AC$495&gt;=6))*ROW('CONTROL MASTER'!$S$2:$S$495))-(ROW('CONTROL MASTER'!#REF!)-1))),"")),"")</f>
        <v/>
      </c>
      <c r="H123" s="10" t="str">
        <f>IFERROR(IF(SUMPRODUCT((('CONTROL MASTER'!$S$2:$S$495=9)*('CONTROL MASTER'!$T$2:$T$495&lt;=9)*('CONTROL MASTER'!$V$2:$V$495&gt;=9)*('CONTROL MASTER'!$U$2:$U$495&lt;=7)*('CONTROL MASTER'!$W$2:$W$495&gt;=7))*ROW('CONTROL MASTER'!$S$2:$S$495))&gt;0,INDEX('CONTROL MASTER'!$X$2:$X$495,(SUMPRODUCT((('CONTROL MASTER'!$S$2:$S$495=9)*('CONTROL MASTER'!$T$2:$T$495&lt;=9)*('CONTROL MASTER'!$V$2:$V$495&gt;=9)*('CONTROL MASTER'!$U$2:$U$495&lt;=7)*('CONTROL MASTER'!$W$2:$W$495&gt;=7))*ROW('CONTROL MASTER'!$S$2:$S$495))-(ROW('CONTROL MASTER'!#REF!)-1)))&amp;TRIM(MID(SUBSTITUTE(SUBSTITUTE(INDEX('CONTROL MASTER'!$N$2:$N$495,(SUMPRODUCT((('CONTROL MASTER'!$S$2:$S$495=9)*('CONTROL MASTER'!$T$2:$T$495&lt;=9)*('CONTROL MASTER'!$V$2:$V$495&gt;=9)*('CONTROL MASTER'!$U$2:$U$495&lt;=7)*('CONTROL MASTER'!$W$2:$W$495&gt;=7))*ROW('CONTROL MASTER'!$S$2:$S$495))-(ROW('CONTROL MASTER'!#REF!)-1))),":",","),",",REPT(" ",50)),((((9-INDEX('CONTROL MASTER'!$T$2:$T$495,(SUMPRODUCT((('CONTROL MASTER'!$S$2:$S$495=9)*('CONTROL MASTER'!$T$2:$T$495&lt;=9)*('CONTROL MASTER'!$V$2:$V$495&gt;=9)*('CONTROL MASTER'!$U$2:$U$495&lt;=7)*('CONTROL MASTER'!$W$2:$W$495&gt;=7))*ROW('CONTROL MASTER'!$S$2:$S$495))-(ROW('CONTROL MASTER'!#REF!)-1))))*(INDEX('CONTROL MASTER'!$W$2:$W$495,(SUMPRODUCT((('CONTROL MASTER'!$S$2:$S$495=9)*('CONTROL MASTER'!$T$2:$T$495&lt;=9)*('CONTROL MASTER'!$V$2:$V$495&gt;=9)*('CONTROL MASTER'!$U$2:$U$495&lt;=7)*('CONTROL MASTER'!$W$2:$W$495&gt;=7))*ROW('CONTROL MASTER'!$S$2:$S$495))-(ROW('CONTROL MASTER'!#REF!)-1)))-INDEX('CONTROL MASTER'!$U$2:$U$495,(SUMPRODUCT((('CONTROL MASTER'!$S$2:$S$495=9)*('CONTROL MASTER'!$T$2:$T$495&lt;=9)*('CONTROL MASTER'!$V$2:$V$495&gt;=9)*('CONTROL MASTER'!$U$2:$U$495&lt;=7)*('CONTROL MASTER'!$W$2:$W$495&gt;=7))*ROW('CONTROL MASTER'!$S$2:$S$495))-(ROW('CONTROL MASTER'!#REF!)-1)))+1)+(7-INDEX('CONTROL MASTER'!$U$2:$U$495,(SUMPRODUCT((('CONTROL MASTER'!$S$2:$S$495=9)*('CONTROL MASTER'!$T$2:$T$495&lt;=9)*('CONTROL MASTER'!$V$2:$V$495&gt;=9)*('CONTROL MASTER'!$U$2:$U$495&lt;=7)*('CONTROL MASTER'!$W$2:$W$495&gt;=7))*ROW('CONTROL MASTER'!$S$2:$S$495))-(ROW('CONTROL MASTER'!#REF!)-1))))+1))-1)*50+1,50))&amp;"_"&amp;INDEX('CONTROL MASTER'!$P$2:$P$495,(SUMPRODUCT((('CONTROL MASTER'!$S$2:$S$495=9)*('CONTROL MASTER'!$T$2:$T$495&lt;=9)*('CONTROL MASTER'!$V$2:$V$495&gt;=9)*('CONTROL MASTER'!$U$2:$U$495&lt;=7)*('CONTROL MASTER'!$W$2:$W$495&gt;=7))*ROW('CONTROL MASTER'!$S$2:$S$495))-(ROW('CONTROL MASTER'!#REF!)-1))),IF(SUMPRODUCT((('CONTROL MASTER'!$S$2:$S$495=9)*('CONTROL MASTER'!$Z$2:$Z$495&lt;=9)*('CONTROL MASTER'!$AB$2:$AB$495&gt;=9)*('CONTROL MASTER'!$AA$2:$AA$495&lt;=7)*('CONTROL MASTER'!$AC$2:$AC$495&gt;=7))*ROW('CONTROL MASTER'!$S$2:$S$495))&gt;0,INDEX('CONTROL MASTER'!$X$2:$X$495,(SUMPRODUCT((('CONTROL MASTER'!$S$2:$S$495=9)*('CONTROL MASTER'!$Z$2:$Z$495&lt;=9)*('CONTROL MASTER'!$AB$2:$AB$495&gt;=9)*('CONTROL MASTER'!$AA$2:$AA$495&lt;=7)*('CONTROL MASTER'!$AC$2:$AC$495&gt;=7))*ROW('CONTROL MASTER'!$S$2:$S$495))-(ROW('CONTROL MASTER'!#REF!)-1)))&amp;TRIM(MID(SUBSTITUTE(SUBSTITUTE(INDEX('CONTROL MASTER'!$N$2:$N$495,(SUMPRODUCT((('CONTROL MASTER'!$S$2:$S$495=9)*('CONTROL MASTER'!$Z$2:$Z$495&lt;=9)*('CONTROL MASTER'!$AB$2:$AB$495&gt;=9)*('CONTROL MASTER'!$AA$2:$AA$495&lt;=7)*('CONTROL MASTER'!$AC$2:$AC$495&gt;=7))*ROW('CONTROL MASTER'!$S$2:$S$495))-(ROW('CONTROL MASTER'!#REF!)-1))),":",","),",",REPT(" ",50)),(((INDEX('CONTROL MASTER'!$Y$2:$Y$495,(SUMPRODUCT((('CONTROL MASTER'!$S$2:$S$495=9)*('CONTROL MASTER'!$Z$2:$Z$495&lt;=9)*('CONTROL MASTER'!$AB$2:$AB$495&gt;=9)*('CONTROL MASTER'!$AA$2:$AA$495&lt;=7)*('CONTROL MASTER'!$AC$2:$AC$495&gt;=7))*ROW('CONTROL MASTER'!$S$2:$S$495))-(ROW('CONTROL MASTER'!#REF!)-1)))+((9-INDEX('CONTROL MASTER'!$Z$2:$Z$495,(SUMPRODUCT((('CONTROL MASTER'!$S$2:$S$495=9)*('CONTROL MASTER'!$Z$2:$Z$495&lt;=9)*('CONTROL MASTER'!$AB$2:$AB$495&gt;=9)*('CONTROL MASTER'!$AA$2:$AA$495&lt;=7)*('CONTROL MASTER'!$AC$2:$AC$495&gt;=7))*ROW('CONTROL MASTER'!$S$2:$S$495))-(ROW('CONTROL MASTER'!#REF!)-1))))*(INDEX('CONTROL MASTER'!$AC$2:$AC$495,(SUMPRODUCT((('CONTROL MASTER'!$S$2:$S$495=9)*('CONTROL MASTER'!$Z$2:$Z$495&lt;=9)*('CONTROL MASTER'!$AB$2:$AB$495&gt;=9)*('CONTROL MASTER'!$AA$2:$AA$495&lt;=7)*('CONTROL MASTER'!$AC$2:$AC$495&gt;=7))*ROW('CONTROL MASTER'!$S$2:$S$495))-(ROW('CONTROL MASTER'!#REF!)-1)))-INDEX('CONTROL MASTER'!$AA$2:$AA$495,(SUMPRODUCT((('CONTROL MASTER'!$S$2:$S$495=9)*('CONTROL MASTER'!$Z$2:$Z$495&lt;=9)*('CONTROL MASTER'!$AB$2:$AB$495&gt;=9)*('CONTROL MASTER'!$AA$2:$AA$495&lt;=7)*('CONTROL MASTER'!$AC$2:$AC$495&gt;=7))*ROW('CONTROL MASTER'!$S$2:$S$495))-(ROW('CONTROL MASTER'!#REF!)-1)))+1)+(7-INDEX('CONTROL MASTER'!$AA$2:$AA$495,(SUMPRODUCT((('CONTROL MASTER'!$S$2:$S$495=9)*('CONTROL MASTER'!$Z$2:$Z$495&lt;=9)*('CONTROL MASTER'!$AB$2:$AB$495&gt;=9)*('CONTROL MASTER'!$AA$2:$AA$495&lt;=7)*('CONTROL MASTER'!$AC$2:$AC$495&gt;=7))*ROW('CONTROL MASTER'!$S$2:$S$495))-(ROW('CONTROL MASTER'!#REF!)-1))))+1)))-1)*50+1,50))&amp;"_"&amp;INDEX('CONTROL MASTER'!$P$2:$P$495,(SUMPRODUCT((('CONTROL MASTER'!$S$2:$S$495=9)*('CONTROL MASTER'!$Z$2:$Z$495&lt;=9)*('CONTROL MASTER'!$AB$2:$AB$495&gt;=9)*('CONTROL MASTER'!$AA$2:$AA$495&lt;=7)*('CONTROL MASTER'!$AC$2:$AC$495&gt;=7))*ROW('CONTROL MASTER'!$S$2:$S$495))-(ROW('CONTROL MASTER'!#REF!)-1))),"")),"")</f>
        <v/>
      </c>
      <c r="I123" s="10" t="str">
        <f>IFERROR(IF(SUMPRODUCT((('CONTROL MASTER'!$S$2:$S$495=9)*('CONTROL MASTER'!$T$2:$T$495&lt;=9)*('CONTROL MASTER'!$V$2:$V$495&gt;=9)*('CONTROL MASTER'!$U$2:$U$495&lt;=8)*('CONTROL MASTER'!$W$2:$W$495&gt;=8))*ROW('CONTROL MASTER'!$S$2:$S$495))&gt;0,INDEX('CONTROL MASTER'!$X$2:$X$495,(SUMPRODUCT((('CONTROL MASTER'!$S$2:$S$495=9)*('CONTROL MASTER'!$T$2:$T$495&lt;=9)*('CONTROL MASTER'!$V$2:$V$495&gt;=9)*('CONTROL MASTER'!$U$2:$U$495&lt;=8)*('CONTROL MASTER'!$W$2:$W$495&gt;=8))*ROW('CONTROL MASTER'!$S$2:$S$495))-(ROW('CONTROL MASTER'!#REF!)-1)))&amp;TRIM(MID(SUBSTITUTE(SUBSTITUTE(INDEX('CONTROL MASTER'!$N$2:$N$495,(SUMPRODUCT((('CONTROL MASTER'!$S$2:$S$495=9)*('CONTROL MASTER'!$T$2:$T$495&lt;=9)*('CONTROL MASTER'!$V$2:$V$495&gt;=9)*('CONTROL MASTER'!$U$2:$U$495&lt;=8)*('CONTROL MASTER'!$W$2:$W$495&gt;=8))*ROW('CONTROL MASTER'!$S$2:$S$495))-(ROW('CONTROL MASTER'!#REF!)-1))),":",","),",",REPT(" ",50)),((((9-INDEX('CONTROL MASTER'!$T$2:$T$495,(SUMPRODUCT((('CONTROL MASTER'!$S$2:$S$495=9)*('CONTROL MASTER'!$T$2:$T$495&lt;=9)*('CONTROL MASTER'!$V$2:$V$495&gt;=9)*('CONTROL MASTER'!$U$2:$U$495&lt;=8)*('CONTROL MASTER'!$W$2:$W$495&gt;=8))*ROW('CONTROL MASTER'!$S$2:$S$495))-(ROW('CONTROL MASTER'!#REF!)-1))))*(INDEX('CONTROL MASTER'!$W$2:$W$495,(SUMPRODUCT((('CONTROL MASTER'!$S$2:$S$495=9)*('CONTROL MASTER'!$T$2:$T$495&lt;=9)*('CONTROL MASTER'!$V$2:$V$495&gt;=9)*('CONTROL MASTER'!$U$2:$U$495&lt;=8)*('CONTROL MASTER'!$W$2:$W$495&gt;=8))*ROW('CONTROL MASTER'!$S$2:$S$495))-(ROW('CONTROL MASTER'!#REF!)-1)))-INDEX('CONTROL MASTER'!$U$2:$U$495,(SUMPRODUCT((('CONTROL MASTER'!$S$2:$S$495=9)*('CONTROL MASTER'!$T$2:$T$495&lt;=9)*('CONTROL MASTER'!$V$2:$V$495&gt;=9)*('CONTROL MASTER'!$U$2:$U$495&lt;=8)*('CONTROL MASTER'!$W$2:$W$495&gt;=8))*ROW('CONTROL MASTER'!$S$2:$S$495))-(ROW('CONTROL MASTER'!#REF!)-1)))+1)+(8-INDEX('CONTROL MASTER'!$U$2:$U$495,(SUMPRODUCT((('CONTROL MASTER'!$S$2:$S$495=9)*('CONTROL MASTER'!$T$2:$T$495&lt;=9)*('CONTROL MASTER'!$V$2:$V$495&gt;=9)*('CONTROL MASTER'!$U$2:$U$495&lt;=8)*('CONTROL MASTER'!$W$2:$W$495&gt;=8))*ROW('CONTROL MASTER'!$S$2:$S$495))-(ROW('CONTROL MASTER'!#REF!)-1))))+1))-1)*50+1,50))&amp;"_"&amp;INDEX('CONTROL MASTER'!$P$2:$P$495,(SUMPRODUCT((('CONTROL MASTER'!$S$2:$S$495=9)*('CONTROL MASTER'!$T$2:$T$495&lt;=9)*('CONTROL MASTER'!$V$2:$V$495&gt;=9)*('CONTROL MASTER'!$U$2:$U$495&lt;=8)*('CONTROL MASTER'!$W$2:$W$495&gt;=8))*ROW('CONTROL MASTER'!$S$2:$S$495))-(ROW('CONTROL MASTER'!#REF!)-1))),IF(SUMPRODUCT((('CONTROL MASTER'!$S$2:$S$495=9)*('CONTROL MASTER'!$Z$2:$Z$495&lt;=9)*('CONTROL MASTER'!$AB$2:$AB$495&gt;=9)*('CONTROL MASTER'!$AA$2:$AA$495&lt;=8)*('CONTROL MASTER'!$AC$2:$AC$495&gt;=8))*ROW('CONTROL MASTER'!$S$2:$S$495))&gt;0,INDEX('CONTROL MASTER'!$X$2:$X$495,(SUMPRODUCT((('CONTROL MASTER'!$S$2:$S$495=9)*('CONTROL MASTER'!$Z$2:$Z$495&lt;=9)*('CONTROL MASTER'!$AB$2:$AB$495&gt;=9)*('CONTROL MASTER'!$AA$2:$AA$495&lt;=8)*('CONTROL MASTER'!$AC$2:$AC$495&gt;=8))*ROW('CONTROL MASTER'!$S$2:$S$495))-(ROW('CONTROL MASTER'!#REF!)-1)))&amp;TRIM(MID(SUBSTITUTE(SUBSTITUTE(INDEX('CONTROL MASTER'!$N$2:$N$495,(SUMPRODUCT((('CONTROL MASTER'!$S$2:$S$495=9)*('CONTROL MASTER'!$Z$2:$Z$495&lt;=9)*('CONTROL MASTER'!$AB$2:$AB$495&gt;=9)*('CONTROL MASTER'!$AA$2:$AA$495&lt;=8)*('CONTROL MASTER'!$AC$2:$AC$495&gt;=8))*ROW('CONTROL MASTER'!$S$2:$S$495))-(ROW('CONTROL MASTER'!#REF!)-1))),":",","),",",REPT(" ",50)),(((INDEX('CONTROL MASTER'!$Y$2:$Y$495,(SUMPRODUCT((('CONTROL MASTER'!$S$2:$S$495=9)*('CONTROL MASTER'!$Z$2:$Z$495&lt;=9)*('CONTROL MASTER'!$AB$2:$AB$495&gt;=9)*('CONTROL MASTER'!$AA$2:$AA$495&lt;=8)*('CONTROL MASTER'!$AC$2:$AC$495&gt;=8))*ROW('CONTROL MASTER'!$S$2:$S$495))-(ROW('CONTROL MASTER'!#REF!)-1)))+((9-INDEX('CONTROL MASTER'!$Z$2:$Z$495,(SUMPRODUCT((('CONTROL MASTER'!$S$2:$S$495=9)*('CONTROL MASTER'!$Z$2:$Z$495&lt;=9)*('CONTROL MASTER'!$AB$2:$AB$495&gt;=9)*('CONTROL MASTER'!$AA$2:$AA$495&lt;=8)*('CONTROL MASTER'!$AC$2:$AC$495&gt;=8))*ROW('CONTROL MASTER'!$S$2:$S$495))-(ROW('CONTROL MASTER'!#REF!)-1))))*(INDEX('CONTROL MASTER'!$AC$2:$AC$495,(SUMPRODUCT((('CONTROL MASTER'!$S$2:$S$495=9)*('CONTROL MASTER'!$Z$2:$Z$495&lt;=9)*('CONTROL MASTER'!$AB$2:$AB$495&gt;=9)*('CONTROL MASTER'!$AA$2:$AA$495&lt;=8)*('CONTROL MASTER'!$AC$2:$AC$495&gt;=8))*ROW('CONTROL MASTER'!$S$2:$S$495))-(ROW('CONTROL MASTER'!#REF!)-1)))-INDEX('CONTROL MASTER'!$AA$2:$AA$495,(SUMPRODUCT((('CONTROL MASTER'!$S$2:$S$495=9)*('CONTROL MASTER'!$Z$2:$Z$495&lt;=9)*('CONTROL MASTER'!$AB$2:$AB$495&gt;=9)*('CONTROL MASTER'!$AA$2:$AA$495&lt;=8)*('CONTROL MASTER'!$AC$2:$AC$495&gt;=8))*ROW('CONTROL MASTER'!$S$2:$S$495))-(ROW('CONTROL MASTER'!#REF!)-1)))+1)+(8-INDEX('CONTROL MASTER'!$AA$2:$AA$495,(SUMPRODUCT((('CONTROL MASTER'!$S$2:$S$495=9)*('CONTROL MASTER'!$Z$2:$Z$495&lt;=9)*('CONTROL MASTER'!$AB$2:$AB$495&gt;=9)*('CONTROL MASTER'!$AA$2:$AA$495&lt;=8)*('CONTROL MASTER'!$AC$2:$AC$495&gt;=8))*ROW('CONTROL MASTER'!$S$2:$S$495))-(ROW('CONTROL MASTER'!#REF!)-1))))+1)))-1)*50+1,50))&amp;"_"&amp;INDEX('CONTROL MASTER'!$P$2:$P$495,(SUMPRODUCT((('CONTROL MASTER'!$S$2:$S$495=9)*('CONTROL MASTER'!$Z$2:$Z$495&lt;=9)*('CONTROL MASTER'!$AB$2:$AB$495&gt;=9)*('CONTROL MASTER'!$AA$2:$AA$495&lt;=8)*('CONTROL MASTER'!$AC$2:$AC$495&gt;=8))*ROW('CONTROL MASTER'!$S$2:$S$495))-(ROW('CONTROL MASTER'!#REF!)-1))),"")),"")</f>
        <v/>
      </c>
      <c r="J123" s="10" t="str">
        <f>IFERROR(IF(SUMPRODUCT((('CONTROL MASTER'!$S$2:$S$495=9)*('CONTROL MASTER'!$T$2:$T$495&lt;=9)*('CONTROL MASTER'!$V$2:$V$495&gt;=9)*('CONTROL MASTER'!$U$2:$U$495&lt;=9)*('CONTROL MASTER'!$W$2:$W$495&gt;=9))*ROW('CONTROL MASTER'!$S$2:$S$495))&gt;0,INDEX('CONTROL MASTER'!$X$2:$X$495,(SUMPRODUCT((('CONTROL MASTER'!$S$2:$S$495=9)*('CONTROL MASTER'!$T$2:$T$495&lt;=9)*('CONTROL MASTER'!$V$2:$V$495&gt;=9)*('CONTROL MASTER'!$U$2:$U$495&lt;=9)*('CONTROL MASTER'!$W$2:$W$495&gt;=9))*ROW('CONTROL MASTER'!$S$2:$S$495))-(ROW('CONTROL MASTER'!#REF!)-1)))&amp;TRIM(MID(SUBSTITUTE(SUBSTITUTE(INDEX('CONTROL MASTER'!$N$2:$N$495,(SUMPRODUCT((('CONTROL MASTER'!$S$2:$S$495=9)*('CONTROL MASTER'!$T$2:$T$495&lt;=9)*('CONTROL MASTER'!$V$2:$V$495&gt;=9)*('CONTROL MASTER'!$U$2:$U$495&lt;=9)*('CONTROL MASTER'!$W$2:$W$495&gt;=9))*ROW('CONTROL MASTER'!$S$2:$S$495))-(ROW('CONTROL MASTER'!#REF!)-1))),":",","),",",REPT(" ",50)),((((9-INDEX('CONTROL MASTER'!$T$2:$T$495,(SUMPRODUCT((('CONTROL MASTER'!$S$2:$S$495=9)*('CONTROL MASTER'!$T$2:$T$495&lt;=9)*('CONTROL MASTER'!$V$2:$V$495&gt;=9)*('CONTROL MASTER'!$U$2:$U$495&lt;=9)*('CONTROL MASTER'!$W$2:$W$495&gt;=9))*ROW('CONTROL MASTER'!$S$2:$S$495))-(ROW('CONTROL MASTER'!#REF!)-1))))*(INDEX('CONTROL MASTER'!$W$2:$W$495,(SUMPRODUCT((('CONTROL MASTER'!$S$2:$S$495=9)*('CONTROL MASTER'!$T$2:$T$495&lt;=9)*('CONTROL MASTER'!$V$2:$V$495&gt;=9)*('CONTROL MASTER'!$U$2:$U$495&lt;=9)*('CONTROL MASTER'!$W$2:$W$495&gt;=9))*ROW('CONTROL MASTER'!$S$2:$S$495))-(ROW('CONTROL MASTER'!#REF!)-1)))-INDEX('CONTROL MASTER'!$U$2:$U$495,(SUMPRODUCT((('CONTROL MASTER'!$S$2:$S$495=9)*('CONTROL MASTER'!$T$2:$T$495&lt;=9)*('CONTROL MASTER'!$V$2:$V$495&gt;=9)*('CONTROL MASTER'!$U$2:$U$495&lt;=9)*('CONTROL MASTER'!$W$2:$W$495&gt;=9))*ROW('CONTROL MASTER'!$S$2:$S$495))-(ROW('CONTROL MASTER'!#REF!)-1)))+1)+(9-INDEX('CONTROL MASTER'!$U$2:$U$495,(SUMPRODUCT((('CONTROL MASTER'!$S$2:$S$495=9)*('CONTROL MASTER'!$T$2:$T$495&lt;=9)*('CONTROL MASTER'!$V$2:$V$495&gt;=9)*('CONTROL MASTER'!$U$2:$U$495&lt;=9)*('CONTROL MASTER'!$W$2:$W$495&gt;=9))*ROW('CONTROL MASTER'!$S$2:$S$495))-(ROW('CONTROL MASTER'!#REF!)-1))))+1))-1)*50+1,50))&amp;"_"&amp;INDEX('CONTROL MASTER'!$P$2:$P$495,(SUMPRODUCT((('CONTROL MASTER'!$S$2:$S$495=9)*('CONTROL MASTER'!$T$2:$T$495&lt;=9)*('CONTROL MASTER'!$V$2:$V$495&gt;=9)*('CONTROL MASTER'!$U$2:$U$495&lt;=9)*('CONTROL MASTER'!$W$2:$W$495&gt;=9))*ROW('CONTROL MASTER'!$S$2:$S$495))-(ROW('CONTROL MASTER'!#REF!)-1))),IF(SUMPRODUCT((('CONTROL MASTER'!$S$2:$S$495=9)*('CONTROL MASTER'!$Z$2:$Z$495&lt;=9)*('CONTROL MASTER'!$AB$2:$AB$495&gt;=9)*('CONTROL MASTER'!$AA$2:$AA$495&lt;=9)*('CONTROL MASTER'!$AC$2:$AC$495&gt;=9))*ROW('CONTROL MASTER'!$S$2:$S$495))&gt;0,INDEX('CONTROL MASTER'!$X$2:$X$495,(SUMPRODUCT((('CONTROL MASTER'!$S$2:$S$495=9)*('CONTROL MASTER'!$Z$2:$Z$495&lt;=9)*('CONTROL MASTER'!$AB$2:$AB$495&gt;=9)*('CONTROL MASTER'!$AA$2:$AA$495&lt;=9)*('CONTROL MASTER'!$AC$2:$AC$495&gt;=9))*ROW('CONTROL MASTER'!$S$2:$S$495))-(ROW('CONTROL MASTER'!#REF!)-1)))&amp;TRIM(MID(SUBSTITUTE(SUBSTITUTE(INDEX('CONTROL MASTER'!$N$2:$N$495,(SUMPRODUCT((('CONTROL MASTER'!$S$2:$S$495=9)*('CONTROL MASTER'!$Z$2:$Z$495&lt;=9)*('CONTROL MASTER'!$AB$2:$AB$495&gt;=9)*('CONTROL MASTER'!$AA$2:$AA$495&lt;=9)*('CONTROL MASTER'!$AC$2:$AC$495&gt;=9))*ROW('CONTROL MASTER'!$S$2:$S$495))-(ROW('CONTROL MASTER'!#REF!)-1))),":",","),",",REPT(" ",50)),(((INDEX('CONTROL MASTER'!$Y$2:$Y$495,(SUMPRODUCT((('CONTROL MASTER'!$S$2:$S$495=9)*('CONTROL MASTER'!$Z$2:$Z$495&lt;=9)*('CONTROL MASTER'!$AB$2:$AB$495&gt;=9)*('CONTROL MASTER'!$AA$2:$AA$495&lt;=9)*('CONTROL MASTER'!$AC$2:$AC$495&gt;=9))*ROW('CONTROL MASTER'!$S$2:$S$495))-(ROW('CONTROL MASTER'!#REF!)-1)))+((9-INDEX('CONTROL MASTER'!$Z$2:$Z$495,(SUMPRODUCT((('CONTROL MASTER'!$S$2:$S$495=9)*('CONTROL MASTER'!$Z$2:$Z$495&lt;=9)*('CONTROL MASTER'!$AB$2:$AB$495&gt;=9)*('CONTROL MASTER'!$AA$2:$AA$495&lt;=9)*('CONTROL MASTER'!$AC$2:$AC$495&gt;=9))*ROW('CONTROL MASTER'!$S$2:$S$495))-(ROW('CONTROL MASTER'!#REF!)-1))))*(INDEX('CONTROL MASTER'!$AC$2:$AC$495,(SUMPRODUCT((('CONTROL MASTER'!$S$2:$S$495=9)*('CONTROL MASTER'!$Z$2:$Z$495&lt;=9)*('CONTROL MASTER'!$AB$2:$AB$495&gt;=9)*('CONTROL MASTER'!$AA$2:$AA$495&lt;=9)*('CONTROL MASTER'!$AC$2:$AC$495&gt;=9))*ROW('CONTROL MASTER'!$S$2:$S$495))-(ROW('CONTROL MASTER'!#REF!)-1)))-INDEX('CONTROL MASTER'!$AA$2:$AA$495,(SUMPRODUCT((('CONTROL MASTER'!$S$2:$S$495=9)*('CONTROL MASTER'!$Z$2:$Z$495&lt;=9)*('CONTROL MASTER'!$AB$2:$AB$495&gt;=9)*('CONTROL MASTER'!$AA$2:$AA$495&lt;=9)*('CONTROL MASTER'!$AC$2:$AC$495&gt;=9))*ROW('CONTROL MASTER'!$S$2:$S$495))-(ROW('CONTROL MASTER'!#REF!)-1)))+1)+(9-INDEX('CONTROL MASTER'!$AA$2:$AA$495,(SUMPRODUCT((('CONTROL MASTER'!$S$2:$S$495=9)*('CONTROL MASTER'!$Z$2:$Z$495&lt;=9)*('CONTROL MASTER'!$AB$2:$AB$495&gt;=9)*('CONTROL MASTER'!$AA$2:$AA$495&lt;=9)*('CONTROL MASTER'!$AC$2:$AC$495&gt;=9))*ROW('CONTROL MASTER'!$S$2:$S$495))-(ROW('CONTROL MASTER'!#REF!)-1))))+1)))-1)*50+1,50))&amp;"_"&amp;INDEX('CONTROL MASTER'!$P$2:$P$495,(SUMPRODUCT((('CONTROL MASTER'!$S$2:$S$495=9)*('CONTROL MASTER'!$Z$2:$Z$495&lt;=9)*('CONTROL MASTER'!$AB$2:$AB$495&gt;=9)*('CONTROL MASTER'!$AA$2:$AA$495&lt;=9)*('CONTROL MASTER'!$AC$2:$AC$495&gt;=9))*ROW('CONTROL MASTER'!$S$2:$S$495))-(ROW('CONTROL MASTER'!#REF!)-1))),"")),"")</f>
        <v/>
      </c>
      <c r="K123" s="10" t="str">
        <f>IFERROR(IF(SUMPRODUCT((('CONTROL MASTER'!$S$2:$S$495=9)*('CONTROL MASTER'!$T$2:$T$495&lt;=9)*('CONTROL MASTER'!$V$2:$V$495&gt;=9)*('CONTROL MASTER'!$U$2:$U$495&lt;=10)*('CONTROL MASTER'!$W$2:$W$495&gt;=10))*ROW('CONTROL MASTER'!$S$2:$S$495))&gt;0,INDEX('CONTROL MASTER'!$X$2:$X$495,(SUMPRODUCT((('CONTROL MASTER'!$S$2:$S$495=9)*('CONTROL MASTER'!$T$2:$T$495&lt;=9)*('CONTROL MASTER'!$V$2:$V$495&gt;=9)*('CONTROL MASTER'!$U$2:$U$495&lt;=10)*('CONTROL MASTER'!$W$2:$W$495&gt;=10))*ROW('CONTROL MASTER'!$S$2:$S$495))-(ROW('CONTROL MASTER'!#REF!)-1)))&amp;TRIM(MID(SUBSTITUTE(SUBSTITUTE(INDEX('CONTROL MASTER'!$N$2:$N$495,(SUMPRODUCT((('CONTROL MASTER'!$S$2:$S$495=9)*('CONTROL MASTER'!$T$2:$T$495&lt;=9)*('CONTROL MASTER'!$V$2:$V$495&gt;=9)*('CONTROL MASTER'!$U$2:$U$495&lt;=10)*('CONTROL MASTER'!$W$2:$W$495&gt;=10))*ROW('CONTROL MASTER'!$S$2:$S$495))-(ROW('CONTROL MASTER'!#REF!)-1))),":",","),",",REPT(" ",50)),((((9-INDEX('CONTROL MASTER'!$T$2:$T$495,(SUMPRODUCT((('CONTROL MASTER'!$S$2:$S$495=9)*('CONTROL MASTER'!$T$2:$T$495&lt;=9)*('CONTROL MASTER'!$V$2:$V$495&gt;=9)*('CONTROL MASTER'!$U$2:$U$495&lt;=10)*('CONTROL MASTER'!$W$2:$W$495&gt;=10))*ROW('CONTROL MASTER'!$S$2:$S$495))-(ROW('CONTROL MASTER'!#REF!)-1))))*(INDEX('CONTROL MASTER'!$W$2:$W$495,(SUMPRODUCT((('CONTROL MASTER'!$S$2:$S$495=9)*('CONTROL MASTER'!$T$2:$T$495&lt;=9)*('CONTROL MASTER'!$V$2:$V$495&gt;=9)*('CONTROL MASTER'!$U$2:$U$495&lt;=10)*('CONTROL MASTER'!$W$2:$W$495&gt;=10))*ROW('CONTROL MASTER'!$S$2:$S$495))-(ROW('CONTROL MASTER'!#REF!)-1)))-INDEX('CONTROL MASTER'!$U$2:$U$495,(SUMPRODUCT((('CONTROL MASTER'!$S$2:$S$495=9)*('CONTROL MASTER'!$T$2:$T$495&lt;=9)*('CONTROL MASTER'!$V$2:$V$495&gt;=9)*('CONTROL MASTER'!$U$2:$U$495&lt;=10)*('CONTROL MASTER'!$W$2:$W$495&gt;=10))*ROW('CONTROL MASTER'!$S$2:$S$495))-(ROW('CONTROL MASTER'!#REF!)-1)))+1)+(10-INDEX('CONTROL MASTER'!$U$2:$U$495,(SUMPRODUCT((('CONTROL MASTER'!$S$2:$S$495=9)*('CONTROL MASTER'!$T$2:$T$495&lt;=9)*('CONTROL MASTER'!$V$2:$V$495&gt;=9)*('CONTROL MASTER'!$U$2:$U$495&lt;=10)*('CONTROL MASTER'!$W$2:$W$495&gt;=10))*ROW('CONTROL MASTER'!$S$2:$S$495))-(ROW('CONTROL MASTER'!#REF!)-1))))+1))-1)*50+1,50))&amp;"_"&amp;INDEX('CONTROL MASTER'!$P$2:$P$495,(SUMPRODUCT((('CONTROL MASTER'!$S$2:$S$495=9)*('CONTROL MASTER'!$T$2:$T$495&lt;=9)*('CONTROL MASTER'!$V$2:$V$495&gt;=9)*('CONTROL MASTER'!$U$2:$U$495&lt;=10)*('CONTROL MASTER'!$W$2:$W$495&gt;=10))*ROW('CONTROL MASTER'!$S$2:$S$495))-(ROW('CONTROL MASTER'!#REF!)-1))),IF(SUMPRODUCT((('CONTROL MASTER'!$S$2:$S$495=9)*('CONTROL MASTER'!$Z$2:$Z$495&lt;=9)*('CONTROL MASTER'!$AB$2:$AB$495&gt;=9)*('CONTROL MASTER'!$AA$2:$AA$495&lt;=10)*('CONTROL MASTER'!$AC$2:$AC$495&gt;=10))*ROW('CONTROL MASTER'!$S$2:$S$495))&gt;0,INDEX('CONTROL MASTER'!$X$2:$X$495,(SUMPRODUCT((('CONTROL MASTER'!$S$2:$S$495=9)*('CONTROL MASTER'!$Z$2:$Z$495&lt;=9)*('CONTROL MASTER'!$AB$2:$AB$495&gt;=9)*('CONTROL MASTER'!$AA$2:$AA$495&lt;=10)*('CONTROL MASTER'!$AC$2:$AC$495&gt;=10))*ROW('CONTROL MASTER'!$S$2:$S$495))-(ROW('CONTROL MASTER'!#REF!)-1)))&amp;TRIM(MID(SUBSTITUTE(SUBSTITUTE(INDEX('CONTROL MASTER'!$N$2:$N$495,(SUMPRODUCT((('CONTROL MASTER'!$S$2:$S$495=9)*('CONTROL MASTER'!$Z$2:$Z$495&lt;=9)*('CONTROL MASTER'!$AB$2:$AB$495&gt;=9)*('CONTROL MASTER'!$AA$2:$AA$495&lt;=10)*('CONTROL MASTER'!$AC$2:$AC$495&gt;=10))*ROW('CONTROL MASTER'!$S$2:$S$495))-(ROW('CONTROL MASTER'!#REF!)-1))),":",","),",",REPT(" ",50)),(((INDEX('CONTROL MASTER'!$Y$2:$Y$495,(SUMPRODUCT((('CONTROL MASTER'!$S$2:$S$495=9)*('CONTROL MASTER'!$Z$2:$Z$495&lt;=9)*('CONTROL MASTER'!$AB$2:$AB$495&gt;=9)*('CONTROL MASTER'!$AA$2:$AA$495&lt;=10)*('CONTROL MASTER'!$AC$2:$AC$495&gt;=10))*ROW('CONTROL MASTER'!$S$2:$S$495))-(ROW('CONTROL MASTER'!#REF!)-1)))+((9-INDEX('CONTROL MASTER'!$Z$2:$Z$495,(SUMPRODUCT((('CONTROL MASTER'!$S$2:$S$495=9)*('CONTROL MASTER'!$Z$2:$Z$495&lt;=9)*('CONTROL MASTER'!$AB$2:$AB$495&gt;=9)*('CONTROL MASTER'!$AA$2:$AA$495&lt;=10)*('CONTROL MASTER'!$AC$2:$AC$495&gt;=10))*ROW('CONTROL MASTER'!$S$2:$S$495))-(ROW('CONTROL MASTER'!#REF!)-1))))*(INDEX('CONTROL MASTER'!$AC$2:$AC$495,(SUMPRODUCT((('CONTROL MASTER'!$S$2:$S$495=9)*('CONTROL MASTER'!$Z$2:$Z$495&lt;=9)*('CONTROL MASTER'!$AB$2:$AB$495&gt;=9)*('CONTROL MASTER'!$AA$2:$AA$495&lt;=10)*('CONTROL MASTER'!$AC$2:$AC$495&gt;=10))*ROW('CONTROL MASTER'!$S$2:$S$495))-(ROW('CONTROL MASTER'!#REF!)-1)))-INDEX('CONTROL MASTER'!$AA$2:$AA$495,(SUMPRODUCT((('CONTROL MASTER'!$S$2:$S$495=9)*('CONTROL MASTER'!$Z$2:$Z$495&lt;=9)*('CONTROL MASTER'!$AB$2:$AB$495&gt;=9)*('CONTROL MASTER'!$AA$2:$AA$495&lt;=10)*('CONTROL MASTER'!$AC$2:$AC$495&gt;=10))*ROW('CONTROL MASTER'!$S$2:$S$495))-(ROW('CONTROL MASTER'!#REF!)-1)))+1)+(10-INDEX('CONTROL MASTER'!$AA$2:$AA$495,(SUMPRODUCT((('CONTROL MASTER'!$S$2:$S$495=9)*('CONTROL MASTER'!$Z$2:$Z$495&lt;=9)*('CONTROL MASTER'!$AB$2:$AB$495&gt;=9)*('CONTROL MASTER'!$AA$2:$AA$495&lt;=10)*('CONTROL MASTER'!$AC$2:$AC$495&gt;=10))*ROW('CONTROL MASTER'!$S$2:$S$495))-(ROW('CONTROL MASTER'!#REF!)-1))))+1)))-1)*50+1,50))&amp;"_"&amp;INDEX('CONTROL MASTER'!$P$2:$P$495,(SUMPRODUCT((('CONTROL MASTER'!$S$2:$S$495=9)*('CONTROL MASTER'!$Z$2:$Z$495&lt;=9)*('CONTROL MASTER'!$AB$2:$AB$495&gt;=9)*('CONTROL MASTER'!$AA$2:$AA$495&lt;=10)*('CONTROL MASTER'!$AC$2:$AC$495&gt;=10))*ROW('CONTROL MASTER'!$S$2:$S$495))-(ROW('CONTROL MASTER'!#REF!)-1))),"")),"")</f>
        <v/>
      </c>
    </row>
    <row r="124" spans="1:11" ht="15" customHeight="1" x14ac:dyDescent="0.35">
      <c r="A124" s="8" t="s">
        <v>82</v>
      </c>
      <c r="B124" s="10" t="str">
        <f>IFERROR(IF(SUMPRODUCT((('CONTROL MASTER'!$S$2:$S$495=9)*('CONTROL MASTER'!$T$2:$T$495&lt;=10)*('CONTROL MASTER'!$V$2:$V$495&gt;=10)*('CONTROL MASTER'!$U$2:$U$495&lt;=1)*('CONTROL MASTER'!$W$2:$W$495&gt;=1))*ROW('CONTROL MASTER'!$S$2:$S$495))&gt;0,INDEX('CONTROL MASTER'!$X$2:$X$495,(SUMPRODUCT((('CONTROL MASTER'!$S$2:$S$495=9)*('CONTROL MASTER'!$T$2:$T$495&lt;=10)*('CONTROL MASTER'!$V$2:$V$495&gt;=10)*('CONTROL MASTER'!$U$2:$U$495&lt;=1)*('CONTROL MASTER'!$W$2:$W$495&gt;=1))*ROW('CONTROL MASTER'!$S$2:$S$495))-(ROW('CONTROL MASTER'!#REF!)-1)))&amp;TRIM(MID(SUBSTITUTE(SUBSTITUTE(INDEX('CONTROL MASTER'!$N$2:$N$495,(SUMPRODUCT((('CONTROL MASTER'!$S$2:$S$495=9)*('CONTROL MASTER'!$T$2:$T$495&lt;=10)*('CONTROL MASTER'!$V$2:$V$495&gt;=10)*('CONTROL MASTER'!$U$2:$U$495&lt;=1)*('CONTROL MASTER'!$W$2:$W$495&gt;=1))*ROW('CONTROL MASTER'!$S$2:$S$495))-(ROW('CONTROL MASTER'!#REF!)-1))),":",","),",",REPT(" ",50)),((((10-INDEX('CONTROL MASTER'!$T$2:$T$495,(SUMPRODUCT((('CONTROL MASTER'!$S$2:$S$495=9)*('CONTROL MASTER'!$T$2:$T$495&lt;=10)*('CONTROL MASTER'!$V$2:$V$495&gt;=10)*('CONTROL MASTER'!$U$2:$U$495&lt;=1)*('CONTROL MASTER'!$W$2:$W$495&gt;=1))*ROW('CONTROL MASTER'!$S$2:$S$495))-(ROW('CONTROL MASTER'!#REF!)-1))))*(INDEX('CONTROL MASTER'!$W$2:$W$495,(SUMPRODUCT((('CONTROL MASTER'!$S$2:$S$495=9)*('CONTROL MASTER'!$T$2:$T$495&lt;=10)*('CONTROL MASTER'!$V$2:$V$495&gt;=10)*('CONTROL MASTER'!$U$2:$U$495&lt;=1)*('CONTROL MASTER'!$W$2:$W$495&gt;=1))*ROW('CONTROL MASTER'!$S$2:$S$495))-(ROW('CONTROL MASTER'!#REF!)-1)))-INDEX('CONTROL MASTER'!$U$2:$U$495,(SUMPRODUCT((('CONTROL MASTER'!$S$2:$S$495=9)*('CONTROL MASTER'!$T$2:$T$495&lt;=10)*('CONTROL MASTER'!$V$2:$V$495&gt;=10)*('CONTROL MASTER'!$U$2:$U$495&lt;=1)*('CONTROL MASTER'!$W$2:$W$495&gt;=1))*ROW('CONTROL MASTER'!$S$2:$S$495))-(ROW('CONTROL MASTER'!#REF!)-1)))+1)+(1-INDEX('CONTROL MASTER'!$U$2:$U$495,(SUMPRODUCT((('CONTROL MASTER'!$S$2:$S$495=9)*('CONTROL MASTER'!$T$2:$T$495&lt;=10)*('CONTROL MASTER'!$V$2:$V$495&gt;=10)*('CONTROL MASTER'!$U$2:$U$495&lt;=1)*('CONTROL MASTER'!$W$2:$W$495&gt;=1))*ROW('CONTROL MASTER'!$S$2:$S$495))-(ROW('CONTROL MASTER'!#REF!)-1))))+1))-1)*50+1,50))&amp;"_"&amp;INDEX('CONTROL MASTER'!$P$2:$P$495,(SUMPRODUCT((('CONTROL MASTER'!$S$2:$S$495=9)*('CONTROL MASTER'!$T$2:$T$495&lt;=10)*('CONTROL MASTER'!$V$2:$V$495&gt;=10)*('CONTROL MASTER'!$U$2:$U$495&lt;=1)*('CONTROL MASTER'!$W$2:$W$495&gt;=1))*ROW('CONTROL MASTER'!$S$2:$S$495))-(ROW('CONTROL MASTER'!#REF!)-1))),IF(SUMPRODUCT((('CONTROL MASTER'!$S$2:$S$495=9)*('CONTROL MASTER'!$Z$2:$Z$495&lt;=10)*('CONTROL MASTER'!$AB$2:$AB$495&gt;=10)*('CONTROL MASTER'!$AA$2:$AA$495&lt;=1)*('CONTROL MASTER'!$AC$2:$AC$495&gt;=1))*ROW('CONTROL MASTER'!$S$2:$S$495))&gt;0,INDEX('CONTROL MASTER'!$X$2:$X$495,(SUMPRODUCT((('CONTROL MASTER'!$S$2:$S$495=9)*('CONTROL MASTER'!$Z$2:$Z$495&lt;=10)*('CONTROL MASTER'!$AB$2:$AB$495&gt;=10)*('CONTROL MASTER'!$AA$2:$AA$495&lt;=1)*('CONTROL MASTER'!$AC$2:$AC$495&gt;=1))*ROW('CONTROL MASTER'!$S$2:$S$495))-(ROW('CONTROL MASTER'!#REF!)-1)))&amp;TRIM(MID(SUBSTITUTE(SUBSTITUTE(INDEX('CONTROL MASTER'!$N$2:$N$495,(SUMPRODUCT((('CONTROL MASTER'!$S$2:$S$495=9)*('CONTROL MASTER'!$Z$2:$Z$495&lt;=10)*('CONTROL MASTER'!$AB$2:$AB$495&gt;=10)*('CONTROL MASTER'!$AA$2:$AA$495&lt;=1)*('CONTROL MASTER'!$AC$2:$AC$495&gt;=1))*ROW('CONTROL MASTER'!$S$2:$S$495))-(ROW('CONTROL MASTER'!#REF!)-1))),":",","),",",REPT(" ",50)),(((INDEX('CONTROL MASTER'!$Y$2:$Y$495,(SUMPRODUCT((('CONTROL MASTER'!$S$2:$S$495=9)*('CONTROL MASTER'!$Z$2:$Z$495&lt;=10)*('CONTROL MASTER'!$AB$2:$AB$495&gt;=10)*('CONTROL MASTER'!$AA$2:$AA$495&lt;=1)*('CONTROL MASTER'!$AC$2:$AC$495&gt;=1))*ROW('CONTROL MASTER'!$S$2:$S$495))-(ROW('CONTROL MASTER'!#REF!)-1)))+((10-INDEX('CONTROL MASTER'!$Z$2:$Z$495,(SUMPRODUCT((('CONTROL MASTER'!$S$2:$S$495=9)*('CONTROL MASTER'!$Z$2:$Z$495&lt;=10)*('CONTROL MASTER'!$AB$2:$AB$495&gt;=10)*('CONTROL MASTER'!$AA$2:$AA$495&lt;=1)*('CONTROL MASTER'!$AC$2:$AC$495&gt;=1))*ROW('CONTROL MASTER'!$S$2:$S$495))-(ROW('CONTROL MASTER'!#REF!)-1))))*(INDEX('CONTROL MASTER'!$AC$2:$AC$495,(SUMPRODUCT((('CONTROL MASTER'!$S$2:$S$495=9)*('CONTROL MASTER'!$Z$2:$Z$495&lt;=10)*('CONTROL MASTER'!$AB$2:$AB$495&gt;=10)*('CONTROL MASTER'!$AA$2:$AA$495&lt;=1)*('CONTROL MASTER'!$AC$2:$AC$495&gt;=1))*ROW('CONTROL MASTER'!$S$2:$S$495))-(ROW('CONTROL MASTER'!#REF!)-1)))-INDEX('CONTROL MASTER'!$AA$2:$AA$495,(SUMPRODUCT((('CONTROL MASTER'!$S$2:$S$495=9)*('CONTROL MASTER'!$Z$2:$Z$495&lt;=10)*('CONTROL MASTER'!$AB$2:$AB$495&gt;=10)*('CONTROL MASTER'!$AA$2:$AA$495&lt;=1)*('CONTROL MASTER'!$AC$2:$AC$495&gt;=1))*ROW('CONTROL MASTER'!$S$2:$S$495))-(ROW('CONTROL MASTER'!#REF!)-1)))+1)+(1-INDEX('CONTROL MASTER'!$AA$2:$AA$495,(SUMPRODUCT((('CONTROL MASTER'!$S$2:$S$495=9)*('CONTROL MASTER'!$Z$2:$Z$495&lt;=10)*('CONTROL MASTER'!$AB$2:$AB$495&gt;=10)*('CONTROL MASTER'!$AA$2:$AA$495&lt;=1)*('CONTROL MASTER'!$AC$2:$AC$495&gt;=1))*ROW('CONTROL MASTER'!$S$2:$S$495))-(ROW('CONTROL MASTER'!#REF!)-1))))+1)))-1)*50+1,50))&amp;"_"&amp;INDEX('CONTROL MASTER'!$P$2:$P$495,(SUMPRODUCT((('CONTROL MASTER'!$S$2:$S$495=9)*('CONTROL MASTER'!$Z$2:$Z$495&lt;=10)*('CONTROL MASTER'!$AB$2:$AB$495&gt;=10)*('CONTROL MASTER'!$AA$2:$AA$495&lt;=1)*('CONTROL MASTER'!$AC$2:$AC$495&gt;=1))*ROW('CONTROL MASTER'!$S$2:$S$495))-(ROW('CONTROL MASTER'!#REF!)-1))),"")),"")</f>
        <v/>
      </c>
      <c r="C124" s="10" t="str">
        <f>IFERROR(IF(SUMPRODUCT((('CONTROL MASTER'!$S$2:$S$495=9)*('CONTROL MASTER'!$T$2:$T$495&lt;=10)*('CONTROL MASTER'!$V$2:$V$495&gt;=10)*('CONTROL MASTER'!$U$2:$U$495&lt;=2)*('CONTROL MASTER'!$W$2:$W$495&gt;=2))*ROW('CONTROL MASTER'!$S$2:$S$495))&gt;0,INDEX('CONTROL MASTER'!$X$2:$X$495,(SUMPRODUCT((('CONTROL MASTER'!$S$2:$S$495=9)*('CONTROL MASTER'!$T$2:$T$495&lt;=10)*('CONTROL MASTER'!$V$2:$V$495&gt;=10)*('CONTROL MASTER'!$U$2:$U$495&lt;=2)*('CONTROL MASTER'!$W$2:$W$495&gt;=2))*ROW('CONTROL MASTER'!$S$2:$S$495))-(ROW('CONTROL MASTER'!#REF!)-1)))&amp;TRIM(MID(SUBSTITUTE(SUBSTITUTE(INDEX('CONTROL MASTER'!$N$2:$N$495,(SUMPRODUCT((('CONTROL MASTER'!$S$2:$S$495=9)*('CONTROL MASTER'!$T$2:$T$495&lt;=10)*('CONTROL MASTER'!$V$2:$V$495&gt;=10)*('CONTROL MASTER'!$U$2:$U$495&lt;=2)*('CONTROL MASTER'!$W$2:$W$495&gt;=2))*ROW('CONTROL MASTER'!$S$2:$S$495))-(ROW('CONTROL MASTER'!#REF!)-1))),":",","),",",REPT(" ",50)),((((10-INDEX('CONTROL MASTER'!$T$2:$T$495,(SUMPRODUCT((('CONTROL MASTER'!$S$2:$S$495=9)*('CONTROL MASTER'!$T$2:$T$495&lt;=10)*('CONTROL MASTER'!$V$2:$V$495&gt;=10)*('CONTROL MASTER'!$U$2:$U$495&lt;=2)*('CONTROL MASTER'!$W$2:$W$495&gt;=2))*ROW('CONTROL MASTER'!$S$2:$S$495))-(ROW('CONTROL MASTER'!#REF!)-1))))*(INDEX('CONTROL MASTER'!$W$2:$W$495,(SUMPRODUCT((('CONTROL MASTER'!$S$2:$S$495=9)*('CONTROL MASTER'!$T$2:$T$495&lt;=10)*('CONTROL MASTER'!$V$2:$V$495&gt;=10)*('CONTROL MASTER'!$U$2:$U$495&lt;=2)*('CONTROL MASTER'!$W$2:$W$495&gt;=2))*ROW('CONTROL MASTER'!$S$2:$S$495))-(ROW('CONTROL MASTER'!#REF!)-1)))-INDEX('CONTROL MASTER'!$U$2:$U$495,(SUMPRODUCT((('CONTROL MASTER'!$S$2:$S$495=9)*('CONTROL MASTER'!$T$2:$T$495&lt;=10)*('CONTROL MASTER'!$V$2:$V$495&gt;=10)*('CONTROL MASTER'!$U$2:$U$495&lt;=2)*('CONTROL MASTER'!$W$2:$W$495&gt;=2))*ROW('CONTROL MASTER'!$S$2:$S$495))-(ROW('CONTROL MASTER'!#REF!)-1)))+1)+(2-INDEX('CONTROL MASTER'!$U$2:$U$495,(SUMPRODUCT((('CONTROL MASTER'!$S$2:$S$495=9)*('CONTROL MASTER'!$T$2:$T$495&lt;=10)*('CONTROL MASTER'!$V$2:$V$495&gt;=10)*('CONTROL MASTER'!$U$2:$U$495&lt;=2)*('CONTROL MASTER'!$W$2:$W$495&gt;=2))*ROW('CONTROL MASTER'!$S$2:$S$495))-(ROW('CONTROL MASTER'!#REF!)-1))))+1))-1)*50+1,50))&amp;"_"&amp;INDEX('CONTROL MASTER'!$P$2:$P$495,(SUMPRODUCT((('CONTROL MASTER'!$S$2:$S$495=9)*('CONTROL MASTER'!$T$2:$T$495&lt;=10)*('CONTROL MASTER'!$V$2:$V$495&gt;=10)*('CONTROL MASTER'!$U$2:$U$495&lt;=2)*('CONTROL MASTER'!$W$2:$W$495&gt;=2))*ROW('CONTROL MASTER'!$S$2:$S$495))-(ROW('CONTROL MASTER'!#REF!)-1))),IF(SUMPRODUCT((('CONTROL MASTER'!$S$2:$S$495=9)*('CONTROL MASTER'!$Z$2:$Z$495&lt;=10)*('CONTROL MASTER'!$AB$2:$AB$495&gt;=10)*('CONTROL MASTER'!$AA$2:$AA$495&lt;=2)*('CONTROL MASTER'!$AC$2:$AC$495&gt;=2))*ROW('CONTROL MASTER'!$S$2:$S$495))&gt;0,INDEX('CONTROL MASTER'!$X$2:$X$495,(SUMPRODUCT((('CONTROL MASTER'!$S$2:$S$495=9)*('CONTROL MASTER'!$Z$2:$Z$495&lt;=10)*('CONTROL MASTER'!$AB$2:$AB$495&gt;=10)*('CONTROL MASTER'!$AA$2:$AA$495&lt;=2)*('CONTROL MASTER'!$AC$2:$AC$495&gt;=2))*ROW('CONTROL MASTER'!$S$2:$S$495))-(ROW('CONTROL MASTER'!#REF!)-1)))&amp;TRIM(MID(SUBSTITUTE(SUBSTITUTE(INDEX('CONTROL MASTER'!$N$2:$N$495,(SUMPRODUCT((('CONTROL MASTER'!$S$2:$S$495=9)*('CONTROL MASTER'!$Z$2:$Z$495&lt;=10)*('CONTROL MASTER'!$AB$2:$AB$495&gt;=10)*('CONTROL MASTER'!$AA$2:$AA$495&lt;=2)*('CONTROL MASTER'!$AC$2:$AC$495&gt;=2))*ROW('CONTROL MASTER'!$S$2:$S$495))-(ROW('CONTROL MASTER'!#REF!)-1))),":",","),",",REPT(" ",50)),(((INDEX('CONTROL MASTER'!$Y$2:$Y$495,(SUMPRODUCT((('CONTROL MASTER'!$S$2:$S$495=9)*('CONTROL MASTER'!$Z$2:$Z$495&lt;=10)*('CONTROL MASTER'!$AB$2:$AB$495&gt;=10)*('CONTROL MASTER'!$AA$2:$AA$495&lt;=2)*('CONTROL MASTER'!$AC$2:$AC$495&gt;=2))*ROW('CONTROL MASTER'!$S$2:$S$495))-(ROW('CONTROL MASTER'!#REF!)-1)))+((10-INDEX('CONTROL MASTER'!$Z$2:$Z$495,(SUMPRODUCT((('CONTROL MASTER'!$S$2:$S$495=9)*('CONTROL MASTER'!$Z$2:$Z$495&lt;=10)*('CONTROL MASTER'!$AB$2:$AB$495&gt;=10)*('CONTROL MASTER'!$AA$2:$AA$495&lt;=2)*('CONTROL MASTER'!$AC$2:$AC$495&gt;=2))*ROW('CONTROL MASTER'!$S$2:$S$495))-(ROW('CONTROL MASTER'!#REF!)-1))))*(INDEX('CONTROL MASTER'!$AC$2:$AC$495,(SUMPRODUCT((('CONTROL MASTER'!$S$2:$S$495=9)*('CONTROL MASTER'!$Z$2:$Z$495&lt;=10)*('CONTROL MASTER'!$AB$2:$AB$495&gt;=10)*('CONTROL MASTER'!$AA$2:$AA$495&lt;=2)*('CONTROL MASTER'!$AC$2:$AC$495&gt;=2))*ROW('CONTROL MASTER'!$S$2:$S$495))-(ROW('CONTROL MASTER'!#REF!)-1)))-INDEX('CONTROL MASTER'!$AA$2:$AA$495,(SUMPRODUCT((('CONTROL MASTER'!$S$2:$S$495=9)*('CONTROL MASTER'!$Z$2:$Z$495&lt;=10)*('CONTROL MASTER'!$AB$2:$AB$495&gt;=10)*('CONTROL MASTER'!$AA$2:$AA$495&lt;=2)*('CONTROL MASTER'!$AC$2:$AC$495&gt;=2))*ROW('CONTROL MASTER'!$S$2:$S$495))-(ROW('CONTROL MASTER'!#REF!)-1)))+1)+(2-INDEX('CONTROL MASTER'!$AA$2:$AA$495,(SUMPRODUCT((('CONTROL MASTER'!$S$2:$S$495=9)*('CONTROL MASTER'!$Z$2:$Z$495&lt;=10)*('CONTROL MASTER'!$AB$2:$AB$495&gt;=10)*('CONTROL MASTER'!$AA$2:$AA$495&lt;=2)*('CONTROL MASTER'!$AC$2:$AC$495&gt;=2))*ROW('CONTROL MASTER'!$S$2:$S$495))-(ROW('CONTROL MASTER'!#REF!)-1))))+1)))-1)*50+1,50))&amp;"_"&amp;INDEX('CONTROL MASTER'!$P$2:$P$495,(SUMPRODUCT((('CONTROL MASTER'!$S$2:$S$495=9)*('CONTROL MASTER'!$Z$2:$Z$495&lt;=10)*('CONTROL MASTER'!$AB$2:$AB$495&gt;=10)*('CONTROL MASTER'!$AA$2:$AA$495&lt;=2)*('CONTROL MASTER'!$AC$2:$AC$495&gt;=2))*ROW('CONTROL MASTER'!$S$2:$S$495))-(ROW('CONTROL MASTER'!#REF!)-1))),"")),"")</f>
        <v/>
      </c>
      <c r="D124" s="10" t="str">
        <f>IFERROR(IF(SUMPRODUCT((('CONTROL MASTER'!$S$2:$S$495=9)*('CONTROL MASTER'!$T$2:$T$495&lt;=10)*('CONTROL MASTER'!$V$2:$V$495&gt;=10)*('CONTROL MASTER'!$U$2:$U$495&lt;=3)*('CONTROL MASTER'!$W$2:$W$495&gt;=3))*ROW('CONTROL MASTER'!$S$2:$S$495))&gt;0,INDEX('CONTROL MASTER'!$X$2:$X$495,(SUMPRODUCT((('CONTROL MASTER'!$S$2:$S$495=9)*('CONTROL MASTER'!$T$2:$T$495&lt;=10)*('CONTROL MASTER'!$V$2:$V$495&gt;=10)*('CONTROL MASTER'!$U$2:$U$495&lt;=3)*('CONTROL MASTER'!$W$2:$W$495&gt;=3))*ROW('CONTROL MASTER'!$S$2:$S$495))-(ROW('CONTROL MASTER'!#REF!)-1)))&amp;TRIM(MID(SUBSTITUTE(SUBSTITUTE(INDEX('CONTROL MASTER'!$N$2:$N$495,(SUMPRODUCT((('CONTROL MASTER'!$S$2:$S$495=9)*('CONTROL MASTER'!$T$2:$T$495&lt;=10)*('CONTROL MASTER'!$V$2:$V$495&gt;=10)*('CONTROL MASTER'!$U$2:$U$495&lt;=3)*('CONTROL MASTER'!$W$2:$W$495&gt;=3))*ROW('CONTROL MASTER'!$S$2:$S$495))-(ROW('CONTROL MASTER'!#REF!)-1))),":",","),",",REPT(" ",50)),((((10-INDEX('CONTROL MASTER'!$T$2:$T$495,(SUMPRODUCT((('CONTROL MASTER'!$S$2:$S$495=9)*('CONTROL MASTER'!$T$2:$T$495&lt;=10)*('CONTROL MASTER'!$V$2:$V$495&gt;=10)*('CONTROL MASTER'!$U$2:$U$495&lt;=3)*('CONTROL MASTER'!$W$2:$W$495&gt;=3))*ROW('CONTROL MASTER'!$S$2:$S$495))-(ROW('CONTROL MASTER'!#REF!)-1))))*(INDEX('CONTROL MASTER'!$W$2:$W$495,(SUMPRODUCT((('CONTROL MASTER'!$S$2:$S$495=9)*('CONTROL MASTER'!$T$2:$T$495&lt;=10)*('CONTROL MASTER'!$V$2:$V$495&gt;=10)*('CONTROL MASTER'!$U$2:$U$495&lt;=3)*('CONTROL MASTER'!$W$2:$W$495&gt;=3))*ROW('CONTROL MASTER'!$S$2:$S$495))-(ROW('CONTROL MASTER'!#REF!)-1)))-INDEX('CONTROL MASTER'!$U$2:$U$495,(SUMPRODUCT((('CONTROL MASTER'!$S$2:$S$495=9)*('CONTROL MASTER'!$T$2:$T$495&lt;=10)*('CONTROL MASTER'!$V$2:$V$495&gt;=10)*('CONTROL MASTER'!$U$2:$U$495&lt;=3)*('CONTROL MASTER'!$W$2:$W$495&gt;=3))*ROW('CONTROL MASTER'!$S$2:$S$495))-(ROW('CONTROL MASTER'!#REF!)-1)))+1)+(3-INDEX('CONTROL MASTER'!$U$2:$U$495,(SUMPRODUCT((('CONTROL MASTER'!$S$2:$S$495=9)*('CONTROL MASTER'!$T$2:$T$495&lt;=10)*('CONTROL MASTER'!$V$2:$V$495&gt;=10)*('CONTROL MASTER'!$U$2:$U$495&lt;=3)*('CONTROL MASTER'!$W$2:$W$495&gt;=3))*ROW('CONTROL MASTER'!$S$2:$S$495))-(ROW('CONTROL MASTER'!#REF!)-1))))+1))-1)*50+1,50))&amp;"_"&amp;INDEX('CONTROL MASTER'!$P$2:$P$495,(SUMPRODUCT((('CONTROL MASTER'!$S$2:$S$495=9)*('CONTROL MASTER'!$T$2:$T$495&lt;=10)*('CONTROL MASTER'!$V$2:$V$495&gt;=10)*('CONTROL MASTER'!$U$2:$U$495&lt;=3)*('CONTROL MASTER'!$W$2:$W$495&gt;=3))*ROW('CONTROL MASTER'!$S$2:$S$495))-(ROW('CONTROL MASTER'!#REF!)-1))),IF(SUMPRODUCT((('CONTROL MASTER'!$S$2:$S$495=9)*('CONTROL MASTER'!$Z$2:$Z$495&lt;=10)*('CONTROL MASTER'!$AB$2:$AB$495&gt;=10)*('CONTROL MASTER'!$AA$2:$AA$495&lt;=3)*('CONTROL MASTER'!$AC$2:$AC$495&gt;=3))*ROW('CONTROL MASTER'!$S$2:$S$495))&gt;0,INDEX('CONTROL MASTER'!$X$2:$X$495,(SUMPRODUCT((('CONTROL MASTER'!$S$2:$S$495=9)*('CONTROL MASTER'!$Z$2:$Z$495&lt;=10)*('CONTROL MASTER'!$AB$2:$AB$495&gt;=10)*('CONTROL MASTER'!$AA$2:$AA$495&lt;=3)*('CONTROL MASTER'!$AC$2:$AC$495&gt;=3))*ROW('CONTROL MASTER'!$S$2:$S$495))-(ROW('CONTROL MASTER'!#REF!)-1)))&amp;TRIM(MID(SUBSTITUTE(SUBSTITUTE(INDEX('CONTROL MASTER'!$N$2:$N$495,(SUMPRODUCT((('CONTROL MASTER'!$S$2:$S$495=9)*('CONTROL MASTER'!$Z$2:$Z$495&lt;=10)*('CONTROL MASTER'!$AB$2:$AB$495&gt;=10)*('CONTROL MASTER'!$AA$2:$AA$495&lt;=3)*('CONTROL MASTER'!$AC$2:$AC$495&gt;=3))*ROW('CONTROL MASTER'!$S$2:$S$495))-(ROW('CONTROL MASTER'!#REF!)-1))),":",","),",",REPT(" ",50)),(((INDEX('CONTROL MASTER'!$Y$2:$Y$495,(SUMPRODUCT((('CONTROL MASTER'!$S$2:$S$495=9)*('CONTROL MASTER'!$Z$2:$Z$495&lt;=10)*('CONTROL MASTER'!$AB$2:$AB$495&gt;=10)*('CONTROL MASTER'!$AA$2:$AA$495&lt;=3)*('CONTROL MASTER'!$AC$2:$AC$495&gt;=3))*ROW('CONTROL MASTER'!$S$2:$S$495))-(ROW('CONTROL MASTER'!#REF!)-1)))+((10-INDEX('CONTROL MASTER'!$Z$2:$Z$495,(SUMPRODUCT((('CONTROL MASTER'!$S$2:$S$495=9)*('CONTROL MASTER'!$Z$2:$Z$495&lt;=10)*('CONTROL MASTER'!$AB$2:$AB$495&gt;=10)*('CONTROL MASTER'!$AA$2:$AA$495&lt;=3)*('CONTROL MASTER'!$AC$2:$AC$495&gt;=3))*ROW('CONTROL MASTER'!$S$2:$S$495))-(ROW('CONTROL MASTER'!#REF!)-1))))*(INDEX('CONTROL MASTER'!$AC$2:$AC$495,(SUMPRODUCT((('CONTROL MASTER'!$S$2:$S$495=9)*('CONTROL MASTER'!$Z$2:$Z$495&lt;=10)*('CONTROL MASTER'!$AB$2:$AB$495&gt;=10)*('CONTROL MASTER'!$AA$2:$AA$495&lt;=3)*('CONTROL MASTER'!$AC$2:$AC$495&gt;=3))*ROW('CONTROL MASTER'!$S$2:$S$495))-(ROW('CONTROL MASTER'!#REF!)-1)))-INDEX('CONTROL MASTER'!$AA$2:$AA$495,(SUMPRODUCT((('CONTROL MASTER'!$S$2:$S$495=9)*('CONTROL MASTER'!$Z$2:$Z$495&lt;=10)*('CONTROL MASTER'!$AB$2:$AB$495&gt;=10)*('CONTROL MASTER'!$AA$2:$AA$495&lt;=3)*('CONTROL MASTER'!$AC$2:$AC$495&gt;=3))*ROW('CONTROL MASTER'!$S$2:$S$495))-(ROW('CONTROL MASTER'!#REF!)-1)))+1)+(3-INDEX('CONTROL MASTER'!$AA$2:$AA$495,(SUMPRODUCT((('CONTROL MASTER'!$S$2:$S$495=9)*('CONTROL MASTER'!$Z$2:$Z$495&lt;=10)*('CONTROL MASTER'!$AB$2:$AB$495&gt;=10)*('CONTROL MASTER'!$AA$2:$AA$495&lt;=3)*('CONTROL MASTER'!$AC$2:$AC$495&gt;=3))*ROW('CONTROL MASTER'!$S$2:$S$495))-(ROW('CONTROL MASTER'!#REF!)-1))))+1)))-1)*50+1,50))&amp;"_"&amp;INDEX('CONTROL MASTER'!$P$2:$P$495,(SUMPRODUCT((('CONTROL MASTER'!$S$2:$S$495=9)*('CONTROL MASTER'!$Z$2:$Z$495&lt;=10)*('CONTROL MASTER'!$AB$2:$AB$495&gt;=10)*('CONTROL MASTER'!$AA$2:$AA$495&lt;=3)*('CONTROL MASTER'!$AC$2:$AC$495&gt;=3))*ROW('CONTROL MASTER'!$S$2:$S$495))-(ROW('CONTROL MASTER'!#REF!)-1))),"")),"")</f>
        <v/>
      </c>
      <c r="E124" s="10" t="str">
        <f>IFERROR(IF(SUMPRODUCT((('CONTROL MASTER'!$S$2:$S$495=9)*('CONTROL MASTER'!$T$2:$T$495&lt;=10)*('CONTROL MASTER'!$V$2:$V$495&gt;=10)*('CONTROL MASTER'!$U$2:$U$495&lt;=4)*('CONTROL MASTER'!$W$2:$W$495&gt;=4))*ROW('CONTROL MASTER'!$S$2:$S$495))&gt;0,INDEX('CONTROL MASTER'!$X$2:$X$495,(SUMPRODUCT((('CONTROL MASTER'!$S$2:$S$495=9)*('CONTROL MASTER'!$T$2:$T$495&lt;=10)*('CONTROL MASTER'!$V$2:$V$495&gt;=10)*('CONTROL MASTER'!$U$2:$U$495&lt;=4)*('CONTROL MASTER'!$W$2:$W$495&gt;=4))*ROW('CONTROL MASTER'!$S$2:$S$495))-(ROW('CONTROL MASTER'!#REF!)-1)))&amp;TRIM(MID(SUBSTITUTE(SUBSTITUTE(INDEX('CONTROL MASTER'!$N$2:$N$495,(SUMPRODUCT((('CONTROL MASTER'!$S$2:$S$495=9)*('CONTROL MASTER'!$T$2:$T$495&lt;=10)*('CONTROL MASTER'!$V$2:$V$495&gt;=10)*('CONTROL MASTER'!$U$2:$U$495&lt;=4)*('CONTROL MASTER'!$W$2:$W$495&gt;=4))*ROW('CONTROL MASTER'!$S$2:$S$495))-(ROW('CONTROL MASTER'!#REF!)-1))),":",","),",",REPT(" ",50)),((((10-INDEX('CONTROL MASTER'!$T$2:$T$495,(SUMPRODUCT((('CONTROL MASTER'!$S$2:$S$495=9)*('CONTROL MASTER'!$T$2:$T$495&lt;=10)*('CONTROL MASTER'!$V$2:$V$495&gt;=10)*('CONTROL MASTER'!$U$2:$U$495&lt;=4)*('CONTROL MASTER'!$W$2:$W$495&gt;=4))*ROW('CONTROL MASTER'!$S$2:$S$495))-(ROW('CONTROL MASTER'!#REF!)-1))))*(INDEX('CONTROL MASTER'!$W$2:$W$495,(SUMPRODUCT((('CONTROL MASTER'!$S$2:$S$495=9)*('CONTROL MASTER'!$T$2:$T$495&lt;=10)*('CONTROL MASTER'!$V$2:$V$495&gt;=10)*('CONTROL MASTER'!$U$2:$U$495&lt;=4)*('CONTROL MASTER'!$W$2:$W$495&gt;=4))*ROW('CONTROL MASTER'!$S$2:$S$495))-(ROW('CONTROL MASTER'!#REF!)-1)))-INDEX('CONTROL MASTER'!$U$2:$U$495,(SUMPRODUCT((('CONTROL MASTER'!$S$2:$S$495=9)*('CONTROL MASTER'!$T$2:$T$495&lt;=10)*('CONTROL MASTER'!$V$2:$V$495&gt;=10)*('CONTROL MASTER'!$U$2:$U$495&lt;=4)*('CONTROL MASTER'!$W$2:$W$495&gt;=4))*ROW('CONTROL MASTER'!$S$2:$S$495))-(ROW('CONTROL MASTER'!#REF!)-1)))+1)+(4-INDEX('CONTROL MASTER'!$U$2:$U$495,(SUMPRODUCT((('CONTROL MASTER'!$S$2:$S$495=9)*('CONTROL MASTER'!$T$2:$T$495&lt;=10)*('CONTROL MASTER'!$V$2:$V$495&gt;=10)*('CONTROL MASTER'!$U$2:$U$495&lt;=4)*('CONTROL MASTER'!$W$2:$W$495&gt;=4))*ROW('CONTROL MASTER'!$S$2:$S$495))-(ROW('CONTROL MASTER'!#REF!)-1))))+1))-1)*50+1,50))&amp;"_"&amp;INDEX('CONTROL MASTER'!$P$2:$P$495,(SUMPRODUCT((('CONTROL MASTER'!$S$2:$S$495=9)*('CONTROL MASTER'!$T$2:$T$495&lt;=10)*('CONTROL MASTER'!$V$2:$V$495&gt;=10)*('CONTROL MASTER'!$U$2:$U$495&lt;=4)*('CONTROL MASTER'!$W$2:$W$495&gt;=4))*ROW('CONTROL MASTER'!$S$2:$S$495))-(ROW('CONTROL MASTER'!#REF!)-1))),IF(SUMPRODUCT((('CONTROL MASTER'!$S$2:$S$495=9)*('CONTROL MASTER'!$Z$2:$Z$495&lt;=10)*('CONTROL MASTER'!$AB$2:$AB$495&gt;=10)*('CONTROL MASTER'!$AA$2:$AA$495&lt;=4)*('CONTROL MASTER'!$AC$2:$AC$495&gt;=4))*ROW('CONTROL MASTER'!$S$2:$S$495))&gt;0,INDEX('CONTROL MASTER'!$X$2:$X$495,(SUMPRODUCT((('CONTROL MASTER'!$S$2:$S$495=9)*('CONTROL MASTER'!$Z$2:$Z$495&lt;=10)*('CONTROL MASTER'!$AB$2:$AB$495&gt;=10)*('CONTROL MASTER'!$AA$2:$AA$495&lt;=4)*('CONTROL MASTER'!$AC$2:$AC$495&gt;=4))*ROW('CONTROL MASTER'!$S$2:$S$495))-(ROW('CONTROL MASTER'!#REF!)-1)))&amp;TRIM(MID(SUBSTITUTE(SUBSTITUTE(INDEX('CONTROL MASTER'!$N$2:$N$495,(SUMPRODUCT((('CONTROL MASTER'!$S$2:$S$495=9)*('CONTROL MASTER'!$Z$2:$Z$495&lt;=10)*('CONTROL MASTER'!$AB$2:$AB$495&gt;=10)*('CONTROL MASTER'!$AA$2:$AA$495&lt;=4)*('CONTROL MASTER'!$AC$2:$AC$495&gt;=4))*ROW('CONTROL MASTER'!$S$2:$S$495))-(ROW('CONTROL MASTER'!#REF!)-1))),":",","),",",REPT(" ",50)),(((INDEX('CONTROL MASTER'!$Y$2:$Y$495,(SUMPRODUCT((('CONTROL MASTER'!$S$2:$S$495=9)*('CONTROL MASTER'!$Z$2:$Z$495&lt;=10)*('CONTROL MASTER'!$AB$2:$AB$495&gt;=10)*('CONTROL MASTER'!$AA$2:$AA$495&lt;=4)*('CONTROL MASTER'!$AC$2:$AC$495&gt;=4))*ROW('CONTROL MASTER'!$S$2:$S$495))-(ROW('CONTROL MASTER'!#REF!)-1)))+((10-INDEX('CONTROL MASTER'!$Z$2:$Z$495,(SUMPRODUCT((('CONTROL MASTER'!$S$2:$S$495=9)*('CONTROL MASTER'!$Z$2:$Z$495&lt;=10)*('CONTROL MASTER'!$AB$2:$AB$495&gt;=10)*('CONTROL MASTER'!$AA$2:$AA$495&lt;=4)*('CONTROL MASTER'!$AC$2:$AC$495&gt;=4))*ROW('CONTROL MASTER'!$S$2:$S$495))-(ROW('CONTROL MASTER'!#REF!)-1))))*(INDEX('CONTROL MASTER'!$AC$2:$AC$495,(SUMPRODUCT((('CONTROL MASTER'!$S$2:$S$495=9)*('CONTROL MASTER'!$Z$2:$Z$495&lt;=10)*('CONTROL MASTER'!$AB$2:$AB$495&gt;=10)*('CONTROL MASTER'!$AA$2:$AA$495&lt;=4)*('CONTROL MASTER'!$AC$2:$AC$495&gt;=4))*ROW('CONTROL MASTER'!$S$2:$S$495))-(ROW('CONTROL MASTER'!#REF!)-1)))-INDEX('CONTROL MASTER'!$AA$2:$AA$495,(SUMPRODUCT((('CONTROL MASTER'!$S$2:$S$495=9)*('CONTROL MASTER'!$Z$2:$Z$495&lt;=10)*('CONTROL MASTER'!$AB$2:$AB$495&gt;=10)*('CONTROL MASTER'!$AA$2:$AA$495&lt;=4)*('CONTROL MASTER'!$AC$2:$AC$495&gt;=4))*ROW('CONTROL MASTER'!$S$2:$S$495))-(ROW('CONTROL MASTER'!#REF!)-1)))+1)+(4-INDEX('CONTROL MASTER'!$AA$2:$AA$495,(SUMPRODUCT((('CONTROL MASTER'!$S$2:$S$495=9)*('CONTROL MASTER'!$Z$2:$Z$495&lt;=10)*('CONTROL MASTER'!$AB$2:$AB$495&gt;=10)*('CONTROL MASTER'!$AA$2:$AA$495&lt;=4)*('CONTROL MASTER'!$AC$2:$AC$495&gt;=4))*ROW('CONTROL MASTER'!$S$2:$S$495))-(ROW('CONTROL MASTER'!#REF!)-1))))+1)))-1)*50+1,50))&amp;"_"&amp;INDEX('CONTROL MASTER'!$P$2:$P$495,(SUMPRODUCT((('CONTROL MASTER'!$S$2:$S$495=9)*('CONTROL MASTER'!$Z$2:$Z$495&lt;=10)*('CONTROL MASTER'!$AB$2:$AB$495&gt;=10)*('CONTROL MASTER'!$AA$2:$AA$495&lt;=4)*('CONTROL MASTER'!$AC$2:$AC$495&gt;=4))*ROW('CONTROL MASTER'!$S$2:$S$495))-(ROW('CONTROL MASTER'!#REF!)-1))),"")),"")</f>
        <v/>
      </c>
      <c r="F124" s="10" t="str">
        <f>IFERROR(IF(SUMPRODUCT((('CONTROL MASTER'!$S$2:$S$495=9)*('CONTROL MASTER'!$T$2:$T$495&lt;=10)*('CONTROL MASTER'!$V$2:$V$495&gt;=10)*('CONTROL MASTER'!$U$2:$U$495&lt;=5)*('CONTROL MASTER'!$W$2:$W$495&gt;=5))*ROW('CONTROL MASTER'!$S$2:$S$495))&gt;0,INDEX('CONTROL MASTER'!$X$2:$X$495,(SUMPRODUCT((('CONTROL MASTER'!$S$2:$S$495=9)*('CONTROL MASTER'!$T$2:$T$495&lt;=10)*('CONTROL MASTER'!$V$2:$V$495&gt;=10)*('CONTROL MASTER'!$U$2:$U$495&lt;=5)*('CONTROL MASTER'!$W$2:$W$495&gt;=5))*ROW('CONTROL MASTER'!$S$2:$S$495))-(ROW('CONTROL MASTER'!#REF!)-1)))&amp;TRIM(MID(SUBSTITUTE(SUBSTITUTE(INDEX('CONTROL MASTER'!$N$2:$N$495,(SUMPRODUCT((('CONTROL MASTER'!$S$2:$S$495=9)*('CONTROL MASTER'!$T$2:$T$495&lt;=10)*('CONTROL MASTER'!$V$2:$V$495&gt;=10)*('CONTROL MASTER'!$U$2:$U$495&lt;=5)*('CONTROL MASTER'!$W$2:$W$495&gt;=5))*ROW('CONTROL MASTER'!$S$2:$S$495))-(ROW('CONTROL MASTER'!#REF!)-1))),":",","),",",REPT(" ",50)),((((10-INDEX('CONTROL MASTER'!$T$2:$T$495,(SUMPRODUCT((('CONTROL MASTER'!$S$2:$S$495=9)*('CONTROL MASTER'!$T$2:$T$495&lt;=10)*('CONTROL MASTER'!$V$2:$V$495&gt;=10)*('CONTROL MASTER'!$U$2:$U$495&lt;=5)*('CONTROL MASTER'!$W$2:$W$495&gt;=5))*ROW('CONTROL MASTER'!$S$2:$S$495))-(ROW('CONTROL MASTER'!#REF!)-1))))*(INDEX('CONTROL MASTER'!$W$2:$W$495,(SUMPRODUCT((('CONTROL MASTER'!$S$2:$S$495=9)*('CONTROL MASTER'!$T$2:$T$495&lt;=10)*('CONTROL MASTER'!$V$2:$V$495&gt;=10)*('CONTROL MASTER'!$U$2:$U$495&lt;=5)*('CONTROL MASTER'!$W$2:$W$495&gt;=5))*ROW('CONTROL MASTER'!$S$2:$S$495))-(ROW('CONTROL MASTER'!#REF!)-1)))-INDEX('CONTROL MASTER'!$U$2:$U$495,(SUMPRODUCT((('CONTROL MASTER'!$S$2:$S$495=9)*('CONTROL MASTER'!$T$2:$T$495&lt;=10)*('CONTROL MASTER'!$V$2:$V$495&gt;=10)*('CONTROL MASTER'!$U$2:$U$495&lt;=5)*('CONTROL MASTER'!$W$2:$W$495&gt;=5))*ROW('CONTROL MASTER'!$S$2:$S$495))-(ROW('CONTROL MASTER'!#REF!)-1)))+1)+(5-INDEX('CONTROL MASTER'!$U$2:$U$495,(SUMPRODUCT((('CONTROL MASTER'!$S$2:$S$495=9)*('CONTROL MASTER'!$T$2:$T$495&lt;=10)*('CONTROL MASTER'!$V$2:$V$495&gt;=10)*('CONTROL MASTER'!$U$2:$U$495&lt;=5)*('CONTROL MASTER'!$W$2:$W$495&gt;=5))*ROW('CONTROL MASTER'!$S$2:$S$495))-(ROW('CONTROL MASTER'!#REF!)-1))))+1))-1)*50+1,50))&amp;"_"&amp;INDEX('CONTROL MASTER'!$P$2:$P$495,(SUMPRODUCT((('CONTROL MASTER'!$S$2:$S$495=9)*('CONTROL MASTER'!$T$2:$T$495&lt;=10)*('CONTROL MASTER'!$V$2:$V$495&gt;=10)*('CONTROL MASTER'!$U$2:$U$495&lt;=5)*('CONTROL MASTER'!$W$2:$W$495&gt;=5))*ROW('CONTROL MASTER'!$S$2:$S$495))-(ROW('CONTROL MASTER'!#REF!)-1))),IF(SUMPRODUCT((('CONTROL MASTER'!$S$2:$S$495=9)*('CONTROL MASTER'!$Z$2:$Z$495&lt;=10)*('CONTROL MASTER'!$AB$2:$AB$495&gt;=10)*('CONTROL MASTER'!$AA$2:$AA$495&lt;=5)*('CONTROL MASTER'!$AC$2:$AC$495&gt;=5))*ROW('CONTROL MASTER'!$S$2:$S$495))&gt;0,INDEX('CONTROL MASTER'!$X$2:$X$495,(SUMPRODUCT((('CONTROL MASTER'!$S$2:$S$495=9)*('CONTROL MASTER'!$Z$2:$Z$495&lt;=10)*('CONTROL MASTER'!$AB$2:$AB$495&gt;=10)*('CONTROL MASTER'!$AA$2:$AA$495&lt;=5)*('CONTROL MASTER'!$AC$2:$AC$495&gt;=5))*ROW('CONTROL MASTER'!$S$2:$S$495))-(ROW('CONTROL MASTER'!#REF!)-1)))&amp;TRIM(MID(SUBSTITUTE(SUBSTITUTE(INDEX('CONTROL MASTER'!$N$2:$N$495,(SUMPRODUCT((('CONTROL MASTER'!$S$2:$S$495=9)*('CONTROL MASTER'!$Z$2:$Z$495&lt;=10)*('CONTROL MASTER'!$AB$2:$AB$495&gt;=10)*('CONTROL MASTER'!$AA$2:$AA$495&lt;=5)*('CONTROL MASTER'!$AC$2:$AC$495&gt;=5))*ROW('CONTROL MASTER'!$S$2:$S$495))-(ROW('CONTROL MASTER'!#REF!)-1))),":",","),",",REPT(" ",50)),(((INDEX('CONTROL MASTER'!$Y$2:$Y$495,(SUMPRODUCT((('CONTROL MASTER'!$S$2:$S$495=9)*('CONTROL MASTER'!$Z$2:$Z$495&lt;=10)*('CONTROL MASTER'!$AB$2:$AB$495&gt;=10)*('CONTROL MASTER'!$AA$2:$AA$495&lt;=5)*('CONTROL MASTER'!$AC$2:$AC$495&gt;=5))*ROW('CONTROL MASTER'!$S$2:$S$495))-(ROW('CONTROL MASTER'!#REF!)-1)))+((10-INDEX('CONTROL MASTER'!$Z$2:$Z$495,(SUMPRODUCT((('CONTROL MASTER'!$S$2:$S$495=9)*('CONTROL MASTER'!$Z$2:$Z$495&lt;=10)*('CONTROL MASTER'!$AB$2:$AB$495&gt;=10)*('CONTROL MASTER'!$AA$2:$AA$495&lt;=5)*('CONTROL MASTER'!$AC$2:$AC$495&gt;=5))*ROW('CONTROL MASTER'!$S$2:$S$495))-(ROW('CONTROL MASTER'!#REF!)-1))))*(INDEX('CONTROL MASTER'!$AC$2:$AC$495,(SUMPRODUCT((('CONTROL MASTER'!$S$2:$S$495=9)*('CONTROL MASTER'!$Z$2:$Z$495&lt;=10)*('CONTROL MASTER'!$AB$2:$AB$495&gt;=10)*('CONTROL MASTER'!$AA$2:$AA$495&lt;=5)*('CONTROL MASTER'!$AC$2:$AC$495&gt;=5))*ROW('CONTROL MASTER'!$S$2:$S$495))-(ROW('CONTROL MASTER'!#REF!)-1)))-INDEX('CONTROL MASTER'!$AA$2:$AA$495,(SUMPRODUCT((('CONTROL MASTER'!$S$2:$S$495=9)*('CONTROL MASTER'!$Z$2:$Z$495&lt;=10)*('CONTROL MASTER'!$AB$2:$AB$495&gt;=10)*('CONTROL MASTER'!$AA$2:$AA$495&lt;=5)*('CONTROL MASTER'!$AC$2:$AC$495&gt;=5))*ROW('CONTROL MASTER'!$S$2:$S$495))-(ROW('CONTROL MASTER'!#REF!)-1)))+1)+(5-INDEX('CONTROL MASTER'!$AA$2:$AA$495,(SUMPRODUCT((('CONTROL MASTER'!$S$2:$S$495=9)*('CONTROL MASTER'!$Z$2:$Z$495&lt;=10)*('CONTROL MASTER'!$AB$2:$AB$495&gt;=10)*('CONTROL MASTER'!$AA$2:$AA$495&lt;=5)*('CONTROL MASTER'!$AC$2:$AC$495&gt;=5))*ROW('CONTROL MASTER'!$S$2:$S$495))-(ROW('CONTROL MASTER'!#REF!)-1))))+1)))-1)*50+1,50))&amp;"_"&amp;INDEX('CONTROL MASTER'!$P$2:$P$495,(SUMPRODUCT((('CONTROL MASTER'!$S$2:$S$495=9)*('CONTROL MASTER'!$Z$2:$Z$495&lt;=10)*('CONTROL MASTER'!$AB$2:$AB$495&gt;=10)*('CONTROL MASTER'!$AA$2:$AA$495&lt;=5)*('CONTROL MASTER'!$AC$2:$AC$495&gt;=5))*ROW('CONTROL MASTER'!$S$2:$S$495))-(ROW('CONTROL MASTER'!#REF!)-1))),"")),"")</f>
        <v/>
      </c>
      <c r="G124" s="10" t="str">
        <f>IFERROR(IF(SUMPRODUCT((('CONTROL MASTER'!$S$2:$S$495=9)*('CONTROL MASTER'!$T$2:$T$495&lt;=10)*('CONTROL MASTER'!$V$2:$V$495&gt;=10)*('CONTROL MASTER'!$U$2:$U$495&lt;=6)*('CONTROL MASTER'!$W$2:$W$495&gt;=6))*ROW('CONTROL MASTER'!$S$2:$S$495))&gt;0,INDEX('CONTROL MASTER'!$X$2:$X$495,(SUMPRODUCT((('CONTROL MASTER'!$S$2:$S$495=9)*('CONTROL MASTER'!$T$2:$T$495&lt;=10)*('CONTROL MASTER'!$V$2:$V$495&gt;=10)*('CONTROL MASTER'!$U$2:$U$495&lt;=6)*('CONTROL MASTER'!$W$2:$W$495&gt;=6))*ROW('CONTROL MASTER'!$S$2:$S$495))-(ROW('CONTROL MASTER'!#REF!)-1)))&amp;TRIM(MID(SUBSTITUTE(SUBSTITUTE(INDEX('CONTROL MASTER'!$N$2:$N$495,(SUMPRODUCT((('CONTROL MASTER'!$S$2:$S$495=9)*('CONTROL MASTER'!$T$2:$T$495&lt;=10)*('CONTROL MASTER'!$V$2:$V$495&gt;=10)*('CONTROL MASTER'!$U$2:$U$495&lt;=6)*('CONTROL MASTER'!$W$2:$W$495&gt;=6))*ROW('CONTROL MASTER'!$S$2:$S$495))-(ROW('CONTROL MASTER'!#REF!)-1))),":",","),",",REPT(" ",50)),((((10-INDEX('CONTROL MASTER'!$T$2:$T$495,(SUMPRODUCT((('CONTROL MASTER'!$S$2:$S$495=9)*('CONTROL MASTER'!$T$2:$T$495&lt;=10)*('CONTROL MASTER'!$V$2:$V$495&gt;=10)*('CONTROL MASTER'!$U$2:$U$495&lt;=6)*('CONTROL MASTER'!$W$2:$W$495&gt;=6))*ROW('CONTROL MASTER'!$S$2:$S$495))-(ROW('CONTROL MASTER'!#REF!)-1))))*(INDEX('CONTROL MASTER'!$W$2:$W$495,(SUMPRODUCT((('CONTROL MASTER'!$S$2:$S$495=9)*('CONTROL MASTER'!$T$2:$T$495&lt;=10)*('CONTROL MASTER'!$V$2:$V$495&gt;=10)*('CONTROL MASTER'!$U$2:$U$495&lt;=6)*('CONTROL MASTER'!$W$2:$W$495&gt;=6))*ROW('CONTROL MASTER'!$S$2:$S$495))-(ROW('CONTROL MASTER'!#REF!)-1)))-INDEX('CONTROL MASTER'!$U$2:$U$495,(SUMPRODUCT((('CONTROL MASTER'!$S$2:$S$495=9)*('CONTROL MASTER'!$T$2:$T$495&lt;=10)*('CONTROL MASTER'!$V$2:$V$495&gt;=10)*('CONTROL MASTER'!$U$2:$U$495&lt;=6)*('CONTROL MASTER'!$W$2:$W$495&gt;=6))*ROW('CONTROL MASTER'!$S$2:$S$495))-(ROW('CONTROL MASTER'!#REF!)-1)))+1)+(6-INDEX('CONTROL MASTER'!$U$2:$U$495,(SUMPRODUCT((('CONTROL MASTER'!$S$2:$S$495=9)*('CONTROL MASTER'!$T$2:$T$495&lt;=10)*('CONTROL MASTER'!$V$2:$V$495&gt;=10)*('CONTROL MASTER'!$U$2:$U$495&lt;=6)*('CONTROL MASTER'!$W$2:$W$495&gt;=6))*ROW('CONTROL MASTER'!$S$2:$S$495))-(ROW('CONTROL MASTER'!#REF!)-1))))+1))-1)*50+1,50))&amp;"_"&amp;INDEX('CONTROL MASTER'!$P$2:$P$495,(SUMPRODUCT((('CONTROL MASTER'!$S$2:$S$495=9)*('CONTROL MASTER'!$T$2:$T$495&lt;=10)*('CONTROL MASTER'!$V$2:$V$495&gt;=10)*('CONTROL MASTER'!$U$2:$U$495&lt;=6)*('CONTROL MASTER'!$W$2:$W$495&gt;=6))*ROW('CONTROL MASTER'!$S$2:$S$495))-(ROW('CONTROL MASTER'!#REF!)-1))),IF(SUMPRODUCT((('CONTROL MASTER'!$S$2:$S$495=9)*('CONTROL MASTER'!$Z$2:$Z$495&lt;=10)*('CONTROL MASTER'!$AB$2:$AB$495&gt;=10)*('CONTROL MASTER'!$AA$2:$AA$495&lt;=6)*('CONTROL MASTER'!$AC$2:$AC$495&gt;=6))*ROW('CONTROL MASTER'!$S$2:$S$495))&gt;0,INDEX('CONTROL MASTER'!$X$2:$X$495,(SUMPRODUCT((('CONTROL MASTER'!$S$2:$S$495=9)*('CONTROL MASTER'!$Z$2:$Z$495&lt;=10)*('CONTROL MASTER'!$AB$2:$AB$495&gt;=10)*('CONTROL MASTER'!$AA$2:$AA$495&lt;=6)*('CONTROL MASTER'!$AC$2:$AC$495&gt;=6))*ROW('CONTROL MASTER'!$S$2:$S$495))-(ROW('CONTROL MASTER'!#REF!)-1)))&amp;TRIM(MID(SUBSTITUTE(SUBSTITUTE(INDEX('CONTROL MASTER'!$N$2:$N$495,(SUMPRODUCT((('CONTROL MASTER'!$S$2:$S$495=9)*('CONTROL MASTER'!$Z$2:$Z$495&lt;=10)*('CONTROL MASTER'!$AB$2:$AB$495&gt;=10)*('CONTROL MASTER'!$AA$2:$AA$495&lt;=6)*('CONTROL MASTER'!$AC$2:$AC$495&gt;=6))*ROW('CONTROL MASTER'!$S$2:$S$495))-(ROW('CONTROL MASTER'!#REF!)-1))),":",","),",",REPT(" ",50)),(((INDEX('CONTROL MASTER'!$Y$2:$Y$495,(SUMPRODUCT((('CONTROL MASTER'!$S$2:$S$495=9)*('CONTROL MASTER'!$Z$2:$Z$495&lt;=10)*('CONTROL MASTER'!$AB$2:$AB$495&gt;=10)*('CONTROL MASTER'!$AA$2:$AA$495&lt;=6)*('CONTROL MASTER'!$AC$2:$AC$495&gt;=6))*ROW('CONTROL MASTER'!$S$2:$S$495))-(ROW('CONTROL MASTER'!#REF!)-1)))+((10-INDEX('CONTROL MASTER'!$Z$2:$Z$495,(SUMPRODUCT((('CONTROL MASTER'!$S$2:$S$495=9)*('CONTROL MASTER'!$Z$2:$Z$495&lt;=10)*('CONTROL MASTER'!$AB$2:$AB$495&gt;=10)*('CONTROL MASTER'!$AA$2:$AA$495&lt;=6)*('CONTROL MASTER'!$AC$2:$AC$495&gt;=6))*ROW('CONTROL MASTER'!$S$2:$S$495))-(ROW('CONTROL MASTER'!#REF!)-1))))*(INDEX('CONTROL MASTER'!$AC$2:$AC$495,(SUMPRODUCT((('CONTROL MASTER'!$S$2:$S$495=9)*('CONTROL MASTER'!$Z$2:$Z$495&lt;=10)*('CONTROL MASTER'!$AB$2:$AB$495&gt;=10)*('CONTROL MASTER'!$AA$2:$AA$495&lt;=6)*('CONTROL MASTER'!$AC$2:$AC$495&gt;=6))*ROW('CONTROL MASTER'!$S$2:$S$495))-(ROW('CONTROL MASTER'!#REF!)-1)))-INDEX('CONTROL MASTER'!$AA$2:$AA$495,(SUMPRODUCT((('CONTROL MASTER'!$S$2:$S$495=9)*('CONTROL MASTER'!$Z$2:$Z$495&lt;=10)*('CONTROL MASTER'!$AB$2:$AB$495&gt;=10)*('CONTROL MASTER'!$AA$2:$AA$495&lt;=6)*('CONTROL MASTER'!$AC$2:$AC$495&gt;=6))*ROW('CONTROL MASTER'!$S$2:$S$495))-(ROW('CONTROL MASTER'!#REF!)-1)))+1)+(6-INDEX('CONTROL MASTER'!$AA$2:$AA$495,(SUMPRODUCT((('CONTROL MASTER'!$S$2:$S$495=9)*('CONTROL MASTER'!$Z$2:$Z$495&lt;=10)*('CONTROL MASTER'!$AB$2:$AB$495&gt;=10)*('CONTROL MASTER'!$AA$2:$AA$495&lt;=6)*('CONTROL MASTER'!$AC$2:$AC$495&gt;=6))*ROW('CONTROL MASTER'!$S$2:$S$495))-(ROW('CONTROL MASTER'!#REF!)-1))))+1)))-1)*50+1,50))&amp;"_"&amp;INDEX('CONTROL MASTER'!$P$2:$P$495,(SUMPRODUCT((('CONTROL MASTER'!$S$2:$S$495=9)*('CONTROL MASTER'!$Z$2:$Z$495&lt;=10)*('CONTROL MASTER'!$AB$2:$AB$495&gt;=10)*('CONTROL MASTER'!$AA$2:$AA$495&lt;=6)*('CONTROL MASTER'!$AC$2:$AC$495&gt;=6))*ROW('CONTROL MASTER'!$S$2:$S$495))-(ROW('CONTROL MASTER'!#REF!)-1))),"")),"")</f>
        <v/>
      </c>
      <c r="H124" s="10" t="str">
        <f>IFERROR(IF(SUMPRODUCT((('CONTROL MASTER'!$S$2:$S$495=9)*('CONTROL MASTER'!$T$2:$T$495&lt;=10)*('CONTROL MASTER'!$V$2:$V$495&gt;=10)*('CONTROL MASTER'!$U$2:$U$495&lt;=7)*('CONTROL MASTER'!$W$2:$W$495&gt;=7))*ROW('CONTROL MASTER'!$S$2:$S$495))&gt;0,INDEX('CONTROL MASTER'!$X$2:$X$495,(SUMPRODUCT((('CONTROL MASTER'!$S$2:$S$495=9)*('CONTROL MASTER'!$T$2:$T$495&lt;=10)*('CONTROL MASTER'!$V$2:$V$495&gt;=10)*('CONTROL MASTER'!$U$2:$U$495&lt;=7)*('CONTROL MASTER'!$W$2:$W$495&gt;=7))*ROW('CONTROL MASTER'!$S$2:$S$495))-(ROW('CONTROL MASTER'!#REF!)-1)))&amp;TRIM(MID(SUBSTITUTE(SUBSTITUTE(INDEX('CONTROL MASTER'!$N$2:$N$495,(SUMPRODUCT((('CONTROL MASTER'!$S$2:$S$495=9)*('CONTROL MASTER'!$T$2:$T$495&lt;=10)*('CONTROL MASTER'!$V$2:$V$495&gt;=10)*('CONTROL MASTER'!$U$2:$U$495&lt;=7)*('CONTROL MASTER'!$W$2:$W$495&gt;=7))*ROW('CONTROL MASTER'!$S$2:$S$495))-(ROW('CONTROL MASTER'!#REF!)-1))),":",","),",",REPT(" ",50)),((((10-INDEX('CONTROL MASTER'!$T$2:$T$495,(SUMPRODUCT((('CONTROL MASTER'!$S$2:$S$495=9)*('CONTROL MASTER'!$T$2:$T$495&lt;=10)*('CONTROL MASTER'!$V$2:$V$495&gt;=10)*('CONTROL MASTER'!$U$2:$U$495&lt;=7)*('CONTROL MASTER'!$W$2:$W$495&gt;=7))*ROW('CONTROL MASTER'!$S$2:$S$495))-(ROW('CONTROL MASTER'!#REF!)-1))))*(INDEX('CONTROL MASTER'!$W$2:$W$495,(SUMPRODUCT((('CONTROL MASTER'!$S$2:$S$495=9)*('CONTROL MASTER'!$T$2:$T$495&lt;=10)*('CONTROL MASTER'!$V$2:$V$495&gt;=10)*('CONTROL MASTER'!$U$2:$U$495&lt;=7)*('CONTROL MASTER'!$W$2:$W$495&gt;=7))*ROW('CONTROL MASTER'!$S$2:$S$495))-(ROW('CONTROL MASTER'!#REF!)-1)))-INDEX('CONTROL MASTER'!$U$2:$U$495,(SUMPRODUCT((('CONTROL MASTER'!$S$2:$S$495=9)*('CONTROL MASTER'!$T$2:$T$495&lt;=10)*('CONTROL MASTER'!$V$2:$V$495&gt;=10)*('CONTROL MASTER'!$U$2:$U$495&lt;=7)*('CONTROL MASTER'!$W$2:$W$495&gt;=7))*ROW('CONTROL MASTER'!$S$2:$S$495))-(ROW('CONTROL MASTER'!#REF!)-1)))+1)+(7-INDEX('CONTROL MASTER'!$U$2:$U$495,(SUMPRODUCT((('CONTROL MASTER'!$S$2:$S$495=9)*('CONTROL MASTER'!$T$2:$T$495&lt;=10)*('CONTROL MASTER'!$V$2:$V$495&gt;=10)*('CONTROL MASTER'!$U$2:$U$495&lt;=7)*('CONTROL MASTER'!$W$2:$W$495&gt;=7))*ROW('CONTROL MASTER'!$S$2:$S$495))-(ROW('CONTROL MASTER'!#REF!)-1))))+1))-1)*50+1,50))&amp;"_"&amp;INDEX('CONTROL MASTER'!$P$2:$P$495,(SUMPRODUCT((('CONTROL MASTER'!$S$2:$S$495=9)*('CONTROL MASTER'!$T$2:$T$495&lt;=10)*('CONTROL MASTER'!$V$2:$V$495&gt;=10)*('CONTROL MASTER'!$U$2:$U$495&lt;=7)*('CONTROL MASTER'!$W$2:$W$495&gt;=7))*ROW('CONTROL MASTER'!$S$2:$S$495))-(ROW('CONTROL MASTER'!#REF!)-1))),IF(SUMPRODUCT((('CONTROL MASTER'!$S$2:$S$495=9)*('CONTROL MASTER'!$Z$2:$Z$495&lt;=10)*('CONTROL MASTER'!$AB$2:$AB$495&gt;=10)*('CONTROL MASTER'!$AA$2:$AA$495&lt;=7)*('CONTROL MASTER'!$AC$2:$AC$495&gt;=7))*ROW('CONTROL MASTER'!$S$2:$S$495))&gt;0,INDEX('CONTROL MASTER'!$X$2:$X$495,(SUMPRODUCT((('CONTROL MASTER'!$S$2:$S$495=9)*('CONTROL MASTER'!$Z$2:$Z$495&lt;=10)*('CONTROL MASTER'!$AB$2:$AB$495&gt;=10)*('CONTROL MASTER'!$AA$2:$AA$495&lt;=7)*('CONTROL MASTER'!$AC$2:$AC$495&gt;=7))*ROW('CONTROL MASTER'!$S$2:$S$495))-(ROW('CONTROL MASTER'!#REF!)-1)))&amp;TRIM(MID(SUBSTITUTE(SUBSTITUTE(INDEX('CONTROL MASTER'!$N$2:$N$495,(SUMPRODUCT((('CONTROL MASTER'!$S$2:$S$495=9)*('CONTROL MASTER'!$Z$2:$Z$495&lt;=10)*('CONTROL MASTER'!$AB$2:$AB$495&gt;=10)*('CONTROL MASTER'!$AA$2:$AA$495&lt;=7)*('CONTROL MASTER'!$AC$2:$AC$495&gt;=7))*ROW('CONTROL MASTER'!$S$2:$S$495))-(ROW('CONTROL MASTER'!#REF!)-1))),":",","),",",REPT(" ",50)),(((INDEX('CONTROL MASTER'!$Y$2:$Y$495,(SUMPRODUCT((('CONTROL MASTER'!$S$2:$S$495=9)*('CONTROL MASTER'!$Z$2:$Z$495&lt;=10)*('CONTROL MASTER'!$AB$2:$AB$495&gt;=10)*('CONTROL MASTER'!$AA$2:$AA$495&lt;=7)*('CONTROL MASTER'!$AC$2:$AC$495&gt;=7))*ROW('CONTROL MASTER'!$S$2:$S$495))-(ROW('CONTROL MASTER'!#REF!)-1)))+((10-INDEX('CONTROL MASTER'!$Z$2:$Z$495,(SUMPRODUCT((('CONTROL MASTER'!$S$2:$S$495=9)*('CONTROL MASTER'!$Z$2:$Z$495&lt;=10)*('CONTROL MASTER'!$AB$2:$AB$495&gt;=10)*('CONTROL MASTER'!$AA$2:$AA$495&lt;=7)*('CONTROL MASTER'!$AC$2:$AC$495&gt;=7))*ROW('CONTROL MASTER'!$S$2:$S$495))-(ROW('CONTROL MASTER'!#REF!)-1))))*(INDEX('CONTROL MASTER'!$AC$2:$AC$495,(SUMPRODUCT((('CONTROL MASTER'!$S$2:$S$495=9)*('CONTROL MASTER'!$Z$2:$Z$495&lt;=10)*('CONTROL MASTER'!$AB$2:$AB$495&gt;=10)*('CONTROL MASTER'!$AA$2:$AA$495&lt;=7)*('CONTROL MASTER'!$AC$2:$AC$495&gt;=7))*ROW('CONTROL MASTER'!$S$2:$S$495))-(ROW('CONTROL MASTER'!#REF!)-1)))-INDEX('CONTROL MASTER'!$AA$2:$AA$495,(SUMPRODUCT((('CONTROL MASTER'!$S$2:$S$495=9)*('CONTROL MASTER'!$Z$2:$Z$495&lt;=10)*('CONTROL MASTER'!$AB$2:$AB$495&gt;=10)*('CONTROL MASTER'!$AA$2:$AA$495&lt;=7)*('CONTROL MASTER'!$AC$2:$AC$495&gt;=7))*ROW('CONTROL MASTER'!$S$2:$S$495))-(ROW('CONTROL MASTER'!#REF!)-1)))+1)+(7-INDEX('CONTROL MASTER'!$AA$2:$AA$495,(SUMPRODUCT((('CONTROL MASTER'!$S$2:$S$495=9)*('CONTROL MASTER'!$Z$2:$Z$495&lt;=10)*('CONTROL MASTER'!$AB$2:$AB$495&gt;=10)*('CONTROL MASTER'!$AA$2:$AA$495&lt;=7)*('CONTROL MASTER'!$AC$2:$AC$495&gt;=7))*ROW('CONTROL MASTER'!$S$2:$S$495))-(ROW('CONTROL MASTER'!#REF!)-1))))+1)))-1)*50+1,50))&amp;"_"&amp;INDEX('CONTROL MASTER'!$P$2:$P$495,(SUMPRODUCT((('CONTROL MASTER'!$S$2:$S$495=9)*('CONTROL MASTER'!$Z$2:$Z$495&lt;=10)*('CONTROL MASTER'!$AB$2:$AB$495&gt;=10)*('CONTROL MASTER'!$AA$2:$AA$495&lt;=7)*('CONTROL MASTER'!$AC$2:$AC$495&gt;=7))*ROW('CONTROL MASTER'!$S$2:$S$495))-(ROW('CONTROL MASTER'!#REF!)-1))),"")),"")</f>
        <v/>
      </c>
      <c r="I124" s="10" t="str">
        <f>IFERROR(IF(SUMPRODUCT((('CONTROL MASTER'!$S$2:$S$495=9)*('CONTROL MASTER'!$T$2:$T$495&lt;=10)*('CONTROL MASTER'!$V$2:$V$495&gt;=10)*('CONTROL MASTER'!$U$2:$U$495&lt;=8)*('CONTROL MASTER'!$W$2:$W$495&gt;=8))*ROW('CONTROL MASTER'!$S$2:$S$495))&gt;0,INDEX('CONTROL MASTER'!$X$2:$X$495,(SUMPRODUCT((('CONTROL MASTER'!$S$2:$S$495=9)*('CONTROL MASTER'!$T$2:$T$495&lt;=10)*('CONTROL MASTER'!$V$2:$V$495&gt;=10)*('CONTROL MASTER'!$U$2:$U$495&lt;=8)*('CONTROL MASTER'!$W$2:$W$495&gt;=8))*ROW('CONTROL MASTER'!$S$2:$S$495))-(ROW('CONTROL MASTER'!#REF!)-1)))&amp;TRIM(MID(SUBSTITUTE(SUBSTITUTE(INDEX('CONTROL MASTER'!$N$2:$N$495,(SUMPRODUCT((('CONTROL MASTER'!$S$2:$S$495=9)*('CONTROL MASTER'!$T$2:$T$495&lt;=10)*('CONTROL MASTER'!$V$2:$V$495&gt;=10)*('CONTROL MASTER'!$U$2:$U$495&lt;=8)*('CONTROL MASTER'!$W$2:$W$495&gt;=8))*ROW('CONTROL MASTER'!$S$2:$S$495))-(ROW('CONTROL MASTER'!#REF!)-1))),":",","),",",REPT(" ",50)),((((10-INDEX('CONTROL MASTER'!$T$2:$T$495,(SUMPRODUCT((('CONTROL MASTER'!$S$2:$S$495=9)*('CONTROL MASTER'!$T$2:$T$495&lt;=10)*('CONTROL MASTER'!$V$2:$V$495&gt;=10)*('CONTROL MASTER'!$U$2:$U$495&lt;=8)*('CONTROL MASTER'!$W$2:$W$495&gt;=8))*ROW('CONTROL MASTER'!$S$2:$S$495))-(ROW('CONTROL MASTER'!#REF!)-1))))*(INDEX('CONTROL MASTER'!$W$2:$W$495,(SUMPRODUCT((('CONTROL MASTER'!$S$2:$S$495=9)*('CONTROL MASTER'!$T$2:$T$495&lt;=10)*('CONTROL MASTER'!$V$2:$V$495&gt;=10)*('CONTROL MASTER'!$U$2:$U$495&lt;=8)*('CONTROL MASTER'!$W$2:$W$495&gt;=8))*ROW('CONTROL MASTER'!$S$2:$S$495))-(ROW('CONTROL MASTER'!#REF!)-1)))-INDEX('CONTROL MASTER'!$U$2:$U$495,(SUMPRODUCT((('CONTROL MASTER'!$S$2:$S$495=9)*('CONTROL MASTER'!$T$2:$T$495&lt;=10)*('CONTROL MASTER'!$V$2:$V$495&gt;=10)*('CONTROL MASTER'!$U$2:$U$495&lt;=8)*('CONTROL MASTER'!$W$2:$W$495&gt;=8))*ROW('CONTROL MASTER'!$S$2:$S$495))-(ROW('CONTROL MASTER'!#REF!)-1)))+1)+(8-INDEX('CONTROL MASTER'!$U$2:$U$495,(SUMPRODUCT((('CONTROL MASTER'!$S$2:$S$495=9)*('CONTROL MASTER'!$T$2:$T$495&lt;=10)*('CONTROL MASTER'!$V$2:$V$495&gt;=10)*('CONTROL MASTER'!$U$2:$U$495&lt;=8)*('CONTROL MASTER'!$W$2:$W$495&gt;=8))*ROW('CONTROL MASTER'!$S$2:$S$495))-(ROW('CONTROL MASTER'!#REF!)-1))))+1))-1)*50+1,50))&amp;"_"&amp;INDEX('CONTROL MASTER'!$P$2:$P$495,(SUMPRODUCT((('CONTROL MASTER'!$S$2:$S$495=9)*('CONTROL MASTER'!$T$2:$T$495&lt;=10)*('CONTROL MASTER'!$V$2:$V$495&gt;=10)*('CONTROL MASTER'!$U$2:$U$495&lt;=8)*('CONTROL MASTER'!$W$2:$W$495&gt;=8))*ROW('CONTROL MASTER'!$S$2:$S$495))-(ROW('CONTROL MASTER'!#REF!)-1))),IF(SUMPRODUCT((('CONTROL MASTER'!$S$2:$S$495=9)*('CONTROL MASTER'!$Z$2:$Z$495&lt;=10)*('CONTROL MASTER'!$AB$2:$AB$495&gt;=10)*('CONTROL MASTER'!$AA$2:$AA$495&lt;=8)*('CONTROL MASTER'!$AC$2:$AC$495&gt;=8))*ROW('CONTROL MASTER'!$S$2:$S$495))&gt;0,INDEX('CONTROL MASTER'!$X$2:$X$495,(SUMPRODUCT((('CONTROL MASTER'!$S$2:$S$495=9)*('CONTROL MASTER'!$Z$2:$Z$495&lt;=10)*('CONTROL MASTER'!$AB$2:$AB$495&gt;=10)*('CONTROL MASTER'!$AA$2:$AA$495&lt;=8)*('CONTROL MASTER'!$AC$2:$AC$495&gt;=8))*ROW('CONTROL MASTER'!$S$2:$S$495))-(ROW('CONTROL MASTER'!#REF!)-1)))&amp;TRIM(MID(SUBSTITUTE(SUBSTITUTE(INDEX('CONTROL MASTER'!$N$2:$N$495,(SUMPRODUCT((('CONTROL MASTER'!$S$2:$S$495=9)*('CONTROL MASTER'!$Z$2:$Z$495&lt;=10)*('CONTROL MASTER'!$AB$2:$AB$495&gt;=10)*('CONTROL MASTER'!$AA$2:$AA$495&lt;=8)*('CONTROL MASTER'!$AC$2:$AC$495&gt;=8))*ROW('CONTROL MASTER'!$S$2:$S$495))-(ROW('CONTROL MASTER'!#REF!)-1))),":",","),",",REPT(" ",50)),(((INDEX('CONTROL MASTER'!$Y$2:$Y$495,(SUMPRODUCT((('CONTROL MASTER'!$S$2:$S$495=9)*('CONTROL MASTER'!$Z$2:$Z$495&lt;=10)*('CONTROL MASTER'!$AB$2:$AB$495&gt;=10)*('CONTROL MASTER'!$AA$2:$AA$495&lt;=8)*('CONTROL MASTER'!$AC$2:$AC$495&gt;=8))*ROW('CONTROL MASTER'!$S$2:$S$495))-(ROW('CONTROL MASTER'!#REF!)-1)))+((10-INDEX('CONTROL MASTER'!$Z$2:$Z$495,(SUMPRODUCT((('CONTROL MASTER'!$S$2:$S$495=9)*('CONTROL MASTER'!$Z$2:$Z$495&lt;=10)*('CONTROL MASTER'!$AB$2:$AB$495&gt;=10)*('CONTROL MASTER'!$AA$2:$AA$495&lt;=8)*('CONTROL MASTER'!$AC$2:$AC$495&gt;=8))*ROW('CONTROL MASTER'!$S$2:$S$495))-(ROW('CONTROL MASTER'!#REF!)-1))))*(INDEX('CONTROL MASTER'!$AC$2:$AC$495,(SUMPRODUCT((('CONTROL MASTER'!$S$2:$S$495=9)*('CONTROL MASTER'!$Z$2:$Z$495&lt;=10)*('CONTROL MASTER'!$AB$2:$AB$495&gt;=10)*('CONTROL MASTER'!$AA$2:$AA$495&lt;=8)*('CONTROL MASTER'!$AC$2:$AC$495&gt;=8))*ROW('CONTROL MASTER'!$S$2:$S$495))-(ROW('CONTROL MASTER'!#REF!)-1)))-INDEX('CONTROL MASTER'!$AA$2:$AA$495,(SUMPRODUCT((('CONTROL MASTER'!$S$2:$S$495=9)*('CONTROL MASTER'!$Z$2:$Z$495&lt;=10)*('CONTROL MASTER'!$AB$2:$AB$495&gt;=10)*('CONTROL MASTER'!$AA$2:$AA$495&lt;=8)*('CONTROL MASTER'!$AC$2:$AC$495&gt;=8))*ROW('CONTROL MASTER'!$S$2:$S$495))-(ROW('CONTROL MASTER'!#REF!)-1)))+1)+(8-INDEX('CONTROL MASTER'!$AA$2:$AA$495,(SUMPRODUCT((('CONTROL MASTER'!$S$2:$S$495=9)*('CONTROL MASTER'!$Z$2:$Z$495&lt;=10)*('CONTROL MASTER'!$AB$2:$AB$495&gt;=10)*('CONTROL MASTER'!$AA$2:$AA$495&lt;=8)*('CONTROL MASTER'!$AC$2:$AC$495&gt;=8))*ROW('CONTROL MASTER'!$S$2:$S$495))-(ROW('CONTROL MASTER'!#REF!)-1))))+1)))-1)*50+1,50))&amp;"_"&amp;INDEX('CONTROL MASTER'!$P$2:$P$495,(SUMPRODUCT((('CONTROL MASTER'!$S$2:$S$495=9)*('CONTROL MASTER'!$Z$2:$Z$495&lt;=10)*('CONTROL MASTER'!$AB$2:$AB$495&gt;=10)*('CONTROL MASTER'!$AA$2:$AA$495&lt;=8)*('CONTROL MASTER'!$AC$2:$AC$495&gt;=8))*ROW('CONTROL MASTER'!$S$2:$S$495))-(ROW('CONTROL MASTER'!#REF!)-1))),"")),"")</f>
        <v/>
      </c>
      <c r="J124" s="10" t="str">
        <f>IFERROR(IF(SUMPRODUCT((('CONTROL MASTER'!$S$2:$S$495=9)*('CONTROL MASTER'!$T$2:$T$495&lt;=10)*('CONTROL MASTER'!$V$2:$V$495&gt;=10)*('CONTROL MASTER'!$U$2:$U$495&lt;=9)*('CONTROL MASTER'!$W$2:$W$495&gt;=9))*ROW('CONTROL MASTER'!$S$2:$S$495))&gt;0,INDEX('CONTROL MASTER'!$X$2:$X$495,(SUMPRODUCT((('CONTROL MASTER'!$S$2:$S$495=9)*('CONTROL MASTER'!$T$2:$T$495&lt;=10)*('CONTROL MASTER'!$V$2:$V$495&gt;=10)*('CONTROL MASTER'!$U$2:$U$495&lt;=9)*('CONTROL MASTER'!$W$2:$W$495&gt;=9))*ROW('CONTROL MASTER'!$S$2:$S$495))-(ROW('CONTROL MASTER'!#REF!)-1)))&amp;TRIM(MID(SUBSTITUTE(SUBSTITUTE(INDEX('CONTROL MASTER'!$N$2:$N$495,(SUMPRODUCT((('CONTROL MASTER'!$S$2:$S$495=9)*('CONTROL MASTER'!$T$2:$T$495&lt;=10)*('CONTROL MASTER'!$V$2:$V$495&gt;=10)*('CONTROL MASTER'!$U$2:$U$495&lt;=9)*('CONTROL MASTER'!$W$2:$W$495&gt;=9))*ROW('CONTROL MASTER'!$S$2:$S$495))-(ROW('CONTROL MASTER'!#REF!)-1))),":",","),",",REPT(" ",50)),((((10-INDEX('CONTROL MASTER'!$T$2:$T$495,(SUMPRODUCT((('CONTROL MASTER'!$S$2:$S$495=9)*('CONTROL MASTER'!$T$2:$T$495&lt;=10)*('CONTROL MASTER'!$V$2:$V$495&gt;=10)*('CONTROL MASTER'!$U$2:$U$495&lt;=9)*('CONTROL MASTER'!$W$2:$W$495&gt;=9))*ROW('CONTROL MASTER'!$S$2:$S$495))-(ROW('CONTROL MASTER'!#REF!)-1))))*(INDEX('CONTROL MASTER'!$W$2:$W$495,(SUMPRODUCT((('CONTROL MASTER'!$S$2:$S$495=9)*('CONTROL MASTER'!$T$2:$T$495&lt;=10)*('CONTROL MASTER'!$V$2:$V$495&gt;=10)*('CONTROL MASTER'!$U$2:$U$495&lt;=9)*('CONTROL MASTER'!$W$2:$W$495&gt;=9))*ROW('CONTROL MASTER'!$S$2:$S$495))-(ROW('CONTROL MASTER'!#REF!)-1)))-INDEX('CONTROL MASTER'!$U$2:$U$495,(SUMPRODUCT((('CONTROL MASTER'!$S$2:$S$495=9)*('CONTROL MASTER'!$T$2:$T$495&lt;=10)*('CONTROL MASTER'!$V$2:$V$495&gt;=10)*('CONTROL MASTER'!$U$2:$U$495&lt;=9)*('CONTROL MASTER'!$W$2:$W$495&gt;=9))*ROW('CONTROL MASTER'!$S$2:$S$495))-(ROW('CONTROL MASTER'!#REF!)-1)))+1)+(9-INDEX('CONTROL MASTER'!$U$2:$U$495,(SUMPRODUCT((('CONTROL MASTER'!$S$2:$S$495=9)*('CONTROL MASTER'!$T$2:$T$495&lt;=10)*('CONTROL MASTER'!$V$2:$V$495&gt;=10)*('CONTROL MASTER'!$U$2:$U$495&lt;=9)*('CONTROL MASTER'!$W$2:$W$495&gt;=9))*ROW('CONTROL MASTER'!$S$2:$S$495))-(ROW('CONTROL MASTER'!#REF!)-1))))+1))-1)*50+1,50))&amp;"_"&amp;INDEX('CONTROL MASTER'!$P$2:$P$495,(SUMPRODUCT((('CONTROL MASTER'!$S$2:$S$495=9)*('CONTROL MASTER'!$T$2:$T$495&lt;=10)*('CONTROL MASTER'!$V$2:$V$495&gt;=10)*('CONTROL MASTER'!$U$2:$U$495&lt;=9)*('CONTROL MASTER'!$W$2:$W$495&gt;=9))*ROW('CONTROL MASTER'!$S$2:$S$495))-(ROW('CONTROL MASTER'!#REF!)-1))),IF(SUMPRODUCT((('CONTROL MASTER'!$S$2:$S$495=9)*('CONTROL MASTER'!$Z$2:$Z$495&lt;=10)*('CONTROL MASTER'!$AB$2:$AB$495&gt;=10)*('CONTROL MASTER'!$AA$2:$AA$495&lt;=9)*('CONTROL MASTER'!$AC$2:$AC$495&gt;=9))*ROW('CONTROL MASTER'!$S$2:$S$495))&gt;0,INDEX('CONTROL MASTER'!$X$2:$X$495,(SUMPRODUCT((('CONTROL MASTER'!$S$2:$S$495=9)*('CONTROL MASTER'!$Z$2:$Z$495&lt;=10)*('CONTROL MASTER'!$AB$2:$AB$495&gt;=10)*('CONTROL MASTER'!$AA$2:$AA$495&lt;=9)*('CONTROL MASTER'!$AC$2:$AC$495&gt;=9))*ROW('CONTROL MASTER'!$S$2:$S$495))-(ROW('CONTROL MASTER'!#REF!)-1)))&amp;TRIM(MID(SUBSTITUTE(SUBSTITUTE(INDEX('CONTROL MASTER'!$N$2:$N$495,(SUMPRODUCT((('CONTROL MASTER'!$S$2:$S$495=9)*('CONTROL MASTER'!$Z$2:$Z$495&lt;=10)*('CONTROL MASTER'!$AB$2:$AB$495&gt;=10)*('CONTROL MASTER'!$AA$2:$AA$495&lt;=9)*('CONTROL MASTER'!$AC$2:$AC$495&gt;=9))*ROW('CONTROL MASTER'!$S$2:$S$495))-(ROW('CONTROL MASTER'!#REF!)-1))),":",","),",",REPT(" ",50)),(((INDEX('CONTROL MASTER'!$Y$2:$Y$495,(SUMPRODUCT((('CONTROL MASTER'!$S$2:$S$495=9)*('CONTROL MASTER'!$Z$2:$Z$495&lt;=10)*('CONTROL MASTER'!$AB$2:$AB$495&gt;=10)*('CONTROL MASTER'!$AA$2:$AA$495&lt;=9)*('CONTROL MASTER'!$AC$2:$AC$495&gt;=9))*ROW('CONTROL MASTER'!$S$2:$S$495))-(ROW('CONTROL MASTER'!#REF!)-1)))+((10-INDEX('CONTROL MASTER'!$Z$2:$Z$495,(SUMPRODUCT((('CONTROL MASTER'!$S$2:$S$495=9)*('CONTROL MASTER'!$Z$2:$Z$495&lt;=10)*('CONTROL MASTER'!$AB$2:$AB$495&gt;=10)*('CONTROL MASTER'!$AA$2:$AA$495&lt;=9)*('CONTROL MASTER'!$AC$2:$AC$495&gt;=9))*ROW('CONTROL MASTER'!$S$2:$S$495))-(ROW('CONTROL MASTER'!#REF!)-1))))*(INDEX('CONTROL MASTER'!$AC$2:$AC$495,(SUMPRODUCT((('CONTROL MASTER'!$S$2:$S$495=9)*('CONTROL MASTER'!$Z$2:$Z$495&lt;=10)*('CONTROL MASTER'!$AB$2:$AB$495&gt;=10)*('CONTROL MASTER'!$AA$2:$AA$495&lt;=9)*('CONTROL MASTER'!$AC$2:$AC$495&gt;=9))*ROW('CONTROL MASTER'!$S$2:$S$495))-(ROW('CONTROL MASTER'!#REF!)-1)))-INDEX('CONTROL MASTER'!$AA$2:$AA$495,(SUMPRODUCT((('CONTROL MASTER'!$S$2:$S$495=9)*('CONTROL MASTER'!$Z$2:$Z$495&lt;=10)*('CONTROL MASTER'!$AB$2:$AB$495&gt;=10)*('CONTROL MASTER'!$AA$2:$AA$495&lt;=9)*('CONTROL MASTER'!$AC$2:$AC$495&gt;=9))*ROW('CONTROL MASTER'!$S$2:$S$495))-(ROW('CONTROL MASTER'!#REF!)-1)))+1)+(9-INDEX('CONTROL MASTER'!$AA$2:$AA$495,(SUMPRODUCT((('CONTROL MASTER'!$S$2:$S$495=9)*('CONTROL MASTER'!$Z$2:$Z$495&lt;=10)*('CONTROL MASTER'!$AB$2:$AB$495&gt;=10)*('CONTROL MASTER'!$AA$2:$AA$495&lt;=9)*('CONTROL MASTER'!$AC$2:$AC$495&gt;=9))*ROW('CONTROL MASTER'!$S$2:$S$495))-(ROW('CONTROL MASTER'!#REF!)-1))))+1)))-1)*50+1,50))&amp;"_"&amp;INDEX('CONTROL MASTER'!$P$2:$P$495,(SUMPRODUCT((('CONTROL MASTER'!$S$2:$S$495=9)*('CONTROL MASTER'!$Z$2:$Z$495&lt;=10)*('CONTROL MASTER'!$AB$2:$AB$495&gt;=10)*('CONTROL MASTER'!$AA$2:$AA$495&lt;=9)*('CONTROL MASTER'!$AC$2:$AC$495&gt;=9))*ROW('CONTROL MASTER'!$S$2:$S$495))-(ROW('CONTROL MASTER'!#REF!)-1))),"")),"")</f>
        <v/>
      </c>
      <c r="K124" s="10" t="str">
        <f>IFERROR(IF(SUMPRODUCT((('CONTROL MASTER'!$S$2:$S$495=9)*('CONTROL MASTER'!$T$2:$T$495&lt;=10)*('CONTROL MASTER'!$V$2:$V$495&gt;=10)*('CONTROL MASTER'!$U$2:$U$495&lt;=10)*('CONTROL MASTER'!$W$2:$W$495&gt;=10))*ROW('CONTROL MASTER'!$S$2:$S$495))&gt;0,INDEX('CONTROL MASTER'!$X$2:$X$495,(SUMPRODUCT((('CONTROL MASTER'!$S$2:$S$495=9)*('CONTROL MASTER'!$T$2:$T$495&lt;=10)*('CONTROL MASTER'!$V$2:$V$495&gt;=10)*('CONTROL MASTER'!$U$2:$U$495&lt;=10)*('CONTROL MASTER'!$W$2:$W$495&gt;=10))*ROW('CONTROL MASTER'!$S$2:$S$495))-(ROW('CONTROL MASTER'!#REF!)-1)))&amp;TRIM(MID(SUBSTITUTE(SUBSTITUTE(INDEX('CONTROL MASTER'!$N$2:$N$495,(SUMPRODUCT((('CONTROL MASTER'!$S$2:$S$495=9)*('CONTROL MASTER'!$T$2:$T$495&lt;=10)*('CONTROL MASTER'!$V$2:$V$495&gt;=10)*('CONTROL MASTER'!$U$2:$U$495&lt;=10)*('CONTROL MASTER'!$W$2:$W$495&gt;=10))*ROW('CONTROL MASTER'!$S$2:$S$495))-(ROW('CONTROL MASTER'!#REF!)-1))),":",","),",",REPT(" ",50)),((((10-INDEX('CONTROL MASTER'!$T$2:$T$495,(SUMPRODUCT((('CONTROL MASTER'!$S$2:$S$495=9)*('CONTROL MASTER'!$T$2:$T$495&lt;=10)*('CONTROL MASTER'!$V$2:$V$495&gt;=10)*('CONTROL MASTER'!$U$2:$U$495&lt;=10)*('CONTROL MASTER'!$W$2:$W$495&gt;=10))*ROW('CONTROL MASTER'!$S$2:$S$495))-(ROW('CONTROL MASTER'!#REF!)-1))))*(INDEX('CONTROL MASTER'!$W$2:$W$495,(SUMPRODUCT((('CONTROL MASTER'!$S$2:$S$495=9)*('CONTROL MASTER'!$T$2:$T$495&lt;=10)*('CONTROL MASTER'!$V$2:$V$495&gt;=10)*('CONTROL MASTER'!$U$2:$U$495&lt;=10)*('CONTROL MASTER'!$W$2:$W$495&gt;=10))*ROW('CONTROL MASTER'!$S$2:$S$495))-(ROW('CONTROL MASTER'!#REF!)-1)))-INDEX('CONTROL MASTER'!$U$2:$U$495,(SUMPRODUCT((('CONTROL MASTER'!$S$2:$S$495=9)*('CONTROL MASTER'!$T$2:$T$495&lt;=10)*('CONTROL MASTER'!$V$2:$V$495&gt;=10)*('CONTROL MASTER'!$U$2:$U$495&lt;=10)*('CONTROL MASTER'!$W$2:$W$495&gt;=10))*ROW('CONTROL MASTER'!$S$2:$S$495))-(ROW('CONTROL MASTER'!#REF!)-1)))+1)+(10-INDEX('CONTROL MASTER'!$U$2:$U$495,(SUMPRODUCT((('CONTROL MASTER'!$S$2:$S$495=9)*('CONTROL MASTER'!$T$2:$T$495&lt;=10)*('CONTROL MASTER'!$V$2:$V$495&gt;=10)*('CONTROL MASTER'!$U$2:$U$495&lt;=10)*('CONTROL MASTER'!$W$2:$W$495&gt;=10))*ROW('CONTROL MASTER'!$S$2:$S$495))-(ROW('CONTROL MASTER'!#REF!)-1))))+1))-1)*50+1,50))&amp;"_"&amp;INDEX('CONTROL MASTER'!$P$2:$P$495,(SUMPRODUCT((('CONTROL MASTER'!$S$2:$S$495=9)*('CONTROL MASTER'!$T$2:$T$495&lt;=10)*('CONTROL MASTER'!$V$2:$V$495&gt;=10)*('CONTROL MASTER'!$U$2:$U$495&lt;=10)*('CONTROL MASTER'!$W$2:$W$495&gt;=10))*ROW('CONTROL MASTER'!$S$2:$S$495))-(ROW('CONTROL MASTER'!#REF!)-1))),IF(SUMPRODUCT((('CONTROL MASTER'!$S$2:$S$495=9)*('CONTROL MASTER'!$Z$2:$Z$495&lt;=10)*('CONTROL MASTER'!$AB$2:$AB$495&gt;=10)*('CONTROL MASTER'!$AA$2:$AA$495&lt;=10)*('CONTROL MASTER'!$AC$2:$AC$495&gt;=10))*ROW('CONTROL MASTER'!$S$2:$S$495))&gt;0,INDEX('CONTROL MASTER'!$X$2:$X$495,(SUMPRODUCT((('CONTROL MASTER'!$S$2:$S$495=9)*('CONTROL MASTER'!$Z$2:$Z$495&lt;=10)*('CONTROL MASTER'!$AB$2:$AB$495&gt;=10)*('CONTROL MASTER'!$AA$2:$AA$495&lt;=10)*('CONTROL MASTER'!$AC$2:$AC$495&gt;=10))*ROW('CONTROL MASTER'!$S$2:$S$495))-(ROW('CONTROL MASTER'!#REF!)-1)))&amp;TRIM(MID(SUBSTITUTE(SUBSTITUTE(INDEX('CONTROL MASTER'!$N$2:$N$495,(SUMPRODUCT((('CONTROL MASTER'!$S$2:$S$495=9)*('CONTROL MASTER'!$Z$2:$Z$495&lt;=10)*('CONTROL MASTER'!$AB$2:$AB$495&gt;=10)*('CONTROL MASTER'!$AA$2:$AA$495&lt;=10)*('CONTROL MASTER'!$AC$2:$AC$495&gt;=10))*ROW('CONTROL MASTER'!$S$2:$S$495))-(ROW('CONTROL MASTER'!#REF!)-1))),":",","),",",REPT(" ",50)),(((INDEX('CONTROL MASTER'!$Y$2:$Y$495,(SUMPRODUCT((('CONTROL MASTER'!$S$2:$S$495=9)*('CONTROL MASTER'!$Z$2:$Z$495&lt;=10)*('CONTROL MASTER'!$AB$2:$AB$495&gt;=10)*('CONTROL MASTER'!$AA$2:$AA$495&lt;=10)*('CONTROL MASTER'!$AC$2:$AC$495&gt;=10))*ROW('CONTROL MASTER'!$S$2:$S$495))-(ROW('CONTROL MASTER'!#REF!)-1)))+((10-INDEX('CONTROL MASTER'!$Z$2:$Z$495,(SUMPRODUCT((('CONTROL MASTER'!$S$2:$S$495=9)*('CONTROL MASTER'!$Z$2:$Z$495&lt;=10)*('CONTROL MASTER'!$AB$2:$AB$495&gt;=10)*('CONTROL MASTER'!$AA$2:$AA$495&lt;=10)*('CONTROL MASTER'!$AC$2:$AC$495&gt;=10))*ROW('CONTROL MASTER'!$S$2:$S$495))-(ROW('CONTROL MASTER'!#REF!)-1))))*(INDEX('CONTROL MASTER'!$AC$2:$AC$495,(SUMPRODUCT((('CONTROL MASTER'!$S$2:$S$495=9)*('CONTROL MASTER'!$Z$2:$Z$495&lt;=10)*('CONTROL MASTER'!$AB$2:$AB$495&gt;=10)*('CONTROL MASTER'!$AA$2:$AA$495&lt;=10)*('CONTROL MASTER'!$AC$2:$AC$495&gt;=10))*ROW('CONTROL MASTER'!$S$2:$S$495))-(ROW('CONTROL MASTER'!#REF!)-1)))-INDEX('CONTROL MASTER'!$AA$2:$AA$495,(SUMPRODUCT((('CONTROL MASTER'!$S$2:$S$495=9)*('CONTROL MASTER'!$Z$2:$Z$495&lt;=10)*('CONTROL MASTER'!$AB$2:$AB$495&gt;=10)*('CONTROL MASTER'!$AA$2:$AA$495&lt;=10)*('CONTROL MASTER'!$AC$2:$AC$495&gt;=10))*ROW('CONTROL MASTER'!$S$2:$S$495))-(ROW('CONTROL MASTER'!#REF!)-1)))+1)+(10-INDEX('CONTROL MASTER'!$AA$2:$AA$495,(SUMPRODUCT((('CONTROL MASTER'!$S$2:$S$495=9)*('CONTROL MASTER'!$Z$2:$Z$495&lt;=10)*('CONTROL MASTER'!$AB$2:$AB$495&gt;=10)*('CONTROL MASTER'!$AA$2:$AA$495&lt;=10)*('CONTROL MASTER'!$AC$2:$AC$495&gt;=10))*ROW('CONTROL MASTER'!$S$2:$S$495))-(ROW('CONTROL MASTER'!#REF!)-1))))+1)))-1)*50+1,50))&amp;"_"&amp;INDEX('CONTROL MASTER'!$P$2:$P$495,(SUMPRODUCT((('CONTROL MASTER'!$S$2:$S$495=9)*('CONTROL MASTER'!$Z$2:$Z$495&lt;=10)*('CONTROL MASTER'!$AB$2:$AB$495&gt;=10)*('CONTROL MASTER'!$AA$2:$AA$495&lt;=10)*('CONTROL MASTER'!$AC$2:$AC$495&gt;=10))*ROW('CONTROL MASTER'!$S$2:$S$495))-(ROW('CONTROL MASTER'!#REF!)-1))),"")),"")</f>
        <v/>
      </c>
    </row>
    <row r="127" spans="1:11" ht="15" customHeight="1" x14ac:dyDescent="0.35">
      <c r="A127" s="12" t="s">
        <v>166</v>
      </c>
      <c r="B127" s="13"/>
      <c r="C127" s="13"/>
      <c r="D127" s="13"/>
      <c r="E127" s="13"/>
      <c r="F127" s="13"/>
      <c r="G127" s="13"/>
      <c r="H127" s="13"/>
      <c r="I127" s="13"/>
      <c r="J127" s="13"/>
      <c r="K127" s="13"/>
    </row>
    <row r="128" spans="1:11" ht="15" customHeight="1" x14ac:dyDescent="0.35">
      <c r="B128" s="8">
        <v>1</v>
      </c>
      <c r="C128" s="8">
        <v>2</v>
      </c>
      <c r="D128" s="8">
        <v>3</v>
      </c>
      <c r="E128" s="8">
        <v>4</v>
      </c>
      <c r="F128" s="8">
        <v>5</v>
      </c>
      <c r="G128" s="8">
        <v>6</v>
      </c>
      <c r="H128" s="8">
        <v>7</v>
      </c>
      <c r="I128" s="8">
        <v>8</v>
      </c>
      <c r="J128" s="8">
        <v>9</v>
      </c>
      <c r="K128" s="8">
        <v>10</v>
      </c>
    </row>
    <row r="129" spans="1:11" ht="15" customHeight="1" x14ac:dyDescent="0.35">
      <c r="A129" s="8" t="s">
        <v>28</v>
      </c>
      <c r="B129" s="10" t="str">
        <f>IFERROR(IF(SUMPRODUCT((('CONTROL MASTER'!$S$2:$S$495=10)*('CONTROL MASTER'!$T$2:$T$495&lt;=1)*('CONTROL MASTER'!$V$2:$V$495&gt;=1)*('CONTROL MASTER'!$U$2:$U$495&lt;=1)*('CONTROL MASTER'!$W$2:$W$495&gt;=1))*ROW('CONTROL MASTER'!$S$2:$S$495))&gt;0,INDEX('CONTROL MASTER'!$X$2:$X$495,(SUMPRODUCT((('CONTROL MASTER'!$S$2:$S$495=10)*('CONTROL MASTER'!$T$2:$T$495&lt;=1)*('CONTROL MASTER'!$V$2:$V$495&gt;=1)*('CONTROL MASTER'!$U$2:$U$495&lt;=1)*('CONTROL MASTER'!$W$2:$W$495&gt;=1))*ROW('CONTROL MASTER'!$S$2:$S$495))-(ROW('CONTROL MASTER'!#REF!)-1)))&amp;TRIM(MID(SUBSTITUTE(SUBSTITUTE(INDEX('CONTROL MASTER'!$N$2:$N$495,(SUMPRODUCT((('CONTROL MASTER'!$S$2:$S$495=10)*('CONTROL MASTER'!$T$2:$T$495&lt;=1)*('CONTROL MASTER'!$V$2:$V$495&gt;=1)*('CONTROL MASTER'!$U$2:$U$495&lt;=1)*('CONTROL MASTER'!$W$2:$W$495&gt;=1))*ROW('CONTROL MASTER'!$S$2:$S$495))-(ROW('CONTROL MASTER'!#REF!)-1))),":",","),",",REPT(" ",50)),((((1-INDEX('CONTROL MASTER'!$T$2:$T$495,(SUMPRODUCT((('CONTROL MASTER'!$S$2:$S$495=10)*('CONTROL MASTER'!$T$2:$T$495&lt;=1)*('CONTROL MASTER'!$V$2:$V$495&gt;=1)*('CONTROL MASTER'!$U$2:$U$495&lt;=1)*('CONTROL MASTER'!$W$2:$W$495&gt;=1))*ROW('CONTROL MASTER'!$S$2:$S$495))-(ROW('CONTROL MASTER'!#REF!)-1))))*(INDEX('CONTROL MASTER'!$W$2:$W$495,(SUMPRODUCT((('CONTROL MASTER'!$S$2:$S$495=10)*('CONTROL MASTER'!$T$2:$T$495&lt;=1)*('CONTROL MASTER'!$V$2:$V$495&gt;=1)*('CONTROL MASTER'!$U$2:$U$495&lt;=1)*('CONTROL MASTER'!$W$2:$W$495&gt;=1))*ROW('CONTROL MASTER'!$S$2:$S$495))-(ROW('CONTROL MASTER'!#REF!)-1)))-INDEX('CONTROL MASTER'!$U$2:$U$495,(SUMPRODUCT((('CONTROL MASTER'!$S$2:$S$495=10)*('CONTROL MASTER'!$T$2:$T$495&lt;=1)*('CONTROL MASTER'!$V$2:$V$495&gt;=1)*('CONTROL MASTER'!$U$2:$U$495&lt;=1)*('CONTROL MASTER'!$W$2:$W$495&gt;=1))*ROW('CONTROL MASTER'!$S$2:$S$495))-(ROW('CONTROL MASTER'!#REF!)-1)))+1)+(1-INDEX('CONTROL MASTER'!$U$2:$U$495,(SUMPRODUCT((('CONTROL MASTER'!$S$2:$S$495=10)*('CONTROL MASTER'!$T$2:$T$495&lt;=1)*('CONTROL MASTER'!$V$2:$V$495&gt;=1)*('CONTROL MASTER'!$U$2:$U$495&lt;=1)*('CONTROL MASTER'!$W$2:$W$495&gt;=1))*ROW('CONTROL MASTER'!$S$2:$S$495))-(ROW('CONTROL MASTER'!#REF!)-1))))+1))-1)*50+1,50))&amp;"_"&amp;INDEX('CONTROL MASTER'!$P$2:$P$495,(SUMPRODUCT((('CONTROL MASTER'!$S$2:$S$495=10)*('CONTROL MASTER'!$T$2:$T$495&lt;=1)*('CONTROL MASTER'!$V$2:$V$495&gt;=1)*('CONTROL MASTER'!$U$2:$U$495&lt;=1)*('CONTROL MASTER'!$W$2:$W$495&gt;=1))*ROW('CONTROL MASTER'!$S$2:$S$495))-(ROW('CONTROL MASTER'!#REF!)-1))),IF(SUMPRODUCT((('CONTROL MASTER'!$S$2:$S$495=10)*('CONTROL MASTER'!$Z$2:$Z$495&lt;=1)*('CONTROL MASTER'!$AB$2:$AB$495&gt;=1)*('CONTROL MASTER'!$AA$2:$AA$495&lt;=1)*('CONTROL MASTER'!$AC$2:$AC$495&gt;=1))*ROW('CONTROL MASTER'!$S$2:$S$495))&gt;0,INDEX('CONTROL MASTER'!$X$2:$X$495,(SUMPRODUCT((('CONTROL MASTER'!$S$2:$S$495=10)*('CONTROL MASTER'!$Z$2:$Z$495&lt;=1)*('CONTROL MASTER'!$AB$2:$AB$495&gt;=1)*('CONTROL MASTER'!$AA$2:$AA$495&lt;=1)*('CONTROL MASTER'!$AC$2:$AC$495&gt;=1))*ROW('CONTROL MASTER'!$S$2:$S$495))-(ROW('CONTROL MASTER'!#REF!)-1)))&amp;TRIM(MID(SUBSTITUTE(SUBSTITUTE(INDEX('CONTROL MASTER'!$N$2:$N$495,(SUMPRODUCT((('CONTROL MASTER'!$S$2:$S$495=10)*('CONTROL MASTER'!$Z$2:$Z$495&lt;=1)*('CONTROL MASTER'!$AB$2:$AB$495&gt;=1)*('CONTROL MASTER'!$AA$2:$AA$495&lt;=1)*('CONTROL MASTER'!$AC$2:$AC$495&gt;=1))*ROW('CONTROL MASTER'!$S$2:$S$495))-(ROW('CONTROL MASTER'!#REF!)-1))),":",","),",",REPT(" ",50)),(((INDEX('CONTROL MASTER'!$Y$2:$Y$495,(SUMPRODUCT((('CONTROL MASTER'!$S$2:$S$495=10)*('CONTROL MASTER'!$Z$2:$Z$495&lt;=1)*('CONTROL MASTER'!$AB$2:$AB$495&gt;=1)*('CONTROL MASTER'!$AA$2:$AA$495&lt;=1)*('CONTROL MASTER'!$AC$2:$AC$495&gt;=1))*ROW('CONTROL MASTER'!$S$2:$S$495))-(ROW('CONTROL MASTER'!#REF!)-1)))+((1-INDEX('CONTROL MASTER'!$Z$2:$Z$495,(SUMPRODUCT((('CONTROL MASTER'!$S$2:$S$495=10)*('CONTROL MASTER'!$Z$2:$Z$495&lt;=1)*('CONTROL MASTER'!$AB$2:$AB$495&gt;=1)*('CONTROL MASTER'!$AA$2:$AA$495&lt;=1)*('CONTROL MASTER'!$AC$2:$AC$495&gt;=1))*ROW('CONTROL MASTER'!$S$2:$S$495))-(ROW('CONTROL MASTER'!#REF!)-1))))*(INDEX('CONTROL MASTER'!$AC$2:$AC$495,(SUMPRODUCT((('CONTROL MASTER'!$S$2:$S$495=10)*('CONTROL MASTER'!$Z$2:$Z$495&lt;=1)*('CONTROL MASTER'!$AB$2:$AB$495&gt;=1)*('CONTROL MASTER'!$AA$2:$AA$495&lt;=1)*('CONTROL MASTER'!$AC$2:$AC$495&gt;=1))*ROW('CONTROL MASTER'!$S$2:$S$495))-(ROW('CONTROL MASTER'!#REF!)-1)))-INDEX('CONTROL MASTER'!$AA$2:$AA$495,(SUMPRODUCT((('CONTROL MASTER'!$S$2:$S$495=10)*('CONTROL MASTER'!$Z$2:$Z$495&lt;=1)*('CONTROL MASTER'!$AB$2:$AB$495&gt;=1)*('CONTROL MASTER'!$AA$2:$AA$495&lt;=1)*('CONTROL MASTER'!$AC$2:$AC$495&gt;=1))*ROW('CONTROL MASTER'!$S$2:$S$495))-(ROW('CONTROL MASTER'!#REF!)-1)))+1)+(1-INDEX('CONTROL MASTER'!$AA$2:$AA$495,(SUMPRODUCT((('CONTROL MASTER'!$S$2:$S$495=10)*('CONTROL MASTER'!$Z$2:$Z$495&lt;=1)*('CONTROL MASTER'!$AB$2:$AB$495&gt;=1)*('CONTROL MASTER'!$AA$2:$AA$495&lt;=1)*('CONTROL MASTER'!$AC$2:$AC$495&gt;=1))*ROW('CONTROL MASTER'!$S$2:$S$495))-(ROW('CONTROL MASTER'!#REF!)-1))))+1)))-1)*50+1,50))&amp;"_"&amp;INDEX('CONTROL MASTER'!$P$2:$P$495,(SUMPRODUCT((('CONTROL MASTER'!$S$2:$S$495=10)*('CONTROL MASTER'!$Z$2:$Z$495&lt;=1)*('CONTROL MASTER'!$AB$2:$AB$495&gt;=1)*('CONTROL MASTER'!$AA$2:$AA$495&lt;=1)*('CONTROL MASTER'!$AC$2:$AC$495&gt;=1))*ROW('CONTROL MASTER'!$S$2:$S$495))-(ROW('CONTROL MASTER'!#REF!)-1))),"")),"")</f>
        <v/>
      </c>
      <c r="C129" s="10" t="str">
        <f>IFERROR(IF(SUMPRODUCT((('CONTROL MASTER'!$S$2:$S$495=10)*('CONTROL MASTER'!$T$2:$T$495&lt;=1)*('CONTROL MASTER'!$V$2:$V$495&gt;=1)*('CONTROL MASTER'!$U$2:$U$495&lt;=2)*('CONTROL MASTER'!$W$2:$W$495&gt;=2))*ROW('CONTROL MASTER'!$S$2:$S$495))&gt;0,INDEX('CONTROL MASTER'!$X$2:$X$495,(SUMPRODUCT((('CONTROL MASTER'!$S$2:$S$495=10)*('CONTROL MASTER'!$T$2:$T$495&lt;=1)*('CONTROL MASTER'!$V$2:$V$495&gt;=1)*('CONTROL MASTER'!$U$2:$U$495&lt;=2)*('CONTROL MASTER'!$W$2:$W$495&gt;=2))*ROW('CONTROL MASTER'!$S$2:$S$495))-(ROW('CONTROL MASTER'!#REF!)-1)))&amp;TRIM(MID(SUBSTITUTE(SUBSTITUTE(INDEX('CONTROL MASTER'!$N$2:$N$495,(SUMPRODUCT((('CONTROL MASTER'!$S$2:$S$495=10)*('CONTROL MASTER'!$T$2:$T$495&lt;=1)*('CONTROL MASTER'!$V$2:$V$495&gt;=1)*('CONTROL MASTER'!$U$2:$U$495&lt;=2)*('CONTROL MASTER'!$W$2:$W$495&gt;=2))*ROW('CONTROL MASTER'!$S$2:$S$495))-(ROW('CONTROL MASTER'!#REF!)-1))),":",","),",",REPT(" ",50)),((((1-INDEX('CONTROL MASTER'!$T$2:$T$495,(SUMPRODUCT((('CONTROL MASTER'!$S$2:$S$495=10)*('CONTROL MASTER'!$T$2:$T$495&lt;=1)*('CONTROL MASTER'!$V$2:$V$495&gt;=1)*('CONTROL MASTER'!$U$2:$U$495&lt;=2)*('CONTROL MASTER'!$W$2:$W$495&gt;=2))*ROW('CONTROL MASTER'!$S$2:$S$495))-(ROW('CONTROL MASTER'!#REF!)-1))))*(INDEX('CONTROL MASTER'!$W$2:$W$495,(SUMPRODUCT((('CONTROL MASTER'!$S$2:$S$495=10)*('CONTROL MASTER'!$T$2:$T$495&lt;=1)*('CONTROL MASTER'!$V$2:$V$495&gt;=1)*('CONTROL MASTER'!$U$2:$U$495&lt;=2)*('CONTROL MASTER'!$W$2:$W$495&gt;=2))*ROW('CONTROL MASTER'!$S$2:$S$495))-(ROW('CONTROL MASTER'!#REF!)-1)))-INDEX('CONTROL MASTER'!$U$2:$U$495,(SUMPRODUCT((('CONTROL MASTER'!$S$2:$S$495=10)*('CONTROL MASTER'!$T$2:$T$495&lt;=1)*('CONTROL MASTER'!$V$2:$V$495&gt;=1)*('CONTROL MASTER'!$U$2:$U$495&lt;=2)*('CONTROL MASTER'!$W$2:$W$495&gt;=2))*ROW('CONTROL MASTER'!$S$2:$S$495))-(ROW('CONTROL MASTER'!#REF!)-1)))+1)+(2-INDEX('CONTROL MASTER'!$U$2:$U$495,(SUMPRODUCT((('CONTROL MASTER'!$S$2:$S$495=10)*('CONTROL MASTER'!$T$2:$T$495&lt;=1)*('CONTROL MASTER'!$V$2:$V$495&gt;=1)*('CONTROL MASTER'!$U$2:$U$495&lt;=2)*('CONTROL MASTER'!$W$2:$W$495&gt;=2))*ROW('CONTROL MASTER'!$S$2:$S$495))-(ROW('CONTROL MASTER'!#REF!)-1))))+1))-1)*50+1,50))&amp;"_"&amp;INDEX('CONTROL MASTER'!$P$2:$P$495,(SUMPRODUCT((('CONTROL MASTER'!$S$2:$S$495=10)*('CONTROL MASTER'!$T$2:$T$495&lt;=1)*('CONTROL MASTER'!$V$2:$V$495&gt;=1)*('CONTROL MASTER'!$U$2:$U$495&lt;=2)*('CONTROL MASTER'!$W$2:$W$495&gt;=2))*ROW('CONTROL MASTER'!$S$2:$S$495))-(ROW('CONTROL MASTER'!#REF!)-1))),IF(SUMPRODUCT((('CONTROL MASTER'!$S$2:$S$495=10)*('CONTROL MASTER'!$Z$2:$Z$495&lt;=1)*('CONTROL MASTER'!$AB$2:$AB$495&gt;=1)*('CONTROL MASTER'!$AA$2:$AA$495&lt;=2)*('CONTROL MASTER'!$AC$2:$AC$495&gt;=2))*ROW('CONTROL MASTER'!$S$2:$S$495))&gt;0,INDEX('CONTROL MASTER'!$X$2:$X$495,(SUMPRODUCT((('CONTROL MASTER'!$S$2:$S$495=10)*('CONTROL MASTER'!$Z$2:$Z$495&lt;=1)*('CONTROL MASTER'!$AB$2:$AB$495&gt;=1)*('CONTROL MASTER'!$AA$2:$AA$495&lt;=2)*('CONTROL MASTER'!$AC$2:$AC$495&gt;=2))*ROW('CONTROL MASTER'!$S$2:$S$495))-(ROW('CONTROL MASTER'!#REF!)-1)))&amp;TRIM(MID(SUBSTITUTE(SUBSTITUTE(INDEX('CONTROL MASTER'!$N$2:$N$495,(SUMPRODUCT((('CONTROL MASTER'!$S$2:$S$495=10)*('CONTROL MASTER'!$Z$2:$Z$495&lt;=1)*('CONTROL MASTER'!$AB$2:$AB$495&gt;=1)*('CONTROL MASTER'!$AA$2:$AA$495&lt;=2)*('CONTROL MASTER'!$AC$2:$AC$495&gt;=2))*ROW('CONTROL MASTER'!$S$2:$S$495))-(ROW('CONTROL MASTER'!#REF!)-1))),":",","),",",REPT(" ",50)),(((INDEX('CONTROL MASTER'!$Y$2:$Y$495,(SUMPRODUCT((('CONTROL MASTER'!$S$2:$S$495=10)*('CONTROL MASTER'!$Z$2:$Z$495&lt;=1)*('CONTROL MASTER'!$AB$2:$AB$495&gt;=1)*('CONTROL MASTER'!$AA$2:$AA$495&lt;=2)*('CONTROL MASTER'!$AC$2:$AC$495&gt;=2))*ROW('CONTROL MASTER'!$S$2:$S$495))-(ROW('CONTROL MASTER'!#REF!)-1)))+((1-INDEX('CONTROL MASTER'!$Z$2:$Z$495,(SUMPRODUCT((('CONTROL MASTER'!$S$2:$S$495=10)*('CONTROL MASTER'!$Z$2:$Z$495&lt;=1)*('CONTROL MASTER'!$AB$2:$AB$495&gt;=1)*('CONTROL MASTER'!$AA$2:$AA$495&lt;=2)*('CONTROL MASTER'!$AC$2:$AC$495&gt;=2))*ROW('CONTROL MASTER'!$S$2:$S$495))-(ROW('CONTROL MASTER'!#REF!)-1))))*(INDEX('CONTROL MASTER'!$AC$2:$AC$495,(SUMPRODUCT((('CONTROL MASTER'!$S$2:$S$495=10)*('CONTROL MASTER'!$Z$2:$Z$495&lt;=1)*('CONTROL MASTER'!$AB$2:$AB$495&gt;=1)*('CONTROL MASTER'!$AA$2:$AA$495&lt;=2)*('CONTROL MASTER'!$AC$2:$AC$495&gt;=2))*ROW('CONTROL MASTER'!$S$2:$S$495))-(ROW('CONTROL MASTER'!#REF!)-1)))-INDEX('CONTROL MASTER'!$AA$2:$AA$495,(SUMPRODUCT((('CONTROL MASTER'!$S$2:$S$495=10)*('CONTROL MASTER'!$Z$2:$Z$495&lt;=1)*('CONTROL MASTER'!$AB$2:$AB$495&gt;=1)*('CONTROL MASTER'!$AA$2:$AA$495&lt;=2)*('CONTROL MASTER'!$AC$2:$AC$495&gt;=2))*ROW('CONTROL MASTER'!$S$2:$S$495))-(ROW('CONTROL MASTER'!#REF!)-1)))+1)+(2-INDEX('CONTROL MASTER'!$AA$2:$AA$495,(SUMPRODUCT((('CONTROL MASTER'!$S$2:$S$495=10)*('CONTROL MASTER'!$Z$2:$Z$495&lt;=1)*('CONTROL MASTER'!$AB$2:$AB$495&gt;=1)*('CONTROL MASTER'!$AA$2:$AA$495&lt;=2)*('CONTROL MASTER'!$AC$2:$AC$495&gt;=2))*ROW('CONTROL MASTER'!$S$2:$S$495))-(ROW('CONTROL MASTER'!#REF!)-1))))+1)))-1)*50+1,50))&amp;"_"&amp;INDEX('CONTROL MASTER'!$P$2:$P$495,(SUMPRODUCT((('CONTROL MASTER'!$S$2:$S$495=10)*('CONTROL MASTER'!$Z$2:$Z$495&lt;=1)*('CONTROL MASTER'!$AB$2:$AB$495&gt;=1)*('CONTROL MASTER'!$AA$2:$AA$495&lt;=2)*('CONTROL MASTER'!$AC$2:$AC$495&gt;=2))*ROW('CONTROL MASTER'!$S$2:$S$495))-(ROW('CONTROL MASTER'!#REF!)-1))),"")),"")</f>
        <v/>
      </c>
      <c r="D129" s="10" t="str">
        <f>IFERROR(IF(SUMPRODUCT((('CONTROL MASTER'!$S$2:$S$495=10)*('CONTROL MASTER'!$T$2:$T$495&lt;=1)*('CONTROL MASTER'!$V$2:$V$495&gt;=1)*('CONTROL MASTER'!$U$2:$U$495&lt;=3)*('CONTROL MASTER'!$W$2:$W$495&gt;=3))*ROW('CONTROL MASTER'!$S$2:$S$495))&gt;0,INDEX('CONTROL MASTER'!$X$2:$X$495,(SUMPRODUCT((('CONTROL MASTER'!$S$2:$S$495=10)*('CONTROL MASTER'!$T$2:$T$495&lt;=1)*('CONTROL MASTER'!$V$2:$V$495&gt;=1)*('CONTROL MASTER'!$U$2:$U$495&lt;=3)*('CONTROL MASTER'!$W$2:$W$495&gt;=3))*ROW('CONTROL MASTER'!$S$2:$S$495))-(ROW('CONTROL MASTER'!#REF!)-1)))&amp;TRIM(MID(SUBSTITUTE(SUBSTITUTE(INDEX('CONTROL MASTER'!$N$2:$N$495,(SUMPRODUCT((('CONTROL MASTER'!$S$2:$S$495=10)*('CONTROL MASTER'!$T$2:$T$495&lt;=1)*('CONTROL MASTER'!$V$2:$V$495&gt;=1)*('CONTROL MASTER'!$U$2:$U$495&lt;=3)*('CONTROL MASTER'!$W$2:$W$495&gt;=3))*ROW('CONTROL MASTER'!$S$2:$S$495))-(ROW('CONTROL MASTER'!#REF!)-1))),":",","),",",REPT(" ",50)),((((1-INDEX('CONTROL MASTER'!$T$2:$T$495,(SUMPRODUCT((('CONTROL MASTER'!$S$2:$S$495=10)*('CONTROL MASTER'!$T$2:$T$495&lt;=1)*('CONTROL MASTER'!$V$2:$V$495&gt;=1)*('CONTROL MASTER'!$U$2:$U$495&lt;=3)*('CONTROL MASTER'!$W$2:$W$495&gt;=3))*ROW('CONTROL MASTER'!$S$2:$S$495))-(ROW('CONTROL MASTER'!#REF!)-1))))*(INDEX('CONTROL MASTER'!$W$2:$W$495,(SUMPRODUCT((('CONTROL MASTER'!$S$2:$S$495=10)*('CONTROL MASTER'!$T$2:$T$495&lt;=1)*('CONTROL MASTER'!$V$2:$V$495&gt;=1)*('CONTROL MASTER'!$U$2:$U$495&lt;=3)*('CONTROL MASTER'!$W$2:$W$495&gt;=3))*ROW('CONTROL MASTER'!$S$2:$S$495))-(ROW('CONTROL MASTER'!#REF!)-1)))-INDEX('CONTROL MASTER'!$U$2:$U$495,(SUMPRODUCT((('CONTROL MASTER'!$S$2:$S$495=10)*('CONTROL MASTER'!$T$2:$T$495&lt;=1)*('CONTROL MASTER'!$V$2:$V$495&gt;=1)*('CONTROL MASTER'!$U$2:$U$495&lt;=3)*('CONTROL MASTER'!$W$2:$W$495&gt;=3))*ROW('CONTROL MASTER'!$S$2:$S$495))-(ROW('CONTROL MASTER'!#REF!)-1)))+1)+(3-INDEX('CONTROL MASTER'!$U$2:$U$495,(SUMPRODUCT((('CONTROL MASTER'!$S$2:$S$495=10)*('CONTROL MASTER'!$T$2:$T$495&lt;=1)*('CONTROL MASTER'!$V$2:$V$495&gt;=1)*('CONTROL MASTER'!$U$2:$U$495&lt;=3)*('CONTROL MASTER'!$W$2:$W$495&gt;=3))*ROW('CONTROL MASTER'!$S$2:$S$495))-(ROW('CONTROL MASTER'!#REF!)-1))))+1))-1)*50+1,50))&amp;"_"&amp;INDEX('CONTROL MASTER'!$P$2:$P$495,(SUMPRODUCT((('CONTROL MASTER'!$S$2:$S$495=10)*('CONTROL MASTER'!$T$2:$T$495&lt;=1)*('CONTROL MASTER'!$V$2:$V$495&gt;=1)*('CONTROL MASTER'!$U$2:$U$495&lt;=3)*('CONTROL MASTER'!$W$2:$W$495&gt;=3))*ROW('CONTROL MASTER'!$S$2:$S$495))-(ROW('CONTROL MASTER'!#REF!)-1))),IF(SUMPRODUCT((('CONTROL MASTER'!$S$2:$S$495=10)*('CONTROL MASTER'!$Z$2:$Z$495&lt;=1)*('CONTROL MASTER'!$AB$2:$AB$495&gt;=1)*('CONTROL MASTER'!$AA$2:$AA$495&lt;=3)*('CONTROL MASTER'!$AC$2:$AC$495&gt;=3))*ROW('CONTROL MASTER'!$S$2:$S$495))&gt;0,INDEX('CONTROL MASTER'!$X$2:$X$495,(SUMPRODUCT((('CONTROL MASTER'!$S$2:$S$495=10)*('CONTROL MASTER'!$Z$2:$Z$495&lt;=1)*('CONTROL MASTER'!$AB$2:$AB$495&gt;=1)*('CONTROL MASTER'!$AA$2:$AA$495&lt;=3)*('CONTROL MASTER'!$AC$2:$AC$495&gt;=3))*ROW('CONTROL MASTER'!$S$2:$S$495))-(ROW('CONTROL MASTER'!#REF!)-1)))&amp;TRIM(MID(SUBSTITUTE(SUBSTITUTE(INDEX('CONTROL MASTER'!$N$2:$N$495,(SUMPRODUCT((('CONTROL MASTER'!$S$2:$S$495=10)*('CONTROL MASTER'!$Z$2:$Z$495&lt;=1)*('CONTROL MASTER'!$AB$2:$AB$495&gt;=1)*('CONTROL MASTER'!$AA$2:$AA$495&lt;=3)*('CONTROL MASTER'!$AC$2:$AC$495&gt;=3))*ROW('CONTROL MASTER'!$S$2:$S$495))-(ROW('CONTROL MASTER'!#REF!)-1))),":",","),",",REPT(" ",50)),(((INDEX('CONTROL MASTER'!$Y$2:$Y$495,(SUMPRODUCT((('CONTROL MASTER'!$S$2:$S$495=10)*('CONTROL MASTER'!$Z$2:$Z$495&lt;=1)*('CONTROL MASTER'!$AB$2:$AB$495&gt;=1)*('CONTROL MASTER'!$AA$2:$AA$495&lt;=3)*('CONTROL MASTER'!$AC$2:$AC$495&gt;=3))*ROW('CONTROL MASTER'!$S$2:$S$495))-(ROW('CONTROL MASTER'!#REF!)-1)))+((1-INDEX('CONTROL MASTER'!$Z$2:$Z$495,(SUMPRODUCT((('CONTROL MASTER'!$S$2:$S$495=10)*('CONTROL MASTER'!$Z$2:$Z$495&lt;=1)*('CONTROL MASTER'!$AB$2:$AB$495&gt;=1)*('CONTROL MASTER'!$AA$2:$AA$495&lt;=3)*('CONTROL MASTER'!$AC$2:$AC$495&gt;=3))*ROW('CONTROL MASTER'!$S$2:$S$495))-(ROW('CONTROL MASTER'!#REF!)-1))))*(INDEX('CONTROL MASTER'!$AC$2:$AC$495,(SUMPRODUCT((('CONTROL MASTER'!$S$2:$S$495=10)*('CONTROL MASTER'!$Z$2:$Z$495&lt;=1)*('CONTROL MASTER'!$AB$2:$AB$495&gt;=1)*('CONTROL MASTER'!$AA$2:$AA$495&lt;=3)*('CONTROL MASTER'!$AC$2:$AC$495&gt;=3))*ROW('CONTROL MASTER'!$S$2:$S$495))-(ROW('CONTROL MASTER'!#REF!)-1)))-INDEX('CONTROL MASTER'!$AA$2:$AA$495,(SUMPRODUCT((('CONTROL MASTER'!$S$2:$S$495=10)*('CONTROL MASTER'!$Z$2:$Z$495&lt;=1)*('CONTROL MASTER'!$AB$2:$AB$495&gt;=1)*('CONTROL MASTER'!$AA$2:$AA$495&lt;=3)*('CONTROL MASTER'!$AC$2:$AC$495&gt;=3))*ROW('CONTROL MASTER'!$S$2:$S$495))-(ROW('CONTROL MASTER'!#REF!)-1)))+1)+(3-INDEX('CONTROL MASTER'!$AA$2:$AA$495,(SUMPRODUCT((('CONTROL MASTER'!$S$2:$S$495=10)*('CONTROL MASTER'!$Z$2:$Z$495&lt;=1)*('CONTROL MASTER'!$AB$2:$AB$495&gt;=1)*('CONTROL MASTER'!$AA$2:$AA$495&lt;=3)*('CONTROL MASTER'!$AC$2:$AC$495&gt;=3))*ROW('CONTROL MASTER'!$S$2:$S$495))-(ROW('CONTROL MASTER'!#REF!)-1))))+1)))-1)*50+1,50))&amp;"_"&amp;INDEX('CONTROL MASTER'!$P$2:$P$495,(SUMPRODUCT((('CONTROL MASTER'!$S$2:$S$495=10)*('CONTROL MASTER'!$Z$2:$Z$495&lt;=1)*('CONTROL MASTER'!$AB$2:$AB$495&gt;=1)*('CONTROL MASTER'!$AA$2:$AA$495&lt;=3)*('CONTROL MASTER'!$AC$2:$AC$495&gt;=3))*ROW('CONTROL MASTER'!$S$2:$S$495))-(ROW('CONTROL MASTER'!#REF!)-1))),"")),"")</f>
        <v/>
      </c>
      <c r="E129" s="10" t="str">
        <f>IFERROR(IF(SUMPRODUCT((('CONTROL MASTER'!$S$2:$S$495=10)*('CONTROL MASTER'!$T$2:$T$495&lt;=1)*('CONTROL MASTER'!$V$2:$V$495&gt;=1)*('CONTROL MASTER'!$U$2:$U$495&lt;=4)*('CONTROL MASTER'!$W$2:$W$495&gt;=4))*ROW('CONTROL MASTER'!$S$2:$S$495))&gt;0,INDEX('CONTROL MASTER'!$X$2:$X$495,(SUMPRODUCT((('CONTROL MASTER'!$S$2:$S$495=10)*('CONTROL MASTER'!$T$2:$T$495&lt;=1)*('CONTROL MASTER'!$V$2:$V$495&gt;=1)*('CONTROL MASTER'!$U$2:$U$495&lt;=4)*('CONTROL MASTER'!$W$2:$W$495&gt;=4))*ROW('CONTROL MASTER'!$S$2:$S$495))-(ROW('CONTROL MASTER'!#REF!)-1)))&amp;TRIM(MID(SUBSTITUTE(SUBSTITUTE(INDEX('CONTROL MASTER'!$N$2:$N$495,(SUMPRODUCT((('CONTROL MASTER'!$S$2:$S$495=10)*('CONTROL MASTER'!$T$2:$T$495&lt;=1)*('CONTROL MASTER'!$V$2:$V$495&gt;=1)*('CONTROL MASTER'!$U$2:$U$495&lt;=4)*('CONTROL MASTER'!$W$2:$W$495&gt;=4))*ROW('CONTROL MASTER'!$S$2:$S$495))-(ROW('CONTROL MASTER'!#REF!)-1))),":",","),",",REPT(" ",50)),((((1-INDEX('CONTROL MASTER'!$T$2:$T$495,(SUMPRODUCT((('CONTROL MASTER'!$S$2:$S$495=10)*('CONTROL MASTER'!$T$2:$T$495&lt;=1)*('CONTROL MASTER'!$V$2:$V$495&gt;=1)*('CONTROL MASTER'!$U$2:$U$495&lt;=4)*('CONTROL MASTER'!$W$2:$W$495&gt;=4))*ROW('CONTROL MASTER'!$S$2:$S$495))-(ROW('CONTROL MASTER'!#REF!)-1))))*(INDEX('CONTROL MASTER'!$W$2:$W$495,(SUMPRODUCT((('CONTROL MASTER'!$S$2:$S$495=10)*('CONTROL MASTER'!$T$2:$T$495&lt;=1)*('CONTROL MASTER'!$V$2:$V$495&gt;=1)*('CONTROL MASTER'!$U$2:$U$495&lt;=4)*('CONTROL MASTER'!$W$2:$W$495&gt;=4))*ROW('CONTROL MASTER'!$S$2:$S$495))-(ROW('CONTROL MASTER'!#REF!)-1)))-INDEX('CONTROL MASTER'!$U$2:$U$495,(SUMPRODUCT((('CONTROL MASTER'!$S$2:$S$495=10)*('CONTROL MASTER'!$T$2:$T$495&lt;=1)*('CONTROL MASTER'!$V$2:$V$495&gt;=1)*('CONTROL MASTER'!$U$2:$U$495&lt;=4)*('CONTROL MASTER'!$W$2:$W$495&gt;=4))*ROW('CONTROL MASTER'!$S$2:$S$495))-(ROW('CONTROL MASTER'!#REF!)-1)))+1)+(4-INDEX('CONTROL MASTER'!$U$2:$U$495,(SUMPRODUCT((('CONTROL MASTER'!$S$2:$S$495=10)*('CONTROL MASTER'!$T$2:$T$495&lt;=1)*('CONTROL MASTER'!$V$2:$V$495&gt;=1)*('CONTROL MASTER'!$U$2:$U$495&lt;=4)*('CONTROL MASTER'!$W$2:$W$495&gt;=4))*ROW('CONTROL MASTER'!$S$2:$S$495))-(ROW('CONTROL MASTER'!#REF!)-1))))+1))-1)*50+1,50))&amp;"_"&amp;INDEX('CONTROL MASTER'!$P$2:$P$495,(SUMPRODUCT((('CONTROL MASTER'!$S$2:$S$495=10)*('CONTROL MASTER'!$T$2:$T$495&lt;=1)*('CONTROL MASTER'!$V$2:$V$495&gt;=1)*('CONTROL MASTER'!$U$2:$U$495&lt;=4)*('CONTROL MASTER'!$W$2:$W$495&gt;=4))*ROW('CONTROL MASTER'!$S$2:$S$495))-(ROW('CONTROL MASTER'!#REF!)-1))),IF(SUMPRODUCT((('CONTROL MASTER'!$S$2:$S$495=10)*('CONTROL MASTER'!$Z$2:$Z$495&lt;=1)*('CONTROL MASTER'!$AB$2:$AB$495&gt;=1)*('CONTROL MASTER'!$AA$2:$AA$495&lt;=4)*('CONTROL MASTER'!$AC$2:$AC$495&gt;=4))*ROW('CONTROL MASTER'!$S$2:$S$495))&gt;0,INDEX('CONTROL MASTER'!$X$2:$X$495,(SUMPRODUCT((('CONTROL MASTER'!$S$2:$S$495=10)*('CONTROL MASTER'!$Z$2:$Z$495&lt;=1)*('CONTROL MASTER'!$AB$2:$AB$495&gt;=1)*('CONTROL MASTER'!$AA$2:$AA$495&lt;=4)*('CONTROL MASTER'!$AC$2:$AC$495&gt;=4))*ROW('CONTROL MASTER'!$S$2:$S$495))-(ROW('CONTROL MASTER'!#REF!)-1)))&amp;TRIM(MID(SUBSTITUTE(SUBSTITUTE(INDEX('CONTROL MASTER'!$N$2:$N$495,(SUMPRODUCT((('CONTROL MASTER'!$S$2:$S$495=10)*('CONTROL MASTER'!$Z$2:$Z$495&lt;=1)*('CONTROL MASTER'!$AB$2:$AB$495&gt;=1)*('CONTROL MASTER'!$AA$2:$AA$495&lt;=4)*('CONTROL MASTER'!$AC$2:$AC$495&gt;=4))*ROW('CONTROL MASTER'!$S$2:$S$495))-(ROW('CONTROL MASTER'!#REF!)-1))),":",","),",",REPT(" ",50)),(((INDEX('CONTROL MASTER'!$Y$2:$Y$495,(SUMPRODUCT((('CONTROL MASTER'!$S$2:$S$495=10)*('CONTROL MASTER'!$Z$2:$Z$495&lt;=1)*('CONTROL MASTER'!$AB$2:$AB$495&gt;=1)*('CONTROL MASTER'!$AA$2:$AA$495&lt;=4)*('CONTROL MASTER'!$AC$2:$AC$495&gt;=4))*ROW('CONTROL MASTER'!$S$2:$S$495))-(ROW('CONTROL MASTER'!#REF!)-1)))+((1-INDEX('CONTROL MASTER'!$Z$2:$Z$495,(SUMPRODUCT((('CONTROL MASTER'!$S$2:$S$495=10)*('CONTROL MASTER'!$Z$2:$Z$495&lt;=1)*('CONTROL MASTER'!$AB$2:$AB$495&gt;=1)*('CONTROL MASTER'!$AA$2:$AA$495&lt;=4)*('CONTROL MASTER'!$AC$2:$AC$495&gt;=4))*ROW('CONTROL MASTER'!$S$2:$S$495))-(ROW('CONTROL MASTER'!#REF!)-1))))*(INDEX('CONTROL MASTER'!$AC$2:$AC$495,(SUMPRODUCT((('CONTROL MASTER'!$S$2:$S$495=10)*('CONTROL MASTER'!$Z$2:$Z$495&lt;=1)*('CONTROL MASTER'!$AB$2:$AB$495&gt;=1)*('CONTROL MASTER'!$AA$2:$AA$495&lt;=4)*('CONTROL MASTER'!$AC$2:$AC$495&gt;=4))*ROW('CONTROL MASTER'!$S$2:$S$495))-(ROW('CONTROL MASTER'!#REF!)-1)))-INDEX('CONTROL MASTER'!$AA$2:$AA$495,(SUMPRODUCT((('CONTROL MASTER'!$S$2:$S$495=10)*('CONTROL MASTER'!$Z$2:$Z$495&lt;=1)*('CONTROL MASTER'!$AB$2:$AB$495&gt;=1)*('CONTROL MASTER'!$AA$2:$AA$495&lt;=4)*('CONTROL MASTER'!$AC$2:$AC$495&gt;=4))*ROW('CONTROL MASTER'!$S$2:$S$495))-(ROW('CONTROL MASTER'!#REF!)-1)))+1)+(4-INDEX('CONTROL MASTER'!$AA$2:$AA$495,(SUMPRODUCT((('CONTROL MASTER'!$S$2:$S$495=10)*('CONTROL MASTER'!$Z$2:$Z$495&lt;=1)*('CONTROL MASTER'!$AB$2:$AB$495&gt;=1)*('CONTROL MASTER'!$AA$2:$AA$495&lt;=4)*('CONTROL MASTER'!$AC$2:$AC$495&gt;=4))*ROW('CONTROL MASTER'!$S$2:$S$495))-(ROW('CONTROL MASTER'!#REF!)-1))))+1)))-1)*50+1,50))&amp;"_"&amp;INDEX('CONTROL MASTER'!$P$2:$P$495,(SUMPRODUCT((('CONTROL MASTER'!$S$2:$S$495=10)*('CONTROL MASTER'!$Z$2:$Z$495&lt;=1)*('CONTROL MASTER'!$AB$2:$AB$495&gt;=1)*('CONTROL MASTER'!$AA$2:$AA$495&lt;=4)*('CONTROL MASTER'!$AC$2:$AC$495&gt;=4))*ROW('CONTROL MASTER'!$S$2:$S$495))-(ROW('CONTROL MASTER'!#REF!)-1))),"")),"")</f>
        <v/>
      </c>
      <c r="F129" s="10" t="str">
        <f>IFERROR(IF(SUMPRODUCT((('CONTROL MASTER'!$S$2:$S$495=10)*('CONTROL MASTER'!$T$2:$T$495&lt;=1)*('CONTROL MASTER'!$V$2:$V$495&gt;=1)*('CONTROL MASTER'!$U$2:$U$495&lt;=5)*('CONTROL MASTER'!$W$2:$W$495&gt;=5))*ROW('CONTROL MASTER'!$S$2:$S$495))&gt;0,INDEX('CONTROL MASTER'!$X$2:$X$495,(SUMPRODUCT((('CONTROL MASTER'!$S$2:$S$495=10)*('CONTROL MASTER'!$T$2:$T$495&lt;=1)*('CONTROL MASTER'!$V$2:$V$495&gt;=1)*('CONTROL MASTER'!$U$2:$U$495&lt;=5)*('CONTROL MASTER'!$W$2:$W$495&gt;=5))*ROW('CONTROL MASTER'!$S$2:$S$495))-(ROW('CONTROL MASTER'!#REF!)-1)))&amp;TRIM(MID(SUBSTITUTE(SUBSTITUTE(INDEX('CONTROL MASTER'!$N$2:$N$495,(SUMPRODUCT((('CONTROL MASTER'!$S$2:$S$495=10)*('CONTROL MASTER'!$T$2:$T$495&lt;=1)*('CONTROL MASTER'!$V$2:$V$495&gt;=1)*('CONTROL MASTER'!$U$2:$U$495&lt;=5)*('CONTROL MASTER'!$W$2:$W$495&gt;=5))*ROW('CONTROL MASTER'!$S$2:$S$495))-(ROW('CONTROL MASTER'!#REF!)-1))),":",","),",",REPT(" ",50)),((((1-INDEX('CONTROL MASTER'!$T$2:$T$495,(SUMPRODUCT((('CONTROL MASTER'!$S$2:$S$495=10)*('CONTROL MASTER'!$T$2:$T$495&lt;=1)*('CONTROL MASTER'!$V$2:$V$495&gt;=1)*('CONTROL MASTER'!$U$2:$U$495&lt;=5)*('CONTROL MASTER'!$W$2:$W$495&gt;=5))*ROW('CONTROL MASTER'!$S$2:$S$495))-(ROW('CONTROL MASTER'!#REF!)-1))))*(INDEX('CONTROL MASTER'!$W$2:$W$495,(SUMPRODUCT((('CONTROL MASTER'!$S$2:$S$495=10)*('CONTROL MASTER'!$T$2:$T$495&lt;=1)*('CONTROL MASTER'!$V$2:$V$495&gt;=1)*('CONTROL MASTER'!$U$2:$U$495&lt;=5)*('CONTROL MASTER'!$W$2:$W$495&gt;=5))*ROW('CONTROL MASTER'!$S$2:$S$495))-(ROW('CONTROL MASTER'!#REF!)-1)))-INDEX('CONTROL MASTER'!$U$2:$U$495,(SUMPRODUCT((('CONTROL MASTER'!$S$2:$S$495=10)*('CONTROL MASTER'!$T$2:$T$495&lt;=1)*('CONTROL MASTER'!$V$2:$V$495&gt;=1)*('CONTROL MASTER'!$U$2:$U$495&lt;=5)*('CONTROL MASTER'!$W$2:$W$495&gt;=5))*ROW('CONTROL MASTER'!$S$2:$S$495))-(ROW('CONTROL MASTER'!#REF!)-1)))+1)+(5-INDEX('CONTROL MASTER'!$U$2:$U$495,(SUMPRODUCT((('CONTROL MASTER'!$S$2:$S$495=10)*('CONTROL MASTER'!$T$2:$T$495&lt;=1)*('CONTROL MASTER'!$V$2:$V$495&gt;=1)*('CONTROL MASTER'!$U$2:$U$495&lt;=5)*('CONTROL MASTER'!$W$2:$W$495&gt;=5))*ROW('CONTROL MASTER'!$S$2:$S$495))-(ROW('CONTROL MASTER'!#REF!)-1))))+1))-1)*50+1,50))&amp;"_"&amp;INDEX('CONTROL MASTER'!$P$2:$P$495,(SUMPRODUCT((('CONTROL MASTER'!$S$2:$S$495=10)*('CONTROL MASTER'!$T$2:$T$495&lt;=1)*('CONTROL MASTER'!$V$2:$V$495&gt;=1)*('CONTROL MASTER'!$U$2:$U$495&lt;=5)*('CONTROL MASTER'!$W$2:$W$495&gt;=5))*ROW('CONTROL MASTER'!$S$2:$S$495))-(ROW('CONTROL MASTER'!#REF!)-1))),IF(SUMPRODUCT((('CONTROL MASTER'!$S$2:$S$495=10)*('CONTROL MASTER'!$Z$2:$Z$495&lt;=1)*('CONTROL MASTER'!$AB$2:$AB$495&gt;=1)*('CONTROL MASTER'!$AA$2:$AA$495&lt;=5)*('CONTROL MASTER'!$AC$2:$AC$495&gt;=5))*ROW('CONTROL MASTER'!$S$2:$S$495))&gt;0,INDEX('CONTROL MASTER'!$X$2:$X$495,(SUMPRODUCT((('CONTROL MASTER'!$S$2:$S$495=10)*('CONTROL MASTER'!$Z$2:$Z$495&lt;=1)*('CONTROL MASTER'!$AB$2:$AB$495&gt;=1)*('CONTROL MASTER'!$AA$2:$AA$495&lt;=5)*('CONTROL MASTER'!$AC$2:$AC$495&gt;=5))*ROW('CONTROL MASTER'!$S$2:$S$495))-(ROW('CONTROL MASTER'!#REF!)-1)))&amp;TRIM(MID(SUBSTITUTE(SUBSTITUTE(INDEX('CONTROL MASTER'!$N$2:$N$495,(SUMPRODUCT((('CONTROL MASTER'!$S$2:$S$495=10)*('CONTROL MASTER'!$Z$2:$Z$495&lt;=1)*('CONTROL MASTER'!$AB$2:$AB$495&gt;=1)*('CONTROL MASTER'!$AA$2:$AA$495&lt;=5)*('CONTROL MASTER'!$AC$2:$AC$495&gt;=5))*ROW('CONTROL MASTER'!$S$2:$S$495))-(ROW('CONTROL MASTER'!#REF!)-1))),":",","),",",REPT(" ",50)),(((INDEX('CONTROL MASTER'!$Y$2:$Y$495,(SUMPRODUCT((('CONTROL MASTER'!$S$2:$S$495=10)*('CONTROL MASTER'!$Z$2:$Z$495&lt;=1)*('CONTROL MASTER'!$AB$2:$AB$495&gt;=1)*('CONTROL MASTER'!$AA$2:$AA$495&lt;=5)*('CONTROL MASTER'!$AC$2:$AC$495&gt;=5))*ROW('CONTROL MASTER'!$S$2:$S$495))-(ROW('CONTROL MASTER'!#REF!)-1)))+((1-INDEX('CONTROL MASTER'!$Z$2:$Z$495,(SUMPRODUCT((('CONTROL MASTER'!$S$2:$S$495=10)*('CONTROL MASTER'!$Z$2:$Z$495&lt;=1)*('CONTROL MASTER'!$AB$2:$AB$495&gt;=1)*('CONTROL MASTER'!$AA$2:$AA$495&lt;=5)*('CONTROL MASTER'!$AC$2:$AC$495&gt;=5))*ROW('CONTROL MASTER'!$S$2:$S$495))-(ROW('CONTROL MASTER'!#REF!)-1))))*(INDEX('CONTROL MASTER'!$AC$2:$AC$495,(SUMPRODUCT((('CONTROL MASTER'!$S$2:$S$495=10)*('CONTROL MASTER'!$Z$2:$Z$495&lt;=1)*('CONTROL MASTER'!$AB$2:$AB$495&gt;=1)*('CONTROL MASTER'!$AA$2:$AA$495&lt;=5)*('CONTROL MASTER'!$AC$2:$AC$495&gt;=5))*ROW('CONTROL MASTER'!$S$2:$S$495))-(ROW('CONTROL MASTER'!#REF!)-1)))-INDEX('CONTROL MASTER'!$AA$2:$AA$495,(SUMPRODUCT((('CONTROL MASTER'!$S$2:$S$495=10)*('CONTROL MASTER'!$Z$2:$Z$495&lt;=1)*('CONTROL MASTER'!$AB$2:$AB$495&gt;=1)*('CONTROL MASTER'!$AA$2:$AA$495&lt;=5)*('CONTROL MASTER'!$AC$2:$AC$495&gt;=5))*ROW('CONTROL MASTER'!$S$2:$S$495))-(ROW('CONTROL MASTER'!#REF!)-1)))+1)+(5-INDEX('CONTROL MASTER'!$AA$2:$AA$495,(SUMPRODUCT((('CONTROL MASTER'!$S$2:$S$495=10)*('CONTROL MASTER'!$Z$2:$Z$495&lt;=1)*('CONTROL MASTER'!$AB$2:$AB$495&gt;=1)*('CONTROL MASTER'!$AA$2:$AA$495&lt;=5)*('CONTROL MASTER'!$AC$2:$AC$495&gt;=5))*ROW('CONTROL MASTER'!$S$2:$S$495))-(ROW('CONTROL MASTER'!#REF!)-1))))+1)))-1)*50+1,50))&amp;"_"&amp;INDEX('CONTROL MASTER'!$P$2:$P$495,(SUMPRODUCT((('CONTROL MASTER'!$S$2:$S$495=10)*('CONTROL MASTER'!$Z$2:$Z$495&lt;=1)*('CONTROL MASTER'!$AB$2:$AB$495&gt;=1)*('CONTROL MASTER'!$AA$2:$AA$495&lt;=5)*('CONTROL MASTER'!$AC$2:$AC$495&gt;=5))*ROW('CONTROL MASTER'!$S$2:$S$495))-(ROW('CONTROL MASTER'!#REF!)-1))),"")),"")</f>
        <v/>
      </c>
      <c r="G129" s="10" t="str">
        <f>IFERROR(IF(SUMPRODUCT((('CONTROL MASTER'!$S$2:$S$495=10)*('CONTROL MASTER'!$T$2:$T$495&lt;=1)*('CONTROL MASTER'!$V$2:$V$495&gt;=1)*('CONTROL MASTER'!$U$2:$U$495&lt;=6)*('CONTROL MASTER'!$W$2:$W$495&gt;=6))*ROW('CONTROL MASTER'!$S$2:$S$495))&gt;0,INDEX('CONTROL MASTER'!$X$2:$X$495,(SUMPRODUCT((('CONTROL MASTER'!$S$2:$S$495=10)*('CONTROL MASTER'!$T$2:$T$495&lt;=1)*('CONTROL MASTER'!$V$2:$V$495&gt;=1)*('CONTROL MASTER'!$U$2:$U$495&lt;=6)*('CONTROL MASTER'!$W$2:$W$495&gt;=6))*ROW('CONTROL MASTER'!$S$2:$S$495))-(ROW('CONTROL MASTER'!#REF!)-1)))&amp;TRIM(MID(SUBSTITUTE(SUBSTITUTE(INDEX('CONTROL MASTER'!$N$2:$N$495,(SUMPRODUCT((('CONTROL MASTER'!$S$2:$S$495=10)*('CONTROL MASTER'!$T$2:$T$495&lt;=1)*('CONTROL MASTER'!$V$2:$V$495&gt;=1)*('CONTROL MASTER'!$U$2:$U$495&lt;=6)*('CONTROL MASTER'!$W$2:$W$495&gt;=6))*ROW('CONTROL MASTER'!$S$2:$S$495))-(ROW('CONTROL MASTER'!#REF!)-1))),":",","),",",REPT(" ",50)),((((1-INDEX('CONTROL MASTER'!$T$2:$T$495,(SUMPRODUCT((('CONTROL MASTER'!$S$2:$S$495=10)*('CONTROL MASTER'!$T$2:$T$495&lt;=1)*('CONTROL MASTER'!$V$2:$V$495&gt;=1)*('CONTROL MASTER'!$U$2:$U$495&lt;=6)*('CONTROL MASTER'!$W$2:$W$495&gt;=6))*ROW('CONTROL MASTER'!$S$2:$S$495))-(ROW('CONTROL MASTER'!#REF!)-1))))*(INDEX('CONTROL MASTER'!$W$2:$W$495,(SUMPRODUCT((('CONTROL MASTER'!$S$2:$S$495=10)*('CONTROL MASTER'!$T$2:$T$495&lt;=1)*('CONTROL MASTER'!$V$2:$V$495&gt;=1)*('CONTROL MASTER'!$U$2:$U$495&lt;=6)*('CONTROL MASTER'!$W$2:$W$495&gt;=6))*ROW('CONTROL MASTER'!$S$2:$S$495))-(ROW('CONTROL MASTER'!#REF!)-1)))-INDEX('CONTROL MASTER'!$U$2:$U$495,(SUMPRODUCT((('CONTROL MASTER'!$S$2:$S$495=10)*('CONTROL MASTER'!$T$2:$T$495&lt;=1)*('CONTROL MASTER'!$V$2:$V$495&gt;=1)*('CONTROL MASTER'!$U$2:$U$495&lt;=6)*('CONTROL MASTER'!$W$2:$W$495&gt;=6))*ROW('CONTROL MASTER'!$S$2:$S$495))-(ROW('CONTROL MASTER'!#REF!)-1)))+1)+(6-INDEX('CONTROL MASTER'!$U$2:$U$495,(SUMPRODUCT((('CONTROL MASTER'!$S$2:$S$495=10)*('CONTROL MASTER'!$T$2:$T$495&lt;=1)*('CONTROL MASTER'!$V$2:$V$495&gt;=1)*('CONTROL MASTER'!$U$2:$U$495&lt;=6)*('CONTROL MASTER'!$W$2:$W$495&gt;=6))*ROW('CONTROL MASTER'!$S$2:$S$495))-(ROW('CONTROL MASTER'!#REF!)-1))))+1))-1)*50+1,50))&amp;"_"&amp;INDEX('CONTROL MASTER'!$P$2:$P$495,(SUMPRODUCT((('CONTROL MASTER'!$S$2:$S$495=10)*('CONTROL MASTER'!$T$2:$T$495&lt;=1)*('CONTROL MASTER'!$V$2:$V$495&gt;=1)*('CONTROL MASTER'!$U$2:$U$495&lt;=6)*('CONTROL MASTER'!$W$2:$W$495&gt;=6))*ROW('CONTROL MASTER'!$S$2:$S$495))-(ROW('CONTROL MASTER'!#REF!)-1))),IF(SUMPRODUCT((('CONTROL MASTER'!$S$2:$S$495=10)*('CONTROL MASTER'!$Z$2:$Z$495&lt;=1)*('CONTROL MASTER'!$AB$2:$AB$495&gt;=1)*('CONTROL MASTER'!$AA$2:$AA$495&lt;=6)*('CONTROL MASTER'!$AC$2:$AC$495&gt;=6))*ROW('CONTROL MASTER'!$S$2:$S$495))&gt;0,INDEX('CONTROL MASTER'!$X$2:$X$495,(SUMPRODUCT((('CONTROL MASTER'!$S$2:$S$495=10)*('CONTROL MASTER'!$Z$2:$Z$495&lt;=1)*('CONTROL MASTER'!$AB$2:$AB$495&gt;=1)*('CONTROL MASTER'!$AA$2:$AA$495&lt;=6)*('CONTROL MASTER'!$AC$2:$AC$495&gt;=6))*ROW('CONTROL MASTER'!$S$2:$S$495))-(ROW('CONTROL MASTER'!#REF!)-1)))&amp;TRIM(MID(SUBSTITUTE(SUBSTITUTE(INDEX('CONTROL MASTER'!$N$2:$N$495,(SUMPRODUCT((('CONTROL MASTER'!$S$2:$S$495=10)*('CONTROL MASTER'!$Z$2:$Z$495&lt;=1)*('CONTROL MASTER'!$AB$2:$AB$495&gt;=1)*('CONTROL MASTER'!$AA$2:$AA$495&lt;=6)*('CONTROL MASTER'!$AC$2:$AC$495&gt;=6))*ROW('CONTROL MASTER'!$S$2:$S$495))-(ROW('CONTROL MASTER'!#REF!)-1))),":",","),",",REPT(" ",50)),(((INDEX('CONTROL MASTER'!$Y$2:$Y$495,(SUMPRODUCT((('CONTROL MASTER'!$S$2:$S$495=10)*('CONTROL MASTER'!$Z$2:$Z$495&lt;=1)*('CONTROL MASTER'!$AB$2:$AB$495&gt;=1)*('CONTROL MASTER'!$AA$2:$AA$495&lt;=6)*('CONTROL MASTER'!$AC$2:$AC$495&gt;=6))*ROW('CONTROL MASTER'!$S$2:$S$495))-(ROW('CONTROL MASTER'!#REF!)-1)))+((1-INDEX('CONTROL MASTER'!$Z$2:$Z$495,(SUMPRODUCT((('CONTROL MASTER'!$S$2:$S$495=10)*('CONTROL MASTER'!$Z$2:$Z$495&lt;=1)*('CONTROL MASTER'!$AB$2:$AB$495&gt;=1)*('CONTROL MASTER'!$AA$2:$AA$495&lt;=6)*('CONTROL MASTER'!$AC$2:$AC$495&gt;=6))*ROW('CONTROL MASTER'!$S$2:$S$495))-(ROW('CONTROL MASTER'!#REF!)-1))))*(INDEX('CONTROL MASTER'!$AC$2:$AC$495,(SUMPRODUCT((('CONTROL MASTER'!$S$2:$S$495=10)*('CONTROL MASTER'!$Z$2:$Z$495&lt;=1)*('CONTROL MASTER'!$AB$2:$AB$495&gt;=1)*('CONTROL MASTER'!$AA$2:$AA$495&lt;=6)*('CONTROL MASTER'!$AC$2:$AC$495&gt;=6))*ROW('CONTROL MASTER'!$S$2:$S$495))-(ROW('CONTROL MASTER'!#REF!)-1)))-INDEX('CONTROL MASTER'!$AA$2:$AA$495,(SUMPRODUCT((('CONTROL MASTER'!$S$2:$S$495=10)*('CONTROL MASTER'!$Z$2:$Z$495&lt;=1)*('CONTROL MASTER'!$AB$2:$AB$495&gt;=1)*('CONTROL MASTER'!$AA$2:$AA$495&lt;=6)*('CONTROL MASTER'!$AC$2:$AC$495&gt;=6))*ROW('CONTROL MASTER'!$S$2:$S$495))-(ROW('CONTROL MASTER'!#REF!)-1)))+1)+(6-INDEX('CONTROL MASTER'!$AA$2:$AA$495,(SUMPRODUCT((('CONTROL MASTER'!$S$2:$S$495=10)*('CONTROL MASTER'!$Z$2:$Z$495&lt;=1)*('CONTROL MASTER'!$AB$2:$AB$495&gt;=1)*('CONTROL MASTER'!$AA$2:$AA$495&lt;=6)*('CONTROL MASTER'!$AC$2:$AC$495&gt;=6))*ROW('CONTROL MASTER'!$S$2:$S$495))-(ROW('CONTROL MASTER'!#REF!)-1))))+1)))-1)*50+1,50))&amp;"_"&amp;INDEX('CONTROL MASTER'!$P$2:$P$495,(SUMPRODUCT((('CONTROL MASTER'!$S$2:$S$495=10)*('CONTROL MASTER'!$Z$2:$Z$495&lt;=1)*('CONTROL MASTER'!$AB$2:$AB$495&gt;=1)*('CONTROL MASTER'!$AA$2:$AA$495&lt;=6)*('CONTROL MASTER'!$AC$2:$AC$495&gt;=6))*ROW('CONTROL MASTER'!$S$2:$S$495))-(ROW('CONTROL MASTER'!#REF!)-1))),"")),"")</f>
        <v/>
      </c>
      <c r="H129" s="10" t="str">
        <f>IFERROR(IF(SUMPRODUCT((('CONTROL MASTER'!$S$2:$S$495=10)*('CONTROL MASTER'!$T$2:$T$495&lt;=1)*('CONTROL MASTER'!$V$2:$V$495&gt;=1)*('CONTROL MASTER'!$U$2:$U$495&lt;=7)*('CONTROL MASTER'!$W$2:$W$495&gt;=7))*ROW('CONTROL MASTER'!$S$2:$S$495))&gt;0,INDEX('CONTROL MASTER'!$X$2:$X$495,(SUMPRODUCT((('CONTROL MASTER'!$S$2:$S$495=10)*('CONTROL MASTER'!$T$2:$T$495&lt;=1)*('CONTROL MASTER'!$V$2:$V$495&gt;=1)*('CONTROL MASTER'!$U$2:$U$495&lt;=7)*('CONTROL MASTER'!$W$2:$W$495&gt;=7))*ROW('CONTROL MASTER'!$S$2:$S$495))-(ROW('CONTROL MASTER'!#REF!)-1)))&amp;TRIM(MID(SUBSTITUTE(SUBSTITUTE(INDEX('CONTROL MASTER'!$N$2:$N$495,(SUMPRODUCT((('CONTROL MASTER'!$S$2:$S$495=10)*('CONTROL MASTER'!$T$2:$T$495&lt;=1)*('CONTROL MASTER'!$V$2:$V$495&gt;=1)*('CONTROL MASTER'!$U$2:$U$495&lt;=7)*('CONTROL MASTER'!$W$2:$W$495&gt;=7))*ROW('CONTROL MASTER'!$S$2:$S$495))-(ROW('CONTROL MASTER'!#REF!)-1))),":",","),",",REPT(" ",50)),((((1-INDEX('CONTROL MASTER'!$T$2:$T$495,(SUMPRODUCT((('CONTROL MASTER'!$S$2:$S$495=10)*('CONTROL MASTER'!$T$2:$T$495&lt;=1)*('CONTROL MASTER'!$V$2:$V$495&gt;=1)*('CONTROL MASTER'!$U$2:$U$495&lt;=7)*('CONTROL MASTER'!$W$2:$W$495&gt;=7))*ROW('CONTROL MASTER'!$S$2:$S$495))-(ROW('CONTROL MASTER'!#REF!)-1))))*(INDEX('CONTROL MASTER'!$W$2:$W$495,(SUMPRODUCT((('CONTROL MASTER'!$S$2:$S$495=10)*('CONTROL MASTER'!$T$2:$T$495&lt;=1)*('CONTROL MASTER'!$V$2:$V$495&gt;=1)*('CONTROL MASTER'!$U$2:$U$495&lt;=7)*('CONTROL MASTER'!$W$2:$W$495&gt;=7))*ROW('CONTROL MASTER'!$S$2:$S$495))-(ROW('CONTROL MASTER'!#REF!)-1)))-INDEX('CONTROL MASTER'!$U$2:$U$495,(SUMPRODUCT((('CONTROL MASTER'!$S$2:$S$495=10)*('CONTROL MASTER'!$T$2:$T$495&lt;=1)*('CONTROL MASTER'!$V$2:$V$495&gt;=1)*('CONTROL MASTER'!$U$2:$U$495&lt;=7)*('CONTROL MASTER'!$W$2:$W$495&gt;=7))*ROW('CONTROL MASTER'!$S$2:$S$495))-(ROW('CONTROL MASTER'!#REF!)-1)))+1)+(7-INDEX('CONTROL MASTER'!$U$2:$U$495,(SUMPRODUCT((('CONTROL MASTER'!$S$2:$S$495=10)*('CONTROL MASTER'!$T$2:$T$495&lt;=1)*('CONTROL MASTER'!$V$2:$V$495&gt;=1)*('CONTROL MASTER'!$U$2:$U$495&lt;=7)*('CONTROL MASTER'!$W$2:$W$495&gt;=7))*ROW('CONTROL MASTER'!$S$2:$S$495))-(ROW('CONTROL MASTER'!#REF!)-1))))+1))-1)*50+1,50))&amp;"_"&amp;INDEX('CONTROL MASTER'!$P$2:$P$495,(SUMPRODUCT((('CONTROL MASTER'!$S$2:$S$495=10)*('CONTROL MASTER'!$T$2:$T$495&lt;=1)*('CONTROL MASTER'!$V$2:$V$495&gt;=1)*('CONTROL MASTER'!$U$2:$U$495&lt;=7)*('CONTROL MASTER'!$W$2:$W$495&gt;=7))*ROW('CONTROL MASTER'!$S$2:$S$495))-(ROW('CONTROL MASTER'!#REF!)-1))),IF(SUMPRODUCT((('CONTROL MASTER'!$S$2:$S$495=10)*('CONTROL MASTER'!$Z$2:$Z$495&lt;=1)*('CONTROL MASTER'!$AB$2:$AB$495&gt;=1)*('CONTROL MASTER'!$AA$2:$AA$495&lt;=7)*('CONTROL MASTER'!$AC$2:$AC$495&gt;=7))*ROW('CONTROL MASTER'!$S$2:$S$495))&gt;0,INDEX('CONTROL MASTER'!$X$2:$X$495,(SUMPRODUCT((('CONTROL MASTER'!$S$2:$S$495=10)*('CONTROL MASTER'!$Z$2:$Z$495&lt;=1)*('CONTROL MASTER'!$AB$2:$AB$495&gt;=1)*('CONTROL MASTER'!$AA$2:$AA$495&lt;=7)*('CONTROL MASTER'!$AC$2:$AC$495&gt;=7))*ROW('CONTROL MASTER'!$S$2:$S$495))-(ROW('CONTROL MASTER'!#REF!)-1)))&amp;TRIM(MID(SUBSTITUTE(SUBSTITUTE(INDEX('CONTROL MASTER'!$N$2:$N$495,(SUMPRODUCT((('CONTROL MASTER'!$S$2:$S$495=10)*('CONTROL MASTER'!$Z$2:$Z$495&lt;=1)*('CONTROL MASTER'!$AB$2:$AB$495&gt;=1)*('CONTROL MASTER'!$AA$2:$AA$495&lt;=7)*('CONTROL MASTER'!$AC$2:$AC$495&gt;=7))*ROW('CONTROL MASTER'!$S$2:$S$495))-(ROW('CONTROL MASTER'!#REF!)-1))),":",","),",",REPT(" ",50)),(((INDEX('CONTROL MASTER'!$Y$2:$Y$495,(SUMPRODUCT((('CONTROL MASTER'!$S$2:$S$495=10)*('CONTROL MASTER'!$Z$2:$Z$495&lt;=1)*('CONTROL MASTER'!$AB$2:$AB$495&gt;=1)*('CONTROL MASTER'!$AA$2:$AA$495&lt;=7)*('CONTROL MASTER'!$AC$2:$AC$495&gt;=7))*ROW('CONTROL MASTER'!$S$2:$S$495))-(ROW('CONTROL MASTER'!#REF!)-1)))+((1-INDEX('CONTROL MASTER'!$Z$2:$Z$495,(SUMPRODUCT((('CONTROL MASTER'!$S$2:$S$495=10)*('CONTROL MASTER'!$Z$2:$Z$495&lt;=1)*('CONTROL MASTER'!$AB$2:$AB$495&gt;=1)*('CONTROL MASTER'!$AA$2:$AA$495&lt;=7)*('CONTROL MASTER'!$AC$2:$AC$495&gt;=7))*ROW('CONTROL MASTER'!$S$2:$S$495))-(ROW('CONTROL MASTER'!#REF!)-1))))*(INDEX('CONTROL MASTER'!$AC$2:$AC$495,(SUMPRODUCT((('CONTROL MASTER'!$S$2:$S$495=10)*('CONTROL MASTER'!$Z$2:$Z$495&lt;=1)*('CONTROL MASTER'!$AB$2:$AB$495&gt;=1)*('CONTROL MASTER'!$AA$2:$AA$495&lt;=7)*('CONTROL MASTER'!$AC$2:$AC$495&gt;=7))*ROW('CONTROL MASTER'!$S$2:$S$495))-(ROW('CONTROL MASTER'!#REF!)-1)))-INDEX('CONTROL MASTER'!$AA$2:$AA$495,(SUMPRODUCT((('CONTROL MASTER'!$S$2:$S$495=10)*('CONTROL MASTER'!$Z$2:$Z$495&lt;=1)*('CONTROL MASTER'!$AB$2:$AB$495&gt;=1)*('CONTROL MASTER'!$AA$2:$AA$495&lt;=7)*('CONTROL MASTER'!$AC$2:$AC$495&gt;=7))*ROW('CONTROL MASTER'!$S$2:$S$495))-(ROW('CONTROL MASTER'!#REF!)-1)))+1)+(7-INDEX('CONTROL MASTER'!$AA$2:$AA$495,(SUMPRODUCT((('CONTROL MASTER'!$S$2:$S$495=10)*('CONTROL MASTER'!$Z$2:$Z$495&lt;=1)*('CONTROL MASTER'!$AB$2:$AB$495&gt;=1)*('CONTROL MASTER'!$AA$2:$AA$495&lt;=7)*('CONTROL MASTER'!$AC$2:$AC$495&gt;=7))*ROW('CONTROL MASTER'!$S$2:$S$495))-(ROW('CONTROL MASTER'!#REF!)-1))))+1)))-1)*50+1,50))&amp;"_"&amp;INDEX('CONTROL MASTER'!$P$2:$P$495,(SUMPRODUCT((('CONTROL MASTER'!$S$2:$S$495=10)*('CONTROL MASTER'!$Z$2:$Z$495&lt;=1)*('CONTROL MASTER'!$AB$2:$AB$495&gt;=1)*('CONTROL MASTER'!$AA$2:$AA$495&lt;=7)*('CONTROL MASTER'!$AC$2:$AC$495&gt;=7))*ROW('CONTROL MASTER'!$S$2:$S$495))-(ROW('CONTROL MASTER'!#REF!)-1))),"")),"")</f>
        <v/>
      </c>
      <c r="I129" s="10" t="str">
        <f>IFERROR(IF(SUMPRODUCT((('CONTROL MASTER'!$S$2:$S$495=10)*('CONTROL MASTER'!$T$2:$T$495&lt;=1)*('CONTROL MASTER'!$V$2:$V$495&gt;=1)*('CONTROL MASTER'!$U$2:$U$495&lt;=8)*('CONTROL MASTER'!$W$2:$W$495&gt;=8))*ROW('CONTROL MASTER'!$S$2:$S$495))&gt;0,INDEX('CONTROL MASTER'!$X$2:$X$495,(SUMPRODUCT((('CONTROL MASTER'!$S$2:$S$495=10)*('CONTROL MASTER'!$T$2:$T$495&lt;=1)*('CONTROL MASTER'!$V$2:$V$495&gt;=1)*('CONTROL MASTER'!$U$2:$U$495&lt;=8)*('CONTROL MASTER'!$W$2:$W$495&gt;=8))*ROW('CONTROL MASTER'!$S$2:$S$495))-(ROW('CONTROL MASTER'!#REF!)-1)))&amp;TRIM(MID(SUBSTITUTE(SUBSTITUTE(INDEX('CONTROL MASTER'!$N$2:$N$495,(SUMPRODUCT((('CONTROL MASTER'!$S$2:$S$495=10)*('CONTROL MASTER'!$T$2:$T$495&lt;=1)*('CONTROL MASTER'!$V$2:$V$495&gt;=1)*('CONTROL MASTER'!$U$2:$U$495&lt;=8)*('CONTROL MASTER'!$W$2:$W$495&gt;=8))*ROW('CONTROL MASTER'!$S$2:$S$495))-(ROW('CONTROL MASTER'!#REF!)-1))),":",","),",",REPT(" ",50)),((((1-INDEX('CONTROL MASTER'!$T$2:$T$495,(SUMPRODUCT((('CONTROL MASTER'!$S$2:$S$495=10)*('CONTROL MASTER'!$T$2:$T$495&lt;=1)*('CONTROL MASTER'!$V$2:$V$495&gt;=1)*('CONTROL MASTER'!$U$2:$U$495&lt;=8)*('CONTROL MASTER'!$W$2:$W$495&gt;=8))*ROW('CONTROL MASTER'!$S$2:$S$495))-(ROW('CONTROL MASTER'!#REF!)-1))))*(INDEX('CONTROL MASTER'!$W$2:$W$495,(SUMPRODUCT((('CONTROL MASTER'!$S$2:$S$495=10)*('CONTROL MASTER'!$T$2:$T$495&lt;=1)*('CONTROL MASTER'!$V$2:$V$495&gt;=1)*('CONTROL MASTER'!$U$2:$U$495&lt;=8)*('CONTROL MASTER'!$W$2:$W$495&gt;=8))*ROW('CONTROL MASTER'!$S$2:$S$495))-(ROW('CONTROL MASTER'!#REF!)-1)))-INDEX('CONTROL MASTER'!$U$2:$U$495,(SUMPRODUCT((('CONTROL MASTER'!$S$2:$S$495=10)*('CONTROL MASTER'!$T$2:$T$495&lt;=1)*('CONTROL MASTER'!$V$2:$V$495&gt;=1)*('CONTROL MASTER'!$U$2:$U$495&lt;=8)*('CONTROL MASTER'!$W$2:$W$495&gt;=8))*ROW('CONTROL MASTER'!$S$2:$S$495))-(ROW('CONTROL MASTER'!#REF!)-1)))+1)+(8-INDEX('CONTROL MASTER'!$U$2:$U$495,(SUMPRODUCT((('CONTROL MASTER'!$S$2:$S$495=10)*('CONTROL MASTER'!$T$2:$T$495&lt;=1)*('CONTROL MASTER'!$V$2:$V$495&gt;=1)*('CONTROL MASTER'!$U$2:$U$495&lt;=8)*('CONTROL MASTER'!$W$2:$W$495&gt;=8))*ROW('CONTROL MASTER'!$S$2:$S$495))-(ROW('CONTROL MASTER'!#REF!)-1))))+1))-1)*50+1,50))&amp;"_"&amp;INDEX('CONTROL MASTER'!$P$2:$P$495,(SUMPRODUCT((('CONTROL MASTER'!$S$2:$S$495=10)*('CONTROL MASTER'!$T$2:$T$495&lt;=1)*('CONTROL MASTER'!$V$2:$V$495&gt;=1)*('CONTROL MASTER'!$U$2:$U$495&lt;=8)*('CONTROL MASTER'!$W$2:$W$495&gt;=8))*ROW('CONTROL MASTER'!$S$2:$S$495))-(ROW('CONTROL MASTER'!#REF!)-1))),IF(SUMPRODUCT((('CONTROL MASTER'!$S$2:$S$495=10)*('CONTROL MASTER'!$Z$2:$Z$495&lt;=1)*('CONTROL MASTER'!$AB$2:$AB$495&gt;=1)*('CONTROL MASTER'!$AA$2:$AA$495&lt;=8)*('CONTROL MASTER'!$AC$2:$AC$495&gt;=8))*ROW('CONTROL MASTER'!$S$2:$S$495))&gt;0,INDEX('CONTROL MASTER'!$X$2:$X$495,(SUMPRODUCT((('CONTROL MASTER'!$S$2:$S$495=10)*('CONTROL MASTER'!$Z$2:$Z$495&lt;=1)*('CONTROL MASTER'!$AB$2:$AB$495&gt;=1)*('CONTROL MASTER'!$AA$2:$AA$495&lt;=8)*('CONTROL MASTER'!$AC$2:$AC$495&gt;=8))*ROW('CONTROL MASTER'!$S$2:$S$495))-(ROW('CONTROL MASTER'!#REF!)-1)))&amp;TRIM(MID(SUBSTITUTE(SUBSTITUTE(INDEX('CONTROL MASTER'!$N$2:$N$495,(SUMPRODUCT((('CONTROL MASTER'!$S$2:$S$495=10)*('CONTROL MASTER'!$Z$2:$Z$495&lt;=1)*('CONTROL MASTER'!$AB$2:$AB$495&gt;=1)*('CONTROL MASTER'!$AA$2:$AA$495&lt;=8)*('CONTROL MASTER'!$AC$2:$AC$495&gt;=8))*ROW('CONTROL MASTER'!$S$2:$S$495))-(ROW('CONTROL MASTER'!#REF!)-1))),":",","),",",REPT(" ",50)),(((INDEX('CONTROL MASTER'!$Y$2:$Y$495,(SUMPRODUCT((('CONTROL MASTER'!$S$2:$S$495=10)*('CONTROL MASTER'!$Z$2:$Z$495&lt;=1)*('CONTROL MASTER'!$AB$2:$AB$495&gt;=1)*('CONTROL MASTER'!$AA$2:$AA$495&lt;=8)*('CONTROL MASTER'!$AC$2:$AC$495&gt;=8))*ROW('CONTROL MASTER'!$S$2:$S$495))-(ROW('CONTROL MASTER'!#REF!)-1)))+((1-INDEX('CONTROL MASTER'!$Z$2:$Z$495,(SUMPRODUCT((('CONTROL MASTER'!$S$2:$S$495=10)*('CONTROL MASTER'!$Z$2:$Z$495&lt;=1)*('CONTROL MASTER'!$AB$2:$AB$495&gt;=1)*('CONTROL MASTER'!$AA$2:$AA$495&lt;=8)*('CONTROL MASTER'!$AC$2:$AC$495&gt;=8))*ROW('CONTROL MASTER'!$S$2:$S$495))-(ROW('CONTROL MASTER'!#REF!)-1))))*(INDEX('CONTROL MASTER'!$AC$2:$AC$495,(SUMPRODUCT((('CONTROL MASTER'!$S$2:$S$495=10)*('CONTROL MASTER'!$Z$2:$Z$495&lt;=1)*('CONTROL MASTER'!$AB$2:$AB$495&gt;=1)*('CONTROL MASTER'!$AA$2:$AA$495&lt;=8)*('CONTROL MASTER'!$AC$2:$AC$495&gt;=8))*ROW('CONTROL MASTER'!$S$2:$S$495))-(ROW('CONTROL MASTER'!#REF!)-1)))-INDEX('CONTROL MASTER'!$AA$2:$AA$495,(SUMPRODUCT((('CONTROL MASTER'!$S$2:$S$495=10)*('CONTROL MASTER'!$Z$2:$Z$495&lt;=1)*('CONTROL MASTER'!$AB$2:$AB$495&gt;=1)*('CONTROL MASTER'!$AA$2:$AA$495&lt;=8)*('CONTROL MASTER'!$AC$2:$AC$495&gt;=8))*ROW('CONTROL MASTER'!$S$2:$S$495))-(ROW('CONTROL MASTER'!#REF!)-1)))+1)+(8-INDEX('CONTROL MASTER'!$AA$2:$AA$495,(SUMPRODUCT((('CONTROL MASTER'!$S$2:$S$495=10)*('CONTROL MASTER'!$Z$2:$Z$495&lt;=1)*('CONTROL MASTER'!$AB$2:$AB$495&gt;=1)*('CONTROL MASTER'!$AA$2:$AA$495&lt;=8)*('CONTROL MASTER'!$AC$2:$AC$495&gt;=8))*ROW('CONTROL MASTER'!$S$2:$S$495))-(ROW('CONTROL MASTER'!#REF!)-1))))+1)))-1)*50+1,50))&amp;"_"&amp;INDEX('CONTROL MASTER'!$P$2:$P$495,(SUMPRODUCT((('CONTROL MASTER'!$S$2:$S$495=10)*('CONTROL MASTER'!$Z$2:$Z$495&lt;=1)*('CONTROL MASTER'!$AB$2:$AB$495&gt;=1)*('CONTROL MASTER'!$AA$2:$AA$495&lt;=8)*('CONTROL MASTER'!$AC$2:$AC$495&gt;=8))*ROW('CONTROL MASTER'!$S$2:$S$495))-(ROW('CONTROL MASTER'!#REF!)-1))),"")),"")</f>
        <v/>
      </c>
      <c r="J129" s="10" t="str">
        <f>IFERROR(IF(SUMPRODUCT((('CONTROL MASTER'!$S$2:$S$495=10)*('CONTROL MASTER'!$T$2:$T$495&lt;=1)*('CONTROL MASTER'!$V$2:$V$495&gt;=1)*('CONTROL MASTER'!$U$2:$U$495&lt;=9)*('CONTROL MASTER'!$W$2:$W$495&gt;=9))*ROW('CONTROL MASTER'!$S$2:$S$495))&gt;0,INDEX('CONTROL MASTER'!$X$2:$X$495,(SUMPRODUCT((('CONTROL MASTER'!$S$2:$S$495=10)*('CONTROL MASTER'!$T$2:$T$495&lt;=1)*('CONTROL MASTER'!$V$2:$V$495&gt;=1)*('CONTROL MASTER'!$U$2:$U$495&lt;=9)*('CONTROL MASTER'!$W$2:$W$495&gt;=9))*ROW('CONTROL MASTER'!$S$2:$S$495))-(ROW('CONTROL MASTER'!#REF!)-1)))&amp;TRIM(MID(SUBSTITUTE(SUBSTITUTE(INDEX('CONTROL MASTER'!$N$2:$N$495,(SUMPRODUCT((('CONTROL MASTER'!$S$2:$S$495=10)*('CONTROL MASTER'!$T$2:$T$495&lt;=1)*('CONTROL MASTER'!$V$2:$V$495&gt;=1)*('CONTROL MASTER'!$U$2:$U$495&lt;=9)*('CONTROL MASTER'!$W$2:$W$495&gt;=9))*ROW('CONTROL MASTER'!$S$2:$S$495))-(ROW('CONTROL MASTER'!#REF!)-1))),":",","),",",REPT(" ",50)),((((1-INDEX('CONTROL MASTER'!$T$2:$T$495,(SUMPRODUCT((('CONTROL MASTER'!$S$2:$S$495=10)*('CONTROL MASTER'!$T$2:$T$495&lt;=1)*('CONTROL MASTER'!$V$2:$V$495&gt;=1)*('CONTROL MASTER'!$U$2:$U$495&lt;=9)*('CONTROL MASTER'!$W$2:$W$495&gt;=9))*ROW('CONTROL MASTER'!$S$2:$S$495))-(ROW('CONTROL MASTER'!#REF!)-1))))*(INDEX('CONTROL MASTER'!$W$2:$W$495,(SUMPRODUCT((('CONTROL MASTER'!$S$2:$S$495=10)*('CONTROL MASTER'!$T$2:$T$495&lt;=1)*('CONTROL MASTER'!$V$2:$V$495&gt;=1)*('CONTROL MASTER'!$U$2:$U$495&lt;=9)*('CONTROL MASTER'!$W$2:$W$495&gt;=9))*ROW('CONTROL MASTER'!$S$2:$S$495))-(ROW('CONTROL MASTER'!#REF!)-1)))-INDEX('CONTROL MASTER'!$U$2:$U$495,(SUMPRODUCT((('CONTROL MASTER'!$S$2:$S$495=10)*('CONTROL MASTER'!$T$2:$T$495&lt;=1)*('CONTROL MASTER'!$V$2:$V$495&gt;=1)*('CONTROL MASTER'!$U$2:$U$495&lt;=9)*('CONTROL MASTER'!$W$2:$W$495&gt;=9))*ROW('CONTROL MASTER'!$S$2:$S$495))-(ROW('CONTROL MASTER'!#REF!)-1)))+1)+(9-INDEX('CONTROL MASTER'!$U$2:$U$495,(SUMPRODUCT((('CONTROL MASTER'!$S$2:$S$495=10)*('CONTROL MASTER'!$T$2:$T$495&lt;=1)*('CONTROL MASTER'!$V$2:$V$495&gt;=1)*('CONTROL MASTER'!$U$2:$U$495&lt;=9)*('CONTROL MASTER'!$W$2:$W$495&gt;=9))*ROW('CONTROL MASTER'!$S$2:$S$495))-(ROW('CONTROL MASTER'!#REF!)-1))))+1))-1)*50+1,50))&amp;"_"&amp;INDEX('CONTROL MASTER'!$P$2:$P$495,(SUMPRODUCT((('CONTROL MASTER'!$S$2:$S$495=10)*('CONTROL MASTER'!$T$2:$T$495&lt;=1)*('CONTROL MASTER'!$V$2:$V$495&gt;=1)*('CONTROL MASTER'!$U$2:$U$495&lt;=9)*('CONTROL MASTER'!$W$2:$W$495&gt;=9))*ROW('CONTROL MASTER'!$S$2:$S$495))-(ROW('CONTROL MASTER'!#REF!)-1))),IF(SUMPRODUCT((('CONTROL MASTER'!$S$2:$S$495=10)*('CONTROL MASTER'!$Z$2:$Z$495&lt;=1)*('CONTROL MASTER'!$AB$2:$AB$495&gt;=1)*('CONTROL MASTER'!$AA$2:$AA$495&lt;=9)*('CONTROL MASTER'!$AC$2:$AC$495&gt;=9))*ROW('CONTROL MASTER'!$S$2:$S$495))&gt;0,INDEX('CONTROL MASTER'!$X$2:$X$495,(SUMPRODUCT((('CONTROL MASTER'!$S$2:$S$495=10)*('CONTROL MASTER'!$Z$2:$Z$495&lt;=1)*('CONTROL MASTER'!$AB$2:$AB$495&gt;=1)*('CONTROL MASTER'!$AA$2:$AA$495&lt;=9)*('CONTROL MASTER'!$AC$2:$AC$495&gt;=9))*ROW('CONTROL MASTER'!$S$2:$S$495))-(ROW('CONTROL MASTER'!#REF!)-1)))&amp;TRIM(MID(SUBSTITUTE(SUBSTITUTE(INDEX('CONTROL MASTER'!$N$2:$N$495,(SUMPRODUCT((('CONTROL MASTER'!$S$2:$S$495=10)*('CONTROL MASTER'!$Z$2:$Z$495&lt;=1)*('CONTROL MASTER'!$AB$2:$AB$495&gt;=1)*('CONTROL MASTER'!$AA$2:$AA$495&lt;=9)*('CONTROL MASTER'!$AC$2:$AC$495&gt;=9))*ROW('CONTROL MASTER'!$S$2:$S$495))-(ROW('CONTROL MASTER'!#REF!)-1))),":",","),",",REPT(" ",50)),(((INDEX('CONTROL MASTER'!$Y$2:$Y$495,(SUMPRODUCT((('CONTROL MASTER'!$S$2:$S$495=10)*('CONTROL MASTER'!$Z$2:$Z$495&lt;=1)*('CONTROL MASTER'!$AB$2:$AB$495&gt;=1)*('CONTROL MASTER'!$AA$2:$AA$495&lt;=9)*('CONTROL MASTER'!$AC$2:$AC$495&gt;=9))*ROW('CONTROL MASTER'!$S$2:$S$495))-(ROW('CONTROL MASTER'!#REF!)-1)))+((1-INDEX('CONTROL MASTER'!$Z$2:$Z$495,(SUMPRODUCT((('CONTROL MASTER'!$S$2:$S$495=10)*('CONTROL MASTER'!$Z$2:$Z$495&lt;=1)*('CONTROL MASTER'!$AB$2:$AB$495&gt;=1)*('CONTROL MASTER'!$AA$2:$AA$495&lt;=9)*('CONTROL MASTER'!$AC$2:$AC$495&gt;=9))*ROW('CONTROL MASTER'!$S$2:$S$495))-(ROW('CONTROL MASTER'!#REF!)-1))))*(INDEX('CONTROL MASTER'!$AC$2:$AC$495,(SUMPRODUCT((('CONTROL MASTER'!$S$2:$S$495=10)*('CONTROL MASTER'!$Z$2:$Z$495&lt;=1)*('CONTROL MASTER'!$AB$2:$AB$495&gt;=1)*('CONTROL MASTER'!$AA$2:$AA$495&lt;=9)*('CONTROL MASTER'!$AC$2:$AC$495&gt;=9))*ROW('CONTROL MASTER'!$S$2:$S$495))-(ROW('CONTROL MASTER'!#REF!)-1)))-INDEX('CONTROL MASTER'!$AA$2:$AA$495,(SUMPRODUCT((('CONTROL MASTER'!$S$2:$S$495=10)*('CONTROL MASTER'!$Z$2:$Z$495&lt;=1)*('CONTROL MASTER'!$AB$2:$AB$495&gt;=1)*('CONTROL MASTER'!$AA$2:$AA$495&lt;=9)*('CONTROL MASTER'!$AC$2:$AC$495&gt;=9))*ROW('CONTROL MASTER'!$S$2:$S$495))-(ROW('CONTROL MASTER'!#REF!)-1)))+1)+(9-INDEX('CONTROL MASTER'!$AA$2:$AA$495,(SUMPRODUCT((('CONTROL MASTER'!$S$2:$S$495=10)*('CONTROL MASTER'!$Z$2:$Z$495&lt;=1)*('CONTROL MASTER'!$AB$2:$AB$495&gt;=1)*('CONTROL MASTER'!$AA$2:$AA$495&lt;=9)*('CONTROL MASTER'!$AC$2:$AC$495&gt;=9))*ROW('CONTROL MASTER'!$S$2:$S$495))-(ROW('CONTROL MASTER'!#REF!)-1))))+1)))-1)*50+1,50))&amp;"_"&amp;INDEX('CONTROL MASTER'!$P$2:$P$495,(SUMPRODUCT((('CONTROL MASTER'!$S$2:$S$495=10)*('CONTROL MASTER'!$Z$2:$Z$495&lt;=1)*('CONTROL MASTER'!$AB$2:$AB$495&gt;=1)*('CONTROL MASTER'!$AA$2:$AA$495&lt;=9)*('CONTROL MASTER'!$AC$2:$AC$495&gt;=9))*ROW('CONTROL MASTER'!$S$2:$S$495))-(ROW('CONTROL MASTER'!#REF!)-1))),"")),"")</f>
        <v/>
      </c>
      <c r="K129" s="10" t="str">
        <f>IFERROR(IF(SUMPRODUCT((('CONTROL MASTER'!$S$2:$S$495=10)*('CONTROL MASTER'!$T$2:$T$495&lt;=1)*('CONTROL MASTER'!$V$2:$V$495&gt;=1)*('CONTROL MASTER'!$U$2:$U$495&lt;=10)*('CONTROL MASTER'!$W$2:$W$495&gt;=10))*ROW('CONTROL MASTER'!$S$2:$S$495))&gt;0,INDEX('CONTROL MASTER'!$X$2:$X$495,(SUMPRODUCT((('CONTROL MASTER'!$S$2:$S$495=10)*('CONTROL MASTER'!$T$2:$T$495&lt;=1)*('CONTROL MASTER'!$V$2:$V$495&gt;=1)*('CONTROL MASTER'!$U$2:$U$495&lt;=10)*('CONTROL MASTER'!$W$2:$W$495&gt;=10))*ROW('CONTROL MASTER'!$S$2:$S$495))-(ROW('CONTROL MASTER'!#REF!)-1)))&amp;TRIM(MID(SUBSTITUTE(SUBSTITUTE(INDEX('CONTROL MASTER'!$N$2:$N$495,(SUMPRODUCT((('CONTROL MASTER'!$S$2:$S$495=10)*('CONTROL MASTER'!$T$2:$T$495&lt;=1)*('CONTROL MASTER'!$V$2:$V$495&gt;=1)*('CONTROL MASTER'!$U$2:$U$495&lt;=10)*('CONTROL MASTER'!$W$2:$W$495&gt;=10))*ROW('CONTROL MASTER'!$S$2:$S$495))-(ROW('CONTROL MASTER'!#REF!)-1))),":",","),",",REPT(" ",50)),((((1-INDEX('CONTROL MASTER'!$T$2:$T$495,(SUMPRODUCT((('CONTROL MASTER'!$S$2:$S$495=10)*('CONTROL MASTER'!$T$2:$T$495&lt;=1)*('CONTROL MASTER'!$V$2:$V$495&gt;=1)*('CONTROL MASTER'!$U$2:$U$495&lt;=10)*('CONTROL MASTER'!$W$2:$W$495&gt;=10))*ROW('CONTROL MASTER'!$S$2:$S$495))-(ROW('CONTROL MASTER'!#REF!)-1))))*(INDEX('CONTROL MASTER'!$W$2:$W$495,(SUMPRODUCT((('CONTROL MASTER'!$S$2:$S$495=10)*('CONTROL MASTER'!$T$2:$T$495&lt;=1)*('CONTROL MASTER'!$V$2:$V$495&gt;=1)*('CONTROL MASTER'!$U$2:$U$495&lt;=10)*('CONTROL MASTER'!$W$2:$W$495&gt;=10))*ROW('CONTROL MASTER'!$S$2:$S$495))-(ROW('CONTROL MASTER'!#REF!)-1)))-INDEX('CONTROL MASTER'!$U$2:$U$495,(SUMPRODUCT((('CONTROL MASTER'!$S$2:$S$495=10)*('CONTROL MASTER'!$T$2:$T$495&lt;=1)*('CONTROL MASTER'!$V$2:$V$495&gt;=1)*('CONTROL MASTER'!$U$2:$U$495&lt;=10)*('CONTROL MASTER'!$W$2:$W$495&gt;=10))*ROW('CONTROL MASTER'!$S$2:$S$495))-(ROW('CONTROL MASTER'!#REF!)-1)))+1)+(10-INDEX('CONTROL MASTER'!$U$2:$U$495,(SUMPRODUCT((('CONTROL MASTER'!$S$2:$S$495=10)*('CONTROL MASTER'!$T$2:$T$495&lt;=1)*('CONTROL MASTER'!$V$2:$V$495&gt;=1)*('CONTROL MASTER'!$U$2:$U$495&lt;=10)*('CONTROL MASTER'!$W$2:$W$495&gt;=10))*ROW('CONTROL MASTER'!$S$2:$S$495))-(ROW('CONTROL MASTER'!#REF!)-1))))+1))-1)*50+1,50))&amp;"_"&amp;INDEX('CONTROL MASTER'!$P$2:$P$495,(SUMPRODUCT((('CONTROL MASTER'!$S$2:$S$495=10)*('CONTROL MASTER'!$T$2:$T$495&lt;=1)*('CONTROL MASTER'!$V$2:$V$495&gt;=1)*('CONTROL MASTER'!$U$2:$U$495&lt;=10)*('CONTROL MASTER'!$W$2:$W$495&gt;=10))*ROW('CONTROL MASTER'!$S$2:$S$495))-(ROW('CONTROL MASTER'!#REF!)-1))),IF(SUMPRODUCT((('CONTROL MASTER'!$S$2:$S$495=10)*('CONTROL MASTER'!$Z$2:$Z$495&lt;=1)*('CONTROL MASTER'!$AB$2:$AB$495&gt;=1)*('CONTROL MASTER'!$AA$2:$AA$495&lt;=10)*('CONTROL MASTER'!$AC$2:$AC$495&gt;=10))*ROW('CONTROL MASTER'!$S$2:$S$495))&gt;0,INDEX('CONTROL MASTER'!$X$2:$X$495,(SUMPRODUCT((('CONTROL MASTER'!$S$2:$S$495=10)*('CONTROL MASTER'!$Z$2:$Z$495&lt;=1)*('CONTROL MASTER'!$AB$2:$AB$495&gt;=1)*('CONTROL MASTER'!$AA$2:$AA$495&lt;=10)*('CONTROL MASTER'!$AC$2:$AC$495&gt;=10))*ROW('CONTROL MASTER'!$S$2:$S$495))-(ROW('CONTROL MASTER'!#REF!)-1)))&amp;TRIM(MID(SUBSTITUTE(SUBSTITUTE(INDEX('CONTROL MASTER'!$N$2:$N$495,(SUMPRODUCT((('CONTROL MASTER'!$S$2:$S$495=10)*('CONTROL MASTER'!$Z$2:$Z$495&lt;=1)*('CONTROL MASTER'!$AB$2:$AB$495&gt;=1)*('CONTROL MASTER'!$AA$2:$AA$495&lt;=10)*('CONTROL MASTER'!$AC$2:$AC$495&gt;=10))*ROW('CONTROL MASTER'!$S$2:$S$495))-(ROW('CONTROL MASTER'!#REF!)-1))),":",","),",",REPT(" ",50)),(((INDEX('CONTROL MASTER'!$Y$2:$Y$495,(SUMPRODUCT((('CONTROL MASTER'!$S$2:$S$495=10)*('CONTROL MASTER'!$Z$2:$Z$495&lt;=1)*('CONTROL MASTER'!$AB$2:$AB$495&gt;=1)*('CONTROL MASTER'!$AA$2:$AA$495&lt;=10)*('CONTROL MASTER'!$AC$2:$AC$495&gt;=10))*ROW('CONTROL MASTER'!$S$2:$S$495))-(ROW('CONTROL MASTER'!#REF!)-1)))+((1-INDEX('CONTROL MASTER'!$Z$2:$Z$495,(SUMPRODUCT((('CONTROL MASTER'!$S$2:$S$495=10)*('CONTROL MASTER'!$Z$2:$Z$495&lt;=1)*('CONTROL MASTER'!$AB$2:$AB$495&gt;=1)*('CONTROL MASTER'!$AA$2:$AA$495&lt;=10)*('CONTROL MASTER'!$AC$2:$AC$495&gt;=10))*ROW('CONTROL MASTER'!$S$2:$S$495))-(ROW('CONTROL MASTER'!#REF!)-1))))*(INDEX('CONTROL MASTER'!$AC$2:$AC$495,(SUMPRODUCT((('CONTROL MASTER'!$S$2:$S$495=10)*('CONTROL MASTER'!$Z$2:$Z$495&lt;=1)*('CONTROL MASTER'!$AB$2:$AB$495&gt;=1)*('CONTROL MASTER'!$AA$2:$AA$495&lt;=10)*('CONTROL MASTER'!$AC$2:$AC$495&gt;=10))*ROW('CONTROL MASTER'!$S$2:$S$495))-(ROW('CONTROL MASTER'!#REF!)-1)))-INDEX('CONTROL MASTER'!$AA$2:$AA$495,(SUMPRODUCT((('CONTROL MASTER'!$S$2:$S$495=10)*('CONTROL MASTER'!$Z$2:$Z$495&lt;=1)*('CONTROL MASTER'!$AB$2:$AB$495&gt;=1)*('CONTROL MASTER'!$AA$2:$AA$495&lt;=10)*('CONTROL MASTER'!$AC$2:$AC$495&gt;=10))*ROW('CONTROL MASTER'!$S$2:$S$495))-(ROW('CONTROL MASTER'!#REF!)-1)))+1)+(10-INDEX('CONTROL MASTER'!$AA$2:$AA$495,(SUMPRODUCT((('CONTROL MASTER'!$S$2:$S$495=10)*('CONTROL MASTER'!$Z$2:$Z$495&lt;=1)*('CONTROL MASTER'!$AB$2:$AB$495&gt;=1)*('CONTROL MASTER'!$AA$2:$AA$495&lt;=10)*('CONTROL MASTER'!$AC$2:$AC$495&gt;=10))*ROW('CONTROL MASTER'!$S$2:$S$495))-(ROW('CONTROL MASTER'!#REF!)-1))))+1)))-1)*50+1,50))&amp;"_"&amp;INDEX('CONTROL MASTER'!$P$2:$P$495,(SUMPRODUCT((('CONTROL MASTER'!$S$2:$S$495=10)*('CONTROL MASTER'!$Z$2:$Z$495&lt;=1)*('CONTROL MASTER'!$AB$2:$AB$495&gt;=1)*('CONTROL MASTER'!$AA$2:$AA$495&lt;=10)*('CONTROL MASTER'!$AC$2:$AC$495&gt;=10))*ROW('CONTROL MASTER'!$S$2:$S$495))-(ROW('CONTROL MASTER'!#REF!)-1))),"")),"")</f>
        <v/>
      </c>
    </row>
    <row r="130" spans="1:11" ht="15" customHeight="1" x14ac:dyDescent="0.35">
      <c r="A130" s="8" t="s">
        <v>29</v>
      </c>
      <c r="B130" s="10" t="str">
        <f>IFERROR(IF(SUMPRODUCT((('CONTROL MASTER'!$S$2:$S$495=10)*('CONTROL MASTER'!$T$2:$T$495&lt;=2)*('CONTROL MASTER'!$V$2:$V$495&gt;=2)*('CONTROL MASTER'!$U$2:$U$495&lt;=1)*('CONTROL MASTER'!$W$2:$W$495&gt;=1))*ROW('CONTROL MASTER'!$S$2:$S$495))&gt;0,INDEX('CONTROL MASTER'!$X$2:$X$495,(SUMPRODUCT((('CONTROL MASTER'!$S$2:$S$495=10)*('CONTROL MASTER'!$T$2:$T$495&lt;=2)*('CONTROL MASTER'!$V$2:$V$495&gt;=2)*('CONTROL MASTER'!$U$2:$U$495&lt;=1)*('CONTROL MASTER'!$W$2:$W$495&gt;=1))*ROW('CONTROL MASTER'!$S$2:$S$495))-(ROW('CONTROL MASTER'!#REF!)-1)))&amp;TRIM(MID(SUBSTITUTE(SUBSTITUTE(INDEX('CONTROL MASTER'!$N$2:$N$495,(SUMPRODUCT((('CONTROL MASTER'!$S$2:$S$495=10)*('CONTROL MASTER'!$T$2:$T$495&lt;=2)*('CONTROL MASTER'!$V$2:$V$495&gt;=2)*('CONTROL MASTER'!$U$2:$U$495&lt;=1)*('CONTROL MASTER'!$W$2:$W$495&gt;=1))*ROW('CONTROL MASTER'!$S$2:$S$495))-(ROW('CONTROL MASTER'!#REF!)-1))),":",","),",",REPT(" ",50)),((((2-INDEX('CONTROL MASTER'!$T$2:$T$495,(SUMPRODUCT((('CONTROL MASTER'!$S$2:$S$495=10)*('CONTROL MASTER'!$T$2:$T$495&lt;=2)*('CONTROL MASTER'!$V$2:$V$495&gt;=2)*('CONTROL MASTER'!$U$2:$U$495&lt;=1)*('CONTROL MASTER'!$W$2:$W$495&gt;=1))*ROW('CONTROL MASTER'!$S$2:$S$495))-(ROW('CONTROL MASTER'!#REF!)-1))))*(INDEX('CONTROL MASTER'!$W$2:$W$495,(SUMPRODUCT((('CONTROL MASTER'!$S$2:$S$495=10)*('CONTROL MASTER'!$T$2:$T$495&lt;=2)*('CONTROL MASTER'!$V$2:$V$495&gt;=2)*('CONTROL MASTER'!$U$2:$U$495&lt;=1)*('CONTROL MASTER'!$W$2:$W$495&gt;=1))*ROW('CONTROL MASTER'!$S$2:$S$495))-(ROW('CONTROL MASTER'!#REF!)-1)))-INDEX('CONTROL MASTER'!$U$2:$U$495,(SUMPRODUCT((('CONTROL MASTER'!$S$2:$S$495=10)*('CONTROL MASTER'!$T$2:$T$495&lt;=2)*('CONTROL MASTER'!$V$2:$V$495&gt;=2)*('CONTROL MASTER'!$U$2:$U$495&lt;=1)*('CONTROL MASTER'!$W$2:$W$495&gt;=1))*ROW('CONTROL MASTER'!$S$2:$S$495))-(ROW('CONTROL MASTER'!#REF!)-1)))+1)+(1-INDEX('CONTROL MASTER'!$U$2:$U$495,(SUMPRODUCT((('CONTROL MASTER'!$S$2:$S$495=10)*('CONTROL MASTER'!$T$2:$T$495&lt;=2)*('CONTROL MASTER'!$V$2:$V$495&gt;=2)*('CONTROL MASTER'!$U$2:$U$495&lt;=1)*('CONTROL MASTER'!$W$2:$W$495&gt;=1))*ROW('CONTROL MASTER'!$S$2:$S$495))-(ROW('CONTROL MASTER'!#REF!)-1))))+1))-1)*50+1,50))&amp;"_"&amp;INDEX('CONTROL MASTER'!$P$2:$P$495,(SUMPRODUCT((('CONTROL MASTER'!$S$2:$S$495=10)*('CONTROL MASTER'!$T$2:$T$495&lt;=2)*('CONTROL MASTER'!$V$2:$V$495&gt;=2)*('CONTROL MASTER'!$U$2:$U$495&lt;=1)*('CONTROL MASTER'!$W$2:$W$495&gt;=1))*ROW('CONTROL MASTER'!$S$2:$S$495))-(ROW('CONTROL MASTER'!#REF!)-1))),IF(SUMPRODUCT((('CONTROL MASTER'!$S$2:$S$495=10)*('CONTROL MASTER'!$Z$2:$Z$495&lt;=2)*('CONTROL MASTER'!$AB$2:$AB$495&gt;=2)*('CONTROL MASTER'!$AA$2:$AA$495&lt;=1)*('CONTROL MASTER'!$AC$2:$AC$495&gt;=1))*ROW('CONTROL MASTER'!$S$2:$S$495))&gt;0,INDEX('CONTROL MASTER'!$X$2:$X$495,(SUMPRODUCT((('CONTROL MASTER'!$S$2:$S$495=10)*('CONTROL MASTER'!$Z$2:$Z$495&lt;=2)*('CONTROL MASTER'!$AB$2:$AB$495&gt;=2)*('CONTROL MASTER'!$AA$2:$AA$495&lt;=1)*('CONTROL MASTER'!$AC$2:$AC$495&gt;=1))*ROW('CONTROL MASTER'!$S$2:$S$495))-(ROW('CONTROL MASTER'!#REF!)-1)))&amp;TRIM(MID(SUBSTITUTE(SUBSTITUTE(INDEX('CONTROL MASTER'!$N$2:$N$495,(SUMPRODUCT((('CONTROL MASTER'!$S$2:$S$495=10)*('CONTROL MASTER'!$Z$2:$Z$495&lt;=2)*('CONTROL MASTER'!$AB$2:$AB$495&gt;=2)*('CONTROL MASTER'!$AA$2:$AA$495&lt;=1)*('CONTROL MASTER'!$AC$2:$AC$495&gt;=1))*ROW('CONTROL MASTER'!$S$2:$S$495))-(ROW('CONTROL MASTER'!#REF!)-1))),":",","),",",REPT(" ",50)),(((INDEX('CONTROL MASTER'!$Y$2:$Y$495,(SUMPRODUCT((('CONTROL MASTER'!$S$2:$S$495=10)*('CONTROL MASTER'!$Z$2:$Z$495&lt;=2)*('CONTROL MASTER'!$AB$2:$AB$495&gt;=2)*('CONTROL MASTER'!$AA$2:$AA$495&lt;=1)*('CONTROL MASTER'!$AC$2:$AC$495&gt;=1))*ROW('CONTROL MASTER'!$S$2:$S$495))-(ROW('CONTROL MASTER'!#REF!)-1)))+((2-INDEX('CONTROL MASTER'!$Z$2:$Z$495,(SUMPRODUCT((('CONTROL MASTER'!$S$2:$S$495=10)*('CONTROL MASTER'!$Z$2:$Z$495&lt;=2)*('CONTROL MASTER'!$AB$2:$AB$495&gt;=2)*('CONTROL MASTER'!$AA$2:$AA$495&lt;=1)*('CONTROL MASTER'!$AC$2:$AC$495&gt;=1))*ROW('CONTROL MASTER'!$S$2:$S$495))-(ROW('CONTROL MASTER'!#REF!)-1))))*(INDEX('CONTROL MASTER'!$AC$2:$AC$495,(SUMPRODUCT((('CONTROL MASTER'!$S$2:$S$495=10)*('CONTROL MASTER'!$Z$2:$Z$495&lt;=2)*('CONTROL MASTER'!$AB$2:$AB$495&gt;=2)*('CONTROL MASTER'!$AA$2:$AA$495&lt;=1)*('CONTROL MASTER'!$AC$2:$AC$495&gt;=1))*ROW('CONTROL MASTER'!$S$2:$S$495))-(ROW('CONTROL MASTER'!#REF!)-1)))-INDEX('CONTROL MASTER'!$AA$2:$AA$495,(SUMPRODUCT((('CONTROL MASTER'!$S$2:$S$495=10)*('CONTROL MASTER'!$Z$2:$Z$495&lt;=2)*('CONTROL MASTER'!$AB$2:$AB$495&gt;=2)*('CONTROL MASTER'!$AA$2:$AA$495&lt;=1)*('CONTROL MASTER'!$AC$2:$AC$495&gt;=1))*ROW('CONTROL MASTER'!$S$2:$S$495))-(ROW('CONTROL MASTER'!#REF!)-1)))+1)+(1-INDEX('CONTROL MASTER'!$AA$2:$AA$495,(SUMPRODUCT((('CONTROL MASTER'!$S$2:$S$495=10)*('CONTROL MASTER'!$Z$2:$Z$495&lt;=2)*('CONTROL MASTER'!$AB$2:$AB$495&gt;=2)*('CONTROL MASTER'!$AA$2:$AA$495&lt;=1)*('CONTROL MASTER'!$AC$2:$AC$495&gt;=1))*ROW('CONTROL MASTER'!$S$2:$S$495))-(ROW('CONTROL MASTER'!#REF!)-1))))+1)))-1)*50+1,50))&amp;"_"&amp;INDEX('CONTROL MASTER'!$P$2:$P$495,(SUMPRODUCT((('CONTROL MASTER'!$S$2:$S$495=10)*('CONTROL MASTER'!$Z$2:$Z$495&lt;=2)*('CONTROL MASTER'!$AB$2:$AB$495&gt;=2)*('CONTROL MASTER'!$AA$2:$AA$495&lt;=1)*('CONTROL MASTER'!$AC$2:$AC$495&gt;=1))*ROW('CONTROL MASTER'!$S$2:$S$495))-(ROW('CONTROL MASTER'!#REF!)-1))),"")),"")</f>
        <v/>
      </c>
      <c r="C130" s="10" t="str">
        <f>IFERROR(IF(SUMPRODUCT((('CONTROL MASTER'!$S$2:$S$495=10)*('CONTROL MASTER'!$T$2:$T$495&lt;=2)*('CONTROL MASTER'!$V$2:$V$495&gt;=2)*('CONTROL MASTER'!$U$2:$U$495&lt;=2)*('CONTROL MASTER'!$W$2:$W$495&gt;=2))*ROW('CONTROL MASTER'!$S$2:$S$495))&gt;0,INDEX('CONTROL MASTER'!$X$2:$X$495,(SUMPRODUCT((('CONTROL MASTER'!$S$2:$S$495=10)*('CONTROL MASTER'!$T$2:$T$495&lt;=2)*('CONTROL MASTER'!$V$2:$V$495&gt;=2)*('CONTROL MASTER'!$U$2:$U$495&lt;=2)*('CONTROL MASTER'!$W$2:$W$495&gt;=2))*ROW('CONTROL MASTER'!$S$2:$S$495))-(ROW('CONTROL MASTER'!#REF!)-1)))&amp;TRIM(MID(SUBSTITUTE(SUBSTITUTE(INDEX('CONTROL MASTER'!$N$2:$N$495,(SUMPRODUCT((('CONTROL MASTER'!$S$2:$S$495=10)*('CONTROL MASTER'!$T$2:$T$495&lt;=2)*('CONTROL MASTER'!$V$2:$V$495&gt;=2)*('CONTROL MASTER'!$U$2:$U$495&lt;=2)*('CONTROL MASTER'!$W$2:$W$495&gt;=2))*ROW('CONTROL MASTER'!$S$2:$S$495))-(ROW('CONTROL MASTER'!#REF!)-1))),":",","),",",REPT(" ",50)),((((2-INDEX('CONTROL MASTER'!$T$2:$T$495,(SUMPRODUCT((('CONTROL MASTER'!$S$2:$S$495=10)*('CONTROL MASTER'!$T$2:$T$495&lt;=2)*('CONTROL MASTER'!$V$2:$V$495&gt;=2)*('CONTROL MASTER'!$U$2:$U$495&lt;=2)*('CONTROL MASTER'!$W$2:$W$495&gt;=2))*ROW('CONTROL MASTER'!$S$2:$S$495))-(ROW('CONTROL MASTER'!#REF!)-1))))*(INDEX('CONTROL MASTER'!$W$2:$W$495,(SUMPRODUCT((('CONTROL MASTER'!$S$2:$S$495=10)*('CONTROL MASTER'!$T$2:$T$495&lt;=2)*('CONTROL MASTER'!$V$2:$V$495&gt;=2)*('CONTROL MASTER'!$U$2:$U$495&lt;=2)*('CONTROL MASTER'!$W$2:$W$495&gt;=2))*ROW('CONTROL MASTER'!$S$2:$S$495))-(ROW('CONTROL MASTER'!#REF!)-1)))-INDEX('CONTROL MASTER'!$U$2:$U$495,(SUMPRODUCT((('CONTROL MASTER'!$S$2:$S$495=10)*('CONTROL MASTER'!$T$2:$T$495&lt;=2)*('CONTROL MASTER'!$V$2:$V$495&gt;=2)*('CONTROL MASTER'!$U$2:$U$495&lt;=2)*('CONTROL MASTER'!$W$2:$W$495&gt;=2))*ROW('CONTROL MASTER'!$S$2:$S$495))-(ROW('CONTROL MASTER'!#REF!)-1)))+1)+(2-INDEX('CONTROL MASTER'!$U$2:$U$495,(SUMPRODUCT((('CONTROL MASTER'!$S$2:$S$495=10)*('CONTROL MASTER'!$T$2:$T$495&lt;=2)*('CONTROL MASTER'!$V$2:$V$495&gt;=2)*('CONTROL MASTER'!$U$2:$U$495&lt;=2)*('CONTROL MASTER'!$W$2:$W$495&gt;=2))*ROW('CONTROL MASTER'!$S$2:$S$495))-(ROW('CONTROL MASTER'!#REF!)-1))))+1))-1)*50+1,50))&amp;"_"&amp;INDEX('CONTROL MASTER'!$P$2:$P$495,(SUMPRODUCT((('CONTROL MASTER'!$S$2:$S$495=10)*('CONTROL MASTER'!$T$2:$T$495&lt;=2)*('CONTROL MASTER'!$V$2:$V$495&gt;=2)*('CONTROL MASTER'!$U$2:$U$495&lt;=2)*('CONTROL MASTER'!$W$2:$W$495&gt;=2))*ROW('CONTROL MASTER'!$S$2:$S$495))-(ROW('CONTROL MASTER'!#REF!)-1))),IF(SUMPRODUCT((('CONTROL MASTER'!$S$2:$S$495=10)*('CONTROL MASTER'!$Z$2:$Z$495&lt;=2)*('CONTROL MASTER'!$AB$2:$AB$495&gt;=2)*('CONTROL MASTER'!$AA$2:$AA$495&lt;=2)*('CONTROL MASTER'!$AC$2:$AC$495&gt;=2))*ROW('CONTROL MASTER'!$S$2:$S$495))&gt;0,INDEX('CONTROL MASTER'!$X$2:$X$495,(SUMPRODUCT((('CONTROL MASTER'!$S$2:$S$495=10)*('CONTROL MASTER'!$Z$2:$Z$495&lt;=2)*('CONTROL MASTER'!$AB$2:$AB$495&gt;=2)*('CONTROL MASTER'!$AA$2:$AA$495&lt;=2)*('CONTROL MASTER'!$AC$2:$AC$495&gt;=2))*ROW('CONTROL MASTER'!$S$2:$S$495))-(ROW('CONTROL MASTER'!#REF!)-1)))&amp;TRIM(MID(SUBSTITUTE(SUBSTITUTE(INDEX('CONTROL MASTER'!$N$2:$N$495,(SUMPRODUCT((('CONTROL MASTER'!$S$2:$S$495=10)*('CONTROL MASTER'!$Z$2:$Z$495&lt;=2)*('CONTROL MASTER'!$AB$2:$AB$495&gt;=2)*('CONTROL MASTER'!$AA$2:$AA$495&lt;=2)*('CONTROL MASTER'!$AC$2:$AC$495&gt;=2))*ROW('CONTROL MASTER'!$S$2:$S$495))-(ROW('CONTROL MASTER'!#REF!)-1))),":",","),",",REPT(" ",50)),(((INDEX('CONTROL MASTER'!$Y$2:$Y$495,(SUMPRODUCT((('CONTROL MASTER'!$S$2:$S$495=10)*('CONTROL MASTER'!$Z$2:$Z$495&lt;=2)*('CONTROL MASTER'!$AB$2:$AB$495&gt;=2)*('CONTROL MASTER'!$AA$2:$AA$495&lt;=2)*('CONTROL MASTER'!$AC$2:$AC$495&gt;=2))*ROW('CONTROL MASTER'!$S$2:$S$495))-(ROW('CONTROL MASTER'!#REF!)-1)))+((2-INDEX('CONTROL MASTER'!$Z$2:$Z$495,(SUMPRODUCT((('CONTROL MASTER'!$S$2:$S$495=10)*('CONTROL MASTER'!$Z$2:$Z$495&lt;=2)*('CONTROL MASTER'!$AB$2:$AB$495&gt;=2)*('CONTROL MASTER'!$AA$2:$AA$495&lt;=2)*('CONTROL MASTER'!$AC$2:$AC$495&gt;=2))*ROW('CONTROL MASTER'!$S$2:$S$495))-(ROW('CONTROL MASTER'!#REF!)-1))))*(INDEX('CONTROL MASTER'!$AC$2:$AC$495,(SUMPRODUCT((('CONTROL MASTER'!$S$2:$S$495=10)*('CONTROL MASTER'!$Z$2:$Z$495&lt;=2)*('CONTROL MASTER'!$AB$2:$AB$495&gt;=2)*('CONTROL MASTER'!$AA$2:$AA$495&lt;=2)*('CONTROL MASTER'!$AC$2:$AC$495&gt;=2))*ROW('CONTROL MASTER'!$S$2:$S$495))-(ROW('CONTROL MASTER'!#REF!)-1)))-INDEX('CONTROL MASTER'!$AA$2:$AA$495,(SUMPRODUCT((('CONTROL MASTER'!$S$2:$S$495=10)*('CONTROL MASTER'!$Z$2:$Z$495&lt;=2)*('CONTROL MASTER'!$AB$2:$AB$495&gt;=2)*('CONTROL MASTER'!$AA$2:$AA$495&lt;=2)*('CONTROL MASTER'!$AC$2:$AC$495&gt;=2))*ROW('CONTROL MASTER'!$S$2:$S$495))-(ROW('CONTROL MASTER'!#REF!)-1)))+1)+(2-INDEX('CONTROL MASTER'!$AA$2:$AA$495,(SUMPRODUCT((('CONTROL MASTER'!$S$2:$S$495=10)*('CONTROL MASTER'!$Z$2:$Z$495&lt;=2)*('CONTROL MASTER'!$AB$2:$AB$495&gt;=2)*('CONTROL MASTER'!$AA$2:$AA$495&lt;=2)*('CONTROL MASTER'!$AC$2:$AC$495&gt;=2))*ROW('CONTROL MASTER'!$S$2:$S$495))-(ROW('CONTROL MASTER'!#REF!)-1))))+1)))-1)*50+1,50))&amp;"_"&amp;INDEX('CONTROL MASTER'!$P$2:$P$495,(SUMPRODUCT((('CONTROL MASTER'!$S$2:$S$495=10)*('CONTROL MASTER'!$Z$2:$Z$495&lt;=2)*('CONTROL MASTER'!$AB$2:$AB$495&gt;=2)*('CONTROL MASTER'!$AA$2:$AA$495&lt;=2)*('CONTROL MASTER'!$AC$2:$AC$495&gt;=2))*ROW('CONTROL MASTER'!$S$2:$S$495))-(ROW('CONTROL MASTER'!#REF!)-1))),"")),"")</f>
        <v/>
      </c>
      <c r="D130" s="10" t="str">
        <f>IFERROR(IF(SUMPRODUCT((('CONTROL MASTER'!$S$2:$S$495=10)*('CONTROL MASTER'!$T$2:$T$495&lt;=2)*('CONTROL MASTER'!$V$2:$V$495&gt;=2)*('CONTROL MASTER'!$U$2:$U$495&lt;=3)*('CONTROL MASTER'!$W$2:$W$495&gt;=3))*ROW('CONTROL MASTER'!$S$2:$S$495))&gt;0,INDEX('CONTROL MASTER'!$X$2:$X$495,(SUMPRODUCT((('CONTROL MASTER'!$S$2:$S$495=10)*('CONTROL MASTER'!$T$2:$T$495&lt;=2)*('CONTROL MASTER'!$V$2:$V$495&gt;=2)*('CONTROL MASTER'!$U$2:$U$495&lt;=3)*('CONTROL MASTER'!$W$2:$W$495&gt;=3))*ROW('CONTROL MASTER'!$S$2:$S$495))-(ROW('CONTROL MASTER'!#REF!)-1)))&amp;TRIM(MID(SUBSTITUTE(SUBSTITUTE(INDEX('CONTROL MASTER'!$N$2:$N$495,(SUMPRODUCT((('CONTROL MASTER'!$S$2:$S$495=10)*('CONTROL MASTER'!$T$2:$T$495&lt;=2)*('CONTROL MASTER'!$V$2:$V$495&gt;=2)*('CONTROL MASTER'!$U$2:$U$495&lt;=3)*('CONTROL MASTER'!$W$2:$W$495&gt;=3))*ROW('CONTROL MASTER'!$S$2:$S$495))-(ROW('CONTROL MASTER'!#REF!)-1))),":",","),",",REPT(" ",50)),((((2-INDEX('CONTROL MASTER'!$T$2:$T$495,(SUMPRODUCT((('CONTROL MASTER'!$S$2:$S$495=10)*('CONTROL MASTER'!$T$2:$T$495&lt;=2)*('CONTROL MASTER'!$V$2:$V$495&gt;=2)*('CONTROL MASTER'!$U$2:$U$495&lt;=3)*('CONTROL MASTER'!$W$2:$W$495&gt;=3))*ROW('CONTROL MASTER'!$S$2:$S$495))-(ROW('CONTROL MASTER'!#REF!)-1))))*(INDEX('CONTROL MASTER'!$W$2:$W$495,(SUMPRODUCT((('CONTROL MASTER'!$S$2:$S$495=10)*('CONTROL MASTER'!$T$2:$T$495&lt;=2)*('CONTROL MASTER'!$V$2:$V$495&gt;=2)*('CONTROL MASTER'!$U$2:$U$495&lt;=3)*('CONTROL MASTER'!$W$2:$W$495&gt;=3))*ROW('CONTROL MASTER'!$S$2:$S$495))-(ROW('CONTROL MASTER'!#REF!)-1)))-INDEX('CONTROL MASTER'!$U$2:$U$495,(SUMPRODUCT((('CONTROL MASTER'!$S$2:$S$495=10)*('CONTROL MASTER'!$T$2:$T$495&lt;=2)*('CONTROL MASTER'!$V$2:$V$495&gt;=2)*('CONTROL MASTER'!$U$2:$U$495&lt;=3)*('CONTROL MASTER'!$W$2:$W$495&gt;=3))*ROW('CONTROL MASTER'!$S$2:$S$495))-(ROW('CONTROL MASTER'!#REF!)-1)))+1)+(3-INDEX('CONTROL MASTER'!$U$2:$U$495,(SUMPRODUCT((('CONTROL MASTER'!$S$2:$S$495=10)*('CONTROL MASTER'!$T$2:$T$495&lt;=2)*('CONTROL MASTER'!$V$2:$V$495&gt;=2)*('CONTROL MASTER'!$U$2:$U$495&lt;=3)*('CONTROL MASTER'!$W$2:$W$495&gt;=3))*ROW('CONTROL MASTER'!$S$2:$S$495))-(ROW('CONTROL MASTER'!#REF!)-1))))+1))-1)*50+1,50))&amp;"_"&amp;INDEX('CONTROL MASTER'!$P$2:$P$495,(SUMPRODUCT((('CONTROL MASTER'!$S$2:$S$495=10)*('CONTROL MASTER'!$T$2:$T$495&lt;=2)*('CONTROL MASTER'!$V$2:$V$495&gt;=2)*('CONTROL MASTER'!$U$2:$U$495&lt;=3)*('CONTROL MASTER'!$W$2:$W$495&gt;=3))*ROW('CONTROL MASTER'!$S$2:$S$495))-(ROW('CONTROL MASTER'!#REF!)-1))),IF(SUMPRODUCT((('CONTROL MASTER'!$S$2:$S$495=10)*('CONTROL MASTER'!$Z$2:$Z$495&lt;=2)*('CONTROL MASTER'!$AB$2:$AB$495&gt;=2)*('CONTROL MASTER'!$AA$2:$AA$495&lt;=3)*('CONTROL MASTER'!$AC$2:$AC$495&gt;=3))*ROW('CONTROL MASTER'!$S$2:$S$495))&gt;0,INDEX('CONTROL MASTER'!$X$2:$X$495,(SUMPRODUCT((('CONTROL MASTER'!$S$2:$S$495=10)*('CONTROL MASTER'!$Z$2:$Z$495&lt;=2)*('CONTROL MASTER'!$AB$2:$AB$495&gt;=2)*('CONTROL MASTER'!$AA$2:$AA$495&lt;=3)*('CONTROL MASTER'!$AC$2:$AC$495&gt;=3))*ROW('CONTROL MASTER'!$S$2:$S$495))-(ROW('CONTROL MASTER'!#REF!)-1)))&amp;TRIM(MID(SUBSTITUTE(SUBSTITUTE(INDEX('CONTROL MASTER'!$N$2:$N$495,(SUMPRODUCT((('CONTROL MASTER'!$S$2:$S$495=10)*('CONTROL MASTER'!$Z$2:$Z$495&lt;=2)*('CONTROL MASTER'!$AB$2:$AB$495&gt;=2)*('CONTROL MASTER'!$AA$2:$AA$495&lt;=3)*('CONTROL MASTER'!$AC$2:$AC$495&gt;=3))*ROW('CONTROL MASTER'!$S$2:$S$495))-(ROW('CONTROL MASTER'!#REF!)-1))),":",","),",",REPT(" ",50)),(((INDEX('CONTROL MASTER'!$Y$2:$Y$495,(SUMPRODUCT((('CONTROL MASTER'!$S$2:$S$495=10)*('CONTROL MASTER'!$Z$2:$Z$495&lt;=2)*('CONTROL MASTER'!$AB$2:$AB$495&gt;=2)*('CONTROL MASTER'!$AA$2:$AA$495&lt;=3)*('CONTROL MASTER'!$AC$2:$AC$495&gt;=3))*ROW('CONTROL MASTER'!$S$2:$S$495))-(ROW('CONTROL MASTER'!#REF!)-1)))+((2-INDEX('CONTROL MASTER'!$Z$2:$Z$495,(SUMPRODUCT((('CONTROL MASTER'!$S$2:$S$495=10)*('CONTROL MASTER'!$Z$2:$Z$495&lt;=2)*('CONTROL MASTER'!$AB$2:$AB$495&gt;=2)*('CONTROL MASTER'!$AA$2:$AA$495&lt;=3)*('CONTROL MASTER'!$AC$2:$AC$495&gt;=3))*ROW('CONTROL MASTER'!$S$2:$S$495))-(ROW('CONTROL MASTER'!#REF!)-1))))*(INDEX('CONTROL MASTER'!$AC$2:$AC$495,(SUMPRODUCT((('CONTROL MASTER'!$S$2:$S$495=10)*('CONTROL MASTER'!$Z$2:$Z$495&lt;=2)*('CONTROL MASTER'!$AB$2:$AB$495&gt;=2)*('CONTROL MASTER'!$AA$2:$AA$495&lt;=3)*('CONTROL MASTER'!$AC$2:$AC$495&gt;=3))*ROW('CONTROL MASTER'!$S$2:$S$495))-(ROW('CONTROL MASTER'!#REF!)-1)))-INDEX('CONTROL MASTER'!$AA$2:$AA$495,(SUMPRODUCT((('CONTROL MASTER'!$S$2:$S$495=10)*('CONTROL MASTER'!$Z$2:$Z$495&lt;=2)*('CONTROL MASTER'!$AB$2:$AB$495&gt;=2)*('CONTROL MASTER'!$AA$2:$AA$495&lt;=3)*('CONTROL MASTER'!$AC$2:$AC$495&gt;=3))*ROW('CONTROL MASTER'!$S$2:$S$495))-(ROW('CONTROL MASTER'!#REF!)-1)))+1)+(3-INDEX('CONTROL MASTER'!$AA$2:$AA$495,(SUMPRODUCT((('CONTROL MASTER'!$S$2:$S$495=10)*('CONTROL MASTER'!$Z$2:$Z$495&lt;=2)*('CONTROL MASTER'!$AB$2:$AB$495&gt;=2)*('CONTROL MASTER'!$AA$2:$AA$495&lt;=3)*('CONTROL MASTER'!$AC$2:$AC$495&gt;=3))*ROW('CONTROL MASTER'!$S$2:$S$495))-(ROW('CONTROL MASTER'!#REF!)-1))))+1)))-1)*50+1,50))&amp;"_"&amp;INDEX('CONTROL MASTER'!$P$2:$P$495,(SUMPRODUCT((('CONTROL MASTER'!$S$2:$S$495=10)*('CONTROL MASTER'!$Z$2:$Z$495&lt;=2)*('CONTROL MASTER'!$AB$2:$AB$495&gt;=2)*('CONTROL MASTER'!$AA$2:$AA$495&lt;=3)*('CONTROL MASTER'!$AC$2:$AC$495&gt;=3))*ROW('CONTROL MASTER'!$S$2:$S$495))-(ROW('CONTROL MASTER'!#REF!)-1))),"")),"")</f>
        <v/>
      </c>
      <c r="E130" s="10" t="str">
        <f>IFERROR(IF(SUMPRODUCT((('CONTROL MASTER'!$S$2:$S$495=10)*('CONTROL MASTER'!$T$2:$T$495&lt;=2)*('CONTROL MASTER'!$V$2:$V$495&gt;=2)*('CONTROL MASTER'!$U$2:$U$495&lt;=4)*('CONTROL MASTER'!$W$2:$W$495&gt;=4))*ROW('CONTROL MASTER'!$S$2:$S$495))&gt;0,INDEX('CONTROL MASTER'!$X$2:$X$495,(SUMPRODUCT((('CONTROL MASTER'!$S$2:$S$495=10)*('CONTROL MASTER'!$T$2:$T$495&lt;=2)*('CONTROL MASTER'!$V$2:$V$495&gt;=2)*('CONTROL MASTER'!$U$2:$U$495&lt;=4)*('CONTROL MASTER'!$W$2:$W$495&gt;=4))*ROW('CONTROL MASTER'!$S$2:$S$495))-(ROW('CONTROL MASTER'!#REF!)-1)))&amp;TRIM(MID(SUBSTITUTE(SUBSTITUTE(INDEX('CONTROL MASTER'!$N$2:$N$495,(SUMPRODUCT((('CONTROL MASTER'!$S$2:$S$495=10)*('CONTROL MASTER'!$T$2:$T$495&lt;=2)*('CONTROL MASTER'!$V$2:$V$495&gt;=2)*('CONTROL MASTER'!$U$2:$U$495&lt;=4)*('CONTROL MASTER'!$W$2:$W$495&gt;=4))*ROW('CONTROL MASTER'!$S$2:$S$495))-(ROW('CONTROL MASTER'!#REF!)-1))),":",","),",",REPT(" ",50)),((((2-INDEX('CONTROL MASTER'!$T$2:$T$495,(SUMPRODUCT((('CONTROL MASTER'!$S$2:$S$495=10)*('CONTROL MASTER'!$T$2:$T$495&lt;=2)*('CONTROL MASTER'!$V$2:$V$495&gt;=2)*('CONTROL MASTER'!$U$2:$U$495&lt;=4)*('CONTROL MASTER'!$W$2:$W$495&gt;=4))*ROW('CONTROL MASTER'!$S$2:$S$495))-(ROW('CONTROL MASTER'!#REF!)-1))))*(INDEX('CONTROL MASTER'!$W$2:$W$495,(SUMPRODUCT((('CONTROL MASTER'!$S$2:$S$495=10)*('CONTROL MASTER'!$T$2:$T$495&lt;=2)*('CONTROL MASTER'!$V$2:$V$495&gt;=2)*('CONTROL MASTER'!$U$2:$U$495&lt;=4)*('CONTROL MASTER'!$W$2:$W$495&gt;=4))*ROW('CONTROL MASTER'!$S$2:$S$495))-(ROW('CONTROL MASTER'!#REF!)-1)))-INDEX('CONTROL MASTER'!$U$2:$U$495,(SUMPRODUCT((('CONTROL MASTER'!$S$2:$S$495=10)*('CONTROL MASTER'!$T$2:$T$495&lt;=2)*('CONTROL MASTER'!$V$2:$V$495&gt;=2)*('CONTROL MASTER'!$U$2:$U$495&lt;=4)*('CONTROL MASTER'!$W$2:$W$495&gt;=4))*ROW('CONTROL MASTER'!$S$2:$S$495))-(ROW('CONTROL MASTER'!#REF!)-1)))+1)+(4-INDEX('CONTROL MASTER'!$U$2:$U$495,(SUMPRODUCT((('CONTROL MASTER'!$S$2:$S$495=10)*('CONTROL MASTER'!$T$2:$T$495&lt;=2)*('CONTROL MASTER'!$V$2:$V$495&gt;=2)*('CONTROL MASTER'!$U$2:$U$495&lt;=4)*('CONTROL MASTER'!$W$2:$W$495&gt;=4))*ROW('CONTROL MASTER'!$S$2:$S$495))-(ROW('CONTROL MASTER'!#REF!)-1))))+1))-1)*50+1,50))&amp;"_"&amp;INDEX('CONTROL MASTER'!$P$2:$P$495,(SUMPRODUCT((('CONTROL MASTER'!$S$2:$S$495=10)*('CONTROL MASTER'!$T$2:$T$495&lt;=2)*('CONTROL MASTER'!$V$2:$V$495&gt;=2)*('CONTROL MASTER'!$U$2:$U$495&lt;=4)*('CONTROL MASTER'!$W$2:$W$495&gt;=4))*ROW('CONTROL MASTER'!$S$2:$S$495))-(ROW('CONTROL MASTER'!#REF!)-1))),IF(SUMPRODUCT((('CONTROL MASTER'!$S$2:$S$495=10)*('CONTROL MASTER'!$Z$2:$Z$495&lt;=2)*('CONTROL MASTER'!$AB$2:$AB$495&gt;=2)*('CONTROL MASTER'!$AA$2:$AA$495&lt;=4)*('CONTROL MASTER'!$AC$2:$AC$495&gt;=4))*ROW('CONTROL MASTER'!$S$2:$S$495))&gt;0,INDEX('CONTROL MASTER'!$X$2:$X$495,(SUMPRODUCT((('CONTROL MASTER'!$S$2:$S$495=10)*('CONTROL MASTER'!$Z$2:$Z$495&lt;=2)*('CONTROL MASTER'!$AB$2:$AB$495&gt;=2)*('CONTROL MASTER'!$AA$2:$AA$495&lt;=4)*('CONTROL MASTER'!$AC$2:$AC$495&gt;=4))*ROW('CONTROL MASTER'!$S$2:$S$495))-(ROW('CONTROL MASTER'!#REF!)-1)))&amp;TRIM(MID(SUBSTITUTE(SUBSTITUTE(INDEX('CONTROL MASTER'!$N$2:$N$495,(SUMPRODUCT((('CONTROL MASTER'!$S$2:$S$495=10)*('CONTROL MASTER'!$Z$2:$Z$495&lt;=2)*('CONTROL MASTER'!$AB$2:$AB$495&gt;=2)*('CONTROL MASTER'!$AA$2:$AA$495&lt;=4)*('CONTROL MASTER'!$AC$2:$AC$495&gt;=4))*ROW('CONTROL MASTER'!$S$2:$S$495))-(ROW('CONTROL MASTER'!#REF!)-1))),":",","),",",REPT(" ",50)),(((INDEX('CONTROL MASTER'!$Y$2:$Y$495,(SUMPRODUCT((('CONTROL MASTER'!$S$2:$S$495=10)*('CONTROL MASTER'!$Z$2:$Z$495&lt;=2)*('CONTROL MASTER'!$AB$2:$AB$495&gt;=2)*('CONTROL MASTER'!$AA$2:$AA$495&lt;=4)*('CONTROL MASTER'!$AC$2:$AC$495&gt;=4))*ROW('CONTROL MASTER'!$S$2:$S$495))-(ROW('CONTROL MASTER'!#REF!)-1)))+((2-INDEX('CONTROL MASTER'!$Z$2:$Z$495,(SUMPRODUCT((('CONTROL MASTER'!$S$2:$S$495=10)*('CONTROL MASTER'!$Z$2:$Z$495&lt;=2)*('CONTROL MASTER'!$AB$2:$AB$495&gt;=2)*('CONTROL MASTER'!$AA$2:$AA$495&lt;=4)*('CONTROL MASTER'!$AC$2:$AC$495&gt;=4))*ROW('CONTROL MASTER'!$S$2:$S$495))-(ROW('CONTROL MASTER'!#REF!)-1))))*(INDEX('CONTROL MASTER'!$AC$2:$AC$495,(SUMPRODUCT((('CONTROL MASTER'!$S$2:$S$495=10)*('CONTROL MASTER'!$Z$2:$Z$495&lt;=2)*('CONTROL MASTER'!$AB$2:$AB$495&gt;=2)*('CONTROL MASTER'!$AA$2:$AA$495&lt;=4)*('CONTROL MASTER'!$AC$2:$AC$495&gt;=4))*ROW('CONTROL MASTER'!$S$2:$S$495))-(ROW('CONTROL MASTER'!#REF!)-1)))-INDEX('CONTROL MASTER'!$AA$2:$AA$495,(SUMPRODUCT((('CONTROL MASTER'!$S$2:$S$495=10)*('CONTROL MASTER'!$Z$2:$Z$495&lt;=2)*('CONTROL MASTER'!$AB$2:$AB$495&gt;=2)*('CONTROL MASTER'!$AA$2:$AA$495&lt;=4)*('CONTROL MASTER'!$AC$2:$AC$495&gt;=4))*ROW('CONTROL MASTER'!$S$2:$S$495))-(ROW('CONTROL MASTER'!#REF!)-1)))+1)+(4-INDEX('CONTROL MASTER'!$AA$2:$AA$495,(SUMPRODUCT((('CONTROL MASTER'!$S$2:$S$495=10)*('CONTROL MASTER'!$Z$2:$Z$495&lt;=2)*('CONTROL MASTER'!$AB$2:$AB$495&gt;=2)*('CONTROL MASTER'!$AA$2:$AA$495&lt;=4)*('CONTROL MASTER'!$AC$2:$AC$495&gt;=4))*ROW('CONTROL MASTER'!$S$2:$S$495))-(ROW('CONTROL MASTER'!#REF!)-1))))+1)))-1)*50+1,50))&amp;"_"&amp;INDEX('CONTROL MASTER'!$P$2:$P$495,(SUMPRODUCT((('CONTROL MASTER'!$S$2:$S$495=10)*('CONTROL MASTER'!$Z$2:$Z$495&lt;=2)*('CONTROL MASTER'!$AB$2:$AB$495&gt;=2)*('CONTROL MASTER'!$AA$2:$AA$495&lt;=4)*('CONTROL MASTER'!$AC$2:$AC$495&gt;=4))*ROW('CONTROL MASTER'!$S$2:$S$495))-(ROW('CONTROL MASTER'!#REF!)-1))),"")),"")</f>
        <v/>
      </c>
      <c r="F130" s="10" t="str">
        <f>IFERROR(IF(SUMPRODUCT((('CONTROL MASTER'!$S$2:$S$495=10)*('CONTROL MASTER'!$T$2:$T$495&lt;=2)*('CONTROL MASTER'!$V$2:$V$495&gt;=2)*('CONTROL MASTER'!$U$2:$U$495&lt;=5)*('CONTROL MASTER'!$W$2:$W$495&gt;=5))*ROW('CONTROL MASTER'!$S$2:$S$495))&gt;0,INDEX('CONTROL MASTER'!$X$2:$X$495,(SUMPRODUCT((('CONTROL MASTER'!$S$2:$S$495=10)*('CONTROL MASTER'!$T$2:$T$495&lt;=2)*('CONTROL MASTER'!$V$2:$V$495&gt;=2)*('CONTROL MASTER'!$U$2:$U$495&lt;=5)*('CONTROL MASTER'!$W$2:$W$495&gt;=5))*ROW('CONTROL MASTER'!$S$2:$S$495))-(ROW('CONTROL MASTER'!#REF!)-1)))&amp;TRIM(MID(SUBSTITUTE(SUBSTITUTE(INDEX('CONTROL MASTER'!$N$2:$N$495,(SUMPRODUCT((('CONTROL MASTER'!$S$2:$S$495=10)*('CONTROL MASTER'!$T$2:$T$495&lt;=2)*('CONTROL MASTER'!$V$2:$V$495&gt;=2)*('CONTROL MASTER'!$U$2:$U$495&lt;=5)*('CONTROL MASTER'!$W$2:$W$495&gt;=5))*ROW('CONTROL MASTER'!$S$2:$S$495))-(ROW('CONTROL MASTER'!#REF!)-1))),":",","),",",REPT(" ",50)),((((2-INDEX('CONTROL MASTER'!$T$2:$T$495,(SUMPRODUCT((('CONTROL MASTER'!$S$2:$S$495=10)*('CONTROL MASTER'!$T$2:$T$495&lt;=2)*('CONTROL MASTER'!$V$2:$V$495&gt;=2)*('CONTROL MASTER'!$U$2:$U$495&lt;=5)*('CONTROL MASTER'!$W$2:$W$495&gt;=5))*ROW('CONTROL MASTER'!$S$2:$S$495))-(ROW('CONTROL MASTER'!#REF!)-1))))*(INDEX('CONTROL MASTER'!$W$2:$W$495,(SUMPRODUCT((('CONTROL MASTER'!$S$2:$S$495=10)*('CONTROL MASTER'!$T$2:$T$495&lt;=2)*('CONTROL MASTER'!$V$2:$V$495&gt;=2)*('CONTROL MASTER'!$U$2:$U$495&lt;=5)*('CONTROL MASTER'!$W$2:$W$495&gt;=5))*ROW('CONTROL MASTER'!$S$2:$S$495))-(ROW('CONTROL MASTER'!#REF!)-1)))-INDEX('CONTROL MASTER'!$U$2:$U$495,(SUMPRODUCT((('CONTROL MASTER'!$S$2:$S$495=10)*('CONTROL MASTER'!$T$2:$T$495&lt;=2)*('CONTROL MASTER'!$V$2:$V$495&gt;=2)*('CONTROL MASTER'!$U$2:$U$495&lt;=5)*('CONTROL MASTER'!$W$2:$W$495&gt;=5))*ROW('CONTROL MASTER'!$S$2:$S$495))-(ROW('CONTROL MASTER'!#REF!)-1)))+1)+(5-INDEX('CONTROL MASTER'!$U$2:$U$495,(SUMPRODUCT((('CONTROL MASTER'!$S$2:$S$495=10)*('CONTROL MASTER'!$T$2:$T$495&lt;=2)*('CONTROL MASTER'!$V$2:$V$495&gt;=2)*('CONTROL MASTER'!$U$2:$U$495&lt;=5)*('CONTROL MASTER'!$W$2:$W$495&gt;=5))*ROW('CONTROL MASTER'!$S$2:$S$495))-(ROW('CONTROL MASTER'!#REF!)-1))))+1))-1)*50+1,50))&amp;"_"&amp;INDEX('CONTROL MASTER'!$P$2:$P$495,(SUMPRODUCT((('CONTROL MASTER'!$S$2:$S$495=10)*('CONTROL MASTER'!$T$2:$T$495&lt;=2)*('CONTROL MASTER'!$V$2:$V$495&gt;=2)*('CONTROL MASTER'!$U$2:$U$495&lt;=5)*('CONTROL MASTER'!$W$2:$W$495&gt;=5))*ROW('CONTROL MASTER'!$S$2:$S$495))-(ROW('CONTROL MASTER'!#REF!)-1))),IF(SUMPRODUCT((('CONTROL MASTER'!$S$2:$S$495=10)*('CONTROL MASTER'!$Z$2:$Z$495&lt;=2)*('CONTROL MASTER'!$AB$2:$AB$495&gt;=2)*('CONTROL MASTER'!$AA$2:$AA$495&lt;=5)*('CONTROL MASTER'!$AC$2:$AC$495&gt;=5))*ROW('CONTROL MASTER'!$S$2:$S$495))&gt;0,INDEX('CONTROL MASTER'!$X$2:$X$495,(SUMPRODUCT((('CONTROL MASTER'!$S$2:$S$495=10)*('CONTROL MASTER'!$Z$2:$Z$495&lt;=2)*('CONTROL MASTER'!$AB$2:$AB$495&gt;=2)*('CONTROL MASTER'!$AA$2:$AA$495&lt;=5)*('CONTROL MASTER'!$AC$2:$AC$495&gt;=5))*ROW('CONTROL MASTER'!$S$2:$S$495))-(ROW('CONTROL MASTER'!#REF!)-1)))&amp;TRIM(MID(SUBSTITUTE(SUBSTITUTE(INDEX('CONTROL MASTER'!$N$2:$N$495,(SUMPRODUCT((('CONTROL MASTER'!$S$2:$S$495=10)*('CONTROL MASTER'!$Z$2:$Z$495&lt;=2)*('CONTROL MASTER'!$AB$2:$AB$495&gt;=2)*('CONTROL MASTER'!$AA$2:$AA$495&lt;=5)*('CONTROL MASTER'!$AC$2:$AC$495&gt;=5))*ROW('CONTROL MASTER'!$S$2:$S$495))-(ROW('CONTROL MASTER'!#REF!)-1))),":",","),",",REPT(" ",50)),(((INDEX('CONTROL MASTER'!$Y$2:$Y$495,(SUMPRODUCT((('CONTROL MASTER'!$S$2:$S$495=10)*('CONTROL MASTER'!$Z$2:$Z$495&lt;=2)*('CONTROL MASTER'!$AB$2:$AB$495&gt;=2)*('CONTROL MASTER'!$AA$2:$AA$495&lt;=5)*('CONTROL MASTER'!$AC$2:$AC$495&gt;=5))*ROW('CONTROL MASTER'!$S$2:$S$495))-(ROW('CONTROL MASTER'!#REF!)-1)))+((2-INDEX('CONTROL MASTER'!$Z$2:$Z$495,(SUMPRODUCT((('CONTROL MASTER'!$S$2:$S$495=10)*('CONTROL MASTER'!$Z$2:$Z$495&lt;=2)*('CONTROL MASTER'!$AB$2:$AB$495&gt;=2)*('CONTROL MASTER'!$AA$2:$AA$495&lt;=5)*('CONTROL MASTER'!$AC$2:$AC$495&gt;=5))*ROW('CONTROL MASTER'!$S$2:$S$495))-(ROW('CONTROL MASTER'!#REF!)-1))))*(INDEX('CONTROL MASTER'!$AC$2:$AC$495,(SUMPRODUCT((('CONTROL MASTER'!$S$2:$S$495=10)*('CONTROL MASTER'!$Z$2:$Z$495&lt;=2)*('CONTROL MASTER'!$AB$2:$AB$495&gt;=2)*('CONTROL MASTER'!$AA$2:$AA$495&lt;=5)*('CONTROL MASTER'!$AC$2:$AC$495&gt;=5))*ROW('CONTROL MASTER'!$S$2:$S$495))-(ROW('CONTROL MASTER'!#REF!)-1)))-INDEX('CONTROL MASTER'!$AA$2:$AA$495,(SUMPRODUCT((('CONTROL MASTER'!$S$2:$S$495=10)*('CONTROL MASTER'!$Z$2:$Z$495&lt;=2)*('CONTROL MASTER'!$AB$2:$AB$495&gt;=2)*('CONTROL MASTER'!$AA$2:$AA$495&lt;=5)*('CONTROL MASTER'!$AC$2:$AC$495&gt;=5))*ROW('CONTROL MASTER'!$S$2:$S$495))-(ROW('CONTROL MASTER'!#REF!)-1)))+1)+(5-INDEX('CONTROL MASTER'!$AA$2:$AA$495,(SUMPRODUCT((('CONTROL MASTER'!$S$2:$S$495=10)*('CONTROL MASTER'!$Z$2:$Z$495&lt;=2)*('CONTROL MASTER'!$AB$2:$AB$495&gt;=2)*('CONTROL MASTER'!$AA$2:$AA$495&lt;=5)*('CONTROL MASTER'!$AC$2:$AC$495&gt;=5))*ROW('CONTROL MASTER'!$S$2:$S$495))-(ROW('CONTROL MASTER'!#REF!)-1))))+1)))-1)*50+1,50))&amp;"_"&amp;INDEX('CONTROL MASTER'!$P$2:$P$495,(SUMPRODUCT((('CONTROL MASTER'!$S$2:$S$495=10)*('CONTROL MASTER'!$Z$2:$Z$495&lt;=2)*('CONTROL MASTER'!$AB$2:$AB$495&gt;=2)*('CONTROL MASTER'!$AA$2:$AA$495&lt;=5)*('CONTROL MASTER'!$AC$2:$AC$495&gt;=5))*ROW('CONTROL MASTER'!$S$2:$S$495))-(ROW('CONTROL MASTER'!#REF!)-1))),"")),"")</f>
        <v/>
      </c>
      <c r="G130" s="10" t="str">
        <f>IFERROR(IF(SUMPRODUCT((('CONTROL MASTER'!$S$2:$S$495=10)*('CONTROL MASTER'!$T$2:$T$495&lt;=2)*('CONTROL MASTER'!$V$2:$V$495&gt;=2)*('CONTROL MASTER'!$U$2:$U$495&lt;=6)*('CONTROL MASTER'!$W$2:$W$495&gt;=6))*ROW('CONTROL MASTER'!$S$2:$S$495))&gt;0,INDEX('CONTROL MASTER'!$X$2:$X$495,(SUMPRODUCT((('CONTROL MASTER'!$S$2:$S$495=10)*('CONTROL MASTER'!$T$2:$T$495&lt;=2)*('CONTROL MASTER'!$V$2:$V$495&gt;=2)*('CONTROL MASTER'!$U$2:$U$495&lt;=6)*('CONTROL MASTER'!$W$2:$W$495&gt;=6))*ROW('CONTROL MASTER'!$S$2:$S$495))-(ROW('CONTROL MASTER'!#REF!)-1)))&amp;TRIM(MID(SUBSTITUTE(SUBSTITUTE(INDEX('CONTROL MASTER'!$N$2:$N$495,(SUMPRODUCT((('CONTROL MASTER'!$S$2:$S$495=10)*('CONTROL MASTER'!$T$2:$T$495&lt;=2)*('CONTROL MASTER'!$V$2:$V$495&gt;=2)*('CONTROL MASTER'!$U$2:$U$495&lt;=6)*('CONTROL MASTER'!$W$2:$W$495&gt;=6))*ROW('CONTROL MASTER'!$S$2:$S$495))-(ROW('CONTROL MASTER'!#REF!)-1))),":",","),",",REPT(" ",50)),((((2-INDEX('CONTROL MASTER'!$T$2:$T$495,(SUMPRODUCT((('CONTROL MASTER'!$S$2:$S$495=10)*('CONTROL MASTER'!$T$2:$T$495&lt;=2)*('CONTROL MASTER'!$V$2:$V$495&gt;=2)*('CONTROL MASTER'!$U$2:$U$495&lt;=6)*('CONTROL MASTER'!$W$2:$W$495&gt;=6))*ROW('CONTROL MASTER'!$S$2:$S$495))-(ROW('CONTROL MASTER'!#REF!)-1))))*(INDEX('CONTROL MASTER'!$W$2:$W$495,(SUMPRODUCT((('CONTROL MASTER'!$S$2:$S$495=10)*('CONTROL MASTER'!$T$2:$T$495&lt;=2)*('CONTROL MASTER'!$V$2:$V$495&gt;=2)*('CONTROL MASTER'!$U$2:$U$495&lt;=6)*('CONTROL MASTER'!$W$2:$W$495&gt;=6))*ROW('CONTROL MASTER'!$S$2:$S$495))-(ROW('CONTROL MASTER'!#REF!)-1)))-INDEX('CONTROL MASTER'!$U$2:$U$495,(SUMPRODUCT((('CONTROL MASTER'!$S$2:$S$495=10)*('CONTROL MASTER'!$T$2:$T$495&lt;=2)*('CONTROL MASTER'!$V$2:$V$495&gt;=2)*('CONTROL MASTER'!$U$2:$U$495&lt;=6)*('CONTROL MASTER'!$W$2:$W$495&gt;=6))*ROW('CONTROL MASTER'!$S$2:$S$495))-(ROW('CONTROL MASTER'!#REF!)-1)))+1)+(6-INDEX('CONTROL MASTER'!$U$2:$U$495,(SUMPRODUCT((('CONTROL MASTER'!$S$2:$S$495=10)*('CONTROL MASTER'!$T$2:$T$495&lt;=2)*('CONTROL MASTER'!$V$2:$V$495&gt;=2)*('CONTROL MASTER'!$U$2:$U$495&lt;=6)*('CONTROL MASTER'!$W$2:$W$495&gt;=6))*ROW('CONTROL MASTER'!$S$2:$S$495))-(ROW('CONTROL MASTER'!#REF!)-1))))+1))-1)*50+1,50))&amp;"_"&amp;INDEX('CONTROL MASTER'!$P$2:$P$495,(SUMPRODUCT((('CONTROL MASTER'!$S$2:$S$495=10)*('CONTROL MASTER'!$T$2:$T$495&lt;=2)*('CONTROL MASTER'!$V$2:$V$495&gt;=2)*('CONTROL MASTER'!$U$2:$U$495&lt;=6)*('CONTROL MASTER'!$W$2:$W$495&gt;=6))*ROW('CONTROL MASTER'!$S$2:$S$495))-(ROW('CONTROL MASTER'!#REF!)-1))),IF(SUMPRODUCT((('CONTROL MASTER'!$S$2:$S$495=10)*('CONTROL MASTER'!$Z$2:$Z$495&lt;=2)*('CONTROL MASTER'!$AB$2:$AB$495&gt;=2)*('CONTROL MASTER'!$AA$2:$AA$495&lt;=6)*('CONTROL MASTER'!$AC$2:$AC$495&gt;=6))*ROW('CONTROL MASTER'!$S$2:$S$495))&gt;0,INDEX('CONTROL MASTER'!$X$2:$X$495,(SUMPRODUCT((('CONTROL MASTER'!$S$2:$S$495=10)*('CONTROL MASTER'!$Z$2:$Z$495&lt;=2)*('CONTROL MASTER'!$AB$2:$AB$495&gt;=2)*('CONTROL MASTER'!$AA$2:$AA$495&lt;=6)*('CONTROL MASTER'!$AC$2:$AC$495&gt;=6))*ROW('CONTROL MASTER'!$S$2:$S$495))-(ROW('CONTROL MASTER'!#REF!)-1)))&amp;TRIM(MID(SUBSTITUTE(SUBSTITUTE(INDEX('CONTROL MASTER'!$N$2:$N$495,(SUMPRODUCT((('CONTROL MASTER'!$S$2:$S$495=10)*('CONTROL MASTER'!$Z$2:$Z$495&lt;=2)*('CONTROL MASTER'!$AB$2:$AB$495&gt;=2)*('CONTROL MASTER'!$AA$2:$AA$495&lt;=6)*('CONTROL MASTER'!$AC$2:$AC$495&gt;=6))*ROW('CONTROL MASTER'!$S$2:$S$495))-(ROW('CONTROL MASTER'!#REF!)-1))),":",","),",",REPT(" ",50)),(((INDEX('CONTROL MASTER'!$Y$2:$Y$495,(SUMPRODUCT((('CONTROL MASTER'!$S$2:$S$495=10)*('CONTROL MASTER'!$Z$2:$Z$495&lt;=2)*('CONTROL MASTER'!$AB$2:$AB$495&gt;=2)*('CONTROL MASTER'!$AA$2:$AA$495&lt;=6)*('CONTROL MASTER'!$AC$2:$AC$495&gt;=6))*ROW('CONTROL MASTER'!$S$2:$S$495))-(ROW('CONTROL MASTER'!#REF!)-1)))+((2-INDEX('CONTROL MASTER'!$Z$2:$Z$495,(SUMPRODUCT((('CONTROL MASTER'!$S$2:$S$495=10)*('CONTROL MASTER'!$Z$2:$Z$495&lt;=2)*('CONTROL MASTER'!$AB$2:$AB$495&gt;=2)*('CONTROL MASTER'!$AA$2:$AA$495&lt;=6)*('CONTROL MASTER'!$AC$2:$AC$495&gt;=6))*ROW('CONTROL MASTER'!$S$2:$S$495))-(ROW('CONTROL MASTER'!#REF!)-1))))*(INDEX('CONTROL MASTER'!$AC$2:$AC$495,(SUMPRODUCT((('CONTROL MASTER'!$S$2:$S$495=10)*('CONTROL MASTER'!$Z$2:$Z$495&lt;=2)*('CONTROL MASTER'!$AB$2:$AB$495&gt;=2)*('CONTROL MASTER'!$AA$2:$AA$495&lt;=6)*('CONTROL MASTER'!$AC$2:$AC$495&gt;=6))*ROW('CONTROL MASTER'!$S$2:$S$495))-(ROW('CONTROL MASTER'!#REF!)-1)))-INDEX('CONTROL MASTER'!$AA$2:$AA$495,(SUMPRODUCT((('CONTROL MASTER'!$S$2:$S$495=10)*('CONTROL MASTER'!$Z$2:$Z$495&lt;=2)*('CONTROL MASTER'!$AB$2:$AB$495&gt;=2)*('CONTROL MASTER'!$AA$2:$AA$495&lt;=6)*('CONTROL MASTER'!$AC$2:$AC$495&gt;=6))*ROW('CONTROL MASTER'!$S$2:$S$495))-(ROW('CONTROL MASTER'!#REF!)-1)))+1)+(6-INDEX('CONTROL MASTER'!$AA$2:$AA$495,(SUMPRODUCT((('CONTROL MASTER'!$S$2:$S$495=10)*('CONTROL MASTER'!$Z$2:$Z$495&lt;=2)*('CONTROL MASTER'!$AB$2:$AB$495&gt;=2)*('CONTROL MASTER'!$AA$2:$AA$495&lt;=6)*('CONTROL MASTER'!$AC$2:$AC$495&gt;=6))*ROW('CONTROL MASTER'!$S$2:$S$495))-(ROW('CONTROL MASTER'!#REF!)-1))))+1)))-1)*50+1,50))&amp;"_"&amp;INDEX('CONTROL MASTER'!$P$2:$P$495,(SUMPRODUCT((('CONTROL MASTER'!$S$2:$S$495=10)*('CONTROL MASTER'!$Z$2:$Z$495&lt;=2)*('CONTROL MASTER'!$AB$2:$AB$495&gt;=2)*('CONTROL MASTER'!$AA$2:$AA$495&lt;=6)*('CONTROL MASTER'!$AC$2:$AC$495&gt;=6))*ROW('CONTROL MASTER'!$S$2:$S$495))-(ROW('CONTROL MASTER'!#REF!)-1))),"")),"")</f>
        <v/>
      </c>
      <c r="H130" s="10" t="str">
        <f>IFERROR(IF(SUMPRODUCT((('CONTROL MASTER'!$S$2:$S$495=10)*('CONTROL MASTER'!$T$2:$T$495&lt;=2)*('CONTROL MASTER'!$V$2:$V$495&gt;=2)*('CONTROL MASTER'!$U$2:$U$495&lt;=7)*('CONTROL MASTER'!$W$2:$W$495&gt;=7))*ROW('CONTROL MASTER'!$S$2:$S$495))&gt;0,INDEX('CONTROL MASTER'!$X$2:$X$495,(SUMPRODUCT((('CONTROL MASTER'!$S$2:$S$495=10)*('CONTROL MASTER'!$T$2:$T$495&lt;=2)*('CONTROL MASTER'!$V$2:$V$495&gt;=2)*('CONTROL MASTER'!$U$2:$U$495&lt;=7)*('CONTROL MASTER'!$W$2:$W$495&gt;=7))*ROW('CONTROL MASTER'!$S$2:$S$495))-(ROW('CONTROL MASTER'!#REF!)-1)))&amp;TRIM(MID(SUBSTITUTE(SUBSTITUTE(INDEX('CONTROL MASTER'!$N$2:$N$495,(SUMPRODUCT((('CONTROL MASTER'!$S$2:$S$495=10)*('CONTROL MASTER'!$T$2:$T$495&lt;=2)*('CONTROL MASTER'!$V$2:$V$495&gt;=2)*('CONTROL MASTER'!$U$2:$U$495&lt;=7)*('CONTROL MASTER'!$W$2:$W$495&gt;=7))*ROW('CONTROL MASTER'!$S$2:$S$495))-(ROW('CONTROL MASTER'!#REF!)-1))),":",","),",",REPT(" ",50)),((((2-INDEX('CONTROL MASTER'!$T$2:$T$495,(SUMPRODUCT((('CONTROL MASTER'!$S$2:$S$495=10)*('CONTROL MASTER'!$T$2:$T$495&lt;=2)*('CONTROL MASTER'!$V$2:$V$495&gt;=2)*('CONTROL MASTER'!$U$2:$U$495&lt;=7)*('CONTROL MASTER'!$W$2:$W$495&gt;=7))*ROW('CONTROL MASTER'!$S$2:$S$495))-(ROW('CONTROL MASTER'!#REF!)-1))))*(INDEX('CONTROL MASTER'!$W$2:$W$495,(SUMPRODUCT((('CONTROL MASTER'!$S$2:$S$495=10)*('CONTROL MASTER'!$T$2:$T$495&lt;=2)*('CONTROL MASTER'!$V$2:$V$495&gt;=2)*('CONTROL MASTER'!$U$2:$U$495&lt;=7)*('CONTROL MASTER'!$W$2:$W$495&gt;=7))*ROW('CONTROL MASTER'!$S$2:$S$495))-(ROW('CONTROL MASTER'!#REF!)-1)))-INDEX('CONTROL MASTER'!$U$2:$U$495,(SUMPRODUCT((('CONTROL MASTER'!$S$2:$S$495=10)*('CONTROL MASTER'!$T$2:$T$495&lt;=2)*('CONTROL MASTER'!$V$2:$V$495&gt;=2)*('CONTROL MASTER'!$U$2:$U$495&lt;=7)*('CONTROL MASTER'!$W$2:$W$495&gt;=7))*ROW('CONTROL MASTER'!$S$2:$S$495))-(ROW('CONTROL MASTER'!#REF!)-1)))+1)+(7-INDEX('CONTROL MASTER'!$U$2:$U$495,(SUMPRODUCT((('CONTROL MASTER'!$S$2:$S$495=10)*('CONTROL MASTER'!$T$2:$T$495&lt;=2)*('CONTROL MASTER'!$V$2:$V$495&gt;=2)*('CONTROL MASTER'!$U$2:$U$495&lt;=7)*('CONTROL MASTER'!$W$2:$W$495&gt;=7))*ROW('CONTROL MASTER'!$S$2:$S$495))-(ROW('CONTROL MASTER'!#REF!)-1))))+1))-1)*50+1,50))&amp;"_"&amp;INDEX('CONTROL MASTER'!$P$2:$P$495,(SUMPRODUCT((('CONTROL MASTER'!$S$2:$S$495=10)*('CONTROL MASTER'!$T$2:$T$495&lt;=2)*('CONTROL MASTER'!$V$2:$V$495&gt;=2)*('CONTROL MASTER'!$U$2:$U$495&lt;=7)*('CONTROL MASTER'!$W$2:$W$495&gt;=7))*ROW('CONTROL MASTER'!$S$2:$S$495))-(ROW('CONTROL MASTER'!#REF!)-1))),IF(SUMPRODUCT((('CONTROL MASTER'!$S$2:$S$495=10)*('CONTROL MASTER'!$Z$2:$Z$495&lt;=2)*('CONTROL MASTER'!$AB$2:$AB$495&gt;=2)*('CONTROL MASTER'!$AA$2:$AA$495&lt;=7)*('CONTROL MASTER'!$AC$2:$AC$495&gt;=7))*ROW('CONTROL MASTER'!$S$2:$S$495))&gt;0,INDEX('CONTROL MASTER'!$X$2:$X$495,(SUMPRODUCT((('CONTROL MASTER'!$S$2:$S$495=10)*('CONTROL MASTER'!$Z$2:$Z$495&lt;=2)*('CONTROL MASTER'!$AB$2:$AB$495&gt;=2)*('CONTROL MASTER'!$AA$2:$AA$495&lt;=7)*('CONTROL MASTER'!$AC$2:$AC$495&gt;=7))*ROW('CONTROL MASTER'!$S$2:$S$495))-(ROW('CONTROL MASTER'!#REF!)-1)))&amp;TRIM(MID(SUBSTITUTE(SUBSTITUTE(INDEX('CONTROL MASTER'!$N$2:$N$495,(SUMPRODUCT((('CONTROL MASTER'!$S$2:$S$495=10)*('CONTROL MASTER'!$Z$2:$Z$495&lt;=2)*('CONTROL MASTER'!$AB$2:$AB$495&gt;=2)*('CONTROL MASTER'!$AA$2:$AA$495&lt;=7)*('CONTROL MASTER'!$AC$2:$AC$495&gt;=7))*ROW('CONTROL MASTER'!$S$2:$S$495))-(ROW('CONTROL MASTER'!#REF!)-1))),":",","),",",REPT(" ",50)),(((INDEX('CONTROL MASTER'!$Y$2:$Y$495,(SUMPRODUCT((('CONTROL MASTER'!$S$2:$S$495=10)*('CONTROL MASTER'!$Z$2:$Z$495&lt;=2)*('CONTROL MASTER'!$AB$2:$AB$495&gt;=2)*('CONTROL MASTER'!$AA$2:$AA$495&lt;=7)*('CONTROL MASTER'!$AC$2:$AC$495&gt;=7))*ROW('CONTROL MASTER'!$S$2:$S$495))-(ROW('CONTROL MASTER'!#REF!)-1)))+((2-INDEX('CONTROL MASTER'!$Z$2:$Z$495,(SUMPRODUCT((('CONTROL MASTER'!$S$2:$S$495=10)*('CONTROL MASTER'!$Z$2:$Z$495&lt;=2)*('CONTROL MASTER'!$AB$2:$AB$495&gt;=2)*('CONTROL MASTER'!$AA$2:$AA$495&lt;=7)*('CONTROL MASTER'!$AC$2:$AC$495&gt;=7))*ROW('CONTROL MASTER'!$S$2:$S$495))-(ROW('CONTROL MASTER'!#REF!)-1))))*(INDEX('CONTROL MASTER'!$AC$2:$AC$495,(SUMPRODUCT((('CONTROL MASTER'!$S$2:$S$495=10)*('CONTROL MASTER'!$Z$2:$Z$495&lt;=2)*('CONTROL MASTER'!$AB$2:$AB$495&gt;=2)*('CONTROL MASTER'!$AA$2:$AA$495&lt;=7)*('CONTROL MASTER'!$AC$2:$AC$495&gt;=7))*ROW('CONTROL MASTER'!$S$2:$S$495))-(ROW('CONTROL MASTER'!#REF!)-1)))-INDEX('CONTROL MASTER'!$AA$2:$AA$495,(SUMPRODUCT((('CONTROL MASTER'!$S$2:$S$495=10)*('CONTROL MASTER'!$Z$2:$Z$495&lt;=2)*('CONTROL MASTER'!$AB$2:$AB$495&gt;=2)*('CONTROL MASTER'!$AA$2:$AA$495&lt;=7)*('CONTROL MASTER'!$AC$2:$AC$495&gt;=7))*ROW('CONTROL MASTER'!$S$2:$S$495))-(ROW('CONTROL MASTER'!#REF!)-1)))+1)+(7-INDEX('CONTROL MASTER'!$AA$2:$AA$495,(SUMPRODUCT((('CONTROL MASTER'!$S$2:$S$495=10)*('CONTROL MASTER'!$Z$2:$Z$495&lt;=2)*('CONTROL MASTER'!$AB$2:$AB$495&gt;=2)*('CONTROL MASTER'!$AA$2:$AA$495&lt;=7)*('CONTROL MASTER'!$AC$2:$AC$495&gt;=7))*ROW('CONTROL MASTER'!$S$2:$S$495))-(ROW('CONTROL MASTER'!#REF!)-1))))+1)))-1)*50+1,50))&amp;"_"&amp;INDEX('CONTROL MASTER'!$P$2:$P$495,(SUMPRODUCT((('CONTROL MASTER'!$S$2:$S$495=10)*('CONTROL MASTER'!$Z$2:$Z$495&lt;=2)*('CONTROL MASTER'!$AB$2:$AB$495&gt;=2)*('CONTROL MASTER'!$AA$2:$AA$495&lt;=7)*('CONTROL MASTER'!$AC$2:$AC$495&gt;=7))*ROW('CONTROL MASTER'!$S$2:$S$495))-(ROW('CONTROL MASTER'!#REF!)-1))),"")),"")</f>
        <v/>
      </c>
      <c r="I130" s="10" t="str">
        <f>IFERROR(IF(SUMPRODUCT((('CONTROL MASTER'!$S$2:$S$495=10)*('CONTROL MASTER'!$T$2:$T$495&lt;=2)*('CONTROL MASTER'!$V$2:$V$495&gt;=2)*('CONTROL MASTER'!$U$2:$U$495&lt;=8)*('CONTROL MASTER'!$W$2:$W$495&gt;=8))*ROW('CONTROL MASTER'!$S$2:$S$495))&gt;0,INDEX('CONTROL MASTER'!$X$2:$X$495,(SUMPRODUCT((('CONTROL MASTER'!$S$2:$S$495=10)*('CONTROL MASTER'!$T$2:$T$495&lt;=2)*('CONTROL MASTER'!$V$2:$V$495&gt;=2)*('CONTROL MASTER'!$U$2:$U$495&lt;=8)*('CONTROL MASTER'!$W$2:$W$495&gt;=8))*ROW('CONTROL MASTER'!$S$2:$S$495))-(ROW('CONTROL MASTER'!#REF!)-1)))&amp;TRIM(MID(SUBSTITUTE(SUBSTITUTE(INDEX('CONTROL MASTER'!$N$2:$N$495,(SUMPRODUCT((('CONTROL MASTER'!$S$2:$S$495=10)*('CONTROL MASTER'!$T$2:$T$495&lt;=2)*('CONTROL MASTER'!$V$2:$V$495&gt;=2)*('CONTROL MASTER'!$U$2:$U$495&lt;=8)*('CONTROL MASTER'!$W$2:$W$495&gt;=8))*ROW('CONTROL MASTER'!$S$2:$S$495))-(ROW('CONTROL MASTER'!#REF!)-1))),":",","),",",REPT(" ",50)),((((2-INDEX('CONTROL MASTER'!$T$2:$T$495,(SUMPRODUCT((('CONTROL MASTER'!$S$2:$S$495=10)*('CONTROL MASTER'!$T$2:$T$495&lt;=2)*('CONTROL MASTER'!$V$2:$V$495&gt;=2)*('CONTROL MASTER'!$U$2:$U$495&lt;=8)*('CONTROL MASTER'!$W$2:$W$495&gt;=8))*ROW('CONTROL MASTER'!$S$2:$S$495))-(ROW('CONTROL MASTER'!#REF!)-1))))*(INDEX('CONTROL MASTER'!$W$2:$W$495,(SUMPRODUCT((('CONTROL MASTER'!$S$2:$S$495=10)*('CONTROL MASTER'!$T$2:$T$495&lt;=2)*('CONTROL MASTER'!$V$2:$V$495&gt;=2)*('CONTROL MASTER'!$U$2:$U$495&lt;=8)*('CONTROL MASTER'!$W$2:$W$495&gt;=8))*ROW('CONTROL MASTER'!$S$2:$S$495))-(ROW('CONTROL MASTER'!#REF!)-1)))-INDEX('CONTROL MASTER'!$U$2:$U$495,(SUMPRODUCT((('CONTROL MASTER'!$S$2:$S$495=10)*('CONTROL MASTER'!$T$2:$T$495&lt;=2)*('CONTROL MASTER'!$V$2:$V$495&gt;=2)*('CONTROL MASTER'!$U$2:$U$495&lt;=8)*('CONTROL MASTER'!$W$2:$W$495&gt;=8))*ROW('CONTROL MASTER'!$S$2:$S$495))-(ROW('CONTROL MASTER'!#REF!)-1)))+1)+(8-INDEX('CONTROL MASTER'!$U$2:$U$495,(SUMPRODUCT((('CONTROL MASTER'!$S$2:$S$495=10)*('CONTROL MASTER'!$T$2:$T$495&lt;=2)*('CONTROL MASTER'!$V$2:$V$495&gt;=2)*('CONTROL MASTER'!$U$2:$U$495&lt;=8)*('CONTROL MASTER'!$W$2:$W$495&gt;=8))*ROW('CONTROL MASTER'!$S$2:$S$495))-(ROW('CONTROL MASTER'!#REF!)-1))))+1))-1)*50+1,50))&amp;"_"&amp;INDEX('CONTROL MASTER'!$P$2:$P$495,(SUMPRODUCT((('CONTROL MASTER'!$S$2:$S$495=10)*('CONTROL MASTER'!$T$2:$T$495&lt;=2)*('CONTROL MASTER'!$V$2:$V$495&gt;=2)*('CONTROL MASTER'!$U$2:$U$495&lt;=8)*('CONTROL MASTER'!$W$2:$W$495&gt;=8))*ROW('CONTROL MASTER'!$S$2:$S$495))-(ROW('CONTROL MASTER'!#REF!)-1))),IF(SUMPRODUCT((('CONTROL MASTER'!$S$2:$S$495=10)*('CONTROL MASTER'!$Z$2:$Z$495&lt;=2)*('CONTROL MASTER'!$AB$2:$AB$495&gt;=2)*('CONTROL MASTER'!$AA$2:$AA$495&lt;=8)*('CONTROL MASTER'!$AC$2:$AC$495&gt;=8))*ROW('CONTROL MASTER'!$S$2:$S$495))&gt;0,INDEX('CONTROL MASTER'!$X$2:$X$495,(SUMPRODUCT((('CONTROL MASTER'!$S$2:$S$495=10)*('CONTROL MASTER'!$Z$2:$Z$495&lt;=2)*('CONTROL MASTER'!$AB$2:$AB$495&gt;=2)*('CONTROL MASTER'!$AA$2:$AA$495&lt;=8)*('CONTROL MASTER'!$AC$2:$AC$495&gt;=8))*ROW('CONTROL MASTER'!$S$2:$S$495))-(ROW('CONTROL MASTER'!#REF!)-1)))&amp;TRIM(MID(SUBSTITUTE(SUBSTITUTE(INDEX('CONTROL MASTER'!$N$2:$N$495,(SUMPRODUCT((('CONTROL MASTER'!$S$2:$S$495=10)*('CONTROL MASTER'!$Z$2:$Z$495&lt;=2)*('CONTROL MASTER'!$AB$2:$AB$495&gt;=2)*('CONTROL MASTER'!$AA$2:$AA$495&lt;=8)*('CONTROL MASTER'!$AC$2:$AC$495&gt;=8))*ROW('CONTROL MASTER'!$S$2:$S$495))-(ROW('CONTROL MASTER'!#REF!)-1))),":",","),",",REPT(" ",50)),(((INDEX('CONTROL MASTER'!$Y$2:$Y$495,(SUMPRODUCT((('CONTROL MASTER'!$S$2:$S$495=10)*('CONTROL MASTER'!$Z$2:$Z$495&lt;=2)*('CONTROL MASTER'!$AB$2:$AB$495&gt;=2)*('CONTROL MASTER'!$AA$2:$AA$495&lt;=8)*('CONTROL MASTER'!$AC$2:$AC$495&gt;=8))*ROW('CONTROL MASTER'!$S$2:$S$495))-(ROW('CONTROL MASTER'!#REF!)-1)))+((2-INDEX('CONTROL MASTER'!$Z$2:$Z$495,(SUMPRODUCT((('CONTROL MASTER'!$S$2:$S$495=10)*('CONTROL MASTER'!$Z$2:$Z$495&lt;=2)*('CONTROL MASTER'!$AB$2:$AB$495&gt;=2)*('CONTROL MASTER'!$AA$2:$AA$495&lt;=8)*('CONTROL MASTER'!$AC$2:$AC$495&gt;=8))*ROW('CONTROL MASTER'!$S$2:$S$495))-(ROW('CONTROL MASTER'!#REF!)-1))))*(INDEX('CONTROL MASTER'!$AC$2:$AC$495,(SUMPRODUCT((('CONTROL MASTER'!$S$2:$S$495=10)*('CONTROL MASTER'!$Z$2:$Z$495&lt;=2)*('CONTROL MASTER'!$AB$2:$AB$495&gt;=2)*('CONTROL MASTER'!$AA$2:$AA$495&lt;=8)*('CONTROL MASTER'!$AC$2:$AC$495&gt;=8))*ROW('CONTROL MASTER'!$S$2:$S$495))-(ROW('CONTROL MASTER'!#REF!)-1)))-INDEX('CONTROL MASTER'!$AA$2:$AA$495,(SUMPRODUCT((('CONTROL MASTER'!$S$2:$S$495=10)*('CONTROL MASTER'!$Z$2:$Z$495&lt;=2)*('CONTROL MASTER'!$AB$2:$AB$495&gt;=2)*('CONTROL MASTER'!$AA$2:$AA$495&lt;=8)*('CONTROL MASTER'!$AC$2:$AC$495&gt;=8))*ROW('CONTROL MASTER'!$S$2:$S$495))-(ROW('CONTROL MASTER'!#REF!)-1)))+1)+(8-INDEX('CONTROL MASTER'!$AA$2:$AA$495,(SUMPRODUCT((('CONTROL MASTER'!$S$2:$S$495=10)*('CONTROL MASTER'!$Z$2:$Z$495&lt;=2)*('CONTROL MASTER'!$AB$2:$AB$495&gt;=2)*('CONTROL MASTER'!$AA$2:$AA$495&lt;=8)*('CONTROL MASTER'!$AC$2:$AC$495&gt;=8))*ROW('CONTROL MASTER'!$S$2:$S$495))-(ROW('CONTROL MASTER'!#REF!)-1))))+1)))-1)*50+1,50))&amp;"_"&amp;INDEX('CONTROL MASTER'!$P$2:$P$495,(SUMPRODUCT((('CONTROL MASTER'!$S$2:$S$495=10)*('CONTROL MASTER'!$Z$2:$Z$495&lt;=2)*('CONTROL MASTER'!$AB$2:$AB$495&gt;=2)*('CONTROL MASTER'!$AA$2:$AA$495&lt;=8)*('CONTROL MASTER'!$AC$2:$AC$495&gt;=8))*ROW('CONTROL MASTER'!$S$2:$S$495))-(ROW('CONTROL MASTER'!#REF!)-1))),"")),"")</f>
        <v/>
      </c>
      <c r="J130" s="10" t="str">
        <f>IFERROR(IF(SUMPRODUCT((('CONTROL MASTER'!$S$2:$S$495=10)*('CONTROL MASTER'!$T$2:$T$495&lt;=2)*('CONTROL MASTER'!$V$2:$V$495&gt;=2)*('CONTROL MASTER'!$U$2:$U$495&lt;=9)*('CONTROL MASTER'!$W$2:$W$495&gt;=9))*ROW('CONTROL MASTER'!$S$2:$S$495))&gt;0,INDEX('CONTROL MASTER'!$X$2:$X$495,(SUMPRODUCT((('CONTROL MASTER'!$S$2:$S$495=10)*('CONTROL MASTER'!$T$2:$T$495&lt;=2)*('CONTROL MASTER'!$V$2:$V$495&gt;=2)*('CONTROL MASTER'!$U$2:$U$495&lt;=9)*('CONTROL MASTER'!$W$2:$W$495&gt;=9))*ROW('CONTROL MASTER'!$S$2:$S$495))-(ROW('CONTROL MASTER'!#REF!)-1)))&amp;TRIM(MID(SUBSTITUTE(SUBSTITUTE(INDEX('CONTROL MASTER'!$N$2:$N$495,(SUMPRODUCT((('CONTROL MASTER'!$S$2:$S$495=10)*('CONTROL MASTER'!$T$2:$T$495&lt;=2)*('CONTROL MASTER'!$V$2:$V$495&gt;=2)*('CONTROL MASTER'!$U$2:$U$495&lt;=9)*('CONTROL MASTER'!$W$2:$W$495&gt;=9))*ROW('CONTROL MASTER'!$S$2:$S$495))-(ROW('CONTROL MASTER'!#REF!)-1))),":",","),",",REPT(" ",50)),((((2-INDEX('CONTROL MASTER'!$T$2:$T$495,(SUMPRODUCT((('CONTROL MASTER'!$S$2:$S$495=10)*('CONTROL MASTER'!$T$2:$T$495&lt;=2)*('CONTROL MASTER'!$V$2:$V$495&gt;=2)*('CONTROL MASTER'!$U$2:$U$495&lt;=9)*('CONTROL MASTER'!$W$2:$W$495&gt;=9))*ROW('CONTROL MASTER'!$S$2:$S$495))-(ROW('CONTROL MASTER'!#REF!)-1))))*(INDEX('CONTROL MASTER'!$W$2:$W$495,(SUMPRODUCT((('CONTROL MASTER'!$S$2:$S$495=10)*('CONTROL MASTER'!$T$2:$T$495&lt;=2)*('CONTROL MASTER'!$V$2:$V$495&gt;=2)*('CONTROL MASTER'!$U$2:$U$495&lt;=9)*('CONTROL MASTER'!$W$2:$W$495&gt;=9))*ROW('CONTROL MASTER'!$S$2:$S$495))-(ROW('CONTROL MASTER'!#REF!)-1)))-INDEX('CONTROL MASTER'!$U$2:$U$495,(SUMPRODUCT((('CONTROL MASTER'!$S$2:$S$495=10)*('CONTROL MASTER'!$T$2:$T$495&lt;=2)*('CONTROL MASTER'!$V$2:$V$495&gt;=2)*('CONTROL MASTER'!$U$2:$U$495&lt;=9)*('CONTROL MASTER'!$W$2:$W$495&gt;=9))*ROW('CONTROL MASTER'!$S$2:$S$495))-(ROW('CONTROL MASTER'!#REF!)-1)))+1)+(9-INDEX('CONTROL MASTER'!$U$2:$U$495,(SUMPRODUCT((('CONTROL MASTER'!$S$2:$S$495=10)*('CONTROL MASTER'!$T$2:$T$495&lt;=2)*('CONTROL MASTER'!$V$2:$V$495&gt;=2)*('CONTROL MASTER'!$U$2:$U$495&lt;=9)*('CONTROL MASTER'!$W$2:$W$495&gt;=9))*ROW('CONTROL MASTER'!$S$2:$S$495))-(ROW('CONTROL MASTER'!#REF!)-1))))+1))-1)*50+1,50))&amp;"_"&amp;INDEX('CONTROL MASTER'!$P$2:$P$495,(SUMPRODUCT((('CONTROL MASTER'!$S$2:$S$495=10)*('CONTROL MASTER'!$T$2:$T$495&lt;=2)*('CONTROL MASTER'!$V$2:$V$495&gt;=2)*('CONTROL MASTER'!$U$2:$U$495&lt;=9)*('CONTROL MASTER'!$W$2:$W$495&gt;=9))*ROW('CONTROL MASTER'!$S$2:$S$495))-(ROW('CONTROL MASTER'!#REF!)-1))),IF(SUMPRODUCT((('CONTROL MASTER'!$S$2:$S$495=10)*('CONTROL MASTER'!$Z$2:$Z$495&lt;=2)*('CONTROL MASTER'!$AB$2:$AB$495&gt;=2)*('CONTROL MASTER'!$AA$2:$AA$495&lt;=9)*('CONTROL MASTER'!$AC$2:$AC$495&gt;=9))*ROW('CONTROL MASTER'!$S$2:$S$495))&gt;0,INDEX('CONTROL MASTER'!$X$2:$X$495,(SUMPRODUCT((('CONTROL MASTER'!$S$2:$S$495=10)*('CONTROL MASTER'!$Z$2:$Z$495&lt;=2)*('CONTROL MASTER'!$AB$2:$AB$495&gt;=2)*('CONTROL MASTER'!$AA$2:$AA$495&lt;=9)*('CONTROL MASTER'!$AC$2:$AC$495&gt;=9))*ROW('CONTROL MASTER'!$S$2:$S$495))-(ROW('CONTROL MASTER'!#REF!)-1)))&amp;TRIM(MID(SUBSTITUTE(SUBSTITUTE(INDEX('CONTROL MASTER'!$N$2:$N$495,(SUMPRODUCT((('CONTROL MASTER'!$S$2:$S$495=10)*('CONTROL MASTER'!$Z$2:$Z$495&lt;=2)*('CONTROL MASTER'!$AB$2:$AB$495&gt;=2)*('CONTROL MASTER'!$AA$2:$AA$495&lt;=9)*('CONTROL MASTER'!$AC$2:$AC$495&gt;=9))*ROW('CONTROL MASTER'!$S$2:$S$495))-(ROW('CONTROL MASTER'!#REF!)-1))),":",","),",",REPT(" ",50)),(((INDEX('CONTROL MASTER'!$Y$2:$Y$495,(SUMPRODUCT((('CONTROL MASTER'!$S$2:$S$495=10)*('CONTROL MASTER'!$Z$2:$Z$495&lt;=2)*('CONTROL MASTER'!$AB$2:$AB$495&gt;=2)*('CONTROL MASTER'!$AA$2:$AA$495&lt;=9)*('CONTROL MASTER'!$AC$2:$AC$495&gt;=9))*ROW('CONTROL MASTER'!$S$2:$S$495))-(ROW('CONTROL MASTER'!#REF!)-1)))+((2-INDEX('CONTROL MASTER'!$Z$2:$Z$495,(SUMPRODUCT((('CONTROL MASTER'!$S$2:$S$495=10)*('CONTROL MASTER'!$Z$2:$Z$495&lt;=2)*('CONTROL MASTER'!$AB$2:$AB$495&gt;=2)*('CONTROL MASTER'!$AA$2:$AA$495&lt;=9)*('CONTROL MASTER'!$AC$2:$AC$495&gt;=9))*ROW('CONTROL MASTER'!$S$2:$S$495))-(ROW('CONTROL MASTER'!#REF!)-1))))*(INDEX('CONTROL MASTER'!$AC$2:$AC$495,(SUMPRODUCT((('CONTROL MASTER'!$S$2:$S$495=10)*('CONTROL MASTER'!$Z$2:$Z$495&lt;=2)*('CONTROL MASTER'!$AB$2:$AB$495&gt;=2)*('CONTROL MASTER'!$AA$2:$AA$495&lt;=9)*('CONTROL MASTER'!$AC$2:$AC$495&gt;=9))*ROW('CONTROL MASTER'!$S$2:$S$495))-(ROW('CONTROL MASTER'!#REF!)-1)))-INDEX('CONTROL MASTER'!$AA$2:$AA$495,(SUMPRODUCT((('CONTROL MASTER'!$S$2:$S$495=10)*('CONTROL MASTER'!$Z$2:$Z$495&lt;=2)*('CONTROL MASTER'!$AB$2:$AB$495&gt;=2)*('CONTROL MASTER'!$AA$2:$AA$495&lt;=9)*('CONTROL MASTER'!$AC$2:$AC$495&gt;=9))*ROW('CONTROL MASTER'!$S$2:$S$495))-(ROW('CONTROL MASTER'!#REF!)-1)))+1)+(9-INDEX('CONTROL MASTER'!$AA$2:$AA$495,(SUMPRODUCT((('CONTROL MASTER'!$S$2:$S$495=10)*('CONTROL MASTER'!$Z$2:$Z$495&lt;=2)*('CONTROL MASTER'!$AB$2:$AB$495&gt;=2)*('CONTROL MASTER'!$AA$2:$AA$495&lt;=9)*('CONTROL MASTER'!$AC$2:$AC$495&gt;=9))*ROW('CONTROL MASTER'!$S$2:$S$495))-(ROW('CONTROL MASTER'!#REF!)-1))))+1)))-1)*50+1,50))&amp;"_"&amp;INDEX('CONTROL MASTER'!$P$2:$P$495,(SUMPRODUCT((('CONTROL MASTER'!$S$2:$S$495=10)*('CONTROL MASTER'!$Z$2:$Z$495&lt;=2)*('CONTROL MASTER'!$AB$2:$AB$495&gt;=2)*('CONTROL MASTER'!$AA$2:$AA$495&lt;=9)*('CONTROL MASTER'!$AC$2:$AC$495&gt;=9))*ROW('CONTROL MASTER'!$S$2:$S$495))-(ROW('CONTROL MASTER'!#REF!)-1))),"")),"")</f>
        <v/>
      </c>
      <c r="K130" s="10" t="str">
        <f>IFERROR(IF(SUMPRODUCT((('CONTROL MASTER'!$S$2:$S$495=10)*('CONTROL MASTER'!$T$2:$T$495&lt;=2)*('CONTROL MASTER'!$V$2:$V$495&gt;=2)*('CONTROL MASTER'!$U$2:$U$495&lt;=10)*('CONTROL MASTER'!$W$2:$W$495&gt;=10))*ROW('CONTROL MASTER'!$S$2:$S$495))&gt;0,INDEX('CONTROL MASTER'!$X$2:$X$495,(SUMPRODUCT((('CONTROL MASTER'!$S$2:$S$495=10)*('CONTROL MASTER'!$T$2:$T$495&lt;=2)*('CONTROL MASTER'!$V$2:$V$495&gt;=2)*('CONTROL MASTER'!$U$2:$U$495&lt;=10)*('CONTROL MASTER'!$W$2:$W$495&gt;=10))*ROW('CONTROL MASTER'!$S$2:$S$495))-(ROW('CONTROL MASTER'!#REF!)-1)))&amp;TRIM(MID(SUBSTITUTE(SUBSTITUTE(INDEX('CONTROL MASTER'!$N$2:$N$495,(SUMPRODUCT((('CONTROL MASTER'!$S$2:$S$495=10)*('CONTROL MASTER'!$T$2:$T$495&lt;=2)*('CONTROL MASTER'!$V$2:$V$495&gt;=2)*('CONTROL MASTER'!$U$2:$U$495&lt;=10)*('CONTROL MASTER'!$W$2:$W$495&gt;=10))*ROW('CONTROL MASTER'!$S$2:$S$495))-(ROW('CONTROL MASTER'!#REF!)-1))),":",","),",",REPT(" ",50)),((((2-INDEX('CONTROL MASTER'!$T$2:$T$495,(SUMPRODUCT((('CONTROL MASTER'!$S$2:$S$495=10)*('CONTROL MASTER'!$T$2:$T$495&lt;=2)*('CONTROL MASTER'!$V$2:$V$495&gt;=2)*('CONTROL MASTER'!$U$2:$U$495&lt;=10)*('CONTROL MASTER'!$W$2:$W$495&gt;=10))*ROW('CONTROL MASTER'!$S$2:$S$495))-(ROW('CONTROL MASTER'!#REF!)-1))))*(INDEX('CONTROL MASTER'!$W$2:$W$495,(SUMPRODUCT((('CONTROL MASTER'!$S$2:$S$495=10)*('CONTROL MASTER'!$T$2:$T$495&lt;=2)*('CONTROL MASTER'!$V$2:$V$495&gt;=2)*('CONTROL MASTER'!$U$2:$U$495&lt;=10)*('CONTROL MASTER'!$W$2:$W$495&gt;=10))*ROW('CONTROL MASTER'!$S$2:$S$495))-(ROW('CONTROL MASTER'!#REF!)-1)))-INDEX('CONTROL MASTER'!$U$2:$U$495,(SUMPRODUCT((('CONTROL MASTER'!$S$2:$S$495=10)*('CONTROL MASTER'!$T$2:$T$495&lt;=2)*('CONTROL MASTER'!$V$2:$V$495&gt;=2)*('CONTROL MASTER'!$U$2:$U$495&lt;=10)*('CONTROL MASTER'!$W$2:$W$495&gt;=10))*ROW('CONTROL MASTER'!$S$2:$S$495))-(ROW('CONTROL MASTER'!#REF!)-1)))+1)+(10-INDEX('CONTROL MASTER'!$U$2:$U$495,(SUMPRODUCT((('CONTROL MASTER'!$S$2:$S$495=10)*('CONTROL MASTER'!$T$2:$T$495&lt;=2)*('CONTROL MASTER'!$V$2:$V$495&gt;=2)*('CONTROL MASTER'!$U$2:$U$495&lt;=10)*('CONTROL MASTER'!$W$2:$W$495&gt;=10))*ROW('CONTROL MASTER'!$S$2:$S$495))-(ROW('CONTROL MASTER'!#REF!)-1))))+1))-1)*50+1,50))&amp;"_"&amp;INDEX('CONTROL MASTER'!$P$2:$P$495,(SUMPRODUCT((('CONTROL MASTER'!$S$2:$S$495=10)*('CONTROL MASTER'!$T$2:$T$495&lt;=2)*('CONTROL MASTER'!$V$2:$V$495&gt;=2)*('CONTROL MASTER'!$U$2:$U$495&lt;=10)*('CONTROL MASTER'!$W$2:$W$495&gt;=10))*ROW('CONTROL MASTER'!$S$2:$S$495))-(ROW('CONTROL MASTER'!#REF!)-1))),IF(SUMPRODUCT((('CONTROL MASTER'!$S$2:$S$495=10)*('CONTROL MASTER'!$Z$2:$Z$495&lt;=2)*('CONTROL MASTER'!$AB$2:$AB$495&gt;=2)*('CONTROL MASTER'!$AA$2:$AA$495&lt;=10)*('CONTROL MASTER'!$AC$2:$AC$495&gt;=10))*ROW('CONTROL MASTER'!$S$2:$S$495))&gt;0,INDEX('CONTROL MASTER'!$X$2:$X$495,(SUMPRODUCT((('CONTROL MASTER'!$S$2:$S$495=10)*('CONTROL MASTER'!$Z$2:$Z$495&lt;=2)*('CONTROL MASTER'!$AB$2:$AB$495&gt;=2)*('CONTROL MASTER'!$AA$2:$AA$495&lt;=10)*('CONTROL MASTER'!$AC$2:$AC$495&gt;=10))*ROW('CONTROL MASTER'!$S$2:$S$495))-(ROW('CONTROL MASTER'!#REF!)-1)))&amp;TRIM(MID(SUBSTITUTE(SUBSTITUTE(INDEX('CONTROL MASTER'!$N$2:$N$495,(SUMPRODUCT((('CONTROL MASTER'!$S$2:$S$495=10)*('CONTROL MASTER'!$Z$2:$Z$495&lt;=2)*('CONTROL MASTER'!$AB$2:$AB$495&gt;=2)*('CONTROL MASTER'!$AA$2:$AA$495&lt;=10)*('CONTROL MASTER'!$AC$2:$AC$495&gt;=10))*ROW('CONTROL MASTER'!$S$2:$S$495))-(ROW('CONTROL MASTER'!#REF!)-1))),":",","),",",REPT(" ",50)),(((INDEX('CONTROL MASTER'!$Y$2:$Y$495,(SUMPRODUCT((('CONTROL MASTER'!$S$2:$S$495=10)*('CONTROL MASTER'!$Z$2:$Z$495&lt;=2)*('CONTROL MASTER'!$AB$2:$AB$495&gt;=2)*('CONTROL MASTER'!$AA$2:$AA$495&lt;=10)*('CONTROL MASTER'!$AC$2:$AC$495&gt;=10))*ROW('CONTROL MASTER'!$S$2:$S$495))-(ROW('CONTROL MASTER'!#REF!)-1)))+((2-INDEX('CONTROL MASTER'!$Z$2:$Z$495,(SUMPRODUCT((('CONTROL MASTER'!$S$2:$S$495=10)*('CONTROL MASTER'!$Z$2:$Z$495&lt;=2)*('CONTROL MASTER'!$AB$2:$AB$495&gt;=2)*('CONTROL MASTER'!$AA$2:$AA$495&lt;=10)*('CONTROL MASTER'!$AC$2:$AC$495&gt;=10))*ROW('CONTROL MASTER'!$S$2:$S$495))-(ROW('CONTROL MASTER'!#REF!)-1))))*(INDEX('CONTROL MASTER'!$AC$2:$AC$495,(SUMPRODUCT((('CONTROL MASTER'!$S$2:$S$495=10)*('CONTROL MASTER'!$Z$2:$Z$495&lt;=2)*('CONTROL MASTER'!$AB$2:$AB$495&gt;=2)*('CONTROL MASTER'!$AA$2:$AA$495&lt;=10)*('CONTROL MASTER'!$AC$2:$AC$495&gt;=10))*ROW('CONTROL MASTER'!$S$2:$S$495))-(ROW('CONTROL MASTER'!#REF!)-1)))-INDEX('CONTROL MASTER'!$AA$2:$AA$495,(SUMPRODUCT((('CONTROL MASTER'!$S$2:$S$495=10)*('CONTROL MASTER'!$Z$2:$Z$495&lt;=2)*('CONTROL MASTER'!$AB$2:$AB$495&gt;=2)*('CONTROL MASTER'!$AA$2:$AA$495&lt;=10)*('CONTROL MASTER'!$AC$2:$AC$495&gt;=10))*ROW('CONTROL MASTER'!$S$2:$S$495))-(ROW('CONTROL MASTER'!#REF!)-1)))+1)+(10-INDEX('CONTROL MASTER'!$AA$2:$AA$495,(SUMPRODUCT((('CONTROL MASTER'!$S$2:$S$495=10)*('CONTROL MASTER'!$Z$2:$Z$495&lt;=2)*('CONTROL MASTER'!$AB$2:$AB$495&gt;=2)*('CONTROL MASTER'!$AA$2:$AA$495&lt;=10)*('CONTROL MASTER'!$AC$2:$AC$495&gt;=10))*ROW('CONTROL MASTER'!$S$2:$S$495))-(ROW('CONTROL MASTER'!#REF!)-1))))+1)))-1)*50+1,50))&amp;"_"&amp;INDEX('CONTROL MASTER'!$P$2:$P$495,(SUMPRODUCT((('CONTROL MASTER'!$S$2:$S$495=10)*('CONTROL MASTER'!$Z$2:$Z$495&lt;=2)*('CONTROL MASTER'!$AB$2:$AB$495&gt;=2)*('CONTROL MASTER'!$AA$2:$AA$495&lt;=10)*('CONTROL MASTER'!$AC$2:$AC$495&gt;=10))*ROW('CONTROL MASTER'!$S$2:$S$495))-(ROW('CONTROL MASTER'!#REF!)-1))),"")),"")</f>
        <v/>
      </c>
    </row>
    <row r="131" spans="1:11" ht="15" customHeight="1" x14ac:dyDescent="0.35">
      <c r="A131" s="8" t="s">
        <v>30</v>
      </c>
      <c r="B131" s="10" t="str">
        <f>IFERROR(IF(SUMPRODUCT((('CONTROL MASTER'!$S$2:$S$495=10)*('CONTROL MASTER'!$T$2:$T$495&lt;=3)*('CONTROL MASTER'!$V$2:$V$495&gt;=3)*('CONTROL MASTER'!$U$2:$U$495&lt;=1)*('CONTROL MASTER'!$W$2:$W$495&gt;=1))*ROW('CONTROL MASTER'!$S$2:$S$495))&gt;0,INDEX('CONTROL MASTER'!$X$2:$X$495,(SUMPRODUCT((('CONTROL MASTER'!$S$2:$S$495=10)*('CONTROL MASTER'!$T$2:$T$495&lt;=3)*('CONTROL MASTER'!$V$2:$V$495&gt;=3)*('CONTROL MASTER'!$U$2:$U$495&lt;=1)*('CONTROL MASTER'!$W$2:$W$495&gt;=1))*ROW('CONTROL MASTER'!$S$2:$S$495))-(ROW('CONTROL MASTER'!#REF!)-1)))&amp;TRIM(MID(SUBSTITUTE(SUBSTITUTE(INDEX('CONTROL MASTER'!$N$2:$N$495,(SUMPRODUCT((('CONTROL MASTER'!$S$2:$S$495=10)*('CONTROL MASTER'!$T$2:$T$495&lt;=3)*('CONTROL MASTER'!$V$2:$V$495&gt;=3)*('CONTROL MASTER'!$U$2:$U$495&lt;=1)*('CONTROL MASTER'!$W$2:$W$495&gt;=1))*ROW('CONTROL MASTER'!$S$2:$S$495))-(ROW('CONTROL MASTER'!#REF!)-1))),":",","),",",REPT(" ",50)),((((3-INDEX('CONTROL MASTER'!$T$2:$T$495,(SUMPRODUCT((('CONTROL MASTER'!$S$2:$S$495=10)*('CONTROL MASTER'!$T$2:$T$495&lt;=3)*('CONTROL MASTER'!$V$2:$V$495&gt;=3)*('CONTROL MASTER'!$U$2:$U$495&lt;=1)*('CONTROL MASTER'!$W$2:$W$495&gt;=1))*ROW('CONTROL MASTER'!$S$2:$S$495))-(ROW('CONTROL MASTER'!#REF!)-1))))*(INDEX('CONTROL MASTER'!$W$2:$W$495,(SUMPRODUCT((('CONTROL MASTER'!$S$2:$S$495=10)*('CONTROL MASTER'!$T$2:$T$495&lt;=3)*('CONTROL MASTER'!$V$2:$V$495&gt;=3)*('CONTROL MASTER'!$U$2:$U$495&lt;=1)*('CONTROL MASTER'!$W$2:$W$495&gt;=1))*ROW('CONTROL MASTER'!$S$2:$S$495))-(ROW('CONTROL MASTER'!#REF!)-1)))-INDEX('CONTROL MASTER'!$U$2:$U$495,(SUMPRODUCT((('CONTROL MASTER'!$S$2:$S$495=10)*('CONTROL MASTER'!$T$2:$T$495&lt;=3)*('CONTROL MASTER'!$V$2:$V$495&gt;=3)*('CONTROL MASTER'!$U$2:$U$495&lt;=1)*('CONTROL MASTER'!$W$2:$W$495&gt;=1))*ROW('CONTROL MASTER'!$S$2:$S$495))-(ROW('CONTROL MASTER'!#REF!)-1)))+1)+(1-INDEX('CONTROL MASTER'!$U$2:$U$495,(SUMPRODUCT((('CONTROL MASTER'!$S$2:$S$495=10)*('CONTROL MASTER'!$T$2:$T$495&lt;=3)*('CONTROL MASTER'!$V$2:$V$495&gt;=3)*('CONTROL MASTER'!$U$2:$U$495&lt;=1)*('CONTROL MASTER'!$W$2:$W$495&gt;=1))*ROW('CONTROL MASTER'!$S$2:$S$495))-(ROW('CONTROL MASTER'!#REF!)-1))))+1))-1)*50+1,50))&amp;"_"&amp;INDEX('CONTROL MASTER'!$P$2:$P$495,(SUMPRODUCT((('CONTROL MASTER'!$S$2:$S$495=10)*('CONTROL MASTER'!$T$2:$T$495&lt;=3)*('CONTROL MASTER'!$V$2:$V$495&gt;=3)*('CONTROL MASTER'!$U$2:$U$495&lt;=1)*('CONTROL MASTER'!$W$2:$W$495&gt;=1))*ROW('CONTROL MASTER'!$S$2:$S$495))-(ROW('CONTROL MASTER'!#REF!)-1))),IF(SUMPRODUCT((('CONTROL MASTER'!$S$2:$S$495=10)*('CONTROL MASTER'!$Z$2:$Z$495&lt;=3)*('CONTROL MASTER'!$AB$2:$AB$495&gt;=3)*('CONTROL MASTER'!$AA$2:$AA$495&lt;=1)*('CONTROL MASTER'!$AC$2:$AC$495&gt;=1))*ROW('CONTROL MASTER'!$S$2:$S$495))&gt;0,INDEX('CONTROL MASTER'!$X$2:$X$495,(SUMPRODUCT((('CONTROL MASTER'!$S$2:$S$495=10)*('CONTROL MASTER'!$Z$2:$Z$495&lt;=3)*('CONTROL MASTER'!$AB$2:$AB$495&gt;=3)*('CONTROL MASTER'!$AA$2:$AA$495&lt;=1)*('CONTROL MASTER'!$AC$2:$AC$495&gt;=1))*ROW('CONTROL MASTER'!$S$2:$S$495))-(ROW('CONTROL MASTER'!#REF!)-1)))&amp;TRIM(MID(SUBSTITUTE(SUBSTITUTE(INDEX('CONTROL MASTER'!$N$2:$N$495,(SUMPRODUCT((('CONTROL MASTER'!$S$2:$S$495=10)*('CONTROL MASTER'!$Z$2:$Z$495&lt;=3)*('CONTROL MASTER'!$AB$2:$AB$495&gt;=3)*('CONTROL MASTER'!$AA$2:$AA$495&lt;=1)*('CONTROL MASTER'!$AC$2:$AC$495&gt;=1))*ROW('CONTROL MASTER'!$S$2:$S$495))-(ROW('CONTROL MASTER'!#REF!)-1))),":",","),",",REPT(" ",50)),(((INDEX('CONTROL MASTER'!$Y$2:$Y$495,(SUMPRODUCT((('CONTROL MASTER'!$S$2:$S$495=10)*('CONTROL MASTER'!$Z$2:$Z$495&lt;=3)*('CONTROL MASTER'!$AB$2:$AB$495&gt;=3)*('CONTROL MASTER'!$AA$2:$AA$495&lt;=1)*('CONTROL MASTER'!$AC$2:$AC$495&gt;=1))*ROW('CONTROL MASTER'!$S$2:$S$495))-(ROW('CONTROL MASTER'!#REF!)-1)))+((3-INDEX('CONTROL MASTER'!$Z$2:$Z$495,(SUMPRODUCT((('CONTROL MASTER'!$S$2:$S$495=10)*('CONTROL MASTER'!$Z$2:$Z$495&lt;=3)*('CONTROL MASTER'!$AB$2:$AB$495&gt;=3)*('CONTROL MASTER'!$AA$2:$AA$495&lt;=1)*('CONTROL MASTER'!$AC$2:$AC$495&gt;=1))*ROW('CONTROL MASTER'!$S$2:$S$495))-(ROW('CONTROL MASTER'!#REF!)-1))))*(INDEX('CONTROL MASTER'!$AC$2:$AC$495,(SUMPRODUCT((('CONTROL MASTER'!$S$2:$S$495=10)*('CONTROL MASTER'!$Z$2:$Z$495&lt;=3)*('CONTROL MASTER'!$AB$2:$AB$495&gt;=3)*('CONTROL MASTER'!$AA$2:$AA$495&lt;=1)*('CONTROL MASTER'!$AC$2:$AC$495&gt;=1))*ROW('CONTROL MASTER'!$S$2:$S$495))-(ROW('CONTROL MASTER'!#REF!)-1)))-INDEX('CONTROL MASTER'!$AA$2:$AA$495,(SUMPRODUCT((('CONTROL MASTER'!$S$2:$S$495=10)*('CONTROL MASTER'!$Z$2:$Z$495&lt;=3)*('CONTROL MASTER'!$AB$2:$AB$495&gt;=3)*('CONTROL MASTER'!$AA$2:$AA$495&lt;=1)*('CONTROL MASTER'!$AC$2:$AC$495&gt;=1))*ROW('CONTROL MASTER'!$S$2:$S$495))-(ROW('CONTROL MASTER'!#REF!)-1)))+1)+(1-INDEX('CONTROL MASTER'!$AA$2:$AA$495,(SUMPRODUCT((('CONTROL MASTER'!$S$2:$S$495=10)*('CONTROL MASTER'!$Z$2:$Z$495&lt;=3)*('CONTROL MASTER'!$AB$2:$AB$495&gt;=3)*('CONTROL MASTER'!$AA$2:$AA$495&lt;=1)*('CONTROL MASTER'!$AC$2:$AC$495&gt;=1))*ROW('CONTROL MASTER'!$S$2:$S$495))-(ROW('CONTROL MASTER'!#REF!)-1))))+1)))-1)*50+1,50))&amp;"_"&amp;INDEX('CONTROL MASTER'!$P$2:$P$495,(SUMPRODUCT((('CONTROL MASTER'!$S$2:$S$495=10)*('CONTROL MASTER'!$Z$2:$Z$495&lt;=3)*('CONTROL MASTER'!$AB$2:$AB$495&gt;=3)*('CONTROL MASTER'!$AA$2:$AA$495&lt;=1)*('CONTROL MASTER'!$AC$2:$AC$495&gt;=1))*ROW('CONTROL MASTER'!$S$2:$S$495))-(ROW('CONTROL MASTER'!#REF!)-1))),"")),"")</f>
        <v/>
      </c>
      <c r="C131" s="10" t="str">
        <f>IFERROR(IF(SUMPRODUCT((('CONTROL MASTER'!$S$2:$S$495=10)*('CONTROL MASTER'!$T$2:$T$495&lt;=3)*('CONTROL MASTER'!$V$2:$V$495&gt;=3)*('CONTROL MASTER'!$U$2:$U$495&lt;=2)*('CONTROL MASTER'!$W$2:$W$495&gt;=2))*ROW('CONTROL MASTER'!$S$2:$S$495))&gt;0,INDEX('CONTROL MASTER'!$X$2:$X$495,(SUMPRODUCT((('CONTROL MASTER'!$S$2:$S$495=10)*('CONTROL MASTER'!$T$2:$T$495&lt;=3)*('CONTROL MASTER'!$V$2:$V$495&gt;=3)*('CONTROL MASTER'!$U$2:$U$495&lt;=2)*('CONTROL MASTER'!$W$2:$W$495&gt;=2))*ROW('CONTROL MASTER'!$S$2:$S$495))-(ROW('CONTROL MASTER'!#REF!)-1)))&amp;TRIM(MID(SUBSTITUTE(SUBSTITUTE(INDEX('CONTROL MASTER'!$N$2:$N$495,(SUMPRODUCT((('CONTROL MASTER'!$S$2:$S$495=10)*('CONTROL MASTER'!$T$2:$T$495&lt;=3)*('CONTROL MASTER'!$V$2:$V$495&gt;=3)*('CONTROL MASTER'!$U$2:$U$495&lt;=2)*('CONTROL MASTER'!$W$2:$W$495&gt;=2))*ROW('CONTROL MASTER'!$S$2:$S$495))-(ROW('CONTROL MASTER'!#REF!)-1))),":",","),",",REPT(" ",50)),((((3-INDEX('CONTROL MASTER'!$T$2:$T$495,(SUMPRODUCT((('CONTROL MASTER'!$S$2:$S$495=10)*('CONTROL MASTER'!$T$2:$T$495&lt;=3)*('CONTROL MASTER'!$V$2:$V$495&gt;=3)*('CONTROL MASTER'!$U$2:$U$495&lt;=2)*('CONTROL MASTER'!$W$2:$W$495&gt;=2))*ROW('CONTROL MASTER'!$S$2:$S$495))-(ROW('CONTROL MASTER'!#REF!)-1))))*(INDEX('CONTROL MASTER'!$W$2:$W$495,(SUMPRODUCT((('CONTROL MASTER'!$S$2:$S$495=10)*('CONTROL MASTER'!$T$2:$T$495&lt;=3)*('CONTROL MASTER'!$V$2:$V$495&gt;=3)*('CONTROL MASTER'!$U$2:$U$495&lt;=2)*('CONTROL MASTER'!$W$2:$W$495&gt;=2))*ROW('CONTROL MASTER'!$S$2:$S$495))-(ROW('CONTROL MASTER'!#REF!)-1)))-INDEX('CONTROL MASTER'!$U$2:$U$495,(SUMPRODUCT((('CONTROL MASTER'!$S$2:$S$495=10)*('CONTROL MASTER'!$T$2:$T$495&lt;=3)*('CONTROL MASTER'!$V$2:$V$495&gt;=3)*('CONTROL MASTER'!$U$2:$U$495&lt;=2)*('CONTROL MASTER'!$W$2:$W$495&gt;=2))*ROW('CONTROL MASTER'!$S$2:$S$495))-(ROW('CONTROL MASTER'!#REF!)-1)))+1)+(2-INDEX('CONTROL MASTER'!$U$2:$U$495,(SUMPRODUCT((('CONTROL MASTER'!$S$2:$S$495=10)*('CONTROL MASTER'!$T$2:$T$495&lt;=3)*('CONTROL MASTER'!$V$2:$V$495&gt;=3)*('CONTROL MASTER'!$U$2:$U$495&lt;=2)*('CONTROL MASTER'!$W$2:$W$495&gt;=2))*ROW('CONTROL MASTER'!$S$2:$S$495))-(ROW('CONTROL MASTER'!#REF!)-1))))+1))-1)*50+1,50))&amp;"_"&amp;INDEX('CONTROL MASTER'!$P$2:$P$495,(SUMPRODUCT((('CONTROL MASTER'!$S$2:$S$495=10)*('CONTROL MASTER'!$T$2:$T$495&lt;=3)*('CONTROL MASTER'!$V$2:$V$495&gt;=3)*('CONTROL MASTER'!$U$2:$U$495&lt;=2)*('CONTROL MASTER'!$W$2:$W$495&gt;=2))*ROW('CONTROL MASTER'!$S$2:$S$495))-(ROW('CONTROL MASTER'!#REF!)-1))),IF(SUMPRODUCT((('CONTROL MASTER'!$S$2:$S$495=10)*('CONTROL MASTER'!$Z$2:$Z$495&lt;=3)*('CONTROL MASTER'!$AB$2:$AB$495&gt;=3)*('CONTROL MASTER'!$AA$2:$AA$495&lt;=2)*('CONTROL MASTER'!$AC$2:$AC$495&gt;=2))*ROW('CONTROL MASTER'!$S$2:$S$495))&gt;0,INDEX('CONTROL MASTER'!$X$2:$X$495,(SUMPRODUCT((('CONTROL MASTER'!$S$2:$S$495=10)*('CONTROL MASTER'!$Z$2:$Z$495&lt;=3)*('CONTROL MASTER'!$AB$2:$AB$495&gt;=3)*('CONTROL MASTER'!$AA$2:$AA$495&lt;=2)*('CONTROL MASTER'!$AC$2:$AC$495&gt;=2))*ROW('CONTROL MASTER'!$S$2:$S$495))-(ROW('CONTROL MASTER'!#REF!)-1)))&amp;TRIM(MID(SUBSTITUTE(SUBSTITUTE(INDEX('CONTROL MASTER'!$N$2:$N$495,(SUMPRODUCT((('CONTROL MASTER'!$S$2:$S$495=10)*('CONTROL MASTER'!$Z$2:$Z$495&lt;=3)*('CONTROL MASTER'!$AB$2:$AB$495&gt;=3)*('CONTROL MASTER'!$AA$2:$AA$495&lt;=2)*('CONTROL MASTER'!$AC$2:$AC$495&gt;=2))*ROW('CONTROL MASTER'!$S$2:$S$495))-(ROW('CONTROL MASTER'!#REF!)-1))),":",","),",",REPT(" ",50)),(((INDEX('CONTROL MASTER'!$Y$2:$Y$495,(SUMPRODUCT((('CONTROL MASTER'!$S$2:$S$495=10)*('CONTROL MASTER'!$Z$2:$Z$495&lt;=3)*('CONTROL MASTER'!$AB$2:$AB$495&gt;=3)*('CONTROL MASTER'!$AA$2:$AA$495&lt;=2)*('CONTROL MASTER'!$AC$2:$AC$495&gt;=2))*ROW('CONTROL MASTER'!$S$2:$S$495))-(ROW('CONTROL MASTER'!#REF!)-1)))+((3-INDEX('CONTROL MASTER'!$Z$2:$Z$495,(SUMPRODUCT((('CONTROL MASTER'!$S$2:$S$495=10)*('CONTROL MASTER'!$Z$2:$Z$495&lt;=3)*('CONTROL MASTER'!$AB$2:$AB$495&gt;=3)*('CONTROL MASTER'!$AA$2:$AA$495&lt;=2)*('CONTROL MASTER'!$AC$2:$AC$495&gt;=2))*ROW('CONTROL MASTER'!$S$2:$S$495))-(ROW('CONTROL MASTER'!#REF!)-1))))*(INDEX('CONTROL MASTER'!$AC$2:$AC$495,(SUMPRODUCT((('CONTROL MASTER'!$S$2:$S$495=10)*('CONTROL MASTER'!$Z$2:$Z$495&lt;=3)*('CONTROL MASTER'!$AB$2:$AB$495&gt;=3)*('CONTROL MASTER'!$AA$2:$AA$495&lt;=2)*('CONTROL MASTER'!$AC$2:$AC$495&gt;=2))*ROW('CONTROL MASTER'!$S$2:$S$495))-(ROW('CONTROL MASTER'!#REF!)-1)))-INDEX('CONTROL MASTER'!$AA$2:$AA$495,(SUMPRODUCT((('CONTROL MASTER'!$S$2:$S$495=10)*('CONTROL MASTER'!$Z$2:$Z$495&lt;=3)*('CONTROL MASTER'!$AB$2:$AB$495&gt;=3)*('CONTROL MASTER'!$AA$2:$AA$495&lt;=2)*('CONTROL MASTER'!$AC$2:$AC$495&gt;=2))*ROW('CONTROL MASTER'!$S$2:$S$495))-(ROW('CONTROL MASTER'!#REF!)-1)))+1)+(2-INDEX('CONTROL MASTER'!$AA$2:$AA$495,(SUMPRODUCT((('CONTROL MASTER'!$S$2:$S$495=10)*('CONTROL MASTER'!$Z$2:$Z$495&lt;=3)*('CONTROL MASTER'!$AB$2:$AB$495&gt;=3)*('CONTROL MASTER'!$AA$2:$AA$495&lt;=2)*('CONTROL MASTER'!$AC$2:$AC$495&gt;=2))*ROW('CONTROL MASTER'!$S$2:$S$495))-(ROW('CONTROL MASTER'!#REF!)-1))))+1)))-1)*50+1,50))&amp;"_"&amp;INDEX('CONTROL MASTER'!$P$2:$P$495,(SUMPRODUCT((('CONTROL MASTER'!$S$2:$S$495=10)*('CONTROL MASTER'!$Z$2:$Z$495&lt;=3)*('CONTROL MASTER'!$AB$2:$AB$495&gt;=3)*('CONTROL MASTER'!$AA$2:$AA$495&lt;=2)*('CONTROL MASTER'!$AC$2:$AC$495&gt;=2))*ROW('CONTROL MASTER'!$S$2:$S$495))-(ROW('CONTROL MASTER'!#REF!)-1))),"")),"")</f>
        <v/>
      </c>
      <c r="D131" s="10" t="str">
        <f>IFERROR(IF(SUMPRODUCT((('CONTROL MASTER'!$S$2:$S$495=10)*('CONTROL MASTER'!$T$2:$T$495&lt;=3)*('CONTROL MASTER'!$V$2:$V$495&gt;=3)*('CONTROL MASTER'!$U$2:$U$495&lt;=3)*('CONTROL MASTER'!$W$2:$W$495&gt;=3))*ROW('CONTROL MASTER'!$S$2:$S$495))&gt;0,INDEX('CONTROL MASTER'!$X$2:$X$495,(SUMPRODUCT((('CONTROL MASTER'!$S$2:$S$495=10)*('CONTROL MASTER'!$T$2:$T$495&lt;=3)*('CONTROL MASTER'!$V$2:$V$495&gt;=3)*('CONTROL MASTER'!$U$2:$U$495&lt;=3)*('CONTROL MASTER'!$W$2:$W$495&gt;=3))*ROW('CONTROL MASTER'!$S$2:$S$495))-(ROW('CONTROL MASTER'!#REF!)-1)))&amp;TRIM(MID(SUBSTITUTE(SUBSTITUTE(INDEX('CONTROL MASTER'!$N$2:$N$495,(SUMPRODUCT((('CONTROL MASTER'!$S$2:$S$495=10)*('CONTROL MASTER'!$T$2:$T$495&lt;=3)*('CONTROL MASTER'!$V$2:$V$495&gt;=3)*('CONTROL MASTER'!$U$2:$U$495&lt;=3)*('CONTROL MASTER'!$W$2:$W$495&gt;=3))*ROW('CONTROL MASTER'!$S$2:$S$495))-(ROW('CONTROL MASTER'!#REF!)-1))),":",","),",",REPT(" ",50)),((((3-INDEX('CONTROL MASTER'!$T$2:$T$495,(SUMPRODUCT((('CONTROL MASTER'!$S$2:$S$495=10)*('CONTROL MASTER'!$T$2:$T$495&lt;=3)*('CONTROL MASTER'!$V$2:$V$495&gt;=3)*('CONTROL MASTER'!$U$2:$U$495&lt;=3)*('CONTROL MASTER'!$W$2:$W$495&gt;=3))*ROW('CONTROL MASTER'!$S$2:$S$495))-(ROW('CONTROL MASTER'!#REF!)-1))))*(INDEX('CONTROL MASTER'!$W$2:$W$495,(SUMPRODUCT((('CONTROL MASTER'!$S$2:$S$495=10)*('CONTROL MASTER'!$T$2:$T$495&lt;=3)*('CONTROL MASTER'!$V$2:$V$495&gt;=3)*('CONTROL MASTER'!$U$2:$U$495&lt;=3)*('CONTROL MASTER'!$W$2:$W$495&gt;=3))*ROW('CONTROL MASTER'!$S$2:$S$495))-(ROW('CONTROL MASTER'!#REF!)-1)))-INDEX('CONTROL MASTER'!$U$2:$U$495,(SUMPRODUCT((('CONTROL MASTER'!$S$2:$S$495=10)*('CONTROL MASTER'!$T$2:$T$495&lt;=3)*('CONTROL MASTER'!$V$2:$V$495&gt;=3)*('CONTROL MASTER'!$U$2:$U$495&lt;=3)*('CONTROL MASTER'!$W$2:$W$495&gt;=3))*ROW('CONTROL MASTER'!$S$2:$S$495))-(ROW('CONTROL MASTER'!#REF!)-1)))+1)+(3-INDEX('CONTROL MASTER'!$U$2:$U$495,(SUMPRODUCT((('CONTROL MASTER'!$S$2:$S$495=10)*('CONTROL MASTER'!$T$2:$T$495&lt;=3)*('CONTROL MASTER'!$V$2:$V$495&gt;=3)*('CONTROL MASTER'!$U$2:$U$495&lt;=3)*('CONTROL MASTER'!$W$2:$W$495&gt;=3))*ROW('CONTROL MASTER'!$S$2:$S$495))-(ROW('CONTROL MASTER'!#REF!)-1))))+1))-1)*50+1,50))&amp;"_"&amp;INDEX('CONTROL MASTER'!$P$2:$P$495,(SUMPRODUCT((('CONTROL MASTER'!$S$2:$S$495=10)*('CONTROL MASTER'!$T$2:$T$495&lt;=3)*('CONTROL MASTER'!$V$2:$V$495&gt;=3)*('CONTROL MASTER'!$U$2:$U$495&lt;=3)*('CONTROL MASTER'!$W$2:$W$495&gt;=3))*ROW('CONTROL MASTER'!$S$2:$S$495))-(ROW('CONTROL MASTER'!#REF!)-1))),IF(SUMPRODUCT((('CONTROL MASTER'!$S$2:$S$495=10)*('CONTROL MASTER'!$Z$2:$Z$495&lt;=3)*('CONTROL MASTER'!$AB$2:$AB$495&gt;=3)*('CONTROL MASTER'!$AA$2:$AA$495&lt;=3)*('CONTROL MASTER'!$AC$2:$AC$495&gt;=3))*ROW('CONTROL MASTER'!$S$2:$S$495))&gt;0,INDEX('CONTROL MASTER'!$X$2:$X$495,(SUMPRODUCT((('CONTROL MASTER'!$S$2:$S$495=10)*('CONTROL MASTER'!$Z$2:$Z$495&lt;=3)*('CONTROL MASTER'!$AB$2:$AB$495&gt;=3)*('CONTROL MASTER'!$AA$2:$AA$495&lt;=3)*('CONTROL MASTER'!$AC$2:$AC$495&gt;=3))*ROW('CONTROL MASTER'!$S$2:$S$495))-(ROW('CONTROL MASTER'!#REF!)-1)))&amp;TRIM(MID(SUBSTITUTE(SUBSTITUTE(INDEX('CONTROL MASTER'!$N$2:$N$495,(SUMPRODUCT((('CONTROL MASTER'!$S$2:$S$495=10)*('CONTROL MASTER'!$Z$2:$Z$495&lt;=3)*('CONTROL MASTER'!$AB$2:$AB$495&gt;=3)*('CONTROL MASTER'!$AA$2:$AA$495&lt;=3)*('CONTROL MASTER'!$AC$2:$AC$495&gt;=3))*ROW('CONTROL MASTER'!$S$2:$S$495))-(ROW('CONTROL MASTER'!#REF!)-1))),":",","),",",REPT(" ",50)),(((INDEX('CONTROL MASTER'!$Y$2:$Y$495,(SUMPRODUCT((('CONTROL MASTER'!$S$2:$S$495=10)*('CONTROL MASTER'!$Z$2:$Z$495&lt;=3)*('CONTROL MASTER'!$AB$2:$AB$495&gt;=3)*('CONTROL MASTER'!$AA$2:$AA$495&lt;=3)*('CONTROL MASTER'!$AC$2:$AC$495&gt;=3))*ROW('CONTROL MASTER'!$S$2:$S$495))-(ROW('CONTROL MASTER'!#REF!)-1)))+((3-INDEX('CONTROL MASTER'!$Z$2:$Z$495,(SUMPRODUCT((('CONTROL MASTER'!$S$2:$S$495=10)*('CONTROL MASTER'!$Z$2:$Z$495&lt;=3)*('CONTROL MASTER'!$AB$2:$AB$495&gt;=3)*('CONTROL MASTER'!$AA$2:$AA$495&lt;=3)*('CONTROL MASTER'!$AC$2:$AC$495&gt;=3))*ROW('CONTROL MASTER'!$S$2:$S$495))-(ROW('CONTROL MASTER'!#REF!)-1))))*(INDEX('CONTROL MASTER'!$AC$2:$AC$495,(SUMPRODUCT((('CONTROL MASTER'!$S$2:$S$495=10)*('CONTROL MASTER'!$Z$2:$Z$495&lt;=3)*('CONTROL MASTER'!$AB$2:$AB$495&gt;=3)*('CONTROL MASTER'!$AA$2:$AA$495&lt;=3)*('CONTROL MASTER'!$AC$2:$AC$495&gt;=3))*ROW('CONTROL MASTER'!$S$2:$S$495))-(ROW('CONTROL MASTER'!#REF!)-1)))-INDEX('CONTROL MASTER'!$AA$2:$AA$495,(SUMPRODUCT((('CONTROL MASTER'!$S$2:$S$495=10)*('CONTROL MASTER'!$Z$2:$Z$495&lt;=3)*('CONTROL MASTER'!$AB$2:$AB$495&gt;=3)*('CONTROL MASTER'!$AA$2:$AA$495&lt;=3)*('CONTROL MASTER'!$AC$2:$AC$495&gt;=3))*ROW('CONTROL MASTER'!$S$2:$S$495))-(ROW('CONTROL MASTER'!#REF!)-1)))+1)+(3-INDEX('CONTROL MASTER'!$AA$2:$AA$495,(SUMPRODUCT((('CONTROL MASTER'!$S$2:$S$495=10)*('CONTROL MASTER'!$Z$2:$Z$495&lt;=3)*('CONTROL MASTER'!$AB$2:$AB$495&gt;=3)*('CONTROL MASTER'!$AA$2:$AA$495&lt;=3)*('CONTROL MASTER'!$AC$2:$AC$495&gt;=3))*ROW('CONTROL MASTER'!$S$2:$S$495))-(ROW('CONTROL MASTER'!#REF!)-1))))+1)))-1)*50+1,50))&amp;"_"&amp;INDEX('CONTROL MASTER'!$P$2:$P$495,(SUMPRODUCT((('CONTROL MASTER'!$S$2:$S$495=10)*('CONTROL MASTER'!$Z$2:$Z$495&lt;=3)*('CONTROL MASTER'!$AB$2:$AB$495&gt;=3)*('CONTROL MASTER'!$AA$2:$AA$495&lt;=3)*('CONTROL MASTER'!$AC$2:$AC$495&gt;=3))*ROW('CONTROL MASTER'!$S$2:$S$495))-(ROW('CONTROL MASTER'!#REF!)-1))),"")),"")</f>
        <v/>
      </c>
      <c r="E131" s="10" t="str">
        <f>IFERROR(IF(SUMPRODUCT((('CONTROL MASTER'!$S$2:$S$495=10)*('CONTROL MASTER'!$T$2:$T$495&lt;=3)*('CONTROL MASTER'!$V$2:$V$495&gt;=3)*('CONTROL MASTER'!$U$2:$U$495&lt;=4)*('CONTROL MASTER'!$W$2:$W$495&gt;=4))*ROW('CONTROL MASTER'!$S$2:$S$495))&gt;0,INDEX('CONTROL MASTER'!$X$2:$X$495,(SUMPRODUCT((('CONTROL MASTER'!$S$2:$S$495=10)*('CONTROL MASTER'!$T$2:$T$495&lt;=3)*('CONTROL MASTER'!$V$2:$V$495&gt;=3)*('CONTROL MASTER'!$U$2:$U$495&lt;=4)*('CONTROL MASTER'!$W$2:$W$495&gt;=4))*ROW('CONTROL MASTER'!$S$2:$S$495))-(ROW('CONTROL MASTER'!#REF!)-1)))&amp;TRIM(MID(SUBSTITUTE(SUBSTITUTE(INDEX('CONTROL MASTER'!$N$2:$N$495,(SUMPRODUCT((('CONTROL MASTER'!$S$2:$S$495=10)*('CONTROL MASTER'!$T$2:$T$495&lt;=3)*('CONTROL MASTER'!$V$2:$V$495&gt;=3)*('CONTROL MASTER'!$U$2:$U$495&lt;=4)*('CONTROL MASTER'!$W$2:$W$495&gt;=4))*ROW('CONTROL MASTER'!$S$2:$S$495))-(ROW('CONTROL MASTER'!#REF!)-1))),":",","),",",REPT(" ",50)),((((3-INDEX('CONTROL MASTER'!$T$2:$T$495,(SUMPRODUCT((('CONTROL MASTER'!$S$2:$S$495=10)*('CONTROL MASTER'!$T$2:$T$495&lt;=3)*('CONTROL MASTER'!$V$2:$V$495&gt;=3)*('CONTROL MASTER'!$U$2:$U$495&lt;=4)*('CONTROL MASTER'!$W$2:$W$495&gt;=4))*ROW('CONTROL MASTER'!$S$2:$S$495))-(ROW('CONTROL MASTER'!#REF!)-1))))*(INDEX('CONTROL MASTER'!$W$2:$W$495,(SUMPRODUCT((('CONTROL MASTER'!$S$2:$S$495=10)*('CONTROL MASTER'!$T$2:$T$495&lt;=3)*('CONTROL MASTER'!$V$2:$V$495&gt;=3)*('CONTROL MASTER'!$U$2:$U$495&lt;=4)*('CONTROL MASTER'!$W$2:$W$495&gt;=4))*ROW('CONTROL MASTER'!$S$2:$S$495))-(ROW('CONTROL MASTER'!#REF!)-1)))-INDEX('CONTROL MASTER'!$U$2:$U$495,(SUMPRODUCT((('CONTROL MASTER'!$S$2:$S$495=10)*('CONTROL MASTER'!$T$2:$T$495&lt;=3)*('CONTROL MASTER'!$V$2:$V$495&gt;=3)*('CONTROL MASTER'!$U$2:$U$495&lt;=4)*('CONTROL MASTER'!$W$2:$W$495&gt;=4))*ROW('CONTROL MASTER'!$S$2:$S$495))-(ROW('CONTROL MASTER'!#REF!)-1)))+1)+(4-INDEX('CONTROL MASTER'!$U$2:$U$495,(SUMPRODUCT((('CONTROL MASTER'!$S$2:$S$495=10)*('CONTROL MASTER'!$T$2:$T$495&lt;=3)*('CONTROL MASTER'!$V$2:$V$495&gt;=3)*('CONTROL MASTER'!$U$2:$U$495&lt;=4)*('CONTROL MASTER'!$W$2:$W$495&gt;=4))*ROW('CONTROL MASTER'!$S$2:$S$495))-(ROW('CONTROL MASTER'!#REF!)-1))))+1))-1)*50+1,50))&amp;"_"&amp;INDEX('CONTROL MASTER'!$P$2:$P$495,(SUMPRODUCT((('CONTROL MASTER'!$S$2:$S$495=10)*('CONTROL MASTER'!$T$2:$T$495&lt;=3)*('CONTROL MASTER'!$V$2:$V$495&gt;=3)*('CONTROL MASTER'!$U$2:$U$495&lt;=4)*('CONTROL MASTER'!$W$2:$W$495&gt;=4))*ROW('CONTROL MASTER'!$S$2:$S$495))-(ROW('CONTROL MASTER'!#REF!)-1))),IF(SUMPRODUCT((('CONTROL MASTER'!$S$2:$S$495=10)*('CONTROL MASTER'!$Z$2:$Z$495&lt;=3)*('CONTROL MASTER'!$AB$2:$AB$495&gt;=3)*('CONTROL MASTER'!$AA$2:$AA$495&lt;=4)*('CONTROL MASTER'!$AC$2:$AC$495&gt;=4))*ROW('CONTROL MASTER'!$S$2:$S$495))&gt;0,INDEX('CONTROL MASTER'!$X$2:$X$495,(SUMPRODUCT((('CONTROL MASTER'!$S$2:$S$495=10)*('CONTROL MASTER'!$Z$2:$Z$495&lt;=3)*('CONTROL MASTER'!$AB$2:$AB$495&gt;=3)*('CONTROL MASTER'!$AA$2:$AA$495&lt;=4)*('CONTROL MASTER'!$AC$2:$AC$495&gt;=4))*ROW('CONTROL MASTER'!$S$2:$S$495))-(ROW('CONTROL MASTER'!#REF!)-1)))&amp;TRIM(MID(SUBSTITUTE(SUBSTITUTE(INDEX('CONTROL MASTER'!$N$2:$N$495,(SUMPRODUCT((('CONTROL MASTER'!$S$2:$S$495=10)*('CONTROL MASTER'!$Z$2:$Z$495&lt;=3)*('CONTROL MASTER'!$AB$2:$AB$495&gt;=3)*('CONTROL MASTER'!$AA$2:$AA$495&lt;=4)*('CONTROL MASTER'!$AC$2:$AC$495&gt;=4))*ROW('CONTROL MASTER'!$S$2:$S$495))-(ROW('CONTROL MASTER'!#REF!)-1))),":",","),",",REPT(" ",50)),(((INDEX('CONTROL MASTER'!$Y$2:$Y$495,(SUMPRODUCT((('CONTROL MASTER'!$S$2:$S$495=10)*('CONTROL MASTER'!$Z$2:$Z$495&lt;=3)*('CONTROL MASTER'!$AB$2:$AB$495&gt;=3)*('CONTROL MASTER'!$AA$2:$AA$495&lt;=4)*('CONTROL MASTER'!$AC$2:$AC$495&gt;=4))*ROW('CONTROL MASTER'!$S$2:$S$495))-(ROW('CONTROL MASTER'!#REF!)-1)))+((3-INDEX('CONTROL MASTER'!$Z$2:$Z$495,(SUMPRODUCT((('CONTROL MASTER'!$S$2:$S$495=10)*('CONTROL MASTER'!$Z$2:$Z$495&lt;=3)*('CONTROL MASTER'!$AB$2:$AB$495&gt;=3)*('CONTROL MASTER'!$AA$2:$AA$495&lt;=4)*('CONTROL MASTER'!$AC$2:$AC$495&gt;=4))*ROW('CONTROL MASTER'!$S$2:$S$495))-(ROW('CONTROL MASTER'!#REF!)-1))))*(INDEX('CONTROL MASTER'!$AC$2:$AC$495,(SUMPRODUCT((('CONTROL MASTER'!$S$2:$S$495=10)*('CONTROL MASTER'!$Z$2:$Z$495&lt;=3)*('CONTROL MASTER'!$AB$2:$AB$495&gt;=3)*('CONTROL MASTER'!$AA$2:$AA$495&lt;=4)*('CONTROL MASTER'!$AC$2:$AC$495&gt;=4))*ROW('CONTROL MASTER'!$S$2:$S$495))-(ROW('CONTROL MASTER'!#REF!)-1)))-INDEX('CONTROL MASTER'!$AA$2:$AA$495,(SUMPRODUCT((('CONTROL MASTER'!$S$2:$S$495=10)*('CONTROL MASTER'!$Z$2:$Z$495&lt;=3)*('CONTROL MASTER'!$AB$2:$AB$495&gt;=3)*('CONTROL MASTER'!$AA$2:$AA$495&lt;=4)*('CONTROL MASTER'!$AC$2:$AC$495&gt;=4))*ROW('CONTROL MASTER'!$S$2:$S$495))-(ROW('CONTROL MASTER'!#REF!)-1)))+1)+(4-INDEX('CONTROL MASTER'!$AA$2:$AA$495,(SUMPRODUCT((('CONTROL MASTER'!$S$2:$S$495=10)*('CONTROL MASTER'!$Z$2:$Z$495&lt;=3)*('CONTROL MASTER'!$AB$2:$AB$495&gt;=3)*('CONTROL MASTER'!$AA$2:$AA$495&lt;=4)*('CONTROL MASTER'!$AC$2:$AC$495&gt;=4))*ROW('CONTROL MASTER'!$S$2:$S$495))-(ROW('CONTROL MASTER'!#REF!)-1))))+1)))-1)*50+1,50))&amp;"_"&amp;INDEX('CONTROL MASTER'!$P$2:$P$495,(SUMPRODUCT((('CONTROL MASTER'!$S$2:$S$495=10)*('CONTROL MASTER'!$Z$2:$Z$495&lt;=3)*('CONTROL MASTER'!$AB$2:$AB$495&gt;=3)*('CONTROL MASTER'!$AA$2:$AA$495&lt;=4)*('CONTROL MASTER'!$AC$2:$AC$495&gt;=4))*ROW('CONTROL MASTER'!$S$2:$S$495))-(ROW('CONTROL MASTER'!#REF!)-1))),"")),"")</f>
        <v/>
      </c>
      <c r="F131" s="10" t="str">
        <f>IFERROR(IF(SUMPRODUCT((('CONTROL MASTER'!$S$2:$S$495=10)*('CONTROL MASTER'!$T$2:$T$495&lt;=3)*('CONTROL MASTER'!$V$2:$V$495&gt;=3)*('CONTROL MASTER'!$U$2:$U$495&lt;=5)*('CONTROL MASTER'!$W$2:$W$495&gt;=5))*ROW('CONTROL MASTER'!$S$2:$S$495))&gt;0,INDEX('CONTROL MASTER'!$X$2:$X$495,(SUMPRODUCT((('CONTROL MASTER'!$S$2:$S$495=10)*('CONTROL MASTER'!$T$2:$T$495&lt;=3)*('CONTROL MASTER'!$V$2:$V$495&gt;=3)*('CONTROL MASTER'!$U$2:$U$495&lt;=5)*('CONTROL MASTER'!$W$2:$W$495&gt;=5))*ROW('CONTROL MASTER'!$S$2:$S$495))-(ROW('CONTROL MASTER'!#REF!)-1)))&amp;TRIM(MID(SUBSTITUTE(SUBSTITUTE(INDEX('CONTROL MASTER'!$N$2:$N$495,(SUMPRODUCT((('CONTROL MASTER'!$S$2:$S$495=10)*('CONTROL MASTER'!$T$2:$T$495&lt;=3)*('CONTROL MASTER'!$V$2:$V$495&gt;=3)*('CONTROL MASTER'!$U$2:$U$495&lt;=5)*('CONTROL MASTER'!$W$2:$W$495&gt;=5))*ROW('CONTROL MASTER'!$S$2:$S$495))-(ROW('CONTROL MASTER'!#REF!)-1))),":",","),",",REPT(" ",50)),((((3-INDEX('CONTROL MASTER'!$T$2:$T$495,(SUMPRODUCT((('CONTROL MASTER'!$S$2:$S$495=10)*('CONTROL MASTER'!$T$2:$T$495&lt;=3)*('CONTROL MASTER'!$V$2:$V$495&gt;=3)*('CONTROL MASTER'!$U$2:$U$495&lt;=5)*('CONTROL MASTER'!$W$2:$W$495&gt;=5))*ROW('CONTROL MASTER'!$S$2:$S$495))-(ROW('CONTROL MASTER'!#REF!)-1))))*(INDEX('CONTROL MASTER'!$W$2:$W$495,(SUMPRODUCT((('CONTROL MASTER'!$S$2:$S$495=10)*('CONTROL MASTER'!$T$2:$T$495&lt;=3)*('CONTROL MASTER'!$V$2:$V$495&gt;=3)*('CONTROL MASTER'!$U$2:$U$495&lt;=5)*('CONTROL MASTER'!$W$2:$W$495&gt;=5))*ROW('CONTROL MASTER'!$S$2:$S$495))-(ROW('CONTROL MASTER'!#REF!)-1)))-INDEX('CONTROL MASTER'!$U$2:$U$495,(SUMPRODUCT((('CONTROL MASTER'!$S$2:$S$495=10)*('CONTROL MASTER'!$T$2:$T$495&lt;=3)*('CONTROL MASTER'!$V$2:$V$495&gt;=3)*('CONTROL MASTER'!$U$2:$U$495&lt;=5)*('CONTROL MASTER'!$W$2:$W$495&gt;=5))*ROW('CONTROL MASTER'!$S$2:$S$495))-(ROW('CONTROL MASTER'!#REF!)-1)))+1)+(5-INDEX('CONTROL MASTER'!$U$2:$U$495,(SUMPRODUCT((('CONTROL MASTER'!$S$2:$S$495=10)*('CONTROL MASTER'!$T$2:$T$495&lt;=3)*('CONTROL MASTER'!$V$2:$V$495&gt;=3)*('CONTROL MASTER'!$U$2:$U$495&lt;=5)*('CONTROL MASTER'!$W$2:$W$495&gt;=5))*ROW('CONTROL MASTER'!$S$2:$S$495))-(ROW('CONTROL MASTER'!#REF!)-1))))+1))-1)*50+1,50))&amp;"_"&amp;INDEX('CONTROL MASTER'!$P$2:$P$495,(SUMPRODUCT((('CONTROL MASTER'!$S$2:$S$495=10)*('CONTROL MASTER'!$T$2:$T$495&lt;=3)*('CONTROL MASTER'!$V$2:$V$495&gt;=3)*('CONTROL MASTER'!$U$2:$U$495&lt;=5)*('CONTROL MASTER'!$W$2:$W$495&gt;=5))*ROW('CONTROL MASTER'!$S$2:$S$495))-(ROW('CONTROL MASTER'!#REF!)-1))),IF(SUMPRODUCT((('CONTROL MASTER'!$S$2:$S$495=10)*('CONTROL MASTER'!$Z$2:$Z$495&lt;=3)*('CONTROL MASTER'!$AB$2:$AB$495&gt;=3)*('CONTROL MASTER'!$AA$2:$AA$495&lt;=5)*('CONTROL MASTER'!$AC$2:$AC$495&gt;=5))*ROW('CONTROL MASTER'!$S$2:$S$495))&gt;0,INDEX('CONTROL MASTER'!$X$2:$X$495,(SUMPRODUCT((('CONTROL MASTER'!$S$2:$S$495=10)*('CONTROL MASTER'!$Z$2:$Z$495&lt;=3)*('CONTROL MASTER'!$AB$2:$AB$495&gt;=3)*('CONTROL MASTER'!$AA$2:$AA$495&lt;=5)*('CONTROL MASTER'!$AC$2:$AC$495&gt;=5))*ROW('CONTROL MASTER'!$S$2:$S$495))-(ROW('CONTROL MASTER'!#REF!)-1)))&amp;TRIM(MID(SUBSTITUTE(SUBSTITUTE(INDEX('CONTROL MASTER'!$N$2:$N$495,(SUMPRODUCT((('CONTROL MASTER'!$S$2:$S$495=10)*('CONTROL MASTER'!$Z$2:$Z$495&lt;=3)*('CONTROL MASTER'!$AB$2:$AB$495&gt;=3)*('CONTROL MASTER'!$AA$2:$AA$495&lt;=5)*('CONTROL MASTER'!$AC$2:$AC$495&gt;=5))*ROW('CONTROL MASTER'!$S$2:$S$495))-(ROW('CONTROL MASTER'!#REF!)-1))),":",","),",",REPT(" ",50)),(((INDEX('CONTROL MASTER'!$Y$2:$Y$495,(SUMPRODUCT((('CONTROL MASTER'!$S$2:$S$495=10)*('CONTROL MASTER'!$Z$2:$Z$495&lt;=3)*('CONTROL MASTER'!$AB$2:$AB$495&gt;=3)*('CONTROL MASTER'!$AA$2:$AA$495&lt;=5)*('CONTROL MASTER'!$AC$2:$AC$495&gt;=5))*ROW('CONTROL MASTER'!$S$2:$S$495))-(ROW('CONTROL MASTER'!#REF!)-1)))+((3-INDEX('CONTROL MASTER'!$Z$2:$Z$495,(SUMPRODUCT((('CONTROL MASTER'!$S$2:$S$495=10)*('CONTROL MASTER'!$Z$2:$Z$495&lt;=3)*('CONTROL MASTER'!$AB$2:$AB$495&gt;=3)*('CONTROL MASTER'!$AA$2:$AA$495&lt;=5)*('CONTROL MASTER'!$AC$2:$AC$495&gt;=5))*ROW('CONTROL MASTER'!$S$2:$S$495))-(ROW('CONTROL MASTER'!#REF!)-1))))*(INDEX('CONTROL MASTER'!$AC$2:$AC$495,(SUMPRODUCT((('CONTROL MASTER'!$S$2:$S$495=10)*('CONTROL MASTER'!$Z$2:$Z$495&lt;=3)*('CONTROL MASTER'!$AB$2:$AB$495&gt;=3)*('CONTROL MASTER'!$AA$2:$AA$495&lt;=5)*('CONTROL MASTER'!$AC$2:$AC$495&gt;=5))*ROW('CONTROL MASTER'!$S$2:$S$495))-(ROW('CONTROL MASTER'!#REF!)-1)))-INDEX('CONTROL MASTER'!$AA$2:$AA$495,(SUMPRODUCT((('CONTROL MASTER'!$S$2:$S$495=10)*('CONTROL MASTER'!$Z$2:$Z$495&lt;=3)*('CONTROL MASTER'!$AB$2:$AB$495&gt;=3)*('CONTROL MASTER'!$AA$2:$AA$495&lt;=5)*('CONTROL MASTER'!$AC$2:$AC$495&gt;=5))*ROW('CONTROL MASTER'!$S$2:$S$495))-(ROW('CONTROL MASTER'!#REF!)-1)))+1)+(5-INDEX('CONTROL MASTER'!$AA$2:$AA$495,(SUMPRODUCT((('CONTROL MASTER'!$S$2:$S$495=10)*('CONTROL MASTER'!$Z$2:$Z$495&lt;=3)*('CONTROL MASTER'!$AB$2:$AB$495&gt;=3)*('CONTROL MASTER'!$AA$2:$AA$495&lt;=5)*('CONTROL MASTER'!$AC$2:$AC$495&gt;=5))*ROW('CONTROL MASTER'!$S$2:$S$495))-(ROW('CONTROL MASTER'!#REF!)-1))))+1)))-1)*50+1,50))&amp;"_"&amp;INDEX('CONTROL MASTER'!$P$2:$P$495,(SUMPRODUCT((('CONTROL MASTER'!$S$2:$S$495=10)*('CONTROL MASTER'!$Z$2:$Z$495&lt;=3)*('CONTROL MASTER'!$AB$2:$AB$495&gt;=3)*('CONTROL MASTER'!$AA$2:$AA$495&lt;=5)*('CONTROL MASTER'!$AC$2:$AC$495&gt;=5))*ROW('CONTROL MASTER'!$S$2:$S$495))-(ROW('CONTROL MASTER'!#REF!)-1))),"")),"")</f>
        <v/>
      </c>
      <c r="G131" s="10" t="str">
        <f>IFERROR(IF(SUMPRODUCT((('CONTROL MASTER'!$S$2:$S$495=10)*('CONTROL MASTER'!$T$2:$T$495&lt;=3)*('CONTROL MASTER'!$V$2:$V$495&gt;=3)*('CONTROL MASTER'!$U$2:$U$495&lt;=6)*('CONTROL MASTER'!$W$2:$W$495&gt;=6))*ROW('CONTROL MASTER'!$S$2:$S$495))&gt;0,INDEX('CONTROL MASTER'!$X$2:$X$495,(SUMPRODUCT((('CONTROL MASTER'!$S$2:$S$495=10)*('CONTROL MASTER'!$T$2:$T$495&lt;=3)*('CONTROL MASTER'!$V$2:$V$495&gt;=3)*('CONTROL MASTER'!$U$2:$U$495&lt;=6)*('CONTROL MASTER'!$W$2:$W$495&gt;=6))*ROW('CONTROL MASTER'!$S$2:$S$495))-(ROW('CONTROL MASTER'!#REF!)-1)))&amp;TRIM(MID(SUBSTITUTE(SUBSTITUTE(INDEX('CONTROL MASTER'!$N$2:$N$495,(SUMPRODUCT((('CONTROL MASTER'!$S$2:$S$495=10)*('CONTROL MASTER'!$T$2:$T$495&lt;=3)*('CONTROL MASTER'!$V$2:$V$495&gt;=3)*('CONTROL MASTER'!$U$2:$U$495&lt;=6)*('CONTROL MASTER'!$W$2:$W$495&gt;=6))*ROW('CONTROL MASTER'!$S$2:$S$495))-(ROW('CONTROL MASTER'!#REF!)-1))),":",","),",",REPT(" ",50)),((((3-INDEX('CONTROL MASTER'!$T$2:$T$495,(SUMPRODUCT((('CONTROL MASTER'!$S$2:$S$495=10)*('CONTROL MASTER'!$T$2:$T$495&lt;=3)*('CONTROL MASTER'!$V$2:$V$495&gt;=3)*('CONTROL MASTER'!$U$2:$U$495&lt;=6)*('CONTROL MASTER'!$W$2:$W$495&gt;=6))*ROW('CONTROL MASTER'!$S$2:$S$495))-(ROW('CONTROL MASTER'!#REF!)-1))))*(INDEX('CONTROL MASTER'!$W$2:$W$495,(SUMPRODUCT((('CONTROL MASTER'!$S$2:$S$495=10)*('CONTROL MASTER'!$T$2:$T$495&lt;=3)*('CONTROL MASTER'!$V$2:$V$495&gt;=3)*('CONTROL MASTER'!$U$2:$U$495&lt;=6)*('CONTROL MASTER'!$W$2:$W$495&gt;=6))*ROW('CONTROL MASTER'!$S$2:$S$495))-(ROW('CONTROL MASTER'!#REF!)-1)))-INDEX('CONTROL MASTER'!$U$2:$U$495,(SUMPRODUCT((('CONTROL MASTER'!$S$2:$S$495=10)*('CONTROL MASTER'!$T$2:$T$495&lt;=3)*('CONTROL MASTER'!$V$2:$V$495&gt;=3)*('CONTROL MASTER'!$U$2:$U$495&lt;=6)*('CONTROL MASTER'!$W$2:$W$495&gt;=6))*ROW('CONTROL MASTER'!$S$2:$S$495))-(ROW('CONTROL MASTER'!#REF!)-1)))+1)+(6-INDEX('CONTROL MASTER'!$U$2:$U$495,(SUMPRODUCT((('CONTROL MASTER'!$S$2:$S$495=10)*('CONTROL MASTER'!$T$2:$T$495&lt;=3)*('CONTROL MASTER'!$V$2:$V$495&gt;=3)*('CONTROL MASTER'!$U$2:$U$495&lt;=6)*('CONTROL MASTER'!$W$2:$W$495&gt;=6))*ROW('CONTROL MASTER'!$S$2:$S$495))-(ROW('CONTROL MASTER'!#REF!)-1))))+1))-1)*50+1,50))&amp;"_"&amp;INDEX('CONTROL MASTER'!$P$2:$P$495,(SUMPRODUCT((('CONTROL MASTER'!$S$2:$S$495=10)*('CONTROL MASTER'!$T$2:$T$495&lt;=3)*('CONTROL MASTER'!$V$2:$V$495&gt;=3)*('CONTROL MASTER'!$U$2:$U$495&lt;=6)*('CONTROL MASTER'!$W$2:$W$495&gt;=6))*ROW('CONTROL MASTER'!$S$2:$S$495))-(ROW('CONTROL MASTER'!#REF!)-1))),IF(SUMPRODUCT((('CONTROL MASTER'!$S$2:$S$495=10)*('CONTROL MASTER'!$Z$2:$Z$495&lt;=3)*('CONTROL MASTER'!$AB$2:$AB$495&gt;=3)*('CONTROL MASTER'!$AA$2:$AA$495&lt;=6)*('CONTROL MASTER'!$AC$2:$AC$495&gt;=6))*ROW('CONTROL MASTER'!$S$2:$S$495))&gt;0,INDEX('CONTROL MASTER'!$X$2:$X$495,(SUMPRODUCT((('CONTROL MASTER'!$S$2:$S$495=10)*('CONTROL MASTER'!$Z$2:$Z$495&lt;=3)*('CONTROL MASTER'!$AB$2:$AB$495&gt;=3)*('CONTROL MASTER'!$AA$2:$AA$495&lt;=6)*('CONTROL MASTER'!$AC$2:$AC$495&gt;=6))*ROW('CONTROL MASTER'!$S$2:$S$495))-(ROW('CONTROL MASTER'!#REF!)-1)))&amp;TRIM(MID(SUBSTITUTE(SUBSTITUTE(INDEX('CONTROL MASTER'!$N$2:$N$495,(SUMPRODUCT((('CONTROL MASTER'!$S$2:$S$495=10)*('CONTROL MASTER'!$Z$2:$Z$495&lt;=3)*('CONTROL MASTER'!$AB$2:$AB$495&gt;=3)*('CONTROL MASTER'!$AA$2:$AA$495&lt;=6)*('CONTROL MASTER'!$AC$2:$AC$495&gt;=6))*ROW('CONTROL MASTER'!$S$2:$S$495))-(ROW('CONTROL MASTER'!#REF!)-1))),":",","),",",REPT(" ",50)),(((INDEX('CONTROL MASTER'!$Y$2:$Y$495,(SUMPRODUCT((('CONTROL MASTER'!$S$2:$S$495=10)*('CONTROL MASTER'!$Z$2:$Z$495&lt;=3)*('CONTROL MASTER'!$AB$2:$AB$495&gt;=3)*('CONTROL MASTER'!$AA$2:$AA$495&lt;=6)*('CONTROL MASTER'!$AC$2:$AC$495&gt;=6))*ROW('CONTROL MASTER'!$S$2:$S$495))-(ROW('CONTROL MASTER'!#REF!)-1)))+((3-INDEX('CONTROL MASTER'!$Z$2:$Z$495,(SUMPRODUCT((('CONTROL MASTER'!$S$2:$S$495=10)*('CONTROL MASTER'!$Z$2:$Z$495&lt;=3)*('CONTROL MASTER'!$AB$2:$AB$495&gt;=3)*('CONTROL MASTER'!$AA$2:$AA$495&lt;=6)*('CONTROL MASTER'!$AC$2:$AC$495&gt;=6))*ROW('CONTROL MASTER'!$S$2:$S$495))-(ROW('CONTROL MASTER'!#REF!)-1))))*(INDEX('CONTROL MASTER'!$AC$2:$AC$495,(SUMPRODUCT((('CONTROL MASTER'!$S$2:$S$495=10)*('CONTROL MASTER'!$Z$2:$Z$495&lt;=3)*('CONTROL MASTER'!$AB$2:$AB$495&gt;=3)*('CONTROL MASTER'!$AA$2:$AA$495&lt;=6)*('CONTROL MASTER'!$AC$2:$AC$495&gt;=6))*ROW('CONTROL MASTER'!$S$2:$S$495))-(ROW('CONTROL MASTER'!#REF!)-1)))-INDEX('CONTROL MASTER'!$AA$2:$AA$495,(SUMPRODUCT((('CONTROL MASTER'!$S$2:$S$495=10)*('CONTROL MASTER'!$Z$2:$Z$495&lt;=3)*('CONTROL MASTER'!$AB$2:$AB$495&gt;=3)*('CONTROL MASTER'!$AA$2:$AA$495&lt;=6)*('CONTROL MASTER'!$AC$2:$AC$495&gt;=6))*ROW('CONTROL MASTER'!$S$2:$S$495))-(ROW('CONTROL MASTER'!#REF!)-1)))+1)+(6-INDEX('CONTROL MASTER'!$AA$2:$AA$495,(SUMPRODUCT((('CONTROL MASTER'!$S$2:$S$495=10)*('CONTROL MASTER'!$Z$2:$Z$495&lt;=3)*('CONTROL MASTER'!$AB$2:$AB$495&gt;=3)*('CONTROL MASTER'!$AA$2:$AA$495&lt;=6)*('CONTROL MASTER'!$AC$2:$AC$495&gt;=6))*ROW('CONTROL MASTER'!$S$2:$S$495))-(ROW('CONTROL MASTER'!#REF!)-1))))+1)))-1)*50+1,50))&amp;"_"&amp;INDEX('CONTROL MASTER'!$P$2:$P$495,(SUMPRODUCT((('CONTROL MASTER'!$S$2:$S$495=10)*('CONTROL MASTER'!$Z$2:$Z$495&lt;=3)*('CONTROL MASTER'!$AB$2:$AB$495&gt;=3)*('CONTROL MASTER'!$AA$2:$AA$495&lt;=6)*('CONTROL MASTER'!$AC$2:$AC$495&gt;=6))*ROW('CONTROL MASTER'!$S$2:$S$495))-(ROW('CONTROL MASTER'!#REF!)-1))),"")),"")</f>
        <v/>
      </c>
      <c r="H131" s="10" t="str">
        <f>IFERROR(IF(SUMPRODUCT((('CONTROL MASTER'!$S$2:$S$495=10)*('CONTROL MASTER'!$T$2:$T$495&lt;=3)*('CONTROL MASTER'!$V$2:$V$495&gt;=3)*('CONTROL MASTER'!$U$2:$U$495&lt;=7)*('CONTROL MASTER'!$W$2:$W$495&gt;=7))*ROW('CONTROL MASTER'!$S$2:$S$495))&gt;0,INDEX('CONTROL MASTER'!$X$2:$X$495,(SUMPRODUCT((('CONTROL MASTER'!$S$2:$S$495=10)*('CONTROL MASTER'!$T$2:$T$495&lt;=3)*('CONTROL MASTER'!$V$2:$V$495&gt;=3)*('CONTROL MASTER'!$U$2:$U$495&lt;=7)*('CONTROL MASTER'!$W$2:$W$495&gt;=7))*ROW('CONTROL MASTER'!$S$2:$S$495))-(ROW('CONTROL MASTER'!#REF!)-1)))&amp;TRIM(MID(SUBSTITUTE(SUBSTITUTE(INDEX('CONTROL MASTER'!$N$2:$N$495,(SUMPRODUCT((('CONTROL MASTER'!$S$2:$S$495=10)*('CONTROL MASTER'!$T$2:$T$495&lt;=3)*('CONTROL MASTER'!$V$2:$V$495&gt;=3)*('CONTROL MASTER'!$U$2:$U$495&lt;=7)*('CONTROL MASTER'!$W$2:$W$495&gt;=7))*ROW('CONTROL MASTER'!$S$2:$S$495))-(ROW('CONTROL MASTER'!#REF!)-1))),":",","),",",REPT(" ",50)),((((3-INDEX('CONTROL MASTER'!$T$2:$T$495,(SUMPRODUCT((('CONTROL MASTER'!$S$2:$S$495=10)*('CONTROL MASTER'!$T$2:$T$495&lt;=3)*('CONTROL MASTER'!$V$2:$V$495&gt;=3)*('CONTROL MASTER'!$U$2:$U$495&lt;=7)*('CONTROL MASTER'!$W$2:$W$495&gt;=7))*ROW('CONTROL MASTER'!$S$2:$S$495))-(ROW('CONTROL MASTER'!#REF!)-1))))*(INDEX('CONTROL MASTER'!$W$2:$W$495,(SUMPRODUCT((('CONTROL MASTER'!$S$2:$S$495=10)*('CONTROL MASTER'!$T$2:$T$495&lt;=3)*('CONTROL MASTER'!$V$2:$V$495&gt;=3)*('CONTROL MASTER'!$U$2:$U$495&lt;=7)*('CONTROL MASTER'!$W$2:$W$495&gt;=7))*ROW('CONTROL MASTER'!$S$2:$S$495))-(ROW('CONTROL MASTER'!#REF!)-1)))-INDEX('CONTROL MASTER'!$U$2:$U$495,(SUMPRODUCT((('CONTROL MASTER'!$S$2:$S$495=10)*('CONTROL MASTER'!$T$2:$T$495&lt;=3)*('CONTROL MASTER'!$V$2:$V$495&gt;=3)*('CONTROL MASTER'!$U$2:$U$495&lt;=7)*('CONTROL MASTER'!$W$2:$W$495&gt;=7))*ROW('CONTROL MASTER'!$S$2:$S$495))-(ROW('CONTROL MASTER'!#REF!)-1)))+1)+(7-INDEX('CONTROL MASTER'!$U$2:$U$495,(SUMPRODUCT((('CONTROL MASTER'!$S$2:$S$495=10)*('CONTROL MASTER'!$T$2:$T$495&lt;=3)*('CONTROL MASTER'!$V$2:$V$495&gt;=3)*('CONTROL MASTER'!$U$2:$U$495&lt;=7)*('CONTROL MASTER'!$W$2:$W$495&gt;=7))*ROW('CONTROL MASTER'!$S$2:$S$495))-(ROW('CONTROL MASTER'!#REF!)-1))))+1))-1)*50+1,50))&amp;"_"&amp;INDEX('CONTROL MASTER'!$P$2:$P$495,(SUMPRODUCT((('CONTROL MASTER'!$S$2:$S$495=10)*('CONTROL MASTER'!$T$2:$T$495&lt;=3)*('CONTROL MASTER'!$V$2:$V$495&gt;=3)*('CONTROL MASTER'!$U$2:$U$495&lt;=7)*('CONTROL MASTER'!$W$2:$W$495&gt;=7))*ROW('CONTROL MASTER'!$S$2:$S$495))-(ROW('CONTROL MASTER'!#REF!)-1))),IF(SUMPRODUCT((('CONTROL MASTER'!$S$2:$S$495=10)*('CONTROL MASTER'!$Z$2:$Z$495&lt;=3)*('CONTROL MASTER'!$AB$2:$AB$495&gt;=3)*('CONTROL MASTER'!$AA$2:$AA$495&lt;=7)*('CONTROL MASTER'!$AC$2:$AC$495&gt;=7))*ROW('CONTROL MASTER'!$S$2:$S$495))&gt;0,INDEX('CONTROL MASTER'!$X$2:$X$495,(SUMPRODUCT((('CONTROL MASTER'!$S$2:$S$495=10)*('CONTROL MASTER'!$Z$2:$Z$495&lt;=3)*('CONTROL MASTER'!$AB$2:$AB$495&gt;=3)*('CONTROL MASTER'!$AA$2:$AA$495&lt;=7)*('CONTROL MASTER'!$AC$2:$AC$495&gt;=7))*ROW('CONTROL MASTER'!$S$2:$S$495))-(ROW('CONTROL MASTER'!#REF!)-1)))&amp;TRIM(MID(SUBSTITUTE(SUBSTITUTE(INDEX('CONTROL MASTER'!$N$2:$N$495,(SUMPRODUCT((('CONTROL MASTER'!$S$2:$S$495=10)*('CONTROL MASTER'!$Z$2:$Z$495&lt;=3)*('CONTROL MASTER'!$AB$2:$AB$495&gt;=3)*('CONTROL MASTER'!$AA$2:$AA$495&lt;=7)*('CONTROL MASTER'!$AC$2:$AC$495&gt;=7))*ROW('CONTROL MASTER'!$S$2:$S$495))-(ROW('CONTROL MASTER'!#REF!)-1))),":",","),",",REPT(" ",50)),(((INDEX('CONTROL MASTER'!$Y$2:$Y$495,(SUMPRODUCT((('CONTROL MASTER'!$S$2:$S$495=10)*('CONTROL MASTER'!$Z$2:$Z$495&lt;=3)*('CONTROL MASTER'!$AB$2:$AB$495&gt;=3)*('CONTROL MASTER'!$AA$2:$AA$495&lt;=7)*('CONTROL MASTER'!$AC$2:$AC$495&gt;=7))*ROW('CONTROL MASTER'!$S$2:$S$495))-(ROW('CONTROL MASTER'!#REF!)-1)))+((3-INDEX('CONTROL MASTER'!$Z$2:$Z$495,(SUMPRODUCT((('CONTROL MASTER'!$S$2:$S$495=10)*('CONTROL MASTER'!$Z$2:$Z$495&lt;=3)*('CONTROL MASTER'!$AB$2:$AB$495&gt;=3)*('CONTROL MASTER'!$AA$2:$AA$495&lt;=7)*('CONTROL MASTER'!$AC$2:$AC$495&gt;=7))*ROW('CONTROL MASTER'!$S$2:$S$495))-(ROW('CONTROL MASTER'!#REF!)-1))))*(INDEX('CONTROL MASTER'!$AC$2:$AC$495,(SUMPRODUCT((('CONTROL MASTER'!$S$2:$S$495=10)*('CONTROL MASTER'!$Z$2:$Z$495&lt;=3)*('CONTROL MASTER'!$AB$2:$AB$495&gt;=3)*('CONTROL MASTER'!$AA$2:$AA$495&lt;=7)*('CONTROL MASTER'!$AC$2:$AC$495&gt;=7))*ROW('CONTROL MASTER'!$S$2:$S$495))-(ROW('CONTROL MASTER'!#REF!)-1)))-INDEX('CONTROL MASTER'!$AA$2:$AA$495,(SUMPRODUCT((('CONTROL MASTER'!$S$2:$S$495=10)*('CONTROL MASTER'!$Z$2:$Z$495&lt;=3)*('CONTROL MASTER'!$AB$2:$AB$495&gt;=3)*('CONTROL MASTER'!$AA$2:$AA$495&lt;=7)*('CONTROL MASTER'!$AC$2:$AC$495&gt;=7))*ROW('CONTROL MASTER'!$S$2:$S$495))-(ROW('CONTROL MASTER'!#REF!)-1)))+1)+(7-INDEX('CONTROL MASTER'!$AA$2:$AA$495,(SUMPRODUCT((('CONTROL MASTER'!$S$2:$S$495=10)*('CONTROL MASTER'!$Z$2:$Z$495&lt;=3)*('CONTROL MASTER'!$AB$2:$AB$495&gt;=3)*('CONTROL MASTER'!$AA$2:$AA$495&lt;=7)*('CONTROL MASTER'!$AC$2:$AC$495&gt;=7))*ROW('CONTROL MASTER'!$S$2:$S$495))-(ROW('CONTROL MASTER'!#REF!)-1))))+1)))-1)*50+1,50))&amp;"_"&amp;INDEX('CONTROL MASTER'!$P$2:$P$495,(SUMPRODUCT((('CONTROL MASTER'!$S$2:$S$495=10)*('CONTROL MASTER'!$Z$2:$Z$495&lt;=3)*('CONTROL MASTER'!$AB$2:$AB$495&gt;=3)*('CONTROL MASTER'!$AA$2:$AA$495&lt;=7)*('CONTROL MASTER'!$AC$2:$AC$495&gt;=7))*ROW('CONTROL MASTER'!$S$2:$S$495))-(ROW('CONTROL MASTER'!#REF!)-1))),"")),"")</f>
        <v/>
      </c>
      <c r="I131" s="10" t="str">
        <f>IFERROR(IF(SUMPRODUCT((('CONTROL MASTER'!$S$2:$S$495=10)*('CONTROL MASTER'!$T$2:$T$495&lt;=3)*('CONTROL MASTER'!$V$2:$V$495&gt;=3)*('CONTROL MASTER'!$U$2:$U$495&lt;=8)*('CONTROL MASTER'!$W$2:$W$495&gt;=8))*ROW('CONTROL MASTER'!$S$2:$S$495))&gt;0,INDEX('CONTROL MASTER'!$X$2:$X$495,(SUMPRODUCT((('CONTROL MASTER'!$S$2:$S$495=10)*('CONTROL MASTER'!$T$2:$T$495&lt;=3)*('CONTROL MASTER'!$V$2:$V$495&gt;=3)*('CONTROL MASTER'!$U$2:$U$495&lt;=8)*('CONTROL MASTER'!$W$2:$W$495&gt;=8))*ROW('CONTROL MASTER'!$S$2:$S$495))-(ROW('CONTROL MASTER'!#REF!)-1)))&amp;TRIM(MID(SUBSTITUTE(SUBSTITUTE(INDEX('CONTROL MASTER'!$N$2:$N$495,(SUMPRODUCT((('CONTROL MASTER'!$S$2:$S$495=10)*('CONTROL MASTER'!$T$2:$T$495&lt;=3)*('CONTROL MASTER'!$V$2:$V$495&gt;=3)*('CONTROL MASTER'!$U$2:$U$495&lt;=8)*('CONTROL MASTER'!$W$2:$W$495&gt;=8))*ROW('CONTROL MASTER'!$S$2:$S$495))-(ROW('CONTROL MASTER'!#REF!)-1))),":",","),",",REPT(" ",50)),((((3-INDEX('CONTROL MASTER'!$T$2:$T$495,(SUMPRODUCT((('CONTROL MASTER'!$S$2:$S$495=10)*('CONTROL MASTER'!$T$2:$T$495&lt;=3)*('CONTROL MASTER'!$V$2:$V$495&gt;=3)*('CONTROL MASTER'!$U$2:$U$495&lt;=8)*('CONTROL MASTER'!$W$2:$W$495&gt;=8))*ROW('CONTROL MASTER'!$S$2:$S$495))-(ROW('CONTROL MASTER'!#REF!)-1))))*(INDEX('CONTROL MASTER'!$W$2:$W$495,(SUMPRODUCT((('CONTROL MASTER'!$S$2:$S$495=10)*('CONTROL MASTER'!$T$2:$T$495&lt;=3)*('CONTROL MASTER'!$V$2:$V$495&gt;=3)*('CONTROL MASTER'!$U$2:$U$495&lt;=8)*('CONTROL MASTER'!$W$2:$W$495&gt;=8))*ROW('CONTROL MASTER'!$S$2:$S$495))-(ROW('CONTROL MASTER'!#REF!)-1)))-INDEX('CONTROL MASTER'!$U$2:$U$495,(SUMPRODUCT((('CONTROL MASTER'!$S$2:$S$495=10)*('CONTROL MASTER'!$T$2:$T$495&lt;=3)*('CONTROL MASTER'!$V$2:$V$495&gt;=3)*('CONTROL MASTER'!$U$2:$U$495&lt;=8)*('CONTROL MASTER'!$W$2:$W$495&gt;=8))*ROW('CONTROL MASTER'!$S$2:$S$495))-(ROW('CONTROL MASTER'!#REF!)-1)))+1)+(8-INDEX('CONTROL MASTER'!$U$2:$U$495,(SUMPRODUCT((('CONTROL MASTER'!$S$2:$S$495=10)*('CONTROL MASTER'!$T$2:$T$495&lt;=3)*('CONTROL MASTER'!$V$2:$V$495&gt;=3)*('CONTROL MASTER'!$U$2:$U$495&lt;=8)*('CONTROL MASTER'!$W$2:$W$495&gt;=8))*ROW('CONTROL MASTER'!$S$2:$S$495))-(ROW('CONTROL MASTER'!#REF!)-1))))+1))-1)*50+1,50))&amp;"_"&amp;INDEX('CONTROL MASTER'!$P$2:$P$495,(SUMPRODUCT((('CONTROL MASTER'!$S$2:$S$495=10)*('CONTROL MASTER'!$T$2:$T$495&lt;=3)*('CONTROL MASTER'!$V$2:$V$495&gt;=3)*('CONTROL MASTER'!$U$2:$U$495&lt;=8)*('CONTROL MASTER'!$W$2:$W$495&gt;=8))*ROW('CONTROL MASTER'!$S$2:$S$495))-(ROW('CONTROL MASTER'!#REF!)-1))),IF(SUMPRODUCT((('CONTROL MASTER'!$S$2:$S$495=10)*('CONTROL MASTER'!$Z$2:$Z$495&lt;=3)*('CONTROL MASTER'!$AB$2:$AB$495&gt;=3)*('CONTROL MASTER'!$AA$2:$AA$495&lt;=8)*('CONTROL MASTER'!$AC$2:$AC$495&gt;=8))*ROW('CONTROL MASTER'!$S$2:$S$495))&gt;0,INDEX('CONTROL MASTER'!$X$2:$X$495,(SUMPRODUCT((('CONTROL MASTER'!$S$2:$S$495=10)*('CONTROL MASTER'!$Z$2:$Z$495&lt;=3)*('CONTROL MASTER'!$AB$2:$AB$495&gt;=3)*('CONTROL MASTER'!$AA$2:$AA$495&lt;=8)*('CONTROL MASTER'!$AC$2:$AC$495&gt;=8))*ROW('CONTROL MASTER'!$S$2:$S$495))-(ROW('CONTROL MASTER'!#REF!)-1)))&amp;TRIM(MID(SUBSTITUTE(SUBSTITUTE(INDEX('CONTROL MASTER'!$N$2:$N$495,(SUMPRODUCT((('CONTROL MASTER'!$S$2:$S$495=10)*('CONTROL MASTER'!$Z$2:$Z$495&lt;=3)*('CONTROL MASTER'!$AB$2:$AB$495&gt;=3)*('CONTROL MASTER'!$AA$2:$AA$495&lt;=8)*('CONTROL MASTER'!$AC$2:$AC$495&gt;=8))*ROW('CONTROL MASTER'!$S$2:$S$495))-(ROW('CONTROL MASTER'!#REF!)-1))),":",","),",",REPT(" ",50)),(((INDEX('CONTROL MASTER'!$Y$2:$Y$495,(SUMPRODUCT((('CONTROL MASTER'!$S$2:$S$495=10)*('CONTROL MASTER'!$Z$2:$Z$495&lt;=3)*('CONTROL MASTER'!$AB$2:$AB$495&gt;=3)*('CONTROL MASTER'!$AA$2:$AA$495&lt;=8)*('CONTROL MASTER'!$AC$2:$AC$495&gt;=8))*ROW('CONTROL MASTER'!$S$2:$S$495))-(ROW('CONTROL MASTER'!#REF!)-1)))+((3-INDEX('CONTROL MASTER'!$Z$2:$Z$495,(SUMPRODUCT((('CONTROL MASTER'!$S$2:$S$495=10)*('CONTROL MASTER'!$Z$2:$Z$495&lt;=3)*('CONTROL MASTER'!$AB$2:$AB$495&gt;=3)*('CONTROL MASTER'!$AA$2:$AA$495&lt;=8)*('CONTROL MASTER'!$AC$2:$AC$495&gt;=8))*ROW('CONTROL MASTER'!$S$2:$S$495))-(ROW('CONTROL MASTER'!#REF!)-1))))*(INDEX('CONTROL MASTER'!$AC$2:$AC$495,(SUMPRODUCT((('CONTROL MASTER'!$S$2:$S$495=10)*('CONTROL MASTER'!$Z$2:$Z$495&lt;=3)*('CONTROL MASTER'!$AB$2:$AB$495&gt;=3)*('CONTROL MASTER'!$AA$2:$AA$495&lt;=8)*('CONTROL MASTER'!$AC$2:$AC$495&gt;=8))*ROW('CONTROL MASTER'!$S$2:$S$495))-(ROW('CONTROL MASTER'!#REF!)-1)))-INDEX('CONTROL MASTER'!$AA$2:$AA$495,(SUMPRODUCT((('CONTROL MASTER'!$S$2:$S$495=10)*('CONTROL MASTER'!$Z$2:$Z$495&lt;=3)*('CONTROL MASTER'!$AB$2:$AB$495&gt;=3)*('CONTROL MASTER'!$AA$2:$AA$495&lt;=8)*('CONTROL MASTER'!$AC$2:$AC$495&gt;=8))*ROW('CONTROL MASTER'!$S$2:$S$495))-(ROW('CONTROL MASTER'!#REF!)-1)))+1)+(8-INDEX('CONTROL MASTER'!$AA$2:$AA$495,(SUMPRODUCT((('CONTROL MASTER'!$S$2:$S$495=10)*('CONTROL MASTER'!$Z$2:$Z$495&lt;=3)*('CONTROL MASTER'!$AB$2:$AB$495&gt;=3)*('CONTROL MASTER'!$AA$2:$AA$495&lt;=8)*('CONTROL MASTER'!$AC$2:$AC$495&gt;=8))*ROW('CONTROL MASTER'!$S$2:$S$495))-(ROW('CONTROL MASTER'!#REF!)-1))))+1)))-1)*50+1,50))&amp;"_"&amp;INDEX('CONTROL MASTER'!$P$2:$P$495,(SUMPRODUCT((('CONTROL MASTER'!$S$2:$S$495=10)*('CONTROL MASTER'!$Z$2:$Z$495&lt;=3)*('CONTROL MASTER'!$AB$2:$AB$495&gt;=3)*('CONTROL MASTER'!$AA$2:$AA$495&lt;=8)*('CONTROL MASTER'!$AC$2:$AC$495&gt;=8))*ROW('CONTROL MASTER'!$S$2:$S$495))-(ROW('CONTROL MASTER'!#REF!)-1))),"")),"")</f>
        <v/>
      </c>
      <c r="J131" s="10" t="str">
        <f>IFERROR(IF(SUMPRODUCT((('CONTROL MASTER'!$S$2:$S$495=10)*('CONTROL MASTER'!$T$2:$T$495&lt;=3)*('CONTROL MASTER'!$V$2:$V$495&gt;=3)*('CONTROL MASTER'!$U$2:$U$495&lt;=9)*('CONTROL MASTER'!$W$2:$W$495&gt;=9))*ROW('CONTROL MASTER'!$S$2:$S$495))&gt;0,INDEX('CONTROL MASTER'!$X$2:$X$495,(SUMPRODUCT((('CONTROL MASTER'!$S$2:$S$495=10)*('CONTROL MASTER'!$T$2:$T$495&lt;=3)*('CONTROL MASTER'!$V$2:$V$495&gt;=3)*('CONTROL MASTER'!$U$2:$U$495&lt;=9)*('CONTROL MASTER'!$W$2:$W$495&gt;=9))*ROW('CONTROL MASTER'!$S$2:$S$495))-(ROW('CONTROL MASTER'!#REF!)-1)))&amp;TRIM(MID(SUBSTITUTE(SUBSTITUTE(INDEX('CONTROL MASTER'!$N$2:$N$495,(SUMPRODUCT((('CONTROL MASTER'!$S$2:$S$495=10)*('CONTROL MASTER'!$T$2:$T$495&lt;=3)*('CONTROL MASTER'!$V$2:$V$495&gt;=3)*('CONTROL MASTER'!$U$2:$U$495&lt;=9)*('CONTROL MASTER'!$W$2:$W$495&gt;=9))*ROW('CONTROL MASTER'!$S$2:$S$495))-(ROW('CONTROL MASTER'!#REF!)-1))),":",","),",",REPT(" ",50)),((((3-INDEX('CONTROL MASTER'!$T$2:$T$495,(SUMPRODUCT((('CONTROL MASTER'!$S$2:$S$495=10)*('CONTROL MASTER'!$T$2:$T$495&lt;=3)*('CONTROL MASTER'!$V$2:$V$495&gt;=3)*('CONTROL MASTER'!$U$2:$U$495&lt;=9)*('CONTROL MASTER'!$W$2:$W$495&gt;=9))*ROW('CONTROL MASTER'!$S$2:$S$495))-(ROW('CONTROL MASTER'!#REF!)-1))))*(INDEX('CONTROL MASTER'!$W$2:$W$495,(SUMPRODUCT((('CONTROL MASTER'!$S$2:$S$495=10)*('CONTROL MASTER'!$T$2:$T$495&lt;=3)*('CONTROL MASTER'!$V$2:$V$495&gt;=3)*('CONTROL MASTER'!$U$2:$U$495&lt;=9)*('CONTROL MASTER'!$W$2:$W$495&gt;=9))*ROW('CONTROL MASTER'!$S$2:$S$495))-(ROW('CONTROL MASTER'!#REF!)-1)))-INDEX('CONTROL MASTER'!$U$2:$U$495,(SUMPRODUCT((('CONTROL MASTER'!$S$2:$S$495=10)*('CONTROL MASTER'!$T$2:$T$495&lt;=3)*('CONTROL MASTER'!$V$2:$V$495&gt;=3)*('CONTROL MASTER'!$U$2:$U$495&lt;=9)*('CONTROL MASTER'!$W$2:$W$495&gt;=9))*ROW('CONTROL MASTER'!$S$2:$S$495))-(ROW('CONTROL MASTER'!#REF!)-1)))+1)+(9-INDEX('CONTROL MASTER'!$U$2:$U$495,(SUMPRODUCT((('CONTROL MASTER'!$S$2:$S$495=10)*('CONTROL MASTER'!$T$2:$T$495&lt;=3)*('CONTROL MASTER'!$V$2:$V$495&gt;=3)*('CONTROL MASTER'!$U$2:$U$495&lt;=9)*('CONTROL MASTER'!$W$2:$W$495&gt;=9))*ROW('CONTROL MASTER'!$S$2:$S$495))-(ROW('CONTROL MASTER'!#REF!)-1))))+1))-1)*50+1,50))&amp;"_"&amp;INDEX('CONTROL MASTER'!$P$2:$P$495,(SUMPRODUCT((('CONTROL MASTER'!$S$2:$S$495=10)*('CONTROL MASTER'!$T$2:$T$495&lt;=3)*('CONTROL MASTER'!$V$2:$V$495&gt;=3)*('CONTROL MASTER'!$U$2:$U$495&lt;=9)*('CONTROL MASTER'!$W$2:$W$495&gt;=9))*ROW('CONTROL MASTER'!$S$2:$S$495))-(ROW('CONTROL MASTER'!#REF!)-1))),IF(SUMPRODUCT((('CONTROL MASTER'!$S$2:$S$495=10)*('CONTROL MASTER'!$Z$2:$Z$495&lt;=3)*('CONTROL MASTER'!$AB$2:$AB$495&gt;=3)*('CONTROL MASTER'!$AA$2:$AA$495&lt;=9)*('CONTROL MASTER'!$AC$2:$AC$495&gt;=9))*ROW('CONTROL MASTER'!$S$2:$S$495))&gt;0,INDEX('CONTROL MASTER'!$X$2:$X$495,(SUMPRODUCT((('CONTROL MASTER'!$S$2:$S$495=10)*('CONTROL MASTER'!$Z$2:$Z$495&lt;=3)*('CONTROL MASTER'!$AB$2:$AB$495&gt;=3)*('CONTROL MASTER'!$AA$2:$AA$495&lt;=9)*('CONTROL MASTER'!$AC$2:$AC$495&gt;=9))*ROW('CONTROL MASTER'!$S$2:$S$495))-(ROW('CONTROL MASTER'!#REF!)-1)))&amp;TRIM(MID(SUBSTITUTE(SUBSTITUTE(INDEX('CONTROL MASTER'!$N$2:$N$495,(SUMPRODUCT((('CONTROL MASTER'!$S$2:$S$495=10)*('CONTROL MASTER'!$Z$2:$Z$495&lt;=3)*('CONTROL MASTER'!$AB$2:$AB$495&gt;=3)*('CONTROL MASTER'!$AA$2:$AA$495&lt;=9)*('CONTROL MASTER'!$AC$2:$AC$495&gt;=9))*ROW('CONTROL MASTER'!$S$2:$S$495))-(ROW('CONTROL MASTER'!#REF!)-1))),":",","),",",REPT(" ",50)),(((INDEX('CONTROL MASTER'!$Y$2:$Y$495,(SUMPRODUCT((('CONTROL MASTER'!$S$2:$S$495=10)*('CONTROL MASTER'!$Z$2:$Z$495&lt;=3)*('CONTROL MASTER'!$AB$2:$AB$495&gt;=3)*('CONTROL MASTER'!$AA$2:$AA$495&lt;=9)*('CONTROL MASTER'!$AC$2:$AC$495&gt;=9))*ROW('CONTROL MASTER'!$S$2:$S$495))-(ROW('CONTROL MASTER'!#REF!)-1)))+((3-INDEX('CONTROL MASTER'!$Z$2:$Z$495,(SUMPRODUCT((('CONTROL MASTER'!$S$2:$S$495=10)*('CONTROL MASTER'!$Z$2:$Z$495&lt;=3)*('CONTROL MASTER'!$AB$2:$AB$495&gt;=3)*('CONTROL MASTER'!$AA$2:$AA$495&lt;=9)*('CONTROL MASTER'!$AC$2:$AC$495&gt;=9))*ROW('CONTROL MASTER'!$S$2:$S$495))-(ROW('CONTROL MASTER'!#REF!)-1))))*(INDEX('CONTROL MASTER'!$AC$2:$AC$495,(SUMPRODUCT((('CONTROL MASTER'!$S$2:$S$495=10)*('CONTROL MASTER'!$Z$2:$Z$495&lt;=3)*('CONTROL MASTER'!$AB$2:$AB$495&gt;=3)*('CONTROL MASTER'!$AA$2:$AA$495&lt;=9)*('CONTROL MASTER'!$AC$2:$AC$495&gt;=9))*ROW('CONTROL MASTER'!$S$2:$S$495))-(ROW('CONTROL MASTER'!#REF!)-1)))-INDEX('CONTROL MASTER'!$AA$2:$AA$495,(SUMPRODUCT((('CONTROL MASTER'!$S$2:$S$495=10)*('CONTROL MASTER'!$Z$2:$Z$495&lt;=3)*('CONTROL MASTER'!$AB$2:$AB$495&gt;=3)*('CONTROL MASTER'!$AA$2:$AA$495&lt;=9)*('CONTROL MASTER'!$AC$2:$AC$495&gt;=9))*ROW('CONTROL MASTER'!$S$2:$S$495))-(ROW('CONTROL MASTER'!#REF!)-1)))+1)+(9-INDEX('CONTROL MASTER'!$AA$2:$AA$495,(SUMPRODUCT((('CONTROL MASTER'!$S$2:$S$495=10)*('CONTROL MASTER'!$Z$2:$Z$495&lt;=3)*('CONTROL MASTER'!$AB$2:$AB$495&gt;=3)*('CONTROL MASTER'!$AA$2:$AA$495&lt;=9)*('CONTROL MASTER'!$AC$2:$AC$495&gt;=9))*ROW('CONTROL MASTER'!$S$2:$S$495))-(ROW('CONTROL MASTER'!#REF!)-1))))+1)))-1)*50+1,50))&amp;"_"&amp;INDEX('CONTROL MASTER'!$P$2:$P$495,(SUMPRODUCT((('CONTROL MASTER'!$S$2:$S$495=10)*('CONTROL MASTER'!$Z$2:$Z$495&lt;=3)*('CONTROL MASTER'!$AB$2:$AB$495&gt;=3)*('CONTROL MASTER'!$AA$2:$AA$495&lt;=9)*('CONTROL MASTER'!$AC$2:$AC$495&gt;=9))*ROW('CONTROL MASTER'!$S$2:$S$495))-(ROW('CONTROL MASTER'!#REF!)-1))),"")),"")</f>
        <v/>
      </c>
      <c r="K131" s="10" t="str">
        <f>IFERROR(IF(SUMPRODUCT((('CONTROL MASTER'!$S$2:$S$495=10)*('CONTROL MASTER'!$T$2:$T$495&lt;=3)*('CONTROL MASTER'!$V$2:$V$495&gt;=3)*('CONTROL MASTER'!$U$2:$U$495&lt;=10)*('CONTROL MASTER'!$W$2:$W$495&gt;=10))*ROW('CONTROL MASTER'!$S$2:$S$495))&gt;0,INDEX('CONTROL MASTER'!$X$2:$X$495,(SUMPRODUCT((('CONTROL MASTER'!$S$2:$S$495=10)*('CONTROL MASTER'!$T$2:$T$495&lt;=3)*('CONTROL MASTER'!$V$2:$V$495&gt;=3)*('CONTROL MASTER'!$U$2:$U$495&lt;=10)*('CONTROL MASTER'!$W$2:$W$495&gt;=10))*ROW('CONTROL MASTER'!$S$2:$S$495))-(ROW('CONTROL MASTER'!#REF!)-1)))&amp;TRIM(MID(SUBSTITUTE(SUBSTITUTE(INDEX('CONTROL MASTER'!$N$2:$N$495,(SUMPRODUCT((('CONTROL MASTER'!$S$2:$S$495=10)*('CONTROL MASTER'!$T$2:$T$495&lt;=3)*('CONTROL MASTER'!$V$2:$V$495&gt;=3)*('CONTROL MASTER'!$U$2:$U$495&lt;=10)*('CONTROL MASTER'!$W$2:$W$495&gt;=10))*ROW('CONTROL MASTER'!$S$2:$S$495))-(ROW('CONTROL MASTER'!#REF!)-1))),":",","),",",REPT(" ",50)),((((3-INDEX('CONTROL MASTER'!$T$2:$T$495,(SUMPRODUCT((('CONTROL MASTER'!$S$2:$S$495=10)*('CONTROL MASTER'!$T$2:$T$495&lt;=3)*('CONTROL MASTER'!$V$2:$V$495&gt;=3)*('CONTROL MASTER'!$U$2:$U$495&lt;=10)*('CONTROL MASTER'!$W$2:$W$495&gt;=10))*ROW('CONTROL MASTER'!$S$2:$S$495))-(ROW('CONTROL MASTER'!#REF!)-1))))*(INDEX('CONTROL MASTER'!$W$2:$W$495,(SUMPRODUCT((('CONTROL MASTER'!$S$2:$S$495=10)*('CONTROL MASTER'!$T$2:$T$495&lt;=3)*('CONTROL MASTER'!$V$2:$V$495&gt;=3)*('CONTROL MASTER'!$U$2:$U$495&lt;=10)*('CONTROL MASTER'!$W$2:$W$495&gt;=10))*ROW('CONTROL MASTER'!$S$2:$S$495))-(ROW('CONTROL MASTER'!#REF!)-1)))-INDEX('CONTROL MASTER'!$U$2:$U$495,(SUMPRODUCT((('CONTROL MASTER'!$S$2:$S$495=10)*('CONTROL MASTER'!$T$2:$T$495&lt;=3)*('CONTROL MASTER'!$V$2:$V$495&gt;=3)*('CONTROL MASTER'!$U$2:$U$495&lt;=10)*('CONTROL MASTER'!$W$2:$W$495&gt;=10))*ROW('CONTROL MASTER'!$S$2:$S$495))-(ROW('CONTROL MASTER'!#REF!)-1)))+1)+(10-INDEX('CONTROL MASTER'!$U$2:$U$495,(SUMPRODUCT((('CONTROL MASTER'!$S$2:$S$495=10)*('CONTROL MASTER'!$T$2:$T$495&lt;=3)*('CONTROL MASTER'!$V$2:$V$495&gt;=3)*('CONTROL MASTER'!$U$2:$U$495&lt;=10)*('CONTROL MASTER'!$W$2:$W$495&gt;=10))*ROW('CONTROL MASTER'!$S$2:$S$495))-(ROW('CONTROL MASTER'!#REF!)-1))))+1))-1)*50+1,50))&amp;"_"&amp;INDEX('CONTROL MASTER'!$P$2:$P$495,(SUMPRODUCT((('CONTROL MASTER'!$S$2:$S$495=10)*('CONTROL MASTER'!$T$2:$T$495&lt;=3)*('CONTROL MASTER'!$V$2:$V$495&gt;=3)*('CONTROL MASTER'!$U$2:$U$495&lt;=10)*('CONTROL MASTER'!$W$2:$W$495&gt;=10))*ROW('CONTROL MASTER'!$S$2:$S$495))-(ROW('CONTROL MASTER'!#REF!)-1))),IF(SUMPRODUCT((('CONTROL MASTER'!$S$2:$S$495=10)*('CONTROL MASTER'!$Z$2:$Z$495&lt;=3)*('CONTROL MASTER'!$AB$2:$AB$495&gt;=3)*('CONTROL MASTER'!$AA$2:$AA$495&lt;=10)*('CONTROL MASTER'!$AC$2:$AC$495&gt;=10))*ROW('CONTROL MASTER'!$S$2:$S$495))&gt;0,INDEX('CONTROL MASTER'!$X$2:$X$495,(SUMPRODUCT((('CONTROL MASTER'!$S$2:$S$495=10)*('CONTROL MASTER'!$Z$2:$Z$495&lt;=3)*('CONTROL MASTER'!$AB$2:$AB$495&gt;=3)*('CONTROL MASTER'!$AA$2:$AA$495&lt;=10)*('CONTROL MASTER'!$AC$2:$AC$495&gt;=10))*ROW('CONTROL MASTER'!$S$2:$S$495))-(ROW('CONTROL MASTER'!#REF!)-1)))&amp;TRIM(MID(SUBSTITUTE(SUBSTITUTE(INDEX('CONTROL MASTER'!$N$2:$N$495,(SUMPRODUCT((('CONTROL MASTER'!$S$2:$S$495=10)*('CONTROL MASTER'!$Z$2:$Z$495&lt;=3)*('CONTROL MASTER'!$AB$2:$AB$495&gt;=3)*('CONTROL MASTER'!$AA$2:$AA$495&lt;=10)*('CONTROL MASTER'!$AC$2:$AC$495&gt;=10))*ROW('CONTROL MASTER'!$S$2:$S$495))-(ROW('CONTROL MASTER'!#REF!)-1))),":",","),",",REPT(" ",50)),(((INDEX('CONTROL MASTER'!$Y$2:$Y$495,(SUMPRODUCT((('CONTROL MASTER'!$S$2:$S$495=10)*('CONTROL MASTER'!$Z$2:$Z$495&lt;=3)*('CONTROL MASTER'!$AB$2:$AB$495&gt;=3)*('CONTROL MASTER'!$AA$2:$AA$495&lt;=10)*('CONTROL MASTER'!$AC$2:$AC$495&gt;=10))*ROW('CONTROL MASTER'!$S$2:$S$495))-(ROW('CONTROL MASTER'!#REF!)-1)))+((3-INDEX('CONTROL MASTER'!$Z$2:$Z$495,(SUMPRODUCT((('CONTROL MASTER'!$S$2:$S$495=10)*('CONTROL MASTER'!$Z$2:$Z$495&lt;=3)*('CONTROL MASTER'!$AB$2:$AB$495&gt;=3)*('CONTROL MASTER'!$AA$2:$AA$495&lt;=10)*('CONTROL MASTER'!$AC$2:$AC$495&gt;=10))*ROW('CONTROL MASTER'!$S$2:$S$495))-(ROW('CONTROL MASTER'!#REF!)-1))))*(INDEX('CONTROL MASTER'!$AC$2:$AC$495,(SUMPRODUCT((('CONTROL MASTER'!$S$2:$S$495=10)*('CONTROL MASTER'!$Z$2:$Z$495&lt;=3)*('CONTROL MASTER'!$AB$2:$AB$495&gt;=3)*('CONTROL MASTER'!$AA$2:$AA$495&lt;=10)*('CONTROL MASTER'!$AC$2:$AC$495&gt;=10))*ROW('CONTROL MASTER'!$S$2:$S$495))-(ROW('CONTROL MASTER'!#REF!)-1)))-INDEX('CONTROL MASTER'!$AA$2:$AA$495,(SUMPRODUCT((('CONTROL MASTER'!$S$2:$S$495=10)*('CONTROL MASTER'!$Z$2:$Z$495&lt;=3)*('CONTROL MASTER'!$AB$2:$AB$495&gt;=3)*('CONTROL MASTER'!$AA$2:$AA$495&lt;=10)*('CONTROL MASTER'!$AC$2:$AC$495&gt;=10))*ROW('CONTROL MASTER'!$S$2:$S$495))-(ROW('CONTROL MASTER'!#REF!)-1)))+1)+(10-INDEX('CONTROL MASTER'!$AA$2:$AA$495,(SUMPRODUCT((('CONTROL MASTER'!$S$2:$S$495=10)*('CONTROL MASTER'!$Z$2:$Z$495&lt;=3)*('CONTROL MASTER'!$AB$2:$AB$495&gt;=3)*('CONTROL MASTER'!$AA$2:$AA$495&lt;=10)*('CONTROL MASTER'!$AC$2:$AC$495&gt;=10))*ROW('CONTROL MASTER'!$S$2:$S$495))-(ROW('CONTROL MASTER'!#REF!)-1))))+1)))-1)*50+1,50))&amp;"_"&amp;INDEX('CONTROL MASTER'!$P$2:$P$495,(SUMPRODUCT((('CONTROL MASTER'!$S$2:$S$495=10)*('CONTROL MASTER'!$Z$2:$Z$495&lt;=3)*('CONTROL MASTER'!$AB$2:$AB$495&gt;=3)*('CONTROL MASTER'!$AA$2:$AA$495&lt;=10)*('CONTROL MASTER'!$AC$2:$AC$495&gt;=10))*ROW('CONTROL MASTER'!$S$2:$S$495))-(ROW('CONTROL MASTER'!#REF!)-1))),"")),"")</f>
        <v/>
      </c>
    </row>
    <row r="132" spans="1:11" ht="15" customHeight="1" x14ac:dyDescent="0.35">
      <c r="A132" s="8" t="s">
        <v>31</v>
      </c>
      <c r="B132" s="10" t="str">
        <f>IFERROR(IF(SUMPRODUCT((('CONTROL MASTER'!$S$2:$S$495=10)*('CONTROL MASTER'!$T$2:$T$495&lt;=4)*('CONTROL MASTER'!$V$2:$V$495&gt;=4)*('CONTROL MASTER'!$U$2:$U$495&lt;=1)*('CONTROL MASTER'!$W$2:$W$495&gt;=1))*ROW('CONTROL MASTER'!$S$2:$S$495))&gt;0,INDEX('CONTROL MASTER'!$X$2:$X$495,(SUMPRODUCT((('CONTROL MASTER'!$S$2:$S$495=10)*('CONTROL MASTER'!$T$2:$T$495&lt;=4)*('CONTROL MASTER'!$V$2:$V$495&gt;=4)*('CONTROL MASTER'!$U$2:$U$495&lt;=1)*('CONTROL MASTER'!$W$2:$W$495&gt;=1))*ROW('CONTROL MASTER'!$S$2:$S$495))-(ROW('CONTROL MASTER'!#REF!)-1)))&amp;TRIM(MID(SUBSTITUTE(SUBSTITUTE(INDEX('CONTROL MASTER'!$N$2:$N$495,(SUMPRODUCT((('CONTROL MASTER'!$S$2:$S$495=10)*('CONTROL MASTER'!$T$2:$T$495&lt;=4)*('CONTROL MASTER'!$V$2:$V$495&gt;=4)*('CONTROL MASTER'!$U$2:$U$495&lt;=1)*('CONTROL MASTER'!$W$2:$W$495&gt;=1))*ROW('CONTROL MASTER'!$S$2:$S$495))-(ROW('CONTROL MASTER'!#REF!)-1))),":",","),",",REPT(" ",50)),((((4-INDEX('CONTROL MASTER'!$T$2:$T$495,(SUMPRODUCT((('CONTROL MASTER'!$S$2:$S$495=10)*('CONTROL MASTER'!$T$2:$T$495&lt;=4)*('CONTROL MASTER'!$V$2:$V$495&gt;=4)*('CONTROL MASTER'!$U$2:$U$495&lt;=1)*('CONTROL MASTER'!$W$2:$W$495&gt;=1))*ROW('CONTROL MASTER'!$S$2:$S$495))-(ROW('CONTROL MASTER'!#REF!)-1))))*(INDEX('CONTROL MASTER'!$W$2:$W$495,(SUMPRODUCT((('CONTROL MASTER'!$S$2:$S$495=10)*('CONTROL MASTER'!$T$2:$T$495&lt;=4)*('CONTROL MASTER'!$V$2:$V$495&gt;=4)*('CONTROL MASTER'!$U$2:$U$495&lt;=1)*('CONTROL MASTER'!$W$2:$W$495&gt;=1))*ROW('CONTROL MASTER'!$S$2:$S$495))-(ROW('CONTROL MASTER'!#REF!)-1)))-INDEX('CONTROL MASTER'!$U$2:$U$495,(SUMPRODUCT((('CONTROL MASTER'!$S$2:$S$495=10)*('CONTROL MASTER'!$T$2:$T$495&lt;=4)*('CONTROL MASTER'!$V$2:$V$495&gt;=4)*('CONTROL MASTER'!$U$2:$U$495&lt;=1)*('CONTROL MASTER'!$W$2:$W$495&gt;=1))*ROW('CONTROL MASTER'!$S$2:$S$495))-(ROW('CONTROL MASTER'!#REF!)-1)))+1)+(1-INDEX('CONTROL MASTER'!$U$2:$U$495,(SUMPRODUCT((('CONTROL MASTER'!$S$2:$S$495=10)*('CONTROL MASTER'!$T$2:$T$495&lt;=4)*('CONTROL MASTER'!$V$2:$V$495&gt;=4)*('CONTROL MASTER'!$U$2:$U$495&lt;=1)*('CONTROL MASTER'!$W$2:$W$495&gt;=1))*ROW('CONTROL MASTER'!$S$2:$S$495))-(ROW('CONTROL MASTER'!#REF!)-1))))+1))-1)*50+1,50))&amp;"_"&amp;INDEX('CONTROL MASTER'!$P$2:$P$495,(SUMPRODUCT((('CONTROL MASTER'!$S$2:$S$495=10)*('CONTROL MASTER'!$T$2:$T$495&lt;=4)*('CONTROL MASTER'!$V$2:$V$495&gt;=4)*('CONTROL MASTER'!$U$2:$U$495&lt;=1)*('CONTROL MASTER'!$W$2:$W$495&gt;=1))*ROW('CONTROL MASTER'!$S$2:$S$495))-(ROW('CONTROL MASTER'!#REF!)-1))),IF(SUMPRODUCT((('CONTROL MASTER'!$S$2:$S$495=10)*('CONTROL MASTER'!$Z$2:$Z$495&lt;=4)*('CONTROL MASTER'!$AB$2:$AB$495&gt;=4)*('CONTROL MASTER'!$AA$2:$AA$495&lt;=1)*('CONTROL MASTER'!$AC$2:$AC$495&gt;=1))*ROW('CONTROL MASTER'!$S$2:$S$495))&gt;0,INDEX('CONTROL MASTER'!$X$2:$X$495,(SUMPRODUCT((('CONTROL MASTER'!$S$2:$S$495=10)*('CONTROL MASTER'!$Z$2:$Z$495&lt;=4)*('CONTROL MASTER'!$AB$2:$AB$495&gt;=4)*('CONTROL MASTER'!$AA$2:$AA$495&lt;=1)*('CONTROL MASTER'!$AC$2:$AC$495&gt;=1))*ROW('CONTROL MASTER'!$S$2:$S$495))-(ROW('CONTROL MASTER'!#REF!)-1)))&amp;TRIM(MID(SUBSTITUTE(SUBSTITUTE(INDEX('CONTROL MASTER'!$N$2:$N$495,(SUMPRODUCT((('CONTROL MASTER'!$S$2:$S$495=10)*('CONTROL MASTER'!$Z$2:$Z$495&lt;=4)*('CONTROL MASTER'!$AB$2:$AB$495&gt;=4)*('CONTROL MASTER'!$AA$2:$AA$495&lt;=1)*('CONTROL MASTER'!$AC$2:$AC$495&gt;=1))*ROW('CONTROL MASTER'!$S$2:$S$495))-(ROW('CONTROL MASTER'!#REF!)-1))),":",","),",",REPT(" ",50)),(((INDEX('CONTROL MASTER'!$Y$2:$Y$495,(SUMPRODUCT((('CONTROL MASTER'!$S$2:$S$495=10)*('CONTROL MASTER'!$Z$2:$Z$495&lt;=4)*('CONTROL MASTER'!$AB$2:$AB$495&gt;=4)*('CONTROL MASTER'!$AA$2:$AA$495&lt;=1)*('CONTROL MASTER'!$AC$2:$AC$495&gt;=1))*ROW('CONTROL MASTER'!$S$2:$S$495))-(ROW('CONTROL MASTER'!#REF!)-1)))+((4-INDEX('CONTROL MASTER'!$Z$2:$Z$495,(SUMPRODUCT((('CONTROL MASTER'!$S$2:$S$495=10)*('CONTROL MASTER'!$Z$2:$Z$495&lt;=4)*('CONTROL MASTER'!$AB$2:$AB$495&gt;=4)*('CONTROL MASTER'!$AA$2:$AA$495&lt;=1)*('CONTROL MASTER'!$AC$2:$AC$495&gt;=1))*ROW('CONTROL MASTER'!$S$2:$S$495))-(ROW('CONTROL MASTER'!#REF!)-1))))*(INDEX('CONTROL MASTER'!$AC$2:$AC$495,(SUMPRODUCT((('CONTROL MASTER'!$S$2:$S$495=10)*('CONTROL MASTER'!$Z$2:$Z$495&lt;=4)*('CONTROL MASTER'!$AB$2:$AB$495&gt;=4)*('CONTROL MASTER'!$AA$2:$AA$495&lt;=1)*('CONTROL MASTER'!$AC$2:$AC$495&gt;=1))*ROW('CONTROL MASTER'!$S$2:$S$495))-(ROW('CONTROL MASTER'!#REF!)-1)))-INDEX('CONTROL MASTER'!$AA$2:$AA$495,(SUMPRODUCT((('CONTROL MASTER'!$S$2:$S$495=10)*('CONTROL MASTER'!$Z$2:$Z$495&lt;=4)*('CONTROL MASTER'!$AB$2:$AB$495&gt;=4)*('CONTROL MASTER'!$AA$2:$AA$495&lt;=1)*('CONTROL MASTER'!$AC$2:$AC$495&gt;=1))*ROW('CONTROL MASTER'!$S$2:$S$495))-(ROW('CONTROL MASTER'!#REF!)-1)))+1)+(1-INDEX('CONTROL MASTER'!$AA$2:$AA$495,(SUMPRODUCT((('CONTROL MASTER'!$S$2:$S$495=10)*('CONTROL MASTER'!$Z$2:$Z$495&lt;=4)*('CONTROL MASTER'!$AB$2:$AB$495&gt;=4)*('CONTROL MASTER'!$AA$2:$AA$495&lt;=1)*('CONTROL MASTER'!$AC$2:$AC$495&gt;=1))*ROW('CONTROL MASTER'!$S$2:$S$495))-(ROW('CONTROL MASTER'!#REF!)-1))))+1)))-1)*50+1,50))&amp;"_"&amp;INDEX('CONTROL MASTER'!$P$2:$P$495,(SUMPRODUCT((('CONTROL MASTER'!$S$2:$S$495=10)*('CONTROL MASTER'!$Z$2:$Z$495&lt;=4)*('CONTROL MASTER'!$AB$2:$AB$495&gt;=4)*('CONTROL MASTER'!$AA$2:$AA$495&lt;=1)*('CONTROL MASTER'!$AC$2:$AC$495&gt;=1))*ROW('CONTROL MASTER'!$S$2:$S$495))-(ROW('CONTROL MASTER'!#REF!)-1))),"")),"")</f>
        <v/>
      </c>
      <c r="C132" s="10" t="str">
        <f>IFERROR(IF(SUMPRODUCT((('CONTROL MASTER'!$S$2:$S$495=10)*('CONTROL MASTER'!$T$2:$T$495&lt;=4)*('CONTROL MASTER'!$V$2:$V$495&gt;=4)*('CONTROL MASTER'!$U$2:$U$495&lt;=2)*('CONTROL MASTER'!$W$2:$W$495&gt;=2))*ROW('CONTROL MASTER'!$S$2:$S$495))&gt;0,INDEX('CONTROL MASTER'!$X$2:$X$495,(SUMPRODUCT((('CONTROL MASTER'!$S$2:$S$495=10)*('CONTROL MASTER'!$T$2:$T$495&lt;=4)*('CONTROL MASTER'!$V$2:$V$495&gt;=4)*('CONTROL MASTER'!$U$2:$U$495&lt;=2)*('CONTROL MASTER'!$W$2:$W$495&gt;=2))*ROW('CONTROL MASTER'!$S$2:$S$495))-(ROW('CONTROL MASTER'!#REF!)-1)))&amp;TRIM(MID(SUBSTITUTE(SUBSTITUTE(INDEX('CONTROL MASTER'!$N$2:$N$495,(SUMPRODUCT((('CONTROL MASTER'!$S$2:$S$495=10)*('CONTROL MASTER'!$T$2:$T$495&lt;=4)*('CONTROL MASTER'!$V$2:$V$495&gt;=4)*('CONTROL MASTER'!$U$2:$U$495&lt;=2)*('CONTROL MASTER'!$W$2:$W$495&gt;=2))*ROW('CONTROL MASTER'!$S$2:$S$495))-(ROW('CONTROL MASTER'!#REF!)-1))),":",","),",",REPT(" ",50)),((((4-INDEX('CONTROL MASTER'!$T$2:$T$495,(SUMPRODUCT((('CONTROL MASTER'!$S$2:$S$495=10)*('CONTROL MASTER'!$T$2:$T$495&lt;=4)*('CONTROL MASTER'!$V$2:$V$495&gt;=4)*('CONTROL MASTER'!$U$2:$U$495&lt;=2)*('CONTROL MASTER'!$W$2:$W$495&gt;=2))*ROW('CONTROL MASTER'!$S$2:$S$495))-(ROW('CONTROL MASTER'!#REF!)-1))))*(INDEX('CONTROL MASTER'!$W$2:$W$495,(SUMPRODUCT((('CONTROL MASTER'!$S$2:$S$495=10)*('CONTROL MASTER'!$T$2:$T$495&lt;=4)*('CONTROL MASTER'!$V$2:$V$495&gt;=4)*('CONTROL MASTER'!$U$2:$U$495&lt;=2)*('CONTROL MASTER'!$W$2:$W$495&gt;=2))*ROW('CONTROL MASTER'!$S$2:$S$495))-(ROW('CONTROL MASTER'!#REF!)-1)))-INDEX('CONTROL MASTER'!$U$2:$U$495,(SUMPRODUCT((('CONTROL MASTER'!$S$2:$S$495=10)*('CONTROL MASTER'!$T$2:$T$495&lt;=4)*('CONTROL MASTER'!$V$2:$V$495&gt;=4)*('CONTROL MASTER'!$U$2:$U$495&lt;=2)*('CONTROL MASTER'!$W$2:$W$495&gt;=2))*ROW('CONTROL MASTER'!$S$2:$S$495))-(ROW('CONTROL MASTER'!#REF!)-1)))+1)+(2-INDEX('CONTROL MASTER'!$U$2:$U$495,(SUMPRODUCT((('CONTROL MASTER'!$S$2:$S$495=10)*('CONTROL MASTER'!$T$2:$T$495&lt;=4)*('CONTROL MASTER'!$V$2:$V$495&gt;=4)*('CONTROL MASTER'!$U$2:$U$495&lt;=2)*('CONTROL MASTER'!$W$2:$W$495&gt;=2))*ROW('CONTROL MASTER'!$S$2:$S$495))-(ROW('CONTROL MASTER'!#REF!)-1))))+1))-1)*50+1,50))&amp;"_"&amp;INDEX('CONTROL MASTER'!$P$2:$P$495,(SUMPRODUCT((('CONTROL MASTER'!$S$2:$S$495=10)*('CONTROL MASTER'!$T$2:$T$495&lt;=4)*('CONTROL MASTER'!$V$2:$V$495&gt;=4)*('CONTROL MASTER'!$U$2:$U$495&lt;=2)*('CONTROL MASTER'!$W$2:$W$495&gt;=2))*ROW('CONTROL MASTER'!$S$2:$S$495))-(ROW('CONTROL MASTER'!#REF!)-1))),IF(SUMPRODUCT((('CONTROL MASTER'!$S$2:$S$495=10)*('CONTROL MASTER'!$Z$2:$Z$495&lt;=4)*('CONTROL MASTER'!$AB$2:$AB$495&gt;=4)*('CONTROL MASTER'!$AA$2:$AA$495&lt;=2)*('CONTROL MASTER'!$AC$2:$AC$495&gt;=2))*ROW('CONTROL MASTER'!$S$2:$S$495))&gt;0,INDEX('CONTROL MASTER'!$X$2:$X$495,(SUMPRODUCT((('CONTROL MASTER'!$S$2:$S$495=10)*('CONTROL MASTER'!$Z$2:$Z$495&lt;=4)*('CONTROL MASTER'!$AB$2:$AB$495&gt;=4)*('CONTROL MASTER'!$AA$2:$AA$495&lt;=2)*('CONTROL MASTER'!$AC$2:$AC$495&gt;=2))*ROW('CONTROL MASTER'!$S$2:$S$495))-(ROW('CONTROL MASTER'!#REF!)-1)))&amp;TRIM(MID(SUBSTITUTE(SUBSTITUTE(INDEX('CONTROL MASTER'!$N$2:$N$495,(SUMPRODUCT((('CONTROL MASTER'!$S$2:$S$495=10)*('CONTROL MASTER'!$Z$2:$Z$495&lt;=4)*('CONTROL MASTER'!$AB$2:$AB$495&gt;=4)*('CONTROL MASTER'!$AA$2:$AA$495&lt;=2)*('CONTROL MASTER'!$AC$2:$AC$495&gt;=2))*ROW('CONTROL MASTER'!$S$2:$S$495))-(ROW('CONTROL MASTER'!#REF!)-1))),":",","),",",REPT(" ",50)),(((INDEX('CONTROL MASTER'!$Y$2:$Y$495,(SUMPRODUCT((('CONTROL MASTER'!$S$2:$S$495=10)*('CONTROL MASTER'!$Z$2:$Z$495&lt;=4)*('CONTROL MASTER'!$AB$2:$AB$495&gt;=4)*('CONTROL MASTER'!$AA$2:$AA$495&lt;=2)*('CONTROL MASTER'!$AC$2:$AC$495&gt;=2))*ROW('CONTROL MASTER'!$S$2:$S$495))-(ROW('CONTROL MASTER'!#REF!)-1)))+((4-INDEX('CONTROL MASTER'!$Z$2:$Z$495,(SUMPRODUCT((('CONTROL MASTER'!$S$2:$S$495=10)*('CONTROL MASTER'!$Z$2:$Z$495&lt;=4)*('CONTROL MASTER'!$AB$2:$AB$495&gt;=4)*('CONTROL MASTER'!$AA$2:$AA$495&lt;=2)*('CONTROL MASTER'!$AC$2:$AC$495&gt;=2))*ROW('CONTROL MASTER'!$S$2:$S$495))-(ROW('CONTROL MASTER'!#REF!)-1))))*(INDEX('CONTROL MASTER'!$AC$2:$AC$495,(SUMPRODUCT((('CONTROL MASTER'!$S$2:$S$495=10)*('CONTROL MASTER'!$Z$2:$Z$495&lt;=4)*('CONTROL MASTER'!$AB$2:$AB$495&gt;=4)*('CONTROL MASTER'!$AA$2:$AA$495&lt;=2)*('CONTROL MASTER'!$AC$2:$AC$495&gt;=2))*ROW('CONTROL MASTER'!$S$2:$S$495))-(ROW('CONTROL MASTER'!#REF!)-1)))-INDEX('CONTROL MASTER'!$AA$2:$AA$495,(SUMPRODUCT((('CONTROL MASTER'!$S$2:$S$495=10)*('CONTROL MASTER'!$Z$2:$Z$495&lt;=4)*('CONTROL MASTER'!$AB$2:$AB$495&gt;=4)*('CONTROL MASTER'!$AA$2:$AA$495&lt;=2)*('CONTROL MASTER'!$AC$2:$AC$495&gt;=2))*ROW('CONTROL MASTER'!$S$2:$S$495))-(ROW('CONTROL MASTER'!#REF!)-1)))+1)+(2-INDEX('CONTROL MASTER'!$AA$2:$AA$495,(SUMPRODUCT((('CONTROL MASTER'!$S$2:$S$495=10)*('CONTROL MASTER'!$Z$2:$Z$495&lt;=4)*('CONTROL MASTER'!$AB$2:$AB$495&gt;=4)*('CONTROL MASTER'!$AA$2:$AA$495&lt;=2)*('CONTROL MASTER'!$AC$2:$AC$495&gt;=2))*ROW('CONTROL MASTER'!$S$2:$S$495))-(ROW('CONTROL MASTER'!#REF!)-1))))+1)))-1)*50+1,50))&amp;"_"&amp;INDEX('CONTROL MASTER'!$P$2:$P$495,(SUMPRODUCT((('CONTROL MASTER'!$S$2:$S$495=10)*('CONTROL MASTER'!$Z$2:$Z$495&lt;=4)*('CONTROL MASTER'!$AB$2:$AB$495&gt;=4)*('CONTROL MASTER'!$AA$2:$AA$495&lt;=2)*('CONTROL MASTER'!$AC$2:$AC$495&gt;=2))*ROW('CONTROL MASTER'!$S$2:$S$495))-(ROW('CONTROL MASTER'!#REF!)-1))),"")),"")</f>
        <v/>
      </c>
      <c r="D132" s="10" t="str">
        <f>IFERROR(IF(SUMPRODUCT((('CONTROL MASTER'!$S$2:$S$495=10)*('CONTROL MASTER'!$T$2:$T$495&lt;=4)*('CONTROL MASTER'!$V$2:$V$495&gt;=4)*('CONTROL MASTER'!$U$2:$U$495&lt;=3)*('CONTROL MASTER'!$W$2:$W$495&gt;=3))*ROW('CONTROL MASTER'!$S$2:$S$495))&gt;0,INDEX('CONTROL MASTER'!$X$2:$X$495,(SUMPRODUCT((('CONTROL MASTER'!$S$2:$S$495=10)*('CONTROL MASTER'!$T$2:$T$495&lt;=4)*('CONTROL MASTER'!$V$2:$V$495&gt;=4)*('CONTROL MASTER'!$U$2:$U$495&lt;=3)*('CONTROL MASTER'!$W$2:$W$495&gt;=3))*ROW('CONTROL MASTER'!$S$2:$S$495))-(ROW('CONTROL MASTER'!#REF!)-1)))&amp;TRIM(MID(SUBSTITUTE(SUBSTITUTE(INDEX('CONTROL MASTER'!$N$2:$N$495,(SUMPRODUCT((('CONTROL MASTER'!$S$2:$S$495=10)*('CONTROL MASTER'!$T$2:$T$495&lt;=4)*('CONTROL MASTER'!$V$2:$V$495&gt;=4)*('CONTROL MASTER'!$U$2:$U$495&lt;=3)*('CONTROL MASTER'!$W$2:$W$495&gt;=3))*ROW('CONTROL MASTER'!$S$2:$S$495))-(ROW('CONTROL MASTER'!#REF!)-1))),":",","),",",REPT(" ",50)),((((4-INDEX('CONTROL MASTER'!$T$2:$T$495,(SUMPRODUCT((('CONTROL MASTER'!$S$2:$S$495=10)*('CONTROL MASTER'!$T$2:$T$495&lt;=4)*('CONTROL MASTER'!$V$2:$V$495&gt;=4)*('CONTROL MASTER'!$U$2:$U$495&lt;=3)*('CONTROL MASTER'!$W$2:$W$495&gt;=3))*ROW('CONTROL MASTER'!$S$2:$S$495))-(ROW('CONTROL MASTER'!#REF!)-1))))*(INDEX('CONTROL MASTER'!$W$2:$W$495,(SUMPRODUCT((('CONTROL MASTER'!$S$2:$S$495=10)*('CONTROL MASTER'!$T$2:$T$495&lt;=4)*('CONTROL MASTER'!$V$2:$V$495&gt;=4)*('CONTROL MASTER'!$U$2:$U$495&lt;=3)*('CONTROL MASTER'!$W$2:$W$495&gt;=3))*ROW('CONTROL MASTER'!$S$2:$S$495))-(ROW('CONTROL MASTER'!#REF!)-1)))-INDEX('CONTROL MASTER'!$U$2:$U$495,(SUMPRODUCT((('CONTROL MASTER'!$S$2:$S$495=10)*('CONTROL MASTER'!$T$2:$T$495&lt;=4)*('CONTROL MASTER'!$V$2:$V$495&gt;=4)*('CONTROL MASTER'!$U$2:$U$495&lt;=3)*('CONTROL MASTER'!$W$2:$W$495&gt;=3))*ROW('CONTROL MASTER'!$S$2:$S$495))-(ROW('CONTROL MASTER'!#REF!)-1)))+1)+(3-INDEX('CONTROL MASTER'!$U$2:$U$495,(SUMPRODUCT((('CONTROL MASTER'!$S$2:$S$495=10)*('CONTROL MASTER'!$T$2:$T$495&lt;=4)*('CONTROL MASTER'!$V$2:$V$495&gt;=4)*('CONTROL MASTER'!$U$2:$U$495&lt;=3)*('CONTROL MASTER'!$W$2:$W$495&gt;=3))*ROW('CONTROL MASTER'!$S$2:$S$495))-(ROW('CONTROL MASTER'!#REF!)-1))))+1))-1)*50+1,50))&amp;"_"&amp;INDEX('CONTROL MASTER'!$P$2:$P$495,(SUMPRODUCT((('CONTROL MASTER'!$S$2:$S$495=10)*('CONTROL MASTER'!$T$2:$T$495&lt;=4)*('CONTROL MASTER'!$V$2:$V$495&gt;=4)*('CONTROL MASTER'!$U$2:$U$495&lt;=3)*('CONTROL MASTER'!$W$2:$W$495&gt;=3))*ROW('CONTROL MASTER'!$S$2:$S$495))-(ROW('CONTROL MASTER'!#REF!)-1))),IF(SUMPRODUCT((('CONTROL MASTER'!$S$2:$S$495=10)*('CONTROL MASTER'!$Z$2:$Z$495&lt;=4)*('CONTROL MASTER'!$AB$2:$AB$495&gt;=4)*('CONTROL MASTER'!$AA$2:$AA$495&lt;=3)*('CONTROL MASTER'!$AC$2:$AC$495&gt;=3))*ROW('CONTROL MASTER'!$S$2:$S$495))&gt;0,INDEX('CONTROL MASTER'!$X$2:$X$495,(SUMPRODUCT((('CONTROL MASTER'!$S$2:$S$495=10)*('CONTROL MASTER'!$Z$2:$Z$495&lt;=4)*('CONTROL MASTER'!$AB$2:$AB$495&gt;=4)*('CONTROL MASTER'!$AA$2:$AA$495&lt;=3)*('CONTROL MASTER'!$AC$2:$AC$495&gt;=3))*ROW('CONTROL MASTER'!$S$2:$S$495))-(ROW('CONTROL MASTER'!#REF!)-1)))&amp;TRIM(MID(SUBSTITUTE(SUBSTITUTE(INDEX('CONTROL MASTER'!$N$2:$N$495,(SUMPRODUCT((('CONTROL MASTER'!$S$2:$S$495=10)*('CONTROL MASTER'!$Z$2:$Z$495&lt;=4)*('CONTROL MASTER'!$AB$2:$AB$495&gt;=4)*('CONTROL MASTER'!$AA$2:$AA$495&lt;=3)*('CONTROL MASTER'!$AC$2:$AC$495&gt;=3))*ROW('CONTROL MASTER'!$S$2:$S$495))-(ROW('CONTROL MASTER'!#REF!)-1))),":",","),",",REPT(" ",50)),(((INDEX('CONTROL MASTER'!$Y$2:$Y$495,(SUMPRODUCT((('CONTROL MASTER'!$S$2:$S$495=10)*('CONTROL MASTER'!$Z$2:$Z$495&lt;=4)*('CONTROL MASTER'!$AB$2:$AB$495&gt;=4)*('CONTROL MASTER'!$AA$2:$AA$495&lt;=3)*('CONTROL MASTER'!$AC$2:$AC$495&gt;=3))*ROW('CONTROL MASTER'!$S$2:$S$495))-(ROW('CONTROL MASTER'!#REF!)-1)))+((4-INDEX('CONTROL MASTER'!$Z$2:$Z$495,(SUMPRODUCT((('CONTROL MASTER'!$S$2:$S$495=10)*('CONTROL MASTER'!$Z$2:$Z$495&lt;=4)*('CONTROL MASTER'!$AB$2:$AB$495&gt;=4)*('CONTROL MASTER'!$AA$2:$AA$495&lt;=3)*('CONTROL MASTER'!$AC$2:$AC$495&gt;=3))*ROW('CONTROL MASTER'!$S$2:$S$495))-(ROW('CONTROL MASTER'!#REF!)-1))))*(INDEX('CONTROL MASTER'!$AC$2:$AC$495,(SUMPRODUCT((('CONTROL MASTER'!$S$2:$S$495=10)*('CONTROL MASTER'!$Z$2:$Z$495&lt;=4)*('CONTROL MASTER'!$AB$2:$AB$495&gt;=4)*('CONTROL MASTER'!$AA$2:$AA$495&lt;=3)*('CONTROL MASTER'!$AC$2:$AC$495&gt;=3))*ROW('CONTROL MASTER'!$S$2:$S$495))-(ROW('CONTROL MASTER'!#REF!)-1)))-INDEX('CONTROL MASTER'!$AA$2:$AA$495,(SUMPRODUCT((('CONTROL MASTER'!$S$2:$S$495=10)*('CONTROL MASTER'!$Z$2:$Z$495&lt;=4)*('CONTROL MASTER'!$AB$2:$AB$495&gt;=4)*('CONTROL MASTER'!$AA$2:$AA$495&lt;=3)*('CONTROL MASTER'!$AC$2:$AC$495&gt;=3))*ROW('CONTROL MASTER'!$S$2:$S$495))-(ROW('CONTROL MASTER'!#REF!)-1)))+1)+(3-INDEX('CONTROL MASTER'!$AA$2:$AA$495,(SUMPRODUCT((('CONTROL MASTER'!$S$2:$S$495=10)*('CONTROL MASTER'!$Z$2:$Z$495&lt;=4)*('CONTROL MASTER'!$AB$2:$AB$495&gt;=4)*('CONTROL MASTER'!$AA$2:$AA$495&lt;=3)*('CONTROL MASTER'!$AC$2:$AC$495&gt;=3))*ROW('CONTROL MASTER'!$S$2:$S$495))-(ROW('CONTROL MASTER'!#REF!)-1))))+1)))-1)*50+1,50))&amp;"_"&amp;INDEX('CONTROL MASTER'!$P$2:$P$495,(SUMPRODUCT((('CONTROL MASTER'!$S$2:$S$495=10)*('CONTROL MASTER'!$Z$2:$Z$495&lt;=4)*('CONTROL MASTER'!$AB$2:$AB$495&gt;=4)*('CONTROL MASTER'!$AA$2:$AA$495&lt;=3)*('CONTROL MASTER'!$AC$2:$AC$495&gt;=3))*ROW('CONTROL MASTER'!$S$2:$S$495))-(ROW('CONTROL MASTER'!#REF!)-1))),"")),"")</f>
        <v/>
      </c>
      <c r="E132" s="10" t="str">
        <f>IFERROR(IF(SUMPRODUCT((('CONTROL MASTER'!$S$2:$S$495=10)*('CONTROL MASTER'!$T$2:$T$495&lt;=4)*('CONTROL MASTER'!$V$2:$V$495&gt;=4)*('CONTROL MASTER'!$U$2:$U$495&lt;=4)*('CONTROL MASTER'!$W$2:$W$495&gt;=4))*ROW('CONTROL MASTER'!$S$2:$S$495))&gt;0,INDEX('CONTROL MASTER'!$X$2:$X$495,(SUMPRODUCT((('CONTROL MASTER'!$S$2:$S$495=10)*('CONTROL MASTER'!$T$2:$T$495&lt;=4)*('CONTROL MASTER'!$V$2:$V$495&gt;=4)*('CONTROL MASTER'!$U$2:$U$495&lt;=4)*('CONTROL MASTER'!$W$2:$W$495&gt;=4))*ROW('CONTROL MASTER'!$S$2:$S$495))-(ROW('CONTROL MASTER'!#REF!)-1)))&amp;TRIM(MID(SUBSTITUTE(SUBSTITUTE(INDEX('CONTROL MASTER'!$N$2:$N$495,(SUMPRODUCT((('CONTROL MASTER'!$S$2:$S$495=10)*('CONTROL MASTER'!$T$2:$T$495&lt;=4)*('CONTROL MASTER'!$V$2:$V$495&gt;=4)*('CONTROL MASTER'!$U$2:$U$495&lt;=4)*('CONTROL MASTER'!$W$2:$W$495&gt;=4))*ROW('CONTROL MASTER'!$S$2:$S$495))-(ROW('CONTROL MASTER'!#REF!)-1))),":",","),",",REPT(" ",50)),((((4-INDEX('CONTROL MASTER'!$T$2:$T$495,(SUMPRODUCT((('CONTROL MASTER'!$S$2:$S$495=10)*('CONTROL MASTER'!$T$2:$T$495&lt;=4)*('CONTROL MASTER'!$V$2:$V$495&gt;=4)*('CONTROL MASTER'!$U$2:$U$495&lt;=4)*('CONTROL MASTER'!$W$2:$W$495&gt;=4))*ROW('CONTROL MASTER'!$S$2:$S$495))-(ROW('CONTROL MASTER'!#REF!)-1))))*(INDEX('CONTROL MASTER'!$W$2:$W$495,(SUMPRODUCT((('CONTROL MASTER'!$S$2:$S$495=10)*('CONTROL MASTER'!$T$2:$T$495&lt;=4)*('CONTROL MASTER'!$V$2:$V$495&gt;=4)*('CONTROL MASTER'!$U$2:$U$495&lt;=4)*('CONTROL MASTER'!$W$2:$W$495&gt;=4))*ROW('CONTROL MASTER'!$S$2:$S$495))-(ROW('CONTROL MASTER'!#REF!)-1)))-INDEX('CONTROL MASTER'!$U$2:$U$495,(SUMPRODUCT((('CONTROL MASTER'!$S$2:$S$495=10)*('CONTROL MASTER'!$T$2:$T$495&lt;=4)*('CONTROL MASTER'!$V$2:$V$495&gt;=4)*('CONTROL MASTER'!$U$2:$U$495&lt;=4)*('CONTROL MASTER'!$W$2:$W$495&gt;=4))*ROW('CONTROL MASTER'!$S$2:$S$495))-(ROW('CONTROL MASTER'!#REF!)-1)))+1)+(4-INDEX('CONTROL MASTER'!$U$2:$U$495,(SUMPRODUCT((('CONTROL MASTER'!$S$2:$S$495=10)*('CONTROL MASTER'!$T$2:$T$495&lt;=4)*('CONTROL MASTER'!$V$2:$V$495&gt;=4)*('CONTROL MASTER'!$U$2:$U$495&lt;=4)*('CONTROL MASTER'!$W$2:$W$495&gt;=4))*ROW('CONTROL MASTER'!$S$2:$S$495))-(ROW('CONTROL MASTER'!#REF!)-1))))+1))-1)*50+1,50))&amp;"_"&amp;INDEX('CONTROL MASTER'!$P$2:$P$495,(SUMPRODUCT((('CONTROL MASTER'!$S$2:$S$495=10)*('CONTROL MASTER'!$T$2:$T$495&lt;=4)*('CONTROL MASTER'!$V$2:$V$495&gt;=4)*('CONTROL MASTER'!$U$2:$U$495&lt;=4)*('CONTROL MASTER'!$W$2:$W$495&gt;=4))*ROW('CONTROL MASTER'!$S$2:$S$495))-(ROW('CONTROL MASTER'!#REF!)-1))),IF(SUMPRODUCT((('CONTROL MASTER'!$S$2:$S$495=10)*('CONTROL MASTER'!$Z$2:$Z$495&lt;=4)*('CONTROL MASTER'!$AB$2:$AB$495&gt;=4)*('CONTROL MASTER'!$AA$2:$AA$495&lt;=4)*('CONTROL MASTER'!$AC$2:$AC$495&gt;=4))*ROW('CONTROL MASTER'!$S$2:$S$495))&gt;0,INDEX('CONTROL MASTER'!$X$2:$X$495,(SUMPRODUCT((('CONTROL MASTER'!$S$2:$S$495=10)*('CONTROL MASTER'!$Z$2:$Z$495&lt;=4)*('CONTROL MASTER'!$AB$2:$AB$495&gt;=4)*('CONTROL MASTER'!$AA$2:$AA$495&lt;=4)*('CONTROL MASTER'!$AC$2:$AC$495&gt;=4))*ROW('CONTROL MASTER'!$S$2:$S$495))-(ROW('CONTROL MASTER'!#REF!)-1)))&amp;TRIM(MID(SUBSTITUTE(SUBSTITUTE(INDEX('CONTROL MASTER'!$N$2:$N$495,(SUMPRODUCT((('CONTROL MASTER'!$S$2:$S$495=10)*('CONTROL MASTER'!$Z$2:$Z$495&lt;=4)*('CONTROL MASTER'!$AB$2:$AB$495&gt;=4)*('CONTROL MASTER'!$AA$2:$AA$495&lt;=4)*('CONTROL MASTER'!$AC$2:$AC$495&gt;=4))*ROW('CONTROL MASTER'!$S$2:$S$495))-(ROW('CONTROL MASTER'!#REF!)-1))),":",","),",",REPT(" ",50)),(((INDEX('CONTROL MASTER'!$Y$2:$Y$495,(SUMPRODUCT((('CONTROL MASTER'!$S$2:$S$495=10)*('CONTROL MASTER'!$Z$2:$Z$495&lt;=4)*('CONTROL MASTER'!$AB$2:$AB$495&gt;=4)*('CONTROL MASTER'!$AA$2:$AA$495&lt;=4)*('CONTROL MASTER'!$AC$2:$AC$495&gt;=4))*ROW('CONTROL MASTER'!$S$2:$S$495))-(ROW('CONTROL MASTER'!#REF!)-1)))+((4-INDEX('CONTROL MASTER'!$Z$2:$Z$495,(SUMPRODUCT((('CONTROL MASTER'!$S$2:$S$495=10)*('CONTROL MASTER'!$Z$2:$Z$495&lt;=4)*('CONTROL MASTER'!$AB$2:$AB$495&gt;=4)*('CONTROL MASTER'!$AA$2:$AA$495&lt;=4)*('CONTROL MASTER'!$AC$2:$AC$495&gt;=4))*ROW('CONTROL MASTER'!$S$2:$S$495))-(ROW('CONTROL MASTER'!#REF!)-1))))*(INDEX('CONTROL MASTER'!$AC$2:$AC$495,(SUMPRODUCT((('CONTROL MASTER'!$S$2:$S$495=10)*('CONTROL MASTER'!$Z$2:$Z$495&lt;=4)*('CONTROL MASTER'!$AB$2:$AB$495&gt;=4)*('CONTROL MASTER'!$AA$2:$AA$495&lt;=4)*('CONTROL MASTER'!$AC$2:$AC$495&gt;=4))*ROW('CONTROL MASTER'!$S$2:$S$495))-(ROW('CONTROL MASTER'!#REF!)-1)))-INDEX('CONTROL MASTER'!$AA$2:$AA$495,(SUMPRODUCT((('CONTROL MASTER'!$S$2:$S$495=10)*('CONTROL MASTER'!$Z$2:$Z$495&lt;=4)*('CONTROL MASTER'!$AB$2:$AB$495&gt;=4)*('CONTROL MASTER'!$AA$2:$AA$495&lt;=4)*('CONTROL MASTER'!$AC$2:$AC$495&gt;=4))*ROW('CONTROL MASTER'!$S$2:$S$495))-(ROW('CONTROL MASTER'!#REF!)-1)))+1)+(4-INDEX('CONTROL MASTER'!$AA$2:$AA$495,(SUMPRODUCT((('CONTROL MASTER'!$S$2:$S$495=10)*('CONTROL MASTER'!$Z$2:$Z$495&lt;=4)*('CONTROL MASTER'!$AB$2:$AB$495&gt;=4)*('CONTROL MASTER'!$AA$2:$AA$495&lt;=4)*('CONTROL MASTER'!$AC$2:$AC$495&gt;=4))*ROW('CONTROL MASTER'!$S$2:$S$495))-(ROW('CONTROL MASTER'!#REF!)-1))))+1)))-1)*50+1,50))&amp;"_"&amp;INDEX('CONTROL MASTER'!$P$2:$P$495,(SUMPRODUCT((('CONTROL MASTER'!$S$2:$S$495=10)*('CONTROL MASTER'!$Z$2:$Z$495&lt;=4)*('CONTROL MASTER'!$AB$2:$AB$495&gt;=4)*('CONTROL MASTER'!$AA$2:$AA$495&lt;=4)*('CONTROL MASTER'!$AC$2:$AC$495&gt;=4))*ROW('CONTROL MASTER'!$S$2:$S$495))-(ROW('CONTROL MASTER'!#REF!)-1))),"")),"")</f>
        <v/>
      </c>
      <c r="F132" s="10" t="str">
        <f>IFERROR(IF(SUMPRODUCT((('CONTROL MASTER'!$S$2:$S$495=10)*('CONTROL MASTER'!$T$2:$T$495&lt;=4)*('CONTROL MASTER'!$V$2:$V$495&gt;=4)*('CONTROL MASTER'!$U$2:$U$495&lt;=5)*('CONTROL MASTER'!$W$2:$W$495&gt;=5))*ROW('CONTROL MASTER'!$S$2:$S$495))&gt;0,INDEX('CONTROL MASTER'!$X$2:$X$495,(SUMPRODUCT((('CONTROL MASTER'!$S$2:$S$495=10)*('CONTROL MASTER'!$T$2:$T$495&lt;=4)*('CONTROL MASTER'!$V$2:$V$495&gt;=4)*('CONTROL MASTER'!$U$2:$U$495&lt;=5)*('CONTROL MASTER'!$W$2:$W$495&gt;=5))*ROW('CONTROL MASTER'!$S$2:$S$495))-(ROW('CONTROL MASTER'!#REF!)-1)))&amp;TRIM(MID(SUBSTITUTE(SUBSTITUTE(INDEX('CONTROL MASTER'!$N$2:$N$495,(SUMPRODUCT((('CONTROL MASTER'!$S$2:$S$495=10)*('CONTROL MASTER'!$T$2:$T$495&lt;=4)*('CONTROL MASTER'!$V$2:$V$495&gt;=4)*('CONTROL MASTER'!$U$2:$U$495&lt;=5)*('CONTROL MASTER'!$W$2:$W$495&gt;=5))*ROW('CONTROL MASTER'!$S$2:$S$495))-(ROW('CONTROL MASTER'!#REF!)-1))),":",","),",",REPT(" ",50)),((((4-INDEX('CONTROL MASTER'!$T$2:$T$495,(SUMPRODUCT((('CONTROL MASTER'!$S$2:$S$495=10)*('CONTROL MASTER'!$T$2:$T$495&lt;=4)*('CONTROL MASTER'!$V$2:$V$495&gt;=4)*('CONTROL MASTER'!$U$2:$U$495&lt;=5)*('CONTROL MASTER'!$W$2:$W$495&gt;=5))*ROW('CONTROL MASTER'!$S$2:$S$495))-(ROW('CONTROL MASTER'!#REF!)-1))))*(INDEX('CONTROL MASTER'!$W$2:$W$495,(SUMPRODUCT((('CONTROL MASTER'!$S$2:$S$495=10)*('CONTROL MASTER'!$T$2:$T$495&lt;=4)*('CONTROL MASTER'!$V$2:$V$495&gt;=4)*('CONTROL MASTER'!$U$2:$U$495&lt;=5)*('CONTROL MASTER'!$W$2:$W$495&gt;=5))*ROW('CONTROL MASTER'!$S$2:$S$495))-(ROW('CONTROL MASTER'!#REF!)-1)))-INDEX('CONTROL MASTER'!$U$2:$U$495,(SUMPRODUCT((('CONTROL MASTER'!$S$2:$S$495=10)*('CONTROL MASTER'!$T$2:$T$495&lt;=4)*('CONTROL MASTER'!$V$2:$V$495&gt;=4)*('CONTROL MASTER'!$U$2:$U$495&lt;=5)*('CONTROL MASTER'!$W$2:$W$495&gt;=5))*ROW('CONTROL MASTER'!$S$2:$S$495))-(ROW('CONTROL MASTER'!#REF!)-1)))+1)+(5-INDEX('CONTROL MASTER'!$U$2:$U$495,(SUMPRODUCT((('CONTROL MASTER'!$S$2:$S$495=10)*('CONTROL MASTER'!$T$2:$T$495&lt;=4)*('CONTROL MASTER'!$V$2:$V$495&gt;=4)*('CONTROL MASTER'!$U$2:$U$495&lt;=5)*('CONTROL MASTER'!$W$2:$W$495&gt;=5))*ROW('CONTROL MASTER'!$S$2:$S$495))-(ROW('CONTROL MASTER'!#REF!)-1))))+1))-1)*50+1,50))&amp;"_"&amp;INDEX('CONTROL MASTER'!$P$2:$P$495,(SUMPRODUCT((('CONTROL MASTER'!$S$2:$S$495=10)*('CONTROL MASTER'!$T$2:$T$495&lt;=4)*('CONTROL MASTER'!$V$2:$V$495&gt;=4)*('CONTROL MASTER'!$U$2:$U$495&lt;=5)*('CONTROL MASTER'!$W$2:$W$495&gt;=5))*ROW('CONTROL MASTER'!$S$2:$S$495))-(ROW('CONTROL MASTER'!#REF!)-1))),IF(SUMPRODUCT((('CONTROL MASTER'!$S$2:$S$495=10)*('CONTROL MASTER'!$Z$2:$Z$495&lt;=4)*('CONTROL MASTER'!$AB$2:$AB$495&gt;=4)*('CONTROL MASTER'!$AA$2:$AA$495&lt;=5)*('CONTROL MASTER'!$AC$2:$AC$495&gt;=5))*ROW('CONTROL MASTER'!$S$2:$S$495))&gt;0,INDEX('CONTROL MASTER'!$X$2:$X$495,(SUMPRODUCT((('CONTROL MASTER'!$S$2:$S$495=10)*('CONTROL MASTER'!$Z$2:$Z$495&lt;=4)*('CONTROL MASTER'!$AB$2:$AB$495&gt;=4)*('CONTROL MASTER'!$AA$2:$AA$495&lt;=5)*('CONTROL MASTER'!$AC$2:$AC$495&gt;=5))*ROW('CONTROL MASTER'!$S$2:$S$495))-(ROW('CONTROL MASTER'!#REF!)-1)))&amp;TRIM(MID(SUBSTITUTE(SUBSTITUTE(INDEX('CONTROL MASTER'!$N$2:$N$495,(SUMPRODUCT((('CONTROL MASTER'!$S$2:$S$495=10)*('CONTROL MASTER'!$Z$2:$Z$495&lt;=4)*('CONTROL MASTER'!$AB$2:$AB$495&gt;=4)*('CONTROL MASTER'!$AA$2:$AA$495&lt;=5)*('CONTROL MASTER'!$AC$2:$AC$495&gt;=5))*ROW('CONTROL MASTER'!$S$2:$S$495))-(ROW('CONTROL MASTER'!#REF!)-1))),":",","),",",REPT(" ",50)),(((INDEX('CONTROL MASTER'!$Y$2:$Y$495,(SUMPRODUCT((('CONTROL MASTER'!$S$2:$S$495=10)*('CONTROL MASTER'!$Z$2:$Z$495&lt;=4)*('CONTROL MASTER'!$AB$2:$AB$495&gt;=4)*('CONTROL MASTER'!$AA$2:$AA$495&lt;=5)*('CONTROL MASTER'!$AC$2:$AC$495&gt;=5))*ROW('CONTROL MASTER'!$S$2:$S$495))-(ROW('CONTROL MASTER'!#REF!)-1)))+((4-INDEX('CONTROL MASTER'!$Z$2:$Z$495,(SUMPRODUCT((('CONTROL MASTER'!$S$2:$S$495=10)*('CONTROL MASTER'!$Z$2:$Z$495&lt;=4)*('CONTROL MASTER'!$AB$2:$AB$495&gt;=4)*('CONTROL MASTER'!$AA$2:$AA$495&lt;=5)*('CONTROL MASTER'!$AC$2:$AC$495&gt;=5))*ROW('CONTROL MASTER'!$S$2:$S$495))-(ROW('CONTROL MASTER'!#REF!)-1))))*(INDEX('CONTROL MASTER'!$AC$2:$AC$495,(SUMPRODUCT((('CONTROL MASTER'!$S$2:$S$495=10)*('CONTROL MASTER'!$Z$2:$Z$495&lt;=4)*('CONTROL MASTER'!$AB$2:$AB$495&gt;=4)*('CONTROL MASTER'!$AA$2:$AA$495&lt;=5)*('CONTROL MASTER'!$AC$2:$AC$495&gt;=5))*ROW('CONTROL MASTER'!$S$2:$S$495))-(ROW('CONTROL MASTER'!#REF!)-1)))-INDEX('CONTROL MASTER'!$AA$2:$AA$495,(SUMPRODUCT((('CONTROL MASTER'!$S$2:$S$495=10)*('CONTROL MASTER'!$Z$2:$Z$495&lt;=4)*('CONTROL MASTER'!$AB$2:$AB$495&gt;=4)*('CONTROL MASTER'!$AA$2:$AA$495&lt;=5)*('CONTROL MASTER'!$AC$2:$AC$495&gt;=5))*ROW('CONTROL MASTER'!$S$2:$S$495))-(ROW('CONTROL MASTER'!#REF!)-1)))+1)+(5-INDEX('CONTROL MASTER'!$AA$2:$AA$495,(SUMPRODUCT((('CONTROL MASTER'!$S$2:$S$495=10)*('CONTROL MASTER'!$Z$2:$Z$495&lt;=4)*('CONTROL MASTER'!$AB$2:$AB$495&gt;=4)*('CONTROL MASTER'!$AA$2:$AA$495&lt;=5)*('CONTROL MASTER'!$AC$2:$AC$495&gt;=5))*ROW('CONTROL MASTER'!$S$2:$S$495))-(ROW('CONTROL MASTER'!#REF!)-1))))+1)))-1)*50+1,50))&amp;"_"&amp;INDEX('CONTROL MASTER'!$P$2:$P$495,(SUMPRODUCT((('CONTROL MASTER'!$S$2:$S$495=10)*('CONTROL MASTER'!$Z$2:$Z$495&lt;=4)*('CONTROL MASTER'!$AB$2:$AB$495&gt;=4)*('CONTROL MASTER'!$AA$2:$AA$495&lt;=5)*('CONTROL MASTER'!$AC$2:$AC$495&gt;=5))*ROW('CONTROL MASTER'!$S$2:$S$495))-(ROW('CONTROL MASTER'!#REF!)-1))),"")),"")</f>
        <v/>
      </c>
      <c r="G132" s="10" t="str">
        <f>IFERROR(IF(SUMPRODUCT((('CONTROL MASTER'!$S$2:$S$495=10)*('CONTROL MASTER'!$T$2:$T$495&lt;=4)*('CONTROL MASTER'!$V$2:$V$495&gt;=4)*('CONTROL MASTER'!$U$2:$U$495&lt;=6)*('CONTROL MASTER'!$W$2:$W$495&gt;=6))*ROW('CONTROL MASTER'!$S$2:$S$495))&gt;0,INDEX('CONTROL MASTER'!$X$2:$X$495,(SUMPRODUCT((('CONTROL MASTER'!$S$2:$S$495=10)*('CONTROL MASTER'!$T$2:$T$495&lt;=4)*('CONTROL MASTER'!$V$2:$V$495&gt;=4)*('CONTROL MASTER'!$U$2:$U$495&lt;=6)*('CONTROL MASTER'!$W$2:$W$495&gt;=6))*ROW('CONTROL MASTER'!$S$2:$S$495))-(ROW('CONTROL MASTER'!#REF!)-1)))&amp;TRIM(MID(SUBSTITUTE(SUBSTITUTE(INDEX('CONTROL MASTER'!$N$2:$N$495,(SUMPRODUCT((('CONTROL MASTER'!$S$2:$S$495=10)*('CONTROL MASTER'!$T$2:$T$495&lt;=4)*('CONTROL MASTER'!$V$2:$V$495&gt;=4)*('CONTROL MASTER'!$U$2:$U$495&lt;=6)*('CONTROL MASTER'!$W$2:$W$495&gt;=6))*ROW('CONTROL MASTER'!$S$2:$S$495))-(ROW('CONTROL MASTER'!#REF!)-1))),":",","),",",REPT(" ",50)),((((4-INDEX('CONTROL MASTER'!$T$2:$T$495,(SUMPRODUCT((('CONTROL MASTER'!$S$2:$S$495=10)*('CONTROL MASTER'!$T$2:$T$495&lt;=4)*('CONTROL MASTER'!$V$2:$V$495&gt;=4)*('CONTROL MASTER'!$U$2:$U$495&lt;=6)*('CONTROL MASTER'!$W$2:$W$495&gt;=6))*ROW('CONTROL MASTER'!$S$2:$S$495))-(ROW('CONTROL MASTER'!#REF!)-1))))*(INDEX('CONTROL MASTER'!$W$2:$W$495,(SUMPRODUCT((('CONTROL MASTER'!$S$2:$S$495=10)*('CONTROL MASTER'!$T$2:$T$495&lt;=4)*('CONTROL MASTER'!$V$2:$V$495&gt;=4)*('CONTROL MASTER'!$U$2:$U$495&lt;=6)*('CONTROL MASTER'!$W$2:$W$495&gt;=6))*ROW('CONTROL MASTER'!$S$2:$S$495))-(ROW('CONTROL MASTER'!#REF!)-1)))-INDEX('CONTROL MASTER'!$U$2:$U$495,(SUMPRODUCT((('CONTROL MASTER'!$S$2:$S$495=10)*('CONTROL MASTER'!$T$2:$T$495&lt;=4)*('CONTROL MASTER'!$V$2:$V$495&gt;=4)*('CONTROL MASTER'!$U$2:$U$495&lt;=6)*('CONTROL MASTER'!$W$2:$W$495&gt;=6))*ROW('CONTROL MASTER'!$S$2:$S$495))-(ROW('CONTROL MASTER'!#REF!)-1)))+1)+(6-INDEX('CONTROL MASTER'!$U$2:$U$495,(SUMPRODUCT((('CONTROL MASTER'!$S$2:$S$495=10)*('CONTROL MASTER'!$T$2:$T$495&lt;=4)*('CONTROL MASTER'!$V$2:$V$495&gt;=4)*('CONTROL MASTER'!$U$2:$U$495&lt;=6)*('CONTROL MASTER'!$W$2:$W$495&gt;=6))*ROW('CONTROL MASTER'!$S$2:$S$495))-(ROW('CONTROL MASTER'!#REF!)-1))))+1))-1)*50+1,50))&amp;"_"&amp;INDEX('CONTROL MASTER'!$P$2:$P$495,(SUMPRODUCT((('CONTROL MASTER'!$S$2:$S$495=10)*('CONTROL MASTER'!$T$2:$T$495&lt;=4)*('CONTROL MASTER'!$V$2:$V$495&gt;=4)*('CONTROL MASTER'!$U$2:$U$495&lt;=6)*('CONTROL MASTER'!$W$2:$W$495&gt;=6))*ROW('CONTROL MASTER'!$S$2:$S$495))-(ROW('CONTROL MASTER'!#REF!)-1))),IF(SUMPRODUCT((('CONTROL MASTER'!$S$2:$S$495=10)*('CONTROL MASTER'!$Z$2:$Z$495&lt;=4)*('CONTROL MASTER'!$AB$2:$AB$495&gt;=4)*('CONTROL MASTER'!$AA$2:$AA$495&lt;=6)*('CONTROL MASTER'!$AC$2:$AC$495&gt;=6))*ROW('CONTROL MASTER'!$S$2:$S$495))&gt;0,INDEX('CONTROL MASTER'!$X$2:$X$495,(SUMPRODUCT((('CONTROL MASTER'!$S$2:$S$495=10)*('CONTROL MASTER'!$Z$2:$Z$495&lt;=4)*('CONTROL MASTER'!$AB$2:$AB$495&gt;=4)*('CONTROL MASTER'!$AA$2:$AA$495&lt;=6)*('CONTROL MASTER'!$AC$2:$AC$495&gt;=6))*ROW('CONTROL MASTER'!$S$2:$S$495))-(ROW('CONTROL MASTER'!#REF!)-1)))&amp;TRIM(MID(SUBSTITUTE(SUBSTITUTE(INDEX('CONTROL MASTER'!$N$2:$N$495,(SUMPRODUCT((('CONTROL MASTER'!$S$2:$S$495=10)*('CONTROL MASTER'!$Z$2:$Z$495&lt;=4)*('CONTROL MASTER'!$AB$2:$AB$495&gt;=4)*('CONTROL MASTER'!$AA$2:$AA$495&lt;=6)*('CONTROL MASTER'!$AC$2:$AC$495&gt;=6))*ROW('CONTROL MASTER'!$S$2:$S$495))-(ROW('CONTROL MASTER'!#REF!)-1))),":",","),",",REPT(" ",50)),(((INDEX('CONTROL MASTER'!$Y$2:$Y$495,(SUMPRODUCT((('CONTROL MASTER'!$S$2:$S$495=10)*('CONTROL MASTER'!$Z$2:$Z$495&lt;=4)*('CONTROL MASTER'!$AB$2:$AB$495&gt;=4)*('CONTROL MASTER'!$AA$2:$AA$495&lt;=6)*('CONTROL MASTER'!$AC$2:$AC$495&gt;=6))*ROW('CONTROL MASTER'!$S$2:$S$495))-(ROW('CONTROL MASTER'!#REF!)-1)))+((4-INDEX('CONTROL MASTER'!$Z$2:$Z$495,(SUMPRODUCT((('CONTROL MASTER'!$S$2:$S$495=10)*('CONTROL MASTER'!$Z$2:$Z$495&lt;=4)*('CONTROL MASTER'!$AB$2:$AB$495&gt;=4)*('CONTROL MASTER'!$AA$2:$AA$495&lt;=6)*('CONTROL MASTER'!$AC$2:$AC$495&gt;=6))*ROW('CONTROL MASTER'!$S$2:$S$495))-(ROW('CONTROL MASTER'!#REF!)-1))))*(INDEX('CONTROL MASTER'!$AC$2:$AC$495,(SUMPRODUCT((('CONTROL MASTER'!$S$2:$S$495=10)*('CONTROL MASTER'!$Z$2:$Z$495&lt;=4)*('CONTROL MASTER'!$AB$2:$AB$495&gt;=4)*('CONTROL MASTER'!$AA$2:$AA$495&lt;=6)*('CONTROL MASTER'!$AC$2:$AC$495&gt;=6))*ROW('CONTROL MASTER'!$S$2:$S$495))-(ROW('CONTROL MASTER'!#REF!)-1)))-INDEX('CONTROL MASTER'!$AA$2:$AA$495,(SUMPRODUCT((('CONTROL MASTER'!$S$2:$S$495=10)*('CONTROL MASTER'!$Z$2:$Z$495&lt;=4)*('CONTROL MASTER'!$AB$2:$AB$495&gt;=4)*('CONTROL MASTER'!$AA$2:$AA$495&lt;=6)*('CONTROL MASTER'!$AC$2:$AC$495&gt;=6))*ROW('CONTROL MASTER'!$S$2:$S$495))-(ROW('CONTROL MASTER'!#REF!)-1)))+1)+(6-INDEX('CONTROL MASTER'!$AA$2:$AA$495,(SUMPRODUCT((('CONTROL MASTER'!$S$2:$S$495=10)*('CONTROL MASTER'!$Z$2:$Z$495&lt;=4)*('CONTROL MASTER'!$AB$2:$AB$495&gt;=4)*('CONTROL MASTER'!$AA$2:$AA$495&lt;=6)*('CONTROL MASTER'!$AC$2:$AC$495&gt;=6))*ROW('CONTROL MASTER'!$S$2:$S$495))-(ROW('CONTROL MASTER'!#REF!)-1))))+1)))-1)*50+1,50))&amp;"_"&amp;INDEX('CONTROL MASTER'!$P$2:$P$495,(SUMPRODUCT((('CONTROL MASTER'!$S$2:$S$495=10)*('CONTROL MASTER'!$Z$2:$Z$495&lt;=4)*('CONTROL MASTER'!$AB$2:$AB$495&gt;=4)*('CONTROL MASTER'!$AA$2:$AA$495&lt;=6)*('CONTROL MASTER'!$AC$2:$AC$495&gt;=6))*ROW('CONTROL MASTER'!$S$2:$S$495))-(ROW('CONTROL MASTER'!#REF!)-1))),"")),"")</f>
        <v/>
      </c>
      <c r="H132" s="10" t="str">
        <f>IFERROR(IF(SUMPRODUCT((('CONTROL MASTER'!$S$2:$S$495=10)*('CONTROL MASTER'!$T$2:$T$495&lt;=4)*('CONTROL MASTER'!$V$2:$V$495&gt;=4)*('CONTROL MASTER'!$U$2:$U$495&lt;=7)*('CONTROL MASTER'!$W$2:$W$495&gt;=7))*ROW('CONTROL MASTER'!$S$2:$S$495))&gt;0,INDEX('CONTROL MASTER'!$X$2:$X$495,(SUMPRODUCT((('CONTROL MASTER'!$S$2:$S$495=10)*('CONTROL MASTER'!$T$2:$T$495&lt;=4)*('CONTROL MASTER'!$V$2:$V$495&gt;=4)*('CONTROL MASTER'!$U$2:$U$495&lt;=7)*('CONTROL MASTER'!$W$2:$W$495&gt;=7))*ROW('CONTROL MASTER'!$S$2:$S$495))-(ROW('CONTROL MASTER'!#REF!)-1)))&amp;TRIM(MID(SUBSTITUTE(SUBSTITUTE(INDEX('CONTROL MASTER'!$N$2:$N$495,(SUMPRODUCT((('CONTROL MASTER'!$S$2:$S$495=10)*('CONTROL MASTER'!$T$2:$T$495&lt;=4)*('CONTROL MASTER'!$V$2:$V$495&gt;=4)*('CONTROL MASTER'!$U$2:$U$495&lt;=7)*('CONTROL MASTER'!$W$2:$W$495&gt;=7))*ROW('CONTROL MASTER'!$S$2:$S$495))-(ROW('CONTROL MASTER'!#REF!)-1))),":",","),",",REPT(" ",50)),((((4-INDEX('CONTROL MASTER'!$T$2:$T$495,(SUMPRODUCT((('CONTROL MASTER'!$S$2:$S$495=10)*('CONTROL MASTER'!$T$2:$T$495&lt;=4)*('CONTROL MASTER'!$V$2:$V$495&gt;=4)*('CONTROL MASTER'!$U$2:$U$495&lt;=7)*('CONTROL MASTER'!$W$2:$W$495&gt;=7))*ROW('CONTROL MASTER'!$S$2:$S$495))-(ROW('CONTROL MASTER'!#REF!)-1))))*(INDEX('CONTROL MASTER'!$W$2:$W$495,(SUMPRODUCT((('CONTROL MASTER'!$S$2:$S$495=10)*('CONTROL MASTER'!$T$2:$T$495&lt;=4)*('CONTROL MASTER'!$V$2:$V$495&gt;=4)*('CONTROL MASTER'!$U$2:$U$495&lt;=7)*('CONTROL MASTER'!$W$2:$W$495&gt;=7))*ROW('CONTROL MASTER'!$S$2:$S$495))-(ROW('CONTROL MASTER'!#REF!)-1)))-INDEX('CONTROL MASTER'!$U$2:$U$495,(SUMPRODUCT((('CONTROL MASTER'!$S$2:$S$495=10)*('CONTROL MASTER'!$T$2:$T$495&lt;=4)*('CONTROL MASTER'!$V$2:$V$495&gt;=4)*('CONTROL MASTER'!$U$2:$U$495&lt;=7)*('CONTROL MASTER'!$W$2:$W$495&gt;=7))*ROW('CONTROL MASTER'!$S$2:$S$495))-(ROW('CONTROL MASTER'!#REF!)-1)))+1)+(7-INDEX('CONTROL MASTER'!$U$2:$U$495,(SUMPRODUCT((('CONTROL MASTER'!$S$2:$S$495=10)*('CONTROL MASTER'!$T$2:$T$495&lt;=4)*('CONTROL MASTER'!$V$2:$V$495&gt;=4)*('CONTROL MASTER'!$U$2:$U$495&lt;=7)*('CONTROL MASTER'!$W$2:$W$495&gt;=7))*ROW('CONTROL MASTER'!$S$2:$S$495))-(ROW('CONTROL MASTER'!#REF!)-1))))+1))-1)*50+1,50))&amp;"_"&amp;INDEX('CONTROL MASTER'!$P$2:$P$495,(SUMPRODUCT((('CONTROL MASTER'!$S$2:$S$495=10)*('CONTROL MASTER'!$T$2:$T$495&lt;=4)*('CONTROL MASTER'!$V$2:$V$495&gt;=4)*('CONTROL MASTER'!$U$2:$U$495&lt;=7)*('CONTROL MASTER'!$W$2:$W$495&gt;=7))*ROW('CONTROL MASTER'!$S$2:$S$495))-(ROW('CONTROL MASTER'!#REF!)-1))),IF(SUMPRODUCT((('CONTROL MASTER'!$S$2:$S$495=10)*('CONTROL MASTER'!$Z$2:$Z$495&lt;=4)*('CONTROL MASTER'!$AB$2:$AB$495&gt;=4)*('CONTROL MASTER'!$AA$2:$AA$495&lt;=7)*('CONTROL MASTER'!$AC$2:$AC$495&gt;=7))*ROW('CONTROL MASTER'!$S$2:$S$495))&gt;0,INDEX('CONTROL MASTER'!$X$2:$X$495,(SUMPRODUCT((('CONTROL MASTER'!$S$2:$S$495=10)*('CONTROL MASTER'!$Z$2:$Z$495&lt;=4)*('CONTROL MASTER'!$AB$2:$AB$495&gt;=4)*('CONTROL MASTER'!$AA$2:$AA$495&lt;=7)*('CONTROL MASTER'!$AC$2:$AC$495&gt;=7))*ROW('CONTROL MASTER'!$S$2:$S$495))-(ROW('CONTROL MASTER'!#REF!)-1)))&amp;TRIM(MID(SUBSTITUTE(SUBSTITUTE(INDEX('CONTROL MASTER'!$N$2:$N$495,(SUMPRODUCT((('CONTROL MASTER'!$S$2:$S$495=10)*('CONTROL MASTER'!$Z$2:$Z$495&lt;=4)*('CONTROL MASTER'!$AB$2:$AB$495&gt;=4)*('CONTROL MASTER'!$AA$2:$AA$495&lt;=7)*('CONTROL MASTER'!$AC$2:$AC$495&gt;=7))*ROW('CONTROL MASTER'!$S$2:$S$495))-(ROW('CONTROL MASTER'!#REF!)-1))),":",","),",",REPT(" ",50)),(((INDEX('CONTROL MASTER'!$Y$2:$Y$495,(SUMPRODUCT((('CONTROL MASTER'!$S$2:$S$495=10)*('CONTROL MASTER'!$Z$2:$Z$495&lt;=4)*('CONTROL MASTER'!$AB$2:$AB$495&gt;=4)*('CONTROL MASTER'!$AA$2:$AA$495&lt;=7)*('CONTROL MASTER'!$AC$2:$AC$495&gt;=7))*ROW('CONTROL MASTER'!$S$2:$S$495))-(ROW('CONTROL MASTER'!#REF!)-1)))+((4-INDEX('CONTROL MASTER'!$Z$2:$Z$495,(SUMPRODUCT((('CONTROL MASTER'!$S$2:$S$495=10)*('CONTROL MASTER'!$Z$2:$Z$495&lt;=4)*('CONTROL MASTER'!$AB$2:$AB$495&gt;=4)*('CONTROL MASTER'!$AA$2:$AA$495&lt;=7)*('CONTROL MASTER'!$AC$2:$AC$495&gt;=7))*ROW('CONTROL MASTER'!$S$2:$S$495))-(ROW('CONTROL MASTER'!#REF!)-1))))*(INDEX('CONTROL MASTER'!$AC$2:$AC$495,(SUMPRODUCT((('CONTROL MASTER'!$S$2:$S$495=10)*('CONTROL MASTER'!$Z$2:$Z$495&lt;=4)*('CONTROL MASTER'!$AB$2:$AB$495&gt;=4)*('CONTROL MASTER'!$AA$2:$AA$495&lt;=7)*('CONTROL MASTER'!$AC$2:$AC$495&gt;=7))*ROW('CONTROL MASTER'!$S$2:$S$495))-(ROW('CONTROL MASTER'!#REF!)-1)))-INDEX('CONTROL MASTER'!$AA$2:$AA$495,(SUMPRODUCT((('CONTROL MASTER'!$S$2:$S$495=10)*('CONTROL MASTER'!$Z$2:$Z$495&lt;=4)*('CONTROL MASTER'!$AB$2:$AB$495&gt;=4)*('CONTROL MASTER'!$AA$2:$AA$495&lt;=7)*('CONTROL MASTER'!$AC$2:$AC$495&gt;=7))*ROW('CONTROL MASTER'!$S$2:$S$495))-(ROW('CONTROL MASTER'!#REF!)-1)))+1)+(7-INDEX('CONTROL MASTER'!$AA$2:$AA$495,(SUMPRODUCT((('CONTROL MASTER'!$S$2:$S$495=10)*('CONTROL MASTER'!$Z$2:$Z$495&lt;=4)*('CONTROL MASTER'!$AB$2:$AB$495&gt;=4)*('CONTROL MASTER'!$AA$2:$AA$495&lt;=7)*('CONTROL MASTER'!$AC$2:$AC$495&gt;=7))*ROW('CONTROL MASTER'!$S$2:$S$495))-(ROW('CONTROL MASTER'!#REF!)-1))))+1)))-1)*50+1,50))&amp;"_"&amp;INDEX('CONTROL MASTER'!$P$2:$P$495,(SUMPRODUCT((('CONTROL MASTER'!$S$2:$S$495=10)*('CONTROL MASTER'!$Z$2:$Z$495&lt;=4)*('CONTROL MASTER'!$AB$2:$AB$495&gt;=4)*('CONTROL MASTER'!$AA$2:$AA$495&lt;=7)*('CONTROL MASTER'!$AC$2:$AC$495&gt;=7))*ROW('CONTROL MASTER'!$S$2:$S$495))-(ROW('CONTROL MASTER'!#REF!)-1))),"")),"")</f>
        <v/>
      </c>
      <c r="I132" s="10" t="str">
        <f>IFERROR(IF(SUMPRODUCT((('CONTROL MASTER'!$S$2:$S$495=10)*('CONTROL MASTER'!$T$2:$T$495&lt;=4)*('CONTROL MASTER'!$V$2:$V$495&gt;=4)*('CONTROL MASTER'!$U$2:$U$495&lt;=8)*('CONTROL MASTER'!$W$2:$W$495&gt;=8))*ROW('CONTROL MASTER'!$S$2:$S$495))&gt;0,INDEX('CONTROL MASTER'!$X$2:$X$495,(SUMPRODUCT((('CONTROL MASTER'!$S$2:$S$495=10)*('CONTROL MASTER'!$T$2:$T$495&lt;=4)*('CONTROL MASTER'!$V$2:$V$495&gt;=4)*('CONTROL MASTER'!$U$2:$U$495&lt;=8)*('CONTROL MASTER'!$W$2:$W$495&gt;=8))*ROW('CONTROL MASTER'!$S$2:$S$495))-(ROW('CONTROL MASTER'!#REF!)-1)))&amp;TRIM(MID(SUBSTITUTE(SUBSTITUTE(INDEX('CONTROL MASTER'!$N$2:$N$495,(SUMPRODUCT((('CONTROL MASTER'!$S$2:$S$495=10)*('CONTROL MASTER'!$T$2:$T$495&lt;=4)*('CONTROL MASTER'!$V$2:$V$495&gt;=4)*('CONTROL MASTER'!$U$2:$U$495&lt;=8)*('CONTROL MASTER'!$W$2:$W$495&gt;=8))*ROW('CONTROL MASTER'!$S$2:$S$495))-(ROW('CONTROL MASTER'!#REF!)-1))),":",","),",",REPT(" ",50)),((((4-INDEX('CONTROL MASTER'!$T$2:$T$495,(SUMPRODUCT((('CONTROL MASTER'!$S$2:$S$495=10)*('CONTROL MASTER'!$T$2:$T$495&lt;=4)*('CONTROL MASTER'!$V$2:$V$495&gt;=4)*('CONTROL MASTER'!$U$2:$U$495&lt;=8)*('CONTROL MASTER'!$W$2:$W$495&gt;=8))*ROW('CONTROL MASTER'!$S$2:$S$495))-(ROW('CONTROL MASTER'!#REF!)-1))))*(INDEX('CONTROL MASTER'!$W$2:$W$495,(SUMPRODUCT((('CONTROL MASTER'!$S$2:$S$495=10)*('CONTROL MASTER'!$T$2:$T$495&lt;=4)*('CONTROL MASTER'!$V$2:$V$495&gt;=4)*('CONTROL MASTER'!$U$2:$U$495&lt;=8)*('CONTROL MASTER'!$W$2:$W$495&gt;=8))*ROW('CONTROL MASTER'!$S$2:$S$495))-(ROW('CONTROL MASTER'!#REF!)-1)))-INDEX('CONTROL MASTER'!$U$2:$U$495,(SUMPRODUCT((('CONTROL MASTER'!$S$2:$S$495=10)*('CONTROL MASTER'!$T$2:$T$495&lt;=4)*('CONTROL MASTER'!$V$2:$V$495&gt;=4)*('CONTROL MASTER'!$U$2:$U$495&lt;=8)*('CONTROL MASTER'!$W$2:$W$495&gt;=8))*ROW('CONTROL MASTER'!$S$2:$S$495))-(ROW('CONTROL MASTER'!#REF!)-1)))+1)+(8-INDEX('CONTROL MASTER'!$U$2:$U$495,(SUMPRODUCT((('CONTROL MASTER'!$S$2:$S$495=10)*('CONTROL MASTER'!$T$2:$T$495&lt;=4)*('CONTROL MASTER'!$V$2:$V$495&gt;=4)*('CONTROL MASTER'!$U$2:$U$495&lt;=8)*('CONTROL MASTER'!$W$2:$W$495&gt;=8))*ROW('CONTROL MASTER'!$S$2:$S$495))-(ROW('CONTROL MASTER'!#REF!)-1))))+1))-1)*50+1,50))&amp;"_"&amp;INDEX('CONTROL MASTER'!$P$2:$P$495,(SUMPRODUCT((('CONTROL MASTER'!$S$2:$S$495=10)*('CONTROL MASTER'!$T$2:$T$495&lt;=4)*('CONTROL MASTER'!$V$2:$V$495&gt;=4)*('CONTROL MASTER'!$U$2:$U$495&lt;=8)*('CONTROL MASTER'!$W$2:$W$495&gt;=8))*ROW('CONTROL MASTER'!$S$2:$S$495))-(ROW('CONTROL MASTER'!#REF!)-1))),IF(SUMPRODUCT((('CONTROL MASTER'!$S$2:$S$495=10)*('CONTROL MASTER'!$Z$2:$Z$495&lt;=4)*('CONTROL MASTER'!$AB$2:$AB$495&gt;=4)*('CONTROL MASTER'!$AA$2:$AA$495&lt;=8)*('CONTROL MASTER'!$AC$2:$AC$495&gt;=8))*ROW('CONTROL MASTER'!$S$2:$S$495))&gt;0,INDEX('CONTROL MASTER'!$X$2:$X$495,(SUMPRODUCT((('CONTROL MASTER'!$S$2:$S$495=10)*('CONTROL MASTER'!$Z$2:$Z$495&lt;=4)*('CONTROL MASTER'!$AB$2:$AB$495&gt;=4)*('CONTROL MASTER'!$AA$2:$AA$495&lt;=8)*('CONTROL MASTER'!$AC$2:$AC$495&gt;=8))*ROW('CONTROL MASTER'!$S$2:$S$495))-(ROW('CONTROL MASTER'!#REF!)-1)))&amp;TRIM(MID(SUBSTITUTE(SUBSTITUTE(INDEX('CONTROL MASTER'!$N$2:$N$495,(SUMPRODUCT((('CONTROL MASTER'!$S$2:$S$495=10)*('CONTROL MASTER'!$Z$2:$Z$495&lt;=4)*('CONTROL MASTER'!$AB$2:$AB$495&gt;=4)*('CONTROL MASTER'!$AA$2:$AA$495&lt;=8)*('CONTROL MASTER'!$AC$2:$AC$495&gt;=8))*ROW('CONTROL MASTER'!$S$2:$S$495))-(ROW('CONTROL MASTER'!#REF!)-1))),":",","),",",REPT(" ",50)),(((INDEX('CONTROL MASTER'!$Y$2:$Y$495,(SUMPRODUCT((('CONTROL MASTER'!$S$2:$S$495=10)*('CONTROL MASTER'!$Z$2:$Z$495&lt;=4)*('CONTROL MASTER'!$AB$2:$AB$495&gt;=4)*('CONTROL MASTER'!$AA$2:$AA$495&lt;=8)*('CONTROL MASTER'!$AC$2:$AC$495&gt;=8))*ROW('CONTROL MASTER'!$S$2:$S$495))-(ROW('CONTROL MASTER'!#REF!)-1)))+((4-INDEX('CONTROL MASTER'!$Z$2:$Z$495,(SUMPRODUCT((('CONTROL MASTER'!$S$2:$S$495=10)*('CONTROL MASTER'!$Z$2:$Z$495&lt;=4)*('CONTROL MASTER'!$AB$2:$AB$495&gt;=4)*('CONTROL MASTER'!$AA$2:$AA$495&lt;=8)*('CONTROL MASTER'!$AC$2:$AC$495&gt;=8))*ROW('CONTROL MASTER'!$S$2:$S$495))-(ROW('CONTROL MASTER'!#REF!)-1))))*(INDEX('CONTROL MASTER'!$AC$2:$AC$495,(SUMPRODUCT((('CONTROL MASTER'!$S$2:$S$495=10)*('CONTROL MASTER'!$Z$2:$Z$495&lt;=4)*('CONTROL MASTER'!$AB$2:$AB$495&gt;=4)*('CONTROL MASTER'!$AA$2:$AA$495&lt;=8)*('CONTROL MASTER'!$AC$2:$AC$495&gt;=8))*ROW('CONTROL MASTER'!$S$2:$S$495))-(ROW('CONTROL MASTER'!#REF!)-1)))-INDEX('CONTROL MASTER'!$AA$2:$AA$495,(SUMPRODUCT((('CONTROL MASTER'!$S$2:$S$495=10)*('CONTROL MASTER'!$Z$2:$Z$495&lt;=4)*('CONTROL MASTER'!$AB$2:$AB$495&gt;=4)*('CONTROL MASTER'!$AA$2:$AA$495&lt;=8)*('CONTROL MASTER'!$AC$2:$AC$495&gt;=8))*ROW('CONTROL MASTER'!$S$2:$S$495))-(ROW('CONTROL MASTER'!#REF!)-1)))+1)+(8-INDEX('CONTROL MASTER'!$AA$2:$AA$495,(SUMPRODUCT((('CONTROL MASTER'!$S$2:$S$495=10)*('CONTROL MASTER'!$Z$2:$Z$495&lt;=4)*('CONTROL MASTER'!$AB$2:$AB$495&gt;=4)*('CONTROL MASTER'!$AA$2:$AA$495&lt;=8)*('CONTROL MASTER'!$AC$2:$AC$495&gt;=8))*ROW('CONTROL MASTER'!$S$2:$S$495))-(ROW('CONTROL MASTER'!#REF!)-1))))+1)))-1)*50+1,50))&amp;"_"&amp;INDEX('CONTROL MASTER'!$P$2:$P$495,(SUMPRODUCT((('CONTROL MASTER'!$S$2:$S$495=10)*('CONTROL MASTER'!$Z$2:$Z$495&lt;=4)*('CONTROL MASTER'!$AB$2:$AB$495&gt;=4)*('CONTROL MASTER'!$AA$2:$AA$495&lt;=8)*('CONTROL MASTER'!$AC$2:$AC$495&gt;=8))*ROW('CONTROL MASTER'!$S$2:$S$495))-(ROW('CONTROL MASTER'!#REF!)-1))),"")),"")</f>
        <v/>
      </c>
      <c r="J132" s="10" t="str">
        <f>IFERROR(IF(SUMPRODUCT((('CONTROL MASTER'!$S$2:$S$495=10)*('CONTROL MASTER'!$T$2:$T$495&lt;=4)*('CONTROL MASTER'!$V$2:$V$495&gt;=4)*('CONTROL MASTER'!$U$2:$U$495&lt;=9)*('CONTROL MASTER'!$W$2:$W$495&gt;=9))*ROW('CONTROL MASTER'!$S$2:$S$495))&gt;0,INDEX('CONTROL MASTER'!$X$2:$X$495,(SUMPRODUCT((('CONTROL MASTER'!$S$2:$S$495=10)*('CONTROL MASTER'!$T$2:$T$495&lt;=4)*('CONTROL MASTER'!$V$2:$V$495&gt;=4)*('CONTROL MASTER'!$U$2:$U$495&lt;=9)*('CONTROL MASTER'!$W$2:$W$495&gt;=9))*ROW('CONTROL MASTER'!$S$2:$S$495))-(ROW('CONTROL MASTER'!#REF!)-1)))&amp;TRIM(MID(SUBSTITUTE(SUBSTITUTE(INDEX('CONTROL MASTER'!$N$2:$N$495,(SUMPRODUCT((('CONTROL MASTER'!$S$2:$S$495=10)*('CONTROL MASTER'!$T$2:$T$495&lt;=4)*('CONTROL MASTER'!$V$2:$V$495&gt;=4)*('CONTROL MASTER'!$U$2:$U$495&lt;=9)*('CONTROL MASTER'!$W$2:$W$495&gt;=9))*ROW('CONTROL MASTER'!$S$2:$S$495))-(ROW('CONTROL MASTER'!#REF!)-1))),":",","),",",REPT(" ",50)),((((4-INDEX('CONTROL MASTER'!$T$2:$T$495,(SUMPRODUCT((('CONTROL MASTER'!$S$2:$S$495=10)*('CONTROL MASTER'!$T$2:$T$495&lt;=4)*('CONTROL MASTER'!$V$2:$V$495&gt;=4)*('CONTROL MASTER'!$U$2:$U$495&lt;=9)*('CONTROL MASTER'!$W$2:$W$495&gt;=9))*ROW('CONTROL MASTER'!$S$2:$S$495))-(ROW('CONTROL MASTER'!#REF!)-1))))*(INDEX('CONTROL MASTER'!$W$2:$W$495,(SUMPRODUCT((('CONTROL MASTER'!$S$2:$S$495=10)*('CONTROL MASTER'!$T$2:$T$495&lt;=4)*('CONTROL MASTER'!$V$2:$V$495&gt;=4)*('CONTROL MASTER'!$U$2:$U$495&lt;=9)*('CONTROL MASTER'!$W$2:$W$495&gt;=9))*ROW('CONTROL MASTER'!$S$2:$S$495))-(ROW('CONTROL MASTER'!#REF!)-1)))-INDEX('CONTROL MASTER'!$U$2:$U$495,(SUMPRODUCT((('CONTROL MASTER'!$S$2:$S$495=10)*('CONTROL MASTER'!$T$2:$T$495&lt;=4)*('CONTROL MASTER'!$V$2:$V$495&gt;=4)*('CONTROL MASTER'!$U$2:$U$495&lt;=9)*('CONTROL MASTER'!$W$2:$W$495&gt;=9))*ROW('CONTROL MASTER'!$S$2:$S$495))-(ROW('CONTROL MASTER'!#REF!)-1)))+1)+(9-INDEX('CONTROL MASTER'!$U$2:$U$495,(SUMPRODUCT((('CONTROL MASTER'!$S$2:$S$495=10)*('CONTROL MASTER'!$T$2:$T$495&lt;=4)*('CONTROL MASTER'!$V$2:$V$495&gt;=4)*('CONTROL MASTER'!$U$2:$U$495&lt;=9)*('CONTROL MASTER'!$W$2:$W$495&gt;=9))*ROW('CONTROL MASTER'!$S$2:$S$495))-(ROW('CONTROL MASTER'!#REF!)-1))))+1))-1)*50+1,50))&amp;"_"&amp;INDEX('CONTROL MASTER'!$P$2:$P$495,(SUMPRODUCT((('CONTROL MASTER'!$S$2:$S$495=10)*('CONTROL MASTER'!$T$2:$T$495&lt;=4)*('CONTROL MASTER'!$V$2:$V$495&gt;=4)*('CONTROL MASTER'!$U$2:$U$495&lt;=9)*('CONTROL MASTER'!$W$2:$W$495&gt;=9))*ROW('CONTROL MASTER'!$S$2:$S$495))-(ROW('CONTROL MASTER'!#REF!)-1))),IF(SUMPRODUCT((('CONTROL MASTER'!$S$2:$S$495=10)*('CONTROL MASTER'!$Z$2:$Z$495&lt;=4)*('CONTROL MASTER'!$AB$2:$AB$495&gt;=4)*('CONTROL MASTER'!$AA$2:$AA$495&lt;=9)*('CONTROL MASTER'!$AC$2:$AC$495&gt;=9))*ROW('CONTROL MASTER'!$S$2:$S$495))&gt;0,INDEX('CONTROL MASTER'!$X$2:$X$495,(SUMPRODUCT((('CONTROL MASTER'!$S$2:$S$495=10)*('CONTROL MASTER'!$Z$2:$Z$495&lt;=4)*('CONTROL MASTER'!$AB$2:$AB$495&gt;=4)*('CONTROL MASTER'!$AA$2:$AA$495&lt;=9)*('CONTROL MASTER'!$AC$2:$AC$495&gt;=9))*ROW('CONTROL MASTER'!$S$2:$S$495))-(ROW('CONTROL MASTER'!#REF!)-1)))&amp;TRIM(MID(SUBSTITUTE(SUBSTITUTE(INDEX('CONTROL MASTER'!$N$2:$N$495,(SUMPRODUCT((('CONTROL MASTER'!$S$2:$S$495=10)*('CONTROL MASTER'!$Z$2:$Z$495&lt;=4)*('CONTROL MASTER'!$AB$2:$AB$495&gt;=4)*('CONTROL MASTER'!$AA$2:$AA$495&lt;=9)*('CONTROL MASTER'!$AC$2:$AC$495&gt;=9))*ROW('CONTROL MASTER'!$S$2:$S$495))-(ROW('CONTROL MASTER'!#REF!)-1))),":",","),",",REPT(" ",50)),(((INDEX('CONTROL MASTER'!$Y$2:$Y$495,(SUMPRODUCT((('CONTROL MASTER'!$S$2:$S$495=10)*('CONTROL MASTER'!$Z$2:$Z$495&lt;=4)*('CONTROL MASTER'!$AB$2:$AB$495&gt;=4)*('CONTROL MASTER'!$AA$2:$AA$495&lt;=9)*('CONTROL MASTER'!$AC$2:$AC$495&gt;=9))*ROW('CONTROL MASTER'!$S$2:$S$495))-(ROW('CONTROL MASTER'!#REF!)-1)))+((4-INDEX('CONTROL MASTER'!$Z$2:$Z$495,(SUMPRODUCT((('CONTROL MASTER'!$S$2:$S$495=10)*('CONTROL MASTER'!$Z$2:$Z$495&lt;=4)*('CONTROL MASTER'!$AB$2:$AB$495&gt;=4)*('CONTROL MASTER'!$AA$2:$AA$495&lt;=9)*('CONTROL MASTER'!$AC$2:$AC$495&gt;=9))*ROW('CONTROL MASTER'!$S$2:$S$495))-(ROW('CONTROL MASTER'!#REF!)-1))))*(INDEX('CONTROL MASTER'!$AC$2:$AC$495,(SUMPRODUCT((('CONTROL MASTER'!$S$2:$S$495=10)*('CONTROL MASTER'!$Z$2:$Z$495&lt;=4)*('CONTROL MASTER'!$AB$2:$AB$495&gt;=4)*('CONTROL MASTER'!$AA$2:$AA$495&lt;=9)*('CONTROL MASTER'!$AC$2:$AC$495&gt;=9))*ROW('CONTROL MASTER'!$S$2:$S$495))-(ROW('CONTROL MASTER'!#REF!)-1)))-INDEX('CONTROL MASTER'!$AA$2:$AA$495,(SUMPRODUCT((('CONTROL MASTER'!$S$2:$S$495=10)*('CONTROL MASTER'!$Z$2:$Z$495&lt;=4)*('CONTROL MASTER'!$AB$2:$AB$495&gt;=4)*('CONTROL MASTER'!$AA$2:$AA$495&lt;=9)*('CONTROL MASTER'!$AC$2:$AC$495&gt;=9))*ROW('CONTROL MASTER'!$S$2:$S$495))-(ROW('CONTROL MASTER'!#REF!)-1)))+1)+(9-INDEX('CONTROL MASTER'!$AA$2:$AA$495,(SUMPRODUCT((('CONTROL MASTER'!$S$2:$S$495=10)*('CONTROL MASTER'!$Z$2:$Z$495&lt;=4)*('CONTROL MASTER'!$AB$2:$AB$495&gt;=4)*('CONTROL MASTER'!$AA$2:$AA$495&lt;=9)*('CONTROL MASTER'!$AC$2:$AC$495&gt;=9))*ROW('CONTROL MASTER'!$S$2:$S$495))-(ROW('CONTROL MASTER'!#REF!)-1))))+1)))-1)*50+1,50))&amp;"_"&amp;INDEX('CONTROL MASTER'!$P$2:$P$495,(SUMPRODUCT((('CONTROL MASTER'!$S$2:$S$495=10)*('CONTROL MASTER'!$Z$2:$Z$495&lt;=4)*('CONTROL MASTER'!$AB$2:$AB$495&gt;=4)*('CONTROL MASTER'!$AA$2:$AA$495&lt;=9)*('CONTROL MASTER'!$AC$2:$AC$495&gt;=9))*ROW('CONTROL MASTER'!$S$2:$S$495))-(ROW('CONTROL MASTER'!#REF!)-1))),"")),"")</f>
        <v/>
      </c>
      <c r="K132" s="10" t="str">
        <f>IFERROR(IF(SUMPRODUCT((('CONTROL MASTER'!$S$2:$S$495=10)*('CONTROL MASTER'!$T$2:$T$495&lt;=4)*('CONTROL MASTER'!$V$2:$V$495&gt;=4)*('CONTROL MASTER'!$U$2:$U$495&lt;=10)*('CONTROL MASTER'!$W$2:$W$495&gt;=10))*ROW('CONTROL MASTER'!$S$2:$S$495))&gt;0,INDEX('CONTROL MASTER'!$X$2:$X$495,(SUMPRODUCT((('CONTROL MASTER'!$S$2:$S$495=10)*('CONTROL MASTER'!$T$2:$T$495&lt;=4)*('CONTROL MASTER'!$V$2:$V$495&gt;=4)*('CONTROL MASTER'!$U$2:$U$495&lt;=10)*('CONTROL MASTER'!$W$2:$W$495&gt;=10))*ROW('CONTROL MASTER'!$S$2:$S$495))-(ROW('CONTROL MASTER'!#REF!)-1)))&amp;TRIM(MID(SUBSTITUTE(SUBSTITUTE(INDEX('CONTROL MASTER'!$N$2:$N$495,(SUMPRODUCT((('CONTROL MASTER'!$S$2:$S$495=10)*('CONTROL MASTER'!$T$2:$T$495&lt;=4)*('CONTROL MASTER'!$V$2:$V$495&gt;=4)*('CONTROL MASTER'!$U$2:$U$495&lt;=10)*('CONTROL MASTER'!$W$2:$W$495&gt;=10))*ROW('CONTROL MASTER'!$S$2:$S$495))-(ROW('CONTROL MASTER'!#REF!)-1))),":",","),",",REPT(" ",50)),((((4-INDEX('CONTROL MASTER'!$T$2:$T$495,(SUMPRODUCT((('CONTROL MASTER'!$S$2:$S$495=10)*('CONTROL MASTER'!$T$2:$T$495&lt;=4)*('CONTROL MASTER'!$V$2:$V$495&gt;=4)*('CONTROL MASTER'!$U$2:$U$495&lt;=10)*('CONTROL MASTER'!$W$2:$W$495&gt;=10))*ROW('CONTROL MASTER'!$S$2:$S$495))-(ROW('CONTROL MASTER'!#REF!)-1))))*(INDEX('CONTROL MASTER'!$W$2:$W$495,(SUMPRODUCT((('CONTROL MASTER'!$S$2:$S$495=10)*('CONTROL MASTER'!$T$2:$T$495&lt;=4)*('CONTROL MASTER'!$V$2:$V$495&gt;=4)*('CONTROL MASTER'!$U$2:$U$495&lt;=10)*('CONTROL MASTER'!$W$2:$W$495&gt;=10))*ROW('CONTROL MASTER'!$S$2:$S$495))-(ROW('CONTROL MASTER'!#REF!)-1)))-INDEX('CONTROL MASTER'!$U$2:$U$495,(SUMPRODUCT((('CONTROL MASTER'!$S$2:$S$495=10)*('CONTROL MASTER'!$T$2:$T$495&lt;=4)*('CONTROL MASTER'!$V$2:$V$495&gt;=4)*('CONTROL MASTER'!$U$2:$U$495&lt;=10)*('CONTROL MASTER'!$W$2:$W$495&gt;=10))*ROW('CONTROL MASTER'!$S$2:$S$495))-(ROW('CONTROL MASTER'!#REF!)-1)))+1)+(10-INDEX('CONTROL MASTER'!$U$2:$U$495,(SUMPRODUCT((('CONTROL MASTER'!$S$2:$S$495=10)*('CONTROL MASTER'!$T$2:$T$495&lt;=4)*('CONTROL MASTER'!$V$2:$V$495&gt;=4)*('CONTROL MASTER'!$U$2:$U$495&lt;=10)*('CONTROL MASTER'!$W$2:$W$495&gt;=10))*ROW('CONTROL MASTER'!$S$2:$S$495))-(ROW('CONTROL MASTER'!#REF!)-1))))+1))-1)*50+1,50))&amp;"_"&amp;INDEX('CONTROL MASTER'!$P$2:$P$495,(SUMPRODUCT((('CONTROL MASTER'!$S$2:$S$495=10)*('CONTROL MASTER'!$T$2:$T$495&lt;=4)*('CONTROL MASTER'!$V$2:$V$495&gt;=4)*('CONTROL MASTER'!$U$2:$U$495&lt;=10)*('CONTROL MASTER'!$W$2:$W$495&gt;=10))*ROW('CONTROL MASTER'!$S$2:$S$495))-(ROW('CONTROL MASTER'!#REF!)-1))),IF(SUMPRODUCT((('CONTROL MASTER'!$S$2:$S$495=10)*('CONTROL MASTER'!$Z$2:$Z$495&lt;=4)*('CONTROL MASTER'!$AB$2:$AB$495&gt;=4)*('CONTROL MASTER'!$AA$2:$AA$495&lt;=10)*('CONTROL MASTER'!$AC$2:$AC$495&gt;=10))*ROW('CONTROL MASTER'!$S$2:$S$495))&gt;0,INDEX('CONTROL MASTER'!$X$2:$X$495,(SUMPRODUCT((('CONTROL MASTER'!$S$2:$S$495=10)*('CONTROL MASTER'!$Z$2:$Z$495&lt;=4)*('CONTROL MASTER'!$AB$2:$AB$495&gt;=4)*('CONTROL MASTER'!$AA$2:$AA$495&lt;=10)*('CONTROL MASTER'!$AC$2:$AC$495&gt;=10))*ROW('CONTROL MASTER'!$S$2:$S$495))-(ROW('CONTROL MASTER'!#REF!)-1)))&amp;TRIM(MID(SUBSTITUTE(SUBSTITUTE(INDEX('CONTROL MASTER'!$N$2:$N$495,(SUMPRODUCT((('CONTROL MASTER'!$S$2:$S$495=10)*('CONTROL MASTER'!$Z$2:$Z$495&lt;=4)*('CONTROL MASTER'!$AB$2:$AB$495&gt;=4)*('CONTROL MASTER'!$AA$2:$AA$495&lt;=10)*('CONTROL MASTER'!$AC$2:$AC$495&gt;=10))*ROW('CONTROL MASTER'!$S$2:$S$495))-(ROW('CONTROL MASTER'!#REF!)-1))),":",","),",",REPT(" ",50)),(((INDEX('CONTROL MASTER'!$Y$2:$Y$495,(SUMPRODUCT((('CONTROL MASTER'!$S$2:$S$495=10)*('CONTROL MASTER'!$Z$2:$Z$495&lt;=4)*('CONTROL MASTER'!$AB$2:$AB$495&gt;=4)*('CONTROL MASTER'!$AA$2:$AA$495&lt;=10)*('CONTROL MASTER'!$AC$2:$AC$495&gt;=10))*ROW('CONTROL MASTER'!$S$2:$S$495))-(ROW('CONTROL MASTER'!#REF!)-1)))+((4-INDEX('CONTROL MASTER'!$Z$2:$Z$495,(SUMPRODUCT((('CONTROL MASTER'!$S$2:$S$495=10)*('CONTROL MASTER'!$Z$2:$Z$495&lt;=4)*('CONTROL MASTER'!$AB$2:$AB$495&gt;=4)*('CONTROL MASTER'!$AA$2:$AA$495&lt;=10)*('CONTROL MASTER'!$AC$2:$AC$495&gt;=10))*ROW('CONTROL MASTER'!$S$2:$S$495))-(ROW('CONTROL MASTER'!#REF!)-1))))*(INDEX('CONTROL MASTER'!$AC$2:$AC$495,(SUMPRODUCT((('CONTROL MASTER'!$S$2:$S$495=10)*('CONTROL MASTER'!$Z$2:$Z$495&lt;=4)*('CONTROL MASTER'!$AB$2:$AB$495&gt;=4)*('CONTROL MASTER'!$AA$2:$AA$495&lt;=10)*('CONTROL MASTER'!$AC$2:$AC$495&gt;=10))*ROW('CONTROL MASTER'!$S$2:$S$495))-(ROW('CONTROL MASTER'!#REF!)-1)))-INDEX('CONTROL MASTER'!$AA$2:$AA$495,(SUMPRODUCT((('CONTROL MASTER'!$S$2:$S$495=10)*('CONTROL MASTER'!$Z$2:$Z$495&lt;=4)*('CONTROL MASTER'!$AB$2:$AB$495&gt;=4)*('CONTROL MASTER'!$AA$2:$AA$495&lt;=10)*('CONTROL MASTER'!$AC$2:$AC$495&gt;=10))*ROW('CONTROL MASTER'!$S$2:$S$495))-(ROW('CONTROL MASTER'!#REF!)-1)))+1)+(10-INDEX('CONTROL MASTER'!$AA$2:$AA$495,(SUMPRODUCT((('CONTROL MASTER'!$S$2:$S$495=10)*('CONTROL MASTER'!$Z$2:$Z$495&lt;=4)*('CONTROL MASTER'!$AB$2:$AB$495&gt;=4)*('CONTROL MASTER'!$AA$2:$AA$495&lt;=10)*('CONTROL MASTER'!$AC$2:$AC$495&gt;=10))*ROW('CONTROL MASTER'!$S$2:$S$495))-(ROW('CONTROL MASTER'!#REF!)-1))))+1)))-1)*50+1,50))&amp;"_"&amp;INDEX('CONTROL MASTER'!$P$2:$P$495,(SUMPRODUCT((('CONTROL MASTER'!$S$2:$S$495=10)*('CONTROL MASTER'!$Z$2:$Z$495&lt;=4)*('CONTROL MASTER'!$AB$2:$AB$495&gt;=4)*('CONTROL MASTER'!$AA$2:$AA$495&lt;=10)*('CONTROL MASTER'!$AC$2:$AC$495&gt;=10))*ROW('CONTROL MASTER'!$S$2:$S$495))-(ROW('CONTROL MASTER'!#REF!)-1))),"")),"")</f>
        <v/>
      </c>
    </row>
    <row r="133" spans="1:11" ht="15" customHeight="1" x14ac:dyDescent="0.35">
      <c r="A133" s="8" t="s">
        <v>32</v>
      </c>
      <c r="B133" s="10" t="str">
        <f>IFERROR(IF(SUMPRODUCT((('CONTROL MASTER'!$S$2:$S$495=10)*('CONTROL MASTER'!$T$2:$T$495&lt;=5)*('CONTROL MASTER'!$V$2:$V$495&gt;=5)*('CONTROL MASTER'!$U$2:$U$495&lt;=1)*('CONTROL MASTER'!$W$2:$W$495&gt;=1))*ROW('CONTROL MASTER'!$S$2:$S$495))&gt;0,INDEX('CONTROL MASTER'!$X$2:$X$495,(SUMPRODUCT((('CONTROL MASTER'!$S$2:$S$495=10)*('CONTROL MASTER'!$T$2:$T$495&lt;=5)*('CONTROL MASTER'!$V$2:$V$495&gt;=5)*('CONTROL MASTER'!$U$2:$U$495&lt;=1)*('CONTROL MASTER'!$W$2:$W$495&gt;=1))*ROW('CONTROL MASTER'!$S$2:$S$495))-(ROW('CONTROL MASTER'!#REF!)-1)))&amp;TRIM(MID(SUBSTITUTE(SUBSTITUTE(INDEX('CONTROL MASTER'!$N$2:$N$495,(SUMPRODUCT((('CONTROL MASTER'!$S$2:$S$495=10)*('CONTROL MASTER'!$T$2:$T$495&lt;=5)*('CONTROL MASTER'!$V$2:$V$495&gt;=5)*('CONTROL MASTER'!$U$2:$U$495&lt;=1)*('CONTROL MASTER'!$W$2:$W$495&gt;=1))*ROW('CONTROL MASTER'!$S$2:$S$495))-(ROW('CONTROL MASTER'!#REF!)-1))),":",","),",",REPT(" ",50)),((((5-INDEX('CONTROL MASTER'!$T$2:$T$495,(SUMPRODUCT((('CONTROL MASTER'!$S$2:$S$495=10)*('CONTROL MASTER'!$T$2:$T$495&lt;=5)*('CONTROL MASTER'!$V$2:$V$495&gt;=5)*('CONTROL MASTER'!$U$2:$U$495&lt;=1)*('CONTROL MASTER'!$W$2:$W$495&gt;=1))*ROW('CONTROL MASTER'!$S$2:$S$495))-(ROW('CONTROL MASTER'!#REF!)-1))))*(INDEX('CONTROL MASTER'!$W$2:$W$495,(SUMPRODUCT((('CONTROL MASTER'!$S$2:$S$495=10)*('CONTROL MASTER'!$T$2:$T$495&lt;=5)*('CONTROL MASTER'!$V$2:$V$495&gt;=5)*('CONTROL MASTER'!$U$2:$U$495&lt;=1)*('CONTROL MASTER'!$W$2:$W$495&gt;=1))*ROW('CONTROL MASTER'!$S$2:$S$495))-(ROW('CONTROL MASTER'!#REF!)-1)))-INDEX('CONTROL MASTER'!$U$2:$U$495,(SUMPRODUCT((('CONTROL MASTER'!$S$2:$S$495=10)*('CONTROL MASTER'!$T$2:$T$495&lt;=5)*('CONTROL MASTER'!$V$2:$V$495&gt;=5)*('CONTROL MASTER'!$U$2:$U$495&lt;=1)*('CONTROL MASTER'!$W$2:$W$495&gt;=1))*ROW('CONTROL MASTER'!$S$2:$S$495))-(ROW('CONTROL MASTER'!#REF!)-1)))+1)+(1-INDEX('CONTROL MASTER'!$U$2:$U$495,(SUMPRODUCT((('CONTROL MASTER'!$S$2:$S$495=10)*('CONTROL MASTER'!$T$2:$T$495&lt;=5)*('CONTROL MASTER'!$V$2:$V$495&gt;=5)*('CONTROL MASTER'!$U$2:$U$495&lt;=1)*('CONTROL MASTER'!$W$2:$W$495&gt;=1))*ROW('CONTROL MASTER'!$S$2:$S$495))-(ROW('CONTROL MASTER'!#REF!)-1))))+1))-1)*50+1,50))&amp;"_"&amp;INDEX('CONTROL MASTER'!$P$2:$P$495,(SUMPRODUCT((('CONTROL MASTER'!$S$2:$S$495=10)*('CONTROL MASTER'!$T$2:$T$495&lt;=5)*('CONTROL MASTER'!$V$2:$V$495&gt;=5)*('CONTROL MASTER'!$U$2:$U$495&lt;=1)*('CONTROL MASTER'!$W$2:$W$495&gt;=1))*ROW('CONTROL MASTER'!$S$2:$S$495))-(ROW('CONTROL MASTER'!#REF!)-1))),IF(SUMPRODUCT((('CONTROL MASTER'!$S$2:$S$495=10)*('CONTROL MASTER'!$Z$2:$Z$495&lt;=5)*('CONTROL MASTER'!$AB$2:$AB$495&gt;=5)*('CONTROL MASTER'!$AA$2:$AA$495&lt;=1)*('CONTROL MASTER'!$AC$2:$AC$495&gt;=1))*ROW('CONTROL MASTER'!$S$2:$S$495))&gt;0,INDEX('CONTROL MASTER'!$X$2:$X$495,(SUMPRODUCT((('CONTROL MASTER'!$S$2:$S$495=10)*('CONTROL MASTER'!$Z$2:$Z$495&lt;=5)*('CONTROL MASTER'!$AB$2:$AB$495&gt;=5)*('CONTROL MASTER'!$AA$2:$AA$495&lt;=1)*('CONTROL MASTER'!$AC$2:$AC$495&gt;=1))*ROW('CONTROL MASTER'!$S$2:$S$495))-(ROW('CONTROL MASTER'!#REF!)-1)))&amp;TRIM(MID(SUBSTITUTE(SUBSTITUTE(INDEX('CONTROL MASTER'!$N$2:$N$495,(SUMPRODUCT((('CONTROL MASTER'!$S$2:$S$495=10)*('CONTROL MASTER'!$Z$2:$Z$495&lt;=5)*('CONTROL MASTER'!$AB$2:$AB$495&gt;=5)*('CONTROL MASTER'!$AA$2:$AA$495&lt;=1)*('CONTROL MASTER'!$AC$2:$AC$495&gt;=1))*ROW('CONTROL MASTER'!$S$2:$S$495))-(ROW('CONTROL MASTER'!#REF!)-1))),":",","),",",REPT(" ",50)),(((INDEX('CONTROL MASTER'!$Y$2:$Y$495,(SUMPRODUCT((('CONTROL MASTER'!$S$2:$S$495=10)*('CONTROL MASTER'!$Z$2:$Z$495&lt;=5)*('CONTROL MASTER'!$AB$2:$AB$495&gt;=5)*('CONTROL MASTER'!$AA$2:$AA$495&lt;=1)*('CONTROL MASTER'!$AC$2:$AC$495&gt;=1))*ROW('CONTROL MASTER'!$S$2:$S$495))-(ROW('CONTROL MASTER'!#REF!)-1)))+((5-INDEX('CONTROL MASTER'!$Z$2:$Z$495,(SUMPRODUCT((('CONTROL MASTER'!$S$2:$S$495=10)*('CONTROL MASTER'!$Z$2:$Z$495&lt;=5)*('CONTROL MASTER'!$AB$2:$AB$495&gt;=5)*('CONTROL MASTER'!$AA$2:$AA$495&lt;=1)*('CONTROL MASTER'!$AC$2:$AC$495&gt;=1))*ROW('CONTROL MASTER'!$S$2:$S$495))-(ROW('CONTROL MASTER'!#REF!)-1))))*(INDEX('CONTROL MASTER'!$AC$2:$AC$495,(SUMPRODUCT((('CONTROL MASTER'!$S$2:$S$495=10)*('CONTROL MASTER'!$Z$2:$Z$495&lt;=5)*('CONTROL MASTER'!$AB$2:$AB$495&gt;=5)*('CONTROL MASTER'!$AA$2:$AA$495&lt;=1)*('CONTROL MASTER'!$AC$2:$AC$495&gt;=1))*ROW('CONTROL MASTER'!$S$2:$S$495))-(ROW('CONTROL MASTER'!#REF!)-1)))-INDEX('CONTROL MASTER'!$AA$2:$AA$495,(SUMPRODUCT((('CONTROL MASTER'!$S$2:$S$495=10)*('CONTROL MASTER'!$Z$2:$Z$495&lt;=5)*('CONTROL MASTER'!$AB$2:$AB$495&gt;=5)*('CONTROL MASTER'!$AA$2:$AA$495&lt;=1)*('CONTROL MASTER'!$AC$2:$AC$495&gt;=1))*ROW('CONTROL MASTER'!$S$2:$S$495))-(ROW('CONTROL MASTER'!#REF!)-1)))+1)+(1-INDEX('CONTROL MASTER'!$AA$2:$AA$495,(SUMPRODUCT((('CONTROL MASTER'!$S$2:$S$495=10)*('CONTROL MASTER'!$Z$2:$Z$495&lt;=5)*('CONTROL MASTER'!$AB$2:$AB$495&gt;=5)*('CONTROL MASTER'!$AA$2:$AA$495&lt;=1)*('CONTROL MASTER'!$AC$2:$AC$495&gt;=1))*ROW('CONTROL MASTER'!$S$2:$S$495))-(ROW('CONTROL MASTER'!#REF!)-1))))+1)))-1)*50+1,50))&amp;"_"&amp;INDEX('CONTROL MASTER'!$P$2:$P$495,(SUMPRODUCT((('CONTROL MASTER'!$S$2:$S$495=10)*('CONTROL MASTER'!$Z$2:$Z$495&lt;=5)*('CONTROL MASTER'!$AB$2:$AB$495&gt;=5)*('CONTROL MASTER'!$AA$2:$AA$495&lt;=1)*('CONTROL MASTER'!$AC$2:$AC$495&gt;=1))*ROW('CONTROL MASTER'!$S$2:$S$495))-(ROW('CONTROL MASTER'!#REF!)-1))),"")),"")</f>
        <v/>
      </c>
      <c r="C133" s="10" t="str">
        <f>IFERROR(IF(SUMPRODUCT((('CONTROL MASTER'!$S$2:$S$495=10)*('CONTROL MASTER'!$T$2:$T$495&lt;=5)*('CONTROL MASTER'!$V$2:$V$495&gt;=5)*('CONTROL MASTER'!$U$2:$U$495&lt;=2)*('CONTROL MASTER'!$W$2:$W$495&gt;=2))*ROW('CONTROL MASTER'!$S$2:$S$495))&gt;0,INDEX('CONTROL MASTER'!$X$2:$X$495,(SUMPRODUCT((('CONTROL MASTER'!$S$2:$S$495=10)*('CONTROL MASTER'!$T$2:$T$495&lt;=5)*('CONTROL MASTER'!$V$2:$V$495&gt;=5)*('CONTROL MASTER'!$U$2:$U$495&lt;=2)*('CONTROL MASTER'!$W$2:$W$495&gt;=2))*ROW('CONTROL MASTER'!$S$2:$S$495))-(ROW('CONTROL MASTER'!#REF!)-1)))&amp;TRIM(MID(SUBSTITUTE(SUBSTITUTE(INDEX('CONTROL MASTER'!$N$2:$N$495,(SUMPRODUCT((('CONTROL MASTER'!$S$2:$S$495=10)*('CONTROL MASTER'!$T$2:$T$495&lt;=5)*('CONTROL MASTER'!$V$2:$V$495&gt;=5)*('CONTROL MASTER'!$U$2:$U$495&lt;=2)*('CONTROL MASTER'!$W$2:$W$495&gt;=2))*ROW('CONTROL MASTER'!$S$2:$S$495))-(ROW('CONTROL MASTER'!#REF!)-1))),":",","),",",REPT(" ",50)),((((5-INDEX('CONTROL MASTER'!$T$2:$T$495,(SUMPRODUCT((('CONTROL MASTER'!$S$2:$S$495=10)*('CONTROL MASTER'!$T$2:$T$495&lt;=5)*('CONTROL MASTER'!$V$2:$V$495&gt;=5)*('CONTROL MASTER'!$U$2:$U$495&lt;=2)*('CONTROL MASTER'!$W$2:$W$495&gt;=2))*ROW('CONTROL MASTER'!$S$2:$S$495))-(ROW('CONTROL MASTER'!#REF!)-1))))*(INDEX('CONTROL MASTER'!$W$2:$W$495,(SUMPRODUCT((('CONTROL MASTER'!$S$2:$S$495=10)*('CONTROL MASTER'!$T$2:$T$495&lt;=5)*('CONTROL MASTER'!$V$2:$V$495&gt;=5)*('CONTROL MASTER'!$U$2:$U$495&lt;=2)*('CONTROL MASTER'!$W$2:$W$495&gt;=2))*ROW('CONTROL MASTER'!$S$2:$S$495))-(ROW('CONTROL MASTER'!#REF!)-1)))-INDEX('CONTROL MASTER'!$U$2:$U$495,(SUMPRODUCT((('CONTROL MASTER'!$S$2:$S$495=10)*('CONTROL MASTER'!$T$2:$T$495&lt;=5)*('CONTROL MASTER'!$V$2:$V$495&gt;=5)*('CONTROL MASTER'!$U$2:$U$495&lt;=2)*('CONTROL MASTER'!$W$2:$W$495&gt;=2))*ROW('CONTROL MASTER'!$S$2:$S$495))-(ROW('CONTROL MASTER'!#REF!)-1)))+1)+(2-INDEX('CONTROL MASTER'!$U$2:$U$495,(SUMPRODUCT((('CONTROL MASTER'!$S$2:$S$495=10)*('CONTROL MASTER'!$T$2:$T$495&lt;=5)*('CONTROL MASTER'!$V$2:$V$495&gt;=5)*('CONTROL MASTER'!$U$2:$U$495&lt;=2)*('CONTROL MASTER'!$W$2:$W$495&gt;=2))*ROW('CONTROL MASTER'!$S$2:$S$495))-(ROW('CONTROL MASTER'!#REF!)-1))))+1))-1)*50+1,50))&amp;"_"&amp;INDEX('CONTROL MASTER'!$P$2:$P$495,(SUMPRODUCT((('CONTROL MASTER'!$S$2:$S$495=10)*('CONTROL MASTER'!$T$2:$T$495&lt;=5)*('CONTROL MASTER'!$V$2:$V$495&gt;=5)*('CONTROL MASTER'!$U$2:$U$495&lt;=2)*('CONTROL MASTER'!$W$2:$W$495&gt;=2))*ROW('CONTROL MASTER'!$S$2:$S$495))-(ROW('CONTROL MASTER'!#REF!)-1))),IF(SUMPRODUCT((('CONTROL MASTER'!$S$2:$S$495=10)*('CONTROL MASTER'!$Z$2:$Z$495&lt;=5)*('CONTROL MASTER'!$AB$2:$AB$495&gt;=5)*('CONTROL MASTER'!$AA$2:$AA$495&lt;=2)*('CONTROL MASTER'!$AC$2:$AC$495&gt;=2))*ROW('CONTROL MASTER'!$S$2:$S$495))&gt;0,INDEX('CONTROL MASTER'!$X$2:$X$495,(SUMPRODUCT((('CONTROL MASTER'!$S$2:$S$495=10)*('CONTROL MASTER'!$Z$2:$Z$495&lt;=5)*('CONTROL MASTER'!$AB$2:$AB$495&gt;=5)*('CONTROL MASTER'!$AA$2:$AA$495&lt;=2)*('CONTROL MASTER'!$AC$2:$AC$495&gt;=2))*ROW('CONTROL MASTER'!$S$2:$S$495))-(ROW('CONTROL MASTER'!#REF!)-1)))&amp;TRIM(MID(SUBSTITUTE(SUBSTITUTE(INDEX('CONTROL MASTER'!$N$2:$N$495,(SUMPRODUCT((('CONTROL MASTER'!$S$2:$S$495=10)*('CONTROL MASTER'!$Z$2:$Z$495&lt;=5)*('CONTROL MASTER'!$AB$2:$AB$495&gt;=5)*('CONTROL MASTER'!$AA$2:$AA$495&lt;=2)*('CONTROL MASTER'!$AC$2:$AC$495&gt;=2))*ROW('CONTROL MASTER'!$S$2:$S$495))-(ROW('CONTROL MASTER'!#REF!)-1))),":",","),",",REPT(" ",50)),(((INDEX('CONTROL MASTER'!$Y$2:$Y$495,(SUMPRODUCT((('CONTROL MASTER'!$S$2:$S$495=10)*('CONTROL MASTER'!$Z$2:$Z$495&lt;=5)*('CONTROL MASTER'!$AB$2:$AB$495&gt;=5)*('CONTROL MASTER'!$AA$2:$AA$495&lt;=2)*('CONTROL MASTER'!$AC$2:$AC$495&gt;=2))*ROW('CONTROL MASTER'!$S$2:$S$495))-(ROW('CONTROL MASTER'!#REF!)-1)))+((5-INDEX('CONTROL MASTER'!$Z$2:$Z$495,(SUMPRODUCT((('CONTROL MASTER'!$S$2:$S$495=10)*('CONTROL MASTER'!$Z$2:$Z$495&lt;=5)*('CONTROL MASTER'!$AB$2:$AB$495&gt;=5)*('CONTROL MASTER'!$AA$2:$AA$495&lt;=2)*('CONTROL MASTER'!$AC$2:$AC$495&gt;=2))*ROW('CONTROL MASTER'!$S$2:$S$495))-(ROW('CONTROL MASTER'!#REF!)-1))))*(INDEX('CONTROL MASTER'!$AC$2:$AC$495,(SUMPRODUCT((('CONTROL MASTER'!$S$2:$S$495=10)*('CONTROL MASTER'!$Z$2:$Z$495&lt;=5)*('CONTROL MASTER'!$AB$2:$AB$495&gt;=5)*('CONTROL MASTER'!$AA$2:$AA$495&lt;=2)*('CONTROL MASTER'!$AC$2:$AC$495&gt;=2))*ROW('CONTROL MASTER'!$S$2:$S$495))-(ROW('CONTROL MASTER'!#REF!)-1)))-INDEX('CONTROL MASTER'!$AA$2:$AA$495,(SUMPRODUCT((('CONTROL MASTER'!$S$2:$S$495=10)*('CONTROL MASTER'!$Z$2:$Z$495&lt;=5)*('CONTROL MASTER'!$AB$2:$AB$495&gt;=5)*('CONTROL MASTER'!$AA$2:$AA$495&lt;=2)*('CONTROL MASTER'!$AC$2:$AC$495&gt;=2))*ROW('CONTROL MASTER'!$S$2:$S$495))-(ROW('CONTROL MASTER'!#REF!)-1)))+1)+(2-INDEX('CONTROL MASTER'!$AA$2:$AA$495,(SUMPRODUCT((('CONTROL MASTER'!$S$2:$S$495=10)*('CONTROL MASTER'!$Z$2:$Z$495&lt;=5)*('CONTROL MASTER'!$AB$2:$AB$495&gt;=5)*('CONTROL MASTER'!$AA$2:$AA$495&lt;=2)*('CONTROL MASTER'!$AC$2:$AC$495&gt;=2))*ROW('CONTROL MASTER'!$S$2:$S$495))-(ROW('CONTROL MASTER'!#REF!)-1))))+1)))-1)*50+1,50))&amp;"_"&amp;INDEX('CONTROL MASTER'!$P$2:$P$495,(SUMPRODUCT((('CONTROL MASTER'!$S$2:$S$495=10)*('CONTROL MASTER'!$Z$2:$Z$495&lt;=5)*('CONTROL MASTER'!$AB$2:$AB$495&gt;=5)*('CONTROL MASTER'!$AA$2:$AA$495&lt;=2)*('CONTROL MASTER'!$AC$2:$AC$495&gt;=2))*ROW('CONTROL MASTER'!$S$2:$S$495))-(ROW('CONTROL MASTER'!#REF!)-1))),"")),"")</f>
        <v/>
      </c>
      <c r="D133" s="10" t="str">
        <f>IFERROR(IF(SUMPRODUCT((('CONTROL MASTER'!$S$2:$S$495=10)*('CONTROL MASTER'!$T$2:$T$495&lt;=5)*('CONTROL MASTER'!$V$2:$V$495&gt;=5)*('CONTROL MASTER'!$U$2:$U$495&lt;=3)*('CONTROL MASTER'!$W$2:$W$495&gt;=3))*ROW('CONTROL MASTER'!$S$2:$S$495))&gt;0,INDEX('CONTROL MASTER'!$X$2:$X$495,(SUMPRODUCT((('CONTROL MASTER'!$S$2:$S$495=10)*('CONTROL MASTER'!$T$2:$T$495&lt;=5)*('CONTROL MASTER'!$V$2:$V$495&gt;=5)*('CONTROL MASTER'!$U$2:$U$495&lt;=3)*('CONTROL MASTER'!$W$2:$W$495&gt;=3))*ROW('CONTROL MASTER'!$S$2:$S$495))-(ROW('CONTROL MASTER'!#REF!)-1)))&amp;TRIM(MID(SUBSTITUTE(SUBSTITUTE(INDEX('CONTROL MASTER'!$N$2:$N$495,(SUMPRODUCT((('CONTROL MASTER'!$S$2:$S$495=10)*('CONTROL MASTER'!$T$2:$T$495&lt;=5)*('CONTROL MASTER'!$V$2:$V$495&gt;=5)*('CONTROL MASTER'!$U$2:$U$495&lt;=3)*('CONTROL MASTER'!$W$2:$W$495&gt;=3))*ROW('CONTROL MASTER'!$S$2:$S$495))-(ROW('CONTROL MASTER'!#REF!)-1))),":",","),",",REPT(" ",50)),((((5-INDEX('CONTROL MASTER'!$T$2:$T$495,(SUMPRODUCT((('CONTROL MASTER'!$S$2:$S$495=10)*('CONTROL MASTER'!$T$2:$T$495&lt;=5)*('CONTROL MASTER'!$V$2:$V$495&gt;=5)*('CONTROL MASTER'!$U$2:$U$495&lt;=3)*('CONTROL MASTER'!$W$2:$W$495&gt;=3))*ROW('CONTROL MASTER'!$S$2:$S$495))-(ROW('CONTROL MASTER'!#REF!)-1))))*(INDEX('CONTROL MASTER'!$W$2:$W$495,(SUMPRODUCT((('CONTROL MASTER'!$S$2:$S$495=10)*('CONTROL MASTER'!$T$2:$T$495&lt;=5)*('CONTROL MASTER'!$V$2:$V$495&gt;=5)*('CONTROL MASTER'!$U$2:$U$495&lt;=3)*('CONTROL MASTER'!$W$2:$W$495&gt;=3))*ROW('CONTROL MASTER'!$S$2:$S$495))-(ROW('CONTROL MASTER'!#REF!)-1)))-INDEX('CONTROL MASTER'!$U$2:$U$495,(SUMPRODUCT((('CONTROL MASTER'!$S$2:$S$495=10)*('CONTROL MASTER'!$T$2:$T$495&lt;=5)*('CONTROL MASTER'!$V$2:$V$495&gt;=5)*('CONTROL MASTER'!$U$2:$U$495&lt;=3)*('CONTROL MASTER'!$W$2:$W$495&gt;=3))*ROW('CONTROL MASTER'!$S$2:$S$495))-(ROW('CONTROL MASTER'!#REF!)-1)))+1)+(3-INDEX('CONTROL MASTER'!$U$2:$U$495,(SUMPRODUCT((('CONTROL MASTER'!$S$2:$S$495=10)*('CONTROL MASTER'!$T$2:$T$495&lt;=5)*('CONTROL MASTER'!$V$2:$V$495&gt;=5)*('CONTROL MASTER'!$U$2:$U$495&lt;=3)*('CONTROL MASTER'!$W$2:$W$495&gt;=3))*ROW('CONTROL MASTER'!$S$2:$S$495))-(ROW('CONTROL MASTER'!#REF!)-1))))+1))-1)*50+1,50))&amp;"_"&amp;INDEX('CONTROL MASTER'!$P$2:$P$495,(SUMPRODUCT((('CONTROL MASTER'!$S$2:$S$495=10)*('CONTROL MASTER'!$T$2:$T$495&lt;=5)*('CONTROL MASTER'!$V$2:$V$495&gt;=5)*('CONTROL MASTER'!$U$2:$U$495&lt;=3)*('CONTROL MASTER'!$W$2:$W$495&gt;=3))*ROW('CONTROL MASTER'!$S$2:$S$495))-(ROW('CONTROL MASTER'!#REF!)-1))),IF(SUMPRODUCT((('CONTROL MASTER'!$S$2:$S$495=10)*('CONTROL MASTER'!$Z$2:$Z$495&lt;=5)*('CONTROL MASTER'!$AB$2:$AB$495&gt;=5)*('CONTROL MASTER'!$AA$2:$AA$495&lt;=3)*('CONTROL MASTER'!$AC$2:$AC$495&gt;=3))*ROW('CONTROL MASTER'!$S$2:$S$495))&gt;0,INDEX('CONTROL MASTER'!$X$2:$X$495,(SUMPRODUCT((('CONTROL MASTER'!$S$2:$S$495=10)*('CONTROL MASTER'!$Z$2:$Z$495&lt;=5)*('CONTROL MASTER'!$AB$2:$AB$495&gt;=5)*('CONTROL MASTER'!$AA$2:$AA$495&lt;=3)*('CONTROL MASTER'!$AC$2:$AC$495&gt;=3))*ROW('CONTROL MASTER'!$S$2:$S$495))-(ROW('CONTROL MASTER'!#REF!)-1)))&amp;TRIM(MID(SUBSTITUTE(SUBSTITUTE(INDEX('CONTROL MASTER'!$N$2:$N$495,(SUMPRODUCT((('CONTROL MASTER'!$S$2:$S$495=10)*('CONTROL MASTER'!$Z$2:$Z$495&lt;=5)*('CONTROL MASTER'!$AB$2:$AB$495&gt;=5)*('CONTROL MASTER'!$AA$2:$AA$495&lt;=3)*('CONTROL MASTER'!$AC$2:$AC$495&gt;=3))*ROW('CONTROL MASTER'!$S$2:$S$495))-(ROW('CONTROL MASTER'!#REF!)-1))),":",","),",",REPT(" ",50)),(((INDEX('CONTROL MASTER'!$Y$2:$Y$495,(SUMPRODUCT((('CONTROL MASTER'!$S$2:$S$495=10)*('CONTROL MASTER'!$Z$2:$Z$495&lt;=5)*('CONTROL MASTER'!$AB$2:$AB$495&gt;=5)*('CONTROL MASTER'!$AA$2:$AA$495&lt;=3)*('CONTROL MASTER'!$AC$2:$AC$495&gt;=3))*ROW('CONTROL MASTER'!$S$2:$S$495))-(ROW('CONTROL MASTER'!#REF!)-1)))+((5-INDEX('CONTROL MASTER'!$Z$2:$Z$495,(SUMPRODUCT((('CONTROL MASTER'!$S$2:$S$495=10)*('CONTROL MASTER'!$Z$2:$Z$495&lt;=5)*('CONTROL MASTER'!$AB$2:$AB$495&gt;=5)*('CONTROL MASTER'!$AA$2:$AA$495&lt;=3)*('CONTROL MASTER'!$AC$2:$AC$495&gt;=3))*ROW('CONTROL MASTER'!$S$2:$S$495))-(ROW('CONTROL MASTER'!#REF!)-1))))*(INDEX('CONTROL MASTER'!$AC$2:$AC$495,(SUMPRODUCT((('CONTROL MASTER'!$S$2:$S$495=10)*('CONTROL MASTER'!$Z$2:$Z$495&lt;=5)*('CONTROL MASTER'!$AB$2:$AB$495&gt;=5)*('CONTROL MASTER'!$AA$2:$AA$495&lt;=3)*('CONTROL MASTER'!$AC$2:$AC$495&gt;=3))*ROW('CONTROL MASTER'!$S$2:$S$495))-(ROW('CONTROL MASTER'!#REF!)-1)))-INDEX('CONTROL MASTER'!$AA$2:$AA$495,(SUMPRODUCT((('CONTROL MASTER'!$S$2:$S$495=10)*('CONTROL MASTER'!$Z$2:$Z$495&lt;=5)*('CONTROL MASTER'!$AB$2:$AB$495&gt;=5)*('CONTROL MASTER'!$AA$2:$AA$495&lt;=3)*('CONTROL MASTER'!$AC$2:$AC$495&gt;=3))*ROW('CONTROL MASTER'!$S$2:$S$495))-(ROW('CONTROL MASTER'!#REF!)-1)))+1)+(3-INDEX('CONTROL MASTER'!$AA$2:$AA$495,(SUMPRODUCT((('CONTROL MASTER'!$S$2:$S$495=10)*('CONTROL MASTER'!$Z$2:$Z$495&lt;=5)*('CONTROL MASTER'!$AB$2:$AB$495&gt;=5)*('CONTROL MASTER'!$AA$2:$AA$495&lt;=3)*('CONTROL MASTER'!$AC$2:$AC$495&gt;=3))*ROW('CONTROL MASTER'!$S$2:$S$495))-(ROW('CONTROL MASTER'!#REF!)-1))))+1)))-1)*50+1,50))&amp;"_"&amp;INDEX('CONTROL MASTER'!$P$2:$P$495,(SUMPRODUCT((('CONTROL MASTER'!$S$2:$S$495=10)*('CONTROL MASTER'!$Z$2:$Z$495&lt;=5)*('CONTROL MASTER'!$AB$2:$AB$495&gt;=5)*('CONTROL MASTER'!$AA$2:$AA$495&lt;=3)*('CONTROL MASTER'!$AC$2:$AC$495&gt;=3))*ROW('CONTROL MASTER'!$S$2:$S$495))-(ROW('CONTROL MASTER'!#REF!)-1))),"")),"")</f>
        <v/>
      </c>
      <c r="E133" s="10" t="str">
        <f>IFERROR(IF(SUMPRODUCT((('CONTROL MASTER'!$S$2:$S$495=10)*('CONTROL MASTER'!$T$2:$T$495&lt;=5)*('CONTROL MASTER'!$V$2:$V$495&gt;=5)*('CONTROL MASTER'!$U$2:$U$495&lt;=4)*('CONTROL MASTER'!$W$2:$W$495&gt;=4))*ROW('CONTROL MASTER'!$S$2:$S$495))&gt;0,INDEX('CONTROL MASTER'!$X$2:$X$495,(SUMPRODUCT((('CONTROL MASTER'!$S$2:$S$495=10)*('CONTROL MASTER'!$T$2:$T$495&lt;=5)*('CONTROL MASTER'!$V$2:$V$495&gt;=5)*('CONTROL MASTER'!$U$2:$U$495&lt;=4)*('CONTROL MASTER'!$W$2:$W$495&gt;=4))*ROW('CONTROL MASTER'!$S$2:$S$495))-(ROW('CONTROL MASTER'!#REF!)-1)))&amp;TRIM(MID(SUBSTITUTE(SUBSTITUTE(INDEX('CONTROL MASTER'!$N$2:$N$495,(SUMPRODUCT((('CONTROL MASTER'!$S$2:$S$495=10)*('CONTROL MASTER'!$T$2:$T$495&lt;=5)*('CONTROL MASTER'!$V$2:$V$495&gt;=5)*('CONTROL MASTER'!$U$2:$U$495&lt;=4)*('CONTROL MASTER'!$W$2:$W$495&gt;=4))*ROW('CONTROL MASTER'!$S$2:$S$495))-(ROW('CONTROL MASTER'!#REF!)-1))),":",","),",",REPT(" ",50)),((((5-INDEX('CONTROL MASTER'!$T$2:$T$495,(SUMPRODUCT((('CONTROL MASTER'!$S$2:$S$495=10)*('CONTROL MASTER'!$T$2:$T$495&lt;=5)*('CONTROL MASTER'!$V$2:$V$495&gt;=5)*('CONTROL MASTER'!$U$2:$U$495&lt;=4)*('CONTROL MASTER'!$W$2:$W$495&gt;=4))*ROW('CONTROL MASTER'!$S$2:$S$495))-(ROW('CONTROL MASTER'!#REF!)-1))))*(INDEX('CONTROL MASTER'!$W$2:$W$495,(SUMPRODUCT((('CONTROL MASTER'!$S$2:$S$495=10)*('CONTROL MASTER'!$T$2:$T$495&lt;=5)*('CONTROL MASTER'!$V$2:$V$495&gt;=5)*('CONTROL MASTER'!$U$2:$U$495&lt;=4)*('CONTROL MASTER'!$W$2:$W$495&gt;=4))*ROW('CONTROL MASTER'!$S$2:$S$495))-(ROW('CONTROL MASTER'!#REF!)-1)))-INDEX('CONTROL MASTER'!$U$2:$U$495,(SUMPRODUCT((('CONTROL MASTER'!$S$2:$S$495=10)*('CONTROL MASTER'!$T$2:$T$495&lt;=5)*('CONTROL MASTER'!$V$2:$V$495&gt;=5)*('CONTROL MASTER'!$U$2:$U$495&lt;=4)*('CONTROL MASTER'!$W$2:$W$495&gt;=4))*ROW('CONTROL MASTER'!$S$2:$S$495))-(ROW('CONTROL MASTER'!#REF!)-1)))+1)+(4-INDEX('CONTROL MASTER'!$U$2:$U$495,(SUMPRODUCT((('CONTROL MASTER'!$S$2:$S$495=10)*('CONTROL MASTER'!$T$2:$T$495&lt;=5)*('CONTROL MASTER'!$V$2:$V$495&gt;=5)*('CONTROL MASTER'!$U$2:$U$495&lt;=4)*('CONTROL MASTER'!$W$2:$W$495&gt;=4))*ROW('CONTROL MASTER'!$S$2:$S$495))-(ROW('CONTROL MASTER'!#REF!)-1))))+1))-1)*50+1,50))&amp;"_"&amp;INDEX('CONTROL MASTER'!$P$2:$P$495,(SUMPRODUCT((('CONTROL MASTER'!$S$2:$S$495=10)*('CONTROL MASTER'!$T$2:$T$495&lt;=5)*('CONTROL MASTER'!$V$2:$V$495&gt;=5)*('CONTROL MASTER'!$U$2:$U$495&lt;=4)*('CONTROL MASTER'!$W$2:$W$495&gt;=4))*ROW('CONTROL MASTER'!$S$2:$S$495))-(ROW('CONTROL MASTER'!#REF!)-1))),IF(SUMPRODUCT((('CONTROL MASTER'!$S$2:$S$495=10)*('CONTROL MASTER'!$Z$2:$Z$495&lt;=5)*('CONTROL MASTER'!$AB$2:$AB$495&gt;=5)*('CONTROL MASTER'!$AA$2:$AA$495&lt;=4)*('CONTROL MASTER'!$AC$2:$AC$495&gt;=4))*ROW('CONTROL MASTER'!$S$2:$S$495))&gt;0,INDEX('CONTROL MASTER'!$X$2:$X$495,(SUMPRODUCT((('CONTROL MASTER'!$S$2:$S$495=10)*('CONTROL MASTER'!$Z$2:$Z$495&lt;=5)*('CONTROL MASTER'!$AB$2:$AB$495&gt;=5)*('CONTROL MASTER'!$AA$2:$AA$495&lt;=4)*('CONTROL MASTER'!$AC$2:$AC$495&gt;=4))*ROW('CONTROL MASTER'!$S$2:$S$495))-(ROW('CONTROL MASTER'!#REF!)-1)))&amp;TRIM(MID(SUBSTITUTE(SUBSTITUTE(INDEX('CONTROL MASTER'!$N$2:$N$495,(SUMPRODUCT((('CONTROL MASTER'!$S$2:$S$495=10)*('CONTROL MASTER'!$Z$2:$Z$495&lt;=5)*('CONTROL MASTER'!$AB$2:$AB$495&gt;=5)*('CONTROL MASTER'!$AA$2:$AA$495&lt;=4)*('CONTROL MASTER'!$AC$2:$AC$495&gt;=4))*ROW('CONTROL MASTER'!$S$2:$S$495))-(ROW('CONTROL MASTER'!#REF!)-1))),":",","),",",REPT(" ",50)),(((INDEX('CONTROL MASTER'!$Y$2:$Y$495,(SUMPRODUCT((('CONTROL MASTER'!$S$2:$S$495=10)*('CONTROL MASTER'!$Z$2:$Z$495&lt;=5)*('CONTROL MASTER'!$AB$2:$AB$495&gt;=5)*('CONTROL MASTER'!$AA$2:$AA$495&lt;=4)*('CONTROL MASTER'!$AC$2:$AC$495&gt;=4))*ROW('CONTROL MASTER'!$S$2:$S$495))-(ROW('CONTROL MASTER'!#REF!)-1)))+((5-INDEX('CONTROL MASTER'!$Z$2:$Z$495,(SUMPRODUCT((('CONTROL MASTER'!$S$2:$S$495=10)*('CONTROL MASTER'!$Z$2:$Z$495&lt;=5)*('CONTROL MASTER'!$AB$2:$AB$495&gt;=5)*('CONTROL MASTER'!$AA$2:$AA$495&lt;=4)*('CONTROL MASTER'!$AC$2:$AC$495&gt;=4))*ROW('CONTROL MASTER'!$S$2:$S$495))-(ROW('CONTROL MASTER'!#REF!)-1))))*(INDEX('CONTROL MASTER'!$AC$2:$AC$495,(SUMPRODUCT((('CONTROL MASTER'!$S$2:$S$495=10)*('CONTROL MASTER'!$Z$2:$Z$495&lt;=5)*('CONTROL MASTER'!$AB$2:$AB$495&gt;=5)*('CONTROL MASTER'!$AA$2:$AA$495&lt;=4)*('CONTROL MASTER'!$AC$2:$AC$495&gt;=4))*ROW('CONTROL MASTER'!$S$2:$S$495))-(ROW('CONTROL MASTER'!#REF!)-1)))-INDEX('CONTROL MASTER'!$AA$2:$AA$495,(SUMPRODUCT((('CONTROL MASTER'!$S$2:$S$495=10)*('CONTROL MASTER'!$Z$2:$Z$495&lt;=5)*('CONTROL MASTER'!$AB$2:$AB$495&gt;=5)*('CONTROL MASTER'!$AA$2:$AA$495&lt;=4)*('CONTROL MASTER'!$AC$2:$AC$495&gt;=4))*ROW('CONTROL MASTER'!$S$2:$S$495))-(ROW('CONTROL MASTER'!#REF!)-1)))+1)+(4-INDEX('CONTROL MASTER'!$AA$2:$AA$495,(SUMPRODUCT((('CONTROL MASTER'!$S$2:$S$495=10)*('CONTROL MASTER'!$Z$2:$Z$495&lt;=5)*('CONTROL MASTER'!$AB$2:$AB$495&gt;=5)*('CONTROL MASTER'!$AA$2:$AA$495&lt;=4)*('CONTROL MASTER'!$AC$2:$AC$495&gt;=4))*ROW('CONTROL MASTER'!$S$2:$S$495))-(ROW('CONTROL MASTER'!#REF!)-1))))+1)))-1)*50+1,50))&amp;"_"&amp;INDEX('CONTROL MASTER'!$P$2:$P$495,(SUMPRODUCT((('CONTROL MASTER'!$S$2:$S$495=10)*('CONTROL MASTER'!$Z$2:$Z$495&lt;=5)*('CONTROL MASTER'!$AB$2:$AB$495&gt;=5)*('CONTROL MASTER'!$AA$2:$AA$495&lt;=4)*('CONTROL MASTER'!$AC$2:$AC$495&gt;=4))*ROW('CONTROL MASTER'!$S$2:$S$495))-(ROW('CONTROL MASTER'!#REF!)-1))),"")),"")</f>
        <v/>
      </c>
      <c r="F133" s="10" t="str">
        <f>IFERROR(IF(SUMPRODUCT((('CONTROL MASTER'!$S$2:$S$495=10)*('CONTROL MASTER'!$T$2:$T$495&lt;=5)*('CONTROL MASTER'!$V$2:$V$495&gt;=5)*('CONTROL MASTER'!$U$2:$U$495&lt;=5)*('CONTROL MASTER'!$W$2:$W$495&gt;=5))*ROW('CONTROL MASTER'!$S$2:$S$495))&gt;0,INDEX('CONTROL MASTER'!$X$2:$X$495,(SUMPRODUCT((('CONTROL MASTER'!$S$2:$S$495=10)*('CONTROL MASTER'!$T$2:$T$495&lt;=5)*('CONTROL MASTER'!$V$2:$V$495&gt;=5)*('CONTROL MASTER'!$U$2:$U$495&lt;=5)*('CONTROL MASTER'!$W$2:$W$495&gt;=5))*ROW('CONTROL MASTER'!$S$2:$S$495))-(ROW('CONTROL MASTER'!#REF!)-1)))&amp;TRIM(MID(SUBSTITUTE(SUBSTITUTE(INDEX('CONTROL MASTER'!$N$2:$N$495,(SUMPRODUCT((('CONTROL MASTER'!$S$2:$S$495=10)*('CONTROL MASTER'!$T$2:$T$495&lt;=5)*('CONTROL MASTER'!$V$2:$V$495&gt;=5)*('CONTROL MASTER'!$U$2:$U$495&lt;=5)*('CONTROL MASTER'!$W$2:$W$495&gt;=5))*ROW('CONTROL MASTER'!$S$2:$S$495))-(ROW('CONTROL MASTER'!#REF!)-1))),":",","),",",REPT(" ",50)),((((5-INDEX('CONTROL MASTER'!$T$2:$T$495,(SUMPRODUCT((('CONTROL MASTER'!$S$2:$S$495=10)*('CONTROL MASTER'!$T$2:$T$495&lt;=5)*('CONTROL MASTER'!$V$2:$V$495&gt;=5)*('CONTROL MASTER'!$U$2:$U$495&lt;=5)*('CONTROL MASTER'!$W$2:$W$495&gt;=5))*ROW('CONTROL MASTER'!$S$2:$S$495))-(ROW('CONTROL MASTER'!#REF!)-1))))*(INDEX('CONTROL MASTER'!$W$2:$W$495,(SUMPRODUCT((('CONTROL MASTER'!$S$2:$S$495=10)*('CONTROL MASTER'!$T$2:$T$495&lt;=5)*('CONTROL MASTER'!$V$2:$V$495&gt;=5)*('CONTROL MASTER'!$U$2:$U$495&lt;=5)*('CONTROL MASTER'!$W$2:$W$495&gt;=5))*ROW('CONTROL MASTER'!$S$2:$S$495))-(ROW('CONTROL MASTER'!#REF!)-1)))-INDEX('CONTROL MASTER'!$U$2:$U$495,(SUMPRODUCT((('CONTROL MASTER'!$S$2:$S$495=10)*('CONTROL MASTER'!$T$2:$T$495&lt;=5)*('CONTROL MASTER'!$V$2:$V$495&gt;=5)*('CONTROL MASTER'!$U$2:$U$495&lt;=5)*('CONTROL MASTER'!$W$2:$W$495&gt;=5))*ROW('CONTROL MASTER'!$S$2:$S$495))-(ROW('CONTROL MASTER'!#REF!)-1)))+1)+(5-INDEX('CONTROL MASTER'!$U$2:$U$495,(SUMPRODUCT((('CONTROL MASTER'!$S$2:$S$495=10)*('CONTROL MASTER'!$T$2:$T$495&lt;=5)*('CONTROL MASTER'!$V$2:$V$495&gt;=5)*('CONTROL MASTER'!$U$2:$U$495&lt;=5)*('CONTROL MASTER'!$W$2:$W$495&gt;=5))*ROW('CONTROL MASTER'!$S$2:$S$495))-(ROW('CONTROL MASTER'!#REF!)-1))))+1))-1)*50+1,50))&amp;"_"&amp;INDEX('CONTROL MASTER'!$P$2:$P$495,(SUMPRODUCT((('CONTROL MASTER'!$S$2:$S$495=10)*('CONTROL MASTER'!$T$2:$T$495&lt;=5)*('CONTROL MASTER'!$V$2:$V$495&gt;=5)*('CONTROL MASTER'!$U$2:$U$495&lt;=5)*('CONTROL MASTER'!$W$2:$W$495&gt;=5))*ROW('CONTROL MASTER'!$S$2:$S$495))-(ROW('CONTROL MASTER'!#REF!)-1))),IF(SUMPRODUCT((('CONTROL MASTER'!$S$2:$S$495=10)*('CONTROL MASTER'!$Z$2:$Z$495&lt;=5)*('CONTROL MASTER'!$AB$2:$AB$495&gt;=5)*('CONTROL MASTER'!$AA$2:$AA$495&lt;=5)*('CONTROL MASTER'!$AC$2:$AC$495&gt;=5))*ROW('CONTROL MASTER'!$S$2:$S$495))&gt;0,INDEX('CONTROL MASTER'!$X$2:$X$495,(SUMPRODUCT((('CONTROL MASTER'!$S$2:$S$495=10)*('CONTROL MASTER'!$Z$2:$Z$495&lt;=5)*('CONTROL MASTER'!$AB$2:$AB$495&gt;=5)*('CONTROL MASTER'!$AA$2:$AA$495&lt;=5)*('CONTROL MASTER'!$AC$2:$AC$495&gt;=5))*ROW('CONTROL MASTER'!$S$2:$S$495))-(ROW('CONTROL MASTER'!#REF!)-1)))&amp;TRIM(MID(SUBSTITUTE(SUBSTITUTE(INDEX('CONTROL MASTER'!$N$2:$N$495,(SUMPRODUCT((('CONTROL MASTER'!$S$2:$S$495=10)*('CONTROL MASTER'!$Z$2:$Z$495&lt;=5)*('CONTROL MASTER'!$AB$2:$AB$495&gt;=5)*('CONTROL MASTER'!$AA$2:$AA$495&lt;=5)*('CONTROL MASTER'!$AC$2:$AC$495&gt;=5))*ROW('CONTROL MASTER'!$S$2:$S$495))-(ROW('CONTROL MASTER'!#REF!)-1))),":",","),",",REPT(" ",50)),(((INDEX('CONTROL MASTER'!$Y$2:$Y$495,(SUMPRODUCT((('CONTROL MASTER'!$S$2:$S$495=10)*('CONTROL MASTER'!$Z$2:$Z$495&lt;=5)*('CONTROL MASTER'!$AB$2:$AB$495&gt;=5)*('CONTROL MASTER'!$AA$2:$AA$495&lt;=5)*('CONTROL MASTER'!$AC$2:$AC$495&gt;=5))*ROW('CONTROL MASTER'!$S$2:$S$495))-(ROW('CONTROL MASTER'!#REF!)-1)))+((5-INDEX('CONTROL MASTER'!$Z$2:$Z$495,(SUMPRODUCT((('CONTROL MASTER'!$S$2:$S$495=10)*('CONTROL MASTER'!$Z$2:$Z$495&lt;=5)*('CONTROL MASTER'!$AB$2:$AB$495&gt;=5)*('CONTROL MASTER'!$AA$2:$AA$495&lt;=5)*('CONTROL MASTER'!$AC$2:$AC$495&gt;=5))*ROW('CONTROL MASTER'!$S$2:$S$495))-(ROW('CONTROL MASTER'!#REF!)-1))))*(INDEX('CONTROL MASTER'!$AC$2:$AC$495,(SUMPRODUCT((('CONTROL MASTER'!$S$2:$S$495=10)*('CONTROL MASTER'!$Z$2:$Z$495&lt;=5)*('CONTROL MASTER'!$AB$2:$AB$495&gt;=5)*('CONTROL MASTER'!$AA$2:$AA$495&lt;=5)*('CONTROL MASTER'!$AC$2:$AC$495&gt;=5))*ROW('CONTROL MASTER'!$S$2:$S$495))-(ROW('CONTROL MASTER'!#REF!)-1)))-INDEX('CONTROL MASTER'!$AA$2:$AA$495,(SUMPRODUCT((('CONTROL MASTER'!$S$2:$S$495=10)*('CONTROL MASTER'!$Z$2:$Z$495&lt;=5)*('CONTROL MASTER'!$AB$2:$AB$495&gt;=5)*('CONTROL MASTER'!$AA$2:$AA$495&lt;=5)*('CONTROL MASTER'!$AC$2:$AC$495&gt;=5))*ROW('CONTROL MASTER'!$S$2:$S$495))-(ROW('CONTROL MASTER'!#REF!)-1)))+1)+(5-INDEX('CONTROL MASTER'!$AA$2:$AA$495,(SUMPRODUCT((('CONTROL MASTER'!$S$2:$S$495=10)*('CONTROL MASTER'!$Z$2:$Z$495&lt;=5)*('CONTROL MASTER'!$AB$2:$AB$495&gt;=5)*('CONTROL MASTER'!$AA$2:$AA$495&lt;=5)*('CONTROL MASTER'!$AC$2:$AC$495&gt;=5))*ROW('CONTROL MASTER'!$S$2:$S$495))-(ROW('CONTROL MASTER'!#REF!)-1))))+1)))-1)*50+1,50))&amp;"_"&amp;INDEX('CONTROL MASTER'!$P$2:$P$495,(SUMPRODUCT((('CONTROL MASTER'!$S$2:$S$495=10)*('CONTROL MASTER'!$Z$2:$Z$495&lt;=5)*('CONTROL MASTER'!$AB$2:$AB$495&gt;=5)*('CONTROL MASTER'!$AA$2:$AA$495&lt;=5)*('CONTROL MASTER'!$AC$2:$AC$495&gt;=5))*ROW('CONTROL MASTER'!$S$2:$S$495))-(ROW('CONTROL MASTER'!#REF!)-1))),"")),"")</f>
        <v/>
      </c>
      <c r="G133" s="10" t="str">
        <f>IFERROR(IF(SUMPRODUCT((('CONTROL MASTER'!$S$2:$S$495=10)*('CONTROL MASTER'!$T$2:$T$495&lt;=5)*('CONTROL MASTER'!$V$2:$V$495&gt;=5)*('CONTROL MASTER'!$U$2:$U$495&lt;=6)*('CONTROL MASTER'!$W$2:$W$495&gt;=6))*ROW('CONTROL MASTER'!$S$2:$S$495))&gt;0,INDEX('CONTROL MASTER'!$X$2:$X$495,(SUMPRODUCT((('CONTROL MASTER'!$S$2:$S$495=10)*('CONTROL MASTER'!$T$2:$T$495&lt;=5)*('CONTROL MASTER'!$V$2:$V$495&gt;=5)*('CONTROL MASTER'!$U$2:$U$495&lt;=6)*('CONTROL MASTER'!$W$2:$W$495&gt;=6))*ROW('CONTROL MASTER'!$S$2:$S$495))-(ROW('CONTROL MASTER'!#REF!)-1)))&amp;TRIM(MID(SUBSTITUTE(SUBSTITUTE(INDEX('CONTROL MASTER'!$N$2:$N$495,(SUMPRODUCT((('CONTROL MASTER'!$S$2:$S$495=10)*('CONTROL MASTER'!$T$2:$T$495&lt;=5)*('CONTROL MASTER'!$V$2:$V$495&gt;=5)*('CONTROL MASTER'!$U$2:$U$495&lt;=6)*('CONTROL MASTER'!$W$2:$W$495&gt;=6))*ROW('CONTROL MASTER'!$S$2:$S$495))-(ROW('CONTROL MASTER'!#REF!)-1))),":",","),",",REPT(" ",50)),((((5-INDEX('CONTROL MASTER'!$T$2:$T$495,(SUMPRODUCT((('CONTROL MASTER'!$S$2:$S$495=10)*('CONTROL MASTER'!$T$2:$T$495&lt;=5)*('CONTROL MASTER'!$V$2:$V$495&gt;=5)*('CONTROL MASTER'!$U$2:$U$495&lt;=6)*('CONTROL MASTER'!$W$2:$W$495&gt;=6))*ROW('CONTROL MASTER'!$S$2:$S$495))-(ROW('CONTROL MASTER'!#REF!)-1))))*(INDEX('CONTROL MASTER'!$W$2:$W$495,(SUMPRODUCT((('CONTROL MASTER'!$S$2:$S$495=10)*('CONTROL MASTER'!$T$2:$T$495&lt;=5)*('CONTROL MASTER'!$V$2:$V$495&gt;=5)*('CONTROL MASTER'!$U$2:$U$495&lt;=6)*('CONTROL MASTER'!$W$2:$W$495&gt;=6))*ROW('CONTROL MASTER'!$S$2:$S$495))-(ROW('CONTROL MASTER'!#REF!)-1)))-INDEX('CONTROL MASTER'!$U$2:$U$495,(SUMPRODUCT((('CONTROL MASTER'!$S$2:$S$495=10)*('CONTROL MASTER'!$T$2:$T$495&lt;=5)*('CONTROL MASTER'!$V$2:$V$495&gt;=5)*('CONTROL MASTER'!$U$2:$U$495&lt;=6)*('CONTROL MASTER'!$W$2:$W$495&gt;=6))*ROW('CONTROL MASTER'!$S$2:$S$495))-(ROW('CONTROL MASTER'!#REF!)-1)))+1)+(6-INDEX('CONTROL MASTER'!$U$2:$U$495,(SUMPRODUCT((('CONTROL MASTER'!$S$2:$S$495=10)*('CONTROL MASTER'!$T$2:$T$495&lt;=5)*('CONTROL MASTER'!$V$2:$V$495&gt;=5)*('CONTROL MASTER'!$U$2:$U$495&lt;=6)*('CONTROL MASTER'!$W$2:$W$495&gt;=6))*ROW('CONTROL MASTER'!$S$2:$S$495))-(ROW('CONTROL MASTER'!#REF!)-1))))+1))-1)*50+1,50))&amp;"_"&amp;INDEX('CONTROL MASTER'!$P$2:$P$495,(SUMPRODUCT((('CONTROL MASTER'!$S$2:$S$495=10)*('CONTROL MASTER'!$T$2:$T$495&lt;=5)*('CONTROL MASTER'!$V$2:$V$495&gt;=5)*('CONTROL MASTER'!$U$2:$U$495&lt;=6)*('CONTROL MASTER'!$W$2:$W$495&gt;=6))*ROW('CONTROL MASTER'!$S$2:$S$495))-(ROW('CONTROL MASTER'!#REF!)-1))),IF(SUMPRODUCT((('CONTROL MASTER'!$S$2:$S$495=10)*('CONTROL MASTER'!$Z$2:$Z$495&lt;=5)*('CONTROL MASTER'!$AB$2:$AB$495&gt;=5)*('CONTROL MASTER'!$AA$2:$AA$495&lt;=6)*('CONTROL MASTER'!$AC$2:$AC$495&gt;=6))*ROW('CONTROL MASTER'!$S$2:$S$495))&gt;0,INDEX('CONTROL MASTER'!$X$2:$X$495,(SUMPRODUCT((('CONTROL MASTER'!$S$2:$S$495=10)*('CONTROL MASTER'!$Z$2:$Z$495&lt;=5)*('CONTROL MASTER'!$AB$2:$AB$495&gt;=5)*('CONTROL MASTER'!$AA$2:$AA$495&lt;=6)*('CONTROL MASTER'!$AC$2:$AC$495&gt;=6))*ROW('CONTROL MASTER'!$S$2:$S$495))-(ROW('CONTROL MASTER'!#REF!)-1)))&amp;TRIM(MID(SUBSTITUTE(SUBSTITUTE(INDEX('CONTROL MASTER'!$N$2:$N$495,(SUMPRODUCT((('CONTROL MASTER'!$S$2:$S$495=10)*('CONTROL MASTER'!$Z$2:$Z$495&lt;=5)*('CONTROL MASTER'!$AB$2:$AB$495&gt;=5)*('CONTROL MASTER'!$AA$2:$AA$495&lt;=6)*('CONTROL MASTER'!$AC$2:$AC$495&gt;=6))*ROW('CONTROL MASTER'!$S$2:$S$495))-(ROW('CONTROL MASTER'!#REF!)-1))),":",","),",",REPT(" ",50)),(((INDEX('CONTROL MASTER'!$Y$2:$Y$495,(SUMPRODUCT((('CONTROL MASTER'!$S$2:$S$495=10)*('CONTROL MASTER'!$Z$2:$Z$495&lt;=5)*('CONTROL MASTER'!$AB$2:$AB$495&gt;=5)*('CONTROL MASTER'!$AA$2:$AA$495&lt;=6)*('CONTROL MASTER'!$AC$2:$AC$495&gt;=6))*ROW('CONTROL MASTER'!$S$2:$S$495))-(ROW('CONTROL MASTER'!#REF!)-1)))+((5-INDEX('CONTROL MASTER'!$Z$2:$Z$495,(SUMPRODUCT((('CONTROL MASTER'!$S$2:$S$495=10)*('CONTROL MASTER'!$Z$2:$Z$495&lt;=5)*('CONTROL MASTER'!$AB$2:$AB$495&gt;=5)*('CONTROL MASTER'!$AA$2:$AA$495&lt;=6)*('CONTROL MASTER'!$AC$2:$AC$495&gt;=6))*ROW('CONTROL MASTER'!$S$2:$S$495))-(ROW('CONTROL MASTER'!#REF!)-1))))*(INDEX('CONTROL MASTER'!$AC$2:$AC$495,(SUMPRODUCT((('CONTROL MASTER'!$S$2:$S$495=10)*('CONTROL MASTER'!$Z$2:$Z$495&lt;=5)*('CONTROL MASTER'!$AB$2:$AB$495&gt;=5)*('CONTROL MASTER'!$AA$2:$AA$495&lt;=6)*('CONTROL MASTER'!$AC$2:$AC$495&gt;=6))*ROW('CONTROL MASTER'!$S$2:$S$495))-(ROW('CONTROL MASTER'!#REF!)-1)))-INDEX('CONTROL MASTER'!$AA$2:$AA$495,(SUMPRODUCT((('CONTROL MASTER'!$S$2:$S$495=10)*('CONTROL MASTER'!$Z$2:$Z$495&lt;=5)*('CONTROL MASTER'!$AB$2:$AB$495&gt;=5)*('CONTROL MASTER'!$AA$2:$AA$495&lt;=6)*('CONTROL MASTER'!$AC$2:$AC$495&gt;=6))*ROW('CONTROL MASTER'!$S$2:$S$495))-(ROW('CONTROL MASTER'!#REF!)-1)))+1)+(6-INDEX('CONTROL MASTER'!$AA$2:$AA$495,(SUMPRODUCT((('CONTROL MASTER'!$S$2:$S$495=10)*('CONTROL MASTER'!$Z$2:$Z$495&lt;=5)*('CONTROL MASTER'!$AB$2:$AB$495&gt;=5)*('CONTROL MASTER'!$AA$2:$AA$495&lt;=6)*('CONTROL MASTER'!$AC$2:$AC$495&gt;=6))*ROW('CONTROL MASTER'!$S$2:$S$495))-(ROW('CONTROL MASTER'!#REF!)-1))))+1)))-1)*50+1,50))&amp;"_"&amp;INDEX('CONTROL MASTER'!$P$2:$P$495,(SUMPRODUCT((('CONTROL MASTER'!$S$2:$S$495=10)*('CONTROL MASTER'!$Z$2:$Z$495&lt;=5)*('CONTROL MASTER'!$AB$2:$AB$495&gt;=5)*('CONTROL MASTER'!$AA$2:$AA$495&lt;=6)*('CONTROL MASTER'!$AC$2:$AC$495&gt;=6))*ROW('CONTROL MASTER'!$S$2:$S$495))-(ROW('CONTROL MASTER'!#REF!)-1))),"")),"")</f>
        <v/>
      </c>
      <c r="H133" s="10" t="str">
        <f>IFERROR(IF(SUMPRODUCT((('CONTROL MASTER'!$S$2:$S$495=10)*('CONTROL MASTER'!$T$2:$T$495&lt;=5)*('CONTROL MASTER'!$V$2:$V$495&gt;=5)*('CONTROL MASTER'!$U$2:$U$495&lt;=7)*('CONTROL MASTER'!$W$2:$W$495&gt;=7))*ROW('CONTROL MASTER'!$S$2:$S$495))&gt;0,INDEX('CONTROL MASTER'!$X$2:$X$495,(SUMPRODUCT((('CONTROL MASTER'!$S$2:$S$495=10)*('CONTROL MASTER'!$T$2:$T$495&lt;=5)*('CONTROL MASTER'!$V$2:$V$495&gt;=5)*('CONTROL MASTER'!$U$2:$U$495&lt;=7)*('CONTROL MASTER'!$W$2:$W$495&gt;=7))*ROW('CONTROL MASTER'!$S$2:$S$495))-(ROW('CONTROL MASTER'!#REF!)-1)))&amp;TRIM(MID(SUBSTITUTE(SUBSTITUTE(INDEX('CONTROL MASTER'!$N$2:$N$495,(SUMPRODUCT((('CONTROL MASTER'!$S$2:$S$495=10)*('CONTROL MASTER'!$T$2:$T$495&lt;=5)*('CONTROL MASTER'!$V$2:$V$495&gt;=5)*('CONTROL MASTER'!$U$2:$U$495&lt;=7)*('CONTROL MASTER'!$W$2:$W$495&gt;=7))*ROW('CONTROL MASTER'!$S$2:$S$495))-(ROW('CONTROL MASTER'!#REF!)-1))),":",","),",",REPT(" ",50)),((((5-INDEX('CONTROL MASTER'!$T$2:$T$495,(SUMPRODUCT((('CONTROL MASTER'!$S$2:$S$495=10)*('CONTROL MASTER'!$T$2:$T$495&lt;=5)*('CONTROL MASTER'!$V$2:$V$495&gt;=5)*('CONTROL MASTER'!$U$2:$U$495&lt;=7)*('CONTROL MASTER'!$W$2:$W$495&gt;=7))*ROW('CONTROL MASTER'!$S$2:$S$495))-(ROW('CONTROL MASTER'!#REF!)-1))))*(INDEX('CONTROL MASTER'!$W$2:$W$495,(SUMPRODUCT((('CONTROL MASTER'!$S$2:$S$495=10)*('CONTROL MASTER'!$T$2:$T$495&lt;=5)*('CONTROL MASTER'!$V$2:$V$495&gt;=5)*('CONTROL MASTER'!$U$2:$U$495&lt;=7)*('CONTROL MASTER'!$W$2:$W$495&gt;=7))*ROW('CONTROL MASTER'!$S$2:$S$495))-(ROW('CONTROL MASTER'!#REF!)-1)))-INDEX('CONTROL MASTER'!$U$2:$U$495,(SUMPRODUCT((('CONTROL MASTER'!$S$2:$S$495=10)*('CONTROL MASTER'!$T$2:$T$495&lt;=5)*('CONTROL MASTER'!$V$2:$V$495&gt;=5)*('CONTROL MASTER'!$U$2:$U$495&lt;=7)*('CONTROL MASTER'!$W$2:$W$495&gt;=7))*ROW('CONTROL MASTER'!$S$2:$S$495))-(ROW('CONTROL MASTER'!#REF!)-1)))+1)+(7-INDEX('CONTROL MASTER'!$U$2:$U$495,(SUMPRODUCT((('CONTROL MASTER'!$S$2:$S$495=10)*('CONTROL MASTER'!$T$2:$T$495&lt;=5)*('CONTROL MASTER'!$V$2:$V$495&gt;=5)*('CONTROL MASTER'!$U$2:$U$495&lt;=7)*('CONTROL MASTER'!$W$2:$W$495&gt;=7))*ROW('CONTROL MASTER'!$S$2:$S$495))-(ROW('CONTROL MASTER'!#REF!)-1))))+1))-1)*50+1,50))&amp;"_"&amp;INDEX('CONTROL MASTER'!$P$2:$P$495,(SUMPRODUCT((('CONTROL MASTER'!$S$2:$S$495=10)*('CONTROL MASTER'!$T$2:$T$495&lt;=5)*('CONTROL MASTER'!$V$2:$V$495&gt;=5)*('CONTROL MASTER'!$U$2:$U$495&lt;=7)*('CONTROL MASTER'!$W$2:$W$495&gt;=7))*ROW('CONTROL MASTER'!$S$2:$S$495))-(ROW('CONTROL MASTER'!#REF!)-1))),IF(SUMPRODUCT((('CONTROL MASTER'!$S$2:$S$495=10)*('CONTROL MASTER'!$Z$2:$Z$495&lt;=5)*('CONTROL MASTER'!$AB$2:$AB$495&gt;=5)*('CONTROL MASTER'!$AA$2:$AA$495&lt;=7)*('CONTROL MASTER'!$AC$2:$AC$495&gt;=7))*ROW('CONTROL MASTER'!$S$2:$S$495))&gt;0,INDEX('CONTROL MASTER'!$X$2:$X$495,(SUMPRODUCT((('CONTROL MASTER'!$S$2:$S$495=10)*('CONTROL MASTER'!$Z$2:$Z$495&lt;=5)*('CONTROL MASTER'!$AB$2:$AB$495&gt;=5)*('CONTROL MASTER'!$AA$2:$AA$495&lt;=7)*('CONTROL MASTER'!$AC$2:$AC$495&gt;=7))*ROW('CONTROL MASTER'!$S$2:$S$495))-(ROW('CONTROL MASTER'!#REF!)-1)))&amp;TRIM(MID(SUBSTITUTE(SUBSTITUTE(INDEX('CONTROL MASTER'!$N$2:$N$495,(SUMPRODUCT((('CONTROL MASTER'!$S$2:$S$495=10)*('CONTROL MASTER'!$Z$2:$Z$495&lt;=5)*('CONTROL MASTER'!$AB$2:$AB$495&gt;=5)*('CONTROL MASTER'!$AA$2:$AA$495&lt;=7)*('CONTROL MASTER'!$AC$2:$AC$495&gt;=7))*ROW('CONTROL MASTER'!$S$2:$S$495))-(ROW('CONTROL MASTER'!#REF!)-1))),":",","),",",REPT(" ",50)),(((INDEX('CONTROL MASTER'!$Y$2:$Y$495,(SUMPRODUCT((('CONTROL MASTER'!$S$2:$S$495=10)*('CONTROL MASTER'!$Z$2:$Z$495&lt;=5)*('CONTROL MASTER'!$AB$2:$AB$495&gt;=5)*('CONTROL MASTER'!$AA$2:$AA$495&lt;=7)*('CONTROL MASTER'!$AC$2:$AC$495&gt;=7))*ROW('CONTROL MASTER'!$S$2:$S$495))-(ROW('CONTROL MASTER'!#REF!)-1)))+((5-INDEX('CONTROL MASTER'!$Z$2:$Z$495,(SUMPRODUCT((('CONTROL MASTER'!$S$2:$S$495=10)*('CONTROL MASTER'!$Z$2:$Z$495&lt;=5)*('CONTROL MASTER'!$AB$2:$AB$495&gt;=5)*('CONTROL MASTER'!$AA$2:$AA$495&lt;=7)*('CONTROL MASTER'!$AC$2:$AC$495&gt;=7))*ROW('CONTROL MASTER'!$S$2:$S$495))-(ROW('CONTROL MASTER'!#REF!)-1))))*(INDEX('CONTROL MASTER'!$AC$2:$AC$495,(SUMPRODUCT((('CONTROL MASTER'!$S$2:$S$495=10)*('CONTROL MASTER'!$Z$2:$Z$495&lt;=5)*('CONTROL MASTER'!$AB$2:$AB$495&gt;=5)*('CONTROL MASTER'!$AA$2:$AA$495&lt;=7)*('CONTROL MASTER'!$AC$2:$AC$495&gt;=7))*ROW('CONTROL MASTER'!$S$2:$S$495))-(ROW('CONTROL MASTER'!#REF!)-1)))-INDEX('CONTROL MASTER'!$AA$2:$AA$495,(SUMPRODUCT((('CONTROL MASTER'!$S$2:$S$495=10)*('CONTROL MASTER'!$Z$2:$Z$495&lt;=5)*('CONTROL MASTER'!$AB$2:$AB$495&gt;=5)*('CONTROL MASTER'!$AA$2:$AA$495&lt;=7)*('CONTROL MASTER'!$AC$2:$AC$495&gt;=7))*ROW('CONTROL MASTER'!$S$2:$S$495))-(ROW('CONTROL MASTER'!#REF!)-1)))+1)+(7-INDEX('CONTROL MASTER'!$AA$2:$AA$495,(SUMPRODUCT((('CONTROL MASTER'!$S$2:$S$495=10)*('CONTROL MASTER'!$Z$2:$Z$495&lt;=5)*('CONTROL MASTER'!$AB$2:$AB$495&gt;=5)*('CONTROL MASTER'!$AA$2:$AA$495&lt;=7)*('CONTROL MASTER'!$AC$2:$AC$495&gt;=7))*ROW('CONTROL MASTER'!$S$2:$S$495))-(ROW('CONTROL MASTER'!#REF!)-1))))+1)))-1)*50+1,50))&amp;"_"&amp;INDEX('CONTROL MASTER'!$P$2:$P$495,(SUMPRODUCT((('CONTROL MASTER'!$S$2:$S$495=10)*('CONTROL MASTER'!$Z$2:$Z$495&lt;=5)*('CONTROL MASTER'!$AB$2:$AB$495&gt;=5)*('CONTROL MASTER'!$AA$2:$AA$495&lt;=7)*('CONTROL MASTER'!$AC$2:$AC$495&gt;=7))*ROW('CONTROL MASTER'!$S$2:$S$495))-(ROW('CONTROL MASTER'!#REF!)-1))),"")),"")</f>
        <v/>
      </c>
      <c r="I133" s="10" t="str">
        <f>IFERROR(IF(SUMPRODUCT((('CONTROL MASTER'!$S$2:$S$495=10)*('CONTROL MASTER'!$T$2:$T$495&lt;=5)*('CONTROL MASTER'!$V$2:$V$495&gt;=5)*('CONTROL MASTER'!$U$2:$U$495&lt;=8)*('CONTROL MASTER'!$W$2:$W$495&gt;=8))*ROW('CONTROL MASTER'!$S$2:$S$495))&gt;0,INDEX('CONTROL MASTER'!$X$2:$X$495,(SUMPRODUCT((('CONTROL MASTER'!$S$2:$S$495=10)*('CONTROL MASTER'!$T$2:$T$495&lt;=5)*('CONTROL MASTER'!$V$2:$V$495&gt;=5)*('CONTROL MASTER'!$U$2:$U$495&lt;=8)*('CONTROL MASTER'!$W$2:$W$495&gt;=8))*ROW('CONTROL MASTER'!$S$2:$S$495))-(ROW('CONTROL MASTER'!#REF!)-1)))&amp;TRIM(MID(SUBSTITUTE(SUBSTITUTE(INDEX('CONTROL MASTER'!$N$2:$N$495,(SUMPRODUCT((('CONTROL MASTER'!$S$2:$S$495=10)*('CONTROL MASTER'!$T$2:$T$495&lt;=5)*('CONTROL MASTER'!$V$2:$V$495&gt;=5)*('CONTROL MASTER'!$U$2:$U$495&lt;=8)*('CONTROL MASTER'!$W$2:$W$495&gt;=8))*ROW('CONTROL MASTER'!$S$2:$S$495))-(ROW('CONTROL MASTER'!#REF!)-1))),":",","),",",REPT(" ",50)),((((5-INDEX('CONTROL MASTER'!$T$2:$T$495,(SUMPRODUCT((('CONTROL MASTER'!$S$2:$S$495=10)*('CONTROL MASTER'!$T$2:$T$495&lt;=5)*('CONTROL MASTER'!$V$2:$V$495&gt;=5)*('CONTROL MASTER'!$U$2:$U$495&lt;=8)*('CONTROL MASTER'!$W$2:$W$495&gt;=8))*ROW('CONTROL MASTER'!$S$2:$S$495))-(ROW('CONTROL MASTER'!#REF!)-1))))*(INDEX('CONTROL MASTER'!$W$2:$W$495,(SUMPRODUCT((('CONTROL MASTER'!$S$2:$S$495=10)*('CONTROL MASTER'!$T$2:$T$495&lt;=5)*('CONTROL MASTER'!$V$2:$V$495&gt;=5)*('CONTROL MASTER'!$U$2:$U$495&lt;=8)*('CONTROL MASTER'!$W$2:$W$495&gt;=8))*ROW('CONTROL MASTER'!$S$2:$S$495))-(ROW('CONTROL MASTER'!#REF!)-1)))-INDEX('CONTROL MASTER'!$U$2:$U$495,(SUMPRODUCT((('CONTROL MASTER'!$S$2:$S$495=10)*('CONTROL MASTER'!$T$2:$T$495&lt;=5)*('CONTROL MASTER'!$V$2:$V$495&gt;=5)*('CONTROL MASTER'!$U$2:$U$495&lt;=8)*('CONTROL MASTER'!$W$2:$W$495&gt;=8))*ROW('CONTROL MASTER'!$S$2:$S$495))-(ROW('CONTROL MASTER'!#REF!)-1)))+1)+(8-INDEX('CONTROL MASTER'!$U$2:$U$495,(SUMPRODUCT((('CONTROL MASTER'!$S$2:$S$495=10)*('CONTROL MASTER'!$T$2:$T$495&lt;=5)*('CONTROL MASTER'!$V$2:$V$495&gt;=5)*('CONTROL MASTER'!$U$2:$U$495&lt;=8)*('CONTROL MASTER'!$W$2:$W$495&gt;=8))*ROW('CONTROL MASTER'!$S$2:$S$495))-(ROW('CONTROL MASTER'!#REF!)-1))))+1))-1)*50+1,50))&amp;"_"&amp;INDEX('CONTROL MASTER'!$P$2:$P$495,(SUMPRODUCT((('CONTROL MASTER'!$S$2:$S$495=10)*('CONTROL MASTER'!$T$2:$T$495&lt;=5)*('CONTROL MASTER'!$V$2:$V$495&gt;=5)*('CONTROL MASTER'!$U$2:$U$495&lt;=8)*('CONTROL MASTER'!$W$2:$W$495&gt;=8))*ROW('CONTROL MASTER'!$S$2:$S$495))-(ROW('CONTROL MASTER'!#REF!)-1))),IF(SUMPRODUCT((('CONTROL MASTER'!$S$2:$S$495=10)*('CONTROL MASTER'!$Z$2:$Z$495&lt;=5)*('CONTROL MASTER'!$AB$2:$AB$495&gt;=5)*('CONTROL MASTER'!$AA$2:$AA$495&lt;=8)*('CONTROL MASTER'!$AC$2:$AC$495&gt;=8))*ROW('CONTROL MASTER'!$S$2:$S$495))&gt;0,INDEX('CONTROL MASTER'!$X$2:$X$495,(SUMPRODUCT((('CONTROL MASTER'!$S$2:$S$495=10)*('CONTROL MASTER'!$Z$2:$Z$495&lt;=5)*('CONTROL MASTER'!$AB$2:$AB$495&gt;=5)*('CONTROL MASTER'!$AA$2:$AA$495&lt;=8)*('CONTROL MASTER'!$AC$2:$AC$495&gt;=8))*ROW('CONTROL MASTER'!$S$2:$S$495))-(ROW('CONTROL MASTER'!#REF!)-1)))&amp;TRIM(MID(SUBSTITUTE(SUBSTITUTE(INDEX('CONTROL MASTER'!$N$2:$N$495,(SUMPRODUCT((('CONTROL MASTER'!$S$2:$S$495=10)*('CONTROL MASTER'!$Z$2:$Z$495&lt;=5)*('CONTROL MASTER'!$AB$2:$AB$495&gt;=5)*('CONTROL MASTER'!$AA$2:$AA$495&lt;=8)*('CONTROL MASTER'!$AC$2:$AC$495&gt;=8))*ROW('CONTROL MASTER'!$S$2:$S$495))-(ROW('CONTROL MASTER'!#REF!)-1))),":",","),",",REPT(" ",50)),(((INDEX('CONTROL MASTER'!$Y$2:$Y$495,(SUMPRODUCT((('CONTROL MASTER'!$S$2:$S$495=10)*('CONTROL MASTER'!$Z$2:$Z$495&lt;=5)*('CONTROL MASTER'!$AB$2:$AB$495&gt;=5)*('CONTROL MASTER'!$AA$2:$AA$495&lt;=8)*('CONTROL MASTER'!$AC$2:$AC$495&gt;=8))*ROW('CONTROL MASTER'!$S$2:$S$495))-(ROW('CONTROL MASTER'!#REF!)-1)))+((5-INDEX('CONTROL MASTER'!$Z$2:$Z$495,(SUMPRODUCT((('CONTROL MASTER'!$S$2:$S$495=10)*('CONTROL MASTER'!$Z$2:$Z$495&lt;=5)*('CONTROL MASTER'!$AB$2:$AB$495&gt;=5)*('CONTROL MASTER'!$AA$2:$AA$495&lt;=8)*('CONTROL MASTER'!$AC$2:$AC$495&gt;=8))*ROW('CONTROL MASTER'!$S$2:$S$495))-(ROW('CONTROL MASTER'!#REF!)-1))))*(INDEX('CONTROL MASTER'!$AC$2:$AC$495,(SUMPRODUCT((('CONTROL MASTER'!$S$2:$S$495=10)*('CONTROL MASTER'!$Z$2:$Z$495&lt;=5)*('CONTROL MASTER'!$AB$2:$AB$495&gt;=5)*('CONTROL MASTER'!$AA$2:$AA$495&lt;=8)*('CONTROL MASTER'!$AC$2:$AC$495&gt;=8))*ROW('CONTROL MASTER'!$S$2:$S$495))-(ROW('CONTROL MASTER'!#REF!)-1)))-INDEX('CONTROL MASTER'!$AA$2:$AA$495,(SUMPRODUCT((('CONTROL MASTER'!$S$2:$S$495=10)*('CONTROL MASTER'!$Z$2:$Z$495&lt;=5)*('CONTROL MASTER'!$AB$2:$AB$495&gt;=5)*('CONTROL MASTER'!$AA$2:$AA$495&lt;=8)*('CONTROL MASTER'!$AC$2:$AC$495&gt;=8))*ROW('CONTROL MASTER'!$S$2:$S$495))-(ROW('CONTROL MASTER'!#REF!)-1)))+1)+(8-INDEX('CONTROL MASTER'!$AA$2:$AA$495,(SUMPRODUCT((('CONTROL MASTER'!$S$2:$S$495=10)*('CONTROL MASTER'!$Z$2:$Z$495&lt;=5)*('CONTROL MASTER'!$AB$2:$AB$495&gt;=5)*('CONTROL MASTER'!$AA$2:$AA$495&lt;=8)*('CONTROL MASTER'!$AC$2:$AC$495&gt;=8))*ROW('CONTROL MASTER'!$S$2:$S$495))-(ROW('CONTROL MASTER'!#REF!)-1))))+1)))-1)*50+1,50))&amp;"_"&amp;INDEX('CONTROL MASTER'!$P$2:$P$495,(SUMPRODUCT((('CONTROL MASTER'!$S$2:$S$495=10)*('CONTROL MASTER'!$Z$2:$Z$495&lt;=5)*('CONTROL MASTER'!$AB$2:$AB$495&gt;=5)*('CONTROL MASTER'!$AA$2:$AA$495&lt;=8)*('CONTROL MASTER'!$AC$2:$AC$495&gt;=8))*ROW('CONTROL MASTER'!$S$2:$S$495))-(ROW('CONTROL MASTER'!#REF!)-1))),"")),"")</f>
        <v/>
      </c>
      <c r="J133" s="10" t="str">
        <f>IFERROR(IF(SUMPRODUCT((('CONTROL MASTER'!$S$2:$S$495=10)*('CONTROL MASTER'!$T$2:$T$495&lt;=5)*('CONTROL MASTER'!$V$2:$V$495&gt;=5)*('CONTROL MASTER'!$U$2:$U$495&lt;=9)*('CONTROL MASTER'!$W$2:$W$495&gt;=9))*ROW('CONTROL MASTER'!$S$2:$S$495))&gt;0,INDEX('CONTROL MASTER'!$X$2:$X$495,(SUMPRODUCT((('CONTROL MASTER'!$S$2:$S$495=10)*('CONTROL MASTER'!$T$2:$T$495&lt;=5)*('CONTROL MASTER'!$V$2:$V$495&gt;=5)*('CONTROL MASTER'!$U$2:$U$495&lt;=9)*('CONTROL MASTER'!$W$2:$W$495&gt;=9))*ROW('CONTROL MASTER'!$S$2:$S$495))-(ROW('CONTROL MASTER'!#REF!)-1)))&amp;TRIM(MID(SUBSTITUTE(SUBSTITUTE(INDEX('CONTROL MASTER'!$N$2:$N$495,(SUMPRODUCT((('CONTROL MASTER'!$S$2:$S$495=10)*('CONTROL MASTER'!$T$2:$T$495&lt;=5)*('CONTROL MASTER'!$V$2:$V$495&gt;=5)*('CONTROL MASTER'!$U$2:$U$495&lt;=9)*('CONTROL MASTER'!$W$2:$W$495&gt;=9))*ROW('CONTROL MASTER'!$S$2:$S$495))-(ROW('CONTROL MASTER'!#REF!)-1))),":",","),",",REPT(" ",50)),((((5-INDEX('CONTROL MASTER'!$T$2:$T$495,(SUMPRODUCT((('CONTROL MASTER'!$S$2:$S$495=10)*('CONTROL MASTER'!$T$2:$T$495&lt;=5)*('CONTROL MASTER'!$V$2:$V$495&gt;=5)*('CONTROL MASTER'!$U$2:$U$495&lt;=9)*('CONTROL MASTER'!$W$2:$W$495&gt;=9))*ROW('CONTROL MASTER'!$S$2:$S$495))-(ROW('CONTROL MASTER'!#REF!)-1))))*(INDEX('CONTROL MASTER'!$W$2:$W$495,(SUMPRODUCT((('CONTROL MASTER'!$S$2:$S$495=10)*('CONTROL MASTER'!$T$2:$T$495&lt;=5)*('CONTROL MASTER'!$V$2:$V$495&gt;=5)*('CONTROL MASTER'!$U$2:$U$495&lt;=9)*('CONTROL MASTER'!$W$2:$W$495&gt;=9))*ROW('CONTROL MASTER'!$S$2:$S$495))-(ROW('CONTROL MASTER'!#REF!)-1)))-INDEX('CONTROL MASTER'!$U$2:$U$495,(SUMPRODUCT((('CONTROL MASTER'!$S$2:$S$495=10)*('CONTROL MASTER'!$T$2:$T$495&lt;=5)*('CONTROL MASTER'!$V$2:$V$495&gt;=5)*('CONTROL MASTER'!$U$2:$U$495&lt;=9)*('CONTROL MASTER'!$W$2:$W$495&gt;=9))*ROW('CONTROL MASTER'!$S$2:$S$495))-(ROW('CONTROL MASTER'!#REF!)-1)))+1)+(9-INDEX('CONTROL MASTER'!$U$2:$U$495,(SUMPRODUCT((('CONTROL MASTER'!$S$2:$S$495=10)*('CONTROL MASTER'!$T$2:$T$495&lt;=5)*('CONTROL MASTER'!$V$2:$V$495&gt;=5)*('CONTROL MASTER'!$U$2:$U$495&lt;=9)*('CONTROL MASTER'!$W$2:$W$495&gt;=9))*ROW('CONTROL MASTER'!$S$2:$S$495))-(ROW('CONTROL MASTER'!#REF!)-1))))+1))-1)*50+1,50))&amp;"_"&amp;INDEX('CONTROL MASTER'!$P$2:$P$495,(SUMPRODUCT((('CONTROL MASTER'!$S$2:$S$495=10)*('CONTROL MASTER'!$T$2:$T$495&lt;=5)*('CONTROL MASTER'!$V$2:$V$495&gt;=5)*('CONTROL MASTER'!$U$2:$U$495&lt;=9)*('CONTROL MASTER'!$W$2:$W$495&gt;=9))*ROW('CONTROL MASTER'!$S$2:$S$495))-(ROW('CONTROL MASTER'!#REF!)-1))),IF(SUMPRODUCT((('CONTROL MASTER'!$S$2:$S$495=10)*('CONTROL MASTER'!$Z$2:$Z$495&lt;=5)*('CONTROL MASTER'!$AB$2:$AB$495&gt;=5)*('CONTROL MASTER'!$AA$2:$AA$495&lt;=9)*('CONTROL MASTER'!$AC$2:$AC$495&gt;=9))*ROW('CONTROL MASTER'!$S$2:$S$495))&gt;0,INDEX('CONTROL MASTER'!$X$2:$X$495,(SUMPRODUCT((('CONTROL MASTER'!$S$2:$S$495=10)*('CONTROL MASTER'!$Z$2:$Z$495&lt;=5)*('CONTROL MASTER'!$AB$2:$AB$495&gt;=5)*('CONTROL MASTER'!$AA$2:$AA$495&lt;=9)*('CONTROL MASTER'!$AC$2:$AC$495&gt;=9))*ROW('CONTROL MASTER'!$S$2:$S$495))-(ROW('CONTROL MASTER'!#REF!)-1)))&amp;TRIM(MID(SUBSTITUTE(SUBSTITUTE(INDEX('CONTROL MASTER'!$N$2:$N$495,(SUMPRODUCT((('CONTROL MASTER'!$S$2:$S$495=10)*('CONTROL MASTER'!$Z$2:$Z$495&lt;=5)*('CONTROL MASTER'!$AB$2:$AB$495&gt;=5)*('CONTROL MASTER'!$AA$2:$AA$495&lt;=9)*('CONTROL MASTER'!$AC$2:$AC$495&gt;=9))*ROW('CONTROL MASTER'!$S$2:$S$495))-(ROW('CONTROL MASTER'!#REF!)-1))),":",","),",",REPT(" ",50)),(((INDEX('CONTROL MASTER'!$Y$2:$Y$495,(SUMPRODUCT((('CONTROL MASTER'!$S$2:$S$495=10)*('CONTROL MASTER'!$Z$2:$Z$495&lt;=5)*('CONTROL MASTER'!$AB$2:$AB$495&gt;=5)*('CONTROL MASTER'!$AA$2:$AA$495&lt;=9)*('CONTROL MASTER'!$AC$2:$AC$495&gt;=9))*ROW('CONTROL MASTER'!$S$2:$S$495))-(ROW('CONTROL MASTER'!#REF!)-1)))+((5-INDEX('CONTROL MASTER'!$Z$2:$Z$495,(SUMPRODUCT((('CONTROL MASTER'!$S$2:$S$495=10)*('CONTROL MASTER'!$Z$2:$Z$495&lt;=5)*('CONTROL MASTER'!$AB$2:$AB$495&gt;=5)*('CONTROL MASTER'!$AA$2:$AA$495&lt;=9)*('CONTROL MASTER'!$AC$2:$AC$495&gt;=9))*ROW('CONTROL MASTER'!$S$2:$S$495))-(ROW('CONTROL MASTER'!#REF!)-1))))*(INDEX('CONTROL MASTER'!$AC$2:$AC$495,(SUMPRODUCT((('CONTROL MASTER'!$S$2:$S$495=10)*('CONTROL MASTER'!$Z$2:$Z$495&lt;=5)*('CONTROL MASTER'!$AB$2:$AB$495&gt;=5)*('CONTROL MASTER'!$AA$2:$AA$495&lt;=9)*('CONTROL MASTER'!$AC$2:$AC$495&gt;=9))*ROW('CONTROL MASTER'!$S$2:$S$495))-(ROW('CONTROL MASTER'!#REF!)-1)))-INDEX('CONTROL MASTER'!$AA$2:$AA$495,(SUMPRODUCT((('CONTROL MASTER'!$S$2:$S$495=10)*('CONTROL MASTER'!$Z$2:$Z$495&lt;=5)*('CONTROL MASTER'!$AB$2:$AB$495&gt;=5)*('CONTROL MASTER'!$AA$2:$AA$495&lt;=9)*('CONTROL MASTER'!$AC$2:$AC$495&gt;=9))*ROW('CONTROL MASTER'!$S$2:$S$495))-(ROW('CONTROL MASTER'!#REF!)-1)))+1)+(9-INDEX('CONTROL MASTER'!$AA$2:$AA$495,(SUMPRODUCT((('CONTROL MASTER'!$S$2:$S$495=10)*('CONTROL MASTER'!$Z$2:$Z$495&lt;=5)*('CONTROL MASTER'!$AB$2:$AB$495&gt;=5)*('CONTROL MASTER'!$AA$2:$AA$495&lt;=9)*('CONTROL MASTER'!$AC$2:$AC$495&gt;=9))*ROW('CONTROL MASTER'!$S$2:$S$495))-(ROW('CONTROL MASTER'!#REF!)-1))))+1)))-1)*50+1,50))&amp;"_"&amp;INDEX('CONTROL MASTER'!$P$2:$P$495,(SUMPRODUCT((('CONTROL MASTER'!$S$2:$S$495=10)*('CONTROL MASTER'!$Z$2:$Z$495&lt;=5)*('CONTROL MASTER'!$AB$2:$AB$495&gt;=5)*('CONTROL MASTER'!$AA$2:$AA$495&lt;=9)*('CONTROL MASTER'!$AC$2:$AC$495&gt;=9))*ROW('CONTROL MASTER'!$S$2:$S$495))-(ROW('CONTROL MASTER'!#REF!)-1))),"")),"")</f>
        <v/>
      </c>
      <c r="K133" s="10" t="str">
        <f>IFERROR(IF(SUMPRODUCT((('CONTROL MASTER'!$S$2:$S$495=10)*('CONTROL MASTER'!$T$2:$T$495&lt;=5)*('CONTROL MASTER'!$V$2:$V$495&gt;=5)*('CONTROL MASTER'!$U$2:$U$495&lt;=10)*('CONTROL MASTER'!$W$2:$W$495&gt;=10))*ROW('CONTROL MASTER'!$S$2:$S$495))&gt;0,INDEX('CONTROL MASTER'!$X$2:$X$495,(SUMPRODUCT((('CONTROL MASTER'!$S$2:$S$495=10)*('CONTROL MASTER'!$T$2:$T$495&lt;=5)*('CONTROL MASTER'!$V$2:$V$495&gt;=5)*('CONTROL MASTER'!$U$2:$U$495&lt;=10)*('CONTROL MASTER'!$W$2:$W$495&gt;=10))*ROW('CONTROL MASTER'!$S$2:$S$495))-(ROW('CONTROL MASTER'!#REF!)-1)))&amp;TRIM(MID(SUBSTITUTE(SUBSTITUTE(INDEX('CONTROL MASTER'!$N$2:$N$495,(SUMPRODUCT((('CONTROL MASTER'!$S$2:$S$495=10)*('CONTROL MASTER'!$T$2:$T$495&lt;=5)*('CONTROL MASTER'!$V$2:$V$495&gt;=5)*('CONTROL MASTER'!$U$2:$U$495&lt;=10)*('CONTROL MASTER'!$W$2:$W$495&gt;=10))*ROW('CONTROL MASTER'!$S$2:$S$495))-(ROW('CONTROL MASTER'!#REF!)-1))),":",","),",",REPT(" ",50)),((((5-INDEX('CONTROL MASTER'!$T$2:$T$495,(SUMPRODUCT((('CONTROL MASTER'!$S$2:$S$495=10)*('CONTROL MASTER'!$T$2:$T$495&lt;=5)*('CONTROL MASTER'!$V$2:$V$495&gt;=5)*('CONTROL MASTER'!$U$2:$U$495&lt;=10)*('CONTROL MASTER'!$W$2:$W$495&gt;=10))*ROW('CONTROL MASTER'!$S$2:$S$495))-(ROW('CONTROL MASTER'!#REF!)-1))))*(INDEX('CONTROL MASTER'!$W$2:$W$495,(SUMPRODUCT((('CONTROL MASTER'!$S$2:$S$495=10)*('CONTROL MASTER'!$T$2:$T$495&lt;=5)*('CONTROL MASTER'!$V$2:$V$495&gt;=5)*('CONTROL MASTER'!$U$2:$U$495&lt;=10)*('CONTROL MASTER'!$W$2:$W$495&gt;=10))*ROW('CONTROL MASTER'!$S$2:$S$495))-(ROW('CONTROL MASTER'!#REF!)-1)))-INDEX('CONTROL MASTER'!$U$2:$U$495,(SUMPRODUCT((('CONTROL MASTER'!$S$2:$S$495=10)*('CONTROL MASTER'!$T$2:$T$495&lt;=5)*('CONTROL MASTER'!$V$2:$V$495&gt;=5)*('CONTROL MASTER'!$U$2:$U$495&lt;=10)*('CONTROL MASTER'!$W$2:$W$495&gt;=10))*ROW('CONTROL MASTER'!$S$2:$S$495))-(ROW('CONTROL MASTER'!#REF!)-1)))+1)+(10-INDEX('CONTROL MASTER'!$U$2:$U$495,(SUMPRODUCT((('CONTROL MASTER'!$S$2:$S$495=10)*('CONTROL MASTER'!$T$2:$T$495&lt;=5)*('CONTROL MASTER'!$V$2:$V$495&gt;=5)*('CONTROL MASTER'!$U$2:$U$495&lt;=10)*('CONTROL MASTER'!$W$2:$W$495&gt;=10))*ROW('CONTROL MASTER'!$S$2:$S$495))-(ROW('CONTROL MASTER'!#REF!)-1))))+1))-1)*50+1,50))&amp;"_"&amp;INDEX('CONTROL MASTER'!$P$2:$P$495,(SUMPRODUCT((('CONTROL MASTER'!$S$2:$S$495=10)*('CONTROL MASTER'!$T$2:$T$495&lt;=5)*('CONTROL MASTER'!$V$2:$V$495&gt;=5)*('CONTROL MASTER'!$U$2:$U$495&lt;=10)*('CONTROL MASTER'!$W$2:$W$495&gt;=10))*ROW('CONTROL MASTER'!$S$2:$S$495))-(ROW('CONTROL MASTER'!#REF!)-1))),IF(SUMPRODUCT((('CONTROL MASTER'!$S$2:$S$495=10)*('CONTROL MASTER'!$Z$2:$Z$495&lt;=5)*('CONTROL MASTER'!$AB$2:$AB$495&gt;=5)*('CONTROL MASTER'!$AA$2:$AA$495&lt;=10)*('CONTROL MASTER'!$AC$2:$AC$495&gt;=10))*ROW('CONTROL MASTER'!$S$2:$S$495))&gt;0,INDEX('CONTROL MASTER'!$X$2:$X$495,(SUMPRODUCT((('CONTROL MASTER'!$S$2:$S$495=10)*('CONTROL MASTER'!$Z$2:$Z$495&lt;=5)*('CONTROL MASTER'!$AB$2:$AB$495&gt;=5)*('CONTROL MASTER'!$AA$2:$AA$495&lt;=10)*('CONTROL MASTER'!$AC$2:$AC$495&gt;=10))*ROW('CONTROL MASTER'!$S$2:$S$495))-(ROW('CONTROL MASTER'!#REF!)-1)))&amp;TRIM(MID(SUBSTITUTE(SUBSTITUTE(INDEX('CONTROL MASTER'!$N$2:$N$495,(SUMPRODUCT((('CONTROL MASTER'!$S$2:$S$495=10)*('CONTROL MASTER'!$Z$2:$Z$495&lt;=5)*('CONTROL MASTER'!$AB$2:$AB$495&gt;=5)*('CONTROL MASTER'!$AA$2:$AA$495&lt;=10)*('CONTROL MASTER'!$AC$2:$AC$495&gt;=10))*ROW('CONTROL MASTER'!$S$2:$S$495))-(ROW('CONTROL MASTER'!#REF!)-1))),":",","),",",REPT(" ",50)),(((INDEX('CONTROL MASTER'!$Y$2:$Y$495,(SUMPRODUCT((('CONTROL MASTER'!$S$2:$S$495=10)*('CONTROL MASTER'!$Z$2:$Z$495&lt;=5)*('CONTROL MASTER'!$AB$2:$AB$495&gt;=5)*('CONTROL MASTER'!$AA$2:$AA$495&lt;=10)*('CONTROL MASTER'!$AC$2:$AC$495&gt;=10))*ROW('CONTROL MASTER'!$S$2:$S$495))-(ROW('CONTROL MASTER'!#REF!)-1)))+((5-INDEX('CONTROL MASTER'!$Z$2:$Z$495,(SUMPRODUCT((('CONTROL MASTER'!$S$2:$S$495=10)*('CONTROL MASTER'!$Z$2:$Z$495&lt;=5)*('CONTROL MASTER'!$AB$2:$AB$495&gt;=5)*('CONTROL MASTER'!$AA$2:$AA$495&lt;=10)*('CONTROL MASTER'!$AC$2:$AC$495&gt;=10))*ROW('CONTROL MASTER'!$S$2:$S$495))-(ROW('CONTROL MASTER'!#REF!)-1))))*(INDEX('CONTROL MASTER'!$AC$2:$AC$495,(SUMPRODUCT((('CONTROL MASTER'!$S$2:$S$495=10)*('CONTROL MASTER'!$Z$2:$Z$495&lt;=5)*('CONTROL MASTER'!$AB$2:$AB$495&gt;=5)*('CONTROL MASTER'!$AA$2:$AA$495&lt;=10)*('CONTROL MASTER'!$AC$2:$AC$495&gt;=10))*ROW('CONTROL MASTER'!$S$2:$S$495))-(ROW('CONTROL MASTER'!#REF!)-1)))-INDEX('CONTROL MASTER'!$AA$2:$AA$495,(SUMPRODUCT((('CONTROL MASTER'!$S$2:$S$495=10)*('CONTROL MASTER'!$Z$2:$Z$495&lt;=5)*('CONTROL MASTER'!$AB$2:$AB$495&gt;=5)*('CONTROL MASTER'!$AA$2:$AA$495&lt;=10)*('CONTROL MASTER'!$AC$2:$AC$495&gt;=10))*ROW('CONTROL MASTER'!$S$2:$S$495))-(ROW('CONTROL MASTER'!#REF!)-1)))+1)+(10-INDEX('CONTROL MASTER'!$AA$2:$AA$495,(SUMPRODUCT((('CONTROL MASTER'!$S$2:$S$495=10)*('CONTROL MASTER'!$Z$2:$Z$495&lt;=5)*('CONTROL MASTER'!$AB$2:$AB$495&gt;=5)*('CONTROL MASTER'!$AA$2:$AA$495&lt;=10)*('CONTROL MASTER'!$AC$2:$AC$495&gt;=10))*ROW('CONTROL MASTER'!$S$2:$S$495))-(ROW('CONTROL MASTER'!#REF!)-1))))+1)))-1)*50+1,50))&amp;"_"&amp;INDEX('CONTROL MASTER'!$P$2:$P$495,(SUMPRODUCT((('CONTROL MASTER'!$S$2:$S$495=10)*('CONTROL MASTER'!$Z$2:$Z$495&lt;=5)*('CONTROL MASTER'!$AB$2:$AB$495&gt;=5)*('CONTROL MASTER'!$AA$2:$AA$495&lt;=10)*('CONTROL MASTER'!$AC$2:$AC$495&gt;=10))*ROW('CONTROL MASTER'!$S$2:$S$495))-(ROW('CONTROL MASTER'!#REF!)-1))),"")),"")</f>
        <v/>
      </c>
    </row>
    <row r="134" spans="1:11" ht="15" customHeight="1" x14ac:dyDescent="0.35">
      <c r="A134" s="8" t="s">
        <v>33</v>
      </c>
      <c r="B134" s="10" t="str">
        <f>IFERROR(IF(SUMPRODUCT((('CONTROL MASTER'!$S$2:$S$495=10)*('CONTROL MASTER'!$T$2:$T$495&lt;=6)*('CONTROL MASTER'!$V$2:$V$495&gt;=6)*('CONTROL MASTER'!$U$2:$U$495&lt;=1)*('CONTROL MASTER'!$W$2:$W$495&gt;=1))*ROW('CONTROL MASTER'!$S$2:$S$495))&gt;0,INDEX('CONTROL MASTER'!$X$2:$X$495,(SUMPRODUCT((('CONTROL MASTER'!$S$2:$S$495=10)*('CONTROL MASTER'!$T$2:$T$495&lt;=6)*('CONTROL MASTER'!$V$2:$V$495&gt;=6)*('CONTROL MASTER'!$U$2:$U$495&lt;=1)*('CONTROL MASTER'!$W$2:$W$495&gt;=1))*ROW('CONTROL MASTER'!$S$2:$S$495))-(ROW('CONTROL MASTER'!#REF!)-1)))&amp;TRIM(MID(SUBSTITUTE(SUBSTITUTE(INDEX('CONTROL MASTER'!$N$2:$N$495,(SUMPRODUCT((('CONTROL MASTER'!$S$2:$S$495=10)*('CONTROL MASTER'!$T$2:$T$495&lt;=6)*('CONTROL MASTER'!$V$2:$V$495&gt;=6)*('CONTROL MASTER'!$U$2:$U$495&lt;=1)*('CONTROL MASTER'!$W$2:$W$495&gt;=1))*ROW('CONTROL MASTER'!$S$2:$S$495))-(ROW('CONTROL MASTER'!#REF!)-1))),":",","),",",REPT(" ",50)),((((6-INDEX('CONTROL MASTER'!$T$2:$T$495,(SUMPRODUCT((('CONTROL MASTER'!$S$2:$S$495=10)*('CONTROL MASTER'!$T$2:$T$495&lt;=6)*('CONTROL MASTER'!$V$2:$V$495&gt;=6)*('CONTROL MASTER'!$U$2:$U$495&lt;=1)*('CONTROL MASTER'!$W$2:$W$495&gt;=1))*ROW('CONTROL MASTER'!$S$2:$S$495))-(ROW('CONTROL MASTER'!#REF!)-1))))*(INDEX('CONTROL MASTER'!$W$2:$W$495,(SUMPRODUCT((('CONTROL MASTER'!$S$2:$S$495=10)*('CONTROL MASTER'!$T$2:$T$495&lt;=6)*('CONTROL MASTER'!$V$2:$V$495&gt;=6)*('CONTROL MASTER'!$U$2:$U$495&lt;=1)*('CONTROL MASTER'!$W$2:$W$495&gt;=1))*ROW('CONTROL MASTER'!$S$2:$S$495))-(ROW('CONTROL MASTER'!#REF!)-1)))-INDEX('CONTROL MASTER'!$U$2:$U$495,(SUMPRODUCT((('CONTROL MASTER'!$S$2:$S$495=10)*('CONTROL MASTER'!$T$2:$T$495&lt;=6)*('CONTROL MASTER'!$V$2:$V$495&gt;=6)*('CONTROL MASTER'!$U$2:$U$495&lt;=1)*('CONTROL MASTER'!$W$2:$W$495&gt;=1))*ROW('CONTROL MASTER'!$S$2:$S$495))-(ROW('CONTROL MASTER'!#REF!)-1)))+1)+(1-INDEX('CONTROL MASTER'!$U$2:$U$495,(SUMPRODUCT((('CONTROL MASTER'!$S$2:$S$495=10)*('CONTROL MASTER'!$T$2:$T$495&lt;=6)*('CONTROL MASTER'!$V$2:$V$495&gt;=6)*('CONTROL MASTER'!$U$2:$U$495&lt;=1)*('CONTROL MASTER'!$W$2:$W$495&gt;=1))*ROW('CONTROL MASTER'!$S$2:$S$495))-(ROW('CONTROL MASTER'!#REF!)-1))))+1))-1)*50+1,50))&amp;"_"&amp;INDEX('CONTROL MASTER'!$P$2:$P$495,(SUMPRODUCT((('CONTROL MASTER'!$S$2:$S$495=10)*('CONTROL MASTER'!$T$2:$T$495&lt;=6)*('CONTROL MASTER'!$V$2:$V$495&gt;=6)*('CONTROL MASTER'!$U$2:$U$495&lt;=1)*('CONTROL MASTER'!$W$2:$W$495&gt;=1))*ROW('CONTROL MASTER'!$S$2:$S$495))-(ROW('CONTROL MASTER'!#REF!)-1))),IF(SUMPRODUCT((('CONTROL MASTER'!$S$2:$S$495=10)*('CONTROL MASTER'!$Z$2:$Z$495&lt;=6)*('CONTROL MASTER'!$AB$2:$AB$495&gt;=6)*('CONTROL MASTER'!$AA$2:$AA$495&lt;=1)*('CONTROL MASTER'!$AC$2:$AC$495&gt;=1))*ROW('CONTROL MASTER'!$S$2:$S$495))&gt;0,INDEX('CONTROL MASTER'!$X$2:$X$495,(SUMPRODUCT((('CONTROL MASTER'!$S$2:$S$495=10)*('CONTROL MASTER'!$Z$2:$Z$495&lt;=6)*('CONTROL MASTER'!$AB$2:$AB$495&gt;=6)*('CONTROL MASTER'!$AA$2:$AA$495&lt;=1)*('CONTROL MASTER'!$AC$2:$AC$495&gt;=1))*ROW('CONTROL MASTER'!$S$2:$S$495))-(ROW('CONTROL MASTER'!#REF!)-1)))&amp;TRIM(MID(SUBSTITUTE(SUBSTITUTE(INDEX('CONTROL MASTER'!$N$2:$N$495,(SUMPRODUCT((('CONTROL MASTER'!$S$2:$S$495=10)*('CONTROL MASTER'!$Z$2:$Z$495&lt;=6)*('CONTROL MASTER'!$AB$2:$AB$495&gt;=6)*('CONTROL MASTER'!$AA$2:$AA$495&lt;=1)*('CONTROL MASTER'!$AC$2:$AC$495&gt;=1))*ROW('CONTROL MASTER'!$S$2:$S$495))-(ROW('CONTROL MASTER'!#REF!)-1))),":",","),",",REPT(" ",50)),(((INDEX('CONTROL MASTER'!$Y$2:$Y$495,(SUMPRODUCT((('CONTROL MASTER'!$S$2:$S$495=10)*('CONTROL MASTER'!$Z$2:$Z$495&lt;=6)*('CONTROL MASTER'!$AB$2:$AB$495&gt;=6)*('CONTROL MASTER'!$AA$2:$AA$495&lt;=1)*('CONTROL MASTER'!$AC$2:$AC$495&gt;=1))*ROW('CONTROL MASTER'!$S$2:$S$495))-(ROW('CONTROL MASTER'!#REF!)-1)))+((6-INDEX('CONTROL MASTER'!$Z$2:$Z$495,(SUMPRODUCT((('CONTROL MASTER'!$S$2:$S$495=10)*('CONTROL MASTER'!$Z$2:$Z$495&lt;=6)*('CONTROL MASTER'!$AB$2:$AB$495&gt;=6)*('CONTROL MASTER'!$AA$2:$AA$495&lt;=1)*('CONTROL MASTER'!$AC$2:$AC$495&gt;=1))*ROW('CONTROL MASTER'!$S$2:$S$495))-(ROW('CONTROL MASTER'!#REF!)-1))))*(INDEX('CONTROL MASTER'!$AC$2:$AC$495,(SUMPRODUCT((('CONTROL MASTER'!$S$2:$S$495=10)*('CONTROL MASTER'!$Z$2:$Z$495&lt;=6)*('CONTROL MASTER'!$AB$2:$AB$495&gt;=6)*('CONTROL MASTER'!$AA$2:$AA$495&lt;=1)*('CONTROL MASTER'!$AC$2:$AC$495&gt;=1))*ROW('CONTROL MASTER'!$S$2:$S$495))-(ROW('CONTROL MASTER'!#REF!)-1)))-INDEX('CONTROL MASTER'!$AA$2:$AA$495,(SUMPRODUCT((('CONTROL MASTER'!$S$2:$S$495=10)*('CONTROL MASTER'!$Z$2:$Z$495&lt;=6)*('CONTROL MASTER'!$AB$2:$AB$495&gt;=6)*('CONTROL MASTER'!$AA$2:$AA$495&lt;=1)*('CONTROL MASTER'!$AC$2:$AC$495&gt;=1))*ROW('CONTROL MASTER'!$S$2:$S$495))-(ROW('CONTROL MASTER'!#REF!)-1)))+1)+(1-INDEX('CONTROL MASTER'!$AA$2:$AA$495,(SUMPRODUCT((('CONTROL MASTER'!$S$2:$S$495=10)*('CONTROL MASTER'!$Z$2:$Z$495&lt;=6)*('CONTROL MASTER'!$AB$2:$AB$495&gt;=6)*('CONTROL MASTER'!$AA$2:$AA$495&lt;=1)*('CONTROL MASTER'!$AC$2:$AC$495&gt;=1))*ROW('CONTROL MASTER'!$S$2:$S$495))-(ROW('CONTROL MASTER'!#REF!)-1))))+1)))-1)*50+1,50))&amp;"_"&amp;INDEX('CONTROL MASTER'!$P$2:$P$495,(SUMPRODUCT((('CONTROL MASTER'!$S$2:$S$495=10)*('CONTROL MASTER'!$Z$2:$Z$495&lt;=6)*('CONTROL MASTER'!$AB$2:$AB$495&gt;=6)*('CONTROL MASTER'!$AA$2:$AA$495&lt;=1)*('CONTROL MASTER'!$AC$2:$AC$495&gt;=1))*ROW('CONTROL MASTER'!$S$2:$S$495))-(ROW('CONTROL MASTER'!#REF!)-1))),"")),"")</f>
        <v/>
      </c>
      <c r="C134" s="10" t="str">
        <f>IFERROR(IF(SUMPRODUCT((('CONTROL MASTER'!$S$2:$S$495=10)*('CONTROL MASTER'!$T$2:$T$495&lt;=6)*('CONTROL MASTER'!$V$2:$V$495&gt;=6)*('CONTROL MASTER'!$U$2:$U$495&lt;=2)*('CONTROL MASTER'!$W$2:$W$495&gt;=2))*ROW('CONTROL MASTER'!$S$2:$S$495))&gt;0,INDEX('CONTROL MASTER'!$X$2:$X$495,(SUMPRODUCT((('CONTROL MASTER'!$S$2:$S$495=10)*('CONTROL MASTER'!$T$2:$T$495&lt;=6)*('CONTROL MASTER'!$V$2:$V$495&gt;=6)*('CONTROL MASTER'!$U$2:$U$495&lt;=2)*('CONTROL MASTER'!$W$2:$W$495&gt;=2))*ROW('CONTROL MASTER'!$S$2:$S$495))-(ROW('CONTROL MASTER'!#REF!)-1)))&amp;TRIM(MID(SUBSTITUTE(SUBSTITUTE(INDEX('CONTROL MASTER'!$N$2:$N$495,(SUMPRODUCT((('CONTROL MASTER'!$S$2:$S$495=10)*('CONTROL MASTER'!$T$2:$T$495&lt;=6)*('CONTROL MASTER'!$V$2:$V$495&gt;=6)*('CONTROL MASTER'!$U$2:$U$495&lt;=2)*('CONTROL MASTER'!$W$2:$W$495&gt;=2))*ROW('CONTROL MASTER'!$S$2:$S$495))-(ROW('CONTROL MASTER'!#REF!)-1))),":",","),",",REPT(" ",50)),((((6-INDEX('CONTROL MASTER'!$T$2:$T$495,(SUMPRODUCT((('CONTROL MASTER'!$S$2:$S$495=10)*('CONTROL MASTER'!$T$2:$T$495&lt;=6)*('CONTROL MASTER'!$V$2:$V$495&gt;=6)*('CONTROL MASTER'!$U$2:$U$495&lt;=2)*('CONTROL MASTER'!$W$2:$W$495&gt;=2))*ROW('CONTROL MASTER'!$S$2:$S$495))-(ROW('CONTROL MASTER'!#REF!)-1))))*(INDEX('CONTROL MASTER'!$W$2:$W$495,(SUMPRODUCT((('CONTROL MASTER'!$S$2:$S$495=10)*('CONTROL MASTER'!$T$2:$T$495&lt;=6)*('CONTROL MASTER'!$V$2:$V$495&gt;=6)*('CONTROL MASTER'!$U$2:$U$495&lt;=2)*('CONTROL MASTER'!$W$2:$W$495&gt;=2))*ROW('CONTROL MASTER'!$S$2:$S$495))-(ROW('CONTROL MASTER'!#REF!)-1)))-INDEX('CONTROL MASTER'!$U$2:$U$495,(SUMPRODUCT((('CONTROL MASTER'!$S$2:$S$495=10)*('CONTROL MASTER'!$T$2:$T$495&lt;=6)*('CONTROL MASTER'!$V$2:$V$495&gt;=6)*('CONTROL MASTER'!$U$2:$U$495&lt;=2)*('CONTROL MASTER'!$W$2:$W$495&gt;=2))*ROW('CONTROL MASTER'!$S$2:$S$495))-(ROW('CONTROL MASTER'!#REF!)-1)))+1)+(2-INDEX('CONTROL MASTER'!$U$2:$U$495,(SUMPRODUCT((('CONTROL MASTER'!$S$2:$S$495=10)*('CONTROL MASTER'!$T$2:$T$495&lt;=6)*('CONTROL MASTER'!$V$2:$V$495&gt;=6)*('CONTROL MASTER'!$U$2:$U$495&lt;=2)*('CONTROL MASTER'!$W$2:$W$495&gt;=2))*ROW('CONTROL MASTER'!$S$2:$S$495))-(ROW('CONTROL MASTER'!#REF!)-1))))+1))-1)*50+1,50))&amp;"_"&amp;INDEX('CONTROL MASTER'!$P$2:$P$495,(SUMPRODUCT((('CONTROL MASTER'!$S$2:$S$495=10)*('CONTROL MASTER'!$T$2:$T$495&lt;=6)*('CONTROL MASTER'!$V$2:$V$495&gt;=6)*('CONTROL MASTER'!$U$2:$U$495&lt;=2)*('CONTROL MASTER'!$W$2:$W$495&gt;=2))*ROW('CONTROL MASTER'!$S$2:$S$495))-(ROW('CONTROL MASTER'!#REF!)-1))),IF(SUMPRODUCT((('CONTROL MASTER'!$S$2:$S$495=10)*('CONTROL MASTER'!$Z$2:$Z$495&lt;=6)*('CONTROL MASTER'!$AB$2:$AB$495&gt;=6)*('CONTROL MASTER'!$AA$2:$AA$495&lt;=2)*('CONTROL MASTER'!$AC$2:$AC$495&gt;=2))*ROW('CONTROL MASTER'!$S$2:$S$495))&gt;0,INDEX('CONTROL MASTER'!$X$2:$X$495,(SUMPRODUCT((('CONTROL MASTER'!$S$2:$S$495=10)*('CONTROL MASTER'!$Z$2:$Z$495&lt;=6)*('CONTROL MASTER'!$AB$2:$AB$495&gt;=6)*('CONTROL MASTER'!$AA$2:$AA$495&lt;=2)*('CONTROL MASTER'!$AC$2:$AC$495&gt;=2))*ROW('CONTROL MASTER'!$S$2:$S$495))-(ROW('CONTROL MASTER'!#REF!)-1)))&amp;TRIM(MID(SUBSTITUTE(SUBSTITUTE(INDEX('CONTROL MASTER'!$N$2:$N$495,(SUMPRODUCT((('CONTROL MASTER'!$S$2:$S$495=10)*('CONTROL MASTER'!$Z$2:$Z$495&lt;=6)*('CONTROL MASTER'!$AB$2:$AB$495&gt;=6)*('CONTROL MASTER'!$AA$2:$AA$495&lt;=2)*('CONTROL MASTER'!$AC$2:$AC$495&gt;=2))*ROW('CONTROL MASTER'!$S$2:$S$495))-(ROW('CONTROL MASTER'!#REF!)-1))),":",","),",",REPT(" ",50)),(((INDEX('CONTROL MASTER'!$Y$2:$Y$495,(SUMPRODUCT((('CONTROL MASTER'!$S$2:$S$495=10)*('CONTROL MASTER'!$Z$2:$Z$495&lt;=6)*('CONTROL MASTER'!$AB$2:$AB$495&gt;=6)*('CONTROL MASTER'!$AA$2:$AA$495&lt;=2)*('CONTROL MASTER'!$AC$2:$AC$495&gt;=2))*ROW('CONTROL MASTER'!$S$2:$S$495))-(ROW('CONTROL MASTER'!#REF!)-1)))+((6-INDEX('CONTROL MASTER'!$Z$2:$Z$495,(SUMPRODUCT((('CONTROL MASTER'!$S$2:$S$495=10)*('CONTROL MASTER'!$Z$2:$Z$495&lt;=6)*('CONTROL MASTER'!$AB$2:$AB$495&gt;=6)*('CONTROL MASTER'!$AA$2:$AA$495&lt;=2)*('CONTROL MASTER'!$AC$2:$AC$495&gt;=2))*ROW('CONTROL MASTER'!$S$2:$S$495))-(ROW('CONTROL MASTER'!#REF!)-1))))*(INDEX('CONTROL MASTER'!$AC$2:$AC$495,(SUMPRODUCT((('CONTROL MASTER'!$S$2:$S$495=10)*('CONTROL MASTER'!$Z$2:$Z$495&lt;=6)*('CONTROL MASTER'!$AB$2:$AB$495&gt;=6)*('CONTROL MASTER'!$AA$2:$AA$495&lt;=2)*('CONTROL MASTER'!$AC$2:$AC$495&gt;=2))*ROW('CONTROL MASTER'!$S$2:$S$495))-(ROW('CONTROL MASTER'!#REF!)-1)))-INDEX('CONTROL MASTER'!$AA$2:$AA$495,(SUMPRODUCT((('CONTROL MASTER'!$S$2:$S$495=10)*('CONTROL MASTER'!$Z$2:$Z$495&lt;=6)*('CONTROL MASTER'!$AB$2:$AB$495&gt;=6)*('CONTROL MASTER'!$AA$2:$AA$495&lt;=2)*('CONTROL MASTER'!$AC$2:$AC$495&gt;=2))*ROW('CONTROL MASTER'!$S$2:$S$495))-(ROW('CONTROL MASTER'!#REF!)-1)))+1)+(2-INDEX('CONTROL MASTER'!$AA$2:$AA$495,(SUMPRODUCT((('CONTROL MASTER'!$S$2:$S$495=10)*('CONTROL MASTER'!$Z$2:$Z$495&lt;=6)*('CONTROL MASTER'!$AB$2:$AB$495&gt;=6)*('CONTROL MASTER'!$AA$2:$AA$495&lt;=2)*('CONTROL MASTER'!$AC$2:$AC$495&gt;=2))*ROW('CONTROL MASTER'!$S$2:$S$495))-(ROW('CONTROL MASTER'!#REF!)-1))))+1)))-1)*50+1,50))&amp;"_"&amp;INDEX('CONTROL MASTER'!$P$2:$P$495,(SUMPRODUCT((('CONTROL MASTER'!$S$2:$S$495=10)*('CONTROL MASTER'!$Z$2:$Z$495&lt;=6)*('CONTROL MASTER'!$AB$2:$AB$495&gt;=6)*('CONTROL MASTER'!$AA$2:$AA$495&lt;=2)*('CONTROL MASTER'!$AC$2:$AC$495&gt;=2))*ROW('CONTROL MASTER'!$S$2:$S$495))-(ROW('CONTROL MASTER'!#REF!)-1))),"")),"")</f>
        <v/>
      </c>
      <c r="D134" s="10" t="str">
        <f>IFERROR(IF(SUMPRODUCT((('CONTROL MASTER'!$S$2:$S$495=10)*('CONTROL MASTER'!$T$2:$T$495&lt;=6)*('CONTROL MASTER'!$V$2:$V$495&gt;=6)*('CONTROL MASTER'!$U$2:$U$495&lt;=3)*('CONTROL MASTER'!$W$2:$W$495&gt;=3))*ROW('CONTROL MASTER'!$S$2:$S$495))&gt;0,INDEX('CONTROL MASTER'!$X$2:$X$495,(SUMPRODUCT((('CONTROL MASTER'!$S$2:$S$495=10)*('CONTROL MASTER'!$T$2:$T$495&lt;=6)*('CONTROL MASTER'!$V$2:$V$495&gt;=6)*('CONTROL MASTER'!$U$2:$U$495&lt;=3)*('CONTROL MASTER'!$W$2:$W$495&gt;=3))*ROW('CONTROL MASTER'!$S$2:$S$495))-(ROW('CONTROL MASTER'!#REF!)-1)))&amp;TRIM(MID(SUBSTITUTE(SUBSTITUTE(INDEX('CONTROL MASTER'!$N$2:$N$495,(SUMPRODUCT((('CONTROL MASTER'!$S$2:$S$495=10)*('CONTROL MASTER'!$T$2:$T$495&lt;=6)*('CONTROL MASTER'!$V$2:$V$495&gt;=6)*('CONTROL MASTER'!$U$2:$U$495&lt;=3)*('CONTROL MASTER'!$W$2:$W$495&gt;=3))*ROW('CONTROL MASTER'!$S$2:$S$495))-(ROW('CONTROL MASTER'!#REF!)-1))),":",","),",",REPT(" ",50)),((((6-INDEX('CONTROL MASTER'!$T$2:$T$495,(SUMPRODUCT((('CONTROL MASTER'!$S$2:$S$495=10)*('CONTROL MASTER'!$T$2:$T$495&lt;=6)*('CONTROL MASTER'!$V$2:$V$495&gt;=6)*('CONTROL MASTER'!$U$2:$U$495&lt;=3)*('CONTROL MASTER'!$W$2:$W$495&gt;=3))*ROW('CONTROL MASTER'!$S$2:$S$495))-(ROW('CONTROL MASTER'!#REF!)-1))))*(INDEX('CONTROL MASTER'!$W$2:$W$495,(SUMPRODUCT((('CONTROL MASTER'!$S$2:$S$495=10)*('CONTROL MASTER'!$T$2:$T$495&lt;=6)*('CONTROL MASTER'!$V$2:$V$495&gt;=6)*('CONTROL MASTER'!$U$2:$U$495&lt;=3)*('CONTROL MASTER'!$W$2:$W$495&gt;=3))*ROW('CONTROL MASTER'!$S$2:$S$495))-(ROW('CONTROL MASTER'!#REF!)-1)))-INDEX('CONTROL MASTER'!$U$2:$U$495,(SUMPRODUCT((('CONTROL MASTER'!$S$2:$S$495=10)*('CONTROL MASTER'!$T$2:$T$495&lt;=6)*('CONTROL MASTER'!$V$2:$V$495&gt;=6)*('CONTROL MASTER'!$U$2:$U$495&lt;=3)*('CONTROL MASTER'!$W$2:$W$495&gt;=3))*ROW('CONTROL MASTER'!$S$2:$S$495))-(ROW('CONTROL MASTER'!#REF!)-1)))+1)+(3-INDEX('CONTROL MASTER'!$U$2:$U$495,(SUMPRODUCT((('CONTROL MASTER'!$S$2:$S$495=10)*('CONTROL MASTER'!$T$2:$T$495&lt;=6)*('CONTROL MASTER'!$V$2:$V$495&gt;=6)*('CONTROL MASTER'!$U$2:$U$495&lt;=3)*('CONTROL MASTER'!$W$2:$W$495&gt;=3))*ROW('CONTROL MASTER'!$S$2:$S$495))-(ROW('CONTROL MASTER'!#REF!)-1))))+1))-1)*50+1,50))&amp;"_"&amp;INDEX('CONTROL MASTER'!$P$2:$P$495,(SUMPRODUCT((('CONTROL MASTER'!$S$2:$S$495=10)*('CONTROL MASTER'!$T$2:$T$495&lt;=6)*('CONTROL MASTER'!$V$2:$V$495&gt;=6)*('CONTROL MASTER'!$U$2:$U$495&lt;=3)*('CONTROL MASTER'!$W$2:$W$495&gt;=3))*ROW('CONTROL MASTER'!$S$2:$S$495))-(ROW('CONTROL MASTER'!#REF!)-1))),IF(SUMPRODUCT((('CONTROL MASTER'!$S$2:$S$495=10)*('CONTROL MASTER'!$Z$2:$Z$495&lt;=6)*('CONTROL MASTER'!$AB$2:$AB$495&gt;=6)*('CONTROL MASTER'!$AA$2:$AA$495&lt;=3)*('CONTROL MASTER'!$AC$2:$AC$495&gt;=3))*ROW('CONTROL MASTER'!$S$2:$S$495))&gt;0,INDEX('CONTROL MASTER'!$X$2:$X$495,(SUMPRODUCT((('CONTROL MASTER'!$S$2:$S$495=10)*('CONTROL MASTER'!$Z$2:$Z$495&lt;=6)*('CONTROL MASTER'!$AB$2:$AB$495&gt;=6)*('CONTROL MASTER'!$AA$2:$AA$495&lt;=3)*('CONTROL MASTER'!$AC$2:$AC$495&gt;=3))*ROW('CONTROL MASTER'!$S$2:$S$495))-(ROW('CONTROL MASTER'!#REF!)-1)))&amp;TRIM(MID(SUBSTITUTE(SUBSTITUTE(INDEX('CONTROL MASTER'!$N$2:$N$495,(SUMPRODUCT((('CONTROL MASTER'!$S$2:$S$495=10)*('CONTROL MASTER'!$Z$2:$Z$495&lt;=6)*('CONTROL MASTER'!$AB$2:$AB$495&gt;=6)*('CONTROL MASTER'!$AA$2:$AA$495&lt;=3)*('CONTROL MASTER'!$AC$2:$AC$495&gt;=3))*ROW('CONTROL MASTER'!$S$2:$S$495))-(ROW('CONTROL MASTER'!#REF!)-1))),":",","),",",REPT(" ",50)),(((INDEX('CONTROL MASTER'!$Y$2:$Y$495,(SUMPRODUCT((('CONTROL MASTER'!$S$2:$S$495=10)*('CONTROL MASTER'!$Z$2:$Z$495&lt;=6)*('CONTROL MASTER'!$AB$2:$AB$495&gt;=6)*('CONTROL MASTER'!$AA$2:$AA$495&lt;=3)*('CONTROL MASTER'!$AC$2:$AC$495&gt;=3))*ROW('CONTROL MASTER'!$S$2:$S$495))-(ROW('CONTROL MASTER'!#REF!)-1)))+((6-INDEX('CONTROL MASTER'!$Z$2:$Z$495,(SUMPRODUCT((('CONTROL MASTER'!$S$2:$S$495=10)*('CONTROL MASTER'!$Z$2:$Z$495&lt;=6)*('CONTROL MASTER'!$AB$2:$AB$495&gt;=6)*('CONTROL MASTER'!$AA$2:$AA$495&lt;=3)*('CONTROL MASTER'!$AC$2:$AC$495&gt;=3))*ROW('CONTROL MASTER'!$S$2:$S$495))-(ROW('CONTROL MASTER'!#REF!)-1))))*(INDEX('CONTROL MASTER'!$AC$2:$AC$495,(SUMPRODUCT((('CONTROL MASTER'!$S$2:$S$495=10)*('CONTROL MASTER'!$Z$2:$Z$495&lt;=6)*('CONTROL MASTER'!$AB$2:$AB$495&gt;=6)*('CONTROL MASTER'!$AA$2:$AA$495&lt;=3)*('CONTROL MASTER'!$AC$2:$AC$495&gt;=3))*ROW('CONTROL MASTER'!$S$2:$S$495))-(ROW('CONTROL MASTER'!#REF!)-1)))-INDEX('CONTROL MASTER'!$AA$2:$AA$495,(SUMPRODUCT((('CONTROL MASTER'!$S$2:$S$495=10)*('CONTROL MASTER'!$Z$2:$Z$495&lt;=6)*('CONTROL MASTER'!$AB$2:$AB$495&gt;=6)*('CONTROL MASTER'!$AA$2:$AA$495&lt;=3)*('CONTROL MASTER'!$AC$2:$AC$495&gt;=3))*ROW('CONTROL MASTER'!$S$2:$S$495))-(ROW('CONTROL MASTER'!#REF!)-1)))+1)+(3-INDEX('CONTROL MASTER'!$AA$2:$AA$495,(SUMPRODUCT((('CONTROL MASTER'!$S$2:$S$495=10)*('CONTROL MASTER'!$Z$2:$Z$495&lt;=6)*('CONTROL MASTER'!$AB$2:$AB$495&gt;=6)*('CONTROL MASTER'!$AA$2:$AA$495&lt;=3)*('CONTROL MASTER'!$AC$2:$AC$495&gt;=3))*ROW('CONTROL MASTER'!$S$2:$S$495))-(ROW('CONTROL MASTER'!#REF!)-1))))+1)))-1)*50+1,50))&amp;"_"&amp;INDEX('CONTROL MASTER'!$P$2:$P$495,(SUMPRODUCT((('CONTROL MASTER'!$S$2:$S$495=10)*('CONTROL MASTER'!$Z$2:$Z$495&lt;=6)*('CONTROL MASTER'!$AB$2:$AB$495&gt;=6)*('CONTROL MASTER'!$AA$2:$AA$495&lt;=3)*('CONTROL MASTER'!$AC$2:$AC$495&gt;=3))*ROW('CONTROL MASTER'!$S$2:$S$495))-(ROW('CONTROL MASTER'!#REF!)-1))),"")),"")</f>
        <v/>
      </c>
      <c r="E134" s="10" t="str">
        <f>IFERROR(IF(SUMPRODUCT((('CONTROL MASTER'!$S$2:$S$495=10)*('CONTROL MASTER'!$T$2:$T$495&lt;=6)*('CONTROL MASTER'!$V$2:$V$495&gt;=6)*('CONTROL MASTER'!$U$2:$U$495&lt;=4)*('CONTROL MASTER'!$W$2:$W$495&gt;=4))*ROW('CONTROL MASTER'!$S$2:$S$495))&gt;0,INDEX('CONTROL MASTER'!$X$2:$X$495,(SUMPRODUCT((('CONTROL MASTER'!$S$2:$S$495=10)*('CONTROL MASTER'!$T$2:$T$495&lt;=6)*('CONTROL MASTER'!$V$2:$V$495&gt;=6)*('CONTROL MASTER'!$U$2:$U$495&lt;=4)*('CONTROL MASTER'!$W$2:$W$495&gt;=4))*ROW('CONTROL MASTER'!$S$2:$S$495))-(ROW('CONTROL MASTER'!#REF!)-1)))&amp;TRIM(MID(SUBSTITUTE(SUBSTITUTE(INDEX('CONTROL MASTER'!$N$2:$N$495,(SUMPRODUCT((('CONTROL MASTER'!$S$2:$S$495=10)*('CONTROL MASTER'!$T$2:$T$495&lt;=6)*('CONTROL MASTER'!$V$2:$V$495&gt;=6)*('CONTROL MASTER'!$U$2:$U$495&lt;=4)*('CONTROL MASTER'!$W$2:$W$495&gt;=4))*ROW('CONTROL MASTER'!$S$2:$S$495))-(ROW('CONTROL MASTER'!#REF!)-1))),":",","),",",REPT(" ",50)),((((6-INDEX('CONTROL MASTER'!$T$2:$T$495,(SUMPRODUCT((('CONTROL MASTER'!$S$2:$S$495=10)*('CONTROL MASTER'!$T$2:$T$495&lt;=6)*('CONTROL MASTER'!$V$2:$V$495&gt;=6)*('CONTROL MASTER'!$U$2:$U$495&lt;=4)*('CONTROL MASTER'!$W$2:$W$495&gt;=4))*ROW('CONTROL MASTER'!$S$2:$S$495))-(ROW('CONTROL MASTER'!#REF!)-1))))*(INDEX('CONTROL MASTER'!$W$2:$W$495,(SUMPRODUCT((('CONTROL MASTER'!$S$2:$S$495=10)*('CONTROL MASTER'!$T$2:$T$495&lt;=6)*('CONTROL MASTER'!$V$2:$V$495&gt;=6)*('CONTROL MASTER'!$U$2:$U$495&lt;=4)*('CONTROL MASTER'!$W$2:$W$495&gt;=4))*ROW('CONTROL MASTER'!$S$2:$S$495))-(ROW('CONTROL MASTER'!#REF!)-1)))-INDEX('CONTROL MASTER'!$U$2:$U$495,(SUMPRODUCT((('CONTROL MASTER'!$S$2:$S$495=10)*('CONTROL MASTER'!$T$2:$T$495&lt;=6)*('CONTROL MASTER'!$V$2:$V$495&gt;=6)*('CONTROL MASTER'!$U$2:$U$495&lt;=4)*('CONTROL MASTER'!$W$2:$W$495&gt;=4))*ROW('CONTROL MASTER'!$S$2:$S$495))-(ROW('CONTROL MASTER'!#REF!)-1)))+1)+(4-INDEX('CONTROL MASTER'!$U$2:$U$495,(SUMPRODUCT((('CONTROL MASTER'!$S$2:$S$495=10)*('CONTROL MASTER'!$T$2:$T$495&lt;=6)*('CONTROL MASTER'!$V$2:$V$495&gt;=6)*('CONTROL MASTER'!$U$2:$U$495&lt;=4)*('CONTROL MASTER'!$W$2:$W$495&gt;=4))*ROW('CONTROL MASTER'!$S$2:$S$495))-(ROW('CONTROL MASTER'!#REF!)-1))))+1))-1)*50+1,50))&amp;"_"&amp;INDEX('CONTROL MASTER'!$P$2:$P$495,(SUMPRODUCT((('CONTROL MASTER'!$S$2:$S$495=10)*('CONTROL MASTER'!$T$2:$T$495&lt;=6)*('CONTROL MASTER'!$V$2:$V$495&gt;=6)*('CONTROL MASTER'!$U$2:$U$495&lt;=4)*('CONTROL MASTER'!$W$2:$W$495&gt;=4))*ROW('CONTROL MASTER'!$S$2:$S$495))-(ROW('CONTROL MASTER'!#REF!)-1))),IF(SUMPRODUCT((('CONTROL MASTER'!$S$2:$S$495=10)*('CONTROL MASTER'!$Z$2:$Z$495&lt;=6)*('CONTROL MASTER'!$AB$2:$AB$495&gt;=6)*('CONTROL MASTER'!$AA$2:$AA$495&lt;=4)*('CONTROL MASTER'!$AC$2:$AC$495&gt;=4))*ROW('CONTROL MASTER'!$S$2:$S$495))&gt;0,INDEX('CONTROL MASTER'!$X$2:$X$495,(SUMPRODUCT((('CONTROL MASTER'!$S$2:$S$495=10)*('CONTROL MASTER'!$Z$2:$Z$495&lt;=6)*('CONTROL MASTER'!$AB$2:$AB$495&gt;=6)*('CONTROL MASTER'!$AA$2:$AA$495&lt;=4)*('CONTROL MASTER'!$AC$2:$AC$495&gt;=4))*ROW('CONTROL MASTER'!$S$2:$S$495))-(ROW('CONTROL MASTER'!#REF!)-1)))&amp;TRIM(MID(SUBSTITUTE(SUBSTITUTE(INDEX('CONTROL MASTER'!$N$2:$N$495,(SUMPRODUCT((('CONTROL MASTER'!$S$2:$S$495=10)*('CONTROL MASTER'!$Z$2:$Z$495&lt;=6)*('CONTROL MASTER'!$AB$2:$AB$495&gt;=6)*('CONTROL MASTER'!$AA$2:$AA$495&lt;=4)*('CONTROL MASTER'!$AC$2:$AC$495&gt;=4))*ROW('CONTROL MASTER'!$S$2:$S$495))-(ROW('CONTROL MASTER'!#REF!)-1))),":",","),",",REPT(" ",50)),(((INDEX('CONTROL MASTER'!$Y$2:$Y$495,(SUMPRODUCT((('CONTROL MASTER'!$S$2:$S$495=10)*('CONTROL MASTER'!$Z$2:$Z$495&lt;=6)*('CONTROL MASTER'!$AB$2:$AB$495&gt;=6)*('CONTROL MASTER'!$AA$2:$AA$495&lt;=4)*('CONTROL MASTER'!$AC$2:$AC$495&gt;=4))*ROW('CONTROL MASTER'!$S$2:$S$495))-(ROW('CONTROL MASTER'!#REF!)-1)))+((6-INDEX('CONTROL MASTER'!$Z$2:$Z$495,(SUMPRODUCT((('CONTROL MASTER'!$S$2:$S$495=10)*('CONTROL MASTER'!$Z$2:$Z$495&lt;=6)*('CONTROL MASTER'!$AB$2:$AB$495&gt;=6)*('CONTROL MASTER'!$AA$2:$AA$495&lt;=4)*('CONTROL MASTER'!$AC$2:$AC$495&gt;=4))*ROW('CONTROL MASTER'!$S$2:$S$495))-(ROW('CONTROL MASTER'!#REF!)-1))))*(INDEX('CONTROL MASTER'!$AC$2:$AC$495,(SUMPRODUCT((('CONTROL MASTER'!$S$2:$S$495=10)*('CONTROL MASTER'!$Z$2:$Z$495&lt;=6)*('CONTROL MASTER'!$AB$2:$AB$495&gt;=6)*('CONTROL MASTER'!$AA$2:$AA$495&lt;=4)*('CONTROL MASTER'!$AC$2:$AC$495&gt;=4))*ROW('CONTROL MASTER'!$S$2:$S$495))-(ROW('CONTROL MASTER'!#REF!)-1)))-INDEX('CONTROL MASTER'!$AA$2:$AA$495,(SUMPRODUCT((('CONTROL MASTER'!$S$2:$S$495=10)*('CONTROL MASTER'!$Z$2:$Z$495&lt;=6)*('CONTROL MASTER'!$AB$2:$AB$495&gt;=6)*('CONTROL MASTER'!$AA$2:$AA$495&lt;=4)*('CONTROL MASTER'!$AC$2:$AC$495&gt;=4))*ROW('CONTROL MASTER'!$S$2:$S$495))-(ROW('CONTROL MASTER'!#REF!)-1)))+1)+(4-INDEX('CONTROL MASTER'!$AA$2:$AA$495,(SUMPRODUCT((('CONTROL MASTER'!$S$2:$S$495=10)*('CONTROL MASTER'!$Z$2:$Z$495&lt;=6)*('CONTROL MASTER'!$AB$2:$AB$495&gt;=6)*('CONTROL MASTER'!$AA$2:$AA$495&lt;=4)*('CONTROL MASTER'!$AC$2:$AC$495&gt;=4))*ROW('CONTROL MASTER'!$S$2:$S$495))-(ROW('CONTROL MASTER'!#REF!)-1))))+1)))-1)*50+1,50))&amp;"_"&amp;INDEX('CONTROL MASTER'!$P$2:$P$495,(SUMPRODUCT((('CONTROL MASTER'!$S$2:$S$495=10)*('CONTROL MASTER'!$Z$2:$Z$495&lt;=6)*('CONTROL MASTER'!$AB$2:$AB$495&gt;=6)*('CONTROL MASTER'!$AA$2:$AA$495&lt;=4)*('CONTROL MASTER'!$AC$2:$AC$495&gt;=4))*ROW('CONTROL MASTER'!$S$2:$S$495))-(ROW('CONTROL MASTER'!#REF!)-1))),"")),"")</f>
        <v/>
      </c>
      <c r="F134" s="10" t="str">
        <f>IFERROR(IF(SUMPRODUCT((('CONTROL MASTER'!$S$2:$S$495=10)*('CONTROL MASTER'!$T$2:$T$495&lt;=6)*('CONTROL MASTER'!$V$2:$V$495&gt;=6)*('CONTROL MASTER'!$U$2:$U$495&lt;=5)*('CONTROL MASTER'!$W$2:$W$495&gt;=5))*ROW('CONTROL MASTER'!$S$2:$S$495))&gt;0,INDEX('CONTROL MASTER'!$X$2:$X$495,(SUMPRODUCT((('CONTROL MASTER'!$S$2:$S$495=10)*('CONTROL MASTER'!$T$2:$T$495&lt;=6)*('CONTROL MASTER'!$V$2:$V$495&gt;=6)*('CONTROL MASTER'!$U$2:$U$495&lt;=5)*('CONTROL MASTER'!$W$2:$W$495&gt;=5))*ROW('CONTROL MASTER'!$S$2:$S$495))-(ROW('CONTROL MASTER'!#REF!)-1)))&amp;TRIM(MID(SUBSTITUTE(SUBSTITUTE(INDEX('CONTROL MASTER'!$N$2:$N$495,(SUMPRODUCT((('CONTROL MASTER'!$S$2:$S$495=10)*('CONTROL MASTER'!$T$2:$T$495&lt;=6)*('CONTROL MASTER'!$V$2:$V$495&gt;=6)*('CONTROL MASTER'!$U$2:$U$495&lt;=5)*('CONTROL MASTER'!$W$2:$W$495&gt;=5))*ROW('CONTROL MASTER'!$S$2:$S$495))-(ROW('CONTROL MASTER'!#REF!)-1))),":",","),",",REPT(" ",50)),((((6-INDEX('CONTROL MASTER'!$T$2:$T$495,(SUMPRODUCT((('CONTROL MASTER'!$S$2:$S$495=10)*('CONTROL MASTER'!$T$2:$T$495&lt;=6)*('CONTROL MASTER'!$V$2:$V$495&gt;=6)*('CONTROL MASTER'!$U$2:$U$495&lt;=5)*('CONTROL MASTER'!$W$2:$W$495&gt;=5))*ROW('CONTROL MASTER'!$S$2:$S$495))-(ROW('CONTROL MASTER'!#REF!)-1))))*(INDEX('CONTROL MASTER'!$W$2:$W$495,(SUMPRODUCT((('CONTROL MASTER'!$S$2:$S$495=10)*('CONTROL MASTER'!$T$2:$T$495&lt;=6)*('CONTROL MASTER'!$V$2:$V$495&gt;=6)*('CONTROL MASTER'!$U$2:$U$495&lt;=5)*('CONTROL MASTER'!$W$2:$W$495&gt;=5))*ROW('CONTROL MASTER'!$S$2:$S$495))-(ROW('CONTROL MASTER'!#REF!)-1)))-INDEX('CONTROL MASTER'!$U$2:$U$495,(SUMPRODUCT((('CONTROL MASTER'!$S$2:$S$495=10)*('CONTROL MASTER'!$T$2:$T$495&lt;=6)*('CONTROL MASTER'!$V$2:$V$495&gt;=6)*('CONTROL MASTER'!$U$2:$U$495&lt;=5)*('CONTROL MASTER'!$W$2:$W$495&gt;=5))*ROW('CONTROL MASTER'!$S$2:$S$495))-(ROW('CONTROL MASTER'!#REF!)-1)))+1)+(5-INDEX('CONTROL MASTER'!$U$2:$U$495,(SUMPRODUCT((('CONTROL MASTER'!$S$2:$S$495=10)*('CONTROL MASTER'!$T$2:$T$495&lt;=6)*('CONTROL MASTER'!$V$2:$V$495&gt;=6)*('CONTROL MASTER'!$U$2:$U$495&lt;=5)*('CONTROL MASTER'!$W$2:$W$495&gt;=5))*ROW('CONTROL MASTER'!$S$2:$S$495))-(ROW('CONTROL MASTER'!#REF!)-1))))+1))-1)*50+1,50))&amp;"_"&amp;INDEX('CONTROL MASTER'!$P$2:$P$495,(SUMPRODUCT((('CONTROL MASTER'!$S$2:$S$495=10)*('CONTROL MASTER'!$T$2:$T$495&lt;=6)*('CONTROL MASTER'!$V$2:$V$495&gt;=6)*('CONTROL MASTER'!$U$2:$U$495&lt;=5)*('CONTROL MASTER'!$W$2:$W$495&gt;=5))*ROW('CONTROL MASTER'!$S$2:$S$495))-(ROW('CONTROL MASTER'!#REF!)-1))),IF(SUMPRODUCT((('CONTROL MASTER'!$S$2:$S$495=10)*('CONTROL MASTER'!$Z$2:$Z$495&lt;=6)*('CONTROL MASTER'!$AB$2:$AB$495&gt;=6)*('CONTROL MASTER'!$AA$2:$AA$495&lt;=5)*('CONTROL MASTER'!$AC$2:$AC$495&gt;=5))*ROW('CONTROL MASTER'!$S$2:$S$495))&gt;0,INDEX('CONTROL MASTER'!$X$2:$X$495,(SUMPRODUCT((('CONTROL MASTER'!$S$2:$S$495=10)*('CONTROL MASTER'!$Z$2:$Z$495&lt;=6)*('CONTROL MASTER'!$AB$2:$AB$495&gt;=6)*('CONTROL MASTER'!$AA$2:$AA$495&lt;=5)*('CONTROL MASTER'!$AC$2:$AC$495&gt;=5))*ROW('CONTROL MASTER'!$S$2:$S$495))-(ROW('CONTROL MASTER'!#REF!)-1)))&amp;TRIM(MID(SUBSTITUTE(SUBSTITUTE(INDEX('CONTROL MASTER'!$N$2:$N$495,(SUMPRODUCT((('CONTROL MASTER'!$S$2:$S$495=10)*('CONTROL MASTER'!$Z$2:$Z$495&lt;=6)*('CONTROL MASTER'!$AB$2:$AB$495&gt;=6)*('CONTROL MASTER'!$AA$2:$AA$495&lt;=5)*('CONTROL MASTER'!$AC$2:$AC$495&gt;=5))*ROW('CONTROL MASTER'!$S$2:$S$495))-(ROW('CONTROL MASTER'!#REF!)-1))),":",","),",",REPT(" ",50)),(((INDEX('CONTROL MASTER'!$Y$2:$Y$495,(SUMPRODUCT((('CONTROL MASTER'!$S$2:$S$495=10)*('CONTROL MASTER'!$Z$2:$Z$495&lt;=6)*('CONTROL MASTER'!$AB$2:$AB$495&gt;=6)*('CONTROL MASTER'!$AA$2:$AA$495&lt;=5)*('CONTROL MASTER'!$AC$2:$AC$495&gt;=5))*ROW('CONTROL MASTER'!$S$2:$S$495))-(ROW('CONTROL MASTER'!#REF!)-1)))+((6-INDEX('CONTROL MASTER'!$Z$2:$Z$495,(SUMPRODUCT((('CONTROL MASTER'!$S$2:$S$495=10)*('CONTROL MASTER'!$Z$2:$Z$495&lt;=6)*('CONTROL MASTER'!$AB$2:$AB$495&gt;=6)*('CONTROL MASTER'!$AA$2:$AA$495&lt;=5)*('CONTROL MASTER'!$AC$2:$AC$495&gt;=5))*ROW('CONTROL MASTER'!$S$2:$S$495))-(ROW('CONTROL MASTER'!#REF!)-1))))*(INDEX('CONTROL MASTER'!$AC$2:$AC$495,(SUMPRODUCT((('CONTROL MASTER'!$S$2:$S$495=10)*('CONTROL MASTER'!$Z$2:$Z$495&lt;=6)*('CONTROL MASTER'!$AB$2:$AB$495&gt;=6)*('CONTROL MASTER'!$AA$2:$AA$495&lt;=5)*('CONTROL MASTER'!$AC$2:$AC$495&gt;=5))*ROW('CONTROL MASTER'!$S$2:$S$495))-(ROW('CONTROL MASTER'!#REF!)-1)))-INDEX('CONTROL MASTER'!$AA$2:$AA$495,(SUMPRODUCT((('CONTROL MASTER'!$S$2:$S$495=10)*('CONTROL MASTER'!$Z$2:$Z$495&lt;=6)*('CONTROL MASTER'!$AB$2:$AB$495&gt;=6)*('CONTROL MASTER'!$AA$2:$AA$495&lt;=5)*('CONTROL MASTER'!$AC$2:$AC$495&gt;=5))*ROW('CONTROL MASTER'!$S$2:$S$495))-(ROW('CONTROL MASTER'!#REF!)-1)))+1)+(5-INDEX('CONTROL MASTER'!$AA$2:$AA$495,(SUMPRODUCT((('CONTROL MASTER'!$S$2:$S$495=10)*('CONTROL MASTER'!$Z$2:$Z$495&lt;=6)*('CONTROL MASTER'!$AB$2:$AB$495&gt;=6)*('CONTROL MASTER'!$AA$2:$AA$495&lt;=5)*('CONTROL MASTER'!$AC$2:$AC$495&gt;=5))*ROW('CONTROL MASTER'!$S$2:$S$495))-(ROW('CONTROL MASTER'!#REF!)-1))))+1)))-1)*50+1,50))&amp;"_"&amp;INDEX('CONTROL MASTER'!$P$2:$P$495,(SUMPRODUCT((('CONTROL MASTER'!$S$2:$S$495=10)*('CONTROL MASTER'!$Z$2:$Z$495&lt;=6)*('CONTROL MASTER'!$AB$2:$AB$495&gt;=6)*('CONTROL MASTER'!$AA$2:$AA$495&lt;=5)*('CONTROL MASTER'!$AC$2:$AC$495&gt;=5))*ROW('CONTROL MASTER'!$S$2:$S$495))-(ROW('CONTROL MASTER'!#REF!)-1))),"")),"")</f>
        <v/>
      </c>
      <c r="G134" s="10" t="str">
        <f>IFERROR(IF(SUMPRODUCT((('CONTROL MASTER'!$S$2:$S$495=10)*('CONTROL MASTER'!$T$2:$T$495&lt;=6)*('CONTROL MASTER'!$V$2:$V$495&gt;=6)*('CONTROL MASTER'!$U$2:$U$495&lt;=6)*('CONTROL MASTER'!$W$2:$W$495&gt;=6))*ROW('CONTROL MASTER'!$S$2:$S$495))&gt;0,INDEX('CONTROL MASTER'!$X$2:$X$495,(SUMPRODUCT((('CONTROL MASTER'!$S$2:$S$495=10)*('CONTROL MASTER'!$T$2:$T$495&lt;=6)*('CONTROL MASTER'!$V$2:$V$495&gt;=6)*('CONTROL MASTER'!$U$2:$U$495&lt;=6)*('CONTROL MASTER'!$W$2:$W$495&gt;=6))*ROW('CONTROL MASTER'!$S$2:$S$495))-(ROW('CONTROL MASTER'!#REF!)-1)))&amp;TRIM(MID(SUBSTITUTE(SUBSTITUTE(INDEX('CONTROL MASTER'!$N$2:$N$495,(SUMPRODUCT((('CONTROL MASTER'!$S$2:$S$495=10)*('CONTROL MASTER'!$T$2:$T$495&lt;=6)*('CONTROL MASTER'!$V$2:$V$495&gt;=6)*('CONTROL MASTER'!$U$2:$U$495&lt;=6)*('CONTROL MASTER'!$W$2:$W$495&gt;=6))*ROW('CONTROL MASTER'!$S$2:$S$495))-(ROW('CONTROL MASTER'!#REF!)-1))),":",","),",",REPT(" ",50)),((((6-INDEX('CONTROL MASTER'!$T$2:$T$495,(SUMPRODUCT((('CONTROL MASTER'!$S$2:$S$495=10)*('CONTROL MASTER'!$T$2:$T$495&lt;=6)*('CONTROL MASTER'!$V$2:$V$495&gt;=6)*('CONTROL MASTER'!$U$2:$U$495&lt;=6)*('CONTROL MASTER'!$W$2:$W$495&gt;=6))*ROW('CONTROL MASTER'!$S$2:$S$495))-(ROW('CONTROL MASTER'!#REF!)-1))))*(INDEX('CONTROL MASTER'!$W$2:$W$495,(SUMPRODUCT((('CONTROL MASTER'!$S$2:$S$495=10)*('CONTROL MASTER'!$T$2:$T$495&lt;=6)*('CONTROL MASTER'!$V$2:$V$495&gt;=6)*('CONTROL MASTER'!$U$2:$U$495&lt;=6)*('CONTROL MASTER'!$W$2:$W$495&gt;=6))*ROW('CONTROL MASTER'!$S$2:$S$495))-(ROW('CONTROL MASTER'!#REF!)-1)))-INDEX('CONTROL MASTER'!$U$2:$U$495,(SUMPRODUCT((('CONTROL MASTER'!$S$2:$S$495=10)*('CONTROL MASTER'!$T$2:$T$495&lt;=6)*('CONTROL MASTER'!$V$2:$V$495&gt;=6)*('CONTROL MASTER'!$U$2:$U$495&lt;=6)*('CONTROL MASTER'!$W$2:$W$495&gt;=6))*ROW('CONTROL MASTER'!$S$2:$S$495))-(ROW('CONTROL MASTER'!#REF!)-1)))+1)+(6-INDEX('CONTROL MASTER'!$U$2:$U$495,(SUMPRODUCT((('CONTROL MASTER'!$S$2:$S$495=10)*('CONTROL MASTER'!$T$2:$T$495&lt;=6)*('CONTROL MASTER'!$V$2:$V$495&gt;=6)*('CONTROL MASTER'!$U$2:$U$495&lt;=6)*('CONTROL MASTER'!$W$2:$W$495&gt;=6))*ROW('CONTROL MASTER'!$S$2:$S$495))-(ROW('CONTROL MASTER'!#REF!)-1))))+1))-1)*50+1,50))&amp;"_"&amp;INDEX('CONTROL MASTER'!$P$2:$P$495,(SUMPRODUCT((('CONTROL MASTER'!$S$2:$S$495=10)*('CONTROL MASTER'!$T$2:$T$495&lt;=6)*('CONTROL MASTER'!$V$2:$V$495&gt;=6)*('CONTROL MASTER'!$U$2:$U$495&lt;=6)*('CONTROL MASTER'!$W$2:$W$495&gt;=6))*ROW('CONTROL MASTER'!$S$2:$S$495))-(ROW('CONTROL MASTER'!#REF!)-1))),IF(SUMPRODUCT((('CONTROL MASTER'!$S$2:$S$495=10)*('CONTROL MASTER'!$Z$2:$Z$495&lt;=6)*('CONTROL MASTER'!$AB$2:$AB$495&gt;=6)*('CONTROL MASTER'!$AA$2:$AA$495&lt;=6)*('CONTROL MASTER'!$AC$2:$AC$495&gt;=6))*ROW('CONTROL MASTER'!$S$2:$S$495))&gt;0,INDEX('CONTROL MASTER'!$X$2:$X$495,(SUMPRODUCT((('CONTROL MASTER'!$S$2:$S$495=10)*('CONTROL MASTER'!$Z$2:$Z$495&lt;=6)*('CONTROL MASTER'!$AB$2:$AB$495&gt;=6)*('CONTROL MASTER'!$AA$2:$AA$495&lt;=6)*('CONTROL MASTER'!$AC$2:$AC$495&gt;=6))*ROW('CONTROL MASTER'!$S$2:$S$495))-(ROW('CONTROL MASTER'!#REF!)-1)))&amp;TRIM(MID(SUBSTITUTE(SUBSTITUTE(INDEX('CONTROL MASTER'!$N$2:$N$495,(SUMPRODUCT((('CONTROL MASTER'!$S$2:$S$495=10)*('CONTROL MASTER'!$Z$2:$Z$495&lt;=6)*('CONTROL MASTER'!$AB$2:$AB$495&gt;=6)*('CONTROL MASTER'!$AA$2:$AA$495&lt;=6)*('CONTROL MASTER'!$AC$2:$AC$495&gt;=6))*ROW('CONTROL MASTER'!$S$2:$S$495))-(ROW('CONTROL MASTER'!#REF!)-1))),":",","),",",REPT(" ",50)),(((INDEX('CONTROL MASTER'!$Y$2:$Y$495,(SUMPRODUCT((('CONTROL MASTER'!$S$2:$S$495=10)*('CONTROL MASTER'!$Z$2:$Z$495&lt;=6)*('CONTROL MASTER'!$AB$2:$AB$495&gt;=6)*('CONTROL MASTER'!$AA$2:$AA$495&lt;=6)*('CONTROL MASTER'!$AC$2:$AC$495&gt;=6))*ROW('CONTROL MASTER'!$S$2:$S$495))-(ROW('CONTROL MASTER'!#REF!)-1)))+((6-INDEX('CONTROL MASTER'!$Z$2:$Z$495,(SUMPRODUCT((('CONTROL MASTER'!$S$2:$S$495=10)*('CONTROL MASTER'!$Z$2:$Z$495&lt;=6)*('CONTROL MASTER'!$AB$2:$AB$495&gt;=6)*('CONTROL MASTER'!$AA$2:$AA$495&lt;=6)*('CONTROL MASTER'!$AC$2:$AC$495&gt;=6))*ROW('CONTROL MASTER'!$S$2:$S$495))-(ROW('CONTROL MASTER'!#REF!)-1))))*(INDEX('CONTROL MASTER'!$AC$2:$AC$495,(SUMPRODUCT((('CONTROL MASTER'!$S$2:$S$495=10)*('CONTROL MASTER'!$Z$2:$Z$495&lt;=6)*('CONTROL MASTER'!$AB$2:$AB$495&gt;=6)*('CONTROL MASTER'!$AA$2:$AA$495&lt;=6)*('CONTROL MASTER'!$AC$2:$AC$495&gt;=6))*ROW('CONTROL MASTER'!$S$2:$S$495))-(ROW('CONTROL MASTER'!#REF!)-1)))-INDEX('CONTROL MASTER'!$AA$2:$AA$495,(SUMPRODUCT((('CONTROL MASTER'!$S$2:$S$495=10)*('CONTROL MASTER'!$Z$2:$Z$495&lt;=6)*('CONTROL MASTER'!$AB$2:$AB$495&gt;=6)*('CONTROL MASTER'!$AA$2:$AA$495&lt;=6)*('CONTROL MASTER'!$AC$2:$AC$495&gt;=6))*ROW('CONTROL MASTER'!$S$2:$S$495))-(ROW('CONTROL MASTER'!#REF!)-1)))+1)+(6-INDEX('CONTROL MASTER'!$AA$2:$AA$495,(SUMPRODUCT((('CONTROL MASTER'!$S$2:$S$495=10)*('CONTROL MASTER'!$Z$2:$Z$495&lt;=6)*('CONTROL MASTER'!$AB$2:$AB$495&gt;=6)*('CONTROL MASTER'!$AA$2:$AA$495&lt;=6)*('CONTROL MASTER'!$AC$2:$AC$495&gt;=6))*ROW('CONTROL MASTER'!$S$2:$S$495))-(ROW('CONTROL MASTER'!#REF!)-1))))+1)))-1)*50+1,50))&amp;"_"&amp;INDEX('CONTROL MASTER'!$P$2:$P$495,(SUMPRODUCT((('CONTROL MASTER'!$S$2:$S$495=10)*('CONTROL MASTER'!$Z$2:$Z$495&lt;=6)*('CONTROL MASTER'!$AB$2:$AB$495&gt;=6)*('CONTROL MASTER'!$AA$2:$AA$495&lt;=6)*('CONTROL MASTER'!$AC$2:$AC$495&gt;=6))*ROW('CONTROL MASTER'!$S$2:$S$495))-(ROW('CONTROL MASTER'!#REF!)-1))),"")),"")</f>
        <v/>
      </c>
      <c r="H134" s="10" t="str">
        <f>IFERROR(IF(SUMPRODUCT((('CONTROL MASTER'!$S$2:$S$495=10)*('CONTROL MASTER'!$T$2:$T$495&lt;=6)*('CONTROL MASTER'!$V$2:$V$495&gt;=6)*('CONTROL MASTER'!$U$2:$U$495&lt;=7)*('CONTROL MASTER'!$W$2:$W$495&gt;=7))*ROW('CONTROL MASTER'!$S$2:$S$495))&gt;0,INDEX('CONTROL MASTER'!$X$2:$X$495,(SUMPRODUCT((('CONTROL MASTER'!$S$2:$S$495=10)*('CONTROL MASTER'!$T$2:$T$495&lt;=6)*('CONTROL MASTER'!$V$2:$V$495&gt;=6)*('CONTROL MASTER'!$U$2:$U$495&lt;=7)*('CONTROL MASTER'!$W$2:$W$495&gt;=7))*ROW('CONTROL MASTER'!$S$2:$S$495))-(ROW('CONTROL MASTER'!#REF!)-1)))&amp;TRIM(MID(SUBSTITUTE(SUBSTITUTE(INDEX('CONTROL MASTER'!$N$2:$N$495,(SUMPRODUCT((('CONTROL MASTER'!$S$2:$S$495=10)*('CONTROL MASTER'!$T$2:$T$495&lt;=6)*('CONTROL MASTER'!$V$2:$V$495&gt;=6)*('CONTROL MASTER'!$U$2:$U$495&lt;=7)*('CONTROL MASTER'!$W$2:$W$495&gt;=7))*ROW('CONTROL MASTER'!$S$2:$S$495))-(ROW('CONTROL MASTER'!#REF!)-1))),":",","),",",REPT(" ",50)),((((6-INDEX('CONTROL MASTER'!$T$2:$T$495,(SUMPRODUCT((('CONTROL MASTER'!$S$2:$S$495=10)*('CONTROL MASTER'!$T$2:$T$495&lt;=6)*('CONTROL MASTER'!$V$2:$V$495&gt;=6)*('CONTROL MASTER'!$U$2:$U$495&lt;=7)*('CONTROL MASTER'!$W$2:$W$495&gt;=7))*ROW('CONTROL MASTER'!$S$2:$S$495))-(ROW('CONTROL MASTER'!#REF!)-1))))*(INDEX('CONTROL MASTER'!$W$2:$W$495,(SUMPRODUCT((('CONTROL MASTER'!$S$2:$S$495=10)*('CONTROL MASTER'!$T$2:$T$495&lt;=6)*('CONTROL MASTER'!$V$2:$V$495&gt;=6)*('CONTROL MASTER'!$U$2:$U$495&lt;=7)*('CONTROL MASTER'!$W$2:$W$495&gt;=7))*ROW('CONTROL MASTER'!$S$2:$S$495))-(ROW('CONTROL MASTER'!#REF!)-1)))-INDEX('CONTROL MASTER'!$U$2:$U$495,(SUMPRODUCT((('CONTROL MASTER'!$S$2:$S$495=10)*('CONTROL MASTER'!$T$2:$T$495&lt;=6)*('CONTROL MASTER'!$V$2:$V$495&gt;=6)*('CONTROL MASTER'!$U$2:$U$495&lt;=7)*('CONTROL MASTER'!$W$2:$W$495&gt;=7))*ROW('CONTROL MASTER'!$S$2:$S$495))-(ROW('CONTROL MASTER'!#REF!)-1)))+1)+(7-INDEX('CONTROL MASTER'!$U$2:$U$495,(SUMPRODUCT((('CONTROL MASTER'!$S$2:$S$495=10)*('CONTROL MASTER'!$T$2:$T$495&lt;=6)*('CONTROL MASTER'!$V$2:$V$495&gt;=6)*('CONTROL MASTER'!$U$2:$U$495&lt;=7)*('CONTROL MASTER'!$W$2:$W$495&gt;=7))*ROW('CONTROL MASTER'!$S$2:$S$495))-(ROW('CONTROL MASTER'!#REF!)-1))))+1))-1)*50+1,50))&amp;"_"&amp;INDEX('CONTROL MASTER'!$P$2:$P$495,(SUMPRODUCT((('CONTROL MASTER'!$S$2:$S$495=10)*('CONTROL MASTER'!$T$2:$T$495&lt;=6)*('CONTROL MASTER'!$V$2:$V$495&gt;=6)*('CONTROL MASTER'!$U$2:$U$495&lt;=7)*('CONTROL MASTER'!$W$2:$W$495&gt;=7))*ROW('CONTROL MASTER'!$S$2:$S$495))-(ROW('CONTROL MASTER'!#REF!)-1))),IF(SUMPRODUCT((('CONTROL MASTER'!$S$2:$S$495=10)*('CONTROL MASTER'!$Z$2:$Z$495&lt;=6)*('CONTROL MASTER'!$AB$2:$AB$495&gt;=6)*('CONTROL MASTER'!$AA$2:$AA$495&lt;=7)*('CONTROL MASTER'!$AC$2:$AC$495&gt;=7))*ROW('CONTROL MASTER'!$S$2:$S$495))&gt;0,INDEX('CONTROL MASTER'!$X$2:$X$495,(SUMPRODUCT((('CONTROL MASTER'!$S$2:$S$495=10)*('CONTROL MASTER'!$Z$2:$Z$495&lt;=6)*('CONTROL MASTER'!$AB$2:$AB$495&gt;=6)*('CONTROL MASTER'!$AA$2:$AA$495&lt;=7)*('CONTROL MASTER'!$AC$2:$AC$495&gt;=7))*ROW('CONTROL MASTER'!$S$2:$S$495))-(ROW('CONTROL MASTER'!#REF!)-1)))&amp;TRIM(MID(SUBSTITUTE(SUBSTITUTE(INDEX('CONTROL MASTER'!$N$2:$N$495,(SUMPRODUCT((('CONTROL MASTER'!$S$2:$S$495=10)*('CONTROL MASTER'!$Z$2:$Z$495&lt;=6)*('CONTROL MASTER'!$AB$2:$AB$495&gt;=6)*('CONTROL MASTER'!$AA$2:$AA$495&lt;=7)*('CONTROL MASTER'!$AC$2:$AC$495&gt;=7))*ROW('CONTROL MASTER'!$S$2:$S$495))-(ROW('CONTROL MASTER'!#REF!)-1))),":",","),",",REPT(" ",50)),(((INDEX('CONTROL MASTER'!$Y$2:$Y$495,(SUMPRODUCT((('CONTROL MASTER'!$S$2:$S$495=10)*('CONTROL MASTER'!$Z$2:$Z$495&lt;=6)*('CONTROL MASTER'!$AB$2:$AB$495&gt;=6)*('CONTROL MASTER'!$AA$2:$AA$495&lt;=7)*('CONTROL MASTER'!$AC$2:$AC$495&gt;=7))*ROW('CONTROL MASTER'!$S$2:$S$495))-(ROW('CONTROL MASTER'!#REF!)-1)))+((6-INDEX('CONTROL MASTER'!$Z$2:$Z$495,(SUMPRODUCT((('CONTROL MASTER'!$S$2:$S$495=10)*('CONTROL MASTER'!$Z$2:$Z$495&lt;=6)*('CONTROL MASTER'!$AB$2:$AB$495&gt;=6)*('CONTROL MASTER'!$AA$2:$AA$495&lt;=7)*('CONTROL MASTER'!$AC$2:$AC$495&gt;=7))*ROW('CONTROL MASTER'!$S$2:$S$495))-(ROW('CONTROL MASTER'!#REF!)-1))))*(INDEX('CONTROL MASTER'!$AC$2:$AC$495,(SUMPRODUCT((('CONTROL MASTER'!$S$2:$S$495=10)*('CONTROL MASTER'!$Z$2:$Z$495&lt;=6)*('CONTROL MASTER'!$AB$2:$AB$495&gt;=6)*('CONTROL MASTER'!$AA$2:$AA$495&lt;=7)*('CONTROL MASTER'!$AC$2:$AC$495&gt;=7))*ROW('CONTROL MASTER'!$S$2:$S$495))-(ROW('CONTROL MASTER'!#REF!)-1)))-INDEX('CONTROL MASTER'!$AA$2:$AA$495,(SUMPRODUCT((('CONTROL MASTER'!$S$2:$S$495=10)*('CONTROL MASTER'!$Z$2:$Z$495&lt;=6)*('CONTROL MASTER'!$AB$2:$AB$495&gt;=6)*('CONTROL MASTER'!$AA$2:$AA$495&lt;=7)*('CONTROL MASTER'!$AC$2:$AC$495&gt;=7))*ROW('CONTROL MASTER'!$S$2:$S$495))-(ROW('CONTROL MASTER'!#REF!)-1)))+1)+(7-INDEX('CONTROL MASTER'!$AA$2:$AA$495,(SUMPRODUCT((('CONTROL MASTER'!$S$2:$S$495=10)*('CONTROL MASTER'!$Z$2:$Z$495&lt;=6)*('CONTROL MASTER'!$AB$2:$AB$495&gt;=6)*('CONTROL MASTER'!$AA$2:$AA$495&lt;=7)*('CONTROL MASTER'!$AC$2:$AC$495&gt;=7))*ROW('CONTROL MASTER'!$S$2:$S$495))-(ROW('CONTROL MASTER'!#REF!)-1))))+1)))-1)*50+1,50))&amp;"_"&amp;INDEX('CONTROL MASTER'!$P$2:$P$495,(SUMPRODUCT((('CONTROL MASTER'!$S$2:$S$495=10)*('CONTROL MASTER'!$Z$2:$Z$495&lt;=6)*('CONTROL MASTER'!$AB$2:$AB$495&gt;=6)*('CONTROL MASTER'!$AA$2:$AA$495&lt;=7)*('CONTROL MASTER'!$AC$2:$AC$495&gt;=7))*ROW('CONTROL MASTER'!$S$2:$S$495))-(ROW('CONTROL MASTER'!#REF!)-1))),"")),"")</f>
        <v/>
      </c>
      <c r="I134" s="10" t="str">
        <f>IFERROR(IF(SUMPRODUCT((('CONTROL MASTER'!$S$2:$S$495=10)*('CONTROL MASTER'!$T$2:$T$495&lt;=6)*('CONTROL MASTER'!$V$2:$V$495&gt;=6)*('CONTROL MASTER'!$U$2:$U$495&lt;=8)*('CONTROL MASTER'!$W$2:$W$495&gt;=8))*ROW('CONTROL MASTER'!$S$2:$S$495))&gt;0,INDEX('CONTROL MASTER'!$X$2:$X$495,(SUMPRODUCT((('CONTROL MASTER'!$S$2:$S$495=10)*('CONTROL MASTER'!$T$2:$T$495&lt;=6)*('CONTROL MASTER'!$V$2:$V$495&gt;=6)*('CONTROL MASTER'!$U$2:$U$495&lt;=8)*('CONTROL MASTER'!$W$2:$W$495&gt;=8))*ROW('CONTROL MASTER'!$S$2:$S$495))-(ROW('CONTROL MASTER'!#REF!)-1)))&amp;TRIM(MID(SUBSTITUTE(SUBSTITUTE(INDEX('CONTROL MASTER'!$N$2:$N$495,(SUMPRODUCT((('CONTROL MASTER'!$S$2:$S$495=10)*('CONTROL MASTER'!$T$2:$T$495&lt;=6)*('CONTROL MASTER'!$V$2:$V$495&gt;=6)*('CONTROL MASTER'!$U$2:$U$495&lt;=8)*('CONTROL MASTER'!$W$2:$W$495&gt;=8))*ROW('CONTROL MASTER'!$S$2:$S$495))-(ROW('CONTROL MASTER'!#REF!)-1))),":",","),",",REPT(" ",50)),((((6-INDEX('CONTROL MASTER'!$T$2:$T$495,(SUMPRODUCT((('CONTROL MASTER'!$S$2:$S$495=10)*('CONTROL MASTER'!$T$2:$T$495&lt;=6)*('CONTROL MASTER'!$V$2:$V$495&gt;=6)*('CONTROL MASTER'!$U$2:$U$495&lt;=8)*('CONTROL MASTER'!$W$2:$W$495&gt;=8))*ROW('CONTROL MASTER'!$S$2:$S$495))-(ROW('CONTROL MASTER'!#REF!)-1))))*(INDEX('CONTROL MASTER'!$W$2:$W$495,(SUMPRODUCT((('CONTROL MASTER'!$S$2:$S$495=10)*('CONTROL MASTER'!$T$2:$T$495&lt;=6)*('CONTROL MASTER'!$V$2:$V$495&gt;=6)*('CONTROL MASTER'!$U$2:$U$495&lt;=8)*('CONTROL MASTER'!$W$2:$W$495&gt;=8))*ROW('CONTROL MASTER'!$S$2:$S$495))-(ROW('CONTROL MASTER'!#REF!)-1)))-INDEX('CONTROL MASTER'!$U$2:$U$495,(SUMPRODUCT((('CONTROL MASTER'!$S$2:$S$495=10)*('CONTROL MASTER'!$T$2:$T$495&lt;=6)*('CONTROL MASTER'!$V$2:$V$495&gt;=6)*('CONTROL MASTER'!$U$2:$U$495&lt;=8)*('CONTROL MASTER'!$W$2:$W$495&gt;=8))*ROW('CONTROL MASTER'!$S$2:$S$495))-(ROW('CONTROL MASTER'!#REF!)-1)))+1)+(8-INDEX('CONTROL MASTER'!$U$2:$U$495,(SUMPRODUCT((('CONTROL MASTER'!$S$2:$S$495=10)*('CONTROL MASTER'!$T$2:$T$495&lt;=6)*('CONTROL MASTER'!$V$2:$V$495&gt;=6)*('CONTROL MASTER'!$U$2:$U$495&lt;=8)*('CONTROL MASTER'!$W$2:$W$495&gt;=8))*ROW('CONTROL MASTER'!$S$2:$S$495))-(ROW('CONTROL MASTER'!#REF!)-1))))+1))-1)*50+1,50))&amp;"_"&amp;INDEX('CONTROL MASTER'!$P$2:$P$495,(SUMPRODUCT((('CONTROL MASTER'!$S$2:$S$495=10)*('CONTROL MASTER'!$T$2:$T$495&lt;=6)*('CONTROL MASTER'!$V$2:$V$495&gt;=6)*('CONTROL MASTER'!$U$2:$U$495&lt;=8)*('CONTROL MASTER'!$W$2:$W$495&gt;=8))*ROW('CONTROL MASTER'!$S$2:$S$495))-(ROW('CONTROL MASTER'!#REF!)-1))),IF(SUMPRODUCT((('CONTROL MASTER'!$S$2:$S$495=10)*('CONTROL MASTER'!$Z$2:$Z$495&lt;=6)*('CONTROL MASTER'!$AB$2:$AB$495&gt;=6)*('CONTROL MASTER'!$AA$2:$AA$495&lt;=8)*('CONTROL MASTER'!$AC$2:$AC$495&gt;=8))*ROW('CONTROL MASTER'!$S$2:$S$495))&gt;0,INDEX('CONTROL MASTER'!$X$2:$X$495,(SUMPRODUCT((('CONTROL MASTER'!$S$2:$S$495=10)*('CONTROL MASTER'!$Z$2:$Z$495&lt;=6)*('CONTROL MASTER'!$AB$2:$AB$495&gt;=6)*('CONTROL MASTER'!$AA$2:$AA$495&lt;=8)*('CONTROL MASTER'!$AC$2:$AC$495&gt;=8))*ROW('CONTROL MASTER'!$S$2:$S$495))-(ROW('CONTROL MASTER'!#REF!)-1)))&amp;TRIM(MID(SUBSTITUTE(SUBSTITUTE(INDEX('CONTROL MASTER'!$N$2:$N$495,(SUMPRODUCT((('CONTROL MASTER'!$S$2:$S$495=10)*('CONTROL MASTER'!$Z$2:$Z$495&lt;=6)*('CONTROL MASTER'!$AB$2:$AB$495&gt;=6)*('CONTROL MASTER'!$AA$2:$AA$495&lt;=8)*('CONTROL MASTER'!$AC$2:$AC$495&gt;=8))*ROW('CONTROL MASTER'!$S$2:$S$495))-(ROW('CONTROL MASTER'!#REF!)-1))),":",","),",",REPT(" ",50)),(((INDEX('CONTROL MASTER'!$Y$2:$Y$495,(SUMPRODUCT((('CONTROL MASTER'!$S$2:$S$495=10)*('CONTROL MASTER'!$Z$2:$Z$495&lt;=6)*('CONTROL MASTER'!$AB$2:$AB$495&gt;=6)*('CONTROL MASTER'!$AA$2:$AA$495&lt;=8)*('CONTROL MASTER'!$AC$2:$AC$495&gt;=8))*ROW('CONTROL MASTER'!$S$2:$S$495))-(ROW('CONTROL MASTER'!#REF!)-1)))+((6-INDEX('CONTROL MASTER'!$Z$2:$Z$495,(SUMPRODUCT((('CONTROL MASTER'!$S$2:$S$495=10)*('CONTROL MASTER'!$Z$2:$Z$495&lt;=6)*('CONTROL MASTER'!$AB$2:$AB$495&gt;=6)*('CONTROL MASTER'!$AA$2:$AA$495&lt;=8)*('CONTROL MASTER'!$AC$2:$AC$495&gt;=8))*ROW('CONTROL MASTER'!$S$2:$S$495))-(ROW('CONTROL MASTER'!#REF!)-1))))*(INDEX('CONTROL MASTER'!$AC$2:$AC$495,(SUMPRODUCT((('CONTROL MASTER'!$S$2:$S$495=10)*('CONTROL MASTER'!$Z$2:$Z$495&lt;=6)*('CONTROL MASTER'!$AB$2:$AB$495&gt;=6)*('CONTROL MASTER'!$AA$2:$AA$495&lt;=8)*('CONTROL MASTER'!$AC$2:$AC$495&gt;=8))*ROW('CONTROL MASTER'!$S$2:$S$495))-(ROW('CONTROL MASTER'!#REF!)-1)))-INDEX('CONTROL MASTER'!$AA$2:$AA$495,(SUMPRODUCT((('CONTROL MASTER'!$S$2:$S$495=10)*('CONTROL MASTER'!$Z$2:$Z$495&lt;=6)*('CONTROL MASTER'!$AB$2:$AB$495&gt;=6)*('CONTROL MASTER'!$AA$2:$AA$495&lt;=8)*('CONTROL MASTER'!$AC$2:$AC$495&gt;=8))*ROW('CONTROL MASTER'!$S$2:$S$495))-(ROW('CONTROL MASTER'!#REF!)-1)))+1)+(8-INDEX('CONTROL MASTER'!$AA$2:$AA$495,(SUMPRODUCT((('CONTROL MASTER'!$S$2:$S$495=10)*('CONTROL MASTER'!$Z$2:$Z$495&lt;=6)*('CONTROL MASTER'!$AB$2:$AB$495&gt;=6)*('CONTROL MASTER'!$AA$2:$AA$495&lt;=8)*('CONTROL MASTER'!$AC$2:$AC$495&gt;=8))*ROW('CONTROL MASTER'!$S$2:$S$495))-(ROW('CONTROL MASTER'!#REF!)-1))))+1)))-1)*50+1,50))&amp;"_"&amp;INDEX('CONTROL MASTER'!$P$2:$P$495,(SUMPRODUCT((('CONTROL MASTER'!$S$2:$S$495=10)*('CONTROL MASTER'!$Z$2:$Z$495&lt;=6)*('CONTROL MASTER'!$AB$2:$AB$495&gt;=6)*('CONTROL MASTER'!$AA$2:$AA$495&lt;=8)*('CONTROL MASTER'!$AC$2:$AC$495&gt;=8))*ROW('CONTROL MASTER'!$S$2:$S$495))-(ROW('CONTROL MASTER'!#REF!)-1))),"")),"")</f>
        <v/>
      </c>
      <c r="J134" s="10" t="str">
        <f>IFERROR(IF(SUMPRODUCT((('CONTROL MASTER'!$S$2:$S$495=10)*('CONTROL MASTER'!$T$2:$T$495&lt;=6)*('CONTROL MASTER'!$V$2:$V$495&gt;=6)*('CONTROL MASTER'!$U$2:$U$495&lt;=9)*('CONTROL MASTER'!$W$2:$W$495&gt;=9))*ROW('CONTROL MASTER'!$S$2:$S$495))&gt;0,INDEX('CONTROL MASTER'!$X$2:$X$495,(SUMPRODUCT((('CONTROL MASTER'!$S$2:$S$495=10)*('CONTROL MASTER'!$T$2:$T$495&lt;=6)*('CONTROL MASTER'!$V$2:$V$495&gt;=6)*('CONTROL MASTER'!$U$2:$U$495&lt;=9)*('CONTROL MASTER'!$W$2:$W$495&gt;=9))*ROW('CONTROL MASTER'!$S$2:$S$495))-(ROW('CONTROL MASTER'!#REF!)-1)))&amp;TRIM(MID(SUBSTITUTE(SUBSTITUTE(INDEX('CONTROL MASTER'!$N$2:$N$495,(SUMPRODUCT((('CONTROL MASTER'!$S$2:$S$495=10)*('CONTROL MASTER'!$T$2:$T$495&lt;=6)*('CONTROL MASTER'!$V$2:$V$495&gt;=6)*('CONTROL MASTER'!$U$2:$U$495&lt;=9)*('CONTROL MASTER'!$W$2:$W$495&gt;=9))*ROW('CONTROL MASTER'!$S$2:$S$495))-(ROW('CONTROL MASTER'!#REF!)-1))),":",","),",",REPT(" ",50)),((((6-INDEX('CONTROL MASTER'!$T$2:$T$495,(SUMPRODUCT((('CONTROL MASTER'!$S$2:$S$495=10)*('CONTROL MASTER'!$T$2:$T$495&lt;=6)*('CONTROL MASTER'!$V$2:$V$495&gt;=6)*('CONTROL MASTER'!$U$2:$U$495&lt;=9)*('CONTROL MASTER'!$W$2:$W$495&gt;=9))*ROW('CONTROL MASTER'!$S$2:$S$495))-(ROW('CONTROL MASTER'!#REF!)-1))))*(INDEX('CONTROL MASTER'!$W$2:$W$495,(SUMPRODUCT((('CONTROL MASTER'!$S$2:$S$495=10)*('CONTROL MASTER'!$T$2:$T$495&lt;=6)*('CONTROL MASTER'!$V$2:$V$495&gt;=6)*('CONTROL MASTER'!$U$2:$U$495&lt;=9)*('CONTROL MASTER'!$W$2:$W$495&gt;=9))*ROW('CONTROL MASTER'!$S$2:$S$495))-(ROW('CONTROL MASTER'!#REF!)-1)))-INDEX('CONTROL MASTER'!$U$2:$U$495,(SUMPRODUCT((('CONTROL MASTER'!$S$2:$S$495=10)*('CONTROL MASTER'!$T$2:$T$495&lt;=6)*('CONTROL MASTER'!$V$2:$V$495&gt;=6)*('CONTROL MASTER'!$U$2:$U$495&lt;=9)*('CONTROL MASTER'!$W$2:$W$495&gt;=9))*ROW('CONTROL MASTER'!$S$2:$S$495))-(ROW('CONTROL MASTER'!#REF!)-1)))+1)+(9-INDEX('CONTROL MASTER'!$U$2:$U$495,(SUMPRODUCT((('CONTROL MASTER'!$S$2:$S$495=10)*('CONTROL MASTER'!$T$2:$T$495&lt;=6)*('CONTROL MASTER'!$V$2:$V$495&gt;=6)*('CONTROL MASTER'!$U$2:$U$495&lt;=9)*('CONTROL MASTER'!$W$2:$W$495&gt;=9))*ROW('CONTROL MASTER'!$S$2:$S$495))-(ROW('CONTROL MASTER'!#REF!)-1))))+1))-1)*50+1,50))&amp;"_"&amp;INDEX('CONTROL MASTER'!$P$2:$P$495,(SUMPRODUCT((('CONTROL MASTER'!$S$2:$S$495=10)*('CONTROL MASTER'!$T$2:$T$495&lt;=6)*('CONTROL MASTER'!$V$2:$V$495&gt;=6)*('CONTROL MASTER'!$U$2:$U$495&lt;=9)*('CONTROL MASTER'!$W$2:$W$495&gt;=9))*ROW('CONTROL MASTER'!$S$2:$S$495))-(ROW('CONTROL MASTER'!#REF!)-1))),IF(SUMPRODUCT((('CONTROL MASTER'!$S$2:$S$495=10)*('CONTROL MASTER'!$Z$2:$Z$495&lt;=6)*('CONTROL MASTER'!$AB$2:$AB$495&gt;=6)*('CONTROL MASTER'!$AA$2:$AA$495&lt;=9)*('CONTROL MASTER'!$AC$2:$AC$495&gt;=9))*ROW('CONTROL MASTER'!$S$2:$S$495))&gt;0,INDEX('CONTROL MASTER'!$X$2:$X$495,(SUMPRODUCT((('CONTROL MASTER'!$S$2:$S$495=10)*('CONTROL MASTER'!$Z$2:$Z$495&lt;=6)*('CONTROL MASTER'!$AB$2:$AB$495&gt;=6)*('CONTROL MASTER'!$AA$2:$AA$495&lt;=9)*('CONTROL MASTER'!$AC$2:$AC$495&gt;=9))*ROW('CONTROL MASTER'!$S$2:$S$495))-(ROW('CONTROL MASTER'!#REF!)-1)))&amp;TRIM(MID(SUBSTITUTE(SUBSTITUTE(INDEX('CONTROL MASTER'!$N$2:$N$495,(SUMPRODUCT((('CONTROL MASTER'!$S$2:$S$495=10)*('CONTROL MASTER'!$Z$2:$Z$495&lt;=6)*('CONTROL MASTER'!$AB$2:$AB$495&gt;=6)*('CONTROL MASTER'!$AA$2:$AA$495&lt;=9)*('CONTROL MASTER'!$AC$2:$AC$495&gt;=9))*ROW('CONTROL MASTER'!$S$2:$S$495))-(ROW('CONTROL MASTER'!#REF!)-1))),":",","),",",REPT(" ",50)),(((INDEX('CONTROL MASTER'!$Y$2:$Y$495,(SUMPRODUCT((('CONTROL MASTER'!$S$2:$S$495=10)*('CONTROL MASTER'!$Z$2:$Z$495&lt;=6)*('CONTROL MASTER'!$AB$2:$AB$495&gt;=6)*('CONTROL MASTER'!$AA$2:$AA$495&lt;=9)*('CONTROL MASTER'!$AC$2:$AC$495&gt;=9))*ROW('CONTROL MASTER'!$S$2:$S$495))-(ROW('CONTROL MASTER'!#REF!)-1)))+((6-INDEX('CONTROL MASTER'!$Z$2:$Z$495,(SUMPRODUCT((('CONTROL MASTER'!$S$2:$S$495=10)*('CONTROL MASTER'!$Z$2:$Z$495&lt;=6)*('CONTROL MASTER'!$AB$2:$AB$495&gt;=6)*('CONTROL MASTER'!$AA$2:$AA$495&lt;=9)*('CONTROL MASTER'!$AC$2:$AC$495&gt;=9))*ROW('CONTROL MASTER'!$S$2:$S$495))-(ROW('CONTROL MASTER'!#REF!)-1))))*(INDEX('CONTROL MASTER'!$AC$2:$AC$495,(SUMPRODUCT((('CONTROL MASTER'!$S$2:$S$495=10)*('CONTROL MASTER'!$Z$2:$Z$495&lt;=6)*('CONTROL MASTER'!$AB$2:$AB$495&gt;=6)*('CONTROL MASTER'!$AA$2:$AA$495&lt;=9)*('CONTROL MASTER'!$AC$2:$AC$495&gt;=9))*ROW('CONTROL MASTER'!$S$2:$S$495))-(ROW('CONTROL MASTER'!#REF!)-1)))-INDEX('CONTROL MASTER'!$AA$2:$AA$495,(SUMPRODUCT((('CONTROL MASTER'!$S$2:$S$495=10)*('CONTROL MASTER'!$Z$2:$Z$495&lt;=6)*('CONTROL MASTER'!$AB$2:$AB$495&gt;=6)*('CONTROL MASTER'!$AA$2:$AA$495&lt;=9)*('CONTROL MASTER'!$AC$2:$AC$495&gt;=9))*ROW('CONTROL MASTER'!$S$2:$S$495))-(ROW('CONTROL MASTER'!#REF!)-1)))+1)+(9-INDEX('CONTROL MASTER'!$AA$2:$AA$495,(SUMPRODUCT((('CONTROL MASTER'!$S$2:$S$495=10)*('CONTROL MASTER'!$Z$2:$Z$495&lt;=6)*('CONTROL MASTER'!$AB$2:$AB$495&gt;=6)*('CONTROL MASTER'!$AA$2:$AA$495&lt;=9)*('CONTROL MASTER'!$AC$2:$AC$495&gt;=9))*ROW('CONTROL MASTER'!$S$2:$S$495))-(ROW('CONTROL MASTER'!#REF!)-1))))+1)))-1)*50+1,50))&amp;"_"&amp;INDEX('CONTROL MASTER'!$P$2:$P$495,(SUMPRODUCT((('CONTROL MASTER'!$S$2:$S$495=10)*('CONTROL MASTER'!$Z$2:$Z$495&lt;=6)*('CONTROL MASTER'!$AB$2:$AB$495&gt;=6)*('CONTROL MASTER'!$AA$2:$AA$495&lt;=9)*('CONTROL MASTER'!$AC$2:$AC$495&gt;=9))*ROW('CONTROL MASTER'!$S$2:$S$495))-(ROW('CONTROL MASTER'!#REF!)-1))),"")),"")</f>
        <v/>
      </c>
      <c r="K134" s="10" t="str">
        <f>IFERROR(IF(SUMPRODUCT((('CONTROL MASTER'!$S$2:$S$495=10)*('CONTROL MASTER'!$T$2:$T$495&lt;=6)*('CONTROL MASTER'!$V$2:$V$495&gt;=6)*('CONTROL MASTER'!$U$2:$U$495&lt;=10)*('CONTROL MASTER'!$W$2:$W$495&gt;=10))*ROW('CONTROL MASTER'!$S$2:$S$495))&gt;0,INDEX('CONTROL MASTER'!$X$2:$X$495,(SUMPRODUCT((('CONTROL MASTER'!$S$2:$S$495=10)*('CONTROL MASTER'!$T$2:$T$495&lt;=6)*('CONTROL MASTER'!$V$2:$V$495&gt;=6)*('CONTROL MASTER'!$U$2:$U$495&lt;=10)*('CONTROL MASTER'!$W$2:$W$495&gt;=10))*ROW('CONTROL MASTER'!$S$2:$S$495))-(ROW('CONTROL MASTER'!#REF!)-1)))&amp;TRIM(MID(SUBSTITUTE(SUBSTITUTE(INDEX('CONTROL MASTER'!$N$2:$N$495,(SUMPRODUCT((('CONTROL MASTER'!$S$2:$S$495=10)*('CONTROL MASTER'!$T$2:$T$495&lt;=6)*('CONTROL MASTER'!$V$2:$V$495&gt;=6)*('CONTROL MASTER'!$U$2:$U$495&lt;=10)*('CONTROL MASTER'!$W$2:$W$495&gt;=10))*ROW('CONTROL MASTER'!$S$2:$S$495))-(ROW('CONTROL MASTER'!#REF!)-1))),":",","),",",REPT(" ",50)),((((6-INDEX('CONTROL MASTER'!$T$2:$T$495,(SUMPRODUCT((('CONTROL MASTER'!$S$2:$S$495=10)*('CONTROL MASTER'!$T$2:$T$495&lt;=6)*('CONTROL MASTER'!$V$2:$V$495&gt;=6)*('CONTROL MASTER'!$U$2:$U$495&lt;=10)*('CONTROL MASTER'!$W$2:$W$495&gt;=10))*ROW('CONTROL MASTER'!$S$2:$S$495))-(ROW('CONTROL MASTER'!#REF!)-1))))*(INDEX('CONTROL MASTER'!$W$2:$W$495,(SUMPRODUCT((('CONTROL MASTER'!$S$2:$S$495=10)*('CONTROL MASTER'!$T$2:$T$495&lt;=6)*('CONTROL MASTER'!$V$2:$V$495&gt;=6)*('CONTROL MASTER'!$U$2:$U$495&lt;=10)*('CONTROL MASTER'!$W$2:$W$495&gt;=10))*ROW('CONTROL MASTER'!$S$2:$S$495))-(ROW('CONTROL MASTER'!#REF!)-1)))-INDEX('CONTROL MASTER'!$U$2:$U$495,(SUMPRODUCT((('CONTROL MASTER'!$S$2:$S$495=10)*('CONTROL MASTER'!$T$2:$T$495&lt;=6)*('CONTROL MASTER'!$V$2:$V$495&gt;=6)*('CONTROL MASTER'!$U$2:$U$495&lt;=10)*('CONTROL MASTER'!$W$2:$W$495&gt;=10))*ROW('CONTROL MASTER'!$S$2:$S$495))-(ROW('CONTROL MASTER'!#REF!)-1)))+1)+(10-INDEX('CONTROL MASTER'!$U$2:$U$495,(SUMPRODUCT((('CONTROL MASTER'!$S$2:$S$495=10)*('CONTROL MASTER'!$T$2:$T$495&lt;=6)*('CONTROL MASTER'!$V$2:$V$495&gt;=6)*('CONTROL MASTER'!$U$2:$U$495&lt;=10)*('CONTROL MASTER'!$W$2:$W$495&gt;=10))*ROW('CONTROL MASTER'!$S$2:$S$495))-(ROW('CONTROL MASTER'!#REF!)-1))))+1))-1)*50+1,50))&amp;"_"&amp;INDEX('CONTROL MASTER'!$P$2:$P$495,(SUMPRODUCT((('CONTROL MASTER'!$S$2:$S$495=10)*('CONTROL MASTER'!$T$2:$T$495&lt;=6)*('CONTROL MASTER'!$V$2:$V$495&gt;=6)*('CONTROL MASTER'!$U$2:$U$495&lt;=10)*('CONTROL MASTER'!$W$2:$W$495&gt;=10))*ROW('CONTROL MASTER'!$S$2:$S$495))-(ROW('CONTROL MASTER'!#REF!)-1))),IF(SUMPRODUCT((('CONTROL MASTER'!$S$2:$S$495=10)*('CONTROL MASTER'!$Z$2:$Z$495&lt;=6)*('CONTROL MASTER'!$AB$2:$AB$495&gt;=6)*('CONTROL MASTER'!$AA$2:$AA$495&lt;=10)*('CONTROL MASTER'!$AC$2:$AC$495&gt;=10))*ROW('CONTROL MASTER'!$S$2:$S$495))&gt;0,INDEX('CONTROL MASTER'!$X$2:$X$495,(SUMPRODUCT((('CONTROL MASTER'!$S$2:$S$495=10)*('CONTROL MASTER'!$Z$2:$Z$495&lt;=6)*('CONTROL MASTER'!$AB$2:$AB$495&gt;=6)*('CONTROL MASTER'!$AA$2:$AA$495&lt;=10)*('CONTROL MASTER'!$AC$2:$AC$495&gt;=10))*ROW('CONTROL MASTER'!$S$2:$S$495))-(ROW('CONTROL MASTER'!#REF!)-1)))&amp;TRIM(MID(SUBSTITUTE(SUBSTITUTE(INDEX('CONTROL MASTER'!$N$2:$N$495,(SUMPRODUCT((('CONTROL MASTER'!$S$2:$S$495=10)*('CONTROL MASTER'!$Z$2:$Z$495&lt;=6)*('CONTROL MASTER'!$AB$2:$AB$495&gt;=6)*('CONTROL MASTER'!$AA$2:$AA$495&lt;=10)*('CONTROL MASTER'!$AC$2:$AC$495&gt;=10))*ROW('CONTROL MASTER'!$S$2:$S$495))-(ROW('CONTROL MASTER'!#REF!)-1))),":",","),",",REPT(" ",50)),(((INDEX('CONTROL MASTER'!$Y$2:$Y$495,(SUMPRODUCT((('CONTROL MASTER'!$S$2:$S$495=10)*('CONTROL MASTER'!$Z$2:$Z$495&lt;=6)*('CONTROL MASTER'!$AB$2:$AB$495&gt;=6)*('CONTROL MASTER'!$AA$2:$AA$495&lt;=10)*('CONTROL MASTER'!$AC$2:$AC$495&gt;=10))*ROW('CONTROL MASTER'!$S$2:$S$495))-(ROW('CONTROL MASTER'!#REF!)-1)))+((6-INDEX('CONTROL MASTER'!$Z$2:$Z$495,(SUMPRODUCT((('CONTROL MASTER'!$S$2:$S$495=10)*('CONTROL MASTER'!$Z$2:$Z$495&lt;=6)*('CONTROL MASTER'!$AB$2:$AB$495&gt;=6)*('CONTROL MASTER'!$AA$2:$AA$495&lt;=10)*('CONTROL MASTER'!$AC$2:$AC$495&gt;=10))*ROW('CONTROL MASTER'!$S$2:$S$495))-(ROW('CONTROL MASTER'!#REF!)-1))))*(INDEX('CONTROL MASTER'!$AC$2:$AC$495,(SUMPRODUCT((('CONTROL MASTER'!$S$2:$S$495=10)*('CONTROL MASTER'!$Z$2:$Z$495&lt;=6)*('CONTROL MASTER'!$AB$2:$AB$495&gt;=6)*('CONTROL MASTER'!$AA$2:$AA$495&lt;=10)*('CONTROL MASTER'!$AC$2:$AC$495&gt;=10))*ROW('CONTROL MASTER'!$S$2:$S$495))-(ROW('CONTROL MASTER'!#REF!)-1)))-INDEX('CONTROL MASTER'!$AA$2:$AA$495,(SUMPRODUCT((('CONTROL MASTER'!$S$2:$S$495=10)*('CONTROL MASTER'!$Z$2:$Z$495&lt;=6)*('CONTROL MASTER'!$AB$2:$AB$495&gt;=6)*('CONTROL MASTER'!$AA$2:$AA$495&lt;=10)*('CONTROL MASTER'!$AC$2:$AC$495&gt;=10))*ROW('CONTROL MASTER'!$S$2:$S$495))-(ROW('CONTROL MASTER'!#REF!)-1)))+1)+(10-INDEX('CONTROL MASTER'!$AA$2:$AA$495,(SUMPRODUCT((('CONTROL MASTER'!$S$2:$S$495=10)*('CONTROL MASTER'!$Z$2:$Z$495&lt;=6)*('CONTROL MASTER'!$AB$2:$AB$495&gt;=6)*('CONTROL MASTER'!$AA$2:$AA$495&lt;=10)*('CONTROL MASTER'!$AC$2:$AC$495&gt;=10))*ROW('CONTROL MASTER'!$S$2:$S$495))-(ROW('CONTROL MASTER'!#REF!)-1))))+1)))-1)*50+1,50))&amp;"_"&amp;INDEX('CONTROL MASTER'!$P$2:$P$495,(SUMPRODUCT((('CONTROL MASTER'!$S$2:$S$495=10)*('CONTROL MASTER'!$Z$2:$Z$495&lt;=6)*('CONTROL MASTER'!$AB$2:$AB$495&gt;=6)*('CONTROL MASTER'!$AA$2:$AA$495&lt;=10)*('CONTROL MASTER'!$AC$2:$AC$495&gt;=10))*ROW('CONTROL MASTER'!$S$2:$S$495))-(ROW('CONTROL MASTER'!#REF!)-1))),"")),"")</f>
        <v/>
      </c>
    </row>
    <row r="135" spans="1:11" ht="15" customHeight="1" x14ac:dyDescent="0.35">
      <c r="A135" s="8" t="s">
        <v>34</v>
      </c>
      <c r="B135" s="10" t="str">
        <f>IFERROR(IF(SUMPRODUCT((('CONTROL MASTER'!$S$2:$S$495=10)*('CONTROL MASTER'!$T$2:$T$495&lt;=7)*('CONTROL MASTER'!$V$2:$V$495&gt;=7)*('CONTROL MASTER'!$U$2:$U$495&lt;=1)*('CONTROL MASTER'!$W$2:$W$495&gt;=1))*ROW('CONTROL MASTER'!$S$2:$S$495))&gt;0,INDEX('CONTROL MASTER'!$X$2:$X$495,(SUMPRODUCT((('CONTROL MASTER'!$S$2:$S$495=10)*('CONTROL MASTER'!$T$2:$T$495&lt;=7)*('CONTROL MASTER'!$V$2:$V$495&gt;=7)*('CONTROL MASTER'!$U$2:$U$495&lt;=1)*('CONTROL MASTER'!$W$2:$W$495&gt;=1))*ROW('CONTROL MASTER'!$S$2:$S$495))-(ROW('CONTROL MASTER'!#REF!)-1)))&amp;TRIM(MID(SUBSTITUTE(SUBSTITUTE(INDEX('CONTROL MASTER'!$N$2:$N$495,(SUMPRODUCT((('CONTROL MASTER'!$S$2:$S$495=10)*('CONTROL MASTER'!$T$2:$T$495&lt;=7)*('CONTROL MASTER'!$V$2:$V$495&gt;=7)*('CONTROL MASTER'!$U$2:$U$495&lt;=1)*('CONTROL MASTER'!$W$2:$W$495&gt;=1))*ROW('CONTROL MASTER'!$S$2:$S$495))-(ROW('CONTROL MASTER'!#REF!)-1))),":",","),",",REPT(" ",50)),((((7-INDEX('CONTROL MASTER'!$T$2:$T$495,(SUMPRODUCT((('CONTROL MASTER'!$S$2:$S$495=10)*('CONTROL MASTER'!$T$2:$T$495&lt;=7)*('CONTROL MASTER'!$V$2:$V$495&gt;=7)*('CONTROL MASTER'!$U$2:$U$495&lt;=1)*('CONTROL MASTER'!$W$2:$W$495&gt;=1))*ROW('CONTROL MASTER'!$S$2:$S$495))-(ROW('CONTROL MASTER'!#REF!)-1))))*(INDEX('CONTROL MASTER'!$W$2:$W$495,(SUMPRODUCT((('CONTROL MASTER'!$S$2:$S$495=10)*('CONTROL MASTER'!$T$2:$T$495&lt;=7)*('CONTROL MASTER'!$V$2:$V$495&gt;=7)*('CONTROL MASTER'!$U$2:$U$495&lt;=1)*('CONTROL MASTER'!$W$2:$W$495&gt;=1))*ROW('CONTROL MASTER'!$S$2:$S$495))-(ROW('CONTROL MASTER'!#REF!)-1)))-INDEX('CONTROL MASTER'!$U$2:$U$495,(SUMPRODUCT((('CONTROL MASTER'!$S$2:$S$495=10)*('CONTROL MASTER'!$T$2:$T$495&lt;=7)*('CONTROL MASTER'!$V$2:$V$495&gt;=7)*('CONTROL MASTER'!$U$2:$U$495&lt;=1)*('CONTROL MASTER'!$W$2:$W$495&gt;=1))*ROW('CONTROL MASTER'!$S$2:$S$495))-(ROW('CONTROL MASTER'!#REF!)-1)))+1)+(1-INDEX('CONTROL MASTER'!$U$2:$U$495,(SUMPRODUCT((('CONTROL MASTER'!$S$2:$S$495=10)*('CONTROL MASTER'!$T$2:$T$495&lt;=7)*('CONTROL MASTER'!$V$2:$V$495&gt;=7)*('CONTROL MASTER'!$U$2:$U$495&lt;=1)*('CONTROL MASTER'!$W$2:$W$495&gt;=1))*ROW('CONTROL MASTER'!$S$2:$S$495))-(ROW('CONTROL MASTER'!#REF!)-1))))+1))-1)*50+1,50))&amp;"_"&amp;INDEX('CONTROL MASTER'!$P$2:$P$495,(SUMPRODUCT((('CONTROL MASTER'!$S$2:$S$495=10)*('CONTROL MASTER'!$T$2:$T$495&lt;=7)*('CONTROL MASTER'!$V$2:$V$495&gt;=7)*('CONTROL MASTER'!$U$2:$U$495&lt;=1)*('CONTROL MASTER'!$W$2:$W$495&gt;=1))*ROW('CONTROL MASTER'!$S$2:$S$495))-(ROW('CONTROL MASTER'!#REF!)-1))),IF(SUMPRODUCT((('CONTROL MASTER'!$S$2:$S$495=10)*('CONTROL MASTER'!$Z$2:$Z$495&lt;=7)*('CONTROL MASTER'!$AB$2:$AB$495&gt;=7)*('CONTROL MASTER'!$AA$2:$AA$495&lt;=1)*('CONTROL MASTER'!$AC$2:$AC$495&gt;=1))*ROW('CONTROL MASTER'!$S$2:$S$495))&gt;0,INDEX('CONTROL MASTER'!$X$2:$X$495,(SUMPRODUCT((('CONTROL MASTER'!$S$2:$S$495=10)*('CONTROL MASTER'!$Z$2:$Z$495&lt;=7)*('CONTROL MASTER'!$AB$2:$AB$495&gt;=7)*('CONTROL MASTER'!$AA$2:$AA$495&lt;=1)*('CONTROL MASTER'!$AC$2:$AC$495&gt;=1))*ROW('CONTROL MASTER'!$S$2:$S$495))-(ROW('CONTROL MASTER'!#REF!)-1)))&amp;TRIM(MID(SUBSTITUTE(SUBSTITUTE(INDEX('CONTROL MASTER'!$N$2:$N$495,(SUMPRODUCT((('CONTROL MASTER'!$S$2:$S$495=10)*('CONTROL MASTER'!$Z$2:$Z$495&lt;=7)*('CONTROL MASTER'!$AB$2:$AB$495&gt;=7)*('CONTROL MASTER'!$AA$2:$AA$495&lt;=1)*('CONTROL MASTER'!$AC$2:$AC$495&gt;=1))*ROW('CONTROL MASTER'!$S$2:$S$495))-(ROW('CONTROL MASTER'!#REF!)-1))),":",","),",",REPT(" ",50)),(((INDEX('CONTROL MASTER'!$Y$2:$Y$495,(SUMPRODUCT((('CONTROL MASTER'!$S$2:$S$495=10)*('CONTROL MASTER'!$Z$2:$Z$495&lt;=7)*('CONTROL MASTER'!$AB$2:$AB$495&gt;=7)*('CONTROL MASTER'!$AA$2:$AA$495&lt;=1)*('CONTROL MASTER'!$AC$2:$AC$495&gt;=1))*ROW('CONTROL MASTER'!$S$2:$S$495))-(ROW('CONTROL MASTER'!#REF!)-1)))+((7-INDEX('CONTROL MASTER'!$Z$2:$Z$495,(SUMPRODUCT((('CONTROL MASTER'!$S$2:$S$495=10)*('CONTROL MASTER'!$Z$2:$Z$495&lt;=7)*('CONTROL MASTER'!$AB$2:$AB$495&gt;=7)*('CONTROL MASTER'!$AA$2:$AA$495&lt;=1)*('CONTROL MASTER'!$AC$2:$AC$495&gt;=1))*ROW('CONTROL MASTER'!$S$2:$S$495))-(ROW('CONTROL MASTER'!#REF!)-1))))*(INDEX('CONTROL MASTER'!$AC$2:$AC$495,(SUMPRODUCT((('CONTROL MASTER'!$S$2:$S$495=10)*('CONTROL MASTER'!$Z$2:$Z$495&lt;=7)*('CONTROL MASTER'!$AB$2:$AB$495&gt;=7)*('CONTROL MASTER'!$AA$2:$AA$495&lt;=1)*('CONTROL MASTER'!$AC$2:$AC$495&gt;=1))*ROW('CONTROL MASTER'!$S$2:$S$495))-(ROW('CONTROL MASTER'!#REF!)-1)))-INDEX('CONTROL MASTER'!$AA$2:$AA$495,(SUMPRODUCT((('CONTROL MASTER'!$S$2:$S$495=10)*('CONTROL MASTER'!$Z$2:$Z$495&lt;=7)*('CONTROL MASTER'!$AB$2:$AB$495&gt;=7)*('CONTROL MASTER'!$AA$2:$AA$495&lt;=1)*('CONTROL MASTER'!$AC$2:$AC$495&gt;=1))*ROW('CONTROL MASTER'!$S$2:$S$495))-(ROW('CONTROL MASTER'!#REF!)-1)))+1)+(1-INDEX('CONTROL MASTER'!$AA$2:$AA$495,(SUMPRODUCT((('CONTROL MASTER'!$S$2:$S$495=10)*('CONTROL MASTER'!$Z$2:$Z$495&lt;=7)*('CONTROL MASTER'!$AB$2:$AB$495&gt;=7)*('CONTROL MASTER'!$AA$2:$AA$495&lt;=1)*('CONTROL MASTER'!$AC$2:$AC$495&gt;=1))*ROW('CONTROL MASTER'!$S$2:$S$495))-(ROW('CONTROL MASTER'!#REF!)-1))))+1)))-1)*50+1,50))&amp;"_"&amp;INDEX('CONTROL MASTER'!$P$2:$P$495,(SUMPRODUCT((('CONTROL MASTER'!$S$2:$S$495=10)*('CONTROL MASTER'!$Z$2:$Z$495&lt;=7)*('CONTROL MASTER'!$AB$2:$AB$495&gt;=7)*('CONTROL MASTER'!$AA$2:$AA$495&lt;=1)*('CONTROL MASTER'!$AC$2:$AC$495&gt;=1))*ROW('CONTROL MASTER'!$S$2:$S$495))-(ROW('CONTROL MASTER'!#REF!)-1))),"")),"")</f>
        <v/>
      </c>
      <c r="C135" s="10" t="str">
        <f>IFERROR(IF(SUMPRODUCT((('CONTROL MASTER'!$S$2:$S$495=10)*('CONTROL MASTER'!$T$2:$T$495&lt;=7)*('CONTROL MASTER'!$V$2:$V$495&gt;=7)*('CONTROL MASTER'!$U$2:$U$495&lt;=2)*('CONTROL MASTER'!$W$2:$W$495&gt;=2))*ROW('CONTROL MASTER'!$S$2:$S$495))&gt;0,INDEX('CONTROL MASTER'!$X$2:$X$495,(SUMPRODUCT((('CONTROL MASTER'!$S$2:$S$495=10)*('CONTROL MASTER'!$T$2:$T$495&lt;=7)*('CONTROL MASTER'!$V$2:$V$495&gt;=7)*('CONTROL MASTER'!$U$2:$U$495&lt;=2)*('CONTROL MASTER'!$W$2:$W$495&gt;=2))*ROW('CONTROL MASTER'!$S$2:$S$495))-(ROW('CONTROL MASTER'!#REF!)-1)))&amp;TRIM(MID(SUBSTITUTE(SUBSTITUTE(INDEX('CONTROL MASTER'!$N$2:$N$495,(SUMPRODUCT((('CONTROL MASTER'!$S$2:$S$495=10)*('CONTROL MASTER'!$T$2:$T$495&lt;=7)*('CONTROL MASTER'!$V$2:$V$495&gt;=7)*('CONTROL MASTER'!$U$2:$U$495&lt;=2)*('CONTROL MASTER'!$W$2:$W$495&gt;=2))*ROW('CONTROL MASTER'!$S$2:$S$495))-(ROW('CONTROL MASTER'!#REF!)-1))),":",","),",",REPT(" ",50)),((((7-INDEX('CONTROL MASTER'!$T$2:$T$495,(SUMPRODUCT((('CONTROL MASTER'!$S$2:$S$495=10)*('CONTROL MASTER'!$T$2:$T$495&lt;=7)*('CONTROL MASTER'!$V$2:$V$495&gt;=7)*('CONTROL MASTER'!$U$2:$U$495&lt;=2)*('CONTROL MASTER'!$W$2:$W$495&gt;=2))*ROW('CONTROL MASTER'!$S$2:$S$495))-(ROW('CONTROL MASTER'!#REF!)-1))))*(INDEX('CONTROL MASTER'!$W$2:$W$495,(SUMPRODUCT((('CONTROL MASTER'!$S$2:$S$495=10)*('CONTROL MASTER'!$T$2:$T$495&lt;=7)*('CONTROL MASTER'!$V$2:$V$495&gt;=7)*('CONTROL MASTER'!$U$2:$U$495&lt;=2)*('CONTROL MASTER'!$W$2:$W$495&gt;=2))*ROW('CONTROL MASTER'!$S$2:$S$495))-(ROW('CONTROL MASTER'!#REF!)-1)))-INDEX('CONTROL MASTER'!$U$2:$U$495,(SUMPRODUCT((('CONTROL MASTER'!$S$2:$S$495=10)*('CONTROL MASTER'!$T$2:$T$495&lt;=7)*('CONTROL MASTER'!$V$2:$V$495&gt;=7)*('CONTROL MASTER'!$U$2:$U$495&lt;=2)*('CONTROL MASTER'!$W$2:$W$495&gt;=2))*ROW('CONTROL MASTER'!$S$2:$S$495))-(ROW('CONTROL MASTER'!#REF!)-1)))+1)+(2-INDEX('CONTROL MASTER'!$U$2:$U$495,(SUMPRODUCT((('CONTROL MASTER'!$S$2:$S$495=10)*('CONTROL MASTER'!$T$2:$T$495&lt;=7)*('CONTROL MASTER'!$V$2:$V$495&gt;=7)*('CONTROL MASTER'!$U$2:$U$495&lt;=2)*('CONTROL MASTER'!$W$2:$W$495&gt;=2))*ROW('CONTROL MASTER'!$S$2:$S$495))-(ROW('CONTROL MASTER'!#REF!)-1))))+1))-1)*50+1,50))&amp;"_"&amp;INDEX('CONTROL MASTER'!$P$2:$P$495,(SUMPRODUCT((('CONTROL MASTER'!$S$2:$S$495=10)*('CONTROL MASTER'!$T$2:$T$495&lt;=7)*('CONTROL MASTER'!$V$2:$V$495&gt;=7)*('CONTROL MASTER'!$U$2:$U$495&lt;=2)*('CONTROL MASTER'!$W$2:$W$495&gt;=2))*ROW('CONTROL MASTER'!$S$2:$S$495))-(ROW('CONTROL MASTER'!#REF!)-1))),IF(SUMPRODUCT((('CONTROL MASTER'!$S$2:$S$495=10)*('CONTROL MASTER'!$Z$2:$Z$495&lt;=7)*('CONTROL MASTER'!$AB$2:$AB$495&gt;=7)*('CONTROL MASTER'!$AA$2:$AA$495&lt;=2)*('CONTROL MASTER'!$AC$2:$AC$495&gt;=2))*ROW('CONTROL MASTER'!$S$2:$S$495))&gt;0,INDEX('CONTROL MASTER'!$X$2:$X$495,(SUMPRODUCT((('CONTROL MASTER'!$S$2:$S$495=10)*('CONTROL MASTER'!$Z$2:$Z$495&lt;=7)*('CONTROL MASTER'!$AB$2:$AB$495&gt;=7)*('CONTROL MASTER'!$AA$2:$AA$495&lt;=2)*('CONTROL MASTER'!$AC$2:$AC$495&gt;=2))*ROW('CONTROL MASTER'!$S$2:$S$495))-(ROW('CONTROL MASTER'!#REF!)-1)))&amp;TRIM(MID(SUBSTITUTE(SUBSTITUTE(INDEX('CONTROL MASTER'!$N$2:$N$495,(SUMPRODUCT((('CONTROL MASTER'!$S$2:$S$495=10)*('CONTROL MASTER'!$Z$2:$Z$495&lt;=7)*('CONTROL MASTER'!$AB$2:$AB$495&gt;=7)*('CONTROL MASTER'!$AA$2:$AA$495&lt;=2)*('CONTROL MASTER'!$AC$2:$AC$495&gt;=2))*ROW('CONTROL MASTER'!$S$2:$S$495))-(ROW('CONTROL MASTER'!#REF!)-1))),":",","),",",REPT(" ",50)),(((INDEX('CONTROL MASTER'!$Y$2:$Y$495,(SUMPRODUCT((('CONTROL MASTER'!$S$2:$S$495=10)*('CONTROL MASTER'!$Z$2:$Z$495&lt;=7)*('CONTROL MASTER'!$AB$2:$AB$495&gt;=7)*('CONTROL MASTER'!$AA$2:$AA$495&lt;=2)*('CONTROL MASTER'!$AC$2:$AC$495&gt;=2))*ROW('CONTROL MASTER'!$S$2:$S$495))-(ROW('CONTROL MASTER'!#REF!)-1)))+((7-INDEX('CONTROL MASTER'!$Z$2:$Z$495,(SUMPRODUCT((('CONTROL MASTER'!$S$2:$S$495=10)*('CONTROL MASTER'!$Z$2:$Z$495&lt;=7)*('CONTROL MASTER'!$AB$2:$AB$495&gt;=7)*('CONTROL MASTER'!$AA$2:$AA$495&lt;=2)*('CONTROL MASTER'!$AC$2:$AC$495&gt;=2))*ROW('CONTROL MASTER'!$S$2:$S$495))-(ROW('CONTROL MASTER'!#REF!)-1))))*(INDEX('CONTROL MASTER'!$AC$2:$AC$495,(SUMPRODUCT((('CONTROL MASTER'!$S$2:$S$495=10)*('CONTROL MASTER'!$Z$2:$Z$495&lt;=7)*('CONTROL MASTER'!$AB$2:$AB$495&gt;=7)*('CONTROL MASTER'!$AA$2:$AA$495&lt;=2)*('CONTROL MASTER'!$AC$2:$AC$495&gt;=2))*ROW('CONTROL MASTER'!$S$2:$S$495))-(ROW('CONTROL MASTER'!#REF!)-1)))-INDEX('CONTROL MASTER'!$AA$2:$AA$495,(SUMPRODUCT((('CONTROL MASTER'!$S$2:$S$495=10)*('CONTROL MASTER'!$Z$2:$Z$495&lt;=7)*('CONTROL MASTER'!$AB$2:$AB$495&gt;=7)*('CONTROL MASTER'!$AA$2:$AA$495&lt;=2)*('CONTROL MASTER'!$AC$2:$AC$495&gt;=2))*ROW('CONTROL MASTER'!$S$2:$S$495))-(ROW('CONTROL MASTER'!#REF!)-1)))+1)+(2-INDEX('CONTROL MASTER'!$AA$2:$AA$495,(SUMPRODUCT((('CONTROL MASTER'!$S$2:$S$495=10)*('CONTROL MASTER'!$Z$2:$Z$495&lt;=7)*('CONTROL MASTER'!$AB$2:$AB$495&gt;=7)*('CONTROL MASTER'!$AA$2:$AA$495&lt;=2)*('CONTROL MASTER'!$AC$2:$AC$495&gt;=2))*ROW('CONTROL MASTER'!$S$2:$S$495))-(ROW('CONTROL MASTER'!#REF!)-1))))+1)))-1)*50+1,50))&amp;"_"&amp;INDEX('CONTROL MASTER'!$P$2:$P$495,(SUMPRODUCT((('CONTROL MASTER'!$S$2:$S$495=10)*('CONTROL MASTER'!$Z$2:$Z$495&lt;=7)*('CONTROL MASTER'!$AB$2:$AB$495&gt;=7)*('CONTROL MASTER'!$AA$2:$AA$495&lt;=2)*('CONTROL MASTER'!$AC$2:$AC$495&gt;=2))*ROW('CONTROL MASTER'!$S$2:$S$495))-(ROW('CONTROL MASTER'!#REF!)-1))),"")),"")</f>
        <v/>
      </c>
      <c r="D135" s="10" t="str">
        <f>IFERROR(IF(SUMPRODUCT((('CONTROL MASTER'!$S$2:$S$495=10)*('CONTROL MASTER'!$T$2:$T$495&lt;=7)*('CONTROL MASTER'!$V$2:$V$495&gt;=7)*('CONTROL MASTER'!$U$2:$U$495&lt;=3)*('CONTROL MASTER'!$W$2:$W$495&gt;=3))*ROW('CONTROL MASTER'!$S$2:$S$495))&gt;0,INDEX('CONTROL MASTER'!$X$2:$X$495,(SUMPRODUCT((('CONTROL MASTER'!$S$2:$S$495=10)*('CONTROL MASTER'!$T$2:$T$495&lt;=7)*('CONTROL MASTER'!$V$2:$V$495&gt;=7)*('CONTROL MASTER'!$U$2:$U$495&lt;=3)*('CONTROL MASTER'!$W$2:$W$495&gt;=3))*ROW('CONTROL MASTER'!$S$2:$S$495))-(ROW('CONTROL MASTER'!#REF!)-1)))&amp;TRIM(MID(SUBSTITUTE(SUBSTITUTE(INDEX('CONTROL MASTER'!$N$2:$N$495,(SUMPRODUCT((('CONTROL MASTER'!$S$2:$S$495=10)*('CONTROL MASTER'!$T$2:$T$495&lt;=7)*('CONTROL MASTER'!$V$2:$V$495&gt;=7)*('CONTROL MASTER'!$U$2:$U$495&lt;=3)*('CONTROL MASTER'!$W$2:$W$495&gt;=3))*ROW('CONTROL MASTER'!$S$2:$S$495))-(ROW('CONTROL MASTER'!#REF!)-1))),":",","),",",REPT(" ",50)),((((7-INDEX('CONTROL MASTER'!$T$2:$T$495,(SUMPRODUCT((('CONTROL MASTER'!$S$2:$S$495=10)*('CONTROL MASTER'!$T$2:$T$495&lt;=7)*('CONTROL MASTER'!$V$2:$V$495&gt;=7)*('CONTROL MASTER'!$U$2:$U$495&lt;=3)*('CONTROL MASTER'!$W$2:$W$495&gt;=3))*ROW('CONTROL MASTER'!$S$2:$S$495))-(ROW('CONTROL MASTER'!#REF!)-1))))*(INDEX('CONTROL MASTER'!$W$2:$W$495,(SUMPRODUCT((('CONTROL MASTER'!$S$2:$S$495=10)*('CONTROL MASTER'!$T$2:$T$495&lt;=7)*('CONTROL MASTER'!$V$2:$V$495&gt;=7)*('CONTROL MASTER'!$U$2:$U$495&lt;=3)*('CONTROL MASTER'!$W$2:$W$495&gt;=3))*ROW('CONTROL MASTER'!$S$2:$S$495))-(ROW('CONTROL MASTER'!#REF!)-1)))-INDEX('CONTROL MASTER'!$U$2:$U$495,(SUMPRODUCT((('CONTROL MASTER'!$S$2:$S$495=10)*('CONTROL MASTER'!$T$2:$T$495&lt;=7)*('CONTROL MASTER'!$V$2:$V$495&gt;=7)*('CONTROL MASTER'!$U$2:$U$495&lt;=3)*('CONTROL MASTER'!$W$2:$W$495&gt;=3))*ROW('CONTROL MASTER'!$S$2:$S$495))-(ROW('CONTROL MASTER'!#REF!)-1)))+1)+(3-INDEX('CONTROL MASTER'!$U$2:$U$495,(SUMPRODUCT((('CONTROL MASTER'!$S$2:$S$495=10)*('CONTROL MASTER'!$T$2:$T$495&lt;=7)*('CONTROL MASTER'!$V$2:$V$495&gt;=7)*('CONTROL MASTER'!$U$2:$U$495&lt;=3)*('CONTROL MASTER'!$W$2:$W$495&gt;=3))*ROW('CONTROL MASTER'!$S$2:$S$495))-(ROW('CONTROL MASTER'!#REF!)-1))))+1))-1)*50+1,50))&amp;"_"&amp;INDEX('CONTROL MASTER'!$P$2:$P$495,(SUMPRODUCT((('CONTROL MASTER'!$S$2:$S$495=10)*('CONTROL MASTER'!$T$2:$T$495&lt;=7)*('CONTROL MASTER'!$V$2:$V$495&gt;=7)*('CONTROL MASTER'!$U$2:$U$495&lt;=3)*('CONTROL MASTER'!$W$2:$W$495&gt;=3))*ROW('CONTROL MASTER'!$S$2:$S$495))-(ROW('CONTROL MASTER'!#REF!)-1))),IF(SUMPRODUCT((('CONTROL MASTER'!$S$2:$S$495=10)*('CONTROL MASTER'!$Z$2:$Z$495&lt;=7)*('CONTROL MASTER'!$AB$2:$AB$495&gt;=7)*('CONTROL MASTER'!$AA$2:$AA$495&lt;=3)*('CONTROL MASTER'!$AC$2:$AC$495&gt;=3))*ROW('CONTROL MASTER'!$S$2:$S$495))&gt;0,INDEX('CONTROL MASTER'!$X$2:$X$495,(SUMPRODUCT((('CONTROL MASTER'!$S$2:$S$495=10)*('CONTROL MASTER'!$Z$2:$Z$495&lt;=7)*('CONTROL MASTER'!$AB$2:$AB$495&gt;=7)*('CONTROL MASTER'!$AA$2:$AA$495&lt;=3)*('CONTROL MASTER'!$AC$2:$AC$495&gt;=3))*ROW('CONTROL MASTER'!$S$2:$S$495))-(ROW('CONTROL MASTER'!#REF!)-1)))&amp;TRIM(MID(SUBSTITUTE(SUBSTITUTE(INDEX('CONTROL MASTER'!$N$2:$N$495,(SUMPRODUCT((('CONTROL MASTER'!$S$2:$S$495=10)*('CONTROL MASTER'!$Z$2:$Z$495&lt;=7)*('CONTROL MASTER'!$AB$2:$AB$495&gt;=7)*('CONTROL MASTER'!$AA$2:$AA$495&lt;=3)*('CONTROL MASTER'!$AC$2:$AC$495&gt;=3))*ROW('CONTROL MASTER'!$S$2:$S$495))-(ROW('CONTROL MASTER'!#REF!)-1))),":",","),",",REPT(" ",50)),(((INDEX('CONTROL MASTER'!$Y$2:$Y$495,(SUMPRODUCT((('CONTROL MASTER'!$S$2:$S$495=10)*('CONTROL MASTER'!$Z$2:$Z$495&lt;=7)*('CONTROL MASTER'!$AB$2:$AB$495&gt;=7)*('CONTROL MASTER'!$AA$2:$AA$495&lt;=3)*('CONTROL MASTER'!$AC$2:$AC$495&gt;=3))*ROW('CONTROL MASTER'!$S$2:$S$495))-(ROW('CONTROL MASTER'!#REF!)-1)))+((7-INDEX('CONTROL MASTER'!$Z$2:$Z$495,(SUMPRODUCT((('CONTROL MASTER'!$S$2:$S$495=10)*('CONTROL MASTER'!$Z$2:$Z$495&lt;=7)*('CONTROL MASTER'!$AB$2:$AB$495&gt;=7)*('CONTROL MASTER'!$AA$2:$AA$495&lt;=3)*('CONTROL MASTER'!$AC$2:$AC$495&gt;=3))*ROW('CONTROL MASTER'!$S$2:$S$495))-(ROW('CONTROL MASTER'!#REF!)-1))))*(INDEX('CONTROL MASTER'!$AC$2:$AC$495,(SUMPRODUCT((('CONTROL MASTER'!$S$2:$S$495=10)*('CONTROL MASTER'!$Z$2:$Z$495&lt;=7)*('CONTROL MASTER'!$AB$2:$AB$495&gt;=7)*('CONTROL MASTER'!$AA$2:$AA$495&lt;=3)*('CONTROL MASTER'!$AC$2:$AC$495&gt;=3))*ROW('CONTROL MASTER'!$S$2:$S$495))-(ROW('CONTROL MASTER'!#REF!)-1)))-INDEX('CONTROL MASTER'!$AA$2:$AA$495,(SUMPRODUCT((('CONTROL MASTER'!$S$2:$S$495=10)*('CONTROL MASTER'!$Z$2:$Z$495&lt;=7)*('CONTROL MASTER'!$AB$2:$AB$495&gt;=7)*('CONTROL MASTER'!$AA$2:$AA$495&lt;=3)*('CONTROL MASTER'!$AC$2:$AC$495&gt;=3))*ROW('CONTROL MASTER'!$S$2:$S$495))-(ROW('CONTROL MASTER'!#REF!)-1)))+1)+(3-INDEX('CONTROL MASTER'!$AA$2:$AA$495,(SUMPRODUCT((('CONTROL MASTER'!$S$2:$S$495=10)*('CONTROL MASTER'!$Z$2:$Z$495&lt;=7)*('CONTROL MASTER'!$AB$2:$AB$495&gt;=7)*('CONTROL MASTER'!$AA$2:$AA$495&lt;=3)*('CONTROL MASTER'!$AC$2:$AC$495&gt;=3))*ROW('CONTROL MASTER'!$S$2:$S$495))-(ROW('CONTROL MASTER'!#REF!)-1))))+1)))-1)*50+1,50))&amp;"_"&amp;INDEX('CONTROL MASTER'!$P$2:$P$495,(SUMPRODUCT((('CONTROL MASTER'!$S$2:$S$495=10)*('CONTROL MASTER'!$Z$2:$Z$495&lt;=7)*('CONTROL MASTER'!$AB$2:$AB$495&gt;=7)*('CONTROL MASTER'!$AA$2:$AA$495&lt;=3)*('CONTROL MASTER'!$AC$2:$AC$495&gt;=3))*ROW('CONTROL MASTER'!$S$2:$S$495))-(ROW('CONTROL MASTER'!#REF!)-1))),"")),"")</f>
        <v/>
      </c>
      <c r="E135" s="10" t="str">
        <f>IFERROR(IF(SUMPRODUCT((('CONTROL MASTER'!$S$2:$S$495=10)*('CONTROL MASTER'!$T$2:$T$495&lt;=7)*('CONTROL MASTER'!$V$2:$V$495&gt;=7)*('CONTROL MASTER'!$U$2:$U$495&lt;=4)*('CONTROL MASTER'!$W$2:$W$495&gt;=4))*ROW('CONTROL MASTER'!$S$2:$S$495))&gt;0,INDEX('CONTROL MASTER'!$X$2:$X$495,(SUMPRODUCT((('CONTROL MASTER'!$S$2:$S$495=10)*('CONTROL MASTER'!$T$2:$T$495&lt;=7)*('CONTROL MASTER'!$V$2:$V$495&gt;=7)*('CONTROL MASTER'!$U$2:$U$495&lt;=4)*('CONTROL MASTER'!$W$2:$W$495&gt;=4))*ROW('CONTROL MASTER'!$S$2:$S$495))-(ROW('CONTROL MASTER'!#REF!)-1)))&amp;TRIM(MID(SUBSTITUTE(SUBSTITUTE(INDEX('CONTROL MASTER'!$N$2:$N$495,(SUMPRODUCT((('CONTROL MASTER'!$S$2:$S$495=10)*('CONTROL MASTER'!$T$2:$T$495&lt;=7)*('CONTROL MASTER'!$V$2:$V$495&gt;=7)*('CONTROL MASTER'!$U$2:$U$495&lt;=4)*('CONTROL MASTER'!$W$2:$W$495&gt;=4))*ROW('CONTROL MASTER'!$S$2:$S$495))-(ROW('CONTROL MASTER'!#REF!)-1))),":",","),",",REPT(" ",50)),((((7-INDEX('CONTROL MASTER'!$T$2:$T$495,(SUMPRODUCT((('CONTROL MASTER'!$S$2:$S$495=10)*('CONTROL MASTER'!$T$2:$T$495&lt;=7)*('CONTROL MASTER'!$V$2:$V$495&gt;=7)*('CONTROL MASTER'!$U$2:$U$495&lt;=4)*('CONTROL MASTER'!$W$2:$W$495&gt;=4))*ROW('CONTROL MASTER'!$S$2:$S$495))-(ROW('CONTROL MASTER'!#REF!)-1))))*(INDEX('CONTROL MASTER'!$W$2:$W$495,(SUMPRODUCT((('CONTROL MASTER'!$S$2:$S$495=10)*('CONTROL MASTER'!$T$2:$T$495&lt;=7)*('CONTROL MASTER'!$V$2:$V$495&gt;=7)*('CONTROL MASTER'!$U$2:$U$495&lt;=4)*('CONTROL MASTER'!$W$2:$W$495&gt;=4))*ROW('CONTROL MASTER'!$S$2:$S$495))-(ROW('CONTROL MASTER'!#REF!)-1)))-INDEX('CONTROL MASTER'!$U$2:$U$495,(SUMPRODUCT((('CONTROL MASTER'!$S$2:$S$495=10)*('CONTROL MASTER'!$T$2:$T$495&lt;=7)*('CONTROL MASTER'!$V$2:$V$495&gt;=7)*('CONTROL MASTER'!$U$2:$U$495&lt;=4)*('CONTROL MASTER'!$W$2:$W$495&gt;=4))*ROW('CONTROL MASTER'!$S$2:$S$495))-(ROW('CONTROL MASTER'!#REF!)-1)))+1)+(4-INDEX('CONTROL MASTER'!$U$2:$U$495,(SUMPRODUCT((('CONTROL MASTER'!$S$2:$S$495=10)*('CONTROL MASTER'!$T$2:$T$495&lt;=7)*('CONTROL MASTER'!$V$2:$V$495&gt;=7)*('CONTROL MASTER'!$U$2:$U$495&lt;=4)*('CONTROL MASTER'!$W$2:$W$495&gt;=4))*ROW('CONTROL MASTER'!$S$2:$S$495))-(ROW('CONTROL MASTER'!#REF!)-1))))+1))-1)*50+1,50))&amp;"_"&amp;INDEX('CONTROL MASTER'!$P$2:$P$495,(SUMPRODUCT((('CONTROL MASTER'!$S$2:$S$495=10)*('CONTROL MASTER'!$T$2:$T$495&lt;=7)*('CONTROL MASTER'!$V$2:$V$495&gt;=7)*('CONTROL MASTER'!$U$2:$U$495&lt;=4)*('CONTROL MASTER'!$W$2:$W$495&gt;=4))*ROW('CONTROL MASTER'!$S$2:$S$495))-(ROW('CONTROL MASTER'!#REF!)-1))),IF(SUMPRODUCT((('CONTROL MASTER'!$S$2:$S$495=10)*('CONTROL MASTER'!$Z$2:$Z$495&lt;=7)*('CONTROL MASTER'!$AB$2:$AB$495&gt;=7)*('CONTROL MASTER'!$AA$2:$AA$495&lt;=4)*('CONTROL MASTER'!$AC$2:$AC$495&gt;=4))*ROW('CONTROL MASTER'!$S$2:$S$495))&gt;0,INDEX('CONTROL MASTER'!$X$2:$X$495,(SUMPRODUCT((('CONTROL MASTER'!$S$2:$S$495=10)*('CONTROL MASTER'!$Z$2:$Z$495&lt;=7)*('CONTROL MASTER'!$AB$2:$AB$495&gt;=7)*('CONTROL MASTER'!$AA$2:$AA$495&lt;=4)*('CONTROL MASTER'!$AC$2:$AC$495&gt;=4))*ROW('CONTROL MASTER'!$S$2:$S$495))-(ROW('CONTROL MASTER'!#REF!)-1)))&amp;TRIM(MID(SUBSTITUTE(SUBSTITUTE(INDEX('CONTROL MASTER'!$N$2:$N$495,(SUMPRODUCT((('CONTROL MASTER'!$S$2:$S$495=10)*('CONTROL MASTER'!$Z$2:$Z$495&lt;=7)*('CONTROL MASTER'!$AB$2:$AB$495&gt;=7)*('CONTROL MASTER'!$AA$2:$AA$495&lt;=4)*('CONTROL MASTER'!$AC$2:$AC$495&gt;=4))*ROW('CONTROL MASTER'!$S$2:$S$495))-(ROW('CONTROL MASTER'!#REF!)-1))),":",","),",",REPT(" ",50)),(((INDEX('CONTROL MASTER'!$Y$2:$Y$495,(SUMPRODUCT((('CONTROL MASTER'!$S$2:$S$495=10)*('CONTROL MASTER'!$Z$2:$Z$495&lt;=7)*('CONTROL MASTER'!$AB$2:$AB$495&gt;=7)*('CONTROL MASTER'!$AA$2:$AA$495&lt;=4)*('CONTROL MASTER'!$AC$2:$AC$495&gt;=4))*ROW('CONTROL MASTER'!$S$2:$S$495))-(ROW('CONTROL MASTER'!#REF!)-1)))+((7-INDEX('CONTROL MASTER'!$Z$2:$Z$495,(SUMPRODUCT((('CONTROL MASTER'!$S$2:$S$495=10)*('CONTROL MASTER'!$Z$2:$Z$495&lt;=7)*('CONTROL MASTER'!$AB$2:$AB$495&gt;=7)*('CONTROL MASTER'!$AA$2:$AA$495&lt;=4)*('CONTROL MASTER'!$AC$2:$AC$495&gt;=4))*ROW('CONTROL MASTER'!$S$2:$S$495))-(ROW('CONTROL MASTER'!#REF!)-1))))*(INDEX('CONTROL MASTER'!$AC$2:$AC$495,(SUMPRODUCT((('CONTROL MASTER'!$S$2:$S$495=10)*('CONTROL MASTER'!$Z$2:$Z$495&lt;=7)*('CONTROL MASTER'!$AB$2:$AB$495&gt;=7)*('CONTROL MASTER'!$AA$2:$AA$495&lt;=4)*('CONTROL MASTER'!$AC$2:$AC$495&gt;=4))*ROW('CONTROL MASTER'!$S$2:$S$495))-(ROW('CONTROL MASTER'!#REF!)-1)))-INDEX('CONTROL MASTER'!$AA$2:$AA$495,(SUMPRODUCT((('CONTROL MASTER'!$S$2:$S$495=10)*('CONTROL MASTER'!$Z$2:$Z$495&lt;=7)*('CONTROL MASTER'!$AB$2:$AB$495&gt;=7)*('CONTROL MASTER'!$AA$2:$AA$495&lt;=4)*('CONTROL MASTER'!$AC$2:$AC$495&gt;=4))*ROW('CONTROL MASTER'!$S$2:$S$495))-(ROW('CONTROL MASTER'!#REF!)-1)))+1)+(4-INDEX('CONTROL MASTER'!$AA$2:$AA$495,(SUMPRODUCT((('CONTROL MASTER'!$S$2:$S$495=10)*('CONTROL MASTER'!$Z$2:$Z$495&lt;=7)*('CONTROL MASTER'!$AB$2:$AB$495&gt;=7)*('CONTROL MASTER'!$AA$2:$AA$495&lt;=4)*('CONTROL MASTER'!$AC$2:$AC$495&gt;=4))*ROW('CONTROL MASTER'!$S$2:$S$495))-(ROW('CONTROL MASTER'!#REF!)-1))))+1)))-1)*50+1,50))&amp;"_"&amp;INDEX('CONTROL MASTER'!$P$2:$P$495,(SUMPRODUCT((('CONTROL MASTER'!$S$2:$S$495=10)*('CONTROL MASTER'!$Z$2:$Z$495&lt;=7)*('CONTROL MASTER'!$AB$2:$AB$495&gt;=7)*('CONTROL MASTER'!$AA$2:$AA$495&lt;=4)*('CONTROL MASTER'!$AC$2:$AC$495&gt;=4))*ROW('CONTROL MASTER'!$S$2:$S$495))-(ROW('CONTROL MASTER'!#REF!)-1))),"")),"")</f>
        <v/>
      </c>
      <c r="F135" s="10" t="str">
        <f>IFERROR(IF(SUMPRODUCT((('CONTROL MASTER'!$S$2:$S$495=10)*('CONTROL MASTER'!$T$2:$T$495&lt;=7)*('CONTROL MASTER'!$V$2:$V$495&gt;=7)*('CONTROL MASTER'!$U$2:$U$495&lt;=5)*('CONTROL MASTER'!$W$2:$W$495&gt;=5))*ROW('CONTROL MASTER'!$S$2:$S$495))&gt;0,INDEX('CONTROL MASTER'!$X$2:$X$495,(SUMPRODUCT((('CONTROL MASTER'!$S$2:$S$495=10)*('CONTROL MASTER'!$T$2:$T$495&lt;=7)*('CONTROL MASTER'!$V$2:$V$495&gt;=7)*('CONTROL MASTER'!$U$2:$U$495&lt;=5)*('CONTROL MASTER'!$W$2:$W$495&gt;=5))*ROW('CONTROL MASTER'!$S$2:$S$495))-(ROW('CONTROL MASTER'!#REF!)-1)))&amp;TRIM(MID(SUBSTITUTE(SUBSTITUTE(INDEX('CONTROL MASTER'!$N$2:$N$495,(SUMPRODUCT((('CONTROL MASTER'!$S$2:$S$495=10)*('CONTROL MASTER'!$T$2:$T$495&lt;=7)*('CONTROL MASTER'!$V$2:$V$495&gt;=7)*('CONTROL MASTER'!$U$2:$U$495&lt;=5)*('CONTROL MASTER'!$W$2:$W$495&gt;=5))*ROW('CONTROL MASTER'!$S$2:$S$495))-(ROW('CONTROL MASTER'!#REF!)-1))),":",","),",",REPT(" ",50)),((((7-INDEX('CONTROL MASTER'!$T$2:$T$495,(SUMPRODUCT((('CONTROL MASTER'!$S$2:$S$495=10)*('CONTROL MASTER'!$T$2:$T$495&lt;=7)*('CONTROL MASTER'!$V$2:$V$495&gt;=7)*('CONTROL MASTER'!$U$2:$U$495&lt;=5)*('CONTROL MASTER'!$W$2:$W$495&gt;=5))*ROW('CONTROL MASTER'!$S$2:$S$495))-(ROW('CONTROL MASTER'!#REF!)-1))))*(INDEX('CONTROL MASTER'!$W$2:$W$495,(SUMPRODUCT((('CONTROL MASTER'!$S$2:$S$495=10)*('CONTROL MASTER'!$T$2:$T$495&lt;=7)*('CONTROL MASTER'!$V$2:$V$495&gt;=7)*('CONTROL MASTER'!$U$2:$U$495&lt;=5)*('CONTROL MASTER'!$W$2:$W$495&gt;=5))*ROW('CONTROL MASTER'!$S$2:$S$495))-(ROW('CONTROL MASTER'!#REF!)-1)))-INDEX('CONTROL MASTER'!$U$2:$U$495,(SUMPRODUCT((('CONTROL MASTER'!$S$2:$S$495=10)*('CONTROL MASTER'!$T$2:$T$495&lt;=7)*('CONTROL MASTER'!$V$2:$V$495&gt;=7)*('CONTROL MASTER'!$U$2:$U$495&lt;=5)*('CONTROL MASTER'!$W$2:$W$495&gt;=5))*ROW('CONTROL MASTER'!$S$2:$S$495))-(ROW('CONTROL MASTER'!#REF!)-1)))+1)+(5-INDEX('CONTROL MASTER'!$U$2:$U$495,(SUMPRODUCT((('CONTROL MASTER'!$S$2:$S$495=10)*('CONTROL MASTER'!$T$2:$T$495&lt;=7)*('CONTROL MASTER'!$V$2:$V$495&gt;=7)*('CONTROL MASTER'!$U$2:$U$495&lt;=5)*('CONTROL MASTER'!$W$2:$W$495&gt;=5))*ROW('CONTROL MASTER'!$S$2:$S$495))-(ROW('CONTROL MASTER'!#REF!)-1))))+1))-1)*50+1,50))&amp;"_"&amp;INDEX('CONTROL MASTER'!$P$2:$P$495,(SUMPRODUCT((('CONTROL MASTER'!$S$2:$S$495=10)*('CONTROL MASTER'!$T$2:$T$495&lt;=7)*('CONTROL MASTER'!$V$2:$V$495&gt;=7)*('CONTROL MASTER'!$U$2:$U$495&lt;=5)*('CONTROL MASTER'!$W$2:$W$495&gt;=5))*ROW('CONTROL MASTER'!$S$2:$S$495))-(ROW('CONTROL MASTER'!#REF!)-1))),IF(SUMPRODUCT((('CONTROL MASTER'!$S$2:$S$495=10)*('CONTROL MASTER'!$Z$2:$Z$495&lt;=7)*('CONTROL MASTER'!$AB$2:$AB$495&gt;=7)*('CONTROL MASTER'!$AA$2:$AA$495&lt;=5)*('CONTROL MASTER'!$AC$2:$AC$495&gt;=5))*ROW('CONTROL MASTER'!$S$2:$S$495))&gt;0,INDEX('CONTROL MASTER'!$X$2:$X$495,(SUMPRODUCT((('CONTROL MASTER'!$S$2:$S$495=10)*('CONTROL MASTER'!$Z$2:$Z$495&lt;=7)*('CONTROL MASTER'!$AB$2:$AB$495&gt;=7)*('CONTROL MASTER'!$AA$2:$AA$495&lt;=5)*('CONTROL MASTER'!$AC$2:$AC$495&gt;=5))*ROW('CONTROL MASTER'!$S$2:$S$495))-(ROW('CONTROL MASTER'!#REF!)-1)))&amp;TRIM(MID(SUBSTITUTE(SUBSTITUTE(INDEX('CONTROL MASTER'!$N$2:$N$495,(SUMPRODUCT((('CONTROL MASTER'!$S$2:$S$495=10)*('CONTROL MASTER'!$Z$2:$Z$495&lt;=7)*('CONTROL MASTER'!$AB$2:$AB$495&gt;=7)*('CONTROL MASTER'!$AA$2:$AA$495&lt;=5)*('CONTROL MASTER'!$AC$2:$AC$495&gt;=5))*ROW('CONTROL MASTER'!$S$2:$S$495))-(ROW('CONTROL MASTER'!#REF!)-1))),":",","),",",REPT(" ",50)),(((INDEX('CONTROL MASTER'!$Y$2:$Y$495,(SUMPRODUCT((('CONTROL MASTER'!$S$2:$S$495=10)*('CONTROL MASTER'!$Z$2:$Z$495&lt;=7)*('CONTROL MASTER'!$AB$2:$AB$495&gt;=7)*('CONTROL MASTER'!$AA$2:$AA$495&lt;=5)*('CONTROL MASTER'!$AC$2:$AC$495&gt;=5))*ROW('CONTROL MASTER'!$S$2:$S$495))-(ROW('CONTROL MASTER'!#REF!)-1)))+((7-INDEX('CONTROL MASTER'!$Z$2:$Z$495,(SUMPRODUCT((('CONTROL MASTER'!$S$2:$S$495=10)*('CONTROL MASTER'!$Z$2:$Z$495&lt;=7)*('CONTROL MASTER'!$AB$2:$AB$495&gt;=7)*('CONTROL MASTER'!$AA$2:$AA$495&lt;=5)*('CONTROL MASTER'!$AC$2:$AC$495&gt;=5))*ROW('CONTROL MASTER'!$S$2:$S$495))-(ROW('CONTROL MASTER'!#REF!)-1))))*(INDEX('CONTROL MASTER'!$AC$2:$AC$495,(SUMPRODUCT((('CONTROL MASTER'!$S$2:$S$495=10)*('CONTROL MASTER'!$Z$2:$Z$495&lt;=7)*('CONTROL MASTER'!$AB$2:$AB$495&gt;=7)*('CONTROL MASTER'!$AA$2:$AA$495&lt;=5)*('CONTROL MASTER'!$AC$2:$AC$495&gt;=5))*ROW('CONTROL MASTER'!$S$2:$S$495))-(ROW('CONTROL MASTER'!#REF!)-1)))-INDEX('CONTROL MASTER'!$AA$2:$AA$495,(SUMPRODUCT((('CONTROL MASTER'!$S$2:$S$495=10)*('CONTROL MASTER'!$Z$2:$Z$495&lt;=7)*('CONTROL MASTER'!$AB$2:$AB$495&gt;=7)*('CONTROL MASTER'!$AA$2:$AA$495&lt;=5)*('CONTROL MASTER'!$AC$2:$AC$495&gt;=5))*ROW('CONTROL MASTER'!$S$2:$S$495))-(ROW('CONTROL MASTER'!#REF!)-1)))+1)+(5-INDEX('CONTROL MASTER'!$AA$2:$AA$495,(SUMPRODUCT((('CONTROL MASTER'!$S$2:$S$495=10)*('CONTROL MASTER'!$Z$2:$Z$495&lt;=7)*('CONTROL MASTER'!$AB$2:$AB$495&gt;=7)*('CONTROL MASTER'!$AA$2:$AA$495&lt;=5)*('CONTROL MASTER'!$AC$2:$AC$495&gt;=5))*ROW('CONTROL MASTER'!$S$2:$S$495))-(ROW('CONTROL MASTER'!#REF!)-1))))+1)))-1)*50+1,50))&amp;"_"&amp;INDEX('CONTROL MASTER'!$P$2:$P$495,(SUMPRODUCT((('CONTROL MASTER'!$S$2:$S$495=10)*('CONTROL MASTER'!$Z$2:$Z$495&lt;=7)*('CONTROL MASTER'!$AB$2:$AB$495&gt;=7)*('CONTROL MASTER'!$AA$2:$AA$495&lt;=5)*('CONTROL MASTER'!$AC$2:$AC$495&gt;=5))*ROW('CONTROL MASTER'!$S$2:$S$495))-(ROW('CONTROL MASTER'!#REF!)-1))),"")),"")</f>
        <v/>
      </c>
      <c r="G135" s="10" t="str">
        <f>IFERROR(IF(SUMPRODUCT((('CONTROL MASTER'!$S$2:$S$495=10)*('CONTROL MASTER'!$T$2:$T$495&lt;=7)*('CONTROL MASTER'!$V$2:$V$495&gt;=7)*('CONTROL MASTER'!$U$2:$U$495&lt;=6)*('CONTROL MASTER'!$W$2:$W$495&gt;=6))*ROW('CONTROL MASTER'!$S$2:$S$495))&gt;0,INDEX('CONTROL MASTER'!$X$2:$X$495,(SUMPRODUCT((('CONTROL MASTER'!$S$2:$S$495=10)*('CONTROL MASTER'!$T$2:$T$495&lt;=7)*('CONTROL MASTER'!$V$2:$V$495&gt;=7)*('CONTROL MASTER'!$U$2:$U$495&lt;=6)*('CONTROL MASTER'!$W$2:$W$495&gt;=6))*ROW('CONTROL MASTER'!$S$2:$S$495))-(ROW('CONTROL MASTER'!#REF!)-1)))&amp;TRIM(MID(SUBSTITUTE(SUBSTITUTE(INDEX('CONTROL MASTER'!$N$2:$N$495,(SUMPRODUCT((('CONTROL MASTER'!$S$2:$S$495=10)*('CONTROL MASTER'!$T$2:$T$495&lt;=7)*('CONTROL MASTER'!$V$2:$V$495&gt;=7)*('CONTROL MASTER'!$U$2:$U$495&lt;=6)*('CONTROL MASTER'!$W$2:$W$495&gt;=6))*ROW('CONTROL MASTER'!$S$2:$S$495))-(ROW('CONTROL MASTER'!#REF!)-1))),":",","),",",REPT(" ",50)),((((7-INDEX('CONTROL MASTER'!$T$2:$T$495,(SUMPRODUCT((('CONTROL MASTER'!$S$2:$S$495=10)*('CONTROL MASTER'!$T$2:$T$495&lt;=7)*('CONTROL MASTER'!$V$2:$V$495&gt;=7)*('CONTROL MASTER'!$U$2:$U$495&lt;=6)*('CONTROL MASTER'!$W$2:$W$495&gt;=6))*ROW('CONTROL MASTER'!$S$2:$S$495))-(ROW('CONTROL MASTER'!#REF!)-1))))*(INDEX('CONTROL MASTER'!$W$2:$W$495,(SUMPRODUCT((('CONTROL MASTER'!$S$2:$S$495=10)*('CONTROL MASTER'!$T$2:$T$495&lt;=7)*('CONTROL MASTER'!$V$2:$V$495&gt;=7)*('CONTROL MASTER'!$U$2:$U$495&lt;=6)*('CONTROL MASTER'!$W$2:$W$495&gt;=6))*ROW('CONTROL MASTER'!$S$2:$S$495))-(ROW('CONTROL MASTER'!#REF!)-1)))-INDEX('CONTROL MASTER'!$U$2:$U$495,(SUMPRODUCT((('CONTROL MASTER'!$S$2:$S$495=10)*('CONTROL MASTER'!$T$2:$T$495&lt;=7)*('CONTROL MASTER'!$V$2:$V$495&gt;=7)*('CONTROL MASTER'!$U$2:$U$495&lt;=6)*('CONTROL MASTER'!$W$2:$W$495&gt;=6))*ROW('CONTROL MASTER'!$S$2:$S$495))-(ROW('CONTROL MASTER'!#REF!)-1)))+1)+(6-INDEX('CONTROL MASTER'!$U$2:$U$495,(SUMPRODUCT((('CONTROL MASTER'!$S$2:$S$495=10)*('CONTROL MASTER'!$T$2:$T$495&lt;=7)*('CONTROL MASTER'!$V$2:$V$495&gt;=7)*('CONTROL MASTER'!$U$2:$U$495&lt;=6)*('CONTROL MASTER'!$W$2:$W$495&gt;=6))*ROW('CONTROL MASTER'!$S$2:$S$495))-(ROW('CONTROL MASTER'!#REF!)-1))))+1))-1)*50+1,50))&amp;"_"&amp;INDEX('CONTROL MASTER'!$P$2:$P$495,(SUMPRODUCT((('CONTROL MASTER'!$S$2:$S$495=10)*('CONTROL MASTER'!$T$2:$T$495&lt;=7)*('CONTROL MASTER'!$V$2:$V$495&gt;=7)*('CONTROL MASTER'!$U$2:$U$495&lt;=6)*('CONTROL MASTER'!$W$2:$W$495&gt;=6))*ROW('CONTROL MASTER'!$S$2:$S$495))-(ROW('CONTROL MASTER'!#REF!)-1))),IF(SUMPRODUCT((('CONTROL MASTER'!$S$2:$S$495=10)*('CONTROL MASTER'!$Z$2:$Z$495&lt;=7)*('CONTROL MASTER'!$AB$2:$AB$495&gt;=7)*('CONTROL MASTER'!$AA$2:$AA$495&lt;=6)*('CONTROL MASTER'!$AC$2:$AC$495&gt;=6))*ROW('CONTROL MASTER'!$S$2:$S$495))&gt;0,INDEX('CONTROL MASTER'!$X$2:$X$495,(SUMPRODUCT((('CONTROL MASTER'!$S$2:$S$495=10)*('CONTROL MASTER'!$Z$2:$Z$495&lt;=7)*('CONTROL MASTER'!$AB$2:$AB$495&gt;=7)*('CONTROL MASTER'!$AA$2:$AA$495&lt;=6)*('CONTROL MASTER'!$AC$2:$AC$495&gt;=6))*ROW('CONTROL MASTER'!$S$2:$S$495))-(ROW('CONTROL MASTER'!#REF!)-1)))&amp;TRIM(MID(SUBSTITUTE(SUBSTITUTE(INDEX('CONTROL MASTER'!$N$2:$N$495,(SUMPRODUCT((('CONTROL MASTER'!$S$2:$S$495=10)*('CONTROL MASTER'!$Z$2:$Z$495&lt;=7)*('CONTROL MASTER'!$AB$2:$AB$495&gt;=7)*('CONTROL MASTER'!$AA$2:$AA$495&lt;=6)*('CONTROL MASTER'!$AC$2:$AC$495&gt;=6))*ROW('CONTROL MASTER'!$S$2:$S$495))-(ROW('CONTROL MASTER'!#REF!)-1))),":",","),",",REPT(" ",50)),(((INDEX('CONTROL MASTER'!$Y$2:$Y$495,(SUMPRODUCT((('CONTROL MASTER'!$S$2:$S$495=10)*('CONTROL MASTER'!$Z$2:$Z$495&lt;=7)*('CONTROL MASTER'!$AB$2:$AB$495&gt;=7)*('CONTROL MASTER'!$AA$2:$AA$495&lt;=6)*('CONTROL MASTER'!$AC$2:$AC$495&gt;=6))*ROW('CONTROL MASTER'!$S$2:$S$495))-(ROW('CONTROL MASTER'!#REF!)-1)))+((7-INDEX('CONTROL MASTER'!$Z$2:$Z$495,(SUMPRODUCT((('CONTROL MASTER'!$S$2:$S$495=10)*('CONTROL MASTER'!$Z$2:$Z$495&lt;=7)*('CONTROL MASTER'!$AB$2:$AB$495&gt;=7)*('CONTROL MASTER'!$AA$2:$AA$495&lt;=6)*('CONTROL MASTER'!$AC$2:$AC$495&gt;=6))*ROW('CONTROL MASTER'!$S$2:$S$495))-(ROW('CONTROL MASTER'!#REF!)-1))))*(INDEX('CONTROL MASTER'!$AC$2:$AC$495,(SUMPRODUCT((('CONTROL MASTER'!$S$2:$S$495=10)*('CONTROL MASTER'!$Z$2:$Z$495&lt;=7)*('CONTROL MASTER'!$AB$2:$AB$495&gt;=7)*('CONTROL MASTER'!$AA$2:$AA$495&lt;=6)*('CONTROL MASTER'!$AC$2:$AC$495&gt;=6))*ROW('CONTROL MASTER'!$S$2:$S$495))-(ROW('CONTROL MASTER'!#REF!)-1)))-INDEX('CONTROL MASTER'!$AA$2:$AA$495,(SUMPRODUCT((('CONTROL MASTER'!$S$2:$S$495=10)*('CONTROL MASTER'!$Z$2:$Z$495&lt;=7)*('CONTROL MASTER'!$AB$2:$AB$495&gt;=7)*('CONTROL MASTER'!$AA$2:$AA$495&lt;=6)*('CONTROL MASTER'!$AC$2:$AC$495&gt;=6))*ROW('CONTROL MASTER'!$S$2:$S$495))-(ROW('CONTROL MASTER'!#REF!)-1)))+1)+(6-INDEX('CONTROL MASTER'!$AA$2:$AA$495,(SUMPRODUCT((('CONTROL MASTER'!$S$2:$S$495=10)*('CONTROL MASTER'!$Z$2:$Z$495&lt;=7)*('CONTROL MASTER'!$AB$2:$AB$495&gt;=7)*('CONTROL MASTER'!$AA$2:$AA$495&lt;=6)*('CONTROL MASTER'!$AC$2:$AC$495&gt;=6))*ROW('CONTROL MASTER'!$S$2:$S$495))-(ROW('CONTROL MASTER'!#REF!)-1))))+1)))-1)*50+1,50))&amp;"_"&amp;INDEX('CONTROL MASTER'!$P$2:$P$495,(SUMPRODUCT((('CONTROL MASTER'!$S$2:$S$495=10)*('CONTROL MASTER'!$Z$2:$Z$495&lt;=7)*('CONTROL MASTER'!$AB$2:$AB$495&gt;=7)*('CONTROL MASTER'!$AA$2:$AA$495&lt;=6)*('CONTROL MASTER'!$AC$2:$AC$495&gt;=6))*ROW('CONTROL MASTER'!$S$2:$S$495))-(ROW('CONTROL MASTER'!#REF!)-1))),"")),"")</f>
        <v/>
      </c>
      <c r="H135" s="10" t="str">
        <f>IFERROR(IF(SUMPRODUCT((('CONTROL MASTER'!$S$2:$S$495=10)*('CONTROL MASTER'!$T$2:$T$495&lt;=7)*('CONTROL MASTER'!$V$2:$V$495&gt;=7)*('CONTROL MASTER'!$U$2:$U$495&lt;=7)*('CONTROL MASTER'!$W$2:$W$495&gt;=7))*ROW('CONTROL MASTER'!$S$2:$S$495))&gt;0,INDEX('CONTROL MASTER'!$X$2:$X$495,(SUMPRODUCT((('CONTROL MASTER'!$S$2:$S$495=10)*('CONTROL MASTER'!$T$2:$T$495&lt;=7)*('CONTROL MASTER'!$V$2:$V$495&gt;=7)*('CONTROL MASTER'!$U$2:$U$495&lt;=7)*('CONTROL MASTER'!$W$2:$W$495&gt;=7))*ROW('CONTROL MASTER'!$S$2:$S$495))-(ROW('CONTROL MASTER'!#REF!)-1)))&amp;TRIM(MID(SUBSTITUTE(SUBSTITUTE(INDEX('CONTROL MASTER'!$N$2:$N$495,(SUMPRODUCT((('CONTROL MASTER'!$S$2:$S$495=10)*('CONTROL MASTER'!$T$2:$T$495&lt;=7)*('CONTROL MASTER'!$V$2:$V$495&gt;=7)*('CONTROL MASTER'!$U$2:$U$495&lt;=7)*('CONTROL MASTER'!$W$2:$W$495&gt;=7))*ROW('CONTROL MASTER'!$S$2:$S$495))-(ROW('CONTROL MASTER'!#REF!)-1))),":",","),",",REPT(" ",50)),((((7-INDEX('CONTROL MASTER'!$T$2:$T$495,(SUMPRODUCT((('CONTROL MASTER'!$S$2:$S$495=10)*('CONTROL MASTER'!$T$2:$T$495&lt;=7)*('CONTROL MASTER'!$V$2:$V$495&gt;=7)*('CONTROL MASTER'!$U$2:$U$495&lt;=7)*('CONTROL MASTER'!$W$2:$W$495&gt;=7))*ROW('CONTROL MASTER'!$S$2:$S$495))-(ROW('CONTROL MASTER'!#REF!)-1))))*(INDEX('CONTROL MASTER'!$W$2:$W$495,(SUMPRODUCT((('CONTROL MASTER'!$S$2:$S$495=10)*('CONTROL MASTER'!$T$2:$T$495&lt;=7)*('CONTROL MASTER'!$V$2:$V$495&gt;=7)*('CONTROL MASTER'!$U$2:$U$495&lt;=7)*('CONTROL MASTER'!$W$2:$W$495&gt;=7))*ROW('CONTROL MASTER'!$S$2:$S$495))-(ROW('CONTROL MASTER'!#REF!)-1)))-INDEX('CONTROL MASTER'!$U$2:$U$495,(SUMPRODUCT((('CONTROL MASTER'!$S$2:$S$495=10)*('CONTROL MASTER'!$T$2:$T$495&lt;=7)*('CONTROL MASTER'!$V$2:$V$495&gt;=7)*('CONTROL MASTER'!$U$2:$U$495&lt;=7)*('CONTROL MASTER'!$W$2:$W$495&gt;=7))*ROW('CONTROL MASTER'!$S$2:$S$495))-(ROW('CONTROL MASTER'!#REF!)-1)))+1)+(7-INDEX('CONTROL MASTER'!$U$2:$U$495,(SUMPRODUCT((('CONTROL MASTER'!$S$2:$S$495=10)*('CONTROL MASTER'!$T$2:$T$495&lt;=7)*('CONTROL MASTER'!$V$2:$V$495&gt;=7)*('CONTROL MASTER'!$U$2:$U$495&lt;=7)*('CONTROL MASTER'!$W$2:$W$495&gt;=7))*ROW('CONTROL MASTER'!$S$2:$S$495))-(ROW('CONTROL MASTER'!#REF!)-1))))+1))-1)*50+1,50))&amp;"_"&amp;INDEX('CONTROL MASTER'!$P$2:$P$495,(SUMPRODUCT((('CONTROL MASTER'!$S$2:$S$495=10)*('CONTROL MASTER'!$T$2:$T$495&lt;=7)*('CONTROL MASTER'!$V$2:$V$495&gt;=7)*('CONTROL MASTER'!$U$2:$U$495&lt;=7)*('CONTROL MASTER'!$W$2:$W$495&gt;=7))*ROW('CONTROL MASTER'!$S$2:$S$495))-(ROW('CONTROL MASTER'!#REF!)-1))),IF(SUMPRODUCT((('CONTROL MASTER'!$S$2:$S$495=10)*('CONTROL MASTER'!$Z$2:$Z$495&lt;=7)*('CONTROL MASTER'!$AB$2:$AB$495&gt;=7)*('CONTROL MASTER'!$AA$2:$AA$495&lt;=7)*('CONTROL MASTER'!$AC$2:$AC$495&gt;=7))*ROW('CONTROL MASTER'!$S$2:$S$495))&gt;0,INDEX('CONTROL MASTER'!$X$2:$X$495,(SUMPRODUCT((('CONTROL MASTER'!$S$2:$S$495=10)*('CONTROL MASTER'!$Z$2:$Z$495&lt;=7)*('CONTROL MASTER'!$AB$2:$AB$495&gt;=7)*('CONTROL MASTER'!$AA$2:$AA$495&lt;=7)*('CONTROL MASTER'!$AC$2:$AC$495&gt;=7))*ROW('CONTROL MASTER'!$S$2:$S$495))-(ROW('CONTROL MASTER'!#REF!)-1)))&amp;TRIM(MID(SUBSTITUTE(SUBSTITUTE(INDEX('CONTROL MASTER'!$N$2:$N$495,(SUMPRODUCT((('CONTROL MASTER'!$S$2:$S$495=10)*('CONTROL MASTER'!$Z$2:$Z$495&lt;=7)*('CONTROL MASTER'!$AB$2:$AB$495&gt;=7)*('CONTROL MASTER'!$AA$2:$AA$495&lt;=7)*('CONTROL MASTER'!$AC$2:$AC$495&gt;=7))*ROW('CONTROL MASTER'!$S$2:$S$495))-(ROW('CONTROL MASTER'!#REF!)-1))),":",","),",",REPT(" ",50)),(((INDEX('CONTROL MASTER'!$Y$2:$Y$495,(SUMPRODUCT((('CONTROL MASTER'!$S$2:$S$495=10)*('CONTROL MASTER'!$Z$2:$Z$495&lt;=7)*('CONTROL MASTER'!$AB$2:$AB$495&gt;=7)*('CONTROL MASTER'!$AA$2:$AA$495&lt;=7)*('CONTROL MASTER'!$AC$2:$AC$495&gt;=7))*ROW('CONTROL MASTER'!$S$2:$S$495))-(ROW('CONTROL MASTER'!#REF!)-1)))+((7-INDEX('CONTROL MASTER'!$Z$2:$Z$495,(SUMPRODUCT((('CONTROL MASTER'!$S$2:$S$495=10)*('CONTROL MASTER'!$Z$2:$Z$495&lt;=7)*('CONTROL MASTER'!$AB$2:$AB$495&gt;=7)*('CONTROL MASTER'!$AA$2:$AA$495&lt;=7)*('CONTROL MASTER'!$AC$2:$AC$495&gt;=7))*ROW('CONTROL MASTER'!$S$2:$S$495))-(ROW('CONTROL MASTER'!#REF!)-1))))*(INDEX('CONTROL MASTER'!$AC$2:$AC$495,(SUMPRODUCT((('CONTROL MASTER'!$S$2:$S$495=10)*('CONTROL MASTER'!$Z$2:$Z$495&lt;=7)*('CONTROL MASTER'!$AB$2:$AB$495&gt;=7)*('CONTROL MASTER'!$AA$2:$AA$495&lt;=7)*('CONTROL MASTER'!$AC$2:$AC$495&gt;=7))*ROW('CONTROL MASTER'!$S$2:$S$495))-(ROW('CONTROL MASTER'!#REF!)-1)))-INDEX('CONTROL MASTER'!$AA$2:$AA$495,(SUMPRODUCT((('CONTROL MASTER'!$S$2:$S$495=10)*('CONTROL MASTER'!$Z$2:$Z$495&lt;=7)*('CONTROL MASTER'!$AB$2:$AB$495&gt;=7)*('CONTROL MASTER'!$AA$2:$AA$495&lt;=7)*('CONTROL MASTER'!$AC$2:$AC$495&gt;=7))*ROW('CONTROL MASTER'!$S$2:$S$495))-(ROW('CONTROL MASTER'!#REF!)-1)))+1)+(7-INDEX('CONTROL MASTER'!$AA$2:$AA$495,(SUMPRODUCT((('CONTROL MASTER'!$S$2:$S$495=10)*('CONTROL MASTER'!$Z$2:$Z$495&lt;=7)*('CONTROL MASTER'!$AB$2:$AB$495&gt;=7)*('CONTROL MASTER'!$AA$2:$AA$495&lt;=7)*('CONTROL MASTER'!$AC$2:$AC$495&gt;=7))*ROW('CONTROL MASTER'!$S$2:$S$495))-(ROW('CONTROL MASTER'!#REF!)-1))))+1)))-1)*50+1,50))&amp;"_"&amp;INDEX('CONTROL MASTER'!$P$2:$P$495,(SUMPRODUCT((('CONTROL MASTER'!$S$2:$S$495=10)*('CONTROL MASTER'!$Z$2:$Z$495&lt;=7)*('CONTROL MASTER'!$AB$2:$AB$495&gt;=7)*('CONTROL MASTER'!$AA$2:$AA$495&lt;=7)*('CONTROL MASTER'!$AC$2:$AC$495&gt;=7))*ROW('CONTROL MASTER'!$S$2:$S$495))-(ROW('CONTROL MASTER'!#REF!)-1))),"")),"")</f>
        <v/>
      </c>
      <c r="I135" s="10" t="str">
        <f>IFERROR(IF(SUMPRODUCT((('CONTROL MASTER'!$S$2:$S$495=10)*('CONTROL MASTER'!$T$2:$T$495&lt;=7)*('CONTROL MASTER'!$V$2:$V$495&gt;=7)*('CONTROL MASTER'!$U$2:$U$495&lt;=8)*('CONTROL MASTER'!$W$2:$W$495&gt;=8))*ROW('CONTROL MASTER'!$S$2:$S$495))&gt;0,INDEX('CONTROL MASTER'!$X$2:$X$495,(SUMPRODUCT((('CONTROL MASTER'!$S$2:$S$495=10)*('CONTROL MASTER'!$T$2:$T$495&lt;=7)*('CONTROL MASTER'!$V$2:$V$495&gt;=7)*('CONTROL MASTER'!$U$2:$U$495&lt;=8)*('CONTROL MASTER'!$W$2:$W$495&gt;=8))*ROW('CONTROL MASTER'!$S$2:$S$495))-(ROW('CONTROL MASTER'!#REF!)-1)))&amp;TRIM(MID(SUBSTITUTE(SUBSTITUTE(INDEX('CONTROL MASTER'!$N$2:$N$495,(SUMPRODUCT((('CONTROL MASTER'!$S$2:$S$495=10)*('CONTROL MASTER'!$T$2:$T$495&lt;=7)*('CONTROL MASTER'!$V$2:$V$495&gt;=7)*('CONTROL MASTER'!$U$2:$U$495&lt;=8)*('CONTROL MASTER'!$W$2:$W$495&gt;=8))*ROW('CONTROL MASTER'!$S$2:$S$495))-(ROW('CONTROL MASTER'!#REF!)-1))),":",","),",",REPT(" ",50)),((((7-INDEX('CONTROL MASTER'!$T$2:$T$495,(SUMPRODUCT((('CONTROL MASTER'!$S$2:$S$495=10)*('CONTROL MASTER'!$T$2:$T$495&lt;=7)*('CONTROL MASTER'!$V$2:$V$495&gt;=7)*('CONTROL MASTER'!$U$2:$U$495&lt;=8)*('CONTROL MASTER'!$W$2:$W$495&gt;=8))*ROW('CONTROL MASTER'!$S$2:$S$495))-(ROW('CONTROL MASTER'!#REF!)-1))))*(INDEX('CONTROL MASTER'!$W$2:$W$495,(SUMPRODUCT((('CONTROL MASTER'!$S$2:$S$495=10)*('CONTROL MASTER'!$T$2:$T$495&lt;=7)*('CONTROL MASTER'!$V$2:$V$495&gt;=7)*('CONTROL MASTER'!$U$2:$U$495&lt;=8)*('CONTROL MASTER'!$W$2:$W$495&gt;=8))*ROW('CONTROL MASTER'!$S$2:$S$495))-(ROW('CONTROL MASTER'!#REF!)-1)))-INDEX('CONTROL MASTER'!$U$2:$U$495,(SUMPRODUCT((('CONTROL MASTER'!$S$2:$S$495=10)*('CONTROL MASTER'!$T$2:$T$495&lt;=7)*('CONTROL MASTER'!$V$2:$V$495&gt;=7)*('CONTROL MASTER'!$U$2:$U$495&lt;=8)*('CONTROL MASTER'!$W$2:$W$495&gt;=8))*ROW('CONTROL MASTER'!$S$2:$S$495))-(ROW('CONTROL MASTER'!#REF!)-1)))+1)+(8-INDEX('CONTROL MASTER'!$U$2:$U$495,(SUMPRODUCT((('CONTROL MASTER'!$S$2:$S$495=10)*('CONTROL MASTER'!$T$2:$T$495&lt;=7)*('CONTROL MASTER'!$V$2:$V$495&gt;=7)*('CONTROL MASTER'!$U$2:$U$495&lt;=8)*('CONTROL MASTER'!$W$2:$W$495&gt;=8))*ROW('CONTROL MASTER'!$S$2:$S$495))-(ROW('CONTROL MASTER'!#REF!)-1))))+1))-1)*50+1,50))&amp;"_"&amp;INDEX('CONTROL MASTER'!$P$2:$P$495,(SUMPRODUCT((('CONTROL MASTER'!$S$2:$S$495=10)*('CONTROL MASTER'!$T$2:$T$495&lt;=7)*('CONTROL MASTER'!$V$2:$V$495&gt;=7)*('CONTROL MASTER'!$U$2:$U$495&lt;=8)*('CONTROL MASTER'!$W$2:$W$495&gt;=8))*ROW('CONTROL MASTER'!$S$2:$S$495))-(ROW('CONTROL MASTER'!#REF!)-1))),IF(SUMPRODUCT((('CONTROL MASTER'!$S$2:$S$495=10)*('CONTROL MASTER'!$Z$2:$Z$495&lt;=7)*('CONTROL MASTER'!$AB$2:$AB$495&gt;=7)*('CONTROL MASTER'!$AA$2:$AA$495&lt;=8)*('CONTROL MASTER'!$AC$2:$AC$495&gt;=8))*ROW('CONTROL MASTER'!$S$2:$S$495))&gt;0,INDEX('CONTROL MASTER'!$X$2:$X$495,(SUMPRODUCT((('CONTROL MASTER'!$S$2:$S$495=10)*('CONTROL MASTER'!$Z$2:$Z$495&lt;=7)*('CONTROL MASTER'!$AB$2:$AB$495&gt;=7)*('CONTROL MASTER'!$AA$2:$AA$495&lt;=8)*('CONTROL MASTER'!$AC$2:$AC$495&gt;=8))*ROW('CONTROL MASTER'!$S$2:$S$495))-(ROW('CONTROL MASTER'!#REF!)-1)))&amp;TRIM(MID(SUBSTITUTE(SUBSTITUTE(INDEX('CONTROL MASTER'!$N$2:$N$495,(SUMPRODUCT((('CONTROL MASTER'!$S$2:$S$495=10)*('CONTROL MASTER'!$Z$2:$Z$495&lt;=7)*('CONTROL MASTER'!$AB$2:$AB$495&gt;=7)*('CONTROL MASTER'!$AA$2:$AA$495&lt;=8)*('CONTROL MASTER'!$AC$2:$AC$495&gt;=8))*ROW('CONTROL MASTER'!$S$2:$S$495))-(ROW('CONTROL MASTER'!#REF!)-1))),":",","),",",REPT(" ",50)),(((INDEX('CONTROL MASTER'!$Y$2:$Y$495,(SUMPRODUCT((('CONTROL MASTER'!$S$2:$S$495=10)*('CONTROL MASTER'!$Z$2:$Z$495&lt;=7)*('CONTROL MASTER'!$AB$2:$AB$495&gt;=7)*('CONTROL MASTER'!$AA$2:$AA$495&lt;=8)*('CONTROL MASTER'!$AC$2:$AC$495&gt;=8))*ROW('CONTROL MASTER'!$S$2:$S$495))-(ROW('CONTROL MASTER'!#REF!)-1)))+((7-INDEX('CONTROL MASTER'!$Z$2:$Z$495,(SUMPRODUCT((('CONTROL MASTER'!$S$2:$S$495=10)*('CONTROL MASTER'!$Z$2:$Z$495&lt;=7)*('CONTROL MASTER'!$AB$2:$AB$495&gt;=7)*('CONTROL MASTER'!$AA$2:$AA$495&lt;=8)*('CONTROL MASTER'!$AC$2:$AC$495&gt;=8))*ROW('CONTROL MASTER'!$S$2:$S$495))-(ROW('CONTROL MASTER'!#REF!)-1))))*(INDEX('CONTROL MASTER'!$AC$2:$AC$495,(SUMPRODUCT((('CONTROL MASTER'!$S$2:$S$495=10)*('CONTROL MASTER'!$Z$2:$Z$495&lt;=7)*('CONTROL MASTER'!$AB$2:$AB$495&gt;=7)*('CONTROL MASTER'!$AA$2:$AA$495&lt;=8)*('CONTROL MASTER'!$AC$2:$AC$495&gt;=8))*ROW('CONTROL MASTER'!$S$2:$S$495))-(ROW('CONTROL MASTER'!#REF!)-1)))-INDEX('CONTROL MASTER'!$AA$2:$AA$495,(SUMPRODUCT((('CONTROL MASTER'!$S$2:$S$495=10)*('CONTROL MASTER'!$Z$2:$Z$495&lt;=7)*('CONTROL MASTER'!$AB$2:$AB$495&gt;=7)*('CONTROL MASTER'!$AA$2:$AA$495&lt;=8)*('CONTROL MASTER'!$AC$2:$AC$495&gt;=8))*ROW('CONTROL MASTER'!$S$2:$S$495))-(ROW('CONTROL MASTER'!#REF!)-1)))+1)+(8-INDEX('CONTROL MASTER'!$AA$2:$AA$495,(SUMPRODUCT((('CONTROL MASTER'!$S$2:$S$495=10)*('CONTROL MASTER'!$Z$2:$Z$495&lt;=7)*('CONTROL MASTER'!$AB$2:$AB$495&gt;=7)*('CONTROL MASTER'!$AA$2:$AA$495&lt;=8)*('CONTROL MASTER'!$AC$2:$AC$495&gt;=8))*ROW('CONTROL MASTER'!$S$2:$S$495))-(ROW('CONTROL MASTER'!#REF!)-1))))+1)))-1)*50+1,50))&amp;"_"&amp;INDEX('CONTROL MASTER'!$P$2:$P$495,(SUMPRODUCT((('CONTROL MASTER'!$S$2:$S$495=10)*('CONTROL MASTER'!$Z$2:$Z$495&lt;=7)*('CONTROL MASTER'!$AB$2:$AB$495&gt;=7)*('CONTROL MASTER'!$AA$2:$AA$495&lt;=8)*('CONTROL MASTER'!$AC$2:$AC$495&gt;=8))*ROW('CONTROL MASTER'!$S$2:$S$495))-(ROW('CONTROL MASTER'!#REF!)-1))),"")),"")</f>
        <v/>
      </c>
      <c r="J135" s="10" t="str">
        <f>IFERROR(IF(SUMPRODUCT((('CONTROL MASTER'!$S$2:$S$495=10)*('CONTROL MASTER'!$T$2:$T$495&lt;=7)*('CONTROL MASTER'!$V$2:$V$495&gt;=7)*('CONTROL MASTER'!$U$2:$U$495&lt;=9)*('CONTROL MASTER'!$W$2:$W$495&gt;=9))*ROW('CONTROL MASTER'!$S$2:$S$495))&gt;0,INDEX('CONTROL MASTER'!$X$2:$X$495,(SUMPRODUCT((('CONTROL MASTER'!$S$2:$S$495=10)*('CONTROL MASTER'!$T$2:$T$495&lt;=7)*('CONTROL MASTER'!$V$2:$V$495&gt;=7)*('CONTROL MASTER'!$U$2:$U$495&lt;=9)*('CONTROL MASTER'!$W$2:$W$495&gt;=9))*ROW('CONTROL MASTER'!$S$2:$S$495))-(ROW('CONTROL MASTER'!#REF!)-1)))&amp;TRIM(MID(SUBSTITUTE(SUBSTITUTE(INDEX('CONTROL MASTER'!$N$2:$N$495,(SUMPRODUCT((('CONTROL MASTER'!$S$2:$S$495=10)*('CONTROL MASTER'!$T$2:$T$495&lt;=7)*('CONTROL MASTER'!$V$2:$V$495&gt;=7)*('CONTROL MASTER'!$U$2:$U$495&lt;=9)*('CONTROL MASTER'!$W$2:$W$495&gt;=9))*ROW('CONTROL MASTER'!$S$2:$S$495))-(ROW('CONTROL MASTER'!#REF!)-1))),":",","),",",REPT(" ",50)),((((7-INDEX('CONTROL MASTER'!$T$2:$T$495,(SUMPRODUCT((('CONTROL MASTER'!$S$2:$S$495=10)*('CONTROL MASTER'!$T$2:$T$495&lt;=7)*('CONTROL MASTER'!$V$2:$V$495&gt;=7)*('CONTROL MASTER'!$U$2:$U$495&lt;=9)*('CONTROL MASTER'!$W$2:$W$495&gt;=9))*ROW('CONTROL MASTER'!$S$2:$S$495))-(ROW('CONTROL MASTER'!#REF!)-1))))*(INDEX('CONTROL MASTER'!$W$2:$W$495,(SUMPRODUCT((('CONTROL MASTER'!$S$2:$S$495=10)*('CONTROL MASTER'!$T$2:$T$495&lt;=7)*('CONTROL MASTER'!$V$2:$V$495&gt;=7)*('CONTROL MASTER'!$U$2:$U$495&lt;=9)*('CONTROL MASTER'!$W$2:$W$495&gt;=9))*ROW('CONTROL MASTER'!$S$2:$S$495))-(ROW('CONTROL MASTER'!#REF!)-1)))-INDEX('CONTROL MASTER'!$U$2:$U$495,(SUMPRODUCT((('CONTROL MASTER'!$S$2:$S$495=10)*('CONTROL MASTER'!$T$2:$T$495&lt;=7)*('CONTROL MASTER'!$V$2:$V$495&gt;=7)*('CONTROL MASTER'!$U$2:$U$495&lt;=9)*('CONTROL MASTER'!$W$2:$W$495&gt;=9))*ROW('CONTROL MASTER'!$S$2:$S$495))-(ROW('CONTROL MASTER'!#REF!)-1)))+1)+(9-INDEX('CONTROL MASTER'!$U$2:$U$495,(SUMPRODUCT((('CONTROL MASTER'!$S$2:$S$495=10)*('CONTROL MASTER'!$T$2:$T$495&lt;=7)*('CONTROL MASTER'!$V$2:$V$495&gt;=7)*('CONTROL MASTER'!$U$2:$U$495&lt;=9)*('CONTROL MASTER'!$W$2:$W$495&gt;=9))*ROW('CONTROL MASTER'!$S$2:$S$495))-(ROW('CONTROL MASTER'!#REF!)-1))))+1))-1)*50+1,50))&amp;"_"&amp;INDEX('CONTROL MASTER'!$P$2:$P$495,(SUMPRODUCT((('CONTROL MASTER'!$S$2:$S$495=10)*('CONTROL MASTER'!$T$2:$T$495&lt;=7)*('CONTROL MASTER'!$V$2:$V$495&gt;=7)*('CONTROL MASTER'!$U$2:$U$495&lt;=9)*('CONTROL MASTER'!$W$2:$W$495&gt;=9))*ROW('CONTROL MASTER'!$S$2:$S$495))-(ROW('CONTROL MASTER'!#REF!)-1))),IF(SUMPRODUCT((('CONTROL MASTER'!$S$2:$S$495=10)*('CONTROL MASTER'!$Z$2:$Z$495&lt;=7)*('CONTROL MASTER'!$AB$2:$AB$495&gt;=7)*('CONTROL MASTER'!$AA$2:$AA$495&lt;=9)*('CONTROL MASTER'!$AC$2:$AC$495&gt;=9))*ROW('CONTROL MASTER'!$S$2:$S$495))&gt;0,INDEX('CONTROL MASTER'!$X$2:$X$495,(SUMPRODUCT((('CONTROL MASTER'!$S$2:$S$495=10)*('CONTROL MASTER'!$Z$2:$Z$495&lt;=7)*('CONTROL MASTER'!$AB$2:$AB$495&gt;=7)*('CONTROL MASTER'!$AA$2:$AA$495&lt;=9)*('CONTROL MASTER'!$AC$2:$AC$495&gt;=9))*ROW('CONTROL MASTER'!$S$2:$S$495))-(ROW('CONTROL MASTER'!#REF!)-1)))&amp;TRIM(MID(SUBSTITUTE(SUBSTITUTE(INDEX('CONTROL MASTER'!$N$2:$N$495,(SUMPRODUCT((('CONTROL MASTER'!$S$2:$S$495=10)*('CONTROL MASTER'!$Z$2:$Z$495&lt;=7)*('CONTROL MASTER'!$AB$2:$AB$495&gt;=7)*('CONTROL MASTER'!$AA$2:$AA$495&lt;=9)*('CONTROL MASTER'!$AC$2:$AC$495&gt;=9))*ROW('CONTROL MASTER'!$S$2:$S$495))-(ROW('CONTROL MASTER'!#REF!)-1))),":",","),",",REPT(" ",50)),(((INDEX('CONTROL MASTER'!$Y$2:$Y$495,(SUMPRODUCT((('CONTROL MASTER'!$S$2:$S$495=10)*('CONTROL MASTER'!$Z$2:$Z$495&lt;=7)*('CONTROL MASTER'!$AB$2:$AB$495&gt;=7)*('CONTROL MASTER'!$AA$2:$AA$495&lt;=9)*('CONTROL MASTER'!$AC$2:$AC$495&gt;=9))*ROW('CONTROL MASTER'!$S$2:$S$495))-(ROW('CONTROL MASTER'!#REF!)-1)))+((7-INDEX('CONTROL MASTER'!$Z$2:$Z$495,(SUMPRODUCT((('CONTROL MASTER'!$S$2:$S$495=10)*('CONTROL MASTER'!$Z$2:$Z$495&lt;=7)*('CONTROL MASTER'!$AB$2:$AB$495&gt;=7)*('CONTROL MASTER'!$AA$2:$AA$495&lt;=9)*('CONTROL MASTER'!$AC$2:$AC$495&gt;=9))*ROW('CONTROL MASTER'!$S$2:$S$495))-(ROW('CONTROL MASTER'!#REF!)-1))))*(INDEX('CONTROL MASTER'!$AC$2:$AC$495,(SUMPRODUCT((('CONTROL MASTER'!$S$2:$S$495=10)*('CONTROL MASTER'!$Z$2:$Z$495&lt;=7)*('CONTROL MASTER'!$AB$2:$AB$495&gt;=7)*('CONTROL MASTER'!$AA$2:$AA$495&lt;=9)*('CONTROL MASTER'!$AC$2:$AC$495&gt;=9))*ROW('CONTROL MASTER'!$S$2:$S$495))-(ROW('CONTROL MASTER'!#REF!)-1)))-INDEX('CONTROL MASTER'!$AA$2:$AA$495,(SUMPRODUCT((('CONTROL MASTER'!$S$2:$S$495=10)*('CONTROL MASTER'!$Z$2:$Z$495&lt;=7)*('CONTROL MASTER'!$AB$2:$AB$495&gt;=7)*('CONTROL MASTER'!$AA$2:$AA$495&lt;=9)*('CONTROL MASTER'!$AC$2:$AC$495&gt;=9))*ROW('CONTROL MASTER'!$S$2:$S$495))-(ROW('CONTROL MASTER'!#REF!)-1)))+1)+(9-INDEX('CONTROL MASTER'!$AA$2:$AA$495,(SUMPRODUCT((('CONTROL MASTER'!$S$2:$S$495=10)*('CONTROL MASTER'!$Z$2:$Z$495&lt;=7)*('CONTROL MASTER'!$AB$2:$AB$495&gt;=7)*('CONTROL MASTER'!$AA$2:$AA$495&lt;=9)*('CONTROL MASTER'!$AC$2:$AC$495&gt;=9))*ROW('CONTROL MASTER'!$S$2:$S$495))-(ROW('CONTROL MASTER'!#REF!)-1))))+1)))-1)*50+1,50))&amp;"_"&amp;INDEX('CONTROL MASTER'!$P$2:$P$495,(SUMPRODUCT((('CONTROL MASTER'!$S$2:$S$495=10)*('CONTROL MASTER'!$Z$2:$Z$495&lt;=7)*('CONTROL MASTER'!$AB$2:$AB$495&gt;=7)*('CONTROL MASTER'!$AA$2:$AA$495&lt;=9)*('CONTROL MASTER'!$AC$2:$AC$495&gt;=9))*ROW('CONTROL MASTER'!$S$2:$S$495))-(ROW('CONTROL MASTER'!#REF!)-1))),"")),"")</f>
        <v/>
      </c>
      <c r="K135" s="10" t="str">
        <f>IFERROR(IF(SUMPRODUCT((('CONTROL MASTER'!$S$2:$S$495=10)*('CONTROL MASTER'!$T$2:$T$495&lt;=7)*('CONTROL MASTER'!$V$2:$V$495&gt;=7)*('CONTROL MASTER'!$U$2:$U$495&lt;=10)*('CONTROL MASTER'!$W$2:$W$495&gt;=10))*ROW('CONTROL MASTER'!$S$2:$S$495))&gt;0,INDEX('CONTROL MASTER'!$X$2:$X$495,(SUMPRODUCT((('CONTROL MASTER'!$S$2:$S$495=10)*('CONTROL MASTER'!$T$2:$T$495&lt;=7)*('CONTROL MASTER'!$V$2:$V$495&gt;=7)*('CONTROL MASTER'!$U$2:$U$495&lt;=10)*('CONTROL MASTER'!$W$2:$W$495&gt;=10))*ROW('CONTROL MASTER'!$S$2:$S$495))-(ROW('CONTROL MASTER'!#REF!)-1)))&amp;TRIM(MID(SUBSTITUTE(SUBSTITUTE(INDEX('CONTROL MASTER'!$N$2:$N$495,(SUMPRODUCT((('CONTROL MASTER'!$S$2:$S$495=10)*('CONTROL MASTER'!$T$2:$T$495&lt;=7)*('CONTROL MASTER'!$V$2:$V$495&gt;=7)*('CONTROL MASTER'!$U$2:$U$495&lt;=10)*('CONTROL MASTER'!$W$2:$W$495&gt;=10))*ROW('CONTROL MASTER'!$S$2:$S$495))-(ROW('CONTROL MASTER'!#REF!)-1))),":",","),",",REPT(" ",50)),((((7-INDEX('CONTROL MASTER'!$T$2:$T$495,(SUMPRODUCT((('CONTROL MASTER'!$S$2:$S$495=10)*('CONTROL MASTER'!$T$2:$T$495&lt;=7)*('CONTROL MASTER'!$V$2:$V$495&gt;=7)*('CONTROL MASTER'!$U$2:$U$495&lt;=10)*('CONTROL MASTER'!$W$2:$W$495&gt;=10))*ROW('CONTROL MASTER'!$S$2:$S$495))-(ROW('CONTROL MASTER'!#REF!)-1))))*(INDEX('CONTROL MASTER'!$W$2:$W$495,(SUMPRODUCT((('CONTROL MASTER'!$S$2:$S$495=10)*('CONTROL MASTER'!$T$2:$T$495&lt;=7)*('CONTROL MASTER'!$V$2:$V$495&gt;=7)*('CONTROL MASTER'!$U$2:$U$495&lt;=10)*('CONTROL MASTER'!$W$2:$W$495&gt;=10))*ROW('CONTROL MASTER'!$S$2:$S$495))-(ROW('CONTROL MASTER'!#REF!)-1)))-INDEX('CONTROL MASTER'!$U$2:$U$495,(SUMPRODUCT((('CONTROL MASTER'!$S$2:$S$495=10)*('CONTROL MASTER'!$T$2:$T$495&lt;=7)*('CONTROL MASTER'!$V$2:$V$495&gt;=7)*('CONTROL MASTER'!$U$2:$U$495&lt;=10)*('CONTROL MASTER'!$W$2:$W$495&gt;=10))*ROW('CONTROL MASTER'!$S$2:$S$495))-(ROW('CONTROL MASTER'!#REF!)-1)))+1)+(10-INDEX('CONTROL MASTER'!$U$2:$U$495,(SUMPRODUCT((('CONTROL MASTER'!$S$2:$S$495=10)*('CONTROL MASTER'!$T$2:$T$495&lt;=7)*('CONTROL MASTER'!$V$2:$V$495&gt;=7)*('CONTROL MASTER'!$U$2:$U$495&lt;=10)*('CONTROL MASTER'!$W$2:$W$495&gt;=10))*ROW('CONTROL MASTER'!$S$2:$S$495))-(ROW('CONTROL MASTER'!#REF!)-1))))+1))-1)*50+1,50))&amp;"_"&amp;INDEX('CONTROL MASTER'!$P$2:$P$495,(SUMPRODUCT((('CONTROL MASTER'!$S$2:$S$495=10)*('CONTROL MASTER'!$T$2:$T$495&lt;=7)*('CONTROL MASTER'!$V$2:$V$495&gt;=7)*('CONTROL MASTER'!$U$2:$U$495&lt;=10)*('CONTROL MASTER'!$W$2:$W$495&gt;=10))*ROW('CONTROL MASTER'!$S$2:$S$495))-(ROW('CONTROL MASTER'!#REF!)-1))),IF(SUMPRODUCT((('CONTROL MASTER'!$S$2:$S$495=10)*('CONTROL MASTER'!$Z$2:$Z$495&lt;=7)*('CONTROL MASTER'!$AB$2:$AB$495&gt;=7)*('CONTROL MASTER'!$AA$2:$AA$495&lt;=10)*('CONTROL MASTER'!$AC$2:$AC$495&gt;=10))*ROW('CONTROL MASTER'!$S$2:$S$495))&gt;0,INDEX('CONTROL MASTER'!$X$2:$X$495,(SUMPRODUCT((('CONTROL MASTER'!$S$2:$S$495=10)*('CONTROL MASTER'!$Z$2:$Z$495&lt;=7)*('CONTROL MASTER'!$AB$2:$AB$495&gt;=7)*('CONTROL MASTER'!$AA$2:$AA$495&lt;=10)*('CONTROL MASTER'!$AC$2:$AC$495&gt;=10))*ROW('CONTROL MASTER'!$S$2:$S$495))-(ROW('CONTROL MASTER'!#REF!)-1)))&amp;TRIM(MID(SUBSTITUTE(SUBSTITUTE(INDEX('CONTROL MASTER'!$N$2:$N$495,(SUMPRODUCT((('CONTROL MASTER'!$S$2:$S$495=10)*('CONTROL MASTER'!$Z$2:$Z$495&lt;=7)*('CONTROL MASTER'!$AB$2:$AB$495&gt;=7)*('CONTROL MASTER'!$AA$2:$AA$495&lt;=10)*('CONTROL MASTER'!$AC$2:$AC$495&gt;=10))*ROW('CONTROL MASTER'!$S$2:$S$495))-(ROW('CONTROL MASTER'!#REF!)-1))),":",","),",",REPT(" ",50)),(((INDEX('CONTROL MASTER'!$Y$2:$Y$495,(SUMPRODUCT((('CONTROL MASTER'!$S$2:$S$495=10)*('CONTROL MASTER'!$Z$2:$Z$495&lt;=7)*('CONTROL MASTER'!$AB$2:$AB$495&gt;=7)*('CONTROL MASTER'!$AA$2:$AA$495&lt;=10)*('CONTROL MASTER'!$AC$2:$AC$495&gt;=10))*ROW('CONTROL MASTER'!$S$2:$S$495))-(ROW('CONTROL MASTER'!#REF!)-1)))+((7-INDEX('CONTROL MASTER'!$Z$2:$Z$495,(SUMPRODUCT((('CONTROL MASTER'!$S$2:$S$495=10)*('CONTROL MASTER'!$Z$2:$Z$495&lt;=7)*('CONTROL MASTER'!$AB$2:$AB$495&gt;=7)*('CONTROL MASTER'!$AA$2:$AA$495&lt;=10)*('CONTROL MASTER'!$AC$2:$AC$495&gt;=10))*ROW('CONTROL MASTER'!$S$2:$S$495))-(ROW('CONTROL MASTER'!#REF!)-1))))*(INDEX('CONTROL MASTER'!$AC$2:$AC$495,(SUMPRODUCT((('CONTROL MASTER'!$S$2:$S$495=10)*('CONTROL MASTER'!$Z$2:$Z$495&lt;=7)*('CONTROL MASTER'!$AB$2:$AB$495&gt;=7)*('CONTROL MASTER'!$AA$2:$AA$495&lt;=10)*('CONTROL MASTER'!$AC$2:$AC$495&gt;=10))*ROW('CONTROL MASTER'!$S$2:$S$495))-(ROW('CONTROL MASTER'!#REF!)-1)))-INDEX('CONTROL MASTER'!$AA$2:$AA$495,(SUMPRODUCT((('CONTROL MASTER'!$S$2:$S$495=10)*('CONTROL MASTER'!$Z$2:$Z$495&lt;=7)*('CONTROL MASTER'!$AB$2:$AB$495&gt;=7)*('CONTROL MASTER'!$AA$2:$AA$495&lt;=10)*('CONTROL MASTER'!$AC$2:$AC$495&gt;=10))*ROW('CONTROL MASTER'!$S$2:$S$495))-(ROW('CONTROL MASTER'!#REF!)-1)))+1)+(10-INDEX('CONTROL MASTER'!$AA$2:$AA$495,(SUMPRODUCT((('CONTROL MASTER'!$S$2:$S$495=10)*('CONTROL MASTER'!$Z$2:$Z$495&lt;=7)*('CONTROL MASTER'!$AB$2:$AB$495&gt;=7)*('CONTROL MASTER'!$AA$2:$AA$495&lt;=10)*('CONTROL MASTER'!$AC$2:$AC$495&gt;=10))*ROW('CONTROL MASTER'!$S$2:$S$495))-(ROW('CONTROL MASTER'!#REF!)-1))))+1)))-1)*50+1,50))&amp;"_"&amp;INDEX('CONTROL MASTER'!$P$2:$P$495,(SUMPRODUCT((('CONTROL MASTER'!$S$2:$S$495=10)*('CONTROL MASTER'!$Z$2:$Z$495&lt;=7)*('CONTROL MASTER'!$AB$2:$AB$495&gt;=7)*('CONTROL MASTER'!$AA$2:$AA$495&lt;=10)*('CONTROL MASTER'!$AC$2:$AC$495&gt;=10))*ROW('CONTROL MASTER'!$S$2:$S$495))-(ROW('CONTROL MASTER'!#REF!)-1))),"")),"")</f>
        <v/>
      </c>
    </row>
    <row r="136" spans="1:11" ht="15" customHeight="1" x14ac:dyDescent="0.35">
      <c r="A136" s="8" t="s">
        <v>35</v>
      </c>
      <c r="B136" s="10" t="str">
        <f>IFERROR(IF(SUMPRODUCT((('CONTROL MASTER'!$S$2:$S$495=10)*('CONTROL MASTER'!$T$2:$T$495&lt;=8)*('CONTROL MASTER'!$V$2:$V$495&gt;=8)*('CONTROL MASTER'!$U$2:$U$495&lt;=1)*('CONTROL MASTER'!$W$2:$W$495&gt;=1))*ROW('CONTROL MASTER'!$S$2:$S$495))&gt;0,INDEX('CONTROL MASTER'!$X$2:$X$495,(SUMPRODUCT((('CONTROL MASTER'!$S$2:$S$495=10)*('CONTROL MASTER'!$T$2:$T$495&lt;=8)*('CONTROL MASTER'!$V$2:$V$495&gt;=8)*('CONTROL MASTER'!$U$2:$U$495&lt;=1)*('CONTROL MASTER'!$W$2:$W$495&gt;=1))*ROW('CONTROL MASTER'!$S$2:$S$495))-(ROW('CONTROL MASTER'!#REF!)-1)))&amp;TRIM(MID(SUBSTITUTE(SUBSTITUTE(INDEX('CONTROL MASTER'!$N$2:$N$495,(SUMPRODUCT((('CONTROL MASTER'!$S$2:$S$495=10)*('CONTROL MASTER'!$T$2:$T$495&lt;=8)*('CONTROL MASTER'!$V$2:$V$495&gt;=8)*('CONTROL MASTER'!$U$2:$U$495&lt;=1)*('CONTROL MASTER'!$W$2:$W$495&gt;=1))*ROW('CONTROL MASTER'!$S$2:$S$495))-(ROW('CONTROL MASTER'!#REF!)-1))),":",","),",",REPT(" ",50)),((((8-INDEX('CONTROL MASTER'!$T$2:$T$495,(SUMPRODUCT((('CONTROL MASTER'!$S$2:$S$495=10)*('CONTROL MASTER'!$T$2:$T$495&lt;=8)*('CONTROL MASTER'!$V$2:$V$495&gt;=8)*('CONTROL MASTER'!$U$2:$U$495&lt;=1)*('CONTROL MASTER'!$W$2:$W$495&gt;=1))*ROW('CONTROL MASTER'!$S$2:$S$495))-(ROW('CONTROL MASTER'!#REF!)-1))))*(INDEX('CONTROL MASTER'!$W$2:$W$495,(SUMPRODUCT((('CONTROL MASTER'!$S$2:$S$495=10)*('CONTROL MASTER'!$T$2:$T$495&lt;=8)*('CONTROL MASTER'!$V$2:$V$495&gt;=8)*('CONTROL MASTER'!$U$2:$U$495&lt;=1)*('CONTROL MASTER'!$W$2:$W$495&gt;=1))*ROW('CONTROL MASTER'!$S$2:$S$495))-(ROW('CONTROL MASTER'!#REF!)-1)))-INDEX('CONTROL MASTER'!$U$2:$U$495,(SUMPRODUCT((('CONTROL MASTER'!$S$2:$S$495=10)*('CONTROL MASTER'!$T$2:$T$495&lt;=8)*('CONTROL MASTER'!$V$2:$V$495&gt;=8)*('CONTROL MASTER'!$U$2:$U$495&lt;=1)*('CONTROL MASTER'!$W$2:$W$495&gt;=1))*ROW('CONTROL MASTER'!$S$2:$S$495))-(ROW('CONTROL MASTER'!#REF!)-1)))+1)+(1-INDEX('CONTROL MASTER'!$U$2:$U$495,(SUMPRODUCT((('CONTROL MASTER'!$S$2:$S$495=10)*('CONTROL MASTER'!$T$2:$T$495&lt;=8)*('CONTROL MASTER'!$V$2:$V$495&gt;=8)*('CONTROL MASTER'!$U$2:$U$495&lt;=1)*('CONTROL MASTER'!$W$2:$W$495&gt;=1))*ROW('CONTROL MASTER'!$S$2:$S$495))-(ROW('CONTROL MASTER'!#REF!)-1))))+1))-1)*50+1,50))&amp;"_"&amp;INDEX('CONTROL MASTER'!$P$2:$P$495,(SUMPRODUCT((('CONTROL MASTER'!$S$2:$S$495=10)*('CONTROL MASTER'!$T$2:$T$495&lt;=8)*('CONTROL MASTER'!$V$2:$V$495&gt;=8)*('CONTROL MASTER'!$U$2:$U$495&lt;=1)*('CONTROL MASTER'!$W$2:$W$495&gt;=1))*ROW('CONTROL MASTER'!$S$2:$S$495))-(ROW('CONTROL MASTER'!#REF!)-1))),IF(SUMPRODUCT((('CONTROL MASTER'!$S$2:$S$495=10)*('CONTROL MASTER'!$Z$2:$Z$495&lt;=8)*('CONTROL MASTER'!$AB$2:$AB$495&gt;=8)*('CONTROL MASTER'!$AA$2:$AA$495&lt;=1)*('CONTROL MASTER'!$AC$2:$AC$495&gt;=1))*ROW('CONTROL MASTER'!$S$2:$S$495))&gt;0,INDEX('CONTROL MASTER'!$X$2:$X$495,(SUMPRODUCT((('CONTROL MASTER'!$S$2:$S$495=10)*('CONTROL MASTER'!$Z$2:$Z$495&lt;=8)*('CONTROL MASTER'!$AB$2:$AB$495&gt;=8)*('CONTROL MASTER'!$AA$2:$AA$495&lt;=1)*('CONTROL MASTER'!$AC$2:$AC$495&gt;=1))*ROW('CONTROL MASTER'!$S$2:$S$495))-(ROW('CONTROL MASTER'!#REF!)-1)))&amp;TRIM(MID(SUBSTITUTE(SUBSTITUTE(INDEX('CONTROL MASTER'!$N$2:$N$495,(SUMPRODUCT((('CONTROL MASTER'!$S$2:$S$495=10)*('CONTROL MASTER'!$Z$2:$Z$495&lt;=8)*('CONTROL MASTER'!$AB$2:$AB$495&gt;=8)*('CONTROL MASTER'!$AA$2:$AA$495&lt;=1)*('CONTROL MASTER'!$AC$2:$AC$495&gt;=1))*ROW('CONTROL MASTER'!$S$2:$S$495))-(ROW('CONTROL MASTER'!#REF!)-1))),":",","),",",REPT(" ",50)),(((INDEX('CONTROL MASTER'!$Y$2:$Y$495,(SUMPRODUCT((('CONTROL MASTER'!$S$2:$S$495=10)*('CONTROL MASTER'!$Z$2:$Z$495&lt;=8)*('CONTROL MASTER'!$AB$2:$AB$495&gt;=8)*('CONTROL MASTER'!$AA$2:$AA$495&lt;=1)*('CONTROL MASTER'!$AC$2:$AC$495&gt;=1))*ROW('CONTROL MASTER'!$S$2:$S$495))-(ROW('CONTROL MASTER'!#REF!)-1)))+((8-INDEX('CONTROL MASTER'!$Z$2:$Z$495,(SUMPRODUCT((('CONTROL MASTER'!$S$2:$S$495=10)*('CONTROL MASTER'!$Z$2:$Z$495&lt;=8)*('CONTROL MASTER'!$AB$2:$AB$495&gt;=8)*('CONTROL MASTER'!$AA$2:$AA$495&lt;=1)*('CONTROL MASTER'!$AC$2:$AC$495&gt;=1))*ROW('CONTROL MASTER'!$S$2:$S$495))-(ROW('CONTROL MASTER'!#REF!)-1))))*(INDEX('CONTROL MASTER'!$AC$2:$AC$495,(SUMPRODUCT((('CONTROL MASTER'!$S$2:$S$495=10)*('CONTROL MASTER'!$Z$2:$Z$495&lt;=8)*('CONTROL MASTER'!$AB$2:$AB$495&gt;=8)*('CONTROL MASTER'!$AA$2:$AA$495&lt;=1)*('CONTROL MASTER'!$AC$2:$AC$495&gt;=1))*ROW('CONTROL MASTER'!$S$2:$S$495))-(ROW('CONTROL MASTER'!#REF!)-1)))-INDEX('CONTROL MASTER'!$AA$2:$AA$495,(SUMPRODUCT((('CONTROL MASTER'!$S$2:$S$495=10)*('CONTROL MASTER'!$Z$2:$Z$495&lt;=8)*('CONTROL MASTER'!$AB$2:$AB$495&gt;=8)*('CONTROL MASTER'!$AA$2:$AA$495&lt;=1)*('CONTROL MASTER'!$AC$2:$AC$495&gt;=1))*ROW('CONTROL MASTER'!$S$2:$S$495))-(ROW('CONTROL MASTER'!#REF!)-1)))+1)+(1-INDEX('CONTROL MASTER'!$AA$2:$AA$495,(SUMPRODUCT((('CONTROL MASTER'!$S$2:$S$495=10)*('CONTROL MASTER'!$Z$2:$Z$495&lt;=8)*('CONTROL MASTER'!$AB$2:$AB$495&gt;=8)*('CONTROL MASTER'!$AA$2:$AA$495&lt;=1)*('CONTROL MASTER'!$AC$2:$AC$495&gt;=1))*ROW('CONTROL MASTER'!$S$2:$S$495))-(ROW('CONTROL MASTER'!#REF!)-1))))+1)))-1)*50+1,50))&amp;"_"&amp;INDEX('CONTROL MASTER'!$P$2:$P$495,(SUMPRODUCT((('CONTROL MASTER'!$S$2:$S$495=10)*('CONTROL MASTER'!$Z$2:$Z$495&lt;=8)*('CONTROL MASTER'!$AB$2:$AB$495&gt;=8)*('CONTROL MASTER'!$AA$2:$AA$495&lt;=1)*('CONTROL MASTER'!$AC$2:$AC$495&gt;=1))*ROW('CONTROL MASTER'!$S$2:$S$495))-(ROW('CONTROL MASTER'!#REF!)-1))),"")),"")</f>
        <v/>
      </c>
      <c r="C136" s="10" t="str">
        <f>IFERROR(IF(SUMPRODUCT((('CONTROL MASTER'!$S$2:$S$495=10)*('CONTROL MASTER'!$T$2:$T$495&lt;=8)*('CONTROL MASTER'!$V$2:$V$495&gt;=8)*('CONTROL MASTER'!$U$2:$U$495&lt;=2)*('CONTROL MASTER'!$W$2:$W$495&gt;=2))*ROW('CONTROL MASTER'!$S$2:$S$495))&gt;0,INDEX('CONTROL MASTER'!$X$2:$X$495,(SUMPRODUCT((('CONTROL MASTER'!$S$2:$S$495=10)*('CONTROL MASTER'!$T$2:$T$495&lt;=8)*('CONTROL MASTER'!$V$2:$V$495&gt;=8)*('CONTROL MASTER'!$U$2:$U$495&lt;=2)*('CONTROL MASTER'!$W$2:$W$495&gt;=2))*ROW('CONTROL MASTER'!$S$2:$S$495))-(ROW('CONTROL MASTER'!#REF!)-1)))&amp;TRIM(MID(SUBSTITUTE(SUBSTITUTE(INDEX('CONTROL MASTER'!$N$2:$N$495,(SUMPRODUCT((('CONTROL MASTER'!$S$2:$S$495=10)*('CONTROL MASTER'!$T$2:$T$495&lt;=8)*('CONTROL MASTER'!$V$2:$V$495&gt;=8)*('CONTROL MASTER'!$U$2:$U$495&lt;=2)*('CONTROL MASTER'!$W$2:$W$495&gt;=2))*ROW('CONTROL MASTER'!$S$2:$S$495))-(ROW('CONTROL MASTER'!#REF!)-1))),":",","),",",REPT(" ",50)),((((8-INDEX('CONTROL MASTER'!$T$2:$T$495,(SUMPRODUCT((('CONTROL MASTER'!$S$2:$S$495=10)*('CONTROL MASTER'!$T$2:$T$495&lt;=8)*('CONTROL MASTER'!$V$2:$V$495&gt;=8)*('CONTROL MASTER'!$U$2:$U$495&lt;=2)*('CONTROL MASTER'!$W$2:$W$495&gt;=2))*ROW('CONTROL MASTER'!$S$2:$S$495))-(ROW('CONTROL MASTER'!#REF!)-1))))*(INDEX('CONTROL MASTER'!$W$2:$W$495,(SUMPRODUCT((('CONTROL MASTER'!$S$2:$S$495=10)*('CONTROL MASTER'!$T$2:$T$495&lt;=8)*('CONTROL MASTER'!$V$2:$V$495&gt;=8)*('CONTROL MASTER'!$U$2:$U$495&lt;=2)*('CONTROL MASTER'!$W$2:$W$495&gt;=2))*ROW('CONTROL MASTER'!$S$2:$S$495))-(ROW('CONTROL MASTER'!#REF!)-1)))-INDEX('CONTROL MASTER'!$U$2:$U$495,(SUMPRODUCT((('CONTROL MASTER'!$S$2:$S$495=10)*('CONTROL MASTER'!$T$2:$T$495&lt;=8)*('CONTROL MASTER'!$V$2:$V$495&gt;=8)*('CONTROL MASTER'!$U$2:$U$495&lt;=2)*('CONTROL MASTER'!$W$2:$W$495&gt;=2))*ROW('CONTROL MASTER'!$S$2:$S$495))-(ROW('CONTROL MASTER'!#REF!)-1)))+1)+(2-INDEX('CONTROL MASTER'!$U$2:$U$495,(SUMPRODUCT((('CONTROL MASTER'!$S$2:$S$495=10)*('CONTROL MASTER'!$T$2:$T$495&lt;=8)*('CONTROL MASTER'!$V$2:$V$495&gt;=8)*('CONTROL MASTER'!$U$2:$U$495&lt;=2)*('CONTROL MASTER'!$W$2:$W$495&gt;=2))*ROW('CONTROL MASTER'!$S$2:$S$495))-(ROW('CONTROL MASTER'!#REF!)-1))))+1))-1)*50+1,50))&amp;"_"&amp;INDEX('CONTROL MASTER'!$P$2:$P$495,(SUMPRODUCT((('CONTROL MASTER'!$S$2:$S$495=10)*('CONTROL MASTER'!$T$2:$T$495&lt;=8)*('CONTROL MASTER'!$V$2:$V$495&gt;=8)*('CONTROL MASTER'!$U$2:$U$495&lt;=2)*('CONTROL MASTER'!$W$2:$W$495&gt;=2))*ROW('CONTROL MASTER'!$S$2:$S$495))-(ROW('CONTROL MASTER'!#REF!)-1))),IF(SUMPRODUCT((('CONTROL MASTER'!$S$2:$S$495=10)*('CONTROL MASTER'!$Z$2:$Z$495&lt;=8)*('CONTROL MASTER'!$AB$2:$AB$495&gt;=8)*('CONTROL MASTER'!$AA$2:$AA$495&lt;=2)*('CONTROL MASTER'!$AC$2:$AC$495&gt;=2))*ROW('CONTROL MASTER'!$S$2:$S$495))&gt;0,INDEX('CONTROL MASTER'!$X$2:$X$495,(SUMPRODUCT((('CONTROL MASTER'!$S$2:$S$495=10)*('CONTROL MASTER'!$Z$2:$Z$495&lt;=8)*('CONTROL MASTER'!$AB$2:$AB$495&gt;=8)*('CONTROL MASTER'!$AA$2:$AA$495&lt;=2)*('CONTROL MASTER'!$AC$2:$AC$495&gt;=2))*ROW('CONTROL MASTER'!$S$2:$S$495))-(ROW('CONTROL MASTER'!#REF!)-1)))&amp;TRIM(MID(SUBSTITUTE(SUBSTITUTE(INDEX('CONTROL MASTER'!$N$2:$N$495,(SUMPRODUCT((('CONTROL MASTER'!$S$2:$S$495=10)*('CONTROL MASTER'!$Z$2:$Z$495&lt;=8)*('CONTROL MASTER'!$AB$2:$AB$495&gt;=8)*('CONTROL MASTER'!$AA$2:$AA$495&lt;=2)*('CONTROL MASTER'!$AC$2:$AC$495&gt;=2))*ROW('CONTROL MASTER'!$S$2:$S$495))-(ROW('CONTROL MASTER'!#REF!)-1))),":",","),",",REPT(" ",50)),(((INDEX('CONTROL MASTER'!$Y$2:$Y$495,(SUMPRODUCT((('CONTROL MASTER'!$S$2:$S$495=10)*('CONTROL MASTER'!$Z$2:$Z$495&lt;=8)*('CONTROL MASTER'!$AB$2:$AB$495&gt;=8)*('CONTROL MASTER'!$AA$2:$AA$495&lt;=2)*('CONTROL MASTER'!$AC$2:$AC$495&gt;=2))*ROW('CONTROL MASTER'!$S$2:$S$495))-(ROW('CONTROL MASTER'!#REF!)-1)))+((8-INDEX('CONTROL MASTER'!$Z$2:$Z$495,(SUMPRODUCT((('CONTROL MASTER'!$S$2:$S$495=10)*('CONTROL MASTER'!$Z$2:$Z$495&lt;=8)*('CONTROL MASTER'!$AB$2:$AB$495&gt;=8)*('CONTROL MASTER'!$AA$2:$AA$495&lt;=2)*('CONTROL MASTER'!$AC$2:$AC$495&gt;=2))*ROW('CONTROL MASTER'!$S$2:$S$495))-(ROW('CONTROL MASTER'!#REF!)-1))))*(INDEX('CONTROL MASTER'!$AC$2:$AC$495,(SUMPRODUCT((('CONTROL MASTER'!$S$2:$S$495=10)*('CONTROL MASTER'!$Z$2:$Z$495&lt;=8)*('CONTROL MASTER'!$AB$2:$AB$495&gt;=8)*('CONTROL MASTER'!$AA$2:$AA$495&lt;=2)*('CONTROL MASTER'!$AC$2:$AC$495&gt;=2))*ROW('CONTROL MASTER'!$S$2:$S$495))-(ROW('CONTROL MASTER'!#REF!)-1)))-INDEX('CONTROL MASTER'!$AA$2:$AA$495,(SUMPRODUCT((('CONTROL MASTER'!$S$2:$S$495=10)*('CONTROL MASTER'!$Z$2:$Z$495&lt;=8)*('CONTROL MASTER'!$AB$2:$AB$495&gt;=8)*('CONTROL MASTER'!$AA$2:$AA$495&lt;=2)*('CONTROL MASTER'!$AC$2:$AC$495&gt;=2))*ROW('CONTROL MASTER'!$S$2:$S$495))-(ROW('CONTROL MASTER'!#REF!)-1)))+1)+(2-INDEX('CONTROL MASTER'!$AA$2:$AA$495,(SUMPRODUCT((('CONTROL MASTER'!$S$2:$S$495=10)*('CONTROL MASTER'!$Z$2:$Z$495&lt;=8)*('CONTROL MASTER'!$AB$2:$AB$495&gt;=8)*('CONTROL MASTER'!$AA$2:$AA$495&lt;=2)*('CONTROL MASTER'!$AC$2:$AC$495&gt;=2))*ROW('CONTROL MASTER'!$S$2:$S$495))-(ROW('CONTROL MASTER'!#REF!)-1))))+1)))-1)*50+1,50))&amp;"_"&amp;INDEX('CONTROL MASTER'!$P$2:$P$495,(SUMPRODUCT((('CONTROL MASTER'!$S$2:$S$495=10)*('CONTROL MASTER'!$Z$2:$Z$495&lt;=8)*('CONTROL MASTER'!$AB$2:$AB$495&gt;=8)*('CONTROL MASTER'!$AA$2:$AA$495&lt;=2)*('CONTROL MASTER'!$AC$2:$AC$495&gt;=2))*ROW('CONTROL MASTER'!$S$2:$S$495))-(ROW('CONTROL MASTER'!#REF!)-1))),"")),"")</f>
        <v/>
      </c>
      <c r="D136" s="10" t="str">
        <f>IFERROR(IF(SUMPRODUCT((('CONTROL MASTER'!$S$2:$S$495=10)*('CONTROL MASTER'!$T$2:$T$495&lt;=8)*('CONTROL MASTER'!$V$2:$V$495&gt;=8)*('CONTROL MASTER'!$U$2:$U$495&lt;=3)*('CONTROL MASTER'!$W$2:$W$495&gt;=3))*ROW('CONTROL MASTER'!$S$2:$S$495))&gt;0,INDEX('CONTROL MASTER'!$X$2:$X$495,(SUMPRODUCT((('CONTROL MASTER'!$S$2:$S$495=10)*('CONTROL MASTER'!$T$2:$T$495&lt;=8)*('CONTROL MASTER'!$V$2:$V$495&gt;=8)*('CONTROL MASTER'!$U$2:$U$495&lt;=3)*('CONTROL MASTER'!$W$2:$W$495&gt;=3))*ROW('CONTROL MASTER'!$S$2:$S$495))-(ROW('CONTROL MASTER'!#REF!)-1)))&amp;TRIM(MID(SUBSTITUTE(SUBSTITUTE(INDEX('CONTROL MASTER'!$N$2:$N$495,(SUMPRODUCT((('CONTROL MASTER'!$S$2:$S$495=10)*('CONTROL MASTER'!$T$2:$T$495&lt;=8)*('CONTROL MASTER'!$V$2:$V$495&gt;=8)*('CONTROL MASTER'!$U$2:$U$495&lt;=3)*('CONTROL MASTER'!$W$2:$W$495&gt;=3))*ROW('CONTROL MASTER'!$S$2:$S$495))-(ROW('CONTROL MASTER'!#REF!)-1))),":",","),",",REPT(" ",50)),((((8-INDEX('CONTROL MASTER'!$T$2:$T$495,(SUMPRODUCT((('CONTROL MASTER'!$S$2:$S$495=10)*('CONTROL MASTER'!$T$2:$T$495&lt;=8)*('CONTROL MASTER'!$V$2:$V$495&gt;=8)*('CONTROL MASTER'!$U$2:$U$495&lt;=3)*('CONTROL MASTER'!$W$2:$W$495&gt;=3))*ROW('CONTROL MASTER'!$S$2:$S$495))-(ROW('CONTROL MASTER'!#REF!)-1))))*(INDEX('CONTROL MASTER'!$W$2:$W$495,(SUMPRODUCT((('CONTROL MASTER'!$S$2:$S$495=10)*('CONTROL MASTER'!$T$2:$T$495&lt;=8)*('CONTROL MASTER'!$V$2:$V$495&gt;=8)*('CONTROL MASTER'!$U$2:$U$495&lt;=3)*('CONTROL MASTER'!$W$2:$W$495&gt;=3))*ROW('CONTROL MASTER'!$S$2:$S$495))-(ROW('CONTROL MASTER'!#REF!)-1)))-INDEX('CONTROL MASTER'!$U$2:$U$495,(SUMPRODUCT((('CONTROL MASTER'!$S$2:$S$495=10)*('CONTROL MASTER'!$T$2:$T$495&lt;=8)*('CONTROL MASTER'!$V$2:$V$495&gt;=8)*('CONTROL MASTER'!$U$2:$U$495&lt;=3)*('CONTROL MASTER'!$W$2:$W$495&gt;=3))*ROW('CONTROL MASTER'!$S$2:$S$495))-(ROW('CONTROL MASTER'!#REF!)-1)))+1)+(3-INDEX('CONTROL MASTER'!$U$2:$U$495,(SUMPRODUCT((('CONTROL MASTER'!$S$2:$S$495=10)*('CONTROL MASTER'!$T$2:$T$495&lt;=8)*('CONTROL MASTER'!$V$2:$V$495&gt;=8)*('CONTROL MASTER'!$U$2:$U$495&lt;=3)*('CONTROL MASTER'!$W$2:$W$495&gt;=3))*ROW('CONTROL MASTER'!$S$2:$S$495))-(ROW('CONTROL MASTER'!#REF!)-1))))+1))-1)*50+1,50))&amp;"_"&amp;INDEX('CONTROL MASTER'!$P$2:$P$495,(SUMPRODUCT((('CONTROL MASTER'!$S$2:$S$495=10)*('CONTROL MASTER'!$T$2:$T$495&lt;=8)*('CONTROL MASTER'!$V$2:$V$495&gt;=8)*('CONTROL MASTER'!$U$2:$U$495&lt;=3)*('CONTROL MASTER'!$W$2:$W$495&gt;=3))*ROW('CONTROL MASTER'!$S$2:$S$495))-(ROW('CONTROL MASTER'!#REF!)-1))),IF(SUMPRODUCT((('CONTROL MASTER'!$S$2:$S$495=10)*('CONTROL MASTER'!$Z$2:$Z$495&lt;=8)*('CONTROL MASTER'!$AB$2:$AB$495&gt;=8)*('CONTROL MASTER'!$AA$2:$AA$495&lt;=3)*('CONTROL MASTER'!$AC$2:$AC$495&gt;=3))*ROW('CONTROL MASTER'!$S$2:$S$495))&gt;0,INDEX('CONTROL MASTER'!$X$2:$X$495,(SUMPRODUCT((('CONTROL MASTER'!$S$2:$S$495=10)*('CONTROL MASTER'!$Z$2:$Z$495&lt;=8)*('CONTROL MASTER'!$AB$2:$AB$495&gt;=8)*('CONTROL MASTER'!$AA$2:$AA$495&lt;=3)*('CONTROL MASTER'!$AC$2:$AC$495&gt;=3))*ROW('CONTROL MASTER'!$S$2:$S$495))-(ROW('CONTROL MASTER'!#REF!)-1)))&amp;TRIM(MID(SUBSTITUTE(SUBSTITUTE(INDEX('CONTROL MASTER'!$N$2:$N$495,(SUMPRODUCT((('CONTROL MASTER'!$S$2:$S$495=10)*('CONTROL MASTER'!$Z$2:$Z$495&lt;=8)*('CONTROL MASTER'!$AB$2:$AB$495&gt;=8)*('CONTROL MASTER'!$AA$2:$AA$495&lt;=3)*('CONTROL MASTER'!$AC$2:$AC$495&gt;=3))*ROW('CONTROL MASTER'!$S$2:$S$495))-(ROW('CONTROL MASTER'!#REF!)-1))),":",","),",",REPT(" ",50)),(((INDEX('CONTROL MASTER'!$Y$2:$Y$495,(SUMPRODUCT((('CONTROL MASTER'!$S$2:$S$495=10)*('CONTROL MASTER'!$Z$2:$Z$495&lt;=8)*('CONTROL MASTER'!$AB$2:$AB$495&gt;=8)*('CONTROL MASTER'!$AA$2:$AA$495&lt;=3)*('CONTROL MASTER'!$AC$2:$AC$495&gt;=3))*ROW('CONTROL MASTER'!$S$2:$S$495))-(ROW('CONTROL MASTER'!#REF!)-1)))+((8-INDEX('CONTROL MASTER'!$Z$2:$Z$495,(SUMPRODUCT((('CONTROL MASTER'!$S$2:$S$495=10)*('CONTROL MASTER'!$Z$2:$Z$495&lt;=8)*('CONTROL MASTER'!$AB$2:$AB$495&gt;=8)*('CONTROL MASTER'!$AA$2:$AA$495&lt;=3)*('CONTROL MASTER'!$AC$2:$AC$495&gt;=3))*ROW('CONTROL MASTER'!$S$2:$S$495))-(ROW('CONTROL MASTER'!#REF!)-1))))*(INDEX('CONTROL MASTER'!$AC$2:$AC$495,(SUMPRODUCT((('CONTROL MASTER'!$S$2:$S$495=10)*('CONTROL MASTER'!$Z$2:$Z$495&lt;=8)*('CONTROL MASTER'!$AB$2:$AB$495&gt;=8)*('CONTROL MASTER'!$AA$2:$AA$495&lt;=3)*('CONTROL MASTER'!$AC$2:$AC$495&gt;=3))*ROW('CONTROL MASTER'!$S$2:$S$495))-(ROW('CONTROL MASTER'!#REF!)-1)))-INDEX('CONTROL MASTER'!$AA$2:$AA$495,(SUMPRODUCT((('CONTROL MASTER'!$S$2:$S$495=10)*('CONTROL MASTER'!$Z$2:$Z$495&lt;=8)*('CONTROL MASTER'!$AB$2:$AB$495&gt;=8)*('CONTROL MASTER'!$AA$2:$AA$495&lt;=3)*('CONTROL MASTER'!$AC$2:$AC$495&gt;=3))*ROW('CONTROL MASTER'!$S$2:$S$495))-(ROW('CONTROL MASTER'!#REF!)-1)))+1)+(3-INDEX('CONTROL MASTER'!$AA$2:$AA$495,(SUMPRODUCT((('CONTROL MASTER'!$S$2:$S$495=10)*('CONTROL MASTER'!$Z$2:$Z$495&lt;=8)*('CONTROL MASTER'!$AB$2:$AB$495&gt;=8)*('CONTROL MASTER'!$AA$2:$AA$495&lt;=3)*('CONTROL MASTER'!$AC$2:$AC$495&gt;=3))*ROW('CONTROL MASTER'!$S$2:$S$495))-(ROW('CONTROL MASTER'!#REF!)-1))))+1)))-1)*50+1,50))&amp;"_"&amp;INDEX('CONTROL MASTER'!$P$2:$P$495,(SUMPRODUCT((('CONTROL MASTER'!$S$2:$S$495=10)*('CONTROL MASTER'!$Z$2:$Z$495&lt;=8)*('CONTROL MASTER'!$AB$2:$AB$495&gt;=8)*('CONTROL MASTER'!$AA$2:$AA$495&lt;=3)*('CONTROL MASTER'!$AC$2:$AC$495&gt;=3))*ROW('CONTROL MASTER'!$S$2:$S$495))-(ROW('CONTROL MASTER'!#REF!)-1))),"")),"")</f>
        <v/>
      </c>
      <c r="E136" s="10" t="str">
        <f>IFERROR(IF(SUMPRODUCT((('CONTROL MASTER'!$S$2:$S$495=10)*('CONTROL MASTER'!$T$2:$T$495&lt;=8)*('CONTROL MASTER'!$V$2:$V$495&gt;=8)*('CONTROL MASTER'!$U$2:$U$495&lt;=4)*('CONTROL MASTER'!$W$2:$W$495&gt;=4))*ROW('CONTROL MASTER'!$S$2:$S$495))&gt;0,INDEX('CONTROL MASTER'!$X$2:$X$495,(SUMPRODUCT((('CONTROL MASTER'!$S$2:$S$495=10)*('CONTROL MASTER'!$T$2:$T$495&lt;=8)*('CONTROL MASTER'!$V$2:$V$495&gt;=8)*('CONTROL MASTER'!$U$2:$U$495&lt;=4)*('CONTROL MASTER'!$W$2:$W$495&gt;=4))*ROW('CONTROL MASTER'!$S$2:$S$495))-(ROW('CONTROL MASTER'!#REF!)-1)))&amp;TRIM(MID(SUBSTITUTE(SUBSTITUTE(INDEX('CONTROL MASTER'!$N$2:$N$495,(SUMPRODUCT((('CONTROL MASTER'!$S$2:$S$495=10)*('CONTROL MASTER'!$T$2:$T$495&lt;=8)*('CONTROL MASTER'!$V$2:$V$495&gt;=8)*('CONTROL MASTER'!$U$2:$U$495&lt;=4)*('CONTROL MASTER'!$W$2:$W$495&gt;=4))*ROW('CONTROL MASTER'!$S$2:$S$495))-(ROW('CONTROL MASTER'!#REF!)-1))),":",","),",",REPT(" ",50)),((((8-INDEX('CONTROL MASTER'!$T$2:$T$495,(SUMPRODUCT((('CONTROL MASTER'!$S$2:$S$495=10)*('CONTROL MASTER'!$T$2:$T$495&lt;=8)*('CONTROL MASTER'!$V$2:$V$495&gt;=8)*('CONTROL MASTER'!$U$2:$U$495&lt;=4)*('CONTROL MASTER'!$W$2:$W$495&gt;=4))*ROW('CONTROL MASTER'!$S$2:$S$495))-(ROW('CONTROL MASTER'!#REF!)-1))))*(INDEX('CONTROL MASTER'!$W$2:$W$495,(SUMPRODUCT((('CONTROL MASTER'!$S$2:$S$495=10)*('CONTROL MASTER'!$T$2:$T$495&lt;=8)*('CONTROL MASTER'!$V$2:$V$495&gt;=8)*('CONTROL MASTER'!$U$2:$U$495&lt;=4)*('CONTROL MASTER'!$W$2:$W$495&gt;=4))*ROW('CONTROL MASTER'!$S$2:$S$495))-(ROW('CONTROL MASTER'!#REF!)-1)))-INDEX('CONTROL MASTER'!$U$2:$U$495,(SUMPRODUCT((('CONTROL MASTER'!$S$2:$S$495=10)*('CONTROL MASTER'!$T$2:$T$495&lt;=8)*('CONTROL MASTER'!$V$2:$V$495&gt;=8)*('CONTROL MASTER'!$U$2:$U$495&lt;=4)*('CONTROL MASTER'!$W$2:$W$495&gt;=4))*ROW('CONTROL MASTER'!$S$2:$S$495))-(ROW('CONTROL MASTER'!#REF!)-1)))+1)+(4-INDEX('CONTROL MASTER'!$U$2:$U$495,(SUMPRODUCT((('CONTROL MASTER'!$S$2:$S$495=10)*('CONTROL MASTER'!$T$2:$T$495&lt;=8)*('CONTROL MASTER'!$V$2:$V$495&gt;=8)*('CONTROL MASTER'!$U$2:$U$495&lt;=4)*('CONTROL MASTER'!$W$2:$W$495&gt;=4))*ROW('CONTROL MASTER'!$S$2:$S$495))-(ROW('CONTROL MASTER'!#REF!)-1))))+1))-1)*50+1,50))&amp;"_"&amp;INDEX('CONTROL MASTER'!$P$2:$P$495,(SUMPRODUCT((('CONTROL MASTER'!$S$2:$S$495=10)*('CONTROL MASTER'!$T$2:$T$495&lt;=8)*('CONTROL MASTER'!$V$2:$V$495&gt;=8)*('CONTROL MASTER'!$U$2:$U$495&lt;=4)*('CONTROL MASTER'!$W$2:$W$495&gt;=4))*ROW('CONTROL MASTER'!$S$2:$S$495))-(ROW('CONTROL MASTER'!#REF!)-1))),IF(SUMPRODUCT((('CONTROL MASTER'!$S$2:$S$495=10)*('CONTROL MASTER'!$Z$2:$Z$495&lt;=8)*('CONTROL MASTER'!$AB$2:$AB$495&gt;=8)*('CONTROL MASTER'!$AA$2:$AA$495&lt;=4)*('CONTROL MASTER'!$AC$2:$AC$495&gt;=4))*ROW('CONTROL MASTER'!$S$2:$S$495))&gt;0,INDEX('CONTROL MASTER'!$X$2:$X$495,(SUMPRODUCT((('CONTROL MASTER'!$S$2:$S$495=10)*('CONTROL MASTER'!$Z$2:$Z$495&lt;=8)*('CONTROL MASTER'!$AB$2:$AB$495&gt;=8)*('CONTROL MASTER'!$AA$2:$AA$495&lt;=4)*('CONTROL MASTER'!$AC$2:$AC$495&gt;=4))*ROW('CONTROL MASTER'!$S$2:$S$495))-(ROW('CONTROL MASTER'!#REF!)-1)))&amp;TRIM(MID(SUBSTITUTE(SUBSTITUTE(INDEX('CONTROL MASTER'!$N$2:$N$495,(SUMPRODUCT((('CONTROL MASTER'!$S$2:$S$495=10)*('CONTROL MASTER'!$Z$2:$Z$495&lt;=8)*('CONTROL MASTER'!$AB$2:$AB$495&gt;=8)*('CONTROL MASTER'!$AA$2:$AA$495&lt;=4)*('CONTROL MASTER'!$AC$2:$AC$495&gt;=4))*ROW('CONTROL MASTER'!$S$2:$S$495))-(ROW('CONTROL MASTER'!#REF!)-1))),":",","),",",REPT(" ",50)),(((INDEX('CONTROL MASTER'!$Y$2:$Y$495,(SUMPRODUCT((('CONTROL MASTER'!$S$2:$S$495=10)*('CONTROL MASTER'!$Z$2:$Z$495&lt;=8)*('CONTROL MASTER'!$AB$2:$AB$495&gt;=8)*('CONTROL MASTER'!$AA$2:$AA$495&lt;=4)*('CONTROL MASTER'!$AC$2:$AC$495&gt;=4))*ROW('CONTROL MASTER'!$S$2:$S$495))-(ROW('CONTROL MASTER'!#REF!)-1)))+((8-INDEX('CONTROL MASTER'!$Z$2:$Z$495,(SUMPRODUCT((('CONTROL MASTER'!$S$2:$S$495=10)*('CONTROL MASTER'!$Z$2:$Z$495&lt;=8)*('CONTROL MASTER'!$AB$2:$AB$495&gt;=8)*('CONTROL MASTER'!$AA$2:$AA$495&lt;=4)*('CONTROL MASTER'!$AC$2:$AC$495&gt;=4))*ROW('CONTROL MASTER'!$S$2:$S$495))-(ROW('CONTROL MASTER'!#REF!)-1))))*(INDEX('CONTROL MASTER'!$AC$2:$AC$495,(SUMPRODUCT((('CONTROL MASTER'!$S$2:$S$495=10)*('CONTROL MASTER'!$Z$2:$Z$495&lt;=8)*('CONTROL MASTER'!$AB$2:$AB$495&gt;=8)*('CONTROL MASTER'!$AA$2:$AA$495&lt;=4)*('CONTROL MASTER'!$AC$2:$AC$495&gt;=4))*ROW('CONTROL MASTER'!$S$2:$S$495))-(ROW('CONTROL MASTER'!#REF!)-1)))-INDEX('CONTROL MASTER'!$AA$2:$AA$495,(SUMPRODUCT((('CONTROL MASTER'!$S$2:$S$495=10)*('CONTROL MASTER'!$Z$2:$Z$495&lt;=8)*('CONTROL MASTER'!$AB$2:$AB$495&gt;=8)*('CONTROL MASTER'!$AA$2:$AA$495&lt;=4)*('CONTROL MASTER'!$AC$2:$AC$495&gt;=4))*ROW('CONTROL MASTER'!$S$2:$S$495))-(ROW('CONTROL MASTER'!#REF!)-1)))+1)+(4-INDEX('CONTROL MASTER'!$AA$2:$AA$495,(SUMPRODUCT((('CONTROL MASTER'!$S$2:$S$495=10)*('CONTROL MASTER'!$Z$2:$Z$495&lt;=8)*('CONTROL MASTER'!$AB$2:$AB$495&gt;=8)*('CONTROL MASTER'!$AA$2:$AA$495&lt;=4)*('CONTROL MASTER'!$AC$2:$AC$495&gt;=4))*ROW('CONTROL MASTER'!$S$2:$S$495))-(ROW('CONTROL MASTER'!#REF!)-1))))+1)))-1)*50+1,50))&amp;"_"&amp;INDEX('CONTROL MASTER'!$P$2:$P$495,(SUMPRODUCT((('CONTROL MASTER'!$S$2:$S$495=10)*('CONTROL MASTER'!$Z$2:$Z$495&lt;=8)*('CONTROL MASTER'!$AB$2:$AB$495&gt;=8)*('CONTROL MASTER'!$AA$2:$AA$495&lt;=4)*('CONTROL MASTER'!$AC$2:$AC$495&gt;=4))*ROW('CONTROL MASTER'!$S$2:$S$495))-(ROW('CONTROL MASTER'!#REF!)-1))),"")),"")</f>
        <v/>
      </c>
      <c r="F136" s="10" t="str">
        <f>IFERROR(IF(SUMPRODUCT((('CONTROL MASTER'!$S$2:$S$495=10)*('CONTROL MASTER'!$T$2:$T$495&lt;=8)*('CONTROL MASTER'!$V$2:$V$495&gt;=8)*('CONTROL MASTER'!$U$2:$U$495&lt;=5)*('CONTROL MASTER'!$W$2:$W$495&gt;=5))*ROW('CONTROL MASTER'!$S$2:$S$495))&gt;0,INDEX('CONTROL MASTER'!$X$2:$X$495,(SUMPRODUCT((('CONTROL MASTER'!$S$2:$S$495=10)*('CONTROL MASTER'!$T$2:$T$495&lt;=8)*('CONTROL MASTER'!$V$2:$V$495&gt;=8)*('CONTROL MASTER'!$U$2:$U$495&lt;=5)*('CONTROL MASTER'!$W$2:$W$495&gt;=5))*ROW('CONTROL MASTER'!$S$2:$S$495))-(ROW('CONTROL MASTER'!#REF!)-1)))&amp;TRIM(MID(SUBSTITUTE(SUBSTITUTE(INDEX('CONTROL MASTER'!$N$2:$N$495,(SUMPRODUCT((('CONTROL MASTER'!$S$2:$S$495=10)*('CONTROL MASTER'!$T$2:$T$495&lt;=8)*('CONTROL MASTER'!$V$2:$V$495&gt;=8)*('CONTROL MASTER'!$U$2:$U$495&lt;=5)*('CONTROL MASTER'!$W$2:$W$495&gt;=5))*ROW('CONTROL MASTER'!$S$2:$S$495))-(ROW('CONTROL MASTER'!#REF!)-1))),":",","),",",REPT(" ",50)),((((8-INDEX('CONTROL MASTER'!$T$2:$T$495,(SUMPRODUCT((('CONTROL MASTER'!$S$2:$S$495=10)*('CONTROL MASTER'!$T$2:$T$495&lt;=8)*('CONTROL MASTER'!$V$2:$V$495&gt;=8)*('CONTROL MASTER'!$U$2:$U$495&lt;=5)*('CONTROL MASTER'!$W$2:$W$495&gt;=5))*ROW('CONTROL MASTER'!$S$2:$S$495))-(ROW('CONTROL MASTER'!#REF!)-1))))*(INDEX('CONTROL MASTER'!$W$2:$W$495,(SUMPRODUCT((('CONTROL MASTER'!$S$2:$S$495=10)*('CONTROL MASTER'!$T$2:$T$495&lt;=8)*('CONTROL MASTER'!$V$2:$V$495&gt;=8)*('CONTROL MASTER'!$U$2:$U$495&lt;=5)*('CONTROL MASTER'!$W$2:$W$495&gt;=5))*ROW('CONTROL MASTER'!$S$2:$S$495))-(ROW('CONTROL MASTER'!#REF!)-1)))-INDEX('CONTROL MASTER'!$U$2:$U$495,(SUMPRODUCT((('CONTROL MASTER'!$S$2:$S$495=10)*('CONTROL MASTER'!$T$2:$T$495&lt;=8)*('CONTROL MASTER'!$V$2:$V$495&gt;=8)*('CONTROL MASTER'!$U$2:$U$495&lt;=5)*('CONTROL MASTER'!$W$2:$W$495&gt;=5))*ROW('CONTROL MASTER'!$S$2:$S$495))-(ROW('CONTROL MASTER'!#REF!)-1)))+1)+(5-INDEX('CONTROL MASTER'!$U$2:$U$495,(SUMPRODUCT((('CONTROL MASTER'!$S$2:$S$495=10)*('CONTROL MASTER'!$T$2:$T$495&lt;=8)*('CONTROL MASTER'!$V$2:$V$495&gt;=8)*('CONTROL MASTER'!$U$2:$U$495&lt;=5)*('CONTROL MASTER'!$W$2:$W$495&gt;=5))*ROW('CONTROL MASTER'!$S$2:$S$495))-(ROW('CONTROL MASTER'!#REF!)-1))))+1))-1)*50+1,50))&amp;"_"&amp;INDEX('CONTROL MASTER'!$P$2:$P$495,(SUMPRODUCT((('CONTROL MASTER'!$S$2:$S$495=10)*('CONTROL MASTER'!$T$2:$T$495&lt;=8)*('CONTROL MASTER'!$V$2:$V$495&gt;=8)*('CONTROL MASTER'!$U$2:$U$495&lt;=5)*('CONTROL MASTER'!$W$2:$W$495&gt;=5))*ROW('CONTROL MASTER'!$S$2:$S$495))-(ROW('CONTROL MASTER'!#REF!)-1))),IF(SUMPRODUCT((('CONTROL MASTER'!$S$2:$S$495=10)*('CONTROL MASTER'!$Z$2:$Z$495&lt;=8)*('CONTROL MASTER'!$AB$2:$AB$495&gt;=8)*('CONTROL MASTER'!$AA$2:$AA$495&lt;=5)*('CONTROL MASTER'!$AC$2:$AC$495&gt;=5))*ROW('CONTROL MASTER'!$S$2:$S$495))&gt;0,INDEX('CONTROL MASTER'!$X$2:$X$495,(SUMPRODUCT((('CONTROL MASTER'!$S$2:$S$495=10)*('CONTROL MASTER'!$Z$2:$Z$495&lt;=8)*('CONTROL MASTER'!$AB$2:$AB$495&gt;=8)*('CONTROL MASTER'!$AA$2:$AA$495&lt;=5)*('CONTROL MASTER'!$AC$2:$AC$495&gt;=5))*ROW('CONTROL MASTER'!$S$2:$S$495))-(ROW('CONTROL MASTER'!#REF!)-1)))&amp;TRIM(MID(SUBSTITUTE(SUBSTITUTE(INDEX('CONTROL MASTER'!$N$2:$N$495,(SUMPRODUCT((('CONTROL MASTER'!$S$2:$S$495=10)*('CONTROL MASTER'!$Z$2:$Z$495&lt;=8)*('CONTROL MASTER'!$AB$2:$AB$495&gt;=8)*('CONTROL MASTER'!$AA$2:$AA$495&lt;=5)*('CONTROL MASTER'!$AC$2:$AC$495&gt;=5))*ROW('CONTROL MASTER'!$S$2:$S$495))-(ROW('CONTROL MASTER'!#REF!)-1))),":",","),",",REPT(" ",50)),(((INDEX('CONTROL MASTER'!$Y$2:$Y$495,(SUMPRODUCT((('CONTROL MASTER'!$S$2:$S$495=10)*('CONTROL MASTER'!$Z$2:$Z$495&lt;=8)*('CONTROL MASTER'!$AB$2:$AB$495&gt;=8)*('CONTROL MASTER'!$AA$2:$AA$495&lt;=5)*('CONTROL MASTER'!$AC$2:$AC$495&gt;=5))*ROW('CONTROL MASTER'!$S$2:$S$495))-(ROW('CONTROL MASTER'!#REF!)-1)))+((8-INDEX('CONTROL MASTER'!$Z$2:$Z$495,(SUMPRODUCT((('CONTROL MASTER'!$S$2:$S$495=10)*('CONTROL MASTER'!$Z$2:$Z$495&lt;=8)*('CONTROL MASTER'!$AB$2:$AB$495&gt;=8)*('CONTROL MASTER'!$AA$2:$AA$495&lt;=5)*('CONTROL MASTER'!$AC$2:$AC$495&gt;=5))*ROW('CONTROL MASTER'!$S$2:$S$495))-(ROW('CONTROL MASTER'!#REF!)-1))))*(INDEX('CONTROL MASTER'!$AC$2:$AC$495,(SUMPRODUCT((('CONTROL MASTER'!$S$2:$S$495=10)*('CONTROL MASTER'!$Z$2:$Z$495&lt;=8)*('CONTROL MASTER'!$AB$2:$AB$495&gt;=8)*('CONTROL MASTER'!$AA$2:$AA$495&lt;=5)*('CONTROL MASTER'!$AC$2:$AC$495&gt;=5))*ROW('CONTROL MASTER'!$S$2:$S$495))-(ROW('CONTROL MASTER'!#REF!)-1)))-INDEX('CONTROL MASTER'!$AA$2:$AA$495,(SUMPRODUCT((('CONTROL MASTER'!$S$2:$S$495=10)*('CONTROL MASTER'!$Z$2:$Z$495&lt;=8)*('CONTROL MASTER'!$AB$2:$AB$495&gt;=8)*('CONTROL MASTER'!$AA$2:$AA$495&lt;=5)*('CONTROL MASTER'!$AC$2:$AC$495&gt;=5))*ROW('CONTROL MASTER'!$S$2:$S$495))-(ROW('CONTROL MASTER'!#REF!)-1)))+1)+(5-INDEX('CONTROL MASTER'!$AA$2:$AA$495,(SUMPRODUCT((('CONTROL MASTER'!$S$2:$S$495=10)*('CONTROL MASTER'!$Z$2:$Z$495&lt;=8)*('CONTROL MASTER'!$AB$2:$AB$495&gt;=8)*('CONTROL MASTER'!$AA$2:$AA$495&lt;=5)*('CONTROL MASTER'!$AC$2:$AC$495&gt;=5))*ROW('CONTROL MASTER'!$S$2:$S$495))-(ROW('CONTROL MASTER'!#REF!)-1))))+1)))-1)*50+1,50))&amp;"_"&amp;INDEX('CONTROL MASTER'!$P$2:$P$495,(SUMPRODUCT((('CONTROL MASTER'!$S$2:$S$495=10)*('CONTROL MASTER'!$Z$2:$Z$495&lt;=8)*('CONTROL MASTER'!$AB$2:$AB$495&gt;=8)*('CONTROL MASTER'!$AA$2:$AA$495&lt;=5)*('CONTROL MASTER'!$AC$2:$AC$495&gt;=5))*ROW('CONTROL MASTER'!$S$2:$S$495))-(ROW('CONTROL MASTER'!#REF!)-1))),"")),"")</f>
        <v/>
      </c>
      <c r="G136" s="10" t="str">
        <f>IFERROR(IF(SUMPRODUCT((('CONTROL MASTER'!$S$2:$S$495=10)*('CONTROL MASTER'!$T$2:$T$495&lt;=8)*('CONTROL MASTER'!$V$2:$V$495&gt;=8)*('CONTROL MASTER'!$U$2:$U$495&lt;=6)*('CONTROL MASTER'!$W$2:$W$495&gt;=6))*ROW('CONTROL MASTER'!$S$2:$S$495))&gt;0,INDEX('CONTROL MASTER'!$X$2:$X$495,(SUMPRODUCT((('CONTROL MASTER'!$S$2:$S$495=10)*('CONTROL MASTER'!$T$2:$T$495&lt;=8)*('CONTROL MASTER'!$V$2:$V$495&gt;=8)*('CONTROL MASTER'!$U$2:$U$495&lt;=6)*('CONTROL MASTER'!$W$2:$W$495&gt;=6))*ROW('CONTROL MASTER'!$S$2:$S$495))-(ROW('CONTROL MASTER'!#REF!)-1)))&amp;TRIM(MID(SUBSTITUTE(SUBSTITUTE(INDEX('CONTROL MASTER'!$N$2:$N$495,(SUMPRODUCT((('CONTROL MASTER'!$S$2:$S$495=10)*('CONTROL MASTER'!$T$2:$T$495&lt;=8)*('CONTROL MASTER'!$V$2:$V$495&gt;=8)*('CONTROL MASTER'!$U$2:$U$495&lt;=6)*('CONTROL MASTER'!$W$2:$W$495&gt;=6))*ROW('CONTROL MASTER'!$S$2:$S$495))-(ROW('CONTROL MASTER'!#REF!)-1))),":",","),",",REPT(" ",50)),((((8-INDEX('CONTROL MASTER'!$T$2:$T$495,(SUMPRODUCT((('CONTROL MASTER'!$S$2:$S$495=10)*('CONTROL MASTER'!$T$2:$T$495&lt;=8)*('CONTROL MASTER'!$V$2:$V$495&gt;=8)*('CONTROL MASTER'!$U$2:$U$495&lt;=6)*('CONTROL MASTER'!$W$2:$W$495&gt;=6))*ROW('CONTROL MASTER'!$S$2:$S$495))-(ROW('CONTROL MASTER'!#REF!)-1))))*(INDEX('CONTROL MASTER'!$W$2:$W$495,(SUMPRODUCT((('CONTROL MASTER'!$S$2:$S$495=10)*('CONTROL MASTER'!$T$2:$T$495&lt;=8)*('CONTROL MASTER'!$V$2:$V$495&gt;=8)*('CONTROL MASTER'!$U$2:$U$495&lt;=6)*('CONTROL MASTER'!$W$2:$W$495&gt;=6))*ROW('CONTROL MASTER'!$S$2:$S$495))-(ROW('CONTROL MASTER'!#REF!)-1)))-INDEX('CONTROL MASTER'!$U$2:$U$495,(SUMPRODUCT((('CONTROL MASTER'!$S$2:$S$495=10)*('CONTROL MASTER'!$T$2:$T$495&lt;=8)*('CONTROL MASTER'!$V$2:$V$495&gt;=8)*('CONTROL MASTER'!$U$2:$U$495&lt;=6)*('CONTROL MASTER'!$W$2:$W$495&gt;=6))*ROW('CONTROL MASTER'!$S$2:$S$495))-(ROW('CONTROL MASTER'!#REF!)-1)))+1)+(6-INDEX('CONTROL MASTER'!$U$2:$U$495,(SUMPRODUCT((('CONTROL MASTER'!$S$2:$S$495=10)*('CONTROL MASTER'!$T$2:$T$495&lt;=8)*('CONTROL MASTER'!$V$2:$V$495&gt;=8)*('CONTROL MASTER'!$U$2:$U$495&lt;=6)*('CONTROL MASTER'!$W$2:$W$495&gt;=6))*ROW('CONTROL MASTER'!$S$2:$S$495))-(ROW('CONTROL MASTER'!#REF!)-1))))+1))-1)*50+1,50))&amp;"_"&amp;INDEX('CONTROL MASTER'!$P$2:$P$495,(SUMPRODUCT((('CONTROL MASTER'!$S$2:$S$495=10)*('CONTROL MASTER'!$T$2:$T$495&lt;=8)*('CONTROL MASTER'!$V$2:$V$495&gt;=8)*('CONTROL MASTER'!$U$2:$U$495&lt;=6)*('CONTROL MASTER'!$W$2:$W$495&gt;=6))*ROW('CONTROL MASTER'!$S$2:$S$495))-(ROW('CONTROL MASTER'!#REF!)-1))),IF(SUMPRODUCT((('CONTROL MASTER'!$S$2:$S$495=10)*('CONTROL MASTER'!$Z$2:$Z$495&lt;=8)*('CONTROL MASTER'!$AB$2:$AB$495&gt;=8)*('CONTROL MASTER'!$AA$2:$AA$495&lt;=6)*('CONTROL MASTER'!$AC$2:$AC$495&gt;=6))*ROW('CONTROL MASTER'!$S$2:$S$495))&gt;0,INDEX('CONTROL MASTER'!$X$2:$X$495,(SUMPRODUCT((('CONTROL MASTER'!$S$2:$S$495=10)*('CONTROL MASTER'!$Z$2:$Z$495&lt;=8)*('CONTROL MASTER'!$AB$2:$AB$495&gt;=8)*('CONTROL MASTER'!$AA$2:$AA$495&lt;=6)*('CONTROL MASTER'!$AC$2:$AC$495&gt;=6))*ROW('CONTROL MASTER'!$S$2:$S$495))-(ROW('CONTROL MASTER'!#REF!)-1)))&amp;TRIM(MID(SUBSTITUTE(SUBSTITUTE(INDEX('CONTROL MASTER'!$N$2:$N$495,(SUMPRODUCT((('CONTROL MASTER'!$S$2:$S$495=10)*('CONTROL MASTER'!$Z$2:$Z$495&lt;=8)*('CONTROL MASTER'!$AB$2:$AB$495&gt;=8)*('CONTROL MASTER'!$AA$2:$AA$495&lt;=6)*('CONTROL MASTER'!$AC$2:$AC$495&gt;=6))*ROW('CONTROL MASTER'!$S$2:$S$495))-(ROW('CONTROL MASTER'!#REF!)-1))),":",","),",",REPT(" ",50)),(((INDEX('CONTROL MASTER'!$Y$2:$Y$495,(SUMPRODUCT((('CONTROL MASTER'!$S$2:$S$495=10)*('CONTROL MASTER'!$Z$2:$Z$495&lt;=8)*('CONTROL MASTER'!$AB$2:$AB$495&gt;=8)*('CONTROL MASTER'!$AA$2:$AA$495&lt;=6)*('CONTROL MASTER'!$AC$2:$AC$495&gt;=6))*ROW('CONTROL MASTER'!$S$2:$S$495))-(ROW('CONTROL MASTER'!#REF!)-1)))+((8-INDEX('CONTROL MASTER'!$Z$2:$Z$495,(SUMPRODUCT((('CONTROL MASTER'!$S$2:$S$495=10)*('CONTROL MASTER'!$Z$2:$Z$495&lt;=8)*('CONTROL MASTER'!$AB$2:$AB$495&gt;=8)*('CONTROL MASTER'!$AA$2:$AA$495&lt;=6)*('CONTROL MASTER'!$AC$2:$AC$495&gt;=6))*ROW('CONTROL MASTER'!$S$2:$S$495))-(ROW('CONTROL MASTER'!#REF!)-1))))*(INDEX('CONTROL MASTER'!$AC$2:$AC$495,(SUMPRODUCT((('CONTROL MASTER'!$S$2:$S$495=10)*('CONTROL MASTER'!$Z$2:$Z$495&lt;=8)*('CONTROL MASTER'!$AB$2:$AB$495&gt;=8)*('CONTROL MASTER'!$AA$2:$AA$495&lt;=6)*('CONTROL MASTER'!$AC$2:$AC$495&gt;=6))*ROW('CONTROL MASTER'!$S$2:$S$495))-(ROW('CONTROL MASTER'!#REF!)-1)))-INDEX('CONTROL MASTER'!$AA$2:$AA$495,(SUMPRODUCT((('CONTROL MASTER'!$S$2:$S$495=10)*('CONTROL MASTER'!$Z$2:$Z$495&lt;=8)*('CONTROL MASTER'!$AB$2:$AB$495&gt;=8)*('CONTROL MASTER'!$AA$2:$AA$495&lt;=6)*('CONTROL MASTER'!$AC$2:$AC$495&gt;=6))*ROW('CONTROL MASTER'!$S$2:$S$495))-(ROW('CONTROL MASTER'!#REF!)-1)))+1)+(6-INDEX('CONTROL MASTER'!$AA$2:$AA$495,(SUMPRODUCT((('CONTROL MASTER'!$S$2:$S$495=10)*('CONTROL MASTER'!$Z$2:$Z$495&lt;=8)*('CONTROL MASTER'!$AB$2:$AB$495&gt;=8)*('CONTROL MASTER'!$AA$2:$AA$495&lt;=6)*('CONTROL MASTER'!$AC$2:$AC$495&gt;=6))*ROW('CONTROL MASTER'!$S$2:$S$495))-(ROW('CONTROL MASTER'!#REF!)-1))))+1)))-1)*50+1,50))&amp;"_"&amp;INDEX('CONTROL MASTER'!$P$2:$P$495,(SUMPRODUCT((('CONTROL MASTER'!$S$2:$S$495=10)*('CONTROL MASTER'!$Z$2:$Z$495&lt;=8)*('CONTROL MASTER'!$AB$2:$AB$495&gt;=8)*('CONTROL MASTER'!$AA$2:$AA$495&lt;=6)*('CONTROL MASTER'!$AC$2:$AC$495&gt;=6))*ROW('CONTROL MASTER'!$S$2:$S$495))-(ROW('CONTROL MASTER'!#REF!)-1))),"")),"")</f>
        <v/>
      </c>
      <c r="H136" s="10" t="str">
        <f>IFERROR(IF(SUMPRODUCT((('CONTROL MASTER'!$S$2:$S$495=10)*('CONTROL MASTER'!$T$2:$T$495&lt;=8)*('CONTROL MASTER'!$V$2:$V$495&gt;=8)*('CONTROL MASTER'!$U$2:$U$495&lt;=7)*('CONTROL MASTER'!$W$2:$W$495&gt;=7))*ROW('CONTROL MASTER'!$S$2:$S$495))&gt;0,INDEX('CONTROL MASTER'!$X$2:$X$495,(SUMPRODUCT((('CONTROL MASTER'!$S$2:$S$495=10)*('CONTROL MASTER'!$T$2:$T$495&lt;=8)*('CONTROL MASTER'!$V$2:$V$495&gt;=8)*('CONTROL MASTER'!$U$2:$U$495&lt;=7)*('CONTROL MASTER'!$W$2:$W$495&gt;=7))*ROW('CONTROL MASTER'!$S$2:$S$495))-(ROW('CONTROL MASTER'!#REF!)-1)))&amp;TRIM(MID(SUBSTITUTE(SUBSTITUTE(INDEX('CONTROL MASTER'!$N$2:$N$495,(SUMPRODUCT((('CONTROL MASTER'!$S$2:$S$495=10)*('CONTROL MASTER'!$T$2:$T$495&lt;=8)*('CONTROL MASTER'!$V$2:$V$495&gt;=8)*('CONTROL MASTER'!$U$2:$U$495&lt;=7)*('CONTROL MASTER'!$W$2:$W$495&gt;=7))*ROW('CONTROL MASTER'!$S$2:$S$495))-(ROW('CONTROL MASTER'!#REF!)-1))),":",","),",",REPT(" ",50)),((((8-INDEX('CONTROL MASTER'!$T$2:$T$495,(SUMPRODUCT((('CONTROL MASTER'!$S$2:$S$495=10)*('CONTROL MASTER'!$T$2:$T$495&lt;=8)*('CONTROL MASTER'!$V$2:$V$495&gt;=8)*('CONTROL MASTER'!$U$2:$U$495&lt;=7)*('CONTROL MASTER'!$W$2:$W$495&gt;=7))*ROW('CONTROL MASTER'!$S$2:$S$495))-(ROW('CONTROL MASTER'!#REF!)-1))))*(INDEX('CONTROL MASTER'!$W$2:$W$495,(SUMPRODUCT((('CONTROL MASTER'!$S$2:$S$495=10)*('CONTROL MASTER'!$T$2:$T$495&lt;=8)*('CONTROL MASTER'!$V$2:$V$495&gt;=8)*('CONTROL MASTER'!$U$2:$U$495&lt;=7)*('CONTROL MASTER'!$W$2:$W$495&gt;=7))*ROW('CONTROL MASTER'!$S$2:$S$495))-(ROW('CONTROL MASTER'!#REF!)-1)))-INDEX('CONTROL MASTER'!$U$2:$U$495,(SUMPRODUCT((('CONTROL MASTER'!$S$2:$S$495=10)*('CONTROL MASTER'!$T$2:$T$495&lt;=8)*('CONTROL MASTER'!$V$2:$V$495&gt;=8)*('CONTROL MASTER'!$U$2:$U$495&lt;=7)*('CONTROL MASTER'!$W$2:$W$495&gt;=7))*ROW('CONTROL MASTER'!$S$2:$S$495))-(ROW('CONTROL MASTER'!#REF!)-1)))+1)+(7-INDEX('CONTROL MASTER'!$U$2:$U$495,(SUMPRODUCT((('CONTROL MASTER'!$S$2:$S$495=10)*('CONTROL MASTER'!$T$2:$T$495&lt;=8)*('CONTROL MASTER'!$V$2:$V$495&gt;=8)*('CONTROL MASTER'!$U$2:$U$495&lt;=7)*('CONTROL MASTER'!$W$2:$W$495&gt;=7))*ROW('CONTROL MASTER'!$S$2:$S$495))-(ROW('CONTROL MASTER'!#REF!)-1))))+1))-1)*50+1,50))&amp;"_"&amp;INDEX('CONTROL MASTER'!$P$2:$P$495,(SUMPRODUCT((('CONTROL MASTER'!$S$2:$S$495=10)*('CONTROL MASTER'!$T$2:$T$495&lt;=8)*('CONTROL MASTER'!$V$2:$V$495&gt;=8)*('CONTROL MASTER'!$U$2:$U$495&lt;=7)*('CONTROL MASTER'!$W$2:$W$495&gt;=7))*ROW('CONTROL MASTER'!$S$2:$S$495))-(ROW('CONTROL MASTER'!#REF!)-1))),IF(SUMPRODUCT((('CONTROL MASTER'!$S$2:$S$495=10)*('CONTROL MASTER'!$Z$2:$Z$495&lt;=8)*('CONTROL MASTER'!$AB$2:$AB$495&gt;=8)*('CONTROL MASTER'!$AA$2:$AA$495&lt;=7)*('CONTROL MASTER'!$AC$2:$AC$495&gt;=7))*ROW('CONTROL MASTER'!$S$2:$S$495))&gt;0,INDEX('CONTROL MASTER'!$X$2:$X$495,(SUMPRODUCT((('CONTROL MASTER'!$S$2:$S$495=10)*('CONTROL MASTER'!$Z$2:$Z$495&lt;=8)*('CONTROL MASTER'!$AB$2:$AB$495&gt;=8)*('CONTROL MASTER'!$AA$2:$AA$495&lt;=7)*('CONTROL MASTER'!$AC$2:$AC$495&gt;=7))*ROW('CONTROL MASTER'!$S$2:$S$495))-(ROW('CONTROL MASTER'!#REF!)-1)))&amp;TRIM(MID(SUBSTITUTE(SUBSTITUTE(INDEX('CONTROL MASTER'!$N$2:$N$495,(SUMPRODUCT((('CONTROL MASTER'!$S$2:$S$495=10)*('CONTROL MASTER'!$Z$2:$Z$495&lt;=8)*('CONTROL MASTER'!$AB$2:$AB$495&gt;=8)*('CONTROL MASTER'!$AA$2:$AA$495&lt;=7)*('CONTROL MASTER'!$AC$2:$AC$495&gt;=7))*ROW('CONTROL MASTER'!$S$2:$S$495))-(ROW('CONTROL MASTER'!#REF!)-1))),":",","),",",REPT(" ",50)),(((INDEX('CONTROL MASTER'!$Y$2:$Y$495,(SUMPRODUCT((('CONTROL MASTER'!$S$2:$S$495=10)*('CONTROL MASTER'!$Z$2:$Z$495&lt;=8)*('CONTROL MASTER'!$AB$2:$AB$495&gt;=8)*('CONTROL MASTER'!$AA$2:$AA$495&lt;=7)*('CONTROL MASTER'!$AC$2:$AC$495&gt;=7))*ROW('CONTROL MASTER'!$S$2:$S$495))-(ROW('CONTROL MASTER'!#REF!)-1)))+((8-INDEX('CONTROL MASTER'!$Z$2:$Z$495,(SUMPRODUCT((('CONTROL MASTER'!$S$2:$S$495=10)*('CONTROL MASTER'!$Z$2:$Z$495&lt;=8)*('CONTROL MASTER'!$AB$2:$AB$495&gt;=8)*('CONTROL MASTER'!$AA$2:$AA$495&lt;=7)*('CONTROL MASTER'!$AC$2:$AC$495&gt;=7))*ROW('CONTROL MASTER'!$S$2:$S$495))-(ROW('CONTROL MASTER'!#REF!)-1))))*(INDEX('CONTROL MASTER'!$AC$2:$AC$495,(SUMPRODUCT((('CONTROL MASTER'!$S$2:$S$495=10)*('CONTROL MASTER'!$Z$2:$Z$495&lt;=8)*('CONTROL MASTER'!$AB$2:$AB$495&gt;=8)*('CONTROL MASTER'!$AA$2:$AA$495&lt;=7)*('CONTROL MASTER'!$AC$2:$AC$495&gt;=7))*ROW('CONTROL MASTER'!$S$2:$S$495))-(ROW('CONTROL MASTER'!#REF!)-1)))-INDEX('CONTROL MASTER'!$AA$2:$AA$495,(SUMPRODUCT((('CONTROL MASTER'!$S$2:$S$495=10)*('CONTROL MASTER'!$Z$2:$Z$495&lt;=8)*('CONTROL MASTER'!$AB$2:$AB$495&gt;=8)*('CONTROL MASTER'!$AA$2:$AA$495&lt;=7)*('CONTROL MASTER'!$AC$2:$AC$495&gt;=7))*ROW('CONTROL MASTER'!$S$2:$S$495))-(ROW('CONTROL MASTER'!#REF!)-1)))+1)+(7-INDEX('CONTROL MASTER'!$AA$2:$AA$495,(SUMPRODUCT((('CONTROL MASTER'!$S$2:$S$495=10)*('CONTROL MASTER'!$Z$2:$Z$495&lt;=8)*('CONTROL MASTER'!$AB$2:$AB$495&gt;=8)*('CONTROL MASTER'!$AA$2:$AA$495&lt;=7)*('CONTROL MASTER'!$AC$2:$AC$495&gt;=7))*ROW('CONTROL MASTER'!$S$2:$S$495))-(ROW('CONTROL MASTER'!#REF!)-1))))+1)))-1)*50+1,50))&amp;"_"&amp;INDEX('CONTROL MASTER'!$P$2:$P$495,(SUMPRODUCT((('CONTROL MASTER'!$S$2:$S$495=10)*('CONTROL MASTER'!$Z$2:$Z$495&lt;=8)*('CONTROL MASTER'!$AB$2:$AB$495&gt;=8)*('CONTROL MASTER'!$AA$2:$AA$495&lt;=7)*('CONTROL MASTER'!$AC$2:$AC$495&gt;=7))*ROW('CONTROL MASTER'!$S$2:$S$495))-(ROW('CONTROL MASTER'!#REF!)-1))),"")),"")</f>
        <v/>
      </c>
      <c r="I136" s="10" t="str">
        <f>IFERROR(IF(SUMPRODUCT((('CONTROL MASTER'!$S$2:$S$495=10)*('CONTROL MASTER'!$T$2:$T$495&lt;=8)*('CONTROL MASTER'!$V$2:$V$495&gt;=8)*('CONTROL MASTER'!$U$2:$U$495&lt;=8)*('CONTROL MASTER'!$W$2:$W$495&gt;=8))*ROW('CONTROL MASTER'!$S$2:$S$495))&gt;0,INDEX('CONTROL MASTER'!$X$2:$X$495,(SUMPRODUCT((('CONTROL MASTER'!$S$2:$S$495=10)*('CONTROL MASTER'!$T$2:$T$495&lt;=8)*('CONTROL MASTER'!$V$2:$V$495&gt;=8)*('CONTROL MASTER'!$U$2:$U$495&lt;=8)*('CONTROL MASTER'!$W$2:$W$495&gt;=8))*ROW('CONTROL MASTER'!$S$2:$S$495))-(ROW('CONTROL MASTER'!#REF!)-1)))&amp;TRIM(MID(SUBSTITUTE(SUBSTITUTE(INDEX('CONTROL MASTER'!$N$2:$N$495,(SUMPRODUCT((('CONTROL MASTER'!$S$2:$S$495=10)*('CONTROL MASTER'!$T$2:$T$495&lt;=8)*('CONTROL MASTER'!$V$2:$V$495&gt;=8)*('CONTROL MASTER'!$U$2:$U$495&lt;=8)*('CONTROL MASTER'!$W$2:$W$495&gt;=8))*ROW('CONTROL MASTER'!$S$2:$S$495))-(ROW('CONTROL MASTER'!#REF!)-1))),":",","),",",REPT(" ",50)),((((8-INDEX('CONTROL MASTER'!$T$2:$T$495,(SUMPRODUCT((('CONTROL MASTER'!$S$2:$S$495=10)*('CONTROL MASTER'!$T$2:$T$495&lt;=8)*('CONTROL MASTER'!$V$2:$V$495&gt;=8)*('CONTROL MASTER'!$U$2:$U$495&lt;=8)*('CONTROL MASTER'!$W$2:$W$495&gt;=8))*ROW('CONTROL MASTER'!$S$2:$S$495))-(ROW('CONTROL MASTER'!#REF!)-1))))*(INDEX('CONTROL MASTER'!$W$2:$W$495,(SUMPRODUCT((('CONTROL MASTER'!$S$2:$S$495=10)*('CONTROL MASTER'!$T$2:$T$495&lt;=8)*('CONTROL MASTER'!$V$2:$V$495&gt;=8)*('CONTROL MASTER'!$U$2:$U$495&lt;=8)*('CONTROL MASTER'!$W$2:$W$495&gt;=8))*ROW('CONTROL MASTER'!$S$2:$S$495))-(ROW('CONTROL MASTER'!#REF!)-1)))-INDEX('CONTROL MASTER'!$U$2:$U$495,(SUMPRODUCT((('CONTROL MASTER'!$S$2:$S$495=10)*('CONTROL MASTER'!$T$2:$T$495&lt;=8)*('CONTROL MASTER'!$V$2:$V$495&gt;=8)*('CONTROL MASTER'!$U$2:$U$495&lt;=8)*('CONTROL MASTER'!$W$2:$W$495&gt;=8))*ROW('CONTROL MASTER'!$S$2:$S$495))-(ROW('CONTROL MASTER'!#REF!)-1)))+1)+(8-INDEX('CONTROL MASTER'!$U$2:$U$495,(SUMPRODUCT((('CONTROL MASTER'!$S$2:$S$495=10)*('CONTROL MASTER'!$T$2:$T$495&lt;=8)*('CONTROL MASTER'!$V$2:$V$495&gt;=8)*('CONTROL MASTER'!$U$2:$U$495&lt;=8)*('CONTROL MASTER'!$W$2:$W$495&gt;=8))*ROW('CONTROL MASTER'!$S$2:$S$495))-(ROW('CONTROL MASTER'!#REF!)-1))))+1))-1)*50+1,50))&amp;"_"&amp;INDEX('CONTROL MASTER'!$P$2:$P$495,(SUMPRODUCT((('CONTROL MASTER'!$S$2:$S$495=10)*('CONTROL MASTER'!$T$2:$T$495&lt;=8)*('CONTROL MASTER'!$V$2:$V$495&gt;=8)*('CONTROL MASTER'!$U$2:$U$495&lt;=8)*('CONTROL MASTER'!$W$2:$W$495&gt;=8))*ROW('CONTROL MASTER'!$S$2:$S$495))-(ROW('CONTROL MASTER'!#REF!)-1))),IF(SUMPRODUCT((('CONTROL MASTER'!$S$2:$S$495=10)*('CONTROL MASTER'!$Z$2:$Z$495&lt;=8)*('CONTROL MASTER'!$AB$2:$AB$495&gt;=8)*('CONTROL MASTER'!$AA$2:$AA$495&lt;=8)*('CONTROL MASTER'!$AC$2:$AC$495&gt;=8))*ROW('CONTROL MASTER'!$S$2:$S$495))&gt;0,INDEX('CONTROL MASTER'!$X$2:$X$495,(SUMPRODUCT((('CONTROL MASTER'!$S$2:$S$495=10)*('CONTROL MASTER'!$Z$2:$Z$495&lt;=8)*('CONTROL MASTER'!$AB$2:$AB$495&gt;=8)*('CONTROL MASTER'!$AA$2:$AA$495&lt;=8)*('CONTROL MASTER'!$AC$2:$AC$495&gt;=8))*ROW('CONTROL MASTER'!$S$2:$S$495))-(ROW('CONTROL MASTER'!#REF!)-1)))&amp;TRIM(MID(SUBSTITUTE(SUBSTITUTE(INDEX('CONTROL MASTER'!$N$2:$N$495,(SUMPRODUCT((('CONTROL MASTER'!$S$2:$S$495=10)*('CONTROL MASTER'!$Z$2:$Z$495&lt;=8)*('CONTROL MASTER'!$AB$2:$AB$495&gt;=8)*('CONTROL MASTER'!$AA$2:$AA$495&lt;=8)*('CONTROL MASTER'!$AC$2:$AC$495&gt;=8))*ROW('CONTROL MASTER'!$S$2:$S$495))-(ROW('CONTROL MASTER'!#REF!)-1))),":",","),",",REPT(" ",50)),(((INDEX('CONTROL MASTER'!$Y$2:$Y$495,(SUMPRODUCT((('CONTROL MASTER'!$S$2:$S$495=10)*('CONTROL MASTER'!$Z$2:$Z$495&lt;=8)*('CONTROL MASTER'!$AB$2:$AB$495&gt;=8)*('CONTROL MASTER'!$AA$2:$AA$495&lt;=8)*('CONTROL MASTER'!$AC$2:$AC$495&gt;=8))*ROW('CONTROL MASTER'!$S$2:$S$495))-(ROW('CONTROL MASTER'!#REF!)-1)))+((8-INDEX('CONTROL MASTER'!$Z$2:$Z$495,(SUMPRODUCT((('CONTROL MASTER'!$S$2:$S$495=10)*('CONTROL MASTER'!$Z$2:$Z$495&lt;=8)*('CONTROL MASTER'!$AB$2:$AB$495&gt;=8)*('CONTROL MASTER'!$AA$2:$AA$495&lt;=8)*('CONTROL MASTER'!$AC$2:$AC$495&gt;=8))*ROW('CONTROL MASTER'!$S$2:$S$495))-(ROW('CONTROL MASTER'!#REF!)-1))))*(INDEX('CONTROL MASTER'!$AC$2:$AC$495,(SUMPRODUCT((('CONTROL MASTER'!$S$2:$S$495=10)*('CONTROL MASTER'!$Z$2:$Z$495&lt;=8)*('CONTROL MASTER'!$AB$2:$AB$495&gt;=8)*('CONTROL MASTER'!$AA$2:$AA$495&lt;=8)*('CONTROL MASTER'!$AC$2:$AC$495&gt;=8))*ROW('CONTROL MASTER'!$S$2:$S$495))-(ROW('CONTROL MASTER'!#REF!)-1)))-INDEX('CONTROL MASTER'!$AA$2:$AA$495,(SUMPRODUCT((('CONTROL MASTER'!$S$2:$S$495=10)*('CONTROL MASTER'!$Z$2:$Z$495&lt;=8)*('CONTROL MASTER'!$AB$2:$AB$495&gt;=8)*('CONTROL MASTER'!$AA$2:$AA$495&lt;=8)*('CONTROL MASTER'!$AC$2:$AC$495&gt;=8))*ROW('CONTROL MASTER'!$S$2:$S$495))-(ROW('CONTROL MASTER'!#REF!)-1)))+1)+(8-INDEX('CONTROL MASTER'!$AA$2:$AA$495,(SUMPRODUCT((('CONTROL MASTER'!$S$2:$S$495=10)*('CONTROL MASTER'!$Z$2:$Z$495&lt;=8)*('CONTROL MASTER'!$AB$2:$AB$495&gt;=8)*('CONTROL MASTER'!$AA$2:$AA$495&lt;=8)*('CONTROL MASTER'!$AC$2:$AC$495&gt;=8))*ROW('CONTROL MASTER'!$S$2:$S$495))-(ROW('CONTROL MASTER'!#REF!)-1))))+1)))-1)*50+1,50))&amp;"_"&amp;INDEX('CONTROL MASTER'!$P$2:$P$495,(SUMPRODUCT((('CONTROL MASTER'!$S$2:$S$495=10)*('CONTROL MASTER'!$Z$2:$Z$495&lt;=8)*('CONTROL MASTER'!$AB$2:$AB$495&gt;=8)*('CONTROL MASTER'!$AA$2:$AA$495&lt;=8)*('CONTROL MASTER'!$AC$2:$AC$495&gt;=8))*ROW('CONTROL MASTER'!$S$2:$S$495))-(ROW('CONTROL MASTER'!#REF!)-1))),"")),"")</f>
        <v/>
      </c>
      <c r="J136" s="10" t="str">
        <f>IFERROR(IF(SUMPRODUCT((('CONTROL MASTER'!$S$2:$S$495=10)*('CONTROL MASTER'!$T$2:$T$495&lt;=8)*('CONTROL MASTER'!$V$2:$V$495&gt;=8)*('CONTROL MASTER'!$U$2:$U$495&lt;=9)*('CONTROL MASTER'!$W$2:$W$495&gt;=9))*ROW('CONTROL MASTER'!$S$2:$S$495))&gt;0,INDEX('CONTROL MASTER'!$X$2:$X$495,(SUMPRODUCT((('CONTROL MASTER'!$S$2:$S$495=10)*('CONTROL MASTER'!$T$2:$T$495&lt;=8)*('CONTROL MASTER'!$V$2:$V$495&gt;=8)*('CONTROL MASTER'!$U$2:$U$495&lt;=9)*('CONTROL MASTER'!$W$2:$W$495&gt;=9))*ROW('CONTROL MASTER'!$S$2:$S$495))-(ROW('CONTROL MASTER'!#REF!)-1)))&amp;TRIM(MID(SUBSTITUTE(SUBSTITUTE(INDEX('CONTROL MASTER'!$N$2:$N$495,(SUMPRODUCT((('CONTROL MASTER'!$S$2:$S$495=10)*('CONTROL MASTER'!$T$2:$T$495&lt;=8)*('CONTROL MASTER'!$V$2:$V$495&gt;=8)*('CONTROL MASTER'!$U$2:$U$495&lt;=9)*('CONTROL MASTER'!$W$2:$W$495&gt;=9))*ROW('CONTROL MASTER'!$S$2:$S$495))-(ROW('CONTROL MASTER'!#REF!)-1))),":",","),",",REPT(" ",50)),((((8-INDEX('CONTROL MASTER'!$T$2:$T$495,(SUMPRODUCT((('CONTROL MASTER'!$S$2:$S$495=10)*('CONTROL MASTER'!$T$2:$T$495&lt;=8)*('CONTROL MASTER'!$V$2:$V$495&gt;=8)*('CONTROL MASTER'!$U$2:$U$495&lt;=9)*('CONTROL MASTER'!$W$2:$W$495&gt;=9))*ROW('CONTROL MASTER'!$S$2:$S$495))-(ROW('CONTROL MASTER'!#REF!)-1))))*(INDEX('CONTROL MASTER'!$W$2:$W$495,(SUMPRODUCT((('CONTROL MASTER'!$S$2:$S$495=10)*('CONTROL MASTER'!$T$2:$T$495&lt;=8)*('CONTROL MASTER'!$V$2:$V$495&gt;=8)*('CONTROL MASTER'!$U$2:$U$495&lt;=9)*('CONTROL MASTER'!$W$2:$W$495&gt;=9))*ROW('CONTROL MASTER'!$S$2:$S$495))-(ROW('CONTROL MASTER'!#REF!)-1)))-INDEX('CONTROL MASTER'!$U$2:$U$495,(SUMPRODUCT((('CONTROL MASTER'!$S$2:$S$495=10)*('CONTROL MASTER'!$T$2:$T$495&lt;=8)*('CONTROL MASTER'!$V$2:$V$495&gt;=8)*('CONTROL MASTER'!$U$2:$U$495&lt;=9)*('CONTROL MASTER'!$W$2:$W$495&gt;=9))*ROW('CONTROL MASTER'!$S$2:$S$495))-(ROW('CONTROL MASTER'!#REF!)-1)))+1)+(9-INDEX('CONTROL MASTER'!$U$2:$U$495,(SUMPRODUCT((('CONTROL MASTER'!$S$2:$S$495=10)*('CONTROL MASTER'!$T$2:$T$495&lt;=8)*('CONTROL MASTER'!$V$2:$V$495&gt;=8)*('CONTROL MASTER'!$U$2:$U$495&lt;=9)*('CONTROL MASTER'!$W$2:$W$495&gt;=9))*ROW('CONTROL MASTER'!$S$2:$S$495))-(ROW('CONTROL MASTER'!#REF!)-1))))+1))-1)*50+1,50))&amp;"_"&amp;INDEX('CONTROL MASTER'!$P$2:$P$495,(SUMPRODUCT((('CONTROL MASTER'!$S$2:$S$495=10)*('CONTROL MASTER'!$T$2:$T$495&lt;=8)*('CONTROL MASTER'!$V$2:$V$495&gt;=8)*('CONTROL MASTER'!$U$2:$U$495&lt;=9)*('CONTROL MASTER'!$W$2:$W$495&gt;=9))*ROW('CONTROL MASTER'!$S$2:$S$495))-(ROW('CONTROL MASTER'!#REF!)-1))),IF(SUMPRODUCT((('CONTROL MASTER'!$S$2:$S$495=10)*('CONTROL MASTER'!$Z$2:$Z$495&lt;=8)*('CONTROL MASTER'!$AB$2:$AB$495&gt;=8)*('CONTROL MASTER'!$AA$2:$AA$495&lt;=9)*('CONTROL MASTER'!$AC$2:$AC$495&gt;=9))*ROW('CONTROL MASTER'!$S$2:$S$495))&gt;0,INDEX('CONTROL MASTER'!$X$2:$X$495,(SUMPRODUCT((('CONTROL MASTER'!$S$2:$S$495=10)*('CONTROL MASTER'!$Z$2:$Z$495&lt;=8)*('CONTROL MASTER'!$AB$2:$AB$495&gt;=8)*('CONTROL MASTER'!$AA$2:$AA$495&lt;=9)*('CONTROL MASTER'!$AC$2:$AC$495&gt;=9))*ROW('CONTROL MASTER'!$S$2:$S$495))-(ROW('CONTROL MASTER'!#REF!)-1)))&amp;TRIM(MID(SUBSTITUTE(SUBSTITUTE(INDEX('CONTROL MASTER'!$N$2:$N$495,(SUMPRODUCT((('CONTROL MASTER'!$S$2:$S$495=10)*('CONTROL MASTER'!$Z$2:$Z$495&lt;=8)*('CONTROL MASTER'!$AB$2:$AB$495&gt;=8)*('CONTROL MASTER'!$AA$2:$AA$495&lt;=9)*('CONTROL MASTER'!$AC$2:$AC$495&gt;=9))*ROW('CONTROL MASTER'!$S$2:$S$495))-(ROW('CONTROL MASTER'!#REF!)-1))),":",","),",",REPT(" ",50)),(((INDEX('CONTROL MASTER'!$Y$2:$Y$495,(SUMPRODUCT((('CONTROL MASTER'!$S$2:$S$495=10)*('CONTROL MASTER'!$Z$2:$Z$495&lt;=8)*('CONTROL MASTER'!$AB$2:$AB$495&gt;=8)*('CONTROL MASTER'!$AA$2:$AA$495&lt;=9)*('CONTROL MASTER'!$AC$2:$AC$495&gt;=9))*ROW('CONTROL MASTER'!$S$2:$S$495))-(ROW('CONTROL MASTER'!#REF!)-1)))+((8-INDEX('CONTROL MASTER'!$Z$2:$Z$495,(SUMPRODUCT((('CONTROL MASTER'!$S$2:$S$495=10)*('CONTROL MASTER'!$Z$2:$Z$495&lt;=8)*('CONTROL MASTER'!$AB$2:$AB$495&gt;=8)*('CONTROL MASTER'!$AA$2:$AA$495&lt;=9)*('CONTROL MASTER'!$AC$2:$AC$495&gt;=9))*ROW('CONTROL MASTER'!$S$2:$S$495))-(ROW('CONTROL MASTER'!#REF!)-1))))*(INDEX('CONTROL MASTER'!$AC$2:$AC$495,(SUMPRODUCT((('CONTROL MASTER'!$S$2:$S$495=10)*('CONTROL MASTER'!$Z$2:$Z$495&lt;=8)*('CONTROL MASTER'!$AB$2:$AB$495&gt;=8)*('CONTROL MASTER'!$AA$2:$AA$495&lt;=9)*('CONTROL MASTER'!$AC$2:$AC$495&gt;=9))*ROW('CONTROL MASTER'!$S$2:$S$495))-(ROW('CONTROL MASTER'!#REF!)-1)))-INDEX('CONTROL MASTER'!$AA$2:$AA$495,(SUMPRODUCT((('CONTROL MASTER'!$S$2:$S$495=10)*('CONTROL MASTER'!$Z$2:$Z$495&lt;=8)*('CONTROL MASTER'!$AB$2:$AB$495&gt;=8)*('CONTROL MASTER'!$AA$2:$AA$495&lt;=9)*('CONTROL MASTER'!$AC$2:$AC$495&gt;=9))*ROW('CONTROL MASTER'!$S$2:$S$495))-(ROW('CONTROL MASTER'!#REF!)-1)))+1)+(9-INDEX('CONTROL MASTER'!$AA$2:$AA$495,(SUMPRODUCT((('CONTROL MASTER'!$S$2:$S$495=10)*('CONTROL MASTER'!$Z$2:$Z$495&lt;=8)*('CONTROL MASTER'!$AB$2:$AB$495&gt;=8)*('CONTROL MASTER'!$AA$2:$AA$495&lt;=9)*('CONTROL MASTER'!$AC$2:$AC$495&gt;=9))*ROW('CONTROL MASTER'!$S$2:$S$495))-(ROW('CONTROL MASTER'!#REF!)-1))))+1)))-1)*50+1,50))&amp;"_"&amp;INDEX('CONTROL MASTER'!$P$2:$P$495,(SUMPRODUCT((('CONTROL MASTER'!$S$2:$S$495=10)*('CONTROL MASTER'!$Z$2:$Z$495&lt;=8)*('CONTROL MASTER'!$AB$2:$AB$495&gt;=8)*('CONTROL MASTER'!$AA$2:$AA$495&lt;=9)*('CONTROL MASTER'!$AC$2:$AC$495&gt;=9))*ROW('CONTROL MASTER'!$S$2:$S$495))-(ROW('CONTROL MASTER'!#REF!)-1))),"")),"")</f>
        <v/>
      </c>
      <c r="K136" s="10" t="str">
        <f>IFERROR(IF(SUMPRODUCT((('CONTROL MASTER'!$S$2:$S$495=10)*('CONTROL MASTER'!$T$2:$T$495&lt;=8)*('CONTROL MASTER'!$V$2:$V$495&gt;=8)*('CONTROL MASTER'!$U$2:$U$495&lt;=10)*('CONTROL MASTER'!$W$2:$W$495&gt;=10))*ROW('CONTROL MASTER'!$S$2:$S$495))&gt;0,INDEX('CONTROL MASTER'!$X$2:$X$495,(SUMPRODUCT((('CONTROL MASTER'!$S$2:$S$495=10)*('CONTROL MASTER'!$T$2:$T$495&lt;=8)*('CONTROL MASTER'!$V$2:$V$495&gt;=8)*('CONTROL MASTER'!$U$2:$U$495&lt;=10)*('CONTROL MASTER'!$W$2:$W$495&gt;=10))*ROW('CONTROL MASTER'!$S$2:$S$495))-(ROW('CONTROL MASTER'!#REF!)-1)))&amp;TRIM(MID(SUBSTITUTE(SUBSTITUTE(INDEX('CONTROL MASTER'!$N$2:$N$495,(SUMPRODUCT((('CONTROL MASTER'!$S$2:$S$495=10)*('CONTROL MASTER'!$T$2:$T$495&lt;=8)*('CONTROL MASTER'!$V$2:$V$495&gt;=8)*('CONTROL MASTER'!$U$2:$U$495&lt;=10)*('CONTROL MASTER'!$W$2:$W$495&gt;=10))*ROW('CONTROL MASTER'!$S$2:$S$495))-(ROW('CONTROL MASTER'!#REF!)-1))),":",","),",",REPT(" ",50)),((((8-INDEX('CONTROL MASTER'!$T$2:$T$495,(SUMPRODUCT((('CONTROL MASTER'!$S$2:$S$495=10)*('CONTROL MASTER'!$T$2:$T$495&lt;=8)*('CONTROL MASTER'!$V$2:$V$495&gt;=8)*('CONTROL MASTER'!$U$2:$U$495&lt;=10)*('CONTROL MASTER'!$W$2:$W$495&gt;=10))*ROW('CONTROL MASTER'!$S$2:$S$495))-(ROW('CONTROL MASTER'!#REF!)-1))))*(INDEX('CONTROL MASTER'!$W$2:$W$495,(SUMPRODUCT((('CONTROL MASTER'!$S$2:$S$495=10)*('CONTROL MASTER'!$T$2:$T$495&lt;=8)*('CONTROL MASTER'!$V$2:$V$495&gt;=8)*('CONTROL MASTER'!$U$2:$U$495&lt;=10)*('CONTROL MASTER'!$W$2:$W$495&gt;=10))*ROW('CONTROL MASTER'!$S$2:$S$495))-(ROW('CONTROL MASTER'!#REF!)-1)))-INDEX('CONTROL MASTER'!$U$2:$U$495,(SUMPRODUCT((('CONTROL MASTER'!$S$2:$S$495=10)*('CONTROL MASTER'!$T$2:$T$495&lt;=8)*('CONTROL MASTER'!$V$2:$V$495&gt;=8)*('CONTROL MASTER'!$U$2:$U$495&lt;=10)*('CONTROL MASTER'!$W$2:$W$495&gt;=10))*ROW('CONTROL MASTER'!$S$2:$S$495))-(ROW('CONTROL MASTER'!#REF!)-1)))+1)+(10-INDEX('CONTROL MASTER'!$U$2:$U$495,(SUMPRODUCT((('CONTROL MASTER'!$S$2:$S$495=10)*('CONTROL MASTER'!$T$2:$T$495&lt;=8)*('CONTROL MASTER'!$V$2:$V$495&gt;=8)*('CONTROL MASTER'!$U$2:$U$495&lt;=10)*('CONTROL MASTER'!$W$2:$W$495&gt;=10))*ROW('CONTROL MASTER'!$S$2:$S$495))-(ROW('CONTROL MASTER'!#REF!)-1))))+1))-1)*50+1,50))&amp;"_"&amp;INDEX('CONTROL MASTER'!$P$2:$P$495,(SUMPRODUCT((('CONTROL MASTER'!$S$2:$S$495=10)*('CONTROL MASTER'!$T$2:$T$495&lt;=8)*('CONTROL MASTER'!$V$2:$V$495&gt;=8)*('CONTROL MASTER'!$U$2:$U$495&lt;=10)*('CONTROL MASTER'!$W$2:$W$495&gt;=10))*ROW('CONTROL MASTER'!$S$2:$S$495))-(ROW('CONTROL MASTER'!#REF!)-1))),IF(SUMPRODUCT((('CONTROL MASTER'!$S$2:$S$495=10)*('CONTROL MASTER'!$Z$2:$Z$495&lt;=8)*('CONTROL MASTER'!$AB$2:$AB$495&gt;=8)*('CONTROL MASTER'!$AA$2:$AA$495&lt;=10)*('CONTROL MASTER'!$AC$2:$AC$495&gt;=10))*ROW('CONTROL MASTER'!$S$2:$S$495))&gt;0,INDEX('CONTROL MASTER'!$X$2:$X$495,(SUMPRODUCT((('CONTROL MASTER'!$S$2:$S$495=10)*('CONTROL MASTER'!$Z$2:$Z$495&lt;=8)*('CONTROL MASTER'!$AB$2:$AB$495&gt;=8)*('CONTROL MASTER'!$AA$2:$AA$495&lt;=10)*('CONTROL MASTER'!$AC$2:$AC$495&gt;=10))*ROW('CONTROL MASTER'!$S$2:$S$495))-(ROW('CONTROL MASTER'!#REF!)-1)))&amp;TRIM(MID(SUBSTITUTE(SUBSTITUTE(INDEX('CONTROL MASTER'!$N$2:$N$495,(SUMPRODUCT((('CONTROL MASTER'!$S$2:$S$495=10)*('CONTROL MASTER'!$Z$2:$Z$495&lt;=8)*('CONTROL MASTER'!$AB$2:$AB$495&gt;=8)*('CONTROL MASTER'!$AA$2:$AA$495&lt;=10)*('CONTROL MASTER'!$AC$2:$AC$495&gt;=10))*ROW('CONTROL MASTER'!$S$2:$S$495))-(ROW('CONTROL MASTER'!#REF!)-1))),":",","),",",REPT(" ",50)),(((INDEX('CONTROL MASTER'!$Y$2:$Y$495,(SUMPRODUCT((('CONTROL MASTER'!$S$2:$S$495=10)*('CONTROL MASTER'!$Z$2:$Z$495&lt;=8)*('CONTROL MASTER'!$AB$2:$AB$495&gt;=8)*('CONTROL MASTER'!$AA$2:$AA$495&lt;=10)*('CONTROL MASTER'!$AC$2:$AC$495&gt;=10))*ROW('CONTROL MASTER'!$S$2:$S$495))-(ROW('CONTROL MASTER'!#REF!)-1)))+((8-INDEX('CONTROL MASTER'!$Z$2:$Z$495,(SUMPRODUCT((('CONTROL MASTER'!$S$2:$S$495=10)*('CONTROL MASTER'!$Z$2:$Z$495&lt;=8)*('CONTROL MASTER'!$AB$2:$AB$495&gt;=8)*('CONTROL MASTER'!$AA$2:$AA$495&lt;=10)*('CONTROL MASTER'!$AC$2:$AC$495&gt;=10))*ROW('CONTROL MASTER'!$S$2:$S$495))-(ROW('CONTROL MASTER'!#REF!)-1))))*(INDEX('CONTROL MASTER'!$AC$2:$AC$495,(SUMPRODUCT((('CONTROL MASTER'!$S$2:$S$495=10)*('CONTROL MASTER'!$Z$2:$Z$495&lt;=8)*('CONTROL MASTER'!$AB$2:$AB$495&gt;=8)*('CONTROL MASTER'!$AA$2:$AA$495&lt;=10)*('CONTROL MASTER'!$AC$2:$AC$495&gt;=10))*ROW('CONTROL MASTER'!$S$2:$S$495))-(ROW('CONTROL MASTER'!#REF!)-1)))-INDEX('CONTROL MASTER'!$AA$2:$AA$495,(SUMPRODUCT((('CONTROL MASTER'!$S$2:$S$495=10)*('CONTROL MASTER'!$Z$2:$Z$495&lt;=8)*('CONTROL MASTER'!$AB$2:$AB$495&gt;=8)*('CONTROL MASTER'!$AA$2:$AA$495&lt;=10)*('CONTROL MASTER'!$AC$2:$AC$495&gt;=10))*ROW('CONTROL MASTER'!$S$2:$S$495))-(ROW('CONTROL MASTER'!#REF!)-1)))+1)+(10-INDEX('CONTROL MASTER'!$AA$2:$AA$495,(SUMPRODUCT((('CONTROL MASTER'!$S$2:$S$495=10)*('CONTROL MASTER'!$Z$2:$Z$495&lt;=8)*('CONTROL MASTER'!$AB$2:$AB$495&gt;=8)*('CONTROL MASTER'!$AA$2:$AA$495&lt;=10)*('CONTROL MASTER'!$AC$2:$AC$495&gt;=10))*ROW('CONTROL MASTER'!$S$2:$S$495))-(ROW('CONTROL MASTER'!#REF!)-1))))+1)))-1)*50+1,50))&amp;"_"&amp;INDEX('CONTROL MASTER'!$P$2:$P$495,(SUMPRODUCT((('CONTROL MASTER'!$S$2:$S$495=10)*('CONTROL MASTER'!$Z$2:$Z$495&lt;=8)*('CONTROL MASTER'!$AB$2:$AB$495&gt;=8)*('CONTROL MASTER'!$AA$2:$AA$495&lt;=10)*('CONTROL MASTER'!$AC$2:$AC$495&gt;=10))*ROW('CONTROL MASTER'!$S$2:$S$495))-(ROW('CONTROL MASTER'!#REF!)-1))),"")),"")</f>
        <v/>
      </c>
    </row>
    <row r="137" spans="1:11" ht="15" customHeight="1" x14ac:dyDescent="0.35">
      <c r="A137" s="8" t="s">
        <v>81</v>
      </c>
      <c r="B137" s="10" t="str">
        <f>IFERROR(IF(SUMPRODUCT((('CONTROL MASTER'!$S$2:$S$495=10)*('CONTROL MASTER'!$T$2:$T$495&lt;=9)*('CONTROL MASTER'!$V$2:$V$495&gt;=9)*('CONTROL MASTER'!$U$2:$U$495&lt;=1)*('CONTROL MASTER'!$W$2:$W$495&gt;=1))*ROW('CONTROL MASTER'!$S$2:$S$495))&gt;0,INDEX('CONTROL MASTER'!$X$2:$X$495,(SUMPRODUCT((('CONTROL MASTER'!$S$2:$S$495=10)*('CONTROL MASTER'!$T$2:$T$495&lt;=9)*('CONTROL MASTER'!$V$2:$V$495&gt;=9)*('CONTROL MASTER'!$U$2:$U$495&lt;=1)*('CONTROL MASTER'!$W$2:$W$495&gt;=1))*ROW('CONTROL MASTER'!$S$2:$S$495))-(ROW('CONTROL MASTER'!#REF!)-1)))&amp;TRIM(MID(SUBSTITUTE(SUBSTITUTE(INDEX('CONTROL MASTER'!$N$2:$N$495,(SUMPRODUCT((('CONTROL MASTER'!$S$2:$S$495=10)*('CONTROL MASTER'!$T$2:$T$495&lt;=9)*('CONTROL MASTER'!$V$2:$V$495&gt;=9)*('CONTROL MASTER'!$U$2:$U$495&lt;=1)*('CONTROL MASTER'!$W$2:$W$495&gt;=1))*ROW('CONTROL MASTER'!$S$2:$S$495))-(ROW('CONTROL MASTER'!#REF!)-1))),":",","),",",REPT(" ",50)),((((9-INDEX('CONTROL MASTER'!$T$2:$T$495,(SUMPRODUCT((('CONTROL MASTER'!$S$2:$S$495=10)*('CONTROL MASTER'!$T$2:$T$495&lt;=9)*('CONTROL MASTER'!$V$2:$V$495&gt;=9)*('CONTROL MASTER'!$U$2:$U$495&lt;=1)*('CONTROL MASTER'!$W$2:$W$495&gt;=1))*ROW('CONTROL MASTER'!$S$2:$S$495))-(ROW('CONTROL MASTER'!#REF!)-1))))*(INDEX('CONTROL MASTER'!$W$2:$W$495,(SUMPRODUCT((('CONTROL MASTER'!$S$2:$S$495=10)*('CONTROL MASTER'!$T$2:$T$495&lt;=9)*('CONTROL MASTER'!$V$2:$V$495&gt;=9)*('CONTROL MASTER'!$U$2:$U$495&lt;=1)*('CONTROL MASTER'!$W$2:$W$495&gt;=1))*ROW('CONTROL MASTER'!$S$2:$S$495))-(ROW('CONTROL MASTER'!#REF!)-1)))-INDEX('CONTROL MASTER'!$U$2:$U$495,(SUMPRODUCT((('CONTROL MASTER'!$S$2:$S$495=10)*('CONTROL MASTER'!$T$2:$T$495&lt;=9)*('CONTROL MASTER'!$V$2:$V$495&gt;=9)*('CONTROL MASTER'!$U$2:$U$495&lt;=1)*('CONTROL MASTER'!$W$2:$W$495&gt;=1))*ROW('CONTROL MASTER'!$S$2:$S$495))-(ROW('CONTROL MASTER'!#REF!)-1)))+1)+(1-INDEX('CONTROL MASTER'!$U$2:$U$495,(SUMPRODUCT((('CONTROL MASTER'!$S$2:$S$495=10)*('CONTROL MASTER'!$T$2:$T$495&lt;=9)*('CONTROL MASTER'!$V$2:$V$495&gt;=9)*('CONTROL MASTER'!$U$2:$U$495&lt;=1)*('CONTROL MASTER'!$W$2:$W$495&gt;=1))*ROW('CONTROL MASTER'!$S$2:$S$495))-(ROW('CONTROL MASTER'!#REF!)-1))))+1))-1)*50+1,50))&amp;"_"&amp;INDEX('CONTROL MASTER'!$P$2:$P$495,(SUMPRODUCT((('CONTROL MASTER'!$S$2:$S$495=10)*('CONTROL MASTER'!$T$2:$T$495&lt;=9)*('CONTROL MASTER'!$V$2:$V$495&gt;=9)*('CONTROL MASTER'!$U$2:$U$495&lt;=1)*('CONTROL MASTER'!$W$2:$W$495&gt;=1))*ROW('CONTROL MASTER'!$S$2:$S$495))-(ROW('CONTROL MASTER'!#REF!)-1))),IF(SUMPRODUCT((('CONTROL MASTER'!$S$2:$S$495=10)*('CONTROL MASTER'!$Z$2:$Z$495&lt;=9)*('CONTROL MASTER'!$AB$2:$AB$495&gt;=9)*('CONTROL MASTER'!$AA$2:$AA$495&lt;=1)*('CONTROL MASTER'!$AC$2:$AC$495&gt;=1))*ROW('CONTROL MASTER'!$S$2:$S$495))&gt;0,INDEX('CONTROL MASTER'!$X$2:$X$495,(SUMPRODUCT((('CONTROL MASTER'!$S$2:$S$495=10)*('CONTROL MASTER'!$Z$2:$Z$495&lt;=9)*('CONTROL MASTER'!$AB$2:$AB$495&gt;=9)*('CONTROL MASTER'!$AA$2:$AA$495&lt;=1)*('CONTROL MASTER'!$AC$2:$AC$495&gt;=1))*ROW('CONTROL MASTER'!$S$2:$S$495))-(ROW('CONTROL MASTER'!#REF!)-1)))&amp;TRIM(MID(SUBSTITUTE(SUBSTITUTE(INDEX('CONTROL MASTER'!$N$2:$N$495,(SUMPRODUCT((('CONTROL MASTER'!$S$2:$S$495=10)*('CONTROL MASTER'!$Z$2:$Z$495&lt;=9)*('CONTROL MASTER'!$AB$2:$AB$495&gt;=9)*('CONTROL MASTER'!$AA$2:$AA$495&lt;=1)*('CONTROL MASTER'!$AC$2:$AC$495&gt;=1))*ROW('CONTROL MASTER'!$S$2:$S$495))-(ROW('CONTROL MASTER'!#REF!)-1))),":",","),",",REPT(" ",50)),(((INDEX('CONTROL MASTER'!$Y$2:$Y$495,(SUMPRODUCT((('CONTROL MASTER'!$S$2:$S$495=10)*('CONTROL MASTER'!$Z$2:$Z$495&lt;=9)*('CONTROL MASTER'!$AB$2:$AB$495&gt;=9)*('CONTROL MASTER'!$AA$2:$AA$495&lt;=1)*('CONTROL MASTER'!$AC$2:$AC$495&gt;=1))*ROW('CONTROL MASTER'!$S$2:$S$495))-(ROW('CONTROL MASTER'!#REF!)-1)))+((9-INDEX('CONTROL MASTER'!$Z$2:$Z$495,(SUMPRODUCT((('CONTROL MASTER'!$S$2:$S$495=10)*('CONTROL MASTER'!$Z$2:$Z$495&lt;=9)*('CONTROL MASTER'!$AB$2:$AB$495&gt;=9)*('CONTROL MASTER'!$AA$2:$AA$495&lt;=1)*('CONTROL MASTER'!$AC$2:$AC$495&gt;=1))*ROW('CONTROL MASTER'!$S$2:$S$495))-(ROW('CONTROL MASTER'!#REF!)-1))))*(INDEX('CONTROL MASTER'!$AC$2:$AC$495,(SUMPRODUCT((('CONTROL MASTER'!$S$2:$S$495=10)*('CONTROL MASTER'!$Z$2:$Z$495&lt;=9)*('CONTROL MASTER'!$AB$2:$AB$495&gt;=9)*('CONTROL MASTER'!$AA$2:$AA$495&lt;=1)*('CONTROL MASTER'!$AC$2:$AC$495&gt;=1))*ROW('CONTROL MASTER'!$S$2:$S$495))-(ROW('CONTROL MASTER'!#REF!)-1)))-INDEX('CONTROL MASTER'!$AA$2:$AA$495,(SUMPRODUCT((('CONTROL MASTER'!$S$2:$S$495=10)*('CONTROL MASTER'!$Z$2:$Z$495&lt;=9)*('CONTROL MASTER'!$AB$2:$AB$495&gt;=9)*('CONTROL MASTER'!$AA$2:$AA$495&lt;=1)*('CONTROL MASTER'!$AC$2:$AC$495&gt;=1))*ROW('CONTROL MASTER'!$S$2:$S$495))-(ROW('CONTROL MASTER'!#REF!)-1)))+1)+(1-INDEX('CONTROL MASTER'!$AA$2:$AA$495,(SUMPRODUCT((('CONTROL MASTER'!$S$2:$S$495=10)*('CONTROL MASTER'!$Z$2:$Z$495&lt;=9)*('CONTROL MASTER'!$AB$2:$AB$495&gt;=9)*('CONTROL MASTER'!$AA$2:$AA$495&lt;=1)*('CONTROL MASTER'!$AC$2:$AC$495&gt;=1))*ROW('CONTROL MASTER'!$S$2:$S$495))-(ROW('CONTROL MASTER'!#REF!)-1))))+1)))-1)*50+1,50))&amp;"_"&amp;INDEX('CONTROL MASTER'!$P$2:$P$495,(SUMPRODUCT((('CONTROL MASTER'!$S$2:$S$495=10)*('CONTROL MASTER'!$Z$2:$Z$495&lt;=9)*('CONTROL MASTER'!$AB$2:$AB$495&gt;=9)*('CONTROL MASTER'!$AA$2:$AA$495&lt;=1)*('CONTROL MASTER'!$AC$2:$AC$495&gt;=1))*ROW('CONTROL MASTER'!$S$2:$S$495))-(ROW('CONTROL MASTER'!#REF!)-1))),"")),"")</f>
        <v/>
      </c>
      <c r="C137" s="10" t="str">
        <f>IFERROR(IF(SUMPRODUCT((('CONTROL MASTER'!$S$2:$S$495=10)*('CONTROL MASTER'!$T$2:$T$495&lt;=9)*('CONTROL MASTER'!$V$2:$V$495&gt;=9)*('CONTROL MASTER'!$U$2:$U$495&lt;=2)*('CONTROL MASTER'!$W$2:$W$495&gt;=2))*ROW('CONTROL MASTER'!$S$2:$S$495))&gt;0,INDEX('CONTROL MASTER'!$X$2:$X$495,(SUMPRODUCT((('CONTROL MASTER'!$S$2:$S$495=10)*('CONTROL MASTER'!$T$2:$T$495&lt;=9)*('CONTROL MASTER'!$V$2:$V$495&gt;=9)*('CONTROL MASTER'!$U$2:$U$495&lt;=2)*('CONTROL MASTER'!$W$2:$W$495&gt;=2))*ROW('CONTROL MASTER'!$S$2:$S$495))-(ROW('CONTROL MASTER'!#REF!)-1)))&amp;TRIM(MID(SUBSTITUTE(SUBSTITUTE(INDEX('CONTROL MASTER'!$N$2:$N$495,(SUMPRODUCT((('CONTROL MASTER'!$S$2:$S$495=10)*('CONTROL MASTER'!$T$2:$T$495&lt;=9)*('CONTROL MASTER'!$V$2:$V$495&gt;=9)*('CONTROL MASTER'!$U$2:$U$495&lt;=2)*('CONTROL MASTER'!$W$2:$W$495&gt;=2))*ROW('CONTROL MASTER'!$S$2:$S$495))-(ROW('CONTROL MASTER'!#REF!)-1))),":",","),",",REPT(" ",50)),((((9-INDEX('CONTROL MASTER'!$T$2:$T$495,(SUMPRODUCT((('CONTROL MASTER'!$S$2:$S$495=10)*('CONTROL MASTER'!$T$2:$T$495&lt;=9)*('CONTROL MASTER'!$V$2:$V$495&gt;=9)*('CONTROL MASTER'!$U$2:$U$495&lt;=2)*('CONTROL MASTER'!$W$2:$W$495&gt;=2))*ROW('CONTROL MASTER'!$S$2:$S$495))-(ROW('CONTROL MASTER'!#REF!)-1))))*(INDEX('CONTROL MASTER'!$W$2:$W$495,(SUMPRODUCT((('CONTROL MASTER'!$S$2:$S$495=10)*('CONTROL MASTER'!$T$2:$T$495&lt;=9)*('CONTROL MASTER'!$V$2:$V$495&gt;=9)*('CONTROL MASTER'!$U$2:$U$495&lt;=2)*('CONTROL MASTER'!$W$2:$W$495&gt;=2))*ROW('CONTROL MASTER'!$S$2:$S$495))-(ROW('CONTROL MASTER'!#REF!)-1)))-INDEX('CONTROL MASTER'!$U$2:$U$495,(SUMPRODUCT((('CONTROL MASTER'!$S$2:$S$495=10)*('CONTROL MASTER'!$T$2:$T$495&lt;=9)*('CONTROL MASTER'!$V$2:$V$495&gt;=9)*('CONTROL MASTER'!$U$2:$U$495&lt;=2)*('CONTROL MASTER'!$W$2:$W$495&gt;=2))*ROW('CONTROL MASTER'!$S$2:$S$495))-(ROW('CONTROL MASTER'!#REF!)-1)))+1)+(2-INDEX('CONTROL MASTER'!$U$2:$U$495,(SUMPRODUCT((('CONTROL MASTER'!$S$2:$S$495=10)*('CONTROL MASTER'!$T$2:$T$495&lt;=9)*('CONTROL MASTER'!$V$2:$V$495&gt;=9)*('CONTROL MASTER'!$U$2:$U$495&lt;=2)*('CONTROL MASTER'!$W$2:$W$495&gt;=2))*ROW('CONTROL MASTER'!$S$2:$S$495))-(ROW('CONTROL MASTER'!#REF!)-1))))+1))-1)*50+1,50))&amp;"_"&amp;INDEX('CONTROL MASTER'!$P$2:$P$495,(SUMPRODUCT((('CONTROL MASTER'!$S$2:$S$495=10)*('CONTROL MASTER'!$T$2:$T$495&lt;=9)*('CONTROL MASTER'!$V$2:$V$495&gt;=9)*('CONTROL MASTER'!$U$2:$U$495&lt;=2)*('CONTROL MASTER'!$W$2:$W$495&gt;=2))*ROW('CONTROL MASTER'!$S$2:$S$495))-(ROW('CONTROL MASTER'!#REF!)-1))),IF(SUMPRODUCT((('CONTROL MASTER'!$S$2:$S$495=10)*('CONTROL MASTER'!$Z$2:$Z$495&lt;=9)*('CONTROL MASTER'!$AB$2:$AB$495&gt;=9)*('CONTROL MASTER'!$AA$2:$AA$495&lt;=2)*('CONTROL MASTER'!$AC$2:$AC$495&gt;=2))*ROW('CONTROL MASTER'!$S$2:$S$495))&gt;0,INDEX('CONTROL MASTER'!$X$2:$X$495,(SUMPRODUCT((('CONTROL MASTER'!$S$2:$S$495=10)*('CONTROL MASTER'!$Z$2:$Z$495&lt;=9)*('CONTROL MASTER'!$AB$2:$AB$495&gt;=9)*('CONTROL MASTER'!$AA$2:$AA$495&lt;=2)*('CONTROL MASTER'!$AC$2:$AC$495&gt;=2))*ROW('CONTROL MASTER'!$S$2:$S$495))-(ROW('CONTROL MASTER'!#REF!)-1)))&amp;TRIM(MID(SUBSTITUTE(SUBSTITUTE(INDEX('CONTROL MASTER'!$N$2:$N$495,(SUMPRODUCT((('CONTROL MASTER'!$S$2:$S$495=10)*('CONTROL MASTER'!$Z$2:$Z$495&lt;=9)*('CONTROL MASTER'!$AB$2:$AB$495&gt;=9)*('CONTROL MASTER'!$AA$2:$AA$495&lt;=2)*('CONTROL MASTER'!$AC$2:$AC$495&gt;=2))*ROW('CONTROL MASTER'!$S$2:$S$495))-(ROW('CONTROL MASTER'!#REF!)-1))),":",","),",",REPT(" ",50)),(((INDEX('CONTROL MASTER'!$Y$2:$Y$495,(SUMPRODUCT((('CONTROL MASTER'!$S$2:$S$495=10)*('CONTROL MASTER'!$Z$2:$Z$495&lt;=9)*('CONTROL MASTER'!$AB$2:$AB$495&gt;=9)*('CONTROL MASTER'!$AA$2:$AA$495&lt;=2)*('CONTROL MASTER'!$AC$2:$AC$495&gt;=2))*ROW('CONTROL MASTER'!$S$2:$S$495))-(ROW('CONTROL MASTER'!#REF!)-1)))+((9-INDEX('CONTROL MASTER'!$Z$2:$Z$495,(SUMPRODUCT((('CONTROL MASTER'!$S$2:$S$495=10)*('CONTROL MASTER'!$Z$2:$Z$495&lt;=9)*('CONTROL MASTER'!$AB$2:$AB$495&gt;=9)*('CONTROL MASTER'!$AA$2:$AA$495&lt;=2)*('CONTROL MASTER'!$AC$2:$AC$495&gt;=2))*ROW('CONTROL MASTER'!$S$2:$S$495))-(ROW('CONTROL MASTER'!#REF!)-1))))*(INDEX('CONTROL MASTER'!$AC$2:$AC$495,(SUMPRODUCT((('CONTROL MASTER'!$S$2:$S$495=10)*('CONTROL MASTER'!$Z$2:$Z$495&lt;=9)*('CONTROL MASTER'!$AB$2:$AB$495&gt;=9)*('CONTROL MASTER'!$AA$2:$AA$495&lt;=2)*('CONTROL MASTER'!$AC$2:$AC$495&gt;=2))*ROW('CONTROL MASTER'!$S$2:$S$495))-(ROW('CONTROL MASTER'!#REF!)-1)))-INDEX('CONTROL MASTER'!$AA$2:$AA$495,(SUMPRODUCT((('CONTROL MASTER'!$S$2:$S$495=10)*('CONTROL MASTER'!$Z$2:$Z$495&lt;=9)*('CONTROL MASTER'!$AB$2:$AB$495&gt;=9)*('CONTROL MASTER'!$AA$2:$AA$495&lt;=2)*('CONTROL MASTER'!$AC$2:$AC$495&gt;=2))*ROW('CONTROL MASTER'!$S$2:$S$495))-(ROW('CONTROL MASTER'!#REF!)-1)))+1)+(2-INDEX('CONTROL MASTER'!$AA$2:$AA$495,(SUMPRODUCT((('CONTROL MASTER'!$S$2:$S$495=10)*('CONTROL MASTER'!$Z$2:$Z$495&lt;=9)*('CONTROL MASTER'!$AB$2:$AB$495&gt;=9)*('CONTROL MASTER'!$AA$2:$AA$495&lt;=2)*('CONTROL MASTER'!$AC$2:$AC$495&gt;=2))*ROW('CONTROL MASTER'!$S$2:$S$495))-(ROW('CONTROL MASTER'!#REF!)-1))))+1)))-1)*50+1,50))&amp;"_"&amp;INDEX('CONTROL MASTER'!$P$2:$P$495,(SUMPRODUCT((('CONTROL MASTER'!$S$2:$S$495=10)*('CONTROL MASTER'!$Z$2:$Z$495&lt;=9)*('CONTROL MASTER'!$AB$2:$AB$495&gt;=9)*('CONTROL MASTER'!$AA$2:$AA$495&lt;=2)*('CONTROL MASTER'!$AC$2:$AC$495&gt;=2))*ROW('CONTROL MASTER'!$S$2:$S$495))-(ROW('CONTROL MASTER'!#REF!)-1))),"")),"")</f>
        <v/>
      </c>
      <c r="D137" s="10" t="str">
        <f>IFERROR(IF(SUMPRODUCT((('CONTROL MASTER'!$S$2:$S$495=10)*('CONTROL MASTER'!$T$2:$T$495&lt;=9)*('CONTROL MASTER'!$V$2:$V$495&gt;=9)*('CONTROL MASTER'!$U$2:$U$495&lt;=3)*('CONTROL MASTER'!$W$2:$W$495&gt;=3))*ROW('CONTROL MASTER'!$S$2:$S$495))&gt;0,INDEX('CONTROL MASTER'!$X$2:$X$495,(SUMPRODUCT((('CONTROL MASTER'!$S$2:$S$495=10)*('CONTROL MASTER'!$T$2:$T$495&lt;=9)*('CONTROL MASTER'!$V$2:$V$495&gt;=9)*('CONTROL MASTER'!$U$2:$U$495&lt;=3)*('CONTROL MASTER'!$W$2:$W$495&gt;=3))*ROW('CONTROL MASTER'!$S$2:$S$495))-(ROW('CONTROL MASTER'!#REF!)-1)))&amp;TRIM(MID(SUBSTITUTE(SUBSTITUTE(INDEX('CONTROL MASTER'!$N$2:$N$495,(SUMPRODUCT((('CONTROL MASTER'!$S$2:$S$495=10)*('CONTROL MASTER'!$T$2:$T$495&lt;=9)*('CONTROL MASTER'!$V$2:$V$495&gt;=9)*('CONTROL MASTER'!$U$2:$U$495&lt;=3)*('CONTROL MASTER'!$W$2:$W$495&gt;=3))*ROW('CONTROL MASTER'!$S$2:$S$495))-(ROW('CONTROL MASTER'!#REF!)-1))),":",","),",",REPT(" ",50)),((((9-INDEX('CONTROL MASTER'!$T$2:$T$495,(SUMPRODUCT((('CONTROL MASTER'!$S$2:$S$495=10)*('CONTROL MASTER'!$T$2:$T$495&lt;=9)*('CONTROL MASTER'!$V$2:$V$495&gt;=9)*('CONTROL MASTER'!$U$2:$U$495&lt;=3)*('CONTROL MASTER'!$W$2:$W$495&gt;=3))*ROW('CONTROL MASTER'!$S$2:$S$495))-(ROW('CONTROL MASTER'!#REF!)-1))))*(INDEX('CONTROL MASTER'!$W$2:$W$495,(SUMPRODUCT((('CONTROL MASTER'!$S$2:$S$495=10)*('CONTROL MASTER'!$T$2:$T$495&lt;=9)*('CONTROL MASTER'!$V$2:$V$495&gt;=9)*('CONTROL MASTER'!$U$2:$U$495&lt;=3)*('CONTROL MASTER'!$W$2:$W$495&gt;=3))*ROW('CONTROL MASTER'!$S$2:$S$495))-(ROW('CONTROL MASTER'!#REF!)-1)))-INDEX('CONTROL MASTER'!$U$2:$U$495,(SUMPRODUCT((('CONTROL MASTER'!$S$2:$S$495=10)*('CONTROL MASTER'!$T$2:$T$495&lt;=9)*('CONTROL MASTER'!$V$2:$V$495&gt;=9)*('CONTROL MASTER'!$U$2:$U$495&lt;=3)*('CONTROL MASTER'!$W$2:$W$495&gt;=3))*ROW('CONTROL MASTER'!$S$2:$S$495))-(ROW('CONTROL MASTER'!#REF!)-1)))+1)+(3-INDEX('CONTROL MASTER'!$U$2:$U$495,(SUMPRODUCT((('CONTROL MASTER'!$S$2:$S$495=10)*('CONTROL MASTER'!$T$2:$T$495&lt;=9)*('CONTROL MASTER'!$V$2:$V$495&gt;=9)*('CONTROL MASTER'!$U$2:$U$495&lt;=3)*('CONTROL MASTER'!$W$2:$W$495&gt;=3))*ROW('CONTROL MASTER'!$S$2:$S$495))-(ROW('CONTROL MASTER'!#REF!)-1))))+1))-1)*50+1,50))&amp;"_"&amp;INDEX('CONTROL MASTER'!$P$2:$P$495,(SUMPRODUCT((('CONTROL MASTER'!$S$2:$S$495=10)*('CONTROL MASTER'!$T$2:$T$495&lt;=9)*('CONTROL MASTER'!$V$2:$V$495&gt;=9)*('CONTROL MASTER'!$U$2:$U$495&lt;=3)*('CONTROL MASTER'!$W$2:$W$495&gt;=3))*ROW('CONTROL MASTER'!$S$2:$S$495))-(ROW('CONTROL MASTER'!#REF!)-1))),IF(SUMPRODUCT((('CONTROL MASTER'!$S$2:$S$495=10)*('CONTROL MASTER'!$Z$2:$Z$495&lt;=9)*('CONTROL MASTER'!$AB$2:$AB$495&gt;=9)*('CONTROL MASTER'!$AA$2:$AA$495&lt;=3)*('CONTROL MASTER'!$AC$2:$AC$495&gt;=3))*ROW('CONTROL MASTER'!$S$2:$S$495))&gt;0,INDEX('CONTROL MASTER'!$X$2:$X$495,(SUMPRODUCT((('CONTROL MASTER'!$S$2:$S$495=10)*('CONTROL MASTER'!$Z$2:$Z$495&lt;=9)*('CONTROL MASTER'!$AB$2:$AB$495&gt;=9)*('CONTROL MASTER'!$AA$2:$AA$495&lt;=3)*('CONTROL MASTER'!$AC$2:$AC$495&gt;=3))*ROW('CONTROL MASTER'!$S$2:$S$495))-(ROW('CONTROL MASTER'!#REF!)-1)))&amp;TRIM(MID(SUBSTITUTE(SUBSTITUTE(INDEX('CONTROL MASTER'!$N$2:$N$495,(SUMPRODUCT((('CONTROL MASTER'!$S$2:$S$495=10)*('CONTROL MASTER'!$Z$2:$Z$495&lt;=9)*('CONTROL MASTER'!$AB$2:$AB$495&gt;=9)*('CONTROL MASTER'!$AA$2:$AA$495&lt;=3)*('CONTROL MASTER'!$AC$2:$AC$495&gt;=3))*ROW('CONTROL MASTER'!$S$2:$S$495))-(ROW('CONTROL MASTER'!#REF!)-1))),":",","),",",REPT(" ",50)),(((INDEX('CONTROL MASTER'!$Y$2:$Y$495,(SUMPRODUCT((('CONTROL MASTER'!$S$2:$S$495=10)*('CONTROL MASTER'!$Z$2:$Z$495&lt;=9)*('CONTROL MASTER'!$AB$2:$AB$495&gt;=9)*('CONTROL MASTER'!$AA$2:$AA$495&lt;=3)*('CONTROL MASTER'!$AC$2:$AC$495&gt;=3))*ROW('CONTROL MASTER'!$S$2:$S$495))-(ROW('CONTROL MASTER'!#REF!)-1)))+((9-INDEX('CONTROL MASTER'!$Z$2:$Z$495,(SUMPRODUCT((('CONTROL MASTER'!$S$2:$S$495=10)*('CONTROL MASTER'!$Z$2:$Z$495&lt;=9)*('CONTROL MASTER'!$AB$2:$AB$495&gt;=9)*('CONTROL MASTER'!$AA$2:$AA$495&lt;=3)*('CONTROL MASTER'!$AC$2:$AC$495&gt;=3))*ROW('CONTROL MASTER'!$S$2:$S$495))-(ROW('CONTROL MASTER'!#REF!)-1))))*(INDEX('CONTROL MASTER'!$AC$2:$AC$495,(SUMPRODUCT((('CONTROL MASTER'!$S$2:$S$495=10)*('CONTROL MASTER'!$Z$2:$Z$495&lt;=9)*('CONTROL MASTER'!$AB$2:$AB$495&gt;=9)*('CONTROL MASTER'!$AA$2:$AA$495&lt;=3)*('CONTROL MASTER'!$AC$2:$AC$495&gt;=3))*ROW('CONTROL MASTER'!$S$2:$S$495))-(ROW('CONTROL MASTER'!#REF!)-1)))-INDEX('CONTROL MASTER'!$AA$2:$AA$495,(SUMPRODUCT((('CONTROL MASTER'!$S$2:$S$495=10)*('CONTROL MASTER'!$Z$2:$Z$495&lt;=9)*('CONTROL MASTER'!$AB$2:$AB$495&gt;=9)*('CONTROL MASTER'!$AA$2:$AA$495&lt;=3)*('CONTROL MASTER'!$AC$2:$AC$495&gt;=3))*ROW('CONTROL MASTER'!$S$2:$S$495))-(ROW('CONTROL MASTER'!#REF!)-1)))+1)+(3-INDEX('CONTROL MASTER'!$AA$2:$AA$495,(SUMPRODUCT((('CONTROL MASTER'!$S$2:$S$495=10)*('CONTROL MASTER'!$Z$2:$Z$495&lt;=9)*('CONTROL MASTER'!$AB$2:$AB$495&gt;=9)*('CONTROL MASTER'!$AA$2:$AA$495&lt;=3)*('CONTROL MASTER'!$AC$2:$AC$495&gt;=3))*ROW('CONTROL MASTER'!$S$2:$S$495))-(ROW('CONTROL MASTER'!#REF!)-1))))+1)))-1)*50+1,50))&amp;"_"&amp;INDEX('CONTROL MASTER'!$P$2:$P$495,(SUMPRODUCT((('CONTROL MASTER'!$S$2:$S$495=10)*('CONTROL MASTER'!$Z$2:$Z$495&lt;=9)*('CONTROL MASTER'!$AB$2:$AB$495&gt;=9)*('CONTROL MASTER'!$AA$2:$AA$495&lt;=3)*('CONTROL MASTER'!$AC$2:$AC$495&gt;=3))*ROW('CONTROL MASTER'!$S$2:$S$495))-(ROW('CONTROL MASTER'!#REF!)-1))),"")),"")</f>
        <v/>
      </c>
      <c r="E137" s="10" t="str">
        <f>IFERROR(IF(SUMPRODUCT((('CONTROL MASTER'!$S$2:$S$495=10)*('CONTROL MASTER'!$T$2:$T$495&lt;=9)*('CONTROL MASTER'!$V$2:$V$495&gt;=9)*('CONTROL MASTER'!$U$2:$U$495&lt;=4)*('CONTROL MASTER'!$W$2:$W$495&gt;=4))*ROW('CONTROL MASTER'!$S$2:$S$495))&gt;0,INDEX('CONTROL MASTER'!$X$2:$X$495,(SUMPRODUCT((('CONTROL MASTER'!$S$2:$S$495=10)*('CONTROL MASTER'!$T$2:$T$495&lt;=9)*('CONTROL MASTER'!$V$2:$V$495&gt;=9)*('CONTROL MASTER'!$U$2:$U$495&lt;=4)*('CONTROL MASTER'!$W$2:$W$495&gt;=4))*ROW('CONTROL MASTER'!$S$2:$S$495))-(ROW('CONTROL MASTER'!#REF!)-1)))&amp;TRIM(MID(SUBSTITUTE(SUBSTITUTE(INDEX('CONTROL MASTER'!$N$2:$N$495,(SUMPRODUCT((('CONTROL MASTER'!$S$2:$S$495=10)*('CONTROL MASTER'!$T$2:$T$495&lt;=9)*('CONTROL MASTER'!$V$2:$V$495&gt;=9)*('CONTROL MASTER'!$U$2:$U$495&lt;=4)*('CONTROL MASTER'!$W$2:$W$495&gt;=4))*ROW('CONTROL MASTER'!$S$2:$S$495))-(ROW('CONTROL MASTER'!#REF!)-1))),":",","),",",REPT(" ",50)),((((9-INDEX('CONTROL MASTER'!$T$2:$T$495,(SUMPRODUCT((('CONTROL MASTER'!$S$2:$S$495=10)*('CONTROL MASTER'!$T$2:$T$495&lt;=9)*('CONTROL MASTER'!$V$2:$V$495&gt;=9)*('CONTROL MASTER'!$U$2:$U$495&lt;=4)*('CONTROL MASTER'!$W$2:$W$495&gt;=4))*ROW('CONTROL MASTER'!$S$2:$S$495))-(ROW('CONTROL MASTER'!#REF!)-1))))*(INDEX('CONTROL MASTER'!$W$2:$W$495,(SUMPRODUCT((('CONTROL MASTER'!$S$2:$S$495=10)*('CONTROL MASTER'!$T$2:$T$495&lt;=9)*('CONTROL MASTER'!$V$2:$V$495&gt;=9)*('CONTROL MASTER'!$U$2:$U$495&lt;=4)*('CONTROL MASTER'!$W$2:$W$495&gt;=4))*ROW('CONTROL MASTER'!$S$2:$S$495))-(ROW('CONTROL MASTER'!#REF!)-1)))-INDEX('CONTROL MASTER'!$U$2:$U$495,(SUMPRODUCT((('CONTROL MASTER'!$S$2:$S$495=10)*('CONTROL MASTER'!$T$2:$T$495&lt;=9)*('CONTROL MASTER'!$V$2:$V$495&gt;=9)*('CONTROL MASTER'!$U$2:$U$495&lt;=4)*('CONTROL MASTER'!$W$2:$W$495&gt;=4))*ROW('CONTROL MASTER'!$S$2:$S$495))-(ROW('CONTROL MASTER'!#REF!)-1)))+1)+(4-INDEX('CONTROL MASTER'!$U$2:$U$495,(SUMPRODUCT((('CONTROL MASTER'!$S$2:$S$495=10)*('CONTROL MASTER'!$T$2:$T$495&lt;=9)*('CONTROL MASTER'!$V$2:$V$495&gt;=9)*('CONTROL MASTER'!$U$2:$U$495&lt;=4)*('CONTROL MASTER'!$W$2:$W$495&gt;=4))*ROW('CONTROL MASTER'!$S$2:$S$495))-(ROW('CONTROL MASTER'!#REF!)-1))))+1))-1)*50+1,50))&amp;"_"&amp;INDEX('CONTROL MASTER'!$P$2:$P$495,(SUMPRODUCT((('CONTROL MASTER'!$S$2:$S$495=10)*('CONTROL MASTER'!$T$2:$T$495&lt;=9)*('CONTROL MASTER'!$V$2:$V$495&gt;=9)*('CONTROL MASTER'!$U$2:$U$495&lt;=4)*('CONTROL MASTER'!$W$2:$W$495&gt;=4))*ROW('CONTROL MASTER'!$S$2:$S$495))-(ROW('CONTROL MASTER'!#REF!)-1))),IF(SUMPRODUCT((('CONTROL MASTER'!$S$2:$S$495=10)*('CONTROL MASTER'!$Z$2:$Z$495&lt;=9)*('CONTROL MASTER'!$AB$2:$AB$495&gt;=9)*('CONTROL MASTER'!$AA$2:$AA$495&lt;=4)*('CONTROL MASTER'!$AC$2:$AC$495&gt;=4))*ROW('CONTROL MASTER'!$S$2:$S$495))&gt;0,INDEX('CONTROL MASTER'!$X$2:$X$495,(SUMPRODUCT((('CONTROL MASTER'!$S$2:$S$495=10)*('CONTROL MASTER'!$Z$2:$Z$495&lt;=9)*('CONTROL MASTER'!$AB$2:$AB$495&gt;=9)*('CONTROL MASTER'!$AA$2:$AA$495&lt;=4)*('CONTROL MASTER'!$AC$2:$AC$495&gt;=4))*ROW('CONTROL MASTER'!$S$2:$S$495))-(ROW('CONTROL MASTER'!#REF!)-1)))&amp;TRIM(MID(SUBSTITUTE(SUBSTITUTE(INDEX('CONTROL MASTER'!$N$2:$N$495,(SUMPRODUCT((('CONTROL MASTER'!$S$2:$S$495=10)*('CONTROL MASTER'!$Z$2:$Z$495&lt;=9)*('CONTROL MASTER'!$AB$2:$AB$495&gt;=9)*('CONTROL MASTER'!$AA$2:$AA$495&lt;=4)*('CONTROL MASTER'!$AC$2:$AC$495&gt;=4))*ROW('CONTROL MASTER'!$S$2:$S$495))-(ROW('CONTROL MASTER'!#REF!)-1))),":",","),",",REPT(" ",50)),(((INDEX('CONTROL MASTER'!$Y$2:$Y$495,(SUMPRODUCT((('CONTROL MASTER'!$S$2:$S$495=10)*('CONTROL MASTER'!$Z$2:$Z$495&lt;=9)*('CONTROL MASTER'!$AB$2:$AB$495&gt;=9)*('CONTROL MASTER'!$AA$2:$AA$495&lt;=4)*('CONTROL MASTER'!$AC$2:$AC$495&gt;=4))*ROW('CONTROL MASTER'!$S$2:$S$495))-(ROW('CONTROL MASTER'!#REF!)-1)))+((9-INDEX('CONTROL MASTER'!$Z$2:$Z$495,(SUMPRODUCT((('CONTROL MASTER'!$S$2:$S$495=10)*('CONTROL MASTER'!$Z$2:$Z$495&lt;=9)*('CONTROL MASTER'!$AB$2:$AB$495&gt;=9)*('CONTROL MASTER'!$AA$2:$AA$495&lt;=4)*('CONTROL MASTER'!$AC$2:$AC$495&gt;=4))*ROW('CONTROL MASTER'!$S$2:$S$495))-(ROW('CONTROL MASTER'!#REF!)-1))))*(INDEX('CONTROL MASTER'!$AC$2:$AC$495,(SUMPRODUCT((('CONTROL MASTER'!$S$2:$S$495=10)*('CONTROL MASTER'!$Z$2:$Z$495&lt;=9)*('CONTROL MASTER'!$AB$2:$AB$495&gt;=9)*('CONTROL MASTER'!$AA$2:$AA$495&lt;=4)*('CONTROL MASTER'!$AC$2:$AC$495&gt;=4))*ROW('CONTROL MASTER'!$S$2:$S$495))-(ROW('CONTROL MASTER'!#REF!)-1)))-INDEX('CONTROL MASTER'!$AA$2:$AA$495,(SUMPRODUCT((('CONTROL MASTER'!$S$2:$S$495=10)*('CONTROL MASTER'!$Z$2:$Z$495&lt;=9)*('CONTROL MASTER'!$AB$2:$AB$495&gt;=9)*('CONTROL MASTER'!$AA$2:$AA$495&lt;=4)*('CONTROL MASTER'!$AC$2:$AC$495&gt;=4))*ROW('CONTROL MASTER'!$S$2:$S$495))-(ROW('CONTROL MASTER'!#REF!)-1)))+1)+(4-INDEX('CONTROL MASTER'!$AA$2:$AA$495,(SUMPRODUCT((('CONTROL MASTER'!$S$2:$S$495=10)*('CONTROL MASTER'!$Z$2:$Z$495&lt;=9)*('CONTROL MASTER'!$AB$2:$AB$495&gt;=9)*('CONTROL MASTER'!$AA$2:$AA$495&lt;=4)*('CONTROL MASTER'!$AC$2:$AC$495&gt;=4))*ROW('CONTROL MASTER'!$S$2:$S$495))-(ROW('CONTROL MASTER'!#REF!)-1))))+1)))-1)*50+1,50))&amp;"_"&amp;INDEX('CONTROL MASTER'!$P$2:$P$495,(SUMPRODUCT((('CONTROL MASTER'!$S$2:$S$495=10)*('CONTROL MASTER'!$Z$2:$Z$495&lt;=9)*('CONTROL MASTER'!$AB$2:$AB$495&gt;=9)*('CONTROL MASTER'!$AA$2:$AA$495&lt;=4)*('CONTROL MASTER'!$AC$2:$AC$495&gt;=4))*ROW('CONTROL MASTER'!$S$2:$S$495))-(ROW('CONTROL MASTER'!#REF!)-1))),"")),"")</f>
        <v/>
      </c>
      <c r="F137" s="10" t="str">
        <f>IFERROR(IF(SUMPRODUCT((('CONTROL MASTER'!$S$2:$S$495=10)*('CONTROL MASTER'!$T$2:$T$495&lt;=9)*('CONTROL MASTER'!$V$2:$V$495&gt;=9)*('CONTROL MASTER'!$U$2:$U$495&lt;=5)*('CONTROL MASTER'!$W$2:$W$495&gt;=5))*ROW('CONTROL MASTER'!$S$2:$S$495))&gt;0,INDEX('CONTROL MASTER'!$X$2:$X$495,(SUMPRODUCT((('CONTROL MASTER'!$S$2:$S$495=10)*('CONTROL MASTER'!$T$2:$T$495&lt;=9)*('CONTROL MASTER'!$V$2:$V$495&gt;=9)*('CONTROL MASTER'!$U$2:$U$495&lt;=5)*('CONTROL MASTER'!$W$2:$W$495&gt;=5))*ROW('CONTROL MASTER'!$S$2:$S$495))-(ROW('CONTROL MASTER'!#REF!)-1)))&amp;TRIM(MID(SUBSTITUTE(SUBSTITUTE(INDEX('CONTROL MASTER'!$N$2:$N$495,(SUMPRODUCT((('CONTROL MASTER'!$S$2:$S$495=10)*('CONTROL MASTER'!$T$2:$T$495&lt;=9)*('CONTROL MASTER'!$V$2:$V$495&gt;=9)*('CONTROL MASTER'!$U$2:$U$495&lt;=5)*('CONTROL MASTER'!$W$2:$W$495&gt;=5))*ROW('CONTROL MASTER'!$S$2:$S$495))-(ROW('CONTROL MASTER'!#REF!)-1))),":",","),",",REPT(" ",50)),((((9-INDEX('CONTROL MASTER'!$T$2:$T$495,(SUMPRODUCT((('CONTROL MASTER'!$S$2:$S$495=10)*('CONTROL MASTER'!$T$2:$T$495&lt;=9)*('CONTROL MASTER'!$V$2:$V$495&gt;=9)*('CONTROL MASTER'!$U$2:$U$495&lt;=5)*('CONTROL MASTER'!$W$2:$W$495&gt;=5))*ROW('CONTROL MASTER'!$S$2:$S$495))-(ROW('CONTROL MASTER'!#REF!)-1))))*(INDEX('CONTROL MASTER'!$W$2:$W$495,(SUMPRODUCT((('CONTROL MASTER'!$S$2:$S$495=10)*('CONTROL MASTER'!$T$2:$T$495&lt;=9)*('CONTROL MASTER'!$V$2:$V$495&gt;=9)*('CONTROL MASTER'!$U$2:$U$495&lt;=5)*('CONTROL MASTER'!$W$2:$W$495&gt;=5))*ROW('CONTROL MASTER'!$S$2:$S$495))-(ROW('CONTROL MASTER'!#REF!)-1)))-INDEX('CONTROL MASTER'!$U$2:$U$495,(SUMPRODUCT((('CONTROL MASTER'!$S$2:$S$495=10)*('CONTROL MASTER'!$T$2:$T$495&lt;=9)*('CONTROL MASTER'!$V$2:$V$495&gt;=9)*('CONTROL MASTER'!$U$2:$U$495&lt;=5)*('CONTROL MASTER'!$W$2:$W$495&gt;=5))*ROW('CONTROL MASTER'!$S$2:$S$495))-(ROW('CONTROL MASTER'!#REF!)-1)))+1)+(5-INDEX('CONTROL MASTER'!$U$2:$U$495,(SUMPRODUCT((('CONTROL MASTER'!$S$2:$S$495=10)*('CONTROL MASTER'!$T$2:$T$495&lt;=9)*('CONTROL MASTER'!$V$2:$V$495&gt;=9)*('CONTROL MASTER'!$U$2:$U$495&lt;=5)*('CONTROL MASTER'!$W$2:$W$495&gt;=5))*ROW('CONTROL MASTER'!$S$2:$S$495))-(ROW('CONTROL MASTER'!#REF!)-1))))+1))-1)*50+1,50))&amp;"_"&amp;INDEX('CONTROL MASTER'!$P$2:$P$495,(SUMPRODUCT((('CONTROL MASTER'!$S$2:$S$495=10)*('CONTROL MASTER'!$T$2:$T$495&lt;=9)*('CONTROL MASTER'!$V$2:$V$495&gt;=9)*('CONTROL MASTER'!$U$2:$U$495&lt;=5)*('CONTROL MASTER'!$W$2:$W$495&gt;=5))*ROW('CONTROL MASTER'!$S$2:$S$495))-(ROW('CONTROL MASTER'!#REF!)-1))),IF(SUMPRODUCT((('CONTROL MASTER'!$S$2:$S$495=10)*('CONTROL MASTER'!$Z$2:$Z$495&lt;=9)*('CONTROL MASTER'!$AB$2:$AB$495&gt;=9)*('CONTROL MASTER'!$AA$2:$AA$495&lt;=5)*('CONTROL MASTER'!$AC$2:$AC$495&gt;=5))*ROW('CONTROL MASTER'!$S$2:$S$495))&gt;0,INDEX('CONTROL MASTER'!$X$2:$X$495,(SUMPRODUCT((('CONTROL MASTER'!$S$2:$S$495=10)*('CONTROL MASTER'!$Z$2:$Z$495&lt;=9)*('CONTROL MASTER'!$AB$2:$AB$495&gt;=9)*('CONTROL MASTER'!$AA$2:$AA$495&lt;=5)*('CONTROL MASTER'!$AC$2:$AC$495&gt;=5))*ROW('CONTROL MASTER'!$S$2:$S$495))-(ROW('CONTROL MASTER'!#REF!)-1)))&amp;TRIM(MID(SUBSTITUTE(SUBSTITUTE(INDEX('CONTROL MASTER'!$N$2:$N$495,(SUMPRODUCT((('CONTROL MASTER'!$S$2:$S$495=10)*('CONTROL MASTER'!$Z$2:$Z$495&lt;=9)*('CONTROL MASTER'!$AB$2:$AB$495&gt;=9)*('CONTROL MASTER'!$AA$2:$AA$495&lt;=5)*('CONTROL MASTER'!$AC$2:$AC$495&gt;=5))*ROW('CONTROL MASTER'!$S$2:$S$495))-(ROW('CONTROL MASTER'!#REF!)-1))),":",","),",",REPT(" ",50)),(((INDEX('CONTROL MASTER'!$Y$2:$Y$495,(SUMPRODUCT((('CONTROL MASTER'!$S$2:$S$495=10)*('CONTROL MASTER'!$Z$2:$Z$495&lt;=9)*('CONTROL MASTER'!$AB$2:$AB$495&gt;=9)*('CONTROL MASTER'!$AA$2:$AA$495&lt;=5)*('CONTROL MASTER'!$AC$2:$AC$495&gt;=5))*ROW('CONTROL MASTER'!$S$2:$S$495))-(ROW('CONTROL MASTER'!#REF!)-1)))+((9-INDEX('CONTROL MASTER'!$Z$2:$Z$495,(SUMPRODUCT((('CONTROL MASTER'!$S$2:$S$495=10)*('CONTROL MASTER'!$Z$2:$Z$495&lt;=9)*('CONTROL MASTER'!$AB$2:$AB$495&gt;=9)*('CONTROL MASTER'!$AA$2:$AA$495&lt;=5)*('CONTROL MASTER'!$AC$2:$AC$495&gt;=5))*ROW('CONTROL MASTER'!$S$2:$S$495))-(ROW('CONTROL MASTER'!#REF!)-1))))*(INDEX('CONTROL MASTER'!$AC$2:$AC$495,(SUMPRODUCT((('CONTROL MASTER'!$S$2:$S$495=10)*('CONTROL MASTER'!$Z$2:$Z$495&lt;=9)*('CONTROL MASTER'!$AB$2:$AB$495&gt;=9)*('CONTROL MASTER'!$AA$2:$AA$495&lt;=5)*('CONTROL MASTER'!$AC$2:$AC$495&gt;=5))*ROW('CONTROL MASTER'!$S$2:$S$495))-(ROW('CONTROL MASTER'!#REF!)-1)))-INDEX('CONTROL MASTER'!$AA$2:$AA$495,(SUMPRODUCT((('CONTROL MASTER'!$S$2:$S$495=10)*('CONTROL MASTER'!$Z$2:$Z$495&lt;=9)*('CONTROL MASTER'!$AB$2:$AB$495&gt;=9)*('CONTROL MASTER'!$AA$2:$AA$495&lt;=5)*('CONTROL MASTER'!$AC$2:$AC$495&gt;=5))*ROW('CONTROL MASTER'!$S$2:$S$495))-(ROW('CONTROL MASTER'!#REF!)-1)))+1)+(5-INDEX('CONTROL MASTER'!$AA$2:$AA$495,(SUMPRODUCT((('CONTROL MASTER'!$S$2:$S$495=10)*('CONTROL MASTER'!$Z$2:$Z$495&lt;=9)*('CONTROL MASTER'!$AB$2:$AB$495&gt;=9)*('CONTROL MASTER'!$AA$2:$AA$495&lt;=5)*('CONTROL MASTER'!$AC$2:$AC$495&gt;=5))*ROW('CONTROL MASTER'!$S$2:$S$495))-(ROW('CONTROL MASTER'!#REF!)-1))))+1)))-1)*50+1,50))&amp;"_"&amp;INDEX('CONTROL MASTER'!$P$2:$P$495,(SUMPRODUCT((('CONTROL MASTER'!$S$2:$S$495=10)*('CONTROL MASTER'!$Z$2:$Z$495&lt;=9)*('CONTROL MASTER'!$AB$2:$AB$495&gt;=9)*('CONTROL MASTER'!$AA$2:$AA$495&lt;=5)*('CONTROL MASTER'!$AC$2:$AC$495&gt;=5))*ROW('CONTROL MASTER'!$S$2:$S$495))-(ROW('CONTROL MASTER'!#REF!)-1))),"")),"")</f>
        <v/>
      </c>
      <c r="G137" s="10" t="str">
        <f>IFERROR(IF(SUMPRODUCT((('CONTROL MASTER'!$S$2:$S$495=10)*('CONTROL MASTER'!$T$2:$T$495&lt;=9)*('CONTROL MASTER'!$V$2:$V$495&gt;=9)*('CONTROL MASTER'!$U$2:$U$495&lt;=6)*('CONTROL MASTER'!$W$2:$W$495&gt;=6))*ROW('CONTROL MASTER'!$S$2:$S$495))&gt;0,INDEX('CONTROL MASTER'!$X$2:$X$495,(SUMPRODUCT((('CONTROL MASTER'!$S$2:$S$495=10)*('CONTROL MASTER'!$T$2:$T$495&lt;=9)*('CONTROL MASTER'!$V$2:$V$495&gt;=9)*('CONTROL MASTER'!$U$2:$U$495&lt;=6)*('CONTROL MASTER'!$W$2:$W$495&gt;=6))*ROW('CONTROL MASTER'!$S$2:$S$495))-(ROW('CONTROL MASTER'!#REF!)-1)))&amp;TRIM(MID(SUBSTITUTE(SUBSTITUTE(INDEX('CONTROL MASTER'!$N$2:$N$495,(SUMPRODUCT((('CONTROL MASTER'!$S$2:$S$495=10)*('CONTROL MASTER'!$T$2:$T$495&lt;=9)*('CONTROL MASTER'!$V$2:$V$495&gt;=9)*('CONTROL MASTER'!$U$2:$U$495&lt;=6)*('CONTROL MASTER'!$W$2:$W$495&gt;=6))*ROW('CONTROL MASTER'!$S$2:$S$495))-(ROW('CONTROL MASTER'!#REF!)-1))),":",","),",",REPT(" ",50)),((((9-INDEX('CONTROL MASTER'!$T$2:$T$495,(SUMPRODUCT((('CONTROL MASTER'!$S$2:$S$495=10)*('CONTROL MASTER'!$T$2:$T$495&lt;=9)*('CONTROL MASTER'!$V$2:$V$495&gt;=9)*('CONTROL MASTER'!$U$2:$U$495&lt;=6)*('CONTROL MASTER'!$W$2:$W$495&gt;=6))*ROW('CONTROL MASTER'!$S$2:$S$495))-(ROW('CONTROL MASTER'!#REF!)-1))))*(INDEX('CONTROL MASTER'!$W$2:$W$495,(SUMPRODUCT((('CONTROL MASTER'!$S$2:$S$495=10)*('CONTROL MASTER'!$T$2:$T$495&lt;=9)*('CONTROL MASTER'!$V$2:$V$495&gt;=9)*('CONTROL MASTER'!$U$2:$U$495&lt;=6)*('CONTROL MASTER'!$W$2:$W$495&gt;=6))*ROW('CONTROL MASTER'!$S$2:$S$495))-(ROW('CONTROL MASTER'!#REF!)-1)))-INDEX('CONTROL MASTER'!$U$2:$U$495,(SUMPRODUCT((('CONTROL MASTER'!$S$2:$S$495=10)*('CONTROL MASTER'!$T$2:$T$495&lt;=9)*('CONTROL MASTER'!$V$2:$V$495&gt;=9)*('CONTROL MASTER'!$U$2:$U$495&lt;=6)*('CONTROL MASTER'!$W$2:$W$495&gt;=6))*ROW('CONTROL MASTER'!$S$2:$S$495))-(ROW('CONTROL MASTER'!#REF!)-1)))+1)+(6-INDEX('CONTROL MASTER'!$U$2:$U$495,(SUMPRODUCT((('CONTROL MASTER'!$S$2:$S$495=10)*('CONTROL MASTER'!$T$2:$T$495&lt;=9)*('CONTROL MASTER'!$V$2:$V$495&gt;=9)*('CONTROL MASTER'!$U$2:$U$495&lt;=6)*('CONTROL MASTER'!$W$2:$W$495&gt;=6))*ROW('CONTROL MASTER'!$S$2:$S$495))-(ROW('CONTROL MASTER'!#REF!)-1))))+1))-1)*50+1,50))&amp;"_"&amp;INDEX('CONTROL MASTER'!$P$2:$P$495,(SUMPRODUCT((('CONTROL MASTER'!$S$2:$S$495=10)*('CONTROL MASTER'!$T$2:$T$495&lt;=9)*('CONTROL MASTER'!$V$2:$V$495&gt;=9)*('CONTROL MASTER'!$U$2:$U$495&lt;=6)*('CONTROL MASTER'!$W$2:$W$495&gt;=6))*ROW('CONTROL MASTER'!$S$2:$S$495))-(ROW('CONTROL MASTER'!#REF!)-1))),IF(SUMPRODUCT((('CONTROL MASTER'!$S$2:$S$495=10)*('CONTROL MASTER'!$Z$2:$Z$495&lt;=9)*('CONTROL MASTER'!$AB$2:$AB$495&gt;=9)*('CONTROL MASTER'!$AA$2:$AA$495&lt;=6)*('CONTROL MASTER'!$AC$2:$AC$495&gt;=6))*ROW('CONTROL MASTER'!$S$2:$S$495))&gt;0,INDEX('CONTROL MASTER'!$X$2:$X$495,(SUMPRODUCT((('CONTROL MASTER'!$S$2:$S$495=10)*('CONTROL MASTER'!$Z$2:$Z$495&lt;=9)*('CONTROL MASTER'!$AB$2:$AB$495&gt;=9)*('CONTROL MASTER'!$AA$2:$AA$495&lt;=6)*('CONTROL MASTER'!$AC$2:$AC$495&gt;=6))*ROW('CONTROL MASTER'!$S$2:$S$495))-(ROW('CONTROL MASTER'!#REF!)-1)))&amp;TRIM(MID(SUBSTITUTE(SUBSTITUTE(INDEX('CONTROL MASTER'!$N$2:$N$495,(SUMPRODUCT((('CONTROL MASTER'!$S$2:$S$495=10)*('CONTROL MASTER'!$Z$2:$Z$495&lt;=9)*('CONTROL MASTER'!$AB$2:$AB$495&gt;=9)*('CONTROL MASTER'!$AA$2:$AA$495&lt;=6)*('CONTROL MASTER'!$AC$2:$AC$495&gt;=6))*ROW('CONTROL MASTER'!$S$2:$S$495))-(ROW('CONTROL MASTER'!#REF!)-1))),":",","),",",REPT(" ",50)),(((INDEX('CONTROL MASTER'!$Y$2:$Y$495,(SUMPRODUCT((('CONTROL MASTER'!$S$2:$S$495=10)*('CONTROL MASTER'!$Z$2:$Z$495&lt;=9)*('CONTROL MASTER'!$AB$2:$AB$495&gt;=9)*('CONTROL MASTER'!$AA$2:$AA$495&lt;=6)*('CONTROL MASTER'!$AC$2:$AC$495&gt;=6))*ROW('CONTROL MASTER'!$S$2:$S$495))-(ROW('CONTROL MASTER'!#REF!)-1)))+((9-INDEX('CONTROL MASTER'!$Z$2:$Z$495,(SUMPRODUCT((('CONTROL MASTER'!$S$2:$S$495=10)*('CONTROL MASTER'!$Z$2:$Z$495&lt;=9)*('CONTROL MASTER'!$AB$2:$AB$495&gt;=9)*('CONTROL MASTER'!$AA$2:$AA$495&lt;=6)*('CONTROL MASTER'!$AC$2:$AC$495&gt;=6))*ROW('CONTROL MASTER'!$S$2:$S$495))-(ROW('CONTROL MASTER'!#REF!)-1))))*(INDEX('CONTROL MASTER'!$AC$2:$AC$495,(SUMPRODUCT((('CONTROL MASTER'!$S$2:$S$495=10)*('CONTROL MASTER'!$Z$2:$Z$495&lt;=9)*('CONTROL MASTER'!$AB$2:$AB$495&gt;=9)*('CONTROL MASTER'!$AA$2:$AA$495&lt;=6)*('CONTROL MASTER'!$AC$2:$AC$495&gt;=6))*ROW('CONTROL MASTER'!$S$2:$S$495))-(ROW('CONTROL MASTER'!#REF!)-1)))-INDEX('CONTROL MASTER'!$AA$2:$AA$495,(SUMPRODUCT((('CONTROL MASTER'!$S$2:$S$495=10)*('CONTROL MASTER'!$Z$2:$Z$495&lt;=9)*('CONTROL MASTER'!$AB$2:$AB$495&gt;=9)*('CONTROL MASTER'!$AA$2:$AA$495&lt;=6)*('CONTROL MASTER'!$AC$2:$AC$495&gt;=6))*ROW('CONTROL MASTER'!$S$2:$S$495))-(ROW('CONTROL MASTER'!#REF!)-1)))+1)+(6-INDEX('CONTROL MASTER'!$AA$2:$AA$495,(SUMPRODUCT((('CONTROL MASTER'!$S$2:$S$495=10)*('CONTROL MASTER'!$Z$2:$Z$495&lt;=9)*('CONTROL MASTER'!$AB$2:$AB$495&gt;=9)*('CONTROL MASTER'!$AA$2:$AA$495&lt;=6)*('CONTROL MASTER'!$AC$2:$AC$495&gt;=6))*ROW('CONTROL MASTER'!$S$2:$S$495))-(ROW('CONTROL MASTER'!#REF!)-1))))+1)))-1)*50+1,50))&amp;"_"&amp;INDEX('CONTROL MASTER'!$P$2:$P$495,(SUMPRODUCT((('CONTROL MASTER'!$S$2:$S$495=10)*('CONTROL MASTER'!$Z$2:$Z$495&lt;=9)*('CONTROL MASTER'!$AB$2:$AB$495&gt;=9)*('CONTROL MASTER'!$AA$2:$AA$495&lt;=6)*('CONTROL MASTER'!$AC$2:$AC$495&gt;=6))*ROW('CONTROL MASTER'!$S$2:$S$495))-(ROW('CONTROL MASTER'!#REF!)-1))),"")),"")</f>
        <v/>
      </c>
      <c r="H137" s="10" t="str">
        <f>IFERROR(IF(SUMPRODUCT((('CONTROL MASTER'!$S$2:$S$495=10)*('CONTROL MASTER'!$T$2:$T$495&lt;=9)*('CONTROL MASTER'!$V$2:$V$495&gt;=9)*('CONTROL MASTER'!$U$2:$U$495&lt;=7)*('CONTROL MASTER'!$W$2:$W$495&gt;=7))*ROW('CONTROL MASTER'!$S$2:$S$495))&gt;0,INDEX('CONTROL MASTER'!$X$2:$X$495,(SUMPRODUCT((('CONTROL MASTER'!$S$2:$S$495=10)*('CONTROL MASTER'!$T$2:$T$495&lt;=9)*('CONTROL MASTER'!$V$2:$V$495&gt;=9)*('CONTROL MASTER'!$U$2:$U$495&lt;=7)*('CONTROL MASTER'!$W$2:$W$495&gt;=7))*ROW('CONTROL MASTER'!$S$2:$S$495))-(ROW('CONTROL MASTER'!#REF!)-1)))&amp;TRIM(MID(SUBSTITUTE(SUBSTITUTE(INDEX('CONTROL MASTER'!$N$2:$N$495,(SUMPRODUCT((('CONTROL MASTER'!$S$2:$S$495=10)*('CONTROL MASTER'!$T$2:$T$495&lt;=9)*('CONTROL MASTER'!$V$2:$V$495&gt;=9)*('CONTROL MASTER'!$U$2:$U$495&lt;=7)*('CONTROL MASTER'!$W$2:$W$495&gt;=7))*ROW('CONTROL MASTER'!$S$2:$S$495))-(ROW('CONTROL MASTER'!#REF!)-1))),":",","),",",REPT(" ",50)),((((9-INDEX('CONTROL MASTER'!$T$2:$T$495,(SUMPRODUCT((('CONTROL MASTER'!$S$2:$S$495=10)*('CONTROL MASTER'!$T$2:$T$495&lt;=9)*('CONTROL MASTER'!$V$2:$V$495&gt;=9)*('CONTROL MASTER'!$U$2:$U$495&lt;=7)*('CONTROL MASTER'!$W$2:$W$495&gt;=7))*ROW('CONTROL MASTER'!$S$2:$S$495))-(ROW('CONTROL MASTER'!#REF!)-1))))*(INDEX('CONTROL MASTER'!$W$2:$W$495,(SUMPRODUCT((('CONTROL MASTER'!$S$2:$S$495=10)*('CONTROL MASTER'!$T$2:$T$495&lt;=9)*('CONTROL MASTER'!$V$2:$V$495&gt;=9)*('CONTROL MASTER'!$U$2:$U$495&lt;=7)*('CONTROL MASTER'!$W$2:$W$495&gt;=7))*ROW('CONTROL MASTER'!$S$2:$S$495))-(ROW('CONTROL MASTER'!#REF!)-1)))-INDEX('CONTROL MASTER'!$U$2:$U$495,(SUMPRODUCT((('CONTROL MASTER'!$S$2:$S$495=10)*('CONTROL MASTER'!$T$2:$T$495&lt;=9)*('CONTROL MASTER'!$V$2:$V$495&gt;=9)*('CONTROL MASTER'!$U$2:$U$495&lt;=7)*('CONTROL MASTER'!$W$2:$W$495&gt;=7))*ROW('CONTROL MASTER'!$S$2:$S$495))-(ROW('CONTROL MASTER'!#REF!)-1)))+1)+(7-INDEX('CONTROL MASTER'!$U$2:$U$495,(SUMPRODUCT((('CONTROL MASTER'!$S$2:$S$495=10)*('CONTROL MASTER'!$T$2:$T$495&lt;=9)*('CONTROL MASTER'!$V$2:$V$495&gt;=9)*('CONTROL MASTER'!$U$2:$U$495&lt;=7)*('CONTROL MASTER'!$W$2:$W$495&gt;=7))*ROW('CONTROL MASTER'!$S$2:$S$495))-(ROW('CONTROL MASTER'!#REF!)-1))))+1))-1)*50+1,50))&amp;"_"&amp;INDEX('CONTROL MASTER'!$P$2:$P$495,(SUMPRODUCT((('CONTROL MASTER'!$S$2:$S$495=10)*('CONTROL MASTER'!$T$2:$T$495&lt;=9)*('CONTROL MASTER'!$V$2:$V$495&gt;=9)*('CONTROL MASTER'!$U$2:$U$495&lt;=7)*('CONTROL MASTER'!$W$2:$W$495&gt;=7))*ROW('CONTROL MASTER'!$S$2:$S$495))-(ROW('CONTROL MASTER'!#REF!)-1))),IF(SUMPRODUCT((('CONTROL MASTER'!$S$2:$S$495=10)*('CONTROL MASTER'!$Z$2:$Z$495&lt;=9)*('CONTROL MASTER'!$AB$2:$AB$495&gt;=9)*('CONTROL MASTER'!$AA$2:$AA$495&lt;=7)*('CONTROL MASTER'!$AC$2:$AC$495&gt;=7))*ROW('CONTROL MASTER'!$S$2:$S$495))&gt;0,INDEX('CONTROL MASTER'!$X$2:$X$495,(SUMPRODUCT((('CONTROL MASTER'!$S$2:$S$495=10)*('CONTROL MASTER'!$Z$2:$Z$495&lt;=9)*('CONTROL MASTER'!$AB$2:$AB$495&gt;=9)*('CONTROL MASTER'!$AA$2:$AA$495&lt;=7)*('CONTROL MASTER'!$AC$2:$AC$495&gt;=7))*ROW('CONTROL MASTER'!$S$2:$S$495))-(ROW('CONTROL MASTER'!#REF!)-1)))&amp;TRIM(MID(SUBSTITUTE(SUBSTITUTE(INDEX('CONTROL MASTER'!$N$2:$N$495,(SUMPRODUCT((('CONTROL MASTER'!$S$2:$S$495=10)*('CONTROL MASTER'!$Z$2:$Z$495&lt;=9)*('CONTROL MASTER'!$AB$2:$AB$495&gt;=9)*('CONTROL MASTER'!$AA$2:$AA$495&lt;=7)*('CONTROL MASTER'!$AC$2:$AC$495&gt;=7))*ROW('CONTROL MASTER'!$S$2:$S$495))-(ROW('CONTROL MASTER'!#REF!)-1))),":",","),",",REPT(" ",50)),(((INDEX('CONTROL MASTER'!$Y$2:$Y$495,(SUMPRODUCT((('CONTROL MASTER'!$S$2:$S$495=10)*('CONTROL MASTER'!$Z$2:$Z$495&lt;=9)*('CONTROL MASTER'!$AB$2:$AB$495&gt;=9)*('CONTROL MASTER'!$AA$2:$AA$495&lt;=7)*('CONTROL MASTER'!$AC$2:$AC$495&gt;=7))*ROW('CONTROL MASTER'!$S$2:$S$495))-(ROW('CONTROL MASTER'!#REF!)-1)))+((9-INDEX('CONTROL MASTER'!$Z$2:$Z$495,(SUMPRODUCT((('CONTROL MASTER'!$S$2:$S$495=10)*('CONTROL MASTER'!$Z$2:$Z$495&lt;=9)*('CONTROL MASTER'!$AB$2:$AB$495&gt;=9)*('CONTROL MASTER'!$AA$2:$AA$495&lt;=7)*('CONTROL MASTER'!$AC$2:$AC$495&gt;=7))*ROW('CONTROL MASTER'!$S$2:$S$495))-(ROW('CONTROL MASTER'!#REF!)-1))))*(INDEX('CONTROL MASTER'!$AC$2:$AC$495,(SUMPRODUCT((('CONTROL MASTER'!$S$2:$S$495=10)*('CONTROL MASTER'!$Z$2:$Z$495&lt;=9)*('CONTROL MASTER'!$AB$2:$AB$495&gt;=9)*('CONTROL MASTER'!$AA$2:$AA$495&lt;=7)*('CONTROL MASTER'!$AC$2:$AC$495&gt;=7))*ROW('CONTROL MASTER'!$S$2:$S$495))-(ROW('CONTROL MASTER'!#REF!)-1)))-INDEX('CONTROL MASTER'!$AA$2:$AA$495,(SUMPRODUCT((('CONTROL MASTER'!$S$2:$S$495=10)*('CONTROL MASTER'!$Z$2:$Z$495&lt;=9)*('CONTROL MASTER'!$AB$2:$AB$495&gt;=9)*('CONTROL MASTER'!$AA$2:$AA$495&lt;=7)*('CONTROL MASTER'!$AC$2:$AC$495&gt;=7))*ROW('CONTROL MASTER'!$S$2:$S$495))-(ROW('CONTROL MASTER'!#REF!)-1)))+1)+(7-INDEX('CONTROL MASTER'!$AA$2:$AA$495,(SUMPRODUCT((('CONTROL MASTER'!$S$2:$S$495=10)*('CONTROL MASTER'!$Z$2:$Z$495&lt;=9)*('CONTROL MASTER'!$AB$2:$AB$495&gt;=9)*('CONTROL MASTER'!$AA$2:$AA$495&lt;=7)*('CONTROL MASTER'!$AC$2:$AC$495&gt;=7))*ROW('CONTROL MASTER'!$S$2:$S$495))-(ROW('CONTROL MASTER'!#REF!)-1))))+1)))-1)*50+1,50))&amp;"_"&amp;INDEX('CONTROL MASTER'!$P$2:$P$495,(SUMPRODUCT((('CONTROL MASTER'!$S$2:$S$495=10)*('CONTROL MASTER'!$Z$2:$Z$495&lt;=9)*('CONTROL MASTER'!$AB$2:$AB$495&gt;=9)*('CONTROL MASTER'!$AA$2:$AA$495&lt;=7)*('CONTROL MASTER'!$AC$2:$AC$495&gt;=7))*ROW('CONTROL MASTER'!$S$2:$S$495))-(ROW('CONTROL MASTER'!#REF!)-1))),"")),"")</f>
        <v/>
      </c>
      <c r="I137" s="10" t="str">
        <f>IFERROR(IF(SUMPRODUCT((('CONTROL MASTER'!$S$2:$S$495=10)*('CONTROL MASTER'!$T$2:$T$495&lt;=9)*('CONTROL MASTER'!$V$2:$V$495&gt;=9)*('CONTROL MASTER'!$U$2:$U$495&lt;=8)*('CONTROL MASTER'!$W$2:$W$495&gt;=8))*ROW('CONTROL MASTER'!$S$2:$S$495))&gt;0,INDEX('CONTROL MASTER'!$X$2:$X$495,(SUMPRODUCT((('CONTROL MASTER'!$S$2:$S$495=10)*('CONTROL MASTER'!$T$2:$T$495&lt;=9)*('CONTROL MASTER'!$V$2:$V$495&gt;=9)*('CONTROL MASTER'!$U$2:$U$495&lt;=8)*('CONTROL MASTER'!$W$2:$W$495&gt;=8))*ROW('CONTROL MASTER'!$S$2:$S$495))-(ROW('CONTROL MASTER'!#REF!)-1)))&amp;TRIM(MID(SUBSTITUTE(SUBSTITUTE(INDEX('CONTROL MASTER'!$N$2:$N$495,(SUMPRODUCT((('CONTROL MASTER'!$S$2:$S$495=10)*('CONTROL MASTER'!$T$2:$T$495&lt;=9)*('CONTROL MASTER'!$V$2:$V$495&gt;=9)*('CONTROL MASTER'!$U$2:$U$495&lt;=8)*('CONTROL MASTER'!$W$2:$W$495&gt;=8))*ROW('CONTROL MASTER'!$S$2:$S$495))-(ROW('CONTROL MASTER'!#REF!)-1))),":",","),",",REPT(" ",50)),((((9-INDEX('CONTROL MASTER'!$T$2:$T$495,(SUMPRODUCT((('CONTROL MASTER'!$S$2:$S$495=10)*('CONTROL MASTER'!$T$2:$T$495&lt;=9)*('CONTROL MASTER'!$V$2:$V$495&gt;=9)*('CONTROL MASTER'!$U$2:$U$495&lt;=8)*('CONTROL MASTER'!$W$2:$W$495&gt;=8))*ROW('CONTROL MASTER'!$S$2:$S$495))-(ROW('CONTROL MASTER'!#REF!)-1))))*(INDEX('CONTROL MASTER'!$W$2:$W$495,(SUMPRODUCT((('CONTROL MASTER'!$S$2:$S$495=10)*('CONTROL MASTER'!$T$2:$T$495&lt;=9)*('CONTROL MASTER'!$V$2:$V$495&gt;=9)*('CONTROL MASTER'!$U$2:$U$495&lt;=8)*('CONTROL MASTER'!$W$2:$W$495&gt;=8))*ROW('CONTROL MASTER'!$S$2:$S$495))-(ROW('CONTROL MASTER'!#REF!)-1)))-INDEX('CONTROL MASTER'!$U$2:$U$495,(SUMPRODUCT((('CONTROL MASTER'!$S$2:$S$495=10)*('CONTROL MASTER'!$T$2:$T$495&lt;=9)*('CONTROL MASTER'!$V$2:$V$495&gt;=9)*('CONTROL MASTER'!$U$2:$U$495&lt;=8)*('CONTROL MASTER'!$W$2:$W$495&gt;=8))*ROW('CONTROL MASTER'!$S$2:$S$495))-(ROW('CONTROL MASTER'!#REF!)-1)))+1)+(8-INDEX('CONTROL MASTER'!$U$2:$U$495,(SUMPRODUCT((('CONTROL MASTER'!$S$2:$S$495=10)*('CONTROL MASTER'!$T$2:$T$495&lt;=9)*('CONTROL MASTER'!$V$2:$V$495&gt;=9)*('CONTROL MASTER'!$U$2:$U$495&lt;=8)*('CONTROL MASTER'!$W$2:$W$495&gt;=8))*ROW('CONTROL MASTER'!$S$2:$S$495))-(ROW('CONTROL MASTER'!#REF!)-1))))+1))-1)*50+1,50))&amp;"_"&amp;INDEX('CONTROL MASTER'!$P$2:$P$495,(SUMPRODUCT((('CONTROL MASTER'!$S$2:$S$495=10)*('CONTROL MASTER'!$T$2:$T$495&lt;=9)*('CONTROL MASTER'!$V$2:$V$495&gt;=9)*('CONTROL MASTER'!$U$2:$U$495&lt;=8)*('CONTROL MASTER'!$W$2:$W$495&gt;=8))*ROW('CONTROL MASTER'!$S$2:$S$495))-(ROW('CONTROL MASTER'!#REF!)-1))),IF(SUMPRODUCT((('CONTROL MASTER'!$S$2:$S$495=10)*('CONTROL MASTER'!$Z$2:$Z$495&lt;=9)*('CONTROL MASTER'!$AB$2:$AB$495&gt;=9)*('CONTROL MASTER'!$AA$2:$AA$495&lt;=8)*('CONTROL MASTER'!$AC$2:$AC$495&gt;=8))*ROW('CONTROL MASTER'!$S$2:$S$495))&gt;0,INDEX('CONTROL MASTER'!$X$2:$X$495,(SUMPRODUCT((('CONTROL MASTER'!$S$2:$S$495=10)*('CONTROL MASTER'!$Z$2:$Z$495&lt;=9)*('CONTROL MASTER'!$AB$2:$AB$495&gt;=9)*('CONTROL MASTER'!$AA$2:$AA$495&lt;=8)*('CONTROL MASTER'!$AC$2:$AC$495&gt;=8))*ROW('CONTROL MASTER'!$S$2:$S$495))-(ROW('CONTROL MASTER'!#REF!)-1)))&amp;TRIM(MID(SUBSTITUTE(SUBSTITUTE(INDEX('CONTROL MASTER'!$N$2:$N$495,(SUMPRODUCT((('CONTROL MASTER'!$S$2:$S$495=10)*('CONTROL MASTER'!$Z$2:$Z$495&lt;=9)*('CONTROL MASTER'!$AB$2:$AB$495&gt;=9)*('CONTROL MASTER'!$AA$2:$AA$495&lt;=8)*('CONTROL MASTER'!$AC$2:$AC$495&gt;=8))*ROW('CONTROL MASTER'!$S$2:$S$495))-(ROW('CONTROL MASTER'!#REF!)-1))),":",","),",",REPT(" ",50)),(((INDEX('CONTROL MASTER'!$Y$2:$Y$495,(SUMPRODUCT((('CONTROL MASTER'!$S$2:$S$495=10)*('CONTROL MASTER'!$Z$2:$Z$495&lt;=9)*('CONTROL MASTER'!$AB$2:$AB$495&gt;=9)*('CONTROL MASTER'!$AA$2:$AA$495&lt;=8)*('CONTROL MASTER'!$AC$2:$AC$495&gt;=8))*ROW('CONTROL MASTER'!$S$2:$S$495))-(ROW('CONTROL MASTER'!#REF!)-1)))+((9-INDEX('CONTROL MASTER'!$Z$2:$Z$495,(SUMPRODUCT((('CONTROL MASTER'!$S$2:$S$495=10)*('CONTROL MASTER'!$Z$2:$Z$495&lt;=9)*('CONTROL MASTER'!$AB$2:$AB$495&gt;=9)*('CONTROL MASTER'!$AA$2:$AA$495&lt;=8)*('CONTROL MASTER'!$AC$2:$AC$495&gt;=8))*ROW('CONTROL MASTER'!$S$2:$S$495))-(ROW('CONTROL MASTER'!#REF!)-1))))*(INDEX('CONTROL MASTER'!$AC$2:$AC$495,(SUMPRODUCT((('CONTROL MASTER'!$S$2:$S$495=10)*('CONTROL MASTER'!$Z$2:$Z$495&lt;=9)*('CONTROL MASTER'!$AB$2:$AB$495&gt;=9)*('CONTROL MASTER'!$AA$2:$AA$495&lt;=8)*('CONTROL MASTER'!$AC$2:$AC$495&gt;=8))*ROW('CONTROL MASTER'!$S$2:$S$495))-(ROW('CONTROL MASTER'!#REF!)-1)))-INDEX('CONTROL MASTER'!$AA$2:$AA$495,(SUMPRODUCT((('CONTROL MASTER'!$S$2:$S$495=10)*('CONTROL MASTER'!$Z$2:$Z$495&lt;=9)*('CONTROL MASTER'!$AB$2:$AB$495&gt;=9)*('CONTROL MASTER'!$AA$2:$AA$495&lt;=8)*('CONTROL MASTER'!$AC$2:$AC$495&gt;=8))*ROW('CONTROL MASTER'!$S$2:$S$495))-(ROW('CONTROL MASTER'!#REF!)-1)))+1)+(8-INDEX('CONTROL MASTER'!$AA$2:$AA$495,(SUMPRODUCT((('CONTROL MASTER'!$S$2:$S$495=10)*('CONTROL MASTER'!$Z$2:$Z$495&lt;=9)*('CONTROL MASTER'!$AB$2:$AB$495&gt;=9)*('CONTROL MASTER'!$AA$2:$AA$495&lt;=8)*('CONTROL MASTER'!$AC$2:$AC$495&gt;=8))*ROW('CONTROL MASTER'!$S$2:$S$495))-(ROW('CONTROL MASTER'!#REF!)-1))))+1)))-1)*50+1,50))&amp;"_"&amp;INDEX('CONTROL MASTER'!$P$2:$P$495,(SUMPRODUCT((('CONTROL MASTER'!$S$2:$S$495=10)*('CONTROL MASTER'!$Z$2:$Z$495&lt;=9)*('CONTROL MASTER'!$AB$2:$AB$495&gt;=9)*('CONTROL MASTER'!$AA$2:$AA$495&lt;=8)*('CONTROL MASTER'!$AC$2:$AC$495&gt;=8))*ROW('CONTROL MASTER'!$S$2:$S$495))-(ROW('CONTROL MASTER'!#REF!)-1))),"")),"")</f>
        <v/>
      </c>
      <c r="J137" s="10" t="str">
        <f>IFERROR(IF(SUMPRODUCT((('CONTROL MASTER'!$S$2:$S$495=10)*('CONTROL MASTER'!$T$2:$T$495&lt;=9)*('CONTROL MASTER'!$V$2:$V$495&gt;=9)*('CONTROL MASTER'!$U$2:$U$495&lt;=9)*('CONTROL MASTER'!$W$2:$W$495&gt;=9))*ROW('CONTROL MASTER'!$S$2:$S$495))&gt;0,INDEX('CONTROL MASTER'!$X$2:$X$495,(SUMPRODUCT((('CONTROL MASTER'!$S$2:$S$495=10)*('CONTROL MASTER'!$T$2:$T$495&lt;=9)*('CONTROL MASTER'!$V$2:$V$495&gt;=9)*('CONTROL MASTER'!$U$2:$U$495&lt;=9)*('CONTROL MASTER'!$W$2:$W$495&gt;=9))*ROW('CONTROL MASTER'!$S$2:$S$495))-(ROW('CONTROL MASTER'!#REF!)-1)))&amp;TRIM(MID(SUBSTITUTE(SUBSTITUTE(INDEX('CONTROL MASTER'!$N$2:$N$495,(SUMPRODUCT((('CONTROL MASTER'!$S$2:$S$495=10)*('CONTROL MASTER'!$T$2:$T$495&lt;=9)*('CONTROL MASTER'!$V$2:$V$495&gt;=9)*('CONTROL MASTER'!$U$2:$U$495&lt;=9)*('CONTROL MASTER'!$W$2:$W$495&gt;=9))*ROW('CONTROL MASTER'!$S$2:$S$495))-(ROW('CONTROL MASTER'!#REF!)-1))),":",","),",",REPT(" ",50)),((((9-INDEX('CONTROL MASTER'!$T$2:$T$495,(SUMPRODUCT((('CONTROL MASTER'!$S$2:$S$495=10)*('CONTROL MASTER'!$T$2:$T$495&lt;=9)*('CONTROL MASTER'!$V$2:$V$495&gt;=9)*('CONTROL MASTER'!$U$2:$U$495&lt;=9)*('CONTROL MASTER'!$W$2:$W$495&gt;=9))*ROW('CONTROL MASTER'!$S$2:$S$495))-(ROW('CONTROL MASTER'!#REF!)-1))))*(INDEX('CONTROL MASTER'!$W$2:$W$495,(SUMPRODUCT((('CONTROL MASTER'!$S$2:$S$495=10)*('CONTROL MASTER'!$T$2:$T$495&lt;=9)*('CONTROL MASTER'!$V$2:$V$495&gt;=9)*('CONTROL MASTER'!$U$2:$U$495&lt;=9)*('CONTROL MASTER'!$W$2:$W$495&gt;=9))*ROW('CONTROL MASTER'!$S$2:$S$495))-(ROW('CONTROL MASTER'!#REF!)-1)))-INDEX('CONTROL MASTER'!$U$2:$U$495,(SUMPRODUCT((('CONTROL MASTER'!$S$2:$S$495=10)*('CONTROL MASTER'!$T$2:$T$495&lt;=9)*('CONTROL MASTER'!$V$2:$V$495&gt;=9)*('CONTROL MASTER'!$U$2:$U$495&lt;=9)*('CONTROL MASTER'!$W$2:$W$495&gt;=9))*ROW('CONTROL MASTER'!$S$2:$S$495))-(ROW('CONTROL MASTER'!#REF!)-1)))+1)+(9-INDEX('CONTROL MASTER'!$U$2:$U$495,(SUMPRODUCT((('CONTROL MASTER'!$S$2:$S$495=10)*('CONTROL MASTER'!$T$2:$T$495&lt;=9)*('CONTROL MASTER'!$V$2:$V$495&gt;=9)*('CONTROL MASTER'!$U$2:$U$495&lt;=9)*('CONTROL MASTER'!$W$2:$W$495&gt;=9))*ROW('CONTROL MASTER'!$S$2:$S$495))-(ROW('CONTROL MASTER'!#REF!)-1))))+1))-1)*50+1,50))&amp;"_"&amp;INDEX('CONTROL MASTER'!$P$2:$P$495,(SUMPRODUCT((('CONTROL MASTER'!$S$2:$S$495=10)*('CONTROL MASTER'!$T$2:$T$495&lt;=9)*('CONTROL MASTER'!$V$2:$V$495&gt;=9)*('CONTROL MASTER'!$U$2:$U$495&lt;=9)*('CONTROL MASTER'!$W$2:$W$495&gt;=9))*ROW('CONTROL MASTER'!$S$2:$S$495))-(ROW('CONTROL MASTER'!#REF!)-1))),IF(SUMPRODUCT((('CONTROL MASTER'!$S$2:$S$495=10)*('CONTROL MASTER'!$Z$2:$Z$495&lt;=9)*('CONTROL MASTER'!$AB$2:$AB$495&gt;=9)*('CONTROL MASTER'!$AA$2:$AA$495&lt;=9)*('CONTROL MASTER'!$AC$2:$AC$495&gt;=9))*ROW('CONTROL MASTER'!$S$2:$S$495))&gt;0,INDEX('CONTROL MASTER'!$X$2:$X$495,(SUMPRODUCT((('CONTROL MASTER'!$S$2:$S$495=10)*('CONTROL MASTER'!$Z$2:$Z$495&lt;=9)*('CONTROL MASTER'!$AB$2:$AB$495&gt;=9)*('CONTROL MASTER'!$AA$2:$AA$495&lt;=9)*('CONTROL MASTER'!$AC$2:$AC$495&gt;=9))*ROW('CONTROL MASTER'!$S$2:$S$495))-(ROW('CONTROL MASTER'!#REF!)-1)))&amp;TRIM(MID(SUBSTITUTE(SUBSTITUTE(INDEX('CONTROL MASTER'!$N$2:$N$495,(SUMPRODUCT((('CONTROL MASTER'!$S$2:$S$495=10)*('CONTROL MASTER'!$Z$2:$Z$495&lt;=9)*('CONTROL MASTER'!$AB$2:$AB$495&gt;=9)*('CONTROL MASTER'!$AA$2:$AA$495&lt;=9)*('CONTROL MASTER'!$AC$2:$AC$495&gt;=9))*ROW('CONTROL MASTER'!$S$2:$S$495))-(ROW('CONTROL MASTER'!#REF!)-1))),":",","),",",REPT(" ",50)),(((INDEX('CONTROL MASTER'!$Y$2:$Y$495,(SUMPRODUCT((('CONTROL MASTER'!$S$2:$S$495=10)*('CONTROL MASTER'!$Z$2:$Z$495&lt;=9)*('CONTROL MASTER'!$AB$2:$AB$495&gt;=9)*('CONTROL MASTER'!$AA$2:$AA$495&lt;=9)*('CONTROL MASTER'!$AC$2:$AC$495&gt;=9))*ROW('CONTROL MASTER'!$S$2:$S$495))-(ROW('CONTROL MASTER'!#REF!)-1)))+((9-INDEX('CONTROL MASTER'!$Z$2:$Z$495,(SUMPRODUCT((('CONTROL MASTER'!$S$2:$S$495=10)*('CONTROL MASTER'!$Z$2:$Z$495&lt;=9)*('CONTROL MASTER'!$AB$2:$AB$495&gt;=9)*('CONTROL MASTER'!$AA$2:$AA$495&lt;=9)*('CONTROL MASTER'!$AC$2:$AC$495&gt;=9))*ROW('CONTROL MASTER'!$S$2:$S$495))-(ROW('CONTROL MASTER'!#REF!)-1))))*(INDEX('CONTROL MASTER'!$AC$2:$AC$495,(SUMPRODUCT((('CONTROL MASTER'!$S$2:$S$495=10)*('CONTROL MASTER'!$Z$2:$Z$495&lt;=9)*('CONTROL MASTER'!$AB$2:$AB$495&gt;=9)*('CONTROL MASTER'!$AA$2:$AA$495&lt;=9)*('CONTROL MASTER'!$AC$2:$AC$495&gt;=9))*ROW('CONTROL MASTER'!$S$2:$S$495))-(ROW('CONTROL MASTER'!#REF!)-1)))-INDEX('CONTROL MASTER'!$AA$2:$AA$495,(SUMPRODUCT((('CONTROL MASTER'!$S$2:$S$495=10)*('CONTROL MASTER'!$Z$2:$Z$495&lt;=9)*('CONTROL MASTER'!$AB$2:$AB$495&gt;=9)*('CONTROL MASTER'!$AA$2:$AA$495&lt;=9)*('CONTROL MASTER'!$AC$2:$AC$495&gt;=9))*ROW('CONTROL MASTER'!$S$2:$S$495))-(ROW('CONTROL MASTER'!#REF!)-1)))+1)+(9-INDEX('CONTROL MASTER'!$AA$2:$AA$495,(SUMPRODUCT((('CONTROL MASTER'!$S$2:$S$495=10)*('CONTROL MASTER'!$Z$2:$Z$495&lt;=9)*('CONTROL MASTER'!$AB$2:$AB$495&gt;=9)*('CONTROL MASTER'!$AA$2:$AA$495&lt;=9)*('CONTROL MASTER'!$AC$2:$AC$495&gt;=9))*ROW('CONTROL MASTER'!$S$2:$S$495))-(ROW('CONTROL MASTER'!#REF!)-1))))+1)))-1)*50+1,50))&amp;"_"&amp;INDEX('CONTROL MASTER'!$P$2:$P$495,(SUMPRODUCT((('CONTROL MASTER'!$S$2:$S$495=10)*('CONTROL MASTER'!$Z$2:$Z$495&lt;=9)*('CONTROL MASTER'!$AB$2:$AB$495&gt;=9)*('CONTROL MASTER'!$AA$2:$AA$495&lt;=9)*('CONTROL MASTER'!$AC$2:$AC$495&gt;=9))*ROW('CONTROL MASTER'!$S$2:$S$495))-(ROW('CONTROL MASTER'!#REF!)-1))),"")),"")</f>
        <v/>
      </c>
      <c r="K137" s="10" t="str">
        <f>IFERROR(IF(SUMPRODUCT((('CONTROL MASTER'!$S$2:$S$495=10)*('CONTROL MASTER'!$T$2:$T$495&lt;=9)*('CONTROL MASTER'!$V$2:$V$495&gt;=9)*('CONTROL MASTER'!$U$2:$U$495&lt;=10)*('CONTROL MASTER'!$W$2:$W$495&gt;=10))*ROW('CONTROL MASTER'!$S$2:$S$495))&gt;0,INDEX('CONTROL MASTER'!$X$2:$X$495,(SUMPRODUCT((('CONTROL MASTER'!$S$2:$S$495=10)*('CONTROL MASTER'!$T$2:$T$495&lt;=9)*('CONTROL MASTER'!$V$2:$V$495&gt;=9)*('CONTROL MASTER'!$U$2:$U$495&lt;=10)*('CONTROL MASTER'!$W$2:$W$495&gt;=10))*ROW('CONTROL MASTER'!$S$2:$S$495))-(ROW('CONTROL MASTER'!#REF!)-1)))&amp;TRIM(MID(SUBSTITUTE(SUBSTITUTE(INDEX('CONTROL MASTER'!$N$2:$N$495,(SUMPRODUCT((('CONTROL MASTER'!$S$2:$S$495=10)*('CONTROL MASTER'!$T$2:$T$495&lt;=9)*('CONTROL MASTER'!$V$2:$V$495&gt;=9)*('CONTROL MASTER'!$U$2:$U$495&lt;=10)*('CONTROL MASTER'!$W$2:$W$495&gt;=10))*ROW('CONTROL MASTER'!$S$2:$S$495))-(ROW('CONTROL MASTER'!#REF!)-1))),":",","),",",REPT(" ",50)),((((9-INDEX('CONTROL MASTER'!$T$2:$T$495,(SUMPRODUCT((('CONTROL MASTER'!$S$2:$S$495=10)*('CONTROL MASTER'!$T$2:$T$495&lt;=9)*('CONTROL MASTER'!$V$2:$V$495&gt;=9)*('CONTROL MASTER'!$U$2:$U$495&lt;=10)*('CONTROL MASTER'!$W$2:$W$495&gt;=10))*ROW('CONTROL MASTER'!$S$2:$S$495))-(ROW('CONTROL MASTER'!#REF!)-1))))*(INDEX('CONTROL MASTER'!$W$2:$W$495,(SUMPRODUCT((('CONTROL MASTER'!$S$2:$S$495=10)*('CONTROL MASTER'!$T$2:$T$495&lt;=9)*('CONTROL MASTER'!$V$2:$V$495&gt;=9)*('CONTROL MASTER'!$U$2:$U$495&lt;=10)*('CONTROL MASTER'!$W$2:$W$495&gt;=10))*ROW('CONTROL MASTER'!$S$2:$S$495))-(ROW('CONTROL MASTER'!#REF!)-1)))-INDEX('CONTROL MASTER'!$U$2:$U$495,(SUMPRODUCT((('CONTROL MASTER'!$S$2:$S$495=10)*('CONTROL MASTER'!$T$2:$T$495&lt;=9)*('CONTROL MASTER'!$V$2:$V$495&gt;=9)*('CONTROL MASTER'!$U$2:$U$495&lt;=10)*('CONTROL MASTER'!$W$2:$W$495&gt;=10))*ROW('CONTROL MASTER'!$S$2:$S$495))-(ROW('CONTROL MASTER'!#REF!)-1)))+1)+(10-INDEX('CONTROL MASTER'!$U$2:$U$495,(SUMPRODUCT((('CONTROL MASTER'!$S$2:$S$495=10)*('CONTROL MASTER'!$T$2:$T$495&lt;=9)*('CONTROL MASTER'!$V$2:$V$495&gt;=9)*('CONTROL MASTER'!$U$2:$U$495&lt;=10)*('CONTROL MASTER'!$W$2:$W$495&gt;=10))*ROW('CONTROL MASTER'!$S$2:$S$495))-(ROW('CONTROL MASTER'!#REF!)-1))))+1))-1)*50+1,50))&amp;"_"&amp;INDEX('CONTROL MASTER'!$P$2:$P$495,(SUMPRODUCT((('CONTROL MASTER'!$S$2:$S$495=10)*('CONTROL MASTER'!$T$2:$T$495&lt;=9)*('CONTROL MASTER'!$V$2:$V$495&gt;=9)*('CONTROL MASTER'!$U$2:$U$495&lt;=10)*('CONTROL MASTER'!$W$2:$W$495&gt;=10))*ROW('CONTROL MASTER'!$S$2:$S$495))-(ROW('CONTROL MASTER'!#REF!)-1))),IF(SUMPRODUCT((('CONTROL MASTER'!$S$2:$S$495=10)*('CONTROL MASTER'!$Z$2:$Z$495&lt;=9)*('CONTROL MASTER'!$AB$2:$AB$495&gt;=9)*('CONTROL MASTER'!$AA$2:$AA$495&lt;=10)*('CONTROL MASTER'!$AC$2:$AC$495&gt;=10))*ROW('CONTROL MASTER'!$S$2:$S$495))&gt;0,INDEX('CONTROL MASTER'!$X$2:$X$495,(SUMPRODUCT((('CONTROL MASTER'!$S$2:$S$495=10)*('CONTROL MASTER'!$Z$2:$Z$495&lt;=9)*('CONTROL MASTER'!$AB$2:$AB$495&gt;=9)*('CONTROL MASTER'!$AA$2:$AA$495&lt;=10)*('CONTROL MASTER'!$AC$2:$AC$495&gt;=10))*ROW('CONTROL MASTER'!$S$2:$S$495))-(ROW('CONTROL MASTER'!#REF!)-1)))&amp;TRIM(MID(SUBSTITUTE(SUBSTITUTE(INDEX('CONTROL MASTER'!$N$2:$N$495,(SUMPRODUCT((('CONTROL MASTER'!$S$2:$S$495=10)*('CONTROL MASTER'!$Z$2:$Z$495&lt;=9)*('CONTROL MASTER'!$AB$2:$AB$495&gt;=9)*('CONTROL MASTER'!$AA$2:$AA$495&lt;=10)*('CONTROL MASTER'!$AC$2:$AC$495&gt;=10))*ROW('CONTROL MASTER'!$S$2:$S$495))-(ROW('CONTROL MASTER'!#REF!)-1))),":",","),",",REPT(" ",50)),(((INDEX('CONTROL MASTER'!$Y$2:$Y$495,(SUMPRODUCT((('CONTROL MASTER'!$S$2:$S$495=10)*('CONTROL MASTER'!$Z$2:$Z$495&lt;=9)*('CONTROL MASTER'!$AB$2:$AB$495&gt;=9)*('CONTROL MASTER'!$AA$2:$AA$495&lt;=10)*('CONTROL MASTER'!$AC$2:$AC$495&gt;=10))*ROW('CONTROL MASTER'!$S$2:$S$495))-(ROW('CONTROL MASTER'!#REF!)-1)))+((9-INDEX('CONTROL MASTER'!$Z$2:$Z$495,(SUMPRODUCT((('CONTROL MASTER'!$S$2:$S$495=10)*('CONTROL MASTER'!$Z$2:$Z$495&lt;=9)*('CONTROL MASTER'!$AB$2:$AB$495&gt;=9)*('CONTROL MASTER'!$AA$2:$AA$495&lt;=10)*('CONTROL MASTER'!$AC$2:$AC$495&gt;=10))*ROW('CONTROL MASTER'!$S$2:$S$495))-(ROW('CONTROL MASTER'!#REF!)-1))))*(INDEX('CONTROL MASTER'!$AC$2:$AC$495,(SUMPRODUCT((('CONTROL MASTER'!$S$2:$S$495=10)*('CONTROL MASTER'!$Z$2:$Z$495&lt;=9)*('CONTROL MASTER'!$AB$2:$AB$495&gt;=9)*('CONTROL MASTER'!$AA$2:$AA$495&lt;=10)*('CONTROL MASTER'!$AC$2:$AC$495&gt;=10))*ROW('CONTROL MASTER'!$S$2:$S$495))-(ROW('CONTROL MASTER'!#REF!)-1)))-INDEX('CONTROL MASTER'!$AA$2:$AA$495,(SUMPRODUCT((('CONTROL MASTER'!$S$2:$S$495=10)*('CONTROL MASTER'!$Z$2:$Z$495&lt;=9)*('CONTROL MASTER'!$AB$2:$AB$495&gt;=9)*('CONTROL MASTER'!$AA$2:$AA$495&lt;=10)*('CONTROL MASTER'!$AC$2:$AC$495&gt;=10))*ROW('CONTROL MASTER'!$S$2:$S$495))-(ROW('CONTROL MASTER'!#REF!)-1)))+1)+(10-INDEX('CONTROL MASTER'!$AA$2:$AA$495,(SUMPRODUCT((('CONTROL MASTER'!$S$2:$S$495=10)*('CONTROL MASTER'!$Z$2:$Z$495&lt;=9)*('CONTROL MASTER'!$AB$2:$AB$495&gt;=9)*('CONTROL MASTER'!$AA$2:$AA$495&lt;=10)*('CONTROL MASTER'!$AC$2:$AC$495&gt;=10))*ROW('CONTROL MASTER'!$S$2:$S$495))-(ROW('CONTROL MASTER'!#REF!)-1))))+1)))-1)*50+1,50))&amp;"_"&amp;INDEX('CONTROL MASTER'!$P$2:$P$495,(SUMPRODUCT((('CONTROL MASTER'!$S$2:$S$495=10)*('CONTROL MASTER'!$Z$2:$Z$495&lt;=9)*('CONTROL MASTER'!$AB$2:$AB$495&gt;=9)*('CONTROL MASTER'!$AA$2:$AA$495&lt;=10)*('CONTROL MASTER'!$AC$2:$AC$495&gt;=10))*ROW('CONTROL MASTER'!$S$2:$S$495))-(ROW('CONTROL MASTER'!#REF!)-1))),"")),"")</f>
        <v/>
      </c>
    </row>
    <row r="138" spans="1:11" ht="15" customHeight="1" x14ac:dyDescent="0.35">
      <c r="A138" s="8" t="s">
        <v>82</v>
      </c>
      <c r="B138" s="10" t="str">
        <f>IFERROR(IF(SUMPRODUCT((('CONTROL MASTER'!$S$2:$S$495=10)*('CONTROL MASTER'!$T$2:$T$495&lt;=10)*('CONTROL MASTER'!$V$2:$V$495&gt;=10)*('CONTROL MASTER'!$U$2:$U$495&lt;=1)*('CONTROL MASTER'!$W$2:$W$495&gt;=1))*ROW('CONTROL MASTER'!$S$2:$S$495))&gt;0,INDEX('CONTROL MASTER'!$X$2:$X$495,(SUMPRODUCT((('CONTROL MASTER'!$S$2:$S$495=10)*('CONTROL MASTER'!$T$2:$T$495&lt;=10)*('CONTROL MASTER'!$V$2:$V$495&gt;=10)*('CONTROL MASTER'!$U$2:$U$495&lt;=1)*('CONTROL MASTER'!$W$2:$W$495&gt;=1))*ROW('CONTROL MASTER'!$S$2:$S$495))-(ROW('CONTROL MASTER'!#REF!)-1)))&amp;TRIM(MID(SUBSTITUTE(SUBSTITUTE(INDEX('CONTROL MASTER'!$N$2:$N$495,(SUMPRODUCT((('CONTROL MASTER'!$S$2:$S$495=10)*('CONTROL MASTER'!$T$2:$T$495&lt;=10)*('CONTROL MASTER'!$V$2:$V$495&gt;=10)*('CONTROL MASTER'!$U$2:$U$495&lt;=1)*('CONTROL MASTER'!$W$2:$W$495&gt;=1))*ROW('CONTROL MASTER'!$S$2:$S$495))-(ROW('CONTROL MASTER'!#REF!)-1))),":",","),",",REPT(" ",50)),((((10-INDEX('CONTROL MASTER'!$T$2:$T$495,(SUMPRODUCT((('CONTROL MASTER'!$S$2:$S$495=10)*('CONTROL MASTER'!$T$2:$T$495&lt;=10)*('CONTROL MASTER'!$V$2:$V$495&gt;=10)*('CONTROL MASTER'!$U$2:$U$495&lt;=1)*('CONTROL MASTER'!$W$2:$W$495&gt;=1))*ROW('CONTROL MASTER'!$S$2:$S$495))-(ROW('CONTROL MASTER'!#REF!)-1))))*(INDEX('CONTROL MASTER'!$W$2:$W$495,(SUMPRODUCT((('CONTROL MASTER'!$S$2:$S$495=10)*('CONTROL MASTER'!$T$2:$T$495&lt;=10)*('CONTROL MASTER'!$V$2:$V$495&gt;=10)*('CONTROL MASTER'!$U$2:$U$495&lt;=1)*('CONTROL MASTER'!$W$2:$W$495&gt;=1))*ROW('CONTROL MASTER'!$S$2:$S$495))-(ROW('CONTROL MASTER'!#REF!)-1)))-INDEX('CONTROL MASTER'!$U$2:$U$495,(SUMPRODUCT((('CONTROL MASTER'!$S$2:$S$495=10)*('CONTROL MASTER'!$T$2:$T$495&lt;=10)*('CONTROL MASTER'!$V$2:$V$495&gt;=10)*('CONTROL MASTER'!$U$2:$U$495&lt;=1)*('CONTROL MASTER'!$W$2:$W$495&gt;=1))*ROW('CONTROL MASTER'!$S$2:$S$495))-(ROW('CONTROL MASTER'!#REF!)-1)))+1)+(1-INDEX('CONTROL MASTER'!$U$2:$U$495,(SUMPRODUCT((('CONTROL MASTER'!$S$2:$S$495=10)*('CONTROL MASTER'!$T$2:$T$495&lt;=10)*('CONTROL MASTER'!$V$2:$V$495&gt;=10)*('CONTROL MASTER'!$U$2:$U$495&lt;=1)*('CONTROL MASTER'!$W$2:$W$495&gt;=1))*ROW('CONTROL MASTER'!$S$2:$S$495))-(ROW('CONTROL MASTER'!#REF!)-1))))+1))-1)*50+1,50))&amp;"_"&amp;INDEX('CONTROL MASTER'!$P$2:$P$495,(SUMPRODUCT((('CONTROL MASTER'!$S$2:$S$495=10)*('CONTROL MASTER'!$T$2:$T$495&lt;=10)*('CONTROL MASTER'!$V$2:$V$495&gt;=10)*('CONTROL MASTER'!$U$2:$U$495&lt;=1)*('CONTROL MASTER'!$W$2:$W$495&gt;=1))*ROW('CONTROL MASTER'!$S$2:$S$495))-(ROW('CONTROL MASTER'!#REF!)-1))),IF(SUMPRODUCT((('CONTROL MASTER'!$S$2:$S$495=10)*('CONTROL MASTER'!$Z$2:$Z$495&lt;=10)*('CONTROL MASTER'!$AB$2:$AB$495&gt;=10)*('CONTROL MASTER'!$AA$2:$AA$495&lt;=1)*('CONTROL MASTER'!$AC$2:$AC$495&gt;=1))*ROW('CONTROL MASTER'!$S$2:$S$495))&gt;0,INDEX('CONTROL MASTER'!$X$2:$X$495,(SUMPRODUCT((('CONTROL MASTER'!$S$2:$S$495=10)*('CONTROL MASTER'!$Z$2:$Z$495&lt;=10)*('CONTROL MASTER'!$AB$2:$AB$495&gt;=10)*('CONTROL MASTER'!$AA$2:$AA$495&lt;=1)*('CONTROL MASTER'!$AC$2:$AC$495&gt;=1))*ROW('CONTROL MASTER'!$S$2:$S$495))-(ROW('CONTROL MASTER'!#REF!)-1)))&amp;TRIM(MID(SUBSTITUTE(SUBSTITUTE(INDEX('CONTROL MASTER'!$N$2:$N$495,(SUMPRODUCT((('CONTROL MASTER'!$S$2:$S$495=10)*('CONTROL MASTER'!$Z$2:$Z$495&lt;=10)*('CONTROL MASTER'!$AB$2:$AB$495&gt;=10)*('CONTROL MASTER'!$AA$2:$AA$495&lt;=1)*('CONTROL MASTER'!$AC$2:$AC$495&gt;=1))*ROW('CONTROL MASTER'!$S$2:$S$495))-(ROW('CONTROL MASTER'!#REF!)-1))),":",","),",",REPT(" ",50)),(((INDEX('CONTROL MASTER'!$Y$2:$Y$495,(SUMPRODUCT((('CONTROL MASTER'!$S$2:$S$495=10)*('CONTROL MASTER'!$Z$2:$Z$495&lt;=10)*('CONTROL MASTER'!$AB$2:$AB$495&gt;=10)*('CONTROL MASTER'!$AA$2:$AA$495&lt;=1)*('CONTROL MASTER'!$AC$2:$AC$495&gt;=1))*ROW('CONTROL MASTER'!$S$2:$S$495))-(ROW('CONTROL MASTER'!#REF!)-1)))+((10-INDEX('CONTROL MASTER'!$Z$2:$Z$495,(SUMPRODUCT((('CONTROL MASTER'!$S$2:$S$495=10)*('CONTROL MASTER'!$Z$2:$Z$495&lt;=10)*('CONTROL MASTER'!$AB$2:$AB$495&gt;=10)*('CONTROL MASTER'!$AA$2:$AA$495&lt;=1)*('CONTROL MASTER'!$AC$2:$AC$495&gt;=1))*ROW('CONTROL MASTER'!$S$2:$S$495))-(ROW('CONTROL MASTER'!#REF!)-1))))*(INDEX('CONTROL MASTER'!$AC$2:$AC$495,(SUMPRODUCT((('CONTROL MASTER'!$S$2:$S$495=10)*('CONTROL MASTER'!$Z$2:$Z$495&lt;=10)*('CONTROL MASTER'!$AB$2:$AB$495&gt;=10)*('CONTROL MASTER'!$AA$2:$AA$495&lt;=1)*('CONTROL MASTER'!$AC$2:$AC$495&gt;=1))*ROW('CONTROL MASTER'!$S$2:$S$495))-(ROW('CONTROL MASTER'!#REF!)-1)))-INDEX('CONTROL MASTER'!$AA$2:$AA$495,(SUMPRODUCT((('CONTROL MASTER'!$S$2:$S$495=10)*('CONTROL MASTER'!$Z$2:$Z$495&lt;=10)*('CONTROL MASTER'!$AB$2:$AB$495&gt;=10)*('CONTROL MASTER'!$AA$2:$AA$495&lt;=1)*('CONTROL MASTER'!$AC$2:$AC$495&gt;=1))*ROW('CONTROL MASTER'!$S$2:$S$495))-(ROW('CONTROL MASTER'!#REF!)-1)))+1)+(1-INDEX('CONTROL MASTER'!$AA$2:$AA$495,(SUMPRODUCT((('CONTROL MASTER'!$S$2:$S$495=10)*('CONTROL MASTER'!$Z$2:$Z$495&lt;=10)*('CONTROL MASTER'!$AB$2:$AB$495&gt;=10)*('CONTROL MASTER'!$AA$2:$AA$495&lt;=1)*('CONTROL MASTER'!$AC$2:$AC$495&gt;=1))*ROW('CONTROL MASTER'!$S$2:$S$495))-(ROW('CONTROL MASTER'!#REF!)-1))))+1)))-1)*50+1,50))&amp;"_"&amp;INDEX('CONTROL MASTER'!$P$2:$P$495,(SUMPRODUCT((('CONTROL MASTER'!$S$2:$S$495=10)*('CONTROL MASTER'!$Z$2:$Z$495&lt;=10)*('CONTROL MASTER'!$AB$2:$AB$495&gt;=10)*('CONTROL MASTER'!$AA$2:$AA$495&lt;=1)*('CONTROL MASTER'!$AC$2:$AC$495&gt;=1))*ROW('CONTROL MASTER'!$S$2:$S$495))-(ROW('CONTROL MASTER'!#REF!)-1))),"")),"")</f>
        <v/>
      </c>
      <c r="C138" s="10" t="str">
        <f>IFERROR(IF(SUMPRODUCT((('CONTROL MASTER'!$S$2:$S$495=10)*('CONTROL MASTER'!$T$2:$T$495&lt;=10)*('CONTROL MASTER'!$V$2:$V$495&gt;=10)*('CONTROL MASTER'!$U$2:$U$495&lt;=2)*('CONTROL MASTER'!$W$2:$W$495&gt;=2))*ROW('CONTROL MASTER'!$S$2:$S$495))&gt;0,INDEX('CONTROL MASTER'!$X$2:$X$495,(SUMPRODUCT((('CONTROL MASTER'!$S$2:$S$495=10)*('CONTROL MASTER'!$T$2:$T$495&lt;=10)*('CONTROL MASTER'!$V$2:$V$495&gt;=10)*('CONTROL MASTER'!$U$2:$U$495&lt;=2)*('CONTROL MASTER'!$W$2:$W$495&gt;=2))*ROW('CONTROL MASTER'!$S$2:$S$495))-(ROW('CONTROL MASTER'!#REF!)-1)))&amp;TRIM(MID(SUBSTITUTE(SUBSTITUTE(INDEX('CONTROL MASTER'!$N$2:$N$495,(SUMPRODUCT((('CONTROL MASTER'!$S$2:$S$495=10)*('CONTROL MASTER'!$T$2:$T$495&lt;=10)*('CONTROL MASTER'!$V$2:$V$495&gt;=10)*('CONTROL MASTER'!$U$2:$U$495&lt;=2)*('CONTROL MASTER'!$W$2:$W$495&gt;=2))*ROW('CONTROL MASTER'!$S$2:$S$495))-(ROW('CONTROL MASTER'!#REF!)-1))),":",","),",",REPT(" ",50)),((((10-INDEX('CONTROL MASTER'!$T$2:$T$495,(SUMPRODUCT((('CONTROL MASTER'!$S$2:$S$495=10)*('CONTROL MASTER'!$T$2:$T$495&lt;=10)*('CONTROL MASTER'!$V$2:$V$495&gt;=10)*('CONTROL MASTER'!$U$2:$U$495&lt;=2)*('CONTROL MASTER'!$W$2:$W$495&gt;=2))*ROW('CONTROL MASTER'!$S$2:$S$495))-(ROW('CONTROL MASTER'!#REF!)-1))))*(INDEX('CONTROL MASTER'!$W$2:$W$495,(SUMPRODUCT((('CONTROL MASTER'!$S$2:$S$495=10)*('CONTROL MASTER'!$T$2:$T$495&lt;=10)*('CONTROL MASTER'!$V$2:$V$495&gt;=10)*('CONTROL MASTER'!$U$2:$U$495&lt;=2)*('CONTROL MASTER'!$W$2:$W$495&gt;=2))*ROW('CONTROL MASTER'!$S$2:$S$495))-(ROW('CONTROL MASTER'!#REF!)-1)))-INDEX('CONTROL MASTER'!$U$2:$U$495,(SUMPRODUCT((('CONTROL MASTER'!$S$2:$S$495=10)*('CONTROL MASTER'!$T$2:$T$495&lt;=10)*('CONTROL MASTER'!$V$2:$V$495&gt;=10)*('CONTROL MASTER'!$U$2:$U$495&lt;=2)*('CONTROL MASTER'!$W$2:$W$495&gt;=2))*ROW('CONTROL MASTER'!$S$2:$S$495))-(ROW('CONTROL MASTER'!#REF!)-1)))+1)+(2-INDEX('CONTROL MASTER'!$U$2:$U$495,(SUMPRODUCT((('CONTROL MASTER'!$S$2:$S$495=10)*('CONTROL MASTER'!$T$2:$T$495&lt;=10)*('CONTROL MASTER'!$V$2:$V$495&gt;=10)*('CONTROL MASTER'!$U$2:$U$495&lt;=2)*('CONTROL MASTER'!$W$2:$W$495&gt;=2))*ROW('CONTROL MASTER'!$S$2:$S$495))-(ROW('CONTROL MASTER'!#REF!)-1))))+1))-1)*50+1,50))&amp;"_"&amp;INDEX('CONTROL MASTER'!$P$2:$P$495,(SUMPRODUCT((('CONTROL MASTER'!$S$2:$S$495=10)*('CONTROL MASTER'!$T$2:$T$495&lt;=10)*('CONTROL MASTER'!$V$2:$V$495&gt;=10)*('CONTROL MASTER'!$U$2:$U$495&lt;=2)*('CONTROL MASTER'!$W$2:$W$495&gt;=2))*ROW('CONTROL MASTER'!$S$2:$S$495))-(ROW('CONTROL MASTER'!#REF!)-1))),IF(SUMPRODUCT((('CONTROL MASTER'!$S$2:$S$495=10)*('CONTROL MASTER'!$Z$2:$Z$495&lt;=10)*('CONTROL MASTER'!$AB$2:$AB$495&gt;=10)*('CONTROL MASTER'!$AA$2:$AA$495&lt;=2)*('CONTROL MASTER'!$AC$2:$AC$495&gt;=2))*ROW('CONTROL MASTER'!$S$2:$S$495))&gt;0,INDEX('CONTROL MASTER'!$X$2:$X$495,(SUMPRODUCT((('CONTROL MASTER'!$S$2:$S$495=10)*('CONTROL MASTER'!$Z$2:$Z$495&lt;=10)*('CONTROL MASTER'!$AB$2:$AB$495&gt;=10)*('CONTROL MASTER'!$AA$2:$AA$495&lt;=2)*('CONTROL MASTER'!$AC$2:$AC$495&gt;=2))*ROW('CONTROL MASTER'!$S$2:$S$495))-(ROW('CONTROL MASTER'!#REF!)-1)))&amp;TRIM(MID(SUBSTITUTE(SUBSTITUTE(INDEX('CONTROL MASTER'!$N$2:$N$495,(SUMPRODUCT((('CONTROL MASTER'!$S$2:$S$495=10)*('CONTROL MASTER'!$Z$2:$Z$495&lt;=10)*('CONTROL MASTER'!$AB$2:$AB$495&gt;=10)*('CONTROL MASTER'!$AA$2:$AA$495&lt;=2)*('CONTROL MASTER'!$AC$2:$AC$495&gt;=2))*ROW('CONTROL MASTER'!$S$2:$S$495))-(ROW('CONTROL MASTER'!#REF!)-1))),":",","),",",REPT(" ",50)),(((INDEX('CONTROL MASTER'!$Y$2:$Y$495,(SUMPRODUCT((('CONTROL MASTER'!$S$2:$S$495=10)*('CONTROL MASTER'!$Z$2:$Z$495&lt;=10)*('CONTROL MASTER'!$AB$2:$AB$495&gt;=10)*('CONTROL MASTER'!$AA$2:$AA$495&lt;=2)*('CONTROL MASTER'!$AC$2:$AC$495&gt;=2))*ROW('CONTROL MASTER'!$S$2:$S$495))-(ROW('CONTROL MASTER'!#REF!)-1)))+((10-INDEX('CONTROL MASTER'!$Z$2:$Z$495,(SUMPRODUCT((('CONTROL MASTER'!$S$2:$S$495=10)*('CONTROL MASTER'!$Z$2:$Z$495&lt;=10)*('CONTROL MASTER'!$AB$2:$AB$495&gt;=10)*('CONTROL MASTER'!$AA$2:$AA$495&lt;=2)*('CONTROL MASTER'!$AC$2:$AC$495&gt;=2))*ROW('CONTROL MASTER'!$S$2:$S$495))-(ROW('CONTROL MASTER'!#REF!)-1))))*(INDEX('CONTROL MASTER'!$AC$2:$AC$495,(SUMPRODUCT((('CONTROL MASTER'!$S$2:$S$495=10)*('CONTROL MASTER'!$Z$2:$Z$495&lt;=10)*('CONTROL MASTER'!$AB$2:$AB$495&gt;=10)*('CONTROL MASTER'!$AA$2:$AA$495&lt;=2)*('CONTROL MASTER'!$AC$2:$AC$495&gt;=2))*ROW('CONTROL MASTER'!$S$2:$S$495))-(ROW('CONTROL MASTER'!#REF!)-1)))-INDEX('CONTROL MASTER'!$AA$2:$AA$495,(SUMPRODUCT((('CONTROL MASTER'!$S$2:$S$495=10)*('CONTROL MASTER'!$Z$2:$Z$495&lt;=10)*('CONTROL MASTER'!$AB$2:$AB$495&gt;=10)*('CONTROL MASTER'!$AA$2:$AA$495&lt;=2)*('CONTROL MASTER'!$AC$2:$AC$495&gt;=2))*ROW('CONTROL MASTER'!$S$2:$S$495))-(ROW('CONTROL MASTER'!#REF!)-1)))+1)+(2-INDEX('CONTROL MASTER'!$AA$2:$AA$495,(SUMPRODUCT((('CONTROL MASTER'!$S$2:$S$495=10)*('CONTROL MASTER'!$Z$2:$Z$495&lt;=10)*('CONTROL MASTER'!$AB$2:$AB$495&gt;=10)*('CONTROL MASTER'!$AA$2:$AA$495&lt;=2)*('CONTROL MASTER'!$AC$2:$AC$495&gt;=2))*ROW('CONTROL MASTER'!$S$2:$S$495))-(ROW('CONTROL MASTER'!#REF!)-1))))+1)))-1)*50+1,50))&amp;"_"&amp;INDEX('CONTROL MASTER'!$P$2:$P$495,(SUMPRODUCT((('CONTROL MASTER'!$S$2:$S$495=10)*('CONTROL MASTER'!$Z$2:$Z$495&lt;=10)*('CONTROL MASTER'!$AB$2:$AB$495&gt;=10)*('CONTROL MASTER'!$AA$2:$AA$495&lt;=2)*('CONTROL MASTER'!$AC$2:$AC$495&gt;=2))*ROW('CONTROL MASTER'!$S$2:$S$495))-(ROW('CONTROL MASTER'!#REF!)-1))),"")),"")</f>
        <v/>
      </c>
      <c r="D138" s="10" t="str">
        <f>IFERROR(IF(SUMPRODUCT((('CONTROL MASTER'!$S$2:$S$495=10)*('CONTROL MASTER'!$T$2:$T$495&lt;=10)*('CONTROL MASTER'!$V$2:$V$495&gt;=10)*('CONTROL MASTER'!$U$2:$U$495&lt;=3)*('CONTROL MASTER'!$W$2:$W$495&gt;=3))*ROW('CONTROL MASTER'!$S$2:$S$495))&gt;0,INDEX('CONTROL MASTER'!$X$2:$X$495,(SUMPRODUCT((('CONTROL MASTER'!$S$2:$S$495=10)*('CONTROL MASTER'!$T$2:$T$495&lt;=10)*('CONTROL MASTER'!$V$2:$V$495&gt;=10)*('CONTROL MASTER'!$U$2:$U$495&lt;=3)*('CONTROL MASTER'!$W$2:$W$495&gt;=3))*ROW('CONTROL MASTER'!$S$2:$S$495))-(ROW('CONTROL MASTER'!#REF!)-1)))&amp;TRIM(MID(SUBSTITUTE(SUBSTITUTE(INDEX('CONTROL MASTER'!$N$2:$N$495,(SUMPRODUCT((('CONTROL MASTER'!$S$2:$S$495=10)*('CONTROL MASTER'!$T$2:$T$495&lt;=10)*('CONTROL MASTER'!$V$2:$V$495&gt;=10)*('CONTROL MASTER'!$U$2:$U$495&lt;=3)*('CONTROL MASTER'!$W$2:$W$495&gt;=3))*ROW('CONTROL MASTER'!$S$2:$S$495))-(ROW('CONTROL MASTER'!#REF!)-1))),":",","),",",REPT(" ",50)),((((10-INDEX('CONTROL MASTER'!$T$2:$T$495,(SUMPRODUCT((('CONTROL MASTER'!$S$2:$S$495=10)*('CONTROL MASTER'!$T$2:$T$495&lt;=10)*('CONTROL MASTER'!$V$2:$V$495&gt;=10)*('CONTROL MASTER'!$U$2:$U$495&lt;=3)*('CONTROL MASTER'!$W$2:$W$495&gt;=3))*ROW('CONTROL MASTER'!$S$2:$S$495))-(ROW('CONTROL MASTER'!#REF!)-1))))*(INDEX('CONTROL MASTER'!$W$2:$W$495,(SUMPRODUCT((('CONTROL MASTER'!$S$2:$S$495=10)*('CONTROL MASTER'!$T$2:$T$495&lt;=10)*('CONTROL MASTER'!$V$2:$V$495&gt;=10)*('CONTROL MASTER'!$U$2:$U$495&lt;=3)*('CONTROL MASTER'!$W$2:$W$495&gt;=3))*ROW('CONTROL MASTER'!$S$2:$S$495))-(ROW('CONTROL MASTER'!#REF!)-1)))-INDEX('CONTROL MASTER'!$U$2:$U$495,(SUMPRODUCT((('CONTROL MASTER'!$S$2:$S$495=10)*('CONTROL MASTER'!$T$2:$T$495&lt;=10)*('CONTROL MASTER'!$V$2:$V$495&gt;=10)*('CONTROL MASTER'!$U$2:$U$495&lt;=3)*('CONTROL MASTER'!$W$2:$W$495&gt;=3))*ROW('CONTROL MASTER'!$S$2:$S$495))-(ROW('CONTROL MASTER'!#REF!)-1)))+1)+(3-INDEX('CONTROL MASTER'!$U$2:$U$495,(SUMPRODUCT((('CONTROL MASTER'!$S$2:$S$495=10)*('CONTROL MASTER'!$T$2:$T$495&lt;=10)*('CONTROL MASTER'!$V$2:$V$495&gt;=10)*('CONTROL MASTER'!$U$2:$U$495&lt;=3)*('CONTROL MASTER'!$W$2:$W$495&gt;=3))*ROW('CONTROL MASTER'!$S$2:$S$495))-(ROW('CONTROL MASTER'!#REF!)-1))))+1))-1)*50+1,50))&amp;"_"&amp;INDEX('CONTROL MASTER'!$P$2:$P$495,(SUMPRODUCT((('CONTROL MASTER'!$S$2:$S$495=10)*('CONTROL MASTER'!$T$2:$T$495&lt;=10)*('CONTROL MASTER'!$V$2:$V$495&gt;=10)*('CONTROL MASTER'!$U$2:$U$495&lt;=3)*('CONTROL MASTER'!$W$2:$W$495&gt;=3))*ROW('CONTROL MASTER'!$S$2:$S$495))-(ROW('CONTROL MASTER'!#REF!)-1))),IF(SUMPRODUCT((('CONTROL MASTER'!$S$2:$S$495=10)*('CONTROL MASTER'!$Z$2:$Z$495&lt;=10)*('CONTROL MASTER'!$AB$2:$AB$495&gt;=10)*('CONTROL MASTER'!$AA$2:$AA$495&lt;=3)*('CONTROL MASTER'!$AC$2:$AC$495&gt;=3))*ROW('CONTROL MASTER'!$S$2:$S$495))&gt;0,INDEX('CONTROL MASTER'!$X$2:$X$495,(SUMPRODUCT((('CONTROL MASTER'!$S$2:$S$495=10)*('CONTROL MASTER'!$Z$2:$Z$495&lt;=10)*('CONTROL MASTER'!$AB$2:$AB$495&gt;=10)*('CONTROL MASTER'!$AA$2:$AA$495&lt;=3)*('CONTROL MASTER'!$AC$2:$AC$495&gt;=3))*ROW('CONTROL MASTER'!$S$2:$S$495))-(ROW('CONTROL MASTER'!#REF!)-1)))&amp;TRIM(MID(SUBSTITUTE(SUBSTITUTE(INDEX('CONTROL MASTER'!$N$2:$N$495,(SUMPRODUCT((('CONTROL MASTER'!$S$2:$S$495=10)*('CONTROL MASTER'!$Z$2:$Z$495&lt;=10)*('CONTROL MASTER'!$AB$2:$AB$495&gt;=10)*('CONTROL MASTER'!$AA$2:$AA$495&lt;=3)*('CONTROL MASTER'!$AC$2:$AC$495&gt;=3))*ROW('CONTROL MASTER'!$S$2:$S$495))-(ROW('CONTROL MASTER'!#REF!)-1))),":",","),",",REPT(" ",50)),(((INDEX('CONTROL MASTER'!$Y$2:$Y$495,(SUMPRODUCT((('CONTROL MASTER'!$S$2:$S$495=10)*('CONTROL MASTER'!$Z$2:$Z$495&lt;=10)*('CONTROL MASTER'!$AB$2:$AB$495&gt;=10)*('CONTROL MASTER'!$AA$2:$AA$495&lt;=3)*('CONTROL MASTER'!$AC$2:$AC$495&gt;=3))*ROW('CONTROL MASTER'!$S$2:$S$495))-(ROW('CONTROL MASTER'!#REF!)-1)))+((10-INDEX('CONTROL MASTER'!$Z$2:$Z$495,(SUMPRODUCT((('CONTROL MASTER'!$S$2:$S$495=10)*('CONTROL MASTER'!$Z$2:$Z$495&lt;=10)*('CONTROL MASTER'!$AB$2:$AB$495&gt;=10)*('CONTROL MASTER'!$AA$2:$AA$495&lt;=3)*('CONTROL MASTER'!$AC$2:$AC$495&gt;=3))*ROW('CONTROL MASTER'!$S$2:$S$495))-(ROW('CONTROL MASTER'!#REF!)-1))))*(INDEX('CONTROL MASTER'!$AC$2:$AC$495,(SUMPRODUCT((('CONTROL MASTER'!$S$2:$S$495=10)*('CONTROL MASTER'!$Z$2:$Z$495&lt;=10)*('CONTROL MASTER'!$AB$2:$AB$495&gt;=10)*('CONTROL MASTER'!$AA$2:$AA$495&lt;=3)*('CONTROL MASTER'!$AC$2:$AC$495&gt;=3))*ROW('CONTROL MASTER'!$S$2:$S$495))-(ROW('CONTROL MASTER'!#REF!)-1)))-INDEX('CONTROL MASTER'!$AA$2:$AA$495,(SUMPRODUCT((('CONTROL MASTER'!$S$2:$S$495=10)*('CONTROL MASTER'!$Z$2:$Z$495&lt;=10)*('CONTROL MASTER'!$AB$2:$AB$495&gt;=10)*('CONTROL MASTER'!$AA$2:$AA$495&lt;=3)*('CONTROL MASTER'!$AC$2:$AC$495&gt;=3))*ROW('CONTROL MASTER'!$S$2:$S$495))-(ROW('CONTROL MASTER'!#REF!)-1)))+1)+(3-INDEX('CONTROL MASTER'!$AA$2:$AA$495,(SUMPRODUCT((('CONTROL MASTER'!$S$2:$S$495=10)*('CONTROL MASTER'!$Z$2:$Z$495&lt;=10)*('CONTROL MASTER'!$AB$2:$AB$495&gt;=10)*('CONTROL MASTER'!$AA$2:$AA$495&lt;=3)*('CONTROL MASTER'!$AC$2:$AC$495&gt;=3))*ROW('CONTROL MASTER'!$S$2:$S$495))-(ROW('CONTROL MASTER'!#REF!)-1))))+1)))-1)*50+1,50))&amp;"_"&amp;INDEX('CONTROL MASTER'!$P$2:$P$495,(SUMPRODUCT((('CONTROL MASTER'!$S$2:$S$495=10)*('CONTROL MASTER'!$Z$2:$Z$495&lt;=10)*('CONTROL MASTER'!$AB$2:$AB$495&gt;=10)*('CONTROL MASTER'!$AA$2:$AA$495&lt;=3)*('CONTROL MASTER'!$AC$2:$AC$495&gt;=3))*ROW('CONTROL MASTER'!$S$2:$S$495))-(ROW('CONTROL MASTER'!#REF!)-1))),"")),"")</f>
        <v/>
      </c>
      <c r="E138" s="10" t="str">
        <f>IFERROR(IF(SUMPRODUCT((('CONTROL MASTER'!$S$2:$S$495=10)*('CONTROL MASTER'!$T$2:$T$495&lt;=10)*('CONTROL MASTER'!$V$2:$V$495&gt;=10)*('CONTROL MASTER'!$U$2:$U$495&lt;=4)*('CONTROL MASTER'!$W$2:$W$495&gt;=4))*ROW('CONTROL MASTER'!$S$2:$S$495))&gt;0,INDEX('CONTROL MASTER'!$X$2:$X$495,(SUMPRODUCT((('CONTROL MASTER'!$S$2:$S$495=10)*('CONTROL MASTER'!$T$2:$T$495&lt;=10)*('CONTROL MASTER'!$V$2:$V$495&gt;=10)*('CONTROL MASTER'!$U$2:$U$495&lt;=4)*('CONTROL MASTER'!$W$2:$W$495&gt;=4))*ROW('CONTROL MASTER'!$S$2:$S$495))-(ROW('CONTROL MASTER'!#REF!)-1)))&amp;TRIM(MID(SUBSTITUTE(SUBSTITUTE(INDEX('CONTROL MASTER'!$N$2:$N$495,(SUMPRODUCT((('CONTROL MASTER'!$S$2:$S$495=10)*('CONTROL MASTER'!$T$2:$T$495&lt;=10)*('CONTROL MASTER'!$V$2:$V$495&gt;=10)*('CONTROL MASTER'!$U$2:$U$495&lt;=4)*('CONTROL MASTER'!$W$2:$W$495&gt;=4))*ROW('CONTROL MASTER'!$S$2:$S$495))-(ROW('CONTROL MASTER'!#REF!)-1))),":",","),",",REPT(" ",50)),((((10-INDEX('CONTROL MASTER'!$T$2:$T$495,(SUMPRODUCT((('CONTROL MASTER'!$S$2:$S$495=10)*('CONTROL MASTER'!$T$2:$T$495&lt;=10)*('CONTROL MASTER'!$V$2:$V$495&gt;=10)*('CONTROL MASTER'!$U$2:$U$495&lt;=4)*('CONTROL MASTER'!$W$2:$W$495&gt;=4))*ROW('CONTROL MASTER'!$S$2:$S$495))-(ROW('CONTROL MASTER'!#REF!)-1))))*(INDEX('CONTROL MASTER'!$W$2:$W$495,(SUMPRODUCT((('CONTROL MASTER'!$S$2:$S$495=10)*('CONTROL MASTER'!$T$2:$T$495&lt;=10)*('CONTROL MASTER'!$V$2:$V$495&gt;=10)*('CONTROL MASTER'!$U$2:$U$495&lt;=4)*('CONTROL MASTER'!$W$2:$W$495&gt;=4))*ROW('CONTROL MASTER'!$S$2:$S$495))-(ROW('CONTROL MASTER'!#REF!)-1)))-INDEX('CONTROL MASTER'!$U$2:$U$495,(SUMPRODUCT((('CONTROL MASTER'!$S$2:$S$495=10)*('CONTROL MASTER'!$T$2:$T$495&lt;=10)*('CONTROL MASTER'!$V$2:$V$495&gt;=10)*('CONTROL MASTER'!$U$2:$U$495&lt;=4)*('CONTROL MASTER'!$W$2:$W$495&gt;=4))*ROW('CONTROL MASTER'!$S$2:$S$495))-(ROW('CONTROL MASTER'!#REF!)-1)))+1)+(4-INDEX('CONTROL MASTER'!$U$2:$U$495,(SUMPRODUCT((('CONTROL MASTER'!$S$2:$S$495=10)*('CONTROL MASTER'!$T$2:$T$495&lt;=10)*('CONTROL MASTER'!$V$2:$V$495&gt;=10)*('CONTROL MASTER'!$U$2:$U$495&lt;=4)*('CONTROL MASTER'!$W$2:$W$495&gt;=4))*ROW('CONTROL MASTER'!$S$2:$S$495))-(ROW('CONTROL MASTER'!#REF!)-1))))+1))-1)*50+1,50))&amp;"_"&amp;INDEX('CONTROL MASTER'!$P$2:$P$495,(SUMPRODUCT((('CONTROL MASTER'!$S$2:$S$495=10)*('CONTROL MASTER'!$T$2:$T$495&lt;=10)*('CONTROL MASTER'!$V$2:$V$495&gt;=10)*('CONTROL MASTER'!$U$2:$U$495&lt;=4)*('CONTROL MASTER'!$W$2:$W$495&gt;=4))*ROW('CONTROL MASTER'!$S$2:$S$495))-(ROW('CONTROL MASTER'!#REF!)-1))),IF(SUMPRODUCT((('CONTROL MASTER'!$S$2:$S$495=10)*('CONTROL MASTER'!$Z$2:$Z$495&lt;=10)*('CONTROL MASTER'!$AB$2:$AB$495&gt;=10)*('CONTROL MASTER'!$AA$2:$AA$495&lt;=4)*('CONTROL MASTER'!$AC$2:$AC$495&gt;=4))*ROW('CONTROL MASTER'!$S$2:$S$495))&gt;0,INDEX('CONTROL MASTER'!$X$2:$X$495,(SUMPRODUCT((('CONTROL MASTER'!$S$2:$S$495=10)*('CONTROL MASTER'!$Z$2:$Z$495&lt;=10)*('CONTROL MASTER'!$AB$2:$AB$495&gt;=10)*('CONTROL MASTER'!$AA$2:$AA$495&lt;=4)*('CONTROL MASTER'!$AC$2:$AC$495&gt;=4))*ROW('CONTROL MASTER'!$S$2:$S$495))-(ROW('CONTROL MASTER'!#REF!)-1)))&amp;TRIM(MID(SUBSTITUTE(SUBSTITUTE(INDEX('CONTROL MASTER'!$N$2:$N$495,(SUMPRODUCT((('CONTROL MASTER'!$S$2:$S$495=10)*('CONTROL MASTER'!$Z$2:$Z$495&lt;=10)*('CONTROL MASTER'!$AB$2:$AB$495&gt;=10)*('CONTROL MASTER'!$AA$2:$AA$495&lt;=4)*('CONTROL MASTER'!$AC$2:$AC$495&gt;=4))*ROW('CONTROL MASTER'!$S$2:$S$495))-(ROW('CONTROL MASTER'!#REF!)-1))),":",","),",",REPT(" ",50)),(((INDEX('CONTROL MASTER'!$Y$2:$Y$495,(SUMPRODUCT((('CONTROL MASTER'!$S$2:$S$495=10)*('CONTROL MASTER'!$Z$2:$Z$495&lt;=10)*('CONTROL MASTER'!$AB$2:$AB$495&gt;=10)*('CONTROL MASTER'!$AA$2:$AA$495&lt;=4)*('CONTROL MASTER'!$AC$2:$AC$495&gt;=4))*ROW('CONTROL MASTER'!$S$2:$S$495))-(ROW('CONTROL MASTER'!#REF!)-1)))+((10-INDEX('CONTROL MASTER'!$Z$2:$Z$495,(SUMPRODUCT((('CONTROL MASTER'!$S$2:$S$495=10)*('CONTROL MASTER'!$Z$2:$Z$495&lt;=10)*('CONTROL MASTER'!$AB$2:$AB$495&gt;=10)*('CONTROL MASTER'!$AA$2:$AA$495&lt;=4)*('CONTROL MASTER'!$AC$2:$AC$495&gt;=4))*ROW('CONTROL MASTER'!$S$2:$S$495))-(ROW('CONTROL MASTER'!#REF!)-1))))*(INDEX('CONTROL MASTER'!$AC$2:$AC$495,(SUMPRODUCT((('CONTROL MASTER'!$S$2:$S$495=10)*('CONTROL MASTER'!$Z$2:$Z$495&lt;=10)*('CONTROL MASTER'!$AB$2:$AB$495&gt;=10)*('CONTROL MASTER'!$AA$2:$AA$495&lt;=4)*('CONTROL MASTER'!$AC$2:$AC$495&gt;=4))*ROW('CONTROL MASTER'!$S$2:$S$495))-(ROW('CONTROL MASTER'!#REF!)-1)))-INDEX('CONTROL MASTER'!$AA$2:$AA$495,(SUMPRODUCT((('CONTROL MASTER'!$S$2:$S$495=10)*('CONTROL MASTER'!$Z$2:$Z$495&lt;=10)*('CONTROL MASTER'!$AB$2:$AB$495&gt;=10)*('CONTROL MASTER'!$AA$2:$AA$495&lt;=4)*('CONTROL MASTER'!$AC$2:$AC$495&gt;=4))*ROW('CONTROL MASTER'!$S$2:$S$495))-(ROW('CONTROL MASTER'!#REF!)-1)))+1)+(4-INDEX('CONTROL MASTER'!$AA$2:$AA$495,(SUMPRODUCT((('CONTROL MASTER'!$S$2:$S$495=10)*('CONTROL MASTER'!$Z$2:$Z$495&lt;=10)*('CONTROL MASTER'!$AB$2:$AB$495&gt;=10)*('CONTROL MASTER'!$AA$2:$AA$495&lt;=4)*('CONTROL MASTER'!$AC$2:$AC$495&gt;=4))*ROW('CONTROL MASTER'!$S$2:$S$495))-(ROW('CONTROL MASTER'!#REF!)-1))))+1)))-1)*50+1,50))&amp;"_"&amp;INDEX('CONTROL MASTER'!$P$2:$P$495,(SUMPRODUCT((('CONTROL MASTER'!$S$2:$S$495=10)*('CONTROL MASTER'!$Z$2:$Z$495&lt;=10)*('CONTROL MASTER'!$AB$2:$AB$495&gt;=10)*('CONTROL MASTER'!$AA$2:$AA$495&lt;=4)*('CONTROL MASTER'!$AC$2:$AC$495&gt;=4))*ROW('CONTROL MASTER'!$S$2:$S$495))-(ROW('CONTROL MASTER'!#REF!)-1))),"")),"")</f>
        <v/>
      </c>
      <c r="F138" s="10" t="str">
        <f>IFERROR(IF(SUMPRODUCT((('CONTROL MASTER'!$S$2:$S$495=10)*('CONTROL MASTER'!$T$2:$T$495&lt;=10)*('CONTROL MASTER'!$V$2:$V$495&gt;=10)*('CONTROL MASTER'!$U$2:$U$495&lt;=5)*('CONTROL MASTER'!$W$2:$W$495&gt;=5))*ROW('CONTROL MASTER'!$S$2:$S$495))&gt;0,INDEX('CONTROL MASTER'!$X$2:$X$495,(SUMPRODUCT((('CONTROL MASTER'!$S$2:$S$495=10)*('CONTROL MASTER'!$T$2:$T$495&lt;=10)*('CONTROL MASTER'!$V$2:$V$495&gt;=10)*('CONTROL MASTER'!$U$2:$U$495&lt;=5)*('CONTROL MASTER'!$W$2:$W$495&gt;=5))*ROW('CONTROL MASTER'!$S$2:$S$495))-(ROW('CONTROL MASTER'!#REF!)-1)))&amp;TRIM(MID(SUBSTITUTE(SUBSTITUTE(INDEX('CONTROL MASTER'!$N$2:$N$495,(SUMPRODUCT((('CONTROL MASTER'!$S$2:$S$495=10)*('CONTROL MASTER'!$T$2:$T$495&lt;=10)*('CONTROL MASTER'!$V$2:$V$495&gt;=10)*('CONTROL MASTER'!$U$2:$U$495&lt;=5)*('CONTROL MASTER'!$W$2:$W$495&gt;=5))*ROW('CONTROL MASTER'!$S$2:$S$495))-(ROW('CONTROL MASTER'!#REF!)-1))),":",","),",",REPT(" ",50)),((((10-INDEX('CONTROL MASTER'!$T$2:$T$495,(SUMPRODUCT((('CONTROL MASTER'!$S$2:$S$495=10)*('CONTROL MASTER'!$T$2:$T$495&lt;=10)*('CONTROL MASTER'!$V$2:$V$495&gt;=10)*('CONTROL MASTER'!$U$2:$U$495&lt;=5)*('CONTROL MASTER'!$W$2:$W$495&gt;=5))*ROW('CONTROL MASTER'!$S$2:$S$495))-(ROW('CONTROL MASTER'!#REF!)-1))))*(INDEX('CONTROL MASTER'!$W$2:$W$495,(SUMPRODUCT((('CONTROL MASTER'!$S$2:$S$495=10)*('CONTROL MASTER'!$T$2:$T$495&lt;=10)*('CONTROL MASTER'!$V$2:$V$495&gt;=10)*('CONTROL MASTER'!$U$2:$U$495&lt;=5)*('CONTROL MASTER'!$W$2:$W$495&gt;=5))*ROW('CONTROL MASTER'!$S$2:$S$495))-(ROW('CONTROL MASTER'!#REF!)-1)))-INDEX('CONTROL MASTER'!$U$2:$U$495,(SUMPRODUCT((('CONTROL MASTER'!$S$2:$S$495=10)*('CONTROL MASTER'!$T$2:$T$495&lt;=10)*('CONTROL MASTER'!$V$2:$V$495&gt;=10)*('CONTROL MASTER'!$U$2:$U$495&lt;=5)*('CONTROL MASTER'!$W$2:$W$495&gt;=5))*ROW('CONTROL MASTER'!$S$2:$S$495))-(ROW('CONTROL MASTER'!#REF!)-1)))+1)+(5-INDEX('CONTROL MASTER'!$U$2:$U$495,(SUMPRODUCT((('CONTROL MASTER'!$S$2:$S$495=10)*('CONTROL MASTER'!$T$2:$T$495&lt;=10)*('CONTROL MASTER'!$V$2:$V$495&gt;=10)*('CONTROL MASTER'!$U$2:$U$495&lt;=5)*('CONTROL MASTER'!$W$2:$W$495&gt;=5))*ROW('CONTROL MASTER'!$S$2:$S$495))-(ROW('CONTROL MASTER'!#REF!)-1))))+1))-1)*50+1,50))&amp;"_"&amp;INDEX('CONTROL MASTER'!$P$2:$P$495,(SUMPRODUCT((('CONTROL MASTER'!$S$2:$S$495=10)*('CONTROL MASTER'!$T$2:$T$495&lt;=10)*('CONTROL MASTER'!$V$2:$V$495&gt;=10)*('CONTROL MASTER'!$U$2:$U$495&lt;=5)*('CONTROL MASTER'!$W$2:$W$495&gt;=5))*ROW('CONTROL MASTER'!$S$2:$S$495))-(ROW('CONTROL MASTER'!#REF!)-1))),IF(SUMPRODUCT((('CONTROL MASTER'!$S$2:$S$495=10)*('CONTROL MASTER'!$Z$2:$Z$495&lt;=10)*('CONTROL MASTER'!$AB$2:$AB$495&gt;=10)*('CONTROL MASTER'!$AA$2:$AA$495&lt;=5)*('CONTROL MASTER'!$AC$2:$AC$495&gt;=5))*ROW('CONTROL MASTER'!$S$2:$S$495))&gt;0,INDEX('CONTROL MASTER'!$X$2:$X$495,(SUMPRODUCT((('CONTROL MASTER'!$S$2:$S$495=10)*('CONTROL MASTER'!$Z$2:$Z$495&lt;=10)*('CONTROL MASTER'!$AB$2:$AB$495&gt;=10)*('CONTROL MASTER'!$AA$2:$AA$495&lt;=5)*('CONTROL MASTER'!$AC$2:$AC$495&gt;=5))*ROW('CONTROL MASTER'!$S$2:$S$495))-(ROW('CONTROL MASTER'!#REF!)-1)))&amp;TRIM(MID(SUBSTITUTE(SUBSTITUTE(INDEX('CONTROL MASTER'!$N$2:$N$495,(SUMPRODUCT((('CONTROL MASTER'!$S$2:$S$495=10)*('CONTROL MASTER'!$Z$2:$Z$495&lt;=10)*('CONTROL MASTER'!$AB$2:$AB$495&gt;=10)*('CONTROL MASTER'!$AA$2:$AA$495&lt;=5)*('CONTROL MASTER'!$AC$2:$AC$495&gt;=5))*ROW('CONTROL MASTER'!$S$2:$S$495))-(ROW('CONTROL MASTER'!#REF!)-1))),":",","),",",REPT(" ",50)),(((INDEX('CONTROL MASTER'!$Y$2:$Y$495,(SUMPRODUCT((('CONTROL MASTER'!$S$2:$S$495=10)*('CONTROL MASTER'!$Z$2:$Z$495&lt;=10)*('CONTROL MASTER'!$AB$2:$AB$495&gt;=10)*('CONTROL MASTER'!$AA$2:$AA$495&lt;=5)*('CONTROL MASTER'!$AC$2:$AC$495&gt;=5))*ROW('CONTROL MASTER'!$S$2:$S$495))-(ROW('CONTROL MASTER'!#REF!)-1)))+((10-INDEX('CONTROL MASTER'!$Z$2:$Z$495,(SUMPRODUCT((('CONTROL MASTER'!$S$2:$S$495=10)*('CONTROL MASTER'!$Z$2:$Z$495&lt;=10)*('CONTROL MASTER'!$AB$2:$AB$495&gt;=10)*('CONTROL MASTER'!$AA$2:$AA$495&lt;=5)*('CONTROL MASTER'!$AC$2:$AC$495&gt;=5))*ROW('CONTROL MASTER'!$S$2:$S$495))-(ROW('CONTROL MASTER'!#REF!)-1))))*(INDEX('CONTROL MASTER'!$AC$2:$AC$495,(SUMPRODUCT((('CONTROL MASTER'!$S$2:$S$495=10)*('CONTROL MASTER'!$Z$2:$Z$495&lt;=10)*('CONTROL MASTER'!$AB$2:$AB$495&gt;=10)*('CONTROL MASTER'!$AA$2:$AA$495&lt;=5)*('CONTROL MASTER'!$AC$2:$AC$495&gt;=5))*ROW('CONTROL MASTER'!$S$2:$S$495))-(ROW('CONTROL MASTER'!#REF!)-1)))-INDEX('CONTROL MASTER'!$AA$2:$AA$495,(SUMPRODUCT((('CONTROL MASTER'!$S$2:$S$495=10)*('CONTROL MASTER'!$Z$2:$Z$495&lt;=10)*('CONTROL MASTER'!$AB$2:$AB$495&gt;=10)*('CONTROL MASTER'!$AA$2:$AA$495&lt;=5)*('CONTROL MASTER'!$AC$2:$AC$495&gt;=5))*ROW('CONTROL MASTER'!$S$2:$S$495))-(ROW('CONTROL MASTER'!#REF!)-1)))+1)+(5-INDEX('CONTROL MASTER'!$AA$2:$AA$495,(SUMPRODUCT((('CONTROL MASTER'!$S$2:$S$495=10)*('CONTROL MASTER'!$Z$2:$Z$495&lt;=10)*('CONTROL MASTER'!$AB$2:$AB$495&gt;=10)*('CONTROL MASTER'!$AA$2:$AA$495&lt;=5)*('CONTROL MASTER'!$AC$2:$AC$495&gt;=5))*ROW('CONTROL MASTER'!$S$2:$S$495))-(ROW('CONTROL MASTER'!#REF!)-1))))+1)))-1)*50+1,50))&amp;"_"&amp;INDEX('CONTROL MASTER'!$P$2:$P$495,(SUMPRODUCT((('CONTROL MASTER'!$S$2:$S$495=10)*('CONTROL MASTER'!$Z$2:$Z$495&lt;=10)*('CONTROL MASTER'!$AB$2:$AB$495&gt;=10)*('CONTROL MASTER'!$AA$2:$AA$495&lt;=5)*('CONTROL MASTER'!$AC$2:$AC$495&gt;=5))*ROW('CONTROL MASTER'!$S$2:$S$495))-(ROW('CONTROL MASTER'!#REF!)-1))),"")),"")</f>
        <v/>
      </c>
      <c r="G138" s="10" t="str">
        <f>IFERROR(IF(SUMPRODUCT((('CONTROL MASTER'!$S$2:$S$495=10)*('CONTROL MASTER'!$T$2:$T$495&lt;=10)*('CONTROL MASTER'!$V$2:$V$495&gt;=10)*('CONTROL MASTER'!$U$2:$U$495&lt;=6)*('CONTROL MASTER'!$W$2:$W$495&gt;=6))*ROW('CONTROL MASTER'!$S$2:$S$495))&gt;0,INDEX('CONTROL MASTER'!$X$2:$X$495,(SUMPRODUCT((('CONTROL MASTER'!$S$2:$S$495=10)*('CONTROL MASTER'!$T$2:$T$495&lt;=10)*('CONTROL MASTER'!$V$2:$V$495&gt;=10)*('CONTROL MASTER'!$U$2:$U$495&lt;=6)*('CONTROL MASTER'!$W$2:$W$495&gt;=6))*ROW('CONTROL MASTER'!$S$2:$S$495))-(ROW('CONTROL MASTER'!#REF!)-1)))&amp;TRIM(MID(SUBSTITUTE(SUBSTITUTE(INDEX('CONTROL MASTER'!$N$2:$N$495,(SUMPRODUCT((('CONTROL MASTER'!$S$2:$S$495=10)*('CONTROL MASTER'!$T$2:$T$495&lt;=10)*('CONTROL MASTER'!$V$2:$V$495&gt;=10)*('CONTROL MASTER'!$U$2:$U$495&lt;=6)*('CONTROL MASTER'!$W$2:$W$495&gt;=6))*ROW('CONTROL MASTER'!$S$2:$S$495))-(ROW('CONTROL MASTER'!#REF!)-1))),":",","),",",REPT(" ",50)),((((10-INDEX('CONTROL MASTER'!$T$2:$T$495,(SUMPRODUCT((('CONTROL MASTER'!$S$2:$S$495=10)*('CONTROL MASTER'!$T$2:$T$495&lt;=10)*('CONTROL MASTER'!$V$2:$V$495&gt;=10)*('CONTROL MASTER'!$U$2:$U$495&lt;=6)*('CONTROL MASTER'!$W$2:$W$495&gt;=6))*ROW('CONTROL MASTER'!$S$2:$S$495))-(ROW('CONTROL MASTER'!#REF!)-1))))*(INDEX('CONTROL MASTER'!$W$2:$W$495,(SUMPRODUCT((('CONTROL MASTER'!$S$2:$S$495=10)*('CONTROL MASTER'!$T$2:$T$495&lt;=10)*('CONTROL MASTER'!$V$2:$V$495&gt;=10)*('CONTROL MASTER'!$U$2:$U$495&lt;=6)*('CONTROL MASTER'!$W$2:$W$495&gt;=6))*ROW('CONTROL MASTER'!$S$2:$S$495))-(ROW('CONTROL MASTER'!#REF!)-1)))-INDEX('CONTROL MASTER'!$U$2:$U$495,(SUMPRODUCT((('CONTROL MASTER'!$S$2:$S$495=10)*('CONTROL MASTER'!$T$2:$T$495&lt;=10)*('CONTROL MASTER'!$V$2:$V$495&gt;=10)*('CONTROL MASTER'!$U$2:$U$495&lt;=6)*('CONTROL MASTER'!$W$2:$W$495&gt;=6))*ROW('CONTROL MASTER'!$S$2:$S$495))-(ROW('CONTROL MASTER'!#REF!)-1)))+1)+(6-INDEX('CONTROL MASTER'!$U$2:$U$495,(SUMPRODUCT((('CONTROL MASTER'!$S$2:$S$495=10)*('CONTROL MASTER'!$T$2:$T$495&lt;=10)*('CONTROL MASTER'!$V$2:$V$495&gt;=10)*('CONTROL MASTER'!$U$2:$U$495&lt;=6)*('CONTROL MASTER'!$W$2:$W$495&gt;=6))*ROW('CONTROL MASTER'!$S$2:$S$495))-(ROW('CONTROL MASTER'!#REF!)-1))))+1))-1)*50+1,50))&amp;"_"&amp;INDEX('CONTROL MASTER'!$P$2:$P$495,(SUMPRODUCT((('CONTROL MASTER'!$S$2:$S$495=10)*('CONTROL MASTER'!$T$2:$T$495&lt;=10)*('CONTROL MASTER'!$V$2:$V$495&gt;=10)*('CONTROL MASTER'!$U$2:$U$495&lt;=6)*('CONTROL MASTER'!$W$2:$W$495&gt;=6))*ROW('CONTROL MASTER'!$S$2:$S$495))-(ROW('CONTROL MASTER'!#REF!)-1))),IF(SUMPRODUCT((('CONTROL MASTER'!$S$2:$S$495=10)*('CONTROL MASTER'!$Z$2:$Z$495&lt;=10)*('CONTROL MASTER'!$AB$2:$AB$495&gt;=10)*('CONTROL MASTER'!$AA$2:$AA$495&lt;=6)*('CONTROL MASTER'!$AC$2:$AC$495&gt;=6))*ROW('CONTROL MASTER'!$S$2:$S$495))&gt;0,INDEX('CONTROL MASTER'!$X$2:$X$495,(SUMPRODUCT((('CONTROL MASTER'!$S$2:$S$495=10)*('CONTROL MASTER'!$Z$2:$Z$495&lt;=10)*('CONTROL MASTER'!$AB$2:$AB$495&gt;=10)*('CONTROL MASTER'!$AA$2:$AA$495&lt;=6)*('CONTROL MASTER'!$AC$2:$AC$495&gt;=6))*ROW('CONTROL MASTER'!$S$2:$S$495))-(ROW('CONTROL MASTER'!#REF!)-1)))&amp;TRIM(MID(SUBSTITUTE(SUBSTITUTE(INDEX('CONTROL MASTER'!$N$2:$N$495,(SUMPRODUCT((('CONTROL MASTER'!$S$2:$S$495=10)*('CONTROL MASTER'!$Z$2:$Z$495&lt;=10)*('CONTROL MASTER'!$AB$2:$AB$495&gt;=10)*('CONTROL MASTER'!$AA$2:$AA$495&lt;=6)*('CONTROL MASTER'!$AC$2:$AC$495&gt;=6))*ROW('CONTROL MASTER'!$S$2:$S$495))-(ROW('CONTROL MASTER'!#REF!)-1))),":",","),",",REPT(" ",50)),(((INDEX('CONTROL MASTER'!$Y$2:$Y$495,(SUMPRODUCT((('CONTROL MASTER'!$S$2:$S$495=10)*('CONTROL MASTER'!$Z$2:$Z$495&lt;=10)*('CONTROL MASTER'!$AB$2:$AB$495&gt;=10)*('CONTROL MASTER'!$AA$2:$AA$495&lt;=6)*('CONTROL MASTER'!$AC$2:$AC$495&gt;=6))*ROW('CONTROL MASTER'!$S$2:$S$495))-(ROW('CONTROL MASTER'!#REF!)-1)))+((10-INDEX('CONTROL MASTER'!$Z$2:$Z$495,(SUMPRODUCT((('CONTROL MASTER'!$S$2:$S$495=10)*('CONTROL MASTER'!$Z$2:$Z$495&lt;=10)*('CONTROL MASTER'!$AB$2:$AB$495&gt;=10)*('CONTROL MASTER'!$AA$2:$AA$495&lt;=6)*('CONTROL MASTER'!$AC$2:$AC$495&gt;=6))*ROW('CONTROL MASTER'!$S$2:$S$495))-(ROW('CONTROL MASTER'!#REF!)-1))))*(INDEX('CONTROL MASTER'!$AC$2:$AC$495,(SUMPRODUCT((('CONTROL MASTER'!$S$2:$S$495=10)*('CONTROL MASTER'!$Z$2:$Z$495&lt;=10)*('CONTROL MASTER'!$AB$2:$AB$495&gt;=10)*('CONTROL MASTER'!$AA$2:$AA$495&lt;=6)*('CONTROL MASTER'!$AC$2:$AC$495&gt;=6))*ROW('CONTROL MASTER'!$S$2:$S$495))-(ROW('CONTROL MASTER'!#REF!)-1)))-INDEX('CONTROL MASTER'!$AA$2:$AA$495,(SUMPRODUCT((('CONTROL MASTER'!$S$2:$S$495=10)*('CONTROL MASTER'!$Z$2:$Z$495&lt;=10)*('CONTROL MASTER'!$AB$2:$AB$495&gt;=10)*('CONTROL MASTER'!$AA$2:$AA$495&lt;=6)*('CONTROL MASTER'!$AC$2:$AC$495&gt;=6))*ROW('CONTROL MASTER'!$S$2:$S$495))-(ROW('CONTROL MASTER'!#REF!)-1)))+1)+(6-INDEX('CONTROL MASTER'!$AA$2:$AA$495,(SUMPRODUCT((('CONTROL MASTER'!$S$2:$S$495=10)*('CONTROL MASTER'!$Z$2:$Z$495&lt;=10)*('CONTROL MASTER'!$AB$2:$AB$495&gt;=10)*('CONTROL MASTER'!$AA$2:$AA$495&lt;=6)*('CONTROL MASTER'!$AC$2:$AC$495&gt;=6))*ROW('CONTROL MASTER'!$S$2:$S$495))-(ROW('CONTROL MASTER'!#REF!)-1))))+1)))-1)*50+1,50))&amp;"_"&amp;INDEX('CONTROL MASTER'!$P$2:$P$495,(SUMPRODUCT((('CONTROL MASTER'!$S$2:$S$495=10)*('CONTROL MASTER'!$Z$2:$Z$495&lt;=10)*('CONTROL MASTER'!$AB$2:$AB$495&gt;=10)*('CONTROL MASTER'!$AA$2:$AA$495&lt;=6)*('CONTROL MASTER'!$AC$2:$AC$495&gt;=6))*ROW('CONTROL MASTER'!$S$2:$S$495))-(ROW('CONTROL MASTER'!#REF!)-1))),"")),"")</f>
        <v/>
      </c>
      <c r="H138" s="10" t="str">
        <f>IFERROR(IF(SUMPRODUCT((('CONTROL MASTER'!$S$2:$S$495=10)*('CONTROL MASTER'!$T$2:$T$495&lt;=10)*('CONTROL MASTER'!$V$2:$V$495&gt;=10)*('CONTROL MASTER'!$U$2:$U$495&lt;=7)*('CONTROL MASTER'!$W$2:$W$495&gt;=7))*ROW('CONTROL MASTER'!$S$2:$S$495))&gt;0,INDEX('CONTROL MASTER'!$X$2:$X$495,(SUMPRODUCT((('CONTROL MASTER'!$S$2:$S$495=10)*('CONTROL MASTER'!$T$2:$T$495&lt;=10)*('CONTROL MASTER'!$V$2:$V$495&gt;=10)*('CONTROL MASTER'!$U$2:$U$495&lt;=7)*('CONTROL MASTER'!$W$2:$W$495&gt;=7))*ROW('CONTROL MASTER'!$S$2:$S$495))-(ROW('CONTROL MASTER'!#REF!)-1)))&amp;TRIM(MID(SUBSTITUTE(SUBSTITUTE(INDEX('CONTROL MASTER'!$N$2:$N$495,(SUMPRODUCT((('CONTROL MASTER'!$S$2:$S$495=10)*('CONTROL MASTER'!$T$2:$T$495&lt;=10)*('CONTROL MASTER'!$V$2:$V$495&gt;=10)*('CONTROL MASTER'!$U$2:$U$495&lt;=7)*('CONTROL MASTER'!$W$2:$W$495&gt;=7))*ROW('CONTROL MASTER'!$S$2:$S$495))-(ROW('CONTROL MASTER'!#REF!)-1))),":",","),",",REPT(" ",50)),((((10-INDEX('CONTROL MASTER'!$T$2:$T$495,(SUMPRODUCT((('CONTROL MASTER'!$S$2:$S$495=10)*('CONTROL MASTER'!$T$2:$T$495&lt;=10)*('CONTROL MASTER'!$V$2:$V$495&gt;=10)*('CONTROL MASTER'!$U$2:$U$495&lt;=7)*('CONTROL MASTER'!$W$2:$W$495&gt;=7))*ROW('CONTROL MASTER'!$S$2:$S$495))-(ROW('CONTROL MASTER'!#REF!)-1))))*(INDEX('CONTROL MASTER'!$W$2:$W$495,(SUMPRODUCT((('CONTROL MASTER'!$S$2:$S$495=10)*('CONTROL MASTER'!$T$2:$T$495&lt;=10)*('CONTROL MASTER'!$V$2:$V$495&gt;=10)*('CONTROL MASTER'!$U$2:$U$495&lt;=7)*('CONTROL MASTER'!$W$2:$W$495&gt;=7))*ROW('CONTROL MASTER'!$S$2:$S$495))-(ROW('CONTROL MASTER'!#REF!)-1)))-INDEX('CONTROL MASTER'!$U$2:$U$495,(SUMPRODUCT((('CONTROL MASTER'!$S$2:$S$495=10)*('CONTROL MASTER'!$T$2:$T$495&lt;=10)*('CONTROL MASTER'!$V$2:$V$495&gt;=10)*('CONTROL MASTER'!$U$2:$U$495&lt;=7)*('CONTROL MASTER'!$W$2:$W$495&gt;=7))*ROW('CONTROL MASTER'!$S$2:$S$495))-(ROW('CONTROL MASTER'!#REF!)-1)))+1)+(7-INDEX('CONTROL MASTER'!$U$2:$U$495,(SUMPRODUCT((('CONTROL MASTER'!$S$2:$S$495=10)*('CONTROL MASTER'!$T$2:$T$495&lt;=10)*('CONTROL MASTER'!$V$2:$V$495&gt;=10)*('CONTROL MASTER'!$U$2:$U$495&lt;=7)*('CONTROL MASTER'!$W$2:$W$495&gt;=7))*ROW('CONTROL MASTER'!$S$2:$S$495))-(ROW('CONTROL MASTER'!#REF!)-1))))+1))-1)*50+1,50))&amp;"_"&amp;INDEX('CONTROL MASTER'!$P$2:$P$495,(SUMPRODUCT((('CONTROL MASTER'!$S$2:$S$495=10)*('CONTROL MASTER'!$T$2:$T$495&lt;=10)*('CONTROL MASTER'!$V$2:$V$495&gt;=10)*('CONTROL MASTER'!$U$2:$U$495&lt;=7)*('CONTROL MASTER'!$W$2:$W$495&gt;=7))*ROW('CONTROL MASTER'!$S$2:$S$495))-(ROW('CONTROL MASTER'!#REF!)-1))),IF(SUMPRODUCT((('CONTROL MASTER'!$S$2:$S$495=10)*('CONTROL MASTER'!$Z$2:$Z$495&lt;=10)*('CONTROL MASTER'!$AB$2:$AB$495&gt;=10)*('CONTROL MASTER'!$AA$2:$AA$495&lt;=7)*('CONTROL MASTER'!$AC$2:$AC$495&gt;=7))*ROW('CONTROL MASTER'!$S$2:$S$495))&gt;0,INDEX('CONTROL MASTER'!$X$2:$X$495,(SUMPRODUCT((('CONTROL MASTER'!$S$2:$S$495=10)*('CONTROL MASTER'!$Z$2:$Z$495&lt;=10)*('CONTROL MASTER'!$AB$2:$AB$495&gt;=10)*('CONTROL MASTER'!$AA$2:$AA$495&lt;=7)*('CONTROL MASTER'!$AC$2:$AC$495&gt;=7))*ROW('CONTROL MASTER'!$S$2:$S$495))-(ROW('CONTROL MASTER'!#REF!)-1)))&amp;TRIM(MID(SUBSTITUTE(SUBSTITUTE(INDEX('CONTROL MASTER'!$N$2:$N$495,(SUMPRODUCT((('CONTROL MASTER'!$S$2:$S$495=10)*('CONTROL MASTER'!$Z$2:$Z$495&lt;=10)*('CONTROL MASTER'!$AB$2:$AB$495&gt;=10)*('CONTROL MASTER'!$AA$2:$AA$495&lt;=7)*('CONTROL MASTER'!$AC$2:$AC$495&gt;=7))*ROW('CONTROL MASTER'!$S$2:$S$495))-(ROW('CONTROL MASTER'!#REF!)-1))),":",","),",",REPT(" ",50)),(((INDEX('CONTROL MASTER'!$Y$2:$Y$495,(SUMPRODUCT((('CONTROL MASTER'!$S$2:$S$495=10)*('CONTROL MASTER'!$Z$2:$Z$495&lt;=10)*('CONTROL MASTER'!$AB$2:$AB$495&gt;=10)*('CONTROL MASTER'!$AA$2:$AA$495&lt;=7)*('CONTROL MASTER'!$AC$2:$AC$495&gt;=7))*ROW('CONTROL MASTER'!$S$2:$S$495))-(ROW('CONTROL MASTER'!#REF!)-1)))+((10-INDEX('CONTROL MASTER'!$Z$2:$Z$495,(SUMPRODUCT((('CONTROL MASTER'!$S$2:$S$495=10)*('CONTROL MASTER'!$Z$2:$Z$495&lt;=10)*('CONTROL MASTER'!$AB$2:$AB$495&gt;=10)*('CONTROL MASTER'!$AA$2:$AA$495&lt;=7)*('CONTROL MASTER'!$AC$2:$AC$495&gt;=7))*ROW('CONTROL MASTER'!$S$2:$S$495))-(ROW('CONTROL MASTER'!#REF!)-1))))*(INDEX('CONTROL MASTER'!$AC$2:$AC$495,(SUMPRODUCT((('CONTROL MASTER'!$S$2:$S$495=10)*('CONTROL MASTER'!$Z$2:$Z$495&lt;=10)*('CONTROL MASTER'!$AB$2:$AB$495&gt;=10)*('CONTROL MASTER'!$AA$2:$AA$495&lt;=7)*('CONTROL MASTER'!$AC$2:$AC$495&gt;=7))*ROW('CONTROL MASTER'!$S$2:$S$495))-(ROW('CONTROL MASTER'!#REF!)-1)))-INDEX('CONTROL MASTER'!$AA$2:$AA$495,(SUMPRODUCT((('CONTROL MASTER'!$S$2:$S$495=10)*('CONTROL MASTER'!$Z$2:$Z$495&lt;=10)*('CONTROL MASTER'!$AB$2:$AB$495&gt;=10)*('CONTROL MASTER'!$AA$2:$AA$495&lt;=7)*('CONTROL MASTER'!$AC$2:$AC$495&gt;=7))*ROW('CONTROL MASTER'!$S$2:$S$495))-(ROW('CONTROL MASTER'!#REF!)-1)))+1)+(7-INDEX('CONTROL MASTER'!$AA$2:$AA$495,(SUMPRODUCT((('CONTROL MASTER'!$S$2:$S$495=10)*('CONTROL MASTER'!$Z$2:$Z$495&lt;=10)*('CONTROL MASTER'!$AB$2:$AB$495&gt;=10)*('CONTROL MASTER'!$AA$2:$AA$495&lt;=7)*('CONTROL MASTER'!$AC$2:$AC$495&gt;=7))*ROW('CONTROL MASTER'!$S$2:$S$495))-(ROW('CONTROL MASTER'!#REF!)-1))))+1)))-1)*50+1,50))&amp;"_"&amp;INDEX('CONTROL MASTER'!$P$2:$P$495,(SUMPRODUCT((('CONTROL MASTER'!$S$2:$S$495=10)*('CONTROL MASTER'!$Z$2:$Z$495&lt;=10)*('CONTROL MASTER'!$AB$2:$AB$495&gt;=10)*('CONTROL MASTER'!$AA$2:$AA$495&lt;=7)*('CONTROL MASTER'!$AC$2:$AC$495&gt;=7))*ROW('CONTROL MASTER'!$S$2:$S$495))-(ROW('CONTROL MASTER'!#REF!)-1))),"")),"")</f>
        <v/>
      </c>
      <c r="I138" s="10" t="str">
        <f>IFERROR(IF(SUMPRODUCT((('CONTROL MASTER'!$S$2:$S$495=10)*('CONTROL MASTER'!$T$2:$T$495&lt;=10)*('CONTROL MASTER'!$V$2:$V$495&gt;=10)*('CONTROL MASTER'!$U$2:$U$495&lt;=8)*('CONTROL MASTER'!$W$2:$W$495&gt;=8))*ROW('CONTROL MASTER'!$S$2:$S$495))&gt;0,INDEX('CONTROL MASTER'!$X$2:$X$495,(SUMPRODUCT((('CONTROL MASTER'!$S$2:$S$495=10)*('CONTROL MASTER'!$T$2:$T$495&lt;=10)*('CONTROL MASTER'!$V$2:$V$495&gt;=10)*('CONTROL MASTER'!$U$2:$U$495&lt;=8)*('CONTROL MASTER'!$W$2:$W$495&gt;=8))*ROW('CONTROL MASTER'!$S$2:$S$495))-(ROW('CONTROL MASTER'!#REF!)-1)))&amp;TRIM(MID(SUBSTITUTE(SUBSTITUTE(INDEX('CONTROL MASTER'!$N$2:$N$495,(SUMPRODUCT((('CONTROL MASTER'!$S$2:$S$495=10)*('CONTROL MASTER'!$T$2:$T$495&lt;=10)*('CONTROL MASTER'!$V$2:$V$495&gt;=10)*('CONTROL MASTER'!$U$2:$U$495&lt;=8)*('CONTROL MASTER'!$W$2:$W$495&gt;=8))*ROW('CONTROL MASTER'!$S$2:$S$495))-(ROW('CONTROL MASTER'!#REF!)-1))),":",","),",",REPT(" ",50)),((((10-INDEX('CONTROL MASTER'!$T$2:$T$495,(SUMPRODUCT((('CONTROL MASTER'!$S$2:$S$495=10)*('CONTROL MASTER'!$T$2:$T$495&lt;=10)*('CONTROL MASTER'!$V$2:$V$495&gt;=10)*('CONTROL MASTER'!$U$2:$U$495&lt;=8)*('CONTROL MASTER'!$W$2:$W$495&gt;=8))*ROW('CONTROL MASTER'!$S$2:$S$495))-(ROW('CONTROL MASTER'!#REF!)-1))))*(INDEX('CONTROL MASTER'!$W$2:$W$495,(SUMPRODUCT((('CONTROL MASTER'!$S$2:$S$495=10)*('CONTROL MASTER'!$T$2:$T$495&lt;=10)*('CONTROL MASTER'!$V$2:$V$495&gt;=10)*('CONTROL MASTER'!$U$2:$U$495&lt;=8)*('CONTROL MASTER'!$W$2:$W$495&gt;=8))*ROW('CONTROL MASTER'!$S$2:$S$495))-(ROW('CONTROL MASTER'!#REF!)-1)))-INDEX('CONTROL MASTER'!$U$2:$U$495,(SUMPRODUCT((('CONTROL MASTER'!$S$2:$S$495=10)*('CONTROL MASTER'!$T$2:$T$495&lt;=10)*('CONTROL MASTER'!$V$2:$V$495&gt;=10)*('CONTROL MASTER'!$U$2:$U$495&lt;=8)*('CONTROL MASTER'!$W$2:$W$495&gt;=8))*ROW('CONTROL MASTER'!$S$2:$S$495))-(ROW('CONTROL MASTER'!#REF!)-1)))+1)+(8-INDEX('CONTROL MASTER'!$U$2:$U$495,(SUMPRODUCT((('CONTROL MASTER'!$S$2:$S$495=10)*('CONTROL MASTER'!$T$2:$T$495&lt;=10)*('CONTROL MASTER'!$V$2:$V$495&gt;=10)*('CONTROL MASTER'!$U$2:$U$495&lt;=8)*('CONTROL MASTER'!$W$2:$W$495&gt;=8))*ROW('CONTROL MASTER'!$S$2:$S$495))-(ROW('CONTROL MASTER'!#REF!)-1))))+1))-1)*50+1,50))&amp;"_"&amp;INDEX('CONTROL MASTER'!$P$2:$P$495,(SUMPRODUCT((('CONTROL MASTER'!$S$2:$S$495=10)*('CONTROL MASTER'!$T$2:$T$495&lt;=10)*('CONTROL MASTER'!$V$2:$V$495&gt;=10)*('CONTROL MASTER'!$U$2:$U$495&lt;=8)*('CONTROL MASTER'!$W$2:$W$495&gt;=8))*ROW('CONTROL MASTER'!$S$2:$S$495))-(ROW('CONTROL MASTER'!#REF!)-1))),IF(SUMPRODUCT((('CONTROL MASTER'!$S$2:$S$495=10)*('CONTROL MASTER'!$Z$2:$Z$495&lt;=10)*('CONTROL MASTER'!$AB$2:$AB$495&gt;=10)*('CONTROL MASTER'!$AA$2:$AA$495&lt;=8)*('CONTROL MASTER'!$AC$2:$AC$495&gt;=8))*ROW('CONTROL MASTER'!$S$2:$S$495))&gt;0,INDEX('CONTROL MASTER'!$X$2:$X$495,(SUMPRODUCT((('CONTROL MASTER'!$S$2:$S$495=10)*('CONTROL MASTER'!$Z$2:$Z$495&lt;=10)*('CONTROL MASTER'!$AB$2:$AB$495&gt;=10)*('CONTROL MASTER'!$AA$2:$AA$495&lt;=8)*('CONTROL MASTER'!$AC$2:$AC$495&gt;=8))*ROW('CONTROL MASTER'!$S$2:$S$495))-(ROW('CONTROL MASTER'!#REF!)-1)))&amp;TRIM(MID(SUBSTITUTE(SUBSTITUTE(INDEX('CONTROL MASTER'!$N$2:$N$495,(SUMPRODUCT((('CONTROL MASTER'!$S$2:$S$495=10)*('CONTROL MASTER'!$Z$2:$Z$495&lt;=10)*('CONTROL MASTER'!$AB$2:$AB$495&gt;=10)*('CONTROL MASTER'!$AA$2:$AA$495&lt;=8)*('CONTROL MASTER'!$AC$2:$AC$495&gt;=8))*ROW('CONTROL MASTER'!$S$2:$S$495))-(ROW('CONTROL MASTER'!#REF!)-1))),":",","),",",REPT(" ",50)),(((INDEX('CONTROL MASTER'!$Y$2:$Y$495,(SUMPRODUCT((('CONTROL MASTER'!$S$2:$S$495=10)*('CONTROL MASTER'!$Z$2:$Z$495&lt;=10)*('CONTROL MASTER'!$AB$2:$AB$495&gt;=10)*('CONTROL MASTER'!$AA$2:$AA$495&lt;=8)*('CONTROL MASTER'!$AC$2:$AC$495&gt;=8))*ROW('CONTROL MASTER'!$S$2:$S$495))-(ROW('CONTROL MASTER'!#REF!)-1)))+((10-INDEX('CONTROL MASTER'!$Z$2:$Z$495,(SUMPRODUCT((('CONTROL MASTER'!$S$2:$S$495=10)*('CONTROL MASTER'!$Z$2:$Z$495&lt;=10)*('CONTROL MASTER'!$AB$2:$AB$495&gt;=10)*('CONTROL MASTER'!$AA$2:$AA$495&lt;=8)*('CONTROL MASTER'!$AC$2:$AC$495&gt;=8))*ROW('CONTROL MASTER'!$S$2:$S$495))-(ROW('CONTROL MASTER'!#REF!)-1))))*(INDEX('CONTROL MASTER'!$AC$2:$AC$495,(SUMPRODUCT((('CONTROL MASTER'!$S$2:$S$495=10)*('CONTROL MASTER'!$Z$2:$Z$495&lt;=10)*('CONTROL MASTER'!$AB$2:$AB$495&gt;=10)*('CONTROL MASTER'!$AA$2:$AA$495&lt;=8)*('CONTROL MASTER'!$AC$2:$AC$495&gt;=8))*ROW('CONTROL MASTER'!$S$2:$S$495))-(ROW('CONTROL MASTER'!#REF!)-1)))-INDEX('CONTROL MASTER'!$AA$2:$AA$495,(SUMPRODUCT((('CONTROL MASTER'!$S$2:$S$495=10)*('CONTROL MASTER'!$Z$2:$Z$495&lt;=10)*('CONTROL MASTER'!$AB$2:$AB$495&gt;=10)*('CONTROL MASTER'!$AA$2:$AA$495&lt;=8)*('CONTROL MASTER'!$AC$2:$AC$495&gt;=8))*ROW('CONTROL MASTER'!$S$2:$S$495))-(ROW('CONTROL MASTER'!#REF!)-1)))+1)+(8-INDEX('CONTROL MASTER'!$AA$2:$AA$495,(SUMPRODUCT((('CONTROL MASTER'!$S$2:$S$495=10)*('CONTROL MASTER'!$Z$2:$Z$495&lt;=10)*('CONTROL MASTER'!$AB$2:$AB$495&gt;=10)*('CONTROL MASTER'!$AA$2:$AA$495&lt;=8)*('CONTROL MASTER'!$AC$2:$AC$495&gt;=8))*ROW('CONTROL MASTER'!$S$2:$S$495))-(ROW('CONTROL MASTER'!#REF!)-1))))+1)))-1)*50+1,50))&amp;"_"&amp;INDEX('CONTROL MASTER'!$P$2:$P$495,(SUMPRODUCT((('CONTROL MASTER'!$S$2:$S$495=10)*('CONTROL MASTER'!$Z$2:$Z$495&lt;=10)*('CONTROL MASTER'!$AB$2:$AB$495&gt;=10)*('CONTROL MASTER'!$AA$2:$AA$495&lt;=8)*('CONTROL MASTER'!$AC$2:$AC$495&gt;=8))*ROW('CONTROL MASTER'!$S$2:$S$495))-(ROW('CONTROL MASTER'!#REF!)-1))),"")),"")</f>
        <v/>
      </c>
      <c r="J138" s="10" t="str">
        <f>IFERROR(IF(SUMPRODUCT((('CONTROL MASTER'!$S$2:$S$495=10)*('CONTROL MASTER'!$T$2:$T$495&lt;=10)*('CONTROL MASTER'!$V$2:$V$495&gt;=10)*('CONTROL MASTER'!$U$2:$U$495&lt;=9)*('CONTROL MASTER'!$W$2:$W$495&gt;=9))*ROW('CONTROL MASTER'!$S$2:$S$495))&gt;0,INDEX('CONTROL MASTER'!$X$2:$X$495,(SUMPRODUCT((('CONTROL MASTER'!$S$2:$S$495=10)*('CONTROL MASTER'!$T$2:$T$495&lt;=10)*('CONTROL MASTER'!$V$2:$V$495&gt;=10)*('CONTROL MASTER'!$U$2:$U$495&lt;=9)*('CONTROL MASTER'!$W$2:$W$495&gt;=9))*ROW('CONTROL MASTER'!$S$2:$S$495))-(ROW('CONTROL MASTER'!#REF!)-1)))&amp;TRIM(MID(SUBSTITUTE(SUBSTITUTE(INDEX('CONTROL MASTER'!$N$2:$N$495,(SUMPRODUCT((('CONTROL MASTER'!$S$2:$S$495=10)*('CONTROL MASTER'!$T$2:$T$495&lt;=10)*('CONTROL MASTER'!$V$2:$V$495&gt;=10)*('CONTROL MASTER'!$U$2:$U$495&lt;=9)*('CONTROL MASTER'!$W$2:$W$495&gt;=9))*ROW('CONTROL MASTER'!$S$2:$S$495))-(ROW('CONTROL MASTER'!#REF!)-1))),":",","),",",REPT(" ",50)),((((10-INDEX('CONTROL MASTER'!$T$2:$T$495,(SUMPRODUCT((('CONTROL MASTER'!$S$2:$S$495=10)*('CONTROL MASTER'!$T$2:$T$495&lt;=10)*('CONTROL MASTER'!$V$2:$V$495&gt;=10)*('CONTROL MASTER'!$U$2:$U$495&lt;=9)*('CONTROL MASTER'!$W$2:$W$495&gt;=9))*ROW('CONTROL MASTER'!$S$2:$S$495))-(ROW('CONTROL MASTER'!#REF!)-1))))*(INDEX('CONTROL MASTER'!$W$2:$W$495,(SUMPRODUCT((('CONTROL MASTER'!$S$2:$S$495=10)*('CONTROL MASTER'!$T$2:$T$495&lt;=10)*('CONTROL MASTER'!$V$2:$V$495&gt;=10)*('CONTROL MASTER'!$U$2:$U$495&lt;=9)*('CONTROL MASTER'!$W$2:$W$495&gt;=9))*ROW('CONTROL MASTER'!$S$2:$S$495))-(ROW('CONTROL MASTER'!#REF!)-1)))-INDEX('CONTROL MASTER'!$U$2:$U$495,(SUMPRODUCT((('CONTROL MASTER'!$S$2:$S$495=10)*('CONTROL MASTER'!$T$2:$T$495&lt;=10)*('CONTROL MASTER'!$V$2:$V$495&gt;=10)*('CONTROL MASTER'!$U$2:$U$495&lt;=9)*('CONTROL MASTER'!$W$2:$W$495&gt;=9))*ROW('CONTROL MASTER'!$S$2:$S$495))-(ROW('CONTROL MASTER'!#REF!)-1)))+1)+(9-INDEX('CONTROL MASTER'!$U$2:$U$495,(SUMPRODUCT((('CONTROL MASTER'!$S$2:$S$495=10)*('CONTROL MASTER'!$T$2:$T$495&lt;=10)*('CONTROL MASTER'!$V$2:$V$495&gt;=10)*('CONTROL MASTER'!$U$2:$U$495&lt;=9)*('CONTROL MASTER'!$W$2:$W$495&gt;=9))*ROW('CONTROL MASTER'!$S$2:$S$495))-(ROW('CONTROL MASTER'!#REF!)-1))))+1))-1)*50+1,50))&amp;"_"&amp;INDEX('CONTROL MASTER'!$P$2:$P$495,(SUMPRODUCT((('CONTROL MASTER'!$S$2:$S$495=10)*('CONTROL MASTER'!$T$2:$T$495&lt;=10)*('CONTROL MASTER'!$V$2:$V$495&gt;=10)*('CONTROL MASTER'!$U$2:$U$495&lt;=9)*('CONTROL MASTER'!$W$2:$W$495&gt;=9))*ROW('CONTROL MASTER'!$S$2:$S$495))-(ROW('CONTROL MASTER'!#REF!)-1))),IF(SUMPRODUCT((('CONTROL MASTER'!$S$2:$S$495=10)*('CONTROL MASTER'!$Z$2:$Z$495&lt;=10)*('CONTROL MASTER'!$AB$2:$AB$495&gt;=10)*('CONTROL MASTER'!$AA$2:$AA$495&lt;=9)*('CONTROL MASTER'!$AC$2:$AC$495&gt;=9))*ROW('CONTROL MASTER'!$S$2:$S$495))&gt;0,INDEX('CONTROL MASTER'!$X$2:$X$495,(SUMPRODUCT((('CONTROL MASTER'!$S$2:$S$495=10)*('CONTROL MASTER'!$Z$2:$Z$495&lt;=10)*('CONTROL MASTER'!$AB$2:$AB$495&gt;=10)*('CONTROL MASTER'!$AA$2:$AA$495&lt;=9)*('CONTROL MASTER'!$AC$2:$AC$495&gt;=9))*ROW('CONTROL MASTER'!$S$2:$S$495))-(ROW('CONTROL MASTER'!#REF!)-1)))&amp;TRIM(MID(SUBSTITUTE(SUBSTITUTE(INDEX('CONTROL MASTER'!$N$2:$N$495,(SUMPRODUCT((('CONTROL MASTER'!$S$2:$S$495=10)*('CONTROL MASTER'!$Z$2:$Z$495&lt;=10)*('CONTROL MASTER'!$AB$2:$AB$495&gt;=10)*('CONTROL MASTER'!$AA$2:$AA$495&lt;=9)*('CONTROL MASTER'!$AC$2:$AC$495&gt;=9))*ROW('CONTROL MASTER'!$S$2:$S$495))-(ROW('CONTROL MASTER'!#REF!)-1))),":",","),",",REPT(" ",50)),(((INDEX('CONTROL MASTER'!$Y$2:$Y$495,(SUMPRODUCT((('CONTROL MASTER'!$S$2:$S$495=10)*('CONTROL MASTER'!$Z$2:$Z$495&lt;=10)*('CONTROL MASTER'!$AB$2:$AB$495&gt;=10)*('CONTROL MASTER'!$AA$2:$AA$495&lt;=9)*('CONTROL MASTER'!$AC$2:$AC$495&gt;=9))*ROW('CONTROL MASTER'!$S$2:$S$495))-(ROW('CONTROL MASTER'!#REF!)-1)))+((10-INDEX('CONTROL MASTER'!$Z$2:$Z$495,(SUMPRODUCT((('CONTROL MASTER'!$S$2:$S$495=10)*('CONTROL MASTER'!$Z$2:$Z$495&lt;=10)*('CONTROL MASTER'!$AB$2:$AB$495&gt;=10)*('CONTROL MASTER'!$AA$2:$AA$495&lt;=9)*('CONTROL MASTER'!$AC$2:$AC$495&gt;=9))*ROW('CONTROL MASTER'!$S$2:$S$495))-(ROW('CONTROL MASTER'!#REF!)-1))))*(INDEX('CONTROL MASTER'!$AC$2:$AC$495,(SUMPRODUCT((('CONTROL MASTER'!$S$2:$S$495=10)*('CONTROL MASTER'!$Z$2:$Z$495&lt;=10)*('CONTROL MASTER'!$AB$2:$AB$495&gt;=10)*('CONTROL MASTER'!$AA$2:$AA$495&lt;=9)*('CONTROL MASTER'!$AC$2:$AC$495&gt;=9))*ROW('CONTROL MASTER'!$S$2:$S$495))-(ROW('CONTROL MASTER'!#REF!)-1)))-INDEX('CONTROL MASTER'!$AA$2:$AA$495,(SUMPRODUCT((('CONTROL MASTER'!$S$2:$S$495=10)*('CONTROL MASTER'!$Z$2:$Z$495&lt;=10)*('CONTROL MASTER'!$AB$2:$AB$495&gt;=10)*('CONTROL MASTER'!$AA$2:$AA$495&lt;=9)*('CONTROL MASTER'!$AC$2:$AC$495&gt;=9))*ROW('CONTROL MASTER'!$S$2:$S$495))-(ROW('CONTROL MASTER'!#REF!)-1)))+1)+(9-INDEX('CONTROL MASTER'!$AA$2:$AA$495,(SUMPRODUCT((('CONTROL MASTER'!$S$2:$S$495=10)*('CONTROL MASTER'!$Z$2:$Z$495&lt;=10)*('CONTROL MASTER'!$AB$2:$AB$495&gt;=10)*('CONTROL MASTER'!$AA$2:$AA$495&lt;=9)*('CONTROL MASTER'!$AC$2:$AC$495&gt;=9))*ROW('CONTROL MASTER'!$S$2:$S$495))-(ROW('CONTROL MASTER'!#REF!)-1))))+1)))-1)*50+1,50))&amp;"_"&amp;INDEX('CONTROL MASTER'!$P$2:$P$495,(SUMPRODUCT((('CONTROL MASTER'!$S$2:$S$495=10)*('CONTROL MASTER'!$Z$2:$Z$495&lt;=10)*('CONTROL MASTER'!$AB$2:$AB$495&gt;=10)*('CONTROL MASTER'!$AA$2:$AA$495&lt;=9)*('CONTROL MASTER'!$AC$2:$AC$495&gt;=9))*ROW('CONTROL MASTER'!$S$2:$S$495))-(ROW('CONTROL MASTER'!#REF!)-1))),"")),"")</f>
        <v/>
      </c>
      <c r="K138" s="10" t="str">
        <f>IFERROR(IF(SUMPRODUCT((('CONTROL MASTER'!$S$2:$S$495=10)*('CONTROL MASTER'!$T$2:$T$495&lt;=10)*('CONTROL MASTER'!$V$2:$V$495&gt;=10)*('CONTROL MASTER'!$U$2:$U$495&lt;=10)*('CONTROL MASTER'!$W$2:$W$495&gt;=10))*ROW('CONTROL MASTER'!$S$2:$S$495))&gt;0,INDEX('CONTROL MASTER'!$X$2:$X$495,(SUMPRODUCT((('CONTROL MASTER'!$S$2:$S$495=10)*('CONTROL MASTER'!$T$2:$T$495&lt;=10)*('CONTROL MASTER'!$V$2:$V$495&gt;=10)*('CONTROL MASTER'!$U$2:$U$495&lt;=10)*('CONTROL MASTER'!$W$2:$W$495&gt;=10))*ROW('CONTROL MASTER'!$S$2:$S$495))-(ROW('CONTROL MASTER'!#REF!)-1)))&amp;TRIM(MID(SUBSTITUTE(SUBSTITUTE(INDEX('CONTROL MASTER'!$N$2:$N$495,(SUMPRODUCT((('CONTROL MASTER'!$S$2:$S$495=10)*('CONTROL MASTER'!$T$2:$T$495&lt;=10)*('CONTROL MASTER'!$V$2:$V$495&gt;=10)*('CONTROL MASTER'!$U$2:$U$495&lt;=10)*('CONTROL MASTER'!$W$2:$W$495&gt;=10))*ROW('CONTROL MASTER'!$S$2:$S$495))-(ROW('CONTROL MASTER'!#REF!)-1))),":",","),",",REPT(" ",50)),((((10-INDEX('CONTROL MASTER'!$T$2:$T$495,(SUMPRODUCT((('CONTROL MASTER'!$S$2:$S$495=10)*('CONTROL MASTER'!$T$2:$T$495&lt;=10)*('CONTROL MASTER'!$V$2:$V$495&gt;=10)*('CONTROL MASTER'!$U$2:$U$495&lt;=10)*('CONTROL MASTER'!$W$2:$W$495&gt;=10))*ROW('CONTROL MASTER'!$S$2:$S$495))-(ROW('CONTROL MASTER'!#REF!)-1))))*(INDEX('CONTROL MASTER'!$W$2:$W$495,(SUMPRODUCT((('CONTROL MASTER'!$S$2:$S$495=10)*('CONTROL MASTER'!$T$2:$T$495&lt;=10)*('CONTROL MASTER'!$V$2:$V$495&gt;=10)*('CONTROL MASTER'!$U$2:$U$495&lt;=10)*('CONTROL MASTER'!$W$2:$W$495&gt;=10))*ROW('CONTROL MASTER'!$S$2:$S$495))-(ROW('CONTROL MASTER'!#REF!)-1)))-INDEX('CONTROL MASTER'!$U$2:$U$495,(SUMPRODUCT((('CONTROL MASTER'!$S$2:$S$495=10)*('CONTROL MASTER'!$T$2:$T$495&lt;=10)*('CONTROL MASTER'!$V$2:$V$495&gt;=10)*('CONTROL MASTER'!$U$2:$U$495&lt;=10)*('CONTROL MASTER'!$W$2:$W$495&gt;=10))*ROW('CONTROL MASTER'!$S$2:$S$495))-(ROW('CONTROL MASTER'!#REF!)-1)))+1)+(10-INDEX('CONTROL MASTER'!$U$2:$U$495,(SUMPRODUCT((('CONTROL MASTER'!$S$2:$S$495=10)*('CONTROL MASTER'!$T$2:$T$495&lt;=10)*('CONTROL MASTER'!$V$2:$V$495&gt;=10)*('CONTROL MASTER'!$U$2:$U$495&lt;=10)*('CONTROL MASTER'!$W$2:$W$495&gt;=10))*ROW('CONTROL MASTER'!$S$2:$S$495))-(ROW('CONTROL MASTER'!#REF!)-1))))+1))-1)*50+1,50))&amp;"_"&amp;INDEX('CONTROL MASTER'!$P$2:$P$495,(SUMPRODUCT((('CONTROL MASTER'!$S$2:$S$495=10)*('CONTROL MASTER'!$T$2:$T$495&lt;=10)*('CONTROL MASTER'!$V$2:$V$495&gt;=10)*('CONTROL MASTER'!$U$2:$U$495&lt;=10)*('CONTROL MASTER'!$W$2:$W$495&gt;=10))*ROW('CONTROL MASTER'!$S$2:$S$495))-(ROW('CONTROL MASTER'!#REF!)-1))),IF(SUMPRODUCT((('CONTROL MASTER'!$S$2:$S$495=10)*('CONTROL MASTER'!$Z$2:$Z$495&lt;=10)*('CONTROL MASTER'!$AB$2:$AB$495&gt;=10)*('CONTROL MASTER'!$AA$2:$AA$495&lt;=10)*('CONTROL MASTER'!$AC$2:$AC$495&gt;=10))*ROW('CONTROL MASTER'!$S$2:$S$495))&gt;0,INDEX('CONTROL MASTER'!$X$2:$X$495,(SUMPRODUCT((('CONTROL MASTER'!$S$2:$S$495=10)*('CONTROL MASTER'!$Z$2:$Z$495&lt;=10)*('CONTROL MASTER'!$AB$2:$AB$495&gt;=10)*('CONTROL MASTER'!$AA$2:$AA$495&lt;=10)*('CONTROL MASTER'!$AC$2:$AC$495&gt;=10))*ROW('CONTROL MASTER'!$S$2:$S$495))-(ROW('CONTROL MASTER'!#REF!)-1)))&amp;TRIM(MID(SUBSTITUTE(SUBSTITUTE(INDEX('CONTROL MASTER'!$N$2:$N$495,(SUMPRODUCT((('CONTROL MASTER'!$S$2:$S$495=10)*('CONTROL MASTER'!$Z$2:$Z$495&lt;=10)*('CONTROL MASTER'!$AB$2:$AB$495&gt;=10)*('CONTROL MASTER'!$AA$2:$AA$495&lt;=10)*('CONTROL MASTER'!$AC$2:$AC$495&gt;=10))*ROW('CONTROL MASTER'!$S$2:$S$495))-(ROW('CONTROL MASTER'!#REF!)-1))),":",","),",",REPT(" ",50)),(((INDEX('CONTROL MASTER'!$Y$2:$Y$495,(SUMPRODUCT((('CONTROL MASTER'!$S$2:$S$495=10)*('CONTROL MASTER'!$Z$2:$Z$495&lt;=10)*('CONTROL MASTER'!$AB$2:$AB$495&gt;=10)*('CONTROL MASTER'!$AA$2:$AA$495&lt;=10)*('CONTROL MASTER'!$AC$2:$AC$495&gt;=10))*ROW('CONTROL MASTER'!$S$2:$S$495))-(ROW('CONTROL MASTER'!#REF!)-1)))+((10-INDEX('CONTROL MASTER'!$Z$2:$Z$495,(SUMPRODUCT((('CONTROL MASTER'!$S$2:$S$495=10)*('CONTROL MASTER'!$Z$2:$Z$495&lt;=10)*('CONTROL MASTER'!$AB$2:$AB$495&gt;=10)*('CONTROL MASTER'!$AA$2:$AA$495&lt;=10)*('CONTROL MASTER'!$AC$2:$AC$495&gt;=10))*ROW('CONTROL MASTER'!$S$2:$S$495))-(ROW('CONTROL MASTER'!#REF!)-1))))*(INDEX('CONTROL MASTER'!$AC$2:$AC$495,(SUMPRODUCT((('CONTROL MASTER'!$S$2:$S$495=10)*('CONTROL MASTER'!$Z$2:$Z$495&lt;=10)*('CONTROL MASTER'!$AB$2:$AB$495&gt;=10)*('CONTROL MASTER'!$AA$2:$AA$495&lt;=10)*('CONTROL MASTER'!$AC$2:$AC$495&gt;=10))*ROW('CONTROL MASTER'!$S$2:$S$495))-(ROW('CONTROL MASTER'!#REF!)-1)))-INDEX('CONTROL MASTER'!$AA$2:$AA$495,(SUMPRODUCT((('CONTROL MASTER'!$S$2:$S$495=10)*('CONTROL MASTER'!$Z$2:$Z$495&lt;=10)*('CONTROL MASTER'!$AB$2:$AB$495&gt;=10)*('CONTROL MASTER'!$AA$2:$AA$495&lt;=10)*('CONTROL MASTER'!$AC$2:$AC$495&gt;=10))*ROW('CONTROL MASTER'!$S$2:$S$495))-(ROW('CONTROL MASTER'!#REF!)-1)))+1)+(10-INDEX('CONTROL MASTER'!$AA$2:$AA$495,(SUMPRODUCT((('CONTROL MASTER'!$S$2:$S$495=10)*('CONTROL MASTER'!$Z$2:$Z$495&lt;=10)*('CONTROL MASTER'!$AB$2:$AB$495&gt;=10)*('CONTROL MASTER'!$AA$2:$AA$495&lt;=10)*('CONTROL MASTER'!$AC$2:$AC$495&gt;=10))*ROW('CONTROL MASTER'!$S$2:$S$495))-(ROW('CONTROL MASTER'!#REF!)-1))))+1)))-1)*50+1,50))&amp;"_"&amp;INDEX('CONTROL MASTER'!$P$2:$P$495,(SUMPRODUCT((('CONTROL MASTER'!$S$2:$S$495=10)*('CONTROL MASTER'!$Z$2:$Z$495&lt;=10)*('CONTROL MASTER'!$AB$2:$AB$495&gt;=10)*('CONTROL MASTER'!$AA$2:$AA$495&lt;=10)*('CONTROL MASTER'!$AC$2:$AC$495&gt;=10))*ROW('CONTROL MASTER'!$S$2:$S$495))-(ROW('CONTROL MASTER'!#REF!)-1))),"")),"")</f>
        <v/>
      </c>
    </row>
    <row r="141" spans="1:11" ht="15" customHeight="1" x14ac:dyDescent="0.35">
      <c r="A141" s="12" t="s">
        <v>167</v>
      </c>
      <c r="B141" s="13"/>
      <c r="C141" s="13"/>
      <c r="D141" s="13"/>
      <c r="E141" s="13"/>
      <c r="F141" s="13"/>
      <c r="G141" s="13"/>
      <c r="H141" s="13"/>
      <c r="I141" s="13"/>
      <c r="J141" s="13"/>
      <c r="K141" s="13"/>
    </row>
    <row r="142" spans="1:11" ht="15" customHeight="1" x14ac:dyDescent="0.35">
      <c r="B142" s="8">
        <v>1</v>
      </c>
      <c r="C142" s="8">
        <v>2</v>
      </c>
      <c r="D142" s="8">
        <v>3</v>
      </c>
      <c r="E142" s="8">
        <v>4</v>
      </c>
      <c r="F142" s="8">
        <v>5</v>
      </c>
      <c r="G142" s="8">
        <v>6</v>
      </c>
      <c r="H142" s="8">
        <v>7</v>
      </c>
      <c r="I142" s="8">
        <v>8</v>
      </c>
      <c r="J142" s="8">
        <v>9</v>
      </c>
      <c r="K142" s="8">
        <v>10</v>
      </c>
    </row>
    <row r="143" spans="1:11" ht="15" customHeight="1" x14ac:dyDescent="0.35">
      <c r="A143" s="8" t="s">
        <v>28</v>
      </c>
      <c r="B143" s="10" t="str">
        <f>IFERROR(IF(SUMPRODUCT((('CONTROL MASTER'!$S$2:$S$495=11)*('CONTROL MASTER'!$T$2:$T$495&lt;=1)*('CONTROL MASTER'!$V$2:$V$495&gt;=1)*('CONTROL MASTER'!$U$2:$U$495&lt;=1)*('CONTROL MASTER'!$W$2:$W$495&gt;=1))*ROW('CONTROL MASTER'!$S$2:$S$495))&gt;0,INDEX('CONTROL MASTER'!$X$2:$X$495,(SUMPRODUCT((('CONTROL MASTER'!$S$2:$S$495=11)*('CONTROL MASTER'!$T$2:$T$495&lt;=1)*('CONTROL MASTER'!$V$2:$V$495&gt;=1)*('CONTROL MASTER'!$U$2:$U$495&lt;=1)*('CONTROL MASTER'!$W$2:$W$495&gt;=1))*ROW('CONTROL MASTER'!$S$2:$S$495))-(ROW('CONTROL MASTER'!#REF!)-1)))&amp;TRIM(MID(SUBSTITUTE(SUBSTITUTE(INDEX('CONTROL MASTER'!$N$2:$N$495,(SUMPRODUCT((('CONTROL MASTER'!$S$2:$S$495=11)*('CONTROL MASTER'!$T$2:$T$495&lt;=1)*('CONTROL MASTER'!$V$2:$V$495&gt;=1)*('CONTROL MASTER'!$U$2:$U$495&lt;=1)*('CONTROL MASTER'!$W$2:$W$495&gt;=1))*ROW('CONTROL MASTER'!$S$2:$S$495))-(ROW('CONTROL MASTER'!#REF!)-1))),":",","),",",REPT(" ",50)),((((1-INDEX('CONTROL MASTER'!$T$2:$T$495,(SUMPRODUCT((('CONTROL MASTER'!$S$2:$S$495=11)*('CONTROL MASTER'!$T$2:$T$495&lt;=1)*('CONTROL MASTER'!$V$2:$V$495&gt;=1)*('CONTROL MASTER'!$U$2:$U$495&lt;=1)*('CONTROL MASTER'!$W$2:$W$495&gt;=1))*ROW('CONTROL MASTER'!$S$2:$S$495))-(ROW('CONTROL MASTER'!#REF!)-1))))*(INDEX('CONTROL MASTER'!$W$2:$W$495,(SUMPRODUCT((('CONTROL MASTER'!$S$2:$S$495=11)*('CONTROL MASTER'!$T$2:$T$495&lt;=1)*('CONTROL MASTER'!$V$2:$V$495&gt;=1)*('CONTROL MASTER'!$U$2:$U$495&lt;=1)*('CONTROL MASTER'!$W$2:$W$495&gt;=1))*ROW('CONTROL MASTER'!$S$2:$S$495))-(ROW('CONTROL MASTER'!#REF!)-1)))-INDEX('CONTROL MASTER'!$U$2:$U$495,(SUMPRODUCT((('CONTROL MASTER'!$S$2:$S$495=11)*('CONTROL MASTER'!$T$2:$T$495&lt;=1)*('CONTROL MASTER'!$V$2:$V$495&gt;=1)*('CONTROL MASTER'!$U$2:$U$495&lt;=1)*('CONTROL MASTER'!$W$2:$W$495&gt;=1))*ROW('CONTROL MASTER'!$S$2:$S$495))-(ROW('CONTROL MASTER'!#REF!)-1)))+1)+(1-INDEX('CONTROL MASTER'!$U$2:$U$495,(SUMPRODUCT((('CONTROL MASTER'!$S$2:$S$495=11)*('CONTROL MASTER'!$T$2:$T$495&lt;=1)*('CONTROL MASTER'!$V$2:$V$495&gt;=1)*('CONTROL MASTER'!$U$2:$U$495&lt;=1)*('CONTROL MASTER'!$W$2:$W$495&gt;=1))*ROW('CONTROL MASTER'!$S$2:$S$495))-(ROW('CONTROL MASTER'!#REF!)-1))))+1))-1)*50+1,50))&amp;"_"&amp;INDEX('CONTROL MASTER'!$P$2:$P$495,(SUMPRODUCT((('CONTROL MASTER'!$S$2:$S$495=11)*('CONTROL MASTER'!$T$2:$T$495&lt;=1)*('CONTROL MASTER'!$V$2:$V$495&gt;=1)*('CONTROL MASTER'!$U$2:$U$495&lt;=1)*('CONTROL MASTER'!$W$2:$W$495&gt;=1))*ROW('CONTROL MASTER'!$S$2:$S$495))-(ROW('CONTROL MASTER'!#REF!)-1))),IF(SUMPRODUCT((('CONTROL MASTER'!$S$2:$S$495=11)*('CONTROL MASTER'!$Z$2:$Z$495&lt;=1)*('CONTROL MASTER'!$AB$2:$AB$495&gt;=1)*('CONTROL MASTER'!$AA$2:$AA$495&lt;=1)*('CONTROL MASTER'!$AC$2:$AC$495&gt;=1))*ROW('CONTROL MASTER'!$S$2:$S$495))&gt;0,INDEX('CONTROL MASTER'!$X$2:$X$495,(SUMPRODUCT((('CONTROL MASTER'!$S$2:$S$495=11)*('CONTROL MASTER'!$Z$2:$Z$495&lt;=1)*('CONTROL MASTER'!$AB$2:$AB$495&gt;=1)*('CONTROL MASTER'!$AA$2:$AA$495&lt;=1)*('CONTROL MASTER'!$AC$2:$AC$495&gt;=1))*ROW('CONTROL MASTER'!$S$2:$S$495))-(ROW('CONTROL MASTER'!#REF!)-1)))&amp;TRIM(MID(SUBSTITUTE(SUBSTITUTE(INDEX('CONTROL MASTER'!$N$2:$N$495,(SUMPRODUCT((('CONTROL MASTER'!$S$2:$S$495=11)*('CONTROL MASTER'!$Z$2:$Z$495&lt;=1)*('CONTROL MASTER'!$AB$2:$AB$495&gt;=1)*('CONTROL MASTER'!$AA$2:$AA$495&lt;=1)*('CONTROL MASTER'!$AC$2:$AC$495&gt;=1))*ROW('CONTROL MASTER'!$S$2:$S$495))-(ROW('CONTROL MASTER'!#REF!)-1))),":",","),",",REPT(" ",50)),(((INDEX('CONTROL MASTER'!$Y$2:$Y$495,(SUMPRODUCT((('CONTROL MASTER'!$S$2:$S$495=11)*('CONTROL MASTER'!$Z$2:$Z$495&lt;=1)*('CONTROL MASTER'!$AB$2:$AB$495&gt;=1)*('CONTROL MASTER'!$AA$2:$AA$495&lt;=1)*('CONTROL MASTER'!$AC$2:$AC$495&gt;=1))*ROW('CONTROL MASTER'!$S$2:$S$495))-(ROW('CONTROL MASTER'!#REF!)-1)))+((1-INDEX('CONTROL MASTER'!$Z$2:$Z$495,(SUMPRODUCT((('CONTROL MASTER'!$S$2:$S$495=11)*('CONTROL MASTER'!$Z$2:$Z$495&lt;=1)*('CONTROL MASTER'!$AB$2:$AB$495&gt;=1)*('CONTROL MASTER'!$AA$2:$AA$495&lt;=1)*('CONTROL MASTER'!$AC$2:$AC$495&gt;=1))*ROW('CONTROL MASTER'!$S$2:$S$495))-(ROW('CONTROL MASTER'!#REF!)-1))))*(INDEX('CONTROL MASTER'!$AC$2:$AC$495,(SUMPRODUCT((('CONTROL MASTER'!$S$2:$S$495=11)*('CONTROL MASTER'!$Z$2:$Z$495&lt;=1)*('CONTROL MASTER'!$AB$2:$AB$495&gt;=1)*('CONTROL MASTER'!$AA$2:$AA$495&lt;=1)*('CONTROL MASTER'!$AC$2:$AC$495&gt;=1))*ROW('CONTROL MASTER'!$S$2:$S$495))-(ROW('CONTROL MASTER'!#REF!)-1)))-INDEX('CONTROL MASTER'!$AA$2:$AA$495,(SUMPRODUCT((('CONTROL MASTER'!$S$2:$S$495=11)*('CONTROL MASTER'!$Z$2:$Z$495&lt;=1)*('CONTROL MASTER'!$AB$2:$AB$495&gt;=1)*('CONTROL MASTER'!$AA$2:$AA$495&lt;=1)*('CONTROL MASTER'!$AC$2:$AC$495&gt;=1))*ROW('CONTROL MASTER'!$S$2:$S$495))-(ROW('CONTROL MASTER'!#REF!)-1)))+1)+(1-INDEX('CONTROL MASTER'!$AA$2:$AA$495,(SUMPRODUCT((('CONTROL MASTER'!$S$2:$S$495=11)*('CONTROL MASTER'!$Z$2:$Z$495&lt;=1)*('CONTROL MASTER'!$AB$2:$AB$495&gt;=1)*('CONTROL MASTER'!$AA$2:$AA$495&lt;=1)*('CONTROL MASTER'!$AC$2:$AC$495&gt;=1))*ROW('CONTROL MASTER'!$S$2:$S$495))-(ROW('CONTROL MASTER'!#REF!)-1))))+1)))-1)*50+1,50))&amp;"_"&amp;INDEX('CONTROL MASTER'!$P$2:$P$495,(SUMPRODUCT((('CONTROL MASTER'!$S$2:$S$495=11)*('CONTROL MASTER'!$Z$2:$Z$495&lt;=1)*('CONTROL MASTER'!$AB$2:$AB$495&gt;=1)*('CONTROL MASTER'!$AA$2:$AA$495&lt;=1)*('CONTROL MASTER'!$AC$2:$AC$495&gt;=1))*ROW('CONTROL MASTER'!$S$2:$S$495))-(ROW('CONTROL MASTER'!#REF!)-1))),"")),"")</f>
        <v/>
      </c>
      <c r="C143" s="10" t="str">
        <f>IFERROR(IF(SUMPRODUCT((('CONTROL MASTER'!$S$2:$S$495=11)*('CONTROL MASTER'!$T$2:$T$495&lt;=1)*('CONTROL MASTER'!$V$2:$V$495&gt;=1)*('CONTROL MASTER'!$U$2:$U$495&lt;=2)*('CONTROL MASTER'!$W$2:$W$495&gt;=2))*ROW('CONTROL MASTER'!$S$2:$S$495))&gt;0,INDEX('CONTROL MASTER'!$X$2:$X$495,(SUMPRODUCT((('CONTROL MASTER'!$S$2:$S$495=11)*('CONTROL MASTER'!$T$2:$T$495&lt;=1)*('CONTROL MASTER'!$V$2:$V$495&gt;=1)*('CONTROL MASTER'!$U$2:$U$495&lt;=2)*('CONTROL MASTER'!$W$2:$W$495&gt;=2))*ROW('CONTROL MASTER'!$S$2:$S$495))-(ROW('CONTROL MASTER'!#REF!)-1)))&amp;TRIM(MID(SUBSTITUTE(SUBSTITUTE(INDEX('CONTROL MASTER'!$N$2:$N$495,(SUMPRODUCT((('CONTROL MASTER'!$S$2:$S$495=11)*('CONTROL MASTER'!$T$2:$T$495&lt;=1)*('CONTROL MASTER'!$V$2:$V$495&gt;=1)*('CONTROL MASTER'!$U$2:$U$495&lt;=2)*('CONTROL MASTER'!$W$2:$W$495&gt;=2))*ROW('CONTROL MASTER'!$S$2:$S$495))-(ROW('CONTROL MASTER'!#REF!)-1))),":",","),",",REPT(" ",50)),((((1-INDEX('CONTROL MASTER'!$T$2:$T$495,(SUMPRODUCT((('CONTROL MASTER'!$S$2:$S$495=11)*('CONTROL MASTER'!$T$2:$T$495&lt;=1)*('CONTROL MASTER'!$V$2:$V$495&gt;=1)*('CONTROL MASTER'!$U$2:$U$495&lt;=2)*('CONTROL MASTER'!$W$2:$W$495&gt;=2))*ROW('CONTROL MASTER'!$S$2:$S$495))-(ROW('CONTROL MASTER'!#REF!)-1))))*(INDEX('CONTROL MASTER'!$W$2:$W$495,(SUMPRODUCT((('CONTROL MASTER'!$S$2:$S$495=11)*('CONTROL MASTER'!$T$2:$T$495&lt;=1)*('CONTROL MASTER'!$V$2:$V$495&gt;=1)*('CONTROL MASTER'!$U$2:$U$495&lt;=2)*('CONTROL MASTER'!$W$2:$W$495&gt;=2))*ROW('CONTROL MASTER'!$S$2:$S$495))-(ROW('CONTROL MASTER'!#REF!)-1)))-INDEX('CONTROL MASTER'!$U$2:$U$495,(SUMPRODUCT((('CONTROL MASTER'!$S$2:$S$495=11)*('CONTROL MASTER'!$T$2:$T$495&lt;=1)*('CONTROL MASTER'!$V$2:$V$495&gt;=1)*('CONTROL MASTER'!$U$2:$U$495&lt;=2)*('CONTROL MASTER'!$W$2:$W$495&gt;=2))*ROW('CONTROL MASTER'!$S$2:$S$495))-(ROW('CONTROL MASTER'!#REF!)-1)))+1)+(2-INDEX('CONTROL MASTER'!$U$2:$U$495,(SUMPRODUCT((('CONTROL MASTER'!$S$2:$S$495=11)*('CONTROL MASTER'!$T$2:$T$495&lt;=1)*('CONTROL MASTER'!$V$2:$V$495&gt;=1)*('CONTROL MASTER'!$U$2:$U$495&lt;=2)*('CONTROL MASTER'!$W$2:$W$495&gt;=2))*ROW('CONTROL MASTER'!$S$2:$S$495))-(ROW('CONTROL MASTER'!#REF!)-1))))+1))-1)*50+1,50))&amp;"_"&amp;INDEX('CONTROL MASTER'!$P$2:$P$495,(SUMPRODUCT((('CONTROL MASTER'!$S$2:$S$495=11)*('CONTROL MASTER'!$T$2:$T$495&lt;=1)*('CONTROL MASTER'!$V$2:$V$495&gt;=1)*('CONTROL MASTER'!$U$2:$U$495&lt;=2)*('CONTROL MASTER'!$W$2:$W$495&gt;=2))*ROW('CONTROL MASTER'!$S$2:$S$495))-(ROW('CONTROL MASTER'!#REF!)-1))),IF(SUMPRODUCT((('CONTROL MASTER'!$S$2:$S$495=11)*('CONTROL MASTER'!$Z$2:$Z$495&lt;=1)*('CONTROL MASTER'!$AB$2:$AB$495&gt;=1)*('CONTROL MASTER'!$AA$2:$AA$495&lt;=2)*('CONTROL MASTER'!$AC$2:$AC$495&gt;=2))*ROW('CONTROL MASTER'!$S$2:$S$495))&gt;0,INDEX('CONTROL MASTER'!$X$2:$X$495,(SUMPRODUCT((('CONTROL MASTER'!$S$2:$S$495=11)*('CONTROL MASTER'!$Z$2:$Z$495&lt;=1)*('CONTROL MASTER'!$AB$2:$AB$495&gt;=1)*('CONTROL MASTER'!$AA$2:$AA$495&lt;=2)*('CONTROL MASTER'!$AC$2:$AC$495&gt;=2))*ROW('CONTROL MASTER'!$S$2:$S$495))-(ROW('CONTROL MASTER'!#REF!)-1)))&amp;TRIM(MID(SUBSTITUTE(SUBSTITUTE(INDEX('CONTROL MASTER'!$N$2:$N$495,(SUMPRODUCT((('CONTROL MASTER'!$S$2:$S$495=11)*('CONTROL MASTER'!$Z$2:$Z$495&lt;=1)*('CONTROL MASTER'!$AB$2:$AB$495&gt;=1)*('CONTROL MASTER'!$AA$2:$AA$495&lt;=2)*('CONTROL MASTER'!$AC$2:$AC$495&gt;=2))*ROW('CONTROL MASTER'!$S$2:$S$495))-(ROW('CONTROL MASTER'!#REF!)-1))),":",","),",",REPT(" ",50)),(((INDEX('CONTROL MASTER'!$Y$2:$Y$495,(SUMPRODUCT((('CONTROL MASTER'!$S$2:$S$495=11)*('CONTROL MASTER'!$Z$2:$Z$495&lt;=1)*('CONTROL MASTER'!$AB$2:$AB$495&gt;=1)*('CONTROL MASTER'!$AA$2:$AA$495&lt;=2)*('CONTROL MASTER'!$AC$2:$AC$495&gt;=2))*ROW('CONTROL MASTER'!$S$2:$S$495))-(ROW('CONTROL MASTER'!#REF!)-1)))+((1-INDEX('CONTROL MASTER'!$Z$2:$Z$495,(SUMPRODUCT((('CONTROL MASTER'!$S$2:$S$495=11)*('CONTROL MASTER'!$Z$2:$Z$495&lt;=1)*('CONTROL MASTER'!$AB$2:$AB$495&gt;=1)*('CONTROL MASTER'!$AA$2:$AA$495&lt;=2)*('CONTROL MASTER'!$AC$2:$AC$495&gt;=2))*ROW('CONTROL MASTER'!$S$2:$S$495))-(ROW('CONTROL MASTER'!#REF!)-1))))*(INDEX('CONTROL MASTER'!$AC$2:$AC$495,(SUMPRODUCT((('CONTROL MASTER'!$S$2:$S$495=11)*('CONTROL MASTER'!$Z$2:$Z$495&lt;=1)*('CONTROL MASTER'!$AB$2:$AB$495&gt;=1)*('CONTROL MASTER'!$AA$2:$AA$495&lt;=2)*('CONTROL MASTER'!$AC$2:$AC$495&gt;=2))*ROW('CONTROL MASTER'!$S$2:$S$495))-(ROW('CONTROL MASTER'!#REF!)-1)))-INDEX('CONTROL MASTER'!$AA$2:$AA$495,(SUMPRODUCT((('CONTROL MASTER'!$S$2:$S$495=11)*('CONTROL MASTER'!$Z$2:$Z$495&lt;=1)*('CONTROL MASTER'!$AB$2:$AB$495&gt;=1)*('CONTROL MASTER'!$AA$2:$AA$495&lt;=2)*('CONTROL MASTER'!$AC$2:$AC$495&gt;=2))*ROW('CONTROL MASTER'!$S$2:$S$495))-(ROW('CONTROL MASTER'!#REF!)-1)))+1)+(2-INDEX('CONTROL MASTER'!$AA$2:$AA$495,(SUMPRODUCT((('CONTROL MASTER'!$S$2:$S$495=11)*('CONTROL MASTER'!$Z$2:$Z$495&lt;=1)*('CONTROL MASTER'!$AB$2:$AB$495&gt;=1)*('CONTROL MASTER'!$AA$2:$AA$495&lt;=2)*('CONTROL MASTER'!$AC$2:$AC$495&gt;=2))*ROW('CONTROL MASTER'!$S$2:$S$495))-(ROW('CONTROL MASTER'!#REF!)-1))))+1)))-1)*50+1,50))&amp;"_"&amp;INDEX('CONTROL MASTER'!$P$2:$P$495,(SUMPRODUCT((('CONTROL MASTER'!$S$2:$S$495=11)*('CONTROL MASTER'!$Z$2:$Z$495&lt;=1)*('CONTROL MASTER'!$AB$2:$AB$495&gt;=1)*('CONTROL MASTER'!$AA$2:$AA$495&lt;=2)*('CONTROL MASTER'!$AC$2:$AC$495&gt;=2))*ROW('CONTROL MASTER'!$S$2:$S$495))-(ROW('CONTROL MASTER'!#REF!)-1))),"")),"")</f>
        <v/>
      </c>
      <c r="D143" s="10" t="str">
        <f>IFERROR(IF(SUMPRODUCT((('CONTROL MASTER'!$S$2:$S$495=11)*('CONTROL MASTER'!$T$2:$T$495&lt;=1)*('CONTROL MASTER'!$V$2:$V$495&gt;=1)*('CONTROL MASTER'!$U$2:$U$495&lt;=3)*('CONTROL MASTER'!$W$2:$W$495&gt;=3))*ROW('CONTROL MASTER'!$S$2:$S$495))&gt;0,INDEX('CONTROL MASTER'!$X$2:$X$495,(SUMPRODUCT((('CONTROL MASTER'!$S$2:$S$495=11)*('CONTROL MASTER'!$T$2:$T$495&lt;=1)*('CONTROL MASTER'!$V$2:$V$495&gt;=1)*('CONTROL MASTER'!$U$2:$U$495&lt;=3)*('CONTROL MASTER'!$W$2:$W$495&gt;=3))*ROW('CONTROL MASTER'!$S$2:$S$495))-(ROW('CONTROL MASTER'!#REF!)-1)))&amp;TRIM(MID(SUBSTITUTE(SUBSTITUTE(INDEX('CONTROL MASTER'!$N$2:$N$495,(SUMPRODUCT((('CONTROL MASTER'!$S$2:$S$495=11)*('CONTROL MASTER'!$T$2:$T$495&lt;=1)*('CONTROL MASTER'!$V$2:$V$495&gt;=1)*('CONTROL MASTER'!$U$2:$U$495&lt;=3)*('CONTROL MASTER'!$W$2:$W$495&gt;=3))*ROW('CONTROL MASTER'!$S$2:$S$495))-(ROW('CONTROL MASTER'!#REF!)-1))),":",","),",",REPT(" ",50)),((((1-INDEX('CONTROL MASTER'!$T$2:$T$495,(SUMPRODUCT((('CONTROL MASTER'!$S$2:$S$495=11)*('CONTROL MASTER'!$T$2:$T$495&lt;=1)*('CONTROL MASTER'!$V$2:$V$495&gt;=1)*('CONTROL MASTER'!$U$2:$U$495&lt;=3)*('CONTROL MASTER'!$W$2:$W$495&gt;=3))*ROW('CONTROL MASTER'!$S$2:$S$495))-(ROW('CONTROL MASTER'!#REF!)-1))))*(INDEX('CONTROL MASTER'!$W$2:$W$495,(SUMPRODUCT((('CONTROL MASTER'!$S$2:$S$495=11)*('CONTROL MASTER'!$T$2:$T$495&lt;=1)*('CONTROL MASTER'!$V$2:$V$495&gt;=1)*('CONTROL MASTER'!$U$2:$U$495&lt;=3)*('CONTROL MASTER'!$W$2:$W$495&gt;=3))*ROW('CONTROL MASTER'!$S$2:$S$495))-(ROW('CONTROL MASTER'!#REF!)-1)))-INDEX('CONTROL MASTER'!$U$2:$U$495,(SUMPRODUCT((('CONTROL MASTER'!$S$2:$S$495=11)*('CONTROL MASTER'!$T$2:$T$495&lt;=1)*('CONTROL MASTER'!$V$2:$V$495&gt;=1)*('CONTROL MASTER'!$U$2:$U$495&lt;=3)*('CONTROL MASTER'!$W$2:$W$495&gt;=3))*ROW('CONTROL MASTER'!$S$2:$S$495))-(ROW('CONTROL MASTER'!#REF!)-1)))+1)+(3-INDEX('CONTROL MASTER'!$U$2:$U$495,(SUMPRODUCT((('CONTROL MASTER'!$S$2:$S$495=11)*('CONTROL MASTER'!$T$2:$T$495&lt;=1)*('CONTROL MASTER'!$V$2:$V$495&gt;=1)*('CONTROL MASTER'!$U$2:$U$495&lt;=3)*('CONTROL MASTER'!$W$2:$W$495&gt;=3))*ROW('CONTROL MASTER'!$S$2:$S$495))-(ROW('CONTROL MASTER'!#REF!)-1))))+1))-1)*50+1,50))&amp;"_"&amp;INDEX('CONTROL MASTER'!$P$2:$P$495,(SUMPRODUCT((('CONTROL MASTER'!$S$2:$S$495=11)*('CONTROL MASTER'!$T$2:$T$495&lt;=1)*('CONTROL MASTER'!$V$2:$V$495&gt;=1)*('CONTROL MASTER'!$U$2:$U$495&lt;=3)*('CONTROL MASTER'!$W$2:$W$495&gt;=3))*ROW('CONTROL MASTER'!$S$2:$S$495))-(ROW('CONTROL MASTER'!#REF!)-1))),IF(SUMPRODUCT((('CONTROL MASTER'!$S$2:$S$495=11)*('CONTROL MASTER'!$Z$2:$Z$495&lt;=1)*('CONTROL MASTER'!$AB$2:$AB$495&gt;=1)*('CONTROL MASTER'!$AA$2:$AA$495&lt;=3)*('CONTROL MASTER'!$AC$2:$AC$495&gt;=3))*ROW('CONTROL MASTER'!$S$2:$S$495))&gt;0,INDEX('CONTROL MASTER'!$X$2:$X$495,(SUMPRODUCT((('CONTROL MASTER'!$S$2:$S$495=11)*('CONTROL MASTER'!$Z$2:$Z$495&lt;=1)*('CONTROL MASTER'!$AB$2:$AB$495&gt;=1)*('CONTROL MASTER'!$AA$2:$AA$495&lt;=3)*('CONTROL MASTER'!$AC$2:$AC$495&gt;=3))*ROW('CONTROL MASTER'!$S$2:$S$495))-(ROW('CONTROL MASTER'!#REF!)-1)))&amp;TRIM(MID(SUBSTITUTE(SUBSTITUTE(INDEX('CONTROL MASTER'!$N$2:$N$495,(SUMPRODUCT((('CONTROL MASTER'!$S$2:$S$495=11)*('CONTROL MASTER'!$Z$2:$Z$495&lt;=1)*('CONTROL MASTER'!$AB$2:$AB$495&gt;=1)*('CONTROL MASTER'!$AA$2:$AA$495&lt;=3)*('CONTROL MASTER'!$AC$2:$AC$495&gt;=3))*ROW('CONTROL MASTER'!$S$2:$S$495))-(ROW('CONTROL MASTER'!#REF!)-1))),":",","),",",REPT(" ",50)),(((INDEX('CONTROL MASTER'!$Y$2:$Y$495,(SUMPRODUCT((('CONTROL MASTER'!$S$2:$S$495=11)*('CONTROL MASTER'!$Z$2:$Z$495&lt;=1)*('CONTROL MASTER'!$AB$2:$AB$495&gt;=1)*('CONTROL MASTER'!$AA$2:$AA$495&lt;=3)*('CONTROL MASTER'!$AC$2:$AC$495&gt;=3))*ROW('CONTROL MASTER'!$S$2:$S$495))-(ROW('CONTROL MASTER'!#REF!)-1)))+((1-INDEX('CONTROL MASTER'!$Z$2:$Z$495,(SUMPRODUCT((('CONTROL MASTER'!$S$2:$S$495=11)*('CONTROL MASTER'!$Z$2:$Z$495&lt;=1)*('CONTROL MASTER'!$AB$2:$AB$495&gt;=1)*('CONTROL MASTER'!$AA$2:$AA$495&lt;=3)*('CONTROL MASTER'!$AC$2:$AC$495&gt;=3))*ROW('CONTROL MASTER'!$S$2:$S$495))-(ROW('CONTROL MASTER'!#REF!)-1))))*(INDEX('CONTROL MASTER'!$AC$2:$AC$495,(SUMPRODUCT((('CONTROL MASTER'!$S$2:$S$495=11)*('CONTROL MASTER'!$Z$2:$Z$495&lt;=1)*('CONTROL MASTER'!$AB$2:$AB$495&gt;=1)*('CONTROL MASTER'!$AA$2:$AA$495&lt;=3)*('CONTROL MASTER'!$AC$2:$AC$495&gt;=3))*ROW('CONTROL MASTER'!$S$2:$S$495))-(ROW('CONTROL MASTER'!#REF!)-1)))-INDEX('CONTROL MASTER'!$AA$2:$AA$495,(SUMPRODUCT((('CONTROL MASTER'!$S$2:$S$495=11)*('CONTROL MASTER'!$Z$2:$Z$495&lt;=1)*('CONTROL MASTER'!$AB$2:$AB$495&gt;=1)*('CONTROL MASTER'!$AA$2:$AA$495&lt;=3)*('CONTROL MASTER'!$AC$2:$AC$495&gt;=3))*ROW('CONTROL MASTER'!$S$2:$S$495))-(ROW('CONTROL MASTER'!#REF!)-1)))+1)+(3-INDEX('CONTROL MASTER'!$AA$2:$AA$495,(SUMPRODUCT((('CONTROL MASTER'!$S$2:$S$495=11)*('CONTROL MASTER'!$Z$2:$Z$495&lt;=1)*('CONTROL MASTER'!$AB$2:$AB$495&gt;=1)*('CONTROL MASTER'!$AA$2:$AA$495&lt;=3)*('CONTROL MASTER'!$AC$2:$AC$495&gt;=3))*ROW('CONTROL MASTER'!$S$2:$S$495))-(ROW('CONTROL MASTER'!#REF!)-1))))+1)))-1)*50+1,50))&amp;"_"&amp;INDEX('CONTROL MASTER'!$P$2:$P$495,(SUMPRODUCT((('CONTROL MASTER'!$S$2:$S$495=11)*('CONTROL MASTER'!$Z$2:$Z$495&lt;=1)*('CONTROL MASTER'!$AB$2:$AB$495&gt;=1)*('CONTROL MASTER'!$AA$2:$AA$495&lt;=3)*('CONTROL MASTER'!$AC$2:$AC$495&gt;=3))*ROW('CONTROL MASTER'!$S$2:$S$495))-(ROW('CONTROL MASTER'!#REF!)-1))),"")),"")</f>
        <v/>
      </c>
      <c r="E143" s="10" t="str">
        <f>IFERROR(IF(SUMPRODUCT((('CONTROL MASTER'!$S$2:$S$495=11)*('CONTROL MASTER'!$T$2:$T$495&lt;=1)*('CONTROL MASTER'!$V$2:$V$495&gt;=1)*('CONTROL MASTER'!$U$2:$U$495&lt;=4)*('CONTROL MASTER'!$W$2:$W$495&gt;=4))*ROW('CONTROL MASTER'!$S$2:$S$495))&gt;0,INDEX('CONTROL MASTER'!$X$2:$X$495,(SUMPRODUCT((('CONTROL MASTER'!$S$2:$S$495=11)*('CONTROL MASTER'!$T$2:$T$495&lt;=1)*('CONTROL MASTER'!$V$2:$V$495&gt;=1)*('CONTROL MASTER'!$U$2:$U$495&lt;=4)*('CONTROL MASTER'!$W$2:$W$495&gt;=4))*ROW('CONTROL MASTER'!$S$2:$S$495))-(ROW('CONTROL MASTER'!#REF!)-1)))&amp;TRIM(MID(SUBSTITUTE(SUBSTITUTE(INDEX('CONTROL MASTER'!$N$2:$N$495,(SUMPRODUCT((('CONTROL MASTER'!$S$2:$S$495=11)*('CONTROL MASTER'!$T$2:$T$495&lt;=1)*('CONTROL MASTER'!$V$2:$V$495&gt;=1)*('CONTROL MASTER'!$U$2:$U$495&lt;=4)*('CONTROL MASTER'!$W$2:$W$495&gt;=4))*ROW('CONTROL MASTER'!$S$2:$S$495))-(ROW('CONTROL MASTER'!#REF!)-1))),":",","),",",REPT(" ",50)),((((1-INDEX('CONTROL MASTER'!$T$2:$T$495,(SUMPRODUCT((('CONTROL MASTER'!$S$2:$S$495=11)*('CONTROL MASTER'!$T$2:$T$495&lt;=1)*('CONTROL MASTER'!$V$2:$V$495&gt;=1)*('CONTROL MASTER'!$U$2:$U$495&lt;=4)*('CONTROL MASTER'!$W$2:$W$495&gt;=4))*ROW('CONTROL MASTER'!$S$2:$S$495))-(ROW('CONTROL MASTER'!#REF!)-1))))*(INDEX('CONTROL MASTER'!$W$2:$W$495,(SUMPRODUCT((('CONTROL MASTER'!$S$2:$S$495=11)*('CONTROL MASTER'!$T$2:$T$495&lt;=1)*('CONTROL MASTER'!$V$2:$V$495&gt;=1)*('CONTROL MASTER'!$U$2:$U$495&lt;=4)*('CONTROL MASTER'!$W$2:$W$495&gt;=4))*ROW('CONTROL MASTER'!$S$2:$S$495))-(ROW('CONTROL MASTER'!#REF!)-1)))-INDEX('CONTROL MASTER'!$U$2:$U$495,(SUMPRODUCT((('CONTROL MASTER'!$S$2:$S$495=11)*('CONTROL MASTER'!$T$2:$T$495&lt;=1)*('CONTROL MASTER'!$V$2:$V$495&gt;=1)*('CONTROL MASTER'!$U$2:$U$495&lt;=4)*('CONTROL MASTER'!$W$2:$W$495&gt;=4))*ROW('CONTROL MASTER'!$S$2:$S$495))-(ROW('CONTROL MASTER'!#REF!)-1)))+1)+(4-INDEX('CONTROL MASTER'!$U$2:$U$495,(SUMPRODUCT((('CONTROL MASTER'!$S$2:$S$495=11)*('CONTROL MASTER'!$T$2:$T$495&lt;=1)*('CONTROL MASTER'!$V$2:$V$495&gt;=1)*('CONTROL MASTER'!$U$2:$U$495&lt;=4)*('CONTROL MASTER'!$W$2:$W$495&gt;=4))*ROW('CONTROL MASTER'!$S$2:$S$495))-(ROW('CONTROL MASTER'!#REF!)-1))))+1))-1)*50+1,50))&amp;"_"&amp;INDEX('CONTROL MASTER'!$P$2:$P$495,(SUMPRODUCT((('CONTROL MASTER'!$S$2:$S$495=11)*('CONTROL MASTER'!$T$2:$T$495&lt;=1)*('CONTROL MASTER'!$V$2:$V$495&gt;=1)*('CONTROL MASTER'!$U$2:$U$495&lt;=4)*('CONTROL MASTER'!$W$2:$W$495&gt;=4))*ROW('CONTROL MASTER'!$S$2:$S$495))-(ROW('CONTROL MASTER'!#REF!)-1))),IF(SUMPRODUCT((('CONTROL MASTER'!$S$2:$S$495=11)*('CONTROL MASTER'!$Z$2:$Z$495&lt;=1)*('CONTROL MASTER'!$AB$2:$AB$495&gt;=1)*('CONTROL MASTER'!$AA$2:$AA$495&lt;=4)*('CONTROL MASTER'!$AC$2:$AC$495&gt;=4))*ROW('CONTROL MASTER'!$S$2:$S$495))&gt;0,INDEX('CONTROL MASTER'!$X$2:$X$495,(SUMPRODUCT((('CONTROL MASTER'!$S$2:$S$495=11)*('CONTROL MASTER'!$Z$2:$Z$495&lt;=1)*('CONTROL MASTER'!$AB$2:$AB$495&gt;=1)*('CONTROL MASTER'!$AA$2:$AA$495&lt;=4)*('CONTROL MASTER'!$AC$2:$AC$495&gt;=4))*ROW('CONTROL MASTER'!$S$2:$S$495))-(ROW('CONTROL MASTER'!#REF!)-1)))&amp;TRIM(MID(SUBSTITUTE(SUBSTITUTE(INDEX('CONTROL MASTER'!$N$2:$N$495,(SUMPRODUCT((('CONTROL MASTER'!$S$2:$S$495=11)*('CONTROL MASTER'!$Z$2:$Z$495&lt;=1)*('CONTROL MASTER'!$AB$2:$AB$495&gt;=1)*('CONTROL MASTER'!$AA$2:$AA$495&lt;=4)*('CONTROL MASTER'!$AC$2:$AC$495&gt;=4))*ROW('CONTROL MASTER'!$S$2:$S$495))-(ROW('CONTROL MASTER'!#REF!)-1))),":",","),",",REPT(" ",50)),(((INDEX('CONTROL MASTER'!$Y$2:$Y$495,(SUMPRODUCT((('CONTROL MASTER'!$S$2:$S$495=11)*('CONTROL MASTER'!$Z$2:$Z$495&lt;=1)*('CONTROL MASTER'!$AB$2:$AB$495&gt;=1)*('CONTROL MASTER'!$AA$2:$AA$495&lt;=4)*('CONTROL MASTER'!$AC$2:$AC$495&gt;=4))*ROW('CONTROL MASTER'!$S$2:$S$495))-(ROW('CONTROL MASTER'!#REF!)-1)))+((1-INDEX('CONTROL MASTER'!$Z$2:$Z$495,(SUMPRODUCT((('CONTROL MASTER'!$S$2:$S$495=11)*('CONTROL MASTER'!$Z$2:$Z$495&lt;=1)*('CONTROL MASTER'!$AB$2:$AB$495&gt;=1)*('CONTROL MASTER'!$AA$2:$AA$495&lt;=4)*('CONTROL MASTER'!$AC$2:$AC$495&gt;=4))*ROW('CONTROL MASTER'!$S$2:$S$495))-(ROW('CONTROL MASTER'!#REF!)-1))))*(INDEX('CONTROL MASTER'!$AC$2:$AC$495,(SUMPRODUCT((('CONTROL MASTER'!$S$2:$S$495=11)*('CONTROL MASTER'!$Z$2:$Z$495&lt;=1)*('CONTROL MASTER'!$AB$2:$AB$495&gt;=1)*('CONTROL MASTER'!$AA$2:$AA$495&lt;=4)*('CONTROL MASTER'!$AC$2:$AC$495&gt;=4))*ROW('CONTROL MASTER'!$S$2:$S$495))-(ROW('CONTROL MASTER'!#REF!)-1)))-INDEX('CONTROL MASTER'!$AA$2:$AA$495,(SUMPRODUCT((('CONTROL MASTER'!$S$2:$S$495=11)*('CONTROL MASTER'!$Z$2:$Z$495&lt;=1)*('CONTROL MASTER'!$AB$2:$AB$495&gt;=1)*('CONTROL MASTER'!$AA$2:$AA$495&lt;=4)*('CONTROL MASTER'!$AC$2:$AC$495&gt;=4))*ROW('CONTROL MASTER'!$S$2:$S$495))-(ROW('CONTROL MASTER'!#REF!)-1)))+1)+(4-INDEX('CONTROL MASTER'!$AA$2:$AA$495,(SUMPRODUCT((('CONTROL MASTER'!$S$2:$S$495=11)*('CONTROL MASTER'!$Z$2:$Z$495&lt;=1)*('CONTROL MASTER'!$AB$2:$AB$495&gt;=1)*('CONTROL MASTER'!$AA$2:$AA$495&lt;=4)*('CONTROL MASTER'!$AC$2:$AC$495&gt;=4))*ROW('CONTROL MASTER'!$S$2:$S$495))-(ROW('CONTROL MASTER'!#REF!)-1))))+1)))-1)*50+1,50))&amp;"_"&amp;INDEX('CONTROL MASTER'!$P$2:$P$495,(SUMPRODUCT((('CONTROL MASTER'!$S$2:$S$495=11)*('CONTROL MASTER'!$Z$2:$Z$495&lt;=1)*('CONTROL MASTER'!$AB$2:$AB$495&gt;=1)*('CONTROL MASTER'!$AA$2:$AA$495&lt;=4)*('CONTROL MASTER'!$AC$2:$AC$495&gt;=4))*ROW('CONTROL MASTER'!$S$2:$S$495))-(ROW('CONTROL MASTER'!#REF!)-1))),"")),"")</f>
        <v/>
      </c>
      <c r="F143" s="10" t="str">
        <f>IFERROR(IF(SUMPRODUCT((('CONTROL MASTER'!$S$2:$S$495=11)*('CONTROL MASTER'!$T$2:$T$495&lt;=1)*('CONTROL MASTER'!$V$2:$V$495&gt;=1)*('CONTROL MASTER'!$U$2:$U$495&lt;=5)*('CONTROL MASTER'!$W$2:$W$495&gt;=5))*ROW('CONTROL MASTER'!$S$2:$S$495))&gt;0,INDEX('CONTROL MASTER'!$X$2:$X$495,(SUMPRODUCT((('CONTROL MASTER'!$S$2:$S$495=11)*('CONTROL MASTER'!$T$2:$T$495&lt;=1)*('CONTROL MASTER'!$V$2:$V$495&gt;=1)*('CONTROL MASTER'!$U$2:$U$495&lt;=5)*('CONTROL MASTER'!$W$2:$W$495&gt;=5))*ROW('CONTROL MASTER'!$S$2:$S$495))-(ROW('CONTROL MASTER'!#REF!)-1)))&amp;TRIM(MID(SUBSTITUTE(SUBSTITUTE(INDEX('CONTROL MASTER'!$N$2:$N$495,(SUMPRODUCT((('CONTROL MASTER'!$S$2:$S$495=11)*('CONTROL MASTER'!$T$2:$T$495&lt;=1)*('CONTROL MASTER'!$V$2:$V$495&gt;=1)*('CONTROL MASTER'!$U$2:$U$495&lt;=5)*('CONTROL MASTER'!$W$2:$W$495&gt;=5))*ROW('CONTROL MASTER'!$S$2:$S$495))-(ROW('CONTROL MASTER'!#REF!)-1))),":",","),",",REPT(" ",50)),((((1-INDEX('CONTROL MASTER'!$T$2:$T$495,(SUMPRODUCT((('CONTROL MASTER'!$S$2:$S$495=11)*('CONTROL MASTER'!$T$2:$T$495&lt;=1)*('CONTROL MASTER'!$V$2:$V$495&gt;=1)*('CONTROL MASTER'!$U$2:$U$495&lt;=5)*('CONTROL MASTER'!$W$2:$W$495&gt;=5))*ROW('CONTROL MASTER'!$S$2:$S$495))-(ROW('CONTROL MASTER'!#REF!)-1))))*(INDEX('CONTROL MASTER'!$W$2:$W$495,(SUMPRODUCT((('CONTROL MASTER'!$S$2:$S$495=11)*('CONTROL MASTER'!$T$2:$T$495&lt;=1)*('CONTROL MASTER'!$V$2:$V$495&gt;=1)*('CONTROL MASTER'!$U$2:$U$495&lt;=5)*('CONTROL MASTER'!$W$2:$W$495&gt;=5))*ROW('CONTROL MASTER'!$S$2:$S$495))-(ROW('CONTROL MASTER'!#REF!)-1)))-INDEX('CONTROL MASTER'!$U$2:$U$495,(SUMPRODUCT((('CONTROL MASTER'!$S$2:$S$495=11)*('CONTROL MASTER'!$T$2:$T$495&lt;=1)*('CONTROL MASTER'!$V$2:$V$495&gt;=1)*('CONTROL MASTER'!$U$2:$U$495&lt;=5)*('CONTROL MASTER'!$W$2:$W$495&gt;=5))*ROW('CONTROL MASTER'!$S$2:$S$495))-(ROW('CONTROL MASTER'!#REF!)-1)))+1)+(5-INDEX('CONTROL MASTER'!$U$2:$U$495,(SUMPRODUCT((('CONTROL MASTER'!$S$2:$S$495=11)*('CONTROL MASTER'!$T$2:$T$495&lt;=1)*('CONTROL MASTER'!$V$2:$V$495&gt;=1)*('CONTROL MASTER'!$U$2:$U$495&lt;=5)*('CONTROL MASTER'!$W$2:$W$495&gt;=5))*ROW('CONTROL MASTER'!$S$2:$S$495))-(ROW('CONTROL MASTER'!#REF!)-1))))+1))-1)*50+1,50))&amp;"_"&amp;INDEX('CONTROL MASTER'!$P$2:$P$495,(SUMPRODUCT((('CONTROL MASTER'!$S$2:$S$495=11)*('CONTROL MASTER'!$T$2:$T$495&lt;=1)*('CONTROL MASTER'!$V$2:$V$495&gt;=1)*('CONTROL MASTER'!$U$2:$U$495&lt;=5)*('CONTROL MASTER'!$W$2:$W$495&gt;=5))*ROW('CONTROL MASTER'!$S$2:$S$495))-(ROW('CONTROL MASTER'!#REF!)-1))),IF(SUMPRODUCT((('CONTROL MASTER'!$S$2:$S$495=11)*('CONTROL MASTER'!$Z$2:$Z$495&lt;=1)*('CONTROL MASTER'!$AB$2:$AB$495&gt;=1)*('CONTROL MASTER'!$AA$2:$AA$495&lt;=5)*('CONTROL MASTER'!$AC$2:$AC$495&gt;=5))*ROW('CONTROL MASTER'!$S$2:$S$495))&gt;0,INDEX('CONTROL MASTER'!$X$2:$X$495,(SUMPRODUCT((('CONTROL MASTER'!$S$2:$S$495=11)*('CONTROL MASTER'!$Z$2:$Z$495&lt;=1)*('CONTROL MASTER'!$AB$2:$AB$495&gt;=1)*('CONTROL MASTER'!$AA$2:$AA$495&lt;=5)*('CONTROL MASTER'!$AC$2:$AC$495&gt;=5))*ROW('CONTROL MASTER'!$S$2:$S$495))-(ROW('CONTROL MASTER'!#REF!)-1)))&amp;TRIM(MID(SUBSTITUTE(SUBSTITUTE(INDEX('CONTROL MASTER'!$N$2:$N$495,(SUMPRODUCT((('CONTROL MASTER'!$S$2:$S$495=11)*('CONTROL MASTER'!$Z$2:$Z$495&lt;=1)*('CONTROL MASTER'!$AB$2:$AB$495&gt;=1)*('CONTROL MASTER'!$AA$2:$AA$495&lt;=5)*('CONTROL MASTER'!$AC$2:$AC$495&gt;=5))*ROW('CONTROL MASTER'!$S$2:$S$495))-(ROW('CONTROL MASTER'!#REF!)-1))),":",","),",",REPT(" ",50)),(((INDEX('CONTROL MASTER'!$Y$2:$Y$495,(SUMPRODUCT((('CONTROL MASTER'!$S$2:$S$495=11)*('CONTROL MASTER'!$Z$2:$Z$495&lt;=1)*('CONTROL MASTER'!$AB$2:$AB$495&gt;=1)*('CONTROL MASTER'!$AA$2:$AA$495&lt;=5)*('CONTROL MASTER'!$AC$2:$AC$495&gt;=5))*ROW('CONTROL MASTER'!$S$2:$S$495))-(ROW('CONTROL MASTER'!#REF!)-1)))+((1-INDEX('CONTROL MASTER'!$Z$2:$Z$495,(SUMPRODUCT((('CONTROL MASTER'!$S$2:$S$495=11)*('CONTROL MASTER'!$Z$2:$Z$495&lt;=1)*('CONTROL MASTER'!$AB$2:$AB$495&gt;=1)*('CONTROL MASTER'!$AA$2:$AA$495&lt;=5)*('CONTROL MASTER'!$AC$2:$AC$495&gt;=5))*ROW('CONTROL MASTER'!$S$2:$S$495))-(ROW('CONTROL MASTER'!#REF!)-1))))*(INDEX('CONTROL MASTER'!$AC$2:$AC$495,(SUMPRODUCT((('CONTROL MASTER'!$S$2:$S$495=11)*('CONTROL MASTER'!$Z$2:$Z$495&lt;=1)*('CONTROL MASTER'!$AB$2:$AB$495&gt;=1)*('CONTROL MASTER'!$AA$2:$AA$495&lt;=5)*('CONTROL MASTER'!$AC$2:$AC$495&gt;=5))*ROW('CONTROL MASTER'!$S$2:$S$495))-(ROW('CONTROL MASTER'!#REF!)-1)))-INDEX('CONTROL MASTER'!$AA$2:$AA$495,(SUMPRODUCT((('CONTROL MASTER'!$S$2:$S$495=11)*('CONTROL MASTER'!$Z$2:$Z$495&lt;=1)*('CONTROL MASTER'!$AB$2:$AB$495&gt;=1)*('CONTROL MASTER'!$AA$2:$AA$495&lt;=5)*('CONTROL MASTER'!$AC$2:$AC$495&gt;=5))*ROW('CONTROL MASTER'!$S$2:$S$495))-(ROW('CONTROL MASTER'!#REF!)-1)))+1)+(5-INDEX('CONTROL MASTER'!$AA$2:$AA$495,(SUMPRODUCT((('CONTROL MASTER'!$S$2:$S$495=11)*('CONTROL MASTER'!$Z$2:$Z$495&lt;=1)*('CONTROL MASTER'!$AB$2:$AB$495&gt;=1)*('CONTROL MASTER'!$AA$2:$AA$495&lt;=5)*('CONTROL MASTER'!$AC$2:$AC$495&gt;=5))*ROW('CONTROL MASTER'!$S$2:$S$495))-(ROW('CONTROL MASTER'!#REF!)-1))))+1)))-1)*50+1,50))&amp;"_"&amp;INDEX('CONTROL MASTER'!$P$2:$P$495,(SUMPRODUCT((('CONTROL MASTER'!$S$2:$S$495=11)*('CONTROL MASTER'!$Z$2:$Z$495&lt;=1)*('CONTROL MASTER'!$AB$2:$AB$495&gt;=1)*('CONTROL MASTER'!$AA$2:$AA$495&lt;=5)*('CONTROL MASTER'!$AC$2:$AC$495&gt;=5))*ROW('CONTROL MASTER'!$S$2:$S$495))-(ROW('CONTROL MASTER'!#REF!)-1))),"")),"")</f>
        <v/>
      </c>
      <c r="G143" s="10" t="str">
        <f>IFERROR(IF(SUMPRODUCT((('CONTROL MASTER'!$S$2:$S$495=11)*('CONTROL MASTER'!$T$2:$T$495&lt;=1)*('CONTROL MASTER'!$V$2:$V$495&gt;=1)*('CONTROL MASTER'!$U$2:$U$495&lt;=6)*('CONTROL MASTER'!$W$2:$W$495&gt;=6))*ROW('CONTROL MASTER'!$S$2:$S$495))&gt;0,INDEX('CONTROL MASTER'!$X$2:$X$495,(SUMPRODUCT((('CONTROL MASTER'!$S$2:$S$495=11)*('CONTROL MASTER'!$T$2:$T$495&lt;=1)*('CONTROL MASTER'!$V$2:$V$495&gt;=1)*('CONTROL MASTER'!$U$2:$U$495&lt;=6)*('CONTROL MASTER'!$W$2:$W$495&gt;=6))*ROW('CONTROL MASTER'!$S$2:$S$495))-(ROW('CONTROL MASTER'!#REF!)-1)))&amp;TRIM(MID(SUBSTITUTE(SUBSTITUTE(INDEX('CONTROL MASTER'!$N$2:$N$495,(SUMPRODUCT((('CONTROL MASTER'!$S$2:$S$495=11)*('CONTROL MASTER'!$T$2:$T$495&lt;=1)*('CONTROL MASTER'!$V$2:$V$495&gt;=1)*('CONTROL MASTER'!$U$2:$U$495&lt;=6)*('CONTROL MASTER'!$W$2:$W$495&gt;=6))*ROW('CONTROL MASTER'!$S$2:$S$495))-(ROW('CONTROL MASTER'!#REF!)-1))),":",","),",",REPT(" ",50)),((((1-INDEX('CONTROL MASTER'!$T$2:$T$495,(SUMPRODUCT((('CONTROL MASTER'!$S$2:$S$495=11)*('CONTROL MASTER'!$T$2:$T$495&lt;=1)*('CONTROL MASTER'!$V$2:$V$495&gt;=1)*('CONTROL MASTER'!$U$2:$U$495&lt;=6)*('CONTROL MASTER'!$W$2:$W$495&gt;=6))*ROW('CONTROL MASTER'!$S$2:$S$495))-(ROW('CONTROL MASTER'!#REF!)-1))))*(INDEX('CONTROL MASTER'!$W$2:$W$495,(SUMPRODUCT((('CONTROL MASTER'!$S$2:$S$495=11)*('CONTROL MASTER'!$T$2:$T$495&lt;=1)*('CONTROL MASTER'!$V$2:$V$495&gt;=1)*('CONTROL MASTER'!$U$2:$U$495&lt;=6)*('CONTROL MASTER'!$W$2:$W$495&gt;=6))*ROW('CONTROL MASTER'!$S$2:$S$495))-(ROW('CONTROL MASTER'!#REF!)-1)))-INDEX('CONTROL MASTER'!$U$2:$U$495,(SUMPRODUCT((('CONTROL MASTER'!$S$2:$S$495=11)*('CONTROL MASTER'!$T$2:$T$495&lt;=1)*('CONTROL MASTER'!$V$2:$V$495&gt;=1)*('CONTROL MASTER'!$U$2:$U$495&lt;=6)*('CONTROL MASTER'!$W$2:$W$495&gt;=6))*ROW('CONTROL MASTER'!$S$2:$S$495))-(ROW('CONTROL MASTER'!#REF!)-1)))+1)+(6-INDEX('CONTROL MASTER'!$U$2:$U$495,(SUMPRODUCT((('CONTROL MASTER'!$S$2:$S$495=11)*('CONTROL MASTER'!$T$2:$T$495&lt;=1)*('CONTROL MASTER'!$V$2:$V$495&gt;=1)*('CONTROL MASTER'!$U$2:$U$495&lt;=6)*('CONTROL MASTER'!$W$2:$W$495&gt;=6))*ROW('CONTROL MASTER'!$S$2:$S$495))-(ROW('CONTROL MASTER'!#REF!)-1))))+1))-1)*50+1,50))&amp;"_"&amp;INDEX('CONTROL MASTER'!$P$2:$P$495,(SUMPRODUCT((('CONTROL MASTER'!$S$2:$S$495=11)*('CONTROL MASTER'!$T$2:$T$495&lt;=1)*('CONTROL MASTER'!$V$2:$V$495&gt;=1)*('CONTROL MASTER'!$U$2:$U$495&lt;=6)*('CONTROL MASTER'!$W$2:$W$495&gt;=6))*ROW('CONTROL MASTER'!$S$2:$S$495))-(ROW('CONTROL MASTER'!#REF!)-1))),IF(SUMPRODUCT((('CONTROL MASTER'!$S$2:$S$495=11)*('CONTROL MASTER'!$Z$2:$Z$495&lt;=1)*('CONTROL MASTER'!$AB$2:$AB$495&gt;=1)*('CONTROL MASTER'!$AA$2:$AA$495&lt;=6)*('CONTROL MASTER'!$AC$2:$AC$495&gt;=6))*ROW('CONTROL MASTER'!$S$2:$S$495))&gt;0,INDEX('CONTROL MASTER'!$X$2:$X$495,(SUMPRODUCT((('CONTROL MASTER'!$S$2:$S$495=11)*('CONTROL MASTER'!$Z$2:$Z$495&lt;=1)*('CONTROL MASTER'!$AB$2:$AB$495&gt;=1)*('CONTROL MASTER'!$AA$2:$AA$495&lt;=6)*('CONTROL MASTER'!$AC$2:$AC$495&gt;=6))*ROW('CONTROL MASTER'!$S$2:$S$495))-(ROW('CONTROL MASTER'!#REF!)-1)))&amp;TRIM(MID(SUBSTITUTE(SUBSTITUTE(INDEX('CONTROL MASTER'!$N$2:$N$495,(SUMPRODUCT((('CONTROL MASTER'!$S$2:$S$495=11)*('CONTROL MASTER'!$Z$2:$Z$495&lt;=1)*('CONTROL MASTER'!$AB$2:$AB$495&gt;=1)*('CONTROL MASTER'!$AA$2:$AA$495&lt;=6)*('CONTROL MASTER'!$AC$2:$AC$495&gt;=6))*ROW('CONTROL MASTER'!$S$2:$S$495))-(ROW('CONTROL MASTER'!#REF!)-1))),":",","),",",REPT(" ",50)),(((INDEX('CONTROL MASTER'!$Y$2:$Y$495,(SUMPRODUCT((('CONTROL MASTER'!$S$2:$S$495=11)*('CONTROL MASTER'!$Z$2:$Z$495&lt;=1)*('CONTROL MASTER'!$AB$2:$AB$495&gt;=1)*('CONTROL MASTER'!$AA$2:$AA$495&lt;=6)*('CONTROL MASTER'!$AC$2:$AC$495&gt;=6))*ROW('CONTROL MASTER'!$S$2:$S$495))-(ROW('CONTROL MASTER'!#REF!)-1)))+((1-INDEX('CONTROL MASTER'!$Z$2:$Z$495,(SUMPRODUCT((('CONTROL MASTER'!$S$2:$S$495=11)*('CONTROL MASTER'!$Z$2:$Z$495&lt;=1)*('CONTROL MASTER'!$AB$2:$AB$495&gt;=1)*('CONTROL MASTER'!$AA$2:$AA$495&lt;=6)*('CONTROL MASTER'!$AC$2:$AC$495&gt;=6))*ROW('CONTROL MASTER'!$S$2:$S$495))-(ROW('CONTROL MASTER'!#REF!)-1))))*(INDEX('CONTROL MASTER'!$AC$2:$AC$495,(SUMPRODUCT((('CONTROL MASTER'!$S$2:$S$495=11)*('CONTROL MASTER'!$Z$2:$Z$495&lt;=1)*('CONTROL MASTER'!$AB$2:$AB$495&gt;=1)*('CONTROL MASTER'!$AA$2:$AA$495&lt;=6)*('CONTROL MASTER'!$AC$2:$AC$495&gt;=6))*ROW('CONTROL MASTER'!$S$2:$S$495))-(ROW('CONTROL MASTER'!#REF!)-1)))-INDEX('CONTROL MASTER'!$AA$2:$AA$495,(SUMPRODUCT((('CONTROL MASTER'!$S$2:$S$495=11)*('CONTROL MASTER'!$Z$2:$Z$495&lt;=1)*('CONTROL MASTER'!$AB$2:$AB$495&gt;=1)*('CONTROL MASTER'!$AA$2:$AA$495&lt;=6)*('CONTROL MASTER'!$AC$2:$AC$495&gt;=6))*ROW('CONTROL MASTER'!$S$2:$S$495))-(ROW('CONTROL MASTER'!#REF!)-1)))+1)+(6-INDEX('CONTROL MASTER'!$AA$2:$AA$495,(SUMPRODUCT((('CONTROL MASTER'!$S$2:$S$495=11)*('CONTROL MASTER'!$Z$2:$Z$495&lt;=1)*('CONTROL MASTER'!$AB$2:$AB$495&gt;=1)*('CONTROL MASTER'!$AA$2:$AA$495&lt;=6)*('CONTROL MASTER'!$AC$2:$AC$495&gt;=6))*ROW('CONTROL MASTER'!$S$2:$S$495))-(ROW('CONTROL MASTER'!#REF!)-1))))+1)))-1)*50+1,50))&amp;"_"&amp;INDEX('CONTROL MASTER'!$P$2:$P$495,(SUMPRODUCT((('CONTROL MASTER'!$S$2:$S$495=11)*('CONTROL MASTER'!$Z$2:$Z$495&lt;=1)*('CONTROL MASTER'!$AB$2:$AB$495&gt;=1)*('CONTROL MASTER'!$AA$2:$AA$495&lt;=6)*('CONTROL MASTER'!$AC$2:$AC$495&gt;=6))*ROW('CONTROL MASTER'!$S$2:$S$495))-(ROW('CONTROL MASTER'!#REF!)-1))),"")),"")</f>
        <v/>
      </c>
      <c r="H143" s="10" t="str">
        <f>IFERROR(IF(SUMPRODUCT((('CONTROL MASTER'!$S$2:$S$495=11)*('CONTROL MASTER'!$T$2:$T$495&lt;=1)*('CONTROL MASTER'!$V$2:$V$495&gt;=1)*('CONTROL MASTER'!$U$2:$U$495&lt;=7)*('CONTROL MASTER'!$W$2:$W$495&gt;=7))*ROW('CONTROL MASTER'!$S$2:$S$495))&gt;0,INDEX('CONTROL MASTER'!$X$2:$X$495,(SUMPRODUCT((('CONTROL MASTER'!$S$2:$S$495=11)*('CONTROL MASTER'!$T$2:$T$495&lt;=1)*('CONTROL MASTER'!$V$2:$V$495&gt;=1)*('CONTROL MASTER'!$U$2:$U$495&lt;=7)*('CONTROL MASTER'!$W$2:$W$495&gt;=7))*ROW('CONTROL MASTER'!$S$2:$S$495))-(ROW('CONTROL MASTER'!#REF!)-1)))&amp;TRIM(MID(SUBSTITUTE(SUBSTITUTE(INDEX('CONTROL MASTER'!$N$2:$N$495,(SUMPRODUCT((('CONTROL MASTER'!$S$2:$S$495=11)*('CONTROL MASTER'!$T$2:$T$495&lt;=1)*('CONTROL MASTER'!$V$2:$V$495&gt;=1)*('CONTROL MASTER'!$U$2:$U$495&lt;=7)*('CONTROL MASTER'!$W$2:$W$495&gt;=7))*ROW('CONTROL MASTER'!$S$2:$S$495))-(ROW('CONTROL MASTER'!#REF!)-1))),":",","),",",REPT(" ",50)),((((1-INDEX('CONTROL MASTER'!$T$2:$T$495,(SUMPRODUCT((('CONTROL MASTER'!$S$2:$S$495=11)*('CONTROL MASTER'!$T$2:$T$495&lt;=1)*('CONTROL MASTER'!$V$2:$V$495&gt;=1)*('CONTROL MASTER'!$U$2:$U$495&lt;=7)*('CONTROL MASTER'!$W$2:$W$495&gt;=7))*ROW('CONTROL MASTER'!$S$2:$S$495))-(ROW('CONTROL MASTER'!#REF!)-1))))*(INDEX('CONTROL MASTER'!$W$2:$W$495,(SUMPRODUCT((('CONTROL MASTER'!$S$2:$S$495=11)*('CONTROL MASTER'!$T$2:$T$495&lt;=1)*('CONTROL MASTER'!$V$2:$V$495&gt;=1)*('CONTROL MASTER'!$U$2:$U$495&lt;=7)*('CONTROL MASTER'!$W$2:$W$495&gt;=7))*ROW('CONTROL MASTER'!$S$2:$S$495))-(ROW('CONTROL MASTER'!#REF!)-1)))-INDEX('CONTROL MASTER'!$U$2:$U$495,(SUMPRODUCT((('CONTROL MASTER'!$S$2:$S$495=11)*('CONTROL MASTER'!$T$2:$T$495&lt;=1)*('CONTROL MASTER'!$V$2:$V$495&gt;=1)*('CONTROL MASTER'!$U$2:$U$495&lt;=7)*('CONTROL MASTER'!$W$2:$W$495&gt;=7))*ROW('CONTROL MASTER'!$S$2:$S$495))-(ROW('CONTROL MASTER'!#REF!)-1)))+1)+(7-INDEX('CONTROL MASTER'!$U$2:$U$495,(SUMPRODUCT((('CONTROL MASTER'!$S$2:$S$495=11)*('CONTROL MASTER'!$T$2:$T$495&lt;=1)*('CONTROL MASTER'!$V$2:$V$495&gt;=1)*('CONTROL MASTER'!$U$2:$U$495&lt;=7)*('CONTROL MASTER'!$W$2:$W$495&gt;=7))*ROW('CONTROL MASTER'!$S$2:$S$495))-(ROW('CONTROL MASTER'!#REF!)-1))))+1))-1)*50+1,50))&amp;"_"&amp;INDEX('CONTROL MASTER'!$P$2:$P$495,(SUMPRODUCT((('CONTROL MASTER'!$S$2:$S$495=11)*('CONTROL MASTER'!$T$2:$T$495&lt;=1)*('CONTROL MASTER'!$V$2:$V$495&gt;=1)*('CONTROL MASTER'!$U$2:$U$495&lt;=7)*('CONTROL MASTER'!$W$2:$W$495&gt;=7))*ROW('CONTROL MASTER'!$S$2:$S$495))-(ROW('CONTROL MASTER'!#REF!)-1))),IF(SUMPRODUCT((('CONTROL MASTER'!$S$2:$S$495=11)*('CONTROL MASTER'!$Z$2:$Z$495&lt;=1)*('CONTROL MASTER'!$AB$2:$AB$495&gt;=1)*('CONTROL MASTER'!$AA$2:$AA$495&lt;=7)*('CONTROL MASTER'!$AC$2:$AC$495&gt;=7))*ROW('CONTROL MASTER'!$S$2:$S$495))&gt;0,INDEX('CONTROL MASTER'!$X$2:$X$495,(SUMPRODUCT((('CONTROL MASTER'!$S$2:$S$495=11)*('CONTROL MASTER'!$Z$2:$Z$495&lt;=1)*('CONTROL MASTER'!$AB$2:$AB$495&gt;=1)*('CONTROL MASTER'!$AA$2:$AA$495&lt;=7)*('CONTROL MASTER'!$AC$2:$AC$495&gt;=7))*ROW('CONTROL MASTER'!$S$2:$S$495))-(ROW('CONTROL MASTER'!#REF!)-1)))&amp;TRIM(MID(SUBSTITUTE(SUBSTITUTE(INDEX('CONTROL MASTER'!$N$2:$N$495,(SUMPRODUCT((('CONTROL MASTER'!$S$2:$S$495=11)*('CONTROL MASTER'!$Z$2:$Z$495&lt;=1)*('CONTROL MASTER'!$AB$2:$AB$495&gt;=1)*('CONTROL MASTER'!$AA$2:$AA$495&lt;=7)*('CONTROL MASTER'!$AC$2:$AC$495&gt;=7))*ROW('CONTROL MASTER'!$S$2:$S$495))-(ROW('CONTROL MASTER'!#REF!)-1))),":",","),",",REPT(" ",50)),(((INDEX('CONTROL MASTER'!$Y$2:$Y$495,(SUMPRODUCT((('CONTROL MASTER'!$S$2:$S$495=11)*('CONTROL MASTER'!$Z$2:$Z$495&lt;=1)*('CONTROL MASTER'!$AB$2:$AB$495&gt;=1)*('CONTROL MASTER'!$AA$2:$AA$495&lt;=7)*('CONTROL MASTER'!$AC$2:$AC$495&gt;=7))*ROW('CONTROL MASTER'!$S$2:$S$495))-(ROW('CONTROL MASTER'!#REF!)-1)))+((1-INDEX('CONTROL MASTER'!$Z$2:$Z$495,(SUMPRODUCT((('CONTROL MASTER'!$S$2:$S$495=11)*('CONTROL MASTER'!$Z$2:$Z$495&lt;=1)*('CONTROL MASTER'!$AB$2:$AB$495&gt;=1)*('CONTROL MASTER'!$AA$2:$AA$495&lt;=7)*('CONTROL MASTER'!$AC$2:$AC$495&gt;=7))*ROW('CONTROL MASTER'!$S$2:$S$495))-(ROW('CONTROL MASTER'!#REF!)-1))))*(INDEX('CONTROL MASTER'!$AC$2:$AC$495,(SUMPRODUCT((('CONTROL MASTER'!$S$2:$S$495=11)*('CONTROL MASTER'!$Z$2:$Z$495&lt;=1)*('CONTROL MASTER'!$AB$2:$AB$495&gt;=1)*('CONTROL MASTER'!$AA$2:$AA$495&lt;=7)*('CONTROL MASTER'!$AC$2:$AC$495&gt;=7))*ROW('CONTROL MASTER'!$S$2:$S$495))-(ROW('CONTROL MASTER'!#REF!)-1)))-INDEX('CONTROL MASTER'!$AA$2:$AA$495,(SUMPRODUCT((('CONTROL MASTER'!$S$2:$S$495=11)*('CONTROL MASTER'!$Z$2:$Z$495&lt;=1)*('CONTROL MASTER'!$AB$2:$AB$495&gt;=1)*('CONTROL MASTER'!$AA$2:$AA$495&lt;=7)*('CONTROL MASTER'!$AC$2:$AC$495&gt;=7))*ROW('CONTROL MASTER'!$S$2:$S$495))-(ROW('CONTROL MASTER'!#REF!)-1)))+1)+(7-INDEX('CONTROL MASTER'!$AA$2:$AA$495,(SUMPRODUCT((('CONTROL MASTER'!$S$2:$S$495=11)*('CONTROL MASTER'!$Z$2:$Z$495&lt;=1)*('CONTROL MASTER'!$AB$2:$AB$495&gt;=1)*('CONTROL MASTER'!$AA$2:$AA$495&lt;=7)*('CONTROL MASTER'!$AC$2:$AC$495&gt;=7))*ROW('CONTROL MASTER'!$S$2:$S$495))-(ROW('CONTROL MASTER'!#REF!)-1))))+1)))-1)*50+1,50))&amp;"_"&amp;INDEX('CONTROL MASTER'!$P$2:$P$495,(SUMPRODUCT((('CONTROL MASTER'!$S$2:$S$495=11)*('CONTROL MASTER'!$Z$2:$Z$495&lt;=1)*('CONTROL MASTER'!$AB$2:$AB$495&gt;=1)*('CONTROL MASTER'!$AA$2:$AA$495&lt;=7)*('CONTROL MASTER'!$AC$2:$AC$495&gt;=7))*ROW('CONTROL MASTER'!$S$2:$S$495))-(ROW('CONTROL MASTER'!#REF!)-1))),"")),"")</f>
        <v/>
      </c>
      <c r="I143" s="10" t="str">
        <f>IFERROR(IF(SUMPRODUCT((('CONTROL MASTER'!$S$2:$S$495=11)*('CONTROL MASTER'!$T$2:$T$495&lt;=1)*('CONTROL MASTER'!$V$2:$V$495&gt;=1)*('CONTROL MASTER'!$U$2:$U$495&lt;=8)*('CONTROL MASTER'!$W$2:$W$495&gt;=8))*ROW('CONTROL MASTER'!$S$2:$S$495))&gt;0,INDEX('CONTROL MASTER'!$X$2:$X$495,(SUMPRODUCT((('CONTROL MASTER'!$S$2:$S$495=11)*('CONTROL MASTER'!$T$2:$T$495&lt;=1)*('CONTROL MASTER'!$V$2:$V$495&gt;=1)*('CONTROL MASTER'!$U$2:$U$495&lt;=8)*('CONTROL MASTER'!$W$2:$W$495&gt;=8))*ROW('CONTROL MASTER'!$S$2:$S$495))-(ROW('CONTROL MASTER'!#REF!)-1)))&amp;TRIM(MID(SUBSTITUTE(SUBSTITUTE(INDEX('CONTROL MASTER'!$N$2:$N$495,(SUMPRODUCT((('CONTROL MASTER'!$S$2:$S$495=11)*('CONTROL MASTER'!$T$2:$T$495&lt;=1)*('CONTROL MASTER'!$V$2:$V$495&gt;=1)*('CONTROL MASTER'!$U$2:$U$495&lt;=8)*('CONTROL MASTER'!$W$2:$W$495&gt;=8))*ROW('CONTROL MASTER'!$S$2:$S$495))-(ROW('CONTROL MASTER'!#REF!)-1))),":",","),",",REPT(" ",50)),((((1-INDEX('CONTROL MASTER'!$T$2:$T$495,(SUMPRODUCT((('CONTROL MASTER'!$S$2:$S$495=11)*('CONTROL MASTER'!$T$2:$T$495&lt;=1)*('CONTROL MASTER'!$V$2:$V$495&gt;=1)*('CONTROL MASTER'!$U$2:$U$495&lt;=8)*('CONTROL MASTER'!$W$2:$W$495&gt;=8))*ROW('CONTROL MASTER'!$S$2:$S$495))-(ROW('CONTROL MASTER'!#REF!)-1))))*(INDEX('CONTROL MASTER'!$W$2:$W$495,(SUMPRODUCT((('CONTROL MASTER'!$S$2:$S$495=11)*('CONTROL MASTER'!$T$2:$T$495&lt;=1)*('CONTROL MASTER'!$V$2:$V$495&gt;=1)*('CONTROL MASTER'!$U$2:$U$495&lt;=8)*('CONTROL MASTER'!$W$2:$W$495&gt;=8))*ROW('CONTROL MASTER'!$S$2:$S$495))-(ROW('CONTROL MASTER'!#REF!)-1)))-INDEX('CONTROL MASTER'!$U$2:$U$495,(SUMPRODUCT((('CONTROL MASTER'!$S$2:$S$495=11)*('CONTROL MASTER'!$T$2:$T$495&lt;=1)*('CONTROL MASTER'!$V$2:$V$495&gt;=1)*('CONTROL MASTER'!$U$2:$U$495&lt;=8)*('CONTROL MASTER'!$W$2:$W$495&gt;=8))*ROW('CONTROL MASTER'!$S$2:$S$495))-(ROW('CONTROL MASTER'!#REF!)-1)))+1)+(8-INDEX('CONTROL MASTER'!$U$2:$U$495,(SUMPRODUCT((('CONTROL MASTER'!$S$2:$S$495=11)*('CONTROL MASTER'!$T$2:$T$495&lt;=1)*('CONTROL MASTER'!$V$2:$V$495&gt;=1)*('CONTROL MASTER'!$U$2:$U$495&lt;=8)*('CONTROL MASTER'!$W$2:$W$495&gt;=8))*ROW('CONTROL MASTER'!$S$2:$S$495))-(ROW('CONTROL MASTER'!#REF!)-1))))+1))-1)*50+1,50))&amp;"_"&amp;INDEX('CONTROL MASTER'!$P$2:$P$495,(SUMPRODUCT((('CONTROL MASTER'!$S$2:$S$495=11)*('CONTROL MASTER'!$T$2:$T$495&lt;=1)*('CONTROL MASTER'!$V$2:$V$495&gt;=1)*('CONTROL MASTER'!$U$2:$U$495&lt;=8)*('CONTROL MASTER'!$W$2:$W$495&gt;=8))*ROW('CONTROL MASTER'!$S$2:$S$495))-(ROW('CONTROL MASTER'!#REF!)-1))),IF(SUMPRODUCT((('CONTROL MASTER'!$S$2:$S$495=11)*('CONTROL MASTER'!$Z$2:$Z$495&lt;=1)*('CONTROL MASTER'!$AB$2:$AB$495&gt;=1)*('CONTROL MASTER'!$AA$2:$AA$495&lt;=8)*('CONTROL MASTER'!$AC$2:$AC$495&gt;=8))*ROW('CONTROL MASTER'!$S$2:$S$495))&gt;0,INDEX('CONTROL MASTER'!$X$2:$X$495,(SUMPRODUCT((('CONTROL MASTER'!$S$2:$S$495=11)*('CONTROL MASTER'!$Z$2:$Z$495&lt;=1)*('CONTROL MASTER'!$AB$2:$AB$495&gt;=1)*('CONTROL MASTER'!$AA$2:$AA$495&lt;=8)*('CONTROL MASTER'!$AC$2:$AC$495&gt;=8))*ROW('CONTROL MASTER'!$S$2:$S$495))-(ROW('CONTROL MASTER'!#REF!)-1)))&amp;TRIM(MID(SUBSTITUTE(SUBSTITUTE(INDEX('CONTROL MASTER'!$N$2:$N$495,(SUMPRODUCT((('CONTROL MASTER'!$S$2:$S$495=11)*('CONTROL MASTER'!$Z$2:$Z$495&lt;=1)*('CONTROL MASTER'!$AB$2:$AB$495&gt;=1)*('CONTROL MASTER'!$AA$2:$AA$495&lt;=8)*('CONTROL MASTER'!$AC$2:$AC$495&gt;=8))*ROW('CONTROL MASTER'!$S$2:$S$495))-(ROW('CONTROL MASTER'!#REF!)-1))),":",","),",",REPT(" ",50)),(((INDEX('CONTROL MASTER'!$Y$2:$Y$495,(SUMPRODUCT((('CONTROL MASTER'!$S$2:$S$495=11)*('CONTROL MASTER'!$Z$2:$Z$495&lt;=1)*('CONTROL MASTER'!$AB$2:$AB$495&gt;=1)*('CONTROL MASTER'!$AA$2:$AA$495&lt;=8)*('CONTROL MASTER'!$AC$2:$AC$495&gt;=8))*ROW('CONTROL MASTER'!$S$2:$S$495))-(ROW('CONTROL MASTER'!#REF!)-1)))+((1-INDEX('CONTROL MASTER'!$Z$2:$Z$495,(SUMPRODUCT((('CONTROL MASTER'!$S$2:$S$495=11)*('CONTROL MASTER'!$Z$2:$Z$495&lt;=1)*('CONTROL MASTER'!$AB$2:$AB$495&gt;=1)*('CONTROL MASTER'!$AA$2:$AA$495&lt;=8)*('CONTROL MASTER'!$AC$2:$AC$495&gt;=8))*ROW('CONTROL MASTER'!$S$2:$S$495))-(ROW('CONTROL MASTER'!#REF!)-1))))*(INDEX('CONTROL MASTER'!$AC$2:$AC$495,(SUMPRODUCT((('CONTROL MASTER'!$S$2:$S$495=11)*('CONTROL MASTER'!$Z$2:$Z$495&lt;=1)*('CONTROL MASTER'!$AB$2:$AB$495&gt;=1)*('CONTROL MASTER'!$AA$2:$AA$495&lt;=8)*('CONTROL MASTER'!$AC$2:$AC$495&gt;=8))*ROW('CONTROL MASTER'!$S$2:$S$495))-(ROW('CONTROL MASTER'!#REF!)-1)))-INDEX('CONTROL MASTER'!$AA$2:$AA$495,(SUMPRODUCT((('CONTROL MASTER'!$S$2:$S$495=11)*('CONTROL MASTER'!$Z$2:$Z$495&lt;=1)*('CONTROL MASTER'!$AB$2:$AB$495&gt;=1)*('CONTROL MASTER'!$AA$2:$AA$495&lt;=8)*('CONTROL MASTER'!$AC$2:$AC$495&gt;=8))*ROW('CONTROL MASTER'!$S$2:$S$495))-(ROW('CONTROL MASTER'!#REF!)-1)))+1)+(8-INDEX('CONTROL MASTER'!$AA$2:$AA$495,(SUMPRODUCT((('CONTROL MASTER'!$S$2:$S$495=11)*('CONTROL MASTER'!$Z$2:$Z$495&lt;=1)*('CONTROL MASTER'!$AB$2:$AB$495&gt;=1)*('CONTROL MASTER'!$AA$2:$AA$495&lt;=8)*('CONTROL MASTER'!$AC$2:$AC$495&gt;=8))*ROW('CONTROL MASTER'!$S$2:$S$495))-(ROW('CONTROL MASTER'!#REF!)-1))))+1)))-1)*50+1,50))&amp;"_"&amp;INDEX('CONTROL MASTER'!$P$2:$P$495,(SUMPRODUCT((('CONTROL MASTER'!$S$2:$S$495=11)*('CONTROL MASTER'!$Z$2:$Z$495&lt;=1)*('CONTROL MASTER'!$AB$2:$AB$495&gt;=1)*('CONTROL MASTER'!$AA$2:$AA$495&lt;=8)*('CONTROL MASTER'!$AC$2:$AC$495&gt;=8))*ROW('CONTROL MASTER'!$S$2:$S$495))-(ROW('CONTROL MASTER'!#REF!)-1))),"")),"")</f>
        <v/>
      </c>
      <c r="J143" s="10" t="str">
        <f>IFERROR(IF(SUMPRODUCT((('CONTROL MASTER'!$S$2:$S$495=11)*('CONTROL MASTER'!$T$2:$T$495&lt;=1)*('CONTROL MASTER'!$V$2:$V$495&gt;=1)*('CONTROL MASTER'!$U$2:$U$495&lt;=9)*('CONTROL MASTER'!$W$2:$W$495&gt;=9))*ROW('CONTROL MASTER'!$S$2:$S$495))&gt;0,INDEX('CONTROL MASTER'!$X$2:$X$495,(SUMPRODUCT((('CONTROL MASTER'!$S$2:$S$495=11)*('CONTROL MASTER'!$T$2:$T$495&lt;=1)*('CONTROL MASTER'!$V$2:$V$495&gt;=1)*('CONTROL MASTER'!$U$2:$U$495&lt;=9)*('CONTROL MASTER'!$W$2:$W$495&gt;=9))*ROW('CONTROL MASTER'!$S$2:$S$495))-(ROW('CONTROL MASTER'!#REF!)-1)))&amp;TRIM(MID(SUBSTITUTE(SUBSTITUTE(INDEX('CONTROL MASTER'!$N$2:$N$495,(SUMPRODUCT((('CONTROL MASTER'!$S$2:$S$495=11)*('CONTROL MASTER'!$T$2:$T$495&lt;=1)*('CONTROL MASTER'!$V$2:$V$495&gt;=1)*('CONTROL MASTER'!$U$2:$U$495&lt;=9)*('CONTROL MASTER'!$W$2:$W$495&gt;=9))*ROW('CONTROL MASTER'!$S$2:$S$495))-(ROW('CONTROL MASTER'!#REF!)-1))),":",","),",",REPT(" ",50)),((((1-INDEX('CONTROL MASTER'!$T$2:$T$495,(SUMPRODUCT((('CONTROL MASTER'!$S$2:$S$495=11)*('CONTROL MASTER'!$T$2:$T$495&lt;=1)*('CONTROL MASTER'!$V$2:$V$495&gt;=1)*('CONTROL MASTER'!$U$2:$U$495&lt;=9)*('CONTROL MASTER'!$W$2:$W$495&gt;=9))*ROW('CONTROL MASTER'!$S$2:$S$495))-(ROW('CONTROL MASTER'!#REF!)-1))))*(INDEX('CONTROL MASTER'!$W$2:$W$495,(SUMPRODUCT((('CONTROL MASTER'!$S$2:$S$495=11)*('CONTROL MASTER'!$T$2:$T$495&lt;=1)*('CONTROL MASTER'!$V$2:$V$495&gt;=1)*('CONTROL MASTER'!$U$2:$U$495&lt;=9)*('CONTROL MASTER'!$W$2:$W$495&gt;=9))*ROW('CONTROL MASTER'!$S$2:$S$495))-(ROW('CONTROL MASTER'!#REF!)-1)))-INDEX('CONTROL MASTER'!$U$2:$U$495,(SUMPRODUCT((('CONTROL MASTER'!$S$2:$S$495=11)*('CONTROL MASTER'!$T$2:$T$495&lt;=1)*('CONTROL MASTER'!$V$2:$V$495&gt;=1)*('CONTROL MASTER'!$U$2:$U$495&lt;=9)*('CONTROL MASTER'!$W$2:$W$495&gt;=9))*ROW('CONTROL MASTER'!$S$2:$S$495))-(ROW('CONTROL MASTER'!#REF!)-1)))+1)+(9-INDEX('CONTROL MASTER'!$U$2:$U$495,(SUMPRODUCT((('CONTROL MASTER'!$S$2:$S$495=11)*('CONTROL MASTER'!$T$2:$T$495&lt;=1)*('CONTROL MASTER'!$V$2:$V$495&gt;=1)*('CONTROL MASTER'!$U$2:$U$495&lt;=9)*('CONTROL MASTER'!$W$2:$W$495&gt;=9))*ROW('CONTROL MASTER'!$S$2:$S$495))-(ROW('CONTROL MASTER'!#REF!)-1))))+1))-1)*50+1,50))&amp;"_"&amp;INDEX('CONTROL MASTER'!$P$2:$P$495,(SUMPRODUCT((('CONTROL MASTER'!$S$2:$S$495=11)*('CONTROL MASTER'!$T$2:$T$495&lt;=1)*('CONTROL MASTER'!$V$2:$V$495&gt;=1)*('CONTROL MASTER'!$U$2:$U$495&lt;=9)*('CONTROL MASTER'!$W$2:$W$495&gt;=9))*ROW('CONTROL MASTER'!$S$2:$S$495))-(ROW('CONTROL MASTER'!#REF!)-1))),IF(SUMPRODUCT((('CONTROL MASTER'!$S$2:$S$495=11)*('CONTROL MASTER'!$Z$2:$Z$495&lt;=1)*('CONTROL MASTER'!$AB$2:$AB$495&gt;=1)*('CONTROL MASTER'!$AA$2:$AA$495&lt;=9)*('CONTROL MASTER'!$AC$2:$AC$495&gt;=9))*ROW('CONTROL MASTER'!$S$2:$S$495))&gt;0,INDEX('CONTROL MASTER'!$X$2:$X$495,(SUMPRODUCT((('CONTROL MASTER'!$S$2:$S$495=11)*('CONTROL MASTER'!$Z$2:$Z$495&lt;=1)*('CONTROL MASTER'!$AB$2:$AB$495&gt;=1)*('CONTROL MASTER'!$AA$2:$AA$495&lt;=9)*('CONTROL MASTER'!$AC$2:$AC$495&gt;=9))*ROW('CONTROL MASTER'!$S$2:$S$495))-(ROW('CONTROL MASTER'!#REF!)-1)))&amp;TRIM(MID(SUBSTITUTE(SUBSTITUTE(INDEX('CONTROL MASTER'!$N$2:$N$495,(SUMPRODUCT((('CONTROL MASTER'!$S$2:$S$495=11)*('CONTROL MASTER'!$Z$2:$Z$495&lt;=1)*('CONTROL MASTER'!$AB$2:$AB$495&gt;=1)*('CONTROL MASTER'!$AA$2:$AA$495&lt;=9)*('CONTROL MASTER'!$AC$2:$AC$495&gt;=9))*ROW('CONTROL MASTER'!$S$2:$S$495))-(ROW('CONTROL MASTER'!#REF!)-1))),":",","),",",REPT(" ",50)),(((INDEX('CONTROL MASTER'!$Y$2:$Y$495,(SUMPRODUCT((('CONTROL MASTER'!$S$2:$S$495=11)*('CONTROL MASTER'!$Z$2:$Z$495&lt;=1)*('CONTROL MASTER'!$AB$2:$AB$495&gt;=1)*('CONTROL MASTER'!$AA$2:$AA$495&lt;=9)*('CONTROL MASTER'!$AC$2:$AC$495&gt;=9))*ROW('CONTROL MASTER'!$S$2:$S$495))-(ROW('CONTROL MASTER'!#REF!)-1)))+((1-INDEX('CONTROL MASTER'!$Z$2:$Z$495,(SUMPRODUCT((('CONTROL MASTER'!$S$2:$S$495=11)*('CONTROL MASTER'!$Z$2:$Z$495&lt;=1)*('CONTROL MASTER'!$AB$2:$AB$495&gt;=1)*('CONTROL MASTER'!$AA$2:$AA$495&lt;=9)*('CONTROL MASTER'!$AC$2:$AC$495&gt;=9))*ROW('CONTROL MASTER'!$S$2:$S$495))-(ROW('CONTROL MASTER'!#REF!)-1))))*(INDEX('CONTROL MASTER'!$AC$2:$AC$495,(SUMPRODUCT((('CONTROL MASTER'!$S$2:$S$495=11)*('CONTROL MASTER'!$Z$2:$Z$495&lt;=1)*('CONTROL MASTER'!$AB$2:$AB$495&gt;=1)*('CONTROL MASTER'!$AA$2:$AA$495&lt;=9)*('CONTROL MASTER'!$AC$2:$AC$495&gt;=9))*ROW('CONTROL MASTER'!$S$2:$S$495))-(ROW('CONTROL MASTER'!#REF!)-1)))-INDEX('CONTROL MASTER'!$AA$2:$AA$495,(SUMPRODUCT((('CONTROL MASTER'!$S$2:$S$495=11)*('CONTROL MASTER'!$Z$2:$Z$495&lt;=1)*('CONTROL MASTER'!$AB$2:$AB$495&gt;=1)*('CONTROL MASTER'!$AA$2:$AA$495&lt;=9)*('CONTROL MASTER'!$AC$2:$AC$495&gt;=9))*ROW('CONTROL MASTER'!$S$2:$S$495))-(ROW('CONTROL MASTER'!#REF!)-1)))+1)+(9-INDEX('CONTROL MASTER'!$AA$2:$AA$495,(SUMPRODUCT((('CONTROL MASTER'!$S$2:$S$495=11)*('CONTROL MASTER'!$Z$2:$Z$495&lt;=1)*('CONTROL MASTER'!$AB$2:$AB$495&gt;=1)*('CONTROL MASTER'!$AA$2:$AA$495&lt;=9)*('CONTROL MASTER'!$AC$2:$AC$495&gt;=9))*ROW('CONTROL MASTER'!$S$2:$S$495))-(ROW('CONTROL MASTER'!#REF!)-1))))+1)))-1)*50+1,50))&amp;"_"&amp;INDEX('CONTROL MASTER'!$P$2:$P$495,(SUMPRODUCT((('CONTROL MASTER'!$S$2:$S$495=11)*('CONTROL MASTER'!$Z$2:$Z$495&lt;=1)*('CONTROL MASTER'!$AB$2:$AB$495&gt;=1)*('CONTROL MASTER'!$AA$2:$AA$495&lt;=9)*('CONTROL MASTER'!$AC$2:$AC$495&gt;=9))*ROW('CONTROL MASTER'!$S$2:$S$495))-(ROW('CONTROL MASTER'!#REF!)-1))),"")),"")</f>
        <v/>
      </c>
      <c r="K143" s="10" t="str">
        <f>IFERROR(IF(SUMPRODUCT((('CONTROL MASTER'!$S$2:$S$495=11)*('CONTROL MASTER'!$T$2:$T$495&lt;=1)*('CONTROL MASTER'!$V$2:$V$495&gt;=1)*('CONTROL MASTER'!$U$2:$U$495&lt;=10)*('CONTROL MASTER'!$W$2:$W$495&gt;=10))*ROW('CONTROL MASTER'!$S$2:$S$495))&gt;0,INDEX('CONTROL MASTER'!$X$2:$X$495,(SUMPRODUCT((('CONTROL MASTER'!$S$2:$S$495=11)*('CONTROL MASTER'!$T$2:$T$495&lt;=1)*('CONTROL MASTER'!$V$2:$V$495&gt;=1)*('CONTROL MASTER'!$U$2:$U$495&lt;=10)*('CONTROL MASTER'!$W$2:$W$495&gt;=10))*ROW('CONTROL MASTER'!$S$2:$S$495))-(ROW('CONTROL MASTER'!#REF!)-1)))&amp;TRIM(MID(SUBSTITUTE(SUBSTITUTE(INDEX('CONTROL MASTER'!$N$2:$N$495,(SUMPRODUCT((('CONTROL MASTER'!$S$2:$S$495=11)*('CONTROL MASTER'!$T$2:$T$495&lt;=1)*('CONTROL MASTER'!$V$2:$V$495&gt;=1)*('CONTROL MASTER'!$U$2:$U$495&lt;=10)*('CONTROL MASTER'!$W$2:$W$495&gt;=10))*ROW('CONTROL MASTER'!$S$2:$S$495))-(ROW('CONTROL MASTER'!#REF!)-1))),":",","),",",REPT(" ",50)),((((1-INDEX('CONTROL MASTER'!$T$2:$T$495,(SUMPRODUCT((('CONTROL MASTER'!$S$2:$S$495=11)*('CONTROL MASTER'!$T$2:$T$495&lt;=1)*('CONTROL MASTER'!$V$2:$V$495&gt;=1)*('CONTROL MASTER'!$U$2:$U$495&lt;=10)*('CONTROL MASTER'!$W$2:$W$495&gt;=10))*ROW('CONTROL MASTER'!$S$2:$S$495))-(ROW('CONTROL MASTER'!#REF!)-1))))*(INDEX('CONTROL MASTER'!$W$2:$W$495,(SUMPRODUCT((('CONTROL MASTER'!$S$2:$S$495=11)*('CONTROL MASTER'!$T$2:$T$495&lt;=1)*('CONTROL MASTER'!$V$2:$V$495&gt;=1)*('CONTROL MASTER'!$U$2:$U$495&lt;=10)*('CONTROL MASTER'!$W$2:$W$495&gt;=10))*ROW('CONTROL MASTER'!$S$2:$S$495))-(ROW('CONTROL MASTER'!#REF!)-1)))-INDEX('CONTROL MASTER'!$U$2:$U$495,(SUMPRODUCT((('CONTROL MASTER'!$S$2:$S$495=11)*('CONTROL MASTER'!$T$2:$T$495&lt;=1)*('CONTROL MASTER'!$V$2:$V$495&gt;=1)*('CONTROL MASTER'!$U$2:$U$495&lt;=10)*('CONTROL MASTER'!$W$2:$W$495&gt;=10))*ROW('CONTROL MASTER'!$S$2:$S$495))-(ROW('CONTROL MASTER'!#REF!)-1)))+1)+(10-INDEX('CONTROL MASTER'!$U$2:$U$495,(SUMPRODUCT((('CONTROL MASTER'!$S$2:$S$495=11)*('CONTROL MASTER'!$T$2:$T$495&lt;=1)*('CONTROL MASTER'!$V$2:$V$495&gt;=1)*('CONTROL MASTER'!$U$2:$U$495&lt;=10)*('CONTROL MASTER'!$W$2:$W$495&gt;=10))*ROW('CONTROL MASTER'!$S$2:$S$495))-(ROW('CONTROL MASTER'!#REF!)-1))))+1))-1)*50+1,50))&amp;"_"&amp;INDEX('CONTROL MASTER'!$P$2:$P$495,(SUMPRODUCT((('CONTROL MASTER'!$S$2:$S$495=11)*('CONTROL MASTER'!$T$2:$T$495&lt;=1)*('CONTROL MASTER'!$V$2:$V$495&gt;=1)*('CONTROL MASTER'!$U$2:$U$495&lt;=10)*('CONTROL MASTER'!$W$2:$W$495&gt;=10))*ROW('CONTROL MASTER'!$S$2:$S$495))-(ROW('CONTROL MASTER'!#REF!)-1))),IF(SUMPRODUCT((('CONTROL MASTER'!$S$2:$S$495=11)*('CONTROL MASTER'!$Z$2:$Z$495&lt;=1)*('CONTROL MASTER'!$AB$2:$AB$495&gt;=1)*('CONTROL MASTER'!$AA$2:$AA$495&lt;=10)*('CONTROL MASTER'!$AC$2:$AC$495&gt;=10))*ROW('CONTROL MASTER'!$S$2:$S$495))&gt;0,INDEX('CONTROL MASTER'!$X$2:$X$495,(SUMPRODUCT((('CONTROL MASTER'!$S$2:$S$495=11)*('CONTROL MASTER'!$Z$2:$Z$495&lt;=1)*('CONTROL MASTER'!$AB$2:$AB$495&gt;=1)*('CONTROL MASTER'!$AA$2:$AA$495&lt;=10)*('CONTROL MASTER'!$AC$2:$AC$495&gt;=10))*ROW('CONTROL MASTER'!$S$2:$S$495))-(ROW('CONTROL MASTER'!#REF!)-1)))&amp;TRIM(MID(SUBSTITUTE(SUBSTITUTE(INDEX('CONTROL MASTER'!$N$2:$N$495,(SUMPRODUCT((('CONTROL MASTER'!$S$2:$S$495=11)*('CONTROL MASTER'!$Z$2:$Z$495&lt;=1)*('CONTROL MASTER'!$AB$2:$AB$495&gt;=1)*('CONTROL MASTER'!$AA$2:$AA$495&lt;=10)*('CONTROL MASTER'!$AC$2:$AC$495&gt;=10))*ROW('CONTROL MASTER'!$S$2:$S$495))-(ROW('CONTROL MASTER'!#REF!)-1))),":",","),",",REPT(" ",50)),(((INDEX('CONTROL MASTER'!$Y$2:$Y$495,(SUMPRODUCT((('CONTROL MASTER'!$S$2:$S$495=11)*('CONTROL MASTER'!$Z$2:$Z$495&lt;=1)*('CONTROL MASTER'!$AB$2:$AB$495&gt;=1)*('CONTROL MASTER'!$AA$2:$AA$495&lt;=10)*('CONTROL MASTER'!$AC$2:$AC$495&gt;=10))*ROW('CONTROL MASTER'!$S$2:$S$495))-(ROW('CONTROL MASTER'!#REF!)-1)))+((1-INDEX('CONTROL MASTER'!$Z$2:$Z$495,(SUMPRODUCT((('CONTROL MASTER'!$S$2:$S$495=11)*('CONTROL MASTER'!$Z$2:$Z$495&lt;=1)*('CONTROL MASTER'!$AB$2:$AB$495&gt;=1)*('CONTROL MASTER'!$AA$2:$AA$495&lt;=10)*('CONTROL MASTER'!$AC$2:$AC$495&gt;=10))*ROW('CONTROL MASTER'!$S$2:$S$495))-(ROW('CONTROL MASTER'!#REF!)-1))))*(INDEX('CONTROL MASTER'!$AC$2:$AC$495,(SUMPRODUCT((('CONTROL MASTER'!$S$2:$S$495=11)*('CONTROL MASTER'!$Z$2:$Z$495&lt;=1)*('CONTROL MASTER'!$AB$2:$AB$495&gt;=1)*('CONTROL MASTER'!$AA$2:$AA$495&lt;=10)*('CONTROL MASTER'!$AC$2:$AC$495&gt;=10))*ROW('CONTROL MASTER'!$S$2:$S$495))-(ROW('CONTROL MASTER'!#REF!)-1)))-INDEX('CONTROL MASTER'!$AA$2:$AA$495,(SUMPRODUCT((('CONTROL MASTER'!$S$2:$S$495=11)*('CONTROL MASTER'!$Z$2:$Z$495&lt;=1)*('CONTROL MASTER'!$AB$2:$AB$495&gt;=1)*('CONTROL MASTER'!$AA$2:$AA$495&lt;=10)*('CONTROL MASTER'!$AC$2:$AC$495&gt;=10))*ROW('CONTROL MASTER'!$S$2:$S$495))-(ROW('CONTROL MASTER'!#REF!)-1)))+1)+(10-INDEX('CONTROL MASTER'!$AA$2:$AA$495,(SUMPRODUCT((('CONTROL MASTER'!$S$2:$S$495=11)*('CONTROL MASTER'!$Z$2:$Z$495&lt;=1)*('CONTROL MASTER'!$AB$2:$AB$495&gt;=1)*('CONTROL MASTER'!$AA$2:$AA$495&lt;=10)*('CONTROL MASTER'!$AC$2:$AC$495&gt;=10))*ROW('CONTROL MASTER'!$S$2:$S$495))-(ROW('CONTROL MASTER'!#REF!)-1))))+1)))-1)*50+1,50))&amp;"_"&amp;INDEX('CONTROL MASTER'!$P$2:$P$495,(SUMPRODUCT((('CONTROL MASTER'!$S$2:$S$495=11)*('CONTROL MASTER'!$Z$2:$Z$495&lt;=1)*('CONTROL MASTER'!$AB$2:$AB$495&gt;=1)*('CONTROL MASTER'!$AA$2:$AA$495&lt;=10)*('CONTROL MASTER'!$AC$2:$AC$495&gt;=10))*ROW('CONTROL MASTER'!$S$2:$S$495))-(ROW('CONTROL MASTER'!#REF!)-1))),"")),"")</f>
        <v/>
      </c>
    </row>
    <row r="144" spans="1:11" ht="15" customHeight="1" x14ac:dyDescent="0.35">
      <c r="A144" s="8" t="s">
        <v>29</v>
      </c>
      <c r="B144" s="10" t="str">
        <f>IFERROR(IF(SUMPRODUCT((('CONTROL MASTER'!$S$2:$S$495=11)*('CONTROL MASTER'!$T$2:$T$495&lt;=2)*('CONTROL MASTER'!$V$2:$V$495&gt;=2)*('CONTROL MASTER'!$U$2:$U$495&lt;=1)*('CONTROL MASTER'!$W$2:$W$495&gt;=1))*ROW('CONTROL MASTER'!$S$2:$S$495))&gt;0,INDEX('CONTROL MASTER'!$X$2:$X$495,(SUMPRODUCT((('CONTROL MASTER'!$S$2:$S$495=11)*('CONTROL MASTER'!$T$2:$T$495&lt;=2)*('CONTROL MASTER'!$V$2:$V$495&gt;=2)*('CONTROL MASTER'!$U$2:$U$495&lt;=1)*('CONTROL MASTER'!$W$2:$W$495&gt;=1))*ROW('CONTROL MASTER'!$S$2:$S$495))-(ROW('CONTROL MASTER'!#REF!)-1)))&amp;TRIM(MID(SUBSTITUTE(SUBSTITUTE(INDEX('CONTROL MASTER'!$N$2:$N$495,(SUMPRODUCT((('CONTROL MASTER'!$S$2:$S$495=11)*('CONTROL MASTER'!$T$2:$T$495&lt;=2)*('CONTROL MASTER'!$V$2:$V$495&gt;=2)*('CONTROL MASTER'!$U$2:$U$495&lt;=1)*('CONTROL MASTER'!$W$2:$W$495&gt;=1))*ROW('CONTROL MASTER'!$S$2:$S$495))-(ROW('CONTROL MASTER'!#REF!)-1))),":",","),",",REPT(" ",50)),((((2-INDEX('CONTROL MASTER'!$T$2:$T$495,(SUMPRODUCT((('CONTROL MASTER'!$S$2:$S$495=11)*('CONTROL MASTER'!$T$2:$T$495&lt;=2)*('CONTROL MASTER'!$V$2:$V$495&gt;=2)*('CONTROL MASTER'!$U$2:$U$495&lt;=1)*('CONTROL MASTER'!$W$2:$W$495&gt;=1))*ROW('CONTROL MASTER'!$S$2:$S$495))-(ROW('CONTROL MASTER'!#REF!)-1))))*(INDEX('CONTROL MASTER'!$W$2:$W$495,(SUMPRODUCT((('CONTROL MASTER'!$S$2:$S$495=11)*('CONTROL MASTER'!$T$2:$T$495&lt;=2)*('CONTROL MASTER'!$V$2:$V$495&gt;=2)*('CONTROL MASTER'!$U$2:$U$495&lt;=1)*('CONTROL MASTER'!$W$2:$W$495&gt;=1))*ROW('CONTROL MASTER'!$S$2:$S$495))-(ROW('CONTROL MASTER'!#REF!)-1)))-INDEX('CONTROL MASTER'!$U$2:$U$495,(SUMPRODUCT((('CONTROL MASTER'!$S$2:$S$495=11)*('CONTROL MASTER'!$T$2:$T$495&lt;=2)*('CONTROL MASTER'!$V$2:$V$495&gt;=2)*('CONTROL MASTER'!$U$2:$U$495&lt;=1)*('CONTROL MASTER'!$W$2:$W$495&gt;=1))*ROW('CONTROL MASTER'!$S$2:$S$495))-(ROW('CONTROL MASTER'!#REF!)-1)))+1)+(1-INDEX('CONTROL MASTER'!$U$2:$U$495,(SUMPRODUCT((('CONTROL MASTER'!$S$2:$S$495=11)*('CONTROL MASTER'!$T$2:$T$495&lt;=2)*('CONTROL MASTER'!$V$2:$V$495&gt;=2)*('CONTROL MASTER'!$U$2:$U$495&lt;=1)*('CONTROL MASTER'!$W$2:$W$495&gt;=1))*ROW('CONTROL MASTER'!$S$2:$S$495))-(ROW('CONTROL MASTER'!#REF!)-1))))+1))-1)*50+1,50))&amp;"_"&amp;INDEX('CONTROL MASTER'!$P$2:$P$495,(SUMPRODUCT((('CONTROL MASTER'!$S$2:$S$495=11)*('CONTROL MASTER'!$T$2:$T$495&lt;=2)*('CONTROL MASTER'!$V$2:$V$495&gt;=2)*('CONTROL MASTER'!$U$2:$U$495&lt;=1)*('CONTROL MASTER'!$W$2:$W$495&gt;=1))*ROW('CONTROL MASTER'!$S$2:$S$495))-(ROW('CONTROL MASTER'!#REF!)-1))),IF(SUMPRODUCT((('CONTROL MASTER'!$S$2:$S$495=11)*('CONTROL MASTER'!$Z$2:$Z$495&lt;=2)*('CONTROL MASTER'!$AB$2:$AB$495&gt;=2)*('CONTROL MASTER'!$AA$2:$AA$495&lt;=1)*('CONTROL MASTER'!$AC$2:$AC$495&gt;=1))*ROW('CONTROL MASTER'!$S$2:$S$495))&gt;0,INDEX('CONTROL MASTER'!$X$2:$X$495,(SUMPRODUCT((('CONTROL MASTER'!$S$2:$S$495=11)*('CONTROL MASTER'!$Z$2:$Z$495&lt;=2)*('CONTROL MASTER'!$AB$2:$AB$495&gt;=2)*('CONTROL MASTER'!$AA$2:$AA$495&lt;=1)*('CONTROL MASTER'!$AC$2:$AC$495&gt;=1))*ROW('CONTROL MASTER'!$S$2:$S$495))-(ROW('CONTROL MASTER'!#REF!)-1)))&amp;TRIM(MID(SUBSTITUTE(SUBSTITUTE(INDEX('CONTROL MASTER'!$N$2:$N$495,(SUMPRODUCT((('CONTROL MASTER'!$S$2:$S$495=11)*('CONTROL MASTER'!$Z$2:$Z$495&lt;=2)*('CONTROL MASTER'!$AB$2:$AB$495&gt;=2)*('CONTROL MASTER'!$AA$2:$AA$495&lt;=1)*('CONTROL MASTER'!$AC$2:$AC$495&gt;=1))*ROW('CONTROL MASTER'!$S$2:$S$495))-(ROW('CONTROL MASTER'!#REF!)-1))),":",","),",",REPT(" ",50)),(((INDEX('CONTROL MASTER'!$Y$2:$Y$495,(SUMPRODUCT((('CONTROL MASTER'!$S$2:$S$495=11)*('CONTROL MASTER'!$Z$2:$Z$495&lt;=2)*('CONTROL MASTER'!$AB$2:$AB$495&gt;=2)*('CONTROL MASTER'!$AA$2:$AA$495&lt;=1)*('CONTROL MASTER'!$AC$2:$AC$495&gt;=1))*ROW('CONTROL MASTER'!$S$2:$S$495))-(ROW('CONTROL MASTER'!#REF!)-1)))+((2-INDEX('CONTROL MASTER'!$Z$2:$Z$495,(SUMPRODUCT((('CONTROL MASTER'!$S$2:$S$495=11)*('CONTROL MASTER'!$Z$2:$Z$495&lt;=2)*('CONTROL MASTER'!$AB$2:$AB$495&gt;=2)*('CONTROL MASTER'!$AA$2:$AA$495&lt;=1)*('CONTROL MASTER'!$AC$2:$AC$495&gt;=1))*ROW('CONTROL MASTER'!$S$2:$S$495))-(ROW('CONTROL MASTER'!#REF!)-1))))*(INDEX('CONTROL MASTER'!$AC$2:$AC$495,(SUMPRODUCT((('CONTROL MASTER'!$S$2:$S$495=11)*('CONTROL MASTER'!$Z$2:$Z$495&lt;=2)*('CONTROL MASTER'!$AB$2:$AB$495&gt;=2)*('CONTROL MASTER'!$AA$2:$AA$495&lt;=1)*('CONTROL MASTER'!$AC$2:$AC$495&gt;=1))*ROW('CONTROL MASTER'!$S$2:$S$495))-(ROW('CONTROL MASTER'!#REF!)-1)))-INDEX('CONTROL MASTER'!$AA$2:$AA$495,(SUMPRODUCT((('CONTROL MASTER'!$S$2:$S$495=11)*('CONTROL MASTER'!$Z$2:$Z$495&lt;=2)*('CONTROL MASTER'!$AB$2:$AB$495&gt;=2)*('CONTROL MASTER'!$AA$2:$AA$495&lt;=1)*('CONTROL MASTER'!$AC$2:$AC$495&gt;=1))*ROW('CONTROL MASTER'!$S$2:$S$495))-(ROW('CONTROL MASTER'!#REF!)-1)))+1)+(1-INDEX('CONTROL MASTER'!$AA$2:$AA$495,(SUMPRODUCT((('CONTROL MASTER'!$S$2:$S$495=11)*('CONTROL MASTER'!$Z$2:$Z$495&lt;=2)*('CONTROL MASTER'!$AB$2:$AB$495&gt;=2)*('CONTROL MASTER'!$AA$2:$AA$495&lt;=1)*('CONTROL MASTER'!$AC$2:$AC$495&gt;=1))*ROW('CONTROL MASTER'!$S$2:$S$495))-(ROW('CONTROL MASTER'!#REF!)-1))))+1)))-1)*50+1,50))&amp;"_"&amp;INDEX('CONTROL MASTER'!$P$2:$P$495,(SUMPRODUCT((('CONTROL MASTER'!$S$2:$S$495=11)*('CONTROL MASTER'!$Z$2:$Z$495&lt;=2)*('CONTROL MASTER'!$AB$2:$AB$495&gt;=2)*('CONTROL MASTER'!$AA$2:$AA$495&lt;=1)*('CONTROL MASTER'!$AC$2:$AC$495&gt;=1))*ROW('CONTROL MASTER'!$S$2:$S$495))-(ROW('CONTROL MASTER'!#REF!)-1))),"")),"")</f>
        <v/>
      </c>
      <c r="C144" s="10" t="str">
        <f>IFERROR(IF(SUMPRODUCT((('CONTROL MASTER'!$S$2:$S$495=11)*('CONTROL MASTER'!$T$2:$T$495&lt;=2)*('CONTROL MASTER'!$V$2:$V$495&gt;=2)*('CONTROL MASTER'!$U$2:$U$495&lt;=2)*('CONTROL MASTER'!$W$2:$W$495&gt;=2))*ROW('CONTROL MASTER'!$S$2:$S$495))&gt;0,INDEX('CONTROL MASTER'!$X$2:$X$495,(SUMPRODUCT((('CONTROL MASTER'!$S$2:$S$495=11)*('CONTROL MASTER'!$T$2:$T$495&lt;=2)*('CONTROL MASTER'!$V$2:$V$495&gt;=2)*('CONTROL MASTER'!$U$2:$U$495&lt;=2)*('CONTROL MASTER'!$W$2:$W$495&gt;=2))*ROW('CONTROL MASTER'!$S$2:$S$495))-(ROW('CONTROL MASTER'!#REF!)-1)))&amp;TRIM(MID(SUBSTITUTE(SUBSTITUTE(INDEX('CONTROL MASTER'!$N$2:$N$495,(SUMPRODUCT((('CONTROL MASTER'!$S$2:$S$495=11)*('CONTROL MASTER'!$T$2:$T$495&lt;=2)*('CONTROL MASTER'!$V$2:$V$495&gt;=2)*('CONTROL MASTER'!$U$2:$U$495&lt;=2)*('CONTROL MASTER'!$W$2:$W$495&gt;=2))*ROW('CONTROL MASTER'!$S$2:$S$495))-(ROW('CONTROL MASTER'!#REF!)-1))),":",","),",",REPT(" ",50)),((((2-INDEX('CONTROL MASTER'!$T$2:$T$495,(SUMPRODUCT((('CONTROL MASTER'!$S$2:$S$495=11)*('CONTROL MASTER'!$T$2:$T$495&lt;=2)*('CONTROL MASTER'!$V$2:$V$495&gt;=2)*('CONTROL MASTER'!$U$2:$U$495&lt;=2)*('CONTROL MASTER'!$W$2:$W$495&gt;=2))*ROW('CONTROL MASTER'!$S$2:$S$495))-(ROW('CONTROL MASTER'!#REF!)-1))))*(INDEX('CONTROL MASTER'!$W$2:$W$495,(SUMPRODUCT((('CONTROL MASTER'!$S$2:$S$495=11)*('CONTROL MASTER'!$T$2:$T$495&lt;=2)*('CONTROL MASTER'!$V$2:$V$495&gt;=2)*('CONTROL MASTER'!$U$2:$U$495&lt;=2)*('CONTROL MASTER'!$W$2:$W$495&gt;=2))*ROW('CONTROL MASTER'!$S$2:$S$495))-(ROW('CONTROL MASTER'!#REF!)-1)))-INDEX('CONTROL MASTER'!$U$2:$U$495,(SUMPRODUCT((('CONTROL MASTER'!$S$2:$S$495=11)*('CONTROL MASTER'!$T$2:$T$495&lt;=2)*('CONTROL MASTER'!$V$2:$V$495&gt;=2)*('CONTROL MASTER'!$U$2:$U$495&lt;=2)*('CONTROL MASTER'!$W$2:$W$495&gt;=2))*ROW('CONTROL MASTER'!$S$2:$S$495))-(ROW('CONTROL MASTER'!#REF!)-1)))+1)+(2-INDEX('CONTROL MASTER'!$U$2:$U$495,(SUMPRODUCT((('CONTROL MASTER'!$S$2:$S$495=11)*('CONTROL MASTER'!$T$2:$T$495&lt;=2)*('CONTROL MASTER'!$V$2:$V$495&gt;=2)*('CONTROL MASTER'!$U$2:$U$495&lt;=2)*('CONTROL MASTER'!$W$2:$W$495&gt;=2))*ROW('CONTROL MASTER'!$S$2:$S$495))-(ROW('CONTROL MASTER'!#REF!)-1))))+1))-1)*50+1,50))&amp;"_"&amp;INDEX('CONTROL MASTER'!$P$2:$P$495,(SUMPRODUCT((('CONTROL MASTER'!$S$2:$S$495=11)*('CONTROL MASTER'!$T$2:$T$495&lt;=2)*('CONTROL MASTER'!$V$2:$V$495&gt;=2)*('CONTROL MASTER'!$U$2:$U$495&lt;=2)*('CONTROL MASTER'!$W$2:$W$495&gt;=2))*ROW('CONTROL MASTER'!$S$2:$S$495))-(ROW('CONTROL MASTER'!#REF!)-1))),IF(SUMPRODUCT((('CONTROL MASTER'!$S$2:$S$495=11)*('CONTROL MASTER'!$Z$2:$Z$495&lt;=2)*('CONTROL MASTER'!$AB$2:$AB$495&gt;=2)*('CONTROL MASTER'!$AA$2:$AA$495&lt;=2)*('CONTROL MASTER'!$AC$2:$AC$495&gt;=2))*ROW('CONTROL MASTER'!$S$2:$S$495))&gt;0,INDEX('CONTROL MASTER'!$X$2:$X$495,(SUMPRODUCT((('CONTROL MASTER'!$S$2:$S$495=11)*('CONTROL MASTER'!$Z$2:$Z$495&lt;=2)*('CONTROL MASTER'!$AB$2:$AB$495&gt;=2)*('CONTROL MASTER'!$AA$2:$AA$495&lt;=2)*('CONTROL MASTER'!$AC$2:$AC$495&gt;=2))*ROW('CONTROL MASTER'!$S$2:$S$495))-(ROW('CONTROL MASTER'!#REF!)-1)))&amp;TRIM(MID(SUBSTITUTE(SUBSTITUTE(INDEX('CONTROL MASTER'!$N$2:$N$495,(SUMPRODUCT((('CONTROL MASTER'!$S$2:$S$495=11)*('CONTROL MASTER'!$Z$2:$Z$495&lt;=2)*('CONTROL MASTER'!$AB$2:$AB$495&gt;=2)*('CONTROL MASTER'!$AA$2:$AA$495&lt;=2)*('CONTROL MASTER'!$AC$2:$AC$495&gt;=2))*ROW('CONTROL MASTER'!$S$2:$S$495))-(ROW('CONTROL MASTER'!#REF!)-1))),":",","),",",REPT(" ",50)),(((INDEX('CONTROL MASTER'!$Y$2:$Y$495,(SUMPRODUCT((('CONTROL MASTER'!$S$2:$S$495=11)*('CONTROL MASTER'!$Z$2:$Z$495&lt;=2)*('CONTROL MASTER'!$AB$2:$AB$495&gt;=2)*('CONTROL MASTER'!$AA$2:$AA$495&lt;=2)*('CONTROL MASTER'!$AC$2:$AC$495&gt;=2))*ROW('CONTROL MASTER'!$S$2:$S$495))-(ROW('CONTROL MASTER'!#REF!)-1)))+((2-INDEX('CONTROL MASTER'!$Z$2:$Z$495,(SUMPRODUCT((('CONTROL MASTER'!$S$2:$S$495=11)*('CONTROL MASTER'!$Z$2:$Z$495&lt;=2)*('CONTROL MASTER'!$AB$2:$AB$495&gt;=2)*('CONTROL MASTER'!$AA$2:$AA$495&lt;=2)*('CONTROL MASTER'!$AC$2:$AC$495&gt;=2))*ROW('CONTROL MASTER'!$S$2:$S$495))-(ROW('CONTROL MASTER'!#REF!)-1))))*(INDEX('CONTROL MASTER'!$AC$2:$AC$495,(SUMPRODUCT((('CONTROL MASTER'!$S$2:$S$495=11)*('CONTROL MASTER'!$Z$2:$Z$495&lt;=2)*('CONTROL MASTER'!$AB$2:$AB$495&gt;=2)*('CONTROL MASTER'!$AA$2:$AA$495&lt;=2)*('CONTROL MASTER'!$AC$2:$AC$495&gt;=2))*ROW('CONTROL MASTER'!$S$2:$S$495))-(ROW('CONTROL MASTER'!#REF!)-1)))-INDEX('CONTROL MASTER'!$AA$2:$AA$495,(SUMPRODUCT((('CONTROL MASTER'!$S$2:$S$495=11)*('CONTROL MASTER'!$Z$2:$Z$495&lt;=2)*('CONTROL MASTER'!$AB$2:$AB$495&gt;=2)*('CONTROL MASTER'!$AA$2:$AA$495&lt;=2)*('CONTROL MASTER'!$AC$2:$AC$495&gt;=2))*ROW('CONTROL MASTER'!$S$2:$S$495))-(ROW('CONTROL MASTER'!#REF!)-1)))+1)+(2-INDEX('CONTROL MASTER'!$AA$2:$AA$495,(SUMPRODUCT((('CONTROL MASTER'!$S$2:$S$495=11)*('CONTROL MASTER'!$Z$2:$Z$495&lt;=2)*('CONTROL MASTER'!$AB$2:$AB$495&gt;=2)*('CONTROL MASTER'!$AA$2:$AA$495&lt;=2)*('CONTROL MASTER'!$AC$2:$AC$495&gt;=2))*ROW('CONTROL MASTER'!$S$2:$S$495))-(ROW('CONTROL MASTER'!#REF!)-1))))+1)))-1)*50+1,50))&amp;"_"&amp;INDEX('CONTROL MASTER'!$P$2:$P$495,(SUMPRODUCT((('CONTROL MASTER'!$S$2:$S$495=11)*('CONTROL MASTER'!$Z$2:$Z$495&lt;=2)*('CONTROL MASTER'!$AB$2:$AB$495&gt;=2)*('CONTROL MASTER'!$AA$2:$AA$495&lt;=2)*('CONTROL MASTER'!$AC$2:$AC$495&gt;=2))*ROW('CONTROL MASTER'!$S$2:$S$495))-(ROW('CONTROL MASTER'!#REF!)-1))),"")),"")</f>
        <v/>
      </c>
      <c r="D144" s="10" t="str">
        <f>IFERROR(IF(SUMPRODUCT((('CONTROL MASTER'!$S$2:$S$495=11)*('CONTROL MASTER'!$T$2:$T$495&lt;=2)*('CONTROL MASTER'!$V$2:$V$495&gt;=2)*('CONTROL MASTER'!$U$2:$U$495&lt;=3)*('CONTROL MASTER'!$W$2:$W$495&gt;=3))*ROW('CONTROL MASTER'!$S$2:$S$495))&gt;0,INDEX('CONTROL MASTER'!$X$2:$X$495,(SUMPRODUCT((('CONTROL MASTER'!$S$2:$S$495=11)*('CONTROL MASTER'!$T$2:$T$495&lt;=2)*('CONTROL MASTER'!$V$2:$V$495&gt;=2)*('CONTROL MASTER'!$U$2:$U$495&lt;=3)*('CONTROL MASTER'!$W$2:$W$495&gt;=3))*ROW('CONTROL MASTER'!$S$2:$S$495))-(ROW('CONTROL MASTER'!#REF!)-1)))&amp;TRIM(MID(SUBSTITUTE(SUBSTITUTE(INDEX('CONTROL MASTER'!$N$2:$N$495,(SUMPRODUCT((('CONTROL MASTER'!$S$2:$S$495=11)*('CONTROL MASTER'!$T$2:$T$495&lt;=2)*('CONTROL MASTER'!$V$2:$V$495&gt;=2)*('CONTROL MASTER'!$U$2:$U$495&lt;=3)*('CONTROL MASTER'!$W$2:$W$495&gt;=3))*ROW('CONTROL MASTER'!$S$2:$S$495))-(ROW('CONTROL MASTER'!#REF!)-1))),":",","),",",REPT(" ",50)),((((2-INDEX('CONTROL MASTER'!$T$2:$T$495,(SUMPRODUCT((('CONTROL MASTER'!$S$2:$S$495=11)*('CONTROL MASTER'!$T$2:$T$495&lt;=2)*('CONTROL MASTER'!$V$2:$V$495&gt;=2)*('CONTROL MASTER'!$U$2:$U$495&lt;=3)*('CONTROL MASTER'!$W$2:$W$495&gt;=3))*ROW('CONTROL MASTER'!$S$2:$S$495))-(ROW('CONTROL MASTER'!#REF!)-1))))*(INDEX('CONTROL MASTER'!$W$2:$W$495,(SUMPRODUCT((('CONTROL MASTER'!$S$2:$S$495=11)*('CONTROL MASTER'!$T$2:$T$495&lt;=2)*('CONTROL MASTER'!$V$2:$V$495&gt;=2)*('CONTROL MASTER'!$U$2:$U$495&lt;=3)*('CONTROL MASTER'!$W$2:$W$495&gt;=3))*ROW('CONTROL MASTER'!$S$2:$S$495))-(ROW('CONTROL MASTER'!#REF!)-1)))-INDEX('CONTROL MASTER'!$U$2:$U$495,(SUMPRODUCT((('CONTROL MASTER'!$S$2:$S$495=11)*('CONTROL MASTER'!$T$2:$T$495&lt;=2)*('CONTROL MASTER'!$V$2:$V$495&gt;=2)*('CONTROL MASTER'!$U$2:$U$495&lt;=3)*('CONTROL MASTER'!$W$2:$W$495&gt;=3))*ROW('CONTROL MASTER'!$S$2:$S$495))-(ROW('CONTROL MASTER'!#REF!)-1)))+1)+(3-INDEX('CONTROL MASTER'!$U$2:$U$495,(SUMPRODUCT((('CONTROL MASTER'!$S$2:$S$495=11)*('CONTROL MASTER'!$T$2:$T$495&lt;=2)*('CONTROL MASTER'!$V$2:$V$495&gt;=2)*('CONTROL MASTER'!$U$2:$U$495&lt;=3)*('CONTROL MASTER'!$W$2:$W$495&gt;=3))*ROW('CONTROL MASTER'!$S$2:$S$495))-(ROW('CONTROL MASTER'!#REF!)-1))))+1))-1)*50+1,50))&amp;"_"&amp;INDEX('CONTROL MASTER'!$P$2:$P$495,(SUMPRODUCT((('CONTROL MASTER'!$S$2:$S$495=11)*('CONTROL MASTER'!$T$2:$T$495&lt;=2)*('CONTROL MASTER'!$V$2:$V$495&gt;=2)*('CONTROL MASTER'!$U$2:$U$495&lt;=3)*('CONTROL MASTER'!$W$2:$W$495&gt;=3))*ROW('CONTROL MASTER'!$S$2:$S$495))-(ROW('CONTROL MASTER'!#REF!)-1))),IF(SUMPRODUCT((('CONTROL MASTER'!$S$2:$S$495=11)*('CONTROL MASTER'!$Z$2:$Z$495&lt;=2)*('CONTROL MASTER'!$AB$2:$AB$495&gt;=2)*('CONTROL MASTER'!$AA$2:$AA$495&lt;=3)*('CONTROL MASTER'!$AC$2:$AC$495&gt;=3))*ROW('CONTROL MASTER'!$S$2:$S$495))&gt;0,INDEX('CONTROL MASTER'!$X$2:$X$495,(SUMPRODUCT((('CONTROL MASTER'!$S$2:$S$495=11)*('CONTROL MASTER'!$Z$2:$Z$495&lt;=2)*('CONTROL MASTER'!$AB$2:$AB$495&gt;=2)*('CONTROL MASTER'!$AA$2:$AA$495&lt;=3)*('CONTROL MASTER'!$AC$2:$AC$495&gt;=3))*ROW('CONTROL MASTER'!$S$2:$S$495))-(ROW('CONTROL MASTER'!#REF!)-1)))&amp;TRIM(MID(SUBSTITUTE(SUBSTITUTE(INDEX('CONTROL MASTER'!$N$2:$N$495,(SUMPRODUCT((('CONTROL MASTER'!$S$2:$S$495=11)*('CONTROL MASTER'!$Z$2:$Z$495&lt;=2)*('CONTROL MASTER'!$AB$2:$AB$495&gt;=2)*('CONTROL MASTER'!$AA$2:$AA$495&lt;=3)*('CONTROL MASTER'!$AC$2:$AC$495&gt;=3))*ROW('CONTROL MASTER'!$S$2:$S$495))-(ROW('CONTROL MASTER'!#REF!)-1))),":",","),",",REPT(" ",50)),(((INDEX('CONTROL MASTER'!$Y$2:$Y$495,(SUMPRODUCT((('CONTROL MASTER'!$S$2:$S$495=11)*('CONTROL MASTER'!$Z$2:$Z$495&lt;=2)*('CONTROL MASTER'!$AB$2:$AB$495&gt;=2)*('CONTROL MASTER'!$AA$2:$AA$495&lt;=3)*('CONTROL MASTER'!$AC$2:$AC$495&gt;=3))*ROW('CONTROL MASTER'!$S$2:$S$495))-(ROW('CONTROL MASTER'!#REF!)-1)))+((2-INDEX('CONTROL MASTER'!$Z$2:$Z$495,(SUMPRODUCT((('CONTROL MASTER'!$S$2:$S$495=11)*('CONTROL MASTER'!$Z$2:$Z$495&lt;=2)*('CONTROL MASTER'!$AB$2:$AB$495&gt;=2)*('CONTROL MASTER'!$AA$2:$AA$495&lt;=3)*('CONTROL MASTER'!$AC$2:$AC$495&gt;=3))*ROW('CONTROL MASTER'!$S$2:$S$495))-(ROW('CONTROL MASTER'!#REF!)-1))))*(INDEX('CONTROL MASTER'!$AC$2:$AC$495,(SUMPRODUCT((('CONTROL MASTER'!$S$2:$S$495=11)*('CONTROL MASTER'!$Z$2:$Z$495&lt;=2)*('CONTROL MASTER'!$AB$2:$AB$495&gt;=2)*('CONTROL MASTER'!$AA$2:$AA$495&lt;=3)*('CONTROL MASTER'!$AC$2:$AC$495&gt;=3))*ROW('CONTROL MASTER'!$S$2:$S$495))-(ROW('CONTROL MASTER'!#REF!)-1)))-INDEX('CONTROL MASTER'!$AA$2:$AA$495,(SUMPRODUCT((('CONTROL MASTER'!$S$2:$S$495=11)*('CONTROL MASTER'!$Z$2:$Z$495&lt;=2)*('CONTROL MASTER'!$AB$2:$AB$495&gt;=2)*('CONTROL MASTER'!$AA$2:$AA$495&lt;=3)*('CONTROL MASTER'!$AC$2:$AC$495&gt;=3))*ROW('CONTROL MASTER'!$S$2:$S$495))-(ROW('CONTROL MASTER'!#REF!)-1)))+1)+(3-INDEX('CONTROL MASTER'!$AA$2:$AA$495,(SUMPRODUCT((('CONTROL MASTER'!$S$2:$S$495=11)*('CONTROL MASTER'!$Z$2:$Z$495&lt;=2)*('CONTROL MASTER'!$AB$2:$AB$495&gt;=2)*('CONTROL MASTER'!$AA$2:$AA$495&lt;=3)*('CONTROL MASTER'!$AC$2:$AC$495&gt;=3))*ROW('CONTROL MASTER'!$S$2:$S$495))-(ROW('CONTROL MASTER'!#REF!)-1))))+1)))-1)*50+1,50))&amp;"_"&amp;INDEX('CONTROL MASTER'!$P$2:$P$495,(SUMPRODUCT((('CONTROL MASTER'!$S$2:$S$495=11)*('CONTROL MASTER'!$Z$2:$Z$495&lt;=2)*('CONTROL MASTER'!$AB$2:$AB$495&gt;=2)*('CONTROL MASTER'!$AA$2:$AA$495&lt;=3)*('CONTROL MASTER'!$AC$2:$AC$495&gt;=3))*ROW('CONTROL MASTER'!$S$2:$S$495))-(ROW('CONTROL MASTER'!#REF!)-1))),"")),"")</f>
        <v/>
      </c>
      <c r="E144" s="10" t="str">
        <f>IFERROR(IF(SUMPRODUCT((('CONTROL MASTER'!$S$2:$S$495=11)*('CONTROL MASTER'!$T$2:$T$495&lt;=2)*('CONTROL MASTER'!$V$2:$V$495&gt;=2)*('CONTROL MASTER'!$U$2:$U$495&lt;=4)*('CONTROL MASTER'!$W$2:$W$495&gt;=4))*ROW('CONTROL MASTER'!$S$2:$S$495))&gt;0,INDEX('CONTROL MASTER'!$X$2:$X$495,(SUMPRODUCT((('CONTROL MASTER'!$S$2:$S$495=11)*('CONTROL MASTER'!$T$2:$T$495&lt;=2)*('CONTROL MASTER'!$V$2:$V$495&gt;=2)*('CONTROL MASTER'!$U$2:$U$495&lt;=4)*('CONTROL MASTER'!$W$2:$W$495&gt;=4))*ROW('CONTROL MASTER'!$S$2:$S$495))-(ROW('CONTROL MASTER'!#REF!)-1)))&amp;TRIM(MID(SUBSTITUTE(SUBSTITUTE(INDEX('CONTROL MASTER'!$N$2:$N$495,(SUMPRODUCT((('CONTROL MASTER'!$S$2:$S$495=11)*('CONTROL MASTER'!$T$2:$T$495&lt;=2)*('CONTROL MASTER'!$V$2:$V$495&gt;=2)*('CONTROL MASTER'!$U$2:$U$495&lt;=4)*('CONTROL MASTER'!$W$2:$W$495&gt;=4))*ROW('CONTROL MASTER'!$S$2:$S$495))-(ROW('CONTROL MASTER'!#REF!)-1))),":",","),",",REPT(" ",50)),((((2-INDEX('CONTROL MASTER'!$T$2:$T$495,(SUMPRODUCT((('CONTROL MASTER'!$S$2:$S$495=11)*('CONTROL MASTER'!$T$2:$T$495&lt;=2)*('CONTROL MASTER'!$V$2:$V$495&gt;=2)*('CONTROL MASTER'!$U$2:$U$495&lt;=4)*('CONTROL MASTER'!$W$2:$W$495&gt;=4))*ROW('CONTROL MASTER'!$S$2:$S$495))-(ROW('CONTROL MASTER'!#REF!)-1))))*(INDEX('CONTROL MASTER'!$W$2:$W$495,(SUMPRODUCT((('CONTROL MASTER'!$S$2:$S$495=11)*('CONTROL MASTER'!$T$2:$T$495&lt;=2)*('CONTROL MASTER'!$V$2:$V$495&gt;=2)*('CONTROL MASTER'!$U$2:$U$495&lt;=4)*('CONTROL MASTER'!$W$2:$W$495&gt;=4))*ROW('CONTROL MASTER'!$S$2:$S$495))-(ROW('CONTROL MASTER'!#REF!)-1)))-INDEX('CONTROL MASTER'!$U$2:$U$495,(SUMPRODUCT((('CONTROL MASTER'!$S$2:$S$495=11)*('CONTROL MASTER'!$T$2:$T$495&lt;=2)*('CONTROL MASTER'!$V$2:$V$495&gt;=2)*('CONTROL MASTER'!$U$2:$U$495&lt;=4)*('CONTROL MASTER'!$W$2:$W$495&gt;=4))*ROW('CONTROL MASTER'!$S$2:$S$495))-(ROW('CONTROL MASTER'!#REF!)-1)))+1)+(4-INDEX('CONTROL MASTER'!$U$2:$U$495,(SUMPRODUCT((('CONTROL MASTER'!$S$2:$S$495=11)*('CONTROL MASTER'!$T$2:$T$495&lt;=2)*('CONTROL MASTER'!$V$2:$V$495&gt;=2)*('CONTROL MASTER'!$U$2:$U$495&lt;=4)*('CONTROL MASTER'!$W$2:$W$495&gt;=4))*ROW('CONTROL MASTER'!$S$2:$S$495))-(ROW('CONTROL MASTER'!#REF!)-1))))+1))-1)*50+1,50))&amp;"_"&amp;INDEX('CONTROL MASTER'!$P$2:$P$495,(SUMPRODUCT((('CONTROL MASTER'!$S$2:$S$495=11)*('CONTROL MASTER'!$T$2:$T$495&lt;=2)*('CONTROL MASTER'!$V$2:$V$495&gt;=2)*('CONTROL MASTER'!$U$2:$U$495&lt;=4)*('CONTROL MASTER'!$W$2:$W$495&gt;=4))*ROW('CONTROL MASTER'!$S$2:$S$495))-(ROW('CONTROL MASTER'!#REF!)-1))),IF(SUMPRODUCT((('CONTROL MASTER'!$S$2:$S$495=11)*('CONTROL MASTER'!$Z$2:$Z$495&lt;=2)*('CONTROL MASTER'!$AB$2:$AB$495&gt;=2)*('CONTROL MASTER'!$AA$2:$AA$495&lt;=4)*('CONTROL MASTER'!$AC$2:$AC$495&gt;=4))*ROW('CONTROL MASTER'!$S$2:$S$495))&gt;0,INDEX('CONTROL MASTER'!$X$2:$X$495,(SUMPRODUCT((('CONTROL MASTER'!$S$2:$S$495=11)*('CONTROL MASTER'!$Z$2:$Z$495&lt;=2)*('CONTROL MASTER'!$AB$2:$AB$495&gt;=2)*('CONTROL MASTER'!$AA$2:$AA$495&lt;=4)*('CONTROL MASTER'!$AC$2:$AC$495&gt;=4))*ROW('CONTROL MASTER'!$S$2:$S$495))-(ROW('CONTROL MASTER'!#REF!)-1)))&amp;TRIM(MID(SUBSTITUTE(SUBSTITUTE(INDEX('CONTROL MASTER'!$N$2:$N$495,(SUMPRODUCT((('CONTROL MASTER'!$S$2:$S$495=11)*('CONTROL MASTER'!$Z$2:$Z$495&lt;=2)*('CONTROL MASTER'!$AB$2:$AB$495&gt;=2)*('CONTROL MASTER'!$AA$2:$AA$495&lt;=4)*('CONTROL MASTER'!$AC$2:$AC$495&gt;=4))*ROW('CONTROL MASTER'!$S$2:$S$495))-(ROW('CONTROL MASTER'!#REF!)-1))),":",","),",",REPT(" ",50)),(((INDEX('CONTROL MASTER'!$Y$2:$Y$495,(SUMPRODUCT((('CONTROL MASTER'!$S$2:$S$495=11)*('CONTROL MASTER'!$Z$2:$Z$495&lt;=2)*('CONTROL MASTER'!$AB$2:$AB$495&gt;=2)*('CONTROL MASTER'!$AA$2:$AA$495&lt;=4)*('CONTROL MASTER'!$AC$2:$AC$495&gt;=4))*ROW('CONTROL MASTER'!$S$2:$S$495))-(ROW('CONTROL MASTER'!#REF!)-1)))+((2-INDEX('CONTROL MASTER'!$Z$2:$Z$495,(SUMPRODUCT((('CONTROL MASTER'!$S$2:$S$495=11)*('CONTROL MASTER'!$Z$2:$Z$495&lt;=2)*('CONTROL MASTER'!$AB$2:$AB$495&gt;=2)*('CONTROL MASTER'!$AA$2:$AA$495&lt;=4)*('CONTROL MASTER'!$AC$2:$AC$495&gt;=4))*ROW('CONTROL MASTER'!$S$2:$S$495))-(ROW('CONTROL MASTER'!#REF!)-1))))*(INDEX('CONTROL MASTER'!$AC$2:$AC$495,(SUMPRODUCT((('CONTROL MASTER'!$S$2:$S$495=11)*('CONTROL MASTER'!$Z$2:$Z$495&lt;=2)*('CONTROL MASTER'!$AB$2:$AB$495&gt;=2)*('CONTROL MASTER'!$AA$2:$AA$495&lt;=4)*('CONTROL MASTER'!$AC$2:$AC$495&gt;=4))*ROW('CONTROL MASTER'!$S$2:$S$495))-(ROW('CONTROL MASTER'!#REF!)-1)))-INDEX('CONTROL MASTER'!$AA$2:$AA$495,(SUMPRODUCT((('CONTROL MASTER'!$S$2:$S$495=11)*('CONTROL MASTER'!$Z$2:$Z$495&lt;=2)*('CONTROL MASTER'!$AB$2:$AB$495&gt;=2)*('CONTROL MASTER'!$AA$2:$AA$495&lt;=4)*('CONTROL MASTER'!$AC$2:$AC$495&gt;=4))*ROW('CONTROL MASTER'!$S$2:$S$495))-(ROW('CONTROL MASTER'!#REF!)-1)))+1)+(4-INDEX('CONTROL MASTER'!$AA$2:$AA$495,(SUMPRODUCT((('CONTROL MASTER'!$S$2:$S$495=11)*('CONTROL MASTER'!$Z$2:$Z$495&lt;=2)*('CONTROL MASTER'!$AB$2:$AB$495&gt;=2)*('CONTROL MASTER'!$AA$2:$AA$495&lt;=4)*('CONTROL MASTER'!$AC$2:$AC$495&gt;=4))*ROW('CONTROL MASTER'!$S$2:$S$495))-(ROW('CONTROL MASTER'!#REF!)-1))))+1)))-1)*50+1,50))&amp;"_"&amp;INDEX('CONTROL MASTER'!$P$2:$P$495,(SUMPRODUCT((('CONTROL MASTER'!$S$2:$S$495=11)*('CONTROL MASTER'!$Z$2:$Z$495&lt;=2)*('CONTROL MASTER'!$AB$2:$AB$495&gt;=2)*('CONTROL MASTER'!$AA$2:$AA$495&lt;=4)*('CONTROL MASTER'!$AC$2:$AC$495&gt;=4))*ROW('CONTROL MASTER'!$S$2:$S$495))-(ROW('CONTROL MASTER'!#REF!)-1))),"")),"")</f>
        <v/>
      </c>
      <c r="F144" s="10" t="str">
        <f>IFERROR(IF(SUMPRODUCT((('CONTROL MASTER'!$S$2:$S$495=11)*('CONTROL MASTER'!$T$2:$T$495&lt;=2)*('CONTROL MASTER'!$V$2:$V$495&gt;=2)*('CONTROL MASTER'!$U$2:$U$495&lt;=5)*('CONTROL MASTER'!$W$2:$W$495&gt;=5))*ROW('CONTROL MASTER'!$S$2:$S$495))&gt;0,INDEX('CONTROL MASTER'!$X$2:$X$495,(SUMPRODUCT((('CONTROL MASTER'!$S$2:$S$495=11)*('CONTROL MASTER'!$T$2:$T$495&lt;=2)*('CONTROL MASTER'!$V$2:$V$495&gt;=2)*('CONTROL MASTER'!$U$2:$U$495&lt;=5)*('CONTROL MASTER'!$W$2:$W$495&gt;=5))*ROW('CONTROL MASTER'!$S$2:$S$495))-(ROW('CONTROL MASTER'!#REF!)-1)))&amp;TRIM(MID(SUBSTITUTE(SUBSTITUTE(INDEX('CONTROL MASTER'!$N$2:$N$495,(SUMPRODUCT((('CONTROL MASTER'!$S$2:$S$495=11)*('CONTROL MASTER'!$T$2:$T$495&lt;=2)*('CONTROL MASTER'!$V$2:$V$495&gt;=2)*('CONTROL MASTER'!$U$2:$U$495&lt;=5)*('CONTROL MASTER'!$W$2:$W$495&gt;=5))*ROW('CONTROL MASTER'!$S$2:$S$495))-(ROW('CONTROL MASTER'!#REF!)-1))),":",","),",",REPT(" ",50)),((((2-INDEX('CONTROL MASTER'!$T$2:$T$495,(SUMPRODUCT((('CONTROL MASTER'!$S$2:$S$495=11)*('CONTROL MASTER'!$T$2:$T$495&lt;=2)*('CONTROL MASTER'!$V$2:$V$495&gt;=2)*('CONTROL MASTER'!$U$2:$U$495&lt;=5)*('CONTROL MASTER'!$W$2:$W$495&gt;=5))*ROW('CONTROL MASTER'!$S$2:$S$495))-(ROW('CONTROL MASTER'!#REF!)-1))))*(INDEX('CONTROL MASTER'!$W$2:$W$495,(SUMPRODUCT((('CONTROL MASTER'!$S$2:$S$495=11)*('CONTROL MASTER'!$T$2:$T$495&lt;=2)*('CONTROL MASTER'!$V$2:$V$495&gt;=2)*('CONTROL MASTER'!$U$2:$U$495&lt;=5)*('CONTROL MASTER'!$W$2:$W$495&gt;=5))*ROW('CONTROL MASTER'!$S$2:$S$495))-(ROW('CONTROL MASTER'!#REF!)-1)))-INDEX('CONTROL MASTER'!$U$2:$U$495,(SUMPRODUCT((('CONTROL MASTER'!$S$2:$S$495=11)*('CONTROL MASTER'!$T$2:$T$495&lt;=2)*('CONTROL MASTER'!$V$2:$V$495&gt;=2)*('CONTROL MASTER'!$U$2:$U$495&lt;=5)*('CONTROL MASTER'!$W$2:$W$495&gt;=5))*ROW('CONTROL MASTER'!$S$2:$S$495))-(ROW('CONTROL MASTER'!#REF!)-1)))+1)+(5-INDEX('CONTROL MASTER'!$U$2:$U$495,(SUMPRODUCT((('CONTROL MASTER'!$S$2:$S$495=11)*('CONTROL MASTER'!$T$2:$T$495&lt;=2)*('CONTROL MASTER'!$V$2:$V$495&gt;=2)*('CONTROL MASTER'!$U$2:$U$495&lt;=5)*('CONTROL MASTER'!$W$2:$W$495&gt;=5))*ROW('CONTROL MASTER'!$S$2:$S$495))-(ROW('CONTROL MASTER'!#REF!)-1))))+1))-1)*50+1,50))&amp;"_"&amp;INDEX('CONTROL MASTER'!$P$2:$P$495,(SUMPRODUCT((('CONTROL MASTER'!$S$2:$S$495=11)*('CONTROL MASTER'!$T$2:$T$495&lt;=2)*('CONTROL MASTER'!$V$2:$V$495&gt;=2)*('CONTROL MASTER'!$U$2:$U$495&lt;=5)*('CONTROL MASTER'!$W$2:$W$495&gt;=5))*ROW('CONTROL MASTER'!$S$2:$S$495))-(ROW('CONTROL MASTER'!#REF!)-1))),IF(SUMPRODUCT((('CONTROL MASTER'!$S$2:$S$495=11)*('CONTROL MASTER'!$Z$2:$Z$495&lt;=2)*('CONTROL MASTER'!$AB$2:$AB$495&gt;=2)*('CONTROL MASTER'!$AA$2:$AA$495&lt;=5)*('CONTROL MASTER'!$AC$2:$AC$495&gt;=5))*ROW('CONTROL MASTER'!$S$2:$S$495))&gt;0,INDEX('CONTROL MASTER'!$X$2:$X$495,(SUMPRODUCT((('CONTROL MASTER'!$S$2:$S$495=11)*('CONTROL MASTER'!$Z$2:$Z$495&lt;=2)*('CONTROL MASTER'!$AB$2:$AB$495&gt;=2)*('CONTROL MASTER'!$AA$2:$AA$495&lt;=5)*('CONTROL MASTER'!$AC$2:$AC$495&gt;=5))*ROW('CONTROL MASTER'!$S$2:$S$495))-(ROW('CONTROL MASTER'!#REF!)-1)))&amp;TRIM(MID(SUBSTITUTE(SUBSTITUTE(INDEX('CONTROL MASTER'!$N$2:$N$495,(SUMPRODUCT((('CONTROL MASTER'!$S$2:$S$495=11)*('CONTROL MASTER'!$Z$2:$Z$495&lt;=2)*('CONTROL MASTER'!$AB$2:$AB$495&gt;=2)*('CONTROL MASTER'!$AA$2:$AA$495&lt;=5)*('CONTROL MASTER'!$AC$2:$AC$495&gt;=5))*ROW('CONTROL MASTER'!$S$2:$S$495))-(ROW('CONTROL MASTER'!#REF!)-1))),":",","),",",REPT(" ",50)),(((INDEX('CONTROL MASTER'!$Y$2:$Y$495,(SUMPRODUCT((('CONTROL MASTER'!$S$2:$S$495=11)*('CONTROL MASTER'!$Z$2:$Z$495&lt;=2)*('CONTROL MASTER'!$AB$2:$AB$495&gt;=2)*('CONTROL MASTER'!$AA$2:$AA$495&lt;=5)*('CONTROL MASTER'!$AC$2:$AC$495&gt;=5))*ROW('CONTROL MASTER'!$S$2:$S$495))-(ROW('CONTROL MASTER'!#REF!)-1)))+((2-INDEX('CONTROL MASTER'!$Z$2:$Z$495,(SUMPRODUCT((('CONTROL MASTER'!$S$2:$S$495=11)*('CONTROL MASTER'!$Z$2:$Z$495&lt;=2)*('CONTROL MASTER'!$AB$2:$AB$495&gt;=2)*('CONTROL MASTER'!$AA$2:$AA$495&lt;=5)*('CONTROL MASTER'!$AC$2:$AC$495&gt;=5))*ROW('CONTROL MASTER'!$S$2:$S$495))-(ROW('CONTROL MASTER'!#REF!)-1))))*(INDEX('CONTROL MASTER'!$AC$2:$AC$495,(SUMPRODUCT((('CONTROL MASTER'!$S$2:$S$495=11)*('CONTROL MASTER'!$Z$2:$Z$495&lt;=2)*('CONTROL MASTER'!$AB$2:$AB$495&gt;=2)*('CONTROL MASTER'!$AA$2:$AA$495&lt;=5)*('CONTROL MASTER'!$AC$2:$AC$495&gt;=5))*ROW('CONTROL MASTER'!$S$2:$S$495))-(ROW('CONTROL MASTER'!#REF!)-1)))-INDEX('CONTROL MASTER'!$AA$2:$AA$495,(SUMPRODUCT((('CONTROL MASTER'!$S$2:$S$495=11)*('CONTROL MASTER'!$Z$2:$Z$495&lt;=2)*('CONTROL MASTER'!$AB$2:$AB$495&gt;=2)*('CONTROL MASTER'!$AA$2:$AA$495&lt;=5)*('CONTROL MASTER'!$AC$2:$AC$495&gt;=5))*ROW('CONTROL MASTER'!$S$2:$S$495))-(ROW('CONTROL MASTER'!#REF!)-1)))+1)+(5-INDEX('CONTROL MASTER'!$AA$2:$AA$495,(SUMPRODUCT((('CONTROL MASTER'!$S$2:$S$495=11)*('CONTROL MASTER'!$Z$2:$Z$495&lt;=2)*('CONTROL MASTER'!$AB$2:$AB$495&gt;=2)*('CONTROL MASTER'!$AA$2:$AA$495&lt;=5)*('CONTROL MASTER'!$AC$2:$AC$495&gt;=5))*ROW('CONTROL MASTER'!$S$2:$S$495))-(ROW('CONTROL MASTER'!#REF!)-1))))+1)))-1)*50+1,50))&amp;"_"&amp;INDEX('CONTROL MASTER'!$P$2:$P$495,(SUMPRODUCT((('CONTROL MASTER'!$S$2:$S$495=11)*('CONTROL MASTER'!$Z$2:$Z$495&lt;=2)*('CONTROL MASTER'!$AB$2:$AB$495&gt;=2)*('CONTROL MASTER'!$AA$2:$AA$495&lt;=5)*('CONTROL MASTER'!$AC$2:$AC$495&gt;=5))*ROW('CONTROL MASTER'!$S$2:$S$495))-(ROW('CONTROL MASTER'!#REF!)-1))),"")),"")</f>
        <v/>
      </c>
      <c r="G144" s="10" t="str">
        <f>IFERROR(IF(SUMPRODUCT((('CONTROL MASTER'!$S$2:$S$495=11)*('CONTROL MASTER'!$T$2:$T$495&lt;=2)*('CONTROL MASTER'!$V$2:$V$495&gt;=2)*('CONTROL MASTER'!$U$2:$U$495&lt;=6)*('CONTROL MASTER'!$W$2:$W$495&gt;=6))*ROW('CONTROL MASTER'!$S$2:$S$495))&gt;0,INDEX('CONTROL MASTER'!$X$2:$X$495,(SUMPRODUCT((('CONTROL MASTER'!$S$2:$S$495=11)*('CONTROL MASTER'!$T$2:$T$495&lt;=2)*('CONTROL MASTER'!$V$2:$V$495&gt;=2)*('CONTROL MASTER'!$U$2:$U$495&lt;=6)*('CONTROL MASTER'!$W$2:$W$495&gt;=6))*ROW('CONTROL MASTER'!$S$2:$S$495))-(ROW('CONTROL MASTER'!#REF!)-1)))&amp;TRIM(MID(SUBSTITUTE(SUBSTITUTE(INDEX('CONTROL MASTER'!$N$2:$N$495,(SUMPRODUCT((('CONTROL MASTER'!$S$2:$S$495=11)*('CONTROL MASTER'!$T$2:$T$495&lt;=2)*('CONTROL MASTER'!$V$2:$V$495&gt;=2)*('CONTROL MASTER'!$U$2:$U$495&lt;=6)*('CONTROL MASTER'!$W$2:$W$495&gt;=6))*ROW('CONTROL MASTER'!$S$2:$S$495))-(ROW('CONTROL MASTER'!#REF!)-1))),":",","),",",REPT(" ",50)),((((2-INDEX('CONTROL MASTER'!$T$2:$T$495,(SUMPRODUCT((('CONTROL MASTER'!$S$2:$S$495=11)*('CONTROL MASTER'!$T$2:$T$495&lt;=2)*('CONTROL MASTER'!$V$2:$V$495&gt;=2)*('CONTROL MASTER'!$U$2:$U$495&lt;=6)*('CONTROL MASTER'!$W$2:$W$495&gt;=6))*ROW('CONTROL MASTER'!$S$2:$S$495))-(ROW('CONTROL MASTER'!#REF!)-1))))*(INDEX('CONTROL MASTER'!$W$2:$W$495,(SUMPRODUCT((('CONTROL MASTER'!$S$2:$S$495=11)*('CONTROL MASTER'!$T$2:$T$495&lt;=2)*('CONTROL MASTER'!$V$2:$V$495&gt;=2)*('CONTROL MASTER'!$U$2:$U$495&lt;=6)*('CONTROL MASTER'!$W$2:$W$495&gt;=6))*ROW('CONTROL MASTER'!$S$2:$S$495))-(ROW('CONTROL MASTER'!#REF!)-1)))-INDEX('CONTROL MASTER'!$U$2:$U$495,(SUMPRODUCT((('CONTROL MASTER'!$S$2:$S$495=11)*('CONTROL MASTER'!$T$2:$T$495&lt;=2)*('CONTROL MASTER'!$V$2:$V$495&gt;=2)*('CONTROL MASTER'!$U$2:$U$495&lt;=6)*('CONTROL MASTER'!$W$2:$W$495&gt;=6))*ROW('CONTROL MASTER'!$S$2:$S$495))-(ROW('CONTROL MASTER'!#REF!)-1)))+1)+(6-INDEX('CONTROL MASTER'!$U$2:$U$495,(SUMPRODUCT((('CONTROL MASTER'!$S$2:$S$495=11)*('CONTROL MASTER'!$T$2:$T$495&lt;=2)*('CONTROL MASTER'!$V$2:$V$495&gt;=2)*('CONTROL MASTER'!$U$2:$U$495&lt;=6)*('CONTROL MASTER'!$W$2:$W$495&gt;=6))*ROW('CONTROL MASTER'!$S$2:$S$495))-(ROW('CONTROL MASTER'!#REF!)-1))))+1))-1)*50+1,50))&amp;"_"&amp;INDEX('CONTROL MASTER'!$P$2:$P$495,(SUMPRODUCT((('CONTROL MASTER'!$S$2:$S$495=11)*('CONTROL MASTER'!$T$2:$T$495&lt;=2)*('CONTROL MASTER'!$V$2:$V$495&gt;=2)*('CONTROL MASTER'!$U$2:$U$495&lt;=6)*('CONTROL MASTER'!$W$2:$W$495&gt;=6))*ROW('CONTROL MASTER'!$S$2:$S$495))-(ROW('CONTROL MASTER'!#REF!)-1))),IF(SUMPRODUCT((('CONTROL MASTER'!$S$2:$S$495=11)*('CONTROL MASTER'!$Z$2:$Z$495&lt;=2)*('CONTROL MASTER'!$AB$2:$AB$495&gt;=2)*('CONTROL MASTER'!$AA$2:$AA$495&lt;=6)*('CONTROL MASTER'!$AC$2:$AC$495&gt;=6))*ROW('CONTROL MASTER'!$S$2:$S$495))&gt;0,INDEX('CONTROL MASTER'!$X$2:$X$495,(SUMPRODUCT((('CONTROL MASTER'!$S$2:$S$495=11)*('CONTROL MASTER'!$Z$2:$Z$495&lt;=2)*('CONTROL MASTER'!$AB$2:$AB$495&gt;=2)*('CONTROL MASTER'!$AA$2:$AA$495&lt;=6)*('CONTROL MASTER'!$AC$2:$AC$495&gt;=6))*ROW('CONTROL MASTER'!$S$2:$S$495))-(ROW('CONTROL MASTER'!#REF!)-1)))&amp;TRIM(MID(SUBSTITUTE(SUBSTITUTE(INDEX('CONTROL MASTER'!$N$2:$N$495,(SUMPRODUCT((('CONTROL MASTER'!$S$2:$S$495=11)*('CONTROL MASTER'!$Z$2:$Z$495&lt;=2)*('CONTROL MASTER'!$AB$2:$AB$495&gt;=2)*('CONTROL MASTER'!$AA$2:$AA$495&lt;=6)*('CONTROL MASTER'!$AC$2:$AC$495&gt;=6))*ROW('CONTROL MASTER'!$S$2:$S$495))-(ROW('CONTROL MASTER'!#REF!)-1))),":",","),",",REPT(" ",50)),(((INDEX('CONTROL MASTER'!$Y$2:$Y$495,(SUMPRODUCT((('CONTROL MASTER'!$S$2:$S$495=11)*('CONTROL MASTER'!$Z$2:$Z$495&lt;=2)*('CONTROL MASTER'!$AB$2:$AB$495&gt;=2)*('CONTROL MASTER'!$AA$2:$AA$495&lt;=6)*('CONTROL MASTER'!$AC$2:$AC$495&gt;=6))*ROW('CONTROL MASTER'!$S$2:$S$495))-(ROW('CONTROL MASTER'!#REF!)-1)))+((2-INDEX('CONTROL MASTER'!$Z$2:$Z$495,(SUMPRODUCT((('CONTROL MASTER'!$S$2:$S$495=11)*('CONTROL MASTER'!$Z$2:$Z$495&lt;=2)*('CONTROL MASTER'!$AB$2:$AB$495&gt;=2)*('CONTROL MASTER'!$AA$2:$AA$495&lt;=6)*('CONTROL MASTER'!$AC$2:$AC$495&gt;=6))*ROW('CONTROL MASTER'!$S$2:$S$495))-(ROW('CONTROL MASTER'!#REF!)-1))))*(INDEX('CONTROL MASTER'!$AC$2:$AC$495,(SUMPRODUCT((('CONTROL MASTER'!$S$2:$S$495=11)*('CONTROL MASTER'!$Z$2:$Z$495&lt;=2)*('CONTROL MASTER'!$AB$2:$AB$495&gt;=2)*('CONTROL MASTER'!$AA$2:$AA$495&lt;=6)*('CONTROL MASTER'!$AC$2:$AC$495&gt;=6))*ROW('CONTROL MASTER'!$S$2:$S$495))-(ROW('CONTROL MASTER'!#REF!)-1)))-INDEX('CONTROL MASTER'!$AA$2:$AA$495,(SUMPRODUCT((('CONTROL MASTER'!$S$2:$S$495=11)*('CONTROL MASTER'!$Z$2:$Z$495&lt;=2)*('CONTROL MASTER'!$AB$2:$AB$495&gt;=2)*('CONTROL MASTER'!$AA$2:$AA$495&lt;=6)*('CONTROL MASTER'!$AC$2:$AC$495&gt;=6))*ROW('CONTROL MASTER'!$S$2:$S$495))-(ROW('CONTROL MASTER'!#REF!)-1)))+1)+(6-INDEX('CONTROL MASTER'!$AA$2:$AA$495,(SUMPRODUCT((('CONTROL MASTER'!$S$2:$S$495=11)*('CONTROL MASTER'!$Z$2:$Z$495&lt;=2)*('CONTROL MASTER'!$AB$2:$AB$495&gt;=2)*('CONTROL MASTER'!$AA$2:$AA$495&lt;=6)*('CONTROL MASTER'!$AC$2:$AC$495&gt;=6))*ROW('CONTROL MASTER'!$S$2:$S$495))-(ROW('CONTROL MASTER'!#REF!)-1))))+1)))-1)*50+1,50))&amp;"_"&amp;INDEX('CONTROL MASTER'!$P$2:$P$495,(SUMPRODUCT((('CONTROL MASTER'!$S$2:$S$495=11)*('CONTROL MASTER'!$Z$2:$Z$495&lt;=2)*('CONTROL MASTER'!$AB$2:$AB$495&gt;=2)*('CONTROL MASTER'!$AA$2:$AA$495&lt;=6)*('CONTROL MASTER'!$AC$2:$AC$495&gt;=6))*ROW('CONTROL MASTER'!$S$2:$S$495))-(ROW('CONTROL MASTER'!#REF!)-1))),"")),"")</f>
        <v/>
      </c>
      <c r="H144" s="10" t="str">
        <f>IFERROR(IF(SUMPRODUCT((('CONTROL MASTER'!$S$2:$S$495=11)*('CONTROL MASTER'!$T$2:$T$495&lt;=2)*('CONTROL MASTER'!$V$2:$V$495&gt;=2)*('CONTROL MASTER'!$U$2:$U$495&lt;=7)*('CONTROL MASTER'!$W$2:$W$495&gt;=7))*ROW('CONTROL MASTER'!$S$2:$S$495))&gt;0,INDEX('CONTROL MASTER'!$X$2:$X$495,(SUMPRODUCT((('CONTROL MASTER'!$S$2:$S$495=11)*('CONTROL MASTER'!$T$2:$T$495&lt;=2)*('CONTROL MASTER'!$V$2:$V$495&gt;=2)*('CONTROL MASTER'!$U$2:$U$495&lt;=7)*('CONTROL MASTER'!$W$2:$W$495&gt;=7))*ROW('CONTROL MASTER'!$S$2:$S$495))-(ROW('CONTROL MASTER'!#REF!)-1)))&amp;TRIM(MID(SUBSTITUTE(SUBSTITUTE(INDEX('CONTROL MASTER'!$N$2:$N$495,(SUMPRODUCT((('CONTROL MASTER'!$S$2:$S$495=11)*('CONTROL MASTER'!$T$2:$T$495&lt;=2)*('CONTROL MASTER'!$V$2:$V$495&gt;=2)*('CONTROL MASTER'!$U$2:$U$495&lt;=7)*('CONTROL MASTER'!$W$2:$W$495&gt;=7))*ROW('CONTROL MASTER'!$S$2:$S$495))-(ROW('CONTROL MASTER'!#REF!)-1))),":",","),",",REPT(" ",50)),((((2-INDEX('CONTROL MASTER'!$T$2:$T$495,(SUMPRODUCT((('CONTROL MASTER'!$S$2:$S$495=11)*('CONTROL MASTER'!$T$2:$T$495&lt;=2)*('CONTROL MASTER'!$V$2:$V$495&gt;=2)*('CONTROL MASTER'!$U$2:$U$495&lt;=7)*('CONTROL MASTER'!$W$2:$W$495&gt;=7))*ROW('CONTROL MASTER'!$S$2:$S$495))-(ROW('CONTROL MASTER'!#REF!)-1))))*(INDEX('CONTROL MASTER'!$W$2:$W$495,(SUMPRODUCT((('CONTROL MASTER'!$S$2:$S$495=11)*('CONTROL MASTER'!$T$2:$T$495&lt;=2)*('CONTROL MASTER'!$V$2:$V$495&gt;=2)*('CONTROL MASTER'!$U$2:$U$495&lt;=7)*('CONTROL MASTER'!$W$2:$W$495&gt;=7))*ROW('CONTROL MASTER'!$S$2:$S$495))-(ROW('CONTROL MASTER'!#REF!)-1)))-INDEX('CONTROL MASTER'!$U$2:$U$495,(SUMPRODUCT((('CONTROL MASTER'!$S$2:$S$495=11)*('CONTROL MASTER'!$T$2:$T$495&lt;=2)*('CONTROL MASTER'!$V$2:$V$495&gt;=2)*('CONTROL MASTER'!$U$2:$U$495&lt;=7)*('CONTROL MASTER'!$W$2:$W$495&gt;=7))*ROW('CONTROL MASTER'!$S$2:$S$495))-(ROW('CONTROL MASTER'!#REF!)-1)))+1)+(7-INDEX('CONTROL MASTER'!$U$2:$U$495,(SUMPRODUCT((('CONTROL MASTER'!$S$2:$S$495=11)*('CONTROL MASTER'!$T$2:$T$495&lt;=2)*('CONTROL MASTER'!$V$2:$V$495&gt;=2)*('CONTROL MASTER'!$U$2:$U$495&lt;=7)*('CONTROL MASTER'!$W$2:$W$495&gt;=7))*ROW('CONTROL MASTER'!$S$2:$S$495))-(ROW('CONTROL MASTER'!#REF!)-1))))+1))-1)*50+1,50))&amp;"_"&amp;INDEX('CONTROL MASTER'!$P$2:$P$495,(SUMPRODUCT((('CONTROL MASTER'!$S$2:$S$495=11)*('CONTROL MASTER'!$T$2:$T$495&lt;=2)*('CONTROL MASTER'!$V$2:$V$495&gt;=2)*('CONTROL MASTER'!$U$2:$U$495&lt;=7)*('CONTROL MASTER'!$W$2:$W$495&gt;=7))*ROW('CONTROL MASTER'!$S$2:$S$495))-(ROW('CONTROL MASTER'!#REF!)-1))),IF(SUMPRODUCT((('CONTROL MASTER'!$S$2:$S$495=11)*('CONTROL MASTER'!$Z$2:$Z$495&lt;=2)*('CONTROL MASTER'!$AB$2:$AB$495&gt;=2)*('CONTROL MASTER'!$AA$2:$AA$495&lt;=7)*('CONTROL MASTER'!$AC$2:$AC$495&gt;=7))*ROW('CONTROL MASTER'!$S$2:$S$495))&gt;0,INDEX('CONTROL MASTER'!$X$2:$X$495,(SUMPRODUCT((('CONTROL MASTER'!$S$2:$S$495=11)*('CONTROL MASTER'!$Z$2:$Z$495&lt;=2)*('CONTROL MASTER'!$AB$2:$AB$495&gt;=2)*('CONTROL MASTER'!$AA$2:$AA$495&lt;=7)*('CONTROL MASTER'!$AC$2:$AC$495&gt;=7))*ROW('CONTROL MASTER'!$S$2:$S$495))-(ROW('CONTROL MASTER'!#REF!)-1)))&amp;TRIM(MID(SUBSTITUTE(SUBSTITUTE(INDEX('CONTROL MASTER'!$N$2:$N$495,(SUMPRODUCT((('CONTROL MASTER'!$S$2:$S$495=11)*('CONTROL MASTER'!$Z$2:$Z$495&lt;=2)*('CONTROL MASTER'!$AB$2:$AB$495&gt;=2)*('CONTROL MASTER'!$AA$2:$AA$495&lt;=7)*('CONTROL MASTER'!$AC$2:$AC$495&gt;=7))*ROW('CONTROL MASTER'!$S$2:$S$495))-(ROW('CONTROL MASTER'!#REF!)-1))),":",","),",",REPT(" ",50)),(((INDEX('CONTROL MASTER'!$Y$2:$Y$495,(SUMPRODUCT((('CONTROL MASTER'!$S$2:$S$495=11)*('CONTROL MASTER'!$Z$2:$Z$495&lt;=2)*('CONTROL MASTER'!$AB$2:$AB$495&gt;=2)*('CONTROL MASTER'!$AA$2:$AA$495&lt;=7)*('CONTROL MASTER'!$AC$2:$AC$495&gt;=7))*ROW('CONTROL MASTER'!$S$2:$S$495))-(ROW('CONTROL MASTER'!#REF!)-1)))+((2-INDEX('CONTROL MASTER'!$Z$2:$Z$495,(SUMPRODUCT((('CONTROL MASTER'!$S$2:$S$495=11)*('CONTROL MASTER'!$Z$2:$Z$495&lt;=2)*('CONTROL MASTER'!$AB$2:$AB$495&gt;=2)*('CONTROL MASTER'!$AA$2:$AA$495&lt;=7)*('CONTROL MASTER'!$AC$2:$AC$495&gt;=7))*ROW('CONTROL MASTER'!$S$2:$S$495))-(ROW('CONTROL MASTER'!#REF!)-1))))*(INDEX('CONTROL MASTER'!$AC$2:$AC$495,(SUMPRODUCT((('CONTROL MASTER'!$S$2:$S$495=11)*('CONTROL MASTER'!$Z$2:$Z$495&lt;=2)*('CONTROL MASTER'!$AB$2:$AB$495&gt;=2)*('CONTROL MASTER'!$AA$2:$AA$495&lt;=7)*('CONTROL MASTER'!$AC$2:$AC$495&gt;=7))*ROW('CONTROL MASTER'!$S$2:$S$495))-(ROW('CONTROL MASTER'!#REF!)-1)))-INDEX('CONTROL MASTER'!$AA$2:$AA$495,(SUMPRODUCT((('CONTROL MASTER'!$S$2:$S$495=11)*('CONTROL MASTER'!$Z$2:$Z$495&lt;=2)*('CONTROL MASTER'!$AB$2:$AB$495&gt;=2)*('CONTROL MASTER'!$AA$2:$AA$495&lt;=7)*('CONTROL MASTER'!$AC$2:$AC$495&gt;=7))*ROW('CONTROL MASTER'!$S$2:$S$495))-(ROW('CONTROL MASTER'!#REF!)-1)))+1)+(7-INDEX('CONTROL MASTER'!$AA$2:$AA$495,(SUMPRODUCT((('CONTROL MASTER'!$S$2:$S$495=11)*('CONTROL MASTER'!$Z$2:$Z$495&lt;=2)*('CONTROL MASTER'!$AB$2:$AB$495&gt;=2)*('CONTROL MASTER'!$AA$2:$AA$495&lt;=7)*('CONTROL MASTER'!$AC$2:$AC$495&gt;=7))*ROW('CONTROL MASTER'!$S$2:$S$495))-(ROW('CONTROL MASTER'!#REF!)-1))))+1)))-1)*50+1,50))&amp;"_"&amp;INDEX('CONTROL MASTER'!$P$2:$P$495,(SUMPRODUCT((('CONTROL MASTER'!$S$2:$S$495=11)*('CONTROL MASTER'!$Z$2:$Z$495&lt;=2)*('CONTROL MASTER'!$AB$2:$AB$495&gt;=2)*('CONTROL MASTER'!$AA$2:$AA$495&lt;=7)*('CONTROL MASTER'!$AC$2:$AC$495&gt;=7))*ROW('CONTROL MASTER'!$S$2:$S$495))-(ROW('CONTROL MASTER'!#REF!)-1))),"")),"")</f>
        <v/>
      </c>
      <c r="I144" s="10" t="str">
        <f>IFERROR(IF(SUMPRODUCT((('CONTROL MASTER'!$S$2:$S$495=11)*('CONTROL MASTER'!$T$2:$T$495&lt;=2)*('CONTROL MASTER'!$V$2:$V$495&gt;=2)*('CONTROL MASTER'!$U$2:$U$495&lt;=8)*('CONTROL MASTER'!$W$2:$W$495&gt;=8))*ROW('CONTROL MASTER'!$S$2:$S$495))&gt;0,INDEX('CONTROL MASTER'!$X$2:$X$495,(SUMPRODUCT((('CONTROL MASTER'!$S$2:$S$495=11)*('CONTROL MASTER'!$T$2:$T$495&lt;=2)*('CONTROL MASTER'!$V$2:$V$495&gt;=2)*('CONTROL MASTER'!$U$2:$U$495&lt;=8)*('CONTROL MASTER'!$W$2:$W$495&gt;=8))*ROW('CONTROL MASTER'!$S$2:$S$495))-(ROW('CONTROL MASTER'!#REF!)-1)))&amp;TRIM(MID(SUBSTITUTE(SUBSTITUTE(INDEX('CONTROL MASTER'!$N$2:$N$495,(SUMPRODUCT((('CONTROL MASTER'!$S$2:$S$495=11)*('CONTROL MASTER'!$T$2:$T$495&lt;=2)*('CONTROL MASTER'!$V$2:$V$495&gt;=2)*('CONTROL MASTER'!$U$2:$U$495&lt;=8)*('CONTROL MASTER'!$W$2:$W$495&gt;=8))*ROW('CONTROL MASTER'!$S$2:$S$495))-(ROW('CONTROL MASTER'!#REF!)-1))),":",","),",",REPT(" ",50)),((((2-INDEX('CONTROL MASTER'!$T$2:$T$495,(SUMPRODUCT((('CONTROL MASTER'!$S$2:$S$495=11)*('CONTROL MASTER'!$T$2:$T$495&lt;=2)*('CONTROL MASTER'!$V$2:$V$495&gt;=2)*('CONTROL MASTER'!$U$2:$U$495&lt;=8)*('CONTROL MASTER'!$W$2:$W$495&gt;=8))*ROW('CONTROL MASTER'!$S$2:$S$495))-(ROW('CONTROL MASTER'!#REF!)-1))))*(INDEX('CONTROL MASTER'!$W$2:$W$495,(SUMPRODUCT((('CONTROL MASTER'!$S$2:$S$495=11)*('CONTROL MASTER'!$T$2:$T$495&lt;=2)*('CONTROL MASTER'!$V$2:$V$495&gt;=2)*('CONTROL MASTER'!$U$2:$U$495&lt;=8)*('CONTROL MASTER'!$W$2:$W$495&gt;=8))*ROW('CONTROL MASTER'!$S$2:$S$495))-(ROW('CONTROL MASTER'!#REF!)-1)))-INDEX('CONTROL MASTER'!$U$2:$U$495,(SUMPRODUCT((('CONTROL MASTER'!$S$2:$S$495=11)*('CONTROL MASTER'!$T$2:$T$495&lt;=2)*('CONTROL MASTER'!$V$2:$V$495&gt;=2)*('CONTROL MASTER'!$U$2:$U$495&lt;=8)*('CONTROL MASTER'!$W$2:$W$495&gt;=8))*ROW('CONTROL MASTER'!$S$2:$S$495))-(ROW('CONTROL MASTER'!#REF!)-1)))+1)+(8-INDEX('CONTROL MASTER'!$U$2:$U$495,(SUMPRODUCT((('CONTROL MASTER'!$S$2:$S$495=11)*('CONTROL MASTER'!$T$2:$T$495&lt;=2)*('CONTROL MASTER'!$V$2:$V$495&gt;=2)*('CONTROL MASTER'!$U$2:$U$495&lt;=8)*('CONTROL MASTER'!$W$2:$W$495&gt;=8))*ROW('CONTROL MASTER'!$S$2:$S$495))-(ROW('CONTROL MASTER'!#REF!)-1))))+1))-1)*50+1,50))&amp;"_"&amp;INDEX('CONTROL MASTER'!$P$2:$P$495,(SUMPRODUCT((('CONTROL MASTER'!$S$2:$S$495=11)*('CONTROL MASTER'!$T$2:$T$495&lt;=2)*('CONTROL MASTER'!$V$2:$V$495&gt;=2)*('CONTROL MASTER'!$U$2:$U$495&lt;=8)*('CONTROL MASTER'!$W$2:$W$495&gt;=8))*ROW('CONTROL MASTER'!$S$2:$S$495))-(ROW('CONTROL MASTER'!#REF!)-1))),IF(SUMPRODUCT((('CONTROL MASTER'!$S$2:$S$495=11)*('CONTROL MASTER'!$Z$2:$Z$495&lt;=2)*('CONTROL MASTER'!$AB$2:$AB$495&gt;=2)*('CONTROL MASTER'!$AA$2:$AA$495&lt;=8)*('CONTROL MASTER'!$AC$2:$AC$495&gt;=8))*ROW('CONTROL MASTER'!$S$2:$S$495))&gt;0,INDEX('CONTROL MASTER'!$X$2:$X$495,(SUMPRODUCT((('CONTROL MASTER'!$S$2:$S$495=11)*('CONTROL MASTER'!$Z$2:$Z$495&lt;=2)*('CONTROL MASTER'!$AB$2:$AB$495&gt;=2)*('CONTROL MASTER'!$AA$2:$AA$495&lt;=8)*('CONTROL MASTER'!$AC$2:$AC$495&gt;=8))*ROW('CONTROL MASTER'!$S$2:$S$495))-(ROW('CONTROL MASTER'!#REF!)-1)))&amp;TRIM(MID(SUBSTITUTE(SUBSTITUTE(INDEX('CONTROL MASTER'!$N$2:$N$495,(SUMPRODUCT((('CONTROL MASTER'!$S$2:$S$495=11)*('CONTROL MASTER'!$Z$2:$Z$495&lt;=2)*('CONTROL MASTER'!$AB$2:$AB$495&gt;=2)*('CONTROL MASTER'!$AA$2:$AA$495&lt;=8)*('CONTROL MASTER'!$AC$2:$AC$495&gt;=8))*ROW('CONTROL MASTER'!$S$2:$S$495))-(ROW('CONTROL MASTER'!#REF!)-1))),":",","),",",REPT(" ",50)),(((INDEX('CONTROL MASTER'!$Y$2:$Y$495,(SUMPRODUCT((('CONTROL MASTER'!$S$2:$S$495=11)*('CONTROL MASTER'!$Z$2:$Z$495&lt;=2)*('CONTROL MASTER'!$AB$2:$AB$495&gt;=2)*('CONTROL MASTER'!$AA$2:$AA$495&lt;=8)*('CONTROL MASTER'!$AC$2:$AC$495&gt;=8))*ROW('CONTROL MASTER'!$S$2:$S$495))-(ROW('CONTROL MASTER'!#REF!)-1)))+((2-INDEX('CONTROL MASTER'!$Z$2:$Z$495,(SUMPRODUCT((('CONTROL MASTER'!$S$2:$S$495=11)*('CONTROL MASTER'!$Z$2:$Z$495&lt;=2)*('CONTROL MASTER'!$AB$2:$AB$495&gt;=2)*('CONTROL MASTER'!$AA$2:$AA$495&lt;=8)*('CONTROL MASTER'!$AC$2:$AC$495&gt;=8))*ROW('CONTROL MASTER'!$S$2:$S$495))-(ROW('CONTROL MASTER'!#REF!)-1))))*(INDEX('CONTROL MASTER'!$AC$2:$AC$495,(SUMPRODUCT((('CONTROL MASTER'!$S$2:$S$495=11)*('CONTROL MASTER'!$Z$2:$Z$495&lt;=2)*('CONTROL MASTER'!$AB$2:$AB$495&gt;=2)*('CONTROL MASTER'!$AA$2:$AA$495&lt;=8)*('CONTROL MASTER'!$AC$2:$AC$495&gt;=8))*ROW('CONTROL MASTER'!$S$2:$S$495))-(ROW('CONTROL MASTER'!#REF!)-1)))-INDEX('CONTROL MASTER'!$AA$2:$AA$495,(SUMPRODUCT((('CONTROL MASTER'!$S$2:$S$495=11)*('CONTROL MASTER'!$Z$2:$Z$495&lt;=2)*('CONTROL MASTER'!$AB$2:$AB$495&gt;=2)*('CONTROL MASTER'!$AA$2:$AA$495&lt;=8)*('CONTROL MASTER'!$AC$2:$AC$495&gt;=8))*ROW('CONTROL MASTER'!$S$2:$S$495))-(ROW('CONTROL MASTER'!#REF!)-1)))+1)+(8-INDEX('CONTROL MASTER'!$AA$2:$AA$495,(SUMPRODUCT((('CONTROL MASTER'!$S$2:$S$495=11)*('CONTROL MASTER'!$Z$2:$Z$495&lt;=2)*('CONTROL MASTER'!$AB$2:$AB$495&gt;=2)*('CONTROL MASTER'!$AA$2:$AA$495&lt;=8)*('CONTROL MASTER'!$AC$2:$AC$495&gt;=8))*ROW('CONTROL MASTER'!$S$2:$S$495))-(ROW('CONTROL MASTER'!#REF!)-1))))+1)))-1)*50+1,50))&amp;"_"&amp;INDEX('CONTROL MASTER'!$P$2:$P$495,(SUMPRODUCT((('CONTROL MASTER'!$S$2:$S$495=11)*('CONTROL MASTER'!$Z$2:$Z$495&lt;=2)*('CONTROL MASTER'!$AB$2:$AB$495&gt;=2)*('CONTROL MASTER'!$AA$2:$AA$495&lt;=8)*('CONTROL MASTER'!$AC$2:$AC$495&gt;=8))*ROW('CONTROL MASTER'!$S$2:$S$495))-(ROW('CONTROL MASTER'!#REF!)-1))),"")),"")</f>
        <v/>
      </c>
      <c r="J144" s="10" t="str">
        <f>IFERROR(IF(SUMPRODUCT((('CONTROL MASTER'!$S$2:$S$495=11)*('CONTROL MASTER'!$T$2:$T$495&lt;=2)*('CONTROL MASTER'!$V$2:$V$495&gt;=2)*('CONTROL MASTER'!$U$2:$U$495&lt;=9)*('CONTROL MASTER'!$W$2:$W$495&gt;=9))*ROW('CONTROL MASTER'!$S$2:$S$495))&gt;0,INDEX('CONTROL MASTER'!$X$2:$X$495,(SUMPRODUCT((('CONTROL MASTER'!$S$2:$S$495=11)*('CONTROL MASTER'!$T$2:$T$495&lt;=2)*('CONTROL MASTER'!$V$2:$V$495&gt;=2)*('CONTROL MASTER'!$U$2:$U$495&lt;=9)*('CONTROL MASTER'!$W$2:$W$495&gt;=9))*ROW('CONTROL MASTER'!$S$2:$S$495))-(ROW('CONTROL MASTER'!#REF!)-1)))&amp;TRIM(MID(SUBSTITUTE(SUBSTITUTE(INDEX('CONTROL MASTER'!$N$2:$N$495,(SUMPRODUCT((('CONTROL MASTER'!$S$2:$S$495=11)*('CONTROL MASTER'!$T$2:$T$495&lt;=2)*('CONTROL MASTER'!$V$2:$V$495&gt;=2)*('CONTROL MASTER'!$U$2:$U$495&lt;=9)*('CONTROL MASTER'!$W$2:$W$495&gt;=9))*ROW('CONTROL MASTER'!$S$2:$S$495))-(ROW('CONTROL MASTER'!#REF!)-1))),":",","),",",REPT(" ",50)),((((2-INDEX('CONTROL MASTER'!$T$2:$T$495,(SUMPRODUCT((('CONTROL MASTER'!$S$2:$S$495=11)*('CONTROL MASTER'!$T$2:$T$495&lt;=2)*('CONTROL MASTER'!$V$2:$V$495&gt;=2)*('CONTROL MASTER'!$U$2:$U$495&lt;=9)*('CONTROL MASTER'!$W$2:$W$495&gt;=9))*ROW('CONTROL MASTER'!$S$2:$S$495))-(ROW('CONTROL MASTER'!#REF!)-1))))*(INDEX('CONTROL MASTER'!$W$2:$W$495,(SUMPRODUCT((('CONTROL MASTER'!$S$2:$S$495=11)*('CONTROL MASTER'!$T$2:$T$495&lt;=2)*('CONTROL MASTER'!$V$2:$V$495&gt;=2)*('CONTROL MASTER'!$U$2:$U$495&lt;=9)*('CONTROL MASTER'!$W$2:$W$495&gt;=9))*ROW('CONTROL MASTER'!$S$2:$S$495))-(ROW('CONTROL MASTER'!#REF!)-1)))-INDEX('CONTROL MASTER'!$U$2:$U$495,(SUMPRODUCT((('CONTROL MASTER'!$S$2:$S$495=11)*('CONTROL MASTER'!$T$2:$T$495&lt;=2)*('CONTROL MASTER'!$V$2:$V$495&gt;=2)*('CONTROL MASTER'!$U$2:$U$495&lt;=9)*('CONTROL MASTER'!$W$2:$W$495&gt;=9))*ROW('CONTROL MASTER'!$S$2:$S$495))-(ROW('CONTROL MASTER'!#REF!)-1)))+1)+(9-INDEX('CONTROL MASTER'!$U$2:$U$495,(SUMPRODUCT((('CONTROL MASTER'!$S$2:$S$495=11)*('CONTROL MASTER'!$T$2:$T$495&lt;=2)*('CONTROL MASTER'!$V$2:$V$495&gt;=2)*('CONTROL MASTER'!$U$2:$U$495&lt;=9)*('CONTROL MASTER'!$W$2:$W$495&gt;=9))*ROW('CONTROL MASTER'!$S$2:$S$495))-(ROW('CONTROL MASTER'!#REF!)-1))))+1))-1)*50+1,50))&amp;"_"&amp;INDEX('CONTROL MASTER'!$P$2:$P$495,(SUMPRODUCT((('CONTROL MASTER'!$S$2:$S$495=11)*('CONTROL MASTER'!$T$2:$T$495&lt;=2)*('CONTROL MASTER'!$V$2:$V$495&gt;=2)*('CONTROL MASTER'!$U$2:$U$495&lt;=9)*('CONTROL MASTER'!$W$2:$W$495&gt;=9))*ROW('CONTROL MASTER'!$S$2:$S$495))-(ROW('CONTROL MASTER'!#REF!)-1))),IF(SUMPRODUCT((('CONTROL MASTER'!$S$2:$S$495=11)*('CONTROL MASTER'!$Z$2:$Z$495&lt;=2)*('CONTROL MASTER'!$AB$2:$AB$495&gt;=2)*('CONTROL MASTER'!$AA$2:$AA$495&lt;=9)*('CONTROL MASTER'!$AC$2:$AC$495&gt;=9))*ROW('CONTROL MASTER'!$S$2:$S$495))&gt;0,INDEX('CONTROL MASTER'!$X$2:$X$495,(SUMPRODUCT((('CONTROL MASTER'!$S$2:$S$495=11)*('CONTROL MASTER'!$Z$2:$Z$495&lt;=2)*('CONTROL MASTER'!$AB$2:$AB$495&gt;=2)*('CONTROL MASTER'!$AA$2:$AA$495&lt;=9)*('CONTROL MASTER'!$AC$2:$AC$495&gt;=9))*ROW('CONTROL MASTER'!$S$2:$S$495))-(ROW('CONTROL MASTER'!#REF!)-1)))&amp;TRIM(MID(SUBSTITUTE(SUBSTITUTE(INDEX('CONTROL MASTER'!$N$2:$N$495,(SUMPRODUCT((('CONTROL MASTER'!$S$2:$S$495=11)*('CONTROL MASTER'!$Z$2:$Z$495&lt;=2)*('CONTROL MASTER'!$AB$2:$AB$495&gt;=2)*('CONTROL MASTER'!$AA$2:$AA$495&lt;=9)*('CONTROL MASTER'!$AC$2:$AC$495&gt;=9))*ROW('CONTROL MASTER'!$S$2:$S$495))-(ROW('CONTROL MASTER'!#REF!)-1))),":",","),",",REPT(" ",50)),(((INDEX('CONTROL MASTER'!$Y$2:$Y$495,(SUMPRODUCT((('CONTROL MASTER'!$S$2:$S$495=11)*('CONTROL MASTER'!$Z$2:$Z$495&lt;=2)*('CONTROL MASTER'!$AB$2:$AB$495&gt;=2)*('CONTROL MASTER'!$AA$2:$AA$495&lt;=9)*('CONTROL MASTER'!$AC$2:$AC$495&gt;=9))*ROW('CONTROL MASTER'!$S$2:$S$495))-(ROW('CONTROL MASTER'!#REF!)-1)))+((2-INDEX('CONTROL MASTER'!$Z$2:$Z$495,(SUMPRODUCT((('CONTROL MASTER'!$S$2:$S$495=11)*('CONTROL MASTER'!$Z$2:$Z$495&lt;=2)*('CONTROL MASTER'!$AB$2:$AB$495&gt;=2)*('CONTROL MASTER'!$AA$2:$AA$495&lt;=9)*('CONTROL MASTER'!$AC$2:$AC$495&gt;=9))*ROW('CONTROL MASTER'!$S$2:$S$495))-(ROW('CONTROL MASTER'!#REF!)-1))))*(INDEX('CONTROL MASTER'!$AC$2:$AC$495,(SUMPRODUCT((('CONTROL MASTER'!$S$2:$S$495=11)*('CONTROL MASTER'!$Z$2:$Z$495&lt;=2)*('CONTROL MASTER'!$AB$2:$AB$495&gt;=2)*('CONTROL MASTER'!$AA$2:$AA$495&lt;=9)*('CONTROL MASTER'!$AC$2:$AC$495&gt;=9))*ROW('CONTROL MASTER'!$S$2:$S$495))-(ROW('CONTROL MASTER'!#REF!)-1)))-INDEX('CONTROL MASTER'!$AA$2:$AA$495,(SUMPRODUCT((('CONTROL MASTER'!$S$2:$S$495=11)*('CONTROL MASTER'!$Z$2:$Z$495&lt;=2)*('CONTROL MASTER'!$AB$2:$AB$495&gt;=2)*('CONTROL MASTER'!$AA$2:$AA$495&lt;=9)*('CONTROL MASTER'!$AC$2:$AC$495&gt;=9))*ROW('CONTROL MASTER'!$S$2:$S$495))-(ROW('CONTROL MASTER'!#REF!)-1)))+1)+(9-INDEX('CONTROL MASTER'!$AA$2:$AA$495,(SUMPRODUCT((('CONTROL MASTER'!$S$2:$S$495=11)*('CONTROL MASTER'!$Z$2:$Z$495&lt;=2)*('CONTROL MASTER'!$AB$2:$AB$495&gt;=2)*('CONTROL MASTER'!$AA$2:$AA$495&lt;=9)*('CONTROL MASTER'!$AC$2:$AC$495&gt;=9))*ROW('CONTROL MASTER'!$S$2:$S$495))-(ROW('CONTROL MASTER'!#REF!)-1))))+1)))-1)*50+1,50))&amp;"_"&amp;INDEX('CONTROL MASTER'!$P$2:$P$495,(SUMPRODUCT((('CONTROL MASTER'!$S$2:$S$495=11)*('CONTROL MASTER'!$Z$2:$Z$495&lt;=2)*('CONTROL MASTER'!$AB$2:$AB$495&gt;=2)*('CONTROL MASTER'!$AA$2:$AA$495&lt;=9)*('CONTROL MASTER'!$AC$2:$AC$495&gt;=9))*ROW('CONTROL MASTER'!$S$2:$S$495))-(ROW('CONTROL MASTER'!#REF!)-1))),"")),"")</f>
        <v/>
      </c>
      <c r="K144" s="10" t="str">
        <f>IFERROR(IF(SUMPRODUCT((('CONTROL MASTER'!$S$2:$S$495=11)*('CONTROL MASTER'!$T$2:$T$495&lt;=2)*('CONTROL MASTER'!$V$2:$V$495&gt;=2)*('CONTROL MASTER'!$U$2:$U$495&lt;=10)*('CONTROL MASTER'!$W$2:$W$495&gt;=10))*ROW('CONTROL MASTER'!$S$2:$S$495))&gt;0,INDEX('CONTROL MASTER'!$X$2:$X$495,(SUMPRODUCT((('CONTROL MASTER'!$S$2:$S$495=11)*('CONTROL MASTER'!$T$2:$T$495&lt;=2)*('CONTROL MASTER'!$V$2:$V$495&gt;=2)*('CONTROL MASTER'!$U$2:$U$495&lt;=10)*('CONTROL MASTER'!$W$2:$W$495&gt;=10))*ROW('CONTROL MASTER'!$S$2:$S$495))-(ROW('CONTROL MASTER'!#REF!)-1)))&amp;TRIM(MID(SUBSTITUTE(SUBSTITUTE(INDEX('CONTROL MASTER'!$N$2:$N$495,(SUMPRODUCT((('CONTROL MASTER'!$S$2:$S$495=11)*('CONTROL MASTER'!$T$2:$T$495&lt;=2)*('CONTROL MASTER'!$V$2:$V$495&gt;=2)*('CONTROL MASTER'!$U$2:$U$495&lt;=10)*('CONTROL MASTER'!$W$2:$W$495&gt;=10))*ROW('CONTROL MASTER'!$S$2:$S$495))-(ROW('CONTROL MASTER'!#REF!)-1))),":",","),",",REPT(" ",50)),((((2-INDEX('CONTROL MASTER'!$T$2:$T$495,(SUMPRODUCT((('CONTROL MASTER'!$S$2:$S$495=11)*('CONTROL MASTER'!$T$2:$T$495&lt;=2)*('CONTROL MASTER'!$V$2:$V$495&gt;=2)*('CONTROL MASTER'!$U$2:$U$495&lt;=10)*('CONTROL MASTER'!$W$2:$W$495&gt;=10))*ROW('CONTROL MASTER'!$S$2:$S$495))-(ROW('CONTROL MASTER'!#REF!)-1))))*(INDEX('CONTROL MASTER'!$W$2:$W$495,(SUMPRODUCT((('CONTROL MASTER'!$S$2:$S$495=11)*('CONTROL MASTER'!$T$2:$T$495&lt;=2)*('CONTROL MASTER'!$V$2:$V$495&gt;=2)*('CONTROL MASTER'!$U$2:$U$495&lt;=10)*('CONTROL MASTER'!$W$2:$W$495&gt;=10))*ROW('CONTROL MASTER'!$S$2:$S$495))-(ROW('CONTROL MASTER'!#REF!)-1)))-INDEX('CONTROL MASTER'!$U$2:$U$495,(SUMPRODUCT((('CONTROL MASTER'!$S$2:$S$495=11)*('CONTROL MASTER'!$T$2:$T$495&lt;=2)*('CONTROL MASTER'!$V$2:$V$495&gt;=2)*('CONTROL MASTER'!$U$2:$U$495&lt;=10)*('CONTROL MASTER'!$W$2:$W$495&gt;=10))*ROW('CONTROL MASTER'!$S$2:$S$495))-(ROW('CONTROL MASTER'!#REF!)-1)))+1)+(10-INDEX('CONTROL MASTER'!$U$2:$U$495,(SUMPRODUCT((('CONTROL MASTER'!$S$2:$S$495=11)*('CONTROL MASTER'!$T$2:$T$495&lt;=2)*('CONTROL MASTER'!$V$2:$V$495&gt;=2)*('CONTROL MASTER'!$U$2:$U$495&lt;=10)*('CONTROL MASTER'!$W$2:$W$495&gt;=10))*ROW('CONTROL MASTER'!$S$2:$S$495))-(ROW('CONTROL MASTER'!#REF!)-1))))+1))-1)*50+1,50))&amp;"_"&amp;INDEX('CONTROL MASTER'!$P$2:$P$495,(SUMPRODUCT((('CONTROL MASTER'!$S$2:$S$495=11)*('CONTROL MASTER'!$T$2:$T$495&lt;=2)*('CONTROL MASTER'!$V$2:$V$495&gt;=2)*('CONTROL MASTER'!$U$2:$U$495&lt;=10)*('CONTROL MASTER'!$W$2:$W$495&gt;=10))*ROW('CONTROL MASTER'!$S$2:$S$495))-(ROW('CONTROL MASTER'!#REF!)-1))),IF(SUMPRODUCT((('CONTROL MASTER'!$S$2:$S$495=11)*('CONTROL MASTER'!$Z$2:$Z$495&lt;=2)*('CONTROL MASTER'!$AB$2:$AB$495&gt;=2)*('CONTROL MASTER'!$AA$2:$AA$495&lt;=10)*('CONTROL MASTER'!$AC$2:$AC$495&gt;=10))*ROW('CONTROL MASTER'!$S$2:$S$495))&gt;0,INDEX('CONTROL MASTER'!$X$2:$X$495,(SUMPRODUCT((('CONTROL MASTER'!$S$2:$S$495=11)*('CONTROL MASTER'!$Z$2:$Z$495&lt;=2)*('CONTROL MASTER'!$AB$2:$AB$495&gt;=2)*('CONTROL MASTER'!$AA$2:$AA$495&lt;=10)*('CONTROL MASTER'!$AC$2:$AC$495&gt;=10))*ROW('CONTROL MASTER'!$S$2:$S$495))-(ROW('CONTROL MASTER'!#REF!)-1)))&amp;TRIM(MID(SUBSTITUTE(SUBSTITUTE(INDEX('CONTROL MASTER'!$N$2:$N$495,(SUMPRODUCT((('CONTROL MASTER'!$S$2:$S$495=11)*('CONTROL MASTER'!$Z$2:$Z$495&lt;=2)*('CONTROL MASTER'!$AB$2:$AB$495&gt;=2)*('CONTROL MASTER'!$AA$2:$AA$495&lt;=10)*('CONTROL MASTER'!$AC$2:$AC$495&gt;=10))*ROW('CONTROL MASTER'!$S$2:$S$495))-(ROW('CONTROL MASTER'!#REF!)-1))),":",","),",",REPT(" ",50)),(((INDEX('CONTROL MASTER'!$Y$2:$Y$495,(SUMPRODUCT((('CONTROL MASTER'!$S$2:$S$495=11)*('CONTROL MASTER'!$Z$2:$Z$495&lt;=2)*('CONTROL MASTER'!$AB$2:$AB$495&gt;=2)*('CONTROL MASTER'!$AA$2:$AA$495&lt;=10)*('CONTROL MASTER'!$AC$2:$AC$495&gt;=10))*ROW('CONTROL MASTER'!$S$2:$S$495))-(ROW('CONTROL MASTER'!#REF!)-1)))+((2-INDEX('CONTROL MASTER'!$Z$2:$Z$495,(SUMPRODUCT((('CONTROL MASTER'!$S$2:$S$495=11)*('CONTROL MASTER'!$Z$2:$Z$495&lt;=2)*('CONTROL MASTER'!$AB$2:$AB$495&gt;=2)*('CONTROL MASTER'!$AA$2:$AA$495&lt;=10)*('CONTROL MASTER'!$AC$2:$AC$495&gt;=10))*ROW('CONTROL MASTER'!$S$2:$S$495))-(ROW('CONTROL MASTER'!#REF!)-1))))*(INDEX('CONTROL MASTER'!$AC$2:$AC$495,(SUMPRODUCT((('CONTROL MASTER'!$S$2:$S$495=11)*('CONTROL MASTER'!$Z$2:$Z$495&lt;=2)*('CONTROL MASTER'!$AB$2:$AB$495&gt;=2)*('CONTROL MASTER'!$AA$2:$AA$495&lt;=10)*('CONTROL MASTER'!$AC$2:$AC$495&gt;=10))*ROW('CONTROL MASTER'!$S$2:$S$495))-(ROW('CONTROL MASTER'!#REF!)-1)))-INDEX('CONTROL MASTER'!$AA$2:$AA$495,(SUMPRODUCT((('CONTROL MASTER'!$S$2:$S$495=11)*('CONTROL MASTER'!$Z$2:$Z$495&lt;=2)*('CONTROL MASTER'!$AB$2:$AB$495&gt;=2)*('CONTROL MASTER'!$AA$2:$AA$495&lt;=10)*('CONTROL MASTER'!$AC$2:$AC$495&gt;=10))*ROW('CONTROL MASTER'!$S$2:$S$495))-(ROW('CONTROL MASTER'!#REF!)-1)))+1)+(10-INDEX('CONTROL MASTER'!$AA$2:$AA$495,(SUMPRODUCT((('CONTROL MASTER'!$S$2:$S$495=11)*('CONTROL MASTER'!$Z$2:$Z$495&lt;=2)*('CONTROL MASTER'!$AB$2:$AB$495&gt;=2)*('CONTROL MASTER'!$AA$2:$AA$495&lt;=10)*('CONTROL MASTER'!$AC$2:$AC$495&gt;=10))*ROW('CONTROL MASTER'!$S$2:$S$495))-(ROW('CONTROL MASTER'!#REF!)-1))))+1)))-1)*50+1,50))&amp;"_"&amp;INDEX('CONTROL MASTER'!$P$2:$P$495,(SUMPRODUCT((('CONTROL MASTER'!$S$2:$S$495=11)*('CONTROL MASTER'!$Z$2:$Z$495&lt;=2)*('CONTROL MASTER'!$AB$2:$AB$495&gt;=2)*('CONTROL MASTER'!$AA$2:$AA$495&lt;=10)*('CONTROL MASTER'!$AC$2:$AC$495&gt;=10))*ROW('CONTROL MASTER'!$S$2:$S$495))-(ROW('CONTROL MASTER'!#REF!)-1))),"")),"")</f>
        <v/>
      </c>
    </row>
    <row r="145" spans="1:11" ht="15" customHeight="1" x14ac:dyDescent="0.35">
      <c r="A145" s="8" t="s">
        <v>30</v>
      </c>
      <c r="B145" s="10" t="str">
        <f>IFERROR(IF(SUMPRODUCT((('CONTROL MASTER'!$S$2:$S$495=11)*('CONTROL MASTER'!$T$2:$T$495&lt;=3)*('CONTROL MASTER'!$V$2:$V$495&gt;=3)*('CONTROL MASTER'!$U$2:$U$495&lt;=1)*('CONTROL MASTER'!$W$2:$W$495&gt;=1))*ROW('CONTROL MASTER'!$S$2:$S$495))&gt;0,INDEX('CONTROL MASTER'!$X$2:$X$495,(SUMPRODUCT((('CONTROL MASTER'!$S$2:$S$495=11)*('CONTROL MASTER'!$T$2:$T$495&lt;=3)*('CONTROL MASTER'!$V$2:$V$495&gt;=3)*('CONTROL MASTER'!$U$2:$U$495&lt;=1)*('CONTROL MASTER'!$W$2:$W$495&gt;=1))*ROW('CONTROL MASTER'!$S$2:$S$495))-(ROW('CONTROL MASTER'!#REF!)-1)))&amp;TRIM(MID(SUBSTITUTE(SUBSTITUTE(INDEX('CONTROL MASTER'!$N$2:$N$495,(SUMPRODUCT((('CONTROL MASTER'!$S$2:$S$495=11)*('CONTROL MASTER'!$T$2:$T$495&lt;=3)*('CONTROL MASTER'!$V$2:$V$495&gt;=3)*('CONTROL MASTER'!$U$2:$U$495&lt;=1)*('CONTROL MASTER'!$W$2:$W$495&gt;=1))*ROW('CONTROL MASTER'!$S$2:$S$495))-(ROW('CONTROL MASTER'!#REF!)-1))),":",","),",",REPT(" ",50)),((((3-INDEX('CONTROL MASTER'!$T$2:$T$495,(SUMPRODUCT((('CONTROL MASTER'!$S$2:$S$495=11)*('CONTROL MASTER'!$T$2:$T$495&lt;=3)*('CONTROL MASTER'!$V$2:$V$495&gt;=3)*('CONTROL MASTER'!$U$2:$U$495&lt;=1)*('CONTROL MASTER'!$W$2:$W$495&gt;=1))*ROW('CONTROL MASTER'!$S$2:$S$495))-(ROW('CONTROL MASTER'!#REF!)-1))))*(INDEX('CONTROL MASTER'!$W$2:$W$495,(SUMPRODUCT((('CONTROL MASTER'!$S$2:$S$495=11)*('CONTROL MASTER'!$T$2:$T$495&lt;=3)*('CONTROL MASTER'!$V$2:$V$495&gt;=3)*('CONTROL MASTER'!$U$2:$U$495&lt;=1)*('CONTROL MASTER'!$W$2:$W$495&gt;=1))*ROW('CONTROL MASTER'!$S$2:$S$495))-(ROW('CONTROL MASTER'!#REF!)-1)))-INDEX('CONTROL MASTER'!$U$2:$U$495,(SUMPRODUCT((('CONTROL MASTER'!$S$2:$S$495=11)*('CONTROL MASTER'!$T$2:$T$495&lt;=3)*('CONTROL MASTER'!$V$2:$V$495&gt;=3)*('CONTROL MASTER'!$U$2:$U$495&lt;=1)*('CONTROL MASTER'!$W$2:$W$495&gt;=1))*ROW('CONTROL MASTER'!$S$2:$S$495))-(ROW('CONTROL MASTER'!#REF!)-1)))+1)+(1-INDEX('CONTROL MASTER'!$U$2:$U$495,(SUMPRODUCT((('CONTROL MASTER'!$S$2:$S$495=11)*('CONTROL MASTER'!$T$2:$T$495&lt;=3)*('CONTROL MASTER'!$V$2:$V$495&gt;=3)*('CONTROL MASTER'!$U$2:$U$495&lt;=1)*('CONTROL MASTER'!$W$2:$W$495&gt;=1))*ROW('CONTROL MASTER'!$S$2:$S$495))-(ROW('CONTROL MASTER'!#REF!)-1))))+1))-1)*50+1,50))&amp;"_"&amp;INDEX('CONTROL MASTER'!$P$2:$P$495,(SUMPRODUCT((('CONTROL MASTER'!$S$2:$S$495=11)*('CONTROL MASTER'!$T$2:$T$495&lt;=3)*('CONTROL MASTER'!$V$2:$V$495&gt;=3)*('CONTROL MASTER'!$U$2:$U$495&lt;=1)*('CONTROL MASTER'!$W$2:$W$495&gt;=1))*ROW('CONTROL MASTER'!$S$2:$S$495))-(ROW('CONTROL MASTER'!#REF!)-1))),IF(SUMPRODUCT((('CONTROL MASTER'!$S$2:$S$495=11)*('CONTROL MASTER'!$Z$2:$Z$495&lt;=3)*('CONTROL MASTER'!$AB$2:$AB$495&gt;=3)*('CONTROL MASTER'!$AA$2:$AA$495&lt;=1)*('CONTROL MASTER'!$AC$2:$AC$495&gt;=1))*ROW('CONTROL MASTER'!$S$2:$S$495))&gt;0,INDEX('CONTROL MASTER'!$X$2:$X$495,(SUMPRODUCT((('CONTROL MASTER'!$S$2:$S$495=11)*('CONTROL MASTER'!$Z$2:$Z$495&lt;=3)*('CONTROL MASTER'!$AB$2:$AB$495&gt;=3)*('CONTROL MASTER'!$AA$2:$AA$495&lt;=1)*('CONTROL MASTER'!$AC$2:$AC$495&gt;=1))*ROW('CONTROL MASTER'!$S$2:$S$495))-(ROW('CONTROL MASTER'!#REF!)-1)))&amp;TRIM(MID(SUBSTITUTE(SUBSTITUTE(INDEX('CONTROL MASTER'!$N$2:$N$495,(SUMPRODUCT((('CONTROL MASTER'!$S$2:$S$495=11)*('CONTROL MASTER'!$Z$2:$Z$495&lt;=3)*('CONTROL MASTER'!$AB$2:$AB$495&gt;=3)*('CONTROL MASTER'!$AA$2:$AA$495&lt;=1)*('CONTROL MASTER'!$AC$2:$AC$495&gt;=1))*ROW('CONTROL MASTER'!$S$2:$S$495))-(ROW('CONTROL MASTER'!#REF!)-1))),":",","),",",REPT(" ",50)),(((INDEX('CONTROL MASTER'!$Y$2:$Y$495,(SUMPRODUCT((('CONTROL MASTER'!$S$2:$S$495=11)*('CONTROL MASTER'!$Z$2:$Z$495&lt;=3)*('CONTROL MASTER'!$AB$2:$AB$495&gt;=3)*('CONTROL MASTER'!$AA$2:$AA$495&lt;=1)*('CONTROL MASTER'!$AC$2:$AC$495&gt;=1))*ROW('CONTROL MASTER'!$S$2:$S$495))-(ROW('CONTROL MASTER'!#REF!)-1)))+((3-INDEX('CONTROL MASTER'!$Z$2:$Z$495,(SUMPRODUCT((('CONTROL MASTER'!$S$2:$S$495=11)*('CONTROL MASTER'!$Z$2:$Z$495&lt;=3)*('CONTROL MASTER'!$AB$2:$AB$495&gt;=3)*('CONTROL MASTER'!$AA$2:$AA$495&lt;=1)*('CONTROL MASTER'!$AC$2:$AC$495&gt;=1))*ROW('CONTROL MASTER'!$S$2:$S$495))-(ROW('CONTROL MASTER'!#REF!)-1))))*(INDEX('CONTROL MASTER'!$AC$2:$AC$495,(SUMPRODUCT((('CONTROL MASTER'!$S$2:$S$495=11)*('CONTROL MASTER'!$Z$2:$Z$495&lt;=3)*('CONTROL MASTER'!$AB$2:$AB$495&gt;=3)*('CONTROL MASTER'!$AA$2:$AA$495&lt;=1)*('CONTROL MASTER'!$AC$2:$AC$495&gt;=1))*ROW('CONTROL MASTER'!$S$2:$S$495))-(ROW('CONTROL MASTER'!#REF!)-1)))-INDEX('CONTROL MASTER'!$AA$2:$AA$495,(SUMPRODUCT((('CONTROL MASTER'!$S$2:$S$495=11)*('CONTROL MASTER'!$Z$2:$Z$495&lt;=3)*('CONTROL MASTER'!$AB$2:$AB$495&gt;=3)*('CONTROL MASTER'!$AA$2:$AA$495&lt;=1)*('CONTROL MASTER'!$AC$2:$AC$495&gt;=1))*ROW('CONTROL MASTER'!$S$2:$S$495))-(ROW('CONTROL MASTER'!#REF!)-1)))+1)+(1-INDEX('CONTROL MASTER'!$AA$2:$AA$495,(SUMPRODUCT((('CONTROL MASTER'!$S$2:$S$495=11)*('CONTROL MASTER'!$Z$2:$Z$495&lt;=3)*('CONTROL MASTER'!$AB$2:$AB$495&gt;=3)*('CONTROL MASTER'!$AA$2:$AA$495&lt;=1)*('CONTROL MASTER'!$AC$2:$AC$495&gt;=1))*ROW('CONTROL MASTER'!$S$2:$S$495))-(ROW('CONTROL MASTER'!#REF!)-1))))+1)))-1)*50+1,50))&amp;"_"&amp;INDEX('CONTROL MASTER'!$P$2:$P$495,(SUMPRODUCT((('CONTROL MASTER'!$S$2:$S$495=11)*('CONTROL MASTER'!$Z$2:$Z$495&lt;=3)*('CONTROL MASTER'!$AB$2:$AB$495&gt;=3)*('CONTROL MASTER'!$AA$2:$AA$495&lt;=1)*('CONTROL MASTER'!$AC$2:$AC$495&gt;=1))*ROW('CONTROL MASTER'!$S$2:$S$495))-(ROW('CONTROL MASTER'!#REF!)-1))),"")),"")</f>
        <v/>
      </c>
      <c r="C145" s="10" t="str">
        <f>IFERROR(IF(SUMPRODUCT((('CONTROL MASTER'!$S$2:$S$495=11)*('CONTROL MASTER'!$T$2:$T$495&lt;=3)*('CONTROL MASTER'!$V$2:$V$495&gt;=3)*('CONTROL MASTER'!$U$2:$U$495&lt;=2)*('CONTROL MASTER'!$W$2:$W$495&gt;=2))*ROW('CONTROL MASTER'!$S$2:$S$495))&gt;0,INDEX('CONTROL MASTER'!$X$2:$X$495,(SUMPRODUCT((('CONTROL MASTER'!$S$2:$S$495=11)*('CONTROL MASTER'!$T$2:$T$495&lt;=3)*('CONTROL MASTER'!$V$2:$V$495&gt;=3)*('CONTROL MASTER'!$U$2:$U$495&lt;=2)*('CONTROL MASTER'!$W$2:$W$495&gt;=2))*ROW('CONTROL MASTER'!$S$2:$S$495))-(ROW('CONTROL MASTER'!#REF!)-1)))&amp;TRIM(MID(SUBSTITUTE(SUBSTITUTE(INDEX('CONTROL MASTER'!$N$2:$N$495,(SUMPRODUCT((('CONTROL MASTER'!$S$2:$S$495=11)*('CONTROL MASTER'!$T$2:$T$495&lt;=3)*('CONTROL MASTER'!$V$2:$V$495&gt;=3)*('CONTROL MASTER'!$U$2:$U$495&lt;=2)*('CONTROL MASTER'!$W$2:$W$495&gt;=2))*ROW('CONTROL MASTER'!$S$2:$S$495))-(ROW('CONTROL MASTER'!#REF!)-1))),":",","),",",REPT(" ",50)),((((3-INDEX('CONTROL MASTER'!$T$2:$T$495,(SUMPRODUCT((('CONTROL MASTER'!$S$2:$S$495=11)*('CONTROL MASTER'!$T$2:$T$495&lt;=3)*('CONTROL MASTER'!$V$2:$V$495&gt;=3)*('CONTROL MASTER'!$U$2:$U$495&lt;=2)*('CONTROL MASTER'!$W$2:$W$495&gt;=2))*ROW('CONTROL MASTER'!$S$2:$S$495))-(ROW('CONTROL MASTER'!#REF!)-1))))*(INDEX('CONTROL MASTER'!$W$2:$W$495,(SUMPRODUCT((('CONTROL MASTER'!$S$2:$S$495=11)*('CONTROL MASTER'!$T$2:$T$495&lt;=3)*('CONTROL MASTER'!$V$2:$V$495&gt;=3)*('CONTROL MASTER'!$U$2:$U$495&lt;=2)*('CONTROL MASTER'!$W$2:$W$495&gt;=2))*ROW('CONTROL MASTER'!$S$2:$S$495))-(ROW('CONTROL MASTER'!#REF!)-1)))-INDEX('CONTROL MASTER'!$U$2:$U$495,(SUMPRODUCT((('CONTROL MASTER'!$S$2:$S$495=11)*('CONTROL MASTER'!$T$2:$T$495&lt;=3)*('CONTROL MASTER'!$V$2:$V$495&gt;=3)*('CONTROL MASTER'!$U$2:$U$495&lt;=2)*('CONTROL MASTER'!$W$2:$W$495&gt;=2))*ROW('CONTROL MASTER'!$S$2:$S$495))-(ROW('CONTROL MASTER'!#REF!)-1)))+1)+(2-INDEX('CONTROL MASTER'!$U$2:$U$495,(SUMPRODUCT((('CONTROL MASTER'!$S$2:$S$495=11)*('CONTROL MASTER'!$T$2:$T$495&lt;=3)*('CONTROL MASTER'!$V$2:$V$495&gt;=3)*('CONTROL MASTER'!$U$2:$U$495&lt;=2)*('CONTROL MASTER'!$W$2:$W$495&gt;=2))*ROW('CONTROL MASTER'!$S$2:$S$495))-(ROW('CONTROL MASTER'!#REF!)-1))))+1))-1)*50+1,50))&amp;"_"&amp;INDEX('CONTROL MASTER'!$P$2:$P$495,(SUMPRODUCT((('CONTROL MASTER'!$S$2:$S$495=11)*('CONTROL MASTER'!$T$2:$T$495&lt;=3)*('CONTROL MASTER'!$V$2:$V$495&gt;=3)*('CONTROL MASTER'!$U$2:$U$495&lt;=2)*('CONTROL MASTER'!$W$2:$W$495&gt;=2))*ROW('CONTROL MASTER'!$S$2:$S$495))-(ROW('CONTROL MASTER'!#REF!)-1))),IF(SUMPRODUCT((('CONTROL MASTER'!$S$2:$S$495=11)*('CONTROL MASTER'!$Z$2:$Z$495&lt;=3)*('CONTROL MASTER'!$AB$2:$AB$495&gt;=3)*('CONTROL MASTER'!$AA$2:$AA$495&lt;=2)*('CONTROL MASTER'!$AC$2:$AC$495&gt;=2))*ROW('CONTROL MASTER'!$S$2:$S$495))&gt;0,INDEX('CONTROL MASTER'!$X$2:$X$495,(SUMPRODUCT((('CONTROL MASTER'!$S$2:$S$495=11)*('CONTROL MASTER'!$Z$2:$Z$495&lt;=3)*('CONTROL MASTER'!$AB$2:$AB$495&gt;=3)*('CONTROL MASTER'!$AA$2:$AA$495&lt;=2)*('CONTROL MASTER'!$AC$2:$AC$495&gt;=2))*ROW('CONTROL MASTER'!$S$2:$S$495))-(ROW('CONTROL MASTER'!#REF!)-1)))&amp;TRIM(MID(SUBSTITUTE(SUBSTITUTE(INDEX('CONTROL MASTER'!$N$2:$N$495,(SUMPRODUCT((('CONTROL MASTER'!$S$2:$S$495=11)*('CONTROL MASTER'!$Z$2:$Z$495&lt;=3)*('CONTROL MASTER'!$AB$2:$AB$495&gt;=3)*('CONTROL MASTER'!$AA$2:$AA$495&lt;=2)*('CONTROL MASTER'!$AC$2:$AC$495&gt;=2))*ROW('CONTROL MASTER'!$S$2:$S$495))-(ROW('CONTROL MASTER'!#REF!)-1))),":",","),",",REPT(" ",50)),(((INDEX('CONTROL MASTER'!$Y$2:$Y$495,(SUMPRODUCT((('CONTROL MASTER'!$S$2:$S$495=11)*('CONTROL MASTER'!$Z$2:$Z$495&lt;=3)*('CONTROL MASTER'!$AB$2:$AB$495&gt;=3)*('CONTROL MASTER'!$AA$2:$AA$495&lt;=2)*('CONTROL MASTER'!$AC$2:$AC$495&gt;=2))*ROW('CONTROL MASTER'!$S$2:$S$495))-(ROW('CONTROL MASTER'!#REF!)-1)))+((3-INDEX('CONTROL MASTER'!$Z$2:$Z$495,(SUMPRODUCT((('CONTROL MASTER'!$S$2:$S$495=11)*('CONTROL MASTER'!$Z$2:$Z$495&lt;=3)*('CONTROL MASTER'!$AB$2:$AB$495&gt;=3)*('CONTROL MASTER'!$AA$2:$AA$495&lt;=2)*('CONTROL MASTER'!$AC$2:$AC$495&gt;=2))*ROW('CONTROL MASTER'!$S$2:$S$495))-(ROW('CONTROL MASTER'!#REF!)-1))))*(INDEX('CONTROL MASTER'!$AC$2:$AC$495,(SUMPRODUCT((('CONTROL MASTER'!$S$2:$S$495=11)*('CONTROL MASTER'!$Z$2:$Z$495&lt;=3)*('CONTROL MASTER'!$AB$2:$AB$495&gt;=3)*('CONTROL MASTER'!$AA$2:$AA$495&lt;=2)*('CONTROL MASTER'!$AC$2:$AC$495&gt;=2))*ROW('CONTROL MASTER'!$S$2:$S$495))-(ROW('CONTROL MASTER'!#REF!)-1)))-INDEX('CONTROL MASTER'!$AA$2:$AA$495,(SUMPRODUCT((('CONTROL MASTER'!$S$2:$S$495=11)*('CONTROL MASTER'!$Z$2:$Z$495&lt;=3)*('CONTROL MASTER'!$AB$2:$AB$495&gt;=3)*('CONTROL MASTER'!$AA$2:$AA$495&lt;=2)*('CONTROL MASTER'!$AC$2:$AC$495&gt;=2))*ROW('CONTROL MASTER'!$S$2:$S$495))-(ROW('CONTROL MASTER'!#REF!)-1)))+1)+(2-INDEX('CONTROL MASTER'!$AA$2:$AA$495,(SUMPRODUCT((('CONTROL MASTER'!$S$2:$S$495=11)*('CONTROL MASTER'!$Z$2:$Z$495&lt;=3)*('CONTROL MASTER'!$AB$2:$AB$495&gt;=3)*('CONTROL MASTER'!$AA$2:$AA$495&lt;=2)*('CONTROL MASTER'!$AC$2:$AC$495&gt;=2))*ROW('CONTROL MASTER'!$S$2:$S$495))-(ROW('CONTROL MASTER'!#REF!)-1))))+1)))-1)*50+1,50))&amp;"_"&amp;INDEX('CONTROL MASTER'!$P$2:$P$495,(SUMPRODUCT((('CONTROL MASTER'!$S$2:$S$495=11)*('CONTROL MASTER'!$Z$2:$Z$495&lt;=3)*('CONTROL MASTER'!$AB$2:$AB$495&gt;=3)*('CONTROL MASTER'!$AA$2:$AA$495&lt;=2)*('CONTROL MASTER'!$AC$2:$AC$495&gt;=2))*ROW('CONTROL MASTER'!$S$2:$S$495))-(ROW('CONTROL MASTER'!#REF!)-1))),"")),"")</f>
        <v/>
      </c>
      <c r="D145" s="10" t="str">
        <f>IFERROR(IF(SUMPRODUCT((('CONTROL MASTER'!$S$2:$S$495=11)*('CONTROL MASTER'!$T$2:$T$495&lt;=3)*('CONTROL MASTER'!$V$2:$V$495&gt;=3)*('CONTROL MASTER'!$U$2:$U$495&lt;=3)*('CONTROL MASTER'!$W$2:$W$495&gt;=3))*ROW('CONTROL MASTER'!$S$2:$S$495))&gt;0,INDEX('CONTROL MASTER'!$X$2:$X$495,(SUMPRODUCT((('CONTROL MASTER'!$S$2:$S$495=11)*('CONTROL MASTER'!$T$2:$T$495&lt;=3)*('CONTROL MASTER'!$V$2:$V$495&gt;=3)*('CONTROL MASTER'!$U$2:$U$495&lt;=3)*('CONTROL MASTER'!$W$2:$W$495&gt;=3))*ROW('CONTROL MASTER'!$S$2:$S$495))-(ROW('CONTROL MASTER'!#REF!)-1)))&amp;TRIM(MID(SUBSTITUTE(SUBSTITUTE(INDEX('CONTROL MASTER'!$N$2:$N$495,(SUMPRODUCT((('CONTROL MASTER'!$S$2:$S$495=11)*('CONTROL MASTER'!$T$2:$T$495&lt;=3)*('CONTROL MASTER'!$V$2:$V$495&gt;=3)*('CONTROL MASTER'!$U$2:$U$495&lt;=3)*('CONTROL MASTER'!$W$2:$W$495&gt;=3))*ROW('CONTROL MASTER'!$S$2:$S$495))-(ROW('CONTROL MASTER'!#REF!)-1))),":",","),",",REPT(" ",50)),((((3-INDEX('CONTROL MASTER'!$T$2:$T$495,(SUMPRODUCT((('CONTROL MASTER'!$S$2:$S$495=11)*('CONTROL MASTER'!$T$2:$T$495&lt;=3)*('CONTROL MASTER'!$V$2:$V$495&gt;=3)*('CONTROL MASTER'!$U$2:$U$495&lt;=3)*('CONTROL MASTER'!$W$2:$W$495&gt;=3))*ROW('CONTROL MASTER'!$S$2:$S$495))-(ROW('CONTROL MASTER'!#REF!)-1))))*(INDEX('CONTROL MASTER'!$W$2:$W$495,(SUMPRODUCT((('CONTROL MASTER'!$S$2:$S$495=11)*('CONTROL MASTER'!$T$2:$T$495&lt;=3)*('CONTROL MASTER'!$V$2:$V$495&gt;=3)*('CONTROL MASTER'!$U$2:$U$495&lt;=3)*('CONTROL MASTER'!$W$2:$W$495&gt;=3))*ROW('CONTROL MASTER'!$S$2:$S$495))-(ROW('CONTROL MASTER'!#REF!)-1)))-INDEX('CONTROL MASTER'!$U$2:$U$495,(SUMPRODUCT((('CONTROL MASTER'!$S$2:$S$495=11)*('CONTROL MASTER'!$T$2:$T$495&lt;=3)*('CONTROL MASTER'!$V$2:$V$495&gt;=3)*('CONTROL MASTER'!$U$2:$U$495&lt;=3)*('CONTROL MASTER'!$W$2:$W$495&gt;=3))*ROW('CONTROL MASTER'!$S$2:$S$495))-(ROW('CONTROL MASTER'!#REF!)-1)))+1)+(3-INDEX('CONTROL MASTER'!$U$2:$U$495,(SUMPRODUCT((('CONTROL MASTER'!$S$2:$S$495=11)*('CONTROL MASTER'!$T$2:$T$495&lt;=3)*('CONTROL MASTER'!$V$2:$V$495&gt;=3)*('CONTROL MASTER'!$U$2:$U$495&lt;=3)*('CONTROL MASTER'!$W$2:$W$495&gt;=3))*ROW('CONTROL MASTER'!$S$2:$S$495))-(ROW('CONTROL MASTER'!#REF!)-1))))+1))-1)*50+1,50))&amp;"_"&amp;INDEX('CONTROL MASTER'!$P$2:$P$495,(SUMPRODUCT((('CONTROL MASTER'!$S$2:$S$495=11)*('CONTROL MASTER'!$T$2:$T$495&lt;=3)*('CONTROL MASTER'!$V$2:$V$495&gt;=3)*('CONTROL MASTER'!$U$2:$U$495&lt;=3)*('CONTROL MASTER'!$W$2:$W$495&gt;=3))*ROW('CONTROL MASTER'!$S$2:$S$495))-(ROW('CONTROL MASTER'!#REF!)-1))),IF(SUMPRODUCT((('CONTROL MASTER'!$S$2:$S$495=11)*('CONTROL MASTER'!$Z$2:$Z$495&lt;=3)*('CONTROL MASTER'!$AB$2:$AB$495&gt;=3)*('CONTROL MASTER'!$AA$2:$AA$495&lt;=3)*('CONTROL MASTER'!$AC$2:$AC$495&gt;=3))*ROW('CONTROL MASTER'!$S$2:$S$495))&gt;0,INDEX('CONTROL MASTER'!$X$2:$X$495,(SUMPRODUCT((('CONTROL MASTER'!$S$2:$S$495=11)*('CONTROL MASTER'!$Z$2:$Z$495&lt;=3)*('CONTROL MASTER'!$AB$2:$AB$495&gt;=3)*('CONTROL MASTER'!$AA$2:$AA$495&lt;=3)*('CONTROL MASTER'!$AC$2:$AC$495&gt;=3))*ROW('CONTROL MASTER'!$S$2:$S$495))-(ROW('CONTROL MASTER'!#REF!)-1)))&amp;TRIM(MID(SUBSTITUTE(SUBSTITUTE(INDEX('CONTROL MASTER'!$N$2:$N$495,(SUMPRODUCT((('CONTROL MASTER'!$S$2:$S$495=11)*('CONTROL MASTER'!$Z$2:$Z$495&lt;=3)*('CONTROL MASTER'!$AB$2:$AB$495&gt;=3)*('CONTROL MASTER'!$AA$2:$AA$495&lt;=3)*('CONTROL MASTER'!$AC$2:$AC$495&gt;=3))*ROW('CONTROL MASTER'!$S$2:$S$495))-(ROW('CONTROL MASTER'!#REF!)-1))),":",","),",",REPT(" ",50)),(((INDEX('CONTROL MASTER'!$Y$2:$Y$495,(SUMPRODUCT((('CONTROL MASTER'!$S$2:$S$495=11)*('CONTROL MASTER'!$Z$2:$Z$495&lt;=3)*('CONTROL MASTER'!$AB$2:$AB$495&gt;=3)*('CONTROL MASTER'!$AA$2:$AA$495&lt;=3)*('CONTROL MASTER'!$AC$2:$AC$495&gt;=3))*ROW('CONTROL MASTER'!$S$2:$S$495))-(ROW('CONTROL MASTER'!#REF!)-1)))+((3-INDEX('CONTROL MASTER'!$Z$2:$Z$495,(SUMPRODUCT((('CONTROL MASTER'!$S$2:$S$495=11)*('CONTROL MASTER'!$Z$2:$Z$495&lt;=3)*('CONTROL MASTER'!$AB$2:$AB$495&gt;=3)*('CONTROL MASTER'!$AA$2:$AA$495&lt;=3)*('CONTROL MASTER'!$AC$2:$AC$495&gt;=3))*ROW('CONTROL MASTER'!$S$2:$S$495))-(ROW('CONTROL MASTER'!#REF!)-1))))*(INDEX('CONTROL MASTER'!$AC$2:$AC$495,(SUMPRODUCT((('CONTROL MASTER'!$S$2:$S$495=11)*('CONTROL MASTER'!$Z$2:$Z$495&lt;=3)*('CONTROL MASTER'!$AB$2:$AB$495&gt;=3)*('CONTROL MASTER'!$AA$2:$AA$495&lt;=3)*('CONTROL MASTER'!$AC$2:$AC$495&gt;=3))*ROW('CONTROL MASTER'!$S$2:$S$495))-(ROW('CONTROL MASTER'!#REF!)-1)))-INDEX('CONTROL MASTER'!$AA$2:$AA$495,(SUMPRODUCT((('CONTROL MASTER'!$S$2:$S$495=11)*('CONTROL MASTER'!$Z$2:$Z$495&lt;=3)*('CONTROL MASTER'!$AB$2:$AB$495&gt;=3)*('CONTROL MASTER'!$AA$2:$AA$495&lt;=3)*('CONTROL MASTER'!$AC$2:$AC$495&gt;=3))*ROW('CONTROL MASTER'!$S$2:$S$495))-(ROW('CONTROL MASTER'!#REF!)-1)))+1)+(3-INDEX('CONTROL MASTER'!$AA$2:$AA$495,(SUMPRODUCT((('CONTROL MASTER'!$S$2:$S$495=11)*('CONTROL MASTER'!$Z$2:$Z$495&lt;=3)*('CONTROL MASTER'!$AB$2:$AB$495&gt;=3)*('CONTROL MASTER'!$AA$2:$AA$495&lt;=3)*('CONTROL MASTER'!$AC$2:$AC$495&gt;=3))*ROW('CONTROL MASTER'!$S$2:$S$495))-(ROW('CONTROL MASTER'!#REF!)-1))))+1)))-1)*50+1,50))&amp;"_"&amp;INDEX('CONTROL MASTER'!$P$2:$P$495,(SUMPRODUCT((('CONTROL MASTER'!$S$2:$S$495=11)*('CONTROL MASTER'!$Z$2:$Z$495&lt;=3)*('CONTROL MASTER'!$AB$2:$AB$495&gt;=3)*('CONTROL MASTER'!$AA$2:$AA$495&lt;=3)*('CONTROL MASTER'!$AC$2:$AC$495&gt;=3))*ROW('CONTROL MASTER'!$S$2:$S$495))-(ROW('CONTROL MASTER'!#REF!)-1))),"")),"")</f>
        <v/>
      </c>
      <c r="E145" s="10" t="str">
        <f>IFERROR(IF(SUMPRODUCT((('CONTROL MASTER'!$S$2:$S$495=11)*('CONTROL MASTER'!$T$2:$T$495&lt;=3)*('CONTROL MASTER'!$V$2:$V$495&gt;=3)*('CONTROL MASTER'!$U$2:$U$495&lt;=4)*('CONTROL MASTER'!$W$2:$W$495&gt;=4))*ROW('CONTROL MASTER'!$S$2:$S$495))&gt;0,INDEX('CONTROL MASTER'!$X$2:$X$495,(SUMPRODUCT((('CONTROL MASTER'!$S$2:$S$495=11)*('CONTROL MASTER'!$T$2:$T$495&lt;=3)*('CONTROL MASTER'!$V$2:$V$495&gt;=3)*('CONTROL MASTER'!$U$2:$U$495&lt;=4)*('CONTROL MASTER'!$W$2:$W$495&gt;=4))*ROW('CONTROL MASTER'!$S$2:$S$495))-(ROW('CONTROL MASTER'!#REF!)-1)))&amp;TRIM(MID(SUBSTITUTE(SUBSTITUTE(INDEX('CONTROL MASTER'!$N$2:$N$495,(SUMPRODUCT((('CONTROL MASTER'!$S$2:$S$495=11)*('CONTROL MASTER'!$T$2:$T$495&lt;=3)*('CONTROL MASTER'!$V$2:$V$495&gt;=3)*('CONTROL MASTER'!$U$2:$U$495&lt;=4)*('CONTROL MASTER'!$W$2:$W$495&gt;=4))*ROW('CONTROL MASTER'!$S$2:$S$495))-(ROW('CONTROL MASTER'!#REF!)-1))),":",","),",",REPT(" ",50)),((((3-INDEX('CONTROL MASTER'!$T$2:$T$495,(SUMPRODUCT((('CONTROL MASTER'!$S$2:$S$495=11)*('CONTROL MASTER'!$T$2:$T$495&lt;=3)*('CONTROL MASTER'!$V$2:$V$495&gt;=3)*('CONTROL MASTER'!$U$2:$U$495&lt;=4)*('CONTROL MASTER'!$W$2:$W$495&gt;=4))*ROW('CONTROL MASTER'!$S$2:$S$495))-(ROW('CONTROL MASTER'!#REF!)-1))))*(INDEX('CONTROL MASTER'!$W$2:$W$495,(SUMPRODUCT((('CONTROL MASTER'!$S$2:$S$495=11)*('CONTROL MASTER'!$T$2:$T$495&lt;=3)*('CONTROL MASTER'!$V$2:$V$495&gt;=3)*('CONTROL MASTER'!$U$2:$U$495&lt;=4)*('CONTROL MASTER'!$W$2:$W$495&gt;=4))*ROW('CONTROL MASTER'!$S$2:$S$495))-(ROW('CONTROL MASTER'!#REF!)-1)))-INDEX('CONTROL MASTER'!$U$2:$U$495,(SUMPRODUCT((('CONTROL MASTER'!$S$2:$S$495=11)*('CONTROL MASTER'!$T$2:$T$495&lt;=3)*('CONTROL MASTER'!$V$2:$V$495&gt;=3)*('CONTROL MASTER'!$U$2:$U$495&lt;=4)*('CONTROL MASTER'!$W$2:$W$495&gt;=4))*ROW('CONTROL MASTER'!$S$2:$S$495))-(ROW('CONTROL MASTER'!#REF!)-1)))+1)+(4-INDEX('CONTROL MASTER'!$U$2:$U$495,(SUMPRODUCT((('CONTROL MASTER'!$S$2:$S$495=11)*('CONTROL MASTER'!$T$2:$T$495&lt;=3)*('CONTROL MASTER'!$V$2:$V$495&gt;=3)*('CONTROL MASTER'!$U$2:$U$495&lt;=4)*('CONTROL MASTER'!$W$2:$W$495&gt;=4))*ROW('CONTROL MASTER'!$S$2:$S$495))-(ROW('CONTROL MASTER'!#REF!)-1))))+1))-1)*50+1,50))&amp;"_"&amp;INDEX('CONTROL MASTER'!$P$2:$P$495,(SUMPRODUCT((('CONTROL MASTER'!$S$2:$S$495=11)*('CONTROL MASTER'!$T$2:$T$495&lt;=3)*('CONTROL MASTER'!$V$2:$V$495&gt;=3)*('CONTROL MASTER'!$U$2:$U$495&lt;=4)*('CONTROL MASTER'!$W$2:$W$495&gt;=4))*ROW('CONTROL MASTER'!$S$2:$S$495))-(ROW('CONTROL MASTER'!#REF!)-1))),IF(SUMPRODUCT((('CONTROL MASTER'!$S$2:$S$495=11)*('CONTROL MASTER'!$Z$2:$Z$495&lt;=3)*('CONTROL MASTER'!$AB$2:$AB$495&gt;=3)*('CONTROL MASTER'!$AA$2:$AA$495&lt;=4)*('CONTROL MASTER'!$AC$2:$AC$495&gt;=4))*ROW('CONTROL MASTER'!$S$2:$S$495))&gt;0,INDEX('CONTROL MASTER'!$X$2:$X$495,(SUMPRODUCT((('CONTROL MASTER'!$S$2:$S$495=11)*('CONTROL MASTER'!$Z$2:$Z$495&lt;=3)*('CONTROL MASTER'!$AB$2:$AB$495&gt;=3)*('CONTROL MASTER'!$AA$2:$AA$495&lt;=4)*('CONTROL MASTER'!$AC$2:$AC$495&gt;=4))*ROW('CONTROL MASTER'!$S$2:$S$495))-(ROW('CONTROL MASTER'!#REF!)-1)))&amp;TRIM(MID(SUBSTITUTE(SUBSTITUTE(INDEX('CONTROL MASTER'!$N$2:$N$495,(SUMPRODUCT((('CONTROL MASTER'!$S$2:$S$495=11)*('CONTROL MASTER'!$Z$2:$Z$495&lt;=3)*('CONTROL MASTER'!$AB$2:$AB$495&gt;=3)*('CONTROL MASTER'!$AA$2:$AA$495&lt;=4)*('CONTROL MASTER'!$AC$2:$AC$495&gt;=4))*ROW('CONTROL MASTER'!$S$2:$S$495))-(ROW('CONTROL MASTER'!#REF!)-1))),":",","),",",REPT(" ",50)),(((INDEX('CONTROL MASTER'!$Y$2:$Y$495,(SUMPRODUCT((('CONTROL MASTER'!$S$2:$S$495=11)*('CONTROL MASTER'!$Z$2:$Z$495&lt;=3)*('CONTROL MASTER'!$AB$2:$AB$495&gt;=3)*('CONTROL MASTER'!$AA$2:$AA$495&lt;=4)*('CONTROL MASTER'!$AC$2:$AC$495&gt;=4))*ROW('CONTROL MASTER'!$S$2:$S$495))-(ROW('CONTROL MASTER'!#REF!)-1)))+((3-INDEX('CONTROL MASTER'!$Z$2:$Z$495,(SUMPRODUCT((('CONTROL MASTER'!$S$2:$S$495=11)*('CONTROL MASTER'!$Z$2:$Z$495&lt;=3)*('CONTROL MASTER'!$AB$2:$AB$495&gt;=3)*('CONTROL MASTER'!$AA$2:$AA$495&lt;=4)*('CONTROL MASTER'!$AC$2:$AC$495&gt;=4))*ROW('CONTROL MASTER'!$S$2:$S$495))-(ROW('CONTROL MASTER'!#REF!)-1))))*(INDEX('CONTROL MASTER'!$AC$2:$AC$495,(SUMPRODUCT((('CONTROL MASTER'!$S$2:$S$495=11)*('CONTROL MASTER'!$Z$2:$Z$495&lt;=3)*('CONTROL MASTER'!$AB$2:$AB$495&gt;=3)*('CONTROL MASTER'!$AA$2:$AA$495&lt;=4)*('CONTROL MASTER'!$AC$2:$AC$495&gt;=4))*ROW('CONTROL MASTER'!$S$2:$S$495))-(ROW('CONTROL MASTER'!#REF!)-1)))-INDEX('CONTROL MASTER'!$AA$2:$AA$495,(SUMPRODUCT((('CONTROL MASTER'!$S$2:$S$495=11)*('CONTROL MASTER'!$Z$2:$Z$495&lt;=3)*('CONTROL MASTER'!$AB$2:$AB$495&gt;=3)*('CONTROL MASTER'!$AA$2:$AA$495&lt;=4)*('CONTROL MASTER'!$AC$2:$AC$495&gt;=4))*ROW('CONTROL MASTER'!$S$2:$S$495))-(ROW('CONTROL MASTER'!#REF!)-1)))+1)+(4-INDEX('CONTROL MASTER'!$AA$2:$AA$495,(SUMPRODUCT((('CONTROL MASTER'!$S$2:$S$495=11)*('CONTROL MASTER'!$Z$2:$Z$495&lt;=3)*('CONTROL MASTER'!$AB$2:$AB$495&gt;=3)*('CONTROL MASTER'!$AA$2:$AA$495&lt;=4)*('CONTROL MASTER'!$AC$2:$AC$495&gt;=4))*ROW('CONTROL MASTER'!$S$2:$S$495))-(ROW('CONTROL MASTER'!#REF!)-1))))+1)))-1)*50+1,50))&amp;"_"&amp;INDEX('CONTROL MASTER'!$P$2:$P$495,(SUMPRODUCT((('CONTROL MASTER'!$S$2:$S$495=11)*('CONTROL MASTER'!$Z$2:$Z$495&lt;=3)*('CONTROL MASTER'!$AB$2:$AB$495&gt;=3)*('CONTROL MASTER'!$AA$2:$AA$495&lt;=4)*('CONTROL MASTER'!$AC$2:$AC$495&gt;=4))*ROW('CONTROL MASTER'!$S$2:$S$495))-(ROW('CONTROL MASTER'!#REF!)-1))),"")),"")</f>
        <v/>
      </c>
      <c r="F145" s="10" t="str">
        <f>IFERROR(IF(SUMPRODUCT((('CONTROL MASTER'!$S$2:$S$495=11)*('CONTROL MASTER'!$T$2:$T$495&lt;=3)*('CONTROL MASTER'!$V$2:$V$495&gt;=3)*('CONTROL MASTER'!$U$2:$U$495&lt;=5)*('CONTROL MASTER'!$W$2:$W$495&gt;=5))*ROW('CONTROL MASTER'!$S$2:$S$495))&gt;0,INDEX('CONTROL MASTER'!$X$2:$X$495,(SUMPRODUCT((('CONTROL MASTER'!$S$2:$S$495=11)*('CONTROL MASTER'!$T$2:$T$495&lt;=3)*('CONTROL MASTER'!$V$2:$V$495&gt;=3)*('CONTROL MASTER'!$U$2:$U$495&lt;=5)*('CONTROL MASTER'!$W$2:$W$495&gt;=5))*ROW('CONTROL MASTER'!$S$2:$S$495))-(ROW('CONTROL MASTER'!#REF!)-1)))&amp;TRIM(MID(SUBSTITUTE(SUBSTITUTE(INDEX('CONTROL MASTER'!$N$2:$N$495,(SUMPRODUCT((('CONTROL MASTER'!$S$2:$S$495=11)*('CONTROL MASTER'!$T$2:$T$495&lt;=3)*('CONTROL MASTER'!$V$2:$V$495&gt;=3)*('CONTROL MASTER'!$U$2:$U$495&lt;=5)*('CONTROL MASTER'!$W$2:$W$495&gt;=5))*ROW('CONTROL MASTER'!$S$2:$S$495))-(ROW('CONTROL MASTER'!#REF!)-1))),":",","),",",REPT(" ",50)),((((3-INDEX('CONTROL MASTER'!$T$2:$T$495,(SUMPRODUCT((('CONTROL MASTER'!$S$2:$S$495=11)*('CONTROL MASTER'!$T$2:$T$495&lt;=3)*('CONTROL MASTER'!$V$2:$V$495&gt;=3)*('CONTROL MASTER'!$U$2:$U$495&lt;=5)*('CONTROL MASTER'!$W$2:$W$495&gt;=5))*ROW('CONTROL MASTER'!$S$2:$S$495))-(ROW('CONTROL MASTER'!#REF!)-1))))*(INDEX('CONTROL MASTER'!$W$2:$W$495,(SUMPRODUCT((('CONTROL MASTER'!$S$2:$S$495=11)*('CONTROL MASTER'!$T$2:$T$495&lt;=3)*('CONTROL MASTER'!$V$2:$V$495&gt;=3)*('CONTROL MASTER'!$U$2:$U$495&lt;=5)*('CONTROL MASTER'!$W$2:$W$495&gt;=5))*ROW('CONTROL MASTER'!$S$2:$S$495))-(ROW('CONTROL MASTER'!#REF!)-1)))-INDEX('CONTROL MASTER'!$U$2:$U$495,(SUMPRODUCT((('CONTROL MASTER'!$S$2:$S$495=11)*('CONTROL MASTER'!$T$2:$T$495&lt;=3)*('CONTROL MASTER'!$V$2:$V$495&gt;=3)*('CONTROL MASTER'!$U$2:$U$495&lt;=5)*('CONTROL MASTER'!$W$2:$W$495&gt;=5))*ROW('CONTROL MASTER'!$S$2:$S$495))-(ROW('CONTROL MASTER'!#REF!)-1)))+1)+(5-INDEX('CONTROL MASTER'!$U$2:$U$495,(SUMPRODUCT((('CONTROL MASTER'!$S$2:$S$495=11)*('CONTROL MASTER'!$T$2:$T$495&lt;=3)*('CONTROL MASTER'!$V$2:$V$495&gt;=3)*('CONTROL MASTER'!$U$2:$U$495&lt;=5)*('CONTROL MASTER'!$W$2:$W$495&gt;=5))*ROW('CONTROL MASTER'!$S$2:$S$495))-(ROW('CONTROL MASTER'!#REF!)-1))))+1))-1)*50+1,50))&amp;"_"&amp;INDEX('CONTROL MASTER'!$P$2:$P$495,(SUMPRODUCT((('CONTROL MASTER'!$S$2:$S$495=11)*('CONTROL MASTER'!$T$2:$T$495&lt;=3)*('CONTROL MASTER'!$V$2:$V$495&gt;=3)*('CONTROL MASTER'!$U$2:$U$495&lt;=5)*('CONTROL MASTER'!$W$2:$W$495&gt;=5))*ROW('CONTROL MASTER'!$S$2:$S$495))-(ROW('CONTROL MASTER'!#REF!)-1))),IF(SUMPRODUCT((('CONTROL MASTER'!$S$2:$S$495=11)*('CONTROL MASTER'!$Z$2:$Z$495&lt;=3)*('CONTROL MASTER'!$AB$2:$AB$495&gt;=3)*('CONTROL MASTER'!$AA$2:$AA$495&lt;=5)*('CONTROL MASTER'!$AC$2:$AC$495&gt;=5))*ROW('CONTROL MASTER'!$S$2:$S$495))&gt;0,INDEX('CONTROL MASTER'!$X$2:$X$495,(SUMPRODUCT((('CONTROL MASTER'!$S$2:$S$495=11)*('CONTROL MASTER'!$Z$2:$Z$495&lt;=3)*('CONTROL MASTER'!$AB$2:$AB$495&gt;=3)*('CONTROL MASTER'!$AA$2:$AA$495&lt;=5)*('CONTROL MASTER'!$AC$2:$AC$495&gt;=5))*ROW('CONTROL MASTER'!$S$2:$S$495))-(ROW('CONTROL MASTER'!#REF!)-1)))&amp;TRIM(MID(SUBSTITUTE(SUBSTITUTE(INDEX('CONTROL MASTER'!$N$2:$N$495,(SUMPRODUCT((('CONTROL MASTER'!$S$2:$S$495=11)*('CONTROL MASTER'!$Z$2:$Z$495&lt;=3)*('CONTROL MASTER'!$AB$2:$AB$495&gt;=3)*('CONTROL MASTER'!$AA$2:$AA$495&lt;=5)*('CONTROL MASTER'!$AC$2:$AC$495&gt;=5))*ROW('CONTROL MASTER'!$S$2:$S$495))-(ROW('CONTROL MASTER'!#REF!)-1))),":",","),",",REPT(" ",50)),(((INDEX('CONTROL MASTER'!$Y$2:$Y$495,(SUMPRODUCT((('CONTROL MASTER'!$S$2:$S$495=11)*('CONTROL MASTER'!$Z$2:$Z$495&lt;=3)*('CONTROL MASTER'!$AB$2:$AB$495&gt;=3)*('CONTROL MASTER'!$AA$2:$AA$495&lt;=5)*('CONTROL MASTER'!$AC$2:$AC$495&gt;=5))*ROW('CONTROL MASTER'!$S$2:$S$495))-(ROW('CONTROL MASTER'!#REF!)-1)))+((3-INDEX('CONTROL MASTER'!$Z$2:$Z$495,(SUMPRODUCT((('CONTROL MASTER'!$S$2:$S$495=11)*('CONTROL MASTER'!$Z$2:$Z$495&lt;=3)*('CONTROL MASTER'!$AB$2:$AB$495&gt;=3)*('CONTROL MASTER'!$AA$2:$AA$495&lt;=5)*('CONTROL MASTER'!$AC$2:$AC$495&gt;=5))*ROW('CONTROL MASTER'!$S$2:$S$495))-(ROW('CONTROL MASTER'!#REF!)-1))))*(INDEX('CONTROL MASTER'!$AC$2:$AC$495,(SUMPRODUCT((('CONTROL MASTER'!$S$2:$S$495=11)*('CONTROL MASTER'!$Z$2:$Z$495&lt;=3)*('CONTROL MASTER'!$AB$2:$AB$495&gt;=3)*('CONTROL MASTER'!$AA$2:$AA$495&lt;=5)*('CONTROL MASTER'!$AC$2:$AC$495&gt;=5))*ROW('CONTROL MASTER'!$S$2:$S$495))-(ROW('CONTROL MASTER'!#REF!)-1)))-INDEX('CONTROL MASTER'!$AA$2:$AA$495,(SUMPRODUCT((('CONTROL MASTER'!$S$2:$S$495=11)*('CONTROL MASTER'!$Z$2:$Z$495&lt;=3)*('CONTROL MASTER'!$AB$2:$AB$495&gt;=3)*('CONTROL MASTER'!$AA$2:$AA$495&lt;=5)*('CONTROL MASTER'!$AC$2:$AC$495&gt;=5))*ROW('CONTROL MASTER'!$S$2:$S$495))-(ROW('CONTROL MASTER'!#REF!)-1)))+1)+(5-INDEX('CONTROL MASTER'!$AA$2:$AA$495,(SUMPRODUCT((('CONTROL MASTER'!$S$2:$S$495=11)*('CONTROL MASTER'!$Z$2:$Z$495&lt;=3)*('CONTROL MASTER'!$AB$2:$AB$495&gt;=3)*('CONTROL MASTER'!$AA$2:$AA$495&lt;=5)*('CONTROL MASTER'!$AC$2:$AC$495&gt;=5))*ROW('CONTROL MASTER'!$S$2:$S$495))-(ROW('CONTROL MASTER'!#REF!)-1))))+1)))-1)*50+1,50))&amp;"_"&amp;INDEX('CONTROL MASTER'!$P$2:$P$495,(SUMPRODUCT((('CONTROL MASTER'!$S$2:$S$495=11)*('CONTROL MASTER'!$Z$2:$Z$495&lt;=3)*('CONTROL MASTER'!$AB$2:$AB$495&gt;=3)*('CONTROL MASTER'!$AA$2:$AA$495&lt;=5)*('CONTROL MASTER'!$AC$2:$AC$495&gt;=5))*ROW('CONTROL MASTER'!$S$2:$S$495))-(ROW('CONTROL MASTER'!#REF!)-1))),"")),"")</f>
        <v/>
      </c>
      <c r="G145" s="10" t="str">
        <f>IFERROR(IF(SUMPRODUCT((('CONTROL MASTER'!$S$2:$S$495=11)*('CONTROL MASTER'!$T$2:$T$495&lt;=3)*('CONTROL MASTER'!$V$2:$V$495&gt;=3)*('CONTROL MASTER'!$U$2:$U$495&lt;=6)*('CONTROL MASTER'!$W$2:$W$495&gt;=6))*ROW('CONTROL MASTER'!$S$2:$S$495))&gt;0,INDEX('CONTROL MASTER'!$X$2:$X$495,(SUMPRODUCT((('CONTROL MASTER'!$S$2:$S$495=11)*('CONTROL MASTER'!$T$2:$T$495&lt;=3)*('CONTROL MASTER'!$V$2:$V$495&gt;=3)*('CONTROL MASTER'!$U$2:$U$495&lt;=6)*('CONTROL MASTER'!$W$2:$W$495&gt;=6))*ROW('CONTROL MASTER'!$S$2:$S$495))-(ROW('CONTROL MASTER'!#REF!)-1)))&amp;TRIM(MID(SUBSTITUTE(SUBSTITUTE(INDEX('CONTROL MASTER'!$N$2:$N$495,(SUMPRODUCT((('CONTROL MASTER'!$S$2:$S$495=11)*('CONTROL MASTER'!$T$2:$T$495&lt;=3)*('CONTROL MASTER'!$V$2:$V$495&gt;=3)*('CONTROL MASTER'!$U$2:$U$495&lt;=6)*('CONTROL MASTER'!$W$2:$W$495&gt;=6))*ROW('CONTROL MASTER'!$S$2:$S$495))-(ROW('CONTROL MASTER'!#REF!)-1))),":",","),",",REPT(" ",50)),((((3-INDEX('CONTROL MASTER'!$T$2:$T$495,(SUMPRODUCT((('CONTROL MASTER'!$S$2:$S$495=11)*('CONTROL MASTER'!$T$2:$T$495&lt;=3)*('CONTROL MASTER'!$V$2:$V$495&gt;=3)*('CONTROL MASTER'!$U$2:$U$495&lt;=6)*('CONTROL MASTER'!$W$2:$W$495&gt;=6))*ROW('CONTROL MASTER'!$S$2:$S$495))-(ROW('CONTROL MASTER'!#REF!)-1))))*(INDEX('CONTROL MASTER'!$W$2:$W$495,(SUMPRODUCT((('CONTROL MASTER'!$S$2:$S$495=11)*('CONTROL MASTER'!$T$2:$T$495&lt;=3)*('CONTROL MASTER'!$V$2:$V$495&gt;=3)*('CONTROL MASTER'!$U$2:$U$495&lt;=6)*('CONTROL MASTER'!$W$2:$W$495&gt;=6))*ROW('CONTROL MASTER'!$S$2:$S$495))-(ROW('CONTROL MASTER'!#REF!)-1)))-INDEX('CONTROL MASTER'!$U$2:$U$495,(SUMPRODUCT((('CONTROL MASTER'!$S$2:$S$495=11)*('CONTROL MASTER'!$T$2:$T$495&lt;=3)*('CONTROL MASTER'!$V$2:$V$495&gt;=3)*('CONTROL MASTER'!$U$2:$U$495&lt;=6)*('CONTROL MASTER'!$W$2:$W$495&gt;=6))*ROW('CONTROL MASTER'!$S$2:$S$495))-(ROW('CONTROL MASTER'!#REF!)-1)))+1)+(6-INDEX('CONTROL MASTER'!$U$2:$U$495,(SUMPRODUCT((('CONTROL MASTER'!$S$2:$S$495=11)*('CONTROL MASTER'!$T$2:$T$495&lt;=3)*('CONTROL MASTER'!$V$2:$V$495&gt;=3)*('CONTROL MASTER'!$U$2:$U$495&lt;=6)*('CONTROL MASTER'!$W$2:$W$495&gt;=6))*ROW('CONTROL MASTER'!$S$2:$S$495))-(ROW('CONTROL MASTER'!#REF!)-1))))+1))-1)*50+1,50))&amp;"_"&amp;INDEX('CONTROL MASTER'!$P$2:$P$495,(SUMPRODUCT((('CONTROL MASTER'!$S$2:$S$495=11)*('CONTROL MASTER'!$T$2:$T$495&lt;=3)*('CONTROL MASTER'!$V$2:$V$495&gt;=3)*('CONTROL MASTER'!$U$2:$U$495&lt;=6)*('CONTROL MASTER'!$W$2:$W$495&gt;=6))*ROW('CONTROL MASTER'!$S$2:$S$495))-(ROW('CONTROL MASTER'!#REF!)-1))),IF(SUMPRODUCT((('CONTROL MASTER'!$S$2:$S$495=11)*('CONTROL MASTER'!$Z$2:$Z$495&lt;=3)*('CONTROL MASTER'!$AB$2:$AB$495&gt;=3)*('CONTROL MASTER'!$AA$2:$AA$495&lt;=6)*('CONTROL MASTER'!$AC$2:$AC$495&gt;=6))*ROW('CONTROL MASTER'!$S$2:$S$495))&gt;0,INDEX('CONTROL MASTER'!$X$2:$X$495,(SUMPRODUCT((('CONTROL MASTER'!$S$2:$S$495=11)*('CONTROL MASTER'!$Z$2:$Z$495&lt;=3)*('CONTROL MASTER'!$AB$2:$AB$495&gt;=3)*('CONTROL MASTER'!$AA$2:$AA$495&lt;=6)*('CONTROL MASTER'!$AC$2:$AC$495&gt;=6))*ROW('CONTROL MASTER'!$S$2:$S$495))-(ROW('CONTROL MASTER'!#REF!)-1)))&amp;TRIM(MID(SUBSTITUTE(SUBSTITUTE(INDEX('CONTROL MASTER'!$N$2:$N$495,(SUMPRODUCT((('CONTROL MASTER'!$S$2:$S$495=11)*('CONTROL MASTER'!$Z$2:$Z$495&lt;=3)*('CONTROL MASTER'!$AB$2:$AB$495&gt;=3)*('CONTROL MASTER'!$AA$2:$AA$495&lt;=6)*('CONTROL MASTER'!$AC$2:$AC$495&gt;=6))*ROW('CONTROL MASTER'!$S$2:$S$495))-(ROW('CONTROL MASTER'!#REF!)-1))),":",","),",",REPT(" ",50)),(((INDEX('CONTROL MASTER'!$Y$2:$Y$495,(SUMPRODUCT((('CONTROL MASTER'!$S$2:$S$495=11)*('CONTROL MASTER'!$Z$2:$Z$495&lt;=3)*('CONTROL MASTER'!$AB$2:$AB$495&gt;=3)*('CONTROL MASTER'!$AA$2:$AA$495&lt;=6)*('CONTROL MASTER'!$AC$2:$AC$495&gt;=6))*ROW('CONTROL MASTER'!$S$2:$S$495))-(ROW('CONTROL MASTER'!#REF!)-1)))+((3-INDEX('CONTROL MASTER'!$Z$2:$Z$495,(SUMPRODUCT((('CONTROL MASTER'!$S$2:$S$495=11)*('CONTROL MASTER'!$Z$2:$Z$495&lt;=3)*('CONTROL MASTER'!$AB$2:$AB$495&gt;=3)*('CONTROL MASTER'!$AA$2:$AA$495&lt;=6)*('CONTROL MASTER'!$AC$2:$AC$495&gt;=6))*ROW('CONTROL MASTER'!$S$2:$S$495))-(ROW('CONTROL MASTER'!#REF!)-1))))*(INDEX('CONTROL MASTER'!$AC$2:$AC$495,(SUMPRODUCT((('CONTROL MASTER'!$S$2:$S$495=11)*('CONTROL MASTER'!$Z$2:$Z$495&lt;=3)*('CONTROL MASTER'!$AB$2:$AB$495&gt;=3)*('CONTROL MASTER'!$AA$2:$AA$495&lt;=6)*('CONTROL MASTER'!$AC$2:$AC$495&gt;=6))*ROW('CONTROL MASTER'!$S$2:$S$495))-(ROW('CONTROL MASTER'!#REF!)-1)))-INDEX('CONTROL MASTER'!$AA$2:$AA$495,(SUMPRODUCT((('CONTROL MASTER'!$S$2:$S$495=11)*('CONTROL MASTER'!$Z$2:$Z$495&lt;=3)*('CONTROL MASTER'!$AB$2:$AB$495&gt;=3)*('CONTROL MASTER'!$AA$2:$AA$495&lt;=6)*('CONTROL MASTER'!$AC$2:$AC$495&gt;=6))*ROW('CONTROL MASTER'!$S$2:$S$495))-(ROW('CONTROL MASTER'!#REF!)-1)))+1)+(6-INDEX('CONTROL MASTER'!$AA$2:$AA$495,(SUMPRODUCT((('CONTROL MASTER'!$S$2:$S$495=11)*('CONTROL MASTER'!$Z$2:$Z$495&lt;=3)*('CONTROL MASTER'!$AB$2:$AB$495&gt;=3)*('CONTROL MASTER'!$AA$2:$AA$495&lt;=6)*('CONTROL MASTER'!$AC$2:$AC$495&gt;=6))*ROW('CONTROL MASTER'!$S$2:$S$495))-(ROW('CONTROL MASTER'!#REF!)-1))))+1)))-1)*50+1,50))&amp;"_"&amp;INDEX('CONTROL MASTER'!$P$2:$P$495,(SUMPRODUCT((('CONTROL MASTER'!$S$2:$S$495=11)*('CONTROL MASTER'!$Z$2:$Z$495&lt;=3)*('CONTROL MASTER'!$AB$2:$AB$495&gt;=3)*('CONTROL MASTER'!$AA$2:$AA$495&lt;=6)*('CONTROL MASTER'!$AC$2:$AC$495&gt;=6))*ROW('CONTROL MASTER'!$S$2:$S$495))-(ROW('CONTROL MASTER'!#REF!)-1))),"")),"")</f>
        <v/>
      </c>
      <c r="H145" s="10" t="str">
        <f>IFERROR(IF(SUMPRODUCT((('CONTROL MASTER'!$S$2:$S$495=11)*('CONTROL MASTER'!$T$2:$T$495&lt;=3)*('CONTROL MASTER'!$V$2:$V$495&gt;=3)*('CONTROL MASTER'!$U$2:$U$495&lt;=7)*('CONTROL MASTER'!$W$2:$W$495&gt;=7))*ROW('CONTROL MASTER'!$S$2:$S$495))&gt;0,INDEX('CONTROL MASTER'!$X$2:$X$495,(SUMPRODUCT((('CONTROL MASTER'!$S$2:$S$495=11)*('CONTROL MASTER'!$T$2:$T$495&lt;=3)*('CONTROL MASTER'!$V$2:$V$495&gt;=3)*('CONTROL MASTER'!$U$2:$U$495&lt;=7)*('CONTROL MASTER'!$W$2:$W$495&gt;=7))*ROW('CONTROL MASTER'!$S$2:$S$495))-(ROW('CONTROL MASTER'!#REF!)-1)))&amp;TRIM(MID(SUBSTITUTE(SUBSTITUTE(INDEX('CONTROL MASTER'!$N$2:$N$495,(SUMPRODUCT((('CONTROL MASTER'!$S$2:$S$495=11)*('CONTROL MASTER'!$T$2:$T$495&lt;=3)*('CONTROL MASTER'!$V$2:$V$495&gt;=3)*('CONTROL MASTER'!$U$2:$U$495&lt;=7)*('CONTROL MASTER'!$W$2:$W$495&gt;=7))*ROW('CONTROL MASTER'!$S$2:$S$495))-(ROW('CONTROL MASTER'!#REF!)-1))),":",","),",",REPT(" ",50)),((((3-INDEX('CONTROL MASTER'!$T$2:$T$495,(SUMPRODUCT((('CONTROL MASTER'!$S$2:$S$495=11)*('CONTROL MASTER'!$T$2:$T$495&lt;=3)*('CONTROL MASTER'!$V$2:$V$495&gt;=3)*('CONTROL MASTER'!$U$2:$U$495&lt;=7)*('CONTROL MASTER'!$W$2:$W$495&gt;=7))*ROW('CONTROL MASTER'!$S$2:$S$495))-(ROW('CONTROL MASTER'!#REF!)-1))))*(INDEX('CONTROL MASTER'!$W$2:$W$495,(SUMPRODUCT((('CONTROL MASTER'!$S$2:$S$495=11)*('CONTROL MASTER'!$T$2:$T$495&lt;=3)*('CONTROL MASTER'!$V$2:$V$495&gt;=3)*('CONTROL MASTER'!$U$2:$U$495&lt;=7)*('CONTROL MASTER'!$W$2:$W$495&gt;=7))*ROW('CONTROL MASTER'!$S$2:$S$495))-(ROW('CONTROL MASTER'!#REF!)-1)))-INDEX('CONTROL MASTER'!$U$2:$U$495,(SUMPRODUCT((('CONTROL MASTER'!$S$2:$S$495=11)*('CONTROL MASTER'!$T$2:$T$495&lt;=3)*('CONTROL MASTER'!$V$2:$V$495&gt;=3)*('CONTROL MASTER'!$U$2:$U$495&lt;=7)*('CONTROL MASTER'!$W$2:$W$495&gt;=7))*ROW('CONTROL MASTER'!$S$2:$S$495))-(ROW('CONTROL MASTER'!#REF!)-1)))+1)+(7-INDEX('CONTROL MASTER'!$U$2:$U$495,(SUMPRODUCT((('CONTROL MASTER'!$S$2:$S$495=11)*('CONTROL MASTER'!$T$2:$T$495&lt;=3)*('CONTROL MASTER'!$V$2:$V$495&gt;=3)*('CONTROL MASTER'!$U$2:$U$495&lt;=7)*('CONTROL MASTER'!$W$2:$W$495&gt;=7))*ROW('CONTROL MASTER'!$S$2:$S$495))-(ROW('CONTROL MASTER'!#REF!)-1))))+1))-1)*50+1,50))&amp;"_"&amp;INDEX('CONTROL MASTER'!$P$2:$P$495,(SUMPRODUCT((('CONTROL MASTER'!$S$2:$S$495=11)*('CONTROL MASTER'!$T$2:$T$495&lt;=3)*('CONTROL MASTER'!$V$2:$V$495&gt;=3)*('CONTROL MASTER'!$U$2:$U$495&lt;=7)*('CONTROL MASTER'!$W$2:$W$495&gt;=7))*ROW('CONTROL MASTER'!$S$2:$S$495))-(ROW('CONTROL MASTER'!#REF!)-1))),IF(SUMPRODUCT((('CONTROL MASTER'!$S$2:$S$495=11)*('CONTROL MASTER'!$Z$2:$Z$495&lt;=3)*('CONTROL MASTER'!$AB$2:$AB$495&gt;=3)*('CONTROL MASTER'!$AA$2:$AA$495&lt;=7)*('CONTROL MASTER'!$AC$2:$AC$495&gt;=7))*ROW('CONTROL MASTER'!$S$2:$S$495))&gt;0,INDEX('CONTROL MASTER'!$X$2:$X$495,(SUMPRODUCT((('CONTROL MASTER'!$S$2:$S$495=11)*('CONTROL MASTER'!$Z$2:$Z$495&lt;=3)*('CONTROL MASTER'!$AB$2:$AB$495&gt;=3)*('CONTROL MASTER'!$AA$2:$AA$495&lt;=7)*('CONTROL MASTER'!$AC$2:$AC$495&gt;=7))*ROW('CONTROL MASTER'!$S$2:$S$495))-(ROW('CONTROL MASTER'!#REF!)-1)))&amp;TRIM(MID(SUBSTITUTE(SUBSTITUTE(INDEX('CONTROL MASTER'!$N$2:$N$495,(SUMPRODUCT((('CONTROL MASTER'!$S$2:$S$495=11)*('CONTROL MASTER'!$Z$2:$Z$495&lt;=3)*('CONTROL MASTER'!$AB$2:$AB$495&gt;=3)*('CONTROL MASTER'!$AA$2:$AA$495&lt;=7)*('CONTROL MASTER'!$AC$2:$AC$495&gt;=7))*ROW('CONTROL MASTER'!$S$2:$S$495))-(ROW('CONTROL MASTER'!#REF!)-1))),":",","),",",REPT(" ",50)),(((INDEX('CONTROL MASTER'!$Y$2:$Y$495,(SUMPRODUCT((('CONTROL MASTER'!$S$2:$S$495=11)*('CONTROL MASTER'!$Z$2:$Z$495&lt;=3)*('CONTROL MASTER'!$AB$2:$AB$495&gt;=3)*('CONTROL MASTER'!$AA$2:$AA$495&lt;=7)*('CONTROL MASTER'!$AC$2:$AC$495&gt;=7))*ROW('CONTROL MASTER'!$S$2:$S$495))-(ROW('CONTROL MASTER'!#REF!)-1)))+((3-INDEX('CONTROL MASTER'!$Z$2:$Z$495,(SUMPRODUCT((('CONTROL MASTER'!$S$2:$S$495=11)*('CONTROL MASTER'!$Z$2:$Z$495&lt;=3)*('CONTROL MASTER'!$AB$2:$AB$495&gt;=3)*('CONTROL MASTER'!$AA$2:$AA$495&lt;=7)*('CONTROL MASTER'!$AC$2:$AC$495&gt;=7))*ROW('CONTROL MASTER'!$S$2:$S$495))-(ROW('CONTROL MASTER'!#REF!)-1))))*(INDEX('CONTROL MASTER'!$AC$2:$AC$495,(SUMPRODUCT((('CONTROL MASTER'!$S$2:$S$495=11)*('CONTROL MASTER'!$Z$2:$Z$495&lt;=3)*('CONTROL MASTER'!$AB$2:$AB$495&gt;=3)*('CONTROL MASTER'!$AA$2:$AA$495&lt;=7)*('CONTROL MASTER'!$AC$2:$AC$495&gt;=7))*ROW('CONTROL MASTER'!$S$2:$S$495))-(ROW('CONTROL MASTER'!#REF!)-1)))-INDEX('CONTROL MASTER'!$AA$2:$AA$495,(SUMPRODUCT((('CONTROL MASTER'!$S$2:$S$495=11)*('CONTROL MASTER'!$Z$2:$Z$495&lt;=3)*('CONTROL MASTER'!$AB$2:$AB$495&gt;=3)*('CONTROL MASTER'!$AA$2:$AA$495&lt;=7)*('CONTROL MASTER'!$AC$2:$AC$495&gt;=7))*ROW('CONTROL MASTER'!$S$2:$S$495))-(ROW('CONTROL MASTER'!#REF!)-1)))+1)+(7-INDEX('CONTROL MASTER'!$AA$2:$AA$495,(SUMPRODUCT((('CONTROL MASTER'!$S$2:$S$495=11)*('CONTROL MASTER'!$Z$2:$Z$495&lt;=3)*('CONTROL MASTER'!$AB$2:$AB$495&gt;=3)*('CONTROL MASTER'!$AA$2:$AA$495&lt;=7)*('CONTROL MASTER'!$AC$2:$AC$495&gt;=7))*ROW('CONTROL MASTER'!$S$2:$S$495))-(ROW('CONTROL MASTER'!#REF!)-1))))+1)))-1)*50+1,50))&amp;"_"&amp;INDEX('CONTROL MASTER'!$P$2:$P$495,(SUMPRODUCT((('CONTROL MASTER'!$S$2:$S$495=11)*('CONTROL MASTER'!$Z$2:$Z$495&lt;=3)*('CONTROL MASTER'!$AB$2:$AB$495&gt;=3)*('CONTROL MASTER'!$AA$2:$AA$495&lt;=7)*('CONTROL MASTER'!$AC$2:$AC$495&gt;=7))*ROW('CONTROL MASTER'!$S$2:$S$495))-(ROW('CONTROL MASTER'!#REF!)-1))),"")),"")</f>
        <v/>
      </c>
      <c r="I145" s="10" t="str">
        <f>IFERROR(IF(SUMPRODUCT((('CONTROL MASTER'!$S$2:$S$495=11)*('CONTROL MASTER'!$T$2:$T$495&lt;=3)*('CONTROL MASTER'!$V$2:$V$495&gt;=3)*('CONTROL MASTER'!$U$2:$U$495&lt;=8)*('CONTROL MASTER'!$W$2:$W$495&gt;=8))*ROW('CONTROL MASTER'!$S$2:$S$495))&gt;0,INDEX('CONTROL MASTER'!$X$2:$X$495,(SUMPRODUCT((('CONTROL MASTER'!$S$2:$S$495=11)*('CONTROL MASTER'!$T$2:$T$495&lt;=3)*('CONTROL MASTER'!$V$2:$V$495&gt;=3)*('CONTROL MASTER'!$U$2:$U$495&lt;=8)*('CONTROL MASTER'!$W$2:$W$495&gt;=8))*ROW('CONTROL MASTER'!$S$2:$S$495))-(ROW('CONTROL MASTER'!#REF!)-1)))&amp;TRIM(MID(SUBSTITUTE(SUBSTITUTE(INDEX('CONTROL MASTER'!$N$2:$N$495,(SUMPRODUCT((('CONTROL MASTER'!$S$2:$S$495=11)*('CONTROL MASTER'!$T$2:$T$495&lt;=3)*('CONTROL MASTER'!$V$2:$V$495&gt;=3)*('CONTROL MASTER'!$U$2:$U$495&lt;=8)*('CONTROL MASTER'!$W$2:$W$495&gt;=8))*ROW('CONTROL MASTER'!$S$2:$S$495))-(ROW('CONTROL MASTER'!#REF!)-1))),":",","),",",REPT(" ",50)),((((3-INDEX('CONTROL MASTER'!$T$2:$T$495,(SUMPRODUCT((('CONTROL MASTER'!$S$2:$S$495=11)*('CONTROL MASTER'!$T$2:$T$495&lt;=3)*('CONTROL MASTER'!$V$2:$V$495&gt;=3)*('CONTROL MASTER'!$U$2:$U$495&lt;=8)*('CONTROL MASTER'!$W$2:$W$495&gt;=8))*ROW('CONTROL MASTER'!$S$2:$S$495))-(ROW('CONTROL MASTER'!#REF!)-1))))*(INDEX('CONTROL MASTER'!$W$2:$W$495,(SUMPRODUCT((('CONTROL MASTER'!$S$2:$S$495=11)*('CONTROL MASTER'!$T$2:$T$495&lt;=3)*('CONTROL MASTER'!$V$2:$V$495&gt;=3)*('CONTROL MASTER'!$U$2:$U$495&lt;=8)*('CONTROL MASTER'!$W$2:$W$495&gt;=8))*ROW('CONTROL MASTER'!$S$2:$S$495))-(ROW('CONTROL MASTER'!#REF!)-1)))-INDEX('CONTROL MASTER'!$U$2:$U$495,(SUMPRODUCT((('CONTROL MASTER'!$S$2:$S$495=11)*('CONTROL MASTER'!$T$2:$T$495&lt;=3)*('CONTROL MASTER'!$V$2:$V$495&gt;=3)*('CONTROL MASTER'!$U$2:$U$495&lt;=8)*('CONTROL MASTER'!$W$2:$W$495&gt;=8))*ROW('CONTROL MASTER'!$S$2:$S$495))-(ROW('CONTROL MASTER'!#REF!)-1)))+1)+(8-INDEX('CONTROL MASTER'!$U$2:$U$495,(SUMPRODUCT((('CONTROL MASTER'!$S$2:$S$495=11)*('CONTROL MASTER'!$T$2:$T$495&lt;=3)*('CONTROL MASTER'!$V$2:$V$495&gt;=3)*('CONTROL MASTER'!$U$2:$U$495&lt;=8)*('CONTROL MASTER'!$W$2:$W$495&gt;=8))*ROW('CONTROL MASTER'!$S$2:$S$495))-(ROW('CONTROL MASTER'!#REF!)-1))))+1))-1)*50+1,50))&amp;"_"&amp;INDEX('CONTROL MASTER'!$P$2:$P$495,(SUMPRODUCT((('CONTROL MASTER'!$S$2:$S$495=11)*('CONTROL MASTER'!$T$2:$T$495&lt;=3)*('CONTROL MASTER'!$V$2:$V$495&gt;=3)*('CONTROL MASTER'!$U$2:$U$495&lt;=8)*('CONTROL MASTER'!$W$2:$W$495&gt;=8))*ROW('CONTROL MASTER'!$S$2:$S$495))-(ROW('CONTROL MASTER'!#REF!)-1))),IF(SUMPRODUCT((('CONTROL MASTER'!$S$2:$S$495=11)*('CONTROL MASTER'!$Z$2:$Z$495&lt;=3)*('CONTROL MASTER'!$AB$2:$AB$495&gt;=3)*('CONTROL MASTER'!$AA$2:$AA$495&lt;=8)*('CONTROL MASTER'!$AC$2:$AC$495&gt;=8))*ROW('CONTROL MASTER'!$S$2:$S$495))&gt;0,INDEX('CONTROL MASTER'!$X$2:$X$495,(SUMPRODUCT((('CONTROL MASTER'!$S$2:$S$495=11)*('CONTROL MASTER'!$Z$2:$Z$495&lt;=3)*('CONTROL MASTER'!$AB$2:$AB$495&gt;=3)*('CONTROL MASTER'!$AA$2:$AA$495&lt;=8)*('CONTROL MASTER'!$AC$2:$AC$495&gt;=8))*ROW('CONTROL MASTER'!$S$2:$S$495))-(ROW('CONTROL MASTER'!#REF!)-1)))&amp;TRIM(MID(SUBSTITUTE(SUBSTITUTE(INDEX('CONTROL MASTER'!$N$2:$N$495,(SUMPRODUCT((('CONTROL MASTER'!$S$2:$S$495=11)*('CONTROL MASTER'!$Z$2:$Z$495&lt;=3)*('CONTROL MASTER'!$AB$2:$AB$495&gt;=3)*('CONTROL MASTER'!$AA$2:$AA$495&lt;=8)*('CONTROL MASTER'!$AC$2:$AC$495&gt;=8))*ROW('CONTROL MASTER'!$S$2:$S$495))-(ROW('CONTROL MASTER'!#REF!)-1))),":",","),",",REPT(" ",50)),(((INDEX('CONTROL MASTER'!$Y$2:$Y$495,(SUMPRODUCT((('CONTROL MASTER'!$S$2:$S$495=11)*('CONTROL MASTER'!$Z$2:$Z$495&lt;=3)*('CONTROL MASTER'!$AB$2:$AB$495&gt;=3)*('CONTROL MASTER'!$AA$2:$AA$495&lt;=8)*('CONTROL MASTER'!$AC$2:$AC$495&gt;=8))*ROW('CONTROL MASTER'!$S$2:$S$495))-(ROW('CONTROL MASTER'!#REF!)-1)))+((3-INDEX('CONTROL MASTER'!$Z$2:$Z$495,(SUMPRODUCT((('CONTROL MASTER'!$S$2:$S$495=11)*('CONTROL MASTER'!$Z$2:$Z$495&lt;=3)*('CONTROL MASTER'!$AB$2:$AB$495&gt;=3)*('CONTROL MASTER'!$AA$2:$AA$495&lt;=8)*('CONTROL MASTER'!$AC$2:$AC$495&gt;=8))*ROW('CONTROL MASTER'!$S$2:$S$495))-(ROW('CONTROL MASTER'!#REF!)-1))))*(INDEX('CONTROL MASTER'!$AC$2:$AC$495,(SUMPRODUCT((('CONTROL MASTER'!$S$2:$S$495=11)*('CONTROL MASTER'!$Z$2:$Z$495&lt;=3)*('CONTROL MASTER'!$AB$2:$AB$495&gt;=3)*('CONTROL MASTER'!$AA$2:$AA$495&lt;=8)*('CONTROL MASTER'!$AC$2:$AC$495&gt;=8))*ROW('CONTROL MASTER'!$S$2:$S$495))-(ROW('CONTROL MASTER'!#REF!)-1)))-INDEX('CONTROL MASTER'!$AA$2:$AA$495,(SUMPRODUCT((('CONTROL MASTER'!$S$2:$S$495=11)*('CONTROL MASTER'!$Z$2:$Z$495&lt;=3)*('CONTROL MASTER'!$AB$2:$AB$495&gt;=3)*('CONTROL MASTER'!$AA$2:$AA$495&lt;=8)*('CONTROL MASTER'!$AC$2:$AC$495&gt;=8))*ROW('CONTROL MASTER'!$S$2:$S$495))-(ROW('CONTROL MASTER'!#REF!)-1)))+1)+(8-INDEX('CONTROL MASTER'!$AA$2:$AA$495,(SUMPRODUCT((('CONTROL MASTER'!$S$2:$S$495=11)*('CONTROL MASTER'!$Z$2:$Z$495&lt;=3)*('CONTROL MASTER'!$AB$2:$AB$495&gt;=3)*('CONTROL MASTER'!$AA$2:$AA$495&lt;=8)*('CONTROL MASTER'!$AC$2:$AC$495&gt;=8))*ROW('CONTROL MASTER'!$S$2:$S$495))-(ROW('CONTROL MASTER'!#REF!)-1))))+1)))-1)*50+1,50))&amp;"_"&amp;INDEX('CONTROL MASTER'!$P$2:$P$495,(SUMPRODUCT((('CONTROL MASTER'!$S$2:$S$495=11)*('CONTROL MASTER'!$Z$2:$Z$495&lt;=3)*('CONTROL MASTER'!$AB$2:$AB$495&gt;=3)*('CONTROL MASTER'!$AA$2:$AA$495&lt;=8)*('CONTROL MASTER'!$AC$2:$AC$495&gt;=8))*ROW('CONTROL MASTER'!$S$2:$S$495))-(ROW('CONTROL MASTER'!#REF!)-1))),"")),"")</f>
        <v/>
      </c>
      <c r="J145" s="10" t="str">
        <f>IFERROR(IF(SUMPRODUCT((('CONTROL MASTER'!$S$2:$S$495=11)*('CONTROL MASTER'!$T$2:$T$495&lt;=3)*('CONTROL MASTER'!$V$2:$V$495&gt;=3)*('CONTROL MASTER'!$U$2:$U$495&lt;=9)*('CONTROL MASTER'!$W$2:$W$495&gt;=9))*ROW('CONTROL MASTER'!$S$2:$S$495))&gt;0,INDEX('CONTROL MASTER'!$X$2:$X$495,(SUMPRODUCT((('CONTROL MASTER'!$S$2:$S$495=11)*('CONTROL MASTER'!$T$2:$T$495&lt;=3)*('CONTROL MASTER'!$V$2:$V$495&gt;=3)*('CONTROL MASTER'!$U$2:$U$495&lt;=9)*('CONTROL MASTER'!$W$2:$W$495&gt;=9))*ROW('CONTROL MASTER'!$S$2:$S$495))-(ROW('CONTROL MASTER'!#REF!)-1)))&amp;TRIM(MID(SUBSTITUTE(SUBSTITUTE(INDEX('CONTROL MASTER'!$N$2:$N$495,(SUMPRODUCT((('CONTROL MASTER'!$S$2:$S$495=11)*('CONTROL MASTER'!$T$2:$T$495&lt;=3)*('CONTROL MASTER'!$V$2:$V$495&gt;=3)*('CONTROL MASTER'!$U$2:$U$495&lt;=9)*('CONTROL MASTER'!$W$2:$W$495&gt;=9))*ROW('CONTROL MASTER'!$S$2:$S$495))-(ROW('CONTROL MASTER'!#REF!)-1))),":",","),",",REPT(" ",50)),((((3-INDEX('CONTROL MASTER'!$T$2:$T$495,(SUMPRODUCT((('CONTROL MASTER'!$S$2:$S$495=11)*('CONTROL MASTER'!$T$2:$T$495&lt;=3)*('CONTROL MASTER'!$V$2:$V$495&gt;=3)*('CONTROL MASTER'!$U$2:$U$495&lt;=9)*('CONTROL MASTER'!$W$2:$W$495&gt;=9))*ROW('CONTROL MASTER'!$S$2:$S$495))-(ROW('CONTROL MASTER'!#REF!)-1))))*(INDEX('CONTROL MASTER'!$W$2:$W$495,(SUMPRODUCT((('CONTROL MASTER'!$S$2:$S$495=11)*('CONTROL MASTER'!$T$2:$T$495&lt;=3)*('CONTROL MASTER'!$V$2:$V$495&gt;=3)*('CONTROL MASTER'!$U$2:$U$495&lt;=9)*('CONTROL MASTER'!$W$2:$W$495&gt;=9))*ROW('CONTROL MASTER'!$S$2:$S$495))-(ROW('CONTROL MASTER'!#REF!)-1)))-INDEX('CONTROL MASTER'!$U$2:$U$495,(SUMPRODUCT((('CONTROL MASTER'!$S$2:$S$495=11)*('CONTROL MASTER'!$T$2:$T$495&lt;=3)*('CONTROL MASTER'!$V$2:$V$495&gt;=3)*('CONTROL MASTER'!$U$2:$U$495&lt;=9)*('CONTROL MASTER'!$W$2:$W$495&gt;=9))*ROW('CONTROL MASTER'!$S$2:$S$495))-(ROW('CONTROL MASTER'!#REF!)-1)))+1)+(9-INDEX('CONTROL MASTER'!$U$2:$U$495,(SUMPRODUCT((('CONTROL MASTER'!$S$2:$S$495=11)*('CONTROL MASTER'!$T$2:$T$495&lt;=3)*('CONTROL MASTER'!$V$2:$V$495&gt;=3)*('CONTROL MASTER'!$U$2:$U$495&lt;=9)*('CONTROL MASTER'!$W$2:$W$495&gt;=9))*ROW('CONTROL MASTER'!$S$2:$S$495))-(ROW('CONTROL MASTER'!#REF!)-1))))+1))-1)*50+1,50))&amp;"_"&amp;INDEX('CONTROL MASTER'!$P$2:$P$495,(SUMPRODUCT((('CONTROL MASTER'!$S$2:$S$495=11)*('CONTROL MASTER'!$T$2:$T$495&lt;=3)*('CONTROL MASTER'!$V$2:$V$495&gt;=3)*('CONTROL MASTER'!$U$2:$U$495&lt;=9)*('CONTROL MASTER'!$W$2:$W$495&gt;=9))*ROW('CONTROL MASTER'!$S$2:$S$495))-(ROW('CONTROL MASTER'!#REF!)-1))),IF(SUMPRODUCT((('CONTROL MASTER'!$S$2:$S$495=11)*('CONTROL MASTER'!$Z$2:$Z$495&lt;=3)*('CONTROL MASTER'!$AB$2:$AB$495&gt;=3)*('CONTROL MASTER'!$AA$2:$AA$495&lt;=9)*('CONTROL MASTER'!$AC$2:$AC$495&gt;=9))*ROW('CONTROL MASTER'!$S$2:$S$495))&gt;0,INDEX('CONTROL MASTER'!$X$2:$X$495,(SUMPRODUCT((('CONTROL MASTER'!$S$2:$S$495=11)*('CONTROL MASTER'!$Z$2:$Z$495&lt;=3)*('CONTROL MASTER'!$AB$2:$AB$495&gt;=3)*('CONTROL MASTER'!$AA$2:$AA$495&lt;=9)*('CONTROL MASTER'!$AC$2:$AC$495&gt;=9))*ROW('CONTROL MASTER'!$S$2:$S$495))-(ROW('CONTROL MASTER'!#REF!)-1)))&amp;TRIM(MID(SUBSTITUTE(SUBSTITUTE(INDEX('CONTROL MASTER'!$N$2:$N$495,(SUMPRODUCT((('CONTROL MASTER'!$S$2:$S$495=11)*('CONTROL MASTER'!$Z$2:$Z$495&lt;=3)*('CONTROL MASTER'!$AB$2:$AB$495&gt;=3)*('CONTROL MASTER'!$AA$2:$AA$495&lt;=9)*('CONTROL MASTER'!$AC$2:$AC$495&gt;=9))*ROW('CONTROL MASTER'!$S$2:$S$495))-(ROW('CONTROL MASTER'!#REF!)-1))),":",","),",",REPT(" ",50)),(((INDEX('CONTROL MASTER'!$Y$2:$Y$495,(SUMPRODUCT((('CONTROL MASTER'!$S$2:$S$495=11)*('CONTROL MASTER'!$Z$2:$Z$495&lt;=3)*('CONTROL MASTER'!$AB$2:$AB$495&gt;=3)*('CONTROL MASTER'!$AA$2:$AA$495&lt;=9)*('CONTROL MASTER'!$AC$2:$AC$495&gt;=9))*ROW('CONTROL MASTER'!$S$2:$S$495))-(ROW('CONTROL MASTER'!#REF!)-1)))+((3-INDEX('CONTROL MASTER'!$Z$2:$Z$495,(SUMPRODUCT((('CONTROL MASTER'!$S$2:$S$495=11)*('CONTROL MASTER'!$Z$2:$Z$495&lt;=3)*('CONTROL MASTER'!$AB$2:$AB$495&gt;=3)*('CONTROL MASTER'!$AA$2:$AA$495&lt;=9)*('CONTROL MASTER'!$AC$2:$AC$495&gt;=9))*ROW('CONTROL MASTER'!$S$2:$S$495))-(ROW('CONTROL MASTER'!#REF!)-1))))*(INDEX('CONTROL MASTER'!$AC$2:$AC$495,(SUMPRODUCT((('CONTROL MASTER'!$S$2:$S$495=11)*('CONTROL MASTER'!$Z$2:$Z$495&lt;=3)*('CONTROL MASTER'!$AB$2:$AB$495&gt;=3)*('CONTROL MASTER'!$AA$2:$AA$495&lt;=9)*('CONTROL MASTER'!$AC$2:$AC$495&gt;=9))*ROW('CONTROL MASTER'!$S$2:$S$495))-(ROW('CONTROL MASTER'!#REF!)-1)))-INDEX('CONTROL MASTER'!$AA$2:$AA$495,(SUMPRODUCT((('CONTROL MASTER'!$S$2:$S$495=11)*('CONTROL MASTER'!$Z$2:$Z$495&lt;=3)*('CONTROL MASTER'!$AB$2:$AB$495&gt;=3)*('CONTROL MASTER'!$AA$2:$AA$495&lt;=9)*('CONTROL MASTER'!$AC$2:$AC$495&gt;=9))*ROW('CONTROL MASTER'!$S$2:$S$495))-(ROW('CONTROL MASTER'!#REF!)-1)))+1)+(9-INDEX('CONTROL MASTER'!$AA$2:$AA$495,(SUMPRODUCT((('CONTROL MASTER'!$S$2:$S$495=11)*('CONTROL MASTER'!$Z$2:$Z$495&lt;=3)*('CONTROL MASTER'!$AB$2:$AB$495&gt;=3)*('CONTROL MASTER'!$AA$2:$AA$495&lt;=9)*('CONTROL MASTER'!$AC$2:$AC$495&gt;=9))*ROW('CONTROL MASTER'!$S$2:$S$495))-(ROW('CONTROL MASTER'!#REF!)-1))))+1)))-1)*50+1,50))&amp;"_"&amp;INDEX('CONTROL MASTER'!$P$2:$P$495,(SUMPRODUCT((('CONTROL MASTER'!$S$2:$S$495=11)*('CONTROL MASTER'!$Z$2:$Z$495&lt;=3)*('CONTROL MASTER'!$AB$2:$AB$495&gt;=3)*('CONTROL MASTER'!$AA$2:$AA$495&lt;=9)*('CONTROL MASTER'!$AC$2:$AC$495&gt;=9))*ROW('CONTROL MASTER'!$S$2:$S$495))-(ROW('CONTROL MASTER'!#REF!)-1))),"")),"")</f>
        <v/>
      </c>
      <c r="K145" s="10" t="str">
        <f>IFERROR(IF(SUMPRODUCT((('CONTROL MASTER'!$S$2:$S$495=11)*('CONTROL MASTER'!$T$2:$T$495&lt;=3)*('CONTROL MASTER'!$V$2:$V$495&gt;=3)*('CONTROL MASTER'!$U$2:$U$495&lt;=10)*('CONTROL MASTER'!$W$2:$W$495&gt;=10))*ROW('CONTROL MASTER'!$S$2:$S$495))&gt;0,INDEX('CONTROL MASTER'!$X$2:$X$495,(SUMPRODUCT((('CONTROL MASTER'!$S$2:$S$495=11)*('CONTROL MASTER'!$T$2:$T$495&lt;=3)*('CONTROL MASTER'!$V$2:$V$495&gt;=3)*('CONTROL MASTER'!$U$2:$U$495&lt;=10)*('CONTROL MASTER'!$W$2:$W$495&gt;=10))*ROW('CONTROL MASTER'!$S$2:$S$495))-(ROW('CONTROL MASTER'!#REF!)-1)))&amp;TRIM(MID(SUBSTITUTE(SUBSTITUTE(INDEX('CONTROL MASTER'!$N$2:$N$495,(SUMPRODUCT((('CONTROL MASTER'!$S$2:$S$495=11)*('CONTROL MASTER'!$T$2:$T$495&lt;=3)*('CONTROL MASTER'!$V$2:$V$495&gt;=3)*('CONTROL MASTER'!$U$2:$U$495&lt;=10)*('CONTROL MASTER'!$W$2:$W$495&gt;=10))*ROW('CONTROL MASTER'!$S$2:$S$495))-(ROW('CONTROL MASTER'!#REF!)-1))),":",","),",",REPT(" ",50)),((((3-INDEX('CONTROL MASTER'!$T$2:$T$495,(SUMPRODUCT((('CONTROL MASTER'!$S$2:$S$495=11)*('CONTROL MASTER'!$T$2:$T$495&lt;=3)*('CONTROL MASTER'!$V$2:$V$495&gt;=3)*('CONTROL MASTER'!$U$2:$U$495&lt;=10)*('CONTROL MASTER'!$W$2:$W$495&gt;=10))*ROW('CONTROL MASTER'!$S$2:$S$495))-(ROW('CONTROL MASTER'!#REF!)-1))))*(INDEX('CONTROL MASTER'!$W$2:$W$495,(SUMPRODUCT((('CONTROL MASTER'!$S$2:$S$495=11)*('CONTROL MASTER'!$T$2:$T$495&lt;=3)*('CONTROL MASTER'!$V$2:$V$495&gt;=3)*('CONTROL MASTER'!$U$2:$U$495&lt;=10)*('CONTROL MASTER'!$W$2:$W$495&gt;=10))*ROW('CONTROL MASTER'!$S$2:$S$495))-(ROW('CONTROL MASTER'!#REF!)-1)))-INDEX('CONTROL MASTER'!$U$2:$U$495,(SUMPRODUCT((('CONTROL MASTER'!$S$2:$S$495=11)*('CONTROL MASTER'!$T$2:$T$495&lt;=3)*('CONTROL MASTER'!$V$2:$V$495&gt;=3)*('CONTROL MASTER'!$U$2:$U$495&lt;=10)*('CONTROL MASTER'!$W$2:$W$495&gt;=10))*ROW('CONTROL MASTER'!$S$2:$S$495))-(ROW('CONTROL MASTER'!#REF!)-1)))+1)+(10-INDEX('CONTROL MASTER'!$U$2:$U$495,(SUMPRODUCT((('CONTROL MASTER'!$S$2:$S$495=11)*('CONTROL MASTER'!$T$2:$T$495&lt;=3)*('CONTROL MASTER'!$V$2:$V$495&gt;=3)*('CONTROL MASTER'!$U$2:$U$495&lt;=10)*('CONTROL MASTER'!$W$2:$W$495&gt;=10))*ROW('CONTROL MASTER'!$S$2:$S$495))-(ROW('CONTROL MASTER'!#REF!)-1))))+1))-1)*50+1,50))&amp;"_"&amp;INDEX('CONTROL MASTER'!$P$2:$P$495,(SUMPRODUCT((('CONTROL MASTER'!$S$2:$S$495=11)*('CONTROL MASTER'!$T$2:$T$495&lt;=3)*('CONTROL MASTER'!$V$2:$V$495&gt;=3)*('CONTROL MASTER'!$U$2:$U$495&lt;=10)*('CONTROL MASTER'!$W$2:$W$495&gt;=10))*ROW('CONTROL MASTER'!$S$2:$S$495))-(ROW('CONTROL MASTER'!#REF!)-1))),IF(SUMPRODUCT((('CONTROL MASTER'!$S$2:$S$495=11)*('CONTROL MASTER'!$Z$2:$Z$495&lt;=3)*('CONTROL MASTER'!$AB$2:$AB$495&gt;=3)*('CONTROL MASTER'!$AA$2:$AA$495&lt;=10)*('CONTROL MASTER'!$AC$2:$AC$495&gt;=10))*ROW('CONTROL MASTER'!$S$2:$S$495))&gt;0,INDEX('CONTROL MASTER'!$X$2:$X$495,(SUMPRODUCT((('CONTROL MASTER'!$S$2:$S$495=11)*('CONTROL MASTER'!$Z$2:$Z$495&lt;=3)*('CONTROL MASTER'!$AB$2:$AB$495&gt;=3)*('CONTROL MASTER'!$AA$2:$AA$495&lt;=10)*('CONTROL MASTER'!$AC$2:$AC$495&gt;=10))*ROW('CONTROL MASTER'!$S$2:$S$495))-(ROW('CONTROL MASTER'!#REF!)-1)))&amp;TRIM(MID(SUBSTITUTE(SUBSTITUTE(INDEX('CONTROL MASTER'!$N$2:$N$495,(SUMPRODUCT((('CONTROL MASTER'!$S$2:$S$495=11)*('CONTROL MASTER'!$Z$2:$Z$495&lt;=3)*('CONTROL MASTER'!$AB$2:$AB$495&gt;=3)*('CONTROL MASTER'!$AA$2:$AA$495&lt;=10)*('CONTROL MASTER'!$AC$2:$AC$495&gt;=10))*ROW('CONTROL MASTER'!$S$2:$S$495))-(ROW('CONTROL MASTER'!#REF!)-1))),":",","),",",REPT(" ",50)),(((INDEX('CONTROL MASTER'!$Y$2:$Y$495,(SUMPRODUCT((('CONTROL MASTER'!$S$2:$S$495=11)*('CONTROL MASTER'!$Z$2:$Z$495&lt;=3)*('CONTROL MASTER'!$AB$2:$AB$495&gt;=3)*('CONTROL MASTER'!$AA$2:$AA$495&lt;=10)*('CONTROL MASTER'!$AC$2:$AC$495&gt;=10))*ROW('CONTROL MASTER'!$S$2:$S$495))-(ROW('CONTROL MASTER'!#REF!)-1)))+((3-INDEX('CONTROL MASTER'!$Z$2:$Z$495,(SUMPRODUCT((('CONTROL MASTER'!$S$2:$S$495=11)*('CONTROL MASTER'!$Z$2:$Z$495&lt;=3)*('CONTROL MASTER'!$AB$2:$AB$495&gt;=3)*('CONTROL MASTER'!$AA$2:$AA$495&lt;=10)*('CONTROL MASTER'!$AC$2:$AC$495&gt;=10))*ROW('CONTROL MASTER'!$S$2:$S$495))-(ROW('CONTROL MASTER'!#REF!)-1))))*(INDEX('CONTROL MASTER'!$AC$2:$AC$495,(SUMPRODUCT((('CONTROL MASTER'!$S$2:$S$495=11)*('CONTROL MASTER'!$Z$2:$Z$495&lt;=3)*('CONTROL MASTER'!$AB$2:$AB$495&gt;=3)*('CONTROL MASTER'!$AA$2:$AA$495&lt;=10)*('CONTROL MASTER'!$AC$2:$AC$495&gt;=10))*ROW('CONTROL MASTER'!$S$2:$S$495))-(ROW('CONTROL MASTER'!#REF!)-1)))-INDEX('CONTROL MASTER'!$AA$2:$AA$495,(SUMPRODUCT((('CONTROL MASTER'!$S$2:$S$495=11)*('CONTROL MASTER'!$Z$2:$Z$495&lt;=3)*('CONTROL MASTER'!$AB$2:$AB$495&gt;=3)*('CONTROL MASTER'!$AA$2:$AA$495&lt;=10)*('CONTROL MASTER'!$AC$2:$AC$495&gt;=10))*ROW('CONTROL MASTER'!$S$2:$S$495))-(ROW('CONTROL MASTER'!#REF!)-1)))+1)+(10-INDEX('CONTROL MASTER'!$AA$2:$AA$495,(SUMPRODUCT((('CONTROL MASTER'!$S$2:$S$495=11)*('CONTROL MASTER'!$Z$2:$Z$495&lt;=3)*('CONTROL MASTER'!$AB$2:$AB$495&gt;=3)*('CONTROL MASTER'!$AA$2:$AA$495&lt;=10)*('CONTROL MASTER'!$AC$2:$AC$495&gt;=10))*ROW('CONTROL MASTER'!$S$2:$S$495))-(ROW('CONTROL MASTER'!#REF!)-1))))+1)))-1)*50+1,50))&amp;"_"&amp;INDEX('CONTROL MASTER'!$P$2:$P$495,(SUMPRODUCT((('CONTROL MASTER'!$S$2:$S$495=11)*('CONTROL MASTER'!$Z$2:$Z$495&lt;=3)*('CONTROL MASTER'!$AB$2:$AB$495&gt;=3)*('CONTROL MASTER'!$AA$2:$AA$495&lt;=10)*('CONTROL MASTER'!$AC$2:$AC$495&gt;=10))*ROW('CONTROL MASTER'!$S$2:$S$495))-(ROW('CONTROL MASTER'!#REF!)-1))),"")),"")</f>
        <v/>
      </c>
    </row>
    <row r="146" spans="1:11" ht="15" customHeight="1" x14ac:dyDescent="0.35">
      <c r="A146" s="8" t="s">
        <v>31</v>
      </c>
      <c r="B146" s="10" t="str">
        <f>IFERROR(IF(SUMPRODUCT((('CONTROL MASTER'!$S$2:$S$495=11)*('CONTROL MASTER'!$T$2:$T$495&lt;=4)*('CONTROL MASTER'!$V$2:$V$495&gt;=4)*('CONTROL MASTER'!$U$2:$U$495&lt;=1)*('CONTROL MASTER'!$W$2:$W$495&gt;=1))*ROW('CONTROL MASTER'!$S$2:$S$495))&gt;0,INDEX('CONTROL MASTER'!$X$2:$X$495,(SUMPRODUCT((('CONTROL MASTER'!$S$2:$S$495=11)*('CONTROL MASTER'!$T$2:$T$495&lt;=4)*('CONTROL MASTER'!$V$2:$V$495&gt;=4)*('CONTROL MASTER'!$U$2:$U$495&lt;=1)*('CONTROL MASTER'!$W$2:$W$495&gt;=1))*ROW('CONTROL MASTER'!$S$2:$S$495))-(ROW('CONTROL MASTER'!#REF!)-1)))&amp;TRIM(MID(SUBSTITUTE(SUBSTITUTE(INDEX('CONTROL MASTER'!$N$2:$N$495,(SUMPRODUCT((('CONTROL MASTER'!$S$2:$S$495=11)*('CONTROL MASTER'!$T$2:$T$495&lt;=4)*('CONTROL MASTER'!$V$2:$V$495&gt;=4)*('CONTROL MASTER'!$U$2:$U$495&lt;=1)*('CONTROL MASTER'!$W$2:$W$495&gt;=1))*ROW('CONTROL MASTER'!$S$2:$S$495))-(ROW('CONTROL MASTER'!#REF!)-1))),":",","),",",REPT(" ",50)),((((4-INDEX('CONTROL MASTER'!$T$2:$T$495,(SUMPRODUCT((('CONTROL MASTER'!$S$2:$S$495=11)*('CONTROL MASTER'!$T$2:$T$495&lt;=4)*('CONTROL MASTER'!$V$2:$V$495&gt;=4)*('CONTROL MASTER'!$U$2:$U$495&lt;=1)*('CONTROL MASTER'!$W$2:$W$495&gt;=1))*ROW('CONTROL MASTER'!$S$2:$S$495))-(ROW('CONTROL MASTER'!#REF!)-1))))*(INDEX('CONTROL MASTER'!$W$2:$W$495,(SUMPRODUCT((('CONTROL MASTER'!$S$2:$S$495=11)*('CONTROL MASTER'!$T$2:$T$495&lt;=4)*('CONTROL MASTER'!$V$2:$V$495&gt;=4)*('CONTROL MASTER'!$U$2:$U$495&lt;=1)*('CONTROL MASTER'!$W$2:$W$495&gt;=1))*ROW('CONTROL MASTER'!$S$2:$S$495))-(ROW('CONTROL MASTER'!#REF!)-1)))-INDEX('CONTROL MASTER'!$U$2:$U$495,(SUMPRODUCT((('CONTROL MASTER'!$S$2:$S$495=11)*('CONTROL MASTER'!$T$2:$T$495&lt;=4)*('CONTROL MASTER'!$V$2:$V$495&gt;=4)*('CONTROL MASTER'!$U$2:$U$495&lt;=1)*('CONTROL MASTER'!$W$2:$W$495&gt;=1))*ROW('CONTROL MASTER'!$S$2:$S$495))-(ROW('CONTROL MASTER'!#REF!)-1)))+1)+(1-INDEX('CONTROL MASTER'!$U$2:$U$495,(SUMPRODUCT((('CONTROL MASTER'!$S$2:$S$495=11)*('CONTROL MASTER'!$T$2:$T$495&lt;=4)*('CONTROL MASTER'!$V$2:$V$495&gt;=4)*('CONTROL MASTER'!$U$2:$U$495&lt;=1)*('CONTROL MASTER'!$W$2:$W$495&gt;=1))*ROW('CONTROL MASTER'!$S$2:$S$495))-(ROW('CONTROL MASTER'!#REF!)-1))))+1))-1)*50+1,50))&amp;"_"&amp;INDEX('CONTROL MASTER'!$P$2:$P$495,(SUMPRODUCT((('CONTROL MASTER'!$S$2:$S$495=11)*('CONTROL MASTER'!$T$2:$T$495&lt;=4)*('CONTROL MASTER'!$V$2:$V$495&gt;=4)*('CONTROL MASTER'!$U$2:$U$495&lt;=1)*('CONTROL MASTER'!$W$2:$W$495&gt;=1))*ROW('CONTROL MASTER'!$S$2:$S$495))-(ROW('CONTROL MASTER'!#REF!)-1))),IF(SUMPRODUCT((('CONTROL MASTER'!$S$2:$S$495=11)*('CONTROL MASTER'!$Z$2:$Z$495&lt;=4)*('CONTROL MASTER'!$AB$2:$AB$495&gt;=4)*('CONTROL MASTER'!$AA$2:$AA$495&lt;=1)*('CONTROL MASTER'!$AC$2:$AC$495&gt;=1))*ROW('CONTROL MASTER'!$S$2:$S$495))&gt;0,INDEX('CONTROL MASTER'!$X$2:$X$495,(SUMPRODUCT((('CONTROL MASTER'!$S$2:$S$495=11)*('CONTROL MASTER'!$Z$2:$Z$495&lt;=4)*('CONTROL MASTER'!$AB$2:$AB$495&gt;=4)*('CONTROL MASTER'!$AA$2:$AA$495&lt;=1)*('CONTROL MASTER'!$AC$2:$AC$495&gt;=1))*ROW('CONTROL MASTER'!$S$2:$S$495))-(ROW('CONTROL MASTER'!#REF!)-1)))&amp;TRIM(MID(SUBSTITUTE(SUBSTITUTE(INDEX('CONTROL MASTER'!$N$2:$N$495,(SUMPRODUCT((('CONTROL MASTER'!$S$2:$S$495=11)*('CONTROL MASTER'!$Z$2:$Z$495&lt;=4)*('CONTROL MASTER'!$AB$2:$AB$495&gt;=4)*('CONTROL MASTER'!$AA$2:$AA$495&lt;=1)*('CONTROL MASTER'!$AC$2:$AC$495&gt;=1))*ROW('CONTROL MASTER'!$S$2:$S$495))-(ROW('CONTROL MASTER'!#REF!)-1))),":",","),",",REPT(" ",50)),(((INDEX('CONTROL MASTER'!$Y$2:$Y$495,(SUMPRODUCT((('CONTROL MASTER'!$S$2:$S$495=11)*('CONTROL MASTER'!$Z$2:$Z$495&lt;=4)*('CONTROL MASTER'!$AB$2:$AB$495&gt;=4)*('CONTROL MASTER'!$AA$2:$AA$495&lt;=1)*('CONTROL MASTER'!$AC$2:$AC$495&gt;=1))*ROW('CONTROL MASTER'!$S$2:$S$495))-(ROW('CONTROL MASTER'!#REF!)-1)))+((4-INDEX('CONTROL MASTER'!$Z$2:$Z$495,(SUMPRODUCT((('CONTROL MASTER'!$S$2:$S$495=11)*('CONTROL MASTER'!$Z$2:$Z$495&lt;=4)*('CONTROL MASTER'!$AB$2:$AB$495&gt;=4)*('CONTROL MASTER'!$AA$2:$AA$495&lt;=1)*('CONTROL MASTER'!$AC$2:$AC$495&gt;=1))*ROW('CONTROL MASTER'!$S$2:$S$495))-(ROW('CONTROL MASTER'!#REF!)-1))))*(INDEX('CONTROL MASTER'!$AC$2:$AC$495,(SUMPRODUCT((('CONTROL MASTER'!$S$2:$S$495=11)*('CONTROL MASTER'!$Z$2:$Z$495&lt;=4)*('CONTROL MASTER'!$AB$2:$AB$495&gt;=4)*('CONTROL MASTER'!$AA$2:$AA$495&lt;=1)*('CONTROL MASTER'!$AC$2:$AC$495&gt;=1))*ROW('CONTROL MASTER'!$S$2:$S$495))-(ROW('CONTROL MASTER'!#REF!)-1)))-INDEX('CONTROL MASTER'!$AA$2:$AA$495,(SUMPRODUCT((('CONTROL MASTER'!$S$2:$S$495=11)*('CONTROL MASTER'!$Z$2:$Z$495&lt;=4)*('CONTROL MASTER'!$AB$2:$AB$495&gt;=4)*('CONTROL MASTER'!$AA$2:$AA$495&lt;=1)*('CONTROL MASTER'!$AC$2:$AC$495&gt;=1))*ROW('CONTROL MASTER'!$S$2:$S$495))-(ROW('CONTROL MASTER'!#REF!)-1)))+1)+(1-INDEX('CONTROL MASTER'!$AA$2:$AA$495,(SUMPRODUCT((('CONTROL MASTER'!$S$2:$S$495=11)*('CONTROL MASTER'!$Z$2:$Z$495&lt;=4)*('CONTROL MASTER'!$AB$2:$AB$495&gt;=4)*('CONTROL MASTER'!$AA$2:$AA$495&lt;=1)*('CONTROL MASTER'!$AC$2:$AC$495&gt;=1))*ROW('CONTROL MASTER'!$S$2:$S$495))-(ROW('CONTROL MASTER'!#REF!)-1))))+1)))-1)*50+1,50))&amp;"_"&amp;INDEX('CONTROL MASTER'!$P$2:$P$495,(SUMPRODUCT((('CONTROL MASTER'!$S$2:$S$495=11)*('CONTROL MASTER'!$Z$2:$Z$495&lt;=4)*('CONTROL MASTER'!$AB$2:$AB$495&gt;=4)*('CONTROL MASTER'!$AA$2:$AA$495&lt;=1)*('CONTROL MASTER'!$AC$2:$AC$495&gt;=1))*ROW('CONTROL MASTER'!$S$2:$S$495))-(ROW('CONTROL MASTER'!#REF!)-1))),"")),"")</f>
        <v/>
      </c>
      <c r="C146" s="10" t="str">
        <f>IFERROR(IF(SUMPRODUCT((('CONTROL MASTER'!$S$2:$S$495=11)*('CONTROL MASTER'!$T$2:$T$495&lt;=4)*('CONTROL MASTER'!$V$2:$V$495&gt;=4)*('CONTROL MASTER'!$U$2:$U$495&lt;=2)*('CONTROL MASTER'!$W$2:$W$495&gt;=2))*ROW('CONTROL MASTER'!$S$2:$S$495))&gt;0,INDEX('CONTROL MASTER'!$X$2:$X$495,(SUMPRODUCT((('CONTROL MASTER'!$S$2:$S$495=11)*('CONTROL MASTER'!$T$2:$T$495&lt;=4)*('CONTROL MASTER'!$V$2:$V$495&gt;=4)*('CONTROL MASTER'!$U$2:$U$495&lt;=2)*('CONTROL MASTER'!$W$2:$W$495&gt;=2))*ROW('CONTROL MASTER'!$S$2:$S$495))-(ROW('CONTROL MASTER'!#REF!)-1)))&amp;TRIM(MID(SUBSTITUTE(SUBSTITUTE(INDEX('CONTROL MASTER'!$N$2:$N$495,(SUMPRODUCT((('CONTROL MASTER'!$S$2:$S$495=11)*('CONTROL MASTER'!$T$2:$T$495&lt;=4)*('CONTROL MASTER'!$V$2:$V$495&gt;=4)*('CONTROL MASTER'!$U$2:$U$495&lt;=2)*('CONTROL MASTER'!$W$2:$W$495&gt;=2))*ROW('CONTROL MASTER'!$S$2:$S$495))-(ROW('CONTROL MASTER'!#REF!)-1))),":",","),",",REPT(" ",50)),((((4-INDEX('CONTROL MASTER'!$T$2:$T$495,(SUMPRODUCT((('CONTROL MASTER'!$S$2:$S$495=11)*('CONTROL MASTER'!$T$2:$T$495&lt;=4)*('CONTROL MASTER'!$V$2:$V$495&gt;=4)*('CONTROL MASTER'!$U$2:$U$495&lt;=2)*('CONTROL MASTER'!$W$2:$W$495&gt;=2))*ROW('CONTROL MASTER'!$S$2:$S$495))-(ROW('CONTROL MASTER'!#REF!)-1))))*(INDEX('CONTROL MASTER'!$W$2:$W$495,(SUMPRODUCT((('CONTROL MASTER'!$S$2:$S$495=11)*('CONTROL MASTER'!$T$2:$T$495&lt;=4)*('CONTROL MASTER'!$V$2:$V$495&gt;=4)*('CONTROL MASTER'!$U$2:$U$495&lt;=2)*('CONTROL MASTER'!$W$2:$W$495&gt;=2))*ROW('CONTROL MASTER'!$S$2:$S$495))-(ROW('CONTROL MASTER'!#REF!)-1)))-INDEX('CONTROL MASTER'!$U$2:$U$495,(SUMPRODUCT((('CONTROL MASTER'!$S$2:$S$495=11)*('CONTROL MASTER'!$T$2:$T$495&lt;=4)*('CONTROL MASTER'!$V$2:$V$495&gt;=4)*('CONTROL MASTER'!$U$2:$U$495&lt;=2)*('CONTROL MASTER'!$W$2:$W$495&gt;=2))*ROW('CONTROL MASTER'!$S$2:$S$495))-(ROW('CONTROL MASTER'!#REF!)-1)))+1)+(2-INDEX('CONTROL MASTER'!$U$2:$U$495,(SUMPRODUCT((('CONTROL MASTER'!$S$2:$S$495=11)*('CONTROL MASTER'!$T$2:$T$495&lt;=4)*('CONTROL MASTER'!$V$2:$V$495&gt;=4)*('CONTROL MASTER'!$U$2:$U$495&lt;=2)*('CONTROL MASTER'!$W$2:$W$495&gt;=2))*ROW('CONTROL MASTER'!$S$2:$S$495))-(ROW('CONTROL MASTER'!#REF!)-1))))+1))-1)*50+1,50))&amp;"_"&amp;INDEX('CONTROL MASTER'!$P$2:$P$495,(SUMPRODUCT((('CONTROL MASTER'!$S$2:$S$495=11)*('CONTROL MASTER'!$T$2:$T$495&lt;=4)*('CONTROL MASTER'!$V$2:$V$495&gt;=4)*('CONTROL MASTER'!$U$2:$U$495&lt;=2)*('CONTROL MASTER'!$W$2:$W$495&gt;=2))*ROW('CONTROL MASTER'!$S$2:$S$495))-(ROW('CONTROL MASTER'!#REF!)-1))),IF(SUMPRODUCT((('CONTROL MASTER'!$S$2:$S$495=11)*('CONTROL MASTER'!$Z$2:$Z$495&lt;=4)*('CONTROL MASTER'!$AB$2:$AB$495&gt;=4)*('CONTROL MASTER'!$AA$2:$AA$495&lt;=2)*('CONTROL MASTER'!$AC$2:$AC$495&gt;=2))*ROW('CONTROL MASTER'!$S$2:$S$495))&gt;0,INDEX('CONTROL MASTER'!$X$2:$X$495,(SUMPRODUCT((('CONTROL MASTER'!$S$2:$S$495=11)*('CONTROL MASTER'!$Z$2:$Z$495&lt;=4)*('CONTROL MASTER'!$AB$2:$AB$495&gt;=4)*('CONTROL MASTER'!$AA$2:$AA$495&lt;=2)*('CONTROL MASTER'!$AC$2:$AC$495&gt;=2))*ROW('CONTROL MASTER'!$S$2:$S$495))-(ROW('CONTROL MASTER'!#REF!)-1)))&amp;TRIM(MID(SUBSTITUTE(SUBSTITUTE(INDEX('CONTROL MASTER'!$N$2:$N$495,(SUMPRODUCT((('CONTROL MASTER'!$S$2:$S$495=11)*('CONTROL MASTER'!$Z$2:$Z$495&lt;=4)*('CONTROL MASTER'!$AB$2:$AB$495&gt;=4)*('CONTROL MASTER'!$AA$2:$AA$495&lt;=2)*('CONTROL MASTER'!$AC$2:$AC$495&gt;=2))*ROW('CONTROL MASTER'!$S$2:$S$495))-(ROW('CONTROL MASTER'!#REF!)-1))),":",","),",",REPT(" ",50)),(((INDEX('CONTROL MASTER'!$Y$2:$Y$495,(SUMPRODUCT((('CONTROL MASTER'!$S$2:$S$495=11)*('CONTROL MASTER'!$Z$2:$Z$495&lt;=4)*('CONTROL MASTER'!$AB$2:$AB$495&gt;=4)*('CONTROL MASTER'!$AA$2:$AA$495&lt;=2)*('CONTROL MASTER'!$AC$2:$AC$495&gt;=2))*ROW('CONTROL MASTER'!$S$2:$S$495))-(ROW('CONTROL MASTER'!#REF!)-1)))+((4-INDEX('CONTROL MASTER'!$Z$2:$Z$495,(SUMPRODUCT((('CONTROL MASTER'!$S$2:$S$495=11)*('CONTROL MASTER'!$Z$2:$Z$495&lt;=4)*('CONTROL MASTER'!$AB$2:$AB$495&gt;=4)*('CONTROL MASTER'!$AA$2:$AA$495&lt;=2)*('CONTROL MASTER'!$AC$2:$AC$495&gt;=2))*ROW('CONTROL MASTER'!$S$2:$S$495))-(ROW('CONTROL MASTER'!#REF!)-1))))*(INDEX('CONTROL MASTER'!$AC$2:$AC$495,(SUMPRODUCT((('CONTROL MASTER'!$S$2:$S$495=11)*('CONTROL MASTER'!$Z$2:$Z$495&lt;=4)*('CONTROL MASTER'!$AB$2:$AB$495&gt;=4)*('CONTROL MASTER'!$AA$2:$AA$495&lt;=2)*('CONTROL MASTER'!$AC$2:$AC$495&gt;=2))*ROW('CONTROL MASTER'!$S$2:$S$495))-(ROW('CONTROL MASTER'!#REF!)-1)))-INDEX('CONTROL MASTER'!$AA$2:$AA$495,(SUMPRODUCT((('CONTROL MASTER'!$S$2:$S$495=11)*('CONTROL MASTER'!$Z$2:$Z$495&lt;=4)*('CONTROL MASTER'!$AB$2:$AB$495&gt;=4)*('CONTROL MASTER'!$AA$2:$AA$495&lt;=2)*('CONTROL MASTER'!$AC$2:$AC$495&gt;=2))*ROW('CONTROL MASTER'!$S$2:$S$495))-(ROW('CONTROL MASTER'!#REF!)-1)))+1)+(2-INDEX('CONTROL MASTER'!$AA$2:$AA$495,(SUMPRODUCT((('CONTROL MASTER'!$S$2:$S$495=11)*('CONTROL MASTER'!$Z$2:$Z$495&lt;=4)*('CONTROL MASTER'!$AB$2:$AB$495&gt;=4)*('CONTROL MASTER'!$AA$2:$AA$495&lt;=2)*('CONTROL MASTER'!$AC$2:$AC$495&gt;=2))*ROW('CONTROL MASTER'!$S$2:$S$495))-(ROW('CONTROL MASTER'!#REF!)-1))))+1)))-1)*50+1,50))&amp;"_"&amp;INDEX('CONTROL MASTER'!$P$2:$P$495,(SUMPRODUCT((('CONTROL MASTER'!$S$2:$S$495=11)*('CONTROL MASTER'!$Z$2:$Z$495&lt;=4)*('CONTROL MASTER'!$AB$2:$AB$495&gt;=4)*('CONTROL MASTER'!$AA$2:$AA$495&lt;=2)*('CONTROL MASTER'!$AC$2:$AC$495&gt;=2))*ROW('CONTROL MASTER'!$S$2:$S$495))-(ROW('CONTROL MASTER'!#REF!)-1))),"")),"")</f>
        <v/>
      </c>
      <c r="D146" s="10" t="str">
        <f>IFERROR(IF(SUMPRODUCT((('CONTROL MASTER'!$S$2:$S$495=11)*('CONTROL MASTER'!$T$2:$T$495&lt;=4)*('CONTROL MASTER'!$V$2:$V$495&gt;=4)*('CONTROL MASTER'!$U$2:$U$495&lt;=3)*('CONTROL MASTER'!$W$2:$W$495&gt;=3))*ROW('CONTROL MASTER'!$S$2:$S$495))&gt;0,INDEX('CONTROL MASTER'!$X$2:$X$495,(SUMPRODUCT((('CONTROL MASTER'!$S$2:$S$495=11)*('CONTROL MASTER'!$T$2:$T$495&lt;=4)*('CONTROL MASTER'!$V$2:$V$495&gt;=4)*('CONTROL MASTER'!$U$2:$U$495&lt;=3)*('CONTROL MASTER'!$W$2:$W$495&gt;=3))*ROW('CONTROL MASTER'!$S$2:$S$495))-(ROW('CONTROL MASTER'!#REF!)-1)))&amp;TRIM(MID(SUBSTITUTE(SUBSTITUTE(INDEX('CONTROL MASTER'!$N$2:$N$495,(SUMPRODUCT((('CONTROL MASTER'!$S$2:$S$495=11)*('CONTROL MASTER'!$T$2:$T$495&lt;=4)*('CONTROL MASTER'!$V$2:$V$495&gt;=4)*('CONTROL MASTER'!$U$2:$U$495&lt;=3)*('CONTROL MASTER'!$W$2:$W$495&gt;=3))*ROW('CONTROL MASTER'!$S$2:$S$495))-(ROW('CONTROL MASTER'!#REF!)-1))),":",","),",",REPT(" ",50)),((((4-INDEX('CONTROL MASTER'!$T$2:$T$495,(SUMPRODUCT((('CONTROL MASTER'!$S$2:$S$495=11)*('CONTROL MASTER'!$T$2:$T$495&lt;=4)*('CONTROL MASTER'!$V$2:$V$495&gt;=4)*('CONTROL MASTER'!$U$2:$U$495&lt;=3)*('CONTROL MASTER'!$W$2:$W$495&gt;=3))*ROW('CONTROL MASTER'!$S$2:$S$495))-(ROW('CONTROL MASTER'!#REF!)-1))))*(INDEX('CONTROL MASTER'!$W$2:$W$495,(SUMPRODUCT((('CONTROL MASTER'!$S$2:$S$495=11)*('CONTROL MASTER'!$T$2:$T$495&lt;=4)*('CONTROL MASTER'!$V$2:$V$495&gt;=4)*('CONTROL MASTER'!$U$2:$U$495&lt;=3)*('CONTROL MASTER'!$W$2:$W$495&gt;=3))*ROW('CONTROL MASTER'!$S$2:$S$495))-(ROW('CONTROL MASTER'!#REF!)-1)))-INDEX('CONTROL MASTER'!$U$2:$U$495,(SUMPRODUCT((('CONTROL MASTER'!$S$2:$S$495=11)*('CONTROL MASTER'!$T$2:$T$495&lt;=4)*('CONTROL MASTER'!$V$2:$V$495&gt;=4)*('CONTROL MASTER'!$U$2:$U$495&lt;=3)*('CONTROL MASTER'!$W$2:$W$495&gt;=3))*ROW('CONTROL MASTER'!$S$2:$S$495))-(ROW('CONTROL MASTER'!#REF!)-1)))+1)+(3-INDEX('CONTROL MASTER'!$U$2:$U$495,(SUMPRODUCT((('CONTROL MASTER'!$S$2:$S$495=11)*('CONTROL MASTER'!$T$2:$T$495&lt;=4)*('CONTROL MASTER'!$V$2:$V$495&gt;=4)*('CONTROL MASTER'!$U$2:$U$495&lt;=3)*('CONTROL MASTER'!$W$2:$W$495&gt;=3))*ROW('CONTROL MASTER'!$S$2:$S$495))-(ROW('CONTROL MASTER'!#REF!)-1))))+1))-1)*50+1,50))&amp;"_"&amp;INDEX('CONTROL MASTER'!$P$2:$P$495,(SUMPRODUCT((('CONTROL MASTER'!$S$2:$S$495=11)*('CONTROL MASTER'!$T$2:$T$495&lt;=4)*('CONTROL MASTER'!$V$2:$V$495&gt;=4)*('CONTROL MASTER'!$U$2:$U$495&lt;=3)*('CONTROL MASTER'!$W$2:$W$495&gt;=3))*ROW('CONTROL MASTER'!$S$2:$S$495))-(ROW('CONTROL MASTER'!#REF!)-1))),IF(SUMPRODUCT((('CONTROL MASTER'!$S$2:$S$495=11)*('CONTROL MASTER'!$Z$2:$Z$495&lt;=4)*('CONTROL MASTER'!$AB$2:$AB$495&gt;=4)*('CONTROL MASTER'!$AA$2:$AA$495&lt;=3)*('CONTROL MASTER'!$AC$2:$AC$495&gt;=3))*ROW('CONTROL MASTER'!$S$2:$S$495))&gt;0,INDEX('CONTROL MASTER'!$X$2:$X$495,(SUMPRODUCT((('CONTROL MASTER'!$S$2:$S$495=11)*('CONTROL MASTER'!$Z$2:$Z$495&lt;=4)*('CONTROL MASTER'!$AB$2:$AB$495&gt;=4)*('CONTROL MASTER'!$AA$2:$AA$495&lt;=3)*('CONTROL MASTER'!$AC$2:$AC$495&gt;=3))*ROW('CONTROL MASTER'!$S$2:$S$495))-(ROW('CONTROL MASTER'!#REF!)-1)))&amp;TRIM(MID(SUBSTITUTE(SUBSTITUTE(INDEX('CONTROL MASTER'!$N$2:$N$495,(SUMPRODUCT((('CONTROL MASTER'!$S$2:$S$495=11)*('CONTROL MASTER'!$Z$2:$Z$495&lt;=4)*('CONTROL MASTER'!$AB$2:$AB$495&gt;=4)*('CONTROL MASTER'!$AA$2:$AA$495&lt;=3)*('CONTROL MASTER'!$AC$2:$AC$495&gt;=3))*ROW('CONTROL MASTER'!$S$2:$S$495))-(ROW('CONTROL MASTER'!#REF!)-1))),":",","),",",REPT(" ",50)),(((INDEX('CONTROL MASTER'!$Y$2:$Y$495,(SUMPRODUCT((('CONTROL MASTER'!$S$2:$S$495=11)*('CONTROL MASTER'!$Z$2:$Z$495&lt;=4)*('CONTROL MASTER'!$AB$2:$AB$495&gt;=4)*('CONTROL MASTER'!$AA$2:$AA$495&lt;=3)*('CONTROL MASTER'!$AC$2:$AC$495&gt;=3))*ROW('CONTROL MASTER'!$S$2:$S$495))-(ROW('CONTROL MASTER'!#REF!)-1)))+((4-INDEX('CONTROL MASTER'!$Z$2:$Z$495,(SUMPRODUCT((('CONTROL MASTER'!$S$2:$S$495=11)*('CONTROL MASTER'!$Z$2:$Z$495&lt;=4)*('CONTROL MASTER'!$AB$2:$AB$495&gt;=4)*('CONTROL MASTER'!$AA$2:$AA$495&lt;=3)*('CONTROL MASTER'!$AC$2:$AC$495&gt;=3))*ROW('CONTROL MASTER'!$S$2:$S$495))-(ROW('CONTROL MASTER'!#REF!)-1))))*(INDEX('CONTROL MASTER'!$AC$2:$AC$495,(SUMPRODUCT((('CONTROL MASTER'!$S$2:$S$495=11)*('CONTROL MASTER'!$Z$2:$Z$495&lt;=4)*('CONTROL MASTER'!$AB$2:$AB$495&gt;=4)*('CONTROL MASTER'!$AA$2:$AA$495&lt;=3)*('CONTROL MASTER'!$AC$2:$AC$495&gt;=3))*ROW('CONTROL MASTER'!$S$2:$S$495))-(ROW('CONTROL MASTER'!#REF!)-1)))-INDEX('CONTROL MASTER'!$AA$2:$AA$495,(SUMPRODUCT((('CONTROL MASTER'!$S$2:$S$495=11)*('CONTROL MASTER'!$Z$2:$Z$495&lt;=4)*('CONTROL MASTER'!$AB$2:$AB$495&gt;=4)*('CONTROL MASTER'!$AA$2:$AA$495&lt;=3)*('CONTROL MASTER'!$AC$2:$AC$495&gt;=3))*ROW('CONTROL MASTER'!$S$2:$S$495))-(ROW('CONTROL MASTER'!#REF!)-1)))+1)+(3-INDEX('CONTROL MASTER'!$AA$2:$AA$495,(SUMPRODUCT((('CONTROL MASTER'!$S$2:$S$495=11)*('CONTROL MASTER'!$Z$2:$Z$495&lt;=4)*('CONTROL MASTER'!$AB$2:$AB$495&gt;=4)*('CONTROL MASTER'!$AA$2:$AA$495&lt;=3)*('CONTROL MASTER'!$AC$2:$AC$495&gt;=3))*ROW('CONTROL MASTER'!$S$2:$S$495))-(ROW('CONTROL MASTER'!#REF!)-1))))+1)))-1)*50+1,50))&amp;"_"&amp;INDEX('CONTROL MASTER'!$P$2:$P$495,(SUMPRODUCT((('CONTROL MASTER'!$S$2:$S$495=11)*('CONTROL MASTER'!$Z$2:$Z$495&lt;=4)*('CONTROL MASTER'!$AB$2:$AB$495&gt;=4)*('CONTROL MASTER'!$AA$2:$AA$495&lt;=3)*('CONTROL MASTER'!$AC$2:$AC$495&gt;=3))*ROW('CONTROL MASTER'!$S$2:$S$495))-(ROW('CONTROL MASTER'!#REF!)-1))),"")),"")</f>
        <v/>
      </c>
      <c r="E146" s="10" t="str">
        <f>IFERROR(IF(SUMPRODUCT((('CONTROL MASTER'!$S$2:$S$495=11)*('CONTROL MASTER'!$T$2:$T$495&lt;=4)*('CONTROL MASTER'!$V$2:$V$495&gt;=4)*('CONTROL MASTER'!$U$2:$U$495&lt;=4)*('CONTROL MASTER'!$W$2:$W$495&gt;=4))*ROW('CONTROL MASTER'!$S$2:$S$495))&gt;0,INDEX('CONTROL MASTER'!$X$2:$X$495,(SUMPRODUCT((('CONTROL MASTER'!$S$2:$S$495=11)*('CONTROL MASTER'!$T$2:$T$495&lt;=4)*('CONTROL MASTER'!$V$2:$V$495&gt;=4)*('CONTROL MASTER'!$U$2:$U$495&lt;=4)*('CONTROL MASTER'!$W$2:$W$495&gt;=4))*ROW('CONTROL MASTER'!$S$2:$S$495))-(ROW('CONTROL MASTER'!#REF!)-1)))&amp;TRIM(MID(SUBSTITUTE(SUBSTITUTE(INDEX('CONTROL MASTER'!$N$2:$N$495,(SUMPRODUCT((('CONTROL MASTER'!$S$2:$S$495=11)*('CONTROL MASTER'!$T$2:$T$495&lt;=4)*('CONTROL MASTER'!$V$2:$V$495&gt;=4)*('CONTROL MASTER'!$U$2:$U$495&lt;=4)*('CONTROL MASTER'!$W$2:$W$495&gt;=4))*ROW('CONTROL MASTER'!$S$2:$S$495))-(ROW('CONTROL MASTER'!#REF!)-1))),":",","),",",REPT(" ",50)),((((4-INDEX('CONTROL MASTER'!$T$2:$T$495,(SUMPRODUCT((('CONTROL MASTER'!$S$2:$S$495=11)*('CONTROL MASTER'!$T$2:$T$495&lt;=4)*('CONTROL MASTER'!$V$2:$V$495&gt;=4)*('CONTROL MASTER'!$U$2:$U$495&lt;=4)*('CONTROL MASTER'!$W$2:$W$495&gt;=4))*ROW('CONTROL MASTER'!$S$2:$S$495))-(ROW('CONTROL MASTER'!#REF!)-1))))*(INDEX('CONTROL MASTER'!$W$2:$W$495,(SUMPRODUCT((('CONTROL MASTER'!$S$2:$S$495=11)*('CONTROL MASTER'!$T$2:$T$495&lt;=4)*('CONTROL MASTER'!$V$2:$V$495&gt;=4)*('CONTROL MASTER'!$U$2:$U$495&lt;=4)*('CONTROL MASTER'!$W$2:$W$495&gt;=4))*ROW('CONTROL MASTER'!$S$2:$S$495))-(ROW('CONTROL MASTER'!#REF!)-1)))-INDEX('CONTROL MASTER'!$U$2:$U$495,(SUMPRODUCT((('CONTROL MASTER'!$S$2:$S$495=11)*('CONTROL MASTER'!$T$2:$T$495&lt;=4)*('CONTROL MASTER'!$V$2:$V$495&gt;=4)*('CONTROL MASTER'!$U$2:$U$495&lt;=4)*('CONTROL MASTER'!$W$2:$W$495&gt;=4))*ROW('CONTROL MASTER'!$S$2:$S$495))-(ROW('CONTROL MASTER'!#REF!)-1)))+1)+(4-INDEX('CONTROL MASTER'!$U$2:$U$495,(SUMPRODUCT((('CONTROL MASTER'!$S$2:$S$495=11)*('CONTROL MASTER'!$T$2:$T$495&lt;=4)*('CONTROL MASTER'!$V$2:$V$495&gt;=4)*('CONTROL MASTER'!$U$2:$U$495&lt;=4)*('CONTROL MASTER'!$W$2:$W$495&gt;=4))*ROW('CONTROL MASTER'!$S$2:$S$495))-(ROW('CONTROL MASTER'!#REF!)-1))))+1))-1)*50+1,50))&amp;"_"&amp;INDEX('CONTROL MASTER'!$P$2:$P$495,(SUMPRODUCT((('CONTROL MASTER'!$S$2:$S$495=11)*('CONTROL MASTER'!$T$2:$T$495&lt;=4)*('CONTROL MASTER'!$V$2:$V$495&gt;=4)*('CONTROL MASTER'!$U$2:$U$495&lt;=4)*('CONTROL MASTER'!$W$2:$W$495&gt;=4))*ROW('CONTROL MASTER'!$S$2:$S$495))-(ROW('CONTROL MASTER'!#REF!)-1))),IF(SUMPRODUCT((('CONTROL MASTER'!$S$2:$S$495=11)*('CONTROL MASTER'!$Z$2:$Z$495&lt;=4)*('CONTROL MASTER'!$AB$2:$AB$495&gt;=4)*('CONTROL MASTER'!$AA$2:$AA$495&lt;=4)*('CONTROL MASTER'!$AC$2:$AC$495&gt;=4))*ROW('CONTROL MASTER'!$S$2:$S$495))&gt;0,INDEX('CONTROL MASTER'!$X$2:$X$495,(SUMPRODUCT((('CONTROL MASTER'!$S$2:$S$495=11)*('CONTROL MASTER'!$Z$2:$Z$495&lt;=4)*('CONTROL MASTER'!$AB$2:$AB$495&gt;=4)*('CONTROL MASTER'!$AA$2:$AA$495&lt;=4)*('CONTROL MASTER'!$AC$2:$AC$495&gt;=4))*ROW('CONTROL MASTER'!$S$2:$S$495))-(ROW('CONTROL MASTER'!#REF!)-1)))&amp;TRIM(MID(SUBSTITUTE(SUBSTITUTE(INDEX('CONTROL MASTER'!$N$2:$N$495,(SUMPRODUCT((('CONTROL MASTER'!$S$2:$S$495=11)*('CONTROL MASTER'!$Z$2:$Z$495&lt;=4)*('CONTROL MASTER'!$AB$2:$AB$495&gt;=4)*('CONTROL MASTER'!$AA$2:$AA$495&lt;=4)*('CONTROL MASTER'!$AC$2:$AC$495&gt;=4))*ROW('CONTROL MASTER'!$S$2:$S$495))-(ROW('CONTROL MASTER'!#REF!)-1))),":",","),",",REPT(" ",50)),(((INDEX('CONTROL MASTER'!$Y$2:$Y$495,(SUMPRODUCT((('CONTROL MASTER'!$S$2:$S$495=11)*('CONTROL MASTER'!$Z$2:$Z$495&lt;=4)*('CONTROL MASTER'!$AB$2:$AB$495&gt;=4)*('CONTROL MASTER'!$AA$2:$AA$495&lt;=4)*('CONTROL MASTER'!$AC$2:$AC$495&gt;=4))*ROW('CONTROL MASTER'!$S$2:$S$495))-(ROW('CONTROL MASTER'!#REF!)-1)))+((4-INDEX('CONTROL MASTER'!$Z$2:$Z$495,(SUMPRODUCT((('CONTROL MASTER'!$S$2:$S$495=11)*('CONTROL MASTER'!$Z$2:$Z$495&lt;=4)*('CONTROL MASTER'!$AB$2:$AB$495&gt;=4)*('CONTROL MASTER'!$AA$2:$AA$495&lt;=4)*('CONTROL MASTER'!$AC$2:$AC$495&gt;=4))*ROW('CONTROL MASTER'!$S$2:$S$495))-(ROW('CONTROL MASTER'!#REF!)-1))))*(INDEX('CONTROL MASTER'!$AC$2:$AC$495,(SUMPRODUCT((('CONTROL MASTER'!$S$2:$S$495=11)*('CONTROL MASTER'!$Z$2:$Z$495&lt;=4)*('CONTROL MASTER'!$AB$2:$AB$495&gt;=4)*('CONTROL MASTER'!$AA$2:$AA$495&lt;=4)*('CONTROL MASTER'!$AC$2:$AC$495&gt;=4))*ROW('CONTROL MASTER'!$S$2:$S$495))-(ROW('CONTROL MASTER'!#REF!)-1)))-INDEX('CONTROL MASTER'!$AA$2:$AA$495,(SUMPRODUCT((('CONTROL MASTER'!$S$2:$S$495=11)*('CONTROL MASTER'!$Z$2:$Z$495&lt;=4)*('CONTROL MASTER'!$AB$2:$AB$495&gt;=4)*('CONTROL MASTER'!$AA$2:$AA$495&lt;=4)*('CONTROL MASTER'!$AC$2:$AC$495&gt;=4))*ROW('CONTROL MASTER'!$S$2:$S$495))-(ROW('CONTROL MASTER'!#REF!)-1)))+1)+(4-INDEX('CONTROL MASTER'!$AA$2:$AA$495,(SUMPRODUCT((('CONTROL MASTER'!$S$2:$S$495=11)*('CONTROL MASTER'!$Z$2:$Z$495&lt;=4)*('CONTROL MASTER'!$AB$2:$AB$495&gt;=4)*('CONTROL MASTER'!$AA$2:$AA$495&lt;=4)*('CONTROL MASTER'!$AC$2:$AC$495&gt;=4))*ROW('CONTROL MASTER'!$S$2:$S$495))-(ROW('CONTROL MASTER'!#REF!)-1))))+1)))-1)*50+1,50))&amp;"_"&amp;INDEX('CONTROL MASTER'!$P$2:$P$495,(SUMPRODUCT((('CONTROL MASTER'!$S$2:$S$495=11)*('CONTROL MASTER'!$Z$2:$Z$495&lt;=4)*('CONTROL MASTER'!$AB$2:$AB$495&gt;=4)*('CONTROL MASTER'!$AA$2:$AA$495&lt;=4)*('CONTROL MASTER'!$AC$2:$AC$495&gt;=4))*ROW('CONTROL MASTER'!$S$2:$S$495))-(ROW('CONTROL MASTER'!#REF!)-1))),"")),"")</f>
        <v/>
      </c>
      <c r="F146" s="10" t="str">
        <f>IFERROR(IF(SUMPRODUCT((('CONTROL MASTER'!$S$2:$S$495=11)*('CONTROL MASTER'!$T$2:$T$495&lt;=4)*('CONTROL MASTER'!$V$2:$V$495&gt;=4)*('CONTROL MASTER'!$U$2:$U$495&lt;=5)*('CONTROL MASTER'!$W$2:$W$495&gt;=5))*ROW('CONTROL MASTER'!$S$2:$S$495))&gt;0,INDEX('CONTROL MASTER'!$X$2:$X$495,(SUMPRODUCT((('CONTROL MASTER'!$S$2:$S$495=11)*('CONTROL MASTER'!$T$2:$T$495&lt;=4)*('CONTROL MASTER'!$V$2:$V$495&gt;=4)*('CONTROL MASTER'!$U$2:$U$495&lt;=5)*('CONTROL MASTER'!$W$2:$W$495&gt;=5))*ROW('CONTROL MASTER'!$S$2:$S$495))-(ROW('CONTROL MASTER'!#REF!)-1)))&amp;TRIM(MID(SUBSTITUTE(SUBSTITUTE(INDEX('CONTROL MASTER'!$N$2:$N$495,(SUMPRODUCT((('CONTROL MASTER'!$S$2:$S$495=11)*('CONTROL MASTER'!$T$2:$T$495&lt;=4)*('CONTROL MASTER'!$V$2:$V$495&gt;=4)*('CONTROL MASTER'!$U$2:$U$495&lt;=5)*('CONTROL MASTER'!$W$2:$W$495&gt;=5))*ROW('CONTROL MASTER'!$S$2:$S$495))-(ROW('CONTROL MASTER'!#REF!)-1))),":",","),",",REPT(" ",50)),((((4-INDEX('CONTROL MASTER'!$T$2:$T$495,(SUMPRODUCT((('CONTROL MASTER'!$S$2:$S$495=11)*('CONTROL MASTER'!$T$2:$T$495&lt;=4)*('CONTROL MASTER'!$V$2:$V$495&gt;=4)*('CONTROL MASTER'!$U$2:$U$495&lt;=5)*('CONTROL MASTER'!$W$2:$W$495&gt;=5))*ROW('CONTROL MASTER'!$S$2:$S$495))-(ROW('CONTROL MASTER'!#REF!)-1))))*(INDEX('CONTROL MASTER'!$W$2:$W$495,(SUMPRODUCT((('CONTROL MASTER'!$S$2:$S$495=11)*('CONTROL MASTER'!$T$2:$T$495&lt;=4)*('CONTROL MASTER'!$V$2:$V$495&gt;=4)*('CONTROL MASTER'!$U$2:$U$495&lt;=5)*('CONTROL MASTER'!$W$2:$W$495&gt;=5))*ROW('CONTROL MASTER'!$S$2:$S$495))-(ROW('CONTROL MASTER'!#REF!)-1)))-INDEX('CONTROL MASTER'!$U$2:$U$495,(SUMPRODUCT((('CONTROL MASTER'!$S$2:$S$495=11)*('CONTROL MASTER'!$T$2:$T$495&lt;=4)*('CONTROL MASTER'!$V$2:$V$495&gt;=4)*('CONTROL MASTER'!$U$2:$U$495&lt;=5)*('CONTROL MASTER'!$W$2:$W$495&gt;=5))*ROW('CONTROL MASTER'!$S$2:$S$495))-(ROW('CONTROL MASTER'!#REF!)-1)))+1)+(5-INDEX('CONTROL MASTER'!$U$2:$U$495,(SUMPRODUCT((('CONTROL MASTER'!$S$2:$S$495=11)*('CONTROL MASTER'!$T$2:$T$495&lt;=4)*('CONTROL MASTER'!$V$2:$V$495&gt;=4)*('CONTROL MASTER'!$U$2:$U$495&lt;=5)*('CONTROL MASTER'!$W$2:$W$495&gt;=5))*ROW('CONTROL MASTER'!$S$2:$S$495))-(ROW('CONTROL MASTER'!#REF!)-1))))+1))-1)*50+1,50))&amp;"_"&amp;INDEX('CONTROL MASTER'!$P$2:$P$495,(SUMPRODUCT((('CONTROL MASTER'!$S$2:$S$495=11)*('CONTROL MASTER'!$T$2:$T$495&lt;=4)*('CONTROL MASTER'!$V$2:$V$495&gt;=4)*('CONTROL MASTER'!$U$2:$U$495&lt;=5)*('CONTROL MASTER'!$W$2:$W$495&gt;=5))*ROW('CONTROL MASTER'!$S$2:$S$495))-(ROW('CONTROL MASTER'!#REF!)-1))),IF(SUMPRODUCT((('CONTROL MASTER'!$S$2:$S$495=11)*('CONTROL MASTER'!$Z$2:$Z$495&lt;=4)*('CONTROL MASTER'!$AB$2:$AB$495&gt;=4)*('CONTROL MASTER'!$AA$2:$AA$495&lt;=5)*('CONTROL MASTER'!$AC$2:$AC$495&gt;=5))*ROW('CONTROL MASTER'!$S$2:$S$495))&gt;0,INDEX('CONTROL MASTER'!$X$2:$X$495,(SUMPRODUCT((('CONTROL MASTER'!$S$2:$S$495=11)*('CONTROL MASTER'!$Z$2:$Z$495&lt;=4)*('CONTROL MASTER'!$AB$2:$AB$495&gt;=4)*('CONTROL MASTER'!$AA$2:$AA$495&lt;=5)*('CONTROL MASTER'!$AC$2:$AC$495&gt;=5))*ROW('CONTROL MASTER'!$S$2:$S$495))-(ROW('CONTROL MASTER'!#REF!)-1)))&amp;TRIM(MID(SUBSTITUTE(SUBSTITUTE(INDEX('CONTROL MASTER'!$N$2:$N$495,(SUMPRODUCT((('CONTROL MASTER'!$S$2:$S$495=11)*('CONTROL MASTER'!$Z$2:$Z$495&lt;=4)*('CONTROL MASTER'!$AB$2:$AB$495&gt;=4)*('CONTROL MASTER'!$AA$2:$AA$495&lt;=5)*('CONTROL MASTER'!$AC$2:$AC$495&gt;=5))*ROW('CONTROL MASTER'!$S$2:$S$495))-(ROW('CONTROL MASTER'!#REF!)-1))),":",","),",",REPT(" ",50)),(((INDEX('CONTROL MASTER'!$Y$2:$Y$495,(SUMPRODUCT((('CONTROL MASTER'!$S$2:$S$495=11)*('CONTROL MASTER'!$Z$2:$Z$495&lt;=4)*('CONTROL MASTER'!$AB$2:$AB$495&gt;=4)*('CONTROL MASTER'!$AA$2:$AA$495&lt;=5)*('CONTROL MASTER'!$AC$2:$AC$495&gt;=5))*ROW('CONTROL MASTER'!$S$2:$S$495))-(ROW('CONTROL MASTER'!#REF!)-1)))+((4-INDEX('CONTROL MASTER'!$Z$2:$Z$495,(SUMPRODUCT((('CONTROL MASTER'!$S$2:$S$495=11)*('CONTROL MASTER'!$Z$2:$Z$495&lt;=4)*('CONTROL MASTER'!$AB$2:$AB$495&gt;=4)*('CONTROL MASTER'!$AA$2:$AA$495&lt;=5)*('CONTROL MASTER'!$AC$2:$AC$495&gt;=5))*ROW('CONTROL MASTER'!$S$2:$S$495))-(ROW('CONTROL MASTER'!#REF!)-1))))*(INDEX('CONTROL MASTER'!$AC$2:$AC$495,(SUMPRODUCT((('CONTROL MASTER'!$S$2:$S$495=11)*('CONTROL MASTER'!$Z$2:$Z$495&lt;=4)*('CONTROL MASTER'!$AB$2:$AB$495&gt;=4)*('CONTROL MASTER'!$AA$2:$AA$495&lt;=5)*('CONTROL MASTER'!$AC$2:$AC$495&gt;=5))*ROW('CONTROL MASTER'!$S$2:$S$495))-(ROW('CONTROL MASTER'!#REF!)-1)))-INDEX('CONTROL MASTER'!$AA$2:$AA$495,(SUMPRODUCT((('CONTROL MASTER'!$S$2:$S$495=11)*('CONTROL MASTER'!$Z$2:$Z$495&lt;=4)*('CONTROL MASTER'!$AB$2:$AB$495&gt;=4)*('CONTROL MASTER'!$AA$2:$AA$495&lt;=5)*('CONTROL MASTER'!$AC$2:$AC$495&gt;=5))*ROW('CONTROL MASTER'!$S$2:$S$495))-(ROW('CONTROL MASTER'!#REF!)-1)))+1)+(5-INDEX('CONTROL MASTER'!$AA$2:$AA$495,(SUMPRODUCT((('CONTROL MASTER'!$S$2:$S$495=11)*('CONTROL MASTER'!$Z$2:$Z$495&lt;=4)*('CONTROL MASTER'!$AB$2:$AB$495&gt;=4)*('CONTROL MASTER'!$AA$2:$AA$495&lt;=5)*('CONTROL MASTER'!$AC$2:$AC$495&gt;=5))*ROW('CONTROL MASTER'!$S$2:$S$495))-(ROW('CONTROL MASTER'!#REF!)-1))))+1)))-1)*50+1,50))&amp;"_"&amp;INDEX('CONTROL MASTER'!$P$2:$P$495,(SUMPRODUCT((('CONTROL MASTER'!$S$2:$S$495=11)*('CONTROL MASTER'!$Z$2:$Z$495&lt;=4)*('CONTROL MASTER'!$AB$2:$AB$495&gt;=4)*('CONTROL MASTER'!$AA$2:$AA$495&lt;=5)*('CONTROL MASTER'!$AC$2:$AC$495&gt;=5))*ROW('CONTROL MASTER'!$S$2:$S$495))-(ROW('CONTROL MASTER'!#REF!)-1))),"")),"")</f>
        <v/>
      </c>
      <c r="G146" s="10" t="str">
        <f>IFERROR(IF(SUMPRODUCT((('CONTROL MASTER'!$S$2:$S$495=11)*('CONTROL MASTER'!$T$2:$T$495&lt;=4)*('CONTROL MASTER'!$V$2:$V$495&gt;=4)*('CONTROL MASTER'!$U$2:$U$495&lt;=6)*('CONTROL MASTER'!$W$2:$W$495&gt;=6))*ROW('CONTROL MASTER'!$S$2:$S$495))&gt;0,INDEX('CONTROL MASTER'!$X$2:$X$495,(SUMPRODUCT((('CONTROL MASTER'!$S$2:$S$495=11)*('CONTROL MASTER'!$T$2:$T$495&lt;=4)*('CONTROL MASTER'!$V$2:$V$495&gt;=4)*('CONTROL MASTER'!$U$2:$U$495&lt;=6)*('CONTROL MASTER'!$W$2:$W$495&gt;=6))*ROW('CONTROL MASTER'!$S$2:$S$495))-(ROW('CONTROL MASTER'!#REF!)-1)))&amp;TRIM(MID(SUBSTITUTE(SUBSTITUTE(INDEX('CONTROL MASTER'!$N$2:$N$495,(SUMPRODUCT((('CONTROL MASTER'!$S$2:$S$495=11)*('CONTROL MASTER'!$T$2:$T$495&lt;=4)*('CONTROL MASTER'!$V$2:$V$495&gt;=4)*('CONTROL MASTER'!$U$2:$U$495&lt;=6)*('CONTROL MASTER'!$W$2:$W$495&gt;=6))*ROW('CONTROL MASTER'!$S$2:$S$495))-(ROW('CONTROL MASTER'!#REF!)-1))),":",","),",",REPT(" ",50)),((((4-INDEX('CONTROL MASTER'!$T$2:$T$495,(SUMPRODUCT((('CONTROL MASTER'!$S$2:$S$495=11)*('CONTROL MASTER'!$T$2:$T$495&lt;=4)*('CONTROL MASTER'!$V$2:$V$495&gt;=4)*('CONTROL MASTER'!$U$2:$U$495&lt;=6)*('CONTROL MASTER'!$W$2:$W$495&gt;=6))*ROW('CONTROL MASTER'!$S$2:$S$495))-(ROW('CONTROL MASTER'!#REF!)-1))))*(INDEX('CONTROL MASTER'!$W$2:$W$495,(SUMPRODUCT((('CONTROL MASTER'!$S$2:$S$495=11)*('CONTROL MASTER'!$T$2:$T$495&lt;=4)*('CONTROL MASTER'!$V$2:$V$495&gt;=4)*('CONTROL MASTER'!$U$2:$U$495&lt;=6)*('CONTROL MASTER'!$W$2:$W$495&gt;=6))*ROW('CONTROL MASTER'!$S$2:$S$495))-(ROW('CONTROL MASTER'!#REF!)-1)))-INDEX('CONTROL MASTER'!$U$2:$U$495,(SUMPRODUCT((('CONTROL MASTER'!$S$2:$S$495=11)*('CONTROL MASTER'!$T$2:$T$495&lt;=4)*('CONTROL MASTER'!$V$2:$V$495&gt;=4)*('CONTROL MASTER'!$U$2:$U$495&lt;=6)*('CONTROL MASTER'!$W$2:$W$495&gt;=6))*ROW('CONTROL MASTER'!$S$2:$S$495))-(ROW('CONTROL MASTER'!#REF!)-1)))+1)+(6-INDEX('CONTROL MASTER'!$U$2:$U$495,(SUMPRODUCT((('CONTROL MASTER'!$S$2:$S$495=11)*('CONTROL MASTER'!$T$2:$T$495&lt;=4)*('CONTROL MASTER'!$V$2:$V$495&gt;=4)*('CONTROL MASTER'!$U$2:$U$495&lt;=6)*('CONTROL MASTER'!$W$2:$W$495&gt;=6))*ROW('CONTROL MASTER'!$S$2:$S$495))-(ROW('CONTROL MASTER'!#REF!)-1))))+1))-1)*50+1,50))&amp;"_"&amp;INDEX('CONTROL MASTER'!$P$2:$P$495,(SUMPRODUCT((('CONTROL MASTER'!$S$2:$S$495=11)*('CONTROL MASTER'!$T$2:$T$495&lt;=4)*('CONTROL MASTER'!$V$2:$V$495&gt;=4)*('CONTROL MASTER'!$U$2:$U$495&lt;=6)*('CONTROL MASTER'!$W$2:$W$495&gt;=6))*ROW('CONTROL MASTER'!$S$2:$S$495))-(ROW('CONTROL MASTER'!#REF!)-1))),IF(SUMPRODUCT((('CONTROL MASTER'!$S$2:$S$495=11)*('CONTROL MASTER'!$Z$2:$Z$495&lt;=4)*('CONTROL MASTER'!$AB$2:$AB$495&gt;=4)*('CONTROL MASTER'!$AA$2:$AA$495&lt;=6)*('CONTROL MASTER'!$AC$2:$AC$495&gt;=6))*ROW('CONTROL MASTER'!$S$2:$S$495))&gt;0,INDEX('CONTROL MASTER'!$X$2:$X$495,(SUMPRODUCT((('CONTROL MASTER'!$S$2:$S$495=11)*('CONTROL MASTER'!$Z$2:$Z$495&lt;=4)*('CONTROL MASTER'!$AB$2:$AB$495&gt;=4)*('CONTROL MASTER'!$AA$2:$AA$495&lt;=6)*('CONTROL MASTER'!$AC$2:$AC$495&gt;=6))*ROW('CONTROL MASTER'!$S$2:$S$495))-(ROW('CONTROL MASTER'!#REF!)-1)))&amp;TRIM(MID(SUBSTITUTE(SUBSTITUTE(INDEX('CONTROL MASTER'!$N$2:$N$495,(SUMPRODUCT((('CONTROL MASTER'!$S$2:$S$495=11)*('CONTROL MASTER'!$Z$2:$Z$495&lt;=4)*('CONTROL MASTER'!$AB$2:$AB$495&gt;=4)*('CONTROL MASTER'!$AA$2:$AA$495&lt;=6)*('CONTROL MASTER'!$AC$2:$AC$495&gt;=6))*ROW('CONTROL MASTER'!$S$2:$S$495))-(ROW('CONTROL MASTER'!#REF!)-1))),":",","),",",REPT(" ",50)),(((INDEX('CONTROL MASTER'!$Y$2:$Y$495,(SUMPRODUCT((('CONTROL MASTER'!$S$2:$S$495=11)*('CONTROL MASTER'!$Z$2:$Z$495&lt;=4)*('CONTROL MASTER'!$AB$2:$AB$495&gt;=4)*('CONTROL MASTER'!$AA$2:$AA$495&lt;=6)*('CONTROL MASTER'!$AC$2:$AC$495&gt;=6))*ROW('CONTROL MASTER'!$S$2:$S$495))-(ROW('CONTROL MASTER'!#REF!)-1)))+((4-INDEX('CONTROL MASTER'!$Z$2:$Z$495,(SUMPRODUCT((('CONTROL MASTER'!$S$2:$S$495=11)*('CONTROL MASTER'!$Z$2:$Z$495&lt;=4)*('CONTROL MASTER'!$AB$2:$AB$495&gt;=4)*('CONTROL MASTER'!$AA$2:$AA$495&lt;=6)*('CONTROL MASTER'!$AC$2:$AC$495&gt;=6))*ROW('CONTROL MASTER'!$S$2:$S$495))-(ROW('CONTROL MASTER'!#REF!)-1))))*(INDEX('CONTROL MASTER'!$AC$2:$AC$495,(SUMPRODUCT((('CONTROL MASTER'!$S$2:$S$495=11)*('CONTROL MASTER'!$Z$2:$Z$495&lt;=4)*('CONTROL MASTER'!$AB$2:$AB$495&gt;=4)*('CONTROL MASTER'!$AA$2:$AA$495&lt;=6)*('CONTROL MASTER'!$AC$2:$AC$495&gt;=6))*ROW('CONTROL MASTER'!$S$2:$S$495))-(ROW('CONTROL MASTER'!#REF!)-1)))-INDEX('CONTROL MASTER'!$AA$2:$AA$495,(SUMPRODUCT((('CONTROL MASTER'!$S$2:$S$495=11)*('CONTROL MASTER'!$Z$2:$Z$495&lt;=4)*('CONTROL MASTER'!$AB$2:$AB$495&gt;=4)*('CONTROL MASTER'!$AA$2:$AA$495&lt;=6)*('CONTROL MASTER'!$AC$2:$AC$495&gt;=6))*ROW('CONTROL MASTER'!$S$2:$S$495))-(ROW('CONTROL MASTER'!#REF!)-1)))+1)+(6-INDEX('CONTROL MASTER'!$AA$2:$AA$495,(SUMPRODUCT((('CONTROL MASTER'!$S$2:$S$495=11)*('CONTROL MASTER'!$Z$2:$Z$495&lt;=4)*('CONTROL MASTER'!$AB$2:$AB$495&gt;=4)*('CONTROL MASTER'!$AA$2:$AA$495&lt;=6)*('CONTROL MASTER'!$AC$2:$AC$495&gt;=6))*ROW('CONTROL MASTER'!$S$2:$S$495))-(ROW('CONTROL MASTER'!#REF!)-1))))+1)))-1)*50+1,50))&amp;"_"&amp;INDEX('CONTROL MASTER'!$P$2:$P$495,(SUMPRODUCT((('CONTROL MASTER'!$S$2:$S$495=11)*('CONTROL MASTER'!$Z$2:$Z$495&lt;=4)*('CONTROL MASTER'!$AB$2:$AB$495&gt;=4)*('CONTROL MASTER'!$AA$2:$AA$495&lt;=6)*('CONTROL MASTER'!$AC$2:$AC$495&gt;=6))*ROW('CONTROL MASTER'!$S$2:$S$495))-(ROW('CONTROL MASTER'!#REF!)-1))),"")),"")</f>
        <v/>
      </c>
      <c r="H146" s="10" t="str">
        <f>IFERROR(IF(SUMPRODUCT((('CONTROL MASTER'!$S$2:$S$495=11)*('CONTROL MASTER'!$T$2:$T$495&lt;=4)*('CONTROL MASTER'!$V$2:$V$495&gt;=4)*('CONTROL MASTER'!$U$2:$U$495&lt;=7)*('CONTROL MASTER'!$W$2:$W$495&gt;=7))*ROW('CONTROL MASTER'!$S$2:$S$495))&gt;0,INDEX('CONTROL MASTER'!$X$2:$X$495,(SUMPRODUCT((('CONTROL MASTER'!$S$2:$S$495=11)*('CONTROL MASTER'!$T$2:$T$495&lt;=4)*('CONTROL MASTER'!$V$2:$V$495&gt;=4)*('CONTROL MASTER'!$U$2:$U$495&lt;=7)*('CONTROL MASTER'!$W$2:$W$495&gt;=7))*ROW('CONTROL MASTER'!$S$2:$S$495))-(ROW('CONTROL MASTER'!#REF!)-1)))&amp;TRIM(MID(SUBSTITUTE(SUBSTITUTE(INDEX('CONTROL MASTER'!$N$2:$N$495,(SUMPRODUCT((('CONTROL MASTER'!$S$2:$S$495=11)*('CONTROL MASTER'!$T$2:$T$495&lt;=4)*('CONTROL MASTER'!$V$2:$V$495&gt;=4)*('CONTROL MASTER'!$U$2:$U$495&lt;=7)*('CONTROL MASTER'!$W$2:$W$495&gt;=7))*ROW('CONTROL MASTER'!$S$2:$S$495))-(ROW('CONTROL MASTER'!#REF!)-1))),":",","),",",REPT(" ",50)),((((4-INDEX('CONTROL MASTER'!$T$2:$T$495,(SUMPRODUCT((('CONTROL MASTER'!$S$2:$S$495=11)*('CONTROL MASTER'!$T$2:$T$495&lt;=4)*('CONTROL MASTER'!$V$2:$V$495&gt;=4)*('CONTROL MASTER'!$U$2:$U$495&lt;=7)*('CONTROL MASTER'!$W$2:$W$495&gt;=7))*ROW('CONTROL MASTER'!$S$2:$S$495))-(ROW('CONTROL MASTER'!#REF!)-1))))*(INDEX('CONTROL MASTER'!$W$2:$W$495,(SUMPRODUCT((('CONTROL MASTER'!$S$2:$S$495=11)*('CONTROL MASTER'!$T$2:$T$495&lt;=4)*('CONTROL MASTER'!$V$2:$V$495&gt;=4)*('CONTROL MASTER'!$U$2:$U$495&lt;=7)*('CONTROL MASTER'!$W$2:$W$495&gt;=7))*ROW('CONTROL MASTER'!$S$2:$S$495))-(ROW('CONTROL MASTER'!#REF!)-1)))-INDEX('CONTROL MASTER'!$U$2:$U$495,(SUMPRODUCT((('CONTROL MASTER'!$S$2:$S$495=11)*('CONTROL MASTER'!$T$2:$T$495&lt;=4)*('CONTROL MASTER'!$V$2:$V$495&gt;=4)*('CONTROL MASTER'!$U$2:$U$495&lt;=7)*('CONTROL MASTER'!$W$2:$W$495&gt;=7))*ROW('CONTROL MASTER'!$S$2:$S$495))-(ROW('CONTROL MASTER'!#REF!)-1)))+1)+(7-INDEX('CONTROL MASTER'!$U$2:$U$495,(SUMPRODUCT((('CONTROL MASTER'!$S$2:$S$495=11)*('CONTROL MASTER'!$T$2:$T$495&lt;=4)*('CONTROL MASTER'!$V$2:$V$495&gt;=4)*('CONTROL MASTER'!$U$2:$U$495&lt;=7)*('CONTROL MASTER'!$W$2:$W$495&gt;=7))*ROW('CONTROL MASTER'!$S$2:$S$495))-(ROW('CONTROL MASTER'!#REF!)-1))))+1))-1)*50+1,50))&amp;"_"&amp;INDEX('CONTROL MASTER'!$P$2:$P$495,(SUMPRODUCT((('CONTROL MASTER'!$S$2:$S$495=11)*('CONTROL MASTER'!$T$2:$T$495&lt;=4)*('CONTROL MASTER'!$V$2:$V$495&gt;=4)*('CONTROL MASTER'!$U$2:$U$495&lt;=7)*('CONTROL MASTER'!$W$2:$W$495&gt;=7))*ROW('CONTROL MASTER'!$S$2:$S$495))-(ROW('CONTROL MASTER'!#REF!)-1))),IF(SUMPRODUCT((('CONTROL MASTER'!$S$2:$S$495=11)*('CONTROL MASTER'!$Z$2:$Z$495&lt;=4)*('CONTROL MASTER'!$AB$2:$AB$495&gt;=4)*('CONTROL MASTER'!$AA$2:$AA$495&lt;=7)*('CONTROL MASTER'!$AC$2:$AC$495&gt;=7))*ROW('CONTROL MASTER'!$S$2:$S$495))&gt;0,INDEX('CONTROL MASTER'!$X$2:$X$495,(SUMPRODUCT((('CONTROL MASTER'!$S$2:$S$495=11)*('CONTROL MASTER'!$Z$2:$Z$495&lt;=4)*('CONTROL MASTER'!$AB$2:$AB$495&gt;=4)*('CONTROL MASTER'!$AA$2:$AA$495&lt;=7)*('CONTROL MASTER'!$AC$2:$AC$495&gt;=7))*ROW('CONTROL MASTER'!$S$2:$S$495))-(ROW('CONTROL MASTER'!#REF!)-1)))&amp;TRIM(MID(SUBSTITUTE(SUBSTITUTE(INDEX('CONTROL MASTER'!$N$2:$N$495,(SUMPRODUCT((('CONTROL MASTER'!$S$2:$S$495=11)*('CONTROL MASTER'!$Z$2:$Z$495&lt;=4)*('CONTROL MASTER'!$AB$2:$AB$495&gt;=4)*('CONTROL MASTER'!$AA$2:$AA$495&lt;=7)*('CONTROL MASTER'!$AC$2:$AC$495&gt;=7))*ROW('CONTROL MASTER'!$S$2:$S$495))-(ROW('CONTROL MASTER'!#REF!)-1))),":",","),",",REPT(" ",50)),(((INDEX('CONTROL MASTER'!$Y$2:$Y$495,(SUMPRODUCT((('CONTROL MASTER'!$S$2:$S$495=11)*('CONTROL MASTER'!$Z$2:$Z$495&lt;=4)*('CONTROL MASTER'!$AB$2:$AB$495&gt;=4)*('CONTROL MASTER'!$AA$2:$AA$495&lt;=7)*('CONTROL MASTER'!$AC$2:$AC$495&gt;=7))*ROW('CONTROL MASTER'!$S$2:$S$495))-(ROW('CONTROL MASTER'!#REF!)-1)))+((4-INDEX('CONTROL MASTER'!$Z$2:$Z$495,(SUMPRODUCT((('CONTROL MASTER'!$S$2:$S$495=11)*('CONTROL MASTER'!$Z$2:$Z$495&lt;=4)*('CONTROL MASTER'!$AB$2:$AB$495&gt;=4)*('CONTROL MASTER'!$AA$2:$AA$495&lt;=7)*('CONTROL MASTER'!$AC$2:$AC$495&gt;=7))*ROW('CONTROL MASTER'!$S$2:$S$495))-(ROW('CONTROL MASTER'!#REF!)-1))))*(INDEX('CONTROL MASTER'!$AC$2:$AC$495,(SUMPRODUCT((('CONTROL MASTER'!$S$2:$S$495=11)*('CONTROL MASTER'!$Z$2:$Z$495&lt;=4)*('CONTROL MASTER'!$AB$2:$AB$495&gt;=4)*('CONTROL MASTER'!$AA$2:$AA$495&lt;=7)*('CONTROL MASTER'!$AC$2:$AC$495&gt;=7))*ROW('CONTROL MASTER'!$S$2:$S$495))-(ROW('CONTROL MASTER'!#REF!)-1)))-INDEX('CONTROL MASTER'!$AA$2:$AA$495,(SUMPRODUCT((('CONTROL MASTER'!$S$2:$S$495=11)*('CONTROL MASTER'!$Z$2:$Z$495&lt;=4)*('CONTROL MASTER'!$AB$2:$AB$495&gt;=4)*('CONTROL MASTER'!$AA$2:$AA$495&lt;=7)*('CONTROL MASTER'!$AC$2:$AC$495&gt;=7))*ROW('CONTROL MASTER'!$S$2:$S$495))-(ROW('CONTROL MASTER'!#REF!)-1)))+1)+(7-INDEX('CONTROL MASTER'!$AA$2:$AA$495,(SUMPRODUCT((('CONTROL MASTER'!$S$2:$S$495=11)*('CONTROL MASTER'!$Z$2:$Z$495&lt;=4)*('CONTROL MASTER'!$AB$2:$AB$495&gt;=4)*('CONTROL MASTER'!$AA$2:$AA$495&lt;=7)*('CONTROL MASTER'!$AC$2:$AC$495&gt;=7))*ROW('CONTROL MASTER'!$S$2:$S$495))-(ROW('CONTROL MASTER'!#REF!)-1))))+1)))-1)*50+1,50))&amp;"_"&amp;INDEX('CONTROL MASTER'!$P$2:$P$495,(SUMPRODUCT((('CONTROL MASTER'!$S$2:$S$495=11)*('CONTROL MASTER'!$Z$2:$Z$495&lt;=4)*('CONTROL MASTER'!$AB$2:$AB$495&gt;=4)*('CONTROL MASTER'!$AA$2:$AA$495&lt;=7)*('CONTROL MASTER'!$AC$2:$AC$495&gt;=7))*ROW('CONTROL MASTER'!$S$2:$S$495))-(ROW('CONTROL MASTER'!#REF!)-1))),"")),"")</f>
        <v/>
      </c>
      <c r="I146" s="10" t="str">
        <f>IFERROR(IF(SUMPRODUCT((('CONTROL MASTER'!$S$2:$S$495=11)*('CONTROL MASTER'!$T$2:$T$495&lt;=4)*('CONTROL MASTER'!$V$2:$V$495&gt;=4)*('CONTROL MASTER'!$U$2:$U$495&lt;=8)*('CONTROL MASTER'!$W$2:$W$495&gt;=8))*ROW('CONTROL MASTER'!$S$2:$S$495))&gt;0,INDEX('CONTROL MASTER'!$X$2:$X$495,(SUMPRODUCT((('CONTROL MASTER'!$S$2:$S$495=11)*('CONTROL MASTER'!$T$2:$T$495&lt;=4)*('CONTROL MASTER'!$V$2:$V$495&gt;=4)*('CONTROL MASTER'!$U$2:$U$495&lt;=8)*('CONTROL MASTER'!$W$2:$W$495&gt;=8))*ROW('CONTROL MASTER'!$S$2:$S$495))-(ROW('CONTROL MASTER'!#REF!)-1)))&amp;TRIM(MID(SUBSTITUTE(SUBSTITUTE(INDEX('CONTROL MASTER'!$N$2:$N$495,(SUMPRODUCT((('CONTROL MASTER'!$S$2:$S$495=11)*('CONTROL MASTER'!$T$2:$T$495&lt;=4)*('CONTROL MASTER'!$V$2:$V$495&gt;=4)*('CONTROL MASTER'!$U$2:$U$495&lt;=8)*('CONTROL MASTER'!$W$2:$W$495&gt;=8))*ROW('CONTROL MASTER'!$S$2:$S$495))-(ROW('CONTROL MASTER'!#REF!)-1))),":",","),",",REPT(" ",50)),((((4-INDEX('CONTROL MASTER'!$T$2:$T$495,(SUMPRODUCT((('CONTROL MASTER'!$S$2:$S$495=11)*('CONTROL MASTER'!$T$2:$T$495&lt;=4)*('CONTROL MASTER'!$V$2:$V$495&gt;=4)*('CONTROL MASTER'!$U$2:$U$495&lt;=8)*('CONTROL MASTER'!$W$2:$W$495&gt;=8))*ROW('CONTROL MASTER'!$S$2:$S$495))-(ROW('CONTROL MASTER'!#REF!)-1))))*(INDEX('CONTROL MASTER'!$W$2:$W$495,(SUMPRODUCT((('CONTROL MASTER'!$S$2:$S$495=11)*('CONTROL MASTER'!$T$2:$T$495&lt;=4)*('CONTROL MASTER'!$V$2:$V$495&gt;=4)*('CONTROL MASTER'!$U$2:$U$495&lt;=8)*('CONTROL MASTER'!$W$2:$W$495&gt;=8))*ROW('CONTROL MASTER'!$S$2:$S$495))-(ROW('CONTROL MASTER'!#REF!)-1)))-INDEX('CONTROL MASTER'!$U$2:$U$495,(SUMPRODUCT((('CONTROL MASTER'!$S$2:$S$495=11)*('CONTROL MASTER'!$T$2:$T$495&lt;=4)*('CONTROL MASTER'!$V$2:$V$495&gt;=4)*('CONTROL MASTER'!$U$2:$U$495&lt;=8)*('CONTROL MASTER'!$W$2:$W$495&gt;=8))*ROW('CONTROL MASTER'!$S$2:$S$495))-(ROW('CONTROL MASTER'!#REF!)-1)))+1)+(8-INDEX('CONTROL MASTER'!$U$2:$U$495,(SUMPRODUCT((('CONTROL MASTER'!$S$2:$S$495=11)*('CONTROL MASTER'!$T$2:$T$495&lt;=4)*('CONTROL MASTER'!$V$2:$V$495&gt;=4)*('CONTROL MASTER'!$U$2:$U$495&lt;=8)*('CONTROL MASTER'!$W$2:$W$495&gt;=8))*ROW('CONTROL MASTER'!$S$2:$S$495))-(ROW('CONTROL MASTER'!#REF!)-1))))+1))-1)*50+1,50))&amp;"_"&amp;INDEX('CONTROL MASTER'!$P$2:$P$495,(SUMPRODUCT((('CONTROL MASTER'!$S$2:$S$495=11)*('CONTROL MASTER'!$T$2:$T$495&lt;=4)*('CONTROL MASTER'!$V$2:$V$495&gt;=4)*('CONTROL MASTER'!$U$2:$U$495&lt;=8)*('CONTROL MASTER'!$W$2:$W$495&gt;=8))*ROW('CONTROL MASTER'!$S$2:$S$495))-(ROW('CONTROL MASTER'!#REF!)-1))),IF(SUMPRODUCT((('CONTROL MASTER'!$S$2:$S$495=11)*('CONTROL MASTER'!$Z$2:$Z$495&lt;=4)*('CONTROL MASTER'!$AB$2:$AB$495&gt;=4)*('CONTROL MASTER'!$AA$2:$AA$495&lt;=8)*('CONTROL MASTER'!$AC$2:$AC$495&gt;=8))*ROW('CONTROL MASTER'!$S$2:$S$495))&gt;0,INDEX('CONTROL MASTER'!$X$2:$X$495,(SUMPRODUCT((('CONTROL MASTER'!$S$2:$S$495=11)*('CONTROL MASTER'!$Z$2:$Z$495&lt;=4)*('CONTROL MASTER'!$AB$2:$AB$495&gt;=4)*('CONTROL MASTER'!$AA$2:$AA$495&lt;=8)*('CONTROL MASTER'!$AC$2:$AC$495&gt;=8))*ROW('CONTROL MASTER'!$S$2:$S$495))-(ROW('CONTROL MASTER'!#REF!)-1)))&amp;TRIM(MID(SUBSTITUTE(SUBSTITUTE(INDEX('CONTROL MASTER'!$N$2:$N$495,(SUMPRODUCT((('CONTROL MASTER'!$S$2:$S$495=11)*('CONTROL MASTER'!$Z$2:$Z$495&lt;=4)*('CONTROL MASTER'!$AB$2:$AB$495&gt;=4)*('CONTROL MASTER'!$AA$2:$AA$495&lt;=8)*('CONTROL MASTER'!$AC$2:$AC$495&gt;=8))*ROW('CONTROL MASTER'!$S$2:$S$495))-(ROW('CONTROL MASTER'!#REF!)-1))),":",","),",",REPT(" ",50)),(((INDEX('CONTROL MASTER'!$Y$2:$Y$495,(SUMPRODUCT((('CONTROL MASTER'!$S$2:$S$495=11)*('CONTROL MASTER'!$Z$2:$Z$495&lt;=4)*('CONTROL MASTER'!$AB$2:$AB$495&gt;=4)*('CONTROL MASTER'!$AA$2:$AA$495&lt;=8)*('CONTROL MASTER'!$AC$2:$AC$495&gt;=8))*ROW('CONTROL MASTER'!$S$2:$S$495))-(ROW('CONTROL MASTER'!#REF!)-1)))+((4-INDEX('CONTROL MASTER'!$Z$2:$Z$495,(SUMPRODUCT((('CONTROL MASTER'!$S$2:$S$495=11)*('CONTROL MASTER'!$Z$2:$Z$495&lt;=4)*('CONTROL MASTER'!$AB$2:$AB$495&gt;=4)*('CONTROL MASTER'!$AA$2:$AA$495&lt;=8)*('CONTROL MASTER'!$AC$2:$AC$495&gt;=8))*ROW('CONTROL MASTER'!$S$2:$S$495))-(ROW('CONTROL MASTER'!#REF!)-1))))*(INDEX('CONTROL MASTER'!$AC$2:$AC$495,(SUMPRODUCT((('CONTROL MASTER'!$S$2:$S$495=11)*('CONTROL MASTER'!$Z$2:$Z$495&lt;=4)*('CONTROL MASTER'!$AB$2:$AB$495&gt;=4)*('CONTROL MASTER'!$AA$2:$AA$495&lt;=8)*('CONTROL MASTER'!$AC$2:$AC$495&gt;=8))*ROW('CONTROL MASTER'!$S$2:$S$495))-(ROW('CONTROL MASTER'!#REF!)-1)))-INDEX('CONTROL MASTER'!$AA$2:$AA$495,(SUMPRODUCT((('CONTROL MASTER'!$S$2:$S$495=11)*('CONTROL MASTER'!$Z$2:$Z$495&lt;=4)*('CONTROL MASTER'!$AB$2:$AB$495&gt;=4)*('CONTROL MASTER'!$AA$2:$AA$495&lt;=8)*('CONTROL MASTER'!$AC$2:$AC$495&gt;=8))*ROW('CONTROL MASTER'!$S$2:$S$495))-(ROW('CONTROL MASTER'!#REF!)-1)))+1)+(8-INDEX('CONTROL MASTER'!$AA$2:$AA$495,(SUMPRODUCT((('CONTROL MASTER'!$S$2:$S$495=11)*('CONTROL MASTER'!$Z$2:$Z$495&lt;=4)*('CONTROL MASTER'!$AB$2:$AB$495&gt;=4)*('CONTROL MASTER'!$AA$2:$AA$495&lt;=8)*('CONTROL MASTER'!$AC$2:$AC$495&gt;=8))*ROW('CONTROL MASTER'!$S$2:$S$495))-(ROW('CONTROL MASTER'!#REF!)-1))))+1)))-1)*50+1,50))&amp;"_"&amp;INDEX('CONTROL MASTER'!$P$2:$P$495,(SUMPRODUCT((('CONTROL MASTER'!$S$2:$S$495=11)*('CONTROL MASTER'!$Z$2:$Z$495&lt;=4)*('CONTROL MASTER'!$AB$2:$AB$495&gt;=4)*('CONTROL MASTER'!$AA$2:$AA$495&lt;=8)*('CONTROL MASTER'!$AC$2:$AC$495&gt;=8))*ROW('CONTROL MASTER'!$S$2:$S$495))-(ROW('CONTROL MASTER'!#REF!)-1))),"")),"")</f>
        <v/>
      </c>
      <c r="J146" s="10" t="str">
        <f>IFERROR(IF(SUMPRODUCT((('CONTROL MASTER'!$S$2:$S$495=11)*('CONTROL MASTER'!$T$2:$T$495&lt;=4)*('CONTROL MASTER'!$V$2:$V$495&gt;=4)*('CONTROL MASTER'!$U$2:$U$495&lt;=9)*('CONTROL MASTER'!$W$2:$W$495&gt;=9))*ROW('CONTROL MASTER'!$S$2:$S$495))&gt;0,INDEX('CONTROL MASTER'!$X$2:$X$495,(SUMPRODUCT((('CONTROL MASTER'!$S$2:$S$495=11)*('CONTROL MASTER'!$T$2:$T$495&lt;=4)*('CONTROL MASTER'!$V$2:$V$495&gt;=4)*('CONTROL MASTER'!$U$2:$U$495&lt;=9)*('CONTROL MASTER'!$W$2:$W$495&gt;=9))*ROW('CONTROL MASTER'!$S$2:$S$495))-(ROW('CONTROL MASTER'!#REF!)-1)))&amp;TRIM(MID(SUBSTITUTE(SUBSTITUTE(INDEX('CONTROL MASTER'!$N$2:$N$495,(SUMPRODUCT((('CONTROL MASTER'!$S$2:$S$495=11)*('CONTROL MASTER'!$T$2:$T$495&lt;=4)*('CONTROL MASTER'!$V$2:$V$495&gt;=4)*('CONTROL MASTER'!$U$2:$U$495&lt;=9)*('CONTROL MASTER'!$W$2:$W$495&gt;=9))*ROW('CONTROL MASTER'!$S$2:$S$495))-(ROW('CONTROL MASTER'!#REF!)-1))),":",","),",",REPT(" ",50)),((((4-INDEX('CONTROL MASTER'!$T$2:$T$495,(SUMPRODUCT((('CONTROL MASTER'!$S$2:$S$495=11)*('CONTROL MASTER'!$T$2:$T$495&lt;=4)*('CONTROL MASTER'!$V$2:$V$495&gt;=4)*('CONTROL MASTER'!$U$2:$U$495&lt;=9)*('CONTROL MASTER'!$W$2:$W$495&gt;=9))*ROW('CONTROL MASTER'!$S$2:$S$495))-(ROW('CONTROL MASTER'!#REF!)-1))))*(INDEX('CONTROL MASTER'!$W$2:$W$495,(SUMPRODUCT((('CONTROL MASTER'!$S$2:$S$495=11)*('CONTROL MASTER'!$T$2:$T$495&lt;=4)*('CONTROL MASTER'!$V$2:$V$495&gt;=4)*('CONTROL MASTER'!$U$2:$U$495&lt;=9)*('CONTROL MASTER'!$W$2:$W$495&gt;=9))*ROW('CONTROL MASTER'!$S$2:$S$495))-(ROW('CONTROL MASTER'!#REF!)-1)))-INDEX('CONTROL MASTER'!$U$2:$U$495,(SUMPRODUCT((('CONTROL MASTER'!$S$2:$S$495=11)*('CONTROL MASTER'!$T$2:$T$495&lt;=4)*('CONTROL MASTER'!$V$2:$V$495&gt;=4)*('CONTROL MASTER'!$U$2:$U$495&lt;=9)*('CONTROL MASTER'!$W$2:$W$495&gt;=9))*ROW('CONTROL MASTER'!$S$2:$S$495))-(ROW('CONTROL MASTER'!#REF!)-1)))+1)+(9-INDEX('CONTROL MASTER'!$U$2:$U$495,(SUMPRODUCT((('CONTROL MASTER'!$S$2:$S$495=11)*('CONTROL MASTER'!$T$2:$T$495&lt;=4)*('CONTROL MASTER'!$V$2:$V$495&gt;=4)*('CONTROL MASTER'!$U$2:$U$495&lt;=9)*('CONTROL MASTER'!$W$2:$W$495&gt;=9))*ROW('CONTROL MASTER'!$S$2:$S$495))-(ROW('CONTROL MASTER'!#REF!)-1))))+1))-1)*50+1,50))&amp;"_"&amp;INDEX('CONTROL MASTER'!$P$2:$P$495,(SUMPRODUCT((('CONTROL MASTER'!$S$2:$S$495=11)*('CONTROL MASTER'!$T$2:$T$495&lt;=4)*('CONTROL MASTER'!$V$2:$V$495&gt;=4)*('CONTROL MASTER'!$U$2:$U$495&lt;=9)*('CONTROL MASTER'!$W$2:$W$495&gt;=9))*ROW('CONTROL MASTER'!$S$2:$S$495))-(ROW('CONTROL MASTER'!#REF!)-1))),IF(SUMPRODUCT((('CONTROL MASTER'!$S$2:$S$495=11)*('CONTROL MASTER'!$Z$2:$Z$495&lt;=4)*('CONTROL MASTER'!$AB$2:$AB$495&gt;=4)*('CONTROL MASTER'!$AA$2:$AA$495&lt;=9)*('CONTROL MASTER'!$AC$2:$AC$495&gt;=9))*ROW('CONTROL MASTER'!$S$2:$S$495))&gt;0,INDEX('CONTROL MASTER'!$X$2:$X$495,(SUMPRODUCT((('CONTROL MASTER'!$S$2:$S$495=11)*('CONTROL MASTER'!$Z$2:$Z$495&lt;=4)*('CONTROL MASTER'!$AB$2:$AB$495&gt;=4)*('CONTROL MASTER'!$AA$2:$AA$495&lt;=9)*('CONTROL MASTER'!$AC$2:$AC$495&gt;=9))*ROW('CONTROL MASTER'!$S$2:$S$495))-(ROW('CONTROL MASTER'!#REF!)-1)))&amp;TRIM(MID(SUBSTITUTE(SUBSTITUTE(INDEX('CONTROL MASTER'!$N$2:$N$495,(SUMPRODUCT((('CONTROL MASTER'!$S$2:$S$495=11)*('CONTROL MASTER'!$Z$2:$Z$495&lt;=4)*('CONTROL MASTER'!$AB$2:$AB$495&gt;=4)*('CONTROL MASTER'!$AA$2:$AA$495&lt;=9)*('CONTROL MASTER'!$AC$2:$AC$495&gt;=9))*ROW('CONTROL MASTER'!$S$2:$S$495))-(ROW('CONTROL MASTER'!#REF!)-1))),":",","),",",REPT(" ",50)),(((INDEX('CONTROL MASTER'!$Y$2:$Y$495,(SUMPRODUCT((('CONTROL MASTER'!$S$2:$S$495=11)*('CONTROL MASTER'!$Z$2:$Z$495&lt;=4)*('CONTROL MASTER'!$AB$2:$AB$495&gt;=4)*('CONTROL MASTER'!$AA$2:$AA$495&lt;=9)*('CONTROL MASTER'!$AC$2:$AC$495&gt;=9))*ROW('CONTROL MASTER'!$S$2:$S$495))-(ROW('CONTROL MASTER'!#REF!)-1)))+((4-INDEX('CONTROL MASTER'!$Z$2:$Z$495,(SUMPRODUCT((('CONTROL MASTER'!$S$2:$S$495=11)*('CONTROL MASTER'!$Z$2:$Z$495&lt;=4)*('CONTROL MASTER'!$AB$2:$AB$495&gt;=4)*('CONTROL MASTER'!$AA$2:$AA$495&lt;=9)*('CONTROL MASTER'!$AC$2:$AC$495&gt;=9))*ROW('CONTROL MASTER'!$S$2:$S$495))-(ROW('CONTROL MASTER'!#REF!)-1))))*(INDEX('CONTROL MASTER'!$AC$2:$AC$495,(SUMPRODUCT((('CONTROL MASTER'!$S$2:$S$495=11)*('CONTROL MASTER'!$Z$2:$Z$495&lt;=4)*('CONTROL MASTER'!$AB$2:$AB$495&gt;=4)*('CONTROL MASTER'!$AA$2:$AA$495&lt;=9)*('CONTROL MASTER'!$AC$2:$AC$495&gt;=9))*ROW('CONTROL MASTER'!$S$2:$S$495))-(ROW('CONTROL MASTER'!#REF!)-1)))-INDEX('CONTROL MASTER'!$AA$2:$AA$495,(SUMPRODUCT((('CONTROL MASTER'!$S$2:$S$495=11)*('CONTROL MASTER'!$Z$2:$Z$495&lt;=4)*('CONTROL MASTER'!$AB$2:$AB$495&gt;=4)*('CONTROL MASTER'!$AA$2:$AA$495&lt;=9)*('CONTROL MASTER'!$AC$2:$AC$495&gt;=9))*ROW('CONTROL MASTER'!$S$2:$S$495))-(ROW('CONTROL MASTER'!#REF!)-1)))+1)+(9-INDEX('CONTROL MASTER'!$AA$2:$AA$495,(SUMPRODUCT((('CONTROL MASTER'!$S$2:$S$495=11)*('CONTROL MASTER'!$Z$2:$Z$495&lt;=4)*('CONTROL MASTER'!$AB$2:$AB$495&gt;=4)*('CONTROL MASTER'!$AA$2:$AA$495&lt;=9)*('CONTROL MASTER'!$AC$2:$AC$495&gt;=9))*ROW('CONTROL MASTER'!$S$2:$S$495))-(ROW('CONTROL MASTER'!#REF!)-1))))+1)))-1)*50+1,50))&amp;"_"&amp;INDEX('CONTROL MASTER'!$P$2:$P$495,(SUMPRODUCT((('CONTROL MASTER'!$S$2:$S$495=11)*('CONTROL MASTER'!$Z$2:$Z$495&lt;=4)*('CONTROL MASTER'!$AB$2:$AB$495&gt;=4)*('CONTROL MASTER'!$AA$2:$AA$495&lt;=9)*('CONTROL MASTER'!$AC$2:$AC$495&gt;=9))*ROW('CONTROL MASTER'!$S$2:$S$495))-(ROW('CONTROL MASTER'!#REF!)-1))),"")),"")</f>
        <v/>
      </c>
      <c r="K146" s="10" t="str">
        <f>IFERROR(IF(SUMPRODUCT((('CONTROL MASTER'!$S$2:$S$495=11)*('CONTROL MASTER'!$T$2:$T$495&lt;=4)*('CONTROL MASTER'!$V$2:$V$495&gt;=4)*('CONTROL MASTER'!$U$2:$U$495&lt;=10)*('CONTROL MASTER'!$W$2:$W$495&gt;=10))*ROW('CONTROL MASTER'!$S$2:$S$495))&gt;0,INDEX('CONTROL MASTER'!$X$2:$X$495,(SUMPRODUCT((('CONTROL MASTER'!$S$2:$S$495=11)*('CONTROL MASTER'!$T$2:$T$495&lt;=4)*('CONTROL MASTER'!$V$2:$V$495&gt;=4)*('CONTROL MASTER'!$U$2:$U$495&lt;=10)*('CONTROL MASTER'!$W$2:$W$495&gt;=10))*ROW('CONTROL MASTER'!$S$2:$S$495))-(ROW('CONTROL MASTER'!#REF!)-1)))&amp;TRIM(MID(SUBSTITUTE(SUBSTITUTE(INDEX('CONTROL MASTER'!$N$2:$N$495,(SUMPRODUCT((('CONTROL MASTER'!$S$2:$S$495=11)*('CONTROL MASTER'!$T$2:$T$495&lt;=4)*('CONTROL MASTER'!$V$2:$V$495&gt;=4)*('CONTROL MASTER'!$U$2:$U$495&lt;=10)*('CONTROL MASTER'!$W$2:$W$495&gt;=10))*ROW('CONTROL MASTER'!$S$2:$S$495))-(ROW('CONTROL MASTER'!#REF!)-1))),":",","),",",REPT(" ",50)),((((4-INDEX('CONTROL MASTER'!$T$2:$T$495,(SUMPRODUCT((('CONTROL MASTER'!$S$2:$S$495=11)*('CONTROL MASTER'!$T$2:$T$495&lt;=4)*('CONTROL MASTER'!$V$2:$V$495&gt;=4)*('CONTROL MASTER'!$U$2:$U$495&lt;=10)*('CONTROL MASTER'!$W$2:$W$495&gt;=10))*ROW('CONTROL MASTER'!$S$2:$S$495))-(ROW('CONTROL MASTER'!#REF!)-1))))*(INDEX('CONTROL MASTER'!$W$2:$W$495,(SUMPRODUCT((('CONTROL MASTER'!$S$2:$S$495=11)*('CONTROL MASTER'!$T$2:$T$495&lt;=4)*('CONTROL MASTER'!$V$2:$V$495&gt;=4)*('CONTROL MASTER'!$U$2:$U$495&lt;=10)*('CONTROL MASTER'!$W$2:$W$495&gt;=10))*ROW('CONTROL MASTER'!$S$2:$S$495))-(ROW('CONTROL MASTER'!#REF!)-1)))-INDEX('CONTROL MASTER'!$U$2:$U$495,(SUMPRODUCT((('CONTROL MASTER'!$S$2:$S$495=11)*('CONTROL MASTER'!$T$2:$T$495&lt;=4)*('CONTROL MASTER'!$V$2:$V$495&gt;=4)*('CONTROL MASTER'!$U$2:$U$495&lt;=10)*('CONTROL MASTER'!$W$2:$W$495&gt;=10))*ROW('CONTROL MASTER'!$S$2:$S$495))-(ROW('CONTROL MASTER'!#REF!)-1)))+1)+(10-INDEX('CONTROL MASTER'!$U$2:$U$495,(SUMPRODUCT((('CONTROL MASTER'!$S$2:$S$495=11)*('CONTROL MASTER'!$T$2:$T$495&lt;=4)*('CONTROL MASTER'!$V$2:$V$495&gt;=4)*('CONTROL MASTER'!$U$2:$U$495&lt;=10)*('CONTROL MASTER'!$W$2:$W$495&gt;=10))*ROW('CONTROL MASTER'!$S$2:$S$495))-(ROW('CONTROL MASTER'!#REF!)-1))))+1))-1)*50+1,50))&amp;"_"&amp;INDEX('CONTROL MASTER'!$P$2:$P$495,(SUMPRODUCT((('CONTROL MASTER'!$S$2:$S$495=11)*('CONTROL MASTER'!$T$2:$T$495&lt;=4)*('CONTROL MASTER'!$V$2:$V$495&gt;=4)*('CONTROL MASTER'!$U$2:$U$495&lt;=10)*('CONTROL MASTER'!$W$2:$W$495&gt;=10))*ROW('CONTROL MASTER'!$S$2:$S$495))-(ROW('CONTROL MASTER'!#REF!)-1))),IF(SUMPRODUCT((('CONTROL MASTER'!$S$2:$S$495=11)*('CONTROL MASTER'!$Z$2:$Z$495&lt;=4)*('CONTROL MASTER'!$AB$2:$AB$495&gt;=4)*('CONTROL MASTER'!$AA$2:$AA$495&lt;=10)*('CONTROL MASTER'!$AC$2:$AC$495&gt;=10))*ROW('CONTROL MASTER'!$S$2:$S$495))&gt;0,INDEX('CONTROL MASTER'!$X$2:$X$495,(SUMPRODUCT((('CONTROL MASTER'!$S$2:$S$495=11)*('CONTROL MASTER'!$Z$2:$Z$495&lt;=4)*('CONTROL MASTER'!$AB$2:$AB$495&gt;=4)*('CONTROL MASTER'!$AA$2:$AA$495&lt;=10)*('CONTROL MASTER'!$AC$2:$AC$495&gt;=10))*ROW('CONTROL MASTER'!$S$2:$S$495))-(ROW('CONTROL MASTER'!#REF!)-1)))&amp;TRIM(MID(SUBSTITUTE(SUBSTITUTE(INDEX('CONTROL MASTER'!$N$2:$N$495,(SUMPRODUCT((('CONTROL MASTER'!$S$2:$S$495=11)*('CONTROL MASTER'!$Z$2:$Z$495&lt;=4)*('CONTROL MASTER'!$AB$2:$AB$495&gt;=4)*('CONTROL MASTER'!$AA$2:$AA$495&lt;=10)*('CONTROL MASTER'!$AC$2:$AC$495&gt;=10))*ROW('CONTROL MASTER'!$S$2:$S$495))-(ROW('CONTROL MASTER'!#REF!)-1))),":",","),",",REPT(" ",50)),(((INDEX('CONTROL MASTER'!$Y$2:$Y$495,(SUMPRODUCT((('CONTROL MASTER'!$S$2:$S$495=11)*('CONTROL MASTER'!$Z$2:$Z$495&lt;=4)*('CONTROL MASTER'!$AB$2:$AB$495&gt;=4)*('CONTROL MASTER'!$AA$2:$AA$495&lt;=10)*('CONTROL MASTER'!$AC$2:$AC$495&gt;=10))*ROW('CONTROL MASTER'!$S$2:$S$495))-(ROW('CONTROL MASTER'!#REF!)-1)))+((4-INDEX('CONTROL MASTER'!$Z$2:$Z$495,(SUMPRODUCT((('CONTROL MASTER'!$S$2:$S$495=11)*('CONTROL MASTER'!$Z$2:$Z$495&lt;=4)*('CONTROL MASTER'!$AB$2:$AB$495&gt;=4)*('CONTROL MASTER'!$AA$2:$AA$495&lt;=10)*('CONTROL MASTER'!$AC$2:$AC$495&gt;=10))*ROW('CONTROL MASTER'!$S$2:$S$495))-(ROW('CONTROL MASTER'!#REF!)-1))))*(INDEX('CONTROL MASTER'!$AC$2:$AC$495,(SUMPRODUCT((('CONTROL MASTER'!$S$2:$S$495=11)*('CONTROL MASTER'!$Z$2:$Z$495&lt;=4)*('CONTROL MASTER'!$AB$2:$AB$495&gt;=4)*('CONTROL MASTER'!$AA$2:$AA$495&lt;=10)*('CONTROL MASTER'!$AC$2:$AC$495&gt;=10))*ROW('CONTROL MASTER'!$S$2:$S$495))-(ROW('CONTROL MASTER'!#REF!)-1)))-INDEX('CONTROL MASTER'!$AA$2:$AA$495,(SUMPRODUCT((('CONTROL MASTER'!$S$2:$S$495=11)*('CONTROL MASTER'!$Z$2:$Z$495&lt;=4)*('CONTROL MASTER'!$AB$2:$AB$495&gt;=4)*('CONTROL MASTER'!$AA$2:$AA$495&lt;=10)*('CONTROL MASTER'!$AC$2:$AC$495&gt;=10))*ROW('CONTROL MASTER'!$S$2:$S$495))-(ROW('CONTROL MASTER'!#REF!)-1)))+1)+(10-INDEX('CONTROL MASTER'!$AA$2:$AA$495,(SUMPRODUCT((('CONTROL MASTER'!$S$2:$S$495=11)*('CONTROL MASTER'!$Z$2:$Z$495&lt;=4)*('CONTROL MASTER'!$AB$2:$AB$495&gt;=4)*('CONTROL MASTER'!$AA$2:$AA$495&lt;=10)*('CONTROL MASTER'!$AC$2:$AC$495&gt;=10))*ROW('CONTROL MASTER'!$S$2:$S$495))-(ROW('CONTROL MASTER'!#REF!)-1))))+1)))-1)*50+1,50))&amp;"_"&amp;INDEX('CONTROL MASTER'!$P$2:$P$495,(SUMPRODUCT((('CONTROL MASTER'!$S$2:$S$495=11)*('CONTROL MASTER'!$Z$2:$Z$495&lt;=4)*('CONTROL MASTER'!$AB$2:$AB$495&gt;=4)*('CONTROL MASTER'!$AA$2:$AA$495&lt;=10)*('CONTROL MASTER'!$AC$2:$AC$495&gt;=10))*ROW('CONTROL MASTER'!$S$2:$S$495))-(ROW('CONTROL MASTER'!#REF!)-1))),"")),"")</f>
        <v/>
      </c>
    </row>
    <row r="147" spans="1:11" ht="15" customHeight="1" x14ac:dyDescent="0.35">
      <c r="A147" s="8" t="s">
        <v>32</v>
      </c>
      <c r="B147" s="10" t="str">
        <f>IFERROR(IF(SUMPRODUCT((('CONTROL MASTER'!$S$2:$S$495=11)*('CONTROL MASTER'!$T$2:$T$495&lt;=5)*('CONTROL MASTER'!$V$2:$V$495&gt;=5)*('CONTROL MASTER'!$U$2:$U$495&lt;=1)*('CONTROL MASTER'!$W$2:$W$495&gt;=1))*ROW('CONTROL MASTER'!$S$2:$S$495))&gt;0,INDEX('CONTROL MASTER'!$X$2:$X$495,(SUMPRODUCT((('CONTROL MASTER'!$S$2:$S$495=11)*('CONTROL MASTER'!$T$2:$T$495&lt;=5)*('CONTROL MASTER'!$V$2:$V$495&gt;=5)*('CONTROL MASTER'!$U$2:$U$495&lt;=1)*('CONTROL MASTER'!$W$2:$W$495&gt;=1))*ROW('CONTROL MASTER'!$S$2:$S$495))-(ROW('CONTROL MASTER'!#REF!)-1)))&amp;TRIM(MID(SUBSTITUTE(SUBSTITUTE(INDEX('CONTROL MASTER'!$N$2:$N$495,(SUMPRODUCT((('CONTROL MASTER'!$S$2:$S$495=11)*('CONTROL MASTER'!$T$2:$T$495&lt;=5)*('CONTROL MASTER'!$V$2:$V$495&gt;=5)*('CONTROL MASTER'!$U$2:$U$495&lt;=1)*('CONTROL MASTER'!$W$2:$W$495&gt;=1))*ROW('CONTROL MASTER'!$S$2:$S$495))-(ROW('CONTROL MASTER'!#REF!)-1))),":",","),",",REPT(" ",50)),((((5-INDEX('CONTROL MASTER'!$T$2:$T$495,(SUMPRODUCT((('CONTROL MASTER'!$S$2:$S$495=11)*('CONTROL MASTER'!$T$2:$T$495&lt;=5)*('CONTROL MASTER'!$V$2:$V$495&gt;=5)*('CONTROL MASTER'!$U$2:$U$495&lt;=1)*('CONTROL MASTER'!$W$2:$W$495&gt;=1))*ROW('CONTROL MASTER'!$S$2:$S$495))-(ROW('CONTROL MASTER'!#REF!)-1))))*(INDEX('CONTROL MASTER'!$W$2:$W$495,(SUMPRODUCT((('CONTROL MASTER'!$S$2:$S$495=11)*('CONTROL MASTER'!$T$2:$T$495&lt;=5)*('CONTROL MASTER'!$V$2:$V$495&gt;=5)*('CONTROL MASTER'!$U$2:$U$495&lt;=1)*('CONTROL MASTER'!$W$2:$W$495&gt;=1))*ROW('CONTROL MASTER'!$S$2:$S$495))-(ROW('CONTROL MASTER'!#REF!)-1)))-INDEX('CONTROL MASTER'!$U$2:$U$495,(SUMPRODUCT((('CONTROL MASTER'!$S$2:$S$495=11)*('CONTROL MASTER'!$T$2:$T$495&lt;=5)*('CONTROL MASTER'!$V$2:$V$495&gt;=5)*('CONTROL MASTER'!$U$2:$U$495&lt;=1)*('CONTROL MASTER'!$W$2:$W$495&gt;=1))*ROW('CONTROL MASTER'!$S$2:$S$495))-(ROW('CONTROL MASTER'!#REF!)-1)))+1)+(1-INDEX('CONTROL MASTER'!$U$2:$U$495,(SUMPRODUCT((('CONTROL MASTER'!$S$2:$S$495=11)*('CONTROL MASTER'!$T$2:$T$495&lt;=5)*('CONTROL MASTER'!$V$2:$V$495&gt;=5)*('CONTROL MASTER'!$U$2:$U$495&lt;=1)*('CONTROL MASTER'!$W$2:$W$495&gt;=1))*ROW('CONTROL MASTER'!$S$2:$S$495))-(ROW('CONTROL MASTER'!#REF!)-1))))+1))-1)*50+1,50))&amp;"_"&amp;INDEX('CONTROL MASTER'!$P$2:$P$495,(SUMPRODUCT((('CONTROL MASTER'!$S$2:$S$495=11)*('CONTROL MASTER'!$T$2:$T$495&lt;=5)*('CONTROL MASTER'!$V$2:$V$495&gt;=5)*('CONTROL MASTER'!$U$2:$U$495&lt;=1)*('CONTROL MASTER'!$W$2:$W$495&gt;=1))*ROW('CONTROL MASTER'!$S$2:$S$495))-(ROW('CONTROL MASTER'!#REF!)-1))),IF(SUMPRODUCT((('CONTROL MASTER'!$S$2:$S$495=11)*('CONTROL MASTER'!$Z$2:$Z$495&lt;=5)*('CONTROL MASTER'!$AB$2:$AB$495&gt;=5)*('CONTROL MASTER'!$AA$2:$AA$495&lt;=1)*('CONTROL MASTER'!$AC$2:$AC$495&gt;=1))*ROW('CONTROL MASTER'!$S$2:$S$495))&gt;0,INDEX('CONTROL MASTER'!$X$2:$X$495,(SUMPRODUCT((('CONTROL MASTER'!$S$2:$S$495=11)*('CONTROL MASTER'!$Z$2:$Z$495&lt;=5)*('CONTROL MASTER'!$AB$2:$AB$495&gt;=5)*('CONTROL MASTER'!$AA$2:$AA$495&lt;=1)*('CONTROL MASTER'!$AC$2:$AC$495&gt;=1))*ROW('CONTROL MASTER'!$S$2:$S$495))-(ROW('CONTROL MASTER'!#REF!)-1)))&amp;TRIM(MID(SUBSTITUTE(SUBSTITUTE(INDEX('CONTROL MASTER'!$N$2:$N$495,(SUMPRODUCT((('CONTROL MASTER'!$S$2:$S$495=11)*('CONTROL MASTER'!$Z$2:$Z$495&lt;=5)*('CONTROL MASTER'!$AB$2:$AB$495&gt;=5)*('CONTROL MASTER'!$AA$2:$AA$495&lt;=1)*('CONTROL MASTER'!$AC$2:$AC$495&gt;=1))*ROW('CONTROL MASTER'!$S$2:$S$495))-(ROW('CONTROL MASTER'!#REF!)-1))),":",","),",",REPT(" ",50)),(((INDEX('CONTROL MASTER'!$Y$2:$Y$495,(SUMPRODUCT((('CONTROL MASTER'!$S$2:$S$495=11)*('CONTROL MASTER'!$Z$2:$Z$495&lt;=5)*('CONTROL MASTER'!$AB$2:$AB$495&gt;=5)*('CONTROL MASTER'!$AA$2:$AA$495&lt;=1)*('CONTROL MASTER'!$AC$2:$AC$495&gt;=1))*ROW('CONTROL MASTER'!$S$2:$S$495))-(ROW('CONTROL MASTER'!#REF!)-1)))+((5-INDEX('CONTROL MASTER'!$Z$2:$Z$495,(SUMPRODUCT((('CONTROL MASTER'!$S$2:$S$495=11)*('CONTROL MASTER'!$Z$2:$Z$495&lt;=5)*('CONTROL MASTER'!$AB$2:$AB$495&gt;=5)*('CONTROL MASTER'!$AA$2:$AA$495&lt;=1)*('CONTROL MASTER'!$AC$2:$AC$495&gt;=1))*ROW('CONTROL MASTER'!$S$2:$S$495))-(ROW('CONTROL MASTER'!#REF!)-1))))*(INDEX('CONTROL MASTER'!$AC$2:$AC$495,(SUMPRODUCT((('CONTROL MASTER'!$S$2:$S$495=11)*('CONTROL MASTER'!$Z$2:$Z$495&lt;=5)*('CONTROL MASTER'!$AB$2:$AB$495&gt;=5)*('CONTROL MASTER'!$AA$2:$AA$495&lt;=1)*('CONTROL MASTER'!$AC$2:$AC$495&gt;=1))*ROW('CONTROL MASTER'!$S$2:$S$495))-(ROW('CONTROL MASTER'!#REF!)-1)))-INDEX('CONTROL MASTER'!$AA$2:$AA$495,(SUMPRODUCT((('CONTROL MASTER'!$S$2:$S$495=11)*('CONTROL MASTER'!$Z$2:$Z$495&lt;=5)*('CONTROL MASTER'!$AB$2:$AB$495&gt;=5)*('CONTROL MASTER'!$AA$2:$AA$495&lt;=1)*('CONTROL MASTER'!$AC$2:$AC$495&gt;=1))*ROW('CONTROL MASTER'!$S$2:$S$495))-(ROW('CONTROL MASTER'!#REF!)-1)))+1)+(1-INDEX('CONTROL MASTER'!$AA$2:$AA$495,(SUMPRODUCT((('CONTROL MASTER'!$S$2:$S$495=11)*('CONTROL MASTER'!$Z$2:$Z$495&lt;=5)*('CONTROL MASTER'!$AB$2:$AB$495&gt;=5)*('CONTROL MASTER'!$AA$2:$AA$495&lt;=1)*('CONTROL MASTER'!$AC$2:$AC$495&gt;=1))*ROW('CONTROL MASTER'!$S$2:$S$495))-(ROW('CONTROL MASTER'!#REF!)-1))))+1)))-1)*50+1,50))&amp;"_"&amp;INDEX('CONTROL MASTER'!$P$2:$P$495,(SUMPRODUCT((('CONTROL MASTER'!$S$2:$S$495=11)*('CONTROL MASTER'!$Z$2:$Z$495&lt;=5)*('CONTROL MASTER'!$AB$2:$AB$495&gt;=5)*('CONTROL MASTER'!$AA$2:$AA$495&lt;=1)*('CONTROL MASTER'!$AC$2:$AC$495&gt;=1))*ROW('CONTROL MASTER'!$S$2:$S$495))-(ROW('CONTROL MASTER'!#REF!)-1))),"")),"")</f>
        <v/>
      </c>
      <c r="C147" s="10" t="str">
        <f>IFERROR(IF(SUMPRODUCT((('CONTROL MASTER'!$S$2:$S$495=11)*('CONTROL MASTER'!$T$2:$T$495&lt;=5)*('CONTROL MASTER'!$V$2:$V$495&gt;=5)*('CONTROL MASTER'!$U$2:$U$495&lt;=2)*('CONTROL MASTER'!$W$2:$W$495&gt;=2))*ROW('CONTROL MASTER'!$S$2:$S$495))&gt;0,INDEX('CONTROL MASTER'!$X$2:$X$495,(SUMPRODUCT((('CONTROL MASTER'!$S$2:$S$495=11)*('CONTROL MASTER'!$T$2:$T$495&lt;=5)*('CONTROL MASTER'!$V$2:$V$495&gt;=5)*('CONTROL MASTER'!$U$2:$U$495&lt;=2)*('CONTROL MASTER'!$W$2:$W$495&gt;=2))*ROW('CONTROL MASTER'!$S$2:$S$495))-(ROW('CONTROL MASTER'!#REF!)-1)))&amp;TRIM(MID(SUBSTITUTE(SUBSTITUTE(INDEX('CONTROL MASTER'!$N$2:$N$495,(SUMPRODUCT((('CONTROL MASTER'!$S$2:$S$495=11)*('CONTROL MASTER'!$T$2:$T$495&lt;=5)*('CONTROL MASTER'!$V$2:$V$495&gt;=5)*('CONTROL MASTER'!$U$2:$U$495&lt;=2)*('CONTROL MASTER'!$W$2:$W$495&gt;=2))*ROW('CONTROL MASTER'!$S$2:$S$495))-(ROW('CONTROL MASTER'!#REF!)-1))),":",","),",",REPT(" ",50)),((((5-INDEX('CONTROL MASTER'!$T$2:$T$495,(SUMPRODUCT((('CONTROL MASTER'!$S$2:$S$495=11)*('CONTROL MASTER'!$T$2:$T$495&lt;=5)*('CONTROL MASTER'!$V$2:$V$495&gt;=5)*('CONTROL MASTER'!$U$2:$U$495&lt;=2)*('CONTROL MASTER'!$W$2:$W$495&gt;=2))*ROW('CONTROL MASTER'!$S$2:$S$495))-(ROW('CONTROL MASTER'!#REF!)-1))))*(INDEX('CONTROL MASTER'!$W$2:$W$495,(SUMPRODUCT((('CONTROL MASTER'!$S$2:$S$495=11)*('CONTROL MASTER'!$T$2:$T$495&lt;=5)*('CONTROL MASTER'!$V$2:$V$495&gt;=5)*('CONTROL MASTER'!$U$2:$U$495&lt;=2)*('CONTROL MASTER'!$W$2:$W$495&gt;=2))*ROW('CONTROL MASTER'!$S$2:$S$495))-(ROW('CONTROL MASTER'!#REF!)-1)))-INDEX('CONTROL MASTER'!$U$2:$U$495,(SUMPRODUCT((('CONTROL MASTER'!$S$2:$S$495=11)*('CONTROL MASTER'!$T$2:$T$495&lt;=5)*('CONTROL MASTER'!$V$2:$V$495&gt;=5)*('CONTROL MASTER'!$U$2:$U$495&lt;=2)*('CONTROL MASTER'!$W$2:$W$495&gt;=2))*ROW('CONTROL MASTER'!$S$2:$S$495))-(ROW('CONTROL MASTER'!#REF!)-1)))+1)+(2-INDEX('CONTROL MASTER'!$U$2:$U$495,(SUMPRODUCT((('CONTROL MASTER'!$S$2:$S$495=11)*('CONTROL MASTER'!$T$2:$T$495&lt;=5)*('CONTROL MASTER'!$V$2:$V$495&gt;=5)*('CONTROL MASTER'!$U$2:$U$495&lt;=2)*('CONTROL MASTER'!$W$2:$W$495&gt;=2))*ROW('CONTROL MASTER'!$S$2:$S$495))-(ROW('CONTROL MASTER'!#REF!)-1))))+1))-1)*50+1,50))&amp;"_"&amp;INDEX('CONTROL MASTER'!$P$2:$P$495,(SUMPRODUCT((('CONTROL MASTER'!$S$2:$S$495=11)*('CONTROL MASTER'!$T$2:$T$495&lt;=5)*('CONTROL MASTER'!$V$2:$V$495&gt;=5)*('CONTROL MASTER'!$U$2:$U$495&lt;=2)*('CONTROL MASTER'!$W$2:$W$495&gt;=2))*ROW('CONTROL MASTER'!$S$2:$S$495))-(ROW('CONTROL MASTER'!#REF!)-1))),IF(SUMPRODUCT((('CONTROL MASTER'!$S$2:$S$495=11)*('CONTROL MASTER'!$Z$2:$Z$495&lt;=5)*('CONTROL MASTER'!$AB$2:$AB$495&gt;=5)*('CONTROL MASTER'!$AA$2:$AA$495&lt;=2)*('CONTROL MASTER'!$AC$2:$AC$495&gt;=2))*ROW('CONTROL MASTER'!$S$2:$S$495))&gt;0,INDEX('CONTROL MASTER'!$X$2:$X$495,(SUMPRODUCT((('CONTROL MASTER'!$S$2:$S$495=11)*('CONTROL MASTER'!$Z$2:$Z$495&lt;=5)*('CONTROL MASTER'!$AB$2:$AB$495&gt;=5)*('CONTROL MASTER'!$AA$2:$AA$495&lt;=2)*('CONTROL MASTER'!$AC$2:$AC$495&gt;=2))*ROW('CONTROL MASTER'!$S$2:$S$495))-(ROW('CONTROL MASTER'!#REF!)-1)))&amp;TRIM(MID(SUBSTITUTE(SUBSTITUTE(INDEX('CONTROL MASTER'!$N$2:$N$495,(SUMPRODUCT((('CONTROL MASTER'!$S$2:$S$495=11)*('CONTROL MASTER'!$Z$2:$Z$495&lt;=5)*('CONTROL MASTER'!$AB$2:$AB$495&gt;=5)*('CONTROL MASTER'!$AA$2:$AA$495&lt;=2)*('CONTROL MASTER'!$AC$2:$AC$495&gt;=2))*ROW('CONTROL MASTER'!$S$2:$S$495))-(ROW('CONTROL MASTER'!#REF!)-1))),":",","),",",REPT(" ",50)),(((INDEX('CONTROL MASTER'!$Y$2:$Y$495,(SUMPRODUCT((('CONTROL MASTER'!$S$2:$S$495=11)*('CONTROL MASTER'!$Z$2:$Z$495&lt;=5)*('CONTROL MASTER'!$AB$2:$AB$495&gt;=5)*('CONTROL MASTER'!$AA$2:$AA$495&lt;=2)*('CONTROL MASTER'!$AC$2:$AC$495&gt;=2))*ROW('CONTROL MASTER'!$S$2:$S$495))-(ROW('CONTROL MASTER'!#REF!)-1)))+((5-INDEX('CONTROL MASTER'!$Z$2:$Z$495,(SUMPRODUCT((('CONTROL MASTER'!$S$2:$S$495=11)*('CONTROL MASTER'!$Z$2:$Z$495&lt;=5)*('CONTROL MASTER'!$AB$2:$AB$495&gt;=5)*('CONTROL MASTER'!$AA$2:$AA$495&lt;=2)*('CONTROL MASTER'!$AC$2:$AC$495&gt;=2))*ROW('CONTROL MASTER'!$S$2:$S$495))-(ROW('CONTROL MASTER'!#REF!)-1))))*(INDEX('CONTROL MASTER'!$AC$2:$AC$495,(SUMPRODUCT((('CONTROL MASTER'!$S$2:$S$495=11)*('CONTROL MASTER'!$Z$2:$Z$495&lt;=5)*('CONTROL MASTER'!$AB$2:$AB$495&gt;=5)*('CONTROL MASTER'!$AA$2:$AA$495&lt;=2)*('CONTROL MASTER'!$AC$2:$AC$495&gt;=2))*ROW('CONTROL MASTER'!$S$2:$S$495))-(ROW('CONTROL MASTER'!#REF!)-1)))-INDEX('CONTROL MASTER'!$AA$2:$AA$495,(SUMPRODUCT((('CONTROL MASTER'!$S$2:$S$495=11)*('CONTROL MASTER'!$Z$2:$Z$495&lt;=5)*('CONTROL MASTER'!$AB$2:$AB$495&gt;=5)*('CONTROL MASTER'!$AA$2:$AA$495&lt;=2)*('CONTROL MASTER'!$AC$2:$AC$495&gt;=2))*ROW('CONTROL MASTER'!$S$2:$S$495))-(ROW('CONTROL MASTER'!#REF!)-1)))+1)+(2-INDEX('CONTROL MASTER'!$AA$2:$AA$495,(SUMPRODUCT((('CONTROL MASTER'!$S$2:$S$495=11)*('CONTROL MASTER'!$Z$2:$Z$495&lt;=5)*('CONTROL MASTER'!$AB$2:$AB$495&gt;=5)*('CONTROL MASTER'!$AA$2:$AA$495&lt;=2)*('CONTROL MASTER'!$AC$2:$AC$495&gt;=2))*ROW('CONTROL MASTER'!$S$2:$S$495))-(ROW('CONTROL MASTER'!#REF!)-1))))+1)))-1)*50+1,50))&amp;"_"&amp;INDEX('CONTROL MASTER'!$P$2:$P$495,(SUMPRODUCT((('CONTROL MASTER'!$S$2:$S$495=11)*('CONTROL MASTER'!$Z$2:$Z$495&lt;=5)*('CONTROL MASTER'!$AB$2:$AB$495&gt;=5)*('CONTROL MASTER'!$AA$2:$AA$495&lt;=2)*('CONTROL MASTER'!$AC$2:$AC$495&gt;=2))*ROW('CONTROL MASTER'!$S$2:$S$495))-(ROW('CONTROL MASTER'!#REF!)-1))),"")),"")</f>
        <v/>
      </c>
      <c r="D147" s="10" t="str">
        <f>IFERROR(IF(SUMPRODUCT((('CONTROL MASTER'!$S$2:$S$495=11)*('CONTROL MASTER'!$T$2:$T$495&lt;=5)*('CONTROL MASTER'!$V$2:$V$495&gt;=5)*('CONTROL MASTER'!$U$2:$U$495&lt;=3)*('CONTROL MASTER'!$W$2:$W$495&gt;=3))*ROW('CONTROL MASTER'!$S$2:$S$495))&gt;0,INDEX('CONTROL MASTER'!$X$2:$X$495,(SUMPRODUCT((('CONTROL MASTER'!$S$2:$S$495=11)*('CONTROL MASTER'!$T$2:$T$495&lt;=5)*('CONTROL MASTER'!$V$2:$V$495&gt;=5)*('CONTROL MASTER'!$U$2:$U$495&lt;=3)*('CONTROL MASTER'!$W$2:$W$495&gt;=3))*ROW('CONTROL MASTER'!$S$2:$S$495))-(ROW('CONTROL MASTER'!#REF!)-1)))&amp;TRIM(MID(SUBSTITUTE(SUBSTITUTE(INDEX('CONTROL MASTER'!$N$2:$N$495,(SUMPRODUCT((('CONTROL MASTER'!$S$2:$S$495=11)*('CONTROL MASTER'!$T$2:$T$495&lt;=5)*('CONTROL MASTER'!$V$2:$V$495&gt;=5)*('CONTROL MASTER'!$U$2:$U$495&lt;=3)*('CONTROL MASTER'!$W$2:$W$495&gt;=3))*ROW('CONTROL MASTER'!$S$2:$S$495))-(ROW('CONTROL MASTER'!#REF!)-1))),":",","),",",REPT(" ",50)),((((5-INDEX('CONTROL MASTER'!$T$2:$T$495,(SUMPRODUCT((('CONTROL MASTER'!$S$2:$S$495=11)*('CONTROL MASTER'!$T$2:$T$495&lt;=5)*('CONTROL MASTER'!$V$2:$V$495&gt;=5)*('CONTROL MASTER'!$U$2:$U$495&lt;=3)*('CONTROL MASTER'!$W$2:$W$495&gt;=3))*ROW('CONTROL MASTER'!$S$2:$S$495))-(ROW('CONTROL MASTER'!#REF!)-1))))*(INDEX('CONTROL MASTER'!$W$2:$W$495,(SUMPRODUCT((('CONTROL MASTER'!$S$2:$S$495=11)*('CONTROL MASTER'!$T$2:$T$495&lt;=5)*('CONTROL MASTER'!$V$2:$V$495&gt;=5)*('CONTROL MASTER'!$U$2:$U$495&lt;=3)*('CONTROL MASTER'!$W$2:$W$495&gt;=3))*ROW('CONTROL MASTER'!$S$2:$S$495))-(ROW('CONTROL MASTER'!#REF!)-1)))-INDEX('CONTROL MASTER'!$U$2:$U$495,(SUMPRODUCT((('CONTROL MASTER'!$S$2:$S$495=11)*('CONTROL MASTER'!$T$2:$T$495&lt;=5)*('CONTROL MASTER'!$V$2:$V$495&gt;=5)*('CONTROL MASTER'!$U$2:$U$495&lt;=3)*('CONTROL MASTER'!$W$2:$W$495&gt;=3))*ROW('CONTROL MASTER'!$S$2:$S$495))-(ROW('CONTROL MASTER'!#REF!)-1)))+1)+(3-INDEX('CONTROL MASTER'!$U$2:$U$495,(SUMPRODUCT((('CONTROL MASTER'!$S$2:$S$495=11)*('CONTROL MASTER'!$T$2:$T$495&lt;=5)*('CONTROL MASTER'!$V$2:$V$495&gt;=5)*('CONTROL MASTER'!$U$2:$U$495&lt;=3)*('CONTROL MASTER'!$W$2:$W$495&gt;=3))*ROW('CONTROL MASTER'!$S$2:$S$495))-(ROW('CONTROL MASTER'!#REF!)-1))))+1))-1)*50+1,50))&amp;"_"&amp;INDEX('CONTROL MASTER'!$P$2:$P$495,(SUMPRODUCT((('CONTROL MASTER'!$S$2:$S$495=11)*('CONTROL MASTER'!$T$2:$T$495&lt;=5)*('CONTROL MASTER'!$V$2:$V$495&gt;=5)*('CONTROL MASTER'!$U$2:$U$495&lt;=3)*('CONTROL MASTER'!$W$2:$W$495&gt;=3))*ROW('CONTROL MASTER'!$S$2:$S$495))-(ROW('CONTROL MASTER'!#REF!)-1))),IF(SUMPRODUCT((('CONTROL MASTER'!$S$2:$S$495=11)*('CONTROL MASTER'!$Z$2:$Z$495&lt;=5)*('CONTROL MASTER'!$AB$2:$AB$495&gt;=5)*('CONTROL MASTER'!$AA$2:$AA$495&lt;=3)*('CONTROL MASTER'!$AC$2:$AC$495&gt;=3))*ROW('CONTROL MASTER'!$S$2:$S$495))&gt;0,INDEX('CONTROL MASTER'!$X$2:$X$495,(SUMPRODUCT((('CONTROL MASTER'!$S$2:$S$495=11)*('CONTROL MASTER'!$Z$2:$Z$495&lt;=5)*('CONTROL MASTER'!$AB$2:$AB$495&gt;=5)*('CONTROL MASTER'!$AA$2:$AA$495&lt;=3)*('CONTROL MASTER'!$AC$2:$AC$495&gt;=3))*ROW('CONTROL MASTER'!$S$2:$S$495))-(ROW('CONTROL MASTER'!#REF!)-1)))&amp;TRIM(MID(SUBSTITUTE(SUBSTITUTE(INDEX('CONTROL MASTER'!$N$2:$N$495,(SUMPRODUCT((('CONTROL MASTER'!$S$2:$S$495=11)*('CONTROL MASTER'!$Z$2:$Z$495&lt;=5)*('CONTROL MASTER'!$AB$2:$AB$495&gt;=5)*('CONTROL MASTER'!$AA$2:$AA$495&lt;=3)*('CONTROL MASTER'!$AC$2:$AC$495&gt;=3))*ROW('CONTROL MASTER'!$S$2:$S$495))-(ROW('CONTROL MASTER'!#REF!)-1))),":",","),",",REPT(" ",50)),(((INDEX('CONTROL MASTER'!$Y$2:$Y$495,(SUMPRODUCT((('CONTROL MASTER'!$S$2:$S$495=11)*('CONTROL MASTER'!$Z$2:$Z$495&lt;=5)*('CONTROL MASTER'!$AB$2:$AB$495&gt;=5)*('CONTROL MASTER'!$AA$2:$AA$495&lt;=3)*('CONTROL MASTER'!$AC$2:$AC$495&gt;=3))*ROW('CONTROL MASTER'!$S$2:$S$495))-(ROW('CONTROL MASTER'!#REF!)-1)))+((5-INDEX('CONTROL MASTER'!$Z$2:$Z$495,(SUMPRODUCT((('CONTROL MASTER'!$S$2:$S$495=11)*('CONTROL MASTER'!$Z$2:$Z$495&lt;=5)*('CONTROL MASTER'!$AB$2:$AB$495&gt;=5)*('CONTROL MASTER'!$AA$2:$AA$495&lt;=3)*('CONTROL MASTER'!$AC$2:$AC$495&gt;=3))*ROW('CONTROL MASTER'!$S$2:$S$495))-(ROW('CONTROL MASTER'!#REF!)-1))))*(INDEX('CONTROL MASTER'!$AC$2:$AC$495,(SUMPRODUCT((('CONTROL MASTER'!$S$2:$S$495=11)*('CONTROL MASTER'!$Z$2:$Z$495&lt;=5)*('CONTROL MASTER'!$AB$2:$AB$495&gt;=5)*('CONTROL MASTER'!$AA$2:$AA$495&lt;=3)*('CONTROL MASTER'!$AC$2:$AC$495&gt;=3))*ROW('CONTROL MASTER'!$S$2:$S$495))-(ROW('CONTROL MASTER'!#REF!)-1)))-INDEX('CONTROL MASTER'!$AA$2:$AA$495,(SUMPRODUCT((('CONTROL MASTER'!$S$2:$S$495=11)*('CONTROL MASTER'!$Z$2:$Z$495&lt;=5)*('CONTROL MASTER'!$AB$2:$AB$495&gt;=5)*('CONTROL MASTER'!$AA$2:$AA$495&lt;=3)*('CONTROL MASTER'!$AC$2:$AC$495&gt;=3))*ROW('CONTROL MASTER'!$S$2:$S$495))-(ROW('CONTROL MASTER'!#REF!)-1)))+1)+(3-INDEX('CONTROL MASTER'!$AA$2:$AA$495,(SUMPRODUCT((('CONTROL MASTER'!$S$2:$S$495=11)*('CONTROL MASTER'!$Z$2:$Z$495&lt;=5)*('CONTROL MASTER'!$AB$2:$AB$495&gt;=5)*('CONTROL MASTER'!$AA$2:$AA$495&lt;=3)*('CONTROL MASTER'!$AC$2:$AC$495&gt;=3))*ROW('CONTROL MASTER'!$S$2:$S$495))-(ROW('CONTROL MASTER'!#REF!)-1))))+1)))-1)*50+1,50))&amp;"_"&amp;INDEX('CONTROL MASTER'!$P$2:$P$495,(SUMPRODUCT((('CONTROL MASTER'!$S$2:$S$495=11)*('CONTROL MASTER'!$Z$2:$Z$495&lt;=5)*('CONTROL MASTER'!$AB$2:$AB$495&gt;=5)*('CONTROL MASTER'!$AA$2:$AA$495&lt;=3)*('CONTROL MASTER'!$AC$2:$AC$495&gt;=3))*ROW('CONTROL MASTER'!$S$2:$S$495))-(ROW('CONTROL MASTER'!#REF!)-1))),"")),"")</f>
        <v/>
      </c>
      <c r="E147" s="10" t="str">
        <f>IFERROR(IF(SUMPRODUCT((('CONTROL MASTER'!$S$2:$S$495=11)*('CONTROL MASTER'!$T$2:$T$495&lt;=5)*('CONTROL MASTER'!$V$2:$V$495&gt;=5)*('CONTROL MASTER'!$U$2:$U$495&lt;=4)*('CONTROL MASTER'!$W$2:$W$495&gt;=4))*ROW('CONTROL MASTER'!$S$2:$S$495))&gt;0,INDEX('CONTROL MASTER'!$X$2:$X$495,(SUMPRODUCT((('CONTROL MASTER'!$S$2:$S$495=11)*('CONTROL MASTER'!$T$2:$T$495&lt;=5)*('CONTROL MASTER'!$V$2:$V$495&gt;=5)*('CONTROL MASTER'!$U$2:$U$495&lt;=4)*('CONTROL MASTER'!$W$2:$W$495&gt;=4))*ROW('CONTROL MASTER'!$S$2:$S$495))-(ROW('CONTROL MASTER'!#REF!)-1)))&amp;TRIM(MID(SUBSTITUTE(SUBSTITUTE(INDEX('CONTROL MASTER'!$N$2:$N$495,(SUMPRODUCT((('CONTROL MASTER'!$S$2:$S$495=11)*('CONTROL MASTER'!$T$2:$T$495&lt;=5)*('CONTROL MASTER'!$V$2:$V$495&gt;=5)*('CONTROL MASTER'!$U$2:$U$495&lt;=4)*('CONTROL MASTER'!$W$2:$W$495&gt;=4))*ROW('CONTROL MASTER'!$S$2:$S$495))-(ROW('CONTROL MASTER'!#REF!)-1))),":",","),",",REPT(" ",50)),((((5-INDEX('CONTROL MASTER'!$T$2:$T$495,(SUMPRODUCT((('CONTROL MASTER'!$S$2:$S$495=11)*('CONTROL MASTER'!$T$2:$T$495&lt;=5)*('CONTROL MASTER'!$V$2:$V$495&gt;=5)*('CONTROL MASTER'!$U$2:$U$495&lt;=4)*('CONTROL MASTER'!$W$2:$W$495&gt;=4))*ROW('CONTROL MASTER'!$S$2:$S$495))-(ROW('CONTROL MASTER'!#REF!)-1))))*(INDEX('CONTROL MASTER'!$W$2:$W$495,(SUMPRODUCT((('CONTROL MASTER'!$S$2:$S$495=11)*('CONTROL MASTER'!$T$2:$T$495&lt;=5)*('CONTROL MASTER'!$V$2:$V$495&gt;=5)*('CONTROL MASTER'!$U$2:$U$495&lt;=4)*('CONTROL MASTER'!$W$2:$W$495&gt;=4))*ROW('CONTROL MASTER'!$S$2:$S$495))-(ROW('CONTROL MASTER'!#REF!)-1)))-INDEX('CONTROL MASTER'!$U$2:$U$495,(SUMPRODUCT((('CONTROL MASTER'!$S$2:$S$495=11)*('CONTROL MASTER'!$T$2:$T$495&lt;=5)*('CONTROL MASTER'!$V$2:$V$495&gt;=5)*('CONTROL MASTER'!$U$2:$U$495&lt;=4)*('CONTROL MASTER'!$W$2:$W$495&gt;=4))*ROW('CONTROL MASTER'!$S$2:$S$495))-(ROW('CONTROL MASTER'!#REF!)-1)))+1)+(4-INDEX('CONTROL MASTER'!$U$2:$U$495,(SUMPRODUCT((('CONTROL MASTER'!$S$2:$S$495=11)*('CONTROL MASTER'!$T$2:$T$495&lt;=5)*('CONTROL MASTER'!$V$2:$V$495&gt;=5)*('CONTROL MASTER'!$U$2:$U$495&lt;=4)*('CONTROL MASTER'!$W$2:$W$495&gt;=4))*ROW('CONTROL MASTER'!$S$2:$S$495))-(ROW('CONTROL MASTER'!#REF!)-1))))+1))-1)*50+1,50))&amp;"_"&amp;INDEX('CONTROL MASTER'!$P$2:$P$495,(SUMPRODUCT((('CONTROL MASTER'!$S$2:$S$495=11)*('CONTROL MASTER'!$T$2:$T$495&lt;=5)*('CONTROL MASTER'!$V$2:$V$495&gt;=5)*('CONTROL MASTER'!$U$2:$U$495&lt;=4)*('CONTROL MASTER'!$W$2:$W$495&gt;=4))*ROW('CONTROL MASTER'!$S$2:$S$495))-(ROW('CONTROL MASTER'!#REF!)-1))),IF(SUMPRODUCT((('CONTROL MASTER'!$S$2:$S$495=11)*('CONTROL MASTER'!$Z$2:$Z$495&lt;=5)*('CONTROL MASTER'!$AB$2:$AB$495&gt;=5)*('CONTROL MASTER'!$AA$2:$AA$495&lt;=4)*('CONTROL MASTER'!$AC$2:$AC$495&gt;=4))*ROW('CONTROL MASTER'!$S$2:$S$495))&gt;0,INDEX('CONTROL MASTER'!$X$2:$X$495,(SUMPRODUCT((('CONTROL MASTER'!$S$2:$S$495=11)*('CONTROL MASTER'!$Z$2:$Z$495&lt;=5)*('CONTROL MASTER'!$AB$2:$AB$495&gt;=5)*('CONTROL MASTER'!$AA$2:$AA$495&lt;=4)*('CONTROL MASTER'!$AC$2:$AC$495&gt;=4))*ROW('CONTROL MASTER'!$S$2:$S$495))-(ROW('CONTROL MASTER'!#REF!)-1)))&amp;TRIM(MID(SUBSTITUTE(SUBSTITUTE(INDEX('CONTROL MASTER'!$N$2:$N$495,(SUMPRODUCT((('CONTROL MASTER'!$S$2:$S$495=11)*('CONTROL MASTER'!$Z$2:$Z$495&lt;=5)*('CONTROL MASTER'!$AB$2:$AB$495&gt;=5)*('CONTROL MASTER'!$AA$2:$AA$495&lt;=4)*('CONTROL MASTER'!$AC$2:$AC$495&gt;=4))*ROW('CONTROL MASTER'!$S$2:$S$495))-(ROW('CONTROL MASTER'!#REF!)-1))),":",","),",",REPT(" ",50)),(((INDEX('CONTROL MASTER'!$Y$2:$Y$495,(SUMPRODUCT((('CONTROL MASTER'!$S$2:$S$495=11)*('CONTROL MASTER'!$Z$2:$Z$495&lt;=5)*('CONTROL MASTER'!$AB$2:$AB$495&gt;=5)*('CONTROL MASTER'!$AA$2:$AA$495&lt;=4)*('CONTROL MASTER'!$AC$2:$AC$495&gt;=4))*ROW('CONTROL MASTER'!$S$2:$S$495))-(ROW('CONTROL MASTER'!#REF!)-1)))+((5-INDEX('CONTROL MASTER'!$Z$2:$Z$495,(SUMPRODUCT((('CONTROL MASTER'!$S$2:$S$495=11)*('CONTROL MASTER'!$Z$2:$Z$495&lt;=5)*('CONTROL MASTER'!$AB$2:$AB$495&gt;=5)*('CONTROL MASTER'!$AA$2:$AA$495&lt;=4)*('CONTROL MASTER'!$AC$2:$AC$495&gt;=4))*ROW('CONTROL MASTER'!$S$2:$S$495))-(ROW('CONTROL MASTER'!#REF!)-1))))*(INDEX('CONTROL MASTER'!$AC$2:$AC$495,(SUMPRODUCT((('CONTROL MASTER'!$S$2:$S$495=11)*('CONTROL MASTER'!$Z$2:$Z$495&lt;=5)*('CONTROL MASTER'!$AB$2:$AB$495&gt;=5)*('CONTROL MASTER'!$AA$2:$AA$495&lt;=4)*('CONTROL MASTER'!$AC$2:$AC$495&gt;=4))*ROW('CONTROL MASTER'!$S$2:$S$495))-(ROW('CONTROL MASTER'!#REF!)-1)))-INDEX('CONTROL MASTER'!$AA$2:$AA$495,(SUMPRODUCT((('CONTROL MASTER'!$S$2:$S$495=11)*('CONTROL MASTER'!$Z$2:$Z$495&lt;=5)*('CONTROL MASTER'!$AB$2:$AB$495&gt;=5)*('CONTROL MASTER'!$AA$2:$AA$495&lt;=4)*('CONTROL MASTER'!$AC$2:$AC$495&gt;=4))*ROW('CONTROL MASTER'!$S$2:$S$495))-(ROW('CONTROL MASTER'!#REF!)-1)))+1)+(4-INDEX('CONTROL MASTER'!$AA$2:$AA$495,(SUMPRODUCT((('CONTROL MASTER'!$S$2:$S$495=11)*('CONTROL MASTER'!$Z$2:$Z$495&lt;=5)*('CONTROL MASTER'!$AB$2:$AB$495&gt;=5)*('CONTROL MASTER'!$AA$2:$AA$495&lt;=4)*('CONTROL MASTER'!$AC$2:$AC$495&gt;=4))*ROW('CONTROL MASTER'!$S$2:$S$495))-(ROW('CONTROL MASTER'!#REF!)-1))))+1)))-1)*50+1,50))&amp;"_"&amp;INDEX('CONTROL MASTER'!$P$2:$P$495,(SUMPRODUCT((('CONTROL MASTER'!$S$2:$S$495=11)*('CONTROL MASTER'!$Z$2:$Z$495&lt;=5)*('CONTROL MASTER'!$AB$2:$AB$495&gt;=5)*('CONTROL MASTER'!$AA$2:$AA$495&lt;=4)*('CONTROL MASTER'!$AC$2:$AC$495&gt;=4))*ROW('CONTROL MASTER'!$S$2:$S$495))-(ROW('CONTROL MASTER'!#REF!)-1))),"")),"")</f>
        <v/>
      </c>
      <c r="F147" s="10" t="str">
        <f>IFERROR(IF(SUMPRODUCT((('CONTROL MASTER'!$S$2:$S$495=11)*('CONTROL MASTER'!$T$2:$T$495&lt;=5)*('CONTROL MASTER'!$V$2:$V$495&gt;=5)*('CONTROL MASTER'!$U$2:$U$495&lt;=5)*('CONTROL MASTER'!$W$2:$W$495&gt;=5))*ROW('CONTROL MASTER'!$S$2:$S$495))&gt;0,INDEX('CONTROL MASTER'!$X$2:$X$495,(SUMPRODUCT((('CONTROL MASTER'!$S$2:$S$495=11)*('CONTROL MASTER'!$T$2:$T$495&lt;=5)*('CONTROL MASTER'!$V$2:$V$495&gt;=5)*('CONTROL MASTER'!$U$2:$U$495&lt;=5)*('CONTROL MASTER'!$W$2:$W$495&gt;=5))*ROW('CONTROL MASTER'!$S$2:$S$495))-(ROW('CONTROL MASTER'!#REF!)-1)))&amp;TRIM(MID(SUBSTITUTE(SUBSTITUTE(INDEX('CONTROL MASTER'!$N$2:$N$495,(SUMPRODUCT((('CONTROL MASTER'!$S$2:$S$495=11)*('CONTROL MASTER'!$T$2:$T$495&lt;=5)*('CONTROL MASTER'!$V$2:$V$495&gt;=5)*('CONTROL MASTER'!$U$2:$U$495&lt;=5)*('CONTROL MASTER'!$W$2:$W$495&gt;=5))*ROW('CONTROL MASTER'!$S$2:$S$495))-(ROW('CONTROL MASTER'!#REF!)-1))),":",","),",",REPT(" ",50)),((((5-INDEX('CONTROL MASTER'!$T$2:$T$495,(SUMPRODUCT((('CONTROL MASTER'!$S$2:$S$495=11)*('CONTROL MASTER'!$T$2:$T$495&lt;=5)*('CONTROL MASTER'!$V$2:$V$495&gt;=5)*('CONTROL MASTER'!$U$2:$U$495&lt;=5)*('CONTROL MASTER'!$W$2:$W$495&gt;=5))*ROW('CONTROL MASTER'!$S$2:$S$495))-(ROW('CONTROL MASTER'!#REF!)-1))))*(INDEX('CONTROL MASTER'!$W$2:$W$495,(SUMPRODUCT((('CONTROL MASTER'!$S$2:$S$495=11)*('CONTROL MASTER'!$T$2:$T$495&lt;=5)*('CONTROL MASTER'!$V$2:$V$495&gt;=5)*('CONTROL MASTER'!$U$2:$U$495&lt;=5)*('CONTROL MASTER'!$W$2:$W$495&gt;=5))*ROW('CONTROL MASTER'!$S$2:$S$495))-(ROW('CONTROL MASTER'!#REF!)-1)))-INDEX('CONTROL MASTER'!$U$2:$U$495,(SUMPRODUCT((('CONTROL MASTER'!$S$2:$S$495=11)*('CONTROL MASTER'!$T$2:$T$495&lt;=5)*('CONTROL MASTER'!$V$2:$V$495&gt;=5)*('CONTROL MASTER'!$U$2:$U$495&lt;=5)*('CONTROL MASTER'!$W$2:$W$495&gt;=5))*ROW('CONTROL MASTER'!$S$2:$S$495))-(ROW('CONTROL MASTER'!#REF!)-1)))+1)+(5-INDEX('CONTROL MASTER'!$U$2:$U$495,(SUMPRODUCT((('CONTROL MASTER'!$S$2:$S$495=11)*('CONTROL MASTER'!$T$2:$T$495&lt;=5)*('CONTROL MASTER'!$V$2:$V$495&gt;=5)*('CONTROL MASTER'!$U$2:$U$495&lt;=5)*('CONTROL MASTER'!$W$2:$W$495&gt;=5))*ROW('CONTROL MASTER'!$S$2:$S$495))-(ROW('CONTROL MASTER'!#REF!)-1))))+1))-1)*50+1,50))&amp;"_"&amp;INDEX('CONTROL MASTER'!$P$2:$P$495,(SUMPRODUCT((('CONTROL MASTER'!$S$2:$S$495=11)*('CONTROL MASTER'!$T$2:$T$495&lt;=5)*('CONTROL MASTER'!$V$2:$V$495&gt;=5)*('CONTROL MASTER'!$U$2:$U$495&lt;=5)*('CONTROL MASTER'!$W$2:$W$495&gt;=5))*ROW('CONTROL MASTER'!$S$2:$S$495))-(ROW('CONTROL MASTER'!#REF!)-1))),IF(SUMPRODUCT((('CONTROL MASTER'!$S$2:$S$495=11)*('CONTROL MASTER'!$Z$2:$Z$495&lt;=5)*('CONTROL MASTER'!$AB$2:$AB$495&gt;=5)*('CONTROL MASTER'!$AA$2:$AA$495&lt;=5)*('CONTROL MASTER'!$AC$2:$AC$495&gt;=5))*ROW('CONTROL MASTER'!$S$2:$S$495))&gt;0,INDEX('CONTROL MASTER'!$X$2:$X$495,(SUMPRODUCT((('CONTROL MASTER'!$S$2:$S$495=11)*('CONTROL MASTER'!$Z$2:$Z$495&lt;=5)*('CONTROL MASTER'!$AB$2:$AB$495&gt;=5)*('CONTROL MASTER'!$AA$2:$AA$495&lt;=5)*('CONTROL MASTER'!$AC$2:$AC$495&gt;=5))*ROW('CONTROL MASTER'!$S$2:$S$495))-(ROW('CONTROL MASTER'!#REF!)-1)))&amp;TRIM(MID(SUBSTITUTE(SUBSTITUTE(INDEX('CONTROL MASTER'!$N$2:$N$495,(SUMPRODUCT((('CONTROL MASTER'!$S$2:$S$495=11)*('CONTROL MASTER'!$Z$2:$Z$495&lt;=5)*('CONTROL MASTER'!$AB$2:$AB$495&gt;=5)*('CONTROL MASTER'!$AA$2:$AA$495&lt;=5)*('CONTROL MASTER'!$AC$2:$AC$495&gt;=5))*ROW('CONTROL MASTER'!$S$2:$S$495))-(ROW('CONTROL MASTER'!#REF!)-1))),":",","),",",REPT(" ",50)),(((INDEX('CONTROL MASTER'!$Y$2:$Y$495,(SUMPRODUCT((('CONTROL MASTER'!$S$2:$S$495=11)*('CONTROL MASTER'!$Z$2:$Z$495&lt;=5)*('CONTROL MASTER'!$AB$2:$AB$495&gt;=5)*('CONTROL MASTER'!$AA$2:$AA$495&lt;=5)*('CONTROL MASTER'!$AC$2:$AC$495&gt;=5))*ROW('CONTROL MASTER'!$S$2:$S$495))-(ROW('CONTROL MASTER'!#REF!)-1)))+((5-INDEX('CONTROL MASTER'!$Z$2:$Z$495,(SUMPRODUCT((('CONTROL MASTER'!$S$2:$S$495=11)*('CONTROL MASTER'!$Z$2:$Z$495&lt;=5)*('CONTROL MASTER'!$AB$2:$AB$495&gt;=5)*('CONTROL MASTER'!$AA$2:$AA$495&lt;=5)*('CONTROL MASTER'!$AC$2:$AC$495&gt;=5))*ROW('CONTROL MASTER'!$S$2:$S$495))-(ROW('CONTROL MASTER'!#REF!)-1))))*(INDEX('CONTROL MASTER'!$AC$2:$AC$495,(SUMPRODUCT((('CONTROL MASTER'!$S$2:$S$495=11)*('CONTROL MASTER'!$Z$2:$Z$495&lt;=5)*('CONTROL MASTER'!$AB$2:$AB$495&gt;=5)*('CONTROL MASTER'!$AA$2:$AA$495&lt;=5)*('CONTROL MASTER'!$AC$2:$AC$495&gt;=5))*ROW('CONTROL MASTER'!$S$2:$S$495))-(ROW('CONTROL MASTER'!#REF!)-1)))-INDEX('CONTROL MASTER'!$AA$2:$AA$495,(SUMPRODUCT((('CONTROL MASTER'!$S$2:$S$495=11)*('CONTROL MASTER'!$Z$2:$Z$495&lt;=5)*('CONTROL MASTER'!$AB$2:$AB$495&gt;=5)*('CONTROL MASTER'!$AA$2:$AA$495&lt;=5)*('CONTROL MASTER'!$AC$2:$AC$495&gt;=5))*ROW('CONTROL MASTER'!$S$2:$S$495))-(ROW('CONTROL MASTER'!#REF!)-1)))+1)+(5-INDEX('CONTROL MASTER'!$AA$2:$AA$495,(SUMPRODUCT((('CONTROL MASTER'!$S$2:$S$495=11)*('CONTROL MASTER'!$Z$2:$Z$495&lt;=5)*('CONTROL MASTER'!$AB$2:$AB$495&gt;=5)*('CONTROL MASTER'!$AA$2:$AA$495&lt;=5)*('CONTROL MASTER'!$AC$2:$AC$495&gt;=5))*ROW('CONTROL MASTER'!$S$2:$S$495))-(ROW('CONTROL MASTER'!#REF!)-1))))+1)))-1)*50+1,50))&amp;"_"&amp;INDEX('CONTROL MASTER'!$P$2:$P$495,(SUMPRODUCT((('CONTROL MASTER'!$S$2:$S$495=11)*('CONTROL MASTER'!$Z$2:$Z$495&lt;=5)*('CONTROL MASTER'!$AB$2:$AB$495&gt;=5)*('CONTROL MASTER'!$AA$2:$AA$495&lt;=5)*('CONTROL MASTER'!$AC$2:$AC$495&gt;=5))*ROW('CONTROL MASTER'!$S$2:$S$495))-(ROW('CONTROL MASTER'!#REF!)-1))),"")),"")</f>
        <v/>
      </c>
      <c r="G147" s="10" t="str">
        <f>IFERROR(IF(SUMPRODUCT((('CONTROL MASTER'!$S$2:$S$495=11)*('CONTROL MASTER'!$T$2:$T$495&lt;=5)*('CONTROL MASTER'!$V$2:$V$495&gt;=5)*('CONTROL MASTER'!$U$2:$U$495&lt;=6)*('CONTROL MASTER'!$W$2:$W$495&gt;=6))*ROW('CONTROL MASTER'!$S$2:$S$495))&gt;0,INDEX('CONTROL MASTER'!$X$2:$X$495,(SUMPRODUCT((('CONTROL MASTER'!$S$2:$S$495=11)*('CONTROL MASTER'!$T$2:$T$495&lt;=5)*('CONTROL MASTER'!$V$2:$V$495&gt;=5)*('CONTROL MASTER'!$U$2:$U$495&lt;=6)*('CONTROL MASTER'!$W$2:$W$495&gt;=6))*ROW('CONTROL MASTER'!$S$2:$S$495))-(ROW('CONTROL MASTER'!#REF!)-1)))&amp;TRIM(MID(SUBSTITUTE(SUBSTITUTE(INDEX('CONTROL MASTER'!$N$2:$N$495,(SUMPRODUCT((('CONTROL MASTER'!$S$2:$S$495=11)*('CONTROL MASTER'!$T$2:$T$495&lt;=5)*('CONTROL MASTER'!$V$2:$V$495&gt;=5)*('CONTROL MASTER'!$U$2:$U$495&lt;=6)*('CONTROL MASTER'!$W$2:$W$495&gt;=6))*ROW('CONTROL MASTER'!$S$2:$S$495))-(ROW('CONTROL MASTER'!#REF!)-1))),":",","),",",REPT(" ",50)),((((5-INDEX('CONTROL MASTER'!$T$2:$T$495,(SUMPRODUCT((('CONTROL MASTER'!$S$2:$S$495=11)*('CONTROL MASTER'!$T$2:$T$495&lt;=5)*('CONTROL MASTER'!$V$2:$V$495&gt;=5)*('CONTROL MASTER'!$U$2:$U$495&lt;=6)*('CONTROL MASTER'!$W$2:$W$495&gt;=6))*ROW('CONTROL MASTER'!$S$2:$S$495))-(ROW('CONTROL MASTER'!#REF!)-1))))*(INDEX('CONTROL MASTER'!$W$2:$W$495,(SUMPRODUCT((('CONTROL MASTER'!$S$2:$S$495=11)*('CONTROL MASTER'!$T$2:$T$495&lt;=5)*('CONTROL MASTER'!$V$2:$V$495&gt;=5)*('CONTROL MASTER'!$U$2:$U$495&lt;=6)*('CONTROL MASTER'!$W$2:$W$495&gt;=6))*ROW('CONTROL MASTER'!$S$2:$S$495))-(ROW('CONTROL MASTER'!#REF!)-1)))-INDEX('CONTROL MASTER'!$U$2:$U$495,(SUMPRODUCT((('CONTROL MASTER'!$S$2:$S$495=11)*('CONTROL MASTER'!$T$2:$T$495&lt;=5)*('CONTROL MASTER'!$V$2:$V$495&gt;=5)*('CONTROL MASTER'!$U$2:$U$495&lt;=6)*('CONTROL MASTER'!$W$2:$W$495&gt;=6))*ROW('CONTROL MASTER'!$S$2:$S$495))-(ROW('CONTROL MASTER'!#REF!)-1)))+1)+(6-INDEX('CONTROL MASTER'!$U$2:$U$495,(SUMPRODUCT((('CONTROL MASTER'!$S$2:$S$495=11)*('CONTROL MASTER'!$T$2:$T$495&lt;=5)*('CONTROL MASTER'!$V$2:$V$495&gt;=5)*('CONTROL MASTER'!$U$2:$U$495&lt;=6)*('CONTROL MASTER'!$W$2:$W$495&gt;=6))*ROW('CONTROL MASTER'!$S$2:$S$495))-(ROW('CONTROL MASTER'!#REF!)-1))))+1))-1)*50+1,50))&amp;"_"&amp;INDEX('CONTROL MASTER'!$P$2:$P$495,(SUMPRODUCT((('CONTROL MASTER'!$S$2:$S$495=11)*('CONTROL MASTER'!$T$2:$T$495&lt;=5)*('CONTROL MASTER'!$V$2:$V$495&gt;=5)*('CONTROL MASTER'!$U$2:$U$495&lt;=6)*('CONTROL MASTER'!$W$2:$W$495&gt;=6))*ROW('CONTROL MASTER'!$S$2:$S$495))-(ROW('CONTROL MASTER'!#REF!)-1))),IF(SUMPRODUCT((('CONTROL MASTER'!$S$2:$S$495=11)*('CONTROL MASTER'!$Z$2:$Z$495&lt;=5)*('CONTROL MASTER'!$AB$2:$AB$495&gt;=5)*('CONTROL MASTER'!$AA$2:$AA$495&lt;=6)*('CONTROL MASTER'!$AC$2:$AC$495&gt;=6))*ROW('CONTROL MASTER'!$S$2:$S$495))&gt;0,INDEX('CONTROL MASTER'!$X$2:$X$495,(SUMPRODUCT((('CONTROL MASTER'!$S$2:$S$495=11)*('CONTROL MASTER'!$Z$2:$Z$495&lt;=5)*('CONTROL MASTER'!$AB$2:$AB$495&gt;=5)*('CONTROL MASTER'!$AA$2:$AA$495&lt;=6)*('CONTROL MASTER'!$AC$2:$AC$495&gt;=6))*ROW('CONTROL MASTER'!$S$2:$S$495))-(ROW('CONTROL MASTER'!#REF!)-1)))&amp;TRIM(MID(SUBSTITUTE(SUBSTITUTE(INDEX('CONTROL MASTER'!$N$2:$N$495,(SUMPRODUCT((('CONTROL MASTER'!$S$2:$S$495=11)*('CONTROL MASTER'!$Z$2:$Z$495&lt;=5)*('CONTROL MASTER'!$AB$2:$AB$495&gt;=5)*('CONTROL MASTER'!$AA$2:$AA$495&lt;=6)*('CONTROL MASTER'!$AC$2:$AC$495&gt;=6))*ROW('CONTROL MASTER'!$S$2:$S$495))-(ROW('CONTROL MASTER'!#REF!)-1))),":",","),",",REPT(" ",50)),(((INDEX('CONTROL MASTER'!$Y$2:$Y$495,(SUMPRODUCT((('CONTROL MASTER'!$S$2:$S$495=11)*('CONTROL MASTER'!$Z$2:$Z$495&lt;=5)*('CONTROL MASTER'!$AB$2:$AB$495&gt;=5)*('CONTROL MASTER'!$AA$2:$AA$495&lt;=6)*('CONTROL MASTER'!$AC$2:$AC$495&gt;=6))*ROW('CONTROL MASTER'!$S$2:$S$495))-(ROW('CONTROL MASTER'!#REF!)-1)))+((5-INDEX('CONTROL MASTER'!$Z$2:$Z$495,(SUMPRODUCT((('CONTROL MASTER'!$S$2:$S$495=11)*('CONTROL MASTER'!$Z$2:$Z$495&lt;=5)*('CONTROL MASTER'!$AB$2:$AB$495&gt;=5)*('CONTROL MASTER'!$AA$2:$AA$495&lt;=6)*('CONTROL MASTER'!$AC$2:$AC$495&gt;=6))*ROW('CONTROL MASTER'!$S$2:$S$495))-(ROW('CONTROL MASTER'!#REF!)-1))))*(INDEX('CONTROL MASTER'!$AC$2:$AC$495,(SUMPRODUCT((('CONTROL MASTER'!$S$2:$S$495=11)*('CONTROL MASTER'!$Z$2:$Z$495&lt;=5)*('CONTROL MASTER'!$AB$2:$AB$495&gt;=5)*('CONTROL MASTER'!$AA$2:$AA$495&lt;=6)*('CONTROL MASTER'!$AC$2:$AC$495&gt;=6))*ROW('CONTROL MASTER'!$S$2:$S$495))-(ROW('CONTROL MASTER'!#REF!)-1)))-INDEX('CONTROL MASTER'!$AA$2:$AA$495,(SUMPRODUCT((('CONTROL MASTER'!$S$2:$S$495=11)*('CONTROL MASTER'!$Z$2:$Z$495&lt;=5)*('CONTROL MASTER'!$AB$2:$AB$495&gt;=5)*('CONTROL MASTER'!$AA$2:$AA$495&lt;=6)*('CONTROL MASTER'!$AC$2:$AC$495&gt;=6))*ROW('CONTROL MASTER'!$S$2:$S$495))-(ROW('CONTROL MASTER'!#REF!)-1)))+1)+(6-INDEX('CONTROL MASTER'!$AA$2:$AA$495,(SUMPRODUCT((('CONTROL MASTER'!$S$2:$S$495=11)*('CONTROL MASTER'!$Z$2:$Z$495&lt;=5)*('CONTROL MASTER'!$AB$2:$AB$495&gt;=5)*('CONTROL MASTER'!$AA$2:$AA$495&lt;=6)*('CONTROL MASTER'!$AC$2:$AC$495&gt;=6))*ROW('CONTROL MASTER'!$S$2:$S$495))-(ROW('CONTROL MASTER'!#REF!)-1))))+1)))-1)*50+1,50))&amp;"_"&amp;INDEX('CONTROL MASTER'!$P$2:$P$495,(SUMPRODUCT((('CONTROL MASTER'!$S$2:$S$495=11)*('CONTROL MASTER'!$Z$2:$Z$495&lt;=5)*('CONTROL MASTER'!$AB$2:$AB$495&gt;=5)*('CONTROL MASTER'!$AA$2:$AA$495&lt;=6)*('CONTROL MASTER'!$AC$2:$AC$495&gt;=6))*ROW('CONTROL MASTER'!$S$2:$S$495))-(ROW('CONTROL MASTER'!#REF!)-1))),"")),"")</f>
        <v/>
      </c>
      <c r="H147" s="10" t="str">
        <f>IFERROR(IF(SUMPRODUCT((('CONTROL MASTER'!$S$2:$S$495=11)*('CONTROL MASTER'!$T$2:$T$495&lt;=5)*('CONTROL MASTER'!$V$2:$V$495&gt;=5)*('CONTROL MASTER'!$U$2:$U$495&lt;=7)*('CONTROL MASTER'!$W$2:$W$495&gt;=7))*ROW('CONTROL MASTER'!$S$2:$S$495))&gt;0,INDEX('CONTROL MASTER'!$X$2:$X$495,(SUMPRODUCT((('CONTROL MASTER'!$S$2:$S$495=11)*('CONTROL MASTER'!$T$2:$T$495&lt;=5)*('CONTROL MASTER'!$V$2:$V$495&gt;=5)*('CONTROL MASTER'!$U$2:$U$495&lt;=7)*('CONTROL MASTER'!$W$2:$W$495&gt;=7))*ROW('CONTROL MASTER'!$S$2:$S$495))-(ROW('CONTROL MASTER'!#REF!)-1)))&amp;TRIM(MID(SUBSTITUTE(SUBSTITUTE(INDEX('CONTROL MASTER'!$N$2:$N$495,(SUMPRODUCT((('CONTROL MASTER'!$S$2:$S$495=11)*('CONTROL MASTER'!$T$2:$T$495&lt;=5)*('CONTROL MASTER'!$V$2:$V$495&gt;=5)*('CONTROL MASTER'!$U$2:$U$495&lt;=7)*('CONTROL MASTER'!$W$2:$W$495&gt;=7))*ROW('CONTROL MASTER'!$S$2:$S$495))-(ROW('CONTROL MASTER'!#REF!)-1))),":",","),",",REPT(" ",50)),((((5-INDEX('CONTROL MASTER'!$T$2:$T$495,(SUMPRODUCT((('CONTROL MASTER'!$S$2:$S$495=11)*('CONTROL MASTER'!$T$2:$T$495&lt;=5)*('CONTROL MASTER'!$V$2:$V$495&gt;=5)*('CONTROL MASTER'!$U$2:$U$495&lt;=7)*('CONTROL MASTER'!$W$2:$W$495&gt;=7))*ROW('CONTROL MASTER'!$S$2:$S$495))-(ROW('CONTROL MASTER'!#REF!)-1))))*(INDEX('CONTROL MASTER'!$W$2:$W$495,(SUMPRODUCT((('CONTROL MASTER'!$S$2:$S$495=11)*('CONTROL MASTER'!$T$2:$T$495&lt;=5)*('CONTROL MASTER'!$V$2:$V$495&gt;=5)*('CONTROL MASTER'!$U$2:$U$495&lt;=7)*('CONTROL MASTER'!$W$2:$W$495&gt;=7))*ROW('CONTROL MASTER'!$S$2:$S$495))-(ROW('CONTROL MASTER'!#REF!)-1)))-INDEX('CONTROL MASTER'!$U$2:$U$495,(SUMPRODUCT((('CONTROL MASTER'!$S$2:$S$495=11)*('CONTROL MASTER'!$T$2:$T$495&lt;=5)*('CONTROL MASTER'!$V$2:$V$495&gt;=5)*('CONTROL MASTER'!$U$2:$U$495&lt;=7)*('CONTROL MASTER'!$W$2:$W$495&gt;=7))*ROW('CONTROL MASTER'!$S$2:$S$495))-(ROW('CONTROL MASTER'!#REF!)-1)))+1)+(7-INDEX('CONTROL MASTER'!$U$2:$U$495,(SUMPRODUCT((('CONTROL MASTER'!$S$2:$S$495=11)*('CONTROL MASTER'!$T$2:$T$495&lt;=5)*('CONTROL MASTER'!$V$2:$V$495&gt;=5)*('CONTROL MASTER'!$U$2:$U$495&lt;=7)*('CONTROL MASTER'!$W$2:$W$495&gt;=7))*ROW('CONTROL MASTER'!$S$2:$S$495))-(ROW('CONTROL MASTER'!#REF!)-1))))+1))-1)*50+1,50))&amp;"_"&amp;INDEX('CONTROL MASTER'!$P$2:$P$495,(SUMPRODUCT((('CONTROL MASTER'!$S$2:$S$495=11)*('CONTROL MASTER'!$T$2:$T$495&lt;=5)*('CONTROL MASTER'!$V$2:$V$495&gt;=5)*('CONTROL MASTER'!$U$2:$U$495&lt;=7)*('CONTROL MASTER'!$W$2:$W$495&gt;=7))*ROW('CONTROL MASTER'!$S$2:$S$495))-(ROW('CONTROL MASTER'!#REF!)-1))),IF(SUMPRODUCT((('CONTROL MASTER'!$S$2:$S$495=11)*('CONTROL MASTER'!$Z$2:$Z$495&lt;=5)*('CONTROL MASTER'!$AB$2:$AB$495&gt;=5)*('CONTROL MASTER'!$AA$2:$AA$495&lt;=7)*('CONTROL MASTER'!$AC$2:$AC$495&gt;=7))*ROW('CONTROL MASTER'!$S$2:$S$495))&gt;0,INDEX('CONTROL MASTER'!$X$2:$X$495,(SUMPRODUCT((('CONTROL MASTER'!$S$2:$S$495=11)*('CONTROL MASTER'!$Z$2:$Z$495&lt;=5)*('CONTROL MASTER'!$AB$2:$AB$495&gt;=5)*('CONTROL MASTER'!$AA$2:$AA$495&lt;=7)*('CONTROL MASTER'!$AC$2:$AC$495&gt;=7))*ROW('CONTROL MASTER'!$S$2:$S$495))-(ROW('CONTROL MASTER'!#REF!)-1)))&amp;TRIM(MID(SUBSTITUTE(SUBSTITUTE(INDEX('CONTROL MASTER'!$N$2:$N$495,(SUMPRODUCT((('CONTROL MASTER'!$S$2:$S$495=11)*('CONTROL MASTER'!$Z$2:$Z$495&lt;=5)*('CONTROL MASTER'!$AB$2:$AB$495&gt;=5)*('CONTROL MASTER'!$AA$2:$AA$495&lt;=7)*('CONTROL MASTER'!$AC$2:$AC$495&gt;=7))*ROW('CONTROL MASTER'!$S$2:$S$495))-(ROW('CONTROL MASTER'!#REF!)-1))),":",","),",",REPT(" ",50)),(((INDEX('CONTROL MASTER'!$Y$2:$Y$495,(SUMPRODUCT((('CONTROL MASTER'!$S$2:$S$495=11)*('CONTROL MASTER'!$Z$2:$Z$495&lt;=5)*('CONTROL MASTER'!$AB$2:$AB$495&gt;=5)*('CONTROL MASTER'!$AA$2:$AA$495&lt;=7)*('CONTROL MASTER'!$AC$2:$AC$495&gt;=7))*ROW('CONTROL MASTER'!$S$2:$S$495))-(ROW('CONTROL MASTER'!#REF!)-1)))+((5-INDEX('CONTROL MASTER'!$Z$2:$Z$495,(SUMPRODUCT((('CONTROL MASTER'!$S$2:$S$495=11)*('CONTROL MASTER'!$Z$2:$Z$495&lt;=5)*('CONTROL MASTER'!$AB$2:$AB$495&gt;=5)*('CONTROL MASTER'!$AA$2:$AA$495&lt;=7)*('CONTROL MASTER'!$AC$2:$AC$495&gt;=7))*ROW('CONTROL MASTER'!$S$2:$S$495))-(ROW('CONTROL MASTER'!#REF!)-1))))*(INDEX('CONTROL MASTER'!$AC$2:$AC$495,(SUMPRODUCT((('CONTROL MASTER'!$S$2:$S$495=11)*('CONTROL MASTER'!$Z$2:$Z$495&lt;=5)*('CONTROL MASTER'!$AB$2:$AB$495&gt;=5)*('CONTROL MASTER'!$AA$2:$AA$495&lt;=7)*('CONTROL MASTER'!$AC$2:$AC$495&gt;=7))*ROW('CONTROL MASTER'!$S$2:$S$495))-(ROW('CONTROL MASTER'!#REF!)-1)))-INDEX('CONTROL MASTER'!$AA$2:$AA$495,(SUMPRODUCT((('CONTROL MASTER'!$S$2:$S$495=11)*('CONTROL MASTER'!$Z$2:$Z$495&lt;=5)*('CONTROL MASTER'!$AB$2:$AB$495&gt;=5)*('CONTROL MASTER'!$AA$2:$AA$495&lt;=7)*('CONTROL MASTER'!$AC$2:$AC$495&gt;=7))*ROW('CONTROL MASTER'!$S$2:$S$495))-(ROW('CONTROL MASTER'!#REF!)-1)))+1)+(7-INDEX('CONTROL MASTER'!$AA$2:$AA$495,(SUMPRODUCT((('CONTROL MASTER'!$S$2:$S$495=11)*('CONTROL MASTER'!$Z$2:$Z$495&lt;=5)*('CONTROL MASTER'!$AB$2:$AB$495&gt;=5)*('CONTROL MASTER'!$AA$2:$AA$495&lt;=7)*('CONTROL MASTER'!$AC$2:$AC$495&gt;=7))*ROW('CONTROL MASTER'!$S$2:$S$495))-(ROW('CONTROL MASTER'!#REF!)-1))))+1)))-1)*50+1,50))&amp;"_"&amp;INDEX('CONTROL MASTER'!$P$2:$P$495,(SUMPRODUCT((('CONTROL MASTER'!$S$2:$S$495=11)*('CONTROL MASTER'!$Z$2:$Z$495&lt;=5)*('CONTROL MASTER'!$AB$2:$AB$495&gt;=5)*('CONTROL MASTER'!$AA$2:$AA$495&lt;=7)*('CONTROL MASTER'!$AC$2:$AC$495&gt;=7))*ROW('CONTROL MASTER'!$S$2:$S$495))-(ROW('CONTROL MASTER'!#REF!)-1))),"")),"")</f>
        <v/>
      </c>
      <c r="I147" s="10" t="str">
        <f>IFERROR(IF(SUMPRODUCT((('CONTROL MASTER'!$S$2:$S$495=11)*('CONTROL MASTER'!$T$2:$T$495&lt;=5)*('CONTROL MASTER'!$V$2:$V$495&gt;=5)*('CONTROL MASTER'!$U$2:$U$495&lt;=8)*('CONTROL MASTER'!$W$2:$W$495&gt;=8))*ROW('CONTROL MASTER'!$S$2:$S$495))&gt;0,INDEX('CONTROL MASTER'!$X$2:$X$495,(SUMPRODUCT((('CONTROL MASTER'!$S$2:$S$495=11)*('CONTROL MASTER'!$T$2:$T$495&lt;=5)*('CONTROL MASTER'!$V$2:$V$495&gt;=5)*('CONTROL MASTER'!$U$2:$U$495&lt;=8)*('CONTROL MASTER'!$W$2:$W$495&gt;=8))*ROW('CONTROL MASTER'!$S$2:$S$495))-(ROW('CONTROL MASTER'!#REF!)-1)))&amp;TRIM(MID(SUBSTITUTE(SUBSTITUTE(INDEX('CONTROL MASTER'!$N$2:$N$495,(SUMPRODUCT((('CONTROL MASTER'!$S$2:$S$495=11)*('CONTROL MASTER'!$T$2:$T$495&lt;=5)*('CONTROL MASTER'!$V$2:$V$495&gt;=5)*('CONTROL MASTER'!$U$2:$U$495&lt;=8)*('CONTROL MASTER'!$W$2:$W$495&gt;=8))*ROW('CONTROL MASTER'!$S$2:$S$495))-(ROW('CONTROL MASTER'!#REF!)-1))),":",","),",",REPT(" ",50)),((((5-INDEX('CONTROL MASTER'!$T$2:$T$495,(SUMPRODUCT((('CONTROL MASTER'!$S$2:$S$495=11)*('CONTROL MASTER'!$T$2:$T$495&lt;=5)*('CONTROL MASTER'!$V$2:$V$495&gt;=5)*('CONTROL MASTER'!$U$2:$U$495&lt;=8)*('CONTROL MASTER'!$W$2:$W$495&gt;=8))*ROW('CONTROL MASTER'!$S$2:$S$495))-(ROW('CONTROL MASTER'!#REF!)-1))))*(INDEX('CONTROL MASTER'!$W$2:$W$495,(SUMPRODUCT((('CONTROL MASTER'!$S$2:$S$495=11)*('CONTROL MASTER'!$T$2:$T$495&lt;=5)*('CONTROL MASTER'!$V$2:$V$495&gt;=5)*('CONTROL MASTER'!$U$2:$U$495&lt;=8)*('CONTROL MASTER'!$W$2:$W$495&gt;=8))*ROW('CONTROL MASTER'!$S$2:$S$495))-(ROW('CONTROL MASTER'!#REF!)-1)))-INDEX('CONTROL MASTER'!$U$2:$U$495,(SUMPRODUCT((('CONTROL MASTER'!$S$2:$S$495=11)*('CONTROL MASTER'!$T$2:$T$495&lt;=5)*('CONTROL MASTER'!$V$2:$V$495&gt;=5)*('CONTROL MASTER'!$U$2:$U$495&lt;=8)*('CONTROL MASTER'!$W$2:$W$495&gt;=8))*ROW('CONTROL MASTER'!$S$2:$S$495))-(ROW('CONTROL MASTER'!#REF!)-1)))+1)+(8-INDEX('CONTROL MASTER'!$U$2:$U$495,(SUMPRODUCT((('CONTROL MASTER'!$S$2:$S$495=11)*('CONTROL MASTER'!$T$2:$T$495&lt;=5)*('CONTROL MASTER'!$V$2:$V$495&gt;=5)*('CONTROL MASTER'!$U$2:$U$495&lt;=8)*('CONTROL MASTER'!$W$2:$W$495&gt;=8))*ROW('CONTROL MASTER'!$S$2:$S$495))-(ROW('CONTROL MASTER'!#REF!)-1))))+1))-1)*50+1,50))&amp;"_"&amp;INDEX('CONTROL MASTER'!$P$2:$P$495,(SUMPRODUCT((('CONTROL MASTER'!$S$2:$S$495=11)*('CONTROL MASTER'!$T$2:$T$495&lt;=5)*('CONTROL MASTER'!$V$2:$V$495&gt;=5)*('CONTROL MASTER'!$U$2:$U$495&lt;=8)*('CONTROL MASTER'!$W$2:$W$495&gt;=8))*ROW('CONTROL MASTER'!$S$2:$S$495))-(ROW('CONTROL MASTER'!#REF!)-1))),IF(SUMPRODUCT((('CONTROL MASTER'!$S$2:$S$495=11)*('CONTROL MASTER'!$Z$2:$Z$495&lt;=5)*('CONTROL MASTER'!$AB$2:$AB$495&gt;=5)*('CONTROL MASTER'!$AA$2:$AA$495&lt;=8)*('CONTROL MASTER'!$AC$2:$AC$495&gt;=8))*ROW('CONTROL MASTER'!$S$2:$S$495))&gt;0,INDEX('CONTROL MASTER'!$X$2:$X$495,(SUMPRODUCT((('CONTROL MASTER'!$S$2:$S$495=11)*('CONTROL MASTER'!$Z$2:$Z$495&lt;=5)*('CONTROL MASTER'!$AB$2:$AB$495&gt;=5)*('CONTROL MASTER'!$AA$2:$AA$495&lt;=8)*('CONTROL MASTER'!$AC$2:$AC$495&gt;=8))*ROW('CONTROL MASTER'!$S$2:$S$495))-(ROW('CONTROL MASTER'!#REF!)-1)))&amp;TRIM(MID(SUBSTITUTE(SUBSTITUTE(INDEX('CONTROL MASTER'!$N$2:$N$495,(SUMPRODUCT((('CONTROL MASTER'!$S$2:$S$495=11)*('CONTROL MASTER'!$Z$2:$Z$495&lt;=5)*('CONTROL MASTER'!$AB$2:$AB$495&gt;=5)*('CONTROL MASTER'!$AA$2:$AA$495&lt;=8)*('CONTROL MASTER'!$AC$2:$AC$495&gt;=8))*ROW('CONTROL MASTER'!$S$2:$S$495))-(ROW('CONTROL MASTER'!#REF!)-1))),":",","),",",REPT(" ",50)),(((INDEX('CONTROL MASTER'!$Y$2:$Y$495,(SUMPRODUCT((('CONTROL MASTER'!$S$2:$S$495=11)*('CONTROL MASTER'!$Z$2:$Z$495&lt;=5)*('CONTROL MASTER'!$AB$2:$AB$495&gt;=5)*('CONTROL MASTER'!$AA$2:$AA$495&lt;=8)*('CONTROL MASTER'!$AC$2:$AC$495&gt;=8))*ROW('CONTROL MASTER'!$S$2:$S$495))-(ROW('CONTROL MASTER'!#REF!)-1)))+((5-INDEX('CONTROL MASTER'!$Z$2:$Z$495,(SUMPRODUCT((('CONTROL MASTER'!$S$2:$S$495=11)*('CONTROL MASTER'!$Z$2:$Z$495&lt;=5)*('CONTROL MASTER'!$AB$2:$AB$495&gt;=5)*('CONTROL MASTER'!$AA$2:$AA$495&lt;=8)*('CONTROL MASTER'!$AC$2:$AC$495&gt;=8))*ROW('CONTROL MASTER'!$S$2:$S$495))-(ROW('CONTROL MASTER'!#REF!)-1))))*(INDEX('CONTROL MASTER'!$AC$2:$AC$495,(SUMPRODUCT((('CONTROL MASTER'!$S$2:$S$495=11)*('CONTROL MASTER'!$Z$2:$Z$495&lt;=5)*('CONTROL MASTER'!$AB$2:$AB$495&gt;=5)*('CONTROL MASTER'!$AA$2:$AA$495&lt;=8)*('CONTROL MASTER'!$AC$2:$AC$495&gt;=8))*ROW('CONTROL MASTER'!$S$2:$S$495))-(ROW('CONTROL MASTER'!#REF!)-1)))-INDEX('CONTROL MASTER'!$AA$2:$AA$495,(SUMPRODUCT((('CONTROL MASTER'!$S$2:$S$495=11)*('CONTROL MASTER'!$Z$2:$Z$495&lt;=5)*('CONTROL MASTER'!$AB$2:$AB$495&gt;=5)*('CONTROL MASTER'!$AA$2:$AA$495&lt;=8)*('CONTROL MASTER'!$AC$2:$AC$495&gt;=8))*ROW('CONTROL MASTER'!$S$2:$S$495))-(ROW('CONTROL MASTER'!#REF!)-1)))+1)+(8-INDEX('CONTROL MASTER'!$AA$2:$AA$495,(SUMPRODUCT((('CONTROL MASTER'!$S$2:$S$495=11)*('CONTROL MASTER'!$Z$2:$Z$495&lt;=5)*('CONTROL MASTER'!$AB$2:$AB$495&gt;=5)*('CONTROL MASTER'!$AA$2:$AA$495&lt;=8)*('CONTROL MASTER'!$AC$2:$AC$495&gt;=8))*ROW('CONTROL MASTER'!$S$2:$S$495))-(ROW('CONTROL MASTER'!#REF!)-1))))+1)))-1)*50+1,50))&amp;"_"&amp;INDEX('CONTROL MASTER'!$P$2:$P$495,(SUMPRODUCT((('CONTROL MASTER'!$S$2:$S$495=11)*('CONTROL MASTER'!$Z$2:$Z$495&lt;=5)*('CONTROL MASTER'!$AB$2:$AB$495&gt;=5)*('CONTROL MASTER'!$AA$2:$AA$495&lt;=8)*('CONTROL MASTER'!$AC$2:$AC$495&gt;=8))*ROW('CONTROL MASTER'!$S$2:$S$495))-(ROW('CONTROL MASTER'!#REF!)-1))),"")),"")</f>
        <v/>
      </c>
      <c r="J147" s="10" t="str">
        <f>IFERROR(IF(SUMPRODUCT((('CONTROL MASTER'!$S$2:$S$495=11)*('CONTROL MASTER'!$T$2:$T$495&lt;=5)*('CONTROL MASTER'!$V$2:$V$495&gt;=5)*('CONTROL MASTER'!$U$2:$U$495&lt;=9)*('CONTROL MASTER'!$W$2:$W$495&gt;=9))*ROW('CONTROL MASTER'!$S$2:$S$495))&gt;0,INDEX('CONTROL MASTER'!$X$2:$X$495,(SUMPRODUCT((('CONTROL MASTER'!$S$2:$S$495=11)*('CONTROL MASTER'!$T$2:$T$495&lt;=5)*('CONTROL MASTER'!$V$2:$V$495&gt;=5)*('CONTROL MASTER'!$U$2:$U$495&lt;=9)*('CONTROL MASTER'!$W$2:$W$495&gt;=9))*ROW('CONTROL MASTER'!$S$2:$S$495))-(ROW('CONTROL MASTER'!#REF!)-1)))&amp;TRIM(MID(SUBSTITUTE(SUBSTITUTE(INDEX('CONTROL MASTER'!$N$2:$N$495,(SUMPRODUCT((('CONTROL MASTER'!$S$2:$S$495=11)*('CONTROL MASTER'!$T$2:$T$495&lt;=5)*('CONTROL MASTER'!$V$2:$V$495&gt;=5)*('CONTROL MASTER'!$U$2:$U$495&lt;=9)*('CONTROL MASTER'!$W$2:$W$495&gt;=9))*ROW('CONTROL MASTER'!$S$2:$S$495))-(ROW('CONTROL MASTER'!#REF!)-1))),":",","),",",REPT(" ",50)),((((5-INDEX('CONTROL MASTER'!$T$2:$T$495,(SUMPRODUCT((('CONTROL MASTER'!$S$2:$S$495=11)*('CONTROL MASTER'!$T$2:$T$495&lt;=5)*('CONTROL MASTER'!$V$2:$V$495&gt;=5)*('CONTROL MASTER'!$U$2:$U$495&lt;=9)*('CONTROL MASTER'!$W$2:$W$495&gt;=9))*ROW('CONTROL MASTER'!$S$2:$S$495))-(ROW('CONTROL MASTER'!#REF!)-1))))*(INDEX('CONTROL MASTER'!$W$2:$W$495,(SUMPRODUCT((('CONTROL MASTER'!$S$2:$S$495=11)*('CONTROL MASTER'!$T$2:$T$495&lt;=5)*('CONTROL MASTER'!$V$2:$V$495&gt;=5)*('CONTROL MASTER'!$U$2:$U$495&lt;=9)*('CONTROL MASTER'!$W$2:$W$495&gt;=9))*ROW('CONTROL MASTER'!$S$2:$S$495))-(ROW('CONTROL MASTER'!#REF!)-1)))-INDEX('CONTROL MASTER'!$U$2:$U$495,(SUMPRODUCT((('CONTROL MASTER'!$S$2:$S$495=11)*('CONTROL MASTER'!$T$2:$T$495&lt;=5)*('CONTROL MASTER'!$V$2:$V$495&gt;=5)*('CONTROL MASTER'!$U$2:$U$495&lt;=9)*('CONTROL MASTER'!$W$2:$W$495&gt;=9))*ROW('CONTROL MASTER'!$S$2:$S$495))-(ROW('CONTROL MASTER'!#REF!)-1)))+1)+(9-INDEX('CONTROL MASTER'!$U$2:$U$495,(SUMPRODUCT((('CONTROL MASTER'!$S$2:$S$495=11)*('CONTROL MASTER'!$T$2:$T$495&lt;=5)*('CONTROL MASTER'!$V$2:$V$495&gt;=5)*('CONTROL MASTER'!$U$2:$U$495&lt;=9)*('CONTROL MASTER'!$W$2:$W$495&gt;=9))*ROW('CONTROL MASTER'!$S$2:$S$495))-(ROW('CONTROL MASTER'!#REF!)-1))))+1))-1)*50+1,50))&amp;"_"&amp;INDEX('CONTROL MASTER'!$P$2:$P$495,(SUMPRODUCT((('CONTROL MASTER'!$S$2:$S$495=11)*('CONTROL MASTER'!$T$2:$T$495&lt;=5)*('CONTROL MASTER'!$V$2:$V$495&gt;=5)*('CONTROL MASTER'!$U$2:$U$495&lt;=9)*('CONTROL MASTER'!$W$2:$W$495&gt;=9))*ROW('CONTROL MASTER'!$S$2:$S$495))-(ROW('CONTROL MASTER'!#REF!)-1))),IF(SUMPRODUCT((('CONTROL MASTER'!$S$2:$S$495=11)*('CONTROL MASTER'!$Z$2:$Z$495&lt;=5)*('CONTROL MASTER'!$AB$2:$AB$495&gt;=5)*('CONTROL MASTER'!$AA$2:$AA$495&lt;=9)*('CONTROL MASTER'!$AC$2:$AC$495&gt;=9))*ROW('CONTROL MASTER'!$S$2:$S$495))&gt;0,INDEX('CONTROL MASTER'!$X$2:$X$495,(SUMPRODUCT((('CONTROL MASTER'!$S$2:$S$495=11)*('CONTROL MASTER'!$Z$2:$Z$495&lt;=5)*('CONTROL MASTER'!$AB$2:$AB$495&gt;=5)*('CONTROL MASTER'!$AA$2:$AA$495&lt;=9)*('CONTROL MASTER'!$AC$2:$AC$495&gt;=9))*ROW('CONTROL MASTER'!$S$2:$S$495))-(ROW('CONTROL MASTER'!#REF!)-1)))&amp;TRIM(MID(SUBSTITUTE(SUBSTITUTE(INDEX('CONTROL MASTER'!$N$2:$N$495,(SUMPRODUCT((('CONTROL MASTER'!$S$2:$S$495=11)*('CONTROL MASTER'!$Z$2:$Z$495&lt;=5)*('CONTROL MASTER'!$AB$2:$AB$495&gt;=5)*('CONTROL MASTER'!$AA$2:$AA$495&lt;=9)*('CONTROL MASTER'!$AC$2:$AC$495&gt;=9))*ROW('CONTROL MASTER'!$S$2:$S$495))-(ROW('CONTROL MASTER'!#REF!)-1))),":",","),",",REPT(" ",50)),(((INDEX('CONTROL MASTER'!$Y$2:$Y$495,(SUMPRODUCT((('CONTROL MASTER'!$S$2:$S$495=11)*('CONTROL MASTER'!$Z$2:$Z$495&lt;=5)*('CONTROL MASTER'!$AB$2:$AB$495&gt;=5)*('CONTROL MASTER'!$AA$2:$AA$495&lt;=9)*('CONTROL MASTER'!$AC$2:$AC$495&gt;=9))*ROW('CONTROL MASTER'!$S$2:$S$495))-(ROW('CONTROL MASTER'!#REF!)-1)))+((5-INDEX('CONTROL MASTER'!$Z$2:$Z$495,(SUMPRODUCT((('CONTROL MASTER'!$S$2:$S$495=11)*('CONTROL MASTER'!$Z$2:$Z$495&lt;=5)*('CONTROL MASTER'!$AB$2:$AB$495&gt;=5)*('CONTROL MASTER'!$AA$2:$AA$495&lt;=9)*('CONTROL MASTER'!$AC$2:$AC$495&gt;=9))*ROW('CONTROL MASTER'!$S$2:$S$495))-(ROW('CONTROL MASTER'!#REF!)-1))))*(INDEX('CONTROL MASTER'!$AC$2:$AC$495,(SUMPRODUCT((('CONTROL MASTER'!$S$2:$S$495=11)*('CONTROL MASTER'!$Z$2:$Z$495&lt;=5)*('CONTROL MASTER'!$AB$2:$AB$495&gt;=5)*('CONTROL MASTER'!$AA$2:$AA$495&lt;=9)*('CONTROL MASTER'!$AC$2:$AC$495&gt;=9))*ROW('CONTROL MASTER'!$S$2:$S$495))-(ROW('CONTROL MASTER'!#REF!)-1)))-INDEX('CONTROL MASTER'!$AA$2:$AA$495,(SUMPRODUCT((('CONTROL MASTER'!$S$2:$S$495=11)*('CONTROL MASTER'!$Z$2:$Z$495&lt;=5)*('CONTROL MASTER'!$AB$2:$AB$495&gt;=5)*('CONTROL MASTER'!$AA$2:$AA$495&lt;=9)*('CONTROL MASTER'!$AC$2:$AC$495&gt;=9))*ROW('CONTROL MASTER'!$S$2:$S$495))-(ROW('CONTROL MASTER'!#REF!)-1)))+1)+(9-INDEX('CONTROL MASTER'!$AA$2:$AA$495,(SUMPRODUCT((('CONTROL MASTER'!$S$2:$S$495=11)*('CONTROL MASTER'!$Z$2:$Z$495&lt;=5)*('CONTROL MASTER'!$AB$2:$AB$495&gt;=5)*('CONTROL MASTER'!$AA$2:$AA$495&lt;=9)*('CONTROL MASTER'!$AC$2:$AC$495&gt;=9))*ROW('CONTROL MASTER'!$S$2:$S$495))-(ROW('CONTROL MASTER'!#REF!)-1))))+1)))-1)*50+1,50))&amp;"_"&amp;INDEX('CONTROL MASTER'!$P$2:$P$495,(SUMPRODUCT((('CONTROL MASTER'!$S$2:$S$495=11)*('CONTROL MASTER'!$Z$2:$Z$495&lt;=5)*('CONTROL MASTER'!$AB$2:$AB$495&gt;=5)*('CONTROL MASTER'!$AA$2:$AA$495&lt;=9)*('CONTROL MASTER'!$AC$2:$AC$495&gt;=9))*ROW('CONTROL MASTER'!$S$2:$S$495))-(ROW('CONTROL MASTER'!#REF!)-1))),"")),"")</f>
        <v/>
      </c>
      <c r="K147" s="10" t="str">
        <f>IFERROR(IF(SUMPRODUCT((('CONTROL MASTER'!$S$2:$S$495=11)*('CONTROL MASTER'!$T$2:$T$495&lt;=5)*('CONTROL MASTER'!$V$2:$V$495&gt;=5)*('CONTROL MASTER'!$U$2:$U$495&lt;=10)*('CONTROL MASTER'!$W$2:$W$495&gt;=10))*ROW('CONTROL MASTER'!$S$2:$S$495))&gt;0,INDEX('CONTROL MASTER'!$X$2:$X$495,(SUMPRODUCT((('CONTROL MASTER'!$S$2:$S$495=11)*('CONTROL MASTER'!$T$2:$T$495&lt;=5)*('CONTROL MASTER'!$V$2:$V$495&gt;=5)*('CONTROL MASTER'!$U$2:$U$495&lt;=10)*('CONTROL MASTER'!$W$2:$W$495&gt;=10))*ROW('CONTROL MASTER'!$S$2:$S$495))-(ROW('CONTROL MASTER'!#REF!)-1)))&amp;TRIM(MID(SUBSTITUTE(SUBSTITUTE(INDEX('CONTROL MASTER'!$N$2:$N$495,(SUMPRODUCT((('CONTROL MASTER'!$S$2:$S$495=11)*('CONTROL MASTER'!$T$2:$T$495&lt;=5)*('CONTROL MASTER'!$V$2:$V$495&gt;=5)*('CONTROL MASTER'!$U$2:$U$495&lt;=10)*('CONTROL MASTER'!$W$2:$W$495&gt;=10))*ROW('CONTROL MASTER'!$S$2:$S$495))-(ROW('CONTROL MASTER'!#REF!)-1))),":",","),",",REPT(" ",50)),((((5-INDEX('CONTROL MASTER'!$T$2:$T$495,(SUMPRODUCT((('CONTROL MASTER'!$S$2:$S$495=11)*('CONTROL MASTER'!$T$2:$T$495&lt;=5)*('CONTROL MASTER'!$V$2:$V$495&gt;=5)*('CONTROL MASTER'!$U$2:$U$495&lt;=10)*('CONTROL MASTER'!$W$2:$W$495&gt;=10))*ROW('CONTROL MASTER'!$S$2:$S$495))-(ROW('CONTROL MASTER'!#REF!)-1))))*(INDEX('CONTROL MASTER'!$W$2:$W$495,(SUMPRODUCT((('CONTROL MASTER'!$S$2:$S$495=11)*('CONTROL MASTER'!$T$2:$T$495&lt;=5)*('CONTROL MASTER'!$V$2:$V$495&gt;=5)*('CONTROL MASTER'!$U$2:$U$495&lt;=10)*('CONTROL MASTER'!$W$2:$W$495&gt;=10))*ROW('CONTROL MASTER'!$S$2:$S$495))-(ROW('CONTROL MASTER'!#REF!)-1)))-INDEX('CONTROL MASTER'!$U$2:$U$495,(SUMPRODUCT((('CONTROL MASTER'!$S$2:$S$495=11)*('CONTROL MASTER'!$T$2:$T$495&lt;=5)*('CONTROL MASTER'!$V$2:$V$495&gt;=5)*('CONTROL MASTER'!$U$2:$U$495&lt;=10)*('CONTROL MASTER'!$W$2:$W$495&gt;=10))*ROW('CONTROL MASTER'!$S$2:$S$495))-(ROW('CONTROL MASTER'!#REF!)-1)))+1)+(10-INDEX('CONTROL MASTER'!$U$2:$U$495,(SUMPRODUCT((('CONTROL MASTER'!$S$2:$S$495=11)*('CONTROL MASTER'!$T$2:$T$495&lt;=5)*('CONTROL MASTER'!$V$2:$V$495&gt;=5)*('CONTROL MASTER'!$U$2:$U$495&lt;=10)*('CONTROL MASTER'!$W$2:$W$495&gt;=10))*ROW('CONTROL MASTER'!$S$2:$S$495))-(ROW('CONTROL MASTER'!#REF!)-1))))+1))-1)*50+1,50))&amp;"_"&amp;INDEX('CONTROL MASTER'!$P$2:$P$495,(SUMPRODUCT((('CONTROL MASTER'!$S$2:$S$495=11)*('CONTROL MASTER'!$T$2:$T$495&lt;=5)*('CONTROL MASTER'!$V$2:$V$495&gt;=5)*('CONTROL MASTER'!$U$2:$U$495&lt;=10)*('CONTROL MASTER'!$W$2:$W$495&gt;=10))*ROW('CONTROL MASTER'!$S$2:$S$495))-(ROW('CONTROL MASTER'!#REF!)-1))),IF(SUMPRODUCT((('CONTROL MASTER'!$S$2:$S$495=11)*('CONTROL MASTER'!$Z$2:$Z$495&lt;=5)*('CONTROL MASTER'!$AB$2:$AB$495&gt;=5)*('CONTROL MASTER'!$AA$2:$AA$495&lt;=10)*('CONTROL MASTER'!$AC$2:$AC$495&gt;=10))*ROW('CONTROL MASTER'!$S$2:$S$495))&gt;0,INDEX('CONTROL MASTER'!$X$2:$X$495,(SUMPRODUCT((('CONTROL MASTER'!$S$2:$S$495=11)*('CONTROL MASTER'!$Z$2:$Z$495&lt;=5)*('CONTROL MASTER'!$AB$2:$AB$495&gt;=5)*('CONTROL MASTER'!$AA$2:$AA$495&lt;=10)*('CONTROL MASTER'!$AC$2:$AC$495&gt;=10))*ROW('CONTROL MASTER'!$S$2:$S$495))-(ROW('CONTROL MASTER'!#REF!)-1)))&amp;TRIM(MID(SUBSTITUTE(SUBSTITUTE(INDEX('CONTROL MASTER'!$N$2:$N$495,(SUMPRODUCT((('CONTROL MASTER'!$S$2:$S$495=11)*('CONTROL MASTER'!$Z$2:$Z$495&lt;=5)*('CONTROL MASTER'!$AB$2:$AB$495&gt;=5)*('CONTROL MASTER'!$AA$2:$AA$495&lt;=10)*('CONTROL MASTER'!$AC$2:$AC$495&gt;=10))*ROW('CONTROL MASTER'!$S$2:$S$495))-(ROW('CONTROL MASTER'!#REF!)-1))),":",","),",",REPT(" ",50)),(((INDEX('CONTROL MASTER'!$Y$2:$Y$495,(SUMPRODUCT((('CONTROL MASTER'!$S$2:$S$495=11)*('CONTROL MASTER'!$Z$2:$Z$495&lt;=5)*('CONTROL MASTER'!$AB$2:$AB$495&gt;=5)*('CONTROL MASTER'!$AA$2:$AA$495&lt;=10)*('CONTROL MASTER'!$AC$2:$AC$495&gt;=10))*ROW('CONTROL MASTER'!$S$2:$S$495))-(ROW('CONTROL MASTER'!#REF!)-1)))+((5-INDEX('CONTROL MASTER'!$Z$2:$Z$495,(SUMPRODUCT((('CONTROL MASTER'!$S$2:$S$495=11)*('CONTROL MASTER'!$Z$2:$Z$495&lt;=5)*('CONTROL MASTER'!$AB$2:$AB$495&gt;=5)*('CONTROL MASTER'!$AA$2:$AA$495&lt;=10)*('CONTROL MASTER'!$AC$2:$AC$495&gt;=10))*ROW('CONTROL MASTER'!$S$2:$S$495))-(ROW('CONTROL MASTER'!#REF!)-1))))*(INDEX('CONTROL MASTER'!$AC$2:$AC$495,(SUMPRODUCT((('CONTROL MASTER'!$S$2:$S$495=11)*('CONTROL MASTER'!$Z$2:$Z$495&lt;=5)*('CONTROL MASTER'!$AB$2:$AB$495&gt;=5)*('CONTROL MASTER'!$AA$2:$AA$495&lt;=10)*('CONTROL MASTER'!$AC$2:$AC$495&gt;=10))*ROW('CONTROL MASTER'!$S$2:$S$495))-(ROW('CONTROL MASTER'!#REF!)-1)))-INDEX('CONTROL MASTER'!$AA$2:$AA$495,(SUMPRODUCT((('CONTROL MASTER'!$S$2:$S$495=11)*('CONTROL MASTER'!$Z$2:$Z$495&lt;=5)*('CONTROL MASTER'!$AB$2:$AB$495&gt;=5)*('CONTROL MASTER'!$AA$2:$AA$495&lt;=10)*('CONTROL MASTER'!$AC$2:$AC$495&gt;=10))*ROW('CONTROL MASTER'!$S$2:$S$495))-(ROW('CONTROL MASTER'!#REF!)-1)))+1)+(10-INDEX('CONTROL MASTER'!$AA$2:$AA$495,(SUMPRODUCT((('CONTROL MASTER'!$S$2:$S$495=11)*('CONTROL MASTER'!$Z$2:$Z$495&lt;=5)*('CONTROL MASTER'!$AB$2:$AB$495&gt;=5)*('CONTROL MASTER'!$AA$2:$AA$495&lt;=10)*('CONTROL MASTER'!$AC$2:$AC$495&gt;=10))*ROW('CONTROL MASTER'!$S$2:$S$495))-(ROW('CONTROL MASTER'!#REF!)-1))))+1)))-1)*50+1,50))&amp;"_"&amp;INDEX('CONTROL MASTER'!$P$2:$P$495,(SUMPRODUCT((('CONTROL MASTER'!$S$2:$S$495=11)*('CONTROL MASTER'!$Z$2:$Z$495&lt;=5)*('CONTROL MASTER'!$AB$2:$AB$495&gt;=5)*('CONTROL MASTER'!$AA$2:$AA$495&lt;=10)*('CONTROL MASTER'!$AC$2:$AC$495&gt;=10))*ROW('CONTROL MASTER'!$S$2:$S$495))-(ROW('CONTROL MASTER'!#REF!)-1))),"")),"")</f>
        <v/>
      </c>
    </row>
    <row r="148" spans="1:11" ht="15" customHeight="1" x14ac:dyDescent="0.35">
      <c r="A148" s="8" t="s">
        <v>33</v>
      </c>
      <c r="B148" s="10" t="str">
        <f>IFERROR(IF(SUMPRODUCT((('CONTROL MASTER'!$S$2:$S$495=11)*('CONTROL MASTER'!$T$2:$T$495&lt;=6)*('CONTROL MASTER'!$V$2:$V$495&gt;=6)*('CONTROL MASTER'!$U$2:$U$495&lt;=1)*('CONTROL MASTER'!$W$2:$W$495&gt;=1))*ROW('CONTROL MASTER'!$S$2:$S$495))&gt;0,INDEX('CONTROL MASTER'!$X$2:$X$495,(SUMPRODUCT((('CONTROL MASTER'!$S$2:$S$495=11)*('CONTROL MASTER'!$T$2:$T$495&lt;=6)*('CONTROL MASTER'!$V$2:$V$495&gt;=6)*('CONTROL MASTER'!$U$2:$U$495&lt;=1)*('CONTROL MASTER'!$W$2:$W$495&gt;=1))*ROW('CONTROL MASTER'!$S$2:$S$495))-(ROW('CONTROL MASTER'!#REF!)-1)))&amp;TRIM(MID(SUBSTITUTE(SUBSTITUTE(INDEX('CONTROL MASTER'!$N$2:$N$495,(SUMPRODUCT((('CONTROL MASTER'!$S$2:$S$495=11)*('CONTROL MASTER'!$T$2:$T$495&lt;=6)*('CONTROL MASTER'!$V$2:$V$495&gt;=6)*('CONTROL MASTER'!$U$2:$U$495&lt;=1)*('CONTROL MASTER'!$W$2:$W$495&gt;=1))*ROW('CONTROL MASTER'!$S$2:$S$495))-(ROW('CONTROL MASTER'!#REF!)-1))),":",","),",",REPT(" ",50)),((((6-INDEX('CONTROL MASTER'!$T$2:$T$495,(SUMPRODUCT((('CONTROL MASTER'!$S$2:$S$495=11)*('CONTROL MASTER'!$T$2:$T$495&lt;=6)*('CONTROL MASTER'!$V$2:$V$495&gt;=6)*('CONTROL MASTER'!$U$2:$U$495&lt;=1)*('CONTROL MASTER'!$W$2:$W$495&gt;=1))*ROW('CONTROL MASTER'!$S$2:$S$495))-(ROW('CONTROL MASTER'!#REF!)-1))))*(INDEX('CONTROL MASTER'!$W$2:$W$495,(SUMPRODUCT((('CONTROL MASTER'!$S$2:$S$495=11)*('CONTROL MASTER'!$T$2:$T$495&lt;=6)*('CONTROL MASTER'!$V$2:$V$495&gt;=6)*('CONTROL MASTER'!$U$2:$U$495&lt;=1)*('CONTROL MASTER'!$W$2:$W$495&gt;=1))*ROW('CONTROL MASTER'!$S$2:$S$495))-(ROW('CONTROL MASTER'!#REF!)-1)))-INDEX('CONTROL MASTER'!$U$2:$U$495,(SUMPRODUCT((('CONTROL MASTER'!$S$2:$S$495=11)*('CONTROL MASTER'!$T$2:$T$495&lt;=6)*('CONTROL MASTER'!$V$2:$V$495&gt;=6)*('CONTROL MASTER'!$U$2:$U$495&lt;=1)*('CONTROL MASTER'!$W$2:$W$495&gt;=1))*ROW('CONTROL MASTER'!$S$2:$S$495))-(ROW('CONTROL MASTER'!#REF!)-1)))+1)+(1-INDEX('CONTROL MASTER'!$U$2:$U$495,(SUMPRODUCT((('CONTROL MASTER'!$S$2:$S$495=11)*('CONTROL MASTER'!$T$2:$T$495&lt;=6)*('CONTROL MASTER'!$V$2:$V$495&gt;=6)*('CONTROL MASTER'!$U$2:$U$495&lt;=1)*('CONTROL MASTER'!$W$2:$W$495&gt;=1))*ROW('CONTROL MASTER'!$S$2:$S$495))-(ROW('CONTROL MASTER'!#REF!)-1))))+1))-1)*50+1,50))&amp;"_"&amp;INDEX('CONTROL MASTER'!$P$2:$P$495,(SUMPRODUCT((('CONTROL MASTER'!$S$2:$S$495=11)*('CONTROL MASTER'!$T$2:$T$495&lt;=6)*('CONTROL MASTER'!$V$2:$V$495&gt;=6)*('CONTROL MASTER'!$U$2:$U$495&lt;=1)*('CONTROL MASTER'!$W$2:$W$495&gt;=1))*ROW('CONTROL MASTER'!$S$2:$S$495))-(ROW('CONTROL MASTER'!#REF!)-1))),IF(SUMPRODUCT((('CONTROL MASTER'!$S$2:$S$495=11)*('CONTROL MASTER'!$Z$2:$Z$495&lt;=6)*('CONTROL MASTER'!$AB$2:$AB$495&gt;=6)*('CONTROL MASTER'!$AA$2:$AA$495&lt;=1)*('CONTROL MASTER'!$AC$2:$AC$495&gt;=1))*ROW('CONTROL MASTER'!$S$2:$S$495))&gt;0,INDEX('CONTROL MASTER'!$X$2:$X$495,(SUMPRODUCT((('CONTROL MASTER'!$S$2:$S$495=11)*('CONTROL MASTER'!$Z$2:$Z$495&lt;=6)*('CONTROL MASTER'!$AB$2:$AB$495&gt;=6)*('CONTROL MASTER'!$AA$2:$AA$495&lt;=1)*('CONTROL MASTER'!$AC$2:$AC$495&gt;=1))*ROW('CONTROL MASTER'!$S$2:$S$495))-(ROW('CONTROL MASTER'!#REF!)-1)))&amp;TRIM(MID(SUBSTITUTE(SUBSTITUTE(INDEX('CONTROL MASTER'!$N$2:$N$495,(SUMPRODUCT((('CONTROL MASTER'!$S$2:$S$495=11)*('CONTROL MASTER'!$Z$2:$Z$495&lt;=6)*('CONTROL MASTER'!$AB$2:$AB$495&gt;=6)*('CONTROL MASTER'!$AA$2:$AA$495&lt;=1)*('CONTROL MASTER'!$AC$2:$AC$495&gt;=1))*ROW('CONTROL MASTER'!$S$2:$S$495))-(ROW('CONTROL MASTER'!#REF!)-1))),":",","),",",REPT(" ",50)),(((INDEX('CONTROL MASTER'!$Y$2:$Y$495,(SUMPRODUCT((('CONTROL MASTER'!$S$2:$S$495=11)*('CONTROL MASTER'!$Z$2:$Z$495&lt;=6)*('CONTROL MASTER'!$AB$2:$AB$495&gt;=6)*('CONTROL MASTER'!$AA$2:$AA$495&lt;=1)*('CONTROL MASTER'!$AC$2:$AC$495&gt;=1))*ROW('CONTROL MASTER'!$S$2:$S$495))-(ROW('CONTROL MASTER'!#REF!)-1)))+((6-INDEX('CONTROL MASTER'!$Z$2:$Z$495,(SUMPRODUCT((('CONTROL MASTER'!$S$2:$S$495=11)*('CONTROL MASTER'!$Z$2:$Z$495&lt;=6)*('CONTROL MASTER'!$AB$2:$AB$495&gt;=6)*('CONTROL MASTER'!$AA$2:$AA$495&lt;=1)*('CONTROL MASTER'!$AC$2:$AC$495&gt;=1))*ROW('CONTROL MASTER'!$S$2:$S$495))-(ROW('CONTROL MASTER'!#REF!)-1))))*(INDEX('CONTROL MASTER'!$AC$2:$AC$495,(SUMPRODUCT((('CONTROL MASTER'!$S$2:$S$495=11)*('CONTROL MASTER'!$Z$2:$Z$495&lt;=6)*('CONTROL MASTER'!$AB$2:$AB$495&gt;=6)*('CONTROL MASTER'!$AA$2:$AA$495&lt;=1)*('CONTROL MASTER'!$AC$2:$AC$495&gt;=1))*ROW('CONTROL MASTER'!$S$2:$S$495))-(ROW('CONTROL MASTER'!#REF!)-1)))-INDEX('CONTROL MASTER'!$AA$2:$AA$495,(SUMPRODUCT((('CONTROL MASTER'!$S$2:$S$495=11)*('CONTROL MASTER'!$Z$2:$Z$495&lt;=6)*('CONTROL MASTER'!$AB$2:$AB$495&gt;=6)*('CONTROL MASTER'!$AA$2:$AA$495&lt;=1)*('CONTROL MASTER'!$AC$2:$AC$495&gt;=1))*ROW('CONTROL MASTER'!$S$2:$S$495))-(ROW('CONTROL MASTER'!#REF!)-1)))+1)+(1-INDEX('CONTROL MASTER'!$AA$2:$AA$495,(SUMPRODUCT((('CONTROL MASTER'!$S$2:$S$495=11)*('CONTROL MASTER'!$Z$2:$Z$495&lt;=6)*('CONTROL MASTER'!$AB$2:$AB$495&gt;=6)*('CONTROL MASTER'!$AA$2:$AA$495&lt;=1)*('CONTROL MASTER'!$AC$2:$AC$495&gt;=1))*ROW('CONTROL MASTER'!$S$2:$S$495))-(ROW('CONTROL MASTER'!#REF!)-1))))+1)))-1)*50+1,50))&amp;"_"&amp;INDEX('CONTROL MASTER'!$P$2:$P$495,(SUMPRODUCT((('CONTROL MASTER'!$S$2:$S$495=11)*('CONTROL MASTER'!$Z$2:$Z$495&lt;=6)*('CONTROL MASTER'!$AB$2:$AB$495&gt;=6)*('CONTROL MASTER'!$AA$2:$AA$495&lt;=1)*('CONTROL MASTER'!$AC$2:$AC$495&gt;=1))*ROW('CONTROL MASTER'!$S$2:$S$495))-(ROW('CONTROL MASTER'!#REF!)-1))),"")),"")</f>
        <v/>
      </c>
      <c r="C148" s="10" t="str">
        <f>IFERROR(IF(SUMPRODUCT((('CONTROL MASTER'!$S$2:$S$495=11)*('CONTROL MASTER'!$T$2:$T$495&lt;=6)*('CONTROL MASTER'!$V$2:$V$495&gt;=6)*('CONTROL MASTER'!$U$2:$U$495&lt;=2)*('CONTROL MASTER'!$W$2:$W$495&gt;=2))*ROW('CONTROL MASTER'!$S$2:$S$495))&gt;0,INDEX('CONTROL MASTER'!$X$2:$X$495,(SUMPRODUCT((('CONTROL MASTER'!$S$2:$S$495=11)*('CONTROL MASTER'!$T$2:$T$495&lt;=6)*('CONTROL MASTER'!$V$2:$V$495&gt;=6)*('CONTROL MASTER'!$U$2:$U$495&lt;=2)*('CONTROL MASTER'!$W$2:$W$495&gt;=2))*ROW('CONTROL MASTER'!$S$2:$S$495))-(ROW('CONTROL MASTER'!#REF!)-1)))&amp;TRIM(MID(SUBSTITUTE(SUBSTITUTE(INDEX('CONTROL MASTER'!$N$2:$N$495,(SUMPRODUCT((('CONTROL MASTER'!$S$2:$S$495=11)*('CONTROL MASTER'!$T$2:$T$495&lt;=6)*('CONTROL MASTER'!$V$2:$V$495&gt;=6)*('CONTROL MASTER'!$U$2:$U$495&lt;=2)*('CONTROL MASTER'!$W$2:$W$495&gt;=2))*ROW('CONTROL MASTER'!$S$2:$S$495))-(ROW('CONTROL MASTER'!#REF!)-1))),":",","),",",REPT(" ",50)),((((6-INDEX('CONTROL MASTER'!$T$2:$T$495,(SUMPRODUCT((('CONTROL MASTER'!$S$2:$S$495=11)*('CONTROL MASTER'!$T$2:$T$495&lt;=6)*('CONTROL MASTER'!$V$2:$V$495&gt;=6)*('CONTROL MASTER'!$U$2:$U$495&lt;=2)*('CONTROL MASTER'!$W$2:$W$495&gt;=2))*ROW('CONTROL MASTER'!$S$2:$S$495))-(ROW('CONTROL MASTER'!#REF!)-1))))*(INDEX('CONTROL MASTER'!$W$2:$W$495,(SUMPRODUCT((('CONTROL MASTER'!$S$2:$S$495=11)*('CONTROL MASTER'!$T$2:$T$495&lt;=6)*('CONTROL MASTER'!$V$2:$V$495&gt;=6)*('CONTROL MASTER'!$U$2:$U$495&lt;=2)*('CONTROL MASTER'!$W$2:$W$495&gt;=2))*ROW('CONTROL MASTER'!$S$2:$S$495))-(ROW('CONTROL MASTER'!#REF!)-1)))-INDEX('CONTROL MASTER'!$U$2:$U$495,(SUMPRODUCT((('CONTROL MASTER'!$S$2:$S$495=11)*('CONTROL MASTER'!$T$2:$T$495&lt;=6)*('CONTROL MASTER'!$V$2:$V$495&gt;=6)*('CONTROL MASTER'!$U$2:$U$495&lt;=2)*('CONTROL MASTER'!$W$2:$W$495&gt;=2))*ROW('CONTROL MASTER'!$S$2:$S$495))-(ROW('CONTROL MASTER'!#REF!)-1)))+1)+(2-INDEX('CONTROL MASTER'!$U$2:$U$495,(SUMPRODUCT((('CONTROL MASTER'!$S$2:$S$495=11)*('CONTROL MASTER'!$T$2:$T$495&lt;=6)*('CONTROL MASTER'!$V$2:$V$495&gt;=6)*('CONTROL MASTER'!$U$2:$U$495&lt;=2)*('CONTROL MASTER'!$W$2:$W$495&gt;=2))*ROW('CONTROL MASTER'!$S$2:$S$495))-(ROW('CONTROL MASTER'!#REF!)-1))))+1))-1)*50+1,50))&amp;"_"&amp;INDEX('CONTROL MASTER'!$P$2:$P$495,(SUMPRODUCT((('CONTROL MASTER'!$S$2:$S$495=11)*('CONTROL MASTER'!$T$2:$T$495&lt;=6)*('CONTROL MASTER'!$V$2:$V$495&gt;=6)*('CONTROL MASTER'!$U$2:$U$495&lt;=2)*('CONTROL MASTER'!$W$2:$W$495&gt;=2))*ROW('CONTROL MASTER'!$S$2:$S$495))-(ROW('CONTROL MASTER'!#REF!)-1))),IF(SUMPRODUCT((('CONTROL MASTER'!$S$2:$S$495=11)*('CONTROL MASTER'!$Z$2:$Z$495&lt;=6)*('CONTROL MASTER'!$AB$2:$AB$495&gt;=6)*('CONTROL MASTER'!$AA$2:$AA$495&lt;=2)*('CONTROL MASTER'!$AC$2:$AC$495&gt;=2))*ROW('CONTROL MASTER'!$S$2:$S$495))&gt;0,INDEX('CONTROL MASTER'!$X$2:$X$495,(SUMPRODUCT((('CONTROL MASTER'!$S$2:$S$495=11)*('CONTROL MASTER'!$Z$2:$Z$495&lt;=6)*('CONTROL MASTER'!$AB$2:$AB$495&gt;=6)*('CONTROL MASTER'!$AA$2:$AA$495&lt;=2)*('CONTROL MASTER'!$AC$2:$AC$495&gt;=2))*ROW('CONTROL MASTER'!$S$2:$S$495))-(ROW('CONTROL MASTER'!#REF!)-1)))&amp;TRIM(MID(SUBSTITUTE(SUBSTITUTE(INDEX('CONTROL MASTER'!$N$2:$N$495,(SUMPRODUCT((('CONTROL MASTER'!$S$2:$S$495=11)*('CONTROL MASTER'!$Z$2:$Z$495&lt;=6)*('CONTROL MASTER'!$AB$2:$AB$495&gt;=6)*('CONTROL MASTER'!$AA$2:$AA$495&lt;=2)*('CONTROL MASTER'!$AC$2:$AC$495&gt;=2))*ROW('CONTROL MASTER'!$S$2:$S$495))-(ROW('CONTROL MASTER'!#REF!)-1))),":",","),",",REPT(" ",50)),(((INDEX('CONTROL MASTER'!$Y$2:$Y$495,(SUMPRODUCT((('CONTROL MASTER'!$S$2:$S$495=11)*('CONTROL MASTER'!$Z$2:$Z$495&lt;=6)*('CONTROL MASTER'!$AB$2:$AB$495&gt;=6)*('CONTROL MASTER'!$AA$2:$AA$495&lt;=2)*('CONTROL MASTER'!$AC$2:$AC$495&gt;=2))*ROW('CONTROL MASTER'!$S$2:$S$495))-(ROW('CONTROL MASTER'!#REF!)-1)))+((6-INDEX('CONTROL MASTER'!$Z$2:$Z$495,(SUMPRODUCT((('CONTROL MASTER'!$S$2:$S$495=11)*('CONTROL MASTER'!$Z$2:$Z$495&lt;=6)*('CONTROL MASTER'!$AB$2:$AB$495&gt;=6)*('CONTROL MASTER'!$AA$2:$AA$495&lt;=2)*('CONTROL MASTER'!$AC$2:$AC$495&gt;=2))*ROW('CONTROL MASTER'!$S$2:$S$495))-(ROW('CONTROL MASTER'!#REF!)-1))))*(INDEX('CONTROL MASTER'!$AC$2:$AC$495,(SUMPRODUCT((('CONTROL MASTER'!$S$2:$S$495=11)*('CONTROL MASTER'!$Z$2:$Z$495&lt;=6)*('CONTROL MASTER'!$AB$2:$AB$495&gt;=6)*('CONTROL MASTER'!$AA$2:$AA$495&lt;=2)*('CONTROL MASTER'!$AC$2:$AC$495&gt;=2))*ROW('CONTROL MASTER'!$S$2:$S$495))-(ROW('CONTROL MASTER'!#REF!)-1)))-INDEX('CONTROL MASTER'!$AA$2:$AA$495,(SUMPRODUCT((('CONTROL MASTER'!$S$2:$S$495=11)*('CONTROL MASTER'!$Z$2:$Z$495&lt;=6)*('CONTROL MASTER'!$AB$2:$AB$495&gt;=6)*('CONTROL MASTER'!$AA$2:$AA$495&lt;=2)*('CONTROL MASTER'!$AC$2:$AC$495&gt;=2))*ROW('CONTROL MASTER'!$S$2:$S$495))-(ROW('CONTROL MASTER'!#REF!)-1)))+1)+(2-INDEX('CONTROL MASTER'!$AA$2:$AA$495,(SUMPRODUCT((('CONTROL MASTER'!$S$2:$S$495=11)*('CONTROL MASTER'!$Z$2:$Z$495&lt;=6)*('CONTROL MASTER'!$AB$2:$AB$495&gt;=6)*('CONTROL MASTER'!$AA$2:$AA$495&lt;=2)*('CONTROL MASTER'!$AC$2:$AC$495&gt;=2))*ROW('CONTROL MASTER'!$S$2:$S$495))-(ROW('CONTROL MASTER'!#REF!)-1))))+1)))-1)*50+1,50))&amp;"_"&amp;INDEX('CONTROL MASTER'!$P$2:$P$495,(SUMPRODUCT((('CONTROL MASTER'!$S$2:$S$495=11)*('CONTROL MASTER'!$Z$2:$Z$495&lt;=6)*('CONTROL MASTER'!$AB$2:$AB$495&gt;=6)*('CONTROL MASTER'!$AA$2:$AA$495&lt;=2)*('CONTROL MASTER'!$AC$2:$AC$495&gt;=2))*ROW('CONTROL MASTER'!$S$2:$S$495))-(ROW('CONTROL MASTER'!#REF!)-1))),"")),"")</f>
        <v/>
      </c>
      <c r="D148" s="10" t="str">
        <f>IFERROR(IF(SUMPRODUCT((('CONTROL MASTER'!$S$2:$S$495=11)*('CONTROL MASTER'!$T$2:$T$495&lt;=6)*('CONTROL MASTER'!$V$2:$V$495&gt;=6)*('CONTROL MASTER'!$U$2:$U$495&lt;=3)*('CONTROL MASTER'!$W$2:$W$495&gt;=3))*ROW('CONTROL MASTER'!$S$2:$S$495))&gt;0,INDEX('CONTROL MASTER'!$X$2:$X$495,(SUMPRODUCT((('CONTROL MASTER'!$S$2:$S$495=11)*('CONTROL MASTER'!$T$2:$T$495&lt;=6)*('CONTROL MASTER'!$V$2:$V$495&gt;=6)*('CONTROL MASTER'!$U$2:$U$495&lt;=3)*('CONTROL MASTER'!$W$2:$W$495&gt;=3))*ROW('CONTROL MASTER'!$S$2:$S$495))-(ROW('CONTROL MASTER'!#REF!)-1)))&amp;TRIM(MID(SUBSTITUTE(SUBSTITUTE(INDEX('CONTROL MASTER'!$N$2:$N$495,(SUMPRODUCT((('CONTROL MASTER'!$S$2:$S$495=11)*('CONTROL MASTER'!$T$2:$T$495&lt;=6)*('CONTROL MASTER'!$V$2:$V$495&gt;=6)*('CONTROL MASTER'!$U$2:$U$495&lt;=3)*('CONTROL MASTER'!$W$2:$W$495&gt;=3))*ROW('CONTROL MASTER'!$S$2:$S$495))-(ROW('CONTROL MASTER'!#REF!)-1))),":",","),",",REPT(" ",50)),((((6-INDEX('CONTROL MASTER'!$T$2:$T$495,(SUMPRODUCT((('CONTROL MASTER'!$S$2:$S$495=11)*('CONTROL MASTER'!$T$2:$T$495&lt;=6)*('CONTROL MASTER'!$V$2:$V$495&gt;=6)*('CONTROL MASTER'!$U$2:$U$495&lt;=3)*('CONTROL MASTER'!$W$2:$W$495&gt;=3))*ROW('CONTROL MASTER'!$S$2:$S$495))-(ROW('CONTROL MASTER'!#REF!)-1))))*(INDEX('CONTROL MASTER'!$W$2:$W$495,(SUMPRODUCT((('CONTROL MASTER'!$S$2:$S$495=11)*('CONTROL MASTER'!$T$2:$T$495&lt;=6)*('CONTROL MASTER'!$V$2:$V$495&gt;=6)*('CONTROL MASTER'!$U$2:$U$495&lt;=3)*('CONTROL MASTER'!$W$2:$W$495&gt;=3))*ROW('CONTROL MASTER'!$S$2:$S$495))-(ROW('CONTROL MASTER'!#REF!)-1)))-INDEX('CONTROL MASTER'!$U$2:$U$495,(SUMPRODUCT((('CONTROL MASTER'!$S$2:$S$495=11)*('CONTROL MASTER'!$T$2:$T$495&lt;=6)*('CONTROL MASTER'!$V$2:$V$495&gt;=6)*('CONTROL MASTER'!$U$2:$U$495&lt;=3)*('CONTROL MASTER'!$W$2:$W$495&gt;=3))*ROW('CONTROL MASTER'!$S$2:$S$495))-(ROW('CONTROL MASTER'!#REF!)-1)))+1)+(3-INDEX('CONTROL MASTER'!$U$2:$U$495,(SUMPRODUCT((('CONTROL MASTER'!$S$2:$S$495=11)*('CONTROL MASTER'!$T$2:$T$495&lt;=6)*('CONTROL MASTER'!$V$2:$V$495&gt;=6)*('CONTROL MASTER'!$U$2:$U$495&lt;=3)*('CONTROL MASTER'!$W$2:$W$495&gt;=3))*ROW('CONTROL MASTER'!$S$2:$S$495))-(ROW('CONTROL MASTER'!#REF!)-1))))+1))-1)*50+1,50))&amp;"_"&amp;INDEX('CONTROL MASTER'!$P$2:$P$495,(SUMPRODUCT((('CONTROL MASTER'!$S$2:$S$495=11)*('CONTROL MASTER'!$T$2:$T$495&lt;=6)*('CONTROL MASTER'!$V$2:$V$495&gt;=6)*('CONTROL MASTER'!$U$2:$U$495&lt;=3)*('CONTROL MASTER'!$W$2:$W$495&gt;=3))*ROW('CONTROL MASTER'!$S$2:$S$495))-(ROW('CONTROL MASTER'!#REF!)-1))),IF(SUMPRODUCT((('CONTROL MASTER'!$S$2:$S$495=11)*('CONTROL MASTER'!$Z$2:$Z$495&lt;=6)*('CONTROL MASTER'!$AB$2:$AB$495&gt;=6)*('CONTROL MASTER'!$AA$2:$AA$495&lt;=3)*('CONTROL MASTER'!$AC$2:$AC$495&gt;=3))*ROW('CONTROL MASTER'!$S$2:$S$495))&gt;0,INDEX('CONTROL MASTER'!$X$2:$X$495,(SUMPRODUCT((('CONTROL MASTER'!$S$2:$S$495=11)*('CONTROL MASTER'!$Z$2:$Z$495&lt;=6)*('CONTROL MASTER'!$AB$2:$AB$495&gt;=6)*('CONTROL MASTER'!$AA$2:$AA$495&lt;=3)*('CONTROL MASTER'!$AC$2:$AC$495&gt;=3))*ROW('CONTROL MASTER'!$S$2:$S$495))-(ROW('CONTROL MASTER'!#REF!)-1)))&amp;TRIM(MID(SUBSTITUTE(SUBSTITUTE(INDEX('CONTROL MASTER'!$N$2:$N$495,(SUMPRODUCT((('CONTROL MASTER'!$S$2:$S$495=11)*('CONTROL MASTER'!$Z$2:$Z$495&lt;=6)*('CONTROL MASTER'!$AB$2:$AB$495&gt;=6)*('CONTROL MASTER'!$AA$2:$AA$495&lt;=3)*('CONTROL MASTER'!$AC$2:$AC$495&gt;=3))*ROW('CONTROL MASTER'!$S$2:$S$495))-(ROW('CONTROL MASTER'!#REF!)-1))),":",","),",",REPT(" ",50)),(((INDEX('CONTROL MASTER'!$Y$2:$Y$495,(SUMPRODUCT((('CONTROL MASTER'!$S$2:$S$495=11)*('CONTROL MASTER'!$Z$2:$Z$495&lt;=6)*('CONTROL MASTER'!$AB$2:$AB$495&gt;=6)*('CONTROL MASTER'!$AA$2:$AA$495&lt;=3)*('CONTROL MASTER'!$AC$2:$AC$495&gt;=3))*ROW('CONTROL MASTER'!$S$2:$S$495))-(ROW('CONTROL MASTER'!#REF!)-1)))+((6-INDEX('CONTROL MASTER'!$Z$2:$Z$495,(SUMPRODUCT((('CONTROL MASTER'!$S$2:$S$495=11)*('CONTROL MASTER'!$Z$2:$Z$495&lt;=6)*('CONTROL MASTER'!$AB$2:$AB$495&gt;=6)*('CONTROL MASTER'!$AA$2:$AA$495&lt;=3)*('CONTROL MASTER'!$AC$2:$AC$495&gt;=3))*ROW('CONTROL MASTER'!$S$2:$S$495))-(ROW('CONTROL MASTER'!#REF!)-1))))*(INDEX('CONTROL MASTER'!$AC$2:$AC$495,(SUMPRODUCT((('CONTROL MASTER'!$S$2:$S$495=11)*('CONTROL MASTER'!$Z$2:$Z$495&lt;=6)*('CONTROL MASTER'!$AB$2:$AB$495&gt;=6)*('CONTROL MASTER'!$AA$2:$AA$495&lt;=3)*('CONTROL MASTER'!$AC$2:$AC$495&gt;=3))*ROW('CONTROL MASTER'!$S$2:$S$495))-(ROW('CONTROL MASTER'!#REF!)-1)))-INDEX('CONTROL MASTER'!$AA$2:$AA$495,(SUMPRODUCT((('CONTROL MASTER'!$S$2:$S$495=11)*('CONTROL MASTER'!$Z$2:$Z$495&lt;=6)*('CONTROL MASTER'!$AB$2:$AB$495&gt;=6)*('CONTROL MASTER'!$AA$2:$AA$495&lt;=3)*('CONTROL MASTER'!$AC$2:$AC$495&gt;=3))*ROW('CONTROL MASTER'!$S$2:$S$495))-(ROW('CONTROL MASTER'!#REF!)-1)))+1)+(3-INDEX('CONTROL MASTER'!$AA$2:$AA$495,(SUMPRODUCT((('CONTROL MASTER'!$S$2:$S$495=11)*('CONTROL MASTER'!$Z$2:$Z$495&lt;=6)*('CONTROL MASTER'!$AB$2:$AB$495&gt;=6)*('CONTROL MASTER'!$AA$2:$AA$495&lt;=3)*('CONTROL MASTER'!$AC$2:$AC$495&gt;=3))*ROW('CONTROL MASTER'!$S$2:$S$495))-(ROW('CONTROL MASTER'!#REF!)-1))))+1)))-1)*50+1,50))&amp;"_"&amp;INDEX('CONTROL MASTER'!$P$2:$P$495,(SUMPRODUCT((('CONTROL MASTER'!$S$2:$S$495=11)*('CONTROL MASTER'!$Z$2:$Z$495&lt;=6)*('CONTROL MASTER'!$AB$2:$AB$495&gt;=6)*('CONTROL MASTER'!$AA$2:$AA$495&lt;=3)*('CONTROL MASTER'!$AC$2:$AC$495&gt;=3))*ROW('CONTROL MASTER'!$S$2:$S$495))-(ROW('CONTROL MASTER'!#REF!)-1))),"")),"")</f>
        <v/>
      </c>
      <c r="E148" s="10" t="str">
        <f>IFERROR(IF(SUMPRODUCT((('CONTROL MASTER'!$S$2:$S$495=11)*('CONTROL MASTER'!$T$2:$T$495&lt;=6)*('CONTROL MASTER'!$V$2:$V$495&gt;=6)*('CONTROL MASTER'!$U$2:$U$495&lt;=4)*('CONTROL MASTER'!$W$2:$W$495&gt;=4))*ROW('CONTROL MASTER'!$S$2:$S$495))&gt;0,INDEX('CONTROL MASTER'!$X$2:$X$495,(SUMPRODUCT((('CONTROL MASTER'!$S$2:$S$495=11)*('CONTROL MASTER'!$T$2:$T$495&lt;=6)*('CONTROL MASTER'!$V$2:$V$495&gt;=6)*('CONTROL MASTER'!$U$2:$U$495&lt;=4)*('CONTROL MASTER'!$W$2:$W$495&gt;=4))*ROW('CONTROL MASTER'!$S$2:$S$495))-(ROW('CONTROL MASTER'!#REF!)-1)))&amp;TRIM(MID(SUBSTITUTE(SUBSTITUTE(INDEX('CONTROL MASTER'!$N$2:$N$495,(SUMPRODUCT((('CONTROL MASTER'!$S$2:$S$495=11)*('CONTROL MASTER'!$T$2:$T$495&lt;=6)*('CONTROL MASTER'!$V$2:$V$495&gt;=6)*('CONTROL MASTER'!$U$2:$U$495&lt;=4)*('CONTROL MASTER'!$W$2:$W$495&gt;=4))*ROW('CONTROL MASTER'!$S$2:$S$495))-(ROW('CONTROL MASTER'!#REF!)-1))),":",","),",",REPT(" ",50)),((((6-INDEX('CONTROL MASTER'!$T$2:$T$495,(SUMPRODUCT((('CONTROL MASTER'!$S$2:$S$495=11)*('CONTROL MASTER'!$T$2:$T$495&lt;=6)*('CONTROL MASTER'!$V$2:$V$495&gt;=6)*('CONTROL MASTER'!$U$2:$U$495&lt;=4)*('CONTROL MASTER'!$W$2:$W$495&gt;=4))*ROW('CONTROL MASTER'!$S$2:$S$495))-(ROW('CONTROL MASTER'!#REF!)-1))))*(INDEX('CONTROL MASTER'!$W$2:$W$495,(SUMPRODUCT((('CONTROL MASTER'!$S$2:$S$495=11)*('CONTROL MASTER'!$T$2:$T$495&lt;=6)*('CONTROL MASTER'!$V$2:$V$495&gt;=6)*('CONTROL MASTER'!$U$2:$U$495&lt;=4)*('CONTROL MASTER'!$W$2:$W$495&gt;=4))*ROW('CONTROL MASTER'!$S$2:$S$495))-(ROW('CONTROL MASTER'!#REF!)-1)))-INDEX('CONTROL MASTER'!$U$2:$U$495,(SUMPRODUCT((('CONTROL MASTER'!$S$2:$S$495=11)*('CONTROL MASTER'!$T$2:$T$495&lt;=6)*('CONTROL MASTER'!$V$2:$V$495&gt;=6)*('CONTROL MASTER'!$U$2:$U$495&lt;=4)*('CONTROL MASTER'!$W$2:$W$495&gt;=4))*ROW('CONTROL MASTER'!$S$2:$S$495))-(ROW('CONTROL MASTER'!#REF!)-1)))+1)+(4-INDEX('CONTROL MASTER'!$U$2:$U$495,(SUMPRODUCT((('CONTROL MASTER'!$S$2:$S$495=11)*('CONTROL MASTER'!$T$2:$T$495&lt;=6)*('CONTROL MASTER'!$V$2:$V$495&gt;=6)*('CONTROL MASTER'!$U$2:$U$495&lt;=4)*('CONTROL MASTER'!$W$2:$W$495&gt;=4))*ROW('CONTROL MASTER'!$S$2:$S$495))-(ROW('CONTROL MASTER'!#REF!)-1))))+1))-1)*50+1,50))&amp;"_"&amp;INDEX('CONTROL MASTER'!$P$2:$P$495,(SUMPRODUCT((('CONTROL MASTER'!$S$2:$S$495=11)*('CONTROL MASTER'!$T$2:$T$495&lt;=6)*('CONTROL MASTER'!$V$2:$V$495&gt;=6)*('CONTROL MASTER'!$U$2:$U$495&lt;=4)*('CONTROL MASTER'!$W$2:$W$495&gt;=4))*ROW('CONTROL MASTER'!$S$2:$S$495))-(ROW('CONTROL MASTER'!#REF!)-1))),IF(SUMPRODUCT((('CONTROL MASTER'!$S$2:$S$495=11)*('CONTROL MASTER'!$Z$2:$Z$495&lt;=6)*('CONTROL MASTER'!$AB$2:$AB$495&gt;=6)*('CONTROL MASTER'!$AA$2:$AA$495&lt;=4)*('CONTROL MASTER'!$AC$2:$AC$495&gt;=4))*ROW('CONTROL MASTER'!$S$2:$S$495))&gt;0,INDEX('CONTROL MASTER'!$X$2:$X$495,(SUMPRODUCT((('CONTROL MASTER'!$S$2:$S$495=11)*('CONTROL MASTER'!$Z$2:$Z$495&lt;=6)*('CONTROL MASTER'!$AB$2:$AB$495&gt;=6)*('CONTROL MASTER'!$AA$2:$AA$495&lt;=4)*('CONTROL MASTER'!$AC$2:$AC$495&gt;=4))*ROW('CONTROL MASTER'!$S$2:$S$495))-(ROW('CONTROL MASTER'!#REF!)-1)))&amp;TRIM(MID(SUBSTITUTE(SUBSTITUTE(INDEX('CONTROL MASTER'!$N$2:$N$495,(SUMPRODUCT((('CONTROL MASTER'!$S$2:$S$495=11)*('CONTROL MASTER'!$Z$2:$Z$495&lt;=6)*('CONTROL MASTER'!$AB$2:$AB$495&gt;=6)*('CONTROL MASTER'!$AA$2:$AA$495&lt;=4)*('CONTROL MASTER'!$AC$2:$AC$495&gt;=4))*ROW('CONTROL MASTER'!$S$2:$S$495))-(ROW('CONTROL MASTER'!#REF!)-1))),":",","),",",REPT(" ",50)),(((INDEX('CONTROL MASTER'!$Y$2:$Y$495,(SUMPRODUCT((('CONTROL MASTER'!$S$2:$S$495=11)*('CONTROL MASTER'!$Z$2:$Z$495&lt;=6)*('CONTROL MASTER'!$AB$2:$AB$495&gt;=6)*('CONTROL MASTER'!$AA$2:$AA$495&lt;=4)*('CONTROL MASTER'!$AC$2:$AC$495&gt;=4))*ROW('CONTROL MASTER'!$S$2:$S$495))-(ROW('CONTROL MASTER'!#REF!)-1)))+((6-INDEX('CONTROL MASTER'!$Z$2:$Z$495,(SUMPRODUCT((('CONTROL MASTER'!$S$2:$S$495=11)*('CONTROL MASTER'!$Z$2:$Z$495&lt;=6)*('CONTROL MASTER'!$AB$2:$AB$495&gt;=6)*('CONTROL MASTER'!$AA$2:$AA$495&lt;=4)*('CONTROL MASTER'!$AC$2:$AC$495&gt;=4))*ROW('CONTROL MASTER'!$S$2:$S$495))-(ROW('CONTROL MASTER'!#REF!)-1))))*(INDEX('CONTROL MASTER'!$AC$2:$AC$495,(SUMPRODUCT((('CONTROL MASTER'!$S$2:$S$495=11)*('CONTROL MASTER'!$Z$2:$Z$495&lt;=6)*('CONTROL MASTER'!$AB$2:$AB$495&gt;=6)*('CONTROL MASTER'!$AA$2:$AA$495&lt;=4)*('CONTROL MASTER'!$AC$2:$AC$495&gt;=4))*ROW('CONTROL MASTER'!$S$2:$S$495))-(ROW('CONTROL MASTER'!#REF!)-1)))-INDEX('CONTROL MASTER'!$AA$2:$AA$495,(SUMPRODUCT((('CONTROL MASTER'!$S$2:$S$495=11)*('CONTROL MASTER'!$Z$2:$Z$495&lt;=6)*('CONTROL MASTER'!$AB$2:$AB$495&gt;=6)*('CONTROL MASTER'!$AA$2:$AA$495&lt;=4)*('CONTROL MASTER'!$AC$2:$AC$495&gt;=4))*ROW('CONTROL MASTER'!$S$2:$S$495))-(ROW('CONTROL MASTER'!#REF!)-1)))+1)+(4-INDEX('CONTROL MASTER'!$AA$2:$AA$495,(SUMPRODUCT((('CONTROL MASTER'!$S$2:$S$495=11)*('CONTROL MASTER'!$Z$2:$Z$495&lt;=6)*('CONTROL MASTER'!$AB$2:$AB$495&gt;=6)*('CONTROL MASTER'!$AA$2:$AA$495&lt;=4)*('CONTROL MASTER'!$AC$2:$AC$495&gt;=4))*ROW('CONTROL MASTER'!$S$2:$S$495))-(ROW('CONTROL MASTER'!#REF!)-1))))+1)))-1)*50+1,50))&amp;"_"&amp;INDEX('CONTROL MASTER'!$P$2:$P$495,(SUMPRODUCT((('CONTROL MASTER'!$S$2:$S$495=11)*('CONTROL MASTER'!$Z$2:$Z$495&lt;=6)*('CONTROL MASTER'!$AB$2:$AB$495&gt;=6)*('CONTROL MASTER'!$AA$2:$AA$495&lt;=4)*('CONTROL MASTER'!$AC$2:$AC$495&gt;=4))*ROW('CONTROL MASTER'!$S$2:$S$495))-(ROW('CONTROL MASTER'!#REF!)-1))),"")),"")</f>
        <v/>
      </c>
      <c r="F148" s="10" t="str">
        <f>IFERROR(IF(SUMPRODUCT((('CONTROL MASTER'!$S$2:$S$495=11)*('CONTROL MASTER'!$T$2:$T$495&lt;=6)*('CONTROL MASTER'!$V$2:$V$495&gt;=6)*('CONTROL MASTER'!$U$2:$U$495&lt;=5)*('CONTROL MASTER'!$W$2:$W$495&gt;=5))*ROW('CONTROL MASTER'!$S$2:$S$495))&gt;0,INDEX('CONTROL MASTER'!$X$2:$X$495,(SUMPRODUCT((('CONTROL MASTER'!$S$2:$S$495=11)*('CONTROL MASTER'!$T$2:$T$495&lt;=6)*('CONTROL MASTER'!$V$2:$V$495&gt;=6)*('CONTROL MASTER'!$U$2:$U$495&lt;=5)*('CONTROL MASTER'!$W$2:$W$495&gt;=5))*ROW('CONTROL MASTER'!$S$2:$S$495))-(ROW('CONTROL MASTER'!#REF!)-1)))&amp;TRIM(MID(SUBSTITUTE(SUBSTITUTE(INDEX('CONTROL MASTER'!$N$2:$N$495,(SUMPRODUCT((('CONTROL MASTER'!$S$2:$S$495=11)*('CONTROL MASTER'!$T$2:$T$495&lt;=6)*('CONTROL MASTER'!$V$2:$V$495&gt;=6)*('CONTROL MASTER'!$U$2:$U$495&lt;=5)*('CONTROL MASTER'!$W$2:$W$495&gt;=5))*ROW('CONTROL MASTER'!$S$2:$S$495))-(ROW('CONTROL MASTER'!#REF!)-1))),":",","),",",REPT(" ",50)),((((6-INDEX('CONTROL MASTER'!$T$2:$T$495,(SUMPRODUCT((('CONTROL MASTER'!$S$2:$S$495=11)*('CONTROL MASTER'!$T$2:$T$495&lt;=6)*('CONTROL MASTER'!$V$2:$V$495&gt;=6)*('CONTROL MASTER'!$U$2:$U$495&lt;=5)*('CONTROL MASTER'!$W$2:$W$495&gt;=5))*ROW('CONTROL MASTER'!$S$2:$S$495))-(ROW('CONTROL MASTER'!#REF!)-1))))*(INDEX('CONTROL MASTER'!$W$2:$W$495,(SUMPRODUCT((('CONTROL MASTER'!$S$2:$S$495=11)*('CONTROL MASTER'!$T$2:$T$495&lt;=6)*('CONTROL MASTER'!$V$2:$V$495&gt;=6)*('CONTROL MASTER'!$U$2:$U$495&lt;=5)*('CONTROL MASTER'!$W$2:$W$495&gt;=5))*ROW('CONTROL MASTER'!$S$2:$S$495))-(ROW('CONTROL MASTER'!#REF!)-1)))-INDEX('CONTROL MASTER'!$U$2:$U$495,(SUMPRODUCT((('CONTROL MASTER'!$S$2:$S$495=11)*('CONTROL MASTER'!$T$2:$T$495&lt;=6)*('CONTROL MASTER'!$V$2:$V$495&gt;=6)*('CONTROL MASTER'!$U$2:$U$495&lt;=5)*('CONTROL MASTER'!$W$2:$W$495&gt;=5))*ROW('CONTROL MASTER'!$S$2:$S$495))-(ROW('CONTROL MASTER'!#REF!)-1)))+1)+(5-INDEX('CONTROL MASTER'!$U$2:$U$495,(SUMPRODUCT((('CONTROL MASTER'!$S$2:$S$495=11)*('CONTROL MASTER'!$T$2:$T$495&lt;=6)*('CONTROL MASTER'!$V$2:$V$495&gt;=6)*('CONTROL MASTER'!$U$2:$U$495&lt;=5)*('CONTROL MASTER'!$W$2:$W$495&gt;=5))*ROW('CONTROL MASTER'!$S$2:$S$495))-(ROW('CONTROL MASTER'!#REF!)-1))))+1))-1)*50+1,50))&amp;"_"&amp;INDEX('CONTROL MASTER'!$P$2:$P$495,(SUMPRODUCT((('CONTROL MASTER'!$S$2:$S$495=11)*('CONTROL MASTER'!$T$2:$T$495&lt;=6)*('CONTROL MASTER'!$V$2:$V$495&gt;=6)*('CONTROL MASTER'!$U$2:$U$495&lt;=5)*('CONTROL MASTER'!$W$2:$W$495&gt;=5))*ROW('CONTROL MASTER'!$S$2:$S$495))-(ROW('CONTROL MASTER'!#REF!)-1))),IF(SUMPRODUCT((('CONTROL MASTER'!$S$2:$S$495=11)*('CONTROL MASTER'!$Z$2:$Z$495&lt;=6)*('CONTROL MASTER'!$AB$2:$AB$495&gt;=6)*('CONTROL MASTER'!$AA$2:$AA$495&lt;=5)*('CONTROL MASTER'!$AC$2:$AC$495&gt;=5))*ROW('CONTROL MASTER'!$S$2:$S$495))&gt;0,INDEX('CONTROL MASTER'!$X$2:$X$495,(SUMPRODUCT((('CONTROL MASTER'!$S$2:$S$495=11)*('CONTROL MASTER'!$Z$2:$Z$495&lt;=6)*('CONTROL MASTER'!$AB$2:$AB$495&gt;=6)*('CONTROL MASTER'!$AA$2:$AA$495&lt;=5)*('CONTROL MASTER'!$AC$2:$AC$495&gt;=5))*ROW('CONTROL MASTER'!$S$2:$S$495))-(ROW('CONTROL MASTER'!#REF!)-1)))&amp;TRIM(MID(SUBSTITUTE(SUBSTITUTE(INDEX('CONTROL MASTER'!$N$2:$N$495,(SUMPRODUCT((('CONTROL MASTER'!$S$2:$S$495=11)*('CONTROL MASTER'!$Z$2:$Z$495&lt;=6)*('CONTROL MASTER'!$AB$2:$AB$495&gt;=6)*('CONTROL MASTER'!$AA$2:$AA$495&lt;=5)*('CONTROL MASTER'!$AC$2:$AC$495&gt;=5))*ROW('CONTROL MASTER'!$S$2:$S$495))-(ROW('CONTROL MASTER'!#REF!)-1))),":",","),",",REPT(" ",50)),(((INDEX('CONTROL MASTER'!$Y$2:$Y$495,(SUMPRODUCT((('CONTROL MASTER'!$S$2:$S$495=11)*('CONTROL MASTER'!$Z$2:$Z$495&lt;=6)*('CONTROL MASTER'!$AB$2:$AB$495&gt;=6)*('CONTROL MASTER'!$AA$2:$AA$495&lt;=5)*('CONTROL MASTER'!$AC$2:$AC$495&gt;=5))*ROW('CONTROL MASTER'!$S$2:$S$495))-(ROW('CONTROL MASTER'!#REF!)-1)))+((6-INDEX('CONTROL MASTER'!$Z$2:$Z$495,(SUMPRODUCT((('CONTROL MASTER'!$S$2:$S$495=11)*('CONTROL MASTER'!$Z$2:$Z$495&lt;=6)*('CONTROL MASTER'!$AB$2:$AB$495&gt;=6)*('CONTROL MASTER'!$AA$2:$AA$495&lt;=5)*('CONTROL MASTER'!$AC$2:$AC$495&gt;=5))*ROW('CONTROL MASTER'!$S$2:$S$495))-(ROW('CONTROL MASTER'!#REF!)-1))))*(INDEX('CONTROL MASTER'!$AC$2:$AC$495,(SUMPRODUCT((('CONTROL MASTER'!$S$2:$S$495=11)*('CONTROL MASTER'!$Z$2:$Z$495&lt;=6)*('CONTROL MASTER'!$AB$2:$AB$495&gt;=6)*('CONTROL MASTER'!$AA$2:$AA$495&lt;=5)*('CONTROL MASTER'!$AC$2:$AC$495&gt;=5))*ROW('CONTROL MASTER'!$S$2:$S$495))-(ROW('CONTROL MASTER'!#REF!)-1)))-INDEX('CONTROL MASTER'!$AA$2:$AA$495,(SUMPRODUCT((('CONTROL MASTER'!$S$2:$S$495=11)*('CONTROL MASTER'!$Z$2:$Z$495&lt;=6)*('CONTROL MASTER'!$AB$2:$AB$495&gt;=6)*('CONTROL MASTER'!$AA$2:$AA$495&lt;=5)*('CONTROL MASTER'!$AC$2:$AC$495&gt;=5))*ROW('CONTROL MASTER'!$S$2:$S$495))-(ROW('CONTROL MASTER'!#REF!)-1)))+1)+(5-INDEX('CONTROL MASTER'!$AA$2:$AA$495,(SUMPRODUCT((('CONTROL MASTER'!$S$2:$S$495=11)*('CONTROL MASTER'!$Z$2:$Z$495&lt;=6)*('CONTROL MASTER'!$AB$2:$AB$495&gt;=6)*('CONTROL MASTER'!$AA$2:$AA$495&lt;=5)*('CONTROL MASTER'!$AC$2:$AC$495&gt;=5))*ROW('CONTROL MASTER'!$S$2:$S$495))-(ROW('CONTROL MASTER'!#REF!)-1))))+1)))-1)*50+1,50))&amp;"_"&amp;INDEX('CONTROL MASTER'!$P$2:$P$495,(SUMPRODUCT((('CONTROL MASTER'!$S$2:$S$495=11)*('CONTROL MASTER'!$Z$2:$Z$495&lt;=6)*('CONTROL MASTER'!$AB$2:$AB$495&gt;=6)*('CONTROL MASTER'!$AA$2:$AA$495&lt;=5)*('CONTROL MASTER'!$AC$2:$AC$495&gt;=5))*ROW('CONTROL MASTER'!$S$2:$S$495))-(ROW('CONTROL MASTER'!#REF!)-1))),"")),"")</f>
        <v/>
      </c>
      <c r="G148" s="10" t="str">
        <f>IFERROR(IF(SUMPRODUCT((('CONTROL MASTER'!$S$2:$S$495=11)*('CONTROL MASTER'!$T$2:$T$495&lt;=6)*('CONTROL MASTER'!$V$2:$V$495&gt;=6)*('CONTROL MASTER'!$U$2:$U$495&lt;=6)*('CONTROL MASTER'!$W$2:$W$495&gt;=6))*ROW('CONTROL MASTER'!$S$2:$S$495))&gt;0,INDEX('CONTROL MASTER'!$X$2:$X$495,(SUMPRODUCT((('CONTROL MASTER'!$S$2:$S$495=11)*('CONTROL MASTER'!$T$2:$T$495&lt;=6)*('CONTROL MASTER'!$V$2:$V$495&gt;=6)*('CONTROL MASTER'!$U$2:$U$495&lt;=6)*('CONTROL MASTER'!$W$2:$W$495&gt;=6))*ROW('CONTROL MASTER'!$S$2:$S$495))-(ROW('CONTROL MASTER'!#REF!)-1)))&amp;TRIM(MID(SUBSTITUTE(SUBSTITUTE(INDEX('CONTROL MASTER'!$N$2:$N$495,(SUMPRODUCT((('CONTROL MASTER'!$S$2:$S$495=11)*('CONTROL MASTER'!$T$2:$T$495&lt;=6)*('CONTROL MASTER'!$V$2:$V$495&gt;=6)*('CONTROL MASTER'!$U$2:$U$495&lt;=6)*('CONTROL MASTER'!$W$2:$W$495&gt;=6))*ROW('CONTROL MASTER'!$S$2:$S$495))-(ROW('CONTROL MASTER'!#REF!)-1))),":",","),",",REPT(" ",50)),((((6-INDEX('CONTROL MASTER'!$T$2:$T$495,(SUMPRODUCT((('CONTROL MASTER'!$S$2:$S$495=11)*('CONTROL MASTER'!$T$2:$T$495&lt;=6)*('CONTROL MASTER'!$V$2:$V$495&gt;=6)*('CONTROL MASTER'!$U$2:$U$495&lt;=6)*('CONTROL MASTER'!$W$2:$W$495&gt;=6))*ROW('CONTROL MASTER'!$S$2:$S$495))-(ROW('CONTROL MASTER'!#REF!)-1))))*(INDEX('CONTROL MASTER'!$W$2:$W$495,(SUMPRODUCT((('CONTROL MASTER'!$S$2:$S$495=11)*('CONTROL MASTER'!$T$2:$T$495&lt;=6)*('CONTROL MASTER'!$V$2:$V$495&gt;=6)*('CONTROL MASTER'!$U$2:$U$495&lt;=6)*('CONTROL MASTER'!$W$2:$W$495&gt;=6))*ROW('CONTROL MASTER'!$S$2:$S$495))-(ROW('CONTROL MASTER'!#REF!)-1)))-INDEX('CONTROL MASTER'!$U$2:$U$495,(SUMPRODUCT((('CONTROL MASTER'!$S$2:$S$495=11)*('CONTROL MASTER'!$T$2:$T$495&lt;=6)*('CONTROL MASTER'!$V$2:$V$495&gt;=6)*('CONTROL MASTER'!$U$2:$U$495&lt;=6)*('CONTROL MASTER'!$W$2:$W$495&gt;=6))*ROW('CONTROL MASTER'!$S$2:$S$495))-(ROW('CONTROL MASTER'!#REF!)-1)))+1)+(6-INDEX('CONTROL MASTER'!$U$2:$U$495,(SUMPRODUCT((('CONTROL MASTER'!$S$2:$S$495=11)*('CONTROL MASTER'!$T$2:$T$495&lt;=6)*('CONTROL MASTER'!$V$2:$V$495&gt;=6)*('CONTROL MASTER'!$U$2:$U$495&lt;=6)*('CONTROL MASTER'!$W$2:$W$495&gt;=6))*ROW('CONTROL MASTER'!$S$2:$S$495))-(ROW('CONTROL MASTER'!#REF!)-1))))+1))-1)*50+1,50))&amp;"_"&amp;INDEX('CONTROL MASTER'!$P$2:$P$495,(SUMPRODUCT((('CONTROL MASTER'!$S$2:$S$495=11)*('CONTROL MASTER'!$T$2:$T$495&lt;=6)*('CONTROL MASTER'!$V$2:$V$495&gt;=6)*('CONTROL MASTER'!$U$2:$U$495&lt;=6)*('CONTROL MASTER'!$W$2:$W$495&gt;=6))*ROW('CONTROL MASTER'!$S$2:$S$495))-(ROW('CONTROL MASTER'!#REF!)-1))),IF(SUMPRODUCT((('CONTROL MASTER'!$S$2:$S$495=11)*('CONTROL MASTER'!$Z$2:$Z$495&lt;=6)*('CONTROL MASTER'!$AB$2:$AB$495&gt;=6)*('CONTROL MASTER'!$AA$2:$AA$495&lt;=6)*('CONTROL MASTER'!$AC$2:$AC$495&gt;=6))*ROW('CONTROL MASTER'!$S$2:$S$495))&gt;0,INDEX('CONTROL MASTER'!$X$2:$X$495,(SUMPRODUCT((('CONTROL MASTER'!$S$2:$S$495=11)*('CONTROL MASTER'!$Z$2:$Z$495&lt;=6)*('CONTROL MASTER'!$AB$2:$AB$495&gt;=6)*('CONTROL MASTER'!$AA$2:$AA$495&lt;=6)*('CONTROL MASTER'!$AC$2:$AC$495&gt;=6))*ROW('CONTROL MASTER'!$S$2:$S$495))-(ROW('CONTROL MASTER'!#REF!)-1)))&amp;TRIM(MID(SUBSTITUTE(SUBSTITUTE(INDEX('CONTROL MASTER'!$N$2:$N$495,(SUMPRODUCT((('CONTROL MASTER'!$S$2:$S$495=11)*('CONTROL MASTER'!$Z$2:$Z$495&lt;=6)*('CONTROL MASTER'!$AB$2:$AB$495&gt;=6)*('CONTROL MASTER'!$AA$2:$AA$495&lt;=6)*('CONTROL MASTER'!$AC$2:$AC$495&gt;=6))*ROW('CONTROL MASTER'!$S$2:$S$495))-(ROW('CONTROL MASTER'!#REF!)-1))),":",","),",",REPT(" ",50)),(((INDEX('CONTROL MASTER'!$Y$2:$Y$495,(SUMPRODUCT((('CONTROL MASTER'!$S$2:$S$495=11)*('CONTROL MASTER'!$Z$2:$Z$495&lt;=6)*('CONTROL MASTER'!$AB$2:$AB$495&gt;=6)*('CONTROL MASTER'!$AA$2:$AA$495&lt;=6)*('CONTROL MASTER'!$AC$2:$AC$495&gt;=6))*ROW('CONTROL MASTER'!$S$2:$S$495))-(ROW('CONTROL MASTER'!#REF!)-1)))+((6-INDEX('CONTROL MASTER'!$Z$2:$Z$495,(SUMPRODUCT((('CONTROL MASTER'!$S$2:$S$495=11)*('CONTROL MASTER'!$Z$2:$Z$495&lt;=6)*('CONTROL MASTER'!$AB$2:$AB$495&gt;=6)*('CONTROL MASTER'!$AA$2:$AA$495&lt;=6)*('CONTROL MASTER'!$AC$2:$AC$495&gt;=6))*ROW('CONTROL MASTER'!$S$2:$S$495))-(ROW('CONTROL MASTER'!#REF!)-1))))*(INDEX('CONTROL MASTER'!$AC$2:$AC$495,(SUMPRODUCT((('CONTROL MASTER'!$S$2:$S$495=11)*('CONTROL MASTER'!$Z$2:$Z$495&lt;=6)*('CONTROL MASTER'!$AB$2:$AB$495&gt;=6)*('CONTROL MASTER'!$AA$2:$AA$495&lt;=6)*('CONTROL MASTER'!$AC$2:$AC$495&gt;=6))*ROW('CONTROL MASTER'!$S$2:$S$495))-(ROW('CONTROL MASTER'!#REF!)-1)))-INDEX('CONTROL MASTER'!$AA$2:$AA$495,(SUMPRODUCT((('CONTROL MASTER'!$S$2:$S$495=11)*('CONTROL MASTER'!$Z$2:$Z$495&lt;=6)*('CONTROL MASTER'!$AB$2:$AB$495&gt;=6)*('CONTROL MASTER'!$AA$2:$AA$495&lt;=6)*('CONTROL MASTER'!$AC$2:$AC$495&gt;=6))*ROW('CONTROL MASTER'!$S$2:$S$495))-(ROW('CONTROL MASTER'!#REF!)-1)))+1)+(6-INDEX('CONTROL MASTER'!$AA$2:$AA$495,(SUMPRODUCT((('CONTROL MASTER'!$S$2:$S$495=11)*('CONTROL MASTER'!$Z$2:$Z$495&lt;=6)*('CONTROL MASTER'!$AB$2:$AB$495&gt;=6)*('CONTROL MASTER'!$AA$2:$AA$495&lt;=6)*('CONTROL MASTER'!$AC$2:$AC$495&gt;=6))*ROW('CONTROL MASTER'!$S$2:$S$495))-(ROW('CONTROL MASTER'!#REF!)-1))))+1)))-1)*50+1,50))&amp;"_"&amp;INDEX('CONTROL MASTER'!$P$2:$P$495,(SUMPRODUCT((('CONTROL MASTER'!$S$2:$S$495=11)*('CONTROL MASTER'!$Z$2:$Z$495&lt;=6)*('CONTROL MASTER'!$AB$2:$AB$495&gt;=6)*('CONTROL MASTER'!$AA$2:$AA$495&lt;=6)*('CONTROL MASTER'!$AC$2:$AC$495&gt;=6))*ROW('CONTROL MASTER'!$S$2:$S$495))-(ROW('CONTROL MASTER'!#REF!)-1))),"")),"")</f>
        <v/>
      </c>
      <c r="H148" s="10" t="str">
        <f>IFERROR(IF(SUMPRODUCT((('CONTROL MASTER'!$S$2:$S$495=11)*('CONTROL MASTER'!$T$2:$T$495&lt;=6)*('CONTROL MASTER'!$V$2:$V$495&gt;=6)*('CONTROL MASTER'!$U$2:$U$495&lt;=7)*('CONTROL MASTER'!$W$2:$W$495&gt;=7))*ROW('CONTROL MASTER'!$S$2:$S$495))&gt;0,INDEX('CONTROL MASTER'!$X$2:$X$495,(SUMPRODUCT((('CONTROL MASTER'!$S$2:$S$495=11)*('CONTROL MASTER'!$T$2:$T$495&lt;=6)*('CONTROL MASTER'!$V$2:$V$495&gt;=6)*('CONTROL MASTER'!$U$2:$U$495&lt;=7)*('CONTROL MASTER'!$W$2:$W$495&gt;=7))*ROW('CONTROL MASTER'!$S$2:$S$495))-(ROW('CONTROL MASTER'!#REF!)-1)))&amp;TRIM(MID(SUBSTITUTE(SUBSTITUTE(INDEX('CONTROL MASTER'!$N$2:$N$495,(SUMPRODUCT((('CONTROL MASTER'!$S$2:$S$495=11)*('CONTROL MASTER'!$T$2:$T$495&lt;=6)*('CONTROL MASTER'!$V$2:$V$495&gt;=6)*('CONTROL MASTER'!$U$2:$U$495&lt;=7)*('CONTROL MASTER'!$W$2:$W$495&gt;=7))*ROW('CONTROL MASTER'!$S$2:$S$495))-(ROW('CONTROL MASTER'!#REF!)-1))),":",","),",",REPT(" ",50)),((((6-INDEX('CONTROL MASTER'!$T$2:$T$495,(SUMPRODUCT((('CONTROL MASTER'!$S$2:$S$495=11)*('CONTROL MASTER'!$T$2:$T$495&lt;=6)*('CONTROL MASTER'!$V$2:$V$495&gt;=6)*('CONTROL MASTER'!$U$2:$U$495&lt;=7)*('CONTROL MASTER'!$W$2:$W$495&gt;=7))*ROW('CONTROL MASTER'!$S$2:$S$495))-(ROW('CONTROL MASTER'!#REF!)-1))))*(INDEX('CONTROL MASTER'!$W$2:$W$495,(SUMPRODUCT((('CONTROL MASTER'!$S$2:$S$495=11)*('CONTROL MASTER'!$T$2:$T$495&lt;=6)*('CONTROL MASTER'!$V$2:$V$495&gt;=6)*('CONTROL MASTER'!$U$2:$U$495&lt;=7)*('CONTROL MASTER'!$W$2:$W$495&gt;=7))*ROW('CONTROL MASTER'!$S$2:$S$495))-(ROW('CONTROL MASTER'!#REF!)-1)))-INDEX('CONTROL MASTER'!$U$2:$U$495,(SUMPRODUCT((('CONTROL MASTER'!$S$2:$S$495=11)*('CONTROL MASTER'!$T$2:$T$495&lt;=6)*('CONTROL MASTER'!$V$2:$V$495&gt;=6)*('CONTROL MASTER'!$U$2:$U$495&lt;=7)*('CONTROL MASTER'!$W$2:$W$495&gt;=7))*ROW('CONTROL MASTER'!$S$2:$S$495))-(ROW('CONTROL MASTER'!#REF!)-1)))+1)+(7-INDEX('CONTROL MASTER'!$U$2:$U$495,(SUMPRODUCT((('CONTROL MASTER'!$S$2:$S$495=11)*('CONTROL MASTER'!$T$2:$T$495&lt;=6)*('CONTROL MASTER'!$V$2:$V$495&gt;=6)*('CONTROL MASTER'!$U$2:$U$495&lt;=7)*('CONTROL MASTER'!$W$2:$W$495&gt;=7))*ROW('CONTROL MASTER'!$S$2:$S$495))-(ROW('CONTROL MASTER'!#REF!)-1))))+1))-1)*50+1,50))&amp;"_"&amp;INDEX('CONTROL MASTER'!$P$2:$P$495,(SUMPRODUCT((('CONTROL MASTER'!$S$2:$S$495=11)*('CONTROL MASTER'!$T$2:$T$495&lt;=6)*('CONTROL MASTER'!$V$2:$V$495&gt;=6)*('CONTROL MASTER'!$U$2:$U$495&lt;=7)*('CONTROL MASTER'!$W$2:$W$495&gt;=7))*ROW('CONTROL MASTER'!$S$2:$S$495))-(ROW('CONTROL MASTER'!#REF!)-1))),IF(SUMPRODUCT((('CONTROL MASTER'!$S$2:$S$495=11)*('CONTROL MASTER'!$Z$2:$Z$495&lt;=6)*('CONTROL MASTER'!$AB$2:$AB$495&gt;=6)*('CONTROL MASTER'!$AA$2:$AA$495&lt;=7)*('CONTROL MASTER'!$AC$2:$AC$495&gt;=7))*ROW('CONTROL MASTER'!$S$2:$S$495))&gt;0,INDEX('CONTROL MASTER'!$X$2:$X$495,(SUMPRODUCT((('CONTROL MASTER'!$S$2:$S$495=11)*('CONTROL MASTER'!$Z$2:$Z$495&lt;=6)*('CONTROL MASTER'!$AB$2:$AB$495&gt;=6)*('CONTROL MASTER'!$AA$2:$AA$495&lt;=7)*('CONTROL MASTER'!$AC$2:$AC$495&gt;=7))*ROW('CONTROL MASTER'!$S$2:$S$495))-(ROW('CONTROL MASTER'!#REF!)-1)))&amp;TRIM(MID(SUBSTITUTE(SUBSTITUTE(INDEX('CONTROL MASTER'!$N$2:$N$495,(SUMPRODUCT((('CONTROL MASTER'!$S$2:$S$495=11)*('CONTROL MASTER'!$Z$2:$Z$495&lt;=6)*('CONTROL MASTER'!$AB$2:$AB$495&gt;=6)*('CONTROL MASTER'!$AA$2:$AA$495&lt;=7)*('CONTROL MASTER'!$AC$2:$AC$495&gt;=7))*ROW('CONTROL MASTER'!$S$2:$S$495))-(ROW('CONTROL MASTER'!#REF!)-1))),":",","),",",REPT(" ",50)),(((INDEX('CONTROL MASTER'!$Y$2:$Y$495,(SUMPRODUCT((('CONTROL MASTER'!$S$2:$S$495=11)*('CONTROL MASTER'!$Z$2:$Z$495&lt;=6)*('CONTROL MASTER'!$AB$2:$AB$495&gt;=6)*('CONTROL MASTER'!$AA$2:$AA$495&lt;=7)*('CONTROL MASTER'!$AC$2:$AC$495&gt;=7))*ROW('CONTROL MASTER'!$S$2:$S$495))-(ROW('CONTROL MASTER'!#REF!)-1)))+((6-INDEX('CONTROL MASTER'!$Z$2:$Z$495,(SUMPRODUCT((('CONTROL MASTER'!$S$2:$S$495=11)*('CONTROL MASTER'!$Z$2:$Z$495&lt;=6)*('CONTROL MASTER'!$AB$2:$AB$495&gt;=6)*('CONTROL MASTER'!$AA$2:$AA$495&lt;=7)*('CONTROL MASTER'!$AC$2:$AC$495&gt;=7))*ROW('CONTROL MASTER'!$S$2:$S$495))-(ROW('CONTROL MASTER'!#REF!)-1))))*(INDEX('CONTROL MASTER'!$AC$2:$AC$495,(SUMPRODUCT((('CONTROL MASTER'!$S$2:$S$495=11)*('CONTROL MASTER'!$Z$2:$Z$495&lt;=6)*('CONTROL MASTER'!$AB$2:$AB$495&gt;=6)*('CONTROL MASTER'!$AA$2:$AA$495&lt;=7)*('CONTROL MASTER'!$AC$2:$AC$495&gt;=7))*ROW('CONTROL MASTER'!$S$2:$S$495))-(ROW('CONTROL MASTER'!#REF!)-1)))-INDEX('CONTROL MASTER'!$AA$2:$AA$495,(SUMPRODUCT((('CONTROL MASTER'!$S$2:$S$495=11)*('CONTROL MASTER'!$Z$2:$Z$495&lt;=6)*('CONTROL MASTER'!$AB$2:$AB$495&gt;=6)*('CONTROL MASTER'!$AA$2:$AA$495&lt;=7)*('CONTROL MASTER'!$AC$2:$AC$495&gt;=7))*ROW('CONTROL MASTER'!$S$2:$S$495))-(ROW('CONTROL MASTER'!#REF!)-1)))+1)+(7-INDEX('CONTROL MASTER'!$AA$2:$AA$495,(SUMPRODUCT((('CONTROL MASTER'!$S$2:$S$495=11)*('CONTROL MASTER'!$Z$2:$Z$495&lt;=6)*('CONTROL MASTER'!$AB$2:$AB$495&gt;=6)*('CONTROL MASTER'!$AA$2:$AA$495&lt;=7)*('CONTROL MASTER'!$AC$2:$AC$495&gt;=7))*ROW('CONTROL MASTER'!$S$2:$S$495))-(ROW('CONTROL MASTER'!#REF!)-1))))+1)))-1)*50+1,50))&amp;"_"&amp;INDEX('CONTROL MASTER'!$P$2:$P$495,(SUMPRODUCT((('CONTROL MASTER'!$S$2:$S$495=11)*('CONTROL MASTER'!$Z$2:$Z$495&lt;=6)*('CONTROL MASTER'!$AB$2:$AB$495&gt;=6)*('CONTROL MASTER'!$AA$2:$AA$495&lt;=7)*('CONTROL MASTER'!$AC$2:$AC$495&gt;=7))*ROW('CONTROL MASTER'!$S$2:$S$495))-(ROW('CONTROL MASTER'!#REF!)-1))),"")),"")</f>
        <v/>
      </c>
      <c r="I148" s="10" t="str">
        <f>IFERROR(IF(SUMPRODUCT((('CONTROL MASTER'!$S$2:$S$495=11)*('CONTROL MASTER'!$T$2:$T$495&lt;=6)*('CONTROL MASTER'!$V$2:$V$495&gt;=6)*('CONTROL MASTER'!$U$2:$U$495&lt;=8)*('CONTROL MASTER'!$W$2:$W$495&gt;=8))*ROW('CONTROL MASTER'!$S$2:$S$495))&gt;0,INDEX('CONTROL MASTER'!$X$2:$X$495,(SUMPRODUCT((('CONTROL MASTER'!$S$2:$S$495=11)*('CONTROL MASTER'!$T$2:$T$495&lt;=6)*('CONTROL MASTER'!$V$2:$V$495&gt;=6)*('CONTROL MASTER'!$U$2:$U$495&lt;=8)*('CONTROL MASTER'!$W$2:$W$495&gt;=8))*ROW('CONTROL MASTER'!$S$2:$S$495))-(ROW('CONTROL MASTER'!#REF!)-1)))&amp;TRIM(MID(SUBSTITUTE(SUBSTITUTE(INDEX('CONTROL MASTER'!$N$2:$N$495,(SUMPRODUCT((('CONTROL MASTER'!$S$2:$S$495=11)*('CONTROL MASTER'!$T$2:$T$495&lt;=6)*('CONTROL MASTER'!$V$2:$V$495&gt;=6)*('CONTROL MASTER'!$U$2:$U$495&lt;=8)*('CONTROL MASTER'!$W$2:$W$495&gt;=8))*ROW('CONTROL MASTER'!$S$2:$S$495))-(ROW('CONTROL MASTER'!#REF!)-1))),":",","),",",REPT(" ",50)),((((6-INDEX('CONTROL MASTER'!$T$2:$T$495,(SUMPRODUCT((('CONTROL MASTER'!$S$2:$S$495=11)*('CONTROL MASTER'!$T$2:$T$495&lt;=6)*('CONTROL MASTER'!$V$2:$V$495&gt;=6)*('CONTROL MASTER'!$U$2:$U$495&lt;=8)*('CONTROL MASTER'!$W$2:$W$495&gt;=8))*ROW('CONTROL MASTER'!$S$2:$S$495))-(ROW('CONTROL MASTER'!#REF!)-1))))*(INDEX('CONTROL MASTER'!$W$2:$W$495,(SUMPRODUCT((('CONTROL MASTER'!$S$2:$S$495=11)*('CONTROL MASTER'!$T$2:$T$495&lt;=6)*('CONTROL MASTER'!$V$2:$V$495&gt;=6)*('CONTROL MASTER'!$U$2:$U$495&lt;=8)*('CONTROL MASTER'!$W$2:$W$495&gt;=8))*ROW('CONTROL MASTER'!$S$2:$S$495))-(ROW('CONTROL MASTER'!#REF!)-1)))-INDEX('CONTROL MASTER'!$U$2:$U$495,(SUMPRODUCT((('CONTROL MASTER'!$S$2:$S$495=11)*('CONTROL MASTER'!$T$2:$T$495&lt;=6)*('CONTROL MASTER'!$V$2:$V$495&gt;=6)*('CONTROL MASTER'!$U$2:$U$495&lt;=8)*('CONTROL MASTER'!$W$2:$W$495&gt;=8))*ROW('CONTROL MASTER'!$S$2:$S$495))-(ROW('CONTROL MASTER'!#REF!)-1)))+1)+(8-INDEX('CONTROL MASTER'!$U$2:$U$495,(SUMPRODUCT((('CONTROL MASTER'!$S$2:$S$495=11)*('CONTROL MASTER'!$T$2:$T$495&lt;=6)*('CONTROL MASTER'!$V$2:$V$495&gt;=6)*('CONTROL MASTER'!$U$2:$U$495&lt;=8)*('CONTROL MASTER'!$W$2:$W$495&gt;=8))*ROW('CONTROL MASTER'!$S$2:$S$495))-(ROW('CONTROL MASTER'!#REF!)-1))))+1))-1)*50+1,50))&amp;"_"&amp;INDEX('CONTROL MASTER'!$P$2:$P$495,(SUMPRODUCT((('CONTROL MASTER'!$S$2:$S$495=11)*('CONTROL MASTER'!$T$2:$T$495&lt;=6)*('CONTROL MASTER'!$V$2:$V$495&gt;=6)*('CONTROL MASTER'!$U$2:$U$495&lt;=8)*('CONTROL MASTER'!$W$2:$W$495&gt;=8))*ROW('CONTROL MASTER'!$S$2:$S$495))-(ROW('CONTROL MASTER'!#REF!)-1))),IF(SUMPRODUCT((('CONTROL MASTER'!$S$2:$S$495=11)*('CONTROL MASTER'!$Z$2:$Z$495&lt;=6)*('CONTROL MASTER'!$AB$2:$AB$495&gt;=6)*('CONTROL MASTER'!$AA$2:$AA$495&lt;=8)*('CONTROL MASTER'!$AC$2:$AC$495&gt;=8))*ROW('CONTROL MASTER'!$S$2:$S$495))&gt;0,INDEX('CONTROL MASTER'!$X$2:$X$495,(SUMPRODUCT((('CONTROL MASTER'!$S$2:$S$495=11)*('CONTROL MASTER'!$Z$2:$Z$495&lt;=6)*('CONTROL MASTER'!$AB$2:$AB$495&gt;=6)*('CONTROL MASTER'!$AA$2:$AA$495&lt;=8)*('CONTROL MASTER'!$AC$2:$AC$495&gt;=8))*ROW('CONTROL MASTER'!$S$2:$S$495))-(ROW('CONTROL MASTER'!#REF!)-1)))&amp;TRIM(MID(SUBSTITUTE(SUBSTITUTE(INDEX('CONTROL MASTER'!$N$2:$N$495,(SUMPRODUCT((('CONTROL MASTER'!$S$2:$S$495=11)*('CONTROL MASTER'!$Z$2:$Z$495&lt;=6)*('CONTROL MASTER'!$AB$2:$AB$495&gt;=6)*('CONTROL MASTER'!$AA$2:$AA$495&lt;=8)*('CONTROL MASTER'!$AC$2:$AC$495&gt;=8))*ROW('CONTROL MASTER'!$S$2:$S$495))-(ROW('CONTROL MASTER'!#REF!)-1))),":",","),",",REPT(" ",50)),(((INDEX('CONTROL MASTER'!$Y$2:$Y$495,(SUMPRODUCT((('CONTROL MASTER'!$S$2:$S$495=11)*('CONTROL MASTER'!$Z$2:$Z$495&lt;=6)*('CONTROL MASTER'!$AB$2:$AB$495&gt;=6)*('CONTROL MASTER'!$AA$2:$AA$495&lt;=8)*('CONTROL MASTER'!$AC$2:$AC$495&gt;=8))*ROW('CONTROL MASTER'!$S$2:$S$495))-(ROW('CONTROL MASTER'!#REF!)-1)))+((6-INDEX('CONTROL MASTER'!$Z$2:$Z$495,(SUMPRODUCT((('CONTROL MASTER'!$S$2:$S$495=11)*('CONTROL MASTER'!$Z$2:$Z$495&lt;=6)*('CONTROL MASTER'!$AB$2:$AB$495&gt;=6)*('CONTROL MASTER'!$AA$2:$AA$495&lt;=8)*('CONTROL MASTER'!$AC$2:$AC$495&gt;=8))*ROW('CONTROL MASTER'!$S$2:$S$495))-(ROW('CONTROL MASTER'!#REF!)-1))))*(INDEX('CONTROL MASTER'!$AC$2:$AC$495,(SUMPRODUCT((('CONTROL MASTER'!$S$2:$S$495=11)*('CONTROL MASTER'!$Z$2:$Z$495&lt;=6)*('CONTROL MASTER'!$AB$2:$AB$495&gt;=6)*('CONTROL MASTER'!$AA$2:$AA$495&lt;=8)*('CONTROL MASTER'!$AC$2:$AC$495&gt;=8))*ROW('CONTROL MASTER'!$S$2:$S$495))-(ROW('CONTROL MASTER'!#REF!)-1)))-INDEX('CONTROL MASTER'!$AA$2:$AA$495,(SUMPRODUCT((('CONTROL MASTER'!$S$2:$S$495=11)*('CONTROL MASTER'!$Z$2:$Z$495&lt;=6)*('CONTROL MASTER'!$AB$2:$AB$495&gt;=6)*('CONTROL MASTER'!$AA$2:$AA$495&lt;=8)*('CONTROL MASTER'!$AC$2:$AC$495&gt;=8))*ROW('CONTROL MASTER'!$S$2:$S$495))-(ROW('CONTROL MASTER'!#REF!)-1)))+1)+(8-INDEX('CONTROL MASTER'!$AA$2:$AA$495,(SUMPRODUCT((('CONTROL MASTER'!$S$2:$S$495=11)*('CONTROL MASTER'!$Z$2:$Z$495&lt;=6)*('CONTROL MASTER'!$AB$2:$AB$495&gt;=6)*('CONTROL MASTER'!$AA$2:$AA$495&lt;=8)*('CONTROL MASTER'!$AC$2:$AC$495&gt;=8))*ROW('CONTROL MASTER'!$S$2:$S$495))-(ROW('CONTROL MASTER'!#REF!)-1))))+1)))-1)*50+1,50))&amp;"_"&amp;INDEX('CONTROL MASTER'!$P$2:$P$495,(SUMPRODUCT((('CONTROL MASTER'!$S$2:$S$495=11)*('CONTROL MASTER'!$Z$2:$Z$495&lt;=6)*('CONTROL MASTER'!$AB$2:$AB$495&gt;=6)*('CONTROL MASTER'!$AA$2:$AA$495&lt;=8)*('CONTROL MASTER'!$AC$2:$AC$495&gt;=8))*ROW('CONTROL MASTER'!$S$2:$S$495))-(ROW('CONTROL MASTER'!#REF!)-1))),"")),"")</f>
        <v/>
      </c>
      <c r="J148" s="10" t="str">
        <f>IFERROR(IF(SUMPRODUCT((('CONTROL MASTER'!$S$2:$S$495=11)*('CONTROL MASTER'!$T$2:$T$495&lt;=6)*('CONTROL MASTER'!$V$2:$V$495&gt;=6)*('CONTROL MASTER'!$U$2:$U$495&lt;=9)*('CONTROL MASTER'!$W$2:$W$495&gt;=9))*ROW('CONTROL MASTER'!$S$2:$S$495))&gt;0,INDEX('CONTROL MASTER'!$X$2:$X$495,(SUMPRODUCT((('CONTROL MASTER'!$S$2:$S$495=11)*('CONTROL MASTER'!$T$2:$T$495&lt;=6)*('CONTROL MASTER'!$V$2:$V$495&gt;=6)*('CONTROL MASTER'!$U$2:$U$495&lt;=9)*('CONTROL MASTER'!$W$2:$W$495&gt;=9))*ROW('CONTROL MASTER'!$S$2:$S$495))-(ROW('CONTROL MASTER'!#REF!)-1)))&amp;TRIM(MID(SUBSTITUTE(SUBSTITUTE(INDEX('CONTROL MASTER'!$N$2:$N$495,(SUMPRODUCT((('CONTROL MASTER'!$S$2:$S$495=11)*('CONTROL MASTER'!$T$2:$T$495&lt;=6)*('CONTROL MASTER'!$V$2:$V$495&gt;=6)*('CONTROL MASTER'!$U$2:$U$495&lt;=9)*('CONTROL MASTER'!$W$2:$W$495&gt;=9))*ROW('CONTROL MASTER'!$S$2:$S$495))-(ROW('CONTROL MASTER'!#REF!)-1))),":",","),",",REPT(" ",50)),((((6-INDEX('CONTROL MASTER'!$T$2:$T$495,(SUMPRODUCT((('CONTROL MASTER'!$S$2:$S$495=11)*('CONTROL MASTER'!$T$2:$T$495&lt;=6)*('CONTROL MASTER'!$V$2:$V$495&gt;=6)*('CONTROL MASTER'!$U$2:$U$495&lt;=9)*('CONTROL MASTER'!$W$2:$W$495&gt;=9))*ROW('CONTROL MASTER'!$S$2:$S$495))-(ROW('CONTROL MASTER'!#REF!)-1))))*(INDEX('CONTROL MASTER'!$W$2:$W$495,(SUMPRODUCT((('CONTROL MASTER'!$S$2:$S$495=11)*('CONTROL MASTER'!$T$2:$T$495&lt;=6)*('CONTROL MASTER'!$V$2:$V$495&gt;=6)*('CONTROL MASTER'!$U$2:$U$495&lt;=9)*('CONTROL MASTER'!$W$2:$W$495&gt;=9))*ROW('CONTROL MASTER'!$S$2:$S$495))-(ROW('CONTROL MASTER'!#REF!)-1)))-INDEX('CONTROL MASTER'!$U$2:$U$495,(SUMPRODUCT((('CONTROL MASTER'!$S$2:$S$495=11)*('CONTROL MASTER'!$T$2:$T$495&lt;=6)*('CONTROL MASTER'!$V$2:$V$495&gt;=6)*('CONTROL MASTER'!$U$2:$U$495&lt;=9)*('CONTROL MASTER'!$W$2:$W$495&gt;=9))*ROW('CONTROL MASTER'!$S$2:$S$495))-(ROW('CONTROL MASTER'!#REF!)-1)))+1)+(9-INDEX('CONTROL MASTER'!$U$2:$U$495,(SUMPRODUCT((('CONTROL MASTER'!$S$2:$S$495=11)*('CONTROL MASTER'!$T$2:$T$495&lt;=6)*('CONTROL MASTER'!$V$2:$V$495&gt;=6)*('CONTROL MASTER'!$U$2:$U$495&lt;=9)*('CONTROL MASTER'!$W$2:$W$495&gt;=9))*ROW('CONTROL MASTER'!$S$2:$S$495))-(ROW('CONTROL MASTER'!#REF!)-1))))+1))-1)*50+1,50))&amp;"_"&amp;INDEX('CONTROL MASTER'!$P$2:$P$495,(SUMPRODUCT((('CONTROL MASTER'!$S$2:$S$495=11)*('CONTROL MASTER'!$T$2:$T$495&lt;=6)*('CONTROL MASTER'!$V$2:$V$495&gt;=6)*('CONTROL MASTER'!$U$2:$U$495&lt;=9)*('CONTROL MASTER'!$W$2:$W$495&gt;=9))*ROW('CONTROL MASTER'!$S$2:$S$495))-(ROW('CONTROL MASTER'!#REF!)-1))),IF(SUMPRODUCT((('CONTROL MASTER'!$S$2:$S$495=11)*('CONTROL MASTER'!$Z$2:$Z$495&lt;=6)*('CONTROL MASTER'!$AB$2:$AB$495&gt;=6)*('CONTROL MASTER'!$AA$2:$AA$495&lt;=9)*('CONTROL MASTER'!$AC$2:$AC$495&gt;=9))*ROW('CONTROL MASTER'!$S$2:$S$495))&gt;0,INDEX('CONTROL MASTER'!$X$2:$X$495,(SUMPRODUCT((('CONTROL MASTER'!$S$2:$S$495=11)*('CONTROL MASTER'!$Z$2:$Z$495&lt;=6)*('CONTROL MASTER'!$AB$2:$AB$495&gt;=6)*('CONTROL MASTER'!$AA$2:$AA$495&lt;=9)*('CONTROL MASTER'!$AC$2:$AC$495&gt;=9))*ROW('CONTROL MASTER'!$S$2:$S$495))-(ROW('CONTROL MASTER'!#REF!)-1)))&amp;TRIM(MID(SUBSTITUTE(SUBSTITUTE(INDEX('CONTROL MASTER'!$N$2:$N$495,(SUMPRODUCT((('CONTROL MASTER'!$S$2:$S$495=11)*('CONTROL MASTER'!$Z$2:$Z$495&lt;=6)*('CONTROL MASTER'!$AB$2:$AB$495&gt;=6)*('CONTROL MASTER'!$AA$2:$AA$495&lt;=9)*('CONTROL MASTER'!$AC$2:$AC$495&gt;=9))*ROW('CONTROL MASTER'!$S$2:$S$495))-(ROW('CONTROL MASTER'!#REF!)-1))),":",","),",",REPT(" ",50)),(((INDEX('CONTROL MASTER'!$Y$2:$Y$495,(SUMPRODUCT((('CONTROL MASTER'!$S$2:$S$495=11)*('CONTROL MASTER'!$Z$2:$Z$495&lt;=6)*('CONTROL MASTER'!$AB$2:$AB$495&gt;=6)*('CONTROL MASTER'!$AA$2:$AA$495&lt;=9)*('CONTROL MASTER'!$AC$2:$AC$495&gt;=9))*ROW('CONTROL MASTER'!$S$2:$S$495))-(ROW('CONTROL MASTER'!#REF!)-1)))+((6-INDEX('CONTROL MASTER'!$Z$2:$Z$495,(SUMPRODUCT((('CONTROL MASTER'!$S$2:$S$495=11)*('CONTROL MASTER'!$Z$2:$Z$495&lt;=6)*('CONTROL MASTER'!$AB$2:$AB$495&gt;=6)*('CONTROL MASTER'!$AA$2:$AA$495&lt;=9)*('CONTROL MASTER'!$AC$2:$AC$495&gt;=9))*ROW('CONTROL MASTER'!$S$2:$S$495))-(ROW('CONTROL MASTER'!#REF!)-1))))*(INDEX('CONTROL MASTER'!$AC$2:$AC$495,(SUMPRODUCT((('CONTROL MASTER'!$S$2:$S$495=11)*('CONTROL MASTER'!$Z$2:$Z$495&lt;=6)*('CONTROL MASTER'!$AB$2:$AB$495&gt;=6)*('CONTROL MASTER'!$AA$2:$AA$495&lt;=9)*('CONTROL MASTER'!$AC$2:$AC$495&gt;=9))*ROW('CONTROL MASTER'!$S$2:$S$495))-(ROW('CONTROL MASTER'!#REF!)-1)))-INDEX('CONTROL MASTER'!$AA$2:$AA$495,(SUMPRODUCT((('CONTROL MASTER'!$S$2:$S$495=11)*('CONTROL MASTER'!$Z$2:$Z$495&lt;=6)*('CONTROL MASTER'!$AB$2:$AB$495&gt;=6)*('CONTROL MASTER'!$AA$2:$AA$495&lt;=9)*('CONTROL MASTER'!$AC$2:$AC$495&gt;=9))*ROW('CONTROL MASTER'!$S$2:$S$495))-(ROW('CONTROL MASTER'!#REF!)-1)))+1)+(9-INDEX('CONTROL MASTER'!$AA$2:$AA$495,(SUMPRODUCT((('CONTROL MASTER'!$S$2:$S$495=11)*('CONTROL MASTER'!$Z$2:$Z$495&lt;=6)*('CONTROL MASTER'!$AB$2:$AB$495&gt;=6)*('CONTROL MASTER'!$AA$2:$AA$495&lt;=9)*('CONTROL MASTER'!$AC$2:$AC$495&gt;=9))*ROW('CONTROL MASTER'!$S$2:$S$495))-(ROW('CONTROL MASTER'!#REF!)-1))))+1)))-1)*50+1,50))&amp;"_"&amp;INDEX('CONTROL MASTER'!$P$2:$P$495,(SUMPRODUCT((('CONTROL MASTER'!$S$2:$S$495=11)*('CONTROL MASTER'!$Z$2:$Z$495&lt;=6)*('CONTROL MASTER'!$AB$2:$AB$495&gt;=6)*('CONTROL MASTER'!$AA$2:$AA$495&lt;=9)*('CONTROL MASTER'!$AC$2:$AC$495&gt;=9))*ROW('CONTROL MASTER'!$S$2:$S$495))-(ROW('CONTROL MASTER'!#REF!)-1))),"")),"")</f>
        <v/>
      </c>
      <c r="K148" s="10" t="str">
        <f>IFERROR(IF(SUMPRODUCT((('CONTROL MASTER'!$S$2:$S$495=11)*('CONTROL MASTER'!$T$2:$T$495&lt;=6)*('CONTROL MASTER'!$V$2:$V$495&gt;=6)*('CONTROL MASTER'!$U$2:$U$495&lt;=10)*('CONTROL MASTER'!$W$2:$W$495&gt;=10))*ROW('CONTROL MASTER'!$S$2:$S$495))&gt;0,INDEX('CONTROL MASTER'!$X$2:$X$495,(SUMPRODUCT((('CONTROL MASTER'!$S$2:$S$495=11)*('CONTROL MASTER'!$T$2:$T$495&lt;=6)*('CONTROL MASTER'!$V$2:$V$495&gt;=6)*('CONTROL MASTER'!$U$2:$U$495&lt;=10)*('CONTROL MASTER'!$W$2:$W$495&gt;=10))*ROW('CONTROL MASTER'!$S$2:$S$495))-(ROW('CONTROL MASTER'!#REF!)-1)))&amp;TRIM(MID(SUBSTITUTE(SUBSTITUTE(INDEX('CONTROL MASTER'!$N$2:$N$495,(SUMPRODUCT((('CONTROL MASTER'!$S$2:$S$495=11)*('CONTROL MASTER'!$T$2:$T$495&lt;=6)*('CONTROL MASTER'!$V$2:$V$495&gt;=6)*('CONTROL MASTER'!$U$2:$U$495&lt;=10)*('CONTROL MASTER'!$W$2:$W$495&gt;=10))*ROW('CONTROL MASTER'!$S$2:$S$495))-(ROW('CONTROL MASTER'!#REF!)-1))),":",","),",",REPT(" ",50)),((((6-INDEX('CONTROL MASTER'!$T$2:$T$495,(SUMPRODUCT((('CONTROL MASTER'!$S$2:$S$495=11)*('CONTROL MASTER'!$T$2:$T$495&lt;=6)*('CONTROL MASTER'!$V$2:$V$495&gt;=6)*('CONTROL MASTER'!$U$2:$U$495&lt;=10)*('CONTROL MASTER'!$W$2:$W$495&gt;=10))*ROW('CONTROL MASTER'!$S$2:$S$495))-(ROW('CONTROL MASTER'!#REF!)-1))))*(INDEX('CONTROL MASTER'!$W$2:$W$495,(SUMPRODUCT((('CONTROL MASTER'!$S$2:$S$495=11)*('CONTROL MASTER'!$T$2:$T$495&lt;=6)*('CONTROL MASTER'!$V$2:$V$495&gt;=6)*('CONTROL MASTER'!$U$2:$U$495&lt;=10)*('CONTROL MASTER'!$W$2:$W$495&gt;=10))*ROW('CONTROL MASTER'!$S$2:$S$495))-(ROW('CONTROL MASTER'!#REF!)-1)))-INDEX('CONTROL MASTER'!$U$2:$U$495,(SUMPRODUCT((('CONTROL MASTER'!$S$2:$S$495=11)*('CONTROL MASTER'!$T$2:$T$495&lt;=6)*('CONTROL MASTER'!$V$2:$V$495&gt;=6)*('CONTROL MASTER'!$U$2:$U$495&lt;=10)*('CONTROL MASTER'!$W$2:$W$495&gt;=10))*ROW('CONTROL MASTER'!$S$2:$S$495))-(ROW('CONTROL MASTER'!#REF!)-1)))+1)+(10-INDEX('CONTROL MASTER'!$U$2:$U$495,(SUMPRODUCT((('CONTROL MASTER'!$S$2:$S$495=11)*('CONTROL MASTER'!$T$2:$T$495&lt;=6)*('CONTROL MASTER'!$V$2:$V$495&gt;=6)*('CONTROL MASTER'!$U$2:$U$495&lt;=10)*('CONTROL MASTER'!$W$2:$W$495&gt;=10))*ROW('CONTROL MASTER'!$S$2:$S$495))-(ROW('CONTROL MASTER'!#REF!)-1))))+1))-1)*50+1,50))&amp;"_"&amp;INDEX('CONTROL MASTER'!$P$2:$P$495,(SUMPRODUCT((('CONTROL MASTER'!$S$2:$S$495=11)*('CONTROL MASTER'!$T$2:$T$495&lt;=6)*('CONTROL MASTER'!$V$2:$V$495&gt;=6)*('CONTROL MASTER'!$U$2:$U$495&lt;=10)*('CONTROL MASTER'!$W$2:$W$495&gt;=10))*ROW('CONTROL MASTER'!$S$2:$S$495))-(ROW('CONTROL MASTER'!#REF!)-1))),IF(SUMPRODUCT((('CONTROL MASTER'!$S$2:$S$495=11)*('CONTROL MASTER'!$Z$2:$Z$495&lt;=6)*('CONTROL MASTER'!$AB$2:$AB$495&gt;=6)*('CONTROL MASTER'!$AA$2:$AA$495&lt;=10)*('CONTROL MASTER'!$AC$2:$AC$495&gt;=10))*ROW('CONTROL MASTER'!$S$2:$S$495))&gt;0,INDEX('CONTROL MASTER'!$X$2:$X$495,(SUMPRODUCT((('CONTROL MASTER'!$S$2:$S$495=11)*('CONTROL MASTER'!$Z$2:$Z$495&lt;=6)*('CONTROL MASTER'!$AB$2:$AB$495&gt;=6)*('CONTROL MASTER'!$AA$2:$AA$495&lt;=10)*('CONTROL MASTER'!$AC$2:$AC$495&gt;=10))*ROW('CONTROL MASTER'!$S$2:$S$495))-(ROW('CONTROL MASTER'!#REF!)-1)))&amp;TRIM(MID(SUBSTITUTE(SUBSTITUTE(INDEX('CONTROL MASTER'!$N$2:$N$495,(SUMPRODUCT((('CONTROL MASTER'!$S$2:$S$495=11)*('CONTROL MASTER'!$Z$2:$Z$495&lt;=6)*('CONTROL MASTER'!$AB$2:$AB$495&gt;=6)*('CONTROL MASTER'!$AA$2:$AA$495&lt;=10)*('CONTROL MASTER'!$AC$2:$AC$495&gt;=10))*ROW('CONTROL MASTER'!$S$2:$S$495))-(ROW('CONTROL MASTER'!#REF!)-1))),":",","),",",REPT(" ",50)),(((INDEX('CONTROL MASTER'!$Y$2:$Y$495,(SUMPRODUCT((('CONTROL MASTER'!$S$2:$S$495=11)*('CONTROL MASTER'!$Z$2:$Z$495&lt;=6)*('CONTROL MASTER'!$AB$2:$AB$495&gt;=6)*('CONTROL MASTER'!$AA$2:$AA$495&lt;=10)*('CONTROL MASTER'!$AC$2:$AC$495&gt;=10))*ROW('CONTROL MASTER'!$S$2:$S$495))-(ROW('CONTROL MASTER'!#REF!)-1)))+((6-INDEX('CONTROL MASTER'!$Z$2:$Z$495,(SUMPRODUCT((('CONTROL MASTER'!$S$2:$S$495=11)*('CONTROL MASTER'!$Z$2:$Z$495&lt;=6)*('CONTROL MASTER'!$AB$2:$AB$495&gt;=6)*('CONTROL MASTER'!$AA$2:$AA$495&lt;=10)*('CONTROL MASTER'!$AC$2:$AC$495&gt;=10))*ROW('CONTROL MASTER'!$S$2:$S$495))-(ROW('CONTROL MASTER'!#REF!)-1))))*(INDEX('CONTROL MASTER'!$AC$2:$AC$495,(SUMPRODUCT((('CONTROL MASTER'!$S$2:$S$495=11)*('CONTROL MASTER'!$Z$2:$Z$495&lt;=6)*('CONTROL MASTER'!$AB$2:$AB$495&gt;=6)*('CONTROL MASTER'!$AA$2:$AA$495&lt;=10)*('CONTROL MASTER'!$AC$2:$AC$495&gt;=10))*ROW('CONTROL MASTER'!$S$2:$S$495))-(ROW('CONTROL MASTER'!#REF!)-1)))-INDEX('CONTROL MASTER'!$AA$2:$AA$495,(SUMPRODUCT((('CONTROL MASTER'!$S$2:$S$495=11)*('CONTROL MASTER'!$Z$2:$Z$495&lt;=6)*('CONTROL MASTER'!$AB$2:$AB$495&gt;=6)*('CONTROL MASTER'!$AA$2:$AA$495&lt;=10)*('CONTROL MASTER'!$AC$2:$AC$495&gt;=10))*ROW('CONTROL MASTER'!$S$2:$S$495))-(ROW('CONTROL MASTER'!#REF!)-1)))+1)+(10-INDEX('CONTROL MASTER'!$AA$2:$AA$495,(SUMPRODUCT((('CONTROL MASTER'!$S$2:$S$495=11)*('CONTROL MASTER'!$Z$2:$Z$495&lt;=6)*('CONTROL MASTER'!$AB$2:$AB$495&gt;=6)*('CONTROL MASTER'!$AA$2:$AA$495&lt;=10)*('CONTROL MASTER'!$AC$2:$AC$495&gt;=10))*ROW('CONTROL MASTER'!$S$2:$S$495))-(ROW('CONTROL MASTER'!#REF!)-1))))+1)))-1)*50+1,50))&amp;"_"&amp;INDEX('CONTROL MASTER'!$P$2:$P$495,(SUMPRODUCT((('CONTROL MASTER'!$S$2:$S$495=11)*('CONTROL MASTER'!$Z$2:$Z$495&lt;=6)*('CONTROL MASTER'!$AB$2:$AB$495&gt;=6)*('CONTROL MASTER'!$AA$2:$AA$495&lt;=10)*('CONTROL MASTER'!$AC$2:$AC$495&gt;=10))*ROW('CONTROL MASTER'!$S$2:$S$495))-(ROW('CONTROL MASTER'!#REF!)-1))),"")),"")</f>
        <v/>
      </c>
    </row>
    <row r="149" spans="1:11" ht="15" customHeight="1" x14ac:dyDescent="0.35">
      <c r="A149" s="8" t="s">
        <v>34</v>
      </c>
      <c r="B149" s="10" t="str">
        <f>IFERROR(IF(SUMPRODUCT((('CONTROL MASTER'!$S$2:$S$495=11)*('CONTROL MASTER'!$T$2:$T$495&lt;=7)*('CONTROL MASTER'!$V$2:$V$495&gt;=7)*('CONTROL MASTER'!$U$2:$U$495&lt;=1)*('CONTROL MASTER'!$W$2:$W$495&gt;=1))*ROW('CONTROL MASTER'!$S$2:$S$495))&gt;0,INDEX('CONTROL MASTER'!$X$2:$X$495,(SUMPRODUCT((('CONTROL MASTER'!$S$2:$S$495=11)*('CONTROL MASTER'!$T$2:$T$495&lt;=7)*('CONTROL MASTER'!$V$2:$V$495&gt;=7)*('CONTROL MASTER'!$U$2:$U$495&lt;=1)*('CONTROL MASTER'!$W$2:$W$495&gt;=1))*ROW('CONTROL MASTER'!$S$2:$S$495))-(ROW('CONTROL MASTER'!#REF!)-1)))&amp;TRIM(MID(SUBSTITUTE(SUBSTITUTE(INDEX('CONTROL MASTER'!$N$2:$N$495,(SUMPRODUCT((('CONTROL MASTER'!$S$2:$S$495=11)*('CONTROL MASTER'!$T$2:$T$495&lt;=7)*('CONTROL MASTER'!$V$2:$V$495&gt;=7)*('CONTROL MASTER'!$U$2:$U$495&lt;=1)*('CONTROL MASTER'!$W$2:$W$495&gt;=1))*ROW('CONTROL MASTER'!$S$2:$S$495))-(ROW('CONTROL MASTER'!#REF!)-1))),":",","),",",REPT(" ",50)),((((7-INDEX('CONTROL MASTER'!$T$2:$T$495,(SUMPRODUCT((('CONTROL MASTER'!$S$2:$S$495=11)*('CONTROL MASTER'!$T$2:$T$495&lt;=7)*('CONTROL MASTER'!$V$2:$V$495&gt;=7)*('CONTROL MASTER'!$U$2:$U$495&lt;=1)*('CONTROL MASTER'!$W$2:$W$495&gt;=1))*ROW('CONTROL MASTER'!$S$2:$S$495))-(ROW('CONTROL MASTER'!#REF!)-1))))*(INDEX('CONTROL MASTER'!$W$2:$W$495,(SUMPRODUCT((('CONTROL MASTER'!$S$2:$S$495=11)*('CONTROL MASTER'!$T$2:$T$495&lt;=7)*('CONTROL MASTER'!$V$2:$V$495&gt;=7)*('CONTROL MASTER'!$U$2:$U$495&lt;=1)*('CONTROL MASTER'!$W$2:$W$495&gt;=1))*ROW('CONTROL MASTER'!$S$2:$S$495))-(ROW('CONTROL MASTER'!#REF!)-1)))-INDEX('CONTROL MASTER'!$U$2:$U$495,(SUMPRODUCT((('CONTROL MASTER'!$S$2:$S$495=11)*('CONTROL MASTER'!$T$2:$T$495&lt;=7)*('CONTROL MASTER'!$V$2:$V$495&gt;=7)*('CONTROL MASTER'!$U$2:$U$495&lt;=1)*('CONTROL MASTER'!$W$2:$W$495&gt;=1))*ROW('CONTROL MASTER'!$S$2:$S$495))-(ROW('CONTROL MASTER'!#REF!)-1)))+1)+(1-INDEX('CONTROL MASTER'!$U$2:$U$495,(SUMPRODUCT((('CONTROL MASTER'!$S$2:$S$495=11)*('CONTROL MASTER'!$T$2:$T$495&lt;=7)*('CONTROL MASTER'!$V$2:$V$495&gt;=7)*('CONTROL MASTER'!$U$2:$U$495&lt;=1)*('CONTROL MASTER'!$W$2:$W$495&gt;=1))*ROW('CONTROL MASTER'!$S$2:$S$495))-(ROW('CONTROL MASTER'!#REF!)-1))))+1))-1)*50+1,50))&amp;"_"&amp;INDEX('CONTROL MASTER'!$P$2:$P$495,(SUMPRODUCT((('CONTROL MASTER'!$S$2:$S$495=11)*('CONTROL MASTER'!$T$2:$T$495&lt;=7)*('CONTROL MASTER'!$V$2:$V$495&gt;=7)*('CONTROL MASTER'!$U$2:$U$495&lt;=1)*('CONTROL MASTER'!$W$2:$W$495&gt;=1))*ROW('CONTROL MASTER'!$S$2:$S$495))-(ROW('CONTROL MASTER'!#REF!)-1))),IF(SUMPRODUCT((('CONTROL MASTER'!$S$2:$S$495=11)*('CONTROL MASTER'!$Z$2:$Z$495&lt;=7)*('CONTROL MASTER'!$AB$2:$AB$495&gt;=7)*('CONTROL MASTER'!$AA$2:$AA$495&lt;=1)*('CONTROL MASTER'!$AC$2:$AC$495&gt;=1))*ROW('CONTROL MASTER'!$S$2:$S$495))&gt;0,INDEX('CONTROL MASTER'!$X$2:$X$495,(SUMPRODUCT((('CONTROL MASTER'!$S$2:$S$495=11)*('CONTROL MASTER'!$Z$2:$Z$495&lt;=7)*('CONTROL MASTER'!$AB$2:$AB$495&gt;=7)*('CONTROL MASTER'!$AA$2:$AA$495&lt;=1)*('CONTROL MASTER'!$AC$2:$AC$495&gt;=1))*ROW('CONTROL MASTER'!$S$2:$S$495))-(ROW('CONTROL MASTER'!#REF!)-1)))&amp;TRIM(MID(SUBSTITUTE(SUBSTITUTE(INDEX('CONTROL MASTER'!$N$2:$N$495,(SUMPRODUCT((('CONTROL MASTER'!$S$2:$S$495=11)*('CONTROL MASTER'!$Z$2:$Z$495&lt;=7)*('CONTROL MASTER'!$AB$2:$AB$495&gt;=7)*('CONTROL MASTER'!$AA$2:$AA$495&lt;=1)*('CONTROL MASTER'!$AC$2:$AC$495&gt;=1))*ROW('CONTROL MASTER'!$S$2:$S$495))-(ROW('CONTROL MASTER'!#REF!)-1))),":",","),",",REPT(" ",50)),(((INDEX('CONTROL MASTER'!$Y$2:$Y$495,(SUMPRODUCT((('CONTROL MASTER'!$S$2:$S$495=11)*('CONTROL MASTER'!$Z$2:$Z$495&lt;=7)*('CONTROL MASTER'!$AB$2:$AB$495&gt;=7)*('CONTROL MASTER'!$AA$2:$AA$495&lt;=1)*('CONTROL MASTER'!$AC$2:$AC$495&gt;=1))*ROW('CONTROL MASTER'!$S$2:$S$495))-(ROW('CONTROL MASTER'!#REF!)-1)))+((7-INDEX('CONTROL MASTER'!$Z$2:$Z$495,(SUMPRODUCT((('CONTROL MASTER'!$S$2:$S$495=11)*('CONTROL MASTER'!$Z$2:$Z$495&lt;=7)*('CONTROL MASTER'!$AB$2:$AB$495&gt;=7)*('CONTROL MASTER'!$AA$2:$AA$495&lt;=1)*('CONTROL MASTER'!$AC$2:$AC$495&gt;=1))*ROW('CONTROL MASTER'!$S$2:$S$495))-(ROW('CONTROL MASTER'!#REF!)-1))))*(INDEX('CONTROL MASTER'!$AC$2:$AC$495,(SUMPRODUCT((('CONTROL MASTER'!$S$2:$S$495=11)*('CONTROL MASTER'!$Z$2:$Z$495&lt;=7)*('CONTROL MASTER'!$AB$2:$AB$495&gt;=7)*('CONTROL MASTER'!$AA$2:$AA$495&lt;=1)*('CONTROL MASTER'!$AC$2:$AC$495&gt;=1))*ROW('CONTROL MASTER'!$S$2:$S$495))-(ROW('CONTROL MASTER'!#REF!)-1)))-INDEX('CONTROL MASTER'!$AA$2:$AA$495,(SUMPRODUCT((('CONTROL MASTER'!$S$2:$S$495=11)*('CONTROL MASTER'!$Z$2:$Z$495&lt;=7)*('CONTROL MASTER'!$AB$2:$AB$495&gt;=7)*('CONTROL MASTER'!$AA$2:$AA$495&lt;=1)*('CONTROL MASTER'!$AC$2:$AC$495&gt;=1))*ROW('CONTROL MASTER'!$S$2:$S$495))-(ROW('CONTROL MASTER'!#REF!)-1)))+1)+(1-INDEX('CONTROL MASTER'!$AA$2:$AA$495,(SUMPRODUCT((('CONTROL MASTER'!$S$2:$S$495=11)*('CONTROL MASTER'!$Z$2:$Z$495&lt;=7)*('CONTROL MASTER'!$AB$2:$AB$495&gt;=7)*('CONTROL MASTER'!$AA$2:$AA$495&lt;=1)*('CONTROL MASTER'!$AC$2:$AC$495&gt;=1))*ROW('CONTROL MASTER'!$S$2:$S$495))-(ROW('CONTROL MASTER'!#REF!)-1))))+1)))-1)*50+1,50))&amp;"_"&amp;INDEX('CONTROL MASTER'!$P$2:$P$495,(SUMPRODUCT((('CONTROL MASTER'!$S$2:$S$495=11)*('CONTROL MASTER'!$Z$2:$Z$495&lt;=7)*('CONTROL MASTER'!$AB$2:$AB$495&gt;=7)*('CONTROL MASTER'!$AA$2:$AA$495&lt;=1)*('CONTROL MASTER'!$AC$2:$AC$495&gt;=1))*ROW('CONTROL MASTER'!$S$2:$S$495))-(ROW('CONTROL MASTER'!#REF!)-1))),"")),"")</f>
        <v/>
      </c>
      <c r="C149" s="10" t="str">
        <f>IFERROR(IF(SUMPRODUCT((('CONTROL MASTER'!$S$2:$S$495=11)*('CONTROL MASTER'!$T$2:$T$495&lt;=7)*('CONTROL MASTER'!$V$2:$V$495&gt;=7)*('CONTROL MASTER'!$U$2:$U$495&lt;=2)*('CONTROL MASTER'!$W$2:$W$495&gt;=2))*ROW('CONTROL MASTER'!$S$2:$S$495))&gt;0,INDEX('CONTROL MASTER'!$X$2:$X$495,(SUMPRODUCT((('CONTROL MASTER'!$S$2:$S$495=11)*('CONTROL MASTER'!$T$2:$T$495&lt;=7)*('CONTROL MASTER'!$V$2:$V$495&gt;=7)*('CONTROL MASTER'!$U$2:$U$495&lt;=2)*('CONTROL MASTER'!$W$2:$W$495&gt;=2))*ROW('CONTROL MASTER'!$S$2:$S$495))-(ROW('CONTROL MASTER'!#REF!)-1)))&amp;TRIM(MID(SUBSTITUTE(SUBSTITUTE(INDEX('CONTROL MASTER'!$N$2:$N$495,(SUMPRODUCT((('CONTROL MASTER'!$S$2:$S$495=11)*('CONTROL MASTER'!$T$2:$T$495&lt;=7)*('CONTROL MASTER'!$V$2:$V$495&gt;=7)*('CONTROL MASTER'!$U$2:$U$495&lt;=2)*('CONTROL MASTER'!$W$2:$W$495&gt;=2))*ROW('CONTROL MASTER'!$S$2:$S$495))-(ROW('CONTROL MASTER'!#REF!)-1))),":",","),",",REPT(" ",50)),((((7-INDEX('CONTROL MASTER'!$T$2:$T$495,(SUMPRODUCT((('CONTROL MASTER'!$S$2:$S$495=11)*('CONTROL MASTER'!$T$2:$T$495&lt;=7)*('CONTROL MASTER'!$V$2:$V$495&gt;=7)*('CONTROL MASTER'!$U$2:$U$495&lt;=2)*('CONTROL MASTER'!$W$2:$W$495&gt;=2))*ROW('CONTROL MASTER'!$S$2:$S$495))-(ROW('CONTROL MASTER'!#REF!)-1))))*(INDEX('CONTROL MASTER'!$W$2:$W$495,(SUMPRODUCT((('CONTROL MASTER'!$S$2:$S$495=11)*('CONTROL MASTER'!$T$2:$T$495&lt;=7)*('CONTROL MASTER'!$V$2:$V$495&gt;=7)*('CONTROL MASTER'!$U$2:$U$495&lt;=2)*('CONTROL MASTER'!$W$2:$W$495&gt;=2))*ROW('CONTROL MASTER'!$S$2:$S$495))-(ROW('CONTROL MASTER'!#REF!)-1)))-INDEX('CONTROL MASTER'!$U$2:$U$495,(SUMPRODUCT((('CONTROL MASTER'!$S$2:$S$495=11)*('CONTROL MASTER'!$T$2:$T$495&lt;=7)*('CONTROL MASTER'!$V$2:$V$495&gt;=7)*('CONTROL MASTER'!$U$2:$U$495&lt;=2)*('CONTROL MASTER'!$W$2:$W$495&gt;=2))*ROW('CONTROL MASTER'!$S$2:$S$495))-(ROW('CONTROL MASTER'!#REF!)-1)))+1)+(2-INDEX('CONTROL MASTER'!$U$2:$U$495,(SUMPRODUCT((('CONTROL MASTER'!$S$2:$S$495=11)*('CONTROL MASTER'!$T$2:$T$495&lt;=7)*('CONTROL MASTER'!$V$2:$V$495&gt;=7)*('CONTROL MASTER'!$U$2:$U$495&lt;=2)*('CONTROL MASTER'!$W$2:$W$495&gt;=2))*ROW('CONTROL MASTER'!$S$2:$S$495))-(ROW('CONTROL MASTER'!#REF!)-1))))+1))-1)*50+1,50))&amp;"_"&amp;INDEX('CONTROL MASTER'!$P$2:$P$495,(SUMPRODUCT((('CONTROL MASTER'!$S$2:$S$495=11)*('CONTROL MASTER'!$T$2:$T$495&lt;=7)*('CONTROL MASTER'!$V$2:$V$495&gt;=7)*('CONTROL MASTER'!$U$2:$U$495&lt;=2)*('CONTROL MASTER'!$W$2:$W$495&gt;=2))*ROW('CONTROL MASTER'!$S$2:$S$495))-(ROW('CONTROL MASTER'!#REF!)-1))),IF(SUMPRODUCT((('CONTROL MASTER'!$S$2:$S$495=11)*('CONTROL MASTER'!$Z$2:$Z$495&lt;=7)*('CONTROL MASTER'!$AB$2:$AB$495&gt;=7)*('CONTROL MASTER'!$AA$2:$AA$495&lt;=2)*('CONTROL MASTER'!$AC$2:$AC$495&gt;=2))*ROW('CONTROL MASTER'!$S$2:$S$495))&gt;0,INDEX('CONTROL MASTER'!$X$2:$X$495,(SUMPRODUCT((('CONTROL MASTER'!$S$2:$S$495=11)*('CONTROL MASTER'!$Z$2:$Z$495&lt;=7)*('CONTROL MASTER'!$AB$2:$AB$495&gt;=7)*('CONTROL MASTER'!$AA$2:$AA$495&lt;=2)*('CONTROL MASTER'!$AC$2:$AC$495&gt;=2))*ROW('CONTROL MASTER'!$S$2:$S$495))-(ROW('CONTROL MASTER'!#REF!)-1)))&amp;TRIM(MID(SUBSTITUTE(SUBSTITUTE(INDEX('CONTROL MASTER'!$N$2:$N$495,(SUMPRODUCT((('CONTROL MASTER'!$S$2:$S$495=11)*('CONTROL MASTER'!$Z$2:$Z$495&lt;=7)*('CONTROL MASTER'!$AB$2:$AB$495&gt;=7)*('CONTROL MASTER'!$AA$2:$AA$495&lt;=2)*('CONTROL MASTER'!$AC$2:$AC$495&gt;=2))*ROW('CONTROL MASTER'!$S$2:$S$495))-(ROW('CONTROL MASTER'!#REF!)-1))),":",","),",",REPT(" ",50)),(((INDEX('CONTROL MASTER'!$Y$2:$Y$495,(SUMPRODUCT((('CONTROL MASTER'!$S$2:$S$495=11)*('CONTROL MASTER'!$Z$2:$Z$495&lt;=7)*('CONTROL MASTER'!$AB$2:$AB$495&gt;=7)*('CONTROL MASTER'!$AA$2:$AA$495&lt;=2)*('CONTROL MASTER'!$AC$2:$AC$495&gt;=2))*ROW('CONTROL MASTER'!$S$2:$S$495))-(ROW('CONTROL MASTER'!#REF!)-1)))+((7-INDEX('CONTROL MASTER'!$Z$2:$Z$495,(SUMPRODUCT((('CONTROL MASTER'!$S$2:$S$495=11)*('CONTROL MASTER'!$Z$2:$Z$495&lt;=7)*('CONTROL MASTER'!$AB$2:$AB$495&gt;=7)*('CONTROL MASTER'!$AA$2:$AA$495&lt;=2)*('CONTROL MASTER'!$AC$2:$AC$495&gt;=2))*ROW('CONTROL MASTER'!$S$2:$S$495))-(ROW('CONTROL MASTER'!#REF!)-1))))*(INDEX('CONTROL MASTER'!$AC$2:$AC$495,(SUMPRODUCT((('CONTROL MASTER'!$S$2:$S$495=11)*('CONTROL MASTER'!$Z$2:$Z$495&lt;=7)*('CONTROL MASTER'!$AB$2:$AB$495&gt;=7)*('CONTROL MASTER'!$AA$2:$AA$495&lt;=2)*('CONTROL MASTER'!$AC$2:$AC$495&gt;=2))*ROW('CONTROL MASTER'!$S$2:$S$495))-(ROW('CONTROL MASTER'!#REF!)-1)))-INDEX('CONTROL MASTER'!$AA$2:$AA$495,(SUMPRODUCT((('CONTROL MASTER'!$S$2:$S$495=11)*('CONTROL MASTER'!$Z$2:$Z$495&lt;=7)*('CONTROL MASTER'!$AB$2:$AB$495&gt;=7)*('CONTROL MASTER'!$AA$2:$AA$495&lt;=2)*('CONTROL MASTER'!$AC$2:$AC$495&gt;=2))*ROW('CONTROL MASTER'!$S$2:$S$495))-(ROW('CONTROL MASTER'!#REF!)-1)))+1)+(2-INDEX('CONTROL MASTER'!$AA$2:$AA$495,(SUMPRODUCT((('CONTROL MASTER'!$S$2:$S$495=11)*('CONTROL MASTER'!$Z$2:$Z$495&lt;=7)*('CONTROL MASTER'!$AB$2:$AB$495&gt;=7)*('CONTROL MASTER'!$AA$2:$AA$495&lt;=2)*('CONTROL MASTER'!$AC$2:$AC$495&gt;=2))*ROW('CONTROL MASTER'!$S$2:$S$495))-(ROW('CONTROL MASTER'!#REF!)-1))))+1)))-1)*50+1,50))&amp;"_"&amp;INDEX('CONTROL MASTER'!$P$2:$P$495,(SUMPRODUCT((('CONTROL MASTER'!$S$2:$S$495=11)*('CONTROL MASTER'!$Z$2:$Z$495&lt;=7)*('CONTROL MASTER'!$AB$2:$AB$495&gt;=7)*('CONTROL MASTER'!$AA$2:$AA$495&lt;=2)*('CONTROL MASTER'!$AC$2:$AC$495&gt;=2))*ROW('CONTROL MASTER'!$S$2:$S$495))-(ROW('CONTROL MASTER'!#REF!)-1))),"")),"")</f>
        <v/>
      </c>
      <c r="D149" s="10" t="str">
        <f>IFERROR(IF(SUMPRODUCT((('CONTROL MASTER'!$S$2:$S$495=11)*('CONTROL MASTER'!$T$2:$T$495&lt;=7)*('CONTROL MASTER'!$V$2:$V$495&gt;=7)*('CONTROL MASTER'!$U$2:$U$495&lt;=3)*('CONTROL MASTER'!$W$2:$W$495&gt;=3))*ROW('CONTROL MASTER'!$S$2:$S$495))&gt;0,INDEX('CONTROL MASTER'!$X$2:$X$495,(SUMPRODUCT((('CONTROL MASTER'!$S$2:$S$495=11)*('CONTROL MASTER'!$T$2:$T$495&lt;=7)*('CONTROL MASTER'!$V$2:$V$495&gt;=7)*('CONTROL MASTER'!$U$2:$U$495&lt;=3)*('CONTROL MASTER'!$W$2:$W$495&gt;=3))*ROW('CONTROL MASTER'!$S$2:$S$495))-(ROW('CONTROL MASTER'!#REF!)-1)))&amp;TRIM(MID(SUBSTITUTE(SUBSTITUTE(INDEX('CONTROL MASTER'!$N$2:$N$495,(SUMPRODUCT((('CONTROL MASTER'!$S$2:$S$495=11)*('CONTROL MASTER'!$T$2:$T$495&lt;=7)*('CONTROL MASTER'!$V$2:$V$495&gt;=7)*('CONTROL MASTER'!$U$2:$U$495&lt;=3)*('CONTROL MASTER'!$W$2:$W$495&gt;=3))*ROW('CONTROL MASTER'!$S$2:$S$495))-(ROW('CONTROL MASTER'!#REF!)-1))),":",","),",",REPT(" ",50)),((((7-INDEX('CONTROL MASTER'!$T$2:$T$495,(SUMPRODUCT((('CONTROL MASTER'!$S$2:$S$495=11)*('CONTROL MASTER'!$T$2:$T$495&lt;=7)*('CONTROL MASTER'!$V$2:$V$495&gt;=7)*('CONTROL MASTER'!$U$2:$U$495&lt;=3)*('CONTROL MASTER'!$W$2:$W$495&gt;=3))*ROW('CONTROL MASTER'!$S$2:$S$495))-(ROW('CONTROL MASTER'!#REF!)-1))))*(INDEX('CONTROL MASTER'!$W$2:$W$495,(SUMPRODUCT((('CONTROL MASTER'!$S$2:$S$495=11)*('CONTROL MASTER'!$T$2:$T$495&lt;=7)*('CONTROL MASTER'!$V$2:$V$495&gt;=7)*('CONTROL MASTER'!$U$2:$U$495&lt;=3)*('CONTROL MASTER'!$W$2:$W$495&gt;=3))*ROW('CONTROL MASTER'!$S$2:$S$495))-(ROW('CONTROL MASTER'!#REF!)-1)))-INDEX('CONTROL MASTER'!$U$2:$U$495,(SUMPRODUCT((('CONTROL MASTER'!$S$2:$S$495=11)*('CONTROL MASTER'!$T$2:$T$495&lt;=7)*('CONTROL MASTER'!$V$2:$V$495&gt;=7)*('CONTROL MASTER'!$U$2:$U$495&lt;=3)*('CONTROL MASTER'!$W$2:$W$495&gt;=3))*ROW('CONTROL MASTER'!$S$2:$S$495))-(ROW('CONTROL MASTER'!#REF!)-1)))+1)+(3-INDEX('CONTROL MASTER'!$U$2:$U$495,(SUMPRODUCT((('CONTROL MASTER'!$S$2:$S$495=11)*('CONTROL MASTER'!$T$2:$T$495&lt;=7)*('CONTROL MASTER'!$V$2:$V$495&gt;=7)*('CONTROL MASTER'!$U$2:$U$495&lt;=3)*('CONTROL MASTER'!$W$2:$W$495&gt;=3))*ROW('CONTROL MASTER'!$S$2:$S$495))-(ROW('CONTROL MASTER'!#REF!)-1))))+1))-1)*50+1,50))&amp;"_"&amp;INDEX('CONTROL MASTER'!$P$2:$P$495,(SUMPRODUCT((('CONTROL MASTER'!$S$2:$S$495=11)*('CONTROL MASTER'!$T$2:$T$495&lt;=7)*('CONTROL MASTER'!$V$2:$V$495&gt;=7)*('CONTROL MASTER'!$U$2:$U$495&lt;=3)*('CONTROL MASTER'!$W$2:$W$495&gt;=3))*ROW('CONTROL MASTER'!$S$2:$S$495))-(ROW('CONTROL MASTER'!#REF!)-1))),IF(SUMPRODUCT((('CONTROL MASTER'!$S$2:$S$495=11)*('CONTROL MASTER'!$Z$2:$Z$495&lt;=7)*('CONTROL MASTER'!$AB$2:$AB$495&gt;=7)*('CONTROL MASTER'!$AA$2:$AA$495&lt;=3)*('CONTROL MASTER'!$AC$2:$AC$495&gt;=3))*ROW('CONTROL MASTER'!$S$2:$S$495))&gt;0,INDEX('CONTROL MASTER'!$X$2:$X$495,(SUMPRODUCT((('CONTROL MASTER'!$S$2:$S$495=11)*('CONTROL MASTER'!$Z$2:$Z$495&lt;=7)*('CONTROL MASTER'!$AB$2:$AB$495&gt;=7)*('CONTROL MASTER'!$AA$2:$AA$495&lt;=3)*('CONTROL MASTER'!$AC$2:$AC$495&gt;=3))*ROW('CONTROL MASTER'!$S$2:$S$495))-(ROW('CONTROL MASTER'!#REF!)-1)))&amp;TRIM(MID(SUBSTITUTE(SUBSTITUTE(INDEX('CONTROL MASTER'!$N$2:$N$495,(SUMPRODUCT((('CONTROL MASTER'!$S$2:$S$495=11)*('CONTROL MASTER'!$Z$2:$Z$495&lt;=7)*('CONTROL MASTER'!$AB$2:$AB$495&gt;=7)*('CONTROL MASTER'!$AA$2:$AA$495&lt;=3)*('CONTROL MASTER'!$AC$2:$AC$495&gt;=3))*ROW('CONTROL MASTER'!$S$2:$S$495))-(ROW('CONTROL MASTER'!#REF!)-1))),":",","),",",REPT(" ",50)),(((INDEX('CONTROL MASTER'!$Y$2:$Y$495,(SUMPRODUCT((('CONTROL MASTER'!$S$2:$S$495=11)*('CONTROL MASTER'!$Z$2:$Z$495&lt;=7)*('CONTROL MASTER'!$AB$2:$AB$495&gt;=7)*('CONTROL MASTER'!$AA$2:$AA$495&lt;=3)*('CONTROL MASTER'!$AC$2:$AC$495&gt;=3))*ROW('CONTROL MASTER'!$S$2:$S$495))-(ROW('CONTROL MASTER'!#REF!)-1)))+((7-INDEX('CONTROL MASTER'!$Z$2:$Z$495,(SUMPRODUCT((('CONTROL MASTER'!$S$2:$S$495=11)*('CONTROL MASTER'!$Z$2:$Z$495&lt;=7)*('CONTROL MASTER'!$AB$2:$AB$495&gt;=7)*('CONTROL MASTER'!$AA$2:$AA$495&lt;=3)*('CONTROL MASTER'!$AC$2:$AC$495&gt;=3))*ROW('CONTROL MASTER'!$S$2:$S$495))-(ROW('CONTROL MASTER'!#REF!)-1))))*(INDEX('CONTROL MASTER'!$AC$2:$AC$495,(SUMPRODUCT((('CONTROL MASTER'!$S$2:$S$495=11)*('CONTROL MASTER'!$Z$2:$Z$495&lt;=7)*('CONTROL MASTER'!$AB$2:$AB$495&gt;=7)*('CONTROL MASTER'!$AA$2:$AA$495&lt;=3)*('CONTROL MASTER'!$AC$2:$AC$495&gt;=3))*ROW('CONTROL MASTER'!$S$2:$S$495))-(ROW('CONTROL MASTER'!#REF!)-1)))-INDEX('CONTROL MASTER'!$AA$2:$AA$495,(SUMPRODUCT((('CONTROL MASTER'!$S$2:$S$495=11)*('CONTROL MASTER'!$Z$2:$Z$495&lt;=7)*('CONTROL MASTER'!$AB$2:$AB$495&gt;=7)*('CONTROL MASTER'!$AA$2:$AA$495&lt;=3)*('CONTROL MASTER'!$AC$2:$AC$495&gt;=3))*ROW('CONTROL MASTER'!$S$2:$S$495))-(ROW('CONTROL MASTER'!#REF!)-1)))+1)+(3-INDEX('CONTROL MASTER'!$AA$2:$AA$495,(SUMPRODUCT((('CONTROL MASTER'!$S$2:$S$495=11)*('CONTROL MASTER'!$Z$2:$Z$495&lt;=7)*('CONTROL MASTER'!$AB$2:$AB$495&gt;=7)*('CONTROL MASTER'!$AA$2:$AA$495&lt;=3)*('CONTROL MASTER'!$AC$2:$AC$495&gt;=3))*ROW('CONTROL MASTER'!$S$2:$S$495))-(ROW('CONTROL MASTER'!#REF!)-1))))+1)))-1)*50+1,50))&amp;"_"&amp;INDEX('CONTROL MASTER'!$P$2:$P$495,(SUMPRODUCT((('CONTROL MASTER'!$S$2:$S$495=11)*('CONTROL MASTER'!$Z$2:$Z$495&lt;=7)*('CONTROL MASTER'!$AB$2:$AB$495&gt;=7)*('CONTROL MASTER'!$AA$2:$AA$495&lt;=3)*('CONTROL MASTER'!$AC$2:$AC$495&gt;=3))*ROW('CONTROL MASTER'!$S$2:$S$495))-(ROW('CONTROL MASTER'!#REF!)-1))),"")),"")</f>
        <v/>
      </c>
      <c r="E149" s="10" t="str">
        <f>IFERROR(IF(SUMPRODUCT((('CONTROL MASTER'!$S$2:$S$495=11)*('CONTROL MASTER'!$T$2:$T$495&lt;=7)*('CONTROL MASTER'!$V$2:$V$495&gt;=7)*('CONTROL MASTER'!$U$2:$U$495&lt;=4)*('CONTROL MASTER'!$W$2:$W$495&gt;=4))*ROW('CONTROL MASTER'!$S$2:$S$495))&gt;0,INDEX('CONTROL MASTER'!$X$2:$X$495,(SUMPRODUCT((('CONTROL MASTER'!$S$2:$S$495=11)*('CONTROL MASTER'!$T$2:$T$495&lt;=7)*('CONTROL MASTER'!$V$2:$V$495&gt;=7)*('CONTROL MASTER'!$U$2:$U$495&lt;=4)*('CONTROL MASTER'!$W$2:$W$495&gt;=4))*ROW('CONTROL MASTER'!$S$2:$S$495))-(ROW('CONTROL MASTER'!#REF!)-1)))&amp;TRIM(MID(SUBSTITUTE(SUBSTITUTE(INDEX('CONTROL MASTER'!$N$2:$N$495,(SUMPRODUCT((('CONTROL MASTER'!$S$2:$S$495=11)*('CONTROL MASTER'!$T$2:$T$495&lt;=7)*('CONTROL MASTER'!$V$2:$V$495&gt;=7)*('CONTROL MASTER'!$U$2:$U$495&lt;=4)*('CONTROL MASTER'!$W$2:$W$495&gt;=4))*ROW('CONTROL MASTER'!$S$2:$S$495))-(ROW('CONTROL MASTER'!#REF!)-1))),":",","),",",REPT(" ",50)),((((7-INDEX('CONTROL MASTER'!$T$2:$T$495,(SUMPRODUCT((('CONTROL MASTER'!$S$2:$S$495=11)*('CONTROL MASTER'!$T$2:$T$495&lt;=7)*('CONTROL MASTER'!$V$2:$V$495&gt;=7)*('CONTROL MASTER'!$U$2:$U$495&lt;=4)*('CONTROL MASTER'!$W$2:$W$495&gt;=4))*ROW('CONTROL MASTER'!$S$2:$S$495))-(ROW('CONTROL MASTER'!#REF!)-1))))*(INDEX('CONTROL MASTER'!$W$2:$W$495,(SUMPRODUCT((('CONTROL MASTER'!$S$2:$S$495=11)*('CONTROL MASTER'!$T$2:$T$495&lt;=7)*('CONTROL MASTER'!$V$2:$V$495&gt;=7)*('CONTROL MASTER'!$U$2:$U$495&lt;=4)*('CONTROL MASTER'!$W$2:$W$495&gt;=4))*ROW('CONTROL MASTER'!$S$2:$S$495))-(ROW('CONTROL MASTER'!#REF!)-1)))-INDEX('CONTROL MASTER'!$U$2:$U$495,(SUMPRODUCT((('CONTROL MASTER'!$S$2:$S$495=11)*('CONTROL MASTER'!$T$2:$T$495&lt;=7)*('CONTROL MASTER'!$V$2:$V$495&gt;=7)*('CONTROL MASTER'!$U$2:$U$495&lt;=4)*('CONTROL MASTER'!$W$2:$W$495&gt;=4))*ROW('CONTROL MASTER'!$S$2:$S$495))-(ROW('CONTROL MASTER'!#REF!)-1)))+1)+(4-INDEX('CONTROL MASTER'!$U$2:$U$495,(SUMPRODUCT((('CONTROL MASTER'!$S$2:$S$495=11)*('CONTROL MASTER'!$T$2:$T$495&lt;=7)*('CONTROL MASTER'!$V$2:$V$495&gt;=7)*('CONTROL MASTER'!$U$2:$U$495&lt;=4)*('CONTROL MASTER'!$W$2:$W$495&gt;=4))*ROW('CONTROL MASTER'!$S$2:$S$495))-(ROW('CONTROL MASTER'!#REF!)-1))))+1))-1)*50+1,50))&amp;"_"&amp;INDEX('CONTROL MASTER'!$P$2:$P$495,(SUMPRODUCT((('CONTROL MASTER'!$S$2:$S$495=11)*('CONTROL MASTER'!$T$2:$T$495&lt;=7)*('CONTROL MASTER'!$V$2:$V$495&gt;=7)*('CONTROL MASTER'!$U$2:$U$495&lt;=4)*('CONTROL MASTER'!$W$2:$W$495&gt;=4))*ROW('CONTROL MASTER'!$S$2:$S$495))-(ROW('CONTROL MASTER'!#REF!)-1))),IF(SUMPRODUCT((('CONTROL MASTER'!$S$2:$S$495=11)*('CONTROL MASTER'!$Z$2:$Z$495&lt;=7)*('CONTROL MASTER'!$AB$2:$AB$495&gt;=7)*('CONTROL MASTER'!$AA$2:$AA$495&lt;=4)*('CONTROL MASTER'!$AC$2:$AC$495&gt;=4))*ROW('CONTROL MASTER'!$S$2:$S$495))&gt;0,INDEX('CONTROL MASTER'!$X$2:$X$495,(SUMPRODUCT((('CONTROL MASTER'!$S$2:$S$495=11)*('CONTROL MASTER'!$Z$2:$Z$495&lt;=7)*('CONTROL MASTER'!$AB$2:$AB$495&gt;=7)*('CONTROL MASTER'!$AA$2:$AA$495&lt;=4)*('CONTROL MASTER'!$AC$2:$AC$495&gt;=4))*ROW('CONTROL MASTER'!$S$2:$S$495))-(ROW('CONTROL MASTER'!#REF!)-1)))&amp;TRIM(MID(SUBSTITUTE(SUBSTITUTE(INDEX('CONTROL MASTER'!$N$2:$N$495,(SUMPRODUCT((('CONTROL MASTER'!$S$2:$S$495=11)*('CONTROL MASTER'!$Z$2:$Z$495&lt;=7)*('CONTROL MASTER'!$AB$2:$AB$495&gt;=7)*('CONTROL MASTER'!$AA$2:$AA$495&lt;=4)*('CONTROL MASTER'!$AC$2:$AC$495&gt;=4))*ROW('CONTROL MASTER'!$S$2:$S$495))-(ROW('CONTROL MASTER'!#REF!)-1))),":",","),",",REPT(" ",50)),(((INDEX('CONTROL MASTER'!$Y$2:$Y$495,(SUMPRODUCT((('CONTROL MASTER'!$S$2:$S$495=11)*('CONTROL MASTER'!$Z$2:$Z$495&lt;=7)*('CONTROL MASTER'!$AB$2:$AB$495&gt;=7)*('CONTROL MASTER'!$AA$2:$AA$495&lt;=4)*('CONTROL MASTER'!$AC$2:$AC$495&gt;=4))*ROW('CONTROL MASTER'!$S$2:$S$495))-(ROW('CONTROL MASTER'!#REF!)-1)))+((7-INDEX('CONTROL MASTER'!$Z$2:$Z$495,(SUMPRODUCT((('CONTROL MASTER'!$S$2:$S$495=11)*('CONTROL MASTER'!$Z$2:$Z$495&lt;=7)*('CONTROL MASTER'!$AB$2:$AB$495&gt;=7)*('CONTROL MASTER'!$AA$2:$AA$495&lt;=4)*('CONTROL MASTER'!$AC$2:$AC$495&gt;=4))*ROW('CONTROL MASTER'!$S$2:$S$495))-(ROW('CONTROL MASTER'!#REF!)-1))))*(INDEX('CONTROL MASTER'!$AC$2:$AC$495,(SUMPRODUCT((('CONTROL MASTER'!$S$2:$S$495=11)*('CONTROL MASTER'!$Z$2:$Z$495&lt;=7)*('CONTROL MASTER'!$AB$2:$AB$495&gt;=7)*('CONTROL MASTER'!$AA$2:$AA$495&lt;=4)*('CONTROL MASTER'!$AC$2:$AC$495&gt;=4))*ROW('CONTROL MASTER'!$S$2:$S$495))-(ROW('CONTROL MASTER'!#REF!)-1)))-INDEX('CONTROL MASTER'!$AA$2:$AA$495,(SUMPRODUCT((('CONTROL MASTER'!$S$2:$S$495=11)*('CONTROL MASTER'!$Z$2:$Z$495&lt;=7)*('CONTROL MASTER'!$AB$2:$AB$495&gt;=7)*('CONTROL MASTER'!$AA$2:$AA$495&lt;=4)*('CONTROL MASTER'!$AC$2:$AC$495&gt;=4))*ROW('CONTROL MASTER'!$S$2:$S$495))-(ROW('CONTROL MASTER'!#REF!)-1)))+1)+(4-INDEX('CONTROL MASTER'!$AA$2:$AA$495,(SUMPRODUCT((('CONTROL MASTER'!$S$2:$S$495=11)*('CONTROL MASTER'!$Z$2:$Z$495&lt;=7)*('CONTROL MASTER'!$AB$2:$AB$495&gt;=7)*('CONTROL MASTER'!$AA$2:$AA$495&lt;=4)*('CONTROL MASTER'!$AC$2:$AC$495&gt;=4))*ROW('CONTROL MASTER'!$S$2:$S$495))-(ROW('CONTROL MASTER'!#REF!)-1))))+1)))-1)*50+1,50))&amp;"_"&amp;INDEX('CONTROL MASTER'!$P$2:$P$495,(SUMPRODUCT((('CONTROL MASTER'!$S$2:$S$495=11)*('CONTROL MASTER'!$Z$2:$Z$495&lt;=7)*('CONTROL MASTER'!$AB$2:$AB$495&gt;=7)*('CONTROL MASTER'!$AA$2:$AA$495&lt;=4)*('CONTROL MASTER'!$AC$2:$AC$495&gt;=4))*ROW('CONTROL MASTER'!$S$2:$S$495))-(ROW('CONTROL MASTER'!#REF!)-1))),"")),"")</f>
        <v/>
      </c>
      <c r="F149" s="10" t="str">
        <f>IFERROR(IF(SUMPRODUCT((('CONTROL MASTER'!$S$2:$S$495=11)*('CONTROL MASTER'!$T$2:$T$495&lt;=7)*('CONTROL MASTER'!$V$2:$V$495&gt;=7)*('CONTROL MASTER'!$U$2:$U$495&lt;=5)*('CONTROL MASTER'!$W$2:$W$495&gt;=5))*ROW('CONTROL MASTER'!$S$2:$S$495))&gt;0,INDEX('CONTROL MASTER'!$X$2:$X$495,(SUMPRODUCT((('CONTROL MASTER'!$S$2:$S$495=11)*('CONTROL MASTER'!$T$2:$T$495&lt;=7)*('CONTROL MASTER'!$V$2:$V$495&gt;=7)*('CONTROL MASTER'!$U$2:$U$495&lt;=5)*('CONTROL MASTER'!$W$2:$W$495&gt;=5))*ROW('CONTROL MASTER'!$S$2:$S$495))-(ROW('CONTROL MASTER'!#REF!)-1)))&amp;TRIM(MID(SUBSTITUTE(SUBSTITUTE(INDEX('CONTROL MASTER'!$N$2:$N$495,(SUMPRODUCT((('CONTROL MASTER'!$S$2:$S$495=11)*('CONTROL MASTER'!$T$2:$T$495&lt;=7)*('CONTROL MASTER'!$V$2:$V$495&gt;=7)*('CONTROL MASTER'!$U$2:$U$495&lt;=5)*('CONTROL MASTER'!$W$2:$W$495&gt;=5))*ROW('CONTROL MASTER'!$S$2:$S$495))-(ROW('CONTROL MASTER'!#REF!)-1))),":",","),",",REPT(" ",50)),((((7-INDEX('CONTROL MASTER'!$T$2:$T$495,(SUMPRODUCT((('CONTROL MASTER'!$S$2:$S$495=11)*('CONTROL MASTER'!$T$2:$T$495&lt;=7)*('CONTROL MASTER'!$V$2:$V$495&gt;=7)*('CONTROL MASTER'!$U$2:$U$495&lt;=5)*('CONTROL MASTER'!$W$2:$W$495&gt;=5))*ROW('CONTROL MASTER'!$S$2:$S$495))-(ROW('CONTROL MASTER'!#REF!)-1))))*(INDEX('CONTROL MASTER'!$W$2:$W$495,(SUMPRODUCT((('CONTROL MASTER'!$S$2:$S$495=11)*('CONTROL MASTER'!$T$2:$T$495&lt;=7)*('CONTROL MASTER'!$V$2:$V$495&gt;=7)*('CONTROL MASTER'!$U$2:$U$495&lt;=5)*('CONTROL MASTER'!$W$2:$W$495&gt;=5))*ROW('CONTROL MASTER'!$S$2:$S$495))-(ROW('CONTROL MASTER'!#REF!)-1)))-INDEX('CONTROL MASTER'!$U$2:$U$495,(SUMPRODUCT((('CONTROL MASTER'!$S$2:$S$495=11)*('CONTROL MASTER'!$T$2:$T$495&lt;=7)*('CONTROL MASTER'!$V$2:$V$495&gt;=7)*('CONTROL MASTER'!$U$2:$U$495&lt;=5)*('CONTROL MASTER'!$W$2:$W$495&gt;=5))*ROW('CONTROL MASTER'!$S$2:$S$495))-(ROW('CONTROL MASTER'!#REF!)-1)))+1)+(5-INDEX('CONTROL MASTER'!$U$2:$U$495,(SUMPRODUCT((('CONTROL MASTER'!$S$2:$S$495=11)*('CONTROL MASTER'!$T$2:$T$495&lt;=7)*('CONTROL MASTER'!$V$2:$V$495&gt;=7)*('CONTROL MASTER'!$U$2:$U$495&lt;=5)*('CONTROL MASTER'!$W$2:$W$495&gt;=5))*ROW('CONTROL MASTER'!$S$2:$S$495))-(ROW('CONTROL MASTER'!#REF!)-1))))+1))-1)*50+1,50))&amp;"_"&amp;INDEX('CONTROL MASTER'!$P$2:$P$495,(SUMPRODUCT((('CONTROL MASTER'!$S$2:$S$495=11)*('CONTROL MASTER'!$T$2:$T$495&lt;=7)*('CONTROL MASTER'!$V$2:$V$495&gt;=7)*('CONTROL MASTER'!$U$2:$U$495&lt;=5)*('CONTROL MASTER'!$W$2:$W$495&gt;=5))*ROW('CONTROL MASTER'!$S$2:$S$495))-(ROW('CONTROL MASTER'!#REF!)-1))),IF(SUMPRODUCT((('CONTROL MASTER'!$S$2:$S$495=11)*('CONTROL MASTER'!$Z$2:$Z$495&lt;=7)*('CONTROL MASTER'!$AB$2:$AB$495&gt;=7)*('CONTROL MASTER'!$AA$2:$AA$495&lt;=5)*('CONTROL MASTER'!$AC$2:$AC$495&gt;=5))*ROW('CONTROL MASTER'!$S$2:$S$495))&gt;0,INDEX('CONTROL MASTER'!$X$2:$X$495,(SUMPRODUCT((('CONTROL MASTER'!$S$2:$S$495=11)*('CONTROL MASTER'!$Z$2:$Z$495&lt;=7)*('CONTROL MASTER'!$AB$2:$AB$495&gt;=7)*('CONTROL MASTER'!$AA$2:$AA$495&lt;=5)*('CONTROL MASTER'!$AC$2:$AC$495&gt;=5))*ROW('CONTROL MASTER'!$S$2:$S$495))-(ROW('CONTROL MASTER'!#REF!)-1)))&amp;TRIM(MID(SUBSTITUTE(SUBSTITUTE(INDEX('CONTROL MASTER'!$N$2:$N$495,(SUMPRODUCT((('CONTROL MASTER'!$S$2:$S$495=11)*('CONTROL MASTER'!$Z$2:$Z$495&lt;=7)*('CONTROL MASTER'!$AB$2:$AB$495&gt;=7)*('CONTROL MASTER'!$AA$2:$AA$495&lt;=5)*('CONTROL MASTER'!$AC$2:$AC$495&gt;=5))*ROW('CONTROL MASTER'!$S$2:$S$495))-(ROW('CONTROL MASTER'!#REF!)-1))),":",","),",",REPT(" ",50)),(((INDEX('CONTROL MASTER'!$Y$2:$Y$495,(SUMPRODUCT((('CONTROL MASTER'!$S$2:$S$495=11)*('CONTROL MASTER'!$Z$2:$Z$495&lt;=7)*('CONTROL MASTER'!$AB$2:$AB$495&gt;=7)*('CONTROL MASTER'!$AA$2:$AA$495&lt;=5)*('CONTROL MASTER'!$AC$2:$AC$495&gt;=5))*ROW('CONTROL MASTER'!$S$2:$S$495))-(ROW('CONTROL MASTER'!#REF!)-1)))+((7-INDEX('CONTROL MASTER'!$Z$2:$Z$495,(SUMPRODUCT((('CONTROL MASTER'!$S$2:$S$495=11)*('CONTROL MASTER'!$Z$2:$Z$495&lt;=7)*('CONTROL MASTER'!$AB$2:$AB$495&gt;=7)*('CONTROL MASTER'!$AA$2:$AA$495&lt;=5)*('CONTROL MASTER'!$AC$2:$AC$495&gt;=5))*ROW('CONTROL MASTER'!$S$2:$S$495))-(ROW('CONTROL MASTER'!#REF!)-1))))*(INDEX('CONTROL MASTER'!$AC$2:$AC$495,(SUMPRODUCT((('CONTROL MASTER'!$S$2:$S$495=11)*('CONTROL MASTER'!$Z$2:$Z$495&lt;=7)*('CONTROL MASTER'!$AB$2:$AB$495&gt;=7)*('CONTROL MASTER'!$AA$2:$AA$495&lt;=5)*('CONTROL MASTER'!$AC$2:$AC$495&gt;=5))*ROW('CONTROL MASTER'!$S$2:$S$495))-(ROW('CONTROL MASTER'!#REF!)-1)))-INDEX('CONTROL MASTER'!$AA$2:$AA$495,(SUMPRODUCT((('CONTROL MASTER'!$S$2:$S$495=11)*('CONTROL MASTER'!$Z$2:$Z$495&lt;=7)*('CONTROL MASTER'!$AB$2:$AB$495&gt;=7)*('CONTROL MASTER'!$AA$2:$AA$495&lt;=5)*('CONTROL MASTER'!$AC$2:$AC$495&gt;=5))*ROW('CONTROL MASTER'!$S$2:$S$495))-(ROW('CONTROL MASTER'!#REF!)-1)))+1)+(5-INDEX('CONTROL MASTER'!$AA$2:$AA$495,(SUMPRODUCT((('CONTROL MASTER'!$S$2:$S$495=11)*('CONTROL MASTER'!$Z$2:$Z$495&lt;=7)*('CONTROL MASTER'!$AB$2:$AB$495&gt;=7)*('CONTROL MASTER'!$AA$2:$AA$495&lt;=5)*('CONTROL MASTER'!$AC$2:$AC$495&gt;=5))*ROW('CONTROL MASTER'!$S$2:$S$495))-(ROW('CONTROL MASTER'!#REF!)-1))))+1)))-1)*50+1,50))&amp;"_"&amp;INDEX('CONTROL MASTER'!$P$2:$P$495,(SUMPRODUCT((('CONTROL MASTER'!$S$2:$S$495=11)*('CONTROL MASTER'!$Z$2:$Z$495&lt;=7)*('CONTROL MASTER'!$AB$2:$AB$495&gt;=7)*('CONTROL MASTER'!$AA$2:$AA$495&lt;=5)*('CONTROL MASTER'!$AC$2:$AC$495&gt;=5))*ROW('CONTROL MASTER'!$S$2:$S$495))-(ROW('CONTROL MASTER'!#REF!)-1))),"")),"")</f>
        <v/>
      </c>
      <c r="G149" s="10" t="str">
        <f>IFERROR(IF(SUMPRODUCT((('CONTROL MASTER'!$S$2:$S$495=11)*('CONTROL MASTER'!$T$2:$T$495&lt;=7)*('CONTROL MASTER'!$V$2:$V$495&gt;=7)*('CONTROL MASTER'!$U$2:$U$495&lt;=6)*('CONTROL MASTER'!$W$2:$W$495&gt;=6))*ROW('CONTROL MASTER'!$S$2:$S$495))&gt;0,INDEX('CONTROL MASTER'!$X$2:$X$495,(SUMPRODUCT((('CONTROL MASTER'!$S$2:$S$495=11)*('CONTROL MASTER'!$T$2:$T$495&lt;=7)*('CONTROL MASTER'!$V$2:$V$495&gt;=7)*('CONTROL MASTER'!$U$2:$U$495&lt;=6)*('CONTROL MASTER'!$W$2:$W$495&gt;=6))*ROW('CONTROL MASTER'!$S$2:$S$495))-(ROW('CONTROL MASTER'!#REF!)-1)))&amp;TRIM(MID(SUBSTITUTE(SUBSTITUTE(INDEX('CONTROL MASTER'!$N$2:$N$495,(SUMPRODUCT((('CONTROL MASTER'!$S$2:$S$495=11)*('CONTROL MASTER'!$T$2:$T$495&lt;=7)*('CONTROL MASTER'!$V$2:$V$495&gt;=7)*('CONTROL MASTER'!$U$2:$U$495&lt;=6)*('CONTROL MASTER'!$W$2:$W$495&gt;=6))*ROW('CONTROL MASTER'!$S$2:$S$495))-(ROW('CONTROL MASTER'!#REF!)-1))),":",","),",",REPT(" ",50)),((((7-INDEX('CONTROL MASTER'!$T$2:$T$495,(SUMPRODUCT((('CONTROL MASTER'!$S$2:$S$495=11)*('CONTROL MASTER'!$T$2:$T$495&lt;=7)*('CONTROL MASTER'!$V$2:$V$495&gt;=7)*('CONTROL MASTER'!$U$2:$U$495&lt;=6)*('CONTROL MASTER'!$W$2:$W$495&gt;=6))*ROW('CONTROL MASTER'!$S$2:$S$495))-(ROW('CONTROL MASTER'!#REF!)-1))))*(INDEX('CONTROL MASTER'!$W$2:$W$495,(SUMPRODUCT((('CONTROL MASTER'!$S$2:$S$495=11)*('CONTROL MASTER'!$T$2:$T$495&lt;=7)*('CONTROL MASTER'!$V$2:$V$495&gt;=7)*('CONTROL MASTER'!$U$2:$U$495&lt;=6)*('CONTROL MASTER'!$W$2:$W$495&gt;=6))*ROW('CONTROL MASTER'!$S$2:$S$495))-(ROW('CONTROL MASTER'!#REF!)-1)))-INDEX('CONTROL MASTER'!$U$2:$U$495,(SUMPRODUCT((('CONTROL MASTER'!$S$2:$S$495=11)*('CONTROL MASTER'!$T$2:$T$495&lt;=7)*('CONTROL MASTER'!$V$2:$V$495&gt;=7)*('CONTROL MASTER'!$U$2:$U$495&lt;=6)*('CONTROL MASTER'!$W$2:$W$495&gt;=6))*ROW('CONTROL MASTER'!$S$2:$S$495))-(ROW('CONTROL MASTER'!#REF!)-1)))+1)+(6-INDEX('CONTROL MASTER'!$U$2:$U$495,(SUMPRODUCT((('CONTROL MASTER'!$S$2:$S$495=11)*('CONTROL MASTER'!$T$2:$T$495&lt;=7)*('CONTROL MASTER'!$V$2:$V$495&gt;=7)*('CONTROL MASTER'!$U$2:$U$495&lt;=6)*('CONTROL MASTER'!$W$2:$W$495&gt;=6))*ROW('CONTROL MASTER'!$S$2:$S$495))-(ROW('CONTROL MASTER'!#REF!)-1))))+1))-1)*50+1,50))&amp;"_"&amp;INDEX('CONTROL MASTER'!$P$2:$P$495,(SUMPRODUCT((('CONTROL MASTER'!$S$2:$S$495=11)*('CONTROL MASTER'!$T$2:$T$495&lt;=7)*('CONTROL MASTER'!$V$2:$V$495&gt;=7)*('CONTROL MASTER'!$U$2:$U$495&lt;=6)*('CONTROL MASTER'!$W$2:$W$495&gt;=6))*ROW('CONTROL MASTER'!$S$2:$S$495))-(ROW('CONTROL MASTER'!#REF!)-1))),IF(SUMPRODUCT((('CONTROL MASTER'!$S$2:$S$495=11)*('CONTROL MASTER'!$Z$2:$Z$495&lt;=7)*('CONTROL MASTER'!$AB$2:$AB$495&gt;=7)*('CONTROL MASTER'!$AA$2:$AA$495&lt;=6)*('CONTROL MASTER'!$AC$2:$AC$495&gt;=6))*ROW('CONTROL MASTER'!$S$2:$S$495))&gt;0,INDEX('CONTROL MASTER'!$X$2:$X$495,(SUMPRODUCT((('CONTROL MASTER'!$S$2:$S$495=11)*('CONTROL MASTER'!$Z$2:$Z$495&lt;=7)*('CONTROL MASTER'!$AB$2:$AB$495&gt;=7)*('CONTROL MASTER'!$AA$2:$AA$495&lt;=6)*('CONTROL MASTER'!$AC$2:$AC$495&gt;=6))*ROW('CONTROL MASTER'!$S$2:$S$495))-(ROW('CONTROL MASTER'!#REF!)-1)))&amp;TRIM(MID(SUBSTITUTE(SUBSTITUTE(INDEX('CONTROL MASTER'!$N$2:$N$495,(SUMPRODUCT((('CONTROL MASTER'!$S$2:$S$495=11)*('CONTROL MASTER'!$Z$2:$Z$495&lt;=7)*('CONTROL MASTER'!$AB$2:$AB$495&gt;=7)*('CONTROL MASTER'!$AA$2:$AA$495&lt;=6)*('CONTROL MASTER'!$AC$2:$AC$495&gt;=6))*ROW('CONTROL MASTER'!$S$2:$S$495))-(ROW('CONTROL MASTER'!#REF!)-1))),":",","),",",REPT(" ",50)),(((INDEX('CONTROL MASTER'!$Y$2:$Y$495,(SUMPRODUCT((('CONTROL MASTER'!$S$2:$S$495=11)*('CONTROL MASTER'!$Z$2:$Z$495&lt;=7)*('CONTROL MASTER'!$AB$2:$AB$495&gt;=7)*('CONTROL MASTER'!$AA$2:$AA$495&lt;=6)*('CONTROL MASTER'!$AC$2:$AC$495&gt;=6))*ROW('CONTROL MASTER'!$S$2:$S$495))-(ROW('CONTROL MASTER'!#REF!)-1)))+((7-INDEX('CONTROL MASTER'!$Z$2:$Z$495,(SUMPRODUCT((('CONTROL MASTER'!$S$2:$S$495=11)*('CONTROL MASTER'!$Z$2:$Z$495&lt;=7)*('CONTROL MASTER'!$AB$2:$AB$495&gt;=7)*('CONTROL MASTER'!$AA$2:$AA$495&lt;=6)*('CONTROL MASTER'!$AC$2:$AC$495&gt;=6))*ROW('CONTROL MASTER'!$S$2:$S$495))-(ROW('CONTROL MASTER'!#REF!)-1))))*(INDEX('CONTROL MASTER'!$AC$2:$AC$495,(SUMPRODUCT((('CONTROL MASTER'!$S$2:$S$495=11)*('CONTROL MASTER'!$Z$2:$Z$495&lt;=7)*('CONTROL MASTER'!$AB$2:$AB$495&gt;=7)*('CONTROL MASTER'!$AA$2:$AA$495&lt;=6)*('CONTROL MASTER'!$AC$2:$AC$495&gt;=6))*ROW('CONTROL MASTER'!$S$2:$S$495))-(ROW('CONTROL MASTER'!#REF!)-1)))-INDEX('CONTROL MASTER'!$AA$2:$AA$495,(SUMPRODUCT((('CONTROL MASTER'!$S$2:$S$495=11)*('CONTROL MASTER'!$Z$2:$Z$495&lt;=7)*('CONTROL MASTER'!$AB$2:$AB$495&gt;=7)*('CONTROL MASTER'!$AA$2:$AA$495&lt;=6)*('CONTROL MASTER'!$AC$2:$AC$495&gt;=6))*ROW('CONTROL MASTER'!$S$2:$S$495))-(ROW('CONTROL MASTER'!#REF!)-1)))+1)+(6-INDEX('CONTROL MASTER'!$AA$2:$AA$495,(SUMPRODUCT((('CONTROL MASTER'!$S$2:$S$495=11)*('CONTROL MASTER'!$Z$2:$Z$495&lt;=7)*('CONTROL MASTER'!$AB$2:$AB$495&gt;=7)*('CONTROL MASTER'!$AA$2:$AA$495&lt;=6)*('CONTROL MASTER'!$AC$2:$AC$495&gt;=6))*ROW('CONTROL MASTER'!$S$2:$S$495))-(ROW('CONTROL MASTER'!#REF!)-1))))+1)))-1)*50+1,50))&amp;"_"&amp;INDEX('CONTROL MASTER'!$P$2:$P$495,(SUMPRODUCT((('CONTROL MASTER'!$S$2:$S$495=11)*('CONTROL MASTER'!$Z$2:$Z$495&lt;=7)*('CONTROL MASTER'!$AB$2:$AB$495&gt;=7)*('CONTROL MASTER'!$AA$2:$AA$495&lt;=6)*('CONTROL MASTER'!$AC$2:$AC$495&gt;=6))*ROW('CONTROL MASTER'!$S$2:$S$495))-(ROW('CONTROL MASTER'!#REF!)-1))),"")),"")</f>
        <v/>
      </c>
      <c r="H149" s="10" t="str">
        <f>IFERROR(IF(SUMPRODUCT((('CONTROL MASTER'!$S$2:$S$495=11)*('CONTROL MASTER'!$T$2:$T$495&lt;=7)*('CONTROL MASTER'!$V$2:$V$495&gt;=7)*('CONTROL MASTER'!$U$2:$U$495&lt;=7)*('CONTROL MASTER'!$W$2:$W$495&gt;=7))*ROW('CONTROL MASTER'!$S$2:$S$495))&gt;0,INDEX('CONTROL MASTER'!$X$2:$X$495,(SUMPRODUCT((('CONTROL MASTER'!$S$2:$S$495=11)*('CONTROL MASTER'!$T$2:$T$495&lt;=7)*('CONTROL MASTER'!$V$2:$V$495&gt;=7)*('CONTROL MASTER'!$U$2:$U$495&lt;=7)*('CONTROL MASTER'!$W$2:$W$495&gt;=7))*ROW('CONTROL MASTER'!$S$2:$S$495))-(ROW('CONTROL MASTER'!#REF!)-1)))&amp;TRIM(MID(SUBSTITUTE(SUBSTITUTE(INDEX('CONTROL MASTER'!$N$2:$N$495,(SUMPRODUCT((('CONTROL MASTER'!$S$2:$S$495=11)*('CONTROL MASTER'!$T$2:$T$495&lt;=7)*('CONTROL MASTER'!$V$2:$V$495&gt;=7)*('CONTROL MASTER'!$U$2:$U$495&lt;=7)*('CONTROL MASTER'!$W$2:$W$495&gt;=7))*ROW('CONTROL MASTER'!$S$2:$S$495))-(ROW('CONTROL MASTER'!#REF!)-1))),":",","),",",REPT(" ",50)),((((7-INDEX('CONTROL MASTER'!$T$2:$T$495,(SUMPRODUCT((('CONTROL MASTER'!$S$2:$S$495=11)*('CONTROL MASTER'!$T$2:$T$495&lt;=7)*('CONTROL MASTER'!$V$2:$V$495&gt;=7)*('CONTROL MASTER'!$U$2:$U$495&lt;=7)*('CONTROL MASTER'!$W$2:$W$495&gt;=7))*ROW('CONTROL MASTER'!$S$2:$S$495))-(ROW('CONTROL MASTER'!#REF!)-1))))*(INDEX('CONTROL MASTER'!$W$2:$W$495,(SUMPRODUCT((('CONTROL MASTER'!$S$2:$S$495=11)*('CONTROL MASTER'!$T$2:$T$495&lt;=7)*('CONTROL MASTER'!$V$2:$V$495&gt;=7)*('CONTROL MASTER'!$U$2:$U$495&lt;=7)*('CONTROL MASTER'!$W$2:$W$495&gt;=7))*ROW('CONTROL MASTER'!$S$2:$S$495))-(ROW('CONTROL MASTER'!#REF!)-1)))-INDEX('CONTROL MASTER'!$U$2:$U$495,(SUMPRODUCT((('CONTROL MASTER'!$S$2:$S$495=11)*('CONTROL MASTER'!$T$2:$T$495&lt;=7)*('CONTROL MASTER'!$V$2:$V$495&gt;=7)*('CONTROL MASTER'!$U$2:$U$495&lt;=7)*('CONTROL MASTER'!$W$2:$W$495&gt;=7))*ROW('CONTROL MASTER'!$S$2:$S$495))-(ROW('CONTROL MASTER'!#REF!)-1)))+1)+(7-INDEX('CONTROL MASTER'!$U$2:$U$495,(SUMPRODUCT((('CONTROL MASTER'!$S$2:$S$495=11)*('CONTROL MASTER'!$T$2:$T$495&lt;=7)*('CONTROL MASTER'!$V$2:$V$495&gt;=7)*('CONTROL MASTER'!$U$2:$U$495&lt;=7)*('CONTROL MASTER'!$W$2:$W$495&gt;=7))*ROW('CONTROL MASTER'!$S$2:$S$495))-(ROW('CONTROL MASTER'!#REF!)-1))))+1))-1)*50+1,50))&amp;"_"&amp;INDEX('CONTROL MASTER'!$P$2:$P$495,(SUMPRODUCT((('CONTROL MASTER'!$S$2:$S$495=11)*('CONTROL MASTER'!$T$2:$T$495&lt;=7)*('CONTROL MASTER'!$V$2:$V$495&gt;=7)*('CONTROL MASTER'!$U$2:$U$495&lt;=7)*('CONTROL MASTER'!$W$2:$W$495&gt;=7))*ROW('CONTROL MASTER'!$S$2:$S$495))-(ROW('CONTROL MASTER'!#REF!)-1))),IF(SUMPRODUCT((('CONTROL MASTER'!$S$2:$S$495=11)*('CONTROL MASTER'!$Z$2:$Z$495&lt;=7)*('CONTROL MASTER'!$AB$2:$AB$495&gt;=7)*('CONTROL MASTER'!$AA$2:$AA$495&lt;=7)*('CONTROL MASTER'!$AC$2:$AC$495&gt;=7))*ROW('CONTROL MASTER'!$S$2:$S$495))&gt;0,INDEX('CONTROL MASTER'!$X$2:$X$495,(SUMPRODUCT((('CONTROL MASTER'!$S$2:$S$495=11)*('CONTROL MASTER'!$Z$2:$Z$495&lt;=7)*('CONTROL MASTER'!$AB$2:$AB$495&gt;=7)*('CONTROL MASTER'!$AA$2:$AA$495&lt;=7)*('CONTROL MASTER'!$AC$2:$AC$495&gt;=7))*ROW('CONTROL MASTER'!$S$2:$S$495))-(ROW('CONTROL MASTER'!#REF!)-1)))&amp;TRIM(MID(SUBSTITUTE(SUBSTITUTE(INDEX('CONTROL MASTER'!$N$2:$N$495,(SUMPRODUCT((('CONTROL MASTER'!$S$2:$S$495=11)*('CONTROL MASTER'!$Z$2:$Z$495&lt;=7)*('CONTROL MASTER'!$AB$2:$AB$495&gt;=7)*('CONTROL MASTER'!$AA$2:$AA$495&lt;=7)*('CONTROL MASTER'!$AC$2:$AC$495&gt;=7))*ROW('CONTROL MASTER'!$S$2:$S$495))-(ROW('CONTROL MASTER'!#REF!)-1))),":",","),",",REPT(" ",50)),(((INDEX('CONTROL MASTER'!$Y$2:$Y$495,(SUMPRODUCT((('CONTROL MASTER'!$S$2:$S$495=11)*('CONTROL MASTER'!$Z$2:$Z$495&lt;=7)*('CONTROL MASTER'!$AB$2:$AB$495&gt;=7)*('CONTROL MASTER'!$AA$2:$AA$495&lt;=7)*('CONTROL MASTER'!$AC$2:$AC$495&gt;=7))*ROW('CONTROL MASTER'!$S$2:$S$495))-(ROW('CONTROL MASTER'!#REF!)-1)))+((7-INDEX('CONTROL MASTER'!$Z$2:$Z$495,(SUMPRODUCT((('CONTROL MASTER'!$S$2:$S$495=11)*('CONTROL MASTER'!$Z$2:$Z$495&lt;=7)*('CONTROL MASTER'!$AB$2:$AB$495&gt;=7)*('CONTROL MASTER'!$AA$2:$AA$495&lt;=7)*('CONTROL MASTER'!$AC$2:$AC$495&gt;=7))*ROW('CONTROL MASTER'!$S$2:$S$495))-(ROW('CONTROL MASTER'!#REF!)-1))))*(INDEX('CONTROL MASTER'!$AC$2:$AC$495,(SUMPRODUCT((('CONTROL MASTER'!$S$2:$S$495=11)*('CONTROL MASTER'!$Z$2:$Z$495&lt;=7)*('CONTROL MASTER'!$AB$2:$AB$495&gt;=7)*('CONTROL MASTER'!$AA$2:$AA$495&lt;=7)*('CONTROL MASTER'!$AC$2:$AC$495&gt;=7))*ROW('CONTROL MASTER'!$S$2:$S$495))-(ROW('CONTROL MASTER'!#REF!)-1)))-INDEX('CONTROL MASTER'!$AA$2:$AA$495,(SUMPRODUCT((('CONTROL MASTER'!$S$2:$S$495=11)*('CONTROL MASTER'!$Z$2:$Z$495&lt;=7)*('CONTROL MASTER'!$AB$2:$AB$495&gt;=7)*('CONTROL MASTER'!$AA$2:$AA$495&lt;=7)*('CONTROL MASTER'!$AC$2:$AC$495&gt;=7))*ROW('CONTROL MASTER'!$S$2:$S$495))-(ROW('CONTROL MASTER'!#REF!)-1)))+1)+(7-INDEX('CONTROL MASTER'!$AA$2:$AA$495,(SUMPRODUCT((('CONTROL MASTER'!$S$2:$S$495=11)*('CONTROL MASTER'!$Z$2:$Z$495&lt;=7)*('CONTROL MASTER'!$AB$2:$AB$495&gt;=7)*('CONTROL MASTER'!$AA$2:$AA$495&lt;=7)*('CONTROL MASTER'!$AC$2:$AC$495&gt;=7))*ROW('CONTROL MASTER'!$S$2:$S$495))-(ROW('CONTROL MASTER'!#REF!)-1))))+1)))-1)*50+1,50))&amp;"_"&amp;INDEX('CONTROL MASTER'!$P$2:$P$495,(SUMPRODUCT((('CONTROL MASTER'!$S$2:$S$495=11)*('CONTROL MASTER'!$Z$2:$Z$495&lt;=7)*('CONTROL MASTER'!$AB$2:$AB$495&gt;=7)*('CONTROL MASTER'!$AA$2:$AA$495&lt;=7)*('CONTROL MASTER'!$AC$2:$AC$495&gt;=7))*ROW('CONTROL MASTER'!$S$2:$S$495))-(ROW('CONTROL MASTER'!#REF!)-1))),"")),"")</f>
        <v/>
      </c>
      <c r="I149" s="10" t="str">
        <f>IFERROR(IF(SUMPRODUCT((('CONTROL MASTER'!$S$2:$S$495=11)*('CONTROL MASTER'!$T$2:$T$495&lt;=7)*('CONTROL MASTER'!$V$2:$V$495&gt;=7)*('CONTROL MASTER'!$U$2:$U$495&lt;=8)*('CONTROL MASTER'!$W$2:$W$495&gt;=8))*ROW('CONTROL MASTER'!$S$2:$S$495))&gt;0,INDEX('CONTROL MASTER'!$X$2:$X$495,(SUMPRODUCT((('CONTROL MASTER'!$S$2:$S$495=11)*('CONTROL MASTER'!$T$2:$T$495&lt;=7)*('CONTROL MASTER'!$V$2:$V$495&gt;=7)*('CONTROL MASTER'!$U$2:$U$495&lt;=8)*('CONTROL MASTER'!$W$2:$W$495&gt;=8))*ROW('CONTROL MASTER'!$S$2:$S$495))-(ROW('CONTROL MASTER'!#REF!)-1)))&amp;TRIM(MID(SUBSTITUTE(SUBSTITUTE(INDEX('CONTROL MASTER'!$N$2:$N$495,(SUMPRODUCT((('CONTROL MASTER'!$S$2:$S$495=11)*('CONTROL MASTER'!$T$2:$T$495&lt;=7)*('CONTROL MASTER'!$V$2:$V$495&gt;=7)*('CONTROL MASTER'!$U$2:$U$495&lt;=8)*('CONTROL MASTER'!$W$2:$W$495&gt;=8))*ROW('CONTROL MASTER'!$S$2:$S$495))-(ROW('CONTROL MASTER'!#REF!)-1))),":",","),",",REPT(" ",50)),((((7-INDEX('CONTROL MASTER'!$T$2:$T$495,(SUMPRODUCT((('CONTROL MASTER'!$S$2:$S$495=11)*('CONTROL MASTER'!$T$2:$T$495&lt;=7)*('CONTROL MASTER'!$V$2:$V$495&gt;=7)*('CONTROL MASTER'!$U$2:$U$495&lt;=8)*('CONTROL MASTER'!$W$2:$W$495&gt;=8))*ROW('CONTROL MASTER'!$S$2:$S$495))-(ROW('CONTROL MASTER'!#REF!)-1))))*(INDEX('CONTROL MASTER'!$W$2:$W$495,(SUMPRODUCT((('CONTROL MASTER'!$S$2:$S$495=11)*('CONTROL MASTER'!$T$2:$T$495&lt;=7)*('CONTROL MASTER'!$V$2:$V$495&gt;=7)*('CONTROL MASTER'!$U$2:$U$495&lt;=8)*('CONTROL MASTER'!$W$2:$W$495&gt;=8))*ROW('CONTROL MASTER'!$S$2:$S$495))-(ROW('CONTROL MASTER'!#REF!)-1)))-INDEX('CONTROL MASTER'!$U$2:$U$495,(SUMPRODUCT((('CONTROL MASTER'!$S$2:$S$495=11)*('CONTROL MASTER'!$T$2:$T$495&lt;=7)*('CONTROL MASTER'!$V$2:$V$495&gt;=7)*('CONTROL MASTER'!$U$2:$U$495&lt;=8)*('CONTROL MASTER'!$W$2:$W$495&gt;=8))*ROW('CONTROL MASTER'!$S$2:$S$495))-(ROW('CONTROL MASTER'!#REF!)-1)))+1)+(8-INDEX('CONTROL MASTER'!$U$2:$U$495,(SUMPRODUCT((('CONTROL MASTER'!$S$2:$S$495=11)*('CONTROL MASTER'!$T$2:$T$495&lt;=7)*('CONTROL MASTER'!$V$2:$V$495&gt;=7)*('CONTROL MASTER'!$U$2:$U$495&lt;=8)*('CONTROL MASTER'!$W$2:$W$495&gt;=8))*ROW('CONTROL MASTER'!$S$2:$S$495))-(ROW('CONTROL MASTER'!#REF!)-1))))+1))-1)*50+1,50))&amp;"_"&amp;INDEX('CONTROL MASTER'!$P$2:$P$495,(SUMPRODUCT((('CONTROL MASTER'!$S$2:$S$495=11)*('CONTROL MASTER'!$T$2:$T$495&lt;=7)*('CONTROL MASTER'!$V$2:$V$495&gt;=7)*('CONTROL MASTER'!$U$2:$U$495&lt;=8)*('CONTROL MASTER'!$W$2:$W$495&gt;=8))*ROW('CONTROL MASTER'!$S$2:$S$495))-(ROW('CONTROL MASTER'!#REF!)-1))),IF(SUMPRODUCT((('CONTROL MASTER'!$S$2:$S$495=11)*('CONTROL MASTER'!$Z$2:$Z$495&lt;=7)*('CONTROL MASTER'!$AB$2:$AB$495&gt;=7)*('CONTROL MASTER'!$AA$2:$AA$495&lt;=8)*('CONTROL MASTER'!$AC$2:$AC$495&gt;=8))*ROW('CONTROL MASTER'!$S$2:$S$495))&gt;0,INDEX('CONTROL MASTER'!$X$2:$X$495,(SUMPRODUCT((('CONTROL MASTER'!$S$2:$S$495=11)*('CONTROL MASTER'!$Z$2:$Z$495&lt;=7)*('CONTROL MASTER'!$AB$2:$AB$495&gt;=7)*('CONTROL MASTER'!$AA$2:$AA$495&lt;=8)*('CONTROL MASTER'!$AC$2:$AC$495&gt;=8))*ROW('CONTROL MASTER'!$S$2:$S$495))-(ROW('CONTROL MASTER'!#REF!)-1)))&amp;TRIM(MID(SUBSTITUTE(SUBSTITUTE(INDEX('CONTROL MASTER'!$N$2:$N$495,(SUMPRODUCT((('CONTROL MASTER'!$S$2:$S$495=11)*('CONTROL MASTER'!$Z$2:$Z$495&lt;=7)*('CONTROL MASTER'!$AB$2:$AB$495&gt;=7)*('CONTROL MASTER'!$AA$2:$AA$495&lt;=8)*('CONTROL MASTER'!$AC$2:$AC$495&gt;=8))*ROW('CONTROL MASTER'!$S$2:$S$495))-(ROW('CONTROL MASTER'!#REF!)-1))),":",","),",",REPT(" ",50)),(((INDEX('CONTROL MASTER'!$Y$2:$Y$495,(SUMPRODUCT((('CONTROL MASTER'!$S$2:$S$495=11)*('CONTROL MASTER'!$Z$2:$Z$495&lt;=7)*('CONTROL MASTER'!$AB$2:$AB$495&gt;=7)*('CONTROL MASTER'!$AA$2:$AA$495&lt;=8)*('CONTROL MASTER'!$AC$2:$AC$495&gt;=8))*ROW('CONTROL MASTER'!$S$2:$S$495))-(ROW('CONTROL MASTER'!#REF!)-1)))+((7-INDEX('CONTROL MASTER'!$Z$2:$Z$495,(SUMPRODUCT((('CONTROL MASTER'!$S$2:$S$495=11)*('CONTROL MASTER'!$Z$2:$Z$495&lt;=7)*('CONTROL MASTER'!$AB$2:$AB$495&gt;=7)*('CONTROL MASTER'!$AA$2:$AA$495&lt;=8)*('CONTROL MASTER'!$AC$2:$AC$495&gt;=8))*ROW('CONTROL MASTER'!$S$2:$S$495))-(ROW('CONTROL MASTER'!#REF!)-1))))*(INDEX('CONTROL MASTER'!$AC$2:$AC$495,(SUMPRODUCT((('CONTROL MASTER'!$S$2:$S$495=11)*('CONTROL MASTER'!$Z$2:$Z$495&lt;=7)*('CONTROL MASTER'!$AB$2:$AB$495&gt;=7)*('CONTROL MASTER'!$AA$2:$AA$495&lt;=8)*('CONTROL MASTER'!$AC$2:$AC$495&gt;=8))*ROW('CONTROL MASTER'!$S$2:$S$495))-(ROW('CONTROL MASTER'!#REF!)-1)))-INDEX('CONTROL MASTER'!$AA$2:$AA$495,(SUMPRODUCT((('CONTROL MASTER'!$S$2:$S$495=11)*('CONTROL MASTER'!$Z$2:$Z$495&lt;=7)*('CONTROL MASTER'!$AB$2:$AB$495&gt;=7)*('CONTROL MASTER'!$AA$2:$AA$495&lt;=8)*('CONTROL MASTER'!$AC$2:$AC$495&gt;=8))*ROW('CONTROL MASTER'!$S$2:$S$495))-(ROW('CONTROL MASTER'!#REF!)-1)))+1)+(8-INDEX('CONTROL MASTER'!$AA$2:$AA$495,(SUMPRODUCT((('CONTROL MASTER'!$S$2:$S$495=11)*('CONTROL MASTER'!$Z$2:$Z$495&lt;=7)*('CONTROL MASTER'!$AB$2:$AB$495&gt;=7)*('CONTROL MASTER'!$AA$2:$AA$495&lt;=8)*('CONTROL MASTER'!$AC$2:$AC$495&gt;=8))*ROW('CONTROL MASTER'!$S$2:$S$495))-(ROW('CONTROL MASTER'!#REF!)-1))))+1)))-1)*50+1,50))&amp;"_"&amp;INDEX('CONTROL MASTER'!$P$2:$P$495,(SUMPRODUCT((('CONTROL MASTER'!$S$2:$S$495=11)*('CONTROL MASTER'!$Z$2:$Z$495&lt;=7)*('CONTROL MASTER'!$AB$2:$AB$495&gt;=7)*('CONTROL MASTER'!$AA$2:$AA$495&lt;=8)*('CONTROL MASTER'!$AC$2:$AC$495&gt;=8))*ROW('CONTROL MASTER'!$S$2:$S$495))-(ROW('CONTROL MASTER'!#REF!)-1))),"")),"")</f>
        <v/>
      </c>
      <c r="J149" s="10" t="str">
        <f>IFERROR(IF(SUMPRODUCT((('CONTROL MASTER'!$S$2:$S$495=11)*('CONTROL MASTER'!$T$2:$T$495&lt;=7)*('CONTROL MASTER'!$V$2:$V$495&gt;=7)*('CONTROL MASTER'!$U$2:$U$495&lt;=9)*('CONTROL MASTER'!$W$2:$W$495&gt;=9))*ROW('CONTROL MASTER'!$S$2:$S$495))&gt;0,INDEX('CONTROL MASTER'!$X$2:$X$495,(SUMPRODUCT((('CONTROL MASTER'!$S$2:$S$495=11)*('CONTROL MASTER'!$T$2:$T$495&lt;=7)*('CONTROL MASTER'!$V$2:$V$495&gt;=7)*('CONTROL MASTER'!$U$2:$U$495&lt;=9)*('CONTROL MASTER'!$W$2:$W$495&gt;=9))*ROW('CONTROL MASTER'!$S$2:$S$495))-(ROW('CONTROL MASTER'!#REF!)-1)))&amp;TRIM(MID(SUBSTITUTE(SUBSTITUTE(INDEX('CONTROL MASTER'!$N$2:$N$495,(SUMPRODUCT((('CONTROL MASTER'!$S$2:$S$495=11)*('CONTROL MASTER'!$T$2:$T$495&lt;=7)*('CONTROL MASTER'!$V$2:$V$495&gt;=7)*('CONTROL MASTER'!$U$2:$U$495&lt;=9)*('CONTROL MASTER'!$W$2:$W$495&gt;=9))*ROW('CONTROL MASTER'!$S$2:$S$495))-(ROW('CONTROL MASTER'!#REF!)-1))),":",","),",",REPT(" ",50)),((((7-INDEX('CONTROL MASTER'!$T$2:$T$495,(SUMPRODUCT((('CONTROL MASTER'!$S$2:$S$495=11)*('CONTROL MASTER'!$T$2:$T$495&lt;=7)*('CONTROL MASTER'!$V$2:$V$495&gt;=7)*('CONTROL MASTER'!$U$2:$U$495&lt;=9)*('CONTROL MASTER'!$W$2:$W$495&gt;=9))*ROW('CONTROL MASTER'!$S$2:$S$495))-(ROW('CONTROL MASTER'!#REF!)-1))))*(INDEX('CONTROL MASTER'!$W$2:$W$495,(SUMPRODUCT((('CONTROL MASTER'!$S$2:$S$495=11)*('CONTROL MASTER'!$T$2:$T$495&lt;=7)*('CONTROL MASTER'!$V$2:$V$495&gt;=7)*('CONTROL MASTER'!$U$2:$U$495&lt;=9)*('CONTROL MASTER'!$W$2:$W$495&gt;=9))*ROW('CONTROL MASTER'!$S$2:$S$495))-(ROW('CONTROL MASTER'!#REF!)-1)))-INDEX('CONTROL MASTER'!$U$2:$U$495,(SUMPRODUCT((('CONTROL MASTER'!$S$2:$S$495=11)*('CONTROL MASTER'!$T$2:$T$495&lt;=7)*('CONTROL MASTER'!$V$2:$V$495&gt;=7)*('CONTROL MASTER'!$U$2:$U$495&lt;=9)*('CONTROL MASTER'!$W$2:$W$495&gt;=9))*ROW('CONTROL MASTER'!$S$2:$S$495))-(ROW('CONTROL MASTER'!#REF!)-1)))+1)+(9-INDEX('CONTROL MASTER'!$U$2:$U$495,(SUMPRODUCT((('CONTROL MASTER'!$S$2:$S$495=11)*('CONTROL MASTER'!$T$2:$T$495&lt;=7)*('CONTROL MASTER'!$V$2:$V$495&gt;=7)*('CONTROL MASTER'!$U$2:$U$495&lt;=9)*('CONTROL MASTER'!$W$2:$W$495&gt;=9))*ROW('CONTROL MASTER'!$S$2:$S$495))-(ROW('CONTROL MASTER'!#REF!)-1))))+1))-1)*50+1,50))&amp;"_"&amp;INDEX('CONTROL MASTER'!$P$2:$P$495,(SUMPRODUCT((('CONTROL MASTER'!$S$2:$S$495=11)*('CONTROL MASTER'!$T$2:$T$495&lt;=7)*('CONTROL MASTER'!$V$2:$V$495&gt;=7)*('CONTROL MASTER'!$U$2:$U$495&lt;=9)*('CONTROL MASTER'!$W$2:$W$495&gt;=9))*ROW('CONTROL MASTER'!$S$2:$S$495))-(ROW('CONTROL MASTER'!#REF!)-1))),IF(SUMPRODUCT((('CONTROL MASTER'!$S$2:$S$495=11)*('CONTROL MASTER'!$Z$2:$Z$495&lt;=7)*('CONTROL MASTER'!$AB$2:$AB$495&gt;=7)*('CONTROL MASTER'!$AA$2:$AA$495&lt;=9)*('CONTROL MASTER'!$AC$2:$AC$495&gt;=9))*ROW('CONTROL MASTER'!$S$2:$S$495))&gt;0,INDEX('CONTROL MASTER'!$X$2:$X$495,(SUMPRODUCT((('CONTROL MASTER'!$S$2:$S$495=11)*('CONTROL MASTER'!$Z$2:$Z$495&lt;=7)*('CONTROL MASTER'!$AB$2:$AB$495&gt;=7)*('CONTROL MASTER'!$AA$2:$AA$495&lt;=9)*('CONTROL MASTER'!$AC$2:$AC$495&gt;=9))*ROW('CONTROL MASTER'!$S$2:$S$495))-(ROW('CONTROL MASTER'!#REF!)-1)))&amp;TRIM(MID(SUBSTITUTE(SUBSTITUTE(INDEX('CONTROL MASTER'!$N$2:$N$495,(SUMPRODUCT((('CONTROL MASTER'!$S$2:$S$495=11)*('CONTROL MASTER'!$Z$2:$Z$495&lt;=7)*('CONTROL MASTER'!$AB$2:$AB$495&gt;=7)*('CONTROL MASTER'!$AA$2:$AA$495&lt;=9)*('CONTROL MASTER'!$AC$2:$AC$495&gt;=9))*ROW('CONTROL MASTER'!$S$2:$S$495))-(ROW('CONTROL MASTER'!#REF!)-1))),":",","),",",REPT(" ",50)),(((INDEX('CONTROL MASTER'!$Y$2:$Y$495,(SUMPRODUCT((('CONTROL MASTER'!$S$2:$S$495=11)*('CONTROL MASTER'!$Z$2:$Z$495&lt;=7)*('CONTROL MASTER'!$AB$2:$AB$495&gt;=7)*('CONTROL MASTER'!$AA$2:$AA$495&lt;=9)*('CONTROL MASTER'!$AC$2:$AC$495&gt;=9))*ROW('CONTROL MASTER'!$S$2:$S$495))-(ROW('CONTROL MASTER'!#REF!)-1)))+((7-INDEX('CONTROL MASTER'!$Z$2:$Z$495,(SUMPRODUCT((('CONTROL MASTER'!$S$2:$S$495=11)*('CONTROL MASTER'!$Z$2:$Z$495&lt;=7)*('CONTROL MASTER'!$AB$2:$AB$495&gt;=7)*('CONTROL MASTER'!$AA$2:$AA$495&lt;=9)*('CONTROL MASTER'!$AC$2:$AC$495&gt;=9))*ROW('CONTROL MASTER'!$S$2:$S$495))-(ROW('CONTROL MASTER'!#REF!)-1))))*(INDEX('CONTROL MASTER'!$AC$2:$AC$495,(SUMPRODUCT((('CONTROL MASTER'!$S$2:$S$495=11)*('CONTROL MASTER'!$Z$2:$Z$495&lt;=7)*('CONTROL MASTER'!$AB$2:$AB$495&gt;=7)*('CONTROL MASTER'!$AA$2:$AA$495&lt;=9)*('CONTROL MASTER'!$AC$2:$AC$495&gt;=9))*ROW('CONTROL MASTER'!$S$2:$S$495))-(ROW('CONTROL MASTER'!#REF!)-1)))-INDEX('CONTROL MASTER'!$AA$2:$AA$495,(SUMPRODUCT((('CONTROL MASTER'!$S$2:$S$495=11)*('CONTROL MASTER'!$Z$2:$Z$495&lt;=7)*('CONTROL MASTER'!$AB$2:$AB$495&gt;=7)*('CONTROL MASTER'!$AA$2:$AA$495&lt;=9)*('CONTROL MASTER'!$AC$2:$AC$495&gt;=9))*ROW('CONTROL MASTER'!$S$2:$S$495))-(ROW('CONTROL MASTER'!#REF!)-1)))+1)+(9-INDEX('CONTROL MASTER'!$AA$2:$AA$495,(SUMPRODUCT((('CONTROL MASTER'!$S$2:$S$495=11)*('CONTROL MASTER'!$Z$2:$Z$495&lt;=7)*('CONTROL MASTER'!$AB$2:$AB$495&gt;=7)*('CONTROL MASTER'!$AA$2:$AA$495&lt;=9)*('CONTROL MASTER'!$AC$2:$AC$495&gt;=9))*ROW('CONTROL MASTER'!$S$2:$S$495))-(ROW('CONTROL MASTER'!#REF!)-1))))+1)))-1)*50+1,50))&amp;"_"&amp;INDEX('CONTROL MASTER'!$P$2:$P$495,(SUMPRODUCT((('CONTROL MASTER'!$S$2:$S$495=11)*('CONTROL MASTER'!$Z$2:$Z$495&lt;=7)*('CONTROL MASTER'!$AB$2:$AB$495&gt;=7)*('CONTROL MASTER'!$AA$2:$AA$495&lt;=9)*('CONTROL MASTER'!$AC$2:$AC$495&gt;=9))*ROW('CONTROL MASTER'!$S$2:$S$495))-(ROW('CONTROL MASTER'!#REF!)-1))),"")),"")</f>
        <v/>
      </c>
      <c r="K149" s="10" t="str">
        <f>IFERROR(IF(SUMPRODUCT((('CONTROL MASTER'!$S$2:$S$495=11)*('CONTROL MASTER'!$T$2:$T$495&lt;=7)*('CONTROL MASTER'!$V$2:$V$495&gt;=7)*('CONTROL MASTER'!$U$2:$U$495&lt;=10)*('CONTROL MASTER'!$W$2:$W$495&gt;=10))*ROW('CONTROL MASTER'!$S$2:$S$495))&gt;0,INDEX('CONTROL MASTER'!$X$2:$X$495,(SUMPRODUCT((('CONTROL MASTER'!$S$2:$S$495=11)*('CONTROL MASTER'!$T$2:$T$495&lt;=7)*('CONTROL MASTER'!$V$2:$V$495&gt;=7)*('CONTROL MASTER'!$U$2:$U$495&lt;=10)*('CONTROL MASTER'!$W$2:$W$495&gt;=10))*ROW('CONTROL MASTER'!$S$2:$S$495))-(ROW('CONTROL MASTER'!#REF!)-1)))&amp;TRIM(MID(SUBSTITUTE(SUBSTITUTE(INDEX('CONTROL MASTER'!$N$2:$N$495,(SUMPRODUCT((('CONTROL MASTER'!$S$2:$S$495=11)*('CONTROL MASTER'!$T$2:$T$495&lt;=7)*('CONTROL MASTER'!$V$2:$V$495&gt;=7)*('CONTROL MASTER'!$U$2:$U$495&lt;=10)*('CONTROL MASTER'!$W$2:$W$495&gt;=10))*ROW('CONTROL MASTER'!$S$2:$S$495))-(ROW('CONTROL MASTER'!#REF!)-1))),":",","),",",REPT(" ",50)),((((7-INDEX('CONTROL MASTER'!$T$2:$T$495,(SUMPRODUCT((('CONTROL MASTER'!$S$2:$S$495=11)*('CONTROL MASTER'!$T$2:$T$495&lt;=7)*('CONTROL MASTER'!$V$2:$V$495&gt;=7)*('CONTROL MASTER'!$U$2:$U$495&lt;=10)*('CONTROL MASTER'!$W$2:$W$495&gt;=10))*ROW('CONTROL MASTER'!$S$2:$S$495))-(ROW('CONTROL MASTER'!#REF!)-1))))*(INDEX('CONTROL MASTER'!$W$2:$W$495,(SUMPRODUCT((('CONTROL MASTER'!$S$2:$S$495=11)*('CONTROL MASTER'!$T$2:$T$495&lt;=7)*('CONTROL MASTER'!$V$2:$V$495&gt;=7)*('CONTROL MASTER'!$U$2:$U$495&lt;=10)*('CONTROL MASTER'!$W$2:$W$495&gt;=10))*ROW('CONTROL MASTER'!$S$2:$S$495))-(ROW('CONTROL MASTER'!#REF!)-1)))-INDEX('CONTROL MASTER'!$U$2:$U$495,(SUMPRODUCT((('CONTROL MASTER'!$S$2:$S$495=11)*('CONTROL MASTER'!$T$2:$T$495&lt;=7)*('CONTROL MASTER'!$V$2:$V$495&gt;=7)*('CONTROL MASTER'!$U$2:$U$495&lt;=10)*('CONTROL MASTER'!$W$2:$W$495&gt;=10))*ROW('CONTROL MASTER'!$S$2:$S$495))-(ROW('CONTROL MASTER'!#REF!)-1)))+1)+(10-INDEX('CONTROL MASTER'!$U$2:$U$495,(SUMPRODUCT((('CONTROL MASTER'!$S$2:$S$495=11)*('CONTROL MASTER'!$T$2:$T$495&lt;=7)*('CONTROL MASTER'!$V$2:$V$495&gt;=7)*('CONTROL MASTER'!$U$2:$U$495&lt;=10)*('CONTROL MASTER'!$W$2:$W$495&gt;=10))*ROW('CONTROL MASTER'!$S$2:$S$495))-(ROW('CONTROL MASTER'!#REF!)-1))))+1))-1)*50+1,50))&amp;"_"&amp;INDEX('CONTROL MASTER'!$P$2:$P$495,(SUMPRODUCT((('CONTROL MASTER'!$S$2:$S$495=11)*('CONTROL MASTER'!$T$2:$T$495&lt;=7)*('CONTROL MASTER'!$V$2:$V$495&gt;=7)*('CONTROL MASTER'!$U$2:$U$495&lt;=10)*('CONTROL MASTER'!$W$2:$W$495&gt;=10))*ROW('CONTROL MASTER'!$S$2:$S$495))-(ROW('CONTROL MASTER'!#REF!)-1))),IF(SUMPRODUCT((('CONTROL MASTER'!$S$2:$S$495=11)*('CONTROL MASTER'!$Z$2:$Z$495&lt;=7)*('CONTROL MASTER'!$AB$2:$AB$495&gt;=7)*('CONTROL MASTER'!$AA$2:$AA$495&lt;=10)*('CONTROL MASTER'!$AC$2:$AC$495&gt;=10))*ROW('CONTROL MASTER'!$S$2:$S$495))&gt;0,INDEX('CONTROL MASTER'!$X$2:$X$495,(SUMPRODUCT((('CONTROL MASTER'!$S$2:$S$495=11)*('CONTROL MASTER'!$Z$2:$Z$495&lt;=7)*('CONTROL MASTER'!$AB$2:$AB$495&gt;=7)*('CONTROL MASTER'!$AA$2:$AA$495&lt;=10)*('CONTROL MASTER'!$AC$2:$AC$495&gt;=10))*ROW('CONTROL MASTER'!$S$2:$S$495))-(ROW('CONTROL MASTER'!#REF!)-1)))&amp;TRIM(MID(SUBSTITUTE(SUBSTITUTE(INDEX('CONTROL MASTER'!$N$2:$N$495,(SUMPRODUCT((('CONTROL MASTER'!$S$2:$S$495=11)*('CONTROL MASTER'!$Z$2:$Z$495&lt;=7)*('CONTROL MASTER'!$AB$2:$AB$495&gt;=7)*('CONTROL MASTER'!$AA$2:$AA$495&lt;=10)*('CONTROL MASTER'!$AC$2:$AC$495&gt;=10))*ROW('CONTROL MASTER'!$S$2:$S$495))-(ROW('CONTROL MASTER'!#REF!)-1))),":",","),",",REPT(" ",50)),(((INDEX('CONTROL MASTER'!$Y$2:$Y$495,(SUMPRODUCT((('CONTROL MASTER'!$S$2:$S$495=11)*('CONTROL MASTER'!$Z$2:$Z$495&lt;=7)*('CONTROL MASTER'!$AB$2:$AB$495&gt;=7)*('CONTROL MASTER'!$AA$2:$AA$495&lt;=10)*('CONTROL MASTER'!$AC$2:$AC$495&gt;=10))*ROW('CONTROL MASTER'!$S$2:$S$495))-(ROW('CONTROL MASTER'!#REF!)-1)))+((7-INDEX('CONTROL MASTER'!$Z$2:$Z$495,(SUMPRODUCT((('CONTROL MASTER'!$S$2:$S$495=11)*('CONTROL MASTER'!$Z$2:$Z$495&lt;=7)*('CONTROL MASTER'!$AB$2:$AB$495&gt;=7)*('CONTROL MASTER'!$AA$2:$AA$495&lt;=10)*('CONTROL MASTER'!$AC$2:$AC$495&gt;=10))*ROW('CONTROL MASTER'!$S$2:$S$495))-(ROW('CONTROL MASTER'!#REF!)-1))))*(INDEX('CONTROL MASTER'!$AC$2:$AC$495,(SUMPRODUCT((('CONTROL MASTER'!$S$2:$S$495=11)*('CONTROL MASTER'!$Z$2:$Z$495&lt;=7)*('CONTROL MASTER'!$AB$2:$AB$495&gt;=7)*('CONTROL MASTER'!$AA$2:$AA$495&lt;=10)*('CONTROL MASTER'!$AC$2:$AC$495&gt;=10))*ROW('CONTROL MASTER'!$S$2:$S$495))-(ROW('CONTROL MASTER'!#REF!)-1)))-INDEX('CONTROL MASTER'!$AA$2:$AA$495,(SUMPRODUCT((('CONTROL MASTER'!$S$2:$S$495=11)*('CONTROL MASTER'!$Z$2:$Z$495&lt;=7)*('CONTROL MASTER'!$AB$2:$AB$495&gt;=7)*('CONTROL MASTER'!$AA$2:$AA$495&lt;=10)*('CONTROL MASTER'!$AC$2:$AC$495&gt;=10))*ROW('CONTROL MASTER'!$S$2:$S$495))-(ROW('CONTROL MASTER'!#REF!)-1)))+1)+(10-INDEX('CONTROL MASTER'!$AA$2:$AA$495,(SUMPRODUCT((('CONTROL MASTER'!$S$2:$S$495=11)*('CONTROL MASTER'!$Z$2:$Z$495&lt;=7)*('CONTROL MASTER'!$AB$2:$AB$495&gt;=7)*('CONTROL MASTER'!$AA$2:$AA$495&lt;=10)*('CONTROL MASTER'!$AC$2:$AC$495&gt;=10))*ROW('CONTROL MASTER'!$S$2:$S$495))-(ROW('CONTROL MASTER'!#REF!)-1))))+1)))-1)*50+1,50))&amp;"_"&amp;INDEX('CONTROL MASTER'!$P$2:$P$495,(SUMPRODUCT((('CONTROL MASTER'!$S$2:$S$495=11)*('CONTROL MASTER'!$Z$2:$Z$495&lt;=7)*('CONTROL MASTER'!$AB$2:$AB$495&gt;=7)*('CONTROL MASTER'!$AA$2:$AA$495&lt;=10)*('CONTROL MASTER'!$AC$2:$AC$495&gt;=10))*ROW('CONTROL MASTER'!$S$2:$S$495))-(ROW('CONTROL MASTER'!#REF!)-1))),"")),"")</f>
        <v/>
      </c>
    </row>
    <row r="150" spans="1:11" ht="15" customHeight="1" x14ac:dyDescent="0.35">
      <c r="A150" s="8" t="s">
        <v>35</v>
      </c>
      <c r="B150" s="10" t="str">
        <f>IFERROR(IF(SUMPRODUCT((('CONTROL MASTER'!$S$2:$S$495=11)*('CONTROL MASTER'!$T$2:$T$495&lt;=8)*('CONTROL MASTER'!$V$2:$V$495&gt;=8)*('CONTROL MASTER'!$U$2:$U$495&lt;=1)*('CONTROL MASTER'!$W$2:$W$495&gt;=1))*ROW('CONTROL MASTER'!$S$2:$S$495))&gt;0,INDEX('CONTROL MASTER'!$X$2:$X$495,(SUMPRODUCT((('CONTROL MASTER'!$S$2:$S$495=11)*('CONTROL MASTER'!$T$2:$T$495&lt;=8)*('CONTROL MASTER'!$V$2:$V$495&gt;=8)*('CONTROL MASTER'!$U$2:$U$495&lt;=1)*('CONTROL MASTER'!$W$2:$W$495&gt;=1))*ROW('CONTROL MASTER'!$S$2:$S$495))-(ROW('CONTROL MASTER'!#REF!)-1)))&amp;TRIM(MID(SUBSTITUTE(SUBSTITUTE(INDEX('CONTROL MASTER'!$N$2:$N$495,(SUMPRODUCT((('CONTROL MASTER'!$S$2:$S$495=11)*('CONTROL MASTER'!$T$2:$T$495&lt;=8)*('CONTROL MASTER'!$V$2:$V$495&gt;=8)*('CONTROL MASTER'!$U$2:$U$495&lt;=1)*('CONTROL MASTER'!$W$2:$W$495&gt;=1))*ROW('CONTROL MASTER'!$S$2:$S$495))-(ROW('CONTROL MASTER'!#REF!)-1))),":",","),",",REPT(" ",50)),((((8-INDEX('CONTROL MASTER'!$T$2:$T$495,(SUMPRODUCT((('CONTROL MASTER'!$S$2:$S$495=11)*('CONTROL MASTER'!$T$2:$T$495&lt;=8)*('CONTROL MASTER'!$V$2:$V$495&gt;=8)*('CONTROL MASTER'!$U$2:$U$495&lt;=1)*('CONTROL MASTER'!$W$2:$W$495&gt;=1))*ROW('CONTROL MASTER'!$S$2:$S$495))-(ROW('CONTROL MASTER'!#REF!)-1))))*(INDEX('CONTROL MASTER'!$W$2:$W$495,(SUMPRODUCT((('CONTROL MASTER'!$S$2:$S$495=11)*('CONTROL MASTER'!$T$2:$T$495&lt;=8)*('CONTROL MASTER'!$V$2:$V$495&gt;=8)*('CONTROL MASTER'!$U$2:$U$495&lt;=1)*('CONTROL MASTER'!$W$2:$W$495&gt;=1))*ROW('CONTROL MASTER'!$S$2:$S$495))-(ROW('CONTROL MASTER'!#REF!)-1)))-INDEX('CONTROL MASTER'!$U$2:$U$495,(SUMPRODUCT((('CONTROL MASTER'!$S$2:$S$495=11)*('CONTROL MASTER'!$T$2:$T$495&lt;=8)*('CONTROL MASTER'!$V$2:$V$495&gt;=8)*('CONTROL MASTER'!$U$2:$U$495&lt;=1)*('CONTROL MASTER'!$W$2:$W$495&gt;=1))*ROW('CONTROL MASTER'!$S$2:$S$495))-(ROW('CONTROL MASTER'!#REF!)-1)))+1)+(1-INDEX('CONTROL MASTER'!$U$2:$U$495,(SUMPRODUCT((('CONTROL MASTER'!$S$2:$S$495=11)*('CONTROL MASTER'!$T$2:$T$495&lt;=8)*('CONTROL MASTER'!$V$2:$V$495&gt;=8)*('CONTROL MASTER'!$U$2:$U$495&lt;=1)*('CONTROL MASTER'!$W$2:$W$495&gt;=1))*ROW('CONTROL MASTER'!$S$2:$S$495))-(ROW('CONTROL MASTER'!#REF!)-1))))+1))-1)*50+1,50))&amp;"_"&amp;INDEX('CONTROL MASTER'!$P$2:$P$495,(SUMPRODUCT((('CONTROL MASTER'!$S$2:$S$495=11)*('CONTROL MASTER'!$T$2:$T$495&lt;=8)*('CONTROL MASTER'!$V$2:$V$495&gt;=8)*('CONTROL MASTER'!$U$2:$U$495&lt;=1)*('CONTROL MASTER'!$W$2:$W$495&gt;=1))*ROW('CONTROL MASTER'!$S$2:$S$495))-(ROW('CONTROL MASTER'!#REF!)-1))),IF(SUMPRODUCT((('CONTROL MASTER'!$S$2:$S$495=11)*('CONTROL MASTER'!$Z$2:$Z$495&lt;=8)*('CONTROL MASTER'!$AB$2:$AB$495&gt;=8)*('CONTROL MASTER'!$AA$2:$AA$495&lt;=1)*('CONTROL MASTER'!$AC$2:$AC$495&gt;=1))*ROW('CONTROL MASTER'!$S$2:$S$495))&gt;0,INDEX('CONTROL MASTER'!$X$2:$X$495,(SUMPRODUCT((('CONTROL MASTER'!$S$2:$S$495=11)*('CONTROL MASTER'!$Z$2:$Z$495&lt;=8)*('CONTROL MASTER'!$AB$2:$AB$495&gt;=8)*('CONTROL MASTER'!$AA$2:$AA$495&lt;=1)*('CONTROL MASTER'!$AC$2:$AC$495&gt;=1))*ROW('CONTROL MASTER'!$S$2:$S$495))-(ROW('CONTROL MASTER'!#REF!)-1)))&amp;TRIM(MID(SUBSTITUTE(SUBSTITUTE(INDEX('CONTROL MASTER'!$N$2:$N$495,(SUMPRODUCT((('CONTROL MASTER'!$S$2:$S$495=11)*('CONTROL MASTER'!$Z$2:$Z$495&lt;=8)*('CONTROL MASTER'!$AB$2:$AB$495&gt;=8)*('CONTROL MASTER'!$AA$2:$AA$495&lt;=1)*('CONTROL MASTER'!$AC$2:$AC$495&gt;=1))*ROW('CONTROL MASTER'!$S$2:$S$495))-(ROW('CONTROL MASTER'!#REF!)-1))),":",","),",",REPT(" ",50)),(((INDEX('CONTROL MASTER'!$Y$2:$Y$495,(SUMPRODUCT((('CONTROL MASTER'!$S$2:$S$495=11)*('CONTROL MASTER'!$Z$2:$Z$495&lt;=8)*('CONTROL MASTER'!$AB$2:$AB$495&gt;=8)*('CONTROL MASTER'!$AA$2:$AA$495&lt;=1)*('CONTROL MASTER'!$AC$2:$AC$495&gt;=1))*ROW('CONTROL MASTER'!$S$2:$S$495))-(ROW('CONTROL MASTER'!#REF!)-1)))+((8-INDEX('CONTROL MASTER'!$Z$2:$Z$495,(SUMPRODUCT((('CONTROL MASTER'!$S$2:$S$495=11)*('CONTROL MASTER'!$Z$2:$Z$495&lt;=8)*('CONTROL MASTER'!$AB$2:$AB$495&gt;=8)*('CONTROL MASTER'!$AA$2:$AA$495&lt;=1)*('CONTROL MASTER'!$AC$2:$AC$495&gt;=1))*ROW('CONTROL MASTER'!$S$2:$S$495))-(ROW('CONTROL MASTER'!#REF!)-1))))*(INDEX('CONTROL MASTER'!$AC$2:$AC$495,(SUMPRODUCT((('CONTROL MASTER'!$S$2:$S$495=11)*('CONTROL MASTER'!$Z$2:$Z$495&lt;=8)*('CONTROL MASTER'!$AB$2:$AB$495&gt;=8)*('CONTROL MASTER'!$AA$2:$AA$495&lt;=1)*('CONTROL MASTER'!$AC$2:$AC$495&gt;=1))*ROW('CONTROL MASTER'!$S$2:$S$495))-(ROW('CONTROL MASTER'!#REF!)-1)))-INDEX('CONTROL MASTER'!$AA$2:$AA$495,(SUMPRODUCT((('CONTROL MASTER'!$S$2:$S$495=11)*('CONTROL MASTER'!$Z$2:$Z$495&lt;=8)*('CONTROL MASTER'!$AB$2:$AB$495&gt;=8)*('CONTROL MASTER'!$AA$2:$AA$495&lt;=1)*('CONTROL MASTER'!$AC$2:$AC$495&gt;=1))*ROW('CONTROL MASTER'!$S$2:$S$495))-(ROW('CONTROL MASTER'!#REF!)-1)))+1)+(1-INDEX('CONTROL MASTER'!$AA$2:$AA$495,(SUMPRODUCT((('CONTROL MASTER'!$S$2:$S$495=11)*('CONTROL MASTER'!$Z$2:$Z$495&lt;=8)*('CONTROL MASTER'!$AB$2:$AB$495&gt;=8)*('CONTROL MASTER'!$AA$2:$AA$495&lt;=1)*('CONTROL MASTER'!$AC$2:$AC$495&gt;=1))*ROW('CONTROL MASTER'!$S$2:$S$495))-(ROW('CONTROL MASTER'!#REF!)-1))))+1)))-1)*50+1,50))&amp;"_"&amp;INDEX('CONTROL MASTER'!$P$2:$P$495,(SUMPRODUCT((('CONTROL MASTER'!$S$2:$S$495=11)*('CONTROL MASTER'!$Z$2:$Z$495&lt;=8)*('CONTROL MASTER'!$AB$2:$AB$495&gt;=8)*('CONTROL MASTER'!$AA$2:$AA$495&lt;=1)*('CONTROL MASTER'!$AC$2:$AC$495&gt;=1))*ROW('CONTROL MASTER'!$S$2:$S$495))-(ROW('CONTROL MASTER'!#REF!)-1))),"")),"")</f>
        <v/>
      </c>
      <c r="C150" s="10" t="str">
        <f>IFERROR(IF(SUMPRODUCT((('CONTROL MASTER'!$S$2:$S$495=11)*('CONTROL MASTER'!$T$2:$T$495&lt;=8)*('CONTROL MASTER'!$V$2:$V$495&gt;=8)*('CONTROL MASTER'!$U$2:$U$495&lt;=2)*('CONTROL MASTER'!$W$2:$W$495&gt;=2))*ROW('CONTROL MASTER'!$S$2:$S$495))&gt;0,INDEX('CONTROL MASTER'!$X$2:$X$495,(SUMPRODUCT((('CONTROL MASTER'!$S$2:$S$495=11)*('CONTROL MASTER'!$T$2:$T$495&lt;=8)*('CONTROL MASTER'!$V$2:$V$495&gt;=8)*('CONTROL MASTER'!$U$2:$U$495&lt;=2)*('CONTROL MASTER'!$W$2:$W$495&gt;=2))*ROW('CONTROL MASTER'!$S$2:$S$495))-(ROW('CONTROL MASTER'!#REF!)-1)))&amp;TRIM(MID(SUBSTITUTE(SUBSTITUTE(INDEX('CONTROL MASTER'!$N$2:$N$495,(SUMPRODUCT((('CONTROL MASTER'!$S$2:$S$495=11)*('CONTROL MASTER'!$T$2:$T$495&lt;=8)*('CONTROL MASTER'!$V$2:$V$495&gt;=8)*('CONTROL MASTER'!$U$2:$U$495&lt;=2)*('CONTROL MASTER'!$W$2:$W$495&gt;=2))*ROW('CONTROL MASTER'!$S$2:$S$495))-(ROW('CONTROL MASTER'!#REF!)-1))),":",","),",",REPT(" ",50)),((((8-INDEX('CONTROL MASTER'!$T$2:$T$495,(SUMPRODUCT((('CONTROL MASTER'!$S$2:$S$495=11)*('CONTROL MASTER'!$T$2:$T$495&lt;=8)*('CONTROL MASTER'!$V$2:$V$495&gt;=8)*('CONTROL MASTER'!$U$2:$U$495&lt;=2)*('CONTROL MASTER'!$W$2:$W$495&gt;=2))*ROW('CONTROL MASTER'!$S$2:$S$495))-(ROW('CONTROL MASTER'!#REF!)-1))))*(INDEX('CONTROL MASTER'!$W$2:$W$495,(SUMPRODUCT((('CONTROL MASTER'!$S$2:$S$495=11)*('CONTROL MASTER'!$T$2:$T$495&lt;=8)*('CONTROL MASTER'!$V$2:$V$495&gt;=8)*('CONTROL MASTER'!$U$2:$U$495&lt;=2)*('CONTROL MASTER'!$W$2:$W$495&gt;=2))*ROW('CONTROL MASTER'!$S$2:$S$495))-(ROW('CONTROL MASTER'!#REF!)-1)))-INDEX('CONTROL MASTER'!$U$2:$U$495,(SUMPRODUCT((('CONTROL MASTER'!$S$2:$S$495=11)*('CONTROL MASTER'!$T$2:$T$495&lt;=8)*('CONTROL MASTER'!$V$2:$V$495&gt;=8)*('CONTROL MASTER'!$U$2:$U$495&lt;=2)*('CONTROL MASTER'!$W$2:$W$495&gt;=2))*ROW('CONTROL MASTER'!$S$2:$S$495))-(ROW('CONTROL MASTER'!#REF!)-1)))+1)+(2-INDEX('CONTROL MASTER'!$U$2:$U$495,(SUMPRODUCT((('CONTROL MASTER'!$S$2:$S$495=11)*('CONTROL MASTER'!$T$2:$T$495&lt;=8)*('CONTROL MASTER'!$V$2:$V$495&gt;=8)*('CONTROL MASTER'!$U$2:$U$495&lt;=2)*('CONTROL MASTER'!$W$2:$W$495&gt;=2))*ROW('CONTROL MASTER'!$S$2:$S$495))-(ROW('CONTROL MASTER'!#REF!)-1))))+1))-1)*50+1,50))&amp;"_"&amp;INDEX('CONTROL MASTER'!$P$2:$P$495,(SUMPRODUCT((('CONTROL MASTER'!$S$2:$S$495=11)*('CONTROL MASTER'!$T$2:$T$495&lt;=8)*('CONTROL MASTER'!$V$2:$V$495&gt;=8)*('CONTROL MASTER'!$U$2:$U$495&lt;=2)*('CONTROL MASTER'!$W$2:$W$495&gt;=2))*ROW('CONTROL MASTER'!$S$2:$S$495))-(ROW('CONTROL MASTER'!#REF!)-1))),IF(SUMPRODUCT((('CONTROL MASTER'!$S$2:$S$495=11)*('CONTROL MASTER'!$Z$2:$Z$495&lt;=8)*('CONTROL MASTER'!$AB$2:$AB$495&gt;=8)*('CONTROL MASTER'!$AA$2:$AA$495&lt;=2)*('CONTROL MASTER'!$AC$2:$AC$495&gt;=2))*ROW('CONTROL MASTER'!$S$2:$S$495))&gt;0,INDEX('CONTROL MASTER'!$X$2:$X$495,(SUMPRODUCT((('CONTROL MASTER'!$S$2:$S$495=11)*('CONTROL MASTER'!$Z$2:$Z$495&lt;=8)*('CONTROL MASTER'!$AB$2:$AB$495&gt;=8)*('CONTROL MASTER'!$AA$2:$AA$495&lt;=2)*('CONTROL MASTER'!$AC$2:$AC$495&gt;=2))*ROW('CONTROL MASTER'!$S$2:$S$495))-(ROW('CONTROL MASTER'!#REF!)-1)))&amp;TRIM(MID(SUBSTITUTE(SUBSTITUTE(INDEX('CONTROL MASTER'!$N$2:$N$495,(SUMPRODUCT((('CONTROL MASTER'!$S$2:$S$495=11)*('CONTROL MASTER'!$Z$2:$Z$495&lt;=8)*('CONTROL MASTER'!$AB$2:$AB$495&gt;=8)*('CONTROL MASTER'!$AA$2:$AA$495&lt;=2)*('CONTROL MASTER'!$AC$2:$AC$495&gt;=2))*ROW('CONTROL MASTER'!$S$2:$S$495))-(ROW('CONTROL MASTER'!#REF!)-1))),":",","),",",REPT(" ",50)),(((INDEX('CONTROL MASTER'!$Y$2:$Y$495,(SUMPRODUCT((('CONTROL MASTER'!$S$2:$S$495=11)*('CONTROL MASTER'!$Z$2:$Z$495&lt;=8)*('CONTROL MASTER'!$AB$2:$AB$495&gt;=8)*('CONTROL MASTER'!$AA$2:$AA$495&lt;=2)*('CONTROL MASTER'!$AC$2:$AC$495&gt;=2))*ROW('CONTROL MASTER'!$S$2:$S$495))-(ROW('CONTROL MASTER'!#REF!)-1)))+((8-INDEX('CONTROL MASTER'!$Z$2:$Z$495,(SUMPRODUCT((('CONTROL MASTER'!$S$2:$S$495=11)*('CONTROL MASTER'!$Z$2:$Z$495&lt;=8)*('CONTROL MASTER'!$AB$2:$AB$495&gt;=8)*('CONTROL MASTER'!$AA$2:$AA$495&lt;=2)*('CONTROL MASTER'!$AC$2:$AC$495&gt;=2))*ROW('CONTROL MASTER'!$S$2:$S$495))-(ROW('CONTROL MASTER'!#REF!)-1))))*(INDEX('CONTROL MASTER'!$AC$2:$AC$495,(SUMPRODUCT((('CONTROL MASTER'!$S$2:$S$495=11)*('CONTROL MASTER'!$Z$2:$Z$495&lt;=8)*('CONTROL MASTER'!$AB$2:$AB$495&gt;=8)*('CONTROL MASTER'!$AA$2:$AA$495&lt;=2)*('CONTROL MASTER'!$AC$2:$AC$495&gt;=2))*ROW('CONTROL MASTER'!$S$2:$S$495))-(ROW('CONTROL MASTER'!#REF!)-1)))-INDEX('CONTROL MASTER'!$AA$2:$AA$495,(SUMPRODUCT((('CONTROL MASTER'!$S$2:$S$495=11)*('CONTROL MASTER'!$Z$2:$Z$495&lt;=8)*('CONTROL MASTER'!$AB$2:$AB$495&gt;=8)*('CONTROL MASTER'!$AA$2:$AA$495&lt;=2)*('CONTROL MASTER'!$AC$2:$AC$495&gt;=2))*ROW('CONTROL MASTER'!$S$2:$S$495))-(ROW('CONTROL MASTER'!#REF!)-1)))+1)+(2-INDEX('CONTROL MASTER'!$AA$2:$AA$495,(SUMPRODUCT((('CONTROL MASTER'!$S$2:$S$495=11)*('CONTROL MASTER'!$Z$2:$Z$495&lt;=8)*('CONTROL MASTER'!$AB$2:$AB$495&gt;=8)*('CONTROL MASTER'!$AA$2:$AA$495&lt;=2)*('CONTROL MASTER'!$AC$2:$AC$495&gt;=2))*ROW('CONTROL MASTER'!$S$2:$S$495))-(ROW('CONTROL MASTER'!#REF!)-1))))+1)))-1)*50+1,50))&amp;"_"&amp;INDEX('CONTROL MASTER'!$P$2:$P$495,(SUMPRODUCT((('CONTROL MASTER'!$S$2:$S$495=11)*('CONTROL MASTER'!$Z$2:$Z$495&lt;=8)*('CONTROL MASTER'!$AB$2:$AB$495&gt;=8)*('CONTROL MASTER'!$AA$2:$AA$495&lt;=2)*('CONTROL MASTER'!$AC$2:$AC$495&gt;=2))*ROW('CONTROL MASTER'!$S$2:$S$495))-(ROW('CONTROL MASTER'!#REF!)-1))),"")),"")</f>
        <v/>
      </c>
      <c r="D150" s="10" t="str">
        <f>IFERROR(IF(SUMPRODUCT((('CONTROL MASTER'!$S$2:$S$495=11)*('CONTROL MASTER'!$T$2:$T$495&lt;=8)*('CONTROL MASTER'!$V$2:$V$495&gt;=8)*('CONTROL MASTER'!$U$2:$U$495&lt;=3)*('CONTROL MASTER'!$W$2:$W$495&gt;=3))*ROW('CONTROL MASTER'!$S$2:$S$495))&gt;0,INDEX('CONTROL MASTER'!$X$2:$X$495,(SUMPRODUCT((('CONTROL MASTER'!$S$2:$S$495=11)*('CONTROL MASTER'!$T$2:$T$495&lt;=8)*('CONTROL MASTER'!$V$2:$V$495&gt;=8)*('CONTROL MASTER'!$U$2:$U$495&lt;=3)*('CONTROL MASTER'!$W$2:$W$495&gt;=3))*ROW('CONTROL MASTER'!$S$2:$S$495))-(ROW('CONTROL MASTER'!#REF!)-1)))&amp;TRIM(MID(SUBSTITUTE(SUBSTITUTE(INDEX('CONTROL MASTER'!$N$2:$N$495,(SUMPRODUCT((('CONTROL MASTER'!$S$2:$S$495=11)*('CONTROL MASTER'!$T$2:$T$495&lt;=8)*('CONTROL MASTER'!$V$2:$V$495&gt;=8)*('CONTROL MASTER'!$U$2:$U$495&lt;=3)*('CONTROL MASTER'!$W$2:$W$495&gt;=3))*ROW('CONTROL MASTER'!$S$2:$S$495))-(ROW('CONTROL MASTER'!#REF!)-1))),":",","),",",REPT(" ",50)),((((8-INDEX('CONTROL MASTER'!$T$2:$T$495,(SUMPRODUCT((('CONTROL MASTER'!$S$2:$S$495=11)*('CONTROL MASTER'!$T$2:$T$495&lt;=8)*('CONTROL MASTER'!$V$2:$V$495&gt;=8)*('CONTROL MASTER'!$U$2:$U$495&lt;=3)*('CONTROL MASTER'!$W$2:$W$495&gt;=3))*ROW('CONTROL MASTER'!$S$2:$S$495))-(ROW('CONTROL MASTER'!#REF!)-1))))*(INDEX('CONTROL MASTER'!$W$2:$W$495,(SUMPRODUCT((('CONTROL MASTER'!$S$2:$S$495=11)*('CONTROL MASTER'!$T$2:$T$495&lt;=8)*('CONTROL MASTER'!$V$2:$V$495&gt;=8)*('CONTROL MASTER'!$U$2:$U$495&lt;=3)*('CONTROL MASTER'!$W$2:$W$495&gt;=3))*ROW('CONTROL MASTER'!$S$2:$S$495))-(ROW('CONTROL MASTER'!#REF!)-1)))-INDEX('CONTROL MASTER'!$U$2:$U$495,(SUMPRODUCT((('CONTROL MASTER'!$S$2:$S$495=11)*('CONTROL MASTER'!$T$2:$T$495&lt;=8)*('CONTROL MASTER'!$V$2:$V$495&gt;=8)*('CONTROL MASTER'!$U$2:$U$495&lt;=3)*('CONTROL MASTER'!$W$2:$W$495&gt;=3))*ROW('CONTROL MASTER'!$S$2:$S$495))-(ROW('CONTROL MASTER'!#REF!)-1)))+1)+(3-INDEX('CONTROL MASTER'!$U$2:$U$495,(SUMPRODUCT((('CONTROL MASTER'!$S$2:$S$495=11)*('CONTROL MASTER'!$T$2:$T$495&lt;=8)*('CONTROL MASTER'!$V$2:$V$495&gt;=8)*('CONTROL MASTER'!$U$2:$U$495&lt;=3)*('CONTROL MASTER'!$W$2:$W$495&gt;=3))*ROW('CONTROL MASTER'!$S$2:$S$495))-(ROW('CONTROL MASTER'!#REF!)-1))))+1))-1)*50+1,50))&amp;"_"&amp;INDEX('CONTROL MASTER'!$P$2:$P$495,(SUMPRODUCT((('CONTROL MASTER'!$S$2:$S$495=11)*('CONTROL MASTER'!$T$2:$T$495&lt;=8)*('CONTROL MASTER'!$V$2:$V$495&gt;=8)*('CONTROL MASTER'!$U$2:$U$495&lt;=3)*('CONTROL MASTER'!$W$2:$W$495&gt;=3))*ROW('CONTROL MASTER'!$S$2:$S$495))-(ROW('CONTROL MASTER'!#REF!)-1))),IF(SUMPRODUCT((('CONTROL MASTER'!$S$2:$S$495=11)*('CONTROL MASTER'!$Z$2:$Z$495&lt;=8)*('CONTROL MASTER'!$AB$2:$AB$495&gt;=8)*('CONTROL MASTER'!$AA$2:$AA$495&lt;=3)*('CONTROL MASTER'!$AC$2:$AC$495&gt;=3))*ROW('CONTROL MASTER'!$S$2:$S$495))&gt;0,INDEX('CONTROL MASTER'!$X$2:$X$495,(SUMPRODUCT((('CONTROL MASTER'!$S$2:$S$495=11)*('CONTROL MASTER'!$Z$2:$Z$495&lt;=8)*('CONTROL MASTER'!$AB$2:$AB$495&gt;=8)*('CONTROL MASTER'!$AA$2:$AA$495&lt;=3)*('CONTROL MASTER'!$AC$2:$AC$495&gt;=3))*ROW('CONTROL MASTER'!$S$2:$S$495))-(ROW('CONTROL MASTER'!#REF!)-1)))&amp;TRIM(MID(SUBSTITUTE(SUBSTITUTE(INDEX('CONTROL MASTER'!$N$2:$N$495,(SUMPRODUCT((('CONTROL MASTER'!$S$2:$S$495=11)*('CONTROL MASTER'!$Z$2:$Z$495&lt;=8)*('CONTROL MASTER'!$AB$2:$AB$495&gt;=8)*('CONTROL MASTER'!$AA$2:$AA$495&lt;=3)*('CONTROL MASTER'!$AC$2:$AC$495&gt;=3))*ROW('CONTROL MASTER'!$S$2:$S$495))-(ROW('CONTROL MASTER'!#REF!)-1))),":",","),",",REPT(" ",50)),(((INDEX('CONTROL MASTER'!$Y$2:$Y$495,(SUMPRODUCT((('CONTROL MASTER'!$S$2:$S$495=11)*('CONTROL MASTER'!$Z$2:$Z$495&lt;=8)*('CONTROL MASTER'!$AB$2:$AB$495&gt;=8)*('CONTROL MASTER'!$AA$2:$AA$495&lt;=3)*('CONTROL MASTER'!$AC$2:$AC$495&gt;=3))*ROW('CONTROL MASTER'!$S$2:$S$495))-(ROW('CONTROL MASTER'!#REF!)-1)))+((8-INDEX('CONTROL MASTER'!$Z$2:$Z$495,(SUMPRODUCT((('CONTROL MASTER'!$S$2:$S$495=11)*('CONTROL MASTER'!$Z$2:$Z$495&lt;=8)*('CONTROL MASTER'!$AB$2:$AB$495&gt;=8)*('CONTROL MASTER'!$AA$2:$AA$495&lt;=3)*('CONTROL MASTER'!$AC$2:$AC$495&gt;=3))*ROW('CONTROL MASTER'!$S$2:$S$495))-(ROW('CONTROL MASTER'!#REF!)-1))))*(INDEX('CONTROL MASTER'!$AC$2:$AC$495,(SUMPRODUCT((('CONTROL MASTER'!$S$2:$S$495=11)*('CONTROL MASTER'!$Z$2:$Z$495&lt;=8)*('CONTROL MASTER'!$AB$2:$AB$495&gt;=8)*('CONTROL MASTER'!$AA$2:$AA$495&lt;=3)*('CONTROL MASTER'!$AC$2:$AC$495&gt;=3))*ROW('CONTROL MASTER'!$S$2:$S$495))-(ROW('CONTROL MASTER'!#REF!)-1)))-INDEX('CONTROL MASTER'!$AA$2:$AA$495,(SUMPRODUCT((('CONTROL MASTER'!$S$2:$S$495=11)*('CONTROL MASTER'!$Z$2:$Z$495&lt;=8)*('CONTROL MASTER'!$AB$2:$AB$495&gt;=8)*('CONTROL MASTER'!$AA$2:$AA$495&lt;=3)*('CONTROL MASTER'!$AC$2:$AC$495&gt;=3))*ROW('CONTROL MASTER'!$S$2:$S$495))-(ROW('CONTROL MASTER'!#REF!)-1)))+1)+(3-INDEX('CONTROL MASTER'!$AA$2:$AA$495,(SUMPRODUCT((('CONTROL MASTER'!$S$2:$S$495=11)*('CONTROL MASTER'!$Z$2:$Z$495&lt;=8)*('CONTROL MASTER'!$AB$2:$AB$495&gt;=8)*('CONTROL MASTER'!$AA$2:$AA$495&lt;=3)*('CONTROL MASTER'!$AC$2:$AC$495&gt;=3))*ROW('CONTROL MASTER'!$S$2:$S$495))-(ROW('CONTROL MASTER'!#REF!)-1))))+1)))-1)*50+1,50))&amp;"_"&amp;INDEX('CONTROL MASTER'!$P$2:$P$495,(SUMPRODUCT((('CONTROL MASTER'!$S$2:$S$495=11)*('CONTROL MASTER'!$Z$2:$Z$495&lt;=8)*('CONTROL MASTER'!$AB$2:$AB$495&gt;=8)*('CONTROL MASTER'!$AA$2:$AA$495&lt;=3)*('CONTROL MASTER'!$AC$2:$AC$495&gt;=3))*ROW('CONTROL MASTER'!$S$2:$S$495))-(ROW('CONTROL MASTER'!#REF!)-1))),"")),"")</f>
        <v/>
      </c>
      <c r="E150" s="10" t="str">
        <f>IFERROR(IF(SUMPRODUCT((('CONTROL MASTER'!$S$2:$S$495=11)*('CONTROL MASTER'!$T$2:$T$495&lt;=8)*('CONTROL MASTER'!$V$2:$V$495&gt;=8)*('CONTROL MASTER'!$U$2:$U$495&lt;=4)*('CONTROL MASTER'!$W$2:$W$495&gt;=4))*ROW('CONTROL MASTER'!$S$2:$S$495))&gt;0,INDEX('CONTROL MASTER'!$X$2:$X$495,(SUMPRODUCT((('CONTROL MASTER'!$S$2:$S$495=11)*('CONTROL MASTER'!$T$2:$T$495&lt;=8)*('CONTROL MASTER'!$V$2:$V$495&gt;=8)*('CONTROL MASTER'!$U$2:$U$495&lt;=4)*('CONTROL MASTER'!$W$2:$W$495&gt;=4))*ROW('CONTROL MASTER'!$S$2:$S$495))-(ROW('CONTROL MASTER'!#REF!)-1)))&amp;TRIM(MID(SUBSTITUTE(SUBSTITUTE(INDEX('CONTROL MASTER'!$N$2:$N$495,(SUMPRODUCT((('CONTROL MASTER'!$S$2:$S$495=11)*('CONTROL MASTER'!$T$2:$T$495&lt;=8)*('CONTROL MASTER'!$V$2:$V$495&gt;=8)*('CONTROL MASTER'!$U$2:$U$495&lt;=4)*('CONTROL MASTER'!$W$2:$W$495&gt;=4))*ROW('CONTROL MASTER'!$S$2:$S$495))-(ROW('CONTROL MASTER'!#REF!)-1))),":",","),",",REPT(" ",50)),((((8-INDEX('CONTROL MASTER'!$T$2:$T$495,(SUMPRODUCT((('CONTROL MASTER'!$S$2:$S$495=11)*('CONTROL MASTER'!$T$2:$T$495&lt;=8)*('CONTROL MASTER'!$V$2:$V$495&gt;=8)*('CONTROL MASTER'!$U$2:$U$495&lt;=4)*('CONTROL MASTER'!$W$2:$W$495&gt;=4))*ROW('CONTROL MASTER'!$S$2:$S$495))-(ROW('CONTROL MASTER'!#REF!)-1))))*(INDEX('CONTROL MASTER'!$W$2:$W$495,(SUMPRODUCT((('CONTROL MASTER'!$S$2:$S$495=11)*('CONTROL MASTER'!$T$2:$T$495&lt;=8)*('CONTROL MASTER'!$V$2:$V$495&gt;=8)*('CONTROL MASTER'!$U$2:$U$495&lt;=4)*('CONTROL MASTER'!$W$2:$W$495&gt;=4))*ROW('CONTROL MASTER'!$S$2:$S$495))-(ROW('CONTROL MASTER'!#REF!)-1)))-INDEX('CONTROL MASTER'!$U$2:$U$495,(SUMPRODUCT((('CONTROL MASTER'!$S$2:$S$495=11)*('CONTROL MASTER'!$T$2:$T$495&lt;=8)*('CONTROL MASTER'!$V$2:$V$495&gt;=8)*('CONTROL MASTER'!$U$2:$U$495&lt;=4)*('CONTROL MASTER'!$W$2:$W$495&gt;=4))*ROW('CONTROL MASTER'!$S$2:$S$495))-(ROW('CONTROL MASTER'!#REF!)-1)))+1)+(4-INDEX('CONTROL MASTER'!$U$2:$U$495,(SUMPRODUCT((('CONTROL MASTER'!$S$2:$S$495=11)*('CONTROL MASTER'!$T$2:$T$495&lt;=8)*('CONTROL MASTER'!$V$2:$V$495&gt;=8)*('CONTROL MASTER'!$U$2:$U$495&lt;=4)*('CONTROL MASTER'!$W$2:$W$495&gt;=4))*ROW('CONTROL MASTER'!$S$2:$S$495))-(ROW('CONTROL MASTER'!#REF!)-1))))+1))-1)*50+1,50))&amp;"_"&amp;INDEX('CONTROL MASTER'!$P$2:$P$495,(SUMPRODUCT((('CONTROL MASTER'!$S$2:$S$495=11)*('CONTROL MASTER'!$T$2:$T$495&lt;=8)*('CONTROL MASTER'!$V$2:$V$495&gt;=8)*('CONTROL MASTER'!$U$2:$U$495&lt;=4)*('CONTROL MASTER'!$W$2:$W$495&gt;=4))*ROW('CONTROL MASTER'!$S$2:$S$495))-(ROW('CONTROL MASTER'!#REF!)-1))),IF(SUMPRODUCT((('CONTROL MASTER'!$S$2:$S$495=11)*('CONTROL MASTER'!$Z$2:$Z$495&lt;=8)*('CONTROL MASTER'!$AB$2:$AB$495&gt;=8)*('CONTROL MASTER'!$AA$2:$AA$495&lt;=4)*('CONTROL MASTER'!$AC$2:$AC$495&gt;=4))*ROW('CONTROL MASTER'!$S$2:$S$495))&gt;0,INDEX('CONTROL MASTER'!$X$2:$X$495,(SUMPRODUCT((('CONTROL MASTER'!$S$2:$S$495=11)*('CONTROL MASTER'!$Z$2:$Z$495&lt;=8)*('CONTROL MASTER'!$AB$2:$AB$495&gt;=8)*('CONTROL MASTER'!$AA$2:$AA$495&lt;=4)*('CONTROL MASTER'!$AC$2:$AC$495&gt;=4))*ROW('CONTROL MASTER'!$S$2:$S$495))-(ROW('CONTROL MASTER'!#REF!)-1)))&amp;TRIM(MID(SUBSTITUTE(SUBSTITUTE(INDEX('CONTROL MASTER'!$N$2:$N$495,(SUMPRODUCT((('CONTROL MASTER'!$S$2:$S$495=11)*('CONTROL MASTER'!$Z$2:$Z$495&lt;=8)*('CONTROL MASTER'!$AB$2:$AB$495&gt;=8)*('CONTROL MASTER'!$AA$2:$AA$495&lt;=4)*('CONTROL MASTER'!$AC$2:$AC$495&gt;=4))*ROW('CONTROL MASTER'!$S$2:$S$495))-(ROW('CONTROL MASTER'!#REF!)-1))),":",","),",",REPT(" ",50)),(((INDEX('CONTROL MASTER'!$Y$2:$Y$495,(SUMPRODUCT((('CONTROL MASTER'!$S$2:$S$495=11)*('CONTROL MASTER'!$Z$2:$Z$495&lt;=8)*('CONTROL MASTER'!$AB$2:$AB$495&gt;=8)*('CONTROL MASTER'!$AA$2:$AA$495&lt;=4)*('CONTROL MASTER'!$AC$2:$AC$495&gt;=4))*ROW('CONTROL MASTER'!$S$2:$S$495))-(ROW('CONTROL MASTER'!#REF!)-1)))+((8-INDEX('CONTROL MASTER'!$Z$2:$Z$495,(SUMPRODUCT((('CONTROL MASTER'!$S$2:$S$495=11)*('CONTROL MASTER'!$Z$2:$Z$495&lt;=8)*('CONTROL MASTER'!$AB$2:$AB$495&gt;=8)*('CONTROL MASTER'!$AA$2:$AA$495&lt;=4)*('CONTROL MASTER'!$AC$2:$AC$495&gt;=4))*ROW('CONTROL MASTER'!$S$2:$S$495))-(ROW('CONTROL MASTER'!#REF!)-1))))*(INDEX('CONTROL MASTER'!$AC$2:$AC$495,(SUMPRODUCT((('CONTROL MASTER'!$S$2:$S$495=11)*('CONTROL MASTER'!$Z$2:$Z$495&lt;=8)*('CONTROL MASTER'!$AB$2:$AB$495&gt;=8)*('CONTROL MASTER'!$AA$2:$AA$495&lt;=4)*('CONTROL MASTER'!$AC$2:$AC$495&gt;=4))*ROW('CONTROL MASTER'!$S$2:$S$495))-(ROW('CONTROL MASTER'!#REF!)-1)))-INDEX('CONTROL MASTER'!$AA$2:$AA$495,(SUMPRODUCT((('CONTROL MASTER'!$S$2:$S$495=11)*('CONTROL MASTER'!$Z$2:$Z$495&lt;=8)*('CONTROL MASTER'!$AB$2:$AB$495&gt;=8)*('CONTROL MASTER'!$AA$2:$AA$495&lt;=4)*('CONTROL MASTER'!$AC$2:$AC$495&gt;=4))*ROW('CONTROL MASTER'!$S$2:$S$495))-(ROW('CONTROL MASTER'!#REF!)-1)))+1)+(4-INDEX('CONTROL MASTER'!$AA$2:$AA$495,(SUMPRODUCT((('CONTROL MASTER'!$S$2:$S$495=11)*('CONTROL MASTER'!$Z$2:$Z$495&lt;=8)*('CONTROL MASTER'!$AB$2:$AB$495&gt;=8)*('CONTROL MASTER'!$AA$2:$AA$495&lt;=4)*('CONTROL MASTER'!$AC$2:$AC$495&gt;=4))*ROW('CONTROL MASTER'!$S$2:$S$495))-(ROW('CONTROL MASTER'!#REF!)-1))))+1)))-1)*50+1,50))&amp;"_"&amp;INDEX('CONTROL MASTER'!$P$2:$P$495,(SUMPRODUCT((('CONTROL MASTER'!$S$2:$S$495=11)*('CONTROL MASTER'!$Z$2:$Z$495&lt;=8)*('CONTROL MASTER'!$AB$2:$AB$495&gt;=8)*('CONTROL MASTER'!$AA$2:$AA$495&lt;=4)*('CONTROL MASTER'!$AC$2:$AC$495&gt;=4))*ROW('CONTROL MASTER'!$S$2:$S$495))-(ROW('CONTROL MASTER'!#REF!)-1))),"")),"")</f>
        <v/>
      </c>
      <c r="F150" s="10" t="str">
        <f>IFERROR(IF(SUMPRODUCT((('CONTROL MASTER'!$S$2:$S$495=11)*('CONTROL MASTER'!$T$2:$T$495&lt;=8)*('CONTROL MASTER'!$V$2:$V$495&gt;=8)*('CONTROL MASTER'!$U$2:$U$495&lt;=5)*('CONTROL MASTER'!$W$2:$W$495&gt;=5))*ROW('CONTROL MASTER'!$S$2:$S$495))&gt;0,INDEX('CONTROL MASTER'!$X$2:$X$495,(SUMPRODUCT((('CONTROL MASTER'!$S$2:$S$495=11)*('CONTROL MASTER'!$T$2:$T$495&lt;=8)*('CONTROL MASTER'!$V$2:$V$495&gt;=8)*('CONTROL MASTER'!$U$2:$U$495&lt;=5)*('CONTROL MASTER'!$W$2:$W$495&gt;=5))*ROW('CONTROL MASTER'!$S$2:$S$495))-(ROW('CONTROL MASTER'!#REF!)-1)))&amp;TRIM(MID(SUBSTITUTE(SUBSTITUTE(INDEX('CONTROL MASTER'!$N$2:$N$495,(SUMPRODUCT((('CONTROL MASTER'!$S$2:$S$495=11)*('CONTROL MASTER'!$T$2:$T$495&lt;=8)*('CONTROL MASTER'!$V$2:$V$495&gt;=8)*('CONTROL MASTER'!$U$2:$U$495&lt;=5)*('CONTROL MASTER'!$W$2:$W$495&gt;=5))*ROW('CONTROL MASTER'!$S$2:$S$495))-(ROW('CONTROL MASTER'!#REF!)-1))),":",","),",",REPT(" ",50)),((((8-INDEX('CONTROL MASTER'!$T$2:$T$495,(SUMPRODUCT((('CONTROL MASTER'!$S$2:$S$495=11)*('CONTROL MASTER'!$T$2:$T$495&lt;=8)*('CONTROL MASTER'!$V$2:$V$495&gt;=8)*('CONTROL MASTER'!$U$2:$U$495&lt;=5)*('CONTROL MASTER'!$W$2:$W$495&gt;=5))*ROW('CONTROL MASTER'!$S$2:$S$495))-(ROW('CONTROL MASTER'!#REF!)-1))))*(INDEX('CONTROL MASTER'!$W$2:$W$495,(SUMPRODUCT((('CONTROL MASTER'!$S$2:$S$495=11)*('CONTROL MASTER'!$T$2:$T$495&lt;=8)*('CONTROL MASTER'!$V$2:$V$495&gt;=8)*('CONTROL MASTER'!$U$2:$U$495&lt;=5)*('CONTROL MASTER'!$W$2:$W$495&gt;=5))*ROW('CONTROL MASTER'!$S$2:$S$495))-(ROW('CONTROL MASTER'!#REF!)-1)))-INDEX('CONTROL MASTER'!$U$2:$U$495,(SUMPRODUCT((('CONTROL MASTER'!$S$2:$S$495=11)*('CONTROL MASTER'!$T$2:$T$495&lt;=8)*('CONTROL MASTER'!$V$2:$V$495&gt;=8)*('CONTROL MASTER'!$U$2:$U$495&lt;=5)*('CONTROL MASTER'!$W$2:$W$495&gt;=5))*ROW('CONTROL MASTER'!$S$2:$S$495))-(ROW('CONTROL MASTER'!#REF!)-1)))+1)+(5-INDEX('CONTROL MASTER'!$U$2:$U$495,(SUMPRODUCT((('CONTROL MASTER'!$S$2:$S$495=11)*('CONTROL MASTER'!$T$2:$T$495&lt;=8)*('CONTROL MASTER'!$V$2:$V$495&gt;=8)*('CONTROL MASTER'!$U$2:$U$495&lt;=5)*('CONTROL MASTER'!$W$2:$W$495&gt;=5))*ROW('CONTROL MASTER'!$S$2:$S$495))-(ROW('CONTROL MASTER'!#REF!)-1))))+1))-1)*50+1,50))&amp;"_"&amp;INDEX('CONTROL MASTER'!$P$2:$P$495,(SUMPRODUCT((('CONTROL MASTER'!$S$2:$S$495=11)*('CONTROL MASTER'!$T$2:$T$495&lt;=8)*('CONTROL MASTER'!$V$2:$V$495&gt;=8)*('CONTROL MASTER'!$U$2:$U$495&lt;=5)*('CONTROL MASTER'!$W$2:$W$495&gt;=5))*ROW('CONTROL MASTER'!$S$2:$S$495))-(ROW('CONTROL MASTER'!#REF!)-1))),IF(SUMPRODUCT((('CONTROL MASTER'!$S$2:$S$495=11)*('CONTROL MASTER'!$Z$2:$Z$495&lt;=8)*('CONTROL MASTER'!$AB$2:$AB$495&gt;=8)*('CONTROL MASTER'!$AA$2:$AA$495&lt;=5)*('CONTROL MASTER'!$AC$2:$AC$495&gt;=5))*ROW('CONTROL MASTER'!$S$2:$S$495))&gt;0,INDEX('CONTROL MASTER'!$X$2:$X$495,(SUMPRODUCT((('CONTROL MASTER'!$S$2:$S$495=11)*('CONTROL MASTER'!$Z$2:$Z$495&lt;=8)*('CONTROL MASTER'!$AB$2:$AB$495&gt;=8)*('CONTROL MASTER'!$AA$2:$AA$495&lt;=5)*('CONTROL MASTER'!$AC$2:$AC$495&gt;=5))*ROW('CONTROL MASTER'!$S$2:$S$495))-(ROW('CONTROL MASTER'!#REF!)-1)))&amp;TRIM(MID(SUBSTITUTE(SUBSTITUTE(INDEX('CONTROL MASTER'!$N$2:$N$495,(SUMPRODUCT((('CONTROL MASTER'!$S$2:$S$495=11)*('CONTROL MASTER'!$Z$2:$Z$495&lt;=8)*('CONTROL MASTER'!$AB$2:$AB$495&gt;=8)*('CONTROL MASTER'!$AA$2:$AA$495&lt;=5)*('CONTROL MASTER'!$AC$2:$AC$495&gt;=5))*ROW('CONTROL MASTER'!$S$2:$S$495))-(ROW('CONTROL MASTER'!#REF!)-1))),":",","),",",REPT(" ",50)),(((INDEX('CONTROL MASTER'!$Y$2:$Y$495,(SUMPRODUCT((('CONTROL MASTER'!$S$2:$S$495=11)*('CONTROL MASTER'!$Z$2:$Z$495&lt;=8)*('CONTROL MASTER'!$AB$2:$AB$495&gt;=8)*('CONTROL MASTER'!$AA$2:$AA$495&lt;=5)*('CONTROL MASTER'!$AC$2:$AC$495&gt;=5))*ROW('CONTROL MASTER'!$S$2:$S$495))-(ROW('CONTROL MASTER'!#REF!)-1)))+((8-INDEX('CONTROL MASTER'!$Z$2:$Z$495,(SUMPRODUCT((('CONTROL MASTER'!$S$2:$S$495=11)*('CONTROL MASTER'!$Z$2:$Z$495&lt;=8)*('CONTROL MASTER'!$AB$2:$AB$495&gt;=8)*('CONTROL MASTER'!$AA$2:$AA$495&lt;=5)*('CONTROL MASTER'!$AC$2:$AC$495&gt;=5))*ROW('CONTROL MASTER'!$S$2:$S$495))-(ROW('CONTROL MASTER'!#REF!)-1))))*(INDEX('CONTROL MASTER'!$AC$2:$AC$495,(SUMPRODUCT((('CONTROL MASTER'!$S$2:$S$495=11)*('CONTROL MASTER'!$Z$2:$Z$495&lt;=8)*('CONTROL MASTER'!$AB$2:$AB$495&gt;=8)*('CONTROL MASTER'!$AA$2:$AA$495&lt;=5)*('CONTROL MASTER'!$AC$2:$AC$495&gt;=5))*ROW('CONTROL MASTER'!$S$2:$S$495))-(ROW('CONTROL MASTER'!#REF!)-1)))-INDEX('CONTROL MASTER'!$AA$2:$AA$495,(SUMPRODUCT((('CONTROL MASTER'!$S$2:$S$495=11)*('CONTROL MASTER'!$Z$2:$Z$495&lt;=8)*('CONTROL MASTER'!$AB$2:$AB$495&gt;=8)*('CONTROL MASTER'!$AA$2:$AA$495&lt;=5)*('CONTROL MASTER'!$AC$2:$AC$495&gt;=5))*ROW('CONTROL MASTER'!$S$2:$S$495))-(ROW('CONTROL MASTER'!#REF!)-1)))+1)+(5-INDEX('CONTROL MASTER'!$AA$2:$AA$495,(SUMPRODUCT((('CONTROL MASTER'!$S$2:$S$495=11)*('CONTROL MASTER'!$Z$2:$Z$495&lt;=8)*('CONTROL MASTER'!$AB$2:$AB$495&gt;=8)*('CONTROL MASTER'!$AA$2:$AA$495&lt;=5)*('CONTROL MASTER'!$AC$2:$AC$495&gt;=5))*ROW('CONTROL MASTER'!$S$2:$S$495))-(ROW('CONTROL MASTER'!#REF!)-1))))+1)))-1)*50+1,50))&amp;"_"&amp;INDEX('CONTROL MASTER'!$P$2:$P$495,(SUMPRODUCT((('CONTROL MASTER'!$S$2:$S$495=11)*('CONTROL MASTER'!$Z$2:$Z$495&lt;=8)*('CONTROL MASTER'!$AB$2:$AB$495&gt;=8)*('CONTROL MASTER'!$AA$2:$AA$495&lt;=5)*('CONTROL MASTER'!$AC$2:$AC$495&gt;=5))*ROW('CONTROL MASTER'!$S$2:$S$495))-(ROW('CONTROL MASTER'!#REF!)-1))),"")),"")</f>
        <v/>
      </c>
      <c r="G150" s="10" t="str">
        <f>IFERROR(IF(SUMPRODUCT((('CONTROL MASTER'!$S$2:$S$495=11)*('CONTROL MASTER'!$T$2:$T$495&lt;=8)*('CONTROL MASTER'!$V$2:$V$495&gt;=8)*('CONTROL MASTER'!$U$2:$U$495&lt;=6)*('CONTROL MASTER'!$W$2:$W$495&gt;=6))*ROW('CONTROL MASTER'!$S$2:$S$495))&gt;0,INDEX('CONTROL MASTER'!$X$2:$X$495,(SUMPRODUCT((('CONTROL MASTER'!$S$2:$S$495=11)*('CONTROL MASTER'!$T$2:$T$495&lt;=8)*('CONTROL MASTER'!$V$2:$V$495&gt;=8)*('CONTROL MASTER'!$U$2:$U$495&lt;=6)*('CONTROL MASTER'!$W$2:$W$495&gt;=6))*ROW('CONTROL MASTER'!$S$2:$S$495))-(ROW('CONTROL MASTER'!#REF!)-1)))&amp;TRIM(MID(SUBSTITUTE(SUBSTITUTE(INDEX('CONTROL MASTER'!$N$2:$N$495,(SUMPRODUCT((('CONTROL MASTER'!$S$2:$S$495=11)*('CONTROL MASTER'!$T$2:$T$495&lt;=8)*('CONTROL MASTER'!$V$2:$V$495&gt;=8)*('CONTROL MASTER'!$U$2:$U$495&lt;=6)*('CONTROL MASTER'!$W$2:$W$495&gt;=6))*ROW('CONTROL MASTER'!$S$2:$S$495))-(ROW('CONTROL MASTER'!#REF!)-1))),":",","),",",REPT(" ",50)),((((8-INDEX('CONTROL MASTER'!$T$2:$T$495,(SUMPRODUCT((('CONTROL MASTER'!$S$2:$S$495=11)*('CONTROL MASTER'!$T$2:$T$495&lt;=8)*('CONTROL MASTER'!$V$2:$V$495&gt;=8)*('CONTROL MASTER'!$U$2:$U$495&lt;=6)*('CONTROL MASTER'!$W$2:$W$495&gt;=6))*ROW('CONTROL MASTER'!$S$2:$S$495))-(ROW('CONTROL MASTER'!#REF!)-1))))*(INDEX('CONTROL MASTER'!$W$2:$W$495,(SUMPRODUCT((('CONTROL MASTER'!$S$2:$S$495=11)*('CONTROL MASTER'!$T$2:$T$495&lt;=8)*('CONTROL MASTER'!$V$2:$V$495&gt;=8)*('CONTROL MASTER'!$U$2:$U$495&lt;=6)*('CONTROL MASTER'!$W$2:$W$495&gt;=6))*ROW('CONTROL MASTER'!$S$2:$S$495))-(ROW('CONTROL MASTER'!#REF!)-1)))-INDEX('CONTROL MASTER'!$U$2:$U$495,(SUMPRODUCT((('CONTROL MASTER'!$S$2:$S$495=11)*('CONTROL MASTER'!$T$2:$T$495&lt;=8)*('CONTROL MASTER'!$V$2:$V$495&gt;=8)*('CONTROL MASTER'!$U$2:$U$495&lt;=6)*('CONTROL MASTER'!$W$2:$W$495&gt;=6))*ROW('CONTROL MASTER'!$S$2:$S$495))-(ROW('CONTROL MASTER'!#REF!)-1)))+1)+(6-INDEX('CONTROL MASTER'!$U$2:$U$495,(SUMPRODUCT((('CONTROL MASTER'!$S$2:$S$495=11)*('CONTROL MASTER'!$T$2:$T$495&lt;=8)*('CONTROL MASTER'!$V$2:$V$495&gt;=8)*('CONTROL MASTER'!$U$2:$U$495&lt;=6)*('CONTROL MASTER'!$W$2:$W$495&gt;=6))*ROW('CONTROL MASTER'!$S$2:$S$495))-(ROW('CONTROL MASTER'!#REF!)-1))))+1))-1)*50+1,50))&amp;"_"&amp;INDEX('CONTROL MASTER'!$P$2:$P$495,(SUMPRODUCT((('CONTROL MASTER'!$S$2:$S$495=11)*('CONTROL MASTER'!$T$2:$T$495&lt;=8)*('CONTROL MASTER'!$V$2:$V$495&gt;=8)*('CONTROL MASTER'!$U$2:$U$495&lt;=6)*('CONTROL MASTER'!$W$2:$W$495&gt;=6))*ROW('CONTROL MASTER'!$S$2:$S$495))-(ROW('CONTROL MASTER'!#REF!)-1))),IF(SUMPRODUCT((('CONTROL MASTER'!$S$2:$S$495=11)*('CONTROL MASTER'!$Z$2:$Z$495&lt;=8)*('CONTROL MASTER'!$AB$2:$AB$495&gt;=8)*('CONTROL MASTER'!$AA$2:$AA$495&lt;=6)*('CONTROL MASTER'!$AC$2:$AC$495&gt;=6))*ROW('CONTROL MASTER'!$S$2:$S$495))&gt;0,INDEX('CONTROL MASTER'!$X$2:$X$495,(SUMPRODUCT((('CONTROL MASTER'!$S$2:$S$495=11)*('CONTROL MASTER'!$Z$2:$Z$495&lt;=8)*('CONTROL MASTER'!$AB$2:$AB$495&gt;=8)*('CONTROL MASTER'!$AA$2:$AA$495&lt;=6)*('CONTROL MASTER'!$AC$2:$AC$495&gt;=6))*ROW('CONTROL MASTER'!$S$2:$S$495))-(ROW('CONTROL MASTER'!#REF!)-1)))&amp;TRIM(MID(SUBSTITUTE(SUBSTITUTE(INDEX('CONTROL MASTER'!$N$2:$N$495,(SUMPRODUCT((('CONTROL MASTER'!$S$2:$S$495=11)*('CONTROL MASTER'!$Z$2:$Z$495&lt;=8)*('CONTROL MASTER'!$AB$2:$AB$495&gt;=8)*('CONTROL MASTER'!$AA$2:$AA$495&lt;=6)*('CONTROL MASTER'!$AC$2:$AC$495&gt;=6))*ROW('CONTROL MASTER'!$S$2:$S$495))-(ROW('CONTROL MASTER'!#REF!)-1))),":",","),",",REPT(" ",50)),(((INDEX('CONTROL MASTER'!$Y$2:$Y$495,(SUMPRODUCT((('CONTROL MASTER'!$S$2:$S$495=11)*('CONTROL MASTER'!$Z$2:$Z$495&lt;=8)*('CONTROL MASTER'!$AB$2:$AB$495&gt;=8)*('CONTROL MASTER'!$AA$2:$AA$495&lt;=6)*('CONTROL MASTER'!$AC$2:$AC$495&gt;=6))*ROW('CONTROL MASTER'!$S$2:$S$495))-(ROW('CONTROL MASTER'!#REF!)-1)))+((8-INDEX('CONTROL MASTER'!$Z$2:$Z$495,(SUMPRODUCT((('CONTROL MASTER'!$S$2:$S$495=11)*('CONTROL MASTER'!$Z$2:$Z$495&lt;=8)*('CONTROL MASTER'!$AB$2:$AB$495&gt;=8)*('CONTROL MASTER'!$AA$2:$AA$495&lt;=6)*('CONTROL MASTER'!$AC$2:$AC$495&gt;=6))*ROW('CONTROL MASTER'!$S$2:$S$495))-(ROW('CONTROL MASTER'!#REF!)-1))))*(INDEX('CONTROL MASTER'!$AC$2:$AC$495,(SUMPRODUCT((('CONTROL MASTER'!$S$2:$S$495=11)*('CONTROL MASTER'!$Z$2:$Z$495&lt;=8)*('CONTROL MASTER'!$AB$2:$AB$495&gt;=8)*('CONTROL MASTER'!$AA$2:$AA$495&lt;=6)*('CONTROL MASTER'!$AC$2:$AC$495&gt;=6))*ROW('CONTROL MASTER'!$S$2:$S$495))-(ROW('CONTROL MASTER'!#REF!)-1)))-INDEX('CONTROL MASTER'!$AA$2:$AA$495,(SUMPRODUCT((('CONTROL MASTER'!$S$2:$S$495=11)*('CONTROL MASTER'!$Z$2:$Z$495&lt;=8)*('CONTROL MASTER'!$AB$2:$AB$495&gt;=8)*('CONTROL MASTER'!$AA$2:$AA$495&lt;=6)*('CONTROL MASTER'!$AC$2:$AC$495&gt;=6))*ROW('CONTROL MASTER'!$S$2:$S$495))-(ROW('CONTROL MASTER'!#REF!)-1)))+1)+(6-INDEX('CONTROL MASTER'!$AA$2:$AA$495,(SUMPRODUCT((('CONTROL MASTER'!$S$2:$S$495=11)*('CONTROL MASTER'!$Z$2:$Z$495&lt;=8)*('CONTROL MASTER'!$AB$2:$AB$495&gt;=8)*('CONTROL MASTER'!$AA$2:$AA$495&lt;=6)*('CONTROL MASTER'!$AC$2:$AC$495&gt;=6))*ROW('CONTROL MASTER'!$S$2:$S$495))-(ROW('CONTROL MASTER'!#REF!)-1))))+1)))-1)*50+1,50))&amp;"_"&amp;INDEX('CONTROL MASTER'!$P$2:$P$495,(SUMPRODUCT((('CONTROL MASTER'!$S$2:$S$495=11)*('CONTROL MASTER'!$Z$2:$Z$495&lt;=8)*('CONTROL MASTER'!$AB$2:$AB$495&gt;=8)*('CONTROL MASTER'!$AA$2:$AA$495&lt;=6)*('CONTROL MASTER'!$AC$2:$AC$495&gt;=6))*ROW('CONTROL MASTER'!$S$2:$S$495))-(ROW('CONTROL MASTER'!#REF!)-1))),"")),"")</f>
        <v/>
      </c>
      <c r="H150" s="10" t="str">
        <f>IFERROR(IF(SUMPRODUCT((('CONTROL MASTER'!$S$2:$S$495=11)*('CONTROL MASTER'!$T$2:$T$495&lt;=8)*('CONTROL MASTER'!$V$2:$V$495&gt;=8)*('CONTROL MASTER'!$U$2:$U$495&lt;=7)*('CONTROL MASTER'!$W$2:$W$495&gt;=7))*ROW('CONTROL MASTER'!$S$2:$S$495))&gt;0,INDEX('CONTROL MASTER'!$X$2:$X$495,(SUMPRODUCT((('CONTROL MASTER'!$S$2:$S$495=11)*('CONTROL MASTER'!$T$2:$T$495&lt;=8)*('CONTROL MASTER'!$V$2:$V$495&gt;=8)*('CONTROL MASTER'!$U$2:$U$495&lt;=7)*('CONTROL MASTER'!$W$2:$W$495&gt;=7))*ROW('CONTROL MASTER'!$S$2:$S$495))-(ROW('CONTROL MASTER'!#REF!)-1)))&amp;TRIM(MID(SUBSTITUTE(SUBSTITUTE(INDEX('CONTROL MASTER'!$N$2:$N$495,(SUMPRODUCT((('CONTROL MASTER'!$S$2:$S$495=11)*('CONTROL MASTER'!$T$2:$T$495&lt;=8)*('CONTROL MASTER'!$V$2:$V$495&gt;=8)*('CONTROL MASTER'!$U$2:$U$495&lt;=7)*('CONTROL MASTER'!$W$2:$W$495&gt;=7))*ROW('CONTROL MASTER'!$S$2:$S$495))-(ROW('CONTROL MASTER'!#REF!)-1))),":",","),",",REPT(" ",50)),((((8-INDEX('CONTROL MASTER'!$T$2:$T$495,(SUMPRODUCT((('CONTROL MASTER'!$S$2:$S$495=11)*('CONTROL MASTER'!$T$2:$T$495&lt;=8)*('CONTROL MASTER'!$V$2:$V$495&gt;=8)*('CONTROL MASTER'!$U$2:$U$495&lt;=7)*('CONTROL MASTER'!$W$2:$W$495&gt;=7))*ROW('CONTROL MASTER'!$S$2:$S$495))-(ROW('CONTROL MASTER'!#REF!)-1))))*(INDEX('CONTROL MASTER'!$W$2:$W$495,(SUMPRODUCT((('CONTROL MASTER'!$S$2:$S$495=11)*('CONTROL MASTER'!$T$2:$T$495&lt;=8)*('CONTROL MASTER'!$V$2:$V$495&gt;=8)*('CONTROL MASTER'!$U$2:$U$495&lt;=7)*('CONTROL MASTER'!$W$2:$W$495&gt;=7))*ROW('CONTROL MASTER'!$S$2:$S$495))-(ROW('CONTROL MASTER'!#REF!)-1)))-INDEX('CONTROL MASTER'!$U$2:$U$495,(SUMPRODUCT((('CONTROL MASTER'!$S$2:$S$495=11)*('CONTROL MASTER'!$T$2:$T$495&lt;=8)*('CONTROL MASTER'!$V$2:$V$495&gt;=8)*('CONTROL MASTER'!$U$2:$U$495&lt;=7)*('CONTROL MASTER'!$W$2:$W$495&gt;=7))*ROW('CONTROL MASTER'!$S$2:$S$495))-(ROW('CONTROL MASTER'!#REF!)-1)))+1)+(7-INDEX('CONTROL MASTER'!$U$2:$U$495,(SUMPRODUCT((('CONTROL MASTER'!$S$2:$S$495=11)*('CONTROL MASTER'!$T$2:$T$495&lt;=8)*('CONTROL MASTER'!$V$2:$V$495&gt;=8)*('CONTROL MASTER'!$U$2:$U$495&lt;=7)*('CONTROL MASTER'!$W$2:$W$495&gt;=7))*ROW('CONTROL MASTER'!$S$2:$S$495))-(ROW('CONTROL MASTER'!#REF!)-1))))+1))-1)*50+1,50))&amp;"_"&amp;INDEX('CONTROL MASTER'!$P$2:$P$495,(SUMPRODUCT((('CONTROL MASTER'!$S$2:$S$495=11)*('CONTROL MASTER'!$T$2:$T$495&lt;=8)*('CONTROL MASTER'!$V$2:$V$495&gt;=8)*('CONTROL MASTER'!$U$2:$U$495&lt;=7)*('CONTROL MASTER'!$W$2:$W$495&gt;=7))*ROW('CONTROL MASTER'!$S$2:$S$495))-(ROW('CONTROL MASTER'!#REF!)-1))),IF(SUMPRODUCT((('CONTROL MASTER'!$S$2:$S$495=11)*('CONTROL MASTER'!$Z$2:$Z$495&lt;=8)*('CONTROL MASTER'!$AB$2:$AB$495&gt;=8)*('CONTROL MASTER'!$AA$2:$AA$495&lt;=7)*('CONTROL MASTER'!$AC$2:$AC$495&gt;=7))*ROW('CONTROL MASTER'!$S$2:$S$495))&gt;0,INDEX('CONTROL MASTER'!$X$2:$X$495,(SUMPRODUCT((('CONTROL MASTER'!$S$2:$S$495=11)*('CONTROL MASTER'!$Z$2:$Z$495&lt;=8)*('CONTROL MASTER'!$AB$2:$AB$495&gt;=8)*('CONTROL MASTER'!$AA$2:$AA$495&lt;=7)*('CONTROL MASTER'!$AC$2:$AC$495&gt;=7))*ROW('CONTROL MASTER'!$S$2:$S$495))-(ROW('CONTROL MASTER'!#REF!)-1)))&amp;TRIM(MID(SUBSTITUTE(SUBSTITUTE(INDEX('CONTROL MASTER'!$N$2:$N$495,(SUMPRODUCT((('CONTROL MASTER'!$S$2:$S$495=11)*('CONTROL MASTER'!$Z$2:$Z$495&lt;=8)*('CONTROL MASTER'!$AB$2:$AB$495&gt;=8)*('CONTROL MASTER'!$AA$2:$AA$495&lt;=7)*('CONTROL MASTER'!$AC$2:$AC$495&gt;=7))*ROW('CONTROL MASTER'!$S$2:$S$495))-(ROW('CONTROL MASTER'!#REF!)-1))),":",","),",",REPT(" ",50)),(((INDEX('CONTROL MASTER'!$Y$2:$Y$495,(SUMPRODUCT((('CONTROL MASTER'!$S$2:$S$495=11)*('CONTROL MASTER'!$Z$2:$Z$495&lt;=8)*('CONTROL MASTER'!$AB$2:$AB$495&gt;=8)*('CONTROL MASTER'!$AA$2:$AA$495&lt;=7)*('CONTROL MASTER'!$AC$2:$AC$495&gt;=7))*ROW('CONTROL MASTER'!$S$2:$S$495))-(ROW('CONTROL MASTER'!#REF!)-1)))+((8-INDEX('CONTROL MASTER'!$Z$2:$Z$495,(SUMPRODUCT((('CONTROL MASTER'!$S$2:$S$495=11)*('CONTROL MASTER'!$Z$2:$Z$495&lt;=8)*('CONTROL MASTER'!$AB$2:$AB$495&gt;=8)*('CONTROL MASTER'!$AA$2:$AA$495&lt;=7)*('CONTROL MASTER'!$AC$2:$AC$495&gt;=7))*ROW('CONTROL MASTER'!$S$2:$S$495))-(ROW('CONTROL MASTER'!#REF!)-1))))*(INDEX('CONTROL MASTER'!$AC$2:$AC$495,(SUMPRODUCT((('CONTROL MASTER'!$S$2:$S$495=11)*('CONTROL MASTER'!$Z$2:$Z$495&lt;=8)*('CONTROL MASTER'!$AB$2:$AB$495&gt;=8)*('CONTROL MASTER'!$AA$2:$AA$495&lt;=7)*('CONTROL MASTER'!$AC$2:$AC$495&gt;=7))*ROW('CONTROL MASTER'!$S$2:$S$495))-(ROW('CONTROL MASTER'!#REF!)-1)))-INDEX('CONTROL MASTER'!$AA$2:$AA$495,(SUMPRODUCT((('CONTROL MASTER'!$S$2:$S$495=11)*('CONTROL MASTER'!$Z$2:$Z$495&lt;=8)*('CONTROL MASTER'!$AB$2:$AB$495&gt;=8)*('CONTROL MASTER'!$AA$2:$AA$495&lt;=7)*('CONTROL MASTER'!$AC$2:$AC$495&gt;=7))*ROW('CONTROL MASTER'!$S$2:$S$495))-(ROW('CONTROL MASTER'!#REF!)-1)))+1)+(7-INDEX('CONTROL MASTER'!$AA$2:$AA$495,(SUMPRODUCT((('CONTROL MASTER'!$S$2:$S$495=11)*('CONTROL MASTER'!$Z$2:$Z$495&lt;=8)*('CONTROL MASTER'!$AB$2:$AB$495&gt;=8)*('CONTROL MASTER'!$AA$2:$AA$495&lt;=7)*('CONTROL MASTER'!$AC$2:$AC$495&gt;=7))*ROW('CONTROL MASTER'!$S$2:$S$495))-(ROW('CONTROL MASTER'!#REF!)-1))))+1)))-1)*50+1,50))&amp;"_"&amp;INDEX('CONTROL MASTER'!$P$2:$P$495,(SUMPRODUCT((('CONTROL MASTER'!$S$2:$S$495=11)*('CONTROL MASTER'!$Z$2:$Z$495&lt;=8)*('CONTROL MASTER'!$AB$2:$AB$495&gt;=8)*('CONTROL MASTER'!$AA$2:$AA$495&lt;=7)*('CONTROL MASTER'!$AC$2:$AC$495&gt;=7))*ROW('CONTROL MASTER'!$S$2:$S$495))-(ROW('CONTROL MASTER'!#REF!)-1))),"")),"")</f>
        <v/>
      </c>
      <c r="I150" s="10" t="str">
        <f>IFERROR(IF(SUMPRODUCT((('CONTROL MASTER'!$S$2:$S$495=11)*('CONTROL MASTER'!$T$2:$T$495&lt;=8)*('CONTROL MASTER'!$V$2:$V$495&gt;=8)*('CONTROL MASTER'!$U$2:$U$495&lt;=8)*('CONTROL MASTER'!$W$2:$W$495&gt;=8))*ROW('CONTROL MASTER'!$S$2:$S$495))&gt;0,INDEX('CONTROL MASTER'!$X$2:$X$495,(SUMPRODUCT((('CONTROL MASTER'!$S$2:$S$495=11)*('CONTROL MASTER'!$T$2:$T$495&lt;=8)*('CONTROL MASTER'!$V$2:$V$495&gt;=8)*('CONTROL MASTER'!$U$2:$U$495&lt;=8)*('CONTROL MASTER'!$W$2:$W$495&gt;=8))*ROW('CONTROL MASTER'!$S$2:$S$495))-(ROW('CONTROL MASTER'!#REF!)-1)))&amp;TRIM(MID(SUBSTITUTE(SUBSTITUTE(INDEX('CONTROL MASTER'!$N$2:$N$495,(SUMPRODUCT((('CONTROL MASTER'!$S$2:$S$495=11)*('CONTROL MASTER'!$T$2:$T$495&lt;=8)*('CONTROL MASTER'!$V$2:$V$495&gt;=8)*('CONTROL MASTER'!$U$2:$U$495&lt;=8)*('CONTROL MASTER'!$W$2:$W$495&gt;=8))*ROW('CONTROL MASTER'!$S$2:$S$495))-(ROW('CONTROL MASTER'!#REF!)-1))),":",","),",",REPT(" ",50)),((((8-INDEX('CONTROL MASTER'!$T$2:$T$495,(SUMPRODUCT((('CONTROL MASTER'!$S$2:$S$495=11)*('CONTROL MASTER'!$T$2:$T$495&lt;=8)*('CONTROL MASTER'!$V$2:$V$495&gt;=8)*('CONTROL MASTER'!$U$2:$U$495&lt;=8)*('CONTROL MASTER'!$W$2:$W$495&gt;=8))*ROW('CONTROL MASTER'!$S$2:$S$495))-(ROW('CONTROL MASTER'!#REF!)-1))))*(INDEX('CONTROL MASTER'!$W$2:$W$495,(SUMPRODUCT((('CONTROL MASTER'!$S$2:$S$495=11)*('CONTROL MASTER'!$T$2:$T$495&lt;=8)*('CONTROL MASTER'!$V$2:$V$495&gt;=8)*('CONTROL MASTER'!$U$2:$U$495&lt;=8)*('CONTROL MASTER'!$W$2:$W$495&gt;=8))*ROW('CONTROL MASTER'!$S$2:$S$495))-(ROW('CONTROL MASTER'!#REF!)-1)))-INDEX('CONTROL MASTER'!$U$2:$U$495,(SUMPRODUCT((('CONTROL MASTER'!$S$2:$S$495=11)*('CONTROL MASTER'!$T$2:$T$495&lt;=8)*('CONTROL MASTER'!$V$2:$V$495&gt;=8)*('CONTROL MASTER'!$U$2:$U$495&lt;=8)*('CONTROL MASTER'!$W$2:$W$495&gt;=8))*ROW('CONTROL MASTER'!$S$2:$S$495))-(ROW('CONTROL MASTER'!#REF!)-1)))+1)+(8-INDEX('CONTROL MASTER'!$U$2:$U$495,(SUMPRODUCT((('CONTROL MASTER'!$S$2:$S$495=11)*('CONTROL MASTER'!$T$2:$T$495&lt;=8)*('CONTROL MASTER'!$V$2:$V$495&gt;=8)*('CONTROL MASTER'!$U$2:$U$495&lt;=8)*('CONTROL MASTER'!$W$2:$W$495&gt;=8))*ROW('CONTROL MASTER'!$S$2:$S$495))-(ROW('CONTROL MASTER'!#REF!)-1))))+1))-1)*50+1,50))&amp;"_"&amp;INDEX('CONTROL MASTER'!$P$2:$P$495,(SUMPRODUCT((('CONTROL MASTER'!$S$2:$S$495=11)*('CONTROL MASTER'!$T$2:$T$495&lt;=8)*('CONTROL MASTER'!$V$2:$V$495&gt;=8)*('CONTROL MASTER'!$U$2:$U$495&lt;=8)*('CONTROL MASTER'!$W$2:$W$495&gt;=8))*ROW('CONTROL MASTER'!$S$2:$S$495))-(ROW('CONTROL MASTER'!#REF!)-1))),IF(SUMPRODUCT((('CONTROL MASTER'!$S$2:$S$495=11)*('CONTROL MASTER'!$Z$2:$Z$495&lt;=8)*('CONTROL MASTER'!$AB$2:$AB$495&gt;=8)*('CONTROL MASTER'!$AA$2:$AA$495&lt;=8)*('CONTROL MASTER'!$AC$2:$AC$495&gt;=8))*ROW('CONTROL MASTER'!$S$2:$S$495))&gt;0,INDEX('CONTROL MASTER'!$X$2:$X$495,(SUMPRODUCT((('CONTROL MASTER'!$S$2:$S$495=11)*('CONTROL MASTER'!$Z$2:$Z$495&lt;=8)*('CONTROL MASTER'!$AB$2:$AB$495&gt;=8)*('CONTROL MASTER'!$AA$2:$AA$495&lt;=8)*('CONTROL MASTER'!$AC$2:$AC$495&gt;=8))*ROW('CONTROL MASTER'!$S$2:$S$495))-(ROW('CONTROL MASTER'!#REF!)-1)))&amp;TRIM(MID(SUBSTITUTE(SUBSTITUTE(INDEX('CONTROL MASTER'!$N$2:$N$495,(SUMPRODUCT((('CONTROL MASTER'!$S$2:$S$495=11)*('CONTROL MASTER'!$Z$2:$Z$495&lt;=8)*('CONTROL MASTER'!$AB$2:$AB$495&gt;=8)*('CONTROL MASTER'!$AA$2:$AA$495&lt;=8)*('CONTROL MASTER'!$AC$2:$AC$495&gt;=8))*ROW('CONTROL MASTER'!$S$2:$S$495))-(ROW('CONTROL MASTER'!#REF!)-1))),":",","),",",REPT(" ",50)),(((INDEX('CONTROL MASTER'!$Y$2:$Y$495,(SUMPRODUCT((('CONTROL MASTER'!$S$2:$S$495=11)*('CONTROL MASTER'!$Z$2:$Z$495&lt;=8)*('CONTROL MASTER'!$AB$2:$AB$495&gt;=8)*('CONTROL MASTER'!$AA$2:$AA$495&lt;=8)*('CONTROL MASTER'!$AC$2:$AC$495&gt;=8))*ROW('CONTROL MASTER'!$S$2:$S$495))-(ROW('CONTROL MASTER'!#REF!)-1)))+((8-INDEX('CONTROL MASTER'!$Z$2:$Z$495,(SUMPRODUCT((('CONTROL MASTER'!$S$2:$S$495=11)*('CONTROL MASTER'!$Z$2:$Z$495&lt;=8)*('CONTROL MASTER'!$AB$2:$AB$495&gt;=8)*('CONTROL MASTER'!$AA$2:$AA$495&lt;=8)*('CONTROL MASTER'!$AC$2:$AC$495&gt;=8))*ROW('CONTROL MASTER'!$S$2:$S$495))-(ROW('CONTROL MASTER'!#REF!)-1))))*(INDEX('CONTROL MASTER'!$AC$2:$AC$495,(SUMPRODUCT((('CONTROL MASTER'!$S$2:$S$495=11)*('CONTROL MASTER'!$Z$2:$Z$495&lt;=8)*('CONTROL MASTER'!$AB$2:$AB$495&gt;=8)*('CONTROL MASTER'!$AA$2:$AA$495&lt;=8)*('CONTROL MASTER'!$AC$2:$AC$495&gt;=8))*ROW('CONTROL MASTER'!$S$2:$S$495))-(ROW('CONTROL MASTER'!#REF!)-1)))-INDEX('CONTROL MASTER'!$AA$2:$AA$495,(SUMPRODUCT((('CONTROL MASTER'!$S$2:$S$495=11)*('CONTROL MASTER'!$Z$2:$Z$495&lt;=8)*('CONTROL MASTER'!$AB$2:$AB$495&gt;=8)*('CONTROL MASTER'!$AA$2:$AA$495&lt;=8)*('CONTROL MASTER'!$AC$2:$AC$495&gt;=8))*ROW('CONTROL MASTER'!$S$2:$S$495))-(ROW('CONTROL MASTER'!#REF!)-1)))+1)+(8-INDEX('CONTROL MASTER'!$AA$2:$AA$495,(SUMPRODUCT((('CONTROL MASTER'!$S$2:$S$495=11)*('CONTROL MASTER'!$Z$2:$Z$495&lt;=8)*('CONTROL MASTER'!$AB$2:$AB$495&gt;=8)*('CONTROL MASTER'!$AA$2:$AA$495&lt;=8)*('CONTROL MASTER'!$AC$2:$AC$495&gt;=8))*ROW('CONTROL MASTER'!$S$2:$S$495))-(ROW('CONTROL MASTER'!#REF!)-1))))+1)))-1)*50+1,50))&amp;"_"&amp;INDEX('CONTROL MASTER'!$P$2:$P$495,(SUMPRODUCT((('CONTROL MASTER'!$S$2:$S$495=11)*('CONTROL MASTER'!$Z$2:$Z$495&lt;=8)*('CONTROL MASTER'!$AB$2:$AB$495&gt;=8)*('CONTROL MASTER'!$AA$2:$AA$495&lt;=8)*('CONTROL MASTER'!$AC$2:$AC$495&gt;=8))*ROW('CONTROL MASTER'!$S$2:$S$495))-(ROW('CONTROL MASTER'!#REF!)-1))),"")),"")</f>
        <v/>
      </c>
      <c r="J150" s="10" t="str">
        <f>IFERROR(IF(SUMPRODUCT((('CONTROL MASTER'!$S$2:$S$495=11)*('CONTROL MASTER'!$T$2:$T$495&lt;=8)*('CONTROL MASTER'!$V$2:$V$495&gt;=8)*('CONTROL MASTER'!$U$2:$U$495&lt;=9)*('CONTROL MASTER'!$W$2:$W$495&gt;=9))*ROW('CONTROL MASTER'!$S$2:$S$495))&gt;0,INDEX('CONTROL MASTER'!$X$2:$X$495,(SUMPRODUCT((('CONTROL MASTER'!$S$2:$S$495=11)*('CONTROL MASTER'!$T$2:$T$495&lt;=8)*('CONTROL MASTER'!$V$2:$V$495&gt;=8)*('CONTROL MASTER'!$U$2:$U$495&lt;=9)*('CONTROL MASTER'!$W$2:$W$495&gt;=9))*ROW('CONTROL MASTER'!$S$2:$S$495))-(ROW('CONTROL MASTER'!#REF!)-1)))&amp;TRIM(MID(SUBSTITUTE(SUBSTITUTE(INDEX('CONTROL MASTER'!$N$2:$N$495,(SUMPRODUCT((('CONTROL MASTER'!$S$2:$S$495=11)*('CONTROL MASTER'!$T$2:$T$495&lt;=8)*('CONTROL MASTER'!$V$2:$V$495&gt;=8)*('CONTROL MASTER'!$U$2:$U$495&lt;=9)*('CONTROL MASTER'!$W$2:$W$495&gt;=9))*ROW('CONTROL MASTER'!$S$2:$S$495))-(ROW('CONTROL MASTER'!#REF!)-1))),":",","),",",REPT(" ",50)),((((8-INDEX('CONTROL MASTER'!$T$2:$T$495,(SUMPRODUCT((('CONTROL MASTER'!$S$2:$S$495=11)*('CONTROL MASTER'!$T$2:$T$495&lt;=8)*('CONTROL MASTER'!$V$2:$V$495&gt;=8)*('CONTROL MASTER'!$U$2:$U$495&lt;=9)*('CONTROL MASTER'!$W$2:$W$495&gt;=9))*ROW('CONTROL MASTER'!$S$2:$S$495))-(ROW('CONTROL MASTER'!#REF!)-1))))*(INDEX('CONTROL MASTER'!$W$2:$W$495,(SUMPRODUCT((('CONTROL MASTER'!$S$2:$S$495=11)*('CONTROL MASTER'!$T$2:$T$495&lt;=8)*('CONTROL MASTER'!$V$2:$V$495&gt;=8)*('CONTROL MASTER'!$U$2:$U$495&lt;=9)*('CONTROL MASTER'!$W$2:$W$495&gt;=9))*ROW('CONTROL MASTER'!$S$2:$S$495))-(ROW('CONTROL MASTER'!#REF!)-1)))-INDEX('CONTROL MASTER'!$U$2:$U$495,(SUMPRODUCT((('CONTROL MASTER'!$S$2:$S$495=11)*('CONTROL MASTER'!$T$2:$T$495&lt;=8)*('CONTROL MASTER'!$V$2:$V$495&gt;=8)*('CONTROL MASTER'!$U$2:$U$495&lt;=9)*('CONTROL MASTER'!$W$2:$W$495&gt;=9))*ROW('CONTROL MASTER'!$S$2:$S$495))-(ROW('CONTROL MASTER'!#REF!)-1)))+1)+(9-INDEX('CONTROL MASTER'!$U$2:$U$495,(SUMPRODUCT((('CONTROL MASTER'!$S$2:$S$495=11)*('CONTROL MASTER'!$T$2:$T$495&lt;=8)*('CONTROL MASTER'!$V$2:$V$495&gt;=8)*('CONTROL MASTER'!$U$2:$U$495&lt;=9)*('CONTROL MASTER'!$W$2:$W$495&gt;=9))*ROW('CONTROL MASTER'!$S$2:$S$495))-(ROW('CONTROL MASTER'!#REF!)-1))))+1))-1)*50+1,50))&amp;"_"&amp;INDEX('CONTROL MASTER'!$P$2:$P$495,(SUMPRODUCT((('CONTROL MASTER'!$S$2:$S$495=11)*('CONTROL MASTER'!$T$2:$T$495&lt;=8)*('CONTROL MASTER'!$V$2:$V$495&gt;=8)*('CONTROL MASTER'!$U$2:$U$495&lt;=9)*('CONTROL MASTER'!$W$2:$W$495&gt;=9))*ROW('CONTROL MASTER'!$S$2:$S$495))-(ROW('CONTROL MASTER'!#REF!)-1))),IF(SUMPRODUCT((('CONTROL MASTER'!$S$2:$S$495=11)*('CONTROL MASTER'!$Z$2:$Z$495&lt;=8)*('CONTROL MASTER'!$AB$2:$AB$495&gt;=8)*('CONTROL MASTER'!$AA$2:$AA$495&lt;=9)*('CONTROL MASTER'!$AC$2:$AC$495&gt;=9))*ROW('CONTROL MASTER'!$S$2:$S$495))&gt;0,INDEX('CONTROL MASTER'!$X$2:$X$495,(SUMPRODUCT((('CONTROL MASTER'!$S$2:$S$495=11)*('CONTROL MASTER'!$Z$2:$Z$495&lt;=8)*('CONTROL MASTER'!$AB$2:$AB$495&gt;=8)*('CONTROL MASTER'!$AA$2:$AA$495&lt;=9)*('CONTROL MASTER'!$AC$2:$AC$495&gt;=9))*ROW('CONTROL MASTER'!$S$2:$S$495))-(ROW('CONTROL MASTER'!#REF!)-1)))&amp;TRIM(MID(SUBSTITUTE(SUBSTITUTE(INDEX('CONTROL MASTER'!$N$2:$N$495,(SUMPRODUCT((('CONTROL MASTER'!$S$2:$S$495=11)*('CONTROL MASTER'!$Z$2:$Z$495&lt;=8)*('CONTROL MASTER'!$AB$2:$AB$495&gt;=8)*('CONTROL MASTER'!$AA$2:$AA$495&lt;=9)*('CONTROL MASTER'!$AC$2:$AC$495&gt;=9))*ROW('CONTROL MASTER'!$S$2:$S$495))-(ROW('CONTROL MASTER'!#REF!)-1))),":",","),",",REPT(" ",50)),(((INDEX('CONTROL MASTER'!$Y$2:$Y$495,(SUMPRODUCT((('CONTROL MASTER'!$S$2:$S$495=11)*('CONTROL MASTER'!$Z$2:$Z$495&lt;=8)*('CONTROL MASTER'!$AB$2:$AB$495&gt;=8)*('CONTROL MASTER'!$AA$2:$AA$495&lt;=9)*('CONTROL MASTER'!$AC$2:$AC$495&gt;=9))*ROW('CONTROL MASTER'!$S$2:$S$495))-(ROW('CONTROL MASTER'!#REF!)-1)))+((8-INDEX('CONTROL MASTER'!$Z$2:$Z$495,(SUMPRODUCT((('CONTROL MASTER'!$S$2:$S$495=11)*('CONTROL MASTER'!$Z$2:$Z$495&lt;=8)*('CONTROL MASTER'!$AB$2:$AB$495&gt;=8)*('CONTROL MASTER'!$AA$2:$AA$495&lt;=9)*('CONTROL MASTER'!$AC$2:$AC$495&gt;=9))*ROW('CONTROL MASTER'!$S$2:$S$495))-(ROW('CONTROL MASTER'!#REF!)-1))))*(INDEX('CONTROL MASTER'!$AC$2:$AC$495,(SUMPRODUCT((('CONTROL MASTER'!$S$2:$S$495=11)*('CONTROL MASTER'!$Z$2:$Z$495&lt;=8)*('CONTROL MASTER'!$AB$2:$AB$495&gt;=8)*('CONTROL MASTER'!$AA$2:$AA$495&lt;=9)*('CONTROL MASTER'!$AC$2:$AC$495&gt;=9))*ROW('CONTROL MASTER'!$S$2:$S$495))-(ROW('CONTROL MASTER'!#REF!)-1)))-INDEX('CONTROL MASTER'!$AA$2:$AA$495,(SUMPRODUCT((('CONTROL MASTER'!$S$2:$S$495=11)*('CONTROL MASTER'!$Z$2:$Z$495&lt;=8)*('CONTROL MASTER'!$AB$2:$AB$495&gt;=8)*('CONTROL MASTER'!$AA$2:$AA$495&lt;=9)*('CONTROL MASTER'!$AC$2:$AC$495&gt;=9))*ROW('CONTROL MASTER'!$S$2:$S$495))-(ROW('CONTROL MASTER'!#REF!)-1)))+1)+(9-INDEX('CONTROL MASTER'!$AA$2:$AA$495,(SUMPRODUCT((('CONTROL MASTER'!$S$2:$S$495=11)*('CONTROL MASTER'!$Z$2:$Z$495&lt;=8)*('CONTROL MASTER'!$AB$2:$AB$495&gt;=8)*('CONTROL MASTER'!$AA$2:$AA$495&lt;=9)*('CONTROL MASTER'!$AC$2:$AC$495&gt;=9))*ROW('CONTROL MASTER'!$S$2:$S$495))-(ROW('CONTROL MASTER'!#REF!)-1))))+1)))-1)*50+1,50))&amp;"_"&amp;INDEX('CONTROL MASTER'!$P$2:$P$495,(SUMPRODUCT((('CONTROL MASTER'!$S$2:$S$495=11)*('CONTROL MASTER'!$Z$2:$Z$495&lt;=8)*('CONTROL MASTER'!$AB$2:$AB$495&gt;=8)*('CONTROL MASTER'!$AA$2:$AA$495&lt;=9)*('CONTROL MASTER'!$AC$2:$AC$495&gt;=9))*ROW('CONTROL MASTER'!$S$2:$S$495))-(ROW('CONTROL MASTER'!#REF!)-1))),"")),"")</f>
        <v/>
      </c>
      <c r="K150" s="10" t="str">
        <f>IFERROR(IF(SUMPRODUCT((('CONTROL MASTER'!$S$2:$S$495=11)*('CONTROL MASTER'!$T$2:$T$495&lt;=8)*('CONTROL MASTER'!$V$2:$V$495&gt;=8)*('CONTROL MASTER'!$U$2:$U$495&lt;=10)*('CONTROL MASTER'!$W$2:$W$495&gt;=10))*ROW('CONTROL MASTER'!$S$2:$S$495))&gt;0,INDEX('CONTROL MASTER'!$X$2:$X$495,(SUMPRODUCT((('CONTROL MASTER'!$S$2:$S$495=11)*('CONTROL MASTER'!$T$2:$T$495&lt;=8)*('CONTROL MASTER'!$V$2:$V$495&gt;=8)*('CONTROL MASTER'!$U$2:$U$495&lt;=10)*('CONTROL MASTER'!$W$2:$W$495&gt;=10))*ROW('CONTROL MASTER'!$S$2:$S$495))-(ROW('CONTROL MASTER'!#REF!)-1)))&amp;TRIM(MID(SUBSTITUTE(SUBSTITUTE(INDEX('CONTROL MASTER'!$N$2:$N$495,(SUMPRODUCT((('CONTROL MASTER'!$S$2:$S$495=11)*('CONTROL MASTER'!$T$2:$T$495&lt;=8)*('CONTROL MASTER'!$V$2:$V$495&gt;=8)*('CONTROL MASTER'!$U$2:$U$495&lt;=10)*('CONTROL MASTER'!$W$2:$W$495&gt;=10))*ROW('CONTROL MASTER'!$S$2:$S$495))-(ROW('CONTROL MASTER'!#REF!)-1))),":",","),",",REPT(" ",50)),((((8-INDEX('CONTROL MASTER'!$T$2:$T$495,(SUMPRODUCT((('CONTROL MASTER'!$S$2:$S$495=11)*('CONTROL MASTER'!$T$2:$T$495&lt;=8)*('CONTROL MASTER'!$V$2:$V$495&gt;=8)*('CONTROL MASTER'!$U$2:$U$495&lt;=10)*('CONTROL MASTER'!$W$2:$W$495&gt;=10))*ROW('CONTROL MASTER'!$S$2:$S$495))-(ROW('CONTROL MASTER'!#REF!)-1))))*(INDEX('CONTROL MASTER'!$W$2:$W$495,(SUMPRODUCT((('CONTROL MASTER'!$S$2:$S$495=11)*('CONTROL MASTER'!$T$2:$T$495&lt;=8)*('CONTROL MASTER'!$V$2:$V$495&gt;=8)*('CONTROL MASTER'!$U$2:$U$495&lt;=10)*('CONTROL MASTER'!$W$2:$W$495&gt;=10))*ROW('CONTROL MASTER'!$S$2:$S$495))-(ROW('CONTROL MASTER'!#REF!)-1)))-INDEX('CONTROL MASTER'!$U$2:$U$495,(SUMPRODUCT((('CONTROL MASTER'!$S$2:$S$495=11)*('CONTROL MASTER'!$T$2:$T$495&lt;=8)*('CONTROL MASTER'!$V$2:$V$495&gt;=8)*('CONTROL MASTER'!$U$2:$U$495&lt;=10)*('CONTROL MASTER'!$W$2:$W$495&gt;=10))*ROW('CONTROL MASTER'!$S$2:$S$495))-(ROW('CONTROL MASTER'!#REF!)-1)))+1)+(10-INDEX('CONTROL MASTER'!$U$2:$U$495,(SUMPRODUCT((('CONTROL MASTER'!$S$2:$S$495=11)*('CONTROL MASTER'!$T$2:$T$495&lt;=8)*('CONTROL MASTER'!$V$2:$V$495&gt;=8)*('CONTROL MASTER'!$U$2:$U$495&lt;=10)*('CONTROL MASTER'!$W$2:$W$495&gt;=10))*ROW('CONTROL MASTER'!$S$2:$S$495))-(ROW('CONTROL MASTER'!#REF!)-1))))+1))-1)*50+1,50))&amp;"_"&amp;INDEX('CONTROL MASTER'!$P$2:$P$495,(SUMPRODUCT((('CONTROL MASTER'!$S$2:$S$495=11)*('CONTROL MASTER'!$T$2:$T$495&lt;=8)*('CONTROL MASTER'!$V$2:$V$495&gt;=8)*('CONTROL MASTER'!$U$2:$U$495&lt;=10)*('CONTROL MASTER'!$W$2:$W$495&gt;=10))*ROW('CONTROL MASTER'!$S$2:$S$495))-(ROW('CONTROL MASTER'!#REF!)-1))),IF(SUMPRODUCT((('CONTROL MASTER'!$S$2:$S$495=11)*('CONTROL MASTER'!$Z$2:$Z$495&lt;=8)*('CONTROL MASTER'!$AB$2:$AB$495&gt;=8)*('CONTROL MASTER'!$AA$2:$AA$495&lt;=10)*('CONTROL MASTER'!$AC$2:$AC$495&gt;=10))*ROW('CONTROL MASTER'!$S$2:$S$495))&gt;0,INDEX('CONTROL MASTER'!$X$2:$X$495,(SUMPRODUCT((('CONTROL MASTER'!$S$2:$S$495=11)*('CONTROL MASTER'!$Z$2:$Z$495&lt;=8)*('CONTROL MASTER'!$AB$2:$AB$495&gt;=8)*('CONTROL MASTER'!$AA$2:$AA$495&lt;=10)*('CONTROL MASTER'!$AC$2:$AC$495&gt;=10))*ROW('CONTROL MASTER'!$S$2:$S$495))-(ROW('CONTROL MASTER'!#REF!)-1)))&amp;TRIM(MID(SUBSTITUTE(SUBSTITUTE(INDEX('CONTROL MASTER'!$N$2:$N$495,(SUMPRODUCT((('CONTROL MASTER'!$S$2:$S$495=11)*('CONTROL MASTER'!$Z$2:$Z$495&lt;=8)*('CONTROL MASTER'!$AB$2:$AB$495&gt;=8)*('CONTROL MASTER'!$AA$2:$AA$495&lt;=10)*('CONTROL MASTER'!$AC$2:$AC$495&gt;=10))*ROW('CONTROL MASTER'!$S$2:$S$495))-(ROW('CONTROL MASTER'!#REF!)-1))),":",","),",",REPT(" ",50)),(((INDEX('CONTROL MASTER'!$Y$2:$Y$495,(SUMPRODUCT((('CONTROL MASTER'!$S$2:$S$495=11)*('CONTROL MASTER'!$Z$2:$Z$495&lt;=8)*('CONTROL MASTER'!$AB$2:$AB$495&gt;=8)*('CONTROL MASTER'!$AA$2:$AA$495&lt;=10)*('CONTROL MASTER'!$AC$2:$AC$495&gt;=10))*ROW('CONTROL MASTER'!$S$2:$S$495))-(ROW('CONTROL MASTER'!#REF!)-1)))+((8-INDEX('CONTROL MASTER'!$Z$2:$Z$495,(SUMPRODUCT((('CONTROL MASTER'!$S$2:$S$495=11)*('CONTROL MASTER'!$Z$2:$Z$495&lt;=8)*('CONTROL MASTER'!$AB$2:$AB$495&gt;=8)*('CONTROL MASTER'!$AA$2:$AA$495&lt;=10)*('CONTROL MASTER'!$AC$2:$AC$495&gt;=10))*ROW('CONTROL MASTER'!$S$2:$S$495))-(ROW('CONTROL MASTER'!#REF!)-1))))*(INDEX('CONTROL MASTER'!$AC$2:$AC$495,(SUMPRODUCT((('CONTROL MASTER'!$S$2:$S$495=11)*('CONTROL MASTER'!$Z$2:$Z$495&lt;=8)*('CONTROL MASTER'!$AB$2:$AB$495&gt;=8)*('CONTROL MASTER'!$AA$2:$AA$495&lt;=10)*('CONTROL MASTER'!$AC$2:$AC$495&gt;=10))*ROW('CONTROL MASTER'!$S$2:$S$495))-(ROW('CONTROL MASTER'!#REF!)-1)))-INDEX('CONTROL MASTER'!$AA$2:$AA$495,(SUMPRODUCT((('CONTROL MASTER'!$S$2:$S$495=11)*('CONTROL MASTER'!$Z$2:$Z$495&lt;=8)*('CONTROL MASTER'!$AB$2:$AB$495&gt;=8)*('CONTROL MASTER'!$AA$2:$AA$495&lt;=10)*('CONTROL MASTER'!$AC$2:$AC$495&gt;=10))*ROW('CONTROL MASTER'!$S$2:$S$495))-(ROW('CONTROL MASTER'!#REF!)-1)))+1)+(10-INDEX('CONTROL MASTER'!$AA$2:$AA$495,(SUMPRODUCT((('CONTROL MASTER'!$S$2:$S$495=11)*('CONTROL MASTER'!$Z$2:$Z$495&lt;=8)*('CONTROL MASTER'!$AB$2:$AB$495&gt;=8)*('CONTROL MASTER'!$AA$2:$AA$495&lt;=10)*('CONTROL MASTER'!$AC$2:$AC$495&gt;=10))*ROW('CONTROL MASTER'!$S$2:$S$495))-(ROW('CONTROL MASTER'!#REF!)-1))))+1)))-1)*50+1,50))&amp;"_"&amp;INDEX('CONTROL MASTER'!$P$2:$P$495,(SUMPRODUCT((('CONTROL MASTER'!$S$2:$S$495=11)*('CONTROL MASTER'!$Z$2:$Z$495&lt;=8)*('CONTROL MASTER'!$AB$2:$AB$495&gt;=8)*('CONTROL MASTER'!$AA$2:$AA$495&lt;=10)*('CONTROL MASTER'!$AC$2:$AC$495&gt;=10))*ROW('CONTROL MASTER'!$S$2:$S$495))-(ROW('CONTROL MASTER'!#REF!)-1))),"")),"")</f>
        <v/>
      </c>
    </row>
    <row r="151" spans="1:11" ht="15" customHeight="1" x14ac:dyDescent="0.35">
      <c r="A151" s="8" t="s">
        <v>81</v>
      </c>
      <c r="B151" s="10" t="str">
        <f>IFERROR(IF(SUMPRODUCT((('CONTROL MASTER'!$S$2:$S$495=11)*('CONTROL MASTER'!$T$2:$T$495&lt;=9)*('CONTROL MASTER'!$V$2:$V$495&gt;=9)*('CONTROL MASTER'!$U$2:$U$495&lt;=1)*('CONTROL MASTER'!$W$2:$W$495&gt;=1))*ROW('CONTROL MASTER'!$S$2:$S$495))&gt;0,INDEX('CONTROL MASTER'!$X$2:$X$495,(SUMPRODUCT((('CONTROL MASTER'!$S$2:$S$495=11)*('CONTROL MASTER'!$T$2:$T$495&lt;=9)*('CONTROL MASTER'!$V$2:$V$495&gt;=9)*('CONTROL MASTER'!$U$2:$U$495&lt;=1)*('CONTROL MASTER'!$W$2:$W$495&gt;=1))*ROW('CONTROL MASTER'!$S$2:$S$495))-(ROW('CONTROL MASTER'!#REF!)-1)))&amp;TRIM(MID(SUBSTITUTE(SUBSTITUTE(INDEX('CONTROL MASTER'!$N$2:$N$495,(SUMPRODUCT((('CONTROL MASTER'!$S$2:$S$495=11)*('CONTROL MASTER'!$T$2:$T$495&lt;=9)*('CONTROL MASTER'!$V$2:$V$495&gt;=9)*('CONTROL MASTER'!$U$2:$U$495&lt;=1)*('CONTROL MASTER'!$W$2:$W$495&gt;=1))*ROW('CONTROL MASTER'!$S$2:$S$495))-(ROW('CONTROL MASTER'!#REF!)-1))),":",","),",",REPT(" ",50)),((((9-INDEX('CONTROL MASTER'!$T$2:$T$495,(SUMPRODUCT((('CONTROL MASTER'!$S$2:$S$495=11)*('CONTROL MASTER'!$T$2:$T$495&lt;=9)*('CONTROL MASTER'!$V$2:$V$495&gt;=9)*('CONTROL MASTER'!$U$2:$U$495&lt;=1)*('CONTROL MASTER'!$W$2:$W$495&gt;=1))*ROW('CONTROL MASTER'!$S$2:$S$495))-(ROW('CONTROL MASTER'!#REF!)-1))))*(INDEX('CONTROL MASTER'!$W$2:$W$495,(SUMPRODUCT((('CONTROL MASTER'!$S$2:$S$495=11)*('CONTROL MASTER'!$T$2:$T$495&lt;=9)*('CONTROL MASTER'!$V$2:$V$495&gt;=9)*('CONTROL MASTER'!$U$2:$U$495&lt;=1)*('CONTROL MASTER'!$W$2:$W$495&gt;=1))*ROW('CONTROL MASTER'!$S$2:$S$495))-(ROW('CONTROL MASTER'!#REF!)-1)))-INDEX('CONTROL MASTER'!$U$2:$U$495,(SUMPRODUCT((('CONTROL MASTER'!$S$2:$S$495=11)*('CONTROL MASTER'!$T$2:$T$495&lt;=9)*('CONTROL MASTER'!$V$2:$V$495&gt;=9)*('CONTROL MASTER'!$U$2:$U$495&lt;=1)*('CONTROL MASTER'!$W$2:$W$495&gt;=1))*ROW('CONTROL MASTER'!$S$2:$S$495))-(ROW('CONTROL MASTER'!#REF!)-1)))+1)+(1-INDEX('CONTROL MASTER'!$U$2:$U$495,(SUMPRODUCT((('CONTROL MASTER'!$S$2:$S$495=11)*('CONTROL MASTER'!$T$2:$T$495&lt;=9)*('CONTROL MASTER'!$V$2:$V$495&gt;=9)*('CONTROL MASTER'!$U$2:$U$495&lt;=1)*('CONTROL MASTER'!$W$2:$W$495&gt;=1))*ROW('CONTROL MASTER'!$S$2:$S$495))-(ROW('CONTROL MASTER'!#REF!)-1))))+1))-1)*50+1,50))&amp;"_"&amp;INDEX('CONTROL MASTER'!$P$2:$P$495,(SUMPRODUCT((('CONTROL MASTER'!$S$2:$S$495=11)*('CONTROL MASTER'!$T$2:$T$495&lt;=9)*('CONTROL MASTER'!$V$2:$V$495&gt;=9)*('CONTROL MASTER'!$U$2:$U$495&lt;=1)*('CONTROL MASTER'!$W$2:$W$495&gt;=1))*ROW('CONTROL MASTER'!$S$2:$S$495))-(ROW('CONTROL MASTER'!#REF!)-1))),IF(SUMPRODUCT((('CONTROL MASTER'!$S$2:$S$495=11)*('CONTROL MASTER'!$Z$2:$Z$495&lt;=9)*('CONTROL MASTER'!$AB$2:$AB$495&gt;=9)*('CONTROL MASTER'!$AA$2:$AA$495&lt;=1)*('CONTROL MASTER'!$AC$2:$AC$495&gt;=1))*ROW('CONTROL MASTER'!$S$2:$S$495))&gt;0,INDEX('CONTROL MASTER'!$X$2:$X$495,(SUMPRODUCT((('CONTROL MASTER'!$S$2:$S$495=11)*('CONTROL MASTER'!$Z$2:$Z$495&lt;=9)*('CONTROL MASTER'!$AB$2:$AB$495&gt;=9)*('CONTROL MASTER'!$AA$2:$AA$495&lt;=1)*('CONTROL MASTER'!$AC$2:$AC$495&gt;=1))*ROW('CONTROL MASTER'!$S$2:$S$495))-(ROW('CONTROL MASTER'!#REF!)-1)))&amp;TRIM(MID(SUBSTITUTE(SUBSTITUTE(INDEX('CONTROL MASTER'!$N$2:$N$495,(SUMPRODUCT((('CONTROL MASTER'!$S$2:$S$495=11)*('CONTROL MASTER'!$Z$2:$Z$495&lt;=9)*('CONTROL MASTER'!$AB$2:$AB$495&gt;=9)*('CONTROL MASTER'!$AA$2:$AA$495&lt;=1)*('CONTROL MASTER'!$AC$2:$AC$495&gt;=1))*ROW('CONTROL MASTER'!$S$2:$S$495))-(ROW('CONTROL MASTER'!#REF!)-1))),":",","),",",REPT(" ",50)),(((INDEX('CONTROL MASTER'!$Y$2:$Y$495,(SUMPRODUCT((('CONTROL MASTER'!$S$2:$S$495=11)*('CONTROL MASTER'!$Z$2:$Z$495&lt;=9)*('CONTROL MASTER'!$AB$2:$AB$495&gt;=9)*('CONTROL MASTER'!$AA$2:$AA$495&lt;=1)*('CONTROL MASTER'!$AC$2:$AC$495&gt;=1))*ROW('CONTROL MASTER'!$S$2:$S$495))-(ROW('CONTROL MASTER'!#REF!)-1)))+((9-INDEX('CONTROL MASTER'!$Z$2:$Z$495,(SUMPRODUCT((('CONTROL MASTER'!$S$2:$S$495=11)*('CONTROL MASTER'!$Z$2:$Z$495&lt;=9)*('CONTROL MASTER'!$AB$2:$AB$495&gt;=9)*('CONTROL MASTER'!$AA$2:$AA$495&lt;=1)*('CONTROL MASTER'!$AC$2:$AC$495&gt;=1))*ROW('CONTROL MASTER'!$S$2:$S$495))-(ROW('CONTROL MASTER'!#REF!)-1))))*(INDEX('CONTROL MASTER'!$AC$2:$AC$495,(SUMPRODUCT((('CONTROL MASTER'!$S$2:$S$495=11)*('CONTROL MASTER'!$Z$2:$Z$495&lt;=9)*('CONTROL MASTER'!$AB$2:$AB$495&gt;=9)*('CONTROL MASTER'!$AA$2:$AA$495&lt;=1)*('CONTROL MASTER'!$AC$2:$AC$495&gt;=1))*ROW('CONTROL MASTER'!$S$2:$S$495))-(ROW('CONTROL MASTER'!#REF!)-1)))-INDEX('CONTROL MASTER'!$AA$2:$AA$495,(SUMPRODUCT((('CONTROL MASTER'!$S$2:$S$495=11)*('CONTROL MASTER'!$Z$2:$Z$495&lt;=9)*('CONTROL MASTER'!$AB$2:$AB$495&gt;=9)*('CONTROL MASTER'!$AA$2:$AA$495&lt;=1)*('CONTROL MASTER'!$AC$2:$AC$495&gt;=1))*ROW('CONTROL MASTER'!$S$2:$S$495))-(ROW('CONTROL MASTER'!#REF!)-1)))+1)+(1-INDEX('CONTROL MASTER'!$AA$2:$AA$495,(SUMPRODUCT((('CONTROL MASTER'!$S$2:$S$495=11)*('CONTROL MASTER'!$Z$2:$Z$495&lt;=9)*('CONTROL MASTER'!$AB$2:$AB$495&gt;=9)*('CONTROL MASTER'!$AA$2:$AA$495&lt;=1)*('CONTROL MASTER'!$AC$2:$AC$495&gt;=1))*ROW('CONTROL MASTER'!$S$2:$S$495))-(ROW('CONTROL MASTER'!#REF!)-1))))+1)))-1)*50+1,50))&amp;"_"&amp;INDEX('CONTROL MASTER'!$P$2:$P$495,(SUMPRODUCT((('CONTROL MASTER'!$S$2:$S$495=11)*('CONTROL MASTER'!$Z$2:$Z$495&lt;=9)*('CONTROL MASTER'!$AB$2:$AB$495&gt;=9)*('CONTROL MASTER'!$AA$2:$AA$495&lt;=1)*('CONTROL MASTER'!$AC$2:$AC$495&gt;=1))*ROW('CONTROL MASTER'!$S$2:$S$495))-(ROW('CONTROL MASTER'!#REF!)-1))),"")),"")</f>
        <v/>
      </c>
      <c r="C151" s="10" t="str">
        <f>IFERROR(IF(SUMPRODUCT((('CONTROL MASTER'!$S$2:$S$495=11)*('CONTROL MASTER'!$T$2:$T$495&lt;=9)*('CONTROL MASTER'!$V$2:$V$495&gt;=9)*('CONTROL MASTER'!$U$2:$U$495&lt;=2)*('CONTROL MASTER'!$W$2:$W$495&gt;=2))*ROW('CONTROL MASTER'!$S$2:$S$495))&gt;0,INDEX('CONTROL MASTER'!$X$2:$X$495,(SUMPRODUCT((('CONTROL MASTER'!$S$2:$S$495=11)*('CONTROL MASTER'!$T$2:$T$495&lt;=9)*('CONTROL MASTER'!$V$2:$V$495&gt;=9)*('CONTROL MASTER'!$U$2:$U$495&lt;=2)*('CONTROL MASTER'!$W$2:$W$495&gt;=2))*ROW('CONTROL MASTER'!$S$2:$S$495))-(ROW('CONTROL MASTER'!#REF!)-1)))&amp;TRIM(MID(SUBSTITUTE(SUBSTITUTE(INDEX('CONTROL MASTER'!$N$2:$N$495,(SUMPRODUCT((('CONTROL MASTER'!$S$2:$S$495=11)*('CONTROL MASTER'!$T$2:$T$495&lt;=9)*('CONTROL MASTER'!$V$2:$V$495&gt;=9)*('CONTROL MASTER'!$U$2:$U$495&lt;=2)*('CONTROL MASTER'!$W$2:$W$495&gt;=2))*ROW('CONTROL MASTER'!$S$2:$S$495))-(ROW('CONTROL MASTER'!#REF!)-1))),":",","),",",REPT(" ",50)),((((9-INDEX('CONTROL MASTER'!$T$2:$T$495,(SUMPRODUCT((('CONTROL MASTER'!$S$2:$S$495=11)*('CONTROL MASTER'!$T$2:$T$495&lt;=9)*('CONTROL MASTER'!$V$2:$V$495&gt;=9)*('CONTROL MASTER'!$U$2:$U$495&lt;=2)*('CONTROL MASTER'!$W$2:$W$495&gt;=2))*ROW('CONTROL MASTER'!$S$2:$S$495))-(ROW('CONTROL MASTER'!#REF!)-1))))*(INDEX('CONTROL MASTER'!$W$2:$W$495,(SUMPRODUCT((('CONTROL MASTER'!$S$2:$S$495=11)*('CONTROL MASTER'!$T$2:$T$495&lt;=9)*('CONTROL MASTER'!$V$2:$V$495&gt;=9)*('CONTROL MASTER'!$U$2:$U$495&lt;=2)*('CONTROL MASTER'!$W$2:$W$495&gt;=2))*ROW('CONTROL MASTER'!$S$2:$S$495))-(ROW('CONTROL MASTER'!#REF!)-1)))-INDEX('CONTROL MASTER'!$U$2:$U$495,(SUMPRODUCT((('CONTROL MASTER'!$S$2:$S$495=11)*('CONTROL MASTER'!$T$2:$T$495&lt;=9)*('CONTROL MASTER'!$V$2:$V$495&gt;=9)*('CONTROL MASTER'!$U$2:$U$495&lt;=2)*('CONTROL MASTER'!$W$2:$W$495&gt;=2))*ROW('CONTROL MASTER'!$S$2:$S$495))-(ROW('CONTROL MASTER'!#REF!)-1)))+1)+(2-INDEX('CONTROL MASTER'!$U$2:$U$495,(SUMPRODUCT((('CONTROL MASTER'!$S$2:$S$495=11)*('CONTROL MASTER'!$T$2:$T$495&lt;=9)*('CONTROL MASTER'!$V$2:$V$495&gt;=9)*('CONTROL MASTER'!$U$2:$U$495&lt;=2)*('CONTROL MASTER'!$W$2:$W$495&gt;=2))*ROW('CONTROL MASTER'!$S$2:$S$495))-(ROW('CONTROL MASTER'!#REF!)-1))))+1))-1)*50+1,50))&amp;"_"&amp;INDEX('CONTROL MASTER'!$P$2:$P$495,(SUMPRODUCT((('CONTROL MASTER'!$S$2:$S$495=11)*('CONTROL MASTER'!$T$2:$T$495&lt;=9)*('CONTROL MASTER'!$V$2:$V$495&gt;=9)*('CONTROL MASTER'!$U$2:$U$495&lt;=2)*('CONTROL MASTER'!$W$2:$W$495&gt;=2))*ROW('CONTROL MASTER'!$S$2:$S$495))-(ROW('CONTROL MASTER'!#REF!)-1))),IF(SUMPRODUCT((('CONTROL MASTER'!$S$2:$S$495=11)*('CONTROL MASTER'!$Z$2:$Z$495&lt;=9)*('CONTROL MASTER'!$AB$2:$AB$495&gt;=9)*('CONTROL MASTER'!$AA$2:$AA$495&lt;=2)*('CONTROL MASTER'!$AC$2:$AC$495&gt;=2))*ROW('CONTROL MASTER'!$S$2:$S$495))&gt;0,INDEX('CONTROL MASTER'!$X$2:$X$495,(SUMPRODUCT((('CONTROL MASTER'!$S$2:$S$495=11)*('CONTROL MASTER'!$Z$2:$Z$495&lt;=9)*('CONTROL MASTER'!$AB$2:$AB$495&gt;=9)*('CONTROL MASTER'!$AA$2:$AA$495&lt;=2)*('CONTROL MASTER'!$AC$2:$AC$495&gt;=2))*ROW('CONTROL MASTER'!$S$2:$S$495))-(ROW('CONTROL MASTER'!#REF!)-1)))&amp;TRIM(MID(SUBSTITUTE(SUBSTITUTE(INDEX('CONTROL MASTER'!$N$2:$N$495,(SUMPRODUCT((('CONTROL MASTER'!$S$2:$S$495=11)*('CONTROL MASTER'!$Z$2:$Z$495&lt;=9)*('CONTROL MASTER'!$AB$2:$AB$495&gt;=9)*('CONTROL MASTER'!$AA$2:$AA$495&lt;=2)*('CONTROL MASTER'!$AC$2:$AC$495&gt;=2))*ROW('CONTROL MASTER'!$S$2:$S$495))-(ROW('CONTROL MASTER'!#REF!)-1))),":",","),",",REPT(" ",50)),(((INDEX('CONTROL MASTER'!$Y$2:$Y$495,(SUMPRODUCT((('CONTROL MASTER'!$S$2:$S$495=11)*('CONTROL MASTER'!$Z$2:$Z$495&lt;=9)*('CONTROL MASTER'!$AB$2:$AB$495&gt;=9)*('CONTROL MASTER'!$AA$2:$AA$495&lt;=2)*('CONTROL MASTER'!$AC$2:$AC$495&gt;=2))*ROW('CONTROL MASTER'!$S$2:$S$495))-(ROW('CONTROL MASTER'!#REF!)-1)))+((9-INDEX('CONTROL MASTER'!$Z$2:$Z$495,(SUMPRODUCT((('CONTROL MASTER'!$S$2:$S$495=11)*('CONTROL MASTER'!$Z$2:$Z$495&lt;=9)*('CONTROL MASTER'!$AB$2:$AB$495&gt;=9)*('CONTROL MASTER'!$AA$2:$AA$495&lt;=2)*('CONTROL MASTER'!$AC$2:$AC$495&gt;=2))*ROW('CONTROL MASTER'!$S$2:$S$495))-(ROW('CONTROL MASTER'!#REF!)-1))))*(INDEX('CONTROL MASTER'!$AC$2:$AC$495,(SUMPRODUCT((('CONTROL MASTER'!$S$2:$S$495=11)*('CONTROL MASTER'!$Z$2:$Z$495&lt;=9)*('CONTROL MASTER'!$AB$2:$AB$495&gt;=9)*('CONTROL MASTER'!$AA$2:$AA$495&lt;=2)*('CONTROL MASTER'!$AC$2:$AC$495&gt;=2))*ROW('CONTROL MASTER'!$S$2:$S$495))-(ROW('CONTROL MASTER'!#REF!)-1)))-INDEX('CONTROL MASTER'!$AA$2:$AA$495,(SUMPRODUCT((('CONTROL MASTER'!$S$2:$S$495=11)*('CONTROL MASTER'!$Z$2:$Z$495&lt;=9)*('CONTROL MASTER'!$AB$2:$AB$495&gt;=9)*('CONTROL MASTER'!$AA$2:$AA$495&lt;=2)*('CONTROL MASTER'!$AC$2:$AC$495&gt;=2))*ROW('CONTROL MASTER'!$S$2:$S$495))-(ROW('CONTROL MASTER'!#REF!)-1)))+1)+(2-INDEX('CONTROL MASTER'!$AA$2:$AA$495,(SUMPRODUCT((('CONTROL MASTER'!$S$2:$S$495=11)*('CONTROL MASTER'!$Z$2:$Z$495&lt;=9)*('CONTROL MASTER'!$AB$2:$AB$495&gt;=9)*('CONTROL MASTER'!$AA$2:$AA$495&lt;=2)*('CONTROL MASTER'!$AC$2:$AC$495&gt;=2))*ROW('CONTROL MASTER'!$S$2:$S$495))-(ROW('CONTROL MASTER'!#REF!)-1))))+1)))-1)*50+1,50))&amp;"_"&amp;INDEX('CONTROL MASTER'!$P$2:$P$495,(SUMPRODUCT((('CONTROL MASTER'!$S$2:$S$495=11)*('CONTROL MASTER'!$Z$2:$Z$495&lt;=9)*('CONTROL MASTER'!$AB$2:$AB$495&gt;=9)*('CONTROL MASTER'!$AA$2:$AA$495&lt;=2)*('CONTROL MASTER'!$AC$2:$AC$495&gt;=2))*ROW('CONTROL MASTER'!$S$2:$S$495))-(ROW('CONTROL MASTER'!#REF!)-1))),"")),"")</f>
        <v/>
      </c>
      <c r="D151" s="10" t="str">
        <f>IFERROR(IF(SUMPRODUCT((('CONTROL MASTER'!$S$2:$S$495=11)*('CONTROL MASTER'!$T$2:$T$495&lt;=9)*('CONTROL MASTER'!$V$2:$V$495&gt;=9)*('CONTROL MASTER'!$U$2:$U$495&lt;=3)*('CONTROL MASTER'!$W$2:$W$495&gt;=3))*ROW('CONTROL MASTER'!$S$2:$S$495))&gt;0,INDEX('CONTROL MASTER'!$X$2:$X$495,(SUMPRODUCT((('CONTROL MASTER'!$S$2:$S$495=11)*('CONTROL MASTER'!$T$2:$T$495&lt;=9)*('CONTROL MASTER'!$V$2:$V$495&gt;=9)*('CONTROL MASTER'!$U$2:$U$495&lt;=3)*('CONTROL MASTER'!$W$2:$W$495&gt;=3))*ROW('CONTROL MASTER'!$S$2:$S$495))-(ROW('CONTROL MASTER'!#REF!)-1)))&amp;TRIM(MID(SUBSTITUTE(SUBSTITUTE(INDEX('CONTROL MASTER'!$N$2:$N$495,(SUMPRODUCT((('CONTROL MASTER'!$S$2:$S$495=11)*('CONTROL MASTER'!$T$2:$T$495&lt;=9)*('CONTROL MASTER'!$V$2:$V$495&gt;=9)*('CONTROL MASTER'!$U$2:$U$495&lt;=3)*('CONTROL MASTER'!$W$2:$W$495&gt;=3))*ROW('CONTROL MASTER'!$S$2:$S$495))-(ROW('CONTROL MASTER'!#REF!)-1))),":",","),",",REPT(" ",50)),((((9-INDEX('CONTROL MASTER'!$T$2:$T$495,(SUMPRODUCT((('CONTROL MASTER'!$S$2:$S$495=11)*('CONTROL MASTER'!$T$2:$T$495&lt;=9)*('CONTROL MASTER'!$V$2:$V$495&gt;=9)*('CONTROL MASTER'!$U$2:$U$495&lt;=3)*('CONTROL MASTER'!$W$2:$W$495&gt;=3))*ROW('CONTROL MASTER'!$S$2:$S$495))-(ROW('CONTROL MASTER'!#REF!)-1))))*(INDEX('CONTROL MASTER'!$W$2:$W$495,(SUMPRODUCT((('CONTROL MASTER'!$S$2:$S$495=11)*('CONTROL MASTER'!$T$2:$T$495&lt;=9)*('CONTROL MASTER'!$V$2:$V$495&gt;=9)*('CONTROL MASTER'!$U$2:$U$495&lt;=3)*('CONTROL MASTER'!$W$2:$W$495&gt;=3))*ROW('CONTROL MASTER'!$S$2:$S$495))-(ROW('CONTROL MASTER'!#REF!)-1)))-INDEX('CONTROL MASTER'!$U$2:$U$495,(SUMPRODUCT((('CONTROL MASTER'!$S$2:$S$495=11)*('CONTROL MASTER'!$T$2:$T$495&lt;=9)*('CONTROL MASTER'!$V$2:$V$495&gt;=9)*('CONTROL MASTER'!$U$2:$U$495&lt;=3)*('CONTROL MASTER'!$W$2:$W$495&gt;=3))*ROW('CONTROL MASTER'!$S$2:$S$495))-(ROW('CONTROL MASTER'!#REF!)-1)))+1)+(3-INDEX('CONTROL MASTER'!$U$2:$U$495,(SUMPRODUCT((('CONTROL MASTER'!$S$2:$S$495=11)*('CONTROL MASTER'!$T$2:$T$495&lt;=9)*('CONTROL MASTER'!$V$2:$V$495&gt;=9)*('CONTROL MASTER'!$U$2:$U$495&lt;=3)*('CONTROL MASTER'!$W$2:$W$495&gt;=3))*ROW('CONTROL MASTER'!$S$2:$S$495))-(ROW('CONTROL MASTER'!#REF!)-1))))+1))-1)*50+1,50))&amp;"_"&amp;INDEX('CONTROL MASTER'!$P$2:$P$495,(SUMPRODUCT((('CONTROL MASTER'!$S$2:$S$495=11)*('CONTROL MASTER'!$T$2:$T$495&lt;=9)*('CONTROL MASTER'!$V$2:$V$495&gt;=9)*('CONTROL MASTER'!$U$2:$U$495&lt;=3)*('CONTROL MASTER'!$W$2:$W$495&gt;=3))*ROW('CONTROL MASTER'!$S$2:$S$495))-(ROW('CONTROL MASTER'!#REF!)-1))),IF(SUMPRODUCT((('CONTROL MASTER'!$S$2:$S$495=11)*('CONTROL MASTER'!$Z$2:$Z$495&lt;=9)*('CONTROL MASTER'!$AB$2:$AB$495&gt;=9)*('CONTROL MASTER'!$AA$2:$AA$495&lt;=3)*('CONTROL MASTER'!$AC$2:$AC$495&gt;=3))*ROW('CONTROL MASTER'!$S$2:$S$495))&gt;0,INDEX('CONTROL MASTER'!$X$2:$X$495,(SUMPRODUCT((('CONTROL MASTER'!$S$2:$S$495=11)*('CONTROL MASTER'!$Z$2:$Z$495&lt;=9)*('CONTROL MASTER'!$AB$2:$AB$495&gt;=9)*('CONTROL MASTER'!$AA$2:$AA$495&lt;=3)*('CONTROL MASTER'!$AC$2:$AC$495&gt;=3))*ROW('CONTROL MASTER'!$S$2:$S$495))-(ROW('CONTROL MASTER'!#REF!)-1)))&amp;TRIM(MID(SUBSTITUTE(SUBSTITUTE(INDEX('CONTROL MASTER'!$N$2:$N$495,(SUMPRODUCT((('CONTROL MASTER'!$S$2:$S$495=11)*('CONTROL MASTER'!$Z$2:$Z$495&lt;=9)*('CONTROL MASTER'!$AB$2:$AB$495&gt;=9)*('CONTROL MASTER'!$AA$2:$AA$495&lt;=3)*('CONTROL MASTER'!$AC$2:$AC$495&gt;=3))*ROW('CONTROL MASTER'!$S$2:$S$495))-(ROW('CONTROL MASTER'!#REF!)-1))),":",","),",",REPT(" ",50)),(((INDEX('CONTROL MASTER'!$Y$2:$Y$495,(SUMPRODUCT((('CONTROL MASTER'!$S$2:$S$495=11)*('CONTROL MASTER'!$Z$2:$Z$495&lt;=9)*('CONTROL MASTER'!$AB$2:$AB$495&gt;=9)*('CONTROL MASTER'!$AA$2:$AA$495&lt;=3)*('CONTROL MASTER'!$AC$2:$AC$495&gt;=3))*ROW('CONTROL MASTER'!$S$2:$S$495))-(ROW('CONTROL MASTER'!#REF!)-1)))+((9-INDEX('CONTROL MASTER'!$Z$2:$Z$495,(SUMPRODUCT((('CONTROL MASTER'!$S$2:$S$495=11)*('CONTROL MASTER'!$Z$2:$Z$495&lt;=9)*('CONTROL MASTER'!$AB$2:$AB$495&gt;=9)*('CONTROL MASTER'!$AA$2:$AA$495&lt;=3)*('CONTROL MASTER'!$AC$2:$AC$495&gt;=3))*ROW('CONTROL MASTER'!$S$2:$S$495))-(ROW('CONTROL MASTER'!#REF!)-1))))*(INDEX('CONTROL MASTER'!$AC$2:$AC$495,(SUMPRODUCT((('CONTROL MASTER'!$S$2:$S$495=11)*('CONTROL MASTER'!$Z$2:$Z$495&lt;=9)*('CONTROL MASTER'!$AB$2:$AB$495&gt;=9)*('CONTROL MASTER'!$AA$2:$AA$495&lt;=3)*('CONTROL MASTER'!$AC$2:$AC$495&gt;=3))*ROW('CONTROL MASTER'!$S$2:$S$495))-(ROW('CONTROL MASTER'!#REF!)-1)))-INDEX('CONTROL MASTER'!$AA$2:$AA$495,(SUMPRODUCT((('CONTROL MASTER'!$S$2:$S$495=11)*('CONTROL MASTER'!$Z$2:$Z$495&lt;=9)*('CONTROL MASTER'!$AB$2:$AB$495&gt;=9)*('CONTROL MASTER'!$AA$2:$AA$495&lt;=3)*('CONTROL MASTER'!$AC$2:$AC$495&gt;=3))*ROW('CONTROL MASTER'!$S$2:$S$495))-(ROW('CONTROL MASTER'!#REF!)-1)))+1)+(3-INDEX('CONTROL MASTER'!$AA$2:$AA$495,(SUMPRODUCT((('CONTROL MASTER'!$S$2:$S$495=11)*('CONTROL MASTER'!$Z$2:$Z$495&lt;=9)*('CONTROL MASTER'!$AB$2:$AB$495&gt;=9)*('CONTROL MASTER'!$AA$2:$AA$495&lt;=3)*('CONTROL MASTER'!$AC$2:$AC$495&gt;=3))*ROW('CONTROL MASTER'!$S$2:$S$495))-(ROW('CONTROL MASTER'!#REF!)-1))))+1)))-1)*50+1,50))&amp;"_"&amp;INDEX('CONTROL MASTER'!$P$2:$P$495,(SUMPRODUCT((('CONTROL MASTER'!$S$2:$S$495=11)*('CONTROL MASTER'!$Z$2:$Z$495&lt;=9)*('CONTROL MASTER'!$AB$2:$AB$495&gt;=9)*('CONTROL MASTER'!$AA$2:$AA$495&lt;=3)*('CONTROL MASTER'!$AC$2:$AC$495&gt;=3))*ROW('CONTROL MASTER'!$S$2:$S$495))-(ROW('CONTROL MASTER'!#REF!)-1))),"")),"")</f>
        <v/>
      </c>
      <c r="E151" s="10" t="str">
        <f>IFERROR(IF(SUMPRODUCT((('CONTROL MASTER'!$S$2:$S$495=11)*('CONTROL MASTER'!$T$2:$T$495&lt;=9)*('CONTROL MASTER'!$V$2:$V$495&gt;=9)*('CONTROL MASTER'!$U$2:$U$495&lt;=4)*('CONTROL MASTER'!$W$2:$W$495&gt;=4))*ROW('CONTROL MASTER'!$S$2:$S$495))&gt;0,INDEX('CONTROL MASTER'!$X$2:$X$495,(SUMPRODUCT((('CONTROL MASTER'!$S$2:$S$495=11)*('CONTROL MASTER'!$T$2:$T$495&lt;=9)*('CONTROL MASTER'!$V$2:$V$495&gt;=9)*('CONTROL MASTER'!$U$2:$U$495&lt;=4)*('CONTROL MASTER'!$W$2:$W$495&gt;=4))*ROW('CONTROL MASTER'!$S$2:$S$495))-(ROW('CONTROL MASTER'!#REF!)-1)))&amp;TRIM(MID(SUBSTITUTE(SUBSTITUTE(INDEX('CONTROL MASTER'!$N$2:$N$495,(SUMPRODUCT((('CONTROL MASTER'!$S$2:$S$495=11)*('CONTROL MASTER'!$T$2:$T$495&lt;=9)*('CONTROL MASTER'!$V$2:$V$495&gt;=9)*('CONTROL MASTER'!$U$2:$U$495&lt;=4)*('CONTROL MASTER'!$W$2:$W$495&gt;=4))*ROW('CONTROL MASTER'!$S$2:$S$495))-(ROW('CONTROL MASTER'!#REF!)-1))),":",","),",",REPT(" ",50)),((((9-INDEX('CONTROL MASTER'!$T$2:$T$495,(SUMPRODUCT((('CONTROL MASTER'!$S$2:$S$495=11)*('CONTROL MASTER'!$T$2:$T$495&lt;=9)*('CONTROL MASTER'!$V$2:$V$495&gt;=9)*('CONTROL MASTER'!$U$2:$U$495&lt;=4)*('CONTROL MASTER'!$W$2:$W$495&gt;=4))*ROW('CONTROL MASTER'!$S$2:$S$495))-(ROW('CONTROL MASTER'!#REF!)-1))))*(INDEX('CONTROL MASTER'!$W$2:$W$495,(SUMPRODUCT((('CONTROL MASTER'!$S$2:$S$495=11)*('CONTROL MASTER'!$T$2:$T$495&lt;=9)*('CONTROL MASTER'!$V$2:$V$495&gt;=9)*('CONTROL MASTER'!$U$2:$U$495&lt;=4)*('CONTROL MASTER'!$W$2:$W$495&gt;=4))*ROW('CONTROL MASTER'!$S$2:$S$495))-(ROW('CONTROL MASTER'!#REF!)-1)))-INDEX('CONTROL MASTER'!$U$2:$U$495,(SUMPRODUCT((('CONTROL MASTER'!$S$2:$S$495=11)*('CONTROL MASTER'!$T$2:$T$495&lt;=9)*('CONTROL MASTER'!$V$2:$V$495&gt;=9)*('CONTROL MASTER'!$U$2:$U$495&lt;=4)*('CONTROL MASTER'!$W$2:$W$495&gt;=4))*ROW('CONTROL MASTER'!$S$2:$S$495))-(ROW('CONTROL MASTER'!#REF!)-1)))+1)+(4-INDEX('CONTROL MASTER'!$U$2:$U$495,(SUMPRODUCT((('CONTROL MASTER'!$S$2:$S$495=11)*('CONTROL MASTER'!$T$2:$T$495&lt;=9)*('CONTROL MASTER'!$V$2:$V$495&gt;=9)*('CONTROL MASTER'!$U$2:$U$495&lt;=4)*('CONTROL MASTER'!$W$2:$W$495&gt;=4))*ROW('CONTROL MASTER'!$S$2:$S$495))-(ROW('CONTROL MASTER'!#REF!)-1))))+1))-1)*50+1,50))&amp;"_"&amp;INDEX('CONTROL MASTER'!$P$2:$P$495,(SUMPRODUCT((('CONTROL MASTER'!$S$2:$S$495=11)*('CONTROL MASTER'!$T$2:$T$495&lt;=9)*('CONTROL MASTER'!$V$2:$V$495&gt;=9)*('CONTROL MASTER'!$U$2:$U$495&lt;=4)*('CONTROL MASTER'!$W$2:$W$495&gt;=4))*ROW('CONTROL MASTER'!$S$2:$S$495))-(ROW('CONTROL MASTER'!#REF!)-1))),IF(SUMPRODUCT((('CONTROL MASTER'!$S$2:$S$495=11)*('CONTROL MASTER'!$Z$2:$Z$495&lt;=9)*('CONTROL MASTER'!$AB$2:$AB$495&gt;=9)*('CONTROL MASTER'!$AA$2:$AA$495&lt;=4)*('CONTROL MASTER'!$AC$2:$AC$495&gt;=4))*ROW('CONTROL MASTER'!$S$2:$S$495))&gt;0,INDEX('CONTROL MASTER'!$X$2:$X$495,(SUMPRODUCT((('CONTROL MASTER'!$S$2:$S$495=11)*('CONTROL MASTER'!$Z$2:$Z$495&lt;=9)*('CONTROL MASTER'!$AB$2:$AB$495&gt;=9)*('CONTROL MASTER'!$AA$2:$AA$495&lt;=4)*('CONTROL MASTER'!$AC$2:$AC$495&gt;=4))*ROW('CONTROL MASTER'!$S$2:$S$495))-(ROW('CONTROL MASTER'!#REF!)-1)))&amp;TRIM(MID(SUBSTITUTE(SUBSTITUTE(INDEX('CONTROL MASTER'!$N$2:$N$495,(SUMPRODUCT((('CONTROL MASTER'!$S$2:$S$495=11)*('CONTROL MASTER'!$Z$2:$Z$495&lt;=9)*('CONTROL MASTER'!$AB$2:$AB$495&gt;=9)*('CONTROL MASTER'!$AA$2:$AA$495&lt;=4)*('CONTROL MASTER'!$AC$2:$AC$495&gt;=4))*ROW('CONTROL MASTER'!$S$2:$S$495))-(ROW('CONTROL MASTER'!#REF!)-1))),":",","),",",REPT(" ",50)),(((INDEX('CONTROL MASTER'!$Y$2:$Y$495,(SUMPRODUCT((('CONTROL MASTER'!$S$2:$S$495=11)*('CONTROL MASTER'!$Z$2:$Z$495&lt;=9)*('CONTROL MASTER'!$AB$2:$AB$495&gt;=9)*('CONTROL MASTER'!$AA$2:$AA$495&lt;=4)*('CONTROL MASTER'!$AC$2:$AC$495&gt;=4))*ROW('CONTROL MASTER'!$S$2:$S$495))-(ROW('CONTROL MASTER'!#REF!)-1)))+((9-INDEX('CONTROL MASTER'!$Z$2:$Z$495,(SUMPRODUCT((('CONTROL MASTER'!$S$2:$S$495=11)*('CONTROL MASTER'!$Z$2:$Z$495&lt;=9)*('CONTROL MASTER'!$AB$2:$AB$495&gt;=9)*('CONTROL MASTER'!$AA$2:$AA$495&lt;=4)*('CONTROL MASTER'!$AC$2:$AC$495&gt;=4))*ROW('CONTROL MASTER'!$S$2:$S$495))-(ROW('CONTROL MASTER'!#REF!)-1))))*(INDEX('CONTROL MASTER'!$AC$2:$AC$495,(SUMPRODUCT((('CONTROL MASTER'!$S$2:$S$495=11)*('CONTROL MASTER'!$Z$2:$Z$495&lt;=9)*('CONTROL MASTER'!$AB$2:$AB$495&gt;=9)*('CONTROL MASTER'!$AA$2:$AA$495&lt;=4)*('CONTROL MASTER'!$AC$2:$AC$495&gt;=4))*ROW('CONTROL MASTER'!$S$2:$S$495))-(ROW('CONTROL MASTER'!#REF!)-1)))-INDEX('CONTROL MASTER'!$AA$2:$AA$495,(SUMPRODUCT((('CONTROL MASTER'!$S$2:$S$495=11)*('CONTROL MASTER'!$Z$2:$Z$495&lt;=9)*('CONTROL MASTER'!$AB$2:$AB$495&gt;=9)*('CONTROL MASTER'!$AA$2:$AA$495&lt;=4)*('CONTROL MASTER'!$AC$2:$AC$495&gt;=4))*ROW('CONTROL MASTER'!$S$2:$S$495))-(ROW('CONTROL MASTER'!#REF!)-1)))+1)+(4-INDEX('CONTROL MASTER'!$AA$2:$AA$495,(SUMPRODUCT((('CONTROL MASTER'!$S$2:$S$495=11)*('CONTROL MASTER'!$Z$2:$Z$495&lt;=9)*('CONTROL MASTER'!$AB$2:$AB$495&gt;=9)*('CONTROL MASTER'!$AA$2:$AA$495&lt;=4)*('CONTROL MASTER'!$AC$2:$AC$495&gt;=4))*ROW('CONTROL MASTER'!$S$2:$S$495))-(ROW('CONTROL MASTER'!#REF!)-1))))+1)))-1)*50+1,50))&amp;"_"&amp;INDEX('CONTROL MASTER'!$P$2:$P$495,(SUMPRODUCT((('CONTROL MASTER'!$S$2:$S$495=11)*('CONTROL MASTER'!$Z$2:$Z$495&lt;=9)*('CONTROL MASTER'!$AB$2:$AB$495&gt;=9)*('CONTROL MASTER'!$AA$2:$AA$495&lt;=4)*('CONTROL MASTER'!$AC$2:$AC$495&gt;=4))*ROW('CONTROL MASTER'!$S$2:$S$495))-(ROW('CONTROL MASTER'!#REF!)-1))),"")),"")</f>
        <v/>
      </c>
      <c r="F151" s="10" t="str">
        <f>IFERROR(IF(SUMPRODUCT((('CONTROL MASTER'!$S$2:$S$495=11)*('CONTROL MASTER'!$T$2:$T$495&lt;=9)*('CONTROL MASTER'!$V$2:$V$495&gt;=9)*('CONTROL MASTER'!$U$2:$U$495&lt;=5)*('CONTROL MASTER'!$W$2:$W$495&gt;=5))*ROW('CONTROL MASTER'!$S$2:$S$495))&gt;0,INDEX('CONTROL MASTER'!$X$2:$X$495,(SUMPRODUCT((('CONTROL MASTER'!$S$2:$S$495=11)*('CONTROL MASTER'!$T$2:$T$495&lt;=9)*('CONTROL MASTER'!$V$2:$V$495&gt;=9)*('CONTROL MASTER'!$U$2:$U$495&lt;=5)*('CONTROL MASTER'!$W$2:$W$495&gt;=5))*ROW('CONTROL MASTER'!$S$2:$S$495))-(ROW('CONTROL MASTER'!#REF!)-1)))&amp;TRIM(MID(SUBSTITUTE(SUBSTITUTE(INDEX('CONTROL MASTER'!$N$2:$N$495,(SUMPRODUCT((('CONTROL MASTER'!$S$2:$S$495=11)*('CONTROL MASTER'!$T$2:$T$495&lt;=9)*('CONTROL MASTER'!$V$2:$V$495&gt;=9)*('CONTROL MASTER'!$U$2:$U$495&lt;=5)*('CONTROL MASTER'!$W$2:$W$495&gt;=5))*ROW('CONTROL MASTER'!$S$2:$S$495))-(ROW('CONTROL MASTER'!#REF!)-1))),":",","),",",REPT(" ",50)),((((9-INDEX('CONTROL MASTER'!$T$2:$T$495,(SUMPRODUCT((('CONTROL MASTER'!$S$2:$S$495=11)*('CONTROL MASTER'!$T$2:$T$495&lt;=9)*('CONTROL MASTER'!$V$2:$V$495&gt;=9)*('CONTROL MASTER'!$U$2:$U$495&lt;=5)*('CONTROL MASTER'!$W$2:$W$495&gt;=5))*ROW('CONTROL MASTER'!$S$2:$S$495))-(ROW('CONTROL MASTER'!#REF!)-1))))*(INDEX('CONTROL MASTER'!$W$2:$W$495,(SUMPRODUCT((('CONTROL MASTER'!$S$2:$S$495=11)*('CONTROL MASTER'!$T$2:$T$495&lt;=9)*('CONTROL MASTER'!$V$2:$V$495&gt;=9)*('CONTROL MASTER'!$U$2:$U$495&lt;=5)*('CONTROL MASTER'!$W$2:$W$495&gt;=5))*ROW('CONTROL MASTER'!$S$2:$S$495))-(ROW('CONTROL MASTER'!#REF!)-1)))-INDEX('CONTROL MASTER'!$U$2:$U$495,(SUMPRODUCT((('CONTROL MASTER'!$S$2:$S$495=11)*('CONTROL MASTER'!$T$2:$T$495&lt;=9)*('CONTROL MASTER'!$V$2:$V$495&gt;=9)*('CONTROL MASTER'!$U$2:$U$495&lt;=5)*('CONTROL MASTER'!$W$2:$W$495&gt;=5))*ROW('CONTROL MASTER'!$S$2:$S$495))-(ROW('CONTROL MASTER'!#REF!)-1)))+1)+(5-INDEX('CONTROL MASTER'!$U$2:$U$495,(SUMPRODUCT((('CONTROL MASTER'!$S$2:$S$495=11)*('CONTROL MASTER'!$T$2:$T$495&lt;=9)*('CONTROL MASTER'!$V$2:$V$495&gt;=9)*('CONTROL MASTER'!$U$2:$U$495&lt;=5)*('CONTROL MASTER'!$W$2:$W$495&gt;=5))*ROW('CONTROL MASTER'!$S$2:$S$495))-(ROW('CONTROL MASTER'!#REF!)-1))))+1))-1)*50+1,50))&amp;"_"&amp;INDEX('CONTROL MASTER'!$P$2:$P$495,(SUMPRODUCT((('CONTROL MASTER'!$S$2:$S$495=11)*('CONTROL MASTER'!$T$2:$T$495&lt;=9)*('CONTROL MASTER'!$V$2:$V$495&gt;=9)*('CONTROL MASTER'!$U$2:$U$495&lt;=5)*('CONTROL MASTER'!$W$2:$W$495&gt;=5))*ROW('CONTROL MASTER'!$S$2:$S$495))-(ROW('CONTROL MASTER'!#REF!)-1))),IF(SUMPRODUCT((('CONTROL MASTER'!$S$2:$S$495=11)*('CONTROL MASTER'!$Z$2:$Z$495&lt;=9)*('CONTROL MASTER'!$AB$2:$AB$495&gt;=9)*('CONTROL MASTER'!$AA$2:$AA$495&lt;=5)*('CONTROL MASTER'!$AC$2:$AC$495&gt;=5))*ROW('CONTROL MASTER'!$S$2:$S$495))&gt;0,INDEX('CONTROL MASTER'!$X$2:$X$495,(SUMPRODUCT((('CONTROL MASTER'!$S$2:$S$495=11)*('CONTROL MASTER'!$Z$2:$Z$495&lt;=9)*('CONTROL MASTER'!$AB$2:$AB$495&gt;=9)*('CONTROL MASTER'!$AA$2:$AA$495&lt;=5)*('CONTROL MASTER'!$AC$2:$AC$495&gt;=5))*ROW('CONTROL MASTER'!$S$2:$S$495))-(ROW('CONTROL MASTER'!#REF!)-1)))&amp;TRIM(MID(SUBSTITUTE(SUBSTITUTE(INDEX('CONTROL MASTER'!$N$2:$N$495,(SUMPRODUCT((('CONTROL MASTER'!$S$2:$S$495=11)*('CONTROL MASTER'!$Z$2:$Z$495&lt;=9)*('CONTROL MASTER'!$AB$2:$AB$495&gt;=9)*('CONTROL MASTER'!$AA$2:$AA$495&lt;=5)*('CONTROL MASTER'!$AC$2:$AC$495&gt;=5))*ROW('CONTROL MASTER'!$S$2:$S$495))-(ROW('CONTROL MASTER'!#REF!)-1))),":",","),",",REPT(" ",50)),(((INDEX('CONTROL MASTER'!$Y$2:$Y$495,(SUMPRODUCT((('CONTROL MASTER'!$S$2:$S$495=11)*('CONTROL MASTER'!$Z$2:$Z$495&lt;=9)*('CONTROL MASTER'!$AB$2:$AB$495&gt;=9)*('CONTROL MASTER'!$AA$2:$AA$495&lt;=5)*('CONTROL MASTER'!$AC$2:$AC$495&gt;=5))*ROW('CONTROL MASTER'!$S$2:$S$495))-(ROW('CONTROL MASTER'!#REF!)-1)))+((9-INDEX('CONTROL MASTER'!$Z$2:$Z$495,(SUMPRODUCT((('CONTROL MASTER'!$S$2:$S$495=11)*('CONTROL MASTER'!$Z$2:$Z$495&lt;=9)*('CONTROL MASTER'!$AB$2:$AB$495&gt;=9)*('CONTROL MASTER'!$AA$2:$AA$495&lt;=5)*('CONTROL MASTER'!$AC$2:$AC$495&gt;=5))*ROW('CONTROL MASTER'!$S$2:$S$495))-(ROW('CONTROL MASTER'!#REF!)-1))))*(INDEX('CONTROL MASTER'!$AC$2:$AC$495,(SUMPRODUCT((('CONTROL MASTER'!$S$2:$S$495=11)*('CONTROL MASTER'!$Z$2:$Z$495&lt;=9)*('CONTROL MASTER'!$AB$2:$AB$495&gt;=9)*('CONTROL MASTER'!$AA$2:$AA$495&lt;=5)*('CONTROL MASTER'!$AC$2:$AC$495&gt;=5))*ROW('CONTROL MASTER'!$S$2:$S$495))-(ROW('CONTROL MASTER'!#REF!)-1)))-INDEX('CONTROL MASTER'!$AA$2:$AA$495,(SUMPRODUCT((('CONTROL MASTER'!$S$2:$S$495=11)*('CONTROL MASTER'!$Z$2:$Z$495&lt;=9)*('CONTROL MASTER'!$AB$2:$AB$495&gt;=9)*('CONTROL MASTER'!$AA$2:$AA$495&lt;=5)*('CONTROL MASTER'!$AC$2:$AC$495&gt;=5))*ROW('CONTROL MASTER'!$S$2:$S$495))-(ROW('CONTROL MASTER'!#REF!)-1)))+1)+(5-INDEX('CONTROL MASTER'!$AA$2:$AA$495,(SUMPRODUCT((('CONTROL MASTER'!$S$2:$S$495=11)*('CONTROL MASTER'!$Z$2:$Z$495&lt;=9)*('CONTROL MASTER'!$AB$2:$AB$495&gt;=9)*('CONTROL MASTER'!$AA$2:$AA$495&lt;=5)*('CONTROL MASTER'!$AC$2:$AC$495&gt;=5))*ROW('CONTROL MASTER'!$S$2:$S$495))-(ROW('CONTROL MASTER'!#REF!)-1))))+1)))-1)*50+1,50))&amp;"_"&amp;INDEX('CONTROL MASTER'!$P$2:$P$495,(SUMPRODUCT((('CONTROL MASTER'!$S$2:$S$495=11)*('CONTROL MASTER'!$Z$2:$Z$495&lt;=9)*('CONTROL MASTER'!$AB$2:$AB$495&gt;=9)*('CONTROL MASTER'!$AA$2:$AA$495&lt;=5)*('CONTROL MASTER'!$AC$2:$AC$495&gt;=5))*ROW('CONTROL MASTER'!$S$2:$S$495))-(ROW('CONTROL MASTER'!#REF!)-1))),"")),"")</f>
        <v/>
      </c>
      <c r="G151" s="10" t="str">
        <f>IFERROR(IF(SUMPRODUCT((('CONTROL MASTER'!$S$2:$S$495=11)*('CONTROL MASTER'!$T$2:$T$495&lt;=9)*('CONTROL MASTER'!$V$2:$V$495&gt;=9)*('CONTROL MASTER'!$U$2:$U$495&lt;=6)*('CONTROL MASTER'!$W$2:$W$495&gt;=6))*ROW('CONTROL MASTER'!$S$2:$S$495))&gt;0,INDEX('CONTROL MASTER'!$X$2:$X$495,(SUMPRODUCT((('CONTROL MASTER'!$S$2:$S$495=11)*('CONTROL MASTER'!$T$2:$T$495&lt;=9)*('CONTROL MASTER'!$V$2:$V$495&gt;=9)*('CONTROL MASTER'!$U$2:$U$495&lt;=6)*('CONTROL MASTER'!$W$2:$W$495&gt;=6))*ROW('CONTROL MASTER'!$S$2:$S$495))-(ROW('CONTROL MASTER'!#REF!)-1)))&amp;TRIM(MID(SUBSTITUTE(SUBSTITUTE(INDEX('CONTROL MASTER'!$N$2:$N$495,(SUMPRODUCT((('CONTROL MASTER'!$S$2:$S$495=11)*('CONTROL MASTER'!$T$2:$T$495&lt;=9)*('CONTROL MASTER'!$V$2:$V$495&gt;=9)*('CONTROL MASTER'!$U$2:$U$495&lt;=6)*('CONTROL MASTER'!$W$2:$W$495&gt;=6))*ROW('CONTROL MASTER'!$S$2:$S$495))-(ROW('CONTROL MASTER'!#REF!)-1))),":",","),",",REPT(" ",50)),((((9-INDEX('CONTROL MASTER'!$T$2:$T$495,(SUMPRODUCT((('CONTROL MASTER'!$S$2:$S$495=11)*('CONTROL MASTER'!$T$2:$T$495&lt;=9)*('CONTROL MASTER'!$V$2:$V$495&gt;=9)*('CONTROL MASTER'!$U$2:$U$495&lt;=6)*('CONTROL MASTER'!$W$2:$W$495&gt;=6))*ROW('CONTROL MASTER'!$S$2:$S$495))-(ROW('CONTROL MASTER'!#REF!)-1))))*(INDEX('CONTROL MASTER'!$W$2:$W$495,(SUMPRODUCT((('CONTROL MASTER'!$S$2:$S$495=11)*('CONTROL MASTER'!$T$2:$T$495&lt;=9)*('CONTROL MASTER'!$V$2:$V$495&gt;=9)*('CONTROL MASTER'!$U$2:$U$495&lt;=6)*('CONTROL MASTER'!$W$2:$W$495&gt;=6))*ROW('CONTROL MASTER'!$S$2:$S$495))-(ROW('CONTROL MASTER'!#REF!)-1)))-INDEX('CONTROL MASTER'!$U$2:$U$495,(SUMPRODUCT((('CONTROL MASTER'!$S$2:$S$495=11)*('CONTROL MASTER'!$T$2:$T$495&lt;=9)*('CONTROL MASTER'!$V$2:$V$495&gt;=9)*('CONTROL MASTER'!$U$2:$U$495&lt;=6)*('CONTROL MASTER'!$W$2:$W$495&gt;=6))*ROW('CONTROL MASTER'!$S$2:$S$495))-(ROW('CONTROL MASTER'!#REF!)-1)))+1)+(6-INDEX('CONTROL MASTER'!$U$2:$U$495,(SUMPRODUCT((('CONTROL MASTER'!$S$2:$S$495=11)*('CONTROL MASTER'!$T$2:$T$495&lt;=9)*('CONTROL MASTER'!$V$2:$V$495&gt;=9)*('CONTROL MASTER'!$U$2:$U$495&lt;=6)*('CONTROL MASTER'!$W$2:$W$495&gt;=6))*ROW('CONTROL MASTER'!$S$2:$S$495))-(ROW('CONTROL MASTER'!#REF!)-1))))+1))-1)*50+1,50))&amp;"_"&amp;INDEX('CONTROL MASTER'!$P$2:$P$495,(SUMPRODUCT((('CONTROL MASTER'!$S$2:$S$495=11)*('CONTROL MASTER'!$T$2:$T$495&lt;=9)*('CONTROL MASTER'!$V$2:$V$495&gt;=9)*('CONTROL MASTER'!$U$2:$U$495&lt;=6)*('CONTROL MASTER'!$W$2:$W$495&gt;=6))*ROW('CONTROL MASTER'!$S$2:$S$495))-(ROW('CONTROL MASTER'!#REF!)-1))),IF(SUMPRODUCT((('CONTROL MASTER'!$S$2:$S$495=11)*('CONTROL MASTER'!$Z$2:$Z$495&lt;=9)*('CONTROL MASTER'!$AB$2:$AB$495&gt;=9)*('CONTROL MASTER'!$AA$2:$AA$495&lt;=6)*('CONTROL MASTER'!$AC$2:$AC$495&gt;=6))*ROW('CONTROL MASTER'!$S$2:$S$495))&gt;0,INDEX('CONTROL MASTER'!$X$2:$X$495,(SUMPRODUCT((('CONTROL MASTER'!$S$2:$S$495=11)*('CONTROL MASTER'!$Z$2:$Z$495&lt;=9)*('CONTROL MASTER'!$AB$2:$AB$495&gt;=9)*('CONTROL MASTER'!$AA$2:$AA$495&lt;=6)*('CONTROL MASTER'!$AC$2:$AC$495&gt;=6))*ROW('CONTROL MASTER'!$S$2:$S$495))-(ROW('CONTROL MASTER'!#REF!)-1)))&amp;TRIM(MID(SUBSTITUTE(SUBSTITUTE(INDEX('CONTROL MASTER'!$N$2:$N$495,(SUMPRODUCT((('CONTROL MASTER'!$S$2:$S$495=11)*('CONTROL MASTER'!$Z$2:$Z$495&lt;=9)*('CONTROL MASTER'!$AB$2:$AB$495&gt;=9)*('CONTROL MASTER'!$AA$2:$AA$495&lt;=6)*('CONTROL MASTER'!$AC$2:$AC$495&gt;=6))*ROW('CONTROL MASTER'!$S$2:$S$495))-(ROW('CONTROL MASTER'!#REF!)-1))),":",","),",",REPT(" ",50)),(((INDEX('CONTROL MASTER'!$Y$2:$Y$495,(SUMPRODUCT((('CONTROL MASTER'!$S$2:$S$495=11)*('CONTROL MASTER'!$Z$2:$Z$495&lt;=9)*('CONTROL MASTER'!$AB$2:$AB$495&gt;=9)*('CONTROL MASTER'!$AA$2:$AA$495&lt;=6)*('CONTROL MASTER'!$AC$2:$AC$495&gt;=6))*ROW('CONTROL MASTER'!$S$2:$S$495))-(ROW('CONTROL MASTER'!#REF!)-1)))+((9-INDEX('CONTROL MASTER'!$Z$2:$Z$495,(SUMPRODUCT((('CONTROL MASTER'!$S$2:$S$495=11)*('CONTROL MASTER'!$Z$2:$Z$495&lt;=9)*('CONTROL MASTER'!$AB$2:$AB$495&gt;=9)*('CONTROL MASTER'!$AA$2:$AA$495&lt;=6)*('CONTROL MASTER'!$AC$2:$AC$495&gt;=6))*ROW('CONTROL MASTER'!$S$2:$S$495))-(ROW('CONTROL MASTER'!#REF!)-1))))*(INDEX('CONTROL MASTER'!$AC$2:$AC$495,(SUMPRODUCT((('CONTROL MASTER'!$S$2:$S$495=11)*('CONTROL MASTER'!$Z$2:$Z$495&lt;=9)*('CONTROL MASTER'!$AB$2:$AB$495&gt;=9)*('CONTROL MASTER'!$AA$2:$AA$495&lt;=6)*('CONTROL MASTER'!$AC$2:$AC$495&gt;=6))*ROW('CONTROL MASTER'!$S$2:$S$495))-(ROW('CONTROL MASTER'!#REF!)-1)))-INDEX('CONTROL MASTER'!$AA$2:$AA$495,(SUMPRODUCT((('CONTROL MASTER'!$S$2:$S$495=11)*('CONTROL MASTER'!$Z$2:$Z$495&lt;=9)*('CONTROL MASTER'!$AB$2:$AB$495&gt;=9)*('CONTROL MASTER'!$AA$2:$AA$495&lt;=6)*('CONTROL MASTER'!$AC$2:$AC$495&gt;=6))*ROW('CONTROL MASTER'!$S$2:$S$495))-(ROW('CONTROL MASTER'!#REF!)-1)))+1)+(6-INDEX('CONTROL MASTER'!$AA$2:$AA$495,(SUMPRODUCT((('CONTROL MASTER'!$S$2:$S$495=11)*('CONTROL MASTER'!$Z$2:$Z$495&lt;=9)*('CONTROL MASTER'!$AB$2:$AB$495&gt;=9)*('CONTROL MASTER'!$AA$2:$AA$495&lt;=6)*('CONTROL MASTER'!$AC$2:$AC$495&gt;=6))*ROW('CONTROL MASTER'!$S$2:$S$495))-(ROW('CONTROL MASTER'!#REF!)-1))))+1)))-1)*50+1,50))&amp;"_"&amp;INDEX('CONTROL MASTER'!$P$2:$P$495,(SUMPRODUCT((('CONTROL MASTER'!$S$2:$S$495=11)*('CONTROL MASTER'!$Z$2:$Z$495&lt;=9)*('CONTROL MASTER'!$AB$2:$AB$495&gt;=9)*('CONTROL MASTER'!$AA$2:$AA$495&lt;=6)*('CONTROL MASTER'!$AC$2:$AC$495&gt;=6))*ROW('CONTROL MASTER'!$S$2:$S$495))-(ROW('CONTROL MASTER'!#REF!)-1))),"")),"")</f>
        <v/>
      </c>
      <c r="H151" s="10" t="str">
        <f>IFERROR(IF(SUMPRODUCT((('CONTROL MASTER'!$S$2:$S$495=11)*('CONTROL MASTER'!$T$2:$T$495&lt;=9)*('CONTROL MASTER'!$V$2:$V$495&gt;=9)*('CONTROL MASTER'!$U$2:$U$495&lt;=7)*('CONTROL MASTER'!$W$2:$W$495&gt;=7))*ROW('CONTROL MASTER'!$S$2:$S$495))&gt;0,INDEX('CONTROL MASTER'!$X$2:$X$495,(SUMPRODUCT((('CONTROL MASTER'!$S$2:$S$495=11)*('CONTROL MASTER'!$T$2:$T$495&lt;=9)*('CONTROL MASTER'!$V$2:$V$495&gt;=9)*('CONTROL MASTER'!$U$2:$U$495&lt;=7)*('CONTROL MASTER'!$W$2:$W$495&gt;=7))*ROW('CONTROL MASTER'!$S$2:$S$495))-(ROW('CONTROL MASTER'!#REF!)-1)))&amp;TRIM(MID(SUBSTITUTE(SUBSTITUTE(INDEX('CONTROL MASTER'!$N$2:$N$495,(SUMPRODUCT((('CONTROL MASTER'!$S$2:$S$495=11)*('CONTROL MASTER'!$T$2:$T$495&lt;=9)*('CONTROL MASTER'!$V$2:$V$495&gt;=9)*('CONTROL MASTER'!$U$2:$U$495&lt;=7)*('CONTROL MASTER'!$W$2:$W$495&gt;=7))*ROW('CONTROL MASTER'!$S$2:$S$495))-(ROW('CONTROL MASTER'!#REF!)-1))),":",","),",",REPT(" ",50)),((((9-INDEX('CONTROL MASTER'!$T$2:$T$495,(SUMPRODUCT((('CONTROL MASTER'!$S$2:$S$495=11)*('CONTROL MASTER'!$T$2:$T$495&lt;=9)*('CONTROL MASTER'!$V$2:$V$495&gt;=9)*('CONTROL MASTER'!$U$2:$U$495&lt;=7)*('CONTROL MASTER'!$W$2:$W$495&gt;=7))*ROW('CONTROL MASTER'!$S$2:$S$495))-(ROW('CONTROL MASTER'!#REF!)-1))))*(INDEX('CONTROL MASTER'!$W$2:$W$495,(SUMPRODUCT((('CONTROL MASTER'!$S$2:$S$495=11)*('CONTROL MASTER'!$T$2:$T$495&lt;=9)*('CONTROL MASTER'!$V$2:$V$495&gt;=9)*('CONTROL MASTER'!$U$2:$U$495&lt;=7)*('CONTROL MASTER'!$W$2:$W$495&gt;=7))*ROW('CONTROL MASTER'!$S$2:$S$495))-(ROW('CONTROL MASTER'!#REF!)-1)))-INDEX('CONTROL MASTER'!$U$2:$U$495,(SUMPRODUCT((('CONTROL MASTER'!$S$2:$S$495=11)*('CONTROL MASTER'!$T$2:$T$495&lt;=9)*('CONTROL MASTER'!$V$2:$V$495&gt;=9)*('CONTROL MASTER'!$U$2:$U$495&lt;=7)*('CONTROL MASTER'!$W$2:$W$495&gt;=7))*ROW('CONTROL MASTER'!$S$2:$S$495))-(ROW('CONTROL MASTER'!#REF!)-1)))+1)+(7-INDEX('CONTROL MASTER'!$U$2:$U$495,(SUMPRODUCT((('CONTROL MASTER'!$S$2:$S$495=11)*('CONTROL MASTER'!$T$2:$T$495&lt;=9)*('CONTROL MASTER'!$V$2:$V$495&gt;=9)*('CONTROL MASTER'!$U$2:$U$495&lt;=7)*('CONTROL MASTER'!$W$2:$W$495&gt;=7))*ROW('CONTROL MASTER'!$S$2:$S$495))-(ROW('CONTROL MASTER'!#REF!)-1))))+1))-1)*50+1,50))&amp;"_"&amp;INDEX('CONTROL MASTER'!$P$2:$P$495,(SUMPRODUCT((('CONTROL MASTER'!$S$2:$S$495=11)*('CONTROL MASTER'!$T$2:$T$495&lt;=9)*('CONTROL MASTER'!$V$2:$V$495&gt;=9)*('CONTROL MASTER'!$U$2:$U$495&lt;=7)*('CONTROL MASTER'!$W$2:$W$495&gt;=7))*ROW('CONTROL MASTER'!$S$2:$S$495))-(ROW('CONTROL MASTER'!#REF!)-1))),IF(SUMPRODUCT((('CONTROL MASTER'!$S$2:$S$495=11)*('CONTROL MASTER'!$Z$2:$Z$495&lt;=9)*('CONTROL MASTER'!$AB$2:$AB$495&gt;=9)*('CONTROL MASTER'!$AA$2:$AA$495&lt;=7)*('CONTROL MASTER'!$AC$2:$AC$495&gt;=7))*ROW('CONTROL MASTER'!$S$2:$S$495))&gt;0,INDEX('CONTROL MASTER'!$X$2:$X$495,(SUMPRODUCT((('CONTROL MASTER'!$S$2:$S$495=11)*('CONTROL MASTER'!$Z$2:$Z$495&lt;=9)*('CONTROL MASTER'!$AB$2:$AB$495&gt;=9)*('CONTROL MASTER'!$AA$2:$AA$495&lt;=7)*('CONTROL MASTER'!$AC$2:$AC$495&gt;=7))*ROW('CONTROL MASTER'!$S$2:$S$495))-(ROW('CONTROL MASTER'!#REF!)-1)))&amp;TRIM(MID(SUBSTITUTE(SUBSTITUTE(INDEX('CONTROL MASTER'!$N$2:$N$495,(SUMPRODUCT((('CONTROL MASTER'!$S$2:$S$495=11)*('CONTROL MASTER'!$Z$2:$Z$495&lt;=9)*('CONTROL MASTER'!$AB$2:$AB$495&gt;=9)*('CONTROL MASTER'!$AA$2:$AA$495&lt;=7)*('CONTROL MASTER'!$AC$2:$AC$495&gt;=7))*ROW('CONTROL MASTER'!$S$2:$S$495))-(ROW('CONTROL MASTER'!#REF!)-1))),":",","),",",REPT(" ",50)),(((INDEX('CONTROL MASTER'!$Y$2:$Y$495,(SUMPRODUCT((('CONTROL MASTER'!$S$2:$S$495=11)*('CONTROL MASTER'!$Z$2:$Z$495&lt;=9)*('CONTROL MASTER'!$AB$2:$AB$495&gt;=9)*('CONTROL MASTER'!$AA$2:$AA$495&lt;=7)*('CONTROL MASTER'!$AC$2:$AC$495&gt;=7))*ROW('CONTROL MASTER'!$S$2:$S$495))-(ROW('CONTROL MASTER'!#REF!)-1)))+((9-INDEX('CONTROL MASTER'!$Z$2:$Z$495,(SUMPRODUCT((('CONTROL MASTER'!$S$2:$S$495=11)*('CONTROL MASTER'!$Z$2:$Z$495&lt;=9)*('CONTROL MASTER'!$AB$2:$AB$495&gt;=9)*('CONTROL MASTER'!$AA$2:$AA$495&lt;=7)*('CONTROL MASTER'!$AC$2:$AC$495&gt;=7))*ROW('CONTROL MASTER'!$S$2:$S$495))-(ROW('CONTROL MASTER'!#REF!)-1))))*(INDEX('CONTROL MASTER'!$AC$2:$AC$495,(SUMPRODUCT((('CONTROL MASTER'!$S$2:$S$495=11)*('CONTROL MASTER'!$Z$2:$Z$495&lt;=9)*('CONTROL MASTER'!$AB$2:$AB$495&gt;=9)*('CONTROL MASTER'!$AA$2:$AA$495&lt;=7)*('CONTROL MASTER'!$AC$2:$AC$495&gt;=7))*ROW('CONTROL MASTER'!$S$2:$S$495))-(ROW('CONTROL MASTER'!#REF!)-1)))-INDEX('CONTROL MASTER'!$AA$2:$AA$495,(SUMPRODUCT((('CONTROL MASTER'!$S$2:$S$495=11)*('CONTROL MASTER'!$Z$2:$Z$495&lt;=9)*('CONTROL MASTER'!$AB$2:$AB$495&gt;=9)*('CONTROL MASTER'!$AA$2:$AA$495&lt;=7)*('CONTROL MASTER'!$AC$2:$AC$495&gt;=7))*ROW('CONTROL MASTER'!$S$2:$S$495))-(ROW('CONTROL MASTER'!#REF!)-1)))+1)+(7-INDEX('CONTROL MASTER'!$AA$2:$AA$495,(SUMPRODUCT((('CONTROL MASTER'!$S$2:$S$495=11)*('CONTROL MASTER'!$Z$2:$Z$495&lt;=9)*('CONTROL MASTER'!$AB$2:$AB$495&gt;=9)*('CONTROL MASTER'!$AA$2:$AA$495&lt;=7)*('CONTROL MASTER'!$AC$2:$AC$495&gt;=7))*ROW('CONTROL MASTER'!$S$2:$S$495))-(ROW('CONTROL MASTER'!#REF!)-1))))+1)))-1)*50+1,50))&amp;"_"&amp;INDEX('CONTROL MASTER'!$P$2:$P$495,(SUMPRODUCT((('CONTROL MASTER'!$S$2:$S$495=11)*('CONTROL MASTER'!$Z$2:$Z$495&lt;=9)*('CONTROL MASTER'!$AB$2:$AB$495&gt;=9)*('CONTROL MASTER'!$AA$2:$AA$495&lt;=7)*('CONTROL MASTER'!$AC$2:$AC$495&gt;=7))*ROW('CONTROL MASTER'!$S$2:$S$495))-(ROW('CONTROL MASTER'!#REF!)-1))),"")),"")</f>
        <v/>
      </c>
      <c r="I151" s="10" t="str">
        <f>IFERROR(IF(SUMPRODUCT((('CONTROL MASTER'!$S$2:$S$495=11)*('CONTROL MASTER'!$T$2:$T$495&lt;=9)*('CONTROL MASTER'!$V$2:$V$495&gt;=9)*('CONTROL MASTER'!$U$2:$U$495&lt;=8)*('CONTROL MASTER'!$W$2:$W$495&gt;=8))*ROW('CONTROL MASTER'!$S$2:$S$495))&gt;0,INDEX('CONTROL MASTER'!$X$2:$X$495,(SUMPRODUCT((('CONTROL MASTER'!$S$2:$S$495=11)*('CONTROL MASTER'!$T$2:$T$495&lt;=9)*('CONTROL MASTER'!$V$2:$V$495&gt;=9)*('CONTROL MASTER'!$U$2:$U$495&lt;=8)*('CONTROL MASTER'!$W$2:$W$495&gt;=8))*ROW('CONTROL MASTER'!$S$2:$S$495))-(ROW('CONTROL MASTER'!#REF!)-1)))&amp;TRIM(MID(SUBSTITUTE(SUBSTITUTE(INDEX('CONTROL MASTER'!$N$2:$N$495,(SUMPRODUCT((('CONTROL MASTER'!$S$2:$S$495=11)*('CONTROL MASTER'!$T$2:$T$495&lt;=9)*('CONTROL MASTER'!$V$2:$V$495&gt;=9)*('CONTROL MASTER'!$U$2:$U$495&lt;=8)*('CONTROL MASTER'!$W$2:$W$495&gt;=8))*ROW('CONTROL MASTER'!$S$2:$S$495))-(ROW('CONTROL MASTER'!#REF!)-1))),":",","),",",REPT(" ",50)),((((9-INDEX('CONTROL MASTER'!$T$2:$T$495,(SUMPRODUCT((('CONTROL MASTER'!$S$2:$S$495=11)*('CONTROL MASTER'!$T$2:$T$495&lt;=9)*('CONTROL MASTER'!$V$2:$V$495&gt;=9)*('CONTROL MASTER'!$U$2:$U$495&lt;=8)*('CONTROL MASTER'!$W$2:$W$495&gt;=8))*ROW('CONTROL MASTER'!$S$2:$S$495))-(ROW('CONTROL MASTER'!#REF!)-1))))*(INDEX('CONTROL MASTER'!$W$2:$W$495,(SUMPRODUCT((('CONTROL MASTER'!$S$2:$S$495=11)*('CONTROL MASTER'!$T$2:$T$495&lt;=9)*('CONTROL MASTER'!$V$2:$V$495&gt;=9)*('CONTROL MASTER'!$U$2:$U$495&lt;=8)*('CONTROL MASTER'!$W$2:$W$495&gt;=8))*ROW('CONTROL MASTER'!$S$2:$S$495))-(ROW('CONTROL MASTER'!#REF!)-1)))-INDEX('CONTROL MASTER'!$U$2:$U$495,(SUMPRODUCT((('CONTROL MASTER'!$S$2:$S$495=11)*('CONTROL MASTER'!$T$2:$T$495&lt;=9)*('CONTROL MASTER'!$V$2:$V$495&gt;=9)*('CONTROL MASTER'!$U$2:$U$495&lt;=8)*('CONTROL MASTER'!$W$2:$W$495&gt;=8))*ROW('CONTROL MASTER'!$S$2:$S$495))-(ROW('CONTROL MASTER'!#REF!)-1)))+1)+(8-INDEX('CONTROL MASTER'!$U$2:$U$495,(SUMPRODUCT((('CONTROL MASTER'!$S$2:$S$495=11)*('CONTROL MASTER'!$T$2:$T$495&lt;=9)*('CONTROL MASTER'!$V$2:$V$495&gt;=9)*('CONTROL MASTER'!$U$2:$U$495&lt;=8)*('CONTROL MASTER'!$W$2:$W$495&gt;=8))*ROW('CONTROL MASTER'!$S$2:$S$495))-(ROW('CONTROL MASTER'!#REF!)-1))))+1))-1)*50+1,50))&amp;"_"&amp;INDEX('CONTROL MASTER'!$P$2:$P$495,(SUMPRODUCT((('CONTROL MASTER'!$S$2:$S$495=11)*('CONTROL MASTER'!$T$2:$T$495&lt;=9)*('CONTROL MASTER'!$V$2:$V$495&gt;=9)*('CONTROL MASTER'!$U$2:$U$495&lt;=8)*('CONTROL MASTER'!$W$2:$W$495&gt;=8))*ROW('CONTROL MASTER'!$S$2:$S$495))-(ROW('CONTROL MASTER'!#REF!)-1))),IF(SUMPRODUCT((('CONTROL MASTER'!$S$2:$S$495=11)*('CONTROL MASTER'!$Z$2:$Z$495&lt;=9)*('CONTROL MASTER'!$AB$2:$AB$495&gt;=9)*('CONTROL MASTER'!$AA$2:$AA$495&lt;=8)*('CONTROL MASTER'!$AC$2:$AC$495&gt;=8))*ROW('CONTROL MASTER'!$S$2:$S$495))&gt;0,INDEX('CONTROL MASTER'!$X$2:$X$495,(SUMPRODUCT((('CONTROL MASTER'!$S$2:$S$495=11)*('CONTROL MASTER'!$Z$2:$Z$495&lt;=9)*('CONTROL MASTER'!$AB$2:$AB$495&gt;=9)*('CONTROL MASTER'!$AA$2:$AA$495&lt;=8)*('CONTROL MASTER'!$AC$2:$AC$495&gt;=8))*ROW('CONTROL MASTER'!$S$2:$S$495))-(ROW('CONTROL MASTER'!#REF!)-1)))&amp;TRIM(MID(SUBSTITUTE(SUBSTITUTE(INDEX('CONTROL MASTER'!$N$2:$N$495,(SUMPRODUCT((('CONTROL MASTER'!$S$2:$S$495=11)*('CONTROL MASTER'!$Z$2:$Z$495&lt;=9)*('CONTROL MASTER'!$AB$2:$AB$495&gt;=9)*('CONTROL MASTER'!$AA$2:$AA$495&lt;=8)*('CONTROL MASTER'!$AC$2:$AC$495&gt;=8))*ROW('CONTROL MASTER'!$S$2:$S$495))-(ROW('CONTROL MASTER'!#REF!)-1))),":",","),",",REPT(" ",50)),(((INDEX('CONTROL MASTER'!$Y$2:$Y$495,(SUMPRODUCT((('CONTROL MASTER'!$S$2:$S$495=11)*('CONTROL MASTER'!$Z$2:$Z$495&lt;=9)*('CONTROL MASTER'!$AB$2:$AB$495&gt;=9)*('CONTROL MASTER'!$AA$2:$AA$495&lt;=8)*('CONTROL MASTER'!$AC$2:$AC$495&gt;=8))*ROW('CONTROL MASTER'!$S$2:$S$495))-(ROW('CONTROL MASTER'!#REF!)-1)))+((9-INDEX('CONTROL MASTER'!$Z$2:$Z$495,(SUMPRODUCT((('CONTROL MASTER'!$S$2:$S$495=11)*('CONTROL MASTER'!$Z$2:$Z$495&lt;=9)*('CONTROL MASTER'!$AB$2:$AB$495&gt;=9)*('CONTROL MASTER'!$AA$2:$AA$495&lt;=8)*('CONTROL MASTER'!$AC$2:$AC$495&gt;=8))*ROW('CONTROL MASTER'!$S$2:$S$495))-(ROW('CONTROL MASTER'!#REF!)-1))))*(INDEX('CONTROL MASTER'!$AC$2:$AC$495,(SUMPRODUCT((('CONTROL MASTER'!$S$2:$S$495=11)*('CONTROL MASTER'!$Z$2:$Z$495&lt;=9)*('CONTROL MASTER'!$AB$2:$AB$495&gt;=9)*('CONTROL MASTER'!$AA$2:$AA$495&lt;=8)*('CONTROL MASTER'!$AC$2:$AC$495&gt;=8))*ROW('CONTROL MASTER'!$S$2:$S$495))-(ROW('CONTROL MASTER'!#REF!)-1)))-INDEX('CONTROL MASTER'!$AA$2:$AA$495,(SUMPRODUCT((('CONTROL MASTER'!$S$2:$S$495=11)*('CONTROL MASTER'!$Z$2:$Z$495&lt;=9)*('CONTROL MASTER'!$AB$2:$AB$495&gt;=9)*('CONTROL MASTER'!$AA$2:$AA$495&lt;=8)*('CONTROL MASTER'!$AC$2:$AC$495&gt;=8))*ROW('CONTROL MASTER'!$S$2:$S$495))-(ROW('CONTROL MASTER'!#REF!)-1)))+1)+(8-INDEX('CONTROL MASTER'!$AA$2:$AA$495,(SUMPRODUCT((('CONTROL MASTER'!$S$2:$S$495=11)*('CONTROL MASTER'!$Z$2:$Z$495&lt;=9)*('CONTROL MASTER'!$AB$2:$AB$495&gt;=9)*('CONTROL MASTER'!$AA$2:$AA$495&lt;=8)*('CONTROL MASTER'!$AC$2:$AC$495&gt;=8))*ROW('CONTROL MASTER'!$S$2:$S$495))-(ROW('CONTROL MASTER'!#REF!)-1))))+1)))-1)*50+1,50))&amp;"_"&amp;INDEX('CONTROL MASTER'!$P$2:$P$495,(SUMPRODUCT((('CONTROL MASTER'!$S$2:$S$495=11)*('CONTROL MASTER'!$Z$2:$Z$495&lt;=9)*('CONTROL MASTER'!$AB$2:$AB$495&gt;=9)*('CONTROL MASTER'!$AA$2:$AA$495&lt;=8)*('CONTROL MASTER'!$AC$2:$AC$495&gt;=8))*ROW('CONTROL MASTER'!$S$2:$S$495))-(ROW('CONTROL MASTER'!#REF!)-1))),"")),"")</f>
        <v/>
      </c>
      <c r="J151" s="10" t="str">
        <f>IFERROR(IF(SUMPRODUCT((('CONTROL MASTER'!$S$2:$S$495=11)*('CONTROL MASTER'!$T$2:$T$495&lt;=9)*('CONTROL MASTER'!$V$2:$V$495&gt;=9)*('CONTROL MASTER'!$U$2:$U$495&lt;=9)*('CONTROL MASTER'!$W$2:$W$495&gt;=9))*ROW('CONTROL MASTER'!$S$2:$S$495))&gt;0,INDEX('CONTROL MASTER'!$X$2:$X$495,(SUMPRODUCT((('CONTROL MASTER'!$S$2:$S$495=11)*('CONTROL MASTER'!$T$2:$T$495&lt;=9)*('CONTROL MASTER'!$V$2:$V$495&gt;=9)*('CONTROL MASTER'!$U$2:$U$495&lt;=9)*('CONTROL MASTER'!$W$2:$W$495&gt;=9))*ROW('CONTROL MASTER'!$S$2:$S$495))-(ROW('CONTROL MASTER'!#REF!)-1)))&amp;TRIM(MID(SUBSTITUTE(SUBSTITUTE(INDEX('CONTROL MASTER'!$N$2:$N$495,(SUMPRODUCT((('CONTROL MASTER'!$S$2:$S$495=11)*('CONTROL MASTER'!$T$2:$T$495&lt;=9)*('CONTROL MASTER'!$V$2:$V$495&gt;=9)*('CONTROL MASTER'!$U$2:$U$495&lt;=9)*('CONTROL MASTER'!$W$2:$W$495&gt;=9))*ROW('CONTROL MASTER'!$S$2:$S$495))-(ROW('CONTROL MASTER'!#REF!)-1))),":",","),",",REPT(" ",50)),((((9-INDEX('CONTROL MASTER'!$T$2:$T$495,(SUMPRODUCT((('CONTROL MASTER'!$S$2:$S$495=11)*('CONTROL MASTER'!$T$2:$T$495&lt;=9)*('CONTROL MASTER'!$V$2:$V$495&gt;=9)*('CONTROL MASTER'!$U$2:$U$495&lt;=9)*('CONTROL MASTER'!$W$2:$W$495&gt;=9))*ROW('CONTROL MASTER'!$S$2:$S$495))-(ROW('CONTROL MASTER'!#REF!)-1))))*(INDEX('CONTROL MASTER'!$W$2:$W$495,(SUMPRODUCT((('CONTROL MASTER'!$S$2:$S$495=11)*('CONTROL MASTER'!$T$2:$T$495&lt;=9)*('CONTROL MASTER'!$V$2:$V$495&gt;=9)*('CONTROL MASTER'!$U$2:$U$495&lt;=9)*('CONTROL MASTER'!$W$2:$W$495&gt;=9))*ROW('CONTROL MASTER'!$S$2:$S$495))-(ROW('CONTROL MASTER'!#REF!)-1)))-INDEX('CONTROL MASTER'!$U$2:$U$495,(SUMPRODUCT((('CONTROL MASTER'!$S$2:$S$495=11)*('CONTROL MASTER'!$T$2:$T$495&lt;=9)*('CONTROL MASTER'!$V$2:$V$495&gt;=9)*('CONTROL MASTER'!$U$2:$U$495&lt;=9)*('CONTROL MASTER'!$W$2:$W$495&gt;=9))*ROW('CONTROL MASTER'!$S$2:$S$495))-(ROW('CONTROL MASTER'!#REF!)-1)))+1)+(9-INDEX('CONTROL MASTER'!$U$2:$U$495,(SUMPRODUCT((('CONTROL MASTER'!$S$2:$S$495=11)*('CONTROL MASTER'!$T$2:$T$495&lt;=9)*('CONTROL MASTER'!$V$2:$V$495&gt;=9)*('CONTROL MASTER'!$U$2:$U$495&lt;=9)*('CONTROL MASTER'!$W$2:$W$495&gt;=9))*ROW('CONTROL MASTER'!$S$2:$S$495))-(ROW('CONTROL MASTER'!#REF!)-1))))+1))-1)*50+1,50))&amp;"_"&amp;INDEX('CONTROL MASTER'!$P$2:$P$495,(SUMPRODUCT((('CONTROL MASTER'!$S$2:$S$495=11)*('CONTROL MASTER'!$T$2:$T$495&lt;=9)*('CONTROL MASTER'!$V$2:$V$495&gt;=9)*('CONTROL MASTER'!$U$2:$U$495&lt;=9)*('CONTROL MASTER'!$W$2:$W$495&gt;=9))*ROW('CONTROL MASTER'!$S$2:$S$495))-(ROW('CONTROL MASTER'!#REF!)-1))),IF(SUMPRODUCT((('CONTROL MASTER'!$S$2:$S$495=11)*('CONTROL MASTER'!$Z$2:$Z$495&lt;=9)*('CONTROL MASTER'!$AB$2:$AB$495&gt;=9)*('CONTROL MASTER'!$AA$2:$AA$495&lt;=9)*('CONTROL MASTER'!$AC$2:$AC$495&gt;=9))*ROW('CONTROL MASTER'!$S$2:$S$495))&gt;0,INDEX('CONTROL MASTER'!$X$2:$X$495,(SUMPRODUCT((('CONTROL MASTER'!$S$2:$S$495=11)*('CONTROL MASTER'!$Z$2:$Z$495&lt;=9)*('CONTROL MASTER'!$AB$2:$AB$495&gt;=9)*('CONTROL MASTER'!$AA$2:$AA$495&lt;=9)*('CONTROL MASTER'!$AC$2:$AC$495&gt;=9))*ROW('CONTROL MASTER'!$S$2:$S$495))-(ROW('CONTROL MASTER'!#REF!)-1)))&amp;TRIM(MID(SUBSTITUTE(SUBSTITUTE(INDEX('CONTROL MASTER'!$N$2:$N$495,(SUMPRODUCT((('CONTROL MASTER'!$S$2:$S$495=11)*('CONTROL MASTER'!$Z$2:$Z$495&lt;=9)*('CONTROL MASTER'!$AB$2:$AB$495&gt;=9)*('CONTROL MASTER'!$AA$2:$AA$495&lt;=9)*('CONTROL MASTER'!$AC$2:$AC$495&gt;=9))*ROW('CONTROL MASTER'!$S$2:$S$495))-(ROW('CONTROL MASTER'!#REF!)-1))),":",","),",",REPT(" ",50)),(((INDEX('CONTROL MASTER'!$Y$2:$Y$495,(SUMPRODUCT((('CONTROL MASTER'!$S$2:$S$495=11)*('CONTROL MASTER'!$Z$2:$Z$495&lt;=9)*('CONTROL MASTER'!$AB$2:$AB$495&gt;=9)*('CONTROL MASTER'!$AA$2:$AA$495&lt;=9)*('CONTROL MASTER'!$AC$2:$AC$495&gt;=9))*ROW('CONTROL MASTER'!$S$2:$S$495))-(ROW('CONTROL MASTER'!#REF!)-1)))+((9-INDEX('CONTROL MASTER'!$Z$2:$Z$495,(SUMPRODUCT((('CONTROL MASTER'!$S$2:$S$495=11)*('CONTROL MASTER'!$Z$2:$Z$495&lt;=9)*('CONTROL MASTER'!$AB$2:$AB$495&gt;=9)*('CONTROL MASTER'!$AA$2:$AA$495&lt;=9)*('CONTROL MASTER'!$AC$2:$AC$495&gt;=9))*ROW('CONTROL MASTER'!$S$2:$S$495))-(ROW('CONTROL MASTER'!#REF!)-1))))*(INDEX('CONTROL MASTER'!$AC$2:$AC$495,(SUMPRODUCT((('CONTROL MASTER'!$S$2:$S$495=11)*('CONTROL MASTER'!$Z$2:$Z$495&lt;=9)*('CONTROL MASTER'!$AB$2:$AB$495&gt;=9)*('CONTROL MASTER'!$AA$2:$AA$495&lt;=9)*('CONTROL MASTER'!$AC$2:$AC$495&gt;=9))*ROW('CONTROL MASTER'!$S$2:$S$495))-(ROW('CONTROL MASTER'!#REF!)-1)))-INDEX('CONTROL MASTER'!$AA$2:$AA$495,(SUMPRODUCT((('CONTROL MASTER'!$S$2:$S$495=11)*('CONTROL MASTER'!$Z$2:$Z$495&lt;=9)*('CONTROL MASTER'!$AB$2:$AB$495&gt;=9)*('CONTROL MASTER'!$AA$2:$AA$495&lt;=9)*('CONTROL MASTER'!$AC$2:$AC$495&gt;=9))*ROW('CONTROL MASTER'!$S$2:$S$495))-(ROW('CONTROL MASTER'!#REF!)-1)))+1)+(9-INDEX('CONTROL MASTER'!$AA$2:$AA$495,(SUMPRODUCT((('CONTROL MASTER'!$S$2:$S$495=11)*('CONTROL MASTER'!$Z$2:$Z$495&lt;=9)*('CONTROL MASTER'!$AB$2:$AB$495&gt;=9)*('CONTROL MASTER'!$AA$2:$AA$495&lt;=9)*('CONTROL MASTER'!$AC$2:$AC$495&gt;=9))*ROW('CONTROL MASTER'!$S$2:$S$495))-(ROW('CONTROL MASTER'!#REF!)-1))))+1)))-1)*50+1,50))&amp;"_"&amp;INDEX('CONTROL MASTER'!$P$2:$P$495,(SUMPRODUCT((('CONTROL MASTER'!$S$2:$S$495=11)*('CONTROL MASTER'!$Z$2:$Z$495&lt;=9)*('CONTROL MASTER'!$AB$2:$AB$495&gt;=9)*('CONTROL MASTER'!$AA$2:$AA$495&lt;=9)*('CONTROL MASTER'!$AC$2:$AC$495&gt;=9))*ROW('CONTROL MASTER'!$S$2:$S$495))-(ROW('CONTROL MASTER'!#REF!)-1))),"")),"")</f>
        <v/>
      </c>
      <c r="K151" s="10" t="str">
        <f>IFERROR(IF(SUMPRODUCT((('CONTROL MASTER'!$S$2:$S$495=11)*('CONTROL MASTER'!$T$2:$T$495&lt;=9)*('CONTROL MASTER'!$V$2:$V$495&gt;=9)*('CONTROL MASTER'!$U$2:$U$495&lt;=10)*('CONTROL MASTER'!$W$2:$W$495&gt;=10))*ROW('CONTROL MASTER'!$S$2:$S$495))&gt;0,INDEX('CONTROL MASTER'!$X$2:$X$495,(SUMPRODUCT((('CONTROL MASTER'!$S$2:$S$495=11)*('CONTROL MASTER'!$T$2:$T$495&lt;=9)*('CONTROL MASTER'!$V$2:$V$495&gt;=9)*('CONTROL MASTER'!$U$2:$U$495&lt;=10)*('CONTROL MASTER'!$W$2:$W$495&gt;=10))*ROW('CONTROL MASTER'!$S$2:$S$495))-(ROW('CONTROL MASTER'!#REF!)-1)))&amp;TRIM(MID(SUBSTITUTE(SUBSTITUTE(INDEX('CONTROL MASTER'!$N$2:$N$495,(SUMPRODUCT((('CONTROL MASTER'!$S$2:$S$495=11)*('CONTROL MASTER'!$T$2:$T$495&lt;=9)*('CONTROL MASTER'!$V$2:$V$495&gt;=9)*('CONTROL MASTER'!$U$2:$U$495&lt;=10)*('CONTROL MASTER'!$W$2:$W$495&gt;=10))*ROW('CONTROL MASTER'!$S$2:$S$495))-(ROW('CONTROL MASTER'!#REF!)-1))),":",","),",",REPT(" ",50)),((((9-INDEX('CONTROL MASTER'!$T$2:$T$495,(SUMPRODUCT((('CONTROL MASTER'!$S$2:$S$495=11)*('CONTROL MASTER'!$T$2:$T$495&lt;=9)*('CONTROL MASTER'!$V$2:$V$495&gt;=9)*('CONTROL MASTER'!$U$2:$U$495&lt;=10)*('CONTROL MASTER'!$W$2:$W$495&gt;=10))*ROW('CONTROL MASTER'!$S$2:$S$495))-(ROW('CONTROL MASTER'!#REF!)-1))))*(INDEX('CONTROL MASTER'!$W$2:$W$495,(SUMPRODUCT((('CONTROL MASTER'!$S$2:$S$495=11)*('CONTROL MASTER'!$T$2:$T$495&lt;=9)*('CONTROL MASTER'!$V$2:$V$495&gt;=9)*('CONTROL MASTER'!$U$2:$U$495&lt;=10)*('CONTROL MASTER'!$W$2:$W$495&gt;=10))*ROW('CONTROL MASTER'!$S$2:$S$495))-(ROW('CONTROL MASTER'!#REF!)-1)))-INDEX('CONTROL MASTER'!$U$2:$U$495,(SUMPRODUCT((('CONTROL MASTER'!$S$2:$S$495=11)*('CONTROL MASTER'!$T$2:$T$495&lt;=9)*('CONTROL MASTER'!$V$2:$V$495&gt;=9)*('CONTROL MASTER'!$U$2:$U$495&lt;=10)*('CONTROL MASTER'!$W$2:$W$495&gt;=10))*ROW('CONTROL MASTER'!$S$2:$S$495))-(ROW('CONTROL MASTER'!#REF!)-1)))+1)+(10-INDEX('CONTROL MASTER'!$U$2:$U$495,(SUMPRODUCT((('CONTROL MASTER'!$S$2:$S$495=11)*('CONTROL MASTER'!$T$2:$T$495&lt;=9)*('CONTROL MASTER'!$V$2:$V$495&gt;=9)*('CONTROL MASTER'!$U$2:$U$495&lt;=10)*('CONTROL MASTER'!$W$2:$W$495&gt;=10))*ROW('CONTROL MASTER'!$S$2:$S$495))-(ROW('CONTROL MASTER'!#REF!)-1))))+1))-1)*50+1,50))&amp;"_"&amp;INDEX('CONTROL MASTER'!$P$2:$P$495,(SUMPRODUCT((('CONTROL MASTER'!$S$2:$S$495=11)*('CONTROL MASTER'!$T$2:$T$495&lt;=9)*('CONTROL MASTER'!$V$2:$V$495&gt;=9)*('CONTROL MASTER'!$U$2:$U$495&lt;=10)*('CONTROL MASTER'!$W$2:$W$495&gt;=10))*ROW('CONTROL MASTER'!$S$2:$S$495))-(ROW('CONTROL MASTER'!#REF!)-1))),IF(SUMPRODUCT((('CONTROL MASTER'!$S$2:$S$495=11)*('CONTROL MASTER'!$Z$2:$Z$495&lt;=9)*('CONTROL MASTER'!$AB$2:$AB$495&gt;=9)*('CONTROL MASTER'!$AA$2:$AA$495&lt;=10)*('CONTROL MASTER'!$AC$2:$AC$495&gt;=10))*ROW('CONTROL MASTER'!$S$2:$S$495))&gt;0,INDEX('CONTROL MASTER'!$X$2:$X$495,(SUMPRODUCT((('CONTROL MASTER'!$S$2:$S$495=11)*('CONTROL MASTER'!$Z$2:$Z$495&lt;=9)*('CONTROL MASTER'!$AB$2:$AB$495&gt;=9)*('CONTROL MASTER'!$AA$2:$AA$495&lt;=10)*('CONTROL MASTER'!$AC$2:$AC$495&gt;=10))*ROW('CONTROL MASTER'!$S$2:$S$495))-(ROW('CONTROL MASTER'!#REF!)-1)))&amp;TRIM(MID(SUBSTITUTE(SUBSTITUTE(INDEX('CONTROL MASTER'!$N$2:$N$495,(SUMPRODUCT((('CONTROL MASTER'!$S$2:$S$495=11)*('CONTROL MASTER'!$Z$2:$Z$495&lt;=9)*('CONTROL MASTER'!$AB$2:$AB$495&gt;=9)*('CONTROL MASTER'!$AA$2:$AA$495&lt;=10)*('CONTROL MASTER'!$AC$2:$AC$495&gt;=10))*ROW('CONTROL MASTER'!$S$2:$S$495))-(ROW('CONTROL MASTER'!#REF!)-1))),":",","),",",REPT(" ",50)),(((INDEX('CONTROL MASTER'!$Y$2:$Y$495,(SUMPRODUCT((('CONTROL MASTER'!$S$2:$S$495=11)*('CONTROL MASTER'!$Z$2:$Z$495&lt;=9)*('CONTROL MASTER'!$AB$2:$AB$495&gt;=9)*('CONTROL MASTER'!$AA$2:$AA$495&lt;=10)*('CONTROL MASTER'!$AC$2:$AC$495&gt;=10))*ROW('CONTROL MASTER'!$S$2:$S$495))-(ROW('CONTROL MASTER'!#REF!)-1)))+((9-INDEX('CONTROL MASTER'!$Z$2:$Z$495,(SUMPRODUCT((('CONTROL MASTER'!$S$2:$S$495=11)*('CONTROL MASTER'!$Z$2:$Z$495&lt;=9)*('CONTROL MASTER'!$AB$2:$AB$495&gt;=9)*('CONTROL MASTER'!$AA$2:$AA$495&lt;=10)*('CONTROL MASTER'!$AC$2:$AC$495&gt;=10))*ROW('CONTROL MASTER'!$S$2:$S$495))-(ROW('CONTROL MASTER'!#REF!)-1))))*(INDEX('CONTROL MASTER'!$AC$2:$AC$495,(SUMPRODUCT((('CONTROL MASTER'!$S$2:$S$495=11)*('CONTROL MASTER'!$Z$2:$Z$495&lt;=9)*('CONTROL MASTER'!$AB$2:$AB$495&gt;=9)*('CONTROL MASTER'!$AA$2:$AA$495&lt;=10)*('CONTROL MASTER'!$AC$2:$AC$495&gt;=10))*ROW('CONTROL MASTER'!$S$2:$S$495))-(ROW('CONTROL MASTER'!#REF!)-1)))-INDEX('CONTROL MASTER'!$AA$2:$AA$495,(SUMPRODUCT((('CONTROL MASTER'!$S$2:$S$495=11)*('CONTROL MASTER'!$Z$2:$Z$495&lt;=9)*('CONTROL MASTER'!$AB$2:$AB$495&gt;=9)*('CONTROL MASTER'!$AA$2:$AA$495&lt;=10)*('CONTROL MASTER'!$AC$2:$AC$495&gt;=10))*ROW('CONTROL MASTER'!$S$2:$S$495))-(ROW('CONTROL MASTER'!#REF!)-1)))+1)+(10-INDEX('CONTROL MASTER'!$AA$2:$AA$495,(SUMPRODUCT((('CONTROL MASTER'!$S$2:$S$495=11)*('CONTROL MASTER'!$Z$2:$Z$495&lt;=9)*('CONTROL MASTER'!$AB$2:$AB$495&gt;=9)*('CONTROL MASTER'!$AA$2:$AA$495&lt;=10)*('CONTROL MASTER'!$AC$2:$AC$495&gt;=10))*ROW('CONTROL MASTER'!$S$2:$S$495))-(ROW('CONTROL MASTER'!#REF!)-1))))+1)))-1)*50+1,50))&amp;"_"&amp;INDEX('CONTROL MASTER'!$P$2:$P$495,(SUMPRODUCT((('CONTROL MASTER'!$S$2:$S$495=11)*('CONTROL MASTER'!$Z$2:$Z$495&lt;=9)*('CONTROL MASTER'!$AB$2:$AB$495&gt;=9)*('CONTROL MASTER'!$AA$2:$AA$495&lt;=10)*('CONTROL MASTER'!$AC$2:$AC$495&gt;=10))*ROW('CONTROL MASTER'!$S$2:$S$495))-(ROW('CONTROL MASTER'!#REF!)-1))),"")),"")</f>
        <v/>
      </c>
    </row>
    <row r="152" spans="1:11" ht="15" customHeight="1" x14ac:dyDescent="0.35">
      <c r="A152" s="8" t="s">
        <v>82</v>
      </c>
      <c r="B152" s="10" t="str">
        <f>IFERROR(IF(SUMPRODUCT((('CONTROL MASTER'!$S$2:$S$495=11)*('CONTROL MASTER'!$T$2:$T$495&lt;=10)*('CONTROL MASTER'!$V$2:$V$495&gt;=10)*('CONTROL MASTER'!$U$2:$U$495&lt;=1)*('CONTROL MASTER'!$W$2:$W$495&gt;=1))*ROW('CONTROL MASTER'!$S$2:$S$495))&gt;0,INDEX('CONTROL MASTER'!$X$2:$X$495,(SUMPRODUCT((('CONTROL MASTER'!$S$2:$S$495=11)*('CONTROL MASTER'!$T$2:$T$495&lt;=10)*('CONTROL MASTER'!$V$2:$V$495&gt;=10)*('CONTROL MASTER'!$U$2:$U$495&lt;=1)*('CONTROL MASTER'!$W$2:$W$495&gt;=1))*ROW('CONTROL MASTER'!$S$2:$S$495))-(ROW('CONTROL MASTER'!#REF!)-1)))&amp;TRIM(MID(SUBSTITUTE(SUBSTITUTE(INDEX('CONTROL MASTER'!$N$2:$N$495,(SUMPRODUCT((('CONTROL MASTER'!$S$2:$S$495=11)*('CONTROL MASTER'!$T$2:$T$495&lt;=10)*('CONTROL MASTER'!$V$2:$V$495&gt;=10)*('CONTROL MASTER'!$U$2:$U$495&lt;=1)*('CONTROL MASTER'!$W$2:$W$495&gt;=1))*ROW('CONTROL MASTER'!$S$2:$S$495))-(ROW('CONTROL MASTER'!#REF!)-1))),":",","),",",REPT(" ",50)),((((10-INDEX('CONTROL MASTER'!$T$2:$T$495,(SUMPRODUCT((('CONTROL MASTER'!$S$2:$S$495=11)*('CONTROL MASTER'!$T$2:$T$495&lt;=10)*('CONTROL MASTER'!$V$2:$V$495&gt;=10)*('CONTROL MASTER'!$U$2:$U$495&lt;=1)*('CONTROL MASTER'!$W$2:$W$495&gt;=1))*ROW('CONTROL MASTER'!$S$2:$S$495))-(ROW('CONTROL MASTER'!#REF!)-1))))*(INDEX('CONTROL MASTER'!$W$2:$W$495,(SUMPRODUCT((('CONTROL MASTER'!$S$2:$S$495=11)*('CONTROL MASTER'!$T$2:$T$495&lt;=10)*('CONTROL MASTER'!$V$2:$V$495&gt;=10)*('CONTROL MASTER'!$U$2:$U$495&lt;=1)*('CONTROL MASTER'!$W$2:$W$495&gt;=1))*ROW('CONTROL MASTER'!$S$2:$S$495))-(ROW('CONTROL MASTER'!#REF!)-1)))-INDEX('CONTROL MASTER'!$U$2:$U$495,(SUMPRODUCT((('CONTROL MASTER'!$S$2:$S$495=11)*('CONTROL MASTER'!$T$2:$T$495&lt;=10)*('CONTROL MASTER'!$V$2:$V$495&gt;=10)*('CONTROL MASTER'!$U$2:$U$495&lt;=1)*('CONTROL MASTER'!$W$2:$W$495&gt;=1))*ROW('CONTROL MASTER'!$S$2:$S$495))-(ROW('CONTROL MASTER'!#REF!)-1)))+1)+(1-INDEX('CONTROL MASTER'!$U$2:$U$495,(SUMPRODUCT((('CONTROL MASTER'!$S$2:$S$495=11)*('CONTROL MASTER'!$T$2:$T$495&lt;=10)*('CONTROL MASTER'!$V$2:$V$495&gt;=10)*('CONTROL MASTER'!$U$2:$U$495&lt;=1)*('CONTROL MASTER'!$W$2:$W$495&gt;=1))*ROW('CONTROL MASTER'!$S$2:$S$495))-(ROW('CONTROL MASTER'!#REF!)-1))))+1))-1)*50+1,50))&amp;"_"&amp;INDEX('CONTROL MASTER'!$P$2:$P$495,(SUMPRODUCT((('CONTROL MASTER'!$S$2:$S$495=11)*('CONTROL MASTER'!$T$2:$T$495&lt;=10)*('CONTROL MASTER'!$V$2:$V$495&gt;=10)*('CONTROL MASTER'!$U$2:$U$495&lt;=1)*('CONTROL MASTER'!$W$2:$W$495&gt;=1))*ROW('CONTROL MASTER'!$S$2:$S$495))-(ROW('CONTROL MASTER'!#REF!)-1))),IF(SUMPRODUCT((('CONTROL MASTER'!$S$2:$S$495=11)*('CONTROL MASTER'!$Z$2:$Z$495&lt;=10)*('CONTROL MASTER'!$AB$2:$AB$495&gt;=10)*('CONTROL MASTER'!$AA$2:$AA$495&lt;=1)*('CONTROL MASTER'!$AC$2:$AC$495&gt;=1))*ROW('CONTROL MASTER'!$S$2:$S$495))&gt;0,INDEX('CONTROL MASTER'!$X$2:$X$495,(SUMPRODUCT((('CONTROL MASTER'!$S$2:$S$495=11)*('CONTROL MASTER'!$Z$2:$Z$495&lt;=10)*('CONTROL MASTER'!$AB$2:$AB$495&gt;=10)*('CONTROL MASTER'!$AA$2:$AA$495&lt;=1)*('CONTROL MASTER'!$AC$2:$AC$495&gt;=1))*ROW('CONTROL MASTER'!$S$2:$S$495))-(ROW('CONTROL MASTER'!#REF!)-1)))&amp;TRIM(MID(SUBSTITUTE(SUBSTITUTE(INDEX('CONTROL MASTER'!$N$2:$N$495,(SUMPRODUCT((('CONTROL MASTER'!$S$2:$S$495=11)*('CONTROL MASTER'!$Z$2:$Z$495&lt;=10)*('CONTROL MASTER'!$AB$2:$AB$495&gt;=10)*('CONTROL MASTER'!$AA$2:$AA$495&lt;=1)*('CONTROL MASTER'!$AC$2:$AC$495&gt;=1))*ROW('CONTROL MASTER'!$S$2:$S$495))-(ROW('CONTROL MASTER'!#REF!)-1))),":",","),",",REPT(" ",50)),(((INDEX('CONTROL MASTER'!$Y$2:$Y$495,(SUMPRODUCT((('CONTROL MASTER'!$S$2:$S$495=11)*('CONTROL MASTER'!$Z$2:$Z$495&lt;=10)*('CONTROL MASTER'!$AB$2:$AB$495&gt;=10)*('CONTROL MASTER'!$AA$2:$AA$495&lt;=1)*('CONTROL MASTER'!$AC$2:$AC$495&gt;=1))*ROW('CONTROL MASTER'!$S$2:$S$495))-(ROW('CONTROL MASTER'!#REF!)-1)))+((10-INDEX('CONTROL MASTER'!$Z$2:$Z$495,(SUMPRODUCT((('CONTROL MASTER'!$S$2:$S$495=11)*('CONTROL MASTER'!$Z$2:$Z$495&lt;=10)*('CONTROL MASTER'!$AB$2:$AB$495&gt;=10)*('CONTROL MASTER'!$AA$2:$AA$495&lt;=1)*('CONTROL MASTER'!$AC$2:$AC$495&gt;=1))*ROW('CONTROL MASTER'!$S$2:$S$495))-(ROW('CONTROL MASTER'!#REF!)-1))))*(INDEX('CONTROL MASTER'!$AC$2:$AC$495,(SUMPRODUCT((('CONTROL MASTER'!$S$2:$S$495=11)*('CONTROL MASTER'!$Z$2:$Z$495&lt;=10)*('CONTROL MASTER'!$AB$2:$AB$495&gt;=10)*('CONTROL MASTER'!$AA$2:$AA$495&lt;=1)*('CONTROL MASTER'!$AC$2:$AC$495&gt;=1))*ROW('CONTROL MASTER'!$S$2:$S$495))-(ROW('CONTROL MASTER'!#REF!)-1)))-INDEX('CONTROL MASTER'!$AA$2:$AA$495,(SUMPRODUCT((('CONTROL MASTER'!$S$2:$S$495=11)*('CONTROL MASTER'!$Z$2:$Z$495&lt;=10)*('CONTROL MASTER'!$AB$2:$AB$495&gt;=10)*('CONTROL MASTER'!$AA$2:$AA$495&lt;=1)*('CONTROL MASTER'!$AC$2:$AC$495&gt;=1))*ROW('CONTROL MASTER'!$S$2:$S$495))-(ROW('CONTROL MASTER'!#REF!)-1)))+1)+(1-INDEX('CONTROL MASTER'!$AA$2:$AA$495,(SUMPRODUCT((('CONTROL MASTER'!$S$2:$S$495=11)*('CONTROL MASTER'!$Z$2:$Z$495&lt;=10)*('CONTROL MASTER'!$AB$2:$AB$495&gt;=10)*('CONTROL MASTER'!$AA$2:$AA$495&lt;=1)*('CONTROL MASTER'!$AC$2:$AC$495&gt;=1))*ROW('CONTROL MASTER'!$S$2:$S$495))-(ROW('CONTROL MASTER'!#REF!)-1))))+1)))-1)*50+1,50))&amp;"_"&amp;INDEX('CONTROL MASTER'!$P$2:$P$495,(SUMPRODUCT((('CONTROL MASTER'!$S$2:$S$495=11)*('CONTROL MASTER'!$Z$2:$Z$495&lt;=10)*('CONTROL MASTER'!$AB$2:$AB$495&gt;=10)*('CONTROL MASTER'!$AA$2:$AA$495&lt;=1)*('CONTROL MASTER'!$AC$2:$AC$495&gt;=1))*ROW('CONTROL MASTER'!$S$2:$S$495))-(ROW('CONTROL MASTER'!#REF!)-1))),"")),"")</f>
        <v/>
      </c>
      <c r="C152" s="10" t="str">
        <f>IFERROR(IF(SUMPRODUCT((('CONTROL MASTER'!$S$2:$S$495=11)*('CONTROL MASTER'!$T$2:$T$495&lt;=10)*('CONTROL MASTER'!$V$2:$V$495&gt;=10)*('CONTROL MASTER'!$U$2:$U$495&lt;=2)*('CONTROL MASTER'!$W$2:$W$495&gt;=2))*ROW('CONTROL MASTER'!$S$2:$S$495))&gt;0,INDEX('CONTROL MASTER'!$X$2:$X$495,(SUMPRODUCT((('CONTROL MASTER'!$S$2:$S$495=11)*('CONTROL MASTER'!$T$2:$T$495&lt;=10)*('CONTROL MASTER'!$V$2:$V$495&gt;=10)*('CONTROL MASTER'!$U$2:$U$495&lt;=2)*('CONTROL MASTER'!$W$2:$W$495&gt;=2))*ROW('CONTROL MASTER'!$S$2:$S$495))-(ROW('CONTROL MASTER'!#REF!)-1)))&amp;TRIM(MID(SUBSTITUTE(SUBSTITUTE(INDEX('CONTROL MASTER'!$N$2:$N$495,(SUMPRODUCT((('CONTROL MASTER'!$S$2:$S$495=11)*('CONTROL MASTER'!$T$2:$T$495&lt;=10)*('CONTROL MASTER'!$V$2:$V$495&gt;=10)*('CONTROL MASTER'!$U$2:$U$495&lt;=2)*('CONTROL MASTER'!$W$2:$W$495&gt;=2))*ROW('CONTROL MASTER'!$S$2:$S$495))-(ROW('CONTROL MASTER'!#REF!)-1))),":",","),",",REPT(" ",50)),((((10-INDEX('CONTROL MASTER'!$T$2:$T$495,(SUMPRODUCT((('CONTROL MASTER'!$S$2:$S$495=11)*('CONTROL MASTER'!$T$2:$T$495&lt;=10)*('CONTROL MASTER'!$V$2:$V$495&gt;=10)*('CONTROL MASTER'!$U$2:$U$495&lt;=2)*('CONTROL MASTER'!$W$2:$W$495&gt;=2))*ROW('CONTROL MASTER'!$S$2:$S$495))-(ROW('CONTROL MASTER'!#REF!)-1))))*(INDEX('CONTROL MASTER'!$W$2:$W$495,(SUMPRODUCT((('CONTROL MASTER'!$S$2:$S$495=11)*('CONTROL MASTER'!$T$2:$T$495&lt;=10)*('CONTROL MASTER'!$V$2:$V$495&gt;=10)*('CONTROL MASTER'!$U$2:$U$495&lt;=2)*('CONTROL MASTER'!$W$2:$W$495&gt;=2))*ROW('CONTROL MASTER'!$S$2:$S$495))-(ROW('CONTROL MASTER'!#REF!)-1)))-INDEX('CONTROL MASTER'!$U$2:$U$495,(SUMPRODUCT((('CONTROL MASTER'!$S$2:$S$495=11)*('CONTROL MASTER'!$T$2:$T$495&lt;=10)*('CONTROL MASTER'!$V$2:$V$495&gt;=10)*('CONTROL MASTER'!$U$2:$U$495&lt;=2)*('CONTROL MASTER'!$W$2:$W$495&gt;=2))*ROW('CONTROL MASTER'!$S$2:$S$495))-(ROW('CONTROL MASTER'!#REF!)-1)))+1)+(2-INDEX('CONTROL MASTER'!$U$2:$U$495,(SUMPRODUCT((('CONTROL MASTER'!$S$2:$S$495=11)*('CONTROL MASTER'!$T$2:$T$495&lt;=10)*('CONTROL MASTER'!$V$2:$V$495&gt;=10)*('CONTROL MASTER'!$U$2:$U$495&lt;=2)*('CONTROL MASTER'!$W$2:$W$495&gt;=2))*ROW('CONTROL MASTER'!$S$2:$S$495))-(ROW('CONTROL MASTER'!#REF!)-1))))+1))-1)*50+1,50))&amp;"_"&amp;INDEX('CONTROL MASTER'!$P$2:$P$495,(SUMPRODUCT((('CONTROL MASTER'!$S$2:$S$495=11)*('CONTROL MASTER'!$T$2:$T$495&lt;=10)*('CONTROL MASTER'!$V$2:$V$495&gt;=10)*('CONTROL MASTER'!$U$2:$U$495&lt;=2)*('CONTROL MASTER'!$W$2:$W$495&gt;=2))*ROW('CONTROL MASTER'!$S$2:$S$495))-(ROW('CONTROL MASTER'!#REF!)-1))),IF(SUMPRODUCT((('CONTROL MASTER'!$S$2:$S$495=11)*('CONTROL MASTER'!$Z$2:$Z$495&lt;=10)*('CONTROL MASTER'!$AB$2:$AB$495&gt;=10)*('CONTROL MASTER'!$AA$2:$AA$495&lt;=2)*('CONTROL MASTER'!$AC$2:$AC$495&gt;=2))*ROW('CONTROL MASTER'!$S$2:$S$495))&gt;0,INDEX('CONTROL MASTER'!$X$2:$X$495,(SUMPRODUCT((('CONTROL MASTER'!$S$2:$S$495=11)*('CONTROL MASTER'!$Z$2:$Z$495&lt;=10)*('CONTROL MASTER'!$AB$2:$AB$495&gt;=10)*('CONTROL MASTER'!$AA$2:$AA$495&lt;=2)*('CONTROL MASTER'!$AC$2:$AC$495&gt;=2))*ROW('CONTROL MASTER'!$S$2:$S$495))-(ROW('CONTROL MASTER'!#REF!)-1)))&amp;TRIM(MID(SUBSTITUTE(SUBSTITUTE(INDEX('CONTROL MASTER'!$N$2:$N$495,(SUMPRODUCT((('CONTROL MASTER'!$S$2:$S$495=11)*('CONTROL MASTER'!$Z$2:$Z$495&lt;=10)*('CONTROL MASTER'!$AB$2:$AB$495&gt;=10)*('CONTROL MASTER'!$AA$2:$AA$495&lt;=2)*('CONTROL MASTER'!$AC$2:$AC$495&gt;=2))*ROW('CONTROL MASTER'!$S$2:$S$495))-(ROW('CONTROL MASTER'!#REF!)-1))),":",","),",",REPT(" ",50)),(((INDEX('CONTROL MASTER'!$Y$2:$Y$495,(SUMPRODUCT((('CONTROL MASTER'!$S$2:$S$495=11)*('CONTROL MASTER'!$Z$2:$Z$495&lt;=10)*('CONTROL MASTER'!$AB$2:$AB$495&gt;=10)*('CONTROL MASTER'!$AA$2:$AA$495&lt;=2)*('CONTROL MASTER'!$AC$2:$AC$495&gt;=2))*ROW('CONTROL MASTER'!$S$2:$S$495))-(ROW('CONTROL MASTER'!#REF!)-1)))+((10-INDEX('CONTROL MASTER'!$Z$2:$Z$495,(SUMPRODUCT((('CONTROL MASTER'!$S$2:$S$495=11)*('CONTROL MASTER'!$Z$2:$Z$495&lt;=10)*('CONTROL MASTER'!$AB$2:$AB$495&gt;=10)*('CONTROL MASTER'!$AA$2:$AA$495&lt;=2)*('CONTROL MASTER'!$AC$2:$AC$495&gt;=2))*ROW('CONTROL MASTER'!$S$2:$S$495))-(ROW('CONTROL MASTER'!#REF!)-1))))*(INDEX('CONTROL MASTER'!$AC$2:$AC$495,(SUMPRODUCT((('CONTROL MASTER'!$S$2:$S$495=11)*('CONTROL MASTER'!$Z$2:$Z$495&lt;=10)*('CONTROL MASTER'!$AB$2:$AB$495&gt;=10)*('CONTROL MASTER'!$AA$2:$AA$495&lt;=2)*('CONTROL MASTER'!$AC$2:$AC$495&gt;=2))*ROW('CONTROL MASTER'!$S$2:$S$495))-(ROW('CONTROL MASTER'!#REF!)-1)))-INDEX('CONTROL MASTER'!$AA$2:$AA$495,(SUMPRODUCT((('CONTROL MASTER'!$S$2:$S$495=11)*('CONTROL MASTER'!$Z$2:$Z$495&lt;=10)*('CONTROL MASTER'!$AB$2:$AB$495&gt;=10)*('CONTROL MASTER'!$AA$2:$AA$495&lt;=2)*('CONTROL MASTER'!$AC$2:$AC$495&gt;=2))*ROW('CONTROL MASTER'!$S$2:$S$495))-(ROW('CONTROL MASTER'!#REF!)-1)))+1)+(2-INDEX('CONTROL MASTER'!$AA$2:$AA$495,(SUMPRODUCT((('CONTROL MASTER'!$S$2:$S$495=11)*('CONTROL MASTER'!$Z$2:$Z$495&lt;=10)*('CONTROL MASTER'!$AB$2:$AB$495&gt;=10)*('CONTROL MASTER'!$AA$2:$AA$495&lt;=2)*('CONTROL MASTER'!$AC$2:$AC$495&gt;=2))*ROW('CONTROL MASTER'!$S$2:$S$495))-(ROW('CONTROL MASTER'!#REF!)-1))))+1)))-1)*50+1,50))&amp;"_"&amp;INDEX('CONTROL MASTER'!$P$2:$P$495,(SUMPRODUCT((('CONTROL MASTER'!$S$2:$S$495=11)*('CONTROL MASTER'!$Z$2:$Z$495&lt;=10)*('CONTROL MASTER'!$AB$2:$AB$495&gt;=10)*('CONTROL MASTER'!$AA$2:$AA$495&lt;=2)*('CONTROL MASTER'!$AC$2:$AC$495&gt;=2))*ROW('CONTROL MASTER'!$S$2:$S$495))-(ROW('CONTROL MASTER'!#REF!)-1))),"")),"")</f>
        <v/>
      </c>
      <c r="D152" s="10" t="str">
        <f>IFERROR(IF(SUMPRODUCT((('CONTROL MASTER'!$S$2:$S$495=11)*('CONTROL MASTER'!$T$2:$T$495&lt;=10)*('CONTROL MASTER'!$V$2:$V$495&gt;=10)*('CONTROL MASTER'!$U$2:$U$495&lt;=3)*('CONTROL MASTER'!$W$2:$W$495&gt;=3))*ROW('CONTROL MASTER'!$S$2:$S$495))&gt;0,INDEX('CONTROL MASTER'!$X$2:$X$495,(SUMPRODUCT((('CONTROL MASTER'!$S$2:$S$495=11)*('CONTROL MASTER'!$T$2:$T$495&lt;=10)*('CONTROL MASTER'!$V$2:$V$495&gt;=10)*('CONTROL MASTER'!$U$2:$U$495&lt;=3)*('CONTROL MASTER'!$W$2:$W$495&gt;=3))*ROW('CONTROL MASTER'!$S$2:$S$495))-(ROW('CONTROL MASTER'!#REF!)-1)))&amp;TRIM(MID(SUBSTITUTE(SUBSTITUTE(INDEX('CONTROL MASTER'!$N$2:$N$495,(SUMPRODUCT((('CONTROL MASTER'!$S$2:$S$495=11)*('CONTROL MASTER'!$T$2:$T$495&lt;=10)*('CONTROL MASTER'!$V$2:$V$495&gt;=10)*('CONTROL MASTER'!$U$2:$U$495&lt;=3)*('CONTROL MASTER'!$W$2:$W$495&gt;=3))*ROW('CONTROL MASTER'!$S$2:$S$495))-(ROW('CONTROL MASTER'!#REF!)-1))),":",","),",",REPT(" ",50)),((((10-INDEX('CONTROL MASTER'!$T$2:$T$495,(SUMPRODUCT((('CONTROL MASTER'!$S$2:$S$495=11)*('CONTROL MASTER'!$T$2:$T$495&lt;=10)*('CONTROL MASTER'!$V$2:$V$495&gt;=10)*('CONTROL MASTER'!$U$2:$U$495&lt;=3)*('CONTROL MASTER'!$W$2:$W$495&gt;=3))*ROW('CONTROL MASTER'!$S$2:$S$495))-(ROW('CONTROL MASTER'!#REF!)-1))))*(INDEX('CONTROL MASTER'!$W$2:$W$495,(SUMPRODUCT((('CONTROL MASTER'!$S$2:$S$495=11)*('CONTROL MASTER'!$T$2:$T$495&lt;=10)*('CONTROL MASTER'!$V$2:$V$495&gt;=10)*('CONTROL MASTER'!$U$2:$U$495&lt;=3)*('CONTROL MASTER'!$W$2:$W$495&gt;=3))*ROW('CONTROL MASTER'!$S$2:$S$495))-(ROW('CONTROL MASTER'!#REF!)-1)))-INDEX('CONTROL MASTER'!$U$2:$U$495,(SUMPRODUCT((('CONTROL MASTER'!$S$2:$S$495=11)*('CONTROL MASTER'!$T$2:$T$495&lt;=10)*('CONTROL MASTER'!$V$2:$V$495&gt;=10)*('CONTROL MASTER'!$U$2:$U$495&lt;=3)*('CONTROL MASTER'!$W$2:$W$495&gt;=3))*ROW('CONTROL MASTER'!$S$2:$S$495))-(ROW('CONTROL MASTER'!#REF!)-1)))+1)+(3-INDEX('CONTROL MASTER'!$U$2:$U$495,(SUMPRODUCT((('CONTROL MASTER'!$S$2:$S$495=11)*('CONTROL MASTER'!$T$2:$T$495&lt;=10)*('CONTROL MASTER'!$V$2:$V$495&gt;=10)*('CONTROL MASTER'!$U$2:$U$495&lt;=3)*('CONTROL MASTER'!$W$2:$W$495&gt;=3))*ROW('CONTROL MASTER'!$S$2:$S$495))-(ROW('CONTROL MASTER'!#REF!)-1))))+1))-1)*50+1,50))&amp;"_"&amp;INDEX('CONTROL MASTER'!$P$2:$P$495,(SUMPRODUCT((('CONTROL MASTER'!$S$2:$S$495=11)*('CONTROL MASTER'!$T$2:$T$495&lt;=10)*('CONTROL MASTER'!$V$2:$V$495&gt;=10)*('CONTROL MASTER'!$U$2:$U$495&lt;=3)*('CONTROL MASTER'!$W$2:$W$495&gt;=3))*ROW('CONTROL MASTER'!$S$2:$S$495))-(ROW('CONTROL MASTER'!#REF!)-1))),IF(SUMPRODUCT((('CONTROL MASTER'!$S$2:$S$495=11)*('CONTROL MASTER'!$Z$2:$Z$495&lt;=10)*('CONTROL MASTER'!$AB$2:$AB$495&gt;=10)*('CONTROL MASTER'!$AA$2:$AA$495&lt;=3)*('CONTROL MASTER'!$AC$2:$AC$495&gt;=3))*ROW('CONTROL MASTER'!$S$2:$S$495))&gt;0,INDEX('CONTROL MASTER'!$X$2:$X$495,(SUMPRODUCT((('CONTROL MASTER'!$S$2:$S$495=11)*('CONTROL MASTER'!$Z$2:$Z$495&lt;=10)*('CONTROL MASTER'!$AB$2:$AB$495&gt;=10)*('CONTROL MASTER'!$AA$2:$AA$495&lt;=3)*('CONTROL MASTER'!$AC$2:$AC$495&gt;=3))*ROW('CONTROL MASTER'!$S$2:$S$495))-(ROW('CONTROL MASTER'!#REF!)-1)))&amp;TRIM(MID(SUBSTITUTE(SUBSTITUTE(INDEX('CONTROL MASTER'!$N$2:$N$495,(SUMPRODUCT((('CONTROL MASTER'!$S$2:$S$495=11)*('CONTROL MASTER'!$Z$2:$Z$495&lt;=10)*('CONTROL MASTER'!$AB$2:$AB$495&gt;=10)*('CONTROL MASTER'!$AA$2:$AA$495&lt;=3)*('CONTROL MASTER'!$AC$2:$AC$495&gt;=3))*ROW('CONTROL MASTER'!$S$2:$S$495))-(ROW('CONTROL MASTER'!#REF!)-1))),":",","),",",REPT(" ",50)),(((INDEX('CONTROL MASTER'!$Y$2:$Y$495,(SUMPRODUCT((('CONTROL MASTER'!$S$2:$S$495=11)*('CONTROL MASTER'!$Z$2:$Z$495&lt;=10)*('CONTROL MASTER'!$AB$2:$AB$495&gt;=10)*('CONTROL MASTER'!$AA$2:$AA$495&lt;=3)*('CONTROL MASTER'!$AC$2:$AC$495&gt;=3))*ROW('CONTROL MASTER'!$S$2:$S$495))-(ROW('CONTROL MASTER'!#REF!)-1)))+((10-INDEX('CONTROL MASTER'!$Z$2:$Z$495,(SUMPRODUCT((('CONTROL MASTER'!$S$2:$S$495=11)*('CONTROL MASTER'!$Z$2:$Z$495&lt;=10)*('CONTROL MASTER'!$AB$2:$AB$495&gt;=10)*('CONTROL MASTER'!$AA$2:$AA$495&lt;=3)*('CONTROL MASTER'!$AC$2:$AC$495&gt;=3))*ROW('CONTROL MASTER'!$S$2:$S$495))-(ROW('CONTROL MASTER'!#REF!)-1))))*(INDEX('CONTROL MASTER'!$AC$2:$AC$495,(SUMPRODUCT((('CONTROL MASTER'!$S$2:$S$495=11)*('CONTROL MASTER'!$Z$2:$Z$495&lt;=10)*('CONTROL MASTER'!$AB$2:$AB$495&gt;=10)*('CONTROL MASTER'!$AA$2:$AA$495&lt;=3)*('CONTROL MASTER'!$AC$2:$AC$495&gt;=3))*ROW('CONTROL MASTER'!$S$2:$S$495))-(ROW('CONTROL MASTER'!#REF!)-1)))-INDEX('CONTROL MASTER'!$AA$2:$AA$495,(SUMPRODUCT((('CONTROL MASTER'!$S$2:$S$495=11)*('CONTROL MASTER'!$Z$2:$Z$495&lt;=10)*('CONTROL MASTER'!$AB$2:$AB$495&gt;=10)*('CONTROL MASTER'!$AA$2:$AA$495&lt;=3)*('CONTROL MASTER'!$AC$2:$AC$495&gt;=3))*ROW('CONTROL MASTER'!$S$2:$S$495))-(ROW('CONTROL MASTER'!#REF!)-1)))+1)+(3-INDEX('CONTROL MASTER'!$AA$2:$AA$495,(SUMPRODUCT((('CONTROL MASTER'!$S$2:$S$495=11)*('CONTROL MASTER'!$Z$2:$Z$495&lt;=10)*('CONTROL MASTER'!$AB$2:$AB$495&gt;=10)*('CONTROL MASTER'!$AA$2:$AA$495&lt;=3)*('CONTROL MASTER'!$AC$2:$AC$495&gt;=3))*ROW('CONTROL MASTER'!$S$2:$S$495))-(ROW('CONTROL MASTER'!#REF!)-1))))+1)))-1)*50+1,50))&amp;"_"&amp;INDEX('CONTROL MASTER'!$P$2:$P$495,(SUMPRODUCT((('CONTROL MASTER'!$S$2:$S$495=11)*('CONTROL MASTER'!$Z$2:$Z$495&lt;=10)*('CONTROL MASTER'!$AB$2:$AB$495&gt;=10)*('CONTROL MASTER'!$AA$2:$AA$495&lt;=3)*('CONTROL MASTER'!$AC$2:$AC$495&gt;=3))*ROW('CONTROL MASTER'!$S$2:$S$495))-(ROW('CONTROL MASTER'!#REF!)-1))),"")),"")</f>
        <v/>
      </c>
      <c r="E152" s="10" t="str">
        <f>IFERROR(IF(SUMPRODUCT((('CONTROL MASTER'!$S$2:$S$495=11)*('CONTROL MASTER'!$T$2:$T$495&lt;=10)*('CONTROL MASTER'!$V$2:$V$495&gt;=10)*('CONTROL MASTER'!$U$2:$U$495&lt;=4)*('CONTROL MASTER'!$W$2:$W$495&gt;=4))*ROW('CONTROL MASTER'!$S$2:$S$495))&gt;0,INDEX('CONTROL MASTER'!$X$2:$X$495,(SUMPRODUCT((('CONTROL MASTER'!$S$2:$S$495=11)*('CONTROL MASTER'!$T$2:$T$495&lt;=10)*('CONTROL MASTER'!$V$2:$V$495&gt;=10)*('CONTROL MASTER'!$U$2:$U$495&lt;=4)*('CONTROL MASTER'!$W$2:$W$495&gt;=4))*ROW('CONTROL MASTER'!$S$2:$S$495))-(ROW('CONTROL MASTER'!#REF!)-1)))&amp;TRIM(MID(SUBSTITUTE(SUBSTITUTE(INDEX('CONTROL MASTER'!$N$2:$N$495,(SUMPRODUCT((('CONTROL MASTER'!$S$2:$S$495=11)*('CONTROL MASTER'!$T$2:$T$495&lt;=10)*('CONTROL MASTER'!$V$2:$V$495&gt;=10)*('CONTROL MASTER'!$U$2:$U$495&lt;=4)*('CONTROL MASTER'!$W$2:$W$495&gt;=4))*ROW('CONTROL MASTER'!$S$2:$S$495))-(ROW('CONTROL MASTER'!#REF!)-1))),":",","),",",REPT(" ",50)),((((10-INDEX('CONTROL MASTER'!$T$2:$T$495,(SUMPRODUCT((('CONTROL MASTER'!$S$2:$S$495=11)*('CONTROL MASTER'!$T$2:$T$495&lt;=10)*('CONTROL MASTER'!$V$2:$V$495&gt;=10)*('CONTROL MASTER'!$U$2:$U$495&lt;=4)*('CONTROL MASTER'!$W$2:$W$495&gt;=4))*ROW('CONTROL MASTER'!$S$2:$S$495))-(ROW('CONTROL MASTER'!#REF!)-1))))*(INDEX('CONTROL MASTER'!$W$2:$W$495,(SUMPRODUCT((('CONTROL MASTER'!$S$2:$S$495=11)*('CONTROL MASTER'!$T$2:$T$495&lt;=10)*('CONTROL MASTER'!$V$2:$V$495&gt;=10)*('CONTROL MASTER'!$U$2:$U$495&lt;=4)*('CONTROL MASTER'!$W$2:$W$495&gt;=4))*ROW('CONTROL MASTER'!$S$2:$S$495))-(ROW('CONTROL MASTER'!#REF!)-1)))-INDEX('CONTROL MASTER'!$U$2:$U$495,(SUMPRODUCT((('CONTROL MASTER'!$S$2:$S$495=11)*('CONTROL MASTER'!$T$2:$T$495&lt;=10)*('CONTROL MASTER'!$V$2:$V$495&gt;=10)*('CONTROL MASTER'!$U$2:$U$495&lt;=4)*('CONTROL MASTER'!$W$2:$W$495&gt;=4))*ROW('CONTROL MASTER'!$S$2:$S$495))-(ROW('CONTROL MASTER'!#REF!)-1)))+1)+(4-INDEX('CONTROL MASTER'!$U$2:$U$495,(SUMPRODUCT((('CONTROL MASTER'!$S$2:$S$495=11)*('CONTROL MASTER'!$T$2:$T$495&lt;=10)*('CONTROL MASTER'!$V$2:$V$495&gt;=10)*('CONTROL MASTER'!$U$2:$U$495&lt;=4)*('CONTROL MASTER'!$W$2:$W$495&gt;=4))*ROW('CONTROL MASTER'!$S$2:$S$495))-(ROW('CONTROL MASTER'!#REF!)-1))))+1))-1)*50+1,50))&amp;"_"&amp;INDEX('CONTROL MASTER'!$P$2:$P$495,(SUMPRODUCT((('CONTROL MASTER'!$S$2:$S$495=11)*('CONTROL MASTER'!$T$2:$T$495&lt;=10)*('CONTROL MASTER'!$V$2:$V$495&gt;=10)*('CONTROL MASTER'!$U$2:$U$495&lt;=4)*('CONTROL MASTER'!$W$2:$W$495&gt;=4))*ROW('CONTROL MASTER'!$S$2:$S$495))-(ROW('CONTROL MASTER'!#REF!)-1))),IF(SUMPRODUCT((('CONTROL MASTER'!$S$2:$S$495=11)*('CONTROL MASTER'!$Z$2:$Z$495&lt;=10)*('CONTROL MASTER'!$AB$2:$AB$495&gt;=10)*('CONTROL MASTER'!$AA$2:$AA$495&lt;=4)*('CONTROL MASTER'!$AC$2:$AC$495&gt;=4))*ROW('CONTROL MASTER'!$S$2:$S$495))&gt;0,INDEX('CONTROL MASTER'!$X$2:$X$495,(SUMPRODUCT((('CONTROL MASTER'!$S$2:$S$495=11)*('CONTROL MASTER'!$Z$2:$Z$495&lt;=10)*('CONTROL MASTER'!$AB$2:$AB$495&gt;=10)*('CONTROL MASTER'!$AA$2:$AA$495&lt;=4)*('CONTROL MASTER'!$AC$2:$AC$495&gt;=4))*ROW('CONTROL MASTER'!$S$2:$S$495))-(ROW('CONTROL MASTER'!#REF!)-1)))&amp;TRIM(MID(SUBSTITUTE(SUBSTITUTE(INDEX('CONTROL MASTER'!$N$2:$N$495,(SUMPRODUCT((('CONTROL MASTER'!$S$2:$S$495=11)*('CONTROL MASTER'!$Z$2:$Z$495&lt;=10)*('CONTROL MASTER'!$AB$2:$AB$495&gt;=10)*('CONTROL MASTER'!$AA$2:$AA$495&lt;=4)*('CONTROL MASTER'!$AC$2:$AC$495&gt;=4))*ROW('CONTROL MASTER'!$S$2:$S$495))-(ROW('CONTROL MASTER'!#REF!)-1))),":",","),",",REPT(" ",50)),(((INDEX('CONTROL MASTER'!$Y$2:$Y$495,(SUMPRODUCT((('CONTROL MASTER'!$S$2:$S$495=11)*('CONTROL MASTER'!$Z$2:$Z$495&lt;=10)*('CONTROL MASTER'!$AB$2:$AB$495&gt;=10)*('CONTROL MASTER'!$AA$2:$AA$495&lt;=4)*('CONTROL MASTER'!$AC$2:$AC$495&gt;=4))*ROW('CONTROL MASTER'!$S$2:$S$495))-(ROW('CONTROL MASTER'!#REF!)-1)))+((10-INDEX('CONTROL MASTER'!$Z$2:$Z$495,(SUMPRODUCT((('CONTROL MASTER'!$S$2:$S$495=11)*('CONTROL MASTER'!$Z$2:$Z$495&lt;=10)*('CONTROL MASTER'!$AB$2:$AB$495&gt;=10)*('CONTROL MASTER'!$AA$2:$AA$495&lt;=4)*('CONTROL MASTER'!$AC$2:$AC$495&gt;=4))*ROW('CONTROL MASTER'!$S$2:$S$495))-(ROW('CONTROL MASTER'!#REF!)-1))))*(INDEX('CONTROL MASTER'!$AC$2:$AC$495,(SUMPRODUCT((('CONTROL MASTER'!$S$2:$S$495=11)*('CONTROL MASTER'!$Z$2:$Z$495&lt;=10)*('CONTROL MASTER'!$AB$2:$AB$495&gt;=10)*('CONTROL MASTER'!$AA$2:$AA$495&lt;=4)*('CONTROL MASTER'!$AC$2:$AC$495&gt;=4))*ROW('CONTROL MASTER'!$S$2:$S$495))-(ROW('CONTROL MASTER'!#REF!)-1)))-INDEX('CONTROL MASTER'!$AA$2:$AA$495,(SUMPRODUCT((('CONTROL MASTER'!$S$2:$S$495=11)*('CONTROL MASTER'!$Z$2:$Z$495&lt;=10)*('CONTROL MASTER'!$AB$2:$AB$495&gt;=10)*('CONTROL MASTER'!$AA$2:$AA$495&lt;=4)*('CONTROL MASTER'!$AC$2:$AC$495&gt;=4))*ROW('CONTROL MASTER'!$S$2:$S$495))-(ROW('CONTROL MASTER'!#REF!)-1)))+1)+(4-INDEX('CONTROL MASTER'!$AA$2:$AA$495,(SUMPRODUCT((('CONTROL MASTER'!$S$2:$S$495=11)*('CONTROL MASTER'!$Z$2:$Z$495&lt;=10)*('CONTROL MASTER'!$AB$2:$AB$495&gt;=10)*('CONTROL MASTER'!$AA$2:$AA$495&lt;=4)*('CONTROL MASTER'!$AC$2:$AC$495&gt;=4))*ROW('CONTROL MASTER'!$S$2:$S$495))-(ROW('CONTROL MASTER'!#REF!)-1))))+1)))-1)*50+1,50))&amp;"_"&amp;INDEX('CONTROL MASTER'!$P$2:$P$495,(SUMPRODUCT((('CONTROL MASTER'!$S$2:$S$495=11)*('CONTROL MASTER'!$Z$2:$Z$495&lt;=10)*('CONTROL MASTER'!$AB$2:$AB$495&gt;=10)*('CONTROL MASTER'!$AA$2:$AA$495&lt;=4)*('CONTROL MASTER'!$AC$2:$AC$495&gt;=4))*ROW('CONTROL MASTER'!$S$2:$S$495))-(ROW('CONTROL MASTER'!#REF!)-1))),"")),"")</f>
        <v/>
      </c>
      <c r="F152" s="10" t="str">
        <f>IFERROR(IF(SUMPRODUCT((('CONTROL MASTER'!$S$2:$S$495=11)*('CONTROL MASTER'!$T$2:$T$495&lt;=10)*('CONTROL MASTER'!$V$2:$V$495&gt;=10)*('CONTROL MASTER'!$U$2:$U$495&lt;=5)*('CONTROL MASTER'!$W$2:$W$495&gt;=5))*ROW('CONTROL MASTER'!$S$2:$S$495))&gt;0,INDEX('CONTROL MASTER'!$X$2:$X$495,(SUMPRODUCT((('CONTROL MASTER'!$S$2:$S$495=11)*('CONTROL MASTER'!$T$2:$T$495&lt;=10)*('CONTROL MASTER'!$V$2:$V$495&gt;=10)*('CONTROL MASTER'!$U$2:$U$495&lt;=5)*('CONTROL MASTER'!$W$2:$W$495&gt;=5))*ROW('CONTROL MASTER'!$S$2:$S$495))-(ROW('CONTROL MASTER'!#REF!)-1)))&amp;TRIM(MID(SUBSTITUTE(SUBSTITUTE(INDEX('CONTROL MASTER'!$N$2:$N$495,(SUMPRODUCT((('CONTROL MASTER'!$S$2:$S$495=11)*('CONTROL MASTER'!$T$2:$T$495&lt;=10)*('CONTROL MASTER'!$V$2:$V$495&gt;=10)*('CONTROL MASTER'!$U$2:$U$495&lt;=5)*('CONTROL MASTER'!$W$2:$W$495&gt;=5))*ROW('CONTROL MASTER'!$S$2:$S$495))-(ROW('CONTROL MASTER'!#REF!)-1))),":",","),",",REPT(" ",50)),((((10-INDEX('CONTROL MASTER'!$T$2:$T$495,(SUMPRODUCT((('CONTROL MASTER'!$S$2:$S$495=11)*('CONTROL MASTER'!$T$2:$T$495&lt;=10)*('CONTROL MASTER'!$V$2:$V$495&gt;=10)*('CONTROL MASTER'!$U$2:$U$495&lt;=5)*('CONTROL MASTER'!$W$2:$W$495&gt;=5))*ROW('CONTROL MASTER'!$S$2:$S$495))-(ROW('CONTROL MASTER'!#REF!)-1))))*(INDEX('CONTROL MASTER'!$W$2:$W$495,(SUMPRODUCT((('CONTROL MASTER'!$S$2:$S$495=11)*('CONTROL MASTER'!$T$2:$T$495&lt;=10)*('CONTROL MASTER'!$V$2:$V$495&gt;=10)*('CONTROL MASTER'!$U$2:$U$495&lt;=5)*('CONTROL MASTER'!$W$2:$W$495&gt;=5))*ROW('CONTROL MASTER'!$S$2:$S$495))-(ROW('CONTROL MASTER'!#REF!)-1)))-INDEX('CONTROL MASTER'!$U$2:$U$495,(SUMPRODUCT((('CONTROL MASTER'!$S$2:$S$495=11)*('CONTROL MASTER'!$T$2:$T$495&lt;=10)*('CONTROL MASTER'!$V$2:$V$495&gt;=10)*('CONTROL MASTER'!$U$2:$U$495&lt;=5)*('CONTROL MASTER'!$W$2:$W$495&gt;=5))*ROW('CONTROL MASTER'!$S$2:$S$495))-(ROW('CONTROL MASTER'!#REF!)-1)))+1)+(5-INDEX('CONTROL MASTER'!$U$2:$U$495,(SUMPRODUCT((('CONTROL MASTER'!$S$2:$S$495=11)*('CONTROL MASTER'!$T$2:$T$495&lt;=10)*('CONTROL MASTER'!$V$2:$V$495&gt;=10)*('CONTROL MASTER'!$U$2:$U$495&lt;=5)*('CONTROL MASTER'!$W$2:$W$495&gt;=5))*ROW('CONTROL MASTER'!$S$2:$S$495))-(ROW('CONTROL MASTER'!#REF!)-1))))+1))-1)*50+1,50))&amp;"_"&amp;INDEX('CONTROL MASTER'!$P$2:$P$495,(SUMPRODUCT((('CONTROL MASTER'!$S$2:$S$495=11)*('CONTROL MASTER'!$T$2:$T$495&lt;=10)*('CONTROL MASTER'!$V$2:$V$495&gt;=10)*('CONTROL MASTER'!$U$2:$U$495&lt;=5)*('CONTROL MASTER'!$W$2:$W$495&gt;=5))*ROW('CONTROL MASTER'!$S$2:$S$495))-(ROW('CONTROL MASTER'!#REF!)-1))),IF(SUMPRODUCT((('CONTROL MASTER'!$S$2:$S$495=11)*('CONTROL MASTER'!$Z$2:$Z$495&lt;=10)*('CONTROL MASTER'!$AB$2:$AB$495&gt;=10)*('CONTROL MASTER'!$AA$2:$AA$495&lt;=5)*('CONTROL MASTER'!$AC$2:$AC$495&gt;=5))*ROW('CONTROL MASTER'!$S$2:$S$495))&gt;0,INDEX('CONTROL MASTER'!$X$2:$X$495,(SUMPRODUCT((('CONTROL MASTER'!$S$2:$S$495=11)*('CONTROL MASTER'!$Z$2:$Z$495&lt;=10)*('CONTROL MASTER'!$AB$2:$AB$495&gt;=10)*('CONTROL MASTER'!$AA$2:$AA$495&lt;=5)*('CONTROL MASTER'!$AC$2:$AC$495&gt;=5))*ROW('CONTROL MASTER'!$S$2:$S$495))-(ROW('CONTROL MASTER'!#REF!)-1)))&amp;TRIM(MID(SUBSTITUTE(SUBSTITUTE(INDEX('CONTROL MASTER'!$N$2:$N$495,(SUMPRODUCT((('CONTROL MASTER'!$S$2:$S$495=11)*('CONTROL MASTER'!$Z$2:$Z$495&lt;=10)*('CONTROL MASTER'!$AB$2:$AB$495&gt;=10)*('CONTROL MASTER'!$AA$2:$AA$495&lt;=5)*('CONTROL MASTER'!$AC$2:$AC$495&gt;=5))*ROW('CONTROL MASTER'!$S$2:$S$495))-(ROW('CONTROL MASTER'!#REF!)-1))),":",","),",",REPT(" ",50)),(((INDEX('CONTROL MASTER'!$Y$2:$Y$495,(SUMPRODUCT((('CONTROL MASTER'!$S$2:$S$495=11)*('CONTROL MASTER'!$Z$2:$Z$495&lt;=10)*('CONTROL MASTER'!$AB$2:$AB$495&gt;=10)*('CONTROL MASTER'!$AA$2:$AA$495&lt;=5)*('CONTROL MASTER'!$AC$2:$AC$495&gt;=5))*ROW('CONTROL MASTER'!$S$2:$S$495))-(ROW('CONTROL MASTER'!#REF!)-1)))+((10-INDEX('CONTROL MASTER'!$Z$2:$Z$495,(SUMPRODUCT((('CONTROL MASTER'!$S$2:$S$495=11)*('CONTROL MASTER'!$Z$2:$Z$495&lt;=10)*('CONTROL MASTER'!$AB$2:$AB$495&gt;=10)*('CONTROL MASTER'!$AA$2:$AA$495&lt;=5)*('CONTROL MASTER'!$AC$2:$AC$495&gt;=5))*ROW('CONTROL MASTER'!$S$2:$S$495))-(ROW('CONTROL MASTER'!#REF!)-1))))*(INDEX('CONTROL MASTER'!$AC$2:$AC$495,(SUMPRODUCT((('CONTROL MASTER'!$S$2:$S$495=11)*('CONTROL MASTER'!$Z$2:$Z$495&lt;=10)*('CONTROL MASTER'!$AB$2:$AB$495&gt;=10)*('CONTROL MASTER'!$AA$2:$AA$495&lt;=5)*('CONTROL MASTER'!$AC$2:$AC$495&gt;=5))*ROW('CONTROL MASTER'!$S$2:$S$495))-(ROW('CONTROL MASTER'!#REF!)-1)))-INDEX('CONTROL MASTER'!$AA$2:$AA$495,(SUMPRODUCT((('CONTROL MASTER'!$S$2:$S$495=11)*('CONTROL MASTER'!$Z$2:$Z$495&lt;=10)*('CONTROL MASTER'!$AB$2:$AB$495&gt;=10)*('CONTROL MASTER'!$AA$2:$AA$495&lt;=5)*('CONTROL MASTER'!$AC$2:$AC$495&gt;=5))*ROW('CONTROL MASTER'!$S$2:$S$495))-(ROW('CONTROL MASTER'!#REF!)-1)))+1)+(5-INDEX('CONTROL MASTER'!$AA$2:$AA$495,(SUMPRODUCT((('CONTROL MASTER'!$S$2:$S$495=11)*('CONTROL MASTER'!$Z$2:$Z$495&lt;=10)*('CONTROL MASTER'!$AB$2:$AB$495&gt;=10)*('CONTROL MASTER'!$AA$2:$AA$495&lt;=5)*('CONTROL MASTER'!$AC$2:$AC$495&gt;=5))*ROW('CONTROL MASTER'!$S$2:$S$495))-(ROW('CONTROL MASTER'!#REF!)-1))))+1)))-1)*50+1,50))&amp;"_"&amp;INDEX('CONTROL MASTER'!$P$2:$P$495,(SUMPRODUCT((('CONTROL MASTER'!$S$2:$S$495=11)*('CONTROL MASTER'!$Z$2:$Z$495&lt;=10)*('CONTROL MASTER'!$AB$2:$AB$495&gt;=10)*('CONTROL MASTER'!$AA$2:$AA$495&lt;=5)*('CONTROL MASTER'!$AC$2:$AC$495&gt;=5))*ROW('CONTROL MASTER'!$S$2:$S$495))-(ROW('CONTROL MASTER'!#REF!)-1))),"")),"")</f>
        <v/>
      </c>
      <c r="G152" s="10" t="str">
        <f>IFERROR(IF(SUMPRODUCT((('CONTROL MASTER'!$S$2:$S$495=11)*('CONTROL MASTER'!$T$2:$T$495&lt;=10)*('CONTROL MASTER'!$V$2:$V$495&gt;=10)*('CONTROL MASTER'!$U$2:$U$495&lt;=6)*('CONTROL MASTER'!$W$2:$W$495&gt;=6))*ROW('CONTROL MASTER'!$S$2:$S$495))&gt;0,INDEX('CONTROL MASTER'!$X$2:$X$495,(SUMPRODUCT((('CONTROL MASTER'!$S$2:$S$495=11)*('CONTROL MASTER'!$T$2:$T$495&lt;=10)*('CONTROL MASTER'!$V$2:$V$495&gt;=10)*('CONTROL MASTER'!$U$2:$U$495&lt;=6)*('CONTROL MASTER'!$W$2:$W$495&gt;=6))*ROW('CONTROL MASTER'!$S$2:$S$495))-(ROW('CONTROL MASTER'!#REF!)-1)))&amp;TRIM(MID(SUBSTITUTE(SUBSTITUTE(INDEX('CONTROL MASTER'!$N$2:$N$495,(SUMPRODUCT((('CONTROL MASTER'!$S$2:$S$495=11)*('CONTROL MASTER'!$T$2:$T$495&lt;=10)*('CONTROL MASTER'!$V$2:$V$495&gt;=10)*('CONTROL MASTER'!$U$2:$U$495&lt;=6)*('CONTROL MASTER'!$W$2:$W$495&gt;=6))*ROW('CONTROL MASTER'!$S$2:$S$495))-(ROW('CONTROL MASTER'!#REF!)-1))),":",","),",",REPT(" ",50)),((((10-INDEX('CONTROL MASTER'!$T$2:$T$495,(SUMPRODUCT((('CONTROL MASTER'!$S$2:$S$495=11)*('CONTROL MASTER'!$T$2:$T$495&lt;=10)*('CONTROL MASTER'!$V$2:$V$495&gt;=10)*('CONTROL MASTER'!$U$2:$U$495&lt;=6)*('CONTROL MASTER'!$W$2:$W$495&gt;=6))*ROW('CONTROL MASTER'!$S$2:$S$495))-(ROW('CONTROL MASTER'!#REF!)-1))))*(INDEX('CONTROL MASTER'!$W$2:$W$495,(SUMPRODUCT((('CONTROL MASTER'!$S$2:$S$495=11)*('CONTROL MASTER'!$T$2:$T$495&lt;=10)*('CONTROL MASTER'!$V$2:$V$495&gt;=10)*('CONTROL MASTER'!$U$2:$U$495&lt;=6)*('CONTROL MASTER'!$W$2:$W$495&gt;=6))*ROW('CONTROL MASTER'!$S$2:$S$495))-(ROW('CONTROL MASTER'!#REF!)-1)))-INDEX('CONTROL MASTER'!$U$2:$U$495,(SUMPRODUCT((('CONTROL MASTER'!$S$2:$S$495=11)*('CONTROL MASTER'!$T$2:$T$495&lt;=10)*('CONTROL MASTER'!$V$2:$V$495&gt;=10)*('CONTROL MASTER'!$U$2:$U$495&lt;=6)*('CONTROL MASTER'!$W$2:$W$495&gt;=6))*ROW('CONTROL MASTER'!$S$2:$S$495))-(ROW('CONTROL MASTER'!#REF!)-1)))+1)+(6-INDEX('CONTROL MASTER'!$U$2:$U$495,(SUMPRODUCT((('CONTROL MASTER'!$S$2:$S$495=11)*('CONTROL MASTER'!$T$2:$T$495&lt;=10)*('CONTROL MASTER'!$V$2:$V$495&gt;=10)*('CONTROL MASTER'!$U$2:$U$495&lt;=6)*('CONTROL MASTER'!$W$2:$W$495&gt;=6))*ROW('CONTROL MASTER'!$S$2:$S$495))-(ROW('CONTROL MASTER'!#REF!)-1))))+1))-1)*50+1,50))&amp;"_"&amp;INDEX('CONTROL MASTER'!$P$2:$P$495,(SUMPRODUCT((('CONTROL MASTER'!$S$2:$S$495=11)*('CONTROL MASTER'!$T$2:$T$495&lt;=10)*('CONTROL MASTER'!$V$2:$V$495&gt;=10)*('CONTROL MASTER'!$U$2:$U$495&lt;=6)*('CONTROL MASTER'!$W$2:$W$495&gt;=6))*ROW('CONTROL MASTER'!$S$2:$S$495))-(ROW('CONTROL MASTER'!#REF!)-1))),IF(SUMPRODUCT((('CONTROL MASTER'!$S$2:$S$495=11)*('CONTROL MASTER'!$Z$2:$Z$495&lt;=10)*('CONTROL MASTER'!$AB$2:$AB$495&gt;=10)*('CONTROL MASTER'!$AA$2:$AA$495&lt;=6)*('CONTROL MASTER'!$AC$2:$AC$495&gt;=6))*ROW('CONTROL MASTER'!$S$2:$S$495))&gt;0,INDEX('CONTROL MASTER'!$X$2:$X$495,(SUMPRODUCT((('CONTROL MASTER'!$S$2:$S$495=11)*('CONTROL MASTER'!$Z$2:$Z$495&lt;=10)*('CONTROL MASTER'!$AB$2:$AB$495&gt;=10)*('CONTROL MASTER'!$AA$2:$AA$495&lt;=6)*('CONTROL MASTER'!$AC$2:$AC$495&gt;=6))*ROW('CONTROL MASTER'!$S$2:$S$495))-(ROW('CONTROL MASTER'!#REF!)-1)))&amp;TRIM(MID(SUBSTITUTE(SUBSTITUTE(INDEX('CONTROL MASTER'!$N$2:$N$495,(SUMPRODUCT((('CONTROL MASTER'!$S$2:$S$495=11)*('CONTROL MASTER'!$Z$2:$Z$495&lt;=10)*('CONTROL MASTER'!$AB$2:$AB$495&gt;=10)*('CONTROL MASTER'!$AA$2:$AA$495&lt;=6)*('CONTROL MASTER'!$AC$2:$AC$495&gt;=6))*ROW('CONTROL MASTER'!$S$2:$S$495))-(ROW('CONTROL MASTER'!#REF!)-1))),":",","),",",REPT(" ",50)),(((INDEX('CONTROL MASTER'!$Y$2:$Y$495,(SUMPRODUCT((('CONTROL MASTER'!$S$2:$S$495=11)*('CONTROL MASTER'!$Z$2:$Z$495&lt;=10)*('CONTROL MASTER'!$AB$2:$AB$495&gt;=10)*('CONTROL MASTER'!$AA$2:$AA$495&lt;=6)*('CONTROL MASTER'!$AC$2:$AC$495&gt;=6))*ROW('CONTROL MASTER'!$S$2:$S$495))-(ROW('CONTROL MASTER'!#REF!)-1)))+((10-INDEX('CONTROL MASTER'!$Z$2:$Z$495,(SUMPRODUCT((('CONTROL MASTER'!$S$2:$S$495=11)*('CONTROL MASTER'!$Z$2:$Z$495&lt;=10)*('CONTROL MASTER'!$AB$2:$AB$495&gt;=10)*('CONTROL MASTER'!$AA$2:$AA$495&lt;=6)*('CONTROL MASTER'!$AC$2:$AC$495&gt;=6))*ROW('CONTROL MASTER'!$S$2:$S$495))-(ROW('CONTROL MASTER'!#REF!)-1))))*(INDEX('CONTROL MASTER'!$AC$2:$AC$495,(SUMPRODUCT((('CONTROL MASTER'!$S$2:$S$495=11)*('CONTROL MASTER'!$Z$2:$Z$495&lt;=10)*('CONTROL MASTER'!$AB$2:$AB$495&gt;=10)*('CONTROL MASTER'!$AA$2:$AA$495&lt;=6)*('CONTROL MASTER'!$AC$2:$AC$495&gt;=6))*ROW('CONTROL MASTER'!$S$2:$S$495))-(ROW('CONTROL MASTER'!#REF!)-1)))-INDEX('CONTROL MASTER'!$AA$2:$AA$495,(SUMPRODUCT((('CONTROL MASTER'!$S$2:$S$495=11)*('CONTROL MASTER'!$Z$2:$Z$495&lt;=10)*('CONTROL MASTER'!$AB$2:$AB$495&gt;=10)*('CONTROL MASTER'!$AA$2:$AA$495&lt;=6)*('CONTROL MASTER'!$AC$2:$AC$495&gt;=6))*ROW('CONTROL MASTER'!$S$2:$S$495))-(ROW('CONTROL MASTER'!#REF!)-1)))+1)+(6-INDEX('CONTROL MASTER'!$AA$2:$AA$495,(SUMPRODUCT((('CONTROL MASTER'!$S$2:$S$495=11)*('CONTROL MASTER'!$Z$2:$Z$495&lt;=10)*('CONTROL MASTER'!$AB$2:$AB$495&gt;=10)*('CONTROL MASTER'!$AA$2:$AA$495&lt;=6)*('CONTROL MASTER'!$AC$2:$AC$495&gt;=6))*ROW('CONTROL MASTER'!$S$2:$S$495))-(ROW('CONTROL MASTER'!#REF!)-1))))+1)))-1)*50+1,50))&amp;"_"&amp;INDEX('CONTROL MASTER'!$P$2:$P$495,(SUMPRODUCT((('CONTROL MASTER'!$S$2:$S$495=11)*('CONTROL MASTER'!$Z$2:$Z$495&lt;=10)*('CONTROL MASTER'!$AB$2:$AB$495&gt;=10)*('CONTROL MASTER'!$AA$2:$AA$495&lt;=6)*('CONTROL MASTER'!$AC$2:$AC$495&gt;=6))*ROW('CONTROL MASTER'!$S$2:$S$495))-(ROW('CONTROL MASTER'!#REF!)-1))),"")),"")</f>
        <v/>
      </c>
      <c r="H152" s="10" t="str">
        <f>IFERROR(IF(SUMPRODUCT((('CONTROL MASTER'!$S$2:$S$495=11)*('CONTROL MASTER'!$T$2:$T$495&lt;=10)*('CONTROL MASTER'!$V$2:$V$495&gt;=10)*('CONTROL MASTER'!$U$2:$U$495&lt;=7)*('CONTROL MASTER'!$W$2:$W$495&gt;=7))*ROW('CONTROL MASTER'!$S$2:$S$495))&gt;0,INDEX('CONTROL MASTER'!$X$2:$X$495,(SUMPRODUCT((('CONTROL MASTER'!$S$2:$S$495=11)*('CONTROL MASTER'!$T$2:$T$495&lt;=10)*('CONTROL MASTER'!$V$2:$V$495&gt;=10)*('CONTROL MASTER'!$U$2:$U$495&lt;=7)*('CONTROL MASTER'!$W$2:$W$495&gt;=7))*ROW('CONTROL MASTER'!$S$2:$S$495))-(ROW('CONTROL MASTER'!#REF!)-1)))&amp;TRIM(MID(SUBSTITUTE(SUBSTITUTE(INDEX('CONTROL MASTER'!$N$2:$N$495,(SUMPRODUCT((('CONTROL MASTER'!$S$2:$S$495=11)*('CONTROL MASTER'!$T$2:$T$495&lt;=10)*('CONTROL MASTER'!$V$2:$V$495&gt;=10)*('CONTROL MASTER'!$U$2:$U$495&lt;=7)*('CONTROL MASTER'!$W$2:$W$495&gt;=7))*ROW('CONTROL MASTER'!$S$2:$S$495))-(ROW('CONTROL MASTER'!#REF!)-1))),":",","),",",REPT(" ",50)),((((10-INDEX('CONTROL MASTER'!$T$2:$T$495,(SUMPRODUCT((('CONTROL MASTER'!$S$2:$S$495=11)*('CONTROL MASTER'!$T$2:$T$495&lt;=10)*('CONTROL MASTER'!$V$2:$V$495&gt;=10)*('CONTROL MASTER'!$U$2:$U$495&lt;=7)*('CONTROL MASTER'!$W$2:$W$495&gt;=7))*ROW('CONTROL MASTER'!$S$2:$S$495))-(ROW('CONTROL MASTER'!#REF!)-1))))*(INDEX('CONTROL MASTER'!$W$2:$W$495,(SUMPRODUCT((('CONTROL MASTER'!$S$2:$S$495=11)*('CONTROL MASTER'!$T$2:$T$495&lt;=10)*('CONTROL MASTER'!$V$2:$V$495&gt;=10)*('CONTROL MASTER'!$U$2:$U$495&lt;=7)*('CONTROL MASTER'!$W$2:$W$495&gt;=7))*ROW('CONTROL MASTER'!$S$2:$S$495))-(ROW('CONTROL MASTER'!#REF!)-1)))-INDEX('CONTROL MASTER'!$U$2:$U$495,(SUMPRODUCT((('CONTROL MASTER'!$S$2:$S$495=11)*('CONTROL MASTER'!$T$2:$T$495&lt;=10)*('CONTROL MASTER'!$V$2:$V$495&gt;=10)*('CONTROL MASTER'!$U$2:$U$495&lt;=7)*('CONTROL MASTER'!$W$2:$W$495&gt;=7))*ROW('CONTROL MASTER'!$S$2:$S$495))-(ROW('CONTROL MASTER'!#REF!)-1)))+1)+(7-INDEX('CONTROL MASTER'!$U$2:$U$495,(SUMPRODUCT((('CONTROL MASTER'!$S$2:$S$495=11)*('CONTROL MASTER'!$T$2:$T$495&lt;=10)*('CONTROL MASTER'!$V$2:$V$495&gt;=10)*('CONTROL MASTER'!$U$2:$U$495&lt;=7)*('CONTROL MASTER'!$W$2:$W$495&gt;=7))*ROW('CONTROL MASTER'!$S$2:$S$495))-(ROW('CONTROL MASTER'!#REF!)-1))))+1))-1)*50+1,50))&amp;"_"&amp;INDEX('CONTROL MASTER'!$P$2:$P$495,(SUMPRODUCT((('CONTROL MASTER'!$S$2:$S$495=11)*('CONTROL MASTER'!$T$2:$T$495&lt;=10)*('CONTROL MASTER'!$V$2:$V$495&gt;=10)*('CONTROL MASTER'!$U$2:$U$495&lt;=7)*('CONTROL MASTER'!$W$2:$W$495&gt;=7))*ROW('CONTROL MASTER'!$S$2:$S$495))-(ROW('CONTROL MASTER'!#REF!)-1))),IF(SUMPRODUCT((('CONTROL MASTER'!$S$2:$S$495=11)*('CONTROL MASTER'!$Z$2:$Z$495&lt;=10)*('CONTROL MASTER'!$AB$2:$AB$495&gt;=10)*('CONTROL MASTER'!$AA$2:$AA$495&lt;=7)*('CONTROL MASTER'!$AC$2:$AC$495&gt;=7))*ROW('CONTROL MASTER'!$S$2:$S$495))&gt;0,INDEX('CONTROL MASTER'!$X$2:$X$495,(SUMPRODUCT((('CONTROL MASTER'!$S$2:$S$495=11)*('CONTROL MASTER'!$Z$2:$Z$495&lt;=10)*('CONTROL MASTER'!$AB$2:$AB$495&gt;=10)*('CONTROL MASTER'!$AA$2:$AA$495&lt;=7)*('CONTROL MASTER'!$AC$2:$AC$495&gt;=7))*ROW('CONTROL MASTER'!$S$2:$S$495))-(ROW('CONTROL MASTER'!#REF!)-1)))&amp;TRIM(MID(SUBSTITUTE(SUBSTITUTE(INDEX('CONTROL MASTER'!$N$2:$N$495,(SUMPRODUCT((('CONTROL MASTER'!$S$2:$S$495=11)*('CONTROL MASTER'!$Z$2:$Z$495&lt;=10)*('CONTROL MASTER'!$AB$2:$AB$495&gt;=10)*('CONTROL MASTER'!$AA$2:$AA$495&lt;=7)*('CONTROL MASTER'!$AC$2:$AC$495&gt;=7))*ROW('CONTROL MASTER'!$S$2:$S$495))-(ROW('CONTROL MASTER'!#REF!)-1))),":",","),",",REPT(" ",50)),(((INDEX('CONTROL MASTER'!$Y$2:$Y$495,(SUMPRODUCT((('CONTROL MASTER'!$S$2:$S$495=11)*('CONTROL MASTER'!$Z$2:$Z$495&lt;=10)*('CONTROL MASTER'!$AB$2:$AB$495&gt;=10)*('CONTROL MASTER'!$AA$2:$AA$495&lt;=7)*('CONTROL MASTER'!$AC$2:$AC$495&gt;=7))*ROW('CONTROL MASTER'!$S$2:$S$495))-(ROW('CONTROL MASTER'!#REF!)-1)))+((10-INDEX('CONTROL MASTER'!$Z$2:$Z$495,(SUMPRODUCT((('CONTROL MASTER'!$S$2:$S$495=11)*('CONTROL MASTER'!$Z$2:$Z$495&lt;=10)*('CONTROL MASTER'!$AB$2:$AB$495&gt;=10)*('CONTROL MASTER'!$AA$2:$AA$495&lt;=7)*('CONTROL MASTER'!$AC$2:$AC$495&gt;=7))*ROW('CONTROL MASTER'!$S$2:$S$495))-(ROW('CONTROL MASTER'!#REF!)-1))))*(INDEX('CONTROL MASTER'!$AC$2:$AC$495,(SUMPRODUCT((('CONTROL MASTER'!$S$2:$S$495=11)*('CONTROL MASTER'!$Z$2:$Z$495&lt;=10)*('CONTROL MASTER'!$AB$2:$AB$495&gt;=10)*('CONTROL MASTER'!$AA$2:$AA$495&lt;=7)*('CONTROL MASTER'!$AC$2:$AC$495&gt;=7))*ROW('CONTROL MASTER'!$S$2:$S$495))-(ROW('CONTROL MASTER'!#REF!)-1)))-INDEX('CONTROL MASTER'!$AA$2:$AA$495,(SUMPRODUCT((('CONTROL MASTER'!$S$2:$S$495=11)*('CONTROL MASTER'!$Z$2:$Z$495&lt;=10)*('CONTROL MASTER'!$AB$2:$AB$495&gt;=10)*('CONTROL MASTER'!$AA$2:$AA$495&lt;=7)*('CONTROL MASTER'!$AC$2:$AC$495&gt;=7))*ROW('CONTROL MASTER'!$S$2:$S$495))-(ROW('CONTROL MASTER'!#REF!)-1)))+1)+(7-INDEX('CONTROL MASTER'!$AA$2:$AA$495,(SUMPRODUCT((('CONTROL MASTER'!$S$2:$S$495=11)*('CONTROL MASTER'!$Z$2:$Z$495&lt;=10)*('CONTROL MASTER'!$AB$2:$AB$495&gt;=10)*('CONTROL MASTER'!$AA$2:$AA$495&lt;=7)*('CONTROL MASTER'!$AC$2:$AC$495&gt;=7))*ROW('CONTROL MASTER'!$S$2:$S$495))-(ROW('CONTROL MASTER'!#REF!)-1))))+1)))-1)*50+1,50))&amp;"_"&amp;INDEX('CONTROL MASTER'!$P$2:$P$495,(SUMPRODUCT((('CONTROL MASTER'!$S$2:$S$495=11)*('CONTROL MASTER'!$Z$2:$Z$495&lt;=10)*('CONTROL MASTER'!$AB$2:$AB$495&gt;=10)*('CONTROL MASTER'!$AA$2:$AA$495&lt;=7)*('CONTROL MASTER'!$AC$2:$AC$495&gt;=7))*ROW('CONTROL MASTER'!$S$2:$S$495))-(ROW('CONTROL MASTER'!#REF!)-1))),"")),"")</f>
        <v/>
      </c>
      <c r="I152" s="10" t="str">
        <f>IFERROR(IF(SUMPRODUCT((('CONTROL MASTER'!$S$2:$S$495=11)*('CONTROL MASTER'!$T$2:$T$495&lt;=10)*('CONTROL MASTER'!$V$2:$V$495&gt;=10)*('CONTROL MASTER'!$U$2:$U$495&lt;=8)*('CONTROL MASTER'!$W$2:$W$495&gt;=8))*ROW('CONTROL MASTER'!$S$2:$S$495))&gt;0,INDEX('CONTROL MASTER'!$X$2:$X$495,(SUMPRODUCT((('CONTROL MASTER'!$S$2:$S$495=11)*('CONTROL MASTER'!$T$2:$T$495&lt;=10)*('CONTROL MASTER'!$V$2:$V$495&gt;=10)*('CONTROL MASTER'!$U$2:$U$495&lt;=8)*('CONTROL MASTER'!$W$2:$W$495&gt;=8))*ROW('CONTROL MASTER'!$S$2:$S$495))-(ROW('CONTROL MASTER'!#REF!)-1)))&amp;TRIM(MID(SUBSTITUTE(SUBSTITUTE(INDEX('CONTROL MASTER'!$N$2:$N$495,(SUMPRODUCT((('CONTROL MASTER'!$S$2:$S$495=11)*('CONTROL MASTER'!$T$2:$T$495&lt;=10)*('CONTROL MASTER'!$V$2:$V$495&gt;=10)*('CONTROL MASTER'!$U$2:$U$495&lt;=8)*('CONTROL MASTER'!$W$2:$W$495&gt;=8))*ROW('CONTROL MASTER'!$S$2:$S$495))-(ROW('CONTROL MASTER'!#REF!)-1))),":",","),",",REPT(" ",50)),((((10-INDEX('CONTROL MASTER'!$T$2:$T$495,(SUMPRODUCT((('CONTROL MASTER'!$S$2:$S$495=11)*('CONTROL MASTER'!$T$2:$T$495&lt;=10)*('CONTROL MASTER'!$V$2:$V$495&gt;=10)*('CONTROL MASTER'!$U$2:$U$495&lt;=8)*('CONTROL MASTER'!$W$2:$W$495&gt;=8))*ROW('CONTROL MASTER'!$S$2:$S$495))-(ROW('CONTROL MASTER'!#REF!)-1))))*(INDEX('CONTROL MASTER'!$W$2:$W$495,(SUMPRODUCT((('CONTROL MASTER'!$S$2:$S$495=11)*('CONTROL MASTER'!$T$2:$T$495&lt;=10)*('CONTROL MASTER'!$V$2:$V$495&gt;=10)*('CONTROL MASTER'!$U$2:$U$495&lt;=8)*('CONTROL MASTER'!$W$2:$W$495&gt;=8))*ROW('CONTROL MASTER'!$S$2:$S$495))-(ROW('CONTROL MASTER'!#REF!)-1)))-INDEX('CONTROL MASTER'!$U$2:$U$495,(SUMPRODUCT((('CONTROL MASTER'!$S$2:$S$495=11)*('CONTROL MASTER'!$T$2:$T$495&lt;=10)*('CONTROL MASTER'!$V$2:$V$495&gt;=10)*('CONTROL MASTER'!$U$2:$U$495&lt;=8)*('CONTROL MASTER'!$W$2:$W$495&gt;=8))*ROW('CONTROL MASTER'!$S$2:$S$495))-(ROW('CONTROL MASTER'!#REF!)-1)))+1)+(8-INDEX('CONTROL MASTER'!$U$2:$U$495,(SUMPRODUCT((('CONTROL MASTER'!$S$2:$S$495=11)*('CONTROL MASTER'!$T$2:$T$495&lt;=10)*('CONTROL MASTER'!$V$2:$V$495&gt;=10)*('CONTROL MASTER'!$U$2:$U$495&lt;=8)*('CONTROL MASTER'!$W$2:$W$495&gt;=8))*ROW('CONTROL MASTER'!$S$2:$S$495))-(ROW('CONTROL MASTER'!#REF!)-1))))+1))-1)*50+1,50))&amp;"_"&amp;INDEX('CONTROL MASTER'!$P$2:$P$495,(SUMPRODUCT((('CONTROL MASTER'!$S$2:$S$495=11)*('CONTROL MASTER'!$T$2:$T$495&lt;=10)*('CONTROL MASTER'!$V$2:$V$495&gt;=10)*('CONTROL MASTER'!$U$2:$U$495&lt;=8)*('CONTROL MASTER'!$W$2:$W$495&gt;=8))*ROW('CONTROL MASTER'!$S$2:$S$495))-(ROW('CONTROL MASTER'!#REF!)-1))),IF(SUMPRODUCT((('CONTROL MASTER'!$S$2:$S$495=11)*('CONTROL MASTER'!$Z$2:$Z$495&lt;=10)*('CONTROL MASTER'!$AB$2:$AB$495&gt;=10)*('CONTROL MASTER'!$AA$2:$AA$495&lt;=8)*('CONTROL MASTER'!$AC$2:$AC$495&gt;=8))*ROW('CONTROL MASTER'!$S$2:$S$495))&gt;0,INDEX('CONTROL MASTER'!$X$2:$X$495,(SUMPRODUCT((('CONTROL MASTER'!$S$2:$S$495=11)*('CONTROL MASTER'!$Z$2:$Z$495&lt;=10)*('CONTROL MASTER'!$AB$2:$AB$495&gt;=10)*('CONTROL MASTER'!$AA$2:$AA$495&lt;=8)*('CONTROL MASTER'!$AC$2:$AC$495&gt;=8))*ROW('CONTROL MASTER'!$S$2:$S$495))-(ROW('CONTROL MASTER'!#REF!)-1)))&amp;TRIM(MID(SUBSTITUTE(SUBSTITUTE(INDEX('CONTROL MASTER'!$N$2:$N$495,(SUMPRODUCT((('CONTROL MASTER'!$S$2:$S$495=11)*('CONTROL MASTER'!$Z$2:$Z$495&lt;=10)*('CONTROL MASTER'!$AB$2:$AB$495&gt;=10)*('CONTROL MASTER'!$AA$2:$AA$495&lt;=8)*('CONTROL MASTER'!$AC$2:$AC$495&gt;=8))*ROW('CONTROL MASTER'!$S$2:$S$495))-(ROW('CONTROL MASTER'!#REF!)-1))),":",","),",",REPT(" ",50)),(((INDEX('CONTROL MASTER'!$Y$2:$Y$495,(SUMPRODUCT((('CONTROL MASTER'!$S$2:$S$495=11)*('CONTROL MASTER'!$Z$2:$Z$495&lt;=10)*('CONTROL MASTER'!$AB$2:$AB$495&gt;=10)*('CONTROL MASTER'!$AA$2:$AA$495&lt;=8)*('CONTROL MASTER'!$AC$2:$AC$495&gt;=8))*ROW('CONTROL MASTER'!$S$2:$S$495))-(ROW('CONTROL MASTER'!#REF!)-1)))+((10-INDEX('CONTROL MASTER'!$Z$2:$Z$495,(SUMPRODUCT((('CONTROL MASTER'!$S$2:$S$495=11)*('CONTROL MASTER'!$Z$2:$Z$495&lt;=10)*('CONTROL MASTER'!$AB$2:$AB$495&gt;=10)*('CONTROL MASTER'!$AA$2:$AA$495&lt;=8)*('CONTROL MASTER'!$AC$2:$AC$495&gt;=8))*ROW('CONTROL MASTER'!$S$2:$S$495))-(ROW('CONTROL MASTER'!#REF!)-1))))*(INDEX('CONTROL MASTER'!$AC$2:$AC$495,(SUMPRODUCT((('CONTROL MASTER'!$S$2:$S$495=11)*('CONTROL MASTER'!$Z$2:$Z$495&lt;=10)*('CONTROL MASTER'!$AB$2:$AB$495&gt;=10)*('CONTROL MASTER'!$AA$2:$AA$495&lt;=8)*('CONTROL MASTER'!$AC$2:$AC$495&gt;=8))*ROW('CONTROL MASTER'!$S$2:$S$495))-(ROW('CONTROL MASTER'!#REF!)-1)))-INDEX('CONTROL MASTER'!$AA$2:$AA$495,(SUMPRODUCT((('CONTROL MASTER'!$S$2:$S$495=11)*('CONTROL MASTER'!$Z$2:$Z$495&lt;=10)*('CONTROL MASTER'!$AB$2:$AB$495&gt;=10)*('CONTROL MASTER'!$AA$2:$AA$495&lt;=8)*('CONTROL MASTER'!$AC$2:$AC$495&gt;=8))*ROW('CONTROL MASTER'!$S$2:$S$495))-(ROW('CONTROL MASTER'!#REF!)-1)))+1)+(8-INDEX('CONTROL MASTER'!$AA$2:$AA$495,(SUMPRODUCT((('CONTROL MASTER'!$S$2:$S$495=11)*('CONTROL MASTER'!$Z$2:$Z$495&lt;=10)*('CONTROL MASTER'!$AB$2:$AB$495&gt;=10)*('CONTROL MASTER'!$AA$2:$AA$495&lt;=8)*('CONTROL MASTER'!$AC$2:$AC$495&gt;=8))*ROW('CONTROL MASTER'!$S$2:$S$495))-(ROW('CONTROL MASTER'!#REF!)-1))))+1)))-1)*50+1,50))&amp;"_"&amp;INDEX('CONTROL MASTER'!$P$2:$P$495,(SUMPRODUCT((('CONTROL MASTER'!$S$2:$S$495=11)*('CONTROL MASTER'!$Z$2:$Z$495&lt;=10)*('CONTROL MASTER'!$AB$2:$AB$495&gt;=10)*('CONTROL MASTER'!$AA$2:$AA$495&lt;=8)*('CONTROL MASTER'!$AC$2:$AC$495&gt;=8))*ROW('CONTROL MASTER'!$S$2:$S$495))-(ROW('CONTROL MASTER'!#REF!)-1))),"")),"")</f>
        <v/>
      </c>
      <c r="J152" s="10" t="str">
        <f>IFERROR(IF(SUMPRODUCT((('CONTROL MASTER'!$S$2:$S$495=11)*('CONTROL MASTER'!$T$2:$T$495&lt;=10)*('CONTROL MASTER'!$V$2:$V$495&gt;=10)*('CONTROL MASTER'!$U$2:$U$495&lt;=9)*('CONTROL MASTER'!$W$2:$W$495&gt;=9))*ROW('CONTROL MASTER'!$S$2:$S$495))&gt;0,INDEX('CONTROL MASTER'!$X$2:$X$495,(SUMPRODUCT((('CONTROL MASTER'!$S$2:$S$495=11)*('CONTROL MASTER'!$T$2:$T$495&lt;=10)*('CONTROL MASTER'!$V$2:$V$495&gt;=10)*('CONTROL MASTER'!$U$2:$U$495&lt;=9)*('CONTROL MASTER'!$W$2:$W$495&gt;=9))*ROW('CONTROL MASTER'!$S$2:$S$495))-(ROW('CONTROL MASTER'!#REF!)-1)))&amp;TRIM(MID(SUBSTITUTE(SUBSTITUTE(INDEX('CONTROL MASTER'!$N$2:$N$495,(SUMPRODUCT((('CONTROL MASTER'!$S$2:$S$495=11)*('CONTROL MASTER'!$T$2:$T$495&lt;=10)*('CONTROL MASTER'!$V$2:$V$495&gt;=10)*('CONTROL MASTER'!$U$2:$U$495&lt;=9)*('CONTROL MASTER'!$W$2:$W$495&gt;=9))*ROW('CONTROL MASTER'!$S$2:$S$495))-(ROW('CONTROL MASTER'!#REF!)-1))),":",","),",",REPT(" ",50)),((((10-INDEX('CONTROL MASTER'!$T$2:$T$495,(SUMPRODUCT((('CONTROL MASTER'!$S$2:$S$495=11)*('CONTROL MASTER'!$T$2:$T$495&lt;=10)*('CONTROL MASTER'!$V$2:$V$495&gt;=10)*('CONTROL MASTER'!$U$2:$U$495&lt;=9)*('CONTROL MASTER'!$W$2:$W$495&gt;=9))*ROW('CONTROL MASTER'!$S$2:$S$495))-(ROW('CONTROL MASTER'!#REF!)-1))))*(INDEX('CONTROL MASTER'!$W$2:$W$495,(SUMPRODUCT((('CONTROL MASTER'!$S$2:$S$495=11)*('CONTROL MASTER'!$T$2:$T$495&lt;=10)*('CONTROL MASTER'!$V$2:$V$495&gt;=10)*('CONTROL MASTER'!$U$2:$U$495&lt;=9)*('CONTROL MASTER'!$W$2:$W$495&gt;=9))*ROW('CONTROL MASTER'!$S$2:$S$495))-(ROW('CONTROL MASTER'!#REF!)-1)))-INDEX('CONTROL MASTER'!$U$2:$U$495,(SUMPRODUCT((('CONTROL MASTER'!$S$2:$S$495=11)*('CONTROL MASTER'!$T$2:$T$495&lt;=10)*('CONTROL MASTER'!$V$2:$V$495&gt;=10)*('CONTROL MASTER'!$U$2:$U$495&lt;=9)*('CONTROL MASTER'!$W$2:$W$495&gt;=9))*ROW('CONTROL MASTER'!$S$2:$S$495))-(ROW('CONTROL MASTER'!#REF!)-1)))+1)+(9-INDEX('CONTROL MASTER'!$U$2:$U$495,(SUMPRODUCT((('CONTROL MASTER'!$S$2:$S$495=11)*('CONTROL MASTER'!$T$2:$T$495&lt;=10)*('CONTROL MASTER'!$V$2:$V$495&gt;=10)*('CONTROL MASTER'!$U$2:$U$495&lt;=9)*('CONTROL MASTER'!$W$2:$W$495&gt;=9))*ROW('CONTROL MASTER'!$S$2:$S$495))-(ROW('CONTROL MASTER'!#REF!)-1))))+1))-1)*50+1,50))&amp;"_"&amp;INDEX('CONTROL MASTER'!$P$2:$P$495,(SUMPRODUCT((('CONTROL MASTER'!$S$2:$S$495=11)*('CONTROL MASTER'!$T$2:$T$495&lt;=10)*('CONTROL MASTER'!$V$2:$V$495&gt;=10)*('CONTROL MASTER'!$U$2:$U$495&lt;=9)*('CONTROL MASTER'!$W$2:$W$495&gt;=9))*ROW('CONTROL MASTER'!$S$2:$S$495))-(ROW('CONTROL MASTER'!#REF!)-1))),IF(SUMPRODUCT((('CONTROL MASTER'!$S$2:$S$495=11)*('CONTROL MASTER'!$Z$2:$Z$495&lt;=10)*('CONTROL MASTER'!$AB$2:$AB$495&gt;=10)*('CONTROL MASTER'!$AA$2:$AA$495&lt;=9)*('CONTROL MASTER'!$AC$2:$AC$495&gt;=9))*ROW('CONTROL MASTER'!$S$2:$S$495))&gt;0,INDEX('CONTROL MASTER'!$X$2:$X$495,(SUMPRODUCT((('CONTROL MASTER'!$S$2:$S$495=11)*('CONTROL MASTER'!$Z$2:$Z$495&lt;=10)*('CONTROL MASTER'!$AB$2:$AB$495&gt;=10)*('CONTROL MASTER'!$AA$2:$AA$495&lt;=9)*('CONTROL MASTER'!$AC$2:$AC$495&gt;=9))*ROW('CONTROL MASTER'!$S$2:$S$495))-(ROW('CONTROL MASTER'!#REF!)-1)))&amp;TRIM(MID(SUBSTITUTE(SUBSTITUTE(INDEX('CONTROL MASTER'!$N$2:$N$495,(SUMPRODUCT((('CONTROL MASTER'!$S$2:$S$495=11)*('CONTROL MASTER'!$Z$2:$Z$495&lt;=10)*('CONTROL MASTER'!$AB$2:$AB$495&gt;=10)*('CONTROL MASTER'!$AA$2:$AA$495&lt;=9)*('CONTROL MASTER'!$AC$2:$AC$495&gt;=9))*ROW('CONTROL MASTER'!$S$2:$S$495))-(ROW('CONTROL MASTER'!#REF!)-1))),":",","),",",REPT(" ",50)),(((INDEX('CONTROL MASTER'!$Y$2:$Y$495,(SUMPRODUCT((('CONTROL MASTER'!$S$2:$S$495=11)*('CONTROL MASTER'!$Z$2:$Z$495&lt;=10)*('CONTROL MASTER'!$AB$2:$AB$495&gt;=10)*('CONTROL MASTER'!$AA$2:$AA$495&lt;=9)*('CONTROL MASTER'!$AC$2:$AC$495&gt;=9))*ROW('CONTROL MASTER'!$S$2:$S$495))-(ROW('CONTROL MASTER'!#REF!)-1)))+((10-INDEX('CONTROL MASTER'!$Z$2:$Z$495,(SUMPRODUCT((('CONTROL MASTER'!$S$2:$S$495=11)*('CONTROL MASTER'!$Z$2:$Z$495&lt;=10)*('CONTROL MASTER'!$AB$2:$AB$495&gt;=10)*('CONTROL MASTER'!$AA$2:$AA$495&lt;=9)*('CONTROL MASTER'!$AC$2:$AC$495&gt;=9))*ROW('CONTROL MASTER'!$S$2:$S$495))-(ROW('CONTROL MASTER'!#REF!)-1))))*(INDEX('CONTROL MASTER'!$AC$2:$AC$495,(SUMPRODUCT((('CONTROL MASTER'!$S$2:$S$495=11)*('CONTROL MASTER'!$Z$2:$Z$495&lt;=10)*('CONTROL MASTER'!$AB$2:$AB$495&gt;=10)*('CONTROL MASTER'!$AA$2:$AA$495&lt;=9)*('CONTROL MASTER'!$AC$2:$AC$495&gt;=9))*ROW('CONTROL MASTER'!$S$2:$S$495))-(ROW('CONTROL MASTER'!#REF!)-1)))-INDEX('CONTROL MASTER'!$AA$2:$AA$495,(SUMPRODUCT((('CONTROL MASTER'!$S$2:$S$495=11)*('CONTROL MASTER'!$Z$2:$Z$495&lt;=10)*('CONTROL MASTER'!$AB$2:$AB$495&gt;=10)*('CONTROL MASTER'!$AA$2:$AA$495&lt;=9)*('CONTROL MASTER'!$AC$2:$AC$495&gt;=9))*ROW('CONTROL MASTER'!$S$2:$S$495))-(ROW('CONTROL MASTER'!#REF!)-1)))+1)+(9-INDEX('CONTROL MASTER'!$AA$2:$AA$495,(SUMPRODUCT((('CONTROL MASTER'!$S$2:$S$495=11)*('CONTROL MASTER'!$Z$2:$Z$495&lt;=10)*('CONTROL MASTER'!$AB$2:$AB$495&gt;=10)*('CONTROL MASTER'!$AA$2:$AA$495&lt;=9)*('CONTROL MASTER'!$AC$2:$AC$495&gt;=9))*ROW('CONTROL MASTER'!$S$2:$S$495))-(ROW('CONTROL MASTER'!#REF!)-1))))+1)))-1)*50+1,50))&amp;"_"&amp;INDEX('CONTROL MASTER'!$P$2:$P$495,(SUMPRODUCT((('CONTROL MASTER'!$S$2:$S$495=11)*('CONTROL MASTER'!$Z$2:$Z$495&lt;=10)*('CONTROL MASTER'!$AB$2:$AB$495&gt;=10)*('CONTROL MASTER'!$AA$2:$AA$495&lt;=9)*('CONTROL MASTER'!$AC$2:$AC$495&gt;=9))*ROW('CONTROL MASTER'!$S$2:$S$495))-(ROW('CONTROL MASTER'!#REF!)-1))),"")),"")</f>
        <v/>
      </c>
      <c r="K152" s="10" t="str">
        <f>IFERROR(IF(SUMPRODUCT((('CONTROL MASTER'!$S$2:$S$495=11)*('CONTROL MASTER'!$T$2:$T$495&lt;=10)*('CONTROL MASTER'!$V$2:$V$495&gt;=10)*('CONTROL MASTER'!$U$2:$U$495&lt;=10)*('CONTROL MASTER'!$W$2:$W$495&gt;=10))*ROW('CONTROL MASTER'!$S$2:$S$495))&gt;0,INDEX('CONTROL MASTER'!$X$2:$X$495,(SUMPRODUCT((('CONTROL MASTER'!$S$2:$S$495=11)*('CONTROL MASTER'!$T$2:$T$495&lt;=10)*('CONTROL MASTER'!$V$2:$V$495&gt;=10)*('CONTROL MASTER'!$U$2:$U$495&lt;=10)*('CONTROL MASTER'!$W$2:$W$495&gt;=10))*ROW('CONTROL MASTER'!$S$2:$S$495))-(ROW('CONTROL MASTER'!#REF!)-1)))&amp;TRIM(MID(SUBSTITUTE(SUBSTITUTE(INDEX('CONTROL MASTER'!$N$2:$N$495,(SUMPRODUCT((('CONTROL MASTER'!$S$2:$S$495=11)*('CONTROL MASTER'!$T$2:$T$495&lt;=10)*('CONTROL MASTER'!$V$2:$V$495&gt;=10)*('CONTROL MASTER'!$U$2:$U$495&lt;=10)*('CONTROL MASTER'!$W$2:$W$495&gt;=10))*ROW('CONTROL MASTER'!$S$2:$S$495))-(ROW('CONTROL MASTER'!#REF!)-1))),":",","),",",REPT(" ",50)),((((10-INDEX('CONTROL MASTER'!$T$2:$T$495,(SUMPRODUCT((('CONTROL MASTER'!$S$2:$S$495=11)*('CONTROL MASTER'!$T$2:$T$495&lt;=10)*('CONTROL MASTER'!$V$2:$V$495&gt;=10)*('CONTROL MASTER'!$U$2:$U$495&lt;=10)*('CONTROL MASTER'!$W$2:$W$495&gt;=10))*ROW('CONTROL MASTER'!$S$2:$S$495))-(ROW('CONTROL MASTER'!#REF!)-1))))*(INDEX('CONTROL MASTER'!$W$2:$W$495,(SUMPRODUCT((('CONTROL MASTER'!$S$2:$S$495=11)*('CONTROL MASTER'!$T$2:$T$495&lt;=10)*('CONTROL MASTER'!$V$2:$V$495&gt;=10)*('CONTROL MASTER'!$U$2:$U$495&lt;=10)*('CONTROL MASTER'!$W$2:$W$495&gt;=10))*ROW('CONTROL MASTER'!$S$2:$S$495))-(ROW('CONTROL MASTER'!#REF!)-1)))-INDEX('CONTROL MASTER'!$U$2:$U$495,(SUMPRODUCT((('CONTROL MASTER'!$S$2:$S$495=11)*('CONTROL MASTER'!$T$2:$T$495&lt;=10)*('CONTROL MASTER'!$V$2:$V$495&gt;=10)*('CONTROL MASTER'!$U$2:$U$495&lt;=10)*('CONTROL MASTER'!$W$2:$W$495&gt;=10))*ROW('CONTROL MASTER'!$S$2:$S$495))-(ROW('CONTROL MASTER'!#REF!)-1)))+1)+(10-INDEX('CONTROL MASTER'!$U$2:$U$495,(SUMPRODUCT((('CONTROL MASTER'!$S$2:$S$495=11)*('CONTROL MASTER'!$T$2:$T$495&lt;=10)*('CONTROL MASTER'!$V$2:$V$495&gt;=10)*('CONTROL MASTER'!$U$2:$U$495&lt;=10)*('CONTROL MASTER'!$W$2:$W$495&gt;=10))*ROW('CONTROL MASTER'!$S$2:$S$495))-(ROW('CONTROL MASTER'!#REF!)-1))))+1))-1)*50+1,50))&amp;"_"&amp;INDEX('CONTROL MASTER'!$P$2:$P$495,(SUMPRODUCT((('CONTROL MASTER'!$S$2:$S$495=11)*('CONTROL MASTER'!$T$2:$T$495&lt;=10)*('CONTROL MASTER'!$V$2:$V$495&gt;=10)*('CONTROL MASTER'!$U$2:$U$495&lt;=10)*('CONTROL MASTER'!$W$2:$W$495&gt;=10))*ROW('CONTROL MASTER'!$S$2:$S$495))-(ROW('CONTROL MASTER'!#REF!)-1))),IF(SUMPRODUCT((('CONTROL MASTER'!$S$2:$S$495=11)*('CONTROL MASTER'!$Z$2:$Z$495&lt;=10)*('CONTROL MASTER'!$AB$2:$AB$495&gt;=10)*('CONTROL MASTER'!$AA$2:$AA$495&lt;=10)*('CONTROL MASTER'!$AC$2:$AC$495&gt;=10))*ROW('CONTROL MASTER'!$S$2:$S$495))&gt;0,INDEX('CONTROL MASTER'!$X$2:$X$495,(SUMPRODUCT((('CONTROL MASTER'!$S$2:$S$495=11)*('CONTROL MASTER'!$Z$2:$Z$495&lt;=10)*('CONTROL MASTER'!$AB$2:$AB$495&gt;=10)*('CONTROL MASTER'!$AA$2:$AA$495&lt;=10)*('CONTROL MASTER'!$AC$2:$AC$495&gt;=10))*ROW('CONTROL MASTER'!$S$2:$S$495))-(ROW('CONTROL MASTER'!#REF!)-1)))&amp;TRIM(MID(SUBSTITUTE(SUBSTITUTE(INDEX('CONTROL MASTER'!$N$2:$N$495,(SUMPRODUCT((('CONTROL MASTER'!$S$2:$S$495=11)*('CONTROL MASTER'!$Z$2:$Z$495&lt;=10)*('CONTROL MASTER'!$AB$2:$AB$495&gt;=10)*('CONTROL MASTER'!$AA$2:$AA$495&lt;=10)*('CONTROL MASTER'!$AC$2:$AC$495&gt;=10))*ROW('CONTROL MASTER'!$S$2:$S$495))-(ROW('CONTROL MASTER'!#REF!)-1))),":",","),",",REPT(" ",50)),(((INDEX('CONTROL MASTER'!$Y$2:$Y$495,(SUMPRODUCT((('CONTROL MASTER'!$S$2:$S$495=11)*('CONTROL MASTER'!$Z$2:$Z$495&lt;=10)*('CONTROL MASTER'!$AB$2:$AB$495&gt;=10)*('CONTROL MASTER'!$AA$2:$AA$495&lt;=10)*('CONTROL MASTER'!$AC$2:$AC$495&gt;=10))*ROW('CONTROL MASTER'!$S$2:$S$495))-(ROW('CONTROL MASTER'!#REF!)-1)))+((10-INDEX('CONTROL MASTER'!$Z$2:$Z$495,(SUMPRODUCT((('CONTROL MASTER'!$S$2:$S$495=11)*('CONTROL MASTER'!$Z$2:$Z$495&lt;=10)*('CONTROL MASTER'!$AB$2:$AB$495&gt;=10)*('CONTROL MASTER'!$AA$2:$AA$495&lt;=10)*('CONTROL MASTER'!$AC$2:$AC$495&gt;=10))*ROW('CONTROL MASTER'!$S$2:$S$495))-(ROW('CONTROL MASTER'!#REF!)-1))))*(INDEX('CONTROL MASTER'!$AC$2:$AC$495,(SUMPRODUCT((('CONTROL MASTER'!$S$2:$S$495=11)*('CONTROL MASTER'!$Z$2:$Z$495&lt;=10)*('CONTROL MASTER'!$AB$2:$AB$495&gt;=10)*('CONTROL MASTER'!$AA$2:$AA$495&lt;=10)*('CONTROL MASTER'!$AC$2:$AC$495&gt;=10))*ROW('CONTROL MASTER'!$S$2:$S$495))-(ROW('CONTROL MASTER'!#REF!)-1)))-INDEX('CONTROL MASTER'!$AA$2:$AA$495,(SUMPRODUCT((('CONTROL MASTER'!$S$2:$S$495=11)*('CONTROL MASTER'!$Z$2:$Z$495&lt;=10)*('CONTROL MASTER'!$AB$2:$AB$495&gt;=10)*('CONTROL MASTER'!$AA$2:$AA$495&lt;=10)*('CONTROL MASTER'!$AC$2:$AC$495&gt;=10))*ROW('CONTROL MASTER'!$S$2:$S$495))-(ROW('CONTROL MASTER'!#REF!)-1)))+1)+(10-INDEX('CONTROL MASTER'!$AA$2:$AA$495,(SUMPRODUCT((('CONTROL MASTER'!$S$2:$S$495=11)*('CONTROL MASTER'!$Z$2:$Z$495&lt;=10)*('CONTROL MASTER'!$AB$2:$AB$495&gt;=10)*('CONTROL MASTER'!$AA$2:$AA$495&lt;=10)*('CONTROL MASTER'!$AC$2:$AC$495&gt;=10))*ROW('CONTROL MASTER'!$S$2:$S$495))-(ROW('CONTROL MASTER'!#REF!)-1))))+1)))-1)*50+1,50))&amp;"_"&amp;INDEX('CONTROL MASTER'!$P$2:$P$495,(SUMPRODUCT((('CONTROL MASTER'!$S$2:$S$495=11)*('CONTROL MASTER'!$Z$2:$Z$495&lt;=10)*('CONTROL MASTER'!$AB$2:$AB$495&gt;=10)*('CONTROL MASTER'!$AA$2:$AA$495&lt;=10)*('CONTROL MASTER'!$AC$2:$AC$495&gt;=10))*ROW('CONTROL MASTER'!$S$2:$S$495))-(ROW('CONTROL MASTER'!#REF!)-1))),"")),"")</f>
        <v/>
      </c>
    </row>
    <row r="155" spans="1:11" ht="15" customHeight="1" x14ac:dyDescent="0.35">
      <c r="A155" s="12" t="s">
        <v>168</v>
      </c>
      <c r="B155" s="13"/>
      <c r="C155" s="13"/>
      <c r="D155" s="13"/>
      <c r="E155" s="13"/>
      <c r="F155" s="13"/>
      <c r="G155" s="13"/>
      <c r="H155" s="13"/>
      <c r="I155" s="13"/>
      <c r="J155" s="13"/>
      <c r="K155" s="13"/>
    </row>
    <row r="156" spans="1:11" ht="15" customHeight="1" x14ac:dyDescent="0.35">
      <c r="B156" s="8">
        <v>1</v>
      </c>
      <c r="C156" s="8">
        <v>2</v>
      </c>
      <c r="D156" s="8">
        <v>3</v>
      </c>
      <c r="E156" s="8">
        <v>4</v>
      </c>
      <c r="F156" s="8">
        <v>5</v>
      </c>
      <c r="G156" s="8">
        <v>6</v>
      </c>
      <c r="H156" s="8">
        <v>7</v>
      </c>
      <c r="I156" s="8">
        <v>8</v>
      </c>
      <c r="J156" s="8">
        <v>9</v>
      </c>
      <c r="K156" s="8">
        <v>10</v>
      </c>
    </row>
    <row r="157" spans="1:11" ht="15" customHeight="1" x14ac:dyDescent="0.35">
      <c r="A157" s="8" t="s">
        <v>28</v>
      </c>
      <c r="B157" s="10" t="str">
        <f>IFERROR(IF(SUMPRODUCT((('CONTROL MASTER'!$S$2:$S$495=12)*('CONTROL MASTER'!$T$2:$T$495&lt;=1)*('CONTROL MASTER'!$V$2:$V$495&gt;=1)*('CONTROL MASTER'!$U$2:$U$495&lt;=1)*('CONTROL MASTER'!$W$2:$W$495&gt;=1))*ROW('CONTROL MASTER'!$S$2:$S$495))&gt;0,INDEX('CONTROL MASTER'!$X$2:$X$495,(SUMPRODUCT((('CONTROL MASTER'!$S$2:$S$495=12)*('CONTROL MASTER'!$T$2:$T$495&lt;=1)*('CONTROL MASTER'!$V$2:$V$495&gt;=1)*('CONTROL MASTER'!$U$2:$U$495&lt;=1)*('CONTROL MASTER'!$W$2:$W$495&gt;=1))*ROW('CONTROL MASTER'!$S$2:$S$495))-(ROW('CONTROL MASTER'!#REF!)-1)))&amp;TRIM(MID(SUBSTITUTE(SUBSTITUTE(INDEX('CONTROL MASTER'!$N$2:$N$495,(SUMPRODUCT((('CONTROL MASTER'!$S$2:$S$495=12)*('CONTROL MASTER'!$T$2:$T$495&lt;=1)*('CONTROL MASTER'!$V$2:$V$495&gt;=1)*('CONTROL MASTER'!$U$2:$U$495&lt;=1)*('CONTROL MASTER'!$W$2:$W$495&gt;=1))*ROW('CONTROL MASTER'!$S$2:$S$495))-(ROW('CONTROL MASTER'!#REF!)-1))),":",","),",",REPT(" ",50)),((((1-INDEX('CONTROL MASTER'!$T$2:$T$495,(SUMPRODUCT((('CONTROL MASTER'!$S$2:$S$495=12)*('CONTROL MASTER'!$T$2:$T$495&lt;=1)*('CONTROL MASTER'!$V$2:$V$495&gt;=1)*('CONTROL MASTER'!$U$2:$U$495&lt;=1)*('CONTROL MASTER'!$W$2:$W$495&gt;=1))*ROW('CONTROL MASTER'!$S$2:$S$495))-(ROW('CONTROL MASTER'!#REF!)-1))))*(INDEX('CONTROL MASTER'!$W$2:$W$495,(SUMPRODUCT((('CONTROL MASTER'!$S$2:$S$495=12)*('CONTROL MASTER'!$T$2:$T$495&lt;=1)*('CONTROL MASTER'!$V$2:$V$495&gt;=1)*('CONTROL MASTER'!$U$2:$U$495&lt;=1)*('CONTROL MASTER'!$W$2:$W$495&gt;=1))*ROW('CONTROL MASTER'!$S$2:$S$495))-(ROW('CONTROL MASTER'!#REF!)-1)))-INDEX('CONTROL MASTER'!$U$2:$U$495,(SUMPRODUCT((('CONTROL MASTER'!$S$2:$S$495=12)*('CONTROL MASTER'!$T$2:$T$495&lt;=1)*('CONTROL MASTER'!$V$2:$V$495&gt;=1)*('CONTROL MASTER'!$U$2:$U$495&lt;=1)*('CONTROL MASTER'!$W$2:$W$495&gt;=1))*ROW('CONTROL MASTER'!$S$2:$S$495))-(ROW('CONTROL MASTER'!#REF!)-1)))+1)+(1-INDEX('CONTROL MASTER'!$U$2:$U$495,(SUMPRODUCT((('CONTROL MASTER'!$S$2:$S$495=12)*('CONTROL MASTER'!$T$2:$T$495&lt;=1)*('CONTROL MASTER'!$V$2:$V$495&gt;=1)*('CONTROL MASTER'!$U$2:$U$495&lt;=1)*('CONTROL MASTER'!$W$2:$W$495&gt;=1))*ROW('CONTROL MASTER'!$S$2:$S$495))-(ROW('CONTROL MASTER'!#REF!)-1))))+1))-1)*50+1,50))&amp;"_"&amp;INDEX('CONTROL MASTER'!$P$2:$P$495,(SUMPRODUCT((('CONTROL MASTER'!$S$2:$S$495=12)*('CONTROL MASTER'!$T$2:$T$495&lt;=1)*('CONTROL MASTER'!$V$2:$V$495&gt;=1)*('CONTROL MASTER'!$U$2:$U$495&lt;=1)*('CONTROL MASTER'!$W$2:$W$495&gt;=1))*ROW('CONTROL MASTER'!$S$2:$S$495))-(ROW('CONTROL MASTER'!#REF!)-1))),IF(SUMPRODUCT((('CONTROL MASTER'!$S$2:$S$495=12)*('CONTROL MASTER'!$Z$2:$Z$495&lt;=1)*('CONTROL MASTER'!$AB$2:$AB$495&gt;=1)*('CONTROL MASTER'!$AA$2:$AA$495&lt;=1)*('CONTROL MASTER'!$AC$2:$AC$495&gt;=1))*ROW('CONTROL MASTER'!$S$2:$S$495))&gt;0,INDEX('CONTROL MASTER'!$X$2:$X$495,(SUMPRODUCT((('CONTROL MASTER'!$S$2:$S$495=12)*('CONTROL MASTER'!$Z$2:$Z$495&lt;=1)*('CONTROL MASTER'!$AB$2:$AB$495&gt;=1)*('CONTROL MASTER'!$AA$2:$AA$495&lt;=1)*('CONTROL MASTER'!$AC$2:$AC$495&gt;=1))*ROW('CONTROL MASTER'!$S$2:$S$495))-(ROW('CONTROL MASTER'!#REF!)-1)))&amp;TRIM(MID(SUBSTITUTE(SUBSTITUTE(INDEX('CONTROL MASTER'!$N$2:$N$495,(SUMPRODUCT((('CONTROL MASTER'!$S$2:$S$495=12)*('CONTROL MASTER'!$Z$2:$Z$495&lt;=1)*('CONTROL MASTER'!$AB$2:$AB$495&gt;=1)*('CONTROL MASTER'!$AA$2:$AA$495&lt;=1)*('CONTROL MASTER'!$AC$2:$AC$495&gt;=1))*ROW('CONTROL MASTER'!$S$2:$S$495))-(ROW('CONTROL MASTER'!#REF!)-1))),":",","),",",REPT(" ",50)),(((INDEX('CONTROL MASTER'!$Y$2:$Y$495,(SUMPRODUCT((('CONTROL MASTER'!$S$2:$S$495=12)*('CONTROL MASTER'!$Z$2:$Z$495&lt;=1)*('CONTROL MASTER'!$AB$2:$AB$495&gt;=1)*('CONTROL MASTER'!$AA$2:$AA$495&lt;=1)*('CONTROL MASTER'!$AC$2:$AC$495&gt;=1))*ROW('CONTROL MASTER'!$S$2:$S$495))-(ROW('CONTROL MASTER'!#REF!)-1)))+((1-INDEX('CONTROL MASTER'!$Z$2:$Z$495,(SUMPRODUCT((('CONTROL MASTER'!$S$2:$S$495=12)*('CONTROL MASTER'!$Z$2:$Z$495&lt;=1)*('CONTROL MASTER'!$AB$2:$AB$495&gt;=1)*('CONTROL MASTER'!$AA$2:$AA$495&lt;=1)*('CONTROL MASTER'!$AC$2:$AC$495&gt;=1))*ROW('CONTROL MASTER'!$S$2:$S$495))-(ROW('CONTROL MASTER'!#REF!)-1))))*(INDEX('CONTROL MASTER'!$AC$2:$AC$495,(SUMPRODUCT((('CONTROL MASTER'!$S$2:$S$495=12)*('CONTROL MASTER'!$Z$2:$Z$495&lt;=1)*('CONTROL MASTER'!$AB$2:$AB$495&gt;=1)*('CONTROL MASTER'!$AA$2:$AA$495&lt;=1)*('CONTROL MASTER'!$AC$2:$AC$495&gt;=1))*ROW('CONTROL MASTER'!$S$2:$S$495))-(ROW('CONTROL MASTER'!#REF!)-1)))-INDEX('CONTROL MASTER'!$AA$2:$AA$495,(SUMPRODUCT((('CONTROL MASTER'!$S$2:$S$495=12)*('CONTROL MASTER'!$Z$2:$Z$495&lt;=1)*('CONTROL MASTER'!$AB$2:$AB$495&gt;=1)*('CONTROL MASTER'!$AA$2:$AA$495&lt;=1)*('CONTROL MASTER'!$AC$2:$AC$495&gt;=1))*ROW('CONTROL MASTER'!$S$2:$S$495))-(ROW('CONTROL MASTER'!#REF!)-1)))+1)+(1-INDEX('CONTROL MASTER'!$AA$2:$AA$495,(SUMPRODUCT((('CONTROL MASTER'!$S$2:$S$495=12)*('CONTROL MASTER'!$Z$2:$Z$495&lt;=1)*('CONTROL MASTER'!$AB$2:$AB$495&gt;=1)*('CONTROL MASTER'!$AA$2:$AA$495&lt;=1)*('CONTROL MASTER'!$AC$2:$AC$495&gt;=1))*ROW('CONTROL MASTER'!$S$2:$S$495))-(ROW('CONTROL MASTER'!#REF!)-1))))+1)))-1)*50+1,50))&amp;"_"&amp;INDEX('CONTROL MASTER'!$P$2:$P$495,(SUMPRODUCT((('CONTROL MASTER'!$S$2:$S$495=12)*('CONTROL MASTER'!$Z$2:$Z$495&lt;=1)*('CONTROL MASTER'!$AB$2:$AB$495&gt;=1)*('CONTROL MASTER'!$AA$2:$AA$495&lt;=1)*('CONTROL MASTER'!$AC$2:$AC$495&gt;=1))*ROW('CONTROL MASTER'!$S$2:$S$495))-(ROW('CONTROL MASTER'!#REF!)-1))),"")),"")</f>
        <v/>
      </c>
      <c r="C157" s="10" t="str">
        <f>IFERROR(IF(SUMPRODUCT((('CONTROL MASTER'!$S$2:$S$495=12)*('CONTROL MASTER'!$T$2:$T$495&lt;=1)*('CONTROL MASTER'!$V$2:$V$495&gt;=1)*('CONTROL MASTER'!$U$2:$U$495&lt;=2)*('CONTROL MASTER'!$W$2:$W$495&gt;=2))*ROW('CONTROL MASTER'!$S$2:$S$495))&gt;0,INDEX('CONTROL MASTER'!$X$2:$X$495,(SUMPRODUCT((('CONTROL MASTER'!$S$2:$S$495=12)*('CONTROL MASTER'!$T$2:$T$495&lt;=1)*('CONTROL MASTER'!$V$2:$V$495&gt;=1)*('CONTROL MASTER'!$U$2:$U$495&lt;=2)*('CONTROL MASTER'!$W$2:$W$495&gt;=2))*ROW('CONTROL MASTER'!$S$2:$S$495))-(ROW('CONTROL MASTER'!#REF!)-1)))&amp;TRIM(MID(SUBSTITUTE(SUBSTITUTE(INDEX('CONTROL MASTER'!$N$2:$N$495,(SUMPRODUCT((('CONTROL MASTER'!$S$2:$S$495=12)*('CONTROL MASTER'!$T$2:$T$495&lt;=1)*('CONTROL MASTER'!$V$2:$V$495&gt;=1)*('CONTROL MASTER'!$U$2:$U$495&lt;=2)*('CONTROL MASTER'!$W$2:$W$495&gt;=2))*ROW('CONTROL MASTER'!$S$2:$S$495))-(ROW('CONTROL MASTER'!#REF!)-1))),":",","),",",REPT(" ",50)),((((1-INDEX('CONTROL MASTER'!$T$2:$T$495,(SUMPRODUCT((('CONTROL MASTER'!$S$2:$S$495=12)*('CONTROL MASTER'!$T$2:$T$495&lt;=1)*('CONTROL MASTER'!$V$2:$V$495&gt;=1)*('CONTROL MASTER'!$U$2:$U$495&lt;=2)*('CONTROL MASTER'!$W$2:$W$495&gt;=2))*ROW('CONTROL MASTER'!$S$2:$S$495))-(ROW('CONTROL MASTER'!#REF!)-1))))*(INDEX('CONTROL MASTER'!$W$2:$W$495,(SUMPRODUCT((('CONTROL MASTER'!$S$2:$S$495=12)*('CONTROL MASTER'!$T$2:$T$495&lt;=1)*('CONTROL MASTER'!$V$2:$V$495&gt;=1)*('CONTROL MASTER'!$U$2:$U$495&lt;=2)*('CONTROL MASTER'!$W$2:$W$495&gt;=2))*ROW('CONTROL MASTER'!$S$2:$S$495))-(ROW('CONTROL MASTER'!#REF!)-1)))-INDEX('CONTROL MASTER'!$U$2:$U$495,(SUMPRODUCT((('CONTROL MASTER'!$S$2:$S$495=12)*('CONTROL MASTER'!$T$2:$T$495&lt;=1)*('CONTROL MASTER'!$V$2:$V$495&gt;=1)*('CONTROL MASTER'!$U$2:$U$495&lt;=2)*('CONTROL MASTER'!$W$2:$W$495&gt;=2))*ROW('CONTROL MASTER'!$S$2:$S$495))-(ROW('CONTROL MASTER'!#REF!)-1)))+1)+(2-INDEX('CONTROL MASTER'!$U$2:$U$495,(SUMPRODUCT((('CONTROL MASTER'!$S$2:$S$495=12)*('CONTROL MASTER'!$T$2:$T$495&lt;=1)*('CONTROL MASTER'!$V$2:$V$495&gt;=1)*('CONTROL MASTER'!$U$2:$U$495&lt;=2)*('CONTROL MASTER'!$W$2:$W$495&gt;=2))*ROW('CONTROL MASTER'!$S$2:$S$495))-(ROW('CONTROL MASTER'!#REF!)-1))))+1))-1)*50+1,50))&amp;"_"&amp;INDEX('CONTROL MASTER'!$P$2:$P$495,(SUMPRODUCT((('CONTROL MASTER'!$S$2:$S$495=12)*('CONTROL MASTER'!$T$2:$T$495&lt;=1)*('CONTROL MASTER'!$V$2:$V$495&gt;=1)*('CONTROL MASTER'!$U$2:$U$495&lt;=2)*('CONTROL MASTER'!$W$2:$W$495&gt;=2))*ROW('CONTROL MASTER'!$S$2:$S$495))-(ROW('CONTROL MASTER'!#REF!)-1))),IF(SUMPRODUCT((('CONTROL MASTER'!$S$2:$S$495=12)*('CONTROL MASTER'!$Z$2:$Z$495&lt;=1)*('CONTROL MASTER'!$AB$2:$AB$495&gt;=1)*('CONTROL MASTER'!$AA$2:$AA$495&lt;=2)*('CONTROL MASTER'!$AC$2:$AC$495&gt;=2))*ROW('CONTROL MASTER'!$S$2:$S$495))&gt;0,INDEX('CONTROL MASTER'!$X$2:$X$495,(SUMPRODUCT((('CONTROL MASTER'!$S$2:$S$495=12)*('CONTROL MASTER'!$Z$2:$Z$495&lt;=1)*('CONTROL MASTER'!$AB$2:$AB$495&gt;=1)*('CONTROL MASTER'!$AA$2:$AA$495&lt;=2)*('CONTROL MASTER'!$AC$2:$AC$495&gt;=2))*ROW('CONTROL MASTER'!$S$2:$S$495))-(ROW('CONTROL MASTER'!#REF!)-1)))&amp;TRIM(MID(SUBSTITUTE(SUBSTITUTE(INDEX('CONTROL MASTER'!$N$2:$N$495,(SUMPRODUCT((('CONTROL MASTER'!$S$2:$S$495=12)*('CONTROL MASTER'!$Z$2:$Z$495&lt;=1)*('CONTROL MASTER'!$AB$2:$AB$495&gt;=1)*('CONTROL MASTER'!$AA$2:$AA$495&lt;=2)*('CONTROL MASTER'!$AC$2:$AC$495&gt;=2))*ROW('CONTROL MASTER'!$S$2:$S$495))-(ROW('CONTROL MASTER'!#REF!)-1))),":",","),",",REPT(" ",50)),(((INDEX('CONTROL MASTER'!$Y$2:$Y$495,(SUMPRODUCT((('CONTROL MASTER'!$S$2:$S$495=12)*('CONTROL MASTER'!$Z$2:$Z$495&lt;=1)*('CONTROL MASTER'!$AB$2:$AB$495&gt;=1)*('CONTROL MASTER'!$AA$2:$AA$495&lt;=2)*('CONTROL MASTER'!$AC$2:$AC$495&gt;=2))*ROW('CONTROL MASTER'!$S$2:$S$495))-(ROW('CONTROL MASTER'!#REF!)-1)))+((1-INDEX('CONTROL MASTER'!$Z$2:$Z$495,(SUMPRODUCT((('CONTROL MASTER'!$S$2:$S$495=12)*('CONTROL MASTER'!$Z$2:$Z$495&lt;=1)*('CONTROL MASTER'!$AB$2:$AB$495&gt;=1)*('CONTROL MASTER'!$AA$2:$AA$495&lt;=2)*('CONTROL MASTER'!$AC$2:$AC$495&gt;=2))*ROW('CONTROL MASTER'!$S$2:$S$495))-(ROW('CONTROL MASTER'!#REF!)-1))))*(INDEX('CONTROL MASTER'!$AC$2:$AC$495,(SUMPRODUCT((('CONTROL MASTER'!$S$2:$S$495=12)*('CONTROL MASTER'!$Z$2:$Z$495&lt;=1)*('CONTROL MASTER'!$AB$2:$AB$495&gt;=1)*('CONTROL MASTER'!$AA$2:$AA$495&lt;=2)*('CONTROL MASTER'!$AC$2:$AC$495&gt;=2))*ROW('CONTROL MASTER'!$S$2:$S$495))-(ROW('CONTROL MASTER'!#REF!)-1)))-INDEX('CONTROL MASTER'!$AA$2:$AA$495,(SUMPRODUCT((('CONTROL MASTER'!$S$2:$S$495=12)*('CONTROL MASTER'!$Z$2:$Z$495&lt;=1)*('CONTROL MASTER'!$AB$2:$AB$495&gt;=1)*('CONTROL MASTER'!$AA$2:$AA$495&lt;=2)*('CONTROL MASTER'!$AC$2:$AC$495&gt;=2))*ROW('CONTROL MASTER'!$S$2:$S$495))-(ROW('CONTROL MASTER'!#REF!)-1)))+1)+(2-INDEX('CONTROL MASTER'!$AA$2:$AA$495,(SUMPRODUCT((('CONTROL MASTER'!$S$2:$S$495=12)*('CONTROL MASTER'!$Z$2:$Z$495&lt;=1)*('CONTROL MASTER'!$AB$2:$AB$495&gt;=1)*('CONTROL MASTER'!$AA$2:$AA$495&lt;=2)*('CONTROL MASTER'!$AC$2:$AC$495&gt;=2))*ROW('CONTROL MASTER'!$S$2:$S$495))-(ROW('CONTROL MASTER'!#REF!)-1))))+1)))-1)*50+1,50))&amp;"_"&amp;INDEX('CONTROL MASTER'!$P$2:$P$495,(SUMPRODUCT((('CONTROL MASTER'!$S$2:$S$495=12)*('CONTROL MASTER'!$Z$2:$Z$495&lt;=1)*('CONTROL MASTER'!$AB$2:$AB$495&gt;=1)*('CONTROL MASTER'!$AA$2:$AA$495&lt;=2)*('CONTROL MASTER'!$AC$2:$AC$495&gt;=2))*ROW('CONTROL MASTER'!$S$2:$S$495))-(ROW('CONTROL MASTER'!#REF!)-1))),"")),"")</f>
        <v/>
      </c>
      <c r="D157" s="10" t="str">
        <f>IFERROR(IF(SUMPRODUCT((('CONTROL MASTER'!$S$2:$S$495=12)*('CONTROL MASTER'!$T$2:$T$495&lt;=1)*('CONTROL MASTER'!$V$2:$V$495&gt;=1)*('CONTROL MASTER'!$U$2:$U$495&lt;=3)*('CONTROL MASTER'!$W$2:$W$495&gt;=3))*ROW('CONTROL MASTER'!$S$2:$S$495))&gt;0,INDEX('CONTROL MASTER'!$X$2:$X$495,(SUMPRODUCT((('CONTROL MASTER'!$S$2:$S$495=12)*('CONTROL MASTER'!$T$2:$T$495&lt;=1)*('CONTROL MASTER'!$V$2:$V$495&gt;=1)*('CONTROL MASTER'!$U$2:$U$495&lt;=3)*('CONTROL MASTER'!$W$2:$W$495&gt;=3))*ROW('CONTROL MASTER'!$S$2:$S$495))-(ROW('CONTROL MASTER'!#REF!)-1)))&amp;TRIM(MID(SUBSTITUTE(SUBSTITUTE(INDEX('CONTROL MASTER'!$N$2:$N$495,(SUMPRODUCT((('CONTROL MASTER'!$S$2:$S$495=12)*('CONTROL MASTER'!$T$2:$T$495&lt;=1)*('CONTROL MASTER'!$V$2:$V$495&gt;=1)*('CONTROL MASTER'!$U$2:$U$495&lt;=3)*('CONTROL MASTER'!$W$2:$W$495&gt;=3))*ROW('CONTROL MASTER'!$S$2:$S$495))-(ROW('CONTROL MASTER'!#REF!)-1))),":",","),",",REPT(" ",50)),((((1-INDEX('CONTROL MASTER'!$T$2:$T$495,(SUMPRODUCT((('CONTROL MASTER'!$S$2:$S$495=12)*('CONTROL MASTER'!$T$2:$T$495&lt;=1)*('CONTROL MASTER'!$V$2:$V$495&gt;=1)*('CONTROL MASTER'!$U$2:$U$495&lt;=3)*('CONTROL MASTER'!$W$2:$W$495&gt;=3))*ROW('CONTROL MASTER'!$S$2:$S$495))-(ROW('CONTROL MASTER'!#REF!)-1))))*(INDEX('CONTROL MASTER'!$W$2:$W$495,(SUMPRODUCT((('CONTROL MASTER'!$S$2:$S$495=12)*('CONTROL MASTER'!$T$2:$T$495&lt;=1)*('CONTROL MASTER'!$V$2:$V$495&gt;=1)*('CONTROL MASTER'!$U$2:$U$495&lt;=3)*('CONTROL MASTER'!$W$2:$W$495&gt;=3))*ROW('CONTROL MASTER'!$S$2:$S$495))-(ROW('CONTROL MASTER'!#REF!)-1)))-INDEX('CONTROL MASTER'!$U$2:$U$495,(SUMPRODUCT((('CONTROL MASTER'!$S$2:$S$495=12)*('CONTROL MASTER'!$T$2:$T$495&lt;=1)*('CONTROL MASTER'!$V$2:$V$495&gt;=1)*('CONTROL MASTER'!$U$2:$U$495&lt;=3)*('CONTROL MASTER'!$W$2:$W$495&gt;=3))*ROW('CONTROL MASTER'!$S$2:$S$495))-(ROW('CONTROL MASTER'!#REF!)-1)))+1)+(3-INDEX('CONTROL MASTER'!$U$2:$U$495,(SUMPRODUCT((('CONTROL MASTER'!$S$2:$S$495=12)*('CONTROL MASTER'!$T$2:$T$495&lt;=1)*('CONTROL MASTER'!$V$2:$V$495&gt;=1)*('CONTROL MASTER'!$U$2:$U$495&lt;=3)*('CONTROL MASTER'!$W$2:$W$495&gt;=3))*ROW('CONTROL MASTER'!$S$2:$S$495))-(ROW('CONTROL MASTER'!#REF!)-1))))+1))-1)*50+1,50))&amp;"_"&amp;INDEX('CONTROL MASTER'!$P$2:$P$495,(SUMPRODUCT((('CONTROL MASTER'!$S$2:$S$495=12)*('CONTROL MASTER'!$T$2:$T$495&lt;=1)*('CONTROL MASTER'!$V$2:$V$495&gt;=1)*('CONTROL MASTER'!$U$2:$U$495&lt;=3)*('CONTROL MASTER'!$W$2:$W$495&gt;=3))*ROW('CONTROL MASTER'!$S$2:$S$495))-(ROW('CONTROL MASTER'!#REF!)-1))),IF(SUMPRODUCT((('CONTROL MASTER'!$S$2:$S$495=12)*('CONTROL MASTER'!$Z$2:$Z$495&lt;=1)*('CONTROL MASTER'!$AB$2:$AB$495&gt;=1)*('CONTROL MASTER'!$AA$2:$AA$495&lt;=3)*('CONTROL MASTER'!$AC$2:$AC$495&gt;=3))*ROW('CONTROL MASTER'!$S$2:$S$495))&gt;0,INDEX('CONTROL MASTER'!$X$2:$X$495,(SUMPRODUCT((('CONTROL MASTER'!$S$2:$S$495=12)*('CONTROL MASTER'!$Z$2:$Z$495&lt;=1)*('CONTROL MASTER'!$AB$2:$AB$495&gt;=1)*('CONTROL MASTER'!$AA$2:$AA$495&lt;=3)*('CONTROL MASTER'!$AC$2:$AC$495&gt;=3))*ROW('CONTROL MASTER'!$S$2:$S$495))-(ROW('CONTROL MASTER'!#REF!)-1)))&amp;TRIM(MID(SUBSTITUTE(SUBSTITUTE(INDEX('CONTROL MASTER'!$N$2:$N$495,(SUMPRODUCT((('CONTROL MASTER'!$S$2:$S$495=12)*('CONTROL MASTER'!$Z$2:$Z$495&lt;=1)*('CONTROL MASTER'!$AB$2:$AB$495&gt;=1)*('CONTROL MASTER'!$AA$2:$AA$495&lt;=3)*('CONTROL MASTER'!$AC$2:$AC$495&gt;=3))*ROW('CONTROL MASTER'!$S$2:$S$495))-(ROW('CONTROL MASTER'!#REF!)-1))),":",","),",",REPT(" ",50)),(((INDEX('CONTROL MASTER'!$Y$2:$Y$495,(SUMPRODUCT((('CONTROL MASTER'!$S$2:$S$495=12)*('CONTROL MASTER'!$Z$2:$Z$495&lt;=1)*('CONTROL MASTER'!$AB$2:$AB$495&gt;=1)*('CONTROL MASTER'!$AA$2:$AA$495&lt;=3)*('CONTROL MASTER'!$AC$2:$AC$495&gt;=3))*ROW('CONTROL MASTER'!$S$2:$S$495))-(ROW('CONTROL MASTER'!#REF!)-1)))+((1-INDEX('CONTROL MASTER'!$Z$2:$Z$495,(SUMPRODUCT((('CONTROL MASTER'!$S$2:$S$495=12)*('CONTROL MASTER'!$Z$2:$Z$495&lt;=1)*('CONTROL MASTER'!$AB$2:$AB$495&gt;=1)*('CONTROL MASTER'!$AA$2:$AA$495&lt;=3)*('CONTROL MASTER'!$AC$2:$AC$495&gt;=3))*ROW('CONTROL MASTER'!$S$2:$S$495))-(ROW('CONTROL MASTER'!#REF!)-1))))*(INDEX('CONTROL MASTER'!$AC$2:$AC$495,(SUMPRODUCT((('CONTROL MASTER'!$S$2:$S$495=12)*('CONTROL MASTER'!$Z$2:$Z$495&lt;=1)*('CONTROL MASTER'!$AB$2:$AB$495&gt;=1)*('CONTROL MASTER'!$AA$2:$AA$495&lt;=3)*('CONTROL MASTER'!$AC$2:$AC$495&gt;=3))*ROW('CONTROL MASTER'!$S$2:$S$495))-(ROW('CONTROL MASTER'!#REF!)-1)))-INDEX('CONTROL MASTER'!$AA$2:$AA$495,(SUMPRODUCT((('CONTROL MASTER'!$S$2:$S$495=12)*('CONTROL MASTER'!$Z$2:$Z$495&lt;=1)*('CONTROL MASTER'!$AB$2:$AB$495&gt;=1)*('CONTROL MASTER'!$AA$2:$AA$495&lt;=3)*('CONTROL MASTER'!$AC$2:$AC$495&gt;=3))*ROW('CONTROL MASTER'!$S$2:$S$495))-(ROW('CONTROL MASTER'!#REF!)-1)))+1)+(3-INDEX('CONTROL MASTER'!$AA$2:$AA$495,(SUMPRODUCT((('CONTROL MASTER'!$S$2:$S$495=12)*('CONTROL MASTER'!$Z$2:$Z$495&lt;=1)*('CONTROL MASTER'!$AB$2:$AB$495&gt;=1)*('CONTROL MASTER'!$AA$2:$AA$495&lt;=3)*('CONTROL MASTER'!$AC$2:$AC$495&gt;=3))*ROW('CONTROL MASTER'!$S$2:$S$495))-(ROW('CONTROL MASTER'!#REF!)-1))))+1)))-1)*50+1,50))&amp;"_"&amp;INDEX('CONTROL MASTER'!$P$2:$P$495,(SUMPRODUCT((('CONTROL MASTER'!$S$2:$S$495=12)*('CONTROL MASTER'!$Z$2:$Z$495&lt;=1)*('CONTROL MASTER'!$AB$2:$AB$495&gt;=1)*('CONTROL MASTER'!$AA$2:$AA$495&lt;=3)*('CONTROL MASTER'!$AC$2:$AC$495&gt;=3))*ROW('CONTROL MASTER'!$S$2:$S$495))-(ROW('CONTROL MASTER'!#REF!)-1))),"")),"")</f>
        <v/>
      </c>
      <c r="E157" s="10" t="str">
        <f>IFERROR(IF(SUMPRODUCT((('CONTROL MASTER'!$S$2:$S$495=12)*('CONTROL MASTER'!$T$2:$T$495&lt;=1)*('CONTROL MASTER'!$V$2:$V$495&gt;=1)*('CONTROL MASTER'!$U$2:$U$495&lt;=4)*('CONTROL MASTER'!$W$2:$W$495&gt;=4))*ROW('CONTROL MASTER'!$S$2:$S$495))&gt;0,INDEX('CONTROL MASTER'!$X$2:$X$495,(SUMPRODUCT((('CONTROL MASTER'!$S$2:$S$495=12)*('CONTROL MASTER'!$T$2:$T$495&lt;=1)*('CONTROL MASTER'!$V$2:$V$495&gt;=1)*('CONTROL MASTER'!$U$2:$U$495&lt;=4)*('CONTROL MASTER'!$W$2:$W$495&gt;=4))*ROW('CONTROL MASTER'!$S$2:$S$495))-(ROW('CONTROL MASTER'!#REF!)-1)))&amp;TRIM(MID(SUBSTITUTE(SUBSTITUTE(INDEX('CONTROL MASTER'!$N$2:$N$495,(SUMPRODUCT((('CONTROL MASTER'!$S$2:$S$495=12)*('CONTROL MASTER'!$T$2:$T$495&lt;=1)*('CONTROL MASTER'!$V$2:$V$495&gt;=1)*('CONTROL MASTER'!$U$2:$U$495&lt;=4)*('CONTROL MASTER'!$W$2:$W$495&gt;=4))*ROW('CONTROL MASTER'!$S$2:$S$495))-(ROW('CONTROL MASTER'!#REF!)-1))),":",","),",",REPT(" ",50)),((((1-INDEX('CONTROL MASTER'!$T$2:$T$495,(SUMPRODUCT((('CONTROL MASTER'!$S$2:$S$495=12)*('CONTROL MASTER'!$T$2:$T$495&lt;=1)*('CONTROL MASTER'!$V$2:$V$495&gt;=1)*('CONTROL MASTER'!$U$2:$U$495&lt;=4)*('CONTROL MASTER'!$W$2:$W$495&gt;=4))*ROW('CONTROL MASTER'!$S$2:$S$495))-(ROW('CONTROL MASTER'!#REF!)-1))))*(INDEX('CONTROL MASTER'!$W$2:$W$495,(SUMPRODUCT((('CONTROL MASTER'!$S$2:$S$495=12)*('CONTROL MASTER'!$T$2:$T$495&lt;=1)*('CONTROL MASTER'!$V$2:$V$495&gt;=1)*('CONTROL MASTER'!$U$2:$U$495&lt;=4)*('CONTROL MASTER'!$W$2:$W$495&gt;=4))*ROW('CONTROL MASTER'!$S$2:$S$495))-(ROW('CONTROL MASTER'!#REF!)-1)))-INDEX('CONTROL MASTER'!$U$2:$U$495,(SUMPRODUCT((('CONTROL MASTER'!$S$2:$S$495=12)*('CONTROL MASTER'!$T$2:$T$495&lt;=1)*('CONTROL MASTER'!$V$2:$V$495&gt;=1)*('CONTROL MASTER'!$U$2:$U$495&lt;=4)*('CONTROL MASTER'!$W$2:$W$495&gt;=4))*ROW('CONTROL MASTER'!$S$2:$S$495))-(ROW('CONTROL MASTER'!#REF!)-1)))+1)+(4-INDEX('CONTROL MASTER'!$U$2:$U$495,(SUMPRODUCT((('CONTROL MASTER'!$S$2:$S$495=12)*('CONTROL MASTER'!$T$2:$T$495&lt;=1)*('CONTROL MASTER'!$V$2:$V$495&gt;=1)*('CONTROL MASTER'!$U$2:$U$495&lt;=4)*('CONTROL MASTER'!$W$2:$W$495&gt;=4))*ROW('CONTROL MASTER'!$S$2:$S$495))-(ROW('CONTROL MASTER'!#REF!)-1))))+1))-1)*50+1,50))&amp;"_"&amp;INDEX('CONTROL MASTER'!$P$2:$P$495,(SUMPRODUCT((('CONTROL MASTER'!$S$2:$S$495=12)*('CONTROL MASTER'!$T$2:$T$495&lt;=1)*('CONTROL MASTER'!$V$2:$V$495&gt;=1)*('CONTROL MASTER'!$U$2:$U$495&lt;=4)*('CONTROL MASTER'!$W$2:$W$495&gt;=4))*ROW('CONTROL MASTER'!$S$2:$S$495))-(ROW('CONTROL MASTER'!#REF!)-1))),IF(SUMPRODUCT((('CONTROL MASTER'!$S$2:$S$495=12)*('CONTROL MASTER'!$Z$2:$Z$495&lt;=1)*('CONTROL MASTER'!$AB$2:$AB$495&gt;=1)*('CONTROL MASTER'!$AA$2:$AA$495&lt;=4)*('CONTROL MASTER'!$AC$2:$AC$495&gt;=4))*ROW('CONTROL MASTER'!$S$2:$S$495))&gt;0,INDEX('CONTROL MASTER'!$X$2:$X$495,(SUMPRODUCT((('CONTROL MASTER'!$S$2:$S$495=12)*('CONTROL MASTER'!$Z$2:$Z$495&lt;=1)*('CONTROL MASTER'!$AB$2:$AB$495&gt;=1)*('CONTROL MASTER'!$AA$2:$AA$495&lt;=4)*('CONTROL MASTER'!$AC$2:$AC$495&gt;=4))*ROW('CONTROL MASTER'!$S$2:$S$495))-(ROW('CONTROL MASTER'!#REF!)-1)))&amp;TRIM(MID(SUBSTITUTE(SUBSTITUTE(INDEX('CONTROL MASTER'!$N$2:$N$495,(SUMPRODUCT((('CONTROL MASTER'!$S$2:$S$495=12)*('CONTROL MASTER'!$Z$2:$Z$495&lt;=1)*('CONTROL MASTER'!$AB$2:$AB$495&gt;=1)*('CONTROL MASTER'!$AA$2:$AA$495&lt;=4)*('CONTROL MASTER'!$AC$2:$AC$495&gt;=4))*ROW('CONTROL MASTER'!$S$2:$S$495))-(ROW('CONTROL MASTER'!#REF!)-1))),":",","),",",REPT(" ",50)),(((INDEX('CONTROL MASTER'!$Y$2:$Y$495,(SUMPRODUCT((('CONTROL MASTER'!$S$2:$S$495=12)*('CONTROL MASTER'!$Z$2:$Z$495&lt;=1)*('CONTROL MASTER'!$AB$2:$AB$495&gt;=1)*('CONTROL MASTER'!$AA$2:$AA$495&lt;=4)*('CONTROL MASTER'!$AC$2:$AC$495&gt;=4))*ROW('CONTROL MASTER'!$S$2:$S$495))-(ROW('CONTROL MASTER'!#REF!)-1)))+((1-INDEX('CONTROL MASTER'!$Z$2:$Z$495,(SUMPRODUCT((('CONTROL MASTER'!$S$2:$S$495=12)*('CONTROL MASTER'!$Z$2:$Z$495&lt;=1)*('CONTROL MASTER'!$AB$2:$AB$495&gt;=1)*('CONTROL MASTER'!$AA$2:$AA$495&lt;=4)*('CONTROL MASTER'!$AC$2:$AC$495&gt;=4))*ROW('CONTROL MASTER'!$S$2:$S$495))-(ROW('CONTROL MASTER'!#REF!)-1))))*(INDEX('CONTROL MASTER'!$AC$2:$AC$495,(SUMPRODUCT((('CONTROL MASTER'!$S$2:$S$495=12)*('CONTROL MASTER'!$Z$2:$Z$495&lt;=1)*('CONTROL MASTER'!$AB$2:$AB$495&gt;=1)*('CONTROL MASTER'!$AA$2:$AA$495&lt;=4)*('CONTROL MASTER'!$AC$2:$AC$495&gt;=4))*ROW('CONTROL MASTER'!$S$2:$S$495))-(ROW('CONTROL MASTER'!#REF!)-1)))-INDEX('CONTROL MASTER'!$AA$2:$AA$495,(SUMPRODUCT((('CONTROL MASTER'!$S$2:$S$495=12)*('CONTROL MASTER'!$Z$2:$Z$495&lt;=1)*('CONTROL MASTER'!$AB$2:$AB$495&gt;=1)*('CONTROL MASTER'!$AA$2:$AA$495&lt;=4)*('CONTROL MASTER'!$AC$2:$AC$495&gt;=4))*ROW('CONTROL MASTER'!$S$2:$S$495))-(ROW('CONTROL MASTER'!#REF!)-1)))+1)+(4-INDEX('CONTROL MASTER'!$AA$2:$AA$495,(SUMPRODUCT((('CONTROL MASTER'!$S$2:$S$495=12)*('CONTROL MASTER'!$Z$2:$Z$495&lt;=1)*('CONTROL MASTER'!$AB$2:$AB$495&gt;=1)*('CONTROL MASTER'!$AA$2:$AA$495&lt;=4)*('CONTROL MASTER'!$AC$2:$AC$495&gt;=4))*ROW('CONTROL MASTER'!$S$2:$S$495))-(ROW('CONTROL MASTER'!#REF!)-1))))+1)))-1)*50+1,50))&amp;"_"&amp;INDEX('CONTROL MASTER'!$P$2:$P$495,(SUMPRODUCT((('CONTROL MASTER'!$S$2:$S$495=12)*('CONTROL MASTER'!$Z$2:$Z$495&lt;=1)*('CONTROL MASTER'!$AB$2:$AB$495&gt;=1)*('CONTROL MASTER'!$AA$2:$AA$495&lt;=4)*('CONTROL MASTER'!$AC$2:$AC$495&gt;=4))*ROW('CONTROL MASTER'!$S$2:$S$495))-(ROW('CONTROL MASTER'!#REF!)-1))),"")),"")</f>
        <v/>
      </c>
      <c r="F157" s="10" t="str">
        <f>IFERROR(IF(SUMPRODUCT((('CONTROL MASTER'!$S$2:$S$495=12)*('CONTROL MASTER'!$T$2:$T$495&lt;=1)*('CONTROL MASTER'!$V$2:$V$495&gt;=1)*('CONTROL MASTER'!$U$2:$U$495&lt;=5)*('CONTROL MASTER'!$W$2:$W$495&gt;=5))*ROW('CONTROL MASTER'!$S$2:$S$495))&gt;0,INDEX('CONTROL MASTER'!$X$2:$X$495,(SUMPRODUCT((('CONTROL MASTER'!$S$2:$S$495=12)*('CONTROL MASTER'!$T$2:$T$495&lt;=1)*('CONTROL MASTER'!$V$2:$V$495&gt;=1)*('CONTROL MASTER'!$U$2:$U$495&lt;=5)*('CONTROL MASTER'!$W$2:$W$495&gt;=5))*ROW('CONTROL MASTER'!$S$2:$S$495))-(ROW('CONTROL MASTER'!#REF!)-1)))&amp;TRIM(MID(SUBSTITUTE(SUBSTITUTE(INDEX('CONTROL MASTER'!$N$2:$N$495,(SUMPRODUCT((('CONTROL MASTER'!$S$2:$S$495=12)*('CONTROL MASTER'!$T$2:$T$495&lt;=1)*('CONTROL MASTER'!$V$2:$V$495&gt;=1)*('CONTROL MASTER'!$U$2:$U$495&lt;=5)*('CONTROL MASTER'!$W$2:$W$495&gt;=5))*ROW('CONTROL MASTER'!$S$2:$S$495))-(ROW('CONTROL MASTER'!#REF!)-1))),":",","),",",REPT(" ",50)),((((1-INDEX('CONTROL MASTER'!$T$2:$T$495,(SUMPRODUCT((('CONTROL MASTER'!$S$2:$S$495=12)*('CONTROL MASTER'!$T$2:$T$495&lt;=1)*('CONTROL MASTER'!$V$2:$V$495&gt;=1)*('CONTROL MASTER'!$U$2:$U$495&lt;=5)*('CONTROL MASTER'!$W$2:$W$495&gt;=5))*ROW('CONTROL MASTER'!$S$2:$S$495))-(ROW('CONTROL MASTER'!#REF!)-1))))*(INDEX('CONTROL MASTER'!$W$2:$W$495,(SUMPRODUCT((('CONTROL MASTER'!$S$2:$S$495=12)*('CONTROL MASTER'!$T$2:$T$495&lt;=1)*('CONTROL MASTER'!$V$2:$V$495&gt;=1)*('CONTROL MASTER'!$U$2:$U$495&lt;=5)*('CONTROL MASTER'!$W$2:$W$495&gt;=5))*ROW('CONTROL MASTER'!$S$2:$S$495))-(ROW('CONTROL MASTER'!#REF!)-1)))-INDEX('CONTROL MASTER'!$U$2:$U$495,(SUMPRODUCT((('CONTROL MASTER'!$S$2:$S$495=12)*('CONTROL MASTER'!$T$2:$T$495&lt;=1)*('CONTROL MASTER'!$V$2:$V$495&gt;=1)*('CONTROL MASTER'!$U$2:$U$495&lt;=5)*('CONTROL MASTER'!$W$2:$W$495&gt;=5))*ROW('CONTROL MASTER'!$S$2:$S$495))-(ROW('CONTROL MASTER'!#REF!)-1)))+1)+(5-INDEX('CONTROL MASTER'!$U$2:$U$495,(SUMPRODUCT((('CONTROL MASTER'!$S$2:$S$495=12)*('CONTROL MASTER'!$T$2:$T$495&lt;=1)*('CONTROL MASTER'!$V$2:$V$495&gt;=1)*('CONTROL MASTER'!$U$2:$U$495&lt;=5)*('CONTROL MASTER'!$W$2:$W$495&gt;=5))*ROW('CONTROL MASTER'!$S$2:$S$495))-(ROW('CONTROL MASTER'!#REF!)-1))))+1))-1)*50+1,50))&amp;"_"&amp;INDEX('CONTROL MASTER'!$P$2:$P$495,(SUMPRODUCT((('CONTROL MASTER'!$S$2:$S$495=12)*('CONTROL MASTER'!$T$2:$T$495&lt;=1)*('CONTROL MASTER'!$V$2:$V$495&gt;=1)*('CONTROL MASTER'!$U$2:$U$495&lt;=5)*('CONTROL MASTER'!$W$2:$W$495&gt;=5))*ROW('CONTROL MASTER'!$S$2:$S$495))-(ROW('CONTROL MASTER'!#REF!)-1))),IF(SUMPRODUCT((('CONTROL MASTER'!$S$2:$S$495=12)*('CONTROL MASTER'!$Z$2:$Z$495&lt;=1)*('CONTROL MASTER'!$AB$2:$AB$495&gt;=1)*('CONTROL MASTER'!$AA$2:$AA$495&lt;=5)*('CONTROL MASTER'!$AC$2:$AC$495&gt;=5))*ROW('CONTROL MASTER'!$S$2:$S$495))&gt;0,INDEX('CONTROL MASTER'!$X$2:$X$495,(SUMPRODUCT((('CONTROL MASTER'!$S$2:$S$495=12)*('CONTROL MASTER'!$Z$2:$Z$495&lt;=1)*('CONTROL MASTER'!$AB$2:$AB$495&gt;=1)*('CONTROL MASTER'!$AA$2:$AA$495&lt;=5)*('CONTROL MASTER'!$AC$2:$AC$495&gt;=5))*ROW('CONTROL MASTER'!$S$2:$S$495))-(ROW('CONTROL MASTER'!#REF!)-1)))&amp;TRIM(MID(SUBSTITUTE(SUBSTITUTE(INDEX('CONTROL MASTER'!$N$2:$N$495,(SUMPRODUCT((('CONTROL MASTER'!$S$2:$S$495=12)*('CONTROL MASTER'!$Z$2:$Z$495&lt;=1)*('CONTROL MASTER'!$AB$2:$AB$495&gt;=1)*('CONTROL MASTER'!$AA$2:$AA$495&lt;=5)*('CONTROL MASTER'!$AC$2:$AC$495&gt;=5))*ROW('CONTROL MASTER'!$S$2:$S$495))-(ROW('CONTROL MASTER'!#REF!)-1))),":",","),",",REPT(" ",50)),(((INDEX('CONTROL MASTER'!$Y$2:$Y$495,(SUMPRODUCT((('CONTROL MASTER'!$S$2:$S$495=12)*('CONTROL MASTER'!$Z$2:$Z$495&lt;=1)*('CONTROL MASTER'!$AB$2:$AB$495&gt;=1)*('CONTROL MASTER'!$AA$2:$AA$495&lt;=5)*('CONTROL MASTER'!$AC$2:$AC$495&gt;=5))*ROW('CONTROL MASTER'!$S$2:$S$495))-(ROW('CONTROL MASTER'!#REF!)-1)))+((1-INDEX('CONTROL MASTER'!$Z$2:$Z$495,(SUMPRODUCT((('CONTROL MASTER'!$S$2:$S$495=12)*('CONTROL MASTER'!$Z$2:$Z$495&lt;=1)*('CONTROL MASTER'!$AB$2:$AB$495&gt;=1)*('CONTROL MASTER'!$AA$2:$AA$495&lt;=5)*('CONTROL MASTER'!$AC$2:$AC$495&gt;=5))*ROW('CONTROL MASTER'!$S$2:$S$495))-(ROW('CONTROL MASTER'!#REF!)-1))))*(INDEX('CONTROL MASTER'!$AC$2:$AC$495,(SUMPRODUCT((('CONTROL MASTER'!$S$2:$S$495=12)*('CONTROL MASTER'!$Z$2:$Z$495&lt;=1)*('CONTROL MASTER'!$AB$2:$AB$495&gt;=1)*('CONTROL MASTER'!$AA$2:$AA$495&lt;=5)*('CONTROL MASTER'!$AC$2:$AC$495&gt;=5))*ROW('CONTROL MASTER'!$S$2:$S$495))-(ROW('CONTROL MASTER'!#REF!)-1)))-INDEX('CONTROL MASTER'!$AA$2:$AA$495,(SUMPRODUCT((('CONTROL MASTER'!$S$2:$S$495=12)*('CONTROL MASTER'!$Z$2:$Z$495&lt;=1)*('CONTROL MASTER'!$AB$2:$AB$495&gt;=1)*('CONTROL MASTER'!$AA$2:$AA$495&lt;=5)*('CONTROL MASTER'!$AC$2:$AC$495&gt;=5))*ROW('CONTROL MASTER'!$S$2:$S$495))-(ROW('CONTROL MASTER'!#REF!)-1)))+1)+(5-INDEX('CONTROL MASTER'!$AA$2:$AA$495,(SUMPRODUCT((('CONTROL MASTER'!$S$2:$S$495=12)*('CONTROL MASTER'!$Z$2:$Z$495&lt;=1)*('CONTROL MASTER'!$AB$2:$AB$495&gt;=1)*('CONTROL MASTER'!$AA$2:$AA$495&lt;=5)*('CONTROL MASTER'!$AC$2:$AC$495&gt;=5))*ROW('CONTROL MASTER'!$S$2:$S$495))-(ROW('CONTROL MASTER'!#REF!)-1))))+1)))-1)*50+1,50))&amp;"_"&amp;INDEX('CONTROL MASTER'!$P$2:$P$495,(SUMPRODUCT((('CONTROL MASTER'!$S$2:$S$495=12)*('CONTROL MASTER'!$Z$2:$Z$495&lt;=1)*('CONTROL MASTER'!$AB$2:$AB$495&gt;=1)*('CONTROL MASTER'!$AA$2:$AA$495&lt;=5)*('CONTROL MASTER'!$AC$2:$AC$495&gt;=5))*ROW('CONTROL MASTER'!$S$2:$S$495))-(ROW('CONTROL MASTER'!#REF!)-1))),"")),"")</f>
        <v/>
      </c>
      <c r="G157" s="10" t="str">
        <f>IFERROR(IF(SUMPRODUCT((('CONTROL MASTER'!$S$2:$S$495=12)*('CONTROL MASTER'!$T$2:$T$495&lt;=1)*('CONTROL MASTER'!$V$2:$V$495&gt;=1)*('CONTROL MASTER'!$U$2:$U$495&lt;=6)*('CONTROL MASTER'!$W$2:$W$495&gt;=6))*ROW('CONTROL MASTER'!$S$2:$S$495))&gt;0,INDEX('CONTROL MASTER'!$X$2:$X$495,(SUMPRODUCT((('CONTROL MASTER'!$S$2:$S$495=12)*('CONTROL MASTER'!$T$2:$T$495&lt;=1)*('CONTROL MASTER'!$V$2:$V$495&gt;=1)*('CONTROL MASTER'!$U$2:$U$495&lt;=6)*('CONTROL MASTER'!$W$2:$W$495&gt;=6))*ROW('CONTROL MASTER'!$S$2:$S$495))-(ROW('CONTROL MASTER'!#REF!)-1)))&amp;TRIM(MID(SUBSTITUTE(SUBSTITUTE(INDEX('CONTROL MASTER'!$N$2:$N$495,(SUMPRODUCT((('CONTROL MASTER'!$S$2:$S$495=12)*('CONTROL MASTER'!$T$2:$T$495&lt;=1)*('CONTROL MASTER'!$V$2:$V$495&gt;=1)*('CONTROL MASTER'!$U$2:$U$495&lt;=6)*('CONTROL MASTER'!$W$2:$W$495&gt;=6))*ROW('CONTROL MASTER'!$S$2:$S$495))-(ROW('CONTROL MASTER'!#REF!)-1))),":",","),",",REPT(" ",50)),((((1-INDEX('CONTROL MASTER'!$T$2:$T$495,(SUMPRODUCT((('CONTROL MASTER'!$S$2:$S$495=12)*('CONTROL MASTER'!$T$2:$T$495&lt;=1)*('CONTROL MASTER'!$V$2:$V$495&gt;=1)*('CONTROL MASTER'!$U$2:$U$495&lt;=6)*('CONTROL MASTER'!$W$2:$W$495&gt;=6))*ROW('CONTROL MASTER'!$S$2:$S$495))-(ROW('CONTROL MASTER'!#REF!)-1))))*(INDEX('CONTROL MASTER'!$W$2:$W$495,(SUMPRODUCT((('CONTROL MASTER'!$S$2:$S$495=12)*('CONTROL MASTER'!$T$2:$T$495&lt;=1)*('CONTROL MASTER'!$V$2:$V$495&gt;=1)*('CONTROL MASTER'!$U$2:$U$495&lt;=6)*('CONTROL MASTER'!$W$2:$W$495&gt;=6))*ROW('CONTROL MASTER'!$S$2:$S$495))-(ROW('CONTROL MASTER'!#REF!)-1)))-INDEX('CONTROL MASTER'!$U$2:$U$495,(SUMPRODUCT((('CONTROL MASTER'!$S$2:$S$495=12)*('CONTROL MASTER'!$T$2:$T$495&lt;=1)*('CONTROL MASTER'!$V$2:$V$495&gt;=1)*('CONTROL MASTER'!$U$2:$U$495&lt;=6)*('CONTROL MASTER'!$W$2:$W$495&gt;=6))*ROW('CONTROL MASTER'!$S$2:$S$495))-(ROW('CONTROL MASTER'!#REF!)-1)))+1)+(6-INDEX('CONTROL MASTER'!$U$2:$U$495,(SUMPRODUCT((('CONTROL MASTER'!$S$2:$S$495=12)*('CONTROL MASTER'!$T$2:$T$495&lt;=1)*('CONTROL MASTER'!$V$2:$V$495&gt;=1)*('CONTROL MASTER'!$U$2:$U$495&lt;=6)*('CONTROL MASTER'!$W$2:$W$495&gt;=6))*ROW('CONTROL MASTER'!$S$2:$S$495))-(ROW('CONTROL MASTER'!#REF!)-1))))+1))-1)*50+1,50))&amp;"_"&amp;INDEX('CONTROL MASTER'!$P$2:$P$495,(SUMPRODUCT((('CONTROL MASTER'!$S$2:$S$495=12)*('CONTROL MASTER'!$T$2:$T$495&lt;=1)*('CONTROL MASTER'!$V$2:$V$495&gt;=1)*('CONTROL MASTER'!$U$2:$U$495&lt;=6)*('CONTROL MASTER'!$W$2:$W$495&gt;=6))*ROW('CONTROL MASTER'!$S$2:$S$495))-(ROW('CONTROL MASTER'!#REF!)-1))),IF(SUMPRODUCT((('CONTROL MASTER'!$S$2:$S$495=12)*('CONTROL MASTER'!$Z$2:$Z$495&lt;=1)*('CONTROL MASTER'!$AB$2:$AB$495&gt;=1)*('CONTROL MASTER'!$AA$2:$AA$495&lt;=6)*('CONTROL MASTER'!$AC$2:$AC$495&gt;=6))*ROW('CONTROL MASTER'!$S$2:$S$495))&gt;0,INDEX('CONTROL MASTER'!$X$2:$X$495,(SUMPRODUCT((('CONTROL MASTER'!$S$2:$S$495=12)*('CONTROL MASTER'!$Z$2:$Z$495&lt;=1)*('CONTROL MASTER'!$AB$2:$AB$495&gt;=1)*('CONTROL MASTER'!$AA$2:$AA$495&lt;=6)*('CONTROL MASTER'!$AC$2:$AC$495&gt;=6))*ROW('CONTROL MASTER'!$S$2:$S$495))-(ROW('CONTROL MASTER'!#REF!)-1)))&amp;TRIM(MID(SUBSTITUTE(SUBSTITUTE(INDEX('CONTROL MASTER'!$N$2:$N$495,(SUMPRODUCT((('CONTROL MASTER'!$S$2:$S$495=12)*('CONTROL MASTER'!$Z$2:$Z$495&lt;=1)*('CONTROL MASTER'!$AB$2:$AB$495&gt;=1)*('CONTROL MASTER'!$AA$2:$AA$495&lt;=6)*('CONTROL MASTER'!$AC$2:$AC$495&gt;=6))*ROW('CONTROL MASTER'!$S$2:$S$495))-(ROW('CONTROL MASTER'!#REF!)-1))),":",","),",",REPT(" ",50)),(((INDEX('CONTROL MASTER'!$Y$2:$Y$495,(SUMPRODUCT((('CONTROL MASTER'!$S$2:$S$495=12)*('CONTROL MASTER'!$Z$2:$Z$495&lt;=1)*('CONTROL MASTER'!$AB$2:$AB$495&gt;=1)*('CONTROL MASTER'!$AA$2:$AA$495&lt;=6)*('CONTROL MASTER'!$AC$2:$AC$495&gt;=6))*ROW('CONTROL MASTER'!$S$2:$S$495))-(ROW('CONTROL MASTER'!#REF!)-1)))+((1-INDEX('CONTROL MASTER'!$Z$2:$Z$495,(SUMPRODUCT((('CONTROL MASTER'!$S$2:$S$495=12)*('CONTROL MASTER'!$Z$2:$Z$495&lt;=1)*('CONTROL MASTER'!$AB$2:$AB$495&gt;=1)*('CONTROL MASTER'!$AA$2:$AA$495&lt;=6)*('CONTROL MASTER'!$AC$2:$AC$495&gt;=6))*ROW('CONTROL MASTER'!$S$2:$S$495))-(ROW('CONTROL MASTER'!#REF!)-1))))*(INDEX('CONTROL MASTER'!$AC$2:$AC$495,(SUMPRODUCT((('CONTROL MASTER'!$S$2:$S$495=12)*('CONTROL MASTER'!$Z$2:$Z$495&lt;=1)*('CONTROL MASTER'!$AB$2:$AB$495&gt;=1)*('CONTROL MASTER'!$AA$2:$AA$495&lt;=6)*('CONTROL MASTER'!$AC$2:$AC$495&gt;=6))*ROW('CONTROL MASTER'!$S$2:$S$495))-(ROW('CONTROL MASTER'!#REF!)-1)))-INDEX('CONTROL MASTER'!$AA$2:$AA$495,(SUMPRODUCT((('CONTROL MASTER'!$S$2:$S$495=12)*('CONTROL MASTER'!$Z$2:$Z$495&lt;=1)*('CONTROL MASTER'!$AB$2:$AB$495&gt;=1)*('CONTROL MASTER'!$AA$2:$AA$495&lt;=6)*('CONTROL MASTER'!$AC$2:$AC$495&gt;=6))*ROW('CONTROL MASTER'!$S$2:$S$495))-(ROW('CONTROL MASTER'!#REF!)-1)))+1)+(6-INDEX('CONTROL MASTER'!$AA$2:$AA$495,(SUMPRODUCT((('CONTROL MASTER'!$S$2:$S$495=12)*('CONTROL MASTER'!$Z$2:$Z$495&lt;=1)*('CONTROL MASTER'!$AB$2:$AB$495&gt;=1)*('CONTROL MASTER'!$AA$2:$AA$495&lt;=6)*('CONTROL MASTER'!$AC$2:$AC$495&gt;=6))*ROW('CONTROL MASTER'!$S$2:$S$495))-(ROW('CONTROL MASTER'!#REF!)-1))))+1)))-1)*50+1,50))&amp;"_"&amp;INDEX('CONTROL MASTER'!$P$2:$P$495,(SUMPRODUCT((('CONTROL MASTER'!$S$2:$S$495=12)*('CONTROL MASTER'!$Z$2:$Z$495&lt;=1)*('CONTROL MASTER'!$AB$2:$AB$495&gt;=1)*('CONTROL MASTER'!$AA$2:$AA$495&lt;=6)*('CONTROL MASTER'!$AC$2:$AC$495&gt;=6))*ROW('CONTROL MASTER'!$S$2:$S$495))-(ROW('CONTROL MASTER'!#REF!)-1))),"")),"")</f>
        <v/>
      </c>
      <c r="H157" s="10" t="str">
        <f>IFERROR(IF(SUMPRODUCT((('CONTROL MASTER'!$S$2:$S$495=12)*('CONTROL MASTER'!$T$2:$T$495&lt;=1)*('CONTROL MASTER'!$V$2:$V$495&gt;=1)*('CONTROL MASTER'!$U$2:$U$495&lt;=7)*('CONTROL MASTER'!$W$2:$W$495&gt;=7))*ROW('CONTROL MASTER'!$S$2:$S$495))&gt;0,INDEX('CONTROL MASTER'!$X$2:$X$495,(SUMPRODUCT((('CONTROL MASTER'!$S$2:$S$495=12)*('CONTROL MASTER'!$T$2:$T$495&lt;=1)*('CONTROL MASTER'!$V$2:$V$495&gt;=1)*('CONTROL MASTER'!$U$2:$U$495&lt;=7)*('CONTROL MASTER'!$W$2:$W$495&gt;=7))*ROW('CONTROL MASTER'!$S$2:$S$495))-(ROW('CONTROL MASTER'!#REF!)-1)))&amp;TRIM(MID(SUBSTITUTE(SUBSTITUTE(INDEX('CONTROL MASTER'!$N$2:$N$495,(SUMPRODUCT((('CONTROL MASTER'!$S$2:$S$495=12)*('CONTROL MASTER'!$T$2:$T$495&lt;=1)*('CONTROL MASTER'!$V$2:$V$495&gt;=1)*('CONTROL MASTER'!$U$2:$U$495&lt;=7)*('CONTROL MASTER'!$W$2:$W$495&gt;=7))*ROW('CONTROL MASTER'!$S$2:$S$495))-(ROW('CONTROL MASTER'!#REF!)-1))),":",","),",",REPT(" ",50)),((((1-INDEX('CONTROL MASTER'!$T$2:$T$495,(SUMPRODUCT((('CONTROL MASTER'!$S$2:$S$495=12)*('CONTROL MASTER'!$T$2:$T$495&lt;=1)*('CONTROL MASTER'!$V$2:$V$495&gt;=1)*('CONTROL MASTER'!$U$2:$U$495&lt;=7)*('CONTROL MASTER'!$W$2:$W$495&gt;=7))*ROW('CONTROL MASTER'!$S$2:$S$495))-(ROW('CONTROL MASTER'!#REF!)-1))))*(INDEX('CONTROL MASTER'!$W$2:$W$495,(SUMPRODUCT((('CONTROL MASTER'!$S$2:$S$495=12)*('CONTROL MASTER'!$T$2:$T$495&lt;=1)*('CONTROL MASTER'!$V$2:$V$495&gt;=1)*('CONTROL MASTER'!$U$2:$U$495&lt;=7)*('CONTROL MASTER'!$W$2:$W$495&gt;=7))*ROW('CONTROL MASTER'!$S$2:$S$495))-(ROW('CONTROL MASTER'!#REF!)-1)))-INDEX('CONTROL MASTER'!$U$2:$U$495,(SUMPRODUCT((('CONTROL MASTER'!$S$2:$S$495=12)*('CONTROL MASTER'!$T$2:$T$495&lt;=1)*('CONTROL MASTER'!$V$2:$V$495&gt;=1)*('CONTROL MASTER'!$U$2:$U$495&lt;=7)*('CONTROL MASTER'!$W$2:$W$495&gt;=7))*ROW('CONTROL MASTER'!$S$2:$S$495))-(ROW('CONTROL MASTER'!#REF!)-1)))+1)+(7-INDEX('CONTROL MASTER'!$U$2:$U$495,(SUMPRODUCT((('CONTROL MASTER'!$S$2:$S$495=12)*('CONTROL MASTER'!$T$2:$T$495&lt;=1)*('CONTROL MASTER'!$V$2:$V$495&gt;=1)*('CONTROL MASTER'!$U$2:$U$495&lt;=7)*('CONTROL MASTER'!$W$2:$W$495&gt;=7))*ROW('CONTROL MASTER'!$S$2:$S$495))-(ROW('CONTROL MASTER'!#REF!)-1))))+1))-1)*50+1,50))&amp;"_"&amp;INDEX('CONTROL MASTER'!$P$2:$P$495,(SUMPRODUCT((('CONTROL MASTER'!$S$2:$S$495=12)*('CONTROL MASTER'!$T$2:$T$495&lt;=1)*('CONTROL MASTER'!$V$2:$V$495&gt;=1)*('CONTROL MASTER'!$U$2:$U$495&lt;=7)*('CONTROL MASTER'!$W$2:$W$495&gt;=7))*ROW('CONTROL MASTER'!$S$2:$S$495))-(ROW('CONTROL MASTER'!#REF!)-1))),IF(SUMPRODUCT((('CONTROL MASTER'!$S$2:$S$495=12)*('CONTROL MASTER'!$Z$2:$Z$495&lt;=1)*('CONTROL MASTER'!$AB$2:$AB$495&gt;=1)*('CONTROL MASTER'!$AA$2:$AA$495&lt;=7)*('CONTROL MASTER'!$AC$2:$AC$495&gt;=7))*ROW('CONTROL MASTER'!$S$2:$S$495))&gt;0,INDEX('CONTROL MASTER'!$X$2:$X$495,(SUMPRODUCT((('CONTROL MASTER'!$S$2:$S$495=12)*('CONTROL MASTER'!$Z$2:$Z$495&lt;=1)*('CONTROL MASTER'!$AB$2:$AB$495&gt;=1)*('CONTROL MASTER'!$AA$2:$AA$495&lt;=7)*('CONTROL MASTER'!$AC$2:$AC$495&gt;=7))*ROW('CONTROL MASTER'!$S$2:$S$495))-(ROW('CONTROL MASTER'!#REF!)-1)))&amp;TRIM(MID(SUBSTITUTE(SUBSTITUTE(INDEX('CONTROL MASTER'!$N$2:$N$495,(SUMPRODUCT((('CONTROL MASTER'!$S$2:$S$495=12)*('CONTROL MASTER'!$Z$2:$Z$495&lt;=1)*('CONTROL MASTER'!$AB$2:$AB$495&gt;=1)*('CONTROL MASTER'!$AA$2:$AA$495&lt;=7)*('CONTROL MASTER'!$AC$2:$AC$495&gt;=7))*ROW('CONTROL MASTER'!$S$2:$S$495))-(ROW('CONTROL MASTER'!#REF!)-1))),":",","),",",REPT(" ",50)),(((INDEX('CONTROL MASTER'!$Y$2:$Y$495,(SUMPRODUCT((('CONTROL MASTER'!$S$2:$S$495=12)*('CONTROL MASTER'!$Z$2:$Z$495&lt;=1)*('CONTROL MASTER'!$AB$2:$AB$495&gt;=1)*('CONTROL MASTER'!$AA$2:$AA$495&lt;=7)*('CONTROL MASTER'!$AC$2:$AC$495&gt;=7))*ROW('CONTROL MASTER'!$S$2:$S$495))-(ROW('CONTROL MASTER'!#REF!)-1)))+((1-INDEX('CONTROL MASTER'!$Z$2:$Z$495,(SUMPRODUCT((('CONTROL MASTER'!$S$2:$S$495=12)*('CONTROL MASTER'!$Z$2:$Z$495&lt;=1)*('CONTROL MASTER'!$AB$2:$AB$495&gt;=1)*('CONTROL MASTER'!$AA$2:$AA$495&lt;=7)*('CONTROL MASTER'!$AC$2:$AC$495&gt;=7))*ROW('CONTROL MASTER'!$S$2:$S$495))-(ROW('CONTROL MASTER'!#REF!)-1))))*(INDEX('CONTROL MASTER'!$AC$2:$AC$495,(SUMPRODUCT((('CONTROL MASTER'!$S$2:$S$495=12)*('CONTROL MASTER'!$Z$2:$Z$495&lt;=1)*('CONTROL MASTER'!$AB$2:$AB$495&gt;=1)*('CONTROL MASTER'!$AA$2:$AA$495&lt;=7)*('CONTROL MASTER'!$AC$2:$AC$495&gt;=7))*ROW('CONTROL MASTER'!$S$2:$S$495))-(ROW('CONTROL MASTER'!#REF!)-1)))-INDEX('CONTROL MASTER'!$AA$2:$AA$495,(SUMPRODUCT((('CONTROL MASTER'!$S$2:$S$495=12)*('CONTROL MASTER'!$Z$2:$Z$495&lt;=1)*('CONTROL MASTER'!$AB$2:$AB$495&gt;=1)*('CONTROL MASTER'!$AA$2:$AA$495&lt;=7)*('CONTROL MASTER'!$AC$2:$AC$495&gt;=7))*ROW('CONTROL MASTER'!$S$2:$S$495))-(ROW('CONTROL MASTER'!#REF!)-1)))+1)+(7-INDEX('CONTROL MASTER'!$AA$2:$AA$495,(SUMPRODUCT((('CONTROL MASTER'!$S$2:$S$495=12)*('CONTROL MASTER'!$Z$2:$Z$495&lt;=1)*('CONTROL MASTER'!$AB$2:$AB$495&gt;=1)*('CONTROL MASTER'!$AA$2:$AA$495&lt;=7)*('CONTROL MASTER'!$AC$2:$AC$495&gt;=7))*ROW('CONTROL MASTER'!$S$2:$S$495))-(ROW('CONTROL MASTER'!#REF!)-1))))+1)))-1)*50+1,50))&amp;"_"&amp;INDEX('CONTROL MASTER'!$P$2:$P$495,(SUMPRODUCT((('CONTROL MASTER'!$S$2:$S$495=12)*('CONTROL MASTER'!$Z$2:$Z$495&lt;=1)*('CONTROL MASTER'!$AB$2:$AB$495&gt;=1)*('CONTROL MASTER'!$AA$2:$AA$495&lt;=7)*('CONTROL MASTER'!$AC$2:$AC$495&gt;=7))*ROW('CONTROL MASTER'!$S$2:$S$495))-(ROW('CONTROL MASTER'!#REF!)-1))),"")),"")</f>
        <v/>
      </c>
      <c r="I157" s="10" t="str">
        <f>IFERROR(IF(SUMPRODUCT((('CONTROL MASTER'!$S$2:$S$495=12)*('CONTROL MASTER'!$T$2:$T$495&lt;=1)*('CONTROL MASTER'!$V$2:$V$495&gt;=1)*('CONTROL MASTER'!$U$2:$U$495&lt;=8)*('CONTROL MASTER'!$W$2:$W$495&gt;=8))*ROW('CONTROL MASTER'!$S$2:$S$495))&gt;0,INDEX('CONTROL MASTER'!$X$2:$X$495,(SUMPRODUCT((('CONTROL MASTER'!$S$2:$S$495=12)*('CONTROL MASTER'!$T$2:$T$495&lt;=1)*('CONTROL MASTER'!$V$2:$V$495&gt;=1)*('CONTROL MASTER'!$U$2:$U$495&lt;=8)*('CONTROL MASTER'!$W$2:$W$495&gt;=8))*ROW('CONTROL MASTER'!$S$2:$S$495))-(ROW('CONTROL MASTER'!#REF!)-1)))&amp;TRIM(MID(SUBSTITUTE(SUBSTITUTE(INDEX('CONTROL MASTER'!$N$2:$N$495,(SUMPRODUCT((('CONTROL MASTER'!$S$2:$S$495=12)*('CONTROL MASTER'!$T$2:$T$495&lt;=1)*('CONTROL MASTER'!$V$2:$V$495&gt;=1)*('CONTROL MASTER'!$U$2:$U$495&lt;=8)*('CONTROL MASTER'!$W$2:$W$495&gt;=8))*ROW('CONTROL MASTER'!$S$2:$S$495))-(ROW('CONTROL MASTER'!#REF!)-1))),":",","),",",REPT(" ",50)),((((1-INDEX('CONTROL MASTER'!$T$2:$T$495,(SUMPRODUCT((('CONTROL MASTER'!$S$2:$S$495=12)*('CONTROL MASTER'!$T$2:$T$495&lt;=1)*('CONTROL MASTER'!$V$2:$V$495&gt;=1)*('CONTROL MASTER'!$U$2:$U$495&lt;=8)*('CONTROL MASTER'!$W$2:$W$495&gt;=8))*ROW('CONTROL MASTER'!$S$2:$S$495))-(ROW('CONTROL MASTER'!#REF!)-1))))*(INDEX('CONTROL MASTER'!$W$2:$W$495,(SUMPRODUCT((('CONTROL MASTER'!$S$2:$S$495=12)*('CONTROL MASTER'!$T$2:$T$495&lt;=1)*('CONTROL MASTER'!$V$2:$V$495&gt;=1)*('CONTROL MASTER'!$U$2:$U$495&lt;=8)*('CONTROL MASTER'!$W$2:$W$495&gt;=8))*ROW('CONTROL MASTER'!$S$2:$S$495))-(ROW('CONTROL MASTER'!#REF!)-1)))-INDEX('CONTROL MASTER'!$U$2:$U$495,(SUMPRODUCT((('CONTROL MASTER'!$S$2:$S$495=12)*('CONTROL MASTER'!$T$2:$T$495&lt;=1)*('CONTROL MASTER'!$V$2:$V$495&gt;=1)*('CONTROL MASTER'!$U$2:$U$495&lt;=8)*('CONTROL MASTER'!$W$2:$W$495&gt;=8))*ROW('CONTROL MASTER'!$S$2:$S$495))-(ROW('CONTROL MASTER'!#REF!)-1)))+1)+(8-INDEX('CONTROL MASTER'!$U$2:$U$495,(SUMPRODUCT((('CONTROL MASTER'!$S$2:$S$495=12)*('CONTROL MASTER'!$T$2:$T$495&lt;=1)*('CONTROL MASTER'!$V$2:$V$495&gt;=1)*('CONTROL MASTER'!$U$2:$U$495&lt;=8)*('CONTROL MASTER'!$W$2:$W$495&gt;=8))*ROW('CONTROL MASTER'!$S$2:$S$495))-(ROW('CONTROL MASTER'!#REF!)-1))))+1))-1)*50+1,50))&amp;"_"&amp;INDEX('CONTROL MASTER'!$P$2:$P$495,(SUMPRODUCT((('CONTROL MASTER'!$S$2:$S$495=12)*('CONTROL MASTER'!$T$2:$T$495&lt;=1)*('CONTROL MASTER'!$V$2:$V$495&gt;=1)*('CONTROL MASTER'!$U$2:$U$495&lt;=8)*('CONTROL MASTER'!$W$2:$W$495&gt;=8))*ROW('CONTROL MASTER'!$S$2:$S$495))-(ROW('CONTROL MASTER'!#REF!)-1))),IF(SUMPRODUCT((('CONTROL MASTER'!$S$2:$S$495=12)*('CONTROL MASTER'!$Z$2:$Z$495&lt;=1)*('CONTROL MASTER'!$AB$2:$AB$495&gt;=1)*('CONTROL MASTER'!$AA$2:$AA$495&lt;=8)*('CONTROL MASTER'!$AC$2:$AC$495&gt;=8))*ROW('CONTROL MASTER'!$S$2:$S$495))&gt;0,INDEX('CONTROL MASTER'!$X$2:$X$495,(SUMPRODUCT((('CONTROL MASTER'!$S$2:$S$495=12)*('CONTROL MASTER'!$Z$2:$Z$495&lt;=1)*('CONTROL MASTER'!$AB$2:$AB$495&gt;=1)*('CONTROL MASTER'!$AA$2:$AA$495&lt;=8)*('CONTROL MASTER'!$AC$2:$AC$495&gt;=8))*ROW('CONTROL MASTER'!$S$2:$S$495))-(ROW('CONTROL MASTER'!#REF!)-1)))&amp;TRIM(MID(SUBSTITUTE(SUBSTITUTE(INDEX('CONTROL MASTER'!$N$2:$N$495,(SUMPRODUCT((('CONTROL MASTER'!$S$2:$S$495=12)*('CONTROL MASTER'!$Z$2:$Z$495&lt;=1)*('CONTROL MASTER'!$AB$2:$AB$495&gt;=1)*('CONTROL MASTER'!$AA$2:$AA$495&lt;=8)*('CONTROL MASTER'!$AC$2:$AC$495&gt;=8))*ROW('CONTROL MASTER'!$S$2:$S$495))-(ROW('CONTROL MASTER'!#REF!)-1))),":",","),",",REPT(" ",50)),(((INDEX('CONTROL MASTER'!$Y$2:$Y$495,(SUMPRODUCT((('CONTROL MASTER'!$S$2:$S$495=12)*('CONTROL MASTER'!$Z$2:$Z$495&lt;=1)*('CONTROL MASTER'!$AB$2:$AB$495&gt;=1)*('CONTROL MASTER'!$AA$2:$AA$495&lt;=8)*('CONTROL MASTER'!$AC$2:$AC$495&gt;=8))*ROW('CONTROL MASTER'!$S$2:$S$495))-(ROW('CONTROL MASTER'!#REF!)-1)))+((1-INDEX('CONTROL MASTER'!$Z$2:$Z$495,(SUMPRODUCT((('CONTROL MASTER'!$S$2:$S$495=12)*('CONTROL MASTER'!$Z$2:$Z$495&lt;=1)*('CONTROL MASTER'!$AB$2:$AB$495&gt;=1)*('CONTROL MASTER'!$AA$2:$AA$495&lt;=8)*('CONTROL MASTER'!$AC$2:$AC$495&gt;=8))*ROW('CONTROL MASTER'!$S$2:$S$495))-(ROW('CONTROL MASTER'!#REF!)-1))))*(INDEX('CONTROL MASTER'!$AC$2:$AC$495,(SUMPRODUCT((('CONTROL MASTER'!$S$2:$S$495=12)*('CONTROL MASTER'!$Z$2:$Z$495&lt;=1)*('CONTROL MASTER'!$AB$2:$AB$495&gt;=1)*('CONTROL MASTER'!$AA$2:$AA$495&lt;=8)*('CONTROL MASTER'!$AC$2:$AC$495&gt;=8))*ROW('CONTROL MASTER'!$S$2:$S$495))-(ROW('CONTROL MASTER'!#REF!)-1)))-INDEX('CONTROL MASTER'!$AA$2:$AA$495,(SUMPRODUCT((('CONTROL MASTER'!$S$2:$S$495=12)*('CONTROL MASTER'!$Z$2:$Z$495&lt;=1)*('CONTROL MASTER'!$AB$2:$AB$495&gt;=1)*('CONTROL MASTER'!$AA$2:$AA$495&lt;=8)*('CONTROL MASTER'!$AC$2:$AC$495&gt;=8))*ROW('CONTROL MASTER'!$S$2:$S$495))-(ROW('CONTROL MASTER'!#REF!)-1)))+1)+(8-INDEX('CONTROL MASTER'!$AA$2:$AA$495,(SUMPRODUCT((('CONTROL MASTER'!$S$2:$S$495=12)*('CONTROL MASTER'!$Z$2:$Z$495&lt;=1)*('CONTROL MASTER'!$AB$2:$AB$495&gt;=1)*('CONTROL MASTER'!$AA$2:$AA$495&lt;=8)*('CONTROL MASTER'!$AC$2:$AC$495&gt;=8))*ROW('CONTROL MASTER'!$S$2:$S$495))-(ROW('CONTROL MASTER'!#REF!)-1))))+1)))-1)*50+1,50))&amp;"_"&amp;INDEX('CONTROL MASTER'!$P$2:$P$495,(SUMPRODUCT((('CONTROL MASTER'!$S$2:$S$495=12)*('CONTROL MASTER'!$Z$2:$Z$495&lt;=1)*('CONTROL MASTER'!$AB$2:$AB$495&gt;=1)*('CONTROL MASTER'!$AA$2:$AA$495&lt;=8)*('CONTROL MASTER'!$AC$2:$AC$495&gt;=8))*ROW('CONTROL MASTER'!$S$2:$S$495))-(ROW('CONTROL MASTER'!#REF!)-1))),"")),"")</f>
        <v/>
      </c>
      <c r="J157" s="10" t="str">
        <f>IFERROR(IF(SUMPRODUCT((('CONTROL MASTER'!$S$2:$S$495=12)*('CONTROL MASTER'!$T$2:$T$495&lt;=1)*('CONTROL MASTER'!$V$2:$V$495&gt;=1)*('CONTROL MASTER'!$U$2:$U$495&lt;=9)*('CONTROL MASTER'!$W$2:$W$495&gt;=9))*ROW('CONTROL MASTER'!$S$2:$S$495))&gt;0,INDEX('CONTROL MASTER'!$X$2:$X$495,(SUMPRODUCT((('CONTROL MASTER'!$S$2:$S$495=12)*('CONTROL MASTER'!$T$2:$T$495&lt;=1)*('CONTROL MASTER'!$V$2:$V$495&gt;=1)*('CONTROL MASTER'!$U$2:$U$495&lt;=9)*('CONTROL MASTER'!$W$2:$W$495&gt;=9))*ROW('CONTROL MASTER'!$S$2:$S$495))-(ROW('CONTROL MASTER'!#REF!)-1)))&amp;TRIM(MID(SUBSTITUTE(SUBSTITUTE(INDEX('CONTROL MASTER'!$N$2:$N$495,(SUMPRODUCT((('CONTROL MASTER'!$S$2:$S$495=12)*('CONTROL MASTER'!$T$2:$T$495&lt;=1)*('CONTROL MASTER'!$V$2:$V$495&gt;=1)*('CONTROL MASTER'!$U$2:$U$495&lt;=9)*('CONTROL MASTER'!$W$2:$W$495&gt;=9))*ROW('CONTROL MASTER'!$S$2:$S$495))-(ROW('CONTROL MASTER'!#REF!)-1))),":",","),",",REPT(" ",50)),((((1-INDEX('CONTROL MASTER'!$T$2:$T$495,(SUMPRODUCT((('CONTROL MASTER'!$S$2:$S$495=12)*('CONTROL MASTER'!$T$2:$T$495&lt;=1)*('CONTROL MASTER'!$V$2:$V$495&gt;=1)*('CONTROL MASTER'!$U$2:$U$495&lt;=9)*('CONTROL MASTER'!$W$2:$W$495&gt;=9))*ROW('CONTROL MASTER'!$S$2:$S$495))-(ROW('CONTROL MASTER'!#REF!)-1))))*(INDEX('CONTROL MASTER'!$W$2:$W$495,(SUMPRODUCT((('CONTROL MASTER'!$S$2:$S$495=12)*('CONTROL MASTER'!$T$2:$T$495&lt;=1)*('CONTROL MASTER'!$V$2:$V$495&gt;=1)*('CONTROL MASTER'!$U$2:$U$495&lt;=9)*('CONTROL MASTER'!$W$2:$W$495&gt;=9))*ROW('CONTROL MASTER'!$S$2:$S$495))-(ROW('CONTROL MASTER'!#REF!)-1)))-INDEX('CONTROL MASTER'!$U$2:$U$495,(SUMPRODUCT((('CONTROL MASTER'!$S$2:$S$495=12)*('CONTROL MASTER'!$T$2:$T$495&lt;=1)*('CONTROL MASTER'!$V$2:$V$495&gt;=1)*('CONTROL MASTER'!$U$2:$U$495&lt;=9)*('CONTROL MASTER'!$W$2:$W$495&gt;=9))*ROW('CONTROL MASTER'!$S$2:$S$495))-(ROW('CONTROL MASTER'!#REF!)-1)))+1)+(9-INDEX('CONTROL MASTER'!$U$2:$U$495,(SUMPRODUCT((('CONTROL MASTER'!$S$2:$S$495=12)*('CONTROL MASTER'!$T$2:$T$495&lt;=1)*('CONTROL MASTER'!$V$2:$V$495&gt;=1)*('CONTROL MASTER'!$U$2:$U$495&lt;=9)*('CONTROL MASTER'!$W$2:$W$495&gt;=9))*ROW('CONTROL MASTER'!$S$2:$S$495))-(ROW('CONTROL MASTER'!#REF!)-1))))+1))-1)*50+1,50))&amp;"_"&amp;INDEX('CONTROL MASTER'!$P$2:$P$495,(SUMPRODUCT((('CONTROL MASTER'!$S$2:$S$495=12)*('CONTROL MASTER'!$T$2:$T$495&lt;=1)*('CONTROL MASTER'!$V$2:$V$495&gt;=1)*('CONTROL MASTER'!$U$2:$U$495&lt;=9)*('CONTROL MASTER'!$W$2:$W$495&gt;=9))*ROW('CONTROL MASTER'!$S$2:$S$495))-(ROW('CONTROL MASTER'!#REF!)-1))),IF(SUMPRODUCT((('CONTROL MASTER'!$S$2:$S$495=12)*('CONTROL MASTER'!$Z$2:$Z$495&lt;=1)*('CONTROL MASTER'!$AB$2:$AB$495&gt;=1)*('CONTROL MASTER'!$AA$2:$AA$495&lt;=9)*('CONTROL MASTER'!$AC$2:$AC$495&gt;=9))*ROW('CONTROL MASTER'!$S$2:$S$495))&gt;0,INDEX('CONTROL MASTER'!$X$2:$X$495,(SUMPRODUCT((('CONTROL MASTER'!$S$2:$S$495=12)*('CONTROL MASTER'!$Z$2:$Z$495&lt;=1)*('CONTROL MASTER'!$AB$2:$AB$495&gt;=1)*('CONTROL MASTER'!$AA$2:$AA$495&lt;=9)*('CONTROL MASTER'!$AC$2:$AC$495&gt;=9))*ROW('CONTROL MASTER'!$S$2:$S$495))-(ROW('CONTROL MASTER'!#REF!)-1)))&amp;TRIM(MID(SUBSTITUTE(SUBSTITUTE(INDEX('CONTROL MASTER'!$N$2:$N$495,(SUMPRODUCT((('CONTROL MASTER'!$S$2:$S$495=12)*('CONTROL MASTER'!$Z$2:$Z$495&lt;=1)*('CONTROL MASTER'!$AB$2:$AB$495&gt;=1)*('CONTROL MASTER'!$AA$2:$AA$495&lt;=9)*('CONTROL MASTER'!$AC$2:$AC$495&gt;=9))*ROW('CONTROL MASTER'!$S$2:$S$495))-(ROW('CONTROL MASTER'!#REF!)-1))),":",","),",",REPT(" ",50)),(((INDEX('CONTROL MASTER'!$Y$2:$Y$495,(SUMPRODUCT((('CONTROL MASTER'!$S$2:$S$495=12)*('CONTROL MASTER'!$Z$2:$Z$495&lt;=1)*('CONTROL MASTER'!$AB$2:$AB$495&gt;=1)*('CONTROL MASTER'!$AA$2:$AA$495&lt;=9)*('CONTROL MASTER'!$AC$2:$AC$495&gt;=9))*ROW('CONTROL MASTER'!$S$2:$S$495))-(ROW('CONTROL MASTER'!#REF!)-1)))+((1-INDEX('CONTROL MASTER'!$Z$2:$Z$495,(SUMPRODUCT((('CONTROL MASTER'!$S$2:$S$495=12)*('CONTROL MASTER'!$Z$2:$Z$495&lt;=1)*('CONTROL MASTER'!$AB$2:$AB$495&gt;=1)*('CONTROL MASTER'!$AA$2:$AA$495&lt;=9)*('CONTROL MASTER'!$AC$2:$AC$495&gt;=9))*ROW('CONTROL MASTER'!$S$2:$S$495))-(ROW('CONTROL MASTER'!#REF!)-1))))*(INDEX('CONTROL MASTER'!$AC$2:$AC$495,(SUMPRODUCT((('CONTROL MASTER'!$S$2:$S$495=12)*('CONTROL MASTER'!$Z$2:$Z$495&lt;=1)*('CONTROL MASTER'!$AB$2:$AB$495&gt;=1)*('CONTROL MASTER'!$AA$2:$AA$495&lt;=9)*('CONTROL MASTER'!$AC$2:$AC$495&gt;=9))*ROW('CONTROL MASTER'!$S$2:$S$495))-(ROW('CONTROL MASTER'!#REF!)-1)))-INDEX('CONTROL MASTER'!$AA$2:$AA$495,(SUMPRODUCT((('CONTROL MASTER'!$S$2:$S$495=12)*('CONTROL MASTER'!$Z$2:$Z$495&lt;=1)*('CONTROL MASTER'!$AB$2:$AB$495&gt;=1)*('CONTROL MASTER'!$AA$2:$AA$495&lt;=9)*('CONTROL MASTER'!$AC$2:$AC$495&gt;=9))*ROW('CONTROL MASTER'!$S$2:$S$495))-(ROW('CONTROL MASTER'!#REF!)-1)))+1)+(9-INDEX('CONTROL MASTER'!$AA$2:$AA$495,(SUMPRODUCT((('CONTROL MASTER'!$S$2:$S$495=12)*('CONTROL MASTER'!$Z$2:$Z$495&lt;=1)*('CONTROL MASTER'!$AB$2:$AB$495&gt;=1)*('CONTROL MASTER'!$AA$2:$AA$495&lt;=9)*('CONTROL MASTER'!$AC$2:$AC$495&gt;=9))*ROW('CONTROL MASTER'!$S$2:$S$495))-(ROW('CONTROL MASTER'!#REF!)-1))))+1)))-1)*50+1,50))&amp;"_"&amp;INDEX('CONTROL MASTER'!$P$2:$P$495,(SUMPRODUCT((('CONTROL MASTER'!$S$2:$S$495=12)*('CONTROL MASTER'!$Z$2:$Z$495&lt;=1)*('CONTROL MASTER'!$AB$2:$AB$495&gt;=1)*('CONTROL MASTER'!$AA$2:$AA$495&lt;=9)*('CONTROL MASTER'!$AC$2:$AC$495&gt;=9))*ROW('CONTROL MASTER'!$S$2:$S$495))-(ROW('CONTROL MASTER'!#REF!)-1))),"")),"")</f>
        <v/>
      </c>
      <c r="K157" s="10" t="str">
        <f>IFERROR(IF(SUMPRODUCT((('CONTROL MASTER'!$S$2:$S$495=12)*('CONTROL MASTER'!$T$2:$T$495&lt;=1)*('CONTROL MASTER'!$V$2:$V$495&gt;=1)*('CONTROL MASTER'!$U$2:$U$495&lt;=10)*('CONTROL MASTER'!$W$2:$W$495&gt;=10))*ROW('CONTROL MASTER'!$S$2:$S$495))&gt;0,INDEX('CONTROL MASTER'!$X$2:$X$495,(SUMPRODUCT((('CONTROL MASTER'!$S$2:$S$495=12)*('CONTROL MASTER'!$T$2:$T$495&lt;=1)*('CONTROL MASTER'!$V$2:$V$495&gt;=1)*('CONTROL MASTER'!$U$2:$U$495&lt;=10)*('CONTROL MASTER'!$W$2:$W$495&gt;=10))*ROW('CONTROL MASTER'!$S$2:$S$495))-(ROW('CONTROL MASTER'!#REF!)-1)))&amp;TRIM(MID(SUBSTITUTE(SUBSTITUTE(INDEX('CONTROL MASTER'!$N$2:$N$495,(SUMPRODUCT((('CONTROL MASTER'!$S$2:$S$495=12)*('CONTROL MASTER'!$T$2:$T$495&lt;=1)*('CONTROL MASTER'!$V$2:$V$495&gt;=1)*('CONTROL MASTER'!$U$2:$U$495&lt;=10)*('CONTROL MASTER'!$W$2:$W$495&gt;=10))*ROW('CONTROL MASTER'!$S$2:$S$495))-(ROW('CONTROL MASTER'!#REF!)-1))),":",","),",",REPT(" ",50)),((((1-INDEX('CONTROL MASTER'!$T$2:$T$495,(SUMPRODUCT((('CONTROL MASTER'!$S$2:$S$495=12)*('CONTROL MASTER'!$T$2:$T$495&lt;=1)*('CONTROL MASTER'!$V$2:$V$495&gt;=1)*('CONTROL MASTER'!$U$2:$U$495&lt;=10)*('CONTROL MASTER'!$W$2:$W$495&gt;=10))*ROW('CONTROL MASTER'!$S$2:$S$495))-(ROW('CONTROL MASTER'!#REF!)-1))))*(INDEX('CONTROL MASTER'!$W$2:$W$495,(SUMPRODUCT((('CONTROL MASTER'!$S$2:$S$495=12)*('CONTROL MASTER'!$T$2:$T$495&lt;=1)*('CONTROL MASTER'!$V$2:$V$495&gt;=1)*('CONTROL MASTER'!$U$2:$U$495&lt;=10)*('CONTROL MASTER'!$W$2:$W$495&gt;=10))*ROW('CONTROL MASTER'!$S$2:$S$495))-(ROW('CONTROL MASTER'!#REF!)-1)))-INDEX('CONTROL MASTER'!$U$2:$U$495,(SUMPRODUCT((('CONTROL MASTER'!$S$2:$S$495=12)*('CONTROL MASTER'!$T$2:$T$495&lt;=1)*('CONTROL MASTER'!$V$2:$V$495&gt;=1)*('CONTROL MASTER'!$U$2:$U$495&lt;=10)*('CONTROL MASTER'!$W$2:$W$495&gt;=10))*ROW('CONTROL MASTER'!$S$2:$S$495))-(ROW('CONTROL MASTER'!#REF!)-1)))+1)+(10-INDEX('CONTROL MASTER'!$U$2:$U$495,(SUMPRODUCT((('CONTROL MASTER'!$S$2:$S$495=12)*('CONTROL MASTER'!$T$2:$T$495&lt;=1)*('CONTROL MASTER'!$V$2:$V$495&gt;=1)*('CONTROL MASTER'!$U$2:$U$495&lt;=10)*('CONTROL MASTER'!$W$2:$W$495&gt;=10))*ROW('CONTROL MASTER'!$S$2:$S$495))-(ROW('CONTROL MASTER'!#REF!)-1))))+1))-1)*50+1,50))&amp;"_"&amp;INDEX('CONTROL MASTER'!$P$2:$P$495,(SUMPRODUCT((('CONTROL MASTER'!$S$2:$S$495=12)*('CONTROL MASTER'!$T$2:$T$495&lt;=1)*('CONTROL MASTER'!$V$2:$V$495&gt;=1)*('CONTROL MASTER'!$U$2:$U$495&lt;=10)*('CONTROL MASTER'!$W$2:$W$495&gt;=10))*ROW('CONTROL MASTER'!$S$2:$S$495))-(ROW('CONTROL MASTER'!#REF!)-1))),IF(SUMPRODUCT((('CONTROL MASTER'!$S$2:$S$495=12)*('CONTROL MASTER'!$Z$2:$Z$495&lt;=1)*('CONTROL MASTER'!$AB$2:$AB$495&gt;=1)*('CONTROL MASTER'!$AA$2:$AA$495&lt;=10)*('CONTROL MASTER'!$AC$2:$AC$495&gt;=10))*ROW('CONTROL MASTER'!$S$2:$S$495))&gt;0,INDEX('CONTROL MASTER'!$X$2:$X$495,(SUMPRODUCT((('CONTROL MASTER'!$S$2:$S$495=12)*('CONTROL MASTER'!$Z$2:$Z$495&lt;=1)*('CONTROL MASTER'!$AB$2:$AB$495&gt;=1)*('CONTROL MASTER'!$AA$2:$AA$495&lt;=10)*('CONTROL MASTER'!$AC$2:$AC$495&gt;=10))*ROW('CONTROL MASTER'!$S$2:$S$495))-(ROW('CONTROL MASTER'!#REF!)-1)))&amp;TRIM(MID(SUBSTITUTE(SUBSTITUTE(INDEX('CONTROL MASTER'!$N$2:$N$495,(SUMPRODUCT((('CONTROL MASTER'!$S$2:$S$495=12)*('CONTROL MASTER'!$Z$2:$Z$495&lt;=1)*('CONTROL MASTER'!$AB$2:$AB$495&gt;=1)*('CONTROL MASTER'!$AA$2:$AA$495&lt;=10)*('CONTROL MASTER'!$AC$2:$AC$495&gt;=10))*ROW('CONTROL MASTER'!$S$2:$S$495))-(ROW('CONTROL MASTER'!#REF!)-1))),":",","),",",REPT(" ",50)),(((INDEX('CONTROL MASTER'!$Y$2:$Y$495,(SUMPRODUCT((('CONTROL MASTER'!$S$2:$S$495=12)*('CONTROL MASTER'!$Z$2:$Z$495&lt;=1)*('CONTROL MASTER'!$AB$2:$AB$495&gt;=1)*('CONTROL MASTER'!$AA$2:$AA$495&lt;=10)*('CONTROL MASTER'!$AC$2:$AC$495&gt;=10))*ROW('CONTROL MASTER'!$S$2:$S$495))-(ROW('CONTROL MASTER'!#REF!)-1)))+((1-INDEX('CONTROL MASTER'!$Z$2:$Z$495,(SUMPRODUCT((('CONTROL MASTER'!$S$2:$S$495=12)*('CONTROL MASTER'!$Z$2:$Z$495&lt;=1)*('CONTROL MASTER'!$AB$2:$AB$495&gt;=1)*('CONTROL MASTER'!$AA$2:$AA$495&lt;=10)*('CONTROL MASTER'!$AC$2:$AC$495&gt;=10))*ROW('CONTROL MASTER'!$S$2:$S$495))-(ROW('CONTROL MASTER'!#REF!)-1))))*(INDEX('CONTROL MASTER'!$AC$2:$AC$495,(SUMPRODUCT((('CONTROL MASTER'!$S$2:$S$495=12)*('CONTROL MASTER'!$Z$2:$Z$495&lt;=1)*('CONTROL MASTER'!$AB$2:$AB$495&gt;=1)*('CONTROL MASTER'!$AA$2:$AA$495&lt;=10)*('CONTROL MASTER'!$AC$2:$AC$495&gt;=10))*ROW('CONTROL MASTER'!$S$2:$S$495))-(ROW('CONTROL MASTER'!#REF!)-1)))-INDEX('CONTROL MASTER'!$AA$2:$AA$495,(SUMPRODUCT((('CONTROL MASTER'!$S$2:$S$495=12)*('CONTROL MASTER'!$Z$2:$Z$495&lt;=1)*('CONTROL MASTER'!$AB$2:$AB$495&gt;=1)*('CONTROL MASTER'!$AA$2:$AA$495&lt;=10)*('CONTROL MASTER'!$AC$2:$AC$495&gt;=10))*ROW('CONTROL MASTER'!$S$2:$S$495))-(ROW('CONTROL MASTER'!#REF!)-1)))+1)+(10-INDEX('CONTROL MASTER'!$AA$2:$AA$495,(SUMPRODUCT((('CONTROL MASTER'!$S$2:$S$495=12)*('CONTROL MASTER'!$Z$2:$Z$495&lt;=1)*('CONTROL MASTER'!$AB$2:$AB$495&gt;=1)*('CONTROL MASTER'!$AA$2:$AA$495&lt;=10)*('CONTROL MASTER'!$AC$2:$AC$495&gt;=10))*ROW('CONTROL MASTER'!$S$2:$S$495))-(ROW('CONTROL MASTER'!#REF!)-1))))+1)))-1)*50+1,50))&amp;"_"&amp;INDEX('CONTROL MASTER'!$P$2:$P$495,(SUMPRODUCT((('CONTROL MASTER'!$S$2:$S$495=12)*('CONTROL MASTER'!$Z$2:$Z$495&lt;=1)*('CONTROL MASTER'!$AB$2:$AB$495&gt;=1)*('CONTROL MASTER'!$AA$2:$AA$495&lt;=10)*('CONTROL MASTER'!$AC$2:$AC$495&gt;=10))*ROW('CONTROL MASTER'!$S$2:$S$495))-(ROW('CONTROL MASTER'!#REF!)-1))),"")),"")</f>
        <v/>
      </c>
    </row>
    <row r="158" spans="1:11" ht="15" customHeight="1" x14ac:dyDescent="0.35">
      <c r="A158" s="8" t="s">
        <v>29</v>
      </c>
      <c r="B158" s="10" t="str">
        <f>IFERROR(IF(SUMPRODUCT((('CONTROL MASTER'!$S$2:$S$495=12)*('CONTROL MASTER'!$T$2:$T$495&lt;=2)*('CONTROL MASTER'!$V$2:$V$495&gt;=2)*('CONTROL MASTER'!$U$2:$U$495&lt;=1)*('CONTROL MASTER'!$W$2:$W$495&gt;=1))*ROW('CONTROL MASTER'!$S$2:$S$495))&gt;0,INDEX('CONTROL MASTER'!$X$2:$X$495,(SUMPRODUCT((('CONTROL MASTER'!$S$2:$S$495=12)*('CONTROL MASTER'!$T$2:$T$495&lt;=2)*('CONTROL MASTER'!$V$2:$V$495&gt;=2)*('CONTROL MASTER'!$U$2:$U$495&lt;=1)*('CONTROL MASTER'!$W$2:$W$495&gt;=1))*ROW('CONTROL MASTER'!$S$2:$S$495))-(ROW('CONTROL MASTER'!#REF!)-1)))&amp;TRIM(MID(SUBSTITUTE(SUBSTITUTE(INDEX('CONTROL MASTER'!$N$2:$N$495,(SUMPRODUCT((('CONTROL MASTER'!$S$2:$S$495=12)*('CONTROL MASTER'!$T$2:$T$495&lt;=2)*('CONTROL MASTER'!$V$2:$V$495&gt;=2)*('CONTROL MASTER'!$U$2:$U$495&lt;=1)*('CONTROL MASTER'!$W$2:$W$495&gt;=1))*ROW('CONTROL MASTER'!$S$2:$S$495))-(ROW('CONTROL MASTER'!#REF!)-1))),":",","),",",REPT(" ",50)),((((2-INDEX('CONTROL MASTER'!$T$2:$T$495,(SUMPRODUCT((('CONTROL MASTER'!$S$2:$S$495=12)*('CONTROL MASTER'!$T$2:$T$495&lt;=2)*('CONTROL MASTER'!$V$2:$V$495&gt;=2)*('CONTROL MASTER'!$U$2:$U$495&lt;=1)*('CONTROL MASTER'!$W$2:$W$495&gt;=1))*ROW('CONTROL MASTER'!$S$2:$S$495))-(ROW('CONTROL MASTER'!#REF!)-1))))*(INDEX('CONTROL MASTER'!$W$2:$W$495,(SUMPRODUCT((('CONTROL MASTER'!$S$2:$S$495=12)*('CONTROL MASTER'!$T$2:$T$495&lt;=2)*('CONTROL MASTER'!$V$2:$V$495&gt;=2)*('CONTROL MASTER'!$U$2:$U$495&lt;=1)*('CONTROL MASTER'!$W$2:$W$495&gt;=1))*ROW('CONTROL MASTER'!$S$2:$S$495))-(ROW('CONTROL MASTER'!#REF!)-1)))-INDEX('CONTROL MASTER'!$U$2:$U$495,(SUMPRODUCT((('CONTROL MASTER'!$S$2:$S$495=12)*('CONTROL MASTER'!$T$2:$T$495&lt;=2)*('CONTROL MASTER'!$V$2:$V$495&gt;=2)*('CONTROL MASTER'!$U$2:$U$495&lt;=1)*('CONTROL MASTER'!$W$2:$W$495&gt;=1))*ROW('CONTROL MASTER'!$S$2:$S$495))-(ROW('CONTROL MASTER'!#REF!)-1)))+1)+(1-INDEX('CONTROL MASTER'!$U$2:$U$495,(SUMPRODUCT((('CONTROL MASTER'!$S$2:$S$495=12)*('CONTROL MASTER'!$T$2:$T$495&lt;=2)*('CONTROL MASTER'!$V$2:$V$495&gt;=2)*('CONTROL MASTER'!$U$2:$U$495&lt;=1)*('CONTROL MASTER'!$W$2:$W$495&gt;=1))*ROW('CONTROL MASTER'!$S$2:$S$495))-(ROW('CONTROL MASTER'!#REF!)-1))))+1))-1)*50+1,50))&amp;"_"&amp;INDEX('CONTROL MASTER'!$P$2:$P$495,(SUMPRODUCT((('CONTROL MASTER'!$S$2:$S$495=12)*('CONTROL MASTER'!$T$2:$T$495&lt;=2)*('CONTROL MASTER'!$V$2:$V$495&gt;=2)*('CONTROL MASTER'!$U$2:$U$495&lt;=1)*('CONTROL MASTER'!$W$2:$W$495&gt;=1))*ROW('CONTROL MASTER'!$S$2:$S$495))-(ROW('CONTROL MASTER'!#REF!)-1))),IF(SUMPRODUCT((('CONTROL MASTER'!$S$2:$S$495=12)*('CONTROL MASTER'!$Z$2:$Z$495&lt;=2)*('CONTROL MASTER'!$AB$2:$AB$495&gt;=2)*('CONTROL MASTER'!$AA$2:$AA$495&lt;=1)*('CONTROL MASTER'!$AC$2:$AC$495&gt;=1))*ROW('CONTROL MASTER'!$S$2:$S$495))&gt;0,INDEX('CONTROL MASTER'!$X$2:$X$495,(SUMPRODUCT((('CONTROL MASTER'!$S$2:$S$495=12)*('CONTROL MASTER'!$Z$2:$Z$495&lt;=2)*('CONTROL MASTER'!$AB$2:$AB$495&gt;=2)*('CONTROL MASTER'!$AA$2:$AA$495&lt;=1)*('CONTROL MASTER'!$AC$2:$AC$495&gt;=1))*ROW('CONTROL MASTER'!$S$2:$S$495))-(ROW('CONTROL MASTER'!#REF!)-1)))&amp;TRIM(MID(SUBSTITUTE(SUBSTITUTE(INDEX('CONTROL MASTER'!$N$2:$N$495,(SUMPRODUCT((('CONTROL MASTER'!$S$2:$S$495=12)*('CONTROL MASTER'!$Z$2:$Z$495&lt;=2)*('CONTROL MASTER'!$AB$2:$AB$495&gt;=2)*('CONTROL MASTER'!$AA$2:$AA$495&lt;=1)*('CONTROL MASTER'!$AC$2:$AC$495&gt;=1))*ROW('CONTROL MASTER'!$S$2:$S$495))-(ROW('CONTROL MASTER'!#REF!)-1))),":",","),",",REPT(" ",50)),(((INDEX('CONTROL MASTER'!$Y$2:$Y$495,(SUMPRODUCT((('CONTROL MASTER'!$S$2:$S$495=12)*('CONTROL MASTER'!$Z$2:$Z$495&lt;=2)*('CONTROL MASTER'!$AB$2:$AB$495&gt;=2)*('CONTROL MASTER'!$AA$2:$AA$495&lt;=1)*('CONTROL MASTER'!$AC$2:$AC$495&gt;=1))*ROW('CONTROL MASTER'!$S$2:$S$495))-(ROW('CONTROL MASTER'!#REF!)-1)))+((2-INDEX('CONTROL MASTER'!$Z$2:$Z$495,(SUMPRODUCT((('CONTROL MASTER'!$S$2:$S$495=12)*('CONTROL MASTER'!$Z$2:$Z$495&lt;=2)*('CONTROL MASTER'!$AB$2:$AB$495&gt;=2)*('CONTROL MASTER'!$AA$2:$AA$495&lt;=1)*('CONTROL MASTER'!$AC$2:$AC$495&gt;=1))*ROW('CONTROL MASTER'!$S$2:$S$495))-(ROW('CONTROL MASTER'!#REF!)-1))))*(INDEX('CONTROL MASTER'!$AC$2:$AC$495,(SUMPRODUCT((('CONTROL MASTER'!$S$2:$S$495=12)*('CONTROL MASTER'!$Z$2:$Z$495&lt;=2)*('CONTROL MASTER'!$AB$2:$AB$495&gt;=2)*('CONTROL MASTER'!$AA$2:$AA$495&lt;=1)*('CONTROL MASTER'!$AC$2:$AC$495&gt;=1))*ROW('CONTROL MASTER'!$S$2:$S$495))-(ROW('CONTROL MASTER'!#REF!)-1)))-INDEX('CONTROL MASTER'!$AA$2:$AA$495,(SUMPRODUCT((('CONTROL MASTER'!$S$2:$S$495=12)*('CONTROL MASTER'!$Z$2:$Z$495&lt;=2)*('CONTROL MASTER'!$AB$2:$AB$495&gt;=2)*('CONTROL MASTER'!$AA$2:$AA$495&lt;=1)*('CONTROL MASTER'!$AC$2:$AC$495&gt;=1))*ROW('CONTROL MASTER'!$S$2:$S$495))-(ROW('CONTROL MASTER'!#REF!)-1)))+1)+(1-INDEX('CONTROL MASTER'!$AA$2:$AA$495,(SUMPRODUCT((('CONTROL MASTER'!$S$2:$S$495=12)*('CONTROL MASTER'!$Z$2:$Z$495&lt;=2)*('CONTROL MASTER'!$AB$2:$AB$495&gt;=2)*('CONTROL MASTER'!$AA$2:$AA$495&lt;=1)*('CONTROL MASTER'!$AC$2:$AC$495&gt;=1))*ROW('CONTROL MASTER'!$S$2:$S$495))-(ROW('CONTROL MASTER'!#REF!)-1))))+1)))-1)*50+1,50))&amp;"_"&amp;INDEX('CONTROL MASTER'!$P$2:$P$495,(SUMPRODUCT((('CONTROL MASTER'!$S$2:$S$495=12)*('CONTROL MASTER'!$Z$2:$Z$495&lt;=2)*('CONTROL MASTER'!$AB$2:$AB$495&gt;=2)*('CONTROL MASTER'!$AA$2:$AA$495&lt;=1)*('CONTROL MASTER'!$AC$2:$AC$495&gt;=1))*ROW('CONTROL MASTER'!$S$2:$S$495))-(ROW('CONTROL MASTER'!#REF!)-1))),"")),"")</f>
        <v/>
      </c>
      <c r="C158" s="10" t="str">
        <f>IFERROR(IF(SUMPRODUCT((('CONTROL MASTER'!$S$2:$S$495=12)*('CONTROL MASTER'!$T$2:$T$495&lt;=2)*('CONTROL MASTER'!$V$2:$V$495&gt;=2)*('CONTROL MASTER'!$U$2:$U$495&lt;=2)*('CONTROL MASTER'!$W$2:$W$495&gt;=2))*ROW('CONTROL MASTER'!$S$2:$S$495))&gt;0,INDEX('CONTROL MASTER'!$X$2:$X$495,(SUMPRODUCT((('CONTROL MASTER'!$S$2:$S$495=12)*('CONTROL MASTER'!$T$2:$T$495&lt;=2)*('CONTROL MASTER'!$V$2:$V$495&gt;=2)*('CONTROL MASTER'!$U$2:$U$495&lt;=2)*('CONTROL MASTER'!$W$2:$W$495&gt;=2))*ROW('CONTROL MASTER'!$S$2:$S$495))-(ROW('CONTROL MASTER'!#REF!)-1)))&amp;TRIM(MID(SUBSTITUTE(SUBSTITUTE(INDEX('CONTROL MASTER'!$N$2:$N$495,(SUMPRODUCT((('CONTROL MASTER'!$S$2:$S$495=12)*('CONTROL MASTER'!$T$2:$T$495&lt;=2)*('CONTROL MASTER'!$V$2:$V$495&gt;=2)*('CONTROL MASTER'!$U$2:$U$495&lt;=2)*('CONTROL MASTER'!$W$2:$W$495&gt;=2))*ROW('CONTROL MASTER'!$S$2:$S$495))-(ROW('CONTROL MASTER'!#REF!)-1))),":",","),",",REPT(" ",50)),((((2-INDEX('CONTROL MASTER'!$T$2:$T$495,(SUMPRODUCT((('CONTROL MASTER'!$S$2:$S$495=12)*('CONTROL MASTER'!$T$2:$T$495&lt;=2)*('CONTROL MASTER'!$V$2:$V$495&gt;=2)*('CONTROL MASTER'!$U$2:$U$495&lt;=2)*('CONTROL MASTER'!$W$2:$W$495&gt;=2))*ROW('CONTROL MASTER'!$S$2:$S$495))-(ROW('CONTROL MASTER'!#REF!)-1))))*(INDEX('CONTROL MASTER'!$W$2:$W$495,(SUMPRODUCT((('CONTROL MASTER'!$S$2:$S$495=12)*('CONTROL MASTER'!$T$2:$T$495&lt;=2)*('CONTROL MASTER'!$V$2:$V$495&gt;=2)*('CONTROL MASTER'!$U$2:$U$495&lt;=2)*('CONTROL MASTER'!$W$2:$W$495&gt;=2))*ROW('CONTROL MASTER'!$S$2:$S$495))-(ROW('CONTROL MASTER'!#REF!)-1)))-INDEX('CONTROL MASTER'!$U$2:$U$495,(SUMPRODUCT((('CONTROL MASTER'!$S$2:$S$495=12)*('CONTROL MASTER'!$T$2:$T$495&lt;=2)*('CONTROL MASTER'!$V$2:$V$495&gt;=2)*('CONTROL MASTER'!$U$2:$U$495&lt;=2)*('CONTROL MASTER'!$W$2:$W$495&gt;=2))*ROW('CONTROL MASTER'!$S$2:$S$495))-(ROW('CONTROL MASTER'!#REF!)-1)))+1)+(2-INDEX('CONTROL MASTER'!$U$2:$U$495,(SUMPRODUCT((('CONTROL MASTER'!$S$2:$S$495=12)*('CONTROL MASTER'!$T$2:$T$495&lt;=2)*('CONTROL MASTER'!$V$2:$V$495&gt;=2)*('CONTROL MASTER'!$U$2:$U$495&lt;=2)*('CONTROL MASTER'!$W$2:$W$495&gt;=2))*ROW('CONTROL MASTER'!$S$2:$S$495))-(ROW('CONTROL MASTER'!#REF!)-1))))+1))-1)*50+1,50))&amp;"_"&amp;INDEX('CONTROL MASTER'!$P$2:$P$495,(SUMPRODUCT((('CONTROL MASTER'!$S$2:$S$495=12)*('CONTROL MASTER'!$T$2:$T$495&lt;=2)*('CONTROL MASTER'!$V$2:$V$495&gt;=2)*('CONTROL MASTER'!$U$2:$U$495&lt;=2)*('CONTROL MASTER'!$W$2:$W$495&gt;=2))*ROW('CONTROL MASTER'!$S$2:$S$495))-(ROW('CONTROL MASTER'!#REF!)-1))),IF(SUMPRODUCT((('CONTROL MASTER'!$S$2:$S$495=12)*('CONTROL MASTER'!$Z$2:$Z$495&lt;=2)*('CONTROL MASTER'!$AB$2:$AB$495&gt;=2)*('CONTROL MASTER'!$AA$2:$AA$495&lt;=2)*('CONTROL MASTER'!$AC$2:$AC$495&gt;=2))*ROW('CONTROL MASTER'!$S$2:$S$495))&gt;0,INDEX('CONTROL MASTER'!$X$2:$X$495,(SUMPRODUCT((('CONTROL MASTER'!$S$2:$S$495=12)*('CONTROL MASTER'!$Z$2:$Z$495&lt;=2)*('CONTROL MASTER'!$AB$2:$AB$495&gt;=2)*('CONTROL MASTER'!$AA$2:$AA$495&lt;=2)*('CONTROL MASTER'!$AC$2:$AC$495&gt;=2))*ROW('CONTROL MASTER'!$S$2:$S$495))-(ROW('CONTROL MASTER'!#REF!)-1)))&amp;TRIM(MID(SUBSTITUTE(SUBSTITUTE(INDEX('CONTROL MASTER'!$N$2:$N$495,(SUMPRODUCT((('CONTROL MASTER'!$S$2:$S$495=12)*('CONTROL MASTER'!$Z$2:$Z$495&lt;=2)*('CONTROL MASTER'!$AB$2:$AB$495&gt;=2)*('CONTROL MASTER'!$AA$2:$AA$495&lt;=2)*('CONTROL MASTER'!$AC$2:$AC$495&gt;=2))*ROW('CONTROL MASTER'!$S$2:$S$495))-(ROW('CONTROL MASTER'!#REF!)-1))),":",","),",",REPT(" ",50)),(((INDEX('CONTROL MASTER'!$Y$2:$Y$495,(SUMPRODUCT((('CONTROL MASTER'!$S$2:$S$495=12)*('CONTROL MASTER'!$Z$2:$Z$495&lt;=2)*('CONTROL MASTER'!$AB$2:$AB$495&gt;=2)*('CONTROL MASTER'!$AA$2:$AA$495&lt;=2)*('CONTROL MASTER'!$AC$2:$AC$495&gt;=2))*ROW('CONTROL MASTER'!$S$2:$S$495))-(ROW('CONTROL MASTER'!#REF!)-1)))+((2-INDEX('CONTROL MASTER'!$Z$2:$Z$495,(SUMPRODUCT((('CONTROL MASTER'!$S$2:$S$495=12)*('CONTROL MASTER'!$Z$2:$Z$495&lt;=2)*('CONTROL MASTER'!$AB$2:$AB$495&gt;=2)*('CONTROL MASTER'!$AA$2:$AA$495&lt;=2)*('CONTROL MASTER'!$AC$2:$AC$495&gt;=2))*ROW('CONTROL MASTER'!$S$2:$S$495))-(ROW('CONTROL MASTER'!#REF!)-1))))*(INDEX('CONTROL MASTER'!$AC$2:$AC$495,(SUMPRODUCT((('CONTROL MASTER'!$S$2:$S$495=12)*('CONTROL MASTER'!$Z$2:$Z$495&lt;=2)*('CONTROL MASTER'!$AB$2:$AB$495&gt;=2)*('CONTROL MASTER'!$AA$2:$AA$495&lt;=2)*('CONTROL MASTER'!$AC$2:$AC$495&gt;=2))*ROW('CONTROL MASTER'!$S$2:$S$495))-(ROW('CONTROL MASTER'!#REF!)-1)))-INDEX('CONTROL MASTER'!$AA$2:$AA$495,(SUMPRODUCT((('CONTROL MASTER'!$S$2:$S$495=12)*('CONTROL MASTER'!$Z$2:$Z$495&lt;=2)*('CONTROL MASTER'!$AB$2:$AB$495&gt;=2)*('CONTROL MASTER'!$AA$2:$AA$495&lt;=2)*('CONTROL MASTER'!$AC$2:$AC$495&gt;=2))*ROW('CONTROL MASTER'!$S$2:$S$495))-(ROW('CONTROL MASTER'!#REF!)-1)))+1)+(2-INDEX('CONTROL MASTER'!$AA$2:$AA$495,(SUMPRODUCT((('CONTROL MASTER'!$S$2:$S$495=12)*('CONTROL MASTER'!$Z$2:$Z$495&lt;=2)*('CONTROL MASTER'!$AB$2:$AB$495&gt;=2)*('CONTROL MASTER'!$AA$2:$AA$495&lt;=2)*('CONTROL MASTER'!$AC$2:$AC$495&gt;=2))*ROW('CONTROL MASTER'!$S$2:$S$495))-(ROW('CONTROL MASTER'!#REF!)-1))))+1)))-1)*50+1,50))&amp;"_"&amp;INDEX('CONTROL MASTER'!$P$2:$P$495,(SUMPRODUCT((('CONTROL MASTER'!$S$2:$S$495=12)*('CONTROL MASTER'!$Z$2:$Z$495&lt;=2)*('CONTROL MASTER'!$AB$2:$AB$495&gt;=2)*('CONTROL MASTER'!$AA$2:$AA$495&lt;=2)*('CONTROL MASTER'!$AC$2:$AC$495&gt;=2))*ROW('CONTROL MASTER'!$S$2:$S$495))-(ROW('CONTROL MASTER'!#REF!)-1))),"")),"")</f>
        <v/>
      </c>
      <c r="D158" s="10" t="str">
        <f>IFERROR(IF(SUMPRODUCT((('CONTROL MASTER'!$S$2:$S$495=12)*('CONTROL MASTER'!$T$2:$T$495&lt;=2)*('CONTROL MASTER'!$V$2:$V$495&gt;=2)*('CONTROL MASTER'!$U$2:$U$495&lt;=3)*('CONTROL MASTER'!$W$2:$W$495&gt;=3))*ROW('CONTROL MASTER'!$S$2:$S$495))&gt;0,INDEX('CONTROL MASTER'!$X$2:$X$495,(SUMPRODUCT((('CONTROL MASTER'!$S$2:$S$495=12)*('CONTROL MASTER'!$T$2:$T$495&lt;=2)*('CONTROL MASTER'!$V$2:$V$495&gt;=2)*('CONTROL MASTER'!$U$2:$U$495&lt;=3)*('CONTROL MASTER'!$W$2:$W$495&gt;=3))*ROW('CONTROL MASTER'!$S$2:$S$495))-(ROW('CONTROL MASTER'!#REF!)-1)))&amp;TRIM(MID(SUBSTITUTE(SUBSTITUTE(INDEX('CONTROL MASTER'!$N$2:$N$495,(SUMPRODUCT((('CONTROL MASTER'!$S$2:$S$495=12)*('CONTROL MASTER'!$T$2:$T$495&lt;=2)*('CONTROL MASTER'!$V$2:$V$495&gt;=2)*('CONTROL MASTER'!$U$2:$U$495&lt;=3)*('CONTROL MASTER'!$W$2:$W$495&gt;=3))*ROW('CONTROL MASTER'!$S$2:$S$495))-(ROW('CONTROL MASTER'!#REF!)-1))),":",","),",",REPT(" ",50)),((((2-INDEX('CONTROL MASTER'!$T$2:$T$495,(SUMPRODUCT((('CONTROL MASTER'!$S$2:$S$495=12)*('CONTROL MASTER'!$T$2:$T$495&lt;=2)*('CONTROL MASTER'!$V$2:$V$495&gt;=2)*('CONTROL MASTER'!$U$2:$U$495&lt;=3)*('CONTROL MASTER'!$W$2:$W$495&gt;=3))*ROW('CONTROL MASTER'!$S$2:$S$495))-(ROW('CONTROL MASTER'!#REF!)-1))))*(INDEX('CONTROL MASTER'!$W$2:$W$495,(SUMPRODUCT((('CONTROL MASTER'!$S$2:$S$495=12)*('CONTROL MASTER'!$T$2:$T$495&lt;=2)*('CONTROL MASTER'!$V$2:$V$495&gt;=2)*('CONTROL MASTER'!$U$2:$U$495&lt;=3)*('CONTROL MASTER'!$W$2:$W$495&gt;=3))*ROW('CONTROL MASTER'!$S$2:$S$495))-(ROW('CONTROL MASTER'!#REF!)-1)))-INDEX('CONTROL MASTER'!$U$2:$U$495,(SUMPRODUCT((('CONTROL MASTER'!$S$2:$S$495=12)*('CONTROL MASTER'!$T$2:$T$495&lt;=2)*('CONTROL MASTER'!$V$2:$V$495&gt;=2)*('CONTROL MASTER'!$U$2:$U$495&lt;=3)*('CONTROL MASTER'!$W$2:$W$495&gt;=3))*ROW('CONTROL MASTER'!$S$2:$S$495))-(ROW('CONTROL MASTER'!#REF!)-1)))+1)+(3-INDEX('CONTROL MASTER'!$U$2:$U$495,(SUMPRODUCT((('CONTROL MASTER'!$S$2:$S$495=12)*('CONTROL MASTER'!$T$2:$T$495&lt;=2)*('CONTROL MASTER'!$V$2:$V$495&gt;=2)*('CONTROL MASTER'!$U$2:$U$495&lt;=3)*('CONTROL MASTER'!$W$2:$W$495&gt;=3))*ROW('CONTROL MASTER'!$S$2:$S$495))-(ROW('CONTROL MASTER'!#REF!)-1))))+1))-1)*50+1,50))&amp;"_"&amp;INDEX('CONTROL MASTER'!$P$2:$P$495,(SUMPRODUCT((('CONTROL MASTER'!$S$2:$S$495=12)*('CONTROL MASTER'!$T$2:$T$495&lt;=2)*('CONTROL MASTER'!$V$2:$V$495&gt;=2)*('CONTROL MASTER'!$U$2:$U$495&lt;=3)*('CONTROL MASTER'!$W$2:$W$495&gt;=3))*ROW('CONTROL MASTER'!$S$2:$S$495))-(ROW('CONTROL MASTER'!#REF!)-1))),IF(SUMPRODUCT((('CONTROL MASTER'!$S$2:$S$495=12)*('CONTROL MASTER'!$Z$2:$Z$495&lt;=2)*('CONTROL MASTER'!$AB$2:$AB$495&gt;=2)*('CONTROL MASTER'!$AA$2:$AA$495&lt;=3)*('CONTROL MASTER'!$AC$2:$AC$495&gt;=3))*ROW('CONTROL MASTER'!$S$2:$S$495))&gt;0,INDEX('CONTROL MASTER'!$X$2:$X$495,(SUMPRODUCT((('CONTROL MASTER'!$S$2:$S$495=12)*('CONTROL MASTER'!$Z$2:$Z$495&lt;=2)*('CONTROL MASTER'!$AB$2:$AB$495&gt;=2)*('CONTROL MASTER'!$AA$2:$AA$495&lt;=3)*('CONTROL MASTER'!$AC$2:$AC$495&gt;=3))*ROW('CONTROL MASTER'!$S$2:$S$495))-(ROW('CONTROL MASTER'!#REF!)-1)))&amp;TRIM(MID(SUBSTITUTE(SUBSTITUTE(INDEX('CONTROL MASTER'!$N$2:$N$495,(SUMPRODUCT((('CONTROL MASTER'!$S$2:$S$495=12)*('CONTROL MASTER'!$Z$2:$Z$495&lt;=2)*('CONTROL MASTER'!$AB$2:$AB$495&gt;=2)*('CONTROL MASTER'!$AA$2:$AA$495&lt;=3)*('CONTROL MASTER'!$AC$2:$AC$495&gt;=3))*ROW('CONTROL MASTER'!$S$2:$S$495))-(ROW('CONTROL MASTER'!#REF!)-1))),":",","),",",REPT(" ",50)),(((INDEX('CONTROL MASTER'!$Y$2:$Y$495,(SUMPRODUCT((('CONTROL MASTER'!$S$2:$S$495=12)*('CONTROL MASTER'!$Z$2:$Z$495&lt;=2)*('CONTROL MASTER'!$AB$2:$AB$495&gt;=2)*('CONTROL MASTER'!$AA$2:$AA$495&lt;=3)*('CONTROL MASTER'!$AC$2:$AC$495&gt;=3))*ROW('CONTROL MASTER'!$S$2:$S$495))-(ROW('CONTROL MASTER'!#REF!)-1)))+((2-INDEX('CONTROL MASTER'!$Z$2:$Z$495,(SUMPRODUCT((('CONTROL MASTER'!$S$2:$S$495=12)*('CONTROL MASTER'!$Z$2:$Z$495&lt;=2)*('CONTROL MASTER'!$AB$2:$AB$495&gt;=2)*('CONTROL MASTER'!$AA$2:$AA$495&lt;=3)*('CONTROL MASTER'!$AC$2:$AC$495&gt;=3))*ROW('CONTROL MASTER'!$S$2:$S$495))-(ROW('CONTROL MASTER'!#REF!)-1))))*(INDEX('CONTROL MASTER'!$AC$2:$AC$495,(SUMPRODUCT((('CONTROL MASTER'!$S$2:$S$495=12)*('CONTROL MASTER'!$Z$2:$Z$495&lt;=2)*('CONTROL MASTER'!$AB$2:$AB$495&gt;=2)*('CONTROL MASTER'!$AA$2:$AA$495&lt;=3)*('CONTROL MASTER'!$AC$2:$AC$495&gt;=3))*ROW('CONTROL MASTER'!$S$2:$S$495))-(ROW('CONTROL MASTER'!#REF!)-1)))-INDEX('CONTROL MASTER'!$AA$2:$AA$495,(SUMPRODUCT((('CONTROL MASTER'!$S$2:$S$495=12)*('CONTROL MASTER'!$Z$2:$Z$495&lt;=2)*('CONTROL MASTER'!$AB$2:$AB$495&gt;=2)*('CONTROL MASTER'!$AA$2:$AA$495&lt;=3)*('CONTROL MASTER'!$AC$2:$AC$495&gt;=3))*ROW('CONTROL MASTER'!$S$2:$S$495))-(ROW('CONTROL MASTER'!#REF!)-1)))+1)+(3-INDEX('CONTROL MASTER'!$AA$2:$AA$495,(SUMPRODUCT((('CONTROL MASTER'!$S$2:$S$495=12)*('CONTROL MASTER'!$Z$2:$Z$495&lt;=2)*('CONTROL MASTER'!$AB$2:$AB$495&gt;=2)*('CONTROL MASTER'!$AA$2:$AA$495&lt;=3)*('CONTROL MASTER'!$AC$2:$AC$495&gt;=3))*ROW('CONTROL MASTER'!$S$2:$S$495))-(ROW('CONTROL MASTER'!#REF!)-1))))+1)))-1)*50+1,50))&amp;"_"&amp;INDEX('CONTROL MASTER'!$P$2:$P$495,(SUMPRODUCT((('CONTROL MASTER'!$S$2:$S$495=12)*('CONTROL MASTER'!$Z$2:$Z$495&lt;=2)*('CONTROL MASTER'!$AB$2:$AB$495&gt;=2)*('CONTROL MASTER'!$AA$2:$AA$495&lt;=3)*('CONTROL MASTER'!$AC$2:$AC$495&gt;=3))*ROW('CONTROL MASTER'!$S$2:$S$495))-(ROW('CONTROL MASTER'!#REF!)-1))),"")),"")</f>
        <v/>
      </c>
      <c r="E158" s="10" t="str">
        <f>IFERROR(IF(SUMPRODUCT((('CONTROL MASTER'!$S$2:$S$495=12)*('CONTROL MASTER'!$T$2:$T$495&lt;=2)*('CONTROL MASTER'!$V$2:$V$495&gt;=2)*('CONTROL MASTER'!$U$2:$U$495&lt;=4)*('CONTROL MASTER'!$W$2:$W$495&gt;=4))*ROW('CONTROL MASTER'!$S$2:$S$495))&gt;0,INDEX('CONTROL MASTER'!$X$2:$X$495,(SUMPRODUCT((('CONTROL MASTER'!$S$2:$S$495=12)*('CONTROL MASTER'!$T$2:$T$495&lt;=2)*('CONTROL MASTER'!$V$2:$V$495&gt;=2)*('CONTROL MASTER'!$U$2:$U$495&lt;=4)*('CONTROL MASTER'!$W$2:$W$495&gt;=4))*ROW('CONTROL MASTER'!$S$2:$S$495))-(ROW('CONTROL MASTER'!#REF!)-1)))&amp;TRIM(MID(SUBSTITUTE(SUBSTITUTE(INDEX('CONTROL MASTER'!$N$2:$N$495,(SUMPRODUCT((('CONTROL MASTER'!$S$2:$S$495=12)*('CONTROL MASTER'!$T$2:$T$495&lt;=2)*('CONTROL MASTER'!$V$2:$V$495&gt;=2)*('CONTROL MASTER'!$U$2:$U$495&lt;=4)*('CONTROL MASTER'!$W$2:$W$495&gt;=4))*ROW('CONTROL MASTER'!$S$2:$S$495))-(ROW('CONTROL MASTER'!#REF!)-1))),":",","),",",REPT(" ",50)),((((2-INDEX('CONTROL MASTER'!$T$2:$T$495,(SUMPRODUCT((('CONTROL MASTER'!$S$2:$S$495=12)*('CONTROL MASTER'!$T$2:$T$495&lt;=2)*('CONTROL MASTER'!$V$2:$V$495&gt;=2)*('CONTROL MASTER'!$U$2:$U$495&lt;=4)*('CONTROL MASTER'!$W$2:$W$495&gt;=4))*ROW('CONTROL MASTER'!$S$2:$S$495))-(ROW('CONTROL MASTER'!#REF!)-1))))*(INDEX('CONTROL MASTER'!$W$2:$W$495,(SUMPRODUCT((('CONTROL MASTER'!$S$2:$S$495=12)*('CONTROL MASTER'!$T$2:$T$495&lt;=2)*('CONTROL MASTER'!$V$2:$V$495&gt;=2)*('CONTROL MASTER'!$U$2:$U$495&lt;=4)*('CONTROL MASTER'!$W$2:$W$495&gt;=4))*ROW('CONTROL MASTER'!$S$2:$S$495))-(ROW('CONTROL MASTER'!#REF!)-1)))-INDEX('CONTROL MASTER'!$U$2:$U$495,(SUMPRODUCT((('CONTROL MASTER'!$S$2:$S$495=12)*('CONTROL MASTER'!$T$2:$T$495&lt;=2)*('CONTROL MASTER'!$V$2:$V$495&gt;=2)*('CONTROL MASTER'!$U$2:$U$495&lt;=4)*('CONTROL MASTER'!$W$2:$W$495&gt;=4))*ROW('CONTROL MASTER'!$S$2:$S$495))-(ROW('CONTROL MASTER'!#REF!)-1)))+1)+(4-INDEX('CONTROL MASTER'!$U$2:$U$495,(SUMPRODUCT((('CONTROL MASTER'!$S$2:$S$495=12)*('CONTROL MASTER'!$T$2:$T$495&lt;=2)*('CONTROL MASTER'!$V$2:$V$495&gt;=2)*('CONTROL MASTER'!$U$2:$U$495&lt;=4)*('CONTROL MASTER'!$W$2:$W$495&gt;=4))*ROW('CONTROL MASTER'!$S$2:$S$495))-(ROW('CONTROL MASTER'!#REF!)-1))))+1))-1)*50+1,50))&amp;"_"&amp;INDEX('CONTROL MASTER'!$P$2:$P$495,(SUMPRODUCT((('CONTROL MASTER'!$S$2:$S$495=12)*('CONTROL MASTER'!$T$2:$T$495&lt;=2)*('CONTROL MASTER'!$V$2:$V$495&gt;=2)*('CONTROL MASTER'!$U$2:$U$495&lt;=4)*('CONTROL MASTER'!$W$2:$W$495&gt;=4))*ROW('CONTROL MASTER'!$S$2:$S$495))-(ROW('CONTROL MASTER'!#REF!)-1))),IF(SUMPRODUCT((('CONTROL MASTER'!$S$2:$S$495=12)*('CONTROL MASTER'!$Z$2:$Z$495&lt;=2)*('CONTROL MASTER'!$AB$2:$AB$495&gt;=2)*('CONTROL MASTER'!$AA$2:$AA$495&lt;=4)*('CONTROL MASTER'!$AC$2:$AC$495&gt;=4))*ROW('CONTROL MASTER'!$S$2:$S$495))&gt;0,INDEX('CONTROL MASTER'!$X$2:$X$495,(SUMPRODUCT((('CONTROL MASTER'!$S$2:$S$495=12)*('CONTROL MASTER'!$Z$2:$Z$495&lt;=2)*('CONTROL MASTER'!$AB$2:$AB$495&gt;=2)*('CONTROL MASTER'!$AA$2:$AA$495&lt;=4)*('CONTROL MASTER'!$AC$2:$AC$495&gt;=4))*ROW('CONTROL MASTER'!$S$2:$S$495))-(ROW('CONTROL MASTER'!#REF!)-1)))&amp;TRIM(MID(SUBSTITUTE(SUBSTITUTE(INDEX('CONTROL MASTER'!$N$2:$N$495,(SUMPRODUCT((('CONTROL MASTER'!$S$2:$S$495=12)*('CONTROL MASTER'!$Z$2:$Z$495&lt;=2)*('CONTROL MASTER'!$AB$2:$AB$495&gt;=2)*('CONTROL MASTER'!$AA$2:$AA$495&lt;=4)*('CONTROL MASTER'!$AC$2:$AC$495&gt;=4))*ROW('CONTROL MASTER'!$S$2:$S$495))-(ROW('CONTROL MASTER'!#REF!)-1))),":",","),",",REPT(" ",50)),(((INDEX('CONTROL MASTER'!$Y$2:$Y$495,(SUMPRODUCT((('CONTROL MASTER'!$S$2:$S$495=12)*('CONTROL MASTER'!$Z$2:$Z$495&lt;=2)*('CONTROL MASTER'!$AB$2:$AB$495&gt;=2)*('CONTROL MASTER'!$AA$2:$AA$495&lt;=4)*('CONTROL MASTER'!$AC$2:$AC$495&gt;=4))*ROW('CONTROL MASTER'!$S$2:$S$495))-(ROW('CONTROL MASTER'!#REF!)-1)))+((2-INDEX('CONTROL MASTER'!$Z$2:$Z$495,(SUMPRODUCT((('CONTROL MASTER'!$S$2:$S$495=12)*('CONTROL MASTER'!$Z$2:$Z$495&lt;=2)*('CONTROL MASTER'!$AB$2:$AB$495&gt;=2)*('CONTROL MASTER'!$AA$2:$AA$495&lt;=4)*('CONTROL MASTER'!$AC$2:$AC$495&gt;=4))*ROW('CONTROL MASTER'!$S$2:$S$495))-(ROW('CONTROL MASTER'!#REF!)-1))))*(INDEX('CONTROL MASTER'!$AC$2:$AC$495,(SUMPRODUCT((('CONTROL MASTER'!$S$2:$S$495=12)*('CONTROL MASTER'!$Z$2:$Z$495&lt;=2)*('CONTROL MASTER'!$AB$2:$AB$495&gt;=2)*('CONTROL MASTER'!$AA$2:$AA$495&lt;=4)*('CONTROL MASTER'!$AC$2:$AC$495&gt;=4))*ROW('CONTROL MASTER'!$S$2:$S$495))-(ROW('CONTROL MASTER'!#REF!)-1)))-INDEX('CONTROL MASTER'!$AA$2:$AA$495,(SUMPRODUCT((('CONTROL MASTER'!$S$2:$S$495=12)*('CONTROL MASTER'!$Z$2:$Z$495&lt;=2)*('CONTROL MASTER'!$AB$2:$AB$495&gt;=2)*('CONTROL MASTER'!$AA$2:$AA$495&lt;=4)*('CONTROL MASTER'!$AC$2:$AC$495&gt;=4))*ROW('CONTROL MASTER'!$S$2:$S$495))-(ROW('CONTROL MASTER'!#REF!)-1)))+1)+(4-INDEX('CONTROL MASTER'!$AA$2:$AA$495,(SUMPRODUCT((('CONTROL MASTER'!$S$2:$S$495=12)*('CONTROL MASTER'!$Z$2:$Z$495&lt;=2)*('CONTROL MASTER'!$AB$2:$AB$495&gt;=2)*('CONTROL MASTER'!$AA$2:$AA$495&lt;=4)*('CONTROL MASTER'!$AC$2:$AC$495&gt;=4))*ROW('CONTROL MASTER'!$S$2:$S$495))-(ROW('CONTROL MASTER'!#REF!)-1))))+1)))-1)*50+1,50))&amp;"_"&amp;INDEX('CONTROL MASTER'!$P$2:$P$495,(SUMPRODUCT((('CONTROL MASTER'!$S$2:$S$495=12)*('CONTROL MASTER'!$Z$2:$Z$495&lt;=2)*('CONTROL MASTER'!$AB$2:$AB$495&gt;=2)*('CONTROL MASTER'!$AA$2:$AA$495&lt;=4)*('CONTROL MASTER'!$AC$2:$AC$495&gt;=4))*ROW('CONTROL MASTER'!$S$2:$S$495))-(ROW('CONTROL MASTER'!#REF!)-1))),"")),"")</f>
        <v/>
      </c>
      <c r="F158" s="10" t="str">
        <f>IFERROR(IF(SUMPRODUCT((('CONTROL MASTER'!$S$2:$S$495=12)*('CONTROL MASTER'!$T$2:$T$495&lt;=2)*('CONTROL MASTER'!$V$2:$V$495&gt;=2)*('CONTROL MASTER'!$U$2:$U$495&lt;=5)*('CONTROL MASTER'!$W$2:$W$495&gt;=5))*ROW('CONTROL MASTER'!$S$2:$S$495))&gt;0,INDEX('CONTROL MASTER'!$X$2:$X$495,(SUMPRODUCT((('CONTROL MASTER'!$S$2:$S$495=12)*('CONTROL MASTER'!$T$2:$T$495&lt;=2)*('CONTROL MASTER'!$V$2:$V$495&gt;=2)*('CONTROL MASTER'!$U$2:$U$495&lt;=5)*('CONTROL MASTER'!$W$2:$W$495&gt;=5))*ROW('CONTROL MASTER'!$S$2:$S$495))-(ROW('CONTROL MASTER'!#REF!)-1)))&amp;TRIM(MID(SUBSTITUTE(SUBSTITUTE(INDEX('CONTROL MASTER'!$N$2:$N$495,(SUMPRODUCT((('CONTROL MASTER'!$S$2:$S$495=12)*('CONTROL MASTER'!$T$2:$T$495&lt;=2)*('CONTROL MASTER'!$V$2:$V$495&gt;=2)*('CONTROL MASTER'!$U$2:$U$495&lt;=5)*('CONTROL MASTER'!$W$2:$W$495&gt;=5))*ROW('CONTROL MASTER'!$S$2:$S$495))-(ROW('CONTROL MASTER'!#REF!)-1))),":",","),",",REPT(" ",50)),((((2-INDEX('CONTROL MASTER'!$T$2:$T$495,(SUMPRODUCT((('CONTROL MASTER'!$S$2:$S$495=12)*('CONTROL MASTER'!$T$2:$T$495&lt;=2)*('CONTROL MASTER'!$V$2:$V$495&gt;=2)*('CONTROL MASTER'!$U$2:$U$495&lt;=5)*('CONTROL MASTER'!$W$2:$W$495&gt;=5))*ROW('CONTROL MASTER'!$S$2:$S$495))-(ROW('CONTROL MASTER'!#REF!)-1))))*(INDEX('CONTROL MASTER'!$W$2:$W$495,(SUMPRODUCT((('CONTROL MASTER'!$S$2:$S$495=12)*('CONTROL MASTER'!$T$2:$T$495&lt;=2)*('CONTROL MASTER'!$V$2:$V$495&gt;=2)*('CONTROL MASTER'!$U$2:$U$495&lt;=5)*('CONTROL MASTER'!$W$2:$W$495&gt;=5))*ROW('CONTROL MASTER'!$S$2:$S$495))-(ROW('CONTROL MASTER'!#REF!)-1)))-INDEX('CONTROL MASTER'!$U$2:$U$495,(SUMPRODUCT((('CONTROL MASTER'!$S$2:$S$495=12)*('CONTROL MASTER'!$T$2:$T$495&lt;=2)*('CONTROL MASTER'!$V$2:$V$495&gt;=2)*('CONTROL MASTER'!$U$2:$U$495&lt;=5)*('CONTROL MASTER'!$W$2:$W$495&gt;=5))*ROW('CONTROL MASTER'!$S$2:$S$495))-(ROW('CONTROL MASTER'!#REF!)-1)))+1)+(5-INDEX('CONTROL MASTER'!$U$2:$U$495,(SUMPRODUCT((('CONTROL MASTER'!$S$2:$S$495=12)*('CONTROL MASTER'!$T$2:$T$495&lt;=2)*('CONTROL MASTER'!$V$2:$V$495&gt;=2)*('CONTROL MASTER'!$U$2:$U$495&lt;=5)*('CONTROL MASTER'!$W$2:$W$495&gt;=5))*ROW('CONTROL MASTER'!$S$2:$S$495))-(ROW('CONTROL MASTER'!#REF!)-1))))+1))-1)*50+1,50))&amp;"_"&amp;INDEX('CONTROL MASTER'!$P$2:$P$495,(SUMPRODUCT((('CONTROL MASTER'!$S$2:$S$495=12)*('CONTROL MASTER'!$T$2:$T$495&lt;=2)*('CONTROL MASTER'!$V$2:$V$495&gt;=2)*('CONTROL MASTER'!$U$2:$U$495&lt;=5)*('CONTROL MASTER'!$W$2:$W$495&gt;=5))*ROW('CONTROL MASTER'!$S$2:$S$495))-(ROW('CONTROL MASTER'!#REF!)-1))),IF(SUMPRODUCT((('CONTROL MASTER'!$S$2:$S$495=12)*('CONTROL MASTER'!$Z$2:$Z$495&lt;=2)*('CONTROL MASTER'!$AB$2:$AB$495&gt;=2)*('CONTROL MASTER'!$AA$2:$AA$495&lt;=5)*('CONTROL MASTER'!$AC$2:$AC$495&gt;=5))*ROW('CONTROL MASTER'!$S$2:$S$495))&gt;0,INDEX('CONTROL MASTER'!$X$2:$X$495,(SUMPRODUCT((('CONTROL MASTER'!$S$2:$S$495=12)*('CONTROL MASTER'!$Z$2:$Z$495&lt;=2)*('CONTROL MASTER'!$AB$2:$AB$495&gt;=2)*('CONTROL MASTER'!$AA$2:$AA$495&lt;=5)*('CONTROL MASTER'!$AC$2:$AC$495&gt;=5))*ROW('CONTROL MASTER'!$S$2:$S$495))-(ROW('CONTROL MASTER'!#REF!)-1)))&amp;TRIM(MID(SUBSTITUTE(SUBSTITUTE(INDEX('CONTROL MASTER'!$N$2:$N$495,(SUMPRODUCT((('CONTROL MASTER'!$S$2:$S$495=12)*('CONTROL MASTER'!$Z$2:$Z$495&lt;=2)*('CONTROL MASTER'!$AB$2:$AB$495&gt;=2)*('CONTROL MASTER'!$AA$2:$AA$495&lt;=5)*('CONTROL MASTER'!$AC$2:$AC$495&gt;=5))*ROW('CONTROL MASTER'!$S$2:$S$495))-(ROW('CONTROL MASTER'!#REF!)-1))),":",","),",",REPT(" ",50)),(((INDEX('CONTROL MASTER'!$Y$2:$Y$495,(SUMPRODUCT((('CONTROL MASTER'!$S$2:$S$495=12)*('CONTROL MASTER'!$Z$2:$Z$495&lt;=2)*('CONTROL MASTER'!$AB$2:$AB$495&gt;=2)*('CONTROL MASTER'!$AA$2:$AA$495&lt;=5)*('CONTROL MASTER'!$AC$2:$AC$495&gt;=5))*ROW('CONTROL MASTER'!$S$2:$S$495))-(ROW('CONTROL MASTER'!#REF!)-1)))+((2-INDEX('CONTROL MASTER'!$Z$2:$Z$495,(SUMPRODUCT((('CONTROL MASTER'!$S$2:$S$495=12)*('CONTROL MASTER'!$Z$2:$Z$495&lt;=2)*('CONTROL MASTER'!$AB$2:$AB$495&gt;=2)*('CONTROL MASTER'!$AA$2:$AA$495&lt;=5)*('CONTROL MASTER'!$AC$2:$AC$495&gt;=5))*ROW('CONTROL MASTER'!$S$2:$S$495))-(ROW('CONTROL MASTER'!#REF!)-1))))*(INDEX('CONTROL MASTER'!$AC$2:$AC$495,(SUMPRODUCT((('CONTROL MASTER'!$S$2:$S$495=12)*('CONTROL MASTER'!$Z$2:$Z$495&lt;=2)*('CONTROL MASTER'!$AB$2:$AB$495&gt;=2)*('CONTROL MASTER'!$AA$2:$AA$495&lt;=5)*('CONTROL MASTER'!$AC$2:$AC$495&gt;=5))*ROW('CONTROL MASTER'!$S$2:$S$495))-(ROW('CONTROL MASTER'!#REF!)-1)))-INDEX('CONTROL MASTER'!$AA$2:$AA$495,(SUMPRODUCT((('CONTROL MASTER'!$S$2:$S$495=12)*('CONTROL MASTER'!$Z$2:$Z$495&lt;=2)*('CONTROL MASTER'!$AB$2:$AB$495&gt;=2)*('CONTROL MASTER'!$AA$2:$AA$495&lt;=5)*('CONTROL MASTER'!$AC$2:$AC$495&gt;=5))*ROW('CONTROL MASTER'!$S$2:$S$495))-(ROW('CONTROL MASTER'!#REF!)-1)))+1)+(5-INDEX('CONTROL MASTER'!$AA$2:$AA$495,(SUMPRODUCT((('CONTROL MASTER'!$S$2:$S$495=12)*('CONTROL MASTER'!$Z$2:$Z$495&lt;=2)*('CONTROL MASTER'!$AB$2:$AB$495&gt;=2)*('CONTROL MASTER'!$AA$2:$AA$495&lt;=5)*('CONTROL MASTER'!$AC$2:$AC$495&gt;=5))*ROW('CONTROL MASTER'!$S$2:$S$495))-(ROW('CONTROL MASTER'!#REF!)-1))))+1)))-1)*50+1,50))&amp;"_"&amp;INDEX('CONTROL MASTER'!$P$2:$P$495,(SUMPRODUCT((('CONTROL MASTER'!$S$2:$S$495=12)*('CONTROL MASTER'!$Z$2:$Z$495&lt;=2)*('CONTROL MASTER'!$AB$2:$AB$495&gt;=2)*('CONTROL MASTER'!$AA$2:$AA$495&lt;=5)*('CONTROL MASTER'!$AC$2:$AC$495&gt;=5))*ROW('CONTROL MASTER'!$S$2:$S$495))-(ROW('CONTROL MASTER'!#REF!)-1))),"")),"")</f>
        <v/>
      </c>
      <c r="G158" s="10" t="str">
        <f>IFERROR(IF(SUMPRODUCT((('CONTROL MASTER'!$S$2:$S$495=12)*('CONTROL MASTER'!$T$2:$T$495&lt;=2)*('CONTROL MASTER'!$V$2:$V$495&gt;=2)*('CONTROL MASTER'!$U$2:$U$495&lt;=6)*('CONTROL MASTER'!$W$2:$W$495&gt;=6))*ROW('CONTROL MASTER'!$S$2:$S$495))&gt;0,INDEX('CONTROL MASTER'!$X$2:$X$495,(SUMPRODUCT((('CONTROL MASTER'!$S$2:$S$495=12)*('CONTROL MASTER'!$T$2:$T$495&lt;=2)*('CONTROL MASTER'!$V$2:$V$495&gt;=2)*('CONTROL MASTER'!$U$2:$U$495&lt;=6)*('CONTROL MASTER'!$W$2:$W$495&gt;=6))*ROW('CONTROL MASTER'!$S$2:$S$495))-(ROW('CONTROL MASTER'!#REF!)-1)))&amp;TRIM(MID(SUBSTITUTE(SUBSTITUTE(INDEX('CONTROL MASTER'!$N$2:$N$495,(SUMPRODUCT((('CONTROL MASTER'!$S$2:$S$495=12)*('CONTROL MASTER'!$T$2:$T$495&lt;=2)*('CONTROL MASTER'!$V$2:$V$495&gt;=2)*('CONTROL MASTER'!$U$2:$U$495&lt;=6)*('CONTROL MASTER'!$W$2:$W$495&gt;=6))*ROW('CONTROL MASTER'!$S$2:$S$495))-(ROW('CONTROL MASTER'!#REF!)-1))),":",","),",",REPT(" ",50)),((((2-INDEX('CONTROL MASTER'!$T$2:$T$495,(SUMPRODUCT((('CONTROL MASTER'!$S$2:$S$495=12)*('CONTROL MASTER'!$T$2:$T$495&lt;=2)*('CONTROL MASTER'!$V$2:$V$495&gt;=2)*('CONTROL MASTER'!$U$2:$U$495&lt;=6)*('CONTROL MASTER'!$W$2:$W$495&gt;=6))*ROW('CONTROL MASTER'!$S$2:$S$495))-(ROW('CONTROL MASTER'!#REF!)-1))))*(INDEX('CONTROL MASTER'!$W$2:$W$495,(SUMPRODUCT((('CONTROL MASTER'!$S$2:$S$495=12)*('CONTROL MASTER'!$T$2:$T$495&lt;=2)*('CONTROL MASTER'!$V$2:$V$495&gt;=2)*('CONTROL MASTER'!$U$2:$U$495&lt;=6)*('CONTROL MASTER'!$W$2:$W$495&gt;=6))*ROW('CONTROL MASTER'!$S$2:$S$495))-(ROW('CONTROL MASTER'!#REF!)-1)))-INDEX('CONTROL MASTER'!$U$2:$U$495,(SUMPRODUCT((('CONTROL MASTER'!$S$2:$S$495=12)*('CONTROL MASTER'!$T$2:$T$495&lt;=2)*('CONTROL MASTER'!$V$2:$V$495&gt;=2)*('CONTROL MASTER'!$U$2:$U$495&lt;=6)*('CONTROL MASTER'!$W$2:$W$495&gt;=6))*ROW('CONTROL MASTER'!$S$2:$S$495))-(ROW('CONTROL MASTER'!#REF!)-1)))+1)+(6-INDEX('CONTROL MASTER'!$U$2:$U$495,(SUMPRODUCT((('CONTROL MASTER'!$S$2:$S$495=12)*('CONTROL MASTER'!$T$2:$T$495&lt;=2)*('CONTROL MASTER'!$V$2:$V$495&gt;=2)*('CONTROL MASTER'!$U$2:$U$495&lt;=6)*('CONTROL MASTER'!$W$2:$W$495&gt;=6))*ROW('CONTROL MASTER'!$S$2:$S$495))-(ROW('CONTROL MASTER'!#REF!)-1))))+1))-1)*50+1,50))&amp;"_"&amp;INDEX('CONTROL MASTER'!$P$2:$P$495,(SUMPRODUCT((('CONTROL MASTER'!$S$2:$S$495=12)*('CONTROL MASTER'!$T$2:$T$495&lt;=2)*('CONTROL MASTER'!$V$2:$V$495&gt;=2)*('CONTROL MASTER'!$U$2:$U$495&lt;=6)*('CONTROL MASTER'!$W$2:$W$495&gt;=6))*ROW('CONTROL MASTER'!$S$2:$S$495))-(ROW('CONTROL MASTER'!#REF!)-1))),IF(SUMPRODUCT((('CONTROL MASTER'!$S$2:$S$495=12)*('CONTROL MASTER'!$Z$2:$Z$495&lt;=2)*('CONTROL MASTER'!$AB$2:$AB$495&gt;=2)*('CONTROL MASTER'!$AA$2:$AA$495&lt;=6)*('CONTROL MASTER'!$AC$2:$AC$495&gt;=6))*ROW('CONTROL MASTER'!$S$2:$S$495))&gt;0,INDEX('CONTROL MASTER'!$X$2:$X$495,(SUMPRODUCT((('CONTROL MASTER'!$S$2:$S$495=12)*('CONTROL MASTER'!$Z$2:$Z$495&lt;=2)*('CONTROL MASTER'!$AB$2:$AB$495&gt;=2)*('CONTROL MASTER'!$AA$2:$AA$495&lt;=6)*('CONTROL MASTER'!$AC$2:$AC$495&gt;=6))*ROW('CONTROL MASTER'!$S$2:$S$495))-(ROW('CONTROL MASTER'!#REF!)-1)))&amp;TRIM(MID(SUBSTITUTE(SUBSTITUTE(INDEX('CONTROL MASTER'!$N$2:$N$495,(SUMPRODUCT((('CONTROL MASTER'!$S$2:$S$495=12)*('CONTROL MASTER'!$Z$2:$Z$495&lt;=2)*('CONTROL MASTER'!$AB$2:$AB$495&gt;=2)*('CONTROL MASTER'!$AA$2:$AA$495&lt;=6)*('CONTROL MASTER'!$AC$2:$AC$495&gt;=6))*ROW('CONTROL MASTER'!$S$2:$S$495))-(ROW('CONTROL MASTER'!#REF!)-1))),":",","),",",REPT(" ",50)),(((INDEX('CONTROL MASTER'!$Y$2:$Y$495,(SUMPRODUCT((('CONTROL MASTER'!$S$2:$S$495=12)*('CONTROL MASTER'!$Z$2:$Z$495&lt;=2)*('CONTROL MASTER'!$AB$2:$AB$495&gt;=2)*('CONTROL MASTER'!$AA$2:$AA$495&lt;=6)*('CONTROL MASTER'!$AC$2:$AC$495&gt;=6))*ROW('CONTROL MASTER'!$S$2:$S$495))-(ROW('CONTROL MASTER'!#REF!)-1)))+((2-INDEX('CONTROL MASTER'!$Z$2:$Z$495,(SUMPRODUCT((('CONTROL MASTER'!$S$2:$S$495=12)*('CONTROL MASTER'!$Z$2:$Z$495&lt;=2)*('CONTROL MASTER'!$AB$2:$AB$495&gt;=2)*('CONTROL MASTER'!$AA$2:$AA$495&lt;=6)*('CONTROL MASTER'!$AC$2:$AC$495&gt;=6))*ROW('CONTROL MASTER'!$S$2:$S$495))-(ROW('CONTROL MASTER'!#REF!)-1))))*(INDEX('CONTROL MASTER'!$AC$2:$AC$495,(SUMPRODUCT((('CONTROL MASTER'!$S$2:$S$495=12)*('CONTROL MASTER'!$Z$2:$Z$495&lt;=2)*('CONTROL MASTER'!$AB$2:$AB$495&gt;=2)*('CONTROL MASTER'!$AA$2:$AA$495&lt;=6)*('CONTROL MASTER'!$AC$2:$AC$495&gt;=6))*ROW('CONTROL MASTER'!$S$2:$S$495))-(ROW('CONTROL MASTER'!#REF!)-1)))-INDEX('CONTROL MASTER'!$AA$2:$AA$495,(SUMPRODUCT((('CONTROL MASTER'!$S$2:$S$495=12)*('CONTROL MASTER'!$Z$2:$Z$495&lt;=2)*('CONTROL MASTER'!$AB$2:$AB$495&gt;=2)*('CONTROL MASTER'!$AA$2:$AA$495&lt;=6)*('CONTROL MASTER'!$AC$2:$AC$495&gt;=6))*ROW('CONTROL MASTER'!$S$2:$S$495))-(ROW('CONTROL MASTER'!#REF!)-1)))+1)+(6-INDEX('CONTROL MASTER'!$AA$2:$AA$495,(SUMPRODUCT((('CONTROL MASTER'!$S$2:$S$495=12)*('CONTROL MASTER'!$Z$2:$Z$495&lt;=2)*('CONTROL MASTER'!$AB$2:$AB$495&gt;=2)*('CONTROL MASTER'!$AA$2:$AA$495&lt;=6)*('CONTROL MASTER'!$AC$2:$AC$495&gt;=6))*ROW('CONTROL MASTER'!$S$2:$S$495))-(ROW('CONTROL MASTER'!#REF!)-1))))+1)))-1)*50+1,50))&amp;"_"&amp;INDEX('CONTROL MASTER'!$P$2:$P$495,(SUMPRODUCT((('CONTROL MASTER'!$S$2:$S$495=12)*('CONTROL MASTER'!$Z$2:$Z$495&lt;=2)*('CONTROL MASTER'!$AB$2:$AB$495&gt;=2)*('CONTROL MASTER'!$AA$2:$AA$495&lt;=6)*('CONTROL MASTER'!$AC$2:$AC$495&gt;=6))*ROW('CONTROL MASTER'!$S$2:$S$495))-(ROW('CONTROL MASTER'!#REF!)-1))),"")),"")</f>
        <v/>
      </c>
      <c r="H158" s="10" t="str">
        <f>IFERROR(IF(SUMPRODUCT((('CONTROL MASTER'!$S$2:$S$495=12)*('CONTROL MASTER'!$T$2:$T$495&lt;=2)*('CONTROL MASTER'!$V$2:$V$495&gt;=2)*('CONTROL MASTER'!$U$2:$U$495&lt;=7)*('CONTROL MASTER'!$W$2:$W$495&gt;=7))*ROW('CONTROL MASTER'!$S$2:$S$495))&gt;0,INDEX('CONTROL MASTER'!$X$2:$X$495,(SUMPRODUCT((('CONTROL MASTER'!$S$2:$S$495=12)*('CONTROL MASTER'!$T$2:$T$495&lt;=2)*('CONTROL MASTER'!$V$2:$V$495&gt;=2)*('CONTROL MASTER'!$U$2:$U$495&lt;=7)*('CONTROL MASTER'!$W$2:$W$495&gt;=7))*ROW('CONTROL MASTER'!$S$2:$S$495))-(ROW('CONTROL MASTER'!#REF!)-1)))&amp;TRIM(MID(SUBSTITUTE(SUBSTITUTE(INDEX('CONTROL MASTER'!$N$2:$N$495,(SUMPRODUCT((('CONTROL MASTER'!$S$2:$S$495=12)*('CONTROL MASTER'!$T$2:$T$495&lt;=2)*('CONTROL MASTER'!$V$2:$V$495&gt;=2)*('CONTROL MASTER'!$U$2:$U$495&lt;=7)*('CONTROL MASTER'!$W$2:$W$495&gt;=7))*ROW('CONTROL MASTER'!$S$2:$S$495))-(ROW('CONTROL MASTER'!#REF!)-1))),":",","),",",REPT(" ",50)),((((2-INDEX('CONTROL MASTER'!$T$2:$T$495,(SUMPRODUCT((('CONTROL MASTER'!$S$2:$S$495=12)*('CONTROL MASTER'!$T$2:$T$495&lt;=2)*('CONTROL MASTER'!$V$2:$V$495&gt;=2)*('CONTROL MASTER'!$U$2:$U$495&lt;=7)*('CONTROL MASTER'!$W$2:$W$495&gt;=7))*ROW('CONTROL MASTER'!$S$2:$S$495))-(ROW('CONTROL MASTER'!#REF!)-1))))*(INDEX('CONTROL MASTER'!$W$2:$W$495,(SUMPRODUCT((('CONTROL MASTER'!$S$2:$S$495=12)*('CONTROL MASTER'!$T$2:$T$495&lt;=2)*('CONTROL MASTER'!$V$2:$V$495&gt;=2)*('CONTROL MASTER'!$U$2:$U$495&lt;=7)*('CONTROL MASTER'!$W$2:$W$495&gt;=7))*ROW('CONTROL MASTER'!$S$2:$S$495))-(ROW('CONTROL MASTER'!#REF!)-1)))-INDEX('CONTROL MASTER'!$U$2:$U$495,(SUMPRODUCT((('CONTROL MASTER'!$S$2:$S$495=12)*('CONTROL MASTER'!$T$2:$T$495&lt;=2)*('CONTROL MASTER'!$V$2:$V$495&gt;=2)*('CONTROL MASTER'!$U$2:$U$495&lt;=7)*('CONTROL MASTER'!$W$2:$W$495&gt;=7))*ROW('CONTROL MASTER'!$S$2:$S$495))-(ROW('CONTROL MASTER'!#REF!)-1)))+1)+(7-INDEX('CONTROL MASTER'!$U$2:$U$495,(SUMPRODUCT((('CONTROL MASTER'!$S$2:$S$495=12)*('CONTROL MASTER'!$T$2:$T$495&lt;=2)*('CONTROL MASTER'!$V$2:$V$495&gt;=2)*('CONTROL MASTER'!$U$2:$U$495&lt;=7)*('CONTROL MASTER'!$W$2:$W$495&gt;=7))*ROW('CONTROL MASTER'!$S$2:$S$495))-(ROW('CONTROL MASTER'!#REF!)-1))))+1))-1)*50+1,50))&amp;"_"&amp;INDEX('CONTROL MASTER'!$P$2:$P$495,(SUMPRODUCT((('CONTROL MASTER'!$S$2:$S$495=12)*('CONTROL MASTER'!$T$2:$T$495&lt;=2)*('CONTROL MASTER'!$V$2:$V$495&gt;=2)*('CONTROL MASTER'!$U$2:$U$495&lt;=7)*('CONTROL MASTER'!$W$2:$W$495&gt;=7))*ROW('CONTROL MASTER'!$S$2:$S$495))-(ROW('CONTROL MASTER'!#REF!)-1))),IF(SUMPRODUCT((('CONTROL MASTER'!$S$2:$S$495=12)*('CONTROL MASTER'!$Z$2:$Z$495&lt;=2)*('CONTROL MASTER'!$AB$2:$AB$495&gt;=2)*('CONTROL MASTER'!$AA$2:$AA$495&lt;=7)*('CONTROL MASTER'!$AC$2:$AC$495&gt;=7))*ROW('CONTROL MASTER'!$S$2:$S$495))&gt;0,INDEX('CONTROL MASTER'!$X$2:$X$495,(SUMPRODUCT((('CONTROL MASTER'!$S$2:$S$495=12)*('CONTROL MASTER'!$Z$2:$Z$495&lt;=2)*('CONTROL MASTER'!$AB$2:$AB$495&gt;=2)*('CONTROL MASTER'!$AA$2:$AA$495&lt;=7)*('CONTROL MASTER'!$AC$2:$AC$495&gt;=7))*ROW('CONTROL MASTER'!$S$2:$S$495))-(ROW('CONTROL MASTER'!#REF!)-1)))&amp;TRIM(MID(SUBSTITUTE(SUBSTITUTE(INDEX('CONTROL MASTER'!$N$2:$N$495,(SUMPRODUCT((('CONTROL MASTER'!$S$2:$S$495=12)*('CONTROL MASTER'!$Z$2:$Z$495&lt;=2)*('CONTROL MASTER'!$AB$2:$AB$495&gt;=2)*('CONTROL MASTER'!$AA$2:$AA$495&lt;=7)*('CONTROL MASTER'!$AC$2:$AC$495&gt;=7))*ROW('CONTROL MASTER'!$S$2:$S$495))-(ROW('CONTROL MASTER'!#REF!)-1))),":",","),",",REPT(" ",50)),(((INDEX('CONTROL MASTER'!$Y$2:$Y$495,(SUMPRODUCT((('CONTROL MASTER'!$S$2:$S$495=12)*('CONTROL MASTER'!$Z$2:$Z$495&lt;=2)*('CONTROL MASTER'!$AB$2:$AB$495&gt;=2)*('CONTROL MASTER'!$AA$2:$AA$495&lt;=7)*('CONTROL MASTER'!$AC$2:$AC$495&gt;=7))*ROW('CONTROL MASTER'!$S$2:$S$495))-(ROW('CONTROL MASTER'!#REF!)-1)))+((2-INDEX('CONTROL MASTER'!$Z$2:$Z$495,(SUMPRODUCT((('CONTROL MASTER'!$S$2:$S$495=12)*('CONTROL MASTER'!$Z$2:$Z$495&lt;=2)*('CONTROL MASTER'!$AB$2:$AB$495&gt;=2)*('CONTROL MASTER'!$AA$2:$AA$495&lt;=7)*('CONTROL MASTER'!$AC$2:$AC$495&gt;=7))*ROW('CONTROL MASTER'!$S$2:$S$495))-(ROW('CONTROL MASTER'!#REF!)-1))))*(INDEX('CONTROL MASTER'!$AC$2:$AC$495,(SUMPRODUCT((('CONTROL MASTER'!$S$2:$S$495=12)*('CONTROL MASTER'!$Z$2:$Z$495&lt;=2)*('CONTROL MASTER'!$AB$2:$AB$495&gt;=2)*('CONTROL MASTER'!$AA$2:$AA$495&lt;=7)*('CONTROL MASTER'!$AC$2:$AC$495&gt;=7))*ROW('CONTROL MASTER'!$S$2:$S$495))-(ROW('CONTROL MASTER'!#REF!)-1)))-INDEX('CONTROL MASTER'!$AA$2:$AA$495,(SUMPRODUCT((('CONTROL MASTER'!$S$2:$S$495=12)*('CONTROL MASTER'!$Z$2:$Z$495&lt;=2)*('CONTROL MASTER'!$AB$2:$AB$495&gt;=2)*('CONTROL MASTER'!$AA$2:$AA$495&lt;=7)*('CONTROL MASTER'!$AC$2:$AC$495&gt;=7))*ROW('CONTROL MASTER'!$S$2:$S$495))-(ROW('CONTROL MASTER'!#REF!)-1)))+1)+(7-INDEX('CONTROL MASTER'!$AA$2:$AA$495,(SUMPRODUCT((('CONTROL MASTER'!$S$2:$S$495=12)*('CONTROL MASTER'!$Z$2:$Z$495&lt;=2)*('CONTROL MASTER'!$AB$2:$AB$495&gt;=2)*('CONTROL MASTER'!$AA$2:$AA$495&lt;=7)*('CONTROL MASTER'!$AC$2:$AC$495&gt;=7))*ROW('CONTROL MASTER'!$S$2:$S$495))-(ROW('CONTROL MASTER'!#REF!)-1))))+1)))-1)*50+1,50))&amp;"_"&amp;INDEX('CONTROL MASTER'!$P$2:$P$495,(SUMPRODUCT((('CONTROL MASTER'!$S$2:$S$495=12)*('CONTROL MASTER'!$Z$2:$Z$495&lt;=2)*('CONTROL MASTER'!$AB$2:$AB$495&gt;=2)*('CONTROL MASTER'!$AA$2:$AA$495&lt;=7)*('CONTROL MASTER'!$AC$2:$AC$495&gt;=7))*ROW('CONTROL MASTER'!$S$2:$S$495))-(ROW('CONTROL MASTER'!#REF!)-1))),"")),"")</f>
        <v/>
      </c>
      <c r="I158" s="10" t="str">
        <f>IFERROR(IF(SUMPRODUCT((('CONTROL MASTER'!$S$2:$S$495=12)*('CONTROL MASTER'!$T$2:$T$495&lt;=2)*('CONTROL MASTER'!$V$2:$V$495&gt;=2)*('CONTROL MASTER'!$U$2:$U$495&lt;=8)*('CONTROL MASTER'!$W$2:$W$495&gt;=8))*ROW('CONTROL MASTER'!$S$2:$S$495))&gt;0,INDEX('CONTROL MASTER'!$X$2:$X$495,(SUMPRODUCT((('CONTROL MASTER'!$S$2:$S$495=12)*('CONTROL MASTER'!$T$2:$T$495&lt;=2)*('CONTROL MASTER'!$V$2:$V$495&gt;=2)*('CONTROL MASTER'!$U$2:$U$495&lt;=8)*('CONTROL MASTER'!$W$2:$W$495&gt;=8))*ROW('CONTROL MASTER'!$S$2:$S$495))-(ROW('CONTROL MASTER'!#REF!)-1)))&amp;TRIM(MID(SUBSTITUTE(SUBSTITUTE(INDEX('CONTROL MASTER'!$N$2:$N$495,(SUMPRODUCT((('CONTROL MASTER'!$S$2:$S$495=12)*('CONTROL MASTER'!$T$2:$T$495&lt;=2)*('CONTROL MASTER'!$V$2:$V$495&gt;=2)*('CONTROL MASTER'!$U$2:$U$495&lt;=8)*('CONTROL MASTER'!$W$2:$W$495&gt;=8))*ROW('CONTROL MASTER'!$S$2:$S$495))-(ROW('CONTROL MASTER'!#REF!)-1))),":",","),",",REPT(" ",50)),((((2-INDEX('CONTROL MASTER'!$T$2:$T$495,(SUMPRODUCT((('CONTROL MASTER'!$S$2:$S$495=12)*('CONTROL MASTER'!$T$2:$T$495&lt;=2)*('CONTROL MASTER'!$V$2:$V$495&gt;=2)*('CONTROL MASTER'!$U$2:$U$495&lt;=8)*('CONTROL MASTER'!$W$2:$W$495&gt;=8))*ROW('CONTROL MASTER'!$S$2:$S$495))-(ROW('CONTROL MASTER'!#REF!)-1))))*(INDEX('CONTROL MASTER'!$W$2:$W$495,(SUMPRODUCT((('CONTROL MASTER'!$S$2:$S$495=12)*('CONTROL MASTER'!$T$2:$T$495&lt;=2)*('CONTROL MASTER'!$V$2:$V$495&gt;=2)*('CONTROL MASTER'!$U$2:$U$495&lt;=8)*('CONTROL MASTER'!$W$2:$W$495&gt;=8))*ROW('CONTROL MASTER'!$S$2:$S$495))-(ROW('CONTROL MASTER'!#REF!)-1)))-INDEX('CONTROL MASTER'!$U$2:$U$495,(SUMPRODUCT((('CONTROL MASTER'!$S$2:$S$495=12)*('CONTROL MASTER'!$T$2:$T$495&lt;=2)*('CONTROL MASTER'!$V$2:$V$495&gt;=2)*('CONTROL MASTER'!$U$2:$U$495&lt;=8)*('CONTROL MASTER'!$W$2:$W$495&gt;=8))*ROW('CONTROL MASTER'!$S$2:$S$495))-(ROW('CONTROL MASTER'!#REF!)-1)))+1)+(8-INDEX('CONTROL MASTER'!$U$2:$U$495,(SUMPRODUCT((('CONTROL MASTER'!$S$2:$S$495=12)*('CONTROL MASTER'!$T$2:$T$495&lt;=2)*('CONTROL MASTER'!$V$2:$V$495&gt;=2)*('CONTROL MASTER'!$U$2:$U$495&lt;=8)*('CONTROL MASTER'!$W$2:$W$495&gt;=8))*ROW('CONTROL MASTER'!$S$2:$S$495))-(ROW('CONTROL MASTER'!#REF!)-1))))+1))-1)*50+1,50))&amp;"_"&amp;INDEX('CONTROL MASTER'!$P$2:$P$495,(SUMPRODUCT((('CONTROL MASTER'!$S$2:$S$495=12)*('CONTROL MASTER'!$T$2:$T$495&lt;=2)*('CONTROL MASTER'!$V$2:$V$495&gt;=2)*('CONTROL MASTER'!$U$2:$U$495&lt;=8)*('CONTROL MASTER'!$W$2:$W$495&gt;=8))*ROW('CONTROL MASTER'!$S$2:$S$495))-(ROW('CONTROL MASTER'!#REF!)-1))),IF(SUMPRODUCT((('CONTROL MASTER'!$S$2:$S$495=12)*('CONTROL MASTER'!$Z$2:$Z$495&lt;=2)*('CONTROL MASTER'!$AB$2:$AB$495&gt;=2)*('CONTROL MASTER'!$AA$2:$AA$495&lt;=8)*('CONTROL MASTER'!$AC$2:$AC$495&gt;=8))*ROW('CONTROL MASTER'!$S$2:$S$495))&gt;0,INDEX('CONTROL MASTER'!$X$2:$X$495,(SUMPRODUCT((('CONTROL MASTER'!$S$2:$S$495=12)*('CONTROL MASTER'!$Z$2:$Z$495&lt;=2)*('CONTROL MASTER'!$AB$2:$AB$495&gt;=2)*('CONTROL MASTER'!$AA$2:$AA$495&lt;=8)*('CONTROL MASTER'!$AC$2:$AC$495&gt;=8))*ROW('CONTROL MASTER'!$S$2:$S$495))-(ROW('CONTROL MASTER'!#REF!)-1)))&amp;TRIM(MID(SUBSTITUTE(SUBSTITUTE(INDEX('CONTROL MASTER'!$N$2:$N$495,(SUMPRODUCT((('CONTROL MASTER'!$S$2:$S$495=12)*('CONTROL MASTER'!$Z$2:$Z$495&lt;=2)*('CONTROL MASTER'!$AB$2:$AB$495&gt;=2)*('CONTROL MASTER'!$AA$2:$AA$495&lt;=8)*('CONTROL MASTER'!$AC$2:$AC$495&gt;=8))*ROW('CONTROL MASTER'!$S$2:$S$495))-(ROW('CONTROL MASTER'!#REF!)-1))),":",","),",",REPT(" ",50)),(((INDEX('CONTROL MASTER'!$Y$2:$Y$495,(SUMPRODUCT((('CONTROL MASTER'!$S$2:$S$495=12)*('CONTROL MASTER'!$Z$2:$Z$495&lt;=2)*('CONTROL MASTER'!$AB$2:$AB$495&gt;=2)*('CONTROL MASTER'!$AA$2:$AA$495&lt;=8)*('CONTROL MASTER'!$AC$2:$AC$495&gt;=8))*ROW('CONTROL MASTER'!$S$2:$S$495))-(ROW('CONTROL MASTER'!#REF!)-1)))+((2-INDEX('CONTROL MASTER'!$Z$2:$Z$495,(SUMPRODUCT((('CONTROL MASTER'!$S$2:$S$495=12)*('CONTROL MASTER'!$Z$2:$Z$495&lt;=2)*('CONTROL MASTER'!$AB$2:$AB$495&gt;=2)*('CONTROL MASTER'!$AA$2:$AA$495&lt;=8)*('CONTROL MASTER'!$AC$2:$AC$495&gt;=8))*ROW('CONTROL MASTER'!$S$2:$S$495))-(ROW('CONTROL MASTER'!#REF!)-1))))*(INDEX('CONTROL MASTER'!$AC$2:$AC$495,(SUMPRODUCT((('CONTROL MASTER'!$S$2:$S$495=12)*('CONTROL MASTER'!$Z$2:$Z$495&lt;=2)*('CONTROL MASTER'!$AB$2:$AB$495&gt;=2)*('CONTROL MASTER'!$AA$2:$AA$495&lt;=8)*('CONTROL MASTER'!$AC$2:$AC$495&gt;=8))*ROW('CONTROL MASTER'!$S$2:$S$495))-(ROW('CONTROL MASTER'!#REF!)-1)))-INDEX('CONTROL MASTER'!$AA$2:$AA$495,(SUMPRODUCT((('CONTROL MASTER'!$S$2:$S$495=12)*('CONTROL MASTER'!$Z$2:$Z$495&lt;=2)*('CONTROL MASTER'!$AB$2:$AB$495&gt;=2)*('CONTROL MASTER'!$AA$2:$AA$495&lt;=8)*('CONTROL MASTER'!$AC$2:$AC$495&gt;=8))*ROW('CONTROL MASTER'!$S$2:$S$495))-(ROW('CONTROL MASTER'!#REF!)-1)))+1)+(8-INDEX('CONTROL MASTER'!$AA$2:$AA$495,(SUMPRODUCT((('CONTROL MASTER'!$S$2:$S$495=12)*('CONTROL MASTER'!$Z$2:$Z$495&lt;=2)*('CONTROL MASTER'!$AB$2:$AB$495&gt;=2)*('CONTROL MASTER'!$AA$2:$AA$495&lt;=8)*('CONTROL MASTER'!$AC$2:$AC$495&gt;=8))*ROW('CONTROL MASTER'!$S$2:$S$495))-(ROW('CONTROL MASTER'!#REF!)-1))))+1)))-1)*50+1,50))&amp;"_"&amp;INDEX('CONTROL MASTER'!$P$2:$P$495,(SUMPRODUCT((('CONTROL MASTER'!$S$2:$S$495=12)*('CONTROL MASTER'!$Z$2:$Z$495&lt;=2)*('CONTROL MASTER'!$AB$2:$AB$495&gt;=2)*('CONTROL MASTER'!$AA$2:$AA$495&lt;=8)*('CONTROL MASTER'!$AC$2:$AC$495&gt;=8))*ROW('CONTROL MASTER'!$S$2:$S$495))-(ROW('CONTROL MASTER'!#REF!)-1))),"")),"")</f>
        <v/>
      </c>
      <c r="J158" s="10" t="str">
        <f>IFERROR(IF(SUMPRODUCT((('CONTROL MASTER'!$S$2:$S$495=12)*('CONTROL MASTER'!$T$2:$T$495&lt;=2)*('CONTROL MASTER'!$V$2:$V$495&gt;=2)*('CONTROL MASTER'!$U$2:$U$495&lt;=9)*('CONTROL MASTER'!$W$2:$W$495&gt;=9))*ROW('CONTROL MASTER'!$S$2:$S$495))&gt;0,INDEX('CONTROL MASTER'!$X$2:$X$495,(SUMPRODUCT((('CONTROL MASTER'!$S$2:$S$495=12)*('CONTROL MASTER'!$T$2:$T$495&lt;=2)*('CONTROL MASTER'!$V$2:$V$495&gt;=2)*('CONTROL MASTER'!$U$2:$U$495&lt;=9)*('CONTROL MASTER'!$W$2:$W$495&gt;=9))*ROW('CONTROL MASTER'!$S$2:$S$495))-(ROW('CONTROL MASTER'!#REF!)-1)))&amp;TRIM(MID(SUBSTITUTE(SUBSTITUTE(INDEX('CONTROL MASTER'!$N$2:$N$495,(SUMPRODUCT((('CONTROL MASTER'!$S$2:$S$495=12)*('CONTROL MASTER'!$T$2:$T$495&lt;=2)*('CONTROL MASTER'!$V$2:$V$495&gt;=2)*('CONTROL MASTER'!$U$2:$U$495&lt;=9)*('CONTROL MASTER'!$W$2:$W$495&gt;=9))*ROW('CONTROL MASTER'!$S$2:$S$495))-(ROW('CONTROL MASTER'!#REF!)-1))),":",","),",",REPT(" ",50)),((((2-INDEX('CONTROL MASTER'!$T$2:$T$495,(SUMPRODUCT((('CONTROL MASTER'!$S$2:$S$495=12)*('CONTROL MASTER'!$T$2:$T$495&lt;=2)*('CONTROL MASTER'!$V$2:$V$495&gt;=2)*('CONTROL MASTER'!$U$2:$U$495&lt;=9)*('CONTROL MASTER'!$W$2:$W$495&gt;=9))*ROW('CONTROL MASTER'!$S$2:$S$495))-(ROW('CONTROL MASTER'!#REF!)-1))))*(INDEX('CONTROL MASTER'!$W$2:$W$495,(SUMPRODUCT((('CONTROL MASTER'!$S$2:$S$495=12)*('CONTROL MASTER'!$T$2:$T$495&lt;=2)*('CONTROL MASTER'!$V$2:$V$495&gt;=2)*('CONTROL MASTER'!$U$2:$U$495&lt;=9)*('CONTROL MASTER'!$W$2:$W$495&gt;=9))*ROW('CONTROL MASTER'!$S$2:$S$495))-(ROW('CONTROL MASTER'!#REF!)-1)))-INDEX('CONTROL MASTER'!$U$2:$U$495,(SUMPRODUCT((('CONTROL MASTER'!$S$2:$S$495=12)*('CONTROL MASTER'!$T$2:$T$495&lt;=2)*('CONTROL MASTER'!$V$2:$V$495&gt;=2)*('CONTROL MASTER'!$U$2:$U$495&lt;=9)*('CONTROL MASTER'!$W$2:$W$495&gt;=9))*ROW('CONTROL MASTER'!$S$2:$S$495))-(ROW('CONTROL MASTER'!#REF!)-1)))+1)+(9-INDEX('CONTROL MASTER'!$U$2:$U$495,(SUMPRODUCT((('CONTROL MASTER'!$S$2:$S$495=12)*('CONTROL MASTER'!$T$2:$T$495&lt;=2)*('CONTROL MASTER'!$V$2:$V$495&gt;=2)*('CONTROL MASTER'!$U$2:$U$495&lt;=9)*('CONTROL MASTER'!$W$2:$W$495&gt;=9))*ROW('CONTROL MASTER'!$S$2:$S$495))-(ROW('CONTROL MASTER'!#REF!)-1))))+1))-1)*50+1,50))&amp;"_"&amp;INDEX('CONTROL MASTER'!$P$2:$P$495,(SUMPRODUCT((('CONTROL MASTER'!$S$2:$S$495=12)*('CONTROL MASTER'!$T$2:$T$495&lt;=2)*('CONTROL MASTER'!$V$2:$V$495&gt;=2)*('CONTROL MASTER'!$U$2:$U$495&lt;=9)*('CONTROL MASTER'!$W$2:$W$495&gt;=9))*ROW('CONTROL MASTER'!$S$2:$S$495))-(ROW('CONTROL MASTER'!#REF!)-1))),IF(SUMPRODUCT((('CONTROL MASTER'!$S$2:$S$495=12)*('CONTROL MASTER'!$Z$2:$Z$495&lt;=2)*('CONTROL MASTER'!$AB$2:$AB$495&gt;=2)*('CONTROL MASTER'!$AA$2:$AA$495&lt;=9)*('CONTROL MASTER'!$AC$2:$AC$495&gt;=9))*ROW('CONTROL MASTER'!$S$2:$S$495))&gt;0,INDEX('CONTROL MASTER'!$X$2:$X$495,(SUMPRODUCT((('CONTROL MASTER'!$S$2:$S$495=12)*('CONTROL MASTER'!$Z$2:$Z$495&lt;=2)*('CONTROL MASTER'!$AB$2:$AB$495&gt;=2)*('CONTROL MASTER'!$AA$2:$AA$495&lt;=9)*('CONTROL MASTER'!$AC$2:$AC$495&gt;=9))*ROW('CONTROL MASTER'!$S$2:$S$495))-(ROW('CONTROL MASTER'!#REF!)-1)))&amp;TRIM(MID(SUBSTITUTE(SUBSTITUTE(INDEX('CONTROL MASTER'!$N$2:$N$495,(SUMPRODUCT((('CONTROL MASTER'!$S$2:$S$495=12)*('CONTROL MASTER'!$Z$2:$Z$495&lt;=2)*('CONTROL MASTER'!$AB$2:$AB$495&gt;=2)*('CONTROL MASTER'!$AA$2:$AA$495&lt;=9)*('CONTROL MASTER'!$AC$2:$AC$495&gt;=9))*ROW('CONTROL MASTER'!$S$2:$S$495))-(ROW('CONTROL MASTER'!#REF!)-1))),":",","),",",REPT(" ",50)),(((INDEX('CONTROL MASTER'!$Y$2:$Y$495,(SUMPRODUCT((('CONTROL MASTER'!$S$2:$S$495=12)*('CONTROL MASTER'!$Z$2:$Z$495&lt;=2)*('CONTROL MASTER'!$AB$2:$AB$495&gt;=2)*('CONTROL MASTER'!$AA$2:$AA$495&lt;=9)*('CONTROL MASTER'!$AC$2:$AC$495&gt;=9))*ROW('CONTROL MASTER'!$S$2:$S$495))-(ROW('CONTROL MASTER'!#REF!)-1)))+((2-INDEX('CONTROL MASTER'!$Z$2:$Z$495,(SUMPRODUCT((('CONTROL MASTER'!$S$2:$S$495=12)*('CONTROL MASTER'!$Z$2:$Z$495&lt;=2)*('CONTROL MASTER'!$AB$2:$AB$495&gt;=2)*('CONTROL MASTER'!$AA$2:$AA$495&lt;=9)*('CONTROL MASTER'!$AC$2:$AC$495&gt;=9))*ROW('CONTROL MASTER'!$S$2:$S$495))-(ROW('CONTROL MASTER'!#REF!)-1))))*(INDEX('CONTROL MASTER'!$AC$2:$AC$495,(SUMPRODUCT((('CONTROL MASTER'!$S$2:$S$495=12)*('CONTROL MASTER'!$Z$2:$Z$495&lt;=2)*('CONTROL MASTER'!$AB$2:$AB$495&gt;=2)*('CONTROL MASTER'!$AA$2:$AA$495&lt;=9)*('CONTROL MASTER'!$AC$2:$AC$495&gt;=9))*ROW('CONTROL MASTER'!$S$2:$S$495))-(ROW('CONTROL MASTER'!#REF!)-1)))-INDEX('CONTROL MASTER'!$AA$2:$AA$495,(SUMPRODUCT((('CONTROL MASTER'!$S$2:$S$495=12)*('CONTROL MASTER'!$Z$2:$Z$495&lt;=2)*('CONTROL MASTER'!$AB$2:$AB$495&gt;=2)*('CONTROL MASTER'!$AA$2:$AA$495&lt;=9)*('CONTROL MASTER'!$AC$2:$AC$495&gt;=9))*ROW('CONTROL MASTER'!$S$2:$S$495))-(ROW('CONTROL MASTER'!#REF!)-1)))+1)+(9-INDEX('CONTROL MASTER'!$AA$2:$AA$495,(SUMPRODUCT((('CONTROL MASTER'!$S$2:$S$495=12)*('CONTROL MASTER'!$Z$2:$Z$495&lt;=2)*('CONTROL MASTER'!$AB$2:$AB$495&gt;=2)*('CONTROL MASTER'!$AA$2:$AA$495&lt;=9)*('CONTROL MASTER'!$AC$2:$AC$495&gt;=9))*ROW('CONTROL MASTER'!$S$2:$S$495))-(ROW('CONTROL MASTER'!#REF!)-1))))+1)))-1)*50+1,50))&amp;"_"&amp;INDEX('CONTROL MASTER'!$P$2:$P$495,(SUMPRODUCT((('CONTROL MASTER'!$S$2:$S$495=12)*('CONTROL MASTER'!$Z$2:$Z$495&lt;=2)*('CONTROL MASTER'!$AB$2:$AB$495&gt;=2)*('CONTROL MASTER'!$AA$2:$AA$495&lt;=9)*('CONTROL MASTER'!$AC$2:$AC$495&gt;=9))*ROW('CONTROL MASTER'!$S$2:$S$495))-(ROW('CONTROL MASTER'!#REF!)-1))),"")),"")</f>
        <v/>
      </c>
      <c r="K158" s="10" t="str">
        <f>IFERROR(IF(SUMPRODUCT((('CONTROL MASTER'!$S$2:$S$495=12)*('CONTROL MASTER'!$T$2:$T$495&lt;=2)*('CONTROL MASTER'!$V$2:$V$495&gt;=2)*('CONTROL MASTER'!$U$2:$U$495&lt;=10)*('CONTROL MASTER'!$W$2:$W$495&gt;=10))*ROW('CONTROL MASTER'!$S$2:$S$495))&gt;0,INDEX('CONTROL MASTER'!$X$2:$X$495,(SUMPRODUCT((('CONTROL MASTER'!$S$2:$S$495=12)*('CONTROL MASTER'!$T$2:$T$495&lt;=2)*('CONTROL MASTER'!$V$2:$V$495&gt;=2)*('CONTROL MASTER'!$U$2:$U$495&lt;=10)*('CONTROL MASTER'!$W$2:$W$495&gt;=10))*ROW('CONTROL MASTER'!$S$2:$S$495))-(ROW('CONTROL MASTER'!#REF!)-1)))&amp;TRIM(MID(SUBSTITUTE(SUBSTITUTE(INDEX('CONTROL MASTER'!$N$2:$N$495,(SUMPRODUCT((('CONTROL MASTER'!$S$2:$S$495=12)*('CONTROL MASTER'!$T$2:$T$495&lt;=2)*('CONTROL MASTER'!$V$2:$V$495&gt;=2)*('CONTROL MASTER'!$U$2:$U$495&lt;=10)*('CONTROL MASTER'!$W$2:$W$495&gt;=10))*ROW('CONTROL MASTER'!$S$2:$S$495))-(ROW('CONTROL MASTER'!#REF!)-1))),":",","),",",REPT(" ",50)),((((2-INDEX('CONTROL MASTER'!$T$2:$T$495,(SUMPRODUCT((('CONTROL MASTER'!$S$2:$S$495=12)*('CONTROL MASTER'!$T$2:$T$495&lt;=2)*('CONTROL MASTER'!$V$2:$V$495&gt;=2)*('CONTROL MASTER'!$U$2:$U$495&lt;=10)*('CONTROL MASTER'!$W$2:$W$495&gt;=10))*ROW('CONTROL MASTER'!$S$2:$S$495))-(ROW('CONTROL MASTER'!#REF!)-1))))*(INDEX('CONTROL MASTER'!$W$2:$W$495,(SUMPRODUCT((('CONTROL MASTER'!$S$2:$S$495=12)*('CONTROL MASTER'!$T$2:$T$495&lt;=2)*('CONTROL MASTER'!$V$2:$V$495&gt;=2)*('CONTROL MASTER'!$U$2:$U$495&lt;=10)*('CONTROL MASTER'!$W$2:$W$495&gt;=10))*ROW('CONTROL MASTER'!$S$2:$S$495))-(ROW('CONTROL MASTER'!#REF!)-1)))-INDEX('CONTROL MASTER'!$U$2:$U$495,(SUMPRODUCT((('CONTROL MASTER'!$S$2:$S$495=12)*('CONTROL MASTER'!$T$2:$T$495&lt;=2)*('CONTROL MASTER'!$V$2:$V$495&gt;=2)*('CONTROL MASTER'!$U$2:$U$495&lt;=10)*('CONTROL MASTER'!$W$2:$W$495&gt;=10))*ROW('CONTROL MASTER'!$S$2:$S$495))-(ROW('CONTROL MASTER'!#REF!)-1)))+1)+(10-INDEX('CONTROL MASTER'!$U$2:$U$495,(SUMPRODUCT((('CONTROL MASTER'!$S$2:$S$495=12)*('CONTROL MASTER'!$T$2:$T$495&lt;=2)*('CONTROL MASTER'!$V$2:$V$495&gt;=2)*('CONTROL MASTER'!$U$2:$U$495&lt;=10)*('CONTROL MASTER'!$W$2:$W$495&gt;=10))*ROW('CONTROL MASTER'!$S$2:$S$495))-(ROW('CONTROL MASTER'!#REF!)-1))))+1))-1)*50+1,50))&amp;"_"&amp;INDEX('CONTROL MASTER'!$P$2:$P$495,(SUMPRODUCT((('CONTROL MASTER'!$S$2:$S$495=12)*('CONTROL MASTER'!$T$2:$T$495&lt;=2)*('CONTROL MASTER'!$V$2:$V$495&gt;=2)*('CONTROL MASTER'!$U$2:$U$495&lt;=10)*('CONTROL MASTER'!$W$2:$W$495&gt;=10))*ROW('CONTROL MASTER'!$S$2:$S$495))-(ROW('CONTROL MASTER'!#REF!)-1))),IF(SUMPRODUCT((('CONTROL MASTER'!$S$2:$S$495=12)*('CONTROL MASTER'!$Z$2:$Z$495&lt;=2)*('CONTROL MASTER'!$AB$2:$AB$495&gt;=2)*('CONTROL MASTER'!$AA$2:$AA$495&lt;=10)*('CONTROL MASTER'!$AC$2:$AC$495&gt;=10))*ROW('CONTROL MASTER'!$S$2:$S$495))&gt;0,INDEX('CONTROL MASTER'!$X$2:$X$495,(SUMPRODUCT((('CONTROL MASTER'!$S$2:$S$495=12)*('CONTROL MASTER'!$Z$2:$Z$495&lt;=2)*('CONTROL MASTER'!$AB$2:$AB$495&gt;=2)*('CONTROL MASTER'!$AA$2:$AA$495&lt;=10)*('CONTROL MASTER'!$AC$2:$AC$495&gt;=10))*ROW('CONTROL MASTER'!$S$2:$S$495))-(ROW('CONTROL MASTER'!#REF!)-1)))&amp;TRIM(MID(SUBSTITUTE(SUBSTITUTE(INDEX('CONTROL MASTER'!$N$2:$N$495,(SUMPRODUCT((('CONTROL MASTER'!$S$2:$S$495=12)*('CONTROL MASTER'!$Z$2:$Z$495&lt;=2)*('CONTROL MASTER'!$AB$2:$AB$495&gt;=2)*('CONTROL MASTER'!$AA$2:$AA$495&lt;=10)*('CONTROL MASTER'!$AC$2:$AC$495&gt;=10))*ROW('CONTROL MASTER'!$S$2:$S$495))-(ROW('CONTROL MASTER'!#REF!)-1))),":",","),",",REPT(" ",50)),(((INDEX('CONTROL MASTER'!$Y$2:$Y$495,(SUMPRODUCT((('CONTROL MASTER'!$S$2:$S$495=12)*('CONTROL MASTER'!$Z$2:$Z$495&lt;=2)*('CONTROL MASTER'!$AB$2:$AB$495&gt;=2)*('CONTROL MASTER'!$AA$2:$AA$495&lt;=10)*('CONTROL MASTER'!$AC$2:$AC$495&gt;=10))*ROW('CONTROL MASTER'!$S$2:$S$495))-(ROW('CONTROL MASTER'!#REF!)-1)))+((2-INDEX('CONTROL MASTER'!$Z$2:$Z$495,(SUMPRODUCT((('CONTROL MASTER'!$S$2:$S$495=12)*('CONTROL MASTER'!$Z$2:$Z$495&lt;=2)*('CONTROL MASTER'!$AB$2:$AB$495&gt;=2)*('CONTROL MASTER'!$AA$2:$AA$495&lt;=10)*('CONTROL MASTER'!$AC$2:$AC$495&gt;=10))*ROW('CONTROL MASTER'!$S$2:$S$495))-(ROW('CONTROL MASTER'!#REF!)-1))))*(INDEX('CONTROL MASTER'!$AC$2:$AC$495,(SUMPRODUCT((('CONTROL MASTER'!$S$2:$S$495=12)*('CONTROL MASTER'!$Z$2:$Z$495&lt;=2)*('CONTROL MASTER'!$AB$2:$AB$495&gt;=2)*('CONTROL MASTER'!$AA$2:$AA$495&lt;=10)*('CONTROL MASTER'!$AC$2:$AC$495&gt;=10))*ROW('CONTROL MASTER'!$S$2:$S$495))-(ROW('CONTROL MASTER'!#REF!)-1)))-INDEX('CONTROL MASTER'!$AA$2:$AA$495,(SUMPRODUCT((('CONTROL MASTER'!$S$2:$S$495=12)*('CONTROL MASTER'!$Z$2:$Z$495&lt;=2)*('CONTROL MASTER'!$AB$2:$AB$495&gt;=2)*('CONTROL MASTER'!$AA$2:$AA$495&lt;=10)*('CONTROL MASTER'!$AC$2:$AC$495&gt;=10))*ROW('CONTROL MASTER'!$S$2:$S$495))-(ROW('CONTROL MASTER'!#REF!)-1)))+1)+(10-INDEX('CONTROL MASTER'!$AA$2:$AA$495,(SUMPRODUCT((('CONTROL MASTER'!$S$2:$S$495=12)*('CONTROL MASTER'!$Z$2:$Z$495&lt;=2)*('CONTROL MASTER'!$AB$2:$AB$495&gt;=2)*('CONTROL MASTER'!$AA$2:$AA$495&lt;=10)*('CONTROL MASTER'!$AC$2:$AC$495&gt;=10))*ROW('CONTROL MASTER'!$S$2:$S$495))-(ROW('CONTROL MASTER'!#REF!)-1))))+1)))-1)*50+1,50))&amp;"_"&amp;INDEX('CONTROL MASTER'!$P$2:$P$495,(SUMPRODUCT((('CONTROL MASTER'!$S$2:$S$495=12)*('CONTROL MASTER'!$Z$2:$Z$495&lt;=2)*('CONTROL MASTER'!$AB$2:$AB$495&gt;=2)*('CONTROL MASTER'!$AA$2:$AA$495&lt;=10)*('CONTROL MASTER'!$AC$2:$AC$495&gt;=10))*ROW('CONTROL MASTER'!$S$2:$S$495))-(ROW('CONTROL MASTER'!#REF!)-1))),"")),"")</f>
        <v/>
      </c>
    </row>
    <row r="159" spans="1:11" ht="15" customHeight="1" x14ac:dyDescent="0.35">
      <c r="A159" s="8" t="s">
        <v>30</v>
      </c>
      <c r="B159" s="10" t="str">
        <f>IFERROR(IF(SUMPRODUCT((('CONTROL MASTER'!$S$2:$S$495=12)*('CONTROL MASTER'!$T$2:$T$495&lt;=3)*('CONTROL MASTER'!$V$2:$V$495&gt;=3)*('CONTROL MASTER'!$U$2:$U$495&lt;=1)*('CONTROL MASTER'!$W$2:$W$495&gt;=1))*ROW('CONTROL MASTER'!$S$2:$S$495))&gt;0,INDEX('CONTROL MASTER'!$X$2:$X$495,(SUMPRODUCT((('CONTROL MASTER'!$S$2:$S$495=12)*('CONTROL MASTER'!$T$2:$T$495&lt;=3)*('CONTROL MASTER'!$V$2:$V$495&gt;=3)*('CONTROL MASTER'!$U$2:$U$495&lt;=1)*('CONTROL MASTER'!$W$2:$W$495&gt;=1))*ROW('CONTROL MASTER'!$S$2:$S$495))-(ROW('CONTROL MASTER'!#REF!)-1)))&amp;TRIM(MID(SUBSTITUTE(SUBSTITUTE(INDEX('CONTROL MASTER'!$N$2:$N$495,(SUMPRODUCT((('CONTROL MASTER'!$S$2:$S$495=12)*('CONTROL MASTER'!$T$2:$T$495&lt;=3)*('CONTROL MASTER'!$V$2:$V$495&gt;=3)*('CONTROL MASTER'!$U$2:$U$495&lt;=1)*('CONTROL MASTER'!$W$2:$W$495&gt;=1))*ROW('CONTROL MASTER'!$S$2:$S$495))-(ROW('CONTROL MASTER'!#REF!)-1))),":",","),",",REPT(" ",50)),((((3-INDEX('CONTROL MASTER'!$T$2:$T$495,(SUMPRODUCT((('CONTROL MASTER'!$S$2:$S$495=12)*('CONTROL MASTER'!$T$2:$T$495&lt;=3)*('CONTROL MASTER'!$V$2:$V$495&gt;=3)*('CONTROL MASTER'!$U$2:$U$495&lt;=1)*('CONTROL MASTER'!$W$2:$W$495&gt;=1))*ROW('CONTROL MASTER'!$S$2:$S$495))-(ROW('CONTROL MASTER'!#REF!)-1))))*(INDEX('CONTROL MASTER'!$W$2:$W$495,(SUMPRODUCT((('CONTROL MASTER'!$S$2:$S$495=12)*('CONTROL MASTER'!$T$2:$T$495&lt;=3)*('CONTROL MASTER'!$V$2:$V$495&gt;=3)*('CONTROL MASTER'!$U$2:$U$495&lt;=1)*('CONTROL MASTER'!$W$2:$W$495&gt;=1))*ROW('CONTROL MASTER'!$S$2:$S$495))-(ROW('CONTROL MASTER'!#REF!)-1)))-INDEX('CONTROL MASTER'!$U$2:$U$495,(SUMPRODUCT((('CONTROL MASTER'!$S$2:$S$495=12)*('CONTROL MASTER'!$T$2:$T$495&lt;=3)*('CONTROL MASTER'!$V$2:$V$495&gt;=3)*('CONTROL MASTER'!$U$2:$U$495&lt;=1)*('CONTROL MASTER'!$W$2:$W$495&gt;=1))*ROW('CONTROL MASTER'!$S$2:$S$495))-(ROW('CONTROL MASTER'!#REF!)-1)))+1)+(1-INDEX('CONTROL MASTER'!$U$2:$U$495,(SUMPRODUCT((('CONTROL MASTER'!$S$2:$S$495=12)*('CONTROL MASTER'!$T$2:$T$495&lt;=3)*('CONTROL MASTER'!$V$2:$V$495&gt;=3)*('CONTROL MASTER'!$U$2:$U$495&lt;=1)*('CONTROL MASTER'!$W$2:$W$495&gt;=1))*ROW('CONTROL MASTER'!$S$2:$S$495))-(ROW('CONTROL MASTER'!#REF!)-1))))+1))-1)*50+1,50))&amp;"_"&amp;INDEX('CONTROL MASTER'!$P$2:$P$495,(SUMPRODUCT((('CONTROL MASTER'!$S$2:$S$495=12)*('CONTROL MASTER'!$T$2:$T$495&lt;=3)*('CONTROL MASTER'!$V$2:$V$495&gt;=3)*('CONTROL MASTER'!$U$2:$U$495&lt;=1)*('CONTROL MASTER'!$W$2:$W$495&gt;=1))*ROW('CONTROL MASTER'!$S$2:$S$495))-(ROW('CONTROL MASTER'!#REF!)-1))),IF(SUMPRODUCT((('CONTROL MASTER'!$S$2:$S$495=12)*('CONTROL MASTER'!$Z$2:$Z$495&lt;=3)*('CONTROL MASTER'!$AB$2:$AB$495&gt;=3)*('CONTROL MASTER'!$AA$2:$AA$495&lt;=1)*('CONTROL MASTER'!$AC$2:$AC$495&gt;=1))*ROW('CONTROL MASTER'!$S$2:$S$495))&gt;0,INDEX('CONTROL MASTER'!$X$2:$X$495,(SUMPRODUCT((('CONTROL MASTER'!$S$2:$S$495=12)*('CONTROL MASTER'!$Z$2:$Z$495&lt;=3)*('CONTROL MASTER'!$AB$2:$AB$495&gt;=3)*('CONTROL MASTER'!$AA$2:$AA$495&lt;=1)*('CONTROL MASTER'!$AC$2:$AC$495&gt;=1))*ROW('CONTROL MASTER'!$S$2:$S$495))-(ROW('CONTROL MASTER'!#REF!)-1)))&amp;TRIM(MID(SUBSTITUTE(SUBSTITUTE(INDEX('CONTROL MASTER'!$N$2:$N$495,(SUMPRODUCT((('CONTROL MASTER'!$S$2:$S$495=12)*('CONTROL MASTER'!$Z$2:$Z$495&lt;=3)*('CONTROL MASTER'!$AB$2:$AB$495&gt;=3)*('CONTROL MASTER'!$AA$2:$AA$495&lt;=1)*('CONTROL MASTER'!$AC$2:$AC$495&gt;=1))*ROW('CONTROL MASTER'!$S$2:$S$495))-(ROW('CONTROL MASTER'!#REF!)-1))),":",","),",",REPT(" ",50)),(((INDEX('CONTROL MASTER'!$Y$2:$Y$495,(SUMPRODUCT((('CONTROL MASTER'!$S$2:$S$495=12)*('CONTROL MASTER'!$Z$2:$Z$495&lt;=3)*('CONTROL MASTER'!$AB$2:$AB$495&gt;=3)*('CONTROL MASTER'!$AA$2:$AA$495&lt;=1)*('CONTROL MASTER'!$AC$2:$AC$495&gt;=1))*ROW('CONTROL MASTER'!$S$2:$S$495))-(ROW('CONTROL MASTER'!#REF!)-1)))+((3-INDEX('CONTROL MASTER'!$Z$2:$Z$495,(SUMPRODUCT((('CONTROL MASTER'!$S$2:$S$495=12)*('CONTROL MASTER'!$Z$2:$Z$495&lt;=3)*('CONTROL MASTER'!$AB$2:$AB$495&gt;=3)*('CONTROL MASTER'!$AA$2:$AA$495&lt;=1)*('CONTROL MASTER'!$AC$2:$AC$495&gt;=1))*ROW('CONTROL MASTER'!$S$2:$S$495))-(ROW('CONTROL MASTER'!#REF!)-1))))*(INDEX('CONTROL MASTER'!$AC$2:$AC$495,(SUMPRODUCT((('CONTROL MASTER'!$S$2:$S$495=12)*('CONTROL MASTER'!$Z$2:$Z$495&lt;=3)*('CONTROL MASTER'!$AB$2:$AB$495&gt;=3)*('CONTROL MASTER'!$AA$2:$AA$495&lt;=1)*('CONTROL MASTER'!$AC$2:$AC$495&gt;=1))*ROW('CONTROL MASTER'!$S$2:$S$495))-(ROW('CONTROL MASTER'!#REF!)-1)))-INDEX('CONTROL MASTER'!$AA$2:$AA$495,(SUMPRODUCT((('CONTROL MASTER'!$S$2:$S$495=12)*('CONTROL MASTER'!$Z$2:$Z$495&lt;=3)*('CONTROL MASTER'!$AB$2:$AB$495&gt;=3)*('CONTROL MASTER'!$AA$2:$AA$495&lt;=1)*('CONTROL MASTER'!$AC$2:$AC$495&gt;=1))*ROW('CONTROL MASTER'!$S$2:$S$495))-(ROW('CONTROL MASTER'!#REF!)-1)))+1)+(1-INDEX('CONTROL MASTER'!$AA$2:$AA$495,(SUMPRODUCT((('CONTROL MASTER'!$S$2:$S$495=12)*('CONTROL MASTER'!$Z$2:$Z$495&lt;=3)*('CONTROL MASTER'!$AB$2:$AB$495&gt;=3)*('CONTROL MASTER'!$AA$2:$AA$495&lt;=1)*('CONTROL MASTER'!$AC$2:$AC$495&gt;=1))*ROW('CONTROL MASTER'!$S$2:$S$495))-(ROW('CONTROL MASTER'!#REF!)-1))))+1)))-1)*50+1,50))&amp;"_"&amp;INDEX('CONTROL MASTER'!$P$2:$P$495,(SUMPRODUCT((('CONTROL MASTER'!$S$2:$S$495=12)*('CONTROL MASTER'!$Z$2:$Z$495&lt;=3)*('CONTROL MASTER'!$AB$2:$AB$495&gt;=3)*('CONTROL MASTER'!$AA$2:$AA$495&lt;=1)*('CONTROL MASTER'!$AC$2:$AC$495&gt;=1))*ROW('CONTROL MASTER'!$S$2:$S$495))-(ROW('CONTROL MASTER'!#REF!)-1))),"")),"")</f>
        <v/>
      </c>
      <c r="C159" s="10" t="str">
        <f>IFERROR(IF(SUMPRODUCT((('CONTROL MASTER'!$S$2:$S$495=12)*('CONTROL MASTER'!$T$2:$T$495&lt;=3)*('CONTROL MASTER'!$V$2:$V$495&gt;=3)*('CONTROL MASTER'!$U$2:$U$495&lt;=2)*('CONTROL MASTER'!$W$2:$W$495&gt;=2))*ROW('CONTROL MASTER'!$S$2:$S$495))&gt;0,INDEX('CONTROL MASTER'!$X$2:$X$495,(SUMPRODUCT((('CONTROL MASTER'!$S$2:$S$495=12)*('CONTROL MASTER'!$T$2:$T$495&lt;=3)*('CONTROL MASTER'!$V$2:$V$495&gt;=3)*('CONTROL MASTER'!$U$2:$U$495&lt;=2)*('CONTROL MASTER'!$W$2:$W$495&gt;=2))*ROW('CONTROL MASTER'!$S$2:$S$495))-(ROW('CONTROL MASTER'!#REF!)-1)))&amp;TRIM(MID(SUBSTITUTE(SUBSTITUTE(INDEX('CONTROL MASTER'!$N$2:$N$495,(SUMPRODUCT((('CONTROL MASTER'!$S$2:$S$495=12)*('CONTROL MASTER'!$T$2:$T$495&lt;=3)*('CONTROL MASTER'!$V$2:$V$495&gt;=3)*('CONTROL MASTER'!$U$2:$U$495&lt;=2)*('CONTROL MASTER'!$W$2:$W$495&gt;=2))*ROW('CONTROL MASTER'!$S$2:$S$495))-(ROW('CONTROL MASTER'!#REF!)-1))),":",","),",",REPT(" ",50)),((((3-INDEX('CONTROL MASTER'!$T$2:$T$495,(SUMPRODUCT((('CONTROL MASTER'!$S$2:$S$495=12)*('CONTROL MASTER'!$T$2:$T$495&lt;=3)*('CONTROL MASTER'!$V$2:$V$495&gt;=3)*('CONTROL MASTER'!$U$2:$U$495&lt;=2)*('CONTROL MASTER'!$W$2:$W$495&gt;=2))*ROW('CONTROL MASTER'!$S$2:$S$495))-(ROW('CONTROL MASTER'!#REF!)-1))))*(INDEX('CONTROL MASTER'!$W$2:$W$495,(SUMPRODUCT((('CONTROL MASTER'!$S$2:$S$495=12)*('CONTROL MASTER'!$T$2:$T$495&lt;=3)*('CONTROL MASTER'!$V$2:$V$495&gt;=3)*('CONTROL MASTER'!$U$2:$U$495&lt;=2)*('CONTROL MASTER'!$W$2:$W$495&gt;=2))*ROW('CONTROL MASTER'!$S$2:$S$495))-(ROW('CONTROL MASTER'!#REF!)-1)))-INDEX('CONTROL MASTER'!$U$2:$U$495,(SUMPRODUCT((('CONTROL MASTER'!$S$2:$S$495=12)*('CONTROL MASTER'!$T$2:$T$495&lt;=3)*('CONTROL MASTER'!$V$2:$V$495&gt;=3)*('CONTROL MASTER'!$U$2:$U$495&lt;=2)*('CONTROL MASTER'!$W$2:$W$495&gt;=2))*ROW('CONTROL MASTER'!$S$2:$S$495))-(ROW('CONTROL MASTER'!#REF!)-1)))+1)+(2-INDEX('CONTROL MASTER'!$U$2:$U$495,(SUMPRODUCT((('CONTROL MASTER'!$S$2:$S$495=12)*('CONTROL MASTER'!$T$2:$T$495&lt;=3)*('CONTROL MASTER'!$V$2:$V$495&gt;=3)*('CONTROL MASTER'!$U$2:$U$495&lt;=2)*('CONTROL MASTER'!$W$2:$W$495&gt;=2))*ROW('CONTROL MASTER'!$S$2:$S$495))-(ROW('CONTROL MASTER'!#REF!)-1))))+1))-1)*50+1,50))&amp;"_"&amp;INDEX('CONTROL MASTER'!$P$2:$P$495,(SUMPRODUCT((('CONTROL MASTER'!$S$2:$S$495=12)*('CONTROL MASTER'!$T$2:$T$495&lt;=3)*('CONTROL MASTER'!$V$2:$V$495&gt;=3)*('CONTROL MASTER'!$U$2:$U$495&lt;=2)*('CONTROL MASTER'!$W$2:$W$495&gt;=2))*ROW('CONTROL MASTER'!$S$2:$S$495))-(ROW('CONTROL MASTER'!#REF!)-1))),IF(SUMPRODUCT((('CONTROL MASTER'!$S$2:$S$495=12)*('CONTROL MASTER'!$Z$2:$Z$495&lt;=3)*('CONTROL MASTER'!$AB$2:$AB$495&gt;=3)*('CONTROL MASTER'!$AA$2:$AA$495&lt;=2)*('CONTROL MASTER'!$AC$2:$AC$495&gt;=2))*ROW('CONTROL MASTER'!$S$2:$S$495))&gt;0,INDEX('CONTROL MASTER'!$X$2:$X$495,(SUMPRODUCT((('CONTROL MASTER'!$S$2:$S$495=12)*('CONTROL MASTER'!$Z$2:$Z$495&lt;=3)*('CONTROL MASTER'!$AB$2:$AB$495&gt;=3)*('CONTROL MASTER'!$AA$2:$AA$495&lt;=2)*('CONTROL MASTER'!$AC$2:$AC$495&gt;=2))*ROW('CONTROL MASTER'!$S$2:$S$495))-(ROW('CONTROL MASTER'!#REF!)-1)))&amp;TRIM(MID(SUBSTITUTE(SUBSTITUTE(INDEX('CONTROL MASTER'!$N$2:$N$495,(SUMPRODUCT((('CONTROL MASTER'!$S$2:$S$495=12)*('CONTROL MASTER'!$Z$2:$Z$495&lt;=3)*('CONTROL MASTER'!$AB$2:$AB$495&gt;=3)*('CONTROL MASTER'!$AA$2:$AA$495&lt;=2)*('CONTROL MASTER'!$AC$2:$AC$495&gt;=2))*ROW('CONTROL MASTER'!$S$2:$S$495))-(ROW('CONTROL MASTER'!#REF!)-1))),":",","),",",REPT(" ",50)),(((INDEX('CONTROL MASTER'!$Y$2:$Y$495,(SUMPRODUCT((('CONTROL MASTER'!$S$2:$S$495=12)*('CONTROL MASTER'!$Z$2:$Z$495&lt;=3)*('CONTROL MASTER'!$AB$2:$AB$495&gt;=3)*('CONTROL MASTER'!$AA$2:$AA$495&lt;=2)*('CONTROL MASTER'!$AC$2:$AC$495&gt;=2))*ROW('CONTROL MASTER'!$S$2:$S$495))-(ROW('CONTROL MASTER'!#REF!)-1)))+((3-INDEX('CONTROL MASTER'!$Z$2:$Z$495,(SUMPRODUCT((('CONTROL MASTER'!$S$2:$S$495=12)*('CONTROL MASTER'!$Z$2:$Z$495&lt;=3)*('CONTROL MASTER'!$AB$2:$AB$495&gt;=3)*('CONTROL MASTER'!$AA$2:$AA$495&lt;=2)*('CONTROL MASTER'!$AC$2:$AC$495&gt;=2))*ROW('CONTROL MASTER'!$S$2:$S$495))-(ROW('CONTROL MASTER'!#REF!)-1))))*(INDEX('CONTROL MASTER'!$AC$2:$AC$495,(SUMPRODUCT((('CONTROL MASTER'!$S$2:$S$495=12)*('CONTROL MASTER'!$Z$2:$Z$495&lt;=3)*('CONTROL MASTER'!$AB$2:$AB$495&gt;=3)*('CONTROL MASTER'!$AA$2:$AA$495&lt;=2)*('CONTROL MASTER'!$AC$2:$AC$495&gt;=2))*ROW('CONTROL MASTER'!$S$2:$S$495))-(ROW('CONTROL MASTER'!#REF!)-1)))-INDEX('CONTROL MASTER'!$AA$2:$AA$495,(SUMPRODUCT((('CONTROL MASTER'!$S$2:$S$495=12)*('CONTROL MASTER'!$Z$2:$Z$495&lt;=3)*('CONTROL MASTER'!$AB$2:$AB$495&gt;=3)*('CONTROL MASTER'!$AA$2:$AA$495&lt;=2)*('CONTROL MASTER'!$AC$2:$AC$495&gt;=2))*ROW('CONTROL MASTER'!$S$2:$S$495))-(ROW('CONTROL MASTER'!#REF!)-1)))+1)+(2-INDEX('CONTROL MASTER'!$AA$2:$AA$495,(SUMPRODUCT((('CONTROL MASTER'!$S$2:$S$495=12)*('CONTROL MASTER'!$Z$2:$Z$495&lt;=3)*('CONTROL MASTER'!$AB$2:$AB$495&gt;=3)*('CONTROL MASTER'!$AA$2:$AA$495&lt;=2)*('CONTROL MASTER'!$AC$2:$AC$495&gt;=2))*ROW('CONTROL MASTER'!$S$2:$S$495))-(ROW('CONTROL MASTER'!#REF!)-1))))+1)))-1)*50+1,50))&amp;"_"&amp;INDEX('CONTROL MASTER'!$P$2:$P$495,(SUMPRODUCT((('CONTROL MASTER'!$S$2:$S$495=12)*('CONTROL MASTER'!$Z$2:$Z$495&lt;=3)*('CONTROL MASTER'!$AB$2:$AB$495&gt;=3)*('CONTROL MASTER'!$AA$2:$AA$495&lt;=2)*('CONTROL MASTER'!$AC$2:$AC$495&gt;=2))*ROW('CONTROL MASTER'!$S$2:$S$495))-(ROW('CONTROL MASTER'!#REF!)-1))),"")),"")</f>
        <v/>
      </c>
      <c r="D159" s="10" t="str">
        <f>IFERROR(IF(SUMPRODUCT((('CONTROL MASTER'!$S$2:$S$495=12)*('CONTROL MASTER'!$T$2:$T$495&lt;=3)*('CONTROL MASTER'!$V$2:$V$495&gt;=3)*('CONTROL MASTER'!$U$2:$U$495&lt;=3)*('CONTROL MASTER'!$W$2:$W$495&gt;=3))*ROW('CONTROL MASTER'!$S$2:$S$495))&gt;0,INDEX('CONTROL MASTER'!$X$2:$X$495,(SUMPRODUCT((('CONTROL MASTER'!$S$2:$S$495=12)*('CONTROL MASTER'!$T$2:$T$495&lt;=3)*('CONTROL MASTER'!$V$2:$V$495&gt;=3)*('CONTROL MASTER'!$U$2:$U$495&lt;=3)*('CONTROL MASTER'!$W$2:$W$495&gt;=3))*ROW('CONTROL MASTER'!$S$2:$S$495))-(ROW('CONTROL MASTER'!#REF!)-1)))&amp;TRIM(MID(SUBSTITUTE(SUBSTITUTE(INDEX('CONTROL MASTER'!$N$2:$N$495,(SUMPRODUCT((('CONTROL MASTER'!$S$2:$S$495=12)*('CONTROL MASTER'!$T$2:$T$495&lt;=3)*('CONTROL MASTER'!$V$2:$V$495&gt;=3)*('CONTROL MASTER'!$U$2:$U$495&lt;=3)*('CONTROL MASTER'!$W$2:$W$495&gt;=3))*ROW('CONTROL MASTER'!$S$2:$S$495))-(ROW('CONTROL MASTER'!#REF!)-1))),":",","),",",REPT(" ",50)),((((3-INDEX('CONTROL MASTER'!$T$2:$T$495,(SUMPRODUCT((('CONTROL MASTER'!$S$2:$S$495=12)*('CONTROL MASTER'!$T$2:$T$495&lt;=3)*('CONTROL MASTER'!$V$2:$V$495&gt;=3)*('CONTROL MASTER'!$U$2:$U$495&lt;=3)*('CONTROL MASTER'!$W$2:$W$495&gt;=3))*ROW('CONTROL MASTER'!$S$2:$S$495))-(ROW('CONTROL MASTER'!#REF!)-1))))*(INDEX('CONTROL MASTER'!$W$2:$W$495,(SUMPRODUCT((('CONTROL MASTER'!$S$2:$S$495=12)*('CONTROL MASTER'!$T$2:$T$495&lt;=3)*('CONTROL MASTER'!$V$2:$V$495&gt;=3)*('CONTROL MASTER'!$U$2:$U$495&lt;=3)*('CONTROL MASTER'!$W$2:$W$495&gt;=3))*ROW('CONTROL MASTER'!$S$2:$S$495))-(ROW('CONTROL MASTER'!#REF!)-1)))-INDEX('CONTROL MASTER'!$U$2:$U$495,(SUMPRODUCT((('CONTROL MASTER'!$S$2:$S$495=12)*('CONTROL MASTER'!$T$2:$T$495&lt;=3)*('CONTROL MASTER'!$V$2:$V$495&gt;=3)*('CONTROL MASTER'!$U$2:$U$495&lt;=3)*('CONTROL MASTER'!$W$2:$W$495&gt;=3))*ROW('CONTROL MASTER'!$S$2:$S$495))-(ROW('CONTROL MASTER'!#REF!)-1)))+1)+(3-INDEX('CONTROL MASTER'!$U$2:$U$495,(SUMPRODUCT((('CONTROL MASTER'!$S$2:$S$495=12)*('CONTROL MASTER'!$T$2:$T$495&lt;=3)*('CONTROL MASTER'!$V$2:$V$495&gt;=3)*('CONTROL MASTER'!$U$2:$U$495&lt;=3)*('CONTROL MASTER'!$W$2:$W$495&gt;=3))*ROW('CONTROL MASTER'!$S$2:$S$495))-(ROW('CONTROL MASTER'!#REF!)-1))))+1))-1)*50+1,50))&amp;"_"&amp;INDEX('CONTROL MASTER'!$P$2:$P$495,(SUMPRODUCT((('CONTROL MASTER'!$S$2:$S$495=12)*('CONTROL MASTER'!$T$2:$T$495&lt;=3)*('CONTROL MASTER'!$V$2:$V$495&gt;=3)*('CONTROL MASTER'!$U$2:$U$495&lt;=3)*('CONTROL MASTER'!$W$2:$W$495&gt;=3))*ROW('CONTROL MASTER'!$S$2:$S$495))-(ROW('CONTROL MASTER'!#REF!)-1))),IF(SUMPRODUCT((('CONTROL MASTER'!$S$2:$S$495=12)*('CONTROL MASTER'!$Z$2:$Z$495&lt;=3)*('CONTROL MASTER'!$AB$2:$AB$495&gt;=3)*('CONTROL MASTER'!$AA$2:$AA$495&lt;=3)*('CONTROL MASTER'!$AC$2:$AC$495&gt;=3))*ROW('CONTROL MASTER'!$S$2:$S$495))&gt;0,INDEX('CONTROL MASTER'!$X$2:$X$495,(SUMPRODUCT((('CONTROL MASTER'!$S$2:$S$495=12)*('CONTROL MASTER'!$Z$2:$Z$495&lt;=3)*('CONTROL MASTER'!$AB$2:$AB$495&gt;=3)*('CONTROL MASTER'!$AA$2:$AA$495&lt;=3)*('CONTROL MASTER'!$AC$2:$AC$495&gt;=3))*ROW('CONTROL MASTER'!$S$2:$S$495))-(ROW('CONTROL MASTER'!#REF!)-1)))&amp;TRIM(MID(SUBSTITUTE(SUBSTITUTE(INDEX('CONTROL MASTER'!$N$2:$N$495,(SUMPRODUCT((('CONTROL MASTER'!$S$2:$S$495=12)*('CONTROL MASTER'!$Z$2:$Z$495&lt;=3)*('CONTROL MASTER'!$AB$2:$AB$495&gt;=3)*('CONTROL MASTER'!$AA$2:$AA$495&lt;=3)*('CONTROL MASTER'!$AC$2:$AC$495&gt;=3))*ROW('CONTROL MASTER'!$S$2:$S$495))-(ROW('CONTROL MASTER'!#REF!)-1))),":",","),",",REPT(" ",50)),(((INDEX('CONTROL MASTER'!$Y$2:$Y$495,(SUMPRODUCT((('CONTROL MASTER'!$S$2:$S$495=12)*('CONTROL MASTER'!$Z$2:$Z$495&lt;=3)*('CONTROL MASTER'!$AB$2:$AB$495&gt;=3)*('CONTROL MASTER'!$AA$2:$AA$495&lt;=3)*('CONTROL MASTER'!$AC$2:$AC$495&gt;=3))*ROW('CONTROL MASTER'!$S$2:$S$495))-(ROW('CONTROL MASTER'!#REF!)-1)))+((3-INDEX('CONTROL MASTER'!$Z$2:$Z$495,(SUMPRODUCT((('CONTROL MASTER'!$S$2:$S$495=12)*('CONTROL MASTER'!$Z$2:$Z$495&lt;=3)*('CONTROL MASTER'!$AB$2:$AB$495&gt;=3)*('CONTROL MASTER'!$AA$2:$AA$495&lt;=3)*('CONTROL MASTER'!$AC$2:$AC$495&gt;=3))*ROW('CONTROL MASTER'!$S$2:$S$495))-(ROW('CONTROL MASTER'!#REF!)-1))))*(INDEX('CONTROL MASTER'!$AC$2:$AC$495,(SUMPRODUCT((('CONTROL MASTER'!$S$2:$S$495=12)*('CONTROL MASTER'!$Z$2:$Z$495&lt;=3)*('CONTROL MASTER'!$AB$2:$AB$495&gt;=3)*('CONTROL MASTER'!$AA$2:$AA$495&lt;=3)*('CONTROL MASTER'!$AC$2:$AC$495&gt;=3))*ROW('CONTROL MASTER'!$S$2:$S$495))-(ROW('CONTROL MASTER'!#REF!)-1)))-INDEX('CONTROL MASTER'!$AA$2:$AA$495,(SUMPRODUCT((('CONTROL MASTER'!$S$2:$S$495=12)*('CONTROL MASTER'!$Z$2:$Z$495&lt;=3)*('CONTROL MASTER'!$AB$2:$AB$495&gt;=3)*('CONTROL MASTER'!$AA$2:$AA$495&lt;=3)*('CONTROL MASTER'!$AC$2:$AC$495&gt;=3))*ROW('CONTROL MASTER'!$S$2:$S$495))-(ROW('CONTROL MASTER'!#REF!)-1)))+1)+(3-INDEX('CONTROL MASTER'!$AA$2:$AA$495,(SUMPRODUCT((('CONTROL MASTER'!$S$2:$S$495=12)*('CONTROL MASTER'!$Z$2:$Z$495&lt;=3)*('CONTROL MASTER'!$AB$2:$AB$495&gt;=3)*('CONTROL MASTER'!$AA$2:$AA$495&lt;=3)*('CONTROL MASTER'!$AC$2:$AC$495&gt;=3))*ROW('CONTROL MASTER'!$S$2:$S$495))-(ROW('CONTROL MASTER'!#REF!)-1))))+1)))-1)*50+1,50))&amp;"_"&amp;INDEX('CONTROL MASTER'!$P$2:$P$495,(SUMPRODUCT((('CONTROL MASTER'!$S$2:$S$495=12)*('CONTROL MASTER'!$Z$2:$Z$495&lt;=3)*('CONTROL MASTER'!$AB$2:$AB$495&gt;=3)*('CONTROL MASTER'!$AA$2:$AA$495&lt;=3)*('CONTROL MASTER'!$AC$2:$AC$495&gt;=3))*ROW('CONTROL MASTER'!$S$2:$S$495))-(ROW('CONTROL MASTER'!#REF!)-1))),"")),"")</f>
        <v/>
      </c>
      <c r="E159" s="10" t="str">
        <f>IFERROR(IF(SUMPRODUCT((('CONTROL MASTER'!$S$2:$S$495=12)*('CONTROL MASTER'!$T$2:$T$495&lt;=3)*('CONTROL MASTER'!$V$2:$V$495&gt;=3)*('CONTROL MASTER'!$U$2:$U$495&lt;=4)*('CONTROL MASTER'!$W$2:$W$495&gt;=4))*ROW('CONTROL MASTER'!$S$2:$S$495))&gt;0,INDEX('CONTROL MASTER'!$X$2:$X$495,(SUMPRODUCT((('CONTROL MASTER'!$S$2:$S$495=12)*('CONTROL MASTER'!$T$2:$T$495&lt;=3)*('CONTROL MASTER'!$V$2:$V$495&gt;=3)*('CONTROL MASTER'!$U$2:$U$495&lt;=4)*('CONTROL MASTER'!$W$2:$W$495&gt;=4))*ROW('CONTROL MASTER'!$S$2:$S$495))-(ROW('CONTROL MASTER'!#REF!)-1)))&amp;TRIM(MID(SUBSTITUTE(SUBSTITUTE(INDEX('CONTROL MASTER'!$N$2:$N$495,(SUMPRODUCT((('CONTROL MASTER'!$S$2:$S$495=12)*('CONTROL MASTER'!$T$2:$T$495&lt;=3)*('CONTROL MASTER'!$V$2:$V$495&gt;=3)*('CONTROL MASTER'!$U$2:$U$495&lt;=4)*('CONTROL MASTER'!$W$2:$W$495&gt;=4))*ROW('CONTROL MASTER'!$S$2:$S$495))-(ROW('CONTROL MASTER'!#REF!)-1))),":",","),",",REPT(" ",50)),((((3-INDEX('CONTROL MASTER'!$T$2:$T$495,(SUMPRODUCT((('CONTROL MASTER'!$S$2:$S$495=12)*('CONTROL MASTER'!$T$2:$T$495&lt;=3)*('CONTROL MASTER'!$V$2:$V$495&gt;=3)*('CONTROL MASTER'!$U$2:$U$495&lt;=4)*('CONTROL MASTER'!$W$2:$W$495&gt;=4))*ROW('CONTROL MASTER'!$S$2:$S$495))-(ROW('CONTROL MASTER'!#REF!)-1))))*(INDEX('CONTROL MASTER'!$W$2:$W$495,(SUMPRODUCT((('CONTROL MASTER'!$S$2:$S$495=12)*('CONTROL MASTER'!$T$2:$T$495&lt;=3)*('CONTROL MASTER'!$V$2:$V$495&gt;=3)*('CONTROL MASTER'!$U$2:$U$495&lt;=4)*('CONTROL MASTER'!$W$2:$W$495&gt;=4))*ROW('CONTROL MASTER'!$S$2:$S$495))-(ROW('CONTROL MASTER'!#REF!)-1)))-INDEX('CONTROL MASTER'!$U$2:$U$495,(SUMPRODUCT((('CONTROL MASTER'!$S$2:$S$495=12)*('CONTROL MASTER'!$T$2:$T$495&lt;=3)*('CONTROL MASTER'!$V$2:$V$495&gt;=3)*('CONTROL MASTER'!$U$2:$U$495&lt;=4)*('CONTROL MASTER'!$W$2:$W$495&gt;=4))*ROW('CONTROL MASTER'!$S$2:$S$495))-(ROW('CONTROL MASTER'!#REF!)-1)))+1)+(4-INDEX('CONTROL MASTER'!$U$2:$U$495,(SUMPRODUCT((('CONTROL MASTER'!$S$2:$S$495=12)*('CONTROL MASTER'!$T$2:$T$495&lt;=3)*('CONTROL MASTER'!$V$2:$V$495&gt;=3)*('CONTROL MASTER'!$U$2:$U$495&lt;=4)*('CONTROL MASTER'!$W$2:$W$495&gt;=4))*ROW('CONTROL MASTER'!$S$2:$S$495))-(ROW('CONTROL MASTER'!#REF!)-1))))+1))-1)*50+1,50))&amp;"_"&amp;INDEX('CONTROL MASTER'!$P$2:$P$495,(SUMPRODUCT((('CONTROL MASTER'!$S$2:$S$495=12)*('CONTROL MASTER'!$T$2:$T$495&lt;=3)*('CONTROL MASTER'!$V$2:$V$495&gt;=3)*('CONTROL MASTER'!$U$2:$U$495&lt;=4)*('CONTROL MASTER'!$W$2:$W$495&gt;=4))*ROW('CONTROL MASTER'!$S$2:$S$495))-(ROW('CONTROL MASTER'!#REF!)-1))),IF(SUMPRODUCT((('CONTROL MASTER'!$S$2:$S$495=12)*('CONTROL MASTER'!$Z$2:$Z$495&lt;=3)*('CONTROL MASTER'!$AB$2:$AB$495&gt;=3)*('CONTROL MASTER'!$AA$2:$AA$495&lt;=4)*('CONTROL MASTER'!$AC$2:$AC$495&gt;=4))*ROW('CONTROL MASTER'!$S$2:$S$495))&gt;0,INDEX('CONTROL MASTER'!$X$2:$X$495,(SUMPRODUCT((('CONTROL MASTER'!$S$2:$S$495=12)*('CONTROL MASTER'!$Z$2:$Z$495&lt;=3)*('CONTROL MASTER'!$AB$2:$AB$495&gt;=3)*('CONTROL MASTER'!$AA$2:$AA$495&lt;=4)*('CONTROL MASTER'!$AC$2:$AC$495&gt;=4))*ROW('CONTROL MASTER'!$S$2:$S$495))-(ROW('CONTROL MASTER'!#REF!)-1)))&amp;TRIM(MID(SUBSTITUTE(SUBSTITUTE(INDEX('CONTROL MASTER'!$N$2:$N$495,(SUMPRODUCT((('CONTROL MASTER'!$S$2:$S$495=12)*('CONTROL MASTER'!$Z$2:$Z$495&lt;=3)*('CONTROL MASTER'!$AB$2:$AB$495&gt;=3)*('CONTROL MASTER'!$AA$2:$AA$495&lt;=4)*('CONTROL MASTER'!$AC$2:$AC$495&gt;=4))*ROW('CONTROL MASTER'!$S$2:$S$495))-(ROW('CONTROL MASTER'!#REF!)-1))),":",","),",",REPT(" ",50)),(((INDEX('CONTROL MASTER'!$Y$2:$Y$495,(SUMPRODUCT((('CONTROL MASTER'!$S$2:$S$495=12)*('CONTROL MASTER'!$Z$2:$Z$495&lt;=3)*('CONTROL MASTER'!$AB$2:$AB$495&gt;=3)*('CONTROL MASTER'!$AA$2:$AA$495&lt;=4)*('CONTROL MASTER'!$AC$2:$AC$495&gt;=4))*ROW('CONTROL MASTER'!$S$2:$S$495))-(ROW('CONTROL MASTER'!#REF!)-1)))+((3-INDEX('CONTROL MASTER'!$Z$2:$Z$495,(SUMPRODUCT((('CONTROL MASTER'!$S$2:$S$495=12)*('CONTROL MASTER'!$Z$2:$Z$495&lt;=3)*('CONTROL MASTER'!$AB$2:$AB$495&gt;=3)*('CONTROL MASTER'!$AA$2:$AA$495&lt;=4)*('CONTROL MASTER'!$AC$2:$AC$495&gt;=4))*ROW('CONTROL MASTER'!$S$2:$S$495))-(ROW('CONTROL MASTER'!#REF!)-1))))*(INDEX('CONTROL MASTER'!$AC$2:$AC$495,(SUMPRODUCT((('CONTROL MASTER'!$S$2:$S$495=12)*('CONTROL MASTER'!$Z$2:$Z$495&lt;=3)*('CONTROL MASTER'!$AB$2:$AB$495&gt;=3)*('CONTROL MASTER'!$AA$2:$AA$495&lt;=4)*('CONTROL MASTER'!$AC$2:$AC$495&gt;=4))*ROW('CONTROL MASTER'!$S$2:$S$495))-(ROW('CONTROL MASTER'!#REF!)-1)))-INDEX('CONTROL MASTER'!$AA$2:$AA$495,(SUMPRODUCT((('CONTROL MASTER'!$S$2:$S$495=12)*('CONTROL MASTER'!$Z$2:$Z$495&lt;=3)*('CONTROL MASTER'!$AB$2:$AB$495&gt;=3)*('CONTROL MASTER'!$AA$2:$AA$495&lt;=4)*('CONTROL MASTER'!$AC$2:$AC$495&gt;=4))*ROW('CONTROL MASTER'!$S$2:$S$495))-(ROW('CONTROL MASTER'!#REF!)-1)))+1)+(4-INDEX('CONTROL MASTER'!$AA$2:$AA$495,(SUMPRODUCT((('CONTROL MASTER'!$S$2:$S$495=12)*('CONTROL MASTER'!$Z$2:$Z$495&lt;=3)*('CONTROL MASTER'!$AB$2:$AB$495&gt;=3)*('CONTROL MASTER'!$AA$2:$AA$495&lt;=4)*('CONTROL MASTER'!$AC$2:$AC$495&gt;=4))*ROW('CONTROL MASTER'!$S$2:$S$495))-(ROW('CONTROL MASTER'!#REF!)-1))))+1)))-1)*50+1,50))&amp;"_"&amp;INDEX('CONTROL MASTER'!$P$2:$P$495,(SUMPRODUCT((('CONTROL MASTER'!$S$2:$S$495=12)*('CONTROL MASTER'!$Z$2:$Z$495&lt;=3)*('CONTROL MASTER'!$AB$2:$AB$495&gt;=3)*('CONTROL MASTER'!$AA$2:$AA$495&lt;=4)*('CONTROL MASTER'!$AC$2:$AC$495&gt;=4))*ROW('CONTROL MASTER'!$S$2:$S$495))-(ROW('CONTROL MASTER'!#REF!)-1))),"")),"")</f>
        <v/>
      </c>
      <c r="F159" s="10" t="str">
        <f>IFERROR(IF(SUMPRODUCT((('CONTROL MASTER'!$S$2:$S$495=12)*('CONTROL MASTER'!$T$2:$T$495&lt;=3)*('CONTROL MASTER'!$V$2:$V$495&gt;=3)*('CONTROL MASTER'!$U$2:$U$495&lt;=5)*('CONTROL MASTER'!$W$2:$W$495&gt;=5))*ROW('CONTROL MASTER'!$S$2:$S$495))&gt;0,INDEX('CONTROL MASTER'!$X$2:$X$495,(SUMPRODUCT((('CONTROL MASTER'!$S$2:$S$495=12)*('CONTROL MASTER'!$T$2:$T$495&lt;=3)*('CONTROL MASTER'!$V$2:$V$495&gt;=3)*('CONTROL MASTER'!$U$2:$U$495&lt;=5)*('CONTROL MASTER'!$W$2:$W$495&gt;=5))*ROW('CONTROL MASTER'!$S$2:$S$495))-(ROW('CONTROL MASTER'!#REF!)-1)))&amp;TRIM(MID(SUBSTITUTE(SUBSTITUTE(INDEX('CONTROL MASTER'!$N$2:$N$495,(SUMPRODUCT((('CONTROL MASTER'!$S$2:$S$495=12)*('CONTROL MASTER'!$T$2:$T$495&lt;=3)*('CONTROL MASTER'!$V$2:$V$495&gt;=3)*('CONTROL MASTER'!$U$2:$U$495&lt;=5)*('CONTROL MASTER'!$W$2:$W$495&gt;=5))*ROW('CONTROL MASTER'!$S$2:$S$495))-(ROW('CONTROL MASTER'!#REF!)-1))),":",","),",",REPT(" ",50)),((((3-INDEX('CONTROL MASTER'!$T$2:$T$495,(SUMPRODUCT((('CONTROL MASTER'!$S$2:$S$495=12)*('CONTROL MASTER'!$T$2:$T$495&lt;=3)*('CONTROL MASTER'!$V$2:$V$495&gt;=3)*('CONTROL MASTER'!$U$2:$U$495&lt;=5)*('CONTROL MASTER'!$W$2:$W$495&gt;=5))*ROW('CONTROL MASTER'!$S$2:$S$495))-(ROW('CONTROL MASTER'!#REF!)-1))))*(INDEX('CONTROL MASTER'!$W$2:$W$495,(SUMPRODUCT((('CONTROL MASTER'!$S$2:$S$495=12)*('CONTROL MASTER'!$T$2:$T$495&lt;=3)*('CONTROL MASTER'!$V$2:$V$495&gt;=3)*('CONTROL MASTER'!$U$2:$U$495&lt;=5)*('CONTROL MASTER'!$W$2:$W$495&gt;=5))*ROW('CONTROL MASTER'!$S$2:$S$495))-(ROW('CONTROL MASTER'!#REF!)-1)))-INDEX('CONTROL MASTER'!$U$2:$U$495,(SUMPRODUCT((('CONTROL MASTER'!$S$2:$S$495=12)*('CONTROL MASTER'!$T$2:$T$495&lt;=3)*('CONTROL MASTER'!$V$2:$V$495&gt;=3)*('CONTROL MASTER'!$U$2:$U$495&lt;=5)*('CONTROL MASTER'!$W$2:$W$495&gt;=5))*ROW('CONTROL MASTER'!$S$2:$S$495))-(ROW('CONTROL MASTER'!#REF!)-1)))+1)+(5-INDEX('CONTROL MASTER'!$U$2:$U$495,(SUMPRODUCT((('CONTROL MASTER'!$S$2:$S$495=12)*('CONTROL MASTER'!$T$2:$T$495&lt;=3)*('CONTROL MASTER'!$V$2:$V$495&gt;=3)*('CONTROL MASTER'!$U$2:$U$495&lt;=5)*('CONTROL MASTER'!$W$2:$W$495&gt;=5))*ROW('CONTROL MASTER'!$S$2:$S$495))-(ROW('CONTROL MASTER'!#REF!)-1))))+1))-1)*50+1,50))&amp;"_"&amp;INDEX('CONTROL MASTER'!$P$2:$P$495,(SUMPRODUCT((('CONTROL MASTER'!$S$2:$S$495=12)*('CONTROL MASTER'!$T$2:$T$495&lt;=3)*('CONTROL MASTER'!$V$2:$V$495&gt;=3)*('CONTROL MASTER'!$U$2:$U$495&lt;=5)*('CONTROL MASTER'!$W$2:$W$495&gt;=5))*ROW('CONTROL MASTER'!$S$2:$S$495))-(ROW('CONTROL MASTER'!#REF!)-1))),IF(SUMPRODUCT((('CONTROL MASTER'!$S$2:$S$495=12)*('CONTROL MASTER'!$Z$2:$Z$495&lt;=3)*('CONTROL MASTER'!$AB$2:$AB$495&gt;=3)*('CONTROL MASTER'!$AA$2:$AA$495&lt;=5)*('CONTROL MASTER'!$AC$2:$AC$495&gt;=5))*ROW('CONTROL MASTER'!$S$2:$S$495))&gt;0,INDEX('CONTROL MASTER'!$X$2:$X$495,(SUMPRODUCT((('CONTROL MASTER'!$S$2:$S$495=12)*('CONTROL MASTER'!$Z$2:$Z$495&lt;=3)*('CONTROL MASTER'!$AB$2:$AB$495&gt;=3)*('CONTROL MASTER'!$AA$2:$AA$495&lt;=5)*('CONTROL MASTER'!$AC$2:$AC$495&gt;=5))*ROW('CONTROL MASTER'!$S$2:$S$495))-(ROW('CONTROL MASTER'!#REF!)-1)))&amp;TRIM(MID(SUBSTITUTE(SUBSTITUTE(INDEX('CONTROL MASTER'!$N$2:$N$495,(SUMPRODUCT((('CONTROL MASTER'!$S$2:$S$495=12)*('CONTROL MASTER'!$Z$2:$Z$495&lt;=3)*('CONTROL MASTER'!$AB$2:$AB$495&gt;=3)*('CONTROL MASTER'!$AA$2:$AA$495&lt;=5)*('CONTROL MASTER'!$AC$2:$AC$495&gt;=5))*ROW('CONTROL MASTER'!$S$2:$S$495))-(ROW('CONTROL MASTER'!#REF!)-1))),":",","),",",REPT(" ",50)),(((INDEX('CONTROL MASTER'!$Y$2:$Y$495,(SUMPRODUCT((('CONTROL MASTER'!$S$2:$S$495=12)*('CONTROL MASTER'!$Z$2:$Z$495&lt;=3)*('CONTROL MASTER'!$AB$2:$AB$495&gt;=3)*('CONTROL MASTER'!$AA$2:$AA$495&lt;=5)*('CONTROL MASTER'!$AC$2:$AC$495&gt;=5))*ROW('CONTROL MASTER'!$S$2:$S$495))-(ROW('CONTROL MASTER'!#REF!)-1)))+((3-INDEX('CONTROL MASTER'!$Z$2:$Z$495,(SUMPRODUCT((('CONTROL MASTER'!$S$2:$S$495=12)*('CONTROL MASTER'!$Z$2:$Z$495&lt;=3)*('CONTROL MASTER'!$AB$2:$AB$495&gt;=3)*('CONTROL MASTER'!$AA$2:$AA$495&lt;=5)*('CONTROL MASTER'!$AC$2:$AC$495&gt;=5))*ROW('CONTROL MASTER'!$S$2:$S$495))-(ROW('CONTROL MASTER'!#REF!)-1))))*(INDEX('CONTROL MASTER'!$AC$2:$AC$495,(SUMPRODUCT((('CONTROL MASTER'!$S$2:$S$495=12)*('CONTROL MASTER'!$Z$2:$Z$495&lt;=3)*('CONTROL MASTER'!$AB$2:$AB$495&gt;=3)*('CONTROL MASTER'!$AA$2:$AA$495&lt;=5)*('CONTROL MASTER'!$AC$2:$AC$495&gt;=5))*ROW('CONTROL MASTER'!$S$2:$S$495))-(ROW('CONTROL MASTER'!#REF!)-1)))-INDEX('CONTROL MASTER'!$AA$2:$AA$495,(SUMPRODUCT((('CONTROL MASTER'!$S$2:$S$495=12)*('CONTROL MASTER'!$Z$2:$Z$495&lt;=3)*('CONTROL MASTER'!$AB$2:$AB$495&gt;=3)*('CONTROL MASTER'!$AA$2:$AA$495&lt;=5)*('CONTROL MASTER'!$AC$2:$AC$495&gt;=5))*ROW('CONTROL MASTER'!$S$2:$S$495))-(ROW('CONTROL MASTER'!#REF!)-1)))+1)+(5-INDEX('CONTROL MASTER'!$AA$2:$AA$495,(SUMPRODUCT((('CONTROL MASTER'!$S$2:$S$495=12)*('CONTROL MASTER'!$Z$2:$Z$495&lt;=3)*('CONTROL MASTER'!$AB$2:$AB$495&gt;=3)*('CONTROL MASTER'!$AA$2:$AA$495&lt;=5)*('CONTROL MASTER'!$AC$2:$AC$495&gt;=5))*ROW('CONTROL MASTER'!$S$2:$S$495))-(ROW('CONTROL MASTER'!#REF!)-1))))+1)))-1)*50+1,50))&amp;"_"&amp;INDEX('CONTROL MASTER'!$P$2:$P$495,(SUMPRODUCT((('CONTROL MASTER'!$S$2:$S$495=12)*('CONTROL MASTER'!$Z$2:$Z$495&lt;=3)*('CONTROL MASTER'!$AB$2:$AB$495&gt;=3)*('CONTROL MASTER'!$AA$2:$AA$495&lt;=5)*('CONTROL MASTER'!$AC$2:$AC$495&gt;=5))*ROW('CONTROL MASTER'!$S$2:$S$495))-(ROW('CONTROL MASTER'!#REF!)-1))),"")),"")</f>
        <v/>
      </c>
      <c r="G159" s="10" t="str">
        <f>IFERROR(IF(SUMPRODUCT((('CONTROL MASTER'!$S$2:$S$495=12)*('CONTROL MASTER'!$T$2:$T$495&lt;=3)*('CONTROL MASTER'!$V$2:$V$495&gt;=3)*('CONTROL MASTER'!$U$2:$U$495&lt;=6)*('CONTROL MASTER'!$W$2:$W$495&gt;=6))*ROW('CONTROL MASTER'!$S$2:$S$495))&gt;0,INDEX('CONTROL MASTER'!$X$2:$X$495,(SUMPRODUCT((('CONTROL MASTER'!$S$2:$S$495=12)*('CONTROL MASTER'!$T$2:$T$495&lt;=3)*('CONTROL MASTER'!$V$2:$V$495&gt;=3)*('CONTROL MASTER'!$U$2:$U$495&lt;=6)*('CONTROL MASTER'!$W$2:$W$495&gt;=6))*ROW('CONTROL MASTER'!$S$2:$S$495))-(ROW('CONTROL MASTER'!#REF!)-1)))&amp;TRIM(MID(SUBSTITUTE(SUBSTITUTE(INDEX('CONTROL MASTER'!$N$2:$N$495,(SUMPRODUCT((('CONTROL MASTER'!$S$2:$S$495=12)*('CONTROL MASTER'!$T$2:$T$495&lt;=3)*('CONTROL MASTER'!$V$2:$V$495&gt;=3)*('CONTROL MASTER'!$U$2:$U$495&lt;=6)*('CONTROL MASTER'!$W$2:$W$495&gt;=6))*ROW('CONTROL MASTER'!$S$2:$S$495))-(ROW('CONTROL MASTER'!#REF!)-1))),":",","),",",REPT(" ",50)),((((3-INDEX('CONTROL MASTER'!$T$2:$T$495,(SUMPRODUCT((('CONTROL MASTER'!$S$2:$S$495=12)*('CONTROL MASTER'!$T$2:$T$495&lt;=3)*('CONTROL MASTER'!$V$2:$V$495&gt;=3)*('CONTROL MASTER'!$U$2:$U$495&lt;=6)*('CONTROL MASTER'!$W$2:$W$495&gt;=6))*ROW('CONTROL MASTER'!$S$2:$S$495))-(ROW('CONTROL MASTER'!#REF!)-1))))*(INDEX('CONTROL MASTER'!$W$2:$W$495,(SUMPRODUCT((('CONTROL MASTER'!$S$2:$S$495=12)*('CONTROL MASTER'!$T$2:$T$495&lt;=3)*('CONTROL MASTER'!$V$2:$V$495&gt;=3)*('CONTROL MASTER'!$U$2:$U$495&lt;=6)*('CONTROL MASTER'!$W$2:$W$495&gt;=6))*ROW('CONTROL MASTER'!$S$2:$S$495))-(ROW('CONTROL MASTER'!#REF!)-1)))-INDEX('CONTROL MASTER'!$U$2:$U$495,(SUMPRODUCT((('CONTROL MASTER'!$S$2:$S$495=12)*('CONTROL MASTER'!$T$2:$T$495&lt;=3)*('CONTROL MASTER'!$V$2:$V$495&gt;=3)*('CONTROL MASTER'!$U$2:$U$495&lt;=6)*('CONTROL MASTER'!$W$2:$W$495&gt;=6))*ROW('CONTROL MASTER'!$S$2:$S$495))-(ROW('CONTROL MASTER'!#REF!)-1)))+1)+(6-INDEX('CONTROL MASTER'!$U$2:$U$495,(SUMPRODUCT((('CONTROL MASTER'!$S$2:$S$495=12)*('CONTROL MASTER'!$T$2:$T$495&lt;=3)*('CONTROL MASTER'!$V$2:$V$495&gt;=3)*('CONTROL MASTER'!$U$2:$U$495&lt;=6)*('CONTROL MASTER'!$W$2:$W$495&gt;=6))*ROW('CONTROL MASTER'!$S$2:$S$495))-(ROW('CONTROL MASTER'!#REF!)-1))))+1))-1)*50+1,50))&amp;"_"&amp;INDEX('CONTROL MASTER'!$P$2:$P$495,(SUMPRODUCT((('CONTROL MASTER'!$S$2:$S$495=12)*('CONTROL MASTER'!$T$2:$T$495&lt;=3)*('CONTROL MASTER'!$V$2:$V$495&gt;=3)*('CONTROL MASTER'!$U$2:$U$495&lt;=6)*('CONTROL MASTER'!$W$2:$W$495&gt;=6))*ROW('CONTROL MASTER'!$S$2:$S$495))-(ROW('CONTROL MASTER'!#REF!)-1))),IF(SUMPRODUCT((('CONTROL MASTER'!$S$2:$S$495=12)*('CONTROL MASTER'!$Z$2:$Z$495&lt;=3)*('CONTROL MASTER'!$AB$2:$AB$495&gt;=3)*('CONTROL MASTER'!$AA$2:$AA$495&lt;=6)*('CONTROL MASTER'!$AC$2:$AC$495&gt;=6))*ROW('CONTROL MASTER'!$S$2:$S$495))&gt;0,INDEX('CONTROL MASTER'!$X$2:$X$495,(SUMPRODUCT((('CONTROL MASTER'!$S$2:$S$495=12)*('CONTROL MASTER'!$Z$2:$Z$495&lt;=3)*('CONTROL MASTER'!$AB$2:$AB$495&gt;=3)*('CONTROL MASTER'!$AA$2:$AA$495&lt;=6)*('CONTROL MASTER'!$AC$2:$AC$495&gt;=6))*ROW('CONTROL MASTER'!$S$2:$S$495))-(ROW('CONTROL MASTER'!#REF!)-1)))&amp;TRIM(MID(SUBSTITUTE(SUBSTITUTE(INDEX('CONTROL MASTER'!$N$2:$N$495,(SUMPRODUCT((('CONTROL MASTER'!$S$2:$S$495=12)*('CONTROL MASTER'!$Z$2:$Z$495&lt;=3)*('CONTROL MASTER'!$AB$2:$AB$495&gt;=3)*('CONTROL MASTER'!$AA$2:$AA$495&lt;=6)*('CONTROL MASTER'!$AC$2:$AC$495&gt;=6))*ROW('CONTROL MASTER'!$S$2:$S$495))-(ROW('CONTROL MASTER'!#REF!)-1))),":",","),",",REPT(" ",50)),(((INDEX('CONTROL MASTER'!$Y$2:$Y$495,(SUMPRODUCT((('CONTROL MASTER'!$S$2:$S$495=12)*('CONTROL MASTER'!$Z$2:$Z$495&lt;=3)*('CONTROL MASTER'!$AB$2:$AB$495&gt;=3)*('CONTROL MASTER'!$AA$2:$AA$495&lt;=6)*('CONTROL MASTER'!$AC$2:$AC$495&gt;=6))*ROW('CONTROL MASTER'!$S$2:$S$495))-(ROW('CONTROL MASTER'!#REF!)-1)))+((3-INDEX('CONTROL MASTER'!$Z$2:$Z$495,(SUMPRODUCT((('CONTROL MASTER'!$S$2:$S$495=12)*('CONTROL MASTER'!$Z$2:$Z$495&lt;=3)*('CONTROL MASTER'!$AB$2:$AB$495&gt;=3)*('CONTROL MASTER'!$AA$2:$AA$495&lt;=6)*('CONTROL MASTER'!$AC$2:$AC$495&gt;=6))*ROW('CONTROL MASTER'!$S$2:$S$495))-(ROW('CONTROL MASTER'!#REF!)-1))))*(INDEX('CONTROL MASTER'!$AC$2:$AC$495,(SUMPRODUCT((('CONTROL MASTER'!$S$2:$S$495=12)*('CONTROL MASTER'!$Z$2:$Z$495&lt;=3)*('CONTROL MASTER'!$AB$2:$AB$495&gt;=3)*('CONTROL MASTER'!$AA$2:$AA$495&lt;=6)*('CONTROL MASTER'!$AC$2:$AC$495&gt;=6))*ROW('CONTROL MASTER'!$S$2:$S$495))-(ROW('CONTROL MASTER'!#REF!)-1)))-INDEX('CONTROL MASTER'!$AA$2:$AA$495,(SUMPRODUCT((('CONTROL MASTER'!$S$2:$S$495=12)*('CONTROL MASTER'!$Z$2:$Z$495&lt;=3)*('CONTROL MASTER'!$AB$2:$AB$495&gt;=3)*('CONTROL MASTER'!$AA$2:$AA$495&lt;=6)*('CONTROL MASTER'!$AC$2:$AC$495&gt;=6))*ROW('CONTROL MASTER'!$S$2:$S$495))-(ROW('CONTROL MASTER'!#REF!)-1)))+1)+(6-INDEX('CONTROL MASTER'!$AA$2:$AA$495,(SUMPRODUCT((('CONTROL MASTER'!$S$2:$S$495=12)*('CONTROL MASTER'!$Z$2:$Z$495&lt;=3)*('CONTROL MASTER'!$AB$2:$AB$495&gt;=3)*('CONTROL MASTER'!$AA$2:$AA$495&lt;=6)*('CONTROL MASTER'!$AC$2:$AC$495&gt;=6))*ROW('CONTROL MASTER'!$S$2:$S$495))-(ROW('CONTROL MASTER'!#REF!)-1))))+1)))-1)*50+1,50))&amp;"_"&amp;INDEX('CONTROL MASTER'!$P$2:$P$495,(SUMPRODUCT((('CONTROL MASTER'!$S$2:$S$495=12)*('CONTROL MASTER'!$Z$2:$Z$495&lt;=3)*('CONTROL MASTER'!$AB$2:$AB$495&gt;=3)*('CONTROL MASTER'!$AA$2:$AA$495&lt;=6)*('CONTROL MASTER'!$AC$2:$AC$495&gt;=6))*ROW('CONTROL MASTER'!$S$2:$S$495))-(ROW('CONTROL MASTER'!#REF!)-1))),"")),"")</f>
        <v/>
      </c>
      <c r="H159" s="10" t="str">
        <f>IFERROR(IF(SUMPRODUCT((('CONTROL MASTER'!$S$2:$S$495=12)*('CONTROL MASTER'!$T$2:$T$495&lt;=3)*('CONTROL MASTER'!$V$2:$V$495&gt;=3)*('CONTROL MASTER'!$U$2:$U$495&lt;=7)*('CONTROL MASTER'!$W$2:$W$495&gt;=7))*ROW('CONTROL MASTER'!$S$2:$S$495))&gt;0,INDEX('CONTROL MASTER'!$X$2:$X$495,(SUMPRODUCT((('CONTROL MASTER'!$S$2:$S$495=12)*('CONTROL MASTER'!$T$2:$T$495&lt;=3)*('CONTROL MASTER'!$V$2:$V$495&gt;=3)*('CONTROL MASTER'!$U$2:$U$495&lt;=7)*('CONTROL MASTER'!$W$2:$W$495&gt;=7))*ROW('CONTROL MASTER'!$S$2:$S$495))-(ROW('CONTROL MASTER'!#REF!)-1)))&amp;TRIM(MID(SUBSTITUTE(SUBSTITUTE(INDEX('CONTROL MASTER'!$N$2:$N$495,(SUMPRODUCT((('CONTROL MASTER'!$S$2:$S$495=12)*('CONTROL MASTER'!$T$2:$T$495&lt;=3)*('CONTROL MASTER'!$V$2:$V$495&gt;=3)*('CONTROL MASTER'!$U$2:$U$495&lt;=7)*('CONTROL MASTER'!$W$2:$W$495&gt;=7))*ROW('CONTROL MASTER'!$S$2:$S$495))-(ROW('CONTROL MASTER'!#REF!)-1))),":",","),",",REPT(" ",50)),((((3-INDEX('CONTROL MASTER'!$T$2:$T$495,(SUMPRODUCT((('CONTROL MASTER'!$S$2:$S$495=12)*('CONTROL MASTER'!$T$2:$T$495&lt;=3)*('CONTROL MASTER'!$V$2:$V$495&gt;=3)*('CONTROL MASTER'!$U$2:$U$495&lt;=7)*('CONTROL MASTER'!$W$2:$W$495&gt;=7))*ROW('CONTROL MASTER'!$S$2:$S$495))-(ROW('CONTROL MASTER'!#REF!)-1))))*(INDEX('CONTROL MASTER'!$W$2:$W$495,(SUMPRODUCT((('CONTROL MASTER'!$S$2:$S$495=12)*('CONTROL MASTER'!$T$2:$T$495&lt;=3)*('CONTROL MASTER'!$V$2:$V$495&gt;=3)*('CONTROL MASTER'!$U$2:$U$495&lt;=7)*('CONTROL MASTER'!$W$2:$W$495&gt;=7))*ROW('CONTROL MASTER'!$S$2:$S$495))-(ROW('CONTROL MASTER'!#REF!)-1)))-INDEX('CONTROL MASTER'!$U$2:$U$495,(SUMPRODUCT((('CONTROL MASTER'!$S$2:$S$495=12)*('CONTROL MASTER'!$T$2:$T$495&lt;=3)*('CONTROL MASTER'!$V$2:$V$495&gt;=3)*('CONTROL MASTER'!$U$2:$U$495&lt;=7)*('CONTROL MASTER'!$W$2:$W$495&gt;=7))*ROW('CONTROL MASTER'!$S$2:$S$495))-(ROW('CONTROL MASTER'!#REF!)-1)))+1)+(7-INDEX('CONTROL MASTER'!$U$2:$U$495,(SUMPRODUCT((('CONTROL MASTER'!$S$2:$S$495=12)*('CONTROL MASTER'!$T$2:$T$495&lt;=3)*('CONTROL MASTER'!$V$2:$V$495&gt;=3)*('CONTROL MASTER'!$U$2:$U$495&lt;=7)*('CONTROL MASTER'!$W$2:$W$495&gt;=7))*ROW('CONTROL MASTER'!$S$2:$S$495))-(ROW('CONTROL MASTER'!#REF!)-1))))+1))-1)*50+1,50))&amp;"_"&amp;INDEX('CONTROL MASTER'!$P$2:$P$495,(SUMPRODUCT((('CONTROL MASTER'!$S$2:$S$495=12)*('CONTROL MASTER'!$T$2:$T$495&lt;=3)*('CONTROL MASTER'!$V$2:$V$495&gt;=3)*('CONTROL MASTER'!$U$2:$U$495&lt;=7)*('CONTROL MASTER'!$W$2:$W$495&gt;=7))*ROW('CONTROL MASTER'!$S$2:$S$495))-(ROW('CONTROL MASTER'!#REF!)-1))),IF(SUMPRODUCT((('CONTROL MASTER'!$S$2:$S$495=12)*('CONTROL MASTER'!$Z$2:$Z$495&lt;=3)*('CONTROL MASTER'!$AB$2:$AB$495&gt;=3)*('CONTROL MASTER'!$AA$2:$AA$495&lt;=7)*('CONTROL MASTER'!$AC$2:$AC$495&gt;=7))*ROW('CONTROL MASTER'!$S$2:$S$495))&gt;0,INDEX('CONTROL MASTER'!$X$2:$X$495,(SUMPRODUCT((('CONTROL MASTER'!$S$2:$S$495=12)*('CONTROL MASTER'!$Z$2:$Z$495&lt;=3)*('CONTROL MASTER'!$AB$2:$AB$495&gt;=3)*('CONTROL MASTER'!$AA$2:$AA$495&lt;=7)*('CONTROL MASTER'!$AC$2:$AC$495&gt;=7))*ROW('CONTROL MASTER'!$S$2:$S$495))-(ROW('CONTROL MASTER'!#REF!)-1)))&amp;TRIM(MID(SUBSTITUTE(SUBSTITUTE(INDEX('CONTROL MASTER'!$N$2:$N$495,(SUMPRODUCT((('CONTROL MASTER'!$S$2:$S$495=12)*('CONTROL MASTER'!$Z$2:$Z$495&lt;=3)*('CONTROL MASTER'!$AB$2:$AB$495&gt;=3)*('CONTROL MASTER'!$AA$2:$AA$495&lt;=7)*('CONTROL MASTER'!$AC$2:$AC$495&gt;=7))*ROW('CONTROL MASTER'!$S$2:$S$495))-(ROW('CONTROL MASTER'!#REF!)-1))),":",","),",",REPT(" ",50)),(((INDEX('CONTROL MASTER'!$Y$2:$Y$495,(SUMPRODUCT((('CONTROL MASTER'!$S$2:$S$495=12)*('CONTROL MASTER'!$Z$2:$Z$495&lt;=3)*('CONTROL MASTER'!$AB$2:$AB$495&gt;=3)*('CONTROL MASTER'!$AA$2:$AA$495&lt;=7)*('CONTROL MASTER'!$AC$2:$AC$495&gt;=7))*ROW('CONTROL MASTER'!$S$2:$S$495))-(ROW('CONTROL MASTER'!#REF!)-1)))+((3-INDEX('CONTROL MASTER'!$Z$2:$Z$495,(SUMPRODUCT((('CONTROL MASTER'!$S$2:$S$495=12)*('CONTROL MASTER'!$Z$2:$Z$495&lt;=3)*('CONTROL MASTER'!$AB$2:$AB$495&gt;=3)*('CONTROL MASTER'!$AA$2:$AA$495&lt;=7)*('CONTROL MASTER'!$AC$2:$AC$495&gt;=7))*ROW('CONTROL MASTER'!$S$2:$S$495))-(ROW('CONTROL MASTER'!#REF!)-1))))*(INDEX('CONTROL MASTER'!$AC$2:$AC$495,(SUMPRODUCT((('CONTROL MASTER'!$S$2:$S$495=12)*('CONTROL MASTER'!$Z$2:$Z$495&lt;=3)*('CONTROL MASTER'!$AB$2:$AB$495&gt;=3)*('CONTROL MASTER'!$AA$2:$AA$495&lt;=7)*('CONTROL MASTER'!$AC$2:$AC$495&gt;=7))*ROW('CONTROL MASTER'!$S$2:$S$495))-(ROW('CONTROL MASTER'!#REF!)-1)))-INDEX('CONTROL MASTER'!$AA$2:$AA$495,(SUMPRODUCT((('CONTROL MASTER'!$S$2:$S$495=12)*('CONTROL MASTER'!$Z$2:$Z$495&lt;=3)*('CONTROL MASTER'!$AB$2:$AB$495&gt;=3)*('CONTROL MASTER'!$AA$2:$AA$495&lt;=7)*('CONTROL MASTER'!$AC$2:$AC$495&gt;=7))*ROW('CONTROL MASTER'!$S$2:$S$495))-(ROW('CONTROL MASTER'!#REF!)-1)))+1)+(7-INDEX('CONTROL MASTER'!$AA$2:$AA$495,(SUMPRODUCT((('CONTROL MASTER'!$S$2:$S$495=12)*('CONTROL MASTER'!$Z$2:$Z$495&lt;=3)*('CONTROL MASTER'!$AB$2:$AB$495&gt;=3)*('CONTROL MASTER'!$AA$2:$AA$495&lt;=7)*('CONTROL MASTER'!$AC$2:$AC$495&gt;=7))*ROW('CONTROL MASTER'!$S$2:$S$495))-(ROW('CONTROL MASTER'!#REF!)-1))))+1)))-1)*50+1,50))&amp;"_"&amp;INDEX('CONTROL MASTER'!$P$2:$P$495,(SUMPRODUCT((('CONTROL MASTER'!$S$2:$S$495=12)*('CONTROL MASTER'!$Z$2:$Z$495&lt;=3)*('CONTROL MASTER'!$AB$2:$AB$495&gt;=3)*('CONTROL MASTER'!$AA$2:$AA$495&lt;=7)*('CONTROL MASTER'!$AC$2:$AC$495&gt;=7))*ROW('CONTROL MASTER'!$S$2:$S$495))-(ROW('CONTROL MASTER'!#REF!)-1))),"")),"")</f>
        <v/>
      </c>
      <c r="I159" s="10" t="str">
        <f>IFERROR(IF(SUMPRODUCT((('CONTROL MASTER'!$S$2:$S$495=12)*('CONTROL MASTER'!$T$2:$T$495&lt;=3)*('CONTROL MASTER'!$V$2:$V$495&gt;=3)*('CONTROL MASTER'!$U$2:$U$495&lt;=8)*('CONTROL MASTER'!$W$2:$W$495&gt;=8))*ROW('CONTROL MASTER'!$S$2:$S$495))&gt;0,INDEX('CONTROL MASTER'!$X$2:$X$495,(SUMPRODUCT((('CONTROL MASTER'!$S$2:$S$495=12)*('CONTROL MASTER'!$T$2:$T$495&lt;=3)*('CONTROL MASTER'!$V$2:$V$495&gt;=3)*('CONTROL MASTER'!$U$2:$U$495&lt;=8)*('CONTROL MASTER'!$W$2:$W$495&gt;=8))*ROW('CONTROL MASTER'!$S$2:$S$495))-(ROW('CONTROL MASTER'!#REF!)-1)))&amp;TRIM(MID(SUBSTITUTE(SUBSTITUTE(INDEX('CONTROL MASTER'!$N$2:$N$495,(SUMPRODUCT((('CONTROL MASTER'!$S$2:$S$495=12)*('CONTROL MASTER'!$T$2:$T$495&lt;=3)*('CONTROL MASTER'!$V$2:$V$495&gt;=3)*('CONTROL MASTER'!$U$2:$U$495&lt;=8)*('CONTROL MASTER'!$W$2:$W$495&gt;=8))*ROW('CONTROL MASTER'!$S$2:$S$495))-(ROW('CONTROL MASTER'!#REF!)-1))),":",","),",",REPT(" ",50)),((((3-INDEX('CONTROL MASTER'!$T$2:$T$495,(SUMPRODUCT((('CONTROL MASTER'!$S$2:$S$495=12)*('CONTROL MASTER'!$T$2:$T$495&lt;=3)*('CONTROL MASTER'!$V$2:$V$495&gt;=3)*('CONTROL MASTER'!$U$2:$U$495&lt;=8)*('CONTROL MASTER'!$W$2:$W$495&gt;=8))*ROW('CONTROL MASTER'!$S$2:$S$495))-(ROW('CONTROL MASTER'!#REF!)-1))))*(INDEX('CONTROL MASTER'!$W$2:$W$495,(SUMPRODUCT((('CONTROL MASTER'!$S$2:$S$495=12)*('CONTROL MASTER'!$T$2:$T$495&lt;=3)*('CONTROL MASTER'!$V$2:$V$495&gt;=3)*('CONTROL MASTER'!$U$2:$U$495&lt;=8)*('CONTROL MASTER'!$W$2:$W$495&gt;=8))*ROW('CONTROL MASTER'!$S$2:$S$495))-(ROW('CONTROL MASTER'!#REF!)-1)))-INDEX('CONTROL MASTER'!$U$2:$U$495,(SUMPRODUCT((('CONTROL MASTER'!$S$2:$S$495=12)*('CONTROL MASTER'!$T$2:$T$495&lt;=3)*('CONTROL MASTER'!$V$2:$V$495&gt;=3)*('CONTROL MASTER'!$U$2:$U$495&lt;=8)*('CONTROL MASTER'!$W$2:$W$495&gt;=8))*ROW('CONTROL MASTER'!$S$2:$S$495))-(ROW('CONTROL MASTER'!#REF!)-1)))+1)+(8-INDEX('CONTROL MASTER'!$U$2:$U$495,(SUMPRODUCT((('CONTROL MASTER'!$S$2:$S$495=12)*('CONTROL MASTER'!$T$2:$T$495&lt;=3)*('CONTROL MASTER'!$V$2:$V$495&gt;=3)*('CONTROL MASTER'!$U$2:$U$495&lt;=8)*('CONTROL MASTER'!$W$2:$W$495&gt;=8))*ROW('CONTROL MASTER'!$S$2:$S$495))-(ROW('CONTROL MASTER'!#REF!)-1))))+1))-1)*50+1,50))&amp;"_"&amp;INDEX('CONTROL MASTER'!$P$2:$P$495,(SUMPRODUCT((('CONTROL MASTER'!$S$2:$S$495=12)*('CONTROL MASTER'!$T$2:$T$495&lt;=3)*('CONTROL MASTER'!$V$2:$V$495&gt;=3)*('CONTROL MASTER'!$U$2:$U$495&lt;=8)*('CONTROL MASTER'!$W$2:$W$495&gt;=8))*ROW('CONTROL MASTER'!$S$2:$S$495))-(ROW('CONTROL MASTER'!#REF!)-1))),IF(SUMPRODUCT((('CONTROL MASTER'!$S$2:$S$495=12)*('CONTROL MASTER'!$Z$2:$Z$495&lt;=3)*('CONTROL MASTER'!$AB$2:$AB$495&gt;=3)*('CONTROL MASTER'!$AA$2:$AA$495&lt;=8)*('CONTROL MASTER'!$AC$2:$AC$495&gt;=8))*ROW('CONTROL MASTER'!$S$2:$S$495))&gt;0,INDEX('CONTROL MASTER'!$X$2:$X$495,(SUMPRODUCT((('CONTROL MASTER'!$S$2:$S$495=12)*('CONTROL MASTER'!$Z$2:$Z$495&lt;=3)*('CONTROL MASTER'!$AB$2:$AB$495&gt;=3)*('CONTROL MASTER'!$AA$2:$AA$495&lt;=8)*('CONTROL MASTER'!$AC$2:$AC$495&gt;=8))*ROW('CONTROL MASTER'!$S$2:$S$495))-(ROW('CONTROL MASTER'!#REF!)-1)))&amp;TRIM(MID(SUBSTITUTE(SUBSTITUTE(INDEX('CONTROL MASTER'!$N$2:$N$495,(SUMPRODUCT((('CONTROL MASTER'!$S$2:$S$495=12)*('CONTROL MASTER'!$Z$2:$Z$495&lt;=3)*('CONTROL MASTER'!$AB$2:$AB$495&gt;=3)*('CONTROL MASTER'!$AA$2:$AA$495&lt;=8)*('CONTROL MASTER'!$AC$2:$AC$495&gt;=8))*ROW('CONTROL MASTER'!$S$2:$S$495))-(ROW('CONTROL MASTER'!#REF!)-1))),":",","),",",REPT(" ",50)),(((INDEX('CONTROL MASTER'!$Y$2:$Y$495,(SUMPRODUCT((('CONTROL MASTER'!$S$2:$S$495=12)*('CONTROL MASTER'!$Z$2:$Z$495&lt;=3)*('CONTROL MASTER'!$AB$2:$AB$495&gt;=3)*('CONTROL MASTER'!$AA$2:$AA$495&lt;=8)*('CONTROL MASTER'!$AC$2:$AC$495&gt;=8))*ROW('CONTROL MASTER'!$S$2:$S$495))-(ROW('CONTROL MASTER'!#REF!)-1)))+((3-INDEX('CONTROL MASTER'!$Z$2:$Z$495,(SUMPRODUCT((('CONTROL MASTER'!$S$2:$S$495=12)*('CONTROL MASTER'!$Z$2:$Z$495&lt;=3)*('CONTROL MASTER'!$AB$2:$AB$495&gt;=3)*('CONTROL MASTER'!$AA$2:$AA$495&lt;=8)*('CONTROL MASTER'!$AC$2:$AC$495&gt;=8))*ROW('CONTROL MASTER'!$S$2:$S$495))-(ROW('CONTROL MASTER'!#REF!)-1))))*(INDEX('CONTROL MASTER'!$AC$2:$AC$495,(SUMPRODUCT((('CONTROL MASTER'!$S$2:$S$495=12)*('CONTROL MASTER'!$Z$2:$Z$495&lt;=3)*('CONTROL MASTER'!$AB$2:$AB$495&gt;=3)*('CONTROL MASTER'!$AA$2:$AA$495&lt;=8)*('CONTROL MASTER'!$AC$2:$AC$495&gt;=8))*ROW('CONTROL MASTER'!$S$2:$S$495))-(ROW('CONTROL MASTER'!#REF!)-1)))-INDEX('CONTROL MASTER'!$AA$2:$AA$495,(SUMPRODUCT((('CONTROL MASTER'!$S$2:$S$495=12)*('CONTROL MASTER'!$Z$2:$Z$495&lt;=3)*('CONTROL MASTER'!$AB$2:$AB$495&gt;=3)*('CONTROL MASTER'!$AA$2:$AA$495&lt;=8)*('CONTROL MASTER'!$AC$2:$AC$495&gt;=8))*ROW('CONTROL MASTER'!$S$2:$S$495))-(ROW('CONTROL MASTER'!#REF!)-1)))+1)+(8-INDEX('CONTROL MASTER'!$AA$2:$AA$495,(SUMPRODUCT((('CONTROL MASTER'!$S$2:$S$495=12)*('CONTROL MASTER'!$Z$2:$Z$495&lt;=3)*('CONTROL MASTER'!$AB$2:$AB$495&gt;=3)*('CONTROL MASTER'!$AA$2:$AA$495&lt;=8)*('CONTROL MASTER'!$AC$2:$AC$495&gt;=8))*ROW('CONTROL MASTER'!$S$2:$S$495))-(ROW('CONTROL MASTER'!#REF!)-1))))+1)))-1)*50+1,50))&amp;"_"&amp;INDEX('CONTROL MASTER'!$P$2:$P$495,(SUMPRODUCT((('CONTROL MASTER'!$S$2:$S$495=12)*('CONTROL MASTER'!$Z$2:$Z$495&lt;=3)*('CONTROL MASTER'!$AB$2:$AB$495&gt;=3)*('CONTROL MASTER'!$AA$2:$AA$495&lt;=8)*('CONTROL MASTER'!$AC$2:$AC$495&gt;=8))*ROW('CONTROL MASTER'!$S$2:$S$495))-(ROW('CONTROL MASTER'!#REF!)-1))),"")),"")</f>
        <v/>
      </c>
      <c r="J159" s="10" t="str">
        <f>IFERROR(IF(SUMPRODUCT((('CONTROL MASTER'!$S$2:$S$495=12)*('CONTROL MASTER'!$T$2:$T$495&lt;=3)*('CONTROL MASTER'!$V$2:$V$495&gt;=3)*('CONTROL MASTER'!$U$2:$U$495&lt;=9)*('CONTROL MASTER'!$W$2:$W$495&gt;=9))*ROW('CONTROL MASTER'!$S$2:$S$495))&gt;0,INDEX('CONTROL MASTER'!$X$2:$X$495,(SUMPRODUCT((('CONTROL MASTER'!$S$2:$S$495=12)*('CONTROL MASTER'!$T$2:$T$495&lt;=3)*('CONTROL MASTER'!$V$2:$V$495&gt;=3)*('CONTROL MASTER'!$U$2:$U$495&lt;=9)*('CONTROL MASTER'!$W$2:$W$495&gt;=9))*ROW('CONTROL MASTER'!$S$2:$S$495))-(ROW('CONTROL MASTER'!#REF!)-1)))&amp;TRIM(MID(SUBSTITUTE(SUBSTITUTE(INDEX('CONTROL MASTER'!$N$2:$N$495,(SUMPRODUCT((('CONTROL MASTER'!$S$2:$S$495=12)*('CONTROL MASTER'!$T$2:$T$495&lt;=3)*('CONTROL MASTER'!$V$2:$V$495&gt;=3)*('CONTROL MASTER'!$U$2:$U$495&lt;=9)*('CONTROL MASTER'!$W$2:$W$495&gt;=9))*ROW('CONTROL MASTER'!$S$2:$S$495))-(ROW('CONTROL MASTER'!#REF!)-1))),":",","),",",REPT(" ",50)),((((3-INDEX('CONTROL MASTER'!$T$2:$T$495,(SUMPRODUCT((('CONTROL MASTER'!$S$2:$S$495=12)*('CONTROL MASTER'!$T$2:$T$495&lt;=3)*('CONTROL MASTER'!$V$2:$V$495&gt;=3)*('CONTROL MASTER'!$U$2:$U$495&lt;=9)*('CONTROL MASTER'!$W$2:$W$495&gt;=9))*ROW('CONTROL MASTER'!$S$2:$S$495))-(ROW('CONTROL MASTER'!#REF!)-1))))*(INDEX('CONTROL MASTER'!$W$2:$W$495,(SUMPRODUCT((('CONTROL MASTER'!$S$2:$S$495=12)*('CONTROL MASTER'!$T$2:$T$495&lt;=3)*('CONTROL MASTER'!$V$2:$V$495&gt;=3)*('CONTROL MASTER'!$U$2:$U$495&lt;=9)*('CONTROL MASTER'!$W$2:$W$495&gt;=9))*ROW('CONTROL MASTER'!$S$2:$S$495))-(ROW('CONTROL MASTER'!#REF!)-1)))-INDEX('CONTROL MASTER'!$U$2:$U$495,(SUMPRODUCT((('CONTROL MASTER'!$S$2:$S$495=12)*('CONTROL MASTER'!$T$2:$T$495&lt;=3)*('CONTROL MASTER'!$V$2:$V$495&gt;=3)*('CONTROL MASTER'!$U$2:$U$495&lt;=9)*('CONTROL MASTER'!$W$2:$W$495&gt;=9))*ROW('CONTROL MASTER'!$S$2:$S$495))-(ROW('CONTROL MASTER'!#REF!)-1)))+1)+(9-INDEX('CONTROL MASTER'!$U$2:$U$495,(SUMPRODUCT((('CONTROL MASTER'!$S$2:$S$495=12)*('CONTROL MASTER'!$T$2:$T$495&lt;=3)*('CONTROL MASTER'!$V$2:$V$495&gt;=3)*('CONTROL MASTER'!$U$2:$U$495&lt;=9)*('CONTROL MASTER'!$W$2:$W$495&gt;=9))*ROW('CONTROL MASTER'!$S$2:$S$495))-(ROW('CONTROL MASTER'!#REF!)-1))))+1))-1)*50+1,50))&amp;"_"&amp;INDEX('CONTROL MASTER'!$P$2:$P$495,(SUMPRODUCT((('CONTROL MASTER'!$S$2:$S$495=12)*('CONTROL MASTER'!$T$2:$T$495&lt;=3)*('CONTROL MASTER'!$V$2:$V$495&gt;=3)*('CONTROL MASTER'!$U$2:$U$495&lt;=9)*('CONTROL MASTER'!$W$2:$W$495&gt;=9))*ROW('CONTROL MASTER'!$S$2:$S$495))-(ROW('CONTROL MASTER'!#REF!)-1))),IF(SUMPRODUCT((('CONTROL MASTER'!$S$2:$S$495=12)*('CONTROL MASTER'!$Z$2:$Z$495&lt;=3)*('CONTROL MASTER'!$AB$2:$AB$495&gt;=3)*('CONTROL MASTER'!$AA$2:$AA$495&lt;=9)*('CONTROL MASTER'!$AC$2:$AC$495&gt;=9))*ROW('CONTROL MASTER'!$S$2:$S$495))&gt;0,INDEX('CONTROL MASTER'!$X$2:$X$495,(SUMPRODUCT((('CONTROL MASTER'!$S$2:$S$495=12)*('CONTROL MASTER'!$Z$2:$Z$495&lt;=3)*('CONTROL MASTER'!$AB$2:$AB$495&gt;=3)*('CONTROL MASTER'!$AA$2:$AA$495&lt;=9)*('CONTROL MASTER'!$AC$2:$AC$495&gt;=9))*ROW('CONTROL MASTER'!$S$2:$S$495))-(ROW('CONTROL MASTER'!#REF!)-1)))&amp;TRIM(MID(SUBSTITUTE(SUBSTITUTE(INDEX('CONTROL MASTER'!$N$2:$N$495,(SUMPRODUCT((('CONTROL MASTER'!$S$2:$S$495=12)*('CONTROL MASTER'!$Z$2:$Z$495&lt;=3)*('CONTROL MASTER'!$AB$2:$AB$495&gt;=3)*('CONTROL MASTER'!$AA$2:$AA$495&lt;=9)*('CONTROL MASTER'!$AC$2:$AC$495&gt;=9))*ROW('CONTROL MASTER'!$S$2:$S$495))-(ROW('CONTROL MASTER'!#REF!)-1))),":",","),",",REPT(" ",50)),(((INDEX('CONTROL MASTER'!$Y$2:$Y$495,(SUMPRODUCT((('CONTROL MASTER'!$S$2:$S$495=12)*('CONTROL MASTER'!$Z$2:$Z$495&lt;=3)*('CONTROL MASTER'!$AB$2:$AB$495&gt;=3)*('CONTROL MASTER'!$AA$2:$AA$495&lt;=9)*('CONTROL MASTER'!$AC$2:$AC$495&gt;=9))*ROW('CONTROL MASTER'!$S$2:$S$495))-(ROW('CONTROL MASTER'!#REF!)-1)))+((3-INDEX('CONTROL MASTER'!$Z$2:$Z$495,(SUMPRODUCT((('CONTROL MASTER'!$S$2:$S$495=12)*('CONTROL MASTER'!$Z$2:$Z$495&lt;=3)*('CONTROL MASTER'!$AB$2:$AB$495&gt;=3)*('CONTROL MASTER'!$AA$2:$AA$495&lt;=9)*('CONTROL MASTER'!$AC$2:$AC$495&gt;=9))*ROW('CONTROL MASTER'!$S$2:$S$495))-(ROW('CONTROL MASTER'!#REF!)-1))))*(INDEX('CONTROL MASTER'!$AC$2:$AC$495,(SUMPRODUCT((('CONTROL MASTER'!$S$2:$S$495=12)*('CONTROL MASTER'!$Z$2:$Z$495&lt;=3)*('CONTROL MASTER'!$AB$2:$AB$495&gt;=3)*('CONTROL MASTER'!$AA$2:$AA$495&lt;=9)*('CONTROL MASTER'!$AC$2:$AC$495&gt;=9))*ROW('CONTROL MASTER'!$S$2:$S$495))-(ROW('CONTROL MASTER'!#REF!)-1)))-INDEX('CONTROL MASTER'!$AA$2:$AA$495,(SUMPRODUCT((('CONTROL MASTER'!$S$2:$S$495=12)*('CONTROL MASTER'!$Z$2:$Z$495&lt;=3)*('CONTROL MASTER'!$AB$2:$AB$495&gt;=3)*('CONTROL MASTER'!$AA$2:$AA$495&lt;=9)*('CONTROL MASTER'!$AC$2:$AC$495&gt;=9))*ROW('CONTROL MASTER'!$S$2:$S$495))-(ROW('CONTROL MASTER'!#REF!)-1)))+1)+(9-INDEX('CONTROL MASTER'!$AA$2:$AA$495,(SUMPRODUCT((('CONTROL MASTER'!$S$2:$S$495=12)*('CONTROL MASTER'!$Z$2:$Z$495&lt;=3)*('CONTROL MASTER'!$AB$2:$AB$495&gt;=3)*('CONTROL MASTER'!$AA$2:$AA$495&lt;=9)*('CONTROL MASTER'!$AC$2:$AC$495&gt;=9))*ROW('CONTROL MASTER'!$S$2:$S$495))-(ROW('CONTROL MASTER'!#REF!)-1))))+1)))-1)*50+1,50))&amp;"_"&amp;INDEX('CONTROL MASTER'!$P$2:$P$495,(SUMPRODUCT((('CONTROL MASTER'!$S$2:$S$495=12)*('CONTROL MASTER'!$Z$2:$Z$495&lt;=3)*('CONTROL MASTER'!$AB$2:$AB$495&gt;=3)*('CONTROL MASTER'!$AA$2:$AA$495&lt;=9)*('CONTROL MASTER'!$AC$2:$AC$495&gt;=9))*ROW('CONTROL MASTER'!$S$2:$S$495))-(ROW('CONTROL MASTER'!#REF!)-1))),"")),"")</f>
        <v/>
      </c>
      <c r="K159" s="10" t="str">
        <f>IFERROR(IF(SUMPRODUCT((('CONTROL MASTER'!$S$2:$S$495=12)*('CONTROL MASTER'!$T$2:$T$495&lt;=3)*('CONTROL MASTER'!$V$2:$V$495&gt;=3)*('CONTROL MASTER'!$U$2:$U$495&lt;=10)*('CONTROL MASTER'!$W$2:$W$495&gt;=10))*ROW('CONTROL MASTER'!$S$2:$S$495))&gt;0,INDEX('CONTROL MASTER'!$X$2:$X$495,(SUMPRODUCT((('CONTROL MASTER'!$S$2:$S$495=12)*('CONTROL MASTER'!$T$2:$T$495&lt;=3)*('CONTROL MASTER'!$V$2:$V$495&gt;=3)*('CONTROL MASTER'!$U$2:$U$495&lt;=10)*('CONTROL MASTER'!$W$2:$W$495&gt;=10))*ROW('CONTROL MASTER'!$S$2:$S$495))-(ROW('CONTROL MASTER'!#REF!)-1)))&amp;TRIM(MID(SUBSTITUTE(SUBSTITUTE(INDEX('CONTROL MASTER'!$N$2:$N$495,(SUMPRODUCT((('CONTROL MASTER'!$S$2:$S$495=12)*('CONTROL MASTER'!$T$2:$T$495&lt;=3)*('CONTROL MASTER'!$V$2:$V$495&gt;=3)*('CONTROL MASTER'!$U$2:$U$495&lt;=10)*('CONTROL MASTER'!$W$2:$W$495&gt;=10))*ROW('CONTROL MASTER'!$S$2:$S$495))-(ROW('CONTROL MASTER'!#REF!)-1))),":",","),",",REPT(" ",50)),((((3-INDEX('CONTROL MASTER'!$T$2:$T$495,(SUMPRODUCT((('CONTROL MASTER'!$S$2:$S$495=12)*('CONTROL MASTER'!$T$2:$T$495&lt;=3)*('CONTROL MASTER'!$V$2:$V$495&gt;=3)*('CONTROL MASTER'!$U$2:$U$495&lt;=10)*('CONTROL MASTER'!$W$2:$W$495&gt;=10))*ROW('CONTROL MASTER'!$S$2:$S$495))-(ROW('CONTROL MASTER'!#REF!)-1))))*(INDEX('CONTROL MASTER'!$W$2:$W$495,(SUMPRODUCT((('CONTROL MASTER'!$S$2:$S$495=12)*('CONTROL MASTER'!$T$2:$T$495&lt;=3)*('CONTROL MASTER'!$V$2:$V$495&gt;=3)*('CONTROL MASTER'!$U$2:$U$495&lt;=10)*('CONTROL MASTER'!$W$2:$W$495&gt;=10))*ROW('CONTROL MASTER'!$S$2:$S$495))-(ROW('CONTROL MASTER'!#REF!)-1)))-INDEX('CONTROL MASTER'!$U$2:$U$495,(SUMPRODUCT((('CONTROL MASTER'!$S$2:$S$495=12)*('CONTROL MASTER'!$T$2:$T$495&lt;=3)*('CONTROL MASTER'!$V$2:$V$495&gt;=3)*('CONTROL MASTER'!$U$2:$U$495&lt;=10)*('CONTROL MASTER'!$W$2:$W$495&gt;=10))*ROW('CONTROL MASTER'!$S$2:$S$495))-(ROW('CONTROL MASTER'!#REF!)-1)))+1)+(10-INDEX('CONTROL MASTER'!$U$2:$U$495,(SUMPRODUCT((('CONTROL MASTER'!$S$2:$S$495=12)*('CONTROL MASTER'!$T$2:$T$495&lt;=3)*('CONTROL MASTER'!$V$2:$V$495&gt;=3)*('CONTROL MASTER'!$U$2:$U$495&lt;=10)*('CONTROL MASTER'!$W$2:$W$495&gt;=10))*ROW('CONTROL MASTER'!$S$2:$S$495))-(ROW('CONTROL MASTER'!#REF!)-1))))+1))-1)*50+1,50))&amp;"_"&amp;INDEX('CONTROL MASTER'!$P$2:$P$495,(SUMPRODUCT((('CONTROL MASTER'!$S$2:$S$495=12)*('CONTROL MASTER'!$T$2:$T$495&lt;=3)*('CONTROL MASTER'!$V$2:$V$495&gt;=3)*('CONTROL MASTER'!$U$2:$U$495&lt;=10)*('CONTROL MASTER'!$W$2:$W$495&gt;=10))*ROW('CONTROL MASTER'!$S$2:$S$495))-(ROW('CONTROL MASTER'!#REF!)-1))),IF(SUMPRODUCT((('CONTROL MASTER'!$S$2:$S$495=12)*('CONTROL MASTER'!$Z$2:$Z$495&lt;=3)*('CONTROL MASTER'!$AB$2:$AB$495&gt;=3)*('CONTROL MASTER'!$AA$2:$AA$495&lt;=10)*('CONTROL MASTER'!$AC$2:$AC$495&gt;=10))*ROW('CONTROL MASTER'!$S$2:$S$495))&gt;0,INDEX('CONTROL MASTER'!$X$2:$X$495,(SUMPRODUCT((('CONTROL MASTER'!$S$2:$S$495=12)*('CONTROL MASTER'!$Z$2:$Z$495&lt;=3)*('CONTROL MASTER'!$AB$2:$AB$495&gt;=3)*('CONTROL MASTER'!$AA$2:$AA$495&lt;=10)*('CONTROL MASTER'!$AC$2:$AC$495&gt;=10))*ROW('CONTROL MASTER'!$S$2:$S$495))-(ROW('CONTROL MASTER'!#REF!)-1)))&amp;TRIM(MID(SUBSTITUTE(SUBSTITUTE(INDEX('CONTROL MASTER'!$N$2:$N$495,(SUMPRODUCT((('CONTROL MASTER'!$S$2:$S$495=12)*('CONTROL MASTER'!$Z$2:$Z$495&lt;=3)*('CONTROL MASTER'!$AB$2:$AB$495&gt;=3)*('CONTROL MASTER'!$AA$2:$AA$495&lt;=10)*('CONTROL MASTER'!$AC$2:$AC$495&gt;=10))*ROW('CONTROL MASTER'!$S$2:$S$495))-(ROW('CONTROL MASTER'!#REF!)-1))),":",","),",",REPT(" ",50)),(((INDEX('CONTROL MASTER'!$Y$2:$Y$495,(SUMPRODUCT((('CONTROL MASTER'!$S$2:$S$495=12)*('CONTROL MASTER'!$Z$2:$Z$495&lt;=3)*('CONTROL MASTER'!$AB$2:$AB$495&gt;=3)*('CONTROL MASTER'!$AA$2:$AA$495&lt;=10)*('CONTROL MASTER'!$AC$2:$AC$495&gt;=10))*ROW('CONTROL MASTER'!$S$2:$S$495))-(ROW('CONTROL MASTER'!#REF!)-1)))+((3-INDEX('CONTROL MASTER'!$Z$2:$Z$495,(SUMPRODUCT((('CONTROL MASTER'!$S$2:$S$495=12)*('CONTROL MASTER'!$Z$2:$Z$495&lt;=3)*('CONTROL MASTER'!$AB$2:$AB$495&gt;=3)*('CONTROL MASTER'!$AA$2:$AA$495&lt;=10)*('CONTROL MASTER'!$AC$2:$AC$495&gt;=10))*ROW('CONTROL MASTER'!$S$2:$S$495))-(ROW('CONTROL MASTER'!#REF!)-1))))*(INDEX('CONTROL MASTER'!$AC$2:$AC$495,(SUMPRODUCT((('CONTROL MASTER'!$S$2:$S$495=12)*('CONTROL MASTER'!$Z$2:$Z$495&lt;=3)*('CONTROL MASTER'!$AB$2:$AB$495&gt;=3)*('CONTROL MASTER'!$AA$2:$AA$495&lt;=10)*('CONTROL MASTER'!$AC$2:$AC$495&gt;=10))*ROW('CONTROL MASTER'!$S$2:$S$495))-(ROW('CONTROL MASTER'!#REF!)-1)))-INDEX('CONTROL MASTER'!$AA$2:$AA$495,(SUMPRODUCT((('CONTROL MASTER'!$S$2:$S$495=12)*('CONTROL MASTER'!$Z$2:$Z$495&lt;=3)*('CONTROL MASTER'!$AB$2:$AB$495&gt;=3)*('CONTROL MASTER'!$AA$2:$AA$495&lt;=10)*('CONTROL MASTER'!$AC$2:$AC$495&gt;=10))*ROW('CONTROL MASTER'!$S$2:$S$495))-(ROW('CONTROL MASTER'!#REF!)-1)))+1)+(10-INDEX('CONTROL MASTER'!$AA$2:$AA$495,(SUMPRODUCT((('CONTROL MASTER'!$S$2:$S$495=12)*('CONTROL MASTER'!$Z$2:$Z$495&lt;=3)*('CONTROL MASTER'!$AB$2:$AB$495&gt;=3)*('CONTROL MASTER'!$AA$2:$AA$495&lt;=10)*('CONTROL MASTER'!$AC$2:$AC$495&gt;=10))*ROW('CONTROL MASTER'!$S$2:$S$495))-(ROW('CONTROL MASTER'!#REF!)-1))))+1)))-1)*50+1,50))&amp;"_"&amp;INDEX('CONTROL MASTER'!$P$2:$P$495,(SUMPRODUCT((('CONTROL MASTER'!$S$2:$S$495=12)*('CONTROL MASTER'!$Z$2:$Z$495&lt;=3)*('CONTROL MASTER'!$AB$2:$AB$495&gt;=3)*('CONTROL MASTER'!$AA$2:$AA$495&lt;=10)*('CONTROL MASTER'!$AC$2:$AC$495&gt;=10))*ROW('CONTROL MASTER'!$S$2:$S$495))-(ROW('CONTROL MASTER'!#REF!)-1))),"")),"")</f>
        <v/>
      </c>
    </row>
    <row r="160" spans="1:11" ht="15" customHeight="1" x14ac:dyDescent="0.35">
      <c r="A160" s="8" t="s">
        <v>31</v>
      </c>
      <c r="B160" s="10" t="str">
        <f>IFERROR(IF(SUMPRODUCT((('CONTROL MASTER'!$S$2:$S$495=12)*('CONTROL MASTER'!$T$2:$T$495&lt;=4)*('CONTROL MASTER'!$V$2:$V$495&gt;=4)*('CONTROL MASTER'!$U$2:$U$495&lt;=1)*('CONTROL MASTER'!$W$2:$W$495&gt;=1))*ROW('CONTROL MASTER'!$S$2:$S$495))&gt;0,INDEX('CONTROL MASTER'!$X$2:$X$495,(SUMPRODUCT((('CONTROL MASTER'!$S$2:$S$495=12)*('CONTROL MASTER'!$T$2:$T$495&lt;=4)*('CONTROL MASTER'!$V$2:$V$495&gt;=4)*('CONTROL MASTER'!$U$2:$U$495&lt;=1)*('CONTROL MASTER'!$W$2:$W$495&gt;=1))*ROW('CONTROL MASTER'!$S$2:$S$495))-(ROW('CONTROL MASTER'!#REF!)-1)))&amp;TRIM(MID(SUBSTITUTE(SUBSTITUTE(INDEX('CONTROL MASTER'!$N$2:$N$495,(SUMPRODUCT((('CONTROL MASTER'!$S$2:$S$495=12)*('CONTROL MASTER'!$T$2:$T$495&lt;=4)*('CONTROL MASTER'!$V$2:$V$495&gt;=4)*('CONTROL MASTER'!$U$2:$U$495&lt;=1)*('CONTROL MASTER'!$W$2:$W$495&gt;=1))*ROW('CONTROL MASTER'!$S$2:$S$495))-(ROW('CONTROL MASTER'!#REF!)-1))),":",","),",",REPT(" ",50)),((((4-INDEX('CONTROL MASTER'!$T$2:$T$495,(SUMPRODUCT((('CONTROL MASTER'!$S$2:$S$495=12)*('CONTROL MASTER'!$T$2:$T$495&lt;=4)*('CONTROL MASTER'!$V$2:$V$495&gt;=4)*('CONTROL MASTER'!$U$2:$U$495&lt;=1)*('CONTROL MASTER'!$W$2:$W$495&gt;=1))*ROW('CONTROL MASTER'!$S$2:$S$495))-(ROW('CONTROL MASTER'!#REF!)-1))))*(INDEX('CONTROL MASTER'!$W$2:$W$495,(SUMPRODUCT((('CONTROL MASTER'!$S$2:$S$495=12)*('CONTROL MASTER'!$T$2:$T$495&lt;=4)*('CONTROL MASTER'!$V$2:$V$495&gt;=4)*('CONTROL MASTER'!$U$2:$U$495&lt;=1)*('CONTROL MASTER'!$W$2:$W$495&gt;=1))*ROW('CONTROL MASTER'!$S$2:$S$495))-(ROW('CONTROL MASTER'!#REF!)-1)))-INDEX('CONTROL MASTER'!$U$2:$U$495,(SUMPRODUCT((('CONTROL MASTER'!$S$2:$S$495=12)*('CONTROL MASTER'!$T$2:$T$495&lt;=4)*('CONTROL MASTER'!$V$2:$V$495&gt;=4)*('CONTROL MASTER'!$U$2:$U$495&lt;=1)*('CONTROL MASTER'!$W$2:$W$495&gt;=1))*ROW('CONTROL MASTER'!$S$2:$S$495))-(ROW('CONTROL MASTER'!#REF!)-1)))+1)+(1-INDEX('CONTROL MASTER'!$U$2:$U$495,(SUMPRODUCT((('CONTROL MASTER'!$S$2:$S$495=12)*('CONTROL MASTER'!$T$2:$T$495&lt;=4)*('CONTROL MASTER'!$V$2:$V$495&gt;=4)*('CONTROL MASTER'!$U$2:$U$495&lt;=1)*('CONTROL MASTER'!$W$2:$W$495&gt;=1))*ROW('CONTROL MASTER'!$S$2:$S$495))-(ROW('CONTROL MASTER'!#REF!)-1))))+1))-1)*50+1,50))&amp;"_"&amp;INDEX('CONTROL MASTER'!$P$2:$P$495,(SUMPRODUCT((('CONTROL MASTER'!$S$2:$S$495=12)*('CONTROL MASTER'!$T$2:$T$495&lt;=4)*('CONTROL MASTER'!$V$2:$V$495&gt;=4)*('CONTROL MASTER'!$U$2:$U$495&lt;=1)*('CONTROL MASTER'!$W$2:$W$495&gt;=1))*ROW('CONTROL MASTER'!$S$2:$S$495))-(ROW('CONTROL MASTER'!#REF!)-1))),IF(SUMPRODUCT((('CONTROL MASTER'!$S$2:$S$495=12)*('CONTROL MASTER'!$Z$2:$Z$495&lt;=4)*('CONTROL MASTER'!$AB$2:$AB$495&gt;=4)*('CONTROL MASTER'!$AA$2:$AA$495&lt;=1)*('CONTROL MASTER'!$AC$2:$AC$495&gt;=1))*ROW('CONTROL MASTER'!$S$2:$S$495))&gt;0,INDEX('CONTROL MASTER'!$X$2:$X$495,(SUMPRODUCT((('CONTROL MASTER'!$S$2:$S$495=12)*('CONTROL MASTER'!$Z$2:$Z$495&lt;=4)*('CONTROL MASTER'!$AB$2:$AB$495&gt;=4)*('CONTROL MASTER'!$AA$2:$AA$495&lt;=1)*('CONTROL MASTER'!$AC$2:$AC$495&gt;=1))*ROW('CONTROL MASTER'!$S$2:$S$495))-(ROW('CONTROL MASTER'!#REF!)-1)))&amp;TRIM(MID(SUBSTITUTE(SUBSTITUTE(INDEX('CONTROL MASTER'!$N$2:$N$495,(SUMPRODUCT((('CONTROL MASTER'!$S$2:$S$495=12)*('CONTROL MASTER'!$Z$2:$Z$495&lt;=4)*('CONTROL MASTER'!$AB$2:$AB$495&gt;=4)*('CONTROL MASTER'!$AA$2:$AA$495&lt;=1)*('CONTROL MASTER'!$AC$2:$AC$495&gt;=1))*ROW('CONTROL MASTER'!$S$2:$S$495))-(ROW('CONTROL MASTER'!#REF!)-1))),":",","),",",REPT(" ",50)),(((INDEX('CONTROL MASTER'!$Y$2:$Y$495,(SUMPRODUCT((('CONTROL MASTER'!$S$2:$S$495=12)*('CONTROL MASTER'!$Z$2:$Z$495&lt;=4)*('CONTROL MASTER'!$AB$2:$AB$495&gt;=4)*('CONTROL MASTER'!$AA$2:$AA$495&lt;=1)*('CONTROL MASTER'!$AC$2:$AC$495&gt;=1))*ROW('CONTROL MASTER'!$S$2:$S$495))-(ROW('CONTROL MASTER'!#REF!)-1)))+((4-INDEX('CONTROL MASTER'!$Z$2:$Z$495,(SUMPRODUCT((('CONTROL MASTER'!$S$2:$S$495=12)*('CONTROL MASTER'!$Z$2:$Z$495&lt;=4)*('CONTROL MASTER'!$AB$2:$AB$495&gt;=4)*('CONTROL MASTER'!$AA$2:$AA$495&lt;=1)*('CONTROL MASTER'!$AC$2:$AC$495&gt;=1))*ROW('CONTROL MASTER'!$S$2:$S$495))-(ROW('CONTROL MASTER'!#REF!)-1))))*(INDEX('CONTROL MASTER'!$AC$2:$AC$495,(SUMPRODUCT((('CONTROL MASTER'!$S$2:$S$495=12)*('CONTROL MASTER'!$Z$2:$Z$495&lt;=4)*('CONTROL MASTER'!$AB$2:$AB$495&gt;=4)*('CONTROL MASTER'!$AA$2:$AA$495&lt;=1)*('CONTROL MASTER'!$AC$2:$AC$495&gt;=1))*ROW('CONTROL MASTER'!$S$2:$S$495))-(ROW('CONTROL MASTER'!#REF!)-1)))-INDEX('CONTROL MASTER'!$AA$2:$AA$495,(SUMPRODUCT((('CONTROL MASTER'!$S$2:$S$495=12)*('CONTROL MASTER'!$Z$2:$Z$495&lt;=4)*('CONTROL MASTER'!$AB$2:$AB$495&gt;=4)*('CONTROL MASTER'!$AA$2:$AA$495&lt;=1)*('CONTROL MASTER'!$AC$2:$AC$495&gt;=1))*ROW('CONTROL MASTER'!$S$2:$S$495))-(ROW('CONTROL MASTER'!#REF!)-1)))+1)+(1-INDEX('CONTROL MASTER'!$AA$2:$AA$495,(SUMPRODUCT((('CONTROL MASTER'!$S$2:$S$495=12)*('CONTROL MASTER'!$Z$2:$Z$495&lt;=4)*('CONTROL MASTER'!$AB$2:$AB$495&gt;=4)*('CONTROL MASTER'!$AA$2:$AA$495&lt;=1)*('CONTROL MASTER'!$AC$2:$AC$495&gt;=1))*ROW('CONTROL MASTER'!$S$2:$S$495))-(ROW('CONTROL MASTER'!#REF!)-1))))+1)))-1)*50+1,50))&amp;"_"&amp;INDEX('CONTROL MASTER'!$P$2:$P$495,(SUMPRODUCT((('CONTROL MASTER'!$S$2:$S$495=12)*('CONTROL MASTER'!$Z$2:$Z$495&lt;=4)*('CONTROL MASTER'!$AB$2:$AB$495&gt;=4)*('CONTROL MASTER'!$AA$2:$AA$495&lt;=1)*('CONTROL MASTER'!$AC$2:$AC$495&gt;=1))*ROW('CONTROL MASTER'!$S$2:$S$495))-(ROW('CONTROL MASTER'!#REF!)-1))),"")),"")</f>
        <v/>
      </c>
      <c r="C160" s="10" t="str">
        <f>IFERROR(IF(SUMPRODUCT((('CONTROL MASTER'!$S$2:$S$495=12)*('CONTROL MASTER'!$T$2:$T$495&lt;=4)*('CONTROL MASTER'!$V$2:$V$495&gt;=4)*('CONTROL MASTER'!$U$2:$U$495&lt;=2)*('CONTROL MASTER'!$W$2:$W$495&gt;=2))*ROW('CONTROL MASTER'!$S$2:$S$495))&gt;0,INDEX('CONTROL MASTER'!$X$2:$X$495,(SUMPRODUCT((('CONTROL MASTER'!$S$2:$S$495=12)*('CONTROL MASTER'!$T$2:$T$495&lt;=4)*('CONTROL MASTER'!$V$2:$V$495&gt;=4)*('CONTROL MASTER'!$U$2:$U$495&lt;=2)*('CONTROL MASTER'!$W$2:$W$495&gt;=2))*ROW('CONTROL MASTER'!$S$2:$S$495))-(ROW('CONTROL MASTER'!#REF!)-1)))&amp;TRIM(MID(SUBSTITUTE(SUBSTITUTE(INDEX('CONTROL MASTER'!$N$2:$N$495,(SUMPRODUCT((('CONTROL MASTER'!$S$2:$S$495=12)*('CONTROL MASTER'!$T$2:$T$495&lt;=4)*('CONTROL MASTER'!$V$2:$V$495&gt;=4)*('CONTROL MASTER'!$U$2:$U$495&lt;=2)*('CONTROL MASTER'!$W$2:$W$495&gt;=2))*ROW('CONTROL MASTER'!$S$2:$S$495))-(ROW('CONTROL MASTER'!#REF!)-1))),":",","),",",REPT(" ",50)),((((4-INDEX('CONTROL MASTER'!$T$2:$T$495,(SUMPRODUCT((('CONTROL MASTER'!$S$2:$S$495=12)*('CONTROL MASTER'!$T$2:$T$495&lt;=4)*('CONTROL MASTER'!$V$2:$V$495&gt;=4)*('CONTROL MASTER'!$U$2:$U$495&lt;=2)*('CONTROL MASTER'!$W$2:$W$495&gt;=2))*ROW('CONTROL MASTER'!$S$2:$S$495))-(ROW('CONTROL MASTER'!#REF!)-1))))*(INDEX('CONTROL MASTER'!$W$2:$W$495,(SUMPRODUCT((('CONTROL MASTER'!$S$2:$S$495=12)*('CONTROL MASTER'!$T$2:$T$495&lt;=4)*('CONTROL MASTER'!$V$2:$V$495&gt;=4)*('CONTROL MASTER'!$U$2:$U$495&lt;=2)*('CONTROL MASTER'!$W$2:$W$495&gt;=2))*ROW('CONTROL MASTER'!$S$2:$S$495))-(ROW('CONTROL MASTER'!#REF!)-1)))-INDEX('CONTROL MASTER'!$U$2:$U$495,(SUMPRODUCT((('CONTROL MASTER'!$S$2:$S$495=12)*('CONTROL MASTER'!$T$2:$T$495&lt;=4)*('CONTROL MASTER'!$V$2:$V$495&gt;=4)*('CONTROL MASTER'!$U$2:$U$495&lt;=2)*('CONTROL MASTER'!$W$2:$W$495&gt;=2))*ROW('CONTROL MASTER'!$S$2:$S$495))-(ROW('CONTROL MASTER'!#REF!)-1)))+1)+(2-INDEX('CONTROL MASTER'!$U$2:$U$495,(SUMPRODUCT((('CONTROL MASTER'!$S$2:$S$495=12)*('CONTROL MASTER'!$T$2:$T$495&lt;=4)*('CONTROL MASTER'!$V$2:$V$495&gt;=4)*('CONTROL MASTER'!$U$2:$U$495&lt;=2)*('CONTROL MASTER'!$W$2:$W$495&gt;=2))*ROW('CONTROL MASTER'!$S$2:$S$495))-(ROW('CONTROL MASTER'!#REF!)-1))))+1))-1)*50+1,50))&amp;"_"&amp;INDEX('CONTROL MASTER'!$P$2:$P$495,(SUMPRODUCT((('CONTROL MASTER'!$S$2:$S$495=12)*('CONTROL MASTER'!$T$2:$T$495&lt;=4)*('CONTROL MASTER'!$V$2:$V$495&gt;=4)*('CONTROL MASTER'!$U$2:$U$495&lt;=2)*('CONTROL MASTER'!$W$2:$W$495&gt;=2))*ROW('CONTROL MASTER'!$S$2:$S$495))-(ROW('CONTROL MASTER'!#REF!)-1))),IF(SUMPRODUCT((('CONTROL MASTER'!$S$2:$S$495=12)*('CONTROL MASTER'!$Z$2:$Z$495&lt;=4)*('CONTROL MASTER'!$AB$2:$AB$495&gt;=4)*('CONTROL MASTER'!$AA$2:$AA$495&lt;=2)*('CONTROL MASTER'!$AC$2:$AC$495&gt;=2))*ROW('CONTROL MASTER'!$S$2:$S$495))&gt;0,INDEX('CONTROL MASTER'!$X$2:$X$495,(SUMPRODUCT((('CONTROL MASTER'!$S$2:$S$495=12)*('CONTROL MASTER'!$Z$2:$Z$495&lt;=4)*('CONTROL MASTER'!$AB$2:$AB$495&gt;=4)*('CONTROL MASTER'!$AA$2:$AA$495&lt;=2)*('CONTROL MASTER'!$AC$2:$AC$495&gt;=2))*ROW('CONTROL MASTER'!$S$2:$S$495))-(ROW('CONTROL MASTER'!#REF!)-1)))&amp;TRIM(MID(SUBSTITUTE(SUBSTITUTE(INDEX('CONTROL MASTER'!$N$2:$N$495,(SUMPRODUCT((('CONTROL MASTER'!$S$2:$S$495=12)*('CONTROL MASTER'!$Z$2:$Z$495&lt;=4)*('CONTROL MASTER'!$AB$2:$AB$495&gt;=4)*('CONTROL MASTER'!$AA$2:$AA$495&lt;=2)*('CONTROL MASTER'!$AC$2:$AC$495&gt;=2))*ROW('CONTROL MASTER'!$S$2:$S$495))-(ROW('CONTROL MASTER'!#REF!)-1))),":",","),",",REPT(" ",50)),(((INDEX('CONTROL MASTER'!$Y$2:$Y$495,(SUMPRODUCT((('CONTROL MASTER'!$S$2:$S$495=12)*('CONTROL MASTER'!$Z$2:$Z$495&lt;=4)*('CONTROL MASTER'!$AB$2:$AB$495&gt;=4)*('CONTROL MASTER'!$AA$2:$AA$495&lt;=2)*('CONTROL MASTER'!$AC$2:$AC$495&gt;=2))*ROW('CONTROL MASTER'!$S$2:$S$495))-(ROW('CONTROL MASTER'!#REF!)-1)))+((4-INDEX('CONTROL MASTER'!$Z$2:$Z$495,(SUMPRODUCT((('CONTROL MASTER'!$S$2:$S$495=12)*('CONTROL MASTER'!$Z$2:$Z$495&lt;=4)*('CONTROL MASTER'!$AB$2:$AB$495&gt;=4)*('CONTROL MASTER'!$AA$2:$AA$495&lt;=2)*('CONTROL MASTER'!$AC$2:$AC$495&gt;=2))*ROW('CONTROL MASTER'!$S$2:$S$495))-(ROW('CONTROL MASTER'!#REF!)-1))))*(INDEX('CONTROL MASTER'!$AC$2:$AC$495,(SUMPRODUCT((('CONTROL MASTER'!$S$2:$S$495=12)*('CONTROL MASTER'!$Z$2:$Z$495&lt;=4)*('CONTROL MASTER'!$AB$2:$AB$495&gt;=4)*('CONTROL MASTER'!$AA$2:$AA$495&lt;=2)*('CONTROL MASTER'!$AC$2:$AC$495&gt;=2))*ROW('CONTROL MASTER'!$S$2:$S$495))-(ROW('CONTROL MASTER'!#REF!)-1)))-INDEX('CONTROL MASTER'!$AA$2:$AA$495,(SUMPRODUCT((('CONTROL MASTER'!$S$2:$S$495=12)*('CONTROL MASTER'!$Z$2:$Z$495&lt;=4)*('CONTROL MASTER'!$AB$2:$AB$495&gt;=4)*('CONTROL MASTER'!$AA$2:$AA$495&lt;=2)*('CONTROL MASTER'!$AC$2:$AC$495&gt;=2))*ROW('CONTROL MASTER'!$S$2:$S$495))-(ROW('CONTROL MASTER'!#REF!)-1)))+1)+(2-INDEX('CONTROL MASTER'!$AA$2:$AA$495,(SUMPRODUCT((('CONTROL MASTER'!$S$2:$S$495=12)*('CONTROL MASTER'!$Z$2:$Z$495&lt;=4)*('CONTROL MASTER'!$AB$2:$AB$495&gt;=4)*('CONTROL MASTER'!$AA$2:$AA$495&lt;=2)*('CONTROL MASTER'!$AC$2:$AC$495&gt;=2))*ROW('CONTROL MASTER'!$S$2:$S$495))-(ROW('CONTROL MASTER'!#REF!)-1))))+1)))-1)*50+1,50))&amp;"_"&amp;INDEX('CONTROL MASTER'!$P$2:$P$495,(SUMPRODUCT((('CONTROL MASTER'!$S$2:$S$495=12)*('CONTROL MASTER'!$Z$2:$Z$495&lt;=4)*('CONTROL MASTER'!$AB$2:$AB$495&gt;=4)*('CONTROL MASTER'!$AA$2:$AA$495&lt;=2)*('CONTROL MASTER'!$AC$2:$AC$495&gt;=2))*ROW('CONTROL MASTER'!$S$2:$S$495))-(ROW('CONTROL MASTER'!#REF!)-1))),"")),"")</f>
        <v/>
      </c>
      <c r="D160" s="10" t="str">
        <f>IFERROR(IF(SUMPRODUCT((('CONTROL MASTER'!$S$2:$S$495=12)*('CONTROL MASTER'!$T$2:$T$495&lt;=4)*('CONTROL MASTER'!$V$2:$V$495&gt;=4)*('CONTROL MASTER'!$U$2:$U$495&lt;=3)*('CONTROL MASTER'!$W$2:$W$495&gt;=3))*ROW('CONTROL MASTER'!$S$2:$S$495))&gt;0,INDEX('CONTROL MASTER'!$X$2:$X$495,(SUMPRODUCT((('CONTROL MASTER'!$S$2:$S$495=12)*('CONTROL MASTER'!$T$2:$T$495&lt;=4)*('CONTROL MASTER'!$V$2:$V$495&gt;=4)*('CONTROL MASTER'!$U$2:$U$495&lt;=3)*('CONTROL MASTER'!$W$2:$W$495&gt;=3))*ROW('CONTROL MASTER'!$S$2:$S$495))-(ROW('CONTROL MASTER'!#REF!)-1)))&amp;TRIM(MID(SUBSTITUTE(SUBSTITUTE(INDEX('CONTROL MASTER'!$N$2:$N$495,(SUMPRODUCT((('CONTROL MASTER'!$S$2:$S$495=12)*('CONTROL MASTER'!$T$2:$T$495&lt;=4)*('CONTROL MASTER'!$V$2:$V$495&gt;=4)*('CONTROL MASTER'!$U$2:$U$495&lt;=3)*('CONTROL MASTER'!$W$2:$W$495&gt;=3))*ROW('CONTROL MASTER'!$S$2:$S$495))-(ROW('CONTROL MASTER'!#REF!)-1))),":",","),",",REPT(" ",50)),((((4-INDEX('CONTROL MASTER'!$T$2:$T$495,(SUMPRODUCT((('CONTROL MASTER'!$S$2:$S$495=12)*('CONTROL MASTER'!$T$2:$T$495&lt;=4)*('CONTROL MASTER'!$V$2:$V$495&gt;=4)*('CONTROL MASTER'!$U$2:$U$495&lt;=3)*('CONTROL MASTER'!$W$2:$W$495&gt;=3))*ROW('CONTROL MASTER'!$S$2:$S$495))-(ROW('CONTROL MASTER'!#REF!)-1))))*(INDEX('CONTROL MASTER'!$W$2:$W$495,(SUMPRODUCT((('CONTROL MASTER'!$S$2:$S$495=12)*('CONTROL MASTER'!$T$2:$T$495&lt;=4)*('CONTROL MASTER'!$V$2:$V$495&gt;=4)*('CONTROL MASTER'!$U$2:$U$495&lt;=3)*('CONTROL MASTER'!$W$2:$W$495&gt;=3))*ROW('CONTROL MASTER'!$S$2:$S$495))-(ROW('CONTROL MASTER'!#REF!)-1)))-INDEX('CONTROL MASTER'!$U$2:$U$495,(SUMPRODUCT((('CONTROL MASTER'!$S$2:$S$495=12)*('CONTROL MASTER'!$T$2:$T$495&lt;=4)*('CONTROL MASTER'!$V$2:$V$495&gt;=4)*('CONTROL MASTER'!$U$2:$U$495&lt;=3)*('CONTROL MASTER'!$W$2:$W$495&gt;=3))*ROW('CONTROL MASTER'!$S$2:$S$495))-(ROW('CONTROL MASTER'!#REF!)-1)))+1)+(3-INDEX('CONTROL MASTER'!$U$2:$U$495,(SUMPRODUCT((('CONTROL MASTER'!$S$2:$S$495=12)*('CONTROL MASTER'!$T$2:$T$495&lt;=4)*('CONTROL MASTER'!$V$2:$V$495&gt;=4)*('CONTROL MASTER'!$U$2:$U$495&lt;=3)*('CONTROL MASTER'!$W$2:$W$495&gt;=3))*ROW('CONTROL MASTER'!$S$2:$S$495))-(ROW('CONTROL MASTER'!#REF!)-1))))+1))-1)*50+1,50))&amp;"_"&amp;INDEX('CONTROL MASTER'!$P$2:$P$495,(SUMPRODUCT((('CONTROL MASTER'!$S$2:$S$495=12)*('CONTROL MASTER'!$T$2:$T$495&lt;=4)*('CONTROL MASTER'!$V$2:$V$495&gt;=4)*('CONTROL MASTER'!$U$2:$U$495&lt;=3)*('CONTROL MASTER'!$W$2:$W$495&gt;=3))*ROW('CONTROL MASTER'!$S$2:$S$495))-(ROW('CONTROL MASTER'!#REF!)-1))),IF(SUMPRODUCT((('CONTROL MASTER'!$S$2:$S$495=12)*('CONTROL MASTER'!$Z$2:$Z$495&lt;=4)*('CONTROL MASTER'!$AB$2:$AB$495&gt;=4)*('CONTROL MASTER'!$AA$2:$AA$495&lt;=3)*('CONTROL MASTER'!$AC$2:$AC$495&gt;=3))*ROW('CONTROL MASTER'!$S$2:$S$495))&gt;0,INDEX('CONTROL MASTER'!$X$2:$X$495,(SUMPRODUCT((('CONTROL MASTER'!$S$2:$S$495=12)*('CONTROL MASTER'!$Z$2:$Z$495&lt;=4)*('CONTROL MASTER'!$AB$2:$AB$495&gt;=4)*('CONTROL MASTER'!$AA$2:$AA$495&lt;=3)*('CONTROL MASTER'!$AC$2:$AC$495&gt;=3))*ROW('CONTROL MASTER'!$S$2:$S$495))-(ROW('CONTROL MASTER'!#REF!)-1)))&amp;TRIM(MID(SUBSTITUTE(SUBSTITUTE(INDEX('CONTROL MASTER'!$N$2:$N$495,(SUMPRODUCT((('CONTROL MASTER'!$S$2:$S$495=12)*('CONTROL MASTER'!$Z$2:$Z$495&lt;=4)*('CONTROL MASTER'!$AB$2:$AB$495&gt;=4)*('CONTROL MASTER'!$AA$2:$AA$495&lt;=3)*('CONTROL MASTER'!$AC$2:$AC$495&gt;=3))*ROW('CONTROL MASTER'!$S$2:$S$495))-(ROW('CONTROL MASTER'!#REF!)-1))),":",","),",",REPT(" ",50)),(((INDEX('CONTROL MASTER'!$Y$2:$Y$495,(SUMPRODUCT((('CONTROL MASTER'!$S$2:$S$495=12)*('CONTROL MASTER'!$Z$2:$Z$495&lt;=4)*('CONTROL MASTER'!$AB$2:$AB$495&gt;=4)*('CONTROL MASTER'!$AA$2:$AA$495&lt;=3)*('CONTROL MASTER'!$AC$2:$AC$495&gt;=3))*ROW('CONTROL MASTER'!$S$2:$S$495))-(ROW('CONTROL MASTER'!#REF!)-1)))+((4-INDEX('CONTROL MASTER'!$Z$2:$Z$495,(SUMPRODUCT((('CONTROL MASTER'!$S$2:$S$495=12)*('CONTROL MASTER'!$Z$2:$Z$495&lt;=4)*('CONTROL MASTER'!$AB$2:$AB$495&gt;=4)*('CONTROL MASTER'!$AA$2:$AA$495&lt;=3)*('CONTROL MASTER'!$AC$2:$AC$495&gt;=3))*ROW('CONTROL MASTER'!$S$2:$S$495))-(ROW('CONTROL MASTER'!#REF!)-1))))*(INDEX('CONTROL MASTER'!$AC$2:$AC$495,(SUMPRODUCT((('CONTROL MASTER'!$S$2:$S$495=12)*('CONTROL MASTER'!$Z$2:$Z$495&lt;=4)*('CONTROL MASTER'!$AB$2:$AB$495&gt;=4)*('CONTROL MASTER'!$AA$2:$AA$495&lt;=3)*('CONTROL MASTER'!$AC$2:$AC$495&gt;=3))*ROW('CONTROL MASTER'!$S$2:$S$495))-(ROW('CONTROL MASTER'!#REF!)-1)))-INDEX('CONTROL MASTER'!$AA$2:$AA$495,(SUMPRODUCT((('CONTROL MASTER'!$S$2:$S$495=12)*('CONTROL MASTER'!$Z$2:$Z$495&lt;=4)*('CONTROL MASTER'!$AB$2:$AB$495&gt;=4)*('CONTROL MASTER'!$AA$2:$AA$495&lt;=3)*('CONTROL MASTER'!$AC$2:$AC$495&gt;=3))*ROW('CONTROL MASTER'!$S$2:$S$495))-(ROW('CONTROL MASTER'!#REF!)-1)))+1)+(3-INDEX('CONTROL MASTER'!$AA$2:$AA$495,(SUMPRODUCT((('CONTROL MASTER'!$S$2:$S$495=12)*('CONTROL MASTER'!$Z$2:$Z$495&lt;=4)*('CONTROL MASTER'!$AB$2:$AB$495&gt;=4)*('CONTROL MASTER'!$AA$2:$AA$495&lt;=3)*('CONTROL MASTER'!$AC$2:$AC$495&gt;=3))*ROW('CONTROL MASTER'!$S$2:$S$495))-(ROW('CONTROL MASTER'!#REF!)-1))))+1)))-1)*50+1,50))&amp;"_"&amp;INDEX('CONTROL MASTER'!$P$2:$P$495,(SUMPRODUCT((('CONTROL MASTER'!$S$2:$S$495=12)*('CONTROL MASTER'!$Z$2:$Z$495&lt;=4)*('CONTROL MASTER'!$AB$2:$AB$495&gt;=4)*('CONTROL MASTER'!$AA$2:$AA$495&lt;=3)*('CONTROL MASTER'!$AC$2:$AC$495&gt;=3))*ROW('CONTROL MASTER'!$S$2:$S$495))-(ROW('CONTROL MASTER'!#REF!)-1))),"")),"")</f>
        <v/>
      </c>
      <c r="E160" s="10" t="str">
        <f>IFERROR(IF(SUMPRODUCT((('CONTROL MASTER'!$S$2:$S$495=12)*('CONTROL MASTER'!$T$2:$T$495&lt;=4)*('CONTROL MASTER'!$V$2:$V$495&gt;=4)*('CONTROL MASTER'!$U$2:$U$495&lt;=4)*('CONTROL MASTER'!$W$2:$W$495&gt;=4))*ROW('CONTROL MASTER'!$S$2:$S$495))&gt;0,INDEX('CONTROL MASTER'!$X$2:$X$495,(SUMPRODUCT((('CONTROL MASTER'!$S$2:$S$495=12)*('CONTROL MASTER'!$T$2:$T$495&lt;=4)*('CONTROL MASTER'!$V$2:$V$495&gt;=4)*('CONTROL MASTER'!$U$2:$U$495&lt;=4)*('CONTROL MASTER'!$W$2:$W$495&gt;=4))*ROW('CONTROL MASTER'!$S$2:$S$495))-(ROW('CONTROL MASTER'!#REF!)-1)))&amp;TRIM(MID(SUBSTITUTE(SUBSTITUTE(INDEX('CONTROL MASTER'!$N$2:$N$495,(SUMPRODUCT((('CONTROL MASTER'!$S$2:$S$495=12)*('CONTROL MASTER'!$T$2:$T$495&lt;=4)*('CONTROL MASTER'!$V$2:$V$495&gt;=4)*('CONTROL MASTER'!$U$2:$U$495&lt;=4)*('CONTROL MASTER'!$W$2:$W$495&gt;=4))*ROW('CONTROL MASTER'!$S$2:$S$495))-(ROW('CONTROL MASTER'!#REF!)-1))),":",","),",",REPT(" ",50)),((((4-INDEX('CONTROL MASTER'!$T$2:$T$495,(SUMPRODUCT((('CONTROL MASTER'!$S$2:$S$495=12)*('CONTROL MASTER'!$T$2:$T$495&lt;=4)*('CONTROL MASTER'!$V$2:$V$495&gt;=4)*('CONTROL MASTER'!$U$2:$U$495&lt;=4)*('CONTROL MASTER'!$W$2:$W$495&gt;=4))*ROW('CONTROL MASTER'!$S$2:$S$495))-(ROW('CONTROL MASTER'!#REF!)-1))))*(INDEX('CONTROL MASTER'!$W$2:$W$495,(SUMPRODUCT((('CONTROL MASTER'!$S$2:$S$495=12)*('CONTROL MASTER'!$T$2:$T$495&lt;=4)*('CONTROL MASTER'!$V$2:$V$495&gt;=4)*('CONTROL MASTER'!$U$2:$U$495&lt;=4)*('CONTROL MASTER'!$W$2:$W$495&gt;=4))*ROW('CONTROL MASTER'!$S$2:$S$495))-(ROW('CONTROL MASTER'!#REF!)-1)))-INDEX('CONTROL MASTER'!$U$2:$U$495,(SUMPRODUCT((('CONTROL MASTER'!$S$2:$S$495=12)*('CONTROL MASTER'!$T$2:$T$495&lt;=4)*('CONTROL MASTER'!$V$2:$V$495&gt;=4)*('CONTROL MASTER'!$U$2:$U$495&lt;=4)*('CONTROL MASTER'!$W$2:$W$495&gt;=4))*ROW('CONTROL MASTER'!$S$2:$S$495))-(ROW('CONTROL MASTER'!#REF!)-1)))+1)+(4-INDEX('CONTROL MASTER'!$U$2:$U$495,(SUMPRODUCT((('CONTROL MASTER'!$S$2:$S$495=12)*('CONTROL MASTER'!$T$2:$T$495&lt;=4)*('CONTROL MASTER'!$V$2:$V$495&gt;=4)*('CONTROL MASTER'!$U$2:$U$495&lt;=4)*('CONTROL MASTER'!$W$2:$W$495&gt;=4))*ROW('CONTROL MASTER'!$S$2:$S$495))-(ROW('CONTROL MASTER'!#REF!)-1))))+1))-1)*50+1,50))&amp;"_"&amp;INDEX('CONTROL MASTER'!$P$2:$P$495,(SUMPRODUCT((('CONTROL MASTER'!$S$2:$S$495=12)*('CONTROL MASTER'!$T$2:$T$495&lt;=4)*('CONTROL MASTER'!$V$2:$V$495&gt;=4)*('CONTROL MASTER'!$U$2:$U$495&lt;=4)*('CONTROL MASTER'!$W$2:$W$495&gt;=4))*ROW('CONTROL MASTER'!$S$2:$S$495))-(ROW('CONTROL MASTER'!#REF!)-1))),IF(SUMPRODUCT((('CONTROL MASTER'!$S$2:$S$495=12)*('CONTROL MASTER'!$Z$2:$Z$495&lt;=4)*('CONTROL MASTER'!$AB$2:$AB$495&gt;=4)*('CONTROL MASTER'!$AA$2:$AA$495&lt;=4)*('CONTROL MASTER'!$AC$2:$AC$495&gt;=4))*ROW('CONTROL MASTER'!$S$2:$S$495))&gt;0,INDEX('CONTROL MASTER'!$X$2:$X$495,(SUMPRODUCT((('CONTROL MASTER'!$S$2:$S$495=12)*('CONTROL MASTER'!$Z$2:$Z$495&lt;=4)*('CONTROL MASTER'!$AB$2:$AB$495&gt;=4)*('CONTROL MASTER'!$AA$2:$AA$495&lt;=4)*('CONTROL MASTER'!$AC$2:$AC$495&gt;=4))*ROW('CONTROL MASTER'!$S$2:$S$495))-(ROW('CONTROL MASTER'!#REF!)-1)))&amp;TRIM(MID(SUBSTITUTE(SUBSTITUTE(INDEX('CONTROL MASTER'!$N$2:$N$495,(SUMPRODUCT((('CONTROL MASTER'!$S$2:$S$495=12)*('CONTROL MASTER'!$Z$2:$Z$495&lt;=4)*('CONTROL MASTER'!$AB$2:$AB$495&gt;=4)*('CONTROL MASTER'!$AA$2:$AA$495&lt;=4)*('CONTROL MASTER'!$AC$2:$AC$495&gt;=4))*ROW('CONTROL MASTER'!$S$2:$S$495))-(ROW('CONTROL MASTER'!#REF!)-1))),":",","),",",REPT(" ",50)),(((INDEX('CONTROL MASTER'!$Y$2:$Y$495,(SUMPRODUCT((('CONTROL MASTER'!$S$2:$S$495=12)*('CONTROL MASTER'!$Z$2:$Z$495&lt;=4)*('CONTROL MASTER'!$AB$2:$AB$495&gt;=4)*('CONTROL MASTER'!$AA$2:$AA$495&lt;=4)*('CONTROL MASTER'!$AC$2:$AC$495&gt;=4))*ROW('CONTROL MASTER'!$S$2:$S$495))-(ROW('CONTROL MASTER'!#REF!)-1)))+((4-INDEX('CONTROL MASTER'!$Z$2:$Z$495,(SUMPRODUCT((('CONTROL MASTER'!$S$2:$S$495=12)*('CONTROL MASTER'!$Z$2:$Z$495&lt;=4)*('CONTROL MASTER'!$AB$2:$AB$495&gt;=4)*('CONTROL MASTER'!$AA$2:$AA$495&lt;=4)*('CONTROL MASTER'!$AC$2:$AC$495&gt;=4))*ROW('CONTROL MASTER'!$S$2:$S$495))-(ROW('CONTROL MASTER'!#REF!)-1))))*(INDEX('CONTROL MASTER'!$AC$2:$AC$495,(SUMPRODUCT((('CONTROL MASTER'!$S$2:$S$495=12)*('CONTROL MASTER'!$Z$2:$Z$495&lt;=4)*('CONTROL MASTER'!$AB$2:$AB$495&gt;=4)*('CONTROL MASTER'!$AA$2:$AA$495&lt;=4)*('CONTROL MASTER'!$AC$2:$AC$495&gt;=4))*ROW('CONTROL MASTER'!$S$2:$S$495))-(ROW('CONTROL MASTER'!#REF!)-1)))-INDEX('CONTROL MASTER'!$AA$2:$AA$495,(SUMPRODUCT((('CONTROL MASTER'!$S$2:$S$495=12)*('CONTROL MASTER'!$Z$2:$Z$495&lt;=4)*('CONTROL MASTER'!$AB$2:$AB$495&gt;=4)*('CONTROL MASTER'!$AA$2:$AA$495&lt;=4)*('CONTROL MASTER'!$AC$2:$AC$495&gt;=4))*ROW('CONTROL MASTER'!$S$2:$S$495))-(ROW('CONTROL MASTER'!#REF!)-1)))+1)+(4-INDEX('CONTROL MASTER'!$AA$2:$AA$495,(SUMPRODUCT((('CONTROL MASTER'!$S$2:$S$495=12)*('CONTROL MASTER'!$Z$2:$Z$495&lt;=4)*('CONTROL MASTER'!$AB$2:$AB$495&gt;=4)*('CONTROL MASTER'!$AA$2:$AA$495&lt;=4)*('CONTROL MASTER'!$AC$2:$AC$495&gt;=4))*ROW('CONTROL MASTER'!$S$2:$S$495))-(ROW('CONTROL MASTER'!#REF!)-1))))+1)))-1)*50+1,50))&amp;"_"&amp;INDEX('CONTROL MASTER'!$P$2:$P$495,(SUMPRODUCT((('CONTROL MASTER'!$S$2:$S$495=12)*('CONTROL MASTER'!$Z$2:$Z$495&lt;=4)*('CONTROL MASTER'!$AB$2:$AB$495&gt;=4)*('CONTROL MASTER'!$AA$2:$AA$495&lt;=4)*('CONTROL MASTER'!$AC$2:$AC$495&gt;=4))*ROW('CONTROL MASTER'!$S$2:$S$495))-(ROW('CONTROL MASTER'!#REF!)-1))),"")),"")</f>
        <v/>
      </c>
      <c r="F160" s="10" t="str">
        <f>IFERROR(IF(SUMPRODUCT((('CONTROL MASTER'!$S$2:$S$495=12)*('CONTROL MASTER'!$T$2:$T$495&lt;=4)*('CONTROL MASTER'!$V$2:$V$495&gt;=4)*('CONTROL MASTER'!$U$2:$U$495&lt;=5)*('CONTROL MASTER'!$W$2:$W$495&gt;=5))*ROW('CONTROL MASTER'!$S$2:$S$495))&gt;0,INDEX('CONTROL MASTER'!$X$2:$X$495,(SUMPRODUCT((('CONTROL MASTER'!$S$2:$S$495=12)*('CONTROL MASTER'!$T$2:$T$495&lt;=4)*('CONTROL MASTER'!$V$2:$V$495&gt;=4)*('CONTROL MASTER'!$U$2:$U$495&lt;=5)*('CONTROL MASTER'!$W$2:$W$495&gt;=5))*ROW('CONTROL MASTER'!$S$2:$S$495))-(ROW('CONTROL MASTER'!#REF!)-1)))&amp;TRIM(MID(SUBSTITUTE(SUBSTITUTE(INDEX('CONTROL MASTER'!$N$2:$N$495,(SUMPRODUCT((('CONTROL MASTER'!$S$2:$S$495=12)*('CONTROL MASTER'!$T$2:$T$495&lt;=4)*('CONTROL MASTER'!$V$2:$V$495&gt;=4)*('CONTROL MASTER'!$U$2:$U$495&lt;=5)*('CONTROL MASTER'!$W$2:$W$495&gt;=5))*ROW('CONTROL MASTER'!$S$2:$S$495))-(ROW('CONTROL MASTER'!#REF!)-1))),":",","),",",REPT(" ",50)),((((4-INDEX('CONTROL MASTER'!$T$2:$T$495,(SUMPRODUCT((('CONTROL MASTER'!$S$2:$S$495=12)*('CONTROL MASTER'!$T$2:$T$495&lt;=4)*('CONTROL MASTER'!$V$2:$V$495&gt;=4)*('CONTROL MASTER'!$U$2:$U$495&lt;=5)*('CONTROL MASTER'!$W$2:$W$495&gt;=5))*ROW('CONTROL MASTER'!$S$2:$S$495))-(ROW('CONTROL MASTER'!#REF!)-1))))*(INDEX('CONTROL MASTER'!$W$2:$W$495,(SUMPRODUCT((('CONTROL MASTER'!$S$2:$S$495=12)*('CONTROL MASTER'!$T$2:$T$495&lt;=4)*('CONTROL MASTER'!$V$2:$V$495&gt;=4)*('CONTROL MASTER'!$U$2:$U$495&lt;=5)*('CONTROL MASTER'!$W$2:$W$495&gt;=5))*ROW('CONTROL MASTER'!$S$2:$S$495))-(ROW('CONTROL MASTER'!#REF!)-1)))-INDEX('CONTROL MASTER'!$U$2:$U$495,(SUMPRODUCT((('CONTROL MASTER'!$S$2:$S$495=12)*('CONTROL MASTER'!$T$2:$T$495&lt;=4)*('CONTROL MASTER'!$V$2:$V$495&gt;=4)*('CONTROL MASTER'!$U$2:$U$495&lt;=5)*('CONTROL MASTER'!$W$2:$W$495&gt;=5))*ROW('CONTROL MASTER'!$S$2:$S$495))-(ROW('CONTROL MASTER'!#REF!)-1)))+1)+(5-INDEX('CONTROL MASTER'!$U$2:$U$495,(SUMPRODUCT((('CONTROL MASTER'!$S$2:$S$495=12)*('CONTROL MASTER'!$T$2:$T$495&lt;=4)*('CONTROL MASTER'!$V$2:$V$495&gt;=4)*('CONTROL MASTER'!$U$2:$U$495&lt;=5)*('CONTROL MASTER'!$W$2:$W$495&gt;=5))*ROW('CONTROL MASTER'!$S$2:$S$495))-(ROW('CONTROL MASTER'!#REF!)-1))))+1))-1)*50+1,50))&amp;"_"&amp;INDEX('CONTROL MASTER'!$P$2:$P$495,(SUMPRODUCT((('CONTROL MASTER'!$S$2:$S$495=12)*('CONTROL MASTER'!$T$2:$T$495&lt;=4)*('CONTROL MASTER'!$V$2:$V$495&gt;=4)*('CONTROL MASTER'!$U$2:$U$495&lt;=5)*('CONTROL MASTER'!$W$2:$W$495&gt;=5))*ROW('CONTROL MASTER'!$S$2:$S$495))-(ROW('CONTROL MASTER'!#REF!)-1))),IF(SUMPRODUCT((('CONTROL MASTER'!$S$2:$S$495=12)*('CONTROL MASTER'!$Z$2:$Z$495&lt;=4)*('CONTROL MASTER'!$AB$2:$AB$495&gt;=4)*('CONTROL MASTER'!$AA$2:$AA$495&lt;=5)*('CONTROL MASTER'!$AC$2:$AC$495&gt;=5))*ROW('CONTROL MASTER'!$S$2:$S$495))&gt;0,INDEX('CONTROL MASTER'!$X$2:$X$495,(SUMPRODUCT((('CONTROL MASTER'!$S$2:$S$495=12)*('CONTROL MASTER'!$Z$2:$Z$495&lt;=4)*('CONTROL MASTER'!$AB$2:$AB$495&gt;=4)*('CONTROL MASTER'!$AA$2:$AA$495&lt;=5)*('CONTROL MASTER'!$AC$2:$AC$495&gt;=5))*ROW('CONTROL MASTER'!$S$2:$S$495))-(ROW('CONTROL MASTER'!#REF!)-1)))&amp;TRIM(MID(SUBSTITUTE(SUBSTITUTE(INDEX('CONTROL MASTER'!$N$2:$N$495,(SUMPRODUCT((('CONTROL MASTER'!$S$2:$S$495=12)*('CONTROL MASTER'!$Z$2:$Z$495&lt;=4)*('CONTROL MASTER'!$AB$2:$AB$495&gt;=4)*('CONTROL MASTER'!$AA$2:$AA$495&lt;=5)*('CONTROL MASTER'!$AC$2:$AC$495&gt;=5))*ROW('CONTROL MASTER'!$S$2:$S$495))-(ROW('CONTROL MASTER'!#REF!)-1))),":",","),",",REPT(" ",50)),(((INDEX('CONTROL MASTER'!$Y$2:$Y$495,(SUMPRODUCT((('CONTROL MASTER'!$S$2:$S$495=12)*('CONTROL MASTER'!$Z$2:$Z$495&lt;=4)*('CONTROL MASTER'!$AB$2:$AB$495&gt;=4)*('CONTROL MASTER'!$AA$2:$AA$495&lt;=5)*('CONTROL MASTER'!$AC$2:$AC$495&gt;=5))*ROW('CONTROL MASTER'!$S$2:$S$495))-(ROW('CONTROL MASTER'!#REF!)-1)))+((4-INDEX('CONTROL MASTER'!$Z$2:$Z$495,(SUMPRODUCT((('CONTROL MASTER'!$S$2:$S$495=12)*('CONTROL MASTER'!$Z$2:$Z$495&lt;=4)*('CONTROL MASTER'!$AB$2:$AB$495&gt;=4)*('CONTROL MASTER'!$AA$2:$AA$495&lt;=5)*('CONTROL MASTER'!$AC$2:$AC$495&gt;=5))*ROW('CONTROL MASTER'!$S$2:$S$495))-(ROW('CONTROL MASTER'!#REF!)-1))))*(INDEX('CONTROL MASTER'!$AC$2:$AC$495,(SUMPRODUCT((('CONTROL MASTER'!$S$2:$S$495=12)*('CONTROL MASTER'!$Z$2:$Z$495&lt;=4)*('CONTROL MASTER'!$AB$2:$AB$495&gt;=4)*('CONTROL MASTER'!$AA$2:$AA$495&lt;=5)*('CONTROL MASTER'!$AC$2:$AC$495&gt;=5))*ROW('CONTROL MASTER'!$S$2:$S$495))-(ROW('CONTROL MASTER'!#REF!)-1)))-INDEX('CONTROL MASTER'!$AA$2:$AA$495,(SUMPRODUCT((('CONTROL MASTER'!$S$2:$S$495=12)*('CONTROL MASTER'!$Z$2:$Z$495&lt;=4)*('CONTROL MASTER'!$AB$2:$AB$495&gt;=4)*('CONTROL MASTER'!$AA$2:$AA$495&lt;=5)*('CONTROL MASTER'!$AC$2:$AC$495&gt;=5))*ROW('CONTROL MASTER'!$S$2:$S$495))-(ROW('CONTROL MASTER'!#REF!)-1)))+1)+(5-INDEX('CONTROL MASTER'!$AA$2:$AA$495,(SUMPRODUCT((('CONTROL MASTER'!$S$2:$S$495=12)*('CONTROL MASTER'!$Z$2:$Z$495&lt;=4)*('CONTROL MASTER'!$AB$2:$AB$495&gt;=4)*('CONTROL MASTER'!$AA$2:$AA$495&lt;=5)*('CONTROL MASTER'!$AC$2:$AC$495&gt;=5))*ROW('CONTROL MASTER'!$S$2:$S$495))-(ROW('CONTROL MASTER'!#REF!)-1))))+1)))-1)*50+1,50))&amp;"_"&amp;INDEX('CONTROL MASTER'!$P$2:$P$495,(SUMPRODUCT((('CONTROL MASTER'!$S$2:$S$495=12)*('CONTROL MASTER'!$Z$2:$Z$495&lt;=4)*('CONTROL MASTER'!$AB$2:$AB$495&gt;=4)*('CONTROL MASTER'!$AA$2:$AA$495&lt;=5)*('CONTROL MASTER'!$AC$2:$AC$495&gt;=5))*ROW('CONTROL MASTER'!$S$2:$S$495))-(ROW('CONTROL MASTER'!#REF!)-1))),"")),"")</f>
        <v/>
      </c>
      <c r="G160" s="10" t="str">
        <f>IFERROR(IF(SUMPRODUCT((('CONTROL MASTER'!$S$2:$S$495=12)*('CONTROL MASTER'!$T$2:$T$495&lt;=4)*('CONTROL MASTER'!$V$2:$V$495&gt;=4)*('CONTROL MASTER'!$U$2:$U$495&lt;=6)*('CONTROL MASTER'!$W$2:$W$495&gt;=6))*ROW('CONTROL MASTER'!$S$2:$S$495))&gt;0,INDEX('CONTROL MASTER'!$X$2:$X$495,(SUMPRODUCT((('CONTROL MASTER'!$S$2:$S$495=12)*('CONTROL MASTER'!$T$2:$T$495&lt;=4)*('CONTROL MASTER'!$V$2:$V$495&gt;=4)*('CONTROL MASTER'!$U$2:$U$495&lt;=6)*('CONTROL MASTER'!$W$2:$W$495&gt;=6))*ROW('CONTROL MASTER'!$S$2:$S$495))-(ROW('CONTROL MASTER'!#REF!)-1)))&amp;TRIM(MID(SUBSTITUTE(SUBSTITUTE(INDEX('CONTROL MASTER'!$N$2:$N$495,(SUMPRODUCT((('CONTROL MASTER'!$S$2:$S$495=12)*('CONTROL MASTER'!$T$2:$T$495&lt;=4)*('CONTROL MASTER'!$V$2:$V$495&gt;=4)*('CONTROL MASTER'!$U$2:$U$495&lt;=6)*('CONTROL MASTER'!$W$2:$W$495&gt;=6))*ROW('CONTROL MASTER'!$S$2:$S$495))-(ROW('CONTROL MASTER'!#REF!)-1))),":",","),",",REPT(" ",50)),((((4-INDEX('CONTROL MASTER'!$T$2:$T$495,(SUMPRODUCT((('CONTROL MASTER'!$S$2:$S$495=12)*('CONTROL MASTER'!$T$2:$T$495&lt;=4)*('CONTROL MASTER'!$V$2:$V$495&gt;=4)*('CONTROL MASTER'!$U$2:$U$495&lt;=6)*('CONTROL MASTER'!$W$2:$W$495&gt;=6))*ROW('CONTROL MASTER'!$S$2:$S$495))-(ROW('CONTROL MASTER'!#REF!)-1))))*(INDEX('CONTROL MASTER'!$W$2:$W$495,(SUMPRODUCT((('CONTROL MASTER'!$S$2:$S$495=12)*('CONTROL MASTER'!$T$2:$T$495&lt;=4)*('CONTROL MASTER'!$V$2:$V$495&gt;=4)*('CONTROL MASTER'!$U$2:$U$495&lt;=6)*('CONTROL MASTER'!$W$2:$W$495&gt;=6))*ROW('CONTROL MASTER'!$S$2:$S$495))-(ROW('CONTROL MASTER'!#REF!)-1)))-INDEX('CONTROL MASTER'!$U$2:$U$495,(SUMPRODUCT((('CONTROL MASTER'!$S$2:$S$495=12)*('CONTROL MASTER'!$T$2:$T$495&lt;=4)*('CONTROL MASTER'!$V$2:$V$495&gt;=4)*('CONTROL MASTER'!$U$2:$U$495&lt;=6)*('CONTROL MASTER'!$W$2:$W$495&gt;=6))*ROW('CONTROL MASTER'!$S$2:$S$495))-(ROW('CONTROL MASTER'!#REF!)-1)))+1)+(6-INDEX('CONTROL MASTER'!$U$2:$U$495,(SUMPRODUCT((('CONTROL MASTER'!$S$2:$S$495=12)*('CONTROL MASTER'!$T$2:$T$495&lt;=4)*('CONTROL MASTER'!$V$2:$V$495&gt;=4)*('CONTROL MASTER'!$U$2:$U$495&lt;=6)*('CONTROL MASTER'!$W$2:$W$495&gt;=6))*ROW('CONTROL MASTER'!$S$2:$S$495))-(ROW('CONTROL MASTER'!#REF!)-1))))+1))-1)*50+1,50))&amp;"_"&amp;INDEX('CONTROL MASTER'!$P$2:$P$495,(SUMPRODUCT((('CONTROL MASTER'!$S$2:$S$495=12)*('CONTROL MASTER'!$T$2:$T$495&lt;=4)*('CONTROL MASTER'!$V$2:$V$495&gt;=4)*('CONTROL MASTER'!$U$2:$U$495&lt;=6)*('CONTROL MASTER'!$W$2:$W$495&gt;=6))*ROW('CONTROL MASTER'!$S$2:$S$495))-(ROW('CONTROL MASTER'!#REF!)-1))),IF(SUMPRODUCT((('CONTROL MASTER'!$S$2:$S$495=12)*('CONTROL MASTER'!$Z$2:$Z$495&lt;=4)*('CONTROL MASTER'!$AB$2:$AB$495&gt;=4)*('CONTROL MASTER'!$AA$2:$AA$495&lt;=6)*('CONTROL MASTER'!$AC$2:$AC$495&gt;=6))*ROW('CONTROL MASTER'!$S$2:$S$495))&gt;0,INDEX('CONTROL MASTER'!$X$2:$X$495,(SUMPRODUCT((('CONTROL MASTER'!$S$2:$S$495=12)*('CONTROL MASTER'!$Z$2:$Z$495&lt;=4)*('CONTROL MASTER'!$AB$2:$AB$495&gt;=4)*('CONTROL MASTER'!$AA$2:$AA$495&lt;=6)*('CONTROL MASTER'!$AC$2:$AC$495&gt;=6))*ROW('CONTROL MASTER'!$S$2:$S$495))-(ROW('CONTROL MASTER'!#REF!)-1)))&amp;TRIM(MID(SUBSTITUTE(SUBSTITUTE(INDEX('CONTROL MASTER'!$N$2:$N$495,(SUMPRODUCT((('CONTROL MASTER'!$S$2:$S$495=12)*('CONTROL MASTER'!$Z$2:$Z$495&lt;=4)*('CONTROL MASTER'!$AB$2:$AB$495&gt;=4)*('CONTROL MASTER'!$AA$2:$AA$495&lt;=6)*('CONTROL MASTER'!$AC$2:$AC$495&gt;=6))*ROW('CONTROL MASTER'!$S$2:$S$495))-(ROW('CONTROL MASTER'!#REF!)-1))),":",","),",",REPT(" ",50)),(((INDEX('CONTROL MASTER'!$Y$2:$Y$495,(SUMPRODUCT((('CONTROL MASTER'!$S$2:$S$495=12)*('CONTROL MASTER'!$Z$2:$Z$495&lt;=4)*('CONTROL MASTER'!$AB$2:$AB$495&gt;=4)*('CONTROL MASTER'!$AA$2:$AA$495&lt;=6)*('CONTROL MASTER'!$AC$2:$AC$495&gt;=6))*ROW('CONTROL MASTER'!$S$2:$S$495))-(ROW('CONTROL MASTER'!#REF!)-1)))+((4-INDEX('CONTROL MASTER'!$Z$2:$Z$495,(SUMPRODUCT((('CONTROL MASTER'!$S$2:$S$495=12)*('CONTROL MASTER'!$Z$2:$Z$495&lt;=4)*('CONTROL MASTER'!$AB$2:$AB$495&gt;=4)*('CONTROL MASTER'!$AA$2:$AA$495&lt;=6)*('CONTROL MASTER'!$AC$2:$AC$495&gt;=6))*ROW('CONTROL MASTER'!$S$2:$S$495))-(ROW('CONTROL MASTER'!#REF!)-1))))*(INDEX('CONTROL MASTER'!$AC$2:$AC$495,(SUMPRODUCT((('CONTROL MASTER'!$S$2:$S$495=12)*('CONTROL MASTER'!$Z$2:$Z$495&lt;=4)*('CONTROL MASTER'!$AB$2:$AB$495&gt;=4)*('CONTROL MASTER'!$AA$2:$AA$495&lt;=6)*('CONTROL MASTER'!$AC$2:$AC$495&gt;=6))*ROW('CONTROL MASTER'!$S$2:$S$495))-(ROW('CONTROL MASTER'!#REF!)-1)))-INDEX('CONTROL MASTER'!$AA$2:$AA$495,(SUMPRODUCT((('CONTROL MASTER'!$S$2:$S$495=12)*('CONTROL MASTER'!$Z$2:$Z$495&lt;=4)*('CONTROL MASTER'!$AB$2:$AB$495&gt;=4)*('CONTROL MASTER'!$AA$2:$AA$495&lt;=6)*('CONTROL MASTER'!$AC$2:$AC$495&gt;=6))*ROW('CONTROL MASTER'!$S$2:$S$495))-(ROW('CONTROL MASTER'!#REF!)-1)))+1)+(6-INDEX('CONTROL MASTER'!$AA$2:$AA$495,(SUMPRODUCT((('CONTROL MASTER'!$S$2:$S$495=12)*('CONTROL MASTER'!$Z$2:$Z$495&lt;=4)*('CONTROL MASTER'!$AB$2:$AB$495&gt;=4)*('CONTROL MASTER'!$AA$2:$AA$495&lt;=6)*('CONTROL MASTER'!$AC$2:$AC$495&gt;=6))*ROW('CONTROL MASTER'!$S$2:$S$495))-(ROW('CONTROL MASTER'!#REF!)-1))))+1)))-1)*50+1,50))&amp;"_"&amp;INDEX('CONTROL MASTER'!$P$2:$P$495,(SUMPRODUCT((('CONTROL MASTER'!$S$2:$S$495=12)*('CONTROL MASTER'!$Z$2:$Z$495&lt;=4)*('CONTROL MASTER'!$AB$2:$AB$495&gt;=4)*('CONTROL MASTER'!$AA$2:$AA$495&lt;=6)*('CONTROL MASTER'!$AC$2:$AC$495&gt;=6))*ROW('CONTROL MASTER'!$S$2:$S$495))-(ROW('CONTROL MASTER'!#REF!)-1))),"")),"")</f>
        <v/>
      </c>
      <c r="H160" s="10" t="str">
        <f>IFERROR(IF(SUMPRODUCT((('CONTROL MASTER'!$S$2:$S$495=12)*('CONTROL MASTER'!$T$2:$T$495&lt;=4)*('CONTROL MASTER'!$V$2:$V$495&gt;=4)*('CONTROL MASTER'!$U$2:$U$495&lt;=7)*('CONTROL MASTER'!$W$2:$W$495&gt;=7))*ROW('CONTROL MASTER'!$S$2:$S$495))&gt;0,INDEX('CONTROL MASTER'!$X$2:$X$495,(SUMPRODUCT((('CONTROL MASTER'!$S$2:$S$495=12)*('CONTROL MASTER'!$T$2:$T$495&lt;=4)*('CONTROL MASTER'!$V$2:$V$495&gt;=4)*('CONTROL MASTER'!$U$2:$U$495&lt;=7)*('CONTROL MASTER'!$W$2:$W$495&gt;=7))*ROW('CONTROL MASTER'!$S$2:$S$495))-(ROW('CONTROL MASTER'!#REF!)-1)))&amp;TRIM(MID(SUBSTITUTE(SUBSTITUTE(INDEX('CONTROL MASTER'!$N$2:$N$495,(SUMPRODUCT((('CONTROL MASTER'!$S$2:$S$495=12)*('CONTROL MASTER'!$T$2:$T$495&lt;=4)*('CONTROL MASTER'!$V$2:$V$495&gt;=4)*('CONTROL MASTER'!$U$2:$U$495&lt;=7)*('CONTROL MASTER'!$W$2:$W$495&gt;=7))*ROW('CONTROL MASTER'!$S$2:$S$495))-(ROW('CONTROL MASTER'!#REF!)-1))),":",","),",",REPT(" ",50)),((((4-INDEX('CONTROL MASTER'!$T$2:$T$495,(SUMPRODUCT((('CONTROL MASTER'!$S$2:$S$495=12)*('CONTROL MASTER'!$T$2:$T$495&lt;=4)*('CONTROL MASTER'!$V$2:$V$495&gt;=4)*('CONTROL MASTER'!$U$2:$U$495&lt;=7)*('CONTROL MASTER'!$W$2:$W$495&gt;=7))*ROW('CONTROL MASTER'!$S$2:$S$495))-(ROW('CONTROL MASTER'!#REF!)-1))))*(INDEX('CONTROL MASTER'!$W$2:$W$495,(SUMPRODUCT((('CONTROL MASTER'!$S$2:$S$495=12)*('CONTROL MASTER'!$T$2:$T$495&lt;=4)*('CONTROL MASTER'!$V$2:$V$495&gt;=4)*('CONTROL MASTER'!$U$2:$U$495&lt;=7)*('CONTROL MASTER'!$W$2:$W$495&gt;=7))*ROW('CONTROL MASTER'!$S$2:$S$495))-(ROW('CONTROL MASTER'!#REF!)-1)))-INDEX('CONTROL MASTER'!$U$2:$U$495,(SUMPRODUCT((('CONTROL MASTER'!$S$2:$S$495=12)*('CONTROL MASTER'!$T$2:$T$495&lt;=4)*('CONTROL MASTER'!$V$2:$V$495&gt;=4)*('CONTROL MASTER'!$U$2:$U$495&lt;=7)*('CONTROL MASTER'!$W$2:$W$495&gt;=7))*ROW('CONTROL MASTER'!$S$2:$S$495))-(ROW('CONTROL MASTER'!#REF!)-1)))+1)+(7-INDEX('CONTROL MASTER'!$U$2:$U$495,(SUMPRODUCT((('CONTROL MASTER'!$S$2:$S$495=12)*('CONTROL MASTER'!$T$2:$T$495&lt;=4)*('CONTROL MASTER'!$V$2:$V$495&gt;=4)*('CONTROL MASTER'!$U$2:$U$495&lt;=7)*('CONTROL MASTER'!$W$2:$W$495&gt;=7))*ROW('CONTROL MASTER'!$S$2:$S$495))-(ROW('CONTROL MASTER'!#REF!)-1))))+1))-1)*50+1,50))&amp;"_"&amp;INDEX('CONTROL MASTER'!$P$2:$P$495,(SUMPRODUCT((('CONTROL MASTER'!$S$2:$S$495=12)*('CONTROL MASTER'!$T$2:$T$495&lt;=4)*('CONTROL MASTER'!$V$2:$V$495&gt;=4)*('CONTROL MASTER'!$U$2:$U$495&lt;=7)*('CONTROL MASTER'!$W$2:$W$495&gt;=7))*ROW('CONTROL MASTER'!$S$2:$S$495))-(ROW('CONTROL MASTER'!#REF!)-1))),IF(SUMPRODUCT((('CONTROL MASTER'!$S$2:$S$495=12)*('CONTROL MASTER'!$Z$2:$Z$495&lt;=4)*('CONTROL MASTER'!$AB$2:$AB$495&gt;=4)*('CONTROL MASTER'!$AA$2:$AA$495&lt;=7)*('CONTROL MASTER'!$AC$2:$AC$495&gt;=7))*ROW('CONTROL MASTER'!$S$2:$S$495))&gt;0,INDEX('CONTROL MASTER'!$X$2:$X$495,(SUMPRODUCT((('CONTROL MASTER'!$S$2:$S$495=12)*('CONTROL MASTER'!$Z$2:$Z$495&lt;=4)*('CONTROL MASTER'!$AB$2:$AB$495&gt;=4)*('CONTROL MASTER'!$AA$2:$AA$495&lt;=7)*('CONTROL MASTER'!$AC$2:$AC$495&gt;=7))*ROW('CONTROL MASTER'!$S$2:$S$495))-(ROW('CONTROL MASTER'!#REF!)-1)))&amp;TRIM(MID(SUBSTITUTE(SUBSTITUTE(INDEX('CONTROL MASTER'!$N$2:$N$495,(SUMPRODUCT((('CONTROL MASTER'!$S$2:$S$495=12)*('CONTROL MASTER'!$Z$2:$Z$495&lt;=4)*('CONTROL MASTER'!$AB$2:$AB$495&gt;=4)*('CONTROL MASTER'!$AA$2:$AA$495&lt;=7)*('CONTROL MASTER'!$AC$2:$AC$495&gt;=7))*ROW('CONTROL MASTER'!$S$2:$S$495))-(ROW('CONTROL MASTER'!#REF!)-1))),":",","),",",REPT(" ",50)),(((INDEX('CONTROL MASTER'!$Y$2:$Y$495,(SUMPRODUCT((('CONTROL MASTER'!$S$2:$S$495=12)*('CONTROL MASTER'!$Z$2:$Z$495&lt;=4)*('CONTROL MASTER'!$AB$2:$AB$495&gt;=4)*('CONTROL MASTER'!$AA$2:$AA$495&lt;=7)*('CONTROL MASTER'!$AC$2:$AC$495&gt;=7))*ROW('CONTROL MASTER'!$S$2:$S$495))-(ROW('CONTROL MASTER'!#REF!)-1)))+((4-INDEX('CONTROL MASTER'!$Z$2:$Z$495,(SUMPRODUCT((('CONTROL MASTER'!$S$2:$S$495=12)*('CONTROL MASTER'!$Z$2:$Z$495&lt;=4)*('CONTROL MASTER'!$AB$2:$AB$495&gt;=4)*('CONTROL MASTER'!$AA$2:$AA$495&lt;=7)*('CONTROL MASTER'!$AC$2:$AC$495&gt;=7))*ROW('CONTROL MASTER'!$S$2:$S$495))-(ROW('CONTROL MASTER'!#REF!)-1))))*(INDEX('CONTROL MASTER'!$AC$2:$AC$495,(SUMPRODUCT((('CONTROL MASTER'!$S$2:$S$495=12)*('CONTROL MASTER'!$Z$2:$Z$495&lt;=4)*('CONTROL MASTER'!$AB$2:$AB$495&gt;=4)*('CONTROL MASTER'!$AA$2:$AA$495&lt;=7)*('CONTROL MASTER'!$AC$2:$AC$495&gt;=7))*ROW('CONTROL MASTER'!$S$2:$S$495))-(ROW('CONTROL MASTER'!#REF!)-1)))-INDEX('CONTROL MASTER'!$AA$2:$AA$495,(SUMPRODUCT((('CONTROL MASTER'!$S$2:$S$495=12)*('CONTROL MASTER'!$Z$2:$Z$495&lt;=4)*('CONTROL MASTER'!$AB$2:$AB$495&gt;=4)*('CONTROL MASTER'!$AA$2:$AA$495&lt;=7)*('CONTROL MASTER'!$AC$2:$AC$495&gt;=7))*ROW('CONTROL MASTER'!$S$2:$S$495))-(ROW('CONTROL MASTER'!#REF!)-1)))+1)+(7-INDEX('CONTROL MASTER'!$AA$2:$AA$495,(SUMPRODUCT((('CONTROL MASTER'!$S$2:$S$495=12)*('CONTROL MASTER'!$Z$2:$Z$495&lt;=4)*('CONTROL MASTER'!$AB$2:$AB$495&gt;=4)*('CONTROL MASTER'!$AA$2:$AA$495&lt;=7)*('CONTROL MASTER'!$AC$2:$AC$495&gt;=7))*ROW('CONTROL MASTER'!$S$2:$S$495))-(ROW('CONTROL MASTER'!#REF!)-1))))+1)))-1)*50+1,50))&amp;"_"&amp;INDEX('CONTROL MASTER'!$P$2:$P$495,(SUMPRODUCT((('CONTROL MASTER'!$S$2:$S$495=12)*('CONTROL MASTER'!$Z$2:$Z$495&lt;=4)*('CONTROL MASTER'!$AB$2:$AB$495&gt;=4)*('CONTROL MASTER'!$AA$2:$AA$495&lt;=7)*('CONTROL MASTER'!$AC$2:$AC$495&gt;=7))*ROW('CONTROL MASTER'!$S$2:$S$495))-(ROW('CONTROL MASTER'!#REF!)-1))),"")),"")</f>
        <v/>
      </c>
      <c r="I160" s="10" t="str">
        <f>IFERROR(IF(SUMPRODUCT((('CONTROL MASTER'!$S$2:$S$495=12)*('CONTROL MASTER'!$T$2:$T$495&lt;=4)*('CONTROL MASTER'!$V$2:$V$495&gt;=4)*('CONTROL MASTER'!$U$2:$U$495&lt;=8)*('CONTROL MASTER'!$W$2:$W$495&gt;=8))*ROW('CONTROL MASTER'!$S$2:$S$495))&gt;0,INDEX('CONTROL MASTER'!$X$2:$X$495,(SUMPRODUCT((('CONTROL MASTER'!$S$2:$S$495=12)*('CONTROL MASTER'!$T$2:$T$495&lt;=4)*('CONTROL MASTER'!$V$2:$V$495&gt;=4)*('CONTROL MASTER'!$U$2:$U$495&lt;=8)*('CONTROL MASTER'!$W$2:$W$495&gt;=8))*ROW('CONTROL MASTER'!$S$2:$S$495))-(ROW('CONTROL MASTER'!#REF!)-1)))&amp;TRIM(MID(SUBSTITUTE(SUBSTITUTE(INDEX('CONTROL MASTER'!$N$2:$N$495,(SUMPRODUCT((('CONTROL MASTER'!$S$2:$S$495=12)*('CONTROL MASTER'!$T$2:$T$495&lt;=4)*('CONTROL MASTER'!$V$2:$V$495&gt;=4)*('CONTROL MASTER'!$U$2:$U$495&lt;=8)*('CONTROL MASTER'!$W$2:$W$495&gt;=8))*ROW('CONTROL MASTER'!$S$2:$S$495))-(ROW('CONTROL MASTER'!#REF!)-1))),":",","),",",REPT(" ",50)),((((4-INDEX('CONTROL MASTER'!$T$2:$T$495,(SUMPRODUCT((('CONTROL MASTER'!$S$2:$S$495=12)*('CONTROL MASTER'!$T$2:$T$495&lt;=4)*('CONTROL MASTER'!$V$2:$V$495&gt;=4)*('CONTROL MASTER'!$U$2:$U$495&lt;=8)*('CONTROL MASTER'!$W$2:$W$495&gt;=8))*ROW('CONTROL MASTER'!$S$2:$S$495))-(ROW('CONTROL MASTER'!#REF!)-1))))*(INDEX('CONTROL MASTER'!$W$2:$W$495,(SUMPRODUCT((('CONTROL MASTER'!$S$2:$S$495=12)*('CONTROL MASTER'!$T$2:$T$495&lt;=4)*('CONTROL MASTER'!$V$2:$V$495&gt;=4)*('CONTROL MASTER'!$U$2:$U$495&lt;=8)*('CONTROL MASTER'!$W$2:$W$495&gt;=8))*ROW('CONTROL MASTER'!$S$2:$S$495))-(ROW('CONTROL MASTER'!#REF!)-1)))-INDEX('CONTROL MASTER'!$U$2:$U$495,(SUMPRODUCT((('CONTROL MASTER'!$S$2:$S$495=12)*('CONTROL MASTER'!$T$2:$T$495&lt;=4)*('CONTROL MASTER'!$V$2:$V$495&gt;=4)*('CONTROL MASTER'!$U$2:$U$495&lt;=8)*('CONTROL MASTER'!$W$2:$W$495&gt;=8))*ROW('CONTROL MASTER'!$S$2:$S$495))-(ROW('CONTROL MASTER'!#REF!)-1)))+1)+(8-INDEX('CONTROL MASTER'!$U$2:$U$495,(SUMPRODUCT((('CONTROL MASTER'!$S$2:$S$495=12)*('CONTROL MASTER'!$T$2:$T$495&lt;=4)*('CONTROL MASTER'!$V$2:$V$495&gt;=4)*('CONTROL MASTER'!$U$2:$U$495&lt;=8)*('CONTROL MASTER'!$W$2:$W$495&gt;=8))*ROW('CONTROL MASTER'!$S$2:$S$495))-(ROW('CONTROL MASTER'!#REF!)-1))))+1))-1)*50+1,50))&amp;"_"&amp;INDEX('CONTROL MASTER'!$P$2:$P$495,(SUMPRODUCT((('CONTROL MASTER'!$S$2:$S$495=12)*('CONTROL MASTER'!$T$2:$T$495&lt;=4)*('CONTROL MASTER'!$V$2:$V$495&gt;=4)*('CONTROL MASTER'!$U$2:$U$495&lt;=8)*('CONTROL MASTER'!$W$2:$W$495&gt;=8))*ROW('CONTROL MASTER'!$S$2:$S$495))-(ROW('CONTROL MASTER'!#REF!)-1))),IF(SUMPRODUCT((('CONTROL MASTER'!$S$2:$S$495=12)*('CONTROL MASTER'!$Z$2:$Z$495&lt;=4)*('CONTROL MASTER'!$AB$2:$AB$495&gt;=4)*('CONTROL MASTER'!$AA$2:$AA$495&lt;=8)*('CONTROL MASTER'!$AC$2:$AC$495&gt;=8))*ROW('CONTROL MASTER'!$S$2:$S$495))&gt;0,INDEX('CONTROL MASTER'!$X$2:$X$495,(SUMPRODUCT((('CONTROL MASTER'!$S$2:$S$495=12)*('CONTROL MASTER'!$Z$2:$Z$495&lt;=4)*('CONTROL MASTER'!$AB$2:$AB$495&gt;=4)*('CONTROL MASTER'!$AA$2:$AA$495&lt;=8)*('CONTROL MASTER'!$AC$2:$AC$495&gt;=8))*ROW('CONTROL MASTER'!$S$2:$S$495))-(ROW('CONTROL MASTER'!#REF!)-1)))&amp;TRIM(MID(SUBSTITUTE(SUBSTITUTE(INDEX('CONTROL MASTER'!$N$2:$N$495,(SUMPRODUCT((('CONTROL MASTER'!$S$2:$S$495=12)*('CONTROL MASTER'!$Z$2:$Z$495&lt;=4)*('CONTROL MASTER'!$AB$2:$AB$495&gt;=4)*('CONTROL MASTER'!$AA$2:$AA$495&lt;=8)*('CONTROL MASTER'!$AC$2:$AC$495&gt;=8))*ROW('CONTROL MASTER'!$S$2:$S$495))-(ROW('CONTROL MASTER'!#REF!)-1))),":",","),",",REPT(" ",50)),(((INDEX('CONTROL MASTER'!$Y$2:$Y$495,(SUMPRODUCT((('CONTROL MASTER'!$S$2:$S$495=12)*('CONTROL MASTER'!$Z$2:$Z$495&lt;=4)*('CONTROL MASTER'!$AB$2:$AB$495&gt;=4)*('CONTROL MASTER'!$AA$2:$AA$495&lt;=8)*('CONTROL MASTER'!$AC$2:$AC$495&gt;=8))*ROW('CONTROL MASTER'!$S$2:$S$495))-(ROW('CONTROL MASTER'!#REF!)-1)))+((4-INDEX('CONTROL MASTER'!$Z$2:$Z$495,(SUMPRODUCT((('CONTROL MASTER'!$S$2:$S$495=12)*('CONTROL MASTER'!$Z$2:$Z$495&lt;=4)*('CONTROL MASTER'!$AB$2:$AB$495&gt;=4)*('CONTROL MASTER'!$AA$2:$AA$495&lt;=8)*('CONTROL MASTER'!$AC$2:$AC$495&gt;=8))*ROW('CONTROL MASTER'!$S$2:$S$495))-(ROW('CONTROL MASTER'!#REF!)-1))))*(INDEX('CONTROL MASTER'!$AC$2:$AC$495,(SUMPRODUCT((('CONTROL MASTER'!$S$2:$S$495=12)*('CONTROL MASTER'!$Z$2:$Z$495&lt;=4)*('CONTROL MASTER'!$AB$2:$AB$495&gt;=4)*('CONTROL MASTER'!$AA$2:$AA$495&lt;=8)*('CONTROL MASTER'!$AC$2:$AC$495&gt;=8))*ROW('CONTROL MASTER'!$S$2:$S$495))-(ROW('CONTROL MASTER'!#REF!)-1)))-INDEX('CONTROL MASTER'!$AA$2:$AA$495,(SUMPRODUCT((('CONTROL MASTER'!$S$2:$S$495=12)*('CONTROL MASTER'!$Z$2:$Z$495&lt;=4)*('CONTROL MASTER'!$AB$2:$AB$495&gt;=4)*('CONTROL MASTER'!$AA$2:$AA$495&lt;=8)*('CONTROL MASTER'!$AC$2:$AC$495&gt;=8))*ROW('CONTROL MASTER'!$S$2:$S$495))-(ROW('CONTROL MASTER'!#REF!)-1)))+1)+(8-INDEX('CONTROL MASTER'!$AA$2:$AA$495,(SUMPRODUCT((('CONTROL MASTER'!$S$2:$S$495=12)*('CONTROL MASTER'!$Z$2:$Z$495&lt;=4)*('CONTROL MASTER'!$AB$2:$AB$495&gt;=4)*('CONTROL MASTER'!$AA$2:$AA$495&lt;=8)*('CONTROL MASTER'!$AC$2:$AC$495&gt;=8))*ROW('CONTROL MASTER'!$S$2:$S$495))-(ROW('CONTROL MASTER'!#REF!)-1))))+1)))-1)*50+1,50))&amp;"_"&amp;INDEX('CONTROL MASTER'!$P$2:$P$495,(SUMPRODUCT((('CONTROL MASTER'!$S$2:$S$495=12)*('CONTROL MASTER'!$Z$2:$Z$495&lt;=4)*('CONTROL MASTER'!$AB$2:$AB$495&gt;=4)*('CONTROL MASTER'!$AA$2:$AA$495&lt;=8)*('CONTROL MASTER'!$AC$2:$AC$495&gt;=8))*ROW('CONTROL MASTER'!$S$2:$S$495))-(ROW('CONTROL MASTER'!#REF!)-1))),"")),"")</f>
        <v/>
      </c>
      <c r="J160" s="10" t="str">
        <f>IFERROR(IF(SUMPRODUCT((('CONTROL MASTER'!$S$2:$S$495=12)*('CONTROL MASTER'!$T$2:$T$495&lt;=4)*('CONTROL MASTER'!$V$2:$V$495&gt;=4)*('CONTROL MASTER'!$U$2:$U$495&lt;=9)*('CONTROL MASTER'!$W$2:$W$495&gt;=9))*ROW('CONTROL MASTER'!$S$2:$S$495))&gt;0,INDEX('CONTROL MASTER'!$X$2:$X$495,(SUMPRODUCT((('CONTROL MASTER'!$S$2:$S$495=12)*('CONTROL MASTER'!$T$2:$T$495&lt;=4)*('CONTROL MASTER'!$V$2:$V$495&gt;=4)*('CONTROL MASTER'!$U$2:$U$495&lt;=9)*('CONTROL MASTER'!$W$2:$W$495&gt;=9))*ROW('CONTROL MASTER'!$S$2:$S$495))-(ROW('CONTROL MASTER'!#REF!)-1)))&amp;TRIM(MID(SUBSTITUTE(SUBSTITUTE(INDEX('CONTROL MASTER'!$N$2:$N$495,(SUMPRODUCT((('CONTROL MASTER'!$S$2:$S$495=12)*('CONTROL MASTER'!$T$2:$T$495&lt;=4)*('CONTROL MASTER'!$V$2:$V$495&gt;=4)*('CONTROL MASTER'!$U$2:$U$495&lt;=9)*('CONTROL MASTER'!$W$2:$W$495&gt;=9))*ROW('CONTROL MASTER'!$S$2:$S$495))-(ROW('CONTROL MASTER'!#REF!)-1))),":",","),",",REPT(" ",50)),((((4-INDEX('CONTROL MASTER'!$T$2:$T$495,(SUMPRODUCT((('CONTROL MASTER'!$S$2:$S$495=12)*('CONTROL MASTER'!$T$2:$T$495&lt;=4)*('CONTROL MASTER'!$V$2:$V$495&gt;=4)*('CONTROL MASTER'!$U$2:$U$495&lt;=9)*('CONTROL MASTER'!$W$2:$W$495&gt;=9))*ROW('CONTROL MASTER'!$S$2:$S$495))-(ROW('CONTROL MASTER'!#REF!)-1))))*(INDEX('CONTROL MASTER'!$W$2:$W$495,(SUMPRODUCT((('CONTROL MASTER'!$S$2:$S$495=12)*('CONTROL MASTER'!$T$2:$T$495&lt;=4)*('CONTROL MASTER'!$V$2:$V$495&gt;=4)*('CONTROL MASTER'!$U$2:$U$495&lt;=9)*('CONTROL MASTER'!$W$2:$W$495&gt;=9))*ROW('CONTROL MASTER'!$S$2:$S$495))-(ROW('CONTROL MASTER'!#REF!)-1)))-INDEX('CONTROL MASTER'!$U$2:$U$495,(SUMPRODUCT((('CONTROL MASTER'!$S$2:$S$495=12)*('CONTROL MASTER'!$T$2:$T$495&lt;=4)*('CONTROL MASTER'!$V$2:$V$495&gt;=4)*('CONTROL MASTER'!$U$2:$U$495&lt;=9)*('CONTROL MASTER'!$W$2:$W$495&gt;=9))*ROW('CONTROL MASTER'!$S$2:$S$495))-(ROW('CONTROL MASTER'!#REF!)-1)))+1)+(9-INDEX('CONTROL MASTER'!$U$2:$U$495,(SUMPRODUCT((('CONTROL MASTER'!$S$2:$S$495=12)*('CONTROL MASTER'!$T$2:$T$495&lt;=4)*('CONTROL MASTER'!$V$2:$V$495&gt;=4)*('CONTROL MASTER'!$U$2:$U$495&lt;=9)*('CONTROL MASTER'!$W$2:$W$495&gt;=9))*ROW('CONTROL MASTER'!$S$2:$S$495))-(ROW('CONTROL MASTER'!#REF!)-1))))+1))-1)*50+1,50))&amp;"_"&amp;INDEX('CONTROL MASTER'!$P$2:$P$495,(SUMPRODUCT((('CONTROL MASTER'!$S$2:$S$495=12)*('CONTROL MASTER'!$T$2:$T$495&lt;=4)*('CONTROL MASTER'!$V$2:$V$495&gt;=4)*('CONTROL MASTER'!$U$2:$U$495&lt;=9)*('CONTROL MASTER'!$W$2:$W$495&gt;=9))*ROW('CONTROL MASTER'!$S$2:$S$495))-(ROW('CONTROL MASTER'!#REF!)-1))),IF(SUMPRODUCT((('CONTROL MASTER'!$S$2:$S$495=12)*('CONTROL MASTER'!$Z$2:$Z$495&lt;=4)*('CONTROL MASTER'!$AB$2:$AB$495&gt;=4)*('CONTROL MASTER'!$AA$2:$AA$495&lt;=9)*('CONTROL MASTER'!$AC$2:$AC$495&gt;=9))*ROW('CONTROL MASTER'!$S$2:$S$495))&gt;0,INDEX('CONTROL MASTER'!$X$2:$X$495,(SUMPRODUCT((('CONTROL MASTER'!$S$2:$S$495=12)*('CONTROL MASTER'!$Z$2:$Z$495&lt;=4)*('CONTROL MASTER'!$AB$2:$AB$495&gt;=4)*('CONTROL MASTER'!$AA$2:$AA$495&lt;=9)*('CONTROL MASTER'!$AC$2:$AC$495&gt;=9))*ROW('CONTROL MASTER'!$S$2:$S$495))-(ROW('CONTROL MASTER'!#REF!)-1)))&amp;TRIM(MID(SUBSTITUTE(SUBSTITUTE(INDEX('CONTROL MASTER'!$N$2:$N$495,(SUMPRODUCT((('CONTROL MASTER'!$S$2:$S$495=12)*('CONTROL MASTER'!$Z$2:$Z$495&lt;=4)*('CONTROL MASTER'!$AB$2:$AB$495&gt;=4)*('CONTROL MASTER'!$AA$2:$AA$495&lt;=9)*('CONTROL MASTER'!$AC$2:$AC$495&gt;=9))*ROW('CONTROL MASTER'!$S$2:$S$495))-(ROW('CONTROL MASTER'!#REF!)-1))),":",","),",",REPT(" ",50)),(((INDEX('CONTROL MASTER'!$Y$2:$Y$495,(SUMPRODUCT((('CONTROL MASTER'!$S$2:$S$495=12)*('CONTROL MASTER'!$Z$2:$Z$495&lt;=4)*('CONTROL MASTER'!$AB$2:$AB$495&gt;=4)*('CONTROL MASTER'!$AA$2:$AA$495&lt;=9)*('CONTROL MASTER'!$AC$2:$AC$495&gt;=9))*ROW('CONTROL MASTER'!$S$2:$S$495))-(ROW('CONTROL MASTER'!#REF!)-1)))+((4-INDEX('CONTROL MASTER'!$Z$2:$Z$495,(SUMPRODUCT((('CONTROL MASTER'!$S$2:$S$495=12)*('CONTROL MASTER'!$Z$2:$Z$495&lt;=4)*('CONTROL MASTER'!$AB$2:$AB$495&gt;=4)*('CONTROL MASTER'!$AA$2:$AA$495&lt;=9)*('CONTROL MASTER'!$AC$2:$AC$495&gt;=9))*ROW('CONTROL MASTER'!$S$2:$S$495))-(ROW('CONTROL MASTER'!#REF!)-1))))*(INDEX('CONTROL MASTER'!$AC$2:$AC$495,(SUMPRODUCT((('CONTROL MASTER'!$S$2:$S$495=12)*('CONTROL MASTER'!$Z$2:$Z$495&lt;=4)*('CONTROL MASTER'!$AB$2:$AB$495&gt;=4)*('CONTROL MASTER'!$AA$2:$AA$495&lt;=9)*('CONTROL MASTER'!$AC$2:$AC$495&gt;=9))*ROW('CONTROL MASTER'!$S$2:$S$495))-(ROW('CONTROL MASTER'!#REF!)-1)))-INDEX('CONTROL MASTER'!$AA$2:$AA$495,(SUMPRODUCT((('CONTROL MASTER'!$S$2:$S$495=12)*('CONTROL MASTER'!$Z$2:$Z$495&lt;=4)*('CONTROL MASTER'!$AB$2:$AB$495&gt;=4)*('CONTROL MASTER'!$AA$2:$AA$495&lt;=9)*('CONTROL MASTER'!$AC$2:$AC$495&gt;=9))*ROW('CONTROL MASTER'!$S$2:$S$495))-(ROW('CONTROL MASTER'!#REF!)-1)))+1)+(9-INDEX('CONTROL MASTER'!$AA$2:$AA$495,(SUMPRODUCT((('CONTROL MASTER'!$S$2:$S$495=12)*('CONTROL MASTER'!$Z$2:$Z$495&lt;=4)*('CONTROL MASTER'!$AB$2:$AB$495&gt;=4)*('CONTROL MASTER'!$AA$2:$AA$495&lt;=9)*('CONTROL MASTER'!$AC$2:$AC$495&gt;=9))*ROW('CONTROL MASTER'!$S$2:$S$495))-(ROW('CONTROL MASTER'!#REF!)-1))))+1)))-1)*50+1,50))&amp;"_"&amp;INDEX('CONTROL MASTER'!$P$2:$P$495,(SUMPRODUCT((('CONTROL MASTER'!$S$2:$S$495=12)*('CONTROL MASTER'!$Z$2:$Z$495&lt;=4)*('CONTROL MASTER'!$AB$2:$AB$495&gt;=4)*('CONTROL MASTER'!$AA$2:$AA$495&lt;=9)*('CONTROL MASTER'!$AC$2:$AC$495&gt;=9))*ROW('CONTROL MASTER'!$S$2:$S$495))-(ROW('CONTROL MASTER'!#REF!)-1))),"")),"")</f>
        <v/>
      </c>
      <c r="K160" s="10" t="str">
        <f>IFERROR(IF(SUMPRODUCT((('CONTROL MASTER'!$S$2:$S$495=12)*('CONTROL MASTER'!$T$2:$T$495&lt;=4)*('CONTROL MASTER'!$V$2:$V$495&gt;=4)*('CONTROL MASTER'!$U$2:$U$495&lt;=10)*('CONTROL MASTER'!$W$2:$W$495&gt;=10))*ROW('CONTROL MASTER'!$S$2:$S$495))&gt;0,INDEX('CONTROL MASTER'!$X$2:$X$495,(SUMPRODUCT((('CONTROL MASTER'!$S$2:$S$495=12)*('CONTROL MASTER'!$T$2:$T$495&lt;=4)*('CONTROL MASTER'!$V$2:$V$495&gt;=4)*('CONTROL MASTER'!$U$2:$U$495&lt;=10)*('CONTROL MASTER'!$W$2:$W$495&gt;=10))*ROW('CONTROL MASTER'!$S$2:$S$495))-(ROW('CONTROL MASTER'!#REF!)-1)))&amp;TRIM(MID(SUBSTITUTE(SUBSTITUTE(INDEX('CONTROL MASTER'!$N$2:$N$495,(SUMPRODUCT((('CONTROL MASTER'!$S$2:$S$495=12)*('CONTROL MASTER'!$T$2:$T$495&lt;=4)*('CONTROL MASTER'!$V$2:$V$495&gt;=4)*('CONTROL MASTER'!$U$2:$U$495&lt;=10)*('CONTROL MASTER'!$W$2:$W$495&gt;=10))*ROW('CONTROL MASTER'!$S$2:$S$495))-(ROW('CONTROL MASTER'!#REF!)-1))),":",","),",",REPT(" ",50)),((((4-INDEX('CONTROL MASTER'!$T$2:$T$495,(SUMPRODUCT((('CONTROL MASTER'!$S$2:$S$495=12)*('CONTROL MASTER'!$T$2:$T$495&lt;=4)*('CONTROL MASTER'!$V$2:$V$495&gt;=4)*('CONTROL MASTER'!$U$2:$U$495&lt;=10)*('CONTROL MASTER'!$W$2:$W$495&gt;=10))*ROW('CONTROL MASTER'!$S$2:$S$495))-(ROW('CONTROL MASTER'!#REF!)-1))))*(INDEX('CONTROL MASTER'!$W$2:$W$495,(SUMPRODUCT((('CONTROL MASTER'!$S$2:$S$495=12)*('CONTROL MASTER'!$T$2:$T$495&lt;=4)*('CONTROL MASTER'!$V$2:$V$495&gt;=4)*('CONTROL MASTER'!$U$2:$U$495&lt;=10)*('CONTROL MASTER'!$W$2:$W$495&gt;=10))*ROW('CONTROL MASTER'!$S$2:$S$495))-(ROW('CONTROL MASTER'!#REF!)-1)))-INDEX('CONTROL MASTER'!$U$2:$U$495,(SUMPRODUCT((('CONTROL MASTER'!$S$2:$S$495=12)*('CONTROL MASTER'!$T$2:$T$495&lt;=4)*('CONTROL MASTER'!$V$2:$V$495&gt;=4)*('CONTROL MASTER'!$U$2:$U$495&lt;=10)*('CONTROL MASTER'!$W$2:$W$495&gt;=10))*ROW('CONTROL MASTER'!$S$2:$S$495))-(ROW('CONTROL MASTER'!#REF!)-1)))+1)+(10-INDEX('CONTROL MASTER'!$U$2:$U$495,(SUMPRODUCT((('CONTROL MASTER'!$S$2:$S$495=12)*('CONTROL MASTER'!$T$2:$T$495&lt;=4)*('CONTROL MASTER'!$V$2:$V$495&gt;=4)*('CONTROL MASTER'!$U$2:$U$495&lt;=10)*('CONTROL MASTER'!$W$2:$W$495&gt;=10))*ROW('CONTROL MASTER'!$S$2:$S$495))-(ROW('CONTROL MASTER'!#REF!)-1))))+1))-1)*50+1,50))&amp;"_"&amp;INDEX('CONTROL MASTER'!$P$2:$P$495,(SUMPRODUCT((('CONTROL MASTER'!$S$2:$S$495=12)*('CONTROL MASTER'!$T$2:$T$495&lt;=4)*('CONTROL MASTER'!$V$2:$V$495&gt;=4)*('CONTROL MASTER'!$U$2:$U$495&lt;=10)*('CONTROL MASTER'!$W$2:$W$495&gt;=10))*ROW('CONTROL MASTER'!$S$2:$S$495))-(ROW('CONTROL MASTER'!#REF!)-1))),IF(SUMPRODUCT((('CONTROL MASTER'!$S$2:$S$495=12)*('CONTROL MASTER'!$Z$2:$Z$495&lt;=4)*('CONTROL MASTER'!$AB$2:$AB$495&gt;=4)*('CONTROL MASTER'!$AA$2:$AA$495&lt;=10)*('CONTROL MASTER'!$AC$2:$AC$495&gt;=10))*ROW('CONTROL MASTER'!$S$2:$S$495))&gt;0,INDEX('CONTROL MASTER'!$X$2:$X$495,(SUMPRODUCT((('CONTROL MASTER'!$S$2:$S$495=12)*('CONTROL MASTER'!$Z$2:$Z$495&lt;=4)*('CONTROL MASTER'!$AB$2:$AB$495&gt;=4)*('CONTROL MASTER'!$AA$2:$AA$495&lt;=10)*('CONTROL MASTER'!$AC$2:$AC$495&gt;=10))*ROW('CONTROL MASTER'!$S$2:$S$495))-(ROW('CONTROL MASTER'!#REF!)-1)))&amp;TRIM(MID(SUBSTITUTE(SUBSTITUTE(INDEX('CONTROL MASTER'!$N$2:$N$495,(SUMPRODUCT((('CONTROL MASTER'!$S$2:$S$495=12)*('CONTROL MASTER'!$Z$2:$Z$495&lt;=4)*('CONTROL MASTER'!$AB$2:$AB$495&gt;=4)*('CONTROL MASTER'!$AA$2:$AA$495&lt;=10)*('CONTROL MASTER'!$AC$2:$AC$495&gt;=10))*ROW('CONTROL MASTER'!$S$2:$S$495))-(ROW('CONTROL MASTER'!#REF!)-1))),":",","),",",REPT(" ",50)),(((INDEX('CONTROL MASTER'!$Y$2:$Y$495,(SUMPRODUCT((('CONTROL MASTER'!$S$2:$S$495=12)*('CONTROL MASTER'!$Z$2:$Z$495&lt;=4)*('CONTROL MASTER'!$AB$2:$AB$495&gt;=4)*('CONTROL MASTER'!$AA$2:$AA$495&lt;=10)*('CONTROL MASTER'!$AC$2:$AC$495&gt;=10))*ROW('CONTROL MASTER'!$S$2:$S$495))-(ROW('CONTROL MASTER'!#REF!)-1)))+((4-INDEX('CONTROL MASTER'!$Z$2:$Z$495,(SUMPRODUCT((('CONTROL MASTER'!$S$2:$S$495=12)*('CONTROL MASTER'!$Z$2:$Z$495&lt;=4)*('CONTROL MASTER'!$AB$2:$AB$495&gt;=4)*('CONTROL MASTER'!$AA$2:$AA$495&lt;=10)*('CONTROL MASTER'!$AC$2:$AC$495&gt;=10))*ROW('CONTROL MASTER'!$S$2:$S$495))-(ROW('CONTROL MASTER'!#REF!)-1))))*(INDEX('CONTROL MASTER'!$AC$2:$AC$495,(SUMPRODUCT((('CONTROL MASTER'!$S$2:$S$495=12)*('CONTROL MASTER'!$Z$2:$Z$495&lt;=4)*('CONTROL MASTER'!$AB$2:$AB$495&gt;=4)*('CONTROL MASTER'!$AA$2:$AA$495&lt;=10)*('CONTROL MASTER'!$AC$2:$AC$495&gt;=10))*ROW('CONTROL MASTER'!$S$2:$S$495))-(ROW('CONTROL MASTER'!#REF!)-1)))-INDEX('CONTROL MASTER'!$AA$2:$AA$495,(SUMPRODUCT((('CONTROL MASTER'!$S$2:$S$495=12)*('CONTROL MASTER'!$Z$2:$Z$495&lt;=4)*('CONTROL MASTER'!$AB$2:$AB$495&gt;=4)*('CONTROL MASTER'!$AA$2:$AA$495&lt;=10)*('CONTROL MASTER'!$AC$2:$AC$495&gt;=10))*ROW('CONTROL MASTER'!$S$2:$S$495))-(ROW('CONTROL MASTER'!#REF!)-1)))+1)+(10-INDEX('CONTROL MASTER'!$AA$2:$AA$495,(SUMPRODUCT((('CONTROL MASTER'!$S$2:$S$495=12)*('CONTROL MASTER'!$Z$2:$Z$495&lt;=4)*('CONTROL MASTER'!$AB$2:$AB$495&gt;=4)*('CONTROL MASTER'!$AA$2:$AA$495&lt;=10)*('CONTROL MASTER'!$AC$2:$AC$495&gt;=10))*ROW('CONTROL MASTER'!$S$2:$S$495))-(ROW('CONTROL MASTER'!#REF!)-1))))+1)))-1)*50+1,50))&amp;"_"&amp;INDEX('CONTROL MASTER'!$P$2:$P$495,(SUMPRODUCT((('CONTROL MASTER'!$S$2:$S$495=12)*('CONTROL MASTER'!$Z$2:$Z$495&lt;=4)*('CONTROL MASTER'!$AB$2:$AB$495&gt;=4)*('CONTROL MASTER'!$AA$2:$AA$495&lt;=10)*('CONTROL MASTER'!$AC$2:$AC$495&gt;=10))*ROW('CONTROL MASTER'!$S$2:$S$495))-(ROW('CONTROL MASTER'!#REF!)-1))),"")),"")</f>
        <v/>
      </c>
    </row>
    <row r="161" spans="1:11" ht="15" customHeight="1" x14ac:dyDescent="0.35">
      <c r="A161" s="8" t="s">
        <v>32</v>
      </c>
      <c r="B161" s="10" t="str">
        <f>IFERROR(IF(SUMPRODUCT((('CONTROL MASTER'!$S$2:$S$495=12)*('CONTROL MASTER'!$T$2:$T$495&lt;=5)*('CONTROL MASTER'!$V$2:$V$495&gt;=5)*('CONTROL MASTER'!$U$2:$U$495&lt;=1)*('CONTROL MASTER'!$W$2:$W$495&gt;=1))*ROW('CONTROL MASTER'!$S$2:$S$495))&gt;0,INDEX('CONTROL MASTER'!$X$2:$X$495,(SUMPRODUCT((('CONTROL MASTER'!$S$2:$S$495=12)*('CONTROL MASTER'!$T$2:$T$495&lt;=5)*('CONTROL MASTER'!$V$2:$V$495&gt;=5)*('CONTROL MASTER'!$U$2:$U$495&lt;=1)*('CONTROL MASTER'!$W$2:$W$495&gt;=1))*ROW('CONTROL MASTER'!$S$2:$S$495))-(ROW('CONTROL MASTER'!#REF!)-1)))&amp;TRIM(MID(SUBSTITUTE(SUBSTITUTE(INDEX('CONTROL MASTER'!$N$2:$N$495,(SUMPRODUCT((('CONTROL MASTER'!$S$2:$S$495=12)*('CONTROL MASTER'!$T$2:$T$495&lt;=5)*('CONTROL MASTER'!$V$2:$V$495&gt;=5)*('CONTROL MASTER'!$U$2:$U$495&lt;=1)*('CONTROL MASTER'!$W$2:$W$495&gt;=1))*ROW('CONTROL MASTER'!$S$2:$S$495))-(ROW('CONTROL MASTER'!#REF!)-1))),":",","),",",REPT(" ",50)),((((5-INDEX('CONTROL MASTER'!$T$2:$T$495,(SUMPRODUCT((('CONTROL MASTER'!$S$2:$S$495=12)*('CONTROL MASTER'!$T$2:$T$495&lt;=5)*('CONTROL MASTER'!$V$2:$V$495&gt;=5)*('CONTROL MASTER'!$U$2:$U$495&lt;=1)*('CONTROL MASTER'!$W$2:$W$495&gt;=1))*ROW('CONTROL MASTER'!$S$2:$S$495))-(ROW('CONTROL MASTER'!#REF!)-1))))*(INDEX('CONTROL MASTER'!$W$2:$W$495,(SUMPRODUCT((('CONTROL MASTER'!$S$2:$S$495=12)*('CONTROL MASTER'!$T$2:$T$495&lt;=5)*('CONTROL MASTER'!$V$2:$V$495&gt;=5)*('CONTROL MASTER'!$U$2:$U$495&lt;=1)*('CONTROL MASTER'!$W$2:$W$495&gt;=1))*ROW('CONTROL MASTER'!$S$2:$S$495))-(ROW('CONTROL MASTER'!#REF!)-1)))-INDEX('CONTROL MASTER'!$U$2:$U$495,(SUMPRODUCT((('CONTROL MASTER'!$S$2:$S$495=12)*('CONTROL MASTER'!$T$2:$T$495&lt;=5)*('CONTROL MASTER'!$V$2:$V$495&gt;=5)*('CONTROL MASTER'!$U$2:$U$495&lt;=1)*('CONTROL MASTER'!$W$2:$W$495&gt;=1))*ROW('CONTROL MASTER'!$S$2:$S$495))-(ROW('CONTROL MASTER'!#REF!)-1)))+1)+(1-INDEX('CONTROL MASTER'!$U$2:$U$495,(SUMPRODUCT((('CONTROL MASTER'!$S$2:$S$495=12)*('CONTROL MASTER'!$T$2:$T$495&lt;=5)*('CONTROL MASTER'!$V$2:$V$495&gt;=5)*('CONTROL MASTER'!$U$2:$U$495&lt;=1)*('CONTROL MASTER'!$W$2:$W$495&gt;=1))*ROW('CONTROL MASTER'!$S$2:$S$495))-(ROW('CONTROL MASTER'!#REF!)-1))))+1))-1)*50+1,50))&amp;"_"&amp;INDEX('CONTROL MASTER'!$P$2:$P$495,(SUMPRODUCT((('CONTROL MASTER'!$S$2:$S$495=12)*('CONTROL MASTER'!$T$2:$T$495&lt;=5)*('CONTROL MASTER'!$V$2:$V$495&gt;=5)*('CONTROL MASTER'!$U$2:$U$495&lt;=1)*('CONTROL MASTER'!$W$2:$W$495&gt;=1))*ROW('CONTROL MASTER'!$S$2:$S$495))-(ROW('CONTROL MASTER'!#REF!)-1))),IF(SUMPRODUCT((('CONTROL MASTER'!$S$2:$S$495=12)*('CONTROL MASTER'!$Z$2:$Z$495&lt;=5)*('CONTROL MASTER'!$AB$2:$AB$495&gt;=5)*('CONTROL MASTER'!$AA$2:$AA$495&lt;=1)*('CONTROL MASTER'!$AC$2:$AC$495&gt;=1))*ROW('CONTROL MASTER'!$S$2:$S$495))&gt;0,INDEX('CONTROL MASTER'!$X$2:$X$495,(SUMPRODUCT((('CONTROL MASTER'!$S$2:$S$495=12)*('CONTROL MASTER'!$Z$2:$Z$495&lt;=5)*('CONTROL MASTER'!$AB$2:$AB$495&gt;=5)*('CONTROL MASTER'!$AA$2:$AA$495&lt;=1)*('CONTROL MASTER'!$AC$2:$AC$495&gt;=1))*ROW('CONTROL MASTER'!$S$2:$S$495))-(ROW('CONTROL MASTER'!#REF!)-1)))&amp;TRIM(MID(SUBSTITUTE(SUBSTITUTE(INDEX('CONTROL MASTER'!$N$2:$N$495,(SUMPRODUCT((('CONTROL MASTER'!$S$2:$S$495=12)*('CONTROL MASTER'!$Z$2:$Z$495&lt;=5)*('CONTROL MASTER'!$AB$2:$AB$495&gt;=5)*('CONTROL MASTER'!$AA$2:$AA$495&lt;=1)*('CONTROL MASTER'!$AC$2:$AC$495&gt;=1))*ROW('CONTROL MASTER'!$S$2:$S$495))-(ROW('CONTROL MASTER'!#REF!)-1))),":",","),",",REPT(" ",50)),(((INDEX('CONTROL MASTER'!$Y$2:$Y$495,(SUMPRODUCT((('CONTROL MASTER'!$S$2:$S$495=12)*('CONTROL MASTER'!$Z$2:$Z$495&lt;=5)*('CONTROL MASTER'!$AB$2:$AB$495&gt;=5)*('CONTROL MASTER'!$AA$2:$AA$495&lt;=1)*('CONTROL MASTER'!$AC$2:$AC$495&gt;=1))*ROW('CONTROL MASTER'!$S$2:$S$495))-(ROW('CONTROL MASTER'!#REF!)-1)))+((5-INDEX('CONTROL MASTER'!$Z$2:$Z$495,(SUMPRODUCT((('CONTROL MASTER'!$S$2:$S$495=12)*('CONTROL MASTER'!$Z$2:$Z$495&lt;=5)*('CONTROL MASTER'!$AB$2:$AB$495&gt;=5)*('CONTROL MASTER'!$AA$2:$AA$495&lt;=1)*('CONTROL MASTER'!$AC$2:$AC$495&gt;=1))*ROW('CONTROL MASTER'!$S$2:$S$495))-(ROW('CONTROL MASTER'!#REF!)-1))))*(INDEX('CONTROL MASTER'!$AC$2:$AC$495,(SUMPRODUCT((('CONTROL MASTER'!$S$2:$S$495=12)*('CONTROL MASTER'!$Z$2:$Z$495&lt;=5)*('CONTROL MASTER'!$AB$2:$AB$495&gt;=5)*('CONTROL MASTER'!$AA$2:$AA$495&lt;=1)*('CONTROL MASTER'!$AC$2:$AC$495&gt;=1))*ROW('CONTROL MASTER'!$S$2:$S$495))-(ROW('CONTROL MASTER'!#REF!)-1)))-INDEX('CONTROL MASTER'!$AA$2:$AA$495,(SUMPRODUCT((('CONTROL MASTER'!$S$2:$S$495=12)*('CONTROL MASTER'!$Z$2:$Z$495&lt;=5)*('CONTROL MASTER'!$AB$2:$AB$495&gt;=5)*('CONTROL MASTER'!$AA$2:$AA$495&lt;=1)*('CONTROL MASTER'!$AC$2:$AC$495&gt;=1))*ROW('CONTROL MASTER'!$S$2:$S$495))-(ROW('CONTROL MASTER'!#REF!)-1)))+1)+(1-INDEX('CONTROL MASTER'!$AA$2:$AA$495,(SUMPRODUCT((('CONTROL MASTER'!$S$2:$S$495=12)*('CONTROL MASTER'!$Z$2:$Z$495&lt;=5)*('CONTROL MASTER'!$AB$2:$AB$495&gt;=5)*('CONTROL MASTER'!$AA$2:$AA$495&lt;=1)*('CONTROL MASTER'!$AC$2:$AC$495&gt;=1))*ROW('CONTROL MASTER'!$S$2:$S$495))-(ROW('CONTROL MASTER'!#REF!)-1))))+1)))-1)*50+1,50))&amp;"_"&amp;INDEX('CONTROL MASTER'!$P$2:$P$495,(SUMPRODUCT((('CONTROL MASTER'!$S$2:$S$495=12)*('CONTROL MASTER'!$Z$2:$Z$495&lt;=5)*('CONTROL MASTER'!$AB$2:$AB$495&gt;=5)*('CONTROL MASTER'!$AA$2:$AA$495&lt;=1)*('CONTROL MASTER'!$AC$2:$AC$495&gt;=1))*ROW('CONTROL MASTER'!$S$2:$S$495))-(ROW('CONTROL MASTER'!#REF!)-1))),"")),"")</f>
        <v/>
      </c>
      <c r="C161" s="10" t="str">
        <f>IFERROR(IF(SUMPRODUCT((('CONTROL MASTER'!$S$2:$S$495=12)*('CONTROL MASTER'!$T$2:$T$495&lt;=5)*('CONTROL MASTER'!$V$2:$V$495&gt;=5)*('CONTROL MASTER'!$U$2:$U$495&lt;=2)*('CONTROL MASTER'!$W$2:$W$495&gt;=2))*ROW('CONTROL MASTER'!$S$2:$S$495))&gt;0,INDEX('CONTROL MASTER'!$X$2:$X$495,(SUMPRODUCT((('CONTROL MASTER'!$S$2:$S$495=12)*('CONTROL MASTER'!$T$2:$T$495&lt;=5)*('CONTROL MASTER'!$V$2:$V$495&gt;=5)*('CONTROL MASTER'!$U$2:$U$495&lt;=2)*('CONTROL MASTER'!$W$2:$W$495&gt;=2))*ROW('CONTROL MASTER'!$S$2:$S$495))-(ROW('CONTROL MASTER'!#REF!)-1)))&amp;TRIM(MID(SUBSTITUTE(SUBSTITUTE(INDEX('CONTROL MASTER'!$N$2:$N$495,(SUMPRODUCT((('CONTROL MASTER'!$S$2:$S$495=12)*('CONTROL MASTER'!$T$2:$T$495&lt;=5)*('CONTROL MASTER'!$V$2:$V$495&gt;=5)*('CONTROL MASTER'!$U$2:$U$495&lt;=2)*('CONTROL MASTER'!$W$2:$W$495&gt;=2))*ROW('CONTROL MASTER'!$S$2:$S$495))-(ROW('CONTROL MASTER'!#REF!)-1))),":",","),",",REPT(" ",50)),((((5-INDEX('CONTROL MASTER'!$T$2:$T$495,(SUMPRODUCT((('CONTROL MASTER'!$S$2:$S$495=12)*('CONTROL MASTER'!$T$2:$T$495&lt;=5)*('CONTROL MASTER'!$V$2:$V$495&gt;=5)*('CONTROL MASTER'!$U$2:$U$495&lt;=2)*('CONTROL MASTER'!$W$2:$W$495&gt;=2))*ROW('CONTROL MASTER'!$S$2:$S$495))-(ROW('CONTROL MASTER'!#REF!)-1))))*(INDEX('CONTROL MASTER'!$W$2:$W$495,(SUMPRODUCT((('CONTROL MASTER'!$S$2:$S$495=12)*('CONTROL MASTER'!$T$2:$T$495&lt;=5)*('CONTROL MASTER'!$V$2:$V$495&gt;=5)*('CONTROL MASTER'!$U$2:$U$495&lt;=2)*('CONTROL MASTER'!$W$2:$W$495&gt;=2))*ROW('CONTROL MASTER'!$S$2:$S$495))-(ROW('CONTROL MASTER'!#REF!)-1)))-INDEX('CONTROL MASTER'!$U$2:$U$495,(SUMPRODUCT((('CONTROL MASTER'!$S$2:$S$495=12)*('CONTROL MASTER'!$T$2:$T$495&lt;=5)*('CONTROL MASTER'!$V$2:$V$495&gt;=5)*('CONTROL MASTER'!$U$2:$U$495&lt;=2)*('CONTROL MASTER'!$W$2:$W$495&gt;=2))*ROW('CONTROL MASTER'!$S$2:$S$495))-(ROW('CONTROL MASTER'!#REF!)-1)))+1)+(2-INDEX('CONTROL MASTER'!$U$2:$U$495,(SUMPRODUCT((('CONTROL MASTER'!$S$2:$S$495=12)*('CONTROL MASTER'!$T$2:$T$495&lt;=5)*('CONTROL MASTER'!$V$2:$V$495&gt;=5)*('CONTROL MASTER'!$U$2:$U$495&lt;=2)*('CONTROL MASTER'!$W$2:$W$495&gt;=2))*ROW('CONTROL MASTER'!$S$2:$S$495))-(ROW('CONTROL MASTER'!#REF!)-1))))+1))-1)*50+1,50))&amp;"_"&amp;INDEX('CONTROL MASTER'!$P$2:$P$495,(SUMPRODUCT((('CONTROL MASTER'!$S$2:$S$495=12)*('CONTROL MASTER'!$T$2:$T$495&lt;=5)*('CONTROL MASTER'!$V$2:$V$495&gt;=5)*('CONTROL MASTER'!$U$2:$U$495&lt;=2)*('CONTROL MASTER'!$W$2:$W$495&gt;=2))*ROW('CONTROL MASTER'!$S$2:$S$495))-(ROW('CONTROL MASTER'!#REF!)-1))),IF(SUMPRODUCT((('CONTROL MASTER'!$S$2:$S$495=12)*('CONTROL MASTER'!$Z$2:$Z$495&lt;=5)*('CONTROL MASTER'!$AB$2:$AB$495&gt;=5)*('CONTROL MASTER'!$AA$2:$AA$495&lt;=2)*('CONTROL MASTER'!$AC$2:$AC$495&gt;=2))*ROW('CONTROL MASTER'!$S$2:$S$495))&gt;0,INDEX('CONTROL MASTER'!$X$2:$X$495,(SUMPRODUCT((('CONTROL MASTER'!$S$2:$S$495=12)*('CONTROL MASTER'!$Z$2:$Z$495&lt;=5)*('CONTROL MASTER'!$AB$2:$AB$495&gt;=5)*('CONTROL MASTER'!$AA$2:$AA$495&lt;=2)*('CONTROL MASTER'!$AC$2:$AC$495&gt;=2))*ROW('CONTROL MASTER'!$S$2:$S$495))-(ROW('CONTROL MASTER'!#REF!)-1)))&amp;TRIM(MID(SUBSTITUTE(SUBSTITUTE(INDEX('CONTROL MASTER'!$N$2:$N$495,(SUMPRODUCT((('CONTROL MASTER'!$S$2:$S$495=12)*('CONTROL MASTER'!$Z$2:$Z$495&lt;=5)*('CONTROL MASTER'!$AB$2:$AB$495&gt;=5)*('CONTROL MASTER'!$AA$2:$AA$495&lt;=2)*('CONTROL MASTER'!$AC$2:$AC$495&gt;=2))*ROW('CONTROL MASTER'!$S$2:$S$495))-(ROW('CONTROL MASTER'!#REF!)-1))),":",","),",",REPT(" ",50)),(((INDEX('CONTROL MASTER'!$Y$2:$Y$495,(SUMPRODUCT((('CONTROL MASTER'!$S$2:$S$495=12)*('CONTROL MASTER'!$Z$2:$Z$495&lt;=5)*('CONTROL MASTER'!$AB$2:$AB$495&gt;=5)*('CONTROL MASTER'!$AA$2:$AA$495&lt;=2)*('CONTROL MASTER'!$AC$2:$AC$495&gt;=2))*ROW('CONTROL MASTER'!$S$2:$S$495))-(ROW('CONTROL MASTER'!#REF!)-1)))+((5-INDEX('CONTROL MASTER'!$Z$2:$Z$495,(SUMPRODUCT((('CONTROL MASTER'!$S$2:$S$495=12)*('CONTROL MASTER'!$Z$2:$Z$495&lt;=5)*('CONTROL MASTER'!$AB$2:$AB$495&gt;=5)*('CONTROL MASTER'!$AA$2:$AA$495&lt;=2)*('CONTROL MASTER'!$AC$2:$AC$495&gt;=2))*ROW('CONTROL MASTER'!$S$2:$S$495))-(ROW('CONTROL MASTER'!#REF!)-1))))*(INDEX('CONTROL MASTER'!$AC$2:$AC$495,(SUMPRODUCT((('CONTROL MASTER'!$S$2:$S$495=12)*('CONTROL MASTER'!$Z$2:$Z$495&lt;=5)*('CONTROL MASTER'!$AB$2:$AB$495&gt;=5)*('CONTROL MASTER'!$AA$2:$AA$495&lt;=2)*('CONTROL MASTER'!$AC$2:$AC$495&gt;=2))*ROW('CONTROL MASTER'!$S$2:$S$495))-(ROW('CONTROL MASTER'!#REF!)-1)))-INDEX('CONTROL MASTER'!$AA$2:$AA$495,(SUMPRODUCT((('CONTROL MASTER'!$S$2:$S$495=12)*('CONTROL MASTER'!$Z$2:$Z$495&lt;=5)*('CONTROL MASTER'!$AB$2:$AB$495&gt;=5)*('CONTROL MASTER'!$AA$2:$AA$495&lt;=2)*('CONTROL MASTER'!$AC$2:$AC$495&gt;=2))*ROW('CONTROL MASTER'!$S$2:$S$495))-(ROW('CONTROL MASTER'!#REF!)-1)))+1)+(2-INDEX('CONTROL MASTER'!$AA$2:$AA$495,(SUMPRODUCT((('CONTROL MASTER'!$S$2:$S$495=12)*('CONTROL MASTER'!$Z$2:$Z$495&lt;=5)*('CONTROL MASTER'!$AB$2:$AB$495&gt;=5)*('CONTROL MASTER'!$AA$2:$AA$495&lt;=2)*('CONTROL MASTER'!$AC$2:$AC$495&gt;=2))*ROW('CONTROL MASTER'!$S$2:$S$495))-(ROW('CONTROL MASTER'!#REF!)-1))))+1)))-1)*50+1,50))&amp;"_"&amp;INDEX('CONTROL MASTER'!$P$2:$P$495,(SUMPRODUCT((('CONTROL MASTER'!$S$2:$S$495=12)*('CONTROL MASTER'!$Z$2:$Z$495&lt;=5)*('CONTROL MASTER'!$AB$2:$AB$495&gt;=5)*('CONTROL MASTER'!$AA$2:$AA$495&lt;=2)*('CONTROL MASTER'!$AC$2:$AC$495&gt;=2))*ROW('CONTROL MASTER'!$S$2:$S$495))-(ROW('CONTROL MASTER'!#REF!)-1))),"")),"")</f>
        <v/>
      </c>
      <c r="D161" s="10" t="str">
        <f>IFERROR(IF(SUMPRODUCT((('CONTROL MASTER'!$S$2:$S$495=12)*('CONTROL MASTER'!$T$2:$T$495&lt;=5)*('CONTROL MASTER'!$V$2:$V$495&gt;=5)*('CONTROL MASTER'!$U$2:$U$495&lt;=3)*('CONTROL MASTER'!$W$2:$W$495&gt;=3))*ROW('CONTROL MASTER'!$S$2:$S$495))&gt;0,INDEX('CONTROL MASTER'!$X$2:$X$495,(SUMPRODUCT((('CONTROL MASTER'!$S$2:$S$495=12)*('CONTROL MASTER'!$T$2:$T$495&lt;=5)*('CONTROL MASTER'!$V$2:$V$495&gt;=5)*('CONTROL MASTER'!$U$2:$U$495&lt;=3)*('CONTROL MASTER'!$W$2:$W$495&gt;=3))*ROW('CONTROL MASTER'!$S$2:$S$495))-(ROW('CONTROL MASTER'!#REF!)-1)))&amp;TRIM(MID(SUBSTITUTE(SUBSTITUTE(INDEX('CONTROL MASTER'!$N$2:$N$495,(SUMPRODUCT((('CONTROL MASTER'!$S$2:$S$495=12)*('CONTROL MASTER'!$T$2:$T$495&lt;=5)*('CONTROL MASTER'!$V$2:$V$495&gt;=5)*('CONTROL MASTER'!$U$2:$U$495&lt;=3)*('CONTROL MASTER'!$W$2:$W$495&gt;=3))*ROW('CONTROL MASTER'!$S$2:$S$495))-(ROW('CONTROL MASTER'!#REF!)-1))),":",","),",",REPT(" ",50)),((((5-INDEX('CONTROL MASTER'!$T$2:$T$495,(SUMPRODUCT((('CONTROL MASTER'!$S$2:$S$495=12)*('CONTROL MASTER'!$T$2:$T$495&lt;=5)*('CONTROL MASTER'!$V$2:$V$495&gt;=5)*('CONTROL MASTER'!$U$2:$U$495&lt;=3)*('CONTROL MASTER'!$W$2:$W$495&gt;=3))*ROW('CONTROL MASTER'!$S$2:$S$495))-(ROW('CONTROL MASTER'!#REF!)-1))))*(INDEX('CONTROL MASTER'!$W$2:$W$495,(SUMPRODUCT((('CONTROL MASTER'!$S$2:$S$495=12)*('CONTROL MASTER'!$T$2:$T$495&lt;=5)*('CONTROL MASTER'!$V$2:$V$495&gt;=5)*('CONTROL MASTER'!$U$2:$U$495&lt;=3)*('CONTROL MASTER'!$W$2:$W$495&gt;=3))*ROW('CONTROL MASTER'!$S$2:$S$495))-(ROW('CONTROL MASTER'!#REF!)-1)))-INDEX('CONTROL MASTER'!$U$2:$U$495,(SUMPRODUCT((('CONTROL MASTER'!$S$2:$S$495=12)*('CONTROL MASTER'!$T$2:$T$495&lt;=5)*('CONTROL MASTER'!$V$2:$V$495&gt;=5)*('CONTROL MASTER'!$U$2:$U$495&lt;=3)*('CONTROL MASTER'!$W$2:$W$495&gt;=3))*ROW('CONTROL MASTER'!$S$2:$S$495))-(ROW('CONTROL MASTER'!#REF!)-1)))+1)+(3-INDEX('CONTROL MASTER'!$U$2:$U$495,(SUMPRODUCT((('CONTROL MASTER'!$S$2:$S$495=12)*('CONTROL MASTER'!$T$2:$T$495&lt;=5)*('CONTROL MASTER'!$V$2:$V$495&gt;=5)*('CONTROL MASTER'!$U$2:$U$495&lt;=3)*('CONTROL MASTER'!$W$2:$W$495&gt;=3))*ROW('CONTROL MASTER'!$S$2:$S$495))-(ROW('CONTROL MASTER'!#REF!)-1))))+1))-1)*50+1,50))&amp;"_"&amp;INDEX('CONTROL MASTER'!$P$2:$P$495,(SUMPRODUCT((('CONTROL MASTER'!$S$2:$S$495=12)*('CONTROL MASTER'!$T$2:$T$495&lt;=5)*('CONTROL MASTER'!$V$2:$V$495&gt;=5)*('CONTROL MASTER'!$U$2:$U$495&lt;=3)*('CONTROL MASTER'!$W$2:$W$495&gt;=3))*ROW('CONTROL MASTER'!$S$2:$S$495))-(ROW('CONTROL MASTER'!#REF!)-1))),IF(SUMPRODUCT((('CONTROL MASTER'!$S$2:$S$495=12)*('CONTROL MASTER'!$Z$2:$Z$495&lt;=5)*('CONTROL MASTER'!$AB$2:$AB$495&gt;=5)*('CONTROL MASTER'!$AA$2:$AA$495&lt;=3)*('CONTROL MASTER'!$AC$2:$AC$495&gt;=3))*ROW('CONTROL MASTER'!$S$2:$S$495))&gt;0,INDEX('CONTROL MASTER'!$X$2:$X$495,(SUMPRODUCT((('CONTROL MASTER'!$S$2:$S$495=12)*('CONTROL MASTER'!$Z$2:$Z$495&lt;=5)*('CONTROL MASTER'!$AB$2:$AB$495&gt;=5)*('CONTROL MASTER'!$AA$2:$AA$495&lt;=3)*('CONTROL MASTER'!$AC$2:$AC$495&gt;=3))*ROW('CONTROL MASTER'!$S$2:$S$495))-(ROW('CONTROL MASTER'!#REF!)-1)))&amp;TRIM(MID(SUBSTITUTE(SUBSTITUTE(INDEX('CONTROL MASTER'!$N$2:$N$495,(SUMPRODUCT((('CONTROL MASTER'!$S$2:$S$495=12)*('CONTROL MASTER'!$Z$2:$Z$495&lt;=5)*('CONTROL MASTER'!$AB$2:$AB$495&gt;=5)*('CONTROL MASTER'!$AA$2:$AA$495&lt;=3)*('CONTROL MASTER'!$AC$2:$AC$495&gt;=3))*ROW('CONTROL MASTER'!$S$2:$S$495))-(ROW('CONTROL MASTER'!#REF!)-1))),":",","),",",REPT(" ",50)),(((INDEX('CONTROL MASTER'!$Y$2:$Y$495,(SUMPRODUCT((('CONTROL MASTER'!$S$2:$S$495=12)*('CONTROL MASTER'!$Z$2:$Z$495&lt;=5)*('CONTROL MASTER'!$AB$2:$AB$495&gt;=5)*('CONTROL MASTER'!$AA$2:$AA$495&lt;=3)*('CONTROL MASTER'!$AC$2:$AC$495&gt;=3))*ROW('CONTROL MASTER'!$S$2:$S$495))-(ROW('CONTROL MASTER'!#REF!)-1)))+((5-INDEX('CONTROL MASTER'!$Z$2:$Z$495,(SUMPRODUCT((('CONTROL MASTER'!$S$2:$S$495=12)*('CONTROL MASTER'!$Z$2:$Z$495&lt;=5)*('CONTROL MASTER'!$AB$2:$AB$495&gt;=5)*('CONTROL MASTER'!$AA$2:$AA$495&lt;=3)*('CONTROL MASTER'!$AC$2:$AC$495&gt;=3))*ROW('CONTROL MASTER'!$S$2:$S$495))-(ROW('CONTROL MASTER'!#REF!)-1))))*(INDEX('CONTROL MASTER'!$AC$2:$AC$495,(SUMPRODUCT((('CONTROL MASTER'!$S$2:$S$495=12)*('CONTROL MASTER'!$Z$2:$Z$495&lt;=5)*('CONTROL MASTER'!$AB$2:$AB$495&gt;=5)*('CONTROL MASTER'!$AA$2:$AA$495&lt;=3)*('CONTROL MASTER'!$AC$2:$AC$495&gt;=3))*ROW('CONTROL MASTER'!$S$2:$S$495))-(ROW('CONTROL MASTER'!#REF!)-1)))-INDEX('CONTROL MASTER'!$AA$2:$AA$495,(SUMPRODUCT((('CONTROL MASTER'!$S$2:$S$495=12)*('CONTROL MASTER'!$Z$2:$Z$495&lt;=5)*('CONTROL MASTER'!$AB$2:$AB$495&gt;=5)*('CONTROL MASTER'!$AA$2:$AA$495&lt;=3)*('CONTROL MASTER'!$AC$2:$AC$495&gt;=3))*ROW('CONTROL MASTER'!$S$2:$S$495))-(ROW('CONTROL MASTER'!#REF!)-1)))+1)+(3-INDEX('CONTROL MASTER'!$AA$2:$AA$495,(SUMPRODUCT((('CONTROL MASTER'!$S$2:$S$495=12)*('CONTROL MASTER'!$Z$2:$Z$495&lt;=5)*('CONTROL MASTER'!$AB$2:$AB$495&gt;=5)*('CONTROL MASTER'!$AA$2:$AA$495&lt;=3)*('CONTROL MASTER'!$AC$2:$AC$495&gt;=3))*ROW('CONTROL MASTER'!$S$2:$S$495))-(ROW('CONTROL MASTER'!#REF!)-1))))+1)))-1)*50+1,50))&amp;"_"&amp;INDEX('CONTROL MASTER'!$P$2:$P$495,(SUMPRODUCT((('CONTROL MASTER'!$S$2:$S$495=12)*('CONTROL MASTER'!$Z$2:$Z$495&lt;=5)*('CONTROL MASTER'!$AB$2:$AB$495&gt;=5)*('CONTROL MASTER'!$AA$2:$AA$495&lt;=3)*('CONTROL MASTER'!$AC$2:$AC$495&gt;=3))*ROW('CONTROL MASTER'!$S$2:$S$495))-(ROW('CONTROL MASTER'!#REF!)-1))),"")),"")</f>
        <v/>
      </c>
      <c r="E161" s="10" t="str">
        <f>IFERROR(IF(SUMPRODUCT((('CONTROL MASTER'!$S$2:$S$495=12)*('CONTROL MASTER'!$T$2:$T$495&lt;=5)*('CONTROL MASTER'!$V$2:$V$495&gt;=5)*('CONTROL MASTER'!$U$2:$U$495&lt;=4)*('CONTROL MASTER'!$W$2:$W$495&gt;=4))*ROW('CONTROL MASTER'!$S$2:$S$495))&gt;0,INDEX('CONTROL MASTER'!$X$2:$X$495,(SUMPRODUCT((('CONTROL MASTER'!$S$2:$S$495=12)*('CONTROL MASTER'!$T$2:$T$495&lt;=5)*('CONTROL MASTER'!$V$2:$V$495&gt;=5)*('CONTROL MASTER'!$U$2:$U$495&lt;=4)*('CONTROL MASTER'!$W$2:$W$495&gt;=4))*ROW('CONTROL MASTER'!$S$2:$S$495))-(ROW('CONTROL MASTER'!#REF!)-1)))&amp;TRIM(MID(SUBSTITUTE(SUBSTITUTE(INDEX('CONTROL MASTER'!$N$2:$N$495,(SUMPRODUCT((('CONTROL MASTER'!$S$2:$S$495=12)*('CONTROL MASTER'!$T$2:$T$495&lt;=5)*('CONTROL MASTER'!$V$2:$V$495&gt;=5)*('CONTROL MASTER'!$U$2:$U$495&lt;=4)*('CONTROL MASTER'!$W$2:$W$495&gt;=4))*ROW('CONTROL MASTER'!$S$2:$S$495))-(ROW('CONTROL MASTER'!#REF!)-1))),":",","),",",REPT(" ",50)),((((5-INDEX('CONTROL MASTER'!$T$2:$T$495,(SUMPRODUCT((('CONTROL MASTER'!$S$2:$S$495=12)*('CONTROL MASTER'!$T$2:$T$495&lt;=5)*('CONTROL MASTER'!$V$2:$V$495&gt;=5)*('CONTROL MASTER'!$U$2:$U$495&lt;=4)*('CONTROL MASTER'!$W$2:$W$495&gt;=4))*ROW('CONTROL MASTER'!$S$2:$S$495))-(ROW('CONTROL MASTER'!#REF!)-1))))*(INDEX('CONTROL MASTER'!$W$2:$W$495,(SUMPRODUCT((('CONTROL MASTER'!$S$2:$S$495=12)*('CONTROL MASTER'!$T$2:$T$495&lt;=5)*('CONTROL MASTER'!$V$2:$V$495&gt;=5)*('CONTROL MASTER'!$U$2:$U$495&lt;=4)*('CONTROL MASTER'!$W$2:$W$495&gt;=4))*ROW('CONTROL MASTER'!$S$2:$S$495))-(ROW('CONTROL MASTER'!#REF!)-1)))-INDEX('CONTROL MASTER'!$U$2:$U$495,(SUMPRODUCT((('CONTROL MASTER'!$S$2:$S$495=12)*('CONTROL MASTER'!$T$2:$T$495&lt;=5)*('CONTROL MASTER'!$V$2:$V$495&gt;=5)*('CONTROL MASTER'!$U$2:$U$495&lt;=4)*('CONTROL MASTER'!$W$2:$W$495&gt;=4))*ROW('CONTROL MASTER'!$S$2:$S$495))-(ROW('CONTROL MASTER'!#REF!)-1)))+1)+(4-INDEX('CONTROL MASTER'!$U$2:$U$495,(SUMPRODUCT((('CONTROL MASTER'!$S$2:$S$495=12)*('CONTROL MASTER'!$T$2:$T$495&lt;=5)*('CONTROL MASTER'!$V$2:$V$495&gt;=5)*('CONTROL MASTER'!$U$2:$U$495&lt;=4)*('CONTROL MASTER'!$W$2:$W$495&gt;=4))*ROW('CONTROL MASTER'!$S$2:$S$495))-(ROW('CONTROL MASTER'!#REF!)-1))))+1))-1)*50+1,50))&amp;"_"&amp;INDEX('CONTROL MASTER'!$P$2:$P$495,(SUMPRODUCT((('CONTROL MASTER'!$S$2:$S$495=12)*('CONTROL MASTER'!$T$2:$T$495&lt;=5)*('CONTROL MASTER'!$V$2:$V$495&gt;=5)*('CONTROL MASTER'!$U$2:$U$495&lt;=4)*('CONTROL MASTER'!$W$2:$W$495&gt;=4))*ROW('CONTROL MASTER'!$S$2:$S$495))-(ROW('CONTROL MASTER'!#REF!)-1))),IF(SUMPRODUCT((('CONTROL MASTER'!$S$2:$S$495=12)*('CONTROL MASTER'!$Z$2:$Z$495&lt;=5)*('CONTROL MASTER'!$AB$2:$AB$495&gt;=5)*('CONTROL MASTER'!$AA$2:$AA$495&lt;=4)*('CONTROL MASTER'!$AC$2:$AC$495&gt;=4))*ROW('CONTROL MASTER'!$S$2:$S$495))&gt;0,INDEX('CONTROL MASTER'!$X$2:$X$495,(SUMPRODUCT((('CONTROL MASTER'!$S$2:$S$495=12)*('CONTROL MASTER'!$Z$2:$Z$495&lt;=5)*('CONTROL MASTER'!$AB$2:$AB$495&gt;=5)*('CONTROL MASTER'!$AA$2:$AA$495&lt;=4)*('CONTROL MASTER'!$AC$2:$AC$495&gt;=4))*ROW('CONTROL MASTER'!$S$2:$S$495))-(ROW('CONTROL MASTER'!#REF!)-1)))&amp;TRIM(MID(SUBSTITUTE(SUBSTITUTE(INDEX('CONTROL MASTER'!$N$2:$N$495,(SUMPRODUCT((('CONTROL MASTER'!$S$2:$S$495=12)*('CONTROL MASTER'!$Z$2:$Z$495&lt;=5)*('CONTROL MASTER'!$AB$2:$AB$495&gt;=5)*('CONTROL MASTER'!$AA$2:$AA$495&lt;=4)*('CONTROL MASTER'!$AC$2:$AC$495&gt;=4))*ROW('CONTROL MASTER'!$S$2:$S$495))-(ROW('CONTROL MASTER'!#REF!)-1))),":",","),",",REPT(" ",50)),(((INDEX('CONTROL MASTER'!$Y$2:$Y$495,(SUMPRODUCT((('CONTROL MASTER'!$S$2:$S$495=12)*('CONTROL MASTER'!$Z$2:$Z$495&lt;=5)*('CONTROL MASTER'!$AB$2:$AB$495&gt;=5)*('CONTROL MASTER'!$AA$2:$AA$495&lt;=4)*('CONTROL MASTER'!$AC$2:$AC$495&gt;=4))*ROW('CONTROL MASTER'!$S$2:$S$495))-(ROW('CONTROL MASTER'!#REF!)-1)))+((5-INDEX('CONTROL MASTER'!$Z$2:$Z$495,(SUMPRODUCT((('CONTROL MASTER'!$S$2:$S$495=12)*('CONTROL MASTER'!$Z$2:$Z$495&lt;=5)*('CONTROL MASTER'!$AB$2:$AB$495&gt;=5)*('CONTROL MASTER'!$AA$2:$AA$495&lt;=4)*('CONTROL MASTER'!$AC$2:$AC$495&gt;=4))*ROW('CONTROL MASTER'!$S$2:$S$495))-(ROW('CONTROL MASTER'!#REF!)-1))))*(INDEX('CONTROL MASTER'!$AC$2:$AC$495,(SUMPRODUCT((('CONTROL MASTER'!$S$2:$S$495=12)*('CONTROL MASTER'!$Z$2:$Z$495&lt;=5)*('CONTROL MASTER'!$AB$2:$AB$495&gt;=5)*('CONTROL MASTER'!$AA$2:$AA$495&lt;=4)*('CONTROL MASTER'!$AC$2:$AC$495&gt;=4))*ROW('CONTROL MASTER'!$S$2:$S$495))-(ROW('CONTROL MASTER'!#REF!)-1)))-INDEX('CONTROL MASTER'!$AA$2:$AA$495,(SUMPRODUCT((('CONTROL MASTER'!$S$2:$S$495=12)*('CONTROL MASTER'!$Z$2:$Z$495&lt;=5)*('CONTROL MASTER'!$AB$2:$AB$495&gt;=5)*('CONTROL MASTER'!$AA$2:$AA$495&lt;=4)*('CONTROL MASTER'!$AC$2:$AC$495&gt;=4))*ROW('CONTROL MASTER'!$S$2:$S$495))-(ROW('CONTROL MASTER'!#REF!)-1)))+1)+(4-INDEX('CONTROL MASTER'!$AA$2:$AA$495,(SUMPRODUCT((('CONTROL MASTER'!$S$2:$S$495=12)*('CONTROL MASTER'!$Z$2:$Z$495&lt;=5)*('CONTROL MASTER'!$AB$2:$AB$495&gt;=5)*('CONTROL MASTER'!$AA$2:$AA$495&lt;=4)*('CONTROL MASTER'!$AC$2:$AC$495&gt;=4))*ROW('CONTROL MASTER'!$S$2:$S$495))-(ROW('CONTROL MASTER'!#REF!)-1))))+1)))-1)*50+1,50))&amp;"_"&amp;INDEX('CONTROL MASTER'!$P$2:$P$495,(SUMPRODUCT((('CONTROL MASTER'!$S$2:$S$495=12)*('CONTROL MASTER'!$Z$2:$Z$495&lt;=5)*('CONTROL MASTER'!$AB$2:$AB$495&gt;=5)*('CONTROL MASTER'!$AA$2:$AA$495&lt;=4)*('CONTROL MASTER'!$AC$2:$AC$495&gt;=4))*ROW('CONTROL MASTER'!$S$2:$S$495))-(ROW('CONTROL MASTER'!#REF!)-1))),"")),"")</f>
        <v/>
      </c>
      <c r="F161" s="10" t="str">
        <f>IFERROR(IF(SUMPRODUCT((('CONTROL MASTER'!$S$2:$S$495=12)*('CONTROL MASTER'!$T$2:$T$495&lt;=5)*('CONTROL MASTER'!$V$2:$V$495&gt;=5)*('CONTROL MASTER'!$U$2:$U$495&lt;=5)*('CONTROL MASTER'!$W$2:$W$495&gt;=5))*ROW('CONTROL MASTER'!$S$2:$S$495))&gt;0,INDEX('CONTROL MASTER'!$X$2:$X$495,(SUMPRODUCT((('CONTROL MASTER'!$S$2:$S$495=12)*('CONTROL MASTER'!$T$2:$T$495&lt;=5)*('CONTROL MASTER'!$V$2:$V$495&gt;=5)*('CONTROL MASTER'!$U$2:$U$495&lt;=5)*('CONTROL MASTER'!$W$2:$W$495&gt;=5))*ROW('CONTROL MASTER'!$S$2:$S$495))-(ROW('CONTROL MASTER'!#REF!)-1)))&amp;TRIM(MID(SUBSTITUTE(SUBSTITUTE(INDEX('CONTROL MASTER'!$N$2:$N$495,(SUMPRODUCT((('CONTROL MASTER'!$S$2:$S$495=12)*('CONTROL MASTER'!$T$2:$T$495&lt;=5)*('CONTROL MASTER'!$V$2:$V$495&gt;=5)*('CONTROL MASTER'!$U$2:$U$495&lt;=5)*('CONTROL MASTER'!$W$2:$W$495&gt;=5))*ROW('CONTROL MASTER'!$S$2:$S$495))-(ROW('CONTROL MASTER'!#REF!)-1))),":",","),",",REPT(" ",50)),((((5-INDEX('CONTROL MASTER'!$T$2:$T$495,(SUMPRODUCT((('CONTROL MASTER'!$S$2:$S$495=12)*('CONTROL MASTER'!$T$2:$T$495&lt;=5)*('CONTROL MASTER'!$V$2:$V$495&gt;=5)*('CONTROL MASTER'!$U$2:$U$495&lt;=5)*('CONTROL MASTER'!$W$2:$W$495&gt;=5))*ROW('CONTROL MASTER'!$S$2:$S$495))-(ROW('CONTROL MASTER'!#REF!)-1))))*(INDEX('CONTROL MASTER'!$W$2:$W$495,(SUMPRODUCT((('CONTROL MASTER'!$S$2:$S$495=12)*('CONTROL MASTER'!$T$2:$T$495&lt;=5)*('CONTROL MASTER'!$V$2:$V$495&gt;=5)*('CONTROL MASTER'!$U$2:$U$495&lt;=5)*('CONTROL MASTER'!$W$2:$W$495&gt;=5))*ROW('CONTROL MASTER'!$S$2:$S$495))-(ROW('CONTROL MASTER'!#REF!)-1)))-INDEX('CONTROL MASTER'!$U$2:$U$495,(SUMPRODUCT((('CONTROL MASTER'!$S$2:$S$495=12)*('CONTROL MASTER'!$T$2:$T$495&lt;=5)*('CONTROL MASTER'!$V$2:$V$495&gt;=5)*('CONTROL MASTER'!$U$2:$U$495&lt;=5)*('CONTROL MASTER'!$W$2:$W$495&gt;=5))*ROW('CONTROL MASTER'!$S$2:$S$495))-(ROW('CONTROL MASTER'!#REF!)-1)))+1)+(5-INDEX('CONTROL MASTER'!$U$2:$U$495,(SUMPRODUCT((('CONTROL MASTER'!$S$2:$S$495=12)*('CONTROL MASTER'!$T$2:$T$495&lt;=5)*('CONTROL MASTER'!$V$2:$V$495&gt;=5)*('CONTROL MASTER'!$U$2:$U$495&lt;=5)*('CONTROL MASTER'!$W$2:$W$495&gt;=5))*ROW('CONTROL MASTER'!$S$2:$S$495))-(ROW('CONTROL MASTER'!#REF!)-1))))+1))-1)*50+1,50))&amp;"_"&amp;INDEX('CONTROL MASTER'!$P$2:$P$495,(SUMPRODUCT((('CONTROL MASTER'!$S$2:$S$495=12)*('CONTROL MASTER'!$T$2:$T$495&lt;=5)*('CONTROL MASTER'!$V$2:$V$495&gt;=5)*('CONTROL MASTER'!$U$2:$U$495&lt;=5)*('CONTROL MASTER'!$W$2:$W$495&gt;=5))*ROW('CONTROL MASTER'!$S$2:$S$495))-(ROW('CONTROL MASTER'!#REF!)-1))),IF(SUMPRODUCT((('CONTROL MASTER'!$S$2:$S$495=12)*('CONTROL MASTER'!$Z$2:$Z$495&lt;=5)*('CONTROL MASTER'!$AB$2:$AB$495&gt;=5)*('CONTROL MASTER'!$AA$2:$AA$495&lt;=5)*('CONTROL MASTER'!$AC$2:$AC$495&gt;=5))*ROW('CONTROL MASTER'!$S$2:$S$495))&gt;0,INDEX('CONTROL MASTER'!$X$2:$X$495,(SUMPRODUCT((('CONTROL MASTER'!$S$2:$S$495=12)*('CONTROL MASTER'!$Z$2:$Z$495&lt;=5)*('CONTROL MASTER'!$AB$2:$AB$495&gt;=5)*('CONTROL MASTER'!$AA$2:$AA$495&lt;=5)*('CONTROL MASTER'!$AC$2:$AC$495&gt;=5))*ROW('CONTROL MASTER'!$S$2:$S$495))-(ROW('CONTROL MASTER'!#REF!)-1)))&amp;TRIM(MID(SUBSTITUTE(SUBSTITUTE(INDEX('CONTROL MASTER'!$N$2:$N$495,(SUMPRODUCT((('CONTROL MASTER'!$S$2:$S$495=12)*('CONTROL MASTER'!$Z$2:$Z$495&lt;=5)*('CONTROL MASTER'!$AB$2:$AB$495&gt;=5)*('CONTROL MASTER'!$AA$2:$AA$495&lt;=5)*('CONTROL MASTER'!$AC$2:$AC$495&gt;=5))*ROW('CONTROL MASTER'!$S$2:$S$495))-(ROW('CONTROL MASTER'!#REF!)-1))),":",","),",",REPT(" ",50)),(((INDEX('CONTROL MASTER'!$Y$2:$Y$495,(SUMPRODUCT((('CONTROL MASTER'!$S$2:$S$495=12)*('CONTROL MASTER'!$Z$2:$Z$495&lt;=5)*('CONTROL MASTER'!$AB$2:$AB$495&gt;=5)*('CONTROL MASTER'!$AA$2:$AA$495&lt;=5)*('CONTROL MASTER'!$AC$2:$AC$495&gt;=5))*ROW('CONTROL MASTER'!$S$2:$S$495))-(ROW('CONTROL MASTER'!#REF!)-1)))+((5-INDEX('CONTROL MASTER'!$Z$2:$Z$495,(SUMPRODUCT((('CONTROL MASTER'!$S$2:$S$495=12)*('CONTROL MASTER'!$Z$2:$Z$495&lt;=5)*('CONTROL MASTER'!$AB$2:$AB$495&gt;=5)*('CONTROL MASTER'!$AA$2:$AA$495&lt;=5)*('CONTROL MASTER'!$AC$2:$AC$495&gt;=5))*ROW('CONTROL MASTER'!$S$2:$S$495))-(ROW('CONTROL MASTER'!#REF!)-1))))*(INDEX('CONTROL MASTER'!$AC$2:$AC$495,(SUMPRODUCT((('CONTROL MASTER'!$S$2:$S$495=12)*('CONTROL MASTER'!$Z$2:$Z$495&lt;=5)*('CONTROL MASTER'!$AB$2:$AB$495&gt;=5)*('CONTROL MASTER'!$AA$2:$AA$495&lt;=5)*('CONTROL MASTER'!$AC$2:$AC$495&gt;=5))*ROW('CONTROL MASTER'!$S$2:$S$495))-(ROW('CONTROL MASTER'!#REF!)-1)))-INDEX('CONTROL MASTER'!$AA$2:$AA$495,(SUMPRODUCT((('CONTROL MASTER'!$S$2:$S$495=12)*('CONTROL MASTER'!$Z$2:$Z$495&lt;=5)*('CONTROL MASTER'!$AB$2:$AB$495&gt;=5)*('CONTROL MASTER'!$AA$2:$AA$495&lt;=5)*('CONTROL MASTER'!$AC$2:$AC$495&gt;=5))*ROW('CONTROL MASTER'!$S$2:$S$495))-(ROW('CONTROL MASTER'!#REF!)-1)))+1)+(5-INDEX('CONTROL MASTER'!$AA$2:$AA$495,(SUMPRODUCT((('CONTROL MASTER'!$S$2:$S$495=12)*('CONTROL MASTER'!$Z$2:$Z$495&lt;=5)*('CONTROL MASTER'!$AB$2:$AB$495&gt;=5)*('CONTROL MASTER'!$AA$2:$AA$495&lt;=5)*('CONTROL MASTER'!$AC$2:$AC$495&gt;=5))*ROW('CONTROL MASTER'!$S$2:$S$495))-(ROW('CONTROL MASTER'!#REF!)-1))))+1)))-1)*50+1,50))&amp;"_"&amp;INDEX('CONTROL MASTER'!$P$2:$P$495,(SUMPRODUCT((('CONTROL MASTER'!$S$2:$S$495=12)*('CONTROL MASTER'!$Z$2:$Z$495&lt;=5)*('CONTROL MASTER'!$AB$2:$AB$495&gt;=5)*('CONTROL MASTER'!$AA$2:$AA$495&lt;=5)*('CONTROL MASTER'!$AC$2:$AC$495&gt;=5))*ROW('CONTROL MASTER'!$S$2:$S$495))-(ROW('CONTROL MASTER'!#REF!)-1))),"")),"")</f>
        <v/>
      </c>
      <c r="G161" s="10" t="str">
        <f>IFERROR(IF(SUMPRODUCT((('CONTROL MASTER'!$S$2:$S$495=12)*('CONTROL MASTER'!$T$2:$T$495&lt;=5)*('CONTROL MASTER'!$V$2:$V$495&gt;=5)*('CONTROL MASTER'!$U$2:$U$495&lt;=6)*('CONTROL MASTER'!$W$2:$W$495&gt;=6))*ROW('CONTROL MASTER'!$S$2:$S$495))&gt;0,INDEX('CONTROL MASTER'!$X$2:$X$495,(SUMPRODUCT((('CONTROL MASTER'!$S$2:$S$495=12)*('CONTROL MASTER'!$T$2:$T$495&lt;=5)*('CONTROL MASTER'!$V$2:$V$495&gt;=5)*('CONTROL MASTER'!$U$2:$U$495&lt;=6)*('CONTROL MASTER'!$W$2:$W$495&gt;=6))*ROW('CONTROL MASTER'!$S$2:$S$495))-(ROW('CONTROL MASTER'!#REF!)-1)))&amp;TRIM(MID(SUBSTITUTE(SUBSTITUTE(INDEX('CONTROL MASTER'!$N$2:$N$495,(SUMPRODUCT((('CONTROL MASTER'!$S$2:$S$495=12)*('CONTROL MASTER'!$T$2:$T$495&lt;=5)*('CONTROL MASTER'!$V$2:$V$495&gt;=5)*('CONTROL MASTER'!$U$2:$U$495&lt;=6)*('CONTROL MASTER'!$W$2:$W$495&gt;=6))*ROW('CONTROL MASTER'!$S$2:$S$495))-(ROW('CONTROL MASTER'!#REF!)-1))),":",","),",",REPT(" ",50)),((((5-INDEX('CONTROL MASTER'!$T$2:$T$495,(SUMPRODUCT((('CONTROL MASTER'!$S$2:$S$495=12)*('CONTROL MASTER'!$T$2:$T$495&lt;=5)*('CONTROL MASTER'!$V$2:$V$495&gt;=5)*('CONTROL MASTER'!$U$2:$U$495&lt;=6)*('CONTROL MASTER'!$W$2:$W$495&gt;=6))*ROW('CONTROL MASTER'!$S$2:$S$495))-(ROW('CONTROL MASTER'!#REF!)-1))))*(INDEX('CONTROL MASTER'!$W$2:$W$495,(SUMPRODUCT((('CONTROL MASTER'!$S$2:$S$495=12)*('CONTROL MASTER'!$T$2:$T$495&lt;=5)*('CONTROL MASTER'!$V$2:$V$495&gt;=5)*('CONTROL MASTER'!$U$2:$U$495&lt;=6)*('CONTROL MASTER'!$W$2:$W$495&gt;=6))*ROW('CONTROL MASTER'!$S$2:$S$495))-(ROW('CONTROL MASTER'!#REF!)-1)))-INDEX('CONTROL MASTER'!$U$2:$U$495,(SUMPRODUCT((('CONTROL MASTER'!$S$2:$S$495=12)*('CONTROL MASTER'!$T$2:$T$495&lt;=5)*('CONTROL MASTER'!$V$2:$V$495&gt;=5)*('CONTROL MASTER'!$U$2:$U$495&lt;=6)*('CONTROL MASTER'!$W$2:$W$495&gt;=6))*ROW('CONTROL MASTER'!$S$2:$S$495))-(ROW('CONTROL MASTER'!#REF!)-1)))+1)+(6-INDEX('CONTROL MASTER'!$U$2:$U$495,(SUMPRODUCT((('CONTROL MASTER'!$S$2:$S$495=12)*('CONTROL MASTER'!$T$2:$T$495&lt;=5)*('CONTROL MASTER'!$V$2:$V$495&gt;=5)*('CONTROL MASTER'!$U$2:$U$495&lt;=6)*('CONTROL MASTER'!$W$2:$W$495&gt;=6))*ROW('CONTROL MASTER'!$S$2:$S$495))-(ROW('CONTROL MASTER'!#REF!)-1))))+1))-1)*50+1,50))&amp;"_"&amp;INDEX('CONTROL MASTER'!$P$2:$P$495,(SUMPRODUCT((('CONTROL MASTER'!$S$2:$S$495=12)*('CONTROL MASTER'!$T$2:$T$495&lt;=5)*('CONTROL MASTER'!$V$2:$V$495&gt;=5)*('CONTROL MASTER'!$U$2:$U$495&lt;=6)*('CONTROL MASTER'!$W$2:$W$495&gt;=6))*ROW('CONTROL MASTER'!$S$2:$S$495))-(ROW('CONTROL MASTER'!#REF!)-1))),IF(SUMPRODUCT((('CONTROL MASTER'!$S$2:$S$495=12)*('CONTROL MASTER'!$Z$2:$Z$495&lt;=5)*('CONTROL MASTER'!$AB$2:$AB$495&gt;=5)*('CONTROL MASTER'!$AA$2:$AA$495&lt;=6)*('CONTROL MASTER'!$AC$2:$AC$495&gt;=6))*ROW('CONTROL MASTER'!$S$2:$S$495))&gt;0,INDEX('CONTROL MASTER'!$X$2:$X$495,(SUMPRODUCT((('CONTROL MASTER'!$S$2:$S$495=12)*('CONTROL MASTER'!$Z$2:$Z$495&lt;=5)*('CONTROL MASTER'!$AB$2:$AB$495&gt;=5)*('CONTROL MASTER'!$AA$2:$AA$495&lt;=6)*('CONTROL MASTER'!$AC$2:$AC$495&gt;=6))*ROW('CONTROL MASTER'!$S$2:$S$495))-(ROW('CONTROL MASTER'!#REF!)-1)))&amp;TRIM(MID(SUBSTITUTE(SUBSTITUTE(INDEX('CONTROL MASTER'!$N$2:$N$495,(SUMPRODUCT((('CONTROL MASTER'!$S$2:$S$495=12)*('CONTROL MASTER'!$Z$2:$Z$495&lt;=5)*('CONTROL MASTER'!$AB$2:$AB$495&gt;=5)*('CONTROL MASTER'!$AA$2:$AA$495&lt;=6)*('CONTROL MASTER'!$AC$2:$AC$495&gt;=6))*ROW('CONTROL MASTER'!$S$2:$S$495))-(ROW('CONTROL MASTER'!#REF!)-1))),":",","),",",REPT(" ",50)),(((INDEX('CONTROL MASTER'!$Y$2:$Y$495,(SUMPRODUCT((('CONTROL MASTER'!$S$2:$S$495=12)*('CONTROL MASTER'!$Z$2:$Z$495&lt;=5)*('CONTROL MASTER'!$AB$2:$AB$495&gt;=5)*('CONTROL MASTER'!$AA$2:$AA$495&lt;=6)*('CONTROL MASTER'!$AC$2:$AC$495&gt;=6))*ROW('CONTROL MASTER'!$S$2:$S$495))-(ROW('CONTROL MASTER'!#REF!)-1)))+((5-INDEX('CONTROL MASTER'!$Z$2:$Z$495,(SUMPRODUCT((('CONTROL MASTER'!$S$2:$S$495=12)*('CONTROL MASTER'!$Z$2:$Z$495&lt;=5)*('CONTROL MASTER'!$AB$2:$AB$495&gt;=5)*('CONTROL MASTER'!$AA$2:$AA$495&lt;=6)*('CONTROL MASTER'!$AC$2:$AC$495&gt;=6))*ROW('CONTROL MASTER'!$S$2:$S$495))-(ROW('CONTROL MASTER'!#REF!)-1))))*(INDEX('CONTROL MASTER'!$AC$2:$AC$495,(SUMPRODUCT((('CONTROL MASTER'!$S$2:$S$495=12)*('CONTROL MASTER'!$Z$2:$Z$495&lt;=5)*('CONTROL MASTER'!$AB$2:$AB$495&gt;=5)*('CONTROL MASTER'!$AA$2:$AA$495&lt;=6)*('CONTROL MASTER'!$AC$2:$AC$495&gt;=6))*ROW('CONTROL MASTER'!$S$2:$S$495))-(ROW('CONTROL MASTER'!#REF!)-1)))-INDEX('CONTROL MASTER'!$AA$2:$AA$495,(SUMPRODUCT((('CONTROL MASTER'!$S$2:$S$495=12)*('CONTROL MASTER'!$Z$2:$Z$495&lt;=5)*('CONTROL MASTER'!$AB$2:$AB$495&gt;=5)*('CONTROL MASTER'!$AA$2:$AA$495&lt;=6)*('CONTROL MASTER'!$AC$2:$AC$495&gt;=6))*ROW('CONTROL MASTER'!$S$2:$S$495))-(ROW('CONTROL MASTER'!#REF!)-1)))+1)+(6-INDEX('CONTROL MASTER'!$AA$2:$AA$495,(SUMPRODUCT((('CONTROL MASTER'!$S$2:$S$495=12)*('CONTROL MASTER'!$Z$2:$Z$495&lt;=5)*('CONTROL MASTER'!$AB$2:$AB$495&gt;=5)*('CONTROL MASTER'!$AA$2:$AA$495&lt;=6)*('CONTROL MASTER'!$AC$2:$AC$495&gt;=6))*ROW('CONTROL MASTER'!$S$2:$S$495))-(ROW('CONTROL MASTER'!#REF!)-1))))+1)))-1)*50+1,50))&amp;"_"&amp;INDEX('CONTROL MASTER'!$P$2:$P$495,(SUMPRODUCT((('CONTROL MASTER'!$S$2:$S$495=12)*('CONTROL MASTER'!$Z$2:$Z$495&lt;=5)*('CONTROL MASTER'!$AB$2:$AB$495&gt;=5)*('CONTROL MASTER'!$AA$2:$AA$495&lt;=6)*('CONTROL MASTER'!$AC$2:$AC$495&gt;=6))*ROW('CONTROL MASTER'!$S$2:$S$495))-(ROW('CONTROL MASTER'!#REF!)-1))),"")),"")</f>
        <v/>
      </c>
      <c r="H161" s="10" t="str">
        <f>IFERROR(IF(SUMPRODUCT((('CONTROL MASTER'!$S$2:$S$495=12)*('CONTROL MASTER'!$T$2:$T$495&lt;=5)*('CONTROL MASTER'!$V$2:$V$495&gt;=5)*('CONTROL MASTER'!$U$2:$U$495&lt;=7)*('CONTROL MASTER'!$W$2:$W$495&gt;=7))*ROW('CONTROL MASTER'!$S$2:$S$495))&gt;0,INDEX('CONTROL MASTER'!$X$2:$X$495,(SUMPRODUCT((('CONTROL MASTER'!$S$2:$S$495=12)*('CONTROL MASTER'!$T$2:$T$495&lt;=5)*('CONTROL MASTER'!$V$2:$V$495&gt;=5)*('CONTROL MASTER'!$U$2:$U$495&lt;=7)*('CONTROL MASTER'!$W$2:$W$495&gt;=7))*ROW('CONTROL MASTER'!$S$2:$S$495))-(ROW('CONTROL MASTER'!#REF!)-1)))&amp;TRIM(MID(SUBSTITUTE(SUBSTITUTE(INDEX('CONTROL MASTER'!$N$2:$N$495,(SUMPRODUCT((('CONTROL MASTER'!$S$2:$S$495=12)*('CONTROL MASTER'!$T$2:$T$495&lt;=5)*('CONTROL MASTER'!$V$2:$V$495&gt;=5)*('CONTROL MASTER'!$U$2:$U$495&lt;=7)*('CONTROL MASTER'!$W$2:$W$495&gt;=7))*ROW('CONTROL MASTER'!$S$2:$S$495))-(ROW('CONTROL MASTER'!#REF!)-1))),":",","),",",REPT(" ",50)),((((5-INDEX('CONTROL MASTER'!$T$2:$T$495,(SUMPRODUCT((('CONTROL MASTER'!$S$2:$S$495=12)*('CONTROL MASTER'!$T$2:$T$495&lt;=5)*('CONTROL MASTER'!$V$2:$V$495&gt;=5)*('CONTROL MASTER'!$U$2:$U$495&lt;=7)*('CONTROL MASTER'!$W$2:$W$495&gt;=7))*ROW('CONTROL MASTER'!$S$2:$S$495))-(ROW('CONTROL MASTER'!#REF!)-1))))*(INDEX('CONTROL MASTER'!$W$2:$W$495,(SUMPRODUCT((('CONTROL MASTER'!$S$2:$S$495=12)*('CONTROL MASTER'!$T$2:$T$495&lt;=5)*('CONTROL MASTER'!$V$2:$V$495&gt;=5)*('CONTROL MASTER'!$U$2:$U$495&lt;=7)*('CONTROL MASTER'!$W$2:$W$495&gt;=7))*ROW('CONTROL MASTER'!$S$2:$S$495))-(ROW('CONTROL MASTER'!#REF!)-1)))-INDEX('CONTROL MASTER'!$U$2:$U$495,(SUMPRODUCT((('CONTROL MASTER'!$S$2:$S$495=12)*('CONTROL MASTER'!$T$2:$T$495&lt;=5)*('CONTROL MASTER'!$V$2:$V$495&gt;=5)*('CONTROL MASTER'!$U$2:$U$495&lt;=7)*('CONTROL MASTER'!$W$2:$W$495&gt;=7))*ROW('CONTROL MASTER'!$S$2:$S$495))-(ROW('CONTROL MASTER'!#REF!)-1)))+1)+(7-INDEX('CONTROL MASTER'!$U$2:$U$495,(SUMPRODUCT((('CONTROL MASTER'!$S$2:$S$495=12)*('CONTROL MASTER'!$T$2:$T$495&lt;=5)*('CONTROL MASTER'!$V$2:$V$495&gt;=5)*('CONTROL MASTER'!$U$2:$U$495&lt;=7)*('CONTROL MASTER'!$W$2:$W$495&gt;=7))*ROW('CONTROL MASTER'!$S$2:$S$495))-(ROW('CONTROL MASTER'!#REF!)-1))))+1))-1)*50+1,50))&amp;"_"&amp;INDEX('CONTROL MASTER'!$P$2:$P$495,(SUMPRODUCT((('CONTROL MASTER'!$S$2:$S$495=12)*('CONTROL MASTER'!$T$2:$T$495&lt;=5)*('CONTROL MASTER'!$V$2:$V$495&gt;=5)*('CONTROL MASTER'!$U$2:$U$495&lt;=7)*('CONTROL MASTER'!$W$2:$W$495&gt;=7))*ROW('CONTROL MASTER'!$S$2:$S$495))-(ROW('CONTROL MASTER'!#REF!)-1))),IF(SUMPRODUCT((('CONTROL MASTER'!$S$2:$S$495=12)*('CONTROL MASTER'!$Z$2:$Z$495&lt;=5)*('CONTROL MASTER'!$AB$2:$AB$495&gt;=5)*('CONTROL MASTER'!$AA$2:$AA$495&lt;=7)*('CONTROL MASTER'!$AC$2:$AC$495&gt;=7))*ROW('CONTROL MASTER'!$S$2:$S$495))&gt;0,INDEX('CONTROL MASTER'!$X$2:$X$495,(SUMPRODUCT((('CONTROL MASTER'!$S$2:$S$495=12)*('CONTROL MASTER'!$Z$2:$Z$495&lt;=5)*('CONTROL MASTER'!$AB$2:$AB$495&gt;=5)*('CONTROL MASTER'!$AA$2:$AA$495&lt;=7)*('CONTROL MASTER'!$AC$2:$AC$495&gt;=7))*ROW('CONTROL MASTER'!$S$2:$S$495))-(ROW('CONTROL MASTER'!#REF!)-1)))&amp;TRIM(MID(SUBSTITUTE(SUBSTITUTE(INDEX('CONTROL MASTER'!$N$2:$N$495,(SUMPRODUCT((('CONTROL MASTER'!$S$2:$S$495=12)*('CONTROL MASTER'!$Z$2:$Z$495&lt;=5)*('CONTROL MASTER'!$AB$2:$AB$495&gt;=5)*('CONTROL MASTER'!$AA$2:$AA$495&lt;=7)*('CONTROL MASTER'!$AC$2:$AC$495&gt;=7))*ROW('CONTROL MASTER'!$S$2:$S$495))-(ROW('CONTROL MASTER'!#REF!)-1))),":",","),",",REPT(" ",50)),(((INDEX('CONTROL MASTER'!$Y$2:$Y$495,(SUMPRODUCT((('CONTROL MASTER'!$S$2:$S$495=12)*('CONTROL MASTER'!$Z$2:$Z$495&lt;=5)*('CONTROL MASTER'!$AB$2:$AB$495&gt;=5)*('CONTROL MASTER'!$AA$2:$AA$495&lt;=7)*('CONTROL MASTER'!$AC$2:$AC$495&gt;=7))*ROW('CONTROL MASTER'!$S$2:$S$495))-(ROW('CONTROL MASTER'!#REF!)-1)))+((5-INDEX('CONTROL MASTER'!$Z$2:$Z$495,(SUMPRODUCT((('CONTROL MASTER'!$S$2:$S$495=12)*('CONTROL MASTER'!$Z$2:$Z$495&lt;=5)*('CONTROL MASTER'!$AB$2:$AB$495&gt;=5)*('CONTROL MASTER'!$AA$2:$AA$495&lt;=7)*('CONTROL MASTER'!$AC$2:$AC$495&gt;=7))*ROW('CONTROL MASTER'!$S$2:$S$495))-(ROW('CONTROL MASTER'!#REF!)-1))))*(INDEX('CONTROL MASTER'!$AC$2:$AC$495,(SUMPRODUCT((('CONTROL MASTER'!$S$2:$S$495=12)*('CONTROL MASTER'!$Z$2:$Z$495&lt;=5)*('CONTROL MASTER'!$AB$2:$AB$495&gt;=5)*('CONTROL MASTER'!$AA$2:$AA$495&lt;=7)*('CONTROL MASTER'!$AC$2:$AC$495&gt;=7))*ROW('CONTROL MASTER'!$S$2:$S$495))-(ROW('CONTROL MASTER'!#REF!)-1)))-INDEX('CONTROL MASTER'!$AA$2:$AA$495,(SUMPRODUCT((('CONTROL MASTER'!$S$2:$S$495=12)*('CONTROL MASTER'!$Z$2:$Z$495&lt;=5)*('CONTROL MASTER'!$AB$2:$AB$495&gt;=5)*('CONTROL MASTER'!$AA$2:$AA$495&lt;=7)*('CONTROL MASTER'!$AC$2:$AC$495&gt;=7))*ROW('CONTROL MASTER'!$S$2:$S$495))-(ROW('CONTROL MASTER'!#REF!)-1)))+1)+(7-INDEX('CONTROL MASTER'!$AA$2:$AA$495,(SUMPRODUCT((('CONTROL MASTER'!$S$2:$S$495=12)*('CONTROL MASTER'!$Z$2:$Z$495&lt;=5)*('CONTROL MASTER'!$AB$2:$AB$495&gt;=5)*('CONTROL MASTER'!$AA$2:$AA$495&lt;=7)*('CONTROL MASTER'!$AC$2:$AC$495&gt;=7))*ROW('CONTROL MASTER'!$S$2:$S$495))-(ROW('CONTROL MASTER'!#REF!)-1))))+1)))-1)*50+1,50))&amp;"_"&amp;INDEX('CONTROL MASTER'!$P$2:$P$495,(SUMPRODUCT((('CONTROL MASTER'!$S$2:$S$495=12)*('CONTROL MASTER'!$Z$2:$Z$495&lt;=5)*('CONTROL MASTER'!$AB$2:$AB$495&gt;=5)*('CONTROL MASTER'!$AA$2:$AA$495&lt;=7)*('CONTROL MASTER'!$AC$2:$AC$495&gt;=7))*ROW('CONTROL MASTER'!$S$2:$S$495))-(ROW('CONTROL MASTER'!#REF!)-1))),"")),"")</f>
        <v/>
      </c>
      <c r="I161" s="10" t="str">
        <f>IFERROR(IF(SUMPRODUCT((('CONTROL MASTER'!$S$2:$S$495=12)*('CONTROL MASTER'!$T$2:$T$495&lt;=5)*('CONTROL MASTER'!$V$2:$V$495&gt;=5)*('CONTROL MASTER'!$U$2:$U$495&lt;=8)*('CONTROL MASTER'!$W$2:$W$495&gt;=8))*ROW('CONTROL MASTER'!$S$2:$S$495))&gt;0,INDEX('CONTROL MASTER'!$X$2:$X$495,(SUMPRODUCT((('CONTROL MASTER'!$S$2:$S$495=12)*('CONTROL MASTER'!$T$2:$T$495&lt;=5)*('CONTROL MASTER'!$V$2:$V$495&gt;=5)*('CONTROL MASTER'!$U$2:$U$495&lt;=8)*('CONTROL MASTER'!$W$2:$W$495&gt;=8))*ROW('CONTROL MASTER'!$S$2:$S$495))-(ROW('CONTROL MASTER'!#REF!)-1)))&amp;TRIM(MID(SUBSTITUTE(SUBSTITUTE(INDEX('CONTROL MASTER'!$N$2:$N$495,(SUMPRODUCT((('CONTROL MASTER'!$S$2:$S$495=12)*('CONTROL MASTER'!$T$2:$T$495&lt;=5)*('CONTROL MASTER'!$V$2:$V$495&gt;=5)*('CONTROL MASTER'!$U$2:$U$495&lt;=8)*('CONTROL MASTER'!$W$2:$W$495&gt;=8))*ROW('CONTROL MASTER'!$S$2:$S$495))-(ROW('CONTROL MASTER'!#REF!)-1))),":",","),",",REPT(" ",50)),((((5-INDEX('CONTROL MASTER'!$T$2:$T$495,(SUMPRODUCT((('CONTROL MASTER'!$S$2:$S$495=12)*('CONTROL MASTER'!$T$2:$T$495&lt;=5)*('CONTROL MASTER'!$V$2:$V$495&gt;=5)*('CONTROL MASTER'!$U$2:$U$495&lt;=8)*('CONTROL MASTER'!$W$2:$W$495&gt;=8))*ROW('CONTROL MASTER'!$S$2:$S$495))-(ROW('CONTROL MASTER'!#REF!)-1))))*(INDEX('CONTROL MASTER'!$W$2:$W$495,(SUMPRODUCT((('CONTROL MASTER'!$S$2:$S$495=12)*('CONTROL MASTER'!$T$2:$T$495&lt;=5)*('CONTROL MASTER'!$V$2:$V$495&gt;=5)*('CONTROL MASTER'!$U$2:$U$495&lt;=8)*('CONTROL MASTER'!$W$2:$W$495&gt;=8))*ROW('CONTROL MASTER'!$S$2:$S$495))-(ROW('CONTROL MASTER'!#REF!)-1)))-INDEX('CONTROL MASTER'!$U$2:$U$495,(SUMPRODUCT((('CONTROL MASTER'!$S$2:$S$495=12)*('CONTROL MASTER'!$T$2:$T$495&lt;=5)*('CONTROL MASTER'!$V$2:$V$495&gt;=5)*('CONTROL MASTER'!$U$2:$U$495&lt;=8)*('CONTROL MASTER'!$W$2:$W$495&gt;=8))*ROW('CONTROL MASTER'!$S$2:$S$495))-(ROW('CONTROL MASTER'!#REF!)-1)))+1)+(8-INDEX('CONTROL MASTER'!$U$2:$U$495,(SUMPRODUCT((('CONTROL MASTER'!$S$2:$S$495=12)*('CONTROL MASTER'!$T$2:$T$495&lt;=5)*('CONTROL MASTER'!$V$2:$V$495&gt;=5)*('CONTROL MASTER'!$U$2:$U$495&lt;=8)*('CONTROL MASTER'!$W$2:$W$495&gt;=8))*ROW('CONTROL MASTER'!$S$2:$S$495))-(ROW('CONTROL MASTER'!#REF!)-1))))+1))-1)*50+1,50))&amp;"_"&amp;INDEX('CONTROL MASTER'!$P$2:$P$495,(SUMPRODUCT((('CONTROL MASTER'!$S$2:$S$495=12)*('CONTROL MASTER'!$T$2:$T$495&lt;=5)*('CONTROL MASTER'!$V$2:$V$495&gt;=5)*('CONTROL MASTER'!$U$2:$U$495&lt;=8)*('CONTROL MASTER'!$W$2:$W$495&gt;=8))*ROW('CONTROL MASTER'!$S$2:$S$495))-(ROW('CONTROL MASTER'!#REF!)-1))),IF(SUMPRODUCT((('CONTROL MASTER'!$S$2:$S$495=12)*('CONTROL MASTER'!$Z$2:$Z$495&lt;=5)*('CONTROL MASTER'!$AB$2:$AB$495&gt;=5)*('CONTROL MASTER'!$AA$2:$AA$495&lt;=8)*('CONTROL MASTER'!$AC$2:$AC$495&gt;=8))*ROW('CONTROL MASTER'!$S$2:$S$495))&gt;0,INDEX('CONTROL MASTER'!$X$2:$X$495,(SUMPRODUCT((('CONTROL MASTER'!$S$2:$S$495=12)*('CONTROL MASTER'!$Z$2:$Z$495&lt;=5)*('CONTROL MASTER'!$AB$2:$AB$495&gt;=5)*('CONTROL MASTER'!$AA$2:$AA$495&lt;=8)*('CONTROL MASTER'!$AC$2:$AC$495&gt;=8))*ROW('CONTROL MASTER'!$S$2:$S$495))-(ROW('CONTROL MASTER'!#REF!)-1)))&amp;TRIM(MID(SUBSTITUTE(SUBSTITUTE(INDEX('CONTROL MASTER'!$N$2:$N$495,(SUMPRODUCT((('CONTROL MASTER'!$S$2:$S$495=12)*('CONTROL MASTER'!$Z$2:$Z$495&lt;=5)*('CONTROL MASTER'!$AB$2:$AB$495&gt;=5)*('CONTROL MASTER'!$AA$2:$AA$495&lt;=8)*('CONTROL MASTER'!$AC$2:$AC$495&gt;=8))*ROW('CONTROL MASTER'!$S$2:$S$495))-(ROW('CONTROL MASTER'!#REF!)-1))),":",","),",",REPT(" ",50)),(((INDEX('CONTROL MASTER'!$Y$2:$Y$495,(SUMPRODUCT((('CONTROL MASTER'!$S$2:$S$495=12)*('CONTROL MASTER'!$Z$2:$Z$495&lt;=5)*('CONTROL MASTER'!$AB$2:$AB$495&gt;=5)*('CONTROL MASTER'!$AA$2:$AA$495&lt;=8)*('CONTROL MASTER'!$AC$2:$AC$495&gt;=8))*ROW('CONTROL MASTER'!$S$2:$S$495))-(ROW('CONTROL MASTER'!#REF!)-1)))+((5-INDEX('CONTROL MASTER'!$Z$2:$Z$495,(SUMPRODUCT((('CONTROL MASTER'!$S$2:$S$495=12)*('CONTROL MASTER'!$Z$2:$Z$495&lt;=5)*('CONTROL MASTER'!$AB$2:$AB$495&gt;=5)*('CONTROL MASTER'!$AA$2:$AA$495&lt;=8)*('CONTROL MASTER'!$AC$2:$AC$495&gt;=8))*ROW('CONTROL MASTER'!$S$2:$S$495))-(ROW('CONTROL MASTER'!#REF!)-1))))*(INDEX('CONTROL MASTER'!$AC$2:$AC$495,(SUMPRODUCT((('CONTROL MASTER'!$S$2:$S$495=12)*('CONTROL MASTER'!$Z$2:$Z$495&lt;=5)*('CONTROL MASTER'!$AB$2:$AB$495&gt;=5)*('CONTROL MASTER'!$AA$2:$AA$495&lt;=8)*('CONTROL MASTER'!$AC$2:$AC$495&gt;=8))*ROW('CONTROL MASTER'!$S$2:$S$495))-(ROW('CONTROL MASTER'!#REF!)-1)))-INDEX('CONTROL MASTER'!$AA$2:$AA$495,(SUMPRODUCT((('CONTROL MASTER'!$S$2:$S$495=12)*('CONTROL MASTER'!$Z$2:$Z$495&lt;=5)*('CONTROL MASTER'!$AB$2:$AB$495&gt;=5)*('CONTROL MASTER'!$AA$2:$AA$495&lt;=8)*('CONTROL MASTER'!$AC$2:$AC$495&gt;=8))*ROW('CONTROL MASTER'!$S$2:$S$495))-(ROW('CONTROL MASTER'!#REF!)-1)))+1)+(8-INDEX('CONTROL MASTER'!$AA$2:$AA$495,(SUMPRODUCT((('CONTROL MASTER'!$S$2:$S$495=12)*('CONTROL MASTER'!$Z$2:$Z$495&lt;=5)*('CONTROL MASTER'!$AB$2:$AB$495&gt;=5)*('CONTROL MASTER'!$AA$2:$AA$495&lt;=8)*('CONTROL MASTER'!$AC$2:$AC$495&gt;=8))*ROW('CONTROL MASTER'!$S$2:$S$495))-(ROW('CONTROL MASTER'!#REF!)-1))))+1)))-1)*50+1,50))&amp;"_"&amp;INDEX('CONTROL MASTER'!$P$2:$P$495,(SUMPRODUCT((('CONTROL MASTER'!$S$2:$S$495=12)*('CONTROL MASTER'!$Z$2:$Z$495&lt;=5)*('CONTROL MASTER'!$AB$2:$AB$495&gt;=5)*('CONTROL MASTER'!$AA$2:$AA$495&lt;=8)*('CONTROL MASTER'!$AC$2:$AC$495&gt;=8))*ROW('CONTROL MASTER'!$S$2:$S$495))-(ROW('CONTROL MASTER'!#REF!)-1))),"")),"")</f>
        <v/>
      </c>
      <c r="J161" s="10" t="str">
        <f>IFERROR(IF(SUMPRODUCT((('CONTROL MASTER'!$S$2:$S$495=12)*('CONTROL MASTER'!$T$2:$T$495&lt;=5)*('CONTROL MASTER'!$V$2:$V$495&gt;=5)*('CONTROL MASTER'!$U$2:$U$495&lt;=9)*('CONTROL MASTER'!$W$2:$W$495&gt;=9))*ROW('CONTROL MASTER'!$S$2:$S$495))&gt;0,INDEX('CONTROL MASTER'!$X$2:$X$495,(SUMPRODUCT((('CONTROL MASTER'!$S$2:$S$495=12)*('CONTROL MASTER'!$T$2:$T$495&lt;=5)*('CONTROL MASTER'!$V$2:$V$495&gt;=5)*('CONTROL MASTER'!$U$2:$U$495&lt;=9)*('CONTROL MASTER'!$W$2:$W$495&gt;=9))*ROW('CONTROL MASTER'!$S$2:$S$495))-(ROW('CONTROL MASTER'!#REF!)-1)))&amp;TRIM(MID(SUBSTITUTE(SUBSTITUTE(INDEX('CONTROL MASTER'!$N$2:$N$495,(SUMPRODUCT((('CONTROL MASTER'!$S$2:$S$495=12)*('CONTROL MASTER'!$T$2:$T$495&lt;=5)*('CONTROL MASTER'!$V$2:$V$495&gt;=5)*('CONTROL MASTER'!$U$2:$U$495&lt;=9)*('CONTROL MASTER'!$W$2:$W$495&gt;=9))*ROW('CONTROL MASTER'!$S$2:$S$495))-(ROW('CONTROL MASTER'!#REF!)-1))),":",","),",",REPT(" ",50)),((((5-INDEX('CONTROL MASTER'!$T$2:$T$495,(SUMPRODUCT((('CONTROL MASTER'!$S$2:$S$495=12)*('CONTROL MASTER'!$T$2:$T$495&lt;=5)*('CONTROL MASTER'!$V$2:$V$495&gt;=5)*('CONTROL MASTER'!$U$2:$U$495&lt;=9)*('CONTROL MASTER'!$W$2:$W$495&gt;=9))*ROW('CONTROL MASTER'!$S$2:$S$495))-(ROW('CONTROL MASTER'!#REF!)-1))))*(INDEX('CONTROL MASTER'!$W$2:$W$495,(SUMPRODUCT((('CONTROL MASTER'!$S$2:$S$495=12)*('CONTROL MASTER'!$T$2:$T$495&lt;=5)*('CONTROL MASTER'!$V$2:$V$495&gt;=5)*('CONTROL MASTER'!$U$2:$U$495&lt;=9)*('CONTROL MASTER'!$W$2:$W$495&gt;=9))*ROW('CONTROL MASTER'!$S$2:$S$495))-(ROW('CONTROL MASTER'!#REF!)-1)))-INDEX('CONTROL MASTER'!$U$2:$U$495,(SUMPRODUCT((('CONTROL MASTER'!$S$2:$S$495=12)*('CONTROL MASTER'!$T$2:$T$495&lt;=5)*('CONTROL MASTER'!$V$2:$V$495&gt;=5)*('CONTROL MASTER'!$U$2:$U$495&lt;=9)*('CONTROL MASTER'!$W$2:$W$495&gt;=9))*ROW('CONTROL MASTER'!$S$2:$S$495))-(ROW('CONTROL MASTER'!#REF!)-1)))+1)+(9-INDEX('CONTROL MASTER'!$U$2:$U$495,(SUMPRODUCT((('CONTROL MASTER'!$S$2:$S$495=12)*('CONTROL MASTER'!$T$2:$T$495&lt;=5)*('CONTROL MASTER'!$V$2:$V$495&gt;=5)*('CONTROL MASTER'!$U$2:$U$495&lt;=9)*('CONTROL MASTER'!$W$2:$W$495&gt;=9))*ROW('CONTROL MASTER'!$S$2:$S$495))-(ROW('CONTROL MASTER'!#REF!)-1))))+1))-1)*50+1,50))&amp;"_"&amp;INDEX('CONTROL MASTER'!$P$2:$P$495,(SUMPRODUCT((('CONTROL MASTER'!$S$2:$S$495=12)*('CONTROL MASTER'!$T$2:$T$495&lt;=5)*('CONTROL MASTER'!$V$2:$V$495&gt;=5)*('CONTROL MASTER'!$U$2:$U$495&lt;=9)*('CONTROL MASTER'!$W$2:$W$495&gt;=9))*ROW('CONTROL MASTER'!$S$2:$S$495))-(ROW('CONTROL MASTER'!#REF!)-1))),IF(SUMPRODUCT((('CONTROL MASTER'!$S$2:$S$495=12)*('CONTROL MASTER'!$Z$2:$Z$495&lt;=5)*('CONTROL MASTER'!$AB$2:$AB$495&gt;=5)*('CONTROL MASTER'!$AA$2:$AA$495&lt;=9)*('CONTROL MASTER'!$AC$2:$AC$495&gt;=9))*ROW('CONTROL MASTER'!$S$2:$S$495))&gt;0,INDEX('CONTROL MASTER'!$X$2:$X$495,(SUMPRODUCT((('CONTROL MASTER'!$S$2:$S$495=12)*('CONTROL MASTER'!$Z$2:$Z$495&lt;=5)*('CONTROL MASTER'!$AB$2:$AB$495&gt;=5)*('CONTROL MASTER'!$AA$2:$AA$495&lt;=9)*('CONTROL MASTER'!$AC$2:$AC$495&gt;=9))*ROW('CONTROL MASTER'!$S$2:$S$495))-(ROW('CONTROL MASTER'!#REF!)-1)))&amp;TRIM(MID(SUBSTITUTE(SUBSTITUTE(INDEX('CONTROL MASTER'!$N$2:$N$495,(SUMPRODUCT((('CONTROL MASTER'!$S$2:$S$495=12)*('CONTROL MASTER'!$Z$2:$Z$495&lt;=5)*('CONTROL MASTER'!$AB$2:$AB$495&gt;=5)*('CONTROL MASTER'!$AA$2:$AA$495&lt;=9)*('CONTROL MASTER'!$AC$2:$AC$495&gt;=9))*ROW('CONTROL MASTER'!$S$2:$S$495))-(ROW('CONTROL MASTER'!#REF!)-1))),":",","),",",REPT(" ",50)),(((INDEX('CONTROL MASTER'!$Y$2:$Y$495,(SUMPRODUCT((('CONTROL MASTER'!$S$2:$S$495=12)*('CONTROL MASTER'!$Z$2:$Z$495&lt;=5)*('CONTROL MASTER'!$AB$2:$AB$495&gt;=5)*('CONTROL MASTER'!$AA$2:$AA$495&lt;=9)*('CONTROL MASTER'!$AC$2:$AC$495&gt;=9))*ROW('CONTROL MASTER'!$S$2:$S$495))-(ROW('CONTROL MASTER'!#REF!)-1)))+((5-INDEX('CONTROL MASTER'!$Z$2:$Z$495,(SUMPRODUCT((('CONTROL MASTER'!$S$2:$S$495=12)*('CONTROL MASTER'!$Z$2:$Z$495&lt;=5)*('CONTROL MASTER'!$AB$2:$AB$495&gt;=5)*('CONTROL MASTER'!$AA$2:$AA$495&lt;=9)*('CONTROL MASTER'!$AC$2:$AC$495&gt;=9))*ROW('CONTROL MASTER'!$S$2:$S$495))-(ROW('CONTROL MASTER'!#REF!)-1))))*(INDEX('CONTROL MASTER'!$AC$2:$AC$495,(SUMPRODUCT((('CONTROL MASTER'!$S$2:$S$495=12)*('CONTROL MASTER'!$Z$2:$Z$495&lt;=5)*('CONTROL MASTER'!$AB$2:$AB$495&gt;=5)*('CONTROL MASTER'!$AA$2:$AA$495&lt;=9)*('CONTROL MASTER'!$AC$2:$AC$495&gt;=9))*ROW('CONTROL MASTER'!$S$2:$S$495))-(ROW('CONTROL MASTER'!#REF!)-1)))-INDEX('CONTROL MASTER'!$AA$2:$AA$495,(SUMPRODUCT((('CONTROL MASTER'!$S$2:$S$495=12)*('CONTROL MASTER'!$Z$2:$Z$495&lt;=5)*('CONTROL MASTER'!$AB$2:$AB$495&gt;=5)*('CONTROL MASTER'!$AA$2:$AA$495&lt;=9)*('CONTROL MASTER'!$AC$2:$AC$495&gt;=9))*ROW('CONTROL MASTER'!$S$2:$S$495))-(ROW('CONTROL MASTER'!#REF!)-1)))+1)+(9-INDEX('CONTROL MASTER'!$AA$2:$AA$495,(SUMPRODUCT((('CONTROL MASTER'!$S$2:$S$495=12)*('CONTROL MASTER'!$Z$2:$Z$495&lt;=5)*('CONTROL MASTER'!$AB$2:$AB$495&gt;=5)*('CONTROL MASTER'!$AA$2:$AA$495&lt;=9)*('CONTROL MASTER'!$AC$2:$AC$495&gt;=9))*ROW('CONTROL MASTER'!$S$2:$S$495))-(ROW('CONTROL MASTER'!#REF!)-1))))+1)))-1)*50+1,50))&amp;"_"&amp;INDEX('CONTROL MASTER'!$P$2:$P$495,(SUMPRODUCT((('CONTROL MASTER'!$S$2:$S$495=12)*('CONTROL MASTER'!$Z$2:$Z$495&lt;=5)*('CONTROL MASTER'!$AB$2:$AB$495&gt;=5)*('CONTROL MASTER'!$AA$2:$AA$495&lt;=9)*('CONTROL MASTER'!$AC$2:$AC$495&gt;=9))*ROW('CONTROL MASTER'!$S$2:$S$495))-(ROW('CONTROL MASTER'!#REF!)-1))),"")),"")</f>
        <v/>
      </c>
      <c r="K161" s="10" t="str">
        <f>IFERROR(IF(SUMPRODUCT((('CONTROL MASTER'!$S$2:$S$495=12)*('CONTROL MASTER'!$T$2:$T$495&lt;=5)*('CONTROL MASTER'!$V$2:$V$495&gt;=5)*('CONTROL MASTER'!$U$2:$U$495&lt;=10)*('CONTROL MASTER'!$W$2:$W$495&gt;=10))*ROW('CONTROL MASTER'!$S$2:$S$495))&gt;0,INDEX('CONTROL MASTER'!$X$2:$X$495,(SUMPRODUCT((('CONTROL MASTER'!$S$2:$S$495=12)*('CONTROL MASTER'!$T$2:$T$495&lt;=5)*('CONTROL MASTER'!$V$2:$V$495&gt;=5)*('CONTROL MASTER'!$U$2:$U$495&lt;=10)*('CONTROL MASTER'!$W$2:$W$495&gt;=10))*ROW('CONTROL MASTER'!$S$2:$S$495))-(ROW('CONTROL MASTER'!#REF!)-1)))&amp;TRIM(MID(SUBSTITUTE(SUBSTITUTE(INDEX('CONTROL MASTER'!$N$2:$N$495,(SUMPRODUCT((('CONTROL MASTER'!$S$2:$S$495=12)*('CONTROL MASTER'!$T$2:$T$495&lt;=5)*('CONTROL MASTER'!$V$2:$V$495&gt;=5)*('CONTROL MASTER'!$U$2:$U$495&lt;=10)*('CONTROL MASTER'!$W$2:$W$495&gt;=10))*ROW('CONTROL MASTER'!$S$2:$S$495))-(ROW('CONTROL MASTER'!#REF!)-1))),":",","),",",REPT(" ",50)),((((5-INDEX('CONTROL MASTER'!$T$2:$T$495,(SUMPRODUCT((('CONTROL MASTER'!$S$2:$S$495=12)*('CONTROL MASTER'!$T$2:$T$495&lt;=5)*('CONTROL MASTER'!$V$2:$V$495&gt;=5)*('CONTROL MASTER'!$U$2:$U$495&lt;=10)*('CONTROL MASTER'!$W$2:$W$495&gt;=10))*ROW('CONTROL MASTER'!$S$2:$S$495))-(ROW('CONTROL MASTER'!#REF!)-1))))*(INDEX('CONTROL MASTER'!$W$2:$W$495,(SUMPRODUCT((('CONTROL MASTER'!$S$2:$S$495=12)*('CONTROL MASTER'!$T$2:$T$495&lt;=5)*('CONTROL MASTER'!$V$2:$V$495&gt;=5)*('CONTROL MASTER'!$U$2:$U$495&lt;=10)*('CONTROL MASTER'!$W$2:$W$495&gt;=10))*ROW('CONTROL MASTER'!$S$2:$S$495))-(ROW('CONTROL MASTER'!#REF!)-1)))-INDEX('CONTROL MASTER'!$U$2:$U$495,(SUMPRODUCT((('CONTROL MASTER'!$S$2:$S$495=12)*('CONTROL MASTER'!$T$2:$T$495&lt;=5)*('CONTROL MASTER'!$V$2:$V$495&gt;=5)*('CONTROL MASTER'!$U$2:$U$495&lt;=10)*('CONTROL MASTER'!$W$2:$W$495&gt;=10))*ROW('CONTROL MASTER'!$S$2:$S$495))-(ROW('CONTROL MASTER'!#REF!)-1)))+1)+(10-INDEX('CONTROL MASTER'!$U$2:$U$495,(SUMPRODUCT((('CONTROL MASTER'!$S$2:$S$495=12)*('CONTROL MASTER'!$T$2:$T$495&lt;=5)*('CONTROL MASTER'!$V$2:$V$495&gt;=5)*('CONTROL MASTER'!$U$2:$U$495&lt;=10)*('CONTROL MASTER'!$W$2:$W$495&gt;=10))*ROW('CONTROL MASTER'!$S$2:$S$495))-(ROW('CONTROL MASTER'!#REF!)-1))))+1))-1)*50+1,50))&amp;"_"&amp;INDEX('CONTROL MASTER'!$P$2:$P$495,(SUMPRODUCT((('CONTROL MASTER'!$S$2:$S$495=12)*('CONTROL MASTER'!$T$2:$T$495&lt;=5)*('CONTROL MASTER'!$V$2:$V$495&gt;=5)*('CONTROL MASTER'!$U$2:$U$495&lt;=10)*('CONTROL MASTER'!$W$2:$W$495&gt;=10))*ROW('CONTROL MASTER'!$S$2:$S$495))-(ROW('CONTROL MASTER'!#REF!)-1))),IF(SUMPRODUCT((('CONTROL MASTER'!$S$2:$S$495=12)*('CONTROL MASTER'!$Z$2:$Z$495&lt;=5)*('CONTROL MASTER'!$AB$2:$AB$495&gt;=5)*('CONTROL MASTER'!$AA$2:$AA$495&lt;=10)*('CONTROL MASTER'!$AC$2:$AC$495&gt;=10))*ROW('CONTROL MASTER'!$S$2:$S$495))&gt;0,INDEX('CONTROL MASTER'!$X$2:$X$495,(SUMPRODUCT((('CONTROL MASTER'!$S$2:$S$495=12)*('CONTROL MASTER'!$Z$2:$Z$495&lt;=5)*('CONTROL MASTER'!$AB$2:$AB$495&gt;=5)*('CONTROL MASTER'!$AA$2:$AA$495&lt;=10)*('CONTROL MASTER'!$AC$2:$AC$495&gt;=10))*ROW('CONTROL MASTER'!$S$2:$S$495))-(ROW('CONTROL MASTER'!#REF!)-1)))&amp;TRIM(MID(SUBSTITUTE(SUBSTITUTE(INDEX('CONTROL MASTER'!$N$2:$N$495,(SUMPRODUCT((('CONTROL MASTER'!$S$2:$S$495=12)*('CONTROL MASTER'!$Z$2:$Z$495&lt;=5)*('CONTROL MASTER'!$AB$2:$AB$495&gt;=5)*('CONTROL MASTER'!$AA$2:$AA$495&lt;=10)*('CONTROL MASTER'!$AC$2:$AC$495&gt;=10))*ROW('CONTROL MASTER'!$S$2:$S$495))-(ROW('CONTROL MASTER'!#REF!)-1))),":",","),",",REPT(" ",50)),(((INDEX('CONTROL MASTER'!$Y$2:$Y$495,(SUMPRODUCT((('CONTROL MASTER'!$S$2:$S$495=12)*('CONTROL MASTER'!$Z$2:$Z$495&lt;=5)*('CONTROL MASTER'!$AB$2:$AB$495&gt;=5)*('CONTROL MASTER'!$AA$2:$AA$495&lt;=10)*('CONTROL MASTER'!$AC$2:$AC$495&gt;=10))*ROW('CONTROL MASTER'!$S$2:$S$495))-(ROW('CONTROL MASTER'!#REF!)-1)))+((5-INDEX('CONTROL MASTER'!$Z$2:$Z$495,(SUMPRODUCT((('CONTROL MASTER'!$S$2:$S$495=12)*('CONTROL MASTER'!$Z$2:$Z$495&lt;=5)*('CONTROL MASTER'!$AB$2:$AB$495&gt;=5)*('CONTROL MASTER'!$AA$2:$AA$495&lt;=10)*('CONTROL MASTER'!$AC$2:$AC$495&gt;=10))*ROW('CONTROL MASTER'!$S$2:$S$495))-(ROW('CONTROL MASTER'!#REF!)-1))))*(INDEX('CONTROL MASTER'!$AC$2:$AC$495,(SUMPRODUCT((('CONTROL MASTER'!$S$2:$S$495=12)*('CONTROL MASTER'!$Z$2:$Z$495&lt;=5)*('CONTROL MASTER'!$AB$2:$AB$495&gt;=5)*('CONTROL MASTER'!$AA$2:$AA$495&lt;=10)*('CONTROL MASTER'!$AC$2:$AC$495&gt;=10))*ROW('CONTROL MASTER'!$S$2:$S$495))-(ROW('CONTROL MASTER'!#REF!)-1)))-INDEX('CONTROL MASTER'!$AA$2:$AA$495,(SUMPRODUCT((('CONTROL MASTER'!$S$2:$S$495=12)*('CONTROL MASTER'!$Z$2:$Z$495&lt;=5)*('CONTROL MASTER'!$AB$2:$AB$495&gt;=5)*('CONTROL MASTER'!$AA$2:$AA$495&lt;=10)*('CONTROL MASTER'!$AC$2:$AC$495&gt;=10))*ROW('CONTROL MASTER'!$S$2:$S$495))-(ROW('CONTROL MASTER'!#REF!)-1)))+1)+(10-INDEX('CONTROL MASTER'!$AA$2:$AA$495,(SUMPRODUCT((('CONTROL MASTER'!$S$2:$S$495=12)*('CONTROL MASTER'!$Z$2:$Z$495&lt;=5)*('CONTROL MASTER'!$AB$2:$AB$495&gt;=5)*('CONTROL MASTER'!$AA$2:$AA$495&lt;=10)*('CONTROL MASTER'!$AC$2:$AC$495&gt;=10))*ROW('CONTROL MASTER'!$S$2:$S$495))-(ROW('CONTROL MASTER'!#REF!)-1))))+1)))-1)*50+1,50))&amp;"_"&amp;INDEX('CONTROL MASTER'!$P$2:$P$495,(SUMPRODUCT((('CONTROL MASTER'!$S$2:$S$495=12)*('CONTROL MASTER'!$Z$2:$Z$495&lt;=5)*('CONTROL MASTER'!$AB$2:$AB$495&gt;=5)*('CONTROL MASTER'!$AA$2:$AA$495&lt;=10)*('CONTROL MASTER'!$AC$2:$AC$495&gt;=10))*ROW('CONTROL MASTER'!$S$2:$S$495))-(ROW('CONTROL MASTER'!#REF!)-1))),"")),"")</f>
        <v/>
      </c>
    </row>
    <row r="162" spans="1:11" ht="15" customHeight="1" x14ac:dyDescent="0.35">
      <c r="A162" s="8" t="s">
        <v>33</v>
      </c>
      <c r="B162" s="10" t="str">
        <f>IFERROR(IF(SUMPRODUCT((('CONTROL MASTER'!$S$2:$S$495=12)*('CONTROL MASTER'!$T$2:$T$495&lt;=6)*('CONTROL MASTER'!$V$2:$V$495&gt;=6)*('CONTROL MASTER'!$U$2:$U$495&lt;=1)*('CONTROL MASTER'!$W$2:$W$495&gt;=1))*ROW('CONTROL MASTER'!$S$2:$S$495))&gt;0,INDEX('CONTROL MASTER'!$X$2:$X$495,(SUMPRODUCT((('CONTROL MASTER'!$S$2:$S$495=12)*('CONTROL MASTER'!$T$2:$T$495&lt;=6)*('CONTROL MASTER'!$V$2:$V$495&gt;=6)*('CONTROL MASTER'!$U$2:$U$495&lt;=1)*('CONTROL MASTER'!$W$2:$W$495&gt;=1))*ROW('CONTROL MASTER'!$S$2:$S$495))-(ROW('CONTROL MASTER'!#REF!)-1)))&amp;TRIM(MID(SUBSTITUTE(SUBSTITUTE(INDEX('CONTROL MASTER'!$N$2:$N$495,(SUMPRODUCT((('CONTROL MASTER'!$S$2:$S$495=12)*('CONTROL MASTER'!$T$2:$T$495&lt;=6)*('CONTROL MASTER'!$V$2:$V$495&gt;=6)*('CONTROL MASTER'!$U$2:$U$495&lt;=1)*('CONTROL MASTER'!$W$2:$W$495&gt;=1))*ROW('CONTROL MASTER'!$S$2:$S$495))-(ROW('CONTROL MASTER'!#REF!)-1))),":",","),",",REPT(" ",50)),((((6-INDEX('CONTROL MASTER'!$T$2:$T$495,(SUMPRODUCT((('CONTROL MASTER'!$S$2:$S$495=12)*('CONTROL MASTER'!$T$2:$T$495&lt;=6)*('CONTROL MASTER'!$V$2:$V$495&gt;=6)*('CONTROL MASTER'!$U$2:$U$495&lt;=1)*('CONTROL MASTER'!$W$2:$W$495&gt;=1))*ROW('CONTROL MASTER'!$S$2:$S$495))-(ROW('CONTROL MASTER'!#REF!)-1))))*(INDEX('CONTROL MASTER'!$W$2:$W$495,(SUMPRODUCT((('CONTROL MASTER'!$S$2:$S$495=12)*('CONTROL MASTER'!$T$2:$T$495&lt;=6)*('CONTROL MASTER'!$V$2:$V$495&gt;=6)*('CONTROL MASTER'!$U$2:$U$495&lt;=1)*('CONTROL MASTER'!$W$2:$W$495&gt;=1))*ROW('CONTROL MASTER'!$S$2:$S$495))-(ROW('CONTROL MASTER'!#REF!)-1)))-INDEX('CONTROL MASTER'!$U$2:$U$495,(SUMPRODUCT((('CONTROL MASTER'!$S$2:$S$495=12)*('CONTROL MASTER'!$T$2:$T$495&lt;=6)*('CONTROL MASTER'!$V$2:$V$495&gt;=6)*('CONTROL MASTER'!$U$2:$U$495&lt;=1)*('CONTROL MASTER'!$W$2:$W$495&gt;=1))*ROW('CONTROL MASTER'!$S$2:$S$495))-(ROW('CONTROL MASTER'!#REF!)-1)))+1)+(1-INDEX('CONTROL MASTER'!$U$2:$U$495,(SUMPRODUCT((('CONTROL MASTER'!$S$2:$S$495=12)*('CONTROL MASTER'!$T$2:$T$495&lt;=6)*('CONTROL MASTER'!$V$2:$V$495&gt;=6)*('CONTROL MASTER'!$U$2:$U$495&lt;=1)*('CONTROL MASTER'!$W$2:$W$495&gt;=1))*ROW('CONTROL MASTER'!$S$2:$S$495))-(ROW('CONTROL MASTER'!#REF!)-1))))+1))-1)*50+1,50))&amp;"_"&amp;INDEX('CONTROL MASTER'!$P$2:$P$495,(SUMPRODUCT((('CONTROL MASTER'!$S$2:$S$495=12)*('CONTROL MASTER'!$T$2:$T$495&lt;=6)*('CONTROL MASTER'!$V$2:$V$495&gt;=6)*('CONTROL MASTER'!$U$2:$U$495&lt;=1)*('CONTROL MASTER'!$W$2:$W$495&gt;=1))*ROW('CONTROL MASTER'!$S$2:$S$495))-(ROW('CONTROL MASTER'!#REF!)-1))),IF(SUMPRODUCT((('CONTROL MASTER'!$S$2:$S$495=12)*('CONTROL MASTER'!$Z$2:$Z$495&lt;=6)*('CONTROL MASTER'!$AB$2:$AB$495&gt;=6)*('CONTROL MASTER'!$AA$2:$AA$495&lt;=1)*('CONTROL MASTER'!$AC$2:$AC$495&gt;=1))*ROW('CONTROL MASTER'!$S$2:$S$495))&gt;0,INDEX('CONTROL MASTER'!$X$2:$X$495,(SUMPRODUCT((('CONTROL MASTER'!$S$2:$S$495=12)*('CONTROL MASTER'!$Z$2:$Z$495&lt;=6)*('CONTROL MASTER'!$AB$2:$AB$495&gt;=6)*('CONTROL MASTER'!$AA$2:$AA$495&lt;=1)*('CONTROL MASTER'!$AC$2:$AC$495&gt;=1))*ROW('CONTROL MASTER'!$S$2:$S$495))-(ROW('CONTROL MASTER'!#REF!)-1)))&amp;TRIM(MID(SUBSTITUTE(SUBSTITUTE(INDEX('CONTROL MASTER'!$N$2:$N$495,(SUMPRODUCT((('CONTROL MASTER'!$S$2:$S$495=12)*('CONTROL MASTER'!$Z$2:$Z$495&lt;=6)*('CONTROL MASTER'!$AB$2:$AB$495&gt;=6)*('CONTROL MASTER'!$AA$2:$AA$495&lt;=1)*('CONTROL MASTER'!$AC$2:$AC$495&gt;=1))*ROW('CONTROL MASTER'!$S$2:$S$495))-(ROW('CONTROL MASTER'!#REF!)-1))),":",","),",",REPT(" ",50)),(((INDEX('CONTROL MASTER'!$Y$2:$Y$495,(SUMPRODUCT((('CONTROL MASTER'!$S$2:$S$495=12)*('CONTROL MASTER'!$Z$2:$Z$495&lt;=6)*('CONTROL MASTER'!$AB$2:$AB$495&gt;=6)*('CONTROL MASTER'!$AA$2:$AA$495&lt;=1)*('CONTROL MASTER'!$AC$2:$AC$495&gt;=1))*ROW('CONTROL MASTER'!$S$2:$S$495))-(ROW('CONTROL MASTER'!#REF!)-1)))+((6-INDEX('CONTROL MASTER'!$Z$2:$Z$495,(SUMPRODUCT((('CONTROL MASTER'!$S$2:$S$495=12)*('CONTROL MASTER'!$Z$2:$Z$495&lt;=6)*('CONTROL MASTER'!$AB$2:$AB$495&gt;=6)*('CONTROL MASTER'!$AA$2:$AA$495&lt;=1)*('CONTROL MASTER'!$AC$2:$AC$495&gt;=1))*ROW('CONTROL MASTER'!$S$2:$S$495))-(ROW('CONTROL MASTER'!#REF!)-1))))*(INDEX('CONTROL MASTER'!$AC$2:$AC$495,(SUMPRODUCT((('CONTROL MASTER'!$S$2:$S$495=12)*('CONTROL MASTER'!$Z$2:$Z$495&lt;=6)*('CONTROL MASTER'!$AB$2:$AB$495&gt;=6)*('CONTROL MASTER'!$AA$2:$AA$495&lt;=1)*('CONTROL MASTER'!$AC$2:$AC$495&gt;=1))*ROW('CONTROL MASTER'!$S$2:$S$495))-(ROW('CONTROL MASTER'!#REF!)-1)))-INDEX('CONTROL MASTER'!$AA$2:$AA$495,(SUMPRODUCT((('CONTROL MASTER'!$S$2:$S$495=12)*('CONTROL MASTER'!$Z$2:$Z$495&lt;=6)*('CONTROL MASTER'!$AB$2:$AB$495&gt;=6)*('CONTROL MASTER'!$AA$2:$AA$495&lt;=1)*('CONTROL MASTER'!$AC$2:$AC$495&gt;=1))*ROW('CONTROL MASTER'!$S$2:$S$495))-(ROW('CONTROL MASTER'!#REF!)-1)))+1)+(1-INDEX('CONTROL MASTER'!$AA$2:$AA$495,(SUMPRODUCT((('CONTROL MASTER'!$S$2:$S$495=12)*('CONTROL MASTER'!$Z$2:$Z$495&lt;=6)*('CONTROL MASTER'!$AB$2:$AB$495&gt;=6)*('CONTROL MASTER'!$AA$2:$AA$495&lt;=1)*('CONTROL MASTER'!$AC$2:$AC$495&gt;=1))*ROW('CONTROL MASTER'!$S$2:$S$495))-(ROW('CONTROL MASTER'!#REF!)-1))))+1)))-1)*50+1,50))&amp;"_"&amp;INDEX('CONTROL MASTER'!$P$2:$P$495,(SUMPRODUCT((('CONTROL MASTER'!$S$2:$S$495=12)*('CONTROL MASTER'!$Z$2:$Z$495&lt;=6)*('CONTROL MASTER'!$AB$2:$AB$495&gt;=6)*('CONTROL MASTER'!$AA$2:$AA$495&lt;=1)*('CONTROL MASTER'!$AC$2:$AC$495&gt;=1))*ROW('CONTROL MASTER'!$S$2:$S$495))-(ROW('CONTROL MASTER'!#REF!)-1))),"")),"")</f>
        <v/>
      </c>
      <c r="C162" s="10" t="str">
        <f>IFERROR(IF(SUMPRODUCT((('CONTROL MASTER'!$S$2:$S$495=12)*('CONTROL MASTER'!$T$2:$T$495&lt;=6)*('CONTROL MASTER'!$V$2:$V$495&gt;=6)*('CONTROL MASTER'!$U$2:$U$495&lt;=2)*('CONTROL MASTER'!$W$2:$W$495&gt;=2))*ROW('CONTROL MASTER'!$S$2:$S$495))&gt;0,INDEX('CONTROL MASTER'!$X$2:$X$495,(SUMPRODUCT((('CONTROL MASTER'!$S$2:$S$495=12)*('CONTROL MASTER'!$T$2:$T$495&lt;=6)*('CONTROL MASTER'!$V$2:$V$495&gt;=6)*('CONTROL MASTER'!$U$2:$U$495&lt;=2)*('CONTROL MASTER'!$W$2:$W$495&gt;=2))*ROW('CONTROL MASTER'!$S$2:$S$495))-(ROW('CONTROL MASTER'!#REF!)-1)))&amp;TRIM(MID(SUBSTITUTE(SUBSTITUTE(INDEX('CONTROL MASTER'!$N$2:$N$495,(SUMPRODUCT((('CONTROL MASTER'!$S$2:$S$495=12)*('CONTROL MASTER'!$T$2:$T$495&lt;=6)*('CONTROL MASTER'!$V$2:$V$495&gt;=6)*('CONTROL MASTER'!$U$2:$U$495&lt;=2)*('CONTROL MASTER'!$W$2:$W$495&gt;=2))*ROW('CONTROL MASTER'!$S$2:$S$495))-(ROW('CONTROL MASTER'!#REF!)-1))),":",","),",",REPT(" ",50)),((((6-INDEX('CONTROL MASTER'!$T$2:$T$495,(SUMPRODUCT((('CONTROL MASTER'!$S$2:$S$495=12)*('CONTROL MASTER'!$T$2:$T$495&lt;=6)*('CONTROL MASTER'!$V$2:$V$495&gt;=6)*('CONTROL MASTER'!$U$2:$U$495&lt;=2)*('CONTROL MASTER'!$W$2:$W$495&gt;=2))*ROW('CONTROL MASTER'!$S$2:$S$495))-(ROW('CONTROL MASTER'!#REF!)-1))))*(INDEX('CONTROL MASTER'!$W$2:$W$495,(SUMPRODUCT((('CONTROL MASTER'!$S$2:$S$495=12)*('CONTROL MASTER'!$T$2:$T$495&lt;=6)*('CONTROL MASTER'!$V$2:$V$495&gt;=6)*('CONTROL MASTER'!$U$2:$U$495&lt;=2)*('CONTROL MASTER'!$W$2:$W$495&gt;=2))*ROW('CONTROL MASTER'!$S$2:$S$495))-(ROW('CONTROL MASTER'!#REF!)-1)))-INDEX('CONTROL MASTER'!$U$2:$U$495,(SUMPRODUCT((('CONTROL MASTER'!$S$2:$S$495=12)*('CONTROL MASTER'!$T$2:$T$495&lt;=6)*('CONTROL MASTER'!$V$2:$V$495&gt;=6)*('CONTROL MASTER'!$U$2:$U$495&lt;=2)*('CONTROL MASTER'!$W$2:$W$495&gt;=2))*ROW('CONTROL MASTER'!$S$2:$S$495))-(ROW('CONTROL MASTER'!#REF!)-1)))+1)+(2-INDEX('CONTROL MASTER'!$U$2:$U$495,(SUMPRODUCT((('CONTROL MASTER'!$S$2:$S$495=12)*('CONTROL MASTER'!$T$2:$T$495&lt;=6)*('CONTROL MASTER'!$V$2:$V$495&gt;=6)*('CONTROL MASTER'!$U$2:$U$495&lt;=2)*('CONTROL MASTER'!$W$2:$W$495&gt;=2))*ROW('CONTROL MASTER'!$S$2:$S$495))-(ROW('CONTROL MASTER'!#REF!)-1))))+1))-1)*50+1,50))&amp;"_"&amp;INDEX('CONTROL MASTER'!$P$2:$P$495,(SUMPRODUCT((('CONTROL MASTER'!$S$2:$S$495=12)*('CONTROL MASTER'!$T$2:$T$495&lt;=6)*('CONTROL MASTER'!$V$2:$V$495&gt;=6)*('CONTROL MASTER'!$U$2:$U$495&lt;=2)*('CONTROL MASTER'!$W$2:$W$495&gt;=2))*ROW('CONTROL MASTER'!$S$2:$S$495))-(ROW('CONTROL MASTER'!#REF!)-1))),IF(SUMPRODUCT((('CONTROL MASTER'!$S$2:$S$495=12)*('CONTROL MASTER'!$Z$2:$Z$495&lt;=6)*('CONTROL MASTER'!$AB$2:$AB$495&gt;=6)*('CONTROL MASTER'!$AA$2:$AA$495&lt;=2)*('CONTROL MASTER'!$AC$2:$AC$495&gt;=2))*ROW('CONTROL MASTER'!$S$2:$S$495))&gt;0,INDEX('CONTROL MASTER'!$X$2:$X$495,(SUMPRODUCT((('CONTROL MASTER'!$S$2:$S$495=12)*('CONTROL MASTER'!$Z$2:$Z$495&lt;=6)*('CONTROL MASTER'!$AB$2:$AB$495&gt;=6)*('CONTROL MASTER'!$AA$2:$AA$495&lt;=2)*('CONTROL MASTER'!$AC$2:$AC$495&gt;=2))*ROW('CONTROL MASTER'!$S$2:$S$495))-(ROW('CONTROL MASTER'!#REF!)-1)))&amp;TRIM(MID(SUBSTITUTE(SUBSTITUTE(INDEX('CONTROL MASTER'!$N$2:$N$495,(SUMPRODUCT((('CONTROL MASTER'!$S$2:$S$495=12)*('CONTROL MASTER'!$Z$2:$Z$495&lt;=6)*('CONTROL MASTER'!$AB$2:$AB$495&gt;=6)*('CONTROL MASTER'!$AA$2:$AA$495&lt;=2)*('CONTROL MASTER'!$AC$2:$AC$495&gt;=2))*ROW('CONTROL MASTER'!$S$2:$S$495))-(ROW('CONTROL MASTER'!#REF!)-1))),":",","),",",REPT(" ",50)),(((INDEX('CONTROL MASTER'!$Y$2:$Y$495,(SUMPRODUCT((('CONTROL MASTER'!$S$2:$S$495=12)*('CONTROL MASTER'!$Z$2:$Z$495&lt;=6)*('CONTROL MASTER'!$AB$2:$AB$495&gt;=6)*('CONTROL MASTER'!$AA$2:$AA$495&lt;=2)*('CONTROL MASTER'!$AC$2:$AC$495&gt;=2))*ROW('CONTROL MASTER'!$S$2:$S$495))-(ROW('CONTROL MASTER'!#REF!)-1)))+((6-INDEX('CONTROL MASTER'!$Z$2:$Z$495,(SUMPRODUCT((('CONTROL MASTER'!$S$2:$S$495=12)*('CONTROL MASTER'!$Z$2:$Z$495&lt;=6)*('CONTROL MASTER'!$AB$2:$AB$495&gt;=6)*('CONTROL MASTER'!$AA$2:$AA$495&lt;=2)*('CONTROL MASTER'!$AC$2:$AC$495&gt;=2))*ROW('CONTROL MASTER'!$S$2:$S$495))-(ROW('CONTROL MASTER'!#REF!)-1))))*(INDEX('CONTROL MASTER'!$AC$2:$AC$495,(SUMPRODUCT((('CONTROL MASTER'!$S$2:$S$495=12)*('CONTROL MASTER'!$Z$2:$Z$495&lt;=6)*('CONTROL MASTER'!$AB$2:$AB$495&gt;=6)*('CONTROL MASTER'!$AA$2:$AA$495&lt;=2)*('CONTROL MASTER'!$AC$2:$AC$495&gt;=2))*ROW('CONTROL MASTER'!$S$2:$S$495))-(ROW('CONTROL MASTER'!#REF!)-1)))-INDEX('CONTROL MASTER'!$AA$2:$AA$495,(SUMPRODUCT((('CONTROL MASTER'!$S$2:$S$495=12)*('CONTROL MASTER'!$Z$2:$Z$495&lt;=6)*('CONTROL MASTER'!$AB$2:$AB$495&gt;=6)*('CONTROL MASTER'!$AA$2:$AA$495&lt;=2)*('CONTROL MASTER'!$AC$2:$AC$495&gt;=2))*ROW('CONTROL MASTER'!$S$2:$S$495))-(ROW('CONTROL MASTER'!#REF!)-1)))+1)+(2-INDEX('CONTROL MASTER'!$AA$2:$AA$495,(SUMPRODUCT((('CONTROL MASTER'!$S$2:$S$495=12)*('CONTROL MASTER'!$Z$2:$Z$495&lt;=6)*('CONTROL MASTER'!$AB$2:$AB$495&gt;=6)*('CONTROL MASTER'!$AA$2:$AA$495&lt;=2)*('CONTROL MASTER'!$AC$2:$AC$495&gt;=2))*ROW('CONTROL MASTER'!$S$2:$S$495))-(ROW('CONTROL MASTER'!#REF!)-1))))+1)))-1)*50+1,50))&amp;"_"&amp;INDEX('CONTROL MASTER'!$P$2:$P$495,(SUMPRODUCT((('CONTROL MASTER'!$S$2:$S$495=12)*('CONTROL MASTER'!$Z$2:$Z$495&lt;=6)*('CONTROL MASTER'!$AB$2:$AB$495&gt;=6)*('CONTROL MASTER'!$AA$2:$AA$495&lt;=2)*('CONTROL MASTER'!$AC$2:$AC$495&gt;=2))*ROW('CONTROL MASTER'!$S$2:$S$495))-(ROW('CONTROL MASTER'!#REF!)-1))),"")),"")</f>
        <v/>
      </c>
      <c r="D162" s="10" t="str">
        <f>IFERROR(IF(SUMPRODUCT((('CONTROL MASTER'!$S$2:$S$495=12)*('CONTROL MASTER'!$T$2:$T$495&lt;=6)*('CONTROL MASTER'!$V$2:$V$495&gt;=6)*('CONTROL MASTER'!$U$2:$U$495&lt;=3)*('CONTROL MASTER'!$W$2:$W$495&gt;=3))*ROW('CONTROL MASTER'!$S$2:$S$495))&gt;0,INDEX('CONTROL MASTER'!$X$2:$X$495,(SUMPRODUCT((('CONTROL MASTER'!$S$2:$S$495=12)*('CONTROL MASTER'!$T$2:$T$495&lt;=6)*('CONTROL MASTER'!$V$2:$V$495&gt;=6)*('CONTROL MASTER'!$U$2:$U$495&lt;=3)*('CONTROL MASTER'!$W$2:$W$495&gt;=3))*ROW('CONTROL MASTER'!$S$2:$S$495))-(ROW('CONTROL MASTER'!#REF!)-1)))&amp;TRIM(MID(SUBSTITUTE(SUBSTITUTE(INDEX('CONTROL MASTER'!$N$2:$N$495,(SUMPRODUCT((('CONTROL MASTER'!$S$2:$S$495=12)*('CONTROL MASTER'!$T$2:$T$495&lt;=6)*('CONTROL MASTER'!$V$2:$V$495&gt;=6)*('CONTROL MASTER'!$U$2:$U$495&lt;=3)*('CONTROL MASTER'!$W$2:$W$495&gt;=3))*ROW('CONTROL MASTER'!$S$2:$S$495))-(ROW('CONTROL MASTER'!#REF!)-1))),":",","),",",REPT(" ",50)),((((6-INDEX('CONTROL MASTER'!$T$2:$T$495,(SUMPRODUCT((('CONTROL MASTER'!$S$2:$S$495=12)*('CONTROL MASTER'!$T$2:$T$495&lt;=6)*('CONTROL MASTER'!$V$2:$V$495&gt;=6)*('CONTROL MASTER'!$U$2:$U$495&lt;=3)*('CONTROL MASTER'!$W$2:$W$495&gt;=3))*ROW('CONTROL MASTER'!$S$2:$S$495))-(ROW('CONTROL MASTER'!#REF!)-1))))*(INDEX('CONTROL MASTER'!$W$2:$W$495,(SUMPRODUCT((('CONTROL MASTER'!$S$2:$S$495=12)*('CONTROL MASTER'!$T$2:$T$495&lt;=6)*('CONTROL MASTER'!$V$2:$V$495&gt;=6)*('CONTROL MASTER'!$U$2:$U$495&lt;=3)*('CONTROL MASTER'!$W$2:$W$495&gt;=3))*ROW('CONTROL MASTER'!$S$2:$S$495))-(ROW('CONTROL MASTER'!#REF!)-1)))-INDEX('CONTROL MASTER'!$U$2:$U$495,(SUMPRODUCT((('CONTROL MASTER'!$S$2:$S$495=12)*('CONTROL MASTER'!$T$2:$T$495&lt;=6)*('CONTROL MASTER'!$V$2:$V$495&gt;=6)*('CONTROL MASTER'!$U$2:$U$495&lt;=3)*('CONTROL MASTER'!$W$2:$W$495&gt;=3))*ROW('CONTROL MASTER'!$S$2:$S$495))-(ROW('CONTROL MASTER'!#REF!)-1)))+1)+(3-INDEX('CONTROL MASTER'!$U$2:$U$495,(SUMPRODUCT((('CONTROL MASTER'!$S$2:$S$495=12)*('CONTROL MASTER'!$T$2:$T$495&lt;=6)*('CONTROL MASTER'!$V$2:$V$495&gt;=6)*('CONTROL MASTER'!$U$2:$U$495&lt;=3)*('CONTROL MASTER'!$W$2:$W$495&gt;=3))*ROW('CONTROL MASTER'!$S$2:$S$495))-(ROW('CONTROL MASTER'!#REF!)-1))))+1))-1)*50+1,50))&amp;"_"&amp;INDEX('CONTROL MASTER'!$P$2:$P$495,(SUMPRODUCT((('CONTROL MASTER'!$S$2:$S$495=12)*('CONTROL MASTER'!$T$2:$T$495&lt;=6)*('CONTROL MASTER'!$V$2:$V$495&gt;=6)*('CONTROL MASTER'!$U$2:$U$495&lt;=3)*('CONTROL MASTER'!$W$2:$W$495&gt;=3))*ROW('CONTROL MASTER'!$S$2:$S$495))-(ROW('CONTROL MASTER'!#REF!)-1))),IF(SUMPRODUCT((('CONTROL MASTER'!$S$2:$S$495=12)*('CONTROL MASTER'!$Z$2:$Z$495&lt;=6)*('CONTROL MASTER'!$AB$2:$AB$495&gt;=6)*('CONTROL MASTER'!$AA$2:$AA$495&lt;=3)*('CONTROL MASTER'!$AC$2:$AC$495&gt;=3))*ROW('CONTROL MASTER'!$S$2:$S$495))&gt;0,INDEX('CONTROL MASTER'!$X$2:$X$495,(SUMPRODUCT((('CONTROL MASTER'!$S$2:$S$495=12)*('CONTROL MASTER'!$Z$2:$Z$495&lt;=6)*('CONTROL MASTER'!$AB$2:$AB$495&gt;=6)*('CONTROL MASTER'!$AA$2:$AA$495&lt;=3)*('CONTROL MASTER'!$AC$2:$AC$495&gt;=3))*ROW('CONTROL MASTER'!$S$2:$S$495))-(ROW('CONTROL MASTER'!#REF!)-1)))&amp;TRIM(MID(SUBSTITUTE(SUBSTITUTE(INDEX('CONTROL MASTER'!$N$2:$N$495,(SUMPRODUCT((('CONTROL MASTER'!$S$2:$S$495=12)*('CONTROL MASTER'!$Z$2:$Z$495&lt;=6)*('CONTROL MASTER'!$AB$2:$AB$495&gt;=6)*('CONTROL MASTER'!$AA$2:$AA$495&lt;=3)*('CONTROL MASTER'!$AC$2:$AC$495&gt;=3))*ROW('CONTROL MASTER'!$S$2:$S$495))-(ROW('CONTROL MASTER'!#REF!)-1))),":",","),",",REPT(" ",50)),(((INDEX('CONTROL MASTER'!$Y$2:$Y$495,(SUMPRODUCT((('CONTROL MASTER'!$S$2:$S$495=12)*('CONTROL MASTER'!$Z$2:$Z$495&lt;=6)*('CONTROL MASTER'!$AB$2:$AB$495&gt;=6)*('CONTROL MASTER'!$AA$2:$AA$495&lt;=3)*('CONTROL MASTER'!$AC$2:$AC$495&gt;=3))*ROW('CONTROL MASTER'!$S$2:$S$495))-(ROW('CONTROL MASTER'!#REF!)-1)))+((6-INDEX('CONTROL MASTER'!$Z$2:$Z$495,(SUMPRODUCT((('CONTROL MASTER'!$S$2:$S$495=12)*('CONTROL MASTER'!$Z$2:$Z$495&lt;=6)*('CONTROL MASTER'!$AB$2:$AB$495&gt;=6)*('CONTROL MASTER'!$AA$2:$AA$495&lt;=3)*('CONTROL MASTER'!$AC$2:$AC$495&gt;=3))*ROW('CONTROL MASTER'!$S$2:$S$495))-(ROW('CONTROL MASTER'!#REF!)-1))))*(INDEX('CONTROL MASTER'!$AC$2:$AC$495,(SUMPRODUCT((('CONTROL MASTER'!$S$2:$S$495=12)*('CONTROL MASTER'!$Z$2:$Z$495&lt;=6)*('CONTROL MASTER'!$AB$2:$AB$495&gt;=6)*('CONTROL MASTER'!$AA$2:$AA$495&lt;=3)*('CONTROL MASTER'!$AC$2:$AC$495&gt;=3))*ROW('CONTROL MASTER'!$S$2:$S$495))-(ROW('CONTROL MASTER'!#REF!)-1)))-INDEX('CONTROL MASTER'!$AA$2:$AA$495,(SUMPRODUCT((('CONTROL MASTER'!$S$2:$S$495=12)*('CONTROL MASTER'!$Z$2:$Z$495&lt;=6)*('CONTROL MASTER'!$AB$2:$AB$495&gt;=6)*('CONTROL MASTER'!$AA$2:$AA$495&lt;=3)*('CONTROL MASTER'!$AC$2:$AC$495&gt;=3))*ROW('CONTROL MASTER'!$S$2:$S$495))-(ROW('CONTROL MASTER'!#REF!)-1)))+1)+(3-INDEX('CONTROL MASTER'!$AA$2:$AA$495,(SUMPRODUCT((('CONTROL MASTER'!$S$2:$S$495=12)*('CONTROL MASTER'!$Z$2:$Z$495&lt;=6)*('CONTROL MASTER'!$AB$2:$AB$495&gt;=6)*('CONTROL MASTER'!$AA$2:$AA$495&lt;=3)*('CONTROL MASTER'!$AC$2:$AC$495&gt;=3))*ROW('CONTROL MASTER'!$S$2:$S$495))-(ROW('CONTROL MASTER'!#REF!)-1))))+1)))-1)*50+1,50))&amp;"_"&amp;INDEX('CONTROL MASTER'!$P$2:$P$495,(SUMPRODUCT((('CONTROL MASTER'!$S$2:$S$495=12)*('CONTROL MASTER'!$Z$2:$Z$495&lt;=6)*('CONTROL MASTER'!$AB$2:$AB$495&gt;=6)*('CONTROL MASTER'!$AA$2:$AA$495&lt;=3)*('CONTROL MASTER'!$AC$2:$AC$495&gt;=3))*ROW('CONTROL MASTER'!$S$2:$S$495))-(ROW('CONTROL MASTER'!#REF!)-1))),"")),"")</f>
        <v/>
      </c>
      <c r="E162" s="10" t="str">
        <f>IFERROR(IF(SUMPRODUCT((('CONTROL MASTER'!$S$2:$S$495=12)*('CONTROL MASTER'!$T$2:$T$495&lt;=6)*('CONTROL MASTER'!$V$2:$V$495&gt;=6)*('CONTROL MASTER'!$U$2:$U$495&lt;=4)*('CONTROL MASTER'!$W$2:$W$495&gt;=4))*ROW('CONTROL MASTER'!$S$2:$S$495))&gt;0,INDEX('CONTROL MASTER'!$X$2:$X$495,(SUMPRODUCT((('CONTROL MASTER'!$S$2:$S$495=12)*('CONTROL MASTER'!$T$2:$T$495&lt;=6)*('CONTROL MASTER'!$V$2:$V$495&gt;=6)*('CONTROL MASTER'!$U$2:$U$495&lt;=4)*('CONTROL MASTER'!$W$2:$W$495&gt;=4))*ROW('CONTROL MASTER'!$S$2:$S$495))-(ROW('CONTROL MASTER'!#REF!)-1)))&amp;TRIM(MID(SUBSTITUTE(SUBSTITUTE(INDEX('CONTROL MASTER'!$N$2:$N$495,(SUMPRODUCT((('CONTROL MASTER'!$S$2:$S$495=12)*('CONTROL MASTER'!$T$2:$T$495&lt;=6)*('CONTROL MASTER'!$V$2:$V$495&gt;=6)*('CONTROL MASTER'!$U$2:$U$495&lt;=4)*('CONTROL MASTER'!$W$2:$W$495&gt;=4))*ROW('CONTROL MASTER'!$S$2:$S$495))-(ROW('CONTROL MASTER'!#REF!)-1))),":",","),",",REPT(" ",50)),((((6-INDEX('CONTROL MASTER'!$T$2:$T$495,(SUMPRODUCT((('CONTROL MASTER'!$S$2:$S$495=12)*('CONTROL MASTER'!$T$2:$T$495&lt;=6)*('CONTROL MASTER'!$V$2:$V$495&gt;=6)*('CONTROL MASTER'!$U$2:$U$495&lt;=4)*('CONTROL MASTER'!$W$2:$W$495&gt;=4))*ROW('CONTROL MASTER'!$S$2:$S$495))-(ROW('CONTROL MASTER'!#REF!)-1))))*(INDEX('CONTROL MASTER'!$W$2:$W$495,(SUMPRODUCT((('CONTROL MASTER'!$S$2:$S$495=12)*('CONTROL MASTER'!$T$2:$T$495&lt;=6)*('CONTROL MASTER'!$V$2:$V$495&gt;=6)*('CONTROL MASTER'!$U$2:$U$495&lt;=4)*('CONTROL MASTER'!$W$2:$W$495&gt;=4))*ROW('CONTROL MASTER'!$S$2:$S$495))-(ROW('CONTROL MASTER'!#REF!)-1)))-INDEX('CONTROL MASTER'!$U$2:$U$495,(SUMPRODUCT((('CONTROL MASTER'!$S$2:$S$495=12)*('CONTROL MASTER'!$T$2:$T$495&lt;=6)*('CONTROL MASTER'!$V$2:$V$495&gt;=6)*('CONTROL MASTER'!$U$2:$U$495&lt;=4)*('CONTROL MASTER'!$W$2:$W$495&gt;=4))*ROW('CONTROL MASTER'!$S$2:$S$495))-(ROW('CONTROL MASTER'!#REF!)-1)))+1)+(4-INDEX('CONTROL MASTER'!$U$2:$U$495,(SUMPRODUCT((('CONTROL MASTER'!$S$2:$S$495=12)*('CONTROL MASTER'!$T$2:$T$495&lt;=6)*('CONTROL MASTER'!$V$2:$V$495&gt;=6)*('CONTROL MASTER'!$U$2:$U$495&lt;=4)*('CONTROL MASTER'!$W$2:$W$495&gt;=4))*ROW('CONTROL MASTER'!$S$2:$S$495))-(ROW('CONTROL MASTER'!#REF!)-1))))+1))-1)*50+1,50))&amp;"_"&amp;INDEX('CONTROL MASTER'!$P$2:$P$495,(SUMPRODUCT((('CONTROL MASTER'!$S$2:$S$495=12)*('CONTROL MASTER'!$T$2:$T$495&lt;=6)*('CONTROL MASTER'!$V$2:$V$495&gt;=6)*('CONTROL MASTER'!$U$2:$U$495&lt;=4)*('CONTROL MASTER'!$W$2:$W$495&gt;=4))*ROW('CONTROL MASTER'!$S$2:$S$495))-(ROW('CONTROL MASTER'!#REF!)-1))),IF(SUMPRODUCT((('CONTROL MASTER'!$S$2:$S$495=12)*('CONTROL MASTER'!$Z$2:$Z$495&lt;=6)*('CONTROL MASTER'!$AB$2:$AB$495&gt;=6)*('CONTROL MASTER'!$AA$2:$AA$495&lt;=4)*('CONTROL MASTER'!$AC$2:$AC$495&gt;=4))*ROW('CONTROL MASTER'!$S$2:$S$495))&gt;0,INDEX('CONTROL MASTER'!$X$2:$X$495,(SUMPRODUCT((('CONTROL MASTER'!$S$2:$S$495=12)*('CONTROL MASTER'!$Z$2:$Z$495&lt;=6)*('CONTROL MASTER'!$AB$2:$AB$495&gt;=6)*('CONTROL MASTER'!$AA$2:$AA$495&lt;=4)*('CONTROL MASTER'!$AC$2:$AC$495&gt;=4))*ROW('CONTROL MASTER'!$S$2:$S$495))-(ROW('CONTROL MASTER'!#REF!)-1)))&amp;TRIM(MID(SUBSTITUTE(SUBSTITUTE(INDEX('CONTROL MASTER'!$N$2:$N$495,(SUMPRODUCT((('CONTROL MASTER'!$S$2:$S$495=12)*('CONTROL MASTER'!$Z$2:$Z$495&lt;=6)*('CONTROL MASTER'!$AB$2:$AB$495&gt;=6)*('CONTROL MASTER'!$AA$2:$AA$495&lt;=4)*('CONTROL MASTER'!$AC$2:$AC$495&gt;=4))*ROW('CONTROL MASTER'!$S$2:$S$495))-(ROW('CONTROL MASTER'!#REF!)-1))),":",","),",",REPT(" ",50)),(((INDEX('CONTROL MASTER'!$Y$2:$Y$495,(SUMPRODUCT((('CONTROL MASTER'!$S$2:$S$495=12)*('CONTROL MASTER'!$Z$2:$Z$495&lt;=6)*('CONTROL MASTER'!$AB$2:$AB$495&gt;=6)*('CONTROL MASTER'!$AA$2:$AA$495&lt;=4)*('CONTROL MASTER'!$AC$2:$AC$495&gt;=4))*ROW('CONTROL MASTER'!$S$2:$S$495))-(ROW('CONTROL MASTER'!#REF!)-1)))+((6-INDEX('CONTROL MASTER'!$Z$2:$Z$495,(SUMPRODUCT((('CONTROL MASTER'!$S$2:$S$495=12)*('CONTROL MASTER'!$Z$2:$Z$495&lt;=6)*('CONTROL MASTER'!$AB$2:$AB$495&gt;=6)*('CONTROL MASTER'!$AA$2:$AA$495&lt;=4)*('CONTROL MASTER'!$AC$2:$AC$495&gt;=4))*ROW('CONTROL MASTER'!$S$2:$S$495))-(ROW('CONTROL MASTER'!#REF!)-1))))*(INDEX('CONTROL MASTER'!$AC$2:$AC$495,(SUMPRODUCT((('CONTROL MASTER'!$S$2:$S$495=12)*('CONTROL MASTER'!$Z$2:$Z$495&lt;=6)*('CONTROL MASTER'!$AB$2:$AB$495&gt;=6)*('CONTROL MASTER'!$AA$2:$AA$495&lt;=4)*('CONTROL MASTER'!$AC$2:$AC$495&gt;=4))*ROW('CONTROL MASTER'!$S$2:$S$495))-(ROW('CONTROL MASTER'!#REF!)-1)))-INDEX('CONTROL MASTER'!$AA$2:$AA$495,(SUMPRODUCT((('CONTROL MASTER'!$S$2:$S$495=12)*('CONTROL MASTER'!$Z$2:$Z$495&lt;=6)*('CONTROL MASTER'!$AB$2:$AB$495&gt;=6)*('CONTROL MASTER'!$AA$2:$AA$495&lt;=4)*('CONTROL MASTER'!$AC$2:$AC$495&gt;=4))*ROW('CONTROL MASTER'!$S$2:$S$495))-(ROW('CONTROL MASTER'!#REF!)-1)))+1)+(4-INDEX('CONTROL MASTER'!$AA$2:$AA$495,(SUMPRODUCT((('CONTROL MASTER'!$S$2:$S$495=12)*('CONTROL MASTER'!$Z$2:$Z$495&lt;=6)*('CONTROL MASTER'!$AB$2:$AB$495&gt;=6)*('CONTROL MASTER'!$AA$2:$AA$495&lt;=4)*('CONTROL MASTER'!$AC$2:$AC$495&gt;=4))*ROW('CONTROL MASTER'!$S$2:$S$495))-(ROW('CONTROL MASTER'!#REF!)-1))))+1)))-1)*50+1,50))&amp;"_"&amp;INDEX('CONTROL MASTER'!$P$2:$P$495,(SUMPRODUCT((('CONTROL MASTER'!$S$2:$S$495=12)*('CONTROL MASTER'!$Z$2:$Z$495&lt;=6)*('CONTROL MASTER'!$AB$2:$AB$495&gt;=6)*('CONTROL MASTER'!$AA$2:$AA$495&lt;=4)*('CONTROL MASTER'!$AC$2:$AC$495&gt;=4))*ROW('CONTROL MASTER'!$S$2:$S$495))-(ROW('CONTROL MASTER'!#REF!)-1))),"")),"")</f>
        <v/>
      </c>
      <c r="F162" s="10" t="str">
        <f>IFERROR(IF(SUMPRODUCT((('CONTROL MASTER'!$S$2:$S$495=12)*('CONTROL MASTER'!$T$2:$T$495&lt;=6)*('CONTROL MASTER'!$V$2:$V$495&gt;=6)*('CONTROL MASTER'!$U$2:$U$495&lt;=5)*('CONTROL MASTER'!$W$2:$W$495&gt;=5))*ROW('CONTROL MASTER'!$S$2:$S$495))&gt;0,INDEX('CONTROL MASTER'!$X$2:$X$495,(SUMPRODUCT((('CONTROL MASTER'!$S$2:$S$495=12)*('CONTROL MASTER'!$T$2:$T$495&lt;=6)*('CONTROL MASTER'!$V$2:$V$495&gt;=6)*('CONTROL MASTER'!$U$2:$U$495&lt;=5)*('CONTROL MASTER'!$W$2:$W$495&gt;=5))*ROW('CONTROL MASTER'!$S$2:$S$495))-(ROW('CONTROL MASTER'!#REF!)-1)))&amp;TRIM(MID(SUBSTITUTE(SUBSTITUTE(INDEX('CONTROL MASTER'!$N$2:$N$495,(SUMPRODUCT((('CONTROL MASTER'!$S$2:$S$495=12)*('CONTROL MASTER'!$T$2:$T$495&lt;=6)*('CONTROL MASTER'!$V$2:$V$495&gt;=6)*('CONTROL MASTER'!$U$2:$U$495&lt;=5)*('CONTROL MASTER'!$W$2:$W$495&gt;=5))*ROW('CONTROL MASTER'!$S$2:$S$495))-(ROW('CONTROL MASTER'!#REF!)-1))),":",","),",",REPT(" ",50)),((((6-INDEX('CONTROL MASTER'!$T$2:$T$495,(SUMPRODUCT((('CONTROL MASTER'!$S$2:$S$495=12)*('CONTROL MASTER'!$T$2:$T$495&lt;=6)*('CONTROL MASTER'!$V$2:$V$495&gt;=6)*('CONTROL MASTER'!$U$2:$U$495&lt;=5)*('CONTROL MASTER'!$W$2:$W$495&gt;=5))*ROW('CONTROL MASTER'!$S$2:$S$495))-(ROW('CONTROL MASTER'!#REF!)-1))))*(INDEX('CONTROL MASTER'!$W$2:$W$495,(SUMPRODUCT((('CONTROL MASTER'!$S$2:$S$495=12)*('CONTROL MASTER'!$T$2:$T$495&lt;=6)*('CONTROL MASTER'!$V$2:$V$495&gt;=6)*('CONTROL MASTER'!$U$2:$U$495&lt;=5)*('CONTROL MASTER'!$W$2:$W$495&gt;=5))*ROW('CONTROL MASTER'!$S$2:$S$495))-(ROW('CONTROL MASTER'!#REF!)-1)))-INDEX('CONTROL MASTER'!$U$2:$U$495,(SUMPRODUCT((('CONTROL MASTER'!$S$2:$S$495=12)*('CONTROL MASTER'!$T$2:$T$495&lt;=6)*('CONTROL MASTER'!$V$2:$V$495&gt;=6)*('CONTROL MASTER'!$U$2:$U$495&lt;=5)*('CONTROL MASTER'!$W$2:$W$495&gt;=5))*ROW('CONTROL MASTER'!$S$2:$S$495))-(ROW('CONTROL MASTER'!#REF!)-1)))+1)+(5-INDEX('CONTROL MASTER'!$U$2:$U$495,(SUMPRODUCT((('CONTROL MASTER'!$S$2:$S$495=12)*('CONTROL MASTER'!$T$2:$T$495&lt;=6)*('CONTROL MASTER'!$V$2:$V$495&gt;=6)*('CONTROL MASTER'!$U$2:$U$495&lt;=5)*('CONTROL MASTER'!$W$2:$W$495&gt;=5))*ROW('CONTROL MASTER'!$S$2:$S$495))-(ROW('CONTROL MASTER'!#REF!)-1))))+1))-1)*50+1,50))&amp;"_"&amp;INDEX('CONTROL MASTER'!$P$2:$P$495,(SUMPRODUCT((('CONTROL MASTER'!$S$2:$S$495=12)*('CONTROL MASTER'!$T$2:$T$495&lt;=6)*('CONTROL MASTER'!$V$2:$V$495&gt;=6)*('CONTROL MASTER'!$U$2:$U$495&lt;=5)*('CONTROL MASTER'!$W$2:$W$495&gt;=5))*ROW('CONTROL MASTER'!$S$2:$S$495))-(ROW('CONTROL MASTER'!#REF!)-1))),IF(SUMPRODUCT((('CONTROL MASTER'!$S$2:$S$495=12)*('CONTROL MASTER'!$Z$2:$Z$495&lt;=6)*('CONTROL MASTER'!$AB$2:$AB$495&gt;=6)*('CONTROL MASTER'!$AA$2:$AA$495&lt;=5)*('CONTROL MASTER'!$AC$2:$AC$495&gt;=5))*ROW('CONTROL MASTER'!$S$2:$S$495))&gt;0,INDEX('CONTROL MASTER'!$X$2:$X$495,(SUMPRODUCT((('CONTROL MASTER'!$S$2:$S$495=12)*('CONTROL MASTER'!$Z$2:$Z$495&lt;=6)*('CONTROL MASTER'!$AB$2:$AB$495&gt;=6)*('CONTROL MASTER'!$AA$2:$AA$495&lt;=5)*('CONTROL MASTER'!$AC$2:$AC$495&gt;=5))*ROW('CONTROL MASTER'!$S$2:$S$495))-(ROW('CONTROL MASTER'!#REF!)-1)))&amp;TRIM(MID(SUBSTITUTE(SUBSTITUTE(INDEX('CONTROL MASTER'!$N$2:$N$495,(SUMPRODUCT((('CONTROL MASTER'!$S$2:$S$495=12)*('CONTROL MASTER'!$Z$2:$Z$495&lt;=6)*('CONTROL MASTER'!$AB$2:$AB$495&gt;=6)*('CONTROL MASTER'!$AA$2:$AA$495&lt;=5)*('CONTROL MASTER'!$AC$2:$AC$495&gt;=5))*ROW('CONTROL MASTER'!$S$2:$S$495))-(ROW('CONTROL MASTER'!#REF!)-1))),":",","),",",REPT(" ",50)),(((INDEX('CONTROL MASTER'!$Y$2:$Y$495,(SUMPRODUCT((('CONTROL MASTER'!$S$2:$S$495=12)*('CONTROL MASTER'!$Z$2:$Z$495&lt;=6)*('CONTROL MASTER'!$AB$2:$AB$495&gt;=6)*('CONTROL MASTER'!$AA$2:$AA$495&lt;=5)*('CONTROL MASTER'!$AC$2:$AC$495&gt;=5))*ROW('CONTROL MASTER'!$S$2:$S$495))-(ROW('CONTROL MASTER'!#REF!)-1)))+((6-INDEX('CONTROL MASTER'!$Z$2:$Z$495,(SUMPRODUCT((('CONTROL MASTER'!$S$2:$S$495=12)*('CONTROL MASTER'!$Z$2:$Z$495&lt;=6)*('CONTROL MASTER'!$AB$2:$AB$495&gt;=6)*('CONTROL MASTER'!$AA$2:$AA$495&lt;=5)*('CONTROL MASTER'!$AC$2:$AC$495&gt;=5))*ROW('CONTROL MASTER'!$S$2:$S$495))-(ROW('CONTROL MASTER'!#REF!)-1))))*(INDEX('CONTROL MASTER'!$AC$2:$AC$495,(SUMPRODUCT((('CONTROL MASTER'!$S$2:$S$495=12)*('CONTROL MASTER'!$Z$2:$Z$495&lt;=6)*('CONTROL MASTER'!$AB$2:$AB$495&gt;=6)*('CONTROL MASTER'!$AA$2:$AA$495&lt;=5)*('CONTROL MASTER'!$AC$2:$AC$495&gt;=5))*ROW('CONTROL MASTER'!$S$2:$S$495))-(ROW('CONTROL MASTER'!#REF!)-1)))-INDEX('CONTROL MASTER'!$AA$2:$AA$495,(SUMPRODUCT((('CONTROL MASTER'!$S$2:$S$495=12)*('CONTROL MASTER'!$Z$2:$Z$495&lt;=6)*('CONTROL MASTER'!$AB$2:$AB$495&gt;=6)*('CONTROL MASTER'!$AA$2:$AA$495&lt;=5)*('CONTROL MASTER'!$AC$2:$AC$495&gt;=5))*ROW('CONTROL MASTER'!$S$2:$S$495))-(ROW('CONTROL MASTER'!#REF!)-1)))+1)+(5-INDEX('CONTROL MASTER'!$AA$2:$AA$495,(SUMPRODUCT((('CONTROL MASTER'!$S$2:$S$495=12)*('CONTROL MASTER'!$Z$2:$Z$495&lt;=6)*('CONTROL MASTER'!$AB$2:$AB$495&gt;=6)*('CONTROL MASTER'!$AA$2:$AA$495&lt;=5)*('CONTROL MASTER'!$AC$2:$AC$495&gt;=5))*ROW('CONTROL MASTER'!$S$2:$S$495))-(ROW('CONTROL MASTER'!#REF!)-1))))+1)))-1)*50+1,50))&amp;"_"&amp;INDEX('CONTROL MASTER'!$P$2:$P$495,(SUMPRODUCT((('CONTROL MASTER'!$S$2:$S$495=12)*('CONTROL MASTER'!$Z$2:$Z$495&lt;=6)*('CONTROL MASTER'!$AB$2:$AB$495&gt;=6)*('CONTROL MASTER'!$AA$2:$AA$495&lt;=5)*('CONTROL MASTER'!$AC$2:$AC$495&gt;=5))*ROW('CONTROL MASTER'!$S$2:$S$495))-(ROW('CONTROL MASTER'!#REF!)-1))),"")),"")</f>
        <v/>
      </c>
      <c r="G162" s="10" t="str">
        <f>IFERROR(IF(SUMPRODUCT((('CONTROL MASTER'!$S$2:$S$495=12)*('CONTROL MASTER'!$T$2:$T$495&lt;=6)*('CONTROL MASTER'!$V$2:$V$495&gt;=6)*('CONTROL MASTER'!$U$2:$U$495&lt;=6)*('CONTROL MASTER'!$W$2:$W$495&gt;=6))*ROW('CONTROL MASTER'!$S$2:$S$495))&gt;0,INDEX('CONTROL MASTER'!$X$2:$X$495,(SUMPRODUCT((('CONTROL MASTER'!$S$2:$S$495=12)*('CONTROL MASTER'!$T$2:$T$495&lt;=6)*('CONTROL MASTER'!$V$2:$V$495&gt;=6)*('CONTROL MASTER'!$U$2:$U$495&lt;=6)*('CONTROL MASTER'!$W$2:$W$495&gt;=6))*ROW('CONTROL MASTER'!$S$2:$S$495))-(ROW('CONTROL MASTER'!#REF!)-1)))&amp;TRIM(MID(SUBSTITUTE(SUBSTITUTE(INDEX('CONTROL MASTER'!$N$2:$N$495,(SUMPRODUCT((('CONTROL MASTER'!$S$2:$S$495=12)*('CONTROL MASTER'!$T$2:$T$495&lt;=6)*('CONTROL MASTER'!$V$2:$V$495&gt;=6)*('CONTROL MASTER'!$U$2:$U$495&lt;=6)*('CONTROL MASTER'!$W$2:$W$495&gt;=6))*ROW('CONTROL MASTER'!$S$2:$S$495))-(ROW('CONTROL MASTER'!#REF!)-1))),":",","),",",REPT(" ",50)),((((6-INDEX('CONTROL MASTER'!$T$2:$T$495,(SUMPRODUCT((('CONTROL MASTER'!$S$2:$S$495=12)*('CONTROL MASTER'!$T$2:$T$495&lt;=6)*('CONTROL MASTER'!$V$2:$V$495&gt;=6)*('CONTROL MASTER'!$U$2:$U$495&lt;=6)*('CONTROL MASTER'!$W$2:$W$495&gt;=6))*ROW('CONTROL MASTER'!$S$2:$S$495))-(ROW('CONTROL MASTER'!#REF!)-1))))*(INDEX('CONTROL MASTER'!$W$2:$W$495,(SUMPRODUCT((('CONTROL MASTER'!$S$2:$S$495=12)*('CONTROL MASTER'!$T$2:$T$495&lt;=6)*('CONTROL MASTER'!$V$2:$V$495&gt;=6)*('CONTROL MASTER'!$U$2:$U$495&lt;=6)*('CONTROL MASTER'!$W$2:$W$495&gt;=6))*ROW('CONTROL MASTER'!$S$2:$S$495))-(ROW('CONTROL MASTER'!#REF!)-1)))-INDEX('CONTROL MASTER'!$U$2:$U$495,(SUMPRODUCT((('CONTROL MASTER'!$S$2:$S$495=12)*('CONTROL MASTER'!$T$2:$T$495&lt;=6)*('CONTROL MASTER'!$V$2:$V$495&gt;=6)*('CONTROL MASTER'!$U$2:$U$495&lt;=6)*('CONTROL MASTER'!$W$2:$W$495&gt;=6))*ROW('CONTROL MASTER'!$S$2:$S$495))-(ROW('CONTROL MASTER'!#REF!)-1)))+1)+(6-INDEX('CONTROL MASTER'!$U$2:$U$495,(SUMPRODUCT((('CONTROL MASTER'!$S$2:$S$495=12)*('CONTROL MASTER'!$T$2:$T$495&lt;=6)*('CONTROL MASTER'!$V$2:$V$495&gt;=6)*('CONTROL MASTER'!$U$2:$U$495&lt;=6)*('CONTROL MASTER'!$W$2:$W$495&gt;=6))*ROW('CONTROL MASTER'!$S$2:$S$495))-(ROW('CONTROL MASTER'!#REF!)-1))))+1))-1)*50+1,50))&amp;"_"&amp;INDEX('CONTROL MASTER'!$P$2:$P$495,(SUMPRODUCT((('CONTROL MASTER'!$S$2:$S$495=12)*('CONTROL MASTER'!$T$2:$T$495&lt;=6)*('CONTROL MASTER'!$V$2:$V$495&gt;=6)*('CONTROL MASTER'!$U$2:$U$495&lt;=6)*('CONTROL MASTER'!$W$2:$W$495&gt;=6))*ROW('CONTROL MASTER'!$S$2:$S$495))-(ROW('CONTROL MASTER'!#REF!)-1))),IF(SUMPRODUCT((('CONTROL MASTER'!$S$2:$S$495=12)*('CONTROL MASTER'!$Z$2:$Z$495&lt;=6)*('CONTROL MASTER'!$AB$2:$AB$495&gt;=6)*('CONTROL MASTER'!$AA$2:$AA$495&lt;=6)*('CONTROL MASTER'!$AC$2:$AC$495&gt;=6))*ROW('CONTROL MASTER'!$S$2:$S$495))&gt;0,INDEX('CONTROL MASTER'!$X$2:$X$495,(SUMPRODUCT((('CONTROL MASTER'!$S$2:$S$495=12)*('CONTROL MASTER'!$Z$2:$Z$495&lt;=6)*('CONTROL MASTER'!$AB$2:$AB$495&gt;=6)*('CONTROL MASTER'!$AA$2:$AA$495&lt;=6)*('CONTROL MASTER'!$AC$2:$AC$495&gt;=6))*ROW('CONTROL MASTER'!$S$2:$S$495))-(ROW('CONTROL MASTER'!#REF!)-1)))&amp;TRIM(MID(SUBSTITUTE(SUBSTITUTE(INDEX('CONTROL MASTER'!$N$2:$N$495,(SUMPRODUCT((('CONTROL MASTER'!$S$2:$S$495=12)*('CONTROL MASTER'!$Z$2:$Z$495&lt;=6)*('CONTROL MASTER'!$AB$2:$AB$495&gt;=6)*('CONTROL MASTER'!$AA$2:$AA$495&lt;=6)*('CONTROL MASTER'!$AC$2:$AC$495&gt;=6))*ROW('CONTROL MASTER'!$S$2:$S$495))-(ROW('CONTROL MASTER'!#REF!)-1))),":",","),",",REPT(" ",50)),(((INDEX('CONTROL MASTER'!$Y$2:$Y$495,(SUMPRODUCT((('CONTROL MASTER'!$S$2:$S$495=12)*('CONTROL MASTER'!$Z$2:$Z$495&lt;=6)*('CONTROL MASTER'!$AB$2:$AB$495&gt;=6)*('CONTROL MASTER'!$AA$2:$AA$495&lt;=6)*('CONTROL MASTER'!$AC$2:$AC$495&gt;=6))*ROW('CONTROL MASTER'!$S$2:$S$495))-(ROW('CONTROL MASTER'!#REF!)-1)))+((6-INDEX('CONTROL MASTER'!$Z$2:$Z$495,(SUMPRODUCT((('CONTROL MASTER'!$S$2:$S$495=12)*('CONTROL MASTER'!$Z$2:$Z$495&lt;=6)*('CONTROL MASTER'!$AB$2:$AB$495&gt;=6)*('CONTROL MASTER'!$AA$2:$AA$495&lt;=6)*('CONTROL MASTER'!$AC$2:$AC$495&gt;=6))*ROW('CONTROL MASTER'!$S$2:$S$495))-(ROW('CONTROL MASTER'!#REF!)-1))))*(INDEX('CONTROL MASTER'!$AC$2:$AC$495,(SUMPRODUCT((('CONTROL MASTER'!$S$2:$S$495=12)*('CONTROL MASTER'!$Z$2:$Z$495&lt;=6)*('CONTROL MASTER'!$AB$2:$AB$495&gt;=6)*('CONTROL MASTER'!$AA$2:$AA$495&lt;=6)*('CONTROL MASTER'!$AC$2:$AC$495&gt;=6))*ROW('CONTROL MASTER'!$S$2:$S$495))-(ROW('CONTROL MASTER'!#REF!)-1)))-INDEX('CONTROL MASTER'!$AA$2:$AA$495,(SUMPRODUCT((('CONTROL MASTER'!$S$2:$S$495=12)*('CONTROL MASTER'!$Z$2:$Z$495&lt;=6)*('CONTROL MASTER'!$AB$2:$AB$495&gt;=6)*('CONTROL MASTER'!$AA$2:$AA$495&lt;=6)*('CONTROL MASTER'!$AC$2:$AC$495&gt;=6))*ROW('CONTROL MASTER'!$S$2:$S$495))-(ROW('CONTROL MASTER'!#REF!)-1)))+1)+(6-INDEX('CONTROL MASTER'!$AA$2:$AA$495,(SUMPRODUCT((('CONTROL MASTER'!$S$2:$S$495=12)*('CONTROL MASTER'!$Z$2:$Z$495&lt;=6)*('CONTROL MASTER'!$AB$2:$AB$495&gt;=6)*('CONTROL MASTER'!$AA$2:$AA$495&lt;=6)*('CONTROL MASTER'!$AC$2:$AC$495&gt;=6))*ROW('CONTROL MASTER'!$S$2:$S$495))-(ROW('CONTROL MASTER'!#REF!)-1))))+1)))-1)*50+1,50))&amp;"_"&amp;INDEX('CONTROL MASTER'!$P$2:$P$495,(SUMPRODUCT((('CONTROL MASTER'!$S$2:$S$495=12)*('CONTROL MASTER'!$Z$2:$Z$495&lt;=6)*('CONTROL MASTER'!$AB$2:$AB$495&gt;=6)*('CONTROL MASTER'!$AA$2:$AA$495&lt;=6)*('CONTROL MASTER'!$AC$2:$AC$495&gt;=6))*ROW('CONTROL MASTER'!$S$2:$S$495))-(ROW('CONTROL MASTER'!#REF!)-1))),"")),"")</f>
        <v/>
      </c>
      <c r="H162" s="10" t="str">
        <f>IFERROR(IF(SUMPRODUCT((('CONTROL MASTER'!$S$2:$S$495=12)*('CONTROL MASTER'!$T$2:$T$495&lt;=6)*('CONTROL MASTER'!$V$2:$V$495&gt;=6)*('CONTROL MASTER'!$U$2:$U$495&lt;=7)*('CONTROL MASTER'!$W$2:$W$495&gt;=7))*ROW('CONTROL MASTER'!$S$2:$S$495))&gt;0,INDEX('CONTROL MASTER'!$X$2:$X$495,(SUMPRODUCT((('CONTROL MASTER'!$S$2:$S$495=12)*('CONTROL MASTER'!$T$2:$T$495&lt;=6)*('CONTROL MASTER'!$V$2:$V$495&gt;=6)*('CONTROL MASTER'!$U$2:$U$495&lt;=7)*('CONTROL MASTER'!$W$2:$W$495&gt;=7))*ROW('CONTROL MASTER'!$S$2:$S$495))-(ROW('CONTROL MASTER'!#REF!)-1)))&amp;TRIM(MID(SUBSTITUTE(SUBSTITUTE(INDEX('CONTROL MASTER'!$N$2:$N$495,(SUMPRODUCT((('CONTROL MASTER'!$S$2:$S$495=12)*('CONTROL MASTER'!$T$2:$T$495&lt;=6)*('CONTROL MASTER'!$V$2:$V$495&gt;=6)*('CONTROL MASTER'!$U$2:$U$495&lt;=7)*('CONTROL MASTER'!$W$2:$W$495&gt;=7))*ROW('CONTROL MASTER'!$S$2:$S$495))-(ROW('CONTROL MASTER'!#REF!)-1))),":",","),",",REPT(" ",50)),((((6-INDEX('CONTROL MASTER'!$T$2:$T$495,(SUMPRODUCT((('CONTROL MASTER'!$S$2:$S$495=12)*('CONTROL MASTER'!$T$2:$T$495&lt;=6)*('CONTROL MASTER'!$V$2:$V$495&gt;=6)*('CONTROL MASTER'!$U$2:$U$495&lt;=7)*('CONTROL MASTER'!$W$2:$W$495&gt;=7))*ROW('CONTROL MASTER'!$S$2:$S$495))-(ROW('CONTROL MASTER'!#REF!)-1))))*(INDEX('CONTROL MASTER'!$W$2:$W$495,(SUMPRODUCT((('CONTROL MASTER'!$S$2:$S$495=12)*('CONTROL MASTER'!$T$2:$T$495&lt;=6)*('CONTROL MASTER'!$V$2:$V$495&gt;=6)*('CONTROL MASTER'!$U$2:$U$495&lt;=7)*('CONTROL MASTER'!$W$2:$W$495&gt;=7))*ROW('CONTROL MASTER'!$S$2:$S$495))-(ROW('CONTROL MASTER'!#REF!)-1)))-INDEX('CONTROL MASTER'!$U$2:$U$495,(SUMPRODUCT((('CONTROL MASTER'!$S$2:$S$495=12)*('CONTROL MASTER'!$T$2:$T$495&lt;=6)*('CONTROL MASTER'!$V$2:$V$495&gt;=6)*('CONTROL MASTER'!$U$2:$U$495&lt;=7)*('CONTROL MASTER'!$W$2:$W$495&gt;=7))*ROW('CONTROL MASTER'!$S$2:$S$495))-(ROW('CONTROL MASTER'!#REF!)-1)))+1)+(7-INDEX('CONTROL MASTER'!$U$2:$U$495,(SUMPRODUCT((('CONTROL MASTER'!$S$2:$S$495=12)*('CONTROL MASTER'!$T$2:$T$495&lt;=6)*('CONTROL MASTER'!$V$2:$V$495&gt;=6)*('CONTROL MASTER'!$U$2:$U$495&lt;=7)*('CONTROL MASTER'!$W$2:$W$495&gt;=7))*ROW('CONTROL MASTER'!$S$2:$S$495))-(ROW('CONTROL MASTER'!#REF!)-1))))+1))-1)*50+1,50))&amp;"_"&amp;INDEX('CONTROL MASTER'!$P$2:$P$495,(SUMPRODUCT((('CONTROL MASTER'!$S$2:$S$495=12)*('CONTROL MASTER'!$T$2:$T$495&lt;=6)*('CONTROL MASTER'!$V$2:$V$495&gt;=6)*('CONTROL MASTER'!$U$2:$U$495&lt;=7)*('CONTROL MASTER'!$W$2:$W$495&gt;=7))*ROW('CONTROL MASTER'!$S$2:$S$495))-(ROW('CONTROL MASTER'!#REF!)-1))),IF(SUMPRODUCT((('CONTROL MASTER'!$S$2:$S$495=12)*('CONTROL MASTER'!$Z$2:$Z$495&lt;=6)*('CONTROL MASTER'!$AB$2:$AB$495&gt;=6)*('CONTROL MASTER'!$AA$2:$AA$495&lt;=7)*('CONTROL MASTER'!$AC$2:$AC$495&gt;=7))*ROW('CONTROL MASTER'!$S$2:$S$495))&gt;0,INDEX('CONTROL MASTER'!$X$2:$X$495,(SUMPRODUCT((('CONTROL MASTER'!$S$2:$S$495=12)*('CONTROL MASTER'!$Z$2:$Z$495&lt;=6)*('CONTROL MASTER'!$AB$2:$AB$495&gt;=6)*('CONTROL MASTER'!$AA$2:$AA$495&lt;=7)*('CONTROL MASTER'!$AC$2:$AC$495&gt;=7))*ROW('CONTROL MASTER'!$S$2:$S$495))-(ROW('CONTROL MASTER'!#REF!)-1)))&amp;TRIM(MID(SUBSTITUTE(SUBSTITUTE(INDEX('CONTROL MASTER'!$N$2:$N$495,(SUMPRODUCT((('CONTROL MASTER'!$S$2:$S$495=12)*('CONTROL MASTER'!$Z$2:$Z$495&lt;=6)*('CONTROL MASTER'!$AB$2:$AB$495&gt;=6)*('CONTROL MASTER'!$AA$2:$AA$495&lt;=7)*('CONTROL MASTER'!$AC$2:$AC$495&gt;=7))*ROW('CONTROL MASTER'!$S$2:$S$495))-(ROW('CONTROL MASTER'!#REF!)-1))),":",","),",",REPT(" ",50)),(((INDEX('CONTROL MASTER'!$Y$2:$Y$495,(SUMPRODUCT((('CONTROL MASTER'!$S$2:$S$495=12)*('CONTROL MASTER'!$Z$2:$Z$495&lt;=6)*('CONTROL MASTER'!$AB$2:$AB$495&gt;=6)*('CONTROL MASTER'!$AA$2:$AA$495&lt;=7)*('CONTROL MASTER'!$AC$2:$AC$495&gt;=7))*ROW('CONTROL MASTER'!$S$2:$S$495))-(ROW('CONTROL MASTER'!#REF!)-1)))+((6-INDEX('CONTROL MASTER'!$Z$2:$Z$495,(SUMPRODUCT((('CONTROL MASTER'!$S$2:$S$495=12)*('CONTROL MASTER'!$Z$2:$Z$495&lt;=6)*('CONTROL MASTER'!$AB$2:$AB$495&gt;=6)*('CONTROL MASTER'!$AA$2:$AA$495&lt;=7)*('CONTROL MASTER'!$AC$2:$AC$495&gt;=7))*ROW('CONTROL MASTER'!$S$2:$S$495))-(ROW('CONTROL MASTER'!#REF!)-1))))*(INDEX('CONTROL MASTER'!$AC$2:$AC$495,(SUMPRODUCT((('CONTROL MASTER'!$S$2:$S$495=12)*('CONTROL MASTER'!$Z$2:$Z$495&lt;=6)*('CONTROL MASTER'!$AB$2:$AB$495&gt;=6)*('CONTROL MASTER'!$AA$2:$AA$495&lt;=7)*('CONTROL MASTER'!$AC$2:$AC$495&gt;=7))*ROW('CONTROL MASTER'!$S$2:$S$495))-(ROW('CONTROL MASTER'!#REF!)-1)))-INDEX('CONTROL MASTER'!$AA$2:$AA$495,(SUMPRODUCT((('CONTROL MASTER'!$S$2:$S$495=12)*('CONTROL MASTER'!$Z$2:$Z$495&lt;=6)*('CONTROL MASTER'!$AB$2:$AB$495&gt;=6)*('CONTROL MASTER'!$AA$2:$AA$495&lt;=7)*('CONTROL MASTER'!$AC$2:$AC$495&gt;=7))*ROW('CONTROL MASTER'!$S$2:$S$495))-(ROW('CONTROL MASTER'!#REF!)-1)))+1)+(7-INDEX('CONTROL MASTER'!$AA$2:$AA$495,(SUMPRODUCT((('CONTROL MASTER'!$S$2:$S$495=12)*('CONTROL MASTER'!$Z$2:$Z$495&lt;=6)*('CONTROL MASTER'!$AB$2:$AB$495&gt;=6)*('CONTROL MASTER'!$AA$2:$AA$495&lt;=7)*('CONTROL MASTER'!$AC$2:$AC$495&gt;=7))*ROW('CONTROL MASTER'!$S$2:$S$495))-(ROW('CONTROL MASTER'!#REF!)-1))))+1)))-1)*50+1,50))&amp;"_"&amp;INDEX('CONTROL MASTER'!$P$2:$P$495,(SUMPRODUCT((('CONTROL MASTER'!$S$2:$S$495=12)*('CONTROL MASTER'!$Z$2:$Z$495&lt;=6)*('CONTROL MASTER'!$AB$2:$AB$495&gt;=6)*('CONTROL MASTER'!$AA$2:$AA$495&lt;=7)*('CONTROL MASTER'!$AC$2:$AC$495&gt;=7))*ROW('CONTROL MASTER'!$S$2:$S$495))-(ROW('CONTROL MASTER'!#REF!)-1))),"")),"")</f>
        <v/>
      </c>
      <c r="I162" s="10" t="str">
        <f>IFERROR(IF(SUMPRODUCT((('CONTROL MASTER'!$S$2:$S$495=12)*('CONTROL MASTER'!$T$2:$T$495&lt;=6)*('CONTROL MASTER'!$V$2:$V$495&gt;=6)*('CONTROL MASTER'!$U$2:$U$495&lt;=8)*('CONTROL MASTER'!$W$2:$W$495&gt;=8))*ROW('CONTROL MASTER'!$S$2:$S$495))&gt;0,INDEX('CONTROL MASTER'!$X$2:$X$495,(SUMPRODUCT((('CONTROL MASTER'!$S$2:$S$495=12)*('CONTROL MASTER'!$T$2:$T$495&lt;=6)*('CONTROL MASTER'!$V$2:$V$495&gt;=6)*('CONTROL MASTER'!$U$2:$U$495&lt;=8)*('CONTROL MASTER'!$W$2:$W$495&gt;=8))*ROW('CONTROL MASTER'!$S$2:$S$495))-(ROW('CONTROL MASTER'!#REF!)-1)))&amp;TRIM(MID(SUBSTITUTE(SUBSTITUTE(INDEX('CONTROL MASTER'!$N$2:$N$495,(SUMPRODUCT((('CONTROL MASTER'!$S$2:$S$495=12)*('CONTROL MASTER'!$T$2:$T$495&lt;=6)*('CONTROL MASTER'!$V$2:$V$495&gt;=6)*('CONTROL MASTER'!$U$2:$U$495&lt;=8)*('CONTROL MASTER'!$W$2:$W$495&gt;=8))*ROW('CONTROL MASTER'!$S$2:$S$495))-(ROW('CONTROL MASTER'!#REF!)-1))),":",","),",",REPT(" ",50)),((((6-INDEX('CONTROL MASTER'!$T$2:$T$495,(SUMPRODUCT((('CONTROL MASTER'!$S$2:$S$495=12)*('CONTROL MASTER'!$T$2:$T$495&lt;=6)*('CONTROL MASTER'!$V$2:$V$495&gt;=6)*('CONTROL MASTER'!$U$2:$U$495&lt;=8)*('CONTROL MASTER'!$W$2:$W$495&gt;=8))*ROW('CONTROL MASTER'!$S$2:$S$495))-(ROW('CONTROL MASTER'!#REF!)-1))))*(INDEX('CONTROL MASTER'!$W$2:$W$495,(SUMPRODUCT((('CONTROL MASTER'!$S$2:$S$495=12)*('CONTROL MASTER'!$T$2:$T$495&lt;=6)*('CONTROL MASTER'!$V$2:$V$495&gt;=6)*('CONTROL MASTER'!$U$2:$U$495&lt;=8)*('CONTROL MASTER'!$W$2:$W$495&gt;=8))*ROW('CONTROL MASTER'!$S$2:$S$495))-(ROW('CONTROL MASTER'!#REF!)-1)))-INDEX('CONTROL MASTER'!$U$2:$U$495,(SUMPRODUCT((('CONTROL MASTER'!$S$2:$S$495=12)*('CONTROL MASTER'!$T$2:$T$495&lt;=6)*('CONTROL MASTER'!$V$2:$V$495&gt;=6)*('CONTROL MASTER'!$U$2:$U$495&lt;=8)*('CONTROL MASTER'!$W$2:$W$495&gt;=8))*ROW('CONTROL MASTER'!$S$2:$S$495))-(ROW('CONTROL MASTER'!#REF!)-1)))+1)+(8-INDEX('CONTROL MASTER'!$U$2:$U$495,(SUMPRODUCT((('CONTROL MASTER'!$S$2:$S$495=12)*('CONTROL MASTER'!$T$2:$T$495&lt;=6)*('CONTROL MASTER'!$V$2:$V$495&gt;=6)*('CONTROL MASTER'!$U$2:$U$495&lt;=8)*('CONTROL MASTER'!$W$2:$W$495&gt;=8))*ROW('CONTROL MASTER'!$S$2:$S$495))-(ROW('CONTROL MASTER'!#REF!)-1))))+1))-1)*50+1,50))&amp;"_"&amp;INDEX('CONTROL MASTER'!$P$2:$P$495,(SUMPRODUCT((('CONTROL MASTER'!$S$2:$S$495=12)*('CONTROL MASTER'!$T$2:$T$495&lt;=6)*('CONTROL MASTER'!$V$2:$V$495&gt;=6)*('CONTROL MASTER'!$U$2:$U$495&lt;=8)*('CONTROL MASTER'!$W$2:$W$495&gt;=8))*ROW('CONTROL MASTER'!$S$2:$S$495))-(ROW('CONTROL MASTER'!#REF!)-1))),IF(SUMPRODUCT((('CONTROL MASTER'!$S$2:$S$495=12)*('CONTROL MASTER'!$Z$2:$Z$495&lt;=6)*('CONTROL MASTER'!$AB$2:$AB$495&gt;=6)*('CONTROL MASTER'!$AA$2:$AA$495&lt;=8)*('CONTROL MASTER'!$AC$2:$AC$495&gt;=8))*ROW('CONTROL MASTER'!$S$2:$S$495))&gt;0,INDEX('CONTROL MASTER'!$X$2:$X$495,(SUMPRODUCT((('CONTROL MASTER'!$S$2:$S$495=12)*('CONTROL MASTER'!$Z$2:$Z$495&lt;=6)*('CONTROL MASTER'!$AB$2:$AB$495&gt;=6)*('CONTROL MASTER'!$AA$2:$AA$495&lt;=8)*('CONTROL MASTER'!$AC$2:$AC$495&gt;=8))*ROW('CONTROL MASTER'!$S$2:$S$495))-(ROW('CONTROL MASTER'!#REF!)-1)))&amp;TRIM(MID(SUBSTITUTE(SUBSTITUTE(INDEX('CONTROL MASTER'!$N$2:$N$495,(SUMPRODUCT((('CONTROL MASTER'!$S$2:$S$495=12)*('CONTROL MASTER'!$Z$2:$Z$495&lt;=6)*('CONTROL MASTER'!$AB$2:$AB$495&gt;=6)*('CONTROL MASTER'!$AA$2:$AA$495&lt;=8)*('CONTROL MASTER'!$AC$2:$AC$495&gt;=8))*ROW('CONTROL MASTER'!$S$2:$S$495))-(ROW('CONTROL MASTER'!#REF!)-1))),":",","),",",REPT(" ",50)),(((INDEX('CONTROL MASTER'!$Y$2:$Y$495,(SUMPRODUCT((('CONTROL MASTER'!$S$2:$S$495=12)*('CONTROL MASTER'!$Z$2:$Z$495&lt;=6)*('CONTROL MASTER'!$AB$2:$AB$495&gt;=6)*('CONTROL MASTER'!$AA$2:$AA$495&lt;=8)*('CONTROL MASTER'!$AC$2:$AC$495&gt;=8))*ROW('CONTROL MASTER'!$S$2:$S$495))-(ROW('CONTROL MASTER'!#REF!)-1)))+((6-INDEX('CONTROL MASTER'!$Z$2:$Z$495,(SUMPRODUCT((('CONTROL MASTER'!$S$2:$S$495=12)*('CONTROL MASTER'!$Z$2:$Z$495&lt;=6)*('CONTROL MASTER'!$AB$2:$AB$495&gt;=6)*('CONTROL MASTER'!$AA$2:$AA$495&lt;=8)*('CONTROL MASTER'!$AC$2:$AC$495&gt;=8))*ROW('CONTROL MASTER'!$S$2:$S$495))-(ROW('CONTROL MASTER'!#REF!)-1))))*(INDEX('CONTROL MASTER'!$AC$2:$AC$495,(SUMPRODUCT((('CONTROL MASTER'!$S$2:$S$495=12)*('CONTROL MASTER'!$Z$2:$Z$495&lt;=6)*('CONTROL MASTER'!$AB$2:$AB$495&gt;=6)*('CONTROL MASTER'!$AA$2:$AA$495&lt;=8)*('CONTROL MASTER'!$AC$2:$AC$495&gt;=8))*ROW('CONTROL MASTER'!$S$2:$S$495))-(ROW('CONTROL MASTER'!#REF!)-1)))-INDEX('CONTROL MASTER'!$AA$2:$AA$495,(SUMPRODUCT((('CONTROL MASTER'!$S$2:$S$495=12)*('CONTROL MASTER'!$Z$2:$Z$495&lt;=6)*('CONTROL MASTER'!$AB$2:$AB$495&gt;=6)*('CONTROL MASTER'!$AA$2:$AA$495&lt;=8)*('CONTROL MASTER'!$AC$2:$AC$495&gt;=8))*ROW('CONTROL MASTER'!$S$2:$S$495))-(ROW('CONTROL MASTER'!#REF!)-1)))+1)+(8-INDEX('CONTROL MASTER'!$AA$2:$AA$495,(SUMPRODUCT((('CONTROL MASTER'!$S$2:$S$495=12)*('CONTROL MASTER'!$Z$2:$Z$495&lt;=6)*('CONTROL MASTER'!$AB$2:$AB$495&gt;=6)*('CONTROL MASTER'!$AA$2:$AA$495&lt;=8)*('CONTROL MASTER'!$AC$2:$AC$495&gt;=8))*ROW('CONTROL MASTER'!$S$2:$S$495))-(ROW('CONTROL MASTER'!#REF!)-1))))+1)))-1)*50+1,50))&amp;"_"&amp;INDEX('CONTROL MASTER'!$P$2:$P$495,(SUMPRODUCT((('CONTROL MASTER'!$S$2:$S$495=12)*('CONTROL MASTER'!$Z$2:$Z$495&lt;=6)*('CONTROL MASTER'!$AB$2:$AB$495&gt;=6)*('CONTROL MASTER'!$AA$2:$AA$495&lt;=8)*('CONTROL MASTER'!$AC$2:$AC$495&gt;=8))*ROW('CONTROL MASTER'!$S$2:$S$495))-(ROW('CONTROL MASTER'!#REF!)-1))),"")),"")</f>
        <v/>
      </c>
      <c r="J162" s="10" t="str">
        <f>IFERROR(IF(SUMPRODUCT((('CONTROL MASTER'!$S$2:$S$495=12)*('CONTROL MASTER'!$T$2:$T$495&lt;=6)*('CONTROL MASTER'!$V$2:$V$495&gt;=6)*('CONTROL MASTER'!$U$2:$U$495&lt;=9)*('CONTROL MASTER'!$W$2:$W$495&gt;=9))*ROW('CONTROL MASTER'!$S$2:$S$495))&gt;0,INDEX('CONTROL MASTER'!$X$2:$X$495,(SUMPRODUCT((('CONTROL MASTER'!$S$2:$S$495=12)*('CONTROL MASTER'!$T$2:$T$495&lt;=6)*('CONTROL MASTER'!$V$2:$V$495&gt;=6)*('CONTROL MASTER'!$U$2:$U$495&lt;=9)*('CONTROL MASTER'!$W$2:$W$495&gt;=9))*ROW('CONTROL MASTER'!$S$2:$S$495))-(ROW('CONTROL MASTER'!#REF!)-1)))&amp;TRIM(MID(SUBSTITUTE(SUBSTITUTE(INDEX('CONTROL MASTER'!$N$2:$N$495,(SUMPRODUCT((('CONTROL MASTER'!$S$2:$S$495=12)*('CONTROL MASTER'!$T$2:$T$495&lt;=6)*('CONTROL MASTER'!$V$2:$V$495&gt;=6)*('CONTROL MASTER'!$U$2:$U$495&lt;=9)*('CONTROL MASTER'!$W$2:$W$495&gt;=9))*ROW('CONTROL MASTER'!$S$2:$S$495))-(ROW('CONTROL MASTER'!#REF!)-1))),":",","),",",REPT(" ",50)),((((6-INDEX('CONTROL MASTER'!$T$2:$T$495,(SUMPRODUCT((('CONTROL MASTER'!$S$2:$S$495=12)*('CONTROL MASTER'!$T$2:$T$495&lt;=6)*('CONTROL MASTER'!$V$2:$V$495&gt;=6)*('CONTROL MASTER'!$U$2:$U$495&lt;=9)*('CONTROL MASTER'!$W$2:$W$495&gt;=9))*ROW('CONTROL MASTER'!$S$2:$S$495))-(ROW('CONTROL MASTER'!#REF!)-1))))*(INDEX('CONTROL MASTER'!$W$2:$W$495,(SUMPRODUCT((('CONTROL MASTER'!$S$2:$S$495=12)*('CONTROL MASTER'!$T$2:$T$495&lt;=6)*('CONTROL MASTER'!$V$2:$V$495&gt;=6)*('CONTROL MASTER'!$U$2:$U$495&lt;=9)*('CONTROL MASTER'!$W$2:$W$495&gt;=9))*ROW('CONTROL MASTER'!$S$2:$S$495))-(ROW('CONTROL MASTER'!#REF!)-1)))-INDEX('CONTROL MASTER'!$U$2:$U$495,(SUMPRODUCT((('CONTROL MASTER'!$S$2:$S$495=12)*('CONTROL MASTER'!$T$2:$T$495&lt;=6)*('CONTROL MASTER'!$V$2:$V$495&gt;=6)*('CONTROL MASTER'!$U$2:$U$495&lt;=9)*('CONTROL MASTER'!$W$2:$W$495&gt;=9))*ROW('CONTROL MASTER'!$S$2:$S$495))-(ROW('CONTROL MASTER'!#REF!)-1)))+1)+(9-INDEX('CONTROL MASTER'!$U$2:$U$495,(SUMPRODUCT((('CONTROL MASTER'!$S$2:$S$495=12)*('CONTROL MASTER'!$T$2:$T$495&lt;=6)*('CONTROL MASTER'!$V$2:$V$495&gt;=6)*('CONTROL MASTER'!$U$2:$U$495&lt;=9)*('CONTROL MASTER'!$W$2:$W$495&gt;=9))*ROW('CONTROL MASTER'!$S$2:$S$495))-(ROW('CONTROL MASTER'!#REF!)-1))))+1))-1)*50+1,50))&amp;"_"&amp;INDEX('CONTROL MASTER'!$P$2:$P$495,(SUMPRODUCT((('CONTROL MASTER'!$S$2:$S$495=12)*('CONTROL MASTER'!$T$2:$T$495&lt;=6)*('CONTROL MASTER'!$V$2:$V$495&gt;=6)*('CONTROL MASTER'!$U$2:$U$495&lt;=9)*('CONTROL MASTER'!$W$2:$W$495&gt;=9))*ROW('CONTROL MASTER'!$S$2:$S$495))-(ROW('CONTROL MASTER'!#REF!)-1))),IF(SUMPRODUCT((('CONTROL MASTER'!$S$2:$S$495=12)*('CONTROL MASTER'!$Z$2:$Z$495&lt;=6)*('CONTROL MASTER'!$AB$2:$AB$495&gt;=6)*('CONTROL MASTER'!$AA$2:$AA$495&lt;=9)*('CONTROL MASTER'!$AC$2:$AC$495&gt;=9))*ROW('CONTROL MASTER'!$S$2:$S$495))&gt;0,INDEX('CONTROL MASTER'!$X$2:$X$495,(SUMPRODUCT((('CONTROL MASTER'!$S$2:$S$495=12)*('CONTROL MASTER'!$Z$2:$Z$495&lt;=6)*('CONTROL MASTER'!$AB$2:$AB$495&gt;=6)*('CONTROL MASTER'!$AA$2:$AA$495&lt;=9)*('CONTROL MASTER'!$AC$2:$AC$495&gt;=9))*ROW('CONTROL MASTER'!$S$2:$S$495))-(ROW('CONTROL MASTER'!#REF!)-1)))&amp;TRIM(MID(SUBSTITUTE(SUBSTITUTE(INDEX('CONTROL MASTER'!$N$2:$N$495,(SUMPRODUCT((('CONTROL MASTER'!$S$2:$S$495=12)*('CONTROL MASTER'!$Z$2:$Z$495&lt;=6)*('CONTROL MASTER'!$AB$2:$AB$495&gt;=6)*('CONTROL MASTER'!$AA$2:$AA$495&lt;=9)*('CONTROL MASTER'!$AC$2:$AC$495&gt;=9))*ROW('CONTROL MASTER'!$S$2:$S$495))-(ROW('CONTROL MASTER'!#REF!)-1))),":",","),",",REPT(" ",50)),(((INDEX('CONTROL MASTER'!$Y$2:$Y$495,(SUMPRODUCT((('CONTROL MASTER'!$S$2:$S$495=12)*('CONTROL MASTER'!$Z$2:$Z$495&lt;=6)*('CONTROL MASTER'!$AB$2:$AB$495&gt;=6)*('CONTROL MASTER'!$AA$2:$AA$495&lt;=9)*('CONTROL MASTER'!$AC$2:$AC$495&gt;=9))*ROW('CONTROL MASTER'!$S$2:$S$495))-(ROW('CONTROL MASTER'!#REF!)-1)))+((6-INDEX('CONTROL MASTER'!$Z$2:$Z$495,(SUMPRODUCT((('CONTROL MASTER'!$S$2:$S$495=12)*('CONTROL MASTER'!$Z$2:$Z$495&lt;=6)*('CONTROL MASTER'!$AB$2:$AB$495&gt;=6)*('CONTROL MASTER'!$AA$2:$AA$495&lt;=9)*('CONTROL MASTER'!$AC$2:$AC$495&gt;=9))*ROW('CONTROL MASTER'!$S$2:$S$495))-(ROW('CONTROL MASTER'!#REF!)-1))))*(INDEX('CONTROL MASTER'!$AC$2:$AC$495,(SUMPRODUCT((('CONTROL MASTER'!$S$2:$S$495=12)*('CONTROL MASTER'!$Z$2:$Z$495&lt;=6)*('CONTROL MASTER'!$AB$2:$AB$495&gt;=6)*('CONTROL MASTER'!$AA$2:$AA$495&lt;=9)*('CONTROL MASTER'!$AC$2:$AC$495&gt;=9))*ROW('CONTROL MASTER'!$S$2:$S$495))-(ROW('CONTROL MASTER'!#REF!)-1)))-INDEX('CONTROL MASTER'!$AA$2:$AA$495,(SUMPRODUCT((('CONTROL MASTER'!$S$2:$S$495=12)*('CONTROL MASTER'!$Z$2:$Z$495&lt;=6)*('CONTROL MASTER'!$AB$2:$AB$495&gt;=6)*('CONTROL MASTER'!$AA$2:$AA$495&lt;=9)*('CONTROL MASTER'!$AC$2:$AC$495&gt;=9))*ROW('CONTROL MASTER'!$S$2:$S$495))-(ROW('CONTROL MASTER'!#REF!)-1)))+1)+(9-INDEX('CONTROL MASTER'!$AA$2:$AA$495,(SUMPRODUCT((('CONTROL MASTER'!$S$2:$S$495=12)*('CONTROL MASTER'!$Z$2:$Z$495&lt;=6)*('CONTROL MASTER'!$AB$2:$AB$495&gt;=6)*('CONTROL MASTER'!$AA$2:$AA$495&lt;=9)*('CONTROL MASTER'!$AC$2:$AC$495&gt;=9))*ROW('CONTROL MASTER'!$S$2:$S$495))-(ROW('CONTROL MASTER'!#REF!)-1))))+1)))-1)*50+1,50))&amp;"_"&amp;INDEX('CONTROL MASTER'!$P$2:$P$495,(SUMPRODUCT((('CONTROL MASTER'!$S$2:$S$495=12)*('CONTROL MASTER'!$Z$2:$Z$495&lt;=6)*('CONTROL MASTER'!$AB$2:$AB$495&gt;=6)*('CONTROL MASTER'!$AA$2:$AA$495&lt;=9)*('CONTROL MASTER'!$AC$2:$AC$495&gt;=9))*ROW('CONTROL MASTER'!$S$2:$S$495))-(ROW('CONTROL MASTER'!#REF!)-1))),"")),"")</f>
        <v/>
      </c>
      <c r="K162" s="10" t="str">
        <f>IFERROR(IF(SUMPRODUCT((('CONTROL MASTER'!$S$2:$S$495=12)*('CONTROL MASTER'!$T$2:$T$495&lt;=6)*('CONTROL MASTER'!$V$2:$V$495&gt;=6)*('CONTROL MASTER'!$U$2:$U$495&lt;=10)*('CONTROL MASTER'!$W$2:$W$495&gt;=10))*ROW('CONTROL MASTER'!$S$2:$S$495))&gt;0,INDEX('CONTROL MASTER'!$X$2:$X$495,(SUMPRODUCT((('CONTROL MASTER'!$S$2:$S$495=12)*('CONTROL MASTER'!$T$2:$T$495&lt;=6)*('CONTROL MASTER'!$V$2:$V$495&gt;=6)*('CONTROL MASTER'!$U$2:$U$495&lt;=10)*('CONTROL MASTER'!$W$2:$W$495&gt;=10))*ROW('CONTROL MASTER'!$S$2:$S$495))-(ROW('CONTROL MASTER'!#REF!)-1)))&amp;TRIM(MID(SUBSTITUTE(SUBSTITUTE(INDEX('CONTROL MASTER'!$N$2:$N$495,(SUMPRODUCT((('CONTROL MASTER'!$S$2:$S$495=12)*('CONTROL MASTER'!$T$2:$T$495&lt;=6)*('CONTROL MASTER'!$V$2:$V$495&gt;=6)*('CONTROL MASTER'!$U$2:$U$495&lt;=10)*('CONTROL MASTER'!$W$2:$W$495&gt;=10))*ROW('CONTROL MASTER'!$S$2:$S$495))-(ROW('CONTROL MASTER'!#REF!)-1))),":",","),",",REPT(" ",50)),((((6-INDEX('CONTROL MASTER'!$T$2:$T$495,(SUMPRODUCT((('CONTROL MASTER'!$S$2:$S$495=12)*('CONTROL MASTER'!$T$2:$T$495&lt;=6)*('CONTROL MASTER'!$V$2:$V$495&gt;=6)*('CONTROL MASTER'!$U$2:$U$495&lt;=10)*('CONTROL MASTER'!$W$2:$W$495&gt;=10))*ROW('CONTROL MASTER'!$S$2:$S$495))-(ROW('CONTROL MASTER'!#REF!)-1))))*(INDEX('CONTROL MASTER'!$W$2:$W$495,(SUMPRODUCT((('CONTROL MASTER'!$S$2:$S$495=12)*('CONTROL MASTER'!$T$2:$T$495&lt;=6)*('CONTROL MASTER'!$V$2:$V$495&gt;=6)*('CONTROL MASTER'!$U$2:$U$495&lt;=10)*('CONTROL MASTER'!$W$2:$W$495&gt;=10))*ROW('CONTROL MASTER'!$S$2:$S$495))-(ROW('CONTROL MASTER'!#REF!)-1)))-INDEX('CONTROL MASTER'!$U$2:$U$495,(SUMPRODUCT((('CONTROL MASTER'!$S$2:$S$495=12)*('CONTROL MASTER'!$T$2:$T$495&lt;=6)*('CONTROL MASTER'!$V$2:$V$495&gt;=6)*('CONTROL MASTER'!$U$2:$U$495&lt;=10)*('CONTROL MASTER'!$W$2:$W$495&gt;=10))*ROW('CONTROL MASTER'!$S$2:$S$495))-(ROW('CONTROL MASTER'!#REF!)-1)))+1)+(10-INDEX('CONTROL MASTER'!$U$2:$U$495,(SUMPRODUCT((('CONTROL MASTER'!$S$2:$S$495=12)*('CONTROL MASTER'!$T$2:$T$495&lt;=6)*('CONTROL MASTER'!$V$2:$V$495&gt;=6)*('CONTROL MASTER'!$U$2:$U$495&lt;=10)*('CONTROL MASTER'!$W$2:$W$495&gt;=10))*ROW('CONTROL MASTER'!$S$2:$S$495))-(ROW('CONTROL MASTER'!#REF!)-1))))+1))-1)*50+1,50))&amp;"_"&amp;INDEX('CONTROL MASTER'!$P$2:$P$495,(SUMPRODUCT((('CONTROL MASTER'!$S$2:$S$495=12)*('CONTROL MASTER'!$T$2:$T$495&lt;=6)*('CONTROL MASTER'!$V$2:$V$495&gt;=6)*('CONTROL MASTER'!$U$2:$U$495&lt;=10)*('CONTROL MASTER'!$W$2:$W$495&gt;=10))*ROW('CONTROL MASTER'!$S$2:$S$495))-(ROW('CONTROL MASTER'!#REF!)-1))),IF(SUMPRODUCT((('CONTROL MASTER'!$S$2:$S$495=12)*('CONTROL MASTER'!$Z$2:$Z$495&lt;=6)*('CONTROL MASTER'!$AB$2:$AB$495&gt;=6)*('CONTROL MASTER'!$AA$2:$AA$495&lt;=10)*('CONTROL MASTER'!$AC$2:$AC$495&gt;=10))*ROW('CONTROL MASTER'!$S$2:$S$495))&gt;0,INDEX('CONTROL MASTER'!$X$2:$X$495,(SUMPRODUCT((('CONTROL MASTER'!$S$2:$S$495=12)*('CONTROL MASTER'!$Z$2:$Z$495&lt;=6)*('CONTROL MASTER'!$AB$2:$AB$495&gt;=6)*('CONTROL MASTER'!$AA$2:$AA$495&lt;=10)*('CONTROL MASTER'!$AC$2:$AC$495&gt;=10))*ROW('CONTROL MASTER'!$S$2:$S$495))-(ROW('CONTROL MASTER'!#REF!)-1)))&amp;TRIM(MID(SUBSTITUTE(SUBSTITUTE(INDEX('CONTROL MASTER'!$N$2:$N$495,(SUMPRODUCT((('CONTROL MASTER'!$S$2:$S$495=12)*('CONTROL MASTER'!$Z$2:$Z$495&lt;=6)*('CONTROL MASTER'!$AB$2:$AB$495&gt;=6)*('CONTROL MASTER'!$AA$2:$AA$495&lt;=10)*('CONTROL MASTER'!$AC$2:$AC$495&gt;=10))*ROW('CONTROL MASTER'!$S$2:$S$495))-(ROW('CONTROL MASTER'!#REF!)-1))),":",","),",",REPT(" ",50)),(((INDEX('CONTROL MASTER'!$Y$2:$Y$495,(SUMPRODUCT((('CONTROL MASTER'!$S$2:$S$495=12)*('CONTROL MASTER'!$Z$2:$Z$495&lt;=6)*('CONTROL MASTER'!$AB$2:$AB$495&gt;=6)*('CONTROL MASTER'!$AA$2:$AA$495&lt;=10)*('CONTROL MASTER'!$AC$2:$AC$495&gt;=10))*ROW('CONTROL MASTER'!$S$2:$S$495))-(ROW('CONTROL MASTER'!#REF!)-1)))+((6-INDEX('CONTROL MASTER'!$Z$2:$Z$495,(SUMPRODUCT((('CONTROL MASTER'!$S$2:$S$495=12)*('CONTROL MASTER'!$Z$2:$Z$495&lt;=6)*('CONTROL MASTER'!$AB$2:$AB$495&gt;=6)*('CONTROL MASTER'!$AA$2:$AA$495&lt;=10)*('CONTROL MASTER'!$AC$2:$AC$495&gt;=10))*ROW('CONTROL MASTER'!$S$2:$S$495))-(ROW('CONTROL MASTER'!#REF!)-1))))*(INDEX('CONTROL MASTER'!$AC$2:$AC$495,(SUMPRODUCT((('CONTROL MASTER'!$S$2:$S$495=12)*('CONTROL MASTER'!$Z$2:$Z$495&lt;=6)*('CONTROL MASTER'!$AB$2:$AB$495&gt;=6)*('CONTROL MASTER'!$AA$2:$AA$495&lt;=10)*('CONTROL MASTER'!$AC$2:$AC$495&gt;=10))*ROW('CONTROL MASTER'!$S$2:$S$495))-(ROW('CONTROL MASTER'!#REF!)-1)))-INDEX('CONTROL MASTER'!$AA$2:$AA$495,(SUMPRODUCT((('CONTROL MASTER'!$S$2:$S$495=12)*('CONTROL MASTER'!$Z$2:$Z$495&lt;=6)*('CONTROL MASTER'!$AB$2:$AB$495&gt;=6)*('CONTROL MASTER'!$AA$2:$AA$495&lt;=10)*('CONTROL MASTER'!$AC$2:$AC$495&gt;=10))*ROW('CONTROL MASTER'!$S$2:$S$495))-(ROW('CONTROL MASTER'!#REF!)-1)))+1)+(10-INDEX('CONTROL MASTER'!$AA$2:$AA$495,(SUMPRODUCT((('CONTROL MASTER'!$S$2:$S$495=12)*('CONTROL MASTER'!$Z$2:$Z$495&lt;=6)*('CONTROL MASTER'!$AB$2:$AB$495&gt;=6)*('CONTROL MASTER'!$AA$2:$AA$495&lt;=10)*('CONTROL MASTER'!$AC$2:$AC$495&gt;=10))*ROW('CONTROL MASTER'!$S$2:$S$495))-(ROW('CONTROL MASTER'!#REF!)-1))))+1)))-1)*50+1,50))&amp;"_"&amp;INDEX('CONTROL MASTER'!$P$2:$P$495,(SUMPRODUCT((('CONTROL MASTER'!$S$2:$S$495=12)*('CONTROL MASTER'!$Z$2:$Z$495&lt;=6)*('CONTROL MASTER'!$AB$2:$AB$495&gt;=6)*('CONTROL MASTER'!$AA$2:$AA$495&lt;=10)*('CONTROL MASTER'!$AC$2:$AC$495&gt;=10))*ROW('CONTROL MASTER'!$S$2:$S$495))-(ROW('CONTROL MASTER'!#REF!)-1))),"")),"")</f>
        <v/>
      </c>
    </row>
    <row r="163" spans="1:11" ht="15" customHeight="1" x14ac:dyDescent="0.35">
      <c r="A163" s="8" t="s">
        <v>34</v>
      </c>
      <c r="B163" s="10" t="str">
        <f>IFERROR(IF(SUMPRODUCT((('CONTROL MASTER'!$S$2:$S$495=12)*('CONTROL MASTER'!$T$2:$T$495&lt;=7)*('CONTROL MASTER'!$V$2:$V$495&gt;=7)*('CONTROL MASTER'!$U$2:$U$495&lt;=1)*('CONTROL MASTER'!$W$2:$W$495&gt;=1))*ROW('CONTROL MASTER'!$S$2:$S$495))&gt;0,INDEX('CONTROL MASTER'!$X$2:$X$495,(SUMPRODUCT((('CONTROL MASTER'!$S$2:$S$495=12)*('CONTROL MASTER'!$T$2:$T$495&lt;=7)*('CONTROL MASTER'!$V$2:$V$495&gt;=7)*('CONTROL MASTER'!$U$2:$U$495&lt;=1)*('CONTROL MASTER'!$W$2:$W$495&gt;=1))*ROW('CONTROL MASTER'!$S$2:$S$495))-(ROW('CONTROL MASTER'!#REF!)-1)))&amp;TRIM(MID(SUBSTITUTE(SUBSTITUTE(INDEX('CONTROL MASTER'!$N$2:$N$495,(SUMPRODUCT((('CONTROL MASTER'!$S$2:$S$495=12)*('CONTROL MASTER'!$T$2:$T$495&lt;=7)*('CONTROL MASTER'!$V$2:$V$495&gt;=7)*('CONTROL MASTER'!$U$2:$U$495&lt;=1)*('CONTROL MASTER'!$W$2:$W$495&gt;=1))*ROW('CONTROL MASTER'!$S$2:$S$495))-(ROW('CONTROL MASTER'!#REF!)-1))),":",","),",",REPT(" ",50)),((((7-INDEX('CONTROL MASTER'!$T$2:$T$495,(SUMPRODUCT((('CONTROL MASTER'!$S$2:$S$495=12)*('CONTROL MASTER'!$T$2:$T$495&lt;=7)*('CONTROL MASTER'!$V$2:$V$495&gt;=7)*('CONTROL MASTER'!$U$2:$U$495&lt;=1)*('CONTROL MASTER'!$W$2:$W$495&gt;=1))*ROW('CONTROL MASTER'!$S$2:$S$495))-(ROW('CONTROL MASTER'!#REF!)-1))))*(INDEX('CONTROL MASTER'!$W$2:$W$495,(SUMPRODUCT((('CONTROL MASTER'!$S$2:$S$495=12)*('CONTROL MASTER'!$T$2:$T$495&lt;=7)*('CONTROL MASTER'!$V$2:$V$495&gt;=7)*('CONTROL MASTER'!$U$2:$U$495&lt;=1)*('CONTROL MASTER'!$W$2:$W$495&gt;=1))*ROW('CONTROL MASTER'!$S$2:$S$495))-(ROW('CONTROL MASTER'!#REF!)-1)))-INDEX('CONTROL MASTER'!$U$2:$U$495,(SUMPRODUCT((('CONTROL MASTER'!$S$2:$S$495=12)*('CONTROL MASTER'!$T$2:$T$495&lt;=7)*('CONTROL MASTER'!$V$2:$V$495&gt;=7)*('CONTROL MASTER'!$U$2:$U$495&lt;=1)*('CONTROL MASTER'!$W$2:$W$495&gt;=1))*ROW('CONTROL MASTER'!$S$2:$S$495))-(ROW('CONTROL MASTER'!#REF!)-1)))+1)+(1-INDEX('CONTROL MASTER'!$U$2:$U$495,(SUMPRODUCT((('CONTROL MASTER'!$S$2:$S$495=12)*('CONTROL MASTER'!$T$2:$T$495&lt;=7)*('CONTROL MASTER'!$V$2:$V$495&gt;=7)*('CONTROL MASTER'!$U$2:$U$495&lt;=1)*('CONTROL MASTER'!$W$2:$W$495&gt;=1))*ROW('CONTROL MASTER'!$S$2:$S$495))-(ROW('CONTROL MASTER'!#REF!)-1))))+1))-1)*50+1,50))&amp;"_"&amp;INDEX('CONTROL MASTER'!$P$2:$P$495,(SUMPRODUCT((('CONTROL MASTER'!$S$2:$S$495=12)*('CONTROL MASTER'!$T$2:$T$495&lt;=7)*('CONTROL MASTER'!$V$2:$V$495&gt;=7)*('CONTROL MASTER'!$U$2:$U$495&lt;=1)*('CONTROL MASTER'!$W$2:$W$495&gt;=1))*ROW('CONTROL MASTER'!$S$2:$S$495))-(ROW('CONTROL MASTER'!#REF!)-1))),IF(SUMPRODUCT((('CONTROL MASTER'!$S$2:$S$495=12)*('CONTROL MASTER'!$Z$2:$Z$495&lt;=7)*('CONTROL MASTER'!$AB$2:$AB$495&gt;=7)*('CONTROL MASTER'!$AA$2:$AA$495&lt;=1)*('CONTROL MASTER'!$AC$2:$AC$495&gt;=1))*ROW('CONTROL MASTER'!$S$2:$S$495))&gt;0,INDEX('CONTROL MASTER'!$X$2:$X$495,(SUMPRODUCT((('CONTROL MASTER'!$S$2:$S$495=12)*('CONTROL MASTER'!$Z$2:$Z$495&lt;=7)*('CONTROL MASTER'!$AB$2:$AB$495&gt;=7)*('CONTROL MASTER'!$AA$2:$AA$495&lt;=1)*('CONTROL MASTER'!$AC$2:$AC$495&gt;=1))*ROW('CONTROL MASTER'!$S$2:$S$495))-(ROW('CONTROL MASTER'!#REF!)-1)))&amp;TRIM(MID(SUBSTITUTE(SUBSTITUTE(INDEX('CONTROL MASTER'!$N$2:$N$495,(SUMPRODUCT((('CONTROL MASTER'!$S$2:$S$495=12)*('CONTROL MASTER'!$Z$2:$Z$495&lt;=7)*('CONTROL MASTER'!$AB$2:$AB$495&gt;=7)*('CONTROL MASTER'!$AA$2:$AA$495&lt;=1)*('CONTROL MASTER'!$AC$2:$AC$495&gt;=1))*ROW('CONTROL MASTER'!$S$2:$S$495))-(ROW('CONTROL MASTER'!#REF!)-1))),":",","),",",REPT(" ",50)),(((INDEX('CONTROL MASTER'!$Y$2:$Y$495,(SUMPRODUCT((('CONTROL MASTER'!$S$2:$S$495=12)*('CONTROL MASTER'!$Z$2:$Z$495&lt;=7)*('CONTROL MASTER'!$AB$2:$AB$495&gt;=7)*('CONTROL MASTER'!$AA$2:$AA$495&lt;=1)*('CONTROL MASTER'!$AC$2:$AC$495&gt;=1))*ROW('CONTROL MASTER'!$S$2:$S$495))-(ROW('CONTROL MASTER'!#REF!)-1)))+((7-INDEX('CONTROL MASTER'!$Z$2:$Z$495,(SUMPRODUCT((('CONTROL MASTER'!$S$2:$S$495=12)*('CONTROL MASTER'!$Z$2:$Z$495&lt;=7)*('CONTROL MASTER'!$AB$2:$AB$495&gt;=7)*('CONTROL MASTER'!$AA$2:$AA$495&lt;=1)*('CONTROL MASTER'!$AC$2:$AC$495&gt;=1))*ROW('CONTROL MASTER'!$S$2:$S$495))-(ROW('CONTROL MASTER'!#REF!)-1))))*(INDEX('CONTROL MASTER'!$AC$2:$AC$495,(SUMPRODUCT((('CONTROL MASTER'!$S$2:$S$495=12)*('CONTROL MASTER'!$Z$2:$Z$495&lt;=7)*('CONTROL MASTER'!$AB$2:$AB$495&gt;=7)*('CONTROL MASTER'!$AA$2:$AA$495&lt;=1)*('CONTROL MASTER'!$AC$2:$AC$495&gt;=1))*ROW('CONTROL MASTER'!$S$2:$S$495))-(ROW('CONTROL MASTER'!#REF!)-1)))-INDEX('CONTROL MASTER'!$AA$2:$AA$495,(SUMPRODUCT((('CONTROL MASTER'!$S$2:$S$495=12)*('CONTROL MASTER'!$Z$2:$Z$495&lt;=7)*('CONTROL MASTER'!$AB$2:$AB$495&gt;=7)*('CONTROL MASTER'!$AA$2:$AA$495&lt;=1)*('CONTROL MASTER'!$AC$2:$AC$495&gt;=1))*ROW('CONTROL MASTER'!$S$2:$S$495))-(ROW('CONTROL MASTER'!#REF!)-1)))+1)+(1-INDEX('CONTROL MASTER'!$AA$2:$AA$495,(SUMPRODUCT((('CONTROL MASTER'!$S$2:$S$495=12)*('CONTROL MASTER'!$Z$2:$Z$495&lt;=7)*('CONTROL MASTER'!$AB$2:$AB$495&gt;=7)*('CONTROL MASTER'!$AA$2:$AA$495&lt;=1)*('CONTROL MASTER'!$AC$2:$AC$495&gt;=1))*ROW('CONTROL MASTER'!$S$2:$S$495))-(ROW('CONTROL MASTER'!#REF!)-1))))+1)))-1)*50+1,50))&amp;"_"&amp;INDEX('CONTROL MASTER'!$P$2:$P$495,(SUMPRODUCT((('CONTROL MASTER'!$S$2:$S$495=12)*('CONTROL MASTER'!$Z$2:$Z$495&lt;=7)*('CONTROL MASTER'!$AB$2:$AB$495&gt;=7)*('CONTROL MASTER'!$AA$2:$AA$495&lt;=1)*('CONTROL MASTER'!$AC$2:$AC$495&gt;=1))*ROW('CONTROL MASTER'!$S$2:$S$495))-(ROW('CONTROL MASTER'!#REF!)-1))),"")),"")</f>
        <v/>
      </c>
      <c r="C163" s="10" t="str">
        <f>IFERROR(IF(SUMPRODUCT((('CONTROL MASTER'!$S$2:$S$495=12)*('CONTROL MASTER'!$T$2:$T$495&lt;=7)*('CONTROL MASTER'!$V$2:$V$495&gt;=7)*('CONTROL MASTER'!$U$2:$U$495&lt;=2)*('CONTROL MASTER'!$W$2:$W$495&gt;=2))*ROW('CONTROL MASTER'!$S$2:$S$495))&gt;0,INDEX('CONTROL MASTER'!$X$2:$X$495,(SUMPRODUCT((('CONTROL MASTER'!$S$2:$S$495=12)*('CONTROL MASTER'!$T$2:$T$495&lt;=7)*('CONTROL MASTER'!$V$2:$V$495&gt;=7)*('CONTROL MASTER'!$U$2:$U$495&lt;=2)*('CONTROL MASTER'!$W$2:$W$495&gt;=2))*ROW('CONTROL MASTER'!$S$2:$S$495))-(ROW('CONTROL MASTER'!#REF!)-1)))&amp;TRIM(MID(SUBSTITUTE(SUBSTITUTE(INDEX('CONTROL MASTER'!$N$2:$N$495,(SUMPRODUCT((('CONTROL MASTER'!$S$2:$S$495=12)*('CONTROL MASTER'!$T$2:$T$495&lt;=7)*('CONTROL MASTER'!$V$2:$V$495&gt;=7)*('CONTROL MASTER'!$U$2:$U$495&lt;=2)*('CONTROL MASTER'!$W$2:$W$495&gt;=2))*ROW('CONTROL MASTER'!$S$2:$S$495))-(ROW('CONTROL MASTER'!#REF!)-1))),":",","),",",REPT(" ",50)),((((7-INDEX('CONTROL MASTER'!$T$2:$T$495,(SUMPRODUCT((('CONTROL MASTER'!$S$2:$S$495=12)*('CONTROL MASTER'!$T$2:$T$495&lt;=7)*('CONTROL MASTER'!$V$2:$V$495&gt;=7)*('CONTROL MASTER'!$U$2:$U$495&lt;=2)*('CONTROL MASTER'!$W$2:$W$495&gt;=2))*ROW('CONTROL MASTER'!$S$2:$S$495))-(ROW('CONTROL MASTER'!#REF!)-1))))*(INDEX('CONTROL MASTER'!$W$2:$W$495,(SUMPRODUCT((('CONTROL MASTER'!$S$2:$S$495=12)*('CONTROL MASTER'!$T$2:$T$495&lt;=7)*('CONTROL MASTER'!$V$2:$V$495&gt;=7)*('CONTROL MASTER'!$U$2:$U$495&lt;=2)*('CONTROL MASTER'!$W$2:$W$495&gt;=2))*ROW('CONTROL MASTER'!$S$2:$S$495))-(ROW('CONTROL MASTER'!#REF!)-1)))-INDEX('CONTROL MASTER'!$U$2:$U$495,(SUMPRODUCT((('CONTROL MASTER'!$S$2:$S$495=12)*('CONTROL MASTER'!$T$2:$T$495&lt;=7)*('CONTROL MASTER'!$V$2:$V$495&gt;=7)*('CONTROL MASTER'!$U$2:$U$495&lt;=2)*('CONTROL MASTER'!$W$2:$W$495&gt;=2))*ROW('CONTROL MASTER'!$S$2:$S$495))-(ROW('CONTROL MASTER'!#REF!)-1)))+1)+(2-INDEX('CONTROL MASTER'!$U$2:$U$495,(SUMPRODUCT((('CONTROL MASTER'!$S$2:$S$495=12)*('CONTROL MASTER'!$T$2:$T$495&lt;=7)*('CONTROL MASTER'!$V$2:$V$495&gt;=7)*('CONTROL MASTER'!$U$2:$U$495&lt;=2)*('CONTROL MASTER'!$W$2:$W$495&gt;=2))*ROW('CONTROL MASTER'!$S$2:$S$495))-(ROW('CONTROL MASTER'!#REF!)-1))))+1))-1)*50+1,50))&amp;"_"&amp;INDEX('CONTROL MASTER'!$P$2:$P$495,(SUMPRODUCT((('CONTROL MASTER'!$S$2:$S$495=12)*('CONTROL MASTER'!$T$2:$T$495&lt;=7)*('CONTROL MASTER'!$V$2:$V$495&gt;=7)*('CONTROL MASTER'!$U$2:$U$495&lt;=2)*('CONTROL MASTER'!$W$2:$W$495&gt;=2))*ROW('CONTROL MASTER'!$S$2:$S$495))-(ROW('CONTROL MASTER'!#REF!)-1))),IF(SUMPRODUCT((('CONTROL MASTER'!$S$2:$S$495=12)*('CONTROL MASTER'!$Z$2:$Z$495&lt;=7)*('CONTROL MASTER'!$AB$2:$AB$495&gt;=7)*('CONTROL MASTER'!$AA$2:$AA$495&lt;=2)*('CONTROL MASTER'!$AC$2:$AC$495&gt;=2))*ROW('CONTROL MASTER'!$S$2:$S$495))&gt;0,INDEX('CONTROL MASTER'!$X$2:$X$495,(SUMPRODUCT((('CONTROL MASTER'!$S$2:$S$495=12)*('CONTROL MASTER'!$Z$2:$Z$495&lt;=7)*('CONTROL MASTER'!$AB$2:$AB$495&gt;=7)*('CONTROL MASTER'!$AA$2:$AA$495&lt;=2)*('CONTROL MASTER'!$AC$2:$AC$495&gt;=2))*ROW('CONTROL MASTER'!$S$2:$S$495))-(ROW('CONTROL MASTER'!#REF!)-1)))&amp;TRIM(MID(SUBSTITUTE(SUBSTITUTE(INDEX('CONTROL MASTER'!$N$2:$N$495,(SUMPRODUCT((('CONTROL MASTER'!$S$2:$S$495=12)*('CONTROL MASTER'!$Z$2:$Z$495&lt;=7)*('CONTROL MASTER'!$AB$2:$AB$495&gt;=7)*('CONTROL MASTER'!$AA$2:$AA$495&lt;=2)*('CONTROL MASTER'!$AC$2:$AC$495&gt;=2))*ROW('CONTROL MASTER'!$S$2:$S$495))-(ROW('CONTROL MASTER'!#REF!)-1))),":",","),",",REPT(" ",50)),(((INDEX('CONTROL MASTER'!$Y$2:$Y$495,(SUMPRODUCT((('CONTROL MASTER'!$S$2:$S$495=12)*('CONTROL MASTER'!$Z$2:$Z$495&lt;=7)*('CONTROL MASTER'!$AB$2:$AB$495&gt;=7)*('CONTROL MASTER'!$AA$2:$AA$495&lt;=2)*('CONTROL MASTER'!$AC$2:$AC$495&gt;=2))*ROW('CONTROL MASTER'!$S$2:$S$495))-(ROW('CONTROL MASTER'!#REF!)-1)))+((7-INDEX('CONTROL MASTER'!$Z$2:$Z$495,(SUMPRODUCT((('CONTROL MASTER'!$S$2:$S$495=12)*('CONTROL MASTER'!$Z$2:$Z$495&lt;=7)*('CONTROL MASTER'!$AB$2:$AB$495&gt;=7)*('CONTROL MASTER'!$AA$2:$AA$495&lt;=2)*('CONTROL MASTER'!$AC$2:$AC$495&gt;=2))*ROW('CONTROL MASTER'!$S$2:$S$495))-(ROW('CONTROL MASTER'!#REF!)-1))))*(INDEX('CONTROL MASTER'!$AC$2:$AC$495,(SUMPRODUCT((('CONTROL MASTER'!$S$2:$S$495=12)*('CONTROL MASTER'!$Z$2:$Z$495&lt;=7)*('CONTROL MASTER'!$AB$2:$AB$495&gt;=7)*('CONTROL MASTER'!$AA$2:$AA$495&lt;=2)*('CONTROL MASTER'!$AC$2:$AC$495&gt;=2))*ROW('CONTROL MASTER'!$S$2:$S$495))-(ROW('CONTROL MASTER'!#REF!)-1)))-INDEX('CONTROL MASTER'!$AA$2:$AA$495,(SUMPRODUCT((('CONTROL MASTER'!$S$2:$S$495=12)*('CONTROL MASTER'!$Z$2:$Z$495&lt;=7)*('CONTROL MASTER'!$AB$2:$AB$495&gt;=7)*('CONTROL MASTER'!$AA$2:$AA$495&lt;=2)*('CONTROL MASTER'!$AC$2:$AC$495&gt;=2))*ROW('CONTROL MASTER'!$S$2:$S$495))-(ROW('CONTROL MASTER'!#REF!)-1)))+1)+(2-INDEX('CONTROL MASTER'!$AA$2:$AA$495,(SUMPRODUCT((('CONTROL MASTER'!$S$2:$S$495=12)*('CONTROL MASTER'!$Z$2:$Z$495&lt;=7)*('CONTROL MASTER'!$AB$2:$AB$495&gt;=7)*('CONTROL MASTER'!$AA$2:$AA$495&lt;=2)*('CONTROL MASTER'!$AC$2:$AC$495&gt;=2))*ROW('CONTROL MASTER'!$S$2:$S$495))-(ROW('CONTROL MASTER'!#REF!)-1))))+1)))-1)*50+1,50))&amp;"_"&amp;INDEX('CONTROL MASTER'!$P$2:$P$495,(SUMPRODUCT((('CONTROL MASTER'!$S$2:$S$495=12)*('CONTROL MASTER'!$Z$2:$Z$495&lt;=7)*('CONTROL MASTER'!$AB$2:$AB$495&gt;=7)*('CONTROL MASTER'!$AA$2:$AA$495&lt;=2)*('CONTROL MASTER'!$AC$2:$AC$495&gt;=2))*ROW('CONTROL MASTER'!$S$2:$S$495))-(ROW('CONTROL MASTER'!#REF!)-1))),"")),"")</f>
        <v/>
      </c>
      <c r="D163" s="10" t="str">
        <f>IFERROR(IF(SUMPRODUCT((('CONTROL MASTER'!$S$2:$S$495=12)*('CONTROL MASTER'!$T$2:$T$495&lt;=7)*('CONTROL MASTER'!$V$2:$V$495&gt;=7)*('CONTROL MASTER'!$U$2:$U$495&lt;=3)*('CONTROL MASTER'!$W$2:$W$495&gt;=3))*ROW('CONTROL MASTER'!$S$2:$S$495))&gt;0,INDEX('CONTROL MASTER'!$X$2:$X$495,(SUMPRODUCT((('CONTROL MASTER'!$S$2:$S$495=12)*('CONTROL MASTER'!$T$2:$T$495&lt;=7)*('CONTROL MASTER'!$V$2:$V$495&gt;=7)*('CONTROL MASTER'!$U$2:$U$495&lt;=3)*('CONTROL MASTER'!$W$2:$W$495&gt;=3))*ROW('CONTROL MASTER'!$S$2:$S$495))-(ROW('CONTROL MASTER'!#REF!)-1)))&amp;TRIM(MID(SUBSTITUTE(SUBSTITUTE(INDEX('CONTROL MASTER'!$N$2:$N$495,(SUMPRODUCT((('CONTROL MASTER'!$S$2:$S$495=12)*('CONTROL MASTER'!$T$2:$T$495&lt;=7)*('CONTROL MASTER'!$V$2:$V$495&gt;=7)*('CONTROL MASTER'!$U$2:$U$495&lt;=3)*('CONTROL MASTER'!$W$2:$W$495&gt;=3))*ROW('CONTROL MASTER'!$S$2:$S$495))-(ROW('CONTROL MASTER'!#REF!)-1))),":",","),",",REPT(" ",50)),((((7-INDEX('CONTROL MASTER'!$T$2:$T$495,(SUMPRODUCT((('CONTROL MASTER'!$S$2:$S$495=12)*('CONTROL MASTER'!$T$2:$T$495&lt;=7)*('CONTROL MASTER'!$V$2:$V$495&gt;=7)*('CONTROL MASTER'!$U$2:$U$495&lt;=3)*('CONTROL MASTER'!$W$2:$W$495&gt;=3))*ROW('CONTROL MASTER'!$S$2:$S$495))-(ROW('CONTROL MASTER'!#REF!)-1))))*(INDEX('CONTROL MASTER'!$W$2:$W$495,(SUMPRODUCT((('CONTROL MASTER'!$S$2:$S$495=12)*('CONTROL MASTER'!$T$2:$T$495&lt;=7)*('CONTROL MASTER'!$V$2:$V$495&gt;=7)*('CONTROL MASTER'!$U$2:$U$495&lt;=3)*('CONTROL MASTER'!$W$2:$W$495&gt;=3))*ROW('CONTROL MASTER'!$S$2:$S$495))-(ROW('CONTROL MASTER'!#REF!)-1)))-INDEX('CONTROL MASTER'!$U$2:$U$495,(SUMPRODUCT((('CONTROL MASTER'!$S$2:$S$495=12)*('CONTROL MASTER'!$T$2:$T$495&lt;=7)*('CONTROL MASTER'!$V$2:$V$495&gt;=7)*('CONTROL MASTER'!$U$2:$U$495&lt;=3)*('CONTROL MASTER'!$W$2:$W$495&gt;=3))*ROW('CONTROL MASTER'!$S$2:$S$495))-(ROW('CONTROL MASTER'!#REF!)-1)))+1)+(3-INDEX('CONTROL MASTER'!$U$2:$U$495,(SUMPRODUCT((('CONTROL MASTER'!$S$2:$S$495=12)*('CONTROL MASTER'!$T$2:$T$495&lt;=7)*('CONTROL MASTER'!$V$2:$V$495&gt;=7)*('CONTROL MASTER'!$U$2:$U$495&lt;=3)*('CONTROL MASTER'!$W$2:$W$495&gt;=3))*ROW('CONTROL MASTER'!$S$2:$S$495))-(ROW('CONTROL MASTER'!#REF!)-1))))+1))-1)*50+1,50))&amp;"_"&amp;INDEX('CONTROL MASTER'!$P$2:$P$495,(SUMPRODUCT((('CONTROL MASTER'!$S$2:$S$495=12)*('CONTROL MASTER'!$T$2:$T$495&lt;=7)*('CONTROL MASTER'!$V$2:$V$495&gt;=7)*('CONTROL MASTER'!$U$2:$U$495&lt;=3)*('CONTROL MASTER'!$W$2:$W$495&gt;=3))*ROW('CONTROL MASTER'!$S$2:$S$495))-(ROW('CONTROL MASTER'!#REF!)-1))),IF(SUMPRODUCT((('CONTROL MASTER'!$S$2:$S$495=12)*('CONTROL MASTER'!$Z$2:$Z$495&lt;=7)*('CONTROL MASTER'!$AB$2:$AB$495&gt;=7)*('CONTROL MASTER'!$AA$2:$AA$495&lt;=3)*('CONTROL MASTER'!$AC$2:$AC$495&gt;=3))*ROW('CONTROL MASTER'!$S$2:$S$495))&gt;0,INDEX('CONTROL MASTER'!$X$2:$X$495,(SUMPRODUCT((('CONTROL MASTER'!$S$2:$S$495=12)*('CONTROL MASTER'!$Z$2:$Z$495&lt;=7)*('CONTROL MASTER'!$AB$2:$AB$495&gt;=7)*('CONTROL MASTER'!$AA$2:$AA$495&lt;=3)*('CONTROL MASTER'!$AC$2:$AC$495&gt;=3))*ROW('CONTROL MASTER'!$S$2:$S$495))-(ROW('CONTROL MASTER'!#REF!)-1)))&amp;TRIM(MID(SUBSTITUTE(SUBSTITUTE(INDEX('CONTROL MASTER'!$N$2:$N$495,(SUMPRODUCT((('CONTROL MASTER'!$S$2:$S$495=12)*('CONTROL MASTER'!$Z$2:$Z$495&lt;=7)*('CONTROL MASTER'!$AB$2:$AB$495&gt;=7)*('CONTROL MASTER'!$AA$2:$AA$495&lt;=3)*('CONTROL MASTER'!$AC$2:$AC$495&gt;=3))*ROW('CONTROL MASTER'!$S$2:$S$495))-(ROW('CONTROL MASTER'!#REF!)-1))),":",","),",",REPT(" ",50)),(((INDEX('CONTROL MASTER'!$Y$2:$Y$495,(SUMPRODUCT((('CONTROL MASTER'!$S$2:$S$495=12)*('CONTROL MASTER'!$Z$2:$Z$495&lt;=7)*('CONTROL MASTER'!$AB$2:$AB$495&gt;=7)*('CONTROL MASTER'!$AA$2:$AA$495&lt;=3)*('CONTROL MASTER'!$AC$2:$AC$495&gt;=3))*ROW('CONTROL MASTER'!$S$2:$S$495))-(ROW('CONTROL MASTER'!#REF!)-1)))+((7-INDEX('CONTROL MASTER'!$Z$2:$Z$495,(SUMPRODUCT((('CONTROL MASTER'!$S$2:$S$495=12)*('CONTROL MASTER'!$Z$2:$Z$495&lt;=7)*('CONTROL MASTER'!$AB$2:$AB$495&gt;=7)*('CONTROL MASTER'!$AA$2:$AA$495&lt;=3)*('CONTROL MASTER'!$AC$2:$AC$495&gt;=3))*ROW('CONTROL MASTER'!$S$2:$S$495))-(ROW('CONTROL MASTER'!#REF!)-1))))*(INDEX('CONTROL MASTER'!$AC$2:$AC$495,(SUMPRODUCT((('CONTROL MASTER'!$S$2:$S$495=12)*('CONTROL MASTER'!$Z$2:$Z$495&lt;=7)*('CONTROL MASTER'!$AB$2:$AB$495&gt;=7)*('CONTROL MASTER'!$AA$2:$AA$495&lt;=3)*('CONTROL MASTER'!$AC$2:$AC$495&gt;=3))*ROW('CONTROL MASTER'!$S$2:$S$495))-(ROW('CONTROL MASTER'!#REF!)-1)))-INDEX('CONTROL MASTER'!$AA$2:$AA$495,(SUMPRODUCT((('CONTROL MASTER'!$S$2:$S$495=12)*('CONTROL MASTER'!$Z$2:$Z$495&lt;=7)*('CONTROL MASTER'!$AB$2:$AB$495&gt;=7)*('CONTROL MASTER'!$AA$2:$AA$495&lt;=3)*('CONTROL MASTER'!$AC$2:$AC$495&gt;=3))*ROW('CONTROL MASTER'!$S$2:$S$495))-(ROW('CONTROL MASTER'!#REF!)-1)))+1)+(3-INDEX('CONTROL MASTER'!$AA$2:$AA$495,(SUMPRODUCT((('CONTROL MASTER'!$S$2:$S$495=12)*('CONTROL MASTER'!$Z$2:$Z$495&lt;=7)*('CONTROL MASTER'!$AB$2:$AB$495&gt;=7)*('CONTROL MASTER'!$AA$2:$AA$495&lt;=3)*('CONTROL MASTER'!$AC$2:$AC$495&gt;=3))*ROW('CONTROL MASTER'!$S$2:$S$495))-(ROW('CONTROL MASTER'!#REF!)-1))))+1)))-1)*50+1,50))&amp;"_"&amp;INDEX('CONTROL MASTER'!$P$2:$P$495,(SUMPRODUCT((('CONTROL MASTER'!$S$2:$S$495=12)*('CONTROL MASTER'!$Z$2:$Z$495&lt;=7)*('CONTROL MASTER'!$AB$2:$AB$495&gt;=7)*('CONTROL MASTER'!$AA$2:$AA$495&lt;=3)*('CONTROL MASTER'!$AC$2:$AC$495&gt;=3))*ROW('CONTROL MASTER'!$S$2:$S$495))-(ROW('CONTROL MASTER'!#REF!)-1))),"")),"")</f>
        <v/>
      </c>
      <c r="E163" s="10" t="str">
        <f>IFERROR(IF(SUMPRODUCT((('CONTROL MASTER'!$S$2:$S$495=12)*('CONTROL MASTER'!$T$2:$T$495&lt;=7)*('CONTROL MASTER'!$V$2:$V$495&gt;=7)*('CONTROL MASTER'!$U$2:$U$495&lt;=4)*('CONTROL MASTER'!$W$2:$W$495&gt;=4))*ROW('CONTROL MASTER'!$S$2:$S$495))&gt;0,INDEX('CONTROL MASTER'!$X$2:$X$495,(SUMPRODUCT((('CONTROL MASTER'!$S$2:$S$495=12)*('CONTROL MASTER'!$T$2:$T$495&lt;=7)*('CONTROL MASTER'!$V$2:$V$495&gt;=7)*('CONTROL MASTER'!$U$2:$U$495&lt;=4)*('CONTROL MASTER'!$W$2:$W$495&gt;=4))*ROW('CONTROL MASTER'!$S$2:$S$495))-(ROW('CONTROL MASTER'!#REF!)-1)))&amp;TRIM(MID(SUBSTITUTE(SUBSTITUTE(INDEX('CONTROL MASTER'!$N$2:$N$495,(SUMPRODUCT((('CONTROL MASTER'!$S$2:$S$495=12)*('CONTROL MASTER'!$T$2:$T$495&lt;=7)*('CONTROL MASTER'!$V$2:$V$495&gt;=7)*('CONTROL MASTER'!$U$2:$U$495&lt;=4)*('CONTROL MASTER'!$W$2:$W$495&gt;=4))*ROW('CONTROL MASTER'!$S$2:$S$495))-(ROW('CONTROL MASTER'!#REF!)-1))),":",","),",",REPT(" ",50)),((((7-INDEX('CONTROL MASTER'!$T$2:$T$495,(SUMPRODUCT((('CONTROL MASTER'!$S$2:$S$495=12)*('CONTROL MASTER'!$T$2:$T$495&lt;=7)*('CONTROL MASTER'!$V$2:$V$495&gt;=7)*('CONTROL MASTER'!$U$2:$U$495&lt;=4)*('CONTROL MASTER'!$W$2:$W$495&gt;=4))*ROW('CONTROL MASTER'!$S$2:$S$495))-(ROW('CONTROL MASTER'!#REF!)-1))))*(INDEX('CONTROL MASTER'!$W$2:$W$495,(SUMPRODUCT((('CONTROL MASTER'!$S$2:$S$495=12)*('CONTROL MASTER'!$T$2:$T$495&lt;=7)*('CONTROL MASTER'!$V$2:$V$495&gt;=7)*('CONTROL MASTER'!$U$2:$U$495&lt;=4)*('CONTROL MASTER'!$W$2:$W$495&gt;=4))*ROW('CONTROL MASTER'!$S$2:$S$495))-(ROW('CONTROL MASTER'!#REF!)-1)))-INDEX('CONTROL MASTER'!$U$2:$U$495,(SUMPRODUCT((('CONTROL MASTER'!$S$2:$S$495=12)*('CONTROL MASTER'!$T$2:$T$495&lt;=7)*('CONTROL MASTER'!$V$2:$V$495&gt;=7)*('CONTROL MASTER'!$U$2:$U$495&lt;=4)*('CONTROL MASTER'!$W$2:$W$495&gt;=4))*ROW('CONTROL MASTER'!$S$2:$S$495))-(ROW('CONTROL MASTER'!#REF!)-1)))+1)+(4-INDEX('CONTROL MASTER'!$U$2:$U$495,(SUMPRODUCT((('CONTROL MASTER'!$S$2:$S$495=12)*('CONTROL MASTER'!$T$2:$T$495&lt;=7)*('CONTROL MASTER'!$V$2:$V$495&gt;=7)*('CONTROL MASTER'!$U$2:$U$495&lt;=4)*('CONTROL MASTER'!$W$2:$W$495&gt;=4))*ROW('CONTROL MASTER'!$S$2:$S$495))-(ROW('CONTROL MASTER'!#REF!)-1))))+1))-1)*50+1,50))&amp;"_"&amp;INDEX('CONTROL MASTER'!$P$2:$P$495,(SUMPRODUCT((('CONTROL MASTER'!$S$2:$S$495=12)*('CONTROL MASTER'!$T$2:$T$495&lt;=7)*('CONTROL MASTER'!$V$2:$V$495&gt;=7)*('CONTROL MASTER'!$U$2:$U$495&lt;=4)*('CONTROL MASTER'!$W$2:$W$495&gt;=4))*ROW('CONTROL MASTER'!$S$2:$S$495))-(ROW('CONTROL MASTER'!#REF!)-1))),IF(SUMPRODUCT((('CONTROL MASTER'!$S$2:$S$495=12)*('CONTROL MASTER'!$Z$2:$Z$495&lt;=7)*('CONTROL MASTER'!$AB$2:$AB$495&gt;=7)*('CONTROL MASTER'!$AA$2:$AA$495&lt;=4)*('CONTROL MASTER'!$AC$2:$AC$495&gt;=4))*ROW('CONTROL MASTER'!$S$2:$S$495))&gt;0,INDEX('CONTROL MASTER'!$X$2:$X$495,(SUMPRODUCT((('CONTROL MASTER'!$S$2:$S$495=12)*('CONTROL MASTER'!$Z$2:$Z$495&lt;=7)*('CONTROL MASTER'!$AB$2:$AB$495&gt;=7)*('CONTROL MASTER'!$AA$2:$AA$495&lt;=4)*('CONTROL MASTER'!$AC$2:$AC$495&gt;=4))*ROW('CONTROL MASTER'!$S$2:$S$495))-(ROW('CONTROL MASTER'!#REF!)-1)))&amp;TRIM(MID(SUBSTITUTE(SUBSTITUTE(INDEX('CONTROL MASTER'!$N$2:$N$495,(SUMPRODUCT((('CONTROL MASTER'!$S$2:$S$495=12)*('CONTROL MASTER'!$Z$2:$Z$495&lt;=7)*('CONTROL MASTER'!$AB$2:$AB$495&gt;=7)*('CONTROL MASTER'!$AA$2:$AA$495&lt;=4)*('CONTROL MASTER'!$AC$2:$AC$495&gt;=4))*ROW('CONTROL MASTER'!$S$2:$S$495))-(ROW('CONTROL MASTER'!#REF!)-1))),":",","),",",REPT(" ",50)),(((INDEX('CONTROL MASTER'!$Y$2:$Y$495,(SUMPRODUCT((('CONTROL MASTER'!$S$2:$S$495=12)*('CONTROL MASTER'!$Z$2:$Z$495&lt;=7)*('CONTROL MASTER'!$AB$2:$AB$495&gt;=7)*('CONTROL MASTER'!$AA$2:$AA$495&lt;=4)*('CONTROL MASTER'!$AC$2:$AC$495&gt;=4))*ROW('CONTROL MASTER'!$S$2:$S$495))-(ROW('CONTROL MASTER'!#REF!)-1)))+((7-INDEX('CONTROL MASTER'!$Z$2:$Z$495,(SUMPRODUCT((('CONTROL MASTER'!$S$2:$S$495=12)*('CONTROL MASTER'!$Z$2:$Z$495&lt;=7)*('CONTROL MASTER'!$AB$2:$AB$495&gt;=7)*('CONTROL MASTER'!$AA$2:$AA$495&lt;=4)*('CONTROL MASTER'!$AC$2:$AC$495&gt;=4))*ROW('CONTROL MASTER'!$S$2:$S$495))-(ROW('CONTROL MASTER'!#REF!)-1))))*(INDEX('CONTROL MASTER'!$AC$2:$AC$495,(SUMPRODUCT((('CONTROL MASTER'!$S$2:$S$495=12)*('CONTROL MASTER'!$Z$2:$Z$495&lt;=7)*('CONTROL MASTER'!$AB$2:$AB$495&gt;=7)*('CONTROL MASTER'!$AA$2:$AA$495&lt;=4)*('CONTROL MASTER'!$AC$2:$AC$495&gt;=4))*ROW('CONTROL MASTER'!$S$2:$S$495))-(ROW('CONTROL MASTER'!#REF!)-1)))-INDEX('CONTROL MASTER'!$AA$2:$AA$495,(SUMPRODUCT((('CONTROL MASTER'!$S$2:$S$495=12)*('CONTROL MASTER'!$Z$2:$Z$495&lt;=7)*('CONTROL MASTER'!$AB$2:$AB$495&gt;=7)*('CONTROL MASTER'!$AA$2:$AA$495&lt;=4)*('CONTROL MASTER'!$AC$2:$AC$495&gt;=4))*ROW('CONTROL MASTER'!$S$2:$S$495))-(ROW('CONTROL MASTER'!#REF!)-1)))+1)+(4-INDEX('CONTROL MASTER'!$AA$2:$AA$495,(SUMPRODUCT((('CONTROL MASTER'!$S$2:$S$495=12)*('CONTROL MASTER'!$Z$2:$Z$495&lt;=7)*('CONTROL MASTER'!$AB$2:$AB$495&gt;=7)*('CONTROL MASTER'!$AA$2:$AA$495&lt;=4)*('CONTROL MASTER'!$AC$2:$AC$495&gt;=4))*ROW('CONTROL MASTER'!$S$2:$S$495))-(ROW('CONTROL MASTER'!#REF!)-1))))+1)))-1)*50+1,50))&amp;"_"&amp;INDEX('CONTROL MASTER'!$P$2:$P$495,(SUMPRODUCT((('CONTROL MASTER'!$S$2:$S$495=12)*('CONTROL MASTER'!$Z$2:$Z$495&lt;=7)*('CONTROL MASTER'!$AB$2:$AB$495&gt;=7)*('CONTROL MASTER'!$AA$2:$AA$495&lt;=4)*('CONTROL MASTER'!$AC$2:$AC$495&gt;=4))*ROW('CONTROL MASTER'!$S$2:$S$495))-(ROW('CONTROL MASTER'!#REF!)-1))),"")),"")</f>
        <v/>
      </c>
      <c r="F163" s="10" t="str">
        <f>IFERROR(IF(SUMPRODUCT((('CONTROL MASTER'!$S$2:$S$495=12)*('CONTROL MASTER'!$T$2:$T$495&lt;=7)*('CONTROL MASTER'!$V$2:$V$495&gt;=7)*('CONTROL MASTER'!$U$2:$U$495&lt;=5)*('CONTROL MASTER'!$W$2:$W$495&gt;=5))*ROW('CONTROL MASTER'!$S$2:$S$495))&gt;0,INDEX('CONTROL MASTER'!$X$2:$X$495,(SUMPRODUCT((('CONTROL MASTER'!$S$2:$S$495=12)*('CONTROL MASTER'!$T$2:$T$495&lt;=7)*('CONTROL MASTER'!$V$2:$V$495&gt;=7)*('CONTROL MASTER'!$U$2:$U$495&lt;=5)*('CONTROL MASTER'!$W$2:$W$495&gt;=5))*ROW('CONTROL MASTER'!$S$2:$S$495))-(ROW('CONTROL MASTER'!#REF!)-1)))&amp;TRIM(MID(SUBSTITUTE(SUBSTITUTE(INDEX('CONTROL MASTER'!$N$2:$N$495,(SUMPRODUCT((('CONTROL MASTER'!$S$2:$S$495=12)*('CONTROL MASTER'!$T$2:$T$495&lt;=7)*('CONTROL MASTER'!$V$2:$V$495&gt;=7)*('CONTROL MASTER'!$U$2:$U$495&lt;=5)*('CONTROL MASTER'!$W$2:$W$495&gt;=5))*ROW('CONTROL MASTER'!$S$2:$S$495))-(ROW('CONTROL MASTER'!#REF!)-1))),":",","),",",REPT(" ",50)),((((7-INDEX('CONTROL MASTER'!$T$2:$T$495,(SUMPRODUCT((('CONTROL MASTER'!$S$2:$S$495=12)*('CONTROL MASTER'!$T$2:$T$495&lt;=7)*('CONTROL MASTER'!$V$2:$V$495&gt;=7)*('CONTROL MASTER'!$U$2:$U$495&lt;=5)*('CONTROL MASTER'!$W$2:$W$495&gt;=5))*ROW('CONTROL MASTER'!$S$2:$S$495))-(ROW('CONTROL MASTER'!#REF!)-1))))*(INDEX('CONTROL MASTER'!$W$2:$W$495,(SUMPRODUCT((('CONTROL MASTER'!$S$2:$S$495=12)*('CONTROL MASTER'!$T$2:$T$495&lt;=7)*('CONTROL MASTER'!$V$2:$V$495&gt;=7)*('CONTROL MASTER'!$U$2:$U$495&lt;=5)*('CONTROL MASTER'!$W$2:$W$495&gt;=5))*ROW('CONTROL MASTER'!$S$2:$S$495))-(ROW('CONTROL MASTER'!#REF!)-1)))-INDEX('CONTROL MASTER'!$U$2:$U$495,(SUMPRODUCT((('CONTROL MASTER'!$S$2:$S$495=12)*('CONTROL MASTER'!$T$2:$T$495&lt;=7)*('CONTROL MASTER'!$V$2:$V$495&gt;=7)*('CONTROL MASTER'!$U$2:$U$495&lt;=5)*('CONTROL MASTER'!$W$2:$W$495&gt;=5))*ROW('CONTROL MASTER'!$S$2:$S$495))-(ROW('CONTROL MASTER'!#REF!)-1)))+1)+(5-INDEX('CONTROL MASTER'!$U$2:$U$495,(SUMPRODUCT((('CONTROL MASTER'!$S$2:$S$495=12)*('CONTROL MASTER'!$T$2:$T$495&lt;=7)*('CONTROL MASTER'!$V$2:$V$495&gt;=7)*('CONTROL MASTER'!$U$2:$U$495&lt;=5)*('CONTROL MASTER'!$W$2:$W$495&gt;=5))*ROW('CONTROL MASTER'!$S$2:$S$495))-(ROW('CONTROL MASTER'!#REF!)-1))))+1))-1)*50+1,50))&amp;"_"&amp;INDEX('CONTROL MASTER'!$P$2:$P$495,(SUMPRODUCT((('CONTROL MASTER'!$S$2:$S$495=12)*('CONTROL MASTER'!$T$2:$T$495&lt;=7)*('CONTROL MASTER'!$V$2:$V$495&gt;=7)*('CONTROL MASTER'!$U$2:$U$495&lt;=5)*('CONTROL MASTER'!$W$2:$W$495&gt;=5))*ROW('CONTROL MASTER'!$S$2:$S$495))-(ROW('CONTROL MASTER'!#REF!)-1))),IF(SUMPRODUCT((('CONTROL MASTER'!$S$2:$S$495=12)*('CONTROL MASTER'!$Z$2:$Z$495&lt;=7)*('CONTROL MASTER'!$AB$2:$AB$495&gt;=7)*('CONTROL MASTER'!$AA$2:$AA$495&lt;=5)*('CONTROL MASTER'!$AC$2:$AC$495&gt;=5))*ROW('CONTROL MASTER'!$S$2:$S$495))&gt;0,INDEX('CONTROL MASTER'!$X$2:$X$495,(SUMPRODUCT((('CONTROL MASTER'!$S$2:$S$495=12)*('CONTROL MASTER'!$Z$2:$Z$495&lt;=7)*('CONTROL MASTER'!$AB$2:$AB$495&gt;=7)*('CONTROL MASTER'!$AA$2:$AA$495&lt;=5)*('CONTROL MASTER'!$AC$2:$AC$495&gt;=5))*ROW('CONTROL MASTER'!$S$2:$S$495))-(ROW('CONTROL MASTER'!#REF!)-1)))&amp;TRIM(MID(SUBSTITUTE(SUBSTITUTE(INDEX('CONTROL MASTER'!$N$2:$N$495,(SUMPRODUCT((('CONTROL MASTER'!$S$2:$S$495=12)*('CONTROL MASTER'!$Z$2:$Z$495&lt;=7)*('CONTROL MASTER'!$AB$2:$AB$495&gt;=7)*('CONTROL MASTER'!$AA$2:$AA$495&lt;=5)*('CONTROL MASTER'!$AC$2:$AC$495&gt;=5))*ROW('CONTROL MASTER'!$S$2:$S$495))-(ROW('CONTROL MASTER'!#REF!)-1))),":",","),",",REPT(" ",50)),(((INDEX('CONTROL MASTER'!$Y$2:$Y$495,(SUMPRODUCT((('CONTROL MASTER'!$S$2:$S$495=12)*('CONTROL MASTER'!$Z$2:$Z$495&lt;=7)*('CONTROL MASTER'!$AB$2:$AB$495&gt;=7)*('CONTROL MASTER'!$AA$2:$AA$495&lt;=5)*('CONTROL MASTER'!$AC$2:$AC$495&gt;=5))*ROW('CONTROL MASTER'!$S$2:$S$495))-(ROW('CONTROL MASTER'!#REF!)-1)))+((7-INDEX('CONTROL MASTER'!$Z$2:$Z$495,(SUMPRODUCT((('CONTROL MASTER'!$S$2:$S$495=12)*('CONTROL MASTER'!$Z$2:$Z$495&lt;=7)*('CONTROL MASTER'!$AB$2:$AB$495&gt;=7)*('CONTROL MASTER'!$AA$2:$AA$495&lt;=5)*('CONTROL MASTER'!$AC$2:$AC$495&gt;=5))*ROW('CONTROL MASTER'!$S$2:$S$495))-(ROW('CONTROL MASTER'!#REF!)-1))))*(INDEX('CONTROL MASTER'!$AC$2:$AC$495,(SUMPRODUCT((('CONTROL MASTER'!$S$2:$S$495=12)*('CONTROL MASTER'!$Z$2:$Z$495&lt;=7)*('CONTROL MASTER'!$AB$2:$AB$495&gt;=7)*('CONTROL MASTER'!$AA$2:$AA$495&lt;=5)*('CONTROL MASTER'!$AC$2:$AC$495&gt;=5))*ROW('CONTROL MASTER'!$S$2:$S$495))-(ROW('CONTROL MASTER'!#REF!)-1)))-INDEX('CONTROL MASTER'!$AA$2:$AA$495,(SUMPRODUCT((('CONTROL MASTER'!$S$2:$S$495=12)*('CONTROL MASTER'!$Z$2:$Z$495&lt;=7)*('CONTROL MASTER'!$AB$2:$AB$495&gt;=7)*('CONTROL MASTER'!$AA$2:$AA$495&lt;=5)*('CONTROL MASTER'!$AC$2:$AC$495&gt;=5))*ROW('CONTROL MASTER'!$S$2:$S$495))-(ROW('CONTROL MASTER'!#REF!)-1)))+1)+(5-INDEX('CONTROL MASTER'!$AA$2:$AA$495,(SUMPRODUCT((('CONTROL MASTER'!$S$2:$S$495=12)*('CONTROL MASTER'!$Z$2:$Z$495&lt;=7)*('CONTROL MASTER'!$AB$2:$AB$495&gt;=7)*('CONTROL MASTER'!$AA$2:$AA$495&lt;=5)*('CONTROL MASTER'!$AC$2:$AC$495&gt;=5))*ROW('CONTROL MASTER'!$S$2:$S$495))-(ROW('CONTROL MASTER'!#REF!)-1))))+1)))-1)*50+1,50))&amp;"_"&amp;INDEX('CONTROL MASTER'!$P$2:$P$495,(SUMPRODUCT((('CONTROL MASTER'!$S$2:$S$495=12)*('CONTROL MASTER'!$Z$2:$Z$495&lt;=7)*('CONTROL MASTER'!$AB$2:$AB$495&gt;=7)*('CONTROL MASTER'!$AA$2:$AA$495&lt;=5)*('CONTROL MASTER'!$AC$2:$AC$495&gt;=5))*ROW('CONTROL MASTER'!$S$2:$S$495))-(ROW('CONTROL MASTER'!#REF!)-1))),"")),"")</f>
        <v/>
      </c>
      <c r="G163" s="10" t="str">
        <f>IFERROR(IF(SUMPRODUCT((('CONTROL MASTER'!$S$2:$S$495=12)*('CONTROL MASTER'!$T$2:$T$495&lt;=7)*('CONTROL MASTER'!$V$2:$V$495&gt;=7)*('CONTROL MASTER'!$U$2:$U$495&lt;=6)*('CONTROL MASTER'!$W$2:$W$495&gt;=6))*ROW('CONTROL MASTER'!$S$2:$S$495))&gt;0,INDEX('CONTROL MASTER'!$X$2:$X$495,(SUMPRODUCT((('CONTROL MASTER'!$S$2:$S$495=12)*('CONTROL MASTER'!$T$2:$T$495&lt;=7)*('CONTROL MASTER'!$V$2:$V$495&gt;=7)*('CONTROL MASTER'!$U$2:$U$495&lt;=6)*('CONTROL MASTER'!$W$2:$W$495&gt;=6))*ROW('CONTROL MASTER'!$S$2:$S$495))-(ROW('CONTROL MASTER'!#REF!)-1)))&amp;TRIM(MID(SUBSTITUTE(SUBSTITUTE(INDEX('CONTROL MASTER'!$N$2:$N$495,(SUMPRODUCT((('CONTROL MASTER'!$S$2:$S$495=12)*('CONTROL MASTER'!$T$2:$T$495&lt;=7)*('CONTROL MASTER'!$V$2:$V$495&gt;=7)*('CONTROL MASTER'!$U$2:$U$495&lt;=6)*('CONTROL MASTER'!$W$2:$W$495&gt;=6))*ROW('CONTROL MASTER'!$S$2:$S$495))-(ROW('CONTROL MASTER'!#REF!)-1))),":",","),",",REPT(" ",50)),((((7-INDEX('CONTROL MASTER'!$T$2:$T$495,(SUMPRODUCT((('CONTROL MASTER'!$S$2:$S$495=12)*('CONTROL MASTER'!$T$2:$T$495&lt;=7)*('CONTROL MASTER'!$V$2:$V$495&gt;=7)*('CONTROL MASTER'!$U$2:$U$495&lt;=6)*('CONTROL MASTER'!$W$2:$W$495&gt;=6))*ROW('CONTROL MASTER'!$S$2:$S$495))-(ROW('CONTROL MASTER'!#REF!)-1))))*(INDEX('CONTROL MASTER'!$W$2:$W$495,(SUMPRODUCT((('CONTROL MASTER'!$S$2:$S$495=12)*('CONTROL MASTER'!$T$2:$T$495&lt;=7)*('CONTROL MASTER'!$V$2:$V$495&gt;=7)*('CONTROL MASTER'!$U$2:$U$495&lt;=6)*('CONTROL MASTER'!$W$2:$W$495&gt;=6))*ROW('CONTROL MASTER'!$S$2:$S$495))-(ROW('CONTROL MASTER'!#REF!)-1)))-INDEX('CONTROL MASTER'!$U$2:$U$495,(SUMPRODUCT((('CONTROL MASTER'!$S$2:$S$495=12)*('CONTROL MASTER'!$T$2:$T$495&lt;=7)*('CONTROL MASTER'!$V$2:$V$495&gt;=7)*('CONTROL MASTER'!$U$2:$U$495&lt;=6)*('CONTROL MASTER'!$W$2:$W$495&gt;=6))*ROW('CONTROL MASTER'!$S$2:$S$495))-(ROW('CONTROL MASTER'!#REF!)-1)))+1)+(6-INDEX('CONTROL MASTER'!$U$2:$U$495,(SUMPRODUCT((('CONTROL MASTER'!$S$2:$S$495=12)*('CONTROL MASTER'!$T$2:$T$495&lt;=7)*('CONTROL MASTER'!$V$2:$V$495&gt;=7)*('CONTROL MASTER'!$U$2:$U$495&lt;=6)*('CONTROL MASTER'!$W$2:$W$495&gt;=6))*ROW('CONTROL MASTER'!$S$2:$S$495))-(ROW('CONTROL MASTER'!#REF!)-1))))+1))-1)*50+1,50))&amp;"_"&amp;INDEX('CONTROL MASTER'!$P$2:$P$495,(SUMPRODUCT((('CONTROL MASTER'!$S$2:$S$495=12)*('CONTROL MASTER'!$T$2:$T$495&lt;=7)*('CONTROL MASTER'!$V$2:$V$495&gt;=7)*('CONTROL MASTER'!$U$2:$U$495&lt;=6)*('CONTROL MASTER'!$W$2:$W$495&gt;=6))*ROW('CONTROL MASTER'!$S$2:$S$495))-(ROW('CONTROL MASTER'!#REF!)-1))),IF(SUMPRODUCT((('CONTROL MASTER'!$S$2:$S$495=12)*('CONTROL MASTER'!$Z$2:$Z$495&lt;=7)*('CONTROL MASTER'!$AB$2:$AB$495&gt;=7)*('CONTROL MASTER'!$AA$2:$AA$495&lt;=6)*('CONTROL MASTER'!$AC$2:$AC$495&gt;=6))*ROW('CONTROL MASTER'!$S$2:$S$495))&gt;0,INDEX('CONTROL MASTER'!$X$2:$X$495,(SUMPRODUCT((('CONTROL MASTER'!$S$2:$S$495=12)*('CONTROL MASTER'!$Z$2:$Z$495&lt;=7)*('CONTROL MASTER'!$AB$2:$AB$495&gt;=7)*('CONTROL MASTER'!$AA$2:$AA$495&lt;=6)*('CONTROL MASTER'!$AC$2:$AC$495&gt;=6))*ROW('CONTROL MASTER'!$S$2:$S$495))-(ROW('CONTROL MASTER'!#REF!)-1)))&amp;TRIM(MID(SUBSTITUTE(SUBSTITUTE(INDEX('CONTROL MASTER'!$N$2:$N$495,(SUMPRODUCT((('CONTROL MASTER'!$S$2:$S$495=12)*('CONTROL MASTER'!$Z$2:$Z$495&lt;=7)*('CONTROL MASTER'!$AB$2:$AB$495&gt;=7)*('CONTROL MASTER'!$AA$2:$AA$495&lt;=6)*('CONTROL MASTER'!$AC$2:$AC$495&gt;=6))*ROW('CONTROL MASTER'!$S$2:$S$495))-(ROW('CONTROL MASTER'!#REF!)-1))),":",","),",",REPT(" ",50)),(((INDEX('CONTROL MASTER'!$Y$2:$Y$495,(SUMPRODUCT((('CONTROL MASTER'!$S$2:$S$495=12)*('CONTROL MASTER'!$Z$2:$Z$495&lt;=7)*('CONTROL MASTER'!$AB$2:$AB$495&gt;=7)*('CONTROL MASTER'!$AA$2:$AA$495&lt;=6)*('CONTROL MASTER'!$AC$2:$AC$495&gt;=6))*ROW('CONTROL MASTER'!$S$2:$S$495))-(ROW('CONTROL MASTER'!#REF!)-1)))+((7-INDEX('CONTROL MASTER'!$Z$2:$Z$495,(SUMPRODUCT((('CONTROL MASTER'!$S$2:$S$495=12)*('CONTROL MASTER'!$Z$2:$Z$495&lt;=7)*('CONTROL MASTER'!$AB$2:$AB$495&gt;=7)*('CONTROL MASTER'!$AA$2:$AA$495&lt;=6)*('CONTROL MASTER'!$AC$2:$AC$495&gt;=6))*ROW('CONTROL MASTER'!$S$2:$S$495))-(ROW('CONTROL MASTER'!#REF!)-1))))*(INDEX('CONTROL MASTER'!$AC$2:$AC$495,(SUMPRODUCT((('CONTROL MASTER'!$S$2:$S$495=12)*('CONTROL MASTER'!$Z$2:$Z$495&lt;=7)*('CONTROL MASTER'!$AB$2:$AB$495&gt;=7)*('CONTROL MASTER'!$AA$2:$AA$495&lt;=6)*('CONTROL MASTER'!$AC$2:$AC$495&gt;=6))*ROW('CONTROL MASTER'!$S$2:$S$495))-(ROW('CONTROL MASTER'!#REF!)-1)))-INDEX('CONTROL MASTER'!$AA$2:$AA$495,(SUMPRODUCT((('CONTROL MASTER'!$S$2:$S$495=12)*('CONTROL MASTER'!$Z$2:$Z$495&lt;=7)*('CONTROL MASTER'!$AB$2:$AB$495&gt;=7)*('CONTROL MASTER'!$AA$2:$AA$495&lt;=6)*('CONTROL MASTER'!$AC$2:$AC$495&gt;=6))*ROW('CONTROL MASTER'!$S$2:$S$495))-(ROW('CONTROL MASTER'!#REF!)-1)))+1)+(6-INDEX('CONTROL MASTER'!$AA$2:$AA$495,(SUMPRODUCT((('CONTROL MASTER'!$S$2:$S$495=12)*('CONTROL MASTER'!$Z$2:$Z$495&lt;=7)*('CONTROL MASTER'!$AB$2:$AB$495&gt;=7)*('CONTROL MASTER'!$AA$2:$AA$495&lt;=6)*('CONTROL MASTER'!$AC$2:$AC$495&gt;=6))*ROW('CONTROL MASTER'!$S$2:$S$495))-(ROW('CONTROL MASTER'!#REF!)-1))))+1)))-1)*50+1,50))&amp;"_"&amp;INDEX('CONTROL MASTER'!$P$2:$P$495,(SUMPRODUCT((('CONTROL MASTER'!$S$2:$S$495=12)*('CONTROL MASTER'!$Z$2:$Z$495&lt;=7)*('CONTROL MASTER'!$AB$2:$AB$495&gt;=7)*('CONTROL MASTER'!$AA$2:$AA$495&lt;=6)*('CONTROL MASTER'!$AC$2:$AC$495&gt;=6))*ROW('CONTROL MASTER'!$S$2:$S$495))-(ROW('CONTROL MASTER'!#REF!)-1))),"")),"")</f>
        <v/>
      </c>
      <c r="H163" s="10" t="str">
        <f>IFERROR(IF(SUMPRODUCT((('CONTROL MASTER'!$S$2:$S$495=12)*('CONTROL MASTER'!$T$2:$T$495&lt;=7)*('CONTROL MASTER'!$V$2:$V$495&gt;=7)*('CONTROL MASTER'!$U$2:$U$495&lt;=7)*('CONTROL MASTER'!$W$2:$W$495&gt;=7))*ROW('CONTROL MASTER'!$S$2:$S$495))&gt;0,INDEX('CONTROL MASTER'!$X$2:$X$495,(SUMPRODUCT((('CONTROL MASTER'!$S$2:$S$495=12)*('CONTROL MASTER'!$T$2:$T$495&lt;=7)*('CONTROL MASTER'!$V$2:$V$495&gt;=7)*('CONTROL MASTER'!$U$2:$U$495&lt;=7)*('CONTROL MASTER'!$W$2:$W$495&gt;=7))*ROW('CONTROL MASTER'!$S$2:$S$495))-(ROW('CONTROL MASTER'!#REF!)-1)))&amp;TRIM(MID(SUBSTITUTE(SUBSTITUTE(INDEX('CONTROL MASTER'!$N$2:$N$495,(SUMPRODUCT((('CONTROL MASTER'!$S$2:$S$495=12)*('CONTROL MASTER'!$T$2:$T$495&lt;=7)*('CONTROL MASTER'!$V$2:$V$495&gt;=7)*('CONTROL MASTER'!$U$2:$U$495&lt;=7)*('CONTROL MASTER'!$W$2:$W$495&gt;=7))*ROW('CONTROL MASTER'!$S$2:$S$495))-(ROW('CONTROL MASTER'!#REF!)-1))),":",","),",",REPT(" ",50)),((((7-INDEX('CONTROL MASTER'!$T$2:$T$495,(SUMPRODUCT((('CONTROL MASTER'!$S$2:$S$495=12)*('CONTROL MASTER'!$T$2:$T$495&lt;=7)*('CONTROL MASTER'!$V$2:$V$495&gt;=7)*('CONTROL MASTER'!$U$2:$U$495&lt;=7)*('CONTROL MASTER'!$W$2:$W$495&gt;=7))*ROW('CONTROL MASTER'!$S$2:$S$495))-(ROW('CONTROL MASTER'!#REF!)-1))))*(INDEX('CONTROL MASTER'!$W$2:$W$495,(SUMPRODUCT((('CONTROL MASTER'!$S$2:$S$495=12)*('CONTROL MASTER'!$T$2:$T$495&lt;=7)*('CONTROL MASTER'!$V$2:$V$495&gt;=7)*('CONTROL MASTER'!$U$2:$U$495&lt;=7)*('CONTROL MASTER'!$W$2:$W$495&gt;=7))*ROW('CONTROL MASTER'!$S$2:$S$495))-(ROW('CONTROL MASTER'!#REF!)-1)))-INDEX('CONTROL MASTER'!$U$2:$U$495,(SUMPRODUCT((('CONTROL MASTER'!$S$2:$S$495=12)*('CONTROL MASTER'!$T$2:$T$495&lt;=7)*('CONTROL MASTER'!$V$2:$V$495&gt;=7)*('CONTROL MASTER'!$U$2:$U$495&lt;=7)*('CONTROL MASTER'!$W$2:$W$495&gt;=7))*ROW('CONTROL MASTER'!$S$2:$S$495))-(ROW('CONTROL MASTER'!#REF!)-1)))+1)+(7-INDEX('CONTROL MASTER'!$U$2:$U$495,(SUMPRODUCT((('CONTROL MASTER'!$S$2:$S$495=12)*('CONTROL MASTER'!$T$2:$T$495&lt;=7)*('CONTROL MASTER'!$V$2:$V$495&gt;=7)*('CONTROL MASTER'!$U$2:$U$495&lt;=7)*('CONTROL MASTER'!$W$2:$W$495&gt;=7))*ROW('CONTROL MASTER'!$S$2:$S$495))-(ROW('CONTROL MASTER'!#REF!)-1))))+1))-1)*50+1,50))&amp;"_"&amp;INDEX('CONTROL MASTER'!$P$2:$P$495,(SUMPRODUCT((('CONTROL MASTER'!$S$2:$S$495=12)*('CONTROL MASTER'!$T$2:$T$495&lt;=7)*('CONTROL MASTER'!$V$2:$V$495&gt;=7)*('CONTROL MASTER'!$U$2:$U$495&lt;=7)*('CONTROL MASTER'!$W$2:$W$495&gt;=7))*ROW('CONTROL MASTER'!$S$2:$S$495))-(ROW('CONTROL MASTER'!#REF!)-1))),IF(SUMPRODUCT((('CONTROL MASTER'!$S$2:$S$495=12)*('CONTROL MASTER'!$Z$2:$Z$495&lt;=7)*('CONTROL MASTER'!$AB$2:$AB$495&gt;=7)*('CONTROL MASTER'!$AA$2:$AA$495&lt;=7)*('CONTROL MASTER'!$AC$2:$AC$495&gt;=7))*ROW('CONTROL MASTER'!$S$2:$S$495))&gt;0,INDEX('CONTROL MASTER'!$X$2:$X$495,(SUMPRODUCT((('CONTROL MASTER'!$S$2:$S$495=12)*('CONTROL MASTER'!$Z$2:$Z$495&lt;=7)*('CONTROL MASTER'!$AB$2:$AB$495&gt;=7)*('CONTROL MASTER'!$AA$2:$AA$495&lt;=7)*('CONTROL MASTER'!$AC$2:$AC$495&gt;=7))*ROW('CONTROL MASTER'!$S$2:$S$495))-(ROW('CONTROL MASTER'!#REF!)-1)))&amp;TRIM(MID(SUBSTITUTE(SUBSTITUTE(INDEX('CONTROL MASTER'!$N$2:$N$495,(SUMPRODUCT((('CONTROL MASTER'!$S$2:$S$495=12)*('CONTROL MASTER'!$Z$2:$Z$495&lt;=7)*('CONTROL MASTER'!$AB$2:$AB$495&gt;=7)*('CONTROL MASTER'!$AA$2:$AA$495&lt;=7)*('CONTROL MASTER'!$AC$2:$AC$495&gt;=7))*ROW('CONTROL MASTER'!$S$2:$S$495))-(ROW('CONTROL MASTER'!#REF!)-1))),":",","),",",REPT(" ",50)),(((INDEX('CONTROL MASTER'!$Y$2:$Y$495,(SUMPRODUCT((('CONTROL MASTER'!$S$2:$S$495=12)*('CONTROL MASTER'!$Z$2:$Z$495&lt;=7)*('CONTROL MASTER'!$AB$2:$AB$495&gt;=7)*('CONTROL MASTER'!$AA$2:$AA$495&lt;=7)*('CONTROL MASTER'!$AC$2:$AC$495&gt;=7))*ROW('CONTROL MASTER'!$S$2:$S$495))-(ROW('CONTROL MASTER'!#REF!)-1)))+((7-INDEX('CONTROL MASTER'!$Z$2:$Z$495,(SUMPRODUCT((('CONTROL MASTER'!$S$2:$S$495=12)*('CONTROL MASTER'!$Z$2:$Z$495&lt;=7)*('CONTROL MASTER'!$AB$2:$AB$495&gt;=7)*('CONTROL MASTER'!$AA$2:$AA$495&lt;=7)*('CONTROL MASTER'!$AC$2:$AC$495&gt;=7))*ROW('CONTROL MASTER'!$S$2:$S$495))-(ROW('CONTROL MASTER'!#REF!)-1))))*(INDEX('CONTROL MASTER'!$AC$2:$AC$495,(SUMPRODUCT((('CONTROL MASTER'!$S$2:$S$495=12)*('CONTROL MASTER'!$Z$2:$Z$495&lt;=7)*('CONTROL MASTER'!$AB$2:$AB$495&gt;=7)*('CONTROL MASTER'!$AA$2:$AA$495&lt;=7)*('CONTROL MASTER'!$AC$2:$AC$495&gt;=7))*ROW('CONTROL MASTER'!$S$2:$S$495))-(ROW('CONTROL MASTER'!#REF!)-1)))-INDEX('CONTROL MASTER'!$AA$2:$AA$495,(SUMPRODUCT((('CONTROL MASTER'!$S$2:$S$495=12)*('CONTROL MASTER'!$Z$2:$Z$495&lt;=7)*('CONTROL MASTER'!$AB$2:$AB$495&gt;=7)*('CONTROL MASTER'!$AA$2:$AA$495&lt;=7)*('CONTROL MASTER'!$AC$2:$AC$495&gt;=7))*ROW('CONTROL MASTER'!$S$2:$S$495))-(ROW('CONTROL MASTER'!#REF!)-1)))+1)+(7-INDEX('CONTROL MASTER'!$AA$2:$AA$495,(SUMPRODUCT((('CONTROL MASTER'!$S$2:$S$495=12)*('CONTROL MASTER'!$Z$2:$Z$495&lt;=7)*('CONTROL MASTER'!$AB$2:$AB$495&gt;=7)*('CONTROL MASTER'!$AA$2:$AA$495&lt;=7)*('CONTROL MASTER'!$AC$2:$AC$495&gt;=7))*ROW('CONTROL MASTER'!$S$2:$S$495))-(ROW('CONTROL MASTER'!#REF!)-1))))+1)))-1)*50+1,50))&amp;"_"&amp;INDEX('CONTROL MASTER'!$P$2:$P$495,(SUMPRODUCT((('CONTROL MASTER'!$S$2:$S$495=12)*('CONTROL MASTER'!$Z$2:$Z$495&lt;=7)*('CONTROL MASTER'!$AB$2:$AB$495&gt;=7)*('CONTROL MASTER'!$AA$2:$AA$495&lt;=7)*('CONTROL MASTER'!$AC$2:$AC$495&gt;=7))*ROW('CONTROL MASTER'!$S$2:$S$495))-(ROW('CONTROL MASTER'!#REF!)-1))),"")),"")</f>
        <v/>
      </c>
      <c r="I163" s="10" t="str">
        <f>IFERROR(IF(SUMPRODUCT((('CONTROL MASTER'!$S$2:$S$495=12)*('CONTROL MASTER'!$T$2:$T$495&lt;=7)*('CONTROL MASTER'!$V$2:$V$495&gt;=7)*('CONTROL MASTER'!$U$2:$U$495&lt;=8)*('CONTROL MASTER'!$W$2:$W$495&gt;=8))*ROW('CONTROL MASTER'!$S$2:$S$495))&gt;0,INDEX('CONTROL MASTER'!$X$2:$X$495,(SUMPRODUCT((('CONTROL MASTER'!$S$2:$S$495=12)*('CONTROL MASTER'!$T$2:$T$495&lt;=7)*('CONTROL MASTER'!$V$2:$V$495&gt;=7)*('CONTROL MASTER'!$U$2:$U$495&lt;=8)*('CONTROL MASTER'!$W$2:$W$495&gt;=8))*ROW('CONTROL MASTER'!$S$2:$S$495))-(ROW('CONTROL MASTER'!#REF!)-1)))&amp;TRIM(MID(SUBSTITUTE(SUBSTITUTE(INDEX('CONTROL MASTER'!$N$2:$N$495,(SUMPRODUCT((('CONTROL MASTER'!$S$2:$S$495=12)*('CONTROL MASTER'!$T$2:$T$495&lt;=7)*('CONTROL MASTER'!$V$2:$V$495&gt;=7)*('CONTROL MASTER'!$U$2:$U$495&lt;=8)*('CONTROL MASTER'!$W$2:$W$495&gt;=8))*ROW('CONTROL MASTER'!$S$2:$S$495))-(ROW('CONTROL MASTER'!#REF!)-1))),":",","),",",REPT(" ",50)),((((7-INDEX('CONTROL MASTER'!$T$2:$T$495,(SUMPRODUCT((('CONTROL MASTER'!$S$2:$S$495=12)*('CONTROL MASTER'!$T$2:$T$495&lt;=7)*('CONTROL MASTER'!$V$2:$V$495&gt;=7)*('CONTROL MASTER'!$U$2:$U$495&lt;=8)*('CONTROL MASTER'!$W$2:$W$495&gt;=8))*ROW('CONTROL MASTER'!$S$2:$S$495))-(ROW('CONTROL MASTER'!#REF!)-1))))*(INDEX('CONTROL MASTER'!$W$2:$W$495,(SUMPRODUCT((('CONTROL MASTER'!$S$2:$S$495=12)*('CONTROL MASTER'!$T$2:$T$495&lt;=7)*('CONTROL MASTER'!$V$2:$V$495&gt;=7)*('CONTROL MASTER'!$U$2:$U$495&lt;=8)*('CONTROL MASTER'!$W$2:$W$495&gt;=8))*ROW('CONTROL MASTER'!$S$2:$S$495))-(ROW('CONTROL MASTER'!#REF!)-1)))-INDEX('CONTROL MASTER'!$U$2:$U$495,(SUMPRODUCT((('CONTROL MASTER'!$S$2:$S$495=12)*('CONTROL MASTER'!$T$2:$T$495&lt;=7)*('CONTROL MASTER'!$V$2:$V$495&gt;=7)*('CONTROL MASTER'!$U$2:$U$495&lt;=8)*('CONTROL MASTER'!$W$2:$W$495&gt;=8))*ROW('CONTROL MASTER'!$S$2:$S$495))-(ROW('CONTROL MASTER'!#REF!)-1)))+1)+(8-INDEX('CONTROL MASTER'!$U$2:$U$495,(SUMPRODUCT((('CONTROL MASTER'!$S$2:$S$495=12)*('CONTROL MASTER'!$T$2:$T$495&lt;=7)*('CONTROL MASTER'!$V$2:$V$495&gt;=7)*('CONTROL MASTER'!$U$2:$U$495&lt;=8)*('CONTROL MASTER'!$W$2:$W$495&gt;=8))*ROW('CONTROL MASTER'!$S$2:$S$495))-(ROW('CONTROL MASTER'!#REF!)-1))))+1))-1)*50+1,50))&amp;"_"&amp;INDEX('CONTROL MASTER'!$P$2:$P$495,(SUMPRODUCT((('CONTROL MASTER'!$S$2:$S$495=12)*('CONTROL MASTER'!$T$2:$T$495&lt;=7)*('CONTROL MASTER'!$V$2:$V$495&gt;=7)*('CONTROL MASTER'!$U$2:$U$495&lt;=8)*('CONTROL MASTER'!$W$2:$W$495&gt;=8))*ROW('CONTROL MASTER'!$S$2:$S$495))-(ROW('CONTROL MASTER'!#REF!)-1))),IF(SUMPRODUCT((('CONTROL MASTER'!$S$2:$S$495=12)*('CONTROL MASTER'!$Z$2:$Z$495&lt;=7)*('CONTROL MASTER'!$AB$2:$AB$495&gt;=7)*('CONTROL MASTER'!$AA$2:$AA$495&lt;=8)*('CONTROL MASTER'!$AC$2:$AC$495&gt;=8))*ROW('CONTROL MASTER'!$S$2:$S$495))&gt;0,INDEX('CONTROL MASTER'!$X$2:$X$495,(SUMPRODUCT((('CONTROL MASTER'!$S$2:$S$495=12)*('CONTROL MASTER'!$Z$2:$Z$495&lt;=7)*('CONTROL MASTER'!$AB$2:$AB$495&gt;=7)*('CONTROL MASTER'!$AA$2:$AA$495&lt;=8)*('CONTROL MASTER'!$AC$2:$AC$495&gt;=8))*ROW('CONTROL MASTER'!$S$2:$S$495))-(ROW('CONTROL MASTER'!#REF!)-1)))&amp;TRIM(MID(SUBSTITUTE(SUBSTITUTE(INDEX('CONTROL MASTER'!$N$2:$N$495,(SUMPRODUCT((('CONTROL MASTER'!$S$2:$S$495=12)*('CONTROL MASTER'!$Z$2:$Z$495&lt;=7)*('CONTROL MASTER'!$AB$2:$AB$495&gt;=7)*('CONTROL MASTER'!$AA$2:$AA$495&lt;=8)*('CONTROL MASTER'!$AC$2:$AC$495&gt;=8))*ROW('CONTROL MASTER'!$S$2:$S$495))-(ROW('CONTROL MASTER'!#REF!)-1))),":",","),",",REPT(" ",50)),(((INDEX('CONTROL MASTER'!$Y$2:$Y$495,(SUMPRODUCT((('CONTROL MASTER'!$S$2:$S$495=12)*('CONTROL MASTER'!$Z$2:$Z$495&lt;=7)*('CONTROL MASTER'!$AB$2:$AB$495&gt;=7)*('CONTROL MASTER'!$AA$2:$AA$495&lt;=8)*('CONTROL MASTER'!$AC$2:$AC$495&gt;=8))*ROW('CONTROL MASTER'!$S$2:$S$495))-(ROW('CONTROL MASTER'!#REF!)-1)))+((7-INDEX('CONTROL MASTER'!$Z$2:$Z$495,(SUMPRODUCT((('CONTROL MASTER'!$S$2:$S$495=12)*('CONTROL MASTER'!$Z$2:$Z$495&lt;=7)*('CONTROL MASTER'!$AB$2:$AB$495&gt;=7)*('CONTROL MASTER'!$AA$2:$AA$495&lt;=8)*('CONTROL MASTER'!$AC$2:$AC$495&gt;=8))*ROW('CONTROL MASTER'!$S$2:$S$495))-(ROW('CONTROL MASTER'!#REF!)-1))))*(INDEX('CONTROL MASTER'!$AC$2:$AC$495,(SUMPRODUCT((('CONTROL MASTER'!$S$2:$S$495=12)*('CONTROL MASTER'!$Z$2:$Z$495&lt;=7)*('CONTROL MASTER'!$AB$2:$AB$495&gt;=7)*('CONTROL MASTER'!$AA$2:$AA$495&lt;=8)*('CONTROL MASTER'!$AC$2:$AC$495&gt;=8))*ROW('CONTROL MASTER'!$S$2:$S$495))-(ROW('CONTROL MASTER'!#REF!)-1)))-INDEX('CONTROL MASTER'!$AA$2:$AA$495,(SUMPRODUCT((('CONTROL MASTER'!$S$2:$S$495=12)*('CONTROL MASTER'!$Z$2:$Z$495&lt;=7)*('CONTROL MASTER'!$AB$2:$AB$495&gt;=7)*('CONTROL MASTER'!$AA$2:$AA$495&lt;=8)*('CONTROL MASTER'!$AC$2:$AC$495&gt;=8))*ROW('CONTROL MASTER'!$S$2:$S$495))-(ROW('CONTROL MASTER'!#REF!)-1)))+1)+(8-INDEX('CONTROL MASTER'!$AA$2:$AA$495,(SUMPRODUCT((('CONTROL MASTER'!$S$2:$S$495=12)*('CONTROL MASTER'!$Z$2:$Z$495&lt;=7)*('CONTROL MASTER'!$AB$2:$AB$495&gt;=7)*('CONTROL MASTER'!$AA$2:$AA$495&lt;=8)*('CONTROL MASTER'!$AC$2:$AC$495&gt;=8))*ROW('CONTROL MASTER'!$S$2:$S$495))-(ROW('CONTROL MASTER'!#REF!)-1))))+1)))-1)*50+1,50))&amp;"_"&amp;INDEX('CONTROL MASTER'!$P$2:$P$495,(SUMPRODUCT((('CONTROL MASTER'!$S$2:$S$495=12)*('CONTROL MASTER'!$Z$2:$Z$495&lt;=7)*('CONTROL MASTER'!$AB$2:$AB$495&gt;=7)*('CONTROL MASTER'!$AA$2:$AA$495&lt;=8)*('CONTROL MASTER'!$AC$2:$AC$495&gt;=8))*ROW('CONTROL MASTER'!$S$2:$S$495))-(ROW('CONTROL MASTER'!#REF!)-1))),"")),"")</f>
        <v/>
      </c>
      <c r="J163" s="10" t="str">
        <f>IFERROR(IF(SUMPRODUCT((('CONTROL MASTER'!$S$2:$S$495=12)*('CONTROL MASTER'!$T$2:$T$495&lt;=7)*('CONTROL MASTER'!$V$2:$V$495&gt;=7)*('CONTROL MASTER'!$U$2:$U$495&lt;=9)*('CONTROL MASTER'!$W$2:$W$495&gt;=9))*ROW('CONTROL MASTER'!$S$2:$S$495))&gt;0,INDEX('CONTROL MASTER'!$X$2:$X$495,(SUMPRODUCT((('CONTROL MASTER'!$S$2:$S$495=12)*('CONTROL MASTER'!$T$2:$T$495&lt;=7)*('CONTROL MASTER'!$V$2:$V$495&gt;=7)*('CONTROL MASTER'!$U$2:$U$495&lt;=9)*('CONTROL MASTER'!$W$2:$W$495&gt;=9))*ROW('CONTROL MASTER'!$S$2:$S$495))-(ROW('CONTROL MASTER'!#REF!)-1)))&amp;TRIM(MID(SUBSTITUTE(SUBSTITUTE(INDEX('CONTROL MASTER'!$N$2:$N$495,(SUMPRODUCT((('CONTROL MASTER'!$S$2:$S$495=12)*('CONTROL MASTER'!$T$2:$T$495&lt;=7)*('CONTROL MASTER'!$V$2:$V$495&gt;=7)*('CONTROL MASTER'!$U$2:$U$495&lt;=9)*('CONTROL MASTER'!$W$2:$W$495&gt;=9))*ROW('CONTROL MASTER'!$S$2:$S$495))-(ROW('CONTROL MASTER'!#REF!)-1))),":",","),",",REPT(" ",50)),((((7-INDEX('CONTROL MASTER'!$T$2:$T$495,(SUMPRODUCT((('CONTROL MASTER'!$S$2:$S$495=12)*('CONTROL MASTER'!$T$2:$T$495&lt;=7)*('CONTROL MASTER'!$V$2:$V$495&gt;=7)*('CONTROL MASTER'!$U$2:$U$495&lt;=9)*('CONTROL MASTER'!$W$2:$W$495&gt;=9))*ROW('CONTROL MASTER'!$S$2:$S$495))-(ROW('CONTROL MASTER'!#REF!)-1))))*(INDEX('CONTROL MASTER'!$W$2:$W$495,(SUMPRODUCT((('CONTROL MASTER'!$S$2:$S$495=12)*('CONTROL MASTER'!$T$2:$T$495&lt;=7)*('CONTROL MASTER'!$V$2:$V$495&gt;=7)*('CONTROL MASTER'!$U$2:$U$495&lt;=9)*('CONTROL MASTER'!$W$2:$W$495&gt;=9))*ROW('CONTROL MASTER'!$S$2:$S$495))-(ROW('CONTROL MASTER'!#REF!)-1)))-INDEX('CONTROL MASTER'!$U$2:$U$495,(SUMPRODUCT((('CONTROL MASTER'!$S$2:$S$495=12)*('CONTROL MASTER'!$T$2:$T$495&lt;=7)*('CONTROL MASTER'!$V$2:$V$495&gt;=7)*('CONTROL MASTER'!$U$2:$U$495&lt;=9)*('CONTROL MASTER'!$W$2:$W$495&gt;=9))*ROW('CONTROL MASTER'!$S$2:$S$495))-(ROW('CONTROL MASTER'!#REF!)-1)))+1)+(9-INDEX('CONTROL MASTER'!$U$2:$U$495,(SUMPRODUCT((('CONTROL MASTER'!$S$2:$S$495=12)*('CONTROL MASTER'!$T$2:$T$495&lt;=7)*('CONTROL MASTER'!$V$2:$V$495&gt;=7)*('CONTROL MASTER'!$U$2:$U$495&lt;=9)*('CONTROL MASTER'!$W$2:$W$495&gt;=9))*ROW('CONTROL MASTER'!$S$2:$S$495))-(ROW('CONTROL MASTER'!#REF!)-1))))+1))-1)*50+1,50))&amp;"_"&amp;INDEX('CONTROL MASTER'!$P$2:$P$495,(SUMPRODUCT((('CONTROL MASTER'!$S$2:$S$495=12)*('CONTROL MASTER'!$T$2:$T$495&lt;=7)*('CONTROL MASTER'!$V$2:$V$495&gt;=7)*('CONTROL MASTER'!$U$2:$U$495&lt;=9)*('CONTROL MASTER'!$W$2:$W$495&gt;=9))*ROW('CONTROL MASTER'!$S$2:$S$495))-(ROW('CONTROL MASTER'!#REF!)-1))),IF(SUMPRODUCT((('CONTROL MASTER'!$S$2:$S$495=12)*('CONTROL MASTER'!$Z$2:$Z$495&lt;=7)*('CONTROL MASTER'!$AB$2:$AB$495&gt;=7)*('CONTROL MASTER'!$AA$2:$AA$495&lt;=9)*('CONTROL MASTER'!$AC$2:$AC$495&gt;=9))*ROW('CONTROL MASTER'!$S$2:$S$495))&gt;0,INDEX('CONTROL MASTER'!$X$2:$X$495,(SUMPRODUCT((('CONTROL MASTER'!$S$2:$S$495=12)*('CONTROL MASTER'!$Z$2:$Z$495&lt;=7)*('CONTROL MASTER'!$AB$2:$AB$495&gt;=7)*('CONTROL MASTER'!$AA$2:$AA$495&lt;=9)*('CONTROL MASTER'!$AC$2:$AC$495&gt;=9))*ROW('CONTROL MASTER'!$S$2:$S$495))-(ROW('CONTROL MASTER'!#REF!)-1)))&amp;TRIM(MID(SUBSTITUTE(SUBSTITUTE(INDEX('CONTROL MASTER'!$N$2:$N$495,(SUMPRODUCT((('CONTROL MASTER'!$S$2:$S$495=12)*('CONTROL MASTER'!$Z$2:$Z$495&lt;=7)*('CONTROL MASTER'!$AB$2:$AB$495&gt;=7)*('CONTROL MASTER'!$AA$2:$AA$495&lt;=9)*('CONTROL MASTER'!$AC$2:$AC$495&gt;=9))*ROW('CONTROL MASTER'!$S$2:$S$495))-(ROW('CONTROL MASTER'!#REF!)-1))),":",","),",",REPT(" ",50)),(((INDEX('CONTROL MASTER'!$Y$2:$Y$495,(SUMPRODUCT((('CONTROL MASTER'!$S$2:$S$495=12)*('CONTROL MASTER'!$Z$2:$Z$495&lt;=7)*('CONTROL MASTER'!$AB$2:$AB$495&gt;=7)*('CONTROL MASTER'!$AA$2:$AA$495&lt;=9)*('CONTROL MASTER'!$AC$2:$AC$495&gt;=9))*ROW('CONTROL MASTER'!$S$2:$S$495))-(ROW('CONTROL MASTER'!#REF!)-1)))+((7-INDEX('CONTROL MASTER'!$Z$2:$Z$495,(SUMPRODUCT((('CONTROL MASTER'!$S$2:$S$495=12)*('CONTROL MASTER'!$Z$2:$Z$495&lt;=7)*('CONTROL MASTER'!$AB$2:$AB$495&gt;=7)*('CONTROL MASTER'!$AA$2:$AA$495&lt;=9)*('CONTROL MASTER'!$AC$2:$AC$495&gt;=9))*ROW('CONTROL MASTER'!$S$2:$S$495))-(ROW('CONTROL MASTER'!#REF!)-1))))*(INDEX('CONTROL MASTER'!$AC$2:$AC$495,(SUMPRODUCT((('CONTROL MASTER'!$S$2:$S$495=12)*('CONTROL MASTER'!$Z$2:$Z$495&lt;=7)*('CONTROL MASTER'!$AB$2:$AB$495&gt;=7)*('CONTROL MASTER'!$AA$2:$AA$495&lt;=9)*('CONTROL MASTER'!$AC$2:$AC$495&gt;=9))*ROW('CONTROL MASTER'!$S$2:$S$495))-(ROW('CONTROL MASTER'!#REF!)-1)))-INDEX('CONTROL MASTER'!$AA$2:$AA$495,(SUMPRODUCT((('CONTROL MASTER'!$S$2:$S$495=12)*('CONTROL MASTER'!$Z$2:$Z$495&lt;=7)*('CONTROL MASTER'!$AB$2:$AB$495&gt;=7)*('CONTROL MASTER'!$AA$2:$AA$495&lt;=9)*('CONTROL MASTER'!$AC$2:$AC$495&gt;=9))*ROW('CONTROL MASTER'!$S$2:$S$495))-(ROW('CONTROL MASTER'!#REF!)-1)))+1)+(9-INDEX('CONTROL MASTER'!$AA$2:$AA$495,(SUMPRODUCT((('CONTROL MASTER'!$S$2:$S$495=12)*('CONTROL MASTER'!$Z$2:$Z$495&lt;=7)*('CONTROL MASTER'!$AB$2:$AB$495&gt;=7)*('CONTROL MASTER'!$AA$2:$AA$495&lt;=9)*('CONTROL MASTER'!$AC$2:$AC$495&gt;=9))*ROW('CONTROL MASTER'!$S$2:$S$495))-(ROW('CONTROL MASTER'!#REF!)-1))))+1)))-1)*50+1,50))&amp;"_"&amp;INDEX('CONTROL MASTER'!$P$2:$P$495,(SUMPRODUCT((('CONTROL MASTER'!$S$2:$S$495=12)*('CONTROL MASTER'!$Z$2:$Z$495&lt;=7)*('CONTROL MASTER'!$AB$2:$AB$495&gt;=7)*('CONTROL MASTER'!$AA$2:$AA$495&lt;=9)*('CONTROL MASTER'!$AC$2:$AC$495&gt;=9))*ROW('CONTROL MASTER'!$S$2:$S$495))-(ROW('CONTROL MASTER'!#REF!)-1))),"")),"")</f>
        <v/>
      </c>
      <c r="K163" s="10" t="str">
        <f>IFERROR(IF(SUMPRODUCT((('CONTROL MASTER'!$S$2:$S$495=12)*('CONTROL MASTER'!$T$2:$T$495&lt;=7)*('CONTROL MASTER'!$V$2:$V$495&gt;=7)*('CONTROL MASTER'!$U$2:$U$495&lt;=10)*('CONTROL MASTER'!$W$2:$W$495&gt;=10))*ROW('CONTROL MASTER'!$S$2:$S$495))&gt;0,INDEX('CONTROL MASTER'!$X$2:$X$495,(SUMPRODUCT((('CONTROL MASTER'!$S$2:$S$495=12)*('CONTROL MASTER'!$T$2:$T$495&lt;=7)*('CONTROL MASTER'!$V$2:$V$495&gt;=7)*('CONTROL MASTER'!$U$2:$U$495&lt;=10)*('CONTROL MASTER'!$W$2:$W$495&gt;=10))*ROW('CONTROL MASTER'!$S$2:$S$495))-(ROW('CONTROL MASTER'!#REF!)-1)))&amp;TRIM(MID(SUBSTITUTE(SUBSTITUTE(INDEX('CONTROL MASTER'!$N$2:$N$495,(SUMPRODUCT((('CONTROL MASTER'!$S$2:$S$495=12)*('CONTROL MASTER'!$T$2:$T$495&lt;=7)*('CONTROL MASTER'!$V$2:$V$495&gt;=7)*('CONTROL MASTER'!$U$2:$U$495&lt;=10)*('CONTROL MASTER'!$W$2:$W$495&gt;=10))*ROW('CONTROL MASTER'!$S$2:$S$495))-(ROW('CONTROL MASTER'!#REF!)-1))),":",","),",",REPT(" ",50)),((((7-INDEX('CONTROL MASTER'!$T$2:$T$495,(SUMPRODUCT((('CONTROL MASTER'!$S$2:$S$495=12)*('CONTROL MASTER'!$T$2:$T$495&lt;=7)*('CONTROL MASTER'!$V$2:$V$495&gt;=7)*('CONTROL MASTER'!$U$2:$U$495&lt;=10)*('CONTROL MASTER'!$W$2:$W$495&gt;=10))*ROW('CONTROL MASTER'!$S$2:$S$495))-(ROW('CONTROL MASTER'!#REF!)-1))))*(INDEX('CONTROL MASTER'!$W$2:$W$495,(SUMPRODUCT((('CONTROL MASTER'!$S$2:$S$495=12)*('CONTROL MASTER'!$T$2:$T$495&lt;=7)*('CONTROL MASTER'!$V$2:$V$495&gt;=7)*('CONTROL MASTER'!$U$2:$U$495&lt;=10)*('CONTROL MASTER'!$W$2:$W$495&gt;=10))*ROW('CONTROL MASTER'!$S$2:$S$495))-(ROW('CONTROL MASTER'!#REF!)-1)))-INDEX('CONTROL MASTER'!$U$2:$U$495,(SUMPRODUCT((('CONTROL MASTER'!$S$2:$S$495=12)*('CONTROL MASTER'!$T$2:$T$495&lt;=7)*('CONTROL MASTER'!$V$2:$V$495&gt;=7)*('CONTROL MASTER'!$U$2:$U$495&lt;=10)*('CONTROL MASTER'!$W$2:$W$495&gt;=10))*ROW('CONTROL MASTER'!$S$2:$S$495))-(ROW('CONTROL MASTER'!#REF!)-1)))+1)+(10-INDEX('CONTROL MASTER'!$U$2:$U$495,(SUMPRODUCT((('CONTROL MASTER'!$S$2:$S$495=12)*('CONTROL MASTER'!$T$2:$T$495&lt;=7)*('CONTROL MASTER'!$V$2:$V$495&gt;=7)*('CONTROL MASTER'!$U$2:$U$495&lt;=10)*('CONTROL MASTER'!$W$2:$W$495&gt;=10))*ROW('CONTROL MASTER'!$S$2:$S$495))-(ROW('CONTROL MASTER'!#REF!)-1))))+1))-1)*50+1,50))&amp;"_"&amp;INDEX('CONTROL MASTER'!$P$2:$P$495,(SUMPRODUCT((('CONTROL MASTER'!$S$2:$S$495=12)*('CONTROL MASTER'!$T$2:$T$495&lt;=7)*('CONTROL MASTER'!$V$2:$V$495&gt;=7)*('CONTROL MASTER'!$U$2:$U$495&lt;=10)*('CONTROL MASTER'!$W$2:$W$495&gt;=10))*ROW('CONTROL MASTER'!$S$2:$S$495))-(ROW('CONTROL MASTER'!#REF!)-1))),IF(SUMPRODUCT((('CONTROL MASTER'!$S$2:$S$495=12)*('CONTROL MASTER'!$Z$2:$Z$495&lt;=7)*('CONTROL MASTER'!$AB$2:$AB$495&gt;=7)*('CONTROL MASTER'!$AA$2:$AA$495&lt;=10)*('CONTROL MASTER'!$AC$2:$AC$495&gt;=10))*ROW('CONTROL MASTER'!$S$2:$S$495))&gt;0,INDEX('CONTROL MASTER'!$X$2:$X$495,(SUMPRODUCT((('CONTROL MASTER'!$S$2:$S$495=12)*('CONTROL MASTER'!$Z$2:$Z$495&lt;=7)*('CONTROL MASTER'!$AB$2:$AB$495&gt;=7)*('CONTROL MASTER'!$AA$2:$AA$495&lt;=10)*('CONTROL MASTER'!$AC$2:$AC$495&gt;=10))*ROW('CONTROL MASTER'!$S$2:$S$495))-(ROW('CONTROL MASTER'!#REF!)-1)))&amp;TRIM(MID(SUBSTITUTE(SUBSTITUTE(INDEX('CONTROL MASTER'!$N$2:$N$495,(SUMPRODUCT((('CONTROL MASTER'!$S$2:$S$495=12)*('CONTROL MASTER'!$Z$2:$Z$495&lt;=7)*('CONTROL MASTER'!$AB$2:$AB$495&gt;=7)*('CONTROL MASTER'!$AA$2:$AA$495&lt;=10)*('CONTROL MASTER'!$AC$2:$AC$495&gt;=10))*ROW('CONTROL MASTER'!$S$2:$S$495))-(ROW('CONTROL MASTER'!#REF!)-1))),":",","),",",REPT(" ",50)),(((INDEX('CONTROL MASTER'!$Y$2:$Y$495,(SUMPRODUCT((('CONTROL MASTER'!$S$2:$S$495=12)*('CONTROL MASTER'!$Z$2:$Z$495&lt;=7)*('CONTROL MASTER'!$AB$2:$AB$495&gt;=7)*('CONTROL MASTER'!$AA$2:$AA$495&lt;=10)*('CONTROL MASTER'!$AC$2:$AC$495&gt;=10))*ROW('CONTROL MASTER'!$S$2:$S$495))-(ROW('CONTROL MASTER'!#REF!)-1)))+((7-INDEX('CONTROL MASTER'!$Z$2:$Z$495,(SUMPRODUCT((('CONTROL MASTER'!$S$2:$S$495=12)*('CONTROL MASTER'!$Z$2:$Z$495&lt;=7)*('CONTROL MASTER'!$AB$2:$AB$495&gt;=7)*('CONTROL MASTER'!$AA$2:$AA$495&lt;=10)*('CONTROL MASTER'!$AC$2:$AC$495&gt;=10))*ROW('CONTROL MASTER'!$S$2:$S$495))-(ROW('CONTROL MASTER'!#REF!)-1))))*(INDEX('CONTROL MASTER'!$AC$2:$AC$495,(SUMPRODUCT((('CONTROL MASTER'!$S$2:$S$495=12)*('CONTROL MASTER'!$Z$2:$Z$495&lt;=7)*('CONTROL MASTER'!$AB$2:$AB$495&gt;=7)*('CONTROL MASTER'!$AA$2:$AA$495&lt;=10)*('CONTROL MASTER'!$AC$2:$AC$495&gt;=10))*ROW('CONTROL MASTER'!$S$2:$S$495))-(ROW('CONTROL MASTER'!#REF!)-1)))-INDEX('CONTROL MASTER'!$AA$2:$AA$495,(SUMPRODUCT((('CONTROL MASTER'!$S$2:$S$495=12)*('CONTROL MASTER'!$Z$2:$Z$495&lt;=7)*('CONTROL MASTER'!$AB$2:$AB$495&gt;=7)*('CONTROL MASTER'!$AA$2:$AA$495&lt;=10)*('CONTROL MASTER'!$AC$2:$AC$495&gt;=10))*ROW('CONTROL MASTER'!$S$2:$S$495))-(ROW('CONTROL MASTER'!#REF!)-1)))+1)+(10-INDEX('CONTROL MASTER'!$AA$2:$AA$495,(SUMPRODUCT((('CONTROL MASTER'!$S$2:$S$495=12)*('CONTROL MASTER'!$Z$2:$Z$495&lt;=7)*('CONTROL MASTER'!$AB$2:$AB$495&gt;=7)*('CONTROL MASTER'!$AA$2:$AA$495&lt;=10)*('CONTROL MASTER'!$AC$2:$AC$495&gt;=10))*ROW('CONTROL MASTER'!$S$2:$S$495))-(ROW('CONTROL MASTER'!#REF!)-1))))+1)))-1)*50+1,50))&amp;"_"&amp;INDEX('CONTROL MASTER'!$P$2:$P$495,(SUMPRODUCT((('CONTROL MASTER'!$S$2:$S$495=12)*('CONTROL MASTER'!$Z$2:$Z$495&lt;=7)*('CONTROL MASTER'!$AB$2:$AB$495&gt;=7)*('CONTROL MASTER'!$AA$2:$AA$495&lt;=10)*('CONTROL MASTER'!$AC$2:$AC$495&gt;=10))*ROW('CONTROL MASTER'!$S$2:$S$495))-(ROW('CONTROL MASTER'!#REF!)-1))),"")),"")</f>
        <v/>
      </c>
    </row>
    <row r="164" spans="1:11" ht="15" customHeight="1" x14ac:dyDescent="0.35">
      <c r="A164" s="8" t="s">
        <v>35</v>
      </c>
      <c r="B164" s="10" t="str">
        <f>IFERROR(IF(SUMPRODUCT((('CONTROL MASTER'!$S$2:$S$495=12)*('CONTROL MASTER'!$T$2:$T$495&lt;=8)*('CONTROL MASTER'!$V$2:$V$495&gt;=8)*('CONTROL MASTER'!$U$2:$U$495&lt;=1)*('CONTROL MASTER'!$W$2:$W$495&gt;=1))*ROW('CONTROL MASTER'!$S$2:$S$495))&gt;0,INDEX('CONTROL MASTER'!$X$2:$X$495,(SUMPRODUCT((('CONTROL MASTER'!$S$2:$S$495=12)*('CONTROL MASTER'!$T$2:$T$495&lt;=8)*('CONTROL MASTER'!$V$2:$V$495&gt;=8)*('CONTROL MASTER'!$U$2:$U$495&lt;=1)*('CONTROL MASTER'!$W$2:$W$495&gt;=1))*ROW('CONTROL MASTER'!$S$2:$S$495))-(ROW('CONTROL MASTER'!#REF!)-1)))&amp;TRIM(MID(SUBSTITUTE(SUBSTITUTE(INDEX('CONTROL MASTER'!$N$2:$N$495,(SUMPRODUCT((('CONTROL MASTER'!$S$2:$S$495=12)*('CONTROL MASTER'!$T$2:$T$495&lt;=8)*('CONTROL MASTER'!$V$2:$V$495&gt;=8)*('CONTROL MASTER'!$U$2:$U$495&lt;=1)*('CONTROL MASTER'!$W$2:$W$495&gt;=1))*ROW('CONTROL MASTER'!$S$2:$S$495))-(ROW('CONTROL MASTER'!#REF!)-1))),":",","),",",REPT(" ",50)),((((8-INDEX('CONTROL MASTER'!$T$2:$T$495,(SUMPRODUCT((('CONTROL MASTER'!$S$2:$S$495=12)*('CONTROL MASTER'!$T$2:$T$495&lt;=8)*('CONTROL MASTER'!$V$2:$V$495&gt;=8)*('CONTROL MASTER'!$U$2:$U$495&lt;=1)*('CONTROL MASTER'!$W$2:$W$495&gt;=1))*ROW('CONTROL MASTER'!$S$2:$S$495))-(ROW('CONTROL MASTER'!#REF!)-1))))*(INDEX('CONTROL MASTER'!$W$2:$W$495,(SUMPRODUCT((('CONTROL MASTER'!$S$2:$S$495=12)*('CONTROL MASTER'!$T$2:$T$495&lt;=8)*('CONTROL MASTER'!$V$2:$V$495&gt;=8)*('CONTROL MASTER'!$U$2:$U$495&lt;=1)*('CONTROL MASTER'!$W$2:$W$495&gt;=1))*ROW('CONTROL MASTER'!$S$2:$S$495))-(ROW('CONTROL MASTER'!#REF!)-1)))-INDEX('CONTROL MASTER'!$U$2:$U$495,(SUMPRODUCT((('CONTROL MASTER'!$S$2:$S$495=12)*('CONTROL MASTER'!$T$2:$T$495&lt;=8)*('CONTROL MASTER'!$V$2:$V$495&gt;=8)*('CONTROL MASTER'!$U$2:$U$495&lt;=1)*('CONTROL MASTER'!$W$2:$W$495&gt;=1))*ROW('CONTROL MASTER'!$S$2:$S$495))-(ROW('CONTROL MASTER'!#REF!)-1)))+1)+(1-INDEX('CONTROL MASTER'!$U$2:$U$495,(SUMPRODUCT((('CONTROL MASTER'!$S$2:$S$495=12)*('CONTROL MASTER'!$T$2:$T$495&lt;=8)*('CONTROL MASTER'!$V$2:$V$495&gt;=8)*('CONTROL MASTER'!$U$2:$U$495&lt;=1)*('CONTROL MASTER'!$W$2:$W$495&gt;=1))*ROW('CONTROL MASTER'!$S$2:$S$495))-(ROW('CONTROL MASTER'!#REF!)-1))))+1))-1)*50+1,50))&amp;"_"&amp;INDEX('CONTROL MASTER'!$P$2:$P$495,(SUMPRODUCT((('CONTROL MASTER'!$S$2:$S$495=12)*('CONTROL MASTER'!$T$2:$T$495&lt;=8)*('CONTROL MASTER'!$V$2:$V$495&gt;=8)*('CONTROL MASTER'!$U$2:$U$495&lt;=1)*('CONTROL MASTER'!$W$2:$W$495&gt;=1))*ROW('CONTROL MASTER'!$S$2:$S$495))-(ROW('CONTROL MASTER'!#REF!)-1))),IF(SUMPRODUCT((('CONTROL MASTER'!$S$2:$S$495=12)*('CONTROL MASTER'!$Z$2:$Z$495&lt;=8)*('CONTROL MASTER'!$AB$2:$AB$495&gt;=8)*('CONTROL MASTER'!$AA$2:$AA$495&lt;=1)*('CONTROL MASTER'!$AC$2:$AC$495&gt;=1))*ROW('CONTROL MASTER'!$S$2:$S$495))&gt;0,INDEX('CONTROL MASTER'!$X$2:$X$495,(SUMPRODUCT((('CONTROL MASTER'!$S$2:$S$495=12)*('CONTROL MASTER'!$Z$2:$Z$495&lt;=8)*('CONTROL MASTER'!$AB$2:$AB$495&gt;=8)*('CONTROL MASTER'!$AA$2:$AA$495&lt;=1)*('CONTROL MASTER'!$AC$2:$AC$495&gt;=1))*ROW('CONTROL MASTER'!$S$2:$S$495))-(ROW('CONTROL MASTER'!#REF!)-1)))&amp;TRIM(MID(SUBSTITUTE(SUBSTITUTE(INDEX('CONTROL MASTER'!$N$2:$N$495,(SUMPRODUCT((('CONTROL MASTER'!$S$2:$S$495=12)*('CONTROL MASTER'!$Z$2:$Z$495&lt;=8)*('CONTROL MASTER'!$AB$2:$AB$495&gt;=8)*('CONTROL MASTER'!$AA$2:$AA$495&lt;=1)*('CONTROL MASTER'!$AC$2:$AC$495&gt;=1))*ROW('CONTROL MASTER'!$S$2:$S$495))-(ROW('CONTROL MASTER'!#REF!)-1))),":",","),",",REPT(" ",50)),(((INDEX('CONTROL MASTER'!$Y$2:$Y$495,(SUMPRODUCT((('CONTROL MASTER'!$S$2:$S$495=12)*('CONTROL MASTER'!$Z$2:$Z$495&lt;=8)*('CONTROL MASTER'!$AB$2:$AB$495&gt;=8)*('CONTROL MASTER'!$AA$2:$AA$495&lt;=1)*('CONTROL MASTER'!$AC$2:$AC$495&gt;=1))*ROW('CONTROL MASTER'!$S$2:$S$495))-(ROW('CONTROL MASTER'!#REF!)-1)))+((8-INDEX('CONTROL MASTER'!$Z$2:$Z$495,(SUMPRODUCT((('CONTROL MASTER'!$S$2:$S$495=12)*('CONTROL MASTER'!$Z$2:$Z$495&lt;=8)*('CONTROL MASTER'!$AB$2:$AB$495&gt;=8)*('CONTROL MASTER'!$AA$2:$AA$495&lt;=1)*('CONTROL MASTER'!$AC$2:$AC$495&gt;=1))*ROW('CONTROL MASTER'!$S$2:$S$495))-(ROW('CONTROL MASTER'!#REF!)-1))))*(INDEX('CONTROL MASTER'!$AC$2:$AC$495,(SUMPRODUCT((('CONTROL MASTER'!$S$2:$S$495=12)*('CONTROL MASTER'!$Z$2:$Z$495&lt;=8)*('CONTROL MASTER'!$AB$2:$AB$495&gt;=8)*('CONTROL MASTER'!$AA$2:$AA$495&lt;=1)*('CONTROL MASTER'!$AC$2:$AC$495&gt;=1))*ROW('CONTROL MASTER'!$S$2:$S$495))-(ROW('CONTROL MASTER'!#REF!)-1)))-INDEX('CONTROL MASTER'!$AA$2:$AA$495,(SUMPRODUCT((('CONTROL MASTER'!$S$2:$S$495=12)*('CONTROL MASTER'!$Z$2:$Z$495&lt;=8)*('CONTROL MASTER'!$AB$2:$AB$495&gt;=8)*('CONTROL MASTER'!$AA$2:$AA$495&lt;=1)*('CONTROL MASTER'!$AC$2:$AC$495&gt;=1))*ROW('CONTROL MASTER'!$S$2:$S$495))-(ROW('CONTROL MASTER'!#REF!)-1)))+1)+(1-INDEX('CONTROL MASTER'!$AA$2:$AA$495,(SUMPRODUCT((('CONTROL MASTER'!$S$2:$S$495=12)*('CONTROL MASTER'!$Z$2:$Z$495&lt;=8)*('CONTROL MASTER'!$AB$2:$AB$495&gt;=8)*('CONTROL MASTER'!$AA$2:$AA$495&lt;=1)*('CONTROL MASTER'!$AC$2:$AC$495&gt;=1))*ROW('CONTROL MASTER'!$S$2:$S$495))-(ROW('CONTROL MASTER'!#REF!)-1))))+1)))-1)*50+1,50))&amp;"_"&amp;INDEX('CONTROL MASTER'!$P$2:$P$495,(SUMPRODUCT((('CONTROL MASTER'!$S$2:$S$495=12)*('CONTROL MASTER'!$Z$2:$Z$495&lt;=8)*('CONTROL MASTER'!$AB$2:$AB$495&gt;=8)*('CONTROL MASTER'!$AA$2:$AA$495&lt;=1)*('CONTROL MASTER'!$AC$2:$AC$495&gt;=1))*ROW('CONTROL MASTER'!$S$2:$S$495))-(ROW('CONTROL MASTER'!#REF!)-1))),"")),"")</f>
        <v/>
      </c>
      <c r="C164" s="10" t="str">
        <f>IFERROR(IF(SUMPRODUCT((('CONTROL MASTER'!$S$2:$S$495=12)*('CONTROL MASTER'!$T$2:$T$495&lt;=8)*('CONTROL MASTER'!$V$2:$V$495&gt;=8)*('CONTROL MASTER'!$U$2:$U$495&lt;=2)*('CONTROL MASTER'!$W$2:$W$495&gt;=2))*ROW('CONTROL MASTER'!$S$2:$S$495))&gt;0,INDEX('CONTROL MASTER'!$X$2:$X$495,(SUMPRODUCT((('CONTROL MASTER'!$S$2:$S$495=12)*('CONTROL MASTER'!$T$2:$T$495&lt;=8)*('CONTROL MASTER'!$V$2:$V$495&gt;=8)*('CONTROL MASTER'!$U$2:$U$495&lt;=2)*('CONTROL MASTER'!$W$2:$W$495&gt;=2))*ROW('CONTROL MASTER'!$S$2:$S$495))-(ROW('CONTROL MASTER'!#REF!)-1)))&amp;TRIM(MID(SUBSTITUTE(SUBSTITUTE(INDEX('CONTROL MASTER'!$N$2:$N$495,(SUMPRODUCT((('CONTROL MASTER'!$S$2:$S$495=12)*('CONTROL MASTER'!$T$2:$T$495&lt;=8)*('CONTROL MASTER'!$V$2:$V$495&gt;=8)*('CONTROL MASTER'!$U$2:$U$495&lt;=2)*('CONTROL MASTER'!$W$2:$W$495&gt;=2))*ROW('CONTROL MASTER'!$S$2:$S$495))-(ROW('CONTROL MASTER'!#REF!)-1))),":",","),",",REPT(" ",50)),((((8-INDEX('CONTROL MASTER'!$T$2:$T$495,(SUMPRODUCT((('CONTROL MASTER'!$S$2:$S$495=12)*('CONTROL MASTER'!$T$2:$T$495&lt;=8)*('CONTROL MASTER'!$V$2:$V$495&gt;=8)*('CONTROL MASTER'!$U$2:$U$495&lt;=2)*('CONTROL MASTER'!$W$2:$W$495&gt;=2))*ROW('CONTROL MASTER'!$S$2:$S$495))-(ROW('CONTROL MASTER'!#REF!)-1))))*(INDEX('CONTROL MASTER'!$W$2:$W$495,(SUMPRODUCT((('CONTROL MASTER'!$S$2:$S$495=12)*('CONTROL MASTER'!$T$2:$T$495&lt;=8)*('CONTROL MASTER'!$V$2:$V$495&gt;=8)*('CONTROL MASTER'!$U$2:$U$495&lt;=2)*('CONTROL MASTER'!$W$2:$W$495&gt;=2))*ROW('CONTROL MASTER'!$S$2:$S$495))-(ROW('CONTROL MASTER'!#REF!)-1)))-INDEX('CONTROL MASTER'!$U$2:$U$495,(SUMPRODUCT((('CONTROL MASTER'!$S$2:$S$495=12)*('CONTROL MASTER'!$T$2:$T$495&lt;=8)*('CONTROL MASTER'!$V$2:$V$495&gt;=8)*('CONTROL MASTER'!$U$2:$U$495&lt;=2)*('CONTROL MASTER'!$W$2:$W$495&gt;=2))*ROW('CONTROL MASTER'!$S$2:$S$495))-(ROW('CONTROL MASTER'!#REF!)-1)))+1)+(2-INDEX('CONTROL MASTER'!$U$2:$U$495,(SUMPRODUCT((('CONTROL MASTER'!$S$2:$S$495=12)*('CONTROL MASTER'!$T$2:$T$495&lt;=8)*('CONTROL MASTER'!$V$2:$V$495&gt;=8)*('CONTROL MASTER'!$U$2:$U$495&lt;=2)*('CONTROL MASTER'!$W$2:$W$495&gt;=2))*ROW('CONTROL MASTER'!$S$2:$S$495))-(ROW('CONTROL MASTER'!#REF!)-1))))+1))-1)*50+1,50))&amp;"_"&amp;INDEX('CONTROL MASTER'!$P$2:$P$495,(SUMPRODUCT((('CONTROL MASTER'!$S$2:$S$495=12)*('CONTROL MASTER'!$T$2:$T$495&lt;=8)*('CONTROL MASTER'!$V$2:$V$495&gt;=8)*('CONTROL MASTER'!$U$2:$U$495&lt;=2)*('CONTROL MASTER'!$W$2:$W$495&gt;=2))*ROW('CONTROL MASTER'!$S$2:$S$495))-(ROW('CONTROL MASTER'!#REF!)-1))),IF(SUMPRODUCT((('CONTROL MASTER'!$S$2:$S$495=12)*('CONTROL MASTER'!$Z$2:$Z$495&lt;=8)*('CONTROL MASTER'!$AB$2:$AB$495&gt;=8)*('CONTROL MASTER'!$AA$2:$AA$495&lt;=2)*('CONTROL MASTER'!$AC$2:$AC$495&gt;=2))*ROW('CONTROL MASTER'!$S$2:$S$495))&gt;0,INDEX('CONTROL MASTER'!$X$2:$X$495,(SUMPRODUCT((('CONTROL MASTER'!$S$2:$S$495=12)*('CONTROL MASTER'!$Z$2:$Z$495&lt;=8)*('CONTROL MASTER'!$AB$2:$AB$495&gt;=8)*('CONTROL MASTER'!$AA$2:$AA$495&lt;=2)*('CONTROL MASTER'!$AC$2:$AC$495&gt;=2))*ROW('CONTROL MASTER'!$S$2:$S$495))-(ROW('CONTROL MASTER'!#REF!)-1)))&amp;TRIM(MID(SUBSTITUTE(SUBSTITUTE(INDEX('CONTROL MASTER'!$N$2:$N$495,(SUMPRODUCT((('CONTROL MASTER'!$S$2:$S$495=12)*('CONTROL MASTER'!$Z$2:$Z$495&lt;=8)*('CONTROL MASTER'!$AB$2:$AB$495&gt;=8)*('CONTROL MASTER'!$AA$2:$AA$495&lt;=2)*('CONTROL MASTER'!$AC$2:$AC$495&gt;=2))*ROW('CONTROL MASTER'!$S$2:$S$495))-(ROW('CONTROL MASTER'!#REF!)-1))),":",","),",",REPT(" ",50)),(((INDEX('CONTROL MASTER'!$Y$2:$Y$495,(SUMPRODUCT((('CONTROL MASTER'!$S$2:$S$495=12)*('CONTROL MASTER'!$Z$2:$Z$495&lt;=8)*('CONTROL MASTER'!$AB$2:$AB$495&gt;=8)*('CONTROL MASTER'!$AA$2:$AA$495&lt;=2)*('CONTROL MASTER'!$AC$2:$AC$495&gt;=2))*ROW('CONTROL MASTER'!$S$2:$S$495))-(ROW('CONTROL MASTER'!#REF!)-1)))+((8-INDEX('CONTROL MASTER'!$Z$2:$Z$495,(SUMPRODUCT((('CONTROL MASTER'!$S$2:$S$495=12)*('CONTROL MASTER'!$Z$2:$Z$495&lt;=8)*('CONTROL MASTER'!$AB$2:$AB$495&gt;=8)*('CONTROL MASTER'!$AA$2:$AA$495&lt;=2)*('CONTROL MASTER'!$AC$2:$AC$495&gt;=2))*ROW('CONTROL MASTER'!$S$2:$S$495))-(ROW('CONTROL MASTER'!#REF!)-1))))*(INDEX('CONTROL MASTER'!$AC$2:$AC$495,(SUMPRODUCT((('CONTROL MASTER'!$S$2:$S$495=12)*('CONTROL MASTER'!$Z$2:$Z$495&lt;=8)*('CONTROL MASTER'!$AB$2:$AB$495&gt;=8)*('CONTROL MASTER'!$AA$2:$AA$495&lt;=2)*('CONTROL MASTER'!$AC$2:$AC$495&gt;=2))*ROW('CONTROL MASTER'!$S$2:$S$495))-(ROW('CONTROL MASTER'!#REF!)-1)))-INDEX('CONTROL MASTER'!$AA$2:$AA$495,(SUMPRODUCT((('CONTROL MASTER'!$S$2:$S$495=12)*('CONTROL MASTER'!$Z$2:$Z$495&lt;=8)*('CONTROL MASTER'!$AB$2:$AB$495&gt;=8)*('CONTROL MASTER'!$AA$2:$AA$495&lt;=2)*('CONTROL MASTER'!$AC$2:$AC$495&gt;=2))*ROW('CONTROL MASTER'!$S$2:$S$495))-(ROW('CONTROL MASTER'!#REF!)-1)))+1)+(2-INDEX('CONTROL MASTER'!$AA$2:$AA$495,(SUMPRODUCT((('CONTROL MASTER'!$S$2:$S$495=12)*('CONTROL MASTER'!$Z$2:$Z$495&lt;=8)*('CONTROL MASTER'!$AB$2:$AB$495&gt;=8)*('CONTROL MASTER'!$AA$2:$AA$495&lt;=2)*('CONTROL MASTER'!$AC$2:$AC$495&gt;=2))*ROW('CONTROL MASTER'!$S$2:$S$495))-(ROW('CONTROL MASTER'!#REF!)-1))))+1)))-1)*50+1,50))&amp;"_"&amp;INDEX('CONTROL MASTER'!$P$2:$P$495,(SUMPRODUCT((('CONTROL MASTER'!$S$2:$S$495=12)*('CONTROL MASTER'!$Z$2:$Z$495&lt;=8)*('CONTROL MASTER'!$AB$2:$AB$495&gt;=8)*('CONTROL MASTER'!$AA$2:$AA$495&lt;=2)*('CONTROL MASTER'!$AC$2:$AC$495&gt;=2))*ROW('CONTROL MASTER'!$S$2:$S$495))-(ROW('CONTROL MASTER'!#REF!)-1))),"")),"")</f>
        <v/>
      </c>
      <c r="D164" s="10" t="str">
        <f>IFERROR(IF(SUMPRODUCT((('CONTROL MASTER'!$S$2:$S$495=12)*('CONTROL MASTER'!$T$2:$T$495&lt;=8)*('CONTROL MASTER'!$V$2:$V$495&gt;=8)*('CONTROL MASTER'!$U$2:$U$495&lt;=3)*('CONTROL MASTER'!$W$2:$W$495&gt;=3))*ROW('CONTROL MASTER'!$S$2:$S$495))&gt;0,INDEX('CONTROL MASTER'!$X$2:$X$495,(SUMPRODUCT((('CONTROL MASTER'!$S$2:$S$495=12)*('CONTROL MASTER'!$T$2:$T$495&lt;=8)*('CONTROL MASTER'!$V$2:$V$495&gt;=8)*('CONTROL MASTER'!$U$2:$U$495&lt;=3)*('CONTROL MASTER'!$W$2:$W$495&gt;=3))*ROW('CONTROL MASTER'!$S$2:$S$495))-(ROW('CONTROL MASTER'!#REF!)-1)))&amp;TRIM(MID(SUBSTITUTE(SUBSTITUTE(INDEX('CONTROL MASTER'!$N$2:$N$495,(SUMPRODUCT((('CONTROL MASTER'!$S$2:$S$495=12)*('CONTROL MASTER'!$T$2:$T$495&lt;=8)*('CONTROL MASTER'!$V$2:$V$495&gt;=8)*('CONTROL MASTER'!$U$2:$U$495&lt;=3)*('CONTROL MASTER'!$W$2:$W$495&gt;=3))*ROW('CONTROL MASTER'!$S$2:$S$495))-(ROW('CONTROL MASTER'!#REF!)-1))),":",","),",",REPT(" ",50)),((((8-INDEX('CONTROL MASTER'!$T$2:$T$495,(SUMPRODUCT((('CONTROL MASTER'!$S$2:$S$495=12)*('CONTROL MASTER'!$T$2:$T$495&lt;=8)*('CONTROL MASTER'!$V$2:$V$495&gt;=8)*('CONTROL MASTER'!$U$2:$U$495&lt;=3)*('CONTROL MASTER'!$W$2:$W$495&gt;=3))*ROW('CONTROL MASTER'!$S$2:$S$495))-(ROW('CONTROL MASTER'!#REF!)-1))))*(INDEX('CONTROL MASTER'!$W$2:$W$495,(SUMPRODUCT((('CONTROL MASTER'!$S$2:$S$495=12)*('CONTROL MASTER'!$T$2:$T$495&lt;=8)*('CONTROL MASTER'!$V$2:$V$495&gt;=8)*('CONTROL MASTER'!$U$2:$U$495&lt;=3)*('CONTROL MASTER'!$W$2:$W$495&gt;=3))*ROW('CONTROL MASTER'!$S$2:$S$495))-(ROW('CONTROL MASTER'!#REF!)-1)))-INDEX('CONTROL MASTER'!$U$2:$U$495,(SUMPRODUCT((('CONTROL MASTER'!$S$2:$S$495=12)*('CONTROL MASTER'!$T$2:$T$495&lt;=8)*('CONTROL MASTER'!$V$2:$V$495&gt;=8)*('CONTROL MASTER'!$U$2:$U$495&lt;=3)*('CONTROL MASTER'!$W$2:$W$495&gt;=3))*ROW('CONTROL MASTER'!$S$2:$S$495))-(ROW('CONTROL MASTER'!#REF!)-1)))+1)+(3-INDEX('CONTROL MASTER'!$U$2:$U$495,(SUMPRODUCT((('CONTROL MASTER'!$S$2:$S$495=12)*('CONTROL MASTER'!$T$2:$T$495&lt;=8)*('CONTROL MASTER'!$V$2:$V$495&gt;=8)*('CONTROL MASTER'!$U$2:$U$495&lt;=3)*('CONTROL MASTER'!$W$2:$W$495&gt;=3))*ROW('CONTROL MASTER'!$S$2:$S$495))-(ROW('CONTROL MASTER'!#REF!)-1))))+1))-1)*50+1,50))&amp;"_"&amp;INDEX('CONTROL MASTER'!$P$2:$P$495,(SUMPRODUCT((('CONTROL MASTER'!$S$2:$S$495=12)*('CONTROL MASTER'!$T$2:$T$495&lt;=8)*('CONTROL MASTER'!$V$2:$V$495&gt;=8)*('CONTROL MASTER'!$U$2:$U$495&lt;=3)*('CONTROL MASTER'!$W$2:$W$495&gt;=3))*ROW('CONTROL MASTER'!$S$2:$S$495))-(ROW('CONTROL MASTER'!#REF!)-1))),IF(SUMPRODUCT((('CONTROL MASTER'!$S$2:$S$495=12)*('CONTROL MASTER'!$Z$2:$Z$495&lt;=8)*('CONTROL MASTER'!$AB$2:$AB$495&gt;=8)*('CONTROL MASTER'!$AA$2:$AA$495&lt;=3)*('CONTROL MASTER'!$AC$2:$AC$495&gt;=3))*ROW('CONTROL MASTER'!$S$2:$S$495))&gt;0,INDEX('CONTROL MASTER'!$X$2:$X$495,(SUMPRODUCT((('CONTROL MASTER'!$S$2:$S$495=12)*('CONTROL MASTER'!$Z$2:$Z$495&lt;=8)*('CONTROL MASTER'!$AB$2:$AB$495&gt;=8)*('CONTROL MASTER'!$AA$2:$AA$495&lt;=3)*('CONTROL MASTER'!$AC$2:$AC$495&gt;=3))*ROW('CONTROL MASTER'!$S$2:$S$495))-(ROW('CONTROL MASTER'!#REF!)-1)))&amp;TRIM(MID(SUBSTITUTE(SUBSTITUTE(INDEX('CONTROL MASTER'!$N$2:$N$495,(SUMPRODUCT((('CONTROL MASTER'!$S$2:$S$495=12)*('CONTROL MASTER'!$Z$2:$Z$495&lt;=8)*('CONTROL MASTER'!$AB$2:$AB$495&gt;=8)*('CONTROL MASTER'!$AA$2:$AA$495&lt;=3)*('CONTROL MASTER'!$AC$2:$AC$495&gt;=3))*ROW('CONTROL MASTER'!$S$2:$S$495))-(ROW('CONTROL MASTER'!#REF!)-1))),":",","),",",REPT(" ",50)),(((INDEX('CONTROL MASTER'!$Y$2:$Y$495,(SUMPRODUCT((('CONTROL MASTER'!$S$2:$S$495=12)*('CONTROL MASTER'!$Z$2:$Z$495&lt;=8)*('CONTROL MASTER'!$AB$2:$AB$495&gt;=8)*('CONTROL MASTER'!$AA$2:$AA$495&lt;=3)*('CONTROL MASTER'!$AC$2:$AC$495&gt;=3))*ROW('CONTROL MASTER'!$S$2:$S$495))-(ROW('CONTROL MASTER'!#REF!)-1)))+((8-INDEX('CONTROL MASTER'!$Z$2:$Z$495,(SUMPRODUCT((('CONTROL MASTER'!$S$2:$S$495=12)*('CONTROL MASTER'!$Z$2:$Z$495&lt;=8)*('CONTROL MASTER'!$AB$2:$AB$495&gt;=8)*('CONTROL MASTER'!$AA$2:$AA$495&lt;=3)*('CONTROL MASTER'!$AC$2:$AC$495&gt;=3))*ROW('CONTROL MASTER'!$S$2:$S$495))-(ROW('CONTROL MASTER'!#REF!)-1))))*(INDEX('CONTROL MASTER'!$AC$2:$AC$495,(SUMPRODUCT((('CONTROL MASTER'!$S$2:$S$495=12)*('CONTROL MASTER'!$Z$2:$Z$495&lt;=8)*('CONTROL MASTER'!$AB$2:$AB$495&gt;=8)*('CONTROL MASTER'!$AA$2:$AA$495&lt;=3)*('CONTROL MASTER'!$AC$2:$AC$495&gt;=3))*ROW('CONTROL MASTER'!$S$2:$S$495))-(ROW('CONTROL MASTER'!#REF!)-1)))-INDEX('CONTROL MASTER'!$AA$2:$AA$495,(SUMPRODUCT((('CONTROL MASTER'!$S$2:$S$495=12)*('CONTROL MASTER'!$Z$2:$Z$495&lt;=8)*('CONTROL MASTER'!$AB$2:$AB$495&gt;=8)*('CONTROL MASTER'!$AA$2:$AA$495&lt;=3)*('CONTROL MASTER'!$AC$2:$AC$495&gt;=3))*ROW('CONTROL MASTER'!$S$2:$S$495))-(ROW('CONTROL MASTER'!#REF!)-1)))+1)+(3-INDEX('CONTROL MASTER'!$AA$2:$AA$495,(SUMPRODUCT((('CONTROL MASTER'!$S$2:$S$495=12)*('CONTROL MASTER'!$Z$2:$Z$495&lt;=8)*('CONTROL MASTER'!$AB$2:$AB$495&gt;=8)*('CONTROL MASTER'!$AA$2:$AA$495&lt;=3)*('CONTROL MASTER'!$AC$2:$AC$495&gt;=3))*ROW('CONTROL MASTER'!$S$2:$S$495))-(ROW('CONTROL MASTER'!#REF!)-1))))+1)))-1)*50+1,50))&amp;"_"&amp;INDEX('CONTROL MASTER'!$P$2:$P$495,(SUMPRODUCT((('CONTROL MASTER'!$S$2:$S$495=12)*('CONTROL MASTER'!$Z$2:$Z$495&lt;=8)*('CONTROL MASTER'!$AB$2:$AB$495&gt;=8)*('CONTROL MASTER'!$AA$2:$AA$495&lt;=3)*('CONTROL MASTER'!$AC$2:$AC$495&gt;=3))*ROW('CONTROL MASTER'!$S$2:$S$495))-(ROW('CONTROL MASTER'!#REF!)-1))),"")),"")</f>
        <v/>
      </c>
      <c r="E164" s="10" t="str">
        <f>IFERROR(IF(SUMPRODUCT((('CONTROL MASTER'!$S$2:$S$495=12)*('CONTROL MASTER'!$T$2:$T$495&lt;=8)*('CONTROL MASTER'!$V$2:$V$495&gt;=8)*('CONTROL MASTER'!$U$2:$U$495&lt;=4)*('CONTROL MASTER'!$W$2:$W$495&gt;=4))*ROW('CONTROL MASTER'!$S$2:$S$495))&gt;0,INDEX('CONTROL MASTER'!$X$2:$X$495,(SUMPRODUCT((('CONTROL MASTER'!$S$2:$S$495=12)*('CONTROL MASTER'!$T$2:$T$495&lt;=8)*('CONTROL MASTER'!$V$2:$V$495&gt;=8)*('CONTROL MASTER'!$U$2:$U$495&lt;=4)*('CONTROL MASTER'!$W$2:$W$495&gt;=4))*ROW('CONTROL MASTER'!$S$2:$S$495))-(ROW('CONTROL MASTER'!#REF!)-1)))&amp;TRIM(MID(SUBSTITUTE(SUBSTITUTE(INDEX('CONTROL MASTER'!$N$2:$N$495,(SUMPRODUCT((('CONTROL MASTER'!$S$2:$S$495=12)*('CONTROL MASTER'!$T$2:$T$495&lt;=8)*('CONTROL MASTER'!$V$2:$V$495&gt;=8)*('CONTROL MASTER'!$U$2:$U$495&lt;=4)*('CONTROL MASTER'!$W$2:$W$495&gt;=4))*ROW('CONTROL MASTER'!$S$2:$S$495))-(ROW('CONTROL MASTER'!#REF!)-1))),":",","),",",REPT(" ",50)),((((8-INDEX('CONTROL MASTER'!$T$2:$T$495,(SUMPRODUCT((('CONTROL MASTER'!$S$2:$S$495=12)*('CONTROL MASTER'!$T$2:$T$495&lt;=8)*('CONTROL MASTER'!$V$2:$V$495&gt;=8)*('CONTROL MASTER'!$U$2:$U$495&lt;=4)*('CONTROL MASTER'!$W$2:$W$495&gt;=4))*ROW('CONTROL MASTER'!$S$2:$S$495))-(ROW('CONTROL MASTER'!#REF!)-1))))*(INDEX('CONTROL MASTER'!$W$2:$W$495,(SUMPRODUCT((('CONTROL MASTER'!$S$2:$S$495=12)*('CONTROL MASTER'!$T$2:$T$495&lt;=8)*('CONTROL MASTER'!$V$2:$V$495&gt;=8)*('CONTROL MASTER'!$U$2:$U$495&lt;=4)*('CONTROL MASTER'!$W$2:$W$495&gt;=4))*ROW('CONTROL MASTER'!$S$2:$S$495))-(ROW('CONTROL MASTER'!#REF!)-1)))-INDEX('CONTROL MASTER'!$U$2:$U$495,(SUMPRODUCT((('CONTROL MASTER'!$S$2:$S$495=12)*('CONTROL MASTER'!$T$2:$T$495&lt;=8)*('CONTROL MASTER'!$V$2:$V$495&gt;=8)*('CONTROL MASTER'!$U$2:$U$495&lt;=4)*('CONTROL MASTER'!$W$2:$W$495&gt;=4))*ROW('CONTROL MASTER'!$S$2:$S$495))-(ROW('CONTROL MASTER'!#REF!)-1)))+1)+(4-INDEX('CONTROL MASTER'!$U$2:$U$495,(SUMPRODUCT((('CONTROL MASTER'!$S$2:$S$495=12)*('CONTROL MASTER'!$T$2:$T$495&lt;=8)*('CONTROL MASTER'!$V$2:$V$495&gt;=8)*('CONTROL MASTER'!$U$2:$U$495&lt;=4)*('CONTROL MASTER'!$W$2:$W$495&gt;=4))*ROW('CONTROL MASTER'!$S$2:$S$495))-(ROW('CONTROL MASTER'!#REF!)-1))))+1))-1)*50+1,50))&amp;"_"&amp;INDEX('CONTROL MASTER'!$P$2:$P$495,(SUMPRODUCT((('CONTROL MASTER'!$S$2:$S$495=12)*('CONTROL MASTER'!$T$2:$T$495&lt;=8)*('CONTROL MASTER'!$V$2:$V$495&gt;=8)*('CONTROL MASTER'!$U$2:$U$495&lt;=4)*('CONTROL MASTER'!$W$2:$W$495&gt;=4))*ROW('CONTROL MASTER'!$S$2:$S$495))-(ROW('CONTROL MASTER'!#REF!)-1))),IF(SUMPRODUCT((('CONTROL MASTER'!$S$2:$S$495=12)*('CONTROL MASTER'!$Z$2:$Z$495&lt;=8)*('CONTROL MASTER'!$AB$2:$AB$495&gt;=8)*('CONTROL MASTER'!$AA$2:$AA$495&lt;=4)*('CONTROL MASTER'!$AC$2:$AC$495&gt;=4))*ROW('CONTROL MASTER'!$S$2:$S$495))&gt;0,INDEX('CONTROL MASTER'!$X$2:$X$495,(SUMPRODUCT((('CONTROL MASTER'!$S$2:$S$495=12)*('CONTROL MASTER'!$Z$2:$Z$495&lt;=8)*('CONTROL MASTER'!$AB$2:$AB$495&gt;=8)*('CONTROL MASTER'!$AA$2:$AA$495&lt;=4)*('CONTROL MASTER'!$AC$2:$AC$495&gt;=4))*ROW('CONTROL MASTER'!$S$2:$S$495))-(ROW('CONTROL MASTER'!#REF!)-1)))&amp;TRIM(MID(SUBSTITUTE(SUBSTITUTE(INDEX('CONTROL MASTER'!$N$2:$N$495,(SUMPRODUCT((('CONTROL MASTER'!$S$2:$S$495=12)*('CONTROL MASTER'!$Z$2:$Z$495&lt;=8)*('CONTROL MASTER'!$AB$2:$AB$495&gt;=8)*('CONTROL MASTER'!$AA$2:$AA$495&lt;=4)*('CONTROL MASTER'!$AC$2:$AC$495&gt;=4))*ROW('CONTROL MASTER'!$S$2:$S$495))-(ROW('CONTROL MASTER'!#REF!)-1))),":",","),",",REPT(" ",50)),(((INDEX('CONTROL MASTER'!$Y$2:$Y$495,(SUMPRODUCT((('CONTROL MASTER'!$S$2:$S$495=12)*('CONTROL MASTER'!$Z$2:$Z$495&lt;=8)*('CONTROL MASTER'!$AB$2:$AB$495&gt;=8)*('CONTROL MASTER'!$AA$2:$AA$495&lt;=4)*('CONTROL MASTER'!$AC$2:$AC$495&gt;=4))*ROW('CONTROL MASTER'!$S$2:$S$495))-(ROW('CONTROL MASTER'!#REF!)-1)))+((8-INDEX('CONTROL MASTER'!$Z$2:$Z$495,(SUMPRODUCT((('CONTROL MASTER'!$S$2:$S$495=12)*('CONTROL MASTER'!$Z$2:$Z$495&lt;=8)*('CONTROL MASTER'!$AB$2:$AB$495&gt;=8)*('CONTROL MASTER'!$AA$2:$AA$495&lt;=4)*('CONTROL MASTER'!$AC$2:$AC$495&gt;=4))*ROW('CONTROL MASTER'!$S$2:$S$495))-(ROW('CONTROL MASTER'!#REF!)-1))))*(INDEX('CONTROL MASTER'!$AC$2:$AC$495,(SUMPRODUCT((('CONTROL MASTER'!$S$2:$S$495=12)*('CONTROL MASTER'!$Z$2:$Z$495&lt;=8)*('CONTROL MASTER'!$AB$2:$AB$495&gt;=8)*('CONTROL MASTER'!$AA$2:$AA$495&lt;=4)*('CONTROL MASTER'!$AC$2:$AC$495&gt;=4))*ROW('CONTROL MASTER'!$S$2:$S$495))-(ROW('CONTROL MASTER'!#REF!)-1)))-INDEX('CONTROL MASTER'!$AA$2:$AA$495,(SUMPRODUCT((('CONTROL MASTER'!$S$2:$S$495=12)*('CONTROL MASTER'!$Z$2:$Z$495&lt;=8)*('CONTROL MASTER'!$AB$2:$AB$495&gt;=8)*('CONTROL MASTER'!$AA$2:$AA$495&lt;=4)*('CONTROL MASTER'!$AC$2:$AC$495&gt;=4))*ROW('CONTROL MASTER'!$S$2:$S$495))-(ROW('CONTROL MASTER'!#REF!)-1)))+1)+(4-INDEX('CONTROL MASTER'!$AA$2:$AA$495,(SUMPRODUCT((('CONTROL MASTER'!$S$2:$S$495=12)*('CONTROL MASTER'!$Z$2:$Z$495&lt;=8)*('CONTROL MASTER'!$AB$2:$AB$495&gt;=8)*('CONTROL MASTER'!$AA$2:$AA$495&lt;=4)*('CONTROL MASTER'!$AC$2:$AC$495&gt;=4))*ROW('CONTROL MASTER'!$S$2:$S$495))-(ROW('CONTROL MASTER'!#REF!)-1))))+1)))-1)*50+1,50))&amp;"_"&amp;INDEX('CONTROL MASTER'!$P$2:$P$495,(SUMPRODUCT((('CONTROL MASTER'!$S$2:$S$495=12)*('CONTROL MASTER'!$Z$2:$Z$495&lt;=8)*('CONTROL MASTER'!$AB$2:$AB$495&gt;=8)*('CONTROL MASTER'!$AA$2:$AA$495&lt;=4)*('CONTROL MASTER'!$AC$2:$AC$495&gt;=4))*ROW('CONTROL MASTER'!$S$2:$S$495))-(ROW('CONTROL MASTER'!#REF!)-1))),"")),"")</f>
        <v/>
      </c>
      <c r="F164" s="10" t="str">
        <f>IFERROR(IF(SUMPRODUCT((('CONTROL MASTER'!$S$2:$S$495=12)*('CONTROL MASTER'!$T$2:$T$495&lt;=8)*('CONTROL MASTER'!$V$2:$V$495&gt;=8)*('CONTROL MASTER'!$U$2:$U$495&lt;=5)*('CONTROL MASTER'!$W$2:$W$495&gt;=5))*ROW('CONTROL MASTER'!$S$2:$S$495))&gt;0,INDEX('CONTROL MASTER'!$X$2:$X$495,(SUMPRODUCT((('CONTROL MASTER'!$S$2:$S$495=12)*('CONTROL MASTER'!$T$2:$T$495&lt;=8)*('CONTROL MASTER'!$V$2:$V$495&gt;=8)*('CONTROL MASTER'!$U$2:$U$495&lt;=5)*('CONTROL MASTER'!$W$2:$W$495&gt;=5))*ROW('CONTROL MASTER'!$S$2:$S$495))-(ROW('CONTROL MASTER'!#REF!)-1)))&amp;TRIM(MID(SUBSTITUTE(SUBSTITUTE(INDEX('CONTROL MASTER'!$N$2:$N$495,(SUMPRODUCT((('CONTROL MASTER'!$S$2:$S$495=12)*('CONTROL MASTER'!$T$2:$T$495&lt;=8)*('CONTROL MASTER'!$V$2:$V$495&gt;=8)*('CONTROL MASTER'!$U$2:$U$495&lt;=5)*('CONTROL MASTER'!$W$2:$W$495&gt;=5))*ROW('CONTROL MASTER'!$S$2:$S$495))-(ROW('CONTROL MASTER'!#REF!)-1))),":",","),",",REPT(" ",50)),((((8-INDEX('CONTROL MASTER'!$T$2:$T$495,(SUMPRODUCT((('CONTROL MASTER'!$S$2:$S$495=12)*('CONTROL MASTER'!$T$2:$T$495&lt;=8)*('CONTROL MASTER'!$V$2:$V$495&gt;=8)*('CONTROL MASTER'!$U$2:$U$495&lt;=5)*('CONTROL MASTER'!$W$2:$W$495&gt;=5))*ROW('CONTROL MASTER'!$S$2:$S$495))-(ROW('CONTROL MASTER'!#REF!)-1))))*(INDEX('CONTROL MASTER'!$W$2:$W$495,(SUMPRODUCT((('CONTROL MASTER'!$S$2:$S$495=12)*('CONTROL MASTER'!$T$2:$T$495&lt;=8)*('CONTROL MASTER'!$V$2:$V$495&gt;=8)*('CONTROL MASTER'!$U$2:$U$495&lt;=5)*('CONTROL MASTER'!$W$2:$W$495&gt;=5))*ROW('CONTROL MASTER'!$S$2:$S$495))-(ROW('CONTROL MASTER'!#REF!)-1)))-INDEX('CONTROL MASTER'!$U$2:$U$495,(SUMPRODUCT((('CONTROL MASTER'!$S$2:$S$495=12)*('CONTROL MASTER'!$T$2:$T$495&lt;=8)*('CONTROL MASTER'!$V$2:$V$495&gt;=8)*('CONTROL MASTER'!$U$2:$U$495&lt;=5)*('CONTROL MASTER'!$W$2:$W$495&gt;=5))*ROW('CONTROL MASTER'!$S$2:$S$495))-(ROW('CONTROL MASTER'!#REF!)-1)))+1)+(5-INDEX('CONTROL MASTER'!$U$2:$U$495,(SUMPRODUCT((('CONTROL MASTER'!$S$2:$S$495=12)*('CONTROL MASTER'!$T$2:$T$495&lt;=8)*('CONTROL MASTER'!$V$2:$V$495&gt;=8)*('CONTROL MASTER'!$U$2:$U$495&lt;=5)*('CONTROL MASTER'!$W$2:$W$495&gt;=5))*ROW('CONTROL MASTER'!$S$2:$S$495))-(ROW('CONTROL MASTER'!#REF!)-1))))+1))-1)*50+1,50))&amp;"_"&amp;INDEX('CONTROL MASTER'!$P$2:$P$495,(SUMPRODUCT((('CONTROL MASTER'!$S$2:$S$495=12)*('CONTROL MASTER'!$T$2:$T$495&lt;=8)*('CONTROL MASTER'!$V$2:$V$495&gt;=8)*('CONTROL MASTER'!$U$2:$U$495&lt;=5)*('CONTROL MASTER'!$W$2:$W$495&gt;=5))*ROW('CONTROL MASTER'!$S$2:$S$495))-(ROW('CONTROL MASTER'!#REF!)-1))),IF(SUMPRODUCT((('CONTROL MASTER'!$S$2:$S$495=12)*('CONTROL MASTER'!$Z$2:$Z$495&lt;=8)*('CONTROL MASTER'!$AB$2:$AB$495&gt;=8)*('CONTROL MASTER'!$AA$2:$AA$495&lt;=5)*('CONTROL MASTER'!$AC$2:$AC$495&gt;=5))*ROW('CONTROL MASTER'!$S$2:$S$495))&gt;0,INDEX('CONTROL MASTER'!$X$2:$X$495,(SUMPRODUCT((('CONTROL MASTER'!$S$2:$S$495=12)*('CONTROL MASTER'!$Z$2:$Z$495&lt;=8)*('CONTROL MASTER'!$AB$2:$AB$495&gt;=8)*('CONTROL MASTER'!$AA$2:$AA$495&lt;=5)*('CONTROL MASTER'!$AC$2:$AC$495&gt;=5))*ROW('CONTROL MASTER'!$S$2:$S$495))-(ROW('CONTROL MASTER'!#REF!)-1)))&amp;TRIM(MID(SUBSTITUTE(SUBSTITUTE(INDEX('CONTROL MASTER'!$N$2:$N$495,(SUMPRODUCT((('CONTROL MASTER'!$S$2:$S$495=12)*('CONTROL MASTER'!$Z$2:$Z$495&lt;=8)*('CONTROL MASTER'!$AB$2:$AB$495&gt;=8)*('CONTROL MASTER'!$AA$2:$AA$495&lt;=5)*('CONTROL MASTER'!$AC$2:$AC$495&gt;=5))*ROW('CONTROL MASTER'!$S$2:$S$495))-(ROW('CONTROL MASTER'!#REF!)-1))),":",","),",",REPT(" ",50)),(((INDEX('CONTROL MASTER'!$Y$2:$Y$495,(SUMPRODUCT((('CONTROL MASTER'!$S$2:$S$495=12)*('CONTROL MASTER'!$Z$2:$Z$495&lt;=8)*('CONTROL MASTER'!$AB$2:$AB$495&gt;=8)*('CONTROL MASTER'!$AA$2:$AA$495&lt;=5)*('CONTROL MASTER'!$AC$2:$AC$495&gt;=5))*ROW('CONTROL MASTER'!$S$2:$S$495))-(ROW('CONTROL MASTER'!#REF!)-1)))+((8-INDEX('CONTROL MASTER'!$Z$2:$Z$495,(SUMPRODUCT((('CONTROL MASTER'!$S$2:$S$495=12)*('CONTROL MASTER'!$Z$2:$Z$495&lt;=8)*('CONTROL MASTER'!$AB$2:$AB$495&gt;=8)*('CONTROL MASTER'!$AA$2:$AA$495&lt;=5)*('CONTROL MASTER'!$AC$2:$AC$495&gt;=5))*ROW('CONTROL MASTER'!$S$2:$S$495))-(ROW('CONTROL MASTER'!#REF!)-1))))*(INDEX('CONTROL MASTER'!$AC$2:$AC$495,(SUMPRODUCT((('CONTROL MASTER'!$S$2:$S$495=12)*('CONTROL MASTER'!$Z$2:$Z$495&lt;=8)*('CONTROL MASTER'!$AB$2:$AB$495&gt;=8)*('CONTROL MASTER'!$AA$2:$AA$495&lt;=5)*('CONTROL MASTER'!$AC$2:$AC$495&gt;=5))*ROW('CONTROL MASTER'!$S$2:$S$495))-(ROW('CONTROL MASTER'!#REF!)-1)))-INDEX('CONTROL MASTER'!$AA$2:$AA$495,(SUMPRODUCT((('CONTROL MASTER'!$S$2:$S$495=12)*('CONTROL MASTER'!$Z$2:$Z$495&lt;=8)*('CONTROL MASTER'!$AB$2:$AB$495&gt;=8)*('CONTROL MASTER'!$AA$2:$AA$495&lt;=5)*('CONTROL MASTER'!$AC$2:$AC$495&gt;=5))*ROW('CONTROL MASTER'!$S$2:$S$495))-(ROW('CONTROL MASTER'!#REF!)-1)))+1)+(5-INDEX('CONTROL MASTER'!$AA$2:$AA$495,(SUMPRODUCT((('CONTROL MASTER'!$S$2:$S$495=12)*('CONTROL MASTER'!$Z$2:$Z$495&lt;=8)*('CONTROL MASTER'!$AB$2:$AB$495&gt;=8)*('CONTROL MASTER'!$AA$2:$AA$495&lt;=5)*('CONTROL MASTER'!$AC$2:$AC$495&gt;=5))*ROW('CONTROL MASTER'!$S$2:$S$495))-(ROW('CONTROL MASTER'!#REF!)-1))))+1)))-1)*50+1,50))&amp;"_"&amp;INDEX('CONTROL MASTER'!$P$2:$P$495,(SUMPRODUCT((('CONTROL MASTER'!$S$2:$S$495=12)*('CONTROL MASTER'!$Z$2:$Z$495&lt;=8)*('CONTROL MASTER'!$AB$2:$AB$495&gt;=8)*('CONTROL MASTER'!$AA$2:$AA$495&lt;=5)*('CONTROL MASTER'!$AC$2:$AC$495&gt;=5))*ROW('CONTROL MASTER'!$S$2:$S$495))-(ROW('CONTROL MASTER'!#REF!)-1))),"")),"")</f>
        <v/>
      </c>
      <c r="G164" s="10" t="str">
        <f>IFERROR(IF(SUMPRODUCT((('CONTROL MASTER'!$S$2:$S$495=12)*('CONTROL MASTER'!$T$2:$T$495&lt;=8)*('CONTROL MASTER'!$V$2:$V$495&gt;=8)*('CONTROL MASTER'!$U$2:$U$495&lt;=6)*('CONTROL MASTER'!$W$2:$W$495&gt;=6))*ROW('CONTROL MASTER'!$S$2:$S$495))&gt;0,INDEX('CONTROL MASTER'!$X$2:$X$495,(SUMPRODUCT((('CONTROL MASTER'!$S$2:$S$495=12)*('CONTROL MASTER'!$T$2:$T$495&lt;=8)*('CONTROL MASTER'!$V$2:$V$495&gt;=8)*('CONTROL MASTER'!$U$2:$U$495&lt;=6)*('CONTROL MASTER'!$W$2:$W$495&gt;=6))*ROW('CONTROL MASTER'!$S$2:$S$495))-(ROW('CONTROL MASTER'!#REF!)-1)))&amp;TRIM(MID(SUBSTITUTE(SUBSTITUTE(INDEX('CONTROL MASTER'!$N$2:$N$495,(SUMPRODUCT((('CONTROL MASTER'!$S$2:$S$495=12)*('CONTROL MASTER'!$T$2:$T$495&lt;=8)*('CONTROL MASTER'!$V$2:$V$495&gt;=8)*('CONTROL MASTER'!$U$2:$U$495&lt;=6)*('CONTROL MASTER'!$W$2:$W$495&gt;=6))*ROW('CONTROL MASTER'!$S$2:$S$495))-(ROW('CONTROL MASTER'!#REF!)-1))),":",","),",",REPT(" ",50)),((((8-INDEX('CONTROL MASTER'!$T$2:$T$495,(SUMPRODUCT((('CONTROL MASTER'!$S$2:$S$495=12)*('CONTROL MASTER'!$T$2:$T$495&lt;=8)*('CONTROL MASTER'!$V$2:$V$495&gt;=8)*('CONTROL MASTER'!$U$2:$U$495&lt;=6)*('CONTROL MASTER'!$W$2:$W$495&gt;=6))*ROW('CONTROL MASTER'!$S$2:$S$495))-(ROW('CONTROL MASTER'!#REF!)-1))))*(INDEX('CONTROL MASTER'!$W$2:$W$495,(SUMPRODUCT((('CONTROL MASTER'!$S$2:$S$495=12)*('CONTROL MASTER'!$T$2:$T$495&lt;=8)*('CONTROL MASTER'!$V$2:$V$495&gt;=8)*('CONTROL MASTER'!$U$2:$U$495&lt;=6)*('CONTROL MASTER'!$W$2:$W$495&gt;=6))*ROW('CONTROL MASTER'!$S$2:$S$495))-(ROW('CONTROL MASTER'!#REF!)-1)))-INDEX('CONTROL MASTER'!$U$2:$U$495,(SUMPRODUCT((('CONTROL MASTER'!$S$2:$S$495=12)*('CONTROL MASTER'!$T$2:$T$495&lt;=8)*('CONTROL MASTER'!$V$2:$V$495&gt;=8)*('CONTROL MASTER'!$U$2:$U$495&lt;=6)*('CONTROL MASTER'!$W$2:$W$495&gt;=6))*ROW('CONTROL MASTER'!$S$2:$S$495))-(ROW('CONTROL MASTER'!#REF!)-1)))+1)+(6-INDEX('CONTROL MASTER'!$U$2:$U$495,(SUMPRODUCT((('CONTROL MASTER'!$S$2:$S$495=12)*('CONTROL MASTER'!$T$2:$T$495&lt;=8)*('CONTROL MASTER'!$V$2:$V$495&gt;=8)*('CONTROL MASTER'!$U$2:$U$495&lt;=6)*('CONTROL MASTER'!$W$2:$W$495&gt;=6))*ROW('CONTROL MASTER'!$S$2:$S$495))-(ROW('CONTROL MASTER'!#REF!)-1))))+1))-1)*50+1,50))&amp;"_"&amp;INDEX('CONTROL MASTER'!$P$2:$P$495,(SUMPRODUCT((('CONTROL MASTER'!$S$2:$S$495=12)*('CONTROL MASTER'!$T$2:$T$495&lt;=8)*('CONTROL MASTER'!$V$2:$V$495&gt;=8)*('CONTROL MASTER'!$U$2:$U$495&lt;=6)*('CONTROL MASTER'!$W$2:$W$495&gt;=6))*ROW('CONTROL MASTER'!$S$2:$S$495))-(ROW('CONTROL MASTER'!#REF!)-1))),IF(SUMPRODUCT((('CONTROL MASTER'!$S$2:$S$495=12)*('CONTROL MASTER'!$Z$2:$Z$495&lt;=8)*('CONTROL MASTER'!$AB$2:$AB$495&gt;=8)*('CONTROL MASTER'!$AA$2:$AA$495&lt;=6)*('CONTROL MASTER'!$AC$2:$AC$495&gt;=6))*ROW('CONTROL MASTER'!$S$2:$S$495))&gt;0,INDEX('CONTROL MASTER'!$X$2:$X$495,(SUMPRODUCT((('CONTROL MASTER'!$S$2:$S$495=12)*('CONTROL MASTER'!$Z$2:$Z$495&lt;=8)*('CONTROL MASTER'!$AB$2:$AB$495&gt;=8)*('CONTROL MASTER'!$AA$2:$AA$495&lt;=6)*('CONTROL MASTER'!$AC$2:$AC$495&gt;=6))*ROW('CONTROL MASTER'!$S$2:$S$495))-(ROW('CONTROL MASTER'!#REF!)-1)))&amp;TRIM(MID(SUBSTITUTE(SUBSTITUTE(INDEX('CONTROL MASTER'!$N$2:$N$495,(SUMPRODUCT((('CONTROL MASTER'!$S$2:$S$495=12)*('CONTROL MASTER'!$Z$2:$Z$495&lt;=8)*('CONTROL MASTER'!$AB$2:$AB$495&gt;=8)*('CONTROL MASTER'!$AA$2:$AA$495&lt;=6)*('CONTROL MASTER'!$AC$2:$AC$495&gt;=6))*ROW('CONTROL MASTER'!$S$2:$S$495))-(ROW('CONTROL MASTER'!#REF!)-1))),":",","),",",REPT(" ",50)),(((INDEX('CONTROL MASTER'!$Y$2:$Y$495,(SUMPRODUCT((('CONTROL MASTER'!$S$2:$S$495=12)*('CONTROL MASTER'!$Z$2:$Z$495&lt;=8)*('CONTROL MASTER'!$AB$2:$AB$495&gt;=8)*('CONTROL MASTER'!$AA$2:$AA$495&lt;=6)*('CONTROL MASTER'!$AC$2:$AC$495&gt;=6))*ROW('CONTROL MASTER'!$S$2:$S$495))-(ROW('CONTROL MASTER'!#REF!)-1)))+((8-INDEX('CONTROL MASTER'!$Z$2:$Z$495,(SUMPRODUCT((('CONTROL MASTER'!$S$2:$S$495=12)*('CONTROL MASTER'!$Z$2:$Z$495&lt;=8)*('CONTROL MASTER'!$AB$2:$AB$495&gt;=8)*('CONTROL MASTER'!$AA$2:$AA$495&lt;=6)*('CONTROL MASTER'!$AC$2:$AC$495&gt;=6))*ROW('CONTROL MASTER'!$S$2:$S$495))-(ROW('CONTROL MASTER'!#REF!)-1))))*(INDEX('CONTROL MASTER'!$AC$2:$AC$495,(SUMPRODUCT((('CONTROL MASTER'!$S$2:$S$495=12)*('CONTROL MASTER'!$Z$2:$Z$495&lt;=8)*('CONTROL MASTER'!$AB$2:$AB$495&gt;=8)*('CONTROL MASTER'!$AA$2:$AA$495&lt;=6)*('CONTROL MASTER'!$AC$2:$AC$495&gt;=6))*ROW('CONTROL MASTER'!$S$2:$S$495))-(ROW('CONTROL MASTER'!#REF!)-1)))-INDEX('CONTROL MASTER'!$AA$2:$AA$495,(SUMPRODUCT((('CONTROL MASTER'!$S$2:$S$495=12)*('CONTROL MASTER'!$Z$2:$Z$495&lt;=8)*('CONTROL MASTER'!$AB$2:$AB$495&gt;=8)*('CONTROL MASTER'!$AA$2:$AA$495&lt;=6)*('CONTROL MASTER'!$AC$2:$AC$495&gt;=6))*ROW('CONTROL MASTER'!$S$2:$S$495))-(ROW('CONTROL MASTER'!#REF!)-1)))+1)+(6-INDEX('CONTROL MASTER'!$AA$2:$AA$495,(SUMPRODUCT((('CONTROL MASTER'!$S$2:$S$495=12)*('CONTROL MASTER'!$Z$2:$Z$495&lt;=8)*('CONTROL MASTER'!$AB$2:$AB$495&gt;=8)*('CONTROL MASTER'!$AA$2:$AA$495&lt;=6)*('CONTROL MASTER'!$AC$2:$AC$495&gt;=6))*ROW('CONTROL MASTER'!$S$2:$S$495))-(ROW('CONTROL MASTER'!#REF!)-1))))+1)))-1)*50+1,50))&amp;"_"&amp;INDEX('CONTROL MASTER'!$P$2:$P$495,(SUMPRODUCT((('CONTROL MASTER'!$S$2:$S$495=12)*('CONTROL MASTER'!$Z$2:$Z$495&lt;=8)*('CONTROL MASTER'!$AB$2:$AB$495&gt;=8)*('CONTROL MASTER'!$AA$2:$AA$495&lt;=6)*('CONTROL MASTER'!$AC$2:$AC$495&gt;=6))*ROW('CONTROL MASTER'!$S$2:$S$495))-(ROW('CONTROL MASTER'!#REF!)-1))),"")),"")</f>
        <v/>
      </c>
      <c r="H164" s="10" t="str">
        <f>IFERROR(IF(SUMPRODUCT((('CONTROL MASTER'!$S$2:$S$495=12)*('CONTROL MASTER'!$T$2:$T$495&lt;=8)*('CONTROL MASTER'!$V$2:$V$495&gt;=8)*('CONTROL MASTER'!$U$2:$U$495&lt;=7)*('CONTROL MASTER'!$W$2:$W$495&gt;=7))*ROW('CONTROL MASTER'!$S$2:$S$495))&gt;0,INDEX('CONTROL MASTER'!$X$2:$X$495,(SUMPRODUCT((('CONTROL MASTER'!$S$2:$S$495=12)*('CONTROL MASTER'!$T$2:$T$495&lt;=8)*('CONTROL MASTER'!$V$2:$V$495&gt;=8)*('CONTROL MASTER'!$U$2:$U$495&lt;=7)*('CONTROL MASTER'!$W$2:$W$495&gt;=7))*ROW('CONTROL MASTER'!$S$2:$S$495))-(ROW('CONTROL MASTER'!#REF!)-1)))&amp;TRIM(MID(SUBSTITUTE(SUBSTITUTE(INDEX('CONTROL MASTER'!$N$2:$N$495,(SUMPRODUCT((('CONTROL MASTER'!$S$2:$S$495=12)*('CONTROL MASTER'!$T$2:$T$495&lt;=8)*('CONTROL MASTER'!$V$2:$V$495&gt;=8)*('CONTROL MASTER'!$U$2:$U$495&lt;=7)*('CONTROL MASTER'!$W$2:$W$495&gt;=7))*ROW('CONTROL MASTER'!$S$2:$S$495))-(ROW('CONTROL MASTER'!#REF!)-1))),":",","),",",REPT(" ",50)),((((8-INDEX('CONTROL MASTER'!$T$2:$T$495,(SUMPRODUCT((('CONTROL MASTER'!$S$2:$S$495=12)*('CONTROL MASTER'!$T$2:$T$495&lt;=8)*('CONTROL MASTER'!$V$2:$V$495&gt;=8)*('CONTROL MASTER'!$U$2:$U$495&lt;=7)*('CONTROL MASTER'!$W$2:$W$495&gt;=7))*ROW('CONTROL MASTER'!$S$2:$S$495))-(ROW('CONTROL MASTER'!#REF!)-1))))*(INDEX('CONTROL MASTER'!$W$2:$W$495,(SUMPRODUCT((('CONTROL MASTER'!$S$2:$S$495=12)*('CONTROL MASTER'!$T$2:$T$495&lt;=8)*('CONTROL MASTER'!$V$2:$V$495&gt;=8)*('CONTROL MASTER'!$U$2:$U$495&lt;=7)*('CONTROL MASTER'!$W$2:$W$495&gt;=7))*ROW('CONTROL MASTER'!$S$2:$S$495))-(ROW('CONTROL MASTER'!#REF!)-1)))-INDEX('CONTROL MASTER'!$U$2:$U$495,(SUMPRODUCT((('CONTROL MASTER'!$S$2:$S$495=12)*('CONTROL MASTER'!$T$2:$T$495&lt;=8)*('CONTROL MASTER'!$V$2:$V$495&gt;=8)*('CONTROL MASTER'!$U$2:$U$495&lt;=7)*('CONTROL MASTER'!$W$2:$W$495&gt;=7))*ROW('CONTROL MASTER'!$S$2:$S$495))-(ROW('CONTROL MASTER'!#REF!)-1)))+1)+(7-INDEX('CONTROL MASTER'!$U$2:$U$495,(SUMPRODUCT((('CONTROL MASTER'!$S$2:$S$495=12)*('CONTROL MASTER'!$T$2:$T$495&lt;=8)*('CONTROL MASTER'!$V$2:$V$495&gt;=8)*('CONTROL MASTER'!$U$2:$U$495&lt;=7)*('CONTROL MASTER'!$W$2:$W$495&gt;=7))*ROW('CONTROL MASTER'!$S$2:$S$495))-(ROW('CONTROL MASTER'!#REF!)-1))))+1))-1)*50+1,50))&amp;"_"&amp;INDEX('CONTROL MASTER'!$P$2:$P$495,(SUMPRODUCT((('CONTROL MASTER'!$S$2:$S$495=12)*('CONTROL MASTER'!$T$2:$T$495&lt;=8)*('CONTROL MASTER'!$V$2:$V$495&gt;=8)*('CONTROL MASTER'!$U$2:$U$495&lt;=7)*('CONTROL MASTER'!$W$2:$W$495&gt;=7))*ROW('CONTROL MASTER'!$S$2:$S$495))-(ROW('CONTROL MASTER'!#REF!)-1))),IF(SUMPRODUCT((('CONTROL MASTER'!$S$2:$S$495=12)*('CONTROL MASTER'!$Z$2:$Z$495&lt;=8)*('CONTROL MASTER'!$AB$2:$AB$495&gt;=8)*('CONTROL MASTER'!$AA$2:$AA$495&lt;=7)*('CONTROL MASTER'!$AC$2:$AC$495&gt;=7))*ROW('CONTROL MASTER'!$S$2:$S$495))&gt;0,INDEX('CONTROL MASTER'!$X$2:$X$495,(SUMPRODUCT((('CONTROL MASTER'!$S$2:$S$495=12)*('CONTROL MASTER'!$Z$2:$Z$495&lt;=8)*('CONTROL MASTER'!$AB$2:$AB$495&gt;=8)*('CONTROL MASTER'!$AA$2:$AA$495&lt;=7)*('CONTROL MASTER'!$AC$2:$AC$495&gt;=7))*ROW('CONTROL MASTER'!$S$2:$S$495))-(ROW('CONTROL MASTER'!#REF!)-1)))&amp;TRIM(MID(SUBSTITUTE(SUBSTITUTE(INDEX('CONTROL MASTER'!$N$2:$N$495,(SUMPRODUCT((('CONTROL MASTER'!$S$2:$S$495=12)*('CONTROL MASTER'!$Z$2:$Z$495&lt;=8)*('CONTROL MASTER'!$AB$2:$AB$495&gt;=8)*('CONTROL MASTER'!$AA$2:$AA$495&lt;=7)*('CONTROL MASTER'!$AC$2:$AC$495&gt;=7))*ROW('CONTROL MASTER'!$S$2:$S$495))-(ROW('CONTROL MASTER'!#REF!)-1))),":",","),",",REPT(" ",50)),(((INDEX('CONTROL MASTER'!$Y$2:$Y$495,(SUMPRODUCT((('CONTROL MASTER'!$S$2:$S$495=12)*('CONTROL MASTER'!$Z$2:$Z$495&lt;=8)*('CONTROL MASTER'!$AB$2:$AB$495&gt;=8)*('CONTROL MASTER'!$AA$2:$AA$495&lt;=7)*('CONTROL MASTER'!$AC$2:$AC$495&gt;=7))*ROW('CONTROL MASTER'!$S$2:$S$495))-(ROW('CONTROL MASTER'!#REF!)-1)))+((8-INDEX('CONTROL MASTER'!$Z$2:$Z$495,(SUMPRODUCT((('CONTROL MASTER'!$S$2:$S$495=12)*('CONTROL MASTER'!$Z$2:$Z$495&lt;=8)*('CONTROL MASTER'!$AB$2:$AB$495&gt;=8)*('CONTROL MASTER'!$AA$2:$AA$495&lt;=7)*('CONTROL MASTER'!$AC$2:$AC$495&gt;=7))*ROW('CONTROL MASTER'!$S$2:$S$495))-(ROW('CONTROL MASTER'!#REF!)-1))))*(INDEX('CONTROL MASTER'!$AC$2:$AC$495,(SUMPRODUCT((('CONTROL MASTER'!$S$2:$S$495=12)*('CONTROL MASTER'!$Z$2:$Z$495&lt;=8)*('CONTROL MASTER'!$AB$2:$AB$495&gt;=8)*('CONTROL MASTER'!$AA$2:$AA$495&lt;=7)*('CONTROL MASTER'!$AC$2:$AC$495&gt;=7))*ROW('CONTROL MASTER'!$S$2:$S$495))-(ROW('CONTROL MASTER'!#REF!)-1)))-INDEX('CONTROL MASTER'!$AA$2:$AA$495,(SUMPRODUCT((('CONTROL MASTER'!$S$2:$S$495=12)*('CONTROL MASTER'!$Z$2:$Z$495&lt;=8)*('CONTROL MASTER'!$AB$2:$AB$495&gt;=8)*('CONTROL MASTER'!$AA$2:$AA$495&lt;=7)*('CONTROL MASTER'!$AC$2:$AC$495&gt;=7))*ROW('CONTROL MASTER'!$S$2:$S$495))-(ROW('CONTROL MASTER'!#REF!)-1)))+1)+(7-INDEX('CONTROL MASTER'!$AA$2:$AA$495,(SUMPRODUCT((('CONTROL MASTER'!$S$2:$S$495=12)*('CONTROL MASTER'!$Z$2:$Z$495&lt;=8)*('CONTROL MASTER'!$AB$2:$AB$495&gt;=8)*('CONTROL MASTER'!$AA$2:$AA$495&lt;=7)*('CONTROL MASTER'!$AC$2:$AC$495&gt;=7))*ROW('CONTROL MASTER'!$S$2:$S$495))-(ROW('CONTROL MASTER'!#REF!)-1))))+1)))-1)*50+1,50))&amp;"_"&amp;INDEX('CONTROL MASTER'!$P$2:$P$495,(SUMPRODUCT((('CONTROL MASTER'!$S$2:$S$495=12)*('CONTROL MASTER'!$Z$2:$Z$495&lt;=8)*('CONTROL MASTER'!$AB$2:$AB$495&gt;=8)*('CONTROL MASTER'!$AA$2:$AA$495&lt;=7)*('CONTROL MASTER'!$AC$2:$AC$495&gt;=7))*ROW('CONTROL MASTER'!$S$2:$S$495))-(ROW('CONTROL MASTER'!#REF!)-1))),"")),"")</f>
        <v/>
      </c>
      <c r="I164" s="10" t="str">
        <f>IFERROR(IF(SUMPRODUCT((('CONTROL MASTER'!$S$2:$S$495=12)*('CONTROL MASTER'!$T$2:$T$495&lt;=8)*('CONTROL MASTER'!$V$2:$V$495&gt;=8)*('CONTROL MASTER'!$U$2:$U$495&lt;=8)*('CONTROL MASTER'!$W$2:$W$495&gt;=8))*ROW('CONTROL MASTER'!$S$2:$S$495))&gt;0,INDEX('CONTROL MASTER'!$X$2:$X$495,(SUMPRODUCT((('CONTROL MASTER'!$S$2:$S$495=12)*('CONTROL MASTER'!$T$2:$T$495&lt;=8)*('CONTROL MASTER'!$V$2:$V$495&gt;=8)*('CONTROL MASTER'!$U$2:$U$495&lt;=8)*('CONTROL MASTER'!$W$2:$W$495&gt;=8))*ROW('CONTROL MASTER'!$S$2:$S$495))-(ROW('CONTROL MASTER'!#REF!)-1)))&amp;TRIM(MID(SUBSTITUTE(SUBSTITUTE(INDEX('CONTROL MASTER'!$N$2:$N$495,(SUMPRODUCT((('CONTROL MASTER'!$S$2:$S$495=12)*('CONTROL MASTER'!$T$2:$T$495&lt;=8)*('CONTROL MASTER'!$V$2:$V$495&gt;=8)*('CONTROL MASTER'!$U$2:$U$495&lt;=8)*('CONTROL MASTER'!$W$2:$W$495&gt;=8))*ROW('CONTROL MASTER'!$S$2:$S$495))-(ROW('CONTROL MASTER'!#REF!)-1))),":",","),",",REPT(" ",50)),((((8-INDEX('CONTROL MASTER'!$T$2:$T$495,(SUMPRODUCT((('CONTROL MASTER'!$S$2:$S$495=12)*('CONTROL MASTER'!$T$2:$T$495&lt;=8)*('CONTROL MASTER'!$V$2:$V$495&gt;=8)*('CONTROL MASTER'!$U$2:$U$495&lt;=8)*('CONTROL MASTER'!$W$2:$W$495&gt;=8))*ROW('CONTROL MASTER'!$S$2:$S$495))-(ROW('CONTROL MASTER'!#REF!)-1))))*(INDEX('CONTROL MASTER'!$W$2:$W$495,(SUMPRODUCT((('CONTROL MASTER'!$S$2:$S$495=12)*('CONTROL MASTER'!$T$2:$T$495&lt;=8)*('CONTROL MASTER'!$V$2:$V$495&gt;=8)*('CONTROL MASTER'!$U$2:$U$495&lt;=8)*('CONTROL MASTER'!$W$2:$W$495&gt;=8))*ROW('CONTROL MASTER'!$S$2:$S$495))-(ROW('CONTROL MASTER'!#REF!)-1)))-INDEX('CONTROL MASTER'!$U$2:$U$495,(SUMPRODUCT((('CONTROL MASTER'!$S$2:$S$495=12)*('CONTROL MASTER'!$T$2:$T$495&lt;=8)*('CONTROL MASTER'!$V$2:$V$495&gt;=8)*('CONTROL MASTER'!$U$2:$U$495&lt;=8)*('CONTROL MASTER'!$W$2:$W$495&gt;=8))*ROW('CONTROL MASTER'!$S$2:$S$495))-(ROW('CONTROL MASTER'!#REF!)-1)))+1)+(8-INDEX('CONTROL MASTER'!$U$2:$U$495,(SUMPRODUCT((('CONTROL MASTER'!$S$2:$S$495=12)*('CONTROL MASTER'!$T$2:$T$495&lt;=8)*('CONTROL MASTER'!$V$2:$V$495&gt;=8)*('CONTROL MASTER'!$U$2:$U$495&lt;=8)*('CONTROL MASTER'!$W$2:$W$495&gt;=8))*ROW('CONTROL MASTER'!$S$2:$S$495))-(ROW('CONTROL MASTER'!#REF!)-1))))+1))-1)*50+1,50))&amp;"_"&amp;INDEX('CONTROL MASTER'!$P$2:$P$495,(SUMPRODUCT((('CONTROL MASTER'!$S$2:$S$495=12)*('CONTROL MASTER'!$T$2:$T$495&lt;=8)*('CONTROL MASTER'!$V$2:$V$495&gt;=8)*('CONTROL MASTER'!$U$2:$U$495&lt;=8)*('CONTROL MASTER'!$W$2:$W$495&gt;=8))*ROW('CONTROL MASTER'!$S$2:$S$495))-(ROW('CONTROL MASTER'!#REF!)-1))),IF(SUMPRODUCT((('CONTROL MASTER'!$S$2:$S$495=12)*('CONTROL MASTER'!$Z$2:$Z$495&lt;=8)*('CONTROL MASTER'!$AB$2:$AB$495&gt;=8)*('CONTROL MASTER'!$AA$2:$AA$495&lt;=8)*('CONTROL MASTER'!$AC$2:$AC$495&gt;=8))*ROW('CONTROL MASTER'!$S$2:$S$495))&gt;0,INDEX('CONTROL MASTER'!$X$2:$X$495,(SUMPRODUCT((('CONTROL MASTER'!$S$2:$S$495=12)*('CONTROL MASTER'!$Z$2:$Z$495&lt;=8)*('CONTROL MASTER'!$AB$2:$AB$495&gt;=8)*('CONTROL MASTER'!$AA$2:$AA$495&lt;=8)*('CONTROL MASTER'!$AC$2:$AC$495&gt;=8))*ROW('CONTROL MASTER'!$S$2:$S$495))-(ROW('CONTROL MASTER'!#REF!)-1)))&amp;TRIM(MID(SUBSTITUTE(SUBSTITUTE(INDEX('CONTROL MASTER'!$N$2:$N$495,(SUMPRODUCT((('CONTROL MASTER'!$S$2:$S$495=12)*('CONTROL MASTER'!$Z$2:$Z$495&lt;=8)*('CONTROL MASTER'!$AB$2:$AB$495&gt;=8)*('CONTROL MASTER'!$AA$2:$AA$495&lt;=8)*('CONTROL MASTER'!$AC$2:$AC$495&gt;=8))*ROW('CONTROL MASTER'!$S$2:$S$495))-(ROW('CONTROL MASTER'!#REF!)-1))),":",","),",",REPT(" ",50)),(((INDEX('CONTROL MASTER'!$Y$2:$Y$495,(SUMPRODUCT((('CONTROL MASTER'!$S$2:$S$495=12)*('CONTROL MASTER'!$Z$2:$Z$495&lt;=8)*('CONTROL MASTER'!$AB$2:$AB$495&gt;=8)*('CONTROL MASTER'!$AA$2:$AA$495&lt;=8)*('CONTROL MASTER'!$AC$2:$AC$495&gt;=8))*ROW('CONTROL MASTER'!$S$2:$S$495))-(ROW('CONTROL MASTER'!#REF!)-1)))+((8-INDEX('CONTROL MASTER'!$Z$2:$Z$495,(SUMPRODUCT((('CONTROL MASTER'!$S$2:$S$495=12)*('CONTROL MASTER'!$Z$2:$Z$495&lt;=8)*('CONTROL MASTER'!$AB$2:$AB$495&gt;=8)*('CONTROL MASTER'!$AA$2:$AA$495&lt;=8)*('CONTROL MASTER'!$AC$2:$AC$495&gt;=8))*ROW('CONTROL MASTER'!$S$2:$S$495))-(ROW('CONTROL MASTER'!#REF!)-1))))*(INDEX('CONTROL MASTER'!$AC$2:$AC$495,(SUMPRODUCT((('CONTROL MASTER'!$S$2:$S$495=12)*('CONTROL MASTER'!$Z$2:$Z$495&lt;=8)*('CONTROL MASTER'!$AB$2:$AB$495&gt;=8)*('CONTROL MASTER'!$AA$2:$AA$495&lt;=8)*('CONTROL MASTER'!$AC$2:$AC$495&gt;=8))*ROW('CONTROL MASTER'!$S$2:$S$495))-(ROW('CONTROL MASTER'!#REF!)-1)))-INDEX('CONTROL MASTER'!$AA$2:$AA$495,(SUMPRODUCT((('CONTROL MASTER'!$S$2:$S$495=12)*('CONTROL MASTER'!$Z$2:$Z$495&lt;=8)*('CONTROL MASTER'!$AB$2:$AB$495&gt;=8)*('CONTROL MASTER'!$AA$2:$AA$495&lt;=8)*('CONTROL MASTER'!$AC$2:$AC$495&gt;=8))*ROW('CONTROL MASTER'!$S$2:$S$495))-(ROW('CONTROL MASTER'!#REF!)-1)))+1)+(8-INDEX('CONTROL MASTER'!$AA$2:$AA$495,(SUMPRODUCT((('CONTROL MASTER'!$S$2:$S$495=12)*('CONTROL MASTER'!$Z$2:$Z$495&lt;=8)*('CONTROL MASTER'!$AB$2:$AB$495&gt;=8)*('CONTROL MASTER'!$AA$2:$AA$495&lt;=8)*('CONTROL MASTER'!$AC$2:$AC$495&gt;=8))*ROW('CONTROL MASTER'!$S$2:$S$495))-(ROW('CONTROL MASTER'!#REF!)-1))))+1)))-1)*50+1,50))&amp;"_"&amp;INDEX('CONTROL MASTER'!$P$2:$P$495,(SUMPRODUCT((('CONTROL MASTER'!$S$2:$S$495=12)*('CONTROL MASTER'!$Z$2:$Z$495&lt;=8)*('CONTROL MASTER'!$AB$2:$AB$495&gt;=8)*('CONTROL MASTER'!$AA$2:$AA$495&lt;=8)*('CONTROL MASTER'!$AC$2:$AC$495&gt;=8))*ROW('CONTROL MASTER'!$S$2:$S$495))-(ROW('CONTROL MASTER'!#REF!)-1))),"")),"")</f>
        <v/>
      </c>
      <c r="J164" s="10" t="str">
        <f>IFERROR(IF(SUMPRODUCT((('CONTROL MASTER'!$S$2:$S$495=12)*('CONTROL MASTER'!$T$2:$T$495&lt;=8)*('CONTROL MASTER'!$V$2:$V$495&gt;=8)*('CONTROL MASTER'!$U$2:$U$495&lt;=9)*('CONTROL MASTER'!$W$2:$W$495&gt;=9))*ROW('CONTROL MASTER'!$S$2:$S$495))&gt;0,INDEX('CONTROL MASTER'!$X$2:$X$495,(SUMPRODUCT((('CONTROL MASTER'!$S$2:$S$495=12)*('CONTROL MASTER'!$T$2:$T$495&lt;=8)*('CONTROL MASTER'!$V$2:$V$495&gt;=8)*('CONTROL MASTER'!$U$2:$U$495&lt;=9)*('CONTROL MASTER'!$W$2:$W$495&gt;=9))*ROW('CONTROL MASTER'!$S$2:$S$495))-(ROW('CONTROL MASTER'!#REF!)-1)))&amp;TRIM(MID(SUBSTITUTE(SUBSTITUTE(INDEX('CONTROL MASTER'!$N$2:$N$495,(SUMPRODUCT((('CONTROL MASTER'!$S$2:$S$495=12)*('CONTROL MASTER'!$T$2:$T$495&lt;=8)*('CONTROL MASTER'!$V$2:$V$495&gt;=8)*('CONTROL MASTER'!$U$2:$U$495&lt;=9)*('CONTROL MASTER'!$W$2:$W$495&gt;=9))*ROW('CONTROL MASTER'!$S$2:$S$495))-(ROW('CONTROL MASTER'!#REF!)-1))),":",","),",",REPT(" ",50)),((((8-INDEX('CONTROL MASTER'!$T$2:$T$495,(SUMPRODUCT((('CONTROL MASTER'!$S$2:$S$495=12)*('CONTROL MASTER'!$T$2:$T$495&lt;=8)*('CONTROL MASTER'!$V$2:$V$495&gt;=8)*('CONTROL MASTER'!$U$2:$U$495&lt;=9)*('CONTROL MASTER'!$W$2:$W$495&gt;=9))*ROW('CONTROL MASTER'!$S$2:$S$495))-(ROW('CONTROL MASTER'!#REF!)-1))))*(INDEX('CONTROL MASTER'!$W$2:$W$495,(SUMPRODUCT((('CONTROL MASTER'!$S$2:$S$495=12)*('CONTROL MASTER'!$T$2:$T$495&lt;=8)*('CONTROL MASTER'!$V$2:$V$495&gt;=8)*('CONTROL MASTER'!$U$2:$U$495&lt;=9)*('CONTROL MASTER'!$W$2:$W$495&gt;=9))*ROW('CONTROL MASTER'!$S$2:$S$495))-(ROW('CONTROL MASTER'!#REF!)-1)))-INDEX('CONTROL MASTER'!$U$2:$U$495,(SUMPRODUCT((('CONTROL MASTER'!$S$2:$S$495=12)*('CONTROL MASTER'!$T$2:$T$495&lt;=8)*('CONTROL MASTER'!$V$2:$V$495&gt;=8)*('CONTROL MASTER'!$U$2:$U$495&lt;=9)*('CONTROL MASTER'!$W$2:$W$495&gt;=9))*ROW('CONTROL MASTER'!$S$2:$S$495))-(ROW('CONTROL MASTER'!#REF!)-1)))+1)+(9-INDEX('CONTROL MASTER'!$U$2:$U$495,(SUMPRODUCT((('CONTROL MASTER'!$S$2:$S$495=12)*('CONTROL MASTER'!$T$2:$T$495&lt;=8)*('CONTROL MASTER'!$V$2:$V$495&gt;=8)*('CONTROL MASTER'!$U$2:$U$495&lt;=9)*('CONTROL MASTER'!$W$2:$W$495&gt;=9))*ROW('CONTROL MASTER'!$S$2:$S$495))-(ROW('CONTROL MASTER'!#REF!)-1))))+1))-1)*50+1,50))&amp;"_"&amp;INDEX('CONTROL MASTER'!$P$2:$P$495,(SUMPRODUCT((('CONTROL MASTER'!$S$2:$S$495=12)*('CONTROL MASTER'!$T$2:$T$495&lt;=8)*('CONTROL MASTER'!$V$2:$V$495&gt;=8)*('CONTROL MASTER'!$U$2:$U$495&lt;=9)*('CONTROL MASTER'!$W$2:$W$495&gt;=9))*ROW('CONTROL MASTER'!$S$2:$S$495))-(ROW('CONTROL MASTER'!#REF!)-1))),IF(SUMPRODUCT((('CONTROL MASTER'!$S$2:$S$495=12)*('CONTROL MASTER'!$Z$2:$Z$495&lt;=8)*('CONTROL MASTER'!$AB$2:$AB$495&gt;=8)*('CONTROL MASTER'!$AA$2:$AA$495&lt;=9)*('CONTROL MASTER'!$AC$2:$AC$495&gt;=9))*ROW('CONTROL MASTER'!$S$2:$S$495))&gt;0,INDEX('CONTROL MASTER'!$X$2:$X$495,(SUMPRODUCT((('CONTROL MASTER'!$S$2:$S$495=12)*('CONTROL MASTER'!$Z$2:$Z$495&lt;=8)*('CONTROL MASTER'!$AB$2:$AB$495&gt;=8)*('CONTROL MASTER'!$AA$2:$AA$495&lt;=9)*('CONTROL MASTER'!$AC$2:$AC$495&gt;=9))*ROW('CONTROL MASTER'!$S$2:$S$495))-(ROW('CONTROL MASTER'!#REF!)-1)))&amp;TRIM(MID(SUBSTITUTE(SUBSTITUTE(INDEX('CONTROL MASTER'!$N$2:$N$495,(SUMPRODUCT((('CONTROL MASTER'!$S$2:$S$495=12)*('CONTROL MASTER'!$Z$2:$Z$495&lt;=8)*('CONTROL MASTER'!$AB$2:$AB$495&gt;=8)*('CONTROL MASTER'!$AA$2:$AA$495&lt;=9)*('CONTROL MASTER'!$AC$2:$AC$495&gt;=9))*ROW('CONTROL MASTER'!$S$2:$S$495))-(ROW('CONTROL MASTER'!#REF!)-1))),":",","),",",REPT(" ",50)),(((INDEX('CONTROL MASTER'!$Y$2:$Y$495,(SUMPRODUCT((('CONTROL MASTER'!$S$2:$S$495=12)*('CONTROL MASTER'!$Z$2:$Z$495&lt;=8)*('CONTROL MASTER'!$AB$2:$AB$495&gt;=8)*('CONTROL MASTER'!$AA$2:$AA$495&lt;=9)*('CONTROL MASTER'!$AC$2:$AC$495&gt;=9))*ROW('CONTROL MASTER'!$S$2:$S$495))-(ROW('CONTROL MASTER'!#REF!)-1)))+((8-INDEX('CONTROL MASTER'!$Z$2:$Z$495,(SUMPRODUCT((('CONTROL MASTER'!$S$2:$S$495=12)*('CONTROL MASTER'!$Z$2:$Z$495&lt;=8)*('CONTROL MASTER'!$AB$2:$AB$495&gt;=8)*('CONTROL MASTER'!$AA$2:$AA$495&lt;=9)*('CONTROL MASTER'!$AC$2:$AC$495&gt;=9))*ROW('CONTROL MASTER'!$S$2:$S$495))-(ROW('CONTROL MASTER'!#REF!)-1))))*(INDEX('CONTROL MASTER'!$AC$2:$AC$495,(SUMPRODUCT((('CONTROL MASTER'!$S$2:$S$495=12)*('CONTROL MASTER'!$Z$2:$Z$495&lt;=8)*('CONTROL MASTER'!$AB$2:$AB$495&gt;=8)*('CONTROL MASTER'!$AA$2:$AA$495&lt;=9)*('CONTROL MASTER'!$AC$2:$AC$495&gt;=9))*ROW('CONTROL MASTER'!$S$2:$S$495))-(ROW('CONTROL MASTER'!#REF!)-1)))-INDEX('CONTROL MASTER'!$AA$2:$AA$495,(SUMPRODUCT((('CONTROL MASTER'!$S$2:$S$495=12)*('CONTROL MASTER'!$Z$2:$Z$495&lt;=8)*('CONTROL MASTER'!$AB$2:$AB$495&gt;=8)*('CONTROL MASTER'!$AA$2:$AA$495&lt;=9)*('CONTROL MASTER'!$AC$2:$AC$495&gt;=9))*ROW('CONTROL MASTER'!$S$2:$S$495))-(ROW('CONTROL MASTER'!#REF!)-1)))+1)+(9-INDEX('CONTROL MASTER'!$AA$2:$AA$495,(SUMPRODUCT((('CONTROL MASTER'!$S$2:$S$495=12)*('CONTROL MASTER'!$Z$2:$Z$495&lt;=8)*('CONTROL MASTER'!$AB$2:$AB$495&gt;=8)*('CONTROL MASTER'!$AA$2:$AA$495&lt;=9)*('CONTROL MASTER'!$AC$2:$AC$495&gt;=9))*ROW('CONTROL MASTER'!$S$2:$S$495))-(ROW('CONTROL MASTER'!#REF!)-1))))+1)))-1)*50+1,50))&amp;"_"&amp;INDEX('CONTROL MASTER'!$P$2:$P$495,(SUMPRODUCT((('CONTROL MASTER'!$S$2:$S$495=12)*('CONTROL MASTER'!$Z$2:$Z$495&lt;=8)*('CONTROL MASTER'!$AB$2:$AB$495&gt;=8)*('CONTROL MASTER'!$AA$2:$AA$495&lt;=9)*('CONTROL MASTER'!$AC$2:$AC$495&gt;=9))*ROW('CONTROL MASTER'!$S$2:$S$495))-(ROW('CONTROL MASTER'!#REF!)-1))),"")),"")</f>
        <v/>
      </c>
      <c r="K164" s="10" t="str">
        <f>IFERROR(IF(SUMPRODUCT((('CONTROL MASTER'!$S$2:$S$495=12)*('CONTROL MASTER'!$T$2:$T$495&lt;=8)*('CONTROL MASTER'!$V$2:$V$495&gt;=8)*('CONTROL MASTER'!$U$2:$U$495&lt;=10)*('CONTROL MASTER'!$W$2:$W$495&gt;=10))*ROW('CONTROL MASTER'!$S$2:$S$495))&gt;0,INDEX('CONTROL MASTER'!$X$2:$X$495,(SUMPRODUCT((('CONTROL MASTER'!$S$2:$S$495=12)*('CONTROL MASTER'!$T$2:$T$495&lt;=8)*('CONTROL MASTER'!$V$2:$V$495&gt;=8)*('CONTROL MASTER'!$U$2:$U$495&lt;=10)*('CONTROL MASTER'!$W$2:$W$495&gt;=10))*ROW('CONTROL MASTER'!$S$2:$S$495))-(ROW('CONTROL MASTER'!#REF!)-1)))&amp;TRIM(MID(SUBSTITUTE(SUBSTITUTE(INDEX('CONTROL MASTER'!$N$2:$N$495,(SUMPRODUCT((('CONTROL MASTER'!$S$2:$S$495=12)*('CONTROL MASTER'!$T$2:$T$495&lt;=8)*('CONTROL MASTER'!$V$2:$V$495&gt;=8)*('CONTROL MASTER'!$U$2:$U$495&lt;=10)*('CONTROL MASTER'!$W$2:$W$495&gt;=10))*ROW('CONTROL MASTER'!$S$2:$S$495))-(ROW('CONTROL MASTER'!#REF!)-1))),":",","),",",REPT(" ",50)),((((8-INDEX('CONTROL MASTER'!$T$2:$T$495,(SUMPRODUCT((('CONTROL MASTER'!$S$2:$S$495=12)*('CONTROL MASTER'!$T$2:$T$495&lt;=8)*('CONTROL MASTER'!$V$2:$V$495&gt;=8)*('CONTROL MASTER'!$U$2:$U$495&lt;=10)*('CONTROL MASTER'!$W$2:$W$495&gt;=10))*ROW('CONTROL MASTER'!$S$2:$S$495))-(ROW('CONTROL MASTER'!#REF!)-1))))*(INDEX('CONTROL MASTER'!$W$2:$W$495,(SUMPRODUCT((('CONTROL MASTER'!$S$2:$S$495=12)*('CONTROL MASTER'!$T$2:$T$495&lt;=8)*('CONTROL MASTER'!$V$2:$V$495&gt;=8)*('CONTROL MASTER'!$U$2:$U$495&lt;=10)*('CONTROL MASTER'!$W$2:$W$495&gt;=10))*ROW('CONTROL MASTER'!$S$2:$S$495))-(ROW('CONTROL MASTER'!#REF!)-1)))-INDEX('CONTROL MASTER'!$U$2:$U$495,(SUMPRODUCT((('CONTROL MASTER'!$S$2:$S$495=12)*('CONTROL MASTER'!$T$2:$T$495&lt;=8)*('CONTROL MASTER'!$V$2:$V$495&gt;=8)*('CONTROL MASTER'!$U$2:$U$495&lt;=10)*('CONTROL MASTER'!$W$2:$W$495&gt;=10))*ROW('CONTROL MASTER'!$S$2:$S$495))-(ROW('CONTROL MASTER'!#REF!)-1)))+1)+(10-INDEX('CONTROL MASTER'!$U$2:$U$495,(SUMPRODUCT((('CONTROL MASTER'!$S$2:$S$495=12)*('CONTROL MASTER'!$T$2:$T$495&lt;=8)*('CONTROL MASTER'!$V$2:$V$495&gt;=8)*('CONTROL MASTER'!$U$2:$U$495&lt;=10)*('CONTROL MASTER'!$W$2:$W$495&gt;=10))*ROW('CONTROL MASTER'!$S$2:$S$495))-(ROW('CONTROL MASTER'!#REF!)-1))))+1))-1)*50+1,50))&amp;"_"&amp;INDEX('CONTROL MASTER'!$P$2:$P$495,(SUMPRODUCT((('CONTROL MASTER'!$S$2:$S$495=12)*('CONTROL MASTER'!$T$2:$T$495&lt;=8)*('CONTROL MASTER'!$V$2:$V$495&gt;=8)*('CONTROL MASTER'!$U$2:$U$495&lt;=10)*('CONTROL MASTER'!$W$2:$W$495&gt;=10))*ROW('CONTROL MASTER'!$S$2:$S$495))-(ROW('CONTROL MASTER'!#REF!)-1))),IF(SUMPRODUCT((('CONTROL MASTER'!$S$2:$S$495=12)*('CONTROL MASTER'!$Z$2:$Z$495&lt;=8)*('CONTROL MASTER'!$AB$2:$AB$495&gt;=8)*('CONTROL MASTER'!$AA$2:$AA$495&lt;=10)*('CONTROL MASTER'!$AC$2:$AC$495&gt;=10))*ROW('CONTROL MASTER'!$S$2:$S$495))&gt;0,INDEX('CONTROL MASTER'!$X$2:$X$495,(SUMPRODUCT((('CONTROL MASTER'!$S$2:$S$495=12)*('CONTROL MASTER'!$Z$2:$Z$495&lt;=8)*('CONTROL MASTER'!$AB$2:$AB$495&gt;=8)*('CONTROL MASTER'!$AA$2:$AA$495&lt;=10)*('CONTROL MASTER'!$AC$2:$AC$495&gt;=10))*ROW('CONTROL MASTER'!$S$2:$S$495))-(ROW('CONTROL MASTER'!#REF!)-1)))&amp;TRIM(MID(SUBSTITUTE(SUBSTITUTE(INDEX('CONTROL MASTER'!$N$2:$N$495,(SUMPRODUCT((('CONTROL MASTER'!$S$2:$S$495=12)*('CONTROL MASTER'!$Z$2:$Z$495&lt;=8)*('CONTROL MASTER'!$AB$2:$AB$495&gt;=8)*('CONTROL MASTER'!$AA$2:$AA$495&lt;=10)*('CONTROL MASTER'!$AC$2:$AC$495&gt;=10))*ROW('CONTROL MASTER'!$S$2:$S$495))-(ROW('CONTROL MASTER'!#REF!)-1))),":",","),",",REPT(" ",50)),(((INDEX('CONTROL MASTER'!$Y$2:$Y$495,(SUMPRODUCT((('CONTROL MASTER'!$S$2:$S$495=12)*('CONTROL MASTER'!$Z$2:$Z$495&lt;=8)*('CONTROL MASTER'!$AB$2:$AB$495&gt;=8)*('CONTROL MASTER'!$AA$2:$AA$495&lt;=10)*('CONTROL MASTER'!$AC$2:$AC$495&gt;=10))*ROW('CONTROL MASTER'!$S$2:$S$495))-(ROW('CONTROL MASTER'!#REF!)-1)))+((8-INDEX('CONTROL MASTER'!$Z$2:$Z$495,(SUMPRODUCT((('CONTROL MASTER'!$S$2:$S$495=12)*('CONTROL MASTER'!$Z$2:$Z$495&lt;=8)*('CONTROL MASTER'!$AB$2:$AB$495&gt;=8)*('CONTROL MASTER'!$AA$2:$AA$495&lt;=10)*('CONTROL MASTER'!$AC$2:$AC$495&gt;=10))*ROW('CONTROL MASTER'!$S$2:$S$495))-(ROW('CONTROL MASTER'!#REF!)-1))))*(INDEX('CONTROL MASTER'!$AC$2:$AC$495,(SUMPRODUCT((('CONTROL MASTER'!$S$2:$S$495=12)*('CONTROL MASTER'!$Z$2:$Z$495&lt;=8)*('CONTROL MASTER'!$AB$2:$AB$495&gt;=8)*('CONTROL MASTER'!$AA$2:$AA$495&lt;=10)*('CONTROL MASTER'!$AC$2:$AC$495&gt;=10))*ROW('CONTROL MASTER'!$S$2:$S$495))-(ROW('CONTROL MASTER'!#REF!)-1)))-INDEX('CONTROL MASTER'!$AA$2:$AA$495,(SUMPRODUCT((('CONTROL MASTER'!$S$2:$S$495=12)*('CONTROL MASTER'!$Z$2:$Z$495&lt;=8)*('CONTROL MASTER'!$AB$2:$AB$495&gt;=8)*('CONTROL MASTER'!$AA$2:$AA$495&lt;=10)*('CONTROL MASTER'!$AC$2:$AC$495&gt;=10))*ROW('CONTROL MASTER'!$S$2:$S$495))-(ROW('CONTROL MASTER'!#REF!)-1)))+1)+(10-INDEX('CONTROL MASTER'!$AA$2:$AA$495,(SUMPRODUCT((('CONTROL MASTER'!$S$2:$S$495=12)*('CONTROL MASTER'!$Z$2:$Z$495&lt;=8)*('CONTROL MASTER'!$AB$2:$AB$495&gt;=8)*('CONTROL MASTER'!$AA$2:$AA$495&lt;=10)*('CONTROL MASTER'!$AC$2:$AC$495&gt;=10))*ROW('CONTROL MASTER'!$S$2:$S$495))-(ROW('CONTROL MASTER'!#REF!)-1))))+1)))-1)*50+1,50))&amp;"_"&amp;INDEX('CONTROL MASTER'!$P$2:$P$495,(SUMPRODUCT((('CONTROL MASTER'!$S$2:$S$495=12)*('CONTROL MASTER'!$Z$2:$Z$495&lt;=8)*('CONTROL MASTER'!$AB$2:$AB$495&gt;=8)*('CONTROL MASTER'!$AA$2:$AA$495&lt;=10)*('CONTROL MASTER'!$AC$2:$AC$495&gt;=10))*ROW('CONTROL MASTER'!$S$2:$S$495))-(ROW('CONTROL MASTER'!#REF!)-1))),"")),"")</f>
        <v/>
      </c>
    </row>
    <row r="165" spans="1:11" ht="15" customHeight="1" x14ac:dyDescent="0.35">
      <c r="A165" s="8" t="s">
        <v>81</v>
      </c>
      <c r="B165" s="10" t="str">
        <f>IFERROR(IF(SUMPRODUCT((('CONTROL MASTER'!$S$2:$S$495=12)*('CONTROL MASTER'!$T$2:$T$495&lt;=9)*('CONTROL MASTER'!$V$2:$V$495&gt;=9)*('CONTROL MASTER'!$U$2:$U$495&lt;=1)*('CONTROL MASTER'!$W$2:$W$495&gt;=1))*ROW('CONTROL MASTER'!$S$2:$S$495))&gt;0,INDEX('CONTROL MASTER'!$X$2:$X$495,(SUMPRODUCT((('CONTROL MASTER'!$S$2:$S$495=12)*('CONTROL MASTER'!$T$2:$T$495&lt;=9)*('CONTROL MASTER'!$V$2:$V$495&gt;=9)*('CONTROL MASTER'!$U$2:$U$495&lt;=1)*('CONTROL MASTER'!$W$2:$W$495&gt;=1))*ROW('CONTROL MASTER'!$S$2:$S$495))-(ROW('CONTROL MASTER'!#REF!)-1)))&amp;TRIM(MID(SUBSTITUTE(SUBSTITUTE(INDEX('CONTROL MASTER'!$N$2:$N$495,(SUMPRODUCT((('CONTROL MASTER'!$S$2:$S$495=12)*('CONTROL MASTER'!$T$2:$T$495&lt;=9)*('CONTROL MASTER'!$V$2:$V$495&gt;=9)*('CONTROL MASTER'!$U$2:$U$495&lt;=1)*('CONTROL MASTER'!$W$2:$W$495&gt;=1))*ROW('CONTROL MASTER'!$S$2:$S$495))-(ROW('CONTROL MASTER'!#REF!)-1))),":",","),",",REPT(" ",50)),((((9-INDEX('CONTROL MASTER'!$T$2:$T$495,(SUMPRODUCT((('CONTROL MASTER'!$S$2:$S$495=12)*('CONTROL MASTER'!$T$2:$T$495&lt;=9)*('CONTROL MASTER'!$V$2:$V$495&gt;=9)*('CONTROL MASTER'!$U$2:$U$495&lt;=1)*('CONTROL MASTER'!$W$2:$W$495&gt;=1))*ROW('CONTROL MASTER'!$S$2:$S$495))-(ROW('CONTROL MASTER'!#REF!)-1))))*(INDEX('CONTROL MASTER'!$W$2:$W$495,(SUMPRODUCT((('CONTROL MASTER'!$S$2:$S$495=12)*('CONTROL MASTER'!$T$2:$T$495&lt;=9)*('CONTROL MASTER'!$V$2:$V$495&gt;=9)*('CONTROL MASTER'!$U$2:$U$495&lt;=1)*('CONTROL MASTER'!$W$2:$W$495&gt;=1))*ROW('CONTROL MASTER'!$S$2:$S$495))-(ROW('CONTROL MASTER'!#REF!)-1)))-INDEX('CONTROL MASTER'!$U$2:$U$495,(SUMPRODUCT((('CONTROL MASTER'!$S$2:$S$495=12)*('CONTROL MASTER'!$T$2:$T$495&lt;=9)*('CONTROL MASTER'!$V$2:$V$495&gt;=9)*('CONTROL MASTER'!$U$2:$U$495&lt;=1)*('CONTROL MASTER'!$W$2:$W$495&gt;=1))*ROW('CONTROL MASTER'!$S$2:$S$495))-(ROW('CONTROL MASTER'!#REF!)-1)))+1)+(1-INDEX('CONTROL MASTER'!$U$2:$U$495,(SUMPRODUCT((('CONTROL MASTER'!$S$2:$S$495=12)*('CONTROL MASTER'!$T$2:$T$495&lt;=9)*('CONTROL MASTER'!$V$2:$V$495&gt;=9)*('CONTROL MASTER'!$U$2:$U$495&lt;=1)*('CONTROL MASTER'!$W$2:$W$495&gt;=1))*ROW('CONTROL MASTER'!$S$2:$S$495))-(ROW('CONTROL MASTER'!#REF!)-1))))+1))-1)*50+1,50))&amp;"_"&amp;INDEX('CONTROL MASTER'!$P$2:$P$495,(SUMPRODUCT((('CONTROL MASTER'!$S$2:$S$495=12)*('CONTROL MASTER'!$T$2:$T$495&lt;=9)*('CONTROL MASTER'!$V$2:$V$495&gt;=9)*('CONTROL MASTER'!$U$2:$U$495&lt;=1)*('CONTROL MASTER'!$W$2:$W$495&gt;=1))*ROW('CONTROL MASTER'!$S$2:$S$495))-(ROW('CONTROL MASTER'!#REF!)-1))),IF(SUMPRODUCT((('CONTROL MASTER'!$S$2:$S$495=12)*('CONTROL MASTER'!$Z$2:$Z$495&lt;=9)*('CONTROL MASTER'!$AB$2:$AB$495&gt;=9)*('CONTROL MASTER'!$AA$2:$AA$495&lt;=1)*('CONTROL MASTER'!$AC$2:$AC$495&gt;=1))*ROW('CONTROL MASTER'!$S$2:$S$495))&gt;0,INDEX('CONTROL MASTER'!$X$2:$X$495,(SUMPRODUCT((('CONTROL MASTER'!$S$2:$S$495=12)*('CONTROL MASTER'!$Z$2:$Z$495&lt;=9)*('CONTROL MASTER'!$AB$2:$AB$495&gt;=9)*('CONTROL MASTER'!$AA$2:$AA$495&lt;=1)*('CONTROL MASTER'!$AC$2:$AC$495&gt;=1))*ROW('CONTROL MASTER'!$S$2:$S$495))-(ROW('CONTROL MASTER'!#REF!)-1)))&amp;TRIM(MID(SUBSTITUTE(SUBSTITUTE(INDEX('CONTROL MASTER'!$N$2:$N$495,(SUMPRODUCT((('CONTROL MASTER'!$S$2:$S$495=12)*('CONTROL MASTER'!$Z$2:$Z$495&lt;=9)*('CONTROL MASTER'!$AB$2:$AB$495&gt;=9)*('CONTROL MASTER'!$AA$2:$AA$495&lt;=1)*('CONTROL MASTER'!$AC$2:$AC$495&gt;=1))*ROW('CONTROL MASTER'!$S$2:$S$495))-(ROW('CONTROL MASTER'!#REF!)-1))),":",","),",",REPT(" ",50)),(((INDEX('CONTROL MASTER'!$Y$2:$Y$495,(SUMPRODUCT((('CONTROL MASTER'!$S$2:$S$495=12)*('CONTROL MASTER'!$Z$2:$Z$495&lt;=9)*('CONTROL MASTER'!$AB$2:$AB$495&gt;=9)*('CONTROL MASTER'!$AA$2:$AA$495&lt;=1)*('CONTROL MASTER'!$AC$2:$AC$495&gt;=1))*ROW('CONTROL MASTER'!$S$2:$S$495))-(ROW('CONTROL MASTER'!#REF!)-1)))+((9-INDEX('CONTROL MASTER'!$Z$2:$Z$495,(SUMPRODUCT((('CONTROL MASTER'!$S$2:$S$495=12)*('CONTROL MASTER'!$Z$2:$Z$495&lt;=9)*('CONTROL MASTER'!$AB$2:$AB$495&gt;=9)*('CONTROL MASTER'!$AA$2:$AA$495&lt;=1)*('CONTROL MASTER'!$AC$2:$AC$495&gt;=1))*ROW('CONTROL MASTER'!$S$2:$S$495))-(ROW('CONTROL MASTER'!#REF!)-1))))*(INDEX('CONTROL MASTER'!$AC$2:$AC$495,(SUMPRODUCT((('CONTROL MASTER'!$S$2:$S$495=12)*('CONTROL MASTER'!$Z$2:$Z$495&lt;=9)*('CONTROL MASTER'!$AB$2:$AB$495&gt;=9)*('CONTROL MASTER'!$AA$2:$AA$495&lt;=1)*('CONTROL MASTER'!$AC$2:$AC$495&gt;=1))*ROW('CONTROL MASTER'!$S$2:$S$495))-(ROW('CONTROL MASTER'!#REF!)-1)))-INDEX('CONTROL MASTER'!$AA$2:$AA$495,(SUMPRODUCT((('CONTROL MASTER'!$S$2:$S$495=12)*('CONTROL MASTER'!$Z$2:$Z$495&lt;=9)*('CONTROL MASTER'!$AB$2:$AB$495&gt;=9)*('CONTROL MASTER'!$AA$2:$AA$495&lt;=1)*('CONTROL MASTER'!$AC$2:$AC$495&gt;=1))*ROW('CONTROL MASTER'!$S$2:$S$495))-(ROW('CONTROL MASTER'!#REF!)-1)))+1)+(1-INDEX('CONTROL MASTER'!$AA$2:$AA$495,(SUMPRODUCT((('CONTROL MASTER'!$S$2:$S$495=12)*('CONTROL MASTER'!$Z$2:$Z$495&lt;=9)*('CONTROL MASTER'!$AB$2:$AB$495&gt;=9)*('CONTROL MASTER'!$AA$2:$AA$495&lt;=1)*('CONTROL MASTER'!$AC$2:$AC$495&gt;=1))*ROW('CONTROL MASTER'!$S$2:$S$495))-(ROW('CONTROL MASTER'!#REF!)-1))))+1)))-1)*50+1,50))&amp;"_"&amp;INDEX('CONTROL MASTER'!$P$2:$P$495,(SUMPRODUCT((('CONTROL MASTER'!$S$2:$S$495=12)*('CONTROL MASTER'!$Z$2:$Z$495&lt;=9)*('CONTROL MASTER'!$AB$2:$AB$495&gt;=9)*('CONTROL MASTER'!$AA$2:$AA$495&lt;=1)*('CONTROL MASTER'!$AC$2:$AC$495&gt;=1))*ROW('CONTROL MASTER'!$S$2:$S$495))-(ROW('CONTROL MASTER'!#REF!)-1))),"")),"")</f>
        <v/>
      </c>
      <c r="C165" s="10" t="str">
        <f>IFERROR(IF(SUMPRODUCT((('CONTROL MASTER'!$S$2:$S$495=12)*('CONTROL MASTER'!$T$2:$T$495&lt;=9)*('CONTROL MASTER'!$V$2:$V$495&gt;=9)*('CONTROL MASTER'!$U$2:$U$495&lt;=2)*('CONTROL MASTER'!$W$2:$W$495&gt;=2))*ROW('CONTROL MASTER'!$S$2:$S$495))&gt;0,INDEX('CONTROL MASTER'!$X$2:$X$495,(SUMPRODUCT((('CONTROL MASTER'!$S$2:$S$495=12)*('CONTROL MASTER'!$T$2:$T$495&lt;=9)*('CONTROL MASTER'!$V$2:$V$495&gt;=9)*('CONTROL MASTER'!$U$2:$U$495&lt;=2)*('CONTROL MASTER'!$W$2:$W$495&gt;=2))*ROW('CONTROL MASTER'!$S$2:$S$495))-(ROW('CONTROL MASTER'!#REF!)-1)))&amp;TRIM(MID(SUBSTITUTE(SUBSTITUTE(INDEX('CONTROL MASTER'!$N$2:$N$495,(SUMPRODUCT((('CONTROL MASTER'!$S$2:$S$495=12)*('CONTROL MASTER'!$T$2:$T$495&lt;=9)*('CONTROL MASTER'!$V$2:$V$495&gt;=9)*('CONTROL MASTER'!$U$2:$U$495&lt;=2)*('CONTROL MASTER'!$W$2:$W$495&gt;=2))*ROW('CONTROL MASTER'!$S$2:$S$495))-(ROW('CONTROL MASTER'!#REF!)-1))),":",","),",",REPT(" ",50)),((((9-INDEX('CONTROL MASTER'!$T$2:$T$495,(SUMPRODUCT((('CONTROL MASTER'!$S$2:$S$495=12)*('CONTROL MASTER'!$T$2:$T$495&lt;=9)*('CONTROL MASTER'!$V$2:$V$495&gt;=9)*('CONTROL MASTER'!$U$2:$U$495&lt;=2)*('CONTROL MASTER'!$W$2:$W$495&gt;=2))*ROW('CONTROL MASTER'!$S$2:$S$495))-(ROW('CONTROL MASTER'!#REF!)-1))))*(INDEX('CONTROL MASTER'!$W$2:$W$495,(SUMPRODUCT((('CONTROL MASTER'!$S$2:$S$495=12)*('CONTROL MASTER'!$T$2:$T$495&lt;=9)*('CONTROL MASTER'!$V$2:$V$495&gt;=9)*('CONTROL MASTER'!$U$2:$U$495&lt;=2)*('CONTROL MASTER'!$W$2:$W$495&gt;=2))*ROW('CONTROL MASTER'!$S$2:$S$495))-(ROW('CONTROL MASTER'!#REF!)-1)))-INDEX('CONTROL MASTER'!$U$2:$U$495,(SUMPRODUCT((('CONTROL MASTER'!$S$2:$S$495=12)*('CONTROL MASTER'!$T$2:$T$495&lt;=9)*('CONTROL MASTER'!$V$2:$V$495&gt;=9)*('CONTROL MASTER'!$U$2:$U$495&lt;=2)*('CONTROL MASTER'!$W$2:$W$495&gt;=2))*ROW('CONTROL MASTER'!$S$2:$S$495))-(ROW('CONTROL MASTER'!#REF!)-1)))+1)+(2-INDEX('CONTROL MASTER'!$U$2:$U$495,(SUMPRODUCT((('CONTROL MASTER'!$S$2:$S$495=12)*('CONTROL MASTER'!$T$2:$T$495&lt;=9)*('CONTROL MASTER'!$V$2:$V$495&gt;=9)*('CONTROL MASTER'!$U$2:$U$495&lt;=2)*('CONTROL MASTER'!$W$2:$W$495&gt;=2))*ROW('CONTROL MASTER'!$S$2:$S$495))-(ROW('CONTROL MASTER'!#REF!)-1))))+1))-1)*50+1,50))&amp;"_"&amp;INDEX('CONTROL MASTER'!$P$2:$P$495,(SUMPRODUCT((('CONTROL MASTER'!$S$2:$S$495=12)*('CONTROL MASTER'!$T$2:$T$495&lt;=9)*('CONTROL MASTER'!$V$2:$V$495&gt;=9)*('CONTROL MASTER'!$U$2:$U$495&lt;=2)*('CONTROL MASTER'!$W$2:$W$495&gt;=2))*ROW('CONTROL MASTER'!$S$2:$S$495))-(ROW('CONTROL MASTER'!#REF!)-1))),IF(SUMPRODUCT((('CONTROL MASTER'!$S$2:$S$495=12)*('CONTROL MASTER'!$Z$2:$Z$495&lt;=9)*('CONTROL MASTER'!$AB$2:$AB$495&gt;=9)*('CONTROL MASTER'!$AA$2:$AA$495&lt;=2)*('CONTROL MASTER'!$AC$2:$AC$495&gt;=2))*ROW('CONTROL MASTER'!$S$2:$S$495))&gt;0,INDEX('CONTROL MASTER'!$X$2:$X$495,(SUMPRODUCT((('CONTROL MASTER'!$S$2:$S$495=12)*('CONTROL MASTER'!$Z$2:$Z$495&lt;=9)*('CONTROL MASTER'!$AB$2:$AB$495&gt;=9)*('CONTROL MASTER'!$AA$2:$AA$495&lt;=2)*('CONTROL MASTER'!$AC$2:$AC$495&gt;=2))*ROW('CONTROL MASTER'!$S$2:$S$495))-(ROW('CONTROL MASTER'!#REF!)-1)))&amp;TRIM(MID(SUBSTITUTE(SUBSTITUTE(INDEX('CONTROL MASTER'!$N$2:$N$495,(SUMPRODUCT((('CONTROL MASTER'!$S$2:$S$495=12)*('CONTROL MASTER'!$Z$2:$Z$495&lt;=9)*('CONTROL MASTER'!$AB$2:$AB$495&gt;=9)*('CONTROL MASTER'!$AA$2:$AA$495&lt;=2)*('CONTROL MASTER'!$AC$2:$AC$495&gt;=2))*ROW('CONTROL MASTER'!$S$2:$S$495))-(ROW('CONTROL MASTER'!#REF!)-1))),":",","),",",REPT(" ",50)),(((INDEX('CONTROL MASTER'!$Y$2:$Y$495,(SUMPRODUCT((('CONTROL MASTER'!$S$2:$S$495=12)*('CONTROL MASTER'!$Z$2:$Z$495&lt;=9)*('CONTROL MASTER'!$AB$2:$AB$495&gt;=9)*('CONTROL MASTER'!$AA$2:$AA$495&lt;=2)*('CONTROL MASTER'!$AC$2:$AC$495&gt;=2))*ROW('CONTROL MASTER'!$S$2:$S$495))-(ROW('CONTROL MASTER'!#REF!)-1)))+((9-INDEX('CONTROL MASTER'!$Z$2:$Z$495,(SUMPRODUCT((('CONTROL MASTER'!$S$2:$S$495=12)*('CONTROL MASTER'!$Z$2:$Z$495&lt;=9)*('CONTROL MASTER'!$AB$2:$AB$495&gt;=9)*('CONTROL MASTER'!$AA$2:$AA$495&lt;=2)*('CONTROL MASTER'!$AC$2:$AC$495&gt;=2))*ROW('CONTROL MASTER'!$S$2:$S$495))-(ROW('CONTROL MASTER'!#REF!)-1))))*(INDEX('CONTROL MASTER'!$AC$2:$AC$495,(SUMPRODUCT((('CONTROL MASTER'!$S$2:$S$495=12)*('CONTROL MASTER'!$Z$2:$Z$495&lt;=9)*('CONTROL MASTER'!$AB$2:$AB$495&gt;=9)*('CONTROL MASTER'!$AA$2:$AA$495&lt;=2)*('CONTROL MASTER'!$AC$2:$AC$495&gt;=2))*ROW('CONTROL MASTER'!$S$2:$S$495))-(ROW('CONTROL MASTER'!#REF!)-1)))-INDEX('CONTROL MASTER'!$AA$2:$AA$495,(SUMPRODUCT((('CONTROL MASTER'!$S$2:$S$495=12)*('CONTROL MASTER'!$Z$2:$Z$495&lt;=9)*('CONTROL MASTER'!$AB$2:$AB$495&gt;=9)*('CONTROL MASTER'!$AA$2:$AA$495&lt;=2)*('CONTROL MASTER'!$AC$2:$AC$495&gt;=2))*ROW('CONTROL MASTER'!$S$2:$S$495))-(ROW('CONTROL MASTER'!#REF!)-1)))+1)+(2-INDEX('CONTROL MASTER'!$AA$2:$AA$495,(SUMPRODUCT((('CONTROL MASTER'!$S$2:$S$495=12)*('CONTROL MASTER'!$Z$2:$Z$495&lt;=9)*('CONTROL MASTER'!$AB$2:$AB$495&gt;=9)*('CONTROL MASTER'!$AA$2:$AA$495&lt;=2)*('CONTROL MASTER'!$AC$2:$AC$495&gt;=2))*ROW('CONTROL MASTER'!$S$2:$S$495))-(ROW('CONTROL MASTER'!#REF!)-1))))+1)))-1)*50+1,50))&amp;"_"&amp;INDEX('CONTROL MASTER'!$P$2:$P$495,(SUMPRODUCT((('CONTROL MASTER'!$S$2:$S$495=12)*('CONTROL MASTER'!$Z$2:$Z$495&lt;=9)*('CONTROL MASTER'!$AB$2:$AB$495&gt;=9)*('CONTROL MASTER'!$AA$2:$AA$495&lt;=2)*('CONTROL MASTER'!$AC$2:$AC$495&gt;=2))*ROW('CONTROL MASTER'!$S$2:$S$495))-(ROW('CONTROL MASTER'!#REF!)-1))),"")),"")</f>
        <v/>
      </c>
      <c r="D165" s="10" t="str">
        <f>IFERROR(IF(SUMPRODUCT((('CONTROL MASTER'!$S$2:$S$495=12)*('CONTROL MASTER'!$T$2:$T$495&lt;=9)*('CONTROL MASTER'!$V$2:$V$495&gt;=9)*('CONTROL MASTER'!$U$2:$U$495&lt;=3)*('CONTROL MASTER'!$W$2:$W$495&gt;=3))*ROW('CONTROL MASTER'!$S$2:$S$495))&gt;0,INDEX('CONTROL MASTER'!$X$2:$X$495,(SUMPRODUCT((('CONTROL MASTER'!$S$2:$S$495=12)*('CONTROL MASTER'!$T$2:$T$495&lt;=9)*('CONTROL MASTER'!$V$2:$V$495&gt;=9)*('CONTROL MASTER'!$U$2:$U$495&lt;=3)*('CONTROL MASTER'!$W$2:$W$495&gt;=3))*ROW('CONTROL MASTER'!$S$2:$S$495))-(ROW('CONTROL MASTER'!#REF!)-1)))&amp;TRIM(MID(SUBSTITUTE(SUBSTITUTE(INDEX('CONTROL MASTER'!$N$2:$N$495,(SUMPRODUCT((('CONTROL MASTER'!$S$2:$S$495=12)*('CONTROL MASTER'!$T$2:$T$495&lt;=9)*('CONTROL MASTER'!$V$2:$V$495&gt;=9)*('CONTROL MASTER'!$U$2:$U$495&lt;=3)*('CONTROL MASTER'!$W$2:$W$495&gt;=3))*ROW('CONTROL MASTER'!$S$2:$S$495))-(ROW('CONTROL MASTER'!#REF!)-1))),":",","),",",REPT(" ",50)),((((9-INDEX('CONTROL MASTER'!$T$2:$T$495,(SUMPRODUCT((('CONTROL MASTER'!$S$2:$S$495=12)*('CONTROL MASTER'!$T$2:$T$495&lt;=9)*('CONTROL MASTER'!$V$2:$V$495&gt;=9)*('CONTROL MASTER'!$U$2:$U$495&lt;=3)*('CONTROL MASTER'!$W$2:$W$495&gt;=3))*ROW('CONTROL MASTER'!$S$2:$S$495))-(ROW('CONTROL MASTER'!#REF!)-1))))*(INDEX('CONTROL MASTER'!$W$2:$W$495,(SUMPRODUCT((('CONTROL MASTER'!$S$2:$S$495=12)*('CONTROL MASTER'!$T$2:$T$495&lt;=9)*('CONTROL MASTER'!$V$2:$V$495&gt;=9)*('CONTROL MASTER'!$U$2:$U$495&lt;=3)*('CONTROL MASTER'!$W$2:$W$495&gt;=3))*ROW('CONTROL MASTER'!$S$2:$S$495))-(ROW('CONTROL MASTER'!#REF!)-1)))-INDEX('CONTROL MASTER'!$U$2:$U$495,(SUMPRODUCT((('CONTROL MASTER'!$S$2:$S$495=12)*('CONTROL MASTER'!$T$2:$T$495&lt;=9)*('CONTROL MASTER'!$V$2:$V$495&gt;=9)*('CONTROL MASTER'!$U$2:$U$495&lt;=3)*('CONTROL MASTER'!$W$2:$W$495&gt;=3))*ROW('CONTROL MASTER'!$S$2:$S$495))-(ROW('CONTROL MASTER'!#REF!)-1)))+1)+(3-INDEX('CONTROL MASTER'!$U$2:$U$495,(SUMPRODUCT((('CONTROL MASTER'!$S$2:$S$495=12)*('CONTROL MASTER'!$T$2:$T$495&lt;=9)*('CONTROL MASTER'!$V$2:$V$495&gt;=9)*('CONTROL MASTER'!$U$2:$U$495&lt;=3)*('CONTROL MASTER'!$W$2:$W$495&gt;=3))*ROW('CONTROL MASTER'!$S$2:$S$495))-(ROW('CONTROL MASTER'!#REF!)-1))))+1))-1)*50+1,50))&amp;"_"&amp;INDEX('CONTROL MASTER'!$P$2:$P$495,(SUMPRODUCT((('CONTROL MASTER'!$S$2:$S$495=12)*('CONTROL MASTER'!$T$2:$T$495&lt;=9)*('CONTROL MASTER'!$V$2:$V$495&gt;=9)*('CONTROL MASTER'!$U$2:$U$495&lt;=3)*('CONTROL MASTER'!$W$2:$W$495&gt;=3))*ROW('CONTROL MASTER'!$S$2:$S$495))-(ROW('CONTROL MASTER'!#REF!)-1))),IF(SUMPRODUCT((('CONTROL MASTER'!$S$2:$S$495=12)*('CONTROL MASTER'!$Z$2:$Z$495&lt;=9)*('CONTROL MASTER'!$AB$2:$AB$495&gt;=9)*('CONTROL MASTER'!$AA$2:$AA$495&lt;=3)*('CONTROL MASTER'!$AC$2:$AC$495&gt;=3))*ROW('CONTROL MASTER'!$S$2:$S$495))&gt;0,INDEX('CONTROL MASTER'!$X$2:$X$495,(SUMPRODUCT((('CONTROL MASTER'!$S$2:$S$495=12)*('CONTROL MASTER'!$Z$2:$Z$495&lt;=9)*('CONTROL MASTER'!$AB$2:$AB$495&gt;=9)*('CONTROL MASTER'!$AA$2:$AA$495&lt;=3)*('CONTROL MASTER'!$AC$2:$AC$495&gt;=3))*ROW('CONTROL MASTER'!$S$2:$S$495))-(ROW('CONTROL MASTER'!#REF!)-1)))&amp;TRIM(MID(SUBSTITUTE(SUBSTITUTE(INDEX('CONTROL MASTER'!$N$2:$N$495,(SUMPRODUCT((('CONTROL MASTER'!$S$2:$S$495=12)*('CONTROL MASTER'!$Z$2:$Z$495&lt;=9)*('CONTROL MASTER'!$AB$2:$AB$495&gt;=9)*('CONTROL MASTER'!$AA$2:$AA$495&lt;=3)*('CONTROL MASTER'!$AC$2:$AC$495&gt;=3))*ROW('CONTROL MASTER'!$S$2:$S$495))-(ROW('CONTROL MASTER'!#REF!)-1))),":",","),",",REPT(" ",50)),(((INDEX('CONTROL MASTER'!$Y$2:$Y$495,(SUMPRODUCT((('CONTROL MASTER'!$S$2:$S$495=12)*('CONTROL MASTER'!$Z$2:$Z$495&lt;=9)*('CONTROL MASTER'!$AB$2:$AB$495&gt;=9)*('CONTROL MASTER'!$AA$2:$AA$495&lt;=3)*('CONTROL MASTER'!$AC$2:$AC$495&gt;=3))*ROW('CONTROL MASTER'!$S$2:$S$495))-(ROW('CONTROL MASTER'!#REF!)-1)))+((9-INDEX('CONTROL MASTER'!$Z$2:$Z$495,(SUMPRODUCT((('CONTROL MASTER'!$S$2:$S$495=12)*('CONTROL MASTER'!$Z$2:$Z$495&lt;=9)*('CONTROL MASTER'!$AB$2:$AB$495&gt;=9)*('CONTROL MASTER'!$AA$2:$AA$495&lt;=3)*('CONTROL MASTER'!$AC$2:$AC$495&gt;=3))*ROW('CONTROL MASTER'!$S$2:$S$495))-(ROW('CONTROL MASTER'!#REF!)-1))))*(INDEX('CONTROL MASTER'!$AC$2:$AC$495,(SUMPRODUCT((('CONTROL MASTER'!$S$2:$S$495=12)*('CONTROL MASTER'!$Z$2:$Z$495&lt;=9)*('CONTROL MASTER'!$AB$2:$AB$495&gt;=9)*('CONTROL MASTER'!$AA$2:$AA$495&lt;=3)*('CONTROL MASTER'!$AC$2:$AC$495&gt;=3))*ROW('CONTROL MASTER'!$S$2:$S$495))-(ROW('CONTROL MASTER'!#REF!)-1)))-INDEX('CONTROL MASTER'!$AA$2:$AA$495,(SUMPRODUCT((('CONTROL MASTER'!$S$2:$S$495=12)*('CONTROL MASTER'!$Z$2:$Z$495&lt;=9)*('CONTROL MASTER'!$AB$2:$AB$495&gt;=9)*('CONTROL MASTER'!$AA$2:$AA$495&lt;=3)*('CONTROL MASTER'!$AC$2:$AC$495&gt;=3))*ROW('CONTROL MASTER'!$S$2:$S$495))-(ROW('CONTROL MASTER'!#REF!)-1)))+1)+(3-INDEX('CONTROL MASTER'!$AA$2:$AA$495,(SUMPRODUCT((('CONTROL MASTER'!$S$2:$S$495=12)*('CONTROL MASTER'!$Z$2:$Z$495&lt;=9)*('CONTROL MASTER'!$AB$2:$AB$495&gt;=9)*('CONTROL MASTER'!$AA$2:$AA$495&lt;=3)*('CONTROL MASTER'!$AC$2:$AC$495&gt;=3))*ROW('CONTROL MASTER'!$S$2:$S$495))-(ROW('CONTROL MASTER'!#REF!)-1))))+1)))-1)*50+1,50))&amp;"_"&amp;INDEX('CONTROL MASTER'!$P$2:$P$495,(SUMPRODUCT((('CONTROL MASTER'!$S$2:$S$495=12)*('CONTROL MASTER'!$Z$2:$Z$495&lt;=9)*('CONTROL MASTER'!$AB$2:$AB$495&gt;=9)*('CONTROL MASTER'!$AA$2:$AA$495&lt;=3)*('CONTROL MASTER'!$AC$2:$AC$495&gt;=3))*ROW('CONTROL MASTER'!$S$2:$S$495))-(ROW('CONTROL MASTER'!#REF!)-1))),"")),"")</f>
        <v/>
      </c>
      <c r="E165" s="10" t="str">
        <f>IFERROR(IF(SUMPRODUCT((('CONTROL MASTER'!$S$2:$S$495=12)*('CONTROL MASTER'!$T$2:$T$495&lt;=9)*('CONTROL MASTER'!$V$2:$V$495&gt;=9)*('CONTROL MASTER'!$U$2:$U$495&lt;=4)*('CONTROL MASTER'!$W$2:$W$495&gt;=4))*ROW('CONTROL MASTER'!$S$2:$S$495))&gt;0,INDEX('CONTROL MASTER'!$X$2:$X$495,(SUMPRODUCT((('CONTROL MASTER'!$S$2:$S$495=12)*('CONTROL MASTER'!$T$2:$T$495&lt;=9)*('CONTROL MASTER'!$V$2:$V$495&gt;=9)*('CONTROL MASTER'!$U$2:$U$495&lt;=4)*('CONTROL MASTER'!$W$2:$W$495&gt;=4))*ROW('CONTROL MASTER'!$S$2:$S$495))-(ROW('CONTROL MASTER'!#REF!)-1)))&amp;TRIM(MID(SUBSTITUTE(SUBSTITUTE(INDEX('CONTROL MASTER'!$N$2:$N$495,(SUMPRODUCT((('CONTROL MASTER'!$S$2:$S$495=12)*('CONTROL MASTER'!$T$2:$T$495&lt;=9)*('CONTROL MASTER'!$V$2:$V$495&gt;=9)*('CONTROL MASTER'!$U$2:$U$495&lt;=4)*('CONTROL MASTER'!$W$2:$W$495&gt;=4))*ROW('CONTROL MASTER'!$S$2:$S$495))-(ROW('CONTROL MASTER'!#REF!)-1))),":",","),",",REPT(" ",50)),((((9-INDEX('CONTROL MASTER'!$T$2:$T$495,(SUMPRODUCT((('CONTROL MASTER'!$S$2:$S$495=12)*('CONTROL MASTER'!$T$2:$T$495&lt;=9)*('CONTROL MASTER'!$V$2:$V$495&gt;=9)*('CONTROL MASTER'!$U$2:$U$495&lt;=4)*('CONTROL MASTER'!$W$2:$W$495&gt;=4))*ROW('CONTROL MASTER'!$S$2:$S$495))-(ROW('CONTROL MASTER'!#REF!)-1))))*(INDEX('CONTROL MASTER'!$W$2:$W$495,(SUMPRODUCT((('CONTROL MASTER'!$S$2:$S$495=12)*('CONTROL MASTER'!$T$2:$T$495&lt;=9)*('CONTROL MASTER'!$V$2:$V$495&gt;=9)*('CONTROL MASTER'!$U$2:$U$495&lt;=4)*('CONTROL MASTER'!$W$2:$W$495&gt;=4))*ROW('CONTROL MASTER'!$S$2:$S$495))-(ROW('CONTROL MASTER'!#REF!)-1)))-INDEX('CONTROL MASTER'!$U$2:$U$495,(SUMPRODUCT((('CONTROL MASTER'!$S$2:$S$495=12)*('CONTROL MASTER'!$T$2:$T$495&lt;=9)*('CONTROL MASTER'!$V$2:$V$495&gt;=9)*('CONTROL MASTER'!$U$2:$U$495&lt;=4)*('CONTROL MASTER'!$W$2:$W$495&gt;=4))*ROW('CONTROL MASTER'!$S$2:$S$495))-(ROW('CONTROL MASTER'!#REF!)-1)))+1)+(4-INDEX('CONTROL MASTER'!$U$2:$U$495,(SUMPRODUCT((('CONTROL MASTER'!$S$2:$S$495=12)*('CONTROL MASTER'!$T$2:$T$495&lt;=9)*('CONTROL MASTER'!$V$2:$V$495&gt;=9)*('CONTROL MASTER'!$U$2:$U$495&lt;=4)*('CONTROL MASTER'!$W$2:$W$495&gt;=4))*ROW('CONTROL MASTER'!$S$2:$S$495))-(ROW('CONTROL MASTER'!#REF!)-1))))+1))-1)*50+1,50))&amp;"_"&amp;INDEX('CONTROL MASTER'!$P$2:$P$495,(SUMPRODUCT((('CONTROL MASTER'!$S$2:$S$495=12)*('CONTROL MASTER'!$T$2:$T$495&lt;=9)*('CONTROL MASTER'!$V$2:$V$495&gt;=9)*('CONTROL MASTER'!$U$2:$U$495&lt;=4)*('CONTROL MASTER'!$W$2:$W$495&gt;=4))*ROW('CONTROL MASTER'!$S$2:$S$495))-(ROW('CONTROL MASTER'!#REF!)-1))),IF(SUMPRODUCT((('CONTROL MASTER'!$S$2:$S$495=12)*('CONTROL MASTER'!$Z$2:$Z$495&lt;=9)*('CONTROL MASTER'!$AB$2:$AB$495&gt;=9)*('CONTROL MASTER'!$AA$2:$AA$495&lt;=4)*('CONTROL MASTER'!$AC$2:$AC$495&gt;=4))*ROW('CONTROL MASTER'!$S$2:$S$495))&gt;0,INDEX('CONTROL MASTER'!$X$2:$X$495,(SUMPRODUCT((('CONTROL MASTER'!$S$2:$S$495=12)*('CONTROL MASTER'!$Z$2:$Z$495&lt;=9)*('CONTROL MASTER'!$AB$2:$AB$495&gt;=9)*('CONTROL MASTER'!$AA$2:$AA$495&lt;=4)*('CONTROL MASTER'!$AC$2:$AC$495&gt;=4))*ROW('CONTROL MASTER'!$S$2:$S$495))-(ROW('CONTROL MASTER'!#REF!)-1)))&amp;TRIM(MID(SUBSTITUTE(SUBSTITUTE(INDEX('CONTROL MASTER'!$N$2:$N$495,(SUMPRODUCT((('CONTROL MASTER'!$S$2:$S$495=12)*('CONTROL MASTER'!$Z$2:$Z$495&lt;=9)*('CONTROL MASTER'!$AB$2:$AB$495&gt;=9)*('CONTROL MASTER'!$AA$2:$AA$495&lt;=4)*('CONTROL MASTER'!$AC$2:$AC$495&gt;=4))*ROW('CONTROL MASTER'!$S$2:$S$495))-(ROW('CONTROL MASTER'!#REF!)-1))),":",","),",",REPT(" ",50)),(((INDEX('CONTROL MASTER'!$Y$2:$Y$495,(SUMPRODUCT((('CONTROL MASTER'!$S$2:$S$495=12)*('CONTROL MASTER'!$Z$2:$Z$495&lt;=9)*('CONTROL MASTER'!$AB$2:$AB$495&gt;=9)*('CONTROL MASTER'!$AA$2:$AA$495&lt;=4)*('CONTROL MASTER'!$AC$2:$AC$495&gt;=4))*ROW('CONTROL MASTER'!$S$2:$S$495))-(ROW('CONTROL MASTER'!#REF!)-1)))+((9-INDEX('CONTROL MASTER'!$Z$2:$Z$495,(SUMPRODUCT((('CONTROL MASTER'!$S$2:$S$495=12)*('CONTROL MASTER'!$Z$2:$Z$495&lt;=9)*('CONTROL MASTER'!$AB$2:$AB$495&gt;=9)*('CONTROL MASTER'!$AA$2:$AA$495&lt;=4)*('CONTROL MASTER'!$AC$2:$AC$495&gt;=4))*ROW('CONTROL MASTER'!$S$2:$S$495))-(ROW('CONTROL MASTER'!#REF!)-1))))*(INDEX('CONTROL MASTER'!$AC$2:$AC$495,(SUMPRODUCT((('CONTROL MASTER'!$S$2:$S$495=12)*('CONTROL MASTER'!$Z$2:$Z$495&lt;=9)*('CONTROL MASTER'!$AB$2:$AB$495&gt;=9)*('CONTROL MASTER'!$AA$2:$AA$495&lt;=4)*('CONTROL MASTER'!$AC$2:$AC$495&gt;=4))*ROW('CONTROL MASTER'!$S$2:$S$495))-(ROW('CONTROL MASTER'!#REF!)-1)))-INDEX('CONTROL MASTER'!$AA$2:$AA$495,(SUMPRODUCT((('CONTROL MASTER'!$S$2:$S$495=12)*('CONTROL MASTER'!$Z$2:$Z$495&lt;=9)*('CONTROL MASTER'!$AB$2:$AB$495&gt;=9)*('CONTROL MASTER'!$AA$2:$AA$495&lt;=4)*('CONTROL MASTER'!$AC$2:$AC$495&gt;=4))*ROW('CONTROL MASTER'!$S$2:$S$495))-(ROW('CONTROL MASTER'!#REF!)-1)))+1)+(4-INDEX('CONTROL MASTER'!$AA$2:$AA$495,(SUMPRODUCT((('CONTROL MASTER'!$S$2:$S$495=12)*('CONTROL MASTER'!$Z$2:$Z$495&lt;=9)*('CONTROL MASTER'!$AB$2:$AB$495&gt;=9)*('CONTROL MASTER'!$AA$2:$AA$495&lt;=4)*('CONTROL MASTER'!$AC$2:$AC$495&gt;=4))*ROW('CONTROL MASTER'!$S$2:$S$495))-(ROW('CONTROL MASTER'!#REF!)-1))))+1)))-1)*50+1,50))&amp;"_"&amp;INDEX('CONTROL MASTER'!$P$2:$P$495,(SUMPRODUCT((('CONTROL MASTER'!$S$2:$S$495=12)*('CONTROL MASTER'!$Z$2:$Z$495&lt;=9)*('CONTROL MASTER'!$AB$2:$AB$495&gt;=9)*('CONTROL MASTER'!$AA$2:$AA$495&lt;=4)*('CONTROL MASTER'!$AC$2:$AC$495&gt;=4))*ROW('CONTROL MASTER'!$S$2:$S$495))-(ROW('CONTROL MASTER'!#REF!)-1))),"")),"")</f>
        <v/>
      </c>
      <c r="F165" s="10" t="str">
        <f>IFERROR(IF(SUMPRODUCT((('CONTROL MASTER'!$S$2:$S$495=12)*('CONTROL MASTER'!$T$2:$T$495&lt;=9)*('CONTROL MASTER'!$V$2:$V$495&gt;=9)*('CONTROL MASTER'!$U$2:$U$495&lt;=5)*('CONTROL MASTER'!$W$2:$W$495&gt;=5))*ROW('CONTROL MASTER'!$S$2:$S$495))&gt;0,INDEX('CONTROL MASTER'!$X$2:$X$495,(SUMPRODUCT((('CONTROL MASTER'!$S$2:$S$495=12)*('CONTROL MASTER'!$T$2:$T$495&lt;=9)*('CONTROL MASTER'!$V$2:$V$495&gt;=9)*('CONTROL MASTER'!$U$2:$U$495&lt;=5)*('CONTROL MASTER'!$W$2:$W$495&gt;=5))*ROW('CONTROL MASTER'!$S$2:$S$495))-(ROW('CONTROL MASTER'!#REF!)-1)))&amp;TRIM(MID(SUBSTITUTE(SUBSTITUTE(INDEX('CONTROL MASTER'!$N$2:$N$495,(SUMPRODUCT((('CONTROL MASTER'!$S$2:$S$495=12)*('CONTROL MASTER'!$T$2:$T$495&lt;=9)*('CONTROL MASTER'!$V$2:$V$495&gt;=9)*('CONTROL MASTER'!$U$2:$U$495&lt;=5)*('CONTROL MASTER'!$W$2:$W$495&gt;=5))*ROW('CONTROL MASTER'!$S$2:$S$495))-(ROW('CONTROL MASTER'!#REF!)-1))),":",","),",",REPT(" ",50)),((((9-INDEX('CONTROL MASTER'!$T$2:$T$495,(SUMPRODUCT((('CONTROL MASTER'!$S$2:$S$495=12)*('CONTROL MASTER'!$T$2:$T$495&lt;=9)*('CONTROL MASTER'!$V$2:$V$495&gt;=9)*('CONTROL MASTER'!$U$2:$U$495&lt;=5)*('CONTROL MASTER'!$W$2:$W$495&gt;=5))*ROW('CONTROL MASTER'!$S$2:$S$495))-(ROW('CONTROL MASTER'!#REF!)-1))))*(INDEX('CONTROL MASTER'!$W$2:$W$495,(SUMPRODUCT((('CONTROL MASTER'!$S$2:$S$495=12)*('CONTROL MASTER'!$T$2:$T$495&lt;=9)*('CONTROL MASTER'!$V$2:$V$495&gt;=9)*('CONTROL MASTER'!$U$2:$U$495&lt;=5)*('CONTROL MASTER'!$W$2:$W$495&gt;=5))*ROW('CONTROL MASTER'!$S$2:$S$495))-(ROW('CONTROL MASTER'!#REF!)-1)))-INDEX('CONTROL MASTER'!$U$2:$U$495,(SUMPRODUCT((('CONTROL MASTER'!$S$2:$S$495=12)*('CONTROL MASTER'!$T$2:$T$495&lt;=9)*('CONTROL MASTER'!$V$2:$V$495&gt;=9)*('CONTROL MASTER'!$U$2:$U$495&lt;=5)*('CONTROL MASTER'!$W$2:$W$495&gt;=5))*ROW('CONTROL MASTER'!$S$2:$S$495))-(ROW('CONTROL MASTER'!#REF!)-1)))+1)+(5-INDEX('CONTROL MASTER'!$U$2:$U$495,(SUMPRODUCT((('CONTROL MASTER'!$S$2:$S$495=12)*('CONTROL MASTER'!$T$2:$T$495&lt;=9)*('CONTROL MASTER'!$V$2:$V$495&gt;=9)*('CONTROL MASTER'!$U$2:$U$495&lt;=5)*('CONTROL MASTER'!$W$2:$W$495&gt;=5))*ROW('CONTROL MASTER'!$S$2:$S$495))-(ROW('CONTROL MASTER'!#REF!)-1))))+1))-1)*50+1,50))&amp;"_"&amp;INDEX('CONTROL MASTER'!$P$2:$P$495,(SUMPRODUCT((('CONTROL MASTER'!$S$2:$S$495=12)*('CONTROL MASTER'!$T$2:$T$495&lt;=9)*('CONTROL MASTER'!$V$2:$V$495&gt;=9)*('CONTROL MASTER'!$U$2:$U$495&lt;=5)*('CONTROL MASTER'!$W$2:$W$495&gt;=5))*ROW('CONTROL MASTER'!$S$2:$S$495))-(ROW('CONTROL MASTER'!#REF!)-1))),IF(SUMPRODUCT((('CONTROL MASTER'!$S$2:$S$495=12)*('CONTROL MASTER'!$Z$2:$Z$495&lt;=9)*('CONTROL MASTER'!$AB$2:$AB$495&gt;=9)*('CONTROL MASTER'!$AA$2:$AA$495&lt;=5)*('CONTROL MASTER'!$AC$2:$AC$495&gt;=5))*ROW('CONTROL MASTER'!$S$2:$S$495))&gt;0,INDEX('CONTROL MASTER'!$X$2:$X$495,(SUMPRODUCT((('CONTROL MASTER'!$S$2:$S$495=12)*('CONTROL MASTER'!$Z$2:$Z$495&lt;=9)*('CONTROL MASTER'!$AB$2:$AB$495&gt;=9)*('CONTROL MASTER'!$AA$2:$AA$495&lt;=5)*('CONTROL MASTER'!$AC$2:$AC$495&gt;=5))*ROW('CONTROL MASTER'!$S$2:$S$495))-(ROW('CONTROL MASTER'!#REF!)-1)))&amp;TRIM(MID(SUBSTITUTE(SUBSTITUTE(INDEX('CONTROL MASTER'!$N$2:$N$495,(SUMPRODUCT((('CONTROL MASTER'!$S$2:$S$495=12)*('CONTROL MASTER'!$Z$2:$Z$495&lt;=9)*('CONTROL MASTER'!$AB$2:$AB$495&gt;=9)*('CONTROL MASTER'!$AA$2:$AA$495&lt;=5)*('CONTROL MASTER'!$AC$2:$AC$495&gt;=5))*ROW('CONTROL MASTER'!$S$2:$S$495))-(ROW('CONTROL MASTER'!#REF!)-1))),":",","),",",REPT(" ",50)),(((INDEX('CONTROL MASTER'!$Y$2:$Y$495,(SUMPRODUCT((('CONTROL MASTER'!$S$2:$S$495=12)*('CONTROL MASTER'!$Z$2:$Z$495&lt;=9)*('CONTROL MASTER'!$AB$2:$AB$495&gt;=9)*('CONTROL MASTER'!$AA$2:$AA$495&lt;=5)*('CONTROL MASTER'!$AC$2:$AC$495&gt;=5))*ROW('CONTROL MASTER'!$S$2:$S$495))-(ROW('CONTROL MASTER'!#REF!)-1)))+((9-INDEX('CONTROL MASTER'!$Z$2:$Z$495,(SUMPRODUCT((('CONTROL MASTER'!$S$2:$S$495=12)*('CONTROL MASTER'!$Z$2:$Z$495&lt;=9)*('CONTROL MASTER'!$AB$2:$AB$495&gt;=9)*('CONTROL MASTER'!$AA$2:$AA$495&lt;=5)*('CONTROL MASTER'!$AC$2:$AC$495&gt;=5))*ROW('CONTROL MASTER'!$S$2:$S$495))-(ROW('CONTROL MASTER'!#REF!)-1))))*(INDEX('CONTROL MASTER'!$AC$2:$AC$495,(SUMPRODUCT((('CONTROL MASTER'!$S$2:$S$495=12)*('CONTROL MASTER'!$Z$2:$Z$495&lt;=9)*('CONTROL MASTER'!$AB$2:$AB$495&gt;=9)*('CONTROL MASTER'!$AA$2:$AA$495&lt;=5)*('CONTROL MASTER'!$AC$2:$AC$495&gt;=5))*ROW('CONTROL MASTER'!$S$2:$S$495))-(ROW('CONTROL MASTER'!#REF!)-1)))-INDEX('CONTROL MASTER'!$AA$2:$AA$495,(SUMPRODUCT((('CONTROL MASTER'!$S$2:$S$495=12)*('CONTROL MASTER'!$Z$2:$Z$495&lt;=9)*('CONTROL MASTER'!$AB$2:$AB$495&gt;=9)*('CONTROL MASTER'!$AA$2:$AA$495&lt;=5)*('CONTROL MASTER'!$AC$2:$AC$495&gt;=5))*ROW('CONTROL MASTER'!$S$2:$S$495))-(ROW('CONTROL MASTER'!#REF!)-1)))+1)+(5-INDEX('CONTROL MASTER'!$AA$2:$AA$495,(SUMPRODUCT((('CONTROL MASTER'!$S$2:$S$495=12)*('CONTROL MASTER'!$Z$2:$Z$495&lt;=9)*('CONTROL MASTER'!$AB$2:$AB$495&gt;=9)*('CONTROL MASTER'!$AA$2:$AA$495&lt;=5)*('CONTROL MASTER'!$AC$2:$AC$495&gt;=5))*ROW('CONTROL MASTER'!$S$2:$S$495))-(ROW('CONTROL MASTER'!#REF!)-1))))+1)))-1)*50+1,50))&amp;"_"&amp;INDEX('CONTROL MASTER'!$P$2:$P$495,(SUMPRODUCT((('CONTROL MASTER'!$S$2:$S$495=12)*('CONTROL MASTER'!$Z$2:$Z$495&lt;=9)*('CONTROL MASTER'!$AB$2:$AB$495&gt;=9)*('CONTROL MASTER'!$AA$2:$AA$495&lt;=5)*('CONTROL MASTER'!$AC$2:$AC$495&gt;=5))*ROW('CONTROL MASTER'!$S$2:$S$495))-(ROW('CONTROL MASTER'!#REF!)-1))),"")),"")</f>
        <v/>
      </c>
      <c r="G165" s="10" t="str">
        <f>IFERROR(IF(SUMPRODUCT((('CONTROL MASTER'!$S$2:$S$495=12)*('CONTROL MASTER'!$T$2:$T$495&lt;=9)*('CONTROL MASTER'!$V$2:$V$495&gt;=9)*('CONTROL MASTER'!$U$2:$U$495&lt;=6)*('CONTROL MASTER'!$W$2:$W$495&gt;=6))*ROW('CONTROL MASTER'!$S$2:$S$495))&gt;0,INDEX('CONTROL MASTER'!$X$2:$X$495,(SUMPRODUCT((('CONTROL MASTER'!$S$2:$S$495=12)*('CONTROL MASTER'!$T$2:$T$495&lt;=9)*('CONTROL MASTER'!$V$2:$V$495&gt;=9)*('CONTROL MASTER'!$U$2:$U$495&lt;=6)*('CONTROL MASTER'!$W$2:$W$495&gt;=6))*ROW('CONTROL MASTER'!$S$2:$S$495))-(ROW('CONTROL MASTER'!#REF!)-1)))&amp;TRIM(MID(SUBSTITUTE(SUBSTITUTE(INDEX('CONTROL MASTER'!$N$2:$N$495,(SUMPRODUCT((('CONTROL MASTER'!$S$2:$S$495=12)*('CONTROL MASTER'!$T$2:$T$495&lt;=9)*('CONTROL MASTER'!$V$2:$V$495&gt;=9)*('CONTROL MASTER'!$U$2:$U$495&lt;=6)*('CONTROL MASTER'!$W$2:$W$495&gt;=6))*ROW('CONTROL MASTER'!$S$2:$S$495))-(ROW('CONTROL MASTER'!#REF!)-1))),":",","),",",REPT(" ",50)),((((9-INDEX('CONTROL MASTER'!$T$2:$T$495,(SUMPRODUCT((('CONTROL MASTER'!$S$2:$S$495=12)*('CONTROL MASTER'!$T$2:$T$495&lt;=9)*('CONTROL MASTER'!$V$2:$V$495&gt;=9)*('CONTROL MASTER'!$U$2:$U$495&lt;=6)*('CONTROL MASTER'!$W$2:$W$495&gt;=6))*ROW('CONTROL MASTER'!$S$2:$S$495))-(ROW('CONTROL MASTER'!#REF!)-1))))*(INDEX('CONTROL MASTER'!$W$2:$W$495,(SUMPRODUCT((('CONTROL MASTER'!$S$2:$S$495=12)*('CONTROL MASTER'!$T$2:$T$495&lt;=9)*('CONTROL MASTER'!$V$2:$V$495&gt;=9)*('CONTROL MASTER'!$U$2:$U$495&lt;=6)*('CONTROL MASTER'!$W$2:$W$495&gt;=6))*ROW('CONTROL MASTER'!$S$2:$S$495))-(ROW('CONTROL MASTER'!#REF!)-1)))-INDEX('CONTROL MASTER'!$U$2:$U$495,(SUMPRODUCT((('CONTROL MASTER'!$S$2:$S$495=12)*('CONTROL MASTER'!$T$2:$T$495&lt;=9)*('CONTROL MASTER'!$V$2:$V$495&gt;=9)*('CONTROL MASTER'!$U$2:$U$495&lt;=6)*('CONTROL MASTER'!$W$2:$W$495&gt;=6))*ROW('CONTROL MASTER'!$S$2:$S$495))-(ROW('CONTROL MASTER'!#REF!)-1)))+1)+(6-INDEX('CONTROL MASTER'!$U$2:$U$495,(SUMPRODUCT((('CONTROL MASTER'!$S$2:$S$495=12)*('CONTROL MASTER'!$T$2:$T$495&lt;=9)*('CONTROL MASTER'!$V$2:$V$495&gt;=9)*('CONTROL MASTER'!$U$2:$U$495&lt;=6)*('CONTROL MASTER'!$W$2:$W$495&gt;=6))*ROW('CONTROL MASTER'!$S$2:$S$495))-(ROW('CONTROL MASTER'!#REF!)-1))))+1))-1)*50+1,50))&amp;"_"&amp;INDEX('CONTROL MASTER'!$P$2:$P$495,(SUMPRODUCT((('CONTROL MASTER'!$S$2:$S$495=12)*('CONTROL MASTER'!$T$2:$T$495&lt;=9)*('CONTROL MASTER'!$V$2:$V$495&gt;=9)*('CONTROL MASTER'!$U$2:$U$495&lt;=6)*('CONTROL MASTER'!$W$2:$W$495&gt;=6))*ROW('CONTROL MASTER'!$S$2:$S$495))-(ROW('CONTROL MASTER'!#REF!)-1))),IF(SUMPRODUCT((('CONTROL MASTER'!$S$2:$S$495=12)*('CONTROL MASTER'!$Z$2:$Z$495&lt;=9)*('CONTROL MASTER'!$AB$2:$AB$495&gt;=9)*('CONTROL MASTER'!$AA$2:$AA$495&lt;=6)*('CONTROL MASTER'!$AC$2:$AC$495&gt;=6))*ROW('CONTROL MASTER'!$S$2:$S$495))&gt;0,INDEX('CONTROL MASTER'!$X$2:$X$495,(SUMPRODUCT((('CONTROL MASTER'!$S$2:$S$495=12)*('CONTROL MASTER'!$Z$2:$Z$495&lt;=9)*('CONTROL MASTER'!$AB$2:$AB$495&gt;=9)*('CONTROL MASTER'!$AA$2:$AA$495&lt;=6)*('CONTROL MASTER'!$AC$2:$AC$495&gt;=6))*ROW('CONTROL MASTER'!$S$2:$S$495))-(ROW('CONTROL MASTER'!#REF!)-1)))&amp;TRIM(MID(SUBSTITUTE(SUBSTITUTE(INDEX('CONTROL MASTER'!$N$2:$N$495,(SUMPRODUCT((('CONTROL MASTER'!$S$2:$S$495=12)*('CONTROL MASTER'!$Z$2:$Z$495&lt;=9)*('CONTROL MASTER'!$AB$2:$AB$495&gt;=9)*('CONTROL MASTER'!$AA$2:$AA$495&lt;=6)*('CONTROL MASTER'!$AC$2:$AC$495&gt;=6))*ROW('CONTROL MASTER'!$S$2:$S$495))-(ROW('CONTROL MASTER'!#REF!)-1))),":",","),",",REPT(" ",50)),(((INDEX('CONTROL MASTER'!$Y$2:$Y$495,(SUMPRODUCT((('CONTROL MASTER'!$S$2:$S$495=12)*('CONTROL MASTER'!$Z$2:$Z$495&lt;=9)*('CONTROL MASTER'!$AB$2:$AB$495&gt;=9)*('CONTROL MASTER'!$AA$2:$AA$495&lt;=6)*('CONTROL MASTER'!$AC$2:$AC$495&gt;=6))*ROW('CONTROL MASTER'!$S$2:$S$495))-(ROW('CONTROL MASTER'!#REF!)-1)))+((9-INDEX('CONTROL MASTER'!$Z$2:$Z$495,(SUMPRODUCT((('CONTROL MASTER'!$S$2:$S$495=12)*('CONTROL MASTER'!$Z$2:$Z$495&lt;=9)*('CONTROL MASTER'!$AB$2:$AB$495&gt;=9)*('CONTROL MASTER'!$AA$2:$AA$495&lt;=6)*('CONTROL MASTER'!$AC$2:$AC$495&gt;=6))*ROW('CONTROL MASTER'!$S$2:$S$495))-(ROW('CONTROL MASTER'!#REF!)-1))))*(INDEX('CONTROL MASTER'!$AC$2:$AC$495,(SUMPRODUCT((('CONTROL MASTER'!$S$2:$S$495=12)*('CONTROL MASTER'!$Z$2:$Z$495&lt;=9)*('CONTROL MASTER'!$AB$2:$AB$495&gt;=9)*('CONTROL MASTER'!$AA$2:$AA$495&lt;=6)*('CONTROL MASTER'!$AC$2:$AC$495&gt;=6))*ROW('CONTROL MASTER'!$S$2:$S$495))-(ROW('CONTROL MASTER'!#REF!)-1)))-INDEX('CONTROL MASTER'!$AA$2:$AA$495,(SUMPRODUCT((('CONTROL MASTER'!$S$2:$S$495=12)*('CONTROL MASTER'!$Z$2:$Z$495&lt;=9)*('CONTROL MASTER'!$AB$2:$AB$495&gt;=9)*('CONTROL MASTER'!$AA$2:$AA$495&lt;=6)*('CONTROL MASTER'!$AC$2:$AC$495&gt;=6))*ROW('CONTROL MASTER'!$S$2:$S$495))-(ROW('CONTROL MASTER'!#REF!)-1)))+1)+(6-INDEX('CONTROL MASTER'!$AA$2:$AA$495,(SUMPRODUCT((('CONTROL MASTER'!$S$2:$S$495=12)*('CONTROL MASTER'!$Z$2:$Z$495&lt;=9)*('CONTROL MASTER'!$AB$2:$AB$495&gt;=9)*('CONTROL MASTER'!$AA$2:$AA$495&lt;=6)*('CONTROL MASTER'!$AC$2:$AC$495&gt;=6))*ROW('CONTROL MASTER'!$S$2:$S$495))-(ROW('CONTROL MASTER'!#REF!)-1))))+1)))-1)*50+1,50))&amp;"_"&amp;INDEX('CONTROL MASTER'!$P$2:$P$495,(SUMPRODUCT((('CONTROL MASTER'!$S$2:$S$495=12)*('CONTROL MASTER'!$Z$2:$Z$495&lt;=9)*('CONTROL MASTER'!$AB$2:$AB$495&gt;=9)*('CONTROL MASTER'!$AA$2:$AA$495&lt;=6)*('CONTROL MASTER'!$AC$2:$AC$495&gt;=6))*ROW('CONTROL MASTER'!$S$2:$S$495))-(ROW('CONTROL MASTER'!#REF!)-1))),"")),"")</f>
        <v/>
      </c>
      <c r="H165" s="10" t="str">
        <f>IFERROR(IF(SUMPRODUCT((('CONTROL MASTER'!$S$2:$S$495=12)*('CONTROL MASTER'!$T$2:$T$495&lt;=9)*('CONTROL MASTER'!$V$2:$V$495&gt;=9)*('CONTROL MASTER'!$U$2:$U$495&lt;=7)*('CONTROL MASTER'!$W$2:$W$495&gt;=7))*ROW('CONTROL MASTER'!$S$2:$S$495))&gt;0,INDEX('CONTROL MASTER'!$X$2:$X$495,(SUMPRODUCT((('CONTROL MASTER'!$S$2:$S$495=12)*('CONTROL MASTER'!$T$2:$T$495&lt;=9)*('CONTROL MASTER'!$V$2:$V$495&gt;=9)*('CONTROL MASTER'!$U$2:$U$495&lt;=7)*('CONTROL MASTER'!$W$2:$W$495&gt;=7))*ROW('CONTROL MASTER'!$S$2:$S$495))-(ROW('CONTROL MASTER'!#REF!)-1)))&amp;TRIM(MID(SUBSTITUTE(SUBSTITUTE(INDEX('CONTROL MASTER'!$N$2:$N$495,(SUMPRODUCT((('CONTROL MASTER'!$S$2:$S$495=12)*('CONTROL MASTER'!$T$2:$T$495&lt;=9)*('CONTROL MASTER'!$V$2:$V$495&gt;=9)*('CONTROL MASTER'!$U$2:$U$495&lt;=7)*('CONTROL MASTER'!$W$2:$W$495&gt;=7))*ROW('CONTROL MASTER'!$S$2:$S$495))-(ROW('CONTROL MASTER'!#REF!)-1))),":",","),",",REPT(" ",50)),((((9-INDEX('CONTROL MASTER'!$T$2:$T$495,(SUMPRODUCT((('CONTROL MASTER'!$S$2:$S$495=12)*('CONTROL MASTER'!$T$2:$T$495&lt;=9)*('CONTROL MASTER'!$V$2:$V$495&gt;=9)*('CONTROL MASTER'!$U$2:$U$495&lt;=7)*('CONTROL MASTER'!$W$2:$W$495&gt;=7))*ROW('CONTROL MASTER'!$S$2:$S$495))-(ROW('CONTROL MASTER'!#REF!)-1))))*(INDEX('CONTROL MASTER'!$W$2:$W$495,(SUMPRODUCT((('CONTROL MASTER'!$S$2:$S$495=12)*('CONTROL MASTER'!$T$2:$T$495&lt;=9)*('CONTROL MASTER'!$V$2:$V$495&gt;=9)*('CONTROL MASTER'!$U$2:$U$495&lt;=7)*('CONTROL MASTER'!$W$2:$W$495&gt;=7))*ROW('CONTROL MASTER'!$S$2:$S$495))-(ROW('CONTROL MASTER'!#REF!)-1)))-INDEX('CONTROL MASTER'!$U$2:$U$495,(SUMPRODUCT((('CONTROL MASTER'!$S$2:$S$495=12)*('CONTROL MASTER'!$T$2:$T$495&lt;=9)*('CONTROL MASTER'!$V$2:$V$495&gt;=9)*('CONTROL MASTER'!$U$2:$U$495&lt;=7)*('CONTROL MASTER'!$W$2:$W$495&gt;=7))*ROW('CONTROL MASTER'!$S$2:$S$495))-(ROW('CONTROL MASTER'!#REF!)-1)))+1)+(7-INDEX('CONTROL MASTER'!$U$2:$U$495,(SUMPRODUCT((('CONTROL MASTER'!$S$2:$S$495=12)*('CONTROL MASTER'!$T$2:$T$495&lt;=9)*('CONTROL MASTER'!$V$2:$V$495&gt;=9)*('CONTROL MASTER'!$U$2:$U$495&lt;=7)*('CONTROL MASTER'!$W$2:$W$495&gt;=7))*ROW('CONTROL MASTER'!$S$2:$S$495))-(ROW('CONTROL MASTER'!#REF!)-1))))+1))-1)*50+1,50))&amp;"_"&amp;INDEX('CONTROL MASTER'!$P$2:$P$495,(SUMPRODUCT((('CONTROL MASTER'!$S$2:$S$495=12)*('CONTROL MASTER'!$T$2:$T$495&lt;=9)*('CONTROL MASTER'!$V$2:$V$495&gt;=9)*('CONTROL MASTER'!$U$2:$U$495&lt;=7)*('CONTROL MASTER'!$W$2:$W$495&gt;=7))*ROW('CONTROL MASTER'!$S$2:$S$495))-(ROW('CONTROL MASTER'!#REF!)-1))),IF(SUMPRODUCT((('CONTROL MASTER'!$S$2:$S$495=12)*('CONTROL MASTER'!$Z$2:$Z$495&lt;=9)*('CONTROL MASTER'!$AB$2:$AB$495&gt;=9)*('CONTROL MASTER'!$AA$2:$AA$495&lt;=7)*('CONTROL MASTER'!$AC$2:$AC$495&gt;=7))*ROW('CONTROL MASTER'!$S$2:$S$495))&gt;0,INDEX('CONTROL MASTER'!$X$2:$X$495,(SUMPRODUCT((('CONTROL MASTER'!$S$2:$S$495=12)*('CONTROL MASTER'!$Z$2:$Z$495&lt;=9)*('CONTROL MASTER'!$AB$2:$AB$495&gt;=9)*('CONTROL MASTER'!$AA$2:$AA$495&lt;=7)*('CONTROL MASTER'!$AC$2:$AC$495&gt;=7))*ROW('CONTROL MASTER'!$S$2:$S$495))-(ROW('CONTROL MASTER'!#REF!)-1)))&amp;TRIM(MID(SUBSTITUTE(SUBSTITUTE(INDEX('CONTROL MASTER'!$N$2:$N$495,(SUMPRODUCT((('CONTROL MASTER'!$S$2:$S$495=12)*('CONTROL MASTER'!$Z$2:$Z$495&lt;=9)*('CONTROL MASTER'!$AB$2:$AB$495&gt;=9)*('CONTROL MASTER'!$AA$2:$AA$495&lt;=7)*('CONTROL MASTER'!$AC$2:$AC$495&gt;=7))*ROW('CONTROL MASTER'!$S$2:$S$495))-(ROW('CONTROL MASTER'!#REF!)-1))),":",","),",",REPT(" ",50)),(((INDEX('CONTROL MASTER'!$Y$2:$Y$495,(SUMPRODUCT((('CONTROL MASTER'!$S$2:$S$495=12)*('CONTROL MASTER'!$Z$2:$Z$495&lt;=9)*('CONTROL MASTER'!$AB$2:$AB$495&gt;=9)*('CONTROL MASTER'!$AA$2:$AA$495&lt;=7)*('CONTROL MASTER'!$AC$2:$AC$495&gt;=7))*ROW('CONTROL MASTER'!$S$2:$S$495))-(ROW('CONTROL MASTER'!#REF!)-1)))+((9-INDEX('CONTROL MASTER'!$Z$2:$Z$495,(SUMPRODUCT((('CONTROL MASTER'!$S$2:$S$495=12)*('CONTROL MASTER'!$Z$2:$Z$495&lt;=9)*('CONTROL MASTER'!$AB$2:$AB$495&gt;=9)*('CONTROL MASTER'!$AA$2:$AA$495&lt;=7)*('CONTROL MASTER'!$AC$2:$AC$495&gt;=7))*ROW('CONTROL MASTER'!$S$2:$S$495))-(ROW('CONTROL MASTER'!#REF!)-1))))*(INDEX('CONTROL MASTER'!$AC$2:$AC$495,(SUMPRODUCT((('CONTROL MASTER'!$S$2:$S$495=12)*('CONTROL MASTER'!$Z$2:$Z$495&lt;=9)*('CONTROL MASTER'!$AB$2:$AB$495&gt;=9)*('CONTROL MASTER'!$AA$2:$AA$495&lt;=7)*('CONTROL MASTER'!$AC$2:$AC$495&gt;=7))*ROW('CONTROL MASTER'!$S$2:$S$495))-(ROW('CONTROL MASTER'!#REF!)-1)))-INDEX('CONTROL MASTER'!$AA$2:$AA$495,(SUMPRODUCT((('CONTROL MASTER'!$S$2:$S$495=12)*('CONTROL MASTER'!$Z$2:$Z$495&lt;=9)*('CONTROL MASTER'!$AB$2:$AB$495&gt;=9)*('CONTROL MASTER'!$AA$2:$AA$495&lt;=7)*('CONTROL MASTER'!$AC$2:$AC$495&gt;=7))*ROW('CONTROL MASTER'!$S$2:$S$495))-(ROW('CONTROL MASTER'!#REF!)-1)))+1)+(7-INDEX('CONTROL MASTER'!$AA$2:$AA$495,(SUMPRODUCT((('CONTROL MASTER'!$S$2:$S$495=12)*('CONTROL MASTER'!$Z$2:$Z$495&lt;=9)*('CONTROL MASTER'!$AB$2:$AB$495&gt;=9)*('CONTROL MASTER'!$AA$2:$AA$495&lt;=7)*('CONTROL MASTER'!$AC$2:$AC$495&gt;=7))*ROW('CONTROL MASTER'!$S$2:$S$495))-(ROW('CONTROL MASTER'!#REF!)-1))))+1)))-1)*50+1,50))&amp;"_"&amp;INDEX('CONTROL MASTER'!$P$2:$P$495,(SUMPRODUCT((('CONTROL MASTER'!$S$2:$S$495=12)*('CONTROL MASTER'!$Z$2:$Z$495&lt;=9)*('CONTROL MASTER'!$AB$2:$AB$495&gt;=9)*('CONTROL MASTER'!$AA$2:$AA$495&lt;=7)*('CONTROL MASTER'!$AC$2:$AC$495&gt;=7))*ROW('CONTROL MASTER'!$S$2:$S$495))-(ROW('CONTROL MASTER'!#REF!)-1))),"")),"")</f>
        <v/>
      </c>
      <c r="I165" s="10" t="str">
        <f>IFERROR(IF(SUMPRODUCT((('CONTROL MASTER'!$S$2:$S$495=12)*('CONTROL MASTER'!$T$2:$T$495&lt;=9)*('CONTROL MASTER'!$V$2:$V$495&gt;=9)*('CONTROL MASTER'!$U$2:$U$495&lt;=8)*('CONTROL MASTER'!$W$2:$W$495&gt;=8))*ROW('CONTROL MASTER'!$S$2:$S$495))&gt;0,INDEX('CONTROL MASTER'!$X$2:$X$495,(SUMPRODUCT((('CONTROL MASTER'!$S$2:$S$495=12)*('CONTROL MASTER'!$T$2:$T$495&lt;=9)*('CONTROL MASTER'!$V$2:$V$495&gt;=9)*('CONTROL MASTER'!$U$2:$U$495&lt;=8)*('CONTROL MASTER'!$W$2:$W$495&gt;=8))*ROW('CONTROL MASTER'!$S$2:$S$495))-(ROW('CONTROL MASTER'!#REF!)-1)))&amp;TRIM(MID(SUBSTITUTE(SUBSTITUTE(INDEX('CONTROL MASTER'!$N$2:$N$495,(SUMPRODUCT((('CONTROL MASTER'!$S$2:$S$495=12)*('CONTROL MASTER'!$T$2:$T$495&lt;=9)*('CONTROL MASTER'!$V$2:$V$495&gt;=9)*('CONTROL MASTER'!$U$2:$U$495&lt;=8)*('CONTROL MASTER'!$W$2:$W$495&gt;=8))*ROW('CONTROL MASTER'!$S$2:$S$495))-(ROW('CONTROL MASTER'!#REF!)-1))),":",","),",",REPT(" ",50)),((((9-INDEX('CONTROL MASTER'!$T$2:$T$495,(SUMPRODUCT((('CONTROL MASTER'!$S$2:$S$495=12)*('CONTROL MASTER'!$T$2:$T$495&lt;=9)*('CONTROL MASTER'!$V$2:$V$495&gt;=9)*('CONTROL MASTER'!$U$2:$U$495&lt;=8)*('CONTROL MASTER'!$W$2:$W$495&gt;=8))*ROW('CONTROL MASTER'!$S$2:$S$495))-(ROW('CONTROL MASTER'!#REF!)-1))))*(INDEX('CONTROL MASTER'!$W$2:$W$495,(SUMPRODUCT((('CONTROL MASTER'!$S$2:$S$495=12)*('CONTROL MASTER'!$T$2:$T$495&lt;=9)*('CONTROL MASTER'!$V$2:$V$495&gt;=9)*('CONTROL MASTER'!$U$2:$U$495&lt;=8)*('CONTROL MASTER'!$W$2:$W$495&gt;=8))*ROW('CONTROL MASTER'!$S$2:$S$495))-(ROW('CONTROL MASTER'!#REF!)-1)))-INDEX('CONTROL MASTER'!$U$2:$U$495,(SUMPRODUCT((('CONTROL MASTER'!$S$2:$S$495=12)*('CONTROL MASTER'!$T$2:$T$495&lt;=9)*('CONTROL MASTER'!$V$2:$V$495&gt;=9)*('CONTROL MASTER'!$U$2:$U$495&lt;=8)*('CONTROL MASTER'!$W$2:$W$495&gt;=8))*ROW('CONTROL MASTER'!$S$2:$S$495))-(ROW('CONTROL MASTER'!#REF!)-1)))+1)+(8-INDEX('CONTROL MASTER'!$U$2:$U$495,(SUMPRODUCT((('CONTROL MASTER'!$S$2:$S$495=12)*('CONTROL MASTER'!$T$2:$T$495&lt;=9)*('CONTROL MASTER'!$V$2:$V$495&gt;=9)*('CONTROL MASTER'!$U$2:$U$495&lt;=8)*('CONTROL MASTER'!$W$2:$W$495&gt;=8))*ROW('CONTROL MASTER'!$S$2:$S$495))-(ROW('CONTROL MASTER'!#REF!)-1))))+1))-1)*50+1,50))&amp;"_"&amp;INDEX('CONTROL MASTER'!$P$2:$P$495,(SUMPRODUCT((('CONTROL MASTER'!$S$2:$S$495=12)*('CONTROL MASTER'!$T$2:$T$495&lt;=9)*('CONTROL MASTER'!$V$2:$V$495&gt;=9)*('CONTROL MASTER'!$U$2:$U$495&lt;=8)*('CONTROL MASTER'!$W$2:$W$495&gt;=8))*ROW('CONTROL MASTER'!$S$2:$S$495))-(ROW('CONTROL MASTER'!#REF!)-1))),IF(SUMPRODUCT((('CONTROL MASTER'!$S$2:$S$495=12)*('CONTROL MASTER'!$Z$2:$Z$495&lt;=9)*('CONTROL MASTER'!$AB$2:$AB$495&gt;=9)*('CONTROL MASTER'!$AA$2:$AA$495&lt;=8)*('CONTROL MASTER'!$AC$2:$AC$495&gt;=8))*ROW('CONTROL MASTER'!$S$2:$S$495))&gt;0,INDEX('CONTROL MASTER'!$X$2:$X$495,(SUMPRODUCT((('CONTROL MASTER'!$S$2:$S$495=12)*('CONTROL MASTER'!$Z$2:$Z$495&lt;=9)*('CONTROL MASTER'!$AB$2:$AB$495&gt;=9)*('CONTROL MASTER'!$AA$2:$AA$495&lt;=8)*('CONTROL MASTER'!$AC$2:$AC$495&gt;=8))*ROW('CONTROL MASTER'!$S$2:$S$495))-(ROW('CONTROL MASTER'!#REF!)-1)))&amp;TRIM(MID(SUBSTITUTE(SUBSTITUTE(INDEX('CONTROL MASTER'!$N$2:$N$495,(SUMPRODUCT((('CONTROL MASTER'!$S$2:$S$495=12)*('CONTROL MASTER'!$Z$2:$Z$495&lt;=9)*('CONTROL MASTER'!$AB$2:$AB$495&gt;=9)*('CONTROL MASTER'!$AA$2:$AA$495&lt;=8)*('CONTROL MASTER'!$AC$2:$AC$495&gt;=8))*ROW('CONTROL MASTER'!$S$2:$S$495))-(ROW('CONTROL MASTER'!#REF!)-1))),":",","),",",REPT(" ",50)),(((INDEX('CONTROL MASTER'!$Y$2:$Y$495,(SUMPRODUCT((('CONTROL MASTER'!$S$2:$S$495=12)*('CONTROL MASTER'!$Z$2:$Z$495&lt;=9)*('CONTROL MASTER'!$AB$2:$AB$495&gt;=9)*('CONTROL MASTER'!$AA$2:$AA$495&lt;=8)*('CONTROL MASTER'!$AC$2:$AC$495&gt;=8))*ROW('CONTROL MASTER'!$S$2:$S$495))-(ROW('CONTROL MASTER'!#REF!)-1)))+((9-INDEX('CONTROL MASTER'!$Z$2:$Z$495,(SUMPRODUCT((('CONTROL MASTER'!$S$2:$S$495=12)*('CONTROL MASTER'!$Z$2:$Z$495&lt;=9)*('CONTROL MASTER'!$AB$2:$AB$495&gt;=9)*('CONTROL MASTER'!$AA$2:$AA$495&lt;=8)*('CONTROL MASTER'!$AC$2:$AC$495&gt;=8))*ROW('CONTROL MASTER'!$S$2:$S$495))-(ROW('CONTROL MASTER'!#REF!)-1))))*(INDEX('CONTROL MASTER'!$AC$2:$AC$495,(SUMPRODUCT((('CONTROL MASTER'!$S$2:$S$495=12)*('CONTROL MASTER'!$Z$2:$Z$495&lt;=9)*('CONTROL MASTER'!$AB$2:$AB$495&gt;=9)*('CONTROL MASTER'!$AA$2:$AA$495&lt;=8)*('CONTROL MASTER'!$AC$2:$AC$495&gt;=8))*ROW('CONTROL MASTER'!$S$2:$S$495))-(ROW('CONTROL MASTER'!#REF!)-1)))-INDEX('CONTROL MASTER'!$AA$2:$AA$495,(SUMPRODUCT((('CONTROL MASTER'!$S$2:$S$495=12)*('CONTROL MASTER'!$Z$2:$Z$495&lt;=9)*('CONTROL MASTER'!$AB$2:$AB$495&gt;=9)*('CONTROL MASTER'!$AA$2:$AA$495&lt;=8)*('CONTROL MASTER'!$AC$2:$AC$495&gt;=8))*ROW('CONTROL MASTER'!$S$2:$S$495))-(ROW('CONTROL MASTER'!#REF!)-1)))+1)+(8-INDEX('CONTROL MASTER'!$AA$2:$AA$495,(SUMPRODUCT((('CONTROL MASTER'!$S$2:$S$495=12)*('CONTROL MASTER'!$Z$2:$Z$495&lt;=9)*('CONTROL MASTER'!$AB$2:$AB$495&gt;=9)*('CONTROL MASTER'!$AA$2:$AA$495&lt;=8)*('CONTROL MASTER'!$AC$2:$AC$495&gt;=8))*ROW('CONTROL MASTER'!$S$2:$S$495))-(ROW('CONTROL MASTER'!#REF!)-1))))+1)))-1)*50+1,50))&amp;"_"&amp;INDEX('CONTROL MASTER'!$P$2:$P$495,(SUMPRODUCT((('CONTROL MASTER'!$S$2:$S$495=12)*('CONTROL MASTER'!$Z$2:$Z$495&lt;=9)*('CONTROL MASTER'!$AB$2:$AB$495&gt;=9)*('CONTROL MASTER'!$AA$2:$AA$495&lt;=8)*('CONTROL MASTER'!$AC$2:$AC$495&gt;=8))*ROW('CONTROL MASTER'!$S$2:$S$495))-(ROW('CONTROL MASTER'!#REF!)-1))),"")),"")</f>
        <v/>
      </c>
      <c r="J165" s="10" t="str">
        <f>IFERROR(IF(SUMPRODUCT((('CONTROL MASTER'!$S$2:$S$495=12)*('CONTROL MASTER'!$T$2:$T$495&lt;=9)*('CONTROL MASTER'!$V$2:$V$495&gt;=9)*('CONTROL MASTER'!$U$2:$U$495&lt;=9)*('CONTROL MASTER'!$W$2:$W$495&gt;=9))*ROW('CONTROL MASTER'!$S$2:$S$495))&gt;0,INDEX('CONTROL MASTER'!$X$2:$X$495,(SUMPRODUCT((('CONTROL MASTER'!$S$2:$S$495=12)*('CONTROL MASTER'!$T$2:$T$495&lt;=9)*('CONTROL MASTER'!$V$2:$V$495&gt;=9)*('CONTROL MASTER'!$U$2:$U$495&lt;=9)*('CONTROL MASTER'!$W$2:$W$495&gt;=9))*ROW('CONTROL MASTER'!$S$2:$S$495))-(ROW('CONTROL MASTER'!#REF!)-1)))&amp;TRIM(MID(SUBSTITUTE(SUBSTITUTE(INDEX('CONTROL MASTER'!$N$2:$N$495,(SUMPRODUCT((('CONTROL MASTER'!$S$2:$S$495=12)*('CONTROL MASTER'!$T$2:$T$495&lt;=9)*('CONTROL MASTER'!$V$2:$V$495&gt;=9)*('CONTROL MASTER'!$U$2:$U$495&lt;=9)*('CONTROL MASTER'!$W$2:$W$495&gt;=9))*ROW('CONTROL MASTER'!$S$2:$S$495))-(ROW('CONTROL MASTER'!#REF!)-1))),":",","),",",REPT(" ",50)),((((9-INDEX('CONTROL MASTER'!$T$2:$T$495,(SUMPRODUCT((('CONTROL MASTER'!$S$2:$S$495=12)*('CONTROL MASTER'!$T$2:$T$495&lt;=9)*('CONTROL MASTER'!$V$2:$V$495&gt;=9)*('CONTROL MASTER'!$U$2:$U$495&lt;=9)*('CONTROL MASTER'!$W$2:$W$495&gt;=9))*ROW('CONTROL MASTER'!$S$2:$S$495))-(ROW('CONTROL MASTER'!#REF!)-1))))*(INDEX('CONTROL MASTER'!$W$2:$W$495,(SUMPRODUCT((('CONTROL MASTER'!$S$2:$S$495=12)*('CONTROL MASTER'!$T$2:$T$495&lt;=9)*('CONTROL MASTER'!$V$2:$V$495&gt;=9)*('CONTROL MASTER'!$U$2:$U$495&lt;=9)*('CONTROL MASTER'!$W$2:$W$495&gt;=9))*ROW('CONTROL MASTER'!$S$2:$S$495))-(ROW('CONTROL MASTER'!#REF!)-1)))-INDEX('CONTROL MASTER'!$U$2:$U$495,(SUMPRODUCT((('CONTROL MASTER'!$S$2:$S$495=12)*('CONTROL MASTER'!$T$2:$T$495&lt;=9)*('CONTROL MASTER'!$V$2:$V$495&gt;=9)*('CONTROL MASTER'!$U$2:$U$495&lt;=9)*('CONTROL MASTER'!$W$2:$W$495&gt;=9))*ROW('CONTROL MASTER'!$S$2:$S$495))-(ROW('CONTROL MASTER'!#REF!)-1)))+1)+(9-INDEX('CONTROL MASTER'!$U$2:$U$495,(SUMPRODUCT((('CONTROL MASTER'!$S$2:$S$495=12)*('CONTROL MASTER'!$T$2:$T$495&lt;=9)*('CONTROL MASTER'!$V$2:$V$495&gt;=9)*('CONTROL MASTER'!$U$2:$U$495&lt;=9)*('CONTROL MASTER'!$W$2:$W$495&gt;=9))*ROW('CONTROL MASTER'!$S$2:$S$495))-(ROW('CONTROL MASTER'!#REF!)-1))))+1))-1)*50+1,50))&amp;"_"&amp;INDEX('CONTROL MASTER'!$P$2:$P$495,(SUMPRODUCT((('CONTROL MASTER'!$S$2:$S$495=12)*('CONTROL MASTER'!$T$2:$T$495&lt;=9)*('CONTROL MASTER'!$V$2:$V$495&gt;=9)*('CONTROL MASTER'!$U$2:$U$495&lt;=9)*('CONTROL MASTER'!$W$2:$W$495&gt;=9))*ROW('CONTROL MASTER'!$S$2:$S$495))-(ROW('CONTROL MASTER'!#REF!)-1))),IF(SUMPRODUCT((('CONTROL MASTER'!$S$2:$S$495=12)*('CONTROL MASTER'!$Z$2:$Z$495&lt;=9)*('CONTROL MASTER'!$AB$2:$AB$495&gt;=9)*('CONTROL MASTER'!$AA$2:$AA$495&lt;=9)*('CONTROL MASTER'!$AC$2:$AC$495&gt;=9))*ROW('CONTROL MASTER'!$S$2:$S$495))&gt;0,INDEX('CONTROL MASTER'!$X$2:$X$495,(SUMPRODUCT((('CONTROL MASTER'!$S$2:$S$495=12)*('CONTROL MASTER'!$Z$2:$Z$495&lt;=9)*('CONTROL MASTER'!$AB$2:$AB$495&gt;=9)*('CONTROL MASTER'!$AA$2:$AA$495&lt;=9)*('CONTROL MASTER'!$AC$2:$AC$495&gt;=9))*ROW('CONTROL MASTER'!$S$2:$S$495))-(ROW('CONTROL MASTER'!#REF!)-1)))&amp;TRIM(MID(SUBSTITUTE(SUBSTITUTE(INDEX('CONTROL MASTER'!$N$2:$N$495,(SUMPRODUCT((('CONTROL MASTER'!$S$2:$S$495=12)*('CONTROL MASTER'!$Z$2:$Z$495&lt;=9)*('CONTROL MASTER'!$AB$2:$AB$495&gt;=9)*('CONTROL MASTER'!$AA$2:$AA$495&lt;=9)*('CONTROL MASTER'!$AC$2:$AC$495&gt;=9))*ROW('CONTROL MASTER'!$S$2:$S$495))-(ROW('CONTROL MASTER'!#REF!)-1))),":",","),",",REPT(" ",50)),(((INDEX('CONTROL MASTER'!$Y$2:$Y$495,(SUMPRODUCT((('CONTROL MASTER'!$S$2:$S$495=12)*('CONTROL MASTER'!$Z$2:$Z$495&lt;=9)*('CONTROL MASTER'!$AB$2:$AB$495&gt;=9)*('CONTROL MASTER'!$AA$2:$AA$495&lt;=9)*('CONTROL MASTER'!$AC$2:$AC$495&gt;=9))*ROW('CONTROL MASTER'!$S$2:$S$495))-(ROW('CONTROL MASTER'!#REF!)-1)))+((9-INDEX('CONTROL MASTER'!$Z$2:$Z$495,(SUMPRODUCT((('CONTROL MASTER'!$S$2:$S$495=12)*('CONTROL MASTER'!$Z$2:$Z$495&lt;=9)*('CONTROL MASTER'!$AB$2:$AB$495&gt;=9)*('CONTROL MASTER'!$AA$2:$AA$495&lt;=9)*('CONTROL MASTER'!$AC$2:$AC$495&gt;=9))*ROW('CONTROL MASTER'!$S$2:$S$495))-(ROW('CONTROL MASTER'!#REF!)-1))))*(INDEX('CONTROL MASTER'!$AC$2:$AC$495,(SUMPRODUCT((('CONTROL MASTER'!$S$2:$S$495=12)*('CONTROL MASTER'!$Z$2:$Z$495&lt;=9)*('CONTROL MASTER'!$AB$2:$AB$495&gt;=9)*('CONTROL MASTER'!$AA$2:$AA$495&lt;=9)*('CONTROL MASTER'!$AC$2:$AC$495&gt;=9))*ROW('CONTROL MASTER'!$S$2:$S$495))-(ROW('CONTROL MASTER'!#REF!)-1)))-INDEX('CONTROL MASTER'!$AA$2:$AA$495,(SUMPRODUCT((('CONTROL MASTER'!$S$2:$S$495=12)*('CONTROL MASTER'!$Z$2:$Z$495&lt;=9)*('CONTROL MASTER'!$AB$2:$AB$495&gt;=9)*('CONTROL MASTER'!$AA$2:$AA$495&lt;=9)*('CONTROL MASTER'!$AC$2:$AC$495&gt;=9))*ROW('CONTROL MASTER'!$S$2:$S$495))-(ROW('CONTROL MASTER'!#REF!)-1)))+1)+(9-INDEX('CONTROL MASTER'!$AA$2:$AA$495,(SUMPRODUCT((('CONTROL MASTER'!$S$2:$S$495=12)*('CONTROL MASTER'!$Z$2:$Z$495&lt;=9)*('CONTROL MASTER'!$AB$2:$AB$495&gt;=9)*('CONTROL MASTER'!$AA$2:$AA$495&lt;=9)*('CONTROL MASTER'!$AC$2:$AC$495&gt;=9))*ROW('CONTROL MASTER'!$S$2:$S$495))-(ROW('CONTROL MASTER'!#REF!)-1))))+1)))-1)*50+1,50))&amp;"_"&amp;INDEX('CONTROL MASTER'!$P$2:$P$495,(SUMPRODUCT((('CONTROL MASTER'!$S$2:$S$495=12)*('CONTROL MASTER'!$Z$2:$Z$495&lt;=9)*('CONTROL MASTER'!$AB$2:$AB$495&gt;=9)*('CONTROL MASTER'!$AA$2:$AA$495&lt;=9)*('CONTROL MASTER'!$AC$2:$AC$495&gt;=9))*ROW('CONTROL MASTER'!$S$2:$S$495))-(ROW('CONTROL MASTER'!#REF!)-1))),"")),"")</f>
        <v/>
      </c>
      <c r="K165" s="10" t="str">
        <f>IFERROR(IF(SUMPRODUCT((('CONTROL MASTER'!$S$2:$S$495=12)*('CONTROL MASTER'!$T$2:$T$495&lt;=9)*('CONTROL MASTER'!$V$2:$V$495&gt;=9)*('CONTROL MASTER'!$U$2:$U$495&lt;=10)*('CONTROL MASTER'!$W$2:$W$495&gt;=10))*ROW('CONTROL MASTER'!$S$2:$S$495))&gt;0,INDEX('CONTROL MASTER'!$X$2:$X$495,(SUMPRODUCT((('CONTROL MASTER'!$S$2:$S$495=12)*('CONTROL MASTER'!$T$2:$T$495&lt;=9)*('CONTROL MASTER'!$V$2:$V$495&gt;=9)*('CONTROL MASTER'!$U$2:$U$495&lt;=10)*('CONTROL MASTER'!$W$2:$W$495&gt;=10))*ROW('CONTROL MASTER'!$S$2:$S$495))-(ROW('CONTROL MASTER'!#REF!)-1)))&amp;TRIM(MID(SUBSTITUTE(SUBSTITUTE(INDEX('CONTROL MASTER'!$N$2:$N$495,(SUMPRODUCT((('CONTROL MASTER'!$S$2:$S$495=12)*('CONTROL MASTER'!$T$2:$T$495&lt;=9)*('CONTROL MASTER'!$V$2:$V$495&gt;=9)*('CONTROL MASTER'!$U$2:$U$495&lt;=10)*('CONTROL MASTER'!$W$2:$W$495&gt;=10))*ROW('CONTROL MASTER'!$S$2:$S$495))-(ROW('CONTROL MASTER'!#REF!)-1))),":",","),",",REPT(" ",50)),((((9-INDEX('CONTROL MASTER'!$T$2:$T$495,(SUMPRODUCT((('CONTROL MASTER'!$S$2:$S$495=12)*('CONTROL MASTER'!$T$2:$T$495&lt;=9)*('CONTROL MASTER'!$V$2:$V$495&gt;=9)*('CONTROL MASTER'!$U$2:$U$495&lt;=10)*('CONTROL MASTER'!$W$2:$W$495&gt;=10))*ROW('CONTROL MASTER'!$S$2:$S$495))-(ROW('CONTROL MASTER'!#REF!)-1))))*(INDEX('CONTROL MASTER'!$W$2:$W$495,(SUMPRODUCT((('CONTROL MASTER'!$S$2:$S$495=12)*('CONTROL MASTER'!$T$2:$T$495&lt;=9)*('CONTROL MASTER'!$V$2:$V$495&gt;=9)*('CONTROL MASTER'!$U$2:$U$495&lt;=10)*('CONTROL MASTER'!$W$2:$W$495&gt;=10))*ROW('CONTROL MASTER'!$S$2:$S$495))-(ROW('CONTROL MASTER'!#REF!)-1)))-INDEX('CONTROL MASTER'!$U$2:$U$495,(SUMPRODUCT((('CONTROL MASTER'!$S$2:$S$495=12)*('CONTROL MASTER'!$T$2:$T$495&lt;=9)*('CONTROL MASTER'!$V$2:$V$495&gt;=9)*('CONTROL MASTER'!$U$2:$U$495&lt;=10)*('CONTROL MASTER'!$W$2:$W$495&gt;=10))*ROW('CONTROL MASTER'!$S$2:$S$495))-(ROW('CONTROL MASTER'!#REF!)-1)))+1)+(10-INDEX('CONTROL MASTER'!$U$2:$U$495,(SUMPRODUCT((('CONTROL MASTER'!$S$2:$S$495=12)*('CONTROL MASTER'!$T$2:$T$495&lt;=9)*('CONTROL MASTER'!$V$2:$V$495&gt;=9)*('CONTROL MASTER'!$U$2:$U$495&lt;=10)*('CONTROL MASTER'!$W$2:$W$495&gt;=10))*ROW('CONTROL MASTER'!$S$2:$S$495))-(ROW('CONTROL MASTER'!#REF!)-1))))+1))-1)*50+1,50))&amp;"_"&amp;INDEX('CONTROL MASTER'!$P$2:$P$495,(SUMPRODUCT((('CONTROL MASTER'!$S$2:$S$495=12)*('CONTROL MASTER'!$T$2:$T$495&lt;=9)*('CONTROL MASTER'!$V$2:$V$495&gt;=9)*('CONTROL MASTER'!$U$2:$U$495&lt;=10)*('CONTROL MASTER'!$W$2:$W$495&gt;=10))*ROW('CONTROL MASTER'!$S$2:$S$495))-(ROW('CONTROL MASTER'!#REF!)-1))),IF(SUMPRODUCT((('CONTROL MASTER'!$S$2:$S$495=12)*('CONTROL MASTER'!$Z$2:$Z$495&lt;=9)*('CONTROL MASTER'!$AB$2:$AB$495&gt;=9)*('CONTROL MASTER'!$AA$2:$AA$495&lt;=10)*('CONTROL MASTER'!$AC$2:$AC$495&gt;=10))*ROW('CONTROL MASTER'!$S$2:$S$495))&gt;0,INDEX('CONTROL MASTER'!$X$2:$X$495,(SUMPRODUCT((('CONTROL MASTER'!$S$2:$S$495=12)*('CONTROL MASTER'!$Z$2:$Z$495&lt;=9)*('CONTROL MASTER'!$AB$2:$AB$495&gt;=9)*('CONTROL MASTER'!$AA$2:$AA$495&lt;=10)*('CONTROL MASTER'!$AC$2:$AC$495&gt;=10))*ROW('CONTROL MASTER'!$S$2:$S$495))-(ROW('CONTROL MASTER'!#REF!)-1)))&amp;TRIM(MID(SUBSTITUTE(SUBSTITUTE(INDEX('CONTROL MASTER'!$N$2:$N$495,(SUMPRODUCT((('CONTROL MASTER'!$S$2:$S$495=12)*('CONTROL MASTER'!$Z$2:$Z$495&lt;=9)*('CONTROL MASTER'!$AB$2:$AB$495&gt;=9)*('CONTROL MASTER'!$AA$2:$AA$495&lt;=10)*('CONTROL MASTER'!$AC$2:$AC$495&gt;=10))*ROW('CONTROL MASTER'!$S$2:$S$495))-(ROW('CONTROL MASTER'!#REF!)-1))),":",","),",",REPT(" ",50)),(((INDEX('CONTROL MASTER'!$Y$2:$Y$495,(SUMPRODUCT((('CONTROL MASTER'!$S$2:$S$495=12)*('CONTROL MASTER'!$Z$2:$Z$495&lt;=9)*('CONTROL MASTER'!$AB$2:$AB$495&gt;=9)*('CONTROL MASTER'!$AA$2:$AA$495&lt;=10)*('CONTROL MASTER'!$AC$2:$AC$495&gt;=10))*ROW('CONTROL MASTER'!$S$2:$S$495))-(ROW('CONTROL MASTER'!#REF!)-1)))+((9-INDEX('CONTROL MASTER'!$Z$2:$Z$495,(SUMPRODUCT((('CONTROL MASTER'!$S$2:$S$495=12)*('CONTROL MASTER'!$Z$2:$Z$495&lt;=9)*('CONTROL MASTER'!$AB$2:$AB$495&gt;=9)*('CONTROL MASTER'!$AA$2:$AA$495&lt;=10)*('CONTROL MASTER'!$AC$2:$AC$495&gt;=10))*ROW('CONTROL MASTER'!$S$2:$S$495))-(ROW('CONTROL MASTER'!#REF!)-1))))*(INDEX('CONTROL MASTER'!$AC$2:$AC$495,(SUMPRODUCT((('CONTROL MASTER'!$S$2:$S$495=12)*('CONTROL MASTER'!$Z$2:$Z$495&lt;=9)*('CONTROL MASTER'!$AB$2:$AB$495&gt;=9)*('CONTROL MASTER'!$AA$2:$AA$495&lt;=10)*('CONTROL MASTER'!$AC$2:$AC$495&gt;=10))*ROW('CONTROL MASTER'!$S$2:$S$495))-(ROW('CONTROL MASTER'!#REF!)-1)))-INDEX('CONTROL MASTER'!$AA$2:$AA$495,(SUMPRODUCT((('CONTROL MASTER'!$S$2:$S$495=12)*('CONTROL MASTER'!$Z$2:$Z$495&lt;=9)*('CONTROL MASTER'!$AB$2:$AB$495&gt;=9)*('CONTROL MASTER'!$AA$2:$AA$495&lt;=10)*('CONTROL MASTER'!$AC$2:$AC$495&gt;=10))*ROW('CONTROL MASTER'!$S$2:$S$495))-(ROW('CONTROL MASTER'!#REF!)-1)))+1)+(10-INDEX('CONTROL MASTER'!$AA$2:$AA$495,(SUMPRODUCT((('CONTROL MASTER'!$S$2:$S$495=12)*('CONTROL MASTER'!$Z$2:$Z$495&lt;=9)*('CONTROL MASTER'!$AB$2:$AB$495&gt;=9)*('CONTROL MASTER'!$AA$2:$AA$495&lt;=10)*('CONTROL MASTER'!$AC$2:$AC$495&gt;=10))*ROW('CONTROL MASTER'!$S$2:$S$495))-(ROW('CONTROL MASTER'!#REF!)-1))))+1)))-1)*50+1,50))&amp;"_"&amp;INDEX('CONTROL MASTER'!$P$2:$P$495,(SUMPRODUCT((('CONTROL MASTER'!$S$2:$S$495=12)*('CONTROL MASTER'!$Z$2:$Z$495&lt;=9)*('CONTROL MASTER'!$AB$2:$AB$495&gt;=9)*('CONTROL MASTER'!$AA$2:$AA$495&lt;=10)*('CONTROL MASTER'!$AC$2:$AC$495&gt;=10))*ROW('CONTROL MASTER'!$S$2:$S$495))-(ROW('CONTROL MASTER'!#REF!)-1))),"")),"")</f>
        <v/>
      </c>
    </row>
    <row r="166" spans="1:11" ht="15" customHeight="1" x14ac:dyDescent="0.35">
      <c r="A166" s="8" t="s">
        <v>82</v>
      </c>
      <c r="B166" s="10" t="str">
        <f>IFERROR(IF(SUMPRODUCT((('CONTROL MASTER'!$S$2:$S$495=12)*('CONTROL MASTER'!$T$2:$T$495&lt;=10)*('CONTROL MASTER'!$V$2:$V$495&gt;=10)*('CONTROL MASTER'!$U$2:$U$495&lt;=1)*('CONTROL MASTER'!$W$2:$W$495&gt;=1))*ROW('CONTROL MASTER'!$S$2:$S$495))&gt;0,INDEX('CONTROL MASTER'!$X$2:$X$495,(SUMPRODUCT((('CONTROL MASTER'!$S$2:$S$495=12)*('CONTROL MASTER'!$T$2:$T$495&lt;=10)*('CONTROL MASTER'!$V$2:$V$495&gt;=10)*('CONTROL MASTER'!$U$2:$U$495&lt;=1)*('CONTROL MASTER'!$W$2:$W$495&gt;=1))*ROW('CONTROL MASTER'!$S$2:$S$495))-(ROW('CONTROL MASTER'!#REF!)-1)))&amp;TRIM(MID(SUBSTITUTE(SUBSTITUTE(INDEX('CONTROL MASTER'!$N$2:$N$495,(SUMPRODUCT((('CONTROL MASTER'!$S$2:$S$495=12)*('CONTROL MASTER'!$T$2:$T$495&lt;=10)*('CONTROL MASTER'!$V$2:$V$495&gt;=10)*('CONTROL MASTER'!$U$2:$U$495&lt;=1)*('CONTROL MASTER'!$W$2:$W$495&gt;=1))*ROW('CONTROL MASTER'!$S$2:$S$495))-(ROW('CONTROL MASTER'!#REF!)-1))),":",","),",",REPT(" ",50)),((((10-INDEX('CONTROL MASTER'!$T$2:$T$495,(SUMPRODUCT((('CONTROL MASTER'!$S$2:$S$495=12)*('CONTROL MASTER'!$T$2:$T$495&lt;=10)*('CONTROL MASTER'!$V$2:$V$495&gt;=10)*('CONTROL MASTER'!$U$2:$U$495&lt;=1)*('CONTROL MASTER'!$W$2:$W$495&gt;=1))*ROW('CONTROL MASTER'!$S$2:$S$495))-(ROW('CONTROL MASTER'!#REF!)-1))))*(INDEX('CONTROL MASTER'!$W$2:$W$495,(SUMPRODUCT((('CONTROL MASTER'!$S$2:$S$495=12)*('CONTROL MASTER'!$T$2:$T$495&lt;=10)*('CONTROL MASTER'!$V$2:$V$495&gt;=10)*('CONTROL MASTER'!$U$2:$U$495&lt;=1)*('CONTROL MASTER'!$W$2:$W$495&gt;=1))*ROW('CONTROL MASTER'!$S$2:$S$495))-(ROW('CONTROL MASTER'!#REF!)-1)))-INDEX('CONTROL MASTER'!$U$2:$U$495,(SUMPRODUCT((('CONTROL MASTER'!$S$2:$S$495=12)*('CONTROL MASTER'!$T$2:$T$495&lt;=10)*('CONTROL MASTER'!$V$2:$V$495&gt;=10)*('CONTROL MASTER'!$U$2:$U$495&lt;=1)*('CONTROL MASTER'!$W$2:$W$495&gt;=1))*ROW('CONTROL MASTER'!$S$2:$S$495))-(ROW('CONTROL MASTER'!#REF!)-1)))+1)+(1-INDEX('CONTROL MASTER'!$U$2:$U$495,(SUMPRODUCT((('CONTROL MASTER'!$S$2:$S$495=12)*('CONTROL MASTER'!$T$2:$T$495&lt;=10)*('CONTROL MASTER'!$V$2:$V$495&gt;=10)*('CONTROL MASTER'!$U$2:$U$495&lt;=1)*('CONTROL MASTER'!$W$2:$W$495&gt;=1))*ROW('CONTROL MASTER'!$S$2:$S$495))-(ROW('CONTROL MASTER'!#REF!)-1))))+1))-1)*50+1,50))&amp;"_"&amp;INDEX('CONTROL MASTER'!$P$2:$P$495,(SUMPRODUCT((('CONTROL MASTER'!$S$2:$S$495=12)*('CONTROL MASTER'!$T$2:$T$495&lt;=10)*('CONTROL MASTER'!$V$2:$V$495&gt;=10)*('CONTROL MASTER'!$U$2:$U$495&lt;=1)*('CONTROL MASTER'!$W$2:$W$495&gt;=1))*ROW('CONTROL MASTER'!$S$2:$S$495))-(ROW('CONTROL MASTER'!#REF!)-1))),IF(SUMPRODUCT((('CONTROL MASTER'!$S$2:$S$495=12)*('CONTROL MASTER'!$Z$2:$Z$495&lt;=10)*('CONTROL MASTER'!$AB$2:$AB$495&gt;=10)*('CONTROL MASTER'!$AA$2:$AA$495&lt;=1)*('CONTROL MASTER'!$AC$2:$AC$495&gt;=1))*ROW('CONTROL MASTER'!$S$2:$S$495))&gt;0,INDEX('CONTROL MASTER'!$X$2:$X$495,(SUMPRODUCT((('CONTROL MASTER'!$S$2:$S$495=12)*('CONTROL MASTER'!$Z$2:$Z$495&lt;=10)*('CONTROL MASTER'!$AB$2:$AB$495&gt;=10)*('CONTROL MASTER'!$AA$2:$AA$495&lt;=1)*('CONTROL MASTER'!$AC$2:$AC$495&gt;=1))*ROW('CONTROL MASTER'!$S$2:$S$495))-(ROW('CONTROL MASTER'!#REF!)-1)))&amp;TRIM(MID(SUBSTITUTE(SUBSTITUTE(INDEX('CONTROL MASTER'!$N$2:$N$495,(SUMPRODUCT((('CONTROL MASTER'!$S$2:$S$495=12)*('CONTROL MASTER'!$Z$2:$Z$495&lt;=10)*('CONTROL MASTER'!$AB$2:$AB$495&gt;=10)*('CONTROL MASTER'!$AA$2:$AA$495&lt;=1)*('CONTROL MASTER'!$AC$2:$AC$495&gt;=1))*ROW('CONTROL MASTER'!$S$2:$S$495))-(ROW('CONTROL MASTER'!#REF!)-1))),":",","),",",REPT(" ",50)),(((INDEX('CONTROL MASTER'!$Y$2:$Y$495,(SUMPRODUCT((('CONTROL MASTER'!$S$2:$S$495=12)*('CONTROL MASTER'!$Z$2:$Z$495&lt;=10)*('CONTROL MASTER'!$AB$2:$AB$495&gt;=10)*('CONTROL MASTER'!$AA$2:$AA$495&lt;=1)*('CONTROL MASTER'!$AC$2:$AC$495&gt;=1))*ROW('CONTROL MASTER'!$S$2:$S$495))-(ROW('CONTROL MASTER'!#REF!)-1)))+((10-INDEX('CONTROL MASTER'!$Z$2:$Z$495,(SUMPRODUCT((('CONTROL MASTER'!$S$2:$S$495=12)*('CONTROL MASTER'!$Z$2:$Z$495&lt;=10)*('CONTROL MASTER'!$AB$2:$AB$495&gt;=10)*('CONTROL MASTER'!$AA$2:$AA$495&lt;=1)*('CONTROL MASTER'!$AC$2:$AC$495&gt;=1))*ROW('CONTROL MASTER'!$S$2:$S$495))-(ROW('CONTROL MASTER'!#REF!)-1))))*(INDEX('CONTROL MASTER'!$AC$2:$AC$495,(SUMPRODUCT((('CONTROL MASTER'!$S$2:$S$495=12)*('CONTROL MASTER'!$Z$2:$Z$495&lt;=10)*('CONTROL MASTER'!$AB$2:$AB$495&gt;=10)*('CONTROL MASTER'!$AA$2:$AA$495&lt;=1)*('CONTROL MASTER'!$AC$2:$AC$495&gt;=1))*ROW('CONTROL MASTER'!$S$2:$S$495))-(ROW('CONTROL MASTER'!#REF!)-1)))-INDEX('CONTROL MASTER'!$AA$2:$AA$495,(SUMPRODUCT((('CONTROL MASTER'!$S$2:$S$495=12)*('CONTROL MASTER'!$Z$2:$Z$495&lt;=10)*('CONTROL MASTER'!$AB$2:$AB$495&gt;=10)*('CONTROL MASTER'!$AA$2:$AA$495&lt;=1)*('CONTROL MASTER'!$AC$2:$AC$495&gt;=1))*ROW('CONTROL MASTER'!$S$2:$S$495))-(ROW('CONTROL MASTER'!#REF!)-1)))+1)+(1-INDEX('CONTROL MASTER'!$AA$2:$AA$495,(SUMPRODUCT((('CONTROL MASTER'!$S$2:$S$495=12)*('CONTROL MASTER'!$Z$2:$Z$495&lt;=10)*('CONTROL MASTER'!$AB$2:$AB$495&gt;=10)*('CONTROL MASTER'!$AA$2:$AA$495&lt;=1)*('CONTROL MASTER'!$AC$2:$AC$495&gt;=1))*ROW('CONTROL MASTER'!$S$2:$S$495))-(ROW('CONTROL MASTER'!#REF!)-1))))+1)))-1)*50+1,50))&amp;"_"&amp;INDEX('CONTROL MASTER'!$P$2:$P$495,(SUMPRODUCT((('CONTROL MASTER'!$S$2:$S$495=12)*('CONTROL MASTER'!$Z$2:$Z$495&lt;=10)*('CONTROL MASTER'!$AB$2:$AB$495&gt;=10)*('CONTROL MASTER'!$AA$2:$AA$495&lt;=1)*('CONTROL MASTER'!$AC$2:$AC$495&gt;=1))*ROW('CONTROL MASTER'!$S$2:$S$495))-(ROW('CONTROL MASTER'!#REF!)-1))),"")),"")</f>
        <v/>
      </c>
      <c r="C166" s="10" t="str">
        <f>IFERROR(IF(SUMPRODUCT((('CONTROL MASTER'!$S$2:$S$495=12)*('CONTROL MASTER'!$T$2:$T$495&lt;=10)*('CONTROL MASTER'!$V$2:$V$495&gt;=10)*('CONTROL MASTER'!$U$2:$U$495&lt;=2)*('CONTROL MASTER'!$W$2:$W$495&gt;=2))*ROW('CONTROL MASTER'!$S$2:$S$495))&gt;0,INDEX('CONTROL MASTER'!$X$2:$X$495,(SUMPRODUCT((('CONTROL MASTER'!$S$2:$S$495=12)*('CONTROL MASTER'!$T$2:$T$495&lt;=10)*('CONTROL MASTER'!$V$2:$V$495&gt;=10)*('CONTROL MASTER'!$U$2:$U$495&lt;=2)*('CONTROL MASTER'!$W$2:$W$495&gt;=2))*ROW('CONTROL MASTER'!$S$2:$S$495))-(ROW('CONTROL MASTER'!#REF!)-1)))&amp;TRIM(MID(SUBSTITUTE(SUBSTITUTE(INDEX('CONTROL MASTER'!$N$2:$N$495,(SUMPRODUCT((('CONTROL MASTER'!$S$2:$S$495=12)*('CONTROL MASTER'!$T$2:$T$495&lt;=10)*('CONTROL MASTER'!$V$2:$V$495&gt;=10)*('CONTROL MASTER'!$U$2:$U$495&lt;=2)*('CONTROL MASTER'!$W$2:$W$495&gt;=2))*ROW('CONTROL MASTER'!$S$2:$S$495))-(ROW('CONTROL MASTER'!#REF!)-1))),":",","),",",REPT(" ",50)),((((10-INDEX('CONTROL MASTER'!$T$2:$T$495,(SUMPRODUCT((('CONTROL MASTER'!$S$2:$S$495=12)*('CONTROL MASTER'!$T$2:$T$495&lt;=10)*('CONTROL MASTER'!$V$2:$V$495&gt;=10)*('CONTROL MASTER'!$U$2:$U$495&lt;=2)*('CONTROL MASTER'!$W$2:$W$495&gt;=2))*ROW('CONTROL MASTER'!$S$2:$S$495))-(ROW('CONTROL MASTER'!#REF!)-1))))*(INDEX('CONTROL MASTER'!$W$2:$W$495,(SUMPRODUCT((('CONTROL MASTER'!$S$2:$S$495=12)*('CONTROL MASTER'!$T$2:$T$495&lt;=10)*('CONTROL MASTER'!$V$2:$V$495&gt;=10)*('CONTROL MASTER'!$U$2:$U$495&lt;=2)*('CONTROL MASTER'!$W$2:$W$495&gt;=2))*ROW('CONTROL MASTER'!$S$2:$S$495))-(ROW('CONTROL MASTER'!#REF!)-1)))-INDEX('CONTROL MASTER'!$U$2:$U$495,(SUMPRODUCT((('CONTROL MASTER'!$S$2:$S$495=12)*('CONTROL MASTER'!$T$2:$T$495&lt;=10)*('CONTROL MASTER'!$V$2:$V$495&gt;=10)*('CONTROL MASTER'!$U$2:$U$495&lt;=2)*('CONTROL MASTER'!$W$2:$W$495&gt;=2))*ROW('CONTROL MASTER'!$S$2:$S$495))-(ROW('CONTROL MASTER'!#REF!)-1)))+1)+(2-INDEX('CONTROL MASTER'!$U$2:$U$495,(SUMPRODUCT((('CONTROL MASTER'!$S$2:$S$495=12)*('CONTROL MASTER'!$T$2:$T$495&lt;=10)*('CONTROL MASTER'!$V$2:$V$495&gt;=10)*('CONTROL MASTER'!$U$2:$U$495&lt;=2)*('CONTROL MASTER'!$W$2:$W$495&gt;=2))*ROW('CONTROL MASTER'!$S$2:$S$495))-(ROW('CONTROL MASTER'!#REF!)-1))))+1))-1)*50+1,50))&amp;"_"&amp;INDEX('CONTROL MASTER'!$P$2:$P$495,(SUMPRODUCT((('CONTROL MASTER'!$S$2:$S$495=12)*('CONTROL MASTER'!$T$2:$T$495&lt;=10)*('CONTROL MASTER'!$V$2:$V$495&gt;=10)*('CONTROL MASTER'!$U$2:$U$495&lt;=2)*('CONTROL MASTER'!$W$2:$W$495&gt;=2))*ROW('CONTROL MASTER'!$S$2:$S$495))-(ROW('CONTROL MASTER'!#REF!)-1))),IF(SUMPRODUCT((('CONTROL MASTER'!$S$2:$S$495=12)*('CONTROL MASTER'!$Z$2:$Z$495&lt;=10)*('CONTROL MASTER'!$AB$2:$AB$495&gt;=10)*('CONTROL MASTER'!$AA$2:$AA$495&lt;=2)*('CONTROL MASTER'!$AC$2:$AC$495&gt;=2))*ROW('CONTROL MASTER'!$S$2:$S$495))&gt;0,INDEX('CONTROL MASTER'!$X$2:$X$495,(SUMPRODUCT((('CONTROL MASTER'!$S$2:$S$495=12)*('CONTROL MASTER'!$Z$2:$Z$495&lt;=10)*('CONTROL MASTER'!$AB$2:$AB$495&gt;=10)*('CONTROL MASTER'!$AA$2:$AA$495&lt;=2)*('CONTROL MASTER'!$AC$2:$AC$495&gt;=2))*ROW('CONTROL MASTER'!$S$2:$S$495))-(ROW('CONTROL MASTER'!#REF!)-1)))&amp;TRIM(MID(SUBSTITUTE(SUBSTITUTE(INDEX('CONTROL MASTER'!$N$2:$N$495,(SUMPRODUCT((('CONTROL MASTER'!$S$2:$S$495=12)*('CONTROL MASTER'!$Z$2:$Z$495&lt;=10)*('CONTROL MASTER'!$AB$2:$AB$495&gt;=10)*('CONTROL MASTER'!$AA$2:$AA$495&lt;=2)*('CONTROL MASTER'!$AC$2:$AC$495&gt;=2))*ROW('CONTROL MASTER'!$S$2:$S$495))-(ROW('CONTROL MASTER'!#REF!)-1))),":",","),",",REPT(" ",50)),(((INDEX('CONTROL MASTER'!$Y$2:$Y$495,(SUMPRODUCT((('CONTROL MASTER'!$S$2:$S$495=12)*('CONTROL MASTER'!$Z$2:$Z$495&lt;=10)*('CONTROL MASTER'!$AB$2:$AB$495&gt;=10)*('CONTROL MASTER'!$AA$2:$AA$495&lt;=2)*('CONTROL MASTER'!$AC$2:$AC$495&gt;=2))*ROW('CONTROL MASTER'!$S$2:$S$495))-(ROW('CONTROL MASTER'!#REF!)-1)))+((10-INDEX('CONTROL MASTER'!$Z$2:$Z$495,(SUMPRODUCT((('CONTROL MASTER'!$S$2:$S$495=12)*('CONTROL MASTER'!$Z$2:$Z$495&lt;=10)*('CONTROL MASTER'!$AB$2:$AB$495&gt;=10)*('CONTROL MASTER'!$AA$2:$AA$495&lt;=2)*('CONTROL MASTER'!$AC$2:$AC$495&gt;=2))*ROW('CONTROL MASTER'!$S$2:$S$495))-(ROW('CONTROL MASTER'!#REF!)-1))))*(INDEX('CONTROL MASTER'!$AC$2:$AC$495,(SUMPRODUCT((('CONTROL MASTER'!$S$2:$S$495=12)*('CONTROL MASTER'!$Z$2:$Z$495&lt;=10)*('CONTROL MASTER'!$AB$2:$AB$495&gt;=10)*('CONTROL MASTER'!$AA$2:$AA$495&lt;=2)*('CONTROL MASTER'!$AC$2:$AC$495&gt;=2))*ROW('CONTROL MASTER'!$S$2:$S$495))-(ROW('CONTROL MASTER'!#REF!)-1)))-INDEX('CONTROL MASTER'!$AA$2:$AA$495,(SUMPRODUCT((('CONTROL MASTER'!$S$2:$S$495=12)*('CONTROL MASTER'!$Z$2:$Z$495&lt;=10)*('CONTROL MASTER'!$AB$2:$AB$495&gt;=10)*('CONTROL MASTER'!$AA$2:$AA$495&lt;=2)*('CONTROL MASTER'!$AC$2:$AC$495&gt;=2))*ROW('CONTROL MASTER'!$S$2:$S$495))-(ROW('CONTROL MASTER'!#REF!)-1)))+1)+(2-INDEX('CONTROL MASTER'!$AA$2:$AA$495,(SUMPRODUCT((('CONTROL MASTER'!$S$2:$S$495=12)*('CONTROL MASTER'!$Z$2:$Z$495&lt;=10)*('CONTROL MASTER'!$AB$2:$AB$495&gt;=10)*('CONTROL MASTER'!$AA$2:$AA$495&lt;=2)*('CONTROL MASTER'!$AC$2:$AC$495&gt;=2))*ROW('CONTROL MASTER'!$S$2:$S$495))-(ROW('CONTROL MASTER'!#REF!)-1))))+1)))-1)*50+1,50))&amp;"_"&amp;INDEX('CONTROL MASTER'!$P$2:$P$495,(SUMPRODUCT((('CONTROL MASTER'!$S$2:$S$495=12)*('CONTROL MASTER'!$Z$2:$Z$495&lt;=10)*('CONTROL MASTER'!$AB$2:$AB$495&gt;=10)*('CONTROL MASTER'!$AA$2:$AA$495&lt;=2)*('CONTROL MASTER'!$AC$2:$AC$495&gt;=2))*ROW('CONTROL MASTER'!$S$2:$S$495))-(ROW('CONTROL MASTER'!#REF!)-1))),"")),"")</f>
        <v/>
      </c>
      <c r="D166" s="10" t="str">
        <f>IFERROR(IF(SUMPRODUCT((('CONTROL MASTER'!$S$2:$S$495=12)*('CONTROL MASTER'!$T$2:$T$495&lt;=10)*('CONTROL MASTER'!$V$2:$V$495&gt;=10)*('CONTROL MASTER'!$U$2:$U$495&lt;=3)*('CONTROL MASTER'!$W$2:$W$495&gt;=3))*ROW('CONTROL MASTER'!$S$2:$S$495))&gt;0,INDEX('CONTROL MASTER'!$X$2:$X$495,(SUMPRODUCT((('CONTROL MASTER'!$S$2:$S$495=12)*('CONTROL MASTER'!$T$2:$T$495&lt;=10)*('CONTROL MASTER'!$V$2:$V$495&gt;=10)*('CONTROL MASTER'!$U$2:$U$495&lt;=3)*('CONTROL MASTER'!$W$2:$W$495&gt;=3))*ROW('CONTROL MASTER'!$S$2:$S$495))-(ROW('CONTROL MASTER'!#REF!)-1)))&amp;TRIM(MID(SUBSTITUTE(SUBSTITUTE(INDEX('CONTROL MASTER'!$N$2:$N$495,(SUMPRODUCT((('CONTROL MASTER'!$S$2:$S$495=12)*('CONTROL MASTER'!$T$2:$T$495&lt;=10)*('CONTROL MASTER'!$V$2:$V$495&gt;=10)*('CONTROL MASTER'!$U$2:$U$495&lt;=3)*('CONTROL MASTER'!$W$2:$W$495&gt;=3))*ROW('CONTROL MASTER'!$S$2:$S$495))-(ROW('CONTROL MASTER'!#REF!)-1))),":",","),",",REPT(" ",50)),((((10-INDEX('CONTROL MASTER'!$T$2:$T$495,(SUMPRODUCT((('CONTROL MASTER'!$S$2:$S$495=12)*('CONTROL MASTER'!$T$2:$T$495&lt;=10)*('CONTROL MASTER'!$V$2:$V$495&gt;=10)*('CONTROL MASTER'!$U$2:$U$495&lt;=3)*('CONTROL MASTER'!$W$2:$W$495&gt;=3))*ROW('CONTROL MASTER'!$S$2:$S$495))-(ROW('CONTROL MASTER'!#REF!)-1))))*(INDEX('CONTROL MASTER'!$W$2:$W$495,(SUMPRODUCT((('CONTROL MASTER'!$S$2:$S$495=12)*('CONTROL MASTER'!$T$2:$T$495&lt;=10)*('CONTROL MASTER'!$V$2:$V$495&gt;=10)*('CONTROL MASTER'!$U$2:$U$495&lt;=3)*('CONTROL MASTER'!$W$2:$W$495&gt;=3))*ROW('CONTROL MASTER'!$S$2:$S$495))-(ROW('CONTROL MASTER'!#REF!)-1)))-INDEX('CONTROL MASTER'!$U$2:$U$495,(SUMPRODUCT((('CONTROL MASTER'!$S$2:$S$495=12)*('CONTROL MASTER'!$T$2:$T$495&lt;=10)*('CONTROL MASTER'!$V$2:$V$495&gt;=10)*('CONTROL MASTER'!$U$2:$U$495&lt;=3)*('CONTROL MASTER'!$W$2:$W$495&gt;=3))*ROW('CONTROL MASTER'!$S$2:$S$495))-(ROW('CONTROL MASTER'!#REF!)-1)))+1)+(3-INDEX('CONTROL MASTER'!$U$2:$U$495,(SUMPRODUCT((('CONTROL MASTER'!$S$2:$S$495=12)*('CONTROL MASTER'!$T$2:$T$495&lt;=10)*('CONTROL MASTER'!$V$2:$V$495&gt;=10)*('CONTROL MASTER'!$U$2:$U$495&lt;=3)*('CONTROL MASTER'!$W$2:$W$495&gt;=3))*ROW('CONTROL MASTER'!$S$2:$S$495))-(ROW('CONTROL MASTER'!#REF!)-1))))+1))-1)*50+1,50))&amp;"_"&amp;INDEX('CONTROL MASTER'!$P$2:$P$495,(SUMPRODUCT((('CONTROL MASTER'!$S$2:$S$495=12)*('CONTROL MASTER'!$T$2:$T$495&lt;=10)*('CONTROL MASTER'!$V$2:$V$495&gt;=10)*('CONTROL MASTER'!$U$2:$U$495&lt;=3)*('CONTROL MASTER'!$W$2:$W$495&gt;=3))*ROW('CONTROL MASTER'!$S$2:$S$495))-(ROW('CONTROL MASTER'!#REF!)-1))),IF(SUMPRODUCT((('CONTROL MASTER'!$S$2:$S$495=12)*('CONTROL MASTER'!$Z$2:$Z$495&lt;=10)*('CONTROL MASTER'!$AB$2:$AB$495&gt;=10)*('CONTROL MASTER'!$AA$2:$AA$495&lt;=3)*('CONTROL MASTER'!$AC$2:$AC$495&gt;=3))*ROW('CONTROL MASTER'!$S$2:$S$495))&gt;0,INDEX('CONTROL MASTER'!$X$2:$X$495,(SUMPRODUCT((('CONTROL MASTER'!$S$2:$S$495=12)*('CONTROL MASTER'!$Z$2:$Z$495&lt;=10)*('CONTROL MASTER'!$AB$2:$AB$495&gt;=10)*('CONTROL MASTER'!$AA$2:$AA$495&lt;=3)*('CONTROL MASTER'!$AC$2:$AC$495&gt;=3))*ROW('CONTROL MASTER'!$S$2:$S$495))-(ROW('CONTROL MASTER'!#REF!)-1)))&amp;TRIM(MID(SUBSTITUTE(SUBSTITUTE(INDEX('CONTROL MASTER'!$N$2:$N$495,(SUMPRODUCT((('CONTROL MASTER'!$S$2:$S$495=12)*('CONTROL MASTER'!$Z$2:$Z$495&lt;=10)*('CONTROL MASTER'!$AB$2:$AB$495&gt;=10)*('CONTROL MASTER'!$AA$2:$AA$495&lt;=3)*('CONTROL MASTER'!$AC$2:$AC$495&gt;=3))*ROW('CONTROL MASTER'!$S$2:$S$495))-(ROW('CONTROL MASTER'!#REF!)-1))),":",","),",",REPT(" ",50)),(((INDEX('CONTROL MASTER'!$Y$2:$Y$495,(SUMPRODUCT((('CONTROL MASTER'!$S$2:$S$495=12)*('CONTROL MASTER'!$Z$2:$Z$495&lt;=10)*('CONTROL MASTER'!$AB$2:$AB$495&gt;=10)*('CONTROL MASTER'!$AA$2:$AA$495&lt;=3)*('CONTROL MASTER'!$AC$2:$AC$495&gt;=3))*ROW('CONTROL MASTER'!$S$2:$S$495))-(ROW('CONTROL MASTER'!#REF!)-1)))+((10-INDEX('CONTROL MASTER'!$Z$2:$Z$495,(SUMPRODUCT((('CONTROL MASTER'!$S$2:$S$495=12)*('CONTROL MASTER'!$Z$2:$Z$495&lt;=10)*('CONTROL MASTER'!$AB$2:$AB$495&gt;=10)*('CONTROL MASTER'!$AA$2:$AA$495&lt;=3)*('CONTROL MASTER'!$AC$2:$AC$495&gt;=3))*ROW('CONTROL MASTER'!$S$2:$S$495))-(ROW('CONTROL MASTER'!#REF!)-1))))*(INDEX('CONTROL MASTER'!$AC$2:$AC$495,(SUMPRODUCT((('CONTROL MASTER'!$S$2:$S$495=12)*('CONTROL MASTER'!$Z$2:$Z$495&lt;=10)*('CONTROL MASTER'!$AB$2:$AB$495&gt;=10)*('CONTROL MASTER'!$AA$2:$AA$495&lt;=3)*('CONTROL MASTER'!$AC$2:$AC$495&gt;=3))*ROW('CONTROL MASTER'!$S$2:$S$495))-(ROW('CONTROL MASTER'!#REF!)-1)))-INDEX('CONTROL MASTER'!$AA$2:$AA$495,(SUMPRODUCT((('CONTROL MASTER'!$S$2:$S$495=12)*('CONTROL MASTER'!$Z$2:$Z$495&lt;=10)*('CONTROL MASTER'!$AB$2:$AB$495&gt;=10)*('CONTROL MASTER'!$AA$2:$AA$495&lt;=3)*('CONTROL MASTER'!$AC$2:$AC$495&gt;=3))*ROW('CONTROL MASTER'!$S$2:$S$495))-(ROW('CONTROL MASTER'!#REF!)-1)))+1)+(3-INDEX('CONTROL MASTER'!$AA$2:$AA$495,(SUMPRODUCT((('CONTROL MASTER'!$S$2:$S$495=12)*('CONTROL MASTER'!$Z$2:$Z$495&lt;=10)*('CONTROL MASTER'!$AB$2:$AB$495&gt;=10)*('CONTROL MASTER'!$AA$2:$AA$495&lt;=3)*('CONTROL MASTER'!$AC$2:$AC$495&gt;=3))*ROW('CONTROL MASTER'!$S$2:$S$495))-(ROW('CONTROL MASTER'!#REF!)-1))))+1)))-1)*50+1,50))&amp;"_"&amp;INDEX('CONTROL MASTER'!$P$2:$P$495,(SUMPRODUCT((('CONTROL MASTER'!$S$2:$S$495=12)*('CONTROL MASTER'!$Z$2:$Z$495&lt;=10)*('CONTROL MASTER'!$AB$2:$AB$495&gt;=10)*('CONTROL MASTER'!$AA$2:$AA$495&lt;=3)*('CONTROL MASTER'!$AC$2:$AC$495&gt;=3))*ROW('CONTROL MASTER'!$S$2:$S$495))-(ROW('CONTROL MASTER'!#REF!)-1))),"")),"")</f>
        <v/>
      </c>
      <c r="E166" s="10" t="str">
        <f>IFERROR(IF(SUMPRODUCT((('CONTROL MASTER'!$S$2:$S$495=12)*('CONTROL MASTER'!$T$2:$T$495&lt;=10)*('CONTROL MASTER'!$V$2:$V$495&gt;=10)*('CONTROL MASTER'!$U$2:$U$495&lt;=4)*('CONTROL MASTER'!$W$2:$W$495&gt;=4))*ROW('CONTROL MASTER'!$S$2:$S$495))&gt;0,INDEX('CONTROL MASTER'!$X$2:$X$495,(SUMPRODUCT((('CONTROL MASTER'!$S$2:$S$495=12)*('CONTROL MASTER'!$T$2:$T$495&lt;=10)*('CONTROL MASTER'!$V$2:$V$495&gt;=10)*('CONTROL MASTER'!$U$2:$U$495&lt;=4)*('CONTROL MASTER'!$W$2:$W$495&gt;=4))*ROW('CONTROL MASTER'!$S$2:$S$495))-(ROW('CONTROL MASTER'!#REF!)-1)))&amp;TRIM(MID(SUBSTITUTE(SUBSTITUTE(INDEX('CONTROL MASTER'!$N$2:$N$495,(SUMPRODUCT((('CONTROL MASTER'!$S$2:$S$495=12)*('CONTROL MASTER'!$T$2:$T$495&lt;=10)*('CONTROL MASTER'!$V$2:$V$495&gt;=10)*('CONTROL MASTER'!$U$2:$U$495&lt;=4)*('CONTROL MASTER'!$W$2:$W$495&gt;=4))*ROW('CONTROL MASTER'!$S$2:$S$495))-(ROW('CONTROL MASTER'!#REF!)-1))),":",","),",",REPT(" ",50)),((((10-INDEX('CONTROL MASTER'!$T$2:$T$495,(SUMPRODUCT((('CONTROL MASTER'!$S$2:$S$495=12)*('CONTROL MASTER'!$T$2:$T$495&lt;=10)*('CONTROL MASTER'!$V$2:$V$495&gt;=10)*('CONTROL MASTER'!$U$2:$U$495&lt;=4)*('CONTROL MASTER'!$W$2:$W$495&gt;=4))*ROW('CONTROL MASTER'!$S$2:$S$495))-(ROW('CONTROL MASTER'!#REF!)-1))))*(INDEX('CONTROL MASTER'!$W$2:$W$495,(SUMPRODUCT((('CONTROL MASTER'!$S$2:$S$495=12)*('CONTROL MASTER'!$T$2:$T$495&lt;=10)*('CONTROL MASTER'!$V$2:$V$495&gt;=10)*('CONTROL MASTER'!$U$2:$U$495&lt;=4)*('CONTROL MASTER'!$W$2:$W$495&gt;=4))*ROW('CONTROL MASTER'!$S$2:$S$495))-(ROW('CONTROL MASTER'!#REF!)-1)))-INDEX('CONTROL MASTER'!$U$2:$U$495,(SUMPRODUCT((('CONTROL MASTER'!$S$2:$S$495=12)*('CONTROL MASTER'!$T$2:$T$495&lt;=10)*('CONTROL MASTER'!$V$2:$V$495&gt;=10)*('CONTROL MASTER'!$U$2:$U$495&lt;=4)*('CONTROL MASTER'!$W$2:$W$495&gt;=4))*ROW('CONTROL MASTER'!$S$2:$S$495))-(ROW('CONTROL MASTER'!#REF!)-1)))+1)+(4-INDEX('CONTROL MASTER'!$U$2:$U$495,(SUMPRODUCT((('CONTROL MASTER'!$S$2:$S$495=12)*('CONTROL MASTER'!$T$2:$T$495&lt;=10)*('CONTROL MASTER'!$V$2:$V$495&gt;=10)*('CONTROL MASTER'!$U$2:$U$495&lt;=4)*('CONTROL MASTER'!$W$2:$W$495&gt;=4))*ROW('CONTROL MASTER'!$S$2:$S$495))-(ROW('CONTROL MASTER'!#REF!)-1))))+1))-1)*50+1,50))&amp;"_"&amp;INDEX('CONTROL MASTER'!$P$2:$P$495,(SUMPRODUCT((('CONTROL MASTER'!$S$2:$S$495=12)*('CONTROL MASTER'!$T$2:$T$495&lt;=10)*('CONTROL MASTER'!$V$2:$V$495&gt;=10)*('CONTROL MASTER'!$U$2:$U$495&lt;=4)*('CONTROL MASTER'!$W$2:$W$495&gt;=4))*ROW('CONTROL MASTER'!$S$2:$S$495))-(ROW('CONTROL MASTER'!#REF!)-1))),IF(SUMPRODUCT((('CONTROL MASTER'!$S$2:$S$495=12)*('CONTROL MASTER'!$Z$2:$Z$495&lt;=10)*('CONTROL MASTER'!$AB$2:$AB$495&gt;=10)*('CONTROL MASTER'!$AA$2:$AA$495&lt;=4)*('CONTROL MASTER'!$AC$2:$AC$495&gt;=4))*ROW('CONTROL MASTER'!$S$2:$S$495))&gt;0,INDEX('CONTROL MASTER'!$X$2:$X$495,(SUMPRODUCT((('CONTROL MASTER'!$S$2:$S$495=12)*('CONTROL MASTER'!$Z$2:$Z$495&lt;=10)*('CONTROL MASTER'!$AB$2:$AB$495&gt;=10)*('CONTROL MASTER'!$AA$2:$AA$495&lt;=4)*('CONTROL MASTER'!$AC$2:$AC$495&gt;=4))*ROW('CONTROL MASTER'!$S$2:$S$495))-(ROW('CONTROL MASTER'!#REF!)-1)))&amp;TRIM(MID(SUBSTITUTE(SUBSTITUTE(INDEX('CONTROL MASTER'!$N$2:$N$495,(SUMPRODUCT((('CONTROL MASTER'!$S$2:$S$495=12)*('CONTROL MASTER'!$Z$2:$Z$495&lt;=10)*('CONTROL MASTER'!$AB$2:$AB$495&gt;=10)*('CONTROL MASTER'!$AA$2:$AA$495&lt;=4)*('CONTROL MASTER'!$AC$2:$AC$495&gt;=4))*ROW('CONTROL MASTER'!$S$2:$S$495))-(ROW('CONTROL MASTER'!#REF!)-1))),":",","),",",REPT(" ",50)),(((INDEX('CONTROL MASTER'!$Y$2:$Y$495,(SUMPRODUCT((('CONTROL MASTER'!$S$2:$S$495=12)*('CONTROL MASTER'!$Z$2:$Z$495&lt;=10)*('CONTROL MASTER'!$AB$2:$AB$495&gt;=10)*('CONTROL MASTER'!$AA$2:$AA$495&lt;=4)*('CONTROL MASTER'!$AC$2:$AC$495&gt;=4))*ROW('CONTROL MASTER'!$S$2:$S$495))-(ROW('CONTROL MASTER'!#REF!)-1)))+((10-INDEX('CONTROL MASTER'!$Z$2:$Z$495,(SUMPRODUCT((('CONTROL MASTER'!$S$2:$S$495=12)*('CONTROL MASTER'!$Z$2:$Z$495&lt;=10)*('CONTROL MASTER'!$AB$2:$AB$495&gt;=10)*('CONTROL MASTER'!$AA$2:$AA$495&lt;=4)*('CONTROL MASTER'!$AC$2:$AC$495&gt;=4))*ROW('CONTROL MASTER'!$S$2:$S$495))-(ROW('CONTROL MASTER'!#REF!)-1))))*(INDEX('CONTROL MASTER'!$AC$2:$AC$495,(SUMPRODUCT((('CONTROL MASTER'!$S$2:$S$495=12)*('CONTROL MASTER'!$Z$2:$Z$495&lt;=10)*('CONTROL MASTER'!$AB$2:$AB$495&gt;=10)*('CONTROL MASTER'!$AA$2:$AA$495&lt;=4)*('CONTROL MASTER'!$AC$2:$AC$495&gt;=4))*ROW('CONTROL MASTER'!$S$2:$S$495))-(ROW('CONTROL MASTER'!#REF!)-1)))-INDEX('CONTROL MASTER'!$AA$2:$AA$495,(SUMPRODUCT((('CONTROL MASTER'!$S$2:$S$495=12)*('CONTROL MASTER'!$Z$2:$Z$495&lt;=10)*('CONTROL MASTER'!$AB$2:$AB$495&gt;=10)*('CONTROL MASTER'!$AA$2:$AA$495&lt;=4)*('CONTROL MASTER'!$AC$2:$AC$495&gt;=4))*ROW('CONTROL MASTER'!$S$2:$S$495))-(ROW('CONTROL MASTER'!#REF!)-1)))+1)+(4-INDEX('CONTROL MASTER'!$AA$2:$AA$495,(SUMPRODUCT((('CONTROL MASTER'!$S$2:$S$495=12)*('CONTROL MASTER'!$Z$2:$Z$495&lt;=10)*('CONTROL MASTER'!$AB$2:$AB$495&gt;=10)*('CONTROL MASTER'!$AA$2:$AA$495&lt;=4)*('CONTROL MASTER'!$AC$2:$AC$495&gt;=4))*ROW('CONTROL MASTER'!$S$2:$S$495))-(ROW('CONTROL MASTER'!#REF!)-1))))+1)))-1)*50+1,50))&amp;"_"&amp;INDEX('CONTROL MASTER'!$P$2:$P$495,(SUMPRODUCT((('CONTROL MASTER'!$S$2:$S$495=12)*('CONTROL MASTER'!$Z$2:$Z$495&lt;=10)*('CONTROL MASTER'!$AB$2:$AB$495&gt;=10)*('CONTROL MASTER'!$AA$2:$AA$495&lt;=4)*('CONTROL MASTER'!$AC$2:$AC$495&gt;=4))*ROW('CONTROL MASTER'!$S$2:$S$495))-(ROW('CONTROL MASTER'!#REF!)-1))),"")),"")</f>
        <v/>
      </c>
      <c r="F166" s="10" t="str">
        <f>IFERROR(IF(SUMPRODUCT((('CONTROL MASTER'!$S$2:$S$495=12)*('CONTROL MASTER'!$T$2:$T$495&lt;=10)*('CONTROL MASTER'!$V$2:$V$495&gt;=10)*('CONTROL MASTER'!$U$2:$U$495&lt;=5)*('CONTROL MASTER'!$W$2:$W$495&gt;=5))*ROW('CONTROL MASTER'!$S$2:$S$495))&gt;0,INDEX('CONTROL MASTER'!$X$2:$X$495,(SUMPRODUCT((('CONTROL MASTER'!$S$2:$S$495=12)*('CONTROL MASTER'!$T$2:$T$495&lt;=10)*('CONTROL MASTER'!$V$2:$V$495&gt;=10)*('CONTROL MASTER'!$U$2:$U$495&lt;=5)*('CONTROL MASTER'!$W$2:$W$495&gt;=5))*ROW('CONTROL MASTER'!$S$2:$S$495))-(ROW('CONTROL MASTER'!#REF!)-1)))&amp;TRIM(MID(SUBSTITUTE(SUBSTITUTE(INDEX('CONTROL MASTER'!$N$2:$N$495,(SUMPRODUCT((('CONTROL MASTER'!$S$2:$S$495=12)*('CONTROL MASTER'!$T$2:$T$495&lt;=10)*('CONTROL MASTER'!$V$2:$V$495&gt;=10)*('CONTROL MASTER'!$U$2:$U$495&lt;=5)*('CONTROL MASTER'!$W$2:$W$495&gt;=5))*ROW('CONTROL MASTER'!$S$2:$S$495))-(ROW('CONTROL MASTER'!#REF!)-1))),":",","),",",REPT(" ",50)),((((10-INDEX('CONTROL MASTER'!$T$2:$T$495,(SUMPRODUCT((('CONTROL MASTER'!$S$2:$S$495=12)*('CONTROL MASTER'!$T$2:$T$495&lt;=10)*('CONTROL MASTER'!$V$2:$V$495&gt;=10)*('CONTROL MASTER'!$U$2:$U$495&lt;=5)*('CONTROL MASTER'!$W$2:$W$495&gt;=5))*ROW('CONTROL MASTER'!$S$2:$S$495))-(ROW('CONTROL MASTER'!#REF!)-1))))*(INDEX('CONTROL MASTER'!$W$2:$W$495,(SUMPRODUCT((('CONTROL MASTER'!$S$2:$S$495=12)*('CONTROL MASTER'!$T$2:$T$495&lt;=10)*('CONTROL MASTER'!$V$2:$V$495&gt;=10)*('CONTROL MASTER'!$U$2:$U$495&lt;=5)*('CONTROL MASTER'!$W$2:$W$495&gt;=5))*ROW('CONTROL MASTER'!$S$2:$S$495))-(ROW('CONTROL MASTER'!#REF!)-1)))-INDEX('CONTROL MASTER'!$U$2:$U$495,(SUMPRODUCT((('CONTROL MASTER'!$S$2:$S$495=12)*('CONTROL MASTER'!$T$2:$T$495&lt;=10)*('CONTROL MASTER'!$V$2:$V$495&gt;=10)*('CONTROL MASTER'!$U$2:$U$495&lt;=5)*('CONTROL MASTER'!$W$2:$W$495&gt;=5))*ROW('CONTROL MASTER'!$S$2:$S$495))-(ROW('CONTROL MASTER'!#REF!)-1)))+1)+(5-INDEX('CONTROL MASTER'!$U$2:$U$495,(SUMPRODUCT((('CONTROL MASTER'!$S$2:$S$495=12)*('CONTROL MASTER'!$T$2:$T$495&lt;=10)*('CONTROL MASTER'!$V$2:$V$495&gt;=10)*('CONTROL MASTER'!$U$2:$U$495&lt;=5)*('CONTROL MASTER'!$W$2:$W$495&gt;=5))*ROW('CONTROL MASTER'!$S$2:$S$495))-(ROW('CONTROL MASTER'!#REF!)-1))))+1))-1)*50+1,50))&amp;"_"&amp;INDEX('CONTROL MASTER'!$P$2:$P$495,(SUMPRODUCT((('CONTROL MASTER'!$S$2:$S$495=12)*('CONTROL MASTER'!$T$2:$T$495&lt;=10)*('CONTROL MASTER'!$V$2:$V$495&gt;=10)*('CONTROL MASTER'!$U$2:$U$495&lt;=5)*('CONTROL MASTER'!$W$2:$W$495&gt;=5))*ROW('CONTROL MASTER'!$S$2:$S$495))-(ROW('CONTROL MASTER'!#REF!)-1))),IF(SUMPRODUCT((('CONTROL MASTER'!$S$2:$S$495=12)*('CONTROL MASTER'!$Z$2:$Z$495&lt;=10)*('CONTROL MASTER'!$AB$2:$AB$495&gt;=10)*('CONTROL MASTER'!$AA$2:$AA$495&lt;=5)*('CONTROL MASTER'!$AC$2:$AC$495&gt;=5))*ROW('CONTROL MASTER'!$S$2:$S$495))&gt;0,INDEX('CONTROL MASTER'!$X$2:$X$495,(SUMPRODUCT((('CONTROL MASTER'!$S$2:$S$495=12)*('CONTROL MASTER'!$Z$2:$Z$495&lt;=10)*('CONTROL MASTER'!$AB$2:$AB$495&gt;=10)*('CONTROL MASTER'!$AA$2:$AA$495&lt;=5)*('CONTROL MASTER'!$AC$2:$AC$495&gt;=5))*ROW('CONTROL MASTER'!$S$2:$S$495))-(ROW('CONTROL MASTER'!#REF!)-1)))&amp;TRIM(MID(SUBSTITUTE(SUBSTITUTE(INDEX('CONTROL MASTER'!$N$2:$N$495,(SUMPRODUCT((('CONTROL MASTER'!$S$2:$S$495=12)*('CONTROL MASTER'!$Z$2:$Z$495&lt;=10)*('CONTROL MASTER'!$AB$2:$AB$495&gt;=10)*('CONTROL MASTER'!$AA$2:$AA$495&lt;=5)*('CONTROL MASTER'!$AC$2:$AC$495&gt;=5))*ROW('CONTROL MASTER'!$S$2:$S$495))-(ROW('CONTROL MASTER'!#REF!)-1))),":",","),",",REPT(" ",50)),(((INDEX('CONTROL MASTER'!$Y$2:$Y$495,(SUMPRODUCT((('CONTROL MASTER'!$S$2:$S$495=12)*('CONTROL MASTER'!$Z$2:$Z$495&lt;=10)*('CONTROL MASTER'!$AB$2:$AB$495&gt;=10)*('CONTROL MASTER'!$AA$2:$AA$495&lt;=5)*('CONTROL MASTER'!$AC$2:$AC$495&gt;=5))*ROW('CONTROL MASTER'!$S$2:$S$495))-(ROW('CONTROL MASTER'!#REF!)-1)))+((10-INDEX('CONTROL MASTER'!$Z$2:$Z$495,(SUMPRODUCT((('CONTROL MASTER'!$S$2:$S$495=12)*('CONTROL MASTER'!$Z$2:$Z$495&lt;=10)*('CONTROL MASTER'!$AB$2:$AB$495&gt;=10)*('CONTROL MASTER'!$AA$2:$AA$495&lt;=5)*('CONTROL MASTER'!$AC$2:$AC$495&gt;=5))*ROW('CONTROL MASTER'!$S$2:$S$495))-(ROW('CONTROL MASTER'!#REF!)-1))))*(INDEX('CONTROL MASTER'!$AC$2:$AC$495,(SUMPRODUCT((('CONTROL MASTER'!$S$2:$S$495=12)*('CONTROL MASTER'!$Z$2:$Z$495&lt;=10)*('CONTROL MASTER'!$AB$2:$AB$495&gt;=10)*('CONTROL MASTER'!$AA$2:$AA$495&lt;=5)*('CONTROL MASTER'!$AC$2:$AC$495&gt;=5))*ROW('CONTROL MASTER'!$S$2:$S$495))-(ROW('CONTROL MASTER'!#REF!)-1)))-INDEX('CONTROL MASTER'!$AA$2:$AA$495,(SUMPRODUCT((('CONTROL MASTER'!$S$2:$S$495=12)*('CONTROL MASTER'!$Z$2:$Z$495&lt;=10)*('CONTROL MASTER'!$AB$2:$AB$495&gt;=10)*('CONTROL MASTER'!$AA$2:$AA$495&lt;=5)*('CONTROL MASTER'!$AC$2:$AC$495&gt;=5))*ROW('CONTROL MASTER'!$S$2:$S$495))-(ROW('CONTROL MASTER'!#REF!)-1)))+1)+(5-INDEX('CONTROL MASTER'!$AA$2:$AA$495,(SUMPRODUCT((('CONTROL MASTER'!$S$2:$S$495=12)*('CONTROL MASTER'!$Z$2:$Z$495&lt;=10)*('CONTROL MASTER'!$AB$2:$AB$495&gt;=10)*('CONTROL MASTER'!$AA$2:$AA$495&lt;=5)*('CONTROL MASTER'!$AC$2:$AC$495&gt;=5))*ROW('CONTROL MASTER'!$S$2:$S$495))-(ROW('CONTROL MASTER'!#REF!)-1))))+1)))-1)*50+1,50))&amp;"_"&amp;INDEX('CONTROL MASTER'!$P$2:$P$495,(SUMPRODUCT((('CONTROL MASTER'!$S$2:$S$495=12)*('CONTROL MASTER'!$Z$2:$Z$495&lt;=10)*('CONTROL MASTER'!$AB$2:$AB$495&gt;=10)*('CONTROL MASTER'!$AA$2:$AA$495&lt;=5)*('CONTROL MASTER'!$AC$2:$AC$495&gt;=5))*ROW('CONTROL MASTER'!$S$2:$S$495))-(ROW('CONTROL MASTER'!#REF!)-1))),"")),"")</f>
        <v/>
      </c>
      <c r="G166" s="10" t="str">
        <f>IFERROR(IF(SUMPRODUCT((('CONTROL MASTER'!$S$2:$S$495=12)*('CONTROL MASTER'!$T$2:$T$495&lt;=10)*('CONTROL MASTER'!$V$2:$V$495&gt;=10)*('CONTROL MASTER'!$U$2:$U$495&lt;=6)*('CONTROL MASTER'!$W$2:$W$495&gt;=6))*ROW('CONTROL MASTER'!$S$2:$S$495))&gt;0,INDEX('CONTROL MASTER'!$X$2:$X$495,(SUMPRODUCT((('CONTROL MASTER'!$S$2:$S$495=12)*('CONTROL MASTER'!$T$2:$T$495&lt;=10)*('CONTROL MASTER'!$V$2:$V$495&gt;=10)*('CONTROL MASTER'!$U$2:$U$495&lt;=6)*('CONTROL MASTER'!$W$2:$W$495&gt;=6))*ROW('CONTROL MASTER'!$S$2:$S$495))-(ROW('CONTROL MASTER'!#REF!)-1)))&amp;TRIM(MID(SUBSTITUTE(SUBSTITUTE(INDEX('CONTROL MASTER'!$N$2:$N$495,(SUMPRODUCT((('CONTROL MASTER'!$S$2:$S$495=12)*('CONTROL MASTER'!$T$2:$T$495&lt;=10)*('CONTROL MASTER'!$V$2:$V$495&gt;=10)*('CONTROL MASTER'!$U$2:$U$495&lt;=6)*('CONTROL MASTER'!$W$2:$W$495&gt;=6))*ROW('CONTROL MASTER'!$S$2:$S$495))-(ROW('CONTROL MASTER'!#REF!)-1))),":",","),",",REPT(" ",50)),((((10-INDEX('CONTROL MASTER'!$T$2:$T$495,(SUMPRODUCT((('CONTROL MASTER'!$S$2:$S$495=12)*('CONTROL MASTER'!$T$2:$T$495&lt;=10)*('CONTROL MASTER'!$V$2:$V$495&gt;=10)*('CONTROL MASTER'!$U$2:$U$495&lt;=6)*('CONTROL MASTER'!$W$2:$W$495&gt;=6))*ROW('CONTROL MASTER'!$S$2:$S$495))-(ROW('CONTROL MASTER'!#REF!)-1))))*(INDEX('CONTROL MASTER'!$W$2:$W$495,(SUMPRODUCT((('CONTROL MASTER'!$S$2:$S$495=12)*('CONTROL MASTER'!$T$2:$T$495&lt;=10)*('CONTROL MASTER'!$V$2:$V$495&gt;=10)*('CONTROL MASTER'!$U$2:$U$495&lt;=6)*('CONTROL MASTER'!$W$2:$W$495&gt;=6))*ROW('CONTROL MASTER'!$S$2:$S$495))-(ROW('CONTROL MASTER'!#REF!)-1)))-INDEX('CONTROL MASTER'!$U$2:$U$495,(SUMPRODUCT((('CONTROL MASTER'!$S$2:$S$495=12)*('CONTROL MASTER'!$T$2:$T$495&lt;=10)*('CONTROL MASTER'!$V$2:$V$495&gt;=10)*('CONTROL MASTER'!$U$2:$U$495&lt;=6)*('CONTROL MASTER'!$W$2:$W$495&gt;=6))*ROW('CONTROL MASTER'!$S$2:$S$495))-(ROW('CONTROL MASTER'!#REF!)-1)))+1)+(6-INDEX('CONTROL MASTER'!$U$2:$U$495,(SUMPRODUCT((('CONTROL MASTER'!$S$2:$S$495=12)*('CONTROL MASTER'!$T$2:$T$495&lt;=10)*('CONTROL MASTER'!$V$2:$V$495&gt;=10)*('CONTROL MASTER'!$U$2:$U$495&lt;=6)*('CONTROL MASTER'!$W$2:$W$495&gt;=6))*ROW('CONTROL MASTER'!$S$2:$S$495))-(ROW('CONTROL MASTER'!#REF!)-1))))+1))-1)*50+1,50))&amp;"_"&amp;INDEX('CONTROL MASTER'!$P$2:$P$495,(SUMPRODUCT((('CONTROL MASTER'!$S$2:$S$495=12)*('CONTROL MASTER'!$T$2:$T$495&lt;=10)*('CONTROL MASTER'!$V$2:$V$495&gt;=10)*('CONTROL MASTER'!$U$2:$U$495&lt;=6)*('CONTROL MASTER'!$W$2:$W$495&gt;=6))*ROW('CONTROL MASTER'!$S$2:$S$495))-(ROW('CONTROL MASTER'!#REF!)-1))),IF(SUMPRODUCT((('CONTROL MASTER'!$S$2:$S$495=12)*('CONTROL MASTER'!$Z$2:$Z$495&lt;=10)*('CONTROL MASTER'!$AB$2:$AB$495&gt;=10)*('CONTROL MASTER'!$AA$2:$AA$495&lt;=6)*('CONTROL MASTER'!$AC$2:$AC$495&gt;=6))*ROW('CONTROL MASTER'!$S$2:$S$495))&gt;0,INDEX('CONTROL MASTER'!$X$2:$X$495,(SUMPRODUCT((('CONTROL MASTER'!$S$2:$S$495=12)*('CONTROL MASTER'!$Z$2:$Z$495&lt;=10)*('CONTROL MASTER'!$AB$2:$AB$495&gt;=10)*('CONTROL MASTER'!$AA$2:$AA$495&lt;=6)*('CONTROL MASTER'!$AC$2:$AC$495&gt;=6))*ROW('CONTROL MASTER'!$S$2:$S$495))-(ROW('CONTROL MASTER'!#REF!)-1)))&amp;TRIM(MID(SUBSTITUTE(SUBSTITUTE(INDEX('CONTROL MASTER'!$N$2:$N$495,(SUMPRODUCT((('CONTROL MASTER'!$S$2:$S$495=12)*('CONTROL MASTER'!$Z$2:$Z$495&lt;=10)*('CONTROL MASTER'!$AB$2:$AB$495&gt;=10)*('CONTROL MASTER'!$AA$2:$AA$495&lt;=6)*('CONTROL MASTER'!$AC$2:$AC$495&gt;=6))*ROW('CONTROL MASTER'!$S$2:$S$495))-(ROW('CONTROL MASTER'!#REF!)-1))),":",","),",",REPT(" ",50)),(((INDEX('CONTROL MASTER'!$Y$2:$Y$495,(SUMPRODUCT((('CONTROL MASTER'!$S$2:$S$495=12)*('CONTROL MASTER'!$Z$2:$Z$495&lt;=10)*('CONTROL MASTER'!$AB$2:$AB$495&gt;=10)*('CONTROL MASTER'!$AA$2:$AA$495&lt;=6)*('CONTROL MASTER'!$AC$2:$AC$495&gt;=6))*ROW('CONTROL MASTER'!$S$2:$S$495))-(ROW('CONTROL MASTER'!#REF!)-1)))+((10-INDEX('CONTROL MASTER'!$Z$2:$Z$495,(SUMPRODUCT((('CONTROL MASTER'!$S$2:$S$495=12)*('CONTROL MASTER'!$Z$2:$Z$495&lt;=10)*('CONTROL MASTER'!$AB$2:$AB$495&gt;=10)*('CONTROL MASTER'!$AA$2:$AA$495&lt;=6)*('CONTROL MASTER'!$AC$2:$AC$495&gt;=6))*ROW('CONTROL MASTER'!$S$2:$S$495))-(ROW('CONTROL MASTER'!#REF!)-1))))*(INDEX('CONTROL MASTER'!$AC$2:$AC$495,(SUMPRODUCT((('CONTROL MASTER'!$S$2:$S$495=12)*('CONTROL MASTER'!$Z$2:$Z$495&lt;=10)*('CONTROL MASTER'!$AB$2:$AB$495&gt;=10)*('CONTROL MASTER'!$AA$2:$AA$495&lt;=6)*('CONTROL MASTER'!$AC$2:$AC$495&gt;=6))*ROW('CONTROL MASTER'!$S$2:$S$495))-(ROW('CONTROL MASTER'!#REF!)-1)))-INDEX('CONTROL MASTER'!$AA$2:$AA$495,(SUMPRODUCT((('CONTROL MASTER'!$S$2:$S$495=12)*('CONTROL MASTER'!$Z$2:$Z$495&lt;=10)*('CONTROL MASTER'!$AB$2:$AB$495&gt;=10)*('CONTROL MASTER'!$AA$2:$AA$495&lt;=6)*('CONTROL MASTER'!$AC$2:$AC$495&gt;=6))*ROW('CONTROL MASTER'!$S$2:$S$495))-(ROW('CONTROL MASTER'!#REF!)-1)))+1)+(6-INDEX('CONTROL MASTER'!$AA$2:$AA$495,(SUMPRODUCT((('CONTROL MASTER'!$S$2:$S$495=12)*('CONTROL MASTER'!$Z$2:$Z$495&lt;=10)*('CONTROL MASTER'!$AB$2:$AB$495&gt;=10)*('CONTROL MASTER'!$AA$2:$AA$495&lt;=6)*('CONTROL MASTER'!$AC$2:$AC$495&gt;=6))*ROW('CONTROL MASTER'!$S$2:$S$495))-(ROW('CONTROL MASTER'!#REF!)-1))))+1)))-1)*50+1,50))&amp;"_"&amp;INDEX('CONTROL MASTER'!$P$2:$P$495,(SUMPRODUCT((('CONTROL MASTER'!$S$2:$S$495=12)*('CONTROL MASTER'!$Z$2:$Z$495&lt;=10)*('CONTROL MASTER'!$AB$2:$AB$495&gt;=10)*('CONTROL MASTER'!$AA$2:$AA$495&lt;=6)*('CONTROL MASTER'!$AC$2:$AC$495&gt;=6))*ROW('CONTROL MASTER'!$S$2:$S$495))-(ROW('CONTROL MASTER'!#REF!)-1))),"")),"")</f>
        <v/>
      </c>
      <c r="H166" s="10" t="str">
        <f>IFERROR(IF(SUMPRODUCT((('CONTROL MASTER'!$S$2:$S$495=12)*('CONTROL MASTER'!$T$2:$T$495&lt;=10)*('CONTROL MASTER'!$V$2:$V$495&gt;=10)*('CONTROL MASTER'!$U$2:$U$495&lt;=7)*('CONTROL MASTER'!$W$2:$W$495&gt;=7))*ROW('CONTROL MASTER'!$S$2:$S$495))&gt;0,INDEX('CONTROL MASTER'!$X$2:$X$495,(SUMPRODUCT((('CONTROL MASTER'!$S$2:$S$495=12)*('CONTROL MASTER'!$T$2:$T$495&lt;=10)*('CONTROL MASTER'!$V$2:$V$495&gt;=10)*('CONTROL MASTER'!$U$2:$U$495&lt;=7)*('CONTROL MASTER'!$W$2:$W$495&gt;=7))*ROW('CONTROL MASTER'!$S$2:$S$495))-(ROW('CONTROL MASTER'!#REF!)-1)))&amp;TRIM(MID(SUBSTITUTE(SUBSTITUTE(INDEX('CONTROL MASTER'!$N$2:$N$495,(SUMPRODUCT((('CONTROL MASTER'!$S$2:$S$495=12)*('CONTROL MASTER'!$T$2:$T$495&lt;=10)*('CONTROL MASTER'!$V$2:$V$495&gt;=10)*('CONTROL MASTER'!$U$2:$U$495&lt;=7)*('CONTROL MASTER'!$W$2:$W$495&gt;=7))*ROW('CONTROL MASTER'!$S$2:$S$495))-(ROW('CONTROL MASTER'!#REF!)-1))),":",","),",",REPT(" ",50)),((((10-INDEX('CONTROL MASTER'!$T$2:$T$495,(SUMPRODUCT((('CONTROL MASTER'!$S$2:$S$495=12)*('CONTROL MASTER'!$T$2:$T$495&lt;=10)*('CONTROL MASTER'!$V$2:$V$495&gt;=10)*('CONTROL MASTER'!$U$2:$U$495&lt;=7)*('CONTROL MASTER'!$W$2:$W$495&gt;=7))*ROW('CONTROL MASTER'!$S$2:$S$495))-(ROW('CONTROL MASTER'!#REF!)-1))))*(INDEX('CONTROL MASTER'!$W$2:$W$495,(SUMPRODUCT((('CONTROL MASTER'!$S$2:$S$495=12)*('CONTROL MASTER'!$T$2:$T$495&lt;=10)*('CONTROL MASTER'!$V$2:$V$495&gt;=10)*('CONTROL MASTER'!$U$2:$U$495&lt;=7)*('CONTROL MASTER'!$W$2:$W$495&gt;=7))*ROW('CONTROL MASTER'!$S$2:$S$495))-(ROW('CONTROL MASTER'!#REF!)-1)))-INDEX('CONTROL MASTER'!$U$2:$U$495,(SUMPRODUCT((('CONTROL MASTER'!$S$2:$S$495=12)*('CONTROL MASTER'!$T$2:$T$495&lt;=10)*('CONTROL MASTER'!$V$2:$V$495&gt;=10)*('CONTROL MASTER'!$U$2:$U$495&lt;=7)*('CONTROL MASTER'!$W$2:$W$495&gt;=7))*ROW('CONTROL MASTER'!$S$2:$S$495))-(ROW('CONTROL MASTER'!#REF!)-1)))+1)+(7-INDEX('CONTROL MASTER'!$U$2:$U$495,(SUMPRODUCT((('CONTROL MASTER'!$S$2:$S$495=12)*('CONTROL MASTER'!$T$2:$T$495&lt;=10)*('CONTROL MASTER'!$V$2:$V$495&gt;=10)*('CONTROL MASTER'!$U$2:$U$495&lt;=7)*('CONTROL MASTER'!$W$2:$W$495&gt;=7))*ROW('CONTROL MASTER'!$S$2:$S$495))-(ROW('CONTROL MASTER'!#REF!)-1))))+1))-1)*50+1,50))&amp;"_"&amp;INDEX('CONTROL MASTER'!$P$2:$P$495,(SUMPRODUCT((('CONTROL MASTER'!$S$2:$S$495=12)*('CONTROL MASTER'!$T$2:$T$495&lt;=10)*('CONTROL MASTER'!$V$2:$V$495&gt;=10)*('CONTROL MASTER'!$U$2:$U$495&lt;=7)*('CONTROL MASTER'!$W$2:$W$495&gt;=7))*ROW('CONTROL MASTER'!$S$2:$S$495))-(ROW('CONTROL MASTER'!#REF!)-1))),IF(SUMPRODUCT((('CONTROL MASTER'!$S$2:$S$495=12)*('CONTROL MASTER'!$Z$2:$Z$495&lt;=10)*('CONTROL MASTER'!$AB$2:$AB$495&gt;=10)*('CONTROL MASTER'!$AA$2:$AA$495&lt;=7)*('CONTROL MASTER'!$AC$2:$AC$495&gt;=7))*ROW('CONTROL MASTER'!$S$2:$S$495))&gt;0,INDEX('CONTROL MASTER'!$X$2:$X$495,(SUMPRODUCT((('CONTROL MASTER'!$S$2:$S$495=12)*('CONTROL MASTER'!$Z$2:$Z$495&lt;=10)*('CONTROL MASTER'!$AB$2:$AB$495&gt;=10)*('CONTROL MASTER'!$AA$2:$AA$495&lt;=7)*('CONTROL MASTER'!$AC$2:$AC$495&gt;=7))*ROW('CONTROL MASTER'!$S$2:$S$495))-(ROW('CONTROL MASTER'!#REF!)-1)))&amp;TRIM(MID(SUBSTITUTE(SUBSTITUTE(INDEX('CONTROL MASTER'!$N$2:$N$495,(SUMPRODUCT((('CONTROL MASTER'!$S$2:$S$495=12)*('CONTROL MASTER'!$Z$2:$Z$495&lt;=10)*('CONTROL MASTER'!$AB$2:$AB$495&gt;=10)*('CONTROL MASTER'!$AA$2:$AA$495&lt;=7)*('CONTROL MASTER'!$AC$2:$AC$495&gt;=7))*ROW('CONTROL MASTER'!$S$2:$S$495))-(ROW('CONTROL MASTER'!#REF!)-1))),":",","),",",REPT(" ",50)),(((INDEX('CONTROL MASTER'!$Y$2:$Y$495,(SUMPRODUCT((('CONTROL MASTER'!$S$2:$S$495=12)*('CONTROL MASTER'!$Z$2:$Z$495&lt;=10)*('CONTROL MASTER'!$AB$2:$AB$495&gt;=10)*('CONTROL MASTER'!$AA$2:$AA$495&lt;=7)*('CONTROL MASTER'!$AC$2:$AC$495&gt;=7))*ROW('CONTROL MASTER'!$S$2:$S$495))-(ROW('CONTROL MASTER'!#REF!)-1)))+((10-INDEX('CONTROL MASTER'!$Z$2:$Z$495,(SUMPRODUCT((('CONTROL MASTER'!$S$2:$S$495=12)*('CONTROL MASTER'!$Z$2:$Z$495&lt;=10)*('CONTROL MASTER'!$AB$2:$AB$495&gt;=10)*('CONTROL MASTER'!$AA$2:$AA$495&lt;=7)*('CONTROL MASTER'!$AC$2:$AC$495&gt;=7))*ROW('CONTROL MASTER'!$S$2:$S$495))-(ROW('CONTROL MASTER'!#REF!)-1))))*(INDEX('CONTROL MASTER'!$AC$2:$AC$495,(SUMPRODUCT((('CONTROL MASTER'!$S$2:$S$495=12)*('CONTROL MASTER'!$Z$2:$Z$495&lt;=10)*('CONTROL MASTER'!$AB$2:$AB$495&gt;=10)*('CONTROL MASTER'!$AA$2:$AA$495&lt;=7)*('CONTROL MASTER'!$AC$2:$AC$495&gt;=7))*ROW('CONTROL MASTER'!$S$2:$S$495))-(ROW('CONTROL MASTER'!#REF!)-1)))-INDEX('CONTROL MASTER'!$AA$2:$AA$495,(SUMPRODUCT((('CONTROL MASTER'!$S$2:$S$495=12)*('CONTROL MASTER'!$Z$2:$Z$495&lt;=10)*('CONTROL MASTER'!$AB$2:$AB$495&gt;=10)*('CONTROL MASTER'!$AA$2:$AA$495&lt;=7)*('CONTROL MASTER'!$AC$2:$AC$495&gt;=7))*ROW('CONTROL MASTER'!$S$2:$S$495))-(ROW('CONTROL MASTER'!#REF!)-1)))+1)+(7-INDEX('CONTROL MASTER'!$AA$2:$AA$495,(SUMPRODUCT((('CONTROL MASTER'!$S$2:$S$495=12)*('CONTROL MASTER'!$Z$2:$Z$495&lt;=10)*('CONTROL MASTER'!$AB$2:$AB$495&gt;=10)*('CONTROL MASTER'!$AA$2:$AA$495&lt;=7)*('CONTROL MASTER'!$AC$2:$AC$495&gt;=7))*ROW('CONTROL MASTER'!$S$2:$S$495))-(ROW('CONTROL MASTER'!#REF!)-1))))+1)))-1)*50+1,50))&amp;"_"&amp;INDEX('CONTROL MASTER'!$P$2:$P$495,(SUMPRODUCT((('CONTROL MASTER'!$S$2:$S$495=12)*('CONTROL MASTER'!$Z$2:$Z$495&lt;=10)*('CONTROL MASTER'!$AB$2:$AB$495&gt;=10)*('CONTROL MASTER'!$AA$2:$AA$495&lt;=7)*('CONTROL MASTER'!$AC$2:$AC$495&gt;=7))*ROW('CONTROL MASTER'!$S$2:$S$495))-(ROW('CONTROL MASTER'!#REF!)-1))),"")),"")</f>
        <v/>
      </c>
      <c r="I166" s="10" t="str">
        <f>IFERROR(IF(SUMPRODUCT((('CONTROL MASTER'!$S$2:$S$495=12)*('CONTROL MASTER'!$T$2:$T$495&lt;=10)*('CONTROL MASTER'!$V$2:$V$495&gt;=10)*('CONTROL MASTER'!$U$2:$U$495&lt;=8)*('CONTROL MASTER'!$W$2:$W$495&gt;=8))*ROW('CONTROL MASTER'!$S$2:$S$495))&gt;0,INDEX('CONTROL MASTER'!$X$2:$X$495,(SUMPRODUCT((('CONTROL MASTER'!$S$2:$S$495=12)*('CONTROL MASTER'!$T$2:$T$495&lt;=10)*('CONTROL MASTER'!$V$2:$V$495&gt;=10)*('CONTROL MASTER'!$U$2:$U$495&lt;=8)*('CONTROL MASTER'!$W$2:$W$495&gt;=8))*ROW('CONTROL MASTER'!$S$2:$S$495))-(ROW('CONTROL MASTER'!#REF!)-1)))&amp;TRIM(MID(SUBSTITUTE(SUBSTITUTE(INDEX('CONTROL MASTER'!$N$2:$N$495,(SUMPRODUCT((('CONTROL MASTER'!$S$2:$S$495=12)*('CONTROL MASTER'!$T$2:$T$495&lt;=10)*('CONTROL MASTER'!$V$2:$V$495&gt;=10)*('CONTROL MASTER'!$U$2:$U$495&lt;=8)*('CONTROL MASTER'!$W$2:$W$495&gt;=8))*ROW('CONTROL MASTER'!$S$2:$S$495))-(ROW('CONTROL MASTER'!#REF!)-1))),":",","),",",REPT(" ",50)),((((10-INDEX('CONTROL MASTER'!$T$2:$T$495,(SUMPRODUCT((('CONTROL MASTER'!$S$2:$S$495=12)*('CONTROL MASTER'!$T$2:$T$495&lt;=10)*('CONTROL MASTER'!$V$2:$V$495&gt;=10)*('CONTROL MASTER'!$U$2:$U$495&lt;=8)*('CONTROL MASTER'!$W$2:$W$495&gt;=8))*ROW('CONTROL MASTER'!$S$2:$S$495))-(ROW('CONTROL MASTER'!#REF!)-1))))*(INDEX('CONTROL MASTER'!$W$2:$W$495,(SUMPRODUCT((('CONTROL MASTER'!$S$2:$S$495=12)*('CONTROL MASTER'!$T$2:$T$495&lt;=10)*('CONTROL MASTER'!$V$2:$V$495&gt;=10)*('CONTROL MASTER'!$U$2:$U$495&lt;=8)*('CONTROL MASTER'!$W$2:$W$495&gt;=8))*ROW('CONTROL MASTER'!$S$2:$S$495))-(ROW('CONTROL MASTER'!#REF!)-1)))-INDEX('CONTROL MASTER'!$U$2:$U$495,(SUMPRODUCT((('CONTROL MASTER'!$S$2:$S$495=12)*('CONTROL MASTER'!$T$2:$T$495&lt;=10)*('CONTROL MASTER'!$V$2:$V$495&gt;=10)*('CONTROL MASTER'!$U$2:$U$495&lt;=8)*('CONTROL MASTER'!$W$2:$W$495&gt;=8))*ROW('CONTROL MASTER'!$S$2:$S$495))-(ROW('CONTROL MASTER'!#REF!)-1)))+1)+(8-INDEX('CONTROL MASTER'!$U$2:$U$495,(SUMPRODUCT((('CONTROL MASTER'!$S$2:$S$495=12)*('CONTROL MASTER'!$T$2:$T$495&lt;=10)*('CONTROL MASTER'!$V$2:$V$495&gt;=10)*('CONTROL MASTER'!$U$2:$U$495&lt;=8)*('CONTROL MASTER'!$W$2:$W$495&gt;=8))*ROW('CONTROL MASTER'!$S$2:$S$495))-(ROW('CONTROL MASTER'!#REF!)-1))))+1))-1)*50+1,50))&amp;"_"&amp;INDEX('CONTROL MASTER'!$P$2:$P$495,(SUMPRODUCT((('CONTROL MASTER'!$S$2:$S$495=12)*('CONTROL MASTER'!$T$2:$T$495&lt;=10)*('CONTROL MASTER'!$V$2:$V$495&gt;=10)*('CONTROL MASTER'!$U$2:$U$495&lt;=8)*('CONTROL MASTER'!$W$2:$W$495&gt;=8))*ROW('CONTROL MASTER'!$S$2:$S$495))-(ROW('CONTROL MASTER'!#REF!)-1))),IF(SUMPRODUCT((('CONTROL MASTER'!$S$2:$S$495=12)*('CONTROL MASTER'!$Z$2:$Z$495&lt;=10)*('CONTROL MASTER'!$AB$2:$AB$495&gt;=10)*('CONTROL MASTER'!$AA$2:$AA$495&lt;=8)*('CONTROL MASTER'!$AC$2:$AC$495&gt;=8))*ROW('CONTROL MASTER'!$S$2:$S$495))&gt;0,INDEX('CONTROL MASTER'!$X$2:$X$495,(SUMPRODUCT((('CONTROL MASTER'!$S$2:$S$495=12)*('CONTROL MASTER'!$Z$2:$Z$495&lt;=10)*('CONTROL MASTER'!$AB$2:$AB$495&gt;=10)*('CONTROL MASTER'!$AA$2:$AA$495&lt;=8)*('CONTROL MASTER'!$AC$2:$AC$495&gt;=8))*ROW('CONTROL MASTER'!$S$2:$S$495))-(ROW('CONTROL MASTER'!#REF!)-1)))&amp;TRIM(MID(SUBSTITUTE(SUBSTITUTE(INDEX('CONTROL MASTER'!$N$2:$N$495,(SUMPRODUCT((('CONTROL MASTER'!$S$2:$S$495=12)*('CONTROL MASTER'!$Z$2:$Z$495&lt;=10)*('CONTROL MASTER'!$AB$2:$AB$495&gt;=10)*('CONTROL MASTER'!$AA$2:$AA$495&lt;=8)*('CONTROL MASTER'!$AC$2:$AC$495&gt;=8))*ROW('CONTROL MASTER'!$S$2:$S$495))-(ROW('CONTROL MASTER'!#REF!)-1))),":",","),",",REPT(" ",50)),(((INDEX('CONTROL MASTER'!$Y$2:$Y$495,(SUMPRODUCT((('CONTROL MASTER'!$S$2:$S$495=12)*('CONTROL MASTER'!$Z$2:$Z$495&lt;=10)*('CONTROL MASTER'!$AB$2:$AB$495&gt;=10)*('CONTROL MASTER'!$AA$2:$AA$495&lt;=8)*('CONTROL MASTER'!$AC$2:$AC$495&gt;=8))*ROW('CONTROL MASTER'!$S$2:$S$495))-(ROW('CONTROL MASTER'!#REF!)-1)))+((10-INDEX('CONTROL MASTER'!$Z$2:$Z$495,(SUMPRODUCT((('CONTROL MASTER'!$S$2:$S$495=12)*('CONTROL MASTER'!$Z$2:$Z$495&lt;=10)*('CONTROL MASTER'!$AB$2:$AB$495&gt;=10)*('CONTROL MASTER'!$AA$2:$AA$495&lt;=8)*('CONTROL MASTER'!$AC$2:$AC$495&gt;=8))*ROW('CONTROL MASTER'!$S$2:$S$495))-(ROW('CONTROL MASTER'!#REF!)-1))))*(INDEX('CONTROL MASTER'!$AC$2:$AC$495,(SUMPRODUCT((('CONTROL MASTER'!$S$2:$S$495=12)*('CONTROL MASTER'!$Z$2:$Z$495&lt;=10)*('CONTROL MASTER'!$AB$2:$AB$495&gt;=10)*('CONTROL MASTER'!$AA$2:$AA$495&lt;=8)*('CONTROL MASTER'!$AC$2:$AC$495&gt;=8))*ROW('CONTROL MASTER'!$S$2:$S$495))-(ROW('CONTROL MASTER'!#REF!)-1)))-INDEX('CONTROL MASTER'!$AA$2:$AA$495,(SUMPRODUCT((('CONTROL MASTER'!$S$2:$S$495=12)*('CONTROL MASTER'!$Z$2:$Z$495&lt;=10)*('CONTROL MASTER'!$AB$2:$AB$495&gt;=10)*('CONTROL MASTER'!$AA$2:$AA$495&lt;=8)*('CONTROL MASTER'!$AC$2:$AC$495&gt;=8))*ROW('CONTROL MASTER'!$S$2:$S$495))-(ROW('CONTROL MASTER'!#REF!)-1)))+1)+(8-INDEX('CONTROL MASTER'!$AA$2:$AA$495,(SUMPRODUCT((('CONTROL MASTER'!$S$2:$S$495=12)*('CONTROL MASTER'!$Z$2:$Z$495&lt;=10)*('CONTROL MASTER'!$AB$2:$AB$495&gt;=10)*('CONTROL MASTER'!$AA$2:$AA$495&lt;=8)*('CONTROL MASTER'!$AC$2:$AC$495&gt;=8))*ROW('CONTROL MASTER'!$S$2:$S$495))-(ROW('CONTROL MASTER'!#REF!)-1))))+1)))-1)*50+1,50))&amp;"_"&amp;INDEX('CONTROL MASTER'!$P$2:$P$495,(SUMPRODUCT((('CONTROL MASTER'!$S$2:$S$495=12)*('CONTROL MASTER'!$Z$2:$Z$495&lt;=10)*('CONTROL MASTER'!$AB$2:$AB$495&gt;=10)*('CONTROL MASTER'!$AA$2:$AA$495&lt;=8)*('CONTROL MASTER'!$AC$2:$AC$495&gt;=8))*ROW('CONTROL MASTER'!$S$2:$S$495))-(ROW('CONTROL MASTER'!#REF!)-1))),"")),"")</f>
        <v/>
      </c>
      <c r="J166" s="10" t="str">
        <f>IFERROR(IF(SUMPRODUCT((('CONTROL MASTER'!$S$2:$S$495=12)*('CONTROL MASTER'!$T$2:$T$495&lt;=10)*('CONTROL MASTER'!$V$2:$V$495&gt;=10)*('CONTROL MASTER'!$U$2:$U$495&lt;=9)*('CONTROL MASTER'!$W$2:$W$495&gt;=9))*ROW('CONTROL MASTER'!$S$2:$S$495))&gt;0,INDEX('CONTROL MASTER'!$X$2:$X$495,(SUMPRODUCT((('CONTROL MASTER'!$S$2:$S$495=12)*('CONTROL MASTER'!$T$2:$T$495&lt;=10)*('CONTROL MASTER'!$V$2:$V$495&gt;=10)*('CONTROL MASTER'!$U$2:$U$495&lt;=9)*('CONTROL MASTER'!$W$2:$W$495&gt;=9))*ROW('CONTROL MASTER'!$S$2:$S$495))-(ROW('CONTROL MASTER'!#REF!)-1)))&amp;TRIM(MID(SUBSTITUTE(SUBSTITUTE(INDEX('CONTROL MASTER'!$N$2:$N$495,(SUMPRODUCT((('CONTROL MASTER'!$S$2:$S$495=12)*('CONTROL MASTER'!$T$2:$T$495&lt;=10)*('CONTROL MASTER'!$V$2:$V$495&gt;=10)*('CONTROL MASTER'!$U$2:$U$495&lt;=9)*('CONTROL MASTER'!$W$2:$W$495&gt;=9))*ROW('CONTROL MASTER'!$S$2:$S$495))-(ROW('CONTROL MASTER'!#REF!)-1))),":",","),",",REPT(" ",50)),((((10-INDEX('CONTROL MASTER'!$T$2:$T$495,(SUMPRODUCT((('CONTROL MASTER'!$S$2:$S$495=12)*('CONTROL MASTER'!$T$2:$T$495&lt;=10)*('CONTROL MASTER'!$V$2:$V$495&gt;=10)*('CONTROL MASTER'!$U$2:$U$495&lt;=9)*('CONTROL MASTER'!$W$2:$W$495&gt;=9))*ROW('CONTROL MASTER'!$S$2:$S$495))-(ROW('CONTROL MASTER'!#REF!)-1))))*(INDEX('CONTROL MASTER'!$W$2:$W$495,(SUMPRODUCT((('CONTROL MASTER'!$S$2:$S$495=12)*('CONTROL MASTER'!$T$2:$T$495&lt;=10)*('CONTROL MASTER'!$V$2:$V$495&gt;=10)*('CONTROL MASTER'!$U$2:$U$495&lt;=9)*('CONTROL MASTER'!$W$2:$W$495&gt;=9))*ROW('CONTROL MASTER'!$S$2:$S$495))-(ROW('CONTROL MASTER'!#REF!)-1)))-INDEX('CONTROL MASTER'!$U$2:$U$495,(SUMPRODUCT((('CONTROL MASTER'!$S$2:$S$495=12)*('CONTROL MASTER'!$T$2:$T$495&lt;=10)*('CONTROL MASTER'!$V$2:$V$495&gt;=10)*('CONTROL MASTER'!$U$2:$U$495&lt;=9)*('CONTROL MASTER'!$W$2:$W$495&gt;=9))*ROW('CONTROL MASTER'!$S$2:$S$495))-(ROW('CONTROL MASTER'!#REF!)-1)))+1)+(9-INDEX('CONTROL MASTER'!$U$2:$U$495,(SUMPRODUCT((('CONTROL MASTER'!$S$2:$S$495=12)*('CONTROL MASTER'!$T$2:$T$495&lt;=10)*('CONTROL MASTER'!$V$2:$V$495&gt;=10)*('CONTROL MASTER'!$U$2:$U$495&lt;=9)*('CONTROL MASTER'!$W$2:$W$495&gt;=9))*ROW('CONTROL MASTER'!$S$2:$S$495))-(ROW('CONTROL MASTER'!#REF!)-1))))+1))-1)*50+1,50))&amp;"_"&amp;INDEX('CONTROL MASTER'!$P$2:$P$495,(SUMPRODUCT((('CONTROL MASTER'!$S$2:$S$495=12)*('CONTROL MASTER'!$T$2:$T$495&lt;=10)*('CONTROL MASTER'!$V$2:$V$495&gt;=10)*('CONTROL MASTER'!$U$2:$U$495&lt;=9)*('CONTROL MASTER'!$W$2:$W$495&gt;=9))*ROW('CONTROL MASTER'!$S$2:$S$495))-(ROW('CONTROL MASTER'!#REF!)-1))),IF(SUMPRODUCT((('CONTROL MASTER'!$S$2:$S$495=12)*('CONTROL MASTER'!$Z$2:$Z$495&lt;=10)*('CONTROL MASTER'!$AB$2:$AB$495&gt;=10)*('CONTROL MASTER'!$AA$2:$AA$495&lt;=9)*('CONTROL MASTER'!$AC$2:$AC$495&gt;=9))*ROW('CONTROL MASTER'!$S$2:$S$495))&gt;0,INDEX('CONTROL MASTER'!$X$2:$X$495,(SUMPRODUCT((('CONTROL MASTER'!$S$2:$S$495=12)*('CONTROL MASTER'!$Z$2:$Z$495&lt;=10)*('CONTROL MASTER'!$AB$2:$AB$495&gt;=10)*('CONTROL MASTER'!$AA$2:$AA$495&lt;=9)*('CONTROL MASTER'!$AC$2:$AC$495&gt;=9))*ROW('CONTROL MASTER'!$S$2:$S$495))-(ROW('CONTROL MASTER'!#REF!)-1)))&amp;TRIM(MID(SUBSTITUTE(SUBSTITUTE(INDEX('CONTROL MASTER'!$N$2:$N$495,(SUMPRODUCT((('CONTROL MASTER'!$S$2:$S$495=12)*('CONTROL MASTER'!$Z$2:$Z$495&lt;=10)*('CONTROL MASTER'!$AB$2:$AB$495&gt;=10)*('CONTROL MASTER'!$AA$2:$AA$495&lt;=9)*('CONTROL MASTER'!$AC$2:$AC$495&gt;=9))*ROW('CONTROL MASTER'!$S$2:$S$495))-(ROW('CONTROL MASTER'!#REF!)-1))),":",","),",",REPT(" ",50)),(((INDEX('CONTROL MASTER'!$Y$2:$Y$495,(SUMPRODUCT((('CONTROL MASTER'!$S$2:$S$495=12)*('CONTROL MASTER'!$Z$2:$Z$495&lt;=10)*('CONTROL MASTER'!$AB$2:$AB$495&gt;=10)*('CONTROL MASTER'!$AA$2:$AA$495&lt;=9)*('CONTROL MASTER'!$AC$2:$AC$495&gt;=9))*ROW('CONTROL MASTER'!$S$2:$S$495))-(ROW('CONTROL MASTER'!#REF!)-1)))+((10-INDEX('CONTROL MASTER'!$Z$2:$Z$495,(SUMPRODUCT((('CONTROL MASTER'!$S$2:$S$495=12)*('CONTROL MASTER'!$Z$2:$Z$495&lt;=10)*('CONTROL MASTER'!$AB$2:$AB$495&gt;=10)*('CONTROL MASTER'!$AA$2:$AA$495&lt;=9)*('CONTROL MASTER'!$AC$2:$AC$495&gt;=9))*ROW('CONTROL MASTER'!$S$2:$S$495))-(ROW('CONTROL MASTER'!#REF!)-1))))*(INDEX('CONTROL MASTER'!$AC$2:$AC$495,(SUMPRODUCT((('CONTROL MASTER'!$S$2:$S$495=12)*('CONTROL MASTER'!$Z$2:$Z$495&lt;=10)*('CONTROL MASTER'!$AB$2:$AB$495&gt;=10)*('CONTROL MASTER'!$AA$2:$AA$495&lt;=9)*('CONTROL MASTER'!$AC$2:$AC$495&gt;=9))*ROW('CONTROL MASTER'!$S$2:$S$495))-(ROW('CONTROL MASTER'!#REF!)-1)))-INDEX('CONTROL MASTER'!$AA$2:$AA$495,(SUMPRODUCT((('CONTROL MASTER'!$S$2:$S$495=12)*('CONTROL MASTER'!$Z$2:$Z$495&lt;=10)*('CONTROL MASTER'!$AB$2:$AB$495&gt;=10)*('CONTROL MASTER'!$AA$2:$AA$495&lt;=9)*('CONTROL MASTER'!$AC$2:$AC$495&gt;=9))*ROW('CONTROL MASTER'!$S$2:$S$495))-(ROW('CONTROL MASTER'!#REF!)-1)))+1)+(9-INDEX('CONTROL MASTER'!$AA$2:$AA$495,(SUMPRODUCT((('CONTROL MASTER'!$S$2:$S$495=12)*('CONTROL MASTER'!$Z$2:$Z$495&lt;=10)*('CONTROL MASTER'!$AB$2:$AB$495&gt;=10)*('CONTROL MASTER'!$AA$2:$AA$495&lt;=9)*('CONTROL MASTER'!$AC$2:$AC$495&gt;=9))*ROW('CONTROL MASTER'!$S$2:$S$495))-(ROW('CONTROL MASTER'!#REF!)-1))))+1)))-1)*50+1,50))&amp;"_"&amp;INDEX('CONTROL MASTER'!$P$2:$P$495,(SUMPRODUCT((('CONTROL MASTER'!$S$2:$S$495=12)*('CONTROL MASTER'!$Z$2:$Z$495&lt;=10)*('CONTROL MASTER'!$AB$2:$AB$495&gt;=10)*('CONTROL MASTER'!$AA$2:$AA$495&lt;=9)*('CONTROL MASTER'!$AC$2:$AC$495&gt;=9))*ROW('CONTROL MASTER'!$S$2:$S$495))-(ROW('CONTROL MASTER'!#REF!)-1))),"")),"")</f>
        <v/>
      </c>
      <c r="K166" s="10" t="str">
        <f>IFERROR(IF(SUMPRODUCT((('CONTROL MASTER'!$S$2:$S$495=12)*('CONTROL MASTER'!$T$2:$T$495&lt;=10)*('CONTROL MASTER'!$V$2:$V$495&gt;=10)*('CONTROL MASTER'!$U$2:$U$495&lt;=10)*('CONTROL MASTER'!$W$2:$W$495&gt;=10))*ROW('CONTROL MASTER'!$S$2:$S$495))&gt;0,INDEX('CONTROL MASTER'!$X$2:$X$495,(SUMPRODUCT((('CONTROL MASTER'!$S$2:$S$495=12)*('CONTROL MASTER'!$T$2:$T$495&lt;=10)*('CONTROL MASTER'!$V$2:$V$495&gt;=10)*('CONTROL MASTER'!$U$2:$U$495&lt;=10)*('CONTROL MASTER'!$W$2:$W$495&gt;=10))*ROW('CONTROL MASTER'!$S$2:$S$495))-(ROW('CONTROL MASTER'!#REF!)-1)))&amp;TRIM(MID(SUBSTITUTE(SUBSTITUTE(INDEX('CONTROL MASTER'!$N$2:$N$495,(SUMPRODUCT((('CONTROL MASTER'!$S$2:$S$495=12)*('CONTROL MASTER'!$T$2:$T$495&lt;=10)*('CONTROL MASTER'!$V$2:$V$495&gt;=10)*('CONTROL MASTER'!$U$2:$U$495&lt;=10)*('CONTROL MASTER'!$W$2:$W$495&gt;=10))*ROW('CONTROL MASTER'!$S$2:$S$495))-(ROW('CONTROL MASTER'!#REF!)-1))),":",","),",",REPT(" ",50)),((((10-INDEX('CONTROL MASTER'!$T$2:$T$495,(SUMPRODUCT((('CONTROL MASTER'!$S$2:$S$495=12)*('CONTROL MASTER'!$T$2:$T$495&lt;=10)*('CONTROL MASTER'!$V$2:$V$495&gt;=10)*('CONTROL MASTER'!$U$2:$U$495&lt;=10)*('CONTROL MASTER'!$W$2:$W$495&gt;=10))*ROW('CONTROL MASTER'!$S$2:$S$495))-(ROW('CONTROL MASTER'!#REF!)-1))))*(INDEX('CONTROL MASTER'!$W$2:$W$495,(SUMPRODUCT((('CONTROL MASTER'!$S$2:$S$495=12)*('CONTROL MASTER'!$T$2:$T$495&lt;=10)*('CONTROL MASTER'!$V$2:$V$495&gt;=10)*('CONTROL MASTER'!$U$2:$U$495&lt;=10)*('CONTROL MASTER'!$W$2:$W$495&gt;=10))*ROW('CONTROL MASTER'!$S$2:$S$495))-(ROW('CONTROL MASTER'!#REF!)-1)))-INDEX('CONTROL MASTER'!$U$2:$U$495,(SUMPRODUCT((('CONTROL MASTER'!$S$2:$S$495=12)*('CONTROL MASTER'!$T$2:$T$495&lt;=10)*('CONTROL MASTER'!$V$2:$V$495&gt;=10)*('CONTROL MASTER'!$U$2:$U$495&lt;=10)*('CONTROL MASTER'!$W$2:$W$495&gt;=10))*ROW('CONTROL MASTER'!$S$2:$S$495))-(ROW('CONTROL MASTER'!#REF!)-1)))+1)+(10-INDEX('CONTROL MASTER'!$U$2:$U$495,(SUMPRODUCT((('CONTROL MASTER'!$S$2:$S$495=12)*('CONTROL MASTER'!$T$2:$T$495&lt;=10)*('CONTROL MASTER'!$V$2:$V$495&gt;=10)*('CONTROL MASTER'!$U$2:$U$495&lt;=10)*('CONTROL MASTER'!$W$2:$W$495&gt;=10))*ROW('CONTROL MASTER'!$S$2:$S$495))-(ROW('CONTROL MASTER'!#REF!)-1))))+1))-1)*50+1,50))&amp;"_"&amp;INDEX('CONTROL MASTER'!$P$2:$P$495,(SUMPRODUCT((('CONTROL MASTER'!$S$2:$S$495=12)*('CONTROL MASTER'!$T$2:$T$495&lt;=10)*('CONTROL MASTER'!$V$2:$V$495&gt;=10)*('CONTROL MASTER'!$U$2:$U$495&lt;=10)*('CONTROL MASTER'!$W$2:$W$495&gt;=10))*ROW('CONTROL MASTER'!$S$2:$S$495))-(ROW('CONTROL MASTER'!#REF!)-1))),IF(SUMPRODUCT((('CONTROL MASTER'!$S$2:$S$495=12)*('CONTROL MASTER'!$Z$2:$Z$495&lt;=10)*('CONTROL MASTER'!$AB$2:$AB$495&gt;=10)*('CONTROL MASTER'!$AA$2:$AA$495&lt;=10)*('CONTROL MASTER'!$AC$2:$AC$495&gt;=10))*ROW('CONTROL MASTER'!$S$2:$S$495))&gt;0,INDEX('CONTROL MASTER'!$X$2:$X$495,(SUMPRODUCT((('CONTROL MASTER'!$S$2:$S$495=12)*('CONTROL MASTER'!$Z$2:$Z$495&lt;=10)*('CONTROL MASTER'!$AB$2:$AB$495&gt;=10)*('CONTROL MASTER'!$AA$2:$AA$495&lt;=10)*('CONTROL MASTER'!$AC$2:$AC$495&gt;=10))*ROW('CONTROL MASTER'!$S$2:$S$495))-(ROW('CONTROL MASTER'!#REF!)-1)))&amp;TRIM(MID(SUBSTITUTE(SUBSTITUTE(INDEX('CONTROL MASTER'!$N$2:$N$495,(SUMPRODUCT((('CONTROL MASTER'!$S$2:$S$495=12)*('CONTROL MASTER'!$Z$2:$Z$495&lt;=10)*('CONTROL MASTER'!$AB$2:$AB$495&gt;=10)*('CONTROL MASTER'!$AA$2:$AA$495&lt;=10)*('CONTROL MASTER'!$AC$2:$AC$495&gt;=10))*ROW('CONTROL MASTER'!$S$2:$S$495))-(ROW('CONTROL MASTER'!#REF!)-1))),":",","),",",REPT(" ",50)),(((INDEX('CONTROL MASTER'!$Y$2:$Y$495,(SUMPRODUCT((('CONTROL MASTER'!$S$2:$S$495=12)*('CONTROL MASTER'!$Z$2:$Z$495&lt;=10)*('CONTROL MASTER'!$AB$2:$AB$495&gt;=10)*('CONTROL MASTER'!$AA$2:$AA$495&lt;=10)*('CONTROL MASTER'!$AC$2:$AC$495&gt;=10))*ROW('CONTROL MASTER'!$S$2:$S$495))-(ROW('CONTROL MASTER'!#REF!)-1)))+((10-INDEX('CONTROL MASTER'!$Z$2:$Z$495,(SUMPRODUCT((('CONTROL MASTER'!$S$2:$S$495=12)*('CONTROL MASTER'!$Z$2:$Z$495&lt;=10)*('CONTROL MASTER'!$AB$2:$AB$495&gt;=10)*('CONTROL MASTER'!$AA$2:$AA$495&lt;=10)*('CONTROL MASTER'!$AC$2:$AC$495&gt;=10))*ROW('CONTROL MASTER'!$S$2:$S$495))-(ROW('CONTROL MASTER'!#REF!)-1))))*(INDEX('CONTROL MASTER'!$AC$2:$AC$495,(SUMPRODUCT((('CONTROL MASTER'!$S$2:$S$495=12)*('CONTROL MASTER'!$Z$2:$Z$495&lt;=10)*('CONTROL MASTER'!$AB$2:$AB$495&gt;=10)*('CONTROL MASTER'!$AA$2:$AA$495&lt;=10)*('CONTROL MASTER'!$AC$2:$AC$495&gt;=10))*ROW('CONTROL MASTER'!$S$2:$S$495))-(ROW('CONTROL MASTER'!#REF!)-1)))-INDEX('CONTROL MASTER'!$AA$2:$AA$495,(SUMPRODUCT((('CONTROL MASTER'!$S$2:$S$495=12)*('CONTROL MASTER'!$Z$2:$Z$495&lt;=10)*('CONTROL MASTER'!$AB$2:$AB$495&gt;=10)*('CONTROL MASTER'!$AA$2:$AA$495&lt;=10)*('CONTROL MASTER'!$AC$2:$AC$495&gt;=10))*ROW('CONTROL MASTER'!$S$2:$S$495))-(ROW('CONTROL MASTER'!#REF!)-1)))+1)+(10-INDEX('CONTROL MASTER'!$AA$2:$AA$495,(SUMPRODUCT((('CONTROL MASTER'!$S$2:$S$495=12)*('CONTROL MASTER'!$Z$2:$Z$495&lt;=10)*('CONTROL MASTER'!$AB$2:$AB$495&gt;=10)*('CONTROL MASTER'!$AA$2:$AA$495&lt;=10)*('CONTROL MASTER'!$AC$2:$AC$495&gt;=10))*ROW('CONTROL MASTER'!$S$2:$S$495))-(ROW('CONTROL MASTER'!#REF!)-1))))+1)))-1)*50+1,50))&amp;"_"&amp;INDEX('CONTROL MASTER'!$P$2:$P$495,(SUMPRODUCT((('CONTROL MASTER'!$S$2:$S$495=12)*('CONTROL MASTER'!$Z$2:$Z$495&lt;=10)*('CONTROL MASTER'!$AB$2:$AB$495&gt;=10)*('CONTROL MASTER'!$AA$2:$AA$495&lt;=10)*('CONTROL MASTER'!$AC$2:$AC$495&gt;=10))*ROW('CONTROL MASTER'!$S$2:$S$495))-(ROW('CONTROL MASTER'!#REF!)-1))),"")),"")</f>
        <v/>
      </c>
    </row>
    <row r="169" spans="1:11" ht="15" customHeight="1" x14ac:dyDescent="0.35">
      <c r="A169" s="12" t="s">
        <v>169</v>
      </c>
      <c r="B169" s="13"/>
      <c r="C169" s="13"/>
      <c r="D169" s="13"/>
      <c r="E169" s="13"/>
      <c r="F169" s="13"/>
      <c r="G169" s="13"/>
      <c r="H169" s="13"/>
      <c r="I169" s="13"/>
      <c r="J169" s="13"/>
      <c r="K169" s="13"/>
    </row>
    <row r="170" spans="1:11" ht="15" customHeight="1" x14ac:dyDescent="0.35">
      <c r="B170" s="8">
        <v>1</v>
      </c>
      <c r="C170" s="8">
        <v>2</v>
      </c>
      <c r="D170" s="8">
        <v>3</v>
      </c>
      <c r="E170" s="8">
        <v>4</v>
      </c>
      <c r="F170" s="8">
        <v>5</v>
      </c>
      <c r="G170" s="8">
        <v>6</v>
      </c>
      <c r="H170" s="8">
        <v>7</v>
      </c>
      <c r="I170" s="8">
        <v>8</v>
      </c>
      <c r="J170" s="8">
        <v>9</v>
      </c>
      <c r="K170" s="8">
        <v>10</v>
      </c>
    </row>
    <row r="171" spans="1:11" ht="15" customHeight="1" x14ac:dyDescent="0.35">
      <c r="A171" s="8" t="s">
        <v>28</v>
      </c>
      <c r="B171" s="10" t="str">
        <f>IFERROR(IF(SUMPRODUCT((('CONTROL MASTER'!$S$2:$S$495=13)*('CONTROL MASTER'!$T$2:$T$495&lt;=1)*('CONTROL MASTER'!$V$2:$V$495&gt;=1)*('CONTROL MASTER'!$U$2:$U$495&lt;=1)*('CONTROL MASTER'!$W$2:$W$495&gt;=1))*ROW('CONTROL MASTER'!$S$2:$S$495))&gt;0,INDEX('CONTROL MASTER'!$X$2:$X$495,(SUMPRODUCT((('CONTROL MASTER'!$S$2:$S$495=13)*('CONTROL MASTER'!$T$2:$T$495&lt;=1)*('CONTROL MASTER'!$V$2:$V$495&gt;=1)*('CONTROL MASTER'!$U$2:$U$495&lt;=1)*('CONTROL MASTER'!$W$2:$W$495&gt;=1))*ROW('CONTROL MASTER'!$S$2:$S$495))-(ROW('CONTROL MASTER'!#REF!)-1)))&amp;TRIM(MID(SUBSTITUTE(SUBSTITUTE(INDEX('CONTROL MASTER'!$N$2:$N$495,(SUMPRODUCT((('CONTROL MASTER'!$S$2:$S$495=13)*('CONTROL MASTER'!$T$2:$T$495&lt;=1)*('CONTROL MASTER'!$V$2:$V$495&gt;=1)*('CONTROL MASTER'!$U$2:$U$495&lt;=1)*('CONTROL MASTER'!$W$2:$W$495&gt;=1))*ROW('CONTROL MASTER'!$S$2:$S$495))-(ROW('CONTROL MASTER'!#REF!)-1))),":",","),",",REPT(" ",50)),((((1-INDEX('CONTROL MASTER'!$T$2:$T$495,(SUMPRODUCT((('CONTROL MASTER'!$S$2:$S$495=13)*('CONTROL MASTER'!$T$2:$T$495&lt;=1)*('CONTROL MASTER'!$V$2:$V$495&gt;=1)*('CONTROL MASTER'!$U$2:$U$495&lt;=1)*('CONTROL MASTER'!$W$2:$W$495&gt;=1))*ROW('CONTROL MASTER'!$S$2:$S$495))-(ROW('CONTROL MASTER'!#REF!)-1))))*(INDEX('CONTROL MASTER'!$W$2:$W$495,(SUMPRODUCT((('CONTROL MASTER'!$S$2:$S$495=13)*('CONTROL MASTER'!$T$2:$T$495&lt;=1)*('CONTROL MASTER'!$V$2:$V$495&gt;=1)*('CONTROL MASTER'!$U$2:$U$495&lt;=1)*('CONTROL MASTER'!$W$2:$W$495&gt;=1))*ROW('CONTROL MASTER'!$S$2:$S$495))-(ROW('CONTROL MASTER'!#REF!)-1)))-INDEX('CONTROL MASTER'!$U$2:$U$495,(SUMPRODUCT((('CONTROL MASTER'!$S$2:$S$495=13)*('CONTROL MASTER'!$T$2:$T$495&lt;=1)*('CONTROL MASTER'!$V$2:$V$495&gt;=1)*('CONTROL MASTER'!$U$2:$U$495&lt;=1)*('CONTROL MASTER'!$W$2:$W$495&gt;=1))*ROW('CONTROL MASTER'!$S$2:$S$495))-(ROW('CONTROL MASTER'!#REF!)-1)))+1)+(1-INDEX('CONTROL MASTER'!$U$2:$U$495,(SUMPRODUCT((('CONTROL MASTER'!$S$2:$S$495=13)*('CONTROL MASTER'!$T$2:$T$495&lt;=1)*('CONTROL MASTER'!$V$2:$V$495&gt;=1)*('CONTROL MASTER'!$U$2:$U$495&lt;=1)*('CONTROL MASTER'!$W$2:$W$495&gt;=1))*ROW('CONTROL MASTER'!$S$2:$S$495))-(ROW('CONTROL MASTER'!#REF!)-1))))+1))-1)*50+1,50))&amp;"_"&amp;INDEX('CONTROL MASTER'!$P$2:$P$495,(SUMPRODUCT((('CONTROL MASTER'!$S$2:$S$495=13)*('CONTROL MASTER'!$T$2:$T$495&lt;=1)*('CONTROL MASTER'!$V$2:$V$495&gt;=1)*('CONTROL MASTER'!$U$2:$U$495&lt;=1)*('CONTROL MASTER'!$W$2:$W$495&gt;=1))*ROW('CONTROL MASTER'!$S$2:$S$495))-(ROW('CONTROL MASTER'!#REF!)-1))),IF(SUMPRODUCT((('CONTROL MASTER'!$S$2:$S$495=13)*('CONTROL MASTER'!$Z$2:$Z$495&lt;=1)*('CONTROL MASTER'!$AB$2:$AB$495&gt;=1)*('CONTROL MASTER'!$AA$2:$AA$495&lt;=1)*('CONTROL MASTER'!$AC$2:$AC$495&gt;=1))*ROW('CONTROL MASTER'!$S$2:$S$495))&gt;0,INDEX('CONTROL MASTER'!$X$2:$X$495,(SUMPRODUCT((('CONTROL MASTER'!$S$2:$S$495=13)*('CONTROL MASTER'!$Z$2:$Z$495&lt;=1)*('CONTROL MASTER'!$AB$2:$AB$495&gt;=1)*('CONTROL MASTER'!$AA$2:$AA$495&lt;=1)*('CONTROL MASTER'!$AC$2:$AC$495&gt;=1))*ROW('CONTROL MASTER'!$S$2:$S$495))-(ROW('CONTROL MASTER'!#REF!)-1)))&amp;TRIM(MID(SUBSTITUTE(SUBSTITUTE(INDEX('CONTROL MASTER'!$N$2:$N$495,(SUMPRODUCT((('CONTROL MASTER'!$S$2:$S$495=13)*('CONTROL MASTER'!$Z$2:$Z$495&lt;=1)*('CONTROL MASTER'!$AB$2:$AB$495&gt;=1)*('CONTROL MASTER'!$AA$2:$AA$495&lt;=1)*('CONTROL MASTER'!$AC$2:$AC$495&gt;=1))*ROW('CONTROL MASTER'!$S$2:$S$495))-(ROW('CONTROL MASTER'!#REF!)-1))),":",","),",",REPT(" ",50)),(((INDEX('CONTROL MASTER'!$Y$2:$Y$495,(SUMPRODUCT((('CONTROL MASTER'!$S$2:$S$495=13)*('CONTROL MASTER'!$Z$2:$Z$495&lt;=1)*('CONTROL MASTER'!$AB$2:$AB$495&gt;=1)*('CONTROL MASTER'!$AA$2:$AA$495&lt;=1)*('CONTROL MASTER'!$AC$2:$AC$495&gt;=1))*ROW('CONTROL MASTER'!$S$2:$S$495))-(ROW('CONTROL MASTER'!#REF!)-1)))+((1-INDEX('CONTROL MASTER'!$Z$2:$Z$495,(SUMPRODUCT((('CONTROL MASTER'!$S$2:$S$495=13)*('CONTROL MASTER'!$Z$2:$Z$495&lt;=1)*('CONTROL MASTER'!$AB$2:$AB$495&gt;=1)*('CONTROL MASTER'!$AA$2:$AA$495&lt;=1)*('CONTROL MASTER'!$AC$2:$AC$495&gt;=1))*ROW('CONTROL MASTER'!$S$2:$S$495))-(ROW('CONTROL MASTER'!#REF!)-1))))*(INDEX('CONTROL MASTER'!$AC$2:$AC$495,(SUMPRODUCT((('CONTROL MASTER'!$S$2:$S$495=13)*('CONTROL MASTER'!$Z$2:$Z$495&lt;=1)*('CONTROL MASTER'!$AB$2:$AB$495&gt;=1)*('CONTROL MASTER'!$AA$2:$AA$495&lt;=1)*('CONTROL MASTER'!$AC$2:$AC$495&gt;=1))*ROW('CONTROL MASTER'!$S$2:$S$495))-(ROW('CONTROL MASTER'!#REF!)-1)))-INDEX('CONTROL MASTER'!$AA$2:$AA$495,(SUMPRODUCT((('CONTROL MASTER'!$S$2:$S$495=13)*('CONTROL MASTER'!$Z$2:$Z$495&lt;=1)*('CONTROL MASTER'!$AB$2:$AB$495&gt;=1)*('CONTROL MASTER'!$AA$2:$AA$495&lt;=1)*('CONTROL MASTER'!$AC$2:$AC$495&gt;=1))*ROW('CONTROL MASTER'!$S$2:$S$495))-(ROW('CONTROL MASTER'!#REF!)-1)))+1)+(1-INDEX('CONTROL MASTER'!$AA$2:$AA$495,(SUMPRODUCT((('CONTROL MASTER'!$S$2:$S$495=13)*('CONTROL MASTER'!$Z$2:$Z$495&lt;=1)*('CONTROL MASTER'!$AB$2:$AB$495&gt;=1)*('CONTROL MASTER'!$AA$2:$AA$495&lt;=1)*('CONTROL MASTER'!$AC$2:$AC$495&gt;=1))*ROW('CONTROL MASTER'!$S$2:$S$495))-(ROW('CONTROL MASTER'!#REF!)-1))))+1)))-1)*50+1,50))&amp;"_"&amp;INDEX('CONTROL MASTER'!$P$2:$P$495,(SUMPRODUCT((('CONTROL MASTER'!$S$2:$S$495=13)*('CONTROL MASTER'!$Z$2:$Z$495&lt;=1)*('CONTROL MASTER'!$AB$2:$AB$495&gt;=1)*('CONTROL MASTER'!$AA$2:$AA$495&lt;=1)*('CONTROL MASTER'!$AC$2:$AC$495&gt;=1))*ROW('CONTROL MASTER'!$S$2:$S$495))-(ROW('CONTROL MASTER'!#REF!)-1))),"")),"")</f>
        <v/>
      </c>
      <c r="C171" s="10" t="str">
        <f>IFERROR(IF(SUMPRODUCT((('CONTROL MASTER'!$S$2:$S$495=13)*('CONTROL MASTER'!$T$2:$T$495&lt;=1)*('CONTROL MASTER'!$V$2:$V$495&gt;=1)*('CONTROL MASTER'!$U$2:$U$495&lt;=2)*('CONTROL MASTER'!$W$2:$W$495&gt;=2))*ROW('CONTROL MASTER'!$S$2:$S$495))&gt;0,INDEX('CONTROL MASTER'!$X$2:$X$495,(SUMPRODUCT((('CONTROL MASTER'!$S$2:$S$495=13)*('CONTROL MASTER'!$T$2:$T$495&lt;=1)*('CONTROL MASTER'!$V$2:$V$495&gt;=1)*('CONTROL MASTER'!$U$2:$U$495&lt;=2)*('CONTROL MASTER'!$W$2:$W$495&gt;=2))*ROW('CONTROL MASTER'!$S$2:$S$495))-(ROW('CONTROL MASTER'!#REF!)-1)))&amp;TRIM(MID(SUBSTITUTE(SUBSTITUTE(INDEX('CONTROL MASTER'!$N$2:$N$495,(SUMPRODUCT((('CONTROL MASTER'!$S$2:$S$495=13)*('CONTROL MASTER'!$T$2:$T$495&lt;=1)*('CONTROL MASTER'!$V$2:$V$495&gt;=1)*('CONTROL MASTER'!$U$2:$U$495&lt;=2)*('CONTROL MASTER'!$W$2:$W$495&gt;=2))*ROW('CONTROL MASTER'!$S$2:$S$495))-(ROW('CONTROL MASTER'!#REF!)-1))),":",","),",",REPT(" ",50)),((((1-INDEX('CONTROL MASTER'!$T$2:$T$495,(SUMPRODUCT((('CONTROL MASTER'!$S$2:$S$495=13)*('CONTROL MASTER'!$T$2:$T$495&lt;=1)*('CONTROL MASTER'!$V$2:$V$495&gt;=1)*('CONTROL MASTER'!$U$2:$U$495&lt;=2)*('CONTROL MASTER'!$W$2:$W$495&gt;=2))*ROW('CONTROL MASTER'!$S$2:$S$495))-(ROW('CONTROL MASTER'!#REF!)-1))))*(INDEX('CONTROL MASTER'!$W$2:$W$495,(SUMPRODUCT((('CONTROL MASTER'!$S$2:$S$495=13)*('CONTROL MASTER'!$T$2:$T$495&lt;=1)*('CONTROL MASTER'!$V$2:$V$495&gt;=1)*('CONTROL MASTER'!$U$2:$U$495&lt;=2)*('CONTROL MASTER'!$W$2:$W$495&gt;=2))*ROW('CONTROL MASTER'!$S$2:$S$495))-(ROW('CONTROL MASTER'!#REF!)-1)))-INDEX('CONTROL MASTER'!$U$2:$U$495,(SUMPRODUCT((('CONTROL MASTER'!$S$2:$S$495=13)*('CONTROL MASTER'!$T$2:$T$495&lt;=1)*('CONTROL MASTER'!$V$2:$V$495&gt;=1)*('CONTROL MASTER'!$U$2:$U$495&lt;=2)*('CONTROL MASTER'!$W$2:$W$495&gt;=2))*ROW('CONTROL MASTER'!$S$2:$S$495))-(ROW('CONTROL MASTER'!#REF!)-1)))+1)+(2-INDEX('CONTROL MASTER'!$U$2:$U$495,(SUMPRODUCT((('CONTROL MASTER'!$S$2:$S$495=13)*('CONTROL MASTER'!$T$2:$T$495&lt;=1)*('CONTROL MASTER'!$V$2:$V$495&gt;=1)*('CONTROL MASTER'!$U$2:$U$495&lt;=2)*('CONTROL MASTER'!$W$2:$W$495&gt;=2))*ROW('CONTROL MASTER'!$S$2:$S$495))-(ROW('CONTROL MASTER'!#REF!)-1))))+1))-1)*50+1,50))&amp;"_"&amp;INDEX('CONTROL MASTER'!$P$2:$P$495,(SUMPRODUCT((('CONTROL MASTER'!$S$2:$S$495=13)*('CONTROL MASTER'!$T$2:$T$495&lt;=1)*('CONTROL MASTER'!$V$2:$V$495&gt;=1)*('CONTROL MASTER'!$U$2:$U$495&lt;=2)*('CONTROL MASTER'!$W$2:$W$495&gt;=2))*ROW('CONTROL MASTER'!$S$2:$S$495))-(ROW('CONTROL MASTER'!#REF!)-1))),IF(SUMPRODUCT((('CONTROL MASTER'!$S$2:$S$495=13)*('CONTROL MASTER'!$Z$2:$Z$495&lt;=1)*('CONTROL MASTER'!$AB$2:$AB$495&gt;=1)*('CONTROL MASTER'!$AA$2:$AA$495&lt;=2)*('CONTROL MASTER'!$AC$2:$AC$495&gt;=2))*ROW('CONTROL MASTER'!$S$2:$S$495))&gt;0,INDEX('CONTROL MASTER'!$X$2:$X$495,(SUMPRODUCT((('CONTROL MASTER'!$S$2:$S$495=13)*('CONTROL MASTER'!$Z$2:$Z$495&lt;=1)*('CONTROL MASTER'!$AB$2:$AB$495&gt;=1)*('CONTROL MASTER'!$AA$2:$AA$495&lt;=2)*('CONTROL MASTER'!$AC$2:$AC$495&gt;=2))*ROW('CONTROL MASTER'!$S$2:$S$495))-(ROW('CONTROL MASTER'!#REF!)-1)))&amp;TRIM(MID(SUBSTITUTE(SUBSTITUTE(INDEX('CONTROL MASTER'!$N$2:$N$495,(SUMPRODUCT((('CONTROL MASTER'!$S$2:$S$495=13)*('CONTROL MASTER'!$Z$2:$Z$495&lt;=1)*('CONTROL MASTER'!$AB$2:$AB$495&gt;=1)*('CONTROL MASTER'!$AA$2:$AA$495&lt;=2)*('CONTROL MASTER'!$AC$2:$AC$495&gt;=2))*ROW('CONTROL MASTER'!$S$2:$S$495))-(ROW('CONTROL MASTER'!#REF!)-1))),":",","),",",REPT(" ",50)),(((INDEX('CONTROL MASTER'!$Y$2:$Y$495,(SUMPRODUCT((('CONTROL MASTER'!$S$2:$S$495=13)*('CONTROL MASTER'!$Z$2:$Z$495&lt;=1)*('CONTROL MASTER'!$AB$2:$AB$495&gt;=1)*('CONTROL MASTER'!$AA$2:$AA$495&lt;=2)*('CONTROL MASTER'!$AC$2:$AC$495&gt;=2))*ROW('CONTROL MASTER'!$S$2:$S$495))-(ROW('CONTROL MASTER'!#REF!)-1)))+((1-INDEX('CONTROL MASTER'!$Z$2:$Z$495,(SUMPRODUCT((('CONTROL MASTER'!$S$2:$S$495=13)*('CONTROL MASTER'!$Z$2:$Z$495&lt;=1)*('CONTROL MASTER'!$AB$2:$AB$495&gt;=1)*('CONTROL MASTER'!$AA$2:$AA$495&lt;=2)*('CONTROL MASTER'!$AC$2:$AC$495&gt;=2))*ROW('CONTROL MASTER'!$S$2:$S$495))-(ROW('CONTROL MASTER'!#REF!)-1))))*(INDEX('CONTROL MASTER'!$AC$2:$AC$495,(SUMPRODUCT((('CONTROL MASTER'!$S$2:$S$495=13)*('CONTROL MASTER'!$Z$2:$Z$495&lt;=1)*('CONTROL MASTER'!$AB$2:$AB$495&gt;=1)*('CONTROL MASTER'!$AA$2:$AA$495&lt;=2)*('CONTROL MASTER'!$AC$2:$AC$495&gt;=2))*ROW('CONTROL MASTER'!$S$2:$S$495))-(ROW('CONTROL MASTER'!#REF!)-1)))-INDEX('CONTROL MASTER'!$AA$2:$AA$495,(SUMPRODUCT((('CONTROL MASTER'!$S$2:$S$495=13)*('CONTROL MASTER'!$Z$2:$Z$495&lt;=1)*('CONTROL MASTER'!$AB$2:$AB$495&gt;=1)*('CONTROL MASTER'!$AA$2:$AA$495&lt;=2)*('CONTROL MASTER'!$AC$2:$AC$495&gt;=2))*ROW('CONTROL MASTER'!$S$2:$S$495))-(ROW('CONTROL MASTER'!#REF!)-1)))+1)+(2-INDEX('CONTROL MASTER'!$AA$2:$AA$495,(SUMPRODUCT((('CONTROL MASTER'!$S$2:$S$495=13)*('CONTROL MASTER'!$Z$2:$Z$495&lt;=1)*('CONTROL MASTER'!$AB$2:$AB$495&gt;=1)*('CONTROL MASTER'!$AA$2:$AA$495&lt;=2)*('CONTROL MASTER'!$AC$2:$AC$495&gt;=2))*ROW('CONTROL MASTER'!$S$2:$S$495))-(ROW('CONTROL MASTER'!#REF!)-1))))+1)))-1)*50+1,50))&amp;"_"&amp;INDEX('CONTROL MASTER'!$P$2:$P$495,(SUMPRODUCT((('CONTROL MASTER'!$S$2:$S$495=13)*('CONTROL MASTER'!$Z$2:$Z$495&lt;=1)*('CONTROL MASTER'!$AB$2:$AB$495&gt;=1)*('CONTROL MASTER'!$AA$2:$AA$495&lt;=2)*('CONTROL MASTER'!$AC$2:$AC$495&gt;=2))*ROW('CONTROL MASTER'!$S$2:$S$495))-(ROW('CONTROL MASTER'!#REF!)-1))),"")),"")</f>
        <v/>
      </c>
      <c r="D171" s="10" t="str">
        <f>IFERROR(IF(SUMPRODUCT((('CONTROL MASTER'!$S$2:$S$495=13)*('CONTROL MASTER'!$T$2:$T$495&lt;=1)*('CONTROL MASTER'!$V$2:$V$495&gt;=1)*('CONTROL MASTER'!$U$2:$U$495&lt;=3)*('CONTROL MASTER'!$W$2:$W$495&gt;=3))*ROW('CONTROL MASTER'!$S$2:$S$495))&gt;0,INDEX('CONTROL MASTER'!$X$2:$X$495,(SUMPRODUCT((('CONTROL MASTER'!$S$2:$S$495=13)*('CONTROL MASTER'!$T$2:$T$495&lt;=1)*('CONTROL MASTER'!$V$2:$V$495&gt;=1)*('CONTROL MASTER'!$U$2:$U$495&lt;=3)*('CONTROL MASTER'!$W$2:$W$495&gt;=3))*ROW('CONTROL MASTER'!$S$2:$S$495))-(ROW('CONTROL MASTER'!#REF!)-1)))&amp;TRIM(MID(SUBSTITUTE(SUBSTITUTE(INDEX('CONTROL MASTER'!$N$2:$N$495,(SUMPRODUCT((('CONTROL MASTER'!$S$2:$S$495=13)*('CONTROL MASTER'!$T$2:$T$495&lt;=1)*('CONTROL MASTER'!$V$2:$V$495&gt;=1)*('CONTROL MASTER'!$U$2:$U$495&lt;=3)*('CONTROL MASTER'!$W$2:$W$495&gt;=3))*ROW('CONTROL MASTER'!$S$2:$S$495))-(ROW('CONTROL MASTER'!#REF!)-1))),":",","),",",REPT(" ",50)),((((1-INDEX('CONTROL MASTER'!$T$2:$T$495,(SUMPRODUCT((('CONTROL MASTER'!$S$2:$S$495=13)*('CONTROL MASTER'!$T$2:$T$495&lt;=1)*('CONTROL MASTER'!$V$2:$V$495&gt;=1)*('CONTROL MASTER'!$U$2:$U$495&lt;=3)*('CONTROL MASTER'!$W$2:$W$495&gt;=3))*ROW('CONTROL MASTER'!$S$2:$S$495))-(ROW('CONTROL MASTER'!#REF!)-1))))*(INDEX('CONTROL MASTER'!$W$2:$W$495,(SUMPRODUCT((('CONTROL MASTER'!$S$2:$S$495=13)*('CONTROL MASTER'!$T$2:$T$495&lt;=1)*('CONTROL MASTER'!$V$2:$V$495&gt;=1)*('CONTROL MASTER'!$U$2:$U$495&lt;=3)*('CONTROL MASTER'!$W$2:$W$495&gt;=3))*ROW('CONTROL MASTER'!$S$2:$S$495))-(ROW('CONTROL MASTER'!#REF!)-1)))-INDEX('CONTROL MASTER'!$U$2:$U$495,(SUMPRODUCT((('CONTROL MASTER'!$S$2:$S$495=13)*('CONTROL MASTER'!$T$2:$T$495&lt;=1)*('CONTROL MASTER'!$V$2:$V$495&gt;=1)*('CONTROL MASTER'!$U$2:$U$495&lt;=3)*('CONTROL MASTER'!$W$2:$W$495&gt;=3))*ROW('CONTROL MASTER'!$S$2:$S$495))-(ROW('CONTROL MASTER'!#REF!)-1)))+1)+(3-INDEX('CONTROL MASTER'!$U$2:$U$495,(SUMPRODUCT((('CONTROL MASTER'!$S$2:$S$495=13)*('CONTROL MASTER'!$T$2:$T$495&lt;=1)*('CONTROL MASTER'!$V$2:$V$495&gt;=1)*('CONTROL MASTER'!$U$2:$U$495&lt;=3)*('CONTROL MASTER'!$W$2:$W$495&gt;=3))*ROW('CONTROL MASTER'!$S$2:$S$495))-(ROW('CONTROL MASTER'!#REF!)-1))))+1))-1)*50+1,50))&amp;"_"&amp;INDEX('CONTROL MASTER'!$P$2:$P$495,(SUMPRODUCT((('CONTROL MASTER'!$S$2:$S$495=13)*('CONTROL MASTER'!$T$2:$T$495&lt;=1)*('CONTROL MASTER'!$V$2:$V$495&gt;=1)*('CONTROL MASTER'!$U$2:$U$495&lt;=3)*('CONTROL MASTER'!$W$2:$W$495&gt;=3))*ROW('CONTROL MASTER'!$S$2:$S$495))-(ROW('CONTROL MASTER'!#REF!)-1))),IF(SUMPRODUCT((('CONTROL MASTER'!$S$2:$S$495=13)*('CONTROL MASTER'!$Z$2:$Z$495&lt;=1)*('CONTROL MASTER'!$AB$2:$AB$495&gt;=1)*('CONTROL MASTER'!$AA$2:$AA$495&lt;=3)*('CONTROL MASTER'!$AC$2:$AC$495&gt;=3))*ROW('CONTROL MASTER'!$S$2:$S$495))&gt;0,INDEX('CONTROL MASTER'!$X$2:$X$495,(SUMPRODUCT((('CONTROL MASTER'!$S$2:$S$495=13)*('CONTROL MASTER'!$Z$2:$Z$495&lt;=1)*('CONTROL MASTER'!$AB$2:$AB$495&gt;=1)*('CONTROL MASTER'!$AA$2:$AA$495&lt;=3)*('CONTROL MASTER'!$AC$2:$AC$495&gt;=3))*ROW('CONTROL MASTER'!$S$2:$S$495))-(ROW('CONTROL MASTER'!#REF!)-1)))&amp;TRIM(MID(SUBSTITUTE(SUBSTITUTE(INDEX('CONTROL MASTER'!$N$2:$N$495,(SUMPRODUCT((('CONTROL MASTER'!$S$2:$S$495=13)*('CONTROL MASTER'!$Z$2:$Z$495&lt;=1)*('CONTROL MASTER'!$AB$2:$AB$495&gt;=1)*('CONTROL MASTER'!$AA$2:$AA$495&lt;=3)*('CONTROL MASTER'!$AC$2:$AC$495&gt;=3))*ROW('CONTROL MASTER'!$S$2:$S$495))-(ROW('CONTROL MASTER'!#REF!)-1))),":",","),",",REPT(" ",50)),(((INDEX('CONTROL MASTER'!$Y$2:$Y$495,(SUMPRODUCT((('CONTROL MASTER'!$S$2:$S$495=13)*('CONTROL MASTER'!$Z$2:$Z$495&lt;=1)*('CONTROL MASTER'!$AB$2:$AB$495&gt;=1)*('CONTROL MASTER'!$AA$2:$AA$495&lt;=3)*('CONTROL MASTER'!$AC$2:$AC$495&gt;=3))*ROW('CONTROL MASTER'!$S$2:$S$495))-(ROW('CONTROL MASTER'!#REF!)-1)))+((1-INDEX('CONTROL MASTER'!$Z$2:$Z$495,(SUMPRODUCT((('CONTROL MASTER'!$S$2:$S$495=13)*('CONTROL MASTER'!$Z$2:$Z$495&lt;=1)*('CONTROL MASTER'!$AB$2:$AB$495&gt;=1)*('CONTROL MASTER'!$AA$2:$AA$495&lt;=3)*('CONTROL MASTER'!$AC$2:$AC$495&gt;=3))*ROW('CONTROL MASTER'!$S$2:$S$495))-(ROW('CONTROL MASTER'!#REF!)-1))))*(INDEX('CONTROL MASTER'!$AC$2:$AC$495,(SUMPRODUCT((('CONTROL MASTER'!$S$2:$S$495=13)*('CONTROL MASTER'!$Z$2:$Z$495&lt;=1)*('CONTROL MASTER'!$AB$2:$AB$495&gt;=1)*('CONTROL MASTER'!$AA$2:$AA$495&lt;=3)*('CONTROL MASTER'!$AC$2:$AC$495&gt;=3))*ROW('CONTROL MASTER'!$S$2:$S$495))-(ROW('CONTROL MASTER'!#REF!)-1)))-INDEX('CONTROL MASTER'!$AA$2:$AA$495,(SUMPRODUCT((('CONTROL MASTER'!$S$2:$S$495=13)*('CONTROL MASTER'!$Z$2:$Z$495&lt;=1)*('CONTROL MASTER'!$AB$2:$AB$495&gt;=1)*('CONTROL MASTER'!$AA$2:$AA$495&lt;=3)*('CONTROL MASTER'!$AC$2:$AC$495&gt;=3))*ROW('CONTROL MASTER'!$S$2:$S$495))-(ROW('CONTROL MASTER'!#REF!)-1)))+1)+(3-INDEX('CONTROL MASTER'!$AA$2:$AA$495,(SUMPRODUCT((('CONTROL MASTER'!$S$2:$S$495=13)*('CONTROL MASTER'!$Z$2:$Z$495&lt;=1)*('CONTROL MASTER'!$AB$2:$AB$495&gt;=1)*('CONTROL MASTER'!$AA$2:$AA$495&lt;=3)*('CONTROL MASTER'!$AC$2:$AC$495&gt;=3))*ROW('CONTROL MASTER'!$S$2:$S$495))-(ROW('CONTROL MASTER'!#REF!)-1))))+1)))-1)*50+1,50))&amp;"_"&amp;INDEX('CONTROL MASTER'!$P$2:$P$495,(SUMPRODUCT((('CONTROL MASTER'!$S$2:$S$495=13)*('CONTROL MASTER'!$Z$2:$Z$495&lt;=1)*('CONTROL MASTER'!$AB$2:$AB$495&gt;=1)*('CONTROL MASTER'!$AA$2:$AA$495&lt;=3)*('CONTROL MASTER'!$AC$2:$AC$495&gt;=3))*ROW('CONTROL MASTER'!$S$2:$S$495))-(ROW('CONTROL MASTER'!#REF!)-1))),"")),"")</f>
        <v/>
      </c>
      <c r="E171" s="10" t="str">
        <f>IFERROR(IF(SUMPRODUCT((('CONTROL MASTER'!$S$2:$S$495=13)*('CONTROL MASTER'!$T$2:$T$495&lt;=1)*('CONTROL MASTER'!$V$2:$V$495&gt;=1)*('CONTROL MASTER'!$U$2:$U$495&lt;=4)*('CONTROL MASTER'!$W$2:$W$495&gt;=4))*ROW('CONTROL MASTER'!$S$2:$S$495))&gt;0,INDEX('CONTROL MASTER'!$X$2:$X$495,(SUMPRODUCT((('CONTROL MASTER'!$S$2:$S$495=13)*('CONTROL MASTER'!$T$2:$T$495&lt;=1)*('CONTROL MASTER'!$V$2:$V$495&gt;=1)*('CONTROL MASTER'!$U$2:$U$495&lt;=4)*('CONTROL MASTER'!$W$2:$W$495&gt;=4))*ROW('CONTROL MASTER'!$S$2:$S$495))-(ROW('CONTROL MASTER'!#REF!)-1)))&amp;TRIM(MID(SUBSTITUTE(SUBSTITUTE(INDEX('CONTROL MASTER'!$N$2:$N$495,(SUMPRODUCT((('CONTROL MASTER'!$S$2:$S$495=13)*('CONTROL MASTER'!$T$2:$T$495&lt;=1)*('CONTROL MASTER'!$V$2:$V$495&gt;=1)*('CONTROL MASTER'!$U$2:$U$495&lt;=4)*('CONTROL MASTER'!$W$2:$W$495&gt;=4))*ROW('CONTROL MASTER'!$S$2:$S$495))-(ROW('CONTROL MASTER'!#REF!)-1))),":",","),",",REPT(" ",50)),((((1-INDEX('CONTROL MASTER'!$T$2:$T$495,(SUMPRODUCT((('CONTROL MASTER'!$S$2:$S$495=13)*('CONTROL MASTER'!$T$2:$T$495&lt;=1)*('CONTROL MASTER'!$V$2:$V$495&gt;=1)*('CONTROL MASTER'!$U$2:$U$495&lt;=4)*('CONTROL MASTER'!$W$2:$W$495&gt;=4))*ROW('CONTROL MASTER'!$S$2:$S$495))-(ROW('CONTROL MASTER'!#REF!)-1))))*(INDEX('CONTROL MASTER'!$W$2:$W$495,(SUMPRODUCT((('CONTROL MASTER'!$S$2:$S$495=13)*('CONTROL MASTER'!$T$2:$T$495&lt;=1)*('CONTROL MASTER'!$V$2:$V$495&gt;=1)*('CONTROL MASTER'!$U$2:$U$495&lt;=4)*('CONTROL MASTER'!$W$2:$W$495&gt;=4))*ROW('CONTROL MASTER'!$S$2:$S$495))-(ROW('CONTROL MASTER'!#REF!)-1)))-INDEX('CONTROL MASTER'!$U$2:$U$495,(SUMPRODUCT((('CONTROL MASTER'!$S$2:$S$495=13)*('CONTROL MASTER'!$T$2:$T$495&lt;=1)*('CONTROL MASTER'!$V$2:$V$495&gt;=1)*('CONTROL MASTER'!$U$2:$U$495&lt;=4)*('CONTROL MASTER'!$W$2:$W$495&gt;=4))*ROW('CONTROL MASTER'!$S$2:$S$495))-(ROW('CONTROL MASTER'!#REF!)-1)))+1)+(4-INDEX('CONTROL MASTER'!$U$2:$U$495,(SUMPRODUCT((('CONTROL MASTER'!$S$2:$S$495=13)*('CONTROL MASTER'!$T$2:$T$495&lt;=1)*('CONTROL MASTER'!$V$2:$V$495&gt;=1)*('CONTROL MASTER'!$U$2:$U$495&lt;=4)*('CONTROL MASTER'!$W$2:$W$495&gt;=4))*ROW('CONTROL MASTER'!$S$2:$S$495))-(ROW('CONTROL MASTER'!#REF!)-1))))+1))-1)*50+1,50))&amp;"_"&amp;INDEX('CONTROL MASTER'!$P$2:$P$495,(SUMPRODUCT((('CONTROL MASTER'!$S$2:$S$495=13)*('CONTROL MASTER'!$T$2:$T$495&lt;=1)*('CONTROL MASTER'!$V$2:$V$495&gt;=1)*('CONTROL MASTER'!$U$2:$U$495&lt;=4)*('CONTROL MASTER'!$W$2:$W$495&gt;=4))*ROW('CONTROL MASTER'!$S$2:$S$495))-(ROW('CONTROL MASTER'!#REF!)-1))),IF(SUMPRODUCT((('CONTROL MASTER'!$S$2:$S$495=13)*('CONTROL MASTER'!$Z$2:$Z$495&lt;=1)*('CONTROL MASTER'!$AB$2:$AB$495&gt;=1)*('CONTROL MASTER'!$AA$2:$AA$495&lt;=4)*('CONTROL MASTER'!$AC$2:$AC$495&gt;=4))*ROW('CONTROL MASTER'!$S$2:$S$495))&gt;0,INDEX('CONTROL MASTER'!$X$2:$X$495,(SUMPRODUCT((('CONTROL MASTER'!$S$2:$S$495=13)*('CONTROL MASTER'!$Z$2:$Z$495&lt;=1)*('CONTROL MASTER'!$AB$2:$AB$495&gt;=1)*('CONTROL MASTER'!$AA$2:$AA$495&lt;=4)*('CONTROL MASTER'!$AC$2:$AC$495&gt;=4))*ROW('CONTROL MASTER'!$S$2:$S$495))-(ROW('CONTROL MASTER'!#REF!)-1)))&amp;TRIM(MID(SUBSTITUTE(SUBSTITUTE(INDEX('CONTROL MASTER'!$N$2:$N$495,(SUMPRODUCT((('CONTROL MASTER'!$S$2:$S$495=13)*('CONTROL MASTER'!$Z$2:$Z$495&lt;=1)*('CONTROL MASTER'!$AB$2:$AB$495&gt;=1)*('CONTROL MASTER'!$AA$2:$AA$495&lt;=4)*('CONTROL MASTER'!$AC$2:$AC$495&gt;=4))*ROW('CONTROL MASTER'!$S$2:$S$495))-(ROW('CONTROL MASTER'!#REF!)-1))),":",","),",",REPT(" ",50)),(((INDEX('CONTROL MASTER'!$Y$2:$Y$495,(SUMPRODUCT((('CONTROL MASTER'!$S$2:$S$495=13)*('CONTROL MASTER'!$Z$2:$Z$495&lt;=1)*('CONTROL MASTER'!$AB$2:$AB$495&gt;=1)*('CONTROL MASTER'!$AA$2:$AA$495&lt;=4)*('CONTROL MASTER'!$AC$2:$AC$495&gt;=4))*ROW('CONTROL MASTER'!$S$2:$S$495))-(ROW('CONTROL MASTER'!#REF!)-1)))+((1-INDEX('CONTROL MASTER'!$Z$2:$Z$495,(SUMPRODUCT((('CONTROL MASTER'!$S$2:$S$495=13)*('CONTROL MASTER'!$Z$2:$Z$495&lt;=1)*('CONTROL MASTER'!$AB$2:$AB$495&gt;=1)*('CONTROL MASTER'!$AA$2:$AA$495&lt;=4)*('CONTROL MASTER'!$AC$2:$AC$495&gt;=4))*ROW('CONTROL MASTER'!$S$2:$S$495))-(ROW('CONTROL MASTER'!#REF!)-1))))*(INDEX('CONTROL MASTER'!$AC$2:$AC$495,(SUMPRODUCT((('CONTROL MASTER'!$S$2:$S$495=13)*('CONTROL MASTER'!$Z$2:$Z$495&lt;=1)*('CONTROL MASTER'!$AB$2:$AB$495&gt;=1)*('CONTROL MASTER'!$AA$2:$AA$495&lt;=4)*('CONTROL MASTER'!$AC$2:$AC$495&gt;=4))*ROW('CONTROL MASTER'!$S$2:$S$495))-(ROW('CONTROL MASTER'!#REF!)-1)))-INDEX('CONTROL MASTER'!$AA$2:$AA$495,(SUMPRODUCT((('CONTROL MASTER'!$S$2:$S$495=13)*('CONTROL MASTER'!$Z$2:$Z$495&lt;=1)*('CONTROL MASTER'!$AB$2:$AB$495&gt;=1)*('CONTROL MASTER'!$AA$2:$AA$495&lt;=4)*('CONTROL MASTER'!$AC$2:$AC$495&gt;=4))*ROW('CONTROL MASTER'!$S$2:$S$495))-(ROW('CONTROL MASTER'!#REF!)-1)))+1)+(4-INDEX('CONTROL MASTER'!$AA$2:$AA$495,(SUMPRODUCT((('CONTROL MASTER'!$S$2:$S$495=13)*('CONTROL MASTER'!$Z$2:$Z$495&lt;=1)*('CONTROL MASTER'!$AB$2:$AB$495&gt;=1)*('CONTROL MASTER'!$AA$2:$AA$495&lt;=4)*('CONTROL MASTER'!$AC$2:$AC$495&gt;=4))*ROW('CONTROL MASTER'!$S$2:$S$495))-(ROW('CONTROL MASTER'!#REF!)-1))))+1)))-1)*50+1,50))&amp;"_"&amp;INDEX('CONTROL MASTER'!$P$2:$P$495,(SUMPRODUCT((('CONTROL MASTER'!$S$2:$S$495=13)*('CONTROL MASTER'!$Z$2:$Z$495&lt;=1)*('CONTROL MASTER'!$AB$2:$AB$495&gt;=1)*('CONTROL MASTER'!$AA$2:$AA$495&lt;=4)*('CONTROL MASTER'!$AC$2:$AC$495&gt;=4))*ROW('CONTROL MASTER'!$S$2:$S$495))-(ROW('CONTROL MASTER'!#REF!)-1))),"")),"")</f>
        <v/>
      </c>
      <c r="F171" s="10" t="str">
        <f>IFERROR(IF(SUMPRODUCT((('CONTROL MASTER'!$S$2:$S$495=13)*('CONTROL MASTER'!$T$2:$T$495&lt;=1)*('CONTROL MASTER'!$V$2:$V$495&gt;=1)*('CONTROL MASTER'!$U$2:$U$495&lt;=5)*('CONTROL MASTER'!$W$2:$W$495&gt;=5))*ROW('CONTROL MASTER'!$S$2:$S$495))&gt;0,INDEX('CONTROL MASTER'!$X$2:$X$495,(SUMPRODUCT((('CONTROL MASTER'!$S$2:$S$495=13)*('CONTROL MASTER'!$T$2:$T$495&lt;=1)*('CONTROL MASTER'!$V$2:$V$495&gt;=1)*('CONTROL MASTER'!$U$2:$U$495&lt;=5)*('CONTROL MASTER'!$W$2:$W$495&gt;=5))*ROW('CONTROL MASTER'!$S$2:$S$495))-(ROW('CONTROL MASTER'!#REF!)-1)))&amp;TRIM(MID(SUBSTITUTE(SUBSTITUTE(INDEX('CONTROL MASTER'!$N$2:$N$495,(SUMPRODUCT((('CONTROL MASTER'!$S$2:$S$495=13)*('CONTROL MASTER'!$T$2:$T$495&lt;=1)*('CONTROL MASTER'!$V$2:$V$495&gt;=1)*('CONTROL MASTER'!$U$2:$U$495&lt;=5)*('CONTROL MASTER'!$W$2:$W$495&gt;=5))*ROW('CONTROL MASTER'!$S$2:$S$495))-(ROW('CONTROL MASTER'!#REF!)-1))),":",","),",",REPT(" ",50)),((((1-INDEX('CONTROL MASTER'!$T$2:$T$495,(SUMPRODUCT((('CONTROL MASTER'!$S$2:$S$495=13)*('CONTROL MASTER'!$T$2:$T$495&lt;=1)*('CONTROL MASTER'!$V$2:$V$495&gt;=1)*('CONTROL MASTER'!$U$2:$U$495&lt;=5)*('CONTROL MASTER'!$W$2:$W$495&gt;=5))*ROW('CONTROL MASTER'!$S$2:$S$495))-(ROW('CONTROL MASTER'!#REF!)-1))))*(INDEX('CONTROL MASTER'!$W$2:$W$495,(SUMPRODUCT((('CONTROL MASTER'!$S$2:$S$495=13)*('CONTROL MASTER'!$T$2:$T$495&lt;=1)*('CONTROL MASTER'!$V$2:$V$495&gt;=1)*('CONTROL MASTER'!$U$2:$U$495&lt;=5)*('CONTROL MASTER'!$W$2:$W$495&gt;=5))*ROW('CONTROL MASTER'!$S$2:$S$495))-(ROW('CONTROL MASTER'!#REF!)-1)))-INDEX('CONTROL MASTER'!$U$2:$U$495,(SUMPRODUCT((('CONTROL MASTER'!$S$2:$S$495=13)*('CONTROL MASTER'!$T$2:$T$495&lt;=1)*('CONTROL MASTER'!$V$2:$V$495&gt;=1)*('CONTROL MASTER'!$U$2:$U$495&lt;=5)*('CONTROL MASTER'!$W$2:$W$495&gt;=5))*ROW('CONTROL MASTER'!$S$2:$S$495))-(ROW('CONTROL MASTER'!#REF!)-1)))+1)+(5-INDEX('CONTROL MASTER'!$U$2:$U$495,(SUMPRODUCT((('CONTROL MASTER'!$S$2:$S$495=13)*('CONTROL MASTER'!$T$2:$T$495&lt;=1)*('CONTROL MASTER'!$V$2:$V$495&gt;=1)*('CONTROL MASTER'!$U$2:$U$495&lt;=5)*('CONTROL MASTER'!$W$2:$W$495&gt;=5))*ROW('CONTROL MASTER'!$S$2:$S$495))-(ROW('CONTROL MASTER'!#REF!)-1))))+1))-1)*50+1,50))&amp;"_"&amp;INDEX('CONTROL MASTER'!$P$2:$P$495,(SUMPRODUCT((('CONTROL MASTER'!$S$2:$S$495=13)*('CONTROL MASTER'!$T$2:$T$495&lt;=1)*('CONTROL MASTER'!$V$2:$V$495&gt;=1)*('CONTROL MASTER'!$U$2:$U$495&lt;=5)*('CONTROL MASTER'!$W$2:$W$495&gt;=5))*ROW('CONTROL MASTER'!$S$2:$S$495))-(ROW('CONTROL MASTER'!#REF!)-1))),IF(SUMPRODUCT((('CONTROL MASTER'!$S$2:$S$495=13)*('CONTROL MASTER'!$Z$2:$Z$495&lt;=1)*('CONTROL MASTER'!$AB$2:$AB$495&gt;=1)*('CONTROL MASTER'!$AA$2:$AA$495&lt;=5)*('CONTROL MASTER'!$AC$2:$AC$495&gt;=5))*ROW('CONTROL MASTER'!$S$2:$S$495))&gt;0,INDEX('CONTROL MASTER'!$X$2:$X$495,(SUMPRODUCT((('CONTROL MASTER'!$S$2:$S$495=13)*('CONTROL MASTER'!$Z$2:$Z$495&lt;=1)*('CONTROL MASTER'!$AB$2:$AB$495&gt;=1)*('CONTROL MASTER'!$AA$2:$AA$495&lt;=5)*('CONTROL MASTER'!$AC$2:$AC$495&gt;=5))*ROW('CONTROL MASTER'!$S$2:$S$495))-(ROW('CONTROL MASTER'!#REF!)-1)))&amp;TRIM(MID(SUBSTITUTE(SUBSTITUTE(INDEX('CONTROL MASTER'!$N$2:$N$495,(SUMPRODUCT((('CONTROL MASTER'!$S$2:$S$495=13)*('CONTROL MASTER'!$Z$2:$Z$495&lt;=1)*('CONTROL MASTER'!$AB$2:$AB$495&gt;=1)*('CONTROL MASTER'!$AA$2:$AA$495&lt;=5)*('CONTROL MASTER'!$AC$2:$AC$495&gt;=5))*ROW('CONTROL MASTER'!$S$2:$S$495))-(ROW('CONTROL MASTER'!#REF!)-1))),":",","),",",REPT(" ",50)),(((INDEX('CONTROL MASTER'!$Y$2:$Y$495,(SUMPRODUCT((('CONTROL MASTER'!$S$2:$S$495=13)*('CONTROL MASTER'!$Z$2:$Z$495&lt;=1)*('CONTROL MASTER'!$AB$2:$AB$495&gt;=1)*('CONTROL MASTER'!$AA$2:$AA$495&lt;=5)*('CONTROL MASTER'!$AC$2:$AC$495&gt;=5))*ROW('CONTROL MASTER'!$S$2:$S$495))-(ROW('CONTROL MASTER'!#REF!)-1)))+((1-INDEX('CONTROL MASTER'!$Z$2:$Z$495,(SUMPRODUCT((('CONTROL MASTER'!$S$2:$S$495=13)*('CONTROL MASTER'!$Z$2:$Z$495&lt;=1)*('CONTROL MASTER'!$AB$2:$AB$495&gt;=1)*('CONTROL MASTER'!$AA$2:$AA$495&lt;=5)*('CONTROL MASTER'!$AC$2:$AC$495&gt;=5))*ROW('CONTROL MASTER'!$S$2:$S$495))-(ROW('CONTROL MASTER'!#REF!)-1))))*(INDEX('CONTROL MASTER'!$AC$2:$AC$495,(SUMPRODUCT((('CONTROL MASTER'!$S$2:$S$495=13)*('CONTROL MASTER'!$Z$2:$Z$495&lt;=1)*('CONTROL MASTER'!$AB$2:$AB$495&gt;=1)*('CONTROL MASTER'!$AA$2:$AA$495&lt;=5)*('CONTROL MASTER'!$AC$2:$AC$495&gt;=5))*ROW('CONTROL MASTER'!$S$2:$S$495))-(ROW('CONTROL MASTER'!#REF!)-1)))-INDEX('CONTROL MASTER'!$AA$2:$AA$495,(SUMPRODUCT((('CONTROL MASTER'!$S$2:$S$495=13)*('CONTROL MASTER'!$Z$2:$Z$495&lt;=1)*('CONTROL MASTER'!$AB$2:$AB$495&gt;=1)*('CONTROL MASTER'!$AA$2:$AA$495&lt;=5)*('CONTROL MASTER'!$AC$2:$AC$495&gt;=5))*ROW('CONTROL MASTER'!$S$2:$S$495))-(ROW('CONTROL MASTER'!#REF!)-1)))+1)+(5-INDEX('CONTROL MASTER'!$AA$2:$AA$495,(SUMPRODUCT((('CONTROL MASTER'!$S$2:$S$495=13)*('CONTROL MASTER'!$Z$2:$Z$495&lt;=1)*('CONTROL MASTER'!$AB$2:$AB$495&gt;=1)*('CONTROL MASTER'!$AA$2:$AA$495&lt;=5)*('CONTROL MASTER'!$AC$2:$AC$495&gt;=5))*ROW('CONTROL MASTER'!$S$2:$S$495))-(ROW('CONTROL MASTER'!#REF!)-1))))+1)))-1)*50+1,50))&amp;"_"&amp;INDEX('CONTROL MASTER'!$P$2:$P$495,(SUMPRODUCT((('CONTROL MASTER'!$S$2:$S$495=13)*('CONTROL MASTER'!$Z$2:$Z$495&lt;=1)*('CONTROL MASTER'!$AB$2:$AB$495&gt;=1)*('CONTROL MASTER'!$AA$2:$AA$495&lt;=5)*('CONTROL MASTER'!$AC$2:$AC$495&gt;=5))*ROW('CONTROL MASTER'!$S$2:$S$495))-(ROW('CONTROL MASTER'!#REF!)-1))),"")),"")</f>
        <v/>
      </c>
      <c r="G171" s="10" t="str">
        <f>IFERROR(IF(SUMPRODUCT((('CONTROL MASTER'!$S$2:$S$495=13)*('CONTROL MASTER'!$T$2:$T$495&lt;=1)*('CONTROL MASTER'!$V$2:$V$495&gt;=1)*('CONTROL MASTER'!$U$2:$U$495&lt;=6)*('CONTROL MASTER'!$W$2:$W$495&gt;=6))*ROW('CONTROL MASTER'!$S$2:$S$495))&gt;0,INDEX('CONTROL MASTER'!$X$2:$X$495,(SUMPRODUCT((('CONTROL MASTER'!$S$2:$S$495=13)*('CONTROL MASTER'!$T$2:$T$495&lt;=1)*('CONTROL MASTER'!$V$2:$V$495&gt;=1)*('CONTROL MASTER'!$U$2:$U$495&lt;=6)*('CONTROL MASTER'!$W$2:$W$495&gt;=6))*ROW('CONTROL MASTER'!$S$2:$S$495))-(ROW('CONTROL MASTER'!#REF!)-1)))&amp;TRIM(MID(SUBSTITUTE(SUBSTITUTE(INDEX('CONTROL MASTER'!$N$2:$N$495,(SUMPRODUCT((('CONTROL MASTER'!$S$2:$S$495=13)*('CONTROL MASTER'!$T$2:$T$495&lt;=1)*('CONTROL MASTER'!$V$2:$V$495&gt;=1)*('CONTROL MASTER'!$U$2:$U$495&lt;=6)*('CONTROL MASTER'!$W$2:$W$495&gt;=6))*ROW('CONTROL MASTER'!$S$2:$S$495))-(ROW('CONTROL MASTER'!#REF!)-1))),":",","),",",REPT(" ",50)),((((1-INDEX('CONTROL MASTER'!$T$2:$T$495,(SUMPRODUCT((('CONTROL MASTER'!$S$2:$S$495=13)*('CONTROL MASTER'!$T$2:$T$495&lt;=1)*('CONTROL MASTER'!$V$2:$V$495&gt;=1)*('CONTROL MASTER'!$U$2:$U$495&lt;=6)*('CONTROL MASTER'!$W$2:$W$495&gt;=6))*ROW('CONTROL MASTER'!$S$2:$S$495))-(ROW('CONTROL MASTER'!#REF!)-1))))*(INDEX('CONTROL MASTER'!$W$2:$W$495,(SUMPRODUCT((('CONTROL MASTER'!$S$2:$S$495=13)*('CONTROL MASTER'!$T$2:$T$495&lt;=1)*('CONTROL MASTER'!$V$2:$V$495&gt;=1)*('CONTROL MASTER'!$U$2:$U$495&lt;=6)*('CONTROL MASTER'!$W$2:$W$495&gt;=6))*ROW('CONTROL MASTER'!$S$2:$S$495))-(ROW('CONTROL MASTER'!#REF!)-1)))-INDEX('CONTROL MASTER'!$U$2:$U$495,(SUMPRODUCT((('CONTROL MASTER'!$S$2:$S$495=13)*('CONTROL MASTER'!$T$2:$T$495&lt;=1)*('CONTROL MASTER'!$V$2:$V$495&gt;=1)*('CONTROL MASTER'!$U$2:$U$495&lt;=6)*('CONTROL MASTER'!$W$2:$W$495&gt;=6))*ROW('CONTROL MASTER'!$S$2:$S$495))-(ROW('CONTROL MASTER'!#REF!)-1)))+1)+(6-INDEX('CONTROL MASTER'!$U$2:$U$495,(SUMPRODUCT((('CONTROL MASTER'!$S$2:$S$495=13)*('CONTROL MASTER'!$T$2:$T$495&lt;=1)*('CONTROL MASTER'!$V$2:$V$495&gt;=1)*('CONTROL MASTER'!$U$2:$U$495&lt;=6)*('CONTROL MASTER'!$W$2:$W$495&gt;=6))*ROW('CONTROL MASTER'!$S$2:$S$495))-(ROW('CONTROL MASTER'!#REF!)-1))))+1))-1)*50+1,50))&amp;"_"&amp;INDEX('CONTROL MASTER'!$P$2:$P$495,(SUMPRODUCT((('CONTROL MASTER'!$S$2:$S$495=13)*('CONTROL MASTER'!$T$2:$T$495&lt;=1)*('CONTROL MASTER'!$V$2:$V$495&gt;=1)*('CONTROL MASTER'!$U$2:$U$495&lt;=6)*('CONTROL MASTER'!$W$2:$W$495&gt;=6))*ROW('CONTROL MASTER'!$S$2:$S$495))-(ROW('CONTROL MASTER'!#REF!)-1))),IF(SUMPRODUCT((('CONTROL MASTER'!$S$2:$S$495=13)*('CONTROL MASTER'!$Z$2:$Z$495&lt;=1)*('CONTROL MASTER'!$AB$2:$AB$495&gt;=1)*('CONTROL MASTER'!$AA$2:$AA$495&lt;=6)*('CONTROL MASTER'!$AC$2:$AC$495&gt;=6))*ROW('CONTROL MASTER'!$S$2:$S$495))&gt;0,INDEX('CONTROL MASTER'!$X$2:$X$495,(SUMPRODUCT((('CONTROL MASTER'!$S$2:$S$495=13)*('CONTROL MASTER'!$Z$2:$Z$495&lt;=1)*('CONTROL MASTER'!$AB$2:$AB$495&gt;=1)*('CONTROL MASTER'!$AA$2:$AA$495&lt;=6)*('CONTROL MASTER'!$AC$2:$AC$495&gt;=6))*ROW('CONTROL MASTER'!$S$2:$S$495))-(ROW('CONTROL MASTER'!#REF!)-1)))&amp;TRIM(MID(SUBSTITUTE(SUBSTITUTE(INDEX('CONTROL MASTER'!$N$2:$N$495,(SUMPRODUCT((('CONTROL MASTER'!$S$2:$S$495=13)*('CONTROL MASTER'!$Z$2:$Z$495&lt;=1)*('CONTROL MASTER'!$AB$2:$AB$495&gt;=1)*('CONTROL MASTER'!$AA$2:$AA$495&lt;=6)*('CONTROL MASTER'!$AC$2:$AC$495&gt;=6))*ROW('CONTROL MASTER'!$S$2:$S$495))-(ROW('CONTROL MASTER'!#REF!)-1))),":",","),",",REPT(" ",50)),(((INDEX('CONTROL MASTER'!$Y$2:$Y$495,(SUMPRODUCT((('CONTROL MASTER'!$S$2:$S$495=13)*('CONTROL MASTER'!$Z$2:$Z$495&lt;=1)*('CONTROL MASTER'!$AB$2:$AB$495&gt;=1)*('CONTROL MASTER'!$AA$2:$AA$495&lt;=6)*('CONTROL MASTER'!$AC$2:$AC$495&gt;=6))*ROW('CONTROL MASTER'!$S$2:$S$495))-(ROW('CONTROL MASTER'!#REF!)-1)))+((1-INDEX('CONTROL MASTER'!$Z$2:$Z$495,(SUMPRODUCT((('CONTROL MASTER'!$S$2:$S$495=13)*('CONTROL MASTER'!$Z$2:$Z$495&lt;=1)*('CONTROL MASTER'!$AB$2:$AB$495&gt;=1)*('CONTROL MASTER'!$AA$2:$AA$495&lt;=6)*('CONTROL MASTER'!$AC$2:$AC$495&gt;=6))*ROW('CONTROL MASTER'!$S$2:$S$495))-(ROW('CONTROL MASTER'!#REF!)-1))))*(INDEX('CONTROL MASTER'!$AC$2:$AC$495,(SUMPRODUCT((('CONTROL MASTER'!$S$2:$S$495=13)*('CONTROL MASTER'!$Z$2:$Z$495&lt;=1)*('CONTROL MASTER'!$AB$2:$AB$495&gt;=1)*('CONTROL MASTER'!$AA$2:$AA$495&lt;=6)*('CONTROL MASTER'!$AC$2:$AC$495&gt;=6))*ROW('CONTROL MASTER'!$S$2:$S$495))-(ROW('CONTROL MASTER'!#REF!)-1)))-INDEX('CONTROL MASTER'!$AA$2:$AA$495,(SUMPRODUCT((('CONTROL MASTER'!$S$2:$S$495=13)*('CONTROL MASTER'!$Z$2:$Z$495&lt;=1)*('CONTROL MASTER'!$AB$2:$AB$495&gt;=1)*('CONTROL MASTER'!$AA$2:$AA$495&lt;=6)*('CONTROL MASTER'!$AC$2:$AC$495&gt;=6))*ROW('CONTROL MASTER'!$S$2:$S$495))-(ROW('CONTROL MASTER'!#REF!)-1)))+1)+(6-INDEX('CONTROL MASTER'!$AA$2:$AA$495,(SUMPRODUCT((('CONTROL MASTER'!$S$2:$S$495=13)*('CONTROL MASTER'!$Z$2:$Z$495&lt;=1)*('CONTROL MASTER'!$AB$2:$AB$495&gt;=1)*('CONTROL MASTER'!$AA$2:$AA$495&lt;=6)*('CONTROL MASTER'!$AC$2:$AC$495&gt;=6))*ROW('CONTROL MASTER'!$S$2:$S$495))-(ROW('CONTROL MASTER'!#REF!)-1))))+1)))-1)*50+1,50))&amp;"_"&amp;INDEX('CONTROL MASTER'!$P$2:$P$495,(SUMPRODUCT((('CONTROL MASTER'!$S$2:$S$495=13)*('CONTROL MASTER'!$Z$2:$Z$495&lt;=1)*('CONTROL MASTER'!$AB$2:$AB$495&gt;=1)*('CONTROL MASTER'!$AA$2:$AA$495&lt;=6)*('CONTROL MASTER'!$AC$2:$AC$495&gt;=6))*ROW('CONTROL MASTER'!$S$2:$S$495))-(ROW('CONTROL MASTER'!#REF!)-1))),"")),"")</f>
        <v/>
      </c>
      <c r="H171" s="10" t="str">
        <f>IFERROR(IF(SUMPRODUCT((('CONTROL MASTER'!$S$2:$S$495=13)*('CONTROL MASTER'!$T$2:$T$495&lt;=1)*('CONTROL MASTER'!$V$2:$V$495&gt;=1)*('CONTROL MASTER'!$U$2:$U$495&lt;=7)*('CONTROL MASTER'!$W$2:$W$495&gt;=7))*ROW('CONTROL MASTER'!$S$2:$S$495))&gt;0,INDEX('CONTROL MASTER'!$X$2:$X$495,(SUMPRODUCT((('CONTROL MASTER'!$S$2:$S$495=13)*('CONTROL MASTER'!$T$2:$T$495&lt;=1)*('CONTROL MASTER'!$V$2:$V$495&gt;=1)*('CONTROL MASTER'!$U$2:$U$495&lt;=7)*('CONTROL MASTER'!$W$2:$W$495&gt;=7))*ROW('CONTROL MASTER'!$S$2:$S$495))-(ROW('CONTROL MASTER'!#REF!)-1)))&amp;TRIM(MID(SUBSTITUTE(SUBSTITUTE(INDEX('CONTROL MASTER'!$N$2:$N$495,(SUMPRODUCT((('CONTROL MASTER'!$S$2:$S$495=13)*('CONTROL MASTER'!$T$2:$T$495&lt;=1)*('CONTROL MASTER'!$V$2:$V$495&gt;=1)*('CONTROL MASTER'!$U$2:$U$495&lt;=7)*('CONTROL MASTER'!$W$2:$W$495&gt;=7))*ROW('CONTROL MASTER'!$S$2:$S$495))-(ROW('CONTROL MASTER'!#REF!)-1))),":",","),",",REPT(" ",50)),((((1-INDEX('CONTROL MASTER'!$T$2:$T$495,(SUMPRODUCT((('CONTROL MASTER'!$S$2:$S$495=13)*('CONTROL MASTER'!$T$2:$T$495&lt;=1)*('CONTROL MASTER'!$V$2:$V$495&gt;=1)*('CONTROL MASTER'!$U$2:$U$495&lt;=7)*('CONTROL MASTER'!$W$2:$W$495&gt;=7))*ROW('CONTROL MASTER'!$S$2:$S$495))-(ROW('CONTROL MASTER'!#REF!)-1))))*(INDEX('CONTROL MASTER'!$W$2:$W$495,(SUMPRODUCT((('CONTROL MASTER'!$S$2:$S$495=13)*('CONTROL MASTER'!$T$2:$T$495&lt;=1)*('CONTROL MASTER'!$V$2:$V$495&gt;=1)*('CONTROL MASTER'!$U$2:$U$495&lt;=7)*('CONTROL MASTER'!$W$2:$W$495&gt;=7))*ROW('CONTROL MASTER'!$S$2:$S$495))-(ROW('CONTROL MASTER'!#REF!)-1)))-INDEX('CONTROL MASTER'!$U$2:$U$495,(SUMPRODUCT((('CONTROL MASTER'!$S$2:$S$495=13)*('CONTROL MASTER'!$T$2:$T$495&lt;=1)*('CONTROL MASTER'!$V$2:$V$495&gt;=1)*('CONTROL MASTER'!$U$2:$U$495&lt;=7)*('CONTROL MASTER'!$W$2:$W$495&gt;=7))*ROW('CONTROL MASTER'!$S$2:$S$495))-(ROW('CONTROL MASTER'!#REF!)-1)))+1)+(7-INDEX('CONTROL MASTER'!$U$2:$U$495,(SUMPRODUCT((('CONTROL MASTER'!$S$2:$S$495=13)*('CONTROL MASTER'!$T$2:$T$495&lt;=1)*('CONTROL MASTER'!$V$2:$V$495&gt;=1)*('CONTROL MASTER'!$U$2:$U$495&lt;=7)*('CONTROL MASTER'!$W$2:$W$495&gt;=7))*ROW('CONTROL MASTER'!$S$2:$S$495))-(ROW('CONTROL MASTER'!#REF!)-1))))+1))-1)*50+1,50))&amp;"_"&amp;INDEX('CONTROL MASTER'!$P$2:$P$495,(SUMPRODUCT((('CONTROL MASTER'!$S$2:$S$495=13)*('CONTROL MASTER'!$T$2:$T$495&lt;=1)*('CONTROL MASTER'!$V$2:$V$495&gt;=1)*('CONTROL MASTER'!$U$2:$U$495&lt;=7)*('CONTROL MASTER'!$W$2:$W$495&gt;=7))*ROW('CONTROL MASTER'!$S$2:$S$495))-(ROW('CONTROL MASTER'!#REF!)-1))),IF(SUMPRODUCT((('CONTROL MASTER'!$S$2:$S$495=13)*('CONTROL MASTER'!$Z$2:$Z$495&lt;=1)*('CONTROL MASTER'!$AB$2:$AB$495&gt;=1)*('CONTROL MASTER'!$AA$2:$AA$495&lt;=7)*('CONTROL MASTER'!$AC$2:$AC$495&gt;=7))*ROW('CONTROL MASTER'!$S$2:$S$495))&gt;0,INDEX('CONTROL MASTER'!$X$2:$X$495,(SUMPRODUCT((('CONTROL MASTER'!$S$2:$S$495=13)*('CONTROL MASTER'!$Z$2:$Z$495&lt;=1)*('CONTROL MASTER'!$AB$2:$AB$495&gt;=1)*('CONTROL MASTER'!$AA$2:$AA$495&lt;=7)*('CONTROL MASTER'!$AC$2:$AC$495&gt;=7))*ROW('CONTROL MASTER'!$S$2:$S$495))-(ROW('CONTROL MASTER'!#REF!)-1)))&amp;TRIM(MID(SUBSTITUTE(SUBSTITUTE(INDEX('CONTROL MASTER'!$N$2:$N$495,(SUMPRODUCT((('CONTROL MASTER'!$S$2:$S$495=13)*('CONTROL MASTER'!$Z$2:$Z$495&lt;=1)*('CONTROL MASTER'!$AB$2:$AB$495&gt;=1)*('CONTROL MASTER'!$AA$2:$AA$495&lt;=7)*('CONTROL MASTER'!$AC$2:$AC$495&gt;=7))*ROW('CONTROL MASTER'!$S$2:$S$495))-(ROW('CONTROL MASTER'!#REF!)-1))),":",","),",",REPT(" ",50)),(((INDEX('CONTROL MASTER'!$Y$2:$Y$495,(SUMPRODUCT((('CONTROL MASTER'!$S$2:$S$495=13)*('CONTROL MASTER'!$Z$2:$Z$495&lt;=1)*('CONTROL MASTER'!$AB$2:$AB$495&gt;=1)*('CONTROL MASTER'!$AA$2:$AA$495&lt;=7)*('CONTROL MASTER'!$AC$2:$AC$495&gt;=7))*ROW('CONTROL MASTER'!$S$2:$S$495))-(ROW('CONTROL MASTER'!#REF!)-1)))+((1-INDEX('CONTROL MASTER'!$Z$2:$Z$495,(SUMPRODUCT((('CONTROL MASTER'!$S$2:$S$495=13)*('CONTROL MASTER'!$Z$2:$Z$495&lt;=1)*('CONTROL MASTER'!$AB$2:$AB$495&gt;=1)*('CONTROL MASTER'!$AA$2:$AA$495&lt;=7)*('CONTROL MASTER'!$AC$2:$AC$495&gt;=7))*ROW('CONTROL MASTER'!$S$2:$S$495))-(ROW('CONTROL MASTER'!#REF!)-1))))*(INDEX('CONTROL MASTER'!$AC$2:$AC$495,(SUMPRODUCT((('CONTROL MASTER'!$S$2:$S$495=13)*('CONTROL MASTER'!$Z$2:$Z$495&lt;=1)*('CONTROL MASTER'!$AB$2:$AB$495&gt;=1)*('CONTROL MASTER'!$AA$2:$AA$495&lt;=7)*('CONTROL MASTER'!$AC$2:$AC$495&gt;=7))*ROW('CONTROL MASTER'!$S$2:$S$495))-(ROW('CONTROL MASTER'!#REF!)-1)))-INDEX('CONTROL MASTER'!$AA$2:$AA$495,(SUMPRODUCT((('CONTROL MASTER'!$S$2:$S$495=13)*('CONTROL MASTER'!$Z$2:$Z$495&lt;=1)*('CONTROL MASTER'!$AB$2:$AB$495&gt;=1)*('CONTROL MASTER'!$AA$2:$AA$495&lt;=7)*('CONTROL MASTER'!$AC$2:$AC$495&gt;=7))*ROW('CONTROL MASTER'!$S$2:$S$495))-(ROW('CONTROL MASTER'!#REF!)-1)))+1)+(7-INDEX('CONTROL MASTER'!$AA$2:$AA$495,(SUMPRODUCT((('CONTROL MASTER'!$S$2:$S$495=13)*('CONTROL MASTER'!$Z$2:$Z$495&lt;=1)*('CONTROL MASTER'!$AB$2:$AB$495&gt;=1)*('CONTROL MASTER'!$AA$2:$AA$495&lt;=7)*('CONTROL MASTER'!$AC$2:$AC$495&gt;=7))*ROW('CONTROL MASTER'!$S$2:$S$495))-(ROW('CONTROL MASTER'!#REF!)-1))))+1)))-1)*50+1,50))&amp;"_"&amp;INDEX('CONTROL MASTER'!$P$2:$P$495,(SUMPRODUCT((('CONTROL MASTER'!$S$2:$S$495=13)*('CONTROL MASTER'!$Z$2:$Z$495&lt;=1)*('CONTROL MASTER'!$AB$2:$AB$495&gt;=1)*('CONTROL MASTER'!$AA$2:$AA$495&lt;=7)*('CONTROL MASTER'!$AC$2:$AC$495&gt;=7))*ROW('CONTROL MASTER'!$S$2:$S$495))-(ROW('CONTROL MASTER'!#REF!)-1))),"")),"")</f>
        <v/>
      </c>
      <c r="I171" s="10" t="str">
        <f>IFERROR(IF(SUMPRODUCT((('CONTROL MASTER'!$S$2:$S$495=13)*('CONTROL MASTER'!$T$2:$T$495&lt;=1)*('CONTROL MASTER'!$V$2:$V$495&gt;=1)*('CONTROL MASTER'!$U$2:$U$495&lt;=8)*('CONTROL MASTER'!$W$2:$W$495&gt;=8))*ROW('CONTROL MASTER'!$S$2:$S$495))&gt;0,INDEX('CONTROL MASTER'!$X$2:$X$495,(SUMPRODUCT((('CONTROL MASTER'!$S$2:$S$495=13)*('CONTROL MASTER'!$T$2:$T$495&lt;=1)*('CONTROL MASTER'!$V$2:$V$495&gt;=1)*('CONTROL MASTER'!$U$2:$U$495&lt;=8)*('CONTROL MASTER'!$W$2:$W$495&gt;=8))*ROW('CONTROL MASTER'!$S$2:$S$495))-(ROW('CONTROL MASTER'!#REF!)-1)))&amp;TRIM(MID(SUBSTITUTE(SUBSTITUTE(INDEX('CONTROL MASTER'!$N$2:$N$495,(SUMPRODUCT((('CONTROL MASTER'!$S$2:$S$495=13)*('CONTROL MASTER'!$T$2:$T$495&lt;=1)*('CONTROL MASTER'!$V$2:$V$495&gt;=1)*('CONTROL MASTER'!$U$2:$U$495&lt;=8)*('CONTROL MASTER'!$W$2:$W$495&gt;=8))*ROW('CONTROL MASTER'!$S$2:$S$495))-(ROW('CONTROL MASTER'!#REF!)-1))),":",","),",",REPT(" ",50)),((((1-INDEX('CONTROL MASTER'!$T$2:$T$495,(SUMPRODUCT((('CONTROL MASTER'!$S$2:$S$495=13)*('CONTROL MASTER'!$T$2:$T$495&lt;=1)*('CONTROL MASTER'!$V$2:$V$495&gt;=1)*('CONTROL MASTER'!$U$2:$U$495&lt;=8)*('CONTROL MASTER'!$W$2:$W$495&gt;=8))*ROW('CONTROL MASTER'!$S$2:$S$495))-(ROW('CONTROL MASTER'!#REF!)-1))))*(INDEX('CONTROL MASTER'!$W$2:$W$495,(SUMPRODUCT((('CONTROL MASTER'!$S$2:$S$495=13)*('CONTROL MASTER'!$T$2:$T$495&lt;=1)*('CONTROL MASTER'!$V$2:$V$495&gt;=1)*('CONTROL MASTER'!$U$2:$U$495&lt;=8)*('CONTROL MASTER'!$W$2:$W$495&gt;=8))*ROW('CONTROL MASTER'!$S$2:$S$495))-(ROW('CONTROL MASTER'!#REF!)-1)))-INDEX('CONTROL MASTER'!$U$2:$U$495,(SUMPRODUCT((('CONTROL MASTER'!$S$2:$S$495=13)*('CONTROL MASTER'!$T$2:$T$495&lt;=1)*('CONTROL MASTER'!$V$2:$V$495&gt;=1)*('CONTROL MASTER'!$U$2:$U$495&lt;=8)*('CONTROL MASTER'!$W$2:$W$495&gt;=8))*ROW('CONTROL MASTER'!$S$2:$S$495))-(ROW('CONTROL MASTER'!#REF!)-1)))+1)+(8-INDEX('CONTROL MASTER'!$U$2:$U$495,(SUMPRODUCT((('CONTROL MASTER'!$S$2:$S$495=13)*('CONTROL MASTER'!$T$2:$T$495&lt;=1)*('CONTROL MASTER'!$V$2:$V$495&gt;=1)*('CONTROL MASTER'!$U$2:$U$495&lt;=8)*('CONTROL MASTER'!$W$2:$W$495&gt;=8))*ROW('CONTROL MASTER'!$S$2:$S$495))-(ROW('CONTROL MASTER'!#REF!)-1))))+1))-1)*50+1,50))&amp;"_"&amp;INDEX('CONTROL MASTER'!$P$2:$P$495,(SUMPRODUCT((('CONTROL MASTER'!$S$2:$S$495=13)*('CONTROL MASTER'!$T$2:$T$495&lt;=1)*('CONTROL MASTER'!$V$2:$V$495&gt;=1)*('CONTROL MASTER'!$U$2:$U$495&lt;=8)*('CONTROL MASTER'!$W$2:$W$495&gt;=8))*ROW('CONTROL MASTER'!$S$2:$S$495))-(ROW('CONTROL MASTER'!#REF!)-1))),IF(SUMPRODUCT((('CONTROL MASTER'!$S$2:$S$495=13)*('CONTROL MASTER'!$Z$2:$Z$495&lt;=1)*('CONTROL MASTER'!$AB$2:$AB$495&gt;=1)*('CONTROL MASTER'!$AA$2:$AA$495&lt;=8)*('CONTROL MASTER'!$AC$2:$AC$495&gt;=8))*ROW('CONTROL MASTER'!$S$2:$S$495))&gt;0,INDEX('CONTROL MASTER'!$X$2:$X$495,(SUMPRODUCT((('CONTROL MASTER'!$S$2:$S$495=13)*('CONTROL MASTER'!$Z$2:$Z$495&lt;=1)*('CONTROL MASTER'!$AB$2:$AB$495&gt;=1)*('CONTROL MASTER'!$AA$2:$AA$495&lt;=8)*('CONTROL MASTER'!$AC$2:$AC$495&gt;=8))*ROW('CONTROL MASTER'!$S$2:$S$495))-(ROW('CONTROL MASTER'!#REF!)-1)))&amp;TRIM(MID(SUBSTITUTE(SUBSTITUTE(INDEX('CONTROL MASTER'!$N$2:$N$495,(SUMPRODUCT((('CONTROL MASTER'!$S$2:$S$495=13)*('CONTROL MASTER'!$Z$2:$Z$495&lt;=1)*('CONTROL MASTER'!$AB$2:$AB$495&gt;=1)*('CONTROL MASTER'!$AA$2:$AA$495&lt;=8)*('CONTROL MASTER'!$AC$2:$AC$495&gt;=8))*ROW('CONTROL MASTER'!$S$2:$S$495))-(ROW('CONTROL MASTER'!#REF!)-1))),":",","),",",REPT(" ",50)),(((INDEX('CONTROL MASTER'!$Y$2:$Y$495,(SUMPRODUCT((('CONTROL MASTER'!$S$2:$S$495=13)*('CONTROL MASTER'!$Z$2:$Z$495&lt;=1)*('CONTROL MASTER'!$AB$2:$AB$495&gt;=1)*('CONTROL MASTER'!$AA$2:$AA$495&lt;=8)*('CONTROL MASTER'!$AC$2:$AC$495&gt;=8))*ROW('CONTROL MASTER'!$S$2:$S$495))-(ROW('CONTROL MASTER'!#REF!)-1)))+((1-INDEX('CONTROL MASTER'!$Z$2:$Z$495,(SUMPRODUCT((('CONTROL MASTER'!$S$2:$S$495=13)*('CONTROL MASTER'!$Z$2:$Z$495&lt;=1)*('CONTROL MASTER'!$AB$2:$AB$495&gt;=1)*('CONTROL MASTER'!$AA$2:$AA$495&lt;=8)*('CONTROL MASTER'!$AC$2:$AC$495&gt;=8))*ROW('CONTROL MASTER'!$S$2:$S$495))-(ROW('CONTROL MASTER'!#REF!)-1))))*(INDEX('CONTROL MASTER'!$AC$2:$AC$495,(SUMPRODUCT((('CONTROL MASTER'!$S$2:$S$495=13)*('CONTROL MASTER'!$Z$2:$Z$495&lt;=1)*('CONTROL MASTER'!$AB$2:$AB$495&gt;=1)*('CONTROL MASTER'!$AA$2:$AA$495&lt;=8)*('CONTROL MASTER'!$AC$2:$AC$495&gt;=8))*ROW('CONTROL MASTER'!$S$2:$S$495))-(ROW('CONTROL MASTER'!#REF!)-1)))-INDEX('CONTROL MASTER'!$AA$2:$AA$495,(SUMPRODUCT((('CONTROL MASTER'!$S$2:$S$495=13)*('CONTROL MASTER'!$Z$2:$Z$495&lt;=1)*('CONTROL MASTER'!$AB$2:$AB$495&gt;=1)*('CONTROL MASTER'!$AA$2:$AA$495&lt;=8)*('CONTROL MASTER'!$AC$2:$AC$495&gt;=8))*ROW('CONTROL MASTER'!$S$2:$S$495))-(ROW('CONTROL MASTER'!#REF!)-1)))+1)+(8-INDEX('CONTROL MASTER'!$AA$2:$AA$495,(SUMPRODUCT((('CONTROL MASTER'!$S$2:$S$495=13)*('CONTROL MASTER'!$Z$2:$Z$495&lt;=1)*('CONTROL MASTER'!$AB$2:$AB$495&gt;=1)*('CONTROL MASTER'!$AA$2:$AA$495&lt;=8)*('CONTROL MASTER'!$AC$2:$AC$495&gt;=8))*ROW('CONTROL MASTER'!$S$2:$S$495))-(ROW('CONTROL MASTER'!#REF!)-1))))+1)))-1)*50+1,50))&amp;"_"&amp;INDEX('CONTROL MASTER'!$P$2:$P$495,(SUMPRODUCT((('CONTROL MASTER'!$S$2:$S$495=13)*('CONTROL MASTER'!$Z$2:$Z$495&lt;=1)*('CONTROL MASTER'!$AB$2:$AB$495&gt;=1)*('CONTROL MASTER'!$AA$2:$AA$495&lt;=8)*('CONTROL MASTER'!$AC$2:$AC$495&gt;=8))*ROW('CONTROL MASTER'!$S$2:$S$495))-(ROW('CONTROL MASTER'!#REF!)-1))),"")),"")</f>
        <v/>
      </c>
      <c r="J171" s="10" t="str">
        <f>IFERROR(IF(SUMPRODUCT((('CONTROL MASTER'!$S$2:$S$495=13)*('CONTROL MASTER'!$T$2:$T$495&lt;=1)*('CONTROL MASTER'!$V$2:$V$495&gt;=1)*('CONTROL MASTER'!$U$2:$U$495&lt;=9)*('CONTROL MASTER'!$W$2:$W$495&gt;=9))*ROW('CONTROL MASTER'!$S$2:$S$495))&gt;0,INDEX('CONTROL MASTER'!$X$2:$X$495,(SUMPRODUCT((('CONTROL MASTER'!$S$2:$S$495=13)*('CONTROL MASTER'!$T$2:$T$495&lt;=1)*('CONTROL MASTER'!$V$2:$V$495&gt;=1)*('CONTROL MASTER'!$U$2:$U$495&lt;=9)*('CONTROL MASTER'!$W$2:$W$495&gt;=9))*ROW('CONTROL MASTER'!$S$2:$S$495))-(ROW('CONTROL MASTER'!#REF!)-1)))&amp;TRIM(MID(SUBSTITUTE(SUBSTITUTE(INDEX('CONTROL MASTER'!$N$2:$N$495,(SUMPRODUCT((('CONTROL MASTER'!$S$2:$S$495=13)*('CONTROL MASTER'!$T$2:$T$495&lt;=1)*('CONTROL MASTER'!$V$2:$V$495&gt;=1)*('CONTROL MASTER'!$U$2:$U$495&lt;=9)*('CONTROL MASTER'!$W$2:$W$495&gt;=9))*ROW('CONTROL MASTER'!$S$2:$S$495))-(ROW('CONTROL MASTER'!#REF!)-1))),":",","),",",REPT(" ",50)),((((1-INDEX('CONTROL MASTER'!$T$2:$T$495,(SUMPRODUCT((('CONTROL MASTER'!$S$2:$S$495=13)*('CONTROL MASTER'!$T$2:$T$495&lt;=1)*('CONTROL MASTER'!$V$2:$V$495&gt;=1)*('CONTROL MASTER'!$U$2:$U$495&lt;=9)*('CONTROL MASTER'!$W$2:$W$495&gt;=9))*ROW('CONTROL MASTER'!$S$2:$S$495))-(ROW('CONTROL MASTER'!#REF!)-1))))*(INDEX('CONTROL MASTER'!$W$2:$W$495,(SUMPRODUCT((('CONTROL MASTER'!$S$2:$S$495=13)*('CONTROL MASTER'!$T$2:$T$495&lt;=1)*('CONTROL MASTER'!$V$2:$V$495&gt;=1)*('CONTROL MASTER'!$U$2:$U$495&lt;=9)*('CONTROL MASTER'!$W$2:$W$495&gt;=9))*ROW('CONTROL MASTER'!$S$2:$S$495))-(ROW('CONTROL MASTER'!#REF!)-1)))-INDEX('CONTROL MASTER'!$U$2:$U$495,(SUMPRODUCT((('CONTROL MASTER'!$S$2:$S$495=13)*('CONTROL MASTER'!$T$2:$T$495&lt;=1)*('CONTROL MASTER'!$V$2:$V$495&gt;=1)*('CONTROL MASTER'!$U$2:$U$495&lt;=9)*('CONTROL MASTER'!$W$2:$W$495&gt;=9))*ROW('CONTROL MASTER'!$S$2:$S$495))-(ROW('CONTROL MASTER'!#REF!)-1)))+1)+(9-INDEX('CONTROL MASTER'!$U$2:$U$495,(SUMPRODUCT((('CONTROL MASTER'!$S$2:$S$495=13)*('CONTROL MASTER'!$T$2:$T$495&lt;=1)*('CONTROL MASTER'!$V$2:$V$495&gt;=1)*('CONTROL MASTER'!$U$2:$U$495&lt;=9)*('CONTROL MASTER'!$W$2:$W$495&gt;=9))*ROW('CONTROL MASTER'!$S$2:$S$495))-(ROW('CONTROL MASTER'!#REF!)-1))))+1))-1)*50+1,50))&amp;"_"&amp;INDEX('CONTROL MASTER'!$P$2:$P$495,(SUMPRODUCT((('CONTROL MASTER'!$S$2:$S$495=13)*('CONTROL MASTER'!$T$2:$T$495&lt;=1)*('CONTROL MASTER'!$V$2:$V$495&gt;=1)*('CONTROL MASTER'!$U$2:$U$495&lt;=9)*('CONTROL MASTER'!$W$2:$W$495&gt;=9))*ROW('CONTROL MASTER'!$S$2:$S$495))-(ROW('CONTROL MASTER'!#REF!)-1))),IF(SUMPRODUCT((('CONTROL MASTER'!$S$2:$S$495=13)*('CONTROL MASTER'!$Z$2:$Z$495&lt;=1)*('CONTROL MASTER'!$AB$2:$AB$495&gt;=1)*('CONTROL MASTER'!$AA$2:$AA$495&lt;=9)*('CONTROL MASTER'!$AC$2:$AC$495&gt;=9))*ROW('CONTROL MASTER'!$S$2:$S$495))&gt;0,INDEX('CONTROL MASTER'!$X$2:$X$495,(SUMPRODUCT((('CONTROL MASTER'!$S$2:$S$495=13)*('CONTROL MASTER'!$Z$2:$Z$495&lt;=1)*('CONTROL MASTER'!$AB$2:$AB$495&gt;=1)*('CONTROL MASTER'!$AA$2:$AA$495&lt;=9)*('CONTROL MASTER'!$AC$2:$AC$495&gt;=9))*ROW('CONTROL MASTER'!$S$2:$S$495))-(ROW('CONTROL MASTER'!#REF!)-1)))&amp;TRIM(MID(SUBSTITUTE(SUBSTITUTE(INDEX('CONTROL MASTER'!$N$2:$N$495,(SUMPRODUCT((('CONTROL MASTER'!$S$2:$S$495=13)*('CONTROL MASTER'!$Z$2:$Z$495&lt;=1)*('CONTROL MASTER'!$AB$2:$AB$495&gt;=1)*('CONTROL MASTER'!$AA$2:$AA$495&lt;=9)*('CONTROL MASTER'!$AC$2:$AC$495&gt;=9))*ROW('CONTROL MASTER'!$S$2:$S$495))-(ROW('CONTROL MASTER'!#REF!)-1))),":",","),",",REPT(" ",50)),(((INDEX('CONTROL MASTER'!$Y$2:$Y$495,(SUMPRODUCT((('CONTROL MASTER'!$S$2:$S$495=13)*('CONTROL MASTER'!$Z$2:$Z$495&lt;=1)*('CONTROL MASTER'!$AB$2:$AB$495&gt;=1)*('CONTROL MASTER'!$AA$2:$AA$495&lt;=9)*('CONTROL MASTER'!$AC$2:$AC$495&gt;=9))*ROW('CONTROL MASTER'!$S$2:$S$495))-(ROW('CONTROL MASTER'!#REF!)-1)))+((1-INDEX('CONTROL MASTER'!$Z$2:$Z$495,(SUMPRODUCT((('CONTROL MASTER'!$S$2:$S$495=13)*('CONTROL MASTER'!$Z$2:$Z$495&lt;=1)*('CONTROL MASTER'!$AB$2:$AB$495&gt;=1)*('CONTROL MASTER'!$AA$2:$AA$495&lt;=9)*('CONTROL MASTER'!$AC$2:$AC$495&gt;=9))*ROW('CONTROL MASTER'!$S$2:$S$495))-(ROW('CONTROL MASTER'!#REF!)-1))))*(INDEX('CONTROL MASTER'!$AC$2:$AC$495,(SUMPRODUCT((('CONTROL MASTER'!$S$2:$S$495=13)*('CONTROL MASTER'!$Z$2:$Z$495&lt;=1)*('CONTROL MASTER'!$AB$2:$AB$495&gt;=1)*('CONTROL MASTER'!$AA$2:$AA$495&lt;=9)*('CONTROL MASTER'!$AC$2:$AC$495&gt;=9))*ROW('CONTROL MASTER'!$S$2:$S$495))-(ROW('CONTROL MASTER'!#REF!)-1)))-INDEX('CONTROL MASTER'!$AA$2:$AA$495,(SUMPRODUCT((('CONTROL MASTER'!$S$2:$S$495=13)*('CONTROL MASTER'!$Z$2:$Z$495&lt;=1)*('CONTROL MASTER'!$AB$2:$AB$495&gt;=1)*('CONTROL MASTER'!$AA$2:$AA$495&lt;=9)*('CONTROL MASTER'!$AC$2:$AC$495&gt;=9))*ROW('CONTROL MASTER'!$S$2:$S$495))-(ROW('CONTROL MASTER'!#REF!)-1)))+1)+(9-INDEX('CONTROL MASTER'!$AA$2:$AA$495,(SUMPRODUCT((('CONTROL MASTER'!$S$2:$S$495=13)*('CONTROL MASTER'!$Z$2:$Z$495&lt;=1)*('CONTROL MASTER'!$AB$2:$AB$495&gt;=1)*('CONTROL MASTER'!$AA$2:$AA$495&lt;=9)*('CONTROL MASTER'!$AC$2:$AC$495&gt;=9))*ROW('CONTROL MASTER'!$S$2:$S$495))-(ROW('CONTROL MASTER'!#REF!)-1))))+1)))-1)*50+1,50))&amp;"_"&amp;INDEX('CONTROL MASTER'!$P$2:$P$495,(SUMPRODUCT((('CONTROL MASTER'!$S$2:$S$495=13)*('CONTROL MASTER'!$Z$2:$Z$495&lt;=1)*('CONTROL MASTER'!$AB$2:$AB$495&gt;=1)*('CONTROL MASTER'!$AA$2:$AA$495&lt;=9)*('CONTROL MASTER'!$AC$2:$AC$495&gt;=9))*ROW('CONTROL MASTER'!$S$2:$S$495))-(ROW('CONTROL MASTER'!#REF!)-1))),"")),"")</f>
        <v/>
      </c>
      <c r="K171" s="10" t="str">
        <f>IFERROR(IF(SUMPRODUCT((('CONTROL MASTER'!$S$2:$S$495=13)*('CONTROL MASTER'!$T$2:$T$495&lt;=1)*('CONTROL MASTER'!$V$2:$V$495&gt;=1)*('CONTROL MASTER'!$U$2:$U$495&lt;=10)*('CONTROL MASTER'!$W$2:$W$495&gt;=10))*ROW('CONTROL MASTER'!$S$2:$S$495))&gt;0,INDEX('CONTROL MASTER'!$X$2:$X$495,(SUMPRODUCT((('CONTROL MASTER'!$S$2:$S$495=13)*('CONTROL MASTER'!$T$2:$T$495&lt;=1)*('CONTROL MASTER'!$V$2:$V$495&gt;=1)*('CONTROL MASTER'!$U$2:$U$495&lt;=10)*('CONTROL MASTER'!$W$2:$W$495&gt;=10))*ROW('CONTROL MASTER'!$S$2:$S$495))-(ROW('CONTROL MASTER'!#REF!)-1)))&amp;TRIM(MID(SUBSTITUTE(SUBSTITUTE(INDEX('CONTROL MASTER'!$N$2:$N$495,(SUMPRODUCT((('CONTROL MASTER'!$S$2:$S$495=13)*('CONTROL MASTER'!$T$2:$T$495&lt;=1)*('CONTROL MASTER'!$V$2:$V$495&gt;=1)*('CONTROL MASTER'!$U$2:$U$495&lt;=10)*('CONTROL MASTER'!$W$2:$W$495&gt;=10))*ROW('CONTROL MASTER'!$S$2:$S$495))-(ROW('CONTROL MASTER'!#REF!)-1))),":",","),",",REPT(" ",50)),((((1-INDEX('CONTROL MASTER'!$T$2:$T$495,(SUMPRODUCT((('CONTROL MASTER'!$S$2:$S$495=13)*('CONTROL MASTER'!$T$2:$T$495&lt;=1)*('CONTROL MASTER'!$V$2:$V$495&gt;=1)*('CONTROL MASTER'!$U$2:$U$495&lt;=10)*('CONTROL MASTER'!$W$2:$W$495&gt;=10))*ROW('CONTROL MASTER'!$S$2:$S$495))-(ROW('CONTROL MASTER'!#REF!)-1))))*(INDEX('CONTROL MASTER'!$W$2:$W$495,(SUMPRODUCT((('CONTROL MASTER'!$S$2:$S$495=13)*('CONTROL MASTER'!$T$2:$T$495&lt;=1)*('CONTROL MASTER'!$V$2:$V$495&gt;=1)*('CONTROL MASTER'!$U$2:$U$495&lt;=10)*('CONTROL MASTER'!$W$2:$W$495&gt;=10))*ROW('CONTROL MASTER'!$S$2:$S$495))-(ROW('CONTROL MASTER'!#REF!)-1)))-INDEX('CONTROL MASTER'!$U$2:$U$495,(SUMPRODUCT((('CONTROL MASTER'!$S$2:$S$495=13)*('CONTROL MASTER'!$T$2:$T$495&lt;=1)*('CONTROL MASTER'!$V$2:$V$495&gt;=1)*('CONTROL MASTER'!$U$2:$U$495&lt;=10)*('CONTROL MASTER'!$W$2:$W$495&gt;=10))*ROW('CONTROL MASTER'!$S$2:$S$495))-(ROW('CONTROL MASTER'!#REF!)-1)))+1)+(10-INDEX('CONTROL MASTER'!$U$2:$U$495,(SUMPRODUCT((('CONTROL MASTER'!$S$2:$S$495=13)*('CONTROL MASTER'!$T$2:$T$495&lt;=1)*('CONTROL MASTER'!$V$2:$V$495&gt;=1)*('CONTROL MASTER'!$U$2:$U$495&lt;=10)*('CONTROL MASTER'!$W$2:$W$495&gt;=10))*ROW('CONTROL MASTER'!$S$2:$S$495))-(ROW('CONTROL MASTER'!#REF!)-1))))+1))-1)*50+1,50))&amp;"_"&amp;INDEX('CONTROL MASTER'!$P$2:$P$495,(SUMPRODUCT((('CONTROL MASTER'!$S$2:$S$495=13)*('CONTROL MASTER'!$T$2:$T$495&lt;=1)*('CONTROL MASTER'!$V$2:$V$495&gt;=1)*('CONTROL MASTER'!$U$2:$U$495&lt;=10)*('CONTROL MASTER'!$W$2:$W$495&gt;=10))*ROW('CONTROL MASTER'!$S$2:$S$495))-(ROW('CONTROL MASTER'!#REF!)-1))),IF(SUMPRODUCT((('CONTROL MASTER'!$S$2:$S$495=13)*('CONTROL MASTER'!$Z$2:$Z$495&lt;=1)*('CONTROL MASTER'!$AB$2:$AB$495&gt;=1)*('CONTROL MASTER'!$AA$2:$AA$495&lt;=10)*('CONTROL MASTER'!$AC$2:$AC$495&gt;=10))*ROW('CONTROL MASTER'!$S$2:$S$495))&gt;0,INDEX('CONTROL MASTER'!$X$2:$X$495,(SUMPRODUCT((('CONTROL MASTER'!$S$2:$S$495=13)*('CONTROL MASTER'!$Z$2:$Z$495&lt;=1)*('CONTROL MASTER'!$AB$2:$AB$495&gt;=1)*('CONTROL MASTER'!$AA$2:$AA$495&lt;=10)*('CONTROL MASTER'!$AC$2:$AC$495&gt;=10))*ROW('CONTROL MASTER'!$S$2:$S$495))-(ROW('CONTROL MASTER'!#REF!)-1)))&amp;TRIM(MID(SUBSTITUTE(SUBSTITUTE(INDEX('CONTROL MASTER'!$N$2:$N$495,(SUMPRODUCT((('CONTROL MASTER'!$S$2:$S$495=13)*('CONTROL MASTER'!$Z$2:$Z$495&lt;=1)*('CONTROL MASTER'!$AB$2:$AB$495&gt;=1)*('CONTROL MASTER'!$AA$2:$AA$495&lt;=10)*('CONTROL MASTER'!$AC$2:$AC$495&gt;=10))*ROW('CONTROL MASTER'!$S$2:$S$495))-(ROW('CONTROL MASTER'!#REF!)-1))),":",","),",",REPT(" ",50)),(((INDEX('CONTROL MASTER'!$Y$2:$Y$495,(SUMPRODUCT((('CONTROL MASTER'!$S$2:$S$495=13)*('CONTROL MASTER'!$Z$2:$Z$495&lt;=1)*('CONTROL MASTER'!$AB$2:$AB$495&gt;=1)*('CONTROL MASTER'!$AA$2:$AA$495&lt;=10)*('CONTROL MASTER'!$AC$2:$AC$495&gt;=10))*ROW('CONTROL MASTER'!$S$2:$S$495))-(ROW('CONTROL MASTER'!#REF!)-1)))+((1-INDEX('CONTROL MASTER'!$Z$2:$Z$495,(SUMPRODUCT((('CONTROL MASTER'!$S$2:$S$495=13)*('CONTROL MASTER'!$Z$2:$Z$495&lt;=1)*('CONTROL MASTER'!$AB$2:$AB$495&gt;=1)*('CONTROL MASTER'!$AA$2:$AA$495&lt;=10)*('CONTROL MASTER'!$AC$2:$AC$495&gt;=10))*ROW('CONTROL MASTER'!$S$2:$S$495))-(ROW('CONTROL MASTER'!#REF!)-1))))*(INDEX('CONTROL MASTER'!$AC$2:$AC$495,(SUMPRODUCT((('CONTROL MASTER'!$S$2:$S$495=13)*('CONTROL MASTER'!$Z$2:$Z$495&lt;=1)*('CONTROL MASTER'!$AB$2:$AB$495&gt;=1)*('CONTROL MASTER'!$AA$2:$AA$495&lt;=10)*('CONTROL MASTER'!$AC$2:$AC$495&gt;=10))*ROW('CONTROL MASTER'!$S$2:$S$495))-(ROW('CONTROL MASTER'!#REF!)-1)))-INDEX('CONTROL MASTER'!$AA$2:$AA$495,(SUMPRODUCT((('CONTROL MASTER'!$S$2:$S$495=13)*('CONTROL MASTER'!$Z$2:$Z$495&lt;=1)*('CONTROL MASTER'!$AB$2:$AB$495&gt;=1)*('CONTROL MASTER'!$AA$2:$AA$495&lt;=10)*('CONTROL MASTER'!$AC$2:$AC$495&gt;=10))*ROW('CONTROL MASTER'!$S$2:$S$495))-(ROW('CONTROL MASTER'!#REF!)-1)))+1)+(10-INDEX('CONTROL MASTER'!$AA$2:$AA$495,(SUMPRODUCT((('CONTROL MASTER'!$S$2:$S$495=13)*('CONTROL MASTER'!$Z$2:$Z$495&lt;=1)*('CONTROL MASTER'!$AB$2:$AB$495&gt;=1)*('CONTROL MASTER'!$AA$2:$AA$495&lt;=10)*('CONTROL MASTER'!$AC$2:$AC$495&gt;=10))*ROW('CONTROL MASTER'!$S$2:$S$495))-(ROW('CONTROL MASTER'!#REF!)-1))))+1)))-1)*50+1,50))&amp;"_"&amp;INDEX('CONTROL MASTER'!$P$2:$P$495,(SUMPRODUCT((('CONTROL MASTER'!$S$2:$S$495=13)*('CONTROL MASTER'!$Z$2:$Z$495&lt;=1)*('CONTROL MASTER'!$AB$2:$AB$495&gt;=1)*('CONTROL MASTER'!$AA$2:$AA$495&lt;=10)*('CONTROL MASTER'!$AC$2:$AC$495&gt;=10))*ROW('CONTROL MASTER'!$S$2:$S$495))-(ROW('CONTROL MASTER'!#REF!)-1))),"")),"")</f>
        <v/>
      </c>
    </row>
    <row r="172" spans="1:11" ht="15" customHeight="1" x14ac:dyDescent="0.35">
      <c r="A172" s="8" t="s">
        <v>29</v>
      </c>
      <c r="B172" s="10" t="str">
        <f>IFERROR(IF(SUMPRODUCT((('CONTROL MASTER'!$S$2:$S$495=13)*('CONTROL MASTER'!$T$2:$T$495&lt;=2)*('CONTROL MASTER'!$V$2:$V$495&gt;=2)*('CONTROL MASTER'!$U$2:$U$495&lt;=1)*('CONTROL MASTER'!$W$2:$W$495&gt;=1))*ROW('CONTROL MASTER'!$S$2:$S$495))&gt;0,INDEX('CONTROL MASTER'!$X$2:$X$495,(SUMPRODUCT((('CONTROL MASTER'!$S$2:$S$495=13)*('CONTROL MASTER'!$T$2:$T$495&lt;=2)*('CONTROL MASTER'!$V$2:$V$495&gt;=2)*('CONTROL MASTER'!$U$2:$U$495&lt;=1)*('CONTROL MASTER'!$W$2:$W$495&gt;=1))*ROW('CONTROL MASTER'!$S$2:$S$495))-(ROW('CONTROL MASTER'!#REF!)-1)))&amp;TRIM(MID(SUBSTITUTE(SUBSTITUTE(INDEX('CONTROL MASTER'!$N$2:$N$495,(SUMPRODUCT((('CONTROL MASTER'!$S$2:$S$495=13)*('CONTROL MASTER'!$T$2:$T$495&lt;=2)*('CONTROL MASTER'!$V$2:$V$495&gt;=2)*('CONTROL MASTER'!$U$2:$U$495&lt;=1)*('CONTROL MASTER'!$W$2:$W$495&gt;=1))*ROW('CONTROL MASTER'!$S$2:$S$495))-(ROW('CONTROL MASTER'!#REF!)-1))),":",","),",",REPT(" ",50)),((((2-INDEX('CONTROL MASTER'!$T$2:$T$495,(SUMPRODUCT((('CONTROL MASTER'!$S$2:$S$495=13)*('CONTROL MASTER'!$T$2:$T$495&lt;=2)*('CONTROL MASTER'!$V$2:$V$495&gt;=2)*('CONTROL MASTER'!$U$2:$U$495&lt;=1)*('CONTROL MASTER'!$W$2:$W$495&gt;=1))*ROW('CONTROL MASTER'!$S$2:$S$495))-(ROW('CONTROL MASTER'!#REF!)-1))))*(INDEX('CONTROL MASTER'!$W$2:$W$495,(SUMPRODUCT((('CONTROL MASTER'!$S$2:$S$495=13)*('CONTROL MASTER'!$T$2:$T$495&lt;=2)*('CONTROL MASTER'!$V$2:$V$495&gt;=2)*('CONTROL MASTER'!$U$2:$U$495&lt;=1)*('CONTROL MASTER'!$W$2:$W$495&gt;=1))*ROW('CONTROL MASTER'!$S$2:$S$495))-(ROW('CONTROL MASTER'!#REF!)-1)))-INDEX('CONTROL MASTER'!$U$2:$U$495,(SUMPRODUCT((('CONTROL MASTER'!$S$2:$S$495=13)*('CONTROL MASTER'!$T$2:$T$495&lt;=2)*('CONTROL MASTER'!$V$2:$V$495&gt;=2)*('CONTROL MASTER'!$U$2:$U$495&lt;=1)*('CONTROL MASTER'!$W$2:$W$495&gt;=1))*ROW('CONTROL MASTER'!$S$2:$S$495))-(ROW('CONTROL MASTER'!#REF!)-1)))+1)+(1-INDEX('CONTROL MASTER'!$U$2:$U$495,(SUMPRODUCT((('CONTROL MASTER'!$S$2:$S$495=13)*('CONTROL MASTER'!$T$2:$T$495&lt;=2)*('CONTROL MASTER'!$V$2:$V$495&gt;=2)*('CONTROL MASTER'!$U$2:$U$495&lt;=1)*('CONTROL MASTER'!$W$2:$W$495&gt;=1))*ROW('CONTROL MASTER'!$S$2:$S$495))-(ROW('CONTROL MASTER'!#REF!)-1))))+1))-1)*50+1,50))&amp;"_"&amp;INDEX('CONTROL MASTER'!$P$2:$P$495,(SUMPRODUCT((('CONTROL MASTER'!$S$2:$S$495=13)*('CONTROL MASTER'!$T$2:$T$495&lt;=2)*('CONTROL MASTER'!$V$2:$V$495&gt;=2)*('CONTROL MASTER'!$U$2:$U$495&lt;=1)*('CONTROL MASTER'!$W$2:$W$495&gt;=1))*ROW('CONTROL MASTER'!$S$2:$S$495))-(ROW('CONTROL MASTER'!#REF!)-1))),IF(SUMPRODUCT((('CONTROL MASTER'!$S$2:$S$495=13)*('CONTROL MASTER'!$Z$2:$Z$495&lt;=2)*('CONTROL MASTER'!$AB$2:$AB$495&gt;=2)*('CONTROL MASTER'!$AA$2:$AA$495&lt;=1)*('CONTROL MASTER'!$AC$2:$AC$495&gt;=1))*ROW('CONTROL MASTER'!$S$2:$S$495))&gt;0,INDEX('CONTROL MASTER'!$X$2:$X$495,(SUMPRODUCT((('CONTROL MASTER'!$S$2:$S$495=13)*('CONTROL MASTER'!$Z$2:$Z$495&lt;=2)*('CONTROL MASTER'!$AB$2:$AB$495&gt;=2)*('CONTROL MASTER'!$AA$2:$AA$495&lt;=1)*('CONTROL MASTER'!$AC$2:$AC$495&gt;=1))*ROW('CONTROL MASTER'!$S$2:$S$495))-(ROW('CONTROL MASTER'!#REF!)-1)))&amp;TRIM(MID(SUBSTITUTE(SUBSTITUTE(INDEX('CONTROL MASTER'!$N$2:$N$495,(SUMPRODUCT((('CONTROL MASTER'!$S$2:$S$495=13)*('CONTROL MASTER'!$Z$2:$Z$495&lt;=2)*('CONTROL MASTER'!$AB$2:$AB$495&gt;=2)*('CONTROL MASTER'!$AA$2:$AA$495&lt;=1)*('CONTROL MASTER'!$AC$2:$AC$495&gt;=1))*ROW('CONTROL MASTER'!$S$2:$S$495))-(ROW('CONTROL MASTER'!#REF!)-1))),":",","),",",REPT(" ",50)),(((INDEX('CONTROL MASTER'!$Y$2:$Y$495,(SUMPRODUCT((('CONTROL MASTER'!$S$2:$S$495=13)*('CONTROL MASTER'!$Z$2:$Z$495&lt;=2)*('CONTROL MASTER'!$AB$2:$AB$495&gt;=2)*('CONTROL MASTER'!$AA$2:$AA$495&lt;=1)*('CONTROL MASTER'!$AC$2:$AC$495&gt;=1))*ROW('CONTROL MASTER'!$S$2:$S$495))-(ROW('CONTROL MASTER'!#REF!)-1)))+((2-INDEX('CONTROL MASTER'!$Z$2:$Z$495,(SUMPRODUCT((('CONTROL MASTER'!$S$2:$S$495=13)*('CONTROL MASTER'!$Z$2:$Z$495&lt;=2)*('CONTROL MASTER'!$AB$2:$AB$495&gt;=2)*('CONTROL MASTER'!$AA$2:$AA$495&lt;=1)*('CONTROL MASTER'!$AC$2:$AC$495&gt;=1))*ROW('CONTROL MASTER'!$S$2:$S$495))-(ROW('CONTROL MASTER'!#REF!)-1))))*(INDEX('CONTROL MASTER'!$AC$2:$AC$495,(SUMPRODUCT((('CONTROL MASTER'!$S$2:$S$495=13)*('CONTROL MASTER'!$Z$2:$Z$495&lt;=2)*('CONTROL MASTER'!$AB$2:$AB$495&gt;=2)*('CONTROL MASTER'!$AA$2:$AA$495&lt;=1)*('CONTROL MASTER'!$AC$2:$AC$495&gt;=1))*ROW('CONTROL MASTER'!$S$2:$S$495))-(ROW('CONTROL MASTER'!#REF!)-1)))-INDEX('CONTROL MASTER'!$AA$2:$AA$495,(SUMPRODUCT((('CONTROL MASTER'!$S$2:$S$495=13)*('CONTROL MASTER'!$Z$2:$Z$495&lt;=2)*('CONTROL MASTER'!$AB$2:$AB$495&gt;=2)*('CONTROL MASTER'!$AA$2:$AA$495&lt;=1)*('CONTROL MASTER'!$AC$2:$AC$495&gt;=1))*ROW('CONTROL MASTER'!$S$2:$S$495))-(ROW('CONTROL MASTER'!#REF!)-1)))+1)+(1-INDEX('CONTROL MASTER'!$AA$2:$AA$495,(SUMPRODUCT((('CONTROL MASTER'!$S$2:$S$495=13)*('CONTROL MASTER'!$Z$2:$Z$495&lt;=2)*('CONTROL MASTER'!$AB$2:$AB$495&gt;=2)*('CONTROL MASTER'!$AA$2:$AA$495&lt;=1)*('CONTROL MASTER'!$AC$2:$AC$495&gt;=1))*ROW('CONTROL MASTER'!$S$2:$S$495))-(ROW('CONTROL MASTER'!#REF!)-1))))+1)))-1)*50+1,50))&amp;"_"&amp;INDEX('CONTROL MASTER'!$P$2:$P$495,(SUMPRODUCT((('CONTROL MASTER'!$S$2:$S$495=13)*('CONTROL MASTER'!$Z$2:$Z$495&lt;=2)*('CONTROL MASTER'!$AB$2:$AB$495&gt;=2)*('CONTROL MASTER'!$AA$2:$AA$495&lt;=1)*('CONTROL MASTER'!$AC$2:$AC$495&gt;=1))*ROW('CONTROL MASTER'!$S$2:$S$495))-(ROW('CONTROL MASTER'!#REF!)-1))),"")),"")</f>
        <v/>
      </c>
      <c r="C172" s="10" t="str">
        <f>IFERROR(IF(SUMPRODUCT((('CONTROL MASTER'!$S$2:$S$495=13)*('CONTROL MASTER'!$T$2:$T$495&lt;=2)*('CONTROL MASTER'!$V$2:$V$495&gt;=2)*('CONTROL MASTER'!$U$2:$U$495&lt;=2)*('CONTROL MASTER'!$W$2:$W$495&gt;=2))*ROW('CONTROL MASTER'!$S$2:$S$495))&gt;0,INDEX('CONTROL MASTER'!$X$2:$X$495,(SUMPRODUCT((('CONTROL MASTER'!$S$2:$S$495=13)*('CONTROL MASTER'!$T$2:$T$495&lt;=2)*('CONTROL MASTER'!$V$2:$V$495&gt;=2)*('CONTROL MASTER'!$U$2:$U$495&lt;=2)*('CONTROL MASTER'!$W$2:$W$495&gt;=2))*ROW('CONTROL MASTER'!$S$2:$S$495))-(ROW('CONTROL MASTER'!#REF!)-1)))&amp;TRIM(MID(SUBSTITUTE(SUBSTITUTE(INDEX('CONTROL MASTER'!$N$2:$N$495,(SUMPRODUCT((('CONTROL MASTER'!$S$2:$S$495=13)*('CONTROL MASTER'!$T$2:$T$495&lt;=2)*('CONTROL MASTER'!$V$2:$V$495&gt;=2)*('CONTROL MASTER'!$U$2:$U$495&lt;=2)*('CONTROL MASTER'!$W$2:$W$495&gt;=2))*ROW('CONTROL MASTER'!$S$2:$S$495))-(ROW('CONTROL MASTER'!#REF!)-1))),":",","),",",REPT(" ",50)),((((2-INDEX('CONTROL MASTER'!$T$2:$T$495,(SUMPRODUCT((('CONTROL MASTER'!$S$2:$S$495=13)*('CONTROL MASTER'!$T$2:$T$495&lt;=2)*('CONTROL MASTER'!$V$2:$V$495&gt;=2)*('CONTROL MASTER'!$U$2:$U$495&lt;=2)*('CONTROL MASTER'!$W$2:$W$495&gt;=2))*ROW('CONTROL MASTER'!$S$2:$S$495))-(ROW('CONTROL MASTER'!#REF!)-1))))*(INDEX('CONTROL MASTER'!$W$2:$W$495,(SUMPRODUCT((('CONTROL MASTER'!$S$2:$S$495=13)*('CONTROL MASTER'!$T$2:$T$495&lt;=2)*('CONTROL MASTER'!$V$2:$V$495&gt;=2)*('CONTROL MASTER'!$U$2:$U$495&lt;=2)*('CONTROL MASTER'!$W$2:$W$495&gt;=2))*ROW('CONTROL MASTER'!$S$2:$S$495))-(ROW('CONTROL MASTER'!#REF!)-1)))-INDEX('CONTROL MASTER'!$U$2:$U$495,(SUMPRODUCT((('CONTROL MASTER'!$S$2:$S$495=13)*('CONTROL MASTER'!$T$2:$T$495&lt;=2)*('CONTROL MASTER'!$V$2:$V$495&gt;=2)*('CONTROL MASTER'!$U$2:$U$495&lt;=2)*('CONTROL MASTER'!$W$2:$W$495&gt;=2))*ROW('CONTROL MASTER'!$S$2:$S$495))-(ROW('CONTROL MASTER'!#REF!)-1)))+1)+(2-INDEX('CONTROL MASTER'!$U$2:$U$495,(SUMPRODUCT((('CONTROL MASTER'!$S$2:$S$495=13)*('CONTROL MASTER'!$T$2:$T$495&lt;=2)*('CONTROL MASTER'!$V$2:$V$495&gt;=2)*('CONTROL MASTER'!$U$2:$U$495&lt;=2)*('CONTROL MASTER'!$W$2:$W$495&gt;=2))*ROW('CONTROL MASTER'!$S$2:$S$495))-(ROW('CONTROL MASTER'!#REF!)-1))))+1))-1)*50+1,50))&amp;"_"&amp;INDEX('CONTROL MASTER'!$P$2:$P$495,(SUMPRODUCT((('CONTROL MASTER'!$S$2:$S$495=13)*('CONTROL MASTER'!$T$2:$T$495&lt;=2)*('CONTROL MASTER'!$V$2:$V$495&gt;=2)*('CONTROL MASTER'!$U$2:$U$495&lt;=2)*('CONTROL MASTER'!$W$2:$W$495&gt;=2))*ROW('CONTROL MASTER'!$S$2:$S$495))-(ROW('CONTROL MASTER'!#REF!)-1))),IF(SUMPRODUCT((('CONTROL MASTER'!$S$2:$S$495=13)*('CONTROL MASTER'!$Z$2:$Z$495&lt;=2)*('CONTROL MASTER'!$AB$2:$AB$495&gt;=2)*('CONTROL MASTER'!$AA$2:$AA$495&lt;=2)*('CONTROL MASTER'!$AC$2:$AC$495&gt;=2))*ROW('CONTROL MASTER'!$S$2:$S$495))&gt;0,INDEX('CONTROL MASTER'!$X$2:$X$495,(SUMPRODUCT((('CONTROL MASTER'!$S$2:$S$495=13)*('CONTROL MASTER'!$Z$2:$Z$495&lt;=2)*('CONTROL MASTER'!$AB$2:$AB$495&gt;=2)*('CONTROL MASTER'!$AA$2:$AA$495&lt;=2)*('CONTROL MASTER'!$AC$2:$AC$495&gt;=2))*ROW('CONTROL MASTER'!$S$2:$S$495))-(ROW('CONTROL MASTER'!#REF!)-1)))&amp;TRIM(MID(SUBSTITUTE(SUBSTITUTE(INDEX('CONTROL MASTER'!$N$2:$N$495,(SUMPRODUCT((('CONTROL MASTER'!$S$2:$S$495=13)*('CONTROL MASTER'!$Z$2:$Z$495&lt;=2)*('CONTROL MASTER'!$AB$2:$AB$495&gt;=2)*('CONTROL MASTER'!$AA$2:$AA$495&lt;=2)*('CONTROL MASTER'!$AC$2:$AC$495&gt;=2))*ROW('CONTROL MASTER'!$S$2:$S$495))-(ROW('CONTROL MASTER'!#REF!)-1))),":",","),",",REPT(" ",50)),(((INDEX('CONTROL MASTER'!$Y$2:$Y$495,(SUMPRODUCT((('CONTROL MASTER'!$S$2:$S$495=13)*('CONTROL MASTER'!$Z$2:$Z$495&lt;=2)*('CONTROL MASTER'!$AB$2:$AB$495&gt;=2)*('CONTROL MASTER'!$AA$2:$AA$495&lt;=2)*('CONTROL MASTER'!$AC$2:$AC$495&gt;=2))*ROW('CONTROL MASTER'!$S$2:$S$495))-(ROW('CONTROL MASTER'!#REF!)-1)))+((2-INDEX('CONTROL MASTER'!$Z$2:$Z$495,(SUMPRODUCT((('CONTROL MASTER'!$S$2:$S$495=13)*('CONTROL MASTER'!$Z$2:$Z$495&lt;=2)*('CONTROL MASTER'!$AB$2:$AB$495&gt;=2)*('CONTROL MASTER'!$AA$2:$AA$495&lt;=2)*('CONTROL MASTER'!$AC$2:$AC$495&gt;=2))*ROW('CONTROL MASTER'!$S$2:$S$495))-(ROW('CONTROL MASTER'!#REF!)-1))))*(INDEX('CONTROL MASTER'!$AC$2:$AC$495,(SUMPRODUCT((('CONTROL MASTER'!$S$2:$S$495=13)*('CONTROL MASTER'!$Z$2:$Z$495&lt;=2)*('CONTROL MASTER'!$AB$2:$AB$495&gt;=2)*('CONTROL MASTER'!$AA$2:$AA$495&lt;=2)*('CONTROL MASTER'!$AC$2:$AC$495&gt;=2))*ROW('CONTROL MASTER'!$S$2:$S$495))-(ROW('CONTROL MASTER'!#REF!)-1)))-INDEX('CONTROL MASTER'!$AA$2:$AA$495,(SUMPRODUCT((('CONTROL MASTER'!$S$2:$S$495=13)*('CONTROL MASTER'!$Z$2:$Z$495&lt;=2)*('CONTROL MASTER'!$AB$2:$AB$495&gt;=2)*('CONTROL MASTER'!$AA$2:$AA$495&lt;=2)*('CONTROL MASTER'!$AC$2:$AC$495&gt;=2))*ROW('CONTROL MASTER'!$S$2:$S$495))-(ROW('CONTROL MASTER'!#REF!)-1)))+1)+(2-INDEX('CONTROL MASTER'!$AA$2:$AA$495,(SUMPRODUCT((('CONTROL MASTER'!$S$2:$S$495=13)*('CONTROL MASTER'!$Z$2:$Z$495&lt;=2)*('CONTROL MASTER'!$AB$2:$AB$495&gt;=2)*('CONTROL MASTER'!$AA$2:$AA$495&lt;=2)*('CONTROL MASTER'!$AC$2:$AC$495&gt;=2))*ROW('CONTROL MASTER'!$S$2:$S$495))-(ROW('CONTROL MASTER'!#REF!)-1))))+1)))-1)*50+1,50))&amp;"_"&amp;INDEX('CONTROL MASTER'!$P$2:$P$495,(SUMPRODUCT((('CONTROL MASTER'!$S$2:$S$495=13)*('CONTROL MASTER'!$Z$2:$Z$495&lt;=2)*('CONTROL MASTER'!$AB$2:$AB$495&gt;=2)*('CONTROL MASTER'!$AA$2:$AA$495&lt;=2)*('CONTROL MASTER'!$AC$2:$AC$495&gt;=2))*ROW('CONTROL MASTER'!$S$2:$S$495))-(ROW('CONTROL MASTER'!#REF!)-1))),"")),"")</f>
        <v/>
      </c>
      <c r="D172" s="10" t="str">
        <f>IFERROR(IF(SUMPRODUCT((('CONTROL MASTER'!$S$2:$S$495=13)*('CONTROL MASTER'!$T$2:$T$495&lt;=2)*('CONTROL MASTER'!$V$2:$V$495&gt;=2)*('CONTROL MASTER'!$U$2:$U$495&lt;=3)*('CONTROL MASTER'!$W$2:$W$495&gt;=3))*ROW('CONTROL MASTER'!$S$2:$S$495))&gt;0,INDEX('CONTROL MASTER'!$X$2:$X$495,(SUMPRODUCT((('CONTROL MASTER'!$S$2:$S$495=13)*('CONTROL MASTER'!$T$2:$T$495&lt;=2)*('CONTROL MASTER'!$V$2:$V$495&gt;=2)*('CONTROL MASTER'!$U$2:$U$495&lt;=3)*('CONTROL MASTER'!$W$2:$W$495&gt;=3))*ROW('CONTROL MASTER'!$S$2:$S$495))-(ROW('CONTROL MASTER'!#REF!)-1)))&amp;TRIM(MID(SUBSTITUTE(SUBSTITUTE(INDEX('CONTROL MASTER'!$N$2:$N$495,(SUMPRODUCT((('CONTROL MASTER'!$S$2:$S$495=13)*('CONTROL MASTER'!$T$2:$T$495&lt;=2)*('CONTROL MASTER'!$V$2:$V$495&gt;=2)*('CONTROL MASTER'!$U$2:$U$495&lt;=3)*('CONTROL MASTER'!$W$2:$W$495&gt;=3))*ROW('CONTROL MASTER'!$S$2:$S$495))-(ROW('CONTROL MASTER'!#REF!)-1))),":",","),",",REPT(" ",50)),((((2-INDEX('CONTROL MASTER'!$T$2:$T$495,(SUMPRODUCT((('CONTROL MASTER'!$S$2:$S$495=13)*('CONTROL MASTER'!$T$2:$T$495&lt;=2)*('CONTROL MASTER'!$V$2:$V$495&gt;=2)*('CONTROL MASTER'!$U$2:$U$495&lt;=3)*('CONTROL MASTER'!$W$2:$W$495&gt;=3))*ROW('CONTROL MASTER'!$S$2:$S$495))-(ROW('CONTROL MASTER'!#REF!)-1))))*(INDEX('CONTROL MASTER'!$W$2:$W$495,(SUMPRODUCT((('CONTROL MASTER'!$S$2:$S$495=13)*('CONTROL MASTER'!$T$2:$T$495&lt;=2)*('CONTROL MASTER'!$V$2:$V$495&gt;=2)*('CONTROL MASTER'!$U$2:$U$495&lt;=3)*('CONTROL MASTER'!$W$2:$W$495&gt;=3))*ROW('CONTROL MASTER'!$S$2:$S$495))-(ROW('CONTROL MASTER'!#REF!)-1)))-INDEX('CONTROL MASTER'!$U$2:$U$495,(SUMPRODUCT((('CONTROL MASTER'!$S$2:$S$495=13)*('CONTROL MASTER'!$T$2:$T$495&lt;=2)*('CONTROL MASTER'!$V$2:$V$495&gt;=2)*('CONTROL MASTER'!$U$2:$U$495&lt;=3)*('CONTROL MASTER'!$W$2:$W$495&gt;=3))*ROW('CONTROL MASTER'!$S$2:$S$495))-(ROW('CONTROL MASTER'!#REF!)-1)))+1)+(3-INDEX('CONTROL MASTER'!$U$2:$U$495,(SUMPRODUCT((('CONTROL MASTER'!$S$2:$S$495=13)*('CONTROL MASTER'!$T$2:$T$495&lt;=2)*('CONTROL MASTER'!$V$2:$V$495&gt;=2)*('CONTROL MASTER'!$U$2:$U$495&lt;=3)*('CONTROL MASTER'!$W$2:$W$495&gt;=3))*ROW('CONTROL MASTER'!$S$2:$S$495))-(ROW('CONTROL MASTER'!#REF!)-1))))+1))-1)*50+1,50))&amp;"_"&amp;INDEX('CONTROL MASTER'!$P$2:$P$495,(SUMPRODUCT((('CONTROL MASTER'!$S$2:$S$495=13)*('CONTROL MASTER'!$T$2:$T$495&lt;=2)*('CONTROL MASTER'!$V$2:$V$495&gt;=2)*('CONTROL MASTER'!$U$2:$U$495&lt;=3)*('CONTROL MASTER'!$W$2:$W$495&gt;=3))*ROW('CONTROL MASTER'!$S$2:$S$495))-(ROW('CONTROL MASTER'!#REF!)-1))),IF(SUMPRODUCT((('CONTROL MASTER'!$S$2:$S$495=13)*('CONTROL MASTER'!$Z$2:$Z$495&lt;=2)*('CONTROL MASTER'!$AB$2:$AB$495&gt;=2)*('CONTROL MASTER'!$AA$2:$AA$495&lt;=3)*('CONTROL MASTER'!$AC$2:$AC$495&gt;=3))*ROW('CONTROL MASTER'!$S$2:$S$495))&gt;0,INDEX('CONTROL MASTER'!$X$2:$X$495,(SUMPRODUCT((('CONTROL MASTER'!$S$2:$S$495=13)*('CONTROL MASTER'!$Z$2:$Z$495&lt;=2)*('CONTROL MASTER'!$AB$2:$AB$495&gt;=2)*('CONTROL MASTER'!$AA$2:$AA$495&lt;=3)*('CONTROL MASTER'!$AC$2:$AC$495&gt;=3))*ROW('CONTROL MASTER'!$S$2:$S$495))-(ROW('CONTROL MASTER'!#REF!)-1)))&amp;TRIM(MID(SUBSTITUTE(SUBSTITUTE(INDEX('CONTROL MASTER'!$N$2:$N$495,(SUMPRODUCT((('CONTROL MASTER'!$S$2:$S$495=13)*('CONTROL MASTER'!$Z$2:$Z$495&lt;=2)*('CONTROL MASTER'!$AB$2:$AB$495&gt;=2)*('CONTROL MASTER'!$AA$2:$AA$495&lt;=3)*('CONTROL MASTER'!$AC$2:$AC$495&gt;=3))*ROW('CONTROL MASTER'!$S$2:$S$495))-(ROW('CONTROL MASTER'!#REF!)-1))),":",","),",",REPT(" ",50)),(((INDEX('CONTROL MASTER'!$Y$2:$Y$495,(SUMPRODUCT((('CONTROL MASTER'!$S$2:$S$495=13)*('CONTROL MASTER'!$Z$2:$Z$495&lt;=2)*('CONTROL MASTER'!$AB$2:$AB$495&gt;=2)*('CONTROL MASTER'!$AA$2:$AA$495&lt;=3)*('CONTROL MASTER'!$AC$2:$AC$495&gt;=3))*ROW('CONTROL MASTER'!$S$2:$S$495))-(ROW('CONTROL MASTER'!#REF!)-1)))+((2-INDEX('CONTROL MASTER'!$Z$2:$Z$495,(SUMPRODUCT((('CONTROL MASTER'!$S$2:$S$495=13)*('CONTROL MASTER'!$Z$2:$Z$495&lt;=2)*('CONTROL MASTER'!$AB$2:$AB$495&gt;=2)*('CONTROL MASTER'!$AA$2:$AA$495&lt;=3)*('CONTROL MASTER'!$AC$2:$AC$495&gt;=3))*ROW('CONTROL MASTER'!$S$2:$S$495))-(ROW('CONTROL MASTER'!#REF!)-1))))*(INDEX('CONTROL MASTER'!$AC$2:$AC$495,(SUMPRODUCT((('CONTROL MASTER'!$S$2:$S$495=13)*('CONTROL MASTER'!$Z$2:$Z$495&lt;=2)*('CONTROL MASTER'!$AB$2:$AB$495&gt;=2)*('CONTROL MASTER'!$AA$2:$AA$495&lt;=3)*('CONTROL MASTER'!$AC$2:$AC$495&gt;=3))*ROW('CONTROL MASTER'!$S$2:$S$495))-(ROW('CONTROL MASTER'!#REF!)-1)))-INDEX('CONTROL MASTER'!$AA$2:$AA$495,(SUMPRODUCT((('CONTROL MASTER'!$S$2:$S$495=13)*('CONTROL MASTER'!$Z$2:$Z$495&lt;=2)*('CONTROL MASTER'!$AB$2:$AB$495&gt;=2)*('CONTROL MASTER'!$AA$2:$AA$495&lt;=3)*('CONTROL MASTER'!$AC$2:$AC$495&gt;=3))*ROW('CONTROL MASTER'!$S$2:$S$495))-(ROW('CONTROL MASTER'!#REF!)-1)))+1)+(3-INDEX('CONTROL MASTER'!$AA$2:$AA$495,(SUMPRODUCT((('CONTROL MASTER'!$S$2:$S$495=13)*('CONTROL MASTER'!$Z$2:$Z$495&lt;=2)*('CONTROL MASTER'!$AB$2:$AB$495&gt;=2)*('CONTROL MASTER'!$AA$2:$AA$495&lt;=3)*('CONTROL MASTER'!$AC$2:$AC$495&gt;=3))*ROW('CONTROL MASTER'!$S$2:$S$495))-(ROW('CONTROL MASTER'!#REF!)-1))))+1)))-1)*50+1,50))&amp;"_"&amp;INDEX('CONTROL MASTER'!$P$2:$P$495,(SUMPRODUCT((('CONTROL MASTER'!$S$2:$S$495=13)*('CONTROL MASTER'!$Z$2:$Z$495&lt;=2)*('CONTROL MASTER'!$AB$2:$AB$495&gt;=2)*('CONTROL MASTER'!$AA$2:$AA$495&lt;=3)*('CONTROL MASTER'!$AC$2:$AC$495&gt;=3))*ROW('CONTROL MASTER'!$S$2:$S$495))-(ROW('CONTROL MASTER'!#REF!)-1))),"")),"")</f>
        <v/>
      </c>
      <c r="E172" s="10" t="str">
        <f>IFERROR(IF(SUMPRODUCT((('CONTROL MASTER'!$S$2:$S$495=13)*('CONTROL MASTER'!$T$2:$T$495&lt;=2)*('CONTROL MASTER'!$V$2:$V$495&gt;=2)*('CONTROL MASTER'!$U$2:$U$495&lt;=4)*('CONTROL MASTER'!$W$2:$W$495&gt;=4))*ROW('CONTROL MASTER'!$S$2:$S$495))&gt;0,INDEX('CONTROL MASTER'!$X$2:$X$495,(SUMPRODUCT((('CONTROL MASTER'!$S$2:$S$495=13)*('CONTROL MASTER'!$T$2:$T$495&lt;=2)*('CONTROL MASTER'!$V$2:$V$495&gt;=2)*('CONTROL MASTER'!$U$2:$U$495&lt;=4)*('CONTROL MASTER'!$W$2:$W$495&gt;=4))*ROW('CONTROL MASTER'!$S$2:$S$495))-(ROW('CONTROL MASTER'!#REF!)-1)))&amp;TRIM(MID(SUBSTITUTE(SUBSTITUTE(INDEX('CONTROL MASTER'!$N$2:$N$495,(SUMPRODUCT((('CONTROL MASTER'!$S$2:$S$495=13)*('CONTROL MASTER'!$T$2:$T$495&lt;=2)*('CONTROL MASTER'!$V$2:$V$495&gt;=2)*('CONTROL MASTER'!$U$2:$U$495&lt;=4)*('CONTROL MASTER'!$W$2:$W$495&gt;=4))*ROW('CONTROL MASTER'!$S$2:$S$495))-(ROW('CONTROL MASTER'!#REF!)-1))),":",","),",",REPT(" ",50)),((((2-INDEX('CONTROL MASTER'!$T$2:$T$495,(SUMPRODUCT((('CONTROL MASTER'!$S$2:$S$495=13)*('CONTROL MASTER'!$T$2:$T$495&lt;=2)*('CONTROL MASTER'!$V$2:$V$495&gt;=2)*('CONTROL MASTER'!$U$2:$U$495&lt;=4)*('CONTROL MASTER'!$W$2:$W$495&gt;=4))*ROW('CONTROL MASTER'!$S$2:$S$495))-(ROW('CONTROL MASTER'!#REF!)-1))))*(INDEX('CONTROL MASTER'!$W$2:$W$495,(SUMPRODUCT((('CONTROL MASTER'!$S$2:$S$495=13)*('CONTROL MASTER'!$T$2:$T$495&lt;=2)*('CONTROL MASTER'!$V$2:$V$495&gt;=2)*('CONTROL MASTER'!$U$2:$U$495&lt;=4)*('CONTROL MASTER'!$W$2:$W$495&gt;=4))*ROW('CONTROL MASTER'!$S$2:$S$495))-(ROW('CONTROL MASTER'!#REF!)-1)))-INDEX('CONTROL MASTER'!$U$2:$U$495,(SUMPRODUCT((('CONTROL MASTER'!$S$2:$S$495=13)*('CONTROL MASTER'!$T$2:$T$495&lt;=2)*('CONTROL MASTER'!$V$2:$V$495&gt;=2)*('CONTROL MASTER'!$U$2:$U$495&lt;=4)*('CONTROL MASTER'!$W$2:$W$495&gt;=4))*ROW('CONTROL MASTER'!$S$2:$S$495))-(ROW('CONTROL MASTER'!#REF!)-1)))+1)+(4-INDEX('CONTROL MASTER'!$U$2:$U$495,(SUMPRODUCT((('CONTROL MASTER'!$S$2:$S$495=13)*('CONTROL MASTER'!$T$2:$T$495&lt;=2)*('CONTROL MASTER'!$V$2:$V$495&gt;=2)*('CONTROL MASTER'!$U$2:$U$495&lt;=4)*('CONTROL MASTER'!$W$2:$W$495&gt;=4))*ROW('CONTROL MASTER'!$S$2:$S$495))-(ROW('CONTROL MASTER'!#REF!)-1))))+1))-1)*50+1,50))&amp;"_"&amp;INDEX('CONTROL MASTER'!$P$2:$P$495,(SUMPRODUCT((('CONTROL MASTER'!$S$2:$S$495=13)*('CONTROL MASTER'!$T$2:$T$495&lt;=2)*('CONTROL MASTER'!$V$2:$V$495&gt;=2)*('CONTROL MASTER'!$U$2:$U$495&lt;=4)*('CONTROL MASTER'!$W$2:$W$495&gt;=4))*ROW('CONTROL MASTER'!$S$2:$S$495))-(ROW('CONTROL MASTER'!#REF!)-1))),IF(SUMPRODUCT((('CONTROL MASTER'!$S$2:$S$495=13)*('CONTROL MASTER'!$Z$2:$Z$495&lt;=2)*('CONTROL MASTER'!$AB$2:$AB$495&gt;=2)*('CONTROL MASTER'!$AA$2:$AA$495&lt;=4)*('CONTROL MASTER'!$AC$2:$AC$495&gt;=4))*ROW('CONTROL MASTER'!$S$2:$S$495))&gt;0,INDEX('CONTROL MASTER'!$X$2:$X$495,(SUMPRODUCT((('CONTROL MASTER'!$S$2:$S$495=13)*('CONTROL MASTER'!$Z$2:$Z$495&lt;=2)*('CONTROL MASTER'!$AB$2:$AB$495&gt;=2)*('CONTROL MASTER'!$AA$2:$AA$495&lt;=4)*('CONTROL MASTER'!$AC$2:$AC$495&gt;=4))*ROW('CONTROL MASTER'!$S$2:$S$495))-(ROW('CONTROL MASTER'!#REF!)-1)))&amp;TRIM(MID(SUBSTITUTE(SUBSTITUTE(INDEX('CONTROL MASTER'!$N$2:$N$495,(SUMPRODUCT((('CONTROL MASTER'!$S$2:$S$495=13)*('CONTROL MASTER'!$Z$2:$Z$495&lt;=2)*('CONTROL MASTER'!$AB$2:$AB$495&gt;=2)*('CONTROL MASTER'!$AA$2:$AA$495&lt;=4)*('CONTROL MASTER'!$AC$2:$AC$495&gt;=4))*ROW('CONTROL MASTER'!$S$2:$S$495))-(ROW('CONTROL MASTER'!#REF!)-1))),":",","),",",REPT(" ",50)),(((INDEX('CONTROL MASTER'!$Y$2:$Y$495,(SUMPRODUCT((('CONTROL MASTER'!$S$2:$S$495=13)*('CONTROL MASTER'!$Z$2:$Z$495&lt;=2)*('CONTROL MASTER'!$AB$2:$AB$495&gt;=2)*('CONTROL MASTER'!$AA$2:$AA$495&lt;=4)*('CONTROL MASTER'!$AC$2:$AC$495&gt;=4))*ROW('CONTROL MASTER'!$S$2:$S$495))-(ROW('CONTROL MASTER'!#REF!)-1)))+((2-INDEX('CONTROL MASTER'!$Z$2:$Z$495,(SUMPRODUCT((('CONTROL MASTER'!$S$2:$S$495=13)*('CONTROL MASTER'!$Z$2:$Z$495&lt;=2)*('CONTROL MASTER'!$AB$2:$AB$495&gt;=2)*('CONTROL MASTER'!$AA$2:$AA$495&lt;=4)*('CONTROL MASTER'!$AC$2:$AC$495&gt;=4))*ROW('CONTROL MASTER'!$S$2:$S$495))-(ROW('CONTROL MASTER'!#REF!)-1))))*(INDEX('CONTROL MASTER'!$AC$2:$AC$495,(SUMPRODUCT((('CONTROL MASTER'!$S$2:$S$495=13)*('CONTROL MASTER'!$Z$2:$Z$495&lt;=2)*('CONTROL MASTER'!$AB$2:$AB$495&gt;=2)*('CONTROL MASTER'!$AA$2:$AA$495&lt;=4)*('CONTROL MASTER'!$AC$2:$AC$495&gt;=4))*ROW('CONTROL MASTER'!$S$2:$S$495))-(ROW('CONTROL MASTER'!#REF!)-1)))-INDEX('CONTROL MASTER'!$AA$2:$AA$495,(SUMPRODUCT((('CONTROL MASTER'!$S$2:$S$495=13)*('CONTROL MASTER'!$Z$2:$Z$495&lt;=2)*('CONTROL MASTER'!$AB$2:$AB$495&gt;=2)*('CONTROL MASTER'!$AA$2:$AA$495&lt;=4)*('CONTROL MASTER'!$AC$2:$AC$495&gt;=4))*ROW('CONTROL MASTER'!$S$2:$S$495))-(ROW('CONTROL MASTER'!#REF!)-1)))+1)+(4-INDEX('CONTROL MASTER'!$AA$2:$AA$495,(SUMPRODUCT((('CONTROL MASTER'!$S$2:$S$495=13)*('CONTROL MASTER'!$Z$2:$Z$495&lt;=2)*('CONTROL MASTER'!$AB$2:$AB$495&gt;=2)*('CONTROL MASTER'!$AA$2:$AA$495&lt;=4)*('CONTROL MASTER'!$AC$2:$AC$495&gt;=4))*ROW('CONTROL MASTER'!$S$2:$S$495))-(ROW('CONTROL MASTER'!#REF!)-1))))+1)))-1)*50+1,50))&amp;"_"&amp;INDEX('CONTROL MASTER'!$P$2:$P$495,(SUMPRODUCT((('CONTROL MASTER'!$S$2:$S$495=13)*('CONTROL MASTER'!$Z$2:$Z$495&lt;=2)*('CONTROL MASTER'!$AB$2:$AB$495&gt;=2)*('CONTROL MASTER'!$AA$2:$AA$495&lt;=4)*('CONTROL MASTER'!$AC$2:$AC$495&gt;=4))*ROW('CONTROL MASTER'!$S$2:$S$495))-(ROW('CONTROL MASTER'!#REF!)-1))),"")),"")</f>
        <v/>
      </c>
      <c r="F172" s="10" t="str">
        <f>IFERROR(IF(SUMPRODUCT((('CONTROL MASTER'!$S$2:$S$495=13)*('CONTROL MASTER'!$T$2:$T$495&lt;=2)*('CONTROL MASTER'!$V$2:$V$495&gt;=2)*('CONTROL MASTER'!$U$2:$U$495&lt;=5)*('CONTROL MASTER'!$W$2:$W$495&gt;=5))*ROW('CONTROL MASTER'!$S$2:$S$495))&gt;0,INDEX('CONTROL MASTER'!$X$2:$X$495,(SUMPRODUCT((('CONTROL MASTER'!$S$2:$S$495=13)*('CONTROL MASTER'!$T$2:$T$495&lt;=2)*('CONTROL MASTER'!$V$2:$V$495&gt;=2)*('CONTROL MASTER'!$U$2:$U$495&lt;=5)*('CONTROL MASTER'!$W$2:$W$495&gt;=5))*ROW('CONTROL MASTER'!$S$2:$S$495))-(ROW('CONTROL MASTER'!#REF!)-1)))&amp;TRIM(MID(SUBSTITUTE(SUBSTITUTE(INDEX('CONTROL MASTER'!$N$2:$N$495,(SUMPRODUCT((('CONTROL MASTER'!$S$2:$S$495=13)*('CONTROL MASTER'!$T$2:$T$495&lt;=2)*('CONTROL MASTER'!$V$2:$V$495&gt;=2)*('CONTROL MASTER'!$U$2:$U$495&lt;=5)*('CONTROL MASTER'!$W$2:$W$495&gt;=5))*ROW('CONTROL MASTER'!$S$2:$S$495))-(ROW('CONTROL MASTER'!#REF!)-1))),":",","),",",REPT(" ",50)),((((2-INDEX('CONTROL MASTER'!$T$2:$T$495,(SUMPRODUCT((('CONTROL MASTER'!$S$2:$S$495=13)*('CONTROL MASTER'!$T$2:$T$495&lt;=2)*('CONTROL MASTER'!$V$2:$V$495&gt;=2)*('CONTROL MASTER'!$U$2:$U$495&lt;=5)*('CONTROL MASTER'!$W$2:$W$495&gt;=5))*ROW('CONTROL MASTER'!$S$2:$S$495))-(ROW('CONTROL MASTER'!#REF!)-1))))*(INDEX('CONTROL MASTER'!$W$2:$W$495,(SUMPRODUCT((('CONTROL MASTER'!$S$2:$S$495=13)*('CONTROL MASTER'!$T$2:$T$495&lt;=2)*('CONTROL MASTER'!$V$2:$V$495&gt;=2)*('CONTROL MASTER'!$U$2:$U$495&lt;=5)*('CONTROL MASTER'!$W$2:$W$495&gt;=5))*ROW('CONTROL MASTER'!$S$2:$S$495))-(ROW('CONTROL MASTER'!#REF!)-1)))-INDEX('CONTROL MASTER'!$U$2:$U$495,(SUMPRODUCT((('CONTROL MASTER'!$S$2:$S$495=13)*('CONTROL MASTER'!$T$2:$T$495&lt;=2)*('CONTROL MASTER'!$V$2:$V$495&gt;=2)*('CONTROL MASTER'!$U$2:$U$495&lt;=5)*('CONTROL MASTER'!$W$2:$W$495&gt;=5))*ROW('CONTROL MASTER'!$S$2:$S$495))-(ROW('CONTROL MASTER'!#REF!)-1)))+1)+(5-INDEX('CONTROL MASTER'!$U$2:$U$495,(SUMPRODUCT((('CONTROL MASTER'!$S$2:$S$495=13)*('CONTROL MASTER'!$T$2:$T$495&lt;=2)*('CONTROL MASTER'!$V$2:$V$495&gt;=2)*('CONTROL MASTER'!$U$2:$U$495&lt;=5)*('CONTROL MASTER'!$W$2:$W$495&gt;=5))*ROW('CONTROL MASTER'!$S$2:$S$495))-(ROW('CONTROL MASTER'!#REF!)-1))))+1))-1)*50+1,50))&amp;"_"&amp;INDEX('CONTROL MASTER'!$P$2:$P$495,(SUMPRODUCT((('CONTROL MASTER'!$S$2:$S$495=13)*('CONTROL MASTER'!$T$2:$T$495&lt;=2)*('CONTROL MASTER'!$V$2:$V$495&gt;=2)*('CONTROL MASTER'!$U$2:$U$495&lt;=5)*('CONTROL MASTER'!$W$2:$W$495&gt;=5))*ROW('CONTROL MASTER'!$S$2:$S$495))-(ROW('CONTROL MASTER'!#REF!)-1))),IF(SUMPRODUCT((('CONTROL MASTER'!$S$2:$S$495=13)*('CONTROL MASTER'!$Z$2:$Z$495&lt;=2)*('CONTROL MASTER'!$AB$2:$AB$495&gt;=2)*('CONTROL MASTER'!$AA$2:$AA$495&lt;=5)*('CONTROL MASTER'!$AC$2:$AC$495&gt;=5))*ROW('CONTROL MASTER'!$S$2:$S$495))&gt;0,INDEX('CONTROL MASTER'!$X$2:$X$495,(SUMPRODUCT((('CONTROL MASTER'!$S$2:$S$495=13)*('CONTROL MASTER'!$Z$2:$Z$495&lt;=2)*('CONTROL MASTER'!$AB$2:$AB$495&gt;=2)*('CONTROL MASTER'!$AA$2:$AA$495&lt;=5)*('CONTROL MASTER'!$AC$2:$AC$495&gt;=5))*ROW('CONTROL MASTER'!$S$2:$S$495))-(ROW('CONTROL MASTER'!#REF!)-1)))&amp;TRIM(MID(SUBSTITUTE(SUBSTITUTE(INDEX('CONTROL MASTER'!$N$2:$N$495,(SUMPRODUCT((('CONTROL MASTER'!$S$2:$S$495=13)*('CONTROL MASTER'!$Z$2:$Z$495&lt;=2)*('CONTROL MASTER'!$AB$2:$AB$495&gt;=2)*('CONTROL MASTER'!$AA$2:$AA$495&lt;=5)*('CONTROL MASTER'!$AC$2:$AC$495&gt;=5))*ROW('CONTROL MASTER'!$S$2:$S$495))-(ROW('CONTROL MASTER'!#REF!)-1))),":",","),",",REPT(" ",50)),(((INDEX('CONTROL MASTER'!$Y$2:$Y$495,(SUMPRODUCT((('CONTROL MASTER'!$S$2:$S$495=13)*('CONTROL MASTER'!$Z$2:$Z$495&lt;=2)*('CONTROL MASTER'!$AB$2:$AB$495&gt;=2)*('CONTROL MASTER'!$AA$2:$AA$495&lt;=5)*('CONTROL MASTER'!$AC$2:$AC$495&gt;=5))*ROW('CONTROL MASTER'!$S$2:$S$495))-(ROW('CONTROL MASTER'!#REF!)-1)))+((2-INDEX('CONTROL MASTER'!$Z$2:$Z$495,(SUMPRODUCT((('CONTROL MASTER'!$S$2:$S$495=13)*('CONTROL MASTER'!$Z$2:$Z$495&lt;=2)*('CONTROL MASTER'!$AB$2:$AB$495&gt;=2)*('CONTROL MASTER'!$AA$2:$AA$495&lt;=5)*('CONTROL MASTER'!$AC$2:$AC$495&gt;=5))*ROW('CONTROL MASTER'!$S$2:$S$495))-(ROW('CONTROL MASTER'!#REF!)-1))))*(INDEX('CONTROL MASTER'!$AC$2:$AC$495,(SUMPRODUCT((('CONTROL MASTER'!$S$2:$S$495=13)*('CONTROL MASTER'!$Z$2:$Z$495&lt;=2)*('CONTROL MASTER'!$AB$2:$AB$495&gt;=2)*('CONTROL MASTER'!$AA$2:$AA$495&lt;=5)*('CONTROL MASTER'!$AC$2:$AC$495&gt;=5))*ROW('CONTROL MASTER'!$S$2:$S$495))-(ROW('CONTROL MASTER'!#REF!)-1)))-INDEX('CONTROL MASTER'!$AA$2:$AA$495,(SUMPRODUCT((('CONTROL MASTER'!$S$2:$S$495=13)*('CONTROL MASTER'!$Z$2:$Z$495&lt;=2)*('CONTROL MASTER'!$AB$2:$AB$495&gt;=2)*('CONTROL MASTER'!$AA$2:$AA$495&lt;=5)*('CONTROL MASTER'!$AC$2:$AC$495&gt;=5))*ROW('CONTROL MASTER'!$S$2:$S$495))-(ROW('CONTROL MASTER'!#REF!)-1)))+1)+(5-INDEX('CONTROL MASTER'!$AA$2:$AA$495,(SUMPRODUCT((('CONTROL MASTER'!$S$2:$S$495=13)*('CONTROL MASTER'!$Z$2:$Z$495&lt;=2)*('CONTROL MASTER'!$AB$2:$AB$495&gt;=2)*('CONTROL MASTER'!$AA$2:$AA$495&lt;=5)*('CONTROL MASTER'!$AC$2:$AC$495&gt;=5))*ROW('CONTROL MASTER'!$S$2:$S$495))-(ROW('CONTROL MASTER'!#REF!)-1))))+1)))-1)*50+1,50))&amp;"_"&amp;INDEX('CONTROL MASTER'!$P$2:$P$495,(SUMPRODUCT((('CONTROL MASTER'!$S$2:$S$495=13)*('CONTROL MASTER'!$Z$2:$Z$495&lt;=2)*('CONTROL MASTER'!$AB$2:$AB$495&gt;=2)*('CONTROL MASTER'!$AA$2:$AA$495&lt;=5)*('CONTROL MASTER'!$AC$2:$AC$495&gt;=5))*ROW('CONTROL MASTER'!$S$2:$S$495))-(ROW('CONTROL MASTER'!#REF!)-1))),"")),"")</f>
        <v/>
      </c>
      <c r="G172" s="10" t="str">
        <f>IFERROR(IF(SUMPRODUCT((('CONTROL MASTER'!$S$2:$S$495=13)*('CONTROL MASTER'!$T$2:$T$495&lt;=2)*('CONTROL MASTER'!$V$2:$V$495&gt;=2)*('CONTROL MASTER'!$U$2:$U$495&lt;=6)*('CONTROL MASTER'!$W$2:$W$495&gt;=6))*ROW('CONTROL MASTER'!$S$2:$S$495))&gt;0,INDEX('CONTROL MASTER'!$X$2:$X$495,(SUMPRODUCT((('CONTROL MASTER'!$S$2:$S$495=13)*('CONTROL MASTER'!$T$2:$T$495&lt;=2)*('CONTROL MASTER'!$V$2:$V$495&gt;=2)*('CONTROL MASTER'!$U$2:$U$495&lt;=6)*('CONTROL MASTER'!$W$2:$W$495&gt;=6))*ROW('CONTROL MASTER'!$S$2:$S$495))-(ROW('CONTROL MASTER'!#REF!)-1)))&amp;TRIM(MID(SUBSTITUTE(SUBSTITUTE(INDEX('CONTROL MASTER'!$N$2:$N$495,(SUMPRODUCT((('CONTROL MASTER'!$S$2:$S$495=13)*('CONTROL MASTER'!$T$2:$T$495&lt;=2)*('CONTROL MASTER'!$V$2:$V$495&gt;=2)*('CONTROL MASTER'!$U$2:$U$495&lt;=6)*('CONTROL MASTER'!$W$2:$W$495&gt;=6))*ROW('CONTROL MASTER'!$S$2:$S$495))-(ROW('CONTROL MASTER'!#REF!)-1))),":",","),",",REPT(" ",50)),((((2-INDEX('CONTROL MASTER'!$T$2:$T$495,(SUMPRODUCT((('CONTROL MASTER'!$S$2:$S$495=13)*('CONTROL MASTER'!$T$2:$T$495&lt;=2)*('CONTROL MASTER'!$V$2:$V$495&gt;=2)*('CONTROL MASTER'!$U$2:$U$495&lt;=6)*('CONTROL MASTER'!$W$2:$W$495&gt;=6))*ROW('CONTROL MASTER'!$S$2:$S$495))-(ROW('CONTROL MASTER'!#REF!)-1))))*(INDEX('CONTROL MASTER'!$W$2:$W$495,(SUMPRODUCT((('CONTROL MASTER'!$S$2:$S$495=13)*('CONTROL MASTER'!$T$2:$T$495&lt;=2)*('CONTROL MASTER'!$V$2:$V$495&gt;=2)*('CONTROL MASTER'!$U$2:$U$495&lt;=6)*('CONTROL MASTER'!$W$2:$W$495&gt;=6))*ROW('CONTROL MASTER'!$S$2:$S$495))-(ROW('CONTROL MASTER'!#REF!)-1)))-INDEX('CONTROL MASTER'!$U$2:$U$495,(SUMPRODUCT((('CONTROL MASTER'!$S$2:$S$495=13)*('CONTROL MASTER'!$T$2:$T$495&lt;=2)*('CONTROL MASTER'!$V$2:$V$495&gt;=2)*('CONTROL MASTER'!$U$2:$U$495&lt;=6)*('CONTROL MASTER'!$W$2:$W$495&gt;=6))*ROW('CONTROL MASTER'!$S$2:$S$495))-(ROW('CONTROL MASTER'!#REF!)-1)))+1)+(6-INDEX('CONTROL MASTER'!$U$2:$U$495,(SUMPRODUCT((('CONTROL MASTER'!$S$2:$S$495=13)*('CONTROL MASTER'!$T$2:$T$495&lt;=2)*('CONTROL MASTER'!$V$2:$V$495&gt;=2)*('CONTROL MASTER'!$U$2:$U$495&lt;=6)*('CONTROL MASTER'!$W$2:$W$495&gt;=6))*ROW('CONTROL MASTER'!$S$2:$S$495))-(ROW('CONTROL MASTER'!#REF!)-1))))+1))-1)*50+1,50))&amp;"_"&amp;INDEX('CONTROL MASTER'!$P$2:$P$495,(SUMPRODUCT((('CONTROL MASTER'!$S$2:$S$495=13)*('CONTROL MASTER'!$T$2:$T$495&lt;=2)*('CONTROL MASTER'!$V$2:$V$495&gt;=2)*('CONTROL MASTER'!$U$2:$U$495&lt;=6)*('CONTROL MASTER'!$W$2:$W$495&gt;=6))*ROW('CONTROL MASTER'!$S$2:$S$495))-(ROW('CONTROL MASTER'!#REF!)-1))),IF(SUMPRODUCT((('CONTROL MASTER'!$S$2:$S$495=13)*('CONTROL MASTER'!$Z$2:$Z$495&lt;=2)*('CONTROL MASTER'!$AB$2:$AB$495&gt;=2)*('CONTROL MASTER'!$AA$2:$AA$495&lt;=6)*('CONTROL MASTER'!$AC$2:$AC$495&gt;=6))*ROW('CONTROL MASTER'!$S$2:$S$495))&gt;0,INDEX('CONTROL MASTER'!$X$2:$X$495,(SUMPRODUCT((('CONTROL MASTER'!$S$2:$S$495=13)*('CONTROL MASTER'!$Z$2:$Z$495&lt;=2)*('CONTROL MASTER'!$AB$2:$AB$495&gt;=2)*('CONTROL MASTER'!$AA$2:$AA$495&lt;=6)*('CONTROL MASTER'!$AC$2:$AC$495&gt;=6))*ROW('CONTROL MASTER'!$S$2:$S$495))-(ROW('CONTROL MASTER'!#REF!)-1)))&amp;TRIM(MID(SUBSTITUTE(SUBSTITUTE(INDEX('CONTROL MASTER'!$N$2:$N$495,(SUMPRODUCT((('CONTROL MASTER'!$S$2:$S$495=13)*('CONTROL MASTER'!$Z$2:$Z$495&lt;=2)*('CONTROL MASTER'!$AB$2:$AB$495&gt;=2)*('CONTROL MASTER'!$AA$2:$AA$495&lt;=6)*('CONTROL MASTER'!$AC$2:$AC$495&gt;=6))*ROW('CONTROL MASTER'!$S$2:$S$495))-(ROW('CONTROL MASTER'!#REF!)-1))),":",","),",",REPT(" ",50)),(((INDEX('CONTROL MASTER'!$Y$2:$Y$495,(SUMPRODUCT((('CONTROL MASTER'!$S$2:$S$495=13)*('CONTROL MASTER'!$Z$2:$Z$495&lt;=2)*('CONTROL MASTER'!$AB$2:$AB$495&gt;=2)*('CONTROL MASTER'!$AA$2:$AA$495&lt;=6)*('CONTROL MASTER'!$AC$2:$AC$495&gt;=6))*ROW('CONTROL MASTER'!$S$2:$S$495))-(ROW('CONTROL MASTER'!#REF!)-1)))+((2-INDEX('CONTROL MASTER'!$Z$2:$Z$495,(SUMPRODUCT((('CONTROL MASTER'!$S$2:$S$495=13)*('CONTROL MASTER'!$Z$2:$Z$495&lt;=2)*('CONTROL MASTER'!$AB$2:$AB$495&gt;=2)*('CONTROL MASTER'!$AA$2:$AA$495&lt;=6)*('CONTROL MASTER'!$AC$2:$AC$495&gt;=6))*ROW('CONTROL MASTER'!$S$2:$S$495))-(ROW('CONTROL MASTER'!#REF!)-1))))*(INDEX('CONTROL MASTER'!$AC$2:$AC$495,(SUMPRODUCT((('CONTROL MASTER'!$S$2:$S$495=13)*('CONTROL MASTER'!$Z$2:$Z$495&lt;=2)*('CONTROL MASTER'!$AB$2:$AB$495&gt;=2)*('CONTROL MASTER'!$AA$2:$AA$495&lt;=6)*('CONTROL MASTER'!$AC$2:$AC$495&gt;=6))*ROW('CONTROL MASTER'!$S$2:$S$495))-(ROW('CONTROL MASTER'!#REF!)-1)))-INDEX('CONTROL MASTER'!$AA$2:$AA$495,(SUMPRODUCT((('CONTROL MASTER'!$S$2:$S$495=13)*('CONTROL MASTER'!$Z$2:$Z$495&lt;=2)*('CONTROL MASTER'!$AB$2:$AB$495&gt;=2)*('CONTROL MASTER'!$AA$2:$AA$495&lt;=6)*('CONTROL MASTER'!$AC$2:$AC$495&gt;=6))*ROW('CONTROL MASTER'!$S$2:$S$495))-(ROW('CONTROL MASTER'!#REF!)-1)))+1)+(6-INDEX('CONTROL MASTER'!$AA$2:$AA$495,(SUMPRODUCT((('CONTROL MASTER'!$S$2:$S$495=13)*('CONTROL MASTER'!$Z$2:$Z$495&lt;=2)*('CONTROL MASTER'!$AB$2:$AB$495&gt;=2)*('CONTROL MASTER'!$AA$2:$AA$495&lt;=6)*('CONTROL MASTER'!$AC$2:$AC$495&gt;=6))*ROW('CONTROL MASTER'!$S$2:$S$495))-(ROW('CONTROL MASTER'!#REF!)-1))))+1)))-1)*50+1,50))&amp;"_"&amp;INDEX('CONTROL MASTER'!$P$2:$P$495,(SUMPRODUCT((('CONTROL MASTER'!$S$2:$S$495=13)*('CONTROL MASTER'!$Z$2:$Z$495&lt;=2)*('CONTROL MASTER'!$AB$2:$AB$495&gt;=2)*('CONTROL MASTER'!$AA$2:$AA$495&lt;=6)*('CONTROL MASTER'!$AC$2:$AC$495&gt;=6))*ROW('CONTROL MASTER'!$S$2:$S$495))-(ROW('CONTROL MASTER'!#REF!)-1))),"")),"")</f>
        <v/>
      </c>
      <c r="H172" s="10" t="str">
        <f>IFERROR(IF(SUMPRODUCT((('CONTROL MASTER'!$S$2:$S$495=13)*('CONTROL MASTER'!$T$2:$T$495&lt;=2)*('CONTROL MASTER'!$V$2:$V$495&gt;=2)*('CONTROL MASTER'!$U$2:$U$495&lt;=7)*('CONTROL MASTER'!$W$2:$W$495&gt;=7))*ROW('CONTROL MASTER'!$S$2:$S$495))&gt;0,INDEX('CONTROL MASTER'!$X$2:$X$495,(SUMPRODUCT((('CONTROL MASTER'!$S$2:$S$495=13)*('CONTROL MASTER'!$T$2:$T$495&lt;=2)*('CONTROL MASTER'!$V$2:$V$495&gt;=2)*('CONTROL MASTER'!$U$2:$U$495&lt;=7)*('CONTROL MASTER'!$W$2:$W$495&gt;=7))*ROW('CONTROL MASTER'!$S$2:$S$495))-(ROW('CONTROL MASTER'!#REF!)-1)))&amp;TRIM(MID(SUBSTITUTE(SUBSTITUTE(INDEX('CONTROL MASTER'!$N$2:$N$495,(SUMPRODUCT((('CONTROL MASTER'!$S$2:$S$495=13)*('CONTROL MASTER'!$T$2:$T$495&lt;=2)*('CONTROL MASTER'!$V$2:$V$495&gt;=2)*('CONTROL MASTER'!$U$2:$U$495&lt;=7)*('CONTROL MASTER'!$W$2:$W$495&gt;=7))*ROW('CONTROL MASTER'!$S$2:$S$495))-(ROW('CONTROL MASTER'!#REF!)-1))),":",","),",",REPT(" ",50)),((((2-INDEX('CONTROL MASTER'!$T$2:$T$495,(SUMPRODUCT((('CONTROL MASTER'!$S$2:$S$495=13)*('CONTROL MASTER'!$T$2:$T$495&lt;=2)*('CONTROL MASTER'!$V$2:$V$495&gt;=2)*('CONTROL MASTER'!$U$2:$U$495&lt;=7)*('CONTROL MASTER'!$W$2:$W$495&gt;=7))*ROW('CONTROL MASTER'!$S$2:$S$495))-(ROW('CONTROL MASTER'!#REF!)-1))))*(INDEX('CONTROL MASTER'!$W$2:$W$495,(SUMPRODUCT((('CONTROL MASTER'!$S$2:$S$495=13)*('CONTROL MASTER'!$T$2:$T$495&lt;=2)*('CONTROL MASTER'!$V$2:$V$495&gt;=2)*('CONTROL MASTER'!$U$2:$U$495&lt;=7)*('CONTROL MASTER'!$W$2:$W$495&gt;=7))*ROW('CONTROL MASTER'!$S$2:$S$495))-(ROW('CONTROL MASTER'!#REF!)-1)))-INDEX('CONTROL MASTER'!$U$2:$U$495,(SUMPRODUCT((('CONTROL MASTER'!$S$2:$S$495=13)*('CONTROL MASTER'!$T$2:$T$495&lt;=2)*('CONTROL MASTER'!$V$2:$V$495&gt;=2)*('CONTROL MASTER'!$U$2:$U$495&lt;=7)*('CONTROL MASTER'!$W$2:$W$495&gt;=7))*ROW('CONTROL MASTER'!$S$2:$S$495))-(ROW('CONTROL MASTER'!#REF!)-1)))+1)+(7-INDEX('CONTROL MASTER'!$U$2:$U$495,(SUMPRODUCT((('CONTROL MASTER'!$S$2:$S$495=13)*('CONTROL MASTER'!$T$2:$T$495&lt;=2)*('CONTROL MASTER'!$V$2:$V$495&gt;=2)*('CONTROL MASTER'!$U$2:$U$495&lt;=7)*('CONTROL MASTER'!$W$2:$W$495&gt;=7))*ROW('CONTROL MASTER'!$S$2:$S$495))-(ROW('CONTROL MASTER'!#REF!)-1))))+1))-1)*50+1,50))&amp;"_"&amp;INDEX('CONTROL MASTER'!$P$2:$P$495,(SUMPRODUCT((('CONTROL MASTER'!$S$2:$S$495=13)*('CONTROL MASTER'!$T$2:$T$495&lt;=2)*('CONTROL MASTER'!$V$2:$V$495&gt;=2)*('CONTROL MASTER'!$U$2:$U$495&lt;=7)*('CONTROL MASTER'!$W$2:$W$495&gt;=7))*ROW('CONTROL MASTER'!$S$2:$S$495))-(ROW('CONTROL MASTER'!#REF!)-1))),IF(SUMPRODUCT((('CONTROL MASTER'!$S$2:$S$495=13)*('CONTROL MASTER'!$Z$2:$Z$495&lt;=2)*('CONTROL MASTER'!$AB$2:$AB$495&gt;=2)*('CONTROL MASTER'!$AA$2:$AA$495&lt;=7)*('CONTROL MASTER'!$AC$2:$AC$495&gt;=7))*ROW('CONTROL MASTER'!$S$2:$S$495))&gt;0,INDEX('CONTROL MASTER'!$X$2:$X$495,(SUMPRODUCT((('CONTROL MASTER'!$S$2:$S$495=13)*('CONTROL MASTER'!$Z$2:$Z$495&lt;=2)*('CONTROL MASTER'!$AB$2:$AB$495&gt;=2)*('CONTROL MASTER'!$AA$2:$AA$495&lt;=7)*('CONTROL MASTER'!$AC$2:$AC$495&gt;=7))*ROW('CONTROL MASTER'!$S$2:$S$495))-(ROW('CONTROL MASTER'!#REF!)-1)))&amp;TRIM(MID(SUBSTITUTE(SUBSTITUTE(INDEX('CONTROL MASTER'!$N$2:$N$495,(SUMPRODUCT((('CONTROL MASTER'!$S$2:$S$495=13)*('CONTROL MASTER'!$Z$2:$Z$495&lt;=2)*('CONTROL MASTER'!$AB$2:$AB$495&gt;=2)*('CONTROL MASTER'!$AA$2:$AA$495&lt;=7)*('CONTROL MASTER'!$AC$2:$AC$495&gt;=7))*ROW('CONTROL MASTER'!$S$2:$S$495))-(ROW('CONTROL MASTER'!#REF!)-1))),":",","),",",REPT(" ",50)),(((INDEX('CONTROL MASTER'!$Y$2:$Y$495,(SUMPRODUCT((('CONTROL MASTER'!$S$2:$S$495=13)*('CONTROL MASTER'!$Z$2:$Z$495&lt;=2)*('CONTROL MASTER'!$AB$2:$AB$495&gt;=2)*('CONTROL MASTER'!$AA$2:$AA$495&lt;=7)*('CONTROL MASTER'!$AC$2:$AC$495&gt;=7))*ROW('CONTROL MASTER'!$S$2:$S$495))-(ROW('CONTROL MASTER'!#REF!)-1)))+((2-INDEX('CONTROL MASTER'!$Z$2:$Z$495,(SUMPRODUCT((('CONTROL MASTER'!$S$2:$S$495=13)*('CONTROL MASTER'!$Z$2:$Z$495&lt;=2)*('CONTROL MASTER'!$AB$2:$AB$495&gt;=2)*('CONTROL MASTER'!$AA$2:$AA$495&lt;=7)*('CONTROL MASTER'!$AC$2:$AC$495&gt;=7))*ROW('CONTROL MASTER'!$S$2:$S$495))-(ROW('CONTROL MASTER'!#REF!)-1))))*(INDEX('CONTROL MASTER'!$AC$2:$AC$495,(SUMPRODUCT((('CONTROL MASTER'!$S$2:$S$495=13)*('CONTROL MASTER'!$Z$2:$Z$495&lt;=2)*('CONTROL MASTER'!$AB$2:$AB$495&gt;=2)*('CONTROL MASTER'!$AA$2:$AA$495&lt;=7)*('CONTROL MASTER'!$AC$2:$AC$495&gt;=7))*ROW('CONTROL MASTER'!$S$2:$S$495))-(ROW('CONTROL MASTER'!#REF!)-1)))-INDEX('CONTROL MASTER'!$AA$2:$AA$495,(SUMPRODUCT((('CONTROL MASTER'!$S$2:$S$495=13)*('CONTROL MASTER'!$Z$2:$Z$495&lt;=2)*('CONTROL MASTER'!$AB$2:$AB$495&gt;=2)*('CONTROL MASTER'!$AA$2:$AA$495&lt;=7)*('CONTROL MASTER'!$AC$2:$AC$495&gt;=7))*ROW('CONTROL MASTER'!$S$2:$S$495))-(ROW('CONTROL MASTER'!#REF!)-1)))+1)+(7-INDEX('CONTROL MASTER'!$AA$2:$AA$495,(SUMPRODUCT((('CONTROL MASTER'!$S$2:$S$495=13)*('CONTROL MASTER'!$Z$2:$Z$495&lt;=2)*('CONTROL MASTER'!$AB$2:$AB$495&gt;=2)*('CONTROL MASTER'!$AA$2:$AA$495&lt;=7)*('CONTROL MASTER'!$AC$2:$AC$495&gt;=7))*ROW('CONTROL MASTER'!$S$2:$S$495))-(ROW('CONTROL MASTER'!#REF!)-1))))+1)))-1)*50+1,50))&amp;"_"&amp;INDEX('CONTROL MASTER'!$P$2:$P$495,(SUMPRODUCT((('CONTROL MASTER'!$S$2:$S$495=13)*('CONTROL MASTER'!$Z$2:$Z$495&lt;=2)*('CONTROL MASTER'!$AB$2:$AB$495&gt;=2)*('CONTROL MASTER'!$AA$2:$AA$495&lt;=7)*('CONTROL MASTER'!$AC$2:$AC$495&gt;=7))*ROW('CONTROL MASTER'!$S$2:$S$495))-(ROW('CONTROL MASTER'!#REF!)-1))),"")),"")</f>
        <v/>
      </c>
      <c r="I172" s="10" t="str">
        <f>IFERROR(IF(SUMPRODUCT((('CONTROL MASTER'!$S$2:$S$495=13)*('CONTROL MASTER'!$T$2:$T$495&lt;=2)*('CONTROL MASTER'!$V$2:$V$495&gt;=2)*('CONTROL MASTER'!$U$2:$U$495&lt;=8)*('CONTROL MASTER'!$W$2:$W$495&gt;=8))*ROW('CONTROL MASTER'!$S$2:$S$495))&gt;0,INDEX('CONTROL MASTER'!$X$2:$X$495,(SUMPRODUCT((('CONTROL MASTER'!$S$2:$S$495=13)*('CONTROL MASTER'!$T$2:$T$495&lt;=2)*('CONTROL MASTER'!$V$2:$V$495&gt;=2)*('CONTROL MASTER'!$U$2:$U$495&lt;=8)*('CONTROL MASTER'!$W$2:$W$495&gt;=8))*ROW('CONTROL MASTER'!$S$2:$S$495))-(ROW('CONTROL MASTER'!#REF!)-1)))&amp;TRIM(MID(SUBSTITUTE(SUBSTITUTE(INDEX('CONTROL MASTER'!$N$2:$N$495,(SUMPRODUCT((('CONTROL MASTER'!$S$2:$S$495=13)*('CONTROL MASTER'!$T$2:$T$495&lt;=2)*('CONTROL MASTER'!$V$2:$V$495&gt;=2)*('CONTROL MASTER'!$U$2:$U$495&lt;=8)*('CONTROL MASTER'!$W$2:$W$495&gt;=8))*ROW('CONTROL MASTER'!$S$2:$S$495))-(ROW('CONTROL MASTER'!#REF!)-1))),":",","),",",REPT(" ",50)),((((2-INDEX('CONTROL MASTER'!$T$2:$T$495,(SUMPRODUCT((('CONTROL MASTER'!$S$2:$S$495=13)*('CONTROL MASTER'!$T$2:$T$495&lt;=2)*('CONTROL MASTER'!$V$2:$V$495&gt;=2)*('CONTROL MASTER'!$U$2:$U$495&lt;=8)*('CONTROL MASTER'!$W$2:$W$495&gt;=8))*ROW('CONTROL MASTER'!$S$2:$S$495))-(ROW('CONTROL MASTER'!#REF!)-1))))*(INDEX('CONTROL MASTER'!$W$2:$W$495,(SUMPRODUCT((('CONTROL MASTER'!$S$2:$S$495=13)*('CONTROL MASTER'!$T$2:$T$495&lt;=2)*('CONTROL MASTER'!$V$2:$V$495&gt;=2)*('CONTROL MASTER'!$U$2:$U$495&lt;=8)*('CONTROL MASTER'!$W$2:$W$495&gt;=8))*ROW('CONTROL MASTER'!$S$2:$S$495))-(ROW('CONTROL MASTER'!#REF!)-1)))-INDEX('CONTROL MASTER'!$U$2:$U$495,(SUMPRODUCT((('CONTROL MASTER'!$S$2:$S$495=13)*('CONTROL MASTER'!$T$2:$T$495&lt;=2)*('CONTROL MASTER'!$V$2:$V$495&gt;=2)*('CONTROL MASTER'!$U$2:$U$495&lt;=8)*('CONTROL MASTER'!$W$2:$W$495&gt;=8))*ROW('CONTROL MASTER'!$S$2:$S$495))-(ROW('CONTROL MASTER'!#REF!)-1)))+1)+(8-INDEX('CONTROL MASTER'!$U$2:$U$495,(SUMPRODUCT((('CONTROL MASTER'!$S$2:$S$495=13)*('CONTROL MASTER'!$T$2:$T$495&lt;=2)*('CONTROL MASTER'!$V$2:$V$495&gt;=2)*('CONTROL MASTER'!$U$2:$U$495&lt;=8)*('CONTROL MASTER'!$W$2:$W$495&gt;=8))*ROW('CONTROL MASTER'!$S$2:$S$495))-(ROW('CONTROL MASTER'!#REF!)-1))))+1))-1)*50+1,50))&amp;"_"&amp;INDEX('CONTROL MASTER'!$P$2:$P$495,(SUMPRODUCT((('CONTROL MASTER'!$S$2:$S$495=13)*('CONTROL MASTER'!$T$2:$T$495&lt;=2)*('CONTROL MASTER'!$V$2:$V$495&gt;=2)*('CONTROL MASTER'!$U$2:$U$495&lt;=8)*('CONTROL MASTER'!$W$2:$W$495&gt;=8))*ROW('CONTROL MASTER'!$S$2:$S$495))-(ROW('CONTROL MASTER'!#REF!)-1))),IF(SUMPRODUCT((('CONTROL MASTER'!$S$2:$S$495=13)*('CONTROL MASTER'!$Z$2:$Z$495&lt;=2)*('CONTROL MASTER'!$AB$2:$AB$495&gt;=2)*('CONTROL MASTER'!$AA$2:$AA$495&lt;=8)*('CONTROL MASTER'!$AC$2:$AC$495&gt;=8))*ROW('CONTROL MASTER'!$S$2:$S$495))&gt;0,INDEX('CONTROL MASTER'!$X$2:$X$495,(SUMPRODUCT((('CONTROL MASTER'!$S$2:$S$495=13)*('CONTROL MASTER'!$Z$2:$Z$495&lt;=2)*('CONTROL MASTER'!$AB$2:$AB$495&gt;=2)*('CONTROL MASTER'!$AA$2:$AA$495&lt;=8)*('CONTROL MASTER'!$AC$2:$AC$495&gt;=8))*ROW('CONTROL MASTER'!$S$2:$S$495))-(ROW('CONTROL MASTER'!#REF!)-1)))&amp;TRIM(MID(SUBSTITUTE(SUBSTITUTE(INDEX('CONTROL MASTER'!$N$2:$N$495,(SUMPRODUCT((('CONTROL MASTER'!$S$2:$S$495=13)*('CONTROL MASTER'!$Z$2:$Z$495&lt;=2)*('CONTROL MASTER'!$AB$2:$AB$495&gt;=2)*('CONTROL MASTER'!$AA$2:$AA$495&lt;=8)*('CONTROL MASTER'!$AC$2:$AC$495&gt;=8))*ROW('CONTROL MASTER'!$S$2:$S$495))-(ROW('CONTROL MASTER'!#REF!)-1))),":",","),",",REPT(" ",50)),(((INDEX('CONTROL MASTER'!$Y$2:$Y$495,(SUMPRODUCT((('CONTROL MASTER'!$S$2:$S$495=13)*('CONTROL MASTER'!$Z$2:$Z$495&lt;=2)*('CONTROL MASTER'!$AB$2:$AB$495&gt;=2)*('CONTROL MASTER'!$AA$2:$AA$495&lt;=8)*('CONTROL MASTER'!$AC$2:$AC$495&gt;=8))*ROW('CONTROL MASTER'!$S$2:$S$495))-(ROW('CONTROL MASTER'!#REF!)-1)))+((2-INDEX('CONTROL MASTER'!$Z$2:$Z$495,(SUMPRODUCT((('CONTROL MASTER'!$S$2:$S$495=13)*('CONTROL MASTER'!$Z$2:$Z$495&lt;=2)*('CONTROL MASTER'!$AB$2:$AB$495&gt;=2)*('CONTROL MASTER'!$AA$2:$AA$495&lt;=8)*('CONTROL MASTER'!$AC$2:$AC$495&gt;=8))*ROW('CONTROL MASTER'!$S$2:$S$495))-(ROW('CONTROL MASTER'!#REF!)-1))))*(INDEX('CONTROL MASTER'!$AC$2:$AC$495,(SUMPRODUCT((('CONTROL MASTER'!$S$2:$S$495=13)*('CONTROL MASTER'!$Z$2:$Z$495&lt;=2)*('CONTROL MASTER'!$AB$2:$AB$495&gt;=2)*('CONTROL MASTER'!$AA$2:$AA$495&lt;=8)*('CONTROL MASTER'!$AC$2:$AC$495&gt;=8))*ROW('CONTROL MASTER'!$S$2:$S$495))-(ROW('CONTROL MASTER'!#REF!)-1)))-INDEX('CONTROL MASTER'!$AA$2:$AA$495,(SUMPRODUCT((('CONTROL MASTER'!$S$2:$S$495=13)*('CONTROL MASTER'!$Z$2:$Z$495&lt;=2)*('CONTROL MASTER'!$AB$2:$AB$495&gt;=2)*('CONTROL MASTER'!$AA$2:$AA$495&lt;=8)*('CONTROL MASTER'!$AC$2:$AC$495&gt;=8))*ROW('CONTROL MASTER'!$S$2:$S$495))-(ROW('CONTROL MASTER'!#REF!)-1)))+1)+(8-INDEX('CONTROL MASTER'!$AA$2:$AA$495,(SUMPRODUCT((('CONTROL MASTER'!$S$2:$S$495=13)*('CONTROL MASTER'!$Z$2:$Z$495&lt;=2)*('CONTROL MASTER'!$AB$2:$AB$495&gt;=2)*('CONTROL MASTER'!$AA$2:$AA$495&lt;=8)*('CONTROL MASTER'!$AC$2:$AC$495&gt;=8))*ROW('CONTROL MASTER'!$S$2:$S$495))-(ROW('CONTROL MASTER'!#REF!)-1))))+1)))-1)*50+1,50))&amp;"_"&amp;INDEX('CONTROL MASTER'!$P$2:$P$495,(SUMPRODUCT((('CONTROL MASTER'!$S$2:$S$495=13)*('CONTROL MASTER'!$Z$2:$Z$495&lt;=2)*('CONTROL MASTER'!$AB$2:$AB$495&gt;=2)*('CONTROL MASTER'!$AA$2:$AA$495&lt;=8)*('CONTROL MASTER'!$AC$2:$AC$495&gt;=8))*ROW('CONTROL MASTER'!$S$2:$S$495))-(ROW('CONTROL MASTER'!#REF!)-1))),"")),"")</f>
        <v/>
      </c>
      <c r="J172" s="10" t="str">
        <f>IFERROR(IF(SUMPRODUCT((('CONTROL MASTER'!$S$2:$S$495=13)*('CONTROL MASTER'!$T$2:$T$495&lt;=2)*('CONTROL MASTER'!$V$2:$V$495&gt;=2)*('CONTROL MASTER'!$U$2:$U$495&lt;=9)*('CONTROL MASTER'!$W$2:$W$495&gt;=9))*ROW('CONTROL MASTER'!$S$2:$S$495))&gt;0,INDEX('CONTROL MASTER'!$X$2:$X$495,(SUMPRODUCT((('CONTROL MASTER'!$S$2:$S$495=13)*('CONTROL MASTER'!$T$2:$T$495&lt;=2)*('CONTROL MASTER'!$V$2:$V$495&gt;=2)*('CONTROL MASTER'!$U$2:$U$495&lt;=9)*('CONTROL MASTER'!$W$2:$W$495&gt;=9))*ROW('CONTROL MASTER'!$S$2:$S$495))-(ROW('CONTROL MASTER'!#REF!)-1)))&amp;TRIM(MID(SUBSTITUTE(SUBSTITUTE(INDEX('CONTROL MASTER'!$N$2:$N$495,(SUMPRODUCT((('CONTROL MASTER'!$S$2:$S$495=13)*('CONTROL MASTER'!$T$2:$T$495&lt;=2)*('CONTROL MASTER'!$V$2:$V$495&gt;=2)*('CONTROL MASTER'!$U$2:$U$495&lt;=9)*('CONTROL MASTER'!$W$2:$W$495&gt;=9))*ROW('CONTROL MASTER'!$S$2:$S$495))-(ROW('CONTROL MASTER'!#REF!)-1))),":",","),",",REPT(" ",50)),((((2-INDEX('CONTROL MASTER'!$T$2:$T$495,(SUMPRODUCT((('CONTROL MASTER'!$S$2:$S$495=13)*('CONTROL MASTER'!$T$2:$T$495&lt;=2)*('CONTROL MASTER'!$V$2:$V$495&gt;=2)*('CONTROL MASTER'!$U$2:$U$495&lt;=9)*('CONTROL MASTER'!$W$2:$W$495&gt;=9))*ROW('CONTROL MASTER'!$S$2:$S$495))-(ROW('CONTROL MASTER'!#REF!)-1))))*(INDEX('CONTROL MASTER'!$W$2:$W$495,(SUMPRODUCT((('CONTROL MASTER'!$S$2:$S$495=13)*('CONTROL MASTER'!$T$2:$T$495&lt;=2)*('CONTROL MASTER'!$V$2:$V$495&gt;=2)*('CONTROL MASTER'!$U$2:$U$495&lt;=9)*('CONTROL MASTER'!$W$2:$W$495&gt;=9))*ROW('CONTROL MASTER'!$S$2:$S$495))-(ROW('CONTROL MASTER'!#REF!)-1)))-INDEX('CONTROL MASTER'!$U$2:$U$495,(SUMPRODUCT((('CONTROL MASTER'!$S$2:$S$495=13)*('CONTROL MASTER'!$T$2:$T$495&lt;=2)*('CONTROL MASTER'!$V$2:$V$495&gt;=2)*('CONTROL MASTER'!$U$2:$U$495&lt;=9)*('CONTROL MASTER'!$W$2:$W$495&gt;=9))*ROW('CONTROL MASTER'!$S$2:$S$495))-(ROW('CONTROL MASTER'!#REF!)-1)))+1)+(9-INDEX('CONTROL MASTER'!$U$2:$U$495,(SUMPRODUCT((('CONTROL MASTER'!$S$2:$S$495=13)*('CONTROL MASTER'!$T$2:$T$495&lt;=2)*('CONTROL MASTER'!$V$2:$V$495&gt;=2)*('CONTROL MASTER'!$U$2:$U$495&lt;=9)*('CONTROL MASTER'!$W$2:$W$495&gt;=9))*ROW('CONTROL MASTER'!$S$2:$S$495))-(ROW('CONTROL MASTER'!#REF!)-1))))+1))-1)*50+1,50))&amp;"_"&amp;INDEX('CONTROL MASTER'!$P$2:$P$495,(SUMPRODUCT((('CONTROL MASTER'!$S$2:$S$495=13)*('CONTROL MASTER'!$T$2:$T$495&lt;=2)*('CONTROL MASTER'!$V$2:$V$495&gt;=2)*('CONTROL MASTER'!$U$2:$U$495&lt;=9)*('CONTROL MASTER'!$W$2:$W$495&gt;=9))*ROW('CONTROL MASTER'!$S$2:$S$495))-(ROW('CONTROL MASTER'!#REF!)-1))),IF(SUMPRODUCT((('CONTROL MASTER'!$S$2:$S$495=13)*('CONTROL MASTER'!$Z$2:$Z$495&lt;=2)*('CONTROL MASTER'!$AB$2:$AB$495&gt;=2)*('CONTROL MASTER'!$AA$2:$AA$495&lt;=9)*('CONTROL MASTER'!$AC$2:$AC$495&gt;=9))*ROW('CONTROL MASTER'!$S$2:$S$495))&gt;0,INDEX('CONTROL MASTER'!$X$2:$X$495,(SUMPRODUCT((('CONTROL MASTER'!$S$2:$S$495=13)*('CONTROL MASTER'!$Z$2:$Z$495&lt;=2)*('CONTROL MASTER'!$AB$2:$AB$495&gt;=2)*('CONTROL MASTER'!$AA$2:$AA$495&lt;=9)*('CONTROL MASTER'!$AC$2:$AC$495&gt;=9))*ROW('CONTROL MASTER'!$S$2:$S$495))-(ROW('CONTROL MASTER'!#REF!)-1)))&amp;TRIM(MID(SUBSTITUTE(SUBSTITUTE(INDEX('CONTROL MASTER'!$N$2:$N$495,(SUMPRODUCT((('CONTROL MASTER'!$S$2:$S$495=13)*('CONTROL MASTER'!$Z$2:$Z$495&lt;=2)*('CONTROL MASTER'!$AB$2:$AB$495&gt;=2)*('CONTROL MASTER'!$AA$2:$AA$495&lt;=9)*('CONTROL MASTER'!$AC$2:$AC$495&gt;=9))*ROW('CONTROL MASTER'!$S$2:$S$495))-(ROW('CONTROL MASTER'!#REF!)-1))),":",","),",",REPT(" ",50)),(((INDEX('CONTROL MASTER'!$Y$2:$Y$495,(SUMPRODUCT((('CONTROL MASTER'!$S$2:$S$495=13)*('CONTROL MASTER'!$Z$2:$Z$495&lt;=2)*('CONTROL MASTER'!$AB$2:$AB$495&gt;=2)*('CONTROL MASTER'!$AA$2:$AA$495&lt;=9)*('CONTROL MASTER'!$AC$2:$AC$495&gt;=9))*ROW('CONTROL MASTER'!$S$2:$S$495))-(ROW('CONTROL MASTER'!#REF!)-1)))+((2-INDEX('CONTROL MASTER'!$Z$2:$Z$495,(SUMPRODUCT((('CONTROL MASTER'!$S$2:$S$495=13)*('CONTROL MASTER'!$Z$2:$Z$495&lt;=2)*('CONTROL MASTER'!$AB$2:$AB$495&gt;=2)*('CONTROL MASTER'!$AA$2:$AA$495&lt;=9)*('CONTROL MASTER'!$AC$2:$AC$495&gt;=9))*ROW('CONTROL MASTER'!$S$2:$S$495))-(ROW('CONTROL MASTER'!#REF!)-1))))*(INDEX('CONTROL MASTER'!$AC$2:$AC$495,(SUMPRODUCT((('CONTROL MASTER'!$S$2:$S$495=13)*('CONTROL MASTER'!$Z$2:$Z$495&lt;=2)*('CONTROL MASTER'!$AB$2:$AB$495&gt;=2)*('CONTROL MASTER'!$AA$2:$AA$495&lt;=9)*('CONTROL MASTER'!$AC$2:$AC$495&gt;=9))*ROW('CONTROL MASTER'!$S$2:$S$495))-(ROW('CONTROL MASTER'!#REF!)-1)))-INDEX('CONTROL MASTER'!$AA$2:$AA$495,(SUMPRODUCT((('CONTROL MASTER'!$S$2:$S$495=13)*('CONTROL MASTER'!$Z$2:$Z$495&lt;=2)*('CONTROL MASTER'!$AB$2:$AB$495&gt;=2)*('CONTROL MASTER'!$AA$2:$AA$495&lt;=9)*('CONTROL MASTER'!$AC$2:$AC$495&gt;=9))*ROW('CONTROL MASTER'!$S$2:$S$495))-(ROW('CONTROL MASTER'!#REF!)-1)))+1)+(9-INDEX('CONTROL MASTER'!$AA$2:$AA$495,(SUMPRODUCT((('CONTROL MASTER'!$S$2:$S$495=13)*('CONTROL MASTER'!$Z$2:$Z$495&lt;=2)*('CONTROL MASTER'!$AB$2:$AB$495&gt;=2)*('CONTROL MASTER'!$AA$2:$AA$495&lt;=9)*('CONTROL MASTER'!$AC$2:$AC$495&gt;=9))*ROW('CONTROL MASTER'!$S$2:$S$495))-(ROW('CONTROL MASTER'!#REF!)-1))))+1)))-1)*50+1,50))&amp;"_"&amp;INDEX('CONTROL MASTER'!$P$2:$P$495,(SUMPRODUCT((('CONTROL MASTER'!$S$2:$S$495=13)*('CONTROL MASTER'!$Z$2:$Z$495&lt;=2)*('CONTROL MASTER'!$AB$2:$AB$495&gt;=2)*('CONTROL MASTER'!$AA$2:$AA$495&lt;=9)*('CONTROL MASTER'!$AC$2:$AC$495&gt;=9))*ROW('CONTROL MASTER'!$S$2:$S$495))-(ROW('CONTROL MASTER'!#REF!)-1))),"")),"")</f>
        <v/>
      </c>
      <c r="K172" s="10" t="str">
        <f>IFERROR(IF(SUMPRODUCT((('CONTROL MASTER'!$S$2:$S$495=13)*('CONTROL MASTER'!$T$2:$T$495&lt;=2)*('CONTROL MASTER'!$V$2:$V$495&gt;=2)*('CONTROL MASTER'!$U$2:$U$495&lt;=10)*('CONTROL MASTER'!$W$2:$W$495&gt;=10))*ROW('CONTROL MASTER'!$S$2:$S$495))&gt;0,INDEX('CONTROL MASTER'!$X$2:$X$495,(SUMPRODUCT((('CONTROL MASTER'!$S$2:$S$495=13)*('CONTROL MASTER'!$T$2:$T$495&lt;=2)*('CONTROL MASTER'!$V$2:$V$495&gt;=2)*('CONTROL MASTER'!$U$2:$U$495&lt;=10)*('CONTROL MASTER'!$W$2:$W$495&gt;=10))*ROW('CONTROL MASTER'!$S$2:$S$495))-(ROW('CONTROL MASTER'!#REF!)-1)))&amp;TRIM(MID(SUBSTITUTE(SUBSTITUTE(INDEX('CONTROL MASTER'!$N$2:$N$495,(SUMPRODUCT((('CONTROL MASTER'!$S$2:$S$495=13)*('CONTROL MASTER'!$T$2:$T$495&lt;=2)*('CONTROL MASTER'!$V$2:$V$495&gt;=2)*('CONTROL MASTER'!$U$2:$U$495&lt;=10)*('CONTROL MASTER'!$W$2:$W$495&gt;=10))*ROW('CONTROL MASTER'!$S$2:$S$495))-(ROW('CONTROL MASTER'!#REF!)-1))),":",","),",",REPT(" ",50)),((((2-INDEX('CONTROL MASTER'!$T$2:$T$495,(SUMPRODUCT((('CONTROL MASTER'!$S$2:$S$495=13)*('CONTROL MASTER'!$T$2:$T$495&lt;=2)*('CONTROL MASTER'!$V$2:$V$495&gt;=2)*('CONTROL MASTER'!$U$2:$U$495&lt;=10)*('CONTROL MASTER'!$W$2:$W$495&gt;=10))*ROW('CONTROL MASTER'!$S$2:$S$495))-(ROW('CONTROL MASTER'!#REF!)-1))))*(INDEX('CONTROL MASTER'!$W$2:$W$495,(SUMPRODUCT((('CONTROL MASTER'!$S$2:$S$495=13)*('CONTROL MASTER'!$T$2:$T$495&lt;=2)*('CONTROL MASTER'!$V$2:$V$495&gt;=2)*('CONTROL MASTER'!$U$2:$U$495&lt;=10)*('CONTROL MASTER'!$W$2:$W$495&gt;=10))*ROW('CONTROL MASTER'!$S$2:$S$495))-(ROW('CONTROL MASTER'!#REF!)-1)))-INDEX('CONTROL MASTER'!$U$2:$U$495,(SUMPRODUCT((('CONTROL MASTER'!$S$2:$S$495=13)*('CONTROL MASTER'!$T$2:$T$495&lt;=2)*('CONTROL MASTER'!$V$2:$V$495&gt;=2)*('CONTROL MASTER'!$U$2:$U$495&lt;=10)*('CONTROL MASTER'!$W$2:$W$495&gt;=10))*ROW('CONTROL MASTER'!$S$2:$S$495))-(ROW('CONTROL MASTER'!#REF!)-1)))+1)+(10-INDEX('CONTROL MASTER'!$U$2:$U$495,(SUMPRODUCT((('CONTROL MASTER'!$S$2:$S$495=13)*('CONTROL MASTER'!$T$2:$T$495&lt;=2)*('CONTROL MASTER'!$V$2:$V$495&gt;=2)*('CONTROL MASTER'!$U$2:$U$495&lt;=10)*('CONTROL MASTER'!$W$2:$W$495&gt;=10))*ROW('CONTROL MASTER'!$S$2:$S$495))-(ROW('CONTROL MASTER'!#REF!)-1))))+1))-1)*50+1,50))&amp;"_"&amp;INDEX('CONTROL MASTER'!$P$2:$P$495,(SUMPRODUCT((('CONTROL MASTER'!$S$2:$S$495=13)*('CONTROL MASTER'!$T$2:$T$495&lt;=2)*('CONTROL MASTER'!$V$2:$V$495&gt;=2)*('CONTROL MASTER'!$U$2:$U$495&lt;=10)*('CONTROL MASTER'!$W$2:$W$495&gt;=10))*ROW('CONTROL MASTER'!$S$2:$S$495))-(ROW('CONTROL MASTER'!#REF!)-1))),IF(SUMPRODUCT((('CONTROL MASTER'!$S$2:$S$495=13)*('CONTROL MASTER'!$Z$2:$Z$495&lt;=2)*('CONTROL MASTER'!$AB$2:$AB$495&gt;=2)*('CONTROL MASTER'!$AA$2:$AA$495&lt;=10)*('CONTROL MASTER'!$AC$2:$AC$495&gt;=10))*ROW('CONTROL MASTER'!$S$2:$S$495))&gt;0,INDEX('CONTROL MASTER'!$X$2:$X$495,(SUMPRODUCT((('CONTROL MASTER'!$S$2:$S$495=13)*('CONTROL MASTER'!$Z$2:$Z$495&lt;=2)*('CONTROL MASTER'!$AB$2:$AB$495&gt;=2)*('CONTROL MASTER'!$AA$2:$AA$495&lt;=10)*('CONTROL MASTER'!$AC$2:$AC$495&gt;=10))*ROW('CONTROL MASTER'!$S$2:$S$495))-(ROW('CONTROL MASTER'!#REF!)-1)))&amp;TRIM(MID(SUBSTITUTE(SUBSTITUTE(INDEX('CONTROL MASTER'!$N$2:$N$495,(SUMPRODUCT((('CONTROL MASTER'!$S$2:$S$495=13)*('CONTROL MASTER'!$Z$2:$Z$495&lt;=2)*('CONTROL MASTER'!$AB$2:$AB$495&gt;=2)*('CONTROL MASTER'!$AA$2:$AA$495&lt;=10)*('CONTROL MASTER'!$AC$2:$AC$495&gt;=10))*ROW('CONTROL MASTER'!$S$2:$S$495))-(ROW('CONTROL MASTER'!#REF!)-1))),":",","),",",REPT(" ",50)),(((INDEX('CONTROL MASTER'!$Y$2:$Y$495,(SUMPRODUCT((('CONTROL MASTER'!$S$2:$S$495=13)*('CONTROL MASTER'!$Z$2:$Z$495&lt;=2)*('CONTROL MASTER'!$AB$2:$AB$495&gt;=2)*('CONTROL MASTER'!$AA$2:$AA$495&lt;=10)*('CONTROL MASTER'!$AC$2:$AC$495&gt;=10))*ROW('CONTROL MASTER'!$S$2:$S$495))-(ROW('CONTROL MASTER'!#REF!)-1)))+((2-INDEX('CONTROL MASTER'!$Z$2:$Z$495,(SUMPRODUCT((('CONTROL MASTER'!$S$2:$S$495=13)*('CONTROL MASTER'!$Z$2:$Z$495&lt;=2)*('CONTROL MASTER'!$AB$2:$AB$495&gt;=2)*('CONTROL MASTER'!$AA$2:$AA$495&lt;=10)*('CONTROL MASTER'!$AC$2:$AC$495&gt;=10))*ROW('CONTROL MASTER'!$S$2:$S$495))-(ROW('CONTROL MASTER'!#REF!)-1))))*(INDEX('CONTROL MASTER'!$AC$2:$AC$495,(SUMPRODUCT((('CONTROL MASTER'!$S$2:$S$495=13)*('CONTROL MASTER'!$Z$2:$Z$495&lt;=2)*('CONTROL MASTER'!$AB$2:$AB$495&gt;=2)*('CONTROL MASTER'!$AA$2:$AA$495&lt;=10)*('CONTROL MASTER'!$AC$2:$AC$495&gt;=10))*ROW('CONTROL MASTER'!$S$2:$S$495))-(ROW('CONTROL MASTER'!#REF!)-1)))-INDEX('CONTROL MASTER'!$AA$2:$AA$495,(SUMPRODUCT((('CONTROL MASTER'!$S$2:$S$495=13)*('CONTROL MASTER'!$Z$2:$Z$495&lt;=2)*('CONTROL MASTER'!$AB$2:$AB$495&gt;=2)*('CONTROL MASTER'!$AA$2:$AA$495&lt;=10)*('CONTROL MASTER'!$AC$2:$AC$495&gt;=10))*ROW('CONTROL MASTER'!$S$2:$S$495))-(ROW('CONTROL MASTER'!#REF!)-1)))+1)+(10-INDEX('CONTROL MASTER'!$AA$2:$AA$495,(SUMPRODUCT((('CONTROL MASTER'!$S$2:$S$495=13)*('CONTROL MASTER'!$Z$2:$Z$495&lt;=2)*('CONTROL MASTER'!$AB$2:$AB$495&gt;=2)*('CONTROL MASTER'!$AA$2:$AA$495&lt;=10)*('CONTROL MASTER'!$AC$2:$AC$495&gt;=10))*ROW('CONTROL MASTER'!$S$2:$S$495))-(ROW('CONTROL MASTER'!#REF!)-1))))+1)))-1)*50+1,50))&amp;"_"&amp;INDEX('CONTROL MASTER'!$P$2:$P$495,(SUMPRODUCT((('CONTROL MASTER'!$S$2:$S$495=13)*('CONTROL MASTER'!$Z$2:$Z$495&lt;=2)*('CONTROL MASTER'!$AB$2:$AB$495&gt;=2)*('CONTROL MASTER'!$AA$2:$AA$495&lt;=10)*('CONTROL MASTER'!$AC$2:$AC$495&gt;=10))*ROW('CONTROL MASTER'!$S$2:$S$495))-(ROW('CONTROL MASTER'!#REF!)-1))),"")),"")</f>
        <v/>
      </c>
    </row>
    <row r="173" spans="1:11" ht="15" customHeight="1" x14ac:dyDescent="0.35">
      <c r="A173" s="8" t="s">
        <v>30</v>
      </c>
      <c r="B173" s="10" t="str">
        <f>IFERROR(IF(SUMPRODUCT((('CONTROL MASTER'!$S$2:$S$495=13)*('CONTROL MASTER'!$T$2:$T$495&lt;=3)*('CONTROL MASTER'!$V$2:$V$495&gt;=3)*('CONTROL MASTER'!$U$2:$U$495&lt;=1)*('CONTROL MASTER'!$W$2:$W$495&gt;=1))*ROW('CONTROL MASTER'!$S$2:$S$495))&gt;0,INDEX('CONTROL MASTER'!$X$2:$X$495,(SUMPRODUCT((('CONTROL MASTER'!$S$2:$S$495=13)*('CONTROL MASTER'!$T$2:$T$495&lt;=3)*('CONTROL MASTER'!$V$2:$V$495&gt;=3)*('CONTROL MASTER'!$U$2:$U$495&lt;=1)*('CONTROL MASTER'!$W$2:$W$495&gt;=1))*ROW('CONTROL MASTER'!$S$2:$S$495))-(ROW('CONTROL MASTER'!#REF!)-1)))&amp;TRIM(MID(SUBSTITUTE(SUBSTITUTE(INDEX('CONTROL MASTER'!$N$2:$N$495,(SUMPRODUCT((('CONTROL MASTER'!$S$2:$S$495=13)*('CONTROL MASTER'!$T$2:$T$495&lt;=3)*('CONTROL MASTER'!$V$2:$V$495&gt;=3)*('CONTROL MASTER'!$U$2:$U$495&lt;=1)*('CONTROL MASTER'!$W$2:$W$495&gt;=1))*ROW('CONTROL MASTER'!$S$2:$S$495))-(ROW('CONTROL MASTER'!#REF!)-1))),":",","),",",REPT(" ",50)),((((3-INDEX('CONTROL MASTER'!$T$2:$T$495,(SUMPRODUCT((('CONTROL MASTER'!$S$2:$S$495=13)*('CONTROL MASTER'!$T$2:$T$495&lt;=3)*('CONTROL MASTER'!$V$2:$V$495&gt;=3)*('CONTROL MASTER'!$U$2:$U$495&lt;=1)*('CONTROL MASTER'!$W$2:$W$495&gt;=1))*ROW('CONTROL MASTER'!$S$2:$S$495))-(ROW('CONTROL MASTER'!#REF!)-1))))*(INDEX('CONTROL MASTER'!$W$2:$W$495,(SUMPRODUCT((('CONTROL MASTER'!$S$2:$S$495=13)*('CONTROL MASTER'!$T$2:$T$495&lt;=3)*('CONTROL MASTER'!$V$2:$V$495&gt;=3)*('CONTROL MASTER'!$U$2:$U$495&lt;=1)*('CONTROL MASTER'!$W$2:$W$495&gt;=1))*ROW('CONTROL MASTER'!$S$2:$S$495))-(ROW('CONTROL MASTER'!#REF!)-1)))-INDEX('CONTROL MASTER'!$U$2:$U$495,(SUMPRODUCT((('CONTROL MASTER'!$S$2:$S$495=13)*('CONTROL MASTER'!$T$2:$T$495&lt;=3)*('CONTROL MASTER'!$V$2:$V$495&gt;=3)*('CONTROL MASTER'!$U$2:$U$495&lt;=1)*('CONTROL MASTER'!$W$2:$W$495&gt;=1))*ROW('CONTROL MASTER'!$S$2:$S$495))-(ROW('CONTROL MASTER'!#REF!)-1)))+1)+(1-INDEX('CONTROL MASTER'!$U$2:$U$495,(SUMPRODUCT((('CONTROL MASTER'!$S$2:$S$495=13)*('CONTROL MASTER'!$T$2:$T$495&lt;=3)*('CONTROL MASTER'!$V$2:$V$495&gt;=3)*('CONTROL MASTER'!$U$2:$U$495&lt;=1)*('CONTROL MASTER'!$W$2:$W$495&gt;=1))*ROW('CONTROL MASTER'!$S$2:$S$495))-(ROW('CONTROL MASTER'!#REF!)-1))))+1))-1)*50+1,50))&amp;"_"&amp;INDEX('CONTROL MASTER'!$P$2:$P$495,(SUMPRODUCT((('CONTROL MASTER'!$S$2:$S$495=13)*('CONTROL MASTER'!$T$2:$T$495&lt;=3)*('CONTROL MASTER'!$V$2:$V$495&gt;=3)*('CONTROL MASTER'!$U$2:$U$495&lt;=1)*('CONTROL MASTER'!$W$2:$W$495&gt;=1))*ROW('CONTROL MASTER'!$S$2:$S$495))-(ROW('CONTROL MASTER'!#REF!)-1))),IF(SUMPRODUCT((('CONTROL MASTER'!$S$2:$S$495=13)*('CONTROL MASTER'!$Z$2:$Z$495&lt;=3)*('CONTROL MASTER'!$AB$2:$AB$495&gt;=3)*('CONTROL MASTER'!$AA$2:$AA$495&lt;=1)*('CONTROL MASTER'!$AC$2:$AC$495&gt;=1))*ROW('CONTROL MASTER'!$S$2:$S$495))&gt;0,INDEX('CONTROL MASTER'!$X$2:$X$495,(SUMPRODUCT((('CONTROL MASTER'!$S$2:$S$495=13)*('CONTROL MASTER'!$Z$2:$Z$495&lt;=3)*('CONTROL MASTER'!$AB$2:$AB$495&gt;=3)*('CONTROL MASTER'!$AA$2:$AA$495&lt;=1)*('CONTROL MASTER'!$AC$2:$AC$495&gt;=1))*ROW('CONTROL MASTER'!$S$2:$S$495))-(ROW('CONTROL MASTER'!#REF!)-1)))&amp;TRIM(MID(SUBSTITUTE(SUBSTITUTE(INDEX('CONTROL MASTER'!$N$2:$N$495,(SUMPRODUCT((('CONTROL MASTER'!$S$2:$S$495=13)*('CONTROL MASTER'!$Z$2:$Z$495&lt;=3)*('CONTROL MASTER'!$AB$2:$AB$495&gt;=3)*('CONTROL MASTER'!$AA$2:$AA$495&lt;=1)*('CONTROL MASTER'!$AC$2:$AC$495&gt;=1))*ROW('CONTROL MASTER'!$S$2:$S$495))-(ROW('CONTROL MASTER'!#REF!)-1))),":",","),",",REPT(" ",50)),(((INDEX('CONTROL MASTER'!$Y$2:$Y$495,(SUMPRODUCT((('CONTROL MASTER'!$S$2:$S$495=13)*('CONTROL MASTER'!$Z$2:$Z$495&lt;=3)*('CONTROL MASTER'!$AB$2:$AB$495&gt;=3)*('CONTROL MASTER'!$AA$2:$AA$495&lt;=1)*('CONTROL MASTER'!$AC$2:$AC$495&gt;=1))*ROW('CONTROL MASTER'!$S$2:$S$495))-(ROW('CONTROL MASTER'!#REF!)-1)))+((3-INDEX('CONTROL MASTER'!$Z$2:$Z$495,(SUMPRODUCT((('CONTROL MASTER'!$S$2:$S$495=13)*('CONTROL MASTER'!$Z$2:$Z$495&lt;=3)*('CONTROL MASTER'!$AB$2:$AB$495&gt;=3)*('CONTROL MASTER'!$AA$2:$AA$495&lt;=1)*('CONTROL MASTER'!$AC$2:$AC$495&gt;=1))*ROW('CONTROL MASTER'!$S$2:$S$495))-(ROW('CONTROL MASTER'!#REF!)-1))))*(INDEX('CONTROL MASTER'!$AC$2:$AC$495,(SUMPRODUCT((('CONTROL MASTER'!$S$2:$S$495=13)*('CONTROL MASTER'!$Z$2:$Z$495&lt;=3)*('CONTROL MASTER'!$AB$2:$AB$495&gt;=3)*('CONTROL MASTER'!$AA$2:$AA$495&lt;=1)*('CONTROL MASTER'!$AC$2:$AC$495&gt;=1))*ROW('CONTROL MASTER'!$S$2:$S$495))-(ROW('CONTROL MASTER'!#REF!)-1)))-INDEX('CONTROL MASTER'!$AA$2:$AA$495,(SUMPRODUCT((('CONTROL MASTER'!$S$2:$S$495=13)*('CONTROL MASTER'!$Z$2:$Z$495&lt;=3)*('CONTROL MASTER'!$AB$2:$AB$495&gt;=3)*('CONTROL MASTER'!$AA$2:$AA$495&lt;=1)*('CONTROL MASTER'!$AC$2:$AC$495&gt;=1))*ROW('CONTROL MASTER'!$S$2:$S$495))-(ROW('CONTROL MASTER'!#REF!)-1)))+1)+(1-INDEX('CONTROL MASTER'!$AA$2:$AA$495,(SUMPRODUCT((('CONTROL MASTER'!$S$2:$S$495=13)*('CONTROL MASTER'!$Z$2:$Z$495&lt;=3)*('CONTROL MASTER'!$AB$2:$AB$495&gt;=3)*('CONTROL MASTER'!$AA$2:$AA$495&lt;=1)*('CONTROL MASTER'!$AC$2:$AC$495&gt;=1))*ROW('CONTROL MASTER'!$S$2:$S$495))-(ROW('CONTROL MASTER'!#REF!)-1))))+1)))-1)*50+1,50))&amp;"_"&amp;INDEX('CONTROL MASTER'!$P$2:$P$495,(SUMPRODUCT((('CONTROL MASTER'!$S$2:$S$495=13)*('CONTROL MASTER'!$Z$2:$Z$495&lt;=3)*('CONTROL MASTER'!$AB$2:$AB$495&gt;=3)*('CONTROL MASTER'!$AA$2:$AA$495&lt;=1)*('CONTROL MASTER'!$AC$2:$AC$495&gt;=1))*ROW('CONTROL MASTER'!$S$2:$S$495))-(ROW('CONTROL MASTER'!#REF!)-1))),"")),"")</f>
        <v/>
      </c>
      <c r="C173" s="10" t="str">
        <f>IFERROR(IF(SUMPRODUCT((('CONTROL MASTER'!$S$2:$S$495=13)*('CONTROL MASTER'!$T$2:$T$495&lt;=3)*('CONTROL MASTER'!$V$2:$V$495&gt;=3)*('CONTROL MASTER'!$U$2:$U$495&lt;=2)*('CONTROL MASTER'!$W$2:$W$495&gt;=2))*ROW('CONTROL MASTER'!$S$2:$S$495))&gt;0,INDEX('CONTROL MASTER'!$X$2:$X$495,(SUMPRODUCT((('CONTROL MASTER'!$S$2:$S$495=13)*('CONTROL MASTER'!$T$2:$T$495&lt;=3)*('CONTROL MASTER'!$V$2:$V$495&gt;=3)*('CONTROL MASTER'!$U$2:$U$495&lt;=2)*('CONTROL MASTER'!$W$2:$W$495&gt;=2))*ROW('CONTROL MASTER'!$S$2:$S$495))-(ROW('CONTROL MASTER'!#REF!)-1)))&amp;TRIM(MID(SUBSTITUTE(SUBSTITUTE(INDEX('CONTROL MASTER'!$N$2:$N$495,(SUMPRODUCT((('CONTROL MASTER'!$S$2:$S$495=13)*('CONTROL MASTER'!$T$2:$T$495&lt;=3)*('CONTROL MASTER'!$V$2:$V$495&gt;=3)*('CONTROL MASTER'!$U$2:$U$495&lt;=2)*('CONTROL MASTER'!$W$2:$W$495&gt;=2))*ROW('CONTROL MASTER'!$S$2:$S$495))-(ROW('CONTROL MASTER'!#REF!)-1))),":",","),",",REPT(" ",50)),((((3-INDEX('CONTROL MASTER'!$T$2:$T$495,(SUMPRODUCT((('CONTROL MASTER'!$S$2:$S$495=13)*('CONTROL MASTER'!$T$2:$T$495&lt;=3)*('CONTROL MASTER'!$V$2:$V$495&gt;=3)*('CONTROL MASTER'!$U$2:$U$495&lt;=2)*('CONTROL MASTER'!$W$2:$W$495&gt;=2))*ROW('CONTROL MASTER'!$S$2:$S$495))-(ROW('CONTROL MASTER'!#REF!)-1))))*(INDEX('CONTROL MASTER'!$W$2:$W$495,(SUMPRODUCT((('CONTROL MASTER'!$S$2:$S$495=13)*('CONTROL MASTER'!$T$2:$T$495&lt;=3)*('CONTROL MASTER'!$V$2:$V$495&gt;=3)*('CONTROL MASTER'!$U$2:$U$495&lt;=2)*('CONTROL MASTER'!$W$2:$W$495&gt;=2))*ROW('CONTROL MASTER'!$S$2:$S$495))-(ROW('CONTROL MASTER'!#REF!)-1)))-INDEX('CONTROL MASTER'!$U$2:$U$495,(SUMPRODUCT((('CONTROL MASTER'!$S$2:$S$495=13)*('CONTROL MASTER'!$T$2:$T$495&lt;=3)*('CONTROL MASTER'!$V$2:$V$495&gt;=3)*('CONTROL MASTER'!$U$2:$U$495&lt;=2)*('CONTROL MASTER'!$W$2:$W$495&gt;=2))*ROW('CONTROL MASTER'!$S$2:$S$495))-(ROW('CONTROL MASTER'!#REF!)-1)))+1)+(2-INDEX('CONTROL MASTER'!$U$2:$U$495,(SUMPRODUCT((('CONTROL MASTER'!$S$2:$S$495=13)*('CONTROL MASTER'!$T$2:$T$495&lt;=3)*('CONTROL MASTER'!$V$2:$V$495&gt;=3)*('CONTROL MASTER'!$U$2:$U$495&lt;=2)*('CONTROL MASTER'!$W$2:$W$495&gt;=2))*ROW('CONTROL MASTER'!$S$2:$S$495))-(ROW('CONTROL MASTER'!#REF!)-1))))+1))-1)*50+1,50))&amp;"_"&amp;INDEX('CONTROL MASTER'!$P$2:$P$495,(SUMPRODUCT((('CONTROL MASTER'!$S$2:$S$495=13)*('CONTROL MASTER'!$T$2:$T$495&lt;=3)*('CONTROL MASTER'!$V$2:$V$495&gt;=3)*('CONTROL MASTER'!$U$2:$U$495&lt;=2)*('CONTROL MASTER'!$W$2:$W$495&gt;=2))*ROW('CONTROL MASTER'!$S$2:$S$495))-(ROW('CONTROL MASTER'!#REF!)-1))),IF(SUMPRODUCT((('CONTROL MASTER'!$S$2:$S$495=13)*('CONTROL MASTER'!$Z$2:$Z$495&lt;=3)*('CONTROL MASTER'!$AB$2:$AB$495&gt;=3)*('CONTROL MASTER'!$AA$2:$AA$495&lt;=2)*('CONTROL MASTER'!$AC$2:$AC$495&gt;=2))*ROW('CONTROL MASTER'!$S$2:$S$495))&gt;0,INDEX('CONTROL MASTER'!$X$2:$X$495,(SUMPRODUCT((('CONTROL MASTER'!$S$2:$S$495=13)*('CONTROL MASTER'!$Z$2:$Z$495&lt;=3)*('CONTROL MASTER'!$AB$2:$AB$495&gt;=3)*('CONTROL MASTER'!$AA$2:$AA$495&lt;=2)*('CONTROL MASTER'!$AC$2:$AC$495&gt;=2))*ROW('CONTROL MASTER'!$S$2:$S$495))-(ROW('CONTROL MASTER'!#REF!)-1)))&amp;TRIM(MID(SUBSTITUTE(SUBSTITUTE(INDEX('CONTROL MASTER'!$N$2:$N$495,(SUMPRODUCT((('CONTROL MASTER'!$S$2:$S$495=13)*('CONTROL MASTER'!$Z$2:$Z$495&lt;=3)*('CONTROL MASTER'!$AB$2:$AB$495&gt;=3)*('CONTROL MASTER'!$AA$2:$AA$495&lt;=2)*('CONTROL MASTER'!$AC$2:$AC$495&gt;=2))*ROW('CONTROL MASTER'!$S$2:$S$495))-(ROW('CONTROL MASTER'!#REF!)-1))),":",","),",",REPT(" ",50)),(((INDEX('CONTROL MASTER'!$Y$2:$Y$495,(SUMPRODUCT((('CONTROL MASTER'!$S$2:$S$495=13)*('CONTROL MASTER'!$Z$2:$Z$495&lt;=3)*('CONTROL MASTER'!$AB$2:$AB$495&gt;=3)*('CONTROL MASTER'!$AA$2:$AA$495&lt;=2)*('CONTROL MASTER'!$AC$2:$AC$495&gt;=2))*ROW('CONTROL MASTER'!$S$2:$S$495))-(ROW('CONTROL MASTER'!#REF!)-1)))+((3-INDEX('CONTROL MASTER'!$Z$2:$Z$495,(SUMPRODUCT((('CONTROL MASTER'!$S$2:$S$495=13)*('CONTROL MASTER'!$Z$2:$Z$495&lt;=3)*('CONTROL MASTER'!$AB$2:$AB$495&gt;=3)*('CONTROL MASTER'!$AA$2:$AA$495&lt;=2)*('CONTROL MASTER'!$AC$2:$AC$495&gt;=2))*ROW('CONTROL MASTER'!$S$2:$S$495))-(ROW('CONTROL MASTER'!#REF!)-1))))*(INDEX('CONTROL MASTER'!$AC$2:$AC$495,(SUMPRODUCT((('CONTROL MASTER'!$S$2:$S$495=13)*('CONTROL MASTER'!$Z$2:$Z$495&lt;=3)*('CONTROL MASTER'!$AB$2:$AB$495&gt;=3)*('CONTROL MASTER'!$AA$2:$AA$495&lt;=2)*('CONTROL MASTER'!$AC$2:$AC$495&gt;=2))*ROW('CONTROL MASTER'!$S$2:$S$495))-(ROW('CONTROL MASTER'!#REF!)-1)))-INDEX('CONTROL MASTER'!$AA$2:$AA$495,(SUMPRODUCT((('CONTROL MASTER'!$S$2:$S$495=13)*('CONTROL MASTER'!$Z$2:$Z$495&lt;=3)*('CONTROL MASTER'!$AB$2:$AB$495&gt;=3)*('CONTROL MASTER'!$AA$2:$AA$495&lt;=2)*('CONTROL MASTER'!$AC$2:$AC$495&gt;=2))*ROW('CONTROL MASTER'!$S$2:$S$495))-(ROW('CONTROL MASTER'!#REF!)-1)))+1)+(2-INDEX('CONTROL MASTER'!$AA$2:$AA$495,(SUMPRODUCT((('CONTROL MASTER'!$S$2:$S$495=13)*('CONTROL MASTER'!$Z$2:$Z$495&lt;=3)*('CONTROL MASTER'!$AB$2:$AB$495&gt;=3)*('CONTROL MASTER'!$AA$2:$AA$495&lt;=2)*('CONTROL MASTER'!$AC$2:$AC$495&gt;=2))*ROW('CONTROL MASTER'!$S$2:$S$495))-(ROW('CONTROL MASTER'!#REF!)-1))))+1)))-1)*50+1,50))&amp;"_"&amp;INDEX('CONTROL MASTER'!$P$2:$P$495,(SUMPRODUCT((('CONTROL MASTER'!$S$2:$S$495=13)*('CONTROL MASTER'!$Z$2:$Z$495&lt;=3)*('CONTROL MASTER'!$AB$2:$AB$495&gt;=3)*('CONTROL MASTER'!$AA$2:$AA$495&lt;=2)*('CONTROL MASTER'!$AC$2:$AC$495&gt;=2))*ROW('CONTROL MASTER'!$S$2:$S$495))-(ROW('CONTROL MASTER'!#REF!)-1))),"")),"")</f>
        <v/>
      </c>
      <c r="D173" s="10" t="str">
        <f>IFERROR(IF(SUMPRODUCT((('CONTROL MASTER'!$S$2:$S$495=13)*('CONTROL MASTER'!$T$2:$T$495&lt;=3)*('CONTROL MASTER'!$V$2:$V$495&gt;=3)*('CONTROL MASTER'!$U$2:$U$495&lt;=3)*('CONTROL MASTER'!$W$2:$W$495&gt;=3))*ROW('CONTROL MASTER'!$S$2:$S$495))&gt;0,INDEX('CONTROL MASTER'!$X$2:$X$495,(SUMPRODUCT((('CONTROL MASTER'!$S$2:$S$495=13)*('CONTROL MASTER'!$T$2:$T$495&lt;=3)*('CONTROL MASTER'!$V$2:$V$495&gt;=3)*('CONTROL MASTER'!$U$2:$U$495&lt;=3)*('CONTROL MASTER'!$W$2:$W$495&gt;=3))*ROW('CONTROL MASTER'!$S$2:$S$495))-(ROW('CONTROL MASTER'!#REF!)-1)))&amp;TRIM(MID(SUBSTITUTE(SUBSTITUTE(INDEX('CONTROL MASTER'!$N$2:$N$495,(SUMPRODUCT((('CONTROL MASTER'!$S$2:$S$495=13)*('CONTROL MASTER'!$T$2:$T$495&lt;=3)*('CONTROL MASTER'!$V$2:$V$495&gt;=3)*('CONTROL MASTER'!$U$2:$U$495&lt;=3)*('CONTROL MASTER'!$W$2:$W$495&gt;=3))*ROW('CONTROL MASTER'!$S$2:$S$495))-(ROW('CONTROL MASTER'!#REF!)-1))),":",","),",",REPT(" ",50)),((((3-INDEX('CONTROL MASTER'!$T$2:$T$495,(SUMPRODUCT((('CONTROL MASTER'!$S$2:$S$495=13)*('CONTROL MASTER'!$T$2:$T$495&lt;=3)*('CONTROL MASTER'!$V$2:$V$495&gt;=3)*('CONTROL MASTER'!$U$2:$U$495&lt;=3)*('CONTROL MASTER'!$W$2:$W$495&gt;=3))*ROW('CONTROL MASTER'!$S$2:$S$495))-(ROW('CONTROL MASTER'!#REF!)-1))))*(INDEX('CONTROL MASTER'!$W$2:$W$495,(SUMPRODUCT((('CONTROL MASTER'!$S$2:$S$495=13)*('CONTROL MASTER'!$T$2:$T$495&lt;=3)*('CONTROL MASTER'!$V$2:$V$495&gt;=3)*('CONTROL MASTER'!$U$2:$U$495&lt;=3)*('CONTROL MASTER'!$W$2:$W$495&gt;=3))*ROW('CONTROL MASTER'!$S$2:$S$495))-(ROW('CONTROL MASTER'!#REF!)-1)))-INDEX('CONTROL MASTER'!$U$2:$U$495,(SUMPRODUCT((('CONTROL MASTER'!$S$2:$S$495=13)*('CONTROL MASTER'!$T$2:$T$495&lt;=3)*('CONTROL MASTER'!$V$2:$V$495&gt;=3)*('CONTROL MASTER'!$U$2:$U$495&lt;=3)*('CONTROL MASTER'!$W$2:$W$495&gt;=3))*ROW('CONTROL MASTER'!$S$2:$S$495))-(ROW('CONTROL MASTER'!#REF!)-1)))+1)+(3-INDEX('CONTROL MASTER'!$U$2:$U$495,(SUMPRODUCT((('CONTROL MASTER'!$S$2:$S$495=13)*('CONTROL MASTER'!$T$2:$T$495&lt;=3)*('CONTROL MASTER'!$V$2:$V$495&gt;=3)*('CONTROL MASTER'!$U$2:$U$495&lt;=3)*('CONTROL MASTER'!$W$2:$W$495&gt;=3))*ROW('CONTROL MASTER'!$S$2:$S$495))-(ROW('CONTROL MASTER'!#REF!)-1))))+1))-1)*50+1,50))&amp;"_"&amp;INDEX('CONTROL MASTER'!$P$2:$P$495,(SUMPRODUCT((('CONTROL MASTER'!$S$2:$S$495=13)*('CONTROL MASTER'!$T$2:$T$495&lt;=3)*('CONTROL MASTER'!$V$2:$V$495&gt;=3)*('CONTROL MASTER'!$U$2:$U$495&lt;=3)*('CONTROL MASTER'!$W$2:$W$495&gt;=3))*ROW('CONTROL MASTER'!$S$2:$S$495))-(ROW('CONTROL MASTER'!#REF!)-1))),IF(SUMPRODUCT((('CONTROL MASTER'!$S$2:$S$495=13)*('CONTROL MASTER'!$Z$2:$Z$495&lt;=3)*('CONTROL MASTER'!$AB$2:$AB$495&gt;=3)*('CONTROL MASTER'!$AA$2:$AA$495&lt;=3)*('CONTROL MASTER'!$AC$2:$AC$495&gt;=3))*ROW('CONTROL MASTER'!$S$2:$S$495))&gt;0,INDEX('CONTROL MASTER'!$X$2:$X$495,(SUMPRODUCT((('CONTROL MASTER'!$S$2:$S$495=13)*('CONTROL MASTER'!$Z$2:$Z$495&lt;=3)*('CONTROL MASTER'!$AB$2:$AB$495&gt;=3)*('CONTROL MASTER'!$AA$2:$AA$495&lt;=3)*('CONTROL MASTER'!$AC$2:$AC$495&gt;=3))*ROW('CONTROL MASTER'!$S$2:$S$495))-(ROW('CONTROL MASTER'!#REF!)-1)))&amp;TRIM(MID(SUBSTITUTE(SUBSTITUTE(INDEX('CONTROL MASTER'!$N$2:$N$495,(SUMPRODUCT((('CONTROL MASTER'!$S$2:$S$495=13)*('CONTROL MASTER'!$Z$2:$Z$495&lt;=3)*('CONTROL MASTER'!$AB$2:$AB$495&gt;=3)*('CONTROL MASTER'!$AA$2:$AA$495&lt;=3)*('CONTROL MASTER'!$AC$2:$AC$495&gt;=3))*ROW('CONTROL MASTER'!$S$2:$S$495))-(ROW('CONTROL MASTER'!#REF!)-1))),":",","),",",REPT(" ",50)),(((INDEX('CONTROL MASTER'!$Y$2:$Y$495,(SUMPRODUCT((('CONTROL MASTER'!$S$2:$S$495=13)*('CONTROL MASTER'!$Z$2:$Z$495&lt;=3)*('CONTROL MASTER'!$AB$2:$AB$495&gt;=3)*('CONTROL MASTER'!$AA$2:$AA$495&lt;=3)*('CONTROL MASTER'!$AC$2:$AC$495&gt;=3))*ROW('CONTROL MASTER'!$S$2:$S$495))-(ROW('CONTROL MASTER'!#REF!)-1)))+((3-INDEX('CONTROL MASTER'!$Z$2:$Z$495,(SUMPRODUCT((('CONTROL MASTER'!$S$2:$S$495=13)*('CONTROL MASTER'!$Z$2:$Z$495&lt;=3)*('CONTROL MASTER'!$AB$2:$AB$495&gt;=3)*('CONTROL MASTER'!$AA$2:$AA$495&lt;=3)*('CONTROL MASTER'!$AC$2:$AC$495&gt;=3))*ROW('CONTROL MASTER'!$S$2:$S$495))-(ROW('CONTROL MASTER'!#REF!)-1))))*(INDEX('CONTROL MASTER'!$AC$2:$AC$495,(SUMPRODUCT((('CONTROL MASTER'!$S$2:$S$495=13)*('CONTROL MASTER'!$Z$2:$Z$495&lt;=3)*('CONTROL MASTER'!$AB$2:$AB$495&gt;=3)*('CONTROL MASTER'!$AA$2:$AA$495&lt;=3)*('CONTROL MASTER'!$AC$2:$AC$495&gt;=3))*ROW('CONTROL MASTER'!$S$2:$S$495))-(ROW('CONTROL MASTER'!#REF!)-1)))-INDEX('CONTROL MASTER'!$AA$2:$AA$495,(SUMPRODUCT((('CONTROL MASTER'!$S$2:$S$495=13)*('CONTROL MASTER'!$Z$2:$Z$495&lt;=3)*('CONTROL MASTER'!$AB$2:$AB$495&gt;=3)*('CONTROL MASTER'!$AA$2:$AA$495&lt;=3)*('CONTROL MASTER'!$AC$2:$AC$495&gt;=3))*ROW('CONTROL MASTER'!$S$2:$S$495))-(ROW('CONTROL MASTER'!#REF!)-1)))+1)+(3-INDEX('CONTROL MASTER'!$AA$2:$AA$495,(SUMPRODUCT((('CONTROL MASTER'!$S$2:$S$495=13)*('CONTROL MASTER'!$Z$2:$Z$495&lt;=3)*('CONTROL MASTER'!$AB$2:$AB$495&gt;=3)*('CONTROL MASTER'!$AA$2:$AA$495&lt;=3)*('CONTROL MASTER'!$AC$2:$AC$495&gt;=3))*ROW('CONTROL MASTER'!$S$2:$S$495))-(ROW('CONTROL MASTER'!#REF!)-1))))+1)))-1)*50+1,50))&amp;"_"&amp;INDEX('CONTROL MASTER'!$P$2:$P$495,(SUMPRODUCT((('CONTROL MASTER'!$S$2:$S$495=13)*('CONTROL MASTER'!$Z$2:$Z$495&lt;=3)*('CONTROL MASTER'!$AB$2:$AB$495&gt;=3)*('CONTROL MASTER'!$AA$2:$AA$495&lt;=3)*('CONTROL MASTER'!$AC$2:$AC$495&gt;=3))*ROW('CONTROL MASTER'!$S$2:$S$495))-(ROW('CONTROL MASTER'!#REF!)-1))),"")),"")</f>
        <v/>
      </c>
      <c r="E173" s="10" t="str">
        <f>IFERROR(IF(SUMPRODUCT((('CONTROL MASTER'!$S$2:$S$495=13)*('CONTROL MASTER'!$T$2:$T$495&lt;=3)*('CONTROL MASTER'!$V$2:$V$495&gt;=3)*('CONTROL MASTER'!$U$2:$U$495&lt;=4)*('CONTROL MASTER'!$W$2:$W$495&gt;=4))*ROW('CONTROL MASTER'!$S$2:$S$495))&gt;0,INDEX('CONTROL MASTER'!$X$2:$X$495,(SUMPRODUCT((('CONTROL MASTER'!$S$2:$S$495=13)*('CONTROL MASTER'!$T$2:$T$495&lt;=3)*('CONTROL MASTER'!$V$2:$V$495&gt;=3)*('CONTROL MASTER'!$U$2:$U$495&lt;=4)*('CONTROL MASTER'!$W$2:$W$495&gt;=4))*ROW('CONTROL MASTER'!$S$2:$S$495))-(ROW('CONTROL MASTER'!#REF!)-1)))&amp;TRIM(MID(SUBSTITUTE(SUBSTITUTE(INDEX('CONTROL MASTER'!$N$2:$N$495,(SUMPRODUCT((('CONTROL MASTER'!$S$2:$S$495=13)*('CONTROL MASTER'!$T$2:$T$495&lt;=3)*('CONTROL MASTER'!$V$2:$V$495&gt;=3)*('CONTROL MASTER'!$U$2:$U$495&lt;=4)*('CONTROL MASTER'!$W$2:$W$495&gt;=4))*ROW('CONTROL MASTER'!$S$2:$S$495))-(ROW('CONTROL MASTER'!#REF!)-1))),":",","),",",REPT(" ",50)),((((3-INDEX('CONTROL MASTER'!$T$2:$T$495,(SUMPRODUCT((('CONTROL MASTER'!$S$2:$S$495=13)*('CONTROL MASTER'!$T$2:$T$495&lt;=3)*('CONTROL MASTER'!$V$2:$V$495&gt;=3)*('CONTROL MASTER'!$U$2:$U$495&lt;=4)*('CONTROL MASTER'!$W$2:$W$495&gt;=4))*ROW('CONTROL MASTER'!$S$2:$S$495))-(ROW('CONTROL MASTER'!#REF!)-1))))*(INDEX('CONTROL MASTER'!$W$2:$W$495,(SUMPRODUCT((('CONTROL MASTER'!$S$2:$S$495=13)*('CONTROL MASTER'!$T$2:$T$495&lt;=3)*('CONTROL MASTER'!$V$2:$V$495&gt;=3)*('CONTROL MASTER'!$U$2:$U$495&lt;=4)*('CONTROL MASTER'!$W$2:$W$495&gt;=4))*ROW('CONTROL MASTER'!$S$2:$S$495))-(ROW('CONTROL MASTER'!#REF!)-1)))-INDEX('CONTROL MASTER'!$U$2:$U$495,(SUMPRODUCT((('CONTROL MASTER'!$S$2:$S$495=13)*('CONTROL MASTER'!$T$2:$T$495&lt;=3)*('CONTROL MASTER'!$V$2:$V$495&gt;=3)*('CONTROL MASTER'!$U$2:$U$495&lt;=4)*('CONTROL MASTER'!$W$2:$W$495&gt;=4))*ROW('CONTROL MASTER'!$S$2:$S$495))-(ROW('CONTROL MASTER'!#REF!)-1)))+1)+(4-INDEX('CONTROL MASTER'!$U$2:$U$495,(SUMPRODUCT((('CONTROL MASTER'!$S$2:$S$495=13)*('CONTROL MASTER'!$T$2:$T$495&lt;=3)*('CONTROL MASTER'!$V$2:$V$495&gt;=3)*('CONTROL MASTER'!$U$2:$U$495&lt;=4)*('CONTROL MASTER'!$W$2:$W$495&gt;=4))*ROW('CONTROL MASTER'!$S$2:$S$495))-(ROW('CONTROL MASTER'!#REF!)-1))))+1))-1)*50+1,50))&amp;"_"&amp;INDEX('CONTROL MASTER'!$P$2:$P$495,(SUMPRODUCT((('CONTROL MASTER'!$S$2:$S$495=13)*('CONTROL MASTER'!$T$2:$T$495&lt;=3)*('CONTROL MASTER'!$V$2:$V$495&gt;=3)*('CONTROL MASTER'!$U$2:$U$495&lt;=4)*('CONTROL MASTER'!$W$2:$W$495&gt;=4))*ROW('CONTROL MASTER'!$S$2:$S$495))-(ROW('CONTROL MASTER'!#REF!)-1))),IF(SUMPRODUCT((('CONTROL MASTER'!$S$2:$S$495=13)*('CONTROL MASTER'!$Z$2:$Z$495&lt;=3)*('CONTROL MASTER'!$AB$2:$AB$495&gt;=3)*('CONTROL MASTER'!$AA$2:$AA$495&lt;=4)*('CONTROL MASTER'!$AC$2:$AC$495&gt;=4))*ROW('CONTROL MASTER'!$S$2:$S$495))&gt;0,INDEX('CONTROL MASTER'!$X$2:$X$495,(SUMPRODUCT((('CONTROL MASTER'!$S$2:$S$495=13)*('CONTROL MASTER'!$Z$2:$Z$495&lt;=3)*('CONTROL MASTER'!$AB$2:$AB$495&gt;=3)*('CONTROL MASTER'!$AA$2:$AA$495&lt;=4)*('CONTROL MASTER'!$AC$2:$AC$495&gt;=4))*ROW('CONTROL MASTER'!$S$2:$S$495))-(ROW('CONTROL MASTER'!#REF!)-1)))&amp;TRIM(MID(SUBSTITUTE(SUBSTITUTE(INDEX('CONTROL MASTER'!$N$2:$N$495,(SUMPRODUCT((('CONTROL MASTER'!$S$2:$S$495=13)*('CONTROL MASTER'!$Z$2:$Z$495&lt;=3)*('CONTROL MASTER'!$AB$2:$AB$495&gt;=3)*('CONTROL MASTER'!$AA$2:$AA$495&lt;=4)*('CONTROL MASTER'!$AC$2:$AC$495&gt;=4))*ROW('CONTROL MASTER'!$S$2:$S$495))-(ROW('CONTROL MASTER'!#REF!)-1))),":",","),",",REPT(" ",50)),(((INDEX('CONTROL MASTER'!$Y$2:$Y$495,(SUMPRODUCT((('CONTROL MASTER'!$S$2:$S$495=13)*('CONTROL MASTER'!$Z$2:$Z$495&lt;=3)*('CONTROL MASTER'!$AB$2:$AB$495&gt;=3)*('CONTROL MASTER'!$AA$2:$AA$495&lt;=4)*('CONTROL MASTER'!$AC$2:$AC$495&gt;=4))*ROW('CONTROL MASTER'!$S$2:$S$495))-(ROW('CONTROL MASTER'!#REF!)-1)))+((3-INDEX('CONTROL MASTER'!$Z$2:$Z$495,(SUMPRODUCT((('CONTROL MASTER'!$S$2:$S$495=13)*('CONTROL MASTER'!$Z$2:$Z$495&lt;=3)*('CONTROL MASTER'!$AB$2:$AB$495&gt;=3)*('CONTROL MASTER'!$AA$2:$AA$495&lt;=4)*('CONTROL MASTER'!$AC$2:$AC$495&gt;=4))*ROW('CONTROL MASTER'!$S$2:$S$495))-(ROW('CONTROL MASTER'!#REF!)-1))))*(INDEX('CONTROL MASTER'!$AC$2:$AC$495,(SUMPRODUCT((('CONTROL MASTER'!$S$2:$S$495=13)*('CONTROL MASTER'!$Z$2:$Z$495&lt;=3)*('CONTROL MASTER'!$AB$2:$AB$495&gt;=3)*('CONTROL MASTER'!$AA$2:$AA$495&lt;=4)*('CONTROL MASTER'!$AC$2:$AC$495&gt;=4))*ROW('CONTROL MASTER'!$S$2:$S$495))-(ROW('CONTROL MASTER'!#REF!)-1)))-INDEX('CONTROL MASTER'!$AA$2:$AA$495,(SUMPRODUCT((('CONTROL MASTER'!$S$2:$S$495=13)*('CONTROL MASTER'!$Z$2:$Z$495&lt;=3)*('CONTROL MASTER'!$AB$2:$AB$495&gt;=3)*('CONTROL MASTER'!$AA$2:$AA$495&lt;=4)*('CONTROL MASTER'!$AC$2:$AC$495&gt;=4))*ROW('CONTROL MASTER'!$S$2:$S$495))-(ROW('CONTROL MASTER'!#REF!)-1)))+1)+(4-INDEX('CONTROL MASTER'!$AA$2:$AA$495,(SUMPRODUCT((('CONTROL MASTER'!$S$2:$S$495=13)*('CONTROL MASTER'!$Z$2:$Z$495&lt;=3)*('CONTROL MASTER'!$AB$2:$AB$495&gt;=3)*('CONTROL MASTER'!$AA$2:$AA$495&lt;=4)*('CONTROL MASTER'!$AC$2:$AC$495&gt;=4))*ROW('CONTROL MASTER'!$S$2:$S$495))-(ROW('CONTROL MASTER'!#REF!)-1))))+1)))-1)*50+1,50))&amp;"_"&amp;INDEX('CONTROL MASTER'!$P$2:$P$495,(SUMPRODUCT((('CONTROL MASTER'!$S$2:$S$495=13)*('CONTROL MASTER'!$Z$2:$Z$495&lt;=3)*('CONTROL MASTER'!$AB$2:$AB$495&gt;=3)*('CONTROL MASTER'!$AA$2:$AA$495&lt;=4)*('CONTROL MASTER'!$AC$2:$AC$495&gt;=4))*ROW('CONTROL MASTER'!$S$2:$S$495))-(ROW('CONTROL MASTER'!#REF!)-1))),"")),"")</f>
        <v/>
      </c>
      <c r="F173" s="10" t="str">
        <f>IFERROR(IF(SUMPRODUCT((('CONTROL MASTER'!$S$2:$S$495=13)*('CONTROL MASTER'!$T$2:$T$495&lt;=3)*('CONTROL MASTER'!$V$2:$V$495&gt;=3)*('CONTROL MASTER'!$U$2:$U$495&lt;=5)*('CONTROL MASTER'!$W$2:$W$495&gt;=5))*ROW('CONTROL MASTER'!$S$2:$S$495))&gt;0,INDEX('CONTROL MASTER'!$X$2:$X$495,(SUMPRODUCT((('CONTROL MASTER'!$S$2:$S$495=13)*('CONTROL MASTER'!$T$2:$T$495&lt;=3)*('CONTROL MASTER'!$V$2:$V$495&gt;=3)*('CONTROL MASTER'!$U$2:$U$495&lt;=5)*('CONTROL MASTER'!$W$2:$W$495&gt;=5))*ROW('CONTROL MASTER'!$S$2:$S$495))-(ROW('CONTROL MASTER'!#REF!)-1)))&amp;TRIM(MID(SUBSTITUTE(SUBSTITUTE(INDEX('CONTROL MASTER'!$N$2:$N$495,(SUMPRODUCT((('CONTROL MASTER'!$S$2:$S$495=13)*('CONTROL MASTER'!$T$2:$T$495&lt;=3)*('CONTROL MASTER'!$V$2:$V$495&gt;=3)*('CONTROL MASTER'!$U$2:$U$495&lt;=5)*('CONTROL MASTER'!$W$2:$W$495&gt;=5))*ROW('CONTROL MASTER'!$S$2:$S$495))-(ROW('CONTROL MASTER'!#REF!)-1))),":",","),",",REPT(" ",50)),((((3-INDEX('CONTROL MASTER'!$T$2:$T$495,(SUMPRODUCT((('CONTROL MASTER'!$S$2:$S$495=13)*('CONTROL MASTER'!$T$2:$T$495&lt;=3)*('CONTROL MASTER'!$V$2:$V$495&gt;=3)*('CONTROL MASTER'!$U$2:$U$495&lt;=5)*('CONTROL MASTER'!$W$2:$W$495&gt;=5))*ROW('CONTROL MASTER'!$S$2:$S$495))-(ROW('CONTROL MASTER'!#REF!)-1))))*(INDEX('CONTROL MASTER'!$W$2:$W$495,(SUMPRODUCT((('CONTROL MASTER'!$S$2:$S$495=13)*('CONTROL MASTER'!$T$2:$T$495&lt;=3)*('CONTROL MASTER'!$V$2:$V$495&gt;=3)*('CONTROL MASTER'!$U$2:$U$495&lt;=5)*('CONTROL MASTER'!$W$2:$W$495&gt;=5))*ROW('CONTROL MASTER'!$S$2:$S$495))-(ROW('CONTROL MASTER'!#REF!)-1)))-INDEX('CONTROL MASTER'!$U$2:$U$495,(SUMPRODUCT((('CONTROL MASTER'!$S$2:$S$495=13)*('CONTROL MASTER'!$T$2:$T$495&lt;=3)*('CONTROL MASTER'!$V$2:$V$495&gt;=3)*('CONTROL MASTER'!$U$2:$U$495&lt;=5)*('CONTROL MASTER'!$W$2:$W$495&gt;=5))*ROW('CONTROL MASTER'!$S$2:$S$495))-(ROW('CONTROL MASTER'!#REF!)-1)))+1)+(5-INDEX('CONTROL MASTER'!$U$2:$U$495,(SUMPRODUCT((('CONTROL MASTER'!$S$2:$S$495=13)*('CONTROL MASTER'!$T$2:$T$495&lt;=3)*('CONTROL MASTER'!$V$2:$V$495&gt;=3)*('CONTROL MASTER'!$U$2:$U$495&lt;=5)*('CONTROL MASTER'!$W$2:$W$495&gt;=5))*ROW('CONTROL MASTER'!$S$2:$S$495))-(ROW('CONTROL MASTER'!#REF!)-1))))+1))-1)*50+1,50))&amp;"_"&amp;INDEX('CONTROL MASTER'!$P$2:$P$495,(SUMPRODUCT((('CONTROL MASTER'!$S$2:$S$495=13)*('CONTROL MASTER'!$T$2:$T$495&lt;=3)*('CONTROL MASTER'!$V$2:$V$495&gt;=3)*('CONTROL MASTER'!$U$2:$U$495&lt;=5)*('CONTROL MASTER'!$W$2:$W$495&gt;=5))*ROW('CONTROL MASTER'!$S$2:$S$495))-(ROW('CONTROL MASTER'!#REF!)-1))),IF(SUMPRODUCT((('CONTROL MASTER'!$S$2:$S$495=13)*('CONTROL MASTER'!$Z$2:$Z$495&lt;=3)*('CONTROL MASTER'!$AB$2:$AB$495&gt;=3)*('CONTROL MASTER'!$AA$2:$AA$495&lt;=5)*('CONTROL MASTER'!$AC$2:$AC$495&gt;=5))*ROW('CONTROL MASTER'!$S$2:$S$495))&gt;0,INDEX('CONTROL MASTER'!$X$2:$X$495,(SUMPRODUCT((('CONTROL MASTER'!$S$2:$S$495=13)*('CONTROL MASTER'!$Z$2:$Z$495&lt;=3)*('CONTROL MASTER'!$AB$2:$AB$495&gt;=3)*('CONTROL MASTER'!$AA$2:$AA$495&lt;=5)*('CONTROL MASTER'!$AC$2:$AC$495&gt;=5))*ROW('CONTROL MASTER'!$S$2:$S$495))-(ROW('CONTROL MASTER'!#REF!)-1)))&amp;TRIM(MID(SUBSTITUTE(SUBSTITUTE(INDEX('CONTROL MASTER'!$N$2:$N$495,(SUMPRODUCT((('CONTROL MASTER'!$S$2:$S$495=13)*('CONTROL MASTER'!$Z$2:$Z$495&lt;=3)*('CONTROL MASTER'!$AB$2:$AB$495&gt;=3)*('CONTROL MASTER'!$AA$2:$AA$495&lt;=5)*('CONTROL MASTER'!$AC$2:$AC$495&gt;=5))*ROW('CONTROL MASTER'!$S$2:$S$495))-(ROW('CONTROL MASTER'!#REF!)-1))),":",","),",",REPT(" ",50)),(((INDEX('CONTROL MASTER'!$Y$2:$Y$495,(SUMPRODUCT((('CONTROL MASTER'!$S$2:$S$495=13)*('CONTROL MASTER'!$Z$2:$Z$495&lt;=3)*('CONTROL MASTER'!$AB$2:$AB$495&gt;=3)*('CONTROL MASTER'!$AA$2:$AA$495&lt;=5)*('CONTROL MASTER'!$AC$2:$AC$495&gt;=5))*ROW('CONTROL MASTER'!$S$2:$S$495))-(ROW('CONTROL MASTER'!#REF!)-1)))+((3-INDEX('CONTROL MASTER'!$Z$2:$Z$495,(SUMPRODUCT((('CONTROL MASTER'!$S$2:$S$495=13)*('CONTROL MASTER'!$Z$2:$Z$495&lt;=3)*('CONTROL MASTER'!$AB$2:$AB$495&gt;=3)*('CONTROL MASTER'!$AA$2:$AA$495&lt;=5)*('CONTROL MASTER'!$AC$2:$AC$495&gt;=5))*ROW('CONTROL MASTER'!$S$2:$S$495))-(ROW('CONTROL MASTER'!#REF!)-1))))*(INDEX('CONTROL MASTER'!$AC$2:$AC$495,(SUMPRODUCT((('CONTROL MASTER'!$S$2:$S$495=13)*('CONTROL MASTER'!$Z$2:$Z$495&lt;=3)*('CONTROL MASTER'!$AB$2:$AB$495&gt;=3)*('CONTROL MASTER'!$AA$2:$AA$495&lt;=5)*('CONTROL MASTER'!$AC$2:$AC$495&gt;=5))*ROW('CONTROL MASTER'!$S$2:$S$495))-(ROW('CONTROL MASTER'!#REF!)-1)))-INDEX('CONTROL MASTER'!$AA$2:$AA$495,(SUMPRODUCT((('CONTROL MASTER'!$S$2:$S$495=13)*('CONTROL MASTER'!$Z$2:$Z$495&lt;=3)*('CONTROL MASTER'!$AB$2:$AB$495&gt;=3)*('CONTROL MASTER'!$AA$2:$AA$495&lt;=5)*('CONTROL MASTER'!$AC$2:$AC$495&gt;=5))*ROW('CONTROL MASTER'!$S$2:$S$495))-(ROW('CONTROL MASTER'!#REF!)-1)))+1)+(5-INDEX('CONTROL MASTER'!$AA$2:$AA$495,(SUMPRODUCT((('CONTROL MASTER'!$S$2:$S$495=13)*('CONTROL MASTER'!$Z$2:$Z$495&lt;=3)*('CONTROL MASTER'!$AB$2:$AB$495&gt;=3)*('CONTROL MASTER'!$AA$2:$AA$495&lt;=5)*('CONTROL MASTER'!$AC$2:$AC$495&gt;=5))*ROW('CONTROL MASTER'!$S$2:$S$495))-(ROW('CONTROL MASTER'!#REF!)-1))))+1)))-1)*50+1,50))&amp;"_"&amp;INDEX('CONTROL MASTER'!$P$2:$P$495,(SUMPRODUCT((('CONTROL MASTER'!$S$2:$S$495=13)*('CONTROL MASTER'!$Z$2:$Z$495&lt;=3)*('CONTROL MASTER'!$AB$2:$AB$495&gt;=3)*('CONTROL MASTER'!$AA$2:$AA$495&lt;=5)*('CONTROL MASTER'!$AC$2:$AC$495&gt;=5))*ROW('CONTROL MASTER'!$S$2:$S$495))-(ROW('CONTROL MASTER'!#REF!)-1))),"")),"")</f>
        <v/>
      </c>
      <c r="G173" s="10" t="str">
        <f>IFERROR(IF(SUMPRODUCT((('CONTROL MASTER'!$S$2:$S$495=13)*('CONTROL MASTER'!$T$2:$T$495&lt;=3)*('CONTROL MASTER'!$V$2:$V$495&gt;=3)*('CONTROL MASTER'!$U$2:$U$495&lt;=6)*('CONTROL MASTER'!$W$2:$W$495&gt;=6))*ROW('CONTROL MASTER'!$S$2:$S$495))&gt;0,INDEX('CONTROL MASTER'!$X$2:$X$495,(SUMPRODUCT((('CONTROL MASTER'!$S$2:$S$495=13)*('CONTROL MASTER'!$T$2:$T$495&lt;=3)*('CONTROL MASTER'!$V$2:$V$495&gt;=3)*('CONTROL MASTER'!$U$2:$U$495&lt;=6)*('CONTROL MASTER'!$W$2:$W$495&gt;=6))*ROW('CONTROL MASTER'!$S$2:$S$495))-(ROW('CONTROL MASTER'!#REF!)-1)))&amp;TRIM(MID(SUBSTITUTE(SUBSTITUTE(INDEX('CONTROL MASTER'!$N$2:$N$495,(SUMPRODUCT((('CONTROL MASTER'!$S$2:$S$495=13)*('CONTROL MASTER'!$T$2:$T$495&lt;=3)*('CONTROL MASTER'!$V$2:$V$495&gt;=3)*('CONTROL MASTER'!$U$2:$U$495&lt;=6)*('CONTROL MASTER'!$W$2:$W$495&gt;=6))*ROW('CONTROL MASTER'!$S$2:$S$495))-(ROW('CONTROL MASTER'!#REF!)-1))),":",","),",",REPT(" ",50)),((((3-INDEX('CONTROL MASTER'!$T$2:$T$495,(SUMPRODUCT((('CONTROL MASTER'!$S$2:$S$495=13)*('CONTROL MASTER'!$T$2:$T$495&lt;=3)*('CONTROL MASTER'!$V$2:$V$495&gt;=3)*('CONTROL MASTER'!$U$2:$U$495&lt;=6)*('CONTROL MASTER'!$W$2:$W$495&gt;=6))*ROW('CONTROL MASTER'!$S$2:$S$495))-(ROW('CONTROL MASTER'!#REF!)-1))))*(INDEX('CONTROL MASTER'!$W$2:$W$495,(SUMPRODUCT((('CONTROL MASTER'!$S$2:$S$495=13)*('CONTROL MASTER'!$T$2:$T$495&lt;=3)*('CONTROL MASTER'!$V$2:$V$495&gt;=3)*('CONTROL MASTER'!$U$2:$U$495&lt;=6)*('CONTROL MASTER'!$W$2:$W$495&gt;=6))*ROW('CONTROL MASTER'!$S$2:$S$495))-(ROW('CONTROL MASTER'!#REF!)-1)))-INDEX('CONTROL MASTER'!$U$2:$U$495,(SUMPRODUCT((('CONTROL MASTER'!$S$2:$S$495=13)*('CONTROL MASTER'!$T$2:$T$495&lt;=3)*('CONTROL MASTER'!$V$2:$V$495&gt;=3)*('CONTROL MASTER'!$U$2:$U$495&lt;=6)*('CONTROL MASTER'!$W$2:$W$495&gt;=6))*ROW('CONTROL MASTER'!$S$2:$S$495))-(ROW('CONTROL MASTER'!#REF!)-1)))+1)+(6-INDEX('CONTROL MASTER'!$U$2:$U$495,(SUMPRODUCT((('CONTROL MASTER'!$S$2:$S$495=13)*('CONTROL MASTER'!$T$2:$T$495&lt;=3)*('CONTROL MASTER'!$V$2:$V$495&gt;=3)*('CONTROL MASTER'!$U$2:$U$495&lt;=6)*('CONTROL MASTER'!$W$2:$W$495&gt;=6))*ROW('CONTROL MASTER'!$S$2:$S$495))-(ROW('CONTROL MASTER'!#REF!)-1))))+1))-1)*50+1,50))&amp;"_"&amp;INDEX('CONTROL MASTER'!$P$2:$P$495,(SUMPRODUCT((('CONTROL MASTER'!$S$2:$S$495=13)*('CONTROL MASTER'!$T$2:$T$495&lt;=3)*('CONTROL MASTER'!$V$2:$V$495&gt;=3)*('CONTROL MASTER'!$U$2:$U$495&lt;=6)*('CONTROL MASTER'!$W$2:$W$495&gt;=6))*ROW('CONTROL MASTER'!$S$2:$S$495))-(ROW('CONTROL MASTER'!#REF!)-1))),IF(SUMPRODUCT((('CONTROL MASTER'!$S$2:$S$495=13)*('CONTROL MASTER'!$Z$2:$Z$495&lt;=3)*('CONTROL MASTER'!$AB$2:$AB$495&gt;=3)*('CONTROL MASTER'!$AA$2:$AA$495&lt;=6)*('CONTROL MASTER'!$AC$2:$AC$495&gt;=6))*ROW('CONTROL MASTER'!$S$2:$S$495))&gt;0,INDEX('CONTROL MASTER'!$X$2:$X$495,(SUMPRODUCT((('CONTROL MASTER'!$S$2:$S$495=13)*('CONTROL MASTER'!$Z$2:$Z$495&lt;=3)*('CONTROL MASTER'!$AB$2:$AB$495&gt;=3)*('CONTROL MASTER'!$AA$2:$AA$495&lt;=6)*('CONTROL MASTER'!$AC$2:$AC$495&gt;=6))*ROW('CONTROL MASTER'!$S$2:$S$495))-(ROW('CONTROL MASTER'!#REF!)-1)))&amp;TRIM(MID(SUBSTITUTE(SUBSTITUTE(INDEX('CONTROL MASTER'!$N$2:$N$495,(SUMPRODUCT((('CONTROL MASTER'!$S$2:$S$495=13)*('CONTROL MASTER'!$Z$2:$Z$495&lt;=3)*('CONTROL MASTER'!$AB$2:$AB$495&gt;=3)*('CONTROL MASTER'!$AA$2:$AA$495&lt;=6)*('CONTROL MASTER'!$AC$2:$AC$495&gt;=6))*ROW('CONTROL MASTER'!$S$2:$S$495))-(ROW('CONTROL MASTER'!#REF!)-1))),":",","),",",REPT(" ",50)),(((INDEX('CONTROL MASTER'!$Y$2:$Y$495,(SUMPRODUCT((('CONTROL MASTER'!$S$2:$S$495=13)*('CONTROL MASTER'!$Z$2:$Z$495&lt;=3)*('CONTROL MASTER'!$AB$2:$AB$495&gt;=3)*('CONTROL MASTER'!$AA$2:$AA$495&lt;=6)*('CONTROL MASTER'!$AC$2:$AC$495&gt;=6))*ROW('CONTROL MASTER'!$S$2:$S$495))-(ROW('CONTROL MASTER'!#REF!)-1)))+((3-INDEX('CONTROL MASTER'!$Z$2:$Z$495,(SUMPRODUCT((('CONTROL MASTER'!$S$2:$S$495=13)*('CONTROL MASTER'!$Z$2:$Z$495&lt;=3)*('CONTROL MASTER'!$AB$2:$AB$495&gt;=3)*('CONTROL MASTER'!$AA$2:$AA$495&lt;=6)*('CONTROL MASTER'!$AC$2:$AC$495&gt;=6))*ROW('CONTROL MASTER'!$S$2:$S$495))-(ROW('CONTROL MASTER'!#REF!)-1))))*(INDEX('CONTROL MASTER'!$AC$2:$AC$495,(SUMPRODUCT((('CONTROL MASTER'!$S$2:$S$495=13)*('CONTROL MASTER'!$Z$2:$Z$495&lt;=3)*('CONTROL MASTER'!$AB$2:$AB$495&gt;=3)*('CONTROL MASTER'!$AA$2:$AA$495&lt;=6)*('CONTROL MASTER'!$AC$2:$AC$495&gt;=6))*ROW('CONTROL MASTER'!$S$2:$S$495))-(ROW('CONTROL MASTER'!#REF!)-1)))-INDEX('CONTROL MASTER'!$AA$2:$AA$495,(SUMPRODUCT((('CONTROL MASTER'!$S$2:$S$495=13)*('CONTROL MASTER'!$Z$2:$Z$495&lt;=3)*('CONTROL MASTER'!$AB$2:$AB$495&gt;=3)*('CONTROL MASTER'!$AA$2:$AA$495&lt;=6)*('CONTROL MASTER'!$AC$2:$AC$495&gt;=6))*ROW('CONTROL MASTER'!$S$2:$S$495))-(ROW('CONTROL MASTER'!#REF!)-1)))+1)+(6-INDEX('CONTROL MASTER'!$AA$2:$AA$495,(SUMPRODUCT((('CONTROL MASTER'!$S$2:$S$495=13)*('CONTROL MASTER'!$Z$2:$Z$495&lt;=3)*('CONTROL MASTER'!$AB$2:$AB$495&gt;=3)*('CONTROL MASTER'!$AA$2:$AA$495&lt;=6)*('CONTROL MASTER'!$AC$2:$AC$495&gt;=6))*ROW('CONTROL MASTER'!$S$2:$S$495))-(ROW('CONTROL MASTER'!#REF!)-1))))+1)))-1)*50+1,50))&amp;"_"&amp;INDEX('CONTROL MASTER'!$P$2:$P$495,(SUMPRODUCT((('CONTROL MASTER'!$S$2:$S$495=13)*('CONTROL MASTER'!$Z$2:$Z$495&lt;=3)*('CONTROL MASTER'!$AB$2:$AB$495&gt;=3)*('CONTROL MASTER'!$AA$2:$AA$495&lt;=6)*('CONTROL MASTER'!$AC$2:$AC$495&gt;=6))*ROW('CONTROL MASTER'!$S$2:$S$495))-(ROW('CONTROL MASTER'!#REF!)-1))),"")),"")</f>
        <v/>
      </c>
      <c r="H173" s="10" t="str">
        <f>IFERROR(IF(SUMPRODUCT((('CONTROL MASTER'!$S$2:$S$495=13)*('CONTROL MASTER'!$T$2:$T$495&lt;=3)*('CONTROL MASTER'!$V$2:$V$495&gt;=3)*('CONTROL MASTER'!$U$2:$U$495&lt;=7)*('CONTROL MASTER'!$W$2:$W$495&gt;=7))*ROW('CONTROL MASTER'!$S$2:$S$495))&gt;0,INDEX('CONTROL MASTER'!$X$2:$X$495,(SUMPRODUCT((('CONTROL MASTER'!$S$2:$S$495=13)*('CONTROL MASTER'!$T$2:$T$495&lt;=3)*('CONTROL MASTER'!$V$2:$V$495&gt;=3)*('CONTROL MASTER'!$U$2:$U$495&lt;=7)*('CONTROL MASTER'!$W$2:$W$495&gt;=7))*ROW('CONTROL MASTER'!$S$2:$S$495))-(ROW('CONTROL MASTER'!#REF!)-1)))&amp;TRIM(MID(SUBSTITUTE(SUBSTITUTE(INDEX('CONTROL MASTER'!$N$2:$N$495,(SUMPRODUCT((('CONTROL MASTER'!$S$2:$S$495=13)*('CONTROL MASTER'!$T$2:$T$495&lt;=3)*('CONTROL MASTER'!$V$2:$V$495&gt;=3)*('CONTROL MASTER'!$U$2:$U$495&lt;=7)*('CONTROL MASTER'!$W$2:$W$495&gt;=7))*ROW('CONTROL MASTER'!$S$2:$S$495))-(ROW('CONTROL MASTER'!#REF!)-1))),":",","),",",REPT(" ",50)),((((3-INDEX('CONTROL MASTER'!$T$2:$T$495,(SUMPRODUCT((('CONTROL MASTER'!$S$2:$S$495=13)*('CONTROL MASTER'!$T$2:$T$495&lt;=3)*('CONTROL MASTER'!$V$2:$V$495&gt;=3)*('CONTROL MASTER'!$U$2:$U$495&lt;=7)*('CONTROL MASTER'!$W$2:$W$495&gt;=7))*ROW('CONTROL MASTER'!$S$2:$S$495))-(ROW('CONTROL MASTER'!#REF!)-1))))*(INDEX('CONTROL MASTER'!$W$2:$W$495,(SUMPRODUCT((('CONTROL MASTER'!$S$2:$S$495=13)*('CONTROL MASTER'!$T$2:$T$495&lt;=3)*('CONTROL MASTER'!$V$2:$V$495&gt;=3)*('CONTROL MASTER'!$U$2:$U$495&lt;=7)*('CONTROL MASTER'!$W$2:$W$495&gt;=7))*ROW('CONTROL MASTER'!$S$2:$S$495))-(ROW('CONTROL MASTER'!#REF!)-1)))-INDEX('CONTROL MASTER'!$U$2:$U$495,(SUMPRODUCT((('CONTROL MASTER'!$S$2:$S$495=13)*('CONTROL MASTER'!$T$2:$T$495&lt;=3)*('CONTROL MASTER'!$V$2:$V$495&gt;=3)*('CONTROL MASTER'!$U$2:$U$495&lt;=7)*('CONTROL MASTER'!$W$2:$W$495&gt;=7))*ROW('CONTROL MASTER'!$S$2:$S$495))-(ROW('CONTROL MASTER'!#REF!)-1)))+1)+(7-INDEX('CONTROL MASTER'!$U$2:$U$495,(SUMPRODUCT((('CONTROL MASTER'!$S$2:$S$495=13)*('CONTROL MASTER'!$T$2:$T$495&lt;=3)*('CONTROL MASTER'!$V$2:$V$495&gt;=3)*('CONTROL MASTER'!$U$2:$U$495&lt;=7)*('CONTROL MASTER'!$W$2:$W$495&gt;=7))*ROW('CONTROL MASTER'!$S$2:$S$495))-(ROW('CONTROL MASTER'!#REF!)-1))))+1))-1)*50+1,50))&amp;"_"&amp;INDEX('CONTROL MASTER'!$P$2:$P$495,(SUMPRODUCT((('CONTROL MASTER'!$S$2:$S$495=13)*('CONTROL MASTER'!$T$2:$T$495&lt;=3)*('CONTROL MASTER'!$V$2:$V$495&gt;=3)*('CONTROL MASTER'!$U$2:$U$495&lt;=7)*('CONTROL MASTER'!$W$2:$W$495&gt;=7))*ROW('CONTROL MASTER'!$S$2:$S$495))-(ROW('CONTROL MASTER'!#REF!)-1))),IF(SUMPRODUCT((('CONTROL MASTER'!$S$2:$S$495=13)*('CONTROL MASTER'!$Z$2:$Z$495&lt;=3)*('CONTROL MASTER'!$AB$2:$AB$495&gt;=3)*('CONTROL MASTER'!$AA$2:$AA$495&lt;=7)*('CONTROL MASTER'!$AC$2:$AC$495&gt;=7))*ROW('CONTROL MASTER'!$S$2:$S$495))&gt;0,INDEX('CONTROL MASTER'!$X$2:$X$495,(SUMPRODUCT((('CONTROL MASTER'!$S$2:$S$495=13)*('CONTROL MASTER'!$Z$2:$Z$495&lt;=3)*('CONTROL MASTER'!$AB$2:$AB$495&gt;=3)*('CONTROL MASTER'!$AA$2:$AA$495&lt;=7)*('CONTROL MASTER'!$AC$2:$AC$495&gt;=7))*ROW('CONTROL MASTER'!$S$2:$S$495))-(ROW('CONTROL MASTER'!#REF!)-1)))&amp;TRIM(MID(SUBSTITUTE(SUBSTITUTE(INDEX('CONTROL MASTER'!$N$2:$N$495,(SUMPRODUCT((('CONTROL MASTER'!$S$2:$S$495=13)*('CONTROL MASTER'!$Z$2:$Z$495&lt;=3)*('CONTROL MASTER'!$AB$2:$AB$495&gt;=3)*('CONTROL MASTER'!$AA$2:$AA$495&lt;=7)*('CONTROL MASTER'!$AC$2:$AC$495&gt;=7))*ROW('CONTROL MASTER'!$S$2:$S$495))-(ROW('CONTROL MASTER'!#REF!)-1))),":",","),",",REPT(" ",50)),(((INDEX('CONTROL MASTER'!$Y$2:$Y$495,(SUMPRODUCT((('CONTROL MASTER'!$S$2:$S$495=13)*('CONTROL MASTER'!$Z$2:$Z$495&lt;=3)*('CONTROL MASTER'!$AB$2:$AB$495&gt;=3)*('CONTROL MASTER'!$AA$2:$AA$495&lt;=7)*('CONTROL MASTER'!$AC$2:$AC$495&gt;=7))*ROW('CONTROL MASTER'!$S$2:$S$495))-(ROW('CONTROL MASTER'!#REF!)-1)))+((3-INDEX('CONTROL MASTER'!$Z$2:$Z$495,(SUMPRODUCT((('CONTROL MASTER'!$S$2:$S$495=13)*('CONTROL MASTER'!$Z$2:$Z$495&lt;=3)*('CONTROL MASTER'!$AB$2:$AB$495&gt;=3)*('CONTROL MASTER'!$AA$2:$AA$495&lt;=7)*('CONTROL MASTER'!$AC$2:$AC$495&gt;=7))*ROW('CONTROL MASTER'!$S$2:$S$495))-(ROW('CONTROL MASTER'!#REF!)-1))))*(INDEX('CONTROL MASTER'!$AC$2:$AC$495,(SUMPRODUCT((('CONTROL MASTER'!$S$2:$S$495=13)*('CONTROL MASTER'!$Z$2:$Z$495&lt;=3)*('CONTROL MASTER'!$AB$2:$AB$495&gt;=3)*('CONTROL MASTER'!$AA$2:$AA$495&lt;=7)*('CONTROL MASTER'!$AC$2:$AC$495&gt;=7))*ROW('CONTROL MASTER'!$S$2:$S$495))-(ROW('CONTROL MASTER'!#REF!)-1)))-INDEX('CONTROL MASTER'!$AA$2:$AA$495,(SUMPRODUCT((('CONTROL MASTER'!$S$2:$S$495=13)*('CONTROL MASTER'!$Z$2:$Z$495&lt;=3)*('CONTROL MASTER'!$AB$2:$AB$495&gt;=3)*('CONTROL MASTER'!$AA$2:$AA$495&lt;=7)*('CONTROL MASTER'!$AC$2:$AC$495&gt;=7))*ROW('CONTROL MASTER'!$S$2:$S$495))-(ROW('CONTROL MASTER'!#REF!)-1)))+1)+(7-INDEX('CONTROL MASTER'!$AA$2:$AA$495,(SUMPRODUCT((('CONTROL MASTER'!$S$2:$S$495=13)*('CONTROL MASTER'!$Z$2:$Z$495&lt;=3)*('CONTROL MASTER'!$AB$2:$AB$495&gt;=3)*('CONTROL MASTER'!$AA$2:$AA$495&lt;=7)*('CONTROL MASTER'!$AC$2:$AC$495&gt;=7))*ROW('CONTROL MASTER'!$S$2:$S$495))-(ROW('CONTROL MASTER'!#REF!)-1))))+1)))-1)*50+1,50))&amp;"_"&amp;INDEX('CONTROL MASTER'!$P$2:$P$495,(SUMPRODUCT((('CONTROL MASTER'!$S$2:$S$495=13)*('CONTROL MASTER'!$Z$2:$Z$495&lt;=3)*('CONTROL MASTER'!$AB$2:$AB$495&gt;=3)*('CONTROL MASTER'!$AA$2:$AA$495&lt;=7)*('CONTROL MASTER'!$AC$2:$AC$495&gt;=7))*ROW('CONTROL MASTER'!$S$2:$S$495))-(ROW('CONTROL MASTER'!#REF!)-1))),"")),"")</f>
        <v/>
      </c>
      <c r="I173" s="10" t="str">
        <f>IFERROR(IF(SUMPRODUCT((('CONTROL MASTER'!$S$2:$S$495=13)*('CONTROL MASTER'!$T$2:$T$495&lt;=3)*('CONTROL MASTER'!$V$2:$V$495&gt;=3)*('CONTROL MASTER'!$U$2:$U$495&lt;=8)*('CONTROL MASTER'!$W$2:$W$495&gt;=8))*ROW('CONTROL MASTER'!$S$2:$S$495))&gt;0,INDEX('CONTROL MASTER'!$X$2:$X$495,(SUMPRODUCT((('CONTROL MASTER'!$S$2:$S$495=13)*('CONTROL MASTER'!$T$2:$T$495&lt;=3)*('CONTROL MASTER'!$V$2:$V$495&gt;=3)*('CONTROL MASTER'!$U$2:$U$495&lt;=8)*('CONTROL MASTER'!$W$2:$W$495&gt;=8))*ROW('CONTROL MASTER'!$S$2:$S$495))-(ROW('CONTROL MASTER'!#REF!)-1)))&amp;TRIM(MID(SUBSTITUTE(SUBSTITUTE(INDEX('CONTROL MASTER'!$N$2:$N$495,(SUMPRODUCT((('CONTROL MASTER'!$S$2:$S$495=13)*('CONTROL MASTER'!$T$2:$T$495&lt;=3)*('CONTROL MASTER'!$V$2:$V$495&gt;=3)*('CONTROL MASTER'!$U$2:$U$495&lt;=8)*('CONTROL MASTER'!$W$2:$W$495&gt;=8))*ROW('CONTROL MASTER'!$S$2:$S$495))-(ROW('CONTROL MASTER'!#REF!)-1))),":",","),",",REPT(" ",50)),((((3-INDEX('CONTROL MASTER'!$T$2:$T$495,(SUMPRODUCT((('CONTROL MASTER'!$S$2:$S$495=13)*('CONTROL MASTER'!$T$2:$T$495&lt;=3)*('CONTROL MASTER'!$V$2:$V$495&gt;=3)*('CONTROL MASTER'!$U$2:$U$495&lt;=8)*('CONTROL MASTER'!$W$2:$W$495&gt;=8))*ROW('CONTROL MASTER'!$S$2:$S$495))-(ROW('CONTROL MASTER'!#REF!)-1))))*(INDEX('CONTROL MASTER'!$W$2:$W$495,(SUMPRODUCT((('CONTROL MASTER'!$S$2:$S$495=13)*('CONTROL MASTER'!$T$2:$T$495&lt;=3)*('CONTROL MASTER'!$V$2:$V$495&gt;=3)*('CONTROL MASTER'!$U$2:$U$495&lt;=8)*('CONTROL MASTER'!$W$2:$W$495&gt;=8))*ROW('CONTROL MASTER'!$S$2:$S$495))-(ROW('CONTROL MASTER'!#REF!)-1)))-INDEX('CONTROL MASTER'!$U$2:$U$495,(SUMPRODUCT((('CONTROL MASTER'!$S$2:$S$495=13)*('CONTROL MASTER'!$T$2:$T$495&lt;=3)*('CONTROL MASTER'!$V$2:$V$495&gt;=3)*('CONTROL MASTER'!$U$2:$U$495&lt;=8)*('CONTROL MASTER'!$W$2:$W$495&gt;=8))*ROW('CONTROL MASTER'!$S$2:$S$495))-(ROW('CONTROL MASTER'!#REF!)-1)))+1)+(8-INDEX('CONTROL MASTER'!$U$2:$U$495,(SUMPRODUCT((('CONTROL MASTER'!$S$2:$S$495=13)*('CONTROL MASTER'!$T$2:$T$495&lt;=3)*('CONTROL MASTER'!$V$2:$V$495&gt;=3)*('CONTROL MASTER'!$U$2:$U$495&lt;=8)*('CONTROL MASTER'!$W$2:$W$495&gt;=8))*ROW('CONTROL MASTER'!$S$2:$S$495))-(ROW('CONTROL MASTER'!#REF!)-1))))+1))-1)*50+1,50))&amp;"_"&amp;INDEX('CONTROL MASTER'!$P$2:$P$495,(SUMPRODUCT((('CONTROL MASTER'!$S$2:$S$495=13)*('CONTROL MASTER'!$T$2:$T$495&lt;=3)*('CONTROL MASTER'!$V$2:$V$495&gt;=3)*('CONTROL MASTER'!$U$2:$U$495&lt;=8)*('CONTROL MASTER'!$W$2:$W$495&gt;=8))*ROW('CONTROL MASTER'!$S$2:$S$495))-(ROW('CONTROL MASTER'!#REF!)-1))),IF(SUMPRODUCT((('CONTROL MASTER'!$S$2:$S$495=13)*('CONTROL MASTER'!$Z$2:$Z$495&lt;=3)*('CONTROL MASTER'!$AB$2:$AB$495&gt;=3)*('CONTROL MASTER'!$AA$2:$AA$495&lt;=8)*('CONTROL MASTER'!$AC$2:$AC$495&gt;=8))*ROW('CONTROL MASTER'!$S$2:$S$495))&gt;0,INDEX('CONTROL MASTER'!$X$2:$X$495,(SUMPRODUCT((('CONTROL MASTER'!$S$2:$S$495=13)*('CONTROL MASTER'!$Z$2:$Z$495&lt;=3)*('CONTROL MASTER'!$AB$2:$AB$495&gt;=3)*('CONTROL MASTER'!$AA$2:$AA$495&lt;=8)*('CONTROL MASTER'!$AC$2:$AC$495&gt;=8))*ROW('CONTROL MASTER'!$S$2:$S$495))-(ROW('CONTROL MASTER'!#REF!)-1)))&amp;TRIM(MID(SUBSTITUTE(SUBSTITUTE(INDEX('CONTROL MASTER'!$N$2:$N$495,(SUMPRODUCT((('CONTROL MASTER'!$S$2:$S$495=13)*('CONTROL MASTER'!$Z$2:$Z$495&lt;=3)*('CONTROL MASTER'!$AB$2:$AB$495&gt;=3)*('CONTROL MASTER'!$AA$2:$AA$495&lt;=8)*('CONTROL MASTER'!$AC$2:$AC$495&gt;=8))*ROW('CONTROL MASTER'!$S$2:$S$495))-(ROW('CONTROL MASTER'!#REF!)-1))),":",","),",",REPT(" ",50)),(((INDEX('CONTROL MASTER'!$Y$2:$Y$495,(SUMPRODUCT((('CONTROL MASTER'!$S$2:$S$495=13)*('CONTROL MASTER'!$Z$2:$Z$495&lt;=3)*('CONTROL MASTER'!$AB$2:$AB$495&gt;=3)*('CONTROL MASTER'!$AA$2:$AA$495&lt;=8)*('CONTROL MASTER'!$AC$2:$AC$495&gt;=8))*ROW('CONTROL MASTER'!$S$2:$S$495))-(ROW('CONTROL MASTER'!#REF!)-1)))+((3-INDEX('CONTROL MASTER'!$Z$2:$Z$495,(SUMPRODUCT((('CONTROL MASTER'!$S$2:$S$495=13)*('CONTROL MASTER'!$Z$2:$Z$495&lt;=3)*('CONTROL MASTER'!$AB$2:$AB$495&gt;=3)*('CONTROL MASTER'!$AA$2:$AA$495&lt;=8)*('CONTROL MASTER'!$AC$2:$AC$495&gt;=8))*ROW('CONTROL MASTER'!$S$2:$S$495))-(ROW('CONTROL MASTER'!#REF!)-1))))*(INDEX('CONTROL MASTER'!$AC$2:$AC$495,(SUMPRODUCT((('CONTROL MASTER'!$S$2:$S$495=13)*('CONTROL MASTER'!$Z$2:$Z$495&lt;=3)*('CONTROL MASTER'!$AB$2:$AB$495&gt;=3)*('CONTROL MASTER'!$AA$2:$AA$495&lt;=8)*('CONTROL MASTER'!$AC$2:$AC$495&gt;=8))*ROW('CONTROL MASTER'!$S$2:$S$495))-(ROW('CONTROL MASTER'!#REF!)-1)))-INDEX('CONTROL MASTER'!$AA$2:$AA$495,(SUMPRODUCT((('CONTROL MASTER'!$S$2:$S$495=13)*('CONTROL MASTER'!$Z$2:$Z$495&lt;=3)*('CONTROL MASTER'!$AB$2:$AB$495&gt;=3)*('CONTROL MASTER'!$AA$2:$AA$495&lt;=8)*('CONTROL MASTER'!$AC$2:$AC$495&gt;=8))*ROW('CONTROL MASTER'!$S$2:$S$495))-(ROW('CONTROL MASTER'!#REF!)-1)))+1)+(8-INDEX('CONTROL MASTER'!$AA$2:$AA$495,(SUMPRODUCT((('CONTROL MASTER'!$S$2:$S$495=13)*('CONTROL MASTER'!$Z$2:$Z$495&lt;=3)*('CONTROL MASTER'!$AB$2:$AB$495&gt;=3)*('CONTROL MASTER'!$AA$2:$AA$495&lt;=8)*('CONTROL MASTER'!$AC$2:$AC$495&gt;=8))*ROW('CONTROL MASTER'!$S$2:$S$495))-(ROW('CONTROL MASTER'!#REF!)-1))))+1)))-1)*50+1,50))&amp;"_"&amp;INDEX('CONTROL MASTER'!$P$2:$P$495,(SUMPRODUCT((('CONTROL MASTER'!$S$2:$S$495=13)*('CONTROL MASTER'!$Z$2:$Z$495&lt;=3)*('CONTROL MASTER'!$AB$2:$AB$495&gt;=3)*('CONTROL MASTER'!$AA$2:$AA$495&lt;=8)*('CONTROL MASTER'!$AC$2:$AC$495&gt;=8))*ROW('CONTROL MASTER'!$S$2:$S$495))-(ROW('CONTROL MASTER'!#REF!)-1))),"")),"")</f>
        <v/>
      </c>
      <c r="J173" s="10" t="str">
        <f>IFERROR(IF(SUMPRODUCT((('CONTROL MASTER'!$S$2:$S$495=13)*('CONTROL MASTER'!$T$2:$T$495&lt;=3)*('CONTROL MASTER'!$V$2:$V$495&gt;=3)*('CONTROL MASTER'!$U$2:$U$495&lt;=9)*('CONTROL MASTER'!$W$2:$W$495&gt;=9))*ROW('CONTROL MASTER'!$S$2:$S$495))&gt;0,INDEX('CONTROL MASTER'!$X$2:$X$495,(SUMPRODUCT((('CONTROL MASTER'!$S$2:$S$495=13)*('CONTROL MASTER'!$T$2:$T$495&lt;=3)*('CONTROL MASTER'!$V$2:$V$495&gt;=3)*('CONTROL MASTER'!$U$2:$U$495&lt;=9)*('CONTROL MASTER'!$W$2:$W$495&gt;=9))*ROW('CONTROL MASTER'!$S$2:$S$495))-(ROW('CONTROL MASTER'!#REF!)-1)))&amp;TRIM(MID(SUBSTITUTE(SUBSTITUTE(INDEX('CONTROL MASTER'!$N$2:$N$495,(SUMPRODUCT((('CONTROL MASTER'!$S$2:$S$495=13)*('CONTROL MASTER'!$T$2:$T$495&lt;=3)*('CONTROL MASTER'!$V$2:$V$495&gt;=3)*('CONTROL MASTER'!$U$2:$U$495&lt;=9)*('CONTROL MASTER'!$W$2:$W$495&gt;=9))*ROW('CONTROL MASTER'!$S$2:$S$495))-(ROW('CONTROL MASTER'!#REF!)-1))),":",","),",",REPT(" ",50)),((((3-INDEX('CONTROL MASTER'!$T$2:$T$495,(SUMPRODUCT((('CONTROL MASTER'!$S$2:$S$495=13)*('CONTROL MASTER'!$T$2:$T$495&lt;=3)*('CONTROL MASTER'!$V$2:$V$495&gt;=3)*('CONTROL MASTER'!$U$2:$U$495&lt;=9)*('CONTROL MASTER'!$W$2:$W$495&gt;=9))*ROW('CONTROL MASTER'!$S$2:$S$495))-(ROW('CONTROL MASTER'!#REF!)-1))))*(INDEX('CONTROL MASTER'!$W$2:$W$495,(SUMPRODUCT((('CONTROL MASTER'!$S$2:$S$495=13)*('CONTROL MASTER'!$T$2:$T$495&lt;=3)*('CONTROL MASTER'!$V$2:$V$495&gt;=3)*('CONTROL MASTER'!$U$2:$U$495&lt;=9)*('CONTROL MASTER'!$W$2:$W$495&gt;=9))*ROW('CONTROL MASTER'!$S$2:$S$495))-(ROW('CONTROL MASTER'!#REF!)-1)))-INDEX('CONTROL MASTER'!$U$2:$U$495,(SUMPRODUCT((('CONTROL MASTER'!$S$2:$S$495=13)*('CONTROL MASTER'!$T$2:$T$495&lt;=3)*('CONTROL MASTER'!$V$2:$V$495&gt;=3)*('CONTROL MASTER'!$U$2:$U$495&lt;=9)*('CONTROL MASTER'!$W$2:$W$495&gt;=9))*ROW('CONTROL MASTER'!$S$2:$S$495))-(ROW('CONTROL MASTER'!#REF!)-1)))+1)+(9-INDEX('CONTROL MASTER'!$U$2:$U$495,(SUMPRODUCT((('CONTROL MASTER'!$S$2:$S$495=13)*('CONTROL MASTER'!$T$2:$T$495&lt;=3)*('CONTROL MASTER'!$V$2:$V$495&gt;=3)*('CONTROL MASTER'!$U$2:$U$495&lt;=9)*('CONTROL MASTER'!$W$2:$W$495&gt;=9))*ROW('CONTROL MASTER'!$S$2:$S$495))-(ROW('CONTROL MASTER'!#REF!)-1))))+1))-1)*50+1,50))&amp;"_"&amp;INDEX('CONTROL MASTER'!$P$2:$P$495,(SUMPRODUCT((('CONTROL MASTER'!$S$2:$S$495=13)*('CONTROL MASTER'!$T$2:$T$495&lt;=3)*('CONTROL MASTER'!$V$2:$V$495&gt;=3)*('CONTROL MASTER'!$U$2:$U$495&lt;=9)*('CONTROL MASTER'!$W$2:$W$495&gt;=9))*ROW('CONTROL MASTER'!$S$2:$S$495))-(ROW('CONTROL MASTER'!#REF!)-1))),IF(SUMPRODUCT((('CONTROL MASTER'!$S$2:$S$495=13)*('CONTROL MASTER'!$Z$2:$Z$495&lt;=3)*('CONTROL MASTER'!$AB$2:$AB$495&gt;=3)*('CONTROL MASTER'!$AA$2:$AA$495&lt;=9)*('CONTROL MASTER'!$AC$2:$AC$495&gt;=9))*ROW('CONTROL MASTER'!$S$2:$S$495))&gt;0,INDEX('CONTROL MASTER'!$X$2:$X$495,(SUMPRODUCT((('CONTROL MASTER'!$S$2:$S$495=13)*('CONTROL MASTER'!$Z$2:$Z$495&lt;=3)*('CONTROL MASTER'!$AB$2:$AB$495&gt;=3)*('CONTROL MASTER'!$AA$2:$AA$495&lt;=9)*('CONTROL MASTER'!$AC$2:$AC$495&gt;=9))*ROW('CONTROL MASTER'!$S$2:$S$495))-(ROW('CONTROL MASTER'!#REF!)-1)))&amp;TRIM(MID(SUBSTITUTE(SUBSTITUTE(INDEX('CONTROL MASTER'!$N$2:$N$495,(SUMPRODUCT((('CONTROL MASTER'!$S$2:$S$495=13)*('CONTROL MASTER'!$Z$2:$Z$495&lt;=3)*('CONTROL MASTER'!$AB$2:$AB$495&gt;=3)*('CONTROL MASTER'!$AA$2:$AA$495&lt;=9)*('CONTROL MASTER'!$AC$2:$AC$495&gt;=9))*ROW('CONTROL MASTER'!$S$2:$S$495))-(ROW('CONTROL MASTER'!#REF!)-1))),":",","),",",REPT(" ",50)),(((INDEX('CONTROL MASTER'!$Y$2:$Y$495,(SUMPRODUCT((('CONTROL MASTER'!$S$2:$S$495=13)*('CONTROL MASTER'!$Z$2:$Z$495&lt;=3)*('CONTROL MASTER'!$AB$2:$AB$495&gt;=3)*('CONTROL MASTER'!$AA$2:$AA$495&lt;=9)*('CONTROL MASTER'!$AC$2:$AC$495&gt;=9))*ROW('CONTROL MASTER'!$S$2:$S$495))-(ROW('CONTROL MASTER'!#REF!)-1)))+((3-INDEX('CONTROL MASTER'!$Z$2:$Z$495,(SUMPRODUCT((('CONTROL MASTER'!$S$2:$S$495=13)*('CONTROL MASTER'!$Z$2:$Z$495&lt;=3)*('CONTROL MASTER'!$AB$2:$AB$495&gt;=3)*('CONTROL MASTER'!$AA$2:$AA$495&lt;=9)*('CONTROL MASTER'!$AC$2:$AC$495&gt;=9))*ROW('CONTROL MASTER'!$S$2:$S$495))-(ROW('CONTROL MASTER'!#REF!)-1))))*(INDEX('CONTROL MASTER'!$AC$2:$AC$495,(SUMPRODUCT((('CONTROL MASTER'!$S$2:$S$495=13)*('CONTROL MASTER'!$Z$2:$Z$495&lt;=3)*('CONTROL MASTER'!$AB$2:$AB$495&gt;=3)*('CONTROL MASTER'!$AA$2:$AA$495&lt;=9)*('CONTROL MASTER'!$AC$2:$AC$495&gt;=9))*ROW('CONTROL MASTER'!$S$2:$S$495))-(ROW('CONTROL MASTER'!#REF!)-1)))-INDEX('CONTROL MASTER'!$AA$2:$AA$495,(SUMPRODUCT((('CONTROL MASTER'!$S$2:$S$495=13)*('CONTROL MASTER'!$Z$2:$Z$495&lt;=3)*('CONTROL MASTER'!$AB$2:$AB$495&gt;=3)*('CONTROL MASTER'!$AA$2:$AA$495&lt;=9)*('CONTROL MASTER'!$AC$2:$AC$495&gt;=9))*ROW('CONTROL MASTER'!$S$2:$S$495))-(ROW('CONTROL MASTER'!#REF!)-1)))+1)+(9-INDEX('CONTROL MASTER'!$AA$2:$AA$495,(SUMPRODUCT((('CONTROL MASTER'!$S$2:$S$495=13)*('CONTROL MASTER'!$Z$2:$Z$495&lt;=3)*('CONTROL MASTER'!$AB$2:$AB$495&gt;=3)*('CONTROL MASTER'!$AA$2:$AA$495&lt;=9)*('CONTROL MASTER'!$AC$2:$AC$495&gt;=9))*ROW('CONTROL MASTER'!$S$2:$S$495))-(ROW('CONTROL MASTER'!#REF!)-1))))+1)))-1)*50+1,50))&amp;"_"&amp;INDEX('CONTROL MASTER'!$P$2:$P$495,(SUMPRODUCT((('CONTROL MASTER'!$S$2:$S$495=13)*('CONTROL MASTER'!$Z$2:$Z$495&lt;=3)*('CONTROL MASTER'!$AB$2:$AB$495&gt;=3)*('CONTROL MASTER'!$AA$2:$AA$495&lt;=9)*('CONTROL MASTER'!$AC$2:$AC$495&gt;=9))*ROW('CONTROL MASTER'!$S$2:$S$495))-(ROW('CONTROL MASTER'!#REF!)-1))),"")),"")</f>
        <v/>
      </c>
      <c r="K173" s="10" t="str">
        <f>IFERROR(IF(SUMPRODUCT((('CONTROL MASTER'!$S$2:$S$495=13)*('CONTROL MASTER'!$T$2:$T$495&lt;=3)*('CONTROL MASTER'!$V$2:$V$495&gt;=3)*('CONTROL MASTER'!$U$2:$U$495&lt;=10)*('CONTROL MASTER'!$W$2:$W$495&gt;=10))*ROW('CONTROL MASTER'!$S$2:$S$495))&gt;0,INDEX('CONTROL MASTER'!$X$2:$X$495,(SUMPRODUCT((('CONTROL MASTER'!$S$2:$S$495=13)*('CONTROL MASTER'!$T$2:$T$495&lt;=3)*('CONTROL MASTER'!$V$2:$V$495&gt;=3)*('CONTROL MASTER'!$U$2:$U$495&lt;=10)*('CONTROL MASTER'!$W$2:$W$495&gt;=10))*ROW('CONTROL MASTER'!$S$2:$S$495))-(ROW('CONTROL MASTER'!#REF!)-1)))&amp;TRIM(MID(SUBSTITUTE(SUBSTITUTE(INDEX('CONTROL MASTER'!$N$2:$N$495,(SUMPRODUCT((('CONTROL MASTER'!$S$2:$S$495=13)*('CONTROL MASTER'!$T$2:$T$495&lt;=3)*('CONTROL MASTER'!$V$2:$V$495&gt;=3)*('CONTROL MASTER'!$U$2:$U$495&lt;=10)*('CONTROL MASTER'!$W$2:$W$495&gt;=10))*ROW('CONTROL MASTER'!$S$2:$S$495))-(ROW('CONTROL MASTER'!#REF!)-1))),":",","),",",REPT(" ",50)),((((3-INDEX('CONTROL MASTER'!$T$2:$T$495,(SUMPRODUCT((('CONTROL MASTER'!$S$2:$S$495=13)*('CONTROL MASTER'!$T$2:$T$495&lt;=3)*('CONTROL MASTER'!$V$2:$V$495&gt;=3)*('CONTROL MASTER'!$U$2:$U$495&lt;=10)*('CONTROL MASTER'!$W$2:$W$495&gt;=10))*ROW('CONTROL MASTER'!$S$2:$S$495))-(ROW('CONTROL MASTER'!#REF!)-1))))*(INDEX('CONTROL MASTER'!$W$2:$W$495,(SUMPRODUCT((('CONTROL MASTER'!$S$2:$S$495=13)*('CONTROL MASTER'!$T$2:$T$495&lt;=3)*('CONTROL MASTER'!$V$2:$V$495&gt;=3)*('CONTROL MASTER'!$U$2:$U$495&lt;=10)*('CONTROL MASTER'!$W$2:$W$495&gt;=10))*ROW('CONTROL MASTER'!$S$2:$S$495))-(ROW('CONTROL MASTER'!#REF!)-1)))-INDEX('CONTROL MASTER'!$U$2:$U$495,(SUMPRODUCT((('CONTROL MASTER'!$S$2:$S$495=13)*('CONTROL MASTER'!$T$2:$T$495&lt;=3)*('CONTROL MASTER'!$V$2:$V$495&gt;=3)*('CONTROL MASTER'!$U$2:$U$495&lt;=10)*('CONTROL MASTER'!$W$2:$W$495&gt;=10))*ROW('CONTROL MASTER'!$S$2:$S$495))-(ROW('CONTROL MASTER'!#REF!)-1)))+1)+(10-INDEX('CONTROL MASTER'!$U$2:$U$495,(SUMPRODUCT((('CONTROL MASTER'!$S$2:$S$495=13)*('CONTROL MASTER'!$T$2:$T$495&lt;=3)*('CONTROL MASTER'!$V$2:$V$495&gt;=3)*('CONTROL MASTER'!$U$2:$U$495&lt;=10)*('CONTROL MASTER'!$W$2:$W$495&gt;=10))*ROW('CONTROL MASTER'!$S$2:$S$495))-(ROW('CONTROL MASTER'!#REF!)-1))))+1))-1)*50+1,50))&amp;"_"&amp;INDEX('CONTROL MASTER'!$P$2:$P$495,(SUMPRODUCT((('CONTROL MASTER'!$S$2:$S$495=13)*('CONTROL MASTER'!$T$2:$T$495&lt;=3)*('CONTROL MASTER'!$V$2:$V$495&gt;=3)*('CONTROL MASTER'!$U$2:$U$495&lt;=10)*('CONTROL MASTER'!$W$2:$W$495&gt;=10))*ROW('CONTROL MASTER'!$S$2:$S$495))-(ROW('CONTROL MASTER'!#REF!)-1))),IF(SUMPRODUCT((('CONTROL MASTER'!$S$2:$S$495=13)*('CONTROL MASTER'!$Z$2:$Z$495&lt;=3)*('CONTROL MASTER'!$AB$2:$AB$495&gt;=3)*('CONTROL MASTER'!$AA$2:$AA$495&lt;=10)*('CONTROL MASTER'!$AC$2:$AC$495&gt;=10))*ROW('CONTROL MASTER'!$S$2:$S$495))&gt;0,INDEX('CONTROL MASTER'!$X$2:$X$495,(SUMPRODUCT((('CONTROL MASTER'!$S$2:$S$495=13)*('CONTROL MASTER'!$Z$2:$Z$495&lt;=3)*('CONTROL MASTER'!$AB$2:$AB$495&gt;=3)*('CONTROL MASTER'!$AA$2:$AA$495&lt;=10)*('CONTROL MASTER'!$AC$2:$AC$495&gt;=10))*ROW('CONTROL MASTER'!$S$2:$S$495))-(ROW('CONTROL MASTER'!#REF!)-1)))&amp;TRIM(MID(SUBSTITUTE(SUBSTITUTE(INDEX('CONTROL MASTER'!$N$2:$N$495,(SUMPRODUCT((('CONTROL MASTER'!$S$2:$S$495=13)*('CONTROL MASTER'!$Z$2:$Z$495&lt;=3)*('CONTROL MASTER'!$AB$2:$AB$495&gt;=3)*('CONTROL MASTER'!$AA$2:$AA$495&lt;=10)*('CONTROL MASTER'!$AC$2:$AC$495&gt;=10))*ROW('CONTROL MASTER'!$S$2:$S$495))-(ROW('CONTROL MASTER'!#REF!)-1))),":",","),",",REPT(" ",50)),(((INDEX('CONTROL MASTER'!$Y$2:$Y$495,(SUMPRODUCT((('CONTROL MASTER'!$S$2:$S$495=13)*('CONTROL MASTER'!$Z$2:$Z$495&lt;=3)*('CONTROL MASTER'!$AB$2:$AB$495&gt;=3)*('CONTROL MASTER'!$AA$2:$AA$495&lt;=10)*('CONTROL MASTER'!$AC$2:$AC$495&gt;=10))*ROW('CONTROL MASTER'!$S$2:$S$495))-(ROW('CONTROL MASTER'!#REF!)-1)))+((3-INDEX('CONTROL MASTER'!$Z$2:$Z$495,(SUMPRODUCT((('CONTROL MASTER'!$S$2:$S$495=13)*('CONTROL MASTER'!$Z$2:$Z$495&lt;=3)*('CONTROL MASTER'!$AB$2:$AB$495&gt;=3)*('CONTROL MASTER'!$AA$2:$AA$495&lt;=10)*('CONTROL MASTER'!$AC$2:$AC$495&gt;=10))*ROW('CONTROL MASTER'!$S$2:$S$495))-(ROW('CONTROL MASTER'!#REF!)-1))))*(INDEX('CONTROL MASTER'!$AC$2:$AC$495,(SUMPRODUCT((('CONTROL MASTER'!$S$2:$S$495=13)*('CONTROL MASTER'!$Z$2:$Z$495&lt;=3)*('CONTROL MASTER'!$AB$2:$AB$495&gt;=3)*('CONTROL MASTER'!$AA$2:$AA$495&lt;=10)*('CONTROL MASTER'!$AC$2:$AC$495&gt;=10))*ROW('CONTROL MASTER'!$S$2:$S$495))-(ROW('CONTROL MASTER'!#REF!)-1)))-INDEX('CONTROL MASTER'!$AA$2:$AA$495,(SUMPRODUCT((('CONTROL MASTER'!$S$2:$S$495=13)*('CONTROL MASTER'!$Z$2:$Z$495&lt;=3)*('CONTROL MASTER'!$AB$2:$AB$495&gt;=3)*('CONTROL MASTER'!$AA$2:$AA$495&lt;=10)*('CONTROL MASTER'!$AC$2:$AC$495&gt;=10))*ROW('CONTROL MASTER'!$S$2:$S$495))-(ROW('CONTROL MASTER'!#REF!)-1)))+1)+(10-INDEX('CONTROL MASTER'!$AA$2:$AA$495,(SUMPRODUCT((('CONTROL MASTER'!$S$2:$S$495=13)*('CONTROL MASTER'!$Z$2:$Z$495&lt;=3)*('CONTROL MASTER'!$AB$2:$AB$495&gt;=3)*('CONTROL MASTER'!$AA$2:$AA$495&lt;=10)*('CONTROL MASTER'!$AC$2:$AC$495&gt;=10))*ROW('CONTROL MASTER'!$S$2:$S$495))-(ROW('CONTROL MASTER'!#REF!)-1))))+1)))-1)*50+1,50))&amp;"_"&amp;INDEX('CONTROL MASTER'!$P$2:$P$495,(SUMPRODUCT((('CONTROL MASTER'!$S$2:$S$495=13)*('CONTROL MASTER'!$Z$2:$Z$495&lt;=3)*('CONTROL MASTER'!$AB$2:$AB$495&gt;=3)*('CONTROL MASTER'!$AA$2:$AA$495&lt;=10)*('CONTROL MASTER'!$AC$2:$AC$495&gt;=10))*ROW('CONTROL MASTER'!$S$2:$S$495))-(ROW('CONTROL MASTER'!#REF!)-1))),"")),"")</f>
        <v/>
      </c>
    </row>
    <row r="174" spans="1:11" ht="15" customHeight="1" x14ac:dyDescent="0.35">
      <c r="A174" s="8" t="s">
        <v>31</v>
      </c>
      <c r="B174" s="10" t="str">
        <f>IFERROR(IF(SUMPRODUCT((('CONTROL MASTER'!$S$2:$S$495=13)*('CONTROL MASTER'!$T$2:$T$495&lt;=4)*('CONTROL MASTER'!$V$2:$V$495&gt;=4)*('CONTROL MASTER'!$U$2:$U$495&lt;=1)*('CONTROL MASTER'!$W$2:$W$495&gt;=1))*ROW('CONTROL MASTER'!$S$2:$S$495))&gt;0,INDEX('CONTROL MASTER'!$X$2:$X$495,(SUMPRODUCT((('CONTROL MASTER'!$S$2:$S$495=13)*('CONTROL MASTER'!$T$2:$T$495&lt;=4)*('CONTROL MASTER'!$V$2:$V$495&gt;=4)*('CONTROL MASTER'!$U$2:$U$495&lt;=1)*('CONTROL MASTER'!$W$2:$W$495&gt;=1))*ROW('CONTROL MASTER'!$S$2:$S$495))-(ROW('CONTROL MASTER'!#REF!)-1)))&amp;TRIM(MID(SUBSTITUTE(SUBSTITUTE(INDEX('CONTROL MASTER'!$N$2:$N$495,(SUMPRODUCT((('CONTROL MASTER'!$S$2:$S$495=13)*('CONTROL MASTER'!$T$2:$T$495&lt;=4)*('CONTROL MASTER'!$V$2:$V$495&gt;=4)*('CONTROL MASTER'!$U$2:$U$495&lt;=1)*('CONTROL MASTER'!$W$2:$W$495&gt;=1))*ROW('CONTROL MASTER'!$S$2:$S$495))-(ROW('CONTROL MASTER'!#REF!)-1))),":",","),",",REPT(" ",50)),((((4-INDEX('CONTROL MASTER'!$T$2:$T$495,(SUMPRODUCT((('CONTROL MASTER'!$S$2:$S$495=13)*('CONTROL MASTER'!$T$2:$T$495&lt;=4)*('CONTROL MASTER'!$V$2:$V$495&gt;=4)*('CONTROL MASTER'!$U$2:$U$495&lt;=1)*('CONTROL MASTER'!$W$2:$W$495&gt;=1))*ROW('CONTROL MASTER'!$S$2:$S$495))-(ROW('CONTROL MASTER'!#REF!)-1))))*(INDEX('CONTROL MASTER'!$W$2:$W$495,(SUMPRODUCT((('CONTROL MASTER'!$S$2:$S$495=13)*('CONTROL MASTER'!$T$2:$T$495&lt;=4)*('CONTROL MASTER'!$V$2:$V$495&gt;=4)*('CONTROL MASTER'!$U$2:$U$495&lt;=1)*('CONTROL MASTER'!$W$2:$W$495&gt;=1))*ROW('CONTROL MASTER'!$S$2:$S$495))-(ROW('CONTROL MASTER'!#REF!)-1)))-INDEX('CONTROL MASTER'!$U$2:$U$495,(SUMPRODUCT((('CONTROL MASTER'!$S$2:$S$495=13)*('CONTROL MASTER'!$T$2:$T$495&lt;=4)*('CONTROL MASTER'!$V$2:$V$495&gt;=4)*('CONTROL MASTER'!$U$2:$U$495&lt;=1)*('CONTROL MASTER'!$W$2:$W$495&gt;=1))*ROW('CONTROL MASTER'!$S$2:$S$495))-(ROW('CONTROL MASTER'!#REF!)-1)))+1)+(1-INDEX('CONTROL MASTER'!$U$2:$U$495,(SUMPRODUCT((('CONTROL MASTER'!$S$2:$S$495=13)*('CONTROL MASTER'!$T$2:$T$495&lt;=4)*('CONTROL MASTER'!$V$2:$V$495&gt;=4)*('CONTROL MASTER'!$U$2:$U$495&lt;=1)*('CONTROL MASTER'!$W$2:$W$495&gt;=1))*ROW('CONTROL MASTER'!$S$2:$S$495))-(ROW('CONTROL MASTER'!#REF!)-1))))+1))-1)*50+1,50))&amp;"_"&amp;INDEX('CONTROL MASTER'!$P$2:$P$495,(SUMPRODUCT((('CONTROL MASTER'!$S$2:$S$495=13)*('CONTROL MASTER'!$T$2:$T$495&lt;=4)*('CONTROL MASTER'!$V$2:$V$495&gt;=4)*('CONTROL MASTER'!$U$2:$U$495&lt;=1)*('CONTROL MASTER'!$W$2:$W$495&gt;=1))*ROW('CONTROL MASTER'!$S$2:$S$495))-(ROW('CONTROL MASTER'!#REF!)-1))),IF(SUMPRODUCT((('CONTROL MASTER'!$S$2:$S$495=13)*('CONTROL MASTER'!$Z$2:$Z$495&lt;=4)*('CONTROL MASTER'!$AB$2:$AB$495&gt;=4)*('CONTROL MASTER'!$AA$2:$AA$495&lt;=1)*('CONTROL MASTER'!$AC$2:$AC$495&gt;=1))*ROW('CONTROL MASTER'!$S$2:$S$495))&gt;0,INDEX('CONTROL MASTER'!$X$2:$X$495,(SUMPRODUCT((('CONTROL MASTER'!$S$2:$S$495=13)*('CONTROL MASTER'!$Z$2:$Z$495&lt;=4)*('CONTROL MASTER'!$AB$2:$AB$495&gt;=4)*('CONTROL MASTER'!$AA$2:$AA$495&lt;=1)*('CONTROL MASTER'!$AC$2:$AC$495&gt;=1))*ROW('CONTROL MASTER'!$S$2:$S$495))-(ROW('CONTROL MASTER'!#REF!)-1)))&amp;TRIM(MID(SUBSTITUTE(SUBSTITUTE(INDEX('CONTROL MASTER'!$N$2:$N$495,(SUMPRODUCT((('CONTROL MASTER'!$S$2:$S$495=13)*('CONTROL MASTER'!$Z$2:$Z$495&lt;=4)*('CONTROL MASTER'!$AB$2:$AB$495&gt;=4)*('CONTROL MASTER'!$AA$2:$AA$495&lt;=1)*('CONTROL MASTER'!$AC$2:$AC$495&gt;=1))*ROW('CONTROL MASTER'!$S$2:$S$495))-(ROW('CONTROL MASTER'!#REF!)-1))),":",","),",",REPT(" ",50)),(((INDEX('CONTROL MASTER'!$Y$2:$Y$495,(SUMPRODUCT((('CONTROL MASTER'!$S$2:$S$495=13)*('CONTROL MASTER'!$Z$2:$Z$495&lt;=4)*('CONTROL MASTER'!$AB$2:$AB$495&gt;=4)*('CONTROL MASTER'!$AA$2:$AA$495&lt;=1)*('CONTROL MASTER'!$AC$2:$AC$495&gt;=1))*ROW('CONTROL MASTER'!$S$2:$S$495))-(ROW('CONTROL MASTER'!#REF!)-1)))+((4-INDEX('CONTROL MASTER'!$Z$2:$Z$495,(SUMPRODUCT((('CONTROL MASTER'!$S$2:$S$495=13)*('CONTROL MASTER'!$Z$2:$Z$495&lt;=4)*('CONTROL MASTER'!$AB$2:$AB$495&gt;=4)*('CONTROL MASTER'!$AA$2:$AA$495&lt;=1)*('CONTROL MASTER'!$AC$2:$AC$495&gt;=1))*ROW('CONTROL MASTER'!$S$2:$S$495))-(ROW('CONTROL MASTER'!#REF!)-1))))*(INDEX('CONTROL MASTER'!$AC$2:$AC$495,(SUMPRODUCT((('CONTROL MASTER'!$S$2:$S$495=13)*('CONTROL MASTER'!$Z$2:$Z$495&lt;=4)*('CONTROL MASTER'!$AB$2:$AB$495&gt;=4)*('CONTROL MASTER'!$AA$2:$AA$495&lt;=1)*('CONTROL MASTER'!$AC$2:$AC$495&gt;=1))*ROW('CONTROL MASTER'!$S$2:$S$495))-(ROW('CONTROL MASTER'!#REF!)-1)))-INDEX('CONTROL MASTER'!$AA$2:$AA$495,(SUMPRODUCT((('CONTROL MASTER'!$S$2:$S$495=13)*('CONTROL MASTER'!$Z$2:$Z$495&lt;=4)*('CONTROL MASTER'!$AB$2:$AB$495&gt;=4)*('CONTROL MASTER'!$AA$2:$AA$495&lt;=1)*('CONTROL MASTER'!$AC$2:$AC$495&gt;=1))*ROW('CONTROL MASTER'!$S$2:$S$495))-(ROW('CONTROL MASTER'!#REF!)-1)))+1)+(1-INDEX('CONTROL MASTER'!$AA$2:$AA$495,(SUMPRODUCT((('CONTROL MASTER'!$S$2:$S$495=13)*('CONTROL MASTER'!$Z$2:$Z$495&lt;=4)*('CONTROL MASTER'!$AB$2:$AB$495&gt;=4)*('CONTROL MASTER'!$AA$2:$AA$495&lt;=1)*('CONTROL MASTER'!$AC$2:$AC$495&gt;=1))*ROW('CONTROL MASTER'!$S$2:$S$495))-(ROW('CONTROL MASTER'!#REF!)-1))))+1)))-1)*50+1,50))&amp;"_"&amp;INDEX('CONTROL MASTER'!$P$2:$P$495,(SUMPRODUCT((('CONTROL MASTER'!$S$2:$S$495=13)*('CONTROL MASTER'!$Z$2:$Z$495&lt;=4)*('CONTROL MASTER'!$AB$2:$AB$495&gt;=4)*('CONTROL MASTER'!$AA$2:$AA$495&lt;=1)*('CONTROL MASTER'!$AC$2:$AC$495&gt;=1))*ROW('CONTROL MASTER'!$S$2:$S$495))-(ROW('CONTROL MASTER'!#REF!)-1))),"")),"")</f>
        <v/>
      </c>
      <c r="C174" s="10" t="str">
        <f>IFERROR(IF(SUMPRODUCT((('CONTROL MASTER'!$S$2:$S$495=13)*('CONTROL MASTER'!$T$2:$T$495&lt;=4)*('CONTROL MASTER'!$V$2:$V$495&gt;=4)*('CONTROL MASTER'!$U$2:$U$495&lt;=2)*('CONTROL MASTER'!$W$2:$W$495&gt;=2))*ROW('CONTROL MASTER'!$S$2:$S$495))&gt;0,INDEX('CONTROL MASTER'!$X$2:$X$495,(SUMPRODUCT((('CONTROL MASTER'!$S$2:$S$495=13)*('CONTROL MASTER'!$T$2:$T$495&lt;=4)*('CONTROL MASTER'!$V$2:$V$495&gt;=4)*('CONTROL MASTER'!$U$2:$U$495&lt;=2)*('CONTROL MASTER'!$W$2:$W$495&gt;=2))*ROW('CONTROL MASTER'!$S$2:$S$495))-(ROW('CONTROL MASTER'!#REF!)-1)))&amp;TRIM(MID(SUBSTITUTE(SUBSTITUTE(INDEX('CONTROL MASTER'!$N$2:$N$495,(SUMPRODUCT((('CONTROL MASTER'!$S$2:$S$495=13)*('CONTROL MASTER'!$T$2:$T$495&lt;=4)*('CONTROL MASTER'!$V$2:$V$495&gt;=4)*('CONTROL MASTER'!$U$2:$U$495&lt;=2)*('CONTROL MASTER'!$W$2:$W$495&gt;=2))*ROW('CONTROL MASTER'!$S$2:$S$495))-(ROW('CONTROL MASTER'!#REF!)-1))),":",","),",",REPT(" ",50)),((((4-INDEX('CONTROL MASTER'!$T$2:$T$495,(SUMPRODUCT((('CONTROL MASTER'!$S$2:$S$495=13)*('CONTROL MASTER'!$T$2:$T$495&lt;=4)*('CONTROL MASTER'!$V$2:$V$495&gt;=4)*('CONTROL MASTER'!$U$2:$U$495&lt;=2)*('CONTROL MASTER'!$W$2:$W$495&gt;=2))*ROW('CONTROL MASTER'!$S$2:$S$495))-(ROW('CONTROL MASTER'!#REF!)-1))))*(INDEX('CONTROL MASTER'!$W$2:$W$495,(SUMPRODUCT((('CONTROL MASTER'!$S$2:$S$495=13)*('CONTROL MASTER'!$T$2:$T$495&lt;=4)*('CONTROL MASTER'!$V$2:$V$495&gt;=4)*('CONTROL MASTER'!$U$2:$U$495&lt;=2)*('CONTROL MASTER'!$W$2:$W$495&gt;=2))*ROW('CONTROL MASTER'!$S$2:$S$495))-(ROW('CONTROL MASTER'!#REF!)-1)))-INDEX('CONTROL MASTER'!$U$2:$U$495,(SUMPRODUCT((('CONTROL MASTER'!$S$2:$S$495=13)*('CONTROL MASTER'!$T$2:$T$495&lt;=4)*('CONTROL MASTER'!$V$2:$V$495&gt;=4)*('CONTROL MASTER'!$U$2:$U$495&lt;=2)*('CONTROL MASTER'!$W$2:$W$495&gt;=2))*ROW('CONTROL MASTER'!$S$2:$S$495))-(ROW('CONTROL MASTER'!#REF!)-1)))+1)+(2-INDEX('CONTROL MASTER'!$U$2:$U$495,(SUMPRODUCT((('CONTROL MASTER'!$S$2:$S$495=13)*('CONTROL MASTER'!$T$2:$T$495&lt;=4)*('CONTROL MASTER'!$V$2:$V$495&gt;=4)*('CONTROL MASTER'!$U$2:$U$495&lt;=2)*('CONTROL MASTER'!$W$2:$W$495&gt;=2))*ROW('CONTROL MASTER'!$S$2:$S$495))-(ROW('CONTROL MASTER'!#REF!)-1))))+1))-1)*50+1,50))&amp;"_"&amp;INDEX('CONTROL MASTER'!$P$2:$P$495,(SUMPRODUCT((('CONTROL MASTER'!$S$2:$S$495=13)*('CONTROL MASTER'!$T$2:$T$495&lt;=4)*('CONTROL MASTER'!$V$2:$V$495&gt;=4)*('CONTROL MASTER'!$U$2:$U$495&lt;=2)*('CONTROL MASTER'!$W$2:$W$495&gt;=2))*ROW('CONTROL MASTER'!$S$2:$S$495))-(ROW('CONTROL MASTER'!#REF!)-1))),IF(SUMPRODUCT((('CONTROL MASTER'!$S$2:$S$495=13)*('CONTROL MASTER'!$Z$2:$Z$495&lt;=4)*('CONTROL MASTER'!$AB$2:$AB$495&gt;=4)*('CONTROL MASTER'!$AA$2:$AA$495&lt;=2)*('CONTROL MASTER'!$AC$2:$AC$495&gt;=2))*ROW('CONTROL MASTER'!$S$2:$S$495))&gt;0,INDEX('CONTROL MASTER'!$X$2:$X$495,(SUMPRODUCT((('CONTROL MASTER'!$S$2:$S$495=13)*('CONTROL MASTER'!$Z$2:$Z$495&lt;=4)*('CONTROL MASTER'!$AB$2:$AB$495&gt;=4)*('CONTROL MASTER'!$AA$2:$AA$495&lt;=2)*('CONTROL MASTER'!$AC$2:$AC$495&gt;=2))*ROW('CONTROL MASTER'!$S$2:$S$495))-(ROW('CONTROL MASTER'!#REF!)-1)))&amp;TRIM(MID(SUBSTITUTE(SUBSTITUTE(INDEX('CONTROL MASTER'!$N$2:$N$495,(SUMPRODUCT((('CONTROL MASTER'!$S$2:$S$495=13)*('CONTROL MASTER'!$Z$2:$Z$495&lt;=4)*('CONTROL MASTER'!$AB$2:$AB$495&gt;=4)*('CONTROL MASTER'!$AA$2:$AA$495&lt;=2)*('CONTROL MASTER'!$AC$2:$AC$495&gt;=2))*ROW('CONTROL MASTER'!$S$2:$S$495))-(ROW('CONTROL MASTER'!#REF!)-1))),":",","),",",REPT(" ",50)),(((INDEX('CONTROL MASTER'!$Y$2:$Y$495,(SUMPRODUCT((('CONTROL MASTER'!$S$2:$S$495=13)*('CONTROL MASTER'!$Z$2:$Z$495&lt;=4)*('CONTROL MASTER'!$AB$2:$AB$495&gt;=4)*('CONTROL MASTER'!$AA$2:$AA$495&lt;=2)*('CONTROL MASTER'!$AC$2:$AC$495&gt;=2))*ROW('CONTROL MASTER'!$S$2:$S$495))-(ROW('CONTROL MASTER'!#REF!)-1)))+((4-INDEX('CONTROL MASTER'!$Z$2:$Z$495,(SUMPRODUCT((('CONTROL MASTER'!$S$2:$S$495=13)*('CONTROL MASTER'!$Z$2:$Z$495&lt;=4)*('CONTROL MASTER'!$AB$2:$AB$495&gt;=4)*('CONTROL MASTER'!$AA$2:$AA$495&lt;=2)*('CONTROL MASTER'!$AC$2:$AC$495&gt;=2))*ROW('CONTROL MASTER'!$S$2:$S$495))-(ROW('CONTROL MASTER'!#REF!)-1))))*(INDEX('CONTROL MASTER'!$AC$2:$AC$495,(SUMPRODUCT((('CONTROL MASTER'!$S$2:$S$495=13)*('CONTROL MASTER'!$Z$2:$Z$495&lt;=4)*('CONTROL MASTER'!$AB$2:$AB$495&gt;=4)*('CONTROL MASTER'!$AA$2:$AA$495&lt;=2)*('CONTROL MASTER'!$AC$2:$AC$495&gt;=2))*ROW('CONTROL MASTER'!$S$2:$S$495))-(ROW('CONTROL MASTER'!#REF!)-1)))-INDEX('CONTROL MASTER'!$AA$2:$AA$495,(SUMPRODUCT((('CONTROL MASTER'!$S$2:$S$495=13)*('CONTROL MASTER'!$Z$2:$Z$495&lt;=4)*('CONTROL MASTER'!$AB$2:$AB$495&gt;=4)*('CONTROL MASTER'!$AA$2:$AA$495&lt;=2)*('CONTROL MASTER'!$AC$2:$AC$495&gt;=2))*ROW('CONTROL MASTER'!$S$2:$S$495))-(ROW('CONTROL MASTER'!#REF!)-1)))+1)+(2-INDEX('CONTROL MASTER'!$AA$2:$AA$495,(SUMPRODUCT((('CONTROL MASTER'!$S$2:$S$495=13)*('CONTROL MASTER'!$Z$2:$Z$495&lt;=4)*('CONTROL MASTER'!$AB$2:$AB$495&gt;=4)*('CONTROL MASTER'!$AA$2:$AA$495&lt;=2)*('CONTROL MASTER'!$AC$2:$AC$495&gt;=2))*ROW('CONTROL MASTER'!$S$2:$S$495))-(ROW('CONTROL MASTER'!#REF!)-1))))+1)))-1)*50+1,50))&amp;"_"&amp;INDEX('CONTROL MASTER'!$P$2:$P$495,(SUMPRODUCT((('CONTROL MASTER'!$S$2:$S$495=13)*('CONTROL MASTER'!$Z$2:$Z$495&lt;=4)*('CONTROL MASTER'!$AB$2:$AB$495&gt;=4)*('CONTROL MASTER'!$AA$2:$AA$495&lt;=2)*('CONTROL MASTER'!$AC$2:$AC$495&gt;=2))*ROW('CONTROL MASTER'!$S$2:$S$495))-(ROW('CONTROL MASTER'!#REF!)-1))),"")),"")</f>
        <v/>
      </c>
      <c r="D174" s="10" t="str">
        <f>IFERROR(IF(SUMPRODUCT((('CONTROL MASTER'!$S$2:$S$495=13)*('CONTROL MASTER'!$T$2:$T$495&lt;=4)*('CONTROL MASTER'!$V$2:$V$495&gt;=4)*('CONTROL MASTER'!$U$2:$U$495&lt;=3)*('CONTROL MASTER'!$W$2:$W$495&gt;=3))*ROW('CONTROL MASTER'!$S$2:$S$495))&gt;0,INDEX('CONTROL MASTER'!$X$2:$X$495,(SUMPRODUCT((('CONTROL MASTER'!$S$2:$S$495=13)*('CONTROL MASTER'!$T$2:$T$495&lt;=4)*('CONTROL MASTER'!$V$2:$V$495&gt;=4)*('CONTROL MASTER'!$U$2:$U$495&lt;=3)*('CONTROL MASTER'!$W$2:$W$495&gt;=3))*ROW('CONTROL MASTER'!$S$2:$S$495))-(ROW('CONTROL MASTER'!#REF!)-1)))&amp;TRIM(MID(SUBSTITUTE(SUBSTITUTE(INDEX('CONTROL MASTER'!$N$2:$N$495,(SUMPRODUCT((('CONTROL MASTER'!$S$2:$S$495=13)*('CONTROL MASTER'!$T$2:$T$495&lt;=4)*('CONTROL MASTER'!$V$2:$V$495&gt;=4)*('CONTROL MASTER'!$U$2:$U$495&lt;=3)*('CONTROL MASTER'!$W$2:$W$495&gt;=3))*ROW('CONTROL MASTER'!$S$2:$S$495))-(ROW('CONTROL MASTER'!#REF!)-1))),":",","),",",REPT(" ",50)),((((4-INDEX('CONTROL MASTER'!$T$2:$T$495,(SUMPRODUCT((('CONTROL MASTER'!$S$2:$S$495=13)*('CONTROL MASTER'!$T$2:$T$495&lt;=4)*('CONTROL MASTER'!$V$2:$V$495&gt;=4)*('CONTROL MASTER'!$U$2:$U$495&lt;=3)*('CONTROL MASTER'!$W$2:$W$495&gt;=3))*ROW('CONTROL MASTER'!$S$2:$S$495))-(ROW('CONTROL MASTER'!#REF!)-1))))*(INDEX('CONTROL MASTER'!$W$2:$W$495,(SUMPRODUCT((('CONTROL MASTER'!$S$2:$S$495=13)*('CONTROL MASTER'!$T$2:$T$495&lt;=4)*('CONTROL MASTER'!$V$2:$V$495&gt;=4)*('CONTROL MASTER'!$U$2:$U$495&lt;=3)*('CONTROL MASTER'!$W$2:$W$495&gt;=3))*ROW('CONTROL MASTER'!$S$2:$S$495))-(ROW('CONTROL MASTER'!#REF!)-1)))-INDEX('CONTROL MASTER'!$U$2:$U$495,(SUMPRODUCT((('CONTROL MASTER'!$S$2:$S$495=13)*('CONTROL MASTER'!$T$2:$T$495&lt;=4)*('CONTROL MASTER'!$V$2:$V$495&gt;=4)*('CONTROL MASTER'!$U$2:$U$495&lt;=3)*('CONTROL MASTER'!$W$2:$W$495&gt;=3))*ROW('CONTROL MASTER'!$S$2:$S$495))-(ROW('CONTROL MASTER'!#REF!)-1)))+1)+(3-INDEX('CONTROL MASTER'!$U$2:$U$495,(SUMPRODUCT((('CONTROL MASTER'!$S$2:$S$495=13)*('CONTROL MASTER'!$T$2:$T$495&lt;=4)*('CONTROL MASTER'!$V$2:$V$495&gt;=4)*('CONTROL MASTER'!$U$2:$U$495&lt;=3)*('CONTROL MASTER'!$W$2:$W$495&gt;=3))*ROW('CONTROL MASTER'!$S$2:$S$495))-(ROW('CONTROL MASTER'!#REF!)-1))))+1))-1)*50+1,50))&amp;"_"&amp;INDEX('CONTROL MASTER'!$P$2:$P$495,(SUMPRODUCT((('CONTROL MASTER'!$S$2:$S$495=13)*('CONTROL MASTER'!$T$2:$T$495&lt;=4)*('CONTROL MASTER'!$V$2:$V$495&gt;=4)*('CONTROL MASTER'!$U$2:$U$495&lt;=3)*('CONTROL MASTER'!$W$2:$W$495&gt;=3))*ROW('CONTROL MASTER'!$S$2:$S$495))-(ROW('CONTROL MASTER'!#REF!)-1))),IF(SUMPRODUCT((('CONTROL MASTER'!$S$2:$S$495=13)*('CONTROL MASTER'!$Z$2:$Z$495&lt;=4)*('CONTROL MASTER'!$AB$2:$AB$495&gt;=4)*('CONTROL MASTER'!$AA$2:$AA$495&lt;=3)*('CONTROL MASTER'!$AC$2:$AC$495&gt;=3))*ROW('CONTROL MASTER'!$S$2:$S$495))&gt;0,INDEX('CONTROL MASTER'!$X$2:$X$495,(SUMPRODUCT((('CONTROL MASTER'!$S$2:$S$495=13)*('CONTROL MASTER'!$Z$2:$Z$495&lt;=4)*('CONTROL MASTER'!$AB$2:$AB$495&gt;=4)*('CONTROL MASTER'!$AA$2:$AA$495&lt;=3)*('CONTROL MASTER'!$AC$2:$AC$495&gt;=3))*ROW('CONTROL MASTER'!$S$2:$S$495))-(ROW('CONTROL MASTER'!#REF!)-1)))&amp;TRIM(MID(SUBSTITUTE(SUBSTITUTE(INDEX('CONTROL MASTER'!$N$2:$N$495,(SUMPRODUCT((('CONTROL MASTER'!$S$2:$S$495=13)*('CONTROL MASTER'!$Z$2:$Z$495&lt;=4)*('CONTROL MASTER'!$AB$2:$AB$495&gt;=4)*('CONTROL MASTER'!$AA$2:$AA$495&lt;=3)*('CONTROL MASTER'!$AC$2:$AC$495&gt;=3))*ROW('CONTROL MASTER'!$S$2:$S$495))-(ROW('CONTROL MASTER'!#REF!)-1))),":",","),",",REPT(" ",50)),(((INDEX('CONTROL MASTER'!$Y$2:$Y$495,(SUMPRODUCT((('CONTROL MASTER'!$S$2:$S$495=13)*('CONTROL MASTER'!$Z$2:$Z$495&lt;=4)*('CONTROL MASTER'!$AB$2:$AB$495&gt;=4)*('CONTROL MASTER'!$AA$2:$AA$495&lt;=3)*('CONTROL MASTER'!$AC$2:$AC$495&gt;=3))*ROW('CONTROL MASTER'!$S$2:$S$495))-(ROW('CONTROL MASTER'!#REF!)-1)))+((4-INDEX('CONTROL MASTER'!$Z$2:$Z$495,(SUMPRODUCT((('CONTROL MASTER'!$S$2:$S$495=13)*('CONTROL MASTER'!$Z$2:$Z$495&lt;=4)*('CONTROL MASTER'!$AB$2:$AB$495&gt;=4)*('CONTROL MASTER'!$AA$2:$AA$495&lt;=3)*('CONTROL MASTER'!$AC$2:$AC$495&gt;=3))*ROW('CONTROL MASTER'!$S$2:$S$495))-(ROW('CONTROL MASTER'!#REF!)-1))))*(INDEX('CONTROL MASTER'!$AC$2:$AC$495,(SUMPRODUCT((('CONTROL MASTER'!$S$2:$S$495=13)*('CONTROL MASTER'!$Z$2:$Z$495&lt;=4)*('CONTROL MASTER'!$AB$2:$AB$495&gt;=4)*('CONTROL MASTER'!$AA$2:$AA$495&lt;=3)*('CONTROL MASTER'!$AC$2:$AC$495&gt;=3))*ROW('CONTROL MASTER'!$S$2:$S$495))-(ROW('CONTROL MASTER'!#REF!)-1)))-INDEX('CONTROL MASTER'!$AA$2:$AA$495,(SUMPRODUCT((('CONTROL MASTER'!$S$2:$S$495=13)*('CONTROL MASTER'!$Z$2:$Z$495&lt;=4)*('CONTROL MASTER'!$AB$2:$AB$495&gt;=4)*('CONTROL MASTER'!$AA$2:$AA$495&lt;=3)*('CONTROL MASTER'!$AC$2:$AC$495&gt;=3))*ROW('CONTROL MASTER'!$S$2:$S$495))-(ROW('CONTROL MASTER'!#REF!)-1)))+1)+(3-INDEX('CONTROL MASTER'!$AA$2:$AA$495,(SUMPRODUCT((('CONTROL MASTER'!$S$2:$S$495=13)*('CONTROL MASTER'!$Z$2:$Z$495&lt;=4)*('CONTROL MASTER'!$AB$2:$AB$495&gt;=4)*('CONTROL MASTER'!$AA$2:$AA$495&lt;=3)*('CONTROL MASTER'!$AC$2:$AC$495&gt;=3))*ROW('CONTROL MASTER'!$S$2:$S$495))-(ROW('CONTROL MASTER'!#REF!)-1))))+1)))-1)*50+1,50))&amp;"_"&amp;INDEX('CONTROL MASTER'!$P$2:$P$495,(SUMPRODUCT((('CONTROL MASTER'!$S$2:$S$495=13)*('CONTROL MASTER'!$Z$2:$Z$495&lt;=4)*('CONTROL MASTER'!$AB$2:$AB$495&gt;=4)*('CONTROL MASTER'!$AA$2:$AA$495&lt;=3)*('CONTROL MASTER'!$AC$2:$AC$495&gt;=3))*ROW('CONTROL MASTER'!$S$2:$S$495))-(ROW('CONTROL MASTER'!#REF!)-1))),"")),"")</f>
        <v/>
      </c>
      <c r="E174" s="10" t="str">
        <f>IFERROR(IF(SUMPRODUCT((('CONTROL MASTER'!$S$2:$S$495=13)*('CONTROL MASTER'!$T$2:$T$495&lt;=4)*('CONTROL MASTER'!$V$2:$V$495&gt;=4)*('CONTROL MASTER'!$U$2:$U$495&lt;=4)*('CONTROL MASTER'!$W$2:$W$495&gt;=4))*ROW('CONTROL MASTER'!$S$2:$S$495))&gt;0,INDEX('CONTROL MASTER'!$X$2:$X$495,(SUMPRODUCT((('CONTROL MASTER'!$S$2:$S$495=13)*('CONTROL MASTER'!$T$2:$T$495&lt;=4)*('CONTROL MASTER'!$V$2:$V$495&gt;=4)*('CONTROL MASTER'!$U$2:$U$495&lt;=4)*('CONTROL MASTER'!$W$2:$W$495&gt;=4))*ROW('CONTROL MASTER'!$S$2:$S$495))-(ROW('CONTROL MASTER'!#REF!)-1)))&amp;TRIM(MID(SUBSTITUTE(SUBSTITUTE(INDEX('CONTROL MASTER'!$N$2:$N$495,(SUMPRODUCT((('CONTROL MASTER'!$S$2:$S$495=13)*('CONTROL MASTER'!$T$2:$T$495&lt;=4)*('CONTROL MASTER'!$V$2:$V$495&gt;=4)*('CONTROL MASTER'!$U$2:$U$495&lt;=4)*('CONTROL MASTER'!$W$2:$W$495&gt;=4))*ROW('CONTROL MASTER'!$S$2:$S$495))-(ROW('CONTROL MASTER'!#REF!)-1))),":",","),",",REPT(" ",50)),((((4-INDEX('CONTROL MASTER'!$T$2:$T$495,(SUMPRODUCT((('CONTROL MASTER'!$S$2:$S$495=13)*('CONTROL MASTER'!$T$2:$T$495&lt;=4)*('CONTROL MASTER'!$V$2:$V$495&gt;=4)*('CONTROL MASTER'!$U$2:$U$495&lt;=4)*('CONTROL MASTER'!$W$2:$W$495&gt;=4))*ROW('CONTROL MASTER'!$S$2:$S$495))-(ROW('CONTROL MASTER'!#REF!)-1))))*(INDEX('CONTROL MASTER'!$W$2:$W$495,(SUMPRODUCT((('CONTROL MASTER'!$S$2:$S$495=13)*('CONTROL MASTER'!$T$2:$T$495&lt;=4)*('CONTROL MASTER'!$V$2:$V$495&gt;=4)*('CONTROL MASTER'!$U$2:$U$495&lt;=4)*('CONTROL MASTER'!$W$2:$W$495&gt;=4))*ROW('CONTROL MASTER'!$S$2:$S$495))-(ROW('CONTROL MASTER'!#REF!)-1)))-INDEX('CONTROL MASTER'!$U$2:$U$495,(SUMPRODUCT((('CONTROL MASTER'!$S$2:$S$495=13)*('CONTROL MASTER'!$T$2:$T$495&lt;=4)*('CONTROL MASTER'!$V$2:$V$495&gt;=4)*('CONTROL MASTER'!$U$2:$U$495&lt;=4)*('CONTROL MASTER'!$W$2:$W$495&gt;=4))*ROW('CONTROL MASTER'!$S$2:$S$495))-(ROW('CONTROL MASTER'!#REF!)-1)))+1)+(4-INDEX('CONTROL MASTER'!$U$2:$U$495,(SUMPRODUCT((('CONTROL MASTER'!$S$2:$S$495=13)*('CONTROL MASTER'!$T$2:$T$495&lt;=4)*('CONTROL MASTER'!$V$2:$V$495&gt;=4)*('CONTROL MASTER'!$U$2:$U$495&lt;=4)*('CONTROL MASTER'!$W$2:$W$495&gt;=4))*ROW('CONTROL MASTER'!$S$2:$S$495))-(ROW('CONTROL MASTER'!#REF!)-1))))+1))-1)*50+1,50))&amp;"_"&amp;INDEX('CONTROL MASTER'!$P$2:$P$495,(SUMPRODUCT((('CONTROL MASTER'!$S$2:$S$495=13)*('CONTROL MASTER'!$T$2:$T$495&lt;=4)*('CONTROL MASTER'!$V$2:$V$495&gt;=4)*('CONTROL MASTER'!$U$2:$U$495&lt;=4)*('CONTROL MASTER'!$W$2:$W$495&gt;=4))*ROW('CONTROL MASTER'!$S$2:$S$495))-(ROW('CONTROL MASTER'!#REF!)-1))),IF(SUMPRODUCT((('CONTROL MASTER'!$S$2:$S$495=13)*('CONTROL MASTER'!$Z$2:$Z$495&lt;=4)*('CONTROL MASTER'!$AB$2:$AB$495&gt;=4)*('CONTROL MASTER'!$AA$2:$AA$495&lt;=4)*('CONTROL MASTER'!$AC$2:$AC$495&gt;=4))*ROW('CONTROL MASTER'!$S$2:$S$495))&gt;0,INDEX('CONTROL MASTER'!$X$2:$X$495,(SUMPRODUCT((('CONTROL MASTER'!$S$2:$S$495=13)*('CONTROL MASTER'!$Z$2:$Z$495&lt;=4)*('CONTROL MASTER'!$AB$2:$AB$495&gt;=4)*('CONTROL MASTER'!$AA$2:$AA$495&lt;=4)*('CONTROL MASTER'!$AC$2:$AC$495&gt;=4))*ROW('CONTROL MASTER'!$S$2:$S$495))-(ROW('CONTROL MASTER'!#REF!)-1)))&amp;TRIM(MID(SUBSTITUTE(SUBSTITUTE(INDEX('CONTROL MASTER'!$N$2:$N$495,(SUMPRODUCT((('CONTROL MASTER'!$S$2:$S$495=13)*('CONTROL MASTER'!$Z$2:$Z$495&lt;=4)*('CONTROL MASTER'!$AB$2:$AB$495&gt;=4)*('CONTROL MASTER'!$AA$2:$AA$495&lt;=4)*('CONTROL MASTER'!$AC$2:$AC$495&gt;=4))*ROW('CONTROL MASTER'!$S$2:$S$495))-(ROW('CONTROL MASTER'!#REF!)-1))),":",","),",",REPT(" ",50)),(((INDEX('CONTROL MASTER'!$Y$2:$Y$495,(SUMPRODUCT((('CONTROL MASTER'!$S$2:$S$495=13)*('CONTROL MASTER'!$Z$2:$Z$495&lt;=4)*('CONTROL MASTER'!$AB$2:$AB$495&gt;=4)*('CONTROL MASTER'!$AA$2:$AA$495&lt;=4)*('CONTROL MASTER'!$AC$2:$AC$495&gt;=4))*ROW('CONTROL MASTER'!$S$2:$S$495))-(ROW('CONTROL MASTER'!#REF!)-1)))+((4-INDEX('CONTROL MASTER'!$Z$2:$Z$495,(SUMPRODUCT((('CONTROL MASTER'!$S$2:$S$495=13)*('CONTROL MASTER'!$Z$2:$Z$495&lt;=4)*('CONTROL MASTER'!$AB$2:$AB$495&gt;=4)*('CONTROL MASTER'!$AA$2:$AA$495&lt;=4)*('CONTROL MASTER'!$AC$2:$AC$495&gt;=4))*ROW('CONTROL MASTER'!$S$2:$S$495))-(ROW('CONTROL MASTER'!#REF!)-1))))*(INDEX('CONTROL MASTER'!$AC$2:$AC$495,(SUMPRODUCT((('CONTROL MASTER'!$S$2:$S$495=13)*('CONTROL MASTER'!$Z$2:$Z$495&lt;=4)*('CONTROL MASTER'!$AB$2:$AB$495&gt;=4)*('CONTROL MASTER'!$AA$2:$AA$495&lt;=4)*('CONTROL MASTER'!$AC$2:$AC$495&gt;=4))*ROW('CONTROL MASTER'!$S$2:$S$495))-(ROW('CONTROL MASTER'!#REF!)-1)))-INDEX('CONTROL MASTER'!$AA$2:$AA$495,(SUMPRODUCT((('CONTROL MASTER'!$S$2:$S$495=13)*('CONTROL MASTER'!$Z$2:$Z$495&lt;=4)*('CONTROL MASTER'!$AB$2:$AB$495&gt;=4)*('CONTROL MASTER'!$AA$2:$AA$495&lt;=4)*('CONTROL MASTER'!$AC$2:$AC$495&gt;=4))*ROW('CONTROL MASTER'!$S$2:$S$495))-(ROW('CONTROL MASTER'!#REF!)-1)))+1)+(4-INDEX('CONTROL MASTER'!$AA$2:$AA$495,(SUMPRODUCT((('CONTROL MASTER'!$S$2:$S$495=13)*('CONTROL MASTER'!$Z$2:$Z$495&lt;=4)*('CONTROL MASTER'!$AB$2:$AB$495&gt;=4)*('CONTROL MASTER'!$AA$2:$AA$495&lt;=4)*('CONTROL MASTER'!$AC$2:$AC$495&gt;=4))*ROW('CONTROL MASTER'!$S$2:$S$495))-(ROW('CONTROL MASTER'!#REF!)-1))))+1)))-1)*50+1,50))&amp;"_"&amp;INDEX('CONTROL MASTER'!$P$2:$P$495,(SUMPRODUCT((('CONTROL MASTER'!$S$2:$S$495=13)*('CONTROL MASTER'!$Z$2:$Z$495&lt;=4)*('CONTROL MASTER'!$AB$2:$AB$495&gt;=4)*('CONTROL MASTER'!$AA$2:$AA$495&lt;=4)*('CONTROL MASTER'!$AC$2:$AC$495&gt;=4))*ROW('CONTROL MASTER'!$S$2:$S$495))-(ROW('CONTROL MASTER'!#REF!)-1))),"")),"")</f>
        <v/>
      </c>
      <c r="F174" s="10" t="str">
        <f>IFERROR(IF(SUMPRODUCT((('CONTROL MASTER'!$S$2:$S$495=13)*('CONTROL MASTER'!$T$2:$T$495&lt;=4)*('CONTROL MASTER'!$V$2:$V$495&gt;=4)*('CONTROL MASTER'!$U$2:$U$495&lt;=5)*('CONTROL MASTER'!$W$2:$W$495&gt;=5))*ROW('CONTROL MASTER'!$S$2:$S$495))&gt;0,INDEX('CONTROL MASTER'!$X$2:$X$495,(SUMPRODUCT((('CONTROL MASTER'!$S$2:$S$495=13)*('CONTROL MASTER'!$T$2:$T$495&lt;=4)*('CONTROL MASTER'!$V$2:$V$495&gt;=4)*('CONTROL MASTER'!$U$2:$U$495&lt;=5)*('CONTROL MASTER'!$W$2:$W$495&gt;=5))*ROW('CONTROL MASTER'!$S$2:$S$495))-(ROW('CONTROL MASTER'!#REF!)-1)))&amp;TRIM(MID(SUBSTITUTE(SUBSTITUTE(INDEX('CONTROL MASTER'!$N$2:$N$495,(SUMPRODUCT((('CONTROL MASTER'!$S$2:$S$495=13)*('CONTROL MASTER'!$T$2:$T$495&lt;=4)*('CONTROL MASTER'!$V$2:$V$495&gt;=4)*('CONTROL MASTER'!$U$2:$U$495&lt;=5)*('CONTROL MASTER'!$W$2:$W$495&gt;=5))*ROW('CONTROL MASTER'!$S$2:$S$495))-(ROW('CONTROL MASTER'!#REF!)-1))),":",","),",",REPT(" ",50)),((((4-INDEX('CONTROL MASTER'!$T$2:$T$495,(SUMPRODUCT((('CONTROL MASTER'!$S$2:$S$495=13)*('CONTROL MASTER'!$T$2:$T$495&lt;=4)*('CONTROL MASTER'!$V$2:$V$495&gt;=4)*('CONTROL MASTER'!$U$2:$U$495&lt;=5)*('CONTROL MASTER'!$W$2:$W$495&gt;=5))*ROW('CONTROL MASTER'!$S$2:$S$495))-(ROW('CONTROL MASTER'!#REF!)-1))))*(INDEX('CONTROL MASTER'!$W$2:$W$495,(SUMPRODUCT((('CONTROL MASTER'!$S$2:$S$495=13)*('CONTROL MASTER'!$T$2:$T$495&lt;=4)*('CONTROL MASTER'!$V$2:$V$495&gt;=4)*('CONTROL MASTER'!$U$2:$U$495&lt;=5)*('CONTROL MASTER'!$W$2:$W$495&gt;=5))*ROW('CONTROL MASTER'!$S$2:$S$495))-(ROW('CONTROL MASTER'!#REF!)-1)))-INDEX('CONTROL MASTER'!$U$2:$U$495,(SUMPRODUCT((('CONTROL MASTER'!$S$2:$S$495=13)*('CONTROL MASTER'!$T$2:$T$495&lt;=4)*('CONTROL MASTER'!$V$2:$V$495&gt;=4)*('CONTROL MASTER'!$U$2:$U$495&lt;=5)*('CONTROL MASTER'!$W$2:$W$495&gt;=5))*ROW('CONTROL MASTER'!$S$2:$S$495))-(ROW('CONTROL MASTER'!#REF!)-1)))+1)+(5-INDEX('CONTROL MASTER'!$U$2:$U$495,(SUMPRODUCT((('CONTROL MASTER'!$S$2:$S$495=13)*('CONTROL MASTER'!$T$2:$T$495&lt;=4)*('CONTROL MASTER'!$V$2:$V$495&gt;=4)*('CONTROL MASTER'!$U$2:$U$495&lt;=5)*('CONTROL MASTER'!$W$2:$W$495&gt;=5))*ROW('CONTROL MASTER'!$S$2:$S$495))-(ROW('CONTROL MASTER'!#REF!)-1))))+1))-1)*50+1,50))&amp;"_"&amp;INDEX('CONTROL MASTER'!$P$2:$P$495,(SUMPRODUCT((('CONTROL MASTER'!$S$2:$S$495=13)*('CONTROL MASTER'!$T$2:$T$495&lt;=4)*('CONTROL MASTER'!$V$2:$V$495&gt;=4)*('CONTROL MASTER'!$U$2:$U$495&lt;=5)*('CONTROL MASTER'!$W$2:$W$495&gt;=5))*ROW('CONTROL MASTER'!$S$2:$S$495))-(ROW('CONTROL MASTER'!#REF!)-1))),IF(SUMPRODUCT((('CONTROL MASTER'!$S$2:$S$495=13)*('CONTROL MASTER'!$Z$2:$Z$495&lt;=4)*('CONTROL MASTER'!$AB$2:$AB$495&gt;=4)*('CONTROL MASTER'!$AA$2:$AA$495&lt;=5)*('CONTROL MASTER'!$AC$2:$AC$495&gt;=5))*ROW('CONTROL MASTER'!$S$2:$S$495))&gt;0,INDEX('CONTROL MASTER'!$X$2:$X$495,(SUMPRODUCT((('CONTROL MASTER'!$S$2:$S$495=13)*('CONTROL MASTER'!$Z$2:$Z$495&lt;=4)*('CONTROL MASTER'!$AB$2:$AB$495&gt;=4)*('CONTROL MASTER'!$AA$2:$AA$495&lt;=5)*('CONTROL MASTER'!$AC$2:$AC$495&gt;=5))*ROW('CONTROL MASTER'!$S$2:$S$495))-(ROW('CONTROL MASTER'!#REF!)-1)))&amp;TRIM(MID(SUBSTITUTE(SUBSTITUTE(INDEX('CONTROL MASTER'!$N$2:$N$495,(SUMPRODUCT((('CONTROL MASTER'!$S$2:$S$495=13)*('CONTROL MASTER'!$Z$2:$Z$495&lt;=4)*('CONTROL MASTER'!$AB$2:$AB$495&gt;=4)*('CONTROL MASTER'!$AA$2:$AA$495&lt;=5)*('CONTROL MASTER'!$AC$2:$AC$495&gt;=5))*ROW('CONTROL MASTER'!$S$2:$S$495))-(ROW('CONTROL MASTER'!#REF!)-1))),":",","),",",REPT(" ",50)),(((INDEX('CONTROL MASTER'!$Y$2:$Y$495,(SUMPRODUCT((('CONTROL MASTER'!$S$2:$S$495=13)*('CONTROL MASTER'!$Z$2:$Z$495&lt;=4)*('CONTROL MASTER'!$AB$2:$AB$495&gt;=4)*('CONTROL MASTER'!$AA$2:$AA$495&lt;=5)*('CONTROL MASTER'!$AC$2:$AC$495&gt;=5))*ROW('CONTROL MASTER'!$S$2:$S$495))-(ROW('CONTROL MASTER'!#REF!)-1)))+((4-INDEX('CONTROL MASTER'!$Z$2:$Z$495,(SUMPRODUCT((('CONTROL MASTER'!$S$2:$S$495=13)*('CONTROL MASTER'!$Z$2:$Z$495&lt;=4)*('CONTROL MASTER'!$AB$2:$AB$495&gt;=4)*('CONTROL MASTER'!$AA$2:$AA$495&lt;=5)*('CONTROL MASTER'!$AC$2:$AC$495&gt;=5))*ROW('CONTROL MASTER'!$S$2:$S$495))-(ROW('CONTROL MASTER'!#REF!)-1))))*(INDEX('CONTROL MASTER'!$AC$2:$AC$495,(SUMPRODUCT((('CONTROL MASTER'!$S$2:$S$495=13)*('CONTROL MASTER'!$Z$2:$Z$495&lt;=4)*('CONTROL MASTER'!$AB$2:$AB$495&gt;=4)*('CONTROL MASTER'!$AA$2:$AA$495&lt;=5)*('CONTROL MASTER'!$AC$2:$AC$495&gt;=5))*ROW('CONTROL MASTER'!$S$2:$S$495))-(ROW('CONTROL MASTER'!#REF!)-1)))-INDEX('CONTROL MASTER'!$AA$2:$AA$495,(SUMPRODUCT((('CONTROL MASTER'!$S$2:$S$495=13)*('CONTROL MASTER'!$Z$2:$Z$495&lt;=4)*('CONTROL MASTER'!$AB$2:$AB$495&gt;=4)*('CONTROL MASTER'!$AA$2:$AA$495&lt;=5)*('CONTROL MASTER'!$AC$2:$AC$495&gt;=5))*ROW('CONTROL MASTER'!$S$2:$S$495))-(ROW('CONTROL MASTER'!#REF!)-1)))+1)+(5-INDEX('CONTROL MASTER'!$AA$2:$AA$495,(SUMPRODUCT((('CONTROL MASTER'!$S$2:$S$495=13)*('CONTROL MASTER'!$Z$2:$Z$495&lt;=4)*('CONTROL MASTER'!$AB$2:$AB$495&gt;=4)*('CONTROL MASTER'!$AA$2:$AA$495&lt;=5)*('CONTROL MASTER'!$AC$2:$AC$495&gt;=5))*ROW('CONTROL MASTER'!$S$2:$S$495))-(ROW('CONTROL MASTER'!#REF!)-1))))+1)))-1)*50+1,50))&amp;"_"&amp;INDEX('CONTROL MASTER'!$P$2:$P$495,(SUMPRODUCT((('CONTROL MASTER'!$S$2:$S$495=13)*('CONTROL MASTER'!$Z$2:$Z$495&lt;=4)*('CONTROL MASTER'!$AB$2:$AB$495&gt;=4)*('CONTROL MASTER'!$AA$2:$AA$495&lt;=5)*('CONTROL MASTER'!$AC$2:$AC$495&gt;=5))*ROW('CONTROL MASTER'!$S$2:$S$495))-(ROW('CONTROL MASTER'!#REF!)-1))),"")),"")</f>
        <v/>
      </c>
      <c r="G174" s="10" t="str">
        <f>IFERROR(IF(SUMPRODUCT((('CONTROL MASTER'!$S$2:$S$495=13)*('CONTROL MASTER'!$T$2:$T$495&lt;=4)*('CONTROL MASTER'!$V$2:$V$495&gt;=4)*('CONTROL MASTER'!$U$2:$U$495&lt;=6)*('CONTROL MASTER'!$W$2:$W$495&gt;=6))*ROW('CONTROL MASTER'!$S$2:$S$495))&gt;0,INDEX('CONTROL MASTER'!$X$2:$X$495,(SUMPRODUCT((('CONTROL MASTER'!$S$2:$S$495=13)*('CONTROL MASTER'!$T$2:$T$495&lt;=4)*('CONTROL MASTER'!$V$2:$V$495&gt;=4)*('CONTROL MASTER'!$U$2:$U$495&lt;=6)*('CONTROL MASTER'!$W$2:$W$495&gt;=6))*ROW('CONTROL MASTER'!$S$2:$S$495))-(ROW('CONTROL MASTER'!#REF!)-1)))&amp;TRIM(MID(SUBSTITUTE(SUBSTITUTE(INDEX('CONTROL MASTER'!$N$2:$N$495,(SUMPRODUCT((('CONTROL MASTER'!$S$2:$S$495=13)*('CONTROL MASTER'!$T$2:$T$495&lt;=4)*('CONTROL MASTER'!$V$2:$V$495&gt;=4)*('CONTROL MASTER'!$U$2:$U$495&lt;=6)*('CONTROL MASTER'!$W$2:$W$495&gt;=6))*ROW('CONTROL MASTER'!$S$2:$S$495))-(ROW('CONTROL MASTER'!#REF!)-1))),":",","),",",REPT(" ",50)),((((4-INDEX('CONTROL MASTER'!$T$2:$T$495,(SUMPRODUCT((('CONTROL MASTER'!$S$2:$S$495=13)*('CONTROL MASTER'!$T$2:$T$495&lt;=4)*('CONTROL MASTER'!$V$2:$V$495&gt;=4)*('CONTROL MASTER'!$U$2:$U$495&lt;=6)*('CONTROL MASTER'!$W$2:$W$495&gt;=6))*ROW('CONTROL MASTER'!$S$2:$S$495))-(ROW('CONTROL MASTER'!#REF!)-1))))*(INDEX('CONTROL MASTER'!$W$2:$W$495,(SUMPRODUCT((('CONTROL MASTER'!$S$2:$S$495=13)*('CONTROL MASTER'!$T$2:$T$495&lt;=4)*('CONTROL MASTER'!$V$2:$V$495&gt;=4)*('CONTROL MASTER'!$U$2:$U$495&lt;=6)*('CONTROL MASTER'!$W$2:$W$495&gt;=6))*ROW('CONTROL MASTER'!$S$2:$S$495))-(ROW('CONTROL MASTER'!#REF!)-1)))-INDEX('CONTROL MASTER'!$U$2:$U$495,(SUMPRODUCT((('CONTROL MASTER'!$S$2:$S$495=13)*('CONTROL MASTER'!$T$2:$T$495&lt;=4)*('CONTROL MASTER'!$V$2:$V$495&gt;=4)*('CONTROL MASTER'!$U$2:$U$495&lt;=6)*('CONTROL MASTER'!$W$2:$W$495&gt;=6))*ROW('CONTROL MASTER'!$S$2:$S$495))-(ROW('CONTROL MASTER'!#REF!)-1)))+1)+(6-INDEX('CONTROL MASTER'!$U$2:$U$495,(SUMPRODUCT((('CONTROL MASTER'!$S$2:$S$495=13)*('CONTROL MASTER'!$T$2:$T$495&lt;=4)*('CONTROL MASTER'!$V$2:$V$495&gt;=4)*('CONTROL MASTER'!$U$2:$U$495&lt;=6)*('CONTROL MASTER'!$W$2:$W$495&gt;=6))*ROW('CONTROL MASTER'!$S$2:$S$495))-(ROW('CONTROL MASTER'!#REF!)-1))))+1))-1)*50+1,50))&amp;"_"&amp;INDEX('CONTROL MASTER'!$P$2:$P$495,(SUMPRODUCT((('CONTROL MASTER'!$S$2:$S$495=13)*('CONTROL MASTER'!$T$2:$T$495&lt;=4)*('CONTROL MASTER'!$V$2:$V$495&gt;=4)*('CONTROL MASTER'!$U$2:$U$495&lt;=6)*('CONTROL MASTER'!$W$2:$W$495&gt;=6))*ROW('CONTROL MASTER'!$S$2:$S$495))-(ROW('CONTROL MASTER'!#REF!)-1))),IF(SUMPRODUCT((('CONTROL MASTER'!$S$2:$S$495=13)*('CONTROL MASTER'!$Z$2:$Z$495&lt;=4)*('CONTROL MASTER'!$AB$2:$AB$495&gt;=4)*('CONTROL MASTER'!$AA$2:$AA$495&lt;=6)*('CONTROL MASTER'!$AC$2:$AC$495&gt;=6))*ROW('CONTROL MASTER'!$S$2:$S$495))&gt;0,INDEX('CONTROL MASTER'!$X$2:$X$495,(SUMPRODUCT((('CONTROL MASTER'!$S$2:$S$495=13)*('CONTROL MASTER'!$Z$2:$Z$495&lt;=4)*('CONTROL MASTER'!$AB$2:$AB$495&gt;=4)*('CONTROL MASTER'!$AA$2:$AA$495&lt;=6)*('CONTROL MASTER'!$AC$2:$AC$495&gt;=6))*ROW('CONTROL MASTER'!$S$2:$S$495))-(ROW('CONTROL MASTER'!#REF!)-1)))&amp;TRIM(MID(SUBSTITUTE(SUBSTITUTE(INDEX('CONTROL MASTER'!$N$2:$N$495,(SUMPRODUCT((('CONTROL MASTER'!$S$2:$S$495=13)*('CONTROL MASTER'!$Z$2:$Z$495&lt;=4)*('CONTROL MASTER'!$AB$2:$AB$495&gt;=4)*('CONTROL MASTER'!$AA$2:$AA$495&lt;=6)*('CONTROL MASTER'!$AC$2:$AC$495&gt;=6))*ROW('CONTROL MASTER'!$S$2:$S$495))-(ROW('CONTROL MASTER'!#REF!)-1))),":",","),",",REPT(" ",50)),(((INDEX('CONTROL MASTER'!$Y$2:$Y$495,(SUMPRODUCT((('CONTROL MASTER'!$S$2:$S$495=13)*('CONTROL MASTER'!$Z$2:$Z$495&lt;=4)*('CONTROL MASTER'!$AB$2:$AB$495&gt;=4)*('CONTROL MASTER'!$AA$2:$AA$495&lt;=6)*('CONTROL MASTER'!$AC$2:$AC$495&gt;=6))*ROW('CONTROL MASTER'!$S$2:$S$495))-(ROW('CONTROL MASTER'!#REF!)-1)))+((4-INDEX('CONTROL MASTER'!$Z$2:$Z$495,(SUMPRODUCT((('CONTROL MASTER'!$S$2:$S$495=13)*('CONTROL MASTER'!$Z$2:$Z$495&lt;=4)*('CONTROL MASTER'!$AB$2:$AB$495&gt;=4)*('CONTROL MASTER'!$AA$2:$AA$495&lt;=6)*('CONTROL MASTER'!$AC$2:$AC$495&gt;=6))*ROW('CONTROL MASTER'!$S$2:$S$495))-(ROW('CONTROL MASTER'!#REF!)-1))))*(INDEX('CONTROL MASTER'!$AC$2:$AC$495,(SUMPRODUCT((('CONTROL MASTER'!$S$2:$S$495=13)*('CONTROL MASTER'!$Z$2:$Z$495&lt;=4)*('CONTROL MASTER'!$AB$2:$AB$495&gt;=4)*('CONTROL MASTER'!$AA$2:$AA$495&lt;=6)*('CONTROL MASTER'!$AC$2:$AC$495&gt;=6))*ROW('CONTROL MASTER'!$S$2:$S$495))-(ROW('CONTROL MASTER'!#REF!)-1)))-INDEX('CONTROL MASTER'!$AA$2:$AA$495,(SUMPRODUCT((('CONTROL MASTER'!$S$2:$S$495=13)*('CONTROL MASTER'!$Z$2:$Z$495&lt;=4)*('CONTROL MASTER'!$AB$2:$AB$495&gt;=4)*('CONTROL MASTER'!$AA$2:$AA$495&lt;=6)*('CONTROL MASTER'!$AC$2:$AC$495&gt;=6))*ROW('CONTROL MASTER'!$S$2:$S$495))-(ROW('CONTROL MASTER'!#REF!)-1)))+1)+(6-INDEX('CONTROL MASTER'!$AA$2:$AA$495,(SUMPRODUCT((('CONTROL MASTER'!$S$2:$S$495=13)*('CONTROL MASTER'!$Z$2:$Z$495&lt;=4)*('CONTROL MASTER'!$AB$2:$AB$495&gt;=4)*('CONTROL MASTER'!$AA$2:$AA$495&lt;=6)*('CONTROL MASTER'!$AC$2:$AC$495&gt;=6))*ROW('CONTROL MASTER'!$S$2:$S$495))-(ROW('CONTROL MASTER'!#REF!)-1))))+1)))-1)*50+1,50))&amp;"_"&amp;INDEX('CONTROL MASTER'!$P$2:$P$495,(SUMPRODUCT((('CONTROL MASTER'!$S$2:$S$495=13)*('CONTROL MASTER'!$Z$2:$Z$495&lt;=4)*('CONTROL MASTER'!$AB$2:$AB$495&gt;=4)*('CONTROL MASTER'!$AA$2:$AA$495&lt;=6)*('CONTROL MASTER'!$AC$2:$AC$495&gt;=6))*ROW('CONTROL MASTER'!$S$2:$S$495))-(ROW('CONTROL MASTER'!#REF!)-1))),"")),"")</f>
        <v/>
      </c>
      <c r="H174" s="10" t="str">
        <f>IFERROR(IF(SUMPRODUCT((('CONTROL MASTER'!$S$2:$S$495=13)*('CONTROL MASTER'!$T$2:$T$495&lt;=4)*('CONTROL MASTER'!$V$2:$V$495&gt;=4)*('CONTROL MASTER'!$U$2:$U$495&lt;=7)*('CONTROL MASTER'!$W$2:$W$495&gt;=7))*ROW('CONTROL MASTER'!$S$2:$S$495))&gt;0,INDEX('CONTROL MASTER'!$X$2:$X$495,(SUMPRODUCT((('CONTROL MASTER'!$S$2:$S$495=13)*('CONTROL MASTER'!$T$2:$T$495&lt;=4)*('CONTROL MASTER'!$V$2:$V$495&gt;=4)*('CONTROL MASTER'!$U$2:$U$495&lt;=7)*('CONTROL MASTER'!$W$2:$W$495&gt;=7))*ROW('CONTROL MASTER'!$S$2:$S$495))-(ROW('CONTROL MASTER'!#REF!)-1)))&amp;TRIM(MID(SUBSTITUTE(SUBSTITUTE(INDEX('CONTROL MASTER'!$N$2:$N$495,(SUMPRODUCT((('CONTROL MASTER'!$S$2:$S$495=13)*('CONTROL MASTER'!$T$2:$T$495&lt;=4)*('CONTROL MASTER'!$V$2:$V$495&gt;=4)*('CONTROL MASTER'!$U$2:$U$495&lt;=7)*('CONTROL MASTER'!$W$2:$W$495&gt;=7))*ROW('CONTROL MASTER'!$S$2:$S$495))-(ROW('CONTROL MASTER'!#REF!)-1))),":",","),",",REPT(" ",50)),((((4-INDEX('CONTROL MASTER'!$T$2:$T$495,(SUMPRODUCT((('CONTROL MASTER'!$S$2:$S$495=13)*('CONTROL MASTER'!$T$2:$T$495&lt;=4)*('CONTROL MASTER'!$V$2:$V$495&gt;=4)*('CONTROL MASTER'!$U$2:$U$495&lt;=7)*('CONTROL MASTER'!$W$2:$W$495&gt;=7))*ROW('CONTROL MASTER'!$S$2:$S$495))-(ROW('CONTROL MASTER'!#REF!)-1))))*(INDEX('CONTROL MASTER'!$W$2:$W$495,(SUMPRODUCT((('CONTROL MASTER'!$S$2:$S$495=13)*('CONTROL MASTER'!$T$2:$T$495&lt;=4)*('CONTROL MASTER'!$V$2:$V$495&gt;=4)*('CONTROL MASTER'!$U$2:$U$495&lt;=7)*('CONTROL MASTER'!$W$2:$W$495&gt;=7))*ROW('CONTROL MASTER'!$S$2:$S$495))-(ROW('CONTROL MASTER'!#REF!)-1)))-INDEX('CONTROL MASTER'!$U$2:$U$495,(SUMPRODUCT((('CONTROL MASTER'!$S$2:$S$495=13)*('CONTROL MASTER'!$T$2:$T$495&lt;=4)*('CONTROL MASTER'!$V$2:$V$495&gt;=4)*('CONTROL MASTER'!$U$2:$U$495&lt;=7)*('CONTROL MASTER'!$W$2:$W$495&gt;=7))*ROW('CONTROL MASTER'!$S$2:$S$495))-(ROW('CONTROL MASTER'!#REF!)-1)))+1)+(7-INDEX('CONTROL MASTER'!$U$2:$U$495,(SUMPRODUCT((('CONTROL MASTER'!$S$2:$S$495=13)*('CONTROL MASTER'!$T$2:$T$495&lt;=4)*('CONTROL MASTER'!$V$2:$V$495&gt;=4)*('CONTROL MASTER'!$U$2:$U$495&lt;=7)*('CONTROL MASTER'!$W$2:$W$495&gt;=7))*ROW('CONTROL MASTER'!$S$2:$S$495))-(ROW('CONTROL MASTER'!#REF!)-1))))+1))-1)*50+1,50))&amp;"_"&amp;INDEX('CONTROL MASTER'!$P$2:$P$495,(SUMPRODUCT((('CONTROL MASTER'!$S$2:$S$495=13)*('CONTROL MASTER'!$T$2:$T$495&lt;=4)*('CONTROL MASTER'!$V$2:$V$495&gt;=4)*('CONTROL MASTER'!$U$2:$U$495&lt;=7)*('CONTROL MASTER'!$W$2:$W$495&gt;=7))*ROW('CONTROL MASTER'!$S$2:$S$495))-(ROW('CONTROL MASTER'!#REF!)-1))),IF(SUMPRODUCT((('CONTROL MASTER'!$S$2:$S$495=13)*('CONTROL MASTER'!$Z$2:$Z$495&lt;=4)*('CONTROL MASTER'!$AB$2:$AB$495&gt;=4)*('CONTROL MASTER'!$AA$2:$AA$495&lt;=7)*('CONTROL MASTER'!$AC$2:$AC$495&gt;=7))*ROW('CONTROL MASTER'!$S$2:$S$495))&gt;0,INDEX('CONTROL MASTER'!$X$2:$X$495,(SUMPRODUCT((('CONTROL MASTER'!$S$2:$S$495=13)*('CONTROL MASTER'!$Z$2:$Z$495&lt;=4)*('CONTROL MASTER'!$AB$2:$AB$495&gt;=4)*('CONTROL MASTER'!$AA$2:$AA$495&lt;=7)*('CONTROL MASTER'!$AC$2:$AC$495&gt;=7))*ROW('CONTROL MASTER'!$S$2:$S$495))-(ROW('CONTROL MASTER'!#REF!)-1)))&amp;TRIM(MID(SUBSTITUTE(SUBSTITUTE(INDEX('CONTROL MASTER'!$N$2:$N$495,(SUMPRODUCT((('CONTROL MASTER'!$S$2:$S$495=13)*('CONTROL MASTER'!$Z$2:$Z$495&lt;=4)*('CONTROL MASTER'!$AB$2:$AB$495&gt;=4)*('CONTROL MASTER'!$AA$2:$AA$495&lt;=7)*('CONTROL MASTER'!$AC$2:$AC$495&gt;=7))*ROW('CONTROL MASTER'!$S$2:$S$495))-(ROW('CONTROL MASTER'!#REF!)-1))),":",","),",",REPT(" ",50)),(((INDEX('CONTROL MASTER'!$Y$2:$Y$495,(SUMPRODUCT((('CONTROL MASTER'!$S$2:$S$495=13)*('CONTROL MASTER'!$Z$2:$Z$495&lt;=4)*('CONTROL MASTER'!$AB$2:$AB$495&gt;=4)*('CONTROL MASTER'!$AA$2:$AA$495&lt;=7)*('CONTROL MASTER'!$AC$2:$AC$495&gt;=7))*ROW('CONTROL MASTER'!$S$2:$S$495))-(ROW('CONTROL MASTER'!#REF!)-1)))+((4-INDEX('CONTROL MASTER'!$Z$2:$Z$495,(SUMPRODUCT((('CONTROL MASTER'!$S$2:$S$495=13)*('CONTROL MASTER'!$Z$2:$Z$495&lt;=4)*('CONTROL MASTER'!$AB$2:$AB$495&gt;=4)*('CONTROL MASTER'!$AA$2:$AA$495&lt;=7)*('CONTROL MASTER'!$AC$2:$AC$495&gt;=7))*ROW('CONTROL MASTER'!$S$2:$S$495))-(ROW('CONTROL MASTER'!#REF!)-1))))*(INDEX('CONTROL MASTER'!$AC$2:$AC$495,(SUMPRODUCT((('CONTROL MASTER'!$S$2:$S$495=13)*('CONTROL MASTER'!$Z$2:$Z$495&lt;=4)*('CONTROL MASTER'!$AB$2:$AB$495&gt;=4)*('CONTROL MASTER'!$AA$2:$AA$495&lt;=7)*('CONTROL MASTER'!$AC$2:$AC$495&gt;=7))*ROW('CONTROL MASTER'!$S$2:$S$495))-(ROW('CONTROL MASTER'!#REF!)-1)))-INDEX('CONTROL MASTER'!$AA$2:$AA$495,(SUMPRODUCT((('CONTROL MASTER'!$S$2:$S$495=13)*('CONTROL MASTER'!$Z$2:$Z$495&lt;=4)*('CONTROL MASTER'!$AB$2:$AB$495&gt;=4)*('CONTROL MASTER'!$AA$2:$AA$495&lt;=7)*('CONTROL MASTER'!$AC$2:$AC$495&gt;=7))*ROW('CONTROL MASTER'!$S$2:$S$495))-(ROW('CONTROL MASTER'!#REF!)-1)))+1)+(7-INDEX('CONTROL MASTER'!$AA$2:$AA$495,(SUMPRODUCT((('CONTROL MASTER'!$S$2:$S$495=13)*('CONTROL MASTER'!$Z$2:$Z$495&lt;=4)*('CONTROL MASTER'!$AB$2:$AB$495&gt;=4)*('CONTROL MASTER'!$AA$2:$AA$495&lt;=7)*('CONTROL MASTER'!$AC$2:$AC$495&gt;=7))*ROW('CONTROL MASTER'!$S$2:$S$495))-(ROW('CONTROL MASTER'!#REF!)-1))))+1)))-1)*50+1,50))&amp;"_"&amp;INDEX('CONTROL MASTER'!$P$2:$P$495,(SUMPRODUCT((('CONTROL MASTER'!$S$2:$S$495=13)*('CONTROL MASTER'!$Z$2:$Z$495&lt;=4)*('CONTROL MASTER'!$AB$2:$AB$495&gt;=4)*('CONTROL MASTER'!$AA$2:$AA$495&lt;=7)*('CONTROL MASTER'!$AC$2:$AC$495&gt;=7))*ROW('CONTROL MASTER'!$S$2:$S$495))-(ROW('CONTROL MASTER'!#REF!)-1))),"")),"")</f>
        <v/>
      </c>
      <c r="I174" s="10" t="str">
        <f>IFERROR(IF(SUMPRODUCT((('CONTROL MASTER'!$S$2:$S$495=13)*('CONTROL MASTER'!$T$2:$T$495&lt;=4)*('CONTROL MASTER'!$V$2:$V$495&gt;=4)*('CONTROL MASTER'!$U$2:$U$495&lt;=8)*('CONTROL MASTER'!$W$2:$W$495&gt;=8))*ROW('CONTROL MASTER'!$S$2:$S$495))&gt;0,INDEX('CONTROL MASTER'!$X$2:$X$495,(SUMPRODUCT((('CONTROL MASTER'!$S$2:$S$495=13)*('CONTROL MASTER'!$T$2:$T$495&lt;=4)*('CONTROL MASTER'!$V$2:$V$495&gt;=4)*('CONTROL MASTER'!$U$2:$U$495&lt;=8)*('CONTROL MASTER'!$W$2:$W$495&gt;=8))*ROW('CONTROL MASTER'!$S$2:$S$495))-(ROW('CONTROL MASTER'!#REF!)-1)))&amp;TRIM(MID(SUBSTITUTE(SUBSTITUTE(INDEX('CONTROL MASTER'!$N$2:$N$495,(SUMPRODUCT((('CONTROL MASTER'!$S$2:$S$495=13)*('CONTROL MASTER'!$T$2:$T$495&lt;=4)*('CONTROL MASTER'!$V$2:$V$495&gt;=4)*('CONTROL MASTER'!$U$2:$U$495&lt;=8)*('CONTROL MASTER'!$W$2:$W$495&gt;=8))*ROW('CONTROL MASTER'!$S$2:$S$495))-(ROW('CONTROL MASTER'!#REF!)-1))),":",","),",",REPT(" ",50)),((((4-INDEX('CONTROL MASTER'!$T$2:$T$495,(SUMPRODUCT((('CONTROL MASTER'!$S$2:$S$495=13)*('CONTROL MASTER'!$T$2:$T$495&lt;=4)*('CONTROL MASTER'!$V$2:$V$495&gt;=4)*('CONTROL MASTER'!$U$2:$U$495&lt;=8)*('CONTROL MASTER'!$W$2:$W$495&gt;=8))*ROW('CONTROL MASTER'!$S$2:$S$495))-(ROW('CONTROL MASTER'!#REF!)-1))))*(INDEX('CONTROL MASTER'!$W$2:$W$495,(SUMPRODUCT((('CONTROL MASTER'!$S$2:$S$495=13)*('CONTROL MASTER'!$T$2:$T$495&lt;=4)*('CONTROL MASTER'!$V$2:$V$495&gt;=4)*('CONTROL MASTER'!$U$2:$U$495&lt;=8)*('CONTROL MASTER'!$W$2:$W$495&gt;=8))*ROW('CONTROL MASTER'!$S$2:$S$495))-(ROW('CONTROL MASTER'!#REF!)-1)))-INDEX('CONTROL MASTER'!$U$2:$U$495,(SUMPRODUCT((('CONTROL MASTER'!$S$2:$S$495=13)*('CONTROL MASTER'!$T$2:$T$495&lt;=4)*('CONTROL MASTER'!$V$2:$V$495&gt;=4)*('CONTROL MASTER'!$U$2:$U$495&lt;=8)*('CONTROL MASTER'!$W$2:$W$495&gt;=8))*ROW('CONTROL MASTER'!$S$2:$S$495))-(ROW('CONTROL MASTER'!#REF!)-1)))+1)+(8-INDEX('CONTROL MASTER'!$U$2:$U$495,(SUMPRODUCT((('CONTROL MASTER'!$S$2:$S$495=13)*('CONTROL MASTER'!$T$2:$T$495&lt;=4)*('CONTROL MASTER'!$V$2:$V$495&gt;=4)*('CONTROL MASTER'!$U$2:$U$495&lt;=8)*('CONTROL MASTER'!$W$2:$W$495&gt;=8))*ROW('CONTROL MASTER'!$S$2:$S$495))-(ROW('CONTROL MASTER'!#REF!)-1))))+1))-1)*50+1,50))&amp;"_"&amp;INDEX('CONTROL MASTER'!$P$2:$P$495,(SUMPRODUCT((('CONTROL MASTER'!$S$2:$S$495=13)*('CONTROL MASTER'!$T$2:$T$495&lt;=4)*('CONTROL MASTER'!$V$2:$V$495&gt;=4)*('CONTROL MASTER'!$U$2:$U$495&lt;=8)*('CONTROL MASTER'!$W$2:$W$495&gt;=8))*ROW('CONTROL MASTER'!$S$2:$S$495))-(ROW('CONTROL MASTER'!#REF!)-1))),IF(SUMPRODUCT((('CONTROL MASTER'!$S$2:$S$495=13)*('CONTROL MASTER'!$Z$2:$Z$495&lt;=4)*('CONTROL MASTER'!$AB$2:$AB$495&gt;=4)*('CONTROL MASTER'!$AA$2:$AA$495&lt;=8)*('CONTROL MASTER'!$AC$2:$AC$495&gt;=8))*ROW('CONTROL MASTER'!$S$2:$S$495))&gt;0,INDEX('CONTROL MASTER'!$X$2:$X$495,(SUMPRODUCT((('CONTROL MASTER'!$S$2:$S$495=13)*('CONTROL MASTER'!$Z$2:$Z$495&lt;=4)*('CONTROL MASTER'!$AB$2:$AB$495&gt;=4)*('CONTROL MASTER'!$AA$2:$AA$495&lt;=8)*('CONTROL MASTER'!$AC$2:$AC$495&gt;=8))*ROW('CONTROL MASTER'!$S$2:$S$495))-(ROW('CONTROL MASTER'!#REF!)-1)))&amp;TRIM(MID(SUBSTITUTE(SUBSTITUTE(INDEX('CONTROL MASTER'!$N$2:$N$495,(SUMPRODUCT((('CONTROL MASTER'!$S$2:$S$495=13)*('CONTROL MASTER'!$Z$2:$Z$495&lt;=4)*('CONTROL MASTER'!$AB$2:$AB$495&gt;=4)*('CONTROL MASTER'!$AA$2:$AA$495&lt;=8)*('CONTROL MASTER'!$AC$2:$AC$495&gt;=8))*ROW('CONTROL MASTER'!$S$2:$S$495))-(ROW('CONTROL MASTER'!#REF!)-1))),":",","),",",REPT(" ",50)),(((INDEX('CONTROL MASTER'!$Y$2:$Y$495,(SUMPRODUCT((('CONTROL MASTER'!$S$2:$S$495=13)*('CONTROL MASTER'!$Z$2:$Z$495&lt;=4)*('CONTROL MASTER'!$AB$2:$AB$495&gt;=4)*('CONTROL MASTER'!$AA$2:$AA$495&lt;=8)*('CONTROL MASTER'!$AC$2:$AC$495&gt;=8))*ROW('CONTROL MASTER'!$S$2:$S$495))-(ROW('CONTROL MASTER'!#REF!)-1)))+((4-INDEX('CONTROL MASTER'!$Z$2:$Z$495,(SUMPRODUCT((('CONTROL MASTER'!$S$2:$S$495=13)*('CONTROL MASTER'!$Z$2:$Z$495&lt;=4)*('CONTROL MASTER'!$AB$2:$AB$495&gt;=4)*('CONTROL MASTER'!$AA$2:$AA$495&lt;=8)*('CONTROL MASTER'!$AC$2:$AC$495&gt;=8))*ROW('CONTROL MASTER'!$S$2:$S$495))-(ROW('CONTROL MASTER'!#REF!)-1))))*(INDEX('CONTROL MASTER'!$AC$2:$AC$495,(SUMPRODUCT((('CONTROL MASTER'!$S$2:$S$495=13)*('CONTROL MASTER'!$Z$2:$Z$495&lt;=4)*('CONTROL MASTER'!$AB$2:$AB$495&gt;=4)*('CONTROL MASTER'!$AA$2:$AA$495&lt;=8)*('CONTROL MASTER'!$AC$2:$AC$495&gt;=8))*ROW('CONTROL MASTER'!$S$2:$S$495))-(ROW('CONTROL MASTER'!#REF!)-1)))-INDEX('CONTROL MASTER'!$AA$2:$AA$495,(SUMPRODUCT((('CONTROL MASTER'!$S$2:$S$495=13)*('CONTROL MASTER'!$Z$2:$Z$495&lt;=4)*('CONTROL MASTER'!$AB$2:$AB$495&gt;=4)*('CONTROL MASTER'!$AA$2:$AA$495&lt;=8)*('CONTROL MASTER'!$AC$2:$AC$495&gt;=8))*ROW('CONTROL MASTER'!$S$2:$S$495))-(ROW('CONTROL MASTER'!#REF!)-1)))+1)+(8-INDEX('CONTROL MASTER'!$AA$2:$AA$495,(SUMPRODUCT((('CONTROL MASTER'!$S$2:$S$495=13)*('CONTROL MASTER'!$Z$2:$Z$495&lt;=4)*('CONTROL MASTER'!$AB$2:$AB$495&gt;=4)*('CONTROL MASTER'!$AA$2:$AA$495&lt;=8)*('CONTROL MASTER'!$AC$2:$AC$495&gt;=8))*ROW('CONTROL MASTER'!$S$2:$S$495))-(ROW('CONTROL MASTER'!#REF!)-1))))+1)))-1)*50+1,50))&amp;"_"&amp;INDEX('CONTROL MASTER'!$P$2:$P$495,(SUMPRODUCT((('CONTROL MASTER'!$S$2:$S$495=13)*('CONTROL MASTER'!$Z$2:$Z$495&lt;=4)*('CONTROL MASTER'!$AB$2:$AB$495&gt;=4)*('CONTROL MASTER'!$AA$2:$AA$495&lt;=8)*('CONTROL MASTER'!$AC$2:$AC$495&gt;=8))*ROW('CONTROL MASTER'!$S$2:$S$495))-(ROW('CONTROL MASTER'!#REF!)-1))),"")),"")</f>
        <v/>
      </c>
      <c r="J174" s="10" t="str">
        <f>IFERROR(IF(SUMPRODUCT((('CONTROL MASTER'!$S$2:$S$495=13)*('CONTROL MASTER'!$T$2:$T$495&lt;=4)*('CONTROL MASTER'!$V$2:$V$495&gt;=4)*('CONTROL MASTER'!$U$2:$U$495&lt;=9)*('CONTROL MASTER'!$W$2:$W$495&gt;=9))*ROW('CONTROL MASTER'!$S$2:$S$495))&gt;0,INDEX('CONTROL MASTER'!$X$2:$X$495,(SUMPRODUCT((('CONTROL MASTER'!$S$2:$S$495=13)*('CONTROL MASTER'!$T$2:$T$495&lt;=4)*('CONTROL MASTER'!$V$2:$V$495&gt;=4)*('CONTROL MASTER'!$U$2:$U$495&lt;=9)*('CONTROL MASTER'!$W$2:$W$495&gt;=9))*ROW('CONTROL MASTER'!$S$2:$S$495))-(ROW('CONTROL MASTER'!#REF!)-1)))&amp;TRIM(MID(SUBSTITUTE(SUBSTITUTE(INDEX('CONTROL MASTER'!$N$2:$N$495,(SUMPRODUCT((('CONTROL MASTER'!$S$2:$S$495=13)*('CONTROL MASTER'!$T$2:$T$495&lt;=4)*('CONTROL MASTER'!$V$2:$V$495&gt;=4)*('CONTROL MASTER'!$U$2:$U$495&lt;=9)*('CONTROL MASTER'!$W$2:$W$495&gt;=9))*ROW('CONTROL MASTER'!$S$2:$S$495))-(ROW('CONTROL MASTER'!#REF!)-1))),":",","),",",REPT(" ",50)),((((4-INDEX('CONTROL MASTER'!$T$2:$T$495,(SUMPRODUCT((('CONTROL MASTER'!$S$2:$S$495=13)*('CONTROL MASTER'!$T$2:$T$495&lt;=4)*('CONTROL MASTER'!$V$2:$V$495&gt;=4)*('CONTROL MASTER'!$U$2:$U$495&lt;=9)*('CONTROL MASTER'!$W$2:$W$495&gt;=9))*ROW('CONTROL MASTER'!$S$2:$S$495))-(ROW('CONTROL MASTER'!#REF!)-1))))*(INDEX('CONTROL MASTER'!$W$2:$W$495,(SUMPRODUCT((('CONTROL MASTER'!$S$2:$S$495=13)*('CONTROL MASTER'!$T$2:$T$495&lt;=4)*('CONTROL MASTER'!$V$2:$V$495&gt;=4)*('CONTROL MASTER'!$U$2:$U$495&lt;=9)*('CONTROL MASTER'!$W$2:$W$495&gt;=9))*ROW('CONTROL MASTER'!$S$2:$S$495))-(ROW('CONTROL MASTER'!#REF!)-1)))-INDEX('CONTROL MASTER'!$U$2:$U$495,(SUMPRODUCT((('CONTROL MASTER'!$S$2:$S$495=13)*('CONTROL MASTER'!$T$2:$T$495&lt;=4)*('CONTROL MASTER'!$V$2:$V$495&gt;=4)*('CONTROL MASTER'!$U$2:$U$495&lt;=9)*('CONTROL MASTER'!$W$2:$W$495&gt;=9))*ROW('CONTROL MASTER'!$S$2:$S$495))-(ROW('CONTROL MASTER'!#REF!)-1)))+1)+(9-INDEX('CONTROL MASTER'!$U$2:$U$495,(SUMPRODUCT((('CONTROL MASTER'!$S$2:$S$495=13)*('CONTROL MASTER'!$T$2:$T$495&lt;=4)*('CONTROL MASTER'!$V$2:$V$495&gt;=4)*('CONTROL MASTER'!$U$2:$U$495&lt;=9)*('CONTROL MASTER'!$W$2:$W$495&gt;=9))*ROW('CONTROL MASTER'!$S$2:$S$495))-(ROW('CONTROL MASTER'!#REF!)-1))))+1))-1)*50+1,50))&amp;"_"&amp;INDEX('CONTROL MASTER'!$P$2:$P$495,(SUMPRODUCT((('CONTROL MASTER'!$S$2:$S$495=13)*('CONTROL MASTER'!$T$2:$T$495&lt;=4)*('CONTROL MASTER'!$V$2:$V$495&gt;=4)*('CONTROL MASTER'!$U$2:$U$495&lt;=9)*('CONTROL MASTER'!$W$2:$W$495&gt;=9))*ROW('CONTROL MASTER'!$S$2:$S$495))-(ROW('CONTROL MASTER'!#REF!)-1))),IF(SUMPRODUCT((('CONTROL MASTER'!$S$2:$S$495=13)*('CONTROL MASTER'!$Z$2:$Z$495&lt;=4)*('CONTROL MASTER'!$AB$2:$AB$495&gt;=4)*('CONTROL MASTER'!$AA$2:$AA$495&lt;=9)*('CONTROL MASTER'!$AC$2:$AC$495&gt;=9))*ROW('CONTROL MASTER'!$S$2:$S$495))&gt;0,INDEX('CONTROL MASTER'!$X$2:$X$495,(SUMPRODUCT((('CONTROL MASTER'!$S$2:$S$495=13)*('CONTROL MASTER'!$Z$2:$Z$495&lt;=4)*('CONTROL MASTER'!$AB$2:$AB$495&gt;=4)*('CONTROL MASTER'!$AA$2:$AA$495&lt;=9)*('CONTROL MASTER'!$AC$2:$AC$495&gt;=9))*ROW('CONTROL MASTER'!$S$2:$S$495))-(ROW('CONTROL MASTER'!#REF!)-1)))&amp;TRIM(MID(SUBSTITUTE(SUBSTITUTE(INDEX('CONTROL MASTER'!$N$2:$N$495,(SUMPRODUCT((('CONTROL MASTER'!$S$2:$S$495=13)*('CONTROL MASTER'!$Z$2:$Z$495&lt;=4)*('CONTROL MASTER'!$AB$2:$AB$495&gt;=4)*('CONTROL MASTER'!$AA$2:$AA$495&lt;=9)*('CONTROL MASTER'!$AC$2:$AC$495&gt;=9))*ROW('CONTROL MASTER'!$S$2:$S$495))-(ROW('CONTROL MASTER'!#REF!)-1))),":",","),",",REPT(" ",50)),(((INDEX('CONTROL MASTER'!$Y$2:$Y$495,(SUMPRODUCT((('CONTROL MASTER'!$S$2:$S$495=13)*('CONTROL MASTER'!$Z$2:$Z$495&lt;=4)*('CONTROL MASTER'!$AB$2:$AB$495&gt;=4)*('CONTROL MASTER'!$AA$2:$AA$495&lt;=9)*('CONTROL MASTER'!$AC$2:$AC$495&gt;=9))*ROW('CONTROL MASTER'!$S$2:$S$495))-(ROW('CONTROL MASTER'!#REF!)-1)))+((4-INDEX('CONTROL MASTER'!$Z$2:$Z$495,(SUMPRODUCT((('CONTROL MASTER'!$S$2:$S$495=13)*('CONTROL MASTER'!$Z$2:$Z$495&lt;=4)*('CONTROL MASTER'!$AB$2:$AB$495&gt;=4)*('CONTROL MASTER'!$AA$2:$AA$495&lt;=9)*('CONTROL MASTER'!$AC$2:$AC$495&gt;=9))*ROW('CONTROL MASTER'!$S$2:$S$495))-(ROW('CONTROL MASTER'!#REF!)-1))))*(INDEX('CONTROL MASTER'!$AC$2:$AC$495,(SUMPRODUCT((('CONTROL MASTER'!$S$2:$S$495=13)*('CONTROL MASTER'!$Z$2:$Z$495&lt;=4)*('CONTROL MASTER'!$AB$2:$AB$495&gt;=4)*('CONTROL MASTER'!$AA$2:$AA$495&lt;=9)*('CONTROL MASTER'!$AC$2:$AC$495&gt;=9))*ROW('CONTROL MASTER'!$S$2:$S$495))-(ROW('CONTROL MASTER'!#REF!)-1)))-INDEX('CONTROL MASTER'!$AA$2:$AA$495,(SUMPRODUCT((('CONTROL MASTER'!$S$2:$S$495=13)*('CONTROL MASTER'!$Z$2:$Z$495&lt;=4)*('CONTROL MASTER'!$AB$2:$AB$495&gt;=4)*('CONTROL MASTER'!$AA$2:$AA$495&lt;=9)*('CONTROL MASTER'!$AC$2:$AC$495&gt;=9))*ROW('CONTROL MASTER'!$S$2:$S$495))-(ROW('CONTROL MASTER'!#REF!)-1)))+1)+(9-INDEX('CONTROL MASTER'!$AA$2:$AA$495,(SUMPRODUCT((('CONTROL MASTER'!$S$2:$S$495=13)*('CONTROL MASTER'!$Z$2:$Z$495&lt;=4)*('CONTROL MASTER'!$AB$2:$AB$495&gt;=4)*('CONTROL MASTER'!$AA$2:$AA$495&lt;=9)*('CONTROL MASTER'!$AC$2:$AC$495&gt;=9))*ROW('CONTROL MASTER'!$S$2:$S$495))-(ROW('CONTROL MASTER'!#REF!)-1))))+1)))-1)*50+1,50))&amp;"_"&amp;INDEX('CONTROL MASTER'!$P$2:$P$495,(SUMPRODUCT((('CONTROL MASTER'!$S$2:$S$495=13)*('CONTROL MASTER'!$Z$2:$Z$495&lt;=4)*('CONTROL MASTER'!$AB$2:$AB$495&gt;=4)*('CONTROL MASTER'!$AA$2:$AA$495&lt;=9)*('CONTROL MASTER'!$AC$2:$AC$495&gt;=9))*ROW('CONTROL MASTER'!$S$2:$S$495))-(ROW('CONTROL MASTER'!#REF!)-1))),"")),"")</f>
        <v/>
      </c>
      <c r="K174" s="10" t="str">
        <f>IFERROR(IF(SUMPRODUCT((('CONTROL MASTER'!$S$2:$S$495=13)*('CONTROL MASTER'!$T$2:$T$495&lt;=4)*('CONTROL MASTER'!$V$2:$V$495&gt;=4)*('CONTROL MASTER'!$U$2:$U$495&lt;=10)*('CONTROL MASTER'!$W$2:$W$495&gt;=10))*ROW('CONTROL MASTER'!$S$2:$S$495))&gt;0,INDEX('CONTROL MASTER'!$X$2:$X$495,(SUMPRODUCT((('CONTROL MASTER'!$S$2:$S$495=13)*('CONTROL MASTER'!$T$2:$T$495&lt;=4)*('CONTROL MASTER'!$V$2:$V$495&gt;=4)*('CONTROL MASTER'!$U$2:$U$495&lt;=10)*('CONTROL MASTER'!$W$2:$W$495&gt;=10))*ROW('CONTROL MASTER'!$S$2:$S$495))-(ROW('CONTROL MASTER'!#REF!)-1)))&amp;TRIM(MID(SUBSTITUTE(SUBSTITUTE(INDEX('CONTROL MASTER'!$N$2:$N$495,(SUMPRODUCT((('CONTROL MASTER'!$S$2:$S$495=13)*('CONTROL MASTER'!$T$2:$T$495&lt;=4)*('CONTROL MASTER'!$V$2:$V$495&gt;=4)*('CONTROL MASTER'!$U$2:$U$495&lt;=10)*('CONTROL MASTER'!$W$2:$W$495&gt;=10))*ROW('CONTROL MASTER'!$S$2:$S$495))-(ROW('CONTROL MASTER'!#REF!)-1))),":",","),",",REPT(" ",50)),((((4-INDEX('CONTROL MASTER'!$T$2:$T$495,(SUMPRODUCT((('CONTROL MASTER'!$S$2:$S$495=13)*('CONTROL MASTER'!$T$2:$T$495&lt;=4)*('CONTROL MASTER'!$V$2:$V$495&gt;=4)*('CONTROL MASTER'!$U$2:$U$495&lt;=10)*('CONTROL MASTER'!$W$2:$W$495&gt;=10))*ROW('CONTROL MASTER'!$S$2:$S$495))-(ROW('CONTROL MASTER'!#REF!)-1))))*(INDEX('CONTROL MASTER'!$W$2:$W$495,(SUMPRODUCT((('CONTROL MASTER'!$S$2:$S$495=13)*('CONTROL MASTER'!$T$2:$T$495&lt;=4)*('CONTROL MASTER'!$V$2:$V$495&gt;=4)*('CONTROL MASTER'!$U$2:$U$495&lt;=10)*('CONTROL MASTER'!$W$2:$W$495&gt;=10))*ROW('CONTROL MASTER'!$S$2:$S$495))-(ROW('CONTROL MASTER'!#REF!)-1)))-INDEX('CONTROL MASTER'!$U$2:$U$495,(SUMPRODUCT((('CONTROL MASTER'!$S$2:$S$495=13)*('CONTROL MASTER'!$T$2:$T$495&lt;=4)*('CONTROL MASTER'!$V$2:$V$495&gt;=4)*('CONTROL MASTER'!$U$2:$U$495&lt;=10)*('CONTROL MASTER'!$W$2:$W$495&gt;=10))*ROW('CONTROL MASTER'!$S$2:$S$495))-(ROW('CONTROL MASTER'!#REF!)-1)))+1)+(10-INDEX('CONTROL MASTER'!$U$2:$U$495,(SUMPRODUCT((('CONTROL MASTER'!$S$2:$S$495=13)*('CONTROL MASTER'!$T$2:$T$495&lt;=4)*('CONTROL MASTER'!$V$2:$V$495&gt;=4)*('CONTROL MASTER'!$U$2:$U$495&lt;=10)*('CONTROL MASTER'!$W$2:$W$495&gt;=10))*ROW('CONTROL MASTER'!$S$2:$S$495))-(ROW('CONTROL MASTER'!#REF!)-1))))+1))-1)*50+1,50))&amp;"_"&amp;INDEX('CONTROL MASTER'!$P$2:$P$495,(SUMPRODUCT((('CONTROL MASTER'!$S$2:$S$495=13)*('CONTROL MASTER'!$T$2:$T$495&lt;=4)*('CONTROL MASTER'!$V$2:$V$495&gt;=4)*('CONTROL MASTER'!$U$2:$U$495&lt;=10)*('CONTROL MASTER'!$W$2:$W$495&gt;=10))*ROW('CONTROL MASTER'!$S$2:$S$495))-(ROW('CONTROL MASTER'!#REF!)-1))),IF(SUMPRODUCT((('CONTROL MASTER'!$S$2:$S$495=13)*('CONTROL MASTER'!$Z$2:$Z$495&lt;=4)*('CONTROL MASTER'!$AB$2:$AB$495&gt;=4)*('CONTROL MASTER'!$AA$2:$AA$495&lt;=10)*('CONTROL MASTER'!$AC$2:$AC$495&gt;=10))*ROW('CONTROL MASTER'!$S$2:$S$495))&gt;0,INDEX('CONTROL MASTER'!$X$2:$X$495,(SUMPRODUCT((('CONTROL MASTER'!$S$2:$S$495=13)*('CONTROL MASTER'!$Z$2:$Z$495&lt;=4)*('CONTROL MASTER'!$AB$2:$AB$495&gt;=4)*('CONTROL MASTER'!$AA$2:$AA$495&lt;=10)*('CONTROL MASTER'!$AC$2:$AC$495&gt;=10))*ROW('CONTROL MASTER'!$S$2:$S$495))-(ROW('CONTROL MASTER'!#REF!)-1)))&amp;TRIM(MID(SUBSTITUTE(SUBSTITUTE(INDEX('CONTROL MASTER'!$N$2:$N$495,(SUMPRODUCT((('CONTROL MASTER'!$S$2:$S$495=13)*('CONTROL MASTER'!$Z$2:$Z$495&lt;=4)*('CONTROL MASTER'!$AB$2:$AB$495&gt;=4)*('CONTROL MASTER'!$AA$2:$AA$495&lt;=10)*('CONTROL MASTER'!$AC$2:$AC$495&gt;=10))*ROW('CONTROL MASTER'!$S$2:$S$495))-(ROW('CONTROL MASTER'!#REF!)-1))),":",","),",",REPT(" ",50)),(((INDEX('CONTROL MASTER'!$Y$2:$Y$495,(SUMPRODUCT((('CONTROL MASTER'!$S$2:$S$495=13)*('CONTROL MASTER'!$Z$2:$Z$495&lt;=4)*('CONTROL MASTER'!$AB$2:$AB$495&gt;=4)*('CONTROL MASTER'!$AA$2:$AA$495&lt;=10)*('CONTROL MASTER'!$AC$2:$AC$495&gt;=10))*ROW('CONTROL MASTER'!$S$2:$S$495))-(ROW('CONTROL MASTER'!#REF!)-1)))+((4-INDEX('CONTROL MASTER'!$Z$2:$Z$495,(SUMPRODUCT((('CONTROL MASTER'!$S$2:$S$495=13)*('CONTROL MASTER'!$Z$2:$Z$495&lt;=4)*('CONTROL MASTER'!$AB$2:$AB$495&gt;=4)*('CONTROL MASTER'!$AA$2:$AA$495&lt;=10)*('CONTROL MASTER'!$AC$2:$AC$495&gt;=10))*ROW('CONTROL MASTER'!$S$2:$S$495))-(ROW('CONTROL MASTER'!#REF!)-1))))*(INDEX('CONTROL MASTER'!$AC$2:$AC$495,(SUMPRODUCT((('CONTROL MASTER'!$S$2:$S$495=13)*('CONTROL MASTER'!$Z$2:$Z$495&lt;=4)*('CONTROL MASTER'!$AB$2:$AB$495&gt;=4)*('CONTROL MASTER'!$AA$2:$AA$495&lt;=10)*('CONTROL MASTER'!$AC$2:$AC$495&gt;=10))*ROW('CONTROL MASTER'!$S$2:$S$495))-(ROW('CONTROL MASTER'!#REF!)-1)))-INDEX('CONTROL MASTER'!$AA$2:$AA$495,(SUMPRODUCT((('CONTROL MASTER'!$S$2:$S$495=13)*('CONTROL MASTER'!$Z$2:$Z$495&lt;=4)*('CONTROL MASTER'!$AB$2:$AB$495&gt;=4)*('CONTROL MASTER'!$AA$2:$AA$495&lt;=10)*('CONTROL MASTER'!$AC$2:$AC$495&gt;=10))*ROW('CONTROL MASTER'!$S$2:$S$495))-(ROW('CONTROL MASTER'!#REF!)-1)))+1)+(10-INDEX('CONTROL MASTER'!$AA$2:$AA$495,(SUMPRODUCT((('CONTROL MASTER'!$S$2:$S$495=13)*('CONTROL MASTER'!$Z$2:$Z$495&lt;=4)*('CONTROL MASTER'!$AB$2:$AB$495&gt;=4)*('CONTROL MASTER'!$AA$2:$AA$495&lt;=10)*('CONTROL MASTER'!$AC$2:$AC$495&gt;=10))*ROW('CONTROL MASTER'!$S$2:$S$495))-(ROW('CONTROL MASTER'!#REF!)-1))))+1)))-1)*50+1,50))&amp;"_"&amp;INDEX('CONTROL MASTER'!$P$2:$P$495,(SUMPRODUCT((('CONTROL MASTER'!$S$2:$S$495=13)*('CONTROL MASTER'!$Z$2:$Z$495&lt;=4)*('CONTROL MASTER'!$AB$2:$AB$495&gt;=4)*('CONTROL MASTER'!$AA$2:$AA$495&lt;=10)*('CONTROL MASTER'!$AC$2:$AC$495&gt;=10))*ROW('CONTROL MASTER'!$S$2:$S$495))-(ROW('CONTROL MASTER'!#REF!)-1))),"")),"")</f>
        <v/>
      </c>
    </row>
    <row r="175" spans="1:11" ht="15" customHeight="1" x14ac:dyDescent="0.35">
      <c r="A175" s="8" t="s">
        <v>32</v>
      </c>
      <c r="B175" s="10" t="str">
        <f>IFERROR(IF(SUMPRODUCT((('CONTROL MASTER'!$S$2:$S$495=13)*('CONTROL MASTER'!$T$2:$T$495&lt;=5)*('CONTROL MASTER'!$V$2:$V$495&gt;=5)*('CONTROL MASTER'!$U$2:$U$495&lt;=1)*('CONTROL MASTER'!$W$2:$W$495&gt;=1))*ROW('CONTROL MASTER'!$S$2:$S$495))&gt;0,INDEX('CONTROL MASTER'!$X$2:$X$495,(SUMPRODUCT((('CONTROL MASTER'!$S$2:$S$495=13)*('CONTROL MASTER'!$T$2:$T$495&lt;=5)*('CONTROL MASTER'!$V$2:$V$495&gt;=5)*('CONTROL MASTER'!$U$2:$U$495&lt;=1)*('CONTROL MASTER'!$W$2:$W$495&gt;=1))*ROW('CONTROL MASTER'!$S$2:$S$495))-(ROW('CONTROL MASTER'!#REF!)-1)))&amp;TRIM(MID(SUBSTITUTE(SUBSTITUTE(INDEX('CONTROL MASTER'!$N$2:$N$495,(SUMPRODUCT((('CONTROL MASTER'!$S$2:$S$495=13)*('CONTROL MASTER'!$T$2:$T$495&lt;=5)*('CONTROL MASTER'!$V$2:$V$495&gt;=5)*('CONTROL MASTER'!$U$2:$U$495&lt;=1)*('CONTROL MASTER'!$W$2:$W$495&gt;=1))*ROW('CONTROL MASTER'!$S$2:$S$495))-(ROW('CONTROL MASTER'!#REF!)-1))),":",","),",",REPT(" ",50)),((((5-INDEX('CONTROL MASTER'!$T$2:$T$495,(SUMPRODUCT((('CONTROL MASTER'!$S$2:$S$495=13)*('CONTROL MASTER'!$T$2:$T$495&lt;=5)*('CONTROL MASTER'!$V$2:$V$495&gt;=5)*('CONTROL MASTER'!$U$2:$U$495&lt;=1)*('CONTROL MASTER'!$W$2:$W$495&gt;=1))*ROW('CONTROL MASTER'!$S$2:$S$495))-(ROW('CONTROL MASTER'!#REF!)-1))))*(INDEX('CONTROL MASTER'!$W$2:$W$495,(SUMPRODUCT((('CONTROL MASTER'!$S$2:$S$495=13)*('CONTROL MASTER'!$T$2:$T$495&lt;=5)*('CONTROL MASTER'!$V$2:$V$495&gt;=5)*('CONTROL MASTER'!$U$2:$U$495&lt;=1)*('CONTROL MASTER'!$W$2:$W$495&gt;=1))*ROW('CONTROL MASTER'!$S$2:$S$495))-(ROW('CONTROL MASTER'!#REF!)-1)))-INDEX('CONTROL MASTER'!$U$2:$U$495,(SUMPRODUCT((('CONTROL MASTER'!$S$2:$S$495=13)*('CONTROL MASTER'!$T$2:$T$495&lt;=5)*('CONTROL MASTER'!$V$2:$V$495&gt;=5)*('CONTROL MASTER'!$U$2:$U$495&lt;=1)*('CONTROL MASTER'!$W$2:$W$495&gt;=1))*ROW('CONTROL MASTER'!$S$2:$S$495))-(ROW('CONTROL MASTER'!#REF!)-1)))+1)+(1-INDEX('CONTROL MASTER'!$U$2:$U$495,(SUMPRODUCT((('CONTROL MASTER'!$S$2:$S$495=13)*('CONTROL MASTER'!$T$2:$T$495&lt;=5)*('CONTROL MASTER'!$V$2:$V$495&gt;=5)*('CONTROL MASTER'!$U$2:$U$495&lt;=1)*('CONTROL MASTER'!$W$2:$W$495&gt;=1))*ROW('CONTROL MASTER'!$S$2:$S$495))-(ROW('CONTROL MASTER'!#REF!)-1))))+1))-1)*50+1,50))&amp;"_"&amp;INDEX('CONTROL MASTER'!$P$2:$P$495,(SUMPRODUCT((('CONTROL MASTER'!$S$2:$S$495=13)*('CONTROL MASTER'!$T$2:$T$495&lt;=5)*('CONTROL MASTER'!$V$2:$V$495&gt;=5)*('CONTROL MASTER'!$U$2:$U$495&lt;=1)*('CONTROL MASTER'!$W$2:$W$495&gt;=1))*ROW('CONTROL MASTER'!$S$2:$S$495))-(ROW('CONTROL MASTER'!#REF!)-1))),IF(SUMPRODUCT((('CONTROL MASTER'!$S$2:$S$495=13)*('CONTROL MASTER'!$Z$2:$Z$495&lt;=5)*('CONTROL MASTER'!$AB$2:$AB$495&gt;=5)*('CONTROL MASTER'!$AA$2:$AA$495&lt;=1)*('CONTROL MASTER'!$AC$2:$AC$495&gt;=1))*ROW('CONTROL MASTER'!$S$2:$S$495))&gt;0,INDEX('CONTROL MASTER'!$X$2:$X$495,(SUMPRODUCT((('CONTROL MASTER'!$S$2:$S$495=13)*('CONTROL MASTER'!$Z$2:$Z$495&lt;=5)*('CONTROL MASTER'!$AB$2:$AB$495&gt;=5)*('CONTROL MASTER'!$AA$2:$AA$495&lt;=1)*('CONTROL MASTER'!$AC$2:$AC$495&gt;=1))*ROW('CONTROL MASTER'!$S$2:$S$495))-(ROW('CONTROL MASTER'!#REF!)-1)))&amp;TRIM(MID(SUBSTITUTE(SUBSTITUTE(INDEX('CONTROL MASTER'!$N$2:$N$495,(SUMPRODUCT((('CONTROL MASTER'!$S$2:$S$495=13)*('CONTROL MASTER'!$Z$2:$Z$495&lt;=5)*('CONTROL MASTER'!$AB$2:$AB$495&gt;=5)*('CONTROL MASTER'!$AA$2:$AA$495&lt;=1)*('CONTROL MASTER'!$AC$2:$AC$495&gt;=1))*ROW('CONTROL MASTER'!$S$2:$S$495))-(ROW('CONTROL MASTER'!#REF!)-1))),":",","),",",REPT(" ",50)),(((INDEX('CONTROL MASTER'!$Y$2:$Y$495,(SUMPRODUCT((('CONTROL MASTER'!$S$2:$S$495=13)*('CONTROL MASTER'!$Z$2:$Z$495&lt;=5)*('CONTROL MASTER'!$AB$2:$AB$495&gt;=5)*('CONTROL MASTER'!$AA$2:$AA$495&lt;=1)*('CONTROL MASTER'!$AC$2:$AC$495&gt;=1))*ROW('CONTROL MASTER'!$S$2:$S$495))-(ROW('CONTROL MASTER'!#REF!)-1)))+((5-INDEX('CONTROL MASTER'!$Z$2:$Z$495,(SUMPRODUCT((('CONTROL MASTER'!$S$2:$S$495=13)*('CONTROL MASTER'!$Z$2:$Z$495&lt;=5)*('CONTROL MASTER'!$AB$2:$AB$495&gt;=5)*('CONTROL MASTER'!$AA$2:$AA$495&lt;=1)*('CONTROL MASTER'!$AC$2:$AC$495&gt;=1))*ROW('CONTROL MASTER'!$S$2:$S$495))-(ROW('CONTROL MASTER'!#REF!)-1))))*(INDEX('CONTROL MASTER'!$AC$2:$AC$495,(SUMPRODUCT((('CONTROL MASTER'!$S$2:$S$495=13)*('CONTROL MASTER'!$Z$2:$Z$495&lt;=5)*('CONTROL MASTER'!$AB$2:$AB$495&gt;=5)*('CONTROL MASTER'!$AA$2:$AA$495&lt;=1)*('CONTROL MASTER'!$AC$2:$AC$495&gt;=1))*ROW('CONTROL MASTER'!$S$2:$S$495))-(ROW('CONTROL MASTER'!#REF!)-1)))-INDEX('CONTROL MASTER'!$AA$2:$AA$495,(SUMPRODUCT((('CONTROL MASTER'!$S$2:$S$495=13)*('CONTROL MASTER'!$Z$2:$Z$495&lt;=5)*('CONTROL MASTER'!$AB$2:$AB$495&gt;=5)*('CONTROL MASTER'!$AA$2:$AA$495&lt;=1)*('CONTROL MASTER'!$AC$2:$AC$495&gt;=1))*ROW('CONTROL MASTER'!$S$2:$S$495))-(ROW('CONTROL MASTER'!#REF!)-1)))+1)+(1-INDEX('CONTROL MASTER'!$AA$2:$AA$495,(SUMPRODUCT((('CONTROL MASTER'!$S$2:$S$495=13)*('CONTROL MASTER'!$Z$2:$Z$495&lt;=5)*('CONTROL MASTER'!$AB$2:$AB$495&gt;=5)*('CONTROL MASTER'!$AA$2:$AA$495&lt;=1)*('CONTROL MASTER'!$AC$2:$AC$495&gt;=1))*ROW('CONTROL MASTER'!$S$2:$S$495))-(ROW('CONTROL MASTER'!#REF!)-1))))+1)))-1)*50+1,50))&amp;"_"&amp;INDEX('CONTROL MASTER'!$P$2:$P$495,(SUMPRODUCT((('CONTROL MASTER'!$S$2:$S$495=13)*('CONTROL MASTER'!$Z$2:$Z$495&lt;=5)*('CONTROL MASTER'!$AB$2:$AB$495&gt;=5)*('CONTROL MASTER'!$AA$2:$AA$495&lt;=1)*('CONTROL MASTER'!$AC$2:$AC$495&gt;=1))*ROW('CONTROL MASTER'!$S$2:$S$495))-(ROW('CONTROL MASTER'!#REF!)-1))),"")),"")</f>
        <v/>
      </c>
      <c r="C175" s="10" t="str">
        <f>IFERROR(IF(SUMPRODUCT((('CONTROL MASTER'!$S$2:$S$495=13)*('CONTROL MASTER'!$T$2:$T$495&lt;=5)*('CONTROL MASTER'!$V$2:$V$495&gt;=5)*('CONTROL MASTER'!$U$2:$U$495&lt;=2)*('CONTROL MASTER'!$W$2:$W$495&gt;=2))*ROW('CONTROL MASTER'!$S$2:$S$495))&gt;0,INDEX('CONTROL MASTER'!$X$2:$X$495,(SUMPRODUCT((('CONTROL MASTER'!$S$2:$S$495=13)*('CONTROL MASTER'!$T$2:$T$495&lt;=5)*('CONTROL MASTER'!$V$2:$V$495&gt;=5)*('CONTROL MASTER'!$U$2:$U$495&lt;=2)*('CONTROL MASTER'!$W$2:$W$495&gt;=2))*ROW('CONTROL MASTER'!$S$2:$S$495))-(ROW('CONTROL MASTER'!#REF!)-1)))&amp;TRIM(MID(SUBSTITUTE(SUBSTITUTE(INDEX('CONTROL MASTER'!$N$2:$N$495,(SUMPRODUCT((('CONTROL MASTER'!$S$2:$S$495=13)*('CONTROL MASTER'!$T$2:$T$495&lt;=5)*('CONTROL MASTER'!$V$2:$V$495&gt;=5)*('CONTROL MASTER'!$U$2:$U$495&lt;=2)*('CONTROL MASTER'!$W$2:$W$495&gt;=2))*ROW('CONTROL MASTER'!$S$2:$S$495))-(ROW('CONTROL MASTER'!#REF!)-1))),":",","),",",REPT(" ",50)),((((5-INDEX('CONTROL MASTER'!$T$2:$T$495,(SUMPRODUCT((('CONTROL MASTER'!$S$2:$S$495=13)*('CONTROL MASTER'!$T$2:$T$495&lt;=5)*('CONTROL MASTER'!$V$2:$V$495&gt;=5)*('CONTROL MASTER'!$U$2:$U$495&lt;=2)*('CONTROL MASTER'!$W$2:$W$495&gt;=2))*ROW('CONTROL MASTER'!$S$2:$S$495))-(ROW('CONTROL MASTER'!#REF!)-1))))*(INDEX('CONTROL MASTER'!$W$2:$W$495,(SUMPRODUCT((('CONTROL MASTER'!$S$2:$S$495=13)*('CONTROL MASTER'!$T$2:$T$495&lt;=5)*('CONTROL MASTER'!$V$2:$V$495&gt;=5)*('CONTROL MASTER'!$U$2:$U$495&lt;=2)*('CONTROL MASTER'!$W$2:$W$495&gt;=2))*ROW('CONTROL MASTER'!$S$2:$S$495))-(ROW('CONTROL MASTER'!#REF!)-1)))-INDEX('CONTROL MASTER'!$U$2:$U$495,(SUMPRODUCT((('CONTROL MASTER'!$S$2:$S$495=13)*('CONTROL MASTER'!$T$2:$T$495&lt;=5)*('CONTROL MASTER'!$V$2:$V$495&gt;=5)*('CONTROL MASTER'!$U$2:$U$495&lt;=2)*('CONTROL MASTER'!$W$2:$W$495&gt;=2))*ROW('CONTROL MASTER'!$S$2:$S$495))-(ROW('CONTROL MASTER'!#REF!)-1)))+1)+(2-INDEX('CONTROL MASTER'!$U$2:$U$495,(SUMPRODUCT((('CONTROL MASTER'!$S$2:$S$495=13)*('CONTROL MASTER'!$T$2:$T$495&lt;=5)*('CONTROL MASTER'!$V$2:$V$495&gt;=5)*('CONTROL MASTER'!$U$2:$U$495&lt;=2)*('CONTROL MASTER'!$W$2:$W$495&gt;=2))*ROW('CONTROL MASTER'!$S$2:$S$495))-(ROW('CONTROL MASTER'!#REF!)-1))))+1))-1)*50+1,50))&amp;"_"&amp;INDEX('CONTROL MASTER'!$P$2:$P$495,(SUMPRODUCT((('CONTROL MASTER'!$S$2:$S$495=13)*('CONTROL MASTER'!$T$2:$T$495&lt;=5)*('CONTROL MASTER'!$V$2:$V$495&gt;=5)*('CONTROL MASTER'!$U$2:$U$495&lt;=2)*('CONTROL MASTER'!$W$2:$W$495&gt;=2))*ROW('CONTROL MASTER'!$S$2:$S$495))-(ROW('CONTROL MASTER'!#REF!)-1))),IF(SUMPRODUCT((('CONTROL MASTER'!$S$2:$S$495=13)*('CONTROL MASTER'!$Z$2:$Z$495&lt;=5)*('CONTROL MASTER'!$AB$2:$AB$495&gt;=5)*('CONTROL MASTER'!$AA$2:$AA$495&lt;=2)*('CONTROL MASTER'!$AC$2:$AC$495&gt;=2))*ROW('CONTROL MASTER'!$S$2:$S$495))&gt;0,INDEX('CONTROL MASTER'!$X$2:$X$495,(SUMPRODUCT((('CONTROL MASTER'!$S$2:$S$495=13)*('CONTROL MASTER'!$Z$2:$Z$495&lt;=5)*('CONTROL MASTER'!$AB$2:$AB$495&gt;=5)*('CONTROL MASTER'!$AA$2:$AA$495&lt;=2)*('CONTROL MASTER'!$AC$2:$AC$495&gt;=2))*ROW('CONTROL MASTER'!$S$2:$S$495))-(ROW('CONTROL MASTER'!#REF!)-1)))&amp;TRIM(MID(SUBSTITUTE(SUBSTITUTE(INDEX('CONTROL MASTER'!$N$2:$N$495,(SUMPRODUCT((('CONTROL MASTER'!$S$2:$S$495=13)*('CONTROL MASTER'!$Z$2:$Z$495&lt;=5)*('CONTROL MASTER'!$AB$2:$AB$495&gt;=5)*('CONTROL MASTER'!$AA$2:$AA$495&lt;=2)*('CONTROL MASTER'!$AC$2:$AC$495&gt;=2))*ROW('CONTROL MASTER'!$S$2:$S$495))-(ROW('CONTROL MASTER'!#REF!)-1))),":",","),",",REPT(" ",50)),(((INDEX('CONTROL MASTER'!$Y$2:$Y$495,(SUMPRODUCT((('CONTROL MASTER'!$S$2:$S$495=13)*('CONTROL MASTER'!$Z$2:$Z$495&lt;=5)*('CONTROL MASTER'!$AB$2:$AB$495&gt;=5)*('CONTROL MASTER'!$AA$2:$AA$495&lt;=2)*('CONTROL MASTER'!$AC$2:$AC$495&gt;=2))*ROW('CONTROL MASTER'!$S$2:$S$495))-(ROW('CONTROL MASTER'!#REF!)-1)))+((5-INDEX('CONTROL MASTER'!$Z$2:$Z$495,(SUMPRODUCT((('CONTROL MASTER'!$S$2:$S$495=13)*('CONTROL MASTER'!$Z$2:$Z$495&lt;=5)*('CONTROL MASTER'!$AB$2:$AB$495&gt;=5)*('CONTROL MASTER'!$AA$2:$AA$495&lt;=2)*('CONTROL MASTER'!$AC$2:$AC$495&gt;=2))*ROW('CONTROL MASTER'!$S$2:$S$495))-(ROW('CONTROL MASTER'!#REF!)-1))))*(INDEX('CONTROL MASTER'!$AC$2:$AC$495,(SUMPRODUCT((('CONTROL MASTER'!$S$2:$S$495=13)*('CONTROL MASTER'!$Z$2:$Z$495&lt;=5)*('CONTROL MASTER'!$AB$2:$AB$495&gt;=5)*('CONTROL MASTER'!$AA$2:$AA$495&lt;=2)*('CONTROL MASTER'!$AC$2:$AC$495&gt;=2))*ROW('CONTROL MASTER'!$S$2:$S$495))-(ROW('CONTROL MASTER'!#REF!)-1)))-INDEX('CONTROL MASTER'!$AA$2:$AA$495,(SUMPRODUCT((('CONTROL MASTER'!$S$2:$S$495=13)*('CONTROL MASTER'!$Z$2:$Z$495&lt;=5)*('CONTROL MASTER'!$AB$2:$AB$495&gt;=5)*('CONTROL MASTER'!$AA$2:$AA$495&lt;=2)*('CONTROL MASTER'!$AC$2:$AC$495&gt;=2))*ROW('CONTROL MASTER'!$S$2:$S$495))-(ROW('CONTROL MASTER'!#REF!)-1)))+1)+(2-INDEX('CONTROL MASTER'!$AA$2:$AA$495,(SUMPRODUCT((('CONTROL MASTER'!$S$2:$S$495=13)*('CONTROL MASTER'!$Z$2:$Z$495&lt;=5)*('CONTROL MASTER'!$AB$2:$AB$495&gt;=5)*('CONTROL MASTER'!$AA$2:$AA$495&lt;=2)*('CONTROL MASTER'!$AC$2:$AC$495&gt;=2))*ROW('CONTROL MASTER'!$S$2:$S$495))-(ROW('CONTROL MASTER'!#REF!)-1))))+1)))-1)*50+1,50))&amp;"_"&amp;INDEX('CONTROL MASTER'!$P$2:$P$495,(SUMPRODUCT((('CONTROL MASTER'!$S$2:$S$495=13)*('CONTROL MASTER'!$Z$2:$Z$495&lt;=5)*('CONTROL MASTER'!$AB$2:$AB$495&gt;=5)*('CONTROL MASTER'!$AA$2:$AA$495&lt;=2)*('CONTROL MASTER'!$AC$2:$AC$495&gt;=2))*ROW('CONTROL MASTER'!$S$2:$S$495))-(ROW('CONTROL MASTER'!#REF!)-1))),"")),"")</f>
        <v/>
      </c>
      <c r="D175" s="10" t="str">
        <f>IFERROR(IF(SUMPRODUCT((('CONTROL MASTER'!$S$2:$S$495=13)*('CONTROL MASTER'!$T$2:$T$495&lt;=5)*('CONTROL MASTER'!$V$2:$V$495&gt;=5)*('CONTROL MASTER'!$U$2:$U$495&lt;=3)*('CONTROL MASTER'!$W$2:$W$495&gt;=3))*ROW('CONTROL MASTER'!$S$2:$S$495))&gt;0,INDEX('CONTROL MASTER'!$X$2:$X$495,(SUMPRODUCT((('CONTROL MASTER'!$S$2:$S$495=13)*('CONTROL MASTER'!$T$2:$T$495&lt;=5)*('CONTROL MASTER'!$V$2:$V$495&gt;=5)*('CONTROL MASTER'!$U$2:$U$495&lt;=3)*('CONTROL MASTER'!$W$2:$W$495&gt;=3))*ROW('CONTROL MASTER'!$S$2:$S$495))-(ROW('CONTROL MASTER'!#REF!)-1)))&amp;TRIM(MID(SUBSTITUTE(SUBSTITUTE(INDEX('CONTROL MASTER'!$N$2:$N$495,(SUMPRODUCT((('CONTROL MASTER'!$S$2:$S$495=13)*('CONTROL MASTER'!$T$2:$T$495&lt;=5)*('CONTROL MASTER'!$V$2:$V$495&gt;=5)*('CONTROL MASTER'!$U$2:$U$495&lt;=3)*('CONTROL MASTER'!$W$2:$W$495&gt;=3))*ROW('CONTROL MASTER'!$S$2:$S$495))-(ROW('CONTROL MASTER'!#REF!)-1))),":",","),",",REPT(" ",50)),((((5-INDEX('CONTROL MASTER'!$T$2:$T$495,(SUMPRODUCT((('CONTROL MASTER'!$S$2:$S$495=13)*('CONTROL MASTER'!$T$2:$T$495&lt;=5)*('CONTROL MASTER'!$V$2:$V$495&gt;=5)*('CONTROL MASTER'!$U$2:$U$495&lt;=3)*('CONTROL MASTER'!$W$2:$W$495&gt;=3))*ROW('CONTROL MASTER'!$S$2:$S$495))-(ROW('CONTROL MASTER'!#REF!)-1))))*(INDEX('CONTROL MASTER'!$W$2:$W$495,(SUMPRODUCT((('CONTROL MASTER'!$S$2:$S$495=13)*('CONTROL MASTER'!$T$2:$T$495&lt;=5)*('CONTROL MASTER'!$V$2:$V$495&gt;=5)*('CONTROL MASTER'!$U$2:$U$495&lt;=3)*('CONTROL MASTER'!$W$2:$W$495&gt;=3))*ROW('CONTROL MASTER'!$S$2:$S$495))-(ROW('CONTROL MASTER'!#REF!)-1)))-INDEX('CONTROL MASTER'!$U$2:$U$495,(SUMPRODUCT((('CONTROL MASTER'!$S$2:$S$495=13)*('CONTROL MASTER'!$T$2:$T$495&lt;=5)*('CONTROL MASTER'!$V$2:$V$495&gt;=5)*('CONTROL MASTER'!$U$2:$U$495&lt;=3)*('CONTROL MASTER'!$W$2:$W$495&gt;=3))*ROW('CONTROL MASTER'!$S$2:$S$495))-(ROW('CONTROL MASTER'!#REF!)-1)))+1)+(3-INDEX('CONTROL MASTER'!$U$2:$U$495,(SUMPRODUCT((('CONTROL MASTER'!$S$2:$S$495=13)*('CONTROL MASTER'!$T$2:$T$495&lt;=5)*('CONTROL MASTER'!$V$2:$V$495&gt;=5)*('CONTROL MASTER'!$U$2:$U$495&lt;=3)*('CONTROL MASTER'!$W$2:$W$495&gt;=3))*ROW('CONTROL MASTER'!$S$2:$S$495))-(ROW('CONTROL MASTER'!#REF!)-1))))+1))-1)*50+1,50))&amp;"_"&amp;INDEX('CONTROL MASTER'!$P$2:$P$495,(SUMPRODUCT((('CONTROL MASTER'!$S$2:$S$495=13)*('CONTROL MASTER'!$T$2:$T$495&lt;=5)*('CONTROL MASTER'!$V$2:$V$495&gt;=5)*('CONTROL MASTER'!$U$2:$U$495&lt;=3)*('CONTROL MASTER'!$W$2:$W$495&gt;=3))*ROW('CONTROL MASTER'!$S$2:$S$495))-(ROW('CONTROL MASTER'!#REF!)-1))),IF(SUMPRODUCT((('CONTROL MASTER'!$S$2:$S$495=13)*('CONTROL MASTER'!$Z$2:$Z$495&lt;=5)*('CONTROL MASTER'!$AB$2:$AB$495&gt;=5)*('CONTROL MASTER'!$AA$2:$AA$495&lt;=3)*('CONTROL MASTER'!$AC$2:$AC$495&gt;=3))*ROW('CONTROL MASTER'!$S$2:$S$495))&gt;0,INDEX('CONTROL MASTER'!$X$2:$X$495,(SUMPRODUCT((('CONTROL MASTER'!$S$2:$S$495=13)*('CONTROL MASTER'!$Z$2:$Z$495&lt;=5)*('CONTROL MASTER'!$AB$2:$AB$495&gt;=5)*('CONTROL MASTER'!$AA$2:$AA$495&lt;=3)*('CONTROL MASTER'!$AC$2:$AC$495&gt;=3))*ROW('CONTROL MASTER'!$S$2:$S$495))-(ROW('CONTROL MASTER'!#REF!)-1)))&amp;TRIM(MID(SUBSTITUTE(SUBSTITUTE(INDEX('CONTROL MASTER'!$N$2:$N$495,(SUMPRODUCT((('CONTROL MASTER'!$S$2:$S$495=13)*('CONTROL MASTER'!$Z$2:$Z$495&lt;=5)*('CONTROL MASTER'!$AB$2:$AB$495&gt;=5)*('CONTROL MASTER'!$AA$2:$AA$495&lt;=3)*('CONTROL MASTER'!$AC$2:$AC$495&gt;=3))*ROW('CONTROL MASTER'!$S$2:$S$495))-(ROW('CONTROL MASTER'!#REF!)-1))),":",","),",",REPT(" ",50)),(((INDEX('CONTROL MASTER'!$Y$2:$Y$495,(SUMPRODUCT((('CONTROL MASTER'!$S$2:$S$495=13)*('CONTROL MASTER'!$Z$2:$Z$495&lt;=5)*('CONTROL MASTER'!$AB$2:$AB$495&gt;=5)*('CONTROL MASTER'!$AA$2:$AA$495&lt;=3)*('CONTROL MASTER'!$AC$2:$AC$495&gt;=3))*ROW('CONTROL MASTER'!$S$2:$S$495))-(ROW('CONTROL MASTER'!#REF!)-1)))+((5-INDEX('CONTROL MASTER'!$Z$2:$Z$495,(SUMPRODUCT((('CONTROL MASTER'!$S$2:$S$495=13)*('CONTROL MASTER'!$Z$2:$Z$495&lt;=5)*('CONTROL MASTER'!$AB$2:$AB$495&gt;=5)*('CONTROL MASTER'!$AA$2:$AA$495&lt;=3)*('CONTROL MASTER'!$AC$2:$AC$495&gt;=3))*ROW('CONTROL MASTER'!$S$2:$S$495))-(ROW('CONTROL MASTER'!#REF!)-1))))*(INDEX('CONTROL MASTER'!$AC$2:$AC$495,(SUMPRODUCT((('CONTROL MASTER'!$S$2:$S$495=13)*('CONTROL MASTER'!$Z$2:$Z$495&lt;=5)*('CONTROL MASTER'!$AB$2:$AB$495&gt;=5)*('CONTROL MASTER'!$AA$2:$AA$495&lt;=3)*('CONTROL MASTER'!$AC$2:$AC$495&gt;=3))*ROW('CONTROL MASTER'!$S$2:$S$495))-(ROW('CONTROL MASTER'!#REF!)-1)))-INDEX('CONTROL MASTER'!$AA$2:$AA$495,(SUMPRODUCT((('CONTROL MASTER'!$S$2:$S$495=13)*('CONTROL MASTER'!$Z$2:$Z$495&lt;=5)*('CONTROL MASTER'!$AB$2:$AB$495&gt;=5)*('CONTROL MASTER'!$AA$2:$AA$495&lt;=3)*('CONTROL MASTER'!$AC$2:$AC$495&gt;=3))*ROW('CONTROL MASTER'!$S$2:$S$495))-(ROW('CONTROL MASTER'!#REF!)-1)))+1)+(3-INDEX('CONTROL MASTER'!$AA$2:$AA$495,(SUMPRODUCT((('CONTROL MASTER'!$S$2:$S$495=13)*('CONTROL MASTER'!$Z$2:$Z$495&lt;=5)*('CONTROL MASTER'!$AB$2:$AB$495&gt;=5)*('CONTROL MASTER'!$AA$2:$AA$495&lt;=3)*('CONTROL MASTER'!$AC$2:$AC$495&gt;=3))*ROW('CONTROL MASTER'!$S$2:$S$495))-(ROW('CONTROL MASTER'!#REF!)-1))))+1)))-1)*50+1,50))&amp;"_"&amp;INDEX('CONTROL MASTER'!$P$2:$P$495,(SUMPRODUCT((('CONTROL MASTER'!$S$2:$S$495=13)*('CONTROL MASTER'!$Z$2:$Z$495&lt;=5)*('CONTROL MASTER'!$AB$2:$AB$495&gt;=5)*('CONTROL MASTER'!$AA$2:$AA$495&lt;=3)*('CONTROL MASTER'!$AC$2:$AC$495&gt;=3))*ROW('CONTROL MASTER'!$S$2:$S$495))-(ROW('CONTROL MASTER'!#REF!)-1))),"")),"")</f>
        <v/>
      </c>
      <c r="E175" s="10" t="str">
        <f>IFERROR(IF(SUMPRODUCT((('CONTROL MASTER'!$S$2:$S$495=13)*('CONTROL MASTER'!$T$2:$T$495&lt;=5)*('CONTROL MASTER'!$V$2:$V$495&gt;=5)*('CONTROL MASTER'!$U$2:$U$495&lt;=4)*('CONTROL MASTER'!$W$2:$W$495&gt;=4))*ROW('CONTROL MASTER'!$S$2:$S$495))&gt;0,INDEX('CONTROL MASTER'!$X$2:$X$495,(SUMPRODUCT((('CONTROL MASTER'!$S$2:$S$495=13)*('CONTROL MASTER'!$T$2:$T$495&lt;=5)*('CONTROL MASTER'!$V$2:$V$495&gt;=5)*('CONTROL MASTER'!$U$2:$U$495&lt;=4)*('CONTROL MASTER'!$W$2:$W$495&gt;=4))*ROW('CONTROL MASTER'!$S$2:$S$495))-(ROW('CONTROL MASTER'!#REF!)-1)))&amp;TRIM(MID(SUBSTITUTE(SUBSTITUTE(INDEX('CONTROL MASTER'!$N$2:$N$495,(SUMPRODUCT((('CONTROL MASTER'!$S$2:$S$495=13)*('CONTROL MASTER'!$T$2:$T$495&lt;=5)*('CONTROL MASTER'!$V$2:$V$495&gt;=5)*('CONTROL MASTER'!$U$2:$U$495&lt;=4)*('CONTROL MASTER'!$W$2:$W$495&gt;=4))*ROW('CONTROL MASTER'!$S$2:$S$495))-(ROW('CONTROL MASTER'!#REF!)-1))),":",","),",",REPT(" ",50)),((((5-INDEX('CONTROL MASTER'!$T$2:$T$495,(SUMPRODUCT((('CONTROL MASTER'!$S$2:$S$495=13)*('CONTROL MASTER'!$T$2:$T$495&lt;=5)*('CONTROL MASTER'!$V$2:$V$495&gt;=5)*('CONTROL MASTER'!$U$2:$U$495&lt;=4)*('CONTROL MASTER'!$W$2:$W$495&gt;=4))*ROW('CONTROL MASTER'!$S$2:$S$495))-(ROW('CONTROL MASTER'!#REF!)-1))))*(INDEX('CONTROL MASTER'!$W$2:$W$495,(SUMPRODUCT((('CONTROL MASTER'!$S$2:$S$495=13)*('CONTROL MASTER'!$T$2:$T$495&lt;=5)*('CONTROL MASTER'!$V$2:$V$495&gt;=5)*('CONTROL MASTER'!$U$2:$U$495&lt;=4)*('CONTROL MASTER'!$W$2:$W$495&gt;=4))*ROW('CONTROL MASTER'!$S$2:$S$495))-(ROW('CONTROL MASTER'!#REF!)-1)))-INDEX('CONTROL MASTER'!$U$2:$U$495,(SUMPRODUCT((('CONTROL MASTER'!$S$2:$S$495=13)*('CONTROL MASTER'!$T$2:$T$495&lt;=5)*('CONTROL MASTER'!$V$2:$V$495&gt;=5)*('CONTROL MASTER'!$U$2:$U$495&lt;=4)*('CONTROL MASTER'!$W$2:$W$495&gt;=4))*ROW('CONTROL MASTER'!$S$2:$S$495))-(ROW('CONTROL MASTER'!#REF!)-1)))+1)+(4-INDEX('CONTROL MASTER'!$U$2:$U$495,(SUMPRODUCT((('CONTROL MASTER'!$S$2:$S$495=13)*('CONTROL MASTER'!$T$2:$T$495&lt;=5)*('CONTROL MASTER'!$V$2:$V$495&gt;=5)*('CONTROL MASTER'!$U$2:$U$495&lt;=4)*('CONTROL MASTER'!$W$2:$W$495&gt;=4))*ROW('CONTROL MASTER'!$S$2:$S$495))-(ROW('CONTROL MASTER'!#REF!)-1))))+1))-1)*50+1,50))&amp;"_"&amp;INDEX('CONTROL MASTER'!$P$2:$P$495,(SUMPRODUCT((('CONTROL MASTER'!$S$2:$S$495=13)*('CONTROL MASTER'!$T$2:$T$495&lt;=5)*('CONTROL MASTER'!$V$2:$V$495&gt;=5)*('CONTROL MASTER'!$U$2:$U$495&lt;=4)*('CONTROL MASTER'!$W$2:$W$495&gt;=4))*ROW('CONTROL MASTER'!$S$2:$S$495))-(ROW('CONTROL MASTER'!#REF!)-1))),IF(SUMPRODUCT((('CONTROL MASTER'!$S$2:$S$495=13)*('CONTROL MASTER'!$Z$2:$Z$495&lt;=5)*('CONTROL MASTER'!$AB$2:$AB$495&gt;=5)*('CONTROL MASTER'!$AA$2:$AA$495&lt;=4)*('CONTROL MASTER'!$AC$2:$AC$495&gt;=4))*ROW('CONTROL MASTER'!$S$2:$S$495))&gt;0,INDEX('CONTROL MASTER'!$X$2:$X$495,(SUMPRODUCT((('CONTROL MASTER'!$S$2:$S$495=13)*('CONTROL MASTER'!$Z$2:$Z$495&lt;=5)*('CONTROL MASTER'!$AB$2:$AB$495&gt;=5)*('CONTROL MASTER'!$AA$2:$AA$495&lt;=4)*('CONTROL MASTER'!$AC$2:$AC$495&gt;=4))*ROW('CONTROL MASTER'!$S$2:$S$495))-(ROW('CONTROL MASTER'!#REF!)-1)))&amp;TRIM(MID(SUBSTITUTE(SUBSTITUTE(INDEX('CONTROL MASTER'!$N$2:$N$495,(SUMPRODUCT((('CONTROL MASTER'!$S$2:$S$495=13)*('CONTROL MASTER'!$Z$2:$Z$495&lt;=5)*('CONTROL MASTER'!$AB$2:$AB$495&gt;=5)*('CONTROL MASTER'!$AA$2:$AA$495&lt;=4)*('CONTROL MASTER'!$AC$2:$AC$495&gt;=4))*ROW('CONTROL MASTER'!$S$2:$S$495))-(ROW('CONTROL MASTER'!#REF!)-1))),":",","),",",REPT(" ",50)),(((INDEX('CONTROL MASTER'!$Y$2:$Y$495,(SUMPRODUCT((('CONTROL MASTER'!$S$2:$S$495=13)*('CONTROL MASTER'!$Z$2:$Z$495&lt;=5)*('CONTROL MASTER'!$AB$2:$AB$495&gt;=5)*('CONTROL MASTER'!$AA$2:$AA$495&lt;=4)*('CONTROL MASTER'!$AC$2:$AC$495&gt;=4))*ROW('CONTROL MASTER'!$S$2:$S$495))-(ROW('CONTROL MASTER'!#REF!)-1)))+((5-INDEX('CONTROL MASTER'!$Z$2:$Z$495,(SUMPRODUCT((('CONTROL MASTER'!$S$2:$S$495=13)*('CONTROL MASTER'!$Z$2:$Z$495&lt;=5)*('CONTROL MASTER'!$AB$2:$AB$495&gt;=5)*('CONTROL MASTER'!$AA$2:$AA$495&lt;=4)*('CONTROL MASTER'!$AC$2:$AC$495&gt;=4))*ROW('CONTROL MASTER'!$S$2:$S$495))-(ROW('CONTROL MASTER'!#REF!)-1))))*(INDEX('CONTROL MASTER'!$AC$2:$AC$495,(SUMPRODUCT((('CONTROL MASTER'!$S$2:$S$495=13)*('CONTROL MASTER'!$Z$2:$Z$495&lt;=5)*('CONTROL MASTER'!$AB$2:$AB$495&gt;=5)*('CONTROL MASTER'!$AA$2:$AA$495&lt;=4)*('CONTROL MASTER'!$AC$2:$AC$495&gt;=4))*ROW('CONTROL MASTER'!$S$2:$S$495))-(ROW('CONTROL MASTER'!#REF!)-1)))-INDEX('CONTROL MASTER'!$AA$2:$AA$495,(SUMPRODUCT((('CONTROL MASTER'!$S$2:$S$495=13)*('CONTROL MASTER'!$Z$2:$Z$495&lt;=5)*('CONTROL MASTER'!$AB$2:$AB$495&gt;=5)*('CONTROL MASTER'!$AA$2:$AA$495&lt;=4)*('CONTROL MASTER'!$AC$2:$AC$495&gt;=4))*ROW('CONTROL MASTER'!$S$2:$S$495))-(ROW('CONTROL MASTER'!#REF!)-1)))+1)+(4-INDEX('CONTROL MASTER'!$AA$2:$AA$495,(SUMPRODUCT((('CONTROL MASTER'!$S$2:$S$495=13)*('CONTROL MASTER'!$Z$2:$Z$495&lt;=5)*('CONTROL MASTER'!$AB$2:$AB$495&gt;=5)*('CONTROL MASTER'!$AA$2:$AA$495&lt;=4)*('CONTROL MASTER'!$AC$2:$AC$495&gt;=4))*ROW('CONTROL MASTER'!$S$2:$S$495))-(ROW('CONTROL MASTER'!#REF!)-1))))+1)))-1)*50+1,50))&amp;"_"&amp;INDEX('CONTROL MASTER'!$P$2:$P$495,(SUMPRODUCT((('CONTROL MASTER'!$S$2:$S$495=13)*('CONTROL MASTER'!$Z$2:$Z$495&lt;=5)*('CONTROL MASTER'!$AB$2:$AB$495&gt;=5)*('CONTROL MASTER'!$AA$2:$AA$495&lt;=4)*('CONTROL MASTER'!$AC$2:$AC$495&gt;=4))*ROW('CONTROL MASTER'!$S$2:$S$495))-(ROW('CONTROL MASTER'!#REF!)-1))),"")),"")</f>
        <v/>
      </c>
      <c r="F175" s="10" t="str">
        <f>IFERROR(IF(SUMPRODUCT((('CONTROL MASTER'!$S$2:$S$495=13)*('CONTROL MASTER'!$T$2:$T$495&lt;=5)*('CONTROL MASTER'!$V$2:$V$495&gt;=5)*('CONTROL MASTER'!$U$2:$U$495&lt;=5)*('CONTROL MASTER'!$W$2:$W$495&gt;=5))*ROW('CONTROL MASTER'!$S$2:$S$495))&gt;0,INDEX('CONTROL MASTER'!$X$2:$X$495,(SUMPRODUCT((('CONTROL MASTER'!$S$2:$S$495=13)*('CONTROL MASTER'!$T$2:$T$495&lt;=5)*('CONTROL MASTER'!$V$2:$V$495&gt;=5)*('CONTROL MASTER'!$U$2:$U$495&lt;=5)*('CONTROL MASTER'!$W$2:$W$495&gt;=5))*ROW('CONTROL MASTER'!$S$2:$S$495))-(ROW('CONTROL MASTER'!#REF!)-1)))&amp;TRIM(MID(SUBSTITUTE(SUBSTITUTE(INDEX('CONTROL MASTER'!$N$2:$N$495,(SUMPRODUCT((('CONTROL MASTER'!$S$2:$S$495=13)*('CONTROL MASTER'!$T$2:$T$495&lt;=5)*('CONTROL MASTER'!$V$2:$V$495&gt;=5)*('CONTROL MASTER'!$U$2:$U$495&lt;=5)*('CONTROL MASTER'!$W$2:$W$495&gt;=5))*ROW('CONTROL MASTER'!$S$2:$S$495))-(ROW('CONTROL MASTER'!#REF!)-1))),":",","),",",REPT(" ",50)),((((5-INDEX('CONTROL MASTER'!$T$2:$T$495,(SUMPRODUCT((('CONTROL MASTER'!$S$2:$S$495=13)*('CONTROL MASTER'!$T$2:$T$495&lt;=5)*('CONTROL MASTER'!$V$2:$V$495&gt;=5)*('CONTROL MASTER'!$U$2:$U$495&lt;=5)*('CONTROL MASTER'!$W$2:$W$495&gt;=5))*ROW('CONTROL MASTER'!$S$2:$S$495))-(ROW('CONTROL MASTER'!#REF!)-1))))*(INDEX('CONTROL MASTER'!$W$2:$W$495,(SUMPRODUCT((('CONTROL MASTER'!$S$2:$S$495=13)*('CONTROL MASTER'!$T$2:$T$495&lt;=5)*('CONTROL MASTER'!$V$2:$V$495&gt;=5)*('CONTROL MASTER'!$U$2:$U$495&lt;=5)*('CONTROL MASTER'!$W$2:$W$495&gt;=5))*ROW('CONTROL MASTER'!$S$2:$S$495))-(ROW('CONTROL MASTER'!#REF!)-1)))-INDEX('CONTROL MASTER'!$U$2:$U$495,(SUMPRODUCT((('CONTROL MASTER'!$S$2:$S$495=13)*('CONTROL MASTER'!$T$2:$T$495&lt;=5)*('CONTROL MASTER'!$V$2:$V$495&gt;=5)*('CONTROL MASTER'!$U$2:$U$495&lt;=5)*('CONTROL MASTER'!$W$2:$W$495&gt;=5))*ROW('CONTROL MASTER'!$S$2:$S$495))-(ROW('CONTROL MASTER'!#REF!)-1)))+1)+(5-INDEX('CONTROL MASTER'!$U$2:$U$495,(SUMPRODUCT((('CONTROL MASTER'!$S$2:$S$495=13)*('CONTROL MASTER'!$T$2:$T$495&lt;=5)*('CONTROL MASTER'!$V$2:$V$495&gt;=5)*('CONTROL MASTER'!$U$2:$U$495&lt;=5)*('CONTROL MASTER'!$W$2:$W$495&gt;=5))*ROW('CONTROL MASTER'!$S$2:$S$495))-(ROW('CONTROL MASTER'!#REF!)-1))))+1))-1)*50+1,50))&amp;"_"&amp;INDEX('CONTROL MASTER'!$P$2:$P$495,(SUMPRODUCT((('CONTROL MASTER'!$S$2:$S$495=13)*('CONTROL MASTER'!$T$2:$T$495&lt;=5)*('CONTROL MASTER'!$V$2:$V$495&gt;=5)*('CONTROL MASTER'!$U$2:$U$495&lt;=5)*('CONTROL MASTER'!$W$2:$W$495&gt;=5))*ROW('CONTROL MASTER'!$S$2:$S$495))-(ROW('CONTROL MASTER'!#REF!)-1))),IF(SUMPRODUCT((('CONTROL MASTER'!$S$2:$S$495=13)*('CONTROL MASTER'!$Z$2:$Z$495&lt;=5)*('CONTROL MASTER'!$AB$2:$AB$495&gt;=5)*('CONTROL MASTER'!$AA$2:$AA$495&lt;=5)*('CONTROL MASTER'!$AC$2:$AC$495&gt;=5))*ROW('CONTROL MASTER'!$S$2:$S$495))&gt;0,INDEX('CONTROL MASTER'!$X$2:$X$495,(SUMPRODUCT((('CONTROL MASTER'!$S$2:$S$495=13)*('CONTROL MASTER'!$Z$2:$Z$495&lt;=5)*('CONTROL MASTER'!$AB$2:$AB$495&gt;=5)*('CONTROL MASTER'!$AA$2:$AA$495&lt;=5)*('CONTROL MASTER'!$AC$2:$AC$495&gt;=5))*ROW('CONTROL MASTER'!$S$2:$S$495))-(ROW('CONTROL MASTER'!#REF!)-1)))&amp;TRIM(MID(SUBSTITUTE(SUBSTITUTE(INDEX('CONTROL MASTER'!$N$2:$N$495,(SUMPRODUCT((('CONTROL MASTER'!$S$2:$S$495=13)*('CONTROL MASTER'!$Z$2:$Z$495&lt;=5)*('CONTROL MASTER'!$AB$2:$AB$495&gt;=5)*('CONTROL MASTER'!$AA$2:$AA$495&lt;=5)*('CONTROL MASTER'!$AC$2:$AC$495&gt;=5))*ROW('CONTROL MASTER'!$S$2:$S$495))-(ROW('CONTROL MASTER'!#REF!)-1))),":",","),",",REPT(" ",50)),(((INDEX('CONTROL MASTER'!$Y$2:$Y$495,(SUMPRODUCT((('CONTROL MASTER'!$S$2:$S$495=13)*('CONTROL MASTER'!$Z$2:$Z$495&lt;=5)*('CONTROL MASTER'!$AB$2:$AB$495&gt;=5)*('CONTROL MASTER'!$AA$2:$AA$495&lt;=5)*('CONTROL MASTER'!$AC$2:$AC$495&gt;=5))*ROW('CONTROL MASTER'!$S$2:$S$495))-(ROW('CONTROL MASTER'!#REF!)-1)))+((5-INDEX('CONTROL MASTER'!$Z$2:$Z$495,(SUMPRODUCT((('CONTROL MASTER'!$S$2:$S$495=13)*('CONTROL MASTER'!$Z$2:$Z$495&lt;=5)*('CONTROL MASTER'!$AB$2:$AB$495&gt;=5)*('CONTROL MASTER'!$AA$2:$AA$495&lt;=5)*('CONTROL MASTER'!$AC$2:$AC$495&gt;=5))*ROW('CONTROL MASTER'!$S$2:$S$495))-(ROW('CONTROL MASTER'!#REF!)-1))))*(INDEX('CONTROL MASTER'!$AC$2:$AC$495,(SUMPRODUCT((('CONTROL MASTER'!$S$2:$S$495=13)*('CONTROL MASTER'!$Z$2:$Z$495&lt;=5)*('CONTROL MASTER'!$AB$2:$AB$495&gt;=5)*('CONTROL MASTER'!$AA$2:$AA$495&lt;=5)*('CONTROL MASTER'!$AC$2:$AC$495&gt;=5))*ROW('CONTROL MASTER'!$S$2:$S$495))-(ROW('CONTROL MASTER'!#REF!)-1)))-INDEX('CONTROL MASTER'!$AA$2:$AA$495,(SUMPRODUCT((('CONTROL MASTER'!$S$2:$S$495=13)*('CONTROL MASTER'!$Z$2:$Z$495&lt;=5)*('CONTROL MASTER'!$AB$2:$AB$495&gt;=5)*('CONTROL MASTER'!$AA$2:$AA$495&lt;=5)*('CONTROL MASTER'!$AC$2:$AC$495&gt;=5))*ROW('CONTROL MASTER'!$S$2:$S$495))-(ROW('CONTROL MASTER'!#REF!)-1)))+1)+(5-INDEX('CONTROL MASTER'!$AA$2:$AA$495,(SUMPRODUCT((('CONTROL MASTER'!$S$2:$S$495=13)*('CONTROL MASTER'!$Z$2:$Z$495&lt;=5)*('CONTROL MASTER'!$AB$2:$AB$495&gt;=5)*('CONTROL MASTER'!$AA$2:$AA$495&lt;=5)*('CONTROL MASTER'!$AC$2:$AC$495&gt;=5))*ROW('CONTROL MASTER'!$S$2:$S$495))-(ROW('CONTROL MASTER'!#REF!)-1))))+1)))-1)*50+1,50))&amp;"_"&amp;INDEX('CONTROL MASTER'!$P$2:$P$495,(SUMPRODUCT((('CONTROL MASTER'!$S$2:$S$495=13)*('CONTROL MASTER'!$Z$2:$Z$495&lt;=5)*('CONTROL MASTER'!$AB$2:$AB$495&gt;=5)*('CONTROL MASTER'!$AA$2:$AA$495&lt;=5)*('CONTROL MASTER'!$AC$2:$AC$495&gt;=5))*ROW('CONTROL MASTER'!$S$2:$S$495))-(ROW('CONTROL MASTER'!#REF!)-1))),"")),"")</f>
        <v/>
      </c>
      <c r="G175" s="10" t="str">
        <f>IFERROR(IF(SUMPRODUCT((('CONTROL MASTER'!$S$2:$S$495=13)*('CONTROL MASTER'!$T$2:$T$495&lt;=5)*('CONTROL MASTER'!$V$2:$V$495&gt;=5)*('CONTROL MASTER'!$U$2:$U$495&lt;=6)*('CONTROL MASTER'!$W$2:$W$495&gt;=6))*ROW('CONTROL MASTER'!$S$2:$S$495))&gt;0,INDEX('CONTROL MASTER'!$X$2:$X$495,(SUMPRODUCT((('CONTROL MASTER'!$S$2:$S$495=13)*('CONTROL MASTER'!$T$2:$T$495&lt;=5)*('CONTROL MASTER'!$V$2:$V$495&gt;=5)*('CONTROL MASTER'!$U$2:$U$495&lt;=6)*('CONTROL MASTER'!$W$2:$W$495&gt;=6))*ROW('CONTROL MASTER'!$S$2:$S$495))-(ROW('CONTROL MASTER'!#REF!)-1)))&amp;TRIM(MID(SUBSTITUTE(SUBSTITUTE(INDEX('CONTROL MASTER'!$N$2:$N$495,(SUMPRODUCT((('CONTROL MASTER'!$S$2:$S$495=13)*('CONTROL MASTER'!$T$2:$T$495&lt;=5)*('CONTROL MASTER'!$V$2:$V$495&gt;=5)*('CONTROL MASTER'!$U$2:$U$495&lt;=6)*('CONTROL MASTER'!$W$2:$W$495&gt;=6))*ROW('CONTROL MASTER'!$S$2:$S$495))-(ROW('CONTROL MASTER'!#REF!)-1))),":",","),",",REPT(" ",50)),((((5-INDEX('CONTROL MASTER'!$T$2:$T$495,(SUMPRODUCT((('CONTROL MASTER'!$S$2:$S$495=13)*('CONTROL MASTER'!$T$2:$T$495&lt;=5)*('CONTROL MASTER'!$V$2:$V$495&gt;=5)*('CONTROL MASTER'!$U$2:$U$495&lt;=6)*('CONTROL MASTER'!$W$2:$W$495&gt;=6))*ROW('CONTROL MASTER'!$S$2:$S$495))-(ROW('CONTROL MASTER'!#REF!)-1))))*(INDEX('CONTROL MASTER'!$W$2:$W$495,(SUMPRODUCT((('CONTROL MASTER'!$S$2:$S$495=13)*('CONTROL MASTER'!$T$2:$T$495&lt;=5)*('CONTROL MASTER'!$V$2:$V$495&gt;=5)*('CONTROL MASTER'!$U$2:$U$495&lt;=6)*('CONTROL MASTER'!$W$2:$W$495&gt;=6))*ROW('CONTROL MASTER'!$S$2:$S$495))-(ROW('CONTROL MASTER'!#REF!)-1)))-INDEX('CONTROL MASTER'!$U$2:$U$495,(SUMPRODUCT((('CONTROL MASTER'!$S$2:$S$495=13)*('CONTROL MASTER'!$T$2:$T$495&lt;=5)*('CONTROL MASTER'!$V$2:$V$495&gt;=5)*('CONTROL MASTER'!$U$2:$U$495&lt;=6)*('CONTROL MASTER'!$W$2:$W$495&gt;=6))*ROW('CONTROL MASTER'!$S$2:$S$495))-(ROW('CONTROL MASTER'!#REF!)-1)))+1)+(6-INDEX('CONTROL MASTER'!$U$2:$U$495,(SUMPRODUCT((('CONTROL MASTER'!$S$2:$S$495=13)*('CONTROL MASTER'!$T$2:$T$495&lt;=5)*('CONTROL MASTER'!$V$2:$V$495&gt;=5)*('CONTROL MASTER'!$U$2:$U$495&lt;=6)*('CONTROL MASTER'!$W$2:$W$495&gt;=6))*ROW('CONTROL MASTER'!$S$2:$S$495))-(ROW('CONTROL MASTER'!#REF!)-1))))+1))-1)*50+1,50))&amp;"_"&amp;INDEX('CONTROL MASTER'!$P$2:$P$495,(SUMPRODUCT((('CONTROL MASTER'!$S$2:$S$495=13)*('CONTROL MASTER'!$T$2:$T$495&lt;=5)*('CONTROL MASTER'!$V$2:$V$495&gt;=5)*('CONTROL MASTER'!$U$2:$U$495&lt;=6)*('CONTROL MASTER'!$W$2:$W$495&gt;=6))*ROW('CONTROL MASTER'!$S$2:$S$495))-(ROW('CONTROL MASTER'!#REF!)-1))),IF(SUMPRODUCT((('CONTROL MASTER'!$S$2:$S$495=13)*('CONTROL MASTER'!$Z$2:$Z$495&lt;=5)*('CONTROL MASTER'!$AB$2:$AB$495&gt;=5)*('CONTROL MASTER'!$AA$2:$AA$495&lt;=6)*('CONTROL MASTER'!$AC$2:$AC$495&gt;=6))*ROW('CONTROL MASTER'!$S$2:$S$495))&gt;0,INDEX('CONTROL MASTER'!$X$2:$X$495,(SUMPRODUCT((('CONTROL MASTER'!$S$2:$S$495=13)*('CONTROL MASTER'!$Z$2:$Z$495&lt;=5)*('CONTROL MASTER'!$AB$2:$AB$495&gt;=5)*('CONTROL MASTER'!$AA$2:$AA$495&lt;=6)*('CONTROL MASTER'!$AC$2:$AC$495&gt;=6))*ROW('CONTROL MASTER'!$S$2:$S$495))-(ROW('CONTROL MASTER'!#REF!)-1)))&amp;TRIM(MID(SUBSTITUTE(SUBSTITUTE(INDEX('CONTROL MASTER'!$N$2:$N$495,(SUMPRODUCT((('CONTROL MASTER'!$S$2:$S$495=13)*('CONTROL MASTER'!$Z$2:$Z$495&lt;=5)*('CONTROL MASTER'!$AB$2:$AB$495&gt;=5)*('CONTROL MASTER'!$AA$2:$AA$495&lt;=6)*('CONTROL MASTER'!$AC$2:$AC$495&gt;=6))*ROW('CONTROL MASTER'!$S$2:$S$495))-(ROW('CONTROL MASTER'!#REF!)-1))),":",","),",",REPT(" ",50)),(((INDEX('CONTROL MASTER'!$Y$2:$Y$495,(SUMPRODUCT((('CONTROL MASTER'!$S$2:$S$495=13)*('CONTROL MASTER'!$Z$2:$Z$495&lt;=5)*('CONTROL MASTER'!$AB$2:$AB$495&gt;=5)*('CONTROL MASTER'!$AA$2:$AA$495&lt;=6)*('CONTROL MASTER'!$AC$2:$AC$495&gt;=6))*ROW('CONTROL MASTER'!$S$2:$S$495))-(ROW('CONTROL MASTER'!#REF!)-1)))+((5-INDEX('CONTROL MASTER'!$Z$2:$Z$495,(SUMPRODUCT((('CONTROL MASTER'!$S$2:$S$495=13)*('CONTROL MASTER'!$Z$2:$Z$495&lt;=5)*('CONTROL MASTER'!$AB$2:$AB$495&gt;=5)*('CONTROL MASTER'!$AA$2:$AA$495&lt;=6)*('CONTROL MASTER'!$AC$2:$AC$495&gt;=6))*ROW('CONTROL MASTER'!$S$2:$S$495))-(ROW('CONTROL MASTER'!#REF!)-1))))*(INDEX('CONTROL MASTER'!$AC$2:$AC$495,(SUMPRODUCT((('CONTROL MASTER'!$S$2:$S$495=13)*('CONTROL MASTER'!$Z$2:$Z$495&lt;=5)*('CONTROL MASTER'!$AB$2:$AB$495&gt;=5)*('CONTROL MASTER'!$AA$2:$AA$495&lt;=6)*('CONTROL MASTER'!$AC$2:$AC$495&gt;=6))*ROW('CONTROL MASTER'!$S$2:$S$495))-(ROW('CONTROL MASTER'!#REF!)-1)))-INDEX('CONTROL MASTER'!$AA$2:$AA$495,(SUMPRODUCT((('CONTROL MASTER'!$S$2:$S$495=13)*('CONTROL MASTER'!$Z$2:$Z$495&lt;=5)*('CONTROL MASTER'!$AB$2:$AB$495&gt;=5)*('CONTROL MASTER'!$AA$2:$AA$495&lt;=6)*('CONTROL MASTER'!$AC$2:$AC$495&gt;=6))*ROW('CONTROL MASTER'!$S$2:$S$495))-(ROW('CONTROL MASTER'!#REF!)-1)))+1)+(6-INDEX('CONTROL MASTER'!$AA$2:$AA$495,(SUMPRODUCT((('CONTROL MASTER'!$S$2:$S$495=13)*('CONTROL MASTER'!$Z$2:$Z$495&lt;=5)*('CONTROL MASTER'!$AB$2:$AB$495&gt;=5)*('CONTROL MASTER'!$AA$2:$AA$495&lt;=6)*('CONTROL MASTER'!$AC$2:$AC$495&gt;=6))*ROW('CONTROL MASTER'!$S$2:$S$495))-(ROW('CONTROL MASTER'!#REF!)-1))))+1)))-1)*50+1,50))&amp;"_"&amp;INDEX('CONTROL MASTER'!$P$2:$P$495,(SUMPRODUCT((('CONTROL MASTER'!$S$2:$S$495=13)*('CONTROL MASTER'!$Z$2:$Z$495&lt;=5)*('CONTROL MASTER'!$AB$2:$AB$495&gt;=5)*('CONTROL MASTER'!$AA$2:$AA$495&lt;=6)*('CONTROL MASTER'!$AC$2:$AC$495&gt;=6))*ROW('CONTROL MASTER'!$S$2:$S$495))-(ROW('CONTROL MASTER'!#REF!)-1))),"")),"")</f>
        <v/>
      </c>
      <c r="H175" s="10" t="str">
        <f>IFERROR(IF(SUMPRODUCT((('CONTROL MASTER'!$S$2:$S$495=13)*('CONTROL MASTER'!$T$2:$T$495&lt;=5)*('CONTROL MASTER'!$V$2:$V$495&gt;=5)*('CONTROL MASTER'!$U$2:$U$495&lt;=7)*('CONTROL MASTER'!$W$2:$W$495&gt;=7))*ROW('CONTROL MASTER'!$S$2:$S$495))&gt;0,INDEX('CONTROL MASTER'!$X$2:$X$495,(SUMPRODUCT((('CONTROL MASTER'!$S$2:$S$495=13)*('CONTROL MASTER'!$T$2:$T$495&lt;=5)*('CONTROL MASTER'!$V$2:$V$495&gt;=5)*('CONTROL MASTER'!$U$2:$U$495&lt;=7)*('CONTROL MASTER'!$W$2:$W$495&gt;=7))*ROW('CONTROL MASTER'!$S$2:$S$495))-(ROW('CONTROL MASTER'!#REF!)-1)))&amp;TRIM(MID(SUBSTITUTE(SUBSTITUTE(INDEX('CONTROL MASTER'!$N$2:$N$495,(SUMPRODUCT((('CONTROL MASTER'!$S$2:$S$495=13)*('CONTROL MASTER'!$T$2:$T$495&lt;=5)*('CONTROL MASTER'!$V$2:$V$495&gt;=5)*('CONTROL MASTER'!$U$2:$U$495&lt;=7)*('CONTROL MASTER'!$W$2:$W$495&gt;=7))*ROW('CONTROL MASTER'!$S$2:$S$495))-(ROW('CONTROL MASTER'!#REF!)-1))),":",","),",",REPT(" ",50)),((((5-INDEX('CONTROL MASTER'!$T$2:$T$495,(SUMPRODUCT((('CONTROL MASTER'!$S$2:$S$495=13)*('CONTROL MASTER'!$T$2:$T$495&lt;=5)*('CONTROL MASTER'!$V$2:$V$495&gt;=5)*('CONTROL MASTER'!$U$2:$U$495&lt;=7)*('CONTROL MASTER'!$W$2:$W$495&gt;=7))*ROW('CONTROL MASTER'!$S$2:$S$495))-(ROW('CONTROL MASTER'!#REF!)-1))))*(INDEX('CONTROL MASTER'!$W$2:$W$495,(SUMPRODUCT((('CONTROL MASTER'!$S$2:$S$495=13)*('CONTROL MASTER'!$T$2:$T$495&lt;=5)*('CONTROL MASTER'!$V$2:$V$495&gt;=5)*('CONTROL MASTER'!$U$2:$U$495&lt;=7)*('CONTROL MASTER'!$W$2:$W$495&gt;=7))*ROW('CONTROL MASTER'!$S$2:$S$495))-(ROW('CONTROL MASTER'!#REF!)-1)))-INDEX('CONTROL MASTER'!$U$2:$U$495,(SUMPRODUCT((('CONTROL MASTER'!$S$2:$S$495=13)*('CONTROL MASTER'!$T$2:$T$495&lt;=5)*('CONTROL MASTER'!$V$2:$V$495&gt;=5)*('CONTROL MASTER'!$U$2:$U$495&lt;=7)*('CONTROL MASTER'!$W$2:$W$495&gt;=7))*ROW('CONTROL MASTER'!$S$2:$S$495))-(ROW('CONTROL MASTER'!#REF!)-1)))+1)+(7-INDEX('CONTROL MASTER'!$U$2:$U$495,(SUMPRODUCT((('CONTROL MASTER'!$S$2:$S$495=13)*('CONTROL MASTER'!$T$2:$T$495&lt;=5)*('CONTROL MASTER'!$V$2:$V$495&gt;=5)*('CONTROL MASTER'!$U$2:$U$495&lt;=7)*('CONTROL MASTER'!$W$2:$W$495&gt;=7))*ROW('CONTROL MASTER'!$S$2:$S$495))-(ROW('CONTROL MASTER'!#REF!)-1))))+1))-1)*50+1,50))&amp;"_"&amp;INDEX('CONTROL MASTER'!$P$2:$P$495,(SUMPRODUCT((('CONTROL MASTER'!$S$2:$S$495=13)*('CONTROL MASTER'!$T$2:$T$495&lt;=5)*('CONTROL MASTER'!$V$2:$V$495&gt;=5)*('CONTROL MASTER'!$U$2:$U$495&lt;=7)*('CONTROL MASTER'!$W$2:$W$495&gt;=7))*ROW('CONTROL MASTER'!$S$2:$S$495))-(ROW('CONTROL MASTER'!#REF!)-1))),IF(SUMPRODUCT((('CONTROL MASTER'!$S$2:$S$495=13)*('CONTROL MASTER'!$Z$2:$Z$495&lt;=5)*('CONTROL MASTER'!$AB$2:$AB$495&gt;=5)*('CONTROL MASTER'!$AA$2:$AA$495&lt;=7)*('CONTROL MASTER'!$AC$2:$AC$495&gt;=7))*ROW('CONTROL MASTER'!$S$2:$S$495))&gt;0,INDEX('CONTROL MASTER'!$X$2:$X$495,(SUMPRODUCT((('CONTROL MASTER'!$S$2:$S$495=13)*('CONTROL MASTER'!$Z$2:$Z$495&lt;=5)*('CONTROL MASTER'!$AB$2:$AB$495&gt;=5)*('CONTROL MASTER'!$AA$2:$AA$495&lt;=7)*('CONTROL MASTER'!$AC$2:$AC$495&gt;=7))*ROW('CONTROL MASTER'!$S$2:$S$495))-(ROW('CONTROL MASTER'!#REF!)-1)))&amp;TRIM(MID(SUBSTITUTE(SUBSTITUTE(INDEX('CONTROL MASTER'!$N$2:$N$495,(SUMPRODUCT((('CONTROL MASTER'!$S$2:$S$495=13)*('CONTROL MASTER'!$Z$2:$Z$495&lt;=5)*('CONTROL MASTER'!$AB$2:$AB$495&gt;=5)*('CONTROL MASTER'!$AA$2:$AA$495&lt;=7)*('CONTROL MASTER'!$AC$2:$AC$495&gt;=7))*ROW('CONTROL MASTER'!$S$2:$S$495))-(ROW('CONTROL MASTER'!#REF!)-1))),":",","),",",REPT(" ",50)),(((INDEX('CONTROL MASTER'!$Y$2:$Y$495,(SUMPRODUCT((('CONTROL MASTER'!$S$2:$S$495=13)*('CONTROL MASTER'!$Z$2:$Z$495&lt;=5)*('CONTROL MASTER'!$AB$2:$AB$495&gt;=5)*('CONTROL MASTER'!$AA$2:$AA$495&lt;=7)*('CONTROL MASTER'!$AC$2:$AC$495&gt;=7))*ROW('CONTROL MASTER'!$S$2:$S$495))-(ROW('CONTROL MASTER'!#REF!)-1)))+((5-INDEX('CONTROL MASTER'!$Z$2:$Z$495,(SUMPRODUCT((('CONTROL MASTER'!$S$2:$S$495=13)*('CONTROL MASTER'!$Z$2:$Z$495&lt;=5)*('CONTROL MASTER'!$AB$2:$AB$495&gt;=5)*('CONTROL MASTER'!$AA$2:$AA$495&lt;=7)*('CONTROL MASTER'!$AC$2:$AC$495&gt;=7))*ROW('CONTROL MASTER'!$S$2:$S$495))-(ROW('CONTROL MASTER'!#REF!)-1))))*(INDEX('CONTROL MASTER'!$AC$2:$AC$495,(SUMPRODUCT((('CONTROL MASTER'!$S$2:$S$495=13)*('CONTROL MASTER'!$Z$2:$Z$495&lt;=5)*('CONTROL MASTER'!$AB$2:$AB$495&gt;=5)*('CONTROL MASTER'!$AA$2:$AA$495&lt;=7)*('CONTROL MASTER'!$AC$2:$AC$495&gt;=7))*ROW('CONTROL MASTER'!$S$2:$S$495))-(ROW('CONTROL MASTER'!#REF!)-1)))-INDEX('CONTROL MASTER'!$AA$2:$AA$495,(SUMPRODUCT((('CONTROL MASTER'!$S$2:$S$495=13)*('CONTROL MASTER'!$Z$2:$Z$495&lt;=5)*('CONTROL MASTER'!$AB$2:$AB$495&gt;=5)*('CONTROL MASTER'!$AA$2:$AA$495&lt;=7)*('CONTROL MASTER'!$AC$2:$AC$495&gt;=7))*ROW('CONTROL MASTER'!$S$2:$S$495))-(ROW('CONTROL MASTER'!#REF!)-1)))+1)+(7-INDEX('CONTROL MASTER'!$AA$2:$AA$495,(SUMPRODUCT((('CONTROL MASTER'!$S$2:$S$495=13)*('CONTROL MASTER'!$Z$2:$Z$495&lt;=5)*('CONTROL MASTER'!$AB$2:$AB$495&gt;=5)*('CONTROL MASTER'!$AA$2:$AA$495&lt;=7)*('CONTROL MASTER'!$AC$2:$AC$495&gt;=7))*ROW('CONTROL MASTER'!$S$2:$S$495))-(ROW('CONTROL MASTER'!#REF!)-1))))+1)))-1)*50+1,50))&amp;"_"&amp;INDEX('CONTROL MASTER'!$P$2:$P$495,(SUMPRODUCT((('CONTROL MASTER'!$S$2:$S$495=13)*('CONTROL MASTER'!$Z$2:$Z$495&lt;=5)*('CONTROL MASTER'!$AB$2:$AB$495&gt;=5)*('CONTROL MASTER'!$AA$2:$AA$495&lt;=7)*('CONTROL MASTER'!$AC$2:$AC$495&gt;=7))*ROW('CONTROL MASTER'!$S$2:$S$495))-(ROW('CONTROL MASTER'!#REF!)-1))),"")),"")</f>
        <v/>
      </c>
      <c r="I175" s="10" t="str">
        <f>IFERROR(IF(SUMPRODUCT((('CONTROL MASTER'!$S$2:$S$495=13)*('CONTROL MASTER'!$T$2:$T$495&lt;=5)*('CONTROL MASTER'!$V$2:$V$495&gt;=5)*('CONTROL MASTER'!$U$2:$U$495&lt;=8)*('CONTROL MASTER'!$W$2:$W$495&gt;=8))*ROW('CONTROL MASTER'!$S$2:$S$495))&gt;0,INDEX('CONTROL MASTER'!$X$2:$X$495,(SUMPRODUCT((('CONTROL MASTER'!$S$2:$S$495=13)*('CONTROL MASTER'!$T$2:$T$495&lt;=5)*('CONTROL MASTER'!$V$2:$V$495&gt;=5)*('CONTROL MASTER'!$U$2:$U$495&lt;=8)*('CONTROL MASTER'!$W$2:$W$495&gt;=8))*ROW('CONTROL MASTER'!$S$2:$S$495))-(ROW('CONTROL MASTER'!#REF!)-1)))&amp;TRIM(MID(SUBSTITUTE(SUBSTITUTE(INDEX('CONTROL MASTER'!$N$2:$N$495,(SUMPRODUCT((('CONTROL MASTER'!$S$2:$S$495=13)*('CONTROL MASTER'!$T$2:$T$495&lt;=5)*('CONTROL MASTER'!$V$2:$V$495&gt;=5)*('CONTROL MASTER'!$U$2:$U$495&lt;=8)*('CONTROL MASTER'!$W$2:$W$495&gt;=8))*ROW('CONTROL MASTER'!$S$2:$S$495))-(ROW('CONTROL MASTER'!#REF!)-1))),":",","),",",REPT(" ",50)),((((5-INDEX('CONTROL MASTER'!$T$2:$T$495,(SUMPRODUCT((('CONTROL MASTER'!$S$2:$S$495=13)*('CONTROL MASTER'!$T$2:$T$495&lt;=5)*('CONTROL MASTER'!$V$2:$V$495&gt;=5)*('CONTROL MASTER'!$U$2:$U$495&lt;=8)*('CONTROL MASTER'!$W$2:$W$495&gt;=8))*ROW('CONTROL MASTER'!$S$2:$S$495))-(ROW('CONTROL MASTER'!#REF!)-1))))*(INDEX('CONTROL MASTER'!$W$2:$W$495,(SUMPRODUCT((('CONTROL MASTER'!$S$2:$S$495=13)*('CONTROL MASTER'!$T$2:$T$495&lt;=5)*('CONTROL MASTER'!$V$2:$V$495&gt;=5)*('CONTROL MASTER'!$U$2:$U$495&lt;=8)*('CONTROL MASTER'!$W$2:$W$495&gt;=8))*ROW('CONTROL MASTER'!$S$2:$S$495))-(ROW('CONTROL MASTER'!#REF!)-1)))-INDEX('CONTROL MASTER'!$U$2:$U$495,(SUMPRODUCT((('CONTROL MASTER'!$S$2:$S$495=13)*('CONTROL MASTER'!$T$2:$T$495&lt;=5)*('CONTROL MASTER'!$V$2:$V$495&gt;=5)*('CONTROL MASTER'!$U$2:$U$495&lt;=8)*('CONTROL MASTER'!$W$2:$W$495&gt;=8))*ROW('CONTROL MASTER'!$S$2:$S$495))-(ROW('CONTROL MASTER'!#REF!)-1)))+1)+(8-INDEX('CONTROL MASTER'!$U$2:$U$495,(SUMPRODUCT((('CONTROL MASTER'!$S$2:$S$495=13)*('CONTROL MASTER'!$T$2:$T$495&lt;=5)*('CONTROL MASTER'!$V$2:$V$495&gt;=5)*('CONTROL MASTER'!$U$2:$U$495&lt;=8)*('CONTROL MASTER'!$W$2:$W$495&gt;=8))*ROW('CONTROL MASTER'!$S$2:$S$495))-(ROW('CONTROL MASTER'!#REF!)-1))))+1))-1)*50+1,50))&amp;"_"&amp;INDEX('CONTROL MASTER'!$P$2:$P$495,(SUMPRODUCT((('CONTROL MASTER'!$S$2:$S$495=13)*('CONTROL MASTER'!$T$2:$T$495&lt;=5)*('CONTROL MASTER'!$V$2:$V$495&gt;=5)*('CONTROL MASTER'!$U$2:$U$495&lt;=8)*('CONTROL MASTER'!$W$2:$W$495&gt;=8))*ROW('CONTROL MASTER'!$S$2:$S$495))-(ROW('CONTROL MASTER'!#REF!)-1))),IF(SUMPRODUCT((('CONTROL MASTER'!$S$2:$S$495=13)*('CONTROL MASTER'!$Z$2:$Z$495&lt;=5)*('CONTROL MASTER'!$AB$2:$AB$495&gt;=5)*('CONTROL MASTER'!$AA$2:$AA$495&lt;=8)*('CONTROL MASTER'!$AC$2:$AC$495&gt;=8))*ROW('CONTROL MASTER'!$S$2:$S$495))&gt;0,INDEX('CONTROL MASTER'!$X$2:$X$495,(SUMPRODUCT((('CONTROL MASTER'!$S$2:$S$495=13)*('CONTROL MASTER'!$Z$2:$Z$495&lt;=5)*('CONTROL MASTER'!$AB$2:$AB$495&gt;=5)*('CONTROL MASTER'!$AA$2:$AA$495&lt;=8)*('CONTROL MASTER'!$AC$2:$AC$495&gt;=8))*ROW('CONTROL MASTER'!$S$2:$S$495))-(ROW('CONTROL MASTER'!#REF!)-1)))&amp;TRIM(MID(SUBSTITUTE(SUBSTITUTE(INDEX('CONTROL MASTER'!$N$2:$N$495,(SUMPRODUCT((('CONTROL MASTER'!$S$2:$S$495=13)*('CONTROL MASTER'!$Z$2:$Z$495&lt;=5)*('CONTROL MASTER'!$AB$2:$AB$495&gt;=5)*('CONTROL MASTER'!$AA$2:$AA$495&lt;=8)*('CONTROL MASTER'!$AC$2:$AC$495&gt;=8))*ROW('CONTROL MASTER'!$S$2:$S$495))-(ROW('CONTROL MASTER'!#REF!)-1))),":",","),",",REPT(" ",50)),(((INDEX('CONTROL MASTER'!$Y$2:$Y$495,(SUMPRODUCT((('CONTROL MASTER'!$S$2:$S$495=13)*('CONTROL MASTER'!$Z$2:$Z$495&lt;=5)*('CONTROL MASTER'!$AB$2:$AB$495&gt;=5)*('CONTROL MASTER'!$AA$2:$AA$495&lt;=8)*('CONTROL MASTER'!$AC$2:$AC$495&gt;=8))*ROW('CONTROL MASTER'!$S$2:$S$495))-(ROW('CONTROL MASTER'!#REF!)-1)))+((5-INDEX('CONTROL MASTER'!$Z$2:$Z$495,(SUMPRODUCT((('CONTROL MASTER'!$S$2:$S$495=13)*('CONTROL MASTER'!$Z$2:$Z$495&lt;=5)*('CONTROL MASTER'!$AB$2:$AB$495&gt;=5)*('CONTROL MASTER'!$AA$2:$AA$495&lt;=8)*('CONTROL MASTER'!$AC$2:$AC$495&gt;=8))*ROW('CONTROL MASTER'!$S$2:$S$495))-(ROW('CONTROL MASTER'!#REF!)-1))))*(INDEX('CONTROL MASTER'!$AC$2:$AC$495,(SUMPRODUCT((('CONTROL MASTER'!$S$2:$S$495=13)*('CONTROL MASTER'!$Z$2:$Z$495&lt;=5)*('CONTROL MASTER'!$AB$2:$AB$495&gt;=5)*('CONTROL MASTER'!$AA$2:$AA$495&lt;=8)*('CONTROL MASTER'!$AC$2:$AC$495&gt;=8))*ROW('CONTROL MASTER'!$S$2:$S$495))-(ROW('CONTROL MASTER'!#REF!)-1)))-INDEX('CONTROL MASTER'!$AA$2:$AA$495,(SUMPRODUCT((('CONTROL MASTER'!$S$2:$S$495=13)*('CONTROL MASTER'!$Z$2:$Z$495&lt;=5)*('CONTROL MASTER'!$AB$2:$AB$495&gt;=5)*('CONTROL MASTER'!$AA$2:$AA$495&lt;=8)*('CONTROL MASTER'!$AC$2:$AC$495&gt;=8))*ROW('CONTROL MASTER'!$S$2:$S$495))-(ROW('CONTROL MASTER'!#REF!)-1)))+1)+(8-INDEX('CONTROL MASTER'!$AA$2:$AA$495,(SUMPRODUCT((('CONTROL MASTER'!$S$2:$S$495=13)*('CONTROL MASTER'!$Z$2:$Z$495&lt;=5)*('CONTROL MASTER'!$AB$2:$AB$495&gt;=5)*('CONTROL MASTER'!$AA$2:$AA$495&lt;=8)*('CONTROL MASTER'!$AC$2:$AC$495&gt;=8))*ROW('CONTROL MASTER'!$S$2:$S$495))-(ROW('CONTROL MASTER'!#REF!)-1))))+1)))-1)*50+1,50))&amp;"_"&amp;INDEX('CONTROL MASTER'!$P$2:$P$495,(SUMPRODUCT((('CONTROL MASTER'!$S$2:$S$495=13)*('CONTROL MASTER'!$Z$2:$Z$495&lt;=5)*('CONTROL MASTER'!$AB$2:$AB$495&gt;=5)*('CONTROL MASTER'!$AA$2:$AA$495&lt;=8)*('CONTROL MASTER'!$AC$2:$AC$495&gt;=8))*ROW('CONTROL MASTER'!$S$2:$S$495))-(ROW('CONTROL MASTER'!#REF!)-1))),"")),"")</f>
        <v/>
      </c>
      <c r="J175" s="10" t="str">
        <f>IFERROR(IF(SUMPRODUCT((('CONTROL MASTER'!$S$2:$S$495=13)*('CONTROL MASTER'!$T$2:$T$495&lt;=5)*('CONTROL MASTER'!$V$2:$V$495&gt;=5)*('CONTROL MASTER'!$U$2:$U$495&lt;=9)*('CONTROL MASTER'!$W$2:$W$495&gt;=9))*ROW('CONTROL MASTER'!$S$2:$S$495))&gt;0,INDEX('CONTROL MASTER'!$X$2:$X$495,(SUMPRODUCT((('CONTROL MASTER'!$S$2:$S$495=13)*('CONTROL MASTER'!$T$2:$T$495&lt;=5)*('CONTROL MASTER'!$V$2:$V$495&gt;=5)*('CONTROL MASTER'!$U$2:$U$495&lt;=9)*('CONTROL MASTER'!$W$2:$W$495&gt;=9))*ROW('CONTROL MASTER'!$S$2:$S$495))-(ROW('CONTROL MASTER'!#REF!)-1)))&amp;TRIM(MID(SUBSTITUTE(SUBSTITUTE(INDEX('CONTROL MASTER'!$N$2:$N$495,(SUMPRODUCT((('CONTROL MASTER'!$S$2:$S$495=13)*('CONTROL MASTER'!$T$2:$T$495&lt;=5)*('CONTROL MASTER'!$V$2:$V$495&gt;=5)*('CONTROL MASTER'!$U$2:$U$495&lt;=9)*('CONTROL MASTER'!$W$2:$W$495&gt;=9))*ROW('CONTROL MASTER'!$S$2:$S$495))-(ROW('CONTROL MASTER'!#REF!)-1))),":",","),",",REPT(" ",50)),((((5-INDEX('CONTROL MASTER'!$T$2:$T$495,(SUMPRODUCT((('CONTROL MASTER'!$S$2:$S$495=13)*('CONTROL MASTER'!$T$2:$T$495&lt;=5)*('CONTROL MASTER'!$V$2:$V$495&gt;=5)*('CONTROL MASTER'!$U$2:$U$495&lt;=9)*('CONTROL MASTER'!$W$2:$W$495&gt;=9))*ROW('CONTROL MASTER'!$S$2:$S$495))-(ROW('CONTROL MASTER'!#REF!)-1))))*(INDEX('CONTROL MASTER'!$W$2:$W$495,(SUMPRODUCT((('CONTROL MASTER'!$S$2:$S$495=13)*('CONTROL MASTER'!$T$2:$T$495&lt;=5)*('CONTROL MASTER'!$V$2:$V$495&gt;=5)*('CONTROL MASTER'!$U$2:$U$495&lt;=9)*('CONTROL MASTER'!$W$2:$W$495&gt;=9))*ROW('CONTROL MASTER'!$S$2:$S$495))-(ROW('CONTROL MASTER'!#REF!)-1)))-INDEX('CONTROL MASTER'!$U$2:$U$495,(SUMPRODUCT((('CONTROL MASTER'!$S$2:$S$495=13)*('CONTROL MASTER'!$T$2:$T$495&lt;=5)*('CONTROL MASTER'!$V$2:$V$495&gt;=5)*('CONTROL MASTER'!$U$2:$U$495&lt;=9)*('CONTROL MASTER'!$W$2:$W$495&gt;=9))*ROW('CONTROL MASTER'!$S$2:$S$495))-(ROW('CONTROL MASTER'!#REF!)-1)))+1)+(9-INDEX('CONTROL MASTER'!$U$2:$U$495,(SUMPRODUCT((('CONTROL MASTER'!$S$2:$S$495=13)*('CONTROL MASTER'!$T$2:$T$495&lt;=5)*('CONTROL MASTER'!$V$2:$V$495&gt;=5)*('CONTROL MASTER'!$U$2:$U$495&lt;=9)*('CONTROL MASTER'!$W$2:$W$495&gt;=9))*ROW('CONTROL MASTER'!$S$2:$S$495))-(ROW('CONTROL MASTER'!#REF!)-1))))+1))-1)*50+1,50))&amp;"_"&amp;INDEX('CONTROL MASTER'!$P$2:$P$495,(SUMPRODUCT((('CONTROL MASTER'!$S$2:$S$495=13)*('CONTROL MASTER'!$T$2:$T$495&lt;=5)*('CONTROL MASTER'!$V$2:$V$495&gt;=5)*('CONTROL MASTER'!$U$2:$U$495&lt;=9)*('CONTROL MASTER'!$W$2:$W$495&gt;=9))*ROW('CONTROL MASTER'!$S$2:$S$495))-(ROW('CONTROL MASTER'!#REF!)-1))),IF(SUMPRODUCT((('CONTROL MASTER'!$S$2:$S$495=13)*('CONTROL MASTER'!$Z$2:$Z$495&lt;=5)*('CONTROL MASTER'!$AB$2:$AB$495&gt;=5)*('CONTROL MASTER'!$AA$2:$AA$495&lt;=9)*('CONTROL MASTER'!$AC$2:$AC$495&gt;=9))*ROW('CONTROL MASTER'!$S$2:$S$495))&gt;0,INDEX('CONTROL MASTER'!$X$2:$X$495,(SUMPRODUCT((('CONTROL MASTER'!$S$2:$S$495=13)*('CONTROL MASTER'!$Z$2:$Z$495&lt;=5)*('CONTROL MASTER'!$AB$2:$AB$495&gt;=5)*('CONTROL MASTER'!$AA$2:$AA$495&lt;=9)*('CONTROL MASTER'!$AC$2:$AC$495&gt;=9))*ROW('CONTROL MASTER'!$S$2:$S$495))-(ROW('CONTROL MASTER'!#REF!)-1)))&amp;TRIM(MID(SUBSTITUTE(SUBSTITUTE(INDEX('CONTROL MASTER'!$N$2:$N$495,(SUMPRODUCT((('CONTROL MASTER'!$S$2:$S$495=13)*('CONTROL MASTER'!$Z$2:$Z$495&lt;=5)*('CONTROL MASTER'!$AB$2:$AB$495&gt;=5)*('CONTROL MASTER'!$AA$2:$AA$495&lt;=9)*('CONTROL MASTER'!$AC$2:$AC$495&gt;=9))*ROW('CONTROL MASTER'!$S$2:$S$495))-(ROW('CONTROL MASTER'!#REF!)-1))),":",","),",",REPT(" ",50)),(((INDEX('CONTROL MASTER'!$Y$2:$Y$495,(SUMPRODUCT((('CONTROL MASTER'!$S$2:$S$495=13)*('CONTROL MASTER'!$Z$2:$Z$495&lt;=5)*('CONTROL MASTER'!$AB$2:$AB$495&gt;=5)*('CONTROL MASTER'!$AA$2:$AA$495&lt;=9)*('CONTROL MASTER'!$AC$2:$AC$495&gt;=9))*ROW('CONTROL MASTER'!$S$2:$S$495))-(ROW('CONTROL MASTER'!#REF!)-1)))+((5-INDEX('CONTROL MASTER'!$Z$2:$Z$495,(SUMPRODUCT((('CONTROL MASTER'!$S$2:$S$495=13)*('CONTROL MASTER'!$Z$2:$Z$495&lt;=5)*('CONTROL MASTER'!$AB$2:$AB$495&gt;=5)*('CONTROL MASTER'!$AA$2:$AA$495&lt;=9)*('CONTROL MASTER'!$AC$2:$AC$495&gt;=9))*ROW('CONTROL MASTER'!$S$2:$S$495))-(ROW('CONTROL MASTER'!#REF!)-1))))*(INDEX('CONTROL MASTER'!$AC$2:$AC$495,(SUMPRODUCT((('CONTROL MASTER'!$S$2:$S$495=13)*('CONTROL MASTER'!$Z$2:$Z$495&lt;=5)*('CONTROL MASTER'!$AB$2:$AB$495&gt;=5)*('CONTROL MASTER'!$AA$2:$AA$495&lt;=9)*('CONTROL MASTER'!$AC$2:$AC$495&gt;=9))*ROW('CONTROL MASTER'!$S$2:$S$495))-(ROW('CONTROL MASTER'!#REF!)-1)))-INDEX('CONTROL MASTER'!$AA$2:$AA$495,(SUMPRODUCT((('CONTROL MASTER'!$S$2:$S$495=13)*('CONTROL MASTER'!$Z$2:$Z$495&lt;=5)*('CONTROL MASTER'!$AB$2:$AB$495&gt;=5)*('CONTROL MASTER'!$AA$2:$AA$495&lt;=9)*('CONTROL MASTER'!$AC$2:$AC$495&gt;=9))*ROW('CONTROL MASTER'!$S$2:$S$495))-(ROW('CONTROL MASTER'!#REF!)-1)))+1)+(9-INDEX('CONTROL MASTER'!$AA$2:$AA$495,(SUMPRODUCT((('CONTROL MASTER'!$S$2:$S$495=13)*('CONTROL MASTER'!$Z$2:$Z$495&lt;=5)*('CONTROL MASTER'!$AB$2:$AB$495&gt;=5)*('CONTROL MASTER'!$AA$2:$AA$495&lt;=9)*('CONTROL MASTER'!$AC$2:$AC$495&gt;=9))*ROW('CONTROL MASTER'!$S$2:$S$495))-(ROW('CONTROL MASTER'!#REF!)-1))))+1)))-1)*50+1,50))&amp;"_"&amp;INDEX('CONTROL MASTER'!$P$2:$P$495,(SUMPRODUCT((('CONTROL MASTER'!$S$2:$S$495=13)*('CONTROL MASTER'!$Z$2:$Z$495&lt;=5)*('CONTROL MASTER'!$AB$2:$AB$495&gt;=5)*('CONTROL MASTER'!$AA$2:$AA$495&lt;=9)*('CONTROL MASTER'!$AC$2:$AC$495&gt;=9))*ROW('CONTROL MASTER'!$S$2:$S$495))-(ROW('CONTROL MASTER'!#REF!)-1))),"")),"")</f>
        <v/>
      </c>
      <c r="K175" s="10" t="str">
        <f>IFERROR(IF(SUMPRODUCT((('CONTROL MASTER'!$S$2:$S$495=13)*('CONTROL MASTER'!$T$2:$T$495&lt;=5)*('CONTROL MASTER'!$V$2:$V$495&gt;=5)*('CONTROL MASTER'!$U$2:$U$495&lt;=10)*('CONTROL MASTER'!$W$2:$W$495&gt;=10))*ROW('CONTROL MASTER'!$S$2:$S$495))&gt;0,INDEX('CONTROL MASTER'!$X$2:$X$495,(SUMPRODUCT((('CONTROL MASTER'!$S$2:$S$495=13)*('CONTROL MASTER'!$T$2:$T$495&lt;=5)*('CONTROL MASTER'!$V$2:$V$495&gt;=5)*('CONTROL MASTER'!$U$2:$U$495&lt;=10)*('CONTROL MASTER'!$W$2:$W$495&gt;=10))*ROW('CONTROL MASTER'!$S$2:$S$495))-(ROW('CONTROL MASTER'!#REF!)-1)))&amp;TRIM(MID(SUBSTITUTE(SUBSTITUTE(INDEX('CONTROL MASTER'!$N$2:$N$495,(SUMPRODUCT((('CONTROL MASTER'!$S$2:$S$495=13)*('CONTROL MASTER'!$T$2:$T$495&lt;=5)*('CONTROL MASTER'!$V$2:$V$495&gt;=5)*('CONTROL MASTER'!$U$2:$U$495&lt;=10)*('CONTROL MASTER'!$W$2:$W$495&gt;=10))*ROW('CONTROL MASTER'!$S$2:$S$495))-(ROW('CONTROL MASTER'!#REF!)-1))),":",","),",",REPT(" ",50)),((((5-INDEX('CONTROL MASTER'!$T$2:$T$495,(SUMPRODUCT((('CONTROL MASTER'!$S$2:$S$495=13)*('CONTROL MASTER'!$T$2:$T$495&lt;=5)*('CONTROL MASTER'!$V$2:$V$495&gt;=5)*('CONTROL MASTER'!$U$2:$U$495&lt;=10)*('CONTROL MASTER'!$W$2:$W$495&gt;=10))*ROW('CONTROL MASTER'!$S$2:$S$495))-(ROW('CONTROL MASTER'!#REF!)-1))))*(INDEX('CONTROL MASTER'!$W$2:$W$495,(SUMPRODUCT((('CONTROL MASTER'!$S$2:$S$495=13)*('CONTROL MASTER'!$T$2:$T$495&lt;=5)*('CONTROL MASTER'!$V$2:$V$495&gt;=5)*('CONTROL MASTER'!$U$2:$U$495&lt;=10)*('CONTROL MASTER'!$W$2:$W$495&gt;=10))*ROW('CONTROL MASTER'!$S$2:$S$495))-(ROW('CONTROL MASTER'!#REF!)-1)))-INDEX('CONTROL MASTER'!$U$2:$U$495,(SUMPRODUCT((('CONTROL MASTER'!$S$2:$S$495=13)*('CONTROL MASTER'!$T$2:$T$495&lt;=5)*('CONTROL MASTER'!$V$2:$V$495&gt;=5)*('CONTROL MASTER'!$U$2:$U$495&lt;=10)*('CONTROL MASTER'!$W$2:$W$495&gt;=10))*ROW('CONTROL MASTER'!$S$2:$S$495))-(ROW('CONTROL MASTER'!#REF!)-1)))+1)+(10-INDEX('CONTROL MASTER'!$U$2:$U$495,(SUMPRODUCT((('CONTROL MASTER'!$S$2:$S$495=13)*('CONTROL MASTER'!$T$2:$T$495&lt;=5)*('CONTROL MASTER'!$V$2:$V$495&gt;=5)*('CONTROL MASTER'!$U$2:$U$495&lt;=10)*('CONTROL MASTER'!$W$2:$W$495&gt;=10))*ROW('CONTROL MASTER'!$S$2:$S$495))-(ROW('CONTROL MASTER'!#REF!)-1))))+1))-1)*50+1,50))&amp;"_"&amp;INDEX('CONTROL MASTER'!$P$2:$P$495,(SUMPRODUCT((('CONTROL MASTER'!$S$2:$S$495=13)*('CONTROL MASTER'!$T$2:$T$495&lt;=5)*('CONTROL MASTER'!$V$2:$V$495&gt;=5)*('CONTROL MASTER'!$U$2:$U$495&lt;=10)*('CONTROL MASTER'!$W$2:$W$495&gt;=10))*ROW('CONTROL MASTER'!$S$2:$S$495))-(ROW('CONTROL MASTER'!#REF!)-1))),IF(SUMPRODUCT((('CONTROL MASTER'!$S$2:$S$495=13)*('CONTROL MASTER'!$Z$2:$Z$495&lt;=5)*('CONTROL MASTER'!$AB$2:$AB$495&gt;=5)*('CONTROL MASTER'!$AA$2:$AA$495&lt;=10)*('CONTROL MASTER'!$AC$2:$AC$495&gt;=10))*ROW('CONTROL MASTER'!$S$2:$S$495))&gt;0,INDEX('CONTROL MASTER'!$X$2:$X$495,(SUMPRODUCT((('CONTROL MASTER'!$S$2:$S$495=13)*('CONTROL MASTER'!$Z$2:$Z$495&lt;=5)*('CONTROL MASTER'!$AB$2:$AB$495&gt;=5)*('CONTROL MASTER'!$AA$2:$AA$495&lt;=10)*('CONTROL MASTER'!$AC$2:$AC$495&gt;=10))*ROW('CONTROL MASTER'!$S$2:$S$495))-(ROW('CONTROL MASTER'!#REF!)-1)))&amp;TRIM(MID(SUBSTITUTE(SUBSTITUTE(INDEX('CONTROL MASTER'!$N$2:$N$495,(SUMPRODUCT((('CONTROL MASTER'!$S$2:$S$495=13)*('CONTROL MASTER'!$Z$2:$Z$495&lt;=5)*('CONTROL MASTER'!$AB$2:$AB$495&gt;=5)*('CONTROL MASTER'!$AA$2:$AA$495&lt;=10)*('CONTROL MASTER'!$AC$2:$AC$495&gt;=10))*ROW('CONTROL MASTER'!$S$2:$S$495))-(ROW('CONTROL MASTER'!#REF!)-1))),":",","),",",REPT(" ",50)),(((INDEX('CONTROL MASTER'!$Y$2:$Y$495,(SUMPRODUCT((('CONTROL MASTER'!$S$2:$S$495=13)*('CONTROL MASTER'!$Z$2:$Z$495&lt;=5)*('CONTROL MASTER'!$AB$2:$AB$495&gt;=5)*('CONTROL MASTER'!$AA$2:$AA$495&lt;=10)*('CONTROL MASTER'!$AC$2:$AC$495&gt;=10))*ROW('CONTROL MASTER'!$S$2:$S$495))-(ROW('CONTROL MASTER'!#REF!)-1)))+((5-INDEX('CONTROL MASTER'!$Z$2:$Z$495,(SUMPRODUCT((('CONTROL MASTER'!$S$2:$S$495=13)*('CONTROL MASTER'!$Z$2:$Z$495&lt;=5)*('CONTROL MASTER'!$AB$2:$AB$495&gt;=5)*('CONTROL MASTER'!$AA$2:$AA$495&lt;=10)*('CONTROL MASTER'!$AC$2:$AC$495&gt;=10))*ROW('CONTROL MASTER'!$S$2:$S$495))-(ROW('CONTROL MASTER'!#REF!)-1))))*(INDEX('CONTROL MASTER'!$AC$2:$AC$495,(SUMPRODUCT((('CONTROL MASTER'!$S$2:$S$495=13)*('CONTROL MASTER'!$Z$2:$Z$495&lt;=5)*('CONTROL MASTER'!$AB$2:$AB$495&gt;=5)*('CONTROL MASTER'!$AA$2:$AA$495&lt;=10)*('CONTROL MASTER'!$AC$2:$AC$495&gt;=10))*ROW('CONTROL MASTER'!$S$2:$S$495))-(ROW('CONTROL MASTER'!#REF!)-1)))-INDEX('CONTROL MASTER'!$AA$2:$AA$495,(SUMPRODUCT((('CONTROL MASTER'!$S$2:$S$495=13)*('CONTROL MASTER'!$Z$2:$Z$495&lt;=5)*('CONTROL MASTER'!$AB$2:$AB$495&gt;=5)*('CONTROL MASTER'!$AA$2:$AA$495&lt;=10)*('CONTROL MASTER'!$AC$2:$AC$495&gt;=10))*ROW('CONTROL MASTER'!$S$2:$S$495))-(ROW('CONTROL MASTER'!#REF!)-1)))+1)+(10-INDEX('CONTROL MASTER'!$AA$2:$AA$495,(SUMPRODUCT((('CONTROL MASTER'!$S$2:$S$495=13)*('CONTROL MASTER'!$Z$2:$Z$495&lt;=5)*('CONTROL MASTER'!$AB$2:$AB$495&gt;=5)*('CONTROL MASTER'!$AA$2:$AA$495&lt;=10)*('CONTROL MASTER'!$AC$2:$AC$495&gt;=10))*ROW('CONTROL MASTER'!$S$2:$S$495))-(ROW('CONTROL MASTER'!#REF!)-1))))+1)))-1)*50+1,50))&amp;"_"&amp;INDEX('CONTROL MASTER'!$P$2:$P$495,(SUMPRODUCT((('CONTROL MASTER'!$S$2:$S$495=13)*('CONTROL MASTER'!$Z$2:$Z$495&lt;=5)*('CONTROL MASTER'!$AB$2:$AB$495&gt;=5)*('CONTROL MASTER'!$AA$2:$AA$495&lt;=10)*('CONTROL MASTER'!$AC$2:$AC$495&gt;=10))*ROW('CONTROL MASTER'!$S$2:$S$495))-(ROW('CONTROL MASTER'!#REF!)-1))),"")),"")</f>
        <v/>
      </c>
    </row>
    <row r="176" spans="1:11" ht="15" customHeight="1" x14ac:dyDescent="0.35">
      <c r="A176" s="8" t="s">
        <v>33</v>
      </c>
      <c r="B176" s="10" t="str">
        <f>IFERROR(IF(SUMPRODUCT((('CONTROL MASTER'!$S$2:$S$495=13)*('CONTROL MASTER'!$T$2:$T$495&lt;=6)*('CONTROL MASTER'!$V$2:$V$495&gt;=6)*('CONTROL MASTER'!$U$2:$U$495&lt;=1)*('CONTROL MASTER'!$W$2:$W$495&gt;=1))*ROW('CONTROL MASTER'!$S$2:$S$495))&gt;0,INDEX('CONTROL MASTER'!$X$2:$X$495,(SUMPRODUCT((('CONTROL MASTER'!$S$2:$S$495=13)*('CONTROL MASTER'!$T$2:$T$495&lt;=6)*('CONTROL MASTER'!$V$2:$V$495&gt;=6)*('CONTROL MASTER'!$U$2:$U$495&lt;=1)*('CONTROL MASTER'!$W$2:$W$495&gt;=1))*ROW('CONTROL MASTER'!$S$2:$S$495))-(ROW('CONTROL MASTER'!#REF!)-1)))&amp;TRIM(MID(SUBSTITUTE(SUBSTITUTE(INDEX('CONTROL MASTER'!$N$2:$N$495,(SUMPRODUCT((('CONTROL MASTER'!$S$2:$S$495=13)*('CONTROL MASTER'!$T$2:$T$495&lt;=6)*('CONTROL MASTER'!$V$2:$V$495&gt;=6)*('CONTROL MASTER'!$U$2:$U$495&lt;=1)*('CONTROL MASTER'!$W$2:$W$495&gt;=1))*ROW('CONTROL MASTER'!$S$2:$S$495))-(ROW('CONTROL MASTER'!#REF!)-1))),":",","),",",REPT(" ",50)),((((6-INDEX('CONTROL MASTER'!$T$2:$T$495,(SUMPRODUCT((('CONTROL MASTER'!$S$2:$S$495=13)*('CONTROL MASTER'!$T$2:$T$495&lt;=6)*('CONTROL MASTER'!$V$2:$V$495&gt;=6)*('CONTROL MASTER'!$U$2:$U$495&lt;=1)*('CONTROL MASTER'!$W$2:$W$495&gt;=1))*ROW('CONTROL MASTER'!$S$2:$S$495))-(ROW('CONTROL MASTER'!#REF!)-1))))*(INDEX('CONTROL MASTER'!$W$2:$W$495,(SUMPRODUCT((('CONTROL MASTER'!$S$2:$S$495=13)*('CONTROL MASTER'!$T$2:$T$495&lt;=6)*('CONTROL MASTER'!$V$2:$V$495&gt;=6)*('CONTROL MASTER'!$U$2:$U$495&lt;=1)*('CONTROL MASTER'!$W$2:$W$495&gt;=1))*ROW('CONTROL MASTER'!$S$2:$S$495))-(ROW('CONTROL MASTER'!#REF!)-1)))-INDEX('CONTROL MASTER'!$U$2:$U$495,(SUMPRODUCT((('CONTROL MASTER'!$S$2:$S$495=13)*('CONTROL MASTER'!$T$2:$T$495&lt;=6)*('CONTROL MASTER'!$V$2:$V$495&gt;=6)*('CONTROL MASTER'!$U$2:$U$495&lt;=1)*('CONTROL MASTER'!$W$2:$W$495&gt;=1))*ROW('CONTROL MASTER'!$S$2:$S$495))-(ROW('CONTROL MASTER'!#REF!)-1)))+1)+(1-INDEX('CONTROL MASTER'!$U$2:$U$495,(SUMPRODUCT((('CONTROL MASTER'!$S$2:$S$495=13)*('CONTROL MASTER'!$T$2:$T$495&lt;=6)*('CONTROL MASTER'!$V$2:$V$495&gt;=6)*('CONTROL MASTER'!$U$2:$U$495&lt;=1)*('CONTROL MASTER'!$W$2:$W$495&gt;=1))*ROW('CONTROL MASTER'!$S$2:$S$495))-(ROW('CONTROL MASTER'!#REF!)-1))))+1))-1)*50+1,50))&amp;"_"&amp;INDEX('CONTROL MASTER'!$P$2:$P$495,(SUMPRODUCT((('CONTROL MASTER'!$S$2:$S$495=13)*('CONTROL MASTER'!$T$2:$T$495&lt;=6)*('CONTROL MASTER'!$V$2:$V$495&gt;=6)*('CONTROL MASTER'!$U$2:$U$495&lt;=1)*('CONTROL MASTER'!$W$2:$W$495&gt;=1))*ROW('CONTROL MASTER'!$S$2:$S$495))-(ROW('CONTROL MASTER'!#REF!)-1))),IF(SUMPRODUCT((('CONTROL MASTER'!$S$2:$S$495=13)*('CONTROL MASTER'!$Z$2:$Z$495&lt;=6)*('CONTROL MASTER'!$AB$2:$AB$495&gt;=6)*('CONTROL MASTER'!$AA$2:$AA$495&lt;=1)*('CONTROL MASTER'!$AC$2:$AC$495&gt;=1))*ROW('CONTROL MASTER'!$S$2:$S$495))&gt;0,INDEX('CONTROL MASTER'!$X$2:$X$495,(SUMPRODUCT((('CONTROL MASTER'!$S$2:$S$495=13)*('CONTROL MASTER'!$Z$2:$Z$495&lt;=6)*('CONTROL MASTER'!$AB$2:$AB$495&gt;=6)*('CONTROL MASTER'!$AA$2:$AA$495&lt;=1)*('CONTROL MASTER'!$AC$2:$AC$495&gt;=1))*ROW('CONTROL MASTER'!$S$2:$S$495))-(ROW('CONTROL MASTER'!#REF!)-1)))&amp;TRIM(MID(SUBSTITUTE(SUBSTITUTE(INDEX('CONTROL MASTER'!$N$2:$N$495,(SUMPRODUCT((('CONTROL MASTER'!$S$2:$S$495=13)*('CONTROL MASTER'!$Z$2:$Z$495&lt;=6)*('CONTROL MASTER'!$AB$2:$AB$495&gt;=6)*('CONTROL MASTER'!$AA$2:$AA$495&lt;=1)*('CONTROL MASTER'!$AC$2:$AC$495&gt;=1))*ROW('CONTROL MASTER'!$S$2:$S$495))-(ROW('CONTROL MASTER'!#REF!)-1))),":",","),",",REPT(" ",50)),(((INDEX('CONTROL MASTER'!$Y$2:$Y$495,(SUMPRODUCT((('CONTROL MASTER'!$S$2:$S$495=13)*('CONTROL MASTER'!$Z$2:$Z$495&lt;=6)*('CONTROL MASTER'!$AB$2:$AB$495&gt;=6)*('CONTROL MASTER'!$AA$2:$AA$495&lt;=1)*('CONTROL MASTER'!$AC$2:$AC$495&gt;=1))*ROW('CONTROL MASTER'!$S$2:$S$495))-(ROW('CONTROL MASTER'!#REF!)-1)))+((6-INDEX('CONTROL MASTER'!$Z$2:$Z$495,(SUMPRODUCT((('CONTROL MASTER'!$S$2:$S$495=13)*('CONTROL MASTER'!$Z$2:$Z$495&lt;=6)*('CONTROL MASTER'!$AB$2:$AB$495&gt;=6)*('CONTROL MASTER'!$AA$2:$AA$495&lt;=1)*('CONTROL MASTER'!$AC$2:$AC$495&gt;=1))*ROW('CONTROL MASTER'!$S$2:$S$495))-(ROW('CONTROL MASTER'!#REF!)-1))))*(INDEX('CONTROL MASTER'!$AC$2:$AC$495,(SUMPRODUCT((('CONTROL MASTER'!$S$2:$S$495=13)*('CONTROL MASTER'!$Z$2:$Z$495&lt;=6)*('CONTROL MASTER'!$AB$2:$AB$495&gt;=6)*('CONTROL MASTER'!$AA$2:$AA$495&lt;=1)*('CONTROL MASTER'!$AC$2:$AC$495&gt;=1))*ROW('CONTROL MASTER'!$S$2:$S$495))-(ROW('CONTROL MASTER'!#REF!)-1)))-INDEX('CONTROL MASTER'!$AA$2:$AA$495,(SUMPRODUCT((('CONTROL MASTER'!$S$2:$S$495=13)*('CONTROL MASTER'!$Z$2:$Z$495&lt;=6)*('CONTROL MASTER'!$AB$2:$AB$495&gt;=6)*('CONTROL MASTER'!$AA$2:$AA$495&lt;=1)*('CONTROL MASTER'!$AC$2:$AC$495&gt;=1))*ROW('CONTROL MASTER'!$S$2:$S$495))-(ROW('CONTROL MASTER'!#REF!)-1)))+1)+(1-INDEX('CONTROL MASTER'!$AA$2:$AA$495,(SUMPRODUCT((('CONTROL MASTER'!$S$2:$S$495=13)*('CONTROL MASTER'!$Z$2:$Z$495&lt;=6)*('CONTROL MASTER'!$AB$2:$AB$495&gt;=6)*('CONTROL MASTER'!$AA$2:$AA$495&lt;=1)*('CONTROL MASTER'!$AC$2:$AC$495&gt;=1))*ROW('CONTROL MASTER'!$S$2:$S$495))-(ROW('CONTROL MASTER'!#REF!)-1))))+1)))-1)*50+1,50))&amp;"_"&amp;INDEX('CONTROL MASTER'!$P$2:$P$495,(SUMPRODUCT((('CONTROL MASTER'!$S$2:$S$495=13)*('CONTROL MASTER'!$Z$2:$Z$495&lt;=6)*('CONTROL MASTER'!$AB$2:$AB$495&gt;=6)*('CONTROL MASTER'!$AA$2:$AA$495&lt;=1)*('CONTROL MASTER'!$AC$2:$AC$495&gt;=1))*ROW('CONTROL MASTER'!$S$2:$S$495))-(ROW('CONTROL MASTER'!#REF!)-1))),"")),"")</f>
        <v/>
      </c>
      <c r="C176" s="10" t="str">
        <f>IFERROR(IF(SUMPRODUCT((('CONTROL MASTER'!$S$2:$S$495=13)*('CONTROL MASTER'!$T$2:$T$495&lt;=6)*('CONTROL MASTER'!$V$2:$V$495&gt;=6)*('CONTROL MASTER'!$U$2:$U$495&lt;=2)*('CONTROL MASTER'!$W$2:$W$495&gt;=2))*ROW('CONTROL MASTER'!$S$2:$S$495))&gt;0,INDEX('CONTROL MASTER'!$X$2:$X$495,(SUMPRODUCT((('CONTROL MASTER'!$S$2:$S$495=13)*('CONTROL MASTER'!$T$2:$T$495&lt;=6)*('CONTROL MASTER'!$V$2:$V$495&gt;=6)*('CONTROL MASTER'!$U$2:$U$495&lt;=2)*('CONTROL MASTER'!$W$2:$W$495&gt;=2))*ROW('CONTROL MASTER'!$S$2:$S$495))-(ROW('CONTROL MASTER'!#REF!)-1)))&amp;TRIM(MID(SUBSTITUTE(SUBSTITUTE(INDEX('CONTROL MASTER'!$N$2:$N$495,(SUMPRODUCT((('CONTROL MASTER'!$S$2:$S$495=13)*('CONTROL MASTER'!$T$2:$T$495&lt;=6)*('CONTROL MASTER'!$V$2:$V$495&gt;=6)*('CONTROL MASTER'!$U$2:$U$495&lt;=2)*('CONTROL MASTER'!$W$2:$W$495&gt;=2))*ROW('CONTROL MASTER'!$S$2:$S$495))-(ROW('CONTROL MASTER'!#REF!)-1))),":",","),",",REPT(" ",50)),((((6-INDEX('CONTROL MASTER'!$T$2:$T$495,(SUMPRODUCT((('CONTROL MASTER'!$S$2:$S$495=13)*('CONTROL MASTER'!$T$2:$T$495&lt;=6)*('CONTROL MASTER'!$V$2:$V$495&gt;=6)*('CONTROL MASTER'!$U$2:$U$495&lt;=2)*('CONTROL MASTER'!$W$2:$W$495&gt;=2))*ROW('CONTROL MASTER'!$S$2:$S$495))-(ROW('CONTROL MASTER'!#REF!)-1))))*(INDEX('CONTROL MASTER'!$W$2:$W$495,(SUMPRODUCT((('CONTROL MASTER'!$S$2:$S$495=13)*('CONTROL MASTER'!$T$2:$T$495&lt;=6)*('CONTROL MASTER'!$V$2:$V$495&gt;=6)*('CONTROL MASTER'!$U$2:$U$495&lt;=2)*('CONTROL MASTER'!$W$2:$W$495&gt;=2))*ROW('CONTROL MASTER'!$S$2:$S$495))-(ROW('CONTROL MASTER'!#REF!)-1)))-INDEX('CONTROL MASTER'!$U$2:$U$495,(SUMPRODUCT((('CONTROL MASTER'!$S$2:$S$495=13)*('CONTROL MASTER'!$T$2:$T$495&lt;=6)*('CONTROL MASTER'!$V$2:$V$495&gt;=6)*('CONTROL MASTER'!$U$2:$U$495&lt;=2)*('CONTROL MASTER'!$W$2:$W$495&gt;=2))*ROW('CONTROL MASTER'!$S$2:$S$495))-(ROW('CONTROL MASTER'!#REF!)-1)))+1)+(2-INDEX('CONTROL MASTER'!$U$2:$U$495,(SUMPRODUCT((('CONTROL MASTER'!$S$2:$S$495=13)*('CONTROL MASTER'!$T$2:$T$495&lt;=6)*('CONTROL MASTER'!$V$2:$V$495&gt;=6)*('CONTROL MASTER'!$U$2:$U$495&lt;=2)*('CONTROL MASTER'!$W$2:$W$495&gt;=2))*ROW('CONTROL MASTER'!$S$2:$S$495))-(ROW('CONTROL MASTER'!#REF!)-1))))+1))-1)*50+1,50))&amp;"_"&amp;INDEX('CONTROL MASTER'!$P$2:$P$495,(SUMPRODUCT((('CONTROL MASTER'!$S$2:$S$495=13)*('CONTROL MASTER'!$T$2:$T$495&lt;=6)*('CONTROL MASTER'!$V$2:$V$495&gt;=6)*('CONTROL MASTER'!$U$2:$U$495&lt;=2)*('CONTROL MASTER'!$W$2:$W$495&gt;=2))*ROW('CONTROL MASTER'!$S$2:$S$495))-(ROW('CONTROL MASTER'!#REF!)-1))),IF(SUMPRODUCT((('CONTROL MASTER'!$S$2:$S$495=13)*('CONTROL MASTER'!$Z$2:$Z$495&lt;=6)*('CONTROL MASTER'!$AB$2:$AB$495&gt;=6)*('CONTROL MASTER'!$AA$2:$AA$495&lt;=2)*('CONTROL MASTER'!$AC$2:$AC$495&gt;=2))*ROW('CONTROL MASTER'!$S$2:$S$495))&gt;0,INDEX('CONTROL MASTER'!$X$2:$X$495,(SUMPRODUCT((('CONTROL MASTER'!$S$2:$S$495=13)*('CONTROL MASTER'!$Z$2:$Z$495&lt;=6)*('CONTROL MASTER'!$AB$2:$AB$495&gt;=6)*('CONTROL MASTER'!$AA$2:$AA$495&lt;=2)*('CONTROL MASTER'!$AC$2:$AC$495&gt;=2))*ROW('CONTROL MASTER'!$S$2:$S$495))-(ROW('CONTROL MASTER'!#REF!)-1)))&amp;TRIM(MID(SUBSTITUTE(SUBSTITUTE(INDEX('CONTROL MASTER'!$N$2:$N$495,(SUMPRODUCT((('CONTROL MASTER'!$S$2:$S$495=13)*('CONTROL MASTER'!$Z$2:$Z$495&lt;=6)*('CONTROL MASTER'!$AB$2:$AB$495&gt;=6)*('CONTROL MASTER'!$AA$2:$AA$495&lt;=2)*('CONTROL MASTER'!$AC$2:$AC$495&gt;=2))*ROW('CONTROL MASTER'!$S$2:$S$495))-(ROW('CONTROL MASTER'!#REF!)-1))),":",","),",",REPT(" ",50)),(((INDEX('CONTROL MASTER'!$Y$2:$Y$495,(SUMPRODUCT((('CONTROL MASTER'!$S$2:$S$495=13)*('CONTROL MASTER'!$Z$2:$Z$495&lt;=6)*('CONTROL MASTER'!$AB$2:$AB$495&gt;=6)*('CONTROL MASTER'!$AA$2:$AA$495&lt;=2)*('CONTROL MASTER'!$AC$2:$AC$495&gt;=2))*ROW('CONTROL MASTER'!$S$2:$S$495))-(ROW('CONTROL MASTER'!#REF!)-1)))+((6-INDEX('CONTROL MASTER'!$Z$2:$Z$495,(SUMPRODUCT((('CONTROL MASTER'!$S$2:$S$495=13)*('CONTROL MASTER'!$Z$2:$Z$495&lt;=6)*('CONTROL MASTER'!$AB$2:$AB$495&gt;=6)*('CONTROL MASTER'!$AA$2:$AA$495&lt;=2)*('CONTROL MASTER'!$AC$2:$AC$495&gt;=2))*ROW('CONTROL MASTER'!$S$2:$S$495))-(ROW('CONTROL MASTER'!#REF!)-1))))*(INDEX('CONTROL MASTER'!$AC$2:$AC$495,(SUMPRODUCT((('CONTROL MASTER'!$S$2:$S$495=13)*('CONTROL MASTER'!$Z$2:$Z$495&lt;=6)*('CONTROL MASTER'!$AB$2:$AB$495&gt;=6)*('CONTROL MASTER'!$AA$2:$AA$495&lt;=2)*('CONTROL MASTER'!$AC$2:$AC$495&gt;=2))*ROW('CONTROL MASTER'!$S$2:$S$495))-(ROW('CONTROL MASTER'!#REF!)-1)))-INDEX('CONTROL MASTER'!$AA$2:$AA$495,(SUMPRODUCT((('CONTROL MASTER'!$S$2:$S$495=13)*('CONTROL MASTER'!$Z$2:$Z$495&lt;=6)*('CONTROL MASTER'!$AB$2:$AB$495&gt;=6)*('CONTROL MASTER'!$AA$2:$AA$495&lt;=2)*('CONTROL MASTER'!$AC$2:$AC$495&gt;=2))*ROW('CONTROL MASTER'!$S$2:$S$495))-(ROW('CONTROL MASTER'!#REF!)-1)))+1)+(2-INDEX('CONTROL MASTER'!$AA$2:$AA$495,(SUMPRODUCT((('CONTROL MASTER'!$S$2:$S$495=13)*('CONTROL MASTER'!$Z$2:$Z$495&lt;=6)*('CONTROL MASTER'!$AB$2:$AB$495&gt;=6)*('CONTROL MASTER'!$AA$2:$AA$495&lt;=2)*('CONTROL MASTER'!$AC$2:$AC$495&gt;=2))*ROW('CONTROL MASTER'!$S$2:$S$495))-(ROW('CONTROL MASTER'!#REF!)-1))))+1)))-1)*50+1,50))&amp;"_"&amp;INDEX('CONTROL MASTER'!$P$2:$P$495,(SUMPRODUCT((('CONTROL MASTER'!$S$2:$S$495=13)*('CONTROL MASTER'!$Z$2:$Z$495&lt;=6)*('CONTROL MASTER'!$AB$2:$AB$495&gt;=6)*('CONTROL MASTER'!$AA$2:$AA$495&lt;=2)*('CONTROL MASTER'!$AC$2:$AC$495&gt;=2))*ROW('CONTROL MASTER'!$S$2:$S$495))-(ROW('CONTROL MASTER'!#REF!)-1))),"")),"")</f>
        <v/>
      </c>
      <c r="D176" s="10" t="str">
        <f>IFERROR(IF(SUMPRODUCT((('CONTROL MASTER'!$S$2:$S$495=13)*('CONTROL MASTER'!$T$2:$T$495&lt;=6)*('CONTROL MASTER'!$V$2:$V$495&gt;=6)*('CONTROL MASTER'!$U$2:$U$495&lt;=3)*('CONTROL MASTER'!$W$2:$W$495&gt;=3))*ROW('CONTROL MASTER'!$S$2:$S$495))&gt;0,INDEX('CONTROL MASTER'!$X$2:$X$495,(SUMPRODUCT((('CONTROL MASTER'!$S$2:$S$495=13)*('CONTROL MASTER'!$T$2:$T$495&lt;=6)*('CONTROL MASTER'!$V$2:$V$495&gt;=6)*('CONTROL MASTER'!$U$2:$U$495&lt;=3)*('CONTROL MASTER'!$W$2:$W$495&gt;=3))*ROW('CONTROL MASTER'!$S$2:$S$495))-(ROW('CONTROL MASTER'!#REF!)-1)))&amp;TRIM(MID(SUBSTITUTE(SUBSTITUTE(INDEX('CONTROL MASTER'!$N$2:$N$495,(SUMPRODUCT((('CONTROL MASTER'!$S$2:$S$495=13)*('CONTROL MASTER'!$T$2:$T$495&lt;=6)*('CONTROL MASTER'!$V$2:$V$495&gt;=6)*('CONTROL MASTER'!$U$2:$U$495&lt;=3)*('CONTROL MASTER'!$W$2:$W$495&gt;=3))*ROW('CONTROL MASTER'!$S$2:$S$495))-(ROW('CONTROL MASTER'!#REF!)-1))),":",","),",",REPT(" ",50)),((((6-INDEX('CONTROL MASTER'!$T$2:$T$495,(SUMPRODUCT((('CONTROL MASTER'!$S$2:$S$495=13)*('CONTROL MASTER'!$T$2:$T$495&lt;=6)*('CONTROL MASTER'!$V$2:$V$495&gt;=6)*('CONTROL MASTER'!$U$2:$U$495&lt;=3)*('CONTROL MASTER'!$W$2:$W$495&gt;=3))*ROW('CONTROL MASTER'!$S$2:$S$495))-(ROW('CONTROL MASTER'!#REF!)-1))))*(INDEX('CONTROL MASTER'!$W$2:$W$495,(SUMPRODUCT((('CONTROL MASTER'!$S$2:$S$495=13)*('CONTROL MASTER'!$T$2:$T$495&lt;=6)*('CONTROL MASTER'!$V$2:$V$495&gt;=6)*('CONTROL MASTER'!$U$2:$U$495&lt;=3)*('CONTROL MASTER'!$W$2:$W$495&gt;=3))*ROW('CONTROL MASTER'!$S$2:$S$495))-(ROW('CONTROL MASTER'!#REF!)-1)))-INDEX('CONTROL MASTER'!$U$2:$U$495,(SUMPRODUCT((('CONTROL MASTER'!$S$2:$S$495=13)*('CONTROL MASTER'!$T$2:$T$495&lt;=6)*('CONTROL MASTER'!$V$2:$V$495&gt;=6)*('CONTROL MASTER'!$U$2:$U$495&lt;=3)*('CONTROL MASTER'!$W$2:$W$495&gt;=3))*ROW('CONTROL MASTER'!$S$2:$S$495))-(ROW('CONTROL MASTER'!#REF!)-1)))+1)+(3-INDEX('CONTROL MASTER'!$U$2:$U$495,(SUMPRODUCT((('CONTROL MASTER'!$S$2:$S$495=13)*('CONTROL MASTER'!$T$2:$T$495&lt;=6)*('CONTROL MASTER'!$V$2:$V$495&gt;=6)*('CONTROL MASTER'!$U$2:$U$495&lt;=3)*('CONTROL MASTER'!$W$2:$W$495&gt;=3))*ROW('CONTROL MASTER'!$S$2:$S$495))-(ROW('CONTROL MASTER'!#REF!)-1))))+1))-1)*50+1,50))&amp;"_"&amp;INDEX('CONTROL MASTER'!$P$2:$P$495,(SUMPRODUCT((('CONTROL MASTER'!$S$2:$S$495=13)*('CONTROL MASTER'!$T$2:$T$495&lt;=6)*('CONTROL MASTER'!$V$2:$V$495&gt;=6)*('CONTROL MASTER'!$U$2:$U$495&lt;=3)*('CONTROL MASTER'!$W$2:$W$495&gt;=3))*ROW('CONTROL MASTER'!$S$2:$S$495))-(ROW('CONTROL MASTER'!#REF!)-1))),IF(SUMPRODUCT((('CONTROL MASTER'!$S$2:$S$495=13)*('CONTROL MASTER'!$Z$2:$Z$495&lt;=6)*('CONTROL MASTER'!$AB$2:$AB$495&gt;=6)*('CONTROL MASTER'!$AA$2:$AA$495&lt;=3)*('CONTROL MASTER'!$AC$2:$AC$495&gt;=3))*ROW('CONTROL MASTER'!$S$2:$S$495))&gt;0,INDEX('CONTROL MASTER'!$X$2:$X$495,(SUMPRODUCT((('CONTROL MASTER'!$S$2:$S$495=13)*('CONTROL MASTER'!$Z$2:$Z$495&lt;=6)*('CONTROL MASTER'!$AB$2:$AB$495&gt;=6)*('CONTROL MASTER'!$AA$2:$AA$495&lt;=3)*('CONTROL MASTER'!$AC$2:$AC$495&gt;=3))*ROW('CONTROL MASTER'!$S$2:$S$495))-(ROW('CONTROL MASTER'!#REF!)-1)))&amp;TRIM(MID(SUBSTITUTE(SUBSTITUTE(INDEX('CONTROL MASTER'!$N$2:$N$495,(SUMPRODUCT((('CONTROL MASTER'!$S$2:$S$495=13)*('CONTROL MASTER'!$Z$2:$Z$495&lt;=6)*('CONTROL MASTER'!$AB$2:$AB$495&gt;=6)*('CONTROL MASTER'!$AA$2:$AA$495&lt;=3)*('CONTROL MASTER'!$AC$2:$AC$495&gt;=3))*ROW('CONTROL MASTER'!$S$2:$S$495))-(ROW('CONTROL MASTER'!#REF!)-1))),":",","),",",REPT(" ",50)),(((INDEX('CONTROL MASTER'!$Y$2:$Y$495,(SUMPRODUCT((('CONTROL MASTER'!$S$2:$S$495=13)*('CONTROL MASTER'!$Z$2:$Z$495&lt;=6)*('CONTROL MASTER'!$AB$2:$AB$495&gt;=6)*('CONTROL MASTER'!$AA$2:$AA$495&lt;=3)*('CONTROL MASTER'!$AC$2:$AC$495&gt;=3))*ROW('CONTROL MASTER'!$S$2:$S$495))-(ROW('CONTROL MASTER'!#REF!)-1)))+((6-INDEX('CONTROL MASTER'!$Z$2:$Z$495,(SUMPRODUCT((('CONTROL MASTER'!$S$2:$S$495=13)*('CONTROL MASTER'!$Z$2:$Z$495&lt;=6)*('CONTROL MASTER'!$AB$2:$AB$495&gt;=6)*('CONTROL MASTER'!$AA$2:$AA$495&lt;=3)*('CONTROL MASTER'!$AC$2:$AC$495&gt;=3))*ROW('CONTROL MASTER'!$S$2:$S$495))-(ROW('CONTROL MASTER'!#REF!)-1))))*(INDEX('CONTROL MASTER'!$AC$2:$AC$495,(SUMPRODUCT((('CONTROL MASTER'!$S$2:$S$495=13)*('CONTROL MASTER'!$Z$2:$Z$495&lt;=6)*('CONTROL MASTER'!$AB$2:$AB$495&gt;=6)*('CONTROL MASTER'!$AA$2:$AA$495&lt;=3)*('CONTROL MASTER'!$AC$2:$AC$495&gt;=3))*ROW('CONTROL MASTER'!$S$2:$S$495))-(ROW('CONTROL MASTER'!#REF!)-1)))-INDEX('CONTROL MASTER'!$AA$2:$AA$495,(SUMPRODUCT((('CONTROL MASTER'!$S$2:$S$495=13)*('CONTROL MASTER'!$Z$2:$Z$495&lt;=6)*('CONTROL MASTER'!$AB$2:$AB$495&gt;=6)*('CONTROL MASTER'!$AA$2:$AA$495&lt;=3)*('CONTROL MASTER'!$AC$2:$AC$495&gt;=3))*ROW('CONTROL MASTER'!$S$2:$S$495))-(ROW('CONTROL MASTER'!#REF!)-1)))+1)+(3-INDEX('CONTROL MASTER'!$AA$2:$AA$495,(SUMPRODUCT((('CONTROL MASTER'!$S$2:$S$495=13)*('CONTROL MASTER'!$Z$2:$Z$495&lt;=6)*('CONTROL MASTER'!$AB$2:$AB$495&gt;=6)*('CONTROL MASTER'!$AA$2:$AA$495&lt;=3)*('CONTROL MASTER'!$AC$2:$AC$495&gt;=3))*ROW('CONTROL MASTER'!$S$2:$S$495))-(ROW('CONTROL MASTER'!#REF!)-1))))+1)))-1)*50+1,50))&amp;"_"&amp;INDEX('CONTROL MASTER'!$P$2:$P$495,(SUMPRODUCT((('CONTROL MASTER'!$S$2:$S$495=13)*('CONTROL MASTER'!$Z$2:$Z$495&lt;=6)*('CONTROL MASTER'!$AB$2:$AB$495&gt;=6)*('CONTROL MASTER'!$AA$2:$AA$495&lt;=3)*('CONTROL MASTER'!$AC$2:$AC$495&gt;=3))*ROW('CONTROL MASTER'!$S$2:$S$495))-(ROW('CONTROL MASTER'!#REF!)-1))),"")),"")</f>
        <v/>
      </c>
      <c r="E176" s="10" t="str">
        <f>IFERROR(IF(SUMPRODUCT((('CONTROL MASTER'!$S$2:$S$495=13)*('CONTROL MASTER'!$T$2:$T$495&lt;=6)*('CONTROL MASTER'!$V$2:$V$495&gt;=6)*('CONTROL MASTER'!$U$2:$U$495&lt;=4)*('CONTROL MASTER'!$W$2:$W$495&gt;=4))*ROW('CONTROL MASTER'!$S$2:$S$495))&gt;0,INDEX('CONTROL MASTER'!$X$2:$X$495,(SUMPRODUCT((('CONTROL MASTER'!$S$2:$S$495=13)*('CONTROL MASTER'!$T$2:$T$495&lt;=6)*('CONTROL MASTER'!$V$2:$V$495&gt;=6)*('CONTROL MASTER'!$U$2:$U$495&lt;=4)*('CONTROL MASTER'!$W$2:$W$495&gt;=4))*ROW('CONTROL MASTER'!$S$2:$S$495))-(ROW('CONTROL MASTER'!#REF!)-1)))&amp;TRIM(MID(SUBSTITUTE(SUBSTITUTE(INDEX('CONTROL MASTER'!$N$2:$N$495,(SUMPRODUCT((('CONTROL MASTER'!$S$2:$S$495=13)*('CONTROL MASTER'!$T$2:$T$495&lt;=6)*('CONTROL MASTER'!$V$2:$V$495&gt;=6)*('CONTROL MASTER'!$U$2:$U$495&lt;=4)*('CONTROL MASTER'!$W$2:$W$495&gt;=4))*ROW('CONTROL MASTER'!$S$2:$S$495))-(ROW('CONTROL MASTER'!#REF!)-1))),":",","),",",REPT(" ",50)),((((6-INDEX('CONTROL MASTER'!$T$2:$T$495,(SUMPRODUCT((('CONTROL MASTER'!$S$2:$S$495=13)*('CONTROL MASTER'!$T$2:$T$495&lt;=6)*('CONTROL MASTER'!$V$2:$V$495&gt;=6)*('CONTROL MASTER'!$U$2:$U$495&lt;=4)*('CONTROL MASTER'!$W$2:$W$495&gt;=4))*ROW('CONTROL MASTER'!$S$2:$S$495))-(ROW('CONTROL MASTER'!#REF!)-1))))*(INDEX('CONTROL MASTER'!$W$2:$W$495,(SUMPRODUCT((('CONTROL MASTER'!$S$2:$S$495=13)*('CONTROL MASTER'!$T$2:$T$495&lt;=6)*('CONTROL MASTER'!$V$2:$V$495&gt;=6)*('CONTROL MASTER'!$U$2:$U$495&lt;=4)*('CONTROL MASTER'!$W$2:$W$495&gt;=4))*ROW('CONTROL MASTER'!$S$2:$S$495))-(ROW('CONTROL MASTER'!#REF!)-1)))-INDEX('CONTROL MASTER'!$U$2:$U$495,(SUMPRODUCT((('CONTROL MASTER'!$S$2:$S$495=13)*('CONTROL MASTER'!$T$2:$T$495&lt;=6)*('CONTROL MASTER'!$V$2:$V$495&gt;=6)*('CONTROL MASTER'!$U$2:$U$495&lt;=4)*('CONTROL MASTER'!$W$2:$W$495&gt;=4))*ROW('CONTROL MASTER'!$S$2:$S$495))-(ROW('CONTROL MASTER'!#REF!)-1)))+1)+(4-INDEX('CONTROL MASTER'!$U$2:$U$495,(SUMPRODUCT((('CONTROL MASTER'!$S$2:$S$495=13)*('CONTROL MASTER'!$T$2:$T$495&lt;=6)*('CONTROL MASTER'!$V$2:$V$495&gt;=6)*('CONTROL MASTER'!$U$2:$U$495&lt;=4)*('CONTROL MASTER'!$W$2:$W$495&gt;=4))*ROW('CONTROL MASTER'!$S$2:$S$495))-(ROW('CONTROL MASTER'!#REF!)-1))))+1))-1)*50+1,50))&amp;"_"&amp;INDEX('CONTROL MASTER'!$P$2:$P$495,(SUMPRODUCT((('CONTROL MASTER'!$S$2:$S$495=13)*('CONTROL MASTER'!$T$2:$T$495&lt;=6)*('CONTROL MASTER'!$V$2:$V$495&gt;=6)*('CONTROL MASTER'!$U$2:$U$495&lt;=4)*('CONTROL MASTER'!$W$2:$W$495&gt;=4))*ROW('CONTROL MASTER'!$S$2:$S$495))-(ROW('CONTROL MASTER'!#REF!)-1))),IF(SUMPRODUCT((('CONTROL MASTER'!$S$2:$S$495=13)*('CONTROL MASTER'!$Z$2:$Z$495&lt;=6)*('CONTROL MASTER'!$AB$2:$AB$495&gt;=6)*('CONTROL MASTER'!$AA$2:$AA$495&lt;=4)*('CONTROL MASTER'!$AC$2:$AC$495&gt;=4))*ROW('CONTROL MASTER'!$S$2:$S$495))&gt;0,INDEX('CONTROL MASTER'!$X$2:$X$495,(SUMPRODUCT((('CONTROL MASTER'!$S$2:$S$495=13)*('CONTROL MASTER'!$Z$2:$Z$495&lt;=6)*('CONTROL MASTER'!$AB$2:$AB$495&gt;=6)*('CONTROL MASTER'!$AA$2:$AA$495&lt;=4)*('CONTROL MASTER'!$AC$2:$AC$495&gt;=4))*ROW('CONTROL MASTER'!$S$2:$S$495))-(ROW('CONTROL MASTER'!#REF!)-1)))&amp;TRIM(MID(SUBSTITUTE(SUBSTITUTE(INDEX('CONTROL MASTER'!$N$2:$N$495,(SUMPRODUCT((('CONTROL MASTER'!$S$2:$S$495=13)*('CONTROL MASTER'!$Z$2:$Z$495&lt;=6)*('CONTROL MASTER'!$AB$2:$AB$495&gt;=6)*('CONTROL MASTER'!$AA$2:$AA$495&lt;=4)*('CONTROL MASTER'!$AC$2:$AC$495&gt;=4))*ROW('CONTROL MASTER'!$S$2:$S$495))-(ROW('CONTROL MASTER'!#REF!)-1))),":",","),",",REPT(" ",50)),(((INDEX('CONTROL MASTER'!$Y$2:$Y$495,(SUMPRODUCT((('CONTROL MASTER'!$S$2:$S$495=13)*('CONTROL MASTER'!$Z$2:$Z$495&lt;=6)*('CONTROL MASTER'!$AB$2:$AB$495&gt;=6)*('CONTROL MASTER'!$AA$2:$AA$495&lt;=4)*('CONTROL MASTER'!$AC$2:$AC$495&gt;=4))*ROW('CONTROL MASTER'!$S$2:$S$495))-(ROW('CONTROL MASTER'!#REF!)-1)))+((6-INDEX('CONTROL MASTER'!$Z$2:$Z$495,(SUMPRODUCT((('CONTROL MASTER'!$S$2:$S$495=13)*('CONTROL MASTER'!$Z$2:$Z$495&lt;=6)*('CONTROL MASTER'!$AB$2:$AB$495&gt;=6)*('CONTROL MASTER'!$AA$2:$AA$495&lt;=4)*('CONTROL MASTER'!$AC$2:$AC$495&gt;=4))*ROW('CONTROL MASTER'!$S$2:$S$495))-(ROW('CONTROL MASTER'!#REF!)-1))))*(INDEX('CONTROL MASTER'!$AC$2:$AC$495,(SUMPRODUCT((('CONTROL MASTER'!$S$2:$S$495=13)*('CONTROL MASTER'!$Z$2:$Z$495&lt;=6)*('CONTROL MASTER'!$AB$2:$AB$495&gt;=6)*('CONTROL MASTER'!$AA$2:$AA$495&lt;=4)*('CONTROL MASTER'!$AC$2:$AC$495&gt;=4))*ROW('CONTROL MASTER'!$S$2:$S$495))-(ROW('CONTROL MASTER'!#REF!)-1)))-INDEX('CONTROL MASTER'!$AA$2:$AA$495,(SUMPRODUCT((('CONTROL MASTER'!$S$2:$S$495=13)*('CONTROL MASTER'!$Z$2:$Z$495&lt;=6)*('CONTROL MASTER'!$AB$2:$AB$495&gt;=6)*('CONTROL MASTER'!$AA$2:$AA$495&lt;=4)*('CONTROL MASTER'!$AC$2:$AC$495&gt;=4))*ROW('CONTROL MASTER'!$S$2:$S$495))-(ROW('CONTROL MASTER'!#REF!)-1)))+1)+(4-INDEX('CONTROL MASTER'!$AA$2:$AA$495,(SUMPRODUCT((('CONTROL MASTER'!$S$2:$S$495=13)*('CONTROL MASTER'!$Z$2:$Z$495&lt;=6)*('CONTROL MASTER'!$AB$2:$AB$495&gt;=6)*('CONTROL MASTER'!$AA$2:$AA$495&lt;=4)*('CONTROL MASTER'!$AC$2:$AC$495&gt;=4))*ROW('CONTROL MASTER'!$S$2:$S$495))-(ROW('CONTROL MASTER'!#REF!)-1))))+1)))-1)*50+1,50))&amp;"_"&amp;INDEX('CONTROL MASTER'!$P$2:$P$495,(SUMPRODUCT((('CONTROL MASTER'!$S$2:$S$495=13)*('CONTROL MASTER'!$Z$2:$Z$495&lt;=6)*('CONTROL MASTER'!$AB$2:$AB$495&gt;=6)*('CONTROL MASTER'!$AA$2:$AA$495&lt;=4)*('CONTROL MASTER'!$AC$2:$AC$495&gt;=4))*ROW('CONTROL MASTER'!$S$2:$S$495))-(ROW('CONTROL MASTER'!#REF!)-1))),"")),"")</f>
        <v/>
      </c>
      <c r="F176" s="10" t="str">
        <f>IFERROR(IF(SUMPRODUCT((('CONTROL MASTER'!$S$2:$S$495=13)*('CONTROL MASTER'!$T$2:$T$495&lt;=6)*('CONTROL MASTER'!$V$2:$V$495&gt;=6)*('CONTROL MASTER'!$U$2:$U$495&lt;=5)*('CONTROL MASTER'!$W$2:$W$495&gt;=5))*ROW('CONTROL MASTER'!$S$2:$S$495))&gt;0,INDEX('CONTROL MASTER'!$X$2:$X$495,(SUMPRODUCT((('CONTROL MASTER'!$S$2:$S$495=13)*('CONTROL MASTER'!$T$2:$T$495&lt;=6)*('CONTROL MASTER'!$V$2:$V$495&gt;=6)*('CONTROL MASTER'!$U$2:$U$495&lt;=5)*('CONTROL MASTER'!$W$2:$W$495&gt;=5))*ROW('CONTROL MASTER'!$S$2:$S$495))-(ROW('CONTROL MASTER'!#REF!)-1)))&amp;TRIM(MID(SUBSTITUTE(SUBSTITUTE(INDEX('CONTROL MASTER'!$N$2:$N$495,(SUMPRODUCT((('CONTROL MASTER'!$S$2:$S$495=13)*('CONTROL MASTER'!$T$2:$T$495&lt;=6)*('CONTROL MASTER'!$V$2:$V$495&gt;=6)*('CONTROL MASTER'!$U$2:$U$495&lt;=5)*('CONTROL MASTER'!$W$2:$W$495&gt;=5))*ROW('CONTROL MASTER'!$S$2:$S$495))-(ROW('CONTROL MASTER'!#REF!)-1))),":",","),",",REPT(" ",50)),((((6-INDEX('CONTROL MASTER'!$T$2:$T$495,(SUMPRODUCT((('CONTROL MASTER'!$S$2:$S$495=13)*('CONTROL MASTER'!$T$2:$T$495&lt;=6)*('CONTROL MASTER'!$V$2:$V$495&gt;=6)*('CONTROL MASTER'!$U$2:$U$495&lt;=5)*('CONTROL MASTER'!$W$2:$W$495&gt;=5))*ROW('CONTROL MASTER'!$S$2:$S$495))-(ROW('CONTROL MASTER'!#REF!)-1))))*(INDEX('CONTROL MASTER'!$W$2:$W$495,(SUMPRODUCT((('CONTROL MASTER'!$S$2:$S$495=13)*('CONTROL MASTER'!$T$2:$T$495&lt;=6)*('CONTROL MASTER'!$V$2:$V$495&gt;=6)*('CONTROL MASTER'!$U$2:$U$495&lt;=5)*('CONTROL MASTER'!$W$2:$W$495&gt;=5))*ROW('CONTROL MASTER'!$S$2:$S$495))-(ROW('CONTROL MASTER'!#REF!)-1)))-INDEX('CONTROL MASTER'!$U$2:$U$495,(SUMPRODUCT((('CONTROL MASTER'!$S$2:$S$495=13)*('CONTROL MASTER'!$T$2:$T$495&lt;=6)*('CONTROL MASTER'!$V$2:$V$495&gt;=6)*('CONTROL MASTER'!$U$2:$U$495&lt;=5)*('CONTROL MASTER'!$W$2:$W$495&gt;=5))*ROW('CONTROL MASTER'!$S$2:$S$495))-(ROW('CONTROL MASTER'!#REF!)-1)))+1)+(5-INDEX('CONTROL MASTER'!$U$2:$U$495,(SUMPRODUCT((('CONTROL MASTER'!$S$2:$S$495=13)*('CONTROL MASTER'!$T$2:$T$495&lt;=6)*('CONTROL MASTER'!$V$2:$V$495&gt;=6)*('CONTROL MASTER'!$U$2:$U$495&lt;=5)*('CONTROL MASTER'!$W$2:$W$495&gt;=5))*ROW('CONTROL MASTER'!$S$2:$S$495))-(ROW('CONTROL MASTER'!#REF!)-1))))+1))-1)*50+1,50))&amp;"_"&amp;INDEX('CONTROL MASTER'!$P$2:$P$495,(SUMPRODUCT((('CONTROL MASTER'!$S$2:$S$495=13)*('CONTROL MASTER'!$T$2:$T$495&lt;=6)*('CONTROL MASTER'!$V$2:$V$495&gt;=6)*('CONTROL MASTER'!$U$2:$U$495&lt;=5)*('CONTROL MASTER'!$W$2:$W$495&gt;=5))*ROW('CONTROL MASTER'!$S$2:$S$495))-(ROW('CONTROL MASTER'!#REF!)-1))),IF(SUMPRODUCT((('CONTROL MASTER'!$S$2:$S$495=13)*('CONTROL MASTER'!$Z$2:$Z$495&lt;=6)*('CONTROL MASTER'!$AB$2:$AB$495&gt;=6)*('CONTROL MASTER'!$AA$2:$AA$495&lt;=5)*('CONTROL MASTER'!$AC$2:$AC$495&gt;=5))*ROW('CONTROL MASTER'!$S$2:$S$495))&gt;0,INDEX('CONTROL MASTER'!$X$2:$X$495,(SUMPRODUCT((('CONTROL MASTER'!$S$2:$S$495=13)*('CONTROL MASTER'!$Z$2:$Z$495&lt;=6)*('CONTROL MASTER'!$AB$2:$AB$495&gt;=6)*('CONTROL MASTER'!$AA$2:$AA$495&lt;=5)*('CONTROL MASTER'!$AC$2:$AC$495&gt;=5))*ROW('CONTROL MASTER'!$S$2:$S$495))-(ROW('CONTROL MASTER'!#REF!)-1)))&amp;TRIM(MID(SUBSTITUTE(SUBSTITUTE(INDEX('CONTROL MASTER'!$N$2:$N$495,(SUMPRODUCT((('CONTROL MASTER'!$S$2:$S$495=13)*('CONTROL MASTER'!$Z$2:$Z$495&lt;=6)*('CONTROL MASTER'!$AB$2:$AB$495&gt;=6)*('CONTROL MASTER'!$AA$2:$AA$495&lt;=5)*('CONTROL MASTER'!$AC$2:$AC$495&gt;=5))*ROW('CONTROL MASTER'!$S$2:$S$495))-(ROW('CONTROL MASTER'!#REF!)-1))),":",","),",",REPT(" ",50)),(((INDEX('CONTROL MASTER'!$Y$2:$Y$495,(SUMPRODUCT((('CONTROL MASTER'!$S$2:$S$495=13)*('CONTROL MASTER'!$Z$2:$Z$495&lt;=6)*('CONTROL MASTER'!$AB$2:$AB$495&gt;=6)*('CONTROL MASTER'!$AA$2:$AA$495&lt;=5)*('CONTROL MASTER'!$AC$2:$AC$495&gt;=5))*ROW('CONTROL MASTER'!$S$2:$S$495))-(ROW('CONTROL MASTER'!#REF!)-1)))+((6-INDEX('CONTROL MASTER'!$Z$2:$Z$495,(SUMPRODUCT((('CONTROL MASTER'!$S$2:$S$495=13)*('CONTROL MASTER'!$Z$2:$Z$495&lt;=6)*('CONTROL MASTER'!$AB$2:$AB$495&gt;=6)*('CONTROL MASTER'!$AA$2:$AA$495&lt;=5)*('CONTROL MASTER'!$AC$2:$AC$495&gt;=5))*ROW('CONTROL MASTER'!$S$2:$S$495))-(ROW('CONTROL MASTER'!#REF!)-1))))*(INDEX('CONTROL MASTER'!$AC$2:$AC$495,(SUMPRODUCT((('CONTROL MASTER'!$S$2:$S$495=13)*('CONTROL MASTER'!$Z$2:$Z$495&lt;=6)*('CONTROL MASTER'!$AB$2:$AB$495&gt;=6)*('CONTROL MASTER'!$AA$2:$AA$495&lt;=5)*('CONTROL MASTER'!$AC$2:$AC$495&gt;=5))*ROW('CONTROL MASTER'!$S$2:$S$495))-(ROW('CONTROL MASTER'!#REF!)-1)))-INDEX('CONTROL MASTER'!$AA$2:$AA$495,(SUMPRODUCT((('CONTROL MASTER'!$S$2:$S$495=13)*('CONTROL MASTER'!$Z$2:$Z$495&lt;=6)*('CONTROL MASTER'!$AB$2:$AB$495&gt;=6)*('CONTROL MASTER'!$AA$2:$AA$495&lt;=5)*('CONTROL MASTER'!$AC$2:$AC$495&gt;=5))*ROW('CONTROL MASTER'!$S$2:$S$495))-(ROW('CONTROL MASTER'!#REF!)-1)))+1)+(5-INDEX('CONTROL MASTER'!$AA$2:$AA$495,(SUMPRODUCT((('CONTROL MASTER'!$S$2:$S$495=13)*('CONTROL MASTER'!$Z$2:$Z$495&lt;=6)*('CONTROL MASTER'!$AB$2:$AB$495&gt;=6)*('CONTROL MASTER'!$AA$2:$AA$495&lt;=5)*('CONTROL MASTER'!$AC$2:$AC$495&gt;=5))*ROW('CONTROL MASTER'!$S$2:$S$495))-(ROW('CONTROL MASTER'!#REF!)-1))))+1)))-1)*50+1,50))&amp;"_"&amp;INDEX('CONTROL MASTER'!$P$2:$P$495,(SUMPRODUCT((('CONTROL MASTER'!$S$2:$S$495=13)*('CONTROL MASTER'!$Z$2:$Z$495&lt;=6)*('CONTROL MASTER'!$AB$2:$AB$495&gt;=6)*('CONTROL MASTER'!$AA$2:$AA$495&lt;=5)*('CONTROL MASTER'!$AC$2:$AC$495&gt;=5))*ROW('CONTROL MASTER'!$S$2:$S$495))-(ROW('CONTROL MASTER'!#REF!)-1))),"")),"")</f>
        <v/>
      </c>
      <c r="G176" s="10" t="str">
        <f>IFERROR(IF(SUMPRODUCT((('CONTROL MASTER'!$S$2:$S$495=13)*('CONTROL MASTER'!$T$2:$T$495&lt;=6)*('CONTROL MASTER'!$V$2:$V$495&gt;=6)*('CONTROL MASTER'!$U$2:$U$495&lt;=6)*('CONTROL MASTER'!$W$2:$W$495&gt;=6))*ROW('CONTROL MASTER'!$S$2:$S$495))&gt;0,INDEX('CONTROL MASTER'!$X$2:$X$495,(SUMPRODUCT((('CONTROL MASTER'!$S$2:$S$495=13)*('CONTROL MASTER'!$T$2:$T$495&lt;=6)*('CONTROL MASTER'!$V$2:$V$495&gt;=6)*('CONTROL MASTER'!$U$2:$U$495&lt;=6)*('CONTROL MASTER'!$W$2:$W$495&gt;=6))*ROW('CONTROL MASTER'!$S$2:$S$495))-(ROW('CONTROL MASTER'!#REF!)-1)))&amp;TRIM(MID(SUBSTITUTE(SUBSTITUTE(INDEX('CONTROL MASTER'!$N$2:$N$495,(SUMPRODUCT((('CONTROL MASTER'!$S$2:$S$495=13)*('CONTROL MASTER'!$T$2:$T$495&lt;=6)*('CONTROL MASTER'!$V$2:$V$495&gt;=6)*('CONTROL MASTER'!$U$2:$U$495&lt;=6)*('CONTROL MASTER'!$W$2:$W$495&gt;=6))*ROW('CONTROL MASTER'!$S$2:$S$495))-(ROW('CONTROL MASTER'!#REF!)-1))),":",","),",",REPT(" ",50)),((((6-INDEX('CONTROL MASTER'!$T$2:$T$495,(SUMPRODUCT((('CONTROL MASTER'!$S$2:$S$495=13)*('CONTROL MASTER'!$T$2:$T$495&lt;=6)*('CONTROL MASTER'!$V$2:$V$495&gt;=6)*('CONTROL MASTER'!$U$2:$U$495&lt;=6)*('CONTROL MASTER'!$W$2:$W$495&gt;=6))*ROW('CONTROL MASTER'!$S$2:$S$495))-(ROW('CONTROL MASTER'!#REF!)-1))))*(INDEX('CONTROL MASTER'!$W$2:$W$495,(SUMPRODUCT((('CONTROL MASTER'!$S$2:$S$495=13)*('CONTROL MASTER'!$T$2:$T$495&lt;=6)*('CONTROL MASTER'!$V$2:$V$495&gt;=6)*('CONTROL MASTER'!$U$2:$U$495&lt;=6)*('CONTROL MASTER'!$W$2:$W$495&gt;=6))*ROW('CONTROL MASTER'!$S$2:$S$495))-(ROW('CONTROL MASTER'!#REF!)-1)))-INDEX('CONTROL MASTER'!$U$2:$U$495,(SUMPRODUCT((('CONTROL MASTER'!$S$2:$S$495=13)*('CONTROL MASTER'!$T$2:$T$495&lt;=6)*('CONTROL MASTER'!$V$2:$V$495&gt;=6)*('CONTROL MASTER'!$U$2:$U$495&lt;=6)*('CONTROL MASTER'!$W$2:$W$495&gt;=6))*ROW('CONTROL MASTER'!$S$2:$S$495))-(ROW('CONTROL MASTER'!#REF!)-1)))+1)+(6-INDEX('CONTROL MASTER'!$U$2:$U$495,(SUMPRODUCT((('CONTROL MASTER'!$S$2:$S$495=13)*('CONTROL MASTER'!$T$2:$T$495&lt;=6)*('CONTROL MASTER'!$V$2:$V$495&gt;=6)*('CONTROL MASTER'!$U$2:$U$495&lt;=6)*('CONTROL MASTER'!$W$2:$W$495&gt;=6))*ROW('CONTROL MASTER'!$S$2:$S$495))-(ROW('CONTROL MASTER'!#REF!)-1))))+1))-1)*50+1,50))&amp;"_"&amp;INDEX('CONTROL MASTER'!$P$2:$P$495,(SUMPRODUCT((('CONTROL MASTER'!$S$2:$S$495=13)*('CONTROL MASTER'!$T$2:$T$495&lt;=6)*('CONTROL MASTER'!$V$2:$V$495&gt;=6)*('CONTROL MASTER'!$U$2:$U$495&lt;=6)*('CONTROL MASTER'!$W$2:$W$495&gt;=6))*ROW('CONTROL MASTER'!$S$2:$S$495))-(ROW('CONTROL MASTER'!#REF!)-1))),IF(SUMPRODUCT((('CONTROL MASTER'!$S$2:$S$495=13)*('CONTROL MASTER'!$Z$2:$Z$495&lt;=6)*('CONTROL MASTER'!$AB$2:$AB$495&gt;=6)*('CONTROL MASTER'!$AA$2:$AA$495&lt;=6)*('CONTROL MASTER'!$AC$2:$AC$495&gt;=6))*ROW('CONTROL MASTER'!$S$2:$S$495))&gt;0,INDEX('CONTROL MASTER'!$X$2:$X$495,(SUMPRODUCT((('CONTROL MASTER'!$S$2:$S$495=13)*('CONTROL MASTER'!$Z$2:$Z$495&lt;=6)*('CONTROL MASTER'!$AB$2:$AB$495&gt;=6)*('CONTROL MASTER'!$AA$2:$AA$495&lt;=6)*('CONTROL MASTER'!$AC$2:$AC$495&gt;=6))*ROW('CONTROL MASTER'!$S$2:$S$495))-(ROW('CONTROL MASTER'!#REF!)-1)))&amp;TRIM(MID(SUBSTITUTE(SUBSTITUTE(INDEX('CONTROL MASTER'!$N$2:$N$495,(SUMPRODUCT((('CONTROL MASTER'!$S$2:$S$495=13)*('CONTROL MASTER'!$Z$2:$Z$495&lt;=6)*('CONTROL MASTER'!$AB$2:$AB$495&gt;=6)*('CONTROL MASTER'!$AA$2:$AA$495&lt;=6)*('CONTROL MASTER'!$AC$2:$AC$495&gt;=6))*ROW('CONTROL MASTER'!$S$2:$S$495))-(ROW('CONTROL MASTER'!#REF!)-1))),":",","),",",REPT(" ",50)),(((INDEX('CONTROL MASTER'!$Y$2:$Y$495,(SUMPRODUCT((('CONTROL MASTER'!$S$2:$S$495=13)*('CONTROL MASTER'!$Z$2:$Z$495&lt;=6)*('CONTROL MASTER'!$AB$2:$AB$495&gt;=6)*('CONTROL MASTER'!$AA$2:$AA$495&lt;=6)*('CONTROL MASTER'!$AC$2:$AC$495&gt;=6))*ROW('CONTROL MASTER'!$S$2:$S$495))-(ROW('CONTROL MASTER'!#REF!)-1)))+((6-INDEX('CONTROL MASTER'!$Z$2:$Z$495,(SUMPRODUCT((('CONTROL MASTER'!$S$2:$S$495=13)*('CONTROL MASTER'!$Z$2:$Z$495&lt;=6)*('CONTROL MASTER'!$AB$2:$AB$495&gt;=6)*('CONTROL MASTER'!$AA$2:$AA$495&lt;=6)*('CONTROL MASTER'!$AC$2:$AC$495&gt;=6))*ROW('CONTROL MASTER'!$S$2:$S$495))-(ROW('CONTROL MASTER'!#REF!)-1))))*(INDEX('CONTROL MASTER'!$AC$2:$AC$495,(SUMPRODUCT((('CONTROL MASTER'!$S$2:$S$495=13)*('CONTROL MASTER'!$Z$2:$Z$495&lt;=6)*('CONTROL MASTER'!$AB$2:$AB$495&gt;=6)*('CONTROL MASTER'!$AA$2:$AA$495&lt;=6)*('CONTROL MASTER'!$AC$2:$AC$495&gt;=6))*ROW('CONTROL MASTER'!$S$2:$S$495))-(ROW('CONTROL MASTER'!#REF!)-1)))-INDEX('CONTROL MASTER'!$AA$2:$AA$495,(SUMPRODUCT((('CONTROL MASTER'!$S$2:$S$495=13)*('CONTROL MASTER'!$Z$2:$Z$495&lt;=6)*('CONTROL MASTER'!$AB$2:$AB$495&gt;=6)*('CONTROL MASTER'!$AA$2:$AA$495&lt;=6)*('CONTROL MASTER'!$AC$2:$AC$495&gt;=6))*ROW('CONTROL MASTER'!$S$2:$S$495))-(ROW('CONTROL MASTER'!#REF!)-1)))+1)+(6-INDEX('CONTROL MASTER'!$AA$2:$AA$495,(SUMPRODUCT((('CONTROL MASTER'!$S$2:$S$495=13)*('CONTROL MASTER'!$Z$2:$Z$495&lt;=6)*('CONTROL MASTER'!$AB$2:$AB$495&gt;=6)*('CONTROL MASTER'!$AA$2:$AA$495&lt;=6)*('CONTROL MASTER'!$AC$2:$AC$495&gt;=6))*ROW('CONTROL MASTER'!$S$2:$S$495))-(ROW('CONTROL MASTER'!#REF!)-1))))+1)))-1)*50+1,50))&amp;"_"&amp;INDEX('CONTROL MASTER'!$P$2:$P$495,(SUMPRODUCT((('CONTROL MASTER'!$S$2:$S$495=13)*('CONTROL MASTER'!$Z$2:$Z$495&lt;=6)*('CONTROL MASTER'!$AB$2:$AB$495&gt;=6)*('CONTROL MASTER'!$AA$2:$AA$495&lt;=6)*('CONTROL MASTER'!$AC$2:$AC$495&gt;=6))*ROW('CONTROL MASTER'!$S$2:$S$495))-(ROW('CONTROL MASTER'!#REF!)-1))),"")),"")</f>
        <v/>
      </c>
      <c r="H176" s="10" t="str">
        <f>IFERROR(IF(SUMPRODUCT((('CONTROL MASTER'!$S$2:$S$495=13)*('CONTROL MASTER'!$T$2:$T$495&lt;=6)*('CONTROL MASTER'!$V$2:$V$495&gt;=6)*('CONTROL MASTER'!$U$2:$U$495&lt;=7)*('CONTROL MASTER'!$W$2:$W$495&gt;=7))*ROW('CONTROL MASTER'!$S$2:$S$495))&gt;0,INDEX('CONTROL MASTER'!$X$2:$X$495,(SUMPRODUCT((('CONTROL MASTER'!$S$2:$S$495=13)*('CONTROL MASTER'!$T$2:$T$495&lt;=6)*('CONTROL MASTER'!$V$2:$V$495&gt;=6)*('CONTROL MASTER'!$U$2:$U$495&lt;=7)*('CONTROL MASTER'!$W$2:$W$495&gt;=7))*ROW('CONTROL MASTER'!$S$2:$S$495))-(ROW('CONTROL MASTER'!#REF!)-1)))&amp;TRIM(MID(SUBSTITUTE(SUBSTITUTE(INDEX('CONTROL MASTER'!$N$2:$N$495,(SUMPRODUCT((('CONTROL MASTER'!$S$2:$S$495=13)*('CONTROL MASTER'!$T$2:$T$495&lt;=6)*('CONTROL MASTER'!$V$2:$V$495&gt;=6)*('CONTROL MASTER'!$U$2:$U$495&lt;=7)*('CONTROL MASTER'!$W$2:$W$495&gt;=7))*ROW('CONTROL MASTER'!$S$2:$S$495))-(ROW('CONTROL MASTER'!#REF!)-1))),":",","),",",REPT(" ",50)),((((6-INDEX('CONTROL MASTER'!$T$2:$T$495,(SUMPRODUCT((('CONTROL MASTER'!$S$2:$S$495=13)*('CONTROL MASTER'!$T$2:$T$495&lt;=6)*('CONTROL MASTER'!$V$2:$V$495&gt;=6)*('CONTROL MASTER'!$U$2:$U$495&lt;=7)*('CONTROL MASTER'!$W$2:$W$495&gt;=7))*ROW('CONTROL MASTER'!$S$2:$S$495))-(ROW('CONTROL MASTER'!#REF!)-1))))*(INDEX('CONTROL MASTER'!$W$2:$W$495,(SUMPRODUCT((('CONTROL MASTER'!$S$2:$S$495=13)*('CONTROL MASTER'!$T$2:$T$495&lt;=6)*('CONTROL MASTER'!$V$2:$V$495&gt;=6)*('CONTROL MASTER'!$U$2:$U$495&lt;=7)*('CONTROL MASTER'!$W$2:$W$495&gt;=7))*ROW('CONTROL MASTER'!$S$2:$S$495))-(ROW('CONTROL MASTER'!#REF!)-1)))-INDEX('CONTROL MASTER'!$U$2:$U$495,(SUMPRODUCT((('CONTROL MASTER'!$S$2:$S$495=13)*('CONTROL MASTER'!$T$2:$T$495&lt;=6)*('CONTROL MASTER'!$V$2:$V$495&gt;=6)*('CONTROL MASTER'!$U$2:$U$495&lt;=7)*('CONTROL MASTER'!$W$2:$W$495&gt;=7))*ROW('CONTROL MASTER'!$S$2:$S$495))-(ROW('CONTROL MASTER'!#REF!)-1)))+1)+(7-INDEX('CONTROL MASTER'!$U$2:$U$495,(SUMPRODUCT((('CONTROL MASTER'!$S$2:$S$495=13)*('CONTROL MASTER'!$T$2:$T$495&lt;=6)*('CONTROL MASTER'!$V$2:$V$495&gt;=6)*('CONTROL MASTER'!$U$2:$U$495&lt;=7)*('CONTROL MASTER'!$W$2:$W$495&gt;=7))*ROW('CONTROL MASTER'!$S$2:$S$495))-(ROW('CONTROL MASTER'!#REF!)-1))))+1))-1)*50+1,50))&amp;"_"&amp;INDEX('CONTROL MASTER'!$P$2:$P$495,(SUMPRODUCT((('CONTROL MASTER'!$S$2:$S$495=13)*('CONTROL MASTER'!$T$2:$T$495&lt;=6)*('CONTROL MASTER'!$V$2:$V$495&gt;=6)*('CONTROL MASTER'!$U$2:$U$495&lt;=7)*('CONTROL MASTER'!$W$2:$W$495&gt;=7))*ROW('CONTROL MASTER'!$S$2:$S$495))-(ROW('CONTROL MASTER'!#REF!)-1))),IF(SUMPRODUCT((('CONTROL MASTER'!$S$2:$S$495=13)*('CONTROL MASTER'!$Z$2:$Z$495&lt;=6)*('CONTROL MASTER'!$AB$2:$AB$495&gt;=6)*('CONTROL MASTER'!$AA$2:$AA$495&lt;=7)*('CONTROL MASTER'!$AC$2:$AC$495&gt;=7))*ROW('CONTROL MASTER'!$S$2:$S$495))&gt;0,INDEX('CONTROL MASTER'!$X$2:$X$495,(SUMPRODUCT((('CONTROL MASTER'!$S$2:$S$495=13)*('CONTROL MASTER'!$Z$2:$Z$495&lt;=6)*('CONTROL MASTER'!$AB$2:$AB$495&gt;=6)*('CONTROL MASTER'!$AA$2:$AA$495&lt;=7)*('CONTROL MASTER'!$AC$2:$AC$495&gt;=7))*ROW('CONTROL MASTER'!$S$2:$S$495))-(ROW('CONTROL MASTER'!#REF!)-1)))&amp;TRIM(MID(SUBSTITUTE(SUBSTITUTE(INDEX('CONTROL MASTER'!$N$2:$N$495,(SUMPRODUCT((('CONTROL MASTER'!$S$2:$S$495=13)*('CONTROL MASTER'!$Z$2:$Z$495&lt;=6)*('CONTROL MASTER'!$AB$2:$AB$495&gt;=6)*('CONTROL MASTER'!$AA$2:$AA$495&lt;=7)*('CONTROL MASTER'!$AC$2:$AC$495&gt;=7))*ROW('CONTROL MASTER'!$S$2:$S$495))-(ROW('CONTROL MASTER'!#REF!)-1))),":",","),",",REPT(" ",50)),(((INDEX('CONTROL MASTER'!$Y$2:$Y$495,(SUMPRODUCT((('CONTROL MASTER'!$S$2:$S$495=13)*('CONTROL MASTER'!$Z$2:$Z$495&lt;=6)*('CONTROL MASTER'!$AB$2:$AB$495&gt;=6)*('CONTROL MASTER'!$AA$2:$AA$495&lt;=7)*('CONTROL MASTER'!$AC$2:$AC$495&gt;=7))*ROW('CONTROL MASTER'!$S$2:$S$495))-(ROW('CONTROL MASTER'!#REF!)-1)))+((6-INDEX('CONTROL MASTER'!$Z$2:$Z$495,(SUMPRODUCT((('CONTROL MASTER'!$S$2:$S$495=13)*('CONTROL MASTER'!$Z$2:$Z$495&lt;=6)*('CONTROL MASTER'!$AB$2:$AB$495&gt;=6)*('CONTROL MASTER'!$AA$2:$AA$495&lt;=7)*('CONTROL MASTER'!$AC$2:$AC$495&gt;=7))*ROW('CONTROL MASTER'!$S$2:$S$495))-(ROW('CONTROL MASTER'!#REF!)-1))))*(INDEX('CONTROL MASTER'!$AC$2:$AC$495,(SUMPRODUCT((('CONTROL MASTER'!$S$2:$S$495=13)*('CONTROL MASTER'!$Z$2:$Z$495&lt;=6)*('CONTROL MASTER'!$AB$2:$AB$495&gt;=6)*('CONTROL MASTER'!$AA$2:$AA$495&lt;=7)*('CONTROL MASTER'!$AC$2:$AC$495&gt;=7))*ROW('CONTROL MASTER'!$S$2:$S$495))-(ROW('CONTROL MASTER'!#REF!)-1)))-INDEX('CONTROL MASTER'!$AA$2:$AA$495,(SUMPRODUCT((('CONTROL MASTER'!$S$2:$S$495=13)*('CONTROL MASTER'!$Z$2:$Z$495&lt;=6)*('CONTROL MASTER'!$AB$2:$AB$495&gt;=6)*('CONTROL MASTER'!$AA$2:$AA$495&lt;=7)*('CONTROL MASTER'!$AC$2:$AC$495&gt;=7))*ROW('CONTROL MASTER'!$S$2:$S$495))-(ROW('CONTROL MASTER'!#REF!)-1)))+1)+(7-INDEX('CONTROL MASTER'!$AA$2:$AA$495,(SUMPRODUCT((('CONTROL MASTER'!$S$2:$S$495=13)*('CONTROL MASTER'!$Z$2:$Z$495&lt;=6)*('CONTROL MASTER'!$AB$2:$AB$495&gt;=6)*('CONTROL MASTER'!$AA$2:$AA$495&lt;=7)*('CONTROL MASTER'!$AC$2:$AC$495&gt;=7))*ROW('CONTROL MASTER'!$S$2:$S$495))-(ROW('CONTROL MASTER'!#REF!)-1))))+1)))-1)*50+1,50))&amp;"_"&amp;INDEX('CONTROL MASTER'!$P$2:$P$495,(SUMPRODUCT((('CONTROL MASTER'!$S$2:$S$495=13)*('CONTROL MASTER'!$Z$2:$Z$495&lt;=6)*('CONTROL MASTER'!$AB$2:$AB$495&gt;=6)*('CONTROL MASTER'!$AA$2:$AA$495&lt;=7)*('CONTROL MASTER'!$AC$2:$AC$495&gt;=7))*ROW('CONTROL MASTER'!$S$2:$S$495))-(ROW('CONTROL MASTER'!#REF!)-1))),"")),"")</f>
        <v/>
      </c>
      <c r="I176" s="10" t="str">
        <f>IFERROR(IF(SUMPRODUCT((('CONTROL MASTER'!$S$2:$S$495=13)*('CONTROL MASTER'!$T$2:$T$495&lt;=6)*('CONTROL MASTER'!$V$2:$V$495&gt;=6)*('CONTROL MASTER'!$U$2:$U$495&lt;=8)*('CONTROL MASTER'!$W$2:$W$495&gt;=8))*ROW('CONTROL MASTER'!$S$2:$S$495))&gt;0,INDEX('CONTROL MASTER'!$X$2:$X$495,(SUMPRODUCT((('CONTROL MASTER'!$S$2:$S$495=13)*('CONTROL MASTER'!$T$2:$T$495&lt;=6)*('CONTROL MASTER'!$V$2:$V$495&gt;=6)*('CONTROL MASTER'!$U$2:$U$495&lt;=8)*('CONTROL MASTER'!$W$2:$W$495&gt;=8))*ROW('CONTROL MASTER'!$S$2:$S$495))-(ROW('CONTROL MASTER'!#REF!)-1)))&amp;TRIM(MID(SUBSTITUTE(SUBSTITUTE(INDEX('CONTROL MASTER'!$N$2:$N$495,(SUMPRODUCT((('CONTROL MASTER'!$S$2:$S$495=13)*('CONTROL MASTER'!$T$2:$T$495&lt;=6)*('CONTROL MASTER'!$V$2:$V$495&gt;=6)*('CONTROL MASTER'!$U$2:$U$495&lt;=8)*('CONTROL MASTER'!$W$2:$W$495&gt;=8))*ROW('CONTROL MASTER'!$S$2:$S$495))-(ROW('CONTROL MASTER'!#REF!)-1))),":",","),",",REPT(" ",50)),((((6-INDEX('CONTROL MASTER'!$T$2:$T$495,(SUMPRODUCT((('CONTROL MASTER'!$S$2:$S$495=13)*('CONTROL MASTER'!$T$2:$T$495&lt;=6)*('CONTROL MASTER'!$V$2:$V$495&gt;=6)*('CONTROL MASTER'!$U$2:$U$495&lt;=8)*('CONTROL MASTER'!$W$2:$W$495&gt;=8))*ROW('CONTROL MASTER'!$S$2:$S$495))-(ROW('CONTROL MASTER'!#REF!)-1))))*(INDEX('CONTROL MASTER'!$W$2:$W$495,(SUMPRODUCT((('CONTROL MASTER'!$S$2:$S$495=13)*('CONTROL MASTER'!$T$2:$T$495&lt;=6)*('CONTROL MASTER'!$V$2:$V$495&gt;=6)*('CONTROL MASTER'!$U$2:$U$495&lt;=8)*('CONTROL MASTER'!$W$2:$W$495&gt;=8))*ROW('CONTROL MASTER'!$S$2:$S$495))-(ROW('CONTROL MASTER'!#REF!)-1)))-INDEX('CONTROL MASTER'!$U$2:$U$495,(SUMPRODUCT((('CONTROL MASTER'!$S$2:$S$495=13)*('CONTROL MASTER'!$T$2:$T$495&lt;=6)*('CONTROL MASTER'!$V$2:$V$495&gt;=6)*('CONTROL MASTER'!$U$2:$U$495&lt;=8)*('CONTROL MASTER'!$W$2:$W$495&gt;=8))*ROW('CONTROL MASTER'!$S$2:$S$495))-(ROW('CONTROL MASTER'!#REF!)-1)))+1)+(8-INDEX('CONTROL MASTER'!$U$2:$U$495,(SUMPRODUCT((('CONTROL MASTER'!$S$2:$S$495=13)*('CONTROL MASTER'!$T$2:$T$495&lt;=6)*('CONTROL MASTER'!$V$2:$V$495&gt;=6)*('CONTROL MASTER'!$U$2:$U$495&lt;=8)*('CONTROL MASTER'!$W$2:$W$495&gt;=8))*ROW('CONTROL MASTER'!$S$2:$S$495))-(ROW('CONTROL MASTER'!#REF!)-1))))+1))-1)*50+1,50))&amp;"_"&amp;INDEX('CONTROL MASTER'!$P$2:$P$495,(SUMPRODUCT((('CONTROL MASTER'!$S$2:$S$495=13)*('CONTROL MASTER'!$T$2:$T$495&lt;=6)*('CONTROL MASTER'!$V$2:$V$495&gt;=6)*('CONTROL MASTER'!$U$2:$U$495&lt;=8)*('CONTROL MASTER'!$W$2:$W$495&gt;=8))*ROW('CONTROL MASTER'!$S$2:$S$495))-(ROW('CONTROL MASTER'!#REF!)-1))),IF(SUMPRODUCT((('CONTROL MASTER'!$S$2:$S$495=13)*('CONTROL MASTER'!$Z$2:$Z$495&lt;=6)*('CONTROL MASTER'!$AB$2:$AB$495&gt;=6)*('CONTROL MASTER'!$AA$2:$AA$495&lt;=8)*('CONTROL MASTER'!$AC$2:$AC$495&gt;=8))*ROW('CONTROL MASTER'!$S$2:$S$495))&gt;0,INDEX('CONTROL MASTER'!$X$2:$X$495,(SUMPRODUCT((('CONTROL MASTER'!$S$2:$S$495=13)*('CONTROL MASTER'!$Z$2:$Z$495&lt;=6)*('CONTROL MASTER'!$AB$2:$AB$495&gt;=6)*('CONTROL MASTER'!$AA$2:$AA$495&lt;=8)*('CONTROL MASTER'!$AC$2:$AC$495&gt;=8))*ROW('CONTROL MASTER'!$S$2:$S$495))-(ROW('CONTROL MASTER'!#REF!)-1)))&amp;TRIM(MID(SUBSTITUTE(SUBSTITUTE(INDEX('CONTROL MASTER'!$N$2:$N$495,(SUMPRODUCT((('CONTROL MASTER'!$S$2:$S$495=13)*('CONTROL MASTER'!$Z$2:$Z$495&lt;=6)*('CONTROL MASTER'!$AB$2:$AB$495&gt;=6)*('CONTROL MASTER'!$AA$2:$AA$495&lt;=8)*('CONTROL MASTER'!$AC$2:$AC$495&gt;=8))*ROW('CONTROL MASTER'!$S$2:$S$495))-(ROW('CONTROL MASTER'!#REF!)-1))),":",","),",",REPT(" ",50)),(((INDEX('CONTROL MASTER'!$Y$2:$Y$495,(SUMPRODUCT((('CONTROL MASTER'!$S$2:$S$495=13)*('CONTROL MASTER'!$Z$2:$Z$495&lt;=6)*('CONTROL MASTER'!$AB$2:$AB$495&gt;=6)*('CONTROL MASTER'!$AA$2:$AA$495&lt;=8)*('CONTROL MASTER'!$AC$2:$AC$495&gt;=8))*ROW('CONTROL MASTER'!$S$2:$S$495))-(ROW('CONTROL MASTER'!#REF!)-1)))+((6-INDEX('CONTROL MASTER'!$Z$2:$Z$495,(SUMPRODUCT((('CONTROL MASTER'!$S$2:$S$495=13)*('CONTROL MASTER'!$Z$2:$Z$495&lt;=6)*('CONTROL MASTER'!$AB$2:$AB$495&gt;=6)*('CONTROL MASTER'!$AA$2:$AA$495&lt;=8)*('CONTROL MASTER'!$AC$2:$AC$495&gt;=8))*ROW('CONTROL MASTER'!$S$2:$S$495))-(ROW('CONTROL MASTER'!#REF!)-1))))*(INDEX('CONTROL MASTER'!$AC$2:$AC$495,(SUMPRODUCT((('CONTROL MASTER'!$S$2:$S$495=13)*('CONTROL MASTER'!$Z$2:$Z$495&lt;=6)*('CONTROL MASTER'!$AB$2:$AB$495&gt;=6)*('CONTROL MASTER'!$AA$2:$AA$495&lt;=8)*('CONTROL MASTER'!$AC$2:$AC$495&gt;=8))*ROW('CONTROL MASTER'!$S$2:$S$495))-(ROW('CONTROL MASTER'!#REF!)-1)))-INDEX('CONTROL MASTER'!$AA$2:$AA$495,(SUMPRODUCT((('CONTROL MASTER'!$S$2:$S$495=13)*('CONTROL MASTER'!$Z$2:$Z$495&lt;=6)*('CONTROL MASTER'!$AB$2:$AB$495&gt;=6)*('CONTROL MASTER'!$AA$2:$AA$495&lt;=8)*('CONTROL MASTER'!$AC$2:$AC$495&gt;=8))*ROW('CONTROL MASTER'!$S$2:$S$495))-(ROW('CONTROL MASTER'!#REF!)-1)))+1)+(8-INDEX('CONTROL MASTER'!$AA$2:$AA$495,(SUMPRODUCT((('CONTROL MASTER'!$S$2:$S$495=13)*('CONTROL MASTER'!$Z$2:$Z$495&lt;=6)*('CONTROL MASTER'!$AB$2:$AB$495&gt;=6)*('CONTROL MASTER'!$AA$2:$AA$495&lt;=8)*('CONTROL MASTER'!$AC$2:$AC$495&gt;=8))*ROW('CONTROL MASTER'!$S$2:$S$495))-(ROW('CONTROL MASTER'!#REF!)-1))))+1)))-1)*50+1,50))&amp;"_"&amp;INDEX('CONTROL MASTER'!$P$2:$P$495,(SUMPRODUCT((('CONTROL MASTER'!$S$2:$S$495=13)*('CONTROL MASTER'!$Z$2:$Z$495&lt;=6)*('CONTROL MASTER'!$AB$2:$AB$495&gt;=6)*('CONTROL MASTER'!$AA$2:$AA$495&lt;=8)*('CONTROL MASTER'!$AC$2:$AC$495&gt;=8))*ROW('CONTROL MASTER'!$S$2:$S$495))-(ROW('CONTROL MASTER'!#REF!)-1))),"")),"")</f>
        <v/>
      </c>
      <c r="J176" s="10" t="str">
        <f>IFERROR(IF(SUMPRODUCT((('CONTROL MASTER'!$S$2:$S$495=13)*('CONTROL MASTER'!$T$2:$T$495&lt;=6)*('CONTROL MASTER'!$V$2:$V$495&gt;=6)*('CONTROL MASTER'!$U$2:$U$495&lt;=9)*('CONTROL MASTER'!$W$2:$W$495&gt;=9))*ROW('CONTROL MASTER'!$S$2:$S$495))&gt;0,INDEX('CONTROL MASTER'!$X$2:$X$495,(SUMPRODUCT((('CONTROL MASTER'!$S$2:$S$495=13)*('CONTROL MASTER'!$T$2:$T$495&lt;=6)*('CONTROL MASTER'!$V$2:$V$495&gt;=6)*('CONTROL MASTER'!$U$2:$U$495&lt;=9)*('CONTROL MASTER'!$W$2:$W$495&gt;=9))*ROW('CONTROL MASTER'!$S$2:$S$495))-(ROW('CONTROL MASTER'!#REF!)-1)))&amp;TRIM(MID(SUBSTITUTE(SUBSTITUTE(INDEX('CONTROL MASTER'!$N$2:$N$495,(SUMPRODUCT((('CONTROL MASTER'!$S$2:$S$495=13)*('CONTROL MASTER'!$T$2:$T$495&lt;=6)*('CONTROL MASTER'!$V$2:$V$495&gt;=6)*('CONTROL MASTER'!$U$2:$U$495&lt;=9)*('CONTROL MASTER'!$W$2:$W$495&gt;=9))*ROW('CONTROL MASTER'!$S$2:$S$495))-(ROW('CONTROL MASTER'!#REF!)-1))),":",","),",",REPT(" ",50)),((((6-INDEX('CONTROL MASTER'!$T$2:$T$495,(SUMPRODUCT((('CONTROL MASTER'!$S$2:$S$495=13)*('CONTROL MASTER'!$T$2:$T$495&lt;=6)*('CONTROL MASTER'!$V$2:$V$495&gt;=6)*('CONTROL MASTER'!$U$2:$U$495&lt;=9)*('CONTROL MASTER'!$W$2:$W$495&gt;=9))*ROW('CONTROL MASTER'!$S$2:$S$495))-(ROW('CONTROL MASTER'!#REF!)-1))))*(INDEX('CONTROL MASTER'!$W$2:$W$495,(SUMPRODUCT((('CONTROL MASTER'!$S$2:$S$495=13)*('CONTROL MASTER'!$T$2:$T$495&lt;=6)*('CONTROL MASTER'!$V$2:$V$495&gt;=6)*('CONTROL MASTER'!$U$2:$U$495&lt;=9)*('CONTROL MASTER'!$W$2:$W$495&gt;=9))*ROW('CONTROL MASTER'!$S$2:$S$495))-(ROW('CONTROL MASTER'!#REF!)-1)))-INDEX('CONTROL MASTER'!$U$2:$U$495,(SUMPRODUCT((('CONTROL MASTER'!$S$2:$S$495=13)*('CONTROL MASTER'!$T$2:$T$495&lt;=6)*('CONTROL MASTER'!$V$2:$V$495&gt;=6)*('CONTROL MASTER'!$U$2:$U$495&lt;=9)*('CONTROL MASTER'!$W$2:$W$495&gt;=9))*ROW('CONTROL MASTER'!$S$2:$S$495))-(ROW('CONTROL MASTER'!#REF!)-1)))+1)+(9-INDEX('CONTROL MASTER'!$U$2:$U$495,(SUMPRODUCT((('CONTROL MASTER'!$S$2:$S$495=13)*('CONTROL MASTER'!$T$2:$T$495&lt;=6)*('CONTROL MASTER'!$V$2:$V$495&gt;=6)*('CONTROL MASTER'!$U$2:$U$495&lt;=9)*('CONTROL MASTER'!$W$2:$W$495&gt;=9))*ROW('CONTROL MASTER'!$S$2:$S$495))-(ROW('CONTROL MASTER'!#REF!)-1))))+1))-1)*50+1,50))&amp;"_"&amp;INDEX('CONTROL MASTER'!$P$2:$P$495,(SUMPRODUCT((('CONTROL MASTER'!$S$2:$S$495=13)*('CONTROL MASTER'!$T$2:$T$495&lt;=6)*('CONTROL MASTER'!$V$2:$V$495&gt;=6)*('CONTROL MASTER'!$U$2:$U$495&lt;=9)*('CONTROL MASTER'!$W$2:$W$495&gt;=9))*ROW('CONTROL MASTER'!$S$2:$S$495))-(ROW('CONTROL MASTER'!#REF!)-1))),IF(SUMPRODUCT((('CONTROL MASTER'!$S$2:$S$495=13)*('CONTROL MASTER'!$Z$2:$Z$495&lt;=6)*('CONTROL MASTER'!$AB$2:$AB$495&gt;=6)*('CONTROL MASTER'!$AA$2:$AA$495&lt;=9)*('CONTROL MASTER'!$AC$2:$AC$495&gt;=9))*ROW('CONTROL MASTER'!$S$2:$S$495))&gt;0,INDEX('CONTROL MASTER'!$X$2:$X$495,(SUMPRODUCT((('CONTROL MASTER'!$S$2:$S$495=13)*('CONTROL MASTER'!$Z$2:$Z$495&lt;=6)*('CONTROL MASTER'!$AB$2:$AB$495&gt;=6)*('CONTROL MASTER'!$AA$2:$AA$495&lt;=9)*('CONTROL MASTER'!$AC$2:$AC$495&gt;=9))*ROW('CONTROL MASTER'!$S$2:$S$495))-(ROW('CONTROL MASTER'!#REF!)-1)))&amp;TRIM(MID(SUBSTITUTE(SUBSTITUTE(INDEX('CONTROL MASTER'!$N$2:$N$495,(SUMPRODUCT((('CONTROL MASTER'!$S$2:$S$495=13)*('CONTROL MASTER'!$Z$2:$Z$495&lt;=6)*('CONTROL MASTER'!$AB$2:$AB$495&gt;=6)*('CONTROL MASTER'!$AA$2:$AA$495&lt;=9)*('CONTROL MASTER'!$AC$2:$AC$495&gt;=9))*ROW('CONTROL MASTER'!$S$2:$S$495))-(ROW('CONTROL MASTER'!#REF!)-1))),":",","),",",REPT(" ",50)),(((INDEX('CONTROL MASTER'!$Y$2:$Y$495,(SUMPRODUCT((('CONTROL MASTER'!$S$2:$S$495=13)*('CONTROL MASTER'!$Z$2:$Z$495&lt;=6)*('CONTROL MASTER'!$AB$2:$AB$495&gt;=6)*('CONTROL MASTER'!$AA$2:$AA$495&lt;=9)*('CONTROL MASTER'!$AC$2:$AC$495&gt;=9))*ROW('CONTROL MASTER'!$S$2:$S$495))-(ROW('CONTROL MASTER'!#REF!)-1)))+((6-INDEX('CONTROL MASTER'!$Z$2:$Z$495,(SUMPRODUCT((('CONTROL MASTER'!$S$2:$S$495=13)*('CONTROL MASTER'!$Z$2:$Z$495&lt;=6)*('CONTROL MASTER'!$AB$2:$AB$495&gt;=6)*('CONTROL MASTER'!$AA$2:$AA$495&lt;=9)*('CONTROL MASTER'!$AC$2:$AC$495&gt;=9))*ROW('CONTROL MASTER'!$S$2:$S$495))-(ROW('CONTROL MASTER'!#REF!)-1))))*(INDEX('CONTROL MASTER'!$AC$2:$AC$495,(SUMPRODUCT((('CONTROL MASTER'!$S$2:$S$495=13)*('CONTROL MASTER'!$Z$2:$Z$495&lt;=6)*('CONTROL MASTER'!$AB$2:$AB$495&gt;=6)*('CONTROL MASTER'!$AA$2:$AA$495&lt;=9)*('CONTROL MASTER'!$AC$2:$AC$495&gt;=9))*ROW('CONTROL MASTER'!$S$2:$S$495))-(ROW('CONTROL MASTER'!#REF!)-1)))-INDEX('CONTROL MASTER'!$AA$2:$AA$495,(SUMPRODUCT((('CONTROL MASTER'!$S$2:$S$495=13)*('CONTROL MASTER'!$Z$2:$Z$495&lt;=6)*('CONTROL MASTER'!$AB$2:$AB$495&gt;=6)*('CONTROL MASTER'!$AA$2:$AA$495&lt;=9)*('CONTROL MASTER'!$AC$2:$AC$495&gt;=9))*ROW('CONTROL MASTER'!$S$2:$S$495))-(ROW('CONTROL MASTER'!#REF!)-1)))+1)+(9-INDEX('CONTROL MASTER'!$AA$2:$AA$495,(SUMPRODUCT((('CONTROL MASTER'!$S$2:$S$495=13)*('CONTROL MASTER'!$Z$2:$Z$495&lt;=6)*('CONTROL MASTER'!$AB$2:$AB$495&gt;=6)*('CONTROL MASTER'!$AA$2:$AA$495&lt;=9)*('CONTROL MASTER'!$AC$2:$AC$495&gt;=9))*ROW('CONTROL MASTER'!$S$2:$S$495))-(ROW('CONTROL MASTER'!#REF!)-1))))+1)))-1)*50+1,50))&amp;"_"&amp;INDEX('CONTROL MASTER'!$P$2:$P$495,(SUMPRODUCT((('CONTROL MASTER'!$S$2:$S$495=13)*('CONTROL MASTER'!$Z$2:$Z$495&lt;=6)*('CONTROL MASTER'!$AB$2:$AB$495&gt;=6)*('CONTROL MASTER'!$AA$2:$AA$495&lt;=9)*('CONTROL MASTER'!$AC$2:$AC$495&gt;=9))*ROW('CONTROL MASTER'!$S$2:$S$495))-(ROW('CONTROL MASTER'!#REF!)-1))),"")),"")</f>
        <v/>
      </c>
      <c r="K176" s="10" t="str">
        <f>IFERROR(IF(SUMPRODUCT((('CONTROL MASTER'!$S$2:$S$495=13)*('CONTROL MASTER'!$T$2:$T$495&lt;=6)*('CONTROL MASTER'!$V$2:$V$495&gt;=6)*('CONTROL MASTER'!$U$2:$U$495&lt;=10)*('CONTROL MASTER'!$W$2:$W$495&gt;=10))*ROW('CONTROL MASTER'!$S$2:$S$495))&gt;0,INDEX('CONTROL MASTER'!$X$2:$X$495,(SUMPRODUCT((('CONTROL MASTER'!$S$2:$S$495=13)*('CONTROL MASTER'!$T$2:$T$495&lt;=6)*('CONTROL MASTER'!$V$2:$V$495&gt;=6)*('CONTROL MASTER'!$U$2:$U$495&lt;=10)*('CONTROL MASTER'!$W$2:$W$495&gt;=10))*ROW('CONTROL MASTER'!$S$2:$S$495))-(ROW('CONTROL MASTER'!#REF!)-1)))&amp;TRIM(MID(SUBSTITUTE(SUBSTITUTE(INDEX('CONTROL MASTER'!$N$2:$N$495,(SUMPRODUCT((('CONTROL MASTER'!$S$2:$S$495=13)*('CONTROL MASTER'!$T$2:$T$495&lt;=6)*('CONTROL MASTER'!$V$2:$V$495&gt;=6)*('CONTROL MASTER'!$U$2:$U$495&lt;=10)*('CONTROL MASTER'!$W$2:$W$495&gt;=10))*ROW('CONTROL MASTER'!$S$2:$S$495))-(ROW('CONTROL MASTER'!#REF!)-1))),":",","),",",REPT(" ",50)),((((6-INDEX('CONTROL MASTER'!$T$2:$T$495,(SUMPRODUCT((('CONTROL MASTER'!$S$2:$S$495=13)*('CONTROL MASTER'!$T$2:$T$495&lt;=6)*('CONTROL MASTER'!$V$2:$V$495&gt;=6)*('CONTROL MASTER'!$U$2:$U$495&lt;=10)*('CONTROL MASTER'!$W$2:$W$495&gt;=10))*ROW('CONTROL MASTER'!$S$2:$S$495))-(ROW('CONTROL MASTER'!#REF!)-1))))*(INDEX('CONTROL MASTER'!$W$2:$W$495,(SUMPRODUCT((('CONTROL MASTER'!$S$2:$S$495=13)*('CONTROL MASTER'!$T$2:$T$495&lt;=6)*('CONTROL MASTER'!$V$2:$V$495&gt;=6)*('CONTROL MASTER'!$U$2:$U$495&lt;=10)*('CONTROL MASTER'!$W$2:$W$495&gt;=10))*ROW('CONTROL MASTER'!$S$2:$S$495))-(ROW('CONTROL MASTER'!#REF!)-1)))-INDEX('CONTROL MASTER'!$U$2:$U$495,(SUMPRODUCT((('CONTROL MASTER'!$S$2:$S$495=13)*('CONTROL MASTER'!$T$2:$T$495&lt;=6)*('CONTROL MASTER'!$V$2:$V$495&gt;=6)*('CONTROL MASTER'!$U$2:$U$495&lt;=10)*('CONTROL MASTER'!$W$2:$W$495&gt;=10))*ROW('CONTROL MASTER'!$S$2:$S$495))-(ROW('CONTROL MASTER'!#REF!)-1)))+1)+(10-INDEX('CONTROL MASTER'!$U$2:$U$495,(SUMPRODUCT((('CONTROL MASTER'!$S$2:$S$495=13)*('CONTROL MASTER'!$T$2:$T$495&lt;=6)*('CONTROL MASTER'!$V$2:$V$495&gt;=6)*('CONTROL MASTER'!$U$2:$U$495&lt;=10)*('CONTROL MASTER'!$W$2:$W$495&gt;=10))*ROW('CONTROL MASTER'!$S$2:$S$495))-(ROW('CONTROL MASTER'!#REF!)-1))))+1))-1)*50+1,50))&amp;"_"&amp;INDEX('CONTROL MASTER'!$P$2:$P$495,(SUMPRODUCT((('CONTROL MASTER'!$S$2:$S$495=13)*('CONTROL MASTER'!$T$2:$T$495&lt;=6)*('CONTROL MASTER'!$V$2:$V$495&gt;=6)*('CONTROL MASTER'!$U$2:$U$495&lt;=10)*('CONTROL MASTER'!$W$2:$W$495&gt;=10))*ROW('CONTROL MASTER'!$S$2:$S$495))-(ROW('CONTROL MASTER'!#REF!)-1))),IF(SUMPRODUCT((('CONTROL MASTER'!$S$2:$S$495=13)*('CONTROL MASTER'!$Z$2:$Z$495&lt;=6)*('CONTROL MASTER'!$AB$2:$AB$495&gt;=6)*('CONTROL MASTER'!$AA$2:$AA$495&lt;=10)*('CONTROL MASTER'!$AC$2:$AC$495&gt;=10))*ROW('CONTROL MASTER'!$S$2:$S$495))&gt;0,INDEX('CONTROL MASTER'!$X$2:$X$495,(SUMPRODUCT((('CONTROL MASTER'!$S$2:$S$495=13)*('CONTROL MASTER'!$Z$2:$Z$495&lt;=6)*('CONTROL MASTER'!$AB$2:$AB$495&gt;=6)*('CONTROL MASTER'!$AA$2:$AA$495&lt;=10)*('CONTROL MASTER'!$AC$2:$AC$495&gt;=10))*ROW('CONTROL MASTER'!$S$2:$S$495))-(ROW('CONTROL MASTER'!#REF!)-1)))&amp;TRIM(MID(SUBSTITUTE(SUBSTITUTE(INDEX('CONTROL MASTER'!$N$2:$N$495,(SUMPRODUCT((('CONTROL MASTER'!$S$2:$S$495=13)*('CONTROL MASTER'!$Z$2:$Z$495&lt;=6)*('CONTROL MASTER'!$AB$2:$AB$495&gt;=6)*('CONTROL MASTER'!$AA$2:$AA$495&lt;=10)*('CONTROL MASTER'!$AC$2:$AC$495&gt;=10))*ROW('CONTROL MASTER'!$S$2:$S$495))-(ROW('CONTROL MASTER'!#REF!)-1))),":",","),",",REPT(" ",50)),(((INDEX('CONTROL MASTER'!$Y$2:$Y$495,(SUMPRODUCT((('CONTROL MASTER'!$S$2:$S$495=13)*('CONTROL MASTER'!$Z$2:$Z$495&lt;=6)*('CONTROL MASTER'!$AB$2:$AB$495&gt;=6)*('CONTROL MASTER'!$AA$2:$AA$495&lt;=10)*('CONTROL MASTER'!$AC$2:$AC$495&gt;=10))*ROW('CONTROL MASTER'!$S$2:$S$495))-(ROW('CONTROL MASTER'!#REF!)-1)))+((6-INDEX('CONTROL MASTER'!$Z$2:$Z$495,(SUMPRODUCT((('CONTROL MASTER'!$S$2:$S$495=13)*('CONTROL MASTER'!$Z$2:$Z$495&lt;=6)*('CONTROL MASTER'!$AB$2:$AB$495&gt;=6)*('CONTROL MASTER'!$AA$2:$AA$495&lt;=10)*('CONTROL MASTER'!$AC$2:$AC$495&gt;=10))*ROW('CONTROL MASTER'!$S$2:$S$495))-(ROW('CONTROL MASTER'!#REF!)-1))))*(INDEX('CONTROL MASTER'!$AC$2:$AC$495,(SUMPRODUCT((('CONTROL MASTER'!$S$2:$S$495=13)*('CONTROL MASTER'!$Z$2:$Z$495&lt;=6)*('CONTROL MASTER'!$AB$2:$AB$495&gt;=6)*('CONTROL MASTER'!$AA$2:$AA$495&lt;=10)*('CONTROL MASTER'!$AC$2:$AC$495&gt;=10))*ROW('CONTROL MASTER'!$S$2:$S$495))-(ROW('CONTROL MASTER'!#REF!)-1)))-INDEX('CONTROL MASTER'!$AA$2:$AA$495,(SUMPRODUCT((('CONTROL MASTER'!$S$2:$S$495=13)*('CONTROL MASTER'!$Z$2:$Z$495&lt;=6)*('CONTROL MASTER'!$AB$2:$AB$495&gt;=6)*('CONTROL MASTER'!$AA$2:$AA$495&lt;=10)*('CONTROL MASTER'!$AC$2:$AC$495&gt;=10))*ROW('CONTROL MASTER'!$S$2:$S$495))-(ROW('CONTROL MASTER'!#REF!)-1)))+1)+(10-INDEX('CONTROL MASTER'!$AA$2:$AA$495,(SUMPRODUCT((('CONTROL MASTER'!$S$2:$S$495=13)*('CONTROL MASTER'!$Z$2:$Z$495&lt;=6)*('CONTROL MASTER'!$AB$2:$AB$495&gt;=6)*('CONTROL MASTER'!$AA$2:$AA$495&lt;=10)*('CONTROL MASTER'!$AC$2:$AC$495&gt;=10))*ROW('CONTROL MASTER'!$S$2:$S$495))-(ROW('CONTROL MASTER'!#REF!)-1))))+1)))-1)*50+1,50))&amp;"_"&amp;INDEX('CONTROL MASTER'!$P$2:$P$495,(SUMPRODUCT((('CONTROL MASTER'!$S$2:$S$495=13)*('CONTROL MASTER'!$Z$2:$Z$495&lt;=6)*('CONTROL MASTER'!$AB$2:$AB$495&gt;=6)*('CONTROL MASTER'!$AA$2:$AA$495&lt;=10)*('CONTROL MASTER'!$AC$2:$AC$495&gt;=10))*ROW('CONTROL MASTER'!$S$2:$S$495))-(ROW('CONTROL MASTER'!#REF!)-1))),"")),"")</f>
        <v/>
      </c>
    </row>
    <row r="177" spans="1:11" ht="15" customHeight="1" x14ac:dyDescent="0.35">
      <c r="A177" s="8" t="s">
        <v>34</v>
      </c>
      <c r="B177" s="10" t="str">
        <f>IFERROR(IF(SUMPRODUCT((('CONTROL MASTER'!$S$2:$S$495=13)*('CONTROL MASTER'!$T$2:$T$495&lt;=7)*('CONTROL MASTER'!$V$2:$V$495&gt;=7)*('CONTROL MASTER'!$U$2:$U$495&lt;=1)*('CONTROL MASTER'!$W$2:$W$495&gt;=1))*ROW('CONTROL MASTER'!$S$2:$S$495))&gt;0,INDEX('CONTROL MASTER'!$X$2:$X$495,(SUMPRODUCT((('CONTROL MASTER'!$S$2:$S$495=13)*('CONTROL MASTER'!$T$2:$T$495&lt;=7)*('CONTROL MASTER'!$V$2:$V$495&gt;=7)*('CONTROL MASTER'!$U$2:$U$495&lt;=1)*('CONTROL MASTER'!$W$2:$W$495&gt;=1))*ROW('CONTROL MASTER'!$S$2:$S$495))-(ROW('CONTROL MASTER'!#REF!)-1)))&amp;TRIM(MID(SUBSTITUTE(SUBSTITUTE(INDEX('CONTROL MASTER'!$N$2:$N$495,(SUMPRODUCT((('CONTROL MASTER'!$S$2:$S$495=13)*('CONTROL MASTER'!$T$2:$T$495&lt;=7)*('CONTROL MASTER'!$V$2:$V$495&gt;=7)*('CONTROL MASTER'!$U$2:$U$495&lt;=1)*('CONTROL MASTER'!$W$2:$W$495&gt;=1))*ROW('CONTROL MASTER'!$S$2:$S$495))-(ROW('CONTROL MASTER'!#REF!)-1))),":",","),",",REPT(" ",50)),((((7-INDEX('CONTROL MASTER'!$T$2:$T$495,(SUMPRODUCT((('CONTROL MASTER'!$S$2:$S$495=13)*('CONTROL MASTER'!$T$2:$T$495&lt;=7)*('CONTROL MASTER'!$V$2:$V$495&gt;=7)*('CONTROL MASTER'!$U$2:$U$495&lt;=1)*('CONTROL MASTER'!$W$2:$W$495&gt;=1))*ROW('CONTROL MASTER'!$S$2:$S$495))-(ROW('CONTROL MASTER'!#REF!)-1))))*(INDEX('CONTROL MASTER'!$W$2:$W$495,(SUMPRODUCT((('CONTROL MASTER'!$S$2:$S$495=13)*('CONTROL MASTER'!$T$2:$T$495&lt;=7)*('CONTROL MASTER'!$V$2:$V$495&gt;=7)*('CONTROL MASTER'!$U$2:$U$495&lt;=1)*('CONTROL MASTER'!$W$2:$W$495&gt;=1))*ROW('CONTROL MASTER'!$S$2:$S$495))-(ROW('CONTROL MASTER'!#REF!)-1)))-INDEX('CONTROL MASTER'!$U$2:$U$495,(SUMPRODUCT((('CONTROL MASTER'!$S$2:$S$495=13)*('CONTROL MASTER'!$T$2:$T$495&lt;=7)*('CONTROL MASTER'!$V$2:$V$495&gt;=7)*('CONTROL MASTER'!$U$2:$U$495&lt;=1)*('CONTROL MASTER'!$W$2:$W$495&gt;=1))*ROW('CONTROL MASTER'!$S$2:$S$495))-(ROW('CONTROL MASTER'!#REF!)-1)))+1)+(1-INDEX('CONTROL MASTER'!$U$2:$U$495,(SUMPRODUCT((('CONTROL MASTER'!$S$2:$S$495=13)*('CONTROL MASTER'!$T$2:$T$495&lt;=7)*('CONTROL MASTER'!$V$2:$V$495&gt;=7)*('CONTROL MASTER'!$U$2:$U$495&lt;=1)*('CONTROL MASTER'!$W$2:$W$495&gt;=1))*ROW('CONTROL MASTER'!$S$2:$S$495))-(ROW('CONTROL MASTER'!#REF!)-1))))+1))-1)*50+1,50))&amp;"_"&amp;INDEX('CONTROL MASTER'!$P$2:$P$495,(SUMPRODUCT((('CONTROL MASTER'!$S$2:$S$495=13)*('CONTROL MASTER'!$T$2:$T$495&lt;=7)*('CONTROL MASTER'!$V$2:$V$495&gt;=7)*('CONTROL MASTER'!$U$2:$U$495&lt;=1)*('CONTROL MASTER'!$W$2:$W$495&gt;=1))*ROW('CONTROL MASTER'!$S$2:$S$495))-(ROW('CONTROL MASTER'!#REF!)-1))),IF(SUMPRODUCT((('CONTROL MASTER'!$S$2:$S$495=13)*('CONTROL MASTER'!$Z$2:$Z$495&lt;=7)*('CONTROL MASTER'!$AB$2:$AB$495&gt;=7)*('CONTROL MASTER'!$AA$2:$AA$495&lt;=1)*('CONTROL MASTER'!$AC$2:$AC$495&gt;=1))*ROW('CONTROL MASTER'!$S$2:$S$495))&gt;0,INDEX('CONTROL MASTER'!$X$2:$X$495,(SUMPRODUCT((('CONTROL MASTER'!$S$2:$S$495=13)*('CONTROL MASTER'!$Z$2:$Z$495&lt;=7)*('CONTROL MASTER'!$AB$2:$AB$495&gt;=7)*('CONTROL MASTER'!$AA$2:$AA$495&lt;=1)*('CONTROL MASTER'!$AC$2:$AC$495&gt;=1))*ROW('CONTROL MASTER'!$S$2:$S$495))-(ROW('CONTROL MASTER'!#REF!)-1)))&amp;TRIM(MID(SUBSTITUTE(SUBSTITUTE(INDEX('CONTROL MASTER'!$N$2:$N$495,(SUMPRODUCT((('CONTROL MASTER'!$S$2:$S$495=13)*('CONTROL MASTER'!$Z$2:$Z$495&lt;=7)*('CONTROL MASTER'!$AB$2:$AB$495&gt;=7)*('CONTROL MASTER'!$AA$2:$AA$495&lt;=1)*('CONTROL MASTER'!$AC$2:$AC$495&gt;=1))*ROW('CONTROL MASTER'!$S$2:$S$495))-(ROW('CONTROL MASTER'!#REF!)-1))),":",","),",",REPT(" ",50)),(((INDEX('CONTROL MASTER'!$Y$2:$Y$495,(SUMPRODUCT((('CONTROL MASTER'!$S$2:$S$495=13)*('CONTROL MASTER'!$Z$2:$Z$495&lt;=7)*('CONTROL MASTER'!$AB$2:$AB$495&gt;=7)*('CONTROL MASTER'!$AA$2:$AA$495&lt;=1)*('CONTROL MASTER'!$AC$2:$AC$495&gt;=1))*ROW('CONTROL MASTER'!$S$2:$S$495))-(ROW('CONTROL MASTER'!#REF!)-1)))+((7-INDEX('CONTROL MASTER'!$Z$2:$Z$495,(SUMPRODUCT((('CONTROL MASTER'!$S$2:$S$495=13)*('CONTROL MASTER'!$Z$2:$Z$495&lt;=7)*('CONTROL MASTER'!$AB$2:$AB$495&gt;=7)*('CONTROL MASTER'!$AA$2:$AA$495&lt;=1)*('CONTROL MASTER'!$AC$2:$AC$495&gt;=1))*ROW('CONTROL MASTER'!$S$2:$S$495))-(ROW('CONTROL MASTER'!#REF!)-1))))*(INDEX('CONTROL MASTER'!$AC$2:$AC$495,(SUMPRODUCT((('CONTROL MASTER'!$S$2:$S$495=13)*('CONTROL MASTER'!$Z$2:$Z$495&lt;=7)*('CONTROL MASTER'!$AB$2:$AB$495&gt;=7)*('CONTROL MASTER'!$AA$2:$AA$495&lt;=1)*('CONTROL MASTER'!$AC$2:$AC$495&gt;=1))*ROW('CONTROL MASTER'!$S$2:$S$495))-(ROW('CONTROL MASTER'!#REF!)-1)))-INDEX('CONTROL MASTER'!$AA$2:$AA$495,(SUMPRODUCT((('CONTROL MASTER'!$S$2:$S$495=13)*('CONTROL MASTER'!$Z$2:$Z$495&lt;=7)*('CONTROL MASTER'!$AB$2:$AB$495&gt;=7)*('CONTROL MASTER'!$AA$2:$AA$495&lt;=1)*('CONTROL MASTER'!$AC$2:$AC$495&gt;=1))*ROW('CONTROL MASTER'!$S$2:$S$495))-(ROW('CONTROL MASTER'!#REF!)-1)))+1)+(1-INDEX('CONTROL MASTER'!$AA$2:$AA$495,(SUMPRODUCT((('CONTROL MASTER'!$S$2:$S$495=13)*('CONTROL MASTER'!$Z$2:$Z$495&lt;=7)*('CONTROL MASTER'!$AB$2:$AB$495&gt;=7)*('CONTROL MASTER'!$AA$2:$AA$495&lt;=1)*('CONTROL MASTER'!$AC$2:$AC$495&gt;=1))*ROW('CONTROL MASTER'!$S$2:$S$495))-(ROW('CONTROL MASTER'!#REF!)-1))))+1)))-1)*50+1,50))&amp;"_"&amp;INDEX('CONTROL MASTER'!$P$2:$P$495,(SUMPRODUCT((('CONTROL MASTER'!$S$2:$S$495=13)*('CONTROL MASTER'!$Z$2:$Z$495&lt;=7)*('CONTROL MASTER'!$AB$2:$AB$495&gt;=7)*('CONTROL MASTER'!$AA$2:$AA$495&lt;=1)*('CONTROL MASTER'!$AC$2:$AC$495&gt;=1))*ROW('CONTROL MASTER'!$S$2:$S$495))-(ROW('CONTROL MASTER'!#REF!)-1))),"")),"")</f>
        <v/>
      </c>
      <c r="C177" s="10" t="str">
        <f>IFERROR(IF(SUMPRODUCT((('CONTROL MASTER'!$S$2:$S$495=13)*('CONTROL MASTER'!$T$2:$T$495&lt;=7)*('CONTROL MASTER'!$V$2:$V$495&gt;=7)*('CONTROL MASTER'!$U$2:$U$495&lt;=2)*('CONTROL MASTER'!$W$2:$W$495&gt;=2))*ROW('CONTROL MASTER'!$S$2:$S$495))&gt;0,INDEX('CONTROL MASTER'!$X$2:$X$495,(SUMPRODUCT((('CONTROL MASTER'!$S$2:$S$495=13)*('CONTROL MASTER'!$T$2:$T$495&lt;=7)*('CONTROL MASTER'!$V$2:$V$495&gt;=7)*('CONTROL MASTER'!$U$2:$U$495&lt;=2)*('CONTROL MASTER'!$W$2:$W$495&gt;=2))*ROW('CONTROL MASTER'!$S$2:$S$495))-(ROW('CONTROL MASTER'!#REF!)-1)))&amp;TRIM(MID(SUBSTITUTE(SUBSTITUTE(INDEX('CONTROL MASTER'!$N$2:$N$495,(SUMPRODUCT((('CONTROL MASTER'!$S$2:$S$495=13)*('CONTROL MASTER'!$T$2:$T$495&lt;=7)*('CONTROL MASTER'!$V$2:$V$495&gt;=7)*('CONTROL MASTER'!$U$2:$U$495&lt;=2)*('CONTROL MASTER'!$W$2:$W$495&gt;=2))*ROW('CONTROL MASTER'!$S$2:$S$495))-(ROW('CONTROL MASTER'!#REF!)-1))),":",","),",",REPT(" ",50)),((((7-INDEX('CONTROL MASTER'!$T$2:$T$495,(SUMPRODUCT((('CONTROL MASTER'!$S$2:$S$495=13)*('CONTROL MASTER'!$T$2:$T$495&lt;=7)*('CONTROL MASTER'!$V$2:$V$495&gt;=7)*('CONTROL MASTER'!$U$2:$U$495&lt;=2)*('CONTROL MASTER'!$W$2:$W$495&gt;=2))*ROW('CONTROL MASTER'!$S$2:$S$495))-(ROW('CONTROL MASTER'!#REF!)-1))))*(INDEX('CONTROL MASTER'!$W$2:$W$495,(SUMPRODUCT((('CONTROL MASTER'!$S$2:$S$495=13)*('CONTROL MASTER'!$T$2:$T$495&lt;=7)*('CONTROL MASTER'!$V$2:$V$495&gt;=7)*('CONTROL MASTER'!$U$2:$U$495&lt;=2)*('CONTROL MASTER'!$W$2:$W$495&gt;=2))*ROW('CONTROL MASTER'!$S$2:$S$495))-(ROW('CONTROL MASTER'!#REF!)-1)))-INDEX('CONTROL MASTER'!$U$2:$U$495,(SUMPRODUCT((('CONTROL MASTER'!$S$2:$S$495=13)*('CONTROL MASTER'!$T$2:$T$495&lt;=7)*('CONTROL MASTER'!$V$2:$V$495&gt;=7)*('CONTROL MASTER'!$U$2:$U$495&lt;=2)*('CONTROL MASTER'!$W$2:$W$495&gt;=2))*ROW('CONTROL MASTER'!$S$2:$S$495))-(ROW('CONTROL MASTER'!#REF!)-1)))+1)+(2-INDEX('CONTROL MASTER'!$U$2:$U$495,(SUMPRODUCT((('CONTROL MASTER'!$S$2:$S$495=13)*('CONTROL MASTER'!$T$2:$T$495&lt;=7)*('CONTROL MASTER'!$V$2:$V$495&gt;=7)*('CONTROL MASTER'!$U$2:$U$495&lt;=2)*('CONTROL MASTER'!$W$2:$W$495&gt;=2))*ROW('CONTROL MASTER'!$S$2:$S$495))-(ROW('CONTROL MASTER'!#REF!)-1))))+1))-1)*50+1,50))&amp;"_"&amp;INDEX('CONTROL MASTER'!$P$2:$P$495,(SUMPRODUCT((('CONTROL MASTER'!$S$2:$S$495=13)*('CONTROL MASTER'!$T$2:$T$495&lt;=7)*('CONTROL MASTER'!$V$2:$V$495&gt;=7)*('CONTROL MASTER'!$U$2:$U$495&lt;=2)*('CONTROL MASTER'!$W$2:$W$495&gt;=2))*ROW('CONTROL MASTER'!$S$2:$S$495))-(ROW('CONTROL MASTER'!#REF!)-1))),IF(SUMPRODUCT((('CONTROL MASTER'!$S$2:$S$495=13)*('CONTROL MASTER'!$Z$2:$Z$495&lt;=7)*('CONTROL MASTER'!$AB$2:$AB$495&gt;=7)*('CONTROL MASTER'!$AA$2:$AA$495&lt;=2)*('CONTROL MASTER'!$AC$2:$AC$495&gt;=2))*ROW('CONTROL MASTER'!$S$2:$S$495))&gt;0,INDEX('CONTROL MASTER'!$X$2:$X$495,(SUMPRODUCT((('CONTROL MASTER'!$S$2:$S$495=13)*('CONTROL MASTER'!$Z$2:$Z$495&lt;=7)*('CONTROL MASTER'!$AB$2:$AB$495&gt;=7)*('CONTROL MASTER'!$AA$2:$AA$495&lt;=2)*('CONTROL MASTER'!$AC$2:$AC$495&gt;=2))*ROW('CONTROL MASTER'!$S$2:$S$495))-(ROW('CONTROL MASTER'!#REF!)-1)))&amp;TRIM(MID(SUBSTITUTE(SUBSTITUTE(INDEX('CONTROL MASTER'!$N$2:$N$495,(SUMPRODUCT((('CONTROL MASTER'!$S$2:$S$495=13)*('CONTROL MASTER'!$Z$2:$Z$495&lt;=7)*('CONTROL MASTER'!$AB$2:$AB$495&gt;=7)*('CONTROL MASTER'!$AA$2:$AA$495&lt;=2)*('CONTROL MASTER'!$AC$2:$AC$495&gt;=2))*ROW('CONTROL MASTER'!$S$2:$S$495))-(ROW('CONTROL MASTER'!#REF!)-1))),":",","),",",REPT(" ",50)),(((INDEX('CONTROL MASTER'!$Y$2:$Y$495,(SUMPRODUCT((('CONTROL MASTER'!$S$2:$S$495=13)*('CONTROL MASTER'!$Z$2:$Z$495&lt;=7)*('CONTROL MASTER'!$AB$2:$AB$495&gt;=7)*('CONTROL MASTER'!$AA$2:$AA$495&lt;=2)*('CONTROL MASTER'!$AC$2:$AC$495&gt;=2))*ROW('CONTROL MASTER'!$S$2:$S$495))-(ROW('CONTROL MASTER'!#REF!)-1)))+((7-INDEX('CONTROL MASTER'!$Z$2:$Z$495,(SUMPRODUCT((('CONTROL MASTER'!$S$2:$S$495=13)*('CONTROL MASTER'!$Z$2:$Z$495&lt;=7)*('CONTROL MASTER'!$AB$2:$AB$495&gt;=7)*('CONTROL MASTER'!$AA$2:$AA$495&lt;=2)*('CONTROL MASTER'!$AC$2:$AC$495&gt;=2))*ROW('CONTROL MASTER'!$S$2:$S$495))-(ROW('CONTROL MASTER'!#REF!)-1))))*(INDEX('CONTROL MASTER'!$AC$2:$AC$495,(SUMPRODUCT((('CONTROL MASTER'!$S$2:$S$495=13)*('CONTROL MASTER'!$Z$2:$Z$495&lt;=7)*('CONTROL MASTER'!$AB$2:$AB$495&gt;=7)*('CONTROL MASTER'!$AA$2:$AA$495&lt;=2)*('CONTROL MASTER'!$AC$2:$AC$495&gt;=2))*ROW('CONTROL MASTER'!$S$2:$S$495))-(ROW('CONTROL MASTER'!#REF!)-1)))-INDEX('CONTROL MASTER'!$AA$2:$AA$495,(SUMPRODUCT((('CONTROL MASTER'!$S$2:$S$495=13)*('CONTROL MASTER'!$Z$2:$Z$495&lt;=7)*('CONTROL MASTER'!$AB$2:$AB$495&gt;=7)*('CONTROL MASTER'!$AA$2:$AA$495&lt;=2)*('CONTROL MASTER'!$AC$2:$AC$495&gt;=2))*ROW('CONTROL MASTER'!$S$2:$S$495))-(ROW('CONTROL MASTER'!#REF!)-1)))+1)+(2-INDEX('CONTROL MASTER'!$AA$2:$AA$495,(SUMPRODUCT((('CONTROL MASTER'!$S$2:$S$495=13)*('CONTROL MASTER'!$Z$2:$Z$495&lt;=7)*('CONTROL MASTER'!$AB$2:$AB$495&gt;=7)*('CONTROL MASTER'!$AA$2:$AA$495&lt;=2)*('CONTROL MASTER'!$AC$2:$AC$495&gt;=2))*ROW('CONTROL MASTER'!$S$2:$S$495))-(ROW('CONTROL MASTER'!#REF!)-1))))+1)))-1)*50+1,50))&amp;"_"&amp;INDEX('CONTROL MASTER'!$P$2:$P$495,(SUMPRODUCT((('CONTROL MASTER'!$S$2:$S$495=13)*('CONTROL MASTER'!$Z$2:$Z$495&lt;=7)*('CONTROL MASTER'!$AB$2:$AB$495&gt;=7)*('CONTROL MASTER'!$AA$2:$AA$495&lt;=2)*('CONTROL MASTER'!$AC$2:$AC$495&gt;=2))*ROW('CONTROL MASTER'!$S$2:$S$495))-(ROW('CONTROL MASTER'!#REF!)-1))),"")),"")</f>
        <v/>
      </c>
      <c r="D177" s="10" t="str">
        <f>IFERROR(IF(SUMPRODUCT((('CONTROL MASTER'!$S$2:$S$495=13)*('CONTROL MASTER'!$T$2:$T$495&lt;=7)*('CONTROL MASTER'!$V$2:$V$495&gt;=7)*('CONTROL MASTER'!$U$2:$U$495&lt;=3)*('CONTROL MASTER'!$W$2:$W$495&gt;=3))*ROW('CONTROL MASTER'!$S$2:$S$495))&gt;0,INDEX('CONTROL MASTER'!$X$2:$X$495,(SUMPRODUCT((('CONTROL MASTER'!$S$2:$S$495=13)*('CONTROL MASTER'!$T$2:$T$495&lt;=7)*('CONTROL MASTER'!$V$2:$V$495&gt;=7)*('CONTROL MASTER'!$U$2:$U$495&lt;=3)*('CONTROL MASTER'!$W$2:$W$495&gt;=3))*ROW('CONTROL MASTER'!$S$2:$S$495))-(ROW('CONTROL MASTER'!#REF!)-1)))&amp;TRIM(MID(SUBSTITUTE(SUBSTITUTE(INDEX('CONTROL MASTER'!$N$2:$N$495,(SUMPRODUCT((('CONTROL MASTER'!$S$2:$S$495=13)*('CONTROL MASTER'!$T$2:$T$495&lt;=7)*('CONTROL MASTER'!$V$2:$V$495&gt;=7)*('CONTROL MASTER'!$U$2:$U$495&lt;=3)*('CONTROL MASTER'!$W$2:$W$495&gt;=3))*ROW('CONTROL MASTER'!$S$2:$S$495))-(ROW('CONTROL MASTER'!#REF!)-1))),":",","),",",REPT(" ",50)),((((7-INDEX('CONTROL MASTER'!$T$2:$T$495,(SUMPRODUCT((('CONTROL MASTER'!$S$2:$S$495=13)*('CONTROL MASTER'!$T$2:$T$495&lt;=7)*('CONTROL MASTER'!$V$2:$V$495&gt;=7)*('CONTROL MASTER'!$U$2:$U$495&lt;=3)*('CONTROL MASTER'!$W$2:$W$495&gt;=3))*ROW('CONTROL MASTER'!$S$2:$S$495))-(ROW('CONTROL MASTER'!#REF!)-1))))*(INDEX('CONTROL MASTER'!$W$2:$W$495,(SUMPRODUCT((('CONTROL MASTER'!$S$2:$S$495=13)*('CONTROL MASTER'!$T$2:$T$495&lt;=7)*('CONTROL MASTER'!$V$2:$V$495&gt;=7)*('CONTROL MASTER'!$U$2:$U$495&lt;=3)*('CONTROL MASTER'!$W$2:$W$495&gt;=3))*ROW('CONTROL MASTER'!$S$2:$S$495))-(ROW('CONTROL MASTER'!#REF!)-1)))-INDEX('CONTROL MASTER'!$U$2:$U$495,(SUMPRODUCT((('CONTROL MASTER'!$S$2:$S$495=13)*('CONTROL MASTER'!$T$2:$T$495&lt;=7)*('CONTROL MASTER'!$V$2:$V$495&gt;=7)*('CONTROL MASTER'!$U$2:$U$495&lt;=3)*('CONTROL MASTER'!$W$2:$W$495&gt;=3))*ROW('CONTROL MASTER'!$S$2:$S$495))-(ROW('CONTROL MASTER'!#REF!)-1)))+1)+(3-INDEX('CONTROL MASTER'!$U$2:$U$495,(SUMPRODUCT((('CONTROL MASTER'!$S$2:$S$495=13)*('CONTROL MASTER'!$T$2:$T$495&lt;=7)*('CONTROL MASTER'!$V$2:$V$495&gt;=7)*('CONTROL MASTER'!$U$2:$U$495&lt;=3)*('CONTROL MASTER'!$W$2:$W$495&gt;=3))*ROW('CONTROL MASTER'!$S$2:$S$495))-(ROW('CONTROL MASTER'!#REF!)-1))))+1))-1)*50+1,50))&amp;"_"&amp;INDEX('CONTROL MASTER'!$P$2:$P$495,(SUMPRODUCT((('CONTROL MASTER'!$S$2:$S$495=13)*('CONTROL MASTER'!$T$2:$T$495&lt;=7)*('CONTROL MASTER'!$V$2:$V$495&gt;=7)*('CONTROL MASTER'!$U$2:$U$495&lt;=3)*('CONTROL MASTER'!$W$2:$W$495&gt;=3))*ROW('CONTROL MASTER'!$S$2:$S$495))-(ROW('CONTROL MASTER'!#REF!)-1))),IF(SUMPRODUCT((('CONTROL MASTER'!$S$2:$S$495=13)*('CONTROL MASTER'!$Z$2:$Z$495&lt;=7)*('CONTROL MASTER'!$AB$2:$AB$495&gt;=7)*('CONTROL MASTER'!$AA$2:$AA$495&lt;=3)*('CONTROL MASTER'!$AC$2:$AC$495&gt;=3))*ROW('CONTROL MASTER'!$S$2:$S$495))&gt;0,INDEX('CONTROL MASTER'!$X$2:$X$495,(SUMPRODUCT((('CONTROL MASTER'!$S$2:$S$495=13)*('CONTROL MASTER'!$Z$2:$Z$495&lt;=7)*('CONTROL MASTER'!$AB$2:$AB$495&gt;=7)*('CONTROL MASTER'!$AA$2:$AA$495&lt;=3)*('CONTROL MASTER'!$AC$2:$AC$495&gt;=3))*ROW('CONTROL MASTER'!$S$2:$S$495))-(ROW('CONTROL MASTER'!#REF!)-1)))&amp;TRIM(MID(SUBSTITUTE(SUBSTITUTE(INDEX('CONTROL MASTER'!$N$2:$N$495,(SUMPRODUCT((('CONTROL MASTER'!$S$2:$S$495=13)*('CONTROL MASTER'!$Z$2:$Z$495&lt;=7)*('CONTROL MASTER'!$AB$2:$AB$495&gt;=7)*('CONTROL MASTER'!$AA$2:$AA$495&lt;=3)*('CONTROL MASTER'!$AC$2:$AC$495&gt;=3))*ROW('CONTROL MASTER'!$S$2:$S$495))-(ROW('CONTROL MASTER'!#REF!)-1))),":",","),",",REPT(" ",50)),(((INDEX('CONTROL MASTER'!$Y$2:$Y$495,(SUMPRODUCT((('CONTROL MASTER'!$S$2:$S$495=13)*('CONTROL MASTER'!$Z$2:$Z$495&lt;=7)*('CONTROL MASTER'!$AB$2:$AB$495&gt;=7)*('CONTROL MASTER'!$AA$2:$AA$495&lt;=3)*('CONTROL MASTER'!$AC$2:$AC$495&gt;=3))*ROW('CONTROL MASTER'!$S$2:$S$495))-(ROW('CONTROL MASTER'!#REF!)-1)))+((7-INDEX('CONTROL MASTER'!$Z$2:$Z$495,(SUMPRODUCT((('CONTROL MASTER'!$S$2:$S$495=13)*('CONTROL MASTER'!$Z$2:$Z$495&lt;=7)*('CONTROL MASTER'!$AB$2:$AB$495&gt;=7)*('CONTROL MASTER'!$AA$2:$AA$495&lt;=3)*('CONTROL MASTER'!$AC$2:$AC$495&gt;=3))*ROW('CONTROL MASTER'!$S$2:$S$495))-(ROW('CONTROL MASTER'!#REF!)-1))))*(INDEX('CONTROL MASTER'!$AC$2:$AC$495,(SUMPRODUCT((('CONTROL MASTER'!$S$2:$S$495=13)*('CONTROL MASTER'!$Z$2:$Z$495&lt;=7)*('CONTROL MASTER'!$AB$2:$AB$495&gt;=7)*('CONTROL MASTER'!$AA$2:$AA$495&lt;=3)*('CONTROL MASTER'!$AC$2:$AC$495&gt;=3))*ROW('CONTROL MASTER'!$S$2:$S$495))-(ROW('CONTROL MASTER'!#REF!)-1)))-INDEX('CONTROL MASTER'!$AA$2:$AA$495,(SUMPRODUCT((('CONTROL MASTER'!$S$2:$S$495=13)*('CONTROL MASTER'!$Z$2:$Z$495&lt;=7)*('CONTROL MASTER'!$AB$2:$AB$495&gt;=7)*('CONTROL MASTER'!$AA$2:$AA$495&lt;=3)*('CONTROL MASTER'!$AC$2:$AC$495&gt;=3))*ROW('CONTROL MASTER'!$S$2:$S$495))-(ROW('CONTROL MASTER'!#REF!)-1)))+1)+(3-INDEX('CONTROL MASTER'!$AA$2:$AA$495,(SUMPRODUCT((('CONTROL MASTER'!$S$2:$S$495=13)*('CONTROL MASTER'!$Z$2:$Z$495&lt;=7)*('CONTROL MASTER'!$AB$2:$AB$495&gt;=7)*('CONTROL MASTER'!$AA$2:$AA$495&lt;=3)*('CONTROL MASTER'!$AC$2:$AC$495&gt;=3))*ROW('CONTROL MASTER'!$S$2:$S$495))-(ROW('CONTROL MASTER'!#REF!)-1))))+1)))-1)*50+1,50))&amp;"_"&amp;INDEX('CONTROL MASTER'!$P$2:$P$495,(SUMPRODUCT((('CONTROL MASTER'!$S$2:$S$495=13)*('CONTROL MASTER'!$Z$2:$Z$495&lt;=7)*('CONTROL MASTER'!$AB$2:$AB$495&gt;=7)*('CONTROL MASTER'!$AA$2:$AA$495&lt;=3)*('CONTROL MASTER'!$AC$2:$AC$495&gt;=3))*ROW('CONTROL MASTER'!$S$2:$S$495))-(ROW('CONTROL MASTER'!#REF!)-1))),"")),"")</f>
        <v/>
      </c>
      <c r="E177" s="10" t="str">
        <f>IFERROR(IF(SUMPRODUCT((('CONTROL MASTER'!$S$2:$S$495=13)*('CONTROL MASTER'!$T$2:$T$495&lt;=7)*('CONTROL MASTER'!$V$2:$V$495&gt;=7)*('CONTROL MASTER'!$U$2:$U$495&lt;=4)*('CONTROL MASTER'!$W$2:$W$495&gt;=4))*ROW('CONTROL MASTER'!$S$2:$S$495))&gt;0,INDEX('CONTROL MASTER'!$X$2:$X$495,(SUMPRODUCT((('CONTROL MASTER'!$S$2:$S$495=13)*('CONTROL MASTER'!$T$2:$T$495&lt;=7)*('CONTROL MASTER'!$V$2:$V$495&gt;=7)*('CONTROL MASTER'!$U$2:$U$495&lt;=4)*('CONTROL MASTER'!$W$2:$W$495&gt;=4))*ROW('CONTROL MASTER'!$S$2:$S$495))-(ROW('CONTROL MASTER'!#REF!)-1)))&amp;TRIM(MID(SUBSTITUTE(SUBSTITUTE(INDEX('CONTROL MASTER'!$N$2:$N$495,(SUMPRODUCT((('CONTROL MASTER'!$S$2:$S$495=13)*('CONTROL MASTER'!$T$2:$T$495&lt;=7)*('CONTROL MASTER'!$V$2:$V$495&gt;=7)*('CONTROL MASTER'!$U$2:$U$495&lt;=4)*('CONTROL MASTER'!$W$2:$W$495&gt;=4))*ROW('CONTROL MASTER'!$S$2:$S$495))-(ROW('CONTROL MASTER'!#REF!)-1))),":",","),",",REPT(" ",50)),((((7-INDEX('CONTROL MASTER'!$T$2:$T$495,(SUMPRODUCT((('CONTROL MASTER'!$S$2:$S$495=13)*('CONTROL MASTER'!$T$2:$T$495&lt;=7)*('CONTROL MASTER'!$V$2:$V$495&gt;=7)*('CONTROL MASTER'!$U$2:$U$495&lt;=4)*('CONTROL MASTER'!$W$2:$W$495&gt;=4))*ROW('CONTROL MASTER'!$S$2:$S$495))-(ROW('CONTROL MASTER'!#REF!)-1))))*(INDEX('CONTROL MASTER'!$W$2:$W$495,(SUMPRODUCT((('CONTROL MASTER'!$S$2:$S$495=13)*('CONTROL MASTER'!$T$2:$T$495&lt;=7)*('CONTROL MASTER'!$V$2:$V$495&gt;=7)*('CONTROL MASTER'!$U$2:$U$495&lt;=4)*('CONTROL MASTER'!$W$2:$W$495&gt;=4))*ROW('CONTROL MASTER'!$S$2:$S$495))-(ROW('CONTROL MASTER'!#REF!)-1)))-INDEX('CONTROL MASTER'!$U$2:$U$495,(SUMPRODUCT((('CONTROL MASTER'!$S$2:$S$495=13)*('CONTROL MASTER'!$T$2:$T$495&lt;=7)*('CONTROL MASTER'!$V$2:$V$495&gt;=7)*('CONTROL MASTER'!$U$2:$U$495&lt;=4)*('CONTROL MASTER'!$W$2:$W$495&gt;=4))*ROW('CONTROL MASTER'!$S$2:$S$495))-(ROW('CONTROL MASTER'!#REF!)-1)))+1)+(4-INDEX('CONTROL MASTER'!$U$2:$U$495,(SUMPRODUCT((('CONTROL MASTER'!$S$2:$S$495=13)*('CONTROL MASTER'!$T$2:$T$495&lt;=7)*('CONTROL MASTER'!$V$2:$V$495&gt;=7)*('CONTROL MASTER'!$U$2:$U$495&lt;=4)*('CONTROL MASTER'!$W$2:$W$495&gt;=4))*ROW('CONTROL MASTER'!$S$2:$S$495))-(ROW('CONTROL MASTER'!#REF!)-1))))+1))-1)*50+1,50))&amp;"_"&amp;INDEX('CONTROL MASTER'!$P$2:$P$495,(SUMPRODUCT((('CONTROL MASTER'!$S$2:$S$495=13)*('CONTROL MASTER'!$T$2:$T$495&lt;=7)*('CONTROL MASTER'!$V$2:$V$495&gt;=7)*('CONTROL MASTER'!$U$2:$U$495&lt;=4)*('CONTROL MASTER'!$W$2:$W$495&gt;=4))*ROW('CONTROL MASTER'!$S$2:$S$495))-(ROW('CONTROL MASTER'!#REF!)-1))),IF(SUMPRODUCT((('CONTROL MASTER'!$S$2:$S$495=13)*('CONTROL MASTER'!$Z$2:$Z$495&lt;=7)*('CONTROL MASTER'!$AB$2:$AB$495&gt;=7)*('CONTROL MASTER'!$AA$2:$AA$495&lt;=4)*('CONTROL MASTER'!$AC$2:$AC$495&gt;=4))*ROW('CONTROL MASTER'!$S$2:$S$495))&gt;0,INDEX('CONTROL MASTER'!$X$2:$X$495,(SUMPRODUCT((('CONTROL MASTER'!$S$2:$S$495=13)*('CONTROL MASTER'!$Z$2:$Z$495&lt;=7)*('CONTROL MASTER'!$AB$2:$AB$495&gt;=7)*('CONTROL MASTER'!$AA$2:$AA$495&lt;=4)*('CONTROL MASTER'!$AC$2:$AC$495&gt;=4))*ROW('CONTROL MASTER'!$S$2:$S$495))-(ROW('CONTROL MASTER'!#REF!)-1)))&amp;TRIM(MID(SUBSTITUTE(SUBSTITUTE(INDEX('CONTROL MASTER'!$N$2:$N$495,(SUMPRODUCT((('CONTROL MASTER'!$S$2:$S$495=13)*('CONTROL MASTER'!$Z$2:$Z$495&lt;=7)*('CONTROL MASTER'!$AB$2:$AB$495&gt;=7)*('CONTROL MASTER'!$AA$2:$AA$495&lt;=4)*('CONTROL MASTER'!$AC$2:$AC$495&gt;=4))*ROW('CONTROL MASTER'!$S$2:$S$495))-(ROW('CONTROL MASTER'!#REF!)-1))),":",","),",",REPT(" ",50)),(((INDEX('CONTROL MASTER'!$Y$2:$Y$495,(SUMPRODUCT((('CONTROL MASTER'!$S$2:$S$495=13)*('CONTROL MASTER'!$Z$2:$Z$495&lt;=7)*('CONTROL MASTER'!$AB$2:$AB$495&gt;=7)*('CONTROL MASTER'!$AA$2:$AA$495&lt;=4)*('CONTROL MASTER'!$AC$2:$AC$495&gt;=4))*ROW('CONTROL MASTER'!$S$2:$S$495))-(ROW('CONTROL MASTER'!#REF!)-1)))+((7-INDEX('CONTROL MASTER'!$Z$2:$Z$495,(SUMPRODUCT((('CONTROL MASTER'!$S$2:$S$495=13)*('CONTROL MASTER'!$Z$2:$Z$495&lt;=7)*('CONTROL MASTER'!$AB$2:$AB$495&gt;=7)*('CONTROL MASTER'!$AA$2:$AA$495&lt;=4)*('CONTROL MASTER'!$AC$2:$AC$495&gt;=4))*ROW('CONTROL MASTER'!$S$2:$S$495))-(ROW('CONTROL MASTER'!#REF!)-1))))*(INDEX('CONTROL MASTER'!$AC$2:$AC$495,(SUMPRODUCT((('CONTROL MASTER'!$S$2:$S$495=13)*('CONTROL MASTER'!$Z$2:$Z$495&lt;=7)*('CONTROL MASTER'!$AB$2:$AB$495&gt;=7)*('CONTROL MASTER'!$AA$2:$AA$495&lt;=4)*('CONTROL MASTER'!$AC$2:$AC$495&gt;=4))*ROW('CONTROL MASTER'!$S$2:$S$495))-(ROW('CONTROL MASTER'!#REF!)-1)))-INDEX('CONTROL MASTER'!$AA$2:$AA$495,(SUMPRODUCT((('CONTROL MASTER'!$S$2:$S$495=13)*('CONTROL MASTER'!$Z$2:$Z$495&lt;=7)*('CONTROL MASTER'!$AB$2:$AB$495&gt;=7)*('CONTROL MASTER'!$AA$2:$AA$495&lt;=4)*('CONTROL MASTER'!$AC$2:$AC$495&gt;=4))*ROW('CONTROL MASTER'!$S$2:$S$495))-(ROW('CONTROL MASTER'!#REF!)-1)))+1)+(4-INDEX('CONTROL MASTER'!$AA$2:$AA$495,(SUMPRODUCT((('CONTROL MASTER'!$S$2:$S$495=13)*('CONTROL MASTER'!$Z$2:$Z$495&lt;=7)*('CONTROL MASTER'!$AB$2:$AB$495&gt;=7)*('CONTROL MASTER'!$AA$2:$AA$495&lt;=4)*('CONTROL MASTER'!$AC$2:$AC$495&gt;=4))*ROW('CONTROL MASTER'!$S$2:$S$495))-(ROW('CONTROL MASTER'!#REF!)-1))))+1)))-1)*50+1,50))&amp;"_"&amp;INDEX('CONTROL MASTER'!$P$2:$P$495,(SUMPRODUCT((('CONTROL MASTER'!$S$2:$S$495=13)*('CONTROL MASTER'!$Z$2:$Z$495&lt;=7)*('CONTROL MASTER'!$AB$2:$AB$495&gt;=7)*('CONTROL MASTER'!$AA$2:$AA$495&lt;=4)*('CONTROL MASTER'!$AC$2:$AC$495&gt;=4))*ROW('CONTROL MASTER'!$S$2:$S$495))-(ROW('CONTROL MASTER'!#REF!)-1))),"")),"")</f>
        <v/>
      </c>
      <c r="F177" s="10" t="str">
        <f>IFERROR(IF(SUMPRODUCT((('CONTROL MASTER'!$S$2:$S$495=13)*('CONTROL MASTER'!$T$2:$T$495&lt;=7)*('CONTROL MASTER'!$V$2:$V$495&gt;=7)*('CONTROL MASTER'!$U$2:$U$495&lt;=5)*('CONTROL MASTER'!$W$2:$W$495&gt;=5))*ROW('CONTROL MASTER'!$S$2:$S$495))&gt;0,INDEX('CONTROL MASTER'!$X$2:$X$495,(SUMPRODUCT((('CONTROL MASTER'!$S$2:$S$495=13)*('CONTROL MASTER'!$T$2:$T$495&lt;=7)*('CONTROL MASTER'!$V$2:$V$495&gt;=7)*('CONTROL MASTER'!$U$2:$U$495&lt;=5)*('CONTROL MASTER'!$W$2:$W$495&gt;=5))*ROW('CONTROL MASTER'!$S$2:$S$495))-(ROW('CONTROL MASTER'!#REF!)-1)))&amp;TRIM(MID(SUBSTITUTE(SUBSTITUTE(INDEX('CONTROL MASTER'!$N$2:$N$495,(SUMPRODUCT((('CONTROL MASTER'!$S$2:$S$495=13)*('CONTROL MASTER'!$T$2:$T$495&lt;=7)*('CONTROL MASTER'!$V$2:$V$495&gt;=7)*('CONTROL MASTER'!$U$2:$U$495&lt;=5)*('CONTROL MASTER'!$W$2:$W$495&gt;=5))*ROW('CONTROL MASTER'!$S$2:$S$495))-(ROW('CONTROL MASTER'!#REF!)-1))),":",","),",",REPT(" ",50)),((((7-INDEX('CONTROL MASTER'!$T$2:$T$495,(SUMPRODUCT((('CONTROL MASTER'!$S$2:$S$495=13)*('CONTROL MASTER'!$T$2:$T$495&lt;=7)*('CONTROL MASTER'!$V$2:$V$495&gt;=7)*('CONTROL MASTER'!$U$2:$U$495&lt;=5)*('CONTROL MASTER'!$W$2:$W$495&gt;=5))*ROW('CONTROL MASTER'!$S$2:$S$495))-(ROW('CONTROL MASTER'!#REF!)-1))))*(INDEX('CONTROL MASTER'!$W$2:$W$495,(SUMPRODUCT((('CONTROL MASTER'!$S$2:$S$495=13)*('CONTROL MASTER'!$T$2:$T$495&lt;=7)*('CONTROL MASTER'!$V$2:$V$495&gt;=7)*('CONTROL MASTER'!$U$2:$U$495&lt;=5)*('CONTROL MASTER'!$W$2:$W$495&gt;=5))*ROW('CONTROL MASTER'!$S$2:$S$495))-(ROW('CONTROL MASTER'!#REF!)-1)))-INDEX('CONTROL MASTER'!$U$2:$U$495,(SUMPRODUCT((('CONTROL MASTER'!$S$2:$S$495=13)*('CONTROL MASTER'!$T$2:$T$495&lt;=7)*('CONTROL MASTER'!$V$2:$V$495&gt;=7)*('CONTROL MASTER'!$U$2:$U$495&lt;=5)*('CONTROL MASTER'!$W$2:$W$495&gt;=5))*ROW('CONTROL MASTER'!$S$2:$S$495))-(ROW('CONTROL MASTER'!#REF!)-1)))+1)+(5-INDEX('CONTROL MASTER'!$U$2:$U$495,(SUMPRODUCT((('CONTROL MASTER'!$S$2:$S$495=13)*('CONTROL MASTER'!$T$2:$T$495&lt;=7)*('CONTROL MASTER'!$V$2:$V$495&gt;=7)*('CONTROL MASTER'!$U$2:$U$495&lt;=5)*('CONTROL MASTER'!$W$2:$W$495&gt;=5))*ROW('CONTROL MASTER'!$S$2:$S$495))-(ROW('CONTROL MASTER'!#REF!)-1))))+1))-1)*50+1,50))&amp;"_"&amp;INDEX('CONTROL MASTER'!$P$2:$P$495,(SUMPRODUCT((('CONTROL MASTER'!$S$2:$S$495=13)*('CONTROL MASTER'!$T$2:$T$495&lt;=7)*('CONTROL MASTER'!$V$2:$V$495&gt;=7)*('CONTROL MASTER'!$U$2:$U$495&lt;=5)*('CONTROL MASTER'!$W$2:$W$495&gt;=5))*ROW('CONTROL MASTER'!$S$2:$S$495))-(ROW('CONTROL MASTER'!#REF!)-1))),IF(SUMPRODUCT((('CONTROL MASTER'!$S$2:$S$495=13)*('CONTROL MASTER'!$Z$2:$Z$495&lt;=7)*('CONTROL MASTER'!$AB$2:$AB$495&gt;=7)*('CONTROL MASTER'!$AA$2:$AA$495&lt;=5)*('CONTROL MASTER'!$AC$2:$AC$495&gt;=5))*ROW('CONTROL MASTER'!$S$2:$S$495))&gt;0,INDEX('CONTROL MASTER'!$X$2:$X$495,(SUMPRODUCT((('CONTROL MASTER'!$S$2:$S$495=13)*('CONTROL MASTER'!$Z$2:$Z$495&lt;=7)*('CONTROL MASTER'!$AB$2:$AB$495&gt;=7)*('CONTROL MASTER'!$AA$2:$AA$495&lt;=5)*('CONTROL MASTER'!$AC$2:$AC$495&gt;=5))*ROW('CONTROL MASTER'!$S$2:$S$495))-(ROW('CONTROL MASTER'!#REF!)-1)))&amp;TRIM(MID(SUBSTITUTE(SUBSTITUTE(INDEX('CONTROL MASTER'!$N$2:$N$495,(SUMPRODUCT((('CONTROL MASTER'!$S$2:$S$495=13)*('CONTROL MASTER'!$Z$2:$Z$495&lt;=7)*('CONTROL MASTER'!$AB$2:$AB$495&gt;=7)*('CONTROL MASTER'!$AA$2:$AA$495&lt;=5)*('CONTROL MASTER'!$AC$2:$AC$495&gt;=5))*ROW('CONTROL MASTER'!$S$2:$S$495))-(ROW('CONTROL MASTER'!#REF!)-1))),":",","),",",REPT(" ",50)),(((INDEX('CONTROL MASTER'!$Y$2:$Y$495,(SUMPRODUCT((('CONTROL MASTER'!$S$2:$S$495=13)*('CONTROL MASTER'!$Z$2:$Z$495&lt;=7)*('CONTROL MASTER'!$AB$2:$AB$495&gt;=7)*('CONTROL MASTER'!$AA$2:$AA$495&lt;=5)*('CONTROL MASTER'!$AC$2:$AC$495&gt;=5))*ROW('CONTROL MASTER'!$S$2:$S$495))-(ROW('CONTROL MASTER'!#REF!)-1)))+((7-INDEX('CONTROL MASTER'!$Z$2:$Z$495,(SUMPRODUCT((('CONTROL MASTER'!$S$2:$S$495=13)*('CONTROL MASTER'!$Z$2:$Z$495&lt;=7)*('CONTROL MASTER'!$AB$2:$AB$495&gt;=7)*('CONTROL MASTER'!$AA$2:$AA$495&lt;=5)*('CONTROL MASTER'!$AC$2:$AC$495&gt;=5))*ROW('CONTROL MASTER'!$S$2:$S$495))-(ROW('CONTROL MASTER'!#REF!)-1))))*(INDEX('CONTROL MASTER'!$AC$2:$AC$495,(SUMPRODUCT((('CONTROL MASTER'!$S$2:$S$495=13)*('CONTROL MASTER'!$Z$2:$Z$495&lt;=7)*('CONTROL MASTER'!$AB$2:$AB$495&gt;=7)*('CONTROL MASTER'!$AA$2:$AA$495&lt;=5)*('CONTROL MASTER'!$AC$2:$AC$495&gt;=5))*ROW('CONTROL MASTER'!$S$2:$S$495))-(ROW('CONTROL MASTER'!#REF!)-1)))-INDEX('CONTROL MASTER'!$AA$2:$AA$495,(SUMPRODUCT((('CONTROL MASTER'!$S$2:$S$495=13)*('CONTROL MASTER'!$Z$2:$Z$495&lt;=7)*('CONTROL MASTER'!$AB$2:$AB$495&gt;=7)*('CONTROL MASTER'!$AA$2:$AA$495&lt;=5)*('CONTROL MASTER'!$AC$2:$AC$495&gt;=5))*ROW('CONTROL MASTER'!$S$2:$S$495))-(ROW('CONTROL MASTER'!#REF!)-1)))+1)+(5-INDEX('CONTROL MASTER'!$AA$2:$AA$495,(SUMPRODUCT((('CONTROL MASTER'!$S$2:$S$495=13)*('CONTROL MASTER'!$Z$2:$Z$495&lt;=7)*('CONTROL MASTER'!$AB$2:$AB$495&gt;=7)*('CONTROL MASTER'!$AA$2:$AA$495&lt;=5)*('CONTROL MASTER'!$AC$2:$AC$495&gt;=5))*ROW('CONTROL MASTER'!$S$2:$S$495))-(ROW('CONTROL MASTER'!#REF!)-1))))+1)))-1)*50+1,50))&amp;"_"&amp;INDEX('CONTROL MASTER'!$P$2:$P$495,(SUMPRODUCT((('CONTROL MASTER'!$S$2:$S$495=13)*('CONTROL MASTER'!$Z$2:$Z$495&lt;=7)*('CONTROL MASTER'!$AB$2:$AB$495&gt;=7)*('CONTROL MASTER'!$AA$2:$AA$495&lt;=5)*('CONTROL MASTER'!$AC$2:$AC$495&gt;=5))*ROW('CONTROL MASTER'!$S$2:$S$495))-(ROW('CONTROL MASTER'!#REF!)-1))),"")),"")</f>
        <v/>
      </c>
      <c r="G177" s="10" t="str">
        <f>IFERROR(IF(SUMPRODUCT((('CONTROL MASTER'!$S$2:$S$495=13)*('CONTROL MASTER'!$T$2:$T$495&lt;=7)*('CONTROL MASTER'!$V$2:$V$495&gt;=7)*('CONTROL MASTER'!$U$2:$U$495&lt;=6)*('CONTROL MASTER'!$W$2:$W$495&gt;=6))*ROW('CONTROL MASTER'!$S$2:$S$495))&gt;0,INDEX('CONTROL MASTER'!$X$2:$X$495,(SUMPRODUCT((('CONTROL MASTER'!$S$2:$S$495=13)*('CONTROL MASTER'!$T$2:$T$495&lt;=7)*('CONTROL MASTER'!$V$2:$V$495&gt;=7)*('CONTROL MASTER'!$U$2:$U$495&lt;=6)*('CONTROL MASTER'!$W$2:$W$495&gt;=6))*ROW('CONTROL MASTER'!$S$2:$S$495))-(ROW('CONTROL MASTER'!#REF!)-1)))&amp;TRIM(MID(SUBSTITUTE(SUBSTITUTE(INDEX('CONTROL MASTER'!$N$2:$N$495,(SUMPRODUCT((('CONTROL MASTER'!$S$2:$S$495=13)*('CONTROL MASTER'!$T$2:$T$495&lt;=7)*('CONTROL MASTER'!$V$2:$V$495&gt;=7)*('CONTROL MASTER'!$U$2:$U$495&lt;=6)*('CONTROL MASTER'!$W$2:$W$495&gt;=6))*ROW('CONTROL MASTER'!$S$2:$S$495))-(ROW('CONTROL MASTER'!#REF!)-1))),":",","),",",REPT(" ",50)),((((7-INDEX('CONTROL MASTER'!$T$2:$T$495,(SUMPRODUCT((('CONTROL MASTER'!$S$2:$S$495=13)*('CONTROL MASTER'!$T$2:$T$495&lt;=7)*('CONTROL MASTER'!$V$2:$V$495&gt;=7)*('CONTROL MASTER'!$U$2:$U$495&lt;=6)*('CONTROL MASTER'!$W$2:$W$495&gt;=6))*ROW('CONTROL MASTER'!$S$2:$S$495))-(ROW('CONTROL MASTER'!#REF!)-1))))*(INDEX('CONTROL MASTER'!$W$2:$W$495,(SUMPRODUCT((('CONTROL MASTER'!$S$2:$S$495=13)*('CONTROL MASTER'!$T$2:$T$495&lt;=7)*('CONTROL MASTER'!$V$2:$V$495&gt;=7)*('CONTROL MASTER'!$U$2:$U$495&lt;=6)*('CONTROL MASTER'!$W$2:$W$495&gt;=6))*ROW('CONTROL MASTER'!$S$2:$S$495))-(ROW('CONTROL MASTER'!#REF!)-1)))-INDEX('CONTROL MASTER'!$U$2:$U$495,(SUMPRODUCT((('CONTROL MASTER'!$S$2:$S$495=13)*('CONTROL MASTER'!$T$2:$T$495&lt;=7)*('CONTROL MASTER'!$V$2:$V$495&gt;=7)*('CONTROL MASTER'!$U$2:$U$495&lt;=6)*('CONTROL MASTER'!$W$2:$W$495&gt;=6))*ROW('CONTROL MASTER'!$S$2:$S$495))-(ROW('CONTROL MASTER'!#REF!)-1)))+1)+(6-INDEX('CONTROL MASTER'!$U$2:$U$495,(SUMPRODUCT((('CONTROL MASTER'!$S$2:$S$495=13)*('CONTROL MASTER'!$T$2:$T$495&lt;=7)*('CONTROL MASTER'!$V$2:$V$495&gt;=7)*('CONTROL MASTER'!$U$2:$U$495&lt;=6)*('CONTROL MASTER'!$W$2:$W$495&gt;=6))*ROW('CONTROL MASTER'!$S$2:$S$495))-(ROW('CONTROL MASTER'!#REF!)-1))))+1))-1)*50+1,50))&amp;"_"&amp;INDEX('CONTROL MASTER'!$P$2:$P$495,(SUMPRODUCT((('CONTROL MASTER'!$S$2:$S$495=13)*('CONTROL MASTER'!$T$2:$T$495&lt;=7)*('CONTROL MASTER'!$V$2:$V$495&gt;=7)*('CONTROL MASTER'!$U$2:$U$495&lt;=6)*('CONTROL MASTER'!$W$2:$W$495&gt;=6))*ROW('CONTROL MASTER'!$S$2:$S$495))-(ROW('CONTROL MASTER'!#REF!)-1))),IF(SUMPRODUCT((('CONTROL MASTER'!$S$2:$S$495=13)*('CONTROL MASTER'!$Z$2:$Z$495&lt;=7)*('CONTROL MASTER'!$AB$2:$AB$495&gt;=7)*('CONTROL MASTER'!$AA$2:$AA$495&lt;=6)*('CONTROL MASTER'!$AC$2:$AC$495&gt;=6))*ROW('CONTROL MASTER'!$S$2:$S$495))&gt;0,INDEX('CONTROL MASTER'!$X$2:$X$495,(SUMPRODUCT((('CONTROL MASTER'!$S$2:$S$495=13)*('CONTROL MASTER'!$Z$2:$Z$495&lt;=7)*('CONTROL MASTER'!$AB$2:$AB$495&gt;=7)*('CONTROL MASTER'!$AA$2:$AA$495&lt;=6)*('CONTROL MASTER'!$AC$2:$AC$495&gt;=6))*ROW('CONTROL MASTER'!$S$2:$S$495))-(ROW('CONTROL MASTER'!#REF!)-1)))&amp;TRIM(MID(SUBSTITUTE(SUBSTITUTE(INDEX('CONTROL MASTER'!$N$2:$N$495,(SUMPRODUCT((('CONTROL MASTER'!$S$2:$S$495=13)*('CONTROL MASTER'!$Z$2:$Z$495&lt;=7)*('CONTROL MASTER'!$AB$2:$AB$495&gt;=7)*('CONTROL MASTER'!$AA$2:$AA$495&lt;=6)*('CONTROL MASTER'!$AC$2:$AC$495&gt;=6))*ROW('CONTROL MASTER'!$S$2:$S$495))-(ROW('CONTROL MASTER'!#REF!)-1))),":",","),",",REPT(" ",50)),(((INDEX('CONTROL MASTER'!$Y$2:$Y$495,(SUMPRODUCT((('CONTROL MASTER'!$S$2:$S$495=13)*('CONTROL MASTER'!$Z$2:$Z$495&lt;=7)*('CONTROL MASTER'!$AB$2:$AB$495&gt;=7)*('CONTROL MASTER'!$AA$2:$AA$495&lt;=6)*('CONTROL MASTER'!$AC$2:$AC$495&gt;=6))*ROW('CONTROL MASTER'!$S$2:$S$495))-(ROW('CONTROL MASTER'!#REF!)-1)))+((7-INDEX('CONTROL MASTER'!$Z$2:$Z$495,(SUMPRODUCT((('CONTROL MASTER'!$S$2:$S$495=13)*('CONTROL MASTER'!$Z$2:$Z$495&lt;=7)*('CONTROL MASTER'!$AB$2:$AB$495&gt;=7)*('CONTROL MASTER'!$AA$2:$AA$495&lt;=6)*('CONTROL MASTER'!$AC$2:$AC$495&gt;=6))*ROW('CONTROL MASTER'!$S$2:$S$495))-(ROW('CONTROL MASTER'!#REF!)-1))))*(INDEX('CONTROL MASTER'!$AC$2:$AC$495,(SUMPRODUCT((('CONTROL MASTER'!$S$2:$S$495=13)*('CONTROL MASTER'!$Z$2:$Z$495&lt;=7)*('CONTROL MASTER'!$AB$2:$AB$495&gt;=7)*('CONTROL MASTER'!$AA$2:$AA$495&lt;=6)*('CONTROL MASTER'!$AC$2:$AC$495&gt;=6))*ROW('CONTROL MASTER'!$S$2:$S$495))-(ROW('CONTROL MASTER'!#REF!)-1)))-INDEX('CONTROL MASTER'!$AA$2:$AA$495,(SUMPRODUCT((('CONTROL MASTER'!$S$2:$S$495=13)*('CONTROL MASTER'!$Z$2:$Z$495&lt;=7)*('CONTROL MASTER'!$AB$2:$AB$495&gt;=7)*('CONTROL MASTER'!$AA$2:$AA$495&lt;=6)*('CONTROL MASTER'!$AC$2:$AC$495&gt;=6))*ROW('CONTROL MASTER'!$S$2:$S$495))-(ROW('CONTROL MASTER'!#REF!)-1)))+1)+(6-INDEX('CONTROL MASTER'!$AA$2:$AA$495,(SUMPRODUCT((('CONTROL MASTER'!$S$2:$S$495=13)*('CONTROL MASTER'!$Z$2:$Z$495&lt;=7)*('CONTROL MASTER'!$AB$2:$AB$495&gt;=7)*('CONTROL MASTER'!$AA$2:$AA$495&lt;=6)*('CONTROL MASTER'!$AC$2:$AC$495&gt;=6))*ROW('CONTROL MASTER'!$S$2:$S$495))-(ROW('CONTROL MASTER'!#REF!)-1))))+1)))-1)*50+1,50))&amp;"_"&amp;INDEX('CONTROL MASTER'!$P$2:$P$495,(SUMPRODUCT((('CONTROL MASTER'!$S$2:$S$495=13)*('CONTROL MASTER'!$Z$2:$Z$495&lt;=7)*('CONTROL MASTER'!$AB$2:$AB$495&gt;=7)*('CONTROL MASTER'!$AA$2:$AA$495&lt;=6)*('CONTROL MASTER'!$AC$2:$AC$495&gt;=6))*ROW('CONTROL MASTER'!$S$2:$S$495))-(ROW('CONTROL MASTER'!#REF!)-1))),"")),"")</f>
        <v/>
      </c>
      <c r="H177" s="10" t="str">
        <f>IFERROR(IF(SUMPRODUCT((('CONTROL MASTER'!$S$2:$S$495=13)*('CONTROL MASTER'!$T$2:$T$495&lt;=7)*('CONTROL MASTER'!$V$2:$V$495&gt;=7)*('CONTROL MASTER'!$U$2:$U$495&lt;=7)*('CONTROL MASTER'!$W$2:$W$495&gt;=7))*ROW('CONTROL MASTER'!$S$2:$S$495))&gt;0,INDEX('CONTROL MASTER'!$X$2:$X$495,(SUMPRODUCT((('CONTROL MASTER'!$S$2:$S$495=13)*('CONTROL MASTER'!$T$2:$T$495&lt;=7)*('CONTROL MASTER'!$V$2:$V$495&gt;=7)*('CONTROL MASTER'!$U$2:$U$495&lt;=7)*('CONTROL MASTER'!$W$2:$W$495&gt;=7))*ROW('CONTROL MASTER'!$S$2:$S$495))-(ROW('CONTROL MASTER'!#REF!)-1)))&amp;TRIM(MID(SUBSTITUTE(SUBSTITUTE(INDEX('CONTROL MASTER'!$N$2:$N$495,(SUMPRODUCT((('CONTROL MASTER'!$S$2:$S$495=13)*('CONTROL MASTER'!$T$2:$T$495&lt;=7)*('CONTROL MASTER'!$V$2:$V$495&gt;=7)*('CONTROL MASTER'!$U$2:$U$495&lt;=7)*('CONTROL MASTER'!$W$2:$W$495&gt;=7))*ROW('CONTROL MASTER'!$S$2:$S$495))-(ROW('CONTROL MASTER'!#REF!)-1))),":",","),",",REPT(" ",50)),((((7-INDEX('CONTROL MASTER'!$T$2:$T$495,(SUMPRODUCT((('CONTROL MASTER'!$S$2:$S$495=13)*('CONTROL MASTER'!$T$2:$T$495&lt;=7)*('CONTROL MASTER'!$V$2:$V$495&gt;=7)*('CONTROL MASTER'!$U$2:$U$495&lt;=7)*('CONTROL MASTER'!$W$2:$W$495&gt;=7))*ROW('CONTROL MASTER'!$S$2:$S$495))-(ROW('CONTROL MASTER'!#REF!)-1))))*(INDEX('CONTROL MASTER'!$W$2:$W$495,(SUMPRODUCT((('CONTROL MASTER'!$S$2:$S$495=13)*('CONTROL MASTER'!$T$2:$T$495&lt;=7)*('CONTROL MASTER'!$V$2:$V$495&gt;=7)*('CONTROL MASTER'!$U$2:$U$495&lt;=7)*('CONTROL MASTER'!$W$2:$W$495&gt;=7))*ROW('CONTROL MASTER'!$S$2:$S$495))-(ROW('CONTROL MASTER'!#REF!)-1)))-INDEX('CONTROL MASTER'!$U$2:$U$495,(SUMPRODUCT((('CONTROL MASTER'!$S$2:$S$495=13)*('CONTROL MASTER'!$T$2:$T$495&lt;=7)*('CONTROL MASTER'!$V$2:$V$495&gt;=7)*('CONTROL MASTER'!$U$2:$U$495&lt;=7)*('CONTROL MASTER'!$W$2:$W$495&gt;=7))*ROW('CONTROL MASTER'!$S$2:$S$495))-(ROW('CONTROL MASTER'!#REF!)-1)))+1)+(7-INDEX('CONTROL MASTER'!$U$2:$U$495,(SUMPRODUCT((('CONTROL MASTER'!$S$2:$S$495=13)*('CONTROL MASTER'!$T$2:$T$495&lt;=7)*('CONTROL MASTER'!$V$2:$V$495&gt;=7)*('CONTROL MASTER'!$U$2:$U$495&lt;=7)*('CONTROL MASTER'!$W$2:$W$495&gt;=7))*ROW('CONTROL MASTER'!$S$2:$S$495))-(ROW('CONTROL MASTER'!#REF!)-1))))+1))-1)*50+1,50))&amp;"_"&amp;INDEX('CONTROL MASTER'!$P$2:$P$495,(SUMPRODUCT((('CONTROL MASTER'!$S$2:$S$495=13)*('CONTROL MASTER'!$T$2:$T$495&lt;=7)*('CONTROL MASTER'!$V$2:$V$495&gt;=7)*('CONTROL MASTER'!$U$2:$U$495&lt;=7)*('CONTROL MASTER'!$W$2:$W$495&gt;=7))*ROW('CONTROL MASTER'!$S$2:$S$495))-(ROW('CONTROL MASTER'!#REF!)-1))),IF(SUMPRODUCT((('CONTROL MASTER'!$S$2:$S$495=13)*('CONTROL MASTER'!$Z$2:$Z$495&lt;=7)*('CONTROL MASTER'!$AB$2:$AB$495&gt;=7)*('CONTROL MASTER'!$AA$2:$AA$495&lt;=7)*('CONTROL MASTER'!$AC$2:$AC$495&gt;=7))*ROW('CONTROL MASTER'!$S$2:$S$495))&gt;0,INDEX('CONTROL MASTER'!$X$2:$X$495,(SUMPRODUCT((('CONTROL MASTER'!$S$2:$S$495=13)*('CONTROL MASTER'!$Z$2:$Z$495&lt;=7)*('CONTROL MASTER'!$AB$2:$AB$495&gt;=7)*('CONTROL MASTER'!$AA$2:$AA$495&lt;=7)*('CONTROL MASTER'!$AC$2:$AC$495&gt;=7))*ROW('CONTROL MASTER'!$S$2:$S$495))-(ROW('CONTROL MASTER'!#REF!)-1)))&amp;TRIM(MID(SUBSTITUTE(SUBSTITUTE(INDEX('CONTROL MASTER'!$N$2:$N$495,(SUMPRODUCT((('CONTROL MASTER'!$S$2:$S$495=13)*('CONTROL MASTER'!$Z$2:$Z$495&lt;=7)*('CONTROL MASTER'!$AB$2:$AB$495&gt;=7)*('CONTROL MASTER'!$AA$2:$AA$495&lt;=7)*('CONTROL MASTER'!$AC$2:$AC$495&gt;=7))*ROW('CONTROL MASTER'!$S$2:$S$495))-(ROW('CONTROL MASTER'!#REF!)-1))),":",","),",",REPT(" ",50)),(((INDEX('CONTROL MASTER'!$Y$2:$Y$495,(SUMPRODUCT((('CONTROL MASTER'!$S$2:$S$495=13)*('CONTROL MASTER'!$Z$2:$Z$495&lt;=7)*('CONTROL MASTER'!$AB$2:$AB$495&gt;=7)*('CONTROL MASTER'!$AA$2:$AA$495&lt;=7)*('CONTROL MASTER'!$AC$2:$AC$495&gt;=7))*ROW('CONTROL MASTER'!$S$2:$S$495))-(ROW('CONTROL MASTER'!#REF!)-1)))+((7-INDEX('CONTROL MASTER'!$Z$2:$Z$495,(SUMPRODUCT((('CONTROL MASTER'!$S$2:$S$495=13)*('CONTROL MASTER'!$Z$2:$Z$495&lt;=7)*('CONTROL MASTER'!$AB$2:$AB$495&gt;=7)*('CONTROL MASTER'!$AA$2:$AA$495&lt;=7)*('CONTROL MASTER'!$AC$2:$AC$495&gt;=7))*ROW('CONTROL MASTER'!$S$2:$S$495))-(ROW('CONTROL MASTER'!#REF!)-1))))*(INDEX('CONTROL MASTER'!$AC$2:$AC$495,(SUMPRODUCT((('CONTROL MASTER'!$S$2:$S$495=13)*('CONTROL MASTER'!$Z$2:$Z$495&lt;=7)*('CONTROL MASTER'!$AB$2:$AB$495&gt;=7)*('CONTROL MASTER'!$AA$2:$AA$495&lt;=7)*('CONTROL MASTER'!$AC$2:$AC$495&gt;=7))*ROW('CONTROL MASTER'!$S$2:$S$495))-(ROW('CONTROL MASTER'!#REF!)-1)))-INDEX('CONTROL MASTER'!$AA$2:$AA$495,(SUMPRODUCT((('CONTROL MASTER'!$S$2:$S$495=13)*('CONTROL MASTER'!$Z$2:$Z$495&lt;=7)*('CONTROL MASTER'!$AB$2:$AB$495&gt;=7)*('CONTROL MASTER'!$AA$2:$AA$495&lt;=7)*('CONTROL MASTER'!$AC$2:$AC$495&gt;=7))*ROW('CONTROL MASTER'!$S$2:$S$495))-(ROW('CONTROL MASTER'!#REF!)-1)))+1)+(7-INDEX('CONTROL MASTER'!$AA$2:$AA$495,(SUMPRODUCT((('CONTROL MASTER'!$S$2:$S$495=13)*('CONTROL MASTER'!$Z$2:$Z$495&lt;=7)*('CONTROL MASTER'!$AB$2:$AB$495&gt;=7)*('CONTROL MASTER'!$AA$2:$AA$495&lt;=7)*('CONTROL MASTER'!$AC$2:$AC$495&gt;=7))*ROW('CONTROL MASTER'!$S$2:$S$495))-(ROW('CONTROL MASTER'!#REF!)-1))))+1)))-1)*50+1,50))&amp;"_"&amp;INDEX('CONTROL MASTER'!$P$2:$P$495,(SUMPRODUCT((('CONTROL MASTER'!$S$2:$S$495=13)*('CONTROL MASTER'!$Z$2:$Z$495&lt;=7)*('CONTROL MASTER'!$AB$2:$AB$495&gt;=7)*('CONTROL MASTER'!$AA$2:$AA$495&lt;=7)*('CONTROL MASTER'!$AC$2:$AC$495&gt;=7))*ROW('CONTROL MASTER'!$S$2:$S$495))-(ROW('CONTROL MASTER'!#REF!)-1))),"")),"")</f>
        <v/>
      </c>
      <c r="I177" s="10" t="str">
        <f>IFERROR(IF(SUMPRODUCT((('CONTROL MASTER'!$S$2:$S$495=13)*('CONTROL MASTER'!$T$2:$T$495&lt;=7)*('CONTROL MASTER'!$V$2:$V$495&gt;=7)*('CONTROL MASTER'!$U$2:$U$495&lt;=8)*('CONTROL MASTER'!$W$2:$W$495&gt;=8))*ROW('CONTROL MASTER'!$S$2:$S$495))&gt;0,INDEX('CONTROL MASTER'!$X$2:$X$495,(SUMPRODUCT((('CONTROL MASTER'!$S$2:$S$495=13)*('CONTROL MASTER'!$T$2:$T$495&lt;=7)*('CONTROL MASTER'!$V$2:$V$495&gt;=7)*('CONTROL MASTER'!$U$2:$U$495&lt;=8)*('CONTROL MASTER'!$W$2:$W$495&gt;=8))*ROW('CONTROL MASTER'!$S$2:$S$495))-(ROW('CONTROL MASTER'!#REF!)-1)))&amp;TRIM(MID(SUBSTITUTE(SUBSTITUTE(INDEX('CONTROL MASTER'!$N$2:$N$495,(SUMPRODUCT((('CONTROL MASTER'!$S$2:$S$495=13)*('CONTROL MASTER'!$T$2:$T$495&lt;=7)*('CONTROL MASTER'!$V$2:$V$495&gt;=7)*('CONTROL MASTER'!$U$2:$U$495&lt;=8)*('CONTROL MASTER'!$W$2:$W$495&gt;=8))*ROW('CONTROL MASTER'!$S$2:$S$495))-(ROW('CONTROL MASTER'!#REF!)-1))),":",","),",",REPT(" ",50)),((((7-INDEX('CONTROL MASTER'!$T$2:$T$495,(SUMPRODUCT((('CONTROL MASTER'!$S$2:$S$495=13)*('CONTROL MASTER'!$T$2:$T$495&lt;=7)*('CONTROL MASTER'!$V$2:$V$495&gt;=7)*('CONTROL MASTER'!$U$2:$U$495&lt;=8)*('CONTROL MASTER'!$W$2:$W$495&gt;=8))*ROW('CONTROL MASTER'!$S$2:$S$495))-(ROW('CONTROL MASTER'!#REF!)-1))))*(INDEX('CONTROL MASTER'!$W$2:$W$495,(SUMPRODUCT((('CONTROL MASTER'!$S$2:$S$495=13)*('CONTROL MASTER'!$T$2:$T$495&lt;=7)*('CONTROL MASTER'!$V$2:$V$495&gt;=7)*('CONTROL MASTER'!$U$2:$U$495&lt;=8)*('CONTROL MASTER'!$W$2:$W$495&gt;=8))*ROW('CONTROL MASTER'!$S$2:$S$495))-(ROW('CONTROL MASTER'!#REF!)-1)))-INDEX('CONTROL MASTER'!$U$2:$U$495,(SUMPRODUCT((('CONTROL MASTER'!$S$2:$S$495=13)*('CONTROL MASTER'!$T$2:$T$495&lt;=7)*('CONTROL MASTER'!$V$2:$V$495&gt;=7)*('CONTROL MASTER'!$U$2:$U$495&lt;=8)*('CONTROL MASTER'!$W$2:$W$495&gt;=8))*ROW('CONTROL MASTER'!$S$2:$S$495))-(ROW('CONTROL MASTER'!#REF!)-1)))+1)+(8-INDEX('CONTROL MASTER'!$U$2:$U$495,(SUMPRODUCT((('CONTROL MASTER'!$S$2:$S$495=13)*('CONTROL MASTER'!$T$2:$T$495&lt;=7)*('CONTROL MASTER'!$V$2:$V$495&gt;=7)*('CONTROL MASTER'!$U$2:$U$495&lt;=8)*('CONTROL MASTER'!$W$2:$W$495&gt;=8))*ROW('CONTROL MASTER'!$S$2:$S$495))-(ROW('CONTROL MASTER'!#REF!)-1))))+1))-1)*50+1,50))&amp;"_"&amp;INDEX('CONTROL MASTER'!$P$2:$P$495,(SUMPRODUCT((('CONTROL MASTER'!$S$2:$S$495=13)*('CONTROL MASTER'!$T$2:$T$495&lt;=7)*('CONTROL MASTER'!$V$2:$V$495&gt;=7)*('CONTROL MASTER'!$U$2:$U$495&lt;=8)*('CONTROL MASTER'!$W$2:$W$495&gt;=8))*ROW('CONTROL MASTER'!$S$2:$S$495))-(ROW('CONTROL MASTER'!#REF!)-1))),IF(SUMPRODUCT((('CONTROL MASTER'!$S$2:$S$495=13)*('CONTROL MASTER'!$Z$2:$Z$495&lt;=7)*('CONTROL MASTER'!$AB$2:$AB$495&gt;=7)*('CONTROL MASTER'!$AA$2:$AA$495&lt;=8)*('CONTROL MASTER'!$AC$2:$AC$495&gt;=8))*ROW('CONTROL MASTER'!$S$2:$S$495))&gt;0,INDEX('CONTROL MASTER'!$X$2:$X$495,(SUMPRODUCT((('CONTROL MASTER'!$S$2:$S$495=13)*('CONTROL MASTER'!$Z$2:$Z$495&lt;=7)*('CONTROL MASTER'!$AB$2:$AB$495&gt;=7)*('CONTROL MASTER'!$AA$2:$AA$495&lt;=8)*('CONTROL MASTER'!$AC$2:$AC$495&gt;=8))*ROW('CONTROL MASTER'!$S$2:$S$495))-(ROW('CONTROL MASTER'!#REF!)-1)))&amp;TRIM(MID(SUBSTITUTE(SUBSTITUTE(INDEX('CONTROL MASTER'!$N$2:$N$495,(SUMPRODUCT((('CONTROL MASTER'!$S$2:$S$495=13)*('CONTROL MASTER'!$Z$2:$Z$495&lt;=7)*('CONTROL MASTER'!$AB$2:$AB$495&gt;=7)*('CONTROL MASTER'!$AA$2:$AA$495&lt;=8)*('CONTROL MASTER'!$AC$2:$AC$495&gt;=8))*ROW('CONTROL MASTER'!$S$2:$S$495))-(ROW('CONTROL MASTER'!#REF!)-1))),":",","),",",REPT(" ",50)),(((INDEX('CONTROL MASTER'!$Y$2:$Y$495,(SUMPRODUCT((('CONTROL MASTER'!$S$2:$S$495=13)*('CONTROL MASTER'!$Z$2:$Z$495&lt;=7)*('CONTROL MASTER'!$AB$2:$AB$495&gt;=7)*('CONTROL MASTER'!$AA$2:$AA$495&lt;=8)*('CONTROL MASTER'!$AC$2:$AC$495&gt;=8))*ROW('CONTROL MASTER'!$S$2:$S$495))-(ROW('CONTROL MASTER'!#REF!)-1)))+((7-INDEX('CONTROL MASTER'!$Z$2:$Z$495,(SUMPRODUCT((('CONTROL MASTER'!$S$2:$S$495=13)*('CONTROL MASTER'!$Z$2:$Z$495&lt;=7)*('CONTROL MASTER'!$AB$2:$AB$495&gt;=7)*('CONTROL MASTER'!$AA$2:$AA$495&lt;=8)*('CONTROL MASTER'!$AC$2:$AC$495&gt;=8))*ROW('CONTROL MASTER'!$S$2:$S$495))-(ROW('CONTROL MASTER'!#REF!)-1))))*(INDEX('CONTROL MASTER'!$AC$2:$AC$495,(SUMPRODUCT((('CONTROL MASTER'!$S$2:$S$495=13)*('CONTROL MASTER'!$Z$2:$Z$495&lt;=7)*('CONTROL MASTER'!$AB$2:$AB$495&gt;=7)*('CONTROL MASTER'!$AA$2:$AA$495&lt;=8)*('CONTROL MASTER'!$AC$2:$AC$495&gt;=8))*ROW('CONTROL MASTER'!$S$2:$S$495))-(ROW('CONTROL MASTER'!#REF!)-1)))-INDEX('CONTROL MASTER'!$AA$2:$AA$495,(SUMPRODUCT((('CONTROL MASTER'!$S$2:$S$495=13)*('CONTROL MASTER'!$Z$2:$Z$495&lt;=7)*('CONTROL MASTER'!$AB$2:$AB$495&gt;=7)*('CONTROL MASTER'!$AA$2:$AA$495&lt;=8)*('CONTROL MASTER'!$AC$2:$AC$495&gt;=8))*ROW('CONTROL MASTER'!$S$2:$S$495))-(ROW('CONTROL MASTER'!#REF!)-1)))+1)+(8-INDEX('CONTROL MASTER'!$AA$2:$AA$495,(SUMPRODUCT((('CONTROL MASTER'!$S$2:$S$495=13)*('CONTROL MASTER'!$Z$2:$Z$495&lt;=7)*('CONTROL MASTER'!$AB$2:$AB$495&gt;=7)*('CONTROL MASTER'!$AA$2:$AA$495&lt;=8)*('CONTROL MASTER'!$AC$2:$AC$495&gt;=8))*ROW('CONTROL MASTER'!$S$2:$S$495))-(ROW('CONTROL MASTER'!#REF!)-1))))+1)))-1)*50+1,50))&amp;"_"&amp;INDEX('CONTROL MASTER'!$P$2:$P$495,(SUMPRODUCT((('CONTROL MASTER'!$S$2:$S$495=13)*('CONTROL MASTER'!$Z$2:$Z$495&lt;=7)*('CONTROL MASTER'!$AB$2:$AB$495&gt;=7)*('CONTROL MASTER'!$AA$2:$AA$495&lt;=8)*('CONTROL MASTER'!$AC$2:$AC$495&gt;=8))*ROW('CONTROL MASTER'!$S$2:$S$495))-(ROW('CONTROL MASTER'!#REF!)-1))),"")),"")</f>
        <v/>
      </c>
      <c r="J177" s="10" t="str">
        <f>IFERROR(IF(SUMPRODUCT((('CONTROL MASTER'!$S$2:$S$495=13)*('CONTROL MASTER'!$T$2:$T$495&lt;=7)*('CONTROL MASTER'!$V$2:$V$495&gt;=7)*('CONTROL MASTER'!$U$2:$U$495&lt;=9)*('CONTROL MASTER'!$W$2:$W$495&gt;=9))*ROW('CONTROL MASTER'!$S$2:$S$495))&gt;0,INDEX('CONTROL MASTER'!$X$2:$X$495,(SUMPRODUCT((('CONTROL MASTER'!$S$2:$S$495=13)*('CONTROL MASTER'!$T$2:$T$495&lt;=7)*('CONTROL MASTER'!$V$2:$V$495&gt;=7)*('CONTROL MASTER'!$U$2:$U$495&lt;=9)*('CONTROL MASTER'!$W$2:$W$495&gt;=9))*ROW('CONTROL MASTER'!$S$2:$S$495))-(ROW('CONTROL MASTER'!#REF!)-1)))&amp;TRIM(MID(SUBSTITUTE(SUBSTITUTE(INDEX('CONTROL MASTER'!$N$2:$N$495,(SUMPRODUCT((('CONTROL MASTER'!$S$2:$S$495=13)*('CONTROL MASTER'!$T$2:$T$495&lt;=7)*('CONTROL MASTER'!$V$2:$V$495&gt;=7)*('CONTROL MASTER'!$U$2:$U$495&lt;=9)*('CONTROL MASTER'!$W$2:$W$495&gt;=9))*ROW('CONTROL MASTER'!$S$2:$S$495))-(ROW('CONTROL MASTER'!#REF!)-1))),":",","),",",REPT(" ",50)),((((7-INDEX('CONTROL MASTER'!$T$2:$T$495,(SUMPRODUCT((('CONTROL MASTER'!$S$2:$S$495=13)*('CONTROL MASTER'!$T$2:$T$495&lt;=7)*('CONTROL MASTER'!$V$2:$V$495&gt;=7)*('CONTROL MASTER'!$U$2:$U$495&lt;=9)*('CONTROL MASTER'!$W$2:$W$495&gt;=9))*ROW('CONTROL MASTER'!$S$2:$S$495))-(ROW('CONTROL MASTER'!#REF!)-1))))*(INDEX('CONTROL MASTER'!$W$2:$W$495,(SUMPRODUCT((('CONTROL MASTER'!$S$2:$S$495=13)*('CONTROL MASTER'!$T$2:$T$495&lt;=7)*('CONTROL MASTER'!$V$2:$V$495&gt;=7)*('CONTROL MASTER'!$U$2:$U$495&lt;=9)*('CONTROL MASTER'!$W$2:$W$495&gt;=9))*ROW('CONTROL MASTER'!$S$2:$S$495))-(ROW('CONTROL MASTER'!#REF!)-1)))-INDEX('CONTROL MASTER'!$U$2:$U$495,(SUMPRODUCT((('CONTROL MASTER'!$S$2:$S$495=13)*('CONTROL MASTER'!$T$2:$T$495&lt;=7)*('CONTROL MASTER'!$V$2:$V$495&gt;=7)*('CONTROL MASTER'!$U$2:$U$495&lt;=9)*('CONTROL MASTER'!$W$2:$W$495&gt;=9))*ROW('CONTROL MASTER'!$S$2:$S$495))-(ROW('CONTROL MASTER'!#REF!)-1)))+1)+(9-INDEX('CONTROL MASTER'!$U$2:$U$495,(SUMPRODUCT((('CONTROL MASTER'!$S$2:$S$495=13)*('CONTROL MASTER'!$T$2:$T$495&lt;=7)*('CONTROL MASTER'!$V$2:$V$495&gt;=7)*('CONTROL MASTER'!$U$2:$U$495&lt;=9)*('CONTROL MASTER'!$W$2:$W$495&gt;=9))*ROW('CONTROL MASTER'!$S$2:$S$495))-(ROW('CONTROL MASTER'!#REF!)-1))))+1))-1)*50+1,50))&amp;"_"&amp;INDEX('CONTROL MASTER'!$P$2:$P$495,(SUMPRODUCT((('CONTROL MASTER'!$S$2:$S$495=13)*('CONTROL MASTER'!$T$2:$T$495&lt;=7)*('CONTROL MASTER'!$V$2:$V$495&gt;=7)*('CONTROL MASTER'!$U$2:$U$495&lt;=9)*('CONTROL MASTER'!$W$2:$W$495&gt;=9))*ROW('CONTROL MASTER'!$S$2:$S$495))-(ROW('CONTROL MASTER'!#REF!)-1))),IF(SUMPRODUCT((('CONTROL MASTER'!$S$2:$S$495=13)*('CONTROL MASTER'!$Z$2:$Z$495&lt;=7)*('CONTROL MASTER'!$AB$2:$AB$495&gt;=7)*('CONTROL MASTER'!$AA$2:$AA$495&lt;=9)*('CONTROL MASTER'!$AC$2:$AC$495&gt;=9))*ROW('CONTROL MASTER'!$S$2:$S$495))&gt;0,INDEX('CONTROL MASTER'!$X$2:$X$495,(SUMPRODUCT((('CONTROL MASTER'!$S$2:$S$495=13)*('CONTROL MASTER'!$Z$2:$Z$495&lt;=7)*('CONTROL MASTER'!$AB$2:$AB$495&gt;=7)*('CONTROL MASTER'!$AA$2:$AA$495&lt;=9)*('CONTROL MASTER'!$AC$2:$AC$495&gt;=9))*ROW('CONTROL MASTER'!$S$2:$S$495))-(ROW('CONTROL MASTER'!#REF!)-1)))&amp;TRIM(MID(SUBSTITUTE(SUBSTITUTE(INDEX('CONTROL MASTER'!$N$2:$N$495,(SUMPRODUCT((('CONTROL MASTER'!$S$2:$S$495=13)*('CONTROL MASTER'!$Z$2:$Z$495&lt;=7)*('CONTROL MASTER'!$AB$2:$AB$495&gt;=7)*('CONTROL MASTER'!$AA$2:$AA$495&lt;=9)*('CONTROL MASTER'!$AC$2:$AC$495&gt;=9))*ROW('CONTROL MASTER'!$S$2:$S$495))-(ROW('CONTROL MASTER'!#REF!)-1))),":",","),",",REPT(" ",50)),(((INDEX('CONTROL MASTER'!$Y$2:$Y$495,(SUMPRODUCT((('CONTROL MASTER'!$S$2:$S$495=13)*('CONTROL MASTER'!$Z$2:$Z$495&lt;=7)*('CONTROL MASTER'!$AB$2:$AB$495&gt;=7)*('CONTROL MASTER'!$AA$2:$AA$495&lt;=9)*('CONTROL MASTER'!$AC$2:$AC$495&gt;=9))*ROW('CONTROL MASTER'!$S$2:$S$495))-(ROW('CONTROL MASTER'!#REF!)-1)))+((7-INDEX('CONTROL MASTER'!$Z$2:$Z$495,(SUMPRODUCT((('CONTROL MASTER'!$S$2:$S$495=13)*('CONTROL MASTER'!$Z$2:$Z$495&lt;=7)*('CONTROL MASTER'!$AB$2:$AB$495&gt;=7)*('CONTROL MASTER'!$AA$2:$AA$495&lt;=9)*('CONTROL MASTER'!$AC$2:$AC$495&gt;=9))*ROW('CONTROL MASTER'!$S$2:$S$495))-(ROW('CONTROL MASTER'!#REF!)-1))))*(INDEX('CONTROL MASTER'!$AC$2:$AC$495,(SUMPRODUCT((('CONTROL MASTER'!$S$2:$S$495=13)*('CONTROL MASTER'!$Z$2:$Z$495&lt;=7)*('CONTROL MASTER'!$AB$2:$AB$495&gt;=7)*('CONTROL MASTER'!$AA$2:$AA$495&lt;=9)*('CONTROL MASTER'!$AC$2:$AC$495&gt;=9))*ROW('CONTROL MASTER'!$S$2:$S$495))-(ROW('CONTROL MASTER'!#REF!)-1)))-INDEX('CONTROL MASTER'!$AA$2:$AA$495,(SUMPRODUCT((('CONTROL MASTER'!$S$2:$S$495=13)*('CONTROL MASTER'!$Z$2:$Z$495&lt;=7)*('CONTROL MASTER'!$AB$2:$AB$495&gt;=7)*('CONTROL MASTER'!$AA$2:$AA$495&lt;=9)*('CONTROL MASTER'!$AC$2:$AC$495&gt;=9))*ROW('CONTROL MASTER'!$S$2:$S$495))-(ROW('CONTROL MASTER'!#REF!)-1)))+1)+(9-INDEX('CONTROL MASTER'!$AA$2:$AA$495,(SUMPRODUCT((('CONTROL MASTER'!$S$2:$S$495=13)*('CONTROL MASTER'!$Z$2:$Z$495&lt;=7)*('CONTROL MASTER'!$AB$2:$AB$495&gt;=7)*('CONTROL MASTER'!$AA$2:$AA$495&lt;=9)*('CONTROL MASTER'!$AC$2:$AC$495&gt;=9))*ROW('CONTROL MASTER'!$S$2:$S$495))-(ROW('CONTROL MASTER'!#REF!)-1))))+1)))-1)*50+1,50))&amp;"_"&amp;INDEX('CONTROL MASTER'!$P$2:$P$495,(SUMPRODUCT((('CONTROL MASTER'!$S$2:$S$495=13)*('CONTROL MASTER'!$Z$2:$Z$495&lt;=7)*('CONTROL MASTER'!$AB$2:$AB$495&gt;=7)*('CONTROL MASTER'!$AA$2:$AA$495&lt;=9)*('CONTROL MASTER'!$AC$2:$AC$495&gt;=9))*ROW('CONTROL MASTER'!$S$2:$S$495))-(ROW('CONTROL MASTER'!#REF!)-1))),"")),"")</f>
        <v/>
      </c>
      <c r="K177" s="10" t="str">
        <f>IFERROR(IF(SUMPRODUCT((('CONTROL MASTER'!$S$2:$S$495=13)*('CONTROL MASTER'!$T$2:$T$495&lt;=7)*('CONTROL MASTER'!$V$2:$V$495&gt;=7)*('CONTROL MASTER'!$U$2:$U$495&lt;=10)*('CONTROL MASTER'!$W$2:$W$495&gt;=10))*ROW('CONTROL MASTER'!$S$2:$S$495))&gt;0,INDEX('CONTROL MASTER'!$X$2:$X$495,(SUMPRODUCT((('CONTROL MASTER'!$S$2:$S$495=13)*('CONTROL MASTER'!$T$2:$T$495&lt;=7)*('CONTROL MASTER'!$V$2:$V$495&gt;=7)*('CONTROL MASTER'!$U$2:$U$495&lt;=10)*('CONTROL MASTER'!$W$2:$W$495&gt;=10))*ROW('CONTROL MASTER'!$S$2:$S$495))-(ROW('CONTROL MASTER'!#REF!)-1)))&amp;TRIM(MID(SUBSTITUTE(SUBSTITUTE(INDEX('CONTROL MASTER'!$N$2:$N$495,(SUMPRODUCT((('CONTROL MASTER'!$S$2:$S$495=13)*('CONTROL MASTER'!$T$2:$T$495&lt;=7)*('CONTROL MASTER'!$V$2:$V$495&gt;=7)*('CONTROL MASTER'!$U$2:$U$495&lt;=10)*('CONTROL MASTER'!$W$2:$W$495&gt;=10))*ROW('CONTROL MASTER'!$S$2:$S$495))-(ROW('CONTROL MASTER'!#REF!)-1))),":",","),",",REPT(" ",50)),((((7-INDEX('CONTROL MASTER'!$T$2:$T$495,(SUMPRODUCT((('CONTROL MASTER'!$S$2:$S$495=13)*('CONTROL MASTER'!$T$2:$T$495&lt;=7)*('CONTROL MASTER'!$V$2:$V$495&gt;=7)*('CONTROL MASTER'!$U$2:$U$495&lt;=10)*('CONTROL MASTER'!$W$2:$W$495&gt;=10))*ROW('CONTROL MASTER'!$S$2:$S$495))-(ROW('CONTROL MASTER'!#REF!)-1))))*(INDEX('CONTROL MASTER'!$W$2:$W$495,(SUMPRODUCT((('CONTROL MASTER'!$S$2:$S$495=13)*('CONTROL MASTER'!$T$2:$T$495&lt;=7)*('CONTROL MASTER'!$V$2:$V$495&gt;=7)*('CONTROL MASTER'!$U$2:$U$495&lt;=10)*('CONTROL MASTER'!$W$2:$W$495&gt;=10))*ROW('CONTROL MASTER'!$S$2:$S$495))-(ROW('CONTROL MASTER'!#REF!)-1)))-INDEX('CONTROL MASTER'!$U$2:$U$495,(SUMPRODUCT((('CONTROL MASTER'!$S$2:$S$495=13)*('CONTROL MASTER'!$T$2:$T$495&lt;=7)*('CONTROL MASTER'!$V$2:$V$495&gt;=7)*('CONTROL MASTER'!$U$2:$U$495&lt;=10)*('CONTROL MASTER'!$W$2:$W$495&gt;=10))*ROW('CONTROL MASTER'!$S$2:$S$495))-(ROW('CONTROL MASTER'!#REF!)-1)))+1)+(10-INDEX('CONTROL MASTER'!$U$2:$U$495,(SUMPRODUCT((('CONTROL MASTER'!$S$2:$S$495=13)*('CONTROL MASTER'!$T$2:$T$495&lt;=7)*('CONTROL MASTER'!$V$2:$V$495&gt;=7)*('CONTROL MASTER'!$U$2:$U$495&lt;=10)*('CONTROL MASTER'!$W$2:$W$495&gt;=10))*ROW('CONTROL MASTER'!$S$2:$S$495))-(ROW('CONTROL MASTER'!#REF!)-1))))+1))-1)*50+1,50))&amp;"_"&amp;INDEX('CONTROL MASTER'!$P$2:$P$495,(SUMPRODUCT((('CONTROL MASTER'!$S$2:$S$495=13)*('CONTROL MASTER'!$T$2:$T$495&lt;=7)*('CONTROL MASTER'!$V$2:$V$495&gt;=7)*('CONTROL MASTER'!$U$2:$U$495&lt;=10)*('CONTROL MASTER'!$W$2:$W$495&gt;=10))*ROW('CONTROL MASTER'!$S$2:$S$495))-(ROW('CONTROL MASTER'!#REF!)-1))),IF(SUMPRODUCT((('CONTROL MASTER'!$S$2:$S$495=13)*('CONTROL MASTER'!$Z$2:$Z$495&lt;=7)*('CONTROL MASTER'!$AB$2:$AB$495&gt;=7)*('CONTROL MASTER'!$AA$2:$AA$495&lt;=10)*('CONTROL MASTER'!$AC$2:$AC$495&gt;=10))*ROW('CONTROL MASTER'!$S$2:$S$495))&gt;0,INDEX('CONTROL MASTER'!$X$2:$X$495,(SUMPRODUCT((('CONTROL MASTER'!$S$2:$S$495=13)*('CONTROL MASTER'!$Z$2:$Z$495&lt;=7)*('CONTROL MASTER'!$AB$2:$AB$495&gt;=7)*('CONTROL MASTER'!$AA$2:$AA$495&lt;=10)*('CONTROL MASTER'!$AC$2:$AC$495&gt;=10))*ROW('CONTROL MASTER'!$S$2:$S$495))-(ROW('CONTROL MASTER'!#REF!)-1)))&amp;TRIM(MID(SUBSTITUTE(SUBSTITUTE(INDEX('CONTROL MASTER'!$N$2:$N$495,(SUMPRODUCT((('CONTROL MASTER'!$S$2:$S$495=13)*('CONTROL MASTER'!$Z$2:$Z$495&lt;=7)*('CONTROL MASTER'!$AB$2:$AB$495&gt;=7)*('CONTROL MASTER'!$AA$2:$AA$495&lt;=10)*('CONTROL MASTER'!$AC$2:$AC$495&gt;=10))*ROW('CONTROL MASTER'!$S$2:$S$495))-(ROW('CONTROL MASTER'!#REF!)-1))),":",","),",",REPT(" ",50)),(((INDEX('CONTROL MASTER'!$Y$2:$Y$495,(SUMPRODUCT((('CONTROL MASTER'!$S$2:$S$495=13)*('CONTROL MASTER'!$Z$2:$Z$495&lt;=7)*('CONTROL MASTER'!$AB$2:$AB$495&gt;=7)*('CONTROL MASTER'!$AA$2:$AA$495&lt;=10)*('CONTROL MASTER'!$AC$2:$AC$495&gt;=10))*ROW('CONTROL MASTER'!$S$2:$S$495))-(ROW('CONTROL MASTER'!#REF!)-1)))+((7-INDEX('CONTROL MASTER'!$Z$2:$Z$495,(SUMPRODUCT((('CONTROL MASTER'!$S$2:$S$495=13)*('CONTROL MASTER'!$Z$2:$Z$495&lt;=7)*('CONTROL MASTER'!$AB$2:$AB$495&gt;=7)*('CONTROL MASTER'!$AA$2:$AA$495&lt;=10)*('CONTROL MASTER'!$AC$2:$AC$495&gt;=10))*ROW('CONTROL MASTER'!$S$2:$S$495))-(ROW('CONTROL MASTER'!#REF!)-1))))*(INDEX('CONTROL MASTER'!$AC$2:$AC$495,(SUMPRODUCT((('CONTROL MASTER'!$S$2:$S$495=13)*('CONTROL MASTER'!$Z$2:$Z$495&lt;=7)*('CONTROL MASTER'!$AB$2:$AB$495&gt;=7)*('CONTROL MASTER'!$AA$2:$AA$495&lt;=10)*('CONTROL MASTER'!$AC$2:$AC$495&gt;=10))*ROW('CONTROL MASTER'!$S$2:$S$495))-(ROW('CONTROL MASTER'!#REF!)-1)))-INDEX('CONTROL MASTER'!$AA$2:$AA$495,(SUMPRODUCT((('CONTROL MASTER'!$S$2:$S$495=13)*('CONTROL MASTER'!$Z$2:$Z$495&lt;=7)*('CONTROL MASTER'!$AB$2:$AB$495&gt;=7)*('CONTROL MASTER'!$AA$2:$AA$495&lt;=10)*('CONTROL MASTER'!$AC$2:$AC$495&gt;=10))*ROW('CONTROL MASTER'!$S$2:$S$495))-(ROW('CONTROL MASTER'!#REF!)-1)))+1)+(10-INDEX('CONTROL MASTER'!$AA$2:$AA$495,(SUMPRODUCT((('CONTROL MASTER'!$S$2:$S$495=13)*('CONTROL MASTER'!$Z$2:$Z$495&lt;=7)*('CONTROL MASTER'!$AB$2:$AB$495&gt;=7)*('CONTROL MASTER'!$AA$2:$AA$495&lt;=10)*('CONTROL MASTER'!$AC$2:$AC$495&gt;=10))*ROW('CONTROL MASTER'!$S$2:$S$495))-(ROW('CONTROL MASTER'!#REF!)-1))))+1)))-1)*50+1,50))&amp;"_"&amp;INDEX('CONTROL MASTER'!$P$2:$P$495,(SUMPRODUCT((('CONTROL MASTER'!$S$2:$S$495=13)*('CONTROL MASTER'!$Z$2:$Z$495&lt;=7)*('CONTROL MASTER'!$AB$2:$AB$495&gt;=7)*('CONTROL MASTER'!$AA$2:$AA$495&lt;=10)*('CONTROL MASTER'!$AC$2:$AC$495&gt;=10))*ROW('CONTROL MASTER'!$S$2:$S$495))-(ROW('CONTROL MASTER'!#REF!)-1))),"")),"")</f>
        <v/>
      </c>
    </row>
    <row r="178" spans="1:11" ht="15" customHeight="1" x14ac:dyDescent="0.35">
      <c r="A178" s="8" t="s">
        <v>35</v>
      </c>
      <c r="B178" s="10" t="str">
        <f>IFERROR(IF(SUMPRODUCT((('CONTROL MASTER'!$S$2:$S$495=13)*('CONTROL MASTER'!$T$2:$T$495&lt;=8)*('CONTROL MASTER'!$V$2:$V$495&gt;=8)*('CONTROL MASTER'!$U$2:$U$495&lt;=1)*('CONTROL MASTER'!$W$2:$W$495&gt;=1))*ROW('CONTROL MASTER'!$S$2:$S$495))&gt;0,INDEX('CONTROL MASTER'!$X$2:$X$495,(SUMPRODUCT((('CONTROL MASTER'!$S$2:$S$495=13)*('CONTROL MASTER'!$T$2:$T$495&lt;=8)*('CONTROL MASTER'!$V$2:$V$495&gt;=8)*('CONTROL MASTER'!$U$2:$U$495&lt;=1)*('CONTROL MASTER'!$W$2:$W$495&gt;=1))*ROW('CONTROL MASTER'!$S$2:$S$495))-(ROW('CONTROL MASTER'!#REF!)-1)))&amp;TRIM(MID(SUBSTITUTE(SUBSTITUTE(INDEX('CONTROL MASTER'!$N$2:$N$495,(SUMPRODUCT((('CONTROL MASTER'!$S$2:$S$495=13)*('CONTROL MASTER'!$T$2:$T$495&lt;=8)*('CONTROL MASTER'!$V$2:$V$495&gt;=8)*('CONTROL MASTER'!$U$2:$U$495&lt;=1)*('CONTROL MASTER'!$W$2:$W$495&gt;=1))*ROW('CONTROL MASTER'!$S$2:$S$495))-(ROW('CONTROL MASTER'!#REF!)-1))),":",","),",",REPT(" ",50)),((((8-INDEX('CONTROL MASTER'!$T$2:$T$495,(SUMPRODUCT((('CONTROL MASTER'!$S$2:$S$495=13)*('CONTROL MASTER'!$T$2:$T$495&lt;=8)*('CONTROL MASTER'!$V$2:$V$495&gt;=8)*('CONTROL MASTER'!$U$2:$U$495&lt;=1)*('CONTROL MASTER'!$W$2:$W$495&gt;=1))*ROW('CONTROL MASTER'!$S$2:$S$495))-(ROW('CONTROL MASTER'!#REF!)-1))))*(INDEX('CONTROL MASTER'!$W$2:$W$495,(SUMPRODUCT((('CONTROL MASTER'!$S$2:$S$495=13)*('CONTROL MASTER'!$T$2:$T$495&lt;=8)*('CONTROL MASTER'!$V$2:$V$495&gt;=8)*('CONTROL MASTER'!$U$2:$U$495&lt;=1)*('CONTROL MASTER'!$W$2:$W$495&gt;=1))*ROW('CONTROL MASTER'!$S$2:$S$495))-(ROW('CONTROL MASTER'!#REF!)-1)))-INDEX('CONTROL MASTER'!$U$2:$U$495,(SUMPRODUCT((('CONTROL MASTER'!$S$2:$S$495=13)*('CONTROL MASTER'!$T$2:$T$495&lt;=8)*('CONTROL MASTER'!$V$2:$V$495&gt;=8)*('CONTROL MASTER'!$U$2:$U$495&lt;=1)*('CONTROL MASTER'!$W$2:$W$495&gt;=1))*ROW('CONTROL MASTER'!$S$2:$S$495))-(ROW('CONTROL MASTER'!#REF!)-1)))+1)+(1-INDEX('CONTROL MASTER'!$U$2:$U$495,(SUMPRODUCT((('CONTROL MASTER'!$S$2:$S$495=13)*('CONTROL MASTER'!$T$2:$T$495&lt;=8)*('CONTROL MASTER'!$V$2:$V$495&gt;=8)*('CONTROL MASTER'!$U$2:$U$495&lt;=1)*('CONTROL MASTER'!$W$2:$W$495&gt;=1))*ROW('CONTROL MASTER'!$S$2:$S$495))-(ROW('CONTROL MASTER'!#REF!)-1))))+1))-1)*50+1,50))&amp;"_"&amp;INDEX('CONTROL MASTER'!$P$2:$P$495,(SUMPRODUCT((('CONTROL MASTER'!$S$2:$S$495=13)*('CONTROL MASTER'!$T$2:$T$495&lt;=8)*('CONTROL MASTER'!$V$2:$V$495&gt;=8)*('CONTROL MASTER'!$U$2:$U$495&lt;=1)*('CONTROL MASTER'!$W$2:$W$495&gt;=1))*ROW('CONTROL MASTER'!$S$2:$S$495))-(ROW('CONTROL MASTER'!#REF!)-1))),IF(SUMPRODUCT((('CONTROL MASTER'!$S$2:$S$495=13)*('CONTROL MASTER'!$Z$2:$Z$495&lt;=8)*('CONTROL MASTER'!$AB$2:$AB$495&gt;=8)*('CONTROL MASTER'!$AA$2:$AA$495&lt;=1)*('CONTROL MASTER'!$AC$2:$AC$495&gt;=1))*ROW('CONTROL MASTER'!$S$2:$S$495))&gt;0,INDEX('CONTROL MASTER'!$X$2:$X$495,(SUMPRODUCT((('CONTROL MASTER'!$S$2:$S$495=13)*('CONTROL MASTER'!$Z$2:$Z$495&lt;=8)*('CONTROL MASTER'!$AB$2:$AB$495&gt;=8)*('CONTROL MASTER'!$AA$2:$AA$495&lt;=1)*('CONTROL MASTER'!$AC$2:$AC$495&gt;=1))*ROW('CONTROL MASTER'!$S$2:$S$495))-(ROW('CONTROL MASTER'!#REF!)-1)))&amp;TRIM(MID(SUBSTITUTE(SUBSTITUTE(INDEX('CONTROL MASTER'!$N$2:$N$495,(SUMPRODUCT((('CONTROL MASTER'!$S$2:$S$495=13)*('CONTROL MASTER'!$Z$2:$Z$495&lt;=8)*('CONTROL MASTER'!$AB$2:$AB$495&gt;=8)*('CONTROL MASTER'!$AA$2:$AA$495&lt;=1)*('CONTROL MASTER'!$AC$2:$AC$495&gt;=1))*ROW('CONTROL MASTER'!$S$2:$S$495))-(ROW('CONTROL MASTER'!#REF!)-1))),":",","),",",REPT(" ",50)),(((INDEX('CONTROL MASTER'!$Y$2:$Y$495,(SUMPRODUCT((('CONTROL MASTER'!$S$2:$S$495=13)*('CONTROL MASTER'!$Z$2:$Z$495&lt;=8)*('CONTROL MASTER'!$AB$2:$AB$495&gt;=8)*('CONTROL MASTER'!$AA$2:$AA$495&lt;=1)*('CONTROL MASTER'!$AC$2:$AC$495&gt;=1))*ROW('CONTROL MASTER'!$S$2:$S$495))-(ROW('CONTROL MASTER'!#REF!)-1)))+((8-INDEX('CONTROL MASTER'!$Z$2:$Z$495,(SUMPRODUCT((('CONTROL MASTER'!$S$2:$S$495=13)*('CONTROL MASTER'!$Z$2:$Z$495&lt;=8)*('CONTROL MASTER'!$AB$2:$AB$495&gt;=8)*('CONTROL MASTER'!$AA$2:$AA$495&lt;=1)*('CONTROL MASTER'!$AC$2:$AC$495&gt;=1))*ROW('CONTROL MASTER'!$S$2:$S$495))-(ROW('CONTROL MASTER'!#REF!)-1))))*(INDEX('CONTROL MASTER'!$AC$2:$AC$495,(SUMPRODUCT((('CONTROL MASTER'!$S$2:$S$495=13)*('CONTROL MASTER'!$Z$2:$Z$495&lt;=8)*('CONTROL MASTER'!$AB$2:$AB$495&gt;=8)*('CONTROL MASTER'!$AA$2:$AA$495&lt;=1)*('CONTROL MASTER'!$AC$2:$AC$495&gt;=1))*ROW('CONTROL MASTER'!$S$2:$S$495))-(ROW('CONTROL MASTER'!#REF!)-1)))-INDEX('CONTROL MASTER'!$AA$2:$AA$495,(SUMPRODUCT((('CONTROL MASTER'!$S$2:$S$495=13)*('CONTROL MASTER'!$Z$2:$Z$495&lt;=8)*('CONTROL MASTER'!$AB$2:$AB$495&gt;=8)*('CONTROL MASTER'!$AA$2:$AA$495&lt;=1)*('CONTROL MASTER'!$AC$2:$AC$495&gt;=1))*ROW('CONTROL MASTER'!$S$2:$S$495))-(ROW('CONTROL MASTER'!#REF!)-1)))+1)+(1-INDEX('CONTROL MASTER'!$AA$2:$AA$495,(SUMPRODUCT((('CONTROL MASTER'!$S$2:$S$495=13)*('CONTROL MASTER'!$Z$2:$Z$495&lt;=8)*('CONTROL MASTER'!$AB$2:$AB$495&gt;=8)*('CONTROL MASTER'!$AA$2:$AA$495&lt;=1)*('CONTROL MASTER'!$AC$2:$AC$495&gt;=1))*ROW('CONTROL MASTER'!$S$2:$S$495))-(ROW('CONTROL MASTER'!#REF!)-1))))+1)))-1)*50+1,50))&amp;"_"&amp;INDEX('CONTROL MASTER'!$P$2:$P$495,(SUMPRODUCT((('CONTROL MASTER'!$S$2:$S$495=13)*('CONTROL MASTER'!$Z$2:$Z$495&lt;=8)*('CONTROL MASTER'!$AB$2:$AB$495&gt;=8)*('CONTROL MASTER'!$AA$2:$AA$495&lt;=1)*('CONTROL MASTER'!$AC$2:$AC$495&gt;=1))*ROW('CONTROL MASTER'!$S$2:$S$495))-(ROW('CONTROL MASTER'!#REF!)-1))),"")),"")</f>
        <v/>
      </c>
      <c r="C178" s="10" t="str">
        <f>IFERROR(IF(SUMPRODUCT((('CONTROL MASTER'!$S$2:$S$495=13)*('CONTROL MASTER'!$T$2:$T$495&lt;=8)*('CONTROL MASTER'!$V$2:$V$495&gt;=8)*('CONTROL MASTER'!$U$2:$U$495&lt;=2)*('CONTROL MASTER'!$W$2:$W$495&gt;=2))*ROW('CONTROL MASTER'!$S$2:$S$495))&gt;0,INDEX('CONTROL MASTER'!$X$2:$X$495,(SUMPRODUCT((('CONTROL MASTER'!$S$2:$S$495=13)*('CONTROL MASTER'!$T$2:$T$495&lt;=8)*('CONTROL MASTER'!$V$2:$V$495&gt;=8)*('CONTROL MASTER'!$U$2:$U$495&lt;=2)*('CONTROL MASTER'!$W$2:$W$495&gt;=2))*ROW('CONTROL MASTER'!$S$2:$S$495))-(ROW('CONTROL MASTER'!#REF!)-1)))&amp;TRIM(MID(SUBSTITUTE(SUBSTITUTE(INDEX('CONTROL MASTER'!$N$2:$N$495,(SUMPRODUCT((('CONTROL MASTER'!$S$2:$S$495=13)*('CONTROL MASTER'!$T$2:$T$495&lt;=8)*('CONTROL MASTER'!$V$2:$V$495&gt;=8)*('CONTROL MASTER'!$U$2:$U$495&lt;=2)*('CONTROL MASTER'!$W$2:$W$495&gt;=2))*ROW('CONTROL MASTER'!$S$2:$S$495))-(ROW('CONTROL MASTER'!#REF!)-1))),":",","),",",REPT(" ",50)),((((8-INDEX('CONTROL MASTER'!$T$2:$T$495,(SUMPRODUCT((('CONTROL MASTER'!$S$2:$S$495=13)*('CONTROL MASTER'!$T$2:$T$495&lt;=8)*('CONTROL MASTER'!$V$2:$V$495&gt;=8)*('CONTROL MASTER'!$U$2:$U$495&lt;=2)*('CONTROL MASTER'!$W$2:$W$495&gt;=2))*ROW('CONTROL MASTER'!$S$2:$S$495))-(ROW('CONTROL MASTER'!#REF!)-1))))*(INDEX('CONTROL MASTER'!$W$2:$W$495,(SUMPRODUCT((('CONTROL MASTER'!$S$2:$S$495=13)*('CONTROL MASTER'!$T$2:$T$495&lt;=8)*('CONTROL MASTER'!$V$2:$V$495&gt;=8)*('CONTROL MASTER'!$U$2:$U$495&lt;=2)*('CONTROL MASTER'!$W$2:$W$495&gt;=2))*ROW('CONTROL MASTER'!$S$2:$S$495))-(ROW('CONTROL MASTER'!#REF!)-1)))-INDEX('CONTROL MASTER'!$U$2:$U$495,(SUMPRODUCT((('CONTROL MASTER'!$S$2:$S$495=13)*('CONTROL MASTER'!$T$2:$T$495&lt;=8)*('CONTROL MASTER'!$V$2:$V$495&gt;=8)*('CONTROL MASTER'!$U$2:$U$495&lt;=2)*('CONTROL MASTER'!$W$2:$W$495&gt;=2))*ROW('CONTROL MASTER'!$S$2:$S$495))-(ROW('CONTROL MASTER'!#REF!)-1)))+1)+(2-INDEX('CONTROL MASTER'!$U$2:$U$495,(SUMPRODUCT((('CONTROL MASTER'!$S$2:$S$495=13)*('CONTROL MASTER'!$T$2:$T$495&lt;=8)*('CONTROL MASTER'!$V$2:$V$495&gt;=8)*('CONTROL MASTER'!$U$2:$U$495&lt;=2)*('CONTROL MASTER'!$W$2:$W$495&gt;=2))*ROW('CONTROL MASTER'!$S$2:$S$495))-(ROW('CONTROL MASTER'!#REF!)-1))))+1))-1)*50+1,50))&amp;"_"&amp;INDEX('CONTROL MASTER'!$P$2:$P$495,(SUMPRODUCT((('CONTROL MASTER'!$S$2:$S$495=13)*('CONTROL MASTER'!$T$2:$T$495&lt;=8)*('CONTROL MASTER'!$V$2:$V$495&gt;=8)*('CONTROL MASTER'!$U$2:$U$495&lt;=2)*('CONTROL MASTER'!$W$2:$W$495&gt;=2))*ROW('CONTROL MASTER'!$S$2:$S$495))-(ROW('CONTROL MASTER'!#REF!)-1))),IF(SUMPRODUCT((('CONTROL MASTER'!$S$2:$S$495=13)*('CONTROL MASTER'!$Z$2:$Z$495&lt;=8)*('CONTROL MASTER'!$AB$2:$AB$495&gt;=8)*('CONTROL MASTER'!$AA$2:$AA$495&lt;=2)*('CONTROL MASTER'!$AC$2:$AC$495&gt;=2))*ROW('CONTROL MASTER'!$S$2:$S$495))&gt;0,INDEX('CONTROL MASTER'!$X$2:$X$495,(SUMPRODUCT((('CONTROL MASTER'!$S$2:$S$495=13)*('CONTROL MASTER'!$Z$2:$Z$495&lt;=8)*('CONTROL MASTER'!$AB$2:$AB$495&gt;=8)*('CONTROL MASTER'!$AA$2:$AA$495&lt;=2)*('CONTROL MASTER'!$AC$2:$AC$495&gt;=2))*ROW('CONTROL MASTER'!$S$2:$S$495))-(ROW('CONTROL MASTER'!#REF!)-1)))&amp;TRIM(MID(SUBSTITUTE(SUBSTITUTE(INDEX('CONTROL MASTER'!$N$2:$N$495,(SUMPRODUCT((('CONTROL MASTER'!$S$2:$S$495=13)*('CONTROL MASTER'!$Z$2:$Z$495&lt;=8)*('CONTROL MASTER'!$AB$2:$AB$495&gt;=8)*('CONTROL MASTER'!$AA$2:$AA$495&lt;=2)*('CONTROL MASTER'!$AC$2:$AC$495&gt;=2))*ROW('CONTROL MASTER'!$S$2:$S$495))-(ROW('CONTROL MASTER'!#REF!)-1))),":",","),",",REPT(" ",50)),(((INDEX('CONTROL MASTER'!$Y$2:$Y$495,(SUMPRODUCT((('CONTROL MASTER'!$S$2:$S$495=13)*('CONTROL MASTER'!$Z$2:$Z$495&lt;=8)*('CONTROL MASTER'!$AB$2:$AB$495&gt;=8)*('CONTROL MASTER'!$AA$2:$AA$495&lt;=2)*('CONTROL MASTER'!$AC$2:$AC$495&gt;=2))*ROW('CONTROL MASTER'!$S$2:$S$495))-(ROW('CONTROL MASTER'!#REF!)-1)))+((8-INDEX('CONTROL MASTER'!$Z$2:$Z$495,(SUMPRODUCT((('CONTROL MASTER'!$S$2:$S$495=13)*('CONTROL MASTER'!$Z$2:$Z$495&lt;=8)*('CONTROL MASTER'!$AB$2:$AB$495&gt;=8)*('CONTROL MASTER'!$AA$2:$AA$495&lt;=2)*('CONTROL MASTER'!$AC$2:$AC$495&gt;=2))*ROW('CONTROL MASTER'!$S$2:$S$495))-(ROW('CONTROL MASTER'!#REF!)-1))))*(INDEX('CONTROL MASTER'!$AC$2:$AC$495,(SUMPRODUCT((('CONTROL MASTER'!$S$2:$S$495=13)*('CONTROL MASTER'!$Z$2:$Z$495&lt;=8)*('CONTROL MASTER'!$AB$2:$AB$495&gt;=8)*('CONTROL MASTER'!$AA$2:$AA$495&lt;=2)*('CONTROL MASTER'!$AC$2:$AC$495&gt;=2))*ROW('CONTROL MASTER'!$S$2:$S$495))-(ROW('CONTROL MASTER'!#REF!)-1)))-INDEX('CONTROL MASTER'!$AA$2:$AA$495,(SUMPRODUCT((('CONTROL MASTER'!$S$2:$S$495=13)*('CONTROL MASTER'!$Z$2:$Z$495&lt;=8)*('CONTROL MASTER'!$AB$2:$AB$495&gt;=8)*('CONTROL MASTER'!$AA$2:$AA$495&lt;=2)*('CONTROL MASTER'!$AC$2:$AC$495&gt;=2))*ROW('CONTROL MASTER'!$S$2:$S$495))-(ROW('CONTROL MASTER'!#REF!)-1)))+1)+(2-INDEX('CONTROL MASTER'!$AA$2:$AA$495,(SUMPRODUCT((('CONTROL MASTER'!$S$2:$S$495=13)*('CONTROL MASTER'!$Z$2:$Z$495&lt;=8)*('CONTROL MASTER'!$AB$2:$AB$495&gt;=8)*('CONTROL MASTER'!$AA$2:$AA$495&lt;=2)*('CONTROL MASTER'!$AC$2:$AC$495&gt;=2))*ROW('CONTROL MASTER'!$S$2:$S$495))-(ROW('CONTROL MASTER'!#REF!)-1))))+1)))-1)*50+1,50))&amp;"_"&amp;INDEX('CONTROL MASTER'!$P$2:$P$495,(SUMPRODUCT((('CONTROL MASTER'!$S$2:$S$495=13)*('CONTROL MASTER'!$Z$2:$Z$495&lt;=8)*('CONTROL MASTER'!$AB$2:$AB$495&gt;=8)*('CONTROL MASTER'!$AA$2:$AA$495&lt;=2)*('CONTROL MASTER'!$AC$2:$AC$495&gt;=2))*ROW('CONTROL MASTER'!$S$2:$S$495))-(ROW('CONTROL MASTER'!#REF!)-1))),"")),"")</f>
        <v/>
      </c>
      <c r="D178" s="10" t="str">
        <f>IFERROR(IF(SUMPRODUCT((('CONTROL MASTER'!$S$2:$S$495=13)*('CONTROL MASTER'!$T$2:$T$495&lt;=8)*('CONTROL MASTER'!$V$2:$V$495&gt;=8)*('CONTROL MASTER'!$U$2:$U$495&lt;=3)*('CONTROL MASTER'!$W$2:$W$495&gt;=3))*ROW('CONTROL MASTER'!$S$2:$S$495))&gt;0,INDEX('CONTROL MASTER'!$X$2:$X$495,(SUMPRODUCT((('CONTROL MASTER'!$S$2:$S$495=13)*('CONTROL MASTER'!$T$2:$T$495&lt;=8)*('CONTROL MASTER'!$V$2:$V$495&gt;=8)*('CONTROL MASTER'!$U$2:$U$495&lt;=3)*('CONTROL MASTER'!$W$2:$W$495&gt;=3))*ROW('CONTROL MASTER'!$S$2:$S$495))-(ROW('CONTROL MASTER'!#REF!)-1)))&amp;TRIM(MID(SUBSTITUTE(SUBSTITUTE(INDEX('CONTROL MASTER'!$N$2:$N$495,(SUMPRODUCT((('CONTROL MASTER'!$S$2:$S$495=13)*('CONTROL MASTER'!$T$2:$T$495&lt;=8)*('CONTROL MASTER'!$V$2:$V$495&gt;=8)*('CONTROL MASTER'!$U$2:$U$495&lt;=3)*('CONTROL MASTER'!$W$2:$W$495&gt;=3))*ROW('CONTROL MASTER'!$S$2:$S$495))-(ROW('CONTROL MASTER'!#REF!)-1))),":",","),",",REPT(" ",50)),((((8-INDEX('CONTROL MASTER'!$T$2:$T$495,(SUMPRODUCT((('CONTROL MASTER'!$S$2:$S$495=13)*('CONTROL MASTER'!$T$2:$T$495&lt;=8)*('CONTROL MASTER'!$V$2:$V$495&gt;=8)*('CONTROL MASTER'!$U$2:$U$495&lt;=3)*('CONTROL MASTER'!$W$2:$W$495&gt;=3))*ROW('CONTROL MASTER'!$S$2:$S$495))-(ROW('CONTROL MASTER'!#REF!)-1))))*(INDEX('CONTROL MASTER'!$W$2:$W$495,(SUMPRODUCT((('CONTROL MASTER'!$S$2:$S$495=13)*('CONTROL MASTER'!$T$2:$T$495&lt;=8)*('CONTROL MASTER'!$V$2:$V$495&gt;=8)*('CONTROL MASTER'!$U$2:$U$495&lt;=3)*('CONTROL MASTER'!$W$2:$W$495&gt;=3))*ROW('CONTROL MASTER'!$S$2:$S$495))-(ROW('CONTROL MASTER'!#REF!)-1)))-INDEX('CONTROL MASTER'!$U$2:$U$495,(SUMPRODUCT((('CONTROL MASTER'!$S$2:$S$495=13)*('CONTROL MASTER'!$T$2:$T$495&lt;=8)*('CONTROL MASTER'!$V$2:$V$495&gt;=8)*('CONTROL MASTER'!$U$2:$U$495&lt;=3)*('CONTROL MASTER'!$W$2:$W$495&gt;=3))*ROW('CONTROL MASTER'!$S$2:$S$495))-(ROW('CONTROL MASTER'!#REF!)-1)))+1)+(3-INDEX('CONTROL MASTER'!$U$2:$U$495,(SUMPRODUCT((('CONTROL MASTER'!$S$2:$S$495=13)*('CONTROL MASTER'!$T$2:$T$495&lt;=8)*('CONTROL MASTER'!$V$2:$V$495&gt;=8)*('CONTROL MASTER'!$U$2:$U$495&lt;=3)*('CONTROL MASTER'!$W$2:$W$495&gt;=3))*ROW('CONTROL MASTER'!$S$2:$S$495))-(ROW('CONTROL MASTER'!#REF!)-1))))+1))-1)*50+1,50))&amp;"_"&amp;INDEX('CONTROL MASTER'!$P$2:$P$495,(SUMPRODUCT((('CONTROL MASTER'!$S$2:$S$495=13)*('CONTROL MASTER'!$T$2:$T$495&lt;=8)*('CONTROL MASTER'!$V$2:$V$495&gt;=8)*('CONTROL MASTER'!$U$2:$U$495&lt;=3)*('CONTROL MASTER'!$W$2:$W$495&gt;=3))*ROW('CONTROL MASTER'!$S$2:$S$495))-(ROW('CONTROL MASTER'!#REF!)-1))),IF(SUMPRODUCT((('CONTROL MASTER'!$S$2:$S$495=13)*('CONTROL MASTER'!$Z$2:$Z$495&lt;=8)*('CONTROL MASTER'!$AB$2:$AB$495&gt;=8)*('CONTROL MASTER'!$AA$2:$AA$495&lt;=3)*('CONTROL MASTER'!$AC$2:$AC$495&gt;=3))*ROW('CONTROL MASTER'!$S$2:$S$495))&gt;0,INDEX('CONTROL MASTER'!$X$2:$X$495,(SUMPRODUCT((('CONTROL MASTER'!$S$2:$S$495=13)*('CONTROL MASTER'!$Z$2:$Z$495&lt;=8)*('CONTROL MASTER'!$AB$2:$AB$495&gt;=8)*('CONTROL MASTER'!$AA$2:$AA$495&lt;=3)*('CONTROL MASTER'!$AC$2:$AC$495&gt;=3))*ROW('CONTROL MASTER'!$S$2:$S$495))-(ROW('CONTROL MASTER'!#REF!)-1)))&amp;TRIM(MID(SUBSTITUTE(SUBSTITUTE(INDEX('CONTROL MASTER'!$N$2:$N$495,(SUMPRODUCT((('CONTROL MASTER'!$S$2:$S$495=13)*('CONTROL MASTER'!$Z$2:$Z$495&lt;=8)*('CONTROL MASTER'!$AB$2:$AB$495&gt;=8)*('CONTROL MASTER'!$AA$2:$AA$495&lt;=3)*('CONTROL MASTER'!$AC$2:$AC$495&gt;=3))*ROW('CONTROL MASTER'!$S$2:$S$495))-(ROW('CONTROL MASTER'!#REF!)-1))),":",","),",",REPT(" ",50)),(((INDEX('CONTROL MASTER'!$Y$2:$Y$495,(SUMPRODUCT((('CONTROL MASTER'!$S$2:$S$495=13)*('CONTROL MASTER'!$Z$2:$Z$495&lt;=8)*('CONTROL MASTER'!$AB$2:$AB$495&gt;=8)*('CONTROL MASTER'!$AA$2:$AA$495&lt;=3)*('CONTROL MASTER'!$AC$2:$AC$495&gt;=3))*ROW('CONTROL MASTER'!$S$2:$S$495))-(ROW('CONTROL MASTER'!#REF!)-1)))+((8-INDEX('CONTROL MASTER'!$Z$2:$Z$495,(SUMPRODUCT((('CONTROL MASTER'!$S$2:$S$495=13)*('CONTROL MASTER'!$Z$2:$Z$495&lt;=8)*('CONTROL MASTER'!$AB$2:$AB$495&gt;=8)*('CONTROL MASTER'!$AA$2:$AA$495&lt;=3)*('CONTROL MASTER'!$AC$2:$AC$495&gt;=3))*ROW('CONTROL MASTER'!$S$2:$S$495))-(ROW('CONTROL MASTER'!#REF!)-1))))*(INDEX('CONTROL MASTER'!$AC$2:$AC$495,(SUMPRODUCT((('CONTROL MASTER'!$S$2:$S$495=13)*('CONTROL MASTER'!$Z$2:$Z$495&lt;=8)*('CONTROL MASTER'!$AB$2:$AB$495&gt;=8)*('CONTROL MASTER'!$AA$2:$AA$495&lt;=3)*('CONTROL MASTER'!$AC$2:$AC$495&gt;=3))*ROW('CONTROL MASTER'!$S$2:$S$495))-(ROW('CONTROL MASTER'!#REF!)-1)))-INDEX('CONTROL MASTER'!$AA$2:$AA$495,(SUMPRODUCT((('CONTROL MASTER'!$S$2:$S$495=13)*('CONTROL MASTER'!$Z$2:$Z$495&lt;=8)*('CONTROL MASTER'!$AB$2:$AB$495&gt;=8)*('CONTROL MASTER'!$AA$2:$AA$495&lt;=3)*('CONTROL MASTER'!$AC$2:$AC$495&gt;=3))*ROW('CONTROL MASTER'!$S$2:$S$495))-(ROW('CONTROL MASTER'!#REF!)-1)))+1)+(3-INDEX('CONTROL MASTER'!$AA$2:$AA$495,(SUMPRODUCT((('CONTROL MASTER'!$S$2:$S$495=13)*('CONTROL MASTER'!$Z$2:$Z$495&lt;=8)*('CONTROL MASTER'!$AB$2:$AB$495&gt;=8)*('CONTROL MASTER'!$AA$2:$AA$495&lt;=3)*('CONTROL MASTER'!$AC$2:$AC$495&gt;=3))*ROW('CONTROL MASTER'!$S$2:$S$495))-(ROW('CONTROL MASTER'!#REF!)-1))))+1)))-1)*50+1,50))&amp;"_"&amp;INDEX('CONTROL MASTER'!$P$2:$P$495,(SUMPRODUCT((('CONTROL MASTER'!$S$2:$S$495=13)*('CONTROL MASTER'!$Z$2:$Z$495&lt;=8)*('CONTROL MASTER'!$AB$2:$AB$495&gt;=8)*('CONTROL MASTER'!$AA$2:$AA$495&lt;=3)*('CONTROL MASTER'!$AC$2:$AC$495&gt;=3))*ROW('CONTROL MASTER'!$S$2:$S$495))-(ROW('CONTROL MASTER'!#REF!)-1))),"")),"")</f>
        <v/>
      </c>
      <c r="E178" s="10" t="str">
        <f>IFERROR(IF(SUMPRODUCT((('CONTROL MASTER'!$S$2:$S$495=13)*('CONTROL MASTER'!$T$2:$T$495&lt;=8)*('CONTROL MASTER'!$V$2:$V$495&gt;=8)*('CONTROL MASTER'!$U$2:$U$495&lt;=4)*('CONTROL MASTER'!$W$2:$W$495&gt;=4))*ROW('CONTROL MASTER'!$S$2:$S$495))&gt;0,INDEX('CONTROL MASTER'!$X$2:$X$495,(SUMPRODUCT((('CONTROL MASTER'!$S$2:$S$495=13)*('CONTROL MASTER'!$T$2:$T$495&lt;=8)*('CONTROL MASTER'!$V$2:$V$495&gt;=8)*('CONTROL MASTER'!$U$2:$U$495&lt;=4)*('CONTROL MASTER'!$W$2:$W$495&gt;=4))*ROW('CONTROL MASTER'!$S$2:$S$495))-(ROW('CONTROL MASTER'!#REF!)-1)))&amp;TRIM(MID(SUBSTITUTE(SUBSTITUTE(INDEX('CONTROL MASTER'!$N$2:$N$495,(SUMPRODUCT((('CONTROL MASTER'!$S$2:$S$495=13)*('CONTROL MASTER'!$T$2:$T$495&lt;=8)*('CONTROL MASTER'!$V$2:$V$495&gt;=8)*('CONTROL MASTER'!$U$2:$U$495&lt;=4)*('CONTROL MASTER'!$W$2:$W$495&gt;=4))*ROW('CONTROL MASTER'!$S$2:$S$495))-(ROW('CONTROL MASTER'!#REF!)-1))),":",","),",",REPT(" ",50)),((((8-INDEX('CONTROL MASTER'!$T$2:$T$495,(SUMPRODUCT((('CONTROL MASTER'!$S$2:$S$495=13)*('CONTROL MASTER'!$T$2:$T$495&lt;=8)*('CONTROL MASTER'!$V$2:$V$495&gt;=8)*('CONTROL MASTER'!$U$2:$U$495&lt;=4)*('CONTROL MASTER'!$W$2:$W$495&gt;=4))*ROW('CONTROL MASTER'!$S$2:$S$495))-(ROW('CONTROL MASTER'!#REF!)-1))))*(INDEX('CONTROL MASTER'!$W$2:$W$495,(SUMPRODUCT((('CONTROL MASTER'!$S$2:$S$495=13)*('CONTROL MASTER'!$T$2:$T$495&lt;=8)*('CONTROL MASTER'!$V$2:$V$495&gt;=8)*('CONTROL MASTER'!$U$2:$U$495&lt;=4)*('CONTROL MASTER'!$W$2:$W$495&gt;=4))*ROW('CONTROL MASTER'!$S$2:$S$495))-(ROW('CONTROL MASTER'!#REF!)-1)))-INDEX('CONTROL MASTER'!$U$2:$U$495,(SUMPRODUCT((('CONTROL MASTER'!$S$2:$S$495=13)*('CONTROL MASTER'!$T$2:$T$495&lt;=8)*('CONTROL MASTER'!$V$2:$V$495&gt;=8)*('CONTROL MASTER'!$U$2:$U$495&lt;=4)*('CONTROL MASTER'!$W$2:$W$495&gt;=4))*ROW('CONTROL MASTER'!$S$2:$S$495))-(ROW('CONTROL MASTER'!#REF!)-1)))+1)+(4-INDEX('CONTROL MASTER'!$U$2:$U$495,(SUMPRODUCT((('CONTROL MASTER'!$S$2:$S$495=13)*('CONTROL MASTER'!$T$2:$T$495&lt;=8)*('CONTROL MASTER'!$V$2:$V$495&gt;=8)*('CONTROL MASTER'!$U$2:$U$495&lt;=4)*('CONTROL MASTER'!$W$2:$W$495&gt;=4))*ROW('CONTROL MASTER'!$S$2:$S$495))-(ROW('CONTROL MASTER'!#REF!)-1))))+1))-1)*50+1,50))&amp;"_"&amp;INDEX('CONTROL MASTER'!$P$2:$P$495,(SUMPRODUCT((('CONTROL MASTER'!$S$2:$S$495=13)*('CONTROL MASTER'!$T$2:$T$495&lt;=8)*('CONTROL MASTER'!$V$2:$V$495&gt;=8)*('CONTROL MASTER'!$U$2:$U$495&lt;=4)*('CONTROL MASTER'!$W$2:$W$495&gt;=4))*ROW('CONTROL MASTER'!$S$2:$S$495))-(ROW('CONTROL MASTER'!#REF!)-1))),IF(SUMPRODUCT((('CONTROL MASTER'!$S$2:$S$495=13)*('CONTROL MASTER'!$Z$2:$Z$495&lt;=8)*('CONTROL MASTER'!$AB$2:$AB$495&gt;=8)*('CONTROL MASTER'!$AA$2:$AA$495&lt;=4)*('CONTROL MASTER'!$AC$2:$AC$495&gt;=4))*ROW('CONTROL MASTER'!$S$2:$S$495))&gt;0,INDEX('CONTROL MASTER'!$X$2:$X$495,(SUMPRODUCT((('CONTROL MASTER'!$S$2:$S$495=13)*('CONTROL MASTER'!$Z$2:$Z$495&lt;=8)*('CONTROL MASTER'!$AB$2:$AB$495&gt;=8)*('CONTROL MASTER'!$AA$2:$AA$495&lt;=4)*('CONTROL MASTER'!$AC$2:$AC$495&gt;=4))*ROW('CONTROL MASTER'!$S$2:$S$495))-(ROW('CONTROL MASTER'!#REF!)-1)))&amp;TRIM(MID(SUBSTITUTE(SUBSTITUTE(INDEX('CONTROL MASTER'!$N$2:$N$495,(SUMPRODUCT((('CONTROL MASTER'!$S$2:$S$495=13)*('CONTROL MASTER'!$Z$2:$Z$495&lt;=8)*('CONTROL MASTER'!$AB$2:$AB$495&gt;=8)*('CONTROL MASTER'!$AA$2:$AA$495&lt;=4)*('CONTROL MASTER'!$AC$2:$AC$495&gt;=4))*ROW('CONTROL MASTER'!$S$2:$S$495))-(ROW('CONTROL MASTER'!#REF!)-1))),":",","),",",REPT(" ",50)),(((INDEX('CONTROL MASTER'!$Y$2:$Y$495,(SUMPRODUCT((('CONTROL MASTER'!$S$2:$S$495=13)*('CONTROL MASTER'!$Z$2:$Z$495&lt;=8)*('CONTROL MASTER'!$AB$2:$AB$495&gt;=8)*('CONTROL MASTER'!$AA$2:$AA$495&lt;=4)*('CONTROL MASTER'!$AC$2:$AC$495&gt;=4))*ROW('CONTROL MASTER'!$S$2:$S$495))-(ROW('CONTROL MASTER'!#REF!)-1)))+((8-INDEX('CONTROL MASTER'!$Z$2:$Z$495,(SUMPRODUCT((('CONTROL MASTER'!$S$2:$S$495=13)*('CONTROL MASTER'!$Z$2:$Z$495&lt;=8)*('CONTROL MASTER'!$AB$2:$AB$495&gt;=8)*('CONTROL MASTER'!$AA$2:$AA$495&lt;=4)*('CONTROL MASTER'!$AC$2:$AC$495&gt;=4))*ROW('CONTROL MASTER'!$S$2:$S$495))-(ROW('CONTROL MASTER'!#REF!)-1))))*(INDEX('CONTROL MASTER'!$AC$2:$AC$495,(SUMPRODUCT((('CONTROL MASTER'!$S$2:$S$495=13)*('CONTROL MASTER'!$Z$2:$Z$495&lt;=8)*('CONTROL MASTER'!$AB$2:$AB$495&gt;=8)*('CONTROL MASTER'!$AA$2:$AA$495&lt;=4)*('CONTROL MASTER'!$AC$2:$AC$495&gt;=4))*ROW('CONTROL MASTER'!$S$2:$S$495))-(ROW('CONTROL MASTER'!#REF!)-1)))-INDEX('CONTROL MASTER'!$AA$2:$AA$495,(SUMPRODUCT((('CONTROL MASTER'!$S$2:$S$495=13)*('CONTROL MASTER'!$Z$2:$Z$495&lt;=8)*('CONTROL MASTER'!$AB$2:$AB$495&gt;=8)*('CONTROL MASTER'!$AA$2:$AA$495&lt;=4)*('CONTROL MASTER'!$AC$2:$AC$495&gt;=4))*ROW('CONTROL MASTER'!$S$2:$S$495))-(ROW('CONTROL MASTER'!#REF!)-1)))+1)+(4-INDEX('CONTROL MASTER'!$AA$2:$AA$495,(SUMPRODUCT((('CONTROL MASTER'!$S$2:$S$495=13)*('CONTROL MASTER'!$Z$2:$Z$495&lt;=8)*('CONTROL MASTER'!$AB$2:$AB$495&gt;=8)*('CONTROL MASTER'!$AA$2:$AA$495&lt;=4)*('CONTROL MASTER'!$AC$2:$AC$495&gt;=4))*ROW('CONTROL MASTER'!$S$2:$S$495))-(ROW('CONTROL MASTER'!#REF!)-1))))+1)))-1)*50+1,50))&amp;"_"&amp;INDEX('CONTROL MASTER'!$P$2:$P$495,(SUMPRODUCT((('CONTROL MASTER'!$S$2:$S$495=13)*('CONTROL MASTER'!$Z$2:$Z$495&lt;=8)*('CONTROL MASTER'!$AB$2:$AB$495&gt;=8)*('CONTROL MASTER'!$AA$2:$AA$495&lt;=4)*('CONTROL MASTER'!$AC$2:$AC$495&gt;=4))*ROW('CONTROL MASTER'!$S$2:$S$495))-(ROW('CONTROL MASTER'!#REF!)-1))),"")),"")</f>
        <v/>
      </c>
      <c r="F178" s="10" t="str">
        <f>IFERROR(IF(SUMPRODUCT((('CONTROL MASTER'!$S$2:$S$495=13)*('CONTROL MASTER'!$T$2:$T$495&lt;=8)*('CONTROL MASTER'!$V$2:$V$495&gt;=8)*('CONTROL MASTER'!$U$2:$U$495&lt;=5)*('CONTROL MASTER'!$W$2:$W$495&gt;=5))*ROW('CONTROL MASTER'!$S$2:$S$495))&gt;0,INDEX('CONTROL MASTER'!$X$2:$X$495,(SUMPRODUCT((('CONTROL MASTER'!$S$2:$S$495=13)*('CONTROL MASTER'!$T$2:$T$495&lt;=8)*('CONTROL MASTER'!$V$2:$V$495&gt;=8)*('CONTROL MASTER'!$U$2:$U$495&lt;=5)*('CONTROL MASTER'!$W$2:$W$495&gt;=5))*ROW('CONTROL MASTER'!$S$2:$S$495))-(ROW('CONTROL MASTER'!#REF!)-1)))&amp;TRIM(MID(SUBSTITUTE(SUBSTITUTE(INDEX('CONTROL MASTER'!$N$2:$N$495,(SUMPRODUCT((('CONTROL MASTER'!$S$2:$S$495=13)*('CONTROL MASTER'!$T$2:$T$495&lt;=8)*('CONTROL MASTER'!$V$2:$V$495&gt;=8)*('CONTROL MASTER'!$U$2:$U$495&lt;=5)*('CONTROL MASTER'!$W$2:$W$495&gt;=5))*ROW('CONTROL MASTER'!$S$2:$S$495))-(ROW('CONTROL MASTER'!#REF!)-1))),":",","),",",REPT(" ",50)),((((8-INDEX('CONTROL MASTER'!$T$2:$T$495,(SUMPRODUCT((('CONTROL MASTER'!$S$2:$S$495=13)*('CONTROL MASTER'!$T$2:$T$495&lt;=8)*('CONTROL MASTER'!$V$2:$V$495&gt;=8)*('CONTROL MASTER'!$U$2:$U$495&lt;=5)*('CONTROL MASTER'!$W$2:$W$495&gt;=5))*ROW('CONTROL MASTER'!$S$2:$S$495))-(ROW('CONTROL MASTER'!#REF!)-1))))*(INDEX('CONTROL MASTER'!$W$2:$W$495,(SUMPRODUCT((('CONTROL MASTER'!$S$2:$S$495=13)*('CONTROL MASTER'!$T$2:$T$495&lt;=8)*('CONTROL MASTER'!$V$2:$V$495&gt;=8)*('CONTROL MASTER'!$U$2:$U$495&lt;=5)*('CONTROL MASTER'!$W$2:$W$495&gt;=5))*ROW('CONTROL MASTER'!$S$2:$S$495))-(ROW('CONTROL MASTER'!#REF!)-1)))-INDEX('CONTROL MASTER'!$U$2:$U$495,(SUMPRODUCT((('CONTROL MASTER'!$S$2:$S$495=13)*('CONTROL MASTER'!$T$2:$T$495&lt;=8)*('CONTROL MASTER'!$V$2:$V$495&gt;=8)*('CONTROL MASTER'!$U$2:$U$495&lt;=5)*('CONTROL MASTER'!$W$2:$W$495&gt;=5))*ROW('CONTROL MASTER'!$S$2:$S$495))-(ROW('CONTROL MASTER'!#REF!)-1)))+1)+(5-INDEX('CONTROL MASTER'!$U$2:$U$495,(SUMPRODUCT((('CONTROL MASTER'!$S$2:$S$495=13)*('CONTROL MASTER'!$T$2:$T$495&lt;=8)*('CONTROL MASTER'!$V$2:$V$495&gt;=8)*('CONTROL MASTER'!$U$2:$U$495&lt;=5)*('CONTROL MASTER'!$W$2:$W$495&gt;=5))*ROW('CONTROL MASTER'!$S$2:$S$495))-(ROW('CONTROL MASTER'!#REF!)-1))))+1))-1)*50+1,50))&amp;"_"&amp;INDEX('CONTROL MASTER'!$P$2:$P$495,(SUMPRODUCT((('CONTROL MASTER'!$S$2:$S$495=13)*('CONTROL MASTER'!$T$2:$T$495&lt;=8)*('CONTROL MASTER'!$V$2:$V$495&gt;=8)*('CONTROL MASTER'!$U$2:$U$495&lt;=5)*('CONTROL MASTER'!$W$2:$W$495&gt;=5))*ROW('CONTROL MASTER'!$S$2:$S$495))-(ROW('CONTROL MASTER'!#REF!)-1))),IF(SUMPRODUCT((('CONTROL MASTER'!$S$2:$S$495=13)*('CONTROL MASTER'!$Z$2:$Z$495&lt;=8)*('CONTROL MASTER'!$AB$2:$AB$495&gt;=8)*('CONTROL MASTER'!$AA$2:$AA$495&lt;=5)*('CONTROL MASTER'!$AC$2:$AC$495&gt;=5))*ROW('CONTROL MASTER'!$S$2:$S$495))&gt;0,INDEX('CONTROL MASTER'!$X$2:$X$495,(SUMPRODUCT((('CONTROL MASTER'!$S$2:$S$495=13)*('CONTROL MASTER'!$Z$2:$Z$495&lt;=8)*('CONTROL MASTER'!$AB$2:$AB$495&gt;=8)*('CONTROL MASTER'!$AA$2:$AA$495&lt;=5)*('CONTROL MASTER'!$AC$2:$AC$495&gt;=5))*ROW('CONTROL MASTER'!$S$2:$S$495))-(ROW('CONTROL MASTER'!#REF!)-1)))&amp;TRIM(MID(SUBSTITUTE(SUBSTITUTE(INDEX('CONTROL MASTER'!$N$2:$N$495,(SUMPRODUCT((('CONTROL MASTER'!$S$2:$S$495=13)*('CONTROL MASTER'!$Z$2:$Z$495&lt;=8)*('CONTROL MASTER'!$AB$2:$AB$495&gt;=8)*('CONTROL MASTER'!$AA$2:$AA$495&lt;=5)*('CONTROL MASTER'!$AC$2:$AC$495&gt;=5))*ROW('CONTROL MASTER'!$S$2:$S$495))-(ROW('CONTROL MASTER'!#REF!)-1))),":",","),",",REPT(" ",50)),(((INDEX('CONTROL MASTER'!$Y$2:$Y$495,(SUMPRODUCT((('CONTROL MASTER'!$S$2:$S$495=13)*('CONTROL MASTER'!$Z$2:$Z$495&lt;=8)*('CONTROL MASTER'!$AB$2:$AB$495&gt;=8)*('CONTROL MASTER'!$AA$2:$AA$495&lt;=5)*('CONTROL MASTER'!$AC$2:$AC$495&gt;=5))*ROW('CONTROL MASTER'!$S$2:$S$495))-(ROW('CONTROL MASTER'!#REF!)-1)))+((8-INDEX('CONTROL MASTER'!$Z$2:$Z$495,(SUMPRODUCT((('CONTROL MASTER'!$S$2:$S$495=13)*('CONTROL MASTER'!$Z$2:$Z$495&lt;=8)*('CONTROL MASTER'!$AB$2:$AB$495&gt;=8)*('CONTROL MASTER'!$AA$2:$AA$495&lt;=5)*('CONTROL MASTER'!$AC$2:$AC$495&gt;=5))*ROW('CONTROL MASTER'!$S$2:$S$495))-(ROW('CONTROL MASTER'!#REF!)-1))))*(INDEX('CONTROL MASTER'!$AC$2:$AC$495,(SUMPRODUCT((('CONTROL MASTER'!$S$2:$S$495=13)*('CONTROL MASTER'!$Z$2:$Z$495&lt;=8)*('CONTROL MASTER'!$AB$2:$AB$495&gt;=8)*('CONTROL MASTER'!$AA$2:$AA$495&lt;=5)*('CONTROL MASTER'!$AC$2:$AC$495&gt;=5))*ROW('CONTROL MASTER'!$S$2:$S$495))-(ROW('CONTROL MASTER'!#REF!)-1)))-INDEX('CONTROL MASTER'!$AA$2:$AA$495,(SUMPRODUCT((('CONTROL MASTER'!$S$2:$S$495=13)*('CONTROL MASTER'!$Z$2:$Z$495&lt;=8)*('CONTROL MASTER'!$AB$2:$AB$495&gt;=8)*('CONTROL MASTER'!$AA$2:$AA$495&lt;=5)*('CONTROL MASTER'!$AC$2:$AC$495&gt;=5))*ROW('CONTROL MASTER'!$S$2:$S$495))-(ROW('CONTROL MASTER'!#REF!)-1)))+1)+(5-INDEX('CONTROL MASTER'!$AA$2:$AA$495,(SUMPRODUCT((('CONTROL MASTER'!$S$2:$S$495=13)*('CONTROL MASTER'!$Z$2:$Z$495&lt;=8)*('CONTROL MASTER'!$AB$2:$AB$495&gt;=8)*('CONTROL MASTER'!$AA$2:$AA$495&lt;=5)*('CONTROL MASTER'!$AC$2:$AC$495&gt;=5))*ROW('CONTROL MASTER'!$S$2:$S$495))-(ROW('CONTROL MASTER'!#REF!)-1))))+1)))-1)*50+1,50))&amp;"_"&amp;INDEX('CONTROL MASTER'!$P$2:$P$495,(SUMPRODUCT((('CONTROL MASTER'!$S$2:$S$495=13)*('CONTROL MASTER'!$Z$2:$Z$495&lt;=8)*('CONTROL MASTER'!$AB$2:$AB$495&gt;=8)*('CONTROL MASTER'!$AA$2:$AA$495&lt;=5)*('CONTROL MASTER'!$AC$2:$AC$495&gt;=5))*ROW('CONTROL MASTER'!$S$2:$S$495))-(ROW('CONTROL MASTER'!#REF!)-1))),"")),"")</f>
        <v/>
      </c>
      <c r="G178" s="10" t="str">
        <f>IFERROR(IF(SUMPRODUCT((('CONTROL MASTER'!$S$2:$S$495=13)*('CONTROL MASTER'!$T$2:$T$495&lt;=8)*('CONTROL MASTER'!$V$2:$V$495&gt;=8)*('CONTROL MASTER'!$U$2:$U$495&lt;=6)*('CONTROL MASTER'!$W$2:$W$495&gt;=6))*ROW('CONTROL MASTER'!$S$2:$S$495))&gt;0,INDEX('CONTROL MASTER'!$X$2:$X$495,(SUMPRODUCT((('CONTROL MASTER'!$S$2:$S$495=13)*('CONTROL MASTER'!$T$2:$T$495&lt;=8)*('CONTROL MASTER'!$V$2:$V$495&gt;=8)*('CONTROL MASTER'!$U$2:$U$495&lt;=6)*('CONTROL MASTER'!$W$2:$W$495&gt;=6))*ROW('CONTROL MASTER'!$S$2:$S$495))-(ROW('CONTROL MASTER'!#REF!)-1)))&amp;TRIM(MID(SUBSTITUTE(SUBSTITUTE(INDEX('CONTROL MASTER'!$N$2:$N$495,(SUMPRODUCT((('CONTROL MASTER'!$S$2:$S$495=13)*('CONTROL MASTER'!$T$2:$T$495&lt;=8)*('CONTROL MASTER'!$V$2:$V$495&gt;=8)*('CONTROL MASTER'!$U$2:$U$495&lt;=6)*('CONTROL MASTER'!$W$2:$W$495&gt;=6))*ROW('CONTROL MASTER'!$S$2:$S$495))-(ROW('CONTROL MASTER'!#REF!)-1))),":",","),",",REPT(" ",50)),((((8-INDEX('CONTROL MASTER'!$T$2:$T$495,(SUMPRODUCT((('CONTROL MASTER'!$S$2:$S$495=13)*('CONTROL MASTER'!$T$2:$T$495&lt;=8)*('CONTROL MASTER'!$V$2:$V$495&gt;=8)*('CONTROL MASTER'!$U$2:$U$495&lt;=6)*('CONTROL MASTER'!$W$2:$W$495&gt;=6))*ROW('CONTROL MASTER'!$S$2:$S$495))-(ROW('CONTROL MASTER'!#REF!)-1))))*(INDEX('CONTROL MASTER'!$W$2:$W$495,(SUMPRODUCT((('CONTROL MASTER'!$S$2:$S$495=13)*('CONTROL MASTER'!$T$2:$T$495&lt;=8)*('CONTROL MASTER'!$V$2:$V$495&gt;=8)*('CONTROL MASTER'!$U$2:$U$495&lt;=6)*('CONTROL MASTER'!$W$2:$W$495&gt;=6))*ROW('CONTROL MASTER'!$S$2:$S$495))-(ROW('CONTROL MASTER'!#REF!)-1)))-INDEX('CONTROL MASTER'!$U$2:$U$495,(SUMPRODUCT((('CONTROL MASTER'!$S$2:$S$495=13)*('CONTROL MASTER'!$T$2:$T$495&lt;=8)*('CONTROL MASTER'!$V$2:$V$495&gt;=8)*('CONTROL MASTER'!$U$2:$U$495&lt;=6)*('CONTROL MASTER'!$W$2:$W$495&gt;=6))*ROW('CONTROL MASTER'!$S$2:$S$495))-(ROW('CONTROL MASTER'!#REF!)-1)))+1)+(6-INDEX('CONTROL MASTER'!$U$2:$U$495,(SUMPRODUCT((('CONTROL MASTER'!$S$2:$S$495=13)*('CONTROL MASTER'!$T$2:$T$495&lt;=8)*('CONTROL MASTER'!$V$2:$V$495&gt;=8)*('CONTROL MASTER'!$U$2:$U$495&lt;=6)*('CONTROL MASTER'!$W$2:$W$495&gt;=6))*ROW('CONTROL MASTER'!$S$2:$S$495))-(ROW('CONTROL MASTER'!#REF!)-1))))+1))-1)*50+1,50))&amp;"_"&amp;INDEX('CONTROL MASTER'!$P$2:$P$495,(SUMPRODUCT((('CONTROL MASTER'!$S$2:$S$495=13)*('CONTROL MASTER'!$T$2:$T$495&lt;=8)*('CONTROL MASTER'!$V$2:$V$495&gt;=8)*('CONTROL MASTER'!$U$2:$U$495&lt;=6)*('CONTROL MASTER'!$W$2:$W$495&gt;=6))*ROW('CONTROL MASTER'!$S$2:$S$495))-(ROW('CONTROL MASTER'!#REF!)-1))),IF(SUMPRODUCT((('CONTROL MASTER'!$S$2:$S$495=13)*('CONTROL MASTER'!$Z$2:$Z$495&lt;=8)*('CONTROL MASTER'!$AB$2:$AB$495&gt;=8)*('CONTROL MASTER'!$AA$2:$AA$495&lt;=6)*('CONTROL MASTER'!$AC$2:$AC$495&gt;=6))*ROW('CONTROL MASTER'!$S$2:$S$495))&gt;0,INDEX('CONTROL MASTER'!$X$2:$X$495,(SUMPRODUCT((('CONTROL MASTER'!$S$2:$S$495=13)*('CONTROL MASTER'!$Z$2:$Z$495&lt;=8)*('CONTROL MASTER'!$AB$2:$AB$495&gt;=8)*('CONTROL MASTER'!$AA$2:$AA$495&lt;=6)*('CONTROL MASTER'!$AC$2:$AC$495&gt;=6))*ROW('CONTROL MASTER'!$S$2:$S$495))-(ROW('CONTROL MASTER'!#REF!)-1)))&amp;TRIM(MID(SUBSTITUTE(SUBSTITUTE(INDEX('CONTROL MASTER'!$N$2:$N$495,(SUMPRODUCT((('CONTROL MASTER'!$S$2:$S$495=13)*('CONTROL MASTER'!$Z$2:$Z$495&lt;=8)*('CONTROL MASTER'!$AB$2:$AB$495&gt;=8)*('CONTROL MASTER'!$AA$2:$AA$495&lt;=6)*('CONTROL MASTER'!$AC$2:$AC$495&gt;=6))*ROW('CONTROL MASTER'!$S$2:$S$495))-(ROW('CONTROL MASTER'!#REF!)-1))),":",","),",",REPT(" ",50)),(((INDEX('CONTROL MASTER'!$Y$2:$Y$495,(SUMPRODUCT((('CONTROL MASTER'!$S$2:$S$495=13)*('CONTROL MASTER'!$Z$2:$Z$495&lt;=8)*('CONTROL MASTER'!$AB$2:$AB$495&gt;=8)*('CONTROL MASTER'!$AA$2:$AA$495&lt;=6)*('CONTROL MASTER'!$AC$2:$AC$495&gt;=6))*ROW('CONTROL MASTER'!$S$2:$S$495))-(ROW('CONTROL MASTER'!#REF!)-1)))+((8-INDEX('CONTROL MASTER'!$Z$2:$Z$495,(SUMPRODUCT((('CONTROL MASTER'!$S$2:$S$495=13)*('CONTROL MASTER'!$Z$2:$Z$495&lt;=8)*('CONTROL MASTER'!$AB$2:$AB$495&gt;=8)*('CONTROL MASTER'!$AA$2:$AA$495&lt;=6)*('CONTROL MASTER'!$AC$2:$AC$495&gt;=6))*ROW('CONTROL MASTER'!$S$2:$S$495))-(ROW('CONTROL MASTER'!#REF!)-1))))*(INDEX('CONTROL MASTER'!$AC$2:$AC$495,(SUMPRODUCT((('CONTROL MASTER'!$S$2:$S$495=13)*('CONTROL MASTER'!$Z$2:$Z$495&lt;=8)*('CONTROL MASTER'!$AB$2:$AB$495&gt;=8)*('CONTROL MASTER'!$AA$2:$AA$495&lt;=6)*('CONTROL MASTER'!$AC$2:$AC$495&gt;=6))*ROW('CONTROL MASTER'!$S$2:$S$495))-(ROW('CONTROL MASTER'!#REF!)-1)))-INDEX('CONTROL MASTER'!$AA$2:$AA$495,(SUMPRODUCT((('CONTROL MASTER'!$S$2:$S$495=13)*('CONTROL MASTER'!$Z$2:$Z$495&lt;=8)*('CONTROL MASTER'!$AB$2:$AB$495&gt;=8)*('CONTROL MASTER'!$AA$2:$AA$495&lt;=6)*('CONTROL MASTER'!$AC$2:$AC$495&gt;=6))*ROW('CONTROL MASTER'!$S$2:$S$495))-(ROW('CONTROL MASTER'!#REF!)-1)))+1)+(6-INDEX('CONTROL MASTER'!$AA$2:$AA$495,(SUMPRODUCT((('CONTROL MASTER'!$S$2:$S$495=13)*('CONTROL MASTER'!$Z$2:$Z$495&lt;=8)*('CONTROL MASTER'!$AB$2:$AB$495&gt;=8)*('CONTROL MASTER'!$AA$2:$AA$495&lt;=6)*('CONTROL MASTER'!$AC$2:$AC$495&gt;=6))*ROW('CONTROL MASTER'!$S$2:$S$495))-(ROW('CONTROL MASTER'!#REF!)-1))))+1)))-1)*50+1,50))&amp;"_"&amp;INDEX('CONTROL MASTER'!$P$2:$P$495,(SUMPRODUCT((('CONTROL MASTER'!$S$2:$S$495=13)*('CONTROL MASTER'!$Z$2:$Z$495&lt;=8)*('CONTROL MASTER'!$AB$2:$AB$495&gt;=8)*('CONTROL MASTER'!$AA$2:$AA$495&lt;=6)*('CONTROL MASTER'!$AC$2:$AC$495&gt;=6))*ROW('CONTROL MASTER'!$S$2:$S$495))-(ROW('CONTROL MASTER'!#REF!)-1))),"")),"")</f>
        <v/>
      </c>
      <c r="H178" s="10" t="str">
        <f>IFERROR(IF(SUMPRODUCT((('CONTROL MASTER'!$S$2:$S$495=13)*('CONTROL MASTER'!$T$2:$T$495&lt;=8)*('CONTROL MASTER'!$V$2:$V$495&gt;=8)*('CONTROL MASTER'!$U$2:$U$495&lt;=7)*('CONTROL MASTER'!$W$2:$W$495&gt;=7))*ROW('CONTROL MASTER'!$S$2:$S$495))&gt;0,INDEX('CONTROL MASTER'!$X$2:$X$495,(SUMPRODUCT((('CONTROL MASTER'!$S$2:$S$495=13)*('CONTROL MASTER'!$T$2:$T$495&lt;=8)*('CONTROL MASTER'!$V$2:$V$495&gt;=8)*('CONTROL MASTER'!$U$2:$U$495&lt;=7)*('CONTROL MASTER'!$W$2:$W$495&gt;=7))*ROW('CONTROL MASTER'!$S$2:$S$495))-(ROW('CONTROL MASTER'!#REF!)-1)))&amp;TRIM(MID(SUBSTITUTE(SUBSTITUTE(INDEX('CONTROL MASTER'!$N$2:$N$495,(SUMPRODUCT((('CONTROL MASTER'!$S$2:$S$495=13)*('CONTROL MASTER'!$T$2:$T$495&lt;=8)*('CONTROL MASTER'!$V$2:$V$495&gt;=8)*('CONTROL MASTER'!$U$2:$U$495&lt;=7)*('CONTROL MASTER'!$W$2:$W$495&gt;=7))*ROW('CONTROL MASTER'!$S$2:$S$495))-(ROW('CONTROL MASTER'!#REF!)-1))),":",","),",",REPT(" ",50)),((((8-INDEX('CONTROL MASTER'!$T$2:$T$495,(SUMPRODUCT((('CONTROL MASTER'!$S$2:$S$495=13)*('CONTROL MASTER'!$T$2:$T$495&lt;=8)*('CONTROL MASTER'!$V$2:$V$495&gt;=8)*('CONTROL MASTER'!$U$2:$U$495&lt;=7)*('CONTROL MASTER'!$W$2:$W$495&gt;=7))*ROW('CONTROL MASTER'!$S$2:$S$495))-(ROW('CONTROL MASTER'!#REF!)-1))))*(INDEX('CONTROL MASTER'!$W$2:$W$495,(SUMPRODUCT((('CONTROL MASTER'!$S$2:$S$495=13)*('CONTROL MASTER'!$T$2:$T$495&lt;=8)*('CONTROL MASTER'!$V$2:$V$495&gt;=8)*('CONTROL MASTER'!$U$2:$U$495&lt;=7)*('CONTROL MASTER'!$W$2:$W$495&gt;=7))*ROW('CONTROL MASTER'!$S$2:$S$495))-(ROW('CONTROL MASTER'!#REF!)-1)))-INDEX('CONTROL MASTER'!$U$2:$U$495,(SUMPRODUCT((('CONTROL MASTER'!$S$2:$S$495=13)*('CONTROL MASTER'!$T$2:$T$495&lt;=8)*('CONTROL MASTER'!$V$2:$V$495&gt;=8)*('CONTROL MASTER'!$U$2:$U$495&lt;=7)*('CONTROL MASTER'!$W$2:$W$495&gt;=7))*ROW('CONTROL MASTER'!$S$2:$S$495))-(ROW('CONTROL MASTER'!#REF!)-1)))+1)+(7-INDEX('CONTROL MASTER'!$U$2:$U$495,(SUMPRODUCT((('CONTROL MASTER'!$S$2:$S$495=13)*('CONTROL MASTER'!$T$2:$T$495&lt;=8)*('CONTROL MASTER'!$V$2:$V$495&gt;=8)*('CONTROL MASTER'!$U$2:$U$495&lt;=7)*('CONTROL MASTER'!$W$2:$W$495&gt;=7))*ROW('CONTROL MASTER'!$S$2:$S$495))-(ROW('CONTROL MASTER'!#REF!)-1))))+1))-1)*50+1,50))&amp;"_"&amp;INDEX('CONTROL MASTER'!$P$2:$P$495,(SUMPRODUCT((('CONTROL MASTER'!$S$2:$S$495=13)*('CONTROL MASTER'!$T$2:$T$495&lt;=8)*('CONTROL MASTER'!$V$2:$V$495&gt;=8)*('CONTROL MASTER'!$U$2:$U$495&lt;=7)*('CONTROL MASTER'!$W$2:$W$495&gt;=7))*ROW('CONTROL MASTER'!$S$2:$S$495))-(ROW('CONTROL MASTER'!#REF!)-1))),IF(SUMPRODUCT((('CONTROL MASTER'!$S$2:$S$495=13)*('CONTROL MASTER'!$Z$2:$Z$495&lt;=8)*('CONTROL MASTER'!$AB$2:$AB$495&gt;=8)*('CONTROL MASTER'!$AA$2:$AA$495&lt;=7)*('CONTROL MASTER'!$AC$2:$AC$495&gt;=7))*ROW('CONTROL MASTER'!$S$2:$S$495))&gt;0,INDEX('CONTROL MASTER'!$X$2:$X$495,(SUMPRODUCT((('CONTROL MASTER'!$S$2:$S$495=13)*('CONTROL MASTER'!$Z$2:$Z$495&lt;=8)*('CONTROL MASTER'!$AB$2:$AB$495&gt;=8)*('CONTROL MASTER'!$AA$2:$AA$495&lt;=7)*('CONTROL MASTER'!$AC$2:$AC$495&gt;=7))*ROW('CONTROL MASTER'!$S$2:$S$495))-(ROW('CONTROL MASTER'!#REF!)-1)))&amp;TRIM(MID(SUBSTITUTE(SUBSTITUTE(INDEX('CONTROL MASTER'!$N$2:$N$495,(SUMPRODUCT((('CONTROL MASTER'!$S$2:$S$495=13)*('CONTROL MASTER'!$Z$2:$Z$495&lt;=8)*('CONTROL MASTER'!$AB$2:$AB$495&gt;=8)*('CONTROL MASTER'!$AA$2:$AA$495&lt;=7)*('CONTROL MASTER'!$AC$2:$AC$495&gt;=7))*ROW('CONTROL MASTER'!$S$2:$S$495))-(ROW('CONTROL MASTER'!#REF!)-1))),":",","),",",REPT(" ",50)),(((INDEX('CONTROL MASTER'!$Y$2:$Y$495,(SUMPRODUCT((('CONTROL MASTER'!$S$2:$S$495=13)*('CONTROL MASTER'!$Z$2:$Z$495&lt;=8)*('CONTROL MASTER'!$AB$2:$AB$495&gt;=8)*('CONTROL MASTER'!$AA$2:$AA$495&lt;=7)*('CONTROL MASTER'!$AC$2:$AC$495&gt;=7))*ROW('CONTROL MASTER'!$S$2:$S$495))-(ROW('CONTROL MASTER'!#REF!)-1)))+((8-INDEX('CONTROL MASTER'!$Z$2:$Z$495,(SUMPRODUCT((('CONTROL MASTER'!$S$2:$S$495=13)*('CONTROL MASTER'!$Z$2:$Z$495&lt;=8)*('CONTROL MASTER'!$AB$2:$AB$495&gt;=8)*('CONTROL MASTER'!$AA$2:$AA$495&lt;=7)*('CONTROL MASTER'!$AC$2:$AC$495&gt;=7))*ROW('CONTROL MASTER'!$S$2:$S$495))-(ROW('CONTROL MASTER'!#REF!)-1))))*(INDEX('CONTROL MASTER'!$AC$2:$AC$495,(SUMPRODUCT((('CONTROL MASTER'!$S$2:$S$495=13)*('CONTROL MASTER'!$Z$2:$Z$495&lt;=8)*('CONTROL MASTER'!$AB$2:$AB$495&gt;=8)*('CONTROL MASTER'!$AA$2:$AA$495&lt;=7)*('CONTROL MASTER'!$AC$2:$AC$495&gt;=7))*ROW('CONTROL MASTER'!$S$2:$S$495))-(ROW('CONTROL MASTER'!#REF!)-1)))-INDEX('CONTROL MASTER'!$AA$2:$AA$495,(SUMPRODUCT((('CONTROL MASTER'!$S$2:$S$495=13)*('CONTROL MASTER'!$Z$2:$Z$495&lt;=8)*('CONTROL MASTER'!$AB$2:$AB$495&gt;=8)*('CONTROL MASTER'!$AA$2:$AA$495&lt;=7)*('CONTROL MASTER'!$AC$2:$AC$495&gt;=7))*ROW('CONTROL MASTER'!$S$2:$S$495))-(ROW('CONTROL MASTER'!#REF!)-1)))+1)+(7-INDEX('CONTROL MASTER'!$AA$2:$AA$495,(SUMPRODUCT((('CONTROL MASTER'!$S$2:$S$495=13)*('CONTROL MASTER'!$Z$2:$Z$495&lt;=8)*('CONTROL MASTER'!$AB$2:$AB$495&gt;=8)*('CONTROL MASTER'!$AA$2:$AA$495&lt;=7)*('CONTROL MASTER'!$AC$2:$AC$495&gt;=7))*ROW('CONTROL MASTER'!$S$2:$S$495))-(ROW('CONTROL MASTER'!#REF!)-1))))+1)))-1)*50+1,50))&amp;"_"&amp;INDEX('CONTROL MASTER'!$P$2:$P$495,(SUMPRODUCT((('CONTROL MASTER'!$S$2:$S$495=13)*('CONTROL MASTER'!$Z$2:$Z$495&lt;=8)*('CONTROL MASTER'!$AB$2:$AB$495&gt;=8)*('CONTROL MASTER'!$AA$2:$AA$495&lt;=7)*('CONTROL MASTER'!$AC$2:$AC$495&gt;=7))*ROW('CONTROL MASTER'!$S$2:$S$495))-(ROW('CONTROL MASTER'!#REF!)-1))),"")),"")</f>
        <v/>
      </c>
      <c r="I178" s="10" t="str">
        <f>IFERROR(IF(SUMPRODUCT((('CONTROL MASTER'!$S$2:$S$495=13)*('CONTROL MASTER'!$T$2:$T$495&lt;=8)*('CONTROL MASTER'!$V$2:$V$495&gt;=8)*('CONTROL MASTER'!$U$2:$U$495&lt;=8)*('CONTROL MASTER'!$W$2:$W$495&gt;=8))*ROW('CONTROL MASTER'!$S$2:$S$495))&gt;0,INDEX('CONTROL MASTER'!$X$2:$X$495,(SUMPRODUCT((('CONTROL MASTER'!$S$2:$S$495=13)*('CONTROL MASTER'!$T$2:$T$495&lt;=8)*('CONTROL MASTER'!$V$2:$V$495&gt;=8)*('CONTROL MASTER'!$U$2:$U$495&lt;=8)*('CONTROL MASTER'!$W$2:$W$495&gt;=8))*ROW('CONTROL MASTER'!$S$2:$S$495))-(ROW('CONTROL MASTER'!#REF!)-1)))&amp;TRIM(MID(SUBSTITUTE(SUBSTITUTE(INDEX('CONTROL MASTER'!$N$2:$N$495,(SUMPRODUCT((('CONTROL MASTER'!$S$2:$S$495=13)*('CONTROL MASTER'!$T$2:$T$495&lt;=8)*('CONTROL MASTER'!$V$2:$V$495&gt;=8)*('CONTROL MASTER'!$U$2:$U$495&lt;=8)*('CONTROL MASTER'!$W$2:$W$495&gt;=8))*ROW('CONTROL MASTER'!$S$2:$S$495))-(ROW('CONTROL MASTER'!#REF!)-1))),":",","),",",REPT(" ",50)),((((8-INDEX('CONTROL MASTER'!$T$2:$T$495,(SUMPRODUCT((('CONTROL MASTER'!$S$2:$S$495=13)*('CONTROL MASTER'!$T$2:$T$495&lt;=8)*('CONTROL MASTER'!$V$2:$V$495&gt;=8)*('CONTROL MASTER'!$U$2:$U$495&lt;=8)*('CONTROL MASTER'!$W$2:$W$495&gt;=8))*ROW('CONTROL MASTER'!$S$2:$S$495))-(ROW('CONTROL MASTER'!#REF!)-1))))*(INDEX('CONTROL MASTER'!$W$2:$W$495,(SUMPRODUCT((('CONTROL MASTER'!$S$2:$S$495=13)*('CONTROL MASTER'!$T$2:$T$495&lt;=8)*('CONTROL MASTER'!$V$2:$V$495&gt;=8)*('CONTROL MASTER'!$U$2:$U$495&lt;=8)*('CONTROL MASTER'!$W$2:$W$495&gt;=8))*ROW('CONTROL MASTER'!$S$2:$S$495))-(ROW('CONTROL MASTER'!#REF!)-1)))-INDEX('CONTROL MASTER'!$U$2:$U$495,(SUMPRODUCT((('CONTROL MASTER'!$S$2:$S$495=13)*('CONTROL MASTER'!$T$2:$T$495&lt;=8)*('CONTROL MASTER'!$V$2:$V$495&gt;=8)*('CONTROL MASTER'!$U$2:$U$495&lt;=8)*('CONTROL MASTER'!$W$2:$W$495&gt;=8))*ROW('CONTROL MASTER'!$S$2:$S$495))-(ROW('CONTROL MASTER'!#REF!)-1)))+1)+(8-INDEX('CONTROL MASTER'!$U$2:$U$495,(SUMPRODUCT((('CONTROL MASTER'!$S$2:$S$495=13)*('CONTROL MASTER'!$T$2:$T$495&lt;=8)*('CONTROL MASTER'!$V$2:$V$495&gt;=8)*('CONTROL MASTER'!$U$2:$U$495&lt;=8)*('CONTROL MASTER'!$W$2:$W$495&gt;=8))*ROW('CONTROL MASTER'!$S$2:$S$495))-(ROW('CONTROL MASTER'!#REF!)-1))))+1))-1)*50+1,50))&amp;"_"&amp;INDEX('CONTROL MASTER'!$P$2:$P$495,(SUMPRODUCT((('CONTROL MASTER'!$S$2:$S$495=13)*('CONTROL MASTER'!$T$2:$T$495&lt;=8)*('CONTROL MASTER'!$V$2:$V$495&gt;=8)*('CONTROL MASTER'!$U$2:$U$495&lt;=8)*('CONTROL MASTER'!$W$2:$W$495&gt;=8))*ROW('CONTROL MASTER'!$S$2:$S$495))-(ROW('CONTROL MASTER'!#REF!)-1))),IF(SUMPRODUCT((('CONTROL MASTER'!$S$2:$S$495=13)*('CONTROL MASTER'!$Z$2:$Z$495&lt;=8)*('CONTROL MASTER'!$AB$2:$AB$495&gt;=8)*('CONTROL MASTER'!$AA$2:$AA$495&lt;=8)*('CONTROL MASTER'!$AC$2:$AC$495&gt;=8))*ROW('CONTROL MASTER'!$S$2:$S$495))&gt;0,INDEX('CONTROL MASTER'!$X$2:$X$495,(SUMPRODUCT((('CONTROL MASTER'!$S$2:$S$495=13)*('CONTROL MASTER'!$Z$2:$Z$495&lt;=8)*('CONTROL MASTER'!$AB$2:$AB$495&gt;=8)*('CONTROL MASTER'!$AA$2:$AA$495&lt;=8)*('CONTROL MASTER'!$AC$2:$AC$495&gt;=8))*ROW('CONTROL MASTER'!$S$2:$S$495))-(ROW('CONTROL MASTER'!#REF!)-1)))&amp;TRIM(MID(SUBSTITUTE(SUBSTITUTE(INDEX('CONTROL MASTER'!$N$2:$N$495,(SUMPRODUCT((('CONTROL MASTER'!$S$2:$S$495=13)*('CONTROL MASTER'!$Z$2:$Z$495&lt;=8)*('CONTROL MASTER'!$AB$2:$AB$495&gt;=8)*('CONTROL MASTER'!$AA$2:$AA$495&lt;=8)*('CONTROL MASTER'!$AC$2:$AC$495&gt;=8))*ROW('CONTROL MASTER'!$S$2:$S$495))-(ROW('CONTROL MASTER'!#REF!)-1))),":",","),",",REPT(" ",50)),(((INDEX('CONTROL MASTER'!$Y$2:$Y$495,(SUMPRODUCT((('CONTROL MASTER'!$S$2:$S$495=13)*('CONTROL MASTER'!$Z$2:$Z$495&lt;=8)*('CONTROL MASTER'!$AB$2:$AB$495&gt;=8)*('CONTROL MASTER'!$AA$2:$AA$495&lt;=8)*('CONTROL MASTER'!$AC$2:$AC$495&gt;=8))*ROW('CONTROL MASTER'!$S$2:$S$495))-(ROW('CONTROL MASTER'!#REF!)-1)))+((8-INDEX('CONTROL MASTER'!$Z$2:$Z$495,(SUMPRODUCT((('CONTROL MASTER'!$S$2:$S$495=13)*('CONTROL MASTER'!$Z$2:$Z$495&lt;=8)*('CONTROL MASTER'!$AB$2:$AB$495&gt;=8)*('CONTROL MASTER'!$AA$2:$AA$495&lt;=8)*('CONTROL MASTER'!$AC$2:$AC$495&gt;=8))*ROW('CONTROL MASTER'!$S$2:$S$495))-(ROW('CONTROL MASTER'!#REF!)-1))))*(INDEX('CONTROL MASTER'!$AC$2:$AC$495,(SUMPRODUCT((('CONTROL MASTER'!$S$2:$S$495=13)*('CONTROL MASTER'!$Z$2:$Z$495&lt;=8)*('CONTROL MASTER'!$AB$2:$AB$495&gt;=8)*('CONTROL MASTER'!$AA$2:$AA$495&lt;=8)*('CONTROL MASTER'!$AC$2:$AC$495&gt;=8))*ROW('CONTROL MASTER'!$S$2:$S$495))-(ROW('CONTROL MASTER'!#REF!)-1)))-INDEX('CONTROL MASTER'!$AA$2:$AA$495,(SUMPRODUCT((('CONTROL MASTER'!$S$2:$S$495=13)*('CONTROL MASTER'!$Z$2:$Z$495&lt;=8)*('CONTROL MASTER'!$AB$2:$AB$495&gt;=8)*('CONTROL MASTER'!$AA$2:$AA$495&lt;=8)*('CONTROL MASTER'!$AC$2:$AC$495&gt;=8))*ROW('CONTROL MASTER'!$S$2:$S$495))-(ROW('CONTROL MASTER'!#REF!)-1)))+1)+(8-INDEX('CONTROL MASTER'!$AA$2:$AA$495,(SUMPRODUCT((('CONTROL MASTER'!$S$2:$S$495=13)*('CONTROL MASTER'!$Z$2:$Z$495&lt;=8)*('CONTROL MASTER'!$AB$2:$AB$495&gt;=8)*('CONTROL MASTER'!$AA$2:$AA$495&lt;=8)*('CONTROL MASTER'!$AC$2:$AC$495&gt;=8))*ROW('CONTROL MASTER'!$S$2:$S$495))-(ROW('CONTROL MASTER'!#REF!)-1))))+1)))-1)*50+1,50))&amp;"_"&amp;INDEX('CONTROL MASTER'!$P$2:$P$495,(SUMPRODUCT((('CONTROL MASTER'!$S$2:$S$495=13)*('CONTROL MASTER'!$Z$2:$Z$495&lt;=8)*('CONTROL MASTER'!$AB$2:$AB$495&gt;=8)*('CONTROL MASTER'!$AA$2:$AA$495&lt;=8)*('CONTROL MASTER'!$AC$2:$AC$495&gt;=8))*ROW('CONTROL MASTER'!$S$2:$S$495))-(ROW('CONTROL MASTER'!#REF!)-1))),"")),"")</f>
        <v/>
      </c>
      <c r="J178" s="10" t="str">
        <f>IFERROR(IF(SUMPRODUCT((('CONTROL MASTER'!$S$2:$S$495=13)*('CONTROL MASTER'!$T$2:$T$495&lt;=8)*('CONTROL MASTER'!$V$2:$V$495&gt;=8)*('CONTROL MASTER'!$U$2:$U$495&lt;=9)*('CONTROL MASTER'!$W$2:$W$495&gt;=9))*ROW('CONTROL MASTER'!$S$2:$S$495))&gt;0,INDEX('CONTROL MASTER'!$X$2:$X$495,(SUMPRODUCT((('CONTROL MASTER'!$S$2:$S$495=13)*('CONTROL MASTER'!$T$2:$T$495&lt;=8)*('CONTROL MASTER'!$V$2:$V$495&gt;=8)*('CONTROL MASTER'!$U$2:$U$495&lt;=9)*('CONTROL MASTER'!$W$2:$W$495&gt;=9))*ROW('CONTROL MASTER'!$S$2:$S$495))-(ROW('CONTROL MASTER'!#REF!)-1)))&amp;TRIM(MID(SUBSTITUTE(SUBSTITUTE(INDEX('CONTROL MASTER'!$N$2:$N$495,(SUMPRODUCT((('CONTROL MASTER'!$S$2:$S$495=13)*('CONTROL MASTER'!$T$2:$T$495&lt;=8)*('CONTROL MASTER'!$V$2:$V$495&gt;=8)*('CONTROL MASTER'!$U$2:$U$495&lt;=9)*('CONTROL MASTER'!$W$2:$W$495&gt;=9))*ROW('CONTROL MASTER'!$S$2:$S$495))-(ROW('CONTROL MASTER'!#REF!)-1))),":",","),",",REPT(" ",50)),((((8-INDEX('CONTROL MASTER'!$T$2:$T$495,(SUMPRODUCT((('CONTROL MASTER'!$S$2:$S$495=13)*('CONTROL MASTER'!$T$2:$T$495&lt;=8)*('CONTROL MASTER'!$V$2:$V$495&gt;=8)*('CONTROL MASTER'!$U$2:$U$495&lt;=9)*('CONTROL MASTER'!$W$2:$W$495&gt;=9))*ROW('CONTROL MASTER'!$S$2:$S$495))-(ROW('CONTROL MASTER'!#REF!)-1))))*(INDEX('CONTROL MASTER'!$W$2:$W$495,(SUMPRODUCT((('CONTROL MASTER'!$S$2:$S$495=13)*('CONTROL MASTER'!$T$2:$T$495&lt;=8)*('CONTROL MASTER'!$V$2:$V$495&gt;=8)*('CONTROL MASTER'!$U$2:$U$495&lt;=9)*('CONTROL MASTER'!$W$2:$W$495&gt;=9))*ROW('CONTROL MASTER'!$S$2:$S$495))-(ROW('CONTROL MASTER'!#REF!)-1)))-INDEX('CONTROL MASTER'!$U$2:$U$495,(SUMPRODUCT((('CONTROL MASTER'!$S$2:$S$495=13)*('CONTROL MASTER'!$T$2:$T$495&lt;=8)*('CONTROL MASTER'!$V$2:$V$495&gt;=8)*('CONTROL MASTER'!$U$2:$U$495&lt;=9)*('CONTROL MASTER'!$W$2:$W$495&gt;=9))*ROW('CONTROL MASTER'!$S$2:$S$495))-(ROW('CONTROL MASTER'!#REF!)-1)))+1)+(9-INDEX('CONTROL MASTER'!$U$2:$U$495,(SUMPRODUCT((('CONTROL MASTER'!$S$2:$S$495=13)*('CONTROL MASTER'!$T$2:$T$495&lt;=8)*('CONTROL MASTER'!$V$2:$V$495&gt;=8)*('CONTROL MASTER'!$U$2:$U$495&lt;=9)*('CONTROL MASTER'!$W$2:$W$495&gt;=9))*ROW('CONTROL MASTER'!$S$2:$S$495))-(ROW('CONTROL MASTER'!#REF!)-1))))+1))-1)*50+1,50))&amp;"_"&amp;INDEX('CONTROL MASTER'!$P$2:$P$495,(SUMPRODUCT((('CONTROL MASTER'!$S$2:$S$495=13)*('CONTROL MASTER'!$T$2:$T$495&lt;=8)*('CONTROL MASTER'!$V$2:$V$495&gt;=8)*('CONTROL MASTER'!$U$2:$U$495&lt;=9)*('CONTROL MASTER'!$W$2:$W$495&gt;=9))*ROW('CONTROL MASTER'!$S$2:$S$495))-(ROW('CONTROL MASTER'!#REF!)-1))),IF(SUMPRODUCT((('CONTROL MASTER'!$S$2:$S$495=13)*('CONTROL MASTER'!$Z$2:$Z$495&lt;=8)*('CONTROL MASTER'!$AB$2:$AB$495&gt;=8)*('CONTROL MASTER'!$AA$2:$AA$495&lt;=9)*('CONTROL MASTER'!$AC$2:$AC$495&gt;=9))*ROW('CONTROL MASTER'!$S$2:$S$495))&gt;0,INDEX('CONTROL MASTER'!$X$2:$X$495,(SUMPRODUCT((('CONTROL MASTER'!$S$2:$S$495=13)*('CONTROL MASTER'!$Z$2:$Z$495&lt;=8)*('CONTROL MASTER'!$AB$2:$AB$495&gt;=8)*('CONTROL MASTER'!$AA$2:$AA$495&lt;=9)*('CONTROL MASTER'!$AC$2:$AC$495&gt;=9))*ROW('CONTROL MASTER'!$S$2:$S$495))-(ROW('CONTROL MASTER'!#REF!)-1)))&amp;TRIM(MID(SUBSTITUTE(SUBSTITUTE(INDEX('CONTROL MASTER'!$N$2:$N$495,(SUMPRODUCT((('CONTROL MASTER'!$S$2:$S$495=13)*('CONTROL MASTER'!$Z$2:$Z$495&lt;=8)*('CONTROL MASTER'!$AB$2:$AB$495&gt;=8)*('CONTROL MASTER'!$AA$2:$AA$495&lt;=9)*('CONTROL MASTER'!$AC$2:$AC$495&gt;=9))*ROW('CONTROL MASTER'!$S$2:$S$495))-(ROW('CONTROL MASTER'!#REF!)-1))),":",","),",",REPT(" ",50)),(((INDEX('CONTROL MASTER'!$Y$2:$Y$495,(SUMPRODUCT((('CONTROL MASTER'!$S$2:$S$495=13)*('CONTROL MASTER'!$Z$2:$Z$495&lt;=8)*('CONTROL MASTER'!$AB$2:$AB$495&gt;=8)*('CONTROL MASTER'!$AA$2:$AA$495&lt;=9)*('CONTROL MASTER'!$AC$2:$AC$495&gt;=9))*ROW('CONTROL MASTER'!$S$2:$S$495))-(ROW('CONTROL MASTER'!#REF!)-1)))+((8-INDEX('CONTROL MASTER'!$Z$2:$Z$495,(SUMPRODUCT((('CONTROL MASTER'!$S$2:$S$495=13)*('CONTROL MASTER'!$Z$2:$Z$495&lt;=8)*('CONTROL MASTER'!$AB$2:$AB$495&gt;=8)*('CONTROL MASTER'!$AA$2:$AA$495&lt;=9)*('CONTROL MASTER'!$AC$2:$AC$495&gt;=9))*ROW('CONTROL MASTER'!$S$2:$S$495))-(ROW('CONTROL MASTER'!#REF!)-1))))*(INDEX('CONTROL MASTER'!$AC$2:$AC$495,(SUMPRODUCT((('CONTROL MASTER'!$S$2:$S$495=13)*('CONTROL MASTER'!$Z$2:$Z$495&lt;=8)*('CONTROL MASTER'!$AB$2:$AB$495&gt;=8)*('CONTROL MASTER'!$AA$2:$AA$495&lt;=9)*('CONTROL MASTER'!$AC$2:$AC$495&gt;=9))*ROW('CONTROL MASTER'!$S$2:$S$495))-(ROW('CONTROL MASTER'!#REF!)-1)))-INDEX('CONTROL MASTER'!$AA$2:$AA$495,(SUMPRODUCT((('CONTROL MASTER'!$S$2:$S$495=13)*('CONTROL MASTER'!$Z$2:$Z$495&lt;=8)*('CONTROL MASTER'!$AB$2:$AB$495&gt;=8)*('CONTROL MASTER'!$AA$2:$AA$495&lt;=9)*('CONTROL MASTER'!$AC$2:$AC$495&gt;=9))*ROW('CONTROL MASTER'!$S$2:$S$495))-(ROW('CONTROL MASTER'!#REF!)-1)))+1)+(9-INDEX('CONTROL MASTER'!$AA$2:$AA$495,(SUMPRODUCT((('CONTROL MASTER'!$S$2:$S$495=13)*('CONTROL MASTER'!$Z$2:$Z$495&lt;=8)*('CONTROL MASTER'!$AB$2:$AB$495&gt;=8)*('CONTROL MASTER'!$AA$2:$AA$495&lt;=9)*('CONTROL MASTER'!$AC$2:$AC$495&gt;=9))*ROW('CONTROL MASTER'!$S$2:$S$495))-(ROW('CONTROL MASTER'!#REF!)-1))))+1)))-1)*50+1,50))&amp;"_"&amp;INDEX('CONTROL MASTER'!$P$2:$P$495,(SUMPRODUCT((('CONTROL MASTER'!$S$2:$S$495=13)*('CONTROL MASTER'!$Z$2:$Z$495&lt;=8)*('CONTROL MASTER'!$AB$2:$AB$495&gt;=8)*('CONTROL MASTER'!$AA$2:$AA$495&lt;=9)*('CONTROL MASTER'!$AC$2:$AC$495&gt;=9))*ROW('CONTROL MASTER'!$S$2:$S$495))-(ROW('CONTROL MASTER'!#REF!)-1))),"")),"")</f>
        <v/>
      </c>
      <c r="K178" s="10" t="str">
        <f>IFERROR(IF(SUMPRODUCT((('CONTROL MASTER'!$S$2:$S$495=13)*('CONTROL MASTER'!$T$2:$T$495&lt;=8)*('CONTROL MASTER'!$V$2:$V$495&gt;=8)*('CONTROL MASTER'!$U$2:$U$495&lt;=10)*('CONTROL MASTER'!$W$2:$W$495&gt;=10))*ROW('CONTROL MASTER'!$S$2:$S$495))&gt;0,INDEX('CONTROL MASTER'!$X$2:$X$495,(SUMPRODUCT((('CONTROL MASTER'!$S$2:$S$495=13)*('CONTROL MASTER'!$T$2:$T$495&lt;=8)*('CONTROL MASTER'!$V$2:$V$495&gt;=8)*('CONTROL MASTER'!$U$2:$U$495&lt;=10)*('CONTROL MASTER'!$W$2:$W$495&gt;=10))*ROW('CONTROL MASTER'!$S$2:$S$495))-(ROW('CONTROL MASTER'!#REF!)-1)))&amp;TRIM(MID(SUBSTITUTE(SUBSTITUTE(INDEX('CONTROL MASTER'!$N$2:$N$495,(SUMPRODUCT((('CONTROL MASTER'!$S$2:$S$495=13)*('CONTROL MASTER'!$T$2:$T$495&lt;=8)*('CONTROL MASTER'!$V$2:$V$495&gt;=8)*('CONTROL MASTER'!$U$2:$U$495&lt;=10)*('CONTROL MASTER'!$W$2:$W$495&gt;=10))*ROW('CONTROL MASTER'!$S$2:$S$495))-(ROW('CONTROL MASTER'!#REF!)-1))),":",","),",",REPT(" ",50)),((((8-INDEX('CONTROL MASTER'!$T$2:$T$495,(SUMPRODUCT((('CONTROL MASTER'!$S$2:$S$495=13)*('CONTROL MASTER'!$T$2:$T$495&lt;=8)*('CONTROL MASTER'!$V$2:$V$495&gt;=8)*('CONTROL MASTER'!$U$2:$U$495&lt;=10)*('CONTROL MASTER'!$W$2:$W$495&gt;=10))*ROW('CONTROL MASTER'!$S$2:$S$495))-(ROW('CONTROL MASTER'!#REF!)-1))))*(INDEX('CONTROL MASTER'!$W$2:$W$495,(SUMPRODUCT((('CONTROL MASTER'!$S$2:$S$495=13)*('CONTROL MASTER'!$T$2:$T$495&lt;=8)*('CONTROL MASTER'!$V$2:$V$495&gt;=8)*('CONTROL MASTER'!$U$2:$U$495&lt;=10)*('CONTROL MASTER'!$W$2:$W$495&gt;=10))*ROW('CONTROL MASTER'!$S$2:$S$495))-(ROW('CONTROL MASTER'!#REF!)-1)))-INDEX('CONTROL MASTER'!$U$2:$U$495,(SUMPRODUCT((('CONTROL MASTER'!$S$2:$S$495=13)*('CONTROL MASTER'!$T$2:$T$495&lt;=8)*('CONTROL MASTER'!$V$2:$V$495&gt;=8)*('CONTROL MASTER'!$U$2:$U$495&lt;=10)*('CONTROL MASTER'!$W$2:$W$495&gt;=10))*ROW('CONTROL MASTER'!$S$2:$S$495))-(ROW('CONTROL MASTER'!#REF!)-1)))+1)+(10-INDEX('CONTROL MASTER'!$U$2:$U$495,(SUMPRODUCT((('CONTROL MASTER'!$S$2:$S$495=13)*('CONTROL MASTER'!$T$2:$T$495&lt;=8)*('CONTROL MASTER'!$V$2:$V$495&gt;=8)*('CONTROL MASTER'!$U$2:$U$495&lt;=10)*('CONTROL MASTER'!$W$2:$W$495&gt;=10))*ROW('CONTROL MASTER'!$S$2:$S$495))-(ROW('CONTROL MASTER'!#REF!)-1))))+1))-1)*50+1,50))&amp;"_"&amp;INDEX('CONTROL MASTER'!$P$2:$P$495,(SUMPRODUCT((('CONTROL MASTER'!$S$2:$S$495=13)*('CONTROL MASTER'!$T$2:$T$495&lt;=8)*('CONTROL MASTER'!$V$2:$V$495&gt;=8)*('CONTROL MASTER'!$U$2:$U$495&lt;=10)*('CONTROL MASTER'!$W$2:$W$495&gt;=10))*ROW('CONTROL MASTER'!$S$2:$S$495))-(ROW('CONTROL MASTER'!#REF!)-1))),IF(SUMPRODUCT((('CONTROL MASTER'!$S$2:$S$495=13)*('CONTROL MASTER'!$Z$2:$Z$495&lt;=8)*('CONTROL MASTER'!$AB$2:$AB$495&gt;=8)*('CONTROL MASTER'!$AA$2:$AA$495&lt;=10)*('CONTROL MASTER'!$AC$2:$AC$495&gt;=10))*ROW('CONTROL MASTER'!$S$2:$S$495))&gt;0,INDEX('CONTROL MASTER'!$X$2:$X$495,(SUMPRODUCT((('CONTROL MASTER'!$S$2:$S$495=13)*('CONTROL MASTER'!$Z$2:$Z$495&lt;=8)*('CONTROL MASTER'!$AB$2:$AB$495&gt;=8)*('CONTROL MASTER'!$AA$2:$AA$495&lt;=10)*('CONTROL MASTER'!$AC$2:$AC$495&gt;=10))*ROW('CONTROL MASTER'!$S$2:$S$495))-(ROW('CONTROL MASTER'!#REF!)-1)))&amp;TRIM(MID(SUBSTITUTE(SUBSTITUTE(INDEX('CONTROL MASTER'!$N$2:$N$495,(SUMPRODUCT((('CONTROL MASTER'!$S$2:$S$495=13)*('CONTROL MASTER'!$Z$2:$Z$495&lt;=8)*('CONTROL MASTER'!$AB$2:$AB$495&gt;=8)*('CONTROL MASTER'!$AA$2:$AA$495&lt;=10)*('CONTROL MASTER'!$AC$2:$AC$495&gt;=10))*ROW('CONTROL MASTER'!$S$2:$S$495))-(ROW('CONTROL MASTER'!#REF!)-1))),":",","),",",REPT(" ",50)),(((INDEX('CONTROL MASTER'!$Y$2:$Y$495,(SUMPRODUCT((('CONTROL MASTER'!$S$2:$S$495=13)*('CONTROL MASTER'!$Z$2:$Z$495&lt;=8)*('CONTROL MASTER'!$AB$2:$AB$495&gt;=8)*('CONTROL MASTER'!$AA$2:$AA$495&lt;=10)*('CONTROL MASTER'!$AC$2:$AC$495&gt;=10))*ROW('CONTROL MASTER'!$S$2:$S$495))-(ROW('CONTROL MASTER'!#REF!)-1)))+((8-INDEX('CONTROL MASTER'!$Z$2:$Z$495,(SUMPRODUCT((('CONTROL MASTER'!$S$2:$S$495=13)*('CONTROL MASTER'!$Z$2:$Z$495&lt;=8)*('CONTROL MASTER'!$AB$2:$AB$495&gt;=8)*('CONTROL MASTER'!$AA$2:$AA$495&lt;=10)*('CONTROL MASTER'!$AC$2:$AC$495&gt;=10))*ROW('CONTROL MASTER'!$S$2:$S$495))-(ROW('CONTROL MASTER'!#REF!)-1))))*(INDEX('CONTROL MASTER'!$AC$2:$AC$495,(SUMPRODUCT((('CONTROL MASTER'!$S$2:$S$495=13)*('CONTROL MASTER'!$Z$2:$Z$495&lt;=8)*('CONTROL MASTER'!$AB$2:$AB$495&gt;=8)*('CONTROL MASTER'!$AA$2:$AA$495&lt;=10)*('CONTROL MASTER'!$AC$2:$AC$495&gt;=10))*ROW('CONTROL MASTER'!$S$2:$S$495))-(ROW('CONTROL MASTER'!#REF!)-1)))-INDEX('CONTROL MASTER'!$AA$2:$AA$495,(SUMPRODUCT((('CONTROL MASTER'!$S$2:$S$495=13)*('CONTROL MASTER'!$Z$2:$Z$495&lt;=8)*('CONTROL MASTER'!$AB$2:$AB$495&gt;=8)*('CONTROL MASTER'!$AA$2:$AA$495&lt;=10)*('CONTROL MASTER'!$AC$2:$AC$495&gt;=10))*ROW('CONTROL MASTER'!$S$2:$S$495))-(ROW('CONTROL MASTER'!#REF!)-1)))+1)+(10-INDEX('CONTROL MASTER'!$AA$2:$AA$495,(SUMPRODUCT((('CONTROL MASTER'!$S$2:$S$495=13)*('CONTROL MASTER'!$Z$2:$Z$495&lt;=8)*('CONTROL MASTER'!$AB$2:$AB$495&gt;=8)*('CONTROL MASTER'!$AA$2:$AA$495&lt;=10)*('CONTROL MASTER'!$AC$2:$AC$495&gt;=10))*ROW('CONTROL MASTER'!$S$2:$S$495))-(ROW('CONTROL MASTER'!#REF!)-1))))+1)))-1)*50+1,50))&amp;"_"&amp;INDEX('CONTROL MASTER'!$P$2:$P$495,(SUMPRODUCT((('CONTROL MASTER'!$S$2:$S$495=13)*('CONTROL MASTER'!$Z$2:$Z$495&lt;=8)*('CONTROL MASTER'!$AB$2:$AB$495&gt;=8)*('CONTROL MASTER'!$AA$2:$AA$495&lt;=10)*('CONTROL MASTER'!$AC$2:$AC$495&gt;=10))*ROW('CONTROL MASTER'!$S$2:$S$495))-(ROW('CONTROL MASTER'!#REF!)-1))),"")),"")</f>
        <v/>
      </c>
    </row>
    <row r="179" spans="1:11" ht="15" customHeight="1" x14ac:dyDescent="0.35">
      <c r="A179" s="8" t="s">
        <v>81</v>
      </c>
      <c r="B179" s="10" t="str">
        <f>IFERROR(IF(SUMPRODUCT((('CONTROL MASTER'!$S$2:$S$495=13)*('CONTROL MASTER'!$T$2:$T$495&lt;=9)*('CONTROL MASTER'!$V$2:$V$495&gt;=9)*('CONTROL MASTER'!$U$2:$U$495&lt;=1)*('CONTROL MASTER'!$W$2:$W$495&gt;=1))*ROW('CONTROL MASTER'!$S$2:$S$495))&gt;0,INDEX('CONTROL MASTER'!$X$2:$X$495,(SUMPRODUCT((('CONTROL MASTER'!$S$2:$S$495=13)*('CONTROL MASTER'!$T$2:$T$495&lt;=9)*('CONTROL MASTER'!$V$2:$V$495&gt;=9)*('CONTROL MASTER'!$U$2:$U$495&lt;=1)*('CONTROL MASTER'!$W$2:$W$495&gt;=1))*ROW('CONTROL MASTER'!$S$2:$S$495))-(ROW('CONTROL MASTER'!#REF!)-1)))&amp;TRIM(MID(SUBSTITUTE(SUBSTITUTE(INDEX('CONTROL MASTER'!$N$2:$N$495,(SUMPRODUCT((('CONTROL MASTER'!$S$2:$S$495=13)*('CONTROL MASTER'!$T$2:$T$495&lt;=9)*('CONTROL MASTER'!$V$2:$V$495&gt;=9)*('CONTROL MASTER'!$U$2:$U$495&lt;=1)*('CONTROL MASTER'!$W$2:$W$495&gt;=1))*ROW('CONTROL MASTER'!$S$2:$S$495))-(ROW('CONTROL MASTER'!#REF!)-1))),":",","),",",REPT(" ",50)),((((9-INDEX('CONTROL MASTER'!$T$2:$T$495,(SUMPRODUCT((('CONTROL MASTER'!$S$2:$S$495=13)*('CONTROL MASTER'!$T$2:$T$495&lt;=9)*('CONTROL MASTER'!$V$2:$V$495&gt;=9)*('CONTROL MASTER'!$U$2:$U$495&lt;=1)*('CONTROL MASTER'!$W$2:$W$495&gt;=1))*ROW('CONTROL MASTER'!$S$2:$S$495))-(ROW('CONTROL MASTER'!#REF!)-1))))*(INDEX('CONTROL MASTER'!$W$2:$W$495,(SUMPRODUCT((('CONTROL MASTER'!$S$2:$S$495=13)*('CONTROL MASTER'!$T$2:$T$495&lt;=9)*('CONTROL MASTER'!$V$2:$V$495&gt;=9)*('CONTROL MASTER'!$U$2:$U$495&lt;=1)*('CONTROL MASTER'!$W$2:$W$495&gt;=1))*ROW('CONTROL MASTER'!$S$2:$S$495))-(ROW('CONTROL MASTER'!#REF!)-1)))-INDEX('CONTROL MASTER'!$U$2:$U$495,(SUMPRODUCT((('CONTROL MASTER'!$S$2:$S$495=13)*('CONTROL MASTER'!$T$2:$T$495&lt;=9)*('CONTROL MASTER'!$V$2:$V$495&gt;=9)*('CONTROL MASTER'!$U$2:$U$495&lt;=1)*('CONTROL MASTER'!$W$2:$W$495&gt;=1))*ROW('CONTROL MASTER'!$S$2:$S$495))-(ROW('CONTROL MASTER'!#REF!)-1)))+1)+(1-INDEX('CONTROL MASTER'!$U$2:$U$495,(SUMPRODUCT((('CONTROL MASTER'!$S$2:$S$495=13)*('CONTROL MASTER'!$T$2:$T$495&lt;=9)*('CONTROL MASTER'!$V$2:$V$495&gt;=9)*('CONTROL MASTER'!$U$2:$U$495&lt;=1)*('CONTROL MASTER'!$W$2:$W$495&gt;=1))*ROW('CONTROL MASTER'!$S$2:$S$495))-(ROW('CONTROL MASTER'!#REF!)-1))))+1))-1)*50+1,50))&amp;"_"&amp;INDEX('CONTROL MASTER'!$P$2:$P$495,(SUMPRODUCT((('CONTROL MASTER'!$S$2:$S$495=13)*('CONTROL MASTER'!$T$2:$T$495&lt;=9)*('CONTROL MASTER'!$V$2:$V$495&gt;=9)*('CONTROL MASTER'!$U$2:$U$495&lt;=1)*('CONTROL MASTER'!$W$2:$W$495&gt;=1))*ROW('CONTROL MASTER'!$S$2:$S$495))-(ROW('CONTROL MASTER'!#REF!)-1))),IF(SUMPRODUCT((('CONTROL MASTER'!$S$2:$S$495=13)*('CONTROL MASTER'!$Z$2:$Z$495&lt;=9)*('CONTROL MASTER'!$AB$2:$AB$495&gt;=9)*('CONTROL MASTER'!$AA$2:$AA$495&lt;=1)*('CONTROL MASTER'!$AC$2:$AC$495&gt;=1))*ROW('CONTROL MASTER'!$S$2:$S$495))&gt;0,INDEX('CONTROL MASTER'!$X$2:$X$495,(SUMPRODUCT((('CONTROL MASTER'!$S$2:$S$495=13)*('CONTROL MASTER'!$Z$2:$Z$495&lt;=9)*('CONTROL MASTER'!$AB$2:$AB$495&gt;=9)*('CONTROL MASTER'!$AA$2:$AA$495&lt;=1)*('CONTROL MASTER'!$AC$2:$AC$495&gt;=1))*ROW('CONTROL MASTER'!$S$2:$S$495))-(ROW('CONTROL MASTER'!#REF!)-1)))&amp;TRIM(MID(SUBSTITUTE(SUBSTITUTE(INDEX('CONTROL MASTER'!$N$2:$N$495,(SUMPRODUCT((('CONTROL MASTER'!$S$2:$S$495=13)*('CONTROL MASTER'!$Z$2:$Z$495&lt;=9)*('CONTROL MASTER'!$AB$2:$AB$495&gt;=9)*('CONTROL MASTER'!$AA$2:$AA$495&lt;=1)*('CONTROL MASTER'!$AC$2:$AC$495&gt;=1))*ROW('CONTROL MASTER'!$S$2:$S$495))-(ROW('CONTROL MASTER'!#REF!)-1))),":",","),",",REPT(" ",50)),(((INDEX('CONTROL MASTER'!$Y$2:$Y$495,(SUMPRODUCT((('CONTROL MASTER'!$S$2:$S$495=13)*('CONTROL MASTER'!$Z$2:$Z$495&lt;=9)*('CONTROL MASTER'!$AB$2:$AB$495&gt;=9)*('CONTROL MASTER'!$AA$2:$AA$495&lt;=1)*('CONTROL MASTER'!$AC$2:$AC$495&gt;=1))*ROW('CONTROL MASTER'!$S$2:$S$495))-(ROW('CONTROL MASTER'!#REF!)-1)))+((9-INDEX('CONTROL MASTER'!$Z$2:$Z$495,(SUMPRODUCT((('CONTROL MASTER'!$S$2:$S$495=13)*('CONTROL MASTER'!$Z$2:$Z$495&lt;=9)*('CONTROL MASTER'!$AB$2:$AB$495&gt;=9)*('CONTROL MASTER'!$AA$2:$AA$495&lt;=1)*('CONTROL MASTER'!$AC$2:$AC$495&gt;=1))*ROW('CONTROL MASTER'!$S$2:$S$495))-(ROW('CONTROL MASTER'!#REF!)-1))))*(INDEX('CONTROL MASTER'!$AC$2:$AC$495,(SUMPRODUCT((('CONTROL MASTER'!$S$2:$S$495=13)*('CONTROL MASTER'!$Z$2:$Z$495&lt;=9)*('CONTROL MASTER'!$AB$2:$AB$495&gt;=9)*('CONTROL MASTER'!$AA$2:$AA$495&lt;=1)*('CONTROL MASTER'!$AC$2:$AC$495&gt;=1))*ROW('CONTROL MASTER'!$S$2:$S$495))-(ROW('CONTROL MASTER'!#REF!)-1)))-INDEX('CONTROL MASTER'!$AA$2:$AA$495,(SUMPRODUCT((('CONTROL MASTER'!$S$2:$S$495=13)*('CONTROL MASTER'!$Z$2:$Z$495&lt;=9)*('CONTROL MASTER'!$AB$2:$AB$495&gt;=9)*('CONTROL MASTER'!$AA$2:$AA$495&lt;=1)*('CONTROL MASTER'!$AC$2:$AC$495&gt;=1))*ROW('CONTROL MASTER'!$S$2:$S$495))-(ROW('CONTROL MASTER'!#REF!)-1)))+1)+(1-INDEX('CONTROL MASTER'!$AA$2:$AA$495,(SUMPRODUCT((('CONTROL MASTER'!$S$2:$S$495=13)*('CONTROL MASTER'!$Z$2:$Z$495&lt;=9)*('CONTROL MASTER'!$AB$2:$AB$495&gt;=9)*('CONTROL MASTER'!$AA$2:$AA$495&lt;=1)*('CONTROL MASTER'!$AC$2:$AC$495&gt;=1))*ROW('CONTROL MASTER'!$S$2:$S$495))-(ROW('CONTROL MASTER'!#REF!)-1))))+1)))-1)*50+1,50))&amp;"_"&amp;INDEX('CONTROL MASTER'!$P$2:$P$495,(SUMPRODUCT((('CONTROL MASTER'!$S$2:$S$495=13)*('CONTROL MASTER'!$Z$2:$Z$495&lt;=9)*('CONTROL MASTER'!$AB$2:$AB$495&gt;=9)*('CONTROL MASTER'!$AA$2:$AA$495&lt;=1)*('CONTROL MASTER'!$AC$2:$AC$495&gt;=1))*ROW('CONTROL MASTER'!$S$2:$S$495))-(ROW('CONTROL MASTER'!#REF!)-1))),"")),"")</f>
        <v/>
      </c>
      <c r="C179" s="10" t="str">
        <f>IFERROR(IF(SUMPRODUCT((('CONTROL MASTER'!$S$2:$S$495=13)*('CONTROL MASTER'!$T$2:$T$495&lt;=9)*('CONTROL MASTER'!$V$2:$V$495&gt;=9)*('CONTROL MASTER'!$U$2:$U$495&lt;=2)*('CONTROL MASTER'!$W$2:$W$495&gt;=2))*ROW('CONTROL MASTER'!$S$2:$S$495))&gt;0,INDEX('CONTROL MASTER'!$X$2:$X$495,(SUMPRODUCT((('CONTROL MASTER'!$S$2:$S$495=13)*('CONTROL MASTER'!$T$2:$T$495&lt;=9)*('CONTROL MASTER'!$V$2:$V$495&gt;=9)*('CONTROL MASTER'!$U$2:$U$495&lt;=2)*('CONTROL MASTER'!$W$2:$W$495&gt;=2))*ROW('CONTROL MASTER'!$S$2:$S$495))-(ROW('CONTROL MASTER'!#REF!)-1)))&amp;TRIM(MID(SUBSTITUTE(SUBSTITUTE(INDEX('CONTROL MASTER'!$N$2:$N$495,(SUMPRODUCT((('CONTROL MASTER'!$S$2:$S$495=13)*('CONTROL MASTER'!$T$2:$T$495&lt;=9)*('CONTROL MASTER'!$V$2:$V$495&gt;=9)*('CONTROL MASTER'!$U$2:$U$495&lt;=2)*('CONTROL MASTER'!$W$2:$W$495&gt;=2))*ROW('CONTROL MASTER'!$S$2:$S$495))-(ROW('CONTROL MASTER'!#REF!)-1))),":",","),",",REPT(" ",50)),((((9-INDEX('CONTROL MASTER'!$T$2:$T$495,(SUMPRODUCT((('CONTROL MASTER'!$S$2:$S$495=13)*('CONTROL MASTER'!$T$2:$T$495&lt;=9)*('CONTROL MASTER'!$V$2:$V$495&gt;=9)*('CONTROL MASTER'!$U$2:$U$495&lt;=2)*('CONTROL MASTER'!$W$2:$W$495&gt;=2))*ROW('CONTROL MASTER'!$S$2:$S$495))-(ROW('CONTROL MASTER'!#REF!)-1))))*(INDEX('CONTROL MASTER'!$W$2:$W$495,(SUMPRODUCT((('CONTROL MASTER'!$S$2:$S$495=13)*('CONTROL MASTER'!$T$2:$T$495&lt;=9)*('CONTROL MASTER'!$V$2:$V$495&gt;=9)*('CONTROL MASTER'!$U$2:$U$495&lt;=2)*('CONTROL MASTER'!$W$2:$W$495&gt;=2))*ROW('CONTROL MASTER'!$S$2:$S$495))-(ROW('CONTROL MASTER'!#REF!)-1)))-INDEX('CONTROL MASTER'!$U$2:$U$495,(SUMPRODUCT((('CONTROL MASTER'!$S$2:$S$495=13)*('CONTROL MASTER'!$T$2:$T$495&lt;=9)*('CONTROL MASTER'!$V$2:$V$495&gt;=9)*('CONTROL MASTER'!$U$2:$U$495&lt;=2)*('CONTROL MASTER'!$W$2:$W$495&gt;=2))*ROW('CONTROL MASTER'!$S$2:$S$495))-(ROW('CONTROL MASTER'!#REF!)-1)))+1)+(2-INDEX('CONTROL MASTER'!$U$2:$U$495,(SUMPRODUCT((('CONTROL MASTER'!$S$2:$S$495=13)*('CONTROL MASTER'!$T$2:$T$495&lt;=9)*('CONTROL MASTER'!$V$2:$V$495&gt;=9)*('CONTROL MASTER'!$U$2:$U$495&lt;=2)*('CONTROL MASTER'!$W$2:$W$495&gt;=2))*ROW('CONTROL MASTER'!$S$2:$S$495))-(ROW('CONTROL MASTER'!#REF!)-1))))+1))-1)*50+1,50))&amp;"_"&amp;INDEX('CONTROL MASTER'!$P$2:$P$495,(SUMPRODUCT((('CONTROL MASTER'!$S$2:$S$495=13)*('CONTROL MASTER'!$T$2:$T$495&lt;=9)*('CONTROL MASTER'!$V$2:$V$495&gt;=9)*('CONTROL MASTER'!$U$2:$U$495&lt;=2)*('CONTROL MASTER'!$W$2:$W$495&gt;=2))*ROW('CONTROL MASTER'!$S$2:$S$495))-(ROW('CONTROL MASTER'!#REF!)-1))),IF(SUMPRODUCT((('CONTROL MASTER'!$S$2:$S$495=13)*('CONTROL MASTER'!$Z$2:$Z$495&lt;=9)*('CONTROL MASTER'!$AB$2:$AB$495&gt;=9)*('CONTROL MASTER'!$AA$2:$AA$495&lt;=2)*('CONTROL MASTER'!$AC$2:$AC$495&gt;=2))*ROW('CONTROL MASTER'!$S$2:$S$495))&gt;0,INDEX('CONTROL MASTER'!$X$2:$X$495,(SUMPRODUCT((('CONTROL MASTER'!$S$2:$S$495=13)*('CONTROL MASTER'!$Z$2:$Z$495&lt;=9)*('CONTROL MASTER'!$AB$2:$AB$495&gt;=9)*('CONTROL MASTER'!$AA$2:$AA$495&lt;=2)*('CONTROL MASTER'!$AC$2:$AC$495&gt;=2))*ROW('CONTROL MASTER'!$S$2:$S$495))-(ROW('CONTROL MASTER'!#REF!)-1)))&amp;TRIM(MID(SUBSTITUTE(SUBSTITUTE(INDEX('CONTROL MASTER'!$N$2:$N$495,(SUMPRODUCT((('CONTROL MASTER'!$S$2:$S$495=13)*('CONTROL MASTER'!$Z$2:$Z$495&lt;=9)*('CONTROL MASTER'!$AB$2:$AB$495&gt;=9)*('CONTROL MASTER'!$AA$2:$AA$495&lt;=2)*('CONTROL MASTER'!$AC$2:$AC$495&gt;=2))*ROW('CONTROL MASTER'!$S$2:$S$495))-(ROW('CONTROL MASTER'!#REF!)-1))),":",","),",",REPT(" ",50)),(((INDEX('CONTROL MASTER'!$Y$2:$Y$495,(SUMPRODUCT((('CONTROL MASTER'!$S$2:$S$495=13)*('CONTROL MASTER'!$Z$2:$Z$495&lt;=9)*('CONTROL MASTER'!$AB$2:$AB$495&gt;=9)*('CONTROL MASTER'!$AA$2:$AA$495&lt;=2)*('CONTROL MASTER'!$AC$2:$AC$495&gt;=2))*ROW('CONTROL MASTER'!$S$2:$S$495))-(ROW('CONTROL MASTER'!#REF!)-1)))+((9-INDEX('CONTROL MASTER'!$Z$2:$Z$495,(SUMPRODUCT((('CONTROL MASTER'!$S$2:$S$495=13)*('CONTROL MASTER'!$Z$2:$Z$495&lt;=9)*('CONTROL MASTER'!$AB$2:$AB$495&gt;=9)*('CONTROL MASTER'!$AA$2:$AA$495&lt;=2)*('CONTROL MASTER'!$AC$2:$AC$495&gt;=2))*ROW('CONTROL MASTER'!$S$2:$S$495))-(ROW('CONTROL MASTER'!#REF!)-1))))*(INDEX('CONTROL MASTER'!$AC$2:$AC$495,(SUMPRODUCT((('CONTROL MASTER'!$S$2:$S$495=13)*('CONTROL MASTER'!$Z$2:$Z$495&lt;=9)*('CONTROL MASTER'!$AB$2:$AB$495&gt;=9)*('CONTROL MASTER'!$AA$2:$AA$495&lt;=2)*('CONTROL MASTER'!$AC$2:$AC$495&gt;=2))*ROW('CONTROL MASTER'!$S$2:$S$495))-(ROW('CONTROL MASTER'!#REF!)-1)))-INDEX('CONTROL MASTER'!$AA$2:$AA$495,(SUMPRODUCT((('CONTROL MASTER'!$S$2:$S$495=13)*('CONTROL MASTER'!$Z$2:$Z$495&lt;=9)*('CONTROL MASTER'!$AB$2:$AB$495&gt;=9)*('CONTROL MASTER'!$AA$2:$AA$495&lt;=2)*('CONTROL MASTER'!$AC$2:$AC$495&gt;=2))*ROW('CONTROL MASTER'!$S$2:$S$495))-(ROW('CONTROL MASTER'!#REF!)-1)))+1)+(2-INDEX('CONTROL MASTER'!$AA$2:$AA$495,(SUMPRODUCT((('CONTROL MASTER'!$S$2:$S$495=13)*('CONTROL MASTER'!$Z$2:$Z$495&lt;=9)*('CONTROL MASTER'!$AB$2:$AB$495&gt;=9)*('CONTROL MASTER'!$AA$2:$AA$495&lt;=2)*('CONTROL MASTER'!$AC$2:$AC$495&gt;=2))*ROW('CONTROL MASTER'!$S$2:$S$495))-(ROW('CONTROL MASTER'!#REF!)-1))))+1)))-1)*50+1,50))&amp;"_"&amp;INDEX('CONTROL MASTER'!$P$2:$P$495,(SUMPRODUCT((('CONTROL MASTER'!$S$2:$S$495=13)*('CONTROL MASTER'!$Z$2:$Z$495&lt;=9)*('CONTROL MASTER'!$AB$2:$AB$495&gt;=9)*('CONTROL MASTER'!$AA$2:$AA$495&lt;=2)*('CONTROL MASTER'!$AC$2:$AC$495&gt;=2))*ROW('CONTROL MASTER'!$S$2:$S$495))-(ROW('CONTROL MASTER'!#REF!)-1))),"")),"")</f>
        <v/>
      </c>
      <c r="D179" s="10" t="str">
        <f>IFERROR(IF(SUMPRODUCT((('CONTROL MASTER'!$S$2:$S$495=13)*('CONTROL MASTER'!$T$2:$T$495&lt;=9)*('CONTROL MASTER'!$V$2:$V$495&gt;=9)*('CONTROL MASTER'!$U$2:$U$495&lt;=3)*('CONTROL MASTER'!$W$2:$W$495&gt;=3))*ROW('CONTROL MASTER'!$S$2:$S$495))&gt;0,INDEX('CONTROL MASTER'!$X$2:$X$495,(SUMPRODUCT((('CONTROL MASTER'!$S$2:$S$495=13)*('CONTROL MASTER'!$T$2:$T$495&lt;=9)*('CONTROL MASTER'!$V$2:$V$495&gt;=9)*('CONTROL MASTER'!$U$2:$U$495&lt;=3)*('CONTROL MASTER'!$W$2:$W$495&gt;=3))*ROW('CONTROL MASTER'!$S$2:$S$495))-(ROW('CONTROL MASTER'!#REF!)-1)))&amp;TRIM(MID(SUBSTITUTE(SUBSTITUTE(INDEX('CONTROL MASTER'!$N$2:$N$495,(SUMPRODUCT((('CONTROL MASTER'!$S$2:$S$495=13)*('CONTROL MASTER'!$T$2:$T$495&lt;=9)*('CONTROL MASTER'!$V$2:$V$495&gt;=9)*('CONTROL MASTER'!$U$2:$U$495&lt;=3)*('CONTROL MASTER'!$W$2:$W$495&gt;=3))*ROW('CONTROL MASTER'!$S$2:$S$495))-(ROW('CONTROL MASTER'!#REF!)-1))),":",","),",",REPT(" ",50)),((((9-INDEX('CONTROL MASTER'!$T$2:$T$495,(SUMPRODUCT((('CONTROL MASTER'!$S$2:$S$495=13)*('CONTROL MASTER'!$T$2:$T$495&lt;=9)*('CONTROL MASTER'!$V$2:$V$495&gt;=9)*('CONTROL MASTER'!$U$2:$U$495&lt;=3)*('CONTROL MASTER'!$W$2:$W$495&gt;=3))*ROW('CONTROL MASTER'!$S$2:$S$495))-(ROW('CONTROL MASTER'!#REF!)-1))))*(INDEX('CONTROL MASTER'!$W$2:$W$495,(SUMPRODUCT((('CONTROL MASTER'!$S$2:$S$495=13)*('CONTROL MASTER'!$T$2:$T$495&lt;=9)*('CONTROL MASTER'!$V$2:$V$495&gt;=9)*('CONTROL MASTER'!$U$2:$U$495&lt;=3)*('CONTROL MASTER'!$W$2:$W$495&gt;=3))*ROW('CONTROL MASTER'!$S$2:$S$495))-(ROW('CONTROL MASTER'!#REF!)-1)))-INDEX('CONTROL MASTER'!$U$2:$U$495,(SUMPRODUCT((('CONTROL MASTER'!$S$2:$S$495=13)*('CONTROL MASTER'!$T$2:$T$495&lt;=9)*('CONTROL MASTER'!$V$2:$V$495&gt;=9)*('CONTROL MASTER'!$U$2:$U$495&lt;=3)*('CONTROL MASTER'!$W$2:$W$495&gt;=3))*ROW('CONTROL MASTER'!$S$2:$S$495))-(ROW('CONTROL MASTER'!#REF!)-1)))+1)+(3-INDEX('CONTROL MASTER'!$U$2:$U$495,(SUMPRODUCT((('CONTROL MASTER'!$S$2:$S$495=13)*('CONTROL MASTER'!$T$2:$T$495&lt;=9)*('CONTROL MASTER'!$V$2:$V$495&gt;=9)*('CONTROL MASTER'!$U$2:$U$495&lt;=3)*('CONTROL MASTER'!$W$2:$W$495&gt;=3))*ROW('CONTROL MASTER'!$S$2:$S$495))-(ROW('CONTROL MASTER'!#REF!)-1))))+1))-1)*50+1,50))&amp;"_"&amp;INDEX('CONTROL MASTER'!$P$2:$P$495,(SUMPRODUCT((('CONTROL MASTER'!$S$2:$S$495=13)*('CONTROL MASTER'!$T$2:$T$495&lt;=9)*('CONTROL MASTER'!$V$2:$V$495&gt;=9)*('CONTROL MASTER'!$U$2:$U$495&lt;=3)*('CONTROL MASTER'!$W$2:$W$495&gt;=3))*ROW('CONTROL MASTER'!$S$2:$S$495))-(ROW('CONTROL MASTER'!#REF!)-1))),IF(SUMPRODUCT((('CONTROL MASTER'!$S$2:$S$495=13)*('CONTROL MASTER'!$Z$2:$Z$495&lt;=9)*('CONTROL MASTER'!$AB$2:$AB$495&gt;=9)*('CONTROL MASTER'!$AA$2:$AA$495&lt;=3)*('CONTROL MASTER'!$AC$2:$AC$495&gt;=3))*ROW('CONTROL MASTER'!$S$2:$S$495))&gt;0,INDEX('CONTROL MASTER'!$X$2:$X$495,(SUMPRODUCT((('CONTROL MASTER'!$S$2:$S$495=13)*('CONTROL MASTER'!$Z$2:$Z$495&lt;=9)*('CONTROL MASTER'!$AB$2:$AB$495&gt;=9)*('CONTROL MASTER'!$AA$2:$AA$495&lt;=3)*('CONTROL MASTER'!$AC$2:$AC$495&gt;=3))*ROW('CONTROL MASTER'!$S$2:$S$495))-(ROW('CONTROL MASTER'!#REF!)-1)))&amp;TRIM(MID(SUBSTITUTE(SUBSTITUTE(INDEX('CONTROL MASTER'!$N$2:$N$495,(SUMPRODUCT((('CONTROL MASTER'!$S$2:$S$495=13)*('CONTROL MASTER'!$Z$2:$Z$495&lt;=9)*('CONTROL MASTER'!$AB$2:$AB$495&gt;=9)*('CONTROL MASTER'!$AA$2:$AA$495&lt;=3)*('CONTROL MASTER'!$AC$2:$AC$495&gt;=3))*ROW('CONTROL MASTER'!$S$2:$S$495))-(ROW('CONTROL MASTER'!#REF!)-1))),":",","),",",REPT(" ",50)),(((INDEX('CONTROL MASTER'!$Y$2:$Y$495,(SUMPRODUCT((('CONTROL MASTER'!$S$2:$S$495=13)*('CONTROL MASTER'!$Z$2:$Z$495&lt;=9)*('CONTROL MASTER'!$AB$2:$AB$495&gt;=9)*('CONTROL MASTER'!$AA$2:$AA$495&lt;=3)*('CONTROL MASTER'!$AC$2:$AC$495&gt;=3))*ROW('CONTROL MASTER'!$S$2:$S$495))-(ROW('CONTROL MASTER'!#REF!)-1)))+((9-INDEX('CONTROL MASTER'!$Z$2:$Z$495,(SUMPRODUCT((('CONTROL MASTER'!$S$2:$S$495=13)*('CONTROL MASTER'!$Z$2:$Z$495&lt;=9)*('CONTROL MASTER'!$AB$2:$AB$495&gt;=9)*('CONTROL MASTER'!$AA$2:$AA$495&lt;=3)*('CONTROL MASTER'!$AC$2:$AC$495&gt;=3))*ROW('CONTROL MASTER'!$S$2:$S$495))-(ROW('CONTROL MASTER'!#REF!)-1))))*(INDEX('CONTROL MASTER'!$AC$2:$AC$495,(SUMPRODUCT((('CONTROL MASTER'!$S$2:$S$495=13)*('CONTROL MASTER'!$Z$2:$Z$495&lt;=9)*('CONTROL MASTER'!$AB$2:$AB$495&gt;=9)*('CONTROL MASTER'!$AA$2:$AA$495&lt;=3)*('CONTROL MASTER'!$AC$2:$AC$495&gt;=3))*ROW('CONTROL MASTER'!$S$2:$S$495))-(ROW('CONTROL MASTER'!#REF!)-1)))-INDEX('CONTROL MASTER'!$AA$2:$AA$495,(SUMPRODUCT((('CONTROL MASTER'!$S$2:$S$495=13)*('CONTROL MASTER'!$Z$2:$Z$495&lt;=9)*('CONTROL MASTER'!$AB$2:$AB$495&gt;=9)*('CONTROL MASTER'!$AA$2:$AA$495&lt;=3)*('CONTROL MASTER'!$AC$2:$AC$495&gt;=3))*ROW('CONTROL MASTER'!$S$2:$S$495))-(ROW('CONTROL MASTER'!#REF!)-1)))+1)+(3-INDEX('CONTROL MASTER'!$AA$2:$AA$495,(SUMPRODUCT((('CONTROL MASTER'!$S$2:$S$495=13)*('CONTROL MASTER'!$Z$2:$Z$495&lt;=9)*('CONTROL MASTER'!$AB$2:$AB$495&gt;=9)*('CONTROL MASTER'!$AA$2:$AA$495&lt;=3)*('CONTROL MASTER'!$AC$2:$AC$495&gt;=3))*ROW('CONTROL MASTER'!$S$2:$S$495))-(ROW('CONTROL MASTER'!#REF!)-1))))+1)))-1)*50+1,50))&amp;"_"&amp;INDEX('CONTROL MASTER'!$P$2:$P$495,(SUMPRODUCT((('CONTROL MASTER'!$S$2:$S$495=13)*('CONTROL MASTER'!$Z$2:$Z$495&lt;=9)*('CONTROL MASTER'!$AB$2:$AB$495&gt;=9)*('CONTROL MASTER'!$AA$2:$AA$495&lt;=3)*('CONTROL MASTER'!$AC$2:$AC$495&gt;=3))*ROW('CONTROL MASTER'!$S$2:$S$495))-(ROW('CONTROL MASTER'!#REF!)-1))),"")),"")</f>
        <v/>
      </c>
      <c r="E179" s="10" t="str">
        <f>IFERROR(IF(SUMPRODUCT((('CONTROL MASTER'!$S$2:$S$495=13)*('CONTROL MASTER'!$T$2:$T$495&lt;=9)*('CONTROL MASTER'!$V$2:$V$495&gt;=9)*('CONTROL MASTER'!$U$2:$U$495&lt;=4)*('CONTROL MASTER'!$W$2:$W$495&gt;=4))*ROW('CONTROL MASTER'!$S$2:$S$495))&gt;0,INDEX('CONTROL MASTER'!$X$2:$X$495,(SUMPRODUCT((('CONTROL MASTER'!$S$2:$S$495=13)*('CONTROL MASTER'!$T$2:$T$495&lt;=9)*('CONTROL MASTER'!$V$2:$V$495&gt;=9)*('CONTROL MASTER'!$U$2:$U$495&lt;=4)*('CONTROL MASTER'!$W$2:$W$495&gt;=4))*ROW('CONTROL MASTER'!$S$2:$S$495))-(ROW('CONTROL MASTER'!#REF!)-1)))&amp;TRIM(MID(SUBSTITUTE(SUBSTITUTE(INDEX('CONTROL MASTER'!$N$2:$N$495,(SUMPRODUCT((('CONTROL MASTER'!$S$2:$S$495=13)*('CONTROL MASTER'!$T$2:$T$495&lt;=9)*('CONTROL MASTER'!$V$2:$V$495&gt;=9)*('CONTROL MASTER'!$U$2:$U$495&lt;=4)*('CONTROL MASTER'!$W$2:$W$495&gt;=4))*ROW('CONTROL MASTER'!$S$2:$S$495))-(ROW('CONTROL MASTER'!#REF!)-1))),":",","),",",REPT(" ",50)),((((9-INDEX('CONTROL MASTER'!$T$2:$T$495,(SUMPRODUCT((('CONTROL MASTER'!$S$2:$S$495=13)*('CONTROL MASTER'!$T$2:$T$495&lt;=9)*('CONTROL MASTER'!$V$2:$V$495&gt;=9)*('CONTROL MASTER'!$U$2:$U$495&lt;=4)*('CONTROL MASTER'!$W$2:$W$495&gt;=4))*ROW('CONTROL MASTER'!$S$2:$S$495))-(ROW('CONTROL MASTER'!#REF!)-1))))*(INDEX('CONTROL MASTER'!$W$2:$W$495,(SUMPRODUCT((('CONTROL MASTER'!$S$2:$S$495=13)*('CONTROL MASTER'!$T$2:$T$495&lt;=9)*('CONTROL MASTER'!$V$2:$V$495&gt;=9)*('CONTROL MASTER'!$U$2:$U$495&lt;=4)*('CONTROL MASTER'!$W$2:$W$495&gt;=4))*ROW('CONTROL MASTER'!$S$2:$S$495))-(ROW('CONTROL MASTER'!#REF!)-1)))-INDEX('CONTROL MASTER'!$U$2:$U$495,(SUMPRODUCT((('CONTROL MASTER'!$S$2:$S$495=13)*('CONTROL MASTER'!$T$2:$T$495&lt;=9)*('CONTROL MASTER'!$V$2:$V$495&gt;=9)*('CONTROL MASTER'!$U$2:$U$495&lt;=4)*('CONTROL MASTER'!$W$2:$W$495&gt;=4))*ROW('CONTROL MASTER'!$S$2:$S$495))-(ROW('CONTROL MASTER'!#REF!)-1)))+1)+(4-INDEX('CONTROL MASTER'!$U$2:$U$495,(SUMPRODUCT((('CONTROL MASTER'!$S$2:$S$495=13)*('CONTROL MASTER'!$T$2:$T$495&lt;=9)*('CONTROL MASTER'!$V$2:$V$495&gt;=9)*('CONTROL MASTER'!$U$2:$U$495&lt;=4)*('CONTROL MASTER'!$W$2:$W$495&gt;=4))*ROW('CONTROL MASTER'!$S$2:$S$495))-(ROW('CONTROL MASTER'!#REF!)-1))))+1))-1)*50+1,50))&amp;"_"&amp;INDEX('CONTROL MASTER'!$P$2:$P$495,(SUMPRODUCT((('CONTROL MASTER'!$S$2:$S$495=13)*('CONTROL MASTER'!$T$2:$T$495&lt;=9)*('CONTROL MASTER'!$V$2:$V$495&gt;=9)*('CONTROL MASTER'!$U$2:$U$495&lt;=4)*('CONTROL MASTER'!$W$2:$W$495&gt;=4))*ROW('CONTROL MASTER'!$S$2:$S$495))-(ROW('CONTROL MASTER'!#REF!)-1))),IF(SUMPRODUCT((('CONTROL MASTER'!$S$2:$S$495=13)*('CONTROL MASTER'!$Z$2:$Z$495&lt;=9)*('CONTROL MASTER'!$AB$2:$AB$495&gt;=9)*('CONTROL MASTER'!$AA$2:$AA$495&lt;=4)*('CONTROL MASTER'!$AC$2:$AC$495&gt;=4))*ROW('CONTROL MASTER'!$S$2:$S$495))&gt;0,INDEX('CONTROL MASTER'!$X$2:$X$495,(SUMPRODUCT((('CONTROL MASTER'!$S$2:$S$495=13)*('CONTROL MASTER'!$Z$2:$Z$495&lt;=9)*('CONTROL MASTER'!$AB$2:$AB$495&gt;=9)*('CONTROL MASTER'!$AA$2:$AA$495&lt;=4)*('CONTROL MASTER'!$AC$2:$AC$495&gt;=4))*ROW('CONTROL MASTER'!$S$2:$S$495))-(ROW('CONTROL MASTER'!#REF!)-1)))&amp;TRIM(MID(SUBSTITUTE(SUBSTITUTE(INDEX('CONTROL MASTER'!$N$2:$N$495,(SUMPRODUCT((('CONTROL MASTER'!$S$2:$S$495=13)*('CONTROL MASTER'!$Z$2:$Z$495&lt;=9)*('CONTROL MASTER'!$AB$2:$AB$495&gt;=9)*('CONTROL MASTER'!$AA$2:$AA$495&lt;=4)*('CONTROL MASTER'!$AC$2:$AC$495&gt;=4))*ROW('CONTROL MASTER'!$S$2:$S$495))-(ROW('CONTROL MASTER'!#REF!)-1))),":",","),",",REPT(" ",50)),(((INDEX('CONTROL MASTER'!$Y$2:$Y$495,(SUMPRODUCT((('CONTROL MASTER'!$S$2:$S$495=13)*('CONTROL MASTER'!$Z$2:$Z$495&lt;=9)*('CONTROL MASTER'!$AB$2:$AB$495&gt;=9)*('CONTROL MASTER'!$AA$2:$AA$495&lt;=4)*('CONTROL MASTER'!$AC$2:$AC$495&gt;=4))*ROW('CONTROL MASTER'!$S$2:$S$495))-(ROW('CONTROL MASTER'!#REF!)-1)))+((9-INDEX('CONTROL MASTER'!$Z$2:$Z$495,(SUMPRODUCT((('CONTROL MASTER'!$S$2:$S$495=13)*('CONTROL MASTER'!$Z$2:$Z$495&lt;=9)*('CONTROL MASTER'!$AB$2:$AB$495&gt;=9)*('CONTROL MASTER'!$AA$2:$AA$495&lt;=4)*('CONTROL MASTER'!$AC$2:$AC$495&gt;=4))*ROW('CONTROL MASTER'!$S$2:$S$495))-(ROW('CONTROL MASTER'!#REF!)-1))))*(INDEX('CONTROL MASTER'!$AC$2:$AC$495,(SUMPRODUCT((('CONTROL MASTER'!$S$2:$S$495=13)*('CONTROL MASTER'!$Z$2:$Z$495&lt;=9)*('CONTROL MASTER'!$AB$2:$AB$495&gt;=9)*('CONTROL MASTER'!$AA$2:$AA$495&lt;=4)*('CONTROL MASTER'!$AC$2:$AC$495&gt;=4))*ROW('CONTROL MASTER'!$S$2:$S$495))-(ROW('CONTROL MASTER'!#REF!)-1)))-INDEX('CONTROL MASTER'!$AA$2:$AA$495,(SUMPRODUCT((('CONTROL MASTER'!$S$2:$S$495=13)*('CONTROL MASTER'!$Z$2:$Z$495&lt;=9)*('CONTROL MASTER'!$AB$2:$AB$495&gt;=9)*('CONTROL MASTER'!$AA$2:$AA$495&lt;=4)*('CONTROL MASTER'!$AC$2:$AC$495&gt;=4))*ROW('CONTROL MASTER'!$S$2:$S$495))-(ROW('CONTROL MASTER'!#REF!)-1)))+1)+(4-INDEX('CONTROL MASTER'!$AA$2:$AA$495,(SUMPRODUCT((('CONTROL MASTER'!$S$2:$S$495=13)*('CONTROL MASTER'!$Z$2:$Z$495&lt;=9)*('CONTROL MASTER'!$AB$2:$AB$495&gt;=9)*('CONTROL MASTER'!$AA$2:$AA$495&lt;=4)*('CONTROL MASTER'!$AC$2:$AC$495&gt;=4))*ROW('CONTROL MASTER'!$S$2:$S$495))-(ROW('CONTROL MASTER'!#REF!)-1))))+1)))-1)*50+1,50))&amp;"_"&amp;INDEX('CONTROL MASTER'!$P$2:$P$495,(SUMPRODUCT((('CONTROL MASTER'!$S$2:$S$495=13)*('CONTROL MASTER'!$Z$2:$Z$495&lt;=9)*('CONTROL MASTER'!$AB$2:$AB$495&gt;=9)*('CONTROL MASTER'!$AA$2:$AA$495&lt;=4)*('CONTROL MASTER'!$AC$2:$AC$495&gt;=4))*ROW('CONTROL MASTER'!$S$2:$S$495))-(ROW('CONTROL MASTER'!#REF!)-1))),"")),"")</f>
        <v/>
      </c>
      <c r="F179" s="10" t="str">
        <f>IFERROR(IF(SUMPRODUCT((('CONTROL MASTER'!$S$2:$S$495=13)*('CONTROL MASTER'!$T$2:$T$495&lt;=9)*('CONTROL MASTER'!$V$2:$V$495&gt;=9)*('CONTROL MASTER'!$U$2:$U$495&lt;=5)*('CONTROL MASTER'!$W$2:$W$495&gt;=5))*ROW('CONTROL MASTER'!$S$2:$S$495))&gt;0,INDEX('CONTROL MASTER'!$X$2:$X$495,(SUMPRODUCT((('CONTROL MASTER'!$S$2:$S$495=13)*('CONTROL MASTER'!$T$2:$T$495&lt;=9)*('CONTROL MASTER'!$V$2:$V$495&gt;=9)*('CONTROL MASTER'!$U$2:$U$495&lt;=5)*('CONTROL MASTER'!$W$2:$W$495&gt;=5))*ROW('CONTROL MASTER'!$S$2:$S$495))-(ROW('CONTROL MASTER'!#REF!)-1)))&amp;TRIM(MID(SUBSTITUTE(SUBSTITUTE(INDEX('CONTROL MASTER'!$N$2:$N$495,(SUMPRODUCT((('CONTROL MASTER'!$S$2:$S$495=13)*('CONTROL MASTER'!$T$2:$T$495&lt;=9)*('CONTROL MASTER'!$V$2:$V$495&gt;=9)*('CONTROL MASTER'!$U$2:$U$495&lt;=5)*('CONTROL MASTER'!$W$2:$W$495&gt;=5))*ROW('CONTROL MASTER'!$S$2:$S$495))-(ROW('CONTROL MASTER'!#REF!)-1))),":",","),",",REPT(" ",50)),((((9-INDEX('CONTROL MASTER'!$T$2:$T$495,(SUMPRODUCT((('CONTROL MASTER'!$S$2:$S$495=13)*('CONTROL MASTER'!$T$2:$T$495&lt;=9)*('CONTROL MASTER'!$V$2:$V$495&gt;=9)*('CONTROL MASTER'!$U$2:$U$495&lt;=5)*('CONTROL MASTER'!$W$2:$W$495&gt;=5))*ROW('CONTROL MASTER'!$S$2:$S$495))-(ROW('CONTROL MASTER'!#REF!)-1))))*(INDEX('CONTROL MASTER'!$W$2:$W$495,(SUMPRODUCT((('CONTROL MASTER'!$S$2:$S$495=13)*('CONTROL MASTER'!$T$2:$T$495&lt;=9)*('CONTROL MASTER'!$V$2:$V$495&gt;=9)*('CONTROL MASTER'!$U$2:$U$495&lt;=5)*('CONTROL MASTER'!$W$2:$W$495&gt;=5))*ROW('CONTROL MASTER'!$S$2:$S$495))-(ROW('CONTROL MASTER'!#REF!)-1)))-INDEX('CONTROL MASTER'!$U$2:$U$495,(SUMPRODUCT((('CONTROL MASTER'!$S$2:$S$495=13)*('CONTROL MASTER'!$T$2:$T$495&lt;=9)*('CONTROL MASTER'!$V$2:$V$495&gt;=9)*('CONTROL MASTER'!$U$2:$U$495&lt;=5)*('CONTROL MASTER'!$W$2:$W$495&gt;=5))*ROW('CONTROL MASTER'!$S$2:$S$495))-(ROW('CONTROL MASTER'!#REF!)-1)))+1)+(5-INDEX('CONTROL MASTER'!$U$2:$U$495,(SUMPRODUCT((('CONTROL MASTER'!$S$2:$S$495=13)*('CONTROL MASTER'!$T$2:$T$495&lt;=9)*('CONTROL MASTER'!$V$2:$V$495&gt;=9)*('CONTROL MASTER'!$U$2:$U$495&lt;=5)*('CONTROL MASTER'!$W$2:$W$495&gt;=5))*ROW('CONTROL MASTER'!$S$2:$S$495))-(ROW('CONTROL MASTER'!#REF!)-1))))+1))-1)*50+1,50))&amp;"_"&amp;INDEX('CONTROL MASTER'!$P$2:$P$495,(SUMPRODUCT((('CONTROL MASTER'!$S$2:$S$495=13)*('CONTROL MASTER'!$T$2:$T$495&lt;=9)*('CONTROL MASTER'!$V$2:$V$495&gt;=9)*('CONTROL MASTER'!$U$2:$U$495&lt;=5)*('CONTROL MASTER'!$W$2:$W$495&gt;=5))*ROW('CONTROL MASTER'!$S$2:$S$495))-(ROW('CONTROL MASTER'!#REF!)-1))),IF(SUMPRODUCT((('CONTROL MASTER'!$S$2:$S$495=13)*('CONTROL MASTER'!$Z$2:$Z$495&lt;=9)*('CONTROL MASTER'!$AB$2:$AB$495&gt;=9)*('CONTROL MASTER'!$AA$2:$AA$495&lt;=5)*('CONTROL MASTER'!$AC$2:$AC$495&gt;=5))*ROW('CONTROL MASTER'!$S$2:$S$495))&gt;0,INDEX('CONTROL MASTER'!$X$2:$X$495,(SUMPRODUCT((('CONTROL MASTER'!$S$2:$S$495=13)*('CONTROL MASTER'!$Z$2:$Z$495&lt;=9)*('CONTROL MASTER'!$AB$2:$AB$495&gt;=9)*('CONTROL MASTER'!$AA$2:$AA$495&lt;=5)*('CONTROL MASTER'!$AC$2:$AC$495&gt;=5))*ROW('CONTROL MASTER'!$S$2:$S$495))-(ROW('CONTROL MASTER'!#REF!)-1)))&amp;TRIM(MID(SUBSTITUTE(SUBSTITUTE(INDEX('CONTROL MASTER'!$N$2:$N$495,(SUMPRODUCT((('CONTROL MASTER'!$S$2:$S$495=13)*('CONTROL MASTER'!$Z$2:$Z$495&lt;=9)*('CONTROL MASTER'!$AB$2:$AB$495&gt;=9)*('CONTROL MASTER'!$AA$2:$AA$495&lt;=5)*('CONTROL MASTER'!$AC$2:$AC$495&gt;=5))*ROW('CONTROL MASTER'!$S$2:$S$495))-(ROW('CONTROL MASTER'!#REF!)-1))),":",","),",",REPT(" ",50)),(((INDEX('CONTROL MASTER'!$Y$2:$Y$495,(SUMPRODUCT((('CONTROL MASTER'!$S$2:$S$495=13)*('CONTROL MASTER'!$Z$2:$Z$495&lt;=9)*('CONTROL MASTER'!$AB$2:$AB$495&gt;=9)*('CONTROL MASTER'!$AA$2:$AA$495&lt;=5)*('CONTROL MASTER'!$AC$2:$AC$495&gt;=5))*ROW('CONTROL MASTER'!$S$2:$S$495))-(ROW('CONTROL MASTER'!#REF!)-1)))+((9-INDEX('CONTROL MASTER'!$Z$2:$Z$495,(SUMPRODUCT((('CONTROL MASTER'!$S$2:$S$495=13)*('CONTROL MASTER'!$Z$2:$Z$495&lt;=9)*('CONTROL MASTER'!$AB$2:$AB$495&gt;=9)*('CONTROL MASTER'!$AA$2:$AA$495&lt;=5)*('CONTROL MASTER'!$AC$2:$AC$495&gt;=5))*ROW('CONTROL MASTER'!$S$2:$S$495))-(ROW('CONTROL MASTER'!#REF!)-1))))*(INDEX('CONTROL MASTER'!$AC$2:$AC$495,(SUMPRODUCT((('CONTROL MASTER'!$S$2:$S$495=13)*('CONTROL MASTER'!$Z$2:$Z$495&lt;=9)*('CONTROL MASTER'!$AB$2:$AB$495&gt;=9)*('CONTROL MASTER'!$AA$2:$AA$495&lt;=5)*('CONTROL MASTER'!$AC$2:$AC$495&gt;=5))*ROW('CONTROL MASTER'!$S$2:$S$495))-(ROW('CONTROL MASTER'!#REF!)-1)))-INDEX('CONTROL MASTER'!$AA$2:$AA$495,(SUMPRODUCT((('CONTROL MASTER'!$S$2:$S$495=13)*('CONTROL MASTER'!$Z$2:$Z$495&lt;=9)*('CONTROL MASTER'!$AB$2:$AB$495&gt;=9)*('CONTROL MASTER'!$AA$2:$AA$495&lt;=5)*('CONTROL MASTER'!$AC$2:$AC$495&gt;=5))*ROW('CONTROL MASTER'!$S$2:$S$495))-(ROW('CONTROL MASTER'!#REF!)-1)))+1)+(5-INDEX('CONTROL MASTER'!$AA$2:$AA$495,(SUMPRODUCT((('CONTROL MASTER'!$S$2:$S$495=13)*('CONTROL MASTER'!$Z$2:$Z$495&lt;=9)*('CONTROL MASTER'!$AB$2:$AB$495&gt;=9)*('CONTROL MASTER'!$AA$2:$AA$495&lt;=5)*('CONTROL MASTER'!$AC$2:$AC$495&gt;=5))*ROW('CONTROL MASTER'!$S$2:$S$495))-(ROW('CONTROL MASTER'!#REF!)-1))))+1)))-1)*50+1,50))&amp;"_"&amp;INDEX('CONTROL MASTER'!$P$2:$P$495,(SUMPRODUCT((('CONTROL MASTER'!$S$2:$S$495=13)*('CONTROL MASTER'!$Z$2:$Z$495&lt;=9)*('CONTROL MASTER'!$AB$2:$AB$495&gt;=9)*('CONTROL MASTER'!$AA$2:$AA$495&lt;=5)*('CONTROL MASTER'!$AC$2:$AC$495&gt;=5))*ROW('CONTROL MASTER'!$S$2:$S$495))-(ROW('CONTROL MASTER'!#REF!)-1))),"")),"")</f>
        <v/>
      </c>
      <c r="G179" s="10" t="str">
        <f>IFERROR(IF(SUMPRODUCT((('CONTROL MASTER'!$S$2:$S$495=13)*('CONTROL MASTER'!$T$2:$T$495&lt;=9)*('CONTROL MASTER'!$V$2:$V$495&gt;=9)*('CONTROL MASTER'!$U$2:$U$495&lt;=6)*('CONTROL MASTER'!$W$2:$W$495&gt;=6))*ROW('CONTROL MASTER'!$S$2:$S$495))&gt;0,INDEX('CONTROL MASTER'!$X$2:$X$495,(SUMPRODUCT((('CONTROL MASTER'!$S$2:$S$495=13)*('CONTROL MASTER'!$T$2:$T$495&lt;=9)*('CONTROL MASTER'!$V$2:$V$495&gt;=9)*('CONTROL MASTER'!$U$2:$U$495&lt;=6)*('CONTROL MASTER'!$W$2:$W$495&gt;=6))*ROW('CONTROL MASTER'!$S$2:$S$495))-(ROW('CONTROL MASTER'!#REF!)-1)))&amp;TRIM(MID(SUBSTITUTE(SUBSTITUTE(INDEX('CONTROL MASTER'!$N$2:$N$495,(SUMPRODUCT((('CONTROL MASTER'!$S$2:$S$495=13)*('CONTROL MASTER'!$T$2:$T$495&lt;=9)*('CONTROL MASTER'!$V$2:$V$495&gt;=9)*('CONTROL MASTER'!$U$2:$U$495&lt;=6)*('CONTROL MASTER'!$W$2:$W$495&gt;=6))*ROW('CONTROL MASTER'!$S$2:$S$495))-(ROW('CONTROL MASTER'!#REF!)-1))),":",","),",",REPT(" ",50)),((((9-INDEX('CONTROL MASTER'!$T$2:$T$495,(SUMPRODUCT((('CONTROL MASTER'!$S$2:$S$495=13)*('CONTROL MASTER'!$T$2:$T$495&lt;=9)*('CONTROL MASTER'!$V$2:$V$495&gt;=9)*('CONTROL MASTER'!$U$2:$U$495&lt;=6)*('CONTROL MASTER'!$W$2:$W$495&gt;=6))*ROW('CONTROL MASTER'!$S$2:$S$495))-(ROW('CONTROL MASTER'!#REF!)-1))))*(INDEX('CONTROL MASTER'!$W$2:$W$495,(SUMPRODUCT((('CONTROL MASTER'!$S$2:$S$495=13)*('CONTROL MASTER'!$T$2:$T$495&lt;=9)*('CONTROL MASTER'!$V$2:$V$495&gt;=9)*('CONTROL MASTER'!$U$2:$U$495&lt;=6)*('CONTROL MASTER'!$W$2:$W$495&gt;=6))*ROW('CONTROL MASTER'!$S$2:$S$495))-(ROW('CONTROL MASTER'!#REF!)-1)))-INDEX('CONTROL MASTER'!$U$2:$U$495,(SUMPRODUCT((('CONTROL MASTER'!$S$2:$S$495=13)*('CONTROL MASTER'!$T$2:$T$495&lt;=9)*('CONTROL MASTER'!$V$2:$V$495&gt;=9)*('CONTROL MASTER'!$U$2:$U$495&lt;=6)*('CONTROL MASTER'!$W$2:$W$495&gt;=6))*ROW('CONTROL MASTER'!$S$2:$S$495))-(ROW('CONTROL MASTER'!#REF!)-1)))+1)+(6-INDEX('CONTROL MASTER'!$U$2:$U$495,(SUMPRODUCT((('CONTROL MASTER'!$S$2:$S$495=13)*('CONTROL MASTER'!$T$2:$T$495&lt;=9)*('CONTROL MASTER'!$V$2:$V$495&gt;=9)*('CONTROL MASTER'!$U$2:$U$495&lt;=6)*('CONTROL MASTER'!$W$2:$W$495&gt;=6))*ROW('CONTROL MASTER'!$S$2:$S$495))-(ROW('CONTROL MASTER'!#REF!)-1))))+1))-1)*50+1,50))&amp;"_"&amp;INDEX('CONTROL MASTER'!$P$2:$P$495,(SUMPRODUCT((('CONTROL MASTER'!$S$2:$S$495=13)*('CONTROL MASTER'!$T$2:$T$495&lt;=9)*('CONTROL MASTER'!$V$2:$V$495&gt;=9)*('CONTROL MASTER'!$U$2:$U$495&lt;=6)*('CONTROL MASTER'!$W$2:$W$495&gt;=6))*ROW('CONTROL MASTER'!$S$2:$S$495))-(ROW('CONTROL MASTER'!#REF!)-1))),IF(SUMPRODUCT((('CONTROL MASTER'!$S$2:$S$495=13)*('CONTROL MASTER'!$Z$2:$Z$495&lt;=9)*('CONTROL MASTER'!$AB$2:$AB$495&gt;=9)*('CONTROL MASTER'!$AA$2:$AA$495&lt;=6)*('CONTROL MASTER'!$AC$2:$AC$495&gt;=6))*ROW('CONTROL MASTER'!$S$2:$S$495))&gt;0,INDEX('CONTROL MASTER'!$X$2:$X$495,(SUMPRODUCT((('CONTROL MASTER'!$S$2:$S$495=13)*('CONTROL MASTER'!$Z$2:$Z$495&lt;=9)*('CONTROL MASTER'!$AB$2:$AB$495&gt;=9)*('CONTROL MASTER'!$AA$2:$AA$495&lt;=6)*('CONTROL MASTER'!$AC$2:$AC$495&gt;=6))*ROW('CONTROL MASTER'!$S$2:$S$495))-(ROW('CONTROL MASTER'!#REF!)-1)))&amp;TRIM(MID(SUBSTITUTE(SUBSTITUTE(INDEX('CONTROL MASTER'!$N$2:$N$495,(SUMPRODUCT((('CONTROL MASTER'!$S$2:$S$495=13)*('CONTROL MASTER'!$Z$2:$Z$495&lt;=9)*('CONTROL MASTER'!$AB$2:$AB$495&gt;=9)*('CONTROL MASTER'!$AA$2:$AA$495&lt;=6)*('CONTROL MASTER'!$AC$2:$AC$495&gt;=6))*ROW('CONTROL MASTER'!$S$2:$S$495))-(ROW('CONTROL MASTER'!#REF!)-1))),":",","),",",REPT(" ",50)),(((INDEX('CONTROL MASTER'!$Y$2:$Y$495,(SUMPRODUCT((('CONTROL MASTER'!$S$2:$S$495=13)*('CONTROL MASTER'!$Z$2:$Z$495&lt;=9)*('CONTROL MASTER'!$AB$2:$AB$495&gt;=9)*('CONTROL MASTER'!$AA$2:$AA$495&lt;=6)*('CONTROL MASTER'!$AC$2:$AC$495&gt;=6))*ROW('CONTROL MASTER'!$S$2:$S$495))-(ROW('CONTROL MASTER'!#REF!)-1)))+((9-INDEX('CONTROL MASTER'!$Z$2:$Z$495,(SUMPRODUCT((('CONTROL MASTER'!$S$2:$S$495=13)*('CONTROL MASTER'!$Z$2:$Z$495&lt;=9)*('CONTROL MASTER'!$AB$2:$AB$495&gt;=9)*('CONTROL MASTER'!$AA$2:$AA$495&lt;=6)*('CONTROL MASTER'!$AC$2:$AC$495&gt;=6))*ROW('CONTROL MASTER'!$S$2:$S$495))-(ROW('CONTROL MASTER'!#REF!)-1))))*(INDEX('CONTROL MASTER'!$AC$2:$AC$495,(SUMPRODUCT((('CONTROL MASTER'!$S$2:$S$495=13)*('CONTROL MASTER'!$Z$2:$Z$495&lt;=9)*('CONTROL MASTER'!$AB$2:$AB$495&gt;=9)*('CONTROL MASTER'!$AA$2:$AA$495&lt;=6)*('CONTROL MASTER'!$AC$2:$AC$495&gt;=6))*ROW('CONTROL MASTER'!$S$2:$S$495))-(ROW('CONTROL MASTER'!#REF!)-1)))-INDEX('CONTROL MASTER'!$AA$2:$AA$495,(SUMPRODUCT((('CONTROL MASTER'!$S$2:$S$495=13)*('CONTROL MASTER'!$Z$2:$Z$495&lt;=9)*('CONTROL MASTER'!$AB$2:$AB$495&gt;=9)*('CONTROL MASTER'!$AA$2:$AA$495&lt;=6)*('CONTROL MASTER'!$AC$2:$AC$495&gt;=6))*ROW('CONTROL MASTER'!$S$2:$S$495))-(ROW('CONTROL MASTER'!#REF!)-1)))+1)+(6-INDEX('CONTROL MASTER'!$AA$2:$AA$495,(SUMPRODUCT((('CONTROL MASTER'!$S$2:$S$495=13)*('CONTROL MASTER'!$Z$2:$Z$495&lt;=9)*('CONTROL MASTER'!$AB$2:$AB$495&gt;=9)*('CONTROL MASTER'!$AA$2:$AA$495&lt;=6)*('CONTROL MASTER'!$AC$2:$AC$495&gt;=6))*ROW('CONTROL MASTER'!$S$2:$S$495))-(ROW('CONTROL MASTER'!#REF!)-1))))+1)))-1)*50+1,50))&amp;"_"&amp;INDEX('CONTROL MASTER'!$P$2:$P$495,(SUMPRODUCT((('CONTROL MASTER'!$S$2:$S$495=13)*('CONTROL MASTER'!$Z$2:$Z$495&lt;=9)*('CONTROL MASTER'!$AB$2:$AB$495&gt;=9)*('CONTROL MASTER'!$AA$2:$AA$495&lt;=6)*('CONTROL MASTER'!$AC$2:$AC$495&gt;=6))*ROW('CONTROL MASTER'!$S$2:$S$495))-(ROW('CONTROL MASTER'!#REF!)-1))),"")),"")</f>
        <v/>
      </c>
      <c r="H179" s="10" t="str">
        <f>IFERROR(IF(SUMPRODUCT((('CONTROL MASTER'!$S$2:$S$495=13)*('CONTROL MASTER'!$T$2:$T$495&lt;=9)*('CONTROL MASTER'!$V$2:$V$495&gt;=9)*('CONTROL MASTER'!$U$2:$U$495&lt;=7)*('CONTROL MASTER'!$W$2:$W$495&gt;=7))*ROW('CONTROL MASTER'!$S$2:$S$495))&gt;0,INDEX('CONTROL MASTER'!$X$2:$X$495,(SUMPRODUCT((('CONTROL MASTER'!$S$2:$S$495=13)*('CONTROL MASTER'!$T$2:$T$495&lt;=9)*('CONTROL MASTER'!$V$2:$V$495&gt;=9)*('CONTROL MASTER'!$U$2:$U$495&lt;=7)*('CONTROL MASTER'!$W$2:$W$495&gt;=7))*ROW('CONTROL MASTER'!$S$2:$S$495))-(ROW('CONTROL MASTER'!#REF!)-1)))&amp;TRIM(MID(SUBSTITUTE(SUBSTITUTE(INDEX('CONTROL MASTER'!$N$2:$N$495,(SUMPRODUCT((('CONTROL MASTER'!$S$2:$S$495=13)*('CONTROL MASTER'!$T$2:$T$495&lt;=9)*('CONTROL MASTER'!$V$2:$V$495&gt;=9)*('CONTROL MASTER'!$U$2:$U$495&lt;=7)*('CONTROL MASTER'!$W$2:$W$495&gt;=7))*ROW('CONTROL MASTER'!$S$2:$S$495))-(ROW('CONTROL MASTER'!#REF!)-1))),":",","),",",REPT(" ",50)),((((9-INDEX('CONTROL MASTER'!$T$2:$T$495,(SUMPRODUCT((('CONTROL MASTER'!$S$2:$S$495=13)*('CONTROL MASTER'!$T$2:$T$495&lt;=9)*('CONTROL MASTER'!$V$2:$V$495&gt;=9)*('CONTROL MASTER'!$U$2:$U$495&lt;=7)*('CONTROL MASTER'!$W$2:$W$495&gt;=7))*ROW('CONTROL MASTER'!$S$2:$S$495))-(ROW('CONTROL MASTER'!#REF!)-1))))*(INDEX('CONTROL MASTER'!$W$2:$W$495,(SUMPRODUCT((('CONTROL MASTER'!$S$2:$S$495=13)*('CONTROL MASTER'!$T$2:$T$495&lt;=9)*('CONTROL MASTER'!$V$2:$V$495&gt;=9)*('CONTROL MASTER'!$U$2:$U$495&lt;=7)*('CONTROL MASTER'!$W$2:$W$495&gt;=7))*ROW('CONTROL MASTER'!$S$2:$S$495))-(ROW('CONTROL MASTER'!#REF!)-1)))-INDEX('CONTROL MASTER'!$U$2:$U$495,(SUMPRODUCT((('CONTROL MASTER'!$S$2:$S$495=13)*('CONTROL MASTER'!$T$2:$T$495&lt;=9)*('CONTROL MASTER'!$V$2:$V$495&gt;=9)*('CONTROL MASTER'!$U$2:$U$495&lt;=7)*('CONTROL MASTER'!$W$2:$W$495&gt;=7))*ROW('CONTROL MASTER'!$S$2:$S$495))-(ROW('CONTROL MASTER'!#REF!)-1)))+1)+(7-INDEX('CONTROL MASTER'!$U$2:$U$495,(SUMPRODUCT((('CONTROL MASTER'!$S$2:$S$495=13)*('CONTROL MASTER'!$T$2:$T$495&lt;=9)*('CONTROL MASTER'!$V$2:$V$495&gt;=9)*('CONTROL MASTER'!$U$2:$U$495&lt;=7)*('CONTROL MASTER'!$W$2:$W$495&gt;=7))*ROW('CONTROL MASTER'!$S$2:$S$495))-(ROW('CONTROL MASTER'!#REF!)-1))))+1))-1)*50+1,50))&amp;"_"&amp;INDEX('CONTROL MASTER'!$P$2:$P$495,(SUMPRODUCT((('CONTROL MASTER'!$S$2:$S$495=13)*('CONTROL MASTER'!$T$2:$T$495&lt;=9)*('CONTROL MASTER'!$V$2:$V$495&gt;=9)*('CONTROL MASTER'!$U$2:$U$495&lt;=7)*('CONTROL MASTER'!$W$2:$W$495&gt;=7))*ROW('CONTROL MASTER'!$S$2:$S$495))-(ROW('CONTROL MASTER'!#REF!)-1))),IF(SUMPRODUCT((('CONTROL MASTER'!$S$2:$S$495=13)*('CONTROL MASTER'!$Z$2:$Z$495&lt;=9)*('CONTROL MASTER'!$AB$2:$AB$495&gt;=9)*('CONTROL MASTER'!$AA$2:$AA$495&lt;=7)*('CONTROL MASTER'!$AC$2:$AC$495&gt;=7))*ROW('CONTROL MASTER'!$S$2:$S$495))&gt;0,INDEX('CONTROL MASTER'!$X$2:$X$495,(SUMPRODUCT((('CONTROL MASTER'!$S$2:$S$495=13)*('CONTROL MASTER'!$Z$2:$Z$495&lt;=9)*('CONTROL MASTER'!$AB$2:$AB$495&gt;=9)*('CONTROL MASTER'!$AA$2:$AA$495&lt;=7)*('CONTROL MASTER'!$AC$2:$AC$495&gt;=7))*ROW('CONTROL MASTER'!$S$2:$S$495))-(ROW('CONTROL MASTER'!#REF!)-1)))&amp;TRIM(MID(SUBSTITUTE(SUBSTITUTE(INDEX('CONTROL MASTER'!$N$2:$N$495,(SUMPRODUCT((('CONTROL MASTER'!$S$2:$S$495=13)*('CONTROL MASTER'!$Z$2:$Z$495&lt;=9)*('CONTROL MASTER'!$AB$2:$AB$495&gt;=9)*('CONTROL MASTER'!$AA$2:$AA$495&lt;=7)*('CONTROL MASTER'!$AC$2:$AC$495&gt;=7))*ROW('CONTROL MASTER'!$S$2:$S$495))-(ROW('CONTROL MASTER'!#REF!)-1))),":",","),",",REPT(" ",50)),(((INDEX('CONTROL MASTER'!$Y$2:$Y$495,(SUMPRODUCT((('CONTROL MASTER'!$S$2:$S$495=13)*('CONTROL MASTER'!$Z$2:$Z$495&lt;=9)*('CONTROL MASTER'!$AB$2:$AB$495&gt;=9)*('CONTROL MASTER'!$AA$2:$AA$495&lt;=7)*('CONTROL MASTER'!$AC$2:$AC$495&gt;=7))*ROW('CONTROL MASTER'!$S$2:$S$495))-(ROW('CONTROL MASTER'!#REF!)-1)))+((9-INDEX('CONTROL MASTER'!$Z$2:$Z$495,(SUMPRODUCT((('CONTROL MASTER'!$S$2:$S$495=13)*('CONTROL MASTER'!$Z$2:$Z$495&lt;=9)*('CONTROL MASTER'!$AB$2:$AB$495&gt;=9)*('CONTROL MASTER'!$AA$2:$AA$495&lt;=7)*('CONTROL MASTER'!$AC$2:$AC$495&gt;=7))*ROW('CONTROL MASTER'!$S$2:$S$495))-(ROW('CONTROL MASTER'!#REF!)-1))))*(INDEX('CONTROL MASTER'!$AC$2:$AC$495,(SUMPRODUCT((('CONTROL MASTER'!$S$2:$S$495=13)*('CONTROL MASTER'!$Z$2:$Z$495&lt;=9)*('CONTROL MASTER'!$AB$2:$AB$495&gt;=9)*('CONTROL MASTER'!$AA$2:$AA$495&lt;=7)*('CONTROL MASTER'!$AC$2:$AC$495&gt;=7))*ROW('CONTROL MASTER'!$S$2:$S$495))-(ROW('CONTROL MASTER'!#REF!)-1)))-INDEX('CONTROL MASTER'!$AA$2:$AA$495,(SUMPRODUCT((('CONTROL MASTER'!$S$2:$S$495=13)*('CONTROL MASTER'!$Z$2:$Z$495&lt;=9)*('CONTROL MASTER'!$AB$2:$AB$495&gt;=9)*('CONTROL MASTER'!$AA$2:$AA$495&lt;=7)*('CONTROL MASTER'!$AC$2:$AC$495&gt;=7))*ROW('CONTROL MASTER'!$S$2:$S$495))-(ROW('CONTROL MASTER'!#REF!)-1)))+1)+(7-INDEX('CONTROL MASTER'!$AA$2:$AA$495,(SUMPRODUCT((('CONTROL MASTER'!$S$2:$S$495=13)*('CONTROL MASTER'!$Z$2:$Z$495&lt;=9)*('CONTROL MASTER'!$AB$2:$AB$495&gt;=9)*('CONTROL MASTER'!$AA$2:$AA$495&lt;=7)*('CONTROL MASTER'!$AC$2:$AC$495&gt;=7))*ROW('CONTROL MASTER'!$S$2:$S$495))-(ROW('CONTROL MASTER'!#REF!)-1))))+1)))-1)*50+1,50))&amp;"_"&amp;INDEX('CONTROL MASTER'!$P$2:$P$495,(SUMPRODUCT((('CONTROL MASTER'!$S$2:$S$495=13)*('CONTROL MASTER'!$Z$2:$Z$495&lt;=9)*('CONTROL MASTER'!$AB$2:$AB$495&gt;=9)*('CONTROL MASTER'!$AA$2:$AA$495&lt;=7)*('CONTROL MASTER'!$AC$2:$AC$495&gt;=7))*ROW('CONTROL MASTER'!$S$2:$S$495))-(ROW('CONTROL MASTER'!#REF!)-1))),"")),"")</f>
        <v/>
      </c>
      <c r="I179" s="10" t="str">
        <f>IFERROR(IF(SUMPRODUCT((('CONTROL MASTER'!$S$2:$S$495=13)*('CONTROL MASTER'!$T$2:$T$495&lt;=9)*('CONTROL MASTER'!$V$2:$V$495&gt;=9)*('CONTROL MASTER'!$U$2:$U$495&lt;=8)*('CONTROL MASTER'!$W$2:$W$495&gt;=8))*ROW('CONTROL MASTER'!$S$2:$S$495))&gt;0,INDEX('CONTROL MASTER'!$X$2:$X$495,(SUMPRODUCT((('CONTROL MASTER'!$S$2:$S$495=13)*('CONTROL MASTER'!$T$2:$T$495&lt;=9)*('CONTROL MASTER'!$V$2:$V$495&gt;=9)*('CONTROL MASTER'!$U$2:$U$495&lt;=8)*('CONTROL MASTER'!$W$2:$W$495&gt;=8))*ROW('CONTROL MASTER'!$S$2:$S$495))-(ROW('CONTROL MASTER'!#REF!)-1)))&amp;TRIM(MID(SUBSTITUTE(SUBSTITUTE(INDEX('CONTROL MASTER'!$N$2:$N$495,(SUMPRODUCT((('CONTROL MASTER'!$S$2:$S$495=13)*('CONTROL MASTER'!$T$2:$T$495&lt;=9)*('CONTROL MASTER'!$V$2:$V$495&gt;=9)*('CONTROL MASTER'!$U$2:$U$495&lt;=8)*('CONTROL MASTER'!$W$2:$W$495&gt;=8))*ROW('CONTROL MASTER'!$S$2:$S$495))-(ROW('CONTROL MASTER'!#REF!)-1))),":",","),",",REPT(" ",50)),((((9-INDEX('CONTROL MASTER'!$T$2:$T$495,(SUMPRODUCT((('CONTROL MASTER'!$S$2:$S$495=13)*('CONTROL MASTER'!$T$2:$T$495&lt;=9)*('CONTROL MASTER'!$V$2:$V$495&gt;=9)*('CONTROL MASTER'!$U$2:$U$495&lt;=8)*('CONTROL MASTER'!$W$2:$W$495&gt;=8))*ROW('CONTROL MASTER'!$S$2:$S$495))-(ROW('CONTROL MASTER'!#REF!)-1))))*(INDEX('CONTROL MASTER'!$W$2:$W$495,(SUMPRODUCT((('CONTROL MASTER'!$S$2:$S$495=13)*('CONTROL MASTER'!$T$2:$T$495&lt;=9)*('CONTROL MASTER'!$V$2:$V$495&gt;=9)*('CONTROL MASTER'!$U$2:$U$495&lt;=8)*('CONTROL MASTER'!$W$2:$W$495&gt;=8))*ROW('CONTROL MASTER'!$S$2:$S$495))-(ROW('CONTROL MASTER'!#REF!)-1)))-INDEX('CONTROL MASTER'!$U$2:$U$495,(SUMPRODUCT((('CONTROL MASTER'!$S$2:$S$495=13)*('CONTROL MASTER'!$T$2:$T$495&lt;=9)*('CONTROL MASTER'!$V$2:$V$495&gt;=9)*('CONTROL MASTER'!$U$2:$U$495&lt;=8)*('CONTROL MASTER'!$W$2:$W$495&gt;=8))*ROW('CONTROL MASTER'!$S$2:$S$495))-(ROW('CONTROL MASTER'!#REF!)-1)))+1)+(8-INDEX('CONTROL MASTER'!$U$2:$U$495,(SUMPRODUCT((('CONTROL MASTER'!$S$2:$S$495=13)*('CONTROL MASTER'!$T$2:$T$495&lt;=9)*('CONTROL MASTER'!$V$2:$V$495&gt;=9)*('CONTROL MASTER'!$U$2:$U$495&lt;=8)*('CONTROL MASTER'!$W$2:$W$495&gt;=8))*ROW('CONTROL MASTER'!$S$2:$S$495))-(ROW('CONTROL MASTER'!#REF!)-1))))+1))-1)*50+1,50))&amp;"_"&amp;INDEX('CONTROL MASTER'!$P$2:$P$495,(SUMPRODUCT((('CONTROL MASTER'!$S$2:$S$495=13)*('CONTROL MASTER'!$T$2:$T$495&lt;=9)*('CONTROL MASTER'!$V$2:$V$495&gt;=9)*('CONTROL MASTER'!$U$2:$U$495&lt;=8)*('CONTROL MASTER'!$W$2:$W$495&gt;=8))*ROW('CONTROL MASTER'!$S$2:$S$495))-(ROW('CONTROL MASTER'!#REF!)-1))),IF(SUMPRODUCT((('CONTROL MASTER'!$S$2:$S$495=13)*('CONTROL MASTER'!$Z$2:$Z$495&lt;=9)*('CONTROL MASTER'!$AB$2:$AB$495&gt;=9)*('CONTROL MASTER'!$AA$2:$AA$495&lt;=8)*('CONTROL MASTER'!$AC$2:$AC$495&gt;=8))*ROW('CONTROL MASTER'!$S$2:$S$495))&gt;0,INDEX('CONTROL MASTER'!$X$2:$X$495,(SUMPRODUCT((('CONTROL MASTER'!$S$2:$S$495=13)*('CONTROL MASTER'!$Z$2:$Z$495&lt;=9)*('CONTROL MASTER'!$AB$2:$AB$495&gt;=9)*('CONTROL MASTER'!$AA$2:$AA$495&lt;=8)*('CONTROL MASTER'!$AC$2:$AC$495&gt;=8))*ROW('CONTROL MASTER'!$S$2:$S$495))-(ROW('CONTROL MASTER'!#REF!)-1)))&amp;TRIM(MID(SUBSTITUTE(SUBSTITUTE(INDEX('CONTROL MASTER'!$N$2:$N$495,(SUMPRODUCT((('CONTROL MASTER'!$S$2:$S$495=13)*('CONTROL MASTER'!$Z$2:$Z$495&lt;=9)*('CONTROL MASTER'!$AB$2:$AB$495&gt;=9)*('CONTROL MASTER'!$AA$2:$AA$495&lt;=8)*('CONTROL MASTER'!$AC$2:$AC$495&gt;=8))*ROW('CONTROL MASTER'!$S$2:$S$495))-(ROW('CONTROL MASTER'!#REF!)-1))),":",","),",",REPT(" ",50)),(((INDEX('CONTROL MASTER'!$Y$2:$Y$495,(SUMPRODUCT((('CONTROL MASTER'!$S$2:$S$495=13)*('CONTROL MASTER'!$Z$2:$Z$495&lt;=9)*('CONTROL MASTER'!$AB$2:$AB$495&gt;=9)*('CONTROL MASTER'!$AA$2:$AA$495&lt;=8)*('CONTROL MASTER'!$AC$2:$AC$495&gt;=8))*ROW('CONTROL MASTER'!$S$2:$S$495))-(ROW('CONTROL MASTER'!#REF!)-1)))+((9-INDEX('CONTROL MASTER'!$Z$2:$Z$495,(SUMPRODUCT((('CONTROL MASTER'!$S$2:$S$495=13)*('CONTROL MASTER'!$Z$2:$Z$495&lt;=9)*('CONTROL MASTER'!$AB$2:$AB$495&gt;=9)*('CONTROL MASTER'!$AA$2:$AA$495&lt;=8)*('CONTROL MASTER'!$AC$2:$AC$495&gt;=8))*ROW('CONTROL MASTER'!$S$2:$S$495))-(ROW('CONTROL MASTER'!#REF!)-1))))*(INDEX('CONTROL MASTER'!$AC$2:$AC$495,(SUMPRODUCT((('CONTROL MASTER'!$S$2:$S$495=13)*('CONTROL MASTER'!$Z$2:$Z$495&lt;=9)*('CONTROL MASTER'!$AB$2:$AB$495&gt;=9)*('CONTROL MASTER'!$AA$2:$AA$495&lt;=8)*('CONTROL MASTER'!$AC$2:$AC$495&gt;=8))*ROW('CONTROL MASTER'!$S$2:$S$495))-(ROW('CONTROL MASTER'!#REF!)-1)))-INDEX('CONTROL MASTER'!$AA$2:$AA$495,(SUMPRODUCT((('CONTROL MASTER'!$S$2:$S$495=13)*('CONTROL MASTER'!$Z$2:$Z$495&lt;=9)*('CONTROL MASTER'!$AB$2:$AB$495&gt;=9)*('CONTROL MASTER'!$AA$2:$AA$495&lt;=8)*('CONTROL MASTER'!$AC$2:$AC$495&gt;=8))*ROW('CONTROL MASTER'!$S$2:$S$495))-(ROW('CONTROL MASTER'!#REF!)-1)))+1)+(8-INDEX('CONTROL MASTER'!$AA$2:$AA$495,(SUMPRODUCT((('CONTROL MASTER'!$S$2:$S$495=13)*('CONTROL MASTER'!$Z$2:$Z$495&lt;=9)*('CONTROL MASTER'!$AB$2:$AB$495&gt;=9)*('CONTROL MASTER'!$AA$2:$AA$495&lt;=8)*('CONTROL MASTER'!$AC$2:$AC$495&gt;=8))*ROW('CONTROL MASTER'!$S$2:$S$495))-(ROW('CONTROL MASTER'!#REF!)-1))))+1)))-1)*50+1,50))&amp;"_"&amp;INDEX('CONTROL MASTER'!$P$2:$P$495,(SUMPRODUCT((('CONTROL MASTER'!$S$2:$S$495=13)*('CONTROL MASTER'!$Z$2:$Z$495&lt;=9)*('CONTROL MASTER'!$AB$2:$AB$495&gt;=9)*('CONTROL MASTER'!$AA$2:$AA$495&lt;=8)*('CONTROL MASTER'!$AC$2:$AC$495&gt;=8))*ROW('CONTROL MASTER'!$S$2:$S$495))-(ROW('CONTROL MASTER'!#REF!)-1))),"")),"")</f>
        <v/>
      </c>
      <c r="J179" s="10" t="str">
        <f>IFERROR(IF(SUMPRODUCT((('CONTROL MASTER'!$S$2:$S$495=13)*('CONTROL MASTER'!$T$2:$T$495&lt;=9)*('CONTROL MASTER'!$V$2:$V$495&gt;=9)*('CONTROL MASTER'!$U$2:$U$495&lt;=9)*('CONTROL MASTER'!$W$2:$W$495&gt;=9))*ROW('CONTROL MASTER'!$S$2:$S$495))&gt;0,INDEX('CONTROL MASTER'!$X$2:$X$495,(SUMPRODUCT((('CONTROL MASTER'!$S$2:$S$495=13)*('CONTROL MASTER'!$T$2:$T$495&lt;=9)*('CONTROL MASTER'!$V$2:$V$495&gt;=9)*('CONTROL MASTER'!$U$2:$U$495&lt;=9)*('CONTROL MASTER'!$W$2:$W$495&gt;=9))*ROW('CONTROL MASTER'!$S$2:$S$495))-(ROW('CONTROL MASTER'!#REF!)-1)))&amp;TRIM(MID(SUBSTITUTE(SUBSTITUTE(INDEX('CONTROL MASTER'!$N$2:$N$495,(SUMPRODUCT((('CONTROL MASTER'!$S$2:$S$495=13)*('CONTROL MASTER'!$T$2:$T$495&lt;=9)*('CONTROL MASTER'!$V$2:$V$495&gt;=9)*('CONTROL MASTER'!$U$2:$U$495&lt;=9)*('CONTROL MASTER'!$W$2:$W$495&gt;=9))*ROW('CONTROL MASTER'!$S$2:$S$495))-(ROW('CONTROL MASTER'!#REF!)-1))),":",","),",",REPT(" ",50)),((((9-INDEX('CONTROL MASTER'!$T$2:$T$495,(SUMPRODUCT((('CONTROL MASTER'!$S$2:$S$495=13)*('CONTROL MASTER'!$T$2:$T$495&lt;=9)*('CONTROL MASTER'!$V$2:$V$495&gt;=9)*('CONTROL MASTER'!$U$2:$U$495&lt;=9)*('CONTROL MASTER'!$W$2:$W$495&gt;=9))*ROW('CONTROL MASTER'!$S$2:$S$495))-(ROW('CONTROL MASTER'!#REF!)-1))))*(INDEX('CONTROL MASTER'!$W$2:$W$495,(SUMPRODUCT((('CONTROL MASTER'!$S$2:$S$495=13)*('CONTROL MASTER'!$T$2:$T$495&lt;=9)*('CONTROL MASTER'!$V$2:$V$495&gt;=9)*('CONTROL MASTER'!$U$2:$U$495&lt;=9)*('CONTROL MASTER'!$W$2:$W$495&gt;=9))*ROW('CONTROL MASTER'!$S$2:$S$495))-(ROW('CONTROL MASTER'!#REF!)-1)))-INDEX('CONTROL MASTER'!$U$2:$U$495,(SUMPRODUCT((('CONTROL MASTER'!$S$2:$S$495=13)*('CONTROL MASTER'!$T$2:$T$495&lt;=9)*('CONTROL MASTER'!$V$2:$V$495&gt;=9)*('CONTROL MASTER'!$U$2:$U$495&lt;=9)*('CONTROL MASTER'!$W$2:$W$495&gt;=9))*ROW('CONTROL MASTER'!$S$2:$S$495))-(ROW('CONTROL MASTER'!#REF!)-1)))+1)+(9-INDEX('CONTROL MASTER'!$U$2:$U$495,(SUMPRODUCT((('CONTROL MASTER'!$S$2:$S$495=13)*('CONTROL MASTER'!$T$2:$T$495&lt;=9)*('CONTROL MASTER'!$V$2:$V$495&gt;=9)*('CONTROL MASTER'!$U$2:$U$495&lt;=9)*('CONTROL MASTER'!$W$2:$W$495&gt;=9))*ROW('CONTROL MASTER'!$S$2:$S$495))-(ROW('CONTROL MASTER'!#REF!)-1))))+1))-1)*50+1,50))&amp;"_"&amp;INDEX('CONTROL MASTER'!$P$2:$P$495,(SUMPRODUCT((('CONTROL MASTER'!$S$2:$S$495=13)*('CONTROL MASTER'!$T$2:$T$495&lt;=9)*('CONTROL MASTER'!$V$2:$V$495&gt;=9)*('CONTROL MASTER'!$U$2:$U$495&lt;=9)*('CONTROL MASTER'!$W$2:$W$495&gt;=9))*ROW('CONTROL MASTER'!$S$2:$S$495))-(ROW('CONTROL MASTER'!#REF!)-1))),IF(SUMPRODUCT((('CONTROL MASTER'!$S$2:$S$495=13)*('CONTROL MASTER'!$Z$2:$Z$495&lt;=9)*('CONTROL MASTER'!$AB$2:$AB$495&gt;=9)*('CONTROL MASTER'!$AA$2:$AA$495&lt;=9)*('CONTROL MASTER'!$AC$2:$AC$495&gt;=9))*ROW('CONTROL MASTER'!$S$2:$S$495))&gt;0,INDEX('CONTROL MASTER'!$X$2:$X$495,(SUMPRODUCT((('CONTROL MASTER'!$S$2:$S$495=13)*('CONTROL MASTER'!$Z$2:$Z$495&lt;=9)*('CONTROL MASTER'!$AB$2:$AB$495&gt;=9)*('CONTROL MASTER'!$AA$2:$AA$495&lt;=9)*('CONTROL MASTER'!$AC$2:$AC$495&gt;=9))*ROW('CONTROL MASTER'!$S$2:$S$495))-(ROW('CONTROL MASTER'!#REF!)-1)))&amp;TRIM(MID(SUBSTITUTE(SUBSTITUTE(INDEX('CONTROL MASTER'!$N$2:$N$495,(SUMPRODUCT((('CONTROL MASTER'!$S$2:$S$495=13)*('CONTROL MASTER'!$Z$2:$Z$495&lt;=9)*('CONTROL MASTER'!$AB$2:$AB$495&gt;=9)*('CONTROL MASTER'!$AA$2:$AA$495&lt;=9)*('CONTROL MASTER'!$AC$2:$AC$495&gt;=9))*ROW('CONTROL MASTER'!$S$2:$S$495))-(ROW('CONTROL MASTER'!#REF!)-1))),":",","),",",REPT(" ",50)),(((INDEX('CONTROL MASTER'!$Y$2:$Y$495,(SUMPRODUCT((('CONTROL MASTER'!$S$2:$S$495=13)*('CONTROL MASTER'!$Z$2:$Z$495&lt;=9)*('CONTROL MASTER'!$AB$2:$AB$495&gt;=9)*('CONTROL MASTER'!$AA$2:$AA$495&lt;=9)*('CONTROL MASTER'!$AC$2:$AC$495&gt;=9))*ROW('CONTROL MASTER'!$S$2:$S$495))-(ROW('CONTROL MASTER'!#REF!)-1)))+((9-INDEX('CONTROL MASTER'!$Z$2:$Z$495,(SUMPRODUCT((('CONTROL MASTER'!$S$2:$S$495=13)*('CONTROL MASTER'!$Z$2:$Z$495&lt;=9)*('CONTROL MASTER'!$AB$2:$AB$495&gt;=9)*('CONTROL MASTER'!$AA$2:$AA$495&lt;=9)*('CONTROL MASTER'!$AC$2:$AC$495&gt;=9))*ROW('CONTROL MASTER'!$S$2:$S$495))-(ROW('CONTROL MASTER'!#REF!)-1))))*(INDEX('CONTROL MASTER'!$AC$2:$AC$495,(SUMPRODUCT((('CONTROL MASTER'!$S$2:$S$495=13)*('CONTROL MASTER'!$Z$2:$Z$495&lt;=9)*('CONTROL MASTER'!$AB$2:$AB$495&gt;=9)*('CONTROL MASTER'!$AA$2:$AA$495&lt;=9)*('CONTROL MASTER'!$AC$2:$AC$495&gt;=9))*ROW('CONTROL MASTER'!$S$2:$S$495))-(ROW('CONTROL MASTER'!#REF!)-1)))-INDEX('CONTROL MASTER'!$AA$2:$AA$495,(SUMPRODUCT((('CONTROL MASTER'!$S$2:$S$495=13)*('CONTROL MASTER'!$Z$2:$Z$495&lt;=9)*('CONTROL MASTER'!$AB$2:$AB$495&gt;=9)*('CONTROL MASTER'!$AA$2:$AA$495&lt;=9)*('CONTROL MASTER'!$AC$2:$AC$495&gt;=9))*ROW('CONTROL MASTER'!$S$2:$S$495))-(ROW('CONTROL MASTER'!#REF!)-1)))+1)+(9-INDEX('CONTROL MASTER'!$AA$2:$AA$495,(SUMPRODUCT((('CONTROL MASTER'!$S$2:$S$495=13)*('CONTROL MASTER'!$Z$2:$Z$495&lt;=9)*('CONTROL MASTER'!$AB$2:$AB$495&gt;=9)*('CONTROL MASTER'!$AA$2:$AA$495&lt;=9)*('CONTROL MASTER'!$AC$2:$AC$495&gt;=9))*ROW('CONTROL MASTER'!$S$2:$S$495))-(ROW('CONTROL MASTER'!#REF!)-1))))+1)))-1)*50+1,50))&amp;"_"&amp;INDEX('CONTROL MASTER'!$P$2:$P$495,(SUMPRODUCT((('CONTROL MASTER'!$S$2:$S$495=13)*('CONTROL MASTER'!$Z$2:$Z$495&lt;=9)*('CONTROL MASTER'!$AB$2:$AB$495&gt;=9)*('CONTROL MASTER'!$AA$2:$AA$495&lt;=9)*('CONTROL MASTER'!$AC$2:$AC$495&gt;=9))*ROW('CONTROL MASTER'!$S$2:$S$495))-(ROW('CONTROL MASTER'!#REF!)-1))),"")),"")</f>
        <v/>
      </c>
      <c r="K179" s="10" t="str">
        <f>IFERROR(IF(SUMPRODUCT((('CONTROL MASTER'!$S$2:$S$495=13)*('CONTROL MASTER'!$T$2:$T$495&lt;=9)*('CONTROL MASTER'!$V$2:$V$495&gt;=9)*('CONTROL MASTER'!$U$2:$U$495&lt;=10)*('CONTROL MASTER'!$W$2:$W$495&gt;=10))*ROW('CONTROL MASTER'!$S$2:$S$495))&gt;0,INDEX('CONTROL MASTER'!$X$2:$X$495,(SUMPRODUCT((('CONTROL MASTER'!$S$2:$S$495=13)*('CONTROL MASTER'!$T$2:$T$495&lt;=9)*('CONTROL MASTER'!$V$2:$V$495&gt;=9)*('CONTROL MASTER'!$U$2:$U$495&lt;=10)*('CONTROL MASTER'!$W$2:$W$495&gt;=10))*ROW('CONTROL MASTER'!$S$2:$S$495))-(ROW('CONTROL MASTER'!#REF!)-1)))&amp;TRIM(MID(SUBSTITUTE(SUBSTITUTE(INDEX('CONTROL MASTER'!$N$2:$N$495,(SUMPRODUCT((('CONTROL MASTER'!$S$2:$S$495=13)*('CONTROL MASTER'!$T$2:$T$495&lt;=9)*('CONTROL MASTER'!$V$2:$V$495&gt;=9)*('CONTROL MASTER'!$U$2:$U$495&lt;=10)*('CONTROL MASTER'!$W$2:$W$495&gt;=10))*ROW('CONTROL MASTER'!$S$2:$S$495))-(ROW('CONTROL MASTER'!#REF!)-1))),":",","),",",REPT(" ",50)),((((9-INDEX('CONTROL MASTER'!$T$2:$T$495,(SUMPRODUCT((('CONTROL MASTER'!$S$2:$S$495=13)*('CONTROL MASTER'!$T$2:$T$495&lt;=9)*('CONTROL MASTER'!$V$2:$V$495&gt;=9)*('CONTROL MASTER'!$U$2:$U$495&lt;=10)*('CONTROL MASTER'!$W$2:$W$495&gt;=10))*ROW('CONTROL MASTER'!$S$2:$S$495))-(ROW('CONTROL MASTER'!#REF!)-1))))*(INDEX('CONTROL MASTER'!$W$2:$W$495,(SUMPRODUCT((('CONTROL MASTER'!$S$2:$S$495=13)*('CONTROL MASTER'!$T$2:$T$495&lt;=9)*('CONTROL MASTER'!$V$2:$V$495&gt;=9)*('CONTROL MASTER'!$U$2:$U$495&lt;=10)*('CONTROL MASTER'!$W$2:$W$495&gt;=10))*ROW('CONTROL MASTER'!$S$2:$S$495))-(ROW('CONTROL MASTER'!#REF!)-1)))-INDEX('CONTROL MASTER'!$U$2:$U$495,(SUMPRODUCT((('CONTROL MASTER'!$S$2:$S$495=13)*('CONTROL MASTER'!$T$2:$T$495&lt;=9)*('CONTROL MASTER'!$V$2:$V$495&gt;=9)*('CONTROL MASTER'!$U$2:$U$495&lt;=10)*('CONTROL MASTER'!$W$2:$W$495&gt;=10))*ROW('CONTROL MASTER'!$S$2:$S$495))-(ROW('CONTROL MASTER'!#REF!)-1)))+1)+(10-INDEX('CONTROL MASTER'!$U$2:$U$495,(SUMPRODUCT((('CONTROL MASTER'!$S$2:$S$495=13)*('CONTROL MASTER'!$T$2:$T$495&lt;=9)*('CONTROL MASTER'!$V$2:$V$495&gt;=9)*('CONTROL MASTER'!$U$2:$U$495&lt;=10)*('CONTROL MASTER'!$W$2:$W$495&gt;=10))*ROW('CONTROL MASTER'!$S$2:$S$495))-(ROW('CONTROL MASTER'!#REF!)-1))))+1))-1)*50+1,50))&amp;"_"&amp;INDEX('CONTROL MASTER'!$P$2:$P$495,(SUMPRODUCT((('CONTROL MASTER'!$S$2:$S$495=13)*('CONTROL MASTER'!$T$2:$T$495&lt;=9)*('CONTROL MASTER'!$V$2:$V$495&gt;=9)*('CONTROL MASTER'!$U$2:$U$495&lt;=10)*('CONTROL MASTER'!$W$2:$W$495&gt;=10))*ROW('CONTROL MASTER'!$S$2:$S$495))-(ROW('CONTROL MASTER'!#REF!)-1))),IF(SUMPRODUCT((('CONTROL MASTER'!$S$2:$S$495=13)*('CONTROL MASTER'!$Z$2:$Z$495&lt;=9)*('CONTROL MASTER'!$AB$2:$AB$495&gt;=9)*('CONTROL MASTER'!$AA$2:$AA$495&lt;=10)*('CONTROL MASTER'!$AC$2:$AC$495&gt;=10))*ROW('CONTROL MASTER'!$S$2:$S$495))&gt;0,INDEX('CONTROL MASTER'!$X$2:$X$495,(SUMPRODUCT((('CONTROL MASTER'!$S$2:$S$495=13)*('CONTROL MASTER'!$Z$2:$Z$495&lt;=9)*('CONTROL MASTER'!$AB$2:$AB$495&gt;=9)*('CONTROL MASTER'!$AA$2:$AA$495&lt;=10)*('CONTROL MASTER'!$AC$2:$AC$495&gt;=10))*ROW('CONTROL MASTER'!$S$2:$S$495))-(ROW('CONTROL MASTER'!#REF!)-1)))&amp;TRIM(MID(SUBSTITUTE(SUBSTITUTE(INDEX('CONTROL MASTER'!$N$2:$N$495,(SUMPRODUCT((('CONTROL MASTER'!$S$2:$S$495=13)*('CONTROL MASTER'!$Z$2:$Z$495&lt;=9)*('CONTROL MASTER'!$AB$2:$AB$495&gt;=9)*('CONTROL MASTER'!$AA$2:$AA$495&lt;=10)*('CONTROL MASTER'!$AC$2:$AC$495&gt;=10))*ROW('CONTROL MASTER'!$S$2:$S$495))-(ROW('CONTROL MASTER'!#REF!)-1))),":",","),",",REPT(" ",50)),(((INDEX('CONTROL MASTER'!$Y$2:$Y$495,(SUMPRODUCT((('CONTROL MASTER'!$S$2:$S$495=13)*('CONTROL MASTER'!$Z$2:$Z$495&lt;=9)*('CONTROL MASTER'!$AB$2:$AB$495&gt;=9)*('CONTROL MASTER'!$AA$2:$AA$495&lt;=10)*('CONTROL MASTER'!$AC$2:$AC$495&gt;=10))*ROW('CONTROL MASTER'!$S$2:$S$495))-(ROW('CONTROL MASTER'!#REF!)-1)))+((9-INDEX('CONTROL MASTER'!$Z$2:$Z$495,(SUMPRODUCT((('CONTROL MASTER'!$S$2:$S$495=13)*('CONTROL MASTER'!$Z$2:$Z$495&lt;=9)*('CONTROL MASTER'!$AB$2:$AB$495&gt;=9)*('CONTROL MASTER'!$AA$2:$AA$495&lt;=10)*('CONTROL MASTER'!$AC$2:$AC$495&gt;=10))*ROW('CONTROL MASTER'!$S$2:$S$495))-(ROW('CONTROL MASTER'!#REF!)-1))))*(INDEX('CONTROL MASTER'!$AC$2:$AC$495,(SUMPRODUCT((('CONTROL MASTER'!$S$2:$S$495=13)*('CONTROL MASTER'!$Z$2:$Z$495&lt;=9)*('CONTROL MASTER'!$AB$2:$AB$495&gt;=9)*('CONTROL MASTER'!$AA$2:$AA$495&lt;=10)*('CONTROL MASTER'!$AC$2:$AC$495&gt;=10))*ROW('CONTROL MASTER'!$S$2:$S$495))-(ROW('CONTROL MASTER'!#REF!)-1)))-INDEX('CONTROL MASTER'!$AA$2:$AA$495,(SUMPRODUCT((('CONTROL MASTER'!$S$2:$S$495=13)*('CONTROL MASTER'!$Z$2:$Z$495&lt;=9)*('CONTROL MASTER'!$AB$2:$AB$495&gt;=9)*('CONTROL MASTER'!$AA$2:$AA$495&lt;=10)*('CONTROL MASTER'!$AC$2:$AC$495&gt;=10))*ROW('CONTROL MASTER'!$S$2:$S$495))-(ROW('CONTROL MASTER'!#REF!)-1)))+1)+(10-INDEX('CONTROL MASTER'!$AA$2:$AA$495,(SUMPRODUCT((('CONTROL MASTER'!$S$2:$S$495=13)*('CONTROL MASTER'!$Z$2:$Z$495&lt;=9)*('CONTROL MASTER'!$AB$2:$AB$495&gt;=9)*('CONTROL MASTER'!$AA$2:$AA$495&lt;=10)*('CONTROL MASTER'!$AC$2:$AC$495&gt;=10))*ROW('CONTROL MASTER'!$S$2:$S$495))-(ROW('CONTROL MASTER'!#REF!)-1))))+1)))-1)*50+1,50))&amp;"_"&amp;INDEX('CONTROL MASTER'!$P$2:$P$495,(SUMPRODUCT((('CONTROL MASTER'!$S$2:$S$495=13)*('CONTROL MASTER'!$Z$2:$Z$495&lt;=9)*('CONTROL MASTER'!$AB$2:$AB$495&gt;=9)*('CONTROL MASTER'!$AA$2:$AA$495&lt;=10)*('CONTROL MASTER'!$AC$2:$AC$495&gt;=10))*ROW('CONTROL MASTER'!$S$2:$S$495))-(ROW('CONTROL MASTER'!#REF!)-1))),"")),"")</f>
        <v/>
      </c>
    </row>
    <row r="180" spans="1:11" ht="15" customHeight="1" x14ac:dyDescent="0.35">
      <c r="A180" s="8" t="s">
        <v>82</v>
      </c>
      <c r="B180" s="10" t="str">
        <f>IFERROR(IF(SUMPRODUCT((('CONTROL MASTER'!$S$2:$S$495=13)*('CONTROL MASTER'!$T$2:$T$495&lt;=10)*('CONTROL MASTER'!$V$2:$V$495&gt;=10)*('CONTROL MASTER'!$U$2:$U$495&lt;=1)*('CONTROL MASTER'!$W$2:$W$495&gt;=1))*ROW('CONTROL MASTER'!$S$2:$S$495))&gt;0,INDEX('CONTROL MASTER'!$X$2:$X$495,(SUMPRODUCT((('CONTROL MASTER'!$S$2:$S$495=13)*('CONTROL MASTER'!$T$2:$T$495&lt;=10)*('CONTROL MASTER'!$V$2:$V$495&gt;=10)*('CONTROL MASTER'!$U$2:$U$495&lt;=1)*('CONTROL MASTER'!$W$2:$W$495&gt;=1))*ROW('CONTROL MASTER'!$S$2:$S$495))-(ROW('CONTROL MASTER'!#REF!)-1)))&amp;TRIM(MID(SUBSTITUTE(SUBSTITUTE(INDEX('CONTROL MASTER'!$N$2:$N$495,(SUMPRODUCT((('CONTROL MASTER'!$S$2:$S$495=13)*('CONTROL MASTER'!$T$2:$T$495&lt;=10)*('CONTROL MASTER'!$V$2:$V$495&gt;=10)*('CONTROL MASTER'!$U$2:$U$495&lt;=1)*('CONTROL MASTER'!$W$2:$W$495&gt;=1))*ROW('CONTROL MASTER'!$S$2:$S$495))-(ROW('CONTROL MASTER'!#REF!)-1))),":",","),",",REPT(" ",50)),((((10-INDEX('CONTROL MASTER'!$T$2:$T$495,(SUMPRODUCT((('CONTROL MASTER'!$S$2:$S$495=13)*('CONTROL MASTER'!$T$2:$T$495&lt;=10)*('CONTROL MASTER'!$V$2:$V$495&gt;=10)*('CONTROL MASTER'!$U$2:$U$495&lt;=1)*('CONTROL MASTER'!$W$2:$W$495&gt;=1))*ROW('CONTROL MASTER'!$S$2:$S$495))-(ROW('CONTROL MASTER'!#REF!)-1))))*(INDEX('CONTROL MASTER'!$W$2:$W$495,(SUMPRODUCT((('CONTROL MASTER'!$S$2:$S$495=13)*('CONTROL MASTER'!$T$2:$T$495&lt;=10)*('CONTROL MASTER'!$V$2:$V$495&gt;=10)*('CONTROL MASTER'!$U$2:$U$495&lt;=1)*('CONTROL MASTER'!$W$2:$W$495&gt;=1))*ROW('CONTROL MASTER'!$S$2:$S$495))-(ROW('CONTROL MASTER'!#REF!)-1)))-INDEX('CONTROL MASTER'!$U$2:$U$495,(SUMPRODUCT((('CONTROL MASTER'!$S$2:$S$495=13)*('CONTROL MASTER'!$T$2:$T$495&lt;=10)*('CONTROL MASTER'!$V$2:$V$495&gt;=10)*('CONTROL MASTER'!$U$2:$U$495&lt;=1)*('CONTROL MASTER'!$W$2:$W$495&gt;=1))*ROW('CONTROL MASTER'!$S$2:$S$495))-(ROW('CONTROL MASTER'!#REF!)-1)))+1)+(1-INDEX('CONTROL MASTER'!$U$2:$U$495,(SUMPRODUCT((('CONTROL MASTER'!$S$2:$S$495=13)*('CONTROL MASTER'!$T$2:$T$495&lt;=10)*('CONTROL MASTER'!$V$2:$V$495&gt;=10)*('CONTROL MASTER'!$U$2:$U$495&lt;=1)*('CONTROL MASTER'!$W$2:$W$495&gt;=1))*ROW('CONTROL MASTER'!$S$2:$S$495))-(ROW('CONTROL MASTER'!#REF!)-1))))+1))-1)*50+1,50))&amp;"_"&amp;INDEX('CONTROL MASTER'!$P$2:$P$495,(SUMPRODUCT((('CONTROL MASTER'!$S$2:$S$495=13)*('CONTROL MASTER'!$T$2:$T$495&lt;=10)*('CONTROL MASTER'!$V$2:$V$495&gt;=10)*('CONTROL MASTER'!$U$2:$U$495&lt;=1)*('CONTROL MASTER'!$W$2:$W$495&gt;=1))*ROW('CONTROL MASTER'!$S$2:$S$495))-(ROW('CONTROL MASTER'!#REF!)-1))),IF(SUMPRODUCT((('CONTROL MASTER'!$S$2:$S$495=13)*('CONTROL MASTER'!$Z$2:$Z$495&lt;=10)*('CONTROL MASTER'!$AB$2:$AB$495&gt;=10)*('CONTROL MASTER'!$AA$2:$AA$495&lt;=1)*('CONTROL MASTER'!$AC$2:$AC$495&gt;=1))*ROW('CONTROL MASTER'!$S$2:$S$495))&gt;0,INDEX('CONTROL MASTER'!$X$2:$X$495,(SUMPRODUCT((('CONTROL MASTER'!$S$2:$S$495=13)*('CONTROL MASTER'!$Z$2:$Z$495&lt;=10)*('CONTROL MASTER'!$AB$2:$AB$495&gt;=10)*('CONTROL MASTER'!$AA$2:$AA$495&lt;=1)*('CONTROL MASTER'!$AC$2:$AC$495&gt;=1))*ROW('CONTROL MASTER'!$S$2:$S$495))-(ROW('CONTROL MASTER'!#REF!)-1)))&amp;TRIM(MID(SUBSTITUTE(SUBSTITUTE(INDEX('CONTROL MASTER'!$N$2:$N$495,(SUMPRODUCT((('CONTROL MASTER'!$S$2:$S$495=13)*('CONTROL MASTER'!$Z$2:$Z$495&lt;=10)*('CONTROL MASTER'!$AB$2:$AB$495&gt;=10)*('CONTROL MASTER'!$AA$2:$AA$495&lt;=1)*('CONTROL MASTER'!$AC$2:$AC$495&gt;=1))*ROW('CONTROL MASTER'!$S$2:$S$495))-(ROW('CONTROL MASTER'!#REF!)-1))),":",","),",",REPT(" ",50)),(((INDEX('CONTROL MASTER'!$Y$2:$Y$495,(SUMPRODUCT((('CONTROL MASTER'!$S$2:$S$495=13)*('CONTROL MASTER'!$Z$2:$Z$495&lt;=10)*('CONTROL MASTER'!$AB$2:$AB$495&gt;=10)*('CONTROL MASTER'!$AA$2:$AA$495&lt;=1)*('CONTROL MASTER'!$AC$2:$AC$495&gt;=1))*ROW('CONTROL MASTER'!$S$2:$S$495))-(ROW('CONTROL MASTER'!#REF!)-1)))+((10-INDEX('CONTROL MASTER'!$Z$2:$Z$495,(SUMPRODUCT((('CONTROL MASTER'!$S$2:$S$495=13)*('CONTROL MASTER'!$Z$2:$Z$495&lt;=10)*('CONTROL MASTER'!$AB$2:$AB$495&gt;=10)*('CONTROL MASTER'!$AA$2:$AA$495&lt;=1)*('CONTROL MASTER'!$AC$2:$AC$495&gt;=1))*ROW('CONTROL MASTER'!$S$2:$S$495))-(ROW('CONTROL MASTER'!#REF!)-1))))*(INDEX('CONTROL MASTER'!$AC$2:$AC$495,(SUMPRODUCT((('CONTROL MASTER'!$S$2:$S$495=13)*('CONTROL MASTER'!$Z$2:$Z$495&lt;=10)*('CONTROL MASTER'!$AB$2:$AB$495&gt;=10)*('CONTROL MASTER'!$AA$2:$AA$495&lt;=1)*('CONTROL MASTER'!$AC$2:$AC$495&gt;=1))*ROW('CONTROL MASTER'!$S$2:$S$495))-(ROW('CONTROL MASTER'!#REF!)-1)))-INDEX('CONTROL MASTER'!$AA$2:$AA$495,(SUMPRODUCT((('CONTROL MASTER'!$S$2:$S$495=13)*('CONTROL MASTER'!$Z$2:$Z$495&lt;=10)*('CONTROL MASTER'!$AB$2:$AB$495&gt;=10)*('CONTROL MASTER'!$AA$2:$AA$495&lt;=1)*('CONTROL MASTER'!$AC$2:$AC$495&gt;=1))*ROW('CONTROL MASTER'!$S$2:$S$495))-(ROW('CONTROL MASTER'!#REF!)-1)))+1)+(1-INDEX('CONTROL MASTER'!$AA$2:$AA$495,(SUMPRODUCT((('CONTROL MASTER'!$S$2:$S$495=13)*('CONTROL MASTER'!$Z$2:$Z$495&lt;=10)*('CONTROL MASTER'!$AB$2:$AB$495&gt;=10)*('CONTROL MASTER'!$AA$2:$AA$495&lt;=1)*('CONTROL MASTER'!$AC$2:$AC$495&gt;=1))*ROW('CONTROL MASTER'!$S$2:$S$495))-(ROW('CONTROL MASTER'!#REF!)-1))))+1)))-1)*50+1,50))&amp;"_"&amp;INDEX('CONTROL MASTER'!$P$2:$P$495,(SUMPRODUCT((('CONTROL MASTER'!$S$2:$S$495=13)*('CONTROL MASTER'!$Z$2:$Z$495&lt;=10)*('CONTROL MASTER'!$AB$2:$AB$495&gt;=10)*('CONTROL MASTER'!$AA$2:$AA$495&lt;=1)*('CONTROL MASTER'!$AC$2:$AC$495&gt;=1))*ROW('CONTROL MASTER'!$S$2:$S$495))-(ROW('CONTROL MASTER'!#REF!)-1))),"")),"")</f>
        <v/>
      </c>
      <c r="C180" s="10" t="str">
        <f>IFERROR(IF(SUMPRODUCT((('CONTROL MASTER'!$S$2:$S$495=13)*('CONTROL MASTER'!$T$2:$T$495&lt;=10)*('CONTROL MASTER'!$V$2:$V$495&gt;=10)*('CONTROL MASTER'!$U$2:$U$495&lt;=2)*('CONTROL MASTER'!$W$2:$W$495&gt;=2))*ROW('CONTROL MASTER'!$S$2:$S$495))&gt;0,INDEX('CONTROL MASTER'!$X$2:$X$495,(SUMPRODUCT((('CONTROL MASTER'!$S$2:$S$495=13)*('CONTROL MASTER'!$T$2:$T$495&lt;=10)*('CONTROL MASTER'!$V$2:$V$495&gt;=10)*('CONTROL MASTER'!$U$2:$U$495&lt;=2)*('CONTROL MASTER'!$W$2:$W$495&gt;=2))*ROW('CONTROL MASTER'!$S$2:$S$495))-(ROW('CONTROL MASTER'!#REF!)-1)))&amp;TRIM(MID(SUBSTITUTE(SUBSTITUTE(INDEX('CONTROL MASTER'!$N$2:$N$495,(SUMPRODUCT((('CONTROL MASTER'!$S$2:$S$495=13)*('CONTROL MASTER'!$T$2:$T$495&lt;=10)*('CONTROL MASTER'!$V$2:$V$495&gt;=10)*('CONTROL MASTER'!$U$2:$U$495&lt;=2)*('CONTROL MASTER'!$W$2:$W$495&gt;=2))*ROW('CONTROL MASTER'!$S$2:$S$495))-(ROW('CONTROL MASTER'!#REF!)-1))),":",","),",",REPT(" ",50)),((((10-INDEX('CONTROL MASTER'!$T$2:$T$495,(SUMPRODUCT((('CONTROL MASTER'!$S$2:$S$495=13)*('CONTROL MASTER'!$T$2:$T$495&lt;=10)*('CONTROL MASTER'!$V$2:$V$495&gt;=10)*('CONTROL MASTER'!$U$2:$U$495&lt;=2)*('CONTROL MASTER'!$W$2:$W$495&gt;=2))*ROW('CONTROL MASTER'!$S$2:$S$495))-(ROW('CONTROL MASTER'!#REF!)-1))))*(INDEX('CONTROL MASTER'!$W$2:$W$495,(SUMPRODUCT((('CONTROL MASTER'!$S$2:$S$495=13)*('CONTROL MASTER'!$T$2:$T$495&lt;=10)*('CONTROL MASTER'!$V$2:$V$495&gt;=10)*('CONTROL MASTER'!$U$2:$U$495&lt;=2)*('CONTROL MASTER'!$W$2:$W$495&gt;=2))*ROW('CONTROL MASTER'!$S$2:$S$495))-(ROW('CONTROL MASTER'!#REF!)-1)))-INDEX('CONTROL MASTER'!$U$2:$U$495,(SUMPRODUCT((('CONTROL MASTER'!$S$2:$S$495=13)*('CONTROL MASTER'!$T$2:$T$495&lt;=10)*('CONTROL MASTER'!$V$2:$V$495&gt;=10)*('CONTROL MASTER'!$U$2:$U$495&lt;=2)*('CONTROL MASTER'!$W$2:$W$495&gt;=2))*ROW('CONTROL MASTER'!$S$2:$S$495))-(ROW('CONTROL MASTER'!#REF!)-1)))+1)+(2-INDEX('CONTROL MASTER'!$U$2:$U$495,(SUMPRODUCT((('CONTROL MASTER'!$S$2:$S$495=13)*('CONTROL MASTER'!$T$2:$T$495&lt;=10)*('CONTROL MASTER'!$V$2:$V$495&gt;=10)*('CONTROL MASTER'!$U$2:$U$495&lt;=2)*('CONTROL MASTER'!$W$2:$W$495&gt;=2))*ROW('CONTROL MASTER'!$S$2:$S$495))-(ROW('CONTROL MASTER'!#REF!)-1))))+1))-1)*50+1,50))&amp;"_"&amp;INDEX('CONTROL MASTER'!$P$2:$P$495,(SUMPRODUCT((('CONTROL MASTER'!$S$2:$S$495=13)*('CONTROL MASTER'!$T$2:$T$495&lt;=10)*('CONTROL MASTER'!$V$2:$V$495&gt;=10)*('CONTROL MASTER'!$U$2:$U$495&lt;=2)*('CONTROL MASTER'!$W$2:$W$495&gt;=2))*ROW('CONTROL MASTER'!$S$2:$S$495))-(ROW('CONTROL MASTER'!#REF!)-1))),IF(SUMPRODUCT((('CONTROL MASTER'!$S$2:$S$495=13)*('CONTROL MASTER'!$Z$2:$Z$495&lt;=10)*('CONTROL MASTER'!$AB$2:$AB$495&gt;=10)*('CONTROL MASTER'!$AA$2:$AA$495&lt;=2)*('CONTROL MASTER'!$AC$2:$AC$495&gt;=2))*ROW('CONTROL MASTER'!$S$2:$S$495))&gt;0,INDEX('CONTROL MASTER'!$X$2:$X$495,(SUMPRODUCT((('CONTROL MASTER'!$S$2:$S$495=13)*('CONTROL MASTER'!$Z$2:$Z$495&lt;=10)*('CONTROL MASTER'!$AB$2:$AB$495&gt;=10)*('CONTROL MASTER'!$AA$2:$AA$495&lt;=2)*('CONTROL MASTER'!$AC$2:$AC$495&gt;=2))*ROW('CONTROL MASTER'!$S$2:$S$495))-(ROW('CONTROL MASTER'!#REF!)-1)))&amp;TRIM(MID(SUBSTITUTE(SUBSTITUTE(INDEX('CONTROL MASTER'!$N$2:$N$495,(SUMPRODUCT((('CONTROL MASTER'!$S$2:$S$495=13)*('CONTROL MASTER'!$Z$2:$Z$495&lt;=10)*('CONTROL MASTER'!$AB$2:$AB$495&gt;=10)*('CONTROL MASTER'!$AA$2:$AA$495&lt;=2)*('CONTROL MASTER'!$AC$2:$AC$495&gt;=2))*ROW('CONTROL MASTER'!$S$2:$S$495))-(ROW('CONTROL MASTER'!#REF!)-1))),":",","),",",REPT(" ",50)),(((INDEX('CONTROL MASTER'!$Y$2:$Y$495,(SUMPRODUCT((('CONTROL MASTER'!$S$2:$S$495=13)*('CONTROL MASTER'!$Z$2:$Z$495&lt;=10)*('CONTROL MASTER'!$AB$2:$AB$495&gt;=10)*('CONTROL MASTER'!$AA$2:$AA$495&lt;=2)*('CONTROL MASTER'!$AC$2:$AC$495&gt;=2))*ROW('CONTROL MASTER'!$S$2:$S$495))-(ROW('CONTROL MASTER'!#REF!)-1)))+((10-INDEX('CONTROL MASTER'!$Z$2:$Z$495,(SUMPRODUCT((('CONTROL MASTER'!$S$2:$S$495=13)*('CONTROL MASTER'!$Z$2:$Z$495&lt;=10)*('CONTROL MASTER'!$AB$2:$AB$495&gt;=10)*('CONTROL MASTER'!$AA$2:$AA$495&lt;=2)*('CONTROL MASTER'!$AC$2:$AC$495&gt;=2))*ROW('CONTROL MASTER'!$S$2:$S$495))-(ROW('CONTROL MASTER'!#REF!)-1))))*(INDEX('CONTROL MASTER'!$AC$2:$AC$495,(SUMPRODUCT((('CONTROL MASTER'!$S$2:$S$495=13)*('CONTROL MASTER'!$Z$2:$Z$495&lt;=10)*('CONTROL MASTER'!$AB$2:$AB$495&gt;=10)*('CONTROL MASTER'!$AA$2:$AA$495&lt;=2)*('CONTROL MASTER'!$AC$2:$AC$495&gt;=2))*ROW('CONTROL MASTER'!$S$2:$S$495))-(ROW('CONTROL MASTER'!#REF!)-1)))-INDEX('CONTROL MASTER'!$AA$2:$AA$495,(SUMPRODUCT((('CONTROL MASTER'!$S$2:$S$495=13)*('CONTROL MASTER'!$Z$2:$Z$495&lt;=10)*('CONTROL MASTER'!$AB$2:$AB$495&gt;=10)*('CONTROL MASTER'!$AA$2:$AA$495&lt;=2)*('CONTROL MASTER'!$AC$2:$AC$495&gt;=2))*ROW('CONTROL MASTER'!$S$2:$S$495))-(ROW('CONTROL MASTER'!#REF!)-1)))+1)+(2-INDEX('CONTROL MASTER'!$AA$2:$AA$495,(SUMPRODUCT((('CONTROL MASTER'!$S$2:$S$495=13)*('CONTROL MASTER'!$Z$2:$Z$495&lt;=10)*('CONTROL MASTER'!$AB$2:$AB$495&gt;=10)*('CONTROL MASTER'!$AA$2:$AA$495&lt;=2)*('CONTROL MASTER'!$AC$2:$AC$495&gt;=2))*ROW('CONTROL MASTER'!$S$2:$S$495))-(ROW('CONTROL MASTER'!#REF!)-1))))+1)))-1)*50+1,50))&amp;"_"&amp;INDEX('CONTROL MASTER'!$P$2:$P$495,(SUMPRODUCT((('CONTROL MASTER'!$S$2:$S$495=13)*('CONTROL MASTER'!$Z$2:$Z$495&lt;=10)*('CONTROL MASTER'!$AB$2:$AB$495&gt;=10)*('CONTROL MASTER'!$AA$2:$AA$495&lt;=2)*('CONTROL MASTER'!$AC$2:$AC$495&gt;=2))*ROW('CONTROL MASTER'!$S$2:$S$495))-(ROW('CONTROL MASTER'!#REF!)-1))),"")),"")</f>
        <v/>
      </c>
      <c r="D180" s="10" t="str">
        <f>IFERROR(IF(SUMPRODUCT((('CONTROL MASTER'!$S$2:$S$495=13)*('CONTROL MASTER'!$T$2:$T$495&lt;=10)*('CONTROL MASTER'!$V$2:$V$495&gt;=10)*('CONTROL MASTER'!$U$2:$U$495&lt;=3)*('CONTROL MASTER'!$W$2:$W$495&gt;=3))*ROW('CONTROL MASTER'!$S$2:$S$495))&gt;0,INDEX('CONTROL MASTER'!$X$2:$X$495,(SUMPRODUCT((('CONTROL MASTER'!$S$2:$S$495=13)*('CONTROL MASTER'!$T$2:$T$495&lt;=10)*('CONTROL MASTER'!$V$2:$V$495&gt;=10)*('CONTROL MASTER'!$U$2:$U$495&lt;=3)*('CONTROL MASTER'!$W$2:$W$495&gt;=3))*ROW('CONTROL MASTER'!$S$2:$S$495))-(ROW('CONTROL MASTER'!#REF!)-1)))&amp;TRIM(MID(SUBSTITUTE(SUBSTITUTE(INDEX('CONTROL MASTER'!$N$2:$N$495,(SUMPRODUCT((('CONTROL MASTER'!$S$2:$S$495=13)*('CONTROL MASTER'!$T$2:$T$495&lt;=10)*('CONTROL MASTER'!$V$2:$V$495&gt;=10)*('CONTROL MASTER'!$U$2:$U$495&lt;=3)*('CONTROL MASTER'!$W$2:$W$495&gt;=3))*ROW('CONTROL MASTER'!$S$2:$S$495))-(ROW('CONTROL MASTER'!#REF!)-1))),":",","),",",REPT(" ",50)),((((10-INDEX('CONTROL MASTER'!$T$2:$T$495,(SUMPRODUCT((('CONTROL MASTER'!$S$2:$S$495=13)*('CONTROL MASTER'!$T$2:$T$495&lt;=10)*('CONTROL MASTER'!$V$2:$V$495&gt;=10)*('CONTROL MASTER'!$U$2:$U$495&lt;=3)*('CONTROL MASTER'!$W$2:$W$495&gt;=3))*ROW('CONTROL MASTER'!$S$2:$S$495))-(ROW('CONTROL MASTER'!#REF!)-1))))*(INDEX('CONTROL MASTER'!$W$2:$W$495,(SUMPRODUCT((('CONTROL MASTER'!$S$2:$S$495=13)*('CONTROL MASTER'!$T$2:$T$495&lt;=10)*('CONTROL MASTER'!$V$2:$V$495&gt;=10)*('CONTROL MASTER'!$U$2:$U$495&lt;=3)*('CONTROL MASTER'!$W$2:$W$495&gt;=3))*ROW('CONTROL MASTER'!$S$2:$S$495))-(ROW('CONTROL MASTER'!#REF!)-1)))-INDEX('CONTROL MASTER'!$U$2:$U$495,(SUMPRODUCT((('CONTROL MASTER'!$S$2:$S$495=13)*('CONTROL MASTER'!$T$2:$T$495&lt;=10)*('CONTROL MASTER'!$V$2:$V$495&gt;=10)*('CONTROL MASTER'!$U$2:$U$495&lt;=3)*('CONTROL MASTER'!$W$2:$W$495&gt;=3))*ROW('CONTROL MASTER'!$S$2:$S$495))-(ROW('CONTROL MASTER'!#REF!)-1)))+1)+(3-INDEX('CONTROL MASTER'!$U$2:$U$495,(SUMPRODUCT((('CONTROL MASTER'!$S$2:$S$495=13)*('CONTROL MASTER'!$T$2:$T$495&lt;=10)*('CONTROL MASTER'!$V$2:$V$495&gt;=10)*('CONTROL MASTER'!$U$2:$U$495&lt;=3)*('CONTROL MASTER'!$W$2:$W$495&gt;=3))*ROW('CONTROL MASTER'!$S$2:$S$495))-(ROW('CONTROL MASTER'!#REF!)-1))))+1))-1)*50+1,50))&amp;"_"&amp;INDEX('CONTROL MASTER'!$P$2:$P$495,(SUMPRODUCT((('CONTROL MASTER'!$S$2:$S$495=13)*('CONTROL MASTER'!$T$2:$T$495&lt;=10)*('CONTROL MASTER'!$V$2:$V$495&gt;=10)*('CONTROL MASTER'!$U$2:$U$495&lt;=3)*('CONTROL MASTER'!$W$2:$W$495&gt;=3))*ROW('CONTROL MASTER'!$S$2:$S$495))-(ROW('CONTROL MASTER'!#REF!)-1))),IF(SUMPRODUCT((('CONTROL MASTER'!$S$2:$S$495=13)*('CONTROL MASTER'!$Z$2:$Z$495&lt;=10)*('CONTROL MASTER'!$AB$2:$AB$495&gt;=10)*('CONTROL MASTER'!$AA$2:$AA$495&lt;=3)*('CONTROL MASTER'!$AC$2:$AC$495&gt;=3))*ROW('CONTROL MASTER'!$S$2:$S$495))&gt;0,INDEX('CONTROL MASTER'!$X$2:$X$495,(SUMPRODUCT((('CONTROL MASTER'!$S$2:$S$495=13)*('CONTROL MASTER'!$Z$2:$Z$495&lt;=10)*('CONTROL MASTER'!$AB$2:$AB$495&gt;=10)*('CONTROL MASTER'!$AA$2:$AA$495&lt;=3)*('CONTROL MASTER'!$AC$2:$AC$495&gt;=3))*ROW('CONTROL MASTER'!$S$2:$S$495))-(ROW('CONTROL MASTER'!#REF!)-1)))&amp;TRIM(MID(SUBSTITUTE(SUBSTITUTE(INDEX('CONTROL MASTER'!$N$2:$N$495,(SUMPRODUCT((('CONTROL MASTER'!$S$2:$S$495=13)*('CONTROL MASTER'!$Z$2:$Z$495&lt;=10)*('CONTROL MASTER'!$AB$2:$AB$495&gt;=10)*('CONTROL MASTER'!$AA$2:$AA$495&lt;=3)*('CONTROL MASTER'!$AC$2:$AC$495&gt;=3))*ROW('CONTROL MASTER'!$S$2:$S$495))-(ROW('CONTROL MASTER'!#REF!)-1))),":",","),",",REPT(" ",50)),(((INDEX('CONTROL MASTER'!$Y$2:$Y$495,(SUMPRODUCT((('CONTROL MASTER'!$S$2:$S$495=13)*('CONTROL MASTER'!$Z$2:$Z$495&lt;=10)*('CONTROL MASTER'!$AB$2:$AB$495&gt;=10)*('CONTROL MASTER'!$AA$2:$AA$495&lt;=3)*('CONTROL MASTER'!$AC$2:$AC$495&gt;=3))*ROW('CONTROL MASTER'!$S$2:$S$495))-(ROW('CONTROL MASTER'!#REF!)-1)))+((10-INDEX('CONTROL MASTER'!$Z$2:$Z$495,(SUMPRODUCT((('CONTROL MASTER'!$S$2:$S$495=13)*('CONTROL MASTER'!$Z$2:$Z$495&lt;=10)*('CONTROL MASTER'!$AB$2:$AB$495&gt;=10)*('CONTROL MASTER'!$AA$2:$AA$495&lt;=3)*('CONTROL MASTER'!$AC$2:$AC$495&gt;=3))*ROW('CONTROL MASTER'!$S$2:$S$495))-(ROW('CONTROL MASTER'!#REF!)-1))))*(INDEX('CONTROL MASTER'!$AC$2:$AC$495,(SUMPRODUCT((('CONTROL MASTER'!$S$2:$S$495=13)*('CONTROL MASTER'!$Z$2:$Z$495&lt;=10)*('CONTROL MASTER'!$AB$2:$AB$495&gt;=10)*('CONTROL MASTER'!$AA$2:$AA$495&lt;=3)*('CONTROL MASTER'!$AC$2:$AC$495&gt;=3))*ROW('CONTROL MASTER'!$S$2:$S$495))-(ROW('CONTROL MASTER'!#REF!)-1)))-INDEX('CONTROL MASTER'!$AA$2:$AA$495,(SUMPRODUCT((('CONTROL MASTER'!$S$2:$S$495=13)*('CONTROL MASTER'!$Z$2:$Z$495&lt;=10)*('CONTROL MASTER'!$AB$2:$AB$495&gt;=10)*('CONTROL MASTER'!$AA$2:$AA$495&lt;=3)*('CONTROL MASTER'!$AC$2:$AC$495&gt;=3))*ROW('CONTROL MASTER'!$S$2:$S$495))-(ROW('CONTROL MASTER'!#REF!)-1)))+1)+(3-INDEX('CONTROL MASTER'!$AA$2:$AA$495,(SUMPRODUCT((('CONTROL MASTER'!$S$2:$S$495=13)*('CONTROL MASTER'!$Z$2:$Z$495&lt;=10)*('CONTROL MASTER'!$AB$2:$AB$495&gt;=10)*('CONTROL MASTER'!$AA$2:$AA$495&lt;=3)*('CONTROL MASTER'!$AC$2:$AC$495&gt;=3))*ROW('CONTROL MASTER'!$S$2:$S$495))-(ROW('CONTROL MASTER'!#REF!)-1))))+1)))-1)*50+1,50))&amp;"_"&amp;INDEX('CONTROL MASTER'!$P$2:$P$495,(SUMPRODUCT((('CONTROL MASTER'!$S$2:$S$495=13)*('CONTROL MASTER'!$Z$2:$Z$495&lt;=10)*('CONTROL MASTER'!$AB$2:$AB$495&gt;=10)*('CONTROL MASTER'!$AA$2:$AA$495&lt;=3)*('CONTROL MASTER'!$AC$2:$AC$495&gt;=3))*ROW('CONTROL MASTER'!$S$2:$S$495))-(ROW('CONTROL MASTER'!#REF!)-1))),"")),"")</f>
        <v/>
      </c>
      <c r="E180" s="10" t="str">
        <f>IFERROR(IF(SUMPRODUCT((('CONTROL MASTER'!$S$2:$S$495=13)*('CONTROL MASTER'!$T$2:$T$495&lt;=10)*('CONTROL MASTER'!$V$2:$V$495&gt;=10)*('CONTROL MASTER'!$U$2:$U$495&lt;=4)*('CONTROL MASTER'!$W$2:$W$495&gt;=4))*ROW('CONTROL MASTER'!$S$2:$S$495))&gt;0,INDEX('CONTROL MASTER'!$X$2:$X$495,(SUMPRODUCT((('CONTROL MASTER'!$S$2:$S$495=13)*('CONTROL MASTER'!$T$2:$T$495&lt;=10)*('CONTROL MASTER'!$V$2:$V$495&gt;=10)*('CONTROL MASTER'!$U$2:$U$495&lt;=4)*('CONTROL MASTER'!$W$2:$W$495&gt;=4))*ROW('CONTROL MASTER'!$S$2:$S$495))-(ROW('CONTROL MASTER'!#REF!)-1)))&amp;TRIM(MID(SUBSTITUTE(SUBSTITUTE(INDEX('CONTROL MASTER'!$N$2:$N$495,(SUMPRODUCT((('CONTROL MASTER'!$S$2:$S$495=13)*('CONTROL MASTER'!$T$2:$T$495&lt;=10)*('CONTROL MASTER'!$V$2:$V$495&gt;=10)*('CONTROL MASTER'!$U$2:$U$495&lt;=4)*('CONTROL MASTER'!$W$2:$W$495&gt;=4))*ROW('CONTROL MASTER'!$S$2:$S$495))-(ROW('CONTROL MASTER'!#REF!)-1))),":",","),",",REPT(" ",50)),((((10-INDEX('CONTROL MASTER'!$T$2:$T$495,(SUMPRODUCT((('CONTROL MASTER'!$S$2:$S$495=13)*('CONTROL MASTER'!$T$2:$T$495&lt;=10)*('CONTROL MASTER'!$V$2:$V$495&gt;=10)*('CONTROL MASTER'!$U$2:$U$495&lt;=4)*('CONTROL MASTER'!$W$2:$W$495&gt;=4))*ROW('CONTROL MASTER'!$S$2:$S$495))-(ROW('CONTROL MASTER'!#REF!)-1))))*(INDEX('CONTROL MASTER'!$W$2:$W$495,(SUMPRODUCT((('CONTROL MASTER'!$S$2:$S$495=13)*('CONTROL MASTER'!$T$2:$T$495&lt;=10)*('CONTROL MASTER'!$V$2:$V$495&gt;=10)*('CONTROL MASTER'!$U$2:$U$495&lt;=4)*('CONTROL MASTER'!$W$2:$W$495&gt;=4))*ROW('CONTROL MASTER'!$S$2:$S$495))-(ROW('CONTROL MASTER'!#REF!)-1)))-INDEX('CONTROL MASTER'!$U$2:$U$495,(SUMPRODUCT((('CONTROL MASTER'!$S$2:$S$495=13)*('CONTROL MASTER'!$T$2:$T$495&lt;=10)*('CONTROL MASTER'!$V$2:$V$495&gt;=10)*('CONTROL MASTER'!$U$2:$U$495&lt;=4)*('CONTROL MASTER'!$W$2:$W$495&gt;=4))*ROW('CONTROL MASTER'!$S$2:$S$495))-(ROW('CONTROL MASTER'!#REF!)-1)))+1)+(4-INDEX('CONTROL MASTER'!$U$2:$U$495,(SUMPRODUCT((('CONTROL MASTER'!$S$2:$S$495=13)*('CONTROL MASTER'!$T$2:$T$495&lt;=10)*('CONTROL MASTER'!$V$2:$V$495&gt;=10)*('CONTROL MASTER'!$U$2:$U$495&lt;=4)*('CONTROL MASTER'!$W$2:$W$495&gt;=4))*ROW('CONTROL MASTER'!$S$2:$S$495))-(ROW('CONTROL MASTER'!#REF!)-1))))+1))-1)*50+1,50))&amp;"_"&amp;INDEX('CONTROL MASTER'!$P$2:$P$495,(SUMPRODUCT((('CONTROL MASTER'!$S$2:$S$495=13)*('CONTROL MASTER'!$T$2:$T$495&lt;=10)*('CONTROL MASTER'!$V$2:$V$495&gt;=10)*('CONTROL MASTER'!$U$2:$U$495&lt;=4)*('CONTROL MASTER'!$W$2:$W$495&gt;=4))*ROW('CONTROL MASTER'!$S$2:$S$495))-(ROW('CONTROL MASTER'!#REF!)-1))),IF(SUMPRODUCT((('CONTROL MASTER'!$S$2:$S$495=13)*('CONTROL MASTER'!$Z$2:$Z$495&lt;=10)*('CONTROL MASTER'!$AB$2:$AB$495&gt;=10)*('CONTROL MASTER'!$AA$2:$AA$495&lt;=4)*('CONTROL MASTER'!$AC$2:$AC$495&gt;=4))*ROW('CONTROL MASTER'!$S$2:$S$495))&gt;0,INDEX('CONTROL MASTER'!$X$2:$X$495,(SUMPRODUCT((('CONTROL MASTER'!$S$2:$S$495=13)*('CONTROL MASTER'!$Z$2:$Z$495&lt;=10)*('CONTROL MASTER'!$AB$2:$AB$495&gt;=10)*('CONTROL MASTER'!$AA$2:$AA$495&lt;=4)*('CONTROL MASTER'!$AC$2:$AC$495&gt;=4))*ROW('CONTROL MASTER'!$S$2:$S$495))-(ROW('CONTROL MASTER'!#REF!)-1)))&amp;TRIM(MID(SUBSTITUTE(SUBSTITUTE(INDEX('CONTROL MASTER'!$N$2:$N$495,(SUMPRODUCT((('CONTROL MASTER'!$S$2:$S$495=13)*('CONTROL MASTER'!$Z$2:$Z$495&lt;=10)*('CONTROL MASTER'!$AB$2:$AB$495&gt;=10)*('CONTROL MASTER'!$AA$2:$AA$495&lt;=4)*('CONTROL MASTER'!$AC$2:$AC$495&gt;=4))*ROW('CONTROL MASTER'!$S$2:$S$495))-(ROW('CONTROL MASTER'!#REF!)-1))),":",","),",",REPT(" ",50)),(((INDEX('CONTROL MASTER'!$Y$2:$Y$495,(SUMPRODUCT((('CONTROL MASTER'!$S$2:$S$495=13)*('CONTROL MASTER'!$Z$2:$Z$495&lt;=10)*('CONTROL MASTER'!$AB$2:$AB$495&gt;=10)*('CONTROL MASTER'!$AA$2:$AA$495&lt;=4)*('CONTROL MASTER'!$AC$2:$AC$495&gt;=4))*ROW('CONTROL MASTER'!$S$2:$S$495))-(ROW('CONTROL MASTER'!#REF!)-1)))+((10-INDEX('CONTROL MASTER'!$Z$2:$Z$495,(SUMPRODUCT((('CONTROL MASTER'!$S$2:$S$495=13)*('CONTROL MASTER'!$Z$2:$Z$495&lt;=10)*('CONTROL MASTER'!$AB$2:$AB$495&gt;=10)*('CONTROL MASTER'!$AA$2:$AA$495&lt;=4)*('CONTROL MASTER'!$AC$2:$AC$495&gt;=4))*ROW('CONTROL MASTER'!$S$2:$S$495))-(ROW('CONTROL MASTER'!#REF!)-1))))*(INDEX('CONTROL MASTER'!$AC$2:$AC$495,(SUMPRODUCT((('CONTROL MASTER'!$S$2:$S$495=13)*('CONTROL MASTER'!$Z$2:$Z$495&lt;=10)*('CONTROL MASTER'!$AB$2:$AB$495&gt;=10)*('CONTROL MASTER'!$AA$2:$AA$495&lt;=4)*('CONTROL MASTER'!$AC$2:$AC$495&gt;=4))*ROW('CONTROL MASTER'!$S$2:$S$495))-(ROW('CONTROL MASTER'!#REF!)-1)))-INDEX('CONTROL MASTER'!$AA$2:$AA$495,(SUMPRODUCT((('CONTROL MASTER'!$S$2:$S$495=13)*('CONTROL MASTER'!$Z$2:$Z$495&lt;=10)*('CONTROL MASTER'!$AB$2:$AB$495&gt;=10)*('CONTROL MASTER'!$AA$2:$AA$495&lt;=4)*('CONTROL MASTER'!$AC$2:$AC$495&gt;=4))*ROW('CONTROL MASTER'!$S$2:$S$495))-(ROW('CONTROL MASTER'!#REF!)-1)))+1)+(4-INDEX('CONTROL MASTER'!$AA$2:$AA$495,(SUMPRODUCT((('CONTROL MASTER'!$S$2:$S$495=13)*('CONTROL MASTER'!$Z$2:$Z$495&lt;=10)*('CONTROL MASTER'!$AB$2:$AB$495&gt;=10)*('CONTROL MASTER'!$AA$2:$AA$495&lt;=4)*('CONTROL MASTER'!$AC$2:$AC$495&gt;=4))*ROW('CONTROL MASTER'!$S$2:$S$495))-(ROW('CONTROL MASTER'!#REF!)-1))))+1)))-1)*50+1,50))&amp;"_"&amp;INDEX('CONTROL MASTER'!$P$2:$P$495,(SUMPRODUCT((('CONTROL MASTER'!$S$2:$S$495=13)*('CONTROL MASTER'!$Z$2:$Z$495&lt;=10)*('CONTROL MASTER'!$AB$2:$AB$495&gt;=10)*('CONTROL MASTER'!$AA$2:$AA$495&lt;=4)*('CONTROL MASTER'!$AC$2:$AC$495&gt;=4))*ROW('CONTROL MASTER'!$S$2:$S$495))-(ROW('CONTROL MASTER'!#REF!)-1))),"")),"")</f>
        <v/>
      </c>
      <c r="F180" s="10" t="str">
        <f>IFERROR(IF(SUMPRODUCT((('CONTROL MASTER'!$S$2:$S$495=13)*('CONTROL MASTER'!$T$2:$T$495&lt;=10)*('CONTROL MASTER'!$V$2:$V$495&gt;=10)*('CONTROL MASTER'!$U$2:$U$495&lt;=5)*('CONTROL MASTER'!$W$2:$W$495&gt;=5))*ROW('CONTROL MASTER'!$S$2:$S$495))&gt;0,INDEX('CONTROL MASTER'!$X$2:$X$495,(SUMPRODUCT((('CONTROL MASTER'!$S$2:$S$495=13)*('CONTROL MASTER'!$T$2:$T$495&lt;=10)*('CONTROL MASTER'!$V$2:$V$495&gt;=10)*('CONTROL MASTER'!$U$2:$U$495&lt;=5)*('CONTROL MASTER'!$W$2:$W$495&gt;=5))*ROW('CONTROL MASTER'!$S$2:$S$495))-(ROW('CONTROL MASTER'!#REF!)-1)))&amp;TRIM(MID(SUBSTITUTE(SUBSTITUTE(INDEX('CONTROL MASTER'!$N$2:$N$495,(SUMPRODUCT((('CONTROL MASTER'!$S$2:$S$495=13)*('CONTROL MASTER'!$T$2:$T$495&lt;=10)*('CONTROL MASTER'!$V$2:$V$495&gt;=10)*('CONTROL MASTER'!$U$2:$U$495&lt;=5)*('CONTROL MASTER'!$W$2:$W$495&gt;=5))*ROW('CONTROL MASTER'!$S$2:$S$495))-(ROW('CONTROL MASTER'!#REF!)-1))),":",","),",",REPT(" ",50)),((((10-INDEX('CONTROL MASTER'!$T$2:$T$495,(SUMPRODUCT((('CONTROL MASTER'!$S$2:$S$495=13)*('CONTROL MASTER'!$T$2:$T$495&lt;=10)*('CONTROL MASTER'!$V$2:$V$495&gt;=10)*('CONTROL MASTER'!$U$2:$U$495&lt;=5)*('CONTROL MASTER'!$W$2:$W$495&gt;=5))*ROW('CONTROL MASTER'!$S$2:$S$495))-(ROW('CONTROL MASTER'!#REF!)-1))))*(INDEX('CONTROL MASTER'!$W$2:$W$495,(SUMPRODUCT((('CONTROL MASTER'!$S$2:$S$495=13)*('CONTROL MASTER'!$T$2:$T$495&lt;=10)*('CONTROL MASTER'!$V$2:$V$495&gt;=10)*('CONTROL MASTER'!$U$2:$U$495&lt;=5)*('CONTROL MASTER'!$W$2:$W$495&gt;=5))*ROW('CONTROL MASTER'!$S$2:$S$495))-(ROW('CONTROL MASTER'!#REF!)-1)))-INDEX('CONTROL MASTER'!$U$2:$U$495,(SUMPRODUCT((('CONTROL MASTER'!$S$2:$S$495=13)*('CONTROL MASTER'!$T$2:$T$495&lt;=10)*('CONTROL MASTER'!$V$2:$V$495&gt;=10)*('CONTROL MASTER'!$U$2:$U$495&lt;=5)*('CONTROL MASTER'!$W$2:$W$495&gt;=5))*ROW('CONTROL MASTER'!$S$2:$S$495))-(ROW('CONTROL MASTER'!#REF!)-1)))+1)+(5-INDEX('CONTROL MASTER'!$U$2:$U$495,(SUMPRODUCT((('CONTROL MASTER'!$S$2:$S$495=13)*('CONTROL MASTER'!$T$2:$T$495&lt;=10)*('CONTROL MASTER'!$V$2:$V$495&gt;=10)*('CONTROL MASTER'!$U$2:$U$495&lt;=5)*('CONTROL MASTER'!$W$2:$W$495&gt;=5))*ROW('CONTROL MASTER'!$S$2:$S$495))-(ROW('CONTROL MASTER'!#REF!)-1))))+1))-1)*50+1,50))&amp;"_"&amp;INDEX('CONTROL MASTER'!$P$2:$P$495,(SUMPRODUCT((('CONTROL MASTER'!$S$2:$S$495=13)*('CONTROL MASTER'!$T$2:$T$495&lt;=10)*('CONTROL MASTER'!$V$2:$V$495&gt;=10)*('CONTROL MASTER'!$U$2:$U$495&lt;=5)*('CONTROL MASTER'!$W$2:$W$495&gt;=5))*ROW('CONTROL MASTER'!$S$2:$S$495))-(ROW('CONTROL MASTER'!#REF!)-1))),IF(SUMPRODUCT((('CONTROL MASTER'!$S$2:$S$495=13)*('CONTROL MASTER'!$Z$2:$Z$495&lt;=10)*('CONTROL MASTER'!$AB$2:$AB$495&gt;=10)*('CONTROL MASTER'!$AA$2:$AA$495&lt;=5)*('CONTROL MASTER'!$AC$2:$AC$495&gt;=5))*ROW('CONTROL MASTER'!$S$2:$S$495))&gt;0,INDEX('CONTROL MASTER'!$X$2:$X$495,(SUMPRODUCT((('CONTROL MASTER'!$S$2:$S$495=13)*('CONTROL MASTER'!$Z$2:$Z$495&lt;=10)*('CONTROL MASTER'!$AB$2:$AB$495&gt;=10)*('CONTROL MASTER'!$AA$2:$AA$495&lt;=5)*('CONTROL MASTER'!$AC$2:$AC$495&gt;=5))*ROW('CONTROL MASTER'!$S$2:$S$495))-(ROW('CONTROL MASTER'!#REF!)-1)))&amp;TRIM(MID(SUBSTITUTE(SUBSTITUTE(INDEX('CONTROL MASTER'!$N$2:$N$495,(SUMPRODUCT((('CONTROL MASTER'!$S$2:$S$495=13)*('CONTROL MASTER'!$Z$2:$Z$495&lt;=10)*('CONTROL MASTER'!$AB$2:$AB$495&gt;=10)*('CONTROL MASTER'!$AA$2:$AA$495&lt;=5)*('CONTROL MASTER'!$AC$2:$AC$495&gt;=5))*ROW('CONTROL MASTER'!$S$2:$S$495))-(ROW('CONTROL MASTER'!#REF!)-1))),":",","),",",REPT(" ",50)),(((INDEX('CONTROL MASTER'!$Y$2:$Y$495,(SUMPRODUCT((('CONTROL MASTER'!$S$2:$S$495=13)*('CONTROL MASTER'!$Z$2:$Z$495&lt;=10)*('CONTROL MASTER'!$AB$2:$AB$495&gt;=10)*('CONTROL MASTER'!$AA$2:$AA$495&lt;=5)*('CONTROL MASTER'!$AC$2:$AC$495&gt;=5))*ROW('CONTROL MASTER'!$S$2:$S$495))-(ROW('CONTROL MASTER'!#REF!)-1)))+((10-INDEX('CONTROL MASTER'!$Z$2:$Z$495,(SUMPRODUCT((('CONTROL MASTER'!$S$2:$S$495=13)*('CONTROL MASTER'!$Z$2:$Z$495&lt;=10)*('CONTROL MASTER'!$AB$2:$AB$495&gt;=10)*('CONTROL MASTER'!$AA$2:$AA$495&lt;=5)*('CONTROL MASTER'!$AC$2:$AC$495&gt;=5))*ROW('CONTROL MASTER'!$S$2:$S$495))-(ROW('CONTROL MASTER'!#REF!)-1))))*(INDEX('CONTROL MASTER'!$AC$2:$AC$495,(SUMPRODUCT((('CONTROL MASTER'!$S$2:$S$495=13)*('CONTROL MASTER'!$Z$2:$Z$495&lt;=10)*('CONTROL MASTER'!$AB$2:$AB$495&gt;=10)*('CONTROL MASTER'!$AA$2:$AA$495&lt;=5)*('CONTROL MASTER'!$AC$2:$AC$495&gt;=5))*ROW('CONTROL MASTER'!$S$2:$S$495))-(ROW('CONTROL MASTER'!#REF!)-1)))-INDEX('CONTROL MASTER'!$AA$2:$AA$495,(SUMPRODUCT((('CONTROL MASTER'!$S$2:$S$495=13)*('CONTROL MASTER'!$Z$2:$Z$495&lt;=10)*('CONTROL MASTER'!$AB$2:$AB$495&gt;=10)*('CONTROL MASTER'!$AA$2:$AA$495&lt;=5)*('CONTROL MASTER'!$AC$2:$AC$495&gt;=5))*ROW('CONTROL MASTER'!$S$2:$S$495))-(ROW('CONTROL MASTER'!#REF!)-1)))+1)+(5-INDEX('CONTROL MASTER'!$AA$2:$AA$495,(SUMPRODUCT((('CONTROL MASTER'!$S$2:$S$495=13)*('CONTROL MASTER'!$Z$2:$Z$495&lt;=10)*('CONTROL MASTER'!$AB$2:$AB$495&gt;=10)*('CONTROL MASTER'!$AA$2:$AA$495&lt;=5)*('CONTROL MASTER'!$AC$2:$AC$495&gt;=5))*ROW('CONTROL MASTER'!$S$2:$S$495))-(ROW('CONTROL MASTER'!#REF!)-1))))+1)))-1)*50+1,50))&amp;"_"&amp;INDEX('CONTROL MASTER'!$P$2:$P$495,(SUMPRODUCT((('CONTROL MASTER'!$S$2:$S$495=13)*('CONTROL MASTER'!$Z$2:$Z$495&lt;=10)*('CONTROL MASTER'!$AB$2:$AB$495&gt;=10)*('CONTROL MASTER'!$AA$2:$AA$495&lt;=5)*('CONTROL MASTER'!$AC$2:$AC$495&gt;=5))*ROW('CONTROL MASTER'!$S$2:$S$495))-(ROW('CONTROL MASTER'!#REF!)-1))),"")),"")</f>
        <v/>
      </c>
      <c r="G180" s="10" t="str">
        <f>IFERROR(IF(SUMPRODUCT((('CONTROL MASTER'!$S$2:$S$495=13)*('CONTROL MASTER'!$T$2:$T$495&lt;=10)*('CONTROL MASTER'!$V$2:$V$495&gt;=10)*('CONTROL MASTER'!$U$2:$U$495&lt;=6)*('CONTROL MASTER'!$W$2:$W$495&gt;=6))*ROW('CONTROL MASTER'!$S$2:$S$495))&gt;0,INDEX('CONTROL MASTER'!$X$2:$X$495,(SUMPRODUCT((('CONTROL MASTER'!$S$2:$S$495=13)*('CONTROL MASTER'!$T$2:$T$495&lt;=10)*('CONTROL MASTER'!$V$2:$V$495&gt;=10)*('CONTROL MASTER'!$U$2:$U$495&lt;=6)*('CONTROL MASTER'!$W$2:$W$495&gt;=6))*ROW('CONTROL MASTER'!$S$2:$S$495))-(ROW('CONTROL MASTER'!#REF!)-1)))&amp;TRIM(MID(SUBSTITUTE(SUBSTITUTE(INDEX('CONTROL MASTER'!$N$2:$N$495,(SUMPRODUCT((('CONTROL MASTER'!$S$2:$S$495=13)*('CONTROL MASTER'!$T$2:$T$495&lt;=10)*('CONTROL MASTER'!$V$2:$V$495&gt;=10)*('CONTROL MASTER'!$U$2:$U$495&lt;=6)*('CONTROL MASTER'!$W$2:$W$495&gt;=6))*ROW('CONTROL MASTER'!$S$2:$S$495))-(ROW('CONTROL MASTER'!#REF!)-1))),":",","),",",REPT(" ",50)),((((10-INDEX('CONTROL MASTER'!$T$2:$T$495,(SUMPRODUCT((('CONTROL MASTER'!$S$2:$S$495=13)*('CONTROL MASTER'!$T$2:$T$495&lt;=10)*('CONTROL MASTER'!$V$2:$V$495&gt;=10)*('CONTROL MASTER'!$U$2:$U$495&lt;=6)*('CONTROL MASTER'!$W$2:$W$495&gt;=6))*ROW('CONTROL MASTER'!$S$2:$S$495))-(ROW('CONTROL MASTER'!#REF!)-1))))*(INDEX('CONTROL MASTER'!$W$2:$W$495,(SUMPRODUCT((('CONTROL MASTER'!$S$2:$S$495=13)*('CONTROL MASTER'!$T$2:$T$495&lt;=10)*('CONTROL MASTER'!$V$2:$V$495&gt;=10)*('CONTROL MASTER'!$U$2:$U$495&lt;=6)*('CONTROL MASTER'!$W$2:$W$495&gt;=6))*ROW('CONTROL MASTER'!$S$2:$S$495))-(ROW('CONTROL MASTER'!#REF!)-1)))-INDEX('CONTROL MASTER'!$U$2:$U$495,(SUMPRODUCT((('CONTROL MASTER'!$S$2:$S$495=13)*('CONTROL MASTER'!$T$2:$T$495&lt;=10)*('CONTROL MASTER'!$V$2:$V$495&gt;=10)*('CONTROL MASTER'!$U$2:$U$495&lt;=6)*('CONTROL MASTER'!$W$2:$W$495&gt;=6))*ROW('CONTROL MASTER'!$S$2:$S$495))-(ROW('CONTROL MASTER'!#REF!)-1)))+1)+(6-INDEX('CONTROL MASTER'!$U$2:$U$495,(SUMPRODUCT((('CONTROL MASTER'!$S$2:$S$495=13)*('CONTROL MASTER'!$T$2:$T$495&lt;=10)*('CONTROL MASTER'!$V$2:$V$495&gt;=10)*('CONTROL MASTER'!$U$2:$U$495&lt;=6)*('CONTROL MASTER'!$W$2:$W$495&gt;=6))*ROW('CONTROL MASTER'!$S$2:$S$495))-(ROW('CONTROL MASTER'!#REF!)-1))))+1))-1)*50+1,50))&amp;"_"&amp;INDEX('CONTROL MASTER'!$P$2:$P$495,(SUMPRODUCT((('CONTROL MASTER'!$S$2:$S$495=13)*('CONTROL MASTER'!$T$2:$T$495&lt;=10)*('CONTROL MASTER'!$V$2:$V$495&gt;=10)*('CONTROL MASTER'!$U$2:$U$495&lt;=6)*('CONTROL MASTER'!$W$2:$W$495&gt;=6))*ROW('CONTROL MASTER'!$S$2:$S$495))-(ROW('CONTROL MASTER'!#REF!)-1))),IF(SUMPRODUCT((('CONTROL MASTER'!$S$2:$S$495=13)*('CONTROL MASTER'!$Z$2:$Z$495&lt;=10)*('CONTROL MASTER'!$AB$2:$AB$495&gt;=10)*('CONTROL MASTER'!$AA$2:$AA$495&lt;=6)*('CONTROL MASTER'!$AC$2:$AC$495&gt;=6))*ROW('CONTROL MASTER'!$S$2:$S$495))&gt;0,INDEX('CONTROL MASTER'!$X$2:$X$495,(SUMPRODUCT((('CONTROL MASTER'!$S$2:$S$495=13)*('CONTROL MASTER'!$Z$2:$Z$495&lt;=10)*('CONTROL MASTER'!$AB$2:$AB$495&gt;=10)*('CONTROL MASTER'!$AA$2:$AA$495&lt;=6)*('CONTROL MASTER'!$AC$2:$AC$495&gt;=6))*ROW('CONTROL MASTER'!$S$2:$S$495))-(ROW('CONTROL MASTER'!#REF!)-1)))&amp;TRIM(MID(SUBSTITUTE(SUBSTITUTE(INDEX('CONTROL MASTER'!$N$2:$N$495,(SUMPRODUCT((('CONTROL MASTER'!$S$2:$S$495=13)*('CONTROL MASTER'!$Z$2:$Z$495&lt;=10)*('CONTROL MASTER'!$AB$2:$AB$495&gt;=10)*('CONTROL MASTER'!$AA$2:$AA$495&lt;=6)*('CONTROL MASTER'!$AC$2:$AC$495&gt;=6))*ROW('CONTROL MASTER'!$S$2:$S$495))-(ROW('CONTROL MASTER'!#REF!)-1))),":",","),",",REPT(" ",50)),(((INDEX('CONTROL MASTER'!$Y$2:$Y$495,(SUMPRODUCT((('CONTROL MASTER'!$S$2:$S$495=13)*('CONTROL MASTER'!$Z$2:$Z$495&lt;=10)*('CONTROL MASTER'!$AB$2:$AB$495&gt;=10)*('CONTROL MASTER'!$AA$2:$AA$495&lt;=6)*('CONTROL MASTER'!$AC$2:$AC$495&gt;=6))*ROW('CONTROL MASTER'!$S$2:$S$495))-(ROW('CONTROL MASTER'!#REF!)-1)))+((10-INDEX('CONTROL MASTER'!$Z$2:$Z$495,(SUMPRODUCT((('CONTROL MASTER'!$S$2:$S$495=13)*('CONTROL MASTER'!$Z$2:$Z$495&lt;=10)*('CONTROL MASTER'!$AB$2:$AB$495&gt;=10)*('CONTROL MASTER'!$AA$2:$AA$495&lt;=6)*('CONTROL MASTER'!$AC$2:$AC$495&gt;=6))*ROW('CONTROL MASTER'!$S$2:$S$495))-(ROW('CONTROL MASTER'!#REF!)-1))))*(INDEX('CONTROL MASTER'!$AC$2:$AC$495,(SUMPRODUCT((('CONTROL MASTER'!$S$2:$S$495=13)*('CONTROL MASTER'!$Z$2:$Z$495&lt;=10)*('CONTROL MASTER'!$AB$2:$AB$495&gt;=10)*('CONTROL MASTER'!$AA$2:$AA$495&lt;=6)*('CONTROL MASTER'!$AC$2:$AC$495&gt;=6))*ROW('CONTROL MASTER'!$S$2:$S$495))-(ROW('CONTROL MASTER'!#REF!)-1)))-INDEX('CONTROL MASTER'!$AA$2:$AA$495,(SUMPRODUCT((('CONTROL MASTER'!$S$2:$S$495=13)*('CONTROL MASTER'!$Z$2:$Z$495&lt;=10)*('CONTROL MASTER'!$AB$2:$AB$495&gt;=10)*('CONTROL MASTER'!$AA$2:$AA$495&lt;=6)*('CONTROL MASTER'!$AC$2:$AC$495&gt;=6))*ROW('CONTROL MASTER'!$S$2:$S$495))-(ROW('CONTROL MASTER'!#REF!)-1)))+1)+(6-INDEX('CONTROL MASTER'!$AA$2:$AA$495,(SUMPRODUCT((('CONTROL MASTER'!$S$2:$S$495=13)*('CONTROL MASTER'!$Z$2:$Z$495&lt;=10)*('CONTROL MASTER'!$AB$2:$AB$495&gt;=10)*('CONTROL MASTER'!$AA$2:$AA$495&lt;=6)*('CONTROL MASTER'!$AC$2:$AC$495&gt;=6))*ROW('CONTROL MASTER'!$S$2:$S$495))-(ROW('CONTROL MASTER'!#REF!)-1))))+1)))-1)*50+1,50))&amp;"_"&amp;INDEX('CONTROL MASTER'!$P$2:$P$495,(SUMPRODUCT((('CONTROL MASTER'!$S$2:$S$495=13)*('CONTROL MASTER'!$Z$2:$Z$495&lt;=10)*('CONTROL MASTER'!$AB$2:$AB$495&gt;=10)*('CONTROL MASTER'!$AA$2:$AA$495&lt;=6)*('CONTROL MASTER'!$AC$2:$AC$495&gt;=6))*ROW('CONTROL MASTER'!$S$2:$S$495))-(ROW('CONTROL MASTER'!#REF!)-1))),"")),"")</f>
        <v/>
      </c>
      <c r="H180" s="10" t="str">
        <f>IFERROR(IF(SUMPRODUCT((('CONTROL MASTER'!$S$2:$S$495=13)*('CONTROL MASTER'!$T$2:$T$495&lt;=10)*('CONTROL MASTER'!$V$2:$V$495&gt;=10)*('CONTROL MASTER'!$U$2:$U$495&lt;=7)*('CONTROL MASTER'!$W$2:$W$495&gt;=7))*ROW('CONTROL MASTER'!$S$2:$S$495))&gt;0,INDEX('CONTROL MASTER'!$X$2:$X$495,(SUMPRODUCT((('CONTROL MASTER'!$S$2:$S$495=13)*('CONTROL MASTER'!$T$2:$T$495&lt;=10)*('CONTROL MASTER'!$V$2:$V$495&gt;=10)*('CONTROL MASTER'!$U$2:$U$495&lt;=7)*('CONTROL MASTER'!$W$2:$W$495&gt;=7))*ROW('CONTROL MASTER'!$S$2:$S$495))-(ROW('CONTROL MASTER'!#REF!)-1)))&amp;TRIM(MID(SUBSTITUTE(SUBSTITUTE(INDEX('CONTROL MASTER'!$N$2:$N$495,(SUMPRODUCT((('CONTROL MASTER'!$S$2:$S$495=13)*('CONTROL MASTER'!$T$2:$T$495&lt;=10)*('CONTROL MASTER'!$V$2:$V$495&gt;=10)*('CONTROL MASTER'!$U$2:$U$495&lt;=7)*('CONTROL MASTER'!$W$2:$W$495&gt;=7))*ROW('CONTROL MASTER'!$S$2:$S$495))-(ROW('CONTROL MASTER'!#REF!)-1))),":",","),",",REPT(" ",50)),((((10-INDEX('CONTROL MASTER'!$T$2:$T$495,(SUMPRODUCT((('CONTROL MASTER'!$S$2:$S$495=13)*('CONTROL MASTER'!$T$2:$T$495&lt;=10)*('CONTROL MASTER'!$V$2:$V$495&gt;=10)*('CONTROL MASTER'!$U$2:$U$495&lt;=7)*('CONTROL MASTER'!$W$2:$W$495&gt;=7))*ROW('CONTROL MASTER'!$S$2:$S$495))-(ROW('CONTROL MASTER'!#REF!)-1))))*(INDEX('CONTROL MASTER'!$W$2:$W$495,(SUMPRODUCT((('CONTROL MASTER'!$S$2:$S$495=13)*('CONTROL MASTER'!$T$2:$T$495&lt;=10)*('CONTROL MASTER'!$V$2:$V$495&gt;=10)*('CONTROL MASTER'!$U$2:$U$495&lt;=7)*('CONTROL MASTER'!$W$2:$W$495&gt;=7))*ROW('CONTROL MASTER'!$S$2:$S$495))-(ROW('CONTROL MASTER'!#REF!)-1)))-INDEX('CONTROL MASTER'!$U$2:$U$495,(SUMPRODUCT((('CONTROL MASTER'!$S$2:$S$495=13)*('CONTROL MASTER'!$T$2:$T$495&lt;=10)*('CONTROL MASTER'!$V$2:$V$495&gt;=10)*('CONTROL MASTER'!$U$2:$U$495&lt;=7)*('CONTROL MASTER'!$W$2:$W$495&gt;=7))*ROW('CONTROL MASTER'!$S$2:$S$495))-(ROW('CONTROL MASTER'!#REF!)-1)))+1)+(7-INDEX('CONTROL MASTER'!$U$2:$U$495,(SUMPRODUCT((('CONTROL MASTER'!$S$2:$S$495=13)*('CONTROL MASTER'!$T$2:$T$495&lt;=10)*('CONTROL MASTER'!$V$2:$V$495&gt;=10)*('CONTROL MASTER'!$U$2:$U$495&lt;=7)*('CONTROL MASTER'!$W$2:$W$495&gt;=7))*ROW('CONTROL MASTER'!$S$2:$S$495))-(ROW('CONTROL MASTER'!#REF!)-1))))+1))-1)*50+1,50))&amp;"_"&amp;INDEX('CONTROL MASTER'!$P$2:$P$495,(SUMPRODUCT((('CONTROL MASTER'!$S$2:$S$495=13)*('CONTROL MASTER'!$T$2:$T$495&lt;=10)*('CONTROL MASTER'!$V$2:$V$495&gt;=10)*('CONTROL MASTER'!$U$2:$U$495&lt;=7)*('CONTROL MASTER'!$W$2:$W$495&gt;=7))*ROW('CONTROL MASTER'!$S$2:$S$495))-(ROW('CONTROL MASTER'!#REF!)-1))),IF(SUMPRODUCT((('CONTROL MASTER'!$S$2:$S$495=13)*('CONTROL MASTER'!$Z$2:$Z$495&lt;=10)*('CONTROL MASTER'!$AB$2:$AB$495&gt;=10)*('CONTROL MASTER'!$AA$2:$AA$495&lt;=7)*('CONTROL MASTER'!$AC$2:$AC$495&gt;=7))*ROW('CONTROL MASTER'!$S$2:$S$495))&gt;0,INDEX('CONTROL MASTER'!$X$2:$X$495,(SUMPRODUCT((('CONTROL MASTER'!$S$2:$S$495=13)*('CONTROL MASTER'!$Z$2:$Z$495&lt;=10)*('CONTROL MASTER'!$AB$2:$AB$495&gt;=10)*('CONTROL MASTER'!$AA$2:$AA$495&lt;=7)*('CONTROL MASTER'!$AC$2:$AC$495&gt;=7))*ROW('CONTROL MASTER'!$S$2:$S$495))-(ROW('CONTROL MASTER'!#REF!)-1)))&amp;TRIM(MID(SUBSTITUTE(SUBSTITUTE(INDEX('CONTROL MASTER'!$N$2:$N$495,(SUMPRODUCT((('CONTROL MASTER'!$S$2:$S$495=13)*('CONTROL MASTER'!$Z$2:$Z$495&lt;=10)*('CONTROL MASTER'!$AB$2:$AB$495&gt;=10)*('CONTROL MASTER'!$AA$2:$AA$495&lt;=7)*('CONTROL MASTER'!$AC$2:$AC$495&gt;=7))*ROW('CONTROL MASTER'!$S$2:$S$495))-(ROW('CONTROL MASTER'!#REF!)-1))),":",","),",",REPT(" ",50)),(((INDEX('CONTROL MASTER'!$Y$2:$Y$495,(SUMPRODUCT((('CONTROL MASTER'!$S$2:$S$495=13)*('CONTROL MASTER'!$Z$2:$Z$495&lt;=10)*('CONTROL MASTER'!$AB$2:$AB$495&gt;=10)*('CONTROL MASTER'!$AA$2:$AA$495&lt;=7)*('CONTROL MASTER'!$AC$2:$AC$495&gt;=7))*ROW('CONTROL MASTER'!$S$2:$S$495))-(ROW('CONTROL MASTER'!#REF!)-1)))+((10-INDEX('CONTROL MASTER'!$Z$2:$Z$495,(SUMPRODUCT((('CONTROL MASTER'!$S$2:$S$495=13)*('CONTROL MASTER'!$Z$2:$Z$495&lt;=10)*('CONTROL MASTER'!$AB$2:$AB$495&gt;=10)*('CONTROL MASTER'!$AA$2:$AA$495&lt;=7)*('CONTROL MASTER'!$AC$2:$AC$495&gt;=7))*ROW('CONTROL MASTER'!$S$2:$S$495))-(ROW('CONTROL MASTER'!#REF!)-1))))*(INDEX('CONTROL MASTER'!$AC$2:$AC$495,(SUMPRODUCT((('CONTROL MASTER'!$S$2:$S$495=13)*('CONTROL MASTER'!$Z$2:$Z$495&lt;=10)*('CONTROL MASTER'!$AB$2:$AB$495&gt;=10)*('CONTROL MASTER'!$AA$2:$AA$495&lt;=7)*('CONTROL MASTER'!$AC$2:$AC$495&gt;=7))*ROW('CONTROL MASTER'!$S$2:$S$495))-(ROW('CONTROL MASTER'!#REF!)-1)))-INDEX('CONTROL MASTER'!$AA$2:$AA$495,(SUMPRODUCT((('CONTROL MASTER'!$S$2:$S$495=13)*('CONTROL MASTER'!$Z$2:$Z$495&lt;=10)*('CONTROL MASTER'!$AB$2:$AB$495&gt;=10)*('CONTROL MASTER'!$AA$2:$AA$495&lt;=7)*('CONTROL MASTER'!$AC$2:$AC$495&gt;=7))*ROW('CONTROL MASTER'!$S$2:$S$495))-(ROW('CONTROL MASTER'!#REF!)-1)))+1)+(7-INDEX('CONTROL MASTER'!$AA$2:$AA$495,(SUMPRODUCT((('CONTROL MASTER'!$S$2:$S$495=13)*('CONTROL MASTER'!$Z$2:$Z$495&lt;=10)*('CONTROL MASTER'!$AB$2:$AB$495&gt;=10)*('CONTROL MASTER'!$AA$2:$AA$495&lt;=7)*('CONTROL MASTER'!$AC$2:$AC$495&gt;=7))*ROW('CONTROL MASTER'!$S$2:$S$495))-(ROW('CONTROL MASTER'!#REF!)-1))))+1)))-1)*50+1,50))&amp;"_"&amp;INDEX('CONTROL MASTER'!$P$2:$P$495,(SUMPRODUCT((('CONTROL MASTER'!$S$2:$S$495=13)*('CONTROL MASTER'!$Z$2:$Z$495&lt;=10)*('CONTROL MASTER'!$AB$2:$AB$495&gt;=10)*('CONTROL MASTER'!$AA$2:$AA$495&lt;=7)*('CONTROL MASTER'!$AC$2:$AC$495&gt;=7))*ROW('CONTROL MASTER'!$S$2:$S$495))-(ROW('CONTROL MASTER'!#REF!)-1))),"")),"")</f>
        <v/>
      </c>
      <c r="I180" s="10" t="str">
        <f>IFERROR(IF(SUMPRODUCT((('CONTROL MASTER'!$S$2:$S$495=13)*('CONTROL MASTER'!$T$2:$T$495&lt;=10)*('CONTROL MASTER'!$V$2:$V$495&gt;=10)*('CONTROL MASTER'!$U$2:$U$495&lt;=8)*('CONTROL MASTER'!$W$2:$W$495&gt;=8))*ROW('CONTROL MASTER'!$S$2:$S$495))&gt;0,INDEX('CONTROL MASTER'!$X$2:$X$495,(SUMPRODUCT((('CONTROL MASTER'!$S$2:$S$495=13)*('CONTROL MASTER'!$T$2:$T$495&lt;=10)*('CONTROL MASTER'!$V$2:$V$495&gt;=10)*('CONTROL MASTER'!$U$2:$U$495&lt;=8)*('CONTROL MASTER'!$W$2:$W$495&gt;=8))*ROW('CONTROL MASTER'!$S$2:$S$495))-(ROW('CONTROL MASTER'!#REF!)-1)))&amp;TRIM(MID(SUBSTITUTE(SUBSTITUTE(INDEX('CONTROL MASTER'!$N$2:$N$495,(SUMPRODUCT((('CONTROL MASTER'!$S$2:$S$495=13)*('CONTROL MASTER'!$T$2:$T$495&lt;=10)*('CONTROL MASTER'!$V$2:$V$495&gt;=10)*('CONTROL MASTER'!$U$2:$U$495&lt;=8)*('CONTROL MASTER'!$W$2:$W$495&gt;=8))*ROW('CONTROL MASTER'!$S$2:$S$495))-(ROW('CONTROL MASTER'!#REF!)-1))),":",","),",",REPT(" ",50)),((((10-INDEX('CONTROL MASTER'!$T$2:$T$495,(SUMPRODUCT((('CONTROL MASTER'!$S$2:$S$495=13)*('CONTROL MASTER'!$T$2:$T$495&lt;=10)*('CONTROL MASTER'!$V$2:$V$495&gt;=10)*('CONTROL MASTER'!$U$2:$U$495&lt;=8)*('CONTROL MASTER'!$W$2:$W$495&gt;=8))*ROW('CONTROL MASTER'!$S$2:$S$495))-(ROW('CONTROL MASTER'!#REF!)-1))))*(INDEX('CONTROL MASTER'!$W$2:$W$495,(SUMPRODUCT((('CONTROL MASTER'!$S$2:$S$495=13)*('CONTROL MASTER'!$T$2:$T$495&lt;=10)*('CONTROL MASTER'!$V$2:$V$495&gt;=10)*('CONTROL MASTER'!$U$2:$U$495&lt;=8)*('CONTROL MASTER'!$W$2:$W$495&gt;=8))*ROW('CONTROL MASTER'!$S$2:$S$495))-(ROW('CONTROL MASTER'!#REF!)-1)))-INDEX('CONTROL MASTER'!$U$2:$U$495,(SUMPRODUCT((('CONTROL MASTER'!$S$2:$S$495=13)*('CONTROL MASTER'!$T$2:$T$495&lt;=10)*('CONTROL MASTER'!$V$2:$V$495&gt;=10)*('CONTROL MASTER'!$U$2:$U$495&lt;=8)*('CONTROL MASTER'!$W$2:$W$495&gt;=8))*ROW('CONTROL MASTER'!$S$2:$S$495))-(ROW('CONTROL MASTER'!#REF!)-1)))+1)+(8-INDEX('CONTROL MASTER'!$U$2:$U$495,(SUMPRODUCT((('CONTROL MASTER'!$S$2:$S$495=13)*('CONTROL MASTER'!$T$2:$T$495&lt;=10)*('CONTROL MASTER'!$V$2:$V$495&gt;=10)*('CONTROL MASTER'!$U$2:$U$495&lt;=8)*('CONTROL MASTER'!$W$2:$W$495&gt;=8))*ROW('CONTROL MASTER'!$S$2:$S$495))-(ROW('CONTROL MASTER'!#REF!)-1))))+1))-1)*50+1,50))&amp;"_"&amp;INDEX('CONTROL MASTER'!$P$2:$P$495,(SUMPRODUCT((('CONTROL MASTER'!$S$2:$S$495=13)*('CONTROL MASTER'!$T$2:$T$495&lt;=10)*('CONTROL MASTER'!$V$2:$V$495&gt;=10)*('CONTROL MASTER'!$U$2:$U$495&lt;=8)*('CONTROL MASTER'!$W$2:$W$495&gt;=8))*ROW('CONTROL MASTER'!$S$2:$S$495))-(ROW('CONTROL MASTER'!#REF!)-1))),IF(SUMPRODUCT((('CONTROL MASTER'!$S$2:$S$495=13)*('CONTROL MASTER'!$Z$2:$Z$495&lt;=10)*('CONTROL MASTER'!$AB$2:$AB$495&gt;=10)*('CONTROL MASTER'!$AA$2:$AA$495&lt;=8)*('CONTROL MASTER'!$AC$2:$AC$495&gt;=8))*ROW('CONTROL MASTER'!$S$2:$S$495))&gt;0,INDEX('CONTROL MASTER'!$X$2:$X$495,(SUMPRODUCT((('CONTROL MASTER'!$S$2:$S$495=13)*('CONTROL MASTER'!$Z$2:$Z$495&lt;=10)*('CONTROL MASTER'!$AB$2:$AB$495&gt;=10)*('CONTROL MASTER'!$AA$2:$AA$495&lt;=8)*('CONTROL MASTER'!$AC$2:$AC$495&gt;=8))*ROW('CONTROL MASTER'!$S$2:$S$495))-(ROW('CONTROL MASTER'!#REF!)-1)))&amp;TRIM(MID(SUBSTITUTE(SUBSTITUTE(INDEX('CONTROL MASTER'!$N$2:$N$495,(SUMPRODUCT((('CONTROL MASTER'!$S$2:$S$495=13)*('CONTROL MASTER'!$Z$2:$Z$495&lt;=10)*('CONTROL MASTER'!$AB$2:$AB$495&gt;=10)*('CONTROL MASTER'!$AA$2:$AA$495&lt;=8)*('CONTROL MASTER'!$AC$2:$AC$495&gt;=8))*ROW('CONTROL MASTER'!$S$2:$S$495))-(ROW('CONTROL MASTER'!#REF!)-1))),":",","),",",REPT(" ",50)),(((INDEX('CONTROL MASTER'!$Y$2:$Y$495,(SUMPRODUCT((('CONTROL MASTER'!$S$2:$S$495=13)*('CONTROL MASTER'!$Z$2:$Z$495&lt;=10)*('CONTROL MASTER'!$AB$2:$AB$495&gt;=10)*('CONTROL MASTER'!$AA$2:$AA$495&lt;=8)*('CONTROL MASTER'!$AC$2:$AC$495&gt;=8))*ROW('CONTROL MASTER'!$S$2:$S$495))-(ROW('CONTROL MASTER'!#REF!)-1)))+((10-INDEX('CONTROL MASTER'!$Z$2:$Z$495,(SUMPRODUCT((('CONTROL MASTER'!$S$2:$S$495=13)*('CONTROL MASTER'!$Z$2:$Z$495&lt;=10)*('CONTROL MASTER'!$AB$2:$AB$495&gt;=10)*('CONTROL MASTER'!$AA$2:$AA$495&lt;=8)*('CONTROL MASTER'!$AC$2:$AC$495&gt;=8))*ROW('CONTROL MASTER'!$S$2:$S$495))-(ROW('CONTROL MASTER'!#REF!)-1))))*(INDEX('CONTROL MASTER'!$AC$2:$AC$495,(SUMPRODUCT((('CONTROL MASTER'!$S$2:$S$495=13)*('CONTROL MASTER'!$Z$2:$Z$495&lt;=10)*('CONTROL MASTER'!$AB$2:$AB$495&gt;=10)*('CONTROL MASTER'!$AA$2:$AA$495&lt;=8)*('CONTROL MASTER'!$AC$2:$AC$495&gt;=8))*ROW('CONTROL MASTER'!$S$2:$S$495))-(ROW('CONTROL MASTER'!#REF!)-1)))-INDEX('CONTROL MASTER'!$AA$2:$AA$495,(SUMPRODUCT((('CONTROL MASTER'!$S$2:$S$495=13)*('CONTROL MASTER'!$Z$2:$Z$495&lt;=10)*('CONTROL MASTER'!$AB$2:$AB$495&gt;=10)*('CONTROL MASTER'!$AA$2:$AA$495&lt;=8)*('CONTROL MASTER'!$AC$2:$AC$495&gt;=8))*ROW('CONTROL MASTER'!$S$2:$S$495))-(ROW('CONTROL MASTER'!#REF!)-1)))+1)+(8-INDEX('CONTROL MASTER'!$AA$2:$AA$495,(SUMPRODUCT((('CONTROL MASTER'!$S$2:$S$495=13)*('CONTROL MASTER'!$Z$2:$Z$495&lt;=10)*('CONTROL MASTER'!$AB$2:$AB$495&gt;=10)*('CONTROL MASTER'!$AA$2:$AA$495&lt;=8)*('CONTROL MASTER'!$AC$2:$AC$495&gt;=8))*ROW('CONTROL MASTER'!$S$2:$S$495))-(ROW('CONTROL MASTER'!#REF!)-1))))+1)))-1)*50+1,50))&amp;"_"&amp;INDEX('CONTROL MASTER'!$P$2:$P$495,(SUMPRODUCT((('CONTROL MASTER'!$S$2:$S$495=13)*('CONTROL MASTER'!$Z$2:$Z$495&lt;=10)*('CONTROL MASTER'!$AB$2:$AB$495&gt;=10)*('CONTROL MASTER'!$AA$2:$AA$495&lt;=8)*('CONTROL MASTER'!$AC$2:$AC$495&gt;=8))*ROW('CONTROL MASTER'!$S$2:$S$495))-(ROW('CONTROL MASTER'!#REF!)-1))),"")),"")</f>
        <v/>
      </c>
      <c r="J180" s="10" t="str">
        <f>IFERROR(IF(SUMPRODUCT((('CONTROL MASTER'!$S$2:$S$495=13)*('CONTROL MASTER'!$T$2:$T$495&lt;=10)*('CONTROL MASTER'!$V$2:$V$495&gt;=10)*('CONTROL MASTER'!$U$2:$U$495&lt;=9)*('CONTROL MASTER'!$W$2:$W$495&gt;=9))*ROW('CONTROL MASTER'!$S$2:$S$495))&gt;0,INDEX('CONTROL MASTER'!$X$2:$X$495,(SUMPRODUCT((('CONTROL MASTER'!$S$2:$S$495=13)*('CONTROL MASTER'!$T$2:$T$495&lt;=10)*('CONTROL MASTER'!$V$2:$V$495&gt;=10)*('CONTROL MASTER'!$U$2:$U$495&lt;=9)*('CONTROL MASTER'!$W$2:$W$495&gt;=9))*ROW('CONTROL MASTER'!$S$2:$S$495))-(ROW('CONTROL MASTER'!#REF!)-1)))&amp;TRIM(MID(SUBSTITUTE(SUBSTITUTE(INDEX('CONTROL MASTER'!$N$2:$N$495,(SUMPRODUCT((('CONTROL MASTER'!$S$2:$S$495=13)*('CONTROL MASTER'!$T$2:$T$495&lt;=10)*('CONTROL MASTER'!$V$2:$V$495&gt;=10)*('CONTROL MASTER'!$U$2:$U$495&lt;=9)*('CONTROL MASTER'!$W$2:$W$495&gt;=9))*ROW('CONTROL MASTER'!$S$2:$S$495))-(ROW('CONTROL MASTER'!#REF!)-1))),":",","),",",REPT(" ",50)),((((10-INDEX('CONTROL MASTER'!$T$2:$T$495,(SUMPRODUCT((('CONTROL MASTER'!$S$2:$S$495=13)*('CONTROL MASTER'!$T$2:$T$495&lt;=10)*('CONTROL MASTER'!$V$2:$V$495&gt;=10)*('CONTROL MASTER'!$U$2:$U$495&lt;=9)*('CONTROL MASTER'!$W$2:$W$495&gt;=9))*ROW('CONTROL MASTER'!$S$2:$S$495))-(ROW('CONTROL MASTER'!#REF!)-1))))*(INDEX('CONTROL MASTER'!$W$2:$W$495,(SUMPRODUCT((('CONTROL MASTER'!$S$2:$S$495=13)*('CONTROL MASTER'!$T$2:$T$495&lt;=10)*('CONTROL MASTER'!$V$2:$V$495&gt;=10)*('CONTROL MASTER'!$U$2:$U$495&lt;=9)*('CONTROL MASTER'!$W$2:$W$495&gt;=9))*ROW('CONTROL MASTER'!$S$2:$S$495))-(ROW('CONTROL MASTER'!#REF!)-1)))-INDEX('CONTROL MASTER'!$U$2:$U$495,(SUMPRODUCT((('CONTROL MASTER'!$S$2:$S$495=13)*('CONTROL MASTER'!$T$2:$T$495&lt;=10)*('CONTROL MASTER'!$V$2:$V$495&gt;=10)*('CONTROL MASTER'!$U$2:$U$495&lt;=9)*('CONTROL MASTER'!$W$2:$W$495&gt;=9))*ROW('CONTROL MASTER'!$S$2:$S$495))-(ROW('CONTROL MASTER'!#REF!)-1)))+1)+(9-INDEX('CONTROL MASTER'!$U$2:$U$495,(SUMPRODUCT((('CONTROL MASTER'!$S$2:$S$495=13)*('CONTROL MASTER'!$T$2:$T$495&lt;=10)*('CONTROL MASTER'!$V$2:$V$495&gt;=10)*('CONTROL MASTER'!$U$2:$U$495&lt;=9)*('CONTROL MASTER'!$W$2:$W$495&gt;=9))*ROW('CONTROL MASTER'!$S$2:$S$495))-(ROW('CONTROL MASTER'!#REF!)-1))))+1))-1)*50+1,50))&amp;"_"&amp;INDEX('CONTROL MASTER'!$P$2:$P$495,(SUMPRODUCT((('CONTROL MASTER'!$S$2:$S$495=13)*('CONTROL MASTER'!$T$2:$T$495&lt;=10)*('CONTROL MASTER'!$V$2:$V$495&gt;=10)*('CONTROL MASTER'!$U$2:$U$495&lt;=9)*('CONTROL MASTER'!$W$2:$W$495&gt;=9))*ROW('CONTROL MASTER'!$S$2:$S$495))-(ROW('CONTROL MASTER'!#REF!)-1))),IF(SUMPRODUCT((('CONTROL MASTER'!$S$2:$S$495=13)*('CONTROL MASTER'!$Z$2:$Z$495&lt;=10)*('CONTROL MASTER'!$AB$2:$AB$495&gt;=10)*('CONTROL MASTER'!$AA$2:$AA$495&lt;=9)*('CONTROL MASTER'!$AC$2:$AC$495&gt;=9))*ROW('CONTROL MASTER'!$S$2:$S$495))&gt;0,INDEX('CONTROL MASTER'!$X$2:$X$495,(SUMPRODUCT((('CONTROL MASTER'!$S$2:$S$495=13)*('CONTROL MASTER'!$Z$2:$Z$495&lt;=10)*('CONTROL MASTER'!$AB$2:$AB$495&gt;=10)*('CONTROL MASTER'!$AA$2:$AA$495&lt;=9)*('CONTROL MASTER'!$AC$2:$AC$495&gt;=9))*ROW('CONTROL MASTER'!$S$2:$S$495))-(ROW('CONTROL MASTER'!#REF!)-1)))&amp;TRIM(MID(SUBSTITUTE(SUBSTITUTE(INDEX('CONTROL MASTER'!$N$2:$N$495,(SUMPRODUCT((('CONTROL MASTER'!$S$2:$S$495=13)*('CONTROL MASTER'!$Z$2:$Z$495&lt;=10)*('CONTROL MASTER'!$AB$2:$AB$495&gt;=10)*('CONTROL MASTER'!$AA$2:$AA$495&lt;=9)*('CONTROL MASTER'!$AC$2:$AC$495&gt;=9))*ROW('CONTROL MASTER'!$S$2:$S$495))-(ROW('CONTROL MASTER'!#REF!)-1))),":",","),",",REPT(" ",50)),(((INDEX('CONTROL MASTER'!$Y$2:$Y$495,(SUMPRODUCT((('CONTROL MASTER'!$S$2:$S$495=13)*('CONTROL MASTER'!$Z$2:$Z$495&lt;=10)*('CONTROL MASTER'!$AB$2:$AB$495&gt;=10)*('CONTROL MASTER'!$AA$2:$AA$495&lt;=9)*('CONTROL MASTER'!$AC$2:$AC$495&gt;=9))*ROW('CONTROL MASTER'!$S$2:$S$495))-(ROW('CONTROL MASTER'!#REF!)-1)))+((10-INDEX('CONTROL MASTER'!$Z$2:$Z$495,(SUMPRODUCT((('CONTROL MASTER'!$S$2:$S$495=13)*('CONTROL MASTER'!$Z$2:$Z$495&lt;=10)*('CONTROL MASTER'!$AB$2:$AB$495&gt;=10)*('CONTROL MASTER'!$AA$2:$AA$495&lt;=9)*('CONTROL MASTER'!$AC$2:$AC$495&gt;=9))*ROW('CONTROL MASTER'!$S$2:$S$495))-(ROW('CONTROL MASTER'!#REF!)-1))))*(INDEX('CONTROL MASTER'!$AC$2:$AC$495,(SUMPRODUCT((('CONTROL MASTER'!$S$2:$S$495=13)*('CONTROL MASTER'!$Z$2:$Z$495&lt;=10)*('CONTROL MASTER'!$AB$2:$AB$495&gt;=10)*('CONTROL MASTER'!$AA$2:$AA$495&lt;=9)*('CONTROL MASTER'!$AC$2:$AC$495&gt;=9))*ROW('CONTROL MASTER'!$S$2:$S$495))-(ROW('CONTROL MASTER'!#REF!)-1)))-INDEX('CONTROL MASTER'!$AA$2:$AA$495,(SUMPRODUCT((('CONTROL MASTER'!$S$2:$S$495=13)*('CONTROL MASTER'!$Z$2:$Z$495&lt;=10)*('CONTROL MASTER'!$AB$2:$AB$495&gt;=10)*('CONTROL MASTER'!$AA$2:$AA$495&lt;=9)*('CONTROL MASTER'!$AC$2:$AC$495&gt;=9))*ROW('CONTROL MASTER'!$S$2:$S$495))-(ROW('CONTROL MASTER'!#REF!)-1)))+1)+(9-INDEX('CONTROL MASTER'!$AA$2:$AA$495,(SUMPRODUCT((('CONTROL MASTER'!$S$2:$S$495=13)*('CONTROL MASTER'!$Z$2:$Z$495&lt;=10)*('CONTROL MASTER'!$AB$2:$AB$495&gt;=10)*('CONTROL MASTER'!$AA$2:$AA$495&lt;=9)*('CONTROL MASTER'!$AC$2:$AC$495&gt;=9))*ROW('CONTROL MASTER'!$S$2:$S$495))-(ROW('CONTROL MASTER'!#REF!)-1))))+1)))-1)*50+1,50))&amp;"_"&amp;INDEX('CONTROL MASTER'!$P$2:$P$495,(SUMPRODUCT((('CONTROL MASTER'!$S$2:$S$495=13)*('CONTROL MASTER'!$Z$2:$Z$495&lt;=10)*('CONTROL MASTER'!$AB$2:$AB$495&gt;=10)*('CONTROL MASTER'!$AA$2:$AA$495&lt;=9)*('CONTROL MASTER'!$AC$2:$AC$495&gt;=9))*ROW('CONTROL MASTER'!$S$2:$S$495))-(ROW('CONTROL MASTER'!#REF!)-1))),"")),"")</f>
        <v/>
      </c>
      <c r="K180" s="10" t="str">
        <f>IFERROR(IF(SUMPRODUCT((('CONTROL MASTER'!$S$2:$S$495=13)*('CONTROL MASTER'!$T$2:$T$495&lt;=10)*('CONTROL MASTER'!$V$2:$V$495&gt;=10)*('CONTROL MASTER'!$U$2:$U$495&lt;=10)*('CONTROL MASTER'!$W$2:$W$495&gt;=10))*ROW('CONTROL MASTER'!$S$2:$S$495))&gt;0,INDEX('CONTROL MASTER'!$X$2:$X$495,(SUMPRODUCT((('CONTROL MASTER'!$S$2:$S$495=13)*('CONTROL MASTER'!$T$2:$T$495&lt;=10)*('CONTROL MASTER'!$V$2:$V$495&gt;=10)*('CONTROL MASTER'!$U$2:$U$495&lt;=10)*('CONTROL MASTER'!$W$2:$W$495&gt;=10))*ROW('CONTROL MASTER'!$S$2:$S$495))-(ROW('CONTROL MASTER'!#REF!)-1)))&amp;TRIM(MID(SUBSTITUTE(SUBSTITUTE(INDEX('CONTROL MASTER'!$N$2:$N$495,(SUMPRODUCT((('CONTROL MASTER'!$S$2:$S$495=13)*('CONTROL MASTER'!$T$2:$T$495&lt;=10)*('CONTROL MASTER'!$V$2:$V$495&gt;=10)*('CONTROL MASTER'!$U$2:$U$495&lt;=10)*('CONTROL MASTER'!$W$2:$W$495&gt;=10))*ROW('CONTROL MASTER'!$S$2:$S$495))-(ROW('CONTROL MASTER'!#REF!)-1))),":",","),",",REPT(" ",50)),((((10-INDEX('CONTROL MASTER'!$T$2:$T$495,(SUMPRODUCT((('CONTROL MASTER'!$S$2:$S$495=13)*('CONTROL MASTER'!$T$2:$T$495&lt;=10)*('CONTROL MASTER'!$V$2:$V$495&gt;=10)*('CONTROL MASTER'!$U$2:$U$495&lt;=10)*('CONTROL MASTER'!$W$2:$W$495&gt;=10))*ROW('CONTROL MASTER'!$S$2:$S$495))-(ROW('CONTROL MASTER'!#REF!)-1))))*(INDEX('CONTROL MASTER'!$W$2:$W$495,(SUMPRODUCT((('CONTROL MASTER'!$S$2:$S$495=13)*('CONTROL MASTER'!$T$2:$T$495&lt;=10)*('CONTROL MASTER'!$V$2:$V$495&gt;=10)*('CONTROL MASTER'!$U$2:$U$495&lt;=10)*('CONTROL MASTER'!$W$2:$W$495&gt;=10))*ROW('CONTROL MASTER'!$S$2:$S$495))-(ROW('CONTROL MASTER'!#REF!)-1)))-INDEX('CONTROL MASTER'!$U$2:$U$495,(SUMPRODUCT((('CONTROL MASTER'!$S$2:$S$495=13)*('CONTROL MASTER'!$T$2:$T$495&lt;=10)*('CONTROL MASTER'!$V$2:$V$495&gt;=10)*('CONTROL MASTER'!$U$2:$U$495&lt;=10)*('CONTROL MASTER'!$W$2:$W$495&gt;=10))*ROW('CONTROL MASTER'!$S$2:$S$495))-(ROW('CONTROL MASTER'!#REF!)-1)))+1)+(10-INDEX('CONTROL MASTER'!$U$2:$U$495,(SUMPRODUCT((('CONTROL MASTER'!$S$2:$S$495=13)*('CONTROL MASTER'!$T$2:$T$495&lt;=10)*('CONTROL MASTER'!$V$2:$V$495&gt;=10)*('CONTROL MASTER'!$U$2:$U$495&lt;=10)*('CONTROL MASTER'!$W$2:$W$495&gt;=10))*ROW('CONTROL MASTER'!$S$2:$S$495))-(ROW('CONTROL MASTER'!#REF!)-1))))+1))-1)*50+1,50))&amp;"_"&amp;INDEX('CONTROL MASTER'!$P$2:$P$495,(SUMPRODUCT((('CONTROL MASTER'!$S$2:$S$495=13)*('CONTROL MASTER'!$T$2:$T$495&lt;=10)*('CONTROL MASTER'!$V$2:$V$495&gt;=10)*('CONTROL MASTER'!$U$2:$U$495&lt;=10)*('CONTROL MASTER'!$W$2:$W$495&gt;=10))*ROW('CONTROL MASTER'!$S$2:$S$495))-(ROW('CONTROL MASTER'!#REF!)-1))),IF(SUMPRODUCT((('CONTROL MASTER'!$S$2:$S$495=13)*('CONTROL MASTER'!$Z$2:$Z$495&lt;=10)*('CONTROL MASTER'!$AB$2:$AB$495&gt;=10)*('CONTROL MASTER'!$AA$2:$AA$495&lt;=10)*('CONTROL MASTER'!$AC$2:$AC$495&gt;=10))*ROW('CONTROL MASTER'!$S$2:$S$495))&gt;0,INDEX('CONTROL MASTER'!$X$2:$X$495,(SUMPRODUCT((('CONTROL MASTER'!$S$2:$S$495=13)*('CONTROL MASTER'!$Z$2:$Z$495&lt;=10)*('CONTROL MASTER'!$AB$2:$AB$495&gt;=10)*('CONTROL MASTER'!$AA$2:$AA$495&lt;=10)*('CONTROL MASTER'!$AC$2:$AC$495&gt;=10))*ROW('CONTROL MASTER'!$S$2:$S$495))-(ROW('CONTROL MASTER'!#REF!)-1)))&amp;TRIM(MID(SUBSTITUTE(SUBSTITUTE(INDEX('CONTROL MASTER'!$N$2:$N$495,(SUMPRODUCT((('CONTROL MASTER'!$S$2:$S$495=13)*('CONTROL MASTER'!$Z$2:$Z$495&lt;=10)*('CONTROL MASTER'!$AB$2:$AB$495&gt;=10)*('CONTROL MASTER'!$AA$2:$AA$495&lt;=10)*('CONTROL MASTER'!$AC$2:$AC$495&gt;=10))*ROW('CONTROL MASTER'!$S$2:$S$495))-(ROW('CONTROL MASTER'!#REF!)-1))),":",","),",",REPT(" ",50)),(((INDEX('CONTROL MASTER'!$Y$2:$Y$495,(SUMPRODUCT((('CONTROL MASTER'!$S$2:$S$495=13)*('CONTROL MASTER'!$Z$2:$Z$495&lt;=10)*('CONTROL MASTER'!$AB$2:$AB$495&gt;=10)*('CONTROL MASTER'!$AA$2:$AA$495&lt;=10)*('CONTROL MASTER'!$AC$2:$AC$495&gt;=10))*ROW('CONTROL MASTER'!$S$2:$S$495))-(ROW('CONTROL MASTER'!#REF!)-1)))+((10-INDEX('CONTROL MASTER'!$Z$2:$Z$495,(SUMPRODUCT((('CONTROL MASTER'!$S$2:$S$495=13)*('CONTROL MASTER'!$Z$2:$Z$495&lt;=10)*('CONTROL MASTER'!$AB$2:$AB$495&gt;=10)*('CONTROL MASTER'!$AA$2:$AA$495&lt;=10)*('CONTROL MASTER'!$AC$2:$AC$495&gt;=10))*ROW('CONTROL MASTER'!$S$2:$S$495))-(ROW('CONTROL MASTER'!#REF!)-1))))*(INDEX('CONTROL MASTER'!$AC$2:$AC$495,(SUMPRODUCT((('CONTROL MASTER'!$S$2:$S$495=13)*('CONTROL MASTER'!$Z$2:$Z$495&lt;=10)*('CONTROL MASTER'!$AB$2:$AB$495&gt;=10)*('CONTROL MASTER'!$AA$2:$AA$495&lt;=10)*('CONTROL MASTER'!$AC$2:$AC$495&gt;=10))*ROW('CONTROL MASTER'!$S$2:$S$495))-(ROW('CONTROL MASTER'!#REF!)-1)))-INDEX('CONTROL MASTER'!$AA$2:$AA$495,(SUMPRODUCT((('CONTROL MASTER'!$S$2:$S$495=13)*('CONTROL MASTER'!$Z$2:$Z$495&lt;=10)*('CONTROL MASTER'!$AB$2:$AB$495&gt;=10)*('CONTROL MASTER'!$AA$2:$AA$495&lt;=10)*('CONTROL MASTER'!$AC$2:$AC$495&gt;=10))*ROW('CONTROL MASTER'!$S$2:$S$495))-(ROW('CONTROL MASTER'!#REF!)-1)))+1)+(10-INDEX('CONTROL MASTER'!$AA$2:$AA$495,(SUMPRODUCT((('CONTROL MASTER'!$S$2:$S$495=13)*('CONTROL MASTER'!$Z$2:$Z$495&lt;=10)*('CONTROL MASTER'!$AB$2:$AB$495&gt;=10)*('CONTROL MASTER'!$AA$2:$AA$495&lt;=10)*('CONTROL MASTER'!$AC$2:$AC$495&gt;=10))*ROW('CONTROL MASTER'!$S$2:$S$495))-(ROW('CONTROL MASTER'!#REF!)-1))))+1)))-1)*50+1,50))&amp;"_"&amp;INDEX('CONTROL MASTER'!$P$2:$P$495,(SUMPRODUCT((('CONTROL MASTER'!$S$2:$S$495=13)*('CONTROL MASTER'!$Z$2:$Z$495&lt;=10)*('CONTROL MASTER'!$AB$2:$AB$495&gt;=10)*('CONTROL MASTER'!$AA$2:$AA$495&lt;=10)*('CONTROL MASTER'!$AC$2:$AC$495&gt;=10))*ROW('CONTROL MASTER'!$S$2:$S$495))-(ROW('CONTROL MASTER'!#REF!)-1))),"")),"")</f>
        <v/>
      </c>
    </row>
    <row r="183" spans="1:11" ht="15" customHeight="1" x14ac:dyDescent="0.35">
      <c r="A183" s="12" t="s">
        <v>170</v>
      </c>
      <c r="B183" s="13"/>
      <c r="C183" s="13"/>
      <c r="D183" s="13"/>
      <c r="E183" s="13"/>
      <c r="F183" s="13"/>
      <c r="G183" s="13"/>
      <c r="H183" s="13"/>
      <c r="I183" s="13"/>
      <c r="J183" s="13"/>
      <c r="K183" s="13"/>
    </row>
    <row r="184" spans="1:11" ht="15" customHeight="1" x14ac:dyDescent="0.35">
      <c r="B184" s="8">
        <v>1</v>
      </c>
      <c r="C184" s="8">
        <v>2</v>
      </c>
      <c r="D184" s="8">
        <v>3</v>
      </c>
      <c r="E184" s="8">
        <v>4</v>
      </c>
      <c r="F184" s="8">
        <v>5</v>
      </c>
      <c r="G184" s="8">
        <v>6</v>
      </c>
      <c r="H184" s="8">
        <v>7</v>
      </c>
      <c r="I184" s="8">
        <v>8</v>
      </c>
      <c r="J184" s="8">
        <v>9</v>
      </c>
      <c r="K184" s="8">
        <v>10</v>
      </c>
    </row>
    <row r="185" spans="1:11" ht="15" customHeight="1" x14ac:dyDescent="0.35">
      <c r="A185" s="8" t="s">
        <v>28</v>
      </c>
      <c r="B185" s="10" t="str">
        <f>IFERROR(IF(SUMPRODUCT((('CONTROL MASTER'!$S$2:$S$495=14)*('CONTROL MASTER'!$T$2:$T$495&lt;=1)*('CONTROL MASTER'!$V$2:$V$495&gt;=1)*('CONTROL MASTER'!$U$2:$U$495&lt;=1)*('CONTROL MASTER'!$W$2:$W$495&gt;=1))*ROW('CONTROL MASTER'!$S$2:$S$495))&gt;0,INDEX('CONTROL MASTER'!$X$2:$X$495,(SUMPRODUCT((('CONTROL MASTER'!$S$2:$S$495=14)*('CONTROL MASTER'!$T$2:$T$495&lt;=1)*('CONTROL MASTER'!$V$2:$V$495&gt;=1)*('CONTROL MASTER'!$U$2:$U$495&lt;=1)*('CONTROL MASTER'!$W$2:$W$495&gt;=1))*ROW('CONTROL MASTER'!$S$2:$S$495))-(ROW('CONTROL MASTER'!#REF!)-1)))&amp;TRIM(MID(SUBSTITUTE(SUBSTITUTE(INDEX('CONTROL MASTER'!$N$2:$N$495,(SUMPRODUCT((('CONTROL MASTER'!$S$2:$S$495=14)*('CONTROL MASTER'!$T$2:$T$495&lt;=1)*('CONTROL MASTER'!$V$2:$V$495&gt;=1)*('CONTROL MASTER'!$U$2:$U$495&lt;=1)*('CONTROL MASTER'!$W$2:$W$495&gt;=1))*ROW('CONTROL MASTER'!$S$2:$S$495))-(ROW('CONTROL MASTER'!#REF!)-1))),":",","),",",REPT(" ",50)),((((1-INDEX('CONTROL MASTER'!$T$2:$T$495,(SUMPRODUCT((('CONTROL MASTER'!$S$2:$S$495=14)*('CONTROL MASTER'!$T$2:$T$495&lt;=1)*('CONTROL MASTER'!$V$2:$V$495&gt;=1)*('CONTROL MASTER'!$U$2:$U$495&lt;=1)*('CONTROL MASTER'!$W$2:$W$495&gt;=1))*ROW('CONTROL MASTER'!$S$2:$S$495))-(ROW('CONTROL MASTER'!#REF!)-1))))*(INDEX('CONTROL MASTER'!$W$2:$W$495,(SUMPRODUCT((('CONTROL MASTER'!$S$2:$S$495=14)*('CONTROL MASTER'!$T$2:$T$495&lt;=1)*('CONTROL MASTER'!$V$2:$V$495&gt;=1)*('CONTROL MASTER'!$U$2:$U$495&lt;=1)*('CONTROL MASTER'!$W$2:$W$495&gt;=1))*ROW('CONTROL MASTER'!$S$2:$S$495))-(ROW('CONTROL MASTER'!#REF!)-1)))-INDEX('CONTROL MASTER'!$U$2:$U$495,(SUMPRODUCT((('CONTROL MASTER'!$S$2:$S$495=14)*('CONTROL MASTER'!$T$2:$T$495&lt;=1)*('CONTROL MASTER'!$V$2:$V$495&gt;=1)*('CONTROL MASTER'!$U$2:$U$495&lt;=1)*('CONTROL MASTER'!$W$2:$W$495&gt;=1))*ROW('CONTROL MASTER'!$S$2:$S$495))-(ROW('CONTROL MASTER'!#REF!)-1)))+1)+(1-INDEX('CONTROL MASTER'!$U$2:$U$495,(SUMPRODUCT((('CONTROL MASTER'!$S$2:$S$495=14)*('CONTROL MASTER'!$T$2:$T$495&lt;=1)*('CONTROL MASTER'!$V$2:$V$495&gt;=1)*('CONTROL MASTER'!$U$2:$U$495&lt;=1)*('CONTROL MASTER'!$W$2:$W$495&gt;=1))*ROW('CONTROL MASTER'!$S$2:$S$495))-(ROW('CONTROL MASTER'!#REF!)-1))))+1))-1)*50+1,50))&amp;"_"&amp;INDEX('CONTROL MASTER'!$P$2:$P$495,(SUMPRODUCT((('CONTROL MASTER'!$S$2:$S$495=14)*('CONTROL MASTER'!$T$2:$T$495&lt;=1)*('CONTROL MASTER'!$V$2:$V$495&gt;=1)*('CONTROL MASTER'!$U$2:$U$495&lt;=1)*('CONTROL MASTER'!$W$2:$W$495&gt;=1))*ROW('CONTROL MASTER'!$S$2:$S$495))-(ROW('CONTROL MASTER'!#REF!)-1))),IF(SUMPRODUCT((('CONTROL MASTER'!$S$2:$S$495=14)*('CONTROL MASTER'!$Z$2:$Z$495&lt;=1)*('CONTROL MASTER'!$AB$2:$AB$495&gt;=1)*('CONTROL MASTER'!$AA$2:$AA$495&lt;=1)*('CONTROL MASTER'!$AC$2:$AC$495&gt;=1))*ROW('CONTROL MASTER'!$S$2:$S$495))&gt;0,INDEX('CONTROL MASTER'!$X$2:$X$495,(SUMPRODUCT((('CONTROL MASTER'!$S$2:$S$495=14)*('CONTROL MASTER'!$Z$2:$Z$495&lt;=1)*('CONTROL MASTER'!$AB$2:$AB$495&gt;=1)*('CONTROL MASTER'!$AA$2:$AA$495&lt;=1)*('CONTROL MASTER'!$AC$2:$AC$495&gt;=1))*ROW('CONTROL MASTER'!$S$2:$S$495))-(ROW('CONTROL MASTER'!#REF!)-1)))&amp;TRIM(MID(SUBSTITUTE(SUBSTITUTE(INDEX('CONTROL MASTER'!$N$2:$N$495,(SUMPRODUCT((('CONTROL MASTER'!$S$2:$S$495=14)*('CONTROL MASTER'!$Z$2:$Z$495&lt;=1)*('CONTROL MASTER'!$AB$2:$AB$495&gt;=1)*('CONTROL MASTER'!$AA$2:$AA$495&lt;=1)*('CONTROL MASTER'!$AC$2:$AC$495&gt;=1))*ROW('CONTROL MASTER'!$S$2:$S$495))-(ROW('CONTROL MASTER'!#REF!)-1))),":",","),",",REPT(" ",50)),(((INDEX('CONTROL MASTER'!$Y$2:$Y$495,(SUMPRODUCT((('CONTROL MASTER'!$S$2:$S$495=14)*('CONTROL MASTER'!$Z$2:$Z$495&lt;=1)*('CONTROL MASTER'!$AB$2:$AB$495&gt;=1)*('CONTROL MASTER'!$AA$2:$AA$495&lt;=1)*('CONTROL MASTER'!$AC$2:$AC$495&gt;=1))*ROW('CONTROL MASTER'!$S$2:$S$495))-(ROW('CONTROL MASTER'!#REF!)-1)))+((1-INDEX('CONTROL MASTER'!$Z$2:$Z$495,(SUMPRODUCT((('CONTROL MASTER'!$S$2:$S$495=14)*('CONTROL MASTER'!$Z$2:$Z$495&lt;=1)*('CONTROL MASTER'!$AB$2:$AB$495&gt;=1)*('CONTROL MASTER'!$AA$2:$AA$495&lt;=1)*('CONTROL MASTER'!$AC$2:$AC$495&gt;=1))*ROW('CONTROL MASTER'!$S$2:$S$495))-(ROW('CONTROL MASTER'!#REF!)-1))))*(INDEX('CONTROL MASTER'!$AC$2:$AC$495,(SUMPRODUCT((('CONTROL MASTER'!$S$2:$S$495=14)*('CONTROL MASTER'!$Z$2:$Z$495&lt;=1)*('CONTROL MASTER'!$AB$2:$AB$495&gt;=1)*('CONTROL MASTER'!$AA$2:$AA$495&lt;=1)*('CONTROL MASTER'!$AC$2:$AC$495&gt;=1))*ROW('CONTROL MASTER'!$S$2:$S$495))-(ROW('CONTROL MASTER'!#REF!)-1)))-INDEX('CONTROL MASTER'!$AA$2:$AA$495,(SUMPRODUCT((('CONTROL MASTER'!$S$2:$S$495=14)*('CONTROL MASTER'!$Z$2:$Z$495&lt;=1)*('CONTROL MASTER'!$AB$2:$AB$495&gt;=1)*('CONTROL MASTER'!$AA$2:$AA$495&lt;=1)*('CONTROL MASTER'!$AC$2:$AC$495&gt;=1))*ROW('CONTROL MASTER'!$S$2:$S$495))-(ROW('CONTROL MASTER'!#REF!)-1)))+1)+(1-INDEX('CONTROL MASTER'!$AA$2:$AA$495,(SUMPRODUCT((('CONTROL MASTER'!$S$2:$S$495=14)*('CONTROL MASTER'!$Z$2:$Z$495&lt;=1)*('CONTROL MASTER'!$AB$2:$AB$495&gt;=1)*('CONTROL MASTER'!$AA$2:$AA$495&lt;=1)*('CONTROL MASTER'!$AC$2:$AC$495&gt;=1))*ROW('CONTROL MASTER'!$S$2:$S$495))-(ROW('CONTROL MASTER'!#REF!)-1))))+1)))-1)*50+1,50))&amp;"_"&amp;INDEX('CONTROL MASTER'!$P$2:$P$495,(SUMPRODUCT((('CONTROL MASTER'!$S$2:$S$495=14)*('CONTROL MASTER'!$Z$2:$Z$495&lt;=1)*('CONTROL MASTER'!$AB$2:$AB$495&gt;=1)*('CONTROL MASTER'!$AA$2:$AA$495&lt;=1)*('CONTROL MASTER'!$AC$2:$AC$495&gt;=1))*ROW('CONTROL MASTER'!$S$2:$S$495))-(ROW('CONTROL MASTER'!#REF!)-1))),"")),"")</f>
        <v/>
      </c>
      <c r="C185" s="10" t="str">
        <f>IFERROR(IF(SUMPRODUCT((('CONTROL MASTER'!$S$2:$S$495=14)*('CONTROL MASTER'!$T$2:$T$495&lt;=1)*('CONTROL MASTER'!$V$2:$V$495&gt;=1)*('CONTROL MASTER'!$U$2:$U$495&lt;=2)*('CONTROL MASTER'!$W$2:$W$495&gt;=2))*ROW('CONTROL MASTER'!$S$2:$S$495))&gt;0,INDEX('CONTROL MASTER'!$X$2:$X$495,(SUMPRODUCT((('CONTROL MASTER'!$S$2:$S$495=14)*('CONTROL MASTER'!$T$2:$T$495&lt;=1)*('CONTROL MASTER'!$V$2:$V$495&gt;=1)*('CONTROL MASTER'!$U$2:$U$495&lt;=2)*('CONTROL MASTER'!$W$2:$W$495&gt;=2))*ROW('CONTROL MASTER'!$S$2:$S$495))-(ROW('CONTROL MASTER'!#REF!)-1)))&amp;TRIM(MID(SUBSTITUTE(SUBSTITUTE(INDEX('CONTROL MASTER'!$N$2:$N$495,(SUMPRODUCT((('CONTROL MASTER'!$S$2:$S$495=14)*('CONTROL MASTER'!$T$2:$T$495&lt;=1)*('CONTROL MASTER'!$V$2:$V$495&gt;=1)*('CONTROL MASTER'!$U$2:$U$495&lt;=2)*('CONTROL MASTER'!$W$2:$W$495&gt;=2))*ROW('CONTROL MASTER'!$S$2:$S$495))-(ROW('CONTROL MASTER'!#REF!)-1))),":",","),",",REPT(" ",50)),((((1-INDEX('CONTROL MASTER'!$T$2:$T$495,(SUMPRODUCT((('CONTROL MASTER'!$S$2:$S$495=14)*('CONTROL MASTER'!$T$2:$T$495&lt;=1)*('CONTROL MASTER'!$V$2:$V$495&gt;=1)*('CONTROL MASTER'!$U$2:$U$495&lt;=2)*('CONTROL MASTER'!$W$2:$W$495&gt;=2))*ROW('CONTROL MASTER'!$S$2:$S$495))-(ROW('CONTROL MASTER'!#REF!)-1))))*(INDEX('CONTROL MASTER'!$W$2:$W$495,(SUMPRODUCT((('CONTROL MASTER'!$S$2:$S$495=14)*('CONTROL MASTER'!$T$2:$T$495&lt;=1)*('CONTROL MASTER'!$V$2:$V$495&gt;=1)*('CONTROL MASTER'!$U$2:$U$495&lt;=2)*('CONTROL MASTER'!$W$2:$W$495&gt;=2))*ROW('CONTROL MASTER'!$S$2:$S$495))-(ROW('CONTROL MASTER'!#REF!)-1)))-INDEX('CONTROL MASTER'!$U$2:$U$495,(SUMPRODUCT((('CONTROL MASTER'!$S$2:$S$495=14)*('CONTROL MASTER'!$T$2:$T$495&lt;=1)*('CONTROL MASTER'!$V$2:$V$495&gt;=1)*('CONTROL MASTER'!$U$2:$U$495&lt;=2)*('CONTROL MASTER'!$W$2:$W$495&gt;=2))*ROW('CONTROL MASTER'!$S$2:$S$495))-(ROW('CONTROL MASTER'!#REF!)-1)))+1)+(2-INDEX('CONTROL MASTER'!$U$2:$U$495,(SUMPRODUCT((('CONTROL MASTER'!$S$2:$S$495=14)*('CONTROL MASTER'!$T$2:$T$495&lt;=1)*('CONTROL MASTER'!$V$2:$V$495&gt;=1)*('CONTROL MASTER'!$U$2:$U$495&lt;=2)*('CONTROL MASTER'!$W$2:$W$495&gt;=2))*ROW('CONTROL MASTER'!$S$2:$S$495))-(ROW('CONTROL MASTER'!#REF!)-1))))+1))-1)*50+1,50))&amp;"_"&amp;INDEX('CONTROL MASTER'!$P$2:$P$495,(SUMPRODUCT((('CONTROL MASTER'!$S$2:$S$495=14)*('CONTROL MASTER'!$T$2:$T$495&lt;=1)*('CONTROL MASTER'!$V$2:$V$495&gt;=1)*('CONTROL MASTER'!$U$2:$U$495&lt;=2)*('CONTROL MASTER'!$W$2:$W$495&gt;=2))*ROW('CONTROL MASTER'!$S$2:$S$495))-(ROW('CONTROL MASTER'!#REF!)-1))),IF(SUMPRODUCT((('CONTROL MASTER'!$S$2:$S$495=14)*('CONTROL MASTER'!$Z$2:$Z$495&lt;=1)*('CONTROL MASTER'!$AB$2:$AB$495&gt;=1)*('CONTROL MASTER'!$AA$2:$AA$495&lt;=2)*('CONTROL MASTER'!$AC$2:$AC$495&gt;=2))*ROW('CONTROL MASTER'!$S$2:$S$495))&gt;0,INDEX('CONTROL MASTER'!$X$2:$X$495,(SUMPRODUCT((('CONTROL MASTER'!$S$2:$S$495=14)*('CONTROL MASTER'!$Z$2:$Z$495&lt;=1)*('CONTROL MASTER'!$AB$2:$AB$495&gt;=1)*('CONTROL MASTER'!$AA$2:$AA$495&lt;=2)*('CONTROL MASTER'!$AC$2:$AC$495&gt;=2))*ROW('CONTROL MASTER'!$S$2:$S$495))-(ROW('CONTROL MASTER'!#REF!)-1)))&amp;TRIM(MID(SUBSTITUTE(SUBSTITUTE(INDEX('CONTROL MASTER'!$N$2:$N$495,(SUMPRODUCT((('CONTROL MASTER'!$S$2:$S$495=14)*('CONTROL MASTER'!$Z$2:$Z$495&lt;=1)*('CONTROL MASTER'!$AB$2:$AB$495&gt;=1)*('CONTROL MASTER'!$AA$2:$AA$495&lt;=2)*('CONTROL MASTER'!$AC$2:$AC$495&gt;=2))*ROW('CONTROL MASTER'!$S$2:$S$495))-(ROW('CONTROL MASTER'!#REF!)-1))),":",","),",",REPT(" ",50)),(((INDEX('CONTROL MASTER'!$Y$2:$Y$495,(SUMPRODUCT((('CONTROL MASTER'!$S$2:$S$495=14)*('CONTROL MASTER'!$Z$2:$Z$495&lt;=1)*('CONTROL MASTER'!$AB$2:$AB$495&gt;=1)*('CONTROL MASTER'!$AA$2:$AA$495&lt;=2)*('CONTROL MASTER'!$AC$2:$AC$495&gt;=2))*ROW('CONTROL MASTER'!$S$2:$S$495))-(ROW('CONTROL MASTER'!#REF!)-1)))+((1-INDEX('CONTROL MASTER'!$Z$2:$Z$495,(SUMPRODUCT((('CONTROL MASTER'!$S$2:$S$495=14)*('CONTROL MASTER'!$Z$2:$Z$495&lt;=1)*('CONTROL MASTER'!$AB$2:$AB$495&gt;=1)*('CONTROL MASTER'!$AA$2:$AA$495&lt;=2)*('CONTROL MASTER'!$AC$2:$AC$495&gt;=2))*ROW('CONTROL MASTER'!$S$2:$S$495))-(ROW('CONTROL MASTER'!#REF!)-1))))*(INDEX('CONTROL MASTER'!$AC$2:$AC$495,(SUMPRODUCT((('CONTROL MASTER'!$S$2:$S$495=14)*('CONTROL MASTER'!$Z$2:$Z$495&lt;=1)*('CONTROL MASTER'!$AB$2:$AB$495&gt;=1)*('CONTROL MASTER'!$AA$2:$AA$495&lt;=2)*('CONTROL MASTER'!$AC$2:$AC$495&gt;=2))*ROW('CONTROL MASTER'!$S$2:$S$495))-(ROW('CONTROL MASTER'!#REF!)-1)))-INDEX('CONTROL MASTER'!$AA$2:$AA$495,(SUMPRODUCT((('CONTROL MASTER'!$S$2:$S$495=14)*('CONTROL MASTER'!$Z$2:$Z$495&lt;=1)*('CONTROL MASTER'!$AB$2:$AB$495&gt;=1)*('CONTROL MASTER'!$AA$2:$AA$495&lt;=2)*('CONTROL MASTER'!$AC$2:$AC$495&gt;=2))*ROW('CONTROL MASTER'!$S$2:$S$495))-(ROW('CONTROL MASTER'!#REF!)-1)))+1)+(2-INDEX('CONTROL MASTER'!$AA$2:$AA$495,(SUMPRODUCT((('CONTROL MASTER'!$S$2:$S$495=14)*('CONTROL MASTER'!$Z$2:$Z$495&lt;=1)*('CONTROL MASTER'!$AB$2:$AB$495&gt;=1)*('CONTROL MASTER'!$AA$2:$AA$495&lt;=2)*('CONTROL MASTER'!$AC$2:$AC$495&gt;=2))*ROW('CONTROL MASTER'!$S$2:$S$495))-(ROW('CONTROL MASTER'!#REF!)-1))))+1)))-1)*50+1,50))&amp;"_"&amp;INDEX('CONTROL MASTER'!$P$2:$P$495,(SUMPRODUCT((('CONTROL MASTER'!$S$2:$S$495=14)*('CONTROL MASTER'!$Z$2:$Z$495&lt;=1)*('CONTROL MASTER'!$AB$2:$AB$495&gt;=1)*('CONTROL MASTER'!$AA$2:$AA$495&lt;=2)*('CONTROL MASTER'!$AC$2:$AC$495&gt;=2))*ROW('CONTROL MASTER'!$S$2:$S$495))-(ROW('CONTROL MASTER'!#REF!)-1))),"")),"")</f>
        <v/>
      </c>
      <c r="D185" s="10" t="str">
        <f>IFERROR(IF(SUMPRODUCT((('CONTROL MASTER'!$S$2:$S$495=14)*('CONTROL MASTER'!$T$2:$T$495&lt;=1)*('CONTROL MASTER'!$V$2:$V$495&gt;=1)*('CONTROL MASTER'!$U$2:$U$495&lt;=3)*('CONTROL MASTER'!$W$2:$W$495&gt;=3))*ROW('CONTROL MASTER'!$S$2:$S$495))&gt;0,INDEX('CONTROL MASTER'!$X$2:$X$495,(SUMPRODUCT((('CONTROL MASTER'!$S$2:$S$495=14)*('CONTROL MASTER'!$T$2:$T$495&lt;=1)*('CONTROL MASTER'!$V$2:$V$495&gt;=1)*('CONTROL MASTER'!$U$2:$U$495&lt;=3)*('CONTROL MASTER'!$W$2:$W$495&gt;=3))*ROW('CONTROL MASTER'!$S$2:$S$495))-(ROW('CONTROL MASTER'!#REF!)-1)))&amp;TRIM(MID(SUBSTITUTE(SUBSTITUTE(INDEX('CONTROL MASTER'!$N$2:$N$495,(SUMPRODUCT((('CONTROL MASTER'!$S$2:$S$495=14)*('CONTROL MASTER'!$T$2:$T$495&lt;=1)*('CONTROL MASTER'!$V$2:$V$495&gt;=1)*('CONTROL MASTER'!$U$2:$U$495&lt;=3)*('CONTROL MASTER'!$W$2:$W$495&gt;=3))*ROW('CONTROL MASTER'!$S$2:$S$495))-(ROW('CONTROL MASTER'!#REF!)-1))),":",","),",",REPT(" ",50)),((((1-INDEX('CONTROL MASTER'!$T$2:$T$495,(SUMPRODUCT((('CONTROL MASTER'!$S$2:$S$495=14)*('CONTROL MASTER'!$T$2:$T$495&lt;=1)*('CONTROL MASTER'!$V$2:$V$495&gt;=1)*('CONTROL MASTER'!$U$2:$U$495&lt;=3)*('CONTROL MASTER'!$W$2:$W$495&gt;=3))*ROW('CONTROL MASTER'!$S$2:$S$495))-(ROW('CONTROL MASTER'!#REF!)-1))))*(INDEX('CONTROL MASTER'!$W$2:$W$495,(SUMPRODUCT((('CONTROL MASTER'!$S$2:$S$495=14)*('CONTROL MASTER'!$T$2:$T$495&lt;=1)*('CONTROL MASTER'!$V$2:$V$495&gt;=1)*('CONTROL MASTER'!$U$2:$U$495&lt;=3)*('CONTROL MASTER'!$W$2:$W$495&gt;=3))*ROW('CONTROL MASTER'!$S$2:$S$495))-(ROW('CONTROL MASTER'!#REF!)-1)))-INDEX('CONTROL MASTER'!$U$2:$U$495,(SUMPRODUCT((('CONTROL MASTER'!$S$2:$S$495=14)*('CONTROL MASTER'!$T$2:$T$495&lt;=1)*('CONTROL MASTER'!$V$2:$V$495&gt;=1)*('CONTROL MASTER'!$U$2:$U$495&lt;=3)*('CONTROL MASTER'!$W$2:$W$495&gt;=3))*ROW('CONTROL MASTER'!$S$2:$S$495))-(ROW('CONTROL MASTER'!#REF!)-1)))+1)+(3-INDEX('CONTROL MASTER'!$U$2:$U$495,(SUMPRODUCT((('CONTROL MASTER'!$S$2:$S$495=14)*('CONTROL MASTER'!$T$2:$T$495&lt;=1)*('CONTROL MASTER'!$V$2:$V$495&gt;=1)*('CONTROL MASTER'!$U$2:$U$495&lt;=3)*('CONTROL MASTER'!$W$2:$W$495&gt;=3))*ROW('CONTROL MASTER'!$S$2:$S$495))-(ROW('CONTROL MASTER'!#REF!)-1))))+1))-1)*50+1,50))&amp;"_"&amp;INDEX('CONTROL MASTER'!$P$2:$P$495,(SUMPRODUCT((('CONTROL MASTER'!$S$2:$S$495=14)*('CONTROL MASTER'!$T$2:$T$495&lt;=1)*('CONTROL MASTER'!$V$2:$V$495&gt;=1)*('CONTROL MASTER'!$U$2:$U$495&lt;=3)*('CONTROL MASTER'!$W$2:$W$495&gt;=3))*ROW('CONTROL MASTER'!$S$2:$S$495))-(ROW('CONTROL MASTER'!#REF!)-1))),IF(SUMPRODUCT((('CONTROL MASTER'!$S$2:$S$495=14)*('CONTROL MASTER'!$Z$2:$Z$495&lt;=1)*('CONTROL MASTER'!$AB$2:$AB$495&gt;=1)*('CONTROL MASTER'!$AA$2:$AA$495&lt;=3)*('CONTROL MASTER'!$AC$2:$AC$495&gt;=3))*ROW('CONTROL MASTER'!$S$2:$S$495))&gt;0,INDEX('CONTROL MASTER'!$X$2:$X$495,(SUMPRODUCT((('CONTROL MASTER'!$S$2:$S$495=14)*('CONTROL MASTER'!$Z$2:$Z$495&lt;=1)*('CONTROL MASTER'!$AB$2:$AB$495&gt;=1)*('CONTROL MASTER'!$AA$2:$AA$495&lt;=3)*('CONTROL MASTER'!$AC$2:$AC$495&gt;=3))*ROW('CONTROL MASTER'!$S$2:$S$495))-(ROW('CONTROL MASTER'!#REF!)-1)))&amp;TRIM(MID(SUBSTITUTE(SUBSTITUTE(INDEX('CONTROL MASTER'!$N$2:$N$495,(SUMPRODUCT((('CONTROL MASTER'!$S$2:$S$495=14)*('CONTROL MASTER'!$Z$2:$Z$495&lt;=1)*('CONTROL MASTER'!$AB$2:$AB$495&gt;=1)*('CONTROL MASTER'!$AA$2:$AA$495&lt;=3)*('CONTROL MASTER'!$AC$2:$AC$495&gt;=3))*ROW('CONTROL MASTER'!$S$2:$S$495))-(ROW('CONTROL MASTER'!#REF!)-1))),":",","),",",REPT(" ",50)),(((INDEX('CONTROL MASTER'!$Y$2:$Y$495,(SUMPRODUCT((('CONTROL MASTER'!$S$2:$S$495=14)*('CONTROL MASTER'!$Z$2:$Z$495&lt;=1)*('CONTROL MASTER'!$AB$2:$AB$495&gt;=1)*('CONTROL MASTER'!$AA$2:$AA$495&lt;=3)*('CONTROL MASTER'!$AC$2:$AC$495&gt;=3))*ROW('CONTROL MASTER'!$S$2:$S$495))-(ROW('CONTROL MASTER'!#REF!)-1)))+((1-INDEX('CONTROL MASTER'!$Z$2:$Z$495,(SUMPRODUCT((('CONTROL MASTER'!$S$2:$S$495=14)*('CONTROL MASTER'!$Z$2:$Z$495&lt;=1)*('CONTROL MASTER'!$AB$2:$AB$495&gt;=1)*('CONTROL MASTER'!$AA$2:$AA$495&lt;=3)*('CONTROL MASTER'!$AC$2:$AC$495&gt;=3))*ROW('CONTROL MASTER'!$S$2:$S$495))-(ROW('CONTROL MASTER'!#REF!)-1))))*(INDEX('CONTROL MASTER'!$AC$2:$AC$495,(SUMPRODUCT((('CONTROL MASTER'!$S$2:$S$495=14)*('CONTROL MASTER'!$Z$2:$Z$495&lt;=1)*('CONTROL MASTER'!$AB$2:$AB$495&gt;=1)*('CONTROL MASTER'!$AA$2:$AA$495&lt;=3)*('CONTROL MASTER'!$AC$2:$AC$495&gt;=3))*ROW('CONTROL MASTER'!$S$2:$S$495))-(ROW('CONTROL MASTER'!#REF!)-1)))-INDEX('CONTROL MASTER'!$AA$2:$AA$495,(SUMPRODUCT((('CONTROL MASTER'!$S$2:$S$495=14)*('CONTROL MASTER'!$Z$2:$Z$495&lt;=1)*('CONTROL MASTER'!$AB$2:$AB$495&gt;=1)*('CONTROL MASTER'!$AA$2:$AA$495&lt;=3)*('CONTROL MASTER'!$AC$2:$AC$495&gt;=3))*ROW('CONTROL MASTER'!$S$2:$S$495))-(ROW('CONTROL MASTER'!#REF!)-1)))+1)+(3-INDEX('CONTROL MASTER'!$AA$2:$AA$495,(SUMPRODUCT((('CONTROL MASTER'!$S$2:$S$495=14)*('CONTROL MASTER'!$Z$2:$Z$495&lt;=1)*('CONTROL MASTER'!$AB$2:$AB$495&gt;=1)*('CONTROL MASTER'!$AA$2:$AA$495&lt;=3)*('CONTROL MASTER'!$AC$2:$AC$495&gt;=3))*ROW('CONTROL MASTER'!$S$2:$S$495))-(ROW('CONTROL MASTER'!#REF!)-1))))+1)))-1)*50+1,50))&amp;"_"&amp;INDEX('CONTROL MASTER'!$P$2:$P$495,(SUMPRODUCT((('CONTROL MASTER'!$S$2:$S$495=14)*('CONTROL MASTER'!$Z$2:$Z$495&lt;=1)*('CONTROL MASTER'!$AB$2:$AB$495&gt;=1)*('CONTROL MASTER'!$AA$2:$AA$495&lt;=3)*('CONTROL MASTER'!$AC$2:$AC$495&gt;=3))*ROW('CONTROL MASTER'!$S$2:$S$495))-(ROW('CONTROL MASTER'!#REF!)-1))),"")),"")</f>
        <v/>
      </c>
      <c r="E185" s="10" t="str">
        <f>IFERROR(IF(SUMPRODUCT((('CONTROL MASTER'!$S$2:$S$495=14)*('CONTROL MASTER'!$T$2:$T$495&lt;=1)*('CONTROL MASTER'!$V$2:$V$495&gt;=1)*('CONTROL MASTER'!$U$2:$U$495&lt;=4)*('CONTROL MASTER'!$W$2:$W$495&gt;=4))*ROW('CONTROL MASTER'!$S$2:$S$495))&gt;0,INDEX('CONTROL MASTER'!$X$2:$X$495,(SUMPRODUCT((('CONTROL MASTER'!$S$2:$S$495=14)*('CONTROL MASTER'!$T$2:$T$495&lt;=1)*('CONTROL MASTER'!$V$2:$V$495&gt;=1)*('CONTROL MASTER'!$U$2:$U$495&lt;=4)*('CONTROL MASTER'!$W$2:$W$495&gt;=4))*ROW('CONTROL MASTER'!$S$2:$S$495))-(ROW('CONTROL MASTER'!#REF!)-1)))&amp;TRIM(MID(SUBSTITUTE(SUBSTITUTE(INDEX('CONTROL MASTER'!$N$2:$N$495,(SUMPRODUCT((('CONTROL MASTER'!$S$2:$S$495=14)*('CONTROL MASTER'!$T$2:$T$495&lt;=1)*('CONTROL MASTER'!$V$2:$V$495&gt;=1)*('CONTROL MASTER'!$U$2:$U$495&lt;=4)*('CONTROL MASTER'!$W$2:$W$495&gt;=4))*ROW('CONTROL MASTER'!$S$2:$S$495))-(ROW('CONTROL MASTER'!#REF!)-1))),":",","),",",REPT(" ",50)),((((1-INDEX('CONTROL MASTER'!$T$2:$T$495,(SUMPRODUCT((('CONTROL MASTER'!$S$2:$S$495=14)*('CONTROL MASTER'!$T$2:$T$495&lt;=1)*('CONTROL MASTER'!$V$2:$V$495&gt;=1)*('CONTROL MASTER'!$U$2:$U$495&lt;=4)*('CONTROL MASTER'!$W$2:$W$495&gt;=4))*ROW('CONTROL MASTER'!$S$2:$S$495))-(ROW('CONTROL MASTER'!#REF!)-1))))*(INDEX('CONTROL MASTER'!$W$2:$W$495,(SUMPRODUCT((('CONTROL MASTER'!$S$2:$S$495=14)*('CONTROL MASTER'!$T$2:$T$495&lt;=1)*('CONTROL MASTER'!$V$2:$V$495&gt;=1)*('CONTROL MASTER'!$U$2:$U$495&lt;=4)*('CONTROL MASTER'!$W$2:$W$495&gt;=4))*ROW('CONTROL MASTER'!$S$2:$S$495))-(ROW('CONTROL MASTER'!#REF!)-1)))-INDEX('CONTROL MASTER'!$U$2:$U$495,(SUMPRODUCT((('CONTROL MASTER'!$S$2:$S$495=14)*('CONTROL MASTER'!$T$2:$T$495&lt;=1)*('CONTROL MASTER'!$V$2:$V$495&gt;=1)*('CONTROL MASTER'!$U$2:$U$495&lt;=4)*('CONTROL MASTER'!$W$2:$W$495&gt;=4))*ROW('CONTROL MASTER'!$S$2:$S$495))-(ROW('CONTROL MASTER'!#REF!)-1)))+1)+(4-INDEX('CONTROL MASTER'!$U$2:$U$495,(SUMPRODUCT((('CONTROL MASTER'!$S$2:$S$495=14)*('CONTROL MASTER'!$T$2:$T$495&lt;=1)*('CONTROL MASTER'!$V$2:$V$495&gt;=1)*('CONTROL MASTER'!$U$2:$U$495&lt;=4)*('CONTROL MASTER'!$W$2:$W$495&gt;=4))*ROW('CONTROL MASTER'!$S$2:$S$495))-(ROW('CONTROL MASTER'!#REF!)-1))))+1))-1)*50+1,50))&amp;"_"&amp;INDEX('CONTROL MASTER'!$P$2:$P$495,(SUMPRODUCT((('CONTROL MASTER'!$S$2:$S$495=14)*('CONTROL MASTER'!$T$2:$T$495&lt;=1)*('CONTROL MASTER'!$V$2:$V$495&gt;=1)*('CONTROL MASTER'!$U$2:$U$495&lt;=4)*('CONTROL MASTER'!$W$2:$W$495&gt;=4))*ROW('CONTROL MASTER'!$S$2:$S$495))-(ROW('CONTROL MASTER'!#REF!)-1))),IF(SUMPRODUCT((('CONTROL MASTER'!$S$2:$S$495=14)*('CONTROL MASTER'!$Z$2:$Z$495&lt;=1)*('CONTROL MASTER'!$AB$2:$AB$495&gt;=1)*('CONTROL MASTER'!$AA$2:$AA$495&lt;=4)*('CONTROL MASTER'!$AC$2:$AC$495&gt;=4))*ROW('CONTROL MASTER'!$S$2:$S$495))&gt;0,INDEX('CONTROL MASTER'!$X$2:$X$495,(SUMPRODUCT((('CONTROL MASTER'!$S$2:$S$495=14)*('CONTROL MASTER'!$Z$2:$Z$495&lt;=1)*('CONTROL MASTER'!$AB$2:$AB$495&gt;=1)*('CONTROL MASTER'!$AA$2:$AA$495&lt;=4)*('CONTROL MASTER'!$AC$2:$AC$495&gt;=4))*ROW('CONTROL MASTER'!$S$2:$S$495))-(ROW('CONTROL MASTER'!#REF!)-1)))&amp;TRIM(MID(SUBSTITUTE(SUBSTITUTE(INDEX('CONTROL MASTER'!$N$2:$N$495,(SUMPRODUCT((('CONTROL MASTER'!$S$2:$S$495=14)*('CONTROL MASTER'!$Z$2:$Z$495&lt;=1)*('CONTROL MASTER'!$AB$2:$AB$495&gt;=1)*('CONTROL MASTER'!$AA$2:$AA$495&lt;=4)*('CONTROL MASTER'!$AC$2:$AC$495&gt;=4))*ROW('CONTROL MASTER'!$S$2:$S$495))-(ROW('CONTROL MASTER'!#REF!)-1))),":",","),",",REPT(" ",50)),(((INDEX('CONTROL MASTER'!$Y$2:$Y$495,(SUMPRODUCT((('CONTROL MASTER'!$S$2:$S$495=14)*('CONTROL MASTER'!$Z$2:$Z$495&lt;=1)*('CONTROL MASTER'!$AB$2:$AB$495&gt;=1)*('CONTROL MASTER'!$AA$2:$AA$495&lt;=4)*('CONTROL MASTER'!$AC$2:$AC$495&gt;=4))*ROW('CONTROL MASTER'!$S$2:$S$495))-(ROW('CONTROL MASTER'!#REF!)-1)))+((1-INDEX('CONTROL MASTER'!$Z$2:$Z$495,(SUMPRODUCT((('CONTROL MASTER'!$S$2:$S$495=14)*('CONTROL MASTER'!$Z$2:$Z$495&lt;=1)*('CONTROL MASTER'!$AB$2:$AB$495&gt;=1)*('CONTROL MASTER'!$AA$2:$AA$495&lt;=4)*('CONTROL MASTER'!$AC$2:$AC$495&gt;=4))*ROW('CONTROL MASTER'!$S$2:$S$495))-(ROW('CONTROL MASTER'!#REF!)-1))))*(INDEX('CONTROL MASTER'!$AC$2:$AC$495,(SUMPRODUCT((('CONTROL MASTER'!$S$2:$S$495=14)*('CONTROL MASTER'!$Z$2:$Z$495&lt;=1)*('CONTROL MASTER'!$AB$2:$AB$495&gt;=1)*('CONTROL MASTER'!$AA$2:$AA$495&lt;=4)*('CONTROL MASTER'!$AC$2:$AC$495&gt;=4))*ROW('CONTROL MASTER'!$S$2:$S$495))-(ROW('CONTROL MASTER'!#REF!)-1)))-INDEX('CONTROL MASTER'!$AA$2:$AA$495,(SUMPRODUCT((('CONTROL MASTER'!$S$2:$S$495=14)*('CONTROL MASTER'!$Z$2:$Z$495&lt;=1)*('CONTROL MASTER'!$AB$2:$AB$495&gt;=1)*('CONTROL MASTER'!$AA$2:$AA$495&lt;=4)*('CONTROL MASTER'!$AC$2:$AC$495&gt;=4))*ROW('CONTROL MASTER'!$S$2:$S$495))-(ROW('CONTROL MASTER'!#REF!)-1)))+1)+(4-INDEX('CONTROL MASTER'!$AA$2:$AA$495,(SUMPRODUCT((('CONTROL MASTER'!$S$2:$S$495=14)*('CONTROL MASTER'!$Z$2:$Z$495&lt;=1)*('CONTROL MASTER'!$AB$2:$AB$495&gt;=1)*('CONTROL MASTER'!$AA$2:$AA$495&lt;=4)*('CONTROL MASTER'!$AC$2:$AC$495&gt;=4))*ROW('CONTROL MASTER'!$S$2:$S$495))-(ROW('CONTROL MASTER'!#REF!)-1))))+1)))-1)*50+1,50))&amp;"_"&amp;INDEX('CONTROL MASTER'!$P$2:$P$495,(SUMPRODUCT((('CONTROL MASTER'!$S$2:$S$495=14)*('CONTROL MASTER'!$Z$2:$Z$495&lt;=1)*('CONTROL MASTER'!$AB$2:$AB$495&gt;=1)*('CONTROL MASTER'!$AA$2:$AA$495&lt;=4)*('CONTROL MASTER'!$AC$2:$AC$495&gt;=4))*ROW('CONTROL MASTER'!$S$2:$S$495))-(ROW('CONTROL MASTER'!#REF!)-1))),"")),"")</f>
        <v/>
      </c>
      <c r="F185" s="10" t="str">
        <f>IFERROR(IF(SUMPRODUCT((('CONTROL MASTER'!$S$2:$S$495=14)*('CONTROL MASTER'!$T$2:$T$495&lt;=1)*('CONTROL MASTER'!$V$2:$V$495&gt;=1)*('CONTROL MASTER'!$U$2:$U$495&lt;=5)*('CONTROL MASTER'!$W$2:$W$495&gt;=5))*ROW('CONTROL MASTER'!$S$2:$S$495))&gt;0,INDEX('CONTROL MASTER'!$X$2:$X$495,(SUMPRODUCT((('CONTROL MASTER'!$S$2:$S$495=14)*('CONTROL MASTER'!$T$2:$T$495&lt;=1)*('CONTROL MASTER'!$V$2:$V$495&gt;=1)*('CONTROL MASTER'!$U$2:$U$495&lt;=5)*('CONTROL MASTER'!$W$2:$W$495&gt;=5))*ROW('CONTROL MASTER'!$S$2:$S$495))-(ROW('CONTROL MASTER'!#REF!)-1)))&amp;TRIM(MID(SUBSTITUTE(SUBSTITUTE(INDEX('CONTROL MASTER'!$N$2:$N$495,(SUMPRODUCT((('CONTROL MASTER'!$S$2:$S$495=14)*('CONTROL MASTER'!$T$2:$T$495&lt;=1)*('CONTROL MASTER'!$V$2:$V$495&gt;=1)*('CONTROL MASTER'!$U$2:$U$495&lt;=5)*('CONTROL MASTER'!$W$2:$W$495&gt;=5))*ROW('CONTROL MASTER'!$S$2:$S$495))-(ROW('CONTROL MASTER'!#REF!)-1))),":",","),",",REPT(" ",50)),((((1-INDEX('CONTROL MASTER'!$T$2:$T$495,(SUMPRODUCT((('CONTROL MASTER'!$S$2:$S$495=14)*('CONTROL MASTER'!$T$2:$T$495&lt;=1)*('CONTROL MASTER'!$V$2:$V$495&gt;=1)*('CONTROL MASTER'!$U$2:$U$495&lt;=5)*('CONTROL MASTER'!$W$2:$W$495&gt;=5))*ROW('CONTROL MASTER'!$S$2:$S$495))-(ROW('CONTROL MASTER'!#REF!)-1))))*(INDEX('CONTROL MASTER'!$W$2:$W$495,(SUMPRODUCT((('CONTROL MASTER'!$S$2:$S$495=14)*('CONTROL MASTER'!$T$2:$T$495&lt;=1)*('CONTROL MASTER'!$V$2:$V$495&gt;=1)*('CONTROL MASTER'!$U$2:$U$495&lt;=5)*('CONTROL MASTER'!$W$2:$W$495&gt;=5))*ROW('CONTROL MASTER'!$S$2:$S$495))-(ROW('CONTROL MASTER'!#REF!)-1)))-INDEX('CONTROL MASTER'!$U$2:$U$495,(SUMPRODUCT((('CONTROL MASTER'!$S$2:$S$495=14)*('CONTROL MASTER'!$T$2:$T$495&lt;=1)*('CONTROL MASTER'!$V$2:$V$495&gt;=1)*('CONTROL MASTER'!$U$2:$U$495&lt;=5)*('CONTROL MASTER'!$W$2:$W$495&gt;=5))*ROW('CONTROL MASTER'!$S$2:$S$495))-(ROW('CONTROL MASTER'!#REF!)-1)))+1)+(5-INDEX('CONTROL MASTER'!$U$2:$U$495,(SUMPRODUCT((('CONTROL MASTER'!$S$2:$S$495=14)*('CONTROL MASTER'!$T$2:$T$495&lt;=1)*('CONTROL MASTER'!$V$2:$V$495&gt;=1)*('CONTROL MASTER'!$U$2:$U$495&lt;=5)*('CONTROL MASTER'!$W$2:$W$495&gt;=5))*ROW('CONTROL MASTER'!$S$2:$S$495))-(ROW('CONTROL MASTER'!#REF!)-1))))+1))-1)*50+1,50))&amp;"_"&amp;INDEX('CONTROL MASTER'!$P$2:$P$495,(SUMPRODUCT((('CONTROL MASTER'!$S$2:$S$495=14)*('CONTROL MASTER'!$T$2:$T$495&lt;=1)*('CONTROL MASTER'!$V$2:$V$495&gt;=1)*('CONTROL MASTER'!$U$2:$U$495&lt;=5)*('CONTROL MASTER'!$W$2:$W$495&gt;=5))*ROW('CONTROL MASTER'!$S$2:$S$495))-(ROW('CONTROL MASTER'!#REF!)-1))),IF(SUMPRODUCT((('CONTROL MASTER'!$S$2:$S$495=14)*('CONTROL MASTER'!$Z$2:$Z$495&lt;=1)*('CONTROL MASTER'!$AB$2:$AB$495&gt;=1)*('CONTROL MASTER'!$AA$2:$AA$495&lt;=5)*('CONTROL MASTER'!$AC$2:$AC$495&gt;=5))*ROW('CONTROL MASTER'!$S$2:$S$495))&gt;0,INDEX('CONTROL MASTER'!$X$2:$X$495,(SUMPRODUCT((('CONTROL MASTER'!$S$2:$S$495=14)*('CONTROL MASTER'!$Z$2:$Z$495&lt;=1)*('CONTROL MASTER'!$AB$2:$AB$495&gt;=1)*('CONTROL MASTER'!$AA$2:$AA$495&lt;=5)*('CONTROL MASTER'!$AC$2:$AC$495&gt;=5))*ROW('CONTROL MASTER'!$S$2:$S$495))-(ROW('CONTROL MASTER'!#REF!)-1)))&amp;TRIM(MID(SUBSTITUTE(SUBSTITUTE(INDEX('CONTROL MASTER'!$N$2:$N$495,(SUMPRODUCT((('CONTROL MASTER'!$S$2:$S$495=14)*('CONTROL MASTER'!$Z$2:$Z$495&lt;=1)*('CONTROL MASTER'!$AB$2:$AB$495&gt;=1)*('CONTROL MASTER'!$AA$2:$AA$495&lt;=5)*('CONTROL MASTER'!$AC$2:$AC$495&gt;=5))*ROW('CONTROL MASTER'!$S$2:$S$495))-(ROW('CONTROL MASTER'!#REF!)-1))),":",","),",",REPT(" ",50)),(((INDEX('CONTROL MASTER'!$Y$2:$Y$495,(SUMPRODUCT((('CONTROL MASTER'!$S$2:$S$495=14)*('CONTROL MASTER'!$Z$2:$Z$495&lt;=1)*('CONTROL MASTER'!$AB$2:$AB$495&gt;=1)*('CONTROL MASTER'!$AA$2:$AA$495&lt;=5)*('CONTROL MASTER'!$AC$2:$AC$495&gt;=5))*ROW('CONTROL MASTER'!$S$2:$S$495))-(ROW('CONTROL MASTER'!#REF!)-1)))+((1-INDEX('CONTROL MASTER'!$Z$2:$Z$495,(SUMPRODUCT((('CONTROL MASTER'!$S$2:$S$495=14)*('CONTROL MASTER'!$Z$2:$Z$495&lt;=1)*('CONTROL MASTER'!$AB$2:$AB$495&gt;=1)*('CONTROL MASTER'!$AA$2:$AA$495&lt;=5)*('CONTROL MASTER'!$AC$2:$AC$495&gt;=5))*ROW('CONTROL MASTER'!$S$2:$S$495))-(ROW('CONTROL MASTER'!#REF!)-1))))*(INDEX('CONTROL MASTER'!$AC$2:$AC$495,(SUMPRODUCT((('CONTROL MASTER'!$S$2:$S$495=14)*('CONTROL MASTER'!$Z$2:$Z$495&lt;=1)*('CONTROL MASTER'!$AB$2:$AB$495&gt;=1)*('CONTROL MASTER'!$AA$2:$AA$495&lt;=5)*('CONTROL MASTER'!$AC$2:$AC$495&gt;=5))*ROW('CONTROL MASTER'!$S$2:$S$495))-(ROW('CONTROL MASTER'!#REF!)-1)))-INDEX('CONTROL MASTER'!$AA$2:$AA$495,(SUMPRODUCT((('CONTROL MASTER'!$S$2:$S$495=14)*('CONTROL MASTER'!$Z$2:$Z$495&lt;=1)*('CONTROL MASTER'!$AB$2:$AB$495&gt;=1)*('CONTROL MASTER'!$AA$2:$AA$495&lt;=5)*('CONTROL MASTER'!$AC$2:$AC$495&gt;=5))*ROW('CONTROL MASTER'!$S$2:$S$495))-(ROW('CONTROL MASTER'!#REF!)-1)))+1)+(5-INDEX('CONTROL MASTER'!$AA$2:$AA$495,(SUMPRODUCT((('CONTROL MASTER'!$S$2:$S$495=14)*('CONTROL MASTER'!$Z$2:$Z$495&lt;=1)*('CONTROL MASTER'!$AB$2:$AB$495&gt;=1)*('CONTROL MASTER'!$AA$2:$AA$495&lt;=5)*('CONTROL MASTER'!$AC$2:$AC$495&gt;=5))*ROW('CONTROL MASTER'!$S$2:$S$495))-(ROW('CONTROL MASTER'!#REF!)-1))))+1)))-1)*50+1,50))&amp;"_"&amp;INDEX('CONTROL MASTER'!$P$2:$P$495,(SUMPRODUCT((('CONTROL MASTER'!$S$2:$S$495=14)*('CONTROL MASTER'!$Z$2:$Z$495&lt;=1)*('CONTROL MASTER'!$AB$2:$AB$495&gt;=1)*('CONTROL MASTER'!$AA$2:$AA$495&lt;=5)*('CONTROL MASTER'!$AC$2:$AC$495&gt;=5))*ROW('CONTROL MASTER'!$S$2:$S$495))-(ROW('CONTROL MASTER'!#REF!)-1))),"")),"")</f>
        <v/>
      </c>
      <c r="G185" s="10" t="str">
        <f>IFERROR(IF(SUMPRODUCT((('CONTROL MASTER'!$S$2:$S$495=14)*('CONTROL MASTER'!$T$2:$T$495&lt;=1)*('CONTROL MASTER'!$V$2:$V$495&gt;=1)*('CONTROL MASTER'!$U$2:$U$495&lt;=6)*('CONTROL MASTER'!$W$2:$W$495&gt;=6))*ROW('CONTROL MASTER'!$S$2:$S$495))&gt;0,INDEX('CONTROL MASTER'!$X$2:$X$495,(SUMPRODUCT((('CONTROL MASTER'!$S$2:$S$495=14)*('CONTROL MASTER'!$T$2:$T$495&lt;=1)*('CONTROL MASTER'!$V$2:$V$495&gt;=1)*('CONTROL MASTER'!$U$2:$U$495&lt;=6)*('CONTROL MASTER'!$W$2:$W$495&gt;=6))*ROW('CONTROL MASTER'!$S$2:$S$495))-(ROW('CONTROL MASTER'!#REF!)-1)))&amp;TRIM(MID(SUBSTITUTE(SUBSTITUTE(INDEX('CONTROL MASTER'!$N$2:$N$495,(SUMPRODUCT((('CONTROL MASTER'!$S$2:$S$495=14)*('CONTROL MASTER'!$T$2:$T$495&lt;=1)*('CONTROL MASTER'!$V$2:$V$495&gt;=1)*('CONTROL MASTER'!$U$2:$U$495&lt;=6)*('CONTROL MASTER'!$W$2:$W$495&gt;=6))*ROW('CONTROL MASTER'!$S$2:$S$495))-(ROW('CONTROL MASTER'!#REF!)-1))),":",","),",",REPT(" ",50)),((((1-INDEX('CONTROL MASTER'!$T$2:$T$495,(SUMPRODUCT((('CONTROL MASTER'!$S$2:$S$495=14)*('CONTROL MASTER'!$T$2:$T$495&lt;=1)*('CONTROL MASTER'!$V$2:$V$495&gt;=1)*('CONTROL MASTER'!$U$2:$U$495&lt;=6)*('CONTROL MASTER'!$W$2:$W$495&gt;=6))*ROW('CONTROL MASTER'!$S$2:$S$495))-(ROW('CONTROL MASTER'!#REF!)-1))))*(INDEX('CONTROL MASTER'!$W$2:$W$495,(SUMPRODUCT((('CONTROL MASTER'!$S$2:$S$495=14)*('CONTROL MASTER'!$T$2:$T$495&lt;=1)*('CONTROL MASTER'!$V$2:$V$495&gt;=1)*('CONTROL MASTER'!$U$2:$U$495&lt;=6)*('CONTROL MASTER'!$W$2:$W$495&gt;=6))*ROW('CONTROL MASTER'!$S$2:$S$495))-(ROW('CONTROL MASTER'!#REF!)-1)))-INDEX('CONTROL MASTER'!$U$2:$U$495,(SUMPRODUCT((('CONTROL MASTER'!$S$2:$S$495=14)*('CONTROL MASTER'!$T$2:$T$495&lt;=1)*('CONTROL MASTER'!$V$2:$V$495&gt;=1)*('CONTROL MASTER'!$U$2:$U$495&lt;=6)*('CONTROL MASTER'!$W$2:$W$495&gt;=6))*ROW('CONTROL MASTER'!$S$2:$S$495))-(ROW('CONTROL MASTER'!#REF!)-1)))+1)+(6-INDEX('CONTROL MASTER'!$U$2:$U$495,(SUMPRODUCT((('CONTROL MASTER'!$S$2:$S$495=14)*('CONTROL MASTER'!$T$2:$T$495&lt;=1)*('CONTROL MASTER'!$V$2:$V$495&gt;=1)*('CONTROL MASTER'!$U$2:$U$495&lt;=6)*('CONTROL MASTER'!$W$2:$W$495&gt;=6))*ROW('CONTROL MASTER'!$S$2:$S$495))-(ROW('CONTROL MASTER'!#REF!)-1))))+1))-1)*50+1,50))&amp;"_"&amp;INDEX('CONTROL MASTER'!$P$2:$P$495,(SUMPRODUCT((('CONTROL MASTER'!$S$2:$S$495=14)*('CONTROL MASTER'!$T$2:$T$495&lt;=1)*('CONTROL MASTER'!$V$2:$V$495&gt;=1)*('CONTROL MASTER'!$U$2:$U$495&lt;=6)*('CONTROL MASTER'!$W$2:$W$495&gt;=6))*ROW('CONTROL MASTER'!$S$2:$S$495))-(ROW('CONTROL MASTER'!#REF!)-1))),IF(SUMPRODUCT((('CONTROL MASTER'!$S$2:$S$495=14)*('CONTROL MASTER'!$Z$2:$Z$495&lt;=1)*('CONTROL MASTER'!$AB$2:$AB$495&gt;=1)*('CONTROL MASTER'!$AA$2:$AA$495&lt;=6)*('CONTROL MASTER'!$AC$2:$AC$495&gt;=6))*ROW('CONTROL MASTER'!$S$2:$S$495))&gt;0,INDEX('CONTROL MASTER'!$X$2:$X$495,(SUMPRODUCT((('CONTROL MASTER'!$S$2:$S$495=14)*('CONTROL MASTER'!$Z$2:$Z$495&lt;=1)*('CONTROL MASTER'!$AB$2:$AB$495&gt;=1)*('CONTROL MASTER'!$AA$2:$AA$495&lt;=6)*('CONTROL MASTER'!$AC$2:$AC$495&gt;=6))*ROW('CONTROL MASTER'!$S$2:$S$495))-(ROW('CONTROL MASTER'!#REF!)-1)))&amp;TRIM(MID(SUBSTITUTE(SUBSTITUTE(INDEX('CONTROL MASTER'!$N$2:$N$495,(SUMPRODUCT((('CONTROL MASTER'!$S$2:$S$495=14)*('CONTROL MASTER'!$Z$2:$Z$495&lt;=1)*('CONTROL MASTER'!$AB$2:$AB$495&gt;=1)*('CONTROL MASTER'!$AA$2:$AA$495&lt;=6)*('CONTROL MASTER'!$AC$2:$AC$495&gt;=6))*ROW('CONTROL MASTER'!$S$2:$S$495))-(ROW('CONTROL MASTER'!#REF!)-1))),":",","),",",REPT(" ",50)),(((INDEX('CONTROL MASTER'!$Y$2:$Y$495,(SUMPRODUCT((('CONTROL MASTER'!$S$2:$S$495=14)*('CONTROL MASTER'!$Z$2:$Z$495&lt;=1)*('CONTROL MASTER'!$AB$2:$AB$495&gt;=1)*('CONTROL MASTER'!$AA$2:$AA$495&lt;=6)*('CONTROL MASTER'!$AC$2:$AC$495&gt;=6))*ROW('CONTROL MASTER'!$S$2:$S$495))-(ROW('CONTROL MASTER'!#REF!)-1)))+((1-INDEX('CONTROL MASTER'!$Z$2:$Z$495,(SUMPRODUCT((('CONTROL MASTER'!$S$2:$S$495=14)*('CONTROL MASTER'!$Z$2:$Z$495&lt;=1)*('CONTROL MASTER'!$AB$2:$AB$495&gt;=1)*('CONTROL MASTER'!$AA$2:$AA$495&lt;=6)*('CONTROL MASTER'!$AC$2:$AC$495&gt;=6))*ROW('CONTROL MASTER'!$S$2:$S$495))-(ROW('CONTROL MASTER'!#REF!)-1))))*(INDEX('CONTROL MASTER'!$AC$2:$AC$495,(SUMPRODUCT((('CONTROL MASTER'!$S$2:$S$495=14)*('CONTROL MASTER'!$Z$2:$Z$495&lt;=1)*('CONTROL MASTER'!$AB$2:$AB$495&gt;=1)*('CONTROL MASTER'!$AA$2:$AA$495&lt;=6)*('CONTROL MASTER'!$AC$2:$AC$495&gt;=6))*ROW('CONTROL MASTER'!$S$2:$S$495))-(ROW('CONTROL MASTER'!#REF!)-1)))-INDEX('CONTROL MASTER'!$AA$2:$AA$495,(SUMPRODUCT((('CONTROL MASTER'!$S$2:$S$495=14)*('CONTROL MASTER'!$Z$2:$Z$495&lt;=1)*('CONTROL MASTER'!$AB$2:$AB$495&gt;=1)*('CONTROL MASTER'!$AA$2:$AA$495&lt;=6)*('CONTROL MASTER'!$AC$2:$AC$495&gt;=6))*ROW('CONTROL MASTER'!$S$2:$S$495))-(ROW('CONTROL MASTER'!#REF!)-1)))+1)+(6-INDEX('CONTROL MASTER'!$AA$2:$AA$495,(SUMPRODUCT((('CONTROL MASTER'!$S$2:$S$495=14)*('CONTROL MASTER'!$Z$2:$Z$495&lt;=1)*('CONTROL MASTER'!$AB$2:$AB$495&gt;=1)*('CONTROL MASTER'!$AA$2:$AA$495&lt;=6)*('CONTROL MASTER'!$AC$2:$AC$495&gt;=6))*ROW('CONTROL MASTER'!$S$2:$S$495))-(ROW('CONTROL MASTER'!#REF!)-1))))+1)))-1)*50+1,50))&amp;"_"&amp;INDEX('CONTROL MASTER'!$P$2:$P$495,(SUMPRODUCT((('CONTROL MASTER'!$S$2:$S$495=14)*('CONTROL MASTER'!$Z$2:$Z$495&lt;=1)*('CONTROL MASTER'!$AB$2:$AB$495&gt;=1)*('CONTROL MASTER'!$AA$2:$AA$495&lt;=6)*('CONTROL MASTER'!$AC$2:$AC$495&gt;=6))*ROW('CONTROL MASTER'!$S$2:$S$495))-(ROW('CONTROL MASTER'!#REF!)-1))),"")),"")</f>
        <v/>
      </c>
      <c r="H185" s="10" t="str">
        <f>IFERROR(IF(SUMPRODUCT((('CONTROL MASTER'!$S$2:$S$495=14)*('CONTROL MASTER'!$T$2:$T$495&lt;=1)*('CONTROL MASTER'!$V$2:$V$495&gt;=1)*('CONTROL MASTER'!$U$2:$U$495&lt;=7)*('CONTROL MASTER'!$W$2:$W$495&gt;=7))*ROW('CONTROL MASTER'!$S$2:$S$495))&gt;0,INDEX('CONTROL MASTER'!$X$2:$X$495,(SUMPRODUCT((('CONTROL MASTER'!$S$2:$S$495=14)*('CONTROL MASTER'!$T$2:$T$495&lt;=1)*('CONTROL MASTER'!$V$2:$V$495&gt;=1)*('CONTROL MASTER'!$U$2:$U$495&lt;=7)*('CONTROL MASTER'!$W$2:$W$495&gt;=7))*ROW('CONTROL MASTER'!$S$2:$S$495))-(ROW('CONTROL MASTER'!#REF!)-1)))&amp;TRIM(MID(SUBSTITUTE(SUBSTITUTE(INDEX('CONTROL MASTER'!$N$2:$N$495,(SUMPRODUCT((('CONTROL MASTER'!$S$2:$S$495=14)*('CONTROL MASTER'!$T$2:$T$495&lt;=1)*('CONTROL MASTER'!$V$2:$V$495&gt;=1)*('CONTROL MASTER'!$U$2:$U$495&lt;=7)*('CONTROL MASTER'!$W$2:$W$495&gt;=7))*ROW('CONTROL MASTER'!$S$2:$S$495))-(ROW('CONTROL MASTER'!#REF!)-1))),":",","),",",REPT(" ",50)),((((1-INDEX('CONTROL MASTER'!$T$2:$T$495,(SUMPRODUCT((('CONTROL MASTER'!$S$2:$S$495=14)*('CONTROL MASTER'!$T$2:$T$495&lt;=1)*('CONTROL MASTER'!$V$2:$V$495&gt;=1)*('CONTROL MASTER'!$U$2:$U$495&lt;=7)*('CONTROL MASTER'!$W$2:$W$495&gt;=7))*ROW('CONTROL MASTER'!$S$2:$S$495))-(ROW('CONTROL MASTER'!#REF!)-1))))*(INDEX('CONTROL MASTER'!$W$2:$W$495,(SUMPRODUCT((('CONTROL MASTER'!$S$2:$S$495=14)*('CONTROL MASTER'!$T$2:$T$495&lt;=1)*('CONTROL MASTER'!$V$2:$V$495&gt;=1)*('CONTROL MASTER'!$U$2:$U$495&lt;=7)*('CONTROL MASTER'!$W$2:$W$495&gt;=7))*ROW('CONTROL MASTER'!$S$2:$S$495))-(ROW('CONTROL MASTER'!#REF!)-1)))-INDEX('CONTROL MASTER'!$U$2:$U$495,(SUMPRODUCT((('CONTROL MASTER'!$S$2:$S$495=14)*('CONTROL MASTER'!$T$2:$T$495&lt;=1)*('CONTROL MASTER'!$V$2:$V$495&gt;=1)*('CONTROL MASTER'!$U$2:$U$495&lt;=7)*('CONTROL MASTER'!$W$2:$W$495&gt;=7))*ROW('CONTROL MASTER'!$S$2:$S$495))-(ROW('CONTROL MASTER'!#REF!)-1)))+1)+(7-INDEX('CONTROL MASTER'!$U$2:$U$495,(SUMPRODUCT((('CONTROL MASTER'!$S$2:$S$495=14)*('CONTROL MASTER'!$T$2:$T$495&lt;=1)*('CONTROL MASTER'!$V$2:$V$495&gt;=1)*('CONTROL MASTER'!$U$2:$U$495&lt;=7)*('CONTROL MASTER'!$W$2:$W$495&gt;=7))*ROW('CONTROL MASTER'!$S$2:$S$495))-(ROW('CONTROL MASTER'!#REF!)-1))))+1))-1)*50+1,50))&amp;"_"&amp;INDEX('CONTROL MASTER'!$P$2:$P$495,(SUMPRODUCT((('CONTROL MASTER'!$S$2:$S$495=14)*('CONTROL MASTER'!$T$2:$T$495&lt;=1)*('CONTROL MASTER'!$V$2:$V$495&gt;=1)*('CONTROL MASTER'!$U$2:$U$495&lt;=7)*('CONTROL MASTER'!$W$2:$W$495&gt;=7))*ROW('CONTROL MASTER'!$S$2:$S$495))-(ROW('CONTROL MASTER'!#REF!)-1))),IF(SUMPRODUCT((('CONTROL MASTER'!$S$2:$S$495=14)*('CONTROL MASTER'!$Z$2:$Z$495&lt;=1)*('CONTROL MASTER'!$AB$2:$AB$495&gt;=1)*('CONTROL MASTER'!$AA$2:$AA$495&lt;=7)*('CONTROL MASTER'!$AC$2:$AC$495&gt;=7))*ROW('CONTROL MASTER'!$S$2:$S$495))&gt;0,INDEX('CONTROL MASTER'!$X$2:$X$495,(SUMPRODUCT((('CONTROL MASTER'!$S$2:$S$495=14)*('CONTROL MASTER'!$Z$2:$Z$495&lt;=1)*('CONTROL MASTER'!$AB$2:$AB$495&gt;=1)*('CONTROL MASTER'!$AA$2:$AA$495&lt;=7)*('CONTROL MASTER'!$AC$2:$AC$495&gt;=7))*ROW('CONTROL MASTER'!$S$2:$S$495))-(ROW('CONTROL MASTER'!#REF!)-1)))&amp;TRIM(MID(SUBSTITUTE(SUBSTITUTE(INDEX('CONTROL MASTER'!$N$2:$N$495,(SUMPRODUCT((('CONTROL MASTER'!$S$2:$S$495=14)*('CONTROL MASTER'!$Z$2:$Z$495&lt;=1)*('CONTROL MASTER'!$AB$2:$AB$495&gt;=1)*('CONTROL MASTER'!$AA$2:$AA$495&lt;=7)*('CONTROL MASTER'!$AC$2:$AC$495&gt;=7))*ROW('CONTROL MASTER'!$S$2:$S$495))-(ROW('CONTROL MASTER'!#REF!)-1))),":",","),",",REPT(" ",50)),(((INDEX('CONTROL MASTER'!$Y$2:$Y$495,(SUMPRODUCT((('CONTROL MASTER'!$S$2:$S$495=14)*('CONTROL MASTER'!$Z$2:$Z$495&lt;=1)*('CONTROL MASTER'!$AB$2:$AB$495&gt;=1)*('CONTROL MASTER'!$AA$2:$AA$495&lt;=7)*('CONTROL MASTER'!$AC$2:$AC$495&gt;=7))*ROW('CONTROL MASTER'!$S$2:$S$495))-(ROW('CONTROL MASTER'!#REF!)-1)))+((1-INDEX('CONTROL MASTER'!$Z$2:$Z$495,(SUMPRODUCT((('CONTROL MASTER'!$S$2:$S$495=14)*('CONTROL MASTER'!$Z$2:$Z$495&lt;=1)*('CONTROL MASTER'!$AB$2:$AB$495&gt;=1)*('CONTROL MASTER'!$AA$2:$AA$495&lt;=7)*('CONTROL MASTER'!$AC$2:$AC$495&gt;=7))*ROW('CONTROL MASTER'!$S$2:$S$495))-(ROW('CONTROL MASTER'!#REF!)-1))))*(INDEX('CONTROL MASTER'!$AC$2:$AC$495,(SUMPRODUCT((('CONTROL MASTER'!$S$2:$S$495=14)*('CONTROL MASTER'!$Z$2:$Z$495&lt;=1)*('CONTROL MASTER'!$AB$2:$AB$495&gt;=1)*('CONTROL MASTER'!$AA$2:$AA$495&lt;=7)*('CONTROL MASTER'!$AC$2:$AC$495&gt;=7))*ROW('CONTROL MASTER'!$S$2:$S$495))-(ROW('CONTROL MASTER'!#REF!)-1)))-INDEX('CONTROL MASTER'!$AA$2:$AA$495,(SUMPRODUCT((('CONTROL MASTER'!$S$2:$S$495=14)*('CONTROL MASTER'!$Z$2:$Z$495&lt;=1)*('CONTROL MASTER'!$AB$2:$AB$495&gt;=1)*('CONTROL MASTER'!$AA$2:$AA$495&lt;=7)*('CONTROL MASTER'!$AC$2:$AC$495&gt;=7))*ROW('CONTROL MASTER'!$S$2:$S$495))-(ROW('CONTROL MASTER'!#REF!)-1)))+1)+(7-INDEX('CONTROL MASTER'!$AA$2:$AA$495,(SUMPRODUCT((('CONTROL MASTER'!$S$2:$S$495=14)*('CONTROL MASTER'!$Z$2:$Z$495&lt;=1)*('CONTROL MASTER'!$AB$2:$AB$495&gt;=1)*('CONTROL MASTER'!$AA$2:$AA$495&lt;=7)*('CONTROL MASTER'!$AC$2:$AC$495&gt;=7))*ROW('CONTROL MASTER'!$S$2:$S$495))-(ROW('CONTROL MASTER'!#REF!)-1))))+1)))-1)*50+1,50))&amp;"_"&amp;INDEX('CONTROL MASTER'!$P$2:$P$495,(SUMPRODUCT((('CONTROL MASTER'!$S$2:$S$495=14)*('CONTROL MASTER'!$Z$2:$Z$495&lt;=1)*('CONTROL MASTER'!$AB$2:$AB$495&gt;=1)*('CONTROL MASTER'!$AA$2:$AA$495&lt;=7)*('CONTROL MASTER'!$AC$2:$AC$495&gt;=7))*ROW('CONTROL MASTER'!$S$2:$S$495))-(ROW('CONTROL MASTER'!#REF!)-1))),"")),"")</f>
        <v/>
      </c>
      <c r="I185" s="10" t="str">
        <f>IFERROR(IF(SUMPRODUCT((('CONTROL MASTER'!$S$2:$S$495=14)*('CONTROL MASTER'!$T$2:$T$495&lt;=1)*('CONTROL MASTER'!$V$2:$V$495&gt;=1)*('CONTROL MASTER'!$U$2:$U$495&lt;=8)*('CONTROL MASTER'!$W$2:$W$495&gt;=8))*ROW('CONTROL MASTER'!$S$2:$S$495))&gt;0,INDEX('CONTROL MASTER'!$X$2:$X$495,(SUMPRODUCT((('CONTROL MASTER'!$S$2:$S$495=14)*('CONTROL MASTER'!$T$2:$T$495&lt;=1)*('CONTROL MASTER'!$V$2:$V$495&gt;=1)*('CONTROL MASTER'!$U$2:$U$495&lt;=8)*('CONTROL MASTER'!$W$2:$W$495&gt;=8))*ROW('CONTROL MASTER'!$S$2:$S$495))-(ROW('CONTROL MASTER'!#REF!)-1)))&amp;TRIM(MID(SUBSTITUTE(SUBSTITUTE(INDEX('CONTROL MASTER'!$N$2:$N$495,(SUMPRODUCT((('CONTROL MASTER'!$S$2:$S$495=14)*('CONTROL MASTER'!$T$2:$T$495&lt;=1)*('CONTROL MASTER'!$V$2:$V$495&gt;=1)*('CONTROL MASTER'!$U$2:$U$495&lt;=8)*('CONTROL MASTER'!$W$2:$W$495&gt;=8))*ROW('CONTROL MASTER'!$S$2:$S$495))-(ROW('CONTROL MASTER'!#REF!)-1))),":",","),",",REPT(" ",50)),((((1-INDEX('CONTROL MASTER'!$T$2:$T$495,(SUMPRODUCT((('CONTROL MASTER'!$S$2:$S$495=14)*('CONTROL MASTER'!$T$2:$T$495&lt;=1)*('CONTROL MASTER'!$V$2:$V$495&gt;=1)*('CONTROL MASTER'!$U$2:$U$495&lt;=8)*('CONTROL MASTER'!$W$2:$W$495&gt;=8))*ROW('CONTROL MASTER'!$S$2:$S$495))-(ROW('CONTROL MASTER'!#REF!)-1))))*(INDEX('CONTROL MASTER'!$W$2:$W$495,(SUMPRODUCT((('CONTROL MASTER'!$S$2:$S$495=14)*('CONTROL MASTER'!$T$2:$T$495&lt;=1)*('CONTROL MASTER'!$V$2:$V$495&gt;=1)*('CONTROL MASTER'!$U$2:$U$495&lt;=8)*('CONTROL MASTER'!$W$2:$W$495&gt;=8))*ROW('CONTROL MASTER'!$S$2:$S$495))-(ROW('CONTROL MASTER'!#REF!)-1)))-INDEX('CONTROL MASTER'!$U$2:$U$495,(SUMPRODUCT((('CONTROL MASTER'!$S$2:$S$495=14)*('CONTROL MASTER'!$T$2:$T$495&lt;=1)*('CONTROL MASTER'!$V$2:$V$495&gt;=1)*('CONTROL MASTER'!$U$2:$U$495&lt;=8)*('CONTROL MASTER'!$W$2:$W$495&gt;=8))*ROW('CONTROL MASTER'!$S$2:$S$495))-(ROW('CONTROL MASTER'!#REF!)-1)))+1)+(8-INDEX('CONTROL MASTER'!$U$2:$U$495,(SUMPRODUCT((('CONTROL MASTER'!$S$2:$S$495=14)*('CONTROL MASTER'!$T$2:$T$495&lt;=1)*('CONTROL MASTER'!$V$2:$V$495&gt;=1)*('CONTROL MASTER'!$U$2:$U$495&lt;=8)*('CONTROL MASTER'!$W$2:$W$495&gt;=8))*ROW('CONTROL MASTER'!$S$2:$S$495))-(ROW('CONTROL MASTER'!#REF!)-1))))+1))-1)*50+1,50))&amp;"_"&amp;INDEX('CONTROL MASTER'!$P$2:$P$495,(SUMPRODUCT((('CONTROL MASTER'!$S$2:$S$495=14)*('CONTROL MASTER'!$T$2:$T$495&lt;=1)*('CONTROL MASTER'!$V$2:$V$495&gt;=1)*('CONTROL MASTER'!$U$2:$U$495&lt;=8)*('CONTROL MASTER'!$W$2:$W$495&gt;=8))*ROW('CONTROL MASTER'!$S$2:$S$495))-(ROW('CONTROL MASTER'!#REF!)-1))),IF(SUMPRODUCT((('CONTROL MASTER'!$S$2:$S$495=14)*('CONTROL MASTER'!$Z$2:$Z$495&lt;=1)*('CONTROL MASTER'!$AB$2:$AB$495&gt;=1)*('CONTROL MASTER'!$AA$2:$AA$495&lt;=8)*('CONTROL MASTER'!$AC$2:$AC$495&gt;=8))*ROW('CONTROL MASTER'!$S$2:$S$495))&gt;0,INDEX('CONTROL MASTER'!$X$2:$X$495,(SUMPRODUCT((('CONTROL MASTER'!$S$2:$S$495=14)*('CONTROL MASTER'!$Z$2:$Z$495&lt;=1)*('CONTROL MASTER'!$AB$2:$AB$495&gt;=1)*('CONTROL MASTER'!$AA$2:$AA$495&lt;=8)*('CONTROL MASTER'!$AC$2:$AC$495&gt;=8))*ROW('CONTROL MASTER'!$S$2:$S$495))-(ROW('CONTROL MASTER'!#REF!)-1)))&amp;TRIM(MID(SUBSTITUTE(SUBSTITUTE(INDEX('CONTROL MASTER'!$N$2:$N$495,(SUMPRODUCT((('CONTROL MASTER'!$S$2:$S$495=14)*('CONTROL MASTER'!$Z$2:$Z$495&lt;=1)*('CONTROL MASTER'!$AB$2:$AB$495&gt;=1)*('CONTROL MASTER'!$AA$2:$AA$495&lt;=8)*('CONTROL MASTER'!$AC$2:$AC$495&gt;=8))*ROW('CONTROL MASTER'!$S$2:$S$495))-(ROW('CONTROL MASTER'!#REF!)-1))),":",","),",",REPT(" ",50)),(((INDEX('CONTROL MASTER'!$Y$2:$Y$495,(SUMPRODUCT((('CONTROL MASTER'!$S$2:$S$495=14)*('CONTROL MASTER'!$Z$2:$Z$495&lt;=1)*('CONTROL MASTER'!$AB$2:$AB$495&gt;=1)*('CONTROL MASTER'!$AA$2:$AA$495&lt;=8)*('CONTROL MASTER'!$AC$2:$AC$495&gt;=8))*ROW('CONTROL MASTER'!$S$2:$S$495))-(ROW('CONTROL MASTER'!#REF!)-1)))+((1-INDEX('CONTROL MASTER'!$Z$2:$Z$495,(SUMPRODUCT((('CONTROL MASTER'!$S$2:$S$495=14)*('CONTROL MASTER'!$Z$2:$Z$495&lt;=1)*('CONTROL MASTER'!$AB$2:$AB$495&gt;=1)*('CONTROL MASTER'!$AA$2:$AA$495&lt;=8)*('CONTROL MASTER'!$AC$2:$AC$495&gt;=8))*ROW('CONTROL MASTER'!$S$2:$S$495))-(ROW('CONTROL MASTER'!#REF!)-1))))*(INDEX('CONTROL MASTER'!$AC$2:$AC$495,(SUMPRODUCT((('CONTROL MASTER'!$S$2:$S$495=14)*('CONTROL MASTER'!$Z$2:$Z$495&lt;=1)*('CONTROL MASTER'!$AB$2:$AB$495&gt;=1)*('CONTROL MASTER'!$AA$2:$AA$495&lt;=8)*('CONTROL MASTER'!$AC$2:$AC$495&gt;=8))*ROW('CONTROL MASTER'!$S$2:$S$495))-(ROW('CONTROL MASTER'!#REF!)-1)))-INDEX('CONTROL MASTER'!$AA$2:$AA$495,(SUMPRODUCT((('CONTROL MASTER'!$S$2:$S$495=14)*('CONTROL MASTER'!$Z$2:$Z$495&lt;=1)*('CONTROL MASTER'!$AB$2:$AB$495&gt;=1)*('CONTROL MASTER'!$AA$2:$AA$495&lt;=8)*('CONTROL MASTER'!$AC$2:$AC$495&gt;=8))*ROW('CONTROL MASTER'!$S$2:$S$495))-(ROW('CONTROL MASTER'!#REF!)-1)))+1)+(8-INDEX('CONTROL MASTER'!$AA$2:$AA$495,(SUMPRODUCT((('CONTROL MASTER'!$S$2:$S$495=14)*('CONTROL MASTER'!$Z$2:$Z$495&lt;=1)*('CONTROL MASTER'!$AB$2:$AB$495&gt;=1)*('CONTROL MASTER'!$AA$2:$AA$495&lt;=8)*('CONTROL MASTER'!$AC$2:$AC$495&gt;=8))*ROW('CONTROL MASTER'!$S$2:$S$495))-(ROW('CONTROL MASTER'!#REF!)-1))))+1)))-1)*50+1,50))&amp;"_"&amp;INDEX('CONTROL MASTER'!$P$2:$P$495,(SUMPRODUCT((('CONTROL MASTER'!$S$2:$S$495=14)*('CONTROL MASTER'!$Z$2:$Z$495&lt;=1)*('CONTROL MASTER'!$AB$2:$AB$495&gt;=1)*('CONTROL MASTER'!$AA$2:$AA$495&lt;=8)*('CONTROL MASTER'!$AC$2:$AC$495&gt;=8))*ROW('CONTROL MASTER'!$S$2:$S$495))-(ROW('CONTROL MASTER'!#REF!)-1))),"")),"")</f>
        <v/>
      </c>
      <c r="J185" s="10" t="str">
        <f>IFERROR(IF(SUMPRODUCT((('CONTROL MASTER'!$S$2:$S$495=14)*('CONTROL MASTER'!$T$2:$T$495&lt;=1)*('CONTROL MASTER'!$V$2:$V$495&gt;=1)*('CONTROL MASTER'!$U$2:$U$495&lt;=9)*('CONTROL MASTER'!$W$2:$W$495&gt;=9))*ROW('CONTROL MASTER'!$S$2:$S$495))&gt;0,INDEX('CONTROL MASTER'!$X$2:$X$495,(SUMPRODUCT((('CONTROL MASTER'!$S$2:$S$495=14)*('CONTROL MASTER'!$T$2:$T$495&lt;=1)*('CONTROL MASTER'!$V$2:$V$495&gt;=1)*('CONTROL MASTER'!$U$2:$U$495&lt;=9)*('CONTROL MASTER'!$W$2:$W$495&gt;=9))*ROW('CONTROL MASTER'!$S$2:$S$495))-(ROW('CONTROL MASTER'!#REF!)-1)))&amp;TRIM(MID(SUBSTITUTE(SUBSTITUTE(INDEX('CONTROL MASTER'!$N$2:$N$495,(SUMPRODUCT((('CONTROL MASTER'!$S$2:$S$495=14)*('CONTROL MASTER'!$T$2:$T$495&lt;=1)*('CONTROL MASTER'!$V$2:$V$495&gt;=1)*('CONTROL MASTER'!$U$2:$U$495&lt;=9)*('CONTROL MASTER'!$W$2:$W$495&gt;=9))*ROW('CONTROL MASTER'!$S$2:$S$495))-(ROW('CONTROL MASTER'!#REF!)-1))),":",","),",",REPT(" ",50)),((((1-INDEX('CONTROL MASTER'!$T$2:$T$495,(SUMPRODUCT((('CONTROL MASTER'!$S$2:$S$495=14)*('CONTROL MASTER'!$T$2:$T$495&lt;=1)*('CONTROL MASTER'!$V$2:$V$495&gt;=1)*('CONTROL MASTER'!$U$2:$U$495&lt;=9)*('CONTROL MASTER'!$W$2:$W$495&gt;=9))*ROW('CONTROL MASTER'!$S$2:$S$495))-(ROW('CONTROL MASTER'!#REF!)-1))))*(INDEX('CONTROL MASTER'!$W$2:$W$495,(SUMPRODUCT((('CONTROL MASTER'!$S$2:$S$495=14)*('CONTROL MASTER'!$T$2:$T$495&lt;=1)*('CONTROL MASTER'!$V$2:$V$495&gt;=1)*('CONTROL MASTER'!$U$2:$U$495&lt;=9)*('CONTROL MASTER'!$W$2:$W$495&gt;=9))*ROW('CONTROL MASTER'!$S$2:$S$495))-(ROW('CONTROL MASTER'!#REF!)-1)))-INDEX('CONTROL MASTER'!$U$2:$U$495,(SUMPRODUCT((('CONTROL MASTER'!$S$2:$S$495=14)*('CONTROL MASTER'!$T$2:$T$495&lt;=1)*('CONTROL MASTER'!$V$2:$V$495&gt;=1)*('CONTROL MASTER'!$U$2:$U$495&lt;=9)*('CONTROL MASTER'!$W$2:$W$495&gt;=9))*ROW('CONTROL MASTER'!$S$2:$S$495))-(ROW('CONTROL MASTER'!#REF!)-1)))+1)+(9-INDEX('CONTROL MASTER'!$U$2:$U$495,(SUMPRODUCT((('CONTROL MASTER'!$S$2:$S$495=14)*('CONTROL MASTER'!$T$2:$T$495&lt;=1)*('CONTROL MASTER'!$V$2:$V$495&gt;=1)*('CONTROL MASTER'!$U$2:$U$495&lt;=9)*('CONTROL MASTER'!$W$2:$W$495&gt;=9))*ROW('CONTROL MASTER'!$S$2:$S$495))-(ROW('CONTROL MASTER'!#REF!)-1))))+1))-1)*50+1,50))&amp;"_"&amp;INDEX('CONTROL MASTER'!$P$2:$P$495,(SUMPRODUCT((('CONTROL MASTER'!$S$2:$S$495=14)*('CONTROL MASTER'!$T$2:$T$495&lt;=1)*('CONTROL MASTER'!$V$2:$V$495&gt;=1)*('CONTROL MASTER'!$U$2:$U$495&lt;=9)*('CONTROL MASTER'!$W$2:$W$495&gt;=9))*ROW('CONTROL MASTER'!$S$2:$S$495))-(ROW('CONTROL MASTER'!#REF!)-1))),IF(SUMPRODUCT((('CONTROL MASTER'!$S$2:$S$495=14)*('CONTROL MASTER'!$Z$2:$Z$495&lt;=1)*('CONTROL MASTER'!$AB$2:$AB$495&gt;=1)*('CONTROL MASTER'!$AA$2:$AA$495&lt;=9)*('CONTROL MASTER'!$AC$2:$AC$495&gt;=9))*ROW('CONTROL MASTER'!$S$2:$S$495))&gt;0,INDEX('CONTROL MASTER'!$X$2:$X$495,(SUMPRODUCT((('CONTROL MASTER'!$S$2:$S$495=14)*('CONTROL MASTER'!$Z$2:$Z$495&lt;=1)*('CONTROL MASTER'!$AB$2:$AB$495&gt;=1)*('CONTROL MASTER'!$AA$2:$AA$495&lt;=9)*('CONTROL MASTER'!$AC$2:$AC$495&gt;=9))*ROW('CONTROL MASTER'!$S$2:$S$495))-(ROW('CONTROL MASTER'!#REF!)-1)))&amp;TRIM(MID(SUBSTITUTE(SUBSTITUTE(INDEX('CONTROL MASTER'!$N$2:$N$495,(SUMPRODUCT((('CONTROL MASTER'!$S$2:$S$495=14)*('CONTROL MASTER'!$Z$2:$Z$495&lt;=1)*('CONTROL MASTER'!$AB$2:$AB$495&gt;=1)*('CONTROL MASTER'!$AA$2:$AA$495&lt;=9)*('CONTROL MASTER'!$AC$2:$AC$495&gt;=9))*ROW('CONTROL MASTER'!$S$2:$S$495))-(ROW('CONTROL MASTER'!#REF!)-1))),":",","),",",REPT(" ",50)),(((INDEX('CONTROL MASTER'!$Y$2:$Y$495,(SUMPRODUCT((('CONTROL MASTER'!$S$2:$S$495=14)*('CONTROL MASTER'!$Z$2:$Z$495&lt;=1)*('CONTROL MASTER'!$AB$2:$AB$495&gt;=1)*('CONTROL MASTER'!$AA$2:$AA$495&lt;=9)*('CONTROL MASTER'!$AC$2:$AC$495&gt;=9))*ROW('CONTROL MASTER'!$S$2:$S$495))-(ROW('CONTROL MASTER'!#REF!)-1)))+((1-INDEX('CONTROL MASTER'!$Z$2:$Z$495,(SUMPRODUCT((('CONTROL MASTER'!$S$2:$S$495=14)*('CONTROL MASTER'!$Z$2:$Z$495&lt;=1)*('CONTROL MASTER'!$AB$2:$AB$495&gt;=1)*('CONTROL MASTER'!$AA$2:$AA$495&lt;=9)*('CONTROL MASTER'!$AC$2:$AC$495&gt;=9))*ROW('CONTROL MASTER'!$S$2:$S$495))-(ROW('CONTROL MASTER'!#REF!)-1))))*(INDEX('CONTROL MASTER'!$AC$2:$AC$495,(SUMPRODUCT((('CONTROL MASTER'!$S$2:$S$495=14)*('CONTROL MASTER'!$Z$2:$Z$495&lt;=1)*('CONTROL MASTER'!$AB$2:$AB$495&gt;=1)*('CONTROL MASTER'!$AA$2:$AA$495&lt;=9)*('CONTROL MASTER'!$AC$2:$AC$495&gt;=9))*ROW('CONTROL MASTER'!$S$2:$S$495))-(ROW('CONTROL MASTER'!#REF!)-1)))-INDEX('CONTROL MASTER'!$AA$2:$AA$495,(SUMPRODUCT((('CONTROL MASTER'!$S$2:$S$495=14)*('CONTROL MASTER'!$Z$2:$Z$495&lt;=1)*('CONTROL MASTER'!$AB$2:$AB$495&gt;=1)*('CONTROL MASTER'!$AA$2:$AA$495&lt;=9)*('CONTROL MASTER'!$AC$2:$AC$495&gt;=9))*ROW('CONTROL MASTER'!$S$2:$S$495))-(ROW('CONTROL MASTER'!#REF!)-1)))+1)+(9-INDEX('CONTROL MASTER'!$AA$2:$AA$495,(SUMPRODUCT((('CONTROL MASTER'!$S$2:$S$495=14)*('CONTROL MASTER'!$Z$2:$Z$495&lt;=1)*('CONTROL MASTER'!$AB$2:$AB$495&gt;=1)*('CONTROL MASTER'!$AA$2:$AA$495&lt;=9)*('CONTROL MASTER'!$AC$2:$AC$495&gt;=9))*ROW('CONTROL MASTER'!$S$2:$S$495))-(ROW('CONTROL MASTER'!#REF!)-1))))+1)))-1)*50+1,50))&amp;"_"&amp;INDEX('CONTROL MASTER'!$P$2:$P$495,(SUMPRODUCT((('CONTROL MASTER'!$S$2:$S$495=14)*('CONTROL MASTER'!$Z$2:$Z$495&lt;=1)*('CONTROL MASTER'!$AB$2:$AB$495&gt;=1)*('CONTROL MASTER'!$AA$2:$AA$495&lt;=9)*('CONTROL MASTER'!$AC$2:$AC$495&gt;=9))*ROW('CONTROL MASTER'!$S$2:$S$495))-(ROW('CONTROL MASTER'!#REF!)-1))),"")),"")</f>
        <v/>
      </c>
      <c r="K185" s="10" t="str">
        <f>IFERROR(IF(SUMPRODUCT((('CONTROL MASTER'!$S$2:$S$495=14)*('CONTROL MASTER'!$T$2:$T$495&lt;=1)*('CONTROL MASTER'!$V$2:$V$495&gt;=1)*('CONTROL MASTER'!$U$2:$U$495&lt;=10)*('CONTROL MASTER'!$W$2:$W$495&gt;=10))*ROW('CONTROL MASTER'!$S$2:$S$495))&gt;0,INDEX('CONTROL MASTER'!$X$2:$X$495,(SUMPRODUCT((('CONTROL MASTER'!$S$2:$S$495=14)*('CONTROL MASTER'!$T$2:$T$495&lt;=1)*('CONTROL MASTER'!$V$2:$V$495&gt;=1)*('CONTROL MASTER'!$U$2:$U$495&lt;=10)*('CONTROL MASTER'!$W$2:$W$495&gt;=10))*ROW('CONTROL MASTER'!$S$2:$S$495))-(ROW('CONTROL MASTER'!#REF!)-1)))&amp;TRIM(MID(SUBSTITUTE(SUBSTITUTE(INDEX('CONTROL MASTER'!$N$2:$N$495,(SUMPRODUCT((('CONTROL MASTER'!$S$2:$S$495=14)*('CONTROL MASTER'!$T$2:$T$495&lt;=1)*('CONTROL MASTER'!$V$2:$V$495&gt;=1)*('CONTROL MASTER'!$U$2:$U$495&lt;=10)*('CONTROL MASTER'!$W$2:$W$495&gt;=10))*ROW('CONTROL MASTER'!$S$2:$S$495))-(ROW('CONTROL MASTER'!#REF!)-1))),":",","),",",REPT(" ",50)),((((1-INDEX('CONTROL MASTER'!$T$2:$T$495,(SUMPRODUCT((('CONTROL MASTER'!$S$2:$S$495=14)*('CONTROL MASTER'!$T$2:$T$495&lt;=1)*('CONTROL MASTER'!$V$2:$V$495&gt;=1)*('CONTROL MASTER'!$U$2:$U$495&lt;=10)*('CONTROL MASTER'!$W$2:$W$495&gt;=10))*ROW('CONTROL MASTER'!$S$2:$S$495))-(ROW('CONTROL MASTER'!#REF!)-1))))*(INDEX('CONTROL MASTER'!$W$2:$W$495,(SUMPRODUCT((('CONTROL MASTER'!$S$2:$S$495=14)*('CONTROL MASTER'!$T$2:$T$495&lt;=1)*('CONTROL MASTER'!$V$2:$V$495&gt;=1)*('CONTROL MASTER'!$U$2:$U$495&lt;=10)*('CONTROL MASTER'!$W$2:$W$495&gt;=10))*ROW('CONTROL MASTER'!$S$2:$S$495))-(ROW('CONTROL MASTER'!#REF!)-1)))-INDEX('CONTROL MASTER'!$U$2:$U$495,(SUMPRODUCT((('CONTROL MASTER'!$S$2:$S$495=14)*('CONTROL MASTER'!$T$2:$T$495&lt;=1)*('CONTROL MASTER'!$V$2:$V$495&gt;=1)*('CONTROL MASTER'!$U$2:$U$495&lt;=10)*('CONTROL MASTER'!$W$2:$W$495&gt;=10))*ROW('CONTROL MASTER'!$S$2:$S$495))-(ROW('CONTROL MASTER'!#REF!)-1)))+1)+(10-INDEX('CONTROL MASTER'!$U$2:$U$495,(SUMPRODUCT((('CONTROL MASTER'!$S$2:$S$495=14)*('CONTROL MASTER'!$T$2:$T$495&lt;=1)*('CONTROL MASTER'!$V$2:$V$495&gt;=1)*('CONTROL MASTER'!$U$2:$U$495&lt;=10)*('CONTROL MASTER'!$W$2:$W$495&gt;=10))*ROW('CONTROL MASTER'!$S$2:$S$495))-(ROW('CONTROL MASTER'!#REF!)-1))))+1))-1)*50+1,50))&amp;"_"&amp;INDEX('CONTROL MASTER'!$P$2:$P$495,(SUMPRODUCT((('CONTROL MASTER'!$S$2:$S$495=14)*('CONTROL MASTER'!$T$2:$T$495&lt;=1)*('CONTROL MASTER'!$V$2:$V$495&gt;=1)*('CONTROL MASTER'!$U$2:$U$495&lt;=10)*('CONTROL MASTER'!$W$2:$W$495&gt;=10))*ROW('CONTROL MASTER'!$S$2:$S$495))-(ROW('CONTROL MASTER'!#REF!)-1))),IF(SUMPRODUCT((('CONTROL MASTER'!$S$2:$S$495=14)*('CONTROL MASTER'!$Z$2:$Z$495&lt;=1)*('CONTROL MASTER'!$AB$2:$AB$495&gt;=1)*('CONTROL MASTER'!$AA$2:$AA$495&lt;=10)*('CONTROL MASTER'!$AC$2:$AC$495&gt;=10))*ROW('CONTROL MASTER'!$S$2:$S$495))&gt;0,INDEX('CONTROL MASTER'!$X$2:$X$495,(SUMPRODUCT((('CONTROL MASTER'!$S$2:$S$495=14)*('CONTROL MASTER'!$Z$2:$Z$495&lt;=1)*('CONTROL MASTER'!$AB$2:$AB$495&gt;=1)*('CONTROL MASTER'!$AA$2:$AA$495&lt;=10)*('CONTROL MASTER'!$AC$2:$AC$495&gt;=10))*ROW('CONTROL MASTER'!$S$2:$S$495))-(ROW('CONTROL MASTER'!#REF!)-1)))&amp;TRIM(MID(SUBSTITUTE(SUBSTITUTE(INDEX('CONTROL MASTER'!$N$2:$N$495,(SUMPRODUCT((('CONTROL MASTER'!$S$2:$S$495=14)*('CONTROL MASTER'!$Z$2:$Z$495&lt;=1)*('CONTROL MASTER'!$AB$2:$AB$495&gt;=1)*('CONTROL MASTER'!$AA$2:$AA$495&lt;=10)*('CONTROL MASTER'!$AC$2:$AC$495&gt;=10))*ROW('CONTROL MASTER'!$S$2:$S$495))-(ROW('CONTROL MASTER'!#REF!)-1))),":",","),",",REPT(" ",50)),(((INDEX('CONTROL MASTER'!$Y$2:$Y$495,(SUMPRODUCT((('CONTROL MASTER'!$S$2:$S$495=14)*('CONTROL MASTER'!$Z$2:$Z$495&lt;=1)*('CONTROL MASTER'!$AB$2:$AB$495&gt;=1)*('CONTROL MASTER'!$AA$2:$AA$495&lt;=10)*('CONTROL MASTER'!$AC$2:$AC$495&gt;=10))*ROW('CONTROL MASTER'!$S$2:$S$495))-(ROW('CONTROL MASTER'!#REF!)-1)))+((1-INDEX('CONTROL MASTER'!$Z$2:$Z$495,(SUMPRODUCT((('CONTROL MASTER'!$S$2:$S$495=14)*('CONTROL MASTER'!$Z$2:$Z$495&lt;=1)*('CONTROL MASTER'!$AB$2:$AB$495&gt;=1)*('CONTROL MASTER'!$AA$2:$AA$495&lt;=10)*('CONTROL MASTER'!$AC$2:$AC$495&gt;=10))*ROW('CONTROL MASTER'!$S$2:$S$495))-(ROW('CONTROL MASTER'!#REF!)-1))))*(INDEX('CONTROL MASTER'!$AC$2:$AC$495,(SUMPRODUCT((('CONTROL MASTER'!$S$2:$S$495=14)*('CONTROL MASTER'!$Z$2:$Z$495&lt;=1)*('CONTROL MASTER'!$AB$2:$AB$495&gt;=1)*('CONTROL MASTER'!$AA$2:$AA$495&lt;=10)*('CONTROL MASTER'!$AC$2:$AC$495&gt;=10))*ROW('CONTROL MASTER'!$S$2:$S$495))-(ROW('CONTROL MASTER'!#REF!)-1)))-INDEX('CONTROL MASTER'!$AA$2:$AA$495,(SUMPRODUCT((('CONTROL MASTER'!$S$2:$S$495=14)*('CONTROL MASTER'!$Z$2:$Z$495&lt;=1)*('CONTROL MASTER'!$AB$2:$AB$495&gt;=1)*('CONTROL MASTER'!$AA$2:$AA$495&lt;=10)*('CONTROL MASTER'!$AC$2:$AC$495&gt;=10))*ROW('CONTROL MASTER'!$S$2:$S$495))-(ROW('CONTROL MASTER'!#REF!)-1)))+1)+(10-INDEX('CONTROL MASTER'!$AA$2:$AA$495,(SUMPRODUCT((('CONTROL MASTER'!$S$2:$S$495=14)*('CONTROL MASTER'!$Z$2:$Z$495&lt;=1)*('CONTROL MASTER'!$AB$2:$AB$495&gt;=1)*('CONTROL MASTER'!$AA$2:$AA$495&lt;=10)*('CONTROL MASTER'!$AC$2:$AC$495&gt;=10))*ROW('CONTROL MASTER'!$S$2:$S$495))-(ROW('CONTROL MASTER'!#REF!)-1))))+1)))-1)*50+1,50))&amp;"_"&amp;INDEX('CONTROL MASTER'!$P$2:$P$495,(SUMPRODUCT((('CONTROL MASTER'!$S$2:$S$495=14)*('CONTROL MASTER'!$Z$2:$Z$495&lt;=1)*('CONTROL MASTER'!$AB$2:$AB$495&gt;=1)*('CONTROL MASTER'!$AA$2:$AA$495&lt;=10)*('CONTROL MASTER'!$AC$2:$AC$495&gt;=10))*ROW('CONTROL MASTER'!$S$2:$S$495))-(ROW('CONTROL MASTER'!#REF!)-1))),"")),"")</f>
        <v/>
      </c>
    </row>
    <row r="186" spans="1:11" ht="15" customHeight="1" x14ac:dyDescent="0.35">
      <c r="A186" s="8" t="s">
        <v>29</v>
      </c>
      <c r="B186" s="10" t="str">
        <f>IFERROR(IF(SUMPRODUCT((('CONTROL MASTER'!$S$2:$S$495=14)*('CONTROL MASTER'!$T$2:$T$495&lt;=2)*('CONTROL MASTER'!$V$2:$V$495&gt;=2)*('CONTROL MASTER'!$U$2:$U$495&lt;=1)*('CONTROL MASTER'!$W$2:$W$495&gt;=1))*ROW('CONTROL MASTER'!$S$2:$S$495))&gt;0,INDEX('CONTROL MASTER'!$X$2:$X$495,(SUMPRODUCT((('CONTROL MASTER'!$S$2:$S$495=14)*('CONTROL MASTER'!$T$2:$T$495&lt;=2)*('CONTROL MASTER'!$V$2:$V$495&gt;=2)*('CONTROL MASTER'!$U$2:$U$495&lt;=1)*('CONTROL MASTER'!$W$2:$W$495&gt;=1))*ROW('CONTROL MASTER'!$S$2:$S$495))-(ROW('CONTROL MASTER'!#REF!)-1)))&amp;TRIM(MID(SUBSTITUTE(SUBSTITUTE(INDEX('CONTROL MASTER'!$N$2:$N$495,(SUMPRODUCT((('CONTROL MASTER'!$S$2:$S$495=14)*('CONTROL MASTER'!$T$2:$T$495&lt;=2)*('CONTROL MASTER'!$V$2:$V$495&gt;=2)*('CONTROL MASTER'!$U$2:$U$495&lt;=1)*('CONTROL MASTER'!$W$2:$W$495&gt;=1))*ROW('CONTROL MASTER'!$S$2:$S$495))-(ROW('CONTROL MASTER'!#REF!)-1))),":",","),",",REPT(" ",50)),((((2-INDEX('CONTROL MASTER'!$T$2:$T$495,(SUMPRODUCT((('CONTROL MASTER'!$S$2:$S$495=14)*('CONTROL MASTER'!$T$2:$T$495&lt;=2)*('CONTROL MASTER'!$V$2:$V$495&gt;=2)*('CONTROL MASTER'!$U$2:$U$495&lt;=1)*('CONTROL MASTER'!$W$2:$W$495&gt;=1))*ROW('CONTROL MASTER'!$S$2:$S$495))-(ROW('CONTROL MASTER'!#REF!)-1))))*(INDEX('CONTROL MASTER'!$W$2:$W$495,(SUMPRODUCT((('CONTROL MASTER'!$S$2:$S$495=14)*('CONTROL MASTER'!$T$2:$T$495&lt;=2)*('CONTROL MASTER'!$V$2:$V$495&gt;=2)*('CONTROL MASTER'!$U$2:$U$495&lt;=1)*('CONTROL MASTER'!$W$2:$W$495&gt;=1))*ROW('CONTROL MASTER'!$S$2:$S$495))-(ROW('CONTROL MASTER'!#REF!)-1)))-INDEX('CONTROL MASTER'!$U$2:$U$495,(SUMPRODUCT((('CONTROL MASTER'!$S$2:$S$495=14)*('CONTROL MASTER'!$T$2:$T$495&lt;=2)*('CONTROL MASTER'!$V$2:$V$495&gt;=2)*('CONTROL MASTER'!$U$2:$U$495&lt;=1)*('CONTROL MASTER'!$W$2:$W$495&gt;=1))*ROW('CONTROL MASTER'!$S$2:$S$495))-(ROW('CONTROL MASTER'!#REF!)-1)))+1)+(1-INDEX('CONTROL MASTER'!$U$2:$U$495,(SUMPRODUCT((('CONTROL MASTER'!$S$2:$S$495=14)*('CONTROL MASTER'!$T$2:$T$495&lt;=2)*('CONTROL MASTER'!$V$2:$V$495&gt;=2)*('CONTROL MASTER'!$U$2:$U$495&lt;=1)*('CONTROL MASTER'!$W$2:$W$495&gt;=1))*ROW('CONTROL MASTER'!$S$2:$S$495))-(ROW('CONTROL MASTER'!#REF!)-1))))+1))-1)*50+1,50))&amp;"_"&amp;INDEX('CONTROL MASTER'!$P$2:$P$495,(SUMPRODUCT((('CONTROL MASTER'!$S$2:$S$495=14)*('CONTROL MASTER'!$T$2:$T$495&lt;=2)*('CONTROL MASTER'!$V$2:$V$495&gt;=2)*('CONTROL MASTER'!$U$2:$U$495&lt;=1)*('CONTROL MASTER'!$W$2:$W$495&gt;=1))*ROW('CONTROL MASTER'!$S$2:$S$495))-(ROW('CONTROL MASTER'!#REF!)-1))),IF(SUMPRODUCT((('CONTROL MASTER'!$S$2:$S$495=14)*('CONTROL MASTER'!$Z$2:$Z$495&lt;=2)*('CONTROL MASTER'!$AB$2:$AB$495&gt;=2)*('CONTROL MASTER'!$AA$2:$AA$495&lt;=1)*('CONTROL MASTER'!$AC$2:$AC$495&gt;=1))*ROW('CONTROL MASTER'!$S$2:$S$495))&gt;0,INDEX('CONTROL MASTER'!$X$2:$X$495,(SUMPRODUCT((('CONTROL MASTER'!$S$2:$S$495=14)*('CONTROL MASTER'!$Z$2:$Z$495&lt;=2)*('CONTROL MASTER'!$AB$2:$AB$495&gt;=2)*('CONTROL MASTER'!$AA$2:$AA$495&lt;=1)*('CONTROL MASTER'!$AC$2:$AC$495&gt;=1))*ROW('CONTROL MASTER'!$S$2:$S$495))-(ROW('CONTROL MASTER'!#REF!)-1)))&amp;TRIM(MID(SUBSTITUTE(SUBSTITUTE(INDEX('CONTROL MASTER'!$N$2:$N$495,(SUMPRODUCT((('CONTROL MASTER'!$S$2:$S$495=14)*('CONTROL MASTER'!$Z$2:$Z$495&lt;=2)*('CONTROL MASTER'!$AB$2:$AB$495&gt;=2)*('CONTROL MASTER'!$AA$2:$AA$495&lt;=1)*('CONTROL MASTER'!$AC$2:$AC$495&gt;=1))*ROW('CONTROL MASTER'!$S$2:$S$495))-(ROW('CONTROL MASTER'!#REF!)-1))),":",","),",",REPT(" ",50)),(((INDEX('CONTROL MASTER'!$Y$2:$Y$495,(SUMPRODUCT((('CONTROL MASTER'!$S$2:$S$495=14)*('CONTROL MASTER'!$Z$2:$Z$495&lt;=2)*('CONTROL MASTER'!$AB$2:$AB$495&gt;=2)*('CONTROL MASTER'!$AA$2:$AA$495&lt;=1)*('CONTROL MASTER'!$AC$2:$AC$495&gt;=1))*ROW('CONTROL MASTER'!$S$2:$S$495))-(ROW('CONTROL MASTER'!#REF!)-1)))+((2-INDEX('CONTROL MASTER'!$Z$2:$Z$495,(SUMPRODUCT((('CONTROL MASTER'!$S$2:$S$495=14)*('CONTROL MASTER'!$Z$2:$Z$495&lt;=2)*('CONTROL MASTER'!$AB$2:$AB$495&gt;=2)*('CONTROL MASTER'!$AA$2:$AA$495&lt;=1)*('CONTROL MASTER'!$AC$2:$AC$495&gt;=1))*ROW('CONTROL MASTER'!$S$2:$S$495))-(ROW('CONTROL MASTER'!#REF!)-1))))*(INDEX('CONTROL MASTER'!$AC$2:$AC$495,(SUMPRODUCT((('CONTROL MASTER'!$S$2:$S$495=14)*('CONTROL MASTER'!$Z$2:$Z$495&lt;=2)*('CONTROL MASTER'!$AB$2:$AB$495&gt;=2)*('CONTROL MASTER'!$AA$2:$AA$495&lt;=1)*('CONTROL MASTER'!$AC$2:$AC$495&gt;=1))*ROW('CONTROL MASTER'!$S$2:$S$495))-(ROW('CONTROL MASTER'!#REF!)-1)))-INDEX('CONTROL MASTER'!$AA$2:$AA$495,(SUMPRODUCT((('CONTROL MASTER'!$S$2:$S$495=14)*('CONTROL MASTER'!$Z$2:$Z$495&lt;=2)*('CONTROL MASTER'!$AB$2:$AB$495&gt;=2)*('CONTROL MASTER'!$AA$2:$AA$495&lt;=1)*('CONTROL MASTER'!$AC$2:$AC$495&gt;=1))*ROW('CONTROL MASTER'!$S$2:$S$495))-(ROW('CONTROL MASTER'!#REF!)-1)))+1)+(1-INDEX('CONTROL MASTER'!$AA$2:$AA$495,(SUMPRODUCT((('CONTROL MASTER'!$S$2:$S$495=14)*('CONTROL MASTER'!$Z$2:$Z$495&lt;=2)*('CONTROL MASTER'!$AB$2:$AB$495&gt;=2)*('CONTROL MASTER'!$AA$2:$AA$495&lt;=1)*('CONTROL MASTER'!$AC$2:$AC$495&gt;=1))*ROW('CONTROL MASTER'!$S$2:$S$495))-(ROW('CONTROL MASTER'!#REF!)-1))))+1)))-1)*50+1,50))&amp;"_"&amp;INDEX('CONTROL MASTER'!$P$2:$P$495,(SUMPRODUCT((('CONTROL MASTER'!$S$2:$S$495=14)*('CONTROL MASTER'!$Z$2:$Z$495&lt;=2)*('CONTROL MASTER'!$AB$2:$AB$495&gt;=2)*('CONTROL MASTER'!$AA$2:$AA$495&lt;=1)*('CONTROL MASTER'!$AC$2:$AC$495&gt;=1))*ROW('CONTROL MASTER'!$S$2:$S$495))-(ROW('CONTROL MASTER'!#REF!)-1))),"")),"")</f>
        <v/>
      </c>
      <c r="C186" s="10" t="str">
        <f>IFERROR(IF(SUMPRODUCT((('CONTROL MASTER'!$S$2:$S$495=14)*('CONTROL MASTER'!$T$2:$T$495&lt;=2)*('CONTROL MASTER'!$V$2:$V$495&gt;=2)*('CONTROL MASTER'!$U$2:$U$495&lt;=2)*('CONTROL MASTER'!$W$2:$W$495&gt;=2))*ROW('CONTROL MASTER'!$S$2:$S$495))&gt;0,INDEX('CONTROL MASTER'!$X$2:$X$495,(SUMPRODUCT((('CONTROL MASTER'!$S$2:$S$495=14)*('CONTROL MASTER'!$T$2:$T$495&lt;=2)*('CONTROL MASTER'!$V$2:$V$495&gt;=2)*('CONTROL MASTER'!$U$2:$U$495&lt;=2)*('CONTROL MASTER'!$W$2:$W$495&gt;=2))*ROW('CONTROL MASTER'!$S$2:$S$495))-(ROW('CONTROL MASTER'!#REF!)-1)))&amp;TRIM(MID(SUBSTITUTE(SUBSTITUTE(INDEX('CONTROL MASTER'!$N$2:$N$495,(SUMPRODUCT((('CONTROL MASTER'!$S$2:$S$495=14)*('CONTROL MASTER'!$T$2:$T$495&lt;=2)*('CONTROL MASTER'!$V$2:$V$495&gt;=2)*('CONTROL MASTER'!$U$2:$U$495&lt;=2)*('CONTROL MASTER'!$W$2:$W$495&gt;=2))*ROW('CONTROL MASTER'!$S$2:$S$495))-(ROW('CONTROL MASTER'!#REF!)-1))),":",","),",",REPT(" ",50)),((((2-INDEX('CONTROL MASTER'!$T$2:$T$495,(SUMPRODUCT((('CONTROL MASTER'!$S$2:$S$495=14)*('CONTROL MASTER'!$T$2:$T$495&lt;=2)*('CONTROL MASTER'!$V$2:$V$495&gt;=2)*('CONTROL MASTER'!$U$2:$U$495&lt;=2)*('CONTROL MASTER'!$W$2:$W$495&gt;=2))*ROW('CONTROL MASTER'!$S$2:$S$495))-(ROW('CONTROL MASTER'!#REF!)-1))))*(INDEX('CONTROL MASTER'!$W$2:$W$495,(SUMPRODUCT((('CONTROL MASTER'!$S$2:$S$495=14)*('CONTROL MASTER'!$T$2:$T$495&lt;=2)*('CONTROL MASTER'!$V$2:$V$495&gt;=2)*('CONTROL MASTER'!$U$2:$U$495&lt;=2)*('CONTROL MASTER'!$W$2:$W$495&gt;=2))*ROW('CONTROL MASTER'!$S$2:$S$495))-(ROW('CONTROL MASTER'!#REF!)-1)))-INDEX('CONTROL MASTER'!$U$2:$U$495,(SUMPRODUCT((('CONTROL MASTER'!$S$2:$S$495=14)*('CONTROL MASTER'!$T$2:$T$495&lt;=2)*('CONTROL MASTER'!$V$2:$V$495&gt;=2)*('CONTROL MASTER'!$U$2:$U$495&lt;=2)*('CONTROL MASTER'!$W$2:$W$495&gt;=2))*ROW('CONTROL MASTER'!$S$2:$S$495))-(ROW('CONTROL MASTER'!#REF!)-1)))+1)+(2-INDEX('CONTROL MASTER'!$U$2:$U$495,(SUMPRODUCT((('CONTROL MASTER'!$S$2:$S$495=14)*('CONTROL MASTER'!$T$2:$T$495&lt;=2)*('CONTROL MASTER'!$V$2:$V$495&gt;=2)*('CONTROL MASTER'!$U$2:$U$495&lt;=2)*('CONTROL MASTER'!$W$2:$W$495&gt;=2))*ROW('CONTROL MASTER'!$S$2:$S$495))-(ROW('CONTROL MASTER'!#REF!)-1))))+1))-1)*50+1,50))&amp;"_"&amp;INDEX('CONTROL MASTER'!$P$2:$P$495,(SUMPRODUCT((('CONTROL MASTER'!$S$2:$S$495=14)*('CONTROL MASTER'!$T$2:$T$495&lt;=2)*('CONTROL MASTER'!$V$2:$V$495&gt;=2)*('CONTROL MASTER'!$U$2:$U$495&lt;=2)*('CONTROL MASTER'!$W$2:$W$495&gt;=2))*ROW('CONTROL MASTER'!$S$2:$S$495))-(ROW('CONTROL MASTER'!#REF!)-1))),IF(SUMPRODUCT((('CONTROL MASTER'!$S$2:$S$495=14)*('CONTROL MASTER'!$Z$2:$Z$495&lt;=2)*('CONTROL MASTER'!$AB$2:$AB$495&gt;=2)*('CONTROL MASTER'!$AA$2:$AA$495&lt;=2)*('CONTROL MASTER'!$AC$2:$AC$495&gt;=2))*ROW('CONTROL MASTER'!$S$2:$S$495))&gt;0,INDEX('CONTROL MASTER'!$X$2:$X$495,(SUMPRODUCT((('CONTROL MASTER'!$S$2:$S$495=14)*('CONTROL MASTER'!$Z$2:$Z$495&lt;=2)*('CONTROL MASTER'!$AB$2:$AB$495&gt;=2)*('CONTROL MASTER'!$AA$2:$AA$495&lt;=2)*('CONTROL MASTER'!$AC$2:$AC$495&gt;=2))*ROW('CONTROL MASTER'!$S$2:$S$495))-(ROW('CONTROL MASTER'!#REF!)-1)))&amp;TRIM(MID(SUBSTITUTE(SUBSTITUTE(INDEX('CONTROL MASTER'!$N$2:$N$495,(SUMPRODUCT((('CONTROL MASTER'!$S$2:$S$495=14)*('CONTROL MASTER'!$Z$2:$Z$495&lt;=2)*('CONTROL MASTER'!$AB$2:$AB$495&gt;=2)*('CONTROL MASTER'!$AA$2:$AA$495&lt;=2)*('CONTROL MASTER'!$AC$2:$AC$495&gt;=2))*ROW('CONTROL MASTER'!$S$2:$S$495))-(ROW('CONTROL MASTER'!#REF!)-1))),":",","),",",REPT(" ",50)),(((INDEX('CONTROL MASTER'!$Y$2:$Y$495,(SUMPRODUCT((('CONTROL MASTER'!$S$2:$S$495=14)*('CONTROL MASTER'!$Z$2:$Z$495&lt;=2)*('CONTROL MASTER'!$AB$2:$AB$495&gt;=2)*('CONTROL MASTER'!$AA$2:$AA$495&lt;=2)*('CONTROL MASTER'!$AC$2:$AC$495&gt;=2))*ROW('CONTROL MASTER'!$S$2:$S$495))-(ROW('CONTROL MASTER'!#REF!)-1)))+((2-INDEX('CONTROL MASTER'!$Z$2:$Z$495,(SUMPRODUCT((('CONTROL MASTER'!$S$2:$S$495=14)*('CONTROL MASTER'!$Z$2:$Z$495&lt;=2)*('CONTROL MASTER'!$AB$2:$AB$495&gt;=2)*('CONTROL MASTER'!$AA$2:$AA$495&lt;=2)*('CONTROL MASTER'!$AC$2:$AC$495&gt;=2))*ROW('CONTROL MASTER'!$S$2:$S$495))-(ROW('CONTROL MASTER'!#REF!)-1))))*(INDEX('CONTROL MASTER'!$AC$2:$AC$495,(SUMPRODUCT((('CONTROL MASTER'!$S$2:$S$495=14)*('CONTROL MASTER'!$Z$2:$Z$495&lt;=2)*('CONTROL MASTER'!$AB$2:$AB$495&gt;=2)*('CONTROL MASTER'!$AA$2:$AA$495&lt;=2)*('CONTROL MASTER'!$AC$2:$AC$495&gt;=2))*ROW('CONTROL MASTER'!$S$2:$S$495))-(ROW('CONTROL MASTER'!#REF!)-1)))-INDEX('CONTROL MASTER'!$AA$2:$AA$495,(SUMPRODUCT((('CONTROL MASTER'!$S$2:$S$495=14)*('CONTROL MASTER'!$Z$2:$Z$495&lt;=2)*('CONTROL MASTER'!$AB$2:$AB$495&gt;=2)*('CONTROL MASTER'!$AA$2:$AA$495&lt;=2)*('CONTROL MASTER'!$AC$2:$AC$495&gt;=2))*ROW('CONTROL MASTER'!$S$2:$S$495))-(ROW('CONTROL MASTER'!#REF!)-1)))+1)+(2-INDEX('CONTROL MASTER'!$AA$2:$AA$495,(SUMPRODUCT((('CONTROL MASTER'!$S$2:$S$495=14)*('CONTROL MASTER'!$Z$2:$Z$495&lt;=2)*('CONTROL MASTER'!$AB$2:$AB$495&gt;=2)*('CONTROL MASTER'!$AA$2:$AA$495&lt;=2)*('CONTROL MASTER'!$AC$2:$AC$495&gt;=2))*ROW('CONTROL MASTER'!$S$2:$S$495))-(ROW('CONTROL MASTER'!#REF!)-1))))+1)))-1)*50+1,50))&amp;"_"&amp;INDEX('CONTROL MASTER'!$P$2:$P$495,(SUMPRODUCT((('CONTROL MASTER'!$S$2:$S$495=14)*('CONTROL MASTER'!$Z$2:$Z$495&lt;=2)*('CONTROL MASTER'!$AB$2:$AB$495&gt;=2)*('CONTROL MASTER'!$AA$2:$AA$495&lt;=2)*('CONTROL MASTER'!$AC$2:$AC$495&gt;=2))*ROW('CONTROL MASTER'!$S$2:$S$495))-(ROW('CONTROL MASTER'!#REF!)-1))),"")),"")</f>
        <v/>
      </c>
      <c r="D186" s="10" t="str">
        <f>IFERROR(IF(SUMPRODUCT((('CONTROL MASTER'!$S$2:$S$495=14)*('CONTROL MASTER'!$T$2:$T$495&lt;=2)*('CONTROL MASTER'!$V$2:$V$495&gt;=2)*('CONTROL MASTER'!$U$2:$U$495&lt;=3)*('CONTROL MASTER'!$W$2:$W$495&gt;=3))*ROW('CONTROL MASTER'!$S$2:$S$495))&gt;0,INDEX('CONTROL MASTER'!$X$2:$X$495,(SUMPRODUCT((('CONTROL MASTER'!$S$2:$S$495=14)*('CONTROL MASTER'!$T$2:$T$495&lt;=2)*('CONTROL MASTER'!$V$2:$V$495&gt;=2)*('CONTROL MASTER'!$U$2:$U$495&lt;=3)*('CONTROL MASTER'!$W$2:$W$495&gt;=3))*ROW('CONTROL MASTER'!$S$2:$S$495))-(ROW('CONTROL MASTER'!#REF!)-1)))&amp;TRIM(MID(SUBSTITUTE(SUBSTITUTE(INDEX('CONTROL MASTER'!$N$2:$N$495,(SUMPRODUCT((('CONTROL MASTER'!$S$2:$S$495=14)*('CONTROL MASTER'!$T$2:$T$495&lt;=2)*('CONTROL MASTER'!$V$2:$V$495&gt;=2)*('CONTROL MASTER'!$U$2:$U$495&lt;=3)*('CONTROL MASTER'!$W$2:$W$495&gt;=3))*ROW('CONTROL MASTER'!$S$2:$S$495))-(ROW('CONTROL MASTER'!#REF!)-1))),":",","),",",REPT(" ",50)),((((2-INDEX('CONTROL MASTER'!$T$2:$T$495,(SUMPRODUCT((('CONTROL MASTER'!$S$2:$S$495=14)*('CONTROL MASTER'!$T$2:$T$495&lt;=2)*('CONTROL MASTER'!$V$2:$V$495&gt;=2)*('CONTROL MASTER'!$U$2:$U$495&lt;=3)*('CONTROL MASTER'!$W$2:$W$495&gt;=3))*ROW('CONTROL MASTER'!$S$2:$S$495))-(ROW('CONTROL MASTER'!#REF!)-1))))*(INDEX('CONTROL MASTER'!$W$2:$W$495,(SUMPRODUCT((('CONTROL MASTER'!$S$2:$S$495=14)*('CONTROL MASTER'!$T$2:$T$495&lt;=2)*('CONTROL MASTER'!$V$2:$V$495&gt;=2)*('CONTROL MASTER'!$U$2:$U$495&lt;=3)*('CONTROL MASTER'!$W$2:$W$495&gt;=3))*ROW('CONTROL MASTER'!$S$2:$S$495))-(ROW('CONTROL MASTER'!#REF!)-1)))-INDEX('CONTROL MASTER'!$U$2:$U$495,(SUMPRODUCT((('CONTROL MASTER'!$S$2:$S$495=14)*('CONTROL MASTER'!$T$2:$T$495&lt;=2)*('CONTROL MASTER'!$V$2:$V$495&gt;=2)*('CONTROL MASTER'!$U$2:$U$495&lt;=3)*('CONTROL MASTER'!$W$2:$W$495&gt;=3))*ROW('CONTROL MASTER'!$S$2:$S$495))-(ROW('CONTROL MASTER'!#REF!)-1)))+1)+(3-INDEX('CONTROL MASTER'!$U$2:$U$495,(SUMPRODUCT((('CONTROL MASTER'!$S$2:$S$495=14)*('CONTROL MASTER'!$T$2:$T$495&lt;=2)*('CONTROL MASTER'!$V$2:$V$495&gt;=2)*('CONTROL MASTER'!$U$2:$U$495&lt;=3)*('CONTROL MASTER'!$W$2:$W$495&gt;=3))*ROW('CONTROL MASTER'!$S$2:$S$495))-(ROW('CONTROL MASTER'!#REF!)-1))))+1))-1)*50+1,50))&amp;"_"&amp;INDEX('CONTROL MASTER'!$P$2:$P$495,(SUMPRODUCT((('CONTROL MASTER'!$S$2:$S$495=14)*('CONTROL MASTER'!$T$2:$T$495&lt;=2)*('CONTROL MASTER'!$V$2:$V$495&gt;=2)*('CONTROL MASTER'!$U$2:$U$495&lt;=3)*('CONTROL MASTER'!$W$2:$W$495&gt;=3))*ROW('CONTROL MASTER'!$S$2:$S$495))-(ROW('CONTROL MASTER'!#REF!)-1))),IF(SUMPRODUCT((('CONTROL MASTER'!$S$2:$S$495=14)*('CONTROL MASTER'!$Z$2:$Z$495&lt;=2)*('CONTROL MASTER'!$AB$2:$AB$495&gt;=2)*('CONTROL MASTER'!$AA$2:$AA$495&lt;=3)*('CONTROL MASTER'!$AC$2:$AC$495&gt;=3))*ROW('CONTROL MASTER'!$S$2:$S$495))&gt;0,INDEX('CONTROL MASTER'!$X$2:$X$495,(SUMPRODUCT((('CONTROL MASTER'!$S$2:$S$495=14)*('CONTROL MASTER'!$Z$2:$Z$495&lt;=2)*('CONTROL MASTER'!$AB$2:$AB$495&gt;=2)*('CONTROL MASTER'!$AA$2:$AA$495&lt;=3)*('CONTROL MASTER'!$AC$2:$AC$495&gt;=3))*ROW('CONTROL MASTER'!$S$2:$S$495))-(ROW('CONTROL MASTER'!#REF!)-1)))&amp;TRIM(MID(SUBSTITUTE(SUBSTITUTE(INDEX('CONTROL MASTER'!$N$2:$N$495,(SUMPRODUCT((('CONTROL MASTER'!$S$2:$S$495=14)*('CONTROL MASTER'!$Z$2:$Z$495&lt;=2)*('CONTROL MASTER'!$AB$2:$AB$495&gt;=2)*('CONTROL MASTER'!$AA$2:$AA$495&lt;=3)*('CONTROL MASTER'!$AC$2:$AC$495&gt;=3))*ROW('CONTROL MASTER'!$S$2:$S$495))-(ROW('CONTROL MASTER'!#REF!)-1))),":",","),",",REPT(" ",50)),(((INDEX('CONTROL MASTER'!$Y$2:$Y$495,(SUMPRODUCT((('CONTROL MASTER'!$S$2:$S$495=14)*('CONTROL MASTER'!$Z$2:$Z$495&lt;=2)*('CONTROL MASTER'!$AB$2:$AB$495&gt;=2)*('CONTROL MASTER'!$AA$2:$AA$495&lt;=3)*('CONTROL MASTER'!$AC$2:$AC$495&gt;=3))*ROW('CONTROL MASTER'!$S$2:$S$495))-(ROW('CONTROL MASTER'!#REF!)-1)))+((2-INDEX('CONTROL MASTER'!$Z$2:$Z$495,(SUMPRODUCT((('CONTROL MASTER'!$S$2:$S$495=14)*('CONTROL MASTER'!$Z$2:$Z$495&lt;=2)*('CONTROL MASTER'!$AB$2:$AB$495&gt;=2)*('CONTROL MASTER'!$AA$2:$AA$495&lt;=3)*('CONTROL MASTER'!$AC$2:$AC$495&gt;=3))*ROW('CONTROL MASTER'!$S$2:$S$495))-(ROW('CONTROL MASTER'!#REF!)-1))))*(INDEX('CONTROL MASTER'!$AC$2:$AC$495,(SUMPRODUCT((('CONTROL MASTER'!$S$2:$S$495=14)*('CONTROL MASTER'!$Z$2:$Z$495&lt;=2)*('CONTROL MASTER'!$AB$2:$AB$495&gt;=2)*('CONTROL MASTER'!$AA$2:$AA$495&lt;=3)*('CONTROL MASTER'!$AC$2:$AC$495&gt;=3))*ROW('CONTROL MASTER'!$S$2:$S$495))-(ROW('CONTROL MASTER'!#REF!)-1)))-INDEX('CONTROL MASTER'!$AA$2:$AA$495,(SUMPRODUCT((('CONTROL MASTER'!$S$2:$S$495=14)*('CONTROL MASTER'!$Z$2:$Z$495&lt;=2)*('CONTROL MASTER'!$AB$2:$AB$495&gt;=2)*('CONTROL MASTER'!$AA$2:$AA$495&lt;=3)*('CONTROL MASTER'!$AC$2:$AC$495&gt;=3))*ROW('CONTROL MASTER'!$S$2:$S$495))-(ROW('CONTROL MASTER'!#REF!)-1)))+1)+(3-INDEX('CONTROL MASTER'!$AA$2:$AA$495,(SUMPRODUCT((('CONTROL MASTER'!$S$2:$S$495=14)*('CONTROL MASTER'!$Z$2:$Z$495&lt;=2)*('CONTROL MASTER'!$AB$2:$AB$495&gt;=2)*('CONTROL MASTER'!$AA$2:$AA$495&lt;=3)*('CONTROL MASTER'!$AC$2:$AC$495&gt;=3))*ROW('CONTROL MASTER'!$S$2:$S$495))-(ROW('CONTROL MASTER'!#REF!)-1))))+1)))-1)*50+1,50))&amp;"_"&amp;INDEX('CONTROL MASTER'!$P$2:$P$495,(SUMPRODUCT((('CONTROL MASTER'!$S$2:$S$495=14)*('CONTROL MASTER'!$Z$2:$Z$495&lt;=2)*('CONTROL MASTER'!$AB$2:$AB$495&gt;=2)*('CONTROL MASTER'!$AA$2:$AA$495&lt;=3)*('CONTROL MASTER'!$AC$2:$AC$495&gt;=3))*ROW('CONTROL MASTER'!$S$2:$S$495))-(ROW('CONTROL MASTER'!#REF!)-1))),"")),"")</f>
        <v/>
      </c>
      <c r="E186" s="10" t="str">
        <f>IFERROR(IF(SUMPRODUCT((('CONTROL MASTER'!$S$2:$S$495=14)*('CONTROL MASTER'!$T$2:$T$495&lt;=2)*('CONTROL MASTER'!$V$2:$V$495&gt;=2)*('CONTROL MASTER'!$U$2:$U$495&lt;=4)*('CONTROL MASTER'!$W$2:$W$495&gt;=4))*ROW('CONTROL MASTER'!$S$2:$S$495))&gt;0,INDEX('CONTROL MASTER'!$X$2:$X$495,(SUMPRODUCT((('CONTROL MASTER'!$S$2:$S$495=14)*('CONTROL MASTER'!$T$2:$T$495&lt;=2)*('CONTROL MASTER'!$V$2:$V$495&gt;=2)*('CONTROL MASTER'!$U$2:$U$495&lt;=4)*('CONTROL MASTER'!$W$2:$W$495&gt;=4))*ROW('CONTROL MASTER'!$S$2:$S$495))-(ROW('CONTROL MASTER'!#REF!)-1)))&amp;TRIM(MID(SUBSTITUTE(SUBSTITUTE(INDEX('CONTROL MASTER'!$N$2:$N$495,(SUMPRODUCT((('CONTROL MASTER'!$S$2:$S$495=14)*('CONTROL MASTER'!$T$2:$T$495&lt;=2)*('CONTROL MASTER'!$V$2:$V$495&gt;=2)*('CONTROL MASTER'!$U$2:$U$495&lt;=4)*('CONTROL MASTER'!$W$2:$W$495&gt;=4))*ROW('CONTROL MASTER'!$S$2:$S$495))-(ROW('CONTROL MASTER'!#REF!)-1))),":",","),",",REPT(" ",50)),((((2-INDEX('CONTROL MASTER'!$T$2:$T$495,(SUMPRODUCT((('CONTROL MASTER'!$S$2:$S$495=14)*('CONTROL MASTER'!$T$2:$T$495&lt;=2)*('CONTROL MASTER'!$V$2:$V$495&gt;=2)*('CONTROL MASTER'!$U$2:$U$495&lt;=4)*('CONTROL MASTER'!$W$2:$W$495&gt;=4))*ROW('CONTROL MASTER'!$S$2:$S$495))-(ROW('CONTROL MASTER'!#REF!)-1))))*(INDEX('CONTROL MASTER'!$W$2:$W$495,(SUMPRODUCT((('CONTROL MASTER'!$S$2:$S$495=14)*('CONTROL MASTER'!$T$2:$T$495&lt;=2)*('CONTROL MASTER'!$V$2:$V$495&gt;=2)*('CONTROL MASTER'!$U$2:$U$495&lt;=4)*('CONTROL MASTER'!$W$2:$W$495&gt;=4))*ROW('CONTROL MASTER'!$S$2:$S$495))-(ROW('CONTROL MASTER'!#REF!)-1)))-INDEX('CONTROL MASTER'!$U$2:$U$495,(SUMPRODUCT((('CONTROL MASTER'!$S$2:$S$495=14)*('CONTROL MASTER'!$T$2:$T$495&lt;=2)*('CONTROL MASTER'!$V$2:$V$495&gt;=2)*('CONTROL MASTER'!$U$2:$U$495&lt;=4)*('CONTROL MASTER'!$W$2:$W$495&gt;=4))*ROW('CONTROL MASTER'!$S$2:$S$495))-(ROW('CONTROL MASTER'!#REF!)-1)))+1)+(4-INDEX('CONTROL MASTER'!$U$2:$U$495,(SUMPRODUCT((('CONTROL MASTER'!$S$2:$S$495=14)*('CONTROL MASTER'!$T$2:$T$495&lt;=2)*('CONTROL MASTER'!$V$2:$V$495&gt;=2)*('CONTROL MASTER'!$U$2:$U$495&lt;=4)*('CONTROL MASTER'!$W$2:$W$495&gt;=4))*ROW('CONTROL MASTER'!$S$2:$S$495))-(ROW('CONTROL MASTER'!#REF!)-1))))+1))-1)*50+1,50))&amp;"_"&amp;INDEX('CONTROL MASTER'!$P$2:$P$495,(SUMPRODUCT((('CONTROL MASTER'!$S$2:$S$495=14)*('CONTROL MASTER'!$T$2:$T$495&lt;=2)*('CONTROL MASTER'!$V$2:$V$495&gt;=2)*('CONTROL MASTER'!$U$2:$U$495&lt;=4)*('CONTROL MASTER'!$W$2:$W$495&gt;=4))*ROW('CONTROL MASTER'!$S$2:$S$495))-(ROW('CONTROL MASTER'!#REF!)-1))),IF(SUMPRODUCT((('CONTROL MASTER'!$S$2:$S$495=14)*('CONTROL MASTER'!$Z$2:$Z$495&lt;=2)*('CONTROL MASTER'!$AB$2:$AB$495&gt;=2)*('CONTROL MASTER'!$AA$2:$AA$495&lt;=4)*('CONTROL MASTER'!$AC$2:$AC$495&gt;=4))*ROW('CONTROL MASTER'!$S$2:$S$495))&gt;0,INDEX('CONTROL MASTER'!$X$2:$X$495,(SUMPRODUCT((('CONTROL MASTER'!$S$2:$S$495=14)*('CONTROL MASTER'!$Z$2:$Z$495&lt;=2)*('CONTROL MASTER'!$AB$2:$AB$495&gt;=2)*('CONTROL MASTER'!$AA$2:$AA$495&lt;=4)*('CONTROL MASTER'!$AC$2:$AC$495&gt;=4))*ROW('CONTROL MASTER'!$S$2:$S$495))-(ROW('CONTROL MASTER'!#REF!)-1)))&amp;TRIM(MID(SUBSTITUTE(SUBSTITUTE(INDEX('CONTROL MASTER'!$N$2:$N$495,(SUMPRODUCT((('CONTROL MASTER'!$S$2:$S$495=14)*('CONTROL MASTER'!$Z$2:$Z$495&lt;=2)*('CONTROL MASTER'!$AB$2:$AB$495&gt;=2)*('CONTROL MASTER'!$AA$2:$AA$495&lt;=4)*('CONTROL MASTER'!$AC$2:$AC$495&gt;=4))*ROW('CONTROL MASTER'!$S$2:$S$495))-(ROW('CONTROL MASTER'!#REF!)-1))),":",","),",",REPT(" ",50)),(((INDEX('CONTROL MASTER'!$Y$2:$Y$495,(SUMPRODUCT((('CONTROL MASTER'!$S$2:$S$495=14)*('CONTROL MASTER'!$Z$2:$Z$495&lt;=2)*('CONTROL MASTER'!$AB$2:$AB$495&gt;=2)*('CONTROL MASTER'!$AA$2:$AA$495&lt;=4)*('CONTROL MASTER'!$AC$2:$AC$495&gt;=4))*ROW('CONTROL MASTER'!$S$2:$S$495))-(ROW('CONTROL MASTER'!#REF!)-1)))+((2-INDEX('CONTROL MASTER'!$Z$2:$Z$495,(SUMPRODUCT((('CONTROL MASTER'!$S$2:$S$495=14)*('CONTROL MASTER'!$Z$2:$Z$495&lt;=2)*('CONTROL MASTER'!$AB$2:$AB$495&gt;=2)*('CONTROL MASTER'!$AA$2:$AA$495&lt;=4)*('CONTROL MASTER'!$AC$2:$AC$495&gt;=4))*ROW('CONTROL MASTER'!$S$2:$S$495))-(ROW('CONTROL MASTER'!#REF!)-1))))*(INDEX('CONTROL MASTER'!$AC$2:$AC$495,(SUMPRODUCT((('CONTROL MASTER'!$S$2:$S$495=14)*('CONTROL MASTER'!$Z$2:$Z$495&lt;=2)*('CONTROL MASTER'!$AB$2:$AB$495&gt;=2)*('CONTROL MASTER'!$AA$2:$AA$495&lt;=4)*('CONTROL MASTER'!$AC$2:$AC$495&gt;=4))*ROW('CONTROL MASTER'!$S$2:$S$495))-(ROW('CONTROL MASTER'!#REF!)-1)))-INDEX('CONTROL MASTER'!$AA$2:$AA$495,(SUMPRODUCT((('CONTROL MASTER'!$S$2:$S$495=14)*('CONTROL MASTER'!$Z$2:$Z$495&lt;=2)*('CONTROL MASTER'!$AB$2:$AB$495&gt;=2)*('CONTROL MASTER'!$AA$2:$AA$495&lt;=4)*('CONTROL MASTER'!$AC$2:$AC$495&gt;=4))*ROW('CONTROL MASTER'!$S$2:$S$495))-(ROW('CONTROL MASTER'!#REF!)-1)))+1)+(4-INDEX('CONTROL MASTER'!$AA$2:$AA$495,(SUMPRODUCT((('CONTROL MASTER'!$S$2:$S$495=14)*('CONTROL MASTER'!$Z$2:$Z$495&lt;=2)*('CONTROL MASTER'!$AB$2:$AB$495&gt;=2)*('CONTROL MASTER'!$AA$2:$AA$495&lt;=4)*('CONTROL MASTER'!$AC$2:$AC$495&gt;=4))*ROW('CONTROL MASTER'!$S$2:$S$495))-(ROW('CONTROL MASTER'!#REF!)-1))))+1)))-1)*50+1,50))&amp;"_"&amp;INDEX('CONTROL MASTER'!$P$2:$P$495,(SUMPRODUCT((('CONTROL MASTER'!$S$2:$S$495=14)*('CONTROL MASTER'!$Z$2:$Z$495&lt;=2)*('CONTROL MASTER'!$AB$2:$AB$495&gt;=2)*('CONTROL MASTER'!$AA$2:$AA$495&lt;=4)*('CONTROL MASTER'!$AC$2:$AC$495&gt;=4))*ROW('CONTROL MASTER'!$S$2:$S$495))-(ROW('CONTROL MASTER'!#REF!)-1))),"")),"")</f>
        <v/>
      </c>
      <c r="F186" s="10" t="str">
        <f>IFERROR(IF(SUMPRODUCT((('CONTROL MASTER'!$S$2:$S$495=14)*('CONTROL MASTER'!$T$2:$T$495&lt;=2)*('CONTROL MASTER'!$V$2:$V$495&gt;=2)*('CONTROL MASTER'!$U$2:$U$495&lt;=5)*('CONTROL MASTER'!$W$2:$W$495&gt;=5))*ROW('CONTROL MASTER'!$S$2:$S$495))&gt;0,INDEX('CONTROL MASTER'!$X$2:$X$495,(SUMPRODUCT((('CONTROL MASTER'!$S$2:$S$495=14)*('CONTROL MASTER'!$T$2:$T$495&lt;=2)*('CONTROL MASTER'!$V$2:$V$495&gt;=2)*('CONTROL MASTER'!$U$2:$U$495&lt;=5)*('CONTROL MASTER'!$W$2:$W$495&gt;=5))*ROW('CONTROL MASTER'!$S$2:$S$495))-(ROW('CONTROL MASTER'!#REF!)-1)))&amp;TRIM(MID(SUBSTITUTE(SUBSTITUTE(INDEX('CONTROL MASTER'!$N$2:$N$495,(SUMPRODUCT((('CONTROL MASTER'!$S$2:$S$495=14)*('CONTROL MASTER'!$T$2:$T$495&lt;=2)*('CONTROL MASTER'!$V$2:$V$495&gt;=2)*('CONTROL MASTER'!$U$2:$U$495&lt;=5)*('CONTROL MASTER'!$W$2:$W$495&gt;=5))*ROW('CONTROL MASTER'!$S$2:$S$495))-(ROW('CONTROL MASTER'!#REF!)-1))),":",","),",",REPT(" ",50)),((((2-INDEX('CONTROL MASTER'!$T$2:$T$495,(SUMPRODUCT((('CONTROL MASTER'!$S$2:$S$495=14)*('CONTROL MASTER'!$T$2:$T$495&lt;=2)*('CONTROL MASTER'!$V$2:$V$495&gt;=2)*('CONTROL MASTER'!$U$2:$U$495&lt;=5)*('CONTROL MASTER'!$W$2:$W$495&gt;=5))*ROW('CONTROL MASTER'!$S$2:$S$495))-(ROW('CONTROL MASTER'!#REF!)-1))))*(INDEX('CONTROL MASTER'!$W$2:$W$495,(SUMPRODUCT((('CONTROL MASTER'!$S$2:$S$495=14)*('CONTROL MASTER'!$T$2:$T$495&lt;=2)*('CONTROL MASTER'!$V$2:$V$495&gt;=2)*('CONTROL MASTER'!$U$2:$U$495&lt;=5)*('CONTROL MASTER'!$W$2:$W$495&gt;=5))*ROW('CONTROL MASTER'!$S$2:$S$495))-(ROW('CONTROL MASTER'!#REF!)-1)))-INDEX('CONTROL MASTER'!$U$2:$U$495,(SUMPRODUCT((('CONTROL MASTER'!$S$2:$S$495=14)*('CONTROL MASTER'!$T$2:$T$495&lt;=2)*('CONTROL MASTER'!$V$2:$V$495&gt;=2)*('CONTROL MASTER'!$U$2:$U$495&lt;=5)*('CONTROL MASTER'!$W$2:$W$495&gt;=5))*ROW('CONTROL MASTER'!$S$2:$S$495))-(ROW('CONTROL MASTER'!#REF!)-1)))+1)+(5-INDEX('CONTROL MASTER'!$U$2:$U$495,(SUMPRODUCT((('CONTROL MASTER'!$S$2:$S$495=14)*('CONTROL MASTER'!$T$2:$T$495&lt;=2)*('CONTROL MASTER'!$V$2:$V$495&gt;=2)*('CONTROL MASTER'!$U$2:$U$495&lt;=5)*('CONTROL MASTER'!$W$2:$W$495&gt;=5))*ROW('CONTROL MASTER'!$S$2:$S$495))-(ROW('CONTROL MASTER'!#REF!)-1))))+1))-1)*50+1,50))&amp;"_"&amp;INDEX('CONTROL MASTER'!$P$2:$P$495,(SUMPRODUCT((('CONTROL MASTER'!$S$2:$S$495=14)*('CONTROL MASTER'!$T$2:$T$495&lt;=2)*('CONTROL MASTER'!$V$2:$V$495&gt;=2)*('CONTROL MASTER'!$U$2:$U$495&lt;=5)*('CONTROL MASTER'!$W$2:$W$495&gt;=5))*ROW('CONTROL MASTER'!$S$2:$S$495))-(ROW('CONTROL MASTER'!#REF!)-1))),IF(SUMPRODUCT((('CONTROL MASTER'!$S$2:$S$495=14)*('CONTROL MASTER'!$Z$2:$Z$495&lt;=2)*('CONTROL MASTER'!$AB$2:$AB$495&gt;=2)*('CONTROL MASTER'!$AA$2:$AA$495&lt;=5)*('CONTROL MASTER'!$AC$2:$AC$495&gt;=5))*ROW('CONTROL MASTER'!$S$2:$S$495))&gt;0,INDEX('CONTROL MASTER'!$X$2:$X$495,(SUMPRODUCT((('CONTROL MASTER'!$S$2:$S$495=14)*('CONTROL MASTER'!$Z$2:$Z$495&lt;=2)*('CONTROL MASTER'!$AB$2:$AB$495&gt;=2)*('CONTROL MASTER'!$AA$2:$AA$495&lt;=5)*('CONTROL MASTER'!$AC$2:$AC$495&gt;=5))*ROW('CONTROL MASTER'!$S$2:$S$495))-(ROW('CONTROL MASTER'!#REF!)-1)))&amp;TRIM(MID(SUBSTITUTE(SUBSTITUTE(INDEX('CONTROL MASTER'!$N$2:$N$495,(SUMPRODUCT((('CONTROL MASTER'!$S$2:$S$495=14)*('CONTROL MASTER'!$Z$2:$Z$495&lt;=2)*('CONTROL MASTER'!$AB$2:$AB$495&gt;=2)*('CONTROL MASTER'!$AA$2:$AA$495&lt;=5)*('CONTROL MASTER'!$AC$2:$AC$495&gt;=5))*ROW('CONTROL MASTER'!$S$2:$S$495))-(ROW('CONTROL MASTER'!#REF!)-1))),":",","),",",REPT(" ",50)),(((INDEX('CONTROL MASTER'!$Y$2:$Y$495,(SUMPRODUCT((('CONTROL MASTER'!$S$2:$S$495=14)*('CONTROL MASTER'!$Z$2:$Z$495&lt;=2)*('CONTROL MASTER'!$AB$2:$AB$495&gt;=2)*('CONTROL MASTER'!$AA$2:$AA$495&lt;=5)*('CONTROL MASTER'!$AC$2:$AC$495&gt;=5))*ROW('CONTROL MASTER'!$S$2:$S$495))-(ROW('CONTROL MASTER'!#REF!)-1)))+((2-INDEX('CONTROL MASTER'!$Z$2:$Z$495,(SUMPRODUCT((('CONTROL MASTER'!$S$2:$S$495=14)*('CONTROL MASTER'!$Z$2:$Z$495&lt;=2)*('CONTROL MASTER'!$AB$2:$AB$495&gt;=2)*('CONTROL MASTER'!$AA$2:$AA$495&lt;=5)*('CONTROL MASTER'!$AC$2:$AC$495&gt;=5))*ROW('CONTROL MASTER'!$S$2:$S$495))-(ROW('CONTROL MASTER'!#REF!)-1))))*(INDEX('CONTROL MASTER'!$AC$2:$AC$495,(SUMPRODUCT((('CONTROL MASTER'!$S$2:$S$495=14)*('CONTROL MASTER'!$Z$2:$Z$495&lt;=2)*('CONTROL MASTER'!$AB$2:$AB$495&gt;=2)*('CONTROL MASTER'!$AA$2:$AA$495&lt;=5)*('CONTROL MASTER'!$AC$2:$AC$495&gt;=5))*ROW('CONTROL MASTER'!$S$2:$S$495))-(ROW('CONTROL MASTER'!#REF!)-1)))-INDEX('CONTROL MASTER'!$AA$2:$AA$495,(SUMPRODUCT((('CONTROL MASTER'!$S$2:$S$495=14)*('CONTROL MASTER'!$Z$2:$Z$495&lt;=2)*('CONTROL MASTER'!$AB$2:$AB$495&gt;=2)*('CONTROL MASTER'!$AA$2:$AA$495&lt;=5)*('CONTROL MASTER'!$AC$2:$AC$495&gt;=5))*ROW('CONTROL MASTER'!$S$2:$S$495))-(ROW('CONTROL MASTER'!#REF!)-1)))+1)+(5-INDEX('CONTROL MASTER'!$AA$2:$AA$495,(SUMPRODUCT((('CONTROL MASTER'!$S$2:$S$495=14)*('CONTROL MASTER'!$Z$2:$Z$495&lt;=2)*('CONTROL MASTER'!$AB$2:$AB$495&gt;=2)*('CONTROL MASTER'!$AA$2:$AA$495&lt;=5)*('CONTROL MASTER'!$AC$2:$AC$495&gt;=5))*ROW('CONTROL MASTER'!$S$2:$S$495))-(ROW('CONTROL MASTER'!#REF!)-1))))+1)))-1)*50+1,50))&amp;"_"&amp;INDEX('CONTROL MASTER'!$P$2:$P$495,(SUMPRODUCT((('CONTROL MASTER'!$S$2:$S$495=14)*('CONTROL MASTER'!$Z$2:$Z$495&lt;=2)*('CONTROL MASTER'!$AB$2:$AB$495&gt;=2)*('CONTROL MASTER'!$AA$2:$AA$495&lt;=5)*('CONTROL MASTER'!$AC$2:$AC$495&gt;=5))*ROW('CONTROL MASTER'!$S$2:$S$495))-(ROW('CONTROL MASTER'!#REF!)-1))),"")),"")</f>
        <v/>
      </c>
      <c r="G186" s="10" t="str">
        <f>IFERROR(IF(SUMPRODUCT((('CONTROL MASTER'!$S$2:$S$495=14)*('CONTROL MASTER'!$T$2:$T$495&lt;=2)*('CONTROL MASTER'!$V$2:$V$495&gt;=2)*('CONTROL MASTER'!$U$2:$U$495&lt;=6)*('CONTROL MASTER'!$W$2:$W$495&gt;=6))*ROW('CONTROL MASTER'!$S$2:$S$495))&gt;0,INDEX('CONTROL MASTER'!$X$2:$X$495,(SUMPRODUCT((('CONTROL MASTER'!$S$2:$S$495=14)*('CONTROL MASTER'!$T$2:$T$495&lt;=2)*('CONTROL MASTER'!$V$2:$V$495&gt;=2)*('CONTROL MASTER'!$U$2:$U$495&lt;=6)*('CONTROL MASTER'!$W$2:$W$495&gt;=6))*ROW('CONTROL MASTER'!$S$2:$S$495))-(ROW('CONTROL MASTER'!#REF!)-1)))&amp;TRIM(MID(SUBSTITUTE(SUBSTITUTE(INDEX('CONTROL MASTER'!$N$2:$N$495,(SUMPRODUCT((('CONTROL MASTER'!$S$2:$S$495=14)*('CONTROL MASTER'!$T$2:$T$495&lt;=2)*('CONTROL MASTER'!$V$2:$V$495&gt;=2)*('CONTROL MASTER'!$U$2:$U$495&lt;=6)*('CONTROL MASTER'!$W$2:$W$495&gt;=6))*ROW('CONTROL MASTER'!$S$2:$S$495))-(ROW('CONTROL MASTER'!#REF!)-1))),":",","),",",REPT(" ",50)),((((2-INDEX('CONTROL MASTER'!$T$2:$T$495,(SUMPRODUCT((('CONTROL MASTER'!$S$2:$S$495=14)*('CONTROL MASTER'!$T$2:$T$495&lt;=2)*('CONTROL MASTER'!$V$2:$V$495&gt;=2)*('CONTROL MASTER'!$U$2:$U$495&lt;=6)*('CONTROL MASTER'!$W$2:$W$495&gt;=6))*ROW('CONTROL MASTER'!$S$2:$S$495))-(ROW('CONTROL MASTER'!#REF!)-1))))*(INDEX('CONTROL MASTER'!$W$2:$W$495,(SUMPRODUCT((('CONTROL MASTER'!$S$2:$S$495=14)*('CONTROL MASTER'!$T$2:$T$495&lt;=2)*('CONTROL MASTER'!$V$2:$V$495&gt;=2)*('CONTROL MASTER'!$U$2:$U$495&lt;=6)*('CONTROL MASTER'!$W$2:$W$495&gt;=6))*ROW('CONTROL MASTER'!$S$2:$S$495))-(ROW('CONTROL MASTER'!#REF!)-1)))-INDEX('CONTROL MASTER'!$U$2:$U$495,(SUMPRODUCT((('CONTROL MASTER'!$S$2:$S$495=14)*('CONTROL MASTER'!$T$2:$T$495&lt;=2)*('CONTROL MASTER'!$V$2:$V$495&gt;=2)*('CONTROL MASTER'!$U$2:$U$495&lt;=6)*('CONTROL MASTER'!$W$2:$W$495&gt;=6))*ROW('CONTROL MASTER'!$S$2:$S$495))-(ROW('CONTROL MASTER'!#REF!)-1)))+1)+(6-INDEX('CONTROL MASTER'!$U$2:$U$495,(SUMPRODUCT((('CONTROL MASTER'!$S$2:$S$495=14)*('CONTROL MASTER'!$T$2:$T$495&lt;=2)*('CONTROL MASTER'!$V$2:$V$495&gt;=2)*('CONTROL MASTER'!$U$2:$U$495&lt;=6)*('CONTROL MASTER'!$W$2:$W$495&gt;=6))*ROW('CONTROL MASTER'!$S$2:$S$495))-(ROW('CONTROL MASTER'!#REF!)-1))))+1))-1)*50+1,50))&amp;"_"&amp;INDEX('CONTROL MASTER'!$P$2:$P$495,(SUMPRODUCT((('CONTROL MASTER'!$S$2:$S$495=14)*('CONTROL MASTER'!$T$2:$T$495&lt;=2)*('CONTROL MASTER'!$V$2:$V$495&gt;=2)*('CONTROL MASTER'!$U$2:$U$495&lt;=6)*('CONTROL MASTER'!$W$2:$W$495&gt;=6))*ROW('CONTROL MASTER'!$S$2:$S$495))-(ROW('CONTROL MASTER'!#REF!)-1))),IF(SUMPRODUCT((('CONTROL MASTER'!$S$2:$S$495=14)*('CONTROL MASTER'!$Z$2:$Z$495&lt;=2)*('CONTROL MASTER'!$AB$2:$AB$495&gt;=2)*('CONTROL MASTER'!$AA$2:$AA$495&lt;=6)*('CONTROL MASTER'!$AC$2:$AC$495&gt;=6))*ROW('CONTROL MASTER'!$S$2:$S$495))&gt;0,INDEX('CONTROL MASTER'!$X$2:$X$495,(SUMPRODUCT((('CONTROL MASTER'!$S$2:$S$495=14)*('CONTROL MASTER'!$Z$2:$Z$495&lt;=2)*('CONTROL MASTER'!$AB$2:$AB$495&gt;=2)*('CONTROL MASTER'!$AA$2:$AA$495&lt;=6)*('CONTROL MASTER'!$AC$2:$AC$495&gt;=6))*ROW('CONTROL MASTER'!$S$2:$S$495))-(ROW('CONTROL MASTER'!#REF!)-1)))&amp;TRIM(MID(SUBSTITUTE(SUBSTITUTE(INDEX('CONTROL MASTER'!$N$2:$N$495,(SUMPRODUCT((('CONTROL MASTER'!$S$2:$S$495=14)*('CONTROL MASTER'!$Z$2:$Z$495&lt;=2)*('CONTROL MASTER'!$AB$2:$AB$495&gt;=2)*('CONTROL MASTER'!$AA$2:$AA$495&lt;=6)*('CONTROL MASTER'!$AC$2:$AC$495&gt;=6))*ROW('CONTROL MASTER'!$S$2:$S$495))-(ROW('CONTROL MASTER'!#REF!)-1))),":",","),",",REPT(" ",50)),(((INDEX('CONTROL MASTER'!$Y$2:$Y$495,(SUMPRODUCT((('CONTROL MASTER'!$S$2:$S$495=14)*('CONTROL MASTER'!$Z$2:$Z$495&lt;=2)*('CONTROL MASTER'!$AB$2:$AB$495&gt;=2)*('CONTROL MASTER'!$AA$2:$AA$495&lt;=6)*('CONTROL MASTER'!$AC$2:$AC$495&gt;=6))*ROW('CONTROL MASTER'!$S$2:$S$495))-(ROW('CONTROL MASTER'!#REF!)-1)))+((2-INDEX('CONTROL MASTER'!$Z$2:$Z$495,(SUMPRODUCT((('CONTROL MASTER'!$S$2:$S$495=14)*('CONTROL MASTER'!$Z$2:$Z$495&lt;=2)*('CONTROL MASTER'!$AB$2:$AB$495&gt;=2)*('CONTROL MASTER'!$AA$2:$AA$495&lt;=6)*('CONTROL MASTER'!$AC$2:$AC$495&gt;=6))*ROW('CONTROL MASTER'!$S$2:$S$495))-(ROW('CONTROL MASTER'!#REF!)-1))))*(INDEX('CONTROL MASTER'!$AC$2:$AC$495,(SUMPRODUCT((('CONTROL MASTER'!$S$2:$S$495=14)*('CONTROL MASTER'!$Z$2:$Z$495&lt;=2)*('CONTROL MASTER'!$AB$2:$AB$495&gt;=2)*('CONTROL MASTER'!$AA$2:$AA$495&lt;=6)*('CONTROL MASTER'!$AC$2:$AC$495&gt;=6))*ROW('CONTROL MASTER'!$S$2:$S$495))-(ROW('CONTROL MASTER'!#REF!)-1)))-INDEX('CONTROL MASTER'!$AA$2:$AA$495,(SUMPRODUCT((('CONTROL MASTER'!$S$2:$S$495=14)*('CONTROL MASTER'!$Z$2:$Z$495&lt;=2)*('CONTROL MASTER'!$AB$2:$AB$495&gt;=2)*('CONTROL MASTER'!$AA$2:$AA$495&lt;=6)*('CONTROL MASTER'!$AC$2:$AC$495&gt;=6))*ROW('CONTROL MASTER'!$S$2:$S$495))-(ROW('CONTROL MASTER'!#REF!)-1)))+1)+(6-INDEX('CONTROL MASTER'!$AA$2:$AA$495,(SUMPRODUCT((('CONTROL MASTER'!$S$2:$S$495=14)*('CONTROL MASTER'!$Z$2:$Z$495&lt;=2)*('CONTROL MASTER'!$AB$2:$AB$495&gt;=2)*('CONTROL MASTER'!$AA$2:$AA$495&lt;=6)*('CONTROL MASTER'!$AC$2:$AC$495&gt;=6))*ROW('CONTROL MASTER'!$S$2:$S$495))-(ROW('CONTROL MASTER'!#REF!)-1))))+1)))-1)*50+1,50))&amp;"_"&amp;INDEX('CONTROL MASTER'!$P$2:$P$495,(SUMPRODUCT((('CONTROL MASTER'!$S$2:$S$495=14)*('CONTROL MASTER'!$Z$2:$Z$495&lt;=2)*('CONTROL MASTER'!$AB$2:$AB$495&gt;=2)*('CONTROL MASTER'!$AA$2:$AA$495&lt;=6)*('CONTROL MASTER'!$AC$2:$AC$495&gt;=6))*ROW('CONTROL MASTER'!$S$2:$S$495))-(ROW('CONTROL MASTER'!#REF!)-1))),"")),"")</f>
        <v/>
      </c>
      <c r="H186" s="10" t="str">
        <f>IFERROR(IF(SUMPRODUCT((('CONTROL MASTER'!$S$2:$S$495=14)*('CONTROL MASTER'!$T$2:$T$495&lt;=2)*('CONTROL MASTER'!$V$2:$V$495&gt;=2)*('CONTROL MASTER'!$U$2:$U$495&lt;=7)*('CONTROL MASTER'!$W$2:$W$495&gt;=7))*ROW('CONTROL MASTER'!$S$2:$S$495))&gt;0,INDEX('CONTROL MASTER'!$X$2:$X$495,(SUMPRODUCT((('CONTROL MASTER'!$S$2:$S$495=14)*('CONTROL MASTER'!$T$2:$T$495&lt;=2)*('CONTROL MASTER'!$V$2:$V$495&gt;=2)*('CONTROL MASTER'!$U$2:$U$495&lt;=7)*('CONTROL MASTER'!$W$2:$W$495&gt;=7))*ROW('CONTROL MASTER'!$S$2:$S$495))-(ROW('CONTROL MASTER'!#REF!)-1)))&amp;TRIM(MID(SUBSTITUTE(SUBSTITUTE(INDEX('CONTROL MASTER'!$N$2:$N$495,(SUMPRODUCT((('CONTROL MASTER'!$S$2:$S$495=14)*('CONTROL MASTER'!$T$2:$T$495&lt;=2)*('CONTROL MASTER'!$V$2:$V$495&gt;=2)*('CONTROL MASTER'!$U$2:$U$495&lt;=7)*('CONTROL MASTER'!$W$2:$W$495&gt;=7))*ROW('CONTROL MASTER'!$S$2:$S$495))-(ROW('CONTROL MASTER'!#REF!)-1))),":",","),",",REPT(" ",50)),((((2-INDEX('CONTROL MASTER'!$T$2:$T$495,(SUMPRODUCT((('CONTROL MASTER'!$S$2:$S$495=14)*('CONTROL MASTER'!$T$2:$T$495&lt;=2)*('CONTROL MASTER'!$V$2:$V$495&gt;=2)*('CONTROL MASTER'!$U$2:$U$495&lt;=7)*('CONTROL MASTER'!$W$2:$W$495&gt;=7))*ROW('CONTROL MASTER'!$S$2:$S$495))-(ROW('CONTROL MASTER'!#REF!)-1))))*(INDEX('CONTROL MASTER'!$W$2:$W$495,(SUMPRODUCT((('CONTROL MASTER'!$S$2:$S$495=14)*('CONTROL MASTER'!$T$2:$T$495&lt;=2)*('CONTROL MASTER'!$V$2:$V$495&gt;=2)*('CONTROL MASTER'!$U$2:$U$495&lt;=7)*('CONTROL MASTER'!$W$2:$W$495&gt;=7))*ROW('CONTROL MASTER'!$S$2:$S$495))-(ROW('CONTROL MASTER'!#REF!)-1)))-INDEX('CONTROL MASTER'!$U$2:$U$495,(SUMPRODUCT((('CONTROL MASTER'!$S$2:$S$495=14)*('CONTROL MASTER'!$T$2:$T$495&lt;=2)*('CONTROL MASTER'!$V$2:$V$495&gt;=2)*('CONTROL MASTER'!$U$2:$U$495&lt;=7)*('CONTROL MASTER'!$W$2:$W$495&gt;=7))*ROW('CONTROL MASTER'!$S$2:$S$495))-(ROW('CONTROL MASTER'!#REF!)-1)))+1)+(7-INDEX('CONTROL MASTER'!$U$2:$U$495,(SUMPRODUCT((('CONTROL MASTER'!$S$2:$S$495=14)*('CONTROL MASTER'!$T$2:$T$495&lt;=2)*('CONTROL MASTER'!$V$2:$V$495&gt;=2)*('CONTROL MASTER'!$U$2:$U$495&lt;=7)*('CONTROL MASTER'!$W$2:$W$495&gt;=7))*ROW('CONTROL MASTER'!$S$2:$S$495))-(ROW('CONTROL MASTER'!#REF!)-1))))+1))-1)*50+1,50))&amp;"_"&amp;INDEX('CONTROL MASTER'!$P$2:$P$495,(SUMPRODUCT((('CONTROL MASTER'!$S$2:$S$495=14)*('CONTROL MASTER'!$T$2:$T$495&lt;=2)*('CONTROL MASTER'!$V$2:$V$495&gt;=2)*('CONTROL MASTER'!$U$2:$U$495&lt;=7)*('CONTROL MASTER'!$W$2:$W$495&gt;=7))*ROW('CONTROL MASTER'!$S$2:$S$495))-(ROW('CONTROL MASTER'!#REF!)-1))),IF(SUMPRODUCT((('CONTROL MASTER'!$S$2:$S$495=14)*('CONTROL MASTER'!$Z$2:$Z$495&lt;=2)*('CONTROL MASTER'!$AB$2:$AB$495&gt;=2)*('CONTROL MASTER'!$AA$2:$AA$495&lt;=7)*('CONTROL MASTER'!$AC$2:$AC$495&gt;=7))*ROW('CONTROL MASTER'!$S$2:$S$495))&gt;0,INDEX('CONTROL MASTER'!$X$2:$X$495,(SUMPRODUCT((('CONTROL MASTER'!$S$2:$S$495=14)*('CONTROL MASTER'!$Z$2:$Z$495&lt;=2)*('CONTROL MASTER'!$AB$2:$AB$495&gt;=2)*('CONTROL MASTER'!$AA$2:$AA$495&lt;=7)*('CONTROL MASTER'!$AC$2:$AC$495&gt;=7))*ROW('CONTROL MASTER'!$S$2:$S$495))-(ROW('CONTROL MASTER'!#REF!)-1)))&amp;TRIM(MID(SUBSTITUTE(SUBSTITUTE(INDEX('CONTROL MASTER'!$N$2:$N$495,(SUMPRODUCT((('CONTROL MASTER'!$S$2:$S$495=14)*('CONTROL MASTER'!$Z$2:$Z$495&lt;=2)*('CONTROL MASTER'!$AB$2:$AB$495&gt;=2)*('CONTROL MASTER'!$AA$2:$AA$495&lt;=7)*('CONTROL MASTER'!$AC$2:$AC$495&gt;=7))*ROW('CONTROL MASTER'!$S$2:$S$495))-(ROW('CONTROL MASTER'!#REF!)-1))),":",","),",",REPT(" ",50)),(((INDEX('CONTROL MASTER'!$Y$2:$Y$495,(SUMPRODUCT((('CONTROL MASTER'!$S$2:$S$495=14)*('CONTROL MASTER'!$Z$2:$Z$495&lt;=2)*('CONTROL MASTER'!$AB$2:$AB$495&gt;=2)*('CONTROL MASTER'!$AA$2:$AA$495&lt;=7)*('CONTROL MASTER'!$AC$2:$AC$495&gt;=7))*ROW('CONTROL MASTER'!$S$2:$S$495))-(ROW('CONTROL MASTER'!#REF!)-1)))+((2-INDEX('CONTROL MASTER'!$Z$2:$Z$495,(SUMPRODUCT((('CONTROL MASTER'!$S$2:$S$495=14)*('CONTROL MASTER'!$Z$2:$Z$495&lt;=2)*('CONTROL MASTER'!$AB$2:$AB$495&gt;=2)*('CONTROL MASTER'!$AA$2:$AA$495&lt;=7)*('CONTROL MASTER'!$AC$2:$AC$495&gt;=7))*ROW('CONTROL MASTER'!$S$2:$S$495))-(ROW('CONTROL MASTER'!#REF!)-1))))*(INDEX('CONTROL MASTER'!$AC$2:$AC$495,(SUMPRODUCT((('CONTROL MASTER'!$S$2:$S$495=14)*('CONTROL MASTER'!$Z$2:$Z$495&lt;=2)*('CONTROL MASTER'!$AB$2:$AB$495&gt;=2)*('CONTROL MASTER'!$AA$2:$AA$495&lt;=7)*('CONTROL MASTER'!$AC$2:$AC$495&gt;=7))*ROW('CONTROL MASTER'!$S$2:$S$495))-(ROW('CONTROL MASTER'!#REF!)-1)))-INDEX('CONTROL MASTER'!$AA$2:$AA$495,(SUMPRODUCT((('CONTROL MASTER'!$S$2:$S$495=14)*('CONTROL MASTER'!$Z$2:$Z$495&lt;=2)*('CONTROL MASTER'!$AB$2:$AB$495&gt;=2)*('CONTROL MASTER'!$AA$2:$AA$495&lt;=7)*('CONTROL MASTER'!$AC$2:$AC$495&gt;=7))*ROW('CONTROL MASTER'!$S$2:$S$495))-(ROW('CONTROL MASTER'!#REF!)-1)))+1)+(7-INDEX('CONTROL MASTER'!$AA$2:$AA$495,(SUMPRODUCT((('CONTROL MASTER'!$S$2:$S$495=14)*('CONTROL MASTER'!$Z$2:$Z$495&lt;=2)*('CONTROL MASTER'!$AB$2:$AB$495&gt;=2)*('CONTROL MASTER'!$AA$2:$AA$495&lt;=7)*('CONTROL MASTER'!$AC$2:$AC$495&gt;=7))*ROW('CONTROL MASTER'!$S$2:$S$495))-(ROW('CONTROL MASTER'!#REF!)-1))))+1)))-1)*50+1,50))&amp;"_"&amp;INDEX('CONTROL MASTER'!$P$2:$P$495,(SUMPRODUCT((('CONTROL MASTER'!$S$2:$S$495=14)*('CONTROL MASTER'!$Z$2:$Z$495&lt;=2)*('CONTROL MASTER'!$AB$2:$AB$495&gt;=2)*('CONTROL MASTER'!$AA$2:$AA$495&lt;=7)*('CONTROL MASTER'!$AC$2:$AC$495&gt;=7))*ROW('CONTROL MASTER'!$S$2:$S$495))-(ROW('CONTROL MASTER'!#REF!)-1))),"")),"")</f>
        <v/>
      </c>
      <c r="I186" s="10" t="str">
        <f>IFERROR(IF(SUMPRODUCT((('CONTROL MASTER'!$S$2:$S$495=14)*('CONTROL MASTER'!$T$2:$T$495&lt;=2)*('CONTROL MASTER'!$V$2:$V$495&gt;=2)*('CONTROL MASTER'!$U$2:$U$495&lt;=8)*('CONTROL MASTER'!$W$2:$W$495&gt;=8))*ROW('CONTROL MASTER'!$S$2:$S$495))&gt;0,INDEX('CONTROL MASTER'!$X$2:$X$495,(SUMPRODUCT((('CONTROL MASTER'!$S$2:$S$495=14)*('CONTROL MASTER'!$T$2:$T$495&lt;=2)*('CONTROL MASTER'!$V$2:$V$495&gt;=2)*('CONTROL MASTER'!$U$2:$U$495&lt;=8)*('CONTROL MASTER'!$W$2:$W$495&gt;=8))*ROW('CONTROL MASTER'!$S$2:$S$495))-(ROW('CONTROL MASTER'!#REF!)-1)))&amp;TRIM(MID(SUBSTITUTE(SUBSTITUTE(INDEX('CONTROL MASTER'!$N$2:$N$495,(SUMPRODUCT((('CONTROL MASTER'!$S$2:$S$495=14)*('CONTROL MASTER'!$T$2:$T$495&lt;=2)*('CONTROL MASTER'!$V$2:$V$495&gt;=2)*('CONTROL MASTER'!$U$2:$U$495&lt;=8)*('CONTROL MASTER'!$W$2:$W$495&gt;=8))*ROW('CONTROL MASTER'!$S$2:$S$495))-(ROW('CONTROL MASTER'!#REF!)-1))),":",","),",",REPT(" ",50)),((((2-INDEX('CONTROL MASTER'!$T$2:$T$495,(SUMPRODUCT((('CONTROL MASTER'!$S$2:$S$495=14)*('CONTROL MASTER'!$T$2:$T$495&lt;=2)*('CONTROL MASTER'!$V$2:$V$495&gt;=2)*('CONTROL MASTER'!$U$2:$U$495&lt;=8)*('CONTROL MASTER'!$W$2:$W$495&gt;=8))*ROW('CONTROL MASTER'!$S$2:$S$495))-(ROW('CONTROL MASTER'!#REF!)-1))))*(INDEX('CONTROL MASTER'!$W$2:$W$495,(SUMPRODUCT((('CONTROL MASTER'!$S$2:$S$495=14)*('CONTROL MASTER'!$T$2:$T$495&lt;=2)*('CONTROL MASTER'!$V$2:$V$495&gt;=2)*('CONTROL MASTER'!$U$2:$U$495&lt;=8)*('CONTROL MASTER'!$W$2:$W$495&gt;=8))*ROW('CONTROL MASTER'!$S$2:$S$495))-(ROW('CONTROL MASTER'!#REF!)-1)))-INDEX('CONTROL MASTER'!$U$2:$U$495,(SUMPRODUCT((('CONTROL MASTER'!$S$2:$S$495=14)*('CONTROL MASTER'!$T$2:$T$495&lt;=2)*('CONTROL MASTER'!$V$2:$V$495&gt;=2)*('CONTROL MASTER'!$U$2:$U$495&lt;=8)*('CONTROL MASTER'!$W$2:$W$495&gt;=8))*ROW('CONTROL MASTER'!$S$2:$S$495))-(ROW('CONTROL MASTER'!#REF!)-1)))+1)+(8-INDEX('CONTROL MASTER'!$U$2:$U$495,(SUMPRODUCT((('CONTROL MASTER'!$S$2:$S$495=14)*('CONTROL MASTER'!$T$2:$T$495&lt;=2)*('CONTROL MASTER'!$V$2:$V$495&gt;=2)*('CONTROL MASTER'!$U$2:$U$495&lt;=8)*('CONTROL MASTER'!$W$2:$W$495&gt;=8))*ROW('CONTROL MASTER'!$S$2:$S$495))-(ROW('CONTROL MASTER'!#REF!)-1))))+1))-1)*50+1,50))&amp;"_"&amp;INDEX('CONTROL MASTER'!$P$2:$P$495,(SUMPRODUCT((('CONTROL MASTER'!$S$2:$S$495=14)*('CONTROL MASTER'!$T$2:$T$495&lt;=2)*('CONTROL MASTER'!$V$2:$V$495&gt;=2)*('CONTROL MASTER'!$U$2:$U$495&lt;=8)*('CONTROL MASTER'!$W$2:$W$495&gt;=8))*ROW('CONTROL MASTER'!$S$2:$S$495))-(ROW('CONTROL MASTER'!#REF!)-1))),IF(SUMPRODUCT((('CONTROL MASTER'!$S$2:$S$495=14)*('CONTROL MASTER'!$Z$2:$Z$495&lt;=2)*('CONTROL MASTER'!$AB$2:$AB$495&gt;=2)*('CONTROL MASTER'!$AA$2:$AA$495&lt;=8)*('CONTROL MASTER'!$AC$2:$AC$495&gt;=8))*ROW('CONTROL MASTER'!$S$2:$S$495))&gt;0,INDEX('CONTROL MASTER'!$X$2:$X$495,(SUMPRODUCT((('CONTROL MASTER'!$S$2:$S$495=14)*('CONTROL MASTER'!$Z$2:$Z$495&lt;=2)*('CONTROL MASTER'!$AB$2:$AB$495&gt;=2)*('CONTROL MASTER'!$AA$2:$AA$495&lt;=8)*('CONTROL MASTER'!$AC$2:$AC$495&gt;=8))*ROW('CONTROL MASTER'!$S$2:$S$495))-(ROW('CONTROL MASTER'!#REF!)-1)))&amp;TRIM(MID(SUBSTITUTE(SUBSTITUTE(INDEX('CONTROL MASTER'!$N$2:$N$495,(SUMPRODUCT((('CONTROL MASTER'!$S$2:$S$495=14)*('CONTROL MASTER'!$Z$2:$Z$495&lt;=2)*('CONTROL MASTER'!$AB$2:$AB$495&gt;=2)*('CONTROL MASTER'!$AA$2:$AA$495&lt;=8)*('CONTROL MASTER'!$AC$2:$AC$495&gt;=8))*ROW('CONTROL MASTER'!$S$2:$S$495))-(ROW('CONTROL MASTER'!#REF!)-1))),":",","),",",REPT(" ",50)),(((INDEX('CONTROL MASTER'!$Y$2:$Y$495,(SUMPRODUCT((('CONTROL MASTER'!$S$2:$S$495=14)*('CONTROL MASTER'!$Z$2:$Z$495&lt;=2)*('CONTROL MASTER'!$AB$2:$AB$495&gt;=2)*('CONTROL MASTER'!$AA$2:$AA$495&lt;=8)*('CONTROL MASTER'!$AC$2:$AC$495&gt;=8))*ROW('CONTROL MASTER'!$S$2:$S$495))-(ROW('CONTROL MASTER'!#REF!)-1)))+((2-INDEX('CONTROL MASTER'!$Z$2:$Z$495,(SUMPRODUCT((('CONTROL MASTER'!$S$2:$S$495=14)*('CONTROL MASTER'!$Z$2:$Z$495&lt;=2)*('CONTROL MASTER'!$AB$2:$AB$495&gt;=2)*('CONTROL MASTER'!$AA$2:$AA$495&lt;=8)*('CONTROL MASTER'!$AC$2:$AC$495&gt;=8))*ROW('CONTROL MASTER'!$S$2:$S$495))-(ROW('CONTROL MASTER'!#REF!)-1))))*(INDEX('CONTROL MASTER'!$AC$2:$AC$495,(SUMPRODUCT((('CONTROL MASTER'!$S$2:$S$495=14)*('CONTROL MASTER'!$Z$2:$Z$495&lt;=2)*('CONTROL MASTER'!$AB$2:$AB$495&gt;=2)*('CONTROL MASTER'!$AA$2:$AA$495&lt;=8)*('CONTROL MASTER'!$AC$2:$AC$495&gt;=8))*ROW('CONTROL MASTER'!$S$2:$S$495))-(ROW('CONTROL MASTER'!#REF!)-1)))-INDEX('CONTROL MASTER'!$AA$2:$AA$495,(SUMPRODUCT((('CONTROL MASTER'!$S$2:$S$495=14)*('CONTROL MASTER'!$Z$2:$Z$495&lt;=2)*('CONTROL MASTER'!$AB$2:$AB$495&gt;=2)*('CONTROL MASTER'!$AA$2:$AA$495&lt;=8)*('CONTROL MASTER'!$AC$2:$AC$495&gt;=8))*ROW('CONTROL MASTER'!$S$2:$S$495))-(ROW('CONTROL MASTER'!#REF!)-1)))+1)+(8-INDEX('CONTROL MASTER'!$AA$2:$AA$495,(SUMPRODUCT((('CONTROL MASTER'!$S$2:$S$495=14)*('CONTROL MASTER'!$Z$2:$Z$495&lt;=2)*('CONTROL MASTER'!$AB$2:$AB$495&gt;=2)*('CONTROL MASTER'!$AA$2:$AA$495&lt;=8)*('CONTROL MASTER'!$AC$2:$AC$495&gt;=8))*ROW('CONTROL MASTER'!$S$2:$S$495))-(ROW('CONTROL MASTER'!#REF!)-1))))+1)))-1)*50+1,50))&amp;"_"&amp;INDEX('CONTROL MASTER'!$P$2:$P$495,(SUMPRODUCT((('CONTROL MASTER'!$S$2:$S$495=14)*('CONTROL MASTER'!$Z$2:$Z$495&lt;=2)*('CONTROL MASTER'!$AB$2:$AB$495&gt;=2)*('CONTROL MASTER'!$AA$2:$AA$495&lt;=8)*('CONTROL MASTER'!$AC$2:$AC$495&gt;=8))*ROW('CONTROL MASTER'!$S$2:$S$495))-(ROW('CONTROL MASTER'!#REF!)-1))),"")),"")</f>
        <v/>
      </c>
      <c r="J186" s="10" t="str">
        <f>IFERROR(IF(SUMPRODUCT((('CONTROL MASTER'!$S$2:$S$495=14)*('CONTROL MASTER'!$T$2:$T$495&lt;=2)*('CONTROL MASTER'!$V$2:$V$495&gt;=2)*('CONTROL MASTER'!$U$2:$U$495&lt;=9)*('CONTROL MASTER'!$W$2:$W$495&gt;=9))*ROW('CONTROL MASTER'!$S$2:$S$495))&gt;0,INDEX('CONTROL MASTER'!$X$2:$X$495,(SUMPRODUCT((('CONTROL MASTER'!$S$2:$S$495=14)*('CONTROL MASTER'!$T$2:$T$495&lt;=2)*('CONTROL MASTER'!$V$2:$V$495&gt;=2)*('CONTROL MASTER'!$U$2:$U$495&lt;=9)*('CONTROL MASTER'!$W$2:$W$495&gt;=9))*ROW('CONTROL MASTER'!$S$2:$S$495))-(ROW('CONTROL MASTER'!#REF!)-1)))&amp;TRIM(MID(SUBSTITUTE(SUBSTITUTE(INDEX('CONTROL MASTER'!$N$2:$N$495,(SUMPRODUCT((('CONTROL MASTER'!$S$2:$S$495=14)*('CONTROL MASTER'!$T$2:$T$495&lt;=2)*('CONTROL MASTER'!$V$2:$V$495&gt;=2)*('CONTROL MASTER'!$U$2:$U$495&lt;=9)*('CONTROL MASTER'!$W$2:$W$495&gt;=9))*ROW('CONTROL MASTER'!$S$2:$S$495))-(ROW('CONTROL MASTER'!#REF!)-1))),":",","),",",REPT(" ",50)),((((2-INDEX('CONTROL MASTER'!$T$2:$T$495,(SUMPRODUCT((('CONTROL MASTER'!$S$2:$S$495=14)*('CONTROL MASTER'!$T$2:$T$495&lt;=2)*('CONTROL MASTER'!$V$2:$V$495&gt;=2)*('CONTROL MASTER'!$U$2:$U$495&lt;=9)*('CONTROL MASTER'!$W$2:$W$495&gt;=9))*ROW('CONTROL MASTER'!$S$2:$S$495))-(ROW('CONTROL MASTER'!#REF!)-1))))*(INDEX('CONTROL MASTER'!$W$2:$W$495,(SUMPRODUCT((('CONTROL MASTER'!$S$2:$S$495=14)*('CONTROL MASTER'!$T$2:$T$495&lt;=2)*('CONTROL MASTER'!$V$2:$V$495&gt;=2)*('CONTROL MASTER'!$U$2:$U$495&lt;=9)*('CONTROL MASTER'!$W$2:$W$495&gt;=9))*ROW('CONTROL MASTER'!$S$2:$S$495))-(ROW('CONTROL MASTER'!#REF!)-1)))-INDEX('CONTROL MASTER'!$U$2:$U$495,(SUMPRODUCT((('CONTROL MASTER'!$S$2:$S$495=14)*('CONTROL MASTER'!$T$2:$T$495&lt;=2)*('CONTROL MASTER'!$V$2:$V$495&gt;=2)*('CONTROL MASTER'!$U$2:$U$495&lt;=9)*('CONTROL MASTER'!$W$2:$W$495&gt;=9))*ROW('CONTROL MASTER'!$S$2:$S$495))-(ROW('CONTROL MASTER'!#REF!)-1)))+1)+(9-INDEX('CONTROL MASTER'!$U$2:$U$495,(SUMPRODUCT((('CONTROL MASTER'!$S$2:$S$495=14)*('CONTROL MASTER'!$T$2:$T$495&lt;=2)*('CONTROL MASTER'!$V$2:$V$495&gt;=2)*('CONTROL MASTER'!$U$2:$U$495&lt;=9)*('CONTROL MASTER'!$W$2:$W$495&gt;=9))*ROW('CONTROL MASTER'!$S$2:$S$495))-(ROW('CONTROL MASTER'!#REF!)-1))))+1))-1)*50+1,50))&amp;"_"&amp;INDEX('CONTROL MASTER'!$P$2:$P$495,(SUMPRODUCT((('CONTROL MASTER'!$S$2:$S$495=14)*('CONTROL MASTER'!$T$2:$T$495&lt;=2)*('CONTROL MASTER'!$V$2:$V$495&gt;=2)*('CONTROL MASTER'!$U$2:$U$495&lt;=9)*('CONTROL MASTER'!$W$2:$W$495&gt;=9))*ROW('CONTROL MASTER'!$S$2:$S$495))-(ROW('CONTROL MASTER'!#REF!)-1))),IF(SUMPRODUCT((('CONTROL MASTER'!$S$2:$S$495=14)*('CONTROL MASTER'!$Z$2:$Z$495&lt;=2)*('CONTROL MASTER'!$AB$2:$AB$495&gt;=2)*('CONTROL MASTER'!$AA$2:$AA$495&lt;=9)*('CONTROL MASTER'!$AC$2:$AC$495&gt;=9))*ROW('CONTROL MASTER'!$S$2:$S$495))&gt;0,INDEX('CONTROL MASTER'!$X$2:$X$495,(SUMPRODUCT((('CONTROL MASTER'!$S$2:$S$495=14)*('CONTROL MASTER'!$Z$2:$Z$495&lt;=2)*('CONTROL MASTER'!$AB$2:$AB$495&gt;=2)*('CONTROL MASTER'!$AA$2:$AA$495&lt;=9)*('CONTROL MASTER'!$AC$2:$AC$495&gt;=9))*ROW('CONTROL MASTER'!$S$2:$S$495))-(ROW('CONTROL MASTER'!#REF!)-1)))&amp;TRIM(MID(SUBSTITUTE(SUBSTITUTE(INDEX('CONTROL MASTER'!$N$2:$N$495,(SUMPRODUCT((('CONTROL MASTER'!$S$2:$S$495=14)*('CONTROL MASTER'!$Z$2:$Z$495&lt;=2)*('CONTROL MASTER'!$AB$2:$AB$495&gt;=2)*('CONTROL MASTER'!$AA$2:$AA$495&lt;=9)*('CONTROL MASTER'!$AC$2:$AC$495&gt;=9))*ROW('CONTROL MASTER'!$S$2:$S$495))-(ROW('CONTROL MASTER'!#REF!)-1))),":",","),",",REPT(" ",50)),(((INDEX('CONTROL MASTER'!$Y$2:$Y$495,(SUMPRODUCT((('CONTROL MASTER'!$S$2:$S$495=14)*('CONTROL MASTER'!$Z$2:$Z$495&lt;=2)*('CONTROL MASTER'!$AB$2:$AB$495&gt;=2)*('CONTROL MASTER'!$AA$2:$AA$495&lt;=9)*('CONTROL MASTER'!$AC$2:$AC$495&gt;=9))*ROW('CONTROL MASTER'!$S$2:$S$495))-(ROW('CONTROL MASTER'!#REF!)-1)))+((2-INDEX('CONTROL MASTER'!$Z$2:$Z$495,(SUMPRODUCT((('CONTROL MASTER'!$S$2:$S$495=14)*('CONTROL MASTER'!$Z$2:$Z$495&lt;=2)*('CONTROL MASTER'!$AB$2:$AB$495&gt;=2)*('CONTROL MASTER'!$AA$2:$AA$495&lt;=9)*('CONTROL MASTER'!$AC$2:$AC$495&gt;=9))*ROW('CONTROL MASTER'!$S$2:$S$495))-(ROW('CONTROL MASTER'!#REF!)-1))))*(INDEX('CONTROL MASTER'!$AC$2:$AC$495,(SUMPRODUCT((('CONTROL MASTER'!$S$2:$S$495=14)*('CONTROL MASTER'!$Z$2:$Z$495&lt;=2)*('CONTROL MASTER'!$AB$2:$AB$495&gt;=2)*('CONTROL MASTER'!$AA$2:$AA$495&lt;=9)*('CONTROL MASTER'!$AC$2:$AC$495&gt;=9))*ROW('CONTROL MASTER'!$S$2:$S$495))-(ROW('CONTROL MASTER'!#REF!)-1)))-INDEX('CONTROL MASTER'!$AA$2:$AA$495,(SUMPRODUCT((('CONTROL MASTER'!$S$2:$S$495=14)*('CONTROL MASTER'!$Z$2:$Z$495&lt;=2)*('CONTROL MASTER'!$AB$2:$AB$495&gt;=2)*('CONTROL MASTER'!$AA$2:$AA$495&lt;=9)*('CONTROL MASTER'!$AC$2:$AC$495&gt;=9))*ROW('CONTROL MASTER'!$S$2:$S$495))-(ROW('CONTROL MASTER'!#REF!)-1)))+1)+(9-INDEX('CONTROL MASTER'!$AA$2:$AA$495,(SUMPRODUCT((('CONTROL MASTER'!$S$2:$S$495=14)*('CONTROL MASTER'!$Z$2:$Z$495&lt;=2)*('CONTROL MASTER'!$AB$2:$AB$495&gt;=2)*('CONTROL MASTER'!$AA$2:$AA$495&lt;=9)*('CONTROL MASTER'!$AC$2:$AC$495&gt;=9))*ROW('CONTROL MASTER'!$S$2:$S$495))-(ROW('CONTROL MASTER'!#REF!)-1))))+1)))-1)*50+1,50))&amp;"_"&amp;INDEX('CONTROL MASTER'!$P$2:$P$495,(SUMPRODUCT((('CONTROL MASTER'!$S$2:$S$495=14)*('CONTROL MASTER'!$Z$2:$Z$495&lt;=2)*('CONTROL MASTER'!$AB$2:$AB$495&gt;=2)*('CONTROL MASTER'!$AA$2:$AA$495&lt;=9)*('CONTROL MASTER'!$AC$2:$AC$495&gt;=9))*ROW('CONTROL MASTER'!$S$2:$S$495))-(ROW('CONTROL MASTER'!#REF!)-1))),"")),"")</f>
        <v/>
      </c>
      <c r="K186" s="10" t="str">
        <f>IFERROR(IF(SUMPRODUCT((('CONTROL MASTER'!$S$2:$S$495=14)*('CONTROL MASTER'!$T$2:$T$495&lt;=2)*('CONTROL MASTER'!$V$2:$V$495&gt;=2)*('CONTROL MASTER'!$U$2:$U$495&lt;=10)*('CONTROL MASTER'!$W$2:$W$495&gt;=10))*ROW('CONTROL MASTER'!$S$2:$S$495))&gt;0,INDEX('CONTROL MASTER'!$X$2:$X$495,(SUMPRODUCT((('CONTROL MASTER'!$S$2:$S$495=14)*('CONTROL MASTER'!$T$2:$T$495&lt;=2)*('CONTROL MASTER'!$V$2:$V$495&gt;=2)*('CONTROL MASTER'!$U$2:$U$495&lt;=10)*('CONTROL MASTER'!$W$2:$W$495&gt;=10))*ROW('CONTROL MASTER'!$S$2:$S$495))-(ROW('CONTROL MASTER'!#REF!)-1)))&amp;TRIM(MID(SUBSTITUTE(SUBSTITUTE(INDEX('CONTROL MASTER'!$N$2:$N$495,(SUMPRODUCT((('CONTROL MASTER'!$S$2:$S$495=14)*('CONTROL MASTER'!$T$2:$T$495&lt;=2)*('CONTROL MASTER'!$V$2:$V$495&gt;=2)*('CONTROL MASTER'!$U$2:$U$495&lt;=10)*('CONTROL MASTER'!$W$2:$W$495&gt;=10))*ROW('CONTROL MASTER'!$S$2:$S$495))-(ROW('CONTROL MASTER'!#REF!)-1))),":",","),",",REPT(" ",50)),((((2-INDEX('CONTROL MASTER'!$T$2:$T$495,(SUMPRODUCT((('CONTROL MASTER'!$S$2:$S$495=14)*('CONTROL MASTER'!$T$2:$T$495&lt;=2)*('CONTROL MASTER'!$V$2:$V$495&gt;=2)*('CONTROL MASTER'!$U$2:$U$495&lt;=10)*('CONTROL MASTER'!$W$2:$W$495&gt;=10))*ROW('CONTROL MASTER'!$S$2:$S$495))-(ROW('CONTROL MASTER'!#REF!)-1))))*(INDEX('CONTROL MASTER'!$W$2:$W$495,(SUMPRODUCT((('CONTROL MASTER'!$S$2:$S$495=14)*('CONTROL MASTER'!$T$2:$T$495&lt;=2)*('CONTROL MASTER'!$V$2:$V$495&gt;=2)*('CONTROL MASTER'!$U$2:$U$495&lt;=10)*('CONTROL MASTER'!$W$2:$W$495&gt;=10))*ROW('CONTROL MASTER'!$S$2:$S$495))-(ROW('CONTROL MASTER'!#REF!)-1)))-INDEX('CONTROL MASTER'!$U$2:$U$495,(SUMPRODUCT((('CONTROL MASTER'!$S$2:$S$495=14)*('CONTROL MASTER'!$T$2:$T$495&lt;=2)*('CONTROL MASTER'!$V$2:$V$495&gt;=2)*('CONTROL MASTER'!$U$2:$U$495&lt;=10)*('CONTROL MASTER'!$W$2:$W$495&gt;=10))*ROW('CONTROL MASTER'!$S$2:$S$495))-(ROW('CONTROL MASTER'!#REF!)-1)))+1)+(10-INDEX('CONTROL MASTER'!$U$2:$U$495,(SUMPRODUCT((('CONTROL MASTER'!$S$2:$S$495=14)*('CONTROL MASTER'!$T$2:$T$495&lt;=2)*('CONTROL MASTER'!$V$2:$V$495&gt;=2)*('CONTROL MASTER'!$U$2:$U$495&lt;=10)*('CONTROL MASTER'!$W$2:$W$495&gt;=10))*ROW('CONTROL MASTER'!$S$2:$S$495))-(ROW('CONTROL MASTER'!#REF!)-1))))+1))-1)*50+1,50))&amp;"_"&amp;INDEX('CONTROL MASTER'!$P$2:$P$495,(SUMPRODUCT((('CONTROL MASTER'!$S$2:$S$495=14)*('CONTROL MASTER'!$T$2:$T$495&lt;=2)*('CONTROL MASTER'!$V$2:$V$495&gt;=2)*('CONTROL MASTER'!$U$2:$U$495&lt;=10)*('CONTROL MASTER'!$W$2:$W$495&gt;=10))*ROW('CONTROL MASTER'!$S$2:$S$495))-(ROW('CONTROL MASTER'!#REF!)-1))),IF(SUMPRODUCT((('CONTROL MASTER'!$S$2:$S$495=14)*('CONTROL MASTER'!$Z$2:$Z$495&lt;=2)*('CONTROL MASTER'!$AB$2:$AB$495&gt;=2)*('CONTROL MASTER'!$AA$2:$AA$495&lt;=10)*('CONTROL MASTER'!$AC$2:$AC$495&gt;=10))*ROW('CONTROL MASTER'!$S$2:$S$495))&gt;0,INDEX('CONTROL MASTER'!$X$2:$X$495,(SUMPRODUCT((('CONTROL MASTER'!$S$2:$S$495=14)*('CONTROL MASTER'!$Z$2:$Z$495&lt;=2)*('CONTROL MASTER'!$AB$2:$AB$495&gt;=2)*('CONTROL MASTER'!$AA$2:$AA$495&lt;=10)*('CONTROL MASTER'!$AC$2:$AC$495&gt;=10))*ROW('CONTROL MASTER'!$S$2:$S$495))-(ROW('CONTROL MASTER'!#REF!)-1)))&amp;TRIM(MID(SUBSTITUTE(SUBSTITUTE(INDEX('CONTROL MASTER'!$N$2:$N$495,(SUMPRODUCT((('CONTROL MASTER'!$S$2:$S$495=14)*('CONTROL MASTER'!$Z$2:$Z$495&lt;=2)*('CONTROL MASTER'!$AB$2:$AB$495&gt;=2)*('CONTROL MASTER'!$AA$2:$AA$495&lt;=10)*('CONTROL MASTER'!$AC$2:$AC$495&gt;=10))*ROW('CONTROL MASTER'!$S$2:$S$495))-(ROW('CONTROL MASTER'!#REF!)-1))),":",","),",",REPT(" ",50)),(((INDEX('CONTROL MASTER'!$Y$2:$Y$495,(SUMPRODUCT((('CONTROL MASTER'!$S$2:$S$495=14)*('CONTROL MASTER'!$Z$2:$Z$495&lt;=2)*('CONTROL MASTER'!$AB$2:$AB$495&gt;=2)*('CONTROL MASTER'!$AA$2:$AA$495&lt;=10)*('CONTROL MASTER'!$AC$2:$AC$495&gt;=10))*ROW('CONTROL MASTER'!$S$2:$S$495))-(ROW('CONTROL MASTER'!#REF!)-1)))+((2-INDEX('CONTROL MASTER'!$Z$2:$Z$495,(SUMPRODUCT((('CONTROL MASTER'!$S$2:$S$495=14)*('CONTROL MASTER'!$Z$2:$Z$495&lt;=2)*('CONTROL MASTER'!$AB$2:$AB$495&gt;=2)*('CONTROL MASTER'!$AA$2:$AA$495&lt;=10)*('CONTROL MASTER'!$AC$2:$AC$495&gt;=10))*ROW('CONTROL MASTER'!$S$2:$S$495))-(ROW('CONTROL MASTER'!#REF!)-1))))*(INDEX('CONTROL MASTER'!$AC$2:$AC$495,(SUMPRODUCT((('CONTROL MASTER'!$S$2:$S$495=14)*('CONTROL MASTER'!$Z$2:$Z$495&lt;=2)*('CONTROL MASTER'!$AB$2:$AB$495&gt;=2)*('CONTROL MASTER'!$AA$2:$AA$495&lt;=10)*('CONTROL MASTER'!$AC$2:$AC$495&gt;=10))*ROW('CONTROL MASTER'!$S$2:$S$495))-(ROW('CONTROL MASTER'!#REF!)-1)))-INDEX('CONTROL MASTER'!$AA$2:$AA$495,(SUMPRODUCT((('CONTROL MASTER'!$S$2:$S$495=14)*('CONTROL MASTER'!$Z$2:$Z$495&lt;=2)*('CONTROL MASTER'!$AB$2:$AB$495&gt;=2)*('CONTROL MASTER'!$AA$2:$AA$495&lt;=10)*('CONTROL MASTER'!$AC$2:$AC$495&gt;=10))*ROW('CONTROL MASTER'!$S$2:$S$495))-(ROW('CONTROL MASTER'!#REF!)-1)))+1)+(10-INDEX('CONTROL MASTER'!$AA$2:$AA$495,(SUMPRODUCT((('CONTROL MASTER'!$S$2:$S$495=14)*('CONTROL MASTER'!$Z$2:$Z$495&lt;=2)*('CONTROL MASTER'!$AB$2:$AB$495&gt;=2)*('CONTROL MASTER'!$AA$2:$AA$495&lt;=10)*('CONTROL MASTER'!$AC$2:$AC$495&gt;=10))*ROW('CONTROL MASTER'!$S$2:$S$495))-(ROW('CONTROL MASTER'!#REF!)-1))))+1)))-1)*50+1,50))&amp;"_"&amp;INDEX('CONTROL MASTER'!$P$2:$P$495,(SUMPRODUCT((('CONTROL MASTER'!$S$2:$S$495=14)*('CONTROL MASTER'!$Z$2:$Z$495&lt;=2)*('CONTROL MASTER'!$AB$2:$AB$495&gt;=2)*('CONTROL MASTER'!$AA$2:$AA$495&lt;=10)*('CONTROL MASTER'!$AC$2:$AC$495&gt;=10))*ROW('CONTROL MASTER'!$S$2:$S$495))-(ROW('CONTROL MASTER'!#REF!)-1))),"")),"")</f>
        <v/>
      </c>
    </row>
    <row r="187" spans="1:11" ht="15" customHeight="1" x14ac:dyDescent="0.35">
      <c r="A187" s="8" t="s">
        <v>30</v>
      </c>
      <c r="B187" s="10" t="str">
        <f>IFERROR(IF(SUMPRODUCT((('CONTROL MASTER'!$S$2:$S$495=14)*('CONTROL MASTER'!$T$2:$T$495&lt;=3)*('CONTROL MASTER'!$V$2:$V$495&gt;=3)*('CONTROL MASTER'!$U$2:$U$495&lt;=1)*('CONTROL MASTER'!$W$2:$W$495&gt;=1))*ROW('CONTROL MASTER'!$S$2:$S$495))&gt;0,INDEX('CONTROL MASTER'!$X$2:$X$495,(SUMPRODUCT((('CONTROL MASTER'!$S$2:$S$495=14)*('CONTROL MASTER'!$T$2:$T$495&lt;=3)*('CONTROL MASTER'!$V$2:$V$495&gt;=3)*('CONTROL MASTER'!$U$2:$U$495&lt;=1)*('CONTROL MASTER'!$W$2:$W$495&gt;=1))*ROW('CONTROL MASTER'!$S$2:$S$495))-(ROW('CONTROL MASTER'!#REF!)-1)))&amp;TRIM(MID(SUBSTITUTE(SUBSTITUTE(INDEX('CONTROL MASTER'!$N$2:$N$495,(SUMPRODUCT((('CONTROL MASTER'!$S$2:$S$495=14)*('CONTROL MASTER'!$T$2:$T$495&lt;=3)*('CONTROL MASTER'!$V$2:$V$495&gt;=3)*('CONTROL MASTER'!$U$2:$U$495&lt;=1)*('CONTROL MASTER'!$W$2:$W$495&gt;=1))*ROW('CONTROL MASTER'!$S$2:$S$495))-(ROW('CONTROL MASTER'!#REF!)-1))),":",","),",",REPT(" ",50)),((((3-INDEX('CONTROL MASTER'!$T$2:$T$495,(SUMPRODUCT((('CONTROL MASTER'!$S$2:$S$495=14)*('CONTROL MASTER'!$T$2:$T$495&lt;=3)*('CONTROL MASTER'!$V$2:$V$495&gt;=3)*('CONTROL MASTER'!$U$2:$U$495&lt;=1)*('CONTROL MASTER'!$W$2:$W$495&gt;=1))*ROW('CONTROL MASTER'!$S$2:$S$495))-(ROW('CONTROL MASTER'!#REF!)-1))))*(INDEX('CONTROL MASTER'!$W$2:$W$495,(SUMPRODUCT((('CONTROL MASTER'!$S$2:$S$495=14)*('CONTROL MASTER'!$T$2:$T$495&lt;=3)*('CONTROL MASTER'!$V$2:$V$495&gt;=3)*('CONTROL MASTER'!$U$2:$U$495&lt;=1)*('CONTROL MASTER'!$W$2:$W$495&gt;=1))*ROW('CONTROL MASTER'!$S$2:$S$495))-(ROW('CONTROL MASTER'!#REF!)-1)))-INDEX('CONTROL MASTER'!$U$2:$U$495,(SUMPRODUCT((('CONTROL MASTER'!$S$2:$S$495=14)*('CONTROL MASTER'!$T$2:$T$495&lt;=3)*('CONTROL MASTER'!$V$2:$V$495&gt;=3)*('CONTROL MASTER'!$U$2:$U$495&lt;=1)*('CONTROL MASTER'!$W$2:$W$495&gt;=1))*ROW('CONTROL MASTER'!$S$2:$S$495))-(ROW('CONTROL MASTER'!#REF!)-1)))+1)+(1-INDEX('CONTROL MASTER'!$U$2:$U$495,(SUMPRODUCT((('CONTROL MASTER'!$S$2:$S$495=14)*('CONTROL MASTER'!$T$2:$T$495&lt;=3)*('CONTROL MASTER'!$V$2:$V$495&gt;=3)*('CONTROL MASTER'!$U$2:$U$495&lt;=1)*('CONTROL MASTER'!$W$2:$W$495&gt;=1))*ROW('CONTROL MASTER'!$S$2:$S$495))-(ROW('CONTROL MASTER'!#REF!)-1))))+1))-1)*50+1,50))&amp;"_"&amp;INDEX('CONTROL MASTER'!$P$2:$P$495,(SUMPRODUCT((('CONTROL MASTER'!$S$2:$S$495=14)*('CONTROL MASTER'!$T$2:$T$495&lt;=3)*('CONTROL MASTER'!$V$2:$V$495&gt;=3)*('CONTROL MASTER'!$U$2:$U$495&lt;=1)*('CONTROL MASTER'!$W$2:$W$495&gt;=1))*ROW('CONTROL MASTER'!$S$2:$S$495))-(ROW('CONTROL MASTER'!#REF!)-1))),IF(SUMPRODUCT((('CONTROL MASTER'!$S$2:$S$495=14)*('CONTROL MASTER'!$Z$2:$Z$495&lt;=3)*('CONTROL MASTER'!$AB$2:$AB$495&gt;=3)*('CONTROL MASTER'!$AA$2:$AA$495&lt;=1)*('CONTROL MASTER'!$AC$2:$AC$495&gt;=1))*ROW('CONTROL MASTER'!$S$2:$S$495))&gt;0,INDEX('CONTROL MASTER'!$X$2:$X$495,(SUMPRODUCT((('CONTROL MASTER'!$S$2:$S$495=14)*('CONTROL MASTER'!$Z$2:$Z$495&lt;=3)*('CONTROL MASTER'!$AB$2:$AB$495&gt;=3)*('CONTROL MASTER'!$AA$2:$AA$495&lt;=1)*('CONTROL MASTER'!$AC$2:$AC$495&gt;=1))*ROW('CONTROL MASTER'!$S$2:$S$495))-(ROW('CONTROL MASTER'!#REF!)-1)))&amp;TRIM(MID(SUBSTITUTE(SUBSTITUTE(INDEX('CONTROL MASTER'!$N$2:$N$495,(SUMPRODUCT((('CONTROL MASTER'!$S$2:$S$495=14)*('CONTROL MASTER'!$Z$2:$Z$495&lt;=3)*('CONTROL MASTER'!$AB$2:$AB$495&gt;=3)*('CONTROL MASTER'!$AA$2:$AA$495&lt;=1)*('CONTROL MASTER'!$AC$2:$AC$495&gt;=1))*ROW('CONTROL MASTER'!$S$2:$S$495))-(ROW('CONTROL MASTER'!#REF!)-1))),":",","),",",REPT(" ",50)),(((INDEX('CONTROL MASTER'!$Y$2:$Y$495,(SUMPRODUCT((('CONTROL MASTER'!$S$2:$S$495=14)*('CONTROL MASTER'!$Z$2:$Z$495&lt;=3)*('CONTROL MASTER'!$AB$2:$AB$495&gt;=3)*('CONTROL MASTER'!$AA$2:$AA$495&lt;=1)*('CONTROL MASTER'!$AC$2:$AC$495&gt;=1))*ROW('CONTROL MASTER'!$S$2:$S$495))-(ROW('CONTROL MASTER'!#REF!)-1)))+((3-INDEX('CONTROL MASTER'!$Z$2:$Z$495,(SUMPRODUCT((('CONTROL MASTER'!$S$2:$S$495=14)*('CONTROL MASTER'!$Z$2:$Z$495&lt;=3)*('CONTROL MASTER'!$AB$2:$AB$495&gt;=3)*('CONTROL MASTER'!$AA$2:$AA$495&lt;=1)*('CONTROL MASTER'!$AC$2:$AC$495&gt;=1))*ROW('CONTROL MASTER'!$S$2:$S$495))-(ROW('CONTROL MASTER'!#REF!)-1))))*(INDEX('CONTROL MASTER'!$AC$2:$AC$495,(SUMPRODUCT((('CONTROL MASTER'!$S$2:$S$495=14)*('CONTROL MASTER'!$Z$2:$Z$495&lt;=3)*('CONTROL MASTER'!$AB$2:$AB$495&gt;=3)*('CONTROL MASTER'!$AA$2:$AA$495&lt;=1)*('CONTROL MASTER'!$AC$2:$AC$495&gt;=1))*ROW('CONTROL MASTER'!$S$2:$S$495))-(ROW('CONTROL MASTER'!#REF!)-1)))-INDEX('CONTROL MASTER'!$AA$2:$AA$495,(SUMPRODUCT((('CONTROL MASTER'!$S$2:$S$495=14)*('CONTROL MASTER'!$Z$2:$Z$495&lt;=3)*('CONTROL MASTER'!$AB$2:$AB$495&gt;=3)*('CONTROL MASTER'!$AA$2:$AA$495&lt;=1)*('CONTROL MASTER'!$AC$2:$AC$495&gt;=1))*ROW('CONTROL MASTER'!$S$2:$S$495))-(ROW('CONTROL MASTER'!#REF!)-1)))+1)+(1-INDEX('CONTROL MASTER'!$AA$2:$AA$495,(SUMPRODUCT((('CONTROL MASTER'!$S$2:$S$495=14)*('CONTROL MASTER'!$Z$2:$Z$495&lt;=3)*('CONTROL MASTER'!$AB$2:$AB$495&gt;=3)*('CONTROL MASTER'!$AA$2:$AA$495&lt;=1)*('CONTROL MASTER'!$AC$2:$AC$495&gt;=1))*ROW('CONTROL MASTER'!$S$2:$S$495))-(ROW('CONTROL MASTER'!#REF!)-1))))+1)))-1)*50+1,50))&amp;"_"&amp;INDEX('CONTROL MASTER'!$P$2:$P$495,(SUMPRODUCT((('CONTROL MASTER'!$S$2:$S$495=14)*('CONTROL MASTER'!$Z$2:$Z$495&lt;=3)*('CONTROL MASTER'!$AB$2:$AB$495&gt;=3)*('CONTROL MASTER'!$AA$2:$AA$495&lt;=1)*('CONTROL MASTER'!$AC$2:$AC$495&gt;=1))*ROW('CONTROL MASTER'!$S$2:$S$495))-(ROW('CONTROL MASTER'!#REF!)-1))),"")),"")</f>
        <v/>
      </c>
      <c r="C187" s="10" t="str">
        <f>IFERROR(IF(SUMPRODUCT((('CONTROL MASTER'!$S$2:$S$495=14)*('CONTROL MASTER'!$T$2:$T$495&lt;=3)*('CONTROL MASTER'!$V$2:$V$495&gt;=3)*('CONTROL MASTER'!$U$2:$U$495&lt;=2)*('CONTROL MASTER'!$W$2:$W$495&gt;=2))*ROW('CONTROL MASTER'!$S$2:$S$495))&gt;0,INDEX('CONTROL MASTER'!$X$2:$X$495,(SUMPRODUCT((('CONTROL MASTER'!$S$2:$S$495=14)*('CONTROL MASTER'!$T$2:$T$495&lt;=3)*('CONTROL MASTER'!$V$2:$V$495&gt;=3)*('CONTROL MASTER'!$U$2:$U$495&lt;=2)*('CONTROL MASTER'!$W$2:$W$495&gt;=2))*ROW('CONTROL MASTER'!$S$2:$S$495))-(ROW('CONTROL MASTER'!#REF!)-1)))&amp;TRIM(MID(SUBSTITUTE(SUBSTITUTE(INDEX('CONTROL MASTER'!$N$2:$N$495,(SUMPRODUCT((('CONTROL MASTER'!$S$2:$S$495=14)*('CONTROL MASTER'!$T$2:$T$495&lt;=3)*('CONTROL MASTER'!$V$2:$V$495&gt;=3)*('CONTROL MASTER'!$U$2:$U$495&lt;=2)*('CONTROL MASTER'!$W$2:$W$495&gt;=2))*ROW('CONTROL MASTER'!$S$2:$S$495))-(ROW('CONTROL MASTER'!#REF!)-1))),":",","),",",REPT(" ",50)),((((3-INDEX('CONTROL MASTER'!$T$2:$T$495,(SUMPRODUCT((('CONTROL MASTER'!$S$2:$S$495=14)*('CONTROL MASTER'!$T$2:$T$495&lt;=3)*('CONTROL MASTER'!$V$2:$V$495&gt;=3)*('CONTROL MASTER'!$U$2:$U$495&lt;=2)*('CONTROL MASTER'!$W$2:$W$495&gt;=2))*ROW('CONTROL MASTER'!$S$2:$S$495))-(ROW('CONTROL MASTER'!#REF!)-1))))*(INDEX('CONTROL MASTER'!$W$2:$W$495,(SUMPRODUCT((('CONTROL MASTER'!$S$2:$S$495=14)*('CONTROL MASTER'!$T$2:$T$495&lt;=3)*('CONTROL MASTER'!$V$2:$V$495&gt;=3)*('CONTROL MASTER'!$U$2:$U$495&lt;=2)*('CONTROL MASTER'!$W$2:$W$495&gt;=2))*ROW('CONTROL MASTER'!$S$2:$S$495))-(ROW('CONTROL MASTER'!#REF!)-1)))-INDEX('CONTROL MASTER'!$U$2:$U$495,(SUMPRODUCT((('CONTROL MASTER'!$S$2:$S$495=14)*('CONTROL MASTER'!$T$2:$T$495&lt;=3)*('CONTROL MASTER'!$V$2:$V$495&gt;=3)*('CONTROL MASTER'!$U$2:$U$495&lt;=2)*('CONTROL MASTER'!$W$2:$W$495&gt;=2))*ROW('CONTROL MASTER'!$S$2:$S$495))-(ROW('CONTROL MASTER'!#REF!)-1)))+1)+(2-INDEX('CONTROL MASTER'!$U$2:$U$495,(SUMPRODUCT((('CONTROL MASTER'!$S$2:$S$495=14)*('CONTROL MASTER'!$T$2:$T$495&lt;=3)*('CONTROL MASTER'!$V$2:$V$495&gt;=3)*('CONTROL MASTER'!$U$2:$U$495&lt;=2)*('CONTROL MASTER'!$W$2:$W$495&gt;=2))*ROW('CONTROL MASTER'!$S$2:$S$495))-(ROW('CONTROL MASTER'!#REF!)-1))))+1))-1)*50+1,50))&amp;"_"&amp;INDEX('CONTROL MASTER'!$P$2:$P$495,(SUMPRODUCT((('CONTROL MASTER'!$S$2:$S$495=14)*('CONTROL MASTER'!$T$2:$T$495&lt;=3)*('CONTROL MASTER'!$V$2:$V$495&gt;=3)*('CONTROL MASTER'!$U$2:$U$495&lt;=2)*('CONTROL MASTER'!$W$2:$W$495&gt;=2))*ROW('CONTROL MASTER'!$S$2:$S$495))-(ROW('CONTROL MASTER'!#REF!)-1))),IF(SUMPRODUCT((('CONTROL MASTER'!$S$2:$S$495=14)*('CONTROL MASTER'!$Z$2:$Z$495&lt;=3)*('CONTROL MASTER'!$AB$2:$AB$495&gt;=3)*('CONTROL MASTER'!$AA$2:$AA$495&lt;=2)*('CONTROL MASTER'!$AC$2:$AC$495&gt;=2))*ROW('CONTROL MASTER'!$S$2:$S$495))&gt;0,INDEX('CONTROL MASTER'!$X$2:$X$495,(SUMPRODUCT((('CONTROL MASTER'!$S$2:$S$495=14)*('CONTROL MASTER'!$Z$2:$Z$495&lt;=3)*('CONTROL MASTER'!$AB$2:$AB$495&gt;=3)*('CONTROL MASTER'!$AA$2:$AA$495&lt;=2)*('CONTROL MASTER'!$AC$2:$AC$495&gt;=2))*ROW('CONTROL MASTER'!$S$2:$S$495))-(ROW('CONTROL MASTER'!#REF!)-1)))&amp;TRIM(MID(SUBSTITUTE(SUBSTITUTE(INDEX('CONTROL MASTER'!$N$2:$N$495,(SUMPRODUCT((('CONTROL MASTER'!$S$2:$S$495=14)*('CONTROL MASTER'!$Z$2:$Z$495&lt;=3)*('CONTROL MASTER'!$AB$2:$AB$495&gt;=3)*('CONTROL MASTER'!$AA$2:$AA$495&lt;=2)*('CONTROL MASTER'!$AC$2:$AC$495&gt;=2))*ROW('CONTROL MASTER'!$S$2:$S$495))-(ROW('CONTROL MASTER'!#REF!)-1))),":",","),",",REPT(" ",50)),(((INDEX('CONTROL MASTER'!$Y$2:$Y$495,(SUMPRODUCT((('CONTROL MASTER'!$S$2:$S$495=14)*('CONTROL MASTER'!$Z$2:$Z$495&lt;=3)*('CONTROL MASTER'!$AB$2:$AB$495&gt;=3)*('CONTROL MASTER'!$AA$2:$AA$495&lt;=2)*('CONTROL MASTER'!$AC$2:$AC$495&gt;=2))*ROW('CONTROL MASTER'!$S$2:$S$495))-(ROW('CONTROL MASTER'!#REF!)-1)))+((3-INDEX('CONTROL MASTER'!$Z$2:$Z$495,(SUMPRODUCT((('CONTROL MASTER'!$S$2:$S$495=14)*('CONTROL MASTER'!$Z$2:$Z$495&lt;=3)*('CONTROL MASTER'!$AB$2:$AB$495&gt;=3)*('CONTROL MASTER'!$AA$2:$AA$495&lt;=2)*('CONTROL MASTER'!$AC$2:$AC$495&gt;=2))*ROW('CONTROL MASTER'!$S$2:$S$495))-(ROW('CONTROL MASTER'!#REF!)-1))))*(INDEX('CONTROL MASTER'!$AC$2:$AC$495,(SUMPRODUCT((('CONTROL MASTER'!$S$2:$S$495=14)*('CONTROL MASTER'!$Z$2:$Z$495&lt;=3)*('CONTROL MASTER'!$AB$2:$AB$495&gt;=3)*('CONTROL MASTER'!$AA$2:$AA$495&lt;=2)*('CONTROL MASTER'!$AC$2:$AC$495&gt;=2))*ROW('CONTROL MASTER'!$S$2:$S$495))-(ROW('CONTROL MASTER'!#REF!)-1)))-INDEX('CONTROL MASTER'!$AA$2:$AA$495,(SUMPRODUCT((('CONTROL MASTER'!$S$2:$S$495=14)*('CONTROL MASTER'!$Z$2:$Z$495&lt;=3)*('CONTROL MASTER'!$AB$2:$AB$495&gt;=3)*('CONTROL MASTER'!$AA$2:$AA$495&lt;=2)*('CONTROL MASTER'!$AC$2:$AC$495&gt;=2))*ROW('CONTROL MASTER'!$S$2:$S$495))-(ROW('CONTROL MASTER'!#REF!)-1)))+1)+(2-INDEX('CONTROL MASTER'!$AA$2:$AA$495,(SUMPRODUCT((('CONTROL MASTER'!$S$2:$S$495=14)*('CONTROL MASTER'!$Z$2:$Z$495&lt;=3)*('CONTROL MASTER'!$AB$2:$AB$495&gt;=3)*('CONTROL MASTER'!$AA$2:$AA$495&lt;=2)*('CONTROL MASTER'!$AC$2:$AC$495&gt;=2))*ROW('CONTROL MASTER'!$S$2:$S$495))-(ROW('CONTROL MASTER'!#REF!)-1))))+1)))-1)*50+1,50))&amp;"_"&amp;INDEX('CONTROL MASTER'!$P$2:$P$495,(SUMPRODUCT((('CONTROL MASTER'!$S$2:$S$495=14)*('CONTROL MASTER'!$Z$2:$Z$495&lt;=3)*('CONTROL MASTER'!$AB$2:$AB$495&gt;=3)*('CONTROL MASTER'!$AA$2:$AA$495&lt;=2)*('CONTROL MASTER'!$AC$2:$AC$495&gt;=2))*ROW('CONTROL MASTER'!$S$2:$S$495))-(ROW('CONTROL MASTER'!#REF!)-1))),"")),"")</f>
        <v/>
      </c>
      <c r="D187" s="10" t="str">
        <f>IFERROR(IF(SUMPRODUCT((('CONTROL MASTER'!$S$2:$S$495=14)*('CONTROL MASTER'!$T$2:$T$495&lt;=3)*('CONTROL MASTER'!$V$2:$V$495&gt;=3)*('CONTROL MASTER'!$U$2:$U$495&lt;=3)*('CONTROL MASTER'!$W$2:$W$495&gt;=3))*ROW('CONTROL MASTER'!$S$2:$S$495))&gt;0,INDEX('CONTROL MASTER'!$X$2:$X$495,(SUMPRODUCT((('CONTROL MASTER'!$S$2:$S$495=14)*('CONTROL MASTER'!$T$2:$T$495&lt;=3)*('CONTROL MASTER'!$V$2:$V$495&gt;=3)*('CONTROL MASTER'!$U$2:$U$495&lt;=3)*('CONTROL MASTER'!$W$2:$W$495&gt;=3))*ROW('CONTROL MASTER'!$S$2:$S$495))-(ROW('CONTROL MASTER'!#REF!)-1)))&amp;TRIM(MID(SUBSTITUTE(SUBSTITUTE(INDEX('CONTROL MASTER'!$N$2:$N$495,(SUMPRODUCT((('CONTROL MASTER'!$S$2:$S$495=14)*('CONTROL MASTER'!$T$2:$T$495&lt;=3)*('CONTROL MASTER'!$V$2:$V$495&gt;=3)*('CONTROL MASTER'!$U$2:$U$495&lt;=3)*('CONTROL MASTER'!$W$2:$W$495&gt;=3))*ROW('CONTROL MASTER'!$S$2:$S$495))-(ROW('CONTROL MASTER'!#REF!)-1))),":",","),",",REPT(" ",50)),((((3-INDEX('CONTROL MASTER'!$T$2:$T$495,(SUMPRODUCT((('CONTROL MASTER'!$S$2:$S$495=14)*('CONTROL MASTER'!$T$2:$T$495&lt;=3)*('CONTROL MASTER'!$V$2:$V$495&gt;=3)*('CONTROL MASTER'!$U$2:$U$495&lt;=3)*('CONTROL MASTER'!$W$2:$W$495&gt;=3))*ROW('CONTROL MASTER'!$S$2:$S$495))-(ROW('CONTROL MASTER'!#REF!)-1))))*(INDEX('CONTROL MASTER'!$W$2:$W$495,(SUMPRODUCT((('CONTROL MASTER'!$S$2:$S$495=14)*('CONTROL MASTER'!$T$2:$T$495&lt;=3)*('CONTROL MASTER'!$V$2:$V$495&gt;=3)*('CONTROL MASTER'!$U$2:$U$495&lt;=3)*('CONTROL MASTER'!$W$2:$W$495&gt;=3))*ROW('CONTROL MASTER'!$S$2:$S$495))-(ROW('CONTROL MASTER'!#REF!)-1)))-INDEX('CONTROL MASTER'!$U$2:$U$495,(SUMPRODUCT((('CONTROL MASTER'!$S$2:$S$495=14)*('CONTROL MASTER'!$T$2:$T$495&lt;=3)*('CONTROL MASTER'!$V$2:$V$495&gt;=3)*('CONTROL MASTER'!$U$2:$U$495&lt;=3)*('CONTROL MASTER'!$W$2:$W$495&gt;=3))*ROW('CONTROL MASTER'!$S$2:$S$495))-(ROW('CONTROL MASTER'!#REF!)-1)))+1)+(3-INDEX('CONTROL MASTER'!$U$2:$U$495,(SUMPRODUCT((('CONTROL MASTER'!$S$2:$S$495=14)*('CONTROL MASTER'!$T$2:$T$495&lt;=3)*('CONTROL MASTER'!$V$2:$V$495&gt;=3)*('CONTROL MASTER'!$U$2:$U$495&lt;=3)*('CONTROL MASTER'!$W$2:$W$495&gt;=3))*ROW('CONTROL MASTER'!$S$2:$S$495))-(ROW('CONTROL MASTER'!#REF!)-1))))+1))-1)*50+1,50))&amp;"_"&amp;INDEX('CONTROL MASTER'!$P$2:$P$495,(SUMPRODUCT((('CONTROL MASTER'!$S$2:$S$495=14)*('CONTROL MASTER'!$T$2:$T$495&lt;=3)*('CONTROL MASTER'!$V$2:$V$495&gt;=3)*('CONTROL MASTER'!$U$2:$U$495&lt;=3)*('CONTROL MASTER'!$W$2:$W$495&gt;=3))*ROW('CONTROL MASTER'!$S$2:$S$495))-(ROW('CONTROL MASTER'!#REF!)-1))),IF(SUMPRODUCT((('CONTROL MASTER'!$S$2:$S$495=14)*('CONTROL MASTER'!$Z$2:$Z$495&lt;=3)*('CONTROL MASTER'!$AB$2:$AB$495&gt;=3)*('CONTROL MASTER'!$AA$2:$AA$495&lt;=3)*('CONTROL MASTER'!$AC$2:$AC$495&gt;=3))*ROW('CONTROL MASTER'!$S$2:$S$495))&gt;0,INDEX('CONTROL MASTER'!$X$2:$X$495,(SUMPRODUCT((('CONTROL MASTER'!$S$2:$S$495=14)*('CONTROL MASTER'!$Z$2:$Z$495&lt;=3)*('CONTROL MASTER'!$AB$2:$AB$495&gt;=3)*('CONTROL MASTER'!$AA$2:$AA$495&lt;=3)*('CONTROL MASTER'!$AC$2:$AC$495&gt;=3))*ROW('CONTROL MASTER'!$S$2:$S$495))-(ROW('CONTROL MASTER'!#REF!)-1)))&amp;TRIM(MID(SUBSTITUTE(SUBSTITUTE(INDEX('CONTROL MASTER'!$N$2:$N$495,(SUMPRODUCT((('CONTROL MASTER'!$S$2:$S$495=14)*('CONTROL MASTER'!$Z$2:$Z$495&lt;=3)*('CONTROL MASTER'!$AB$2:$AB$495&gt;=3)*('CONTROL MASTER'!$AA$2:$AA$495&lt;=3)*('CONTROL MASTER'!$AC$2:$AC$495&gt;=3))*ROW('CONTROL MASTER'!$S$2:$S$495))-(ROW('CONTROL MASTER'!#REF!)-1))),":",","),",",REPT(" ",50)),(((INDEX('CONTROL MASTER'!$Y$2:$Y$495,(SUMPRODUCT((('CONTROL MASTER'!$S$2:$S$495=14)*('CONTROL MASTER'!$Z$2:$Z$495&lt;=3)*('CONTROL MASTER'!$AB$2:$AB$495&gt;=3)*('CONTROL MASTER'!$AA$2:$AA$495&lt;=3)*('CONTROL MASTER'!$AC$2:$AC$495&gt;=3))*ROW('CONTROL MASTER'!$S$2:$S$495))-(ROW('CONTROL MASTER'!#REF!)-1)))+((3-INDEX('CONTROL MASTER'!$Z$2:$Z$495,(SUMPRODUCT((('CONTROL MASTER'!$S$2:$S$495=14)*('CONTROL MASTER'!$Z$2:$Z$495&lt;=3)*('CONTROL MASTER'!$AB$2:$AB$495&gt;=3)*('CONTROL MASTER'!$AA$2:$AA$495&lt;=3)*('CONTROL MASTER'!$AC$2:$AC$495&gt;=3))*ROW('CONTROL MASTER'!$S$2:$S$495))-(ROW('CONTROL MASTER'!#REF!)-1))))*(INDEX('CONTROL MASTER'!$AC$2:$AC$495,(SUMPRODUCT((('CONTROL MASTER'!$S$2:$S$495=14)*('CONTROL MASTER'!$Z$2:$Z$495&lt;=3)*('CONTROL MASTER'!$AB$2:$AB$495&gt;=3)*('CONTROL MASTER'!$AA$2:$AA$495&lt;=3)*('CONTROL MASTER'!$AC$2:$AC$495&gt;=3))*ROW('CONTROL MASTER'!$S$2:$S$495))-(ROW('CONTROL MASTER'!#REF!)-1)))-INDEX('CONTROL MASTER'!$AA$2:$AA$495,(SUMPRODUCT((('CONTROL MASTER'!$S$2:$S$495=14)*('CONTROL MASTER'!$Z$2:$Z$495&lt;=3)*('CONTROL MASTER'!$AB$2:$AB$495&gt;=3)*('CONTROL MASTER'!$AA$2:$AA$495&lt;=3)*('CONTROL MASTER'!$AC$2:$AC$495&gt;=3))*ROW('CONTROL MASTER'!$S$2:$S$495))-(ROW('CONTROL MASTER'!#REF!)-1)))+1)+(3-INDEX('CONTROL MASTER'!$AA$2:$AA$495,(SUMPRODUCT((('CONTROL MASTER'!$S$2:$S$495=14)*('CONTROL MASTER'!$Z$2:$Z$495&lt;=3)*('CONTROL MASTER'!$AB$2:$AB$495&gt;=3)*('CONTROL MASTER'!$AA$2:$AA$495&lt;=3)*('CONTROL MASTER'!$AC$2:$AC$495&gt;=3))*ROW('CONTROL MASTER'!$S$2:$S$495))-(ROW('CONTROL MASTER'!#REF!)-1))))+1)))-1)*50+1,50))&amp;"_"&amp;INDEX('CONTROL MASTER'!$P$2:$P$495,(SUMPRODUCT((('CONTROL MASTER'!$S$2:$S$495=14)*('CONTROL MASTER'!$Z$2:$Z$495&lt;=3)*('CONTROL MASTER'!$AB$2:$AB$495&gt;=3)*('CONTROL MASTER'!$AA$2:$AA$495&lt;=3)*('CONTROL MASTER'!$AC$2:$AC$495&gt;=3))*ROW('CONTROL MASTER'!$S$2:$S$495))-(ROW('CONTROL MASTER'!#REF!)-1))),"")),"")</f>
        <v/>
      </c>
      <c r="E187" s="10" t="str">
        <f>IFERROR(IF(SUMPRODUCT((('CONTROL MASTER'!$S$2:$S$495=14)*('CONTROL MASTER'!$T$2:$T$495&lt;=3)*('CONTROL MASTER'!$V$2:$V$495&gt;=3)*('CONTROL MASTER'!$U$2:$U$495&lt;=4)*('CONTROL MASTER'!$W$2:$W$495&gt;=4))*ROW('CONTROL MASTER'!$S$2:$S$495))&gt;0,INDEX('CONTROL MASTER'!$X$2:$X$495,(SUMPRODUCT((('CONTROL MASTER'!$S$2:$S$495=14)*('CONTROL MASTER'!$T$2:$T$495&lt;=3)*('CONTROL MASTER'!$V$2:$V$495&gt;=3)*('CONTROL MASTER'!$U$2:$U$495&lt;=4)*('CONTROL MASTER'!$W$2:$W$495&gt;=4))*ROW('CONTROL MASTER'!$S$2:$S$495))-(ROW('CONTROL MASTER'!#REF!)-1)))&amp;TRIM(MID(SUBSTITUTE(SUBSTITUTE(INDEX('CONTROL MASTER'!$N$2:$N$495,(SUMPRODUCT((('CONTROL MASTER'!$S$2:$S$495=14)*('CONTROL MASTER'!$T$2:$T$495&lt;=3)*('CONTROL MASTER'!$V$2:$V$495&gt;=3)*('CONTROL MASTER'!$U$2:$U$495&lt;=4)*('CONTROL MASTER'!$W$2:$W$495&gt;=4))*ROW('CONTROL MASTER'!$S$2:$S$495))-(ROW('CONTROL MASTER'!#REF!)-1))),":",","),",",REPT(" ",50)),((((3-INDEX('CONTROL MASTER'!$T$2:$T$495,(SUMPRODUCT((('CONTROL MASTER'!$S$2:$S$495=14)*('CONTROL MASTER'!$T$2:$T$495&lt;=3)*('CONTROL MASTER'!$V$2:$V$495&gt;=3)*('CONTROL MASTER'!$U$2:$U$495&lt;=4)*('CONTROL MASTER'!$W$2:$W$495&gt;=4))*ROW('CONTROL MASTER'!$S$2:$S$495))-(ROW('CONTROL MASTER'!#REF!)-1))))*(INDEX('CONTROL MASTER'!$W$2:$W$495,(SUMPRODUCT((('CONTROL MASTER'!$S$2:$S$495=14)*('CONTROL MASTER'!$T$2:$T$495&lt;=3)*('CONTROL MASTER'!$V$2:$V$495&gt;=3)*('CONTROL MASTER'!$U$2:$U$495&lt;=4)*('CONTROL MASTER'!$W$2:$W$495&gt;=4))*ROW('CONTROL MASTER'!$S$2:$S$495))-(ROW('CONTROL MASTER'!#REF!)-1)))-INDEX('CONTROL MASTER'!$U$2:$U$495,(SUMPRODUCT((('CONTROL MASTER'!$S$2:$S$495=14)*('CONTROL MASTER'!$T$2:$T$495&lt;=3)*('CONTROL MASTER'!$V$2:$V$495&gt;=3)*('CONTROL MASTER'!$U$2:$U$495&lt;=4)*('CONTROL MASTER'!$W$2:$W$495&gt;=4))*ROW('CONTROL MASTER'!$S$2:$S$495))-(ROW('CONTROL MASTER'!#REF!)-1)))+1)+(4-INDEX('CONTROL MASTER'!$U$2:$U$495,(SUMPRODUCT((('CONTROL MASTER'!$S$2:$S$495=14)*('CONTROL MASTER'!$T$2:$T$495&lt;=3)*('CONTROL MASTER'!$V$2:$V$495&gt;=3)*('CONTROL MASTER'!$U$2:$U$495&lt;=4)*('CONTROL MASTER'!$W$2:$W$495&gt;=4))*ROW('CONTROL MASTER'!$S$2:$S$495))-(ROW('CONTROL MASTER'!#REF!)-1))))+1))-1)*50+1,50))&amp;"_"&amp;INDEX('CONTROL MASTER'!$P$2:$P$495,(SUMPRODUCT((('CONTROL MASTER'!$S$2:$S$495=14)*('CONTROL MASTER'!$T$2:$T$495&lt;=3)*('CONTROL MASTER'!$V$2:$V$495&gt;=3)*('CONTROL MASTER'!$U$2:$U$495&lt;=4)*('CONTROL MASTER'!$W$2:$W$495&gt;=4))*ROW('CONTROL MASTER'!$S$2:$S$495))-(ROW('CONTROL MASTER'!#REF!)-1))),IF(SUMPRODUCT((('CONTROL MASTER'!$S$2:$S$495=14)*('CONTROL MASTER'!$Z$2:$Z$495&lt;=3)*('CONTROL MASTER'!$AB$2:$AB$495&gt;=3)*('CONTROL MASTER'!$AA$2:$AA$495&lt;=4)*('CONTROL MASTER'!$AC$2:$AC$495&gt;=4))*ROW('CONTROL MASTER'!$S$2:$S$495))&gt;0,INDEX('CONTROL MASTER'!$X$2:$X$495,(SUMPRODUCT((('CONTROL MASTER'!$S$2:$S$495=14)*('CONTROL MASTER'!$Z$2:$Z$495&lt;=3)*('CONTROL MASTER'!$AB$2:$AB$495&gt;=3)*('CONTROL MASTER'!$AA$2:$AA$495&lt;=4)*('CONTROL MASTER'!$AC$2:$AC$495&gt;=4))*ROW('CONTROL MASTER'!$S$2:$S$495))-(ROW('CONTROL MASTER'!#REF!)-1)))&amp;TRIM(MID(SUBSTITUTE(SUBSTITUTE(INDEX('CONTROL MASTER'!$N$2:$N$495,(SUMPRODUCT((('CONTROL MASTER'!$S$2:$S$495=14)*('CONTROL MASTER'!$Z$2:$Z$495&lt;=3)*('CONTROL MASTER'!$AB$2:$AB$495&gt;=3)*('CONTROL MASTER'!$AA$2:$AA$495&lt;=4)*('CONTROL MASTER'!$AC$2:$AC$495&gt;=4))*ROW('CONTROL MASTER'!$S$2:$S$495))-(ROW('CONTROL MASTER'!#REF!)-1))),":",","),",",REPT(" ",50)),(((INDEX('CONTROL MASTER'!$Y$2:$Y$495,(SUMPRODUCT((('CONTROL MASTER'!$S$2:$S$495=14)*('CONTROL MASTER'!$Z$2:$Z$495&lt;=3)*('CONTROL MASTER'!$AB$2:$AB$495&gt;=3)*('CONTROL MASTER'!$AA$2:$AA$495&lt;=4)*('CONTROL MASTER'!$AC$2:$AC$495&gt;=4))*ROW('CONTROL MASTER'!$S$2:$S$495))-(ROW('CONTROL MASTER'!#REF!)-1)))+((3-INDEX('CONTROL MASTER'!$Z$2:$Z$495,(SUMPRODUCT((('CONTROL MASTER'!$S$2:$S$495=14)*('CONTROL MASTER'!$Z$2:$Z$495&lt;=3)*('CONTROL MASTER'!$AB$2:$AB$495&gt;=3)*('CONTROL MASTER'!$AA$2:$AA$495&lt;=4)*('CONTROL MASTER'!$AC$2:$AC$495&gt;=4))*ROW('CONTROL MASTER'!$S$2:$S$495))-(ROW('CONTROL MASTER'!#REF!)-1))))*(INDEX('CONTROL MASTER'!$AC$2:$AC$495,(SUMPRODUCT((('CONTROL MASTER'!$S$2:$S$495=14)*('CONTROL MASTER'!$Z$2:$Z$495&lt;=3)*('CONTROL MASTER'!$AB$2:$AB$495&gt;=3)*('CONTROL MASTER'!$AA$2:$AA$495&lt;=4)*('CONTROL MASTER'!$AC$2:$AC$495&gt;=4))*ROW('CONTROL MASTER'!$S$2:$S$495))-(ROW('CONTROL MASTER'!#REF!)-1)))-INDEX('CONTROL MASTER'!$AA$2:$AA$495,(SUMPRODUCT((('CONTROL MASTER'!$S$2:$S$495=14)*('CONTROL MASTER'!$Z$2:$Z$495&lt;=3)*('CONTROL MASTER'!$AB$2:$AB$495&gt;=3)*('CONTROL MASTER'!$AA$2:$AA$495&lt;=4)*('CONTROL MASTER'!$AC$2:$AC$495&gt;=4))*ROW('CONTROL MASTER'!$S$2:$S$495))-(ROW('CONTROL MASTER'!#REF!)-1)))+1)+(4-INDEX('CONTROL MASTER'!$AA$2:$AA$495,(SUMPRODUCT((('CONTROL MASTER'!$S$2:$S$495=14)*('CONTROL MASTER'!$Z$2:$Z$495&lt;=3)*('CONTROL MASTER'!$AB$2:$AB$495&gt;=3)*('CONTROL MASTER'!$AA$2:$AA$495&lt;=4)*('CONTROL MASTER'!$AC$2:$AC$495&gt;=4))*ROW('CONTROL MASTER'!$S$2:$S$495))-(ROW('CONTROL MASTER'!#REF!)-1))))+1)))-1)*50+1,50))&amp;"_"&amp;INDEX('CONTROL MASTER'!$P$2:$P$495,(SUMPRODUCT((('CONTROL MASTER'!$S$2:$S$495=14)*('CONTROL MASTER'!$Z$2:$Z$495&lt;=3)*('CONTROL MASTER'!$AB$2:$AB$495&gt;=3)*('CONTROL MASTER'!$AA$2:$AA$495&lt;=4)*('CONTROL MASTER'!$AC$2:$AC$495&gt;=4))*ROW('CONTROL MASTER'!$S$2:$S$495))-(ROW('CONTROL MASTER'!#REF!)-1))),"")),"")</f>
        <v/>
      </c>
      <c r="F187" s="10" t="str">
        <f>IFERROR(IF(SUMPRODUCT((('CONTROL MASTER'!$S$2:$S$495=14)*('CONTROL MASTER'!$T$2:$T$495&lt;=3)*('CONTROL MASTER'!$V$2:$V$495&gt;=3)*('CONTROL MASTER'!$U$2:$U$495&lt;=5)*('CONTROL MASTER'!$W$2:$W$495&gt;=5))*ROW('CONTROL MASTER'!$S$2:$S$495))&gt;0,INDEX('CONTROL MASTER'!$X$2:$X$495,(SUMPRODUCT((('CONTROL MASTER'!$S$2:$S$495=14)*('CONTROL MASTER'!$T$2:$T$495&lt;=3)*('CONTROL MASTER'!$V$2:$V$495&gt;=3)*('CONTROL MASTER'!$U$2:$U$495&lt;=5)*('CONTROL MASTER'!$W$2:$W$495&gt;=5))*ROW('CONTROL MASTER'!$S$2:$S$495))-(ROW('CONTROL MASTER'!#REF!)-1)))&amp;TRIM(MID(SUBSTITUTE(SUBSTITUTE(INDEX('CONTROL MASTER'!$N$2:$N$495,(SUMPRODUCT((('CONTROL MASTER'!$S$2:$S$495=14)*('CONTROL MASTER'!$T$2:$T$495&lt;=3)*('CONTROL MASTER'!$V$2:$V$495&gt;=3)*('CONTROL MASTER'!$U$2:$U$495&lt;=5)*('CONTROL MASTER'!$W$2:$W$495&gt;=5))*ROW('CONTROL MASTER'!$S$2:$S$495))-(ROW('CONTROL MASTER'!#REF!)-1))),":",","),",",REPT(" ",50)),((((3-INDEX('CONTROL MASTER'!$T$2:$T$495,(SUMPRODUCT((('CONTROL MASTER'!$S$2:$S$495=14)*('CONTROL MASTER'!$T$2:$T$495&lt;=3)*('CONTROL MASTER'!$V$2:$V$495&gt;=3)*('CONTROL MASTER'!$U$2:$U$495&lt;=5)*('CONTROL MASTER'!$W$2:$W$495&gt;=5))*ROW('CONTROL MASTER'!$S$2:$S$495))-(ROW('CONTROL MASTER'!#REF!)-1))))*(INDEX('CONTROL MASTER'!$W$2:$W$495,(SUMPRODUCT((('CONTROL MASTER'!$S$2:$S$495=14)*('CONTROL MASTER'!$T$2:$T$495&lt;=3)*('CONTROL MASTER'!$V$2:$V$495&gt;=3)*('CONTROL MASTER'!$U$2:$U$495&lt;=5)*('CONTROL MASTER'!$W$2:$W$495&gt;=5))*ROW('CONTROL MASTER'!$S$2:$S$495))-(ROW('CONTROL MASTER'!#REF!)-1)))-INDEX('CONTROL MASTER'!$U$2:$U$495,(SUMPRODUCT((('CONTROL MASTER'!$S$2:$S$495=14)*('CONTROL MASTER'!$T$2:$T$495&lt;=3)*('CONTROL MASTER'!$V$2:$V$495&gt;=3)*('CONTROL MASTER'!$U$2:$U$495&lt;=5)*('CONTROL MASTER'!$W$2:$W$495&gt;=5))*ROW('CONTROL MASTER'!$S$2:$S$495))-(ROW('CONTROL MASTER'!#REF!)-1)))+1)+(5-INDEX('CONTROL MASTER'!$U$2:$U$495,(SUMPRODUCT((('CONTROL MASTER'!$S$2:$S$495=14)*('CONTROL MASTER'!$T$2:$T$495&lt;=3)*('CONTROL MASTER'!$V$2:$V$495&gt;=3)*('CONTROL MASTER'!$U$2:$U$495&lt;=5)*('CONTROL MASTER'!$W$2:$W$495&gt;=5))*ROW('CONTROL MASTER'!$S$2:$S$495))-(ROW('CONTROL MASTER'!#REF!)-1))))+1))-1)*50+1,50))&amp;"_"&amp;INDEX('CONTROL MASTER'!$P$2:$P$495,(SUMPRODUCT((('CONTROL MASTER'!$S$2:$S$495=14)*('CONTROL MASTER'!$T$2:$T$495&lt;=3)*('CONTROL MASTER'!$V$2:$V$495&gt;=3)*('CONTROL MASTER'!$U$2:$U$495&lt;=5)*('CONTROL MASTER'!$W$2:$W$495&gt;=5))*ROW('CONTROL MASTER'!$S$2:$S$495))-(ROW('CONTROL MASTER'!#REF!)-1))),IF(SUMPRODUCT((('CONTROL MASTER'!$S$2:$S$495=14)*('CONTROL MASTER'!$Z$2:$Z$495&lt;=3)*('CONTROL MASTER'!$AB$2:$AB$495&gt;=3)*('CONTROL MASTER'!$AA$2:$AA$495&lt;=5)*('CONTROL MASTER'!$AC$2:$AC$495&gt;=5))*ROW('CONTROL MASTER'!$S$2:$S$495))&gt;0,INDEX('CONTROL MASTER'!$X$2:$X$495,(SUMPRODUCT((('CONTROL MASTER'!$S$2:$S$495=14)*('CONTROL MASTER'!$Z$2:$Z$495&lt;=3)*('CONTROL MASTER'!$AB$2:$AB$495&gt;=3)*('CONTROL MASTER'!$AA$2:$AA$495&lt;=5)*('CONTROL MASTER'!$AC$2:$AC$495&gt;=5))*ROW('CONTROL MASTER'!$S$2:$S$495))-(ROW('CONTROL MASTER'!#REF!)-1)))&amp;TRIM(MID(SUBSTITUTE(SUBSTITUTE(INDEX('CONTROL MASTER'!$N$2:$N$495,(SUMPRODUCT((('CONTROL MASTER'!$S$2:$S$495=14)*('CONTROL MASTER'!$Z$2:$Z$495&lt;=3)*('CONTROL MASTER'!$AB$2:$AB$495&gt;=3)*('CONTROL MASTER'!$AA$2:$AA$495&lt;=5)*('CONTROL MASTER'!$AC$2:$AC$495&gt;=5))*ROW('CONTROL MASTER'!$S$2:$S$495))-(ROW('CONTROL MASTER'!#REF!)-1))),":",","),",",REPT(" ",50)),(((INDEX('CONTROL MASTER'!$Y$2:$Y$495,(SUMPRODUCT((('CONTROL MASTER'!$S$2:$S$495=14)*('CONTROL MASTER'!$Z$2:$Z$495&lt;=3)*('CONTROL MASTER'!$AB$2:$AB$495&gt;=3)*('CONTROL MASTER'!$AA$2:$AA$495&lt;=5)*('CONTROL MASTER'!$AC$2:$AC$495&gt;=5))*ROW('CONTROL MASTER'!$S$2:$S$495))-(ROW('CONTROL MASTER'!#REF!)-1)))+((3-INDEX('CONTROL MASTER'!$Z$2:$Z$495,(SUMPRODUCT((('CONTROL MASTER'!$S$2:$S$495=14)*('CONTROL MASTER'!$Z$2:$Z$495&lt;=3)*('CONTROL MASTER'!$AB$2:$AB$495&gt;=3)*('CONTROL MASTER'!$AA$2:$AA$495&lt;=5)*('CONTROL MASTER'!$AC$2:$AC$495&gt;=5))*ROW('CONTROL MASTER'!$S$2:$S$495))-(ROW('CONTROL MASTER'!#REF!)-1))))*(INDEX('CONTROL MASTER'!$AC$2:$AC$495,(SUMPRODUCT((('CONTROL MASTER'!$S$2:$S$495=14)*('CONTROL MASTER'!$Z$2:$Z$495&lt;=3)*('CONTROL MASTER'!$AB$2:$AB$495&gt;=3)*('CONTROL MASTER'!$AA$2:$AA$495&lt;=5)*('CONTROL MASTER'!$AC$2:$AC$495&gt;=5))*ROW('CONTROL MASTER'!$S$2:$S$495))-(ROW('CONTROL MASTER'!#REF!)-1)))-INDEX('CONTROL MASTER'!$AA$2:$AA$495,(SUMPRODUCT((('CONTROL MASTER'!$S$2:$S$495=14)*('CONTROL MASTER'!$Z$2:$Z$495&lt;=3)*('CONTROL MASTER'!$AB$2:$AB$495&gt;=3)*('CONTROL MASTER'!$AA$2:$AA$495&lt;=5)*('CONTROL MASTER'!$AC$2:$AC$495&gt;=5))*ROW('CONTROL MASTER'!$S$2:$S$495))-(ROW('CONTROL MASTER'!#REF!)-1)))+1)+(5-INDEX('CONTROL MASTER'!$AA$2:$AA$495,(SUMPRODUCT((('CONTROL MASTER'!$S$2:$S$495=14)*('CONTROL MASTER'!$Z$2:$Z$495&lt;=3)*('CONTROL MASTER'!$AB$2:$AB$495&gt;=3)*('CONTROL MASTER'!$AA$2:$AA$495&lt;=5)*('CONTROL MASTER'!$AC$2:$AC$495&gt;=5))*ROW('CONTROL MASTER'!$S$2:$S$495))-(ROW('CONTROL MASTER'!#REF!)-1))))+1)))-1)*50+1,50))&amp;"_"&amp;INDEX('CONTROL MASTER'!$P$2:$P$495,(SUMPRODUCT((('CONTROL MASTER'!$S$2:$S$495=14)*('CONTROL MASTER'!$Z$2:$Z$495&lt;=3)*('CONTROL MASTER'!$AB$2:$AB$495&gt;=3)*('CONTROL MASTER'!$AA$2:$AA$495&lt;=5)*('CONTROL MASTER'!$AC$2:$AC$495&gt;=5))*ROW('CONTROL MASTER'!$S$2:$S$495))-(ROW('CONTROL MASTER'!#REF!)-1))),"")),"")</f>
        <v/>
      </c>
      <c r="G187" s="10" t="str">
        <f>IFERROR(IF(SUMPRODUCT((('CONTROL MASTER'!$S$2:$S$495=14)*('CONTROL MASTER'!$T$2:$T$495&lt;=3)*('CONTROL MASTER'!$V$2:$V$495&gt;=3)*('CONTROL MASTER'!$U$2:$U$495&lt;=6)*('CONTROL MASTER'!$W$2:$W$495&gt;=6))*ROW('CONTROL MASTER'!$S$2:$S$495))&gt;0,INDEX('CONTROL MASTER'!$X$2:$X$495,(SUMPRODUCT((('CONTROL MASTER'!$S$2:$S$495=14)*('CONTROL MASTER'!$T$2:$T$495&lt;=3)*('CONTROL MASTER'!$V$2:$V$495&gt;=3)*('CONTROL MASTER'!$U$2:$U$495&lt;=6)*('CONTROL MASTER'!$W$2:$W$495&gt;=6))*ROW('CONTROL MASTER'!$S$2:$S$495))-(ROW('CONTROL MASTER'!#REF!)-1)))&amp;TRIM(MID(SUBSTITUTE(SUBSTITUTE(INDEX('CONTROL MASTER'!$N$2:$N$495,(SUMPRODUCT((('CONTROL MASTER'!$S$2:$S$495=14)*('CONTROL MASTER'!$T$2:$T$495&lt;=3)*('CONTROL MASTER'!$V$2:$V$495&gt;=3)*('CONTROL MASTER'!$U$2:$U$495&lt;=6)*('CONTROL MASTER'!$W$2:$W$495&gt;=6))*ROW('CONTROL MASTER'!$S$2:$S$495))-(ROW('CONTROL MASTER'!#REF!)-1))),":",","),",",REPT(" ",50)),((((3-INDEX('CONTROL MASTER'!$T$2:$T$495,(SUMPRODUCT((('CONTROL MASTER'!$S$2:$S$495=14)*('CONTROL MASTER'!$T$2:$T$495&lt;=3)*('CONTROL MASTER'!$V$2:$V$495&gt;=3)*('CONTROL MASTER'!$U$2:$U$495&lt;=6)*('CONTROL MASTER'!$W$2:$W$495&gt;=6))*ROW('CONTROL MASTER'!$S$2:$S$495))-(ROW('CONTROL MASTER'!#REF!)-1))))*(INDEX('CONTROL MASTER'!$W$2:$W$495,(SUMPRODUCT((('CONTROL MASTER'!$S$2:$S$495=14)*('CONTROL MASTER'!$T$2:$T$495&lt;=3)*('CONTROL MASTER'!$V$2:$V$495&gt;=3)*('CONTROL MASTER'!$U$2:$U$495&lt;=6)*('CONTROL MASTER'!$W$2:$W$495&gt;=6))*ROW('CONTROL MASTER'!$S$2:$S$495))-(ROW('CONTROL MASTER'!#REF!)-1)))-INDEX('CONTROL MASTER'!$U$2:$U$495,(SUMPRODUCT((('CONTROL MASTER'!$S$2:$S$495=14)*('CONTROL MASTER'!$T$2:$T$495&lt;=3)*('CONTROL MASTER'!$V$2:$V$495&gt;=3)*('CONTROL MASTER'!$U$2:$U$495&lt;=6)*('CONTROL MASTER'!$W$2:$W$495&gt;=6))*ROW('CONTROL MASTER'!$S$2:$S$495))-(ROW('CONTROL MASTER'!#REF!)-1)))+1)+(6-INDEX('CONTROL MASTER'!$U$2:$U$495,(SUMPRODUCT((('CONTROL MASTER'!$S$2:$S$495=14)*('CONTROL MASTER'!$T$2:$T$495&lt;=3)*('CONTROL MASTER'!$V$2:$V$495&gt;=3)*('CONTROL MASTER'!$U$2:$U$495&lt;=6)*('CONTROL MASTER'!$W$2:$W$495&gt;=6))*ROW('CONTROL MASTER'!$S$2:$S$495))-(ROW('CONTROL MASTER'!#REF!)-1))))+1))-1)*50+1,50))&amp;"_"&amp;INDEX('CONTROL MASTER'!$P$2:$P$495,(SUMPRODUCT((('CONTROL MASTER'!$S$2:$S$495=14)*('CONTROL MASTER'!$T$2:$T$495&lt;=3)*('CONTROL MASTER'!$V$2:$V$495&gt;=3)*('CONTROL MASTER'!$U$2:$U$495&lt;=6)*('CONTROL MASTER'!$W$2:$W$495&gt;=6))*ROW('CONTROL MASTER'!$S$2:$S$495))-(ROW('CONTROL MASTER'!#REF!)-1))),IF(SUMPRODUCT((('CONTROL MASTER'!$S$2:$S$495=14)*('CONTROL MASTER'!$Z$2:$Z$495&lt;=3)*('CONTROL MASTER'!$AB$2:$AB$495&gt;=3)*('CONTROL MASTER'!$AA$2:$AA$495&lt;=6)*('CONTROL MASTER'!$AC$2:$AC$495&gt;=6))*ROW('CONTROL MASTER'!$S$2:$S$495))&gt;0,INDEX('CONTROL MASTER'!$X$2:$X$495,(SUMPRODUCT((('CONTROL MASTER'!$S$2:$S$495=14)*('CONTROL MASTER'!$Z$2:$Z$495&lt;=3)*('CONTROL MASTER'!$AB$2:$AB$495&gt;=3)*('CONTROL MASTER'!$AA$2:$AA$495&lt;=6)*('CONTROL MASTER'!$AC$2:$AC$495&gt;=6))*ROW('CONTROL MASTER'!$S$2:$S$495))-(ROW('CONTROL MASTER'!#REF!)-1)))&amp;TRIM(MID(SUBSTITUTE(SUBSTITUTE(INDEX('CONTROL MASTER'!$N$2:$N$495,(SUMPRODUCT((('CONTROL MASTER'!$S$2:$S$495=14)*('CONTROL MASTER'!$Z$2:$Z$495&lt;=3)*('CONTROL MASTER'!$AB$2:$AB$495&gt;=3)*('CONTROL MASTER'!$AA$2:$AA$495&lt;=6)*('CONTROL MASTER'!$AC$2:$AC$495&gt;=6))*ROW('CONTROL MASTER'!$S$2:$S$495))-(ROW('CONTROL MASTER'!#REF!)-1))),":",","),",",REPT(" ",50)),(((INDEX('CONTROL MASTER'!$Y$2:$Y$495,(SUMPRODUCT((('CONTROL MASTER'!$S$2:$S$495=14)*('CONTROL MASTER'!$Z$2:$Z$495&lt;=3)*('CONTROL MASTER'!$AB$2:$AB$495&gt;=3)*('CONTROL MASTER'!$AA$2:$AA$495&lt;=6)*('CONTROL MASTER'!$AC$2:$AC$495&gt;=6))*ROW('CONTROL MASTER'!$S$2:$S$495))-(ROW('CONTROL MASTER'!#REF!)-1)))+((3-INDEX('CONTROL MASTER'!$Z$2:$Z$495,(SUMPRODUCT((('CONTROL MASTER'!$S$2:$S$495=14)*('CONTROL MASTER'!$Z$2:$Z$495&lt;=3)*('CONTROL MASTER'!$AB$2:$AB$495&gt;=3)*('CONTROL MASTER'!$AA$2:$AA$495&lt;=6)*('CONTROL MASTER'!$AC$2:$AC$495&gt;=6))*ROW('CONTROL MASTER'!$S$2:$S$495))-(ROW('CONTROL MASTER'!#REF!)-1))))*(INDEX('CONTROL MASTER'!$AC$2:$AC$495,(SUMPRODUCT((('CONTROL MASTER'!$S$2:$S$495=14)*('CONTROL MASTER'!$Z$2:$Z$495&lt;=3)*('CONTROL MASTER'!$AB$2:$AB$495&gt;=3)*('CONTROL MASTER'!$AA$2:$AA$495&lt;=6)*('CONTROL MASTER'!$AC$2:$AC$495&gt;=6))*ROW('CONTROL MASTER'!$S$2:$S$495))-(ROW('CONTROL MASTER'!#REF!)-1)))-INDEX('CONTROL MASTER'!$AA$2:$AA$495,(SUMPRODUCT((('CONTROL MASTER'!$S$2:$S$495=14)*('CONTROL MASTER'!$Z$2:$Z$495&lt;=3)*('CONTROL MASTER'!$AB$2:$AB$495&gt;=3)*('CONTROL MASTER'!$AA$2:$AA$495&lt;=6)*('CONTROL MASTER'!$AC$2:$AC$495&gt;=6))*ROW('CONTROL MASTER'!$S$2:$S$495))-(ROW('CONTROL MASTER'!#REF!)-1)))+1)+(6-INDEX('CONTROL MASTER'!$AA$2:$AA$495,(SUMPRODUCT((('CONTROL MASTER'!$S$2:$S$495=14)*('CONTROL MASTER'!$Z$2:$Z$495&lt;=3)*('CONTROL MASTER'!$AB$2:$AB$495&gt;=3)*('CONTROL MASTER'!$AA$2:$AA$495&lt;=6)*('CONTROL MASTER'!$AC$2:$AC$495&gt;=6))*ROW('CONTROL MASTER'!$S$2:$S$495))-(ROW('CONTROL MASTER'!#REF!)-1))))+1)))-1)*50+1,50))&amp;"_"&amp;INDEX('CONTROL MASTER'!$P$2:$P$495,(SUMPRODUCT((('CONTROL MASTER'!$S$2:$S$495=14)*('CONTROL MASTER'!$Z$2:$Z$495&lt;=3)*('CONTROL MASTER'!$AB$2:$AB$495&gt;=3)*('CONTROL MASTER'!$AA$2:$AA$495&lt;=6)*('CONTROL MASTER'!$AC$2:$AC$495&gt;=6))*ROW('CONTROL MASTER'!$S$2:$S$495))-(ROW('CONTROL MASTER'!#REF!)-1))),"")),"")</f>
        <v/>
      </c>
      <c r="H187" s="10" t="str">
        <f>IFERROR(IF(SUMPRODUCT((('CONTROL MASTER'!$S$2:$S$495=14)*('CONTROL MASTER'!$T$2:$T$495&lt;=3)*('CONTROL MASTER'!$V$2:$V$495&gt;=3)*('CONTROL MASTER'!$U$2:$U$495&lt;=7)*('CONTROL MASTER'!$W$2:$W$495&gt;=7))*ROW('CONTROL MASTER'!$S$2:$S$495))&gt;0,INDEX('CONTROL MASTER'!$X$2:$X$495,(SUMPRODUCT((('CONTROL MASTER'!$S$2:$S$495=14)*('CONTROL MASTER'!$T$2:$T$495&lt;=3)*('CONTROL MASTER'!$V$2:$V$495&gt;=3)*('CONTROL MASTER'!$U$2:$U$495&lt;=7)*('CONTROL MASTER'!$W$2:$W$495&gt;=7))*ROW('CONTROL MASTER'!$S$2:$S$495))-(ROW('CONTROL MASTER'!#REF!)-1)))&amp;TRIM(MID(SUBSTITUTE(SUBSTITUTE(INDEX('CONTROL MASTER'!$N$2:$N$495,(SUMPRODUCT((('CONTROL MASTER'!$S$2:$S$495=14)*('CONTROL MASTER'!$T$2:$T$495&lt;=3)*('CONTROL MASTER'!$V$2:$V$495&gt;=3)*('CONTROL MASTER'!$U$2:$U$495&lt;=7)*('CONTROL MASTER'!$W$2:$W$495&gt;=7))*ROW('CONTROL MASTER'!$S$2:$S$495))-(ROW('CONTROL MASTER'!#REF!)-1))),":",","),",",REPT(" ",50)),((((3-INDEX('CONTROL MASTER'!$T$2:$T$495,(SUMPRODUCT((('CONTROL MASTER'!$S$2:$S$495=14)*('CONTROL MASTER'!$T$2:$T$495&lt;=3)*('CONTROL MASTER'!$V$2:$V$495&gt;=3)*('CONTROL MASTER'!$U$2:$U$495&lt;=7)*('CONTROL MASTER'!$W$2:$W$495&gt;=7))*ROW('CONTROL MASTER'!$S$2:$S$495))-(ROW('CONTROL MASTER'!#REF!)-1))))*(INDEX('CONTROL MASTER'!$W$2:$W$495,(SUMPRODUCT((('CONTROL MASTER'!$S$2:$S$495=14)*('CONTROL MASTER'!$T$2:$T$495&lt;=3)*('CONTROL MASTER'!$V$2:$V$495&gt;=3)*('CONTROL MASTER'!$U$2:$U$495&lt;=7)*('CONTROL MASTER'!$W$2:$W$495&gt;=7))*ROW('CONTROL MASTER'!$S$2:$S$495))-(ROW('CONTROL MASTER'!#REF!)-1)))-INDEX('CONTROL MASTER'!$U$2:$U$495,(SUMPRODUCT((('CONTROL MASTER'!$S$2:$S$495=14)*('CONTROL MASTER'!$T$2:$T$495&lt;=3)*('CONTROL MASTER'!$V$2:$V$495&gt;=3)*('CONTROL MASTER'!$U$2:$U$495&lt;=7)*('CONTROL MASTER'!$W$2:$W$495&gt;=7))*ROW('CONTROL MASTER'!$S$2:$S$495))-(ROW('CONTROL MASTER'!#REF!)-1)))+1)+(7-INDEX('CONTROL MASTER'!$U$2:$U$495,(SUMPRODUCT((('CONTROL MASTER'!$S$2:$S$495=14)*('CONTROL MASTER'!$T$2:$T$495&lt;=3)*('CONTROL MASTER'!$V$2:$V$495&gt;=3)*('CONTROL MASTER'!$U$2:$U$495&lt;=7)*('CONTROL MASTER'!$W$2:$W$495&gt;=7))*ROW('CONTROL MASTER'!$S$2:$S$495))-(ROW('CONTROL MASTER'!#REF!)-1))))+1))-1)*50+1,50))&amp;"_"&amp;INDEX('CONTROL MASTER'!$P$2:$P$495,(SUMPRODUCT((('CONTROL MASTER'!$S$2:$S$495=14)*('CONTROL MASTER'!$T$2:$T$495&lt;=3)*('CONTROL MASTER'!$V$2:$V$495&gt;=3)*('CONTROL MASTER'!$U$2:$U$495&lt;=7)*('CONTROL MASTER'!$W$2:$W$495&gt;=7))*ROW('CONTROL MASTER'!$S$2:$S$495))-(ROW('CONTROL MASTER'!#REF!)-1))),IF(SUMPRODUCT((('CONTROL MASTER'!$S$2:$S$495=14)*('CONTROL MASTER'!$Z$2:$Z$495&lt;=3)*('CONTROL MASTER'!$AB$2:$AB$495&gt;=3)*('CONTROL MASTER'!$AA$2:$AA$495&lt;=7)*('CONTROL MASTER'!$AC$2:$AC$495&gt;=7))*ROW('CONTROL MASTER'!$S$2:$S$495))&gt;0,INDEX('CONTROL MASTER'!$X$2:$X$495,(SUMPRODUCT((('CONTROL MASTER'!$S$2:$S$495=14)*('CONTROL MASTER'!$Z$2:$Z$495&lt;=3)*('CONTROL MASTER'!$AB$2:$AB$495&gt;=3)*('CONTROL MASTER'!$AA$2:$AA$495&lt;=7)*('CONTROL MASTER'!$AC$2:$AC$495&gt;=7))*ROW('CONTROL MASTER'!$S$2:$S$495))-(ROW('CONTROL MASTER'!#REF!)-1)))&amp;TRIM(MID(SUBSTITUTE(SUBSTITUTE(INDEX('CONTROL MASTER'!$N$2:$N$495,(SUMPRODUCT((('CONTROL MASTER'!$S$2:$S$495=14)*('CONTROL MASTER'!$Z$2:$Z$495&lt;=3)*('CONTROL MASTER'!$AB$2:$AB$495&gt;=3)*('CONTROL MASTER'!$AA$2:$AA$495&lt;=7)*('CONTROL MASTER'!$AC$2:$AC$495&gt;=7))*ROW('CONTROL MASTER'!$S$2:$S$495))-(ROW('CONTROL MASTER'!#REF!)-1))),":",","),",",REPT(" ",50)),(((INDEX('CONTROL MASTER'!$Y$2:$Y$495,(SUMPRODUCT((('CONTROL MASTER'!$S$2:$S$495=14)*('CONTROL MASTER'!$Z$2:$Z$495&lt;=3)*('CONTROL MASTER'!$AB$2:$AB$495&gt;=3)*('CONTROL MASTER'!$AA$2:$AA$495&lt;=7)*('CONTROL MASTER'!$AC$2:$AC$495&gt;=7))*ROW('CONTROL MASTER'!$S$2:$S$495))-(ROW('CONTROL MASTER'!#REF!)-1)))+((3-INDEX('CONTROL MASTER'!$Z$2:$Z$495,(SUMPRODUCT((('CONTROL MASTER'!$S$2:$S$495=14)*('CONTROL MASTER'!$Z$2:$Z$495&lt;=3)*('CONTROL MASTER'!$AB$2:$AB$495&gt;=3)*('CONTROL MASTER'!$AA$2:$AA$495&lt;=7)*('CONTROL MASTER'!$AC$2:$AC$495&gt;=7))*ROW('CONTROL MASTER'!$S$2:$S$495))-(ROW('CONTROL MASTER'!#REF!)-1))))*(INDEX('CONTROL MASTER'!$AC$2:$AC$495,(SUMPRODUCT((('CONTROL MASTER'!$S$2:$S$495=14)*('CONTROL MASTER'!$Z$2:$Z$495&lt;=3)*('CONTROL MASTER'!$AB$2:$AB$495&gt;=3)*('CONTROL MASTER'!$AA$2:$AA$495&lt;=7)*('CONTROL MASTER'!$AC$2:$AC$495&gt;=7))*ROW('CONTROL MASTER'!$S$2:$S$495))-(ROW('CONTROL MASTER'!#REF!)-1)))-INDEX('CONTROL MASTER'!$AA$2:$AA$495,(SUMPRODUCT((('CONTROL MASTER'!$S$2:$S$495=14)*('CONTROL MASTER'!$Z$2:$Z$495&lt;=3)*('CONTROL MASTER'!$AB$2:$AB$495&gt;=3)*('CONTROL MASTER'!$AA$2:$AA$495&lt;=7)*('CONTROL MASTER'!$AC$2:$AC$495&gt;=7))*ROW('CONTROL MASTER'!$S$2:$S$495))-(ROW('CONTROL MASTER'!#REF!)-1)))+1)+(7-INDEX('CONTROL MASTER'!$AA$2:$AA$495,(SUMPRODUCT((('CONTROL MASTER'!$S$2:$S$495=14)*('CONTROL MASTER'!$Z$2:$Z$495&lt;=3)*('CONTROL MASTER'!$AB$2:$AB$495&gt;=3)*('CONTROL MASTER'!$AA$2:$AA$495&lt;=7)*('CONTROL MASTER'!$AC$2:$AC$495&gt;=7))*ROW('CONTROL MASTER'!$S$2:$S$495))-(ROW('CONTROL MASTER'!#REF!)-1))))+1)))-1)*50+1,50))&amp;"_"&amp;INDEX('CONTROL MASTER'!$P$2:$P$495,(SUMPRODUCT((('CONTROL MASTER'!$S$2:$S$495=14)*('CONTROL MASTER'!$Z$2:$Z$495&lt;=3)*('CONTROL MASTER'!$AB$2:$AB$495&gt;=3)*('CONTROL MASTER'!$AA$2:$AA$495&lt;=7)*('CONTROL MASTER'!$AC$2:$AC$495&gt;=7))*ROW('CONTROL MASTER'!$S$2:$S$495))-(ROW('CONTROL MASTER'!#REF!)-1))),"")),"")</f>
        <v/>
      </c>
      <c r="I187" s="10" t="str">
        <f>IFERROR(IF(SUMPRODUCT((('CONTROL MASTER'!$S$2:$S$495=14)*('CONTROL MASTER'!$T$2:$T$495&lt;=3)*('CONTROL MASTER'!$V$2:$V$495&gt;=3)*('CONTROL MASTER'!$U$2:$U$495&lt;=8)*('CONTROL MASTER'!$W$2:$W$495&gt;=8))*ROW('CONTROL MASTER'!$S$2:$S$495))&gt;0,INDEX('CONTROL MASTER'!$X$2:$X$495,(SUMPRODUCT((('CONTROL MASTER'!$S$2:$S$495=14)*('CONTROL MASTER'!$T$2:$T$495&lt;=3)*('CONTROL MASTER'!$V$2:$V$495&gt;=3)*('CONTROL MASTER'!$U$2:$U$495&lt;=8)*('CONTROL MASTER'!$W$2:$W$495&gt;=8))*ROW('CONTROL MASTER'!$S$2:$S$495))-(ROW('CONTROL MASTER'!#REF!)-1)))&amp;TRIM(MID(SUBSTITUTE(SUBSTITUTE(INDEX('CONTROL MASTER'!$N$2:$N$495,(SUMPRODUCT((('CONTROL MASTER'!$S$2:$S$495=14)*('CONTROL MASTER'!$T$2:$T$495&lt;=3)*('CONTROL MASTER'!$V$2:$V$495&gt;=3)*('CONTROL MASTER'!$U$2:$U$495&lt;=8)*('CONTROL MASTER'!$W$2:$W$495&gt;=8))*ROW('CONTROL MASTER'!$S$2:$S$495))-(ROW('CONTROL MASTER'!#REF!)-1))),":",","),",",REPT(" ",50)),((((3-INDEX('CONTROL MASTER'!$T$2:$T$495,(SUMPRODUCT((('CONTROL MASTER'!$S$2:$S$495=14)*('CONTROL MASTER'!$T$2:$T$495&lt;=3)*('CONTROL MASTER'!$V$2:$V$495&gt;=3)*('CONTROL MASTER'!$U$2:$U$495&lt;=8)*('CONTROL MASTER'!$W$2:$W$495&gt;=8))*ROW('CONTROL MASTER'!$S$2:$S$495))-(ROW('CONTROL MASTER'!#REF!)-1))))*(INDEX('CONTROL MASTER'!$W$2:$W$495,(SUMPRODUCT((('CONTROL MASTER'!$S$2:$S$495=14)*('CONTROL MASTER'!$T$2:$T$495&lt;=3)*('CONTROL MASTER'!$V$2:$V$495&gt;=3)*('CONTROL MASTER'!$U$2:$U$495&lt;=8)*('CONTROL MASTER'!$W$2:$W$495&gt;=8))*ROW('CONTROL MASTER'!$S$2:$S$495))-(ROW('CONTROL MASTER'!#REF!)-1)))-INDEX('CONTROL MASTER'!$U$2:$U$495,(SUMPRODUCT((('CONTROL MASTER'!$S$2:$S$495=14)*('CONTROL MASTER'!$T$2:$T$495&lt;=3)*('CONTROL MASTER'!$V$2:$V$495&gt;=3)*('CONTROL MASTER'!$U$2:$U$495&lt;=8)*('CONTROL MASTER'!$W$2:$W$495&gt;=8))*ROW('CONTROL MASTER'!$S$2:$S$495))-(ROW('CONTROL MASTER'!#REF!)-1)))+1)+(8-INDEX('CONTROL MASTER'!$U$2:$U$495,(SUMPRODUCT((('CONTROL MASTER'!$S$2:$S$495=14)*('CONTROL MASTER'!$T$2:$T$495&lt;=3)*('CONTROL MASTER'!$V$2:$V$495&gt;=3)*('CONTROL MASTER'!$U$2:$U$495&lt;=8)*('CONTROL MASTER'!$W$2:$W$495&gt;=8))*ROW('CONTROL MASTER'!$S$2:$S$495))-(ROW('CONTROL MASTER'!#REF!)-1))))+1))-1)*50+1,50))&amp;"_"&amp;INDEX('CONTROL MASTER'!$P$2:$P$495,(SUMPRODUCT((('CONTROL MASTER'!$S$2:$S$495=14)*('CONTROL MASTER'!$T$2:$T$495&lt;=3)*('CONTROL MASTER'!$V$2:$V$495&gt;=3)*('CONTROL MASTER'!$U$2:$U$495&lt;=8)*('CONTROL MASTER'!$W$2:$W$495&gt;=8))*ROW('CONTROL MASTER'!$S$2:$S$495))-(ROW('CONTROL MASTER'!#REF!)-1))),IF(SUMPRODUCT((('CONTROL MASTER'!$S$2:$S$495=14)*('CONTROL MASTER'!$Z$2:$Z$495&lt;=3)*('CONTROL MASTER'!$AB$2:$AB$495&gt;=3)*('CONTROL MASTER'!$AA$2:$AA$495&lt;=8)*('CONTROL MASTER'!$AC$2:$AC$495&gt;=8))*ROW('CONTROL MASTER'!$S$2:$S$495))&gt;0,INDEX('CONTROL MASTER'!$X$2:$X$495,(SUMPRODUCT((('CONTROL MASTER'!$S$2:$S$495=14)*('CONTROL MASTER'!$Z$2:$Z$495&lt;=3)*('CONTROL MASTER'!$AB$2:$AB$495&gt;=3)*('CONTROL MASTER'!$AA$2:$AA$495&lt;=8)*('CONTROL MASTER'!$AC$2:$AC$495&gt;=8))*ROW('CONTROL MASTER'!$S$2:$S$495))-(ROW('CONTROL MASTER'!#REF!)-1)))&amp;TRIM(MID(SUBSTITUTE(SUBSTITUTE(INDEX('CONTROL MASTER'!$N$2:$N$495,(SUMPRODUCT((('CONTROL MASTER'!$S$2:$S$495=14)*('CONTROL MASTER'!$Z$2:$Z$495&lt;=3)*('CONTROL MASTER'!$AB$2:$AB$495&gt;=3)*('CONTROL MASTER'!$AA$2:$AA$495&lt;=8)*('CONTROL MASTER'!$AC$2:$AC$495&gt;=8))*ROW('CONTROL MASTER'!$S$2:$S$495))-(ROW('CONTROL MASTER'!#REF!)-1))),":",","),",",REPT(" ",50)),(((INDEX('CONTROL MASTER'!$Y$2:$Y$495,(SUMPRODUCT((('CONTROL MASTER'!$S$2:$S$495=14)*('CONTROL MASTER'!$Z$2:$Z$495&lt;=3)*('CONTROL MASTER'!$AB$2:$AB$495&gt;=3)*('CONTROL MASTER'!$AA$2:$AA$495&lt;=8)*('CONTROL MASTER'!$AC$2:$AC$495&gt;=8))*ROW('CONTROL MASTER'!$S$2:$S$495))-(ROW('CONTROL MASTER'!#REF!)-1)))+((3-INDEX('CONTROL MASTER'!$Z$2:$Z$495,(SUMPRODUCT((('CONTROL MASTER'!$S$2:$S$495=14)*('CONTROL MASTER'!$Z$2:$Z$495&lt;=3)*('CONTROL MASTER'!$AB$2:$AB$495&gt;=3)*('CONTROL MASTER'!$AA$2:$AA$495&lt;=8)*('CONTROL MASTER'!$AC$2:$AC$495&gt;=8))*ROW('CONTROL MASTER'!$S$2:$S$495))-(ROW('CONTROL MASTER'!#REF!)-1))))*(INDEX('CONTROL MASTER'!$AC$2:$AC$495,(SUMPRODUCT((('CONTROL MASTER'!$S$2:$S$495=14)*('CONTROL MASTER'!$Z$2:$Z$495&lt;=3)*('CONTROL MASTER'!$AB$2:$AB$495&gt;=3)*('CONTROL MASTER'!$AA$2:$AA$495&lt;=8)*('CONTROL MASTER'!$AC$2:$AC$495&gt;=8))*ROW('CONTROL MASTER'!$S$2:$S$495))-(ROW('CONTROL MASTER'!#REF!)-1)))-INDEX('CONTROL MASTER'!$AA$2:$AA$495,(SUMPRODUCT((('CONTROL MASTER'!$S$2:$S$495=14)*('CONTROL MASTER'!$Z$2:$Z$495&lt;=3)*('CONTROL MASTER'!$AB$2:$AB$495&gt;=3)*('CONTROL MASTER'!$AA$2:$AA$495&lt;=8)*('CONTROL MASTER'!$AC$2:$AC$495&gt;=8))*ROW('CONTROL MASTER'!$S$2:$S$495))-(ROW('CONTROL MASTER'!#REF!)-1)))+1)+(8-INDEX('CONTROL MASTER'!$AA$2:$AA$495,(SUMPRODUCT((('CONTROL MASTER'!$S$2:$S$495=14)*('CONTROL MASTER'!$Z$2:$Z$495&lt;=3)*('CONTROL MASTER'!$AB$2:$AB$495&gt;=3)*('CONTROL MASTER'!$AA$2:$AA$495&lt;=8)*('CONTROL MASTER'!$AC$2:$AC$495&gt;=8))*ROW('CONTROL MASTER'!$S$2:$S$495))-(ROW('CONTROL MASTER'!#REF!)-1))))+1)))-1)*50+1,50))&amp;"_"&amp;INDEX('CONTROL MASTER'!$P$2:$P$495,(SUMPRODUCT((('CONTROL MASTER'!$S$2:$S$495=14)*('CONTROL MASTER'!$Z$2:$Z$495&lt;=3)*('CONTROL MASTER'!$AB$2:$AB$495&gt;=3)*('CONTROL MASTER'!$AA$2:$AA$495&lt;=8)*('CONTROL MASTER'!$AC$2:$AC$495&gt;=8))*ROW('CONTROL MASTER'!$S$2:$S$495))-(ROW('CONTROL MASTER'!#REF!)-1))),"")),"")</f>
        <v/>
      </c>
      <c r="J187" s="10" t="str">
        <f>IFERROR(IF(SUMPRODUCT((('CONTROL MASTER'!$S$2:$S$495=14)*('CONTROL MASTER'!$T$2:$T$495&lt;=3)*('CONTROL MASTER'!$V$2:$V$495&gt;=3)*('CONTROL MASTER'!$U$2:$U$495&lt;=9)*('CONTROL MASTER'!$W$2:$W$495&gt;=9))*ROW('CONTROL MASTER'!$S$2:$S$495))&gt;0,INDEX('CONTROL MASTER'!$X$2:$X$495,(SUMPRODUCT((('CONTROL MASTER'!$S$2:$S$495=14)*('CONTROL MASTER'!$T$2:$T$495&lt;=3)*('CONTROL MASTER'!$V$2:$V$495&gt;=3)*('CONTROL MASTER'!$U$2:$U$495&lt;=9)*('CONTROL MASTER'!$W$2:$W$495&gt;=9))*ROW('CONTROL MASTER'!$S$2:$S$495))-(ROW('CONTROL MASTER'!#REF!)-1)))&amp;TRIM(MID(SUBSTITUTE(SUBSTITUTE(INDEX('CONTROL MASTER'!$N$2:$N$495,(SUMPRODUCT((('CONTROL MASTER'!$S$2:$S$495=14)*('CONTROL MASTER'!$T$2:$T$495&lt;=3)*('CONTROL MASTER'!$V$2:$V$495&gt;=3)*('CONTROL MASTER'!$U$2:$U$495&lt;=9)*('CONTROL MASTER'!$W$2:$W$495&gt;=9))*ROW('CONTROL MASTER'!$S$2:$S$495))-(ROW('CONTROL MASTER'!#REF!)-1))),":",","),",",REPT(" ",50)),((((3-INDEX('CONTROL MASTER'!$T$2:$T$495,(SUMPRODUCT((('CONTROL MASTER'!$S$2:$S$495=14)*('CONTROL MASTER'!$T$2:$T$495&lt;=3)*('CONTROL MASTER'!$V$2:$V$495&gt;=3)*('CONTROL MASTER'!$U$2:$U$495&lt;=9)*('CONTROL MASTER'!$W$2:$W$495&gt;=9))*ROW('CONTROL MASTER'!$S$2:$S$495))-(ROW('CONTROL MASTER'!#REF!)-1))))*(INDEX('CONTROL MASTER'!$W$2:$W$495,(SUMPRODUCT((('CONTROL MASTER'!$S$2:$S$495=14)*('CONTROL MASTER'!$T$2:$T$495&lt;=3)*('CONTROL MASTER'!$V$2:$V$495&gt;=3)*('CONTROL MASTER'!$U$2:$U$495&lt;=9)*('CONTROL MASTER'!$W$2:$W$495&gt;=9))*ROW('CONTROL MASTER'!$S$2:$S$495))-(ROW('CONTROL MASTER'!#REF!)-1)))-INDEX('CONTROL MASTER'!$U$2:$U$495,(SUMPRODUCT((('CONTROL MASTER'!$S$2:$S$495=14)*('CONTROL MASTER'!$T$2:$T$495&lt;=3)*('CONTROL MASTER'!$V$2:$V$495&gt;=3)*('CONTROL MASTER'!$U$2:$U$495&lt;=9)*('CONTROL MASTER'!$W$2:$W$495&gt;=9))*ROW('CONTROL MASTER'!$S$2:$S$495))-(ROW('CONTROL MASTER'!#REF!)-1)))+1)+(9-INDEX('CONTROL MASTER'!$U$2:$U$495,(SUMPRODUCT((('CONTROL MASTER'!$S$2:$S$495=14)*('CONTROL MASTER'!$T$2:$T$495&lt;=3)*('CONTROL MASTER'!$V$2:$V$495&gt;=3)*('CONTROL MASTER'!$U$2:$U$495&lt;=9)*('CONTROL MASTER'!$W$2:$W$495&gt;=9))*ROW('CONTROL MASTER'!$S$2:$S$495))-(ROW('CONTROL MASTER'!#REF!)-1))))+1))-1)*50+1,50))&amp;"_"&amp;INDEX('CONTROL MASTER'!$P$2:$P$495,(SUMPRODUCT((('CONTROL MASTER'!$S$2:$S$495=14)*('CONTROL MASTER'!$T$2:$T$495&lt;=3)*('CONTROL MASTER'!$V$2:$V$495&gt;=3)*('CONTROL MASTER'!$U$2:$U$495&lt;=9)*('CONTROL MASTER'!$W$2:$W$495&gt;=9))*ROW('CONTROL MASTER'!$S$2:$S$495))-(ROW('CONTROL MASTER'!#REF!)-1))),IF(SUMPRODUCT((('CONTROL MASTER'!$S$2:$S$495=14)*('CONTROL MASTER'!$Z$2:$Z$495&lt;=3)*('CONTROL MASTER'!$AB$2:$AB$495&gt;=3)*('CONTROL MASTER'!$AA$2:$AA$495&lt;=9)*('CONTROL MASTER'!$AC$2:$AC$495&gt;=9))*ROW('CONTROL MASTER'!$S$2:$S$495))&gt;0,INDEX('CONTROL MASTER'!$X$2:$X$495,(SUMPRODUCT((('CONTROL MASTER'!$S$2:$S$495=14)*('CONTROL MASTER'!$Z$2:$Z$495&lt;=3)*('CONTROL MASTER'!$AB$2:$AB$495&gt;=3)*('CONTROL MASTER'!$AA$2:$AA$495&lt;=9)*('CONTROL MASTER'!$AC$2:$AC$495&gt;=9))*ROW('CONTROL MASTER'!$S$2:$S$495))-(ROW('CONTROL MASTER'!#REF!)-1)))&amp;TRIM(MID(SUBSTITUTE(SUBSTITUTE(INDEX('CONTROL MASTER'!$N$2:$N$495,(SUMPRODUCT((('CONTROL MASTER'!$S$2:$S$495=14)*('CONTROL MASTER'!$Z$2:$Z$495&lt;=3)*('CONTROL MASTER'!$AB$2:$AB$495&gt;=3)*('CONTROL MASTER'!$AA$2:$AA$495&lt;=9)*('CONTROL MASTER'!$AC$2:$AC$495&gt;=9))*ROW('CONTROL MASTER'!$S$2:$S$495))-(ROW('CONTROL MASTER'!#REF!)-1))),":",","),",",REPT(" ",50)),(((INDEX('CONTROL MASTER'!$Y$2:$Y$495,(SUMPRODUCT((('CONTROL MASTER'!$S$2:$S$495=14)*('CONTROL MASTER'!$Z$2:$Z$495&lt;=3)*('CONTROL MASTER'!$AB$2:$AB$495&gt;=3)*('CONTROL MASTER'!$AA$2:$AA$495&lt;=9)*('CONTROL MASTER'!$AC$2:$AC$495&gt;=9))*ROW('CONTROL MASTER'!$S$2:$S$495))-(ROW('CONTROL MASTER'!#REF!)-1)))+((3-INDEX('CONTROL MASTER'!$Z$2:$Z$495,(SUMPRODUCT((('CONTROL MASTER'!$S$2:$S$495=14)*('CONTROL MASTER'!$Z$2:$Z$495&lt;=3)*('CONTROL MASTER'!$AB$2:$AB$495&gt;=3)*('CONTROL MASTER'!$AA$2:$AA$495&lt;=9)*('CONTROL MASTER'!$AC$2:$AC$495&gt;=9))*ROW('CONTROL MASTER'!$S$2:$S$495))-(ROW('CONTROL MASTER'!#REF!)-1))))*(INDEX('CONTROL MASTER'!$AC$2:$AC$495,(SUMPRODUCT((('CONTROL MASTER'!$S$2:$S$495=14)*('CONTROL MASTER'!$Z$2:$Z$495&lt;=3)*('CONTROL MASTER'!$AB$2:$AB$495&gt;=3)*('CONTROL MASTER'!$AA$2:$AA$495&lt;=9)*('CONTROL MASTER'!$AC$2:$AC$495&gt;=9))*ROW('CONTROL MASTER'!$S$2:$S$495))-(ROW('CONTROL MASTER'!#REF!)-1)))-INDEX('CONTROL MASTER'!$AA$2:$AA$495,(SUMPRODUCT((('CONTROL MASTER'!$S$2:$S$495=14)*('CONTROL MASTER'!$Z$2:$Z$495&lt;=3)*('CONTROL MASTER'!$AB$2:$AB$495&gt;=3)*('CONTROL MASTER'!$AA$2:$AA$495&lt;=9)*('CONTROL MASTER'!$AC$2:$AC$495&gt;=9))*ROW('CONTROL MASTER'!$S$2:$S$495))-(ROW('CONTROL MASTER'!#REF!)-1)))+1)+(9-INDEX('CONTROL MASTER'!$AA$2:$AA$495,(SUMPRODUCT((('CONTROL MASTER'!$S$2:$S$495=14)*('CONTROL MASTER'!$Z$2:$Z$495&lt;=3)*('CONTROL MASTER'!$AB$2:$AB$495&gt;=3)*('CONTROL MASTER'!$AA$2:$AA$495&lt;=9)*('CONTROL MASTER'!$AC$2:$AC$495&gt;=9))*ROW('CONTROL MASTER'!$S$2:$S$495))-(ROW('CONTROL MASTER'!#REF!)-1))))+1)))-1)*50+1,50))&amp;"_"&amp;INDEX('CONTROL MASTER'!$P$2:$P$495,(SUMPRODUCT((('CONTROL MASTER'!$S$2:$S$495=14)*('CONTROL MASTER'!$Z$2:$Z$495&lt;=3)*('CONTROL MASTER'!$AB$2:$AB$495&gt;=3)*('CONTROL MASTER'!$AA$2:$AA$495&lt;=9)*('CONTROL MASTER'!$AC$2:$AC$495&gt;=9))*ROW('CONTROL MASTER'!$S$2:$S$495))-(ROW('CONTROL MASTER'!#REF!)-1))),"")),"")</f>
        <v/>
      </c>
      <c r="K187" s="10" t="str">
        <f>IFERROR(IF(SUMPRODUCT((('CONTROL MASTER'!$S$2:$S$495=14)*('CONTROL MASTER'!$T$2:$T$495&lt;=3)*('CONTROL MASTER'!$V$2:$V$495&gt;=3)*('CONTROL MASTER'!$U$2:$U$495&lt;=10)*('CONTROL MASTER'!$W$2:$W$495&gt;=10))*ROW('CONTROL MASTER'!$S$2:$S$495))&gt;0,INDEX('CONTROL MASTER'!$X$2:$X$495,(SUMPRODUCT((('CONTROL MASTER'!$S$2:$S$495=14)*('CONTROL MASTER'!$T$2:$T$495&lt;=3)*('CONTROL MASTER'!$V$2:$V$495&gt;=3)*('CONTROL MASTER'!$U$2:$U$495&lt;=10)*('CONTROL MASTER'!$W$2:$W$495&gt;=10))*ROW('CONTROL MASTER'!$S$2:$S$495))-(ROW('CONTROL MASTER'!#REF!)-1)))&amp;TRIM(MID(SUBSTITUTE(SUBSTITUTE(INDEX('CONTROL MASTER'!$N$2:$N$495,(SUMPRODUCT((('CONTROL MASTER'!$S$2:$S$495=14)*('CONTROL MASTER'!$T$2:$T$495&lt;=3)*('CONTROL MASTER'!$V$2:$V$495&gt;=3)*('CONTROL MASTER'!$U$2:$U$495&lt;=10)*('CONTROL MASTER'!$W$2:$W$495&gt;=10))*ROW('CONTROL MASTER'!$S$2:$S$495))-(ROW('CONTROL MASTER'!#REF!)-1))),":",","),",",REPT(" ",50)),((((3-INDEX('CONTROL MASTER'!$T$2:$T$495,(SUMPRODUCT((('CONTROL MASTER'!$S$2:$S$495=14)*('CONTROL MASTER'!$T$2:$T$495&lt;=3)*('CONTROL MASTER'!$V$2:$V$495&gt;=3)*('CONTROL MASTER'!$U$2:$U$495&lt;=10)*('CONTROL MASTER'!$W$2:$W$495&gt;=10))*ROW('CONTROL MASTER'!$S$2:$S$495))-(ROW('CONTROL MASTER'!#REF!)-1))))*(INDEX('CONTROL MASTER'!$W$2:$W$495,(SUMPRODUCT((('CONTROL MASTER'!$S$2:$S$495=14)*('CONTROL MASTER'!$T$2:$T$495&lt;=3)*('CONTROL MASTER'!$V$2:$V$495&gt;=3)*('CONTROL MASTER'!$U$2:$U$495&lt;=10)*('CONTROL MASTER'!$W$2:$W$495&gt;=10))*ROW('CONTROL MASTER'!$S$2:$S$495))-(ROW('CONTROL MASTER'!#REF!)-1)))-INDEX('CONTROL MASTER'!$U$2:$U$495,(SUMPRODUCT((('CONTROL MASTER'!$S$2:$S$495=14)*('CONTROL MASTER'!$T$2:$T$495&lt;=3)*('CONTROL MASTER'!$V$2:$V$495&gt;=3)*('CONTROL MASTER'!$U$2:$U$495&lt;=10)*('CONTROL MASTER'!$W$2:$W$495&gt;=10))*ROW('CONTROL MASTER'!$S$2:$S$495))-(ROW('CONTROL MASTER'!#REF!)-1)))+1)+(10-INDEX('CONTROL MASTER'!$U$2:$U$495,(SUMPRODUCT((('CONTROL MASTER'!$S$2:$S$495=14)*('CONTROL MASTER'!$T$2:$T$495&lt;=3)*('CONTROL MASTER'!$V$2:$V$495&gt;=3)*('CONTROL MASTER'!$U$2:$U$495&lt;=10)*('CONTROL MASTER'!$W$2:$W$495&gt;=10))*ROW('CONTROL MASTER'!$S$2:$S$495))-(ROW('CONTROL MASTER'!#REF!)-1))))+1))-1)*50+1,50))&amp;"_"&amp;INDEX('CONTROL MASTER'!$P$2:$P$495,(SUMPRODUCT((('CONTROL MASTER'!$S$2:$S$495=14)*('CONTROL MASTER'!$T$2:$T$495&lt;=3)*('CONTROL MASTER'!$V$2:$V$495&gt;=3)*('CONTROL MASTER'!$U$2:$U$495&lt;=10)*('CONTROL MASTER'!$W$2:$W$495&gt;=10))*ROW('CONTROL MASTER'!$S$2:$S$495))-(ROW('CONTROL MASTER'!#REF!)-1))),IF(SUMPRODUCT((('CONTROL MASTER'!$S$2:$S$495=14)*('CONTROL MASTER'!$Z$2:$Z$495&lt;=3)*('CONTROL MASTER'!$AB$2:$AB$495&gt;=3)*('CONTROL MASTER'!$AA$2:$AA$495&lt;=10)*('CONTROL MASTER'!$AC$2:$AC$495&gt;=10))*ROW('CONTROL MASTER'!$S$2:$S$495))&gt;0,INDEX('CONTROL MASTER'!$X$2:$X$495,(SUMPRODUCT((('CONTROL MASTER'!$S$2:$S$495=14)*('CONTROL MASTER'!$Z$2:$Z$495&lt;=3)*('CONTROL MASTER'!$AB$2:$AB$495&gt;=3)*('CONTROL MASTER'!$AA$2:$AA$495&lt;=10)*('CONTROL MASTER'!$AC$2:$AC$495&gt;=10))*ROW('CONTROL MASTER'!$S$2:$S$495))-(ROW('CONTROL MASTER'!#REF!)-1)))&amp;TRIM(MID(SUBSTITUTE(SUBSTITUTE(INDEX('CONTROL MASTER'!$N$2:$N$495,(SUMPRODUCT((('CONTROL MASTER'!$S$2:$S$495=14)*('CONTROL MASTER'!$Z$2:$Z$495&lt;=3)*('CONTROL MASTER'!$AB$2:$AB$495&gt;=3)*('CONTROL MASTER'!$AA$2:$AA$495&lt;=10)*('CONTROL MASTER'!$AC$2:$AC$495&gt;=10))*ROW('CONTROL MASTER'!$S$2:$S$495))-(ROW('CONTROL MASTER'!#REF!)-1))),":",","),",",REPT(" ",50)),(((INDEX('CONTROL MASTER'!$Y$2:$Y$495,(SUMPRODUCT((('CONTROL MASTER'!$S$2:$S$495=14)*('CONTROL MASTER'!$Z$2:$Z$495&lt;=3)*('CONTROL MASTER'!$AB$2:$AB$495&gt;=3)*('CONTROL MASTER'!$AA$2:$AA$495&lt;=10)*('CONTROL MASTER'!$AC$2:$AC$495&gt;=10))*ROW('CONTROL MASTER'!$S$2:$S$495))-(ROW('CONTROL MASTER'!#REF!)-1)))+((3-INDEX('CONTROL MASTER'!$Z$2:$Z$495,(SUMPRODUCT((('CONTROL MASTER'!$S$2:$S$495=14)*('CONTROL MASTER'!$Z$2:$Z$495&lt;=3)*('CONTROL MASTER'!$AB$2:$AB$495&gt;=3)*('CONTROL MASTER'!$AA$2:$AA$495&lt;=10)*('CONTROL MASTER'!$AC$2:$AC$495&gt;=10))*ROW('CONTROL MASTER'!$S$2:$S$495))-(ROW('CONTROL MASTER'!#REF!)-1))))*(INDEX('CONTROL MASTER'!$AC$2:$AC$495,(SUMPRODUCT((('CONTROL MASTER'!$S$2:$S$495=14)*('CONTROL MASTER'!$Z$2:$Z$495&lt;=3)*('CONTROL MASTER'!$AB$2:$AB$495&gt;=3)*('CONTROL MASTER'!$AA$2:$AA$495&lt;=10)*('CONTROL MASTER'!$AC$2:$AC$495&gt;=10))*ROW('CONTROL MASTER'!$S$2:$S$495))-(ROW('CONTROL MASTER'!#REF!)-1)))-INDEX('CONTROL MASTER'!$AA$2:$AA$495,(SUMPRODUCT((('CONTROL MASTER'!$S$2:$S$495=14)*('CONTROL MASTER'!$Z$2:$Z$495&lt;=3)*('CONTROL MASTER'!$AB$2:$AB$495&gt;=3)*('CONTROL MASTER'!$AA$2:$AA$495&lt;=10)*('CONTROL MASTER'!$AC$2:$AC$495&gt;=10))*ROW('CONTROL MASTER'!$S$2:$S$495))-(ROW('CONTROL MASTER'!#REF!)-1)))+1)+(10-INDEX('CONTROL MASTER'!$AA$2:$AA$495,(SUMPRODUCT((('CONTROL MASTER'!$S$2:$S$495=14)*('CONTROL MASTER'!$Z$2:$Z$495&lt;=3)*('CONTROL MASTER'!$AB$2:$AB$495&gt;=3)*('CONTROL MASTER'!$AA$2:$AA$495&lt;=10)*('CONTROL MASTER'!$AC$2:$AC$495&gt;=10))*ROW('CONTROL MASTER'!$S$2:$S$495))-(ROW('CONTROL MASTER'!#REF!)-1))))+1)))-1)*50+1,50))&amp;"_"&amp;INDEX('CONTROL MASTER'!$P$2:$P$495,(SUMPRODUCT((('CONTROL MASTER'!$S$2:$S$495=14)*('CONTROL MASTER'!$Z$2:$Z$495&lt;=3)*('CONTROL MASTER'!$AB$2:$AB$495&gt;=3)*('CONTROL MASTER'!$AA$2:$AA$495&lt;=10)*('CONTROL MASTER'!$AC$2:$AC$495&gt;=10))*ROW('CONTROL MASTER'!$S$2:$S$495))-(ROW('CONTROL MASTER'!#REF!)-1))),"")),"")</f>
        <v/>
      </c>
    </row>
    <row r="188" spans="1:11" ht="15" customHeight="1" x14ac:dyDescent="0.35">
      <c r="A188" s="8" t="s">
        <v>31</v>
      </c>
      <c r="B188" s="10" t="str">
        <f>IFERROR(IF(SUMPRODUCT((('CONTROL MASTER'!$S$2:$S$495=14)*('CONTROL MASTER'!$T$2:$T$495&lt;=4)*('CONTROL MASTER'!$V$2:$V$495&gt;=4)*('CONTROL MASTER'!$U$2:$U$495&lt;=1)*('CONTROL MASTER'!$W$2:$W$495&gt;=1))*ROW('CONTROL MASTER'!$S$2:$S$495))&gt;0,INDEX('CONTROL MASTER'!$X$2:$X$495,(SUMPRODUCT((('CONTROL MASTER'!$S$2:$S$495=14)*('CONTROL MASTER'!$T$2:$T$495&lt;=4)*('CONTROL MASTER'!$V$2:$V$495&gt;=4)*('CONTROL MASTER'!$U$2:$U$495&lt;=1)*('CONTROL MASTER'!$W$2:$W$495&gt;=1))*ROW('CONTROL MASTER'!$S$2:$S$495))-(ROW('CONTROL MASTER'!#REF!)-1)))&amp;TRIM(MID(SUBSTITUTE(SUBSTITUTE(INDEX('CONTROL MASTER'!$N$2:$N$495,(SUMPRODUCT((('CONTROL MASTER'!$S$2:$S$495=14)*('CONTROL MASTER'!$T$2:$T$495&lt;=4)*('CONTROL MASTER'!$V$2:$V$495&gt;=4)*('CONTROL MASTER'!$U$2:$U$495&lt;=1)*('CONTROL MASTER'!$W$2:$W$495&gt;=1))*ROW('CONTROL MASTER'!$S$2:$S$495))-(ROW('CONTROL MASTER'!#REF!)-1))),":",","),",",REPT(" ",50)),((((4-INDEX('CONTROL MASTER'!$T$2:$T$495,(SUMPRODUCT((('CONTROL MASTER'!$S$2:$S$495=14)*('CONTROL MASTER'!$T$2:$T$495&lt;=4)*('CONTROL MASTER'!$V$2:$V$495&gt;=4)*('CONTROL MASTER'!$U$2:$U$495&lt;=1)*('CONTROL MASTER'!$W$2:$W$495&gt;=1))*ROW('CONTROL MASTER'!$S$2:$S$495))-(ROW('CONTROL MASTER'!#REF!)-1))))*(INDEX('CONTROL MASTER'!$W$2:$W$495,(SUMPRODUCT((('CONTROL MASTER'!$S$2:$S$495=14)*('CONTROL MASTER'!$T$2:$T$495&lt;=4)*('CONTROL MASTER'!$V$2:$V$495&gt;=4)*('CONTROL MASTER'!$U$2:$U$495&lt;=1)*('CONTROL MASTER'!$W$2:$W$495&gt;=1))*ROW('CONTROL MASTER'!$S$2:$S$495))-(ROW('CONTROL MASTER'!#REF!)-1)))-INDEX('CONTROL MASTER'!$U$2:$U$495,(SUMPRODUCT((('CONTROL MASTER'!$S$2:$S$495=14)*('CONTROL MASTER'!$T$2:$T$495&lt;=4)*('CONTROL MASTER'!$V$2:$V$495&gt;=4)*('CONTROL MASTER'!$U$2:$U$495&lt;=1)*('CONTROL MASTER'!$W$2:$W$495&gt;=1))*ROW('CONTROL MASTER'!$S$2:$S$495))-(ROW('CONTROL MASTER'!#REF!)-1)))+1)+(1-INDEX('CONTROL MASTER'!$U$2:$U$495,(SUMPRODUCT((('CONTROL MASTER'!$S$2:$S$495=14)*('CONTROL MASTER'!$T$2:$T$495&lt;=4)*('CONTROL MASTER'!$V$2:$V$495&gt;=4)*('CONTROL MASTER'!$U$2:$U$495&lt;=1)*('CONTROL MASTER'!$W$2:$W$495&gt;=1))*ROW('CONTROL MASTER'!$S$2:$S$495))-(ROW('CONTROL MASTER'!#REF!)-1))))+1))-1)*50+1,50))&amp;"_"&amp;INDEX('CONTROL MASTER'!$P$2:$P$495,(SUMPRODUCT((('CONTROL MASTER'!$S$2:$S$495=14)*('CONTROL MASTER'!$T$2:$T$495&lt;=4)*('CONTROL MASTER'!$V$2:$V$495&gt;=4)*('CONTROL MASTER'!$U$2:$U$495&lt;=1)*('CONTROL MASTER'!$W$2:$W$495&gt;=1))*ROW('CONTROL MASTER'!$S$2:$S$495))-(ROW('CONTROL MASTER'!#REF!)-1))),IF(SUMPRODUCT((('CONTROL MASTER'!$S$2:$S$495=14)*('CONTROL MASTER'!$Z$2:$Z$495&lt;=4)*('CONTROL MASTER'!$AB$2:$AB$495&gt;=4)*('CONTROL MASTER'!$AA$2:$AA$495&lt;=1)*('CONTROL MASTER'!$AC$2:$AC$495&gt;=1))*ROW('CONTROL MASTER'!$S$2:$S$495))&gt;0,INDEX('CONTROL MASTER'!$X$2:$X$495,(SUMPRODUCT((('CONTROL MASTER'!$S$2:$S$495=14)*('CONTROL MASTER'!$Z$2:$Z$495&lt;=4)*('CONTROL MASTER'!$AB$2:$AB$495&gt;=4)*('CONTROL MASTER'!$AA$2:$AA$495&lt;=1)*('CONTROL MASTER'!$AC$2:$AC$495&gt;=1))*ROW('CONTROL MASTER'!$S$2:$S$495))-(ROW('CONTROL MASTER'!#REF!)-1)))&amp;TRIM(MID(SUBSTITUTE(SUBSTITUTE(INDEX('CONTROL MASTER'!$N$2:$N$495,(SUMPRODUCT((('CONTROL MASTER'!$S$2:$S$495=14)*('CONTROL MASTER'!$Z$2:$Z$495&lt;=4)*('CONTROL MASTER'!$AB$2:$AB$495&gt;=4)*('CONTROL MASTER'!$AA$2:$AA$495&lt;=1)*('CONTROL MASTER'!$AC$2:$AC$495&gt;=1))*ROW('CONTROL MASTER'!$S$2:$S$495))-(ROW('CONTROL MASTER'!#REF!)-1))),":",","),",",REPT(" ",50)),(((INDEX('CONTROL MASTER'!$Y$2:$Y$495,(SUMPRODUCT((('CONTROL MASTER'!$S$2:$S$495=14)*('CONTROL MASTER'!$Z$2:$Z$495&lt;=4)*('CONTROL MASTER'!$AB$2:$AB$495&gt;=4)*('CONTROL MASTER'!$AA$2:$AA$495&lt;=1)*('CONTROL MASTER'!$AC$2:$AC$495&gt;=1))*ROW('CONTROL MASTER'!$S$2:$S$495))-(ROW('CONTROL MASTER'!#REF!)-1)))+((4-INDEX('CONTROL MASTER'!$Z$2:$Z$495,(SUMPRODUCT((('CONTROL MASTER'!$S$2:$S$495=14)*('CONTROL MASTER'!$Z$2:$Z$495&lt;=4)*('CONTROL MASTER'!$AB$2:$AB$495&gt;=4)*('CONTROL MASTER'!$AA$2:$AA$495&lt;=1)*('CONTROL MASTER'!$AC$2:$AC$495&gt;=1))*ROW('CONTROL MASTER'!$S$2:$S$495))-(ROW('CONTROL MASTER'!#REF!)-1))))*(INDEX('CONTROL MASTER'!$AC$2:$AC$495,(SUMPRODUCT((('CONTROL MASTER'!$S$2:$S$495=14)*('CONTROL MASTER'!$Z$2:$Z$495&lt;=4)*('CONTROL MASTER'!$AB$2:$AB$495&gt;=4)*('CONTROL MASTER'!$AA$2:$AA$495&lt;=1)*('CONTROL MASTER'!$AC$2:$AC$495&gt;=1))*ROW('CONTROL MASTER'!$S$2:$S$495))-(ROW('CONTROL MASTER'!#REF!)-1)))-INDEX('CONTROL MASTER'!$AA$2:$AA$495,(SUMPRODUCT((('CONTROL MASTER'!$S$2:$S$495=14)*('CONTROL MASTER'!$Z$2:$Z$495&lt;=4)*('CONTROL MASTER'!$AB$2:$AB$495&gt;=4)*('CONTROL MASTER'!$AA$2:$AA$495&lt;=1)*('CONTROL MASTER'!$AC$2:$AC$495&gt;=1))*ROW('CONTROL MASTER'!$S$2:$S$495))-(ROW('CONTROL MASTER'!#REF!)-1)))+1)+(1-INDEX('CONTROL MASTER'!$AA$2:$AA$495,(SUMPRODUCT((('CONTROL MASTER'!$S$2:$S$495=14)*('CONTROL MASTER'!$Z$2:$Z$495&lt;=4)*('CONTROL MASTER'!$AB$2:$AB$495&gt;=4)*('CONTROL MASTER'!$AA$2:$AA$495&lt;=1)*('CONTROL MASTER'!$AC$2:$AC$495&gt;=1))*ROW('CONTROL MASTER'!$S$2:$S$495))-(ROW('CONTROL MASTER'!#REF!)-1))))+1)))-1)*50+1,50))&amp;"_"&amp;INDEX('CONTROL MASTER'!$P$2:$P$495,(SUMPRODUCT((('CONTROL MASTER'!$S$2:$S$495=14)*('CONTROL MASTER'!$Z$2:$Z$495&lt;=4)*('CONTROL MASTER'!$AB$2:$AB$495&gt;=4)*('CONTROL MASTER'!$AA$2:$AA$495&lt;=1)*('CONTROL MASTER'!$AC$2:$AC$495&gt;=1))*ROW('CONTROL MASTER'!$S$2:$S$495))-(ROW('CONTROL MASTER'!#REF!)-1))),"")),"")</f>
        <v/>
      </c>
      <c r="C188" s="10" t="str">
        <f>IFERROR(IF(SUMPRODUCT((('CONTROL MASTER'!$S$2:$S$495=14)*('CONTROL MASTER'!$T$2:$T$495&lt;=4)*('CONTROL MASTER'!$V$2:$V$495&gt;=4)*('CONTROL MASTER'!$U$2:$U$495&lt;=2)*('CONTROL MASTER'!$W$2:$W$495&gt;=2))*ROW('CONTROL MASTER'!$S$2:$S$495))&gt;0,INDEX('CONTROL MASTER'!$X$2:$X$495,(SUMPRODUCT((('CONTROL MASTER'!$S$2:$S$495=14)*('CONTROL MASTER'!$T$2:$T$495&lt;=4)*('CONTROL MASTER'!$V$2:$V$495&gt;=4)*('CONTROL MASTER'!$U$2:$U$495&lt;=2)*('CONTROL MASTER'!$W$2:$W$495&gt;=2))*ROW('CONTROL MASTER'!$S$2:$S$495))-(ROW('CONTROL MASTER'!#REF!)-1)))&amp;TRIM(MID(SUBSTITUTE(SUBSTITUTE(INDEX('CONTROL MASTER'!$N$2:$N$495,(SUMPRODUCT((('CONTROL MASTER'!$S$2:$S$495=14)*('CONTROL MASTER'!$T$2:$T$495&lt;=4)*('CONTROL MASTER'!$V$2:$V$495&gt;=4)*('CONTROL MASTER'!$U$2:$U$495&lt;=2)*('CONTROL MASTER'!$W$2:$W$495&gt;=2))*ROW('CONTROL MASTER'!$S$2:$S$495))-(ROW('CONTROL MASTER'!#REF!)-1))),":",","),",",REPT(" ",50)),((((4-INDEX('CONTROL MASTER'!$T$2:$T$495,(SUMPRODUCT((('CONTROL MASTER'!$S$2:$S$495=14)*('CONTROL MASTER'!$T$2:$T$495&lt;=4)*('CONTROL MASTER'!$V$2:$V$495&gt;=4)*('CONTROL MASTER'!$U$2:$U$495&lt;=2)*('CONTROL MASTER'!$W$2:$W$495&gt;=2))*ROW('CONTROL MASTER'!$S$2:$S$495))-(ROW('CONTROL MASTER'!#REF!)-1))))*(INDEX('CONTROL MASTER'!$W$2:$W$495,(SUMPRODUCT((('CONTROL MASTER'!$S$2:$S$495=14)*('CONTROL MASTER'!$T$2:$T$495&lt;=4)*('CONTROL MASTER'!$V$2:$V$495&gt;=4)*('CONTROL MASTER'!$U$2:$U$495&lt;=2)*('CONTROL MASTER'!$W$2:$W$495&gt;=2))*ROW('CONTROL MASTER'!$S$2:$S$495))-(ROW('CONTROL MASTER'!#REF!)-1)))-INDEX('CONTROL MASTER'!$U$2:$U$495,(SUMPRODUCT((('CONTROL MASTER'!$S$2:$S$495=14)*('CONTROL MASTER'!$T$2:$T$495&lt;=4)*('CONTROL MASTER'!$V$2:$V$495&gt;=4)*('CONTROL MASTER'!$U$2:$U$495&lt;=2)*('CONTROL MASTER'!$W$2:$W$495&gt;=2))*ROW('CONTROL MASTER'!$S$2:$S$495))-(ROW('CONTROL MASTER'!#REF!)-1)))+1)+(2-INDEX('CONTROL MASTER'!$U$2:$U$495,(SUMPRODUCT((('CONTROL MASTER'!$S$2:$S$495=14)*('CONTROL MASTER'!$T$2:$T$495&lt;=4)*('CONTROL MASTER'!$V$2:$V$495&gt;=4)*('CONTROL MASTER'!$U$2:$U$495&lt;=2)*('CONTROL MASTER'!$W$2:$W$495&gt;=2))*ROW('CONTROL MASTER'!$S$2:$S$495))-(ROW('CONTROL MASTER'!#REF!)-1))))+1))-1)*50+1,50))&amp;"_"&amp;INDEX('CONTROL MASTER'!$P$2:$P$495,(SUMPRODUCT((('CONTROL MASTER'!$S$2:$S$495=14)*('CONTROL MASTER'!$T$2:$T$495&lt;=4)*('CONTROL MASTER'!$V$2:$V$495&gt;=4)*('CONTROL MASTER'!$U$2:$U$495&lt;=2)*('CONTROL MASTER'!$W$2:$W$495&gt;=2))*ROW('CONTROL MASTER'!$S$2:$S$495))-(ROW('CONTROL MASTER'!#REF!)-1))),IF(SUMPRODUCT((('CONTROL MASTER'!$S$2:$S$495=14)*('CONTROL MASTER'!$Z$2:$Z$495&lt;=4)*('CONTROL MASTER'!$AB$2:$AB$495&gt;=4)*('CONTROL MASTER'!$AA$2:$AA$495&lt;=2)*('CONTROL MASTER'!$AC$2:$AC$495&gt;=2))*ROW('CONTROL MASTER'!$S$2:$S$495))&gt;0,INDEX('CONTROL MASTER'!$X$2:$X$495,(SUMPRODUCT((('CONTROL MASTER'!$S$2:$S$495=14)*('CONTROL MASTER'!$Z$2:$Z$495&lt;=4)*('CONTROL MASTER'!$AB$2:$AB$495&gt;=4)*('CONTROL MASTER'!$AA$2:$AA$495&lt;=2)*('CONTROL MASTER'!$AC$2:$AC$495&gt;=2))*ROW('CONTROL MASTER'!$S$2:$S$495))-(ROW('CONTROL MASTER'!#REF!)-1)))&amp;TRIM(MID(SUBSTITUTE(SUBSTITUTE(INDEX('CONTROL MASTER'!$N$2:$N$495,(SUMPRODUCT((('CONTROL MASTER'!$S$2:$S$495=14)*('CONTROL MASTER'!$Z$2:$Z$495&lt;=4)*('CONTROL MASTER'!$AB$2:$AB$495&gt;=4)*('CONTROL MASTER'!$AA$2:$AA$495&lt;=2)*('CONTROL MASTER'!$AC$2:$AC$495&gt;=2))*ROW('CONTROL MASTER'!$S$2:$S$495))-(ROW('CONTROL MASTER'!#REF!)-1))),":",","),",",REPT(" ",50)),(((INDEX('CONTROL MASTER'!$Y$2:$Y$495,(SUMPRODUCT((('CONTROL MASTER'!$S$2:$S$495=14)*('CONTROL MASTER'!$Z$2:$Z$495&lt;=4)*('CONTROL MASTER'!$AB$2:$AB$495&gt;=4)*('CONTROL MASTER'!$AA$2:$AA$495&lt;=2)*('CONTROL MASTER'!$AC$2:$AC$495&gt;=2))*ROW('CONTROL MASTER'!$S$2:$S$495))-(ROW('CONTROL MASTER'!#REF!)-1)))+((4-INDEX('CONTROL MASTER'!$Z$2:$Z$495,(SUMPRODUCT((('CONTROL MASTER'!$S$2:$S$495=14)*('CONTROL MASTER'!$Z$2:$Z$495&lt;=4)*('CONTROL MASTER'!$AB$2:$AB$495&gt;=4)*('CONTROL MASTER'!$AA$2:$AA$495&lt;=2)*('CONTROL MASTER'!$AC$2:$AC$495&gt;=2))*ROW('CONTROL MASTER'!$S$2:$S$495))-(ROW('CONTROL MASTER'!#REF!)-1))))*(INDEX('CONTROL MASTER'!$AC$2:$AC$495,(SUMPRODUCT((('CONTROL MASTER'!$S$2:$S$495=14)*('CONTROL MASTER'!$Z$2:$Z$495&lt;=4)*('CONTROL MASTER'!$AB$2:$AB$495&gt;=4)*('CONTROL MASTER'!$AA$2:$AA$495&lt;=2)*('CONTROL MASTER'!$AC$2:$AC$495&gt;=2))*ROW('CONTROL MASTER'!$S$2:$S$495))-(ROW('CONTROL MASTER'!#REF!)-1)))-INDEX('CONTROL MASTER'!$AA$2:$AA$495,(SUMPRODUCT((('CONTROL MASTER'!$S$2:$S$495=14)*('CONTROL MASTER'!$Z$2:$Z$495&lt;=4)*('CONTROL MASTER'!$AB$2:$AB$495&gt;=4)*('CONTROL MASTER'!$AA$2:$AA$495&lt;=2)*('CONTROL MASTER'!$AC$2:$AC$495&gt;=2))*ROW('CONTROL MASTER'!$S$2:$S$495))-(ROW('CONTROL MASTER'!#REF!)-1)))+1)+(2-INDEX('CONTROL MASTER'!$AA$2:$AA$495,(SUMPRODUCT((('CONTROL MASTER'!$S$2:$S$495=14)*('CONTROL MASTER'!$Z$2:$Z$495&lt;=4)*('CONTROL MASTER'!$AB$2:$AB$495&gt;=4)*('CONTROL MASTER'!$AA$2:$AA$495&lt;=2)*('CONTROL MASTER'!$AC$2:$AC$495&gt;=2))*ROW('CONTROL MASTER'!$S$2:$S$495))-(ROW('CONTROL MASTER'!#REF!)-1))))+1)))-1)*50+1,50))&amp;"_"&amp;INDEX('CONTROL MASTER'!$P$2:$P$495,(SUMPRODUCT((('CONTROL MASTER'!$S$2:$S$495=14)*('CONTROL MASTER'!$Z$2:$Z$495&lt;=4)*('CONTROL MASTER'!$AB$2:$AB$495&gt;=4)*('CONTROL MASTER'!$AA$2:$AA$495&lt;=2)*('CONTROL MASTER'!$AC$2:$AC$495&gt;=2))*ROW('CONTROL MASTER'!$S$2:$S$495))-(ROW('CONTROL MASTER'!#REF!)-1))),"")),"")</f>
        <v/>
      </c>
      <c r="D188" s="10" t="str">
        <f>IFERROR(IF(SUMPRODUCT((('CONTROL MASTER'!$S$2:$S$495=14)*('CONTROL MASTER'!$T$2:$T$495&lt;=4)*('CONTROL MASTER'!$V$2:$V$495&gt;=4)*('CONTROL MASTER'!$U$2:$U$495&lt;=3)*('CONTROL MASTER'!$W$2:$W$495&gt;=3))*ROW('CONTROL MASTER'!$S$2:$S$495))&gt;0,INDEX('CONTROL MASTER'!$X$2:$X$495,(SUMPRODUCT((('CONTROL MASTER'!$S$2:$S$495=14)*('CONTROL MASTER'!$T$2:$T$495&lt;=4)*('CONTROL MASTER'!$V$2:$V$495&gt;=4)*('CONTROL MASTER'!$U$2:$U$495&lt;=3)*('CONTROL MASTER'!$W$2:$W$495&gt;=3))*ROW('CONTROL MASTER'!$S$2:$S$495))-(ROW('CONTROL MASTER'!#REF!)-1)))&amp;TRIM(MID(SUBSTITUTE(SUBSTITUTE(INDEX('CONTROL MASTER'!$N$2:$N$495,(SUMPRODUCT((('CONTROL MASTER'!$S$2:$S$495=14)*('CONTROL MASTER'!$T$2:$T$495&lt;=4)*('CONTROL MASTER'!$V$2:$V$495&gt;=4)*('CONTROL MASTER'!$U$2:$U$495&lt;=3)*('CONTROL MASTER'!$W$2:$W$495&gt;=3))*ROW('CONTROL MASTER'!$S$2:$S$495))-(ROW('CONTROL MASTER'!#REF!)-1))),":",","),",",REPT(" ",50)),((((4-INDEX('CONTROL MASTER'!$T$2:$T$495,(SUMPRODUCT((('CONTROL MASTER'!$S$2:$S$495=14)*('CONTROL MASTER'!$T$2:$T$495&lt;=4)*('CONTROL MASTER'!$V$2:$V$495&gt;=4)*('CONTROL MASTER'!$U$2:$U$495&lt;=3)*('CONTROL MASTER'!$W$2:$W$495&gt;=3))*ROW('CONTROL MASTER'!$S$2:$S$495))-(ROW('CONTROL MASTER'!#REF!)-1))))*(INDEX('CONTROL MASTER'!$W$2:$W$495,(SUMPRODUCT((('CONTROL MASTER'!$S$2:$S$495=14)*('CONTROL MASTER'!$T$2:$T$495&lt;=4)*('CONTROL MASTER'!$V$2:$V$495&gt;=4)*('CONTROL MASTER'!$U$2:$U$495&lt;=3)*('CONTROL MASTER'!$W$2:$W$495&gt;=3))*ROW('CONTROL MASTER'!$S$2:$S$495))-(ROW('CONTROL MASTER'!#REF!)-1)))-INDEX('CONTROL MASTER'!$U$2:$U$495,(SUMPRODUCT((('CONTROL MASTER'!$S$2:$S$495=14)*('CONTROL MASTER'!$T$2:$T$495&lt;=4)*('CONTROL MASTER'!$V$2:$V$495&gt;=4)*('CONTROL MASTER'!$U$2:$U$495&lt;=3)*('CONTROL MASTER'!$W$2:$W$495&gt;=3))*ROW('CONTROL MASTER'!$S$2:$S$495))-(ROW('CONTROL MASTER'!#REF!)-1)))+1)+(3-INDEX('CONTROL MASTER'!$U$2:$U$495,(SUMPRODUCT((('CONTROL MASTER'!$S$2:$S$495=14)*('CONTROL MASTER'!$T$2:$T$495&lt;=4)*('CONTROL MASTER'!$V$2:$V$495&gt;=4)*('CONTROL MASTER'!$U$2:$U$495&lt;=3)*('CONTROL MASTER'!$W$2:$W$495&gt;=3))*ROW('CONTROL MASTER'!$S$2:$S$495))-(ROW('CONTROL MASTER'!#REF!)-1))))+1))-1)*50+1,50))&amp;"_"&amp;INDEX('CONTROL MASTER'!$P$2:$P$495,(SUMPRODUCT((('CONTROL MASTER'!$S$2:$S$495=14)*('CONTROL MASTER'!$T$2:$T$495&lt;=4)*('CONTROL MASTER'!$V$2:$V$495&gt;=4)*('CONTROL MASTER'!$U$2:$U$495&lt;=3)*('CONTROL MASTER'!$W$2:$W$495&gt;=3))*ROW('CONTROL MASTER'!$S$2:$S$495))-(ROW('CONTROL MASTER'!#REF!)-1))),IF(SUMPRODUCT((('CONTROL MASTER'!$S$2:$S$495=14)*('CONTROL MASTER'!$Z$2:$Z$495&lt;=4)*('CONTROL MASTER'!$AB$2:$AB$495&gt;=4)*('CONTROL MASTER'!$AA$2:$AA$495&lt;=3)*('CONTROL MASTER'!$AC$2:$AC$495&gt;=3))*ROW('CONTROL MASTER'!$S$2:$S$495))&gt;0,INDEX('CONTROL MASTER'!$X$2:$X$495,(SUMPRODUCT((('CONTROL MASTER'!$S$2:$S$495=14)*('CONTROL MASTER'!$Z$2:$Z$495&lt;=4)*('CONTROL MASTER'!$AB$2:$AB$495&gt;=4)*('CONTROL MASTER'!$AA$2:$AA$495&lt;=3)*('CONTROL MASTER'!$AC$2:$AC$495&gt;=3))*ROW('CONTROL MASTER'!$S$2:$S$495))-(ROW('CONTROL MASTER'!#REF!)-1)))&amp;TRIM(MID(SUBSTITUTE(SUBSTITUTE(INDEX('CONTROL MASTER'!$N$2:$N$495,(SUMPRODUCT((('CONTROL MASTER'!$S$2:$S$495=14)*('CONTROL MASTER'!$Z$2:$Z$495&lt;=4)*('CONTROL MASTER'!$AB$2:$AB$495&gt;=4)*('CONTROL MASTER'!$AA$2:$AA$495&lt;=3)*('CONTROL MASTER'!$AC$2:$AC$495&gt;=3))*ROW('CONTROL MASTER'!$S$2:$S$495))-(ROW('CONTROL MASTER'!#REF!)-1))),":",","),",",REPT(" ",50)),(((INDEX('CONTROL MASTER'!$Y$2:$Y$495,(SUMPRODUCT((('CONTROL MASTER'!$S$2:$S$495=14)*('CONTROL MASTER'!$Z$2:$Z$495&lt;=4)*('CONTROL MASTER'!$AB$2:$AB$495&gt;=4)*('CONTROL MASTER'!$AA$2:$AA$495&lt;=3)*('CONTROL MASTER'!$AC$2:$AC$495&gt;=3))*ROW('CONTROL MASTER'!$S$2:$S$495))-(ROW('CONTROL MASTER'!#REF!)-1)))+((4-INDEX('CONTROL MASTER'!$Z$2:$Z$495,(SUMPRODUCT((('CONTROL MASTER'!$S$2:$S$495=14)*('CONTROL MASTER'!$Z$2:$Z$495&lt;=4)*('CONTROL MASTER'!$AB$2:$AB$495&gt;=4)*('CONTROL MASTER'!$AA$2:$AA$495&lt;=3)*('CONTROL MASTER'!$AC$2:$AC$495&gt;=3))*ROW('CONTROL MASTER'!$S$2:$S$495))-(ROW('CONTROL MASTER'!#REF!)-1))))*(INDEX('CONTROL MASTER'!$AC$2:$AC$495,(SUMPRODUCT((('CONTROL MASTER'!$S$2:$S$495=14)*('CONTROL MASTER'!$Z$2:$Z$495&lt;=4)*('CONTROL MASTER'!$AB$2:$AB$495&gt;=4)*('CONTROL MASTER'!$AA$2:$AA$495&lt;=3)*('CONTROL MASTER'!$AC$2:$AC$495&gt;=3))*ROW('CONTROL MASTER'!$S$2:$S$495))-(ROW('CONTROL MASTER'!#REF!)-1)))-INDEX('CONTROL MASTER'!$AA$2:$AA$495,(SUMPRODUCT((('CONTROL MASTER'!$S$2:$S$495=14)*('CONTROL MASTER'!$Z$2:$Z$495&lt;=4)*('CONTROL MASTER'!$AB$2:$AB$495&gt;=4)*('CONTROL MASTER'!$AA$2:$AA$495&lt;=3)*('CONTROL MASTER'!$AC$2:$AC$495&gt;=3))*ROW('CONTROL MASTER'!$S$2:$S$495))-(ROW('CONTROL MASTER'!#REF!)-1)))+1)+(3-INDEX('CONTROL MASTER'!$AA$2:$AA$495,(SUMPRODUCT((('CONTROL MASTER'!$S$2:$S$495=14)*('CONTROL MASTER'!$Z$2:$Z$495&lt;=4)*('CONTROL MASTER'!$AB$2:$AB$495&gt;=4)*('CONTROL MASTER'!$AA$2:$AA$495&lt;=3)*('CONTROL MASTER'!$AC$2:$AC$495&gt;=3))*ROW('CONTROL MASTER'!$S$2:$S$495))-(ROW('CONTROL MASTER'!#REF!)-1))))+1)))-1)*50+1,50))&amp;"_"&amp;INDEX('CONTROL MASTER'!$P$2:$P$495,(SUMPRODUCT((('CONTROL MASTER'!$S$2:$S$495=14)*('CONTROL MASTER'!$Z$2:$Z$495&lt;=4)*('CONTROL MASTER'!$AB$2:$AB$495&gt;=4)*('CONTROL MASTER'!$AA$2:$AA$495&lt;=3)*('CONTROL MASTER'!$AC$2:$AC$495&gt;=3))*ROW('CONTROL MASTER'!$S$2:$S$495))-(ROW('CONTROL MASTER'!#REF!)-1))),"")),"")</f>
        <v/>
      </c>
      <c r="E188" s="10" t="str">
        <f>IFERROR(IF(SUMPRODUCT((('CONTROL MASTER'!$S$2:$S$495=14)*('CONTROL MASTER'!$T$2:$T$495&lt;=4)*('CONTROL MASTER'!$V$2:$V$495&gt;=4)*('CONTROL MASTER'!$U$2:$U$495&lt;=4)*('CONTROL MASTER'!$W$2:$W$495&gt;=4))*ROW('CONTROL MASTER'!$S$2:$S$495))&gt;0,INDEX('CONTROL MASTER'!$X$2:$X$495,(SUMPRODUCT((('CONTROL MASTER'!$S$2:$S$495=14)*('CONTROL MASTER'!$T$2:$T$495&lt;=4)*('CONTROL MASTER'!$V$2:$V$495&gt;=4)*('CONTROL MASTER'!$U$2:$U$495&lt;=4)*('CONTROL MASTER'!$W$2:$W$495&gt;=4))*ROW('CONTROL MASTER'!$S$2:$S$495))-(ROW('CONTROL MASTER'!#REF!)-1)))&amp;TRIM(MID(SUBSTITUTE(SUBSTITUTE(INDEX('CONTROL MASTER'!$N$2:$N$495,(SUMPRODUCT((('CONTROL MASTER'!$S$2:$S$495=14)*('CONTROL MASTER'!$T$2:$T$495&lt;=4)*('CONTROL MASTER'!$V$2:$V$495&gt;=4)*('CONTROL MASTER'!$U$2:$U$495&lt;=4)*('CONTROL MASTER'!$W$2:$W$495&gt;=4))*ROW('CONTROL MASTER'!$S$2:$S$495))-(ROW('CONTROL MASTER'!#REF!)-1))),":",","),",",REPT(" ",50)),((((4-INDEX('CONTROL MASTER'!$T$2:$T$495,(SUMPRODUCT((('CONTROL MASTER'!$S$2:$S$495=14)*('CONTROL MASTER'!$T$2:$T$495&lt;=4)*('CONTROL MASTER'!$V$2:$V$495&gt;=4)*('CONTROL MASTER'!$U$2:$U$495&lt;=4)*('CONTROL MASTER'!$W$2:$W$495&gt;=4))*ROW('CONTROL MASTER'!$S$2:$S$495))-(ROW('CONTROL MASTER'!#REF!)-1))))*(INDEX('CONTROL MASTER'!$W$2:$W$495,(SUMPRODUCT((('CONTROL MASTER'!$S$2:$S$495=14)*('CONTROL MASTER'!$T$2:$T$495&lt;=4)*('CONTROL MASTER'!$V$2:$V$495&gt;=4)*('CONTROL MASTER'!$U$2:$U$495&lt;=4)*('CONTROL MASTER'!$W$2:$W$495&gt;=4))*ROW('CONTROL MASTER'!$S$2:$S$495))-(ROW('CONTROL MASTER'!#REF!)-1)))-INDEX('CONTROL MASTER'!$U$2:$U$495,(SUMPRODUCT((('CONTROL MASTER'!$S$2:$S$495=14)*('CONTROL MASTER'!$T$2:$T$495&lt;=4)*('CONTROL MASTER'!$V$2:$V$495&gt;=4)*('CONTROL MASTER'!$U$2:$U$495&lt;=4)*('CONTROL MASTER'!$W$2:$W$495&gt;=4))*ROW('CONTROL MASTER'!$S$2:$S$495))-(ROW('CONTROL MASTER'!#REF!)-1)))+1)+(4-INDEX('CONTROL MASTER'!$U$2:$U$495,(SUMPRODUCT((('CONTROL MASTER'!$S$2:$S$495=14)*('CONTROL MASTER'!$T$2:$T$495&lt;=4)*('CONTROL MASTER'!$V$2:$V$495&gt;=4)*('CONTROL MASTER'!$U$2:$U$495&lt;=4)*('CONTROL MASTER'!$W$2:$W$495&gt;=4))*ROW('CONTROL MASTER'!$S$2:$S$495))-(ROW('CONTROL MASTER'!#REF!)-1))))+1))-1)*50+1,50))&amp;"_"&amp;INDEX('CONTROL MASTER'!$P$2:$P$495,(SUMPRODUCT((('CONTROL MASTER'!$S$2:$S$495=14)*('CONTROL MASTER'!$T$2:$T$495&lt;=4)*('CONTROL MASTER'!$V$2:$V$495&gt;=4)*('CONTROL MASTER'!$U$2:$U$495&lt;=4)*('CONTROL MASTER'!$W$2:$W$495&gt;=4))*ROW('CONTROL MASTER'!$S$2:$S$495))-(ROW('CONTROL MASTER'!#REF!)-1))),IF(SUMPRODUCT((('CONTROL MASTER'!$S$2:$S$495=14)*('CONTROL MASTER'!$Z$2:$Z$495&lt;=4)*('CONTROL MASTER'!$AB$2:$AB$495&gt;=4)*('CONTROL MASTER'!$AA$2:$AA$495&lt;=4)*('CONTROL MASTER'!$AC$2:$AC$495&gt;=4))*ROW('CONTROL MASTER'!$S$2:$S$495))&gt;0,INDEX('CONTROL MASTER'!$X$2:$X$495,(SUMPRODUCT((('CONTROL MASTER'!$S$2:$S$495=14)*('CONTROL MASTER'!$Z$2:$Z$495&lt;=4)*('CONTROL MASTER'!$AB$2:$AB$495&gt;=4)*('CONTROL MASTER'!$AA$2:$AA$495&lt;=4)*('CONTROL MASTER'!$AC$2:$AC$495&gt;=4))*ROW('CONTROL MASTER'!$S$2:$S$495))-(ROW('CONTROL MASTER'!#REF!)-1)))&amp;TRIM(MID(SUBSTITUTE(SUBSTITUTE(INDEX('CONTROL MASTER'!$N$2:$N$495,(SUMPRODUCT((('CONTROL MASTER'!$S$2:$S$495=14)*('CONTROL MASTER'!$Z$2:$Z$495&lt;=4)*('CONTROL MASTER'!$AB$2:$AB$495&gt;=4)*('CONTROL MASTER'!$AA$2:$AA$495&lt;=4)*('CONTROL MASTER'!$AC$2:$AC$495&gt;=4))*ROW('CONTROL MASTER'!$S$2:$S$495))-(ROW('CONTROL MASTER'!#REF!)-1))),":",","),",",REPT(" ",50)),(((INDEX('CONTROL MASTER'!$Y$2:$Y$495,(SUMPRODUCT((('CONTROL MASTER'!$S$2:$S$495=14)*('CONTROL MASTER'!$Z$2:$Z$495&lt;=4)*('CONTROL MASTER'!$AB$2:$AB$495&gt;=4)*('CONTROL MASTER'!$AA$2:$AA$495&lt;=4)*('CONTROL MASTER'!$AC$2:$AC$495&gt;=4))*ROW('CONTROL MASTER'!$S$2:$S$495))-(ROW('CONTROL MASTER'!#REF!)-1)))+((4-INDEX('CONTROL MASTER'!$Z$2:$Z$495,(SUMPRODUCT((('CONTROL MASTER'!$S$2:$S$495=14)*('CONTROL MASTER'!$Z$2:$Z$495&lt;=4)*('CONTROL MASTER'!$AB$2:$AB$495&gt;=4)*('CONTROL MASTER'!$AA$2:$AA$495&lt;=4)*('CONTROL MASTER'!$AC$2:$AC$495&gt;=4))*ROW('CONTROL MASTER'!$S$2:$S$495))-(ROW('CONTROL MASTER'!#REF!)-1))))*(INDEX('CONTROL MASTER'!$AC$2:$AC$495,(SUMPRODUCT((('CONTROL MASTER'!$S$2:$S$495=14)*('CONTROL MASTER'!$Z$2:$Z$495&lt;=4)*('CONTROL MASTER'!$AB$2:$AB$495&gt;=4)*('CONTROL MASTER'!$AA$2:$AA$495&lt;=4)*('CONTROL MASTER'!$AC$2:$AC$495&gt;=4))*ROW('CONTROL MASTER'!$S$2:$S$495))-(ROW('CONTROL MASTER'!#REF!)-1)))-INDEX('CONTROL MASTER'!$AA$2:$AA$495,(SUMPRODUCT((('CONTROL MASTER'!$S$2:$S$495=14)*('CONTROL MASTER'!$Z$2:$Z$495&lt;=4)*('CONTROL MASTER'!$AB$2:$AB$495&gt;=4)*('CONTROL MASTER'!$AA$2:$AA$495&lt;=4)*('CONTROL MASTER'!$AC$2:$AC$495&gt;=4))*ROW('CONTROL MASTER'!$S$2:$S$495))-(ROW('CONTROL MASTER'!#REF!)-1)))+1)+(4-INDEX('CONTROL MASTER'!$AA$2:$AA$495,(SUMPRODUCT((('CONTROL MASTER'!$S$2:$S$495=14)*('CONTROL MASTER'!$Z$2:$Z$495&lt;=4)*('CONTROL MASTER'!$AB$2:$AB$495&gt;=4)*('CONTROL MASTER'!$AA$2:$AA$495&lt;=4)*('CONTROL MASTER'!$AC$2:$AC$495&gt;=4))*ROW('CONTROL MASTER'!$S$2:$S$495))-(ROW('CONTROL MASTER'!#REF!)-1))))+1)))-1)*50+1,50))&amp;"_"&amp;INDEX('CONTROL MASTER'!$P$2:$P$495,(SUMPRODUCT((('CONTROL MASTER'!$S$2:$S$495=14)*('CONTROL MASTER'!$Z$2:$Z$495&lt;=4)*('CONTROL MASTER'!$AB$2:$AB$495&gt;=4)*('CONTROL MASTER'!$AA$2:$AA$495&lt;=4)*('CONTROL MASTER'!$AC$2:$AC$495&gt;=4))*ROW('CONTROL MASTER'!$S$2:$S$495))-(ROW('CONTROL MASTER'!#REF!)-1))),"")),"")</f>
        <v/>
      </c>
      <c r="F188" s="10" t="str">
        <f>IFERROR(IF(SUMPRODUCT((('CONTROL MASTER'!$S$2:$S$495=14)*('CONTROL MASTER'!$T$2:$T$495&lt;=4)*('CONTROL MASTER'!$V$2:$V$495&gt;=4)*('CONTROL MASTER'!$U$2:$U$495&lt;=5)*('CONTROL MASTER'!$W$2:$W$495&gt;=5))*ROW('CONTROL MASTER'!$S$2:$S$495))&gt;0,INDEX('CONTROL MASTER'!$X$2:$X$495,(SUMPRODUCT((('CONTROL MASTER'!$S$2:$S$495=14)*('CONTROL MASTER'!$T$2:$T$495&lt;=4)*('CONTROL MASTER'!$V$2:$V$495&gt;=4)*('CONTROL MASTER'!$U$2:$U$495&lt;=5)*('CONTROL MASTER'!$W$2:$W$495&gt;=5))*ROW('CONTROL MASTER'!$S$2:$S$495))-(ROW('CONTROL MASTER'!#REF!)-1)))&amp;TRIM(MID(SUBSTITUTE(SUBSTITUTE(INDEX('CONTROL MASTER'!$N$2:$N$495,(SUMPRODUCT((('CONTROL MASTER'!$S$2:$S$495=14)*('CONTROL MASTER'!$T$2:$T$495&lt;=4)*('CONTROL MASTER'!$V$2:$V$495&gt;=4)*('CONTROL MASTER'!$U$2:$U$495&lt;=5)*('CONTROL MASTER'!$W$2:$W$495&gt;=5))*ROW('CONTROL MASTER'!$S$2:$S$495))-(ROW('CONTROL MASTER'!#REF!)-1))),":",","),",",REPT(" ",50)),((((4-INDEX('CONTROL MASTER'!$T$2:$T$495,(SUMPRODUCT((('CONTROL MASTER'!$S$2:$S$495=14)*('CONTROL MASTER'!$T$2:$T$495&lt;=4)*('CONTROL MASTER'!$V$2:$V$495&gt;=4)*('CONTROL MASTER'!$U$2:$U$495&lt;=5)*('CONTROL MASTER'!$W$2:$W$495&gt;=5))*ROW('CONTROL MASTER'!$S$2:$S$495))-(ROW('CONTROL MASTER'!#REF!)-1))))*(INDEX('CONTROL MASTER'!$W$2:$W$495,(SUMPRODUCT((('CONTROL MASTER'!$S$2:$S$495=14)*('CONTROL MASTER'!$T$2:$T$495&lt;=4)*('CONTROL MASTER'!$V$2:$V$495&gt;=4)*('CONTROL MASTER'!$U$2:$U$495&lt;=5)*('CONTROL MASTER'!$W$2:$W$495&gt;=5))*ROW('CONTROL MASTER'!$S$2:$S$495))-(ROW('CONTROL MASTER'!#REF!)-1)))-INDEX('CONTROL MASTER'!$U$2:$U$495,(SUMPRODUCT((('CONTROL MASTER'!$S$2:$S$495=14)*('CONTROL MASTER'!$T$2:$T$495&lt;=4)*('CONTROL MASTER'!$V$2:$V$495&gt;=4)*('CONTROL MASTER'!$U$2:$U$495&lt;=5)*('CONTROL MASTER'!$W$2:$W$495&gt;=5))*ROW('CONTROL MASTER'!$S$2:$S$495))-(ROW('CONTROL MASTER'!#REF!)-1)))+1)+(5-INDEX('CONTROL MASTER'!$U$2:$U$495,(SUMPRODUCT((('CONTROL MASTER'!$S$2:$S$495=14)*('CONTROL MASTER'!$T$2:$T$495&lt;=4)*('CONTROL MASTER'!$V$2:$V$495&gt;=4)*('CONTROL MASTER'!$U$2:$U$495&lt;=5)*('CONTROL MASTER'!$W$2:$W$495&gt;=5))*ROW('CONTROL MASTER'!$S$2:$S$495))-(ROW('CONTROL MASTER'!#REF!)-1))))+1))-1)*50+1,50))&amp;"_"&amp;INDEX('CONTROL MASTER'!$P$2:$P$495,(SUMPRODUCT((('CONTROL MASTER'!$S$2:$S$495=14)*('CONTROL MASTER'!$T$2:$T$495&lt;=4)*('CONTROL MASTER'!$V$2:$V$495&gt;=4)*('CONTROL MASTER'!$U$2:$U$495&lt;=5)*('CONTROL MASTER'!$W$2:$W$495&gt;=5))*ROW('CONTROL MASTER'!$S$2:$S$495))-(ROW('CONTROL MASTER'!#REF!)-1))),IF(SUMPRODUCT((('CONTROL MASTER'!$S$2:$S$495=14)*('CONTROL MASTER'!$Z$2:$Z$495&lt;=4)*('CONTROL MASTER'!$AB$2:$AB$495&gt;=4)*('CONTROL MASTER'!$AA$2:$AA$495&lt;=5)*('CONTROL MASTER'!$AC$2:$AC$495&gt;=5))*ROW('CONTROL MASTER'!$S$2:$S$495))&gt;0,INDEX('CONTROL MASTER'!$X$2:$X$495,(SUMPRODUCT((('CONTROL MASTER'!$S$2:$S$495=14)*('CONTROL MASTER'!$Z$2:$Z$495&lt;=4)*('CONTROL MASTER'!$AB$2:$AB$495&gt;=4)*('CONTROL MASTER'!$AA$2:$AA$495&lt;=5)*('CONTROL MASTER'!$AC$2:$AC$495&gt;=5))*ROW('CONTROL MASTER'!$S$2:$S$495))-(ROW('CONTROL MASTER'!#REF!)-1)))&amp;TRIM(MID(SUBSTITUTE(SUBSTITUTE(INDEX('CONTROL MASTER'!$N$2:$N$495,(SUMPRODUCT((('CONTROL MASTER'!$S$2:$S$495=14)*('CONTROL MASTER'!$Z$2:$Z$495&lt;=4)*('CONTROL MASTER'!$AB$2:$AB$495&gt;=4)*('CONTROL MASTER'!$AA$2:$AA$495&lt;=5)*('CONTROL MASTER'!$AC$2:$AC$495&gt;=5))*ROW('CONTROL MASTER'!$S$2:$S$495))-(ROW('CONTROL MASTER'!#REF!)-1))),":",","),",",REPT(" ",50)),(((INDEX('CONTROL MASTER'!$Y$2:$Y$495,(SUMPRODUCT((('CONTROL MASTER'!$S$2:$S$495=14)*('CONTROL MASTER'!$Z$2:$Z$495&lt;=4)*('CONTROL MASTER'!$AB$2:$AB$495&gt;=4)*('CONTROL MASTER'!$AA$2:$AA$495&lt;=5)*('CONTROL MASTER'!$AC$2:$AC$495&gt;=5))*ROW('CONTROL MASTER'!$S$2:$S$495))-(ROW('CONTROL MASTER'!#REF!)-1)))+((4-INDEX('CONTROL MASTER'!$Z$2:$Z$495,(SUMPRODUCT((('CONTROL MASTER'!$S$2:$S$495=14)*('CONTROL MASTER'!$Z$2:$Z$495&lt;=4)*('CONTROL MASTER'!$AB$2:$AB$495&gt;=4)*('CONTROL MASTER'!$AA$2:$AA$495&lt;=5)*('CONTROL MASTER'!$AC$2:$AC$495&gt;=5))*ROW('CONTROL MASTER'!$S$2:$S$495))-(ROW('CONTROL MASTER'!#REF!)-1))))*(INDEX('CONTROL MASTER'!$AC$2:$AC$495,(SUMPRODUCT((('CONTROL MASTER'!$S$2:$S$495=14)*('CONTROL MASTER'!$Z$2:$Z$495&lt;=4)*('CONTROL MASTER'!$AB$2:$AB$495&gt;=4)*('CONTROL MASTER'!$AA$2:$AA$495&lt;=5)*('CONTROL MASTER'!$AC$2:$AC$495&gt;=5))*ROW('CONTROL MASTER'!$S$2:$S$495))-(ROW('CONTROL MASTER'!#REF!)-1)))-INDEX('CONTROL MASTER'!$AA$2:$AA$495,(SUMPRODUCT((('CONTROL MASTER'!$S$2:$S$495=14)*('CONTROL MASTER'!$Z$2:$Z$495&lt;=4)*('CONTROL MASTER'!$AB$2:$AB$495&gt;=4)*('CONTROL MASTER'!$AA$2:$AA$495&lt;=5)*('CONTROL MASTER'!$AC$2:$AC$495&gt;=5))*ROW('CONTROL MASTER'!$S$2:$S$495))-(ROW('CONTROL MASTER'!#REF!)-1)))+1)+(5-INDEX('CONTROL MASTER'!$AA$2:$AA$495,(SUMPRODUCT((('CONTROL MASTER'!$S$2:$S$495=14)*('CONTROL MASTER'!$Z$2:$Z$495&lt;=4)*('CONTROL MASTER'!$AB$2:$AB$495&gt;=4)*('CONTROL MASTER'!$AA$2:$AA$495&lt;=5)*('CONTROL MASTER'!$AC$2:$AC$495&gt;=5))*ROW('CONTROL MASTER'!$S$2:$S$495))-(ROW('CONTROL MASTER'!#REF!)-1))))+1)))-1)*50+1,50))&amp;"_"&amp;INDEX('CONTROL MASTER'!$P$2:$P$495,(SUMPRODUCT((('CONTROL MASTER'!$S$2:$S$495=14)*('CONTROL MASTER'!$Z$2:$Z$495&lt;=4)*('CONTROL MASTER'!$AB$2:$AB$495&gt;=4)*('CONTROL MASTER'!$AA$2:$AA$495&lt;=5)*('CONTROL MASTER'!$AC$2:$AC$495&gt;=5))*ROW('CONTROL MASTER'!$S$2:$S$495))-(ROW('CONTROL MASTER'!#REF!)-1))),"")),"")</f>
        <v/>
      </c>
      <c r="G188" s="10" t="str">
        <f>IFERROR(IF(SUMPRODUCT((('CONTROL MASTER'!$S$2:$S$495=14)*('CONTROL MASTER'!$T$2:$T$495&lt;=4)*('CONTROL MASTER'!$V$2:$V$495&gt;=4)*('CONTROL MASTER'!$U$2:$U$495&lt;=6)*('CONTROL MASTER'!$W$2:$W$495&gt;=6))*ROW('CONTROL MASTER'!$S$2:$S$495))&gt;0,INDEX('CONTROL MASTER'!$X$2:$X$495,(SUMPRODUCT((('CONTROL MASTER'!$S$2:$S$495=14)*('CONTROL MASTER'!$T$2:$T$495&lt;=4)*('CONTROL MASTER'!$V$2:$V$495&gt;=4)*('CONTROL MASTER'!$U$2:$U$495&lt;=6)*('CONTROL MASTER'!$W$2:$W$495&gt;=6))*ROW('CONTROL MASTER'!$S$2:$S$495))-(ROW('CONTROL MASTER'!#REF!)-1)))&amp;TRIM(MID(SUBSTITUTE(SUBSTITUTE(INDEX('CONTROL MASTER'!$N$2:$N$495,(SUMPRODUCT((('CONTROL MASTER'!$S$2:$S$495=14)*('CONTROL MASTER'!$T$2:$T$495&lt;=4)*('CONTROL MASTER'!$V$2:$V$495&gt;=4)*('CONTROL MASTER'!$U$2:$U$495&lt;=6)*('CONTROL MASTER'!$W$2:$W$495&gt;=6))*ROW('CONTROL MASTER'!$S$2:$S$495))-(ROW('CONTROL MASTER'!#REF!)-1))),":",","),",",REPT(" ",50)),((((4-INDEX('CONTROL MASTER'!$T$2:$T$495,(SUMPRODUCT((('CONTROL MASTER'!$S$2:$S$495=14)*('CONTROL MASTER'!$T$2:$T$495&lt;=4)*('CONTROL MASTER'!$V$2:$V$495&gt;=4)*('CONTROL MASTER'!$U$2:$U$495&lt;=6)*('CONTROL MASTER'!$W$2:$W$495&gt;=6))*ROW('CONTROL MASTER'!$S$2:$S$495))-(ROW('CONTROL MASTER'!#REF!)-1))))*(INDEX('CONTROL MASTER'!$W$2:$W$495,(SUMPRODUCT((('CONTROL MASTER'!$S$2:$S$495=14)*('CONTROL MASTER'!$T$2:$T$495&lt;=4)*('CONTROL MASTER'!$V$2:$V$495&gt;=4)*('CONTROL MASTER'!$U$2:$U$495&lt;=6)*('CONTROL MASTER'!$W$2:$W$495&gt;=6))*ROW('CONTROL MASTER'!$S$2:$S$495))-(ROW('CONTROL MASTER'!#REF!)-1)))-INDEX('CONTROL MASTER'!$U$2:$U$495,(SUMPRODUCT((('CONTROL MASTER'!$S$2:$S$495=14)*('CONTROL MASTER'!$T$2:$T$495&lt;=4)*('CONTROL MASTER'!$V$2:$V$495&gt;=4)*('CONTROL MASTER'!$U$2:$U$495&lt;=6)*('CONTROL MASTER'!$W$2:$W$495&gt;=6))*ROW('CONTROL MASTER'!$S$2:$S$495))-(ROW('CONTROL MASTER'!#REF!)-1)))+1)+(6-INDEX('CONTROL MASTER'!$U$2:$U$495,(SUMPRODUCT((('CONTROL MASTER'!$S$2:$S$495=14)*('CONTROL MASTER'!$T$2:$T$495&lt;=4)*('CONTROL MASTER'!$V$2:$V$495&gt;=4)*('CONTROL MASTER'!$U$2:$U$495&lt;=6)*('CONTROL MASTER'!$W$2:$W$495&gt;=6))*ROW('CONTROL MASTER'!$S$2:$S$495))-(ROW('CONTROL MASTER'!#REF!)-1))))+1))-1)*50+1,50))&amp;"_"&amp;INDEX('CONTROL MASTER'!$P$2:$P$495,(SUMPRODUCT((('CONTROL MASTER'!$S$2:$S$495=14)*('CONTROL MASTER'!$T$2:$T$495&lt;=4)*('CONTROL MASTER'!$V$2:$V$495&gt;=4)*('CONTROL MASTER'!$U$2:$U$495&lt;=6)*('CONTROL MASTER'!$W$2:$W$495&gt;=6))*ROW('CONTROL MASTER'!$S$2:$S$495))-(ROW('CONTROL MASTER'!#REF!)-1))),IF(SUMPRODUCT((('CONTROL MASTER'!$S$2:$S$495=14)*('CONTROL MASTER'!$Z$2:$Z$495&lt;=4)*('CONTROL MASTER'!$AB$2:$AB$495&gt;=4)*('CONTROL MASTER'!$AA$2:$AA$495&lt;=6)*('CONTROL MASTER'!$AC$2:$AC$495&gt;=6))*ROW('CONTROL MASTER'!$S$2:$S$495))&gt;0,INDEX('CONTROL MASTER'!$X$2:$X$495,(SUMPRODUCT((('CONTROL MASTER'!$S$2:$S$495=14)*('CONTROL MASTER'!$Z$2:$Z$495&lt;=4)*('CONTROL MASTER'!$AB$2:$AB$495&gt;=4)*('CONTROL MASTER'!$AA$2:$AA$495&lt;=6)*('CONTROL MASTER'!$AC$2:$AC$495&gt;=6))*ROW('CONTROL MASTER'!$S$2:$S$495))-(ROW('CONTROL MASTER'!#REF!)-1)))&amp;TRIM(MID(SUBSTITUTE(SUBSTITUTE(INDEX('CONTROL MASTER'!$N$2:$N$495,(SUMPRODUCT((('CONTROL MASTER'!$S$2:$S$495=14)*('CONTROL MASTER'!$Z$2:$Z$495&lt;=4)*('CONTROL MASTER'!$AB$2:$AB$495&gt;=4)*('CONTROL MASTER'!$AA$2:$AA$495&lt;=6)*('CONTROL MASTER'!$AC$2:$AC$495&gt;=6))*ROW('CONTROL MASTER'!$S$2:$S$495))-(ROW('CONTROL MASTER'!#REF!)-1))),":",","),",",REPT(" ",50)),(((INDEX('CONTROL MASTER'!$Y$2:$Y$495,(SUMPRODUCT((('CONTROL MASTER'!$S$2:$S$495=14)*('CONTROL MASTER'!$Z$2:$Z$495&lt;=4)*('CONTROL MASTER'!$AB$2:$AB$495&gt;=4)*('CONTROL MASTER'!$AA$2:$AA$495&lt;=6)*('CONTROL MASTER'!$AC$2:$AC$495&gt;=6))*ROW('CONTROL MASTER'!$S$2:$S$495))-(ROW('CONTROL MASTER'!#REF!)-1)))+((4-INDEX('CONTROL MASTER'!$Z$2:$Z$495,(SUMPRODUCT((('CONTROL MASTER'!$S$2:$S$495=14)*('CONTROL MASTER'!$Z$2:$Z$495&lt;=4)*('CONTROL MASTER'!$AB$2:$AB$495&gt;=4)*('CONTROL MASTER'!$AA$2:$AA$495&lt;=6)*('CONTROL MASTER'!$AC$2:$AC$495&gt;=6))*ROW('CONTROL MASTER'!$S$2:$S$495))-(ROW('CONTROL MASTER'!#REF!)-1))))*(INDEX('CONTROL MASTER'!$AC$2:$AC$495,(SUMPRODUCT((('CONTROL MASTER'!$S$2:$S$495=14)*('CONTROL MASTER'!$Z$2:$Z$495&lt;=4)*('CONTROL MASTER'!$AB$2:$AB$495&gt;=4)*('CONTROL MASTER'!$AA$2:$AA$495&lt;=6)*('CONTROL MASTER'!$AC$2:$AC$495&gt;=6))*ROW('CONTROL MASTER'!$S$2:$S$495))-(ROW('CONTROL MASTER'!#REF!)-1)))-INDEX('CONTROL MASTER'!$AA$2:$AA$495,(SUMPRODUCT((('CONTROL MASTER'!$S$2:$S$495=14)*('CONTROL MASTER'!$Z$2:$Z$495&lt;=4)*('CONTROL MASTER'!$AB$2:$AB$495&gt;=4)*('CONTROL MASTER'!$AA$2:$AA$495&lt;=6)*('CONTROL MASTER'!$AC$2:$AC$495&gt;=6))*ROW('CONTROL MASTER'!$S$2:$S$495))-(ROW('CONTROL MASTER'!#REF!)-1)))+1)+(6-INDEX('CONTROL MASTER'!$AA$2:$AA$495,(SUMPRODUCT((('CONTROL MASTER'!$S$2:$S$495=14)*('CONTROL MASTER'!$Z$2:$Z$495&lt;=4)*('CONTROL MASTER'!$AB$2:$AB$495&gt;=4)*('CONTROL MASTER'!$AA$2:$AA$495&lt;=6)*('CONTROL MASTER'!$AC$2:$AC$495&gt;=6))*ROW('CONTROL MASTER'!$S$2:$S$495))-(ROW('CONTROL MASTER'!#REF!)-1))))+1)))-1)*50+1,50))&amp;"_"&amp;INDEX('CONTROL MASTER'!$P$2:$P$495,(SUMPRODUCT((('CONTROL MASTER'!$S$2:$S$495=14)*('CONTROL MASTER'!$Z$2:$Z$495&lt;=4)*('CONTROL MASTER'!$AB$2:$AB$495&gt;=4)*('CONTROL MASTER'!$AA$2:$AA$495&lt;=6)*('CONTROL MASTER'!$AC$2:$AC$495&gt;=6))*ROW('CONTROL MASTER'!$S$2:$S$495))-(ROW('CONTROL MASTER'!#REF!)-1))),"")),"")</f>
        <v/>
      </c>
      <c r="H188" s="10" t="str">
        <f>IFERROR(IF(SUMPRODUCT((('CONTROL MASTER'!$S$2:$S$495=14)*('CONTROL MASTER'!$T$2:$T$495&lt;=4)*('CONTROL MASTER'!$V$2:$V$495&gt;=4)*('CONTROL MASTER'!$U$2:$U$495&lt;=7)*('CONTROL MASTER'!$W$2:$W$495&gt;=7))*ROW('CONTROL MASTER'!$S$2:$S$495))&gt;0,INDEX('CONTROL MASTER'!$X$2:$X$495,(SUMPRODUCT((('CONTROL MASTER'!$S$2:$S$495=14)*('CONTROL MASTER'!$T$2:$T$495&lt;=4)*('CONTROL MASTER'!$V$2:$V$495&gt;=4)*('CONTROL MASTER'!$U$2:$U$495&lt;=7)*('CONTROL MASTER'!$W$2:$W$495&gt;=7))*ROW('CONTROL MASTER'!$S$2:$S$495))-(ROW('CONTROL MASTER'!#REF!)-1)))&amp;TRIM(MID(SUBSTITUTE(SUBSTITUTE(INDEX('CONTROL MASTER'!$N$2:$N$495,(SUMPRODUCT((('CONTROL MASTER'!$S$2:$S$495=14)*('CONTROL MASTER'!$T$2:$T$495&lt;=4)*('CONTROL MASTER'!$V$2:$V$495&gt;=4)*('CONTROL MASTER'!$U$2:$U$495&lt;=7)*('CONTROL MASTER'!$W$2:$W$495&gt;=7))*ROW('CONTROL MASTER'!$S$2:$S$495))-(ROW('CONTROL MASTER'!#REF!)-1))),":",","),",",REPT(" ",50)),((((4-INDEX('CONTROL MASTER'!$T$2:$T$495,(SUMPRODUCT((('CONTROL MASTER'!$S$2:$S$495=14)*('CONTROL MASTER'!$T$2:$T$495&lt;=4)*('CONTROL MASTER'!$V$2:$V$495&gt;=4)*('CONTROL MASTER'!$U$2:$U$495&lt;=7)*('CONTROL MASTER'!$W$2:$W$495&gt;=7))*ROW('CONTROL MASTER'!$S$2:$S$495))-(ROW('CONTROL MASTER'!#REF!)-1))))*(INDEX('CONTROL MASTER'!$W$2:$W$495,(SUMPRODUCT((('CONTROL MASTER'!$S$2:$S$495=14)*('CONTROL MASTER'!$T$2:$T$495&lt;=4)*('CONTROL MASTER'!$V$2:$V$495&gt;=4)*('CONTROL MASTER'!$U$2:$U$495&lt;=7)*('CONTROL MASTER'!$W$2:$W$495&gt;=7))*ROW('CONTROL MASTER'!$S$2:$S$495))-(ROW('CONTROL MASTER'!#REF!)-1)))-INDEX('CONTROL MASTER'!$U$2:$U$495,(SUMPRODUCT((('CONTROL MASTER'!$S$2:$S$495=14)*('CONTROL MASTER'!$T$2:$T$495&lt;=4)*('CONTROL MASTER'!$V$2:$V$495&gt;=4)*('CONTROL MASTER'!$U$2:$U$495&lt;=7)*('CONTROL MASTER'!$W$2:$W$495&gt;=7))*ROW('CONTROL MASTER'!$S$2:$S$495))-(ROW('CONTROL MASTER'!#REF!)-1)))+1)+(7-INDEX('CONTROL MASTER'!$U$2:$U$495,(SUMPRODUCT((('CONTROL MASTER'!$S$2:$S$495=14)*('CONTROL MASTER'!$T$2:$T$495&lt;=4)*('CONTROL MASTER'!$V$2:$V$495&gt;=4)*('CONTROL MASTER'!$U$2:$U$495&lt;=7)*('CONTROL MASTER'!$W$2:$W$495&gt;=7))*ROW('CONTROL MASTER'!$S$2:$S$495))-(ROW('CONTROL MASTER'!#REF!)-1))))+1))-1)*50+1,50))&amp;"_"&amp;INDEX('CONTROL MASTER'!$P$2:$P$495,(SUMPRODUCT((('CONTROL MASTER'!$S$2:$S$495=14)*('CONTROL MASTER'!$T$2:$T$495&lt;=4)*('CONTROL MASTER'!$V$2:$V$495&gt;=4)*('CONTROL MASTER'!$U$2:$U$495&lt;=7)*('CONTROL MASTER'!$W$2:$W$495&gt;=7))*ROW('CONTROL MASTER'!$S$2:$S$495))-(ROW('CONTROL MASTER'!#REF!)-1))),IF(SUMPRODUCT((('CONTROL MASTER'!$S$2:$S$495=14)*('CONTROL MASTER'!$Z$2:$Z$495&lt;=4)*('CONTROL MASTER'!$AB$2:$AB$495&gt;=4)*('CONTROL MASTER'!$AA$2:$AA$495&lt;=7)*('CONTROL MASTER'!$AC$2:$AC$495&gt;=7))*ROW('CONTROL MASTER'!$S$2:$S$495))&gt;0,INDEX('CONTROL MASTER'!$X$2:$X$495,(SUMPRODUCT((('CONTROL MASTER'!$S$2:$S$495=14)*('CONTROL MASTER'!$Z$2:$Z$495&lt;=4)*('CONTROL MASTER'!$AB$2:$AB$495&gt;=4)*('CONTROL MASTER'!$AA$2:$AA$495&lt;=7)*('CONTROL MASTER'!$AC$2:$AC$495&gt;=7))*ROW('CONTROL MASTER'!$S$2:$S$495))-(ROW('CONTROL MASTER'!#REF!)-1)))&amp;TRIM(MID(SUBSTITUTE(SUBSTITUTE(INDEX('CONTROL MASTER'!$N$2:$N$495,(SUMPRODUCT((('CONTROL MASTER'!$S$2:$S$495=14)*('CONTROL MASTER'!$Z$2:$Z$495&lt;=4)*('CONTROL MASTER'!$AB$2:$AB$495&gt;=4)*('CONTROL MASTER'!$AA$2:$AA$495&lt;=7)*('CONTROL MASTER'!$AC$2:$AC$495&gt;=7))*ROW('CONTROL MASTER'!$S$2:$S$495))-(ROW('CONTROL MASTER'!#REF!)-1))),":",","),",",REPT(" ",50)),(((INDEX('CONTROL MASTER'!$Y$2:$Y$495,(SUMPRODUCT((('CONTROL MASTER'!$S$2:$S$495=14)*('CONTROL MASTER'!$Z$2:$Z$495&lt;=4)*('CONTROL MASTER'!$AB$2:$AB$495&gt;=4)*('CONTROL MASTER'!$AA$2:$AA$495&lt;=7)*('CONTROL MASTER'!$AC$2:$AC$495&gt;=7))*ROW('CONTROL MASTER'!$S$2:$S$495))-(ROW('CONTROL MASTER'!#REF!)-1)))+((4-INDEX('CONTROL MASTER'!$Z$2:$Z$495,(SUMPRODUCT((('CONTROL MASTER'!$S$2:$S$495=14)*('CONTROL MASTER'!$Z$2:$Z$495&lt;=4)*('CONTROL MASTER'!$AB$2:$AB$495&gt;=4)*('CONTROL MASTER'!$AA$2:$AA$495&lt;=7)*('CONTROL MASTER'!$AC$2:$AC$495&gt;=7))*ROW('CONTROL MASTER'!$S$2:$S$495))-(ROW('CONTROL MASTER'!#REF!)-1))))*(INDEX('CONTROL MASTER'!$AC$2:$AC$495,(SUMPRODUCT((('CONTROL MASTER'!$S$2:$S$495=14)*('CONTROL MASTER'!$Z$2:$Z$495&lt;=4)*('CONTROL MASTER'!$AB$2:$AB$495&gt;=4)*('CONTROL MASTER'!$AA$2:$AA$495&lt;=7)*('CONTROL MASTER'!$AC$2:$AC$495&gt;=7))*ROW('CONTROL MASTER'!$S$2:$S$495))-(ROW('CONTROL MASTER'!#REF!)-1)))-INDEX('CONTROL MASTER'!$AA$2:$AA$495,(SUMPRODUCT((('CONTROL MASTER'!$S$2:$S$495=14)*('CONTROL MASTER'!$Z$2:$Z$495&lt;=4)*('CONTROL MASTER'!$AB$2:$AB$495&gt;=4)*('CONTROL MASTER'!$AA$2:$AA$495&lt;=7)*('CONTROL MASTER'!$AC$2:$AC$495&gt;=7))*ROW('CONTROL MASTER'!$S$2:$S$495))-(ROW('CONTROL MASTER'!#REF!)-1)))+1)+(7-INDEX('CONTROL MASTER'!$AA$2:$AA$495,(SUMPRODUCT((('CONTROL MASTER'!$S$2:$S$495=14)*('CONTROL MASTER'!$Z$2:$Z$495&lt;=4)*('CONTROL MASTER'!$AB$2:$AB$495&gt;=4)*('CONTROL MASTER'!$AA$2:$AA$495&lt;=7)*('CONTROL MASTER'!$AC$2:$AC$495&gt;=7))*ROW('CONTROL MASTER'!$S$2:$S$495))-(ROW('CONTROL MASTER'!#REF!)-1))))+1)))-1)*50+1,50))&amp;"_"&amp;INDEX('CONTROL MASTER'!$P$2:$P$495,(SUMPRODUCT((('CONTROL MASTER'!$S$2:$S$495=14)*('CONTROL MASTER'!$Z$2:$Z$495&lt;=4)*('CONTROL MASTER'!$AB$2:$AB$495&gt;=4)*('CONTROL MASTER'!$AA$2:$AA$495&lt;=7)*('CONTROL MASTER'!$AC$2:$AC$495&gt;=7))*ROW('CONTROL MASTER'!$S$2:$S$495))-(ROW('CONTROL MASTER'!#REF!)-1))),"")),"")</f>
        <v/>
      </c>
      <c r="I188" s="10" t="str">
        <f>IFERROR(IF(SUMPRODUCT((('CONTROL MASTER'!$S$2:$S$495=14)*('CONTROL MASTER'!$T$2:$T$495&lt;=4)*('CONTROL MASTER'!$V$2:$V$495&gt;=4)*('CONTROL MASTER'!$U$2:$U$495&lt;=8)*('CONTROL MASTER'!$W$2:$W$495&gt;=8))*ROW('CONTROL MASTER'!$S$2:$S$495))&gt;0,INDEX('CONTROL MASTER'!$X$2:$X$495,(SUMPRODUCT((('CONTROL MASTER'!$S$2:$S$495=14)*('CONTROL MASTER'!$T$2:$T$495&lt;=4)*('CONTROL MASTER'!$V$2:$V$495&gt;=4)*('CONTROL MASTER'!$U$2:$U$495&lt;=8)*('CONTROL MASTER'!$W$2:$W$495&gt;=8))*ROW('CONTROL MASTER'!$S$2:$S$495))-(ROW('CONTROL MASTER'!#REF!)-1)))&amp;TRIM(MID(SUBSTITUTE(SUBSTITUTE(INDEX('CONTROL MASTER'!$N$2:$N$495,(SUMPRODUCT((('CONTROL MASTER'!$S$2:$S$495=14)*('CONTROL MASTER'!$T$2:$T$495&lt;=4)*('CONTROL MASTER'!$V$2:$V$495&gt;=4)*('CONTROL MASTER'!$U$2:$U$495&lt;=8)*('CONTROL MASTER'!$W$2:$W$495&gt;=8))*ROW('CONTROL MASTER'!$S$2:$S$495))-(ROW('CONTROL MASTER'!#REF!)-1))),":",","),",",REPT(" ",50)),((((4-INDEX('CONTROL MASTER'!$T$2:$T$495,(SUMPRODUCT((('CONTROL MASTER'!$S$2:$S$495=14)*('CONTROL MASTER'!$T$2:$T$495&lt;=4)*('CONTROL MASTER'!$V$2:$V$495&gt;=4)*('CONTROL MASTER'!$U$2:$U$495&lt;=8)*('CONTROL MASTER'!$W$2:$W$495&gt;=8))*ROW('CONTROL MASTER'!$S$2:$S$495))-(ROW('CONTROL MASTER'!#REF!)-1))))*(INDEX('CONTROL MASTER'!$W$2:$W$495,(SUMPRODUCT((('CONTROL MASTER'!$S$2:$S$495=14)*('CONTROL MASTER'!$T$2:$T$495&lt;=4)*('CONTROL MASTER'!$V$2:$V$495&gt;=4)*('CONTROL MASTER'!$U$2:$U$495&lt;=8)*('CONTROL MASTER'!$W$2:$W$495&gt;=8))*ROW('CONTROL MASTER'!$S$2:$S$495))-(ROW('CONTROL MASTER'!#REF!)-1)))-INDEX('CONTROL MASTER'!$U$2:$U$495,(SUMPRODUCT((('CONTROL MASTER'!$S$2:$S$495=14)*('CONTROL MASTER'!$T$2:$T$495&lt;=4)*('CONTROL MASTER'!$V$2:$V$495&gt;=4)*('CONTROL MASTER'!$U$2:$U$495&lt;=8)*('CONTROL MASTER'!$W$2:$W$495&gt;=8))*ROW('CONTROL MASTER'!$S$2:$S$495))-(ROW('CONTROL MASTER'!#REF!)-1)))+1)+(8-INDEX('CONTROL MASTER'!$U$2:$U$495,(SUMPRODUCT((('CONTROL MASTER'!$S$2:$S$495=14)*('CONTROL MASTER'!$T$2:$T$495&lt;=4)*('CONTROL MASTER'!$V$2:$V$495&gt;=4)*('CONTROL MASTER'!$U$2:$U$495&lt;=8)*('CONTROL MASTER'!$W$2:$W$495&gt;=8))*ROW('CONTROL MASTER'!$S$2:$S$495))-(ROW('CONTROL MASTER'!#REF!)-1))))+1))-1)*50+1,50))&amp;"_"&amp;INDEX('CONTROL MASTER'!$P$2:$P$495,(SUMPRODUCT((('CONTROL MASTER'!$S$2:$S$495=14)*('CONTROL MASTER'!$T$2:$T$495&lt;=4)*('CONTROL MASTER'!$V$2:$V$495&gt;=4)*('CONTROL MASTER'!$U$2:$U$495&lt;=8)*('CONTROL MASTER'!$W$2:$W$495&gt;=8))*ROW('CONTROL MASTER'!$S$2:$S$495))-(ROW('CONTROL MASTER'!#REF!)-1))),IF(SUMPRODUCT((('CONTROL MASTER'!$S$2:$S$495=14)*('CONTROL MASTER'!$Z$2:$Z$495&lt;=4)*('CONTROL MASTER'!$AB$2:$AB$495&gt;=4)*('CONTROL MASTER'!$AA$2:$AA$495&lt;=8)*('CONTROL MASTER'!$AC$2:$AC$495&gt;=8))*ROW('CONTROL MASTER'!$S$2:$S$495))&gt;0,INDEX('CONTROL MASTER'!$X$2:$X$495,(SUMPRODUCT((('CONTROL MASTER'!$S$2:$S$495=14)*('CONTROL MASTER'!$Z$2:$Z$495&lt;=4)*('CONTROL MASTER'!$AB$2:$AB$495&gt;=4)*('CONTROL MASTER'!$AA$2:$AA$495&lt;=8)*('CONTROL MASTER'!$AC$2:$AC$495&gt;=8))*ROW('CONTROL MASTER'!$S$2:$S$495))-(ROW('CONTROL MASTER'!#REF!)-1)))&amp;TRIM(MID(SUBSTITUTE(SUBSTITUTE(INDEX('CONTROL MASTER'!$N$2:$N$495,(SUMPRODUCT((('CONTROL MASTER'!$S$2:$S$495=14)*('CONTROL MASTER'!$Z$2:$Z$495&lt;=4)*('CONTROL MASTER'!$AB$2:$AB$495&gt;=4)*('CONTROL MASTER'!$AA$2:$AA$495&lt;=8)*('CONTROL MASTER'!$AC$2:$AC$495&gt;=8))*ROW('CONTROL MASTER'!$S$2:$S$495))-(ROW('CONTROL MASTER'!#REF!)-1))),":",","),",",REPT(" ",50)),(((INDEX('CONTROL MASTER'!$Y$2:$Y$495,(SUMPRODUCT((('CONTROL MASTER'!$S$2:$S$495=14)*('CONTROL MASTER'!$Z$2:$Z$495&lt;=4)*('CONTROL MASTER'!$AB$2:$AB$495&gt;=4)*('CONTROL MASTER'!$AA$2:$AA$495&lt;=8)*('CONTROL MASTER'!$AC$2:$AC$495&gt;=8))*ROW('CONTROL MASTER'!$S$2:$S$495))-(ROW('CONTROL MASTER'!#REF!)-1)))+((4-INDEX('CONTROL MASTER'!$Z$2:$Z$495,(SUMPRODUCT((('CONTROL MASTER'!$S$2:$S$495=14)*('CONTROL MASTER'!$Z$2:$Z$495&lt;=4)*('CONTROL MASTER'!$AB$2:$AB$495&gt;=4)*('CONTROL MASTER'!$AA$2:$AA$495&lt;=8)*('CONTROL MASTER'!$AC$2:$AC$495&gt;=8))*ROW('CONTROL MASTER'!$S$2:$S$495))-(ROW('CONTROL MASTER'!#REF!)-1))))*(INDEX('CONTROL MASTER'!$AC$2:$AC$495,(SUMPRODUCT((('CONTROL MASTER'!$S$2:$S$495=14)*('CONTROL MASTER'!$Z$2:$Z$495&lt;=4)*('CONTROL MASTER'!$AB$2:$AB$495&gt;=4)*('CONTROL MASTER'!$AA$2:$AA$495&lt;=8)*('CONTROL MASTER'!$AC$2:$AC$495&gt;=8))*ROW('CONTROL MASTER'!$S$2:$S$495))-(ROW('CONTROL MASTER'!#REF!)-1)))-INDEX('CONTROL MASTER'!$AA$2:$AA$495,(SUMPRODUCT((('CONTROL MASTER'!$S$2:$S$495=14)*('CONTROL MASTER'!$Z$2:$Z$495&lt;=4)*('CONTROL MASTER'!$AB$2:$AB$495&gt;=4)*('CONTROL MASTER'!$AA$2:$AA$495&lt;=8)*('CONTROL MASTER'!$AC$2:$AC$495&gt;=8))*ROW('CONTROL MASTER'!$S$2:$S$495))-(ROW('CONTROL MASTER'!#REF!)-1)))+1)+(8-INDEX('CONTROL MASTER'!$AA$2:$AA$495,(SUMPRODUCT((('CONTROL MASTER'!$S$2:$S$495=14)*('CONTROL MASTER'!$Z$2:$Z$495&lt;=4)*('CONTROL MASTER'!$AB$2:$AB$495&gt;=4)*('CONTROL MASTER'!$AA$2:$AA$495&lt;=8)*('CONTROL MASTER'!$AC$2:$AC$495&gt;=8))*ROW('CONTROL MASTER'!$S$2:$S$495))-(ROW('CONTROL MASTER'!#REF!)-1))))+1)))-1)*50+1,50))&amp;"_"&amp;INDEX('CONTROL MASTER'!$P$2:$P$495,(SUMPRODUCT((('CONTROL MASTER'!$S$2:$S$495=14)*('CONTROL MASTER'!$Z$2:$Z$495&lt;=4)*('CONTROL MASTER'!$AB$2:$AB$495&gt;=4)*('CONTROL MASTER'!$AA$2:$AA$495&lt;=8)*('CONTROL MASTER'!$AC$2:$AC$495&gt;=8))*ROW('CONTROL MASTER'!$S$2:$S$495))-(ROW('CONTROL MASTER'!#REF!)-1))),"")),"")</f>
        <v/>
      </c>
      <c r="J188" s="10" t="str">
        <f>IFERROR(IF(SUMPRODUCT((('CONTROL MASTER'!$S$2:$S$495=14)*('CONTROL MASTER'!$T$2:$T$495&lt;=4)*('CONTROL MASTER'!$V$2:$V$495&gt;=4)*('CONTROL MASTER'!$U$2:$U$495&lt;=9)*('CONTROL MASTER'!$W$2:$W$495&gt;=9))*ROW('CONTROL MASTER'!$S$2:$S$495))&gt;0,INDEX('CONTROL MASTER'!$X$2:$X$495,(SUMPRODUCT((('CONTROL MASTER'!$S$2:$S$495=14)*('CONTROL MASTER'!$T$2:$T$495&lt;=4)*('CONTROL MASTER'!$V$2:$V$495&gt;=4)*('CONTROL MASTER'!$U$2:$U$495&lt;=9)*('CONTROL MASTER'!$W$2:$W$495&gt;=9))*ROW('CONTROL MASTER'!$S$2:$S$495))-(ROW('CONTROL MASTER'!#REF!)-1)))&amp;TRIM(MID(SUBSTITUTE(SUBSTITUTE(INDEX('CONTROL MASTER'!$N$2:$N$495,(SUMPRODUCT((('CONTROL MASTER'!$S$2:$S$495=14)*('CONTROL MASTER'!$T$2:$T$495&lt;=4)*('CONTROL MASTER'!$V$2:$V$495&gt;=4)*('CONTROL MASTER'!$U$2:$U$495&lt;=9)*('CONTROL MASTER'!$W$2:$W$495&gt;=9))*ROW('CONTROL MASTER'!$S$2:$S$495))-(ROW('CONTROL MASTER'!#REF!)-1))),":",","),",",REPT(" ",50)),((((4-INDEX('CONTROL MASTER'!$T$2:$T$495,(SUMPRODUCT((('CONTROL MASTER'!$S$2:$S$495=14)*('CONTROL MASTER'!$T$2:$T$495&lt;=4)*('CONTROL MASTER'!$V$2:$V$495&gt;=4)*('CONTROL MASTER'!$U$2:$U$495&lt;=9)*('CONTROL MASTER'!$W$2:$W$495&gt;=9))*ROW('CONTROL MASTER'!$S$2:$S$495))-(ROW('CONTROL MASTER'!#REF!)-1))))*(INDEX('CONTROL MASTER'!$W$2:$W$495,(SUMPRODUCT((('CONTROL MASTER'!$S$2:$S$495=14)*('CONTROL MASTER'!$T$2:$T$495&lt;=4)*('CONTROL MASTER'!$V$2:$V$495&gt;=4)*('CONTROL MASTER'!$U$2:$U$495&lt;=9)*('CONTROL MASTER'!$W$2:$W$495&gt;=9))*ROW('CONTROL MASTER'!$S$2:$S$495))-(ROW('CONTROL MASTER'!#REF!)-1)))-INDEX('CONTROL MASTER'!$U$2:$U$495,(SUMPRODUCT((('CONTROL MASTER'!$S$2:$S$495=14)*('CONTROL MASTER'!$T$2:$T$495&lt;=4)*('CONTROL MASTER'!$V$2:$V$495&gt;=4)*('CONTROL MASTER'!$U$2:$U$495&lt;=9)*('CONTROL MASTER'!$W$2:$W$495&gt;=9))*ROW('CONTROL MASTER'!$S$2:$S$495))-(ROW('CONTROL MASTER'!#REF!)-1)))+1)+(9-INDEX('CONTROL MASTER'!$U$2:$U$495,(SUMPRODUCT((('CONTROL MASTER'!$S$2:$S$495=14)*('CONTROL MASTER'!$T$2:$T$495&lt;=4)*('CONTROL MASTER'!$V$2:$V$495&gt;=4)*('CONTROL MASTER'!$U$2:$U$495&lt;=9)*('CONTROL MASTER'!$W$2:$W$495&gt;=9))*ROW('CONTROL MASTER'!$S$2:$S$495))-(ROW('CONTROL MASTER'!#REF!)-1))))+1))-1)*50+1,50))&amp;"_"&amp;INDEX('CONTROL MASTER'!$P$2:$P$495,(SUMPRODUCT((('CONTROL MASTER'!$S$2:$S$495=14)*('CONTROL MASTER'!$T$2:$T$495&lt;=4)*('CONTROL MASTER'!$V$2:$V$495&gt;=4)*('CONTROL MASTER'!$U$2:$U$495&lt;=9)*('CONTROL MASTER'!$W$2:$W$495&gt;=9))*ROW('CONTROL MASTER'!$S$2:$S$495))-(ROW('CONTROL MASTER'!#REF!)-1))),IF(SUMPRODUCT((('CONTROL MASTER'!$S$2:$S$495=14)*('CONTROL MASTER'!$Z$2:$Z$495&lt;=4)*('CONTROL MASTER'!$AB$2:$AB$495&gt;=4)*('CONTROL MASTER'!$AA$2:$AA$495&lt;=9)*('CONTROL MASTER'!$AC$2:$AC$495&gt;=9))*ROW('CONTROL MASTER'!$S$2:$S$495))&gt;0,INDEX('CONTROL MASTER'!$X$2:$X$495,(SUMPRODUCT((('CONTROL MASTER'!$S$2:$S$495=14)*('CONTROL MASTER'!$Z$2:$Z$495&lt;=4)*('CONTROL MASTER'!$AB$2:$AB$495&gt;=4)*('CONTROL MASTER'!$AA$2:$AA$495&lt;=9)*('CONTROL MASTER'!$AC$2:$AC$495&gt;=9))*ROW('CONTROL MASTER'!$S$2:$S$495))-(ROW('CONTROL MASTER'!#REF!)-1)))&amp;TRIM(MID(SUBSTITUTE(SUBSTITUTE(INDEX('CONTROL MASTER'!$N$2:$N$495,(SUMPRODUCT((('CONTROL MASTER'!$S$2:$S$495=14)*('CONTROL MASTER'!$Z$2:$Z$495&lt;=4)*('CONTROL MASTER'!$AB$2:$AB$495&gt;=4)*('CONTROL MASTER'!$AA$2:$AA$495&lt;=9)*('CONTROL MASTER'!$AC$2:$AC$495&gt;=9))*ROW('CONTROL MASTER'!$S$2:$S$495))-(ROW('CONTROL MASTER'!#REF!)-1))),":",","),",",REPT(" ",50)),(((INDEX('CONTROL MASTER'!$Y$2:$Y$495,(SUMPRODUCT((('CONTROL MASTER'!$S$2:$S$495=14)*('CONTROL MASTER'!$Z$2:$Z$495&lt;=4)*('CONTROL MASTER'!$AB$2:$AB$495&gt;=4)*('CONTROL MASTER'!$AA$2:$AA$495&lt;=9)*('CONTROL MASTER'!$AC$2:$AC$495&gt;=9))*ROW('CONTROL MASTER'!$S$2:$S$495))-(ROW('CONTROL MASTER'!#REF!)-1)))+((4-INDEX('CONTROL MASTER'!$Z$2:$Z$495,(SUMPRODUCT((('CONTROL MASTER'!$S$2:$S$495=14)*('CONTROL MASTER'!$Z$2:$Z$495&lt;=4)*('CONTROL MASTER'!$AB$2:$AB$495&gt;=4)*('CONTROL MASTER'!$AA$2:$AA$495&lt;=9)*('CONTROL MASTER'!$AC$2:$AC$495&gt;=9))*ROW('CONTROL MASTER'!$S$2:$S$495))-(ROW('CONTROL MASTER'!#REF!)-1))))*(INDEX('CONTROL MASTER'!$AC$2:$AC$495,(SUMPRODUCT((('CONTROL MASTER'!$S$2:$S$495=14)*('CONTROL MASTER'!$Z$2:$Z$495&lt;=4)*('CONTROL MASTER'!$AB$2:$AB$495&gt;=4)*('CONTROL MASTER'!$AA$2:$AA$495&lt;=9)*('CONTROL MASTER'!$AC$2:$AC$495&gt;=9))*ROW('CONTROL MASTER'!$S$2:$S$495))-(ROW('CONTROL MASTER'!#REF!)-1)))-INDEX('CONTROL MASTER'!$AA$2:$AA$495,(SUMPRODUCT((('CONTROL MASTER'!$S$2:$S$495=14)*('CONTROL MASTER'!$Z$2:$Z$495&lt;=4)*('CONTROL MASTER'!$AB$2:$AB$495&gt;=4)*('CONTROL MASTER'!$AA$2:$AA$495&lt;=9)*('CONTROL MASTER'!$AC$2:$AC$495&gt;=9))*ROW('CONTROL MASTER'!$S$2:$S$495))-(ROW('CONTROL MASTER'!#REF!)-1)))+1)+(9-INDEX('CONTROL MASTER'!$AA$2:$AA$495,(SUMPRODUCT((('CONTROL MASTER'!$S$2:$S$495=14)*('CONTROL MASTER'!$Z$2:$Z$495&lt;=4)*('CONTROL MASTER'!$AB$2:$AB$495&gt;=4)*('CONTROL MASTER'!$AA$2:$AA$495&lt;=9)*('CONTROL MASTER'!$AC$2:$AC$495&gt;=9))*ROW('CONTROL MASTER'!$S$2:$S$495))-(ROW('CONTROL MASTER'!#REF!)-1))))+1)))-1)*50+1,50))&amp;"_"&amp;INDEX('CONTROL MASTER'!$P$2:$P$495,(SUMPRODUCT((('CONTROL MASTER'!$S$2:$S$495=14)*('CONTROL MASTER'!$Z$2:$Z$495&lt;=4)*('CONTROL MASTER'!$AB$2:$AB$495&gt;=4)*('CONTROL MASTER'!$AA$2:$AA$495&lt;=9)*('CONTROL MASTER'!$AC$2:$AC$495&gt;=9))*ROW('CONTROL MASTER'!$S$2:$S$495))-(ROW('CONTROL MASTER'!#REF!)-1))),"")),"")</f>
        <v/>
      </c>
      <c r="K188" s="10" t="str">
        <f>IFERROR(IF(SUMPRODUCT((('CONTROL MASTER'!$S$2:$S$495=14)*('CONTROL MASTER'!$T$2:$T$495&lt;=4)*('CONTROL MASTER'!$V$2:$V$495&gt;=4)*('CONTROL MASTER'!$U$2:$U$495&lt;=10)*('CONTROL MASTER'!$W$2:$W$495&gt;=10))*ROW('CONTROL MASTER'!$S$2:$S$495))&gt;0,INDEX('CONTROL MASTER'!$X$2:$X$495,(SUMPRODUCT((('CONTROL MASTER'!$S$2:$S$495=14)*('CONTROL MASTER'!$T$2:$T$495&lt;=4)*('CONTROL MASTER'!$V$2:$V$495&gt;=4)*('CONTROL MASTER'!$U$2:$U$495&lt;=10)*('CONTROL MASTER'!$W$2:$W$495&gt;=10))*ROW('CONTROL MASTER'!$S$2:$S$495))-(ROW('CONTROL MASTER'!#REF!)-1)))&amp;TRIM(MID(SUBSTITUTE(SUBSTITUTE(INDEX('CONTROL MASTER'!$N$2:$N$495,(SUMPRODUCT((('CONTROL MASTER'!$S$2:$S$495=14)*('CONTROL MASTER'!$T$2:$T$495&lt;=4)*('CONTROL MASTER'!$V$2:$V$495&gt;=4)*('CONTROL MASTER'!$U$2:$U$495&lt;=10)*('CONTROL MASTER'!$W$2:$W$495&gt;=10))*ROW('CONTROL MASTER'!$S$2:$S$495))-(ROW('CONTROL MASTER'!#REF!)-1))),":",","),",",REPT(" ",50)),((((4-INDEX('CONTROL MASTER'!$T$2:$T$495,(SUMPRODUCT((('CONTROL MASTER'!$S$2:$S$495=14)*('CONTROL MASTER'!$T$2:$T$495&lt;=4)*('CONTROL MASTER'!$V$2:$V$495&gt;=4)*('CONTROL MASTER'!$U$2:$U$495&lt;=10)*('CONTROL MASTER'!$W$2:$W$495&gt;=10))*ROW('CONTROL MASTER'!$S$2:$S$495))-(ROW('CONTROL MASTER'!#REF!)-1))))*(INDEX('CONTROL MASTER'!$W$2:$W$495,(SUMPRODUCT((('CONTROL MASTER'!$S$2:$S$495=14)*('CONTROL MASTER'!$T$2:$T$495&lt;=4)*('CONTROL MASTER'!$V$2:$V$495&gt;=4)*('CONTROL MASTER'!$U$2:$U$495&lt;=10)*('CONTROL MASTER'!$W$2:$W$495&gt;=10))*ROW('CONTROL MASTER'!$S$2:$S$495))-(ROW('CONTROL MASTER'!#REF!)-1)))-INDEX('CONTROL MASTER'!$U$2:$U$495,(SUMPRODUCT((('CONTROL MASTER'!$S$2:$S$495=14)*('CONTROL MASTER'!$T$2:$T$495&lt;=4)*('CONTROL MASTER'!$V$2:$V$495&gt;=4)*('CONTROL MASTER'!$U$2:$U$495&lt;=10)*('CONTROL MASTER'!$W$2:$W$495&gt;=10))*ROW('CONTROL MASTER'!$S$2:$S$495))-(ROW('CONTROL MASTER'!#REF!)-1)))+1)+(10-INDEX('CONTROL MASTER'!$U$2:$U$495,(SUMPRODUCT((('CONTROL MASTER'!$S$2:$S$495=14)*('CONTROL MASTER'!$T$2:$T$495&lt;=4)*('CONTROL MASTER'!$V$2:$V$495&gt;=4)*('CONTROL MASTER'!$U$2:$U$495&lt;=10)*('CONTROL MASTER'!$W$2:$W$495&gt;=10))*ROW('CONTROL MASTER'!$S$2:$S$495))-(ROW('CONTROL MASTER'!#REF!)-1))))+1))-1)*50+1,50))&amp;"_"&amp;INDEX('CONTROL MASTER'!$P$2:$P$495,(SUMPRODUCT((('CONTROL MASTER'!$S$2:$S$495=14)*('CONTROL MASTER'!$T$2:$T$495&lt;=4)*('CONTROL MASTER'!$V$2:$V$495&gt;=4)*('CONTROL MASTER'!$U$2:$U$495&lt;=10)*('CONTROL MASTER'!$W$2:$W$495&gt;=10))*ROW('CONTROL MASTER'!$S$2:$S$495))-(ROW('CONTROL MASTER'!#REF!)-1))),IF(SUMPRODUCT((('CONTROL MASTER'!$S$2:$S$495=14)*('CONTROL MASTER'!$Z$2:$Z$495&lt;=4)*('CONTROL MASTER'!$AB$2:$AB$495&gt;=4)*('CONTROL MASTER'!$AA$2:$AA$495&lt;=10)*('CONTROL MASTER'!$AC$2:$AC$495&gt;=10))*ROW('CONTROL MASTER'!$S$2:$S$495))&gt;0,INDEX('CONTROL MASTER'!$X$2:$X$495,(SUMPRODUCT((('CONTROL MASTER'!$S$2:$S$495=14)*('CONTROL MASTER'!$Z$2:$Z$495&lt;=4)*('CONTROL MASTER'!$AB$2:$AB$495&gt;=4)*('CONTROL MASTER'!$AA$2:$AA$495&lt;=10)*('CONTROL MASTER'!$AC$2:$AC$495&gt;=10))*ROW('CONTROL MASTER'!$S$2:$S$495))-(ROW('CONTROL MASTER'!#REF!)-1)))&amp;TRIM(MID(SUBSTITUTE(SUBSTITUTE(INDEX('CONTROL MASTER'!$N$2:$N$495,(SUMPRODUCT((('CONTROL MASTER'!$S$2:$S$495=14)*('CONTROL MASTER'!$Z$2:$Z$495&lt;=4)*('CONTROL MASTER'!$AB$2:$AB$495&gt;=4)*('CONTROL MASTER'!$AA$2:$AA$495&lt;=10)*('CONTROL MASTER'!$AC$2:$AC$495&gt;=10))*ROW('CONTROL MASTER'!$S$2:$S$495))-(ROW('CONTROL MASTER'!#REF!)-1))),":",","),",",REPT(" ",50)),(((INDEX('CONTROL MASTER'!$Y$2:$Y$495,(SUMPRODUCT((('CONTROL MASTER'!$S$2:$S$495=14)*('CONTROL MASTER'!$Z$2:$Z$495&lt;=4)*('CONTROL MASTER'!$AB$2:$AB$495&gt;=4)*('CONTROL MASTER'!$AA$2:$AA$495&lt;=10)*('CONTROL MASTER'!$AC$2:$AC$495&gt;=10))*ROW('CONTROL MASTER'!$S$2:$S$495))-(ROW('CONTROL MASTER'!#REF!)-1)))+((4-INDEX('CONTROL MASTER'!$Z$2:$Z$495,(SUMPRODUCT((('CONTROL MASTER'!$S$2:$S$495=14)*('CONTROL MASTER'!$Z$2:$Z$495&lt;=4)*('CONTROL MASTER'!$AB$2:$AB$495&gt;=4)*('CONTROL MASTER'!$AA$2:$AA$495&lt;=10)*('CONTROL MASTER'!$AC$2:$AC$495&gt;=10))*ROW('CONTROL MASTER'!$S$2:$S$495))-(ROW('CONTROL MASTER'!#REF!)-1))))*(INDEX('CONTROL MASTER'!$AC$2:$AC$495,(SUMPRODUCT((('CONTROL MASTER'!$S$2:$S$495=14)*('CONTROL MASTER'!$Z$2:$Z$495&lt;=4)*('CONTROL MASTER'!$AB$2:$AB$495&gt;=4)*('CONTROL MASTER'!$AA$2:$AA$495&lt;=10)*('CONTROL MASTER'!$AC$2:$AC$495&gt;=10))*ROW('CONTROL MASTER'!$S$2:$S$495))-(ROW('CONTROL MASTER'!#REF!)-1)))-INDEX('CONTROL MASTER'!$AA$2:$AA$495,(SUMPRODUCT((('CONTROL MASTER'!$S$2:$S$495=14)*('CONTROL MASTER'!$Z$2:$Z$495&lt;=4)*('CONTROL MASTER'!$AB$2:$AB$495&gt;=4)*('CONTROL MASTER'!$AA$2:$AA$495&lt;=10)*('CONTROL MASTER'!$AC$2:$AC$495&gt;=10))*ROW('CONTROL MASTER'!$S$2:$S$495))-(ROW('CONTROL MASTER'!#REF!)-1)))+1)+(10-INDEX('CONTROL MASTER'!$AA$2:$AA$495,(SUMPRODUCT((('CONTROL MASTER'!$S$2:$S$495=14)*('CONTROL MASTER'!$Z$2:$Z$495&lt;=4)*('CONTROL MASTER'!$AB$2:$AB$495&gt;=4)*('CONTROL MASTER'!$AA$2:$AA$495&lt;=10)*('CONTROL MASTER'!$AC$2:$AC$495&gt;=10))*ROW('CONTROL MASTER'!$S$2:$S$495))-(ROW('CONTROL MASTER'!#REF!)-1))))+1)))-1)*50+1,50))&amp;"_"&amp;INDEX('CONTROL MASTER'!$P$2:$P$495,(SUMPRODUCT((('CONTROL MASTER'!$S$2:$S$495=14)*('CONTROL MASTER'!$Z$2:$Z$495&lt;=4)*('CONTROL MASTER'!$AB$2:$AB$495&gt;=4)*('CONTROL MASTER'!$AA$2:$AA$495&lt;=10)*('CONTROL MASTER'!$AC$2:$AC$495&gt;=10))*ROW('CONTROL MASTER'!$S$2:$S$495))-(ROW('CONTROL MASTER'!#REF!)-1))),"")),"")</f>
        <v/>
      </c>
    </row>
    <row r="189" spans="1:11" ht="15" customHeight="1" x14ac:dyDescent="0.35">
      <c r="A189" s="8" t="s">
        <v>32</v>
      </c>
      <c r="B189" s="10" t="str">
        <f>IFERROR(IF(SUMPRODUCT((('CONTROL MASTER'!$S$2:$S$495=14)*('CONTROL MASTER'!$T$2:$T$495&lt;=5)*('CONTROL MASTER'!$V$2:$V$495&gt;=5)*('CONTROL MASTER'!$U$2:$U$495&lt;=1)*('CONTROL MASTER'!$W$2:$W$495&gt;=1))*ROW('CONTROL MASTER'!$S$2:$S$495))&gt;0,INDEX('CONTROL MASTER'!$X$2:$X$495,(SUMPRODUCT((('CONTROL MASTER'!$S$2:$S$495=14)*('CONTROL MASTER'!$T$2:$T$495&lt;=5)*('CONTROL MASTER'!$V$2:$V$495&gt;=5)*('CONTROL MASTER'!$U$2:$U$495&lt;=1)*('CONTROL MASTER'!$W$2:$W$495&gt;=1))*ROW('CONTROL MASTER'!$S$2:$S$495))-(ROW('CONTROL MASTER'!#REF!)-1)))&amp;TRIM(MID(SUBSTITUTE(SUBSTITUTE(INDEX('CONTROL MASTER'!$N$2:$N$495,(SUMPRODUCT((('CONTROL MASTER'!$S$2:$S$495=14)*('CONTROL MASTER'!$T$2:$T$495&lt;=5)*('CONTROL MASTER'!$V$2:$V$495&gt;=5)*('CONTROL MASTER'!$U$2:$U$495&lt;=1)*('CONTROL MASTER'!$W$2:$W$495&gt;=1))*ROW('CONTROL MASTER'!$S$2:$S$495))-(ROW('CONTROL MASTER'!#REF!)-1))),":",","),",",REPT(" ",50)),((((5-INDEX('CONTROL MASTER'!$T$2:$T$495,(SUMPRODUCT((('CONTROL MASTER'!$S$2:$S$495=14)*('CONTROL MASTER'!$T$2:$T$495&lt;=5)*('CONTROL MASTER'!$V$2:$V$495&gt;=5)*('CONTROL MASTER'!$U$2:$U$495&lt;=1)*('CONTROL MASTER'!$W$2:$W$495&gt;=1))*ROW('CONTROL MASTER'!$S$2:$S$495))-(ROW('CONTROL MASTER'!#REF!)-1))))*(INDEX('CONTROL MASTER'!$W$2:$W$495,(SUMPRODUCT((('CONTROL MASTER'!$S$2:$S$495=14)*('CONTROL MASTER'!$T$2:$T$495&lt;=5)*('CONTROL MASTER'!$V$2:$V$495&gt;=5)*('CONTROL MASTER'!$U$2:$U$495&lt;=1)*('CONTROL MASTER'!$W$2:$W$495&gt;=1))*ROW('CONTROL MASTER'!$S$2:$S$495))-(ROW('CONTROL MASTER'!#REF!)-1)))-INDEX('CONTROL MASTER'!$U$2:$U$495,(SUMPRODUCT((('CONTROL MASTER'!$S$2:$S$495=14)*('CONTROL MASTER'!$T$2:$T$495&lt;=5)*('CONTROL MASTER'!$V$2:$V$495&gt;=5)*('CONTROL MASTER'!$U$2:$U$495&lt;=1)*('CONTROL MASTER'!$W$2:$W$495&gt;=1))*ROW('CONTROL MASTER'!$S$2:$S$495))-(ROW('CONTROL MASTER'!#REF!)-1)))+1)+(1-INDEX('CONTROL MASTER'!$U$2:$U$495,(SUMPRODUCT((('CONTROL MASTER'!$S$2:$S$495=14)*('CONTROL MASTER'!$T$2:$T$495&lt;=5)*('CONTROL MASTER'!$V$2:$V$495&gt;=5)*('CONTROL MASTER'!$U$2:$U$495&lt;=1)*('CONTROL MASTER'!$W$2:$W$495&gt;=1))*ROW('CONTROL MASTER'!$S$2:$S$495))-(ROW('CONTROL MASTER'!#REF!)-1))))+1))-1)*50+1,50))&amp;"_"&amp;INDEX('CONTROL MASTER'!$P$2:$P$495,(SUMPRODUCT((('CONTROL MASTER'!$S$2:$S$495=14)*('CONTROL MASTER'!$T$2:$T$495&lt;=5)*('CONTROL MASTER'!$V$2:$V$495&gt;=5)*('CONTROL MASTER'!$U$2:$U$495&lt;=1)*('CONTROL MASTER'!$W$2:$W$495&gt;=1))*ROW('CONTROL MASTER'!$S$2:$S$495))-(ROW('CONTROL MASTER'!#REF!)-1))),IF(SUMPRODUCT((('CONTROL MASTER'!$S$2:$S$495=14)*('CONTROL MASTER'!$Z$2:$Z$495&lt;=5)*('CONTROL MASTER'!$AB$2:$AB$495&gt;=5)*('CONTROL MASTER'!$AA$2:$AA$495&lt;=1)*('CONTROL MASTER'!$AC$2:$AC$495&gt;=1))*ROW('CONTROL MASTER'!$S$2:$S$495))&gt;0,INDEX('CONTROL MASTER'!$X$2:$X$495,(SUMPRODUCT((('CONTROL MASTER'!$S$2:$S$495=14)*('CONTROL MASTER'!$Z$2:$Z$495&lt;=5)*('CONTROL MASTER'!$AB$2:$AB$495&gt;=5)*('CONTROL MASTER'!$AA$2:$AA$495&lt;=1)*('CONTROL MASTER'!$AC$2:$AC$495&gt;=1))*ROW('CONTROL MASTER'!$S$2:$S$495))-(ROW('CONTROL MASTER'!#REF!)-1)))&amp;TRIM(MID(SUBSTITUTE(SUBSTITUTE(INDEX('CONTROL MASTER'!$N$2:$N$495,(SUMPRODUCT((('CONTROL MASTER'!$S$2:$S$495=14)*('CONTROL MASTER'!$Z$2:$Z$495&lt;=5)*('CONTROL MASTER'!$AB$2:$AB$495&gt;=5)*('CONTROL MASTER'!$AA$2:$AA$495&lt;=1)*('CONTROL MASTER'!$AC$2:$AC$495&gt;=1))*ROW('CONTROL MASTER'!$S$2:$S$495))-(ROW('CONTROL MASTER'!#REF!)-1))),":",","),",",REPT(" ",50)),(((INDEX('CONTROL MASTER'!$Y$2:$Y$495,(SUMPRODUCT((('CONTROL MASTER'!$S$2:$S$495=14)*('CONTROL MASTER'!$Z$2:$Z$495&lt;=5)*('CONTROL MASTER'!$AB$2:$AB$495&gt;=5)*('CONTROL MASTER'!$AA$2:$AA$495&lt;=1)*('CONTROL MASTER'!$AC$2:$AC$495&gt;=1))*ROW('CONTROL MASTER'!$S$2:$S$495))-(ROW('CONTROL MASTER'!#REF!)-1)))+((5-INDEX('CONTROL MASTER'!$Z$2:$Z$495,(SUMPRODUCT((('CONTROL MASTER'!$S$2:$S$495=14)*('CONTROL MASTER'!$Z$2:$Z$495&lt;=5)*('CONTROL MASTER'!$AB$2:$AB$495&gt;=5)*('CONTROL MASTER'!$AA$2:$AA$495&lt;=1)*('CONTROL MASTER'!$AC$2:$AC$495&gt;=1))*ROW('CONTROL MASTER'!$S$2:$S$495))-(ROW('CONTROL MASTER'!#REF!)-1))))*(INDEX('CONTROL MASTER'!$AC$2:$AC$495,(SUMPRODUCT((('CONTROL MASTER'!$S$2:$S$495=14)*('CONTROL MASTER'!$Z$2:$Z$495&lt;=5)*('CONTROL MASTER'!$AB$2:$AB$495&gt;=5)*('CONTROL MASTER'!$AA$2:$AA$495&lt;=1)*('CONTROL MASTER'!$AC$2:$AC$495&gt;=1))*ROW('CONTROL MASTER'!$S$2:$S$495))-(ROW('CONTROL MASTER'!#REF!)-1)))-INDEX('CONTROL MASTER'!$AA$2:$AA$495,(SUMPRODUCT((('CONTROL MASTER'!$S$2:$S$495=14)*('CONTROL MASTER'!$Z$2:$Z$495&lt;=5)*('CONTROL MASTER'!$AB$2:$AB$495&gt;=5)*('CONTROL MASTER'!$AA$2:$AA$495&lt;=1)*('CONTROL MASTER'!$AC$2:$AC$495&gt;=1))*ROW('CONTROL MASTER'!$S$2:$S$495))-(ROW('CONTROL MASTER'!#REF!)-1)))+1)+(1-INDEX('CONTROL MASTER'!$AA$2:$AA$495,(SUMPRODUCT((('CONTROL MASTER'!$S$2:$S$495=14)*('CONTROL MASTER'!$Z$2:$Z$495&lt;=5)*('CONTROL MASTER'!$AB$2:$AB$495&gt;=5)*('CONTROL MASTER'!$AA$2:$AA$495&lt;=1)*('CONTROL MASTER'!$AC$2:$AC$495&gt;=1))*ROW('CONTROL MASTER'!$S$2:$S$495))-(ROW('CONTROL MASTER'!#REF!)-1))))+1)))-1)*50+1,50))&amp;"_"&amp;INDEX('CONTROL MASTER'!$P$2:$P$495,(SUMPRODUCT((('CONTROL MASTER'!$S$2:$S$495=14)*('CONTROL MASTER'!$Z$2:$Z$495&lt;=5)*('CONTROL MASTER'!$AB$2:$AB$495&gt;=5)*('CONTROL MASTER'!$AA$2:$AA$495&lt;=1)*('CONTROL MASTER'!$AC$2:$AC$495&gt;=1))*ROW('CONTROL MASTER'!$S$2:$S$495))-(ROW('CONTROL MASTER'!#REF!)-1))),"")),"")</f>
        <v/>
      </c>
      <c r="C189" s="10" t="str">
        <f>IFERROR(IF(SUMPRODUCT((('CONTROL MASTER'!$S$2:$S$495=14)*('CONTROL MASTER'!$T$2:$T$495&lt;=5)*('CONTROL MASTER'!$V$2:$V$495&gt;=5)*('CONTROL MASTER'!$U$2:$U$495&lt;=2)*('CONTROL MASTER'!$W$2:$W$495&gt;=2))*ROW('CONTROL MASTER'!$S$2:$S$495))&gt;0,INDEX('CONTROL MASTER'!$X$2:$X$495,(SUMPRODUCT((('CONTROL MASTER'!$S$2:$S$495=14)*('CONTROL MASTER'!$T$2:$T$495&lt;=5)*('CONTROL MASTER'!$V$2:$V$495&gt;=5)*('CONTROL MASTER'!$U$2:$U$495&lt;=2)*('CONTROL MASTER'!$W$2:$W$495&gt;=2))*ROW('CONTROL MASTER'!$S$2:$S$495))-(ROW('CONTROL MASTER'!#REF!)-1)))&amp;TRIM(MID(SUBSTITUTE(SUBSTITUTE(INDEX('CONTROL MASTER'!$N$2:$N$495,(SUMPRODUCT((('CONTROL MASTER'!$S$2:$S$495=14)*('CONTROL MASTER'!$T$2:$T$495&lt;=5)*('CONTROL MASTER'!$V$2:$V$495&gt;=5)*('CONTROL MASTER'!$U$2:$U$495&lt;=2)*('CONTROL MASTER'!$W$2:$W$495&gt;=2))*ROW('CONTROL MASTER'!$S$2:$S$495))-(ROW('CONTROL MASTER'!#REF!)-1))),":",","),",",REPT(" ",50)),((((5-INDEX('CONTROL MASTER'!$T$2:$T$495,(SUMPRODUCT((('CONTROL MASTER'!$S$2:$S$495=14)*('CONTROL MASTER'!$T$2:$T$495&lt;=5)*('CONTROL MASTER'!$V$2:$V$495&gt;=5)*('CONTROL MASTER'!$U$2:$U$495&lt;=2)*('CONTROL MASTER'!$W$2:$W$495&gt;=2))*ROW('CONTROL MASTER'!$S$2:$S$495))-(ROW('CONTROL MASTER'!#REF!)-1))))*(INDEX('CONTROL MASTER'!$W$2:$W$495,(SUMPRODUCT((('CONTROL MASTER'!$S$2:$S$495=14)*('CONTROL MASTER'!$T$2:$T$495&lt;=5)*('CONTROL MASTER'!$V$2:$V$495&gt;=5)*('CONTROL MASTER'!$U$2:$U$495&lt;=2)*('CONTROL MASTER'!$W$2:$W$495&gt;=2))*ROW('CONTROL MASTER'!$S$2:$S$495))-(ROW('CONTROL MASTER'!#REF!)-1)))-INDEX('CONTROL MASTER'!$U$2:$U$495,(SUMPRODUCT((('CONTROL MASTER'!$S$2:$S$495=14)*('CONTROL MASTER'!$T$2:$T$495&lt;=5)*('CONTROL MASTER'!$V$2:$V$495&gt;=5)*('CONTROL MASTER'!$U$2:$U$495&lt;=2)*('CONTROL MASTER'!$W$2:$W$495&gt;=2))*ROW('CONTROL MASTER'!$S$2:$S$495))-(ROW('CONTROL MASTER'!#REF!)-1)))+1)+(2-INDEX('CONTROL MASTER'!$U$2:$U$495,(SUMPRODUCT((('CONTROL MASTER'!$S$2:$S$495=14)*('CONTROL MASTER'!$T$2:$T$495&lt;=5)*('CONTROL MASTER'!$V$2:$V$495&gt;=5)*('CONTROL MASTER'!$U$2:$U$495&lt;=2)*('CONTROL MASTER'!$W$2:$W$495&gt;=2))*ROW('CONTROL MASTER'!$S$2:$S$495))-(ROW('CONTROL MASTER'!#REF!)-1))))+1))-1)*50+1,50))&amp;"_"&amp;INDEX('CONTROL MASTER'!$P$2:$P$495,(SUMPRODUCT((('CONTROL MASTER'!$S$2:$S$495=14)*('CONTROL MASTER'!$T$2:$T$495&lt;=5)*('CONTROL MASTER'!$V$2:$V$495&gt;=5)*('CONTROL MASTER'!$U$2:$U$495&lt;=2)*('CONTROL MASTER'!$W$2:$W$495&gt;=2))*ROW('CONTROL MASTER'!$S$2:$S$495))-(ROW('CONTROL MASTER'!#REF!)-1))),IF(SUMPRODUCT((('CONTROL MASTER'!$S$2:$S$495=14)*('CONTROL MASTER'!$Z$2:$Z$495&lt;=5)*('CONTROL MASTER'!$AB$2:$AB$495&gt;=5)*('CONTROL MASTER'!$AA$2:$AA$495&lt;=2)*('CONTROL MASTER'!$AC$2:$AC$495&gt;=2))*ROW('CONTROL MASTER'!$S$2:$S$495))&gt;0,INDEX('CONTROL MASTER'!$X$2:$X$495,(SUMPRODUCT((('CONTROL MASTER'!$S$2:$S$495=14)*('CONTROL MASTER'!$Z$2:$Z$495&lt;=5)*('CONTROL MASTER'!$AB$2:$AB$495&gt;=5)*('CONTROL MASTER'!$AA$2:$AA$495&lt;=2)*('CONTROL MASTER'!$AC$2:$AC$495&gt;=2))*ROW('CONTROL MASTER'!$S$2:$S$495))-(ROW('CONTROL MASTER'!#REF!)-1)))&amp;TRIM(MID(SUBSTITUTE(SUBSTITUTE(INDEX('CONTROL MASTER'!$N$2:$N$495,(SUMPRODUCT((('CONTROL MASTER'!$S$2:$S$495=14)*('CONTROL MASTER'!$Z$2:$Z$495&lt;=5)*('CONTROL MASTER'!$AB$2:$AB$495&gt;=5)*('CONTROL MASTER'!$AA$2:$AA$495&lt;=2)*('CONTROL MASTER'!$AC$2:$AC$495&gt;=2))*ROW('CONTROL MASTER'!$S$2:$S$495))-(ROW('CONTROL MASTER'!#REF!)-1))),":",","),",",REPT(" ",50)),(((INDEX('CONTROL MASTER'!$Y$2:$Y$495,(SUMPRODUCT((('CONTROL MASTER'!$S$2:$S$495=14)*('CONTROL MASTER'!$Z$2:$Z$495&lt;=5)*('CONTROL MASTER'!$AB$2:$AB$495&gt;=5)*('CONTROL MASTER'!$AA$2:$AA$495&lt;=2)*('CONTROL MASTER'!$AC$2:$AC$495&gt;=2))*ROW('CONTROL MASTER'!$S$2:$S$495))-(ROW('CONTROL MASTER'!#REF!)-1)))+((5-INDEX('CONTROL MASTER'!$Z$2:$Z$495,(SUMPRODUCT((('CONTROL MASTER'!$S$2:$S$495=14)*('CONTROL MASTER'!$Z$2:$Z$495&lt;=5)*('CONTROL MASTER'!$AB$2:$AB$495&gt;=5)*('CONTROL MASTER'!$AA$2:$AA$495&lt;=2)*('CONTROL MASTER'!$AC$2:$AC$495&gt;=2))*ROW('CONTROL MASTER'!$S$2:$S$495))-(ROW('CONTROL MASTER'!#REF!)-1))))*(INDEX('CONTROL MASTER'!$AC$2:$AC$495,(SUMPRODUCT((('CONTROL MASTER'!$S$2:$S$495=14)*('CONTROL MASTER'!$Z$2:$Z$495&lt;=5)*('CONTROL MASTER'!$AB$2:$AB$495&gt;=5)*('CONTROL MASTER'!$AA$2:$AA$495&lt;=2)*('CONTROL MASTER'!$AC$2:$AC$495&gt;=2))*ROW('CONTROL MASTER'!$S$2:$S$495))-(ROW('CONTROL MASTER'!#REF!)-1)))-INDEX('CONTROL MASTER'!$AA$2:$AA$495,(SUMPRODUCT((('CONTROL MASTER'!$S$2:$S$495=14)*('CONTROL MASTER'!$Z$2:$Z$495&lt;=5)*('CONTROL MASTER'!$AB$2:$AB$495&gt;=5)*('CONTROL MASTER'!$AA$2:$AA$495&lt;=2)*('CONTROL MASTER'!$AC$2:$AC$495&gt;=2))*ROW('CONTROL MASTER'!$S$2:$S$495))-(ROW('CONTROL MASTER'!#REF!)-1)))+1)+(2-INDEX('CONTROL MASTER'!$AA$2:$AA$495,(SUMPRODUCT((('CONTROL MASTER'!$S$2:$S$495=14)*('CONTROL MASTER'!$Z$2:$Z$495&lt;=5)*('CONTROL MASTER'!$AB$2:$AB$495&gt;=5)*('CONTROL MASTER'!$AA$2:$AA$495&lt;=2)*('CONTROL MASTER'!$AC$2:$AC$495&gt;=2))*ROW('CONTROL MASTER'!$S$2:$S$495))-(ROW('CONTROL MASTER'!#REF!)-1))))+1)))-1)*50+1,50))&amp;"_"&amp;INDEX('CONTROL MASTER'!$P$2:$P$495,(SUMPRODUCT((('CONTROL MASTER'!$S$2:$S$495=14)*('CONTROL MASTER'!$Z$2:$Z$495&lt;=5)*('CONTROL MASTER'!$AB$2:$AB$495&gt;=5)*('CONTROL MASTER'!$AA$2:$AA$495&lt;=2)*('CONTROL MASTER'!$AC$2:$AC$495&gt;=2))*ROW('CONTROL MASTER'!$S$2:$S$495))-(ROW('CONTROL MASTER'!#REF!)-1))),"")),"")</f>
        <v/>
      </c>
      <c r="D189" s="10" t="str">
        <f>IFERROR(IF(SUMPRODUCT((('CONTROL MASTER'!$S$2:$S$495=14)*('CONTROL MASTER'!$T$2:$T$495&lt;=5)*('CONTROL MASTER'!$V$2:$V$495&gt;=5)*('CONTROL MASTER'!$U$2:$U$495&lt;=3)*('CONTROL MASTER'!$W$2:$W$495&gt;=3))*ROW('CONTROL MASTER'!$S$2:$S$495))&gt;0,INDEX('CONTROL MASTER'!$X$2:$X$495,(SUMPRODUCT((('CONTROL MASTER'!$S$2:$S$495=14)*('CONTROL MASTER'!$T$2:$T$495&lt;=5)*('CONTROL MASTER'!$V$2:$V$495&gt;=5)*('CONTROL MASTER'!$U$2:$U$495&lt;=3)*('CONTROL MASTER'!$W$2:$W$495&gt;=3))*ROW('CONTROL MASTER'!$S$2:$S$495))-(ROW('CONTROL MASTER'!#REF!)-1)))&amp;TRIM(MID(SUBSTITUTE(SUBSTITUTE(INDEX('CONTROL MASTER'!$N$2:$N$495,(SUMPRODUCT((('CONTROL MASTER'!$S$2:$S$495=14)*('CONTROL MASTER'!$T$2:$T$495&lt;=5)*('CONTROL MASTER'!$V$2:$V$495&gt;=5)*('CONTROL MASTER'!$U$2:$U$495&lt;=3)*('CONTROL MASTER'!$W$2:$W$495&gt;=3))*ROW('CONTROL MASTER'!$S$2:$S$495))-(ROW('CONTROL MASTER'!#REF!)-1))),":",","),",",REPT(" ",50)),((((5-INDEX('CONTROL MASTER'!$T$2:$T$495,(SUMPRODUCT((('CONTROL MASTER'!$S$2:$S$495=14)*('CONTROL MASTER'!$T$2:$T$495&lt;=5)*('CONTROL MASTER'!$V$2:$V$495&gt;=5)*('CONTROL MASTER'!$U$2:$U$495&lt;=3)*('CONTROL MASTER'!$W$2:$W$495&gt;=3))*ROW('CONTROL MASTER'!$S$2:$S$495))-(ROW('CONTROL MASTER'!#REF!)-1))))*(INDEX('CONTROL MASTER'!$W$2:$W$495,(SUMPRODUCT((('CONTROL MASTER'!$S$2:$S$495=14)*('CONTROL MASTER'!$T$2:$T$495&lt;=5)*('CONTROL MASTER'!$V$2:$V$495&gt;=5)*('CONTROL MASTER'!$U$2:$U$495&lt;=3)*('CONTROL MASTER'!$W$2:$W$495&gt;=3))*ROW('CONTROL MASTER'!$S$2:$S$495))-(ROW('CONTROL MASTER'!#REF!)-1)))-INDEX('CONTROL MASTER'!$U$2:$U$495,(SUMPRODUCT((('CONTROL MASTER'!$S$2:$S$495=14)*('CONTROL MASTER'!$T$2:$T$495&lt;=5)*('CONTROL MASTER'!$V$2:$V$495&gt;=5)*('CONTROL MASTER'!$U$2:$U$495&lt;=3)*('CONTROL MASTER'!$W$2:$W$495&gt;=3))*ROW('CONTROL MASTER'!$S$2:$S$495))-(ROW('CONTROL MASTER'!#REF!)-1)))+1)+(3-INDEX('CONTROL MASTER'!$U$2:$U$495,(SUMPRODUCT((('CONTROL MASTER'!$S$2:$S$495=14)*('CONTROL MASTER'!$T$2:$T$495&lt;=5)*('CONTROL MASTER'!$V$2:$V$495&gt;=5)*('CONTROL MASTER'!$U$2:$U$495&lt;=3)*('CONTROL MASTER'!$W$2:$W$495&gt;=3))*ROW('CONTROL MASTER'!$S$2:$S$495))-(ROW('CONTROL MASTER'!#REF!)-1))))+1))-1)*50+1,50))&amp;"_"&amp;INDEX('CONTROL MASTER'!$P$2:$P$495,(SUMPRODUCT((('CONTROL MASTER'!$S$2:$S$495=14)*('CONTROL MASTER'!$T$2:$T$495&lt;=5)*('CONTROL MASTER'!$V$2:$V$495&gt;=5)*('CONTROL MASTER'!$U$2:$U$495&lt;=3)*('CONTROL MASTER'!$W$2:$W$495&gt;=3))*ROW('CONTROL MASTER'!$S$2:$S$495))-(ROW('CONTROL MASTER'!#REF!)-1))),IF(SUMPRODUCT((('CONTROL MASTER'!$S$2:$S$495=14)*('CONTROL MASTER'!$Z$2:$Z$495&lt;=5)*('CONTROL MASTER'!$AB$2:$AB$495&gt;=5)*('CONTROL MASTER'!$AA$2:$AA$495&lt;=3)*('CONTROL MASTER'!$AC$2:$AC$495&gt;=3))*ROW('CONTROL MASTER'!$S$2:$S$495))&gt;0,INDEX('CONTROL MASTER'!$X$2:$X$495,(SUMPRODUCT((('CONTROL MASTER'!$S$2:$S$495=14)*('CONTROL MASTER'!$Z$2:$Z$495&lt;=5)*('CONTROL MASTER'!$AB$2:$AB$495&gt;=5)*('CONTROL MASTER'!$AA$2:$AA$495&lt;=3)*('CONTROL MASTER'!$AC$2:$AC$495&gt;=3))*ROW('CONTROL MASTER'!$S$2:$S$495))-(ROW('CONTROL MASTER'!#REF!)-1)))&amp;TRIM(MID(SUBSTITUTE(SUBSTITUTE(INDEX('CONTROL MASTER'!$N$2:$N$495,(SUMPRODUCT((('CONTROL MASTER'!$S$2:$S$495=14)*('CONTROL MASTER'!$Z$2:$Z$495&lt;=5)*('CONTROL MASTER'!$AB$2:$AB$495&gt;=5)*('CONTROL MASTER'!$AA$2:$AA$495&lt;=3)*('CONTROL MASTER'!$AC$2:$AC$495&gt;=3))*ROW('CONTROL MASTER'!$S$2:$S$495))-(ROW('CONTROL MASTER'!#REF!)-1))),":",","),",",REPT(" ",50)),(((INDEX('CONTROL MASTER'!$Y$2:$Y$495,(SUMPRODUCT((('CONTROL MASTER'!$S$2:$S$495=14)*('CONTROL MASTER'!$Z$2:$Z$495&lt;=5)*('CONTROL MASTER'!$AB$2:$AB$495&gt;=5)*('CONTROL MASTER'!$AA$2:$AA$495&lt;=3)*('CONTROL MASTER'!$AC$2:$AC$495&gt;=3))*ROW('CONTROL MASTER'!$S$2:$S$495))-(ROW('CONTROL MASTER'!#REF!)-1)))+((5-INDEX('CONTROL MASTER'!$Z$2:$Z$495,(SUMPRODUCT((('CONTROL MASTER'!$S$2:$S$495=14)*('CONTROL MASTER'!$Z$2:$Z$495&lt;=5)*('CONTROL MASTER'!$AB$2:$AB$495&gt;=5)*('CONTROL MASTER'!$AA$2:$AA$495&lt;=3)*('CONTROL MASTER'!$AC$2:$AC$495&gt;=3))*ROW('CONTROL MASTER'!$S$2:$S$495))-(ROW('CONTROL MASTER'!#REF!)-1))))*(INDEX('CONTROL MASTER'!$AC$2:$AC$495,(SUMPRODUCT((('CONTROL MASTER'!$S$2:$S$495=14)*('CONTROL MASTER'!$Z$2:$Z$495&lt;=5)*('CONTROL MASTER'!$AB$2:$AB$495&gt;=5)*('CONTROL MASTER'!$AA$2:$AA$495&lt;=3)*('CONTROL MASTER'!$AC$2:$AC$495&gt;=3))*ROW('CONTROL MASTER'!$S$2:$S$495))-(ROW('CONTROL MASTER'!#REF!)-1)))-INDEX('CONTROL MASTER'!$AA$2:$AA$495,(SUMPRODUCT((('CONTROL MASTER'!$S$2:$S$495=14)*('CONTROL MASTER'!$Z$2:$Z$495&lt;=5)*('CONTROL MASTER'!$AB$2:$AB$495&gt;=5)*('CONTROL MASTER'!$AA$2:$AA$495&lt;=3)*('CONTROL MASTER'!$AC$2:$AC$495&gt;=3))*ROW('CONTROL MASTER'!$S$2:$S$495))-(ROW('CONTROL MASTER'!#REF!)-1)))+1)+(3-INDEX('CONTROL MASTER'!$AA$2:$AA$495,(SUMPRODUCT((('CONTROL MASTER'!$S$2:$S$495=14)*('CONTROL MASTER'!$Z$2:$Z$495&lt;=5)*('CONTROL MASTER'!$AB$2:$AB$495&gt;=5)*('CONTROL MASTER'!$AA$2:$AA$495&lt;=3)*('CONTROL MASTER'!$AC$2:$AC$495&gt;=3))*ROW('CONTROL MASTER'!$S$2:$S$495))-(ROW('CONTROL MASTER'!#REF!)-1))))+1)))-1)*50+1,50))&amp;"_"&amp;INDEX('CONTROL MASTER'!$P$2:$P$495,(SUMPRODUCT((('CONTROL MASTER'!$S$2:$S$495=14)*('CONTROL MASTER'!$Z$2:$Z$495&lt;=5)*('CONTROL MASTER'!$AB$2:$AB$495&gt;=5)*('CONTROL MASTER'!$AA$2:$AA$495&lt;=3)*('CONTROL MASTER'!$AC$2:$AC$495&gt;=3))*ROW('CONTROL MASTER'!$S$2:$S$495))-(ROW('CONTROL MASTER'!#REF!)-1))),"")),"")</f>
        <v/>
      </c>
      <c r="E189" s="10" t="str">
        <f>IFERROR(IF(SUMPRODUCT((('CONTROL MASTER'!$S$2:$S$495=14)*('CONTROL MASTER'!$T$2:$T$495&lt;=5)*('CONTROL MASTER'!$V$2:$V$495&gt;=5)*('CONTROL MASTER'!$U$2:$U$495&lt;=4)*('CONTROL MASTER'!$W$2:$W$495&gt;=4))*ROW('CONTROL MASTER'!$S$2:$S$495))&gt;0,INDEX('CONTROL MASTER'!$X$2:$X$495,(SUMPRODUCT((('CONTROL MASTER'!$S$2:$S$495=14)*('CONTROL MASTER'!$T$2:$T$495&lt;=5)*('CONTROL MASTER'!$V$2:$V$495&gt;=5)*('CONTROL MASTER'!$U$2:$U$495&lt;=4)*('CONTROL MASTER'!$W$2:$W$495&gt;=4))*ROW('CONTROL MASTER'!$S$2:$S$495))-(ROW('CONTROL MASTER'!#REF!)-1)))&amp;TRIM(MID(SUBSTITUTE(SUBSTITUTE(INDEX('CONTROL MASTER'!$N$2:$N$495,(SUMPRODUCT((('CONTROL MASTER'!$S$2:$S$495=14)*('CONTROL MASTER'!$T$2:$T$495&lt;=5)*('CONTROL MASTER'!$V$2:$V$495&gt;=5)*('CONTROL MASTER'!$U$2:$U$495&lt;=4)*('CONTROL MASTER'!$W$2:$W$495&gt;=4))*ROW('CONTROL MASTER'!$S$2:$S$495))-(ROW('CONTROL MASTER'!#REF!)-1))),":",","),",",REPT(" ",50)),((((5-INDEX('CONTROL MASTER'!$T$2:$T$495,(SUMPRODUCT((('CONTROL MASTER'!$S$2:$S$495=14)*('CONTROL MASTER'!$T$2:$T$495&lt;=5)*('CONTROL MASTER'!$V$2:$V$495&gt;=5)*('CONTROL MASTER'!$U$2:$U$495&lt;=4)*('CONTROL MASTER'!$W$2:$W$495&gt;=4))*ROW('CONTROL MASTER'!$S$2:$S$495))-(ROW('CONTROL MASTER'!#REF!)-1))))*(INDEX('CONTROL MASTER'!$W$2:$W$495,(SUMPRODUCT((('CONTROL MASTER'!$S$2:$S$495=14)*('CONTROL MASTER'!$T$2:$T$495&lt;=5)*('CONTROL MASTER'!$V$2:$V$495&gt;=5)*('CONTROL MASTER'!$U$2:$U$495&lt;=4)*('CONTROL MASTER'!$W$2:$W$495&gt;=4))*ROW('CONTROL MASTER'!$S$2:$S$495))-(ROW('CONTROL MASTER'!#REF!)-1)))-INDEX('CONTROL MASTER'!$U$2:$U$495,(SUMPRODUCT((('CONTROL MASTER'!$S$2:$S$495=14)*('CONTROL MASTER'!$T$2:$T$495&lt;=5)*('CONTROL MASTER'!$V$2:$V$495&gt;=5)*('CONTROL MASTER'!$U$2:$U$495&lt;=4)*('CONTROL MASTER'!$W$2:$W$495&gt;=4))*ROW('CONTROL MASTER'!$S$2:$S$495))-(ROW('CONTROL MASTER'!#REF!)-1)))+1)+(4-INDEX('CONTROL MASTER'!$U$2:$U$495,(SUMPRODUCT((('CONTROL MASTER'!$S$2:$S$495=14)*('CONTROL MASTER'!$T$2:$T$495&lt;=5)*('CONTROL MASTER'!$V$2:$V$495&gt;=5)*('CONTROL MASTER'!$U$2:$U$495&lt;=4)*('CONTROL MASTER'!$W$2:$W$495&gt;=4))*ROW('CONTROL MASTER'!$S$2:$S$495))-(ROW('CONTROL MASTER'!#REF!)-1))))+1))-1)*50+1,50))&amp;"_"&amp;INDEX('CONTROL MASTER'!$P$2:$P$495,(SUMPRODUCT((('CONTROL MASTER'!$S$2:$S$495=14)*('CONTROL MASTER'!$T$2:$T$495&lt;=5)*('CONTROL MASTER'!$V$2:$V$495&gt;=5)*('CONTROL MASTER'!$U$2:$U$495&lt;=4)*('CONTROL MASTER'!$W$2:$W$495&gt;=4))*ROW('CONTROL MASTER'!$S$2:$S$495))-(ROW('CONTROL MASTER'!#REF!)-1))),IF(SUMPRODUCT((('CONTROL MASTER'!$S$2:$S$495=14)*('CONTROL MASTER'!$Z$2:$Z$495&lt;=5)*('CONTROL MASTER'!$AB$2:$AB$495&gt;=5)*('CONTROL MASTER'!$AA$2:$AA$495&lt;=4)*('CONTROL MASTER'!$AC$2:$AC$495&gt;=4))*ROW('CONTROL MASTER'!$S$2:$S$495))&gt;0,INDEX('CONTROL MASTER'!$X$2:$X$495,(SUMPRODUCT((('CONTROL MASTER'!$S$2:$S$495=14)*('CONTROL MASTER'!$Z$2:$Z$495&lt;=5)*('CONTROL MASTER'!$AB$2:$AB$495&gt;=5)*('CONTROL MASTER'!$AA$2:$AA$495&lt;=4)*('CONTROL MASTER'!$AC$2:$AC$495&gt;=4))*ROW('CONTROL MASTER'!$S$2:$S$495))-(ROW('CONTROL MASTER'!#REF!)-1)))&amp;TRIM(MID(SUBSTITUTE(SUBSTITUTE(INDEX('CONTROL MASTER'!$N$2:$N$495,(SUMPRODUCT((('CONTROL MASTER'!$S$2:$S$495=14)*('CONTROL MASTER'!$Z$2:$Z$495&lt;=5)*('CONTROL MASTER'!$AB$2:$AB$495&gt;=5)*('CONTROL MASTER'!$AA$2:$AA$495&lt;=4)*('CONTROL MASTER'!$AC$2:$AC$495&gt;=4))*ROW('CONTROL MASTER'!$S$2:$S$495))-(ROW('CONTROL MASTER'!#REF!)-1))),":",","),",",REPT(" ",50)),(((INDEX('CONTROL MASTER'!$Y$2:$Y$495,(SUMPRODUCT((('CONTROL MASTER'!$S$2:$S$495=14)*('CONTROL MASTER'!$Z$2:$Z$495&lt;=5)*('CONTROL MASTER'!$AB$2:$AB$495&gt;=5)*('CONTROL MASTER'!$AA$2:$AA$495&lt;=4)*('CONTROL MASTER'!$AC$2:$AC$495&gt;=4))*ROW('CONTROL MASTER'!$S$2:$S$495))-(ROW('CONTROL MASTER'!#REF!)-1)))+((5-INDEX('CONTROL MASTER'!$Z$2:$Z$495,(SUMPRODUCT((('CONTROL MASTER'!$S$2:$S$495=14)*('CONTROL MASTER'!$Z$2:$Z$495&lt;=5)*('CONTROL MASTER'!$AB$2:$AB$495&gt;=5)*('CONTROL MASTER'!$AA$2:$AA$495&lt;=4)*('CONTROL MASTER'!$AC$2:$AC$495&gt;=4))*ROW('CONTROL MASTER'!$S$2:$S$495))-(ROW('CONTROL MASTER'!#REF!)-1))))*(INDEX('CONTROL MASTER'!$AC$2:$AC$495,(SUMPRODUCT((('CONTROL MASTER'!$S$2:$S$495=14)*('CONTROL MASTER'!$Z$2:$Z$495&lt;=5)*('CONTROL MASTER'!$AB$2:$AB$495&gt;=5)*('CONTROL MASTER'!$AA$2:$AA$495&lt;=4)*('CONTROL MASTER'!$AC$2:$AC$495&gt;=4))*ROW('CONTROL MASTER'!$S$2:$S$495))-(ROW('CONTROL MASTER'!#REF!)-1)))-INDEX('CONTROL MASTER'!$AA$2:$AA$495,(SUMPRODUCT((('CONTROL MASTER'!$S$2:$S$495=14)*('CONTROL MASTER'!$Z$2:$Z$495&lt;=5)*('CONTROL MASTER'!$AB$2:$AB$495&gt;=5)*('CONTROL MASTER'!$AA$2:$AA$495&lt;=4)*('CONTROL MASTER'!$AC$2:$AC$495&gt;=4))*ROW('CONTROL MASTER'!$S$2:$S$495))-(ROW('CONTROL MASTER'!#REF!)-1)))+1)+(4-INDEX('CONTROL MASTER'!$AA$2:$AA$495,(SUMPRODUCT((('CONTROL MASTER'!$S$2:$S$495=14)*('CONTROL MASTER'!$Z$2:$Z$495&lt;=5)*('CONTROL MASTER'!$AB$2:$AB$495&gt;=5)*('CONTROL MASTER'!$AA$2:$AA$495&lt;=4)*('CONTROL MASTER'!$AC$2:$AC$495&gt;=4))*ROW('CONTROL MASTER'!$S$2:$S$495))-(ROW('CONTROL MASTER'!#REF!)-1))))+1)))-1)*50+1,50))&amp;"_"&amp;INDEX('CONTROL MASTER'!$P$2:$P$495,(SUMPRODUCT((('CONTROL MASTER'!$S$2:$S$495=14)*('CONTROL MASTER'!$Z$2:$Z$495&lt;=5)*('CONTROL MASTER'!$AB$2:$AB$495&gt;=5)*('CONTROL MASTER'!$AA$2:$AA$495&lt;=4)*('CONTROL MASTER'!$AC$2:$AC$495&gt;=4))*ROW('CONTROL MASTER'!$S$2:$S$495))-(ROW('CONTROL MASTER'!#REF!)-1))),"")),"")</f>
        <v/>
      </c>
      <c r="F189" s="10" t="str">
        <f>IFERROR(IF(SUMPRODUCT((('CONTROL MASTER'!$S$2:$S$495=14)*('CONTROL MASTER'!$T$2:$T$495&lt;=5)*('CONTROL MASTER'!$V$2:$V$495&gt;=5)*('CONTROL MASTER'!$U$2:$U$495&lt;=5)*('CONTROL MASTER'!$W$2:$W$495&gt;=5))*ROW('CONTROL MASTER'!$S$2:$S$495))&gt;0,INDEX('CONTROL MASTER'!$X$2:$X$495,(SUMPRODUCT((('CONTROL MASTER'!$S$2:$S$495=14)*('CONTROL MASTER'!$T$2:$T$495&lt;=5)*('CONTROL MASTER'!$V$2:$V$495&gt;=5)*('CONTROL MASTER'!$U$2:$U$495&lt;=5)*('CONTROL MASTER'!$W$2:$W$495&gt;=5))*ROW('CONTROL MASTER'!$S$2:$S$495))-(ROW('CONTROL MASTER'!#REF!)-1)))&amp;TRIM(MID(SUBSTITUTE(SUBSTITUTE(INDEX('CONTROL MASTER'!$N$2:$N$495,(SUMPRODUCT((('CONTROL MASTER'!$S$2:$S$495=14)*('CONTROL MASTER'!$T$2:$T$495&lt;=5)*('CONTROL MASTER'!$V$2:$V$495&gt;=5)*('CONTROL MASTER'!$U$2:$U$495&lt;=5)*('CONTROL MASTER'!$W$2:$W$495&gt;=5))*ROW('CONTROL MASTER'!$S$2:$S$495))-(ROW('CONTROL MASTER'!#REF!)-1))),":",","),",",REPT(" ",50)),((((5-INDEX('CONTROL MASTER'!$T$2:$T$495,(SUMPRODUCT((('CONTROL MASTER'!$S$2:$S$495=14)*('CONTROL MASTER'!$T$2:$T$495&lt;=5)*('CONTROL MASTER'!$V$2:$V$495&gt;=5)*('CONTROL MASTER'!$U$2:$U$495&lt;=5)*('CONTROL MASTER'!$W$2:$W$495&gt;=5))*ROW('CONTROL MASTER'!$S$2:$S$495))-(ROW('CONTROL MASTER'!#REF!)-1))))*(INDEX('CONTROL MASTER'!$W$2:$W$495,(SUMPRODUCT((('CONTROL MASTER'!$S$2:$S$495=14)*('CONTROL MASTER'!$T$2:$T$495&lt;=5)*('CONTROL MASTER'!$V$2:$V$495&gt;=5)*('CONTROL MASTER'!$U$2:$U$495&lt;=5)*('CONTROL MASTER'!$W$2:$W$495&gt;=5))*ROW('CONTROL MASTER'!$S$2:$S$495))-(ROW('CONTROL MASTER'!#REF!)-1)))-INDEX('CONTROL MASTER'!$U$2:$U$495,(SUMPRODUCT((('CONTROL MASTER'!$S$2:$S$495=14)*('CONTROL MASTER'!$T$2:$T$495&lt;=5)*('CONTROL MASTER'!$V$2:$V$495&gt;=5)*('CONTROL MASTER'!$U$2:$U$495&lt;=5)*('CONTROL MASTER'!$W$2:$W$495&gt;=5))*ROW('CONTROL MASTER'!$S$2:$S$495))-(ROW('CONTROL MASTER'!#REF!)-1)))+1)+(5-INDEX('CONTROL MASTER'!$U$2:$U$495,(SUMPRODUCT((('CONTROL MASTER'!$S$2:$S$495=14)*('CONTROL MASTER'!$T$2:$T$495&lt;=5)*('CONTROL MASTER'!$V$2:$V$495&gt;=5)*('CONTROL MASTER'!$U$2:$U$495&lt;=5)*('CONTROL MASTER'!$W$2:$W$495&gt;=5))*ROW('CONTROL MASTER'!$S$2:$S$495))-(ROW('CONTROL MASTER'!#REF!)-1))))+1))-1)*50+1,50))&amp;"_"&amp;INDEX('CONTROL MASTER'!$P$2:$P$495,(SUMPRODUCT((('CONTROL MASTER'!$S$2:$S$495=14)*('CONTROL MASTER'!$T$2:$T$495&lt;=5)*('CONTROL MASTER'!$V$2:$V$495&gt;=5)*('CONTROL MASTER'!$U$2:$U$495&lt;=5)*('CONTROL MASTER'!$W$2:$W$495&gt;=5))*ROW('CONTROL MASTER'!$S$2:$S$495))-(ROW('CONTROL MASTER'!#REF!)-1))),IF(SUMPRODUCT((('CONTROL MASTER'!$S$2:$S$495=14)*('CONTROL MASTER'!$Z$2:$Z$495&lt;=5)*('CONTROL MASTER'!$AB$2:$AB$495&gt;=5)*('CONTROL MASTER'!$AA$2:$AA$495&lt;=5)*('CONTROL MASTER'!$AC$2:$AC$495&gt;=5))*ROW('CONTROL MASTER'!$S$2:$S$495))&gt;0,INDEX('CONTROL MASTER'!$X$2:$X$495,(SUMPRODUCT((('CONTROL MASTER'!$S$2:$S$495=14)*('CONTROL MASTER'!$Z$2:$Z$495&lt;=5)*('CONTROL MASTER'!$AB$2:$AB$495&gt;=5)*('CONTROL MASTER'!$AA$2:$AA$495&lt;=5)*('CONTROL MASTER'!$AC$2:$AC$495&gt;=5))*ROW('CONTROL MASTER'!$S$2:$S$495))-(ROW('CONTROL MASTER'!#REF!)-1)))&amp;TRIM(MID(SUBSTITUTE(SUBSTITUTE(INDEX('CONTROL MASTER'!$N$2:$N$495,(SUMPRODUCT((('CONTROL MASTER'!$S$2:$S$495=14)*('CONTROL MASTER'!$Z$2:$Z$495&lt;=5)*('CONTROL MASTER'!$AB$2:$AB$495&gt;=5)*('CONTROL MASTER'!$AA$2:$AA$495&lt;=5)*('CONTROL MASTER'!$AC$2:$AC$495&gt;=5))*ROW('CONTROL MASTER'!$S$2:$S$495))-(ROW('CONTROL MASTER'!#REF!)-1))),":",","),",",REPT(" ",50)),(((INDEX('CONTROL MASTER'!$Y$2:$Y$495,(SUMPRODUCT((('CONTROL MASTER'!$S$2:$S$495=14)*('CONTROL MASTER'!$Z$2:$Z$495&lt;=5)*('CONTROL MASTER'!$AB$2:$AB$495&gt;=5)*('CONTROL MASTER'!$AA$2:$AA$495&lt;=5)*('CONTROL MASTER'!$AC$2:$AC$495&gt;=5))*ROW('CONTROL MASTER'!$S$2:$S$495))-(ROW('CONTROL MASTER'!#REF!)-1)))+((5-INDEX('CONTROL MASTER'!$Z$2:$Z$495,(SUMPRODUCT((('CONTROL MASTER'!$S$2:$S$495=14)*('CONTROL MASTER'!$Z$2:$Z$495&lt;=5)*('CONTROL MASTER'!$AB$2:$AB$495&gt;=5)*('CONTROL MASTER'!$AA$2:$AA$495&lt;=5)*('CONTROL MASTER'!$AC$2:$AC$495&gt;=5))*ROW('CONTROL MASTER'!$S$2:$S$495))-(ROW('CONTROL MASTER'!#REF!)-1))))*(INDEX('CONTROL MASTER'!$AC$2:$AC$495,(SUMPRODUCT((('CONTROL MASTER'!$S$2:$S$495=14)*('CONTROL MASTER'!$Z$2:$Z$495&lt;=5)*('CONTROL MASTER'!$AB$2:$AB$495&gt;=5)*('CONTROL MASTER'!$AA$2:$AA$495&lt;=5)*('CONTROL MASTER'!$AC$2:$AC$495&gt;=5))*ROW('CONTROL MASTER'!$S$2:$S$495))-(ROW('CONTROL MASTER'!#REF!)-1)))-INDEX('CONTROL MASTER'!$AA$2:$AA$495,(SUMPRODUCT((('CONTROL MASTER'!$S$2:$S$495=14)*('CONTROL MASTER'!$Z$2:$Z$495&lt;=5)*('CONTROL MASTER'!$AB$2:$AB$495&gt;=5)*('CONTROL MASTER'!$AA$2:$AA$495&lt;=5)*('CONTROL MASTER'!$AC$2:$AC$495&gt;=5))*ROW('CONTROL MASTER'!$S$2:$S$495))-(ROW('CONTROL MASTER'!#REF!)-1)))+1)+(5-INDEX('CONTROL MASTER'!$AA$2:$AA$495,(SUMPRODUCT((('CONTROL MASTER'!$S$2:$S$495=14)*('CONTROL MASTER'!$Z$2:$Z$495&lt;=5)*('CONTROL MASTER'!$AB$2:$AB$495&gt;=5)*('CONTROL MASTER'!$AA$2:$AA$495&lt;=5)*('CONTROL MASTER'!$AC$2:$AC$495&gt;=5))*ROW('CONTROL MASTER'!$S$2:$S$495))-(ROW('CONTROL MASTER'!#REF!)-1))))+1)))-1)*50+1,50))&amp;"_"&amp;INDEX('CONTROL MASTER'!$P$2:$P$495,(SUMPRODUCT((('CONTROL MASTER'!$S$2:$S$495=14)*('CONTROL MASTER'!$Z$2:$Z$495&lt;=5)*('CONTROL MASTER'!$AB$2:$AB$495&gt;=5)*('CONTROL MASTER'!$AA$2:$AA$495&lt;=5)*('CONTROL MASTER'!$AC$2:$AC$495&gt;=5))*ROW('CONTROL MASTER'!$S$2:$S$495))-(ROW('CONTROL MASTER'!#REF!)-1))),"")),"")</f>
        <v/>
      </c>
      <c r="G189" s="10" t="str">
        <f>IFERROR(IF(SUMPRODUCT((('CONTROL MASTER'!$S$2:$S$495=14)*('CONTROL MASTER'!$T$2:$T$495&lt;=5)*('CONTROL MASTER'!$V$2:$V$495&gt;=5)*('CONTROL MASTER'!$U$2:$U$495&lt;=6)*('CONTROL MASTER'!$W$2:$W$495&gt;=6))*ROW('CONTROL MASTER'!$S$2:$S$495))&gt;0,INDEX('CONTROL MASTER'!$X$2:$X$495,(SUMPRODUCT((('CONTROL MASTER'!$S$2:$S$495=14)*('CONTROL MASTER'!$T$2:$T$495&lt;=5)*('CONTROL MASTER'!$V$2:$V$495&gt;=5)*('CONTROL MASTER'!$U$2:$U$495&lt;=6)*('CONTROL MASTER'!$W$2:$W$495&gt;=6))*ROW('CONTROL MASTER'!$S$2:$S$495))-(ROW('CONTROL MASTER'!#REF!)-1)))&amp;TRIM(MID(SUBSTITUTE(SUBSTITUTE(INDEX('CONTROL MASTER'!$N$2:$N$495,(SUMPRODUCT((('CONTROL MASTER'!$S$2:$S$495=14)*('CONTROL MASTER'!$T$2:$T$495&lt;=5)*('CONTROL MASTER'!$V$2:$V$495&gt;=5)*('CONTROL MASTER'!$U$2:$U$495&lt;=6)*('CONTROL MASTER'!$W$2:$W$495&gt;=6))*ROW('CONTROL MASTER'!$S$2:$S$495))-(ROW('CONTROL MASTER'!#REF!)-1))),":",","),",",REPT(" ",50)),((((5-INDEX('CONTROL MASTER'!$T$2:$T$495,(SUMPRODUCT((('CONTROL MASTER'!$S$2:$S$495=14)*('CONTROL MASTER'!$T$2:$T$495&lt;=5)*('CONTROL MASTER'!$V$2:$V$495&gt;=5)*('CONTROL MASTER'!$U$2:$U$495&lt;=6)*('CONTROL MASTER'!$W$2:$W$495&gt;=6))*ROW('CONTROL MASTER'!$S$2:$S$495))-(ROW('CONTROL MASTER'!#REF!)-1))))*(INDEX('CONTROL MASTER'!$W$2:$W$495,(SUMPRODUCT((('CONTROL MASTER'!$S$2:$S$495=14)*('CONTROL MASTER'!$T$2:$T$495&lt;=5)*('CONTROL MASTER'!$V$2:$V$495&gt;=5)*('CONTROL MASTER'!$U$2:$U$495&lt;=6)*('CONTROL MASTER'!$W$2:$W$495&gt;=6))*ROW('CONTROL MASTER'!$S$2:$S$495))-(ROW('CONTROL MASTER'!#REF!)-1)))-INDEX('CONTROL MASTER'!$U$2:$U$495,(SUMPRODUCT((('CONTROL MASTER'!$S$2:$S$495=14)*('CONTROL MASTER'!$T$2:$T$495&lt;=5)*('CONTROL MASTER'!$V$2:$V$495&gt;=5)*('CONTROL MASTER'!$U$2:$U$495&lt;=6)*('CONTROL MASTER'!$W$2:$W$495&gt;=6))*ROW('CONTROL MASTER'!$S$2:$S$495))-(ROW('CONTROL MASTER'!#REF!)-1)))+1)+(6-INDEX('CONTROL MASTER'!$U$2:$U$495,(SUMPRODUCT((('CONTROL MASTER'!$S$2:$S$495=14)*('CONTROL MASTER'!$T$2:$T$495&lt;=5)*('CONTROL MASTER'!$V$2:$V$495&gt;=5)*('CONTROL MASTER'!$U$2:$U$495&lt;=6)*('CONTROL MASTER'!$W$2:$W$495&gt;=6))*ROW('CONTROL MASTER'!$S$2:$S$495))-(ROW('CONTROL MASTER'!#REF!)-1))))+1))-1)*50+1,50))&amp;"_"&amp;INDEX('CONTROL MASTER'!$P$2:$P$495,(SUMPRODUCT((('CONTROL MASTER'!$S$2:$S$495=14)*('CONTROL MASTER'!$T$2:$T$495&lt;=5)*('CONTROL MASTER'!$V$2:$V$495&gt;=5)*('CONTROL MASTER'!$U$2:$U$495&lt;=6)*('CONTROL MASTER'!$W$2:$W$495&gt;=6))*ROW('CONTROL MASTER'!$S$2:$S$495))-(ROW('CONTROL MASTER'!#REF!)-1))),IF(SUMPRODUCT((('CONTROL MASTER'!$S$2:$S$495=14)*('CONTROL MASTER'!$Z$2:$Z$495&lt;=5)*('CONTROL MASTER'!$AB$2:$AB$495&gt;=5)*('CONTROL MASTER'!$AA$2:$AA$495&lt;=6)*('CONTROL MASTER'!$AC$2:$AC$495&gt;=6))*ROW('CONTROL MASTER'!$S$2:$S$495))&gt;0,INDEX('CONTROL MASTER'!$X$2:$X$495,(SUMPRODUCT((('CONTROL MASTER'!$S$2:$S$495=14)*('CONTROL MASTER'!$Z$2:$Z$495&lt;=5)*('CONTROL MASTER'!$AB$2:$AB$495&gt;=5)*('CONTROL MASTER'!$AA$2:$AA$495&lt;=6)*('CONTROL MASTER'!$AC$2:$AC$495&gt;=6))*ROW('CONTROL MASTER'!$S$2:$S$495))-(ROW('CONTROL MASTER'!#REF!)-1)))&amp;TRIM(MID(SUBSTITUTE(SUBSTITUTE(INDEX('CONTROL MASTER'!$N$2:$N$495,(SUMPRODUCT((('CONTROL MASTER'!$S$2:$S$495=14)*('CONTROL MASTER'!$Z$2:$Z$495&lt;=5)*('CONTROL MASTER'!$AB$2:$AB$495&gt;=5)*('CONTROL MASTER'!$AA$2:$AA$495&lt;=6)*('CONTROL MASTER'!$AC$2:$AC$495&gt;=6))*ROW('CONTROL MASTER'!$S$2:$S$495))-(ROW('CONTROL MASTER'!#REF!)-1))),":",","),",",REPT(" ",50)),(((INDEX('CONTROL MASTER'!$Y$2:$Y$495,(SUMPRODUCT((('CONTROL MASTER'!$S$2:$S$495=14)*('CONTROL MASTER'!$Z$2:$Z$495&lt;=5)*('CONTROL MASTER'!$AB$2:$AB$495&gt;=5)*('CONTROL MASTER'!$AA$2:$AA$495&lt;=6)*('CONTROL MASTER'!$AC$2:$AC$495&gt;=6))*ROW('CONTROL MASTER'!$S$2:$S$495))-(ROW('CONTROL MASTER'!#REF!)-1)))+((5-INDEX('CONTROL MASTER'!$Z$2:$Z$495,(SUMPRODUCT((('CONTROL MASTER'!$S$2:$S$495=14)*('CONTROL MASTER'!$Z$2:$Z$495&lt;=5)*('CONTROL MASTER'!$AB$2:$AB$495&gt;=5)*('CONTROL MASTER'!$AA$2:$AA$495&lt;=6)*('CONTROL MASTER'!$AC$2:$AC$495&gt;=6))*ROW('CONTROL MASTER'!$S$2:$S$495))-(ROW('CONTROL MASTER'!#REF!)-1))))*(INDEX('CONTROL MASTER'!$AC$2:$AC$495,(SUMPRODUCT((('CONTROL MASTER'!$S$2:$S$495=14)*('CONTROL MASTER'!$Z$2:$Z$495&lt;=5)*('CONTROL MASTER'!$AB$2:$AB$495&gt;=5)*('CONTROL MASTER'!$AA$2:$AA$495&lt;=6)*('CONTROL MASTER'!$AC$2:$AC$495&gt;=6))*ROW('CONTROL MASTER'!$S$2:$S$495))-(ROW('CONTROL MASTER'!#REF!)-1)))-INDEX('CONTROL MASTER'!$AA$2:$AA$495,(SUMPRODUCT((('CONTROL MASTER'!$S$2:$S$495=14)*('CONTROL MASTER'!$Z$2:$Z$495&lt;=5)*('CONTROL MASTER'!$AB$2:$AB$495&gt;=5)*('CONTROL MASTER'!$AA$2:$AA$495&lt;=6)*('CONTROL MASTER'!$AC$2:$AC$495&gt;=6))*ROW('CONTROL MASTER'!$S$2:$S$495))-(ROW('CONTROL MASTER'!#REF!)-1)))+1)+(6-INDEX('CONTROL MASTER'!$AA$2:$AA$495,(SUMPRODUCT((('CONTROL MASTER'!$S$2:$S$495=14)*('CONTROL MASTER'!$Z$2:$Z$495&lt;=5)*('CONTROL MASTER'!$AB$2:$AB$495&gt;=5)*('CONTROL MASTER'!$AA$2:$AA$495&lt;=6)*('CONTROL MASTER'!$AC$2:$AC$495&gt;=6))*ROW('CONTROL MASTER'!$S$2:$S$495))-(ROW('CONTROL MASTER'!#REF!)-1))))+1)))-1)*50+1,50))&amp;"_"&amp;INDEX('CONTROL MASTER'!$P$2:$P$495,(SUMPRODUCT((('CONTROL MASTER'!$S$2:$S$495=14)*('CONTROL MASTER'!$Z$2:$Z$495&lt;=5)*('CONTROL MASTER'!$AB$2:$AB$495&gt;=5)*('CONTROL MASTER'!$AA$2:$AA$495&lt;=6)*('CONTROL MASTER'!$AC$2:$AC$495&gt;=6))*ROW('CONTROL MASTER'!$S$2:$S$495))-(ROW('CONTROL MASTER'!#REF!)-1))),"")),"")</f>
        <v/>
      </c>
      <c r="H189" s="10" t="str">
        <f>IFERROR(IF(SUMPRODUCT((('CONTROL MASTER'!$S$2:$S$495=14)*('CONTROL MASTER'!$T$2:$T$495&lt;=5)*('CONTROL MASTER'!$V$2:$V$495&gt;=5)*('CONTROL MASTER'!$U$2:$U$495&lt;=7)*('CONTROL MASTER'!$W$2:$W$495&gt;=7))*ROW('CONTROL MASTER'!$S$2:$S$495))&gt;0,INDEX('CONTROL MASTER'!$X$2:$X$495,(SUMPRODUCT((('CONTROL MASTER'!$S$2:$S$495=14)*('CONTROL MASTER'!$T$2:$T$495&lt;=5)*('CONTROL MASTER'!$V$2:$V$495&gt;=5)*('CONTROL MASTER'!$U$2:$U$495&lt;=7)*('CONTROL MASTER'!$W$2:$W$495&gt;=7))*ROW('CONTROL MASTER'!$S$2:$S$495))-(ROW('CONTROL MASTER'!#REF!)-1)))&amp;TRIM(MID(SUBSTITUTE(SUBSTITUTE(INDEX('CONTROL MASTER'!$N$2:$N$495,(SUMPRODUCT((('CONTROL MASTER'!$S$2:$S$495=14)*('CONTROL MASTER'!$T$2:$T$495&lt;=5)*('CONTROL MASTER'!$V$2:$V$495&gt;=5)*('CONTROL MASTER'!$U$2:$U$495&lt;=7)*('CONTROL MASTER'!$W$2:$W$495&gt;=7))*ROW('CONTROL MASTER'!$S$2:$S$495))-(ROW('CONTROL MASTER'!#REF!)-1))),":",","),",",REPT(" ",50)),((((5-INDEX('CONTROL MASTER'!$T$2:$T$495,(SUMPRODUCT((('CONTROL MASTER'!$S$2:$S$495=14)*('CONTROL MASTER'!$T$2:$T$495&lt;=5)*('CONTROL MASTER'!$V$2:$V$495&gt;=5)*('CONTROL MASTER'!$U$2:$U$495&lt;=7)*('CONTROL MASTER'!$W$2:$W$495&gt;=7))*ROW('CONTROL MASTER'!$S$2:$S$495))-(ROW('CONTROL MASTER'!#REF!)-1))))*(INDEX('CONTROL MASTER'!$W$2:$W$495,(SUMPRODUCT((('CONTROL MASTER'!$S$2:$S$495=14)*('CONTROL MASTER'!$T$2:$T$495&lt;=5)*('CONTROL MASTER'!$V$2:$V$495&gt;=5)*('CONTROL MASTER'!$U$2:$U$495&lt;=7)*('CONTROL MASTER'!$W$2:$W$495&gt;=7))*ROW('CONTROL MASTER'!$S$2:$S$495))-(ROW('CONTROL MASTER'!#REF!)-1)))-INDEX('CONTROL MASTER'!$U$2:$U$495,(SUMPRODUCT((('CONTROL MASTER'!$S$2:$S$495=14)*('CONTROL MASTER'!$T$2:$T$495&lt;=5)*('CONTROL MASTER'!$V$2:$V$495&gt;=5)*('CONTROL MASTER'!$U$2:$U$495&lt;=7)*('CONTROL MASTER'!$W$2:$W$495&gt;=7))*ROW('CONTROL MASTER'!$S$2:$S$495))-(ROW('CONTROL MASTER'!#REF!)-1)))+1)+(7-INDEX('CONTROL MASTER'!$U$2:$U$495,(SUMPRODUCT((('CONTROL MASTER'!$S$2:$S$495=14)*('CONTROL MASTER'!$T$2:$T$495&lt;=5)*('CONTROL MASTER'!$V$2:$V$495&gt;=5)*('CONTROL MASTER'!$U$2:$U$495&lt;=7)*('CONTROL MASTER'!$W$2:$W$495&gt;=7))*ROW('CONTROL MASTER'!$S$2:$S$495))-(ROW('CONTROL MASTER'!#REF!)-1))))+1))-1)*50+1,50))&amp;"_"&amp;INDEX('CONTROL MASTER'!$P$2:$P$495,(SUMPRODUCT((('CONTROL MASTER'!$S$2:$S$495=14)*('CONTROL MASTER'!$T$2:$T$495&lt;=5)*('CONTROL MASTER'!$V$2:$V$495&gt;=5)*('CONTROL MASTER'!$U$2:$U$495&lt;=7)*('CONTROL MASTER'!$W$2:$W$495&gt;=7))*ROW('CONTROL MASTER'!$S$2:$S$495))-(ROW('CONTROL MASTER'!#REF!)-1))),IF(SUMPRODUCT((('CONTROL MASTER'!$S$2:$S$495=14)*('CONTROL MASTER'!$Z$2:$Z$495&lt;=5)*('CONTROL MASTER'!$AB$2:$AB$495&gt;=5)*('CONTROL MASTER'!$AA$2:$AA$495&lt;=7)*('CONTROL MASTER'!$AC$2:$AC$495&gt;=7))*ROW('CONTROL MASTER'!$S$2:$S$495))&gt;0,INDEX('CONTROL MASTER'!$X$2:$X$495,(SUMPRODUCT((('CONTROL MASTER'!$S$2:$S$495=14)*('CONTROL MASTER'!$Z$2:$Z$495&lt;=5)*('CONTROL MASTER'!$AB$2:$AB$495&gt;=5)*('CONTROL MASTER'!$AA$2:$AA$495&lt;=7)*('CONTROL MASTER'!$AC$2:$AC$495&gt;=7))*ROW('CONTROL MASTER'!$S$2:$S$495))-(ROW('CONTROL MASTER'!#REF!)-1)))&amp;TRIM(MID(SUBSTITUTE(SUBSTITUTE(INDEX('CONTROL MASTER'!$N$2:$N$495,(SUMPRODUCT((('CONTROL MASTER'!$S$2:$S$495=14)*('CONTROL MASTER'!$Z$2:$Z$495&lt;=5)*('CONTROL MASTER'!$AB$2:$AB$495&gt;=5)*('CONTROL MASTER'!$AA$2:$AA$495&lt;=7)*('CONTROL MASTER'!$AC$2:$AC$495&gt;=7))*ROW('CONTROL MASTER'!$S$2:$S$495))-(ROW('CONTROL MASTER'!#REF!)-1))),":",","),",",REPT(" ",50)),(((INDEX('CONTROL MASTER'!$Y$2:$Y$495,(SUMPRODUCT((('CONTROL MASTER'!$S$2:$S$495=14)*('CONTROL MASTER'!$Z$2:$Z$495&lt;=5)*('CONTROL MASTER'!$AB$2:$AB$495&gt;=5)*('CONTROL MASTER'!$AA$2:$AA$495&lt;=7)*('CONTROL MASTER'!$AC$2:$AC$495&gt;=7))*ROW('CONTROL MASTER'!$S$2:$S$495))-(ROW('CONTROL MASTER'!#REF!)-1)))+((5-INDEX('CONTROL MASTER'!$Z$2:$Z$495,(SUMPRODUCT((('CONTROL MASTER'!$S$2:$S$495=14)*('CONTROL MASTER'!$Z$2:$Z$495&lt;=5)*('CONTROL MASTER'!$AB$2:$AB$495&gt;=5)*('CONTROL MASTER'!$AA$2:$AA$495&lt;=7)*('CONTROL MASTER'!$AC$2:$AC$495&gt;=7))*ROW('CONTROL MASTER'!$S$2:$S$495))-(ROW('CONTROL MASTER'!#REF!)-1))))*(INDEX('CONTROL MASTER'!$AC$2:$AC$495,(SUMPRODUCT((('CONTROL MASTER'!$S$2:$S$495=14)*('CONTROL MASTER'!$Z$2:$Z$495&lt;=5)*('CONTROL MASTER'!$AB$2:$AB$495&gt;=5)*('CONTROL MASTER'!$AA$2:$AA$495&lt;=7)*('CONTROL MASTER'!$AC$2:$AC$495&gt;=7))*ROW('CONTROL MASTER'!$S$2:$S$495))-(ROW('CONTROL MASTER'!#REF!)-1)))-INDEX('CONTROL MASTER'!$AA$2:$AA$495,(SUMPRODUCT((('CONTROL MASTER'!$S$2:$S$495=14)*('CONTROL MASTER'!$Z$2:$Z$495&lt;=5)*('CONTROL MASTER'!$AB$2:$AB$495&gt;=5)*('CONTROL MASTER'!$AA$2:$AA$495&lt;=7)*('CONTROL MASTER'!$AC$2:$AC$495&gt;=7))*ROW('CONTROL MASTER'!$S$2:$S$495))-(ROW('CONTROL MASTER'!#REF!)-1)))+1)+(7-INDEX('CONTROL MASTER'!$AA$2:$AA$495,(SUMPRODUCT((('CONTROL MASTER'!$S$2:$S$495=14)*('CONTROL MASTER'!$Z$2:$Z$495&lt;=5)*('CONTROL MASTER'!$AB$2:$AB$495&gt;=5)*('CONTROL MASTER'!$AA$2:$AA$495&lt;=7)*('CONTROL MASTER'!$AC$2:$AC$495&gt;=7))*ROW('CONTROL MASTER'!$S$2:$S$495))-(ROW('CONTROL MASTER'!#REF!)-1))))+1)))-1)*50+1,50))&amp;"_"&amp;INDEX('CONTROL MASTER'!$P$2:$P$495,(SUMPRODUCT((('CONTROL MASTER'!$S$2:$S$495=14)*('CONTROL MASTER'!$Z$2:$Z$495&lt;=5)*('CONTROL MASTER'!$AB$2:$AB$495&gt;=5)*('CONTROL MASTER'!$AA$2:$AA$495&lt;=7)*('CONTROL MASTER'!$AC$2:$AC$495&gt;=7))*ROW('CONTROL MASTER'!$S$2:$S$495))-(ROW('CONTROL MASTER'!#REF!)-1))),"")),"")</f>
        <v/>
      </c>
      <c r="I189" s="10" t="str">
        <f>IFERROR(IF(SUMPRODUCT((('CONTROL MASTER'!$S$2:$S$495=14)*('CONTROL MASTER'!$T$2:$T$495&lt;=5)*('CONTROL MASTER'!$V$2:$V$495&gt;=5)*('CONTROL MASTER'!$U$2:$U$495&lt;=8)*('CONTROL MASTER'!$W$2:$W$495&gt;=8))*ROW('CONTROL MASTER'!$S$2:$S$495))&gt;0,INDEX('CONTROL MASTER'!$X$2:$X$495,(SUMPRODUCT((('CONTROL MASTER'!$S$2:$S$495=14)*('CONTROL MASTER'!$T$2:$T$495&lt;=5)*('CONTROL MASTER'!$V$2:$V$495&gt;=5)*('CONTROL MASTER'!$U$2:$U$495&lt;=8)*('CONTROL MASTER'!$W$2:$W$495&gt;=8))*ROW('CONTROL MASTER'!$S$2:$S$495))-(ROW('CONTROL MASTER'!#REF!)-1)))&amp;TRIM(MID(SUBSTITUTE(SUBSTITUTE(INDEX('CONTROL MASTER'!$N$2:$N$495,(SUMPRODUCT((('CONTROL MASTER'!$S$2:$S$495=14)*('CONTROL MASTER'!$T$2:$T$495&lt;=5)*('CONTROL MASTER'!$V$2:$V$495&gt;=5)*('CONTROL MASTER'!$U$2:$U$495&lt;=8)*('CONTROL MASTER'!$W$2:$W$495&gt;=8))*ROW('CONTROL MASTER'!$S$2:$S$495))-(ROW('CONTROL MASTER'!#REF!)-1))),":",","),",",REPT(" ",50)),((((5-INDEX('CONTROL MASTER'!$T$2:$T$495,(SUMPRODUCT((('CONTROL MASTER'!$S$2:$S$495=14)*('CONTROL MASTER'!$T$2:$T$495&lt;=5)*('CONTROL MASTER'!$V$2:$V$495&gt;=5)*('CONTROL MASTER'!$U$2:$U$495&lt;=8)*('CONTROL MASTER'!$W$2:$W$495&gt;=8))*ROW('CONTROL MASTER'!$S$2:$S$495))-(ROW('CONTROL MASTER'!#REF!)-1))))*(INDEX('CONTROL MASTER'!$W$2:$W$495,(SUMPRODUCT((('CONTROL MASTER'!$S$2:$S$495=14)*('CONTROL MASTER'!$T$2:$T$495&lt;=5)*('CONTROL MASTER'!$V$2:$V$495&gt;=5)*('CONTROL MASTER'!$U$2:$U$495&lt;=8)*('CONTROL MASTER'!$W$2:$W$495&gt;=8))*ROW('CONTROL MASTER'!$S$2:$S$495))-(ROW('CONTROL MASTER'!#REF!)-1)))-INDEX('CONTROL MASTER'!$U$2:$U$495,(SUMPRODUCT((('CONTROL MASTER'!$S$2:$S$495=14)*('CONTROL MASTER'!$T$2:$T$495&lt;=5)*('CONTROL MASTER'!$V$2:$V$495&gt;=5)*('CONTROL MASTER'!$U$2:$U$495&lt;=8)*('CONTROL MASTER'!$W$2:$W$495&gt;=8))*ROW('CONTROL MASTER'!$S$2:$S$495))-(ROW('CONTROL MASTER'!#REF!)-1)))+1)+(8-INDEX('CONTROL MASTER'!$U$2:$U$495,(SUMPRODUCT((('CONTROL MASTER'!$S$2:$S$495=14)*('CONTROL MASTER'!$T$2:$T$495&lt;=5)*('CONTROL MASTER'!$V$2:$V$495&gt;=5)*('CONTROL MASTER'!$U$2:$U$495&lt;=8)*('CONTROL MASTER'!$W$2:$W$495&gt;=8))*ROW('CONTROL MASTER'!$S$2:$S$495))-(ROW('CONTROL MASTER'!#REF!)-1))))+1))-1)*50+1,50))&amp;"_"&amp;INDEX('CONTROL MASTER'!$P$2:$P$495,(SUMPRODUCT((('CONTROL MASTER'!$S$2:$S$495=14)*('CONTROL MASTER'!$T$2:$T$495&lt;=5)*('CONTROL MASTER'!$V$2:$V$495&gt;=5)*('CONTROL MASTER'!$U$2:$U$495&lt;=8)*('CONTROL MASTER'!$W$2:$W$495&gt;=8))*ROW('CONTROL MASTER'!$S$2:$S$495))-(ROW('CONTROL MASTER'!#REF!)-1))),IF(SUMPRODUCT((('CONTROL MASTER'!$S$2:$S$495=14)*('CONTROL MASTER'!$Z$2:$Z$495&lt;=5)*('CONTROL MASTER'!$AB$2:$AB$495&gt;=5)*('CONTROL MASTER'!$AA$2:$AA$495&lt;=8)*('CONTROL MASTER'!$AC$2:$AC$495&gt;=8))*ROW('CONTROL MASTER'!$S$2:$S$495))&gt;0,INDEX('CONTROL MASTER'!$X$2:$X$495,(SUMPRODUCT((('CONTROL MASTER'!$S$2:$S$495=14)*('CONTROL MASTER'!$Z$2:$Z$495&lt;=5)*('CONTROL MASTER'!$AB$2:$AB$495&gt;=5)*('CONTROL MASTER'!$AA$2:$AA$495&lt;=8)*('CONTROL MASTER'!$AC$2:$AC$495&gt;=8))*ROW('CONTROL MASTER'!$S$2:$S$495))-(ROW('CONTROL MASTER'!#REF!)-1)))&amp;TRIM(MID(SUBSTITUTE(SUBSTITUTE(INDEX('CONTROL MASTER'!$N$2:$N$495,(SUMPRODUCT((('CONTROL MASTER'!$S$2:$S$495=14)*('CONTROL MASTER'!$Z$2:$Z$495&lt;=5)*('CONTROL MASTER'!$AB$2:$AB$495&gt;=5)*('CONTROL MASTER'!$AA$2:$AA$495&lt;=8)*('CONTROL MASTER'!$AC$2:$AC$495&gt;=8))*ROW('CONTROL MASTER'!$S$2:$S$495))-(ROW('CONTROL MASTER'!#REF!)-1))),":",","),",",REPT(" ",50)),(((INDEX('CONTROL MASTER'!$Y$2:$Y$495,(SUMPRODUCT((('CONTROL MASTER'!$S$2:$S$495=14)*('CONTROL MASTER'!$Z$2:$Z$495&lt;=5)*('CONTROL MASTER'!$AB$2:$AB$495&gt;=5)*('CONTROL MASTER'!$AA$2:$AA$495&lt;=8)*('CONTROL MASTER'!$AC$2:$AC$495&gt;=8))*ROW('CONTROL MASTER'!$S$2:$S$495))-(ROW('CONTROL MASTER'!#REF!)-1)))+((5-INDEX('CONTROL MASTER'!$Z$2:$Z$495,(SUMPRODUCT((('CONTROL MASTER'!$S$2:$S$495=14)*('CONTROL MASTER'!$Z$2:$Z$495&lt;=5)*('CONTROL MASTER'!$AB$2:$AB$495&gt;=5)*('CONTROL MASTER'!$AA$2:$AA$495&lt;=8)*('CONTROL MASTER'!$AC$2:$AC$495&gt;=8))*ROW('CONTROL MASTER'!$S$2:$S$495))-(ROW('CONTROL MASTER'!#REF!)-1))))*(INDEX('CONTROL MASTER'!$AC$2:$AC$495,(SUMPRODUCT((('CONTROL MASTER'!$S$2:$S$495=14)*('CONTROL MASTER'!$Z$2:$Z$495&lt;=5)*('CONTROL MASTER'!$AB$2:$AB$495&gt;=5)*('CONTROL MASTER'!$AA$2:$AA$495&lt;=8)*('CONTROL MASTER'!$AC$2:$AC$495&gt;=8))*ROW('CONTROL MASTER'!$S$2:$S$495))-(ROW('CONTROL MASTER'!#REF!)-1)))-INDEX('CONTROL MASTER'!$AA$2:$AA$495,(SUMPRODUCT((('CONTROL MASTER'!$S$2:$S$495=14)*('CONTROL MASTER'!$Z$2:$Z$495&lt;=5)*('CONTROL MASTER'!$AB$2:$AB$495&gt;=5)*('CONTROL MASTER'!$AA$2:$AA$495&lt;=8)*('CONTROL MASTER'!$AC$2:$AC$495&gt;=8))*ROW('CONTROL MASTER'!$S$2:$S$495))-(ROW('CONTROL MASTER'!#REF!)-1)))+1)+(8-INDEX('CONTROL MASTER'!$AA$2:$AA$495,(SUMPRODUCT((('CONTROL MASTER'!$S$2:$S$495=14)*('CONTROL MASTER'!$Z$2:$Z$495&lt;=5)*('CONTROL MASTER'!$AB$2:$AB$495&gt;=5)*('CONTROL MASTER'!$AA$2:$AA$495&lt;=8)*('CONTROL MASTER'!$AC$2:$AC$495&gt;=8))*ROW('CONTROL MASTER'!$S$2:$S$495))-(ROW('CONTROL MASTER'!#REF!)-1))))+1)))-1)*50+1,50))&amp;"_"&amp;INDEX('CONTROL MASTER'!$P$2:$P$495,(SUMPRODUCT((('CONTROL MASTER'!$S$2:$S$495=14)*('CONTROL MASTER'!$Z$2:$Z$495&lt;=5)*('CONTROL MASTER'!$AB$2:$AB$495&gt;=5)*('CONTROL MASTER'!$AA$2:$AA$495&lt;=8)*('CONTROL MASTER'!$AC$2:$AC$495&gt;=8))*ROW('CONTROL MASTER'!$S$2:$S$495))-(ROW('CONTROL MASTER'!#REF!)-1))),"")),"")</f>
        <v/>
      </c>
      <c r="J189" s="10" t="str">
        <f>IFERROR(IF(SUMPRODUCT((('CONTROL MASTER'!$S$2:$S$495=14)*('CONTROL MASTER'!$T$2:$T$495&lt;=5)*('CONTROL MASTER'!$V$2:$V$495&gt;=5)*('CONTROL MASTER'!$U$2:$U$495&lt;=9)*('CONTROL MASTER'!$W$2:$W$495&gt;=9))*ROW('CONTROL MASTER'!$S$2:$S$495))&gt;0,INDEX('CONTROL MASTER'!$X$2:$X$495,(SUMPRODUCT((('CONTROL MASTER'!$S$2:$S$495=14)*('CONTROL MASTER'!$T$2:$T$495&lt;=5)*('CONTROL MASTER'!$V$2:$V$495&gt;=5)*('CONTROL MASTER'!$U$2:$U$495&lt;=9)*('CONTROL MASTER'!$W$2:$W$495&gt;=9))*ROW('CONTROL MASTER'!$S$2:$S$495))-(ROW('CONTROL MASTER'!#REF!)-1)))&amp;TRIM(MID(SUBSTITUTE(SUBSTITUTE(INDEX('CONTROL MASTER'!$N$2:$N$495,(SUMPRODUCT((('CONTROL MASTER'!$S$2:$S$495=14)*('CONTROL MASTER'!$T$2:$T$495&lt;=5)*('CONTROL MASTER'!$V$2:$V$495&gt;=5)*('CONTROL MASTER'!$U$2:$U$495&lt;=9)*('CONTROL MASTER'!$W$2:$W$495&gt;=9))*ROW('CONTROL MASTER'!$S$2:$S$495))-(ROW('CONTROL MASTER'!#REF!)-1))),":",","),",",REPT(" ",50)),((((5-INDEX('CONTROL MASTER'!$T$2:$T$495,(SUMPRODUCT((('CONTROL MASTER'!$S$2:$S$495=14)*('CONTROL MASTER'!$T$2:$T$495&lt;=5)*('CONTROL MASTER'!$V$2:$V$495&gt;=5)*('CONTROL MASTER'!$U$2:$U$495&lt;=9)*('CONTROL MASTER'!$W$2:$W$495&gt;=9))*ROW('CONTROL MASTER'!$S$2:$S$495))-(ROW('CONTROL MASTER'!#REF!)-1))))*(INDEX('CONTROL MASTER'!$W$2:$W$495,(SUMPRODUCT((('CONTROL MASTER'!$S$2:$S$495=14)*('CONTROL MASTER'!$T$2:$T$495&lt;=5)*('CONTROL MASTER'!$V$2:$V$495&gt;=5)*('CONTROL MASTER'!$U$2:$U$495&lt;=9)*('CONTROL MASTER'!$W$2:$W$495&gt;=9))*ROW('CONTROL MASTER'!$S$2:$S$495))-(ROW('CONTROL MASTER'!#REF!)-1)))-INDEX('CONTROL MASTER'!$U$2:$U$495,(SUMPRODUCT((('CONTROL MASTER'!$S$2:$S$495=14)*('CONTROL MASTER'!$T$2:$T$495&lt;=5)*('CONTROL MASTER'!$V$2:$V$495&gt;=5)*('CONTROL MASTER'!$U$2:$U$495&lt;=9)*('CONTROL MASTER'!$W$2:$W$495&gt;=9))*ROW('CONTROL MASTER'!$S$2:$S$495))-(ROW('CONTROL MASTER'!#REF!)-1)))+1)+(9-INDEX('CONTROL MASTER'!$U$2:$U$495,(SUMPRODUCT((('CONTROL MASTER'!$S$2:$S$495=14)*('CONTROL MASTER'!$T$2:$T$495&lt;=5)*('CONTROL MASTER'!$V$2:$V$495&gt;=5)*('CONTROL MASTER'!$U$2:$U$495&lt;=9)*('CONTROL MASTER'!$W$2:$W$495&gt;=9))*ROW('CONTROL MASTER'!$S$2:$S$495))-(ROW('CONTROL MASTER'!#REF!)-1))))+1))-1)*50+1,50))&amp;"_"&amp;INDEX('CONTROL MASTER'!$P$2:$P$495,(SUMPRODUCT((('CONTROL MASTER'!$S$2:$S$495=14)*('CONTROL MASTER'!$T$2:$T$495&lt;=5)*('CONTROL MASTER'!$V$2:$V$495&gt;=5)*('CONTROL MASTER'!$U$2:$U$495&lt;=9)*('CONTROL MASTER'!$W$2:$W$495&gt;=9))*ROW('CONTROL MASTER'!$S$2:$S$495))-(ROW('CONTROL MASTER'!#REF!)-1))),IF(SUMPRODUCT((('CONTROL MASTER'!$S$2:$S$495=14)*('CONTROL MASTER'!$Z$2:$Z$495&lt;=5)*('CONTROL MASTER'!$AB$2:$AB$495&gt;=5)*('CONTROL MASTER'!$AA$2:$AA$495&lt;=9)*('CONTROL MASTER'!$AC$2:$AC$495&gt;=9))*ROW('CONTROL MASTER'!$S$2:$S$495))&gt;0,INDEX('CONTROL MASTER'!$X$2:$X$495,(SUMPRODUCT((('CONTROL MASTER'!$S$2:$S$495=14)*('CONTROL MASTER'!$Z$2:$Z$495&lt;=5)*('CONTROL MASTER'!$AB$2:$AB$495&gt;=5)*('CONTROL MASTER'!$AA$2:$AA$495&lt;=9)*('CONTROL MASTER'!$AC$2:$AC$495&gt;=9))*ROW('CONTROL MASTER'!$S$2:$S$495))-(ROW('CONTROL MASTER'!#REF!)-1)))&amp;TRIM(MID(SUBSTITUTE(SUBSTITUTE(INDEX('CONTROL MASTER'!$N$2:$N$495,(SUMPRODUCT((('CONTROL MASTER'!$S$2:$S$495=14)*('CONTROL MASTER'!$Z$2:$Z$495&lt;=5)*('CONTROL MASTER'!$AB$2:$AB$495&gt;=5)*('CONTROL MASTER'!$AA$2:$AA$495&lt;=9)*('CONTROL MASTER'!$AC$2:$AC$495&gt;=9))*ROW('CONTROL MASTER'!$S$2:$S$495))-(ROW('CONTROL MASTER'!#REF!)-1))),":",","),",",REPT(" ",50)),(((INDEX('CONTROL MASTER'!$Y$2:$Y$495,(SUMPRODUCT((('CONTROL MASTER'!$S$2:$S$495=14)*('CONTROL MASTER'!$Z$2:$Z$495&lt;=5)*('CONTROL MASTER'!$AB$2:$AB$495&gt;=5)*('CONTROL MASTER'!$AA$2:$AA$495&lt;=9)*('CONTROL MASTER'!$AC$2:$AC$495&gt;=9))*ROW('CONTROL MASTER'!$S$2:$S$495))-(ROW('CONTROL MASTER'!#REF!)-1)))+((5-INDEX('CONTROL MASTER'!$Z$2:$Z$495,(SUMPRODUCT((('CONTROL MASTER'!$S$2:$S$495=14)*('CONTROL MASTER'!$Z$2:$Z$495&lt;=5)*('CONTROL MASTER'!$AB$2:$AB$495&gt;=5)*('CONTROL MASTER'!$AA$2:$AA$495&lt;=9)*('CONTROL MASTER'!$AC$2:$AC$495&gt;=9))*ROW('CONTROL MASTER'!$S$2:$S$495))-(ROW('CONTROL MASTER'!#REF!)-1))))*(INDEX('CONTROL MASTER'!$AC$2:$AC$495,(SUMPRODUCT((('CONTROL MASTER'!$S$2:$S$495=14)*('CONTROL MASTER'!$Z$2:$Z$495&lt;=5)*('CONTROL MASTER'!$AB$2:$AB$495&gt;=5)*('CONTROL MASTER'!$AA$2:$AA$495&lt;=9)*('CONTROL MASTER'!$AC$2:$AC$495&gt;=9))*ROW('CONTROL MASTER'!$S$2:$S$495))-(ROW('CONTROL MASTER'!#REF!)-1)))-INDEX('CONTROL MASTER'!$AA$2:$AA$495,(SUMPRODUCT((('CONTROL MASTER'!$S$2:$S$495=14)*('CONTROL MASTER'!$Z$2:$Z$495&lt;=5)*('CONTROL MASTER'!$AB$2:$AB$495&gt;=5)*('CONTROL MASTER'!$AA$2:$AA$495&lt;=9)*('CONTROL MASTER'!$AC$2:$AC$495&gt;=9))*ROW('CONTROL MASTER'!$S$2:$S$495))-(ROW('CONTROL MASTER'!#REF!)-1)))+1)+(9-INDEX('CONTROL MASTER'!$AA$2:$AA$495,(SUMPRODUCT((('CONTROL MASTER'!$S$2:$S$495=14)*('CONTROL MASTER'!$Z$2:$Z$495&lt;=5)*('CONTROL MASTER'!$AB$2:$AB$495&gt;=5)*('CONTROL MASTER'!$AA$2:$AA$495&lt;=9)*('CONTROL MASTER'!$AC$2:$AC$495&gt;=9))*ROW('CONTROL MASTER'!$S$2:$S$495))-(ROW('CONTROL MASTER'!#REF!)-1))))+1)))-1)*50+1,50))&amp;"_"&amp;INDEX('CONTROL MASTER'!$P$2:$P$495,(SUMPRODUCT((('CONTROL MASTER'!$S$2:$S$495=14)*('CONTROL MASTER'!$Z$2:$Z$495&lt;=5)*('CONTROL MASTER'!$AB$2:$AB$495&gt;=5)*('CONTROL MASTER'!$AA$2:$AA$495&lt;=9)*('CONTROL MASTER'!$AC$2:$AC$495&gt;=9))*ROW('CONTROL MASTER'!$S$2:$S$495))-(ROW('CONTROL MASTER'!#REF!)-1))),"")),"")</f>
        <v/>
      </c>
      <c r="K189" s="10" t="str">
        <f>IFERROR(IF(SUMPRODUCT((('CONTROL MASTER'!$S$2:$S$495=14)*('CONTROL MASTER'!$T$2:$T$495&lt;=5)*('CONTROL MASTER'!$V$2:$V$495&gt;=5)*('CONTROL MASTER'!$U$2:$U$495&lt;=10)*('CONTROL MASTER'!$W$2:$W$495&gt;=10))*ROW('CONTROL MASTER'!$S$2:$S$495))&gt;0,INDEX('CONTROL MASTER'!$X$2:$X$495,(SUMPRODUCT((('CONTROL MASTER'!$S$2:$S$495=14)*('CONTROL MASTER'!$T$2:$T$495&lt;=5)*('CONTROL MASTER'!$V$2:$V$495&gt;=5)*('CONTROL MASTER'!$U$2:$U$495&lt;=10)*('CONTROL MASTER'!$W$2:$W$495&gt;=10))*ROW('CONTROL MASTER'!$S$2:$S$495))-(ROW('CONTROL MASTER'!#REF!)-1)))&amp;TRIM(MID(SUBSTITUTE(SUBSTITUTE(INDEX('CONTROL MASTER'!$N$2:$N$495,(SUMPRODUCT((('CONTROL MASTER'!$S$2:$S$495=14)*('CONTROL MASTER'!$T$2:$T$495&lt;=5)*('CONTROL MASTER'!$V$2:$V$495&gt;=5)*('CONTROL MASTER'!$U$2:$U$495&lt;=10)*('CONTROL MASTER'!$W$2:$W$495&gt;=10))*ROW('CONTROL MASTER'!$S$2:$S$495))-(ROW('CONTROL MASTER'!#REF!)-1))),":",","),",",REPT(" ",50)),((((5-INDEX('CONTROL MASTER'!$T$2:$T$495,(SUMPRODUCT((('CONTROL MASTER'!$S$2:$S$495=14)*('CONTROL MASTER'!$T$2:$T$495&lt;=5)*('CONTROL MASTER'!$V$2:$V$495&gt;=5)*('CONTROL MASTER'!$U$2:$U$495&lt;=10)*('CONTROL MASTER'!$W$2:$W$495&gt;=10))*ROW('CONTROL MASTER'!$S$2:$S$495))-(ROW('CONTROL MASTER'!#REF!)-1))))*(INDEX('CONTROL MASTER'!$W$2:$W$495,(SUMPRODUCT((('CONTROL MASTER'!$S$2:$S$495=14)*('CONTROL MASTER'!$T$2:$T$495&lt;=5)*('CONTROL MASTER'!$V$2:$V$495&gt;=5)*('CONTROL MASTER'!$U$2:$U$495&lt;=10)*('CONTROL MASTER'!$W$2:$W$495&gt;=10))*ROW('CONTROL MASTER'!$S$2:$S$495))-(ROW('CONTROL MASTER'!#REF!)-1)))-INDEX('CONTROL MASTER'!$U$2:$U$495,(SUMPRODUCT((('CONTROL MASTER'!$S$2:$S$495=14)*('CONTROL MASTER'!$T$2:$T$495&lt;=5)*('CONTROL MASTER'!$V$2:$V$495&gt;=5)*('CONTROL MASTER'!$U$2:$U$495&lt;=10)*('CONTROL MASTER'!$W$2:$W$495&gt;=10))*ROW('CONTROL MASTER'!$S$2:$S$495))-(ROW('CONTROL MASTER'!#REF!)-1)))+1)+(10-INDEX('CONTROL MASTER'!$U$2:$U$495,(SUMPRODUCT((('CONTROL MASTER'!$S$2:$S$495=14)*('CONTROL MASTER'!$T$2:$T$495&lt;=5)*('CONTROL MASTER'!$V$2:$V$495&gt;=5)*('CONTROL MASTER'!$U$2:$U$495&lt;=10)*('CONTROL MASTER'!$W$2:$W$495&gt;=10))*ROW('CONTROL MASTER'!$S$2:$S$495))-(ROW('CONTROL MASTER'!#REF!)-1))))+1))-1)*50+1,50))&amp;"_"&amp;INDEX('CONTROL MASTER'!$P$2:$P$495,(SUMPRODUCT((('CONTROL MASTER'!$S$2:$S$495=14)*('CONTROL MASTER'!$T$2:$T$495&lt;=5)*('CONTROL MASTER'!$V$2:$V$495&gt;=5)*('CONTROL MASTER'!$U$2:$U$495&lt;=10)*('CONTROL MASTER'!$W$2:$W$495&gt;=10))*ROW('CONTROL MASTER'!$S$2:$S$495))-(ROW('CONTROL MASTER'!#REF!)-1))),IF(SUMPRODUCT((('CONTROL MASTER'!$S$2:$S$495=14)*('CONTROL MASTER'!$Z$2:$Z$495&lt;=5)*('CONTROL MASTER'!$AB$2:$AB$495&gt;=5)*('CONTROL MASTER'!$AA$2:$AA$495&lt;=10)*('CONTROL MASTER'!$AC$2:$AC$495&gt;=10))*ROW('CONTROL MASTER'!$S$2:$S$495))&gt;0,INDEX('CONTROL MASTER'!$X$2:$X$495,(SUMPRODUCT((('CONTROL MASTER'!$S$2:$S$495=14)*('CONTROL MASTER'!$Z$2:$Z$495&lt;=5)*('CONTROL MASTER'!$AB$2:$AB$495&gt;=5)*('CONTROL MASTER'!$AA$2:$AA$495&lt;=10)*('CONTROL MASTER'!$AC$2:$AC$495&gt;=10))*ROW('CONTROL MASTER'!$S$2:$S$495))-(ROW('CONTROL MASTER'!#REF!)-1)))&amp;TRIM(MID(SUBSTITUTE(SUBSTITUTE(INDEX('CONTROL MASTER'!$N$2:$N$495,(SUMPRODUCT((('CONTROL MASTER'!$S$2:$S$495=14)*('CONTROL MASTER'!$Z$2:$Z$495&lt;=5)*('CONTROL MASTER'!$AB$2:$AB$495&gt;=5)*('CONTROL MASTER'!$AA$2:$AA$495&lt;=10)*('CONTROL MASTER'!$AC$2:$AC$495&gt;=10))*ROW('CONTROL MASTER'!$S$2:$S$495))-(ROW('CONTROL MASTER'!#REF!)-1))),":",","),",",REPT(" ",50)),(((INDEX('CONTROL MASTER'!$Y$2:$Y$495,(SUMPRODUCT((('CONTROL MASTER'!$S$2:$S$495=14)*('CONTROL MASTER'!$Z$2:$Z$495&lt;=5)*('CONTROL MASTER'!$AB$2:$AB$495&gt;=5)*('CONTROL MASTER'!$AA$2:$AA$495&lt;=10)*('CONTROL MASTER'!$AC$2:$AC$495&gt;=10))*ROW('CONTROL MASTER'!$S$2:$S$495))-(ROW('CONTROL MASTER'!#REF!)-1)))+((5-INDEX('CONTROL MASTER'!$Z$2:$Z$495,(SUMPRODUCT((('CONTROL MASTER'!$S$2:$S$495=14)*('CONTROL MASTER'!$Z$2:$Z$495&lt;=5)*('CONTROL MASTER'!$AB$2:$AB$495&gt;=5)*('CONTROL MASTER'!$AA$2:$AA$495&lt;=10)*('CONTROL MASTER'!$AC$2:$AC$495&gt;=10))*ROW('CONTROL MASTER'!$S$2:$S$495))-(ROW('CONTROL MASTER'!#REF!)-1))))*(INDEX('CONTROL MASTER'!$AC$2:$AC$495,(SUMPRODUCT((('CONTROL MASTER'!$S$2:$S$495=14)*('CONTROL MASTER'!$Z$2:$Z$495&lt;=5)*('CONTROL MASTER'!$AB$2:$AB$495&gt;=5)*('CONTROL MASTER'!$AA$2:$AA$495&lt;=10)*('CONTROL MASTER'!$AC$2:$AC$495&gt;=10))*ROW('CONTROL MASTER'!$S$2:$S$495))-(ROW('CONTROL MASTER'!#REF!)-1)))-INDEX('CONTROL MASTER'!$AA$2:$AA$495,(SUMPRODUCT((('CONTROL MASTER'!$S$2:$S$495=14)*('CONTROL MASTER'!$Z$2:$Z$495&lt;=5)*('CONTROL MASTER'!$AB$2:$AB$495&gt;=5)*('CONTROL MASTER'!$AA$2:$AA$495&lt;=10)*('CONTROL MASTER'!$AC$2:$AC$495&gt;=10))*ROW('CONTROL MASTER'!$S$2:$S$495))-(ROW('CONTROL MASTER'!#REF!)-1)))+1)+(10-INDEX('CONTROL MASTER'!$AA$2:$AA$495,(SUMPRODUCT((('CONTROL MASTER'!$S$2:$S$495=14)*('CONTROL MASTER'!$Z$2:$Z$495&lt;=5)*('CONTROL MASTER'!$AB$2:$AB$495&gt;=5)*('CONTROL MASTER'!$AA$2:$AA$495&lt;=10)*('CONTROL MASTER'!$AC$2:$AC$495&gt;=10))*ROW('CONTROL MASTER'!$S$2:$S$495))-(ROW('CONTROL MASTER'!#REF!)-1))))+1)))-1)*50+1,50))&amp;"_"&amp;INDEX('CONTROL MASTER'!$P$2:$P$495,(SUMPRODUCT((('CONTROL MASTER'!$S$2:$S$495=14)*('CONTROL MASTER'!$Z$2:$Z$495&lt;=5)*('CONTROL MASTER'!$AB$2:$AB$495&gt;=5)*('CONTROL MASTER'!$AA$2:$AA$495&lt;=10)*('CONTROL MASTER'!$AC$2:$AC$495&gt;=10))*ROW('CONTROL MASTER'!$S$2:$S$495))-(ROW('CONTROL MASTER'!#REF!)-1))),"")),"")</f>
        <v/>
      </c>
    </row>
    <row r="190" spans="1:11" ht="15" customHeight="1" x14ac:dyDescent="0.35">
      <c r="A190" s="8" t="s">
        <v>33</v>
      </c>
      <c r="B190" s="10" t="str">
        <f>IFERROR(IF(SUMPRODUCT((('CONTROL MASTER'!$S$2:$S$495=14)*('CONTROL MASTER'!$T$2:$T$495&lt;=6)*('CONTROL MASTER'!$V$2:$V$495&gt;=6)*('CONTROL MASTER'!$U$2:$U$495&lt;=1)*('CONTROL MASTER'!$W$2:$W$495&gt;=1))*ROW('CONTROL MASTER'!$S$2:$S$495))&gt;0,INDEX('CONTROL MASTER'!$X$2:$X$495,(SUMPRODUCT((('CONTROL MASTER'!$S$2:$S$495=14)*('CONTROL MASTER'!$T$2:$T$495&lt;=6)*('CONTROL MASTER'!$V$2:$V$495&gt;=6)*('CONTROL MASTER'!$U$2:$U$495&lt;=1)*('CONTROL MASTER'!$W$2:$W$495&gt;=1))*ROW('CONTROL MASTER'!$S$2:$S$495))-(ROW('CONTROL MASTER'!#REF!)-1)))&amp;TRIM(MID(SUBSTITUTE(SUBSTITUTE(INDEX('CONTROL MASTER'!$N$2:$N$495,(SUMPRODUCT((('CONTROL MASTER'!$S$2:$S$495=14)*('CONTROL MASTER'!$T$2:$T$495&lt;=6)*('CONTROL MASTER'!$V$2:$V$495&gt;=6)*('CONTROL MASTER'!$U$2:$U$495&lt;=1)*('CONTROL MASTER'!$W$2:$W$495&gt;=1))*ROW('CONTROL MASTER'!$S$2:$S$495))-(ROW('CONTROL MASTER'!#REF!)-1))),":",","),",",REPT(" ",50)),((((6-INDEX('CONTROL MASTER'!$T$2:$T$495,(SUMPRODUCT((('CONTROL MASTER'!$S$2:$S$495=14)*('CONTROL MASTER'!$T$2:$T$495&lt;=6)*('CONTROL MASTER'!$V$2:$V$495&gt;=6)*('CONTROL MASTER'!$U$2:$U$495&lt;=1)*('CONTROL MASTER'!$W$2:$W$495&gt;=1))*ROW('CONTROL MASTER'!$S$2:$S$495))-(ROW('CONTROL MASTER'!#REF!)-1))))*(INDEX('CONTROL MASTER'!$W$2:$W$495,(SUMPRODUCT((('CONTROL MASTER'!$S$2:$S$495=14)*('CONTROL MASTER'!$T$2:$T$495&lt;=6)*('CONTROL MASTER'!$V$2:$V$495&gt;=6)*('CONTROL MASTER'!$U$2:$U$495&lt;=1)*('CONTROL MASTER'!$W$2:$W$495&gt;=1))*ROW('CONTROL MASTER'!$S$2:$S$495))-(ROW('CONTROL MASTER'!#REF!)-1)))-INDEX('CONTROL MASTER'!$U$2:$U$495,(SUMPRODUCT((('CONTROL MASTER'!$S$2:$S$495=14)*('CONTROL MASTER'!$T$2:$T$495&lt;=6)*('CONTROL MASTER'!$V$2:$V$495&gt;=6)*('CONTROL MASTER'!$U$2:$U$495&lt;=1)*('CONTROL MASTER'!$W$2:$W$495&gt;=1))*ROW('CONTROL MASTER'!$S$2:$S$495))-(ROW('CONTROL MASTER'!#REF!)-1)))+1)+(1-INDEX('CONTROL MASTER'!$U$2:$U$495,(SUMPRODUCT((('CONTROL MASTER'!$S$2:$S$495=14)*('CONTROL MASTER'!$T$2:$T$495&lt;=6)*('CONTROL MASTER'!$V$2:$V$495&gt;=6)*('CONTROL MASTER'!$U$2:$U$495&lt;=1)*('CONTROL MASTER'!$W$2:$W$495&gt;=1))*ROW('CONTROL MASTER'!$S$2:$S$495))-(ROW('CONTROL MASTER'!#REF!)-1))))+1))-1)*50+1,50))&amp;"_"&amp;INDEX('CONTROL MASTER'!$P$2:$P$495,(SUMPRODUCT((('CONTROL MASTER'!$S$2:$S$495=14)*('CONTROL MASTER'!$T$2:$T$495&lt;=6)*('CONTROL MASTER'!$V$2:$V$495&gt;=6)*('CONTROL MASTER'!$U$2:$U$495&lt;=1)*('CONTROL MASTER'!$W$2:$W$495&gt;=1))*ROW('CONTROL MASTER'!$S$2:$S$495))-(ROW('CONTROL MASTER'!#REF!)-1))),IF(SUMPRODUCT((('CONTROL MASTER'!$S$2:$S$495=14)*('CONTROL MASTER'!$Z$2:$Z$495&lt;=6)*('CONTROL MASTER'!$AB$2:$AB$495&gt;=6)*('CONTROL MASTER'!$AA$2:$AA$495&lt;=1)*('CONTROL MASTER'!$AC$2:$AC$495&gt;=1))*ROW('CONTROL MASTER'!$S$2:$S$495))&gt;0,INDEX('CONTROL MASTER'!$X$2:$X$495,(SUMPRODUCT((('CONTROL MASTER'!$S$2:$S$495=14)*('CONTROL MASTER'!$Z$2:$Z$495&lt;=6)*('CONTROL MASTER'!$AB$2:$AB$495&gt;=6)*('CONTROL MASTER'!$AA$2:$AA$495&lt;=1)*('CONTROL MASTER'!$AC$2:$AC$495&gt;=1))*ROW('CONTROL MASTER'!$S$2:$S$495))-(ROW('CONTROL MASTER'!#REF!)-1)))&amp;TRIM(MID(SUBSTITUTE(SUBSTITUTE(INDEX('CONTROL MASTER'!$N$2:$N$495,(SUMPRODUCT((('CONTROL MASTER'!$S$2:$S$495=14)*('CONTROL MASTER'!$Z$2:$Z$495&lt;=6)*('CONTROL MASTER'!$AB$2:$AB$495&gt;=6)*('CONTROL MASTER'!$AA$2:$AA$495&lt;=1)*('CONTROL MASTER'!$AC$2:$AC$495&gt;=1))*ROW('CONTROL MASTER'!$S$2:$S$495))-(ROW('CONTROL MASTER'!#REF!)-1))),":",","),",",REPT(" ",50)),(((INDEX('CONTROL MASTER'!$Y$2:$Y$495,(SUMPRODUCT((('CONTROL MASTER'!$S$2:$S$495=14)*('CONTROL MASTER'!$Z$2:$Z$495&lt;=6)*('CONTROL MASTER'!$AB$2:$AB$495&gt;=6)*('CONTROL MASTER'!$AA$2:$AA$495&lt;=1)*('CONTROL MASTER'!$AC$2:$AC$495&gt;=1))*ROW('CONTROL MASTER'!$S$2:$S$495))-(ROW('CONTROL MASTER'!#REF!)-1)))+((6-INDEX('CONTROL MASTER'!$Z$2:$Z$495,(SUMPRODUCT((('CONTROL MASTER'!$S$2:$S$495=14)*('CONTROL MASTER'!$Z$2:$Z$495&lt;=6)*('CONTROL MASTER'!$AB$2:$AB$495&gt;=6)*('CONTROL MASTER'!$AA$2:$AA$495&lt;=1)*('CONTROL MASTER'!$AC$2:$AC$495&gt;=1))*ROW('CONTROL MASTER'!$S$2:$S$495))-(ROW('CONTROL MASTER'!#REF!)-1))))*(INDEX('CONTROL MASTER'!$AC$2:$AC$495,(SUMPRODUCT((('CONTROL MASTER'!$S$2:$S$495=14)*('CONTROL MASTER'!$Z$2:$Z$495&lt;=6)*('CONTROL MASTER'!$AB$2:$AB$495&gt;=6)*('CONTROL MASTER'!$AA$2:$AA$495&lt;=1)*('CONTROL MASTER'!$AC$2:$AC$495&gt;=1))*ROW('CONTROL MASTER'!$S$2:$S$495))-(ROW('CONTROL MASTER'!#REF!)-1)))-INDEX('CONTROL MASTER'!$AA$2:$AA$495,(SUMPRODUCT((('CONTROL MASTER'!$S$2:$S$495=14)*('CONTROL MASTER'!$Z$2:$Z$495&lt;=6)*('CONTROL MASTER'!$AB$2:$AB$495&gt;=6)*('CONTROL MASTER'!$AA$2:$AA$495&lt;=1)*('CONTROL MASTER'!$AC$2:$AC$495&gt;=1))*ROW('CONTROL MASTER'!$S$2:$S$495))-(ROW('CONTROL MASTER'!#REF!)-1)))+1)+(1-INDEX('CONTROL MASTER'!$AA$2:$AA$495,(SUMPRODUCT((('CONTROL MASTER'!$S$2:$S$495=14)*('CONTROL MASTER'!$Z$2:$Z$495&lt;=6)*('CONTROL MASTER'!$AB$2:$AB$495&gt;=6)*('CONTROL MASTER'!$AA$2:$AA$495&lt;=1)*('CONTROL MASTER'!$AC$2:$AC$495&gt;=1))*ROW('CONTROL MASTER'!$S$2:$S$495))-(ROW('CONTROL MASTER'!#REF!)-1))))+1)))-1)*50+1,50))&amp;"_"&amp;INDEX('CONTROL MASTER'!$P$2:$P$495,(SUMPRODUCT((('CONTROL MASTER'!$S$2:$S$495=14)*('CONTROL MASTER'!$Z$2:$Z$495&lt;=6)*('CONTROL MASTER'!$AB$2:$AB$495&gt;=6)*('CONTROL MASTER'!$AA$2:$AA$495&lt;=1)*('CONTROL MASTER'!$AC$2:$AC$495&gt;=1))*ROW('CONTROL MASTER'!$S$2:$S$495))-(ROW('CONTROL MASTER'!#REF!)-1))),"")),"")</f>
        <v/>
      </c>
      <c r="C190" s="10" t="str">
        <f>IFERROR(IF(SUMPRODUCT((('CONTROL MASTER'!$S$2:$S$495=14)*('CONTROL MASTER'!$T$2:$T$495&lt;=6)*('CONTROL MASTER'!$V$2:$V$495&gt;=6)*('CONTROL MASTER'!$U$2:$U$495&lt;=2)*('CONTROL MASTER'!$W$2:$W$495&gt;=2))*ROW('CONTROL MASTER'!$S$2:$S$495))&gt;0,INDEX('CONTROL MASTER'!$X$2:$X$495,(SUMPRODUCT((('CONTROL MASTER'!$S$2:$S$495=14)*('CONTROL MASTER'!$T$2:$T$495&lt;=6)*('CONTROL MASTER'!$V$2:$V$495&gt;=6)*('CONTROL MASTER'!$U$2:$U$495&lt;=2)*('CONTROL MASTER'!$W$2:$W$495&gt;=2))*ROW('CONTROL MASTER'!$S$2:$S$495))-(ROW('CONTROL MASTER'!#REF!)-1)))&amp;TRIM(MID(SUBSTITUTE(SUBSTITUTE(INDEX('CONTROL MASTER'!$N$2:$N$495,(SUMPRODUCT((('CONTROL MASTER'!$S$2:$S$495=14)*('CONTROL MASTER'!$T$2:$T$495&lt;=6)*('CONTROL MASTER'!$V$2:$V$495&gt;=6)*('CONTROL MASTER'!$U$2:$U$495&lt;=2)*('CONTROL MASTER'!$W$2:$W$495&gt;=2))*ROW('CONTROL MASTER'!$S$2:$S$495))-(ROW('CONTROL MASTER'!#REF!)-1))),":",","),",",REPT(" ",50)),((((6-INDEX('CONTROL MASTER'!$T$2:$T$495,(SUMPRODUCT((('CONTROL MASTER'!$S$2:$S$495=14)*('CONTROL MASTER'!$T$2:$T$495&lt;=6)*('CONTROL MASTER'!$V$2:$V$495&gt;=6)*('CONTROL MASTER'!$U$2:$U$495&lt;=2)*('CONTROL MASTER'!$W$2:$W$495&gt;=2))*ROW('CONTROL MASTER'!$S$2:$S$495))-(ROW('CONTROL MASTER'!#REF!)-1))))*(INDEX('CONTROL MASTER'!$W$2:$W$495,(SUMPRODUCT((('CONTROL MASTER'!$S$2:$S$495=14)*('CONTROL MASTER'!$T$2:$T$495&lt;=6)*('CONTROL MASTER'!$V$2:$V$495&gt;=6)*('CONTROL MASTER'!$U$2:$U$495&lt;=2)*('CONTROL MASTER'!$W$2:$W$495&gt;=2))*ROW('CONTROL MASTER'!$S$2:$S$495))-(ROW('CONTROL MASTER'!#REF!)-1)))-INDEX('CONTROL MASTER'!$U$2:$U$495,(SUMPRODUCT((('CONTROL MASTER'!$S$2:$S$495=14)*('CONTROL MASTER'!$T$2:$T$495&lt;=6)*('CONTROL MASTER'!$V$2:$V$495&gt;=6)*('CONTROL MASTER'!$U$2:$U$495&lt;=2)*('CONTROL MASTER'!$W$2:$W$495&gt;=2))*ROW('CONTROL MASTER'!$S$2:$S$495))-(ROW('CONTROL MASTER'!#REF!)-1)))+1)+(2-INDEX('CONTROL MASTER'!$U$2:$U$495,(SUMPRODUCT((('CONTROL MASTER'!$S$2:$S$495=14)*('CONTROL MASTER'!$T$2:$T$495&lt;=6)*('CONTROL MASTER'!$V$2:$V$495&gt;=6)*('CONTROL MASTER'!$U$2:$U$495&lt;=2)*('CONTROL MASTER'!$W$2:$W$495&gt;=2))*ROW('CONTROL MASTER'!$S$2:$S$495))-(ROW('CONTROL MASTER'!#REF!)-1))))+1))-1)*50+1,50))&amp;"_"&amp;INDEX('CONTROL MASTER'!$P$2:$P$495,(SUMPRODUCT((('CONTROL MASTER'!$S$2:$S$495=14)*('CONTROL MASTER'!$T$2:$T$495&lt;=6)*('CONTROL MASTER'!$V$2:$V$495&gt;=6)*('CONTROL MASTER'!$U$2:$U$495&lt;=2)*('CONTROL MASTER'!$W$2:$W$495&gt;=2))*ROW('CONTROL MASTER'!$S$2:$S$495))-(ROW('CONTROL MASTER'!#REF!)-1))),IF(SUMPRODUCT((('CONTROL MASTER'!$S$2:$S$495=14)*('CONTROL MASTER'!$Z$2:$Z$495&lt;=6)*('CONTROL MASTER'!$AB$2:$AB$495&gt;=6)*('CONTROL MASTER'!$AA$2:$AA$495&lt;=2)*('CONTROL MASTER'!$AC$2:$AC$495&gt;=2))*ROW('CONTROL MASTER'!$S$2:$S$495))&gt;0,INDEX('CONTROL MASTER'!$X$2:$X$495,(SUMPRODUCT((('CONTROL MASTER'!$S$2:$S$495=14)*('CONTROL MASTER'!$Z$2:$Z$495&lt;=6)*('CONTROL MASTER'!$AB$2:$AB$495&gt;=6)*('CONTROL MASTER'!$AA$2:$AA$495&lt;=2)*('CONTROL MASTER'!$AC$2:$AC$495&gt;=2))*ROW('CONTROL MASTER'!$S$2:$S$495))-(ROW('CONTROL MASTER'!#REF!)-1)))&amp;TRIM(MID(SUBSTITUTE(SUBSTITUTE(INDEX('CONTROL MASTER'!$N$2:$N$495,(SUMPRODUCT((('CONTROL MASTER'!$S$2:$S$495=14)*('CONTROL MASTER'!$Z$2:$Z$495&lt;=6)*('CONTROL MASTER'!$AB$2:$AB$495&gt;=6)*('CONTROL MASTER'!$AA$2:$AA$495&lt;=2)*('CONTROL MASTER'!$AC$2:$AC$495&gt;=2))*ROW('CONTROL MASTER'!$S$2:$S$495))-(ROW('CONTROL MASTER'!#REF!)-1))),":",","),",",REPT(" ",50)),(((INDEX('CONTROL MASTER'!$Y$2:$Y$495,(SUMPRODUCT((('CONTROL MASTER'!$S$2:$S$495=14)*('CONTROL MASTER'!$Z$2:$Z$495&lt;=6)*('CONTROL MASTER'!$AB$2:$AB$495&gt;=6)*('CONTROL MASTER'!$AA$2:$AA$495&lt;=2)*('CONTROL MASTER'!$AC$2:$AC$495&gt;=2))*ROW('CONTROL MASTER'!$S$2:$S$495))-(ROW('CONTROL MASTER'!#REF!)-1)))+((6-INDEX('CONTROL MASTER'!$Z$2:$Z$495,(SUMPRODUCT((('CONTROL MASTER'!$S$2:$S$495=14)*('CONTROL MASTER'!$Z$2:$Z$495&lt;=6)*('CONTROL MASTER'!$AB$2:$AB$495&gt;=6)*('CONTROL MASTER'!$AA$2:$AA$495&lt;=2)*('CONTROL MASTER'!$AC$2:$AC$495&gt;=2))*ROW('CONTROL MASTER'!$S$2:$S$495))-(ROW('CONTROL MASTER'!#REF!)-1))))*(INDEX('CONTROL MASTER'!$AC$2:$AC$495,(SUMPRODUCT((('CONTROL MASTER'!$S$2:$S$495=14)*('CONTROL MASTER'!$Z$2:$Z$495&lt;=6)*('CONTROL MASTER'!$AB$2:$AB$495&gt;=6)*('CONTROL MASTER'!$AA$2:$AA$495&lt;=2)*('CONTROL MASTER'!$AC$2:$AC$495&gt;=2))*ROW('CONTROL MASTER'!$S$2:$S$495))-(ROW('CONTROL MASTER'!#REF!)-1)))-INDEX('CONTROL MASTER'!$AA$2:$AA$495,(SUMPRODUCT((('CONTROL MASTER'!$S$2:$S$495=14)*('CONTROL MASTER'!$Z$2:$Z$495&lt;=6)*('CONTROL MASTER'!$AB$2:$AB$495&gt;=6)*('CONTROL MASTER'!$AA$2:$AA$495&lt;=2)*('CONTROL MASTER'!$AC$2:$AC$495&gt;=2))*ROW('CONTROL MASTER'!$S$2:$S$495))-(ROW('CONTROL MASTER'!#REF!)-1)))+1)+(2-INDEX('CONTROL MASTER'!$AA$2:$AA$495,(SUMPRODUCT((('CONTROL MASTER'!$S$2:$S$495=14)*('CONTROL MASTER'!$Z$2:$Z$495&lt;=6)*('CONTROL MASTER'!$AB$2:$AB$495&gt;=6)*('CONTROL MASTER'!$AA$2:$AA$495&lt;=2)*('CONTROL MASTER'!$AC$2:$AC$495&gt;=2))*ROW('CONTROL MASTER'!$S$2:$S$495))-(ROW('CONTROL MASTER'!#REF!)-1))))+1)))-1)*50+1,50))&amp;"_"&amp;INDEX('CONTROL MASTER'!$P$2:$P$495,(SUMPRODUCT((('CONTROL MASTER'!$S$2:$S$495=14)*('CONTROL MASTER'!$Z$2:$Z$495&lt;=6)*('CONTROL MASTER'!$AB$2:$AB$495&gt;=6)*('CONTROL MASTER'!$AA$2:$AA$495&lt;=2)*('CONTROL MASTER'!$AC$2:$AC$495&gt;=2))*ROW('CONTROL MASTER'!$S$2:$S$495))-(ROW('CONTROL MASTER'!#REF!)-1))),"")),"")</f>
        <v/>
      </c>
      <c r="D190" s="10" t="str">
        <f>IFERROR(IF(SUMPRODUCT((('CONTROL MASTER'!$S$2:$S$495=14)*('CONTROL MASTER'!$T$2:$T$495&lt;=6)*('CONTROL MASTER'!$V$2:$V$495&gt;=6)*('CONTROL MASTER'!$U$2:$U$495&lt;=3)*('CONTROL MASTER'!$W$2:$W$495&gt;=3))*ROW('CONTROL MASTER'!$S$2:$S$495))&gt;0,INDEX('CONTROL MASTER'!$X$2:$X$495,(SUMPRODUCT((('CONTROL MASTER'!$S$2:$S$495=14)*('CONTROL MASTER'!$T$2:$T$495&lt;=6)*('CONTROL MASTER'!$V$2:$V$495&gt;=6)*('CONTROL MASTER'!$U$2:$U$495&lt;=3)*('CONTROL MASTER'!$W$2:$W$495&gt;=3))*ROW('CONTROL MASTER'!$S$2:$S$495))-(ROW('CONTROL MASTER'!#REF!)-1)))&amp;TRIM(MID(SUBSTITUTE(SUBSTITUTE(INDEX('CONTROL MASTER'!$N$2:$N$495,(SUMPRODUCT((('CONTROL MASTER'!$S$2:$S$495=14)*('CONTROL MASTER'!$T$2:$T$495&lt;=6)*('CONTROL MASTER'!$V$2:$V$495&gt;=6)*('CONTROL MASTER'!$U$2:$U$495&lt;=3)*('CONTROL MASTER'!$W$2:$W$495&gt;=3))*ROW('CONTROL MASTER'!$S$2:$S$495))-(ROW('CONTROL MASTER'!#REF!)-1))),":",","),",",REPT(" ",50)),((((6-INDEX('CONTROL MASTER'!$T$2:$T$495,(SUMPRODUCT((('CONTROL MASTER'!$S$2:$S$495=14)*('CONTROL MASTER'!$T$2:$T$495&lt;=6)*('CONTROL MASTER'!$V$2:$V$495&gt;=6)*('CONTROL MASTER'!$U$2:$U$495&lt;=3)*('CONTROL MASTER'!$W$2:$W$495&gt;=3))*ROW('CONTROL MASTER'!$S$2:$S$495))-(ROW('CONTROL MASTER'!#REF!)-1))))*(INDEX('CONTROL MASTER'!$W$2:$W$495,(SUMPRODUCT((('CONTROL MASTER'!$S$2:$S$495=14)*('CONTROL MASTER'!$T$2:$T$495&lt;=6)*('CONTROL MASTER'!$V$2:$V$495&gt;=6)*('CONTROL MASTER'!$U$2:$U$495&lt;=3)*('CONTROL MASTER'!$W$2:$W$495&gt;=3))*ROW('CONTROL MASTER'!$S$2:$S$495))-(ROW('CONTROL MASTER'!#REF!)-1)))-INDEX('CONTROL MASTER'!$U$2:$U$495,(SUMPRODUCT((('CONTROL MASTER'!$S$2:$S$495=14)*('CONTROL MASTER'!$T$2:$T$495&lt;=6)*('CONTROL MASTER'!$V$2:$V$495&gt;=6)*('CONTROL MASTER'!$U$2:$U$495&lt;=3)*('CONTROL MASTER'!$W$2:$W$495&gt;=3))*ROW('CONTROL MASTER'!$S$2:$S$495))-(ROW('CONTROL MASTER'!#REF!)-1)))+1)+(3-INDEX('CONTROL MASTER'!$U$2:$U$495,(SUMPRODUCT((('CONTROL MASTER'!$S$2:$S$495=14)*('CONTROL MASTER'!$T$2:$T$495&lt;=6)*('CONTROL MASTER'!$V$2:$V$495&gt;=6)*('CONTROL MASTER'!$U$2:$U$495&lt;=3)*('CONTROL MASTER'!$W$2:$W$495&gt;=3))*ROW('CONTROL MASTER'!$S$2:$S$495))-(ROW('CONTROL MASTER'!#REF!)-1))))+1))-1)*50+1,50))&amp;"_"&amp;INDEX('CONTROL MASTER'!$P$2:$P$495,(SUMPRODUCT((('CONTROL MASTER'!$S$2:$S$495=14)*('CONTROL MASTER'!$T$2:$T$495&lt;=6)*('CONTROL MASTER'!$V$2:$V$495&gt;=6)*('CONTROL MASTER'!$U$2:$U$495&lt;=3)*('CONTROL MASTER'!$W$2:$W$495&gt;=3))*ROW('CONTROL MASTER'!$S$2:$S$495))-(ROW('CONTROL MASTER'!#REF!)-1))),IF(SUMPRODUCT((('CONTROL MASTER'!$S$2:$S$495=14)*('CONTROL MASTER'!$Z$2:$Z$495&lt;=6)*('CONTROL MASTER'!$AB$2:$AB$495&gt;=6)*('CONTROL MASTER'!$AA$2:$AA$495&lt;=3)*('CONTROL MASTER'!$AC$2:$AC$495&gt;=3))*ROW('CONTROL MASTER'!$S$2:$S$495))&gt;0,INDEX('CONTROL MASTER'!$X$2:$X$495,(SUMPRODUCT((('CONTROL MASTER'!$S$2:$S$495=14)*('CONTROL MASTER'!$Z$2:$Z$495&lt;=6)*('CONTROL MASTER'!$AB$2:$AB$495&gt;=6)*('CONTROL MASTER'!$AA$2:$AA$495&lt;=3)*('CONTROL MASTER'!$AC$2:$AC$495&gt;=3))*ROW('CONTROL MASTER'!$S$2:$S$495))-(ROW('CONTROL MASTER'!#REF!)-1)))&amp;TRIM(MID(SUBSTITUTE(SUBSTITUTE(INDEX('CONTROL MASTER'!$N$2:$N$495,(SUMPRODUCT((('CONTROL MASTER'!$S$2:$S$495=14)*('CONTROL MASTER'!$Z$2:$Z$495&lt;=6)*('CONTROL MASTER'!$AB$2:$AB$495&gt;=6)*('CONTROL MASTER'!$AA$2:$AA$495&lt;=3)*('CONTROL MASTER'!$AC$2:$AC$495&gt;=3))*ROW('CONTROL MASTER'!$S$2:$S$495))-(ROW('CONTROL MASTER'!#REF!)-1))),":",","),",",REPT(" ",50)),(((INDEX('CONTROL MASTER'!$Y$2:$Y$495,(SUMPRODUCT((('CONTROL MASTER'!$S$2:$S$495=14)*('CONTROL MASTER'!$Z$2:$Z$495&lt;=6)*('CONTROL MASTER'!$AB$2:$AB$495&gt;=6)*('CONTROL MASTER'!$AA$2:$AA$495&lt;=3)*('CONTROL MASTER'!$AC$2:$AC$495&gt;=3))*ROW('CONTROL MASTER'!$S$2:$S$495))-(ROW('CONTROL MASTER'!#REF!)-1)))+((6-INDEX('CONTROL MASTER'!$Z$2:$Z$495,(SUMPRODUCT((('CONTROL MASTER'!$S$2:$S$495=14)*('CONTROL MASTER'!$Z$2:$Z$495&lt;=6)*('CONTROL MASTER'!$AB$2:$AB$495&gt;=6)*('CONTROL MASTER'!$AA$2:$AA$495&lt;=3)*('CONTROL MASTER'!$AC$2:$AC$495&gt;=3))*ROW('CONTROL MASTER'!$S$2:$S$495))-(ROW('CONTROL MASTER'!#REF!)-1))))*(INDEX('CONTROL MASTER'!$AC$2:$AC$495,(SUMPRODUCT((('CONTROL MASTER'!$S$2:$S$495=14)*('CONTROL MASTER'!$Z$2:$Z$495&lt;=6)*('CONTROL MASTER'!$AB$2:$AB$495&gt;=6)*('CONTROL MASTER'!$AA$2:$AA$495&lt;=3)*('CONTROL MASTER'!$AC$2:$AC$495&gt;=3))*ROW('CONTROL MASTER'!$S$2:$S$495))-(ROW('CONTROL MASTER'!#REF!)-1)))-INDEX('CONTROL MASTER'!$AA$2:$AA$495,(SUMPRODUCT((('CONTROL MASTER'!$S$2:$S$495=14)*('CONTROL MASTER'!$Z$2:$Z$495&lt;=6)*('CONTROL MASTER'!$AB$2:$AB$495&gt;=6)*('CONTROL MASTER'!$AA$2:$AA$495&lt;=3)*('CONTROL MASTER'!$AC$2:$AC$495&gt;=3))*ROW('CONTROL MASTER'!$S$2:$S$495))-(ROW('CONTROL MASTER'!#REF!)-1)))+1)+(3-INDEX('CONTROL MASTER'!$AA$2:$AA$495,(SUMPRODUCT((('CONTROL MASTER'!$S$2:$S$495=14)*('CONTROL MASTER'!$Z$2:$Z$495&lt;=6)*('CONTROL MASTER'!$AB$2:$AB$495&gt;=6)*('CONTROL MASTER'!$AA$2:$AA$495&lt;=3)*('CONTROL MASTER'!$AC$2:$AC$495&gt;=3))*ROW('CONTROL MASTER'!$S$2:$S$495))-(ROW('CONTROL MASTER'!#REF!)-1))))+1)))-1)*50+1,50))&amp;"_"&amp;INDEX('CONTROL MASTER'!$P$2:$P$495,(SUMPRODUCT((('CONTROL MASTER'!$S$2:$S$495=14)*('CONTROL MASTER'!$Z$2:$Z$495&lt;=6)*('CONTROL MASTER'!$AB$2:$AB$495&gt;=6)*('CONTROL MASTER'!$AA$2:$AA$495&lt;=3)*('CONTROL MASTER'!$AC$2:$AC$495&gt;=3))*ROW('CONTROL MASTER'!$S$2:$S$495))-(ROW('CONTROL MASTER'!#REF!)-1))),"")),"")</f>
        <v/>
      </c>
      <c r="E190" s="10" t="str">
        <f>IFERROR(IF(SUMPRODUCT((('CONTROL MASTER'!$S$2:$S$495=14)*('CONTROL MASTER'!$T$2:$T$495&lt;=6)*('CONTROL MASTER'!$V$2:$V$495&gt;=6)*('CONTROL MASTER'!$U$2:$U$495&lt;=4)*('CONTROL MASTER'!$W$2:$W$495&gt;=4))*ROW('CONTROL MASTER'!$S$2:$S$495))&gt;0,INDEX('CONTROL MASTER'!$X$2:$X$495,(SUMPRODUCT((('CONTROL MASTER'!$S$2:$S$495=14)*('CONTROL MASTER'!$T$2:$T$495&lt;=6)*('CONTROL MASTER'!$V$2:$V$495&gt;=6)*('CONTROL MASTER'!$U$2:$U$495&lt;=4)*('CONTROL MASTER'!$W$2:$W$495&gt;=4))*ROW('CONTROL MASTER'!$S$2:$S$495))-(ROW('CONTROL MASTER'!#REF!)-1)))&amp;TRIM(MID(SUBSTITUTE(SUBSTITUTE(INDEX('CONTROL MASTER'!$N$2:$N$495,(SUMPRODUCT((('CONTROL MASTER'!$S$2:$S$495=14)*('CONTROL MASTER'!$T$2:$T$495&lt;=6)*('CONTROL MASTER'!$V$2:$V$495&gt;=6)*('CONTROL MASTER'!$U$2:$U$495&lt;=4)*('CONTROL MASTER'!$W$2:$W$495&gt;=4))*ROW('CONTROL MASTER'!$S$2:$S$495))-(ROW('CONTROL MASTER'!#REF!)-1))),":",","),",",REPT(" ",50)),((((6-INDEX('CONTROL MASTER'!$T$2:$T$495,(SUMPRODUCT((('CONTROL MASTER'!$S$2:$S$495=14)*('CONTROL MASTER'!$T$2:$T$495&lt;=6)*('CONTROL MASTER'!$V$2:$V$495&gt;=6)*('CONTROL MASTER'!$U$2:$U$495&lt;=4)*('CONTROL MASTER'!$W$2:$W$495&gt;=4))*ROW('CONTROL MASTER'!$S$2:$S$495))-(ROW('CONTROL MASTER'!#REF!)-1))))*(INDEX('CONTROL MASTER'!$W$2:$W$495,(SUMPRODUCT((('CONTROL MASTER'!$S$2:$S$495=14)*('CONTROL MASTER'!$T$2:$T$495&lt;=6)*('CONTROL MASTER'!$V$2:$V$495&gt;=6)*('CONTROL MASTER'!$U$2:$U$495&lt;=4)*('CONTROL MASTER'!$W$2:$W$495&gt;=4))*ROW('CONTROL MASTER'!$S$2:$S$495))-(ROW('CONTROL MASTER'!#REF!)-1)))-INDEX('CONTROL MASTER'!$U$2:$U$495,(SUMPRODUCT((('CONTROL MASTER'!$S$2:$S$495=14)*('CONTROL MASTER'!$T$2:$T$495&lt;=6)*('CONTROL MASTER'!$V$2:$V$495&gt;=6)*('CONTROL MASTER'!$U$2:$U$495&lt;=4)*('CONTROL MASTER'!$W$2:$W$495&gt;=4))*ROW('CONTROL MASTER'!$S$2:$S$495))-(ROW('CONTROL MASTER'!#REF!)-1)))+1)+(4-INDEX('CONTROL MASTER'!$U$2:$U$495,(SUMPRODUCT((('CONTROL MASTER'!$S$2:$S$495=14)*('CONTROL MASTER'!$T$2:$T$495&lt;=6)*('CONTROL MASTER'!$V$2:$V$495&gt;=6)*('CONTROL MASTER'!$U$2:$U$495&lt;=4)*('CONTROL MASTER'!$W$2:$W$495&gt;=4))*ROW('CONTROL MASTER'!$S$2:$S$495))-(ROW('CONTROL MASTER'!#REF!)-1))))+1))-1)*50+1,50))&amp;"_"&amp;INDEX('CONTROL MASTER'!$P$2:$P$495,(SUMPRODUCT((('CONTROL MASTER'!$S$2:$S$495=14)*('CONTROL MASTER'!$T$2:$T$495&lt;=6)*('CONTROL MASTER'!$V$2:$V$495&gt;=6)*('CONTROL MASTER'!$U$2:$U$495&lt;=4)*('CONTROL MASTER'!$W$2:$W$495&gt;=4))*ROW('CONTROL MASTER'!$S$2:$S$495))-(ROW('CONTROL MASTER'!#REF!)-1))),IF(SUMPRODUCT((('CONTROL MASTER'!$S$2:$S$495=14)*('CONTROL MASTER'!$Z$2:$Z$495&lt;=6)*('CONTROL MASTER'!$AB$2:$AB$495&gt;=6)*('CONTROL MASTER'!$AA$2:$AA$495&lt;=4)*('CONTROL MASTER'!$AC$2:$AC$495&gt;=4))*ROW('CONTROL MASTER'!$S$2:$S$495))&gt;0,INDEX('CONTROL MASTER'!$X$2:$X$495,(SUMPRODUCT((('CONTROL MASTER'!$S$2:$S$495=14)*('CONTROL MASTER'!$Z$2:$Z$495&lt;=6)*('CONTROL MASTER'!$AB$2:$AB$495&gt;=6)*('CONTROL MASTER'!$AA$2:$AA$495&lt;=4)*('CONTROL MASTER'!$AC$2:$AC$495&gt;=4))*ROW('CONTROL MASTER'!$S$2:$S$495))-(ROW('CONTROL MASTER'!#REF!)-1)))&amp;TRIM(MID(SUBSTITUTE(SUBSTITUTE(INDEX('CONTROL MASTER'!$N$2:$N$495,(SUMPRODUCT((('CONTROL MASTER'!$S$2:$S$495=14)*('CONTROL MASTER'!$Z$2:$Z$495&lt;=6)*('CONTROL MASTER'!$AB$2:$AB$495&gt;=6)*('CONTROL MASTER'!$AA$2:$AA$495&lt;=4)*('CONTROL MASTER'!$AC$2:$AC$495&gt;=4))*ROW('CONTROL MASTER'!$S$2:$S$495))-(ROW('CONTROL MASTER'!#REF!)-1))),":",","),",",REPT(" ",50)),(((INDEX('CONTROL MASTER'!$Y$2:$Y$495,(SUMPRODUCT((('CONTROL MASTER'!$S$2:$S$495=14)*('CONTROL MASTER'!$Z$2:$Z$495&lt;=6)*('CONTROL MASTER'!$AB$2:$AB$495&gt;=6)*('CONTROL MASTER'!$AA$2:$AA$495&lt;=4)*('CONTROL MASTER'!$AC$2:$AC$495&gt;=4))*ROW('CONTROL MASTER'!$S$2:$S$495))-(ROW('CONTROL MASTER'!#REF!)-1)))+((6-INDEX('CONTROL MASTER'!$Z$2:$Z$495,(SUMPRODUCT((('CONTROL MASTER'!$S$2:$S$495=14)*('CONTROL MASTER'!$Z$2:$Z$495&lt;=6)*('CONTROL MASTER'!$AB$2:$AB$495&gt;=6)*('CONTROL MASTER'!$AA$2:$AA$495&lt;=4)*('CONTROL MASTER'!$AC$2:$AC$495&gt;=4))*ROW('CONTROL MASTER'!$S$2:$S$495))-(ROW('CONTROL MASTER'!#REF!)-1))))*(INDEX('CONTROL MASTER'!$AC$2:$AC$495,(SUMPRODUCT((('CONTROL MASTER'!$S$2:$S$495=14)*('CONTROL MASTER'!$Z$2:$Z$495&lt;=6)*('CONTROL MASTER'!$AB$2:$AB$495&gt;=6)*('CONTROL MASTER'!$AA$2:$AA$495&lt;=4)*('CONTROL MASTER'!$AC$2:$AC$495&gt;=4))*ROW('CONTROL MASTER'!$S$2:$S$495))-(ROW('CONTROL MASTER'!#REF!)-1)))-INDEX('CONTROL MASTER'!$AA$2:$AA$495,(SUMPRODUCT((('CONTROL MASTER'!$S$2:$S$495=14)*('CONTROL MASTER'!$Z$2:$Z$495&lt;=6)*('CONTROL MASTER'!$AB$2:$AB$495&gt;=6)*('CONTROL MASTER'!$AA$2:$AA$495&lt;=4)*('CONTROL MASTER'!$AC$2:$AC$495&gt;=4))*ROW('CONTROL MASTER'!$S$2:$S$495))-(ROW('CONTROL MASTER'!#REF!)-1)))+1)+(4-INDEX('CONTROL MASTER'!$AA$2:$AA$495,(SUMPRODUCT((('CONTROL MASTER'!$S$2:$S$495=14)*('CONTROL MASTER'!$Z$2:$Z$495&lt;=6)*('CONTROL MASTER'!$AB$2:$AB$495&gt;=6)*('CONTROL MASTER'!$AA$2:$AA$495&lt;=4)*('CONTROL MASTER'!$AC$2:$AC$495&gt;=4))*ROW('CONTROL MASTER'!$S$2:$S$495))-(ROW('CONTROL MASTER'!#REF!)-1))))+1)))-1)*50+1,50))&amp;"_"&amp;INDEX('CONTROL MASTER'!$P$2:$P$495,(SUMPRODUCT((('CONTROL MASTER'!$S$2:$S$495=14)*('CONTROL MASTER'!$Z$2:$Z$495&lt;=6)*('CONTROL MASTER'!$AB$2:$AB$495&gt;=6)*('CONTROL MASTER'!$AA$2:$AA$495&lt;=4)*('CONTROL MASTER'!$AC$2:$AC$495&gt;=4))*ROW('CONTROL MASTER'!$S$2:$S$495))-(ROW('CONTROL MASTER'!#REF!)-1))),"")),"")</f>
        <v/>
      </c>
      <c r="F190" s="10" t="str">
        <f>IFERROR(IF(SUMPRODUCT((('CONTROL MASTER'!$S$2:$S$495=14)*('CONTROL MASTER'!$T$2:$T$495&lt;=6)*('CONTROL MASTER'!$V$2:$V$495&gt;=6)*('CONTROL MASTER'!$U$2:$U$495&lt;=5)*('CONTROL MASTER'!$W$2:$W$495&gt;=5))*ROW('CONTROL MASTER'!$S$2:$S$495))&gt;0,INDEX('CONTROL MASTER'!$X$2:$X$495,(SUMPRODUCT((('CONTROL MASTER'!$S$2:$S$495=14)*('CONTROL MASTER'!$T$2:$T$495&lt;=6)*('CONTROL MASTER'!$V$2:$V$495&gt;=6)*('CONTROL MASTER'!$U$2:$U$495&lt;=5)*('CONTROL MASTER'!$W$2:$W$495&gt;=5))*ROW('CONTROL MASTER'!$S$2:$S$495))-(ROW('CONTROL MASTER'!#REF!)-1)))&amp;TRIM(MID(SUBSTITUTE(SUBSTITUTE(INDEX('CONTROL MASTER'!$N$2:$N$495,(SUMPRODUCT((('CONTROL MASTER'!$S$2:$S$495=14)*('CONTROL MASTER'!$T$2:$T$495&lt;=6)*('CONTROL MASTER'!$V$2:$V$495&gt;=6)*('CONTROL MASTER'!$U$2:$U$495&lt;=5)*('CONTROL MASTER'!$W$2:$W$495&gt;=5))*ROW('CONTROL MASTER'!$S$2:$S$495))-(ROW('CONTROL MASTER'!#REF!)-1))),":",","),",",REPT(" ",50)),((((6-INDEX('CONTROL MASTER'!$T$2:$T$495,(SUMPRODUCT((('CONTROL MASTER'!$S$2:$S$495=14)*('CONTROL MASTER'!$T$2:$T$495&lt;=6)*('CONTROL MASTER'!$V$2:$V$495&gt;=6)*('CONTROL MASTER'!$U$2:$U$495&lt;=5)*('CONTROL MASTER'!$W$2:$W$495&gt;=5))*ROW('CONTROL MASTER'!$S$2:$S$495))-(ROW('CONTROL MASTER'!#REF!)-1))))*(INDEX('CONTROL MASTER'!$W$2:$W$495,(SUMPRODUCT((('CONTROL MASTER'!$S$2:$S$495=14)*('CONTROL MASTER'!$T$2:$T$495&lt;=6)*('CONTROL MASTER'!$V$2:$V$495&gt;=6)*('CONTROL MASTER'!$U$2:$U$495&lt;=5)*('CONTROL MASTER'!$W$2:$W$495&gt;=5))*ROW('CONTROL MASTER'!$S$2:$S$495))-(ROW('CONTROL MASTER'!#REF!)-1)))-INDEX('CONTROL MASTER'!$U$2:$U$495,(SUMPRODUCT((('CONTROL MASTER'!$S$2:$S$495=14)*('CONTROL MASTER'!$T$2:$T$495&lt;=6)*('CONTROL MASTER'!$V$2:$V$495&gt;=6)*('CONTROL MASTER'!$U$2:$U$495&lt;=5)*('CONTROL MASTER'!$W$2:$W$495&gt;=5))*ROW('CONTROL MASTER'!$S$2:$S$495))-(ROW('CONTROL MASTER'!#REF!)-1)))+1)+(5-INDEX('CONTROL MASTER'!$U$2:$U$495,(SUMPRODUCT((('CONTROL MASTER'!$S$2:$S$495=14)*('CONTROL MASTER'!$T$2:$T$495&lt;=6)*('CONTROL MASTER'!$V$2:$V$495&gt;=6)*('CONTROL MASTER'!$U$2:$U$495&lt;=5)*('CONTROL MASTER'!$W$2:$W$495&gt;=5))*ROW('CONTROL MASTER'!$S$2:$S$495))-(ROW('CONTROL MASTER'!#REF!)-1))))+1))-1)*50+1,50))&amp;"_"&amp;INDEX('CONTROL MASTER'!$P$2:$P$495,(SUMPRODUCT((('CONTROL MASTER'!$S$2:$S$495=14)*('CONTROL MASTER'!$T$2:$T$495&lt;=6)*('CONTROL MASTER'!$V$2:$V$495&gt;=6)*('CONTROL MASTER'!$U$2:$U$495&lt;=5)*('CONTROL MASTER'!$W$2:$W$495&gt;=5))*ROW('CONTROL MASTER'!$S$2:$S$495))-(ROW('CONTROL MASTER'!#REF!)-1))),IF(SUMPRODUCT((('CONTROL MASTER'!$S$2:$S$495=14)*('CONTROL MASTER'!$Z$2:$Z$495&lt;=6)*('CONTROL MASTER'!$AB$2:$AB$495&gt;=6)*('CONTROL MASTER'!$AA$2:$AA$495&lt;=5)*('CONTROL MASTER'!$AC$2:$AC$495&gt;=5))*ROW('CONTROL MASTER'!$S$2:$S$495))&gt;0,INDEX('CONTROL MASTER'!$X$2:$X$495,(SUMPRODUCT((('CONTROL MASTER'!$S$2:$S$495=14)*('CONTROL MASTER'!$Z$2:$Z$495&lt;=6)*('CONTROL MASTER'!$AB$2:$AB$495&gt;=6)*('CONTROL MASTER'!$AA$2:$AA$495&lt;=5)*('CONTROL MASTER'!$AC$2:$AC$495&gt;=5))*ROW('CONTROL MASTER'!$S$2:$S$495))-(ROW('CONTROL MASTER'!#REF!)-1)))&amp;TRIM(MID(SUBSTITUTE(SUBSTITUTE(INDEX('CONTROL MASTER'!$N$2:$N$495,(SUMPRODUCT((('CONTROL MASTER'!$S$2:$S$495=14)*('CONTROL MASTER'!$Z$2:$Z$495&lt;=6)*('CONTROL MASTER'!$AB$2:$AB$495&gt;=6)*('CONTROL MASTER'!$AA$2:$AA$495&lt;=5)*('CONTROL MASTER'!$AC$2:$AC$495&gt;=5))*ROW('CONTROL MASTER'!$S$2:$S$495))-(ROW('CONTROL MASTER'!#REF!)-1))),":",","),",",REPT(" ",50)),(((INDEX('CONTROL MASTER'!$Y$2:$Y$495,(SUMPRODUCT((('CONTROL MASTER'!$S$2:$S$495=14)*('CONTROL MASTER'!$Z$2:$Z$495&lt;=6)*('CONTROL MASTER'!$AB$2:$AB$495&gt;=6)*('CONTROL MASTER'!$AA$2:$AA$495&lt;=5)*('CONTROL MASTER'!$AC$2:$AC$495&gt;=5))*ROW('CONTROL MASTER'!$S$2:$S$495))-(ROW('CONTROL MASTER'!#REF!)-1)))+((6-INDEX('CONTROL MASTER'!$Z$2:$Z$495,(SUMPRODUCT((('CONTROL MASTER'!$S$2:$S$495=14)*('CONTROL MASTER'!$Z$2:$Z$495&lt;=6)*('CONTROL MASTER'!$AB$2:$AB$495&gt;=6)*('CONTROL MASTER'!$AA$2:$AA$495&lt;=5)*('CONTROL MASTER'!$AC$2:$AC$495&gt;=5))*ROW('CONTROL MASTER'!$S$2:$S$495))-(ROW('CONTROL MASTER'!#REF!)-1))))*(INDEX('CONTROL MASTER'!$AC$2:$AC$495,(SUMPRODUCT((('CONTROL MASTER'!$S$2:$S$495=14)*('CONTROL MASTER'!$Z$2:$Z$495&lt;=6)*('CONTROL MASTER'!$AB$2:$AB$495&gt;=6)*('CONTROL MASTER'!$AA$2:$AA$495&lt;=5)*('CONTROL MASTER'!$AC$2:$AC$495&gt;=5))*ROW('CONTROL MASTER'!$S$2:$S$495))-(ROW('CONTROL MASTER'!#REF!)-1)))-INDEX('CONTROL MASTER'!$AA$2:$AA$495,(SUMPRODUCT((('CONTROL MASTER'!$S$2:$S$495=14)*('CONTROL MASTER'!$Z$2:$Z$495&lt;=6)*('CONTROL MASTER'!$AB$2:$AB$495&gt;=6)*('CONTROL MASTER'!$AA$2:$AA$495&lt;=5)*('CONTROL MASTER'!$AC$2:$AC$495&gt;=5))*ROW('CONTROL MASTER'!$S$2:$S$495))-(ROW('CONTROL MASTER'!#REF!)-1)))+1)+(5-INDEX('CONTROL MASTER'!$AA$2:$AA$495,(SUMPRODUCT((('CONTROL MASTER'!$S$2:$S$495=14)*('CONTROL MASTER'!$Z$2:$Z$495&lt;=6)*('CONTROL MASTER'!$AB$2:$AB$495&gt;=6)*('CONTROL MASTER'!$AA$2:$AA$495&lt;=5)*('CONTROL MASTER'!$AC$2:$AC$495&gt;=5))*ROW('CONTROL MASTER'!$S$2:$S$495))-(ROW('CONTROL MASTER'!#REF!)-1))))+1)))-1)*50+1,50))&amp;"_"&amp;INDEX('CONTROL MASTER'!$P$2:$P$495,(SUMPRODUCT((('CONTROL MASTER'!$S$2:$S$495=14)*('CONTROL MASTER'!$Z$2:$Z$495&lt;=6)*('CONTROL MASTER'!$AB$2:$AB$495&gt;=6)*('CONTROL MASTER'!$AA$2:$AA$495&lt;=5)*('CONTROL MASTER'!$AC$2:$AC$495&gt;=5))*ROW('CONTROL MASTER'!$S$2:$S$495))-(ROW('CONTROL MASTER'!#REF!)-1))),"")),"")</f>
        <v/>
      </c>
      <c r="G190" s="10" t="str">
        <f>IFERROR(IF(SUMPRODUCT((('CONTROL MASTER'!$S$2:$S$495=14)*('CONTROL MASTER'!$T$2:$T$495&lt;=6)*('CONTROL MASTER'!$V$2:$V$495&gt;=6)*('CONTROL MASTER'!$U$2:$U$495&lt;=6)*('CONTROL MASTER'!$W$2:$W$495&gt;=6))*ROW('CONTROL MASTER'!$S$2:$S$495))&gt;0,INDEX('CONTROL MASTER'!$X$2:$X$495,(SUMPRODUCT((('CONTROL MASTER'!$S$2:$S$495=14)*('CONTROL MASTER'!$T$2:$T$495&lt;=6)*('CONTROL MASTER'!$V$2:$V$495&gt;=6)*('CONTROL MASTER'!$U$2:$U$495&lt;=6)*('CONTROL MASTER'!$W$2:$W$495&gt;=6))*ROW('CONTROL MASTER'!$S$2:$S$495))-(ROW('CONTROL MASTER'!#REF!)-1)))&amp;TRIM(MID(SUBSTITUTE(SUBSTITUTE(INDEX('CONTROL MASTER'!$N$2:$N$495,(SUMPRODUCT((('CONTROL MASTER'!$S$2:$S$495=14)*('CONTROL MASTER'!$T$2:$T$495&lt;=6)*('CONTROL MASTER'!$V$2:$V$495&gt;=6)*('CONTROL MASTER'!$U$2:$U$495&lt;=6)*('CONTROL MASTER'!$W$2:$W$495&gt;=6))*ROW('CONTROL MASTER'!$S$2:$S$495))-(ROW('CONTROL MASTER'!#REF!)-1))),":",","),",",REPT(" ",50)),((((6-INDEX('CONTROL MASTER'!$T$2:$T$495,(SUMPRODUCT((('CONTROL MASTER'!$S$2:$S$495=14)*('CONTROL MASTER'!$T$2:$T$495&lt;=6)*('CONTROL MASTER'!$V$2:$V$495&gt;=6)*('CONTROL MASTER'!$U$2:$U$495&lt;=6)*('CONTROL MASTER'!$W$2:$W$495&gt;=6))*ROW('CONTROL MASTER'!$S$2:$S$495))-(ROW('CONTROL MASTER'!#REF!)-1))))*(INDEX('CONTROL MASTER'!$W$2:$W$495,(SUMPRODUCT((('CONTROL MASTER'!$S$2:$S$495=14)*('CONTROL MASTER'!$T$2:$T$495&lt;=6)*('CONTROL MASTER'!$V$2:$V$495&gt;=6)*('CONTROL MASTER'!$U$2:$U$495&lt;=6)*('CONTROL MASTER'!$W$2:$W$495&gt;=6))*ROW('CONTROL MASTER'!$S$2:$S$495))-(ROW('CONTROL MASTER'!#REF!)-1)))-INDEX('CONTROL MASTER'!$U$2:$U$495,(SUMPRODUCT((('CONTROL MASTER'!$S$2:$S$495=14)*('CONTROL MASTER'!$T$2:$T$495&lt;=6)*('CONTROL MASTER'!$V$2:$V$495&gt;=6)*('CONTROL MASTER'!$U$2:$U$495&lt;=6)*('CONTROL MASTER'!$W$2:$W$495&gt;=6))*ROW('CONTROL MASTER'!$S$2:$S$495))-(ROW('CONTROL MASTER'!#REF!)-1)))+1)+(6-INDEX('CONTROL MASTER'!$U$2:$U$495,(SUMPRODUCT((('CONTROL MASTER'!$S$2:$S$495=14)*('CONTROL MASTER'!$T$2:$T$495&lt;=6)*('CONTROL MASTER'!$V$2:$V$495&gt;=6)*('CONTROL MASTER'!$U$2:$U$495&lt;=6)*('CONTROL MASTER'!$W$2:$W$495&gt;=6))*ROW('CONTROL MASTER'!$S$2:$S$495))-(ROW('CONTROL MASTER'!#REF!)-1))))+1))-1)*50+1,50))&amp;"_"&amp;INDEX('CONTROL MASTER'!$P$2:$P$495,(SUMPRODUCT((('CONTROL MASTER'!$S$2:$S$495=14)*('CONTROL MASTER'!$T$2:$T$495&lt;=6)*('CONTROL MASTER'!$V$2:$V$495&gt;=6)*('CONTROL MASTER'!$U$2:$U$495&lt;=6)*('CONTROL MASTER'!$W$2:$W$495&gt;=6))*ROW('CONTROL MASTER'!$S$2:$S$495))-(ROW('CONTROL MASTER'!#REF!)-1))),IF(SUMPRODUCT((('CONTROL MASTER'!$S$2:$S$495=14)*('CONTROL MASTER'!$Z$2:$Z$495&lt;=6)*('CONTROL MASTER'!$AB$2:$AB$495&gt;=6)*('CONTROL MASTER'!$AA$2:$AA$495&lt;=6)*('CONTROL MASTER'!$AC$2:$AC$495&gt;=6))*ROW('CONTROL MASTER'!$S$2:$S$495))&gt;0,INDEX('CONTROL MASTER'!$X$2:$X$495,(SUMPRODUCT((('CONTROL MASTER'!$S$2:$S$495=14)*('CONTROL MASTER'!$Z$2:$Z$495&lt;=6)*('CONTROL MASTER'!$AB$2:$AB$495&gt;=6)*('CONTROL MASTER'!$AA$2:$AA$495&lt;=6)*('CONTROL MASTER'!$AC$2:$AC$495&gt;=6))*ROW('CONTROL MASTER'!$S$2:$S$495))-(ROW('CONTROL MASTER'!#REF!)-1)))&amp;TRIM(MID(SUBSTITUTE(SUBSTITUTE(INDEX('CONTROL MASTER'!$N$2:$N$495,(SUMPRODUCT((('CONTROL MASTER'!$S$2:$S$495=14)*('CONTROL MASTER'!$Z$2:$Z$495&lt;=6)*('CONTROL MASTER'!$AB$2:$AB$495&gt;=6)*('CONTROL MASTER'!$AA$2:$AA$495&lt;=6)*('CONTROL MASTER'!$AC$2:$AC$495&gt;=6))*ROW('CONTROL MASTER'!$S$2:$S$495))-(ROW('CONTROL MASTER'!#REF!)-1))),":",","),",",REPT(" ",50)),(((INDEX('CONTROL MASTER'!$Y$2:$Y$495,(SUMPRODUCT((('CONTROL MASTER'!$S$2:$S$495=14)*('CONTROL MASTER'!$Z$2:$Z$495&lt;=6)*('CONTROL MASTER'!$AB$2:$AB$495&gt;=6)*('CONTROL MASTER'!$AA$2:$AA$495&lt;=6)*('CONTROL MASTER'!$AC$2:$AC$495&gt;=6))*ROW('CONTROL MASTER'!$S$2:$S$495))-(ROW('CONTROL MASTER'!#REF!)-1)))+((6-INDEX('CONTROL MASTER'!$Z$2:$Z$495,(SUMPRODUCT((('CONTROL MASTER'!$S$2:$S$495=14)*('CONTROL MASTER'!$Z$2:$Z$495&lt;=6)*('CONTROL MASTER'!$AB$2:$AB$495&gt;=6)*('CONTROL MASTER'!$AA$2:$AA$495&lt;=6)*('CONTROL MASTER'!$AC$2:$AC$495&gt;=6))*ROW('CONTROL MASTER'!$S$2:$S$495))-(ROW('CONTROL MASTER'!#REF!)-1))))*(INDEX('CONTROL MASTER'!$AC$2:$AC$495,(SUMPRODUCT((('CONTROL MASTER'!$S$2:$S$495=14)*('CONTROL MASTER'!$Z$2:$Z$495&lt;=6)*('CONTROL MASTER'!$AB$2:$AB$495&gt;=6)*('CONTROL MASTER'!$AA$2:$AA$495&lt;=6)*('CONTROL MASTER'!$AC$2:$AC$495&gt;=6))*ROW('CONTROL MASTER'!$S$2:$S$495))-(ROW('CONTROL MASTER'!#REF!)-1)))-INDEX('CONTROL MASTER'!$AA$2:$AA$495,(SUMPRODUCT((('CONTROL MASTER'!$S$2:$S$495=14)*('CONTROL MASTER'!$Z$2:$Z$495&lt;=6)*('CONTROL MASTER'!$AB$2:$AB$495&gt;=6)*('CONTROL MASTER'!$AA$2:$AA$495&lt;=6)*('CONTROL MASTER'!$AC$2:$AC$495&gt;=6))*ROW('CONTROL MASTER'!$S$2:$S$495))-(ROW('CONTROL MASTER'!#REF!)-1)))+1)+(6-INDEX('CONTROL MASTER'!$AA$2:$AA$495,(SUMPRODUCT((('CONTROL MASTER'!$S$2:$S$495=14)*('CONTROL MASTER'!$Z$2:$Z$495&lt;=6)*('CONTROL MASTER'!$AB$2:$AB$495&gt;=6)*('CONTROL MASTER'!$AA$2:$AA$495&lt;=6)*('CONTROL MASTER'!$AC$2:$AC$495&gt;=6))*ROW('CONTROL MASTER'!$S$2:$S$495))-(ROW('CONTROL MASTER'!#REF!)-1))))+1)))-1)*50+1,50))&amp;"_"&amp;INDEX('CONTROL MASTER'!$P$2:$P$495,(SUMPRODUCT((('CONTROL MASTER'!$S$2:$S$495=14)*('CONTROL MASTER'!$Z$2:$Z$495&lt;=6)*('CONTROL MASTER'!$AB$2:$AB$495&gt;=6)*('CONTROL MASTER'!$AA$2:$AA$495&lt;=6)*('CONTROL MASTER'!$AC$2:$AC$495&gt;=6))*ROW('CONTROL MASTER'!$S$2:$S$495))-(ROW('CONTROL MASTER'!#REF!)-1))),"")),"")</f>
        <v/>
      </c>
      <c r="H190" s="10" t="str">
        <f>IFERROR(IF(SUMPRODUCT((('CONTROL MASTER'!$S$2:$S$495=14)*('CONTROL MASTER'!$T$2:$T$495&lt;=6)*('CONTROL MASTER'!$V$2:$V$495&gt;=6)*('CONTROL MASTER'!$U$2:$U$495&lt;=7)*('CONTROL MASTER'!$W$2:$W$495&gt;=7))*ROW('CONTROL MASTER'!$S$2:$S$495))&gt;0,INDEX('CONTROL MASTER'!$X$2:$X$495,(SUMPRODUCT((('CONTROL MASTER'!$S$2:$S$495=14)*('CONTROL MASTER'!$T$2:$T$495&lt;=6)*('CONTROL MASTER'!$V$2:$V$495&gt;=6)*('CONTROL MASTER'!$U$2:$U$495&lt;=7)*('CONTROL MASTER'!$W$2:$W$495&gt;=7))*ROW('CONTROL MASTER'!$S$2:$S$495))-(ROW('CONTROL MASTER'!#REF!)-1)))&amp;TRIM(MID(SUBSTITUTE(SUBSTITUTE(INDEX('CONTROL MASTER'!$N$2:$N$495,(SUMPRODUCT((('CONTROL MASTER'!$S$2:$S$495=14)*('CONTROL MASTER'!$T$2:$T$495&lt;=6)*('CONTROL MASTER'!$V$2:$V$495&gt;=6)*('CONTROL MASTER'!$U$2:$U$495&lt;=7)*('CONTROL MASTER'!$W$2:$W$495&gt;=7))*ROW('CONTROL MASTER'!$S$2:$S$495))-(ROW('CONTROL MASTER'!#REF!)-1))),":",","),",",REPT(" ",50)),((((6-INDEX('CONTROL MASTER'!$T$2:$T$495,(SUMPRODUCT((('CONTROL MASTER'!$S$2:$S$495=14)*('CONTROL MASTER'!$T$2:$T$495&lt;=6)*('CONTROL MASTER'!$V$2:$V$495&gt;=6)*('CONTROL MASTER'!$U$2:$U$495&lt;=7)*('CONTROL MASTER'!$W$2:$W$495&gt;=7))*ROW('CONTROL MASTER'!$S$2:$S$495))-(ROW('CONTROL MASTER'!#REF!)-1))))*(INDEX('CONTROL MASTER'!$W$2:$W$495,(SUMPRODUCT((('CONTROL MASTER'!$S$2:$S$495=14)*('CONTROL MASTER'!$T$2:$T$495&lt;=6)*('CONTROL MASTER'!$V$2:$V$495&gt;=6)*('CONTROL MASTER'!$U$2:$U$495&lt;=7)*('CONTROL MASTER'!$W$2:$W$495&gt;=7))*ROW('CONTROL MASTER'!$S$2:$S$495))-(ROW('CONTROL MASTER'!#REF!)-1)))-INDEX('CONTROL MASTER'!$U$2:$U$495,(SUMPRODUCT((('CONTROL MASTER'!$S$2:$S$495=14)*('CONTROL MASTER'!$T$2:$T$495&lt;=6)*('CONTROL MASTER'!$V$2:$V$495&gt;=6)*('CONTROL MASTER'!$U$2:$U$495&lt;=7)*('CONTROL MASTER'!$W$2:$W$495&gt;=7))*ROW('CONTROL MASTER'!$S$2:$S$495))-(ROW('CONTROL MASTER'!#REF!)-1)))+1)+(7-INDEX('CONTROL MASTER'!$U$2:$U$495,(SUMPRODUCT((('CONTROL MASTER'!$S$2:$S$495=14)*('CONTROL MASTER'!$T$2:$T$495&lt;=6)*('CONTROL MASTER'!$V$2:$V$495&gt;=6)*('CONTROL MASTER'!$U$2:$U$495&lt;=7)*('CONTROL MASTER'!$W$2:$W$495&gt;=7))*ROW('CONTROL MASTER'!$S$2:$S$495))-(ROW('CONTROL MASTER'!#REF!)-1))))+1))-1)*50+1,50))&amp;"_"&amp;INDEX('CONTROL MASTER'!$P$2:$P$495,(SUMPRODUCT((('CONTROL MASTER'!$S$2:$S$495=14)*('CONTROL MASTER'!$T$2:$T$495&lt;=6)*('CONTROL MASTER'!$V$2:$V$495&gt;=6)*('CONTROL MASTER'!$U$2:$U$495&lt;=7)*('CONTROL MASTER'!$W$2:$W$495&gt;=7))*ROW('CONTROL MASTER'!$S$2:$S$495))-(ROW('CONTROL MASTER'!#REF!)-1))),IF(SUMPRODUCT((('CONTROL MASTER'!$S$2:$S$495=14)*('CONTROL MASTER'!$Z$2:$Z$495&lt;=6)*('CONTROL MASTER'!$AB$2:$AB$495&gt;=6)*('CONTROL MASTER'!$AA$2:$AA$495&lt;=7)*('CONTROL MASTER'!$AC$2:$AC$495&gt;=7))*ROW('CONTROL MASTER'!$S$2:$S$495))&gt;0,INDEX('CONTROL MASTER'!$X$2:$X$495,(SUMPRODUCT((('CONTROL MASTER'!$S$2:$S$495=14)*('CONTROL MASTER'!$Z$2:$Z$495&lt;=6)*('CONTROL MASTER'!$AB$2:$AB$495&gt;=6)*('CONTROL MASTER'!$AA$2:$AA$495&lt;=7)*('CONTROL MASTER'!$AC$2:$AC$495&gt;=7))*ROW('CONTROL MASTER'!$S$2:$S$495))-(ROW('CONTROL MASTER'!#REF!)-1)))&amp;TRIM(MID(SUBSTITUTE(SUBSTITUTE(INDEX('CONTROL MASTER'!$N$2:$N$495,(SUMPRODUCT((('CONTROL MASTER'!$S$2:$S$495=14)*('CONTROL MASTER'!$Z$2:$Z$495&lt;=6)*('CONTROL MASTER'!$AB$2:$AB$495&gt;=6)*('CONTROL MASTER'!$AA$2:$AA$495&lt;=7)*('CONTROL MASTER'!$AC$2:$AC$495&gt;=7))*ROW('CONTROL MASTER'!$S$2:$S$495))-(ROW('CONTROL MASTER'!#REF!)-1))),":",","),",",REPT(" ",50)),(((INDEX('CONTROL MASTER'!$Y$2:$Y$495,(SUMPRODUCT((('CONTROL MASTER'!$S$2:$S$495=14)*('CONTROL MASTER'!$Z$2:$Z$495&lt;=6)*('CONTROL MASTER'!$AB$2:$AB$495&gt;=6)*('CONTROL MASTER'!$AA$2:$AA$495&lt;=7)*('CONTROL MASTER'!$AC$2:$AC$495&gt;=7))*ROW('CONTROL MASTER'!$S$2:$S$495))-(ROW('CONTROL MASTER'!#REF!)-1)))+((6-INDEX('CONTROL MASTER'!$Z$2:$Z$495,(SUMPRODUCT((('CONTROL MASTER'!$S$2:$S$495=14)*('CONTROL MASTER'!$Z$2:$Z$495&lt;=6)*('CONTROL MASTER'!$AB$2:$AB$495&gt;=6)*('CONTROL MASTER'!$AA$2:$AA$495&lt;=7)*('CONTROL MASTER'!$AC$2:$AC$495&gt;=7))*ROW('CONTROL MASTER'!$S$2:$S$495))-(ROW('CONTROL MASTER'!#REF!)-1))))*(INDEX('CONTROL MASTER'!$AC$2:$AC$495,(SUMPRODUCT((('CONTROL MASTER'!$S$2:$S$495=14)*('CONTROL MASTER'!$Z$2:$Z$495&lt;=6)*('CONTROL MASTER'!$AB$2:$AB$495&gt;=6)*('CONTROL MASTER'!$AA$2:$AA$495&lt;=7)*('CONTROL MASTER'!$AC$2:$AC$495&gt;=7))*ROW('CONTROL MASTER'!$S$2:$S$495))-(ROW('CONTROL MASTER'!#REF!)-1)))-INDEX('CONTROL MASTER'!$AA$2:$AA$495,(SUMPRODUCT((('CONTROL MASTER'!$S$2:$S$495=14)*('CONTROL MASTER'!$Z$2:$Z$495&lt;=6)*('CONTROL MASTER'!$AB$2:$AB$495&gt;=6)*('CONTROL MASTER'!$AA$2:$AA$495&lt;=7)*('CONTROL MASTER'!$AC$2:$AC$495&gt;=7))*ROW('CONTROL MASTER'!$S$2:$S$495))-(ROW('CONTROL MASTER'!#REF!)-1)))+1)+(7-INDEX('CONTROL MASTER'!$AA$2:$AA$495,(SUMPRODUCT((('CONTROL MASTER'!$S$2:$S$495=14)*('CONTROL MASTER'!$Z$2:$Z$495&lt;=6)*('CONTROL MASTER'!$AB$2:$AB$495&gt;=6)*('CONTROL MASTER'!$AA$2:$AA$495&lt;=7)*('CONTROL MASTER'!$AC$2:$AC$495&gt;=7))*ROW('CONTROL MASTER'!$S$2:$S$495))-(ROW('CONTROL MASTER'!#REF!)-1))))+1)))-1)*50+1,50))&amp;"_"&amp;INDEX('CONTROL MASTER'!$P$2:$P$495,(SUMPRODUCT((('CONTROL MASTER'!$S$2:$S$495=14)*('CONTROL MASTER'!$Z$2:$Z$495&lt;=6)*('CONTROL MASTER'!$AB$2:$AB$495&gt;=6)*('CONTROL MASTER'!$AA$2:$AA$495&lt;=7)*('CONTROL MASTER'!$AC$2:$AC$495&gt;=7))*ROW('CONTROL MASTER'!$S$2:$S$495))-(ROW('CONTROL MASTER'!#REF!)-1))),"")),"")</f>
        <v/>
      </c>
      <c r="I190" s="10" t="str">
        <f>IFERROR(IF(SUMPRODUCT((('CONTROL MASTER'!$S$2:$S$495=14)*('CONTROL MASTER'!$T$2:$T$495&lt;=6)*('CONTROL MASTER'!$V$2:$V$495&gt;=6)*('CONTROL MASTER'!$U$2:$U$495&lt;=8)*('CONTROL MASTER'!$W$2:$W$495&gt;=8))*ROW('CONTROL MASTER'!$S$2:$S$495))&gt;0,INDEX('CONTROL MASTER'!$X$2:$X$495,(SUMPRODUCT((('CONTROL MASTER'!$S$2:$S$495=14)*('CONTROL MASTER'!$T$2:$T$495&lt;=6)*('CONTROL MASTER'!$V$2:$V$495&gt;=6)*('CONTROL MASTER'!$U$2:$U$495&lt;=8)*('CONTROL MASTER'!$W$2:$W$495&gt;=8))*ROW('CONTROL MASTER'!$S$2:$S$495))-(ROW('CONTROL MASTER'!#REF!)-1)))&amp;TRIM(MID(SUBSTITUTE(SUBSTITUTE(INDEX('CONTROL MASTER'!$N$2:$N$495,(SUMPRODUCT((('CONTROL MASTER'!$S$2:$S$495=14)*('CONTROL MASTER'!$T$2:$T$495&lt;=6)*('CONTROL MASTER'!$V$2:$V$495&gt;=6)*('CONTROL MASTER'!$U$2:$U$495&lt;=8)*('CONTROL MASTER'!$W$2:$W$495&gt;=8))*ROW('CONTROL MASTER'!$S$2:$S$495))-(ROW('CONTROL MASTER'!#REF!)-1))),":",","),",",REPT(" ",50)),((((6-INDEX('CONTROL MASTER'!$T$2:$T$495,(SUMPRODUCT((('CONTROL MASTER'!$S$2:$S$495=14)*('CONTROL MASTER'!$T$2:$T$495&lt;=6)*('CONTROL MASTER'!$V$2:$V$495&gt;=6)*('CONTROL MASTER'!$U$2:$U$495&lt;=8)*('CONTROL MASTER'!$W$2:$W$495&gt;=8))*ROW('CONTROL MASTER'!$S$2:$S$495))-(ROW('CONTROL MASTER'!#REF!)-1))))*(INDEX('CONTROL MASTER'!$W$2:$W$495,(SUMPRODUCT((('CONTROL MASTER'!$S$2:$S$495=14)*('CONTROL MASTER'!$T$2:$T$495&lt;=6)*('CONTROL MASTER'!$V$2:$V$495&gt;=6)*('CONTROL MASTER'!$U$2:$U$495&lt;=8)*('CONTROL MASTER'!$W$2:$W$495&gt;=8))*ROW('CONTROL MASTER'!$S$2:$S$495))-(ROW('CONTROL MASTER'!#REF!)-1)))-INDEX('CONTROL MASTER'!$U$2:$U$495,(SUMPRODUCT((('CONTROL MASTER'!$S$2:$S$495=14)*('CONTROL MASTER'!$T$2:$T$495&lt;=6)*('CONTROL MASTER'!$V$2:$V$495&gt;=6)*('CONTROL MASTER'!$U$2:$U$495&lt;=8)*('CONTROL MASTER'!$W$2:$W$495&gt;=8))*ROW('CONTROL MASTER'!$S$2:$S$495))-(ROW('CONTROL MASTER'!#REF!)-1)))+1)+(8-INDEX('CONTROL MASTER'!$U$2:$U$495,(SUMPRODUCT((('CONTROL MASTER'!$S$2:$S$495=14)*('CONTROL MASTER'!$T$2:$T$495&lt;=6)*('CONTROL MASTER'!$V$2:$V$495&gt;=6)*('CONTROL MASTER'!$U$2:$U$495&lt;=8)*('CONTROL MASTER'!$W$2:$W$495&gt;=8))*ROW('CONTROL MASTER'!$S$2:$S$495))-(ROW('CONTROL MASTER'!#REF!)-1))))+1))-1)*50+1,50))&amp;"_"&amp;INDEX('CONTROL MASTER'!$P$2:$P$495,(SUMPRODUCT((('CONTROL MASTER'!$S$2:$S$495=14)*('CONTROL MASTER'!$T$2:$T$495&lt;=6)*('CONTROL MASTER'!$V$2:$V$495&gt;=6)*('CONTROL MASTER'!$U$2:$U$495&lt;=8)*('CONTROL MASTER'!$W$2:$W$495&gt;=8))*ROW('CONTROL MASTER'!$S$2:$S$495))-(ROW('CONTROL MASTER'!#REF!)-1))),IF(SUMPRODUCT((('CONTROL MASTER'!$S$2:$S$495=14)*('CONTROL MASTER'!$Z$2:$Z$495&lt;=6)*('CONTROL MASTER'!$AB$2:$AB$495&gt;=6)*('CONTROL MASTER'!$AA$2:$AA$495&lt;=8)*('CONTROL MASTER'!$AC$2:$AC$495&gt;=8))*ROW('CONTROL MASTER'!$S$2:$S$495))&gt;0,INDEX('CONTROL MASTER'!$X$2:$X$495,(SUMPRODUCT((('CONTROL MASTER'!$S$2:$S$495=14)*('CONTROL MASTER'!$Z$2:$Z$495&lt;=6)*('CONTROL MASTER'!$AB$2:$AB$495&gt;=6)*('CONTROL MASTER'!$AA$2:$AA$495&lt;=8)*('CONTROL MASTER'!$AC$2:$AC$495&gt;=8))*ROW('CONTROL MASTER'!$S$2:$S$495))-(ROW('CONTROL MASTER'!#REF!)-1)))&amp;TRIM(MID(SUBSTITUTE(SUBSTITUTE(INDEX('CONTROL MASTER'!$N$2:$N$495,(SUMPRODUCT((('CONTROL MASTER'!$S$2:$S$495=14)*('CONTROL MASTER'!$Z$2:$Z$495&lt;=6)*('CONTROL MASTER'!$AB$2:$AB$495&gt;=6)*('CONTROL MASTER'!$AA$2:$AA$495&lt;=8)*('CONTROL MASTER'!$AC$2:$AC$495&gt;=8))*ROW('CONTROL MASTER'!$S$2:$S$495))-(ROW('CONTROL MASTER'!#REF!)-1))),":",","),",",REPT(" ",50)),(((INDEX('CONTROL MASTER'!$Y$2:$Y$495,(SUMPRODUCT((('CONTROL MASTER'!$S$2:$S$495=14)*('CONTROL MASTER'!$Z$2:$Z$495&lt;=6)*('CONTROL MASTER'!$AB$2:$AB$495&gt;=6)*('CONTROL MASTER'!$AA$2:$AA$495&lt;=8)*('CONTROL MASTER'!$AC$2:$AC$495&gt;=8))*ROW('CONTROL MASTER'!$S$2:$S$495))-(ROW('CONTROL MASTER'!#REF!)-1)))+((6-INDEX('CONTROL MASTER'!$Z$2:$Z$495,(SUMPRODUCT((('CONTROL MASTER'!$S$2:$S$495=14)*('CONTROL MASTER'!$Z$2:$Z$495&lt;=6)*('CONTROL MASTER'!$AB$2:$AB$495&gt;=6)*('CONTROL MASTER'!$AA$2:$AA$495&lt;=8)*('CONTROL MASTER'!$AC$2:$AC$495&gt;=8))*ROW('CONTROL MASTER'!$S$2:$S$495))-(ROW('CONTROL MASTER'!#REF!)-1))))*(INDEX('CONTROL MASTER'!$AC$2:$AC$495,(SUMPRODUCT((('CONTROL MASTER'!$S$2:$S$495=14)*('CONTROL MASTER'!$Z$2:$Z$495&lt;=6)*('CONTROL MASTER'!$AB$2:$AB$495&gt;=6)*('CONTROL MASTER'!$AA$2:$AA$495&lt;=8)*('CONTROL MASTER'!$AC$2:$AC$495&gt;=8))*ROW('CONTROL MASTER'!$S$2:$S$495))-(ROW('CONTROL MASTER'!#REF!)-1)))-INDEX('CONTROL MASTER'!$AA$2:$AA$495,(SUMPRODUCT((('CONTROL MASTER'!$S$2:$S$495=14)*('CONTROL MASTER'!$Z$2:$Z$495&lt;=6)*('CONTROL MASTER'!$AB$2:$AB$495&gt;=6)*('CONTROL MASTER'!$AA$2:$AA$495&lt;=8)*('CONTROL MASTER'!$AC$2:$AC$495&gt;=8))*ROW('CONTROL MASTER'!$S$2:$S$495))-(ROW('CONTROL MASTER'!#REF!)-1)))+1)+(8-INDEX('CONTROL MASTER'!$AA$2:$AA$495,(SUMPRODUCT((('CONTROL MASTER'!$S$2:$S$495=14)*('CONTROL MASTER'!$Z$2:$Z$495&lt;=6)*('CONTROL MASTER'!$AB$2:$AB$495&gt;=6)*('CONTROL MASTER'!$AA$2:$AA$495&lt;=8)*('CONTROL MASTER'!$AC$2:$AC$495&gt;=8))*ROW('CONTROL MASTER'!$S$2:$S$495))-(ROW('CONTROL MASTER'!#REF!)-1))))+1)))-1)*50+1,50))&amp;"_"&amp;INDEX('CONTROL MASTER'!$P$2:$P$495,(SUMPRODUCT((('CONTROL MASTER'!$S$2:$S$495=14)*('CONTROL MASTER'!$Z$2:$Z$495&lt;=6)*('CONTROL MASTER'!$AB$2:$AB$495&gt;=6)*('CONTROL MASTER'!$AA$2:$AA$495&lt;=8)*('CONTROL MASTER'!$AC$2:$AC$495&gt;=8))*ROW('CONTROL MASTER'!$S$2:$S$495))-(ROW('CONTROL MASTER'!#REF!)-1))),"")),"")</f>
        <v/>
      </c>
      <c r="J190" s="10" t="str">
        <f>IFERROR(IF(SUMPRODUCT((('CONTROL MASTER'!$S$2:$S$495=14)*('CONTROL MASTER'!$T$2:$T$495&lt;=6)*('CONTROL MASTER'!$V$2:$V$495&gt;=6)*('CONTROL MASTER'!$U$2:$U$495&lt;=9)*('CONTROL MASTER'!$W$2:$W$495&gt;=9))*ROW('CONTROL MASTER'!$S$2:$S$495))&gt;0,INDEX('CONTROL MASTER'!$X$2:$X$495,(SUMPRODUCT((('CONTROL MASTER'!$S$2:$S$495=14)*('CONTROL MASTER'!$T$2:$T$495&lt;=6)*('CONTROL MASTER'!$V$2:$V$495&gt;=6)*('CONTROL MASTER'!$U$2:$U$495&lt;=9)*('CONTROL MASTER'!$W$2:$W$495&gt;=9))*ROW('CONTROL MASTER'!$S$2:$S$495))-(ROW('CONTROL MASTER'!#REF!)-1)))&amp;TRIM(MID(SUBSTITUTE(SUBSTITUTE(INDEX('CONTROL MASTER'!$N$2:$N$495,(SUMPRODUCT((('CONTROL MASTER'!$S$2:$S$495=14)*('CONTROL MASTER'!$T$2:$T$495&lt;=6)*('CONTROL MASTER'!$V$2:$V$495&gt;=6)*('CONTROL MASTER'!$U$2:$U$495&lt;=9)*('CONTROL MASTER'!$W$2:$W$495&gt;=9))*ROW('CONTROL MASTER'!$S$2:$S$495))-(ROW('CONTROL MASTER'!#REF!)-1))),":",","),",",REPT(" ",50)),((((6-INDEX('CONTROL MASTER'!$T$2:$T$495,(SUMPRODUCT((('CONTROL MASTER'!$S$2:$S$495=14)*('CONTROL MASTER'!$T$2:$T$495&lt;=6)*('CONTROL MASTER'!$V$2:$V$495&gt;=6)*('CONTROL MASTER'!$U$2:$U$495&lt;=9)*('CONTROL MASTER'!$W$2:$W$495&gt;=9))*ROW('CONTROL MASTER'!$S$2:$S$495))-(ROW('CONTROL MASTER'!#REF!)-1))))*(INDEX('CONTROL MASTER'!$W$2:$W$495,(SUMPRODUCT((('CONTROL MASTER'!$S$2:$S$495=14)*('CONTROL MASTER'!$T$2:$T$495&lt;=6)*('CONTROL MASTER'!$V$2:$V$495&gt;=6)*('CONTROL MASTER'!$U$2:$U$495&lt;=9)*('CONTROL MASTER'!$W$2:$W$495&gt;=9))*ROW('CONTROL MASTER'!$S$2:$S$495))-(ROW('CONTROL MASTER'!#REF!)-1)))-INDEX('CONTROL MASTER'!$U$2:$U$495,(SUMPRODUCT((('CONTROL MASTER'!$S$2:$S$495=14)*('CONTROL MASTER'!$T$2:$T$495&lt;=6)*('CONTROL MASTER'!$V$2:$V$495&gt;=6)*('CONTROL MASTER'!$U$2:$U$495&lt;=9)*('CONTROL MASTER'!$W$2:$W$495&gt;=9))*ROW('CONTROL MASTER'!$S$2:$S$495))-(ROW('CONTROL MASTER'!#REF!)-1)))+1)+(9-INDEX('CONTROL MASTER'!$U$2:$U$495,(SUMPRODUCT((('CONTROL MASTER'!$S$2:$S$495=14)*('CONTROL MASTER'!$T$2:$T$495&lt;=6)*('CONTROL MASTER'!$V$2:$V$495&gt;=6)*('CONTROL MASTER'!$U$2:$U$495&lt;=9)*('CONTROL MASTER'!$W$2:$W$495&gt;=9))*ROW('CONTROL MASTER'!$S$2:$S$495))-(ROW('CONTROL MASTER'!#REF!)-1))))+1))-1)*50+1,50))&amp;"_"&amp;INDEX('CONTROL MASTER'!$P$2:$P$495,(SUMPRODUCT((('CONTROL MASTER'!$S$2:$S$495=14)*('CONTROL MASTER'!$T$2:$T$495&lt;=6)*('CONTROL MASTER'!$V$2:$V$495&gt;=6)*('CONTROL MASTER'!$U$2:$U$495&lt;=9)*('CONTROL MASTER'!$W$2:$W$495&gt;=9))*ROW('CONTROL MASTER'!$S$2:$S$495))-(ROW('CONTROL MASTER'!#REF!)-1))),IF(SUMPRODUCT((('CONTROL MASTER'!$S$2:$S$495=14)*('CONTROL MASTER'!$Z$2:$Z$495&lt;=6)*('CONTROL MASTER'!$AB$2:$AB$495&gt;=6)*('CONTROL MASTER'!$AA$2:$AA$495&lt;=9)*('CONTROL MASTER'!$AC$2:$AC$495&gt;=9))*ROW('CONTROL MASTER'!$S$2:$S$495))&gt;0,INDEX('CONTROL MASTER'!$X$2:$X$495,(SUMPRODUCT((('CONTROL MASTER'!$S$2:$S$495=14)*('CONTROL MASTER'!$Z$2:$Z$495&lt;=6)*('CONTROL MASTER'!$AB$2:$AB$495&gt;=6)*('CONTROL MASTER'!$AA$2:$AA$495&lt;=9)*('CONTROL MASTER'!$AC$2:$AC$495&gt;=9))*ROW('CONTROL MASTER'!$S$2:$S$495))-(ROW('CONTROL MASTER'!#REF!)-1)))&amp;TRIM(MID(SUBSTITUTE(SUBSTITUTE(INDEX('CONTROL MASTER'!$N$2:$N$495,(SUMPRODUCT((('CONTROL MASTER'!$S$2:$S$495=14)*('CONTROL MASTER'!$Z$2:$Z$495&lt;=6)*('CONTROL MASTER'!$AB$2:$AB$495&gt;=6)*('CONTROL MASTER'!$AA$2:$AA$495&lt;=9)*('CONTROL MASTER'!$AC$2:$AC$495&gt;=9))*ROW('CONTROL MASTER'!$S$2:$S$495))-(ROW('CONTROL MASTER'!#REF!)-1))),":",","),",",REPT(" ",50)),(((INDEX('CONTROL MASTER'!$Y$2:$Y$495,(SUMPRODUCT((('CONTROL MASTER'!$S$2:$S$495=14)*('CONTROL MASTER'!$Z$2:$Z$495&lt;=6)*('CONTROL MASTER'!$AB$2:$AB$495&gt;=6)*('CONTROL MASTER'!$AA$2:$AA$495&lt;=9)*('CONTROL MASTER'!$AC$2:$AC$495&gt;=9))*ROW('CONTROL MASTER'!$S$2:$S$495))-(ROW('CONTROL MASTER'!#REF!)-1)))+((6-INDEX('CONTROL MASTER'!$Z$2:$Z$495,(SUMPRODUCT((('CONTROL MASTER'!$S$2:$S$495=14)*('CONTROL MASTER'!$Z$2:$Z$495&lt;=6)*('CONTROL MASTER'!$AB$2:$AB$495&gt;=6)*('CONTROL MASTER'!$AA$2:$AA$495&lt;=9)*('CONTROL MASTER'!$AC$2:$AC$495&gt;=9))*ROW('CONTROL MASTER'!$S$2:$S$495))-(ROW('CONTROL MASTER'!#REF!)-1))))*(INDEX('CONTROL MASTER'!$AC$2:$AC$495,(SUMPRODUCT((('CONTROL MASTER'!$S$2:$S$495=14)*('CONTROL MASTER'!$Z$2:$Z$495&lt;=6)*('CONTROL MASTER'!$AB$2:$AB$495&gt;=6)*('CONTROL MASTER'!$AA$2:$AA$495&lt;=9)*('CONTROL MASTER'!$AC$2:$AC$495&gt;=9))*ROW('CONTROL MASTER'!$S$2:$S$495))-(ROW('CONTROL MASTER'!#REF!)-1)))-INDEX('CONTROL MASTER'!$AA$2:$AA$495,(SUMPRODUCT((('CONTROL MASTER'!$S$2:$S$495=14)*('CONTROL MASTER'!$Z$2:$Z$495&lt;=6)*('CONTROL MASTER'!$AB$2:$AB$495&gt;=6)*('CONTROL MASTER'!$AA$2:$AA$495&lt;=9)*('CONTROL MASTER'!$AC$2:$AC$495&gt;=9))*ROW('CONTROL MASTER'!$S$2:$S$495))-(ROW('CONTROL MASTER'!#REF!)-1)))+1)+(9-INDEX('CONTROL MASTER'!$AA$2:$AA$495,(SUMPRODUCT((('CONTROL MASTER'!$S$2:$S$495=14)*('CONTROL MASTER'!$Z$2:$Z$495&lt;=6)*('CONTROL MASTER'!$AB$2:$AB$495&gt;=6)*('CONTROL MASTER'!$AA$2:$AA$495&lt;=9)*('CONTROL MASTER'!$AC$2:$AC$495&gt;=9))*ROW('CONTROL MASTER'!$S$2:$S$495))-(ROW('CONTROL MASTER'!#REF!)-1))))+1)))-1)*50+1,50))&amp;"_"&amp;INDEX('CONTROL MASTER'!$P$2:$P$495,(SUMPRODUCT((('CONTROL MASTER'!$S$2:$S$495=14)*('CONTROL MASTER'!$Z$2:$Z$495&lt;=6)*('CONTROL MASTER'!$AB$2:$AB$495&gt;=6)*('CONTROL MASTER'!$AA$2:$AA$495&lt;=9)*('CONTROL MASTER'!$AC$2:$AC$495&gt;=9))*ROW('CONTROL MASTER'!$S$2:$S$495))-(ROW('CONTROL MASTER'!#REF!)-1))),"")),"")</f>
        <v/>
      </c>
      <c r="K190" s="10" t="str">
        <f>IFERROR(IF(SUMPRODUCT((('CONTROL MASTER'!$S$2:$S$495=14)*('CONTROL MASTER'!$T$2:$T$495&lt;=6)*('CONTROL MASTER'!$V$2:$V$495&gt;=6)*('CONTROL MASTER'!$U$2:$U$495&lt;=10)*('CONTROL MASTER'!$W$2:$W$495&gt;=10))*ROW('CONTROL MASTER'!$S$2:$S$495))&gt;0,INDEX('CONTROL MASTER'!$X$2:$X$495,(SUMPRODUCT((('CONTROL MASTER'!$S$2:$S$495=14)*('CONTROL MASTER'!$T$2:$T$495&lt;=6)*('CONTROL MASTER'!$V$2:$V$495&gt;=6)*('CONTROL MASTER'!$U$2:$U$495&lt;=10)*('CONTROL MASTER'!$W$2:$W$495&gt;=10))*ROW('CONTROL MASTER'!$S$2:$S$495))-(ROW('CONTROL MASTER'!#REF!)-1)))&amp;TRIM(MID(SUBSTITUTE(SUBSTITUTE(INDEX('CONTROL MASTER'!$N$2:$N$495,(SUMPRODUCT((('CONTROL MASTER'!$S$2:$S$495=14)*('CONTROL MASTER'!$T$2:$T$495&lt;=6)*('CONTROL MASTER'!$V$2:$V$495&gt;=6)*('CONTROL MASTER'!$U$2:$U$495&lt;=10)*('CONTROL MASTER'!$W$2:$W$495&gt;=10))*ROW('CONTROL MASTER'!$S$2:$S$495))-(ROW('CONTROL MASTER'!#REF!)-1))),":",","),",",REPT(" ",50)),((((6-INDEX('CONTROL MASTER'!$T$2:$T$495,(SUMPRODUCT((('CONTROL MASTER'!$S$2:$S$495=14)*('CONTROL MASTER'!$T$2:$T$495&lt;=6)*('CONTROL MASTER'!$V$2:$V$495&gt;=6)*('CONTROL MASTER'!$U$2:$U$495&lt;=10)*('CONTROL MASTER'!$W$2:$W$495&gt;=10))*ROW('CONTROL MASTER'!$S$2:$S$495))-(ROW('CONTROL MASTER'!#REF!)-1))))*(INDEX('CONTROL MASTER'!$W$2:$W$495,(SUMPRODUCT((('CONTROL MASTER'!$S$2:$S$495=14)*('CONTROL MASTER'!$T$2:$T$495&lt;=6)*('CONTROL MASTER'!$V$2:$V$495&gt;=6)*('CONTROL MASTER'!$U$2:$U$495&lt;=10)*('CONTROL MASTER'!$W$2:$W$495&gt;=10))*ROW('CONTROL MASTER'!$S$2:$S$495))-(ROW('CONTROL MASTER'!#REF!)-1)))-INDEX('CONTROL MASTER'!$U$2:$U$495,(SUMPRODUCT((('CONTROL MASTER'!$S$2:$S$495=14)*('CONTROL MASTER'!$T$2:$T$495&lt;=6)*('CONTROL MASTER'!$V$2:$V$495&gt;=6)*('CONTROL MASTER'!$U$2:$U$495&lt;=10)*('CONTROL MASTER'!$W$2:$W$495&gt;=10))*ROW('CONTROL MASTER'!$S$2:$S$495))-(ROW('CONTROL MASTER'!#REF!)-1)))+1)+(10-INDEX('CONTROL MASTER'!$U$2:$U$495,(SUMPRODUCT((('CONTROL MASTER'!$S$2:$S$495=14)*('CONTROL MASTER'!$T$2:$T$495&lt;=6)*('CONTROL MASTER'!$V$2:$V$495&gt;=6)*('CONTROL MASTER'!$U$2:$U$495&lt;=10)*('CONTROL MASTER'!$W$2:$W$495&gt;=10))*ROW('CONTROL MASTER'!$S$2:$S$495))-(ROW('CONTROL MASTER'!#REF!)-1))))+1))-1)*50+1,50))&amp;"_"&amp;INDEX('CONTROL MASTER'!$P$2:$P$495,(SUMPRODUCT((('CONTROL MASTER'!$S$2:$S$495=14)*('CONTROL MASTER'!$T$2:$T$495&lt;=6)*('CONTROL MASTER'!$V$2:$V$495&gt;=6)*('CONTROL MASTER'!$U$2:$U$495&lt;=10)*('CONTROL MASTER'!$W$2:$W$495&gt;=10))*ROW('CONTROL MASTER'!$S$2:$S$495))-(ROW('CONTROL MASTER'!#REF!)-1))),IF(SUMPRODUCT((('CONTROL MASTER'!$S$2:$S$495=14)*('CONTROL MASTER'!$Z$2:$Z$495&lt;=6)*('CONTROL MASTER'!$AB$2:$AB$495&gt;=6)*('CONTROL MASTER'!$AA$2:$AA$495&lt;=10)*('CONTROL MASTER'!$AC$2:$AC$495&gt;=10))*ROW('CONTROL MASTER'!$S$2:$S$495))&gt;0,INDEX('CONTROL MASTER'!$X$2:$X$495,(SUMPRODUCT((('CONTROL MASTER'!$S$2:$S$495=14)*('CONTROL MASTER'!$Z$2:$Z$495&lt;=6)*('CONTROL MASTER'!$AB$2:$AB$495&gt;=6)*('CONTROL MASTER'!$AA$2:$AA$495&lt;=10)*('CONTROL MASTER'!$AC$2:$AC$495&gt;=10))*ROW('CONTROL MASTER'!$S$2:$S$495))-(ROW('CONTROL MASTER'!#REF!)-1)))&amp;TRIM(MID(SUBSTITUTE(SUBSTITUTE(INDEX('CONTROL MASTER'!$N$2:$N$495,(SUMPRODUCT((('CONTROL MASTER'!$S$2:$S$495=14)*('CONTROL MASTER'!$Z$2:$Z$495&lt;=6)*('CONTROL MASTER'!$AB$2:$AB$495&gt;=6)*('CONTROL MASTER'!$AA$2:$AA$495&lt;=10)*('CONTROL MASTER'!$AC$2:$AC$495&gt;=10))*ROW('CONTROL MASTER'!$S$2:$S$495))-(ROW('CONTROL MASTER'!#REF!)-1))),":",","),",",REPT(" ",50)),(((INDEX('CONTROL MASTER'!$Y$2:$Y$495,(SUMPRODUCT((('CONTROL MASTER'!$S$2:$S$495=14)*('CONTROL MASTER'!$Z$2:$Z$495&lt;=6)*('CONTROL MASTER'!$AB$2:$AB$495&gt;=6)*('CONTROL MASTER'!$AA$2:$AA$495&lt;=10)*('CONTROL MASTER'!$AC$2:$AC$495&gt;=10))*ROW('CONTROL MASTER'!$S$2:$S$495))-(ROW('CONTROL MASTER'!#REF!)-1)))+((6-INDEX('CONTROL MASTER'!$Z$2:$Z$495,(SUMPRODUCT((('CONTROL MASTER'!$S$2:$S$495=14)*('CONTROL MASTER'!$Z$2:$Z$495&lt;=6)*('CONTROL MASTER'!$AB$2:$AB$495&gt;=6)*('CONTROL MASTER'!$AA$2:$AA$495&lt;=10)*('CONTROL MASTER'!$AC$2:$AC$495&gt;=10))*ROW('CONTROL MASTER'!$S$2:$S$495))-(ROW('CONTROL MASTER'!#REF!)-1))))*(INDEX('CONTROL MASTER'!$AC$2:$AC$495,(SUMPRODUCT((('CONTROL MASTER'!$S$2:$S$495=14)*('CONTROL MASTER'!$Z$2:$Z$495&lt;=6)*('CONTROL MASTER'!$AB$2:$AB$495&gt;=6)*('CONTROL MASTER'!$AA$2:$AA$495&lt;=10)*('CONTROL MASTER'!$AC$2:$AC$495&gt;=10))*ROW('CONTROL MASTER'!$S$2:$S$495))-(ROW('CONTROL MASTER'!#REF!)-1)))-INDEX('CONTROL MASTER'!$AA$2:$AA$495,(SUMPRODUCT((('CONTROL MASTER'!$S$2:$S$495=14)*('CONTROL MASTER'!$Z$2:$Z$495&lt;=6)*('CONTROL MASTER'!$AB$2:$AB$495&gt;=6)*('CONTROL MASTER'!$AA$2:$AA$495&lt;=10)*('CONTROL MASTER'!$AC$2:$AC$495&gt;=10))*ROW('CONTROL MASTER'!$S$2:$S$495))-(ROW('CONTROL MASTER'!#REF!)-1)))+1)+(10-INDEX('CONTROL MASTER'!$AA$2:$AA$495,(SUMPRODUCT((('CONTROL MASTER'!$S$2:$S$495=14)*('CONTROL MASTER'!$Z$2:$Z$495&lt;=6)*('CONTROL MASTER'!$AB$2:$AB$495&gt;=6)*('CONTROL MASTER'!$AA$2:$AA$495&lt;=10)*('CONTROL MASTER'!$AC$2:$AC$495&gt;=10))*ROW('CONTROL MASTER'!$S$2:$S$495))-(ROW('CONTROL MASTER'!#REF!)-1))))+1)))-1)*50+1,50))&amp;"_"&amp;INDEX('CONTROL MASTER'!$P$2:$P$495,(SUMPRODUCT((('CONTROL MASTER'!$S$2:$S$495=14)*('CONTROL MASTER'!$Z$2:$Z$495&lt;=6)*('CONTROL MASTER'!$AB$2:$AB$495&gt;=6)*('CONTROL MASTER'!$AA$2:$AA$495&lt;=10)*('CONTROL MASTER'!$AC$2:$AC$495&gt;=10))*ROW('CONTROL MASTER'!$S$2:$S$495))-(ROW('CONTROL MASTER'!#REF!)-1))),"")),"")</f>
        <v/>
      </c>
    </row>
    <row r="191" spans="1:11" ht="15" customHeight="1" x14ac:dyDescent="0.35">
      <c r="A191" s="8" t="s">
        <v>34</v>
      </c>
      <c r="B191" s="10" t="str">
        <f>IFERROR(IF(SUMPRODUCT((('CONTROL MASTER'!$S$2:$S$495=14)*('CONTROL MASTER'!$T$2:$T$495&lt;=7)*('CONTROL MASTER'!$V$2:$V$495&gt;=7)*('CONTROL MASTER'!$U$2:$U$495&lt;=1)*('CONTROL MASTER'!$W$2:$W$495&gt;=1))*ROW('CONTROL MASTER'!$S$2:$S$495))&gt;0,INDEX('CONTROL MASTER'!$X$2:$X$495,(SUMPRODUCT((('CONTROL MASTER'!$S$2:$S$495=14)*('CONTROL MASTER'!$T$2:$T$495&lt;=7)*('CONTROL MASTER'!$V$2:$V$495&gt;=7)*('CONTROL MASTER'!$U$2:$U$495&lt;=1)*('CONTROL MASTER'!$W$2:$W$495&gt;=1))*ROW('CONTROL MASTER'!$S$2:$S$495))-(ROW('CONTROL MASTER'!#REF!)-1)))&amp;TRIM(MID(SUBSTITUTE(SUBSTITUTE(INDEX('CONTROL MASTER'!$N$2:$N$495,(SUMPRODUCT((('CONTROL MASTER'!$S$2:$S$495=14)*('CONTROL MASTER'!$T$2:$T$495&lt;=7)*('CONTROL MASTER'!$V$2:$V$495&gt;=7)*('CONTROL MASTER'!$U$2:$U$495&lt;=1)*('CONTROL MASTER'!$W$2:$W$495&gt;=1))*ROW('CONTROL MASTER'!$S$2:$S$495))-(ROW('CONTROL MASTER'!#REF!)-1))),":",","),",",REPT(" ",50)),((((7-INDEX('CONTROL MASTER'!$T$2:$T$495,(SUMPRODUCT((('CONTROL MASTER'!$S$2:$S$495=14)*('CONTROL MASTER'!$T$2:$T$495&lt;=7)*('CONTROL MASTER'!$V$2:$V$495&gt;=7)*('CONTROL MASTER'!$U$2:$U$495&lt;=1)*('CONTROL MASTER'!$W$2:$W$495&gt;=1))*ROW('CONTROL MASTER'!$S$2:$S$495))-(ROW('CONTROL MASTER'!#REF!)-1))))*(INDEX('CONTROL MASTER'!$W$2:$W$495,(SUMPRODUCT((('CONTROL MASTER'!$S$2:$S$495=14)*('CONTROL MASTER'!$T$2:$T$495&lt;=7)*('CONTROL MASTER'!$V$2:$V$495&gt;=7)*('CONTROL MASTER'!$U$2:$U$495&lt;=1)*('CONTROL MASTER'!$W$2:$W$495&gt;=1))*ROW('CONTROL MASTER'!$S$2:$S$495))-(ROW('CONTROL MASTER'!#REF!)-1)))-INDEX('CONTROL MASTER'!$U$2:$U$495,(SUMPRODUCT((('CONTROL MASTER'!$S$2:$S$495=14)*('CONTROL MASTER'!$T$2:$T$495&lt;=7)*('CONTROL MASTER'!$V$2:$V$495&gt;=7)*('CONTROL MASTER'!$U$2:$U$495&lt;=1)*('CONTROL MASTER'!$W$2:$W$495&gt;=1))*ROW('CONTROL MASTER'!$S$2:$S$495))-(ROW('CONTROL MASTER'!#REF!)-1)))+1)+(1-INDEX('CONTROL MASTER'!$U$2:$U$495,(SUMPRODUCT((('CONTROL MASTER'!$S$2:$S$495=14)*('CONTROL MASTER'!$T$2:$T$495&lt;=7)*('CONTROL MASTER'!$V$2:$V$495&gt;=7)*('CONTROL MASTER'!$U$2:$U$495&lt;=1)*('CONTROL MASTER'!$W$2:$W$495&gt;=1))*ROW('CONTROL MASTER'!$S$2:$S$495))-(ROW('CONTROL MASTER'!#REF!)-1))))+1))-1)*50+1,50))&amp;"_"&amp;INDEX('CONTROL MASTER'!$P$2:$P$495,(SUMPRODUCT((('CONTROL MASTER'!$S$2:$S$495=14)*('CONTROL MASTER'!$T$2:$T$495&lt;=7)*('CONTROL MASTER'!$V$2:$V$495&gt;=7)*('CONTROL MASTER'!$U$2:$U$495&lt;=1)*('CONTROL MASTER'!$W$2:$W$495&gt;=1))*ROW('CONTROL MASTER'!$S$2:$S$495))-(ROW('CONTROL MASTER'!#REF!)-1))),IF(SUMPRODUCT((('CONTROL MASTER'!$S$2:$S$495=14)*('CONTROL MASTER'!$Z$2:$Z$495&lt;=7)*('CONTROL MASTER'!$AB$2:$AB$495&gt;=7)*('CONTROL MASTER'!$AA$2:$AA$495&lt;=1)*('CONTROL MASTER'!$AC$2:$AC$495&gt;=1))*ROW('CONTROL MASTER'!$S$2:$S$495))&gt;0,INDEX('CONTROL MASTER'!$X$2:$X$495,(SUMPRODUCT((('CONTROL MASTER'!$S$2:$S$495=14)*('CONTROL MASTER'!$Z$2:$Z$495&lt;=7)*('CONTROL MASTER'!$AB$2:$AB$495&gt;=7)*('CONTROL MASTER'!$AA$2:$AA$495&lt;=1)*('CONTROL MASTER'!$AC$2:$AC$495&gt;=1))*ROW('CONTROL MASTER'!$S$2:$S$495))-(ROW('CONTROL MASTER'!#REF!)-1)))&amp;TRIM(MID(SUBSTITUTE(SUBSTITUTE(INDEX('CONTROL MASTER'!$N$2:$N$495,(SUMPRODUCT((('CONTROL MASTER'!$S$2:$S$495=14)*('CONTROL MASTER'!$Z$2:$Z$495&lt;=7)*('CONTROL MASTER'!$AB$2:$AB$495&gt;=7)*('CONTROL MASTER'!$AA$2:$AA$495&lt;=1)*('CONTROL MASTER'!$AC$2:$AC$495&gt;=1))*ROW('CONTROL MASTER'!$S$2:$S$495))-(ROW('CONTROL MASTER'!#REF!)-1))),":",","),",",REPT(" ",50)),(((INDEX('CONTROL MASTER'!$Y$2:$Y$495,(SUMPRODUCT((('CONTROL MASTER'!$S$2:$S$495=14)*('CONTROL MASTER'!$Z$2:$Z$495&lt;=7)*('CONTROL MASTER'!$AB$2:$AB$495&gt;=7)*('CONTROL MASTER'!$AA$2:$AA$495&lt;=1)*('CONTROL MASTER'!$AC$2:$AC$495&gt;=1))*ROW('CONTROL MASTER'!$S$2:$S$495))-(ROW('CONTROL MASTER'!#REF!)-1)))+((7-INDEX('CONTROL MASTER'!$Z$2:$Z$495,(SUMPRODUCT((('CONTROL MASTER'!$S$2:$S$495=14)*('CONTROL MASTER'!$Z$2:$Z$495&lt;=7)*('CONTROL MASTER'!$AB$2:$AB$495&gt;=7)*('CONTROL MASTER'!$AA$2:$AA$495&lt;=1)*('CONTROL MASTER'!$AC$2:$AC$495&gt;=1))*ROW('CONTROL MASTER'!$S$2:$S$495))-(ROW('CONTROL MASTER'!#REF!)-1))))*(INDEX('CONTROL MASTER'!$AC$2:$AC$495,(SUMPRODUCT((('CONTROL MASTER'!$S$2:$S$495=14)*('CONTROL MASTER'!$Z$2:$Z$495&lt;=7)*('CONTROL MASTER'!$AB$2:$AB$495&gt;=7)*('CONTROL MASTER'!$AA$2:$AA$495&lt;=1)*('CONTROL MASTER'!$AC$2:$AC$495&gt;=1))*ROW('CONTROL MASTER'!$S$2:$S$495))-(ROW('CONTROL MASTER'!#REF!)-1)))-INDEX('CONTROL MASTER'!$AA$2:$AA$495,(SUMPRODUCT((('CONTROL MASTER'!$S$2:$S$495=14)*('CONTROL MASTER'!$Z$2:$Z$495&lt;=7)*('CONTROL MASTER'!$AB$2:$AB$495&gt;=7)*('CONTROL MASTER'!$AA$2:$AA$495&lt;=1)*('CONTROL MASTER'!$AC$2:$AC$495&gt;=1))*ROW('CONTROL MASTER'!$S$2:$S$495))-(ROW('CONTROL MASTER'!#REF!)-1)))+1)+(1-INDEX('CONTROL MASTER'!$AA$2:$AA$495,(SUMPRODUCT((('CONTROL MASTER'!$S$2:$S$495=14)*('CONTROL MASTER'!$Z$2:$Z$495&lt;=7)*('CONTROL MASTER'!$AB$2:$AB$495&gt;=7)*('CONTROL MASTER'!$AA$2:$AA$495&lt;=1)*('CONTROL MASTER'!$AC$2:$AC$495&gt;=1))*ROW('CONTROL MASTER'!$S$2:$S$495))-(ROW('CONTROL MASTER'!#REF!)-1))))+1)))-1)*50+1,50))&amp;"_"&amp;INDEX('CONTROL MASTER'!$P$2:$P$495,(SUMPRODUCT((('CONTROL MASTER'!$S$2:$S$495=14)*('CONTROL MASTER'!$Z$2:$Z$495&lt;=7)*('CONTROL MASTER'!$AB$2:$AB$495&gt;=7)*('CONTROL MASTER'!$AA$2:$AA$495&lt;=1)*('CONTROL MASTER'!$AC$2:$AC$495&gt;=1))*ROW('CONTROL MASTER'!$S$2:$S$495))-(ROW('CONTROL MASTER'!#REF!)-1))),"")),"")</f>
        <v/>
      </c>
      <c r="C191" s="10" t="str">
        <f>IFERROR(IF(SUMPRODUCT((('CONTROL MASTER'!$S$2:$S$495=14)*('CONTROL MASTER'!$T$2:$T$495&lt;=7)*('CONTROL MASTER'!$V$2:$V$495&gt;=7)*('CONTROL MASTER'!$U$2:$U$495&lt;=2)*('CONTROL MASTER'!$W$2:$W$495&gt;=2))*ROW('CONTROL MASTER'!$S$2:$S$495))&gt;0,INDEX('CONTROL MASTER'!$X$2:$X$495,(SUMPRODUCT((('CONTROL MASTER'!$S$2:$S$495=14)*('CONTROL MASTER'!$T$2:$T$495&lt;=7)*('CONTROL MASTER'!$V$2:$V$495&gt;=7)*('CONTROL MASTER'!$U$2:$U$495&lt;=2)*('CONTROL MASTER'!$W$2:$W$495&gt;=2))*ROW('CONTROL MASTER'!$S$2:$S$495))-(ROW('CONTROL MASTER'!#REF!)-1)))&amp;TRIM(MID(SUBSTITUTE(SUBSTITUTE(INDEX('CONTROL MASTER'!$N$2:$N$495,(SUMPRODUCT((('CONTROL MASTER'!$S$2:$S$495=14)*('CONTROL MASTER'!$T$2:$T$495&lt;=7)*('CONTROL MASTER'!$V$2:$V$495&gt;=7)*('CONTROL MASTER'!$U$2:$U$495&lt;=2)*('CONTROL MASTER'!$W$2:$W$495&gt;=2))*ROW('CONTROL MASTER'!$S$2:$S$495))-(ROW('CONTROL MASTER'!#REF!)-1))),":",","),",",REPT(" ",50)),((((7-INDEX('CONTROL MASTER'!$T$2:$T$495,(SUMPRODUCT((('CONTROL MASTER'!$S$2:$S$495=14)*('CONTROL MASTER'!$T$2:$T$495&lt;=7)*('CONTROL MASTER'!$V$2:$V$495&gt;=7)*('CONTROL MASTER'!$U$2:$U$495&lt;=2)*('CONTROL MASTER'!$W$2:$W$495&gt;=2))*ROW('CONTROL MASTER'!$S$2:$S$495))-(ROW('CONTROL MASTER'!#REF!)-1))))*(INDEX('CONTROL MASTER'!$W$2:$W$495,(SUMPRODUCT((('CONTROL MASTER'!$S$2:$S$495=14)*('CONTROL MASTER'!$T$2:$T$495&lt;=7)*('CONTROL MASTER'!$V$2:$V$495&gt;=7)*('CONTROL MASTER'!$U$2:$U$495&lt;=2)*('CONTROL MASTER'!$W$2:$W$495&gt;=2))*ROW('CONTROL MASTER'!$S$2:$S$495))-(ROW('CONTROL MASTER'!#REF!)-1)))-INDEX('CONTROL MASTER'!$U$2:$U$495,(SUMPRODUCT((('CONTROL MASTER'!$S$2:$S$495=14)*('CONTROL MASTER'!$T$2:$T$495&lt;=7)*('CONTROL MASTER'!$V$2:$V$495&gt;=7)*('CONTROL MASTER'!$U$2:$U$495&lt;=2)*('CONTROL MASTER'!$W$2:$W$495&gt;=2))*ROW('CONTROL MASTER'!$S$2:$S$495))-(ROW('CONTROL MASTER'!#REF!)-1)))+1)+(2-INDEX('CONTROL MASTER'!$U$2:$U$495,(SUMPRODUCT((('CONTROL MASTER'!$S$2:$S$495=14)*('CONTROL MASTER'!$T$2:$T$495&lt;=7)*('CONTROL MASTER'!$V$2:$V$495&gt;=7)*('CONTROL MASTER'!$U$2:$U$495&lt;=2)*('CONTROL MASTER'!$W$2:$W$495&gt;=2))*ROW('CONTROL MASTER'!$S$2:$S$495))-(ROW('CONTROL MASTER'!#REF!)-1))))+1))-1)*50+1,50))&amp;"_"&amp;INDEX('CONTROL MASTER'!$P$2:$P$495,(SUMPRODUCT((('CONTROL MASTER'!$S$2:$S$495=14)*('CONTROL MASTER'!$T$2:$T$495&lt;=7)*('CONTROL MASTER'!$V$2:$V$495&gt;=7)*('CONTROL MASTER'!$U$2:$U$495&lt;=2)*('CONTROL MASTER'!$W$2:$W$495&gt;=2))*ROW('CONTROL MASTER'!$S$2:$S$495))-(ROW('CONTROL MASTER'!#REF!)-1))),IF(SUMPRODUCT((('CONTROL MASTER'!$S$2:$S$495=14)*('CONTROL MASTER'!$Z$2:$Z$495&lt;=7)*('CONTROL MASTER'!$AB$2:$AB$495&gt;=7)*('CONTROL MASTER'!$AA$2:$AA$495&lt;=2)*('CONTROL MASTER'!$AC$2:$AC$495&gt;=2))*ROW('CONTROL MASTER'!$S$2:$S$495))&gt;0,INDEX('CONTROL MASTER'!$X$2:$X$495,(SUMPRODUCT((('CONTROL MASTER'!$S$2:$S$495=14)*('CONTROL MASTER'!$Z$2:$Z$495&lt;=7)*('CONTROL MASTER'!$AB$2:$AB$495&gt;=7)*('CONTROL MASTER'!$AA$2:$AA$495&lt;=2)*('CONTROL MASTER'!$AC$2:$AC$495&gt;=2))*ROW('CONTROL MASTER'!$S$2:$S$495))-(ROW('CONTROL MASTER'!#REF!)-1)))&amp;TRIM(MID(SUBSTITUTE(SUBSTITUTE(INDEX('CONTROL MASTER'!$N$2:$N$495,(SUMPRODUCT((('CONTROL MASTER'!$S$2:$S$495=14)*('CONTROL MASTER'!$Z$2:$Z$495&lt;=7)*('CONTROL MASTER'!$AB$2:$AB$495&gt;=7)*('CONTROL MASTER'!$AA$2:$AA$495&lt;=2)*('CONTROL MASTER'!$AC$2:$AC$495&gt;=2))*ROW('CONTROL MASTER'!$S$2:$S$495))-(ROW('CONTROL MASTER'!#REF!)-1))),":",","),",",REPT(" ",50)),(((INDEX('CONTROL MASTER'!$Y$2:$Y$495,(SUMPRODUCT((('CONTROL MASTER'!$S$2:$S$495=14)*('CONTROL MASTER'!$Z$2:$Z$495&lt;=7)*('CONTROL MASTER'!$AB$2:$AB$495&gt;=7)*('CONTROL MASTER'!$AA$2:$AA$495&lt;=2)*('CONTROL MASTER'!$AC$2:$AC$495&gt;=2))*ROW('CONTROL MASTER'!$S$2:$S$495))-(ROW('CONTROL MASTER'!#REF!)-1)))+((7-INDEX('CONTROL MASTER'!$Z$2:$Z$495,(SUMPRODUCT((('CONTROL MASTER'!$S$2:$S$495=14)*('CONTROL MASTER'!$Z$2:$Z$495&lt;=7)*('CONTROL MASTER'!$AB$2:$AB$495&gt;=7)*('CONTROL MASTER'!$AA$2:$AA$495&lt;=2)*('CONTROL MASTER'!$AC$2:$AC$495&gt;=2))*ROW('CONTROL MASTER'!$S$2:$S$495))-(ROW('CONTROL MASTER'!#REF!)-1))))*(INDEX('CONTROL MASTER'!$AC$2:$AC$495,(SUMPRODUCT((('CONTROL MASTER'!$S$2:$S$495=14)*('CONTROL MASTER'!$Z$2:$Z$495&lt;=7)*('CONTROL MASTER'!$AB$2:$AB$495&gt;=7)*('CONTROL MASTER'!$AA$2:$AA$495&lt;=2)*('CONTROL MASTER'!$AC$2:$AC$495&gt;=2))*ROW('CONTROL MASTER'!$S$2:$S$495))-(ROW('CONTROL MASTER'!#REF!)-1)))-INDEX('CONTROL MASTER'!$AA$2:$AA$495,(SUMPRODUCT((('CONTROL MASTER'!$S$2:$S$495=14)*('CONTROL MASTER'!$Z$2:$Z$495&lt;=7)*('CONTROL MASTER'!$AB$2:$AB$495&gt;=7)*('CONTROL MASTER'!$AA$2:$AA$495&lt;=2)*('CONTROL MASTER'!$AC$2:$AC$495&gt;=2))*ROW('CONTROL MASTER'!$S$2:$S$495))-(ROW('CONTROL MASTER'!#REF!)-1)))+1)+(2-INDEX('CONTROL MASTER'!$AA$2:$AA$495,(SUMPRODUCT((('CONTROL MASTER'!$S$2:$S$495=14)*('CONTROL MASTER'!$Z$2:$Z$495&lt;=7)*('CONTROL MASTER'!$AB$2:$AB$495&gt;=7)*('CONTROL MASTER'!$AA$2:$AA$495&lt;=2)*('CONTROL MASTER'!$AC$2:$AC$495&gt;=2))*ROW('CONTROL MASTER'!$S$2:$S$495))-(ROW('CONTROL MASTER'!#REF!)-1))))+1)))-1)*50+1,50))&amp;"_"&amp;INDEX('CONTROL MASTER'!$P$2:$P$495,(SUMPRODUCT((('CONTROL MASTER'!$S$2:$S$495=14)*('CONTROL MASTER'!$Z$2:$Z$495&lt;=7)*('CONTROL MASTER'!$AB$2:$AB$495&gt;=7)*('CONTROL MASTER'!$AA$2:$AA$495&lt;=2)*('CONTROL MASTER'!$AC$2:$AC$495&gt;=2))*ROW('CONTROL MASTER'!$S$2:$S$495))-(ROW('CONTROL MASTER'!#REF!)-1))),"")),"")</f>
        <v/>
      </c>
      <c r="D191" s="10" t="str">
        <f>IFERROR(IF(SUMPRODUCT((('CONTROL MASTER'!$S$2:$S$495=14)*('CONTROL MASTER'!$T$2:$T$495&lt;=7)*('CONTROL MASTER'!$V$2:$V$495&gt;=7)*('CONTROL MASTER'!$U$2:$U$495&lt;=3)*('CONTROL MASTER'!$W$2:$W$495&gt;=3))*ROW('CONTROL MASTER'!$S$2:$S$495))&gt;0,INDEX('CONTROL MASTER'!$X$2:$X$495,(SUMPRODUCT((('CONTROL MASTER'!$S$2:$S$495=14)*('CONTROL MASTER'!$T$2:$T$495&lt;=7)*('CONTROL MASTER'!$V$2:$V$495&gt;=7)*('CONTROL MASTER'!$U$2:$U$495&lt;=3)*('CONTROL MASTER'!$W$2:$W$495&gt;=3))*ROW('CONTROL MASTER'!$S$2:$S$495))-(ROW('CONTROL MASTER'!#REF!)-1)))&amp;TRIM(MID(SUBSTITUTE(SUBSTITUTE(INDEX('CONTROL MASTER'!$N$2:$N$495,(SUMPRODUCT((('CONTROL MASTER'!$S$2:$S$495=14)*('CONTROL MASTER'!$T$2:$T$495&lt;=7)*('CONTROL MASTER'!$V$2:$V$495&gt;=7)*('CONTROL MASTER'!$U$2:$U$495&lt;=3)*('CONTROL MASTER'!$W$2:$W$495&gt;=3))*ROW('CONTROL MASTER'!$S$2:$S$495))-(ROW('CONTROL MASTER'!#REF!)-1))),":",","),",",REPT(" ",50)),((((7-INDEX('CONTROL MASTER'!$T$2:$T$495,(SUMPRODUCT((('CONTROL MASTER'!$S$2:$S$495=14)*('CONTROL MASTER'!$T$2:$T$495&lt;=7)*('CONTROL MASTER'!$V$2:$V$495&gt;=7)*('CONTROL MASTER'!$U$2:$U$495&lt;=3)*('CONTROL MASTER'!$W$2:$W$495&gt;=3))*ROW('CONTROL MASTER'!$S$2:$S$495))-(ROW('CONTROL MASTER'!#REF!)-1))))*(INDEX('CONTROL MASTER'!$W$2:$W$495,(SUMPRODUCT((('CONTROL MASTER'!$S$2:$S$495=14)*('CONTROL MASTER'!$T$2:$T$495&lt;=7)*('CONTROL MASTER'!$V$2:$V$495&gt;=7)*('CONTROL MASTER'!$U$2:$U$495&lt;=3)*('CONTROL MASTER'!$W$2:$W$495&gt;=3))*ROW('CONTROL MASTER'!$S$2:$S$495))-(ROW('CONTROL MASTER'!#REF!)-1)))-INDEX('CONTROL MASTER'!$U$2:$U$495,(SUMPRODUCT((('CONTROL MASTER'!$S$2:$S$495=14)*('CONTROL MASTER'!$T$2:$T$495&lt;=7)*('CONTROL MASTER'!$V$2:$V$495&gt;=7)*('CONTROL MASTER'!$U$2:$U$495&lt;=3)*('CONTROL MASTER'!$W$2:$W$495&gt;=3))*ROW('CONTROL MASTER'!$S$2:$S$495))-(ROW('CONTROL MASTER'!#REF!)-1)))+1)+(3-INDEX('CONTROL MASTER'!$U$2:$U$495,(SUMPRODUCT((('CONTROL MASTER'!$S$2:$S$495=14)*('CONTROL MASTER'!$T$2:$T$495&lt;=7)*('CONTROL MASTER'!$V$2:$V$495&gt;=7)*('CONTROL MASTER'!$U$2:$U$495&lt;=3)*('CONTROL MASTER'!$W$2:$W$495&gt;=3))*ROW('CONTROL MASTER'!$S$2:$S$495))-(ROW('CONTROL MASTER'!#REF!)-1))))+1))-1)*50+1,50))&amp;"_"&amp;INDEX('CONTROL MASTER'!$P$2:$P$495,(SUMPRODUCT((('CONTROL MASTER'!$S$2:$S$495=14)*('CONTROL MASTER'!$T$2:$T$495&lt;=7)*('CONTROL MASTER'!$V$2:$V$495&gt;=7)*('CONTROL MASTER'!$U$2:$U$495&lt;=3)*('CONTROL MASTER'!$W$2:$W$495&gt;=3))*ROW('CONTROL MASTER'!$S$2:$S$495))-(ROW('CONTROL MASTER'!#REF!)-1))),IF(SUMPRODUCT((('CONTROL MASTER'!$S$2:$S$495=14)*('CONTROL MASTER'!$Z$2:$Z$495&lt;=7)*('CONTROL MASTER'!$AB$2:$AB$495&gt;=7)*('CONTROL MASTER'!$AA$2:$AA$495&lt;=3)*('CONTROL MASTER'!$AC$2:$AC$495&gt;=3))*ROW('CONTROL MASTER'!$S$2:$S$495))&gt;0,INDEX('CONTROL MASTER'!$X$2:$X$495,(SUMPRODUCT((('CONTROL MASTER'!$S$2:$S$495=14)*('CONTROL MASTER'!$Z$2:$Z$495&lt;=7)*('CONTROL MASTER'!$AB$2:$AB$495&gt;=7)*('CONTROL MASTER'!$AA$2:$AA$495&lt;=3)*('CONTROL MASTER'!$AC$2:$AC$495&gt;=3))*ROW('CONTROL MASTER'!$S$2:$S$495))-(ROW('CONTROL MASTER'!#REF!)-1)))&amp;TRIM(MID(SUBSTITUTE(SUBSTITUTE(INDEX('CONTROL MASTER'!$N$2:$N$495,(SUMPRODUCT((('CONTROL MASTER'!$S$2:$S$495=14)*('CONTROL MASTER'!$Z$2:$Z$495&lt;=7)*('CONTROL MASTER'!$AB$2:$AB$495&gt;=7)*('CONTROL MASTER'!$AA$2:$AA$495&lt;=3)*('CONTROL MASTER'!$AC$2:$AC$495&gt;=3))*ROW('CONTROL MASTER'!$S$2:$S$495))-(ROW('CONTROL MASTER'!#REF!)-1))),":",","),",",REPT(" ",50)),(((INDEX('CONTROL MASTER'!$Y$2:$Y$495,(SUMPRODUCT((('CONTROL MASTER'!$S$2:$S$495=14)*('CONTROL MASTER'!$Z$2:$Z$495&lt;=7)*('CONTROL MASTER'!$AB$2:$AB$495&gt;=7)*('CONTROL MASTER'!$AA$2:$AA$495&lt;=3)*('CONTROL MASTER'!$AC$2:$AC$495&gt;=3))*ROW('CONTROL MASTER'!$S$2:$S$495))-(ROW('CONTROL MASTER'!#REF!)-1)))+((7-INDEX('CONTROL MASTER'!$Z$2:$Z$495,(SUMPRODUCT((('CONTROL MASTER'!$S$2:$S$495=14)*('CONTROL MASTER'!$Z$2:$Z$495&lt;=7)*('CONTROL MASTER'!$AB$2:$AB$495&gt;=7)*('CONTROL MASTER'!$AA$2:$AA$495&lt;=3)*('CONTROL MASTER'!$AC$2:$AC$495&gt;=3))*ROW('CONTROL MASTER'!$S$2:$S$495))-(ROW('CONTROL MASTER'!#REF!)-1))))*(INDEX('CONTROL MASTER'!$AC$2:$AC$495,(SUMPRODUCT((('CONTROL MASTER'!$S$2:$S$495=14)*('CONTROL MASTER'!$Z$2:$Z$495&lt;=7)*('CONTROL MASTER'!$AB$2:$AB$495&gt;=7)*('CONTROL MASTER'!$AA$2:$AA$495&lt;=3)*('CONTROL MASTER'!$AC$2:$AC$495&gt;=3))*ROW('CONTROL MASTER'!$S$2:$S$495))-(ROW('CONTROL MASTER'!#REF!)-1)))-INDEX('CONTROL MASTER'!$AA$2:$AA$495,(SUMPRODUCT((('CONTROL MASTER'!$S$2:$S$495=14)*('CONTROL MASTER'!$Z$2:$Z$495&lt;=7)*('CONTROL MASTER'!$AB$2:$AB$495&gt;=7)*('CONTROL MASTER'!$AA$2:$AA$495&lt;=3)*('CONTROL MASTER'!$AC$2:$AC$495&gt;=3))*ROW('CONTROL MASTER'!$S$2:$S$495))-(ROW('CONTROL MASTER'!#REF!)-1)))+1)+(3-INDEX('CONTROL MASTER'!$AA$2:$AA$495,(SUMPRODUCT((('CONTROL MASTER'!$S$2:$S$495=14)*('CONTROL MASTER'!$Z$2:$Z$495&lt;=7)*('CONTROL MASTER'!$AB$2:$AB$495&gt;=7)*('CONTROL MASTER'!$AA$2:$AA$495&lt;=3)*('CONTROL MASTER'!$AC$2:$AC$495&gt;=3))*ROW('CONTROL MASTER'!$S$2:$S$495))-(ROW('CONTROL MASTER'!#REF!)-1))))+1)))-1)*50+1,50))&amp;"_"&amp;INDEX('CONTROL MASTER'!$P$2:$P$495,(SUMPRODUCT((('CONTROL MASTER'!$S$2:$S$495=14)*('CONTROL MASTER'!$Z$2:$Z$495&lt;=7)*('CONTROL MASTER'!$AB$2:$AB$495&gt;=7)*('CONTROL MASTER'!$AA$2:$AA$495&lt;=3)*('CONTROL MASTER'!$AC$2:$AC$495&gt;=3))*ROW('CONTROL MASTER'!$S$2:$S$495))-(ROW('CONTROL MASTER'!#REF!)-1))),"")),"")</f>
        <v/>
      </c>
      <c r="E191" s="10" t="str">
        <f>IFERROR(IF(SUMPRODUCT((('CONTROL MASTER'!$S$2:$S$495=14)*('CONTROL MASTER'!$T$2:$T$495&lt;=7)*('CONTROL MASTER'!$V$2:$V$495&gt;=7)*('CONTROL MASTER'!$U$2:$U$495&lt;=4)*('CONTROL MASTER'!$W$2:$W$495&gt;=4))*ROW('CONTROL MASTER'!$S$2:$S$495))&gt;0,INDEX('CONTROL MASTER'!$X$2:$X$495,(SUMPRODUCT((('CONTROL MASTER'!$S$2:$S$495=14)*('CONTROL MASTER'!$T$2:$T$495&lt;=7)*('CONTROL MASTER'!$V$2:$V$495&gt;=7)*('CONTROL MASTER'!$U$2:$U$495&lt;=4)*('CONTROL MASTER'!$W$2:$W$495&gt;=4))*ROW('CONTROL MASTER'!$S$2:$S$495))-(ROW('CONTROL MASTER'!#REF!)-1)))&amp;TRIM(MID(SUBSTITUTE(SUBSTITUTE(INDEX('CONTROL MASTER'!$N$2:$N$495,(SUMPRODUCT((('CONTROL MASTER'!$S$2:$S$495=14)*('CONTROL MASTER'!$T$2:$T$495&lt;=7)*('CONTROL MASTER'!$V$2:$V$495&gt;=7)*('CONTROL MASTER'!$U$2:$U$495&lt;=4)*('CONTROL MASTER'!$W$2:$W$495&gt;=4))*ROW('CONTROL MASTER'!$S$2:$S$495))-(ROW('CONTROL MASTER'!#REF!)-1))),":",","),",",REPT(" ",50)),((((7-INDEX('CONTROL MASTER'!$T$2:$T$495,(SUMPRODUCT((('CONTROL MASTER'!$S$2:$S$495=14)*('CONTROL MASTER'!$T$2:$T$495&lt;=7)*('CONTROL MASTER'!$V$2:$V$495&gt;=7)*('CONTROL MASTER'!$U$2:$U$495&lt;=4)*('CONTROL MASTER'!$W$2:$W$495&gt;=4))*ROW('CONTROL MASTER'!$S$2:$S$495))-(ROW('CONTROL MASTER'!#REF!)-1))))*(INDEX('CONTROL MASTER'!$W$2:$W$495,(SUMPRODUCT((('CONTROL MASTER'!$S$2:$S$495=14)*('CONTROL MASTER'!$T$2:$T$495&lt;=7)*('CONTROL MASTER'!$V$2:$V$495&gt;=7)*('CONTROL MASTER'!$U$2:$U$495&lt;=4)*('CONTROL MASTER'!$W$2:$W$495&gt;=4))*ROW('CONTROL MASTER'!$S$2:$S$495))-(ROW('CONTROL MASTER'!#REF!)-1)))-INDEX('CONTROL MASTER'!$U$2:$U$495,(SUMPRODUCT((('CONTROL MASTER'!$S$2:$S$495=14)*('CONTROL MASTER'!$T$2:$T$495&lt;=7)*('CONTROL MASTER'!$V$2:$V$495&gt;=7)*('CONTROL MASTER'!$U$2:$U$495&lt;=4)*('CONTROL MASTER'!$W$2:$W$495&gt;=4))*ROW('CONTROL MASTER'!$S$2:$S$495))-(ROW('CONTROL MASTER'!#REF!)-1)))+1)+(4-INDEX('CONTROL MASTER'!$U$2:$U$495,(SUMPRODUCT((('CONTROL MASTER'!$S$2:$S$495=14)*('CONTROL MASTER'!$T$2:$T$495&lt;=7)*('CONTROL MASTER'!$V$2:$V$495&gt;=7)*('CONTROL MASTER'!$U$2:$U$495&lt;=4)*('CONTROL MASTER'!$W$2:$W$495&gt;=4))*ROW('CONTROL MASTER'!$S$2:$S$495))-(ROW('CONTROL MASTER'!#REF!)-1))))+1))-1)*50+1,50))&amp;"_"&amp;INDEX('CONTROL MASTER'!$P$2:$P$495,(SUMPRODUCT((('CONTROL MASTER'!$S$2:$S$495=14)*('CONTROL MASTER'!$T$2:$T$495&lt;=7)*('CONTROL MASTER'!$V$2:$V$495&gt;=7)*('CONTROL MASTER'!$U$2:$U$495&lt;=4)*('CONTROL MASTER'!$W$2:$W$495&gt;=4))*ROW('CONTROL MASTER'!$S$2:$S$495))-(ROW('CONTROL MASTER'!#REF!)-1))),IF(SUMPRODUCT((('CONTROL MASTER'!$S$2:$S$495=14)*('CONTROL MASTER'!$Z$2:$Z$495&lt;=7)*('CONTROL MASTER'!$AB$2:$AB$495&gt;=7)*('CONTROL MASTER'!$AA$2:$AA$495&lt;=4)*('CONTROL MASTER'!$AC$2:$AC$495&gt;=4))*ROW('CONTROL MASTER'!$S$2:$S$495))&gt;0,INDEX('CONTROL MASTER'!$X$2:$X$495,(SUMPRODUCT((('CONTROL MASTER'!$S$2:$S$495=14)*('CONTROL MASTER'!$Z$2:$Z$495&lt;=7)*('CONTROL MASTER'!$AB$2:$AB$495&gt;=7)*('CONTROL MASTER'!$AA$2:$AA$495&lt;=4)*('CONTROL MASTER'!$AC$2:$AC$495&gt;=4))*ROW('CONTROL MASTER'!$S$2:$S$495))-(ROW('CONTROL MASTER'!#REF!)-1)))&amp;TRIM(MID(SUBSTITUTE(SUBSTITUTE(INDEX('CONTROL MASTER'!$N$2:$N$495,(SUMPRODUCT((('CONTROL MASTER'!$S$2:$S$495=14)*('CONTROL MASTER'!$Z$2:$Z$495&lt;=7)*('CONTROL MASTER'!$AB$2:$AB$495&gt;=7)*('CONTROL MASTER'!$AA$2:$AA$495&lt;=4)*('CONTROL MASTER'!$AC$2:$AC$495&gt;=4))*ROW('CONTROL MASTER'!$S$2:$S$495))-(ROW('CONTROL MASTER'!#REF!)-1))),":",","),",",REPT(" ",50)),(((INDEX('CONTROL MASTER'!$Y$2:$Y$495,(SUMPRODUCT((('CONTROL MASTER'!$S$2:$S$495=14)*('CONTROL MASTER'!$Z$2:$Z$495&lt;=7)*('CONTROL MASTER'!$AB$2:$AB$495&gt;=7)*('CONTROL MASTER'!$AA$2:$AA$495&lt;=4)*('CONTROL MASTER'!$AC$2:$AC$495&gt;=4))*ROW('CONTROL MASTER'!$S$2:$S$495))-(ROW('CONTROL MASTER'!#REF!)-1)))+((7-INDEX('CONTROL MASTER'!$Z$2:$Z$495,(SUMPRODUCT((('CONTROL MASTER'!$S$2:$S$495=14)*('CONTROL MASTER'!$Z$2:$Z$495&lt;=7)*('CONTROL MASTER'!$AB$2:$AB$495&gt;=7)*('CONTROL MASTER'!$AA$2:$AA$495&lt;=4)*('CONTROL MASTER'!$AC$2:$AC$495&gt;=4))*ROW('CONTROL MASTER'!$S$2:$S$495))-(ROW('CONTROL MASTER'!#REF!)-1))))*(INDEX('CONTROL MASTER'!$AC$2:$AC$495,(SUMPRODUCT((('CONTROL MASTER'!$S$2:$S$495=14)*('CONTROL MASTER'!$Z$2:$Z$495&lt;=7)*('CONTROL MASTER'!$AB$2:$AB$495&gt;=7)*('CONTROL MASTER'!$AA$2:$AA$495&lt;=4)*('CONTROL MASTER'!$AC$2:$AC$495&gt;=4))*ROW('CONTROL MASTER'!$S$2:$S$495))-(ROW('CONTROL MASTER'!#REF!)-1)))-INDEX('CONTROL MASTER'!$AA$2:$AA$495,(SUMPRODUCT((('CONTROL MASTER'!$S$2:$S$495=14)*('CONTROL MASTER'!$Z$2:$Z$495&lt;=7)*('CONTROL MASTER'!$AB$2:$AB$495&gt;=7)*('CONTROL MASTER'!$AA$2:$AA$495&lt;=4)*('CONTROL MASTER'!$AC$2:$AC$495&gt;=4))*ROW('CONTROL MASTER'!$S$2:$S$495))-(ROW('CONTROL MASTER'!#REF!)-1)))+1)+(4-INDEX('CONTROL MASTER'!$AA$2:$AA$495,(SUMPRODUCT((('CONTROL MASTER'!$S$2:$S$495=14)*('CONTROL MASTER'!$Z$2:$Z$495&lt;=7)*('CONTROL MASTER'!$AB$2:$AB$495&gt;=7)*('CONTROL MASTER'!$AA$2:$AA$495&lt;=4)*('CONTROL MASTER'!$AC$2:$AC$495&gt;=4))*ROW('CONTROL MASTER'!$S$2:$S$495))-(ROW('CONTROL MASTER'!#REF!)-1))))+1)))-1)*50+1,50))&amp;"_"&amp;INDEX('CONTROL MASTER'!$P$2:$P$495,(SUMPRODUCT((('CONTROL MASTER'!$S$2:$S$495=14)*('CONTROL MASTER'!$Z$2:$Z$495&lt;=7)*('CONTROL MASTER'!$AB$2:$AB$495&gt;=7)*('CONTROL MASTER'!$AA$2:$AA$495&lt;=4)*('CONTROL MASTER'!$AC$2:$AC$495&gt;=4))*ROW('CONTROL MASTER'!$S$2:$S$495))-(ROW('CONTROL MASTER'!#REF!)-1))),"")),"")</f>
        <v/>
      </c>
      <c r="F191" s="10" t="str">
        <f>IFERROR(IF(SUMPRODUCT((('CONTROL MASTER'!$S$2:$S$495=14)*('CONTROL MASTER'!$T$2:$T$495&lt;=7)*('CONTROL MASTER'!$V$2:$V$495&gt;=7)*('CONTROL MASTER'!$U$2:$U$495&lt;=5)*('CONTROL MASTER'!$W$2:$W$495&gt;=5))*ROW('CONTROL MASTER'!$S$2:$S$495))&gt;0,INDEX('CONTROL MASTER'!$X$2:$X$495,(SUMPRODUCT((('CONTROL MASTER'!$S$2:$S$495=14)*('CONTROL MASTER'!$T$2:$T$495&lt;=7)*('CONTROL MASTER'!$V$2:$V$495&gt;=7)*('CONTROL MASTER'!$U$2:$U$495&lt;=5)*('CONTROL MASTER'!$W$2:$W$495&gt;=5))*ROW('CONTROL MASTER'!$S$2:$S$495))-(ROW('CONTROL MASTER'!#REF!)-1)))&amp;TRIM(MID(SUBSTITUTE(SUBSTITUTE(INDEX('CONTROL MASTER'!$N$2:$N$495,(SUMPRODUCT((('CONTROL MASTER'!$S$2:$S$495=14)*('CONTROL MASTER'!$T$2:$T$495&lt;=7)*('CONTROL MASTER'!$V$2:$V$495&gt;=7)*('CONTROL MASTER'!$U$2:$U$495&lt;=5)*('CONTROL MASTER'!$W$2:$W$495&gt;=5))*ROW('CONTROL MASTER'!$S$2:$S$495))-(ROW('CONTROL MASTER'!#REF!)-1))),":",","),",",REPT(" ",50)),((((7-INDEX('CONTROL MASTER'!$T$2:$T$495,(SUMPRODUCT((('CONTROL MASTER'!$S$2:$S$495=14)*('CONTROL MASTER'!$T$2:$T$495&lt;=7)*('CONTROL MASTER'!$V$2:$V$495&gt;=7)*('CONTROL MASTER'!$U$2:$U$495&lt;=5)*('CONTROL MASTER'!$W$2:$W$495&gt;=5))*ROW('CONTROL MASTER'!$S$2:$S$495))-(ROW('CONTROL MASTER'!#REF!)-1))))*(INDEX('CONTROL MASTER'!$W$2:$W$495,(SUMPRODUCT((('CONTROL MASTER'!$S$2:$S$495=14)*('CONTROL MASTER'!$T$2:$T$495&lt;=7)*('CONTROL MASTER'!$V$2:$V$495&gt;=7)*('CONTROL MASTER'!$U$2:$U$495&lt;=5)*('CONTROL MASTER'!$W$2:$W$495&gt;=5))*ROW('CONTROL MASTER'!$S$2:$S$495))-(ROW('CONTROL MASTER'!#REF!)-1)))-INDEX('CONTROL MASTER'!$U$2:$U$495,(SUMPRODUCT((('CONTROL MASTER'!$S$2:$S$495=14)*('CONTROL MASTER'!$T$2:$T$495&lt;=7)*('CONTROL MASTER'!$V$2:$V$495&gt;=7)*('CONTROL MASTER'!$U$2:$U$495&lt;=5)*('CONTROL MASTER'!$W$2:$W$495&gt;=5))*ROW('CONTROL MASTER'!$S$2:$S$495))-(ROW('CONTROL MASTER'!#REF!)-1)))+1)+(5-INDEX('CONTROL MASTER'!$U$2:$U$495,(SUMPRODUCT((('CONTROL MASTER'!$S$2:$S$495=14)*('CONTROL MASTER'!$T$2:$T$495&lt;=7)*('CONTROL MASTER'!$V$2:$V$495&gt;=7)*('CONTROL MASTER'!$U$2:$U$495&lt;=5)*('CONTROL MASTER'!$W$2:$W$495&gt;=5))*ROW('CONTROL MASTER'!$S$2:$S$495))-(ROW('CONTROL MASTER'!#REF!)-1))))+1))-1)*50+1,50))&amp;"_"&amp;INDEX('CONTROL MASTER'!$P$2:$P$495,(SUMPRODUCT((('CONTROL MASTER'!$S$2:$S$495=14)*('CONTROL MASTER'!$T$2:$T$495&lt;=7)*('CONTROL MASTER'!$V$2:$V$495&gt;=7)*('CONTROL MASTER'!$U$2:$U$495&lt;=5)*('CONTROL MASTER'!$W$2:$W$495&gt;=5))*ROW('CONTROL MASTER'!$S$2:$S$495))-(ROW('CONTROL MASTER'!#REF!)-1))),IF(SUMPRODUCT((('CONTROL MASTER'!$S$2:$S$495=14)*('CONTROL MASTER'!$Z$2:$Z$495&lt;=7)*('CONTROL MASTER'!$AB$2:$AB$495&gt;=7)*('CONTROL MASTER'!$AA$2:$AA$495&lt;=5)*('CONTROL MASTER'!$AC$2:$AC$495&gt;=5))*ROW('CONTROL MASTER'!$S$2:$S$495))&gt;0,INDEX('CONTROL MASTER'!$X$2:$X$495,(SUMPRODUCT((('CONTROL MASTER'!$S$2:$S$495=14)*('CONTROL MASTER'!$Z$2:$Z$495&lt;=7)*('CONTROL MASTER'!$AB$2:$AB$495&gt;=7)*('CONTROL MASTER'!$AA$2:$AA$495&lt;=5)*('CONTROL MASTER'!$AC$2:$AC$495&gt;=5))*ROW('CONTROL MASTER'!$S$2:$S$495))-(ROW('CONTROL MASTER'!#REF!)-1)))&amp;TRIM(MID(SUBSTITUTE(SUBSTITUTE(INDEX('CONTROL MASTER'!$N$2:$N$495,(SUMPRODUCT((('CONTROL MASTER'!$S$2:$S$495=14)*('CONTROL MASTER'!$Z$2:$Z$495&lt;=7)*('CONTROL MASTER'!$AB$2:$AB$495&gt;=7)*('CONTROL MASTER'!$AA$2:$AA$495&lt;=5)*('CONTROL MASTER'!$AC$2:$AC$495&gt;=5))*ROW('CONTROL MASTER'!$S$2:$S$495))-(ROW('CONTROL MASTER'!#REF!)-1))),":",","),",",REPT(" ",50)),(((INDEX('CONTROL MASTER'!$Y$2:$Y$495,(SUMPRODUCT((('CONTROL MASTER'!$S$2:$S$495=14)*('CONTROL MASTER'!$Z$2:$Z$495&lt;=7)*('CONTROL MASTER'!$AB$2:$AB$495&gt;=7)*('CONTROL MASTER'!$AA$2:$AA$495&lt;=5)*('CONTROL MASTER'!$AC$2:$AC$495&gt;=5))*ROW('CONTROL MASTER'!$S$2:$S$495))-(ROW('CONTROL MASTER'!#REF!)-1)))+((7-INDEX('CONTROL MASTER'!$Z$2:$Z$495,(SUMPRODUCT((('CONTROL MASTER'!$S$2:$S$495=14)*('CONTROL MASTER'!$Z$2:$Z$495&lt;=7)*('CONTROL MASTER'!$AB$2:$AB$495&gt;=7)*('CONTROL MASTER'!$AA$2:$AA$495&lt;=5)*('CONTROL MASTER'!$AC$2:$AC$495&gt;=5))*ROW('CONTROL MASTER'!$S$2:$S$495))-(ROW('CONTROL MASTER'!#REF!)-1))))*(INDEX('CONTROL MASTER'!$AC$2:$AC$495,(SUMPRODUCT((('CONTROL MASTER'!$S$2:$S$495=14)*('CONTROL MASTER'!$Z$2:$Z$495&lt;=7)*('CONTROL MASTER'!$AB$2:$AB$495&gt;=7)*('CONTROL MASTER'!$AA$2:$AA$495&lt;=5)*('CONTROL MASTER'!$AC$2:$AC$495&gt;=5))*ROW('CONTROL MASTER'!$S$2:$S$495))-(ROW('CONTROL MASTER'!#REF!)-1)))-INDEX('CONTROL MASTER'!$AA$2:$AA$495,(SUMPRODUCT((('CONTROL MASTER'!$S$2:$S$495=14)*('CONTROL MASTER'!$Z$2:$Z$495&lt;=7)*('CONTROL MASTER'!$AB$2:$AB$495&gt;=7)*('CONTROL MASTER'!$AA$2:$AA$495&lt;=5)*('CONTROL MASTER'!$AC$2:$AC$495&gt;=5))*ROW('CONTROL MASTER'!$S$2:$S$495))-(ROW('CONTROL MASTER'!#REF!)-1)))+1)+(5-INDEX('CONTROL MASTER'!$AA$2:$AA$495,(SUMPRODUCT((('CONTROL MASTER'!$S$2:$S$495=14)*('CONTROL MASTER'!$Z$2:$Z$495&lt;=7)*('CONTROL MASTER'!$AB$2:$AB$495&gt;=7)*('CONTROL MASTER'!$AA$2:$AA$495&lt;=5)*('CONTROL MASTER'!$AC$2:$AC$495&gt;=5))*ROW('CONTROL MASTER'!$S$2:$S$495))-(ROW('CONTROL MASTER'!#REF!)-1))))+1)))-1)*50+1,50))&amp;"_"&amp;INDEX('CONTROL MASTER'!$P$2:$P$495,(SUMPRODUCT((('CONTROL MASTER'!$S$2:$S$495=14)*('CONTROL MASTER'!$Z$2:$Z$495&lt;=7)*('CONTROL MASTER'!$AB$2:$AB$495&gt;=7)*('CONTROL MASTER'!$AA$2:$AA$495&lt;=5)*('CONTROL MASTER'!$AC$2:$AC$495&gt;=5))*ROW('CONTROL MASTER'!$S$2:$S$495))-(ROW('CONTROL MASTER'!#REF!)-1))),"")),"")</f>
        <v/>
      </c>
      <c r="G191" s="10" t="str">
        <f>IFERROR(IF(SUMPRODUCT((('CONTROL MASTER'!$S$2:$S$495=14)*('CONTROL MASTER'!$T$2:$T$495&lt;=7)*('CONTROL MASTER'!$V$2:$V$495&gt;=7)*('CONTROL MASTER'!$U$2:$U$495&lt;=6)*('CONTROL MASTER'!$W$2:$W$495&gt;=6))*ROW('CONTROL MASTER'!$S$2:$S$495))&gt;0,INDEX('CONTROL MASTER'!$X$2:$X$495,(SUMPRODUCT((('CONTROL MASTER'!$S$2:$S$495=14)*('CONTROL MASTER'!$T$2:$T$495&lt;=7)*('CONTROL MASTER'!$V$2:$V$495&gt;=7)*('CONTROL MASTER'!$U$2:$U$495&lt;=6)*('CONTROL MASTER'!$W$2:$W$495&gt;=6))*ROW('CONTROL MASTER'!$S$2:$S$495))-(ROW('CONTROL MASTER'!#REF!)-1)))&amp;TRIM(MID(SUBSTITUTE(SUBSTITUTE(INDEX('CONTROL MASTER'!$N$2:$N$495,(SUMPRODUCT((('CONTROL MASTER'!$S$2:$S$495=14)*('CONTROL MASTER'!$T$2:$T$495&lt;=7)*('CONTROL MASTER'!$V$2:$V$495&gt;=7)*('CONTROL MASTER'!$U$2:$U$495&lt;=6)*('CONTROL MASTER'!$W$2:$W$495&gt;=6))*ROW('CONTROL MASTER'!$S$2:$S$495))-(ROW('CONTROL MASTER'!#REF!)-1))),":",","),",",REPT(" ",50)),((((7-INDEX('CONTROL MASTER'!$T$2:$T$495,(SUMPRODUCT((('CONTROL MASTER'!$S$2:$S$495=14)*('CONTROL MASTER'!$T$2:$T$495&lt;=7)*('CONTROL MASTER'!$V$2:$V$495&gt;=7)*('CONTROL MASTER'!$U$2:$U$495&lt;=6)*('CONTROL MASTER'!$W$2:$W$495&gt;=6))*ROW('CONTROL MASTER'!$S$2:$S$495))-(ROW('CONTROL MASTER'!#REF!)-1))))*(INDEX('CONTROL MASTER'!$W$2:$W$495,(SUMPRODUCT((('CONTROL MASTER'!$S$2:$S$495=14)*('CONTROL MASTER'!$T$2:$T$495&lt;=7)*('CONTROL MASTER'!$V$2:$V$495&gt;=7)*('CONTROL MASTER'!$U$2:$U$495&lt;=6)*('CONTROL MASTER'!$W$2:$W$495&gt;=6))*ROW('CONTROL MASTER'!$S$2:$S$495))-(ROW('CONTROL MASTER'!#REF!)-1)))-INDEX('CONTROL MASTER'!$U$2:$U$495,(SUMPRODUCT((('CONTROL MASTER'!$S$2:$S$495=14)*('CONTROL MASTER'!$T$2:$T$495&lt;=7)*('CONTROL MASTER'!$V$2:$V$495&gt;=7)*('CONTROL MASTER'!$U$2:$U$495&lt;=6)*('CONTROL MASTER'!$W$2:$W$495&gt;=6))*ROW('CONTROL MASTER'!$S$2:$S$495))-(ROW('CONTROL MASTER'!#REF!)-1)))+1)+(6-INDEX('CONTROL MASTER'!$U$2:$U$495,(SUMPRODUCT((('CONTROL MASTER'!$S$2:$S$495=14)*('CONTROL MASTER'!$T$2:$T$495&lt;=7)*('CONTROL MASTER'!$V$2:$V$495&gt;=7)*('CONTROL MASTER'!$U$2:$U$495&lt;=6)*('CONTROL MASTER'!$W$2:$W$495&gt;=6))*ROW('CONTROL MASTER'!$S$2:$S$495))-(ROW('CONTROL MASTER'!#REF!)-1))))+1))-1)*50+1,50))&amp;"_"&amp;INDEX('CONTROL MASTER'!$P$2:$P$495,(SUMPRODUCT((('CONTROL MASTER'!$S$2:$S$495=14)*('CONTROL MASTER'!$T$2:$T$495&lt;=7)*('CONTROL MASTER'!$V$2:$V$495&gt;=7)*('CONTROL MASTER'!$U$2:$U$495&lt;=6)*('CONTROL MASTER'!$W$2:$W$495&gt;=6))*ROW('CONTROL MASTER'!$S$2:$S$495))-(ROW('CONTROL MASTER'!#REF!)-1))),IF(SUMPRODUCT((('CONTROL MASTER'!$S$2:$S$495=14)*('CONTROL MASTER'!$Z$2:$Z$495&lt;=7)*('CONTROL MASTER'!$AB$2:$AB$495&gt;=7)*('CONTROL MASTER'!$AA$2:$AA$495&lt;=6)*('CONTROL MASTER'!$AC$2:$AC$495&gt;=6))*ROW('CONTROL MASTER'!$S$2:$S$495))&gt;0,INDEX('CONTROL MASTER'!$X$2:$X$495,(SUMPRODUCT((('CONTROL MASTER'!$S$2:$S$495=14)*('CONTROL MASTER'!$Z$2:$Z$495&lt;=7)*('CONTROL MASTER'!$AB$2:$AB$495&gt;=7)*('CONTROL MASTER'!$AA$2:$AA$495&lt;=6)*('CONTROL MASTER'!$AC$2:$AC$495&gt;=6))*ROW('CONTROL MASTER'!$S$2:$S$495))-(ROW('CONTROL MASTER'!#REF!)-1)))&amp;TRIM(MID(SUBSTITUTE(SUBSTITUTE(INDEX('CONTROL MASTER'!$N$2:$N$495,(SUMPRODUCT((('CONTROL MASTER'!$S$2:$S$495=14)*('CONTROL MASTER'!$Z$2:$Z$495&lt;=7)*('CONTROL MASTER'!$AB$2:$AB$495&gt;=7)*('CONTROL MASTER'!$AA$2:$AA$495&lt;=6)*('CONTROL MASTER'!$AC$2:$AC$495&gt;=6))*ROW('CONTROL MASTER'!$S$2:$S$495))-(ROW('CONTROL MASTER'!#REF!)-1))),":",","),",",REPT(" ",50)),(((INDEX('CONTROL MASTER'!$Y$2:$Y$495,(SUMPRODUCT((('CONTROL MASTER'!$S$2:$S$495=14)*('CONTROL MASTER'!$Z$2:$Z$495&lt;=7)*('CONTROL MASTER'!$AB$2:$AB$495&gt;=7)*('CONTROL MASTER'!$AA$2:$AA$495&lt;=6)*('CONTROL MASTER'!$AC$2:$AC$495&gt;=6))*ROW('CONTROL MASTER'!$S$2:$S$495))-(ROW('CONTROL MASTER'!#REF!)-1)))+((7-INDEX('CONTROL MASTER'!$Z$2:$Z$495,(SUMPRODUCT((('CONTROL MASTER'!$S$2:$S$495=14)*('CONTROL MASTER'!$Z$2:$Z$495&lt;=7)*('CONTROL MASTER'!$AB$2:$AB$495&gt;=7)*('CONTROL MASTER'!$AA$2:$AA$495&lt;=6)*('CONTROL MASTER'!$AC$2:$AC$495&gt;=6))*ROW('CONTROL MASTER'!$S$2:$S$495))-(ROW('CONTROL MASTER'!#REF!)-1))))*(INDEX('CONTROL MASTER'!$AC$2:$AC$495,(SUMPRODUCT((('CONTROL MASTER'!$S$2:$S$495=14)*('CONTROL MASTER'!$Z$2:$Z$495&lt;=7)*('CONTROL MASTER'!$AB$2:$AB$495&gt;=7)*('CONTROL MASTER'!$AA$2:$AA$495&lt;=6)*('CONTROL MASTER'!$AC$2:$AC$495&gt;=6))*ROW('CONTROL MASTER'!$S$2:$S$495))-(ROW('CONTROL MASTER'!#REF!)-1)))-INDEX('CONTROL MASTER'!$AA$2:$AA$495,(SUMPRODUCT((('CONTROL MASTER'!$S$2:$S$495=14)*('CONTROL MASTER'!$Z$2:$Z$495&lt;=7)*('CONTROL MASTER'!$AB$2:$AB$495&gt;=7)*('CONTROL MASTER'!$AA$2:$AA$495&lt;=6)*('CONTROL MASTER'!$AC$2:$AC$495&gt;=6))*ROW('CONTROL MASTER'!$S$2:$S$495))-(ROW('CONTROL MASTER'!#REF!)-1)))+1)+(6-INDEX('CONTROL MASTER'!$AA$2:$AA$495,(SUMPRODUCT((('CONTROL MASTER'!$S$2:$S$495=14)*('CONTROL MASTER'!$Z$2:$Z$495&lt;=7)*('CONTROL MASTER'!$AB$2:$AB$495&gt;=7)*('CONTROL MASTER'!$AA$2:$AA$495&lt;=6)*('CONTROL MASTER'!$AC$2:$AC$495&gt;=6))*ROW('CONTROL MASTER'!$S$2:$S$495))-(ROW('CONTROL MASTER'!#REF!)-1))))+1)))-1)*50+1,50))&amp;"_"&amp;INDEX('CONTROL MASTER'!$P$2:$P$495,(SUMPRODUCT((('CONTROL MASTER'!$S$2:$S$495=14)*('CONTROL MASTER'!$Z$2:$Z$495&lt;=7)*('CONTROL MASTER'!$AB$2:$AB$495&gt;=7)*('CONTROL MASTER'!$AA$2:$AA$495&lt;=6)*('CONTROL MASTER'!$AC$2:$AC$495&gt;=6))*ROW('CONTROL MASTER'!$S$2:$S$495))-(ROW('CONTROL MASTER'!#REF!)-1))),"")),"")</f>
        <v/>
      </c>
      <c r="H191" s="10" t="str">
        <f>IFERROR(IF(SUMPRODUCT((('CONTROL MASTER'!$S$2:$S$495=14)*('CONTROL MASTER'!$T$2:$T$495&lt;=7)*('CONTROL MASTER'!$V$2:$V$495&gt;=7)*('CONTROL MASTER'!$U$2:$U$495&lt;=7)*('CONTROL MASTER'!$W$2:$W$495&gt;=7))*ROW('CONTROL MASTER'!$S$2:$S$495))&gt;0,INDEX('CONTROL MASTER'!$X$2:$X$495,(SUMPRODUCT((('CONTROL MASTER'!$S$2:$S$495=14)*('CONTROL MASTER'!$T$2:$T$495&lt;=7)*('CONTROL MASTER'!$V$2:$V$495&gt;=7)*('CONTROL MASTER'!$U$2:$U$495&lt;=7)*('CONTROL MASTER'!$W$2:$W$495&gt;=7))*ROW('CONTROL MASTER'!$S$2:$S$495))-(ROW('CONTROL MASTER'!#REF!)-1)))&amp;TRIM(MID(SUBSTITUTE(SUBSTITUTE(INDEX('CONTROL MASTER'!$N$2:$N$495,(SUMPRODUCT((('CONTROL MASTER'!$S$2:$S$495=14)*('CONTROL MASTER'!$T$2:$T$495&lt;=7)*('CONTROL MASTER'!$V$2:$V$495&gt;=7)*('CONTROL MASTER'!$U$2:$U$495&lt;=7)*('CONTROL MASTER'!$W$2:$W$495&gt;=7))*ROW('CONTROL MASTER'!$S$2:$S$495))-(ROW('CONTROL MASTER'!#REF!)-1))),":",","),",",REPT(" ",50)),((((7-INDEX('CONTROL MASTER'!$T$2:$T$495,(SUMPRODUCT((('CONTROL MASTER'!$S$2:$S$495=14)*('CONTROL MASTER'!$T$2:$T$495&lt;=7)*('CONTROL MASTER'!$V$2:$V$495&gt;=7)*('CONTROL MASTER'!$U$2:$U$495&lt;=7)*('CONTROL MASTER'!$W$2:$W$495&gt;=7))*ROW('CONTROL MASTER'!$S$2:$S$495))-(ROW('CONTROL MASTER'!#REF!)-1))))*(INDEX('CONTROL MASTER'!$W$2:$W$495,(SUMPRODUCT((('CONTROL MASTER'!$S$2:$S$495=14)*('CONTROL MASTER'!$T$2:$T$495&lt;=7)*('CONTROL MASTER'!$V$2:$V$495&gt;=7)*('CONTROL MASTER'!$U$2:$U$495&lt;=7)*('CONTROL MASTER'!$W$2:$W$495&gt;=7))*ROW('CONTROL MASTER'!$S$2:$S$495))-(ROW('CONTROL MASTER'!#REF!)-1)))-INDEX('CONTROL MASTER'!$U$2:$U$495,(SUMPRODUCT((('CONTROL MASTER'!$S$2:$S$495=14)*('CONTROL MASTER'!$T$2:$T$495&lt;=7)*('CONTROL MASTER'!$V$2:$V$495&gt;=7)*('CONTROL MASTER'!$U$2:$U$495&lt;=7)*('CONTROL MASTER'!$W$2:$W$495&gt;=7))*ROW('CONTROL MASTER'!$S$2:$S$495))-(ROW('CONTROL MASTER'!#REF!)-1)))+1)+(7-INDEX('CONTROL MASTER'!$U$2:$U$495,(SUMPRODUCT((('CONTROL MASTER'!$S$2:$S$495=14)*('CONTROL MASTER'!$T$2:$T$495&lt;=7)*('CONTROL MASTER'!$V$2:$V$495&gt;=7)*('CONTROL MASTER'!$U$2:$U$495&lt;=7)*('CONTROL MASTER'!$W$2:$W$495&gt;=7))*ROW('CONTROL MASTER'!$S$2:$S$495))-(ROW('CONTROL MASTER'!#REF!)-1))))+1))-1)*50+1,50))&amp;"_"&amp;INDEX('CONTROL MASTER'!$P$2:$P$495,(SUMPRODUCT((('CONTROL MASTER'!$S$2:$S$495=14)*('CONTROL MASTER'!$T$2:$T$495&lt;=7)*('CONTROL MASTER'!$V$2:$V$495&gt;=7)*('CONTROL MASTER'!$U$2:$U$495&lt;=7)*('CONTROL MASTER'!$W$2:$W$495&gt;=7))*ROW('CONTROL MASTER'!$S$2:$S$495))-(ROW('CONTROL MASTER'!#REF!)-1))),IF(SUMPRODUCT((('CONTROL MASTER'!$S$2:$S$495=14)*('CONTROL MASTER'!$Z$2:$Z$495&lt;=7)*('CONTROL MASTER'!$AB$2:$AB$495&gt;=7)*('CONTROL MASTER'!$AA$2:$AA$495&lt;=7)*('CONTROL MASTER'!$AC$2:$AC$495&gt;=7))*ROW('CONTROL MASTER'!$S$2:$S$495))&gt;0,INDEX('CONTROL MASTER'!$X$2:$X$495,(SUMPRODUCT((('CONTROL MASTER'!$S$2:$S$495=14)*('CONTROL MASTER'!$Z$2:$Z$495&lt;=7)*('CONTROL MASTER'!$AB$2:$AB$495&gt;=7)*('CONTROL MASTER'!$AA$2:$AA$495&lt;=7)*('CONTROL MASTER'!$AC$2:$AC$495&gt;=7))*ROW('CONTROL MASTER'!$S$2:$S$495))-(ROW('CONTROL MASTER'!#REF!)-1)))&amp;TRIM(MID(SUBSTITUTE(SUBSTITUTE(INDEX('CONTROL MASTER'!$N$2:$N$495,(SUMPRODUCT((('CONTROL MASTER'!$S$2:$S$495=14)*('CONTROL MASTER'!$Z$2:$Z$495&lt;=7)*('CONTROL MASTER'!$AB$2:$AB$495&gt;=7)*('CONTROL MASTER'!$AA$2:$AA$495&lt;=7)*('CONTROL MASTER'!$AC$2:$AC$495&gt;=7))*ROW('CONTROL MASTER'!$S$2:$S$495))-(ROW('CONTROL MASTER'!#REF!)-1))),":",","),",",REPT(" ",50)),(((INDEX('CONTROL MASTER'!$Y$2:$Y$495,(SUMPRODUCT((('CONTROL MASTER'!$S$2:$S$495=14)*('CONTROL MASTER'!$Z$2:$Z$495&lt;=7)*('CONTROL MASTER'!$AB$2:$AB$495&gt;=7)*('CONTROL MASTER'!$AA$2:$AA$495&lt;=7)*('CONTROL MASTER'!$AC$2:$AC$495&gt;=7))*ROW('CONTROL MASTER'!$S$2:$S$495))-(ROW('CONTROL MASTER'!#REF!)-1)))+((7-INDEX('CONTROL MASTER'!$Z$2:$Z$495,(SUMPRODUCT((('CONTROL MASTER'!$S$2:$S$495=14)*('CONTROL MASTER'!$Z$2:$Z$495&lt;=7)*('CONTROL MASTER'!$AB$2:$AB$495&gt;=7)*('CONTROL MASTER'!$AA$2:$AA$495&lt;=7)*('CONTROL MASTER'!$AC$2:$AC$495&gt;=7))*ROW('CONTROL MASTER'!$S$2:$S$495))-(ROW('CONTROL MASTER'!#REF!)-1))))*(INDEX('CONTROL MASTER'!$AC$2:$AC$495,(SUMPRODUCT((('CONTROL MASTER'!$S$2:$S$495=14)*('CONTROL MASTER'!$Z$2:$Z$495&lt;=7)*('CONTROL MASTER'!$AB$2:$AB$495&gt;=7)*('CONTROL MASTER'!$AA$2:$AA$495&lt;=7)*('CONTROL MASTER'!$AC$2:$AC$495&gt;=7))*ROW('CONTROL MASTER'!$S$2:$S$495))-(ROW('CONTROL MASTER'!#REF!)-1)))-INDEX('CONTROL MASTER'!$AA$2:$AA$495,(SUMPRODUCT((('CONTROL MASTER'!$S$2:$S$495=14)*('CONTROL MASTER'!$Z$2:$Z$495&lt;=7)*('CONTROL MASTER'!$AB$2:$AB$495&gt;=7)*('CONTROL MASTER'!$AA$2:$AA$495&lt;=7)*('CONTROL MASTER'!$AC$2:$AC$495&gt;=7))*ROW('CONTROL MASTER'!$S$2:$S$495))-(ROW('CONTROL MASTER'!#REF!)-1)))+1)+(7-INDEX('CONTROL MASTER'!$AA$2:$AA$495,(SUMPRODUCT((('CONTROL MASTER'!$S$2:$S$495=14)*('CONTROL MASTER'!$Z$2:$Z$495&lt;=7)*('CONTROL MASTER'!$AB$2:$AB$495&gt;=7)*('CONTROL MASTER'!$AA$2:$AA$495&lt;=7)*('CONTROL MASTER'!$AC$2:$AC$495&gt;=7))*ROW('CONTROL MASTER'!$S$2:$S$495))-(ROW('CONTROL MASTER'!#REF!)-1))))+1)))-1)*50+1,50))&amp;"_"&amp;INDEX('CONTROL MASTER'!$P$2:$P$495,(SUMPRODUCT((('CONTROL MASTER'!$S$2:$S$495=14)*('CONTROL MASTER'!$Z$2:$Z$495&lt;=7)*('CONTROL MASTER'!$AB$2:$AB$495&gt;=7)*('CONTROL MASTER'!$AA$2:$AA$495&lt;=7)*('CONTROL MASTER'!$AC$2:$AC$495&gt;=7))*ROW('CONTROL MASTER'!$S$2:$S$495))-(ROW('CONTROL MASTER'!#REF!)-1))),"")),"")</f>
        <v/>
      </c>
      <c r="I191" s="10" t="str">
        <f>IFERROR(IF(SUMPRODUCT((('CONTROL MASTER'!$S$2:$S$495=14)*('CONTROL MASTER'!$T$2:$T$495&lt;=7)*('CONTROL MASTER'!$V$2:$V$495&gt;=7)*('CONTROL MASTER'!$U$2:$U$495&lt;=8)*('CONTROL MASTER'!$W$2:$W$495&gt;=8))*ROW('CONTROL MASTER'!$S$2:$S$495))&gt;0,INDEX('CONTROL MASTER'!$X$2:$X$495,(SUMPRODUCT((('CONTROL MASTER'!$S$2:$S$495=14)*('CONTROL MASTER'!$T$2:$T$495&lt;=7)*('CONTROL MASTER'!$V$2:$V$495&gt;=7)*('CONTROL MASTER'!$U$2:$U$495&lt;=8)*('CONTROL MASTER'!$W$2:$W$495&gt;=8))*ROW('CONTROL MASTER'!$S$2:$S$495))-(ROW('CONTROL MASTER'!#REF!)-1)))&amp;TRIM(MID(SUBSTITUTE(SUBSTITUTE(INDEX('CONTROL MASTER'!$N$2:$N$495,(SUMPRODUCT((('CONTROL MASTER'!$S$2:$S$495=14)*('CONTROL MASTER'!$T$2:$T$495&lt;=7)*('CONTROL MASTER'!$V$2:$V$495&gt;=7)*('CONTROL MASTER'!$U$2:$U$495&lt;=8)*('CONTROL MASTER'!$W$2:$W$495&gt;=8))*ROW('CONTROL MASTER'!$S$2:$S$495))-(ROW('CONTROL MASTER'!#REF!)-1))),":",","),",",REPT(" ",50)),((((7-INDEX('CONTROL MASTER'!$T$2:$T$495,(SUMPRODUCT((('CONTROL MASTER'!$S$2:$S$495=14)*('CONTROL MASTER'!$T$2:$T$495&lt;=7)*('CONTROL MASTER'!$V$2:$V$495&gt;=7)*('CONTROL MASTER'!$U$2:$U$495&lt;=8)*('CONTROL MASTER'!$W$2:$W$495&gt;=8))*ROW('CONTROL MASTER'!$S$2:$S$495))-(ROW('CONTROL MASTER'!#REF!)-1))))*(INDEX('CONTROL MASTER'!$W$2:$W$495,(SUMPRODUCT((('CONTROL MASTER'!$S$2:$S$495=14)*('CONTROL MASTER'!$T$2:$T$495&lt;=7)*('CONTROL MASTER'!$V$2:$V$495&gt;=7)*('CONTROL MASTER'!$U$2:$U$495&lt;=8)*('CONTROL MASTER'!$W$2:$W$495&gt;=8))*ROW('CONTROL MASTER'!$S$2:$S$495))-(ROW('CONTROL MASTER'!#REF!)-1)))-INDEX('CONTROL MASTER'!$U$2:$U$495,(SUMPRODUCT((('CONTROL MASTER'!$S$2:$S$495=14)*('CONTROL MASTER'!$T$2:$T$495&lt;=7)*('CONTROL MASTER'!$V$2:$V$495&gt;=7)*('CONTROL MASTER'!$U$2:$U$495&lt;=8)*('CONTROL MASTER'!$W$2:$W$495&gt;=8))*ROW('CONTROL MASTER'!$S$2:$S$495))-(ROW('CONTROL MASTER'!#REF!)-1)))+1)+(8-INDEX('CONTROL MASTER'!$U$2:$U$495,(SUMPRODUCT((('CONTROL MASTER'!$S$2:$S$495=14)*('CONTROL MASTER'!$T$2:$T$495&lt;=7)*('CONTROL MASTER'!$V$2:$V$495&gt;=7)*('CONTROL MASTER'!$U$2:$U$495&lt;=8)*('CONTROL MASTER'!$W$2:$W$495&gt;=8))*ROW('CONTROL MASTER'!$S$2:$S$495))-(ROW('CONTROL MASTER'!#REF!)-1))))+1))-1)*50+1,50))&amp;"_"&amp;INDEX('CONTROL MASTER'!$P$2:$P$495,(SUMPRODUCT((('CONTROL MASTER'!$S$2:$S$495=14)*('CONTROL MASTER'!$T$2:$T$495&lt;=7)*('CONTROL MASTER'!$V$2:$V$495&gt;=7)*('CONTROL MASTER'!$U$2:$U$495&lt;=8)*('CONTROL MASTER'!$W$2:$W$495&gt;=8))*ROW('CONTROL MASTER'!$S$2:$S$495))-(ROW('CONTROL MASTER'!#REF!)-1))),IF(SUMPRODUCT((('CONTROL MASTER'!$S$2:$S$495=14)*('CONTROL MASTER'!$Z$2:$Z$495&lt;=7)*('CONTROL MASTER'!$AB$2:$AB$495&gt;=7)*('CONTROL MASTER'!$AA$2:$AA$495&lt;=8)*('CONTROL MASTER'!$AC$2:$AC$495&gt;=8))*ROW('CONTROL MASTER'!$S$2:$S$495))&gt;0,INDEX('CONTROL MASTER'!$X$2:$X$495,(SUMPRODUCT((('CONTROL MASTER'!$S$2:$S$495=14)*('CONTROL MASTER'!$Z$2:$Z$495&lt;=7)*('CONTROL MASTER'!$AB$2:$AB$495&gt;=7)*('CONTROL MASTER'!$AA$2:$AA$495&lt;=8)*('CONTROL MASTER'!$AC$2:$AC$495&gt;=8))*ROW('CONTROL MASTER'!$S$2:$S$495))-(ROW('CONTROL MASTER'!#REF!)-1)))&amp;TRIM(MID(SUBSTITUTE(SUBSTITUTE(INDEX('CONTROL MASTER'!$N$2:$N$495,(SUMPRODUCT((('CONTROL MASTER'!$S$2:$S$495=14)*('CONTROL MASTER'!$Z$2:$Z$495&lt;=7)*('CONTROL MASTER'!$AB$2:$AB$495&gt;=7)*('CONTROL MASTER'!$AA$2:$AA$495&lt;=8)*('CONTROL MASTER'!$AC$2:$AC$495&gt;=8))*ROW('CONTROL MASTER'!$S$2:$S$495))-(ROW('CONTROL MASTER'!#REF!)-1))),":",","),",",REPT(" ",50)),(((INDEX('CONTROL MASTER'!$Y$2:$Y$495,(SUMPRODUCT((('CONTROL MASTER'!$S$2:$S$495=14)*('CONTROL MASTER'!$Z$2:$Z$495&lt;=7)*('CONTROL MASTER'!$AB$2:$AB$495&gt;=7)*('CONTROL MASTER'!$AA$2:$AA$495&lt;=8)*('CONTROL MASTER'!$AC$2:$AC$495&gt;=8))*ROW('CONTROL MASTER'!$S$2:$S$495))-(ROW('CONTROL MASTER'!#REF!)-1)))+((7-INDEX('CONTROL MASTER'!$Z$2:$Z$495,(SUMPRODUCT((('CONTROL MASTER'!$S$2:$S$495=14)*('CONTROL MASTER'!$Z$2:$Z$495&lt;=7)*('CONTROL MASTER'!$AB$2:$AB$495&gt;=7)*('CONTROL MASTER'!$AA$2:$AA$495&lt;=8)*('CONTROL MASTER'!$AC$2:$AC$495&gt;=8))*ROW('CONTROL MASTER'!$S$2:$S$495))-(ROW('CONTROL MASTER'!#REF!)-1))))*(INDEX('CONTROL MASTER'!$AC$2:$AC$495,(SUMPRODUCT((('CONTROL MASTER'!$S$2:$S$495=14)*('CONTROL MASTER'!$Z$2:$Z$495&lt;=7)*('CONTROL MASTER'!$AB$2:$AB$495&gt;=7)*('CONTROL MASTER'!$AA$2:$AA$495&lt;=8)*('CONTROL MASTER'!$AC$2:$AC$495&gt;=8))*ROW('CONTROL MASTER'!$S$2:$S$495))-(ROW('CONTROL MASTER'!#REF!)-1)))-INDEX('CONTROL MASTER'!$AA$2:$AA$495,(SUMPRODUCT((('CONTROL MASTER'!$S$2:$S$495=14)*('CONTROL MASTER'!$Z$2:$Z$495&lt;=7)*('CONTROL MASTER'!$AB$2:$AB$495&gt;=7)*('CONTROL MASTER'!$AA$2:$AA$495&lt;=8)*('CONTROL MASTER'!$AC$2:$AC$495&gt;=8))*ROW('CONTROL MASTER'!$S$2:$S$495))-(ROW('CONTROL MASTER'!#REF!)-1)))+1)+(8-INDEX('CONTROL MASTER'!$AA$2:$AA$495,(SUMPRODUCT((('CONTROL MASTER'!$S$2:$S$495=14)*('CONTROL MASTER'!$Z$2:$Z$495&lt;=7)*('CONTROL MASTER'!$AB$2:$AB$495&gt;=7)*('CONTROL MASTER'!$AA$2:$AA$495&lt;=8)*('CONTROL MASTER'!$AC$2:$AC$495&gt;=8))*ROW('CONTROL MASTER'!$S$2:$S$495))-(ROW('CONTROL MASTER'!#REF!)-1))))+1)))-1)*50+1,50))&amp;"_"&amp;INDEX('CONTROL MASTER'!$P$2:$P$495,(SUMPRODUCT((('CONTROL MASTER'!$S$2:$S$495=14)*('CONTROL MASTER'!$Z$2:$Z$495&lt;=7)*('CONTROL MASTER'!$AB$2:$AB$495&gt;=7)*('CONTROL MASTER'!$AA$2:$AA$495&lt;=8)*('CONTROL MASTER'!$AC$2:$AC$495&gt;=8))*ROW('CONTROL MASTER'!$S$2:$S$495))-(ROW('CONTROL MASTER'!#REF!)-1))),"")),"")</f>
        <v/>
      </c>
      <c r="J191" s="10" t="str">
        <f>IFERROR(IF(SUMPRODUCT((('CONTROL MASTER'!$S$2:$S$495=14)*('CONTROL MASTER'!$T$2:$T$495&lt;=7)*('CONTROL MASTER'!$V$2:$V$495&gt;=7)*('CONTROL MASTER'!$U$2:$U$495&lt;=9)*('CONTROL MASTER'!$W$2:$W$495&gt;=9))*ROW('CONTROL MASTER'!$S$2:$S$495))&gt;0,INDEX('CONTROL MASTER'!$X$2:$X$495,(SUMPRODUCT((('CONTROL MASTER'!$S$2:$S$495=14)*('CONTROL MASTER'!$T$2:$T$495&lt;=7)*('CONTROL MASTER'!$V$2:$V$495&gt;=7)*('CONTROL MASTER'!$U$2:$U$495&lt;=9)*('CONTROL MASTER'!$W$2:$W$495&gt;=9))*ROW('CONTROL MASTER'!$S$2:$S$495))-(ROW('CONTROL MASTER'!#REF!)-1)))&amp;TRIM(MID(SUBSTITUTE(SUBSTITUTE(INDEX('CONTROL MASTER'!$N$2:$N$495,(SUMPRODUCT((('CONTROL MASTER'!$S$2:$S$495=14)*('CONTROL MASTER'!$T$2:$T$495&lt;=7)*('CONTROL MASTER'!$V$2:$V$495&gt;=7)*('CONTROL MASTER'!$U$2:$U$495&lt;=9)*('CONTROL MASTER'!$W$2:$W$495&gt;=9))*ROW('CONTROL MASTER'!$S$2:$S$495))-(ROW('CONTROL MASTER'!#REF!)-1))),":",","),",",REPT(" ",50)),((((7-INDEX('CONTROL MASTER'!$T$2:$T$495,(SUMPRODUCT((('CONTROL MASTER'!$S$2:$S$495=14)*('CONTROL MASTER'!$T$2:$T$495&lt;=7)*('CONTROL MASTER'!$V$2:$V$495&gt;=7)*('CONTROL MASTER'!$U$2:$U$495&lt;=9)*('CONTROL MASTER'!$W$2:$W$495&gt;=9))*ROW('CONTROL MASTER'!$S$2:$S$495))-(ROW('CONTROL MASTER'!#REF!)-1))))*(INDEX('CONTROL MASTER'!$W$2:$W$495,(SUMPRODUCT((('CONTROL MASTER'!$S$2:$S$495=14)*('CONTROL MASTER'!$T$2:$T$495&lt;=7)*('CONTROL MASTER'!$V$2:$V$495&gt;=7)*('CONTROL MASTER'!$U$2:$U$495&lt;=9)*('CONTROL MASTER'!$W$2:$W$495&gt;=9))*ROW('CONTROL MASTER'!$S$2:$S$495))-(ROW('CONTROL MASTER'!#REF!)-1)))-INDEX('CONTROL MASTER'!$U$2:$U$495,(SUMPRODUCT((('CONTROL MASTER'!$S$2:$S$495=14)*('CONTROL MASTER'!$T$2:$T$495&lt;=7)*('CONTROL MASTER'!$V$2:$V$495&gt;=7)*('CONTROL MASTER'!$U$2:$U$495&lt;=9)*('CONTROL MASTER'!$W$2:$W$495&gt;=9))*ROW('CONTROL MASTER'!$S$2:$S$495))-(ROW('CONTROL MASTER'!#REF!)-1)))+1)+(9-INDEX('CONTROL MASTER'!$U$2:$U$495,(SUMPRODUCT((('CONTROL MASTER'!$S$2:$S$495=14)*('CONTROL MASTER'!$T$2:$T$495&lt;=7)*('CONTROL MASTER'!$V$2:$V$495&gt;=7)*('CONTROL MASTER'!$U$2:$U$495&lt;=9)*('CONTROL MASTER'!$W$2:$W$495&gt;=9))*ROW('CONTROL MASTER'!$S$2:$S$495))-(ROW('CONTROL MASTER'!#REF!)-1))))+1))-1)*50+1,50))&amp;"_"&amp;INDEX('CONTROL MASTER'!$P$2:$P$495,(SUMPRODUCT((('CONTROL MASTER'!$S$2:$S$495=14)*('CONTROL MASTER'!$T$2:$T$495&lt;=7)*('CONTROL MASTER'!$V$2:$V$495&gt;=7)*('CONTROL MASTER'!$U$2:$U$495&lt;=9)*('CONTROL MASTER'!$W$2:$W$495&gt;=9))*ROW('CONTROL MASTER'!$S$2:$S$495))-(ROW('CONTROL MASTER'!#REF!)-1))),IF(SUMPRODUCT((('CONTROL MASTER'!$S$2:$S$495=14)*('CONTROL MASTER'!$Z$2:$Z$495&lt;=7)*('CONTROL MASTER'!$AB$2:$AB$495&gt;=7)*('CONTROL MASTER'!$AA$2:$AA$495&lt;=9)*('CONTROL MASTER'!$AC$2:$AC$495&gt;=9))*ROW('CONTROL MASTER'!$S$2:$S$495))&gt;0,INDEX('CONTROL MASTER'!$X$2:$X$495,(SUMPRODUCT((('CONTROL MASTER'!$S$2:$S$495=14)*('CONTROL MASTER'!$Z$2:$Z$495&lt;=7)*('CONTROL MASTER'!$AB$2:$AB$495&gt;=7)*('CONTROL MASTER'!$AA$2:$AA$495&lt;=9)*('CONTROL MASTER'!$AC$2:$AC$495&gt;=9))*ROW('CONTROL MASTER'!$S$2:$S$495))-(ROW('CONTROL MASTER'!#REF!)-1)))&amp;TRIM(MID(SUBSTITUTE(SUBSTITUTE(INDEX('CONTROL MASTER'!$N$2:$N$495,(SUMPRODUCT((('CONTROL MASTER'!$S$2:$S$495=14)*('CONTROL MASTER'!$Z$2:$Z$495&lt;=7)*('CONTROL MASTER'!$AB$2:$AB$495&gt;=7)*('CONTROL MASTER'!$AA$2:$AA$495&lt;=9)*('CONTROL MASTER'!$AC$2:$AC$495&gt;=9))*ROW('CONTROL MASTER'!$S$2:$S$495))-(ROW('CONTROL MASTER'!#REF!)-1))),":",","),",",REPT(" ",50)),(((INDEX('CONTROL MASTER'!$Y$2:$Y$495,(SUMPRODUCT((('CONTROL MASTER'!$S$2:$S$495=14)*('CONTROL MASTER'!$Z$2:$Z$495&lt;=7)*('CONTROL MASTER'!$AB$2:$AB$495&gt;=7)*('CONTROL MASTER'!$AA$2:$AA$495&lt;=9)*('CONTROL MASTER'!$AC$2:$AC$495&gt;=9))*ROW('CONTROL MASTER'!$S$2:$S$495))-(ROW('CONTROL MASTER'!#REF!)-1)))+((7-INDEX('CONTROL MASTER'!$Z$2:$Z$495,(SUMPRODUCT((('CONTROL MASTER'!$S$2:$S$495=14)*('CONTROL MASTER'!$Z$2:$Z$495&lt;=7)*('CONTROL MASTER'!$AB$2:$AB$495&gt;=7)*('CONTROL MASTER'!$AA$2:$AA$495&lt;=9)*('CONTROL MASTER'!$AC$2:$AC$495&gt;=9))*ROW('CONTROL MASTER'!$S$2:$S$495))-(ROW('CONTROL MASTER'!#REF!)-1))))*(INDEX('CONTROL MASTER'!$AC$2:$AC$495,(SUMPRODUCT((('CONTROL MASTER'!$S$2:$S$495=14)*('CONTROL MASTER'!$Z$2:$Z$495&lt;=7)*('CONTROL MASTER'!$AB$2:$AB$495&gt;=7)*('CONTROL MASTER'!$AA$2:$AA$495&lt;=9)*('CONTROL MASTER'!$AC$2:$AC$495&gt;=9))*ROW('CONTROL MASTER'!$S$2:$S$495))-(ROW('CONTROL MASTER'!#REF!)-1)))-INDEX('CONTROL MASTER'!$AA$2:$AA$495,(SUMPRODUCT((('CONTROL MASTER'!$S$2:$S$495=14)*('CONTROL MASTER'!$Z$2:$Z$495&lt;=7)*('CONTROL MASTER'!$AB$2:$AB$495&gt;=7)*('CONTROL MASTER'!$AA$2:$AA$495&lt;=9)*('CONTROL MASTER'!$AC$2:$AC$495&gt;=9))*ROW('CONTROL MASTER'!$S$2:$S$495))-(ROW('CONTROL MASTER'!#REF!)-1)))+1)+(9-INDEX('CONTROL MASTER'!$AA$2:$AA$495,(SUMPRODUCT((('CONTROL MASTER'!$S$2:$S$495=14)*('CONTROL MASTER'!$Z$2:$Z$495&lt;=7)*('CONTROL MASTER'!$AB$2:$AB$495&gt;=7)*('CONTROL MASTER'!$AA$2:$AA$495&lt;=9)*('CONTROL MASTER'!$AC$2:$AC$495&gt;=9))*ROW('CONTROL MASTER'!$S$2:$S$495))-(ROW('CONTROL MASTER'!#REF!)-1))))+1)))-1)*50+1,50))&amp;"_"&amp;INDEX('CONTROL MASTER'!$P$2:$P$495,(SUMPRODUCT((('CONTROL MASTER'!$S$2:$S$495=14)*('CONTROL MASTER'!$Z$2:$Z$495&lt;=7)*('CONTROL MASTER'!$AB$2:$AB$495&gt;=7)*('CONTROL MASTER'!$AA$2:$AA$495&lt;=9)*('CONTROL MASTER'!$AC$2:$AC$495&gt;=9))*ROW('CONTROL MASTER'!$S$2:$S$495))-(ROW('CONTROL MASTER'!#REF!)-1))),"")),"")</f>
        <v/>
      </c>
      <c r="K191" s="10" t="str">
        <f>IFERROR(IF(SUMPRODUCT((('CONTROL MASTER'!$S$2:$S$495=14)*('CONTROL MASTER'!$T$2:$T$495&lt;=7)*('CONTROL MASTER'!$V$2:$V$495&gt;=7)*('CONTROL MASTER'!$U$2:$U$495&lt;=10)*('CONTROL MASTER'!$W$2:$W$495&gt;=10))*ROW('CONTROL MASTER'!$S$2:$S$495))&gt;0,INDEX('CONTROL MASTER'!$X$2:$X$495,(SUMPRODUCT((('CONTROL MASTER'!$S$2:$S$495=14)*('CONTROL MASTER'!$T$2:$T$495&lt;=7)*('CONTROL MASTER'!$V$2:$V$495&gt;=7)*('CONTROL MASTER'!$U$2:$U$495&lt;=10)*('CONTROL MASTER'!$W$2:$W$495&gt;=10))*ROW('CONTROL MASTER'!$S$2:$S$495))-(ROW('CONTROL MASTER'!#REF!)-1)))&amp;TRIM(MID(SUBSTITUTE(SUBSTITUTE(INDEX('CONTROL MASTER'!$N$2:$N$495,(SUMPRODUCT((('CONTROL MASTER'!$S$2:$S$495=14)*('CONTROL MASTER'!$T$2:$T$495&lt;=7)*('CONTROL MASTER'!$V$2:$V$495&gt;=7)*('CONTROL MASTER'!$U$2:$U$495&lt;=10)*('CONTROL MASTER'!$W$2:$W$495&gt;=10))*ROW('CONTROL MASTER'!$S$2:$S$495))-(ROW('CONTROL MASTER'!#REF!)-1))),":",","),",",REPT(" ",50)),((((7-INDEX('CONTROL MASTER'!$T$2:$T$495,(SUMPRODUCT((('CONTROL MASTER'!$S$2:$S$495=14)*('CONTROL MASTER'!$T$2:$T$495&lt;=7)*('CONTROL MASTER'!$V$2:$V$495&gt;=7)*('CONTROL MASTER'!$U$2:$U$495&lt;=10)*('CONTROL MASTER'!$W$2:$W$495&gt;=10))*ROW('CONTROL MASTER'!$S$2:$S$495))-(ROW('CONTROL MASTER'!#REF!)-1))))*(INDEX('CONTROL MASTER'!$W$2:$W$495,(SUMPRODUCT((('CONTROL MASTER'!$S$2:$S$495=14)*('CONTROL MASTER'!$T$2:$T$495&lt;=7)*('CONTROL MASTER'!$V$2:$V$495&gt;=7)*('CONTROL MASTER'!$U$2:$U$495&lt;=10)*('CONTROL MASTER'!$W$2:$W$495&gt;=10))*ROW('CONTROL MASTER'!$S$2:$S$495))-(ROW('CONTROL MASTER'!#REF!)-1)))-INDEX('CONTROL MASTER'!$U$2:$U$495,(SUMPRODUCT((('CONTROL MASTER'!$S$2:$S$495=14)*('CONTROL MASTER'!$T$2:$T$495&lt;=7)*('CONTROL MASTER'!$V$2:$V$495&gt;=7)*('CONTROL MASTER'!$U$2:$U$495&lt;=10)*('CONTROL MASTER'!$W$2:$W$495&gt;=10))*ROW('CONTROL MASTER'!$S$2:$S$495))-(ROW('CONTROL MASTER'!#REF!)-1)))+1)+(10-INDEX('CONTROL MASTER'!$U$2:$U$495,(SUMPRODUCT((('CONTROL MASTER'!$S$2:$S$495=14)*('CONTROL MASTER'!$T$2:$T$495&lt;=7)*('CONTROL MASTER'!$V$2:$V$495&gt;=7)*('CONTROL MASTER'!$U$2:$U$495&lt;=10)*('CONTROL MASTER'!$W$2:$W$495&gt;=10))*ROW('CONTROL MASTER'!$S$2:$S$495))-(ROW('CONTROL MASTER'!#REF!)-1))))+1))-1)*50+1,50))&amp;"_"&amp;INDEX('CONTROL MASTER'!$P$2:$P$495,(SUMPRODUCT((('CONTROL MASTER'!$S$2:$S$495=14)*('CONTROL MASTER'!$T$2:$T$495&lt;=7)*('CONTROL MASTER'!$V$2:$V$495&gt;=7)*('CONTROL MASTER'!$U$2:$U$495&lt;=10)*('CONTROL MASTER'!$W$2:$W$495&gt;=10))*ROW('CONTROL MASTER'!$S$2:$S$495))-(ROW('CONTROL MASTER'!#REF!)-1))),IF(SUMPRODUCT((('CONTROL MASTER'!$S$2:$S$495=14)*('CONTROL MASTER'!$Z$2:$Z$495&lt;=7)*('CONTROL MASTER'!$AB$2:$AB$495&gt;=7)*('CONTROL MASTER'!$AA$2:$AA$495&lt;=10)*('CONTROL MASTER'!$AC$2:$AC$495&gt;=10))*ROW('CONTROL MASTER'!$S$2:$S$495))&gt;0,INDEX('CONTROL MASTER'!$X$2:$X$495,(SUMPRODUCT((('CONTROL MASTER'!$S$2:$S$495=14)*('CONTROL MASTER'!$Z$2:$Z$495&lt;=7)*('CONTROL MASTER'!$AB$2:$AB$495&gt;=7)*('CONTROL MASTER'!$AA$2:$AA$495&lt;=10)*('CONTROL MASTER'!$AC$2:$AC$495&gt;=10))*ROW('CONTROL MASTER'!$S$2:$S$495))-(ROW('CONTROL MASTER'!#REF!)-1)))&amp;TRIM(MID(SUBSTITUTE(SUBSTITUTE(INDEX('CONTROL MASTER'!$N$2:$N$495,(SUMPRODUCT((('CONTROL MASTER'!$S$2:$S$495=14)*('CONTROL MASTER'!$Z$2:$Z$495&lt;=7)*('CONTROL MASTER'!$AB$2:$AB$495&gt;=7)*('CONTROL MASTER'!$AA$2:$AA$495&lt;=10)*('CONTROL MASTER'!$AC$2:$AC$495&gt;=10))*ROW('CONTROL MASTER'!$S$2:$S$495))-(ROW('CONTROL MASTER'!#REF!)-1))),":",","),",",REPT(" ",50)),(((INDEX('CONTROL MASTER'!$Y$2:$Y$495,(SUMPRODUCT((('CONTROL MASTER'!$S$2:$S$495=14)*('CONTROL MASTER'!$Z$2:$Z$495&lt;=7)*('CONTROL MASTER'!$AB$2:$AB$495&gt;=7)*('CONTROL MASTER'!$AA$2:$AA$495&lt;=10)*('CONTROL MASTER'!$AC$2:$AC$495&gt;=10))*ROW('CONTROL MASTER'!$S$2:$S$495))-(ROW('CONTROL MASTER'!#REF!)-1)))+((7-INDEX('CONTROL MASTER'!$Z$2:$Z$495,(SUMPRODUCT((('CONTROL MASTER'!$S$2:$S$495=14)*('CONTROL MASTER'!$Z$2:$Z$495&lt;=7)*('CONTROL MASTER'!$AB$2:$AB$495&gt;=7)*('CONTROL MASTER'!$AA$2:$AA$495&lt;=10)*('CONTROL MASTER'!$AC$2:$AC$495&gt;=10))*ROW('CONTROL MASTER'!$S$2:$S$495))-(ROW('CONTROL MASTER'!#REF!)-1))))*(INDEX('CONTROL MASTER'!$AC$2:$AC$495,(SUMPRODUCT((('CONTROL MASTER'!$S$2:$S$495=14)*('CONTROL MASTER'!$Z$2:$Z$495&lt;=7)*('CONTROL MASTER'!$AB$2:$AB$495&gt;=7)*('CONTROL MASTER'!$AA$2:$AA$495&lt;=10)*('CONTROL MASTER'!$AC$2:$AC$495&gt;=10))*ROW('CONTROL MASTER'!$S$2:$S$495))-(ROW('CONTROL MASTER'!#REF!)-1)))-INDEX('CONTROL MASTER'!$AA$2:$AA$495,(SUMPRODUCT((('CONTROL MASTER'!$S$2:$S$495=14)*('CONTROL MASTER'!$Z$2:$Z$495&lt;=7)*('CONTROL MASTER'!$AB$2:$AB$495&gt;=7)*('CONTROL MASTER'!$AA$2:$AA$495&lt;=10)*('CONTROL MASTER'!$AC$2:$AC$495&gt;=10))*ROW('CONTROL MASTER'!$S$2:$S$495))-(ROW('CONTROL MASTER'!#REF!)-1)))+1)+(10-INDEX('CONTROL MASTER'!$AA$2:$AA$495,(SUMPRODUCT((('CONTROL MASTER'!$S$2:$S$495=14)*('CONTROL MASTER'!$Z$2:$Z$495&lt;=7)*('CONTROL MASTER'!$AB$2:$AB$495&gt;=7)*('CONTROL MASTER'!$AA$2:$AA$495&lt;=10)*('CONTROL MASTER'!$AC$2:$AC$495&gt;=10))*ROW('CONTROL MASTER'!$S$2:$S$495))-(ROW('CONTROL MASTER'!#REF!)-1))))+1)))-1)*50+1,50))&amp;"_"&amp;INDEX('CONTROL MASTER'!$P$2:$P$495,(SUMPRODUCT((('CONTROL MASTER'!$S$2:$S$495=14)*('CONTROL MASTER'!$Z$2:$Z$495&lt;=7)*('CONTROL MASTER'!$AB$2:$AB$495&gt;=7)*('CONTROL MASTER'!$AA$2:$AA$495&lt;=10)*('CONTROL MASTER'!$AC$2:$AC$495&gt;=10))*ROW('CONTROL MASTER'!$S$2:$S$495))-(ROW('CONTROL MASTER'!#REF!)-1))),"")),"")</f>
        <v/>
      </c>
    </row>
    <row r="192" spans="1:11" ht="15" customHeight="1" x14ac:dyDescent="0.35">
      <c r="A192" s="8" t="s">
        <v>35</v>
      </c>
      <c r="B192" s="10" t="str">
        <f>IFERROR(IF(SUMPRODUCT((('CONTROL MASTER'!$S$2:$S$495=14)*('CONTROL MASTER'!$T$2:$T$495&lt;=8)*('CONTROL MASTER'!$V$2:$V$495&gt;=8)*('CONTROL MASTER'!$U$2:$U$495&lt;=1)*('CONTROL MASTER'!$W$2:$W$495&gt;=1))*ROW('CONTROL MASTER'!$S$2:$S$495))&gt;0,INDEX('CONTROL MASTER'!$X$2:$X$495,(SUMPRODUCT((('CONTROL MASTER'!$S$2:$S$495=14)*('CONTROL MASTER'!$T$2:$T$495&lt;=8)*('CONTROL MASTER'!$V$2:$V$495&gt;=8)*('CONTROL MASTER'!$U$2:$U$495&lt;=1)*('CONTROL MASTER'!$W$2:$W$495&gt;=1))*ROW('CONTROL MASTER'!$S$2:$S$495))-(ROW('CONTROL MASTER'!#REF!)-1)))&amp;TRIM(MID(SUBSTITUTE(SUBSTITUTE(INDEX('CONTROL MASTER'!$N$2:$N$495,(SUMPRODUCT((('CONTROL MASTER'!$S$2:$S$495=14)*('CONTROL MASTER'!$T$2:$T$495&lt;=8)*('CONTROL MASTER'!$V$2:$V$495&gt;=8)*('CONTROL MASTER'!$U$2:$U$495&lt;=1)*('CONTROL MASTER'!$W$2:$W$495&gt;=1))*ROW('CONTROL MASTER'!$S$2:$S$495))-(ROW('CONTROL MASTER'!#REF!)-1))),":",","),",",REPT(" ",50)),((((8-INDEX('CONTROL MASTER'!$T$2:$T$495,(SUMPRODUCT((('CONTROL MASTER'!$S$2:$S$495=14)*('CONTROL MASTER'!$T$2:$T$495&lt;=8)*('CONTROL MASTER'!$V$2:$V$495&gt;=8)*('CONTROL MASTER'!$U$2:$U$495&lt;=1)*('CONTROL MASTER'!$W$2:$W$495&gt;=1))*ROW('CONTROL MASTER'!$S$2:$S$495))-(ROW('CONTROL MASTER'!#REF!)-1))))*(INDEX('CONTROL MASTER'!$W$2:$W$495,(SUMPRODUCT((('CONTROL MASTER'!$S$2:$S$495=14)*('CONTROL MASTER'!$T$2:$T$495&lt;=8)*('CONTROL MASTER'!$V$2:$V$495&gt;=8)*('CONTROL MASTER'!$U$2:$U$495&lt;=1)*('CONTROL MASTER'!$W$2:$W$495&gt;=1))*ROW('CONTROL MASTER'!$S$2:$S$495))-(ROW('CONTROL MASTER'!#REF!)-1)))-INDEX('CONTROL MASTER'!$U$2:$U$495,(SUMPRODUCT((('CONTROL MASTER'!$S$2:$S$495=14)*('CONTROL MASTER'!$T$2:$T$495&lt;=8)*('CONTROL MASTER'!$V$2:$V$495&gt;=8)*('CONTROL MASTER'!$U$2:$U$495&lt;=1)*('CONTROL MASTER'!$W$2:$W$495&gt;=1))*ROW('CONTROL MASTER'!$S$2:$S$495))-(ROW('CONTROL MASTER'!#REF!)-1)))+1)+(1-INDEX('CONTROL MASTER'!$U$2:$U$495,(SUMPRODUCT((('CONTROL MASTER'!$S$2:$S$495=14)*('CONTROL MASTER'!$T$2:$T$495&lt;=8)*('CONTROL MASTER'!$V$2:$V$495&gt;=8)*('CONTROL MASTER'!$U$2:$U$495&lt;=1)*('CONTROL MASTER'!$W$2:$W$495&gt;=1))*ROW('CONTROL MASTER'!$S$2:$S$495))-(ROW('CONTROL MASTER'!#REF!)-1))))+1))-1)*50+1,50))&amp;"_"&amp;INDEX('CONTROL MASTER'!$P$2:$P$495,(SUMPRODUCT((('CONTROL MASTER'!$S$2:$S$495=14)*('CONTROL MASTER'!$T$2:$T$495&lt;=8)*('CONTROL MASTER'!$V$2:$V$495&gt;=8)*('CONTROL MASTER'!$U$2:$U$495&lt;=1)*('CONTROL MASTER'!$W$2:$W$495&gt;=1))*ROW('CONTROL MASTER'!$S$2:$S$495))-(ROW('CONTROL MASTER'!#REF!)-1))),IF(SUMPRODUCT((('CONTROL MASTER'!$S$2:$S$495=14)*('CONTROL MASTER'!$Z$2:$Z$495&lt;=8)*('CONTROL MASTER'!$AB$2:$AB$495&gt;=8)*('CONTROL MASTER'!$AA$2:$AA$495&lt;=1)*('CONTROL MASTER'!$AC$2:$AC$495&gt;=1))*ROW('CONTROL MASTER'!$S$2:$S$495))&gt;0,INDEX('CONTROL MASTER'!$X$2:$X$495,(SUMPRODUCT((('CONTROL MASTER'!$S$2:$S$495=14)*('CONTROL MASTER'!$Z$2:$Z$495&lt;=8)*('CONTROL MASTER'!$AB$2:$AB$495&gt;=8)*('CONTROL MASTER'!$AA$2:$AA$495&lt;=1)*('CONTROL MASTER'!$AC$2:$AC$495&gt;=1))*ROW('CONTROL MASTER'!$S$2:$S$495))-(ROW('CONTROL MASTER'!#REF!)-1)))&amp;TRIM(MID(SUBSTITUTE(SUBSTITUTE(INDEX('CONTROL MASTER'!$N$2:$N$495,(SUMPRODUCT((('CONTROL MASTER'!$S$2:$S$495=14)*('CONTROL MASTER'!$Z$2:$Z$495&lt;=8)*('CONTROL MASTER'!$AB$2:$AB$495&gt;=8)*('CONTROL MASTER'!$AA$2:$AA$495&lt;=1)*('CONTROL MASTER'!$AC$2:$AC$495&gt;=1))*ROW('CONTROL MASTER'!$S$2:$S$495))-(ROW('CONTROL MASTER'!#REF!)-1))),":",","),",",REPT(" ",50)),(((INDEX('CONTROL MASTER'!$Y$2:$Y$495,(SUMPRODUCT((('CONTROL MASTER'!$S$2:$S$495=14)*('CONTROL MASTER'!$Z$2:$Z$495&lt;=8)*('CONTROL MASTER'!$AB$2:$AB$495&gt;=8)*('CONTROL MASTER'!$AA$2:$AA$495&lt;=1)*('CONTROL MASTER'!$AC$2:$AC$495&gt;=1))*ROW('CONTROL MASTER'!$S$2:$S$495))-(ROW('CONTROL MASTER'!#REF!)-1)))+((8-INDEX('CONTROL MASTER'!$Z$2:$Z$495,(SUMPRODUCT((('CONTROL MASTER'!$S$2:$S$495=14)*('CONTROL MASTER'!$Z$2:$Z$495&lt;=8)*('CONTROL MASTER'!$AB$2:$AB$495&gt;=8)*('CONTROL MASTER'!$AA$2:$AA$495&lt;=1)*('CONTROL MASTER'!$AC$2:$AC$495&gt;=1))*ROW('CONTROL MASTER'!$S$2:$S$495))-(ROW('CONTROL MASTER'!#REF!)-1))))*(INDEX('CONTROL MASTER'!$AC$2:$AC$495,(SUMPRODUCT((('CONTROL MASTER'!$S$2:$S$495=14)*('CONTROL MASTER'!$Z$2:$Z$495&lt;=8)*('CONTROL MASTER'!$AB$2:$AB$495&gt;=8)*('CONTROL MASTER'!$AA$2:$AA$495&lt;=1)*('CONTROL MASTER'!$AC$2:$AC$495&gt;=1))*ROW('CONTROL MASTER'!$S$2:$S$495))-(ROW('CONTROL MASTER'!#REF!)-1)))-INDEX('CONTROL MASTER'!$AA$2:$AA$495,(SUMPRODUCT((('CONTROL MASTER'!$S$2:$S$495=14)*('CONTROL MASTER'!$Z$2:$Z$495&lt;=8)*('CONTROL MASTER'!$AB$2:$AB$495&gt;=8)*('CONTROL MASTER'!$AA$2:$AA$495&lt;=1)*('CONTROL MASTER'!$AC$2:$AC$495&gt;=1))*ROW('CONTROL MASTER'!$S$2:$S$495))-(ROW('CONTROL MASTER'!#REF!)-1)))+1)+(1-INDEX('CONTROL MASTER'!$AA$2:$AA$495,(SUMPRODUCT((('CONTROL MASTER'!$S$2:$S$495=14)*('CONTROL MASTER'!$Z$2:$Z$495&lt;=8)*('CONTROL MASTER'!$AB$2:$AB$495&gt;=8)*('CONTROL MASTER'!$AA$2:$AA$495&lt;=1)*('CONTROL MASTER'!$AC$2:$AC$495&gt;=1))*ROW('CONTROL MASTER'!$S$2:$S$495))-(ROW('CONTROL MASTER'!#REF!)-1))))+1)))-1)*50+1,50))&amp;"_"&amp;INDEX('CONTROL MASTER'!$P$2:$P$495,(SUMPRODUCT((('CONTROL MASTER'!$S$2:$S$495=14)*('CONTROL MASTER'!$Z$2:$Z$495&lt;=8)*('CONTROL MASTER'!$AB$2:$AB$495&gt;=8)*('CONTROL MASTER'!$AA$2:$AA$495&lt;=1)*('CONTROL MASTER'!$AC$2:$AC$495&gt;=1))*ROW('CONTROL MASTER'!$S$2:$S$495))-(ROW('CONTROL MASTER'!#REF!)-1))),"")),"")</f>
        <v/>
      </c>
      <c r="C192" s="10" t="str">
        <f>IFERROR(IF(SUMPRODUCT((('CONTROL MASTER'!$S$2:$S$495=14)*('CONTROL MASTER'!$T$2:$T$495&lt;=8)*('CONTROL MASTER'!$V$2:$V$495&gt;=8)*('CONTROL MASTER'!$U$2:$U$495&lt;=2)*('CONTROL MASTER'!$W$2:$W$495&gt;=2))*ROW('CONTROL MASTER'!$S$2:$S$495))&gt;0,INDEX('CONTROL MASTER'!$X$2:$X$495,(SUMPRODUCT((('CONTROL MASTER'!$S$2:$S$495=14)*('CONTROL MASTER'!$T$2:$T$495&lt;=8)*('CONTROL MASTER'!$V$2:$V$495&gt;=8)*('CONTROL MASTER'!$U$2:$U$495&lt;=2)*('CONTROL MASTER'!$W$2:$W$495&gt;=2))*ROW('CONTROL MASTER'!$S$2:$S$495))-(ROW('CONTROL MASTER'!#REF!)-1)))&amp;TRIM(MID(SUBSTITUTE(SUBSTITUTE(INDEX('CONTROL MASTER'!$N$2:$N$495,(SUMPRODUCT((('CONTROL MASTER'!$S$2:$S$495=14)*('CONTROL MASTER'!$T$2:$T$495&lt;=8)*('CONTROL MASTER'!$V$2:$V$495&gt;=8)*('CONTROL MASTER'!$U$2:$U$495&lt;=2)*('CONTROL MASTER'!$W$2:$W$495&gt;=2))*ROW('CONTROL MASTER'!$S$2:$S$495))-(ROW('CONTROL MASTER'!#REF!)-1))),":",","),",",REPT(" ",50)),((((8-INDEX('CONTROL MASTER'!$T$2:$T$495,(SUMPRODUCT((('CONTROL MASTER'!$S$2:$S$495=14)*('CONTROL MASTER'!$T$2:$T$495&lt;=8)*('CONTROL MASTER'!$V$2:$V$495&gt;=8)*('CONTROL MASTER'!$U$2:$U$495&lt;=2)*('CONTROL MASTER'!$W$2:$W$495&gt;=2))*ROW('CONTROL MASTER'!$S$2:$S$495))-(ROW('CONTROL MASTER'!#REF!)-1))))*(INDEX('CONTROL MASTER'!$W$2:$W$495,(SUMPRODUCT((('CONTROL MASTER'!$S$2:$S$495=14)*('CONTROL MASTER'!$T$2:$T$495&lt;=8)*('CONTROL MASTER'!$V$2:$V$495&gt;=8)*('CONTROL MASTER'!$U$2:$U$495&lt;=2)*('CONTROL MASTER'!$W$2:$W$495&gt;=2))*ROW('CONTROL MASTER'!$S$2:$S$495))-(ROW('CONTROL MASTER'!#REF!)-1)))-INDEX('CONTROL MASTER'!$U$2:$U$495,(SUMPRODUCT((('CONTROL MASTER'!$S$2:$S$495=14)*('CONTROL MASTER'!$T$2:$T$495&lt;=8)*('CONTROL MASTER'!$V$2:$V$495&gt;=8)*('CONTROL MASTER'!$U$2:$U$495&lt;=2)*('CONTROL MASTER'!$W$2:$W$495&gt;=2))*ROW('CONTROL MASTER'!$S$2:$S$495))-(ROW('CONTROL MASTER'!#REF!)-1)))+1)+(2-INDEX('CONTROL MASTER'!$U$2:$U$495,(SUMPRODUCT((('CONTROL MASTER'!$S$2:$S$495=14)*('CONTROL MASTER'!$T$2:$T$495&lt;=8)*('CONTROL MASTER'!$V$2:$V$495&gt;=8)*('CONTROL MASTER'!$U$2:$U$495&lt;=2)*('CONTROL MASTER'!$W$2:$W$495&gt;=2))*ROW('CONTROL MASTER'!$S$2:$S$495))-(ROW('CONTROL MASTER'!#REF!)-1))))+1))-1)*50+1,50))&amp;"_"&amp;INDEX('CONTROL MASTER'!$P$2:$P$495,(SUMPRODUCT((('CONTROL MASTER'!$S$2:$S$495=14)*('CONTROL MASTER'!$T$2:$T$495&lt;=8)*('CONTROL MASTER'!$V$2:$V$495&gt;=8)*('CONTROL MASTER'!$U$2:$U$495&lt;=2)*('CONTROL MASTER'!$W$2:$W$495&gt;=2))*ROW('CONTROL MASTER'!$S$2:$S$495))-(ROW('CONTROL MASTER'!#REF!)-1))),IF(SUMPRODUCT((('CONTROL MASTER'!$S$2:$S$495=14)*('CONTROL MASTER'!$Z$2:$Z$495&lt;=8)*('CONTROL MASTER'!$AB$2:$AB$495&gt;=8)*('CONTROL MASTER'!$AA$2:$AA$495&lt;=2)*('CONTROL MASTER'!$AC$2:$AC$495&gt;=2))*ROW('CONTROL MASTER'!$S$2:$S$495))&gt;0,INDEX('CONTROL MASTER'!$X$2:$X$495,(SUMPRODUCT((('CONTROL MASTER'!$S$2:$S$495=14)*('CONTROL MASTER'!$Z$2:$Z$495&lt;=8)*('CONTROL MASTER'!$AB$2:$AB$495&gt;=8)*('CONTROL MASTER'!$AA$2:$AA$495&lt;=2)*('CONTROL MASTER'!$AC$2:$AC$495&gt;=2))*ROW('CONTROL MASTER'!$S$2:$S$495))-(ROW('CONTROL MASTER'!#REF!)-1)))&amp;TRIM(MID(SUBSTITUTE(SUBSTITUTE(INDEX('CONTROL MASTER'!$N$2:$N$495,(SUMPRODUCT((('CONTROL MASTER'!$S$2:$S$495=14)*('CONTROL MASTER'!$Z$2:$Z$495&lt;=8)*('CONTROL MASTER'!$AB$2:$AB$495&gt;=8)*('CONTROL MASTER'!$AA$2:$AA$495&lt;=2)*('CONTROL MASTER'!$AC$2:$AC$495&gt;=2))*ROW('CONTROL MASTER'!$S$2:$S$495))-(ROW('CONTROL MASTER'!#REF!)-1))),":",","),",",REPT(" ",50)),(((INDEX('CONTROL MASTER'!$Y$2:$Y$495,(SUMPRODUCT((('CONTROL MASTER'!$S$2:$S$495=14)*('CONTROL MASTER'!$Z$2:$Z$495&lt;=8)*('CONTROL MASTER'!$AB$2:$AB$495&gt;=8)*('CONTROL MASTER'!$AA$2:$AA$495&lt;=2)*('CONTROL MASTER'!$AC$2:$AC$495&gt;=2))*ROW('CONTROL MASTER'!$S$2:$S$495))-(ROW('CONTROL MASTER'!#REF!)-1)))+((8-INDEX('CONTROL MASTER'!$Z$2:$Z$495,(SUMPRODUCT((('CONTROL MASTER'!$S$2:$S$495=14)*('CONTROL MASTER'!$Z$2:$Z$495&lt;=8)*('CONTROL MASTER'!$AB$2:$AB$495&gt;=8)*('CONTROL MASTER'!$AA$2:$AA$495&lt;=2)*('CONTROL MASTER'!$AC$2:$AC$495&gt;=2))*ROW('CONTROL MASTER'!$S$2:$S$495))-(ROW('CONTROL MASTER'!#REF!)-1))))*(INDEX('CONTROL MASTER'!$AC$2:$AC$495,(SUMPRODUCT((('CONTROL MASTER'!$S$2:$S$495=14)*('CONTROL MASTER'!$Z$2:$Z$495&lt;=8)*('CONTROL MASTER'!$AB$2:$AB$495&gt;=8)*('CONTROL MASTER'!$AA$2:$AA$495&lt;=2)*('CONTROL MASTER'!$AC$2:$AC$495&gt;=2))*ROW('CONTROL MASTER'!$S$2:$S$495))-(ROW('CONTROL MASTER'!#REF!)-1)))-INDEX('CONTROL MASTER'!$AA$2:$AA$495,(SUMPRODUCT((('CONTROL MASTER'!$S$2:$S$495=14)*('CONTROL MASTER'!$Z$2:$Z$495&lt;=8)*('CONTROL MASTER'!$AB$2:$AB$495&gt;=8)*('CONTROL MASTER'!$AA$2:$AA$495&lt;=2)*('CONTROL MASTER'!$AC$2:$AC$495&gt;=2))*ROW('CONTROL MASTER'!$S$2:$S$495))-(ROW('CONTROL MASTER'!#REF!)-1)))+1)+(2-INDEX('CONTROL MASTER'!$AA$2:$AA$495,(SUMPRODUCT((('CONTROL MASTER'!$S$2:$S$495=14)*('CONTROL MASTER'!$Z$2:$Z$495&lt;=8)*('CONTROL MASTER'!$AB$2:$AB$495&gt;=8)*('CONTROL MASTER'!$AA$2:$AA$495&lt;=2)*('CONTROL MASTER'!$AC$2:$AC$495&gt;=2))*ROW('CONTROL MASTER'!$S$2:$S$495))-(ROW('CONTROL MASTER'!#REF!)-1))))+1)))-1)*50+1,50))&amp;"_"&amp;INDEX('CONTROL MASTER'!$P$2:$P$495,(SUMPRODUCT((('CONTROL MASTER'!$S$2:$S$495=14)*('CONTROL MASTER'!$Z$2:$Z$495&lt;=8)*('CONTROL MASTER'!$AB$2:$AB$495&gt;=8)*('CONTROL MASTER'!$AA$2:$AA$495&lt;=2)*('CONTROL MASTER'!$AC$2:$AC$495&gt;=2))*ROW('CONTROL MASTER'!$S$2:$S$495))-(ROW('CONTROL MASTER'!#REF!)-1))),"")),"")</f>
        <v/>
      </c>
      <c r="D192" s="10" t="str">
        <f>IFERROR(IF(SUMPRODUCT((('CONTROL MASTER'!$S$2:$S$495=14)*('CONTROL MASTER'!$T$2:$T$495&lt;=8)*('CONTROL MASTER'!$V$2:$V$495&gt;=8)*('CONTROL MASTER'!$U$2:$U$495&lt;=3)*('CONTROL MASTER'!$W$2:$W$495&gt;=3))*ROW('CONTROL MASTER'!$S$2:$S$495))&gt;0,INDEX('CONTROL MASTER'!$X$2:$X$495,(SUMPRODUCT((('CONTROL MASTER'!$S$2:$S$495=14)*('CONTROL MASTER'!$T$2:$T$495&lt;=8)*('CONTROL MASTER'!$V$2:$V$495&gt;=8)*('CONTROL MASTER'!$U$2:$U$495&lt;=3)*('CONTROL MASTER'!$W$2:$W$495&gt;=3))*ROW('CONTROL MASTER'!$S$2:$S$495))-(ROW('CONTROL MASTER'!#REF!)-1)))&amp;TRIM(MID(SUBSTITUTE(SUBSTITUTE(INDEX('CONTROL MASTER'!$N$2:$N$495,(SUMPRODUCT((('CONTROL MASTER'!$S$2:$S$495=14)*('CONTROL MASTER'!$T$2:$T$495&lt;=8)*('CONTROL MASTER'!$V$2:$V$495&gt;=8)*('CONTROL MASTER'!$U$2:$U$495&lt;=3)*('CONTROL MASTER'!$W$2:$W$495&gt;=3))*ROW('CONTROL MASTER'!$S$2:$S$495))-(ROW('CONTROL MASTER'!#REF!)-1))),":",","),",",REPT(" ",50)),((((8-INDEX('CONTROL MASTER'!$T$2:$T$495,(SUMPRODUCT((('CONTROL MASTER'!$S$2:$S$495=14)*('CONTROL MASTER'!$T$2:$T$495&lt;=8)*('CONTROL MASTER'!$V$2:$V$495&gt;=8)*('CONTROL MASTER'!$U$2:$U$495&lt;=3)*('CONTROL MASTER'!$W$2:$W$495&gt;=3))*ROW('CONTROL MASTER'!$S$2:$S$495))-(ROW('CONTROL MASTER'!#REF!)-1))))*(INDEX('CONTROL MASTER'!$W$2:$W$495,(SUMPRODUCT((('CONTROL MASTER'!$S$2:$S$495=14)*('CONTROL MASTER'!$T$2:$T$495&lt;=8)*('CONTROL MASTER'!$V$2:$V$495&gt;=8)*('CONTROL MASTER'!$U$2:$U$495&lt;=3)*('CONTROL MASTER'!$W$2:$W$495&gt;=3))*ROW('CONTROL MASTER'!$S$2:$S$495))-(ROW('CONTROL MASTER'!#REF!)-1)))-INDEX('CONTROL MASTER'!$U$2:$U$495,(SUMPRODUCT((('CONTROL MASTER'!$S$2:$S$495=14)*('CONTROL MASTER'!$T$2:$T$495&lt;=8)*('CONTROL MASTER'!$V$2:$V$495&gt;=8)*('CONTROL MASTER'!$U$2:$U$495&lt;=3)*('CONTROL MASTER'!$W$2:$W$495&gt;=3))*ROW('CONTROL MASTER'!$S$2:$S$495))-(ROW('CONTROL MASTER'!#REF!)-1)))+1)+(3-INDEX('CONTROL MASTER'!$U$2:$U$495,(SUMPRODUCT((('CONTROL MASTER'!$S$2:$S$495=14)*('CONTROL MASTER'!$T$2:$T$495&lt;=8)*('CONTROL MASTER'!$V$2:$V$495&gt;=8)*('CONTROL MASTER'!$U$2:$U$495&lt;=3)*('CONTROL MASTER'!$W$2:$W$495&gt;=3))*ROW('CONTROL MASTER'!$S$2:$S$495))-(ROW('CONTROL MASTER'!#REF!)-1))))+1))-1)*50+1,50))&amp;"_"&amp;INDEX('CONTROL MASTER'!$P$2:$P$495,(SUMPRODUCT((('CONTROL MASTER'!$S$2:$S$495=14)*('CONTROL MASTER'!$T$2:$T$495&lt;=8)*('CONTROL MASTER'!$V$2:$V$495&gt;=8)*('CONTROL MASTER'!$U$2:$U$495&lt;=3)*('CONTROL MASTER'!$W$2:$W$495&gt;=3))*ROW('CONTROL MASTER'!$S$2:$S$495))-(ROW('CONTROL MASTER'!#REF!)-1))),IF(SUMPRODUCT((('CONTROL MASTER'!$S$2:$S$495=14)*('CONTROL MASTER'!$Z$2:$Z$495&lt;=8)*('CONTROL MASTER'!$AB$2:$AB$495&gt;=8)*('CONTROL MASTER'!$AA$2:$AA$495&lt;=3)*('CONTROL MASTER'!$AC$2:$AC$495&gt;=3))*ROW('CONTROL MASTER'!$S$2:$S$495))&gt;0,INDEX('CONTROL MASTER'!$X$2:$X$495,(SUMPRODUCT((('CONTROL MASTER'!$S$2:$S$495=14)*('CONTROL MASTER'!$Z$2:$Z$495&lt;=8)*('CONTROL MASTER'!$AB$2:$AB$495&gt;=8)*('CONTROL MASTER'!$AA$2:$AA$495&lt;=3)*('CONTROL MASTER'!$AC$2:$AC$495&gt;=3))*ROW('CONTROL MASTER'!$S$2:$S$495))-(ROW('CONTROL MASTER'!#REF!)-1)))&amp;TRIM(MID(SUBSTITUTE(SUBSTITUTE(INDEX('CONTROL MASTER'!$N$2:$N$495,(SUMPRODUCT((('CONTROL MASTER'!$S$2:$S$495=14)*('CONTROL MASTER'!$Z$2:$Z$495&lt;=8)*('CONTROL MASTER'!$AB$2:$AB$495&gt;=8)*('CONTROL MASTER'!$AA$2:$AA$495&lt;=3)*('CONTROL MASTER'!$AC$2:$AC$495&gt;=3))*ROW('CONTROL MASTER'!$S$2:$S$495))-(ROW('CONTROL MASTER'!#REF!)-1))),":",","),",",REPT(" ",50)),(((INDEX('CONTROL MASTER'!$Y$2:$Y$495,(SUMPRODUCT((('CONTROL MASTER'!$S$2:$S$495=14)*('CONTROL MASTER'!$Z$2:$Z$495&lt;=8)*('CONTROL MASTER'!$AB$2:$AB$495&gt;=8)*('CONTROL MASTER'!$AA$2:$AA$495&lt;=3)*('CONTROL MASTER'!$AC$2:$AC$495&gt;=3))*ROW('CONTROL MASTER'!$S$2:$S$495))-(ROW('CONTROL MASTER'!#REF!)-1)))+((8-INDEX('CONTROL MASTER'!$Z$2:$Z$495,(SUMPRODUCT((('CONTROL MASTER'!$S$2:$S$495=14)*('CONTROL MASTER'!$Z$2:$Z$495&lt;=8)*('CONTROL MASTER'!$AB$2:$AB$495&gt;=8)*('CONTROL MASTER'!$AA$2:$AA$495&lt;=3)*('CONTROL MASTER'!$AC$2:$AC$495&gt;=3))*ROW('CONTROL MASTER'!$S$2:$S$495))-(ROW('CONTROL MASTER'!#REF!)-1))))*(INDEX('CONTROL MASTER'!$AC$2:$AC$495,(SUMPRODUCT((('CONTROL MASTER'!$S$2:$S$495=14)*('CONTROL MASTER'!$Z$2:$Z$495&lt;=8)*('CONTROL MASTER'!$AB$2:$AB$495&gt;=8)*('CONTROL MASTER'!$AA$2:$AA$495&lt;=3)*('CONTROL MASTER'!$AC$2:$AC$495&gt;=3))*ROW('CONTROL MASTER'!$S$2:$S$495))-(ROW('CONTROL MASTER'!#REF!)-1)))-INDEX('CONTROL MASTER'!$AA$2:$AA$495,(SUMPRODUCT((('CONTROL MASTER'!$S$2:$S$495=14)*('CONTROL MASTER'!$Z$2:$Z$495&lt;=8)*('CONTROL MASTER'!$AB$2:$AB$495&gt;=8)*('CONTROL MASTER'!$AA$2:$AA$495&lt;=3)*('CONTROL MASTER'!$AC$2:$AC$495&gt;=3))*ROW('CONTROL MASTER'!$S$2:$S$495))-(ROW('CONTROL MASTER'!#REF!)-1)))+1)+(3-INDEX('CONTROL MASTER'!$AA$2:$AA$495,(SUMPRODUCT((('CONTROL MASTER'!$S$2:$S$495=14)*('CONTROL MASTER'!$Z$2:$Z$495&lt;=8)*('CONTROL MASTER'!$AB$2:$AB$495&gt;=8)*('CONTROL MASTER'!$AA$2:$AA$495&lt;=3)*('CONTROL MASTER'!$AC$2:$AC$495&gt;=3))*ROW('CONTROL MASTER'!$S$2:$S$495))-(ROW('CONTROL MASTER'!#REF!)-1))))+1)))-1)*50+1,50))&amp;"_"&amp;INDEX('CONTROL MASTER'!$P$2:$P$495,(SUMPRODUCT((('CONTROL MASTER'!$S$2:$S$495=14)*('CONTROL MASTER'!$Z$2:$Z$495&lt;=8)*('CONTROL MASTER'!$AB$2:$AB$495&gt;=8)*('CONTROL MASTER'!$AA$2:$AA$495&lt;=3)*('CONTROL MASTER'!$AC$2:$AC$495&gt;=3))*ROW('CONTROL MASTER'!$S$2:$S$495))-(ROW('CONTROL MASTER'!#REF!)-1))),"")),"")</f>
        <v/>
      </c>
      <c r="E192" s="10" t="str">
        <f>IFERROR(IF(SUMPRODUCT((('CONTROL MASTER'!$S$2:$S$495=14)*('CONTROL MASTER'!$T$2:$T$495&lt;=8)*('CONTROL MASTER'!$V$2:$V$495&gt;=8)*('CONTROL MASTER'!$U$2:$U$495&lt;=4)*('CONTROL MASTER'!$W$2:$W$495&gt;=4))*ROW('CONTROL MASTER'!$S$2:$S$495))&gt;0,INDEX('CONTROL MASTER'!$X$2:$X$495,(SUMPRODUCT((('CONTROL MASTER'!$S$2:$S$495=14)*('CONTROL MASTER'!$T$2:$T$495&lt;=8)*('CONTROL MASTER'!$V$2:$V$495&gt;=8)*('CONTROL MASTER'!$U$2:$U$495&lt;=4)*('CONTROL MASTER'!$W$2:$W$495&gt;=4))*ROW('CONTROL MASTER'!$S$2:$S$495))-(ROW('CONTROL MASTER'!#REF!)-1)))&amp;TRIM(MID(SUBSTITUTE(SUBSTITUTE(INDEX('CONTROL MASTER'!$N$2:$N$495,(SUMPRODUCT((('CONTROL MASTER'!$S$2:$S$495=14)*('CONTROL MASTER'!$T$2:$T$495&lt;=8)*('CONTROL MASTER'!$V$2:$V$495&gt;=8)*('CONTROL MASTER'!$U$2:$U$495&lt;=4)*('CONTROL MASTER'!$W$2:$W$495&gt;=4))*ROW('CONTROL MASTER'!$S$2:$S$495))-(ROW('CONTROL MASTER'!#REF!)-1))),":",","),",",REPT(" ",50)),((((8-INDEX('CONTROL MASTER'!$T$2:$T$495,(SUMPRODUCT((('CONTROL MASTER'!$S$2:$S$495=14)*('CONTROL MASTER'!$T$2:$T$495&lt;=8)*('CONTROL MASTER'!$V$2:$V$495&gt;=8)*('CONTROL MASTER'!$U$2:$U$495&lt;=4)*('CONTROL MASTER'!$W$2:$W$495&gt;=4))*ROW('CONTROL MASTER'!$S$2:$S$495))-(ROW('CONTROL MASTER'!#REF!)-1))))*(INDEX('CONTROL MASTER'!$W$2:$W$495,(SUMPRODUCT((('CONTROL MASTER'!$S$2:$S$495=14)*('CONTROL MASTER'!$T$2:$T$495&lt;=8)*('CONTROL MASTER'!$V$2:$V$495&gt;=8)*('CONTROL MASTER'!$U$2:$U$495&lt;=4)*('CONTROL MASTER'!$W$2:$W$495&gt;=4))*ROW('CONTROL MASTER'!$S$2:$S$495))-(ROW('CONTROL MASTER'!#REF!)-1)))-INDEX('CONTROL MASTER'!$U$2:$U$495,(SUMPRODUCT((('CONTROL MASTER'!$S$2:$S$495=14)*('CONTROL MASTER'!$T$2:$T$495&lt;=8)*('CONTROL MASTER'!$V$2:$V$495&gt;=8)*('CONTROL MASTER'!$U$2:$U$495&lt;=4)*('CONTROL MASTER'!$W$2:$W$495&gt;=4))*ROW('CONTROL MASTER'!$S$2:$S$495))-(ROW('CONTROL MASTER'!#REF!)-1)))+1)+(4-INDEX('CONTROL MASTER'!$U$2:$U$495,(SUMPRODUCT((('CONTROL MASTER'!$S$2:$S$495=14)*('CONTROL MASTER'!$T$2:$T$495&lt;=8)*('CONTROL MASTER'!$V$2:$V$495&gt;=8)*('CONTROL MASTER'!$U$2:$U$495&lt;=4)*('CONTROL MASTER'!$W$2:$W$495&gt;=4))*ROW('CONTROL MASTER'!$S$2:$S$495))-(ROW('CONTROL MASTER'!#REF!)-1))))+1))-1)*50+1,50))&amp;"_"&amp;INDEX('CONTROL MASTER'!$P$2:$P$495,(SUMPRODUCT((('CONTROL MASTER'!$S$2:$S$495=14)*('CONTROL MASTER'!$T$2:$T$495&lt;=8)*('CONTROL MASTER'!$V$2:$V$495&gt;=8)*('CONTROL MASTER'!$U$2:$U$495&lt;=4)*('CONTROL MASTER'!$W$2:$W$495&gt;=4))*ROW('CONTROL MASTER'!$S$2:$S$495))-(ROW('CONTROL MASTER'!#REF!)-1))),IF(SUMPRODUCT((('CONTROL MASTER'!$S$2:$S$495=14)*('CONTROL MASTER'!$Z$2:$Z$495&lt;=8)*('CONTROL MASTER'!$AB$2:$AB$495&gt;=8)*('CONTROL MASTER'!$AA$2:$AA$495&lt;=4)*('CONTROL MASTER'!$AC$2:$AC$495&gt;=4))*ROW('CONTROL MASTER'!$S$2:$S$495))&gt;0,INDEX('CONTROL MASTER'!$X$2:$X$495,(SUMPRODUCT((('CONTROL MASTER'!$S$2:$S$495=14)*('CONTROL MASTER'!$Z$2:$Z$495&lt;=8)*('CONTROL MASTER'!$AB$2:$AB$495&gt;=8)*('CONTROL MASTER'!$AA$2:$AA$495&lt;=4)*('CONTROL MASTER'!$AC$2:$AC$495&gt;=4))*ROW('CONTROL MASTER'!$S$2:$S$495))-(ROW('CONTROL MASTER'!#REF!)-1)))&amp;TRIM(MID(SUBSTITUTE(SUBSTITUTE(INDEX('CONTROL MASTER'!$N$2:$N$495,(SUMPRODUCT((('CONTROL MASTER'!$S$2:$S$495=14)*('CONTROL MASTER'!$Z$2:$Z$495&lt;=8)*('CONTROL MASTER'!$AB$2:$AB$495&gt;=8)*('CONTROL MASTER'!$AA$2:$AA$495&lt;=4)*('CONTROL MASTER'!$AC$2:$AC$495&gt;=4))*ROW('CONTROL MASTER'!$S$2:$S$495))-(ROW('CONTROL MASTER'!#REF!)-1))),":",","),",",REPT(" ",50)),(((INDEX('CONTROL MASTER'!$Y$2:$Y$495,(SUMPRODUCT((('CONTROL MASTER'!$S$2:$S$495=14)*('CONTROL MASTER'!$Z$2:$Z$495&lt;=8)*('CONTROL MASTER'!$AB$2:$AB$495&gt;=8)*('CONTROL MASTER'!$AA$2:$AA$495&lt;=4)*('CONTROL MASTER'!$AC$2:$AC$495&gt;=4))*ROW('CONTROL MASTER'!$S$2:$S$495))-(ROW('CONTROL MASTER'!#REF!)-1)))+((8-INDEX('CONTROL MASTER'!$Z$2:$Z$495,(SUMPRODUCT((('CONTROL MASTER'!$S$2:$S$495=14)*('CONTROL MASTER'!$Z$2:$Z$495&lt;=8)*('CONTROL MASTER'!$AB$2:$AB$495&gt;=8)*('CONTROL MASTER'!$AA$2:$AA$495&lt;=4)*('CONTROL MASTER'!$AC$2:$AC$495&gt;=4))*ROW('CONTROL MASTER'!$S$2:$S$495))-(ROW('CONTROL MASTER'!#REF!)-1))))*(INDEX('CONTROL MASTER'!$AC$2:$AC$495,(SUMPRODUCT((('CONTROL MASTER'!$S$2:$S$495=14)*('CONTROL MASTER'!$Z$2:$Z$495&lt;=8)*('CONTROL MASTER'!$AB$2:$AB$495&gt;=8)*('CONTROL MASTER'!$AA$2:$AA$495&lt;=4)*('CONTROL MASTER'!$AC$2:$AC$495&gt;=4))*ROW('CONTROL MASTER'!$S$2:$S$495))-(ROW('CONTROL MASTER'!#REF!)-1)))-INDEX('CONTROL MASTER'!$AA$2:$AA$495,(SUMPRODUCT((('CONTROL MASTER'!$S$2:$S$495=14)*('CONTROL MASTER'!$Z$2:$Z$495&lt;=8)*('CONTROL MASTER'!$AB$2:$AB$495&gt;=8)*('CONTROL MASTER'!$AA$2:$AA$495&lt;=4)*('CONTROL MASTER'!$AC$2:$AC$495&gt;=4))*ROW('CONTROL MASTER'!$S$2:$S$495))-(ROW('CONTROL MASTER'!#REF!)-1)))+1)+(4-INDEX('CONTROL MASTER'!$AA$2:$AA$495,(SUMPRODUCT((('CONTROL MASTER'!$S$2:$S$495=14)*('CONTROL MASTER'!$Z$2:$Z$495&lt;=8)*('CONTROL MASTER'!$AB$2:$AB$495&gt;=8)*('CONTROL MASTER'!$AA$2:$AA$495&lt;=4)*('CONTROL MASTER'!$AC$2:$AC$495&gt;=4))*ROW('CONTROL MASTER'!$S$2:$S$495))-(ROW('CONTROL MASTER'!#REF!)-1))))+1)))-1)*50+1,50))&amp;"_"&amp;INDEX('CONTROL MASTER'!$P$2:$P$495,(SUMPRODUCT((('CONTROL MASTER'!$S$2:$S$495=14)*('CONTROL MASTER'!$Z$2:$Z$495&lt;=8)*('CONTROL MASTER'!$AB$2:$AB$495&gt;=8)*('CONTROL MASTER'!$AA$2:$AA$495&lt;=4)*('CONTROL MASTER'!$AC$2:$AC$495&gt;=4))*ROW('CONTROL MASTER'!$S$2:$S$495))-(ROW('CONTROL MASTER'!#REF!)-1))),"")),"")</f>
        <v/>
      </c>
      <c r="F192" s="10" t="str">
        <f>IFERROR(IF(SUMPRODUCT((('CONTROL MASTER'!$S$2:$S$495=14)*('CONTROL MASTER'!$T$2:$T$495&lt;=8)*('CONTROL MASTER'!$V$2:$V$495&gt;=8)*('CONTROL MASTER'!$U$2:$U$495&lt;=5)*('CONTROL MASTER'!$W$2:$W$495&gt;=5))*ROW('CONTROL MASTER'!$S$2:$S$495))&gt;0,INDEX('CONTROL MASTER'!$X$2:$X$495,(SUMPRODUCT((('CONTROL MASTER'!$S$2:$S$495=14)*('CONTROL MASTER'!$T$2:$T$495&lt;=8)*('CONTROL MASTER'!$V$2:$V$495&gt;=8)*('CONTROL MASTER'!$U$2:$U$495&lt;=5)*('CONTROL MASTER'!$W$2:$W$495&gt;=5))*ROW('CONTROL MASTER'!$S$2:$S$495))-(ROW('CONTROL MASTER'!#REF!)-1)))&amp;TRIM(MID(SUBSTITUTE(SUBSTITUTE(INDEX('CONTROL MASTER'!$N$2:$N$495,(SUMPRODUCT((('CONTROL MASTER'!$S$2:$S$495=14)*('CONTROL MASTER'!$T$2:$T$495&lt;=8)*('CONTROL MASTER'!$V$2:$V$495&gt;=8)*('CONTROL MASTER'!$U$2:$U$495&lt;=5)*('CONTROL MASTER'!$W$2:$W$495&gt;=5))*ROW('CONTROL MASTER'!$S$2:$S$495))-(ROW('CONTROL MASTER'!#REF!)-1))),":",","),",",REPT(" ",50)),((((8-INDEX('CONTROL MASTER'!$T$2:$T$495,(SUMPRODUCT((('CONTROL MASTER'!$S$2:$S$495=14)*('CONTROL MASTER'!$T$2:$T$495&lt;=8)*('CONTROL MASTER'!$V$2:$V$495&gt;=8)*('CONTROL MASTER'!$U$2:$U$495&lt;=5)*('CONTROL MASTER'!$W$2:$W$495&gt;=5))*ROW('CONTROL MASTER'!$S$2:$S$495))-(ROW('CONTROL MASTER'!#REF!)-1))))*(INDEX('CONTROL MASTER'!$W$2:$W$495,(SUMPRODUCT((('CONTROL MASTER'!$S$2:$S$495=14)*('CONTROL MASTER'!$T$2:$T$495&lt;=8)*('CONTROL MASTER'!$V$2:$V$495&gt;=8)*('CONTROL MASTER'!$U$2:$U$495&lt;=5)*('CONTROL MASTER'!$W$2:$W$495&gt;=5))*ROW('CONTROL MASTER'!$S$2:$S$495))-(ROW('CONTROL MASTER'!#REF!)-1)))-INDEX('CONTROL MASTER'!$U$2:$U$495,(SUMPRODUCT((('CONTROL MASTER'!$S$2:$S$495=14)*('CONTROL MASTER'!$T$2:$T$495&lt;=8)*('CONTROL MASTER'!$V$2:$V$495&gt;=8)*('CONTROL MASTER'!$U$2:$U$495&lt;=5)*('CONTROL MASTER'!$W$2:$W$495&gt;=5))*ROW('CONTROL MASTER'!$S$2:$S$495))-(ROW('CONTROL MASTER'!#REF!)-1)))+1)+(5-INDEX('CONTROL MASTER'!$U$2:$U$495,(SUMPRODUCT((('CONTROL MASTER'!$S$2:$S$495=14)*('CONTROL MASTER'!$T$2:$T$495&lt;=8)*('CONTROL MASTER'!$V$2:$V$495&gt;=8)*('CONTROL MASTER'!$U$2:$U$495&lt;=5)*('CONTROL MASTER'!$W$2:$W$495&gt;=5))*ROW('CONTROL MASTER'!$S$2:$S$495))-(ROW('CONTROL MASTER'!#REF!)-1))))+1))-1)*50+1,50))&amp;"_"&amp;INDEX('CONTROL MASTER'!$P$2:$P$495,(SUMPRODUCT((('CONTROL MASTER'!$S$2:$S$495=14)*('CONTROL MASTER'!$T$2:$T$495&lt;=8)*('CONTROL MASTER'!$V$2:$V$495&gt;=8)*('CONTROL MASTER'!$U$2:$U$495&lt;=5)*('CONTROL MASTER'!$W$2:$W$495&gt;=5))*ROW('CONTROL MASTER'!$S$2:$S$495))-(ROW('CONTROL MASTER'!#REF!)-1))),IF(SUMPRODUCT((('CONTROL MASTER'!$S$2:$S$495=14)*('CONTROL MASTER'!$Z$2:$Z$495&lt;=8)*('CONTROL MASTER'!$AB$2:$AB$495&gt;=8)*('CONTROL MASTER'!$AA$2:$AA$495&lt;=5)*('CONTROL MASTER'!$AC$2:$AC$495&gt;=5))*ROW('CONTROL MASTER'!$S$2:$S$495))&gt;0,INDEX('CONTROL MASTER'!$X$2:$X$495,(SUMPRODUCT((('CONTROL MASTER'!$S$2:$S$495=14)*('CONTROL MASTER'!$Z$2:$Z$495&lt;=8)*('CONTROL MASTER'!$AB$2:$AB$495&gt;=8)*('CONTROL MASTER'!$AA$2:$AA$495&lt;=5)*('CONTROL MASTER'!$AC$2:$AC$495&gt;=5))*ROW('CONTROL MASTER'!$S$2:$S$495))-(ROW('CONTROL MASTER'!#REF!)-1)))&amp;TRIM(MID(SUBSTITUTE(SUBSTITUTE(INDEX('CONTROL MASTER'!$N$2:$N$495,(SUMPRODUCT((('CONTROL MASTER'!$S$2:$S$495=14)*('CONTROL MASTER'!$Z$2:$Z$495&lt;=8)*('CONTROL MASTER'!$AB$2:$AB$495&gt;=8)*('CONTROL MASTER'!$AA$2:$AA$495&lt;=5)*('CONTROL MASTER'!$AC$2:$AC$495&gt;=5))*ROW('CONTROL MASTER'!$S$2:$S$495))-(ROW('CONTROL MASTER'!#REF!)-1))),":",","),",",REPT(" ",50)),(((INDEX('CONTROL MASTER'!$Y$2:$Y$495,(SUMPRODUCT((('CONTROL MASTER'!$S$2:$S$495=14)*('CONTROL MASTER'!$Z$2:$Z$495&lt;=8)*('CONTROL MASTER'!$AB$2:$AB$495&gt;=8)*('CONTROL MASTER'!$AA$2:$AA$495&lt;=5)*('CONTROL MASTER'!$AC$2:$AC$495&gt;=5))*ROW('CONTROL MASTER'!$S$2:$S$495))-(ROW('CONTROL MASTER'!#REF!)-1)))+((8-INDEX('CONTROL MASTER'!$Z$2:$Z$495,(SUMPRODUCT((('CONTROL MASTER'!$S$2:$S$495=14)*('CONTROL MASTER'!$Z$2:$Z$495&lt;=8)*('CONTROL MASTER'!$AB$2:$AB$495&gt;=8)*('CONTROL MASTER'!$AA$2:$AA$495&lt;=5)*('CONTROL MASTER'!$AC$2:$AC$495&gt;=5))*ROW('CONTROL MASTER'!$S$2:$S$495))-(ROW('CONTROL MASTER'!#REF!)-1))))*(INDEX('CONTROL MASTER'!$AC$2:$AC$495,(SUMPRODUCT((('CONTROL MASTER'!$S$2:$S$495=14)*('CONTROL MASTER'!$Z$2:$Z$495&lt;=8)*('CONTROL MASTER'!$AB$2:$AB$495&gt;=8)*('CONTROL MASTER'!$AA$2:$AA$495&lt;=5)*('CONTROL MASTER'!$AC$2:$AC$495&gt;=5))*ROW('CONTROL MASTER'!$S$2:$S$495))-(ROW('CONTROL MASTER'!#REF!)-1)))-INDEX('CONTROL MASTER'!$AA$2:$AA$495,(SUMPRODUCT((('CONTROL MASTER'!$S$2:$S$495=14)*('CONTROL MASTER'!$Z$2:$Z$495&lt;=8)*('CONTROL MASTER'!$AB$2:$AB$495&gt;=8)*('CONTROL MASTER'!$AA$2:$AA$495&lt;=5)*('CONTROL MASTER'!$AC$2:$AC$495&gt;=5))*ROW('CONTROL MASTER'!$S$2:$S$495))-(ROW('CONTROL MASTER'!#REF!)-1)))+1)+(5-INDEX('CONTROL MASTER'!$AA$2:$AA$495,(SUMPRODUCT((('CONTROL MASTER'!$S$2:$S$495=14)*('CONTROL MASTER'!$Z$2:$Z$495&lt;=8)*('CONTROL MASTER'!$AB$2:$AB$495&gt;=8)*('CONTROL MASTER'!$AA$2:$AA$495&lt;=5)*('CONTROL MASTER'!$AC$2:$AC$495&gt;=5))*ROW('CONTROL MASTER'!$S$2:$S$495))-(ROW('CONTROL MASTER'!#REF!)-1))))+1)))-1)*50+1,50))&amp;"_"&amp;INDEX('CONTROL MASTER'!$P$2:$P$495,(SUMPRODUCT((('CONTROL MASTER'!$S$2:$S$495=14)*('CONTROL MASTER'!$Z$2:$Z$495&lt;=8)*('CONTROL MASTER'!$AB$2:$AB$495&gt;=8)*('CONTROL MASTER'!$AA$2:$AA$495&lt;=5)*('CONTROL MASTER'!$AC$2:$AC$495&gt;=5))*ROW('CONTROL MASTER'!$S$2:$S$495))-(ROW('CONTROL MASTER'!#REF!)-1))),"")),"")</f>
        <v/>
      </c>
      <c r="G192" s="10" t="str">
        <f>IFERROR(IF(SUMPRODUCT((('CONTROL MASTER'!$S$2:$S$495=14)*('CONTROL MASTER'!$T$2:$T$495&lt;=8)*('CONTROL MASTER'!$V$2:$V$495&gt;=8)*('CONTROL MASTER'!$U$2:$U$495&lt;=6)*('CONTROL MASTER'!$W$2:$W$495&gt;=6))*ROW('CONTROL MASTER'!$S$2:$S$495))&gt;0,INDEX('CONTROL MASTER'!$X$2:$X$495,(SUMPRODUCT((('CONTROL MASTER'!$S$2:$S$495=14)*('CONTROL MASTER'!$T$2:$T$495&lt;=8)*('CONTROL MASTER'!$V$2:$V$495&gt;=8)*('CONTROL MASTER'!$U$2:$U$495&lt;=6)*('CONTROL MASTER'!$W$2:$W$495&gt;=6))*ROW('CONTROL MASTER'!$S$2:$S$495))-(ROW('CONTROL MASTER'!#REF!)-1)))&amp;TRIM(MID(SUBSTITUTE(SUBSTITUTE(INDEX('CONTROL MASTER'!$N$2:$N$495,(SUMPRODUCT((('CONTROL MASTER'!$S$2:$S$495=14)*('CONTROL MASTER'!$T$2:$T$495&lt;=8)*('CONTROL MASTER'!$V$2:$V$495&gt;=8)*('CONTROL MASTER'!$U$2:$U$495&lt;=6)*('CONTROL MASTER'!$W$2:$W$495&gt;=6))*ROW('CONTROL MASTER'!$S$2:$S$495))-(ROW('CONTROL MASTER'!#REF!)-1))),":",","),",",REPT(" ",50)),((((8-INDEX('CONTROL MASTER'!$T$2:$T$495,(SUMPRODUCT((('CONTROL MASTER'!$S$2:$S$495=14)*('CONTROL MASTER'!$T$2:$T$495&lt;=8)*('CONTROL MASTER'!$V$2:$V$495&gt;=8)*('CONTROL MASTER'!$U$2:$U$495&lt;=6)*('CONTROL MASTER'!$W$2:$W$495&gt;=6))*ROW('CONTROL MASTER'!$S$2:$S$495))-(ROW('CONTROL MASTER'!#REF!)-1))))*(INDEX('CONTROL MASTER'!$W$2:$W$495,(SUMPRODUCT((('CONTROL MASTER'!$S$2:$S$495=14)*('CONTROL MASTER'!$T$2:$T$495&lt;=8)*('CONTROL MASTER'!$V$2:$V$495&gt;=8)*('CONTROL MASTER'!$U$2:$U$495&lt;=6)*('CONTROL MASTER'!$W$2:$W$495&gt;=6))*ROW('CONTROL MASTER'!$S$2:$S$495))-(ROW('CONTROL MASTER'!#REF!)-1)))-INDEX('CONTROL MASTER'!$U$2:$U$495,(SUMPRODUCT((('CONTROL MASTER'!$S$2:$S$495=14)*('CONTROL MASTER'!$T$2:$T$495&lt;=8)*('CONTROL MASTER'!$V$2:$V$495&gt;=8)*('CONTROL MASTER'!$U$2:$U$495&lt;=6)*('CONTROL MASTER'!$W$2:$W$495&gt;=6))*ROW('CONTROL MASTER'!$S$2:$S$495))-(ROW('CONTROL MASTER'!#REF!)-1)))+1)+(6-INDEX('CONTROL MASTER'!$U$2:$U$495,(SUMPRODUCT((('CONTROL MASTER'!$S$2:$S$495=14)*('CONTROL MASTER'!$T$2:$T$495&lt;=8)*('CONTROL MASTER'!$V$2:$V$495&gt;=8)*('CONTROL MASTER'!$U$2:$U$495&lt;=6)*('CONTROL MASTER'!$W$2:$W$495&gt;=6))*ROW('CONTROL MASTER'!$S$2:$S$495))-(ROW('CONTROL MASTER'!#REF!)-1))))+1))-1)*50+1,50))&amp;"_"&amp;INDEX('CONTROL MASTER'!$P$2:$P$495,(SUMPRODUCT((('CONTROL MASTER'!$S$2:$S$495=14)*('CONTROL MASTER'!$T$2:$T$495&lt;=8)*('CONTROL MASTER'!$V$2:$V$495&gt;=8)*('CONTROL MASTER'!$U$2:$U$495&lt;=6)*('CONTROL MASTER'!$W$2:$W$495&gt;=6))*ROW('CONTROL MASTER'!$S$2:$S$495))-(ROW('CONTROL MASTER'!#REF!)-1))),IF(SUMPRODUCT((('CONTROL MASTER'!$S$2:$S$495=14)*('CONTROL MASTER'!$Z$2:$Z$495&lt;=8)*('CONTROL MASTER'!$AB$2:$AB$495&gt;=8)*('CONTROL MASTER'!$AA$2:$AA$495&lt;=6)*('CONTROL MASTER'!$AC$2:$AC$495&gt;=6))*ROW('CONTROL MASTER'!$S$2:$S$495))&gt;0,INDEX('CONTROL MASTER'!$X$2:$X$495,(SUMPRODUCT((('CONTROL MASTER'!$S$2:$S$495=14)*('CONTROL MASTER'!$Z$2:$Z$495&lt;=8)*('CONTROL MASTER'!$AB$2:$AB$495&gt;=8)*('CONTROL MASTER'!$AA$2:$AA$495&lt;=6)*('CONTROL MASTER'!$AC$2:$AC$495&gt;=6))*ROW('CONTROL MASTER'!$S$2:$S$495))-(ROW('CONTROL MASTER'!#REF!)-1)))&amp;TRIM(MID(SUBSTITUTE(SUBSTITUTE(INDEX('CONTROL MASTER'!$N$2:$N$495,(SUMPRODUCT((('CONTROL MASTER'!$S$2:$S$495=14)*('CONTROL MASTER'!$Z$2:$Z$495&lt;=8)*('CONTROL MASTER'!$AB$2:$AB$495&gt;=8)*('CONTROL MASTER'!$AA$2:$AA$495&lt;=6)*('CONTROL MASTER'!$AC$2:$AC$495&gt;=6))*ROW('CONTROL MASTER'!$S$2:$S$495))-(ROW('CONTROL MASTER'!#REF!)-1))),":",","),",",REPT(" ",50)),(((INDEX('CONTROL MASTER'!$Y$2:$Y$495,(SUMPRODUCT((('CONTROL MASTER'!$S$2:$S$495=14)*('CONTROL MASTER'!$Z$2:$Z$495&lt;=8)*('CONTROL MASTER'!$AB$2:$AB$495&gt;=8)*('CONTROL MASTER'!$AA$2:$AA$495&lt;=6)*('CONTROL MASTER'!$AC$2:$AC$495&gt;=6))*ROW('CONTROL MASTER'!$S$2:$S$495))-(ROW('CONTROL MASTER'!#REF!)-1)))+((8-INDEX('CONTROL MASTER'!$Z$2:$Z$495,(SUMPRODUCT((('CONTROL MASTER'!$S$2:$S$495=14)*('CONTROL MASTER'!$Z$2:$Z$495&lt;=8)*('CONTROL MASTER'!$AB$2:$AB$495&gt;=8)*('CONTROL MASTER'!$AA$2:$AA$495&lt;=6)*('CONTROL MASTER'!$AC$2:$AC$495&gt;=6))*ROW('CONTROL MASTER'!$S$2:$S$495))-(ROW('CONTROL MASTER'!#REF!)-1))))*(INDEX('CONTROL MASTER'!$AC$2:$AC$495,(SUMPRODUCT((('CONTROL MASTER'!$S$2:$S$495=14)*('CONTROL MASTER'!$Z$2:$Z$495&lt;=8)*('CONTROL MASTER'!$AB$2:$AB$495&gt;=8)*('CONTROL MASTER'!$AA$2:$AA$495&lt;=6)*('CONTROL MASTER'!$AC$2:$AC$495&gt;=6))*ROW('CONTROL MASTER'!$S$2:$S$495))-(ROW('CONTROL MASTER'!#REF!)-1)))-INDEX('CONTROL MASTER'!$AA$2:$AA$495,(SUMPRODUCT((('CONTROL MASTER'!$S$2:$S$495=14)*('CONTROL MASTER'!$Z$2:$Z$495&lt;=8)*('CONTROL MASTER'!$AB$2:$AB$495&gt;=8)*('CONTROL MASTER'!$AA$2:$AA$495&lt;=6)*('CONTROL MASTER'!$AC$2:$AC$495&gt;=6))*ROW('CONTROL MASTER'!$S$2:$S$495))-(ROW('CONTROL MASTER'!#REF!)-1)))+1)+(6-INDEX('CONTROL MASTER'!$AA$2:$AA$495,(SUMPRODUCT((('CONTROL MASTER'!$S$2:$S$495=14)*('CONTROL MASTER'!$Z$2:$Z$495&lt;=8)*('CONTROL MASTER'!$AB$2:$AB$495&gt;=8)*('CONTROL MASTER'!$AA$2:$AA$495&lt;=6)*('CONTROL MASTER'!$AC$2:$AC$495&gt;=6))*ROW('CONTROL MASTER'!$S$2:$S$495))-(ROW('CONTROL MASTER'!#REF!)-1))))+1)))-1)*50+1,50))&amp;"_"&amp;INDEX('CONTROL MASTER'!$P$2:$P$495,(SUMPRODUCT((('CONTROL MASTER'!$S$2:$S$495=14)*('CONTROL MASTER'!$Z$2:$Z$495&lt;=8)*('CONTROL MASTER'!$AB$2:$AB$495&gt;=8)*('CONTROL MASTER'!$AA$2:$AA$495&lt;=6)*('CONTROL MASTER'!$AC$2:$AC$495&gt;=6))*ROW('CONTROL MASTER'!$S$2:$S$495))-(ROW('CONTROL MASTER'!#REF!)-1))),"")),"")</f>
        <v/>
      </c>
      <c r="H192" s="10" t="str">
        <f>IFERROR(IF(SUMPRODUCT((('CONTROL MASTER'!$S$2:$S$495=14)*('CONTROL MASTER'!$T$2:$T$495&lt;=8)*('CONTROL MASTER'!$V$2:$V$495&gt;=8)*('CONTROL MASTER'!$U$2:$U$495&lt;=7)*('CONTROL MASTER'!$W$2:$W$495&gt;=7))*ROW('CONTROL MASTER'!$S$2:$S$495))&gt;0,INDEX('CONTROL MASTER'!$X$2:$X$495,(SUMPRODUCT((('CONTROL MASTER'!$S$2:$S$495=14)*('CONTROL MASTER'!$T$2:$T$495&lt;=8)*('CONTROL MASTER'!$V$2:$V$495&gt;=8)*('CONTROL MASTER'!$U$2:$U$495&lt;=7)*('CONTROL MASTER'!$W$2:$W$495&gt;=7))*ROW('CONTROL MASTER'!$S$2:$S$495))-(ROW('CONTROL MASTER'!#REF!)-1)))&amp;TRIM(MID(SUBSTITUTE(SUBSTITUTE(INDEX('CONTROL MASTER'!$N$2:$N$495,(SUMPRODUCT((('CONTROL MASTER'!$S$2:$S$495=14)*('CONTROL MASTER'!$T$2:$T$495&lt;=8)*('CONTROL MASTER'!$V$2:$V$495&gt;=8)*('CONTROL MASTER'!$U$2:$U$495&lt;=7)*('CONTROL MASTER'!$W$2:$W$495&gt;=7))*ROW('CONTROL MASTER'!$S$2:$S$495))-(ROW('CONTROL MASTER'!#REF!)-1))),":",","),",",REPT(" ",50)),((((8-INDEX('CONTROL MASTER'!$T$2:$T$495,(SUMPRODUCT((('CONTROL MASTER'!$S$2:$S$495=14)*('CONTROL MASTER'!$T$2:$T$495&lt;=8)*('CONTROL MASTER'!$V$2:$V$495&gt;=8)*('CONTROL MASTER'!$U$2:$U$495&lt;=7)*('CONTROL MASTER'!$W$2:$W$495&gt;=7))*ROW('CONTROL MASTER'!$S$2:$S$495))-(ROW('CONTROL MASTER'!#REF!)-1))))*(INDEX('CONTROL MASTER'!$W$2:$W$495,(SUMPRODUCT((('CONTROL MASTER'!$S$2:$S$495=14)*('CONTROL MASTER'!$T$2:$T$495&lt;=8)*('CONTROL MASTER'!$V$2:$V$495&gt;=8)*('CONTROL MASTER'!$U$2:$U$495&lt;=7)*('CONTROL MASTER'!$W$2:$W$495&gt;=7))*ROW('CONTROL MASTER'!$S$2:$S$495))-(ROW('CONTROL MASTER'!#REF!)-1)))-INDEX('CONTROL MASTER'!$U$2:$U$495,(SUMPRODUCT((('CONTROL MASTER'!$S$2:$S$495=14)*('CONTROL MASTER'!$T$2:$T$495&lt;=8)*('CONTROL MASTER'!$V$2:$V$495&gt;=8)*('CONTROL MASTER'!$U$2:$U$495&lt;=7)*('CONTROL MASTER'!$W$2:$W$495&gt;=7))*ROW('CONTROL MASTER'!$S$2:$S$495))-(ROW('CONTROL MASTER'!#REF!)-1)))+1)+(7-INDEX('CONTROL MASTER'!$U$2:$U$495,(SUMPRODUCT((('CONTROL MASTER'!$S$2:$S$495=14)*('CONTROL MASTER'!$T$2:$T$495&lt;=8)*('CONTROL MASTER'!$V$2:$V$495&gt;=8)*('CONTROL MASTER'!$U$2:$U$495&lt;=7)*('CONTROL MASTER'!$W$2:$W$495&gt;=7))*ROW('CONTROL MASTER'!$S$2:$S$495))-(ROW('CONTROL MASTER'!#REF!)-1))))+1))-1)*50+1,50))&amp;"_"&amp;INDEX('CONTROL MASTER'!$P$2:$P$495,(SUMPRODUCT((('CONTROL MASTER'!$S$2:$S$495=14)*('CONTROL MASTER'!$T$2:$T$495&lt;=8)*('CONTROL MASTER'!$V$2:$V$495&gt;=8)*('CONTROL MASTER'!$U$2:$U$495&lt;=7)*('CONTROL MASTER'!$W$2:$W$495&gt;=7))*ROW('CONTROL MASTER'!$S$2:$S$495))-(ROW('CONTROL MASTER'!#REF!)-1))),IF(SUMPRODUCT((('CONTROL MASTER'!$S$2:$S$495=14)*('CONTROL MASTER'!$Z$2:$Z$495&lt;=8)*('CONTROL MASTER'!$AB$2:$AB$495&gt;=8)*('CONTROL MASTER'!$AA$2:$AA$495&lt;=7)*('CONTROL MASTER'!$AC$2:$AC$495&gt;=7))*ROW('CONTROL MASTER'!$S$2:$S$495))&gt;0,INDEX('CONTROL MASTER'!$X$2:$X$495,(SUMPRODUCT((('CONTROL MASTER'!$S$2:$S$495=14)*('CONTROL MASTER'!$Z$2:$Z$495&lt;=8)*('CONTROL MASTER'!$AB$2:$AB$495&gt;=8)*('CONTROL MASTER'!$AA$2:$AA$495&lt;=7)*('CONTROL MASTER'!$AC$2:$AC$495&gt;=7))*ROW('CONTROL MASTER'!$S$2:$S$495))-(ROW('CONTROL MASTER'!#REF!)-1)))&amp;TRIM(MID(SUBSTITUTE(SUBSTITUTE(INDEX('CONTROL MASTER'!$N$2:$N$495,(SUMPRODUCT((('CONTROL MASTER'!$S$2:$S$495=14)*('CONTROL MASTER'!$Z$2:$Z$495&lt;=8)*('CONTROL MASTER'!$AB$2:$AB$495&gt;=8)*('CONTROL MASTER'!$AA$2:$AA$495&lt;=7)*('CONTROL MASTER'!$AC$2:$AC$495&gt;=7))*ROW('CONTROL MASTER'!$S$2:$S$495))-(ROW('CONTROL MASTER'!#REF!)-1))),":",","),",",REPT(" ",50)),(((INDEX('CONTROL MASTER'!$Y$2:$Y$495,(SUMPRODUCT((('CONTROL MASTER'!$S$2:$S$495=14)*('CONTROL MASTER'!$Z$2:$Z$495&lt;=8)*('CONTROL MASTER'!$AB$2:$AB$495&gt;=8)*('CONTROL MASTER'!$AA$2:$AA$495&lt;=7)*('CONTROL MASTER'!$AC$2:$AC$495&gt;=7))*ROW('CONTROL MASTER'!$S$2:$S$495))-(ROW('CONTROL MASTER'!#REF!)-1)))+((8-INDEX('CONTROL MASTER'!$Z$2:$Z$495,(SUMPRODUCT((('CONTROL MASTER'!$S$2:$S$495=14)*('CONTROL MASTER'!$Z$2:$Z$495&lt;=8)*('CONTROL MASTER'!$AB$2:$AB$495&gt;=8)*('CONTROL MASTER'!$AA$2:$AA$495&lt;=7)*('CONTROL MASTER'!$AC$2:$AC$495&gt;=7))*ROW('CONTROL MASTER'!$S$2:$S$495))-(ROW('CONTROL MASTER'!#REF!)-1))))*(INDEX('CONTROL MASTER'!$AC$2:$AC$495,(SUMPRODUCT((('CONTROL MASTER'!$S$2:$S$495=14)*('CONTROL MASTER'!$Z$2:$Z$495&lt;=8)*('CONTROL MASTER'!$AB$2:$AB$495&gt;=8)*('CONTROL MASTER'!$AA$2:$AA$495&lt;=7)*('CONTROL MASTER'!$AC$2:$AC$495&gt;=7))*ROW('CONTROL MASTER'!$S$2:$S$495))-(ROW('CONTROL MASTER'!#REF!)-1)))-INDEX('CONTROL MASTER'!$AA$2:$AA$495,(SUMPRODUCT((('CONTROL MASTER'!$S$2:$S$495=14)*('CONTROL MASTER'!$Z$2:$Z$495&lt;=8)*('CONTROL MASTER'!$AB$2:$AB$495&gt;=8)*('CONTROL MASTER'!$AA$2:$AA$495&lt;=7)*('CONTROL MASTER'!$AC$2:$AC$495&gt;=7))*ROW('CONTROL MASTER'!$S$2:$S$495))-(ROW('CONTROL MASTER'!#REF!)-1)))+1)+(7-INDEX('CONTROL MASTER'!$AA$2:$AA$495,(SUMPRODUCT((('CONTROL MASTER'!$S$2:$S$495=14)*('CONTROL MASTER'!$Z$2:$Z$495&lt;=8)*('CONTROL MASTER'!$AB$2:$AB$495&gt;=8)*('CONTROL MASTER'!$AA$2:$AA$495&lt;=7)*('CONTROL MASTER'!$AC$2:$AC$495&gt;=7))*ROW('CONTROL MASTER'!$S$2:$S$495))-(ROW('CONTROL MASTER'!#REF!)-1))))+1)))-1)*50+1,50))&amp;"_"&amp;INDEX('CONTROL MASTER'!$P$2:$P$495,(SUMPRODUCT((('CONTROL MASTER'!$S$2:$S$495=14)*('CONTROL MASTER'!$Z$2:$Z$495&lt;=8)*('CONTROL MASTER'!$AB$2:$AB$495&gt;=8)*('CONTROL MASTER'!$AA$2:$AA$495&lt;=7)*('CONTROL MASTER'!$AC$2:$AC$495&gt;=7))*ROW('CONTROL MASTER'!$S$2:$S$495))-(ROW('CONTROL MASTER'!#REF!)-1))),"")),"")</f>
        <v/>
      </c>
      <c r="I192" s="10" t="str">
        <f>IFERROR(IF(SUMPRODUCT((('CONTROL MASTER'!$S$2:$S$495=14)*('CONTROL MASTER'!$T$2:$T$495&lt;=8)*('CONTROL MASTER'!$V$2:$V$495&gt;=8)*('CONTROL MASTER'!$U$2:$U$495&lt;=8)*('CONTROL MASTER'!$W$2:$W$495&gt;=8))*ROW('CONTROL MASTER'!$S$2:$S$495))&gt;0,INDEX('CONTROL MASTER'!$X$2:$X$495,(SUMPRODUCT((('CONTROL MASTER'!$S$2:$S$495=14)*('CONTROL MASTER'!$T$2:$T$495&lt;=8)*('CONTROL MASTER'!$V$2:$V$495&gt;=8)*('CONTROL MASTER'!$U$2:$U$495&lt;=8)*('CONTROL MASTER'!$W$2:$W$495&gt;=8))*ROW('CONTROL MASTER'!$S$2:$S$495))-(ROW('CONTROL MASTER'!#REF!)-1)))&amp;TRIM(MID(SUBSTITUTE(SUBSTITUTE(INDEX('CONTROL MASTER'!$N$2:$N$495,(SUMPRODUCT((('CONTROL MASTER'!$S$2:$S$495=14)*('CONTROL MASTER'!$T$2:$T$495&lt;=8)*('CONTROL MASTER'!$V$2:$V$495&gt;=8)*('CONTROL MASTER'!$U$2:$U$495&lt;=8)*('CONTROL MASTER'!$W$2:$W$495&gt;=8))*ROW('CONTROL MASTER'!$S$2:$S$495))-(ROW('CONTROL MASTER'!#REF!)-1))),":",","),",",REPT(" ",50)),((((8-INDEX('CONTROL MASTER'!$T$2:$T$495,(SUMPRODUCT((('CONTROL MASTER'!$S$2:$S$495=14)*('CONTROL MASTER'!$T$2:$T$495&lt;=8)*('CONTROL MASTER'!$V$2:$V$495&gt;=8)*('CONTROL MASTER'!$U$2:$U$495&lt;=8)*('CONTROL MASTER'!$W$2:$W$495&gt;=8))*ROW('CONTROL MASTER'!$S$2:$S$495))-(ROW('CONTROL MASTER'!#REF!)-1))))*(INDEX('CONTROL MASTER'!$W$2:$W$495,(SUMPRODUCT((('CONTROL MASTER'!$S$2:$S$495=14)*('CONTROL MASTER'!$T$2:$T$495&lt;=8)*('CONTROL MASTER'!$V$2:$V$495&gt;=8)*('CONTROL MASTER'!$U$2:$U$495&lt;=8)*('CONTROL MASTER'!$W$2:$W$495&gt;=8))*ROW('CONTROL MASTER'!$S$2:$S$495))-(ROW('CONTROL MASTER'!#REF!)-1)))-INDEX('CONTROL MASTER'!$U$2:$U$495,(SUMPRODUCT((('CONTROL MASTER'!$S$2:$S$495=14)*('CONTROL MASTER'!$T$2:$T$495&lt;=8)*('CONTROL MASTER'!$V$2:$V$495&gt;=8)*('CONTROL MASTER'!$U$2:$U$495&lt;=8)*('CONTROL MASTER'!$W$2:$W$495&gt;=8))*ROW('CONTROL MASTER'!$S$2:$S$495))-(ROW('CONTROL MASTER'!#REF!)-1)))+1)+(8-INDEX('CONTROL MASTER'!$U$2:$U$495,(SUMPRODUCT((('CONTROL MASTER'!$S$2:$S$495=14)*('CONTROL MASTER'!$T$2:$T$495&lt;=8)*('CONTROL MASTER'!$V$2:$V$495&gt;=8)*('CONTROL MASTER'!$U$2:$U$495&lt;=8)*('CONTROL MASTER'!$W$2:$W$495&gt;=8))*ROW('CONTROL MASTER'!$S$2:$S$495))-(ROW('CONTROL MASTER'!#REF!)-1))))+1))-1)*50+1,50))&amp;"_"&amp;INDEX('CONTROL MASTER'!$P$2:$P$495,(SUMPRODUCT((('CONTROL MASTER'!$S$2:$S$495=14)*('CONTROL MASTER'!$T$2:$T$495&lt;=8)*('CONTROL MASTER'!$V$2:$V$495&gt;=8)*('CONTROL MASTER'!$U$2:$U$495&lt;=8)*('CONTROL MASTER'!$W$2:$W$495&gt;=8))*ROW('CONTROL MASTER'!$S$2:$S$495))-(ROW('CONTROL MASTER'!#REF!)-1))),IF(SUMPRODUCT((('CONTROL MASTER'!$S$2:$S$495=14)*('CONTROL MASTER'!$Z$2:$Z$495&lt;=8)*('CONTROL MASTER'!$AB$2:$AB$495&gt;=8)*('CONTROL MASTER'!$AA$2:$AA$495&lt;=8)*('CONTROL MASTER'!$AC$2:$AC$495&gt;=8))*ROW('CONTROL MASTER'!$S$2:$S$495))&gt;0,INDEX('CONTROL MASTER'!$X$2:$X$495,(SUMPRODUCT((('CONTROL MASTER'!$S$2:$S$495=14)*('CONTROL MASTER'!$Z$2:$Z$495&lt;=8)*('CONTROL MASTER'!$AB$2:$AB$495&gt;=8)*('CONTROL MASTER'!$AA$2:$AA$495&lt;=8)*('CONTROL MASTER'!$AC$2:$AC$495&gt;=8))*ROW('CONTROL MASTER'!$S$2:$S$495))-(ROW('CONTROL MASTER'!#REF!)-1)))&amp;TRIM(MID(SUBSTITUTE(SUBSTITUTE(INDEX('CONTROL MASTER'!$N$2:$N$495,(SUMPRODUCT((('CONTROL MASTER'!$S$2:$S$495=14)*('CONTROL MASTER'!$Z$2:$Z$495&lt;=8)*('CONTROL MASTER'!$AB$2:$AB$495&gt;=8)*('CONTROL MASTER'!$AA$2:$AA$495&lt;=8)*('CONTROL MASTER'!$AC$2:$AC$495&gt;=8))*ROW('CONTROL MASTER'!$S$2:$S$495))-(ROW('CONTROL MASTER'!#REF!)-1))),":",","),",",REPT(" ",50)),(((INDEX('CONTROL MASTER'!$Y$2:$Y$495,(SUMPRODUCT((('CONTROL MASTER'!$S$2:$S$495=14)*('CONTROL MASTER'!$Z$2:$Z$495&lt;=8)*('CONTROL MASTER'!$AB$2:$AB$495&gt;=8)*('CONTROL MASTER'!$AA$2:$AA$495&lt;=8)*('CONTROL MASTER'!$AC$2:$AC$495&gt;=8))*ROW('CONTROL MASTER'!$S$2:$S$495))-(ROW('CONTROL MASTER'!#REF!)-1)))+((8-INDEX('CONTROL MASTER'!$Z$2:$Z$495,(SUMPRODUCT((('CONTROL MASTER'!$S$2:$S$495=14)*('CONTROL MASTER'!$Z$2:$Z$495&lt;=8)*('CONTROL MASTER'!$AB$2:$AB$495&gt;=8)*('CONTROL MASTER'!$AA$2:$AA$495&lt;=8)*('CONTROL MASTER'!$AC$2:$AC$495&gt;=8))*ROW('CONTROL MASTER'!$S$2:$S$495))-(ROW('CONTROL MASTER'!#REF!)-1))))*(INDEX('CONTROL MASTER'!$AC$2:$AC$495,(SUMPRODUCT((('CONTROL MASTER'!$S$2:$S$495=14)*('CONTROL MASTER'!$Z$2:$Z$495&lt;=8)*('CONTROL MASTER'!$AB$2:$AB$495&gt;=8)*('CONTROL MASTER'!$AA$2:$AA$495&lt;=8)*('CONTROL MASTER'!$AC$2:$AC$495&gt;=8))*ROW('CONTROL MASTER'!$S$2:$S$495))-(ROW('CONTROL MASTER'!#REF!)-1)))-INDEX('CONTROL MASTER'!$AA$2:$AA$495,(SUMPRODUCT((('CONTROL MASTER'!$S$2:$S$495=14)*('CONTROL MASTER'!$Z$2:$Z$495&lt;=8)*('CONTROL MASTER'!$AB$2:$AB$495&gt;=8)*('CONTROL MASTER'!$AA$2:$AA$495&lt;=8)*('CONTROL MASTER'!$AC$2:$AC$495&gt;=8))*ROW('CONTROL MASTER'!$S$2:$S$495))-(ROW('CONTROL MASTER'!#REF!)-1)))+1)+(8-INDEX('CONTROL MASTER'!$AA$2:$AA$495,(SUMPRODUCT((('CONTROL MASTER'!$S$2:$S$495=14)*('CONTROL MASTER'!$Z$2:$Z$495&lt;=8)*('CONTROL MASTER'!$AB$2:$AB$495&gt;=8)*('CONTROL MASTER'!$AA$2:$AA$495&lt;=8)*('CONTROL MASTER'!$AC$2:$AC$495&gt;=8))*ROW('CONTROL MASTER'!$S$2:$S$495))-(ROW('CONTROL MASTER'!#REF!)-1))))+1)))-1)*50+1,50))&amp;"_"&amp;INDEX('CONTROL MASTER'!$P$2:$P$495,(SUMPRODUCT((('CONTROL MASTER'!$S$2:$S$495=14)*('CONTROL MASTER'!$Z$2:$Z$495&lt;=8)*('CONTROL MASTER'!$AB$2:$AB$495&gt;=8)*('CONTROL MASTER'!$AA$2:$AA$495&lt;=8)*('CONTROL MASTER'!$AC$2:$AC$495&gt;=8))*ROW('CONTROL MASTER'!$S$2:$S$495))-(ROW('CONTROL MASTER'!#REF!)-1))),"")),"")</f>
        <v/>
      </c>
      <c r="J192" s="10" t="str">
        <f>IFERROR(IF(SUMPRODUCT((('CONTROL MASTER'!$S$2:$S$495=14)*('CONTROL MASTER'!$T$2:$T$495&lt;=8)*('CONTROL MASTER'!$V$2:$V$495&gt;=8)*('CONTROL MASTER'!$U$2:$U$495&lt;=9)*('CONTROL MASTER'!$W$2:$W$495&gt;=9))*ROW('CONTROL MASTER'!$S$2:$S$495))&gt;0,INDEX('CONTROL MASTER'!$X$2:$X$495,(SUMPRODUCT((('CONTROL MASTER'!$S$2:$S$495=14)*('CONTROL MASTER'!$T$2:$T$495&lt;=8)*('CONTROL MASTER'!$V$2:$V$495&gt;=8)*('CONTROL MASTER'!$U$2:$U$495&lt;=9)*('CONTROL MASTER'!$W$2:$W$495&gt;=9))*ROW('CONTROL MASTER'!$S$2:$S$495))-(ROW('CONTROL MASTER'!#REF!)-1)))&amp;TRIM(MID(SUBSTITUTE(SUBSTITUTE(INDEX('CONTROL MASTER'!$N$2:$N$495,(SUMPRODUCT((('CONTROL MASTER'!$S$2:$S$495=14)*('CONTROL MASTER'!$T$2:$T$495&lt;=8)*('CONTROL MASTER'!$V$2:$V$495&gt;=8)*('CONTROL MASTER'!$U$2:$U$495&lt;=9)*('CONTROL MASTER'!$W$2:$W$495&gt;=9))*ROW('CONTROL MASTER'!$S$2:$S$495))-(ROW('CONTROL MASTER'!#REF!)-1))),":",","),",",REPT(" ",50)),((((8-INDEX('CONTROL MASTER'!$T$2:$T$495,(SUMPRODUCT((('CONTROL MASTER'!$S$2:$S$495=14)*('CONTROL MASTER'!$T$2:$T$495&lt;=8)*('CONTROL MASTER'!$V$2:$V$495&gt;=8)*('CONTROL MASTER'!$U$2:$U$495&lt;=9)*('CONTROL MASTER'!$W$2:$W$495&gt;=9))*ROW('CONTROL MASTER'!$S$2:$S$495))-(ROW('CONTROL MASTER'!#REF!)-1))))*(INDEX('CONTROL MASTER'!$W$2:$W$495,(SUMPRODUCT((('CONTROL MASTER'!$S$2:$S$495=14)*('CONTROL MASTER'!$T$2:$T$495&lt;=8)*('CONTROL MASTER'!$V$2:$V$495&gt;=8)*('CONTROL MASTER'!$U$2:$U$495&lt;=9)*('CONTROL MASTER'!$W$2:$W$495&gt;=9))*ROW('CONTROL MASTER'!$S$2:$S$495))-(ROW('CONTROL MASTER'!#REF!)-1)))-INDEX('CONTROL MASTER'!$U$2:$U$495,(SUMPRODUCT((('CONTROL MASTER'!$S$2:$S$495=14)*('CONTROL MASTER'!$T$2:$T$495&lt;=8)*('CONTROL MASTER'!$V$2:$V$495&gt;=8)*('CONTROL MASTER'!$U$2:$U$495&lt;=9)*('CONTROL MASTER'!$W$2:$W$495&gt;=9))*ROW('CONTROL MASTER'!$S$2:$S$495))-(ROW('CONTROL MASTER'!#REF!)-1)))+1)+(9-INDEX('CONTROL MASTER'!$U$2:$U$495,(SUMPRODUCT((('CONTROL MASTER'!$S$2:$S$495=14)*('CONTROL MASTER'!$T$2:$T$495&lt;=8)*('CONTROL MASTER'!$V$2:$V$495&gt;=8)*('CONTROL MASTER'!$U$2:$U$495&lt;=9)*('CONTROL MASTER'!$W$2:$W$495&gt;=9))*ROW('CONTROL MASTER'!$S$2:$S$495))-(ROW('CONTROL MASTER'!#REF!)-1))))+1))-1)*50+1,50))&amp;"_"&amp;INDEX('CONTROL MASTER'!$P$2:$P$495,(SUMPRODUCT((('CONTROL MASTER'!$S$2:$S$495=14)*('CONTROL MASTER'!$T$2:$T$495&lt;=8)*('CONTROL MASTER'!$V$2:$V$495&gt;=8)*('CONTROL MASTER'!$U$2:$U$495&lt;=9)*('CONTROL MASTER'!$W$2:$W$495&gt;=9))*ROW('CONTROL MASTER'!$S$2:$S$495))-(ROW('CONTROL MASTER'!#REF!)-1))),IF(SUMPRODUCT((('CONTROL MASTER'!$S$2:$S$495=14)*('CONTROL MASTER'!$Z$2:$Z$495&lt;=8)*('CONTROL MASTER'!$AB$2:$AB$495&gt;=8)*('CONTROL MASTER'!$AA$2:$AA$495&lt;=9)*('CONTROL MASTER'!$AC$2:$AC$495&gt;=9))*ROW('CONTROL MASTER'!$S$2:$S$495))&gt;0,INDEX('CONTROL MASTER'!$X$2:$X$495,(SUMPRODUCT((('CONTROL MASTER'!$S$2:$S$495=14)*('CONTROL MASTER'!$Z$2:$Z$495&lt;=8)*('CONTROL MASTER'!$AB$2:$AB$495&gt;=8)*('CONTROL MASTER'!$AA$2:$AA$495&lt;=9)*('CONTROL MASTER'!$AC$2:$AC$495&gt;=9))*ROW('CONTROL MASTER'!$S$2:$S$495))-(ROW('CONTROL MASTER'!#REF!)-1)))&amp;TRIM(MID(SUBSTITUTE(SUBSTITUTE(INDEX('CONTROL MASTER'!$N$2:$N$495,(SUMPRODUCT((('CONTROL MASTER'!$S$2:$S$495=14)*('CONTROL MASTER'!$Z$2:$Z$495&lt;=8)*('CONTROL MASTER'!$AB$2:$AB$495&gt;=8)*('CONTROL MASTER'!$AA$2:$AA$495&lt;=9)*('CONTROL MASTER'!$AC$2:$AC$495&gt;=9))*ROW('CONTROL MASTER'!$S$2:$S$495))-(ROW('CONTROL MASTER'!#REF!)-1))),":",","),",",REPT(" ",50)),(((INDEX('CONTROL MASTER'!$Y$2:$Y$495,(SUMPRODUCT((('CONTROL MASTER'!$S$2:$S$495=14)*('CONTROL MASTER'!$Z$2:$Z$495&lt;=8)*('CONTROL MASTER'!$AB$2:$AB$495&gt;=8)*('CONTROL MASTER'!$AA$2:$AA$495&lt;=9)*('CONTROL MASTER'!$AC$2:$AC$495&gt;=9))*ROW('CONTROL MASTER'!$S$2:$S$495))-(ROW('CONTROL MASTER'!#REF!)-1)))+((8-INDEX('CONTROL MASTER'!$Z$2:$Z$495,(SUMPRODUCT((('CONTROL MASTER'!$S$2:$S$495=14)*('CONTROL MASTER'!$Z$2:$Z$495&lt;=8)*('CONTROL MASTER'!$AB$2:$AB$495&gt;=8)*('CONTROL MASTER'!$AA$2:$AA$495&lt;=9)*('CONTROL MASTER'!$AC$2:$AC$495&gt;=9))*ROW('CONTROL MASTER'!$S$2:$S$495))-(ROW('CONTROL MASTER'!#REF!)-1))))*(INDEX('CONTROL MASTER'!$AC$2:$AC$495,(SUMPRODUCT((('CONTROL MASTER'!$S$2:$S$495=14)*('CONTROL MASTER'!$Z$2:$Z$495&lt;=8)*('CONTROL MASTER'!$AB$2:$AB$495&gt;=8)*('CONTROL MASTER'!$AA$2:$AA$495&lt;=9)*('CONTROL MASTER'!$AC$2:$AC$495&gt;=9))*ROW('CONTROL MASTER'!$S$2:$S$495))-(ROW('CONTROL MASTER'!#REF!)-1)))-INDEX('CONTROL MASTER'!$AA$2:$AA$495,(SUMPRODUCT((('CONTROL MASTER'!$S$2:$S$495=14)*('CONTROL MASTER'!$Z$2:$Z$495&lt;=8)*('CONTROL MASTER'!$AB$2:$AB$495&gt;=8)*('CONTROL MASTER'!$AA$2:$AA$495&lt;=9)*('CONTROL MASTER'!$AC$2:$AC$495&gt;=9))*ROW('CONTROL MASTER'!$S$2:$S$495))-(ROW('CONTROL MASTER'!#REF!)-1)))+1)+(9-INDEX('CONTROL MASTER'!$AA$2:$AA$495,(SUMPRODUCT((('CONTROL MASTER'!$S$2:$S$495=14)*('CONTROL MASTER'!$Z$2:$Z$495&lt;=8)*('CONTROL MASTER'!$AB$2:$AB$495&gt;=8)*('CONTROL MASTER'!$AA$2:$AA$495&lt;=9)*('CONTROL MASTER'!$AC$2:$AC$495&gt;=9))*ROW('CONTROL MASTER'!$S$2:$S$495))-(ROW('CONTROL MASTER'!#REF!)-1))))+1)))-1)*50+1,50))&amp;"_"&amp;INDEX('CONTROL MASTER'!$P$2:$P$495,(SUMPRODUCT((('CONTROL MASTER'!$S$2:$S$495=14)*('CONTROL MASTER'!$Z$2:$Z$495&lt;=8)*('CONTROL MASTER'!$AB$2:$AB$495&gt;=8)*('CONTROL MASTER'!$AA$2:$AA$495&lt;=9)*('CONTROL MASTER'!$AC$2:$AC$495&gt;=9))*ROW('CONTROL MASTER'!$S$2:$S$495))-(ROW('CONTROL MASTER'!#REF!)-1))),"")),"")</f>
        <v/>
      </c>
      <c r="K192" s="10" t="str">
        <f>IFERROR(IF(SUMPRODUCT((('CONTROL MASTER'!$S$2:$S$495=14)*('CONTROL MASTER'!$T$2:$T$495&lt;=8)*('CONTROL MASTER'!$V$2:$V$495&gt;=8)*('CONTROL MASTER'!$U$2:$U$495&lt;=10)*('CONTROL MASTER'!$W$2:$W$495&gt;=10))*ROW('CONTROL MASTER'!$S$2:$S$495))&gt;0,INDEX('CONTROL MASTER'!$X$2:$X$495,(SUMPRODUCT((('CONTROL MASTER'!$S$2:$S$495=14)*('CONTROL MASTER'!$T$2:$T$495&lt;=8)*('CONTROL MASTER'!$V$2:$V$495&gt;=8)*('CONTROL MASTER'!$U$2:$U$495&lt;=10)*('CONTROL MASTER'!$W$2:$W$495&gt;=10))*ROW('CONTROL MASTER'!$S$2:$S$495))-(ROW('CONTROL MASTER'!#REF!)-1)))&amp;TRIM(MID(SUBSTITUTE(SUBSTITUTE(INDEX('CONTROL MASTER'!$N$2:$N$495,(SUMPRODUCT((('CONTROL MASTER'!$S$2:$S$495=14)*('CONTROL MASTER'!$T$2:$T$495&lt;=8)*('CONTROL MASTER'!$V$2:$V$495&gt;=8)*('CONTROL MASTER'!$U$2:$U$495&lt;=10)*('CONTROL MASTER'!$W$2:$W$495&gt;=10))*ROW('CONTROL MASTER'!$S$2:$S$495))-(ROW('CONTROL MASTER'!#REF!)-1))),":",","),",",REPT(" ",50)),((((8-INDEX('CONTROL MASTER'!$T$2:$T$495,(SUMPRODUCT((('CONTROL MASTER'!$S$2:$S$495=14)*('CONTROL MASTER'!$T$2:$T$495&lt;=8)*('CONTROL MASTER'!$V$2:$V$495&gt;=8)*('CONTROL MASTER'!$U$2:$U$495&lt;=10)*('CONTROL MASTER'!$W$2:$W$495&gt;=10))*ROW('CONTROL MASTER'!$S$2:$S$495))-(ROW('CONTROL MASTER'!#REF!)-1))))*(INDEX('CONTROL MASTER'!$W$2:$W$495,(SUMPRODUCT((('CONTROL MASTER'!$S$2:$S$495=14)*('CONTROL MASTER'!$T$2:$T$495&lt;=8)*('CONTROL MASTER'!$V$2:$V$495&gt;=8)*('CONTROL MASTER'!$U$2:$U$495&lt;=10)*('CONTROL MASTER'!$W$2:$W$495&gt;=10))*ROW('CONTROL MASTER'!$S$2:$S$495))-(ROW('CONTROL MASTER'!#REF!)-1)))-INDEX('CONTROL MASTER'!$U$2:$U$495,(SUMPRODUCT((('CONTROL MASTER'!$S$2:$S$495=14)*('CONTROL MASTER'!$T$2:$T$495&lt;=8)*('CONTROL MASTER'!$V$2:$V$495&gt;=8)*('CONTROL MASTER'!$U$2:$U$495&lt;=10)*('CONTROL MASTER'!$W$2:$W$495&gt;=10))*ROW('CONTROL MASTER'!$S$2:$S$495))-(ROW('CONTROL MASTER'!#REF!)-1)))+1)+(10-INDEX('CONTROL MASTER'!$U$2:$U$495,(SUMPRODUCT((('CONTROL MASTER'!$S$2:$S$495=14)*('CONTROL MASTER'!$T$2:$T$495&lt;=8)*('CONTROL MASTER'!$V$2:$V$495&gt;=8)*('CONTROL MASTER'!$U$2:$U$495&lt;=10)*('CONTROL MASTER'!$W$2:$W$495&gt;=10))*ROW('CONTROL MASTER'!$S$2:$S$495))-(ROW('CONTROL MASTER'!#REF!)-1))))+1))-1)*50+1,50))&amp;"_"&amp;INDEX('CONTROL MASTER'!$P$2:$P$495,(SUMPRODUCT((('CONTROL MASTER'!$S$2:$S$495=14)*('CONTROL MASTER'!$T$2:$T$495&lt;=8)*('CONTROL MASTER'!$V$2:$V$495&gt;=8)*('CONTROL MASTER'!$U$2:$U$495&lt;=10)*('CONTROL MASTER'!$W$2:$W$495&gt;=10))*ROW('CONTROL MASTER'!$S$2:$S$495))-(ROW('CONTROL MASTER'!#REF!)-1))),IF(SUMPRODUCT((('CONTROL MASTER'!$S$2:$S$495=14)*('CONTROL MASTER'!$Z$2:$Z$495&lt;=8)*('CONTROL MASTER'!$AB$2:$AB$495&gt;=8)*('CONTROL MASTER'!$AA$2:$AA$495&lt;=10)*('CONTROL MASTER'!$AC$2:$AC$495&gt;=10))*ROW('CONTROL MASTER'!$S$2:$S$495))&gt;0,INDEX('CONTROL MASTER'!$X$2:$X$495,(SUMPRODUCT((('CONTROL MASTER'!$S$2:$S$495=14)*('CONTROL MASTER'!$Z$2:$Z$495&lt;=8)*('CONTROL MASTER'!$AB$2:$AB$495&gt;=8)*('CONTROL MASTER'!$AA$2:$AA$495&lt;=10)*('CONTROL MASTER'!$AC$2:$AC$495&gt;=10))*ROW('CONTROL MASTER'!$S$2:$S$495))-(ROW('CONTROL MASTER'!#REF!)-1)))&amp;TRIM(MID(SUBSTITUTE(SUBSTITUTE(INDEX('CONTROL MASTER'!$N$2:$N$495,(SUMPRODUCT((('CONTROL MASTER'!$S$2:$S$495=14)*('CONTROL MASTER'!$Z$2:$Z$495&lt;=8)*('CONTROL MASTER'!$AB$2:$AB$495&gt;=8)*('CONTROL MASTER'!$AA$2:$AA$495&lt;=10)*('CONTROL MASTER'!$AC$2:$AC$495&gt;=10))*ROW('CONTROL MASTER'!$S$2:$S$495))-(ROW('CONTROL MASTER'!#REF!)-1))),":",","),",",REPT(" ",50)),(((INDEX('CONTROL MASTER'!$Y$2:$Y$495,(SUMPRODUCT((('CONTROL MASTER'!$S$2:$S$495=14)*('CONTROL MASTER'!$Z$2:$Z$495&lt;=8)*('CONTROL MASTER'!$AB$2:$AB$495&gt;=8)*('CONTROL MASTER'!$AA$2:$AA$495&lt;=10)*('CONTROL MASTER'!$AC$2:$AC$495&gt;=10))*ROW('CONTROL MASTER'!$S$2:$S$495))-(ROW('CONTROL MASTER'!#REF!)-1)))+((8-INDEX('CONTROL MASTER'!$Z$2:$Z$495,(SUMPRODUCT((('CONTROL MASTER'!$S$2:$S$495=14)*('CONTROL MASTER'!$Z$2:$Z$495&lt;=8)*('CONTROL MASTER'!$AB$2:$AB$495&gt;=8)*('CONTROL MASTER'!$AA$2:$AA$495&lt;=10)*('CONTROL MASTER'!$AC$2:$AC$495&gt;=10))*ROW('CONTROL MASTER'!$S$2:$S$495))-(ROW('CONTROL MASTER'!#REF!)-1))))*(INDEX('CONTROL MASTER'!$AC$2:$AC$495,(SUMPRODUCT((('CONTROL MASTER'!$S$2:$S$495=14)*('CONTROL MASTER'!$Z$2:$Z$495&lt;=8)*('CONTROL MASTER'!$AB$2:$AB$495&gt;=8)*('CONTROL MASTER'!$AA$2:$AA$495&lt;=10)*('CONTROL MASTER'!$AC$2:$AC$495&gt;=10))*ROW('CONTROL MASTER'!$S$2:$S$495))-(ROW('CONTROL MASTER'!#REF!)-1)))-INDEX('CONTROL MASTER'!$AA$2:$AA$495,(SUMPRODUCT((('CONTROL MASTER'!$S$2:$S$495=14)*('CONTROL MASTER'!$Z$2:$Z$495&lt;=8)*('CONTROL MASTER'!$AB$2:$AB$495&gt;=8)*('CONTROL MASTER'!$AA$2:$AA$495&lt;=10)*('CONTROL MASTER'!$AC$2:$AC$495&gt;=10))*ROW('CONTROL MASTER'!$S$2:$S$495))-(ROW('CONTROL MASTER'!#REF!)-1)))+1)+(10-INDEX('CONTROL MASTER'!$AA$2:$AA$495,(SUMPRODUCT((('CONTROL MASTER'!$S$2:$S$495=14)*('CONTROL MASTER'!$Z$2:$Z$495&lt;=8)*('CONTROL MASTER'!$AB$2:$AB$495&gt;=8)*('CONTROL MASTER'!$AA$2:$AA$495&lt;=10)*('CONTROL MASTER'!$AC$2:$AC$495&gt;=10))*ROW('CONTROL MASTER'!$S$2:$S$495))-(ROW('CONTROL MASTER'!#REF!)-1))))+1)))-1)*50+1,50))&amp;"_"&amp;INDEX('CONTROL MASTER'!$P$2:$P$495,(SUMPRODUCT((('CONTROL MASTER'!$S$2:$S$495=14)*('CONTROL MASTER'!$Z$2:$Z$495&lt;=8)*('CONTROL MASTER'!$AB$2:$AB$495&gt;=8)*('CONTROL MASTER'!$AA$2:$AA$495&lt;=10)*('CONTROL MASTER'!$AC$2:$AC$495&gt;=10))*ROW('CONTROL MASTER'!$S$2:$S$495))-(ROW('CONTROL MASTER'!#REF!)-1))),"")),"")</f>
        <v/>
      </c>
    </row>
    <row r="193" spans="1:11" ht="15" customHeight="1" x14ac:dyDescent="0.35">
      <c r="A193" s="8" t="s">
        <v>81</v>
      </c>
      <c r="B193" s="10" t="str">
        <f>IFERROR(IF(SUMPRODUCT((('CONTROL MASTER'!$S$2:$S$495=14)*('CONTROL MASTER'!$T$2:$T$495&lt;=9)*('CONTROL MASTER'!$V$2:$V$495&gt;=9)*('CONTROL MASTER'!$U$2:$U$495&lt;=1)*('CONTROL MASTER'!$W$2:$W$495&gt;=1))*ROW('CONTROL MASTER'!$S$2:$S$495))&gt;0,INDEX('CONTROL MASTER'!$X$2:$X$495,(SUMPRODUCT((('CONTROL MASTER'!$S$2:$S$495=14)*('CONTROL MASTER'!$T$2:$T$495&lt;=9)*('CONTROL MASTER'!$V$2:$V$495&gt;=9)*('CONTROL MASTER'!$U$2:$U$495&lt;=1)*('CONTROL MASTER'!$W$2:$W$495&gt;=1))*ROW('CONTROL MASTER'!$S$2:$S$495))-(ROW('CONTROL MASTER'!#REF!)-1)))&amp;TRIM(MID(SUBSTITUTE(SUBSTITUTE(INDEX('CONTROL MASTER'!$N$2:$N$495,(SUMPRODUCT((('CONTROL MASTER'!$S$2:$S$495=14)*('CONTROL MASTER'!$T$2:$T$495&lt;=9)*('CONTROL MASTER'!$V$2:$V$495&gt;=9)*('CONTROL MASTER'!$U$2:$U$495&lt;=1)*('CONTROL MASTER'!$W$2:$W$495&gt;=1))*ROW('CONTROL MASTER'!$S$2:$S$495))-(ROW('CONTROL MASTER'!#REF!)-1))),":",","),",",REPT(" ",50)),((((9-INDEX('CONTROL MASTER'!$T$2:$T$495,(SUMPRODUCT((('CONTROL MASTER'!$S$2:$S$495=14)*('CONTROL MASTER'!$T$2:$T$495&lt;=9)*('CONTROL MASTER'!$V$2:$V$495&gt;=9)*('CONTROL MASTER'!$U$2:$U$495&lt;=1)*('CONTROL MASTER'!$W$2:$W$495&gt;=1))*ROW('CONTROL MASTER'!$S$2:$S$495))-(ROW('CONTROL MASTER'!#REF!)-1))))*(INDEX('CONTROL MASTER'!$W$2:$W$495,(SUMPRODUCT((('CONTROL MASTER'!$S$2:$S$495=14)*('CONTROL MASTER'!$T$2:$T$495&lt;=9)*('CONTROL MASTER'!$V$2:$V$495&gt;=9)*('CONTROL MASTER'!$U$2:$U$495&lt;=1)*('CONTROL MASTER'!$W$2:$W$495&gt;=1))*ROW('CONTROL MASTER'!$S$2:$S$495))-(ROW('CONTROL MASTER'!#REF!)-1)))-INDEX('CONTROL MASTER'!$U$2:$U$495,(SUMPRODUCT((('CONTROL MASTER'!$S$2:$S$495=14)*('CONTROL MASTER'!$T$2:$T$495&lt;=9)*('CONTROL MASTER'!$V$2:$V$495&gt;=9)*('CONTROL MASTER'!$U$2:$U$495&lt;=1)*('CONTROL MASTER'!$W$2:$W$495&gt;=1))*ROW('CONTROL MASTER'!$S$2:$S$495))-(ROW('CONTROL MASTER'!#REF!)-1)))+1)+(1-INDEX('CONTROL MASTER'!$U$2:$U$495,(SUMPRODUCT((('CONTROL MASTER'!$S$2:$S$495=14)*('CONTROL MASTER'!$T$2:$T$495&lt;=9)*('CONTROL MASTER'!$V$2:$V$495&gt;=9)*('CONTROL MASTER'!$U$2:$U$495&lt;=1)*('CONTROL MASTER'!$W$2:$W$495&gt;=1))*ROW('CONTROL MASTER'!$S$2:$S$495))-(ROW('CONTROL MASTER'!#REF!)-1))))+1))-1)*50+1,50))&amp;"_"&amp;INDEX('CONTROL MASTER'!$P$2:$P$495,(SUMPRODUCT((('CONTROL MASTER'!$S$2:$S$495=14)*('CONTROL MASTER'!$T$2:$T$495&lt;=9)*('CONTROL MASTER'!$V$2:$V$495&gt;=9)*('CONTROL MASTER'!$U$2:$U$495&lt;=1)*('CONTROL MASTER'!$W$2:$W$495&gt;=1))*ROW('CONTROL MASTER'!$S$2:$S$495))-(ROW('CONTROL MASTER'!#REF!)-1))),IF(SUMPRODUCT((('CONTROL MASTER'!$S$2:$S$495=14)*('CONTROL MASTER'!$Z$2:$Z$495&lt;=9)*('CONTROL MASTER'!$AB$2:$AB$495&gt;=9)*('CONTROL MASTER'!$AA$2:$AA$495&lt;=1)*('CONTROL MASTER'!$AC$2:$AC$495&gt;=1))*ROW('CONTROL MASTER'!$S$2:$S$495))&gt;0,INDEX('CONTROL MASTER'!$X$2:$X$495,(SUMPRODUCT((('CONTROL MASTER'!$S$2:$S$495=14)*('CONTROL MASTER'!$Z$2:$Z$495&lt;=9)*('CONTROL MASTER'!$AB$2:$AB$495&gt;=9)*('CONTROL MASTER'!$AA$2:$AA$495&lt;=1)*('CONTROL MASTER'!$AC$2:$AC$495&gt;=1))*ROW('CONTROL MASTER'!$S$2:$S$495))-(ROW('CONTROL MASTER'!#REF!)-1)))&amp;TRIM(MID(SUBSTITUTE(SUBSTITUTE(INDEX('CONTROL MASTER'!$N$2:$N$495,(SUMPRODUCT((('CONTROL MASTER'!$S$2:$S$495=14)*('CONTROL MASTER'!$Z$2:$Z$495&lt;=9)*('CONTROL MASTER'!$AB$2:$AB$495&gt;=9)*('CONTROL MASTER'!$AA$2:$AA$495&lt;=1)*('CONTROL MASTER'!$AC$2:$AC$495&gt;=1))*ROW('CONTROL MASTER'!$S$2:$S$495))-(ROW('CONTROL MASTER'!#REF!)-1))),":",","),",",REPT(" ",50)),(((INDEX('CONTROL MASTER'!$Y$2:$Y$495,(SUMPRODUCT((('CONTROL MASTER'!$S$2:$S$495=14)*('CONTROL MASTER'!$Z$2:$Z$495&lt;=9)*('CONTROL MASTER'!$AB$2:$AB$495&gt;=9)*('CONTROL MASTER'!$AA$2:$AA$495&lt;=1)*('CONTROL MASTER'!$AC$2:$AC$495&gt;=1))*ROW('CONTROL MASTER'!$S$2:$S$495))-(ROW('CONTROL MASTER'!#REF!)-1)))+((9-INDEX('CONTROL MASTER'!$Z$2:$Z$495,(SUMPRODUCT((('CONTROL MASTER'!$S$2:$S$495=14)*('CONTROL MASTER'!$Z$2:$Z$495&lt;=9)*('CONTROL MASTER'!$AB$2:$AB$495&gt;=9)*('CONTROL MASTER'!$AA$2:$AA$495&lt;=1)*('CONTROL MASTER'!$AC$2:$AC$495&gt;=1))*ROW('CONTROL MASTER'!$S$2:$S$495))-(ROW('CONTROL MASTER'!#REF!)-1))))*(INDEX('CONTROL MASTER'!$AC$2:$AC$495,(SUMPRODUCT((('CONTROL MASTER'!$S$2:$S$495=14)*('CONTROL MASTER'!$Z$2:$Z$495&lt;=9)*('CONTROL MASTER'!$AB$2:$AB$495&gt;=9)*('CONTROL MASTER'!$AA$2:$AA$495&lt;=1)*('CONTROL MASTER'!$AC$2:$AC$495&gt;=1))*ROW('CONTROL MASTER'!$S$2:$S$495))-(ROW('CONTROL MASTER'!#REF!)-1)))-INDEX('CONTROL MASTER'!$AA$2:$AA$495,(SUMPRODUCT((('CONTROL MASTER'!$S$2:$S$495=14)*('CONTROL MASTER'!$Z$2:$Z$495&lt;=9)*('CONTROL MASTER'!$AB$2:$AB$495&gt;=9)*('CONTROL MASTER'!$AA$2:$AA$495&lt;=1)*('CONTROL MASTER'!$AC$2:$AC$495&gt;=1))*ROW('CONTROL MASTER'!$S$2:$S$495))-(ROW('CONTROL MASTER'!#REF!)-1)))+1)+(1-INDEX('CONTROL MASTER'!$AA$2:$AA$495,(SUMPRODUCT((('CONTROL MASTER'!$S$2:$S$495=14)*('CONTROL MASTER'!$Z$2:$Z$495&lt;=9)*('CONTROL MASTER'!$AB$2:$AB$495&gt;=9)*('CONTROL MASTER'!$AA$2:$AA$495&lt;=1)*('CONTROL MASTER'!$AC$2:$AC$495&gt;=1))*ROW('CONTROL MASTER'!$S$2:$S$495))-(ROW('CONTROL MASTER'!#REF!)-1))))+1)))-1)*50+1,50))&amp;"_"&amp;INDEX('CONTROL MASTER'!$P$2:$P$495,(SUMPRODUCT((('CONTROL MASTER'!$S$2:$S$495=14)*('CONTROL MASTER'!$Z$2:$Z$495&lt;=9)*('CONTROL MASTER'!$AB$2:$AB$495&gt;=9)*('CONTROL MASTER'!$AA$2:$AA$495&lt;=1)*('CONTROL MASTER'!$AC$2:$AC$495&gt;=1))*ROW('CONTROL MASTER'!$S$2:$S$495))-(ROW('CONTROL MASTER'!#REF!)-1))),"")),"")</f>
        <v/>
      </c>
      <c r="C193" s="10" t="str">
        <f>IFERROR(IF(SUMPRODUCT((('CONTROL MASTER'!$S$2:$S$495=14)*('CONTROL MASTER'!$T$2:$T$495&lt;=9)*('CONTROL MASTER'!$V$2:$V$495&gt;=9)*('CONTROL MASTER'!$U$2:$U$495&lt;=2)*('CONTROL MASTER'!$W$2:$W$495&gt;=2))*ROW('CONTROL MASTER'!$S$2:$S$495))&gt;0,INDEX('CONTROL MASTER'!$X$2:$X$495,(SUMPRODUCT((('CONTROL MASTER'!$S$2:$S$495=14)*('CONTROL MASTER'!$T$2:$T$495&lt;=9)*('CONTROL MASTER'!$V$2:$V$495&gt;=9)*('CONTROL MASTER'!$U$2:$U$495&lt;=2)*('CONTROL MASTER'!$W$2:$W$495&gt;=2))*ROW('CONTROL MASTER'!$S$2:$S$495))-(ROW('CONTROL MASTER'!#REF!)-1)))&amp;TRIM(MID(SUBSTITUTE(SUBSTITUTE(INDEX('CONTROL MASTER'!$N$2:$N$495,(SUMPRODUCT((('CONTROL MASTER'!$S$2:$S$495=14)*('CONTROL MASTER'!$T$2:$T$495&lt;=9)*('CONTROL MASTER'!$V$2:$V$495&gt;=9)*('CONTROL MASTER'!$U$2:$U$495&lt;=2)*('CONTROL MASTER'!$W$2:$W$495&gt;=2))*ROW('CONTROL MASTER'!$S$2:$S$495))-(ROW('CONTROL MASTER'!#REF!)-1))),":",","),",",REPT(" ",50)),((((9-INDEX('CONTROL MASTER'!$T$2:$T$495,(SUMPRODUCT((('CONTROL MASTER'!$S$2:$S$495=14)*('CONTROL MASTER'!$T$2:$T$495&lt;=9)*('CONTROL MASTER'!$V$2:$V$495&gt;=9)*('CONTROL MASTER'!$U$2:$U$495&lt;=2)*('CONTROL MASTER'!$W$2:$W$495&gt;=2))*ROW('CONTROL MASTER'!$S$2:$S$495))-(ROW('CONTROL MASTER'!#REF!)-1))))*(INDEX('CONTROL MASTER'!$W$2:$W$495,(SUMPRODUCT((('CONTROL MASTER'!$S$2:$S$495=14)*('CONTROL MASTER'!$T$2:$T$495&lt;=9)*('CONTROL MASTER'!$V$2:$V$495&gt;=9)*('CONTROL MASTER'!$U$2:$U$495&lt;=2)*('CONTROL MASTER'!$W$2:$W$495&gt;=2))*ROW('CONTROL MASTER'!$S$2:$S$495))-(ROW('CONTROL MASTER'!#REF!)-1)))-INDEX('CONTROL MASTER'!$U$2:$U$495,(SUMPRODUCT((('CONTROL MASTER'!$S$2:$S$495=14)*('CONTROL MASTER'!$T$2:$T$495&lt;=9)*('CONTROL MASTER'!$V$2:$V$495&gt;=9)*('CONTROL MASTER'!$U$2:$U$495&lt;=2)*('CONTROL MASTER'!$W$2:$W$495&gt;=2))*ROW('CONTROL MASTER'!$S$2:$S$495))-(ROW('CONTROL MASTER'!#REF!)-1)))+1)+(2-INDEX('CONTROL MASTER'!$U$2:$U$495,(SUMPRODUCT((('CONTROL MASTER'!$S$2:$S$495=14)*('CONTROL MASTER'!$T$2:$T$495&lt;=9)*('CONTROL MASTER'!$V$2:$V$495&gt;=9)*('CONTROL MASTER'!$U$2:$U$495&lt;=2)*('CONTROL MASTER'!$W$2:$W$495&gt;=2))*ROW('CONTROL MASTER'!$S$2:$S$495))-(ROW('CONTROL MASTER'!#REF!)-1))))+1))-1)*50+1,50))&amp;"_"&amp;INDEX('CONTROL MASTER'!$P$2:$P$495,(SUMPRODUCT((('CONTROL MASTER'!$S$2:$S$495=14)*('CONTROL MASTER'!$T$2:$T$495&lt;=9)*('CONTROL MASTER'!$V$2:$V$495&gt;=9)*('CONTROL MASTER'!$U$2:$U$495&lt;=2)*('CONTROL MASTER'!$W$2:$W$495&gt;=2))*ROW('CONTROL MASTER'!$S$2:$S$495))-(ROW('CONTROL MASTER'!#REF!)-1))),IF(SUMPRODUCT((('CONTROL MASTER'!$S$2:$S$495=14)*('CONTROL MASTER'!$Z$2:$Z$495&lt;=9)*('CONTROL MASTER'!$AB$2:$AB$495&gt;=9)*('CONTROL MASTER'!$AA$2:$AA$495&lt;=2)*('CONTROL MASTER'!$AC$2:$AC$495&gt;=2))*ROW('CONTROL MASTER'!$S$2:$S$495))&gt;0,INDEX('CONTROL MASTER'!$X$2:$X$495,(SUMPRODUCT((('CONTROL MASTER'!$S$2:$S$495=14)*('CONTROL MASTER'!$Z$2:$Z$495&lt;=9)*('CONTROL MASTER'!$AB$2:$AB$495&gt;=9)*('CONTROL MASTER'!$AA$2:$AA$495&lt;=2)*('CONTROL MASTER'!$AC$2:$AC$495&gt;=2))*ROW('CONTROL MASTER'!$S$2:$S$495))-(ROW('CONTROL MASTER'!#REF!)-1)))&amp;TRIM(MID(SUBSTITUTE(SUBSTITUTE(INDEX('CONTROL MASTER'!$N$2:$N$495,(SUMPRODUCT((('CONTROL MASTER'!$S$2:$S$495=14)*('CONTROL MASTER'!$Z$2:$Z$495&lt;=9)*('CONTROL MASTER'!$AB$2:$AB$495&gt;=9)*('CONTROL MASTER'!$AA$2:$AA$495&lt;=2)*('CONTROL MASTER'!$AC$2:$AC$495&gt;=2))*ROW('CONTROL MASTER'!$S$2:$S$495))-(ROW('CONTROL MASTER'!#REF!)-1))),":",","),",",REPT(" ",50)),(((INDEX('CONTROL MASTER'!$Y$2:$Y$495,(SUMPRODUCT((('CONTROL MASTER'!$S$2:$S$495=14)*('CONTROL MASTER'!$Z$2:$Z$495&lt;=9)*('CONTROL MASTER'!$AB$2:$AB$495&gt;=9)*('CONTROL MASTER'!$AA$2:$AA$495&lt;=2)*('CONTROL MASTER'!$AC$2:$AC$495&gt;=2))*ROW('CONTROL MASTER'!$S$2:$S$495))-(ROW('CONTROL MASTER'!#REF!)-1)))+((9-INDEX('CONTROL MASTER'!$Z$2:$Z$495,(SUMPRODUCT((('CONTROL MASTER'!$S$2:$S$495=14)*('CONTROL MASTER'!$Z$2:$Z$495&lt;=9)*('CONTROL MASTER'!$AB$2:$AB$495&gt;=9)*('CONTROL MASTER'!$AA$2:$AA$495&lt;=2)*('CONTROL MASTER'!$AC$2:$AC$495&gt;=2))*ROW('CONTROL MASTER'!$S$2:$S$495))-(ROW('CONTROL MASTER'!#REF!)-1))))*(INDEX('CONTROL MASTER'!$AC$2:$AC$495,(SUMPRODUCT((('CONTROL MASTER'!$S$2:$S$495=14)*('CONTROL MASTER'!$Z$2:$Z$495&lt;=9)*('CONTROL MASTER'!$AB$2:$AB$495&gt;=9)*('CONTROL MASTER'!$AA$2:$AA$495&lt;=2)*('CONTROL MASTER'!$AC$2:$AC$495&gt;=2))*ROW('CONTROL MASTER'!$S$2:$S$495))-(ROW('CONTROL MASTER'!#REF!)-1)))-INDEX('CONTROL MASTER'!$AA$2:$AA$495,(SUMPRODUCT((('CONTROL MASTER'!$S$2:$S$495=14)*('CONTROL MASTER'!$Z$2:$Z$495&lt;=9)*('CONTROL MASTER'!$AB$2:$AB$495&gt;=9)*('CONTROL MASTER'!$AA$2:$AA$495&lt;=2)*('CONTROL MASTER'!$AC$2:$AC$495&gt;=2))*ROW('CONTROL MASTER'!$S$2:$S$495))-(ROW('CONTROL MASTER'!#REF!)-1)))+1)+(2-INDEX('CONTROL MASTER'!$AA$2:$AA$495,(SUMPRODUCT((('CONTROL MASTER'!$S$2:$S$495=14)*('CONTROL MASTER'!$Z$2:$Z$495&lt;=9)*('CONTROL MASTER'!$AB$2:$AB$495&gt;=9)*('CONTROL MASTER'!$AA$2:$AA$495&lt;=2)*('CONTROL MASTER'!$AC$2:$AC$495&gt;=2))*ROW('CONTROL MASTER'!$S$2:$S$495))-(ROW('CONTROL MASTER'!#REF!)-1))))+1)))-1)*50+1,50))&amp;"_"&amp;INDEX('CONTROL MASTER'!$P$2:$P$495,(SUMPRODUCT((('CONTROL MASTER'!$S$2:$S$495=14)*('CONTROL MASTER'!$Z$2:$Z$495&lt;=9)*('CONTROL MASTER'!$AB$2:$AB$495&gt;=9)*('CONTROL MASTER'!$AA$2:$AA$495&lt;=2)*('CONTROL MASTER'!$AC$2:$AC$495&gt;=2))*ROW('CONTROL MASTER'!$S$2:$S$495))-(ROW('CONTROL MASTER'!#REF!)-1))),"")),"")</f>
        <v/>
      </c>
      <c r="D193" s="10" t="str">
        <f>IFERROR(IF(SUMPRODUCT((('CONTROL MASTER'!$S$2:$S$495=14)*('CONTROL MASTER'!$T$2:$T$495&lt;=9)*('CONTROL MASTER'!$V$2:$V$495&gt;=9)*('CONTROL MASTER'!$U$2:$U$495&lt;=3)*('CONTROL MASTER'!$W$2:$W$495&gt;=3))*ROW('CONTROL MASTER'!$S$2:$S$495))&gt;0,INDEX('CONTROL MASTER'!$X$2:$X$495,(SUMPRODUCT((('CONTROL MASTER'!$S$2:$S$495=14)*('CONTROL MASTER'!$T$2:$T$495&lt;=9)*('CONTROL MASTER'!$V$2:$V$495&gt;=9)*('CONTROL MASTER'!$U$2:$U$495&lt;=3)*('CONTROL MASTER'!$W$2:$W$495&gt;=3))*ROW('CONTROL MASTER'!$S$2:$S$495))-(ROW('CONTROL MASTER'!#REF!)-1)))&amp;TRIM(MID(SUBSTITUTE(SUBSTITUTE(INDEX('CONTROL MASTER'!$N$2:$N$495,(SUMPRODUCT((('CONTROL MASTER'!$S$2:$S$495=14)*('CONTROL MASTER'!$T$2:$T$495&lt;=9)*('CONTROL MASTER'!$V$2:$V$495&gt;=9)*('CONTROL MASTER'!$U$2:$U$495&lt;=3)*('CONTROL MASTER'!$W$2:$W$495&gt;=3))*ROW('CONTROL MASTER'!$S$2:$S$495))-(ROW('CONTROL MASTER'!#REF!)-1))),":",","),",",REPT(" ",50)),((((9-INDEX('CONTROL MASTER'!$T$2:$T$495,(SUMPRODUCT((('CONTROL MASTER'!$S$2:$S$495=14)*('CONTROL MASTER'!$T$2:$T$495&lt;=9)*('CONTROL MASTER'!$V$2:$V$495&gt;=9)*('CONTROL MASTER'!$U$2:$U$495&lt;=3)*('CONTROL MASTER'!$W$2:$W$495&gt;=3))*ROW('CONTROL MASTER'!$S$2:$S$495))-(ROW('CONTROL MASTER'!#REF!)-1))))*(INDEX('CONTROL MASTER'!$W$2:$W$495,(SUMPRODUCT((('CONTROL MASTER'!$S$2:$S$495=14)*('CONTROL MASTER'!$T$2:$T$495&lt;=9)*('CONTROL MASTER'!$V$2:$V$495&gt;=9)*('CONTROL MASTER'!$U$2:$U$495&lt;=3)*('CONTROL MASTER'!$W$2:$W$495&gt;=3))*ROW('CONTROL MASTER'!$S$2:$S$495))-(ROW('CONTROL MASTER'!#REF!)-1)))-INDEX('CONTROL MASTER'!$U$2:$U$495,(SUMPRODUCT((('CONTROL MASTER'!$S$2:$S$495=14)*('CONTROL MASTER'!$T$2:$T$495&lt;=9)*('CONTROL MASTER'!$V$2:$V$495&gt;=9)*('CONTROL MASTER'!$U$2:$U$495&lt;=3)*('CONTROL MASTER'!$W$2:$W$495&gt;=3))*ROW('CONTROL MASTER'!$S$2:$S$495))-(ROW('CONTROL MASTER'!#REF!)-1)))+1)+(3-INDEX('CONTROL MASTER'!$U$2:$U$495,(SUMPRODUCT((('CONTROL MASTER'!$S$2:$S$495=14)*('CONTROL MASTER'!$T$2:$T$495&lt;=9)*('CONTROL MASTER'!$V$2:$V$495&gt;=9)*('CONTROL MASTER'!$U$2:$U$495&lt;=3)*('CONTROL MASTER'!$W$2:$W$495&gt;=3))*ROW('CONTROL MASTER'!$S$2:$S$495))-(ROW('CONTROL MASTER'!#REF!)-1))))+1))-1)*50+1,50))&amp;"_"&amp;INDEX('CONTROL MASTER'!$P$2:$P$495,(SUMPRODUCT((('CONTROL MASTER'!$S$2:$S$495=14)*('CONTROL MASTER'!$T$2:$T$495&lt;=9)*('CONTROL MASTER'!$V$2:$V$495&gt;=9)*('CONTROL MASTER'!$U$2:$U$495&lt;=3)*('CONTROL MASTER'!$W$2:$W$495&gt;=3))*ROW('CONTROL MASTER'!$S$2:$S$495))-(ROW('CONTROL MASTER'!#REF!)-1))),IF(SUMPRODUCT((('CONTROL MASTER'!$S$2:$S$495=14)*('CONTROL MASTER'!$Z$2:$Z$495&lt;=9)*('CONTROL MASTER'!$AB$2:$AB$495&gt;=9)*('CONTROL MASTER'!$AA$2:$AA$495&lt;=3)*('CONTROL MASTER'!$AC$2:$AC$495&gt;=3))*ROW('CONTROL MASTER'!$S$2:$S$495))&gt;0,INDEX('CONTROL MASTER'!$X$2:$X$495,(SUMPRODUCT((('CONTROL MASTER'!$S$2:$S$495=14)*('CONTROL MASTER'!$Z$2:$Z$495&lt;=9)*('CONTROL MASTER'!$AB$2:$AB$495&gt;=9)*('CONTROL MASTER'!$AA$2:$AA$495&lt;=3)*('CONTROL MASTER'!$AC$2:$AC$495&gt;=3))*ROW('CONTROL MASTER'!$S$2:$S$495))-(ROW('CONTROL MASTER'!#REF!)-1)))&amp;TRIM(MID(SUBSTITUTE(SUBSTITUTE(INDEX('CONTROL MASTER'!$N$2:$N$495,(SUMPRODUCT((('CONTROL MASTER'!$S$2:$S$495=14)*('CONTROL MASTER'!$Z$2:$Z$495&lt;=9)*('CONTROL MASTER'!$AB$2:$AB$495&gt;=9)*('CONTROL MASTER'!$AA$2:$AA$495&lt;=3)*('CONTROL MASTER'!$AC$2:$AC$495&gt;=3))*ROW('CONTROL MASTER'!$S$2:$S$495))-(ROW('CONTROL MASTER'!#REF!)-1))),":",","),",",REPT(" ",50)),(((INDEX('CONTROL MASTER'!$Y$2:$Y$495,(SUMPRODUCT((('CONTROL MASTER'!$S$2:$S$495=14)*('CONTROL MASTER'!$Z$2:$Z$495&lt;=9)*('CONTROL MASTER'!$AB$2:$AB$495&gt;=9)*('CONTROL MASTER'!$AA$2:$AA$495&lt;=3)*('CONTROL MASTER'!$AC$2:$AC$495&gt;=3))*ROW('CONTROL MASTER'!$S$2:$S$495))-(ROW('CONTROL MASTER'!#REF!)-1)))+((9-INDEX('CONTROL MASTER'!$Z$2:$Z$495,(SUMPRODUCT((('CONTROL MASTER'!$S$2:$S$495=14)*('CONTROL MASTER'!$Z$2:$Z$495&lt;=9)*('CONTROL MASTER'!$AB$2:$AB$495&gt;=9)*('CONTROL MASTER'!$AA$2:$AA$495&lt;=3)*('CONTROL MASTER'!$AC$2:$AC$495&gt;=3))*ROW('CONTROL MASTER'!$S$2:$S$495))-(ROW('CONTROL MASTER'!#REF!)-1))))*(INDEX('CONTROL MASTER'!$AC$2:$AC$495,(SUMPRODUCT((('CONTROL MASTER'!$S$2:$S$495=14)*('CONTROL MASTER'!$Z$2:$Z$495&lt;=9)*('CONTROL MASTER'!$AB$2:$AB$495&gt;=9)*('CONTROL MASTER'!$AA$2:$AA$495&lt;=3)*('CONTROL MASTER'!$AC$2:$AC$495&gt;=3))*ROW('CONTROL MASTER'!$S$2:$S$495))-(ROW('CONTROL MASTER'!#REF!)-1)))-INDEX('CONTROL MASTER'!$AA$2:$AA$495,(SUMPRODUCT((('CONTROL MASTER'!$S$2:$S$495=14)*('CONTROL MASTER'!$Z$2:$Z$495&lt;=9)*('CONTROL MASTER'!$AB$2:$AB$495&gt;=9)*('CONTROL MASTER'!$AA$2:$AA$495&lt;=3)*('CONTROL MASTER'!$AC$2:$AC$495&gt;=3))*ROW('CONTROL MASTER'!$S$2:$S$495))-(ROW('CONTROL MASTER'!#REF!)-1)))+1)+(3-INDEX('CONTROL MASTER'!$AA$2:$AA$495,(SUMPRODUCT((('CONTROL MASTER'!$S$2:$S$495=14)*('CONTROL MASTER'!$Z$2:$Z$495&lt;=9)*('CONTROL MASTER'!$AB$2:$AB$495&gt;=9)*('CONTROL MASTER'!$AA$2:$AA$495&lt;=3)*('CONTROL MASTER'!$AC$2:$AC$495&gt;=3))*ROW('CONTROL MASTER'!$S$2:$S$495))-(ROW('CONTROL MASTER'!#REF!)-1))))+1)))-1)*50+1,50))&amp;"_"&amp;INDEX('CONTROL MASTER'!$P$2:$P$495,(SUMPRODUCT((('CONTROL MASTER'!$S$2:$S$495=14)*('CONTROL MASTER'!$Z$2:$Z$495&lt;=9)*('CONTROL MASTER'!$AB$2:$AB$495&gt;=9)*('CONTROL MASTER'!$AA$2:$AA$495&lt;=3)*('CONTROL MASTER'!$AC$2:$AC$495&gt;=3))*ROW('CONTROL MASTER'!$S$2:$S$495))-(ROW('CONTROL MASTER'!#REF!)-1))),"")),"")</f>
        <v/>
      </c>
      <c r="E193" s="10" t="str">
        <f>IFERROR(IF(SUMPRODUCT((('CONTROL MASTER'!$S$2:$S$495=14)*('CONTROL MASTER'!$T$2:$T$495&lt;=9)*('CONTROL MASTER'!$V$2:$V$495&gt;=9)*('CONTROL MASTER'!$U$2:$U$495&lt;=4)*('CONTROL MASTER'!$W$2:$W$495&gt;=4))*ROW('CONTROL MASTER'!$S$2:$S$495))&gt;0,INDEX('CONTROL MASTER'!$X$2:$X$495,(SUMPRODUCT((('CONTROL MASTER'!$S$2:$S$495=14)*('CONTROL MASTER'!$T$2:$T$495&lt;=9)*('CONTROL MASTER'!$V$2:$V$495&gt;=9)*('CONTROL MASTER'!$U$2:$U$495&lt;=4)*('CONTROL MASTER'!$W$2:$W$495&gt;=4))*ROW('CONTROL MASTER'!$S$2:$S$495))-(ROW('CONTROL MASTER'!#REF!)-1)))&amp;TRIM(MID(SUBSTITUTE(SUBSTITUTE(INDEX('CONTROL MASTER'!$N$2:$N$495,(SUMPRODUCT((('CONTROL MASTER'!$S$2:$S$495=14)*('CONTROL MASTER'!$T$2:$T$495&lt;=9)*('CONTROL MASTER'!$V$2:$V$495&gt;=9)*('CONTROL MASTER'!$U$2:$U$495&lt;=4)*('CONTROL MASTER'!$W$2:$W$495&gt;=4))*ROW('CONTROL MASTER'!$S$2:$S$495))-(ROW('CONTROL MASTER'!#REF!)-1))),":",","),",",REPT(" ",50)),((((9-INDEX('CONTROL MASTER'!$T$2:$T$495,(SUMPRODUCT((('CONTROL MASTER'!$S$2:$S$495=14)*('CONTROL MASTER'!$T$2:$T$495&lt;=9)*('CONTROL MASTER'!$V$2:$V$495&gt;=9)*('CONTROL MASTER'!$U$2:$U$495&lt;=4)*('CONTROL MASTER'!$W$2:$W$495&gt;=4))*ROW('CONTROL MASTER'!$S$2:$S$495))-(ROW('CONTROL MASTER'!#REF!)-1))))*(INDEX('CONTROL MASTER'!$W$2:$W$495,(SUMPRODUCT((('CONTROL MASTER'!$S$2:$S$495=14)*('CONTROL MASTER'!$T$2:$T$495&lt;=9)*('CONTROL MASTER'!$V$2:$V$495&gt;=9)*('CONTROL MASTER'!$U$2:$U$495&lt;=4)*('CONTROL MASTER'!$W$2:$W$495&gt;=4))*ROW('CONTROL MASTER'!$S$2:$S$495))-(ROW('CONTROL MASTER'!#REF!)-1)))-INDEX('CONTROL MASTER'!$U$2:$U$495,(SUMPRODUCT((('CONTROL MASTER'!$S$2:$S$495=14)*('CONTROL MASTER'!$T$2:$T$495&lt;=9)*('CONTROL MASTER'!$V$2:$V$495&gt;=9)*('CONTROL MASTER'!$U$2:$U$495&lt;=4)*('CONTROL MASTER'!$W$2:$W$495&gt;=4))*ROW('CONTROL MASTER'!$S$2:$S$495))-(ROW('CONTROL MASTER'!#REF!)-1)))+1)+(4-INDEX('CONTROL MASTER'!$U$2:$U$495,(SUMPRODUCT((('CONTROL MASTER'!$S$2:$S$495=14)*('CONTROL MASTER'!$T$2:$T$495&lt;=9)*('CONTROL MASTER'!$V$2:$V$495&gt;=9)*('CONTROL MASTER'!$U$2:$U$495&lt;=4)*('CONTROL MASTER'!$W$2:$W$495&gt;=4))*ROW('CONTROL MASTER'!$S$2:$S$495))-(ROW('CONTROL MASTER'!#REF!)-1))))+1))-1)*50+1,50))&amp;"_"&amp;INDEX('CONTROL MASTER'!$P$2:$P$495,(SUMPRODUCT((('CONTROL MASTER'!$S$2:$S$495=14)*('CONTROL MASTER'!$T$2:$T$495&lt;=9)*('CONTROL MASTER'!$V$2:$V$495&gt;=9)*('CONTROL MASTER'!$U$2:$U$495&lt;=4)*('CONTROL MASTER'!$W$2:$W$495&gt;=4))*ROW('CONTROL MASTER'!$S$2:$S$495))-(ROW('CONTROL MASTER'!#REF!)-1))),IF(SUMPRODUCT((('CONTROL MASTER'!$S$2:$S$495=14)*('CONTROL MASTER'!$Z$2:$Z$495&lt;=9)*('CONTROL MASTER'!$AB$2:$AB$495&gt;=9)*('CONTROL MASTER'!$AA$2:$AA$495&lt;=4)*('CONTROL MASTER'!$AC$2:$AC$495&gt;=4))*ROW('CONTROL MASTER'!$S$2:$S$495))&gt;0,INDEX('CONTROL MASTER'!$X$2:$X$495,(SUMPRODUCT((('CONTROL MASTER'!$S$2:$S$495=14)*('CONTROL MASTER'!$Z$2:$Z$495&lt;=9)*('CONTROL MASTER'!$AB$2:$AB$495&gt;=9)*('CONTROL MASTER'!$AA$2:$AA$495&lt;=4)*('CONTROL MASTER'!$AC$2:$AC$495&gt;=4))*ROW('CONTROL MASTER'!$S$2:$S$495))-(ROW('CONTROL MASTER'!#REF!)-1)))&amp;TRIM(MID(SUBSTITUTE(SUBSTITUTE(INDEX('CONTROL MASTER'!$N$2:$N$495,(SUMPRODUCT((('CONTROL MASTER'!$S$2:$S$495=14)*('CONTROL MASTER'!$Z$2:$Z$495&lt;=9)*('CONTROL MASTER'!$AB$2:$AB$495&gt;=9)*('CONTROL MASTER'!$AA$2:$AA$495&lt;=4)*('CONTROL MASTER'!$AC$2:$AC$495&gt;=4))*ROW('CONTROL MASTER'!$S$2:$S$495))-(ROW('CONTROL MASTER'!#REF!)-1))),":",","),",",REPT(" ",50)),(((INDEX('CONTROL MASTER'!$Y$2:$Y$495,(SUMPRODUCT((('CONTROL MASTER'!$S$2:$S$495=14)*('CONTROL MASTER'!$Z$2:$Z$495&lt;=9)*('CONTROL MASTER'!$AB$2:$AB$495&gt;=9)*('CONTROL MASTER'!$AA$2:$AA$495&lt;=4)*('CONTROL MASTER'!$AC$2:$AC$495&gt;=4))*ROW('CONTROL MASTER'!$S$2:$S$495))-(ROW('CONTROL MASTER'!#REF!)-1)))+((9-INDEX('CONTROL MASTER'!$Z$2:$Z$495,(SUMPRODUCT((('CONTROL MASTER'!$S$2:$S$495=14)*('CONTROL MASTER'!$Z$2:$Z$495&lt;=9)*('CONTROL MASTER'!$AB$2:$AB$495&gt;=9)*('CONTROL MASTER'!$AA$2:$AA$495&lt;=4)*('CONTROL MASTER'!$AC$2:$AC$495&gt;=4))*ROW('CONTROL MASTER'!$S$2:$S$495))-(ROW('CONTROL MASTER'!#REF!)-1))))*(INDEX('CONTROL MASTER'!$AC$2:$AC$495,(SUMPRODUCT((('CONTROL MASTER'!$S$2:$S$495=14)*('CONTROL MASTER'!$Z$2:$Z$495&lt;=9)*('CONTROL MASTER'!$AB$2:$AB$495&gt;=9)*('CONTROL MASTER'!$AA$2:$AA$495&lt;=4)*('CONTROL MASTER'!$AC$2:$AC$495&gt;=4))*ROW('CONTROL MASTER'!$S$2:$S$495))-(ROW('CONTROL MASTER'!#REF!)-1)))-INDEX('CONTROL MASTER'!$AA$2:$AA$495,(SUMPRODUCT((('CONTROL MASTER'!$S$2:$S$495=14)*('CONTROL MASTER'!$Z$2:$Z$495&lt;=9)*('CONTROL MASTER'!$AB$2:$AB$495&gt;=9)*('CONTROL MASTER'!$AA$2:$AA$495&lt;=4)*('CONTROL MASTER'!$AC$2:$AC$495&gt;=4))*ROW('CONTROL MASTER'!$S$2:$S$495))-(ROW('CONTROL MASTER'!#REF!)-1)))+1)+(4-INDEX('CONTROL MASTER'!$AA$2:$AA$495,(SUMPRODUCT((('CONTROL MASTER'!$S$2:$S$495=14)*('CONTROL MASTER'!$Z$2:$Z$495&lt;=9)*('CONTROL MASTER'!$AB$2:$AB$495&gt;=9)*('CONTROL MASTER'!$AA$2:$AA$495&lt;=4)*('CONTROL MASTER'!$AC$2:$AC$495&gt;=4))*ROW('CONTROL MASTER'!$S$2:$S$495))-(ROW('CONTROL MASTER'!#REF!)-1))))+1)))-1)*50+1,50))&amp;"_"&amp;INDEX('CONTROL MASTER'!$P$2:$P$495,(SUMPRODUCT((('CONTROL MASTER'!$S$2:$S$495=14)*('CONTROL MASTER'!$Z$2:$Z$495&lt;=9)*('CONTROL MASTER'!$AB$2:$AB$495&gt;=9)*('CONTROL MASTER'!$AA$2:$AA$495&lt;=4)*('CONTROL MASTER'!$AC$2:$AC$495&gt;=4))*ROW('CONTROL MASTER'!$S$2:$S$495))-(ROW('CONTROL MASTER'!#REF!)-1))),"")),"")</f>
        <v/>
      </c>
      <c r="F193" s="10" t="str">
        <f>IFERROR(IF(SUMPRODUCT((('CONTROL MASTER'!$S$2:$S$495=14)*('CONTROL MASTER'!$T$2:$T$495&lt;=9)*('CONTROL MASTER'!$V$2:$V$495&gt;=9)*('CONTROL MASTER'!$U$2:$U$495&lt;=5)*('CONTROL MASTER'!$W$2:$W$495&gt;=5))*ROW('CONTROL MASTER'!$S$2:$S$495))&gt;0,INDEX('CONTROL MASTER'!$X$2:$X$495,(SUMPRODUCT((('CONTROL MASTER'!$S$2:$S$495=14)*('CONTROL MASTER'!$T$2:$T$495&lt;=9)*('CONTROL MASTER'!$V$2:$V$495&gt;=9)*('CONTROL MASTER'!$U$2:$U$495&lt;=5)*('CONTROL MASTER'!$W$2:$W$495&gt;=5))*ROW('CONTROL MASTER'!$S$2:$S$495))-(ROW('CONTROL MASTER'!#REF!)-1)))&amp;TRIM(MID(SUBSTITUTE(SUBSTITUTE(INDEX('CONTROL MASTER'!$N$2:$N$495,(SUMPRODUCT((('CONTROL MASTER'!$S$2:$S$495=14)*('CONTROL MASTER'!$T$2:$T$495&lt;=9)*('CONTROL MASTER'!$V$2:$V$495&gt;=9)*('CONTROL MASTER'!$U$2:$U$495&lt;=5)*('CONTROL MASTER'!$W$2:$W$495&gt;=5))*ROW('CONTROL MASTER'!$S$2:$S$495))-(ROW('CONTROL MASTER'!#REF!)-1))),":",","),",",REPT(" ",50)),((((9-INDEX('CONTROL MASTER'!$T$2:$T$495,(SUMPRODUCT((('CONTROL MASTER'!$S$2:$S$495=14)*('CONTROL MASTER'!$T$2:$T$495&lt;=9)*('CONTROL MASTER'!$V$2:$V$495&gt;=9)*('CONTROL MASTER'!$U$2:$U$495&lt;=5)*('CONTROL MASTER'!$W$2:$W$495&gt;=5))*ROW('CONTROL MASTER'!$S$2:$S$495))-(ROW('CONTROL MASTER'!#REF!)-1))))*(INDEX('CONTROL MASTER'!$W$2:$W$495,(SUMPRODUCT((('CONTROL MASTER'!$S$2:$S$495=14)*('CONTROL MASTER'!$T$2:$T$495&lt;=9)*('CONTROL MASTER'!$V$2:$V$495&gt;=9)*('CONTROL MASTER'!$U$2:$U$495&lt;=5)*('CONTROL MASTER'!$W$2:$W$495&gt;=5))*ROW('CONTROL MASTER'!$S$2:$S$495))-(ROW('CONTROL MASTER'!#REF!)-1)))-INDEX('CONTROL MASTER'!$U$2:$U$495,(SUMPRODUCT((('CONTROL MASTER'!$S$2:$S$495=14)*('CONTROL MASTER'!$T$2:$T$495&lt;=9)*('CONTROL MASTER'!$V$2:$V$495&gt;=9)*('CONTROL MASTER'!$U$2:$U$495&lt;=5)*('CONTROL MASTER'!$W$2:$W$495&gt;=5))*ROW('CONTROL MASTER'!$S$2:$S$495))-(ROW('CONTROL MASTER'!#REF!)-1)))+1)+(5-INDEX('CONTROL MASTER'!$U$2:$U$495,(SUMPRODUCT((('CONTROL MASTER'!$S$2:$S$495=14)*('CONTROL MASTER'!$T$2:$T$495&lt;=9)*('CONTROL MASTER'!$V$2:$V$495&gt;=9)*('CONTROL MASTER'!$U$2:$U$495&lt;=5)*('CONTROL MASTER'!$W$2:$W$495&gt;=5))*ROW('CONTROL MASTER'!$S$2:$S$495))-(ROW('CONTROL MASTER'!#REF!)-1))))+1))-1)*50+1,50))&amp;"_"&amp;INDEX('CONTROL MASTER'!$P$2:$P$495,(SUMPRODUCT((('CONTROL MASTER'!$S$2:$S$495=14)*('CONTROL MASTER'!$T$2:$T$495&lt;=9)*('CONTROL MASTER'!$V$2:$V$495&gt;=9)*('CONTROL MASTER'!$U$2:$U$495&lt;=5)*('CONTROL MASTER'!$W$2:$W$495&gt;=5))*ROW('CONTROL MASTER'!$S$2:$S$495))-(ROW('CONTROL MASTER'!#REF!)-1))),IF(SUMPRODUCT((('CONTROL MASTER'!$S$2:$S$495=14)*('CONTROL MASTER'!$Z$2:$Z$495&lt;=9)*('CONTROL MASTER'!$AB$2:$AB$495&gt;=9)*('CONTROL MASTER'!$AA$2:$AA$495&lt;=5)*('CONTROL MASTER'!$AC$2:$AC$495&gt;=5))*ROW('CONTROL MASTER'!$S$2:$S$495))&gt;0,INDEX('CONTROL MASTER'!$X$2:$X$495,(SUMPRODUCT((('CONTROL MASTER'!$S$2:$S$495=14)*('CONTROL MASTER'!$Z$2:$Z$495&lt;=9)*('CONTROL MASTER'!$AB$2:$AB$495&gt;=9)*('CONTROL MASTER'!$AA$2:$AA$495&lt;=5)*('CONTROL MASTER'!$AC$2:$AC$495&gt;=5))*ROW('CONTROL MASTER'!$S$2:$S$495))-(ROW('CONTROL MASTER'!#REF!)-1)))&amp;TRIM(MID(SUBSTITUTE(SUBSTITUTE(INDEX('CONTROL MASTER'!$N$2:$N$495,(SUMPRODUCT((('CONTROL MASTER'!$S$2:$S$495=14)*('CONTROL MASTER'!$Z$2:$Z$495&lt;=9)*('CONTROL MASTER'!$AB$2:$AB$495&gt;=9)*('CONTROL MASTER'!$AA$2:$AA$495&lt;=5)*('CONTROL MASTER'!$AC$2:$AC$495&gt;=5))*ROW('CONTROL MASTER'!$S$2:$S$495))-(ROW('CONTROL MASTER'!#REF!)-1))),":",","),",",REPT(" ",50)),(((INDEX('CONTROL MASTER'!$Y$2:$Y$495,(SUMPRODUCT((('CONTROL MASTER'!$S$2:$S$495=14)*('CONTROL MASTER'!$Z$2:$Z$495&lt;=9)*('CONTROL MASTER'!$AB$2:$AB$495&gt;=9)*('CONTROL MASTER'!$AA$2:$AA$495&lt;=5)*('CONTROL MASTER'!$AC$2:$AC$495&gt;=5))*ROW('CONTROL MASTER'!$S$2:$S$495))-(ROW('CONTROL MASTER'!#REF!)-1)))+((9-INDEX('CONTROL MASTER'!$Z$2:$Z$495,(SUMPRODUCT((('CONTROL MASTER'!$S$2:$S$495=14)*('CONTROL MASTER'!$Z$2:$Z$495&lt;=9)*('CONTROL MASTER'!$AB$2:$AB$495&gt;=9)*('CONTROL MASTER'!$AA$2:$AA$495&lt;=5)*('CONTROL MASTER'!$AC$2:$AC$495&gt;=5))*ROW('CONTROL MASTER'!$S$2:$S$495))-(ROW('CONTROL MASTER'!#REF!)-1))))*(INDEX('CONTROL MASTER'!$AC$2:$AC$495,(SUMPRODUCT((('CONTROL MASTER'!$S$2:$S$495=14)*('CONTROL MASTER'!$Z$2:$Z$495&lt;=9)*('CONTROL MASTER'!$AB$2:$AB$495&gt;=9)*('CONTROL MASTER'!$AA$2:$AA$495&lt;=5)*('CONTROL MASTER'!$AC$2:$AC$495&gt;=5))*ROW('CONTROL MASTER'!$S$2:$S$495))-(ROW('CONTROL MASTER'!#REF!)-1)))-INDEX('CONTROL MASTER'!$AA$2:$AA$495,(SUMPRODUCT((('CONTROL MASTER'!$S$2:$S$495=14)*('CONTROL MASTER'!$Z$2:$Z$495&lt;=9)*('CONTROL MASTER'!$AB$2:$AB$495&gt;=9)*('CONTROL MASTER'!$AA$2:$AA$495&lt;=5)*('CONTROL MASTER'!$AC$2:$AC$495&gt;=5))*ROW('CONTROL MASTER'!$S$2:$S$495))-(ROW('CONTROL MASTER'!#REF!)-1)))+1)+(5-INDEX('CONTROL MASTER'!$AA$2:$AA$495,(SUMPRODUCT((('CONTROL MASTER'!$S$2:$S$495=14)*('CONTROL MASTER'!$Z$2:$Z$495&lt;=9)*('CONTROL MASTER'!$AB$2:$AB$495&gt;=9)*('CONTROL MASTER'!$AA$2:$AA$495&lt;=5)*('CONTROL MASTER'!$AC$2:$AC$495&gt;=5))*ROW('CONTROL MASTER'!$S$2:$S$495))-(ROW('CONTROL MASTER'!#REF!)-1))))+1)))-1)*50+1,50))&amp;"_"&amp;INDEX('CONTROL MASTER'!$P$2:$P$495,(SUMPRODUCT((('CONTROL MASTER'!$S$2:$S$495=14)*('CONTROL MASTER'!$Z$2:$Z$495&lt;=9)*('CONTROL MASTER'!$AB$2:$AB$495&gt;=9)*('CONTROL MASTER'!$AA$2:$AA$495&lt;=5)*('CONTROL MASTER'!$AC$2:$AC$495&gt;=5))*ROW('CONTROL MASTER'!$S$2:$S$495))-(ROW('CONTROL MASTER'!#REF!)-1))),"")),"")</f>
        <v/>
      </c>
      <c r="G193" s="10" t="str">
        <f>IFERROR(IF(SUMPRODUCT((('CONTROL MASTER'!$S$2:$S$495=14)*('CONTROL MASTER'!$T$2:$T$495&lt;=9)*('CONTROL MASTER'!$V$2:$V$495&gt;=9)*('CONTROL MASTER'!$U$2:$U$495&lt;=6)*('CONTROL MASTER'!$W$2:$W$495&gt;=6))*ROW('CONTROL MASTER'!$S$2:$S$495))&gt;0,INDEX('CONTROL MASTER'!$X$2:$X$495,(SUMPRODUCT((('CONTROL MASTER'!$S$2:$S$495=14)*('CONTROL MASTER'!$T$2:$T$495&lt;=9)*('CONTROL MASTER'!$V$2:$V$495&gt;=9)*('CONTROL MASTER'!$U$2:$U$495&lt;=6)*('CONTROL MASTER'!$W$2:$W$495&gt;=6))*ROW('CONTROL MASTER'!$S$2:$S$495))-(ROW('CONTROL MASTER'!#REF!)-1)))&amp;TRIM(MID(SUBSTITUTE(SUBSTITUTE(INDEX('CONTROL MASTER'!$N$2:$N$495,(SUMPRODUCT((('CONTROL MASTER'!$S$2:$S$495=14)*('CONTROL MASTER'!$T$2:$T$495&lt;=9)*('CONTROL MASTER'!$V$2:$V$495&gt;=9)*('CONTROL MASTER'!$U$2:$U$495&lt;=6)*('CONTROL MASTER'!$W$2:$W$495&gt;=6))*ROW('CONTROL MASTER'!$S$2:$S$495))-(ROW('CONTROL MASTER'!#REF!)-1))),":",","),",",REPT(" ",50)),((((9-INDEX('CONTROL MASTER'!$T$2:$T$495,(SUMPRODUCT((('CONTROL MASTER'!$S$2:$S$495=14)*('CONTROL MASTER'!$T$2:$T$495&lt;=9)*('CONTROL MASTER'!$V$2:$V$495&gt;=9)*('CONTROL MASTER'!$U$2:$U$495&lt;=6)*('CONTROL MASTER'!$W$2:$W$495&gt;=6))*ROW('CONTROL MASTER'!$S$2:$S$495))-(ROW('CONTROL MASTER'!#REF!)-1))))*(INDEX('CONTROL MASTER'!$W$2:$W$495,(SUMPRODUCT((('CONTROL MASTER'!$S$2:$S$495=14)*('CONTROL MASTER'!$T$2:$T$495&lt;=9)*('CONTROL MASTER'!$V$2:$V$495&gt;=9)*('CONTROL MASTER'!$U$2:$U$495&lt;=6)*('CONTROL MASTER'!$W$2:$W$495&gt;=6))*ROW('CONTROL MASTER'!$S$2:$S$495))-(ROW('CONTROL MASTER'!#REF!)-1)))-INDEX('CONTROL MASTER'!$U$2:$U$495,(SUMPRODUCT((('CONTROL MASTER'!$S$2:$S$495=14)*('CONTROL MASTER'!$T$2:$T$495&lt;=9)*('CONTROL MASTER'!$V$2:$V$495&gt;=9)*('CONTROL MASTER'!$U$2:$U$495&lt;=6)*('CONTROL MASTER'!$W$2:$W$495&gt;=6))*ROW('CONTROL MASTER'!$S$2:$S$495))-(ROW('CONTROL MASTER'!#REF!)-1)))+1)+(6-INDEX('CONTROL MASTER'!$U$2:$U$495,(SUMPRODUCT((('CONTROL MASTER'!$S$2:$S$495=14)*('CONTROL MASTER'!$T$2:$T$495&lt;=9)*('CONTROL MASTER'!$V$2:$V$495&gt;=9)*('CONTROL MASTER'!$U$2:$U$495&lt;=6)*('CONTROL MASTER'!$W$2:$W$495&gt;=6))*ROW('CONTROL MASTER'!$S$2:$S$495))-(ROW('CONTROL MASTER'!#REF!)-1))))+1))-1)*50+1,50))&amp;"_"&amp;INDEX('CONTROL MASTER'!$P$2:$P$495,(SUMPRODUCT((('CONTROL MASTER'!$S$2:$S$495=14)*('CONTROL MASTER'!$T$2:$T$495&lt;=9)*('CONTROL MASTER'!$V$2:$V$495&gt;=9)*('CONTROL MASTER'!$U$2:$U$495&lt;=6)*('CONTROL MASTER'!$W$2:$W$495&gt;=6))*ROW('CONTROL MASTER'!$S$2:$S$495))-(ROW('CONTROL MASTER'!#REF!)-1))),IF(SUMPRODUCT((('CONTROL MASTER'!$S$2:$S$495=14)*('CONTROL MASTER'!$Z$2:$Z$495&lt;=9)*('CONTROL MASTER'!$AB$2:$AB$495&gt;=9)*('CONTROL MASTER'!$AA$2:$AA$495&lt;=6)*('CONTROL MASTER'!$AC$2:$AC$495&gt;=6))*ROW('CONTROL MASTER'!$S$2:$S$495))&gt;0,INDEX('CONTROL MASTER'!$X$2:$X$495,(SUMPRODUCT((('CONTROL MASTER'!$S$2:$S$495=14)*('CONTROL MASTER'!$Z$2:$Z$495&lt;=9)*('CONTROL MASTER'!$AB$2:$AB$495&gt;=9)*('CONTROL MASTER'!$AA$2:$AA$495&lt;=6)*('CONTROL MASTER'!$AC$2:$AC$495&gt;=6))*ROW('CONTROL MASTER'!$S$2:$S$495))-(ROW('CONTROL MASTER'!#REF!)-1)))&amp;TRIM(MID(SUBSTITUTE(SUBSTITUTE(INDEX('CONTROL MASTER'!$N$2:$N$495,(SUMPRODUCT((('CONTROL MASTER'!$S$2:$S$495=14)*('CONTROL MASTER'!$Z$2:$Z$495&lt;=9)*('CONTROL MASTER'!$AB$2:$AB$495&gt;=9)*('CONTROL MASTER'!$AA$2:$AA$495&lt;=6)*('CONTROL MASTER'!$AC$2:$AC$495&gt;=6))*ROW('CONTROL MASTER'!$S$2:$S$495))-(ROW('CONTROL MASTER'!#REF!)-1))),":",","),",",REPT(" ",50)),(((INDEX('CONTROL MASTER'!$Y$2:$Y$495,(SUMPRODUCT((('CONTROL MASTER'!$S$2:$S$495=14)*('CONTROL MASTER'!$Z$2:$Z$495&lt;=9)*('CONTROL MASTER'!$AB$2:$AB$495&gt;=9)*('CONTROL MASTER'!$AA$2:$AA$495&lt;=6)*('CONTROL MASTER'!$AC$2:$AC$495&gt;=6))*ROW('CONTROL MASTER'!$S$2:$S$495))-(ROW('CONTROL MASTER'!#REF!)-1)))+((9-INDEX('CONTROL MASTER'!$Z$2:$Z$495,(SUMPRODUCT((('CONTROL MASTER'!$S$2:$S$495=14)*('CONTROL MASTER'!$Z$2:$Z$495&lt;=9)*('CONTROL MASTER'!$AB$2:$AB$495&gt;=9)*('CONTROL MASTER'!$AA$2:$AA$495&lt;=6)*('CONTROL MASTER'!$AC$2:$AC$495&gt;=6))*ROW('CONTROL MASTER'!$S$2:$S$495))-(ROW('CONTROL MASTER'!#REF!)-1))))*(INDEX('CONTROL MASTER'!$AC$2:$AC$495,(SUMPRODUCT((('CONTROL MASTER'!$S$2:$S$495=14)*('CONTROL MASTER'!$Z$2:$Z$495&lt;=9)*('CONTROL MASTER'!$AB$2:$AB$495&gt;=9)*('CONTROL MASTER'!$AA$2:$AA$495&lt;=6)*('CONTROL MASTER'!$AC$2:$AC$495&gt;=6))*ROW('CONTROL MASTER'!$S$2:$S$495))-(ROW('CONTROL MASTER'!#REF!)-1)))-INDEX('CONTROL MASTER'!$AA$2:$AA$495,(SUMPRODUCT((('CONTROL MASTER'!$S$2:$S$495=14)*('CONTROL MASTER'!$Z$2:$Z$495&lt;=9)*('CONTROL MASTER'!$AB$2:$AB$495&gt;=9)*('CONTROL MASTER'!$AA$2:$AA$495&lt;=6)*('CONTROL MASTER'!$AC$2:$AC$495&gt;=6))*ROW('CONTROL MASTER'!$S$2:$S$495))-(ROW('CONTROL MASTER'!#REF!)-1)))+1)+(6-INDEX('CONTROL MASTER'!$AA$2:$AA$495,(SUMPRODUCT((('CONTROL MASTER'!$S$2:$S$495=14)*('CONTROL MASTER'!$Z$2:$Z$495&lt;=9)*('CONTROL MASTER'!$AB$2:$AB$495&gt;=9)*('CONTROL MASTER'!$AA$2:$AA$495&lt;=6)*('CONTROL MASTER'!$AC$2:$AC$495&gt;=6))*ROW('CONTROL MASTER'!$S$2:$S$495))-(ROW('CONTROL MASTER'!#REF!)-1))))+1)))-1)*50+1,50))&amp;"_"&amp;INDEX('CONTROL MASTER'!$P$2:$P$495,(SUMPRODUCT((('CONTROL MASTER'!$S$2:$S$495=14)*('CONTROL MASTER'!$Z$2:$Z$495&lt;=9)*('CONTROL MASTER'!$AB$2:$AB$495&gt;=9)*('CONTROL MASTER'!$AA$2:$AA$495&lt;=6)*('CONTROL MASTER'!$AC$2:$AC$495&gt;=6))*ROW('CONTROL MASTER'!$S$2:$S$495))-(ROW('CONTROL MASTER'!#REF!)-1))),"")),"")</f>
        <v/>
      </c>
      <c r="H193" s="10" t="str">
        <f>IFERROR(IF(SUMPRODUCT((('CONTROL MASTER'!$S$2:$S$495=14)*('CONTROL MASTER'!$T$2:$T$495&lt;=9)*('CONTROL MASTER'!$V$2:$V$495&gt;=9)*('CONTROL MASTER'!$U$2:$U$495&lt;=7)*('CONTROL MASTER'!$W$2:$W$495&gt;=7))*ROW('CONTROL MASTER'!$S$2:$S$495))&gt;0,INDEX('CONTROL MASTER'!$X$2:$X$495,(SUMPRODUCT((('CONTROL MASTER'!$S$2:$S$495=14)*('CONTROL MASTER'!$T$2:$T$495&lt;=9)*('CONTROL MASTER'!$V$2:$V$495&gt;=9)*('CONTROL MASTER'!$U$2:$U$495&lt;=7)*('CONTROL MASTER'!$W$2:$W$495&gt;=7))*ROW('CONTROL MASTER'!$S$2:$S$495))-(ROW('CONTROL MASTER'!#REF!)-1)))&amp;TRIM(MID(SUBSTITUTE(SUBSTITUTE(INDEX('CONTROL MASTER'!$N$2:$N$495,(SUMPRODUCT((('CONTROL MASTER'!$S$2:$S$495=14)*('CONTROL MASTER'!$T$2:$T$495&lt;=9)*('CONTROL MASTER'!$V$2:$V$495&gt;=9)*('CONTROL MASTER'!$U$2:$U$495&lt;=7)*('CONTROL MASTER'!$W$2:$W$495&gt;=7))*ROW('CONTROL MASTER'!$S$2:$S$495))-(ROW('CONTROL MASTER'!#REF!)-1))),":",","),",",REPT(" ",50)),((((9-INDEX('CONTROL MASTER'!$T$2:$T$495,(SUMPRODUCT((('CONTROL MASTER'!$S$2:$S$495=14)*('CONTROL MASTER'!$T$2:$T$495&lt;=9)*('CONTROL MASTER'!$V$2:$V$495&gt;=9)*('CONTROL MASTER'!$U$2:$U$495&lt;=7)*('CONTROL MASTER'!$W$2:$W$495&gt;=7))*ROW('CONTROL MASTER'!$S$2:$S$495))-(ROW('CONTROL MASTER'!#REF!)-1))))*(INDEX('CONTROL MASTER'!$W$2:$W$495,(SUMPRODUCT((('CONTROL MASTER'!$S$2:$S$495=14)*('CONTROL MASTER'!$T$2:$T$495&lt;=9)*('CONTROL MASTER'!$V$2:$V$495&gt;=9)*('CONTROL MASTER'!$U$2:$U$495&lt;=7)*('CONTROL MASTER'!$W$2:$W$495&gt;=7))*ROW('CONTROL MASTER'!$S$2:$S$495))-(ROW('CONTROL MASTER'!#REF!)-1)))-INDEX('CONTROL MASTER'!$U$2:$U$495,(SUMPRODUCT((('CONTROL MASTER'!$S$2:$S$495=14)*('CONTROL MASTER'!$T$2:$T$495&lt;=9)*('CONTROL MASTER'!$V$2:$V$495&gt;=9)*('CONTROL MASTER'!$U$2:$U$495&lt;=7)*('CONTROL MASTER'!$W$2:$W$495&gt;=7))*ROW('CONTROL MASTER'!$S$2:$S$495))-(ROW('CONTROL MASTER'!#REF!)-1)))+1)+(7-INDEX('CONTROL MASTER'!$U$2:$U$495,(SUMPRODUCT((('CONTROL MASTER'!$S$2:$S$495=14)*('CONTROL MASTER'!$T$2:$T$495&lt;=9)*('CONTROL MASTER'!$V$2:$V$495&gt;=9)*('CONTROL MASTER'!$U$2:$U$495&lt;=7)*('CONTROL MASTER'!$W$2:$W$495&gt;=7))*ROW('CONTROL MASTER'!$S$2:$S$495))-(ROW('CONTROL MASTER'!#REF!)-1))))+1))-1)*50+1,50))&amp;"_"&amp;INDEX('CONTROL MASTER'!$P$2:$P$495,(SUMPRODUCT((('CONTROL MASTER'!$S$2:$S$495=14)*('CONTROL MASTER'!$T$2:$T$495&lt;=9)*('CONTROL MASTER'!$V$2:$V$495&gt;=9)*('CONTROL MASTER'!$U$2:$U$495&lt;=7)*('CONTROL MASTER'!$W$2:$W$495&gt;=7))*ROW('CONTROL MASTER'!$S$2:$S$495))-(ROW('CONTROL MASTER'!#REF!)-1))),IF(SUMPRODUCT((('CONTROL MASTER'!$S$2:$S$495=14)*('CONTROL MASTER'!$Z$2:$Z$495&lt;=9)*('CONTROL MASTER'!$AB$2:$AB$495&gt;=9)*('CONTROL MASTER'!$AA$2:$AA$495&lt;=7)*('CONTROL MASTER'!$AC$2:$AC$495&gt;=7))*ROW('CONTROL MASTER'!$S$2:$S$495))&gt;0,INDEX('CONTROL MASTER'!$X$2:$X$495,(SUMPRODUCT((('CONTROL MASTER'!$S$2:$S$495=14)*('CONTROL MASTER'!$Z$2:$Z$495&lt;=9)*('CONTROL MASTER'!$AB$2:$AB$495&gt;=9)*('CONTROL MASTER'!$AA$2:$AA$495&lt;=7)*('CONTROL MASTER'!$AC$2:$AC$495&gt;=7))*ROW('CONTROL MASTER'!$S$2:$S$495))-(ROW('CONTROL MASTER'!#REF!)-1)))&amp;TRIM(MID(SUBSTITUTE(SUBSTITUTE(INDEX('CONTROL MASTER'!$N$2:$N$495,(SUMPRODUCT((('CONTROL MASTER'!$S$2:$S$495=14)*('CONTROL MASTER'!$Z$2:$Z$495&lt;=9)*('CONTROL MASTER'!$AB$2:$AB$495&gt;=9)*('CONTROL MASTER'!$AA$2:$AA$495&lt;=7)*('CONTROL MASTER'!$AC$2:$AC$495&gt;=7))*ROW('CONTROL MASTER'!$S$2:$S$495))-(ROW('CONTROL MASTER'!#REF!)-1))),":",","),",",REPT(" ",50)),(((INDEX('CONTROL MASTER'!$Y$2:$Y$495,(SUMPRODUCT((('CONTROL MASTER'!$S$2:$S$495=14)*('CONTROL MASTER'!$Z$2:$Z$495&lt;=9)*('CONTROL MASTER'!$AB$2:$AB$495&gt;=9)*('CONTROL MASTER'!$AA$2:$AA$495&lt;=7)*('CONTROL MASTER'!$AC$2:$AC$495&gt;=7))*ROW('CONTROL MASTER'!$S$2:$S$495))-(ROW('CONTROL MASTER'!#REF!)-1)))+((9-INDEX('CONTROL MASTER'!$Z$2:$Z$495,(SUMPRODUCT((('CONTROL MASTER'!$S$2:$S$495=14)*('CONTROL MASTER'!$Z$2:$Z$495&lt;=9)*('CONTROL MASTER'!$AB$2:$AB$495&gt;=9)*('CONTROL MASTER'!$AA$2:$AA$495&lt;=7)*('CONTROL MASTER'!$AC$2:$AC$495&gt;=7))*ROW('CONTROL MASTER'!$S$2:$S$495))-(ROW('CONTROL MASTER'!#REF!)-1))))*(INDEX('CONTROL MASTER'!$AC$2:$AC$495,(SUMPRODUCT((('CONTROL MASTER'!$S$2:$S$495=14)*('CONTROL MASTER'!$Z$2:$Z$495&lt;=9)*('CONTROL MASTER'!$AB$2:$AB$495&gt;=9)*('CONTROL MASTER'!$AA$2:$AA$495&lt;=7)*('CONTROL MASTER'!$AC$2:$AC$495&gt;=7))*ROW('CONTROL MASTER'!$S$2:$S$495))-(ROW('CONTROL MASTER'!#REF!)-1)))-INDEX('CONTROL MASTER'!$AA$2:$AA$495,(SUMPRODUCT((('CONTROL MASTER'!$S$2:$S$495=14)*('CONTROL MASTER'!$Z$2:$Z$495&lt;=9)*('CONTROL MASTER'!$AB$2:$AB$495&gt;=9)*('CONTROL MASTER'!$AA$2:$AA$495&lt;=7)*('CONTROL MASTER'!$AC$2:$AC$495&gt;=7))*ROW('CONTROL MASTER'!$S$2:$S$495))-(ROW('CONTROL MASTER'!#REF!)-1)))+1)+(7-INDEX('CONTROL MASTER'!$AA$2:$AA$495,(SUMPRODUCT((('CONTROL MASTER'!$S$2:$S$495=14)*('CONTROL MASTER'!$Z$2:$Z$495&lt;=9)*('CONTROL MASTER'!$AB$2:$AB$495&gt;=9)*('CONTROL MASTER'!$AA$2:$AA$495&lt;=7)*('CONTROL MASTER'!$AC$2:$AC$495&gt;=7))*ROW('CONTROL MASTER'!$S$2:$S$495))-(ROW('CONTROL MASTER'!#REF!)-1))))+1)))-1)*50+1,50))&amp;"_"&amp;INDEX('CONTROL MASTER'!$P$2:$P$495,(SUMPRODUCT((('CONTROL MASTER'!$S$2:$S$495=14)*('CONTROL MASTER'!$Z$2:$Z$495&lt;=9)*('CONTROL MASTER'!$AB$2:$AB$495&gt;=9)*('CONTROL MASTER'!$AA$2:$AA$495&lt;=7)*('CONTROL MASTER'!$AC$2:$AC$495&gt;=7))*ROW('CONTROL MASTER'!$S$2:$S$495))-(ROW('CONTROL MASTER'!#REF!)-1))),"")),"")</f>
        <v/>
      </c>
      <c r="I193" s="10" t="str">
        <f>IFERROR(IF(SUMPRODUCT((('CONTROL MASTER'!$S$2:$S$495=14)*('CONTROL MASTER'!$T$2:$T$495&lt;=9)*('CONTROL MASTER'!$V$2:$V$495&gt;=9)*('CONTROL MASTER'!$U$2:$U$495&lt;=8)*('CONTROL MASTER'!$W$2:$W$495&gt;=8))*ROW('CONTROL MASTER'!$S$2:$S$495))&gt;0,INDEX('CONTROL MASTER'!$X$2:$X$495,(SUMPRODUCT((('CONTROL MASTER'!$S$2:$S$495=14)*('CONTROL MASTER'!$T$2:$T$495&lt;=9)*('CONTROL MASTER'!$V$2:$V$495&gt;=9)*('CONTROL MASTER'!$U$2:$U$495&lt;=8)*('CONTROL MASTER'!$W$2:$W$495&gt;=8))*ROW('CONTROL MASTER'!$S$2:$S$495))-(ROW('CONTROL MASTER'!#REF!)-1)))&amp;TRIM(MID(SUBSTITUTE(SUBSTITUTE(INDEX('CONTROL MASTER'!$N$2:$N$495,(SUMPRODUCT((('CONTROL MASTER'!$S$2:$S$495=14)*('CONTROL MASTER'!$T$2:$T$495&lt;=9)*('CONTROL MASTER'!$V$2:$V$495&gt;=9)*('CONTROL MASTER'!$U$2:$U$495&lt;=8)*('CONTROL MASTER'!$W$2:$W$495&gt;=8))*ROW('CONTROL MASTER'!$S$2:$S$495))-(ROW('CONTROL MASTER'!#REF!)-1))),":",","),",",REPT(" ",50)),((((9-INDEX('CONTROL MASTER'!$T$2:$T$495,(SUMPRODUCT((('CONTROL MASTER'!$S$2:$S$495=14)*('CONTROL MASTER'!$T$2:$T$495&lt;=9)*('CONTROL MASTER'!$V$2:$V$495&gt;=9)*('CONTROL MASTER'!$U$2:$U$495&lt;=8)*('CONTROL MASTER'!$W$2:$W$495&gt;=8))*ROW('CONTROL MASTER'!$S$2:$S$495))-(ROW('CONTROL MASTER'!#REF!)-1))))*(INDEX('CONTROL MASTER'!$W$2:$W$495,(SUMPRODUCT((('CONTROL MASTER'!$S$2:$S$495=14)*('CONTROL MASTER'!$T$2:$T$495&lt;=9)*('CONTROL MASTER'!$V$2:$V$495&gt;=9)*('CONTROL MASTER'!$U$2:$U$495&lt;=8)*('CONTROL MASTER'!$W$2:$W$495&gt;=8))*ROW('CONTROL MASTER'!$S$2:$S$495))-(ROW('CONTROL MASTER'!#REF!)-1)))-INDEX('CONTROL MASTER'!$U$2:$U$495,(SUMPRODUCT((('CONTROL MASTER'!$S$2:$S$495=14)*('CONTROL MASTER'!$T$2:$T$495&lt;=9)*('CONTROL MASTER'!$V$2:$V$495&gt;=9)*('CONTROL MASTER'!$U$2:$U$495&lt;=8)*('CONTROL MASTER'!$W$2:$W$495&gt;=8))*ROW('CONTROL MASTER'!$S$2:$S$495))-(ROW('CONTROL MASTER'!#REF!)-1)))+1)+(8-INDEX('CONTROL MASTER'!$U$2:$U$495,(SUMPRODUCT((('CONTROL MASTER'!$S$2:$S$495=14)*('CONTROL MASTER'!$T$2:$T$495&lt;=9)*('CONTROL MASTER'!$V$2:$V$495&gt;=9)*('CONTROL MASTER'!$U$2:$U$495&lt;=8)*('CONTROL MASTER'!$W$2:$W$495&gt;=8))*ROW('CONTROL MASTER'!$S$2:$S$495))-(ROW('CONTROL MASTER'!#REF!)-1))))+1))-1)*50+1,50))&amp;"_"&amp;INDEX('CONTROL MASTER'!$P$2:$P$495,(SUMPRODUCT((('CONTROL MASTER'!$S$2:$S$495=14)*('CONTROL MASTER'!$T$2:$T$495&lt;=9)*('CONTROL MASTER'!$V$2:$V$495&gt;=9)*('CONTROL MASTER'!$U$2:$U$495&lt;=8)*('CONTROL MASTER'!$W$2:$W$495&gt;=8))*ROW('CONTROL MASTER'!$S$2:$S$495))-(ROW('CONTROL MASTER'!#REF!)-1))),IF(SUMPRODUCT((('CONTROL MASTER'!$S$2:$S$495=14)*('CONTROL MASTER'!$Z$2:$Z$495&lt;=9)*('CONTROL MASTER'!$AB$2:$AB$495&gt;=9)*('CONTROL MASTER'!$AA$2:$AA$495&lt;=8)*('CONTROL MASTER'!$AC$2:$AC$495&gt;=8))*ROW('CONTROL MASTER'!$S$2:$S$495))&gt;0,INDEX('CONTROL MASTER'!$X$2:$X$495,(SUMPRODUCT((('CONTROL MASTER'!$S$2:$S$495=14)*('CONTROL MASTER'!$Z$2:$Z$495&lt;=9)*('CONTROL MASTER'!$AB$2:$AB$495&gt;=9)*('CONTROL MASTER'!$AA$2:$AA$495&lt;=8)*('CONTROL MASTER'!$AC$2:$AC$495&gt;=8))*ROW('CONTROL MASTER'!$S$2:$S$495))-(ROW('CONTROL MASTER'!#REF!)-1)))&amp;TRIM(MID(SUBSTITUTE(SUBSTITUTE(INDEX('CONTROL MASTER'!$N$2:$N$495,(SUMPRODUCT((('CONTROL MASTER'!$S$2:$S$495=14)*('CONTROL MASTER'!$Z$2:$Z$495&lt;=9)*('CONTROL MASTER'!$AB$2:$AB$495&gt;=9)*('CONTROL MASTER'!$AA$2:$AA$495&lt;=8)*('CONTROL MASTER'!$AC$2:$AC$495&gt;=8))*ROW('CONTROL MASTER'!$S$2:$S$495))-(ROW('CONTROL MASTER'!#REF!)-1))),":",","),",",REPT(" ",50)),(((INDEX('CONTROL MASTER'!$Y$2:$Y$495,(SUMPRODUCT((('CONTROL MASTER'!$S$2:$S$495=14)*('CONTROL MASTER'!$Z$2:$Z$495&lt;=9)*('CONTROL MASTER'!$AB$2:$AB$495&gt;=9)*('CONTROL MASTER'!$AA$2:$AA$495&lt;=8)*('CONTROL MASTER'!$AC$2:$AC$495&gt;=8))*ROW('CONTROL MASTER'!$S$2:$S$495))-(ROW('CONTROL MASTER'!#REF!)-1)))+((9-INDEX('CONTROL MASTER'!$Z$2:$Z$495,(SUMPRODUCT((('CONTROL MASTER'!$S$2:$S$495=14)*('CONTROL MASTER'!$Z$2:$Z$495&lt;=9)*('CONTROL MASTER'!$AB$2:$AB$495&gt;=9)*('CONTROL MASTER'!$AA$2:$AA$495&lt;=8)*('CONTROL MASTER'!$AC$2:$AC$495&gt;=8))*ROW('CONTROL MASTER'!$S$2:$S$495))-(ROW('CONTROL MASTER'!#REF!)-1))))*(INDEX('CONTROL MASTER'!$AC$2:$AC$495,(SUMPRODUCT((('CONTROL MASTER'!$S$2:$S$495=14)*('CONTROL MASTER'!$Z$2:$Z$495&lt;=9)*('CONTROL MASTER'!$AB$2:$AB$495&gt;=9)*('CONTROL MASTER'!$AA$2:$AA$495&lt;=8)*('CONTROL MASTER'!$AC$2:$AC$495&gt;=8))*ROW('CONTROL MASTER'!$S$2:$S$495))-(ROW('CONTROL MASTER'!#REF!)-1)))-INDEX('CONTROL MASTER'!$AA$2:$AA$495,(SUMPRODUCT((('CONTROL MASTER'!$S$2:$S$495=14)*('CONTROL MASTER'!$Z$2:$Z$495&lt;=9)*('CONTROL MASTER'!$AB$2:$AB$495&gt;=9)*('CONTROL MASTER'!$AA$2:$AA$495&lt;=8)*('CONTROL MASTER'!$AC$2:$AC$495&gt;=8))*ROW('CONTROL MASTER'!$S$2:$S$495))-(ROW('CONTROL MASTER'!#REF!)-1)))+1)+(8-INDEX('CONTROL MASTER'!$AA$2:$AA$495,(SUMPRODUCT((('CONTROL MASTER'!$S$2:$S$495=14)*('CONTROL MASTER'!$Z$2:$Z$495&lt;=9)*('CONTROL MASTER'!$AB$2:$AB$495&gt;=9)*('CONTROL MASTER'!$AA$2:$AA$495&lt;=8)*('CONTROL MASTER'!$AC$2:$AC$495&gt;=8))*ROW('CONTROL MASTER'!$S$2:$S$495))-(ROW('CONTROL MASTER'!#REF!)-1))))+1)))-1)*50+1,50))&amp;"_"&amp;INDEX('CONTROL MASTER'!$P$2:$P$495,(SUMPRODUCT((('CONTROL MASTER'!$S$2:$S$495=14)*('CONTROL MASTER'!$Z$2:$Z$495&lt;=9)*('CONTROL MASTER'!$AB$2:$AB$495&gt;=9)*('CONTROL MASTER'!$AA$2:$AA$495&lt;=8)*('CONTROL MASTER'!$AC$2:$AC$495&gt;=8))*ROW('CONTROL MASTER'!$S$2:$S$495))-(ROW('CONTROL MASTER'!#REF!)-1))),"")),"")</f>
        <v/>
      </c>
      <c r="J193" s="10" t="str">
        <f>IFERROR(IF(SUMPRODUCT((('CONTROL MASTER'!$S$2:$S$495=14)*('CONTROL MASTER'!$T$2:$T$495&lt;=9)*('CONTROL MASTER'!$V$2:$V$495&gt;=9)*('CONTROL MASTER'!$U$2:$U$495&lt;=9)*('CONTROL MASTER'!$W$2:$W$495&gt;=9))*ROW('CONTROL MASTER'!$S$2:$S$495))&gt;0,INDEX('CONTROL MASTER'!$X$2:$X$495,(SUMPRODUCT((('CONTROL MASTER'!$S$2:$S$495=14)*('CONTROL MASTER'!$T$2:$T$495&lt;=9)*('CONTROL MASTER'!$V$2:$V$495&gt;=9)*('CONTROL MASTER'!$U$2:$U$495&lt;=9)*('CONTROL MASTER'!$W$2:$W$495&gt;=9))*ROW('CONTROL MASTER'!$S$2:$S$495))-(ROW('CONTROL MASTER'!#REF!)-1)))&amp;TRIM(MID(SUBSTITUTE(SUBSTITUTE(INDEX('CONTROL MASTER'!$N$2:$N$495,(SUMPRODUCT((('CONTROL MASTER'!$S$2:$S$495=14)*('CONTROL MASTER'!$T$2:$T$495&lt;=9)*('CONTROL MASTER'!$V$2:$V$495&gt;=9)*('CONTROL MASTER'!$U$2:$U$495&lt;=9)*('CONTROL MASTER'!$W$2:$W$495&gt;=9))*ROW('CONTROL MASTER'!$S$2:$S$495))-(ROW('CONTROL MASTER'!#REF!)-1))),":",","),",",REPT(" ",50)),((((9-INDEX('CONTROL MASTER'!$T$2:$T$495,(SUMPRODUCT((('CONTROL MASTER'!$S$2:$S$495=14)*('CONTROL MASTER'!$T$2:$T$495&lt;=9)*('CONTROL MASTER'!$V$2:$V$495&gt;=9)*('CONTROL MASTER'!$U$2:$U$495&lt;=9)*('CONTROL MASTER'!$W$2:$W$495&gt;=9))*ROW('CONTROL MASTER'!$S$2:$S$495))-(ROW('CONTROL MASTER'!#REF!)-1))))*(INDEX('CONTROL MASTER'!$W$2:$W$495,(SUMPRODUCT((('CONTROL MASTER'!$S$2:$S$495=14)*('CONTROL MASTER'!$T$2:$T$495&lt;=9)*('CONTROL MASTER'!$V$2:$V$495&gt;=9)*('CONTROL MASTER'!$U$2:$U$495&lt;=9)*('CONTROL MASTER'!$W$2:$W$495&gt;=9))*ROW('CONTROL MASTER'!$S$2:$S$495))-(ROW('CONTROL MASTER'!#REF!)-1)))-INDEX('CONTROL MASTER'!$U$2:$U$495,(SUMPRODUCT((('CONTROL MASTER'!$S$2:$S$495=14)*('CONTROL MASTER'!$T$2:$T$495&lt;=9)*('CONTROL MASTER'!$V$2:$V$495&gt;=9)*('CONTROL MASTER'!$U$2:$U$495&lt;=9)*('CONTROL MASTER'!$W$2:$W$495&gt;=9))*ROW('CONTROL MASTER'!$S$2:$S$495))-(ROW('CONTROL MASTER'!#REF!)-1)))+1)+(9-INDEX('CONTROL MASTER'!$U$2:$U$495,(SUMPRODUCT((('CONTROL MASTER'!$S$2:$S$495=14)*('CONTROL MASTER'!$T$2:$T$495&lt;=9)*('CONTROL MASTER'!$V$2:$V$495&gt;=9)*('CONTROL MASTER'!$U$2:$U$495&lt;=9)*('CONTROL MASTER'!$W$2:$W$495&gt;=9))*ROW('CONTROL MASTER'!$S$2:$S$495))-(ROW('CONTROL MASTER'!#REF!)-1))))+1))-1)*50+1,50))&amp;"_"&amp;INDEX('CONTROL MASTER'!$P$2:$P$495,(SUMPRODUCT((('CONTROL MASTER'!$S$2:$S$495=14)*('CONTROL MASTER'!$T$2:$T$495&lt;=9)*('CONTROL MASTER'!$V$2:$V$495&gt;=9)*('CONTROL MASTER'!$U$2:$U$495&lt;=9)*('CONTROL MASTER'!$W$2:$W$495&gt;=9))*ROW('CONTROL MASTER'!$S$2:$S$495))-(ROW('CONTROL MASTER'!#REF!)-1))),IF(SUMPRODUCT((('CONTROL MASTER'!$S$2:$S$495=14)*('CONTROL MASTER'!$Z$2:$Z$495&lt;=9)*('CONTROL MASTER'!$AB$2:$AB$495&gt;=9)*('CONTROL MASTER'!$AA$2:$AA$495&lt;=9)*('CONTROL MASTER'!$AC$2:$AC$495&gt;=9))*ROW('CONTROL MASTER'!$S$2:$S$495))&gt;0,INDEX('CONTROL MASTER'!$X$2:$X$495,(SUMPRODUCT((('CONTROL MASTER'!$S$2:$S$495=14)*('CONTROL MASTER'!$Z$2:$Z$495&lt;=9)*('CONTROL MASTER'!$AB$2:$AB$495&gt;=9)*('CONTROL MASTER'!$AA$2:$AA$495&lt;=9)*('CONTROL MASTER'!$AC$2:$AC$495&gt;=9))*ROW('CONTROL MASTER'!$S$2:$S$495))-(ROW('CONTROL MASTER'!#REF!)-1)))&amp;TRIM(MID(SUBSTITUTE(SUBSTITUTE(INDEX('CONTROL MASTER'!$N$2:$N$495,(SUMPRODUCT((('CONTROL MASTER'!$S$2:$S$495=14)*('CONTROL MASTER'!$Z$2:$Z$495&lt;=9)*('CONTROL MASTER'!$AB$2:$AB$495&gt;=9)*('CONTROL MASTER'!$AA$2:$AA$495&lt;=9)*('CONTROL MASTER'!$AC$2:$AC$495&gt;=9))*ROW('CONTROL MASTER'!$S$2:$S$495))-(ROW('CONTROL MASTER'!#REF!)-1))),":",","),",",REPT(" ",50)),(((INDEX('CONTROL MASTER'!$Y$2:$Y$495,(SUMPRODUCT((('CONTROL MASTER'!$S$2:$S$495=14)*('CONTROL MASTER'!$Z$2:$Z$495&lt;=9)*('CONTROL MASTER'!$AB$2:$AB$495&gt;=9)*('CONTROL MASTER'!$AA$2:$AA$495&lt;=9)*('CONTROL MASTER'!$AC$2:$AC$495&gt;=9))*ROW('CONTROL MASTER'!$S$2:$S$495))-(ROW('CONTROL MASTER'!#REF!)-1)))+((9-INDEX('CONTROL MASTER'!$Z$2:$Z$495,(SUMPRODUCT((('CONTROL MASTER'!$S$2:$S$495=14)*('CONTROL MASTER'!$Z$2:$Z$495&lt;=9)*('CONTROL MASTER'!$AB$2:$AB$495&gt;=9)*('CONTROL MASTER'!$AA$2:$AA$495&lt;=9)*('CONTROL MASTER'!$AC$2:$AC$495&gt;=9))*ROW('CONTROL MASTER'!$S$2:$S$495))-(ROW('CONTROL MASTER'!#REF!)-1))))*(INDEX('CONTROL MASTER'!$AC$2:$AC$495,(SUMPRODUCT((('CONTROL MASTER'!$S$2:$S$495=14)*('CONTROL MASTER'!$Z$2:$Z$495&lt;=9)*('CONTROL MASTER'!$AB$2:$AB$495&gt;=9)*('CONTROL MASTER'!$AA$2:$AA$495&lt;=9)*('CONTROL MASTER'!$AC$2:$AC$495&gt;=9))*ROW('CONTROL MASTER'!$S$2:$S$495))-(ROW('CONTROL MASTER'!#REF!)-1)))-INDEX('CONTROL MASTER'!$AA$2:$AA$495,(SUMPRODUCT((('CONTROL MASTER'!$S$2:$S$495=14)*('CONTROL MASTER'!$Z$2:$Z$495&lt;=9)*('CONTROL MASTER'!$AB$2:$AB$495&gt;=9)*('CONTROL MASTER'!$AA$2:$AA$495&lt;=9)*('CONTROL MASTER'!$AC$2:$AC$495&gt;=9))*ROW('CONTROL MASTER'!$S$2:$S$495))-(ROW('CONTROL MASTER'!#REF!)-1)))+1)+(9-INDEX('CONTROL MASTER'!$AA$2:$AA$495,(SUMPRODUCT((('CONTROL MASTER'!$S$2:$S$495=14)*('CONTROL MASTER'!$Z$2:$Z$495&lt;=9)*('CONTROL MASTER'!$AB$2:$AB$495&gt;=9)*('CONTROL MASTER'!$AA$2:$AA$495&lt;=9)*('CONTROL MASTER'!$AC$2:$AC$495&gt;=9))*ROW('CONTROL MASTER'!$S$2:$S$495))-(ROW('CONTROL MASTER'!#REF!)-1))))+1)))-1)*50+1,50))&amp;"_"&amp;INDEX('CONTROL MASTER'!$P$2:$P$495,(SUMPRODUCT((('CONTROL MASTER'!$S$2:$S$495=14)*('CONTROL MASTER'!$Z$2:$Z$495&lt;=9)*('CONTROL MASTER'!$AB$2:$AB$495&gt;=9)*('CONTROL MASTER'!$AA$2:$AA$495&lt;=9)*('CONTROL MASTER'!$AC$2:$AC$495&gt;=9))*ROW('CONTROL MASTER'!$S$2:$S$495))-(ROW('CONTROL MASTER'!#REF!)-1))),"")),"")</f>
        <v/>
      </c>
      <c r="K193" s="10" t="str">
        <f>IFERROR(IF(SUMPRODUCT((('CONTROL MASTER'!$S$2:$S$495=14)*('CONTROL MASTER'!$T$2:$T$495&lt;=9)*('CONTROL MASTER'!$V$2:$V$495&gt;=9)*('CONTROL MASTER'!$U$2:$U$495&lt;=10)*('CONTROL MASTER'!$W$2:$W$495&gt;=10))*ROW('CONTROL MASTER'!$S$2:$S$495))&gt;0,INDEX('CONTROL MASTER'!$X$2:$X$495,(SUMPRODUCT((('CONTROL MASTER'!$S$2:$S$495=14)*('CONTROL MASTER'!$T$2:$T$495&lt;=9)*('CONTROL MASTER'!$V$2:$V$495&gt;=9)*('CONTROL MASTER'!$U$2:$U$495&lt;=10)*('CONTROL MASTER'!$W$2:$W$495&gt;=10))*ROW('CONTROL MASTER'!$S$2:$S$495))-(ROW('CONTROL MASTER'!#REF!)-1)))&amp;TRIM(MID(SUBSTITUTE(SUBSTITUTE(INDEX('CONTROL MASTER'!$N$2:$N$495,(SUMPRODUCT((('CONTROL MASTER'!$S$2:$S$495=14)*('CONTROL MASTER'!$T$2:$T$495&lt;=9)*('CONTROL MASTER'!$V$2:$V$495&gt;=9)*('CONTROL MASTER'!$U$2:$U$495&lt;=10)*('CONTROL MASTER'!$W$2:$W$495&gt;=10))*ROW('CONTROL MASTER'!$S$2:$S$495))-(ROW('CONTROL MASTER'!#REF!)-1))),":",","),",",REPT(" ",50)),((((9-INDEX('CONTROL MASTER'!$T$2:$T$495,(SUMPRODUCT((('CONTROL MASTER'!$S$2:$S$495=14)*('CONTROL MASTER'!$T$2:$T$495&lt;=9)*('CONTROL MASTER'!$V$2:$V$495&gt;=9)*('CONTROL MASTER'!$U$2:$U$495&lt;=10)*('CONTROL MASTER'!$W$2:$W$495&gt;=10))*ROW('CONTROL MASTER'!$S$2:$S$495))-(ROW('CONTROL MASTER'!#REF!)-1))))*(INDEX('CONTROL MASTER'!$W$2:$W$495,(SUMPRODUCT((('CONTROL MASTER'!$S$2:$S$495=14)*('CONTROL MASTER'!$T$2:$T$495&lt;=9)*('CONTROL MASTER'!$V$2:$V$495&gt;=9)*('CONTROL MASTER'!$U$2:$U$495&lt;=10)*('CONTROL MASTER'!$W$2:$W$495&gt;=10))*ROW('CONTROL MASTER'!$S$2:$S$495))-(ROW('CONTROL MASTER'!#REF!)-1)))-INDEX('CONTROL MASTER'!$U$2:$U$495,(SUMPRODUCT((('CONTROL MASTER'!$S$2:$S$495=14)*('CONTROL MASTER'!$T$2:$T$495&lt;=9)*('CONTROL MASTER'!$V$2:$V$495&gt;=9)*('CONTROL MASTER'!$U$2:$U$495&lt;=10)*('CONTROL MASTER'!$W$2:$W$495&gt;=10))*ROW('CONTROL MASTER'!$S$2:$S$495))-(ROW('CONTROL MASTER'!#REF!)-1)))+1)+(10-INDEX('CONTROL MASTER'!$U$2:$U$495,(SUMPRODUCT((('CONTROL MASTER'!$S$2:$S$495=14)*('CONTROL MASTER'!$T$2:$T$495&lt;=9)*('CONTROL MASTER'!$V$2:$V$495&gt;=9)*('CONTROL MASTER'!$U$2:$U$495&lt;=10)*('CONTROL MASTER'!$W$2:$W$495&gt;=10))*ROW('CONTROL MASTER'!$S$2:$S$495))-(ROW('CONTROL MASTER'!#REF!)-1))))+1))-1)*50+1,50))&amp;"_"&amp;INDEX('CONTROL MASTER'!$P$2:$P$495,(SUMPRODUCT((('CONTROL MASTER'!$S$2:$S$495=14)*('CONTROL MASTER'!$T$2:$T$495&lt;=9)*('CONTROL MASTER'!$V$2:$V$495&gt;=9)*('CONTROL MASTER'!$U$2:$U$495&lt;=10)*('CONTROL MASTER'!$W$2:$W$495&gt;=10))*ROW('CONTROL MASTER'!$S$2:$S$495))-(ROW('CONTROL MASTER'!#REF!)-1))),IF(SUMPRODUCT((('CONTROL MASTER'!$S$2:$S$495=14)*('CONTROL MASTER'!$Z$2:$Z$495&lt;=9)*('CONTROL MASTER'!$AB$2:$AB$495&gt;=9)*('CONTROL MASTER'!$AA$2:$AA$495&lt;=10)*('CONTROL MASTER'!$AC$2:$AC$495&gt;=10))*ROW('CONTROL MASTER'!$S$2:$S$495))&gt;0,INDEX('CONTROL MASTER'!$X$2:$X$495,(SUMPRODUCT((('CONTROL MASTER'!$S$2:$S$495=14)*('CONTROL MASTER'!$Z$2:$Z$495&lt;=9)*('CONTROL MASTER'!$AB$2:$AB$495&gt;=9)*('CONTROL MASTER'!$AA$2:$AA$495&lt;=10)*('CONTROL MASTER'!$AC$2:$AC$495&gt;=10))*ROW('CONTROL MASTER'!$S$2:$S$495))-(ROW('CONTROL MASTER'!#REF!)-1)))&amp;TRIM(MID(SUBSTITUTE(SUBSTITUTE(INDEX('CONTROL MASTER'!$N$2:$N$495,(SUMPRODUCT((('CONTROL MASTER'!$S$2:$S$495=14)*('CONTROL MASTER'!$Z$2:$Z$495&lt;=9)*('CONTROL MASTER'!$AB$2:$AB$495&gt;=9)*('CONTROL MASTER'!$AA$2:$AA$495&lt;=10)*('CONTROL MASTER'!$AC$2:$AC$495&gt;=10))*ROW('CONTROL MASTER'!$S$2:$S$495))-(ROW('CONTROL MASTER'!#REF!)-1))),":",","),",",REPT(" ",50)),(((INDEX('CONTROL MASTER'!$Y$2:$Y$495,(SUMPRODUCT((('CONTROL MASTER'!$S$2:$S$495=14)*('CONTROL MASTER'!$Z$2:$Z$495&lt;=9)*('CONTROL MASTER'!$AB$2:$AB$495&gt;=9)*('CONTROL MASTER'!$AA$2:$AA$495&lt;=10)*('CONTROL MASTER'!$AC$2:$AC$495&gt;=10))*ROW('CONTROL MASTER'!$S$2:$S$495))-(ROW('CONTROL MASTER'!#REF!)-1)))+((9-INDEX('CONTROL MASTER'!$Z$2:$Z$495,(SUMPRODUCT((('CONTROL MASTER'!$S$2:$S$495=14)*('CONTROL MASTER'!$Z$2:$Z$495&lt;=9)*('CONTROL MASTER'!$AB$2:$AB$495&gt;=9)*('CONTROL MASTER'!$AA$2:$AA$495&lt;=10)*('CONTROL MASTER'!$AC$2:$AC$495&gt;=10))*ROW('CONTROL MASTER'!$S$2:$S$495))-(ROW('CONTROL MASTER'!#REF!)-1))))*(INDEX('CONTROL MASTER'!$AC$2:$AC$495,(SUMPRODUCT((('CONTROL MASTER'!$S$2:$S$495=14)*('CONTROL MASTER'!$Z$2:$Z$495&lt;=9)*('CONTROL MASTER'!$AB$2:$AB$495&gt;=9)*('CONTROL MASTER'!$AA$2:$AA$495&lt;=10)*('CONTROL MASTER'!$AC$2:$AC$495&gt;=10))*ROW('CONTROL MASTER'!$S$2:$S$495))-(ROW('CONTROL MASTER'!#REF!)-1)))-INDEX('CONTROL MASTER'!$AA$2:$AA$495,(SUMPRODUCT((('CONTROL MASTER'!$S$2:$S$495=14)*('CONTROL MASTER'!$Z$2:$Z$495&lt;=9)*('CONTROL MASTER'!$AB$2:$AB$495&gt;=9)*('CONTROL MASTER'!$AA$2:$AA$495&lt;=10)*('CONTROL MASTER'!$AC$2:$AC$495&gt;=10))*ROW('CONTROL MASTER'!$S$2:$S$495))-(ROW('CONTROL MASTER'!#REF!)-1)))+1)+(10-INDEX('CONTROL MASTER'!$AA$2:$AA$495,(SUMPRODUCT((('CONTROL MASTER'!$S$2:$S$495=14)*('CONTROL MASTER'!$Z$2:$Z$495&lt;=9)*('CONTROL MASTER'!$AB$2:$AB$495&gt;=9)*('CONTROL MASTER'!$AA$2:$AA$495&lt;=10)*('CONTROL MASTER'!$AC$2:$AC$495&gt;=10))*ROW('CONTROL MASTER'!$S$2:$S$495))-(ROW('CONTROL MASTER'!#REF!)-1))))+1)))-1)*50+1,50))&amp;"_"&amp;INDEX('CONTROL MASTER'!$P$2:$P$495,(SUMPRODUCT((('CONTROL MASTER'!$S$2:$S$495=14)*('CONTROL MASTER'!$Z$2:$Z$495&lt;=9)*('CONTROL MASTER'!$AB$2:$AB$495&gt;=9)*('CONTROL MASTER'!$AA$2:$AA$495&lt;=10)*('CONTROL MASTER'!$AC$2:$AC$495&gt;=10))*ROW('CONTROL MASTER'!$S$2:$S$495))-(ROW('CONTROL MASTER'!#REF!)-1))),"")),"")</f>
        <v/>
      </c>
    </row>
    <row r="194" spans="1:11" ht="15" customHeight="1" x14ac:dyDescent="0.35">
      <c r="A194" s="8" t="s">
        <v>82</v>
      </c>
      <c r="B194" s="10" t="str">
        <f>IFERROR(IF(SUMPRODUCT((('CONTROL MASTER'!$S$2:$S$495=14)*('CONTROL MASTER'!$T$2:$T$495&lt;=10)*('CONTROL MASTER'!$V$2:$V$495&gt;=10)*('CONTROL MASTER'!$U$2:$U$495&lt;=1)*('CONTROL MASTER'!$W$2:$W$495&gt;=1))*ROW('CONTROL MASTER'!$S$2:$S$495))&gt;0,INDEX('CONTROL MASTER'!$X$2:$X$495,(SUMPRODUCT((('CONTROL MASTER'!$S$2:$S$495=14)*('CONTROL MASTER'!$T$2:$T$495&lt;=10)*('CONTROL MASTER'!$V$2:$V$495&gt;=10)*('CONTROL MASTER'!$U$2:$U$495&lt;=1)*('CONTROL MASTER'!$W$2:$W$495&gt;=1))*ROW('CONTROL MASTER'!$S$2:$S$495))-(ROW('CONTROL MASTER'!#REF!)-1)))&amp;TRIM(MID(SUBSTITUTE(SUBSTITUTE(INDEX('CONTROL MASTER'!$N$2:$N$495,(SUMPRODUCT((('CONTROL MASTER'!$S$2:$S$495=14)*('CONTROL MASTER'!$T$2:$T$495&lt;=10)*('CONTROL MASTER'!$V$2:$V$495&gt;=10)*('CONTROL MASTER'!$U$2:$U$495&lt;=1)*('CONTROL MASTER'!$W$2:$W$495&gt;=1))*ROW('CONTROL MASTER'!$S$2:$S$495))-(ROW('CONTROL MASTER'!#REF!)-1))),":",","),",",REPT(" ",50)),((((10-INDEX('CONTROL MASTER'!$T$2:$T$495,(SUMPRODUCT((('CONTROL MASTER'!$S$2:$S$495=14)*('CONTROL MASTER'!$T$2:$T$495&lt;=10)*('CONTROL MASTER'!$V$2:$V$495&gt;=10)*('CONTROL MASTER'!$U$2:$U$495&lt;=1)*('CONTROL MASTER'!$W$2:$W$495&gt;=1))*ROW('CONTROL MASTER'!$S$2:$S$495))-(ROW('CONTROL MASTER'!#REF!)-1))))*(INDEX('CONTROL MASTER'!$W$2:$W$495,(SUMPRODUCT((('CONTROL MASTER'!$S$2:$S$495=14)*('CONTROL MASTER'!$T$2:$T$495&lt;=10)*('CONTROL MASTER'!$V$2:$V$495&gt;=10)*('CONTROL MASTER'!$U$2:$U$495&lt;=1)*('CONTROL MASTER'!$W$2:$W$495&gt;=1))*ROW('CONTROL MASTER'!$S$2:$S$495))-(ROW('CONTROL MASTER'!#REF!)-1)))-INDEX('CONTROL MASTER'!$U$2:$U$495,(SUMPRODUCT((('CONTROL MASTER'!$S$2:$S$495=14)*('CONTROL MASTER'!$T$2:$T$495&lt;=10)*('CONTROL MASTER'!$V$2:$V$495&gt;=10)*('CONTROL MASTER'!$U$2:$U$495&lt;=1)*('CONTROL MASTER'!$W$2:$W$495&gt;=1))*ROW('CONTROL MASTER'!$S$2:$S$495))-(ROW('CONTROL MASTER'!#REF!)-1)))+1)+(1-INDEX('CONTROL MASTER'!$U$2:$U$495,(SUMPRODUCT((('CONTROL MASTER'!$S$2:$S$495=14)*('CONTROL MASTER'!$T$2:$T$495&lt;=10)*('CONTROL MASTER'!$V$2:$V$495&gt;=10)*('CONTROL MASTER'!$U$2:$U$495&lt;=1)*('CONTROL MASTER'!$W$2:$W$495&gt;=1))*ROW('CONTROL MASTER'!$S$2:$S$495))-(ROW('CONTROL MASTER'!#REF!)-1))))+1))-1)*50+1,50))&amp;"_"&amp;INDEX('CONTROL MASTER'!$P$2:$P$495,(SUMPRODUCT((('CONTROL MASTER'!$S$2:$S$495=14)*('CONTROL MASTER'!$T$2:$T$495&lt;=10)*('CONTROL MASTER'!$V$2:$V$495&gt;=10)*('CONTROL MASTER'!$U$2:$U$495&lt;=1)*('CONTROL MASTER'!$W$2:$W$495&gt;=1))*ROW('CONTROL MASTER'!$S$2:$S$495))-(ROW('CONTROL MASTER'!#REF!)-1))),IF(SUMPRODUCT((('CONTROL MASTER'!$S$2:$S$495=14)*('CONTROL MASTER'!$Z$2:$Z$495&lt;=10)*('CONTROL MASTER'!$AB$2:$AB$495&gt;=10)*('CONTROL MASTER'!$AA$2:$AA$495&lt;=1)*('CONTROL MASTER'!$AC$2:$AC$495&gt;=1))*ROW('CONTROL MASTER'!$S$2:$S$495))&gt;0,INDEX('CONTROL MASTER'!$X$2:$X$495,(SUMPRODUCT((('CONTROL MASTER'!$S$2:$S$495=14)*('CONTROL MASTER'!$Z$2:$Z$495&lt;=10)*('CONTROL MASTER'!$AB$2:$AB$495&gt;=10)*('CONTROL MASTER'!$AA$2:$AA$495&lt;=1)*('CONTROL MASTER'!$AC$2:$AC$495&gt;=1))*ROW('CONTROL MASTER'!$S$2:$S$495))-(ROW('CONTROL MASTER'!#REF!)-1)))&amp;TRIM(MID(SUBSTITUTE(SUBSTITUTE(INDEX('CONTROL MASTER'!$N$2:$N$495,(SUMPRODUCT((('CONTROL MASTER'!$S$2:$S$495=14)*('CONTROL MASTER'!$Z$2:$Z$495&lt;=10)*('CONTROL MASTER'!$AB$2:$AB$495&gt;=10)*('CONTROL MASTER'!$AA$2:$AA$495&lt;=1)*('CONTROL MASTER'!$AC$2:$AC$495&gt;=1))*ROW('CONTROL MASTER'!$S$2:$S$495))-(ROW('CONTROL MASTER'!#REF!)-1))),":",","),",",REPT(" ",50)),(((INDEX('CONTROL MASTER'!$Y$2:$Y$495,(SUMPRODUCT((('CONTROL MASTER'!$S$2:$S$495=14)*('CONTROL MASTER'!$Z$2:$Z$495&lt;=10)*('CONTROL MASTER'!$AB$2:$AB$495&gt;=10)*('CONTROL MASTER'!$AA$2:$AA$495&lt;=1)*('CONTROL MASTER'!$AC$2:$AC$495&gt;=1))*ROW('CONTROL MASTER'!$S$2:$S$495))-(ROW('CONTROL MASTER'!#REF!)-1)))+((10-INDEX('CONTROL MASTER'!$Z$2:$Z$495,(SUMPRODUCT((('CONTROL MASTER'!$S$2:$S$495=14)*('CONTROL MASTER'!$Z$2:$Z$495&lt;=10)*('CONTROL MASTER'!$AB$2:$AB$495&gt;=10)*('CONTROL MASTER'!$AA$2:$AA$495&lt;=1)*('CONTROL MASTER'!$AC$2:$AC$495&gt;=1))*ROW('CONTROL MASTER'!$S$2:$S$495))-(ROW('CONTROL MASTER'!#REF!)-1))))*(INDEX('CONTROL MASTER'!$AC$2:$AC$495,(SUMPRODUCT((('CONTROL MASTER'!$S$2:$S$495=14)*('CONTROL MASTER'!$Z$2:$Z$495&lt;=10)*('CONTROL MASTER'!$AB$2:$AB$495&gt;=10)*('CONTROL MASTER'!$AA$2:$AA$495&lt;=1)*('CONTROL MASTER'!$AC$2:$AC$495&gt;=1))*ROW('CONTROL MASTER'!$S$2:$S$495))-(ROW('CONTROL MASTER'!#REF!)-1)))-INDEX('CONTROL MASTER'!$AA$2:$AA$495,(SUMPRODUCT((('CONTROL MASTER'!$S$2:$S$495=14)*('CONTROL MASTER'!$Z$2:$Z$495&lt;=10)*('CONTROL MASTER'!$AB$2:$AB$495&gt;=10)*('CONTROL MASTER'!$AA$2:$AA$495&lt;=1)*('CONTROL MASTER'!$AC$2:$AC$495&gt;=1))*ROW('CONTROL MASTER'!$S$2:$S$495))-(ROW('CONTROL MASTER'!#REF!)-1)))+1)+(1-INDEX('CONTROL MASTER'!$AA$2:$AA$495,(SUMPRODUCT((('CONTROL MASTER'!$S$2:$S$495=14)*('CONTROL MASTER'!$Z$2:$Z$495&lt;=10)*('CONTROL MASTER'!$AB$2:$AB$495&gt;=10)*('CONTROL MASTER'!$AA$2:$AA$495&lt;=1)*('CONTROL MASTER'!$AC$2:$AC$495&gt;=1))*ROW('CONTROL MASTER'!$S$2:$S$495))-(ROW('CONTROL MASTER'!#REF!)-1))))+1)))-1)*50+1,50))&amp;"_"&amp;INDEX('CONTROL MASTER'!$P$2:$P$495,(SUMPRODUCT((('CONTROL MASTER'!$S$2:$S$495=14)*('CONTROL MASTER'!$Z$2:$Z$495&lt;=10)*('CONTROL MASTER'!$AB$2:$AB$495&gt;=10)*('CONTROL MASTER'!$AA$2:$AA$495&lt;=1)*('CONTROL MASTER'!$AC$2:$AC$495&gt;=1))*ROW('CONTROL MASTER'!$S$2:$S$495))-(ROW('CONTROL MASTER'!#REF!)-1))),"")),"")</f>
        <v/>
      </c>
      <c r="C194" s="10" t="str">
        <f>IFERROR(IF(SUMPRODUCT((('CONTROL MASTER'!$S$2:$S$495=14)*('CONTROL MASTER'!$T$2:$T$495&lt;=10)*('CONTROL MASTER'!$V$2:$V$495&gt;=10)*('CONTROL MASTER'!$U$2:$U$495&lt;=2)*('CONTROL MASTER'!$W$2:$W$495&gt;=2))*ROW('CONTROL MASTER'!$S$2:$S$495))&gt;0,INDEX('CONTROL MASTER'!$X$2:$X$495,(SUMPRODUCT((('CONTROL MASTER'!$S$2:$S$495=14)*('CONTROL MASTER'!$T$2:$T$495&lt;=10)*('CONTROL MASTER'!$V$2:$V$495&gt;=10)*('CONTROL MASTER'!$U$2:$U$495&lt;=2)*('CONTROL MASTER'!$W$2:$W$495&gt;=2))*ROW('CONTROL MASTER'!$S$2:$S$495))-(ROW('CONTROL MASTER'!#REF!)-1)))&amp;TRIM(MID(SUBSTITUTE(SUBSTITUTE(INDEX('CONTROL MASTER'!$N$2:$N$495,(SUMPRODUCT((('CONTROL MASTER'!$S$2:$S$495=14)*('CONTROL MASTER'!$T$2:$T$495&lt;=10)*('CONTROL MASTER'!$V$2:$V$495&gt;=10)*('CONTROL MASTER'!$U$2:$U$495&lt;=2)*('CONTROL MASTER'!$W$2:$W$495&gt;=2))*ROW('CONTROL MASTER'!$S$2:$S$495))-(ROW('CONTROL MASTER'!#REF!)-1))),":",","),",",REPT(" ",50)),((((10-INDEX('CONTROL MASTER'!$T$2:$T$495,(SUMPRODUCT((('CONTROL MASTER'!$S$2:$S$495=14)*('CONTROL MASTER'!$T$2:$T$495&lt;=10)*('CONTROL MASTER'!$V$2:$V$495&gt;=10)*('CONTROL MASTER'!$U$2:$U$495&lt;=2)*('CONTROL MASTER'!$W$2:$W$495&gt;=2))*ROW('CONTROL MASTER'!$S$2:$S$495))-(ROW('CONTROL MASTER'!#REF!)-1))))*(INDEX('CONTROL MASTER'!$W$2:$W$495,(SUMPRODUCT((('CONTROL MASTER'!$S$2:$S$495=14)*('CONTROL MASTER'!$T$2:$T$495&lt;=10)*('CONTROL MASTER'!$V$2:$V$495&gt;=10)*('CONTROL MASTER'!$U$2:$U$495&lt;=2)*('CONTROL MASTER'!$W$2:$W$495&gt;=2))*ROW('CONTROL MASTER'!$S$2:$S$495))-(ROW('CONTROL MASTER'!#REF!)-1)))-INDEX('CONTROL MASTER'!$U$2:$U$495,(SUMPRODUCT((('CONTROL MASTER'!$S$2:$S$495=14)*('CONTROL MASTER'!$T$2:$T$495&lt;=10)*('CONTROL MASTER'!$V$2:$V$495&gt;=10)*('CONTROL MASTER'!$U$2:$U$495&lt;=2)*('CONTROL MASTER'!$W$2:$W$495&gt;=2))*ROW('CONTROL MASTER'!$S$2:$S$495))-(ROW('CONTROL MASTER'!#REF!)-1)))+1)+(2-INDEX('CONTROL MASTER'!$U$2:$U$495,(SUMPRODUCT((('CONTROL MASTER'!$S$2:$S$495=14)*('CONTROL MASTER'!$T$2:$T$495&lt;=10)*('CONTROL MASTER'!$V$2:$V$495&gt;=10)*('CONTROL MASTER'!$U$2:$U$495&lt;=2)*('CONTROL MASTER'!$W$2:$W$495&gt;=2))*ROW('CONTROL MASTER'!$S$2:$S$495))-(ROW('CONTROL MASTER'!#REF!)-1))))+1))-1)*50+1,50))&amp;"_"&amp;INDEX('CONTROL MASTER'!$P$2:$P$495,(SUMPRODUCT((('CONTROL MASTER'!$S$2:$S$495=14)*('CONTROL MASTER'!$T$2:$T$495&lt;=10)*('CONTROL MASTER'!$V$2:$V$495&gt;=10)*('CONTROL MASTER'!$U$2:$U$495&lt;=2)*('CONTROL MASTER'!$W$2:$W$495&gt;=2))*ROW('CONTROL MASTER'!$S$2:$S$495))-(ROW('CONTROL MASTER'!#REF!)-1))),IF(SUMPRODUCT((('CONTROL MASTER'!$S$2:$S$495=14)*('CONTROL MASTER'!$Z$2:$Z$495&lt;=10)*('CONTROL MASTER'!$AB$2:$AB$495&gt;=10)*('CONTROL MASTER'!$AA$2:$AA$495&lt;=2)*('CONTROL MASTER'!$AC$2:$AC$495&gt;=2))*ROW('CONTROL MASTER'!$S$2:$S$495))&gt;0,INDEX('CONTROL MASTER'!$X$2:$X$495,(SUMPRODUCT((('CONTROL MASTER'!$S$2:$S$495=14)*('CONTROL MASTER'!$Z$2:$Z$495&lt;=10)*('CONTROL MASTER'!$AB$2:$AB$495&gt;=10)*('CONTROL MASTER'!$AA$2:$AA$495&lt;=2)*('CONTROL MASTER'!$AC$2:$AC$495&gt;=2))*ROW('CONTROL MASTER'!$S$2:$S$495))-(ROW('CONTROL MASTER'!#REF!)-1)))&amp;TRIM(MID(SUBSTITUTE(SUBSTITUTE(INDEX('CONTROL MASTER'!$N$2:$N$495,(SUMPRODUCT((('CONTROL MASTER'!$S$2:$S$495=14)*('CONTROL MASTER'!$Z$2:$Z$495&lt;=10)*('CONTROL MASTER'!$AB$2:$AB$495&gt;=10)*('CONTROL MASTER'!$AA$2:$AA$495&lt;=2)*('CONTROL MASTER'!$AC$2:$AC$495&gt;=2))*ROW('CONTROL MASTER'!$S$2:$S$495))-(ROW('CONTROL MASTER'!#REF!)-1))),":",","),",",REPT(" ",50)),(((INDEX('CONTROL MASTER'!$Y$2:$Y$495,(SUMPRODUCT((('CONTROL MASTER'!$S$2:$S$495=14)*('CONTROL MASTER'!$Z$2:$Z$495&lt;=10)*('CONTROL MASTER'!$AB$2:$AB$495&gt;=10)*('CONTROL MASTER'!$AA$2:$AA$495&lt;=2)*('CONTROL MASTER'!$AC$2:$AC$495&gt;=2))*ROW('CONTROL MASTER'!$S$2:$S$495))-(ROW('CONTROL MASTER'!#REF!)-1)))+((10-INDEX('CONTROL MASTER'!$Z$2:$Z$495,(SUMPRODUCT((('CONTROL MASTER'!$S$2:$S$495=14)*('CONTROL MASTER'!$Z$2:$Z$495&lt;=10)*('CONTROL MASTER'!$AB$2:$AB$495&gt;=10)*('CONTROL MASTER'!$AA$2:$AA$495&lt;=2)*('CONTROL MASTER'!$AC$2:$AC$495&gt;=2))*ROW('CONTROL MASTER'!$S$2:$S$495))-(ROW('CONTROL MASTER'!#REF!)-1))))*(INDEX('CONTROL MASTER'!$AC$2:$AC$495,(SUMPRODUCT((('CONTROL MASTER'!$S$2:$S$495=14)*('CONTROL MASTER'!$Z$2:$Z$495&lt;=10)*('CONTROL MASTER'!$AB$2:$AB$495&gt;=10)*('CONTROL MASTER'!$AA$2:$AA$495&lt;=2)*('CONTROL MASTER'!$AC$2:$AC$495&gt;=2))*ROW('CONTROL MASTER'!$S$2:$S$495))-(ROW('CONTROL MASTER'!#REF!)-1)))-INDEX('CONTROL MASTER'!$AA$2:$AA$495,(SUMPRODUCT((('CONTROL MASTER'!$S$2:$S$495=14)*('CONTROL MASTER'!$Z$2:$Z$495&lt;=10)*('CONTROL MASTER'!$AB$2:$AB$495&gt;=10)*('CONTROL MASTER'!$AA$2:$AA$495&lt;=2)*('CONTROL MASTER'!$AC$2:$AC$495&gt;=2))*ROW('CONTROL MASTER'!$S$2:$S$495))-(ROW('CONTROL MASTER'!#REF!)-1)))+1)+(2-INDEX('CONTROL MASTER'!$AA$2:$AA$495,(SUMPRODUCT((('CONTROL MASTER'!$S$2:$S$495=14)*('CONTROL MASTER'!$Z$2:$Z$495&lt;=10)*('CONTROL MASTER'!$AB$2:$AB$495&gt;=10)*('CONTROL MASTER'!$AA$2:$AA$495&lt;=2)*('CONTROL MASTER'!$AC$2:$AC$495&gt;=2))*ROW('CONTROL MASTER'!$S$2:$S$495))-(ROW('CONTROL MASTER'!#REF!)-1))))+1)))-1)*50+1,50))&amp;"_"&amp;INDEX('CONTROL MASTER'!$P$2:$P$495,(SUMPRODUCT((('CONTROL MASTER'!$S$2:$S$495=14)*('CONTROL MASTER'!$Z$2:$Z$495&lt;=10)*('CONTROL MASTER'!$AB$2:$AB$495&gt;=10)*('CONTROL MASTER'!$AA$2:$AA$495&lt;=2)*('CONTROL MASTER'!$AC$2:$AC$495&gt;=2))*ROW('CONTROL MASTER'!$S$2:$S$495))-(ROW('CONTROL MASTER'!#REF!)-1))),"")),"")</f>
        <v/>
      </c>
      <c r="D194" s="10" t="str">
        <f>IFERROR(IF(SUMPRODUCT((('CONTROL MASTER'!$S$2:$S$495=14)*('CONTROL MASTER'!$T$2:$T$495&lt;=10)*('CONTROL MASTER'!$V$2:$V$495&gt;=10)*('CONTROL MASTER'!$U$2:$U$495&lt;=3)*('CONTROL MASTER'!$W$2:$W$495&gt;=3))*ROW('CONTROL MASTER'!$S$2:$S$495))&gt;0,INDEX('CONTROL MASTER'!$X$2:$X$495,(SUMPRODUCT((('CONTROL MASTER'!$S$2:$S$495=14)*('CONTROL MASTER'!$T$2:$T$495&lt;=10)*('CONTROL MASTER'!$V$2:$V$495&gt;=10)*('CONTROL MASTER'!$U$2:$U$495&lt;=3)*('CONTROL MASTER'!$W$2:$W$495&gt;=3))*ROW('CONTROL MASTER'!$S$2:$S$495))-(ROW('CONTROL MASTER'!#REF!)-1)))&amp;TRIM(MID(SUBSTITUTE(SUBSTITUTE(INDEX('CONTROL MASTER'!$N$2:$N$495,(SUMPRODUCT((('CONTROL MASTER'!$S$2:$S$495=14)*('CONTROL MASTER'!$T$2:$T$495&lt;=10)*('CONTROL MASTER'!$V$2:$V$495&gt;=10)*('CONTROL MASTER'!$U$2:$U$495&lt;=3)*('CONTROL MASTER'!$W$2:$W$495&gt;=3))*ROW('CONTROL MASTER'!$S$2:$S$495))-(ROW('CONTROL MASTER'!#REF!)-1))),":",","),",",REPT(" ",50)),((((10-INDEX('CONTROL MASTER'!$T$2:$T$495,(SUMPRODUCT((('CONTROL MASTER'!$S$2:$S$495=14)*('CONTROL MASTER'!$T$2:$T$495&lt;=10)*('CONTROL MASTER'!$V$2:$V$495&gt;=10)*('CONTROL MASTER'!$U$2:$U$495&lt;=3)*('CONTROL MASTER'!$W$2:$W$495&gt;=3))*ROW('CONTROL MASTER'!$S$2:$S$495))-(ROW('CONTROL MASTER'!#REF!)-1))))*(INDEX('CONTROL MASTER'!$W$2:$W$495,(SUMPRODUCT((('CONTROL MASTER'!$S$2:$S$495=14)*('CONTROL MASTER'!$T$2:$T$495&lt;=10)*('CONTROL MASTER'!$V$2:$V$495&gt;=10)*('CONTROL MASTER'!$U$2:$U$495&lt;=3)*('CONTROL MASTER'!$W$2:$W$495&gt;=3))*ROW('CONTROL MASTER'!$S$2:$S$495))-(ROW('CONTROL MASTER'!#REF!)-1)))-INDEX('CONTROL MASTER'!$U$2:$U$495,(SUMPRODUCT((('CONTROL MASTER'!$S$2:$S$495=14)*('CONTROL MASTER'!$T$2:$T$495&lt;=10)*('CONTROL MASTER'!$V$2:$V$495&gt;=10)*('CONTROL MASTER'!$U$2:$U$495&lt;=3)*('CONTROL MASTER'!$W$2:$W$495&gt;=3))*ROW('CONTROL MASTER'!$S$2:$S$495))-(ROW('CONTROL MASTER'!#REF!)-1)))+1)+(3-INDEX('CONTROL MASTER'!$U$2:$U$495,(SUMPRODUCT((('CONTROL MASTER'!$S$2:$S$495=14)*('CONTROL MASTER'!$T$2:$T$495&lt;=10)*('CONTROL MASTER'!$V$2:$V$495&gt;=10)*('CONTROL MASTER'!$U$2:$U$495&lt;=3)*('CONTROL MASTER'!$W$2:$W$495&gt;=3))*ROW('CONTROL MASTER'!$S$2:$S$495))-(ROW('CONTROL MASTER'!#REF!)-1))))+1))-1)*50+1,50))&amp;"_"&amp;INDEX('CONTROL MASTER'!$P$2:$P$495,(SUMPRODUCT((('CONTROL MASTER'!$S$2:$S$495=14)*('CONTROL MASTER'!$T$2:$T$495&lt;=10)*('CONTROL MASTER'!$V$2:$V$495&gt;=10)*('CONTROL MASTER'!$U$2:$U$495&lt;=3)*('CONTROL MASTER'!$W$2:$W$495&gt;=3))*ROW('CONTROL MASTER'!$S$2:$S$495))-(ROW('CONTROL MASTER'!#REF!)-1))),IF(SUMPRODUCT((('CONTROL MASTER'!$S$2:$S$495=14)*('CONTROL MASTER'!$Z$2:$Z$495&lt;=10)*('CONTROL MASTER'!$AB$2:$AB$495&gt;=10)*('CONTROL MASTER'!$AA$2:$AA$495&lt;=3)*('CONTROL MASTER'!$AC$2:$AC$495&gt;=3))*ROW('CONTROL MASTER'!$S$2:$S$495))&gt;0,INDEX('CONTROL MASTER'!$X$2:$X$495,(SUMPRODUCT((('CONTROL MASTER'!$S$2:$S$495=14)*('CONTROL MASTER'!$Z$2:$Z$495&lt;=10)*('CONTROL MASTER'!$AB$2:$AB$495&gt;=10)*('CONTROL MASTER'!$AA$2:$AA$495&lt;=3)*('CONTROL MASTER'!$AC$2:$AC$495&gt;=3))*ROW('CONTROL MASTER'!$S$2:$S$495))-(ROW('CONTROL MASTER'!#REF!)-1)))&amp;TRIM(MID(SUBSTITUTE(SUBSTITUTE(INDEX('CONTROL MASTER'!$N$2:$N$495,(SUMPRODUCT((('CONTROL MASTER'!$S$2:$S$495=14)*('CONTROL MASTER'!$Z$2:$Z$495&lt;=10)*('CONTROL MASTER'!$AB$2:$AB$495&gt;=10)*('CONTROL MASTER'!$AA$2:$AA$495&lt;=3)*('CONTROL MASTER'!$AC$2:$AC$495&gt;=3))*ROW('CONTROL MASTER'!$S$2:$S$495))-(ROW('CONTROL MASTER'!#REF!)-1))),":",","),",",REPT(" ",50)),(((INDEX('CONTROL MASTER'!$Y$2:$Y$495,(SUMPRODUCT((('CONTROL MASTER'!$S$2:$S$495=14)*('CONTROL MASTER'!$Z$2:$Z$495&lt;=10)*('CONTROL MASTER'!$AB$2:$AB$495&gt;=10)*('CONTROL MASTER'!$AA$2:$AA$495&lt;=3)*('CONTROL MASTER'!$AC$2:$AC$495&gt;=3))*ROW('CONTROL MASTER'!$S$2:$S$495))-(ROW('CONTROL MASTER'!#REF!)-1)))+((10-INDEX('CONTROL MASTER'!$Z$2:$Z$495,(SUMPRODUCT((('CONTROL MASTER'!$S$2:$S$495=14)*('CONTROL MASTER'!$Z$2:$Z$495&lt;=10)*('CONTROL MASTER'!$AB$2:$AB$495&gt;=10)*('CONTROL MASTER'!$AA$2:$AA$495&lt;=3)*('CONTROL MASTER'!$AC$2:$AC$495&gt;=3))*ROW('CONTROL MASTER'!$S$2:$S$495))-(ROW('CONTROL MASTER'!#REF!)-1))))*(INDEX('CONTROL MASTER'!$AC$2:$AC$495,(SUMPRODUCT((('CONTROL MASTER'!$S$2:$S$495=14)*('CONTROL MASTER'!$Z$2:$Z$495&lt;=10)*('CONTROL MASTER'!$AB$2:$AB$495&gt;=10)*('CONTROL MASTER'!$AA$2:$AA$495&lt;=3)*('CONTROL MASTER'!$AC$2:$AC$495&gt;=3))*ROW('CONTROL MASTER'!$S$2:$S$495))-(ROW('CONTROL MASTER'!#REF!)-1)))-INDEX('CONTROL MASTER'!$AA$2:$AA$495,(SUMPRODUCT((('CONTROL MASTER'!$S$2:$S$495=14)*('CONTROL MASTER'!$Z$2:$Z$495&lt;=10)*('CONTROL MASTER'!$AB$2:$AB$495&gt;=10)*('CONTROL MASTER'!$AA$2:$AA$495&lt;=3)*('CONTROL MASTER'!$AC$2:$AC$495&gt;=3))*ROW('CONTROL MASTER'!$S$2:$S$495))-(ROW('CONTROL MASTER'!#REF!)-1)))+1)+(3-INDEX('CONTROL MASTER'!$AA$2:$AA$495,(SUMPRODUCT((('CONTROL MASTER'!$S$2:$S$495=14)*('CONTROL MASTER'!$Z$2:$Z$495&lt;=10)*('CONTROL MASTER'!$AB$2:$AB$495&gt;=10)*('CONTROL MASTER'!$AA$2:$AA$495&lt;=3)*('CONTROL MASTER'!$AC$2:$AC$495&gt;=3))*ROW('CONTROL MASTER'!$S$2:$S$495))-(ROW('CONTROL MASTER'!#REF!)-1))))+1)))-1)*50+1,50))&amp;"_"&amp;INDEX('CONTROL MASTER'!$P$2:$P$495,(SUMPRODUCT((('CONTROL MASTER'!$S$2:$S$495=14)*('CONTROL MASTER'!$Z$2:$Z$495&lt;=10)*('CONTROL MASTER'!$AB$2:$AB$495&gt;=10)*('CONTROL MASTER'!$AA$2:$AA$495&lt;=3)*('CONTROL MASTER'!$AC$2:$AC$495&gt;=3))*ROW('CONTROL MASTER'!$S$2:$S$495))-(ROW('CONTROL MASTER'!#REF!)-1))),"")),"")</f>
        <v/>
      </c>
      <c r="E194" s="10" t="str">
        <f>IFERROR(IF(SUMPRODUCT((('CONTROL MASTER'!$S$2:$S$495=14)*('CONTROL MASTER'!$T$2:$T$495&lt;=10)*('CONTROL MASTER'!$V$2:$V$495&gt;=10)*('CONTROL MASTER'!$U$2:$U$495&lt;=4)*('CONTROL MASTER'!$W$2:$W$495&gt;=4))*ROW('CONTROL MASTER'!$S$2:$S$495))&gt;0,INDEX('CONTROL MASTER'!$X$2:$X$495,(SUMPRODUCT((('CONTROL MASTER'!$S$2:$S$495=14)*('CONTROL MASTER'!$T$2:$T$495&lt;=10)*('CONTROL MASTER'!$V$2:$V$495&gt;=10)*('CONTROL MASTER'!$U$2:$U$495&lt;=4)*('CONTROL MASTER'!$W$2:$W$495&gt;=4))*ROW('CONTROL MASTER'!$S$2:$S$495))-(ROW('CONTROL MASTER'!#REF!)-1)))&amp;TRIM(MID(SUBSTITUTE(SUBSTITUTE(INDEX('CONTROL MASTER'!$N$2:$N$495,(SUMPRODUCT((('CONTROL MASTER'!$S$2:$S$495=14)*('CONTROL MASTER'!$T$2:$T$495&lt;=10)*('CONTROL MASTER'!$V$2:$V$495&gt;=10)*('CONTROL MASTER'!$U$2:$U$495&lt;=4)*('CONTROL MASTER'!$W$2:$W$495&gt;=4))*ROW('CONTROL MASTER'!$S$2:$S$495))-(ROW('CONTROL MASTER'!#REF!)-1))),":",","),",",REPT(" ",50)),((((10-INDEX('CONTROL MASTER'!$T$2:$T$495,(SUMPRODUCT((('CONTROL MASTER'!$S$2:$S$495=14)*('CONTROL MASTER'!$T$2:$T$495&lt;=10)*('CONTROL MASTER'!$V$2:$V$495&gt;=10)*('CONTROL MASTER'!$U$2:$U$495&lt;=4)*('CONTROL MASTER'!$W$2:$W$495&gt;=4))*ROW('CONTROL MASTER'!$S$2:$S$495))-(ROW('CONTROL MASTER'!#REF!)-1))))*(INDEX('CONTROL MASTER'!$W$2:$W$495,(SUMPRODUCT((('CONTROL MASTER'!$S$2:$S$495=14)*('CONTROL MASTER'!$T$2:$T$495&lt;=10)*('CONTROL MASTER'!$V$2:$V$495&gt;=10)*('CONTROL MASTER'!$U$2:$U$495&lt;=4)*('CONTROL MASTER'!$W$2:$W$495&gt;=4))*ROW('CONTROL MASTER'!$S$2:$S$495))-(ROW('CONTROL MASTER'!#REF!)-1)))-INDEX('CONTROL MASTER'!$U$2:$U$495,(SUMPRODUCT((('CONTROL MASTER'!$S$2:$S$495=14)*('CONTROL MASTER'!$T$2:$T$495&lt;=10)*('CONTROL MASTER'!$V$2:$V$495&gt;=10)*('CONTROL MASTER'!$U$2:$U$495&lt;=4)*('CONTROL MASTER'!$W$2:$W$495&gt;=4))*ROW('CONTROL MASTER'!$S$2:$S$495))-(ROW('CONTROL MASTER'!#REF!)-1)))+1)+(4-INDEX('CONTROL MASTER'!$U$2:$U$495,(SUMPRODUCT((('CONTROL MASTER'!$S$2:$S$495=14)*('CONTROL MASTER'!$T$2:$T$495&lt;=10)*('CONTROL MASTER'!$V$2:$V$495&gt;=10)*('CONTROL MASTER'!$U$2:$U$495&lt;=4)*('CONTROL MASTER'!$W$2:$W$495&gt;=4))*ROW('CONTROL MASTER'!$S$2:$S$495))-(ROW('CONTROL MASTER'!#REF!)-1))))+1))-1)*50+1,50))&amp;"_"&amp;INDEX('CONTROL MASTER'!$P$2:$P$495,(SUMPRODUCT((('CONTROL MASTER'!$S$2:$S$495=14)*('CONTROL MASTER'!$T$2:$T$495&lt;=10)*('CONTROL MASTER'!$V$2:$V$495&gt;=10)*('CONTROL MASTER'!$U$2:$U$495&lt;=4)*('CONTROL MASTER'!$W$2:$W$495&gt;=4))*ROW('CONTROL MASTER'!$S$2:$S$495))-(ROW('CONTROL MASTER'!#REF!)-1))),IF(SUMPRODUCT((('CONTROL MASTER'!$S$2:$S$495=14)*('CONTROL MASTER'!$Z$2:$Z$495&lt;=10)*('CONTROL MASTER'!$AB$2:$AB$495&gt;=10)*('CONTROL MASTER'!$AA$2:$AA$495&lt;=4)*('CONTROL MASTER'!$AC$2:$AC$495&gt;=4))*ROW('CONTROL MASTER'!$S$2:$S$495))&gt;0,INDEX('CONTROL MASTER'!$X$2:$X$495,(SUMPRODUCT((('CONTROL MASTER'!$S$2:$S$495=14)*('CONTROL MASTER'!$Z$2:$Z$495&lt;=10)*('CONTROL MASTER'!$AB$2:$AB$495&gt;=10)*('CONTROL MASTER'!$AA$2:$AA$495&lt;=4)*('CONTROL MASTER'!$AC$2:$AC$495&gt;=4))*ROW('CONTROL MASTER'!$S$2:$S$495))-(ROW('CONTROL MASTER'!#REF!)-1)))&amp;TRIM(MID(SUBSTITUTE(SUBSTITUTE(INDEX('CONTROL MASTER'!$N$2:$N$495,(SUMPRODUCT((('CONTROL MASTER'!$S$2:$S$495=14)*('CONTROL MASTER'!$Z$2:$Z$495&lt;=10)*('CONTROL MASTER'!$AB$2:$AB$495&gt;=10)*('CONTROL MASTER'!$AA$2:$AA$495&lt;=4)*('CONTROL MASTER'!$AC$2:$AC$495&gt;=4))*ROW('CONTROL MASTER'!$S$2:$S$495))-(ROW('CONTROL MASTER'!#REF!)-1))),":",","),",",REPT(" ",50)),(((INDEX('CONTROL MASTER'!$Y$2:$Y$495,(SUMPRODUCT((('CONTROL MASTER'!$S$2:$S$495=14)*('CONTROL MASTER'!$Z$2:$Z$495&lt;=10)*('CONTROL MASTER'!$AB$2:$AB$495&gt;=10)*('CONTROL MASTER'!$AA$2:$AA$495&lt;=4)*('CONTROL MASTER'!$AC$2:$AC$495&gt;=4))*ROW('CONTROL MASTER'!$S$2:$S$495))-(ROW('CONTROL MASTER'!#REF!)-1)))+((10-INDEX('CONTROL MASTER'!$Z$2:$Z$495,(SUMPRODUCT((('CONTROL MASTER'!$S$2:$S$495=14)*('CONTROL MASTER'!$Z$2:$Z$495&lt;=10)*('CONTROL MASTER'!$AB$2:$AB$495&gt;=10)*('CONTROL MASTER'!$AA$2:$AA$495&lt;=4)*('CONTROL MASTER'!$AC$2:$AC$495&gt;=4))*ROW('CONTROL MASTER'!$S$2:$S$495))-(ROW('CONTROL MASTER'!#REF!)-1))))*(INDEX('CONTROL MASTER'!$AC$2:$AC$495,(SUMPRODUCT((('CONTROL MASTER'!$S$2:$S$495=14)*('CONTROL MASTER'!$Z$2:$Z$495&lt;=10)*('CONTROL MASTER'!$AB$2:$AB$495&gt;=10)*('CONTROL MASTER'!$AA$2:$AA$495&lt;=4)*('CONTROL MASTER'!$AC$2:$AC$495&gt;=4))*ROW('CONTROL MASTER'!$S$2:$S$495))-(ROW('CONTROL MASTER'!#REF!)-1)))-INDEX('CONTROL MASTER'!$AA$2:$AA$495,(SUMPRODUCT((('CONTROL MASTER'!$S$2:$S$495=14)*('CONTROL MASTER'!$Z$2:$Z$495&lt;=10)*('CONTROL MASTER'!$AB$2:$AB$495&gt;=10)*('CONTROL MASTER'!$AA$2:$AA$495&lt;=4)*('CONTROL MASTER'!$AC$2:$AC$495&gt;=4))*ROW('CONTROL MASTER'!$S$2:$S$495))-(ROW('CONTROL MASTER'!#REF!)-1)))+1)+(4-INDEX('CONTROL MASTER'!$AA$2:$AA$495,(SUMPRODUCT((('CONTROL MASTER'!$S$2:$S$495=14)*('CONTROL MASTER'!$Z$2:$Z$495&lt;=10)*('CONTROL MASTER'!$AB$2:$AB$495&gt;=10)*('CONTROL MASTER'!$AA$2:$AA$495&lt;=4)*('CONTROL MASTER'!$AC$2:$AC$495&gt;=4))*ROW('CONTROL MASTER'!$S$2:$S$495))-(ROW('CONTROL MASTER'!#REF!)-1))))+1)))-1)*50+1,50))&amp;"_"&amp;INDEX('CONTROL MASTER'!$P$2:$P$495,(SUMPRODUCT((('CONTROL MASTER'!$S$2:$S$495=14)*('CONTROL MASTER'!$Z$2:$Z$495&lt;=10)*('CONTROL MASTER'!$AB$2:$AB$495&gt;=10)*('CONTROL MASTER'!$AA$2:$AA$495&lt;=4)*('CONTROL MASTER'!$AC$2:$AC$495&gt;=4))*ROW('CONTROL MASTER'!$S$2:$S$495))-(ROW('CONTROL MASTER'!#REF!)-1))),"")),"")</f>
        <v/>
      </c>
      <c r="F194" s="10" t="str">
        <f>IFERROR(IF(SUMPRODUCT((('CONTROL MASTER'!$S$2:$S$495=14)*('CONTROL MASTER'!$T$2:$T$495&lt;=10)*('CONTROL MASTER'!$V$2:$V$495&gt;=10)*('CONTROL MASTER'!$U$2:$U$495&lt;=5)*('CONTROL MASTER'!$W$2:$W$495&gt;=5))*ROW('CONTROL MASTER'!$S$2:$S$495))&gt;0,INDEX('CONTROL MASTER'!$X$2:$X$495,(SUMPRODUCT((('CONTROL MASTER'!$S$2:$S$495=14)*('CONTROL MASTER'!$T$2:$T$495&lt;=10)*('CONTROL MASTER'!$V$2:$V$495&gt;=10)*('CONTROL MASTER'!$U$2:$U$495&lt;=5)*('CONTROL MASTER'!$W$2:$W$495&gt;=5))*ROW('CONTROL MASTER'!$S$2:$S$495))-(ROW('CONTROL MASTER'!#REF!)-1)))&amp;TRIM(MID(SUBSTITUTE(SUBSTITUTE(INDEX('CONTROL MASTER'!$N$2:$N$495,(SUMPRODUCT((('CONTROL MASTER'!$S$2:$S$495=14)*('CONTROL MASTER'!$T$2:$T$495&lt;=10)*('CONTROL MASTER'!$V$2:$V$495&gt;=10)*('CONTROL MASTER'!$U$2:$U$495&lt;=5)*('CONTROL MASTER'!$W$2:$W$495&gt;=5))*ROW('CONTROL MASTER'!$S$2:$S$495))-(ROW('CONTROL MASTER'!#REF!)-1))),":",","),",",REPT(" ",50)),((((10-INDEX('CONTROL MASTER'!$T$2:$T$495,(SUMPRODUCT((('CONTROL MASTER'!$S$2:$S$495=14)*('CONTROL MASTER'!$T$2:$T$495&lt;=10)*('CONTROL MASTER'!$V$2:$V$495&gt;=10)*('CONTROL MASTER'!$U$2:$U$495&lt;=5)*('CONTROL MASTER'!$W$2:$W$495&gt;=5))*ROW('CONTROL MASTER'!$S$2:$S$495))-(ROW('CONTROL MASTER'!#REF!)-1))))*(INDEX('CONTROL MASTER'!$W$2:$W$495,(SUMPRODUCT((('CONTROL MASTER'!$S$2:$S$495=14)*('CONTROL MASTER'!$T$2:$T$495&lt;=10)*('CONTROL MASTER'!$V$2:$V$495&gt;=10)*('CONTROL MASTER'!$U$2:$U$495&lt;=5)*('CONTROL MASTER'!$W$2:$W$495&gt;=5))*ROW('CONTROL MASTER'!$S$2:$S$495))-(ROW('CONTROL MASTER'!#REF!)-1)))-INDEX('CONTROL MASTER'!$U$2:$U$495,(SUMPRODUCT((('CONTROL MASTER'!$S$2:$S$495=14)*('CONTROL MASTER'!$T$2:$T$495&lt;=10)*('CONTROL MASTER'!$V$2:$V$495&gt;=10)*('CONTROL MASTER'!$U$2:$U$495&lt;=5)*('CONTROL MASTER'!$W$2:$W$495&gt;=5))*ROW('CONTROL MASTER'!$S$2:$S$495))-(ROW('CONTROL MASTER'!#REF!)-1)))+1)+(5-INDEX('CONTROL MASTER'!$U$2:$U$495,(SUMPRODUCT((('CONTROL MASTER'!$S$2:$S$495=14)*('CONTROL MASTER'!$T$2:$T$495&lt;=10)*('CONTROL MASTER'!$V$2:$V$495&gt;=10)*('CONTROL MASTER'!$U$2:$U$495&lt;=5)*('CONTROL MASTER'!$W$2:$W$495&gt;=5))*ROW('CONTROL MASTER'!$S$2:$S$495))-(ROW('CONTROL MASTER'!#REF!)-1))))+1))-1)*50+1,50))&amp;"_"&amp;INDEX('CONTROL MASTER'!$P$2:$P$495,(SUMPRODUCT((('CONTROL MASTER'!$S$2:$S$495=14)*('CONTROL MASTER'!$T$2:$T$495&lt;=10)*('CONTROL MASTER'!$V$2:$V$495&gt;=10)*('CONTROL MASTER'!$U$2:$U$495&lt;=5)*('CONTROL MASTER'!$W$2:$W$495&gt;=5))*ROW('CONTROL MASTER'!$S$2:$S$495))-(ROW('CONTROL MASTER'!#REF!)-1))),IF(SUMPRODUCT((('CONTROL MASTER'!$S$2:$S$495=14)*('CONTROL MASTER'!$Z$2:$Z$495&lt;=10)*('CONTROL MASTER'!$AB$2:$AB$495&gt;=10)*('CONTROL MASTER'!$AA$2:$AA$495&lt;=5)*('CONTROL MASTER'!$AC$2:$AC$495&gt;=5))*ROW('CONTROL MASTER'!$S$2:$S$495))&gt;0,INDEX('CONTROL MASTER'!$X$2:$X$495,(SUMPRODUCT((('CONTROL MASTER'!$S$2:$S$495=14)*('CONTROL MASTER'!$Z$2:$Z$495&lt;=10)*('CONTROL MASTER'!$AB$2:$AB$495&gt;=10)*('CONTROL MASTER'!$AA$2:$AA$495&lt;=5)*('CONTROL MASTER'!$AC$2:$AC$495&gt;=5))*ROW('CONTROL MASTER'!$S$2:$S$495))-(ROW('CONTROL MASTER'!#REF!)-1)))&amp;TRIM(MID(SUBSTITUTE(SUBSTITUTE(INDEX('CONTROL MASTER'!$N$2:$N$495,(SUMPRODUCT((('CONTROL MASTER'!$S$2:$S$495=14)*('CONTROL MASTER'!$Z$2:$Z$495&lt;=10)*('CONTROL MASTER'!$AB$2:$AB$495&gt;=10)*('CONTROL MASTER'!$AA$2:$AA$495&lt;=5)*('CONTROL MASTER'!$AC$2:$AC$495&gt;=5))*ROW('CONTROL MASTER'!$S$2:$S$495))-(ROW('CONTROL MASTER'!#REF!)-1))),":",","),",",REPT(" ",50)),(((INDEX('CONTROL MASTER'!$Y$2:$Y$495,(SUMPRODUCT((('CONTROL MASTER'!$S$2:$S$495=14)*('CONTROL MASTER'!$Z$2:$Z$495&lt;=10)*('CONTROL MASTER'!$AB$2:$AB$495&gt;=10)*('CONTROL MASTER'!$AA$2:$AA$495&lt;=5)*('CONTROL MASTER'!$AC$2:$AC$495&gt;=5))*ROW('CONTROL MASTER'!$S$2:$S$495))-(ROW('CONTROL MASTER'!#REF!)-1)))+((10-INDEX('CONTROL MASTER'!$Z$2:$Z$495,(SUMPRODUCT((('CONTROL MASTER'!$S$2:$S$495=14)*('CONTROL MASTER'!$Z$2:$Z$495&lt;=10)*('CONTROL MASTER'!$AB$2:$AB$495&gt;=10)*('CONTROL MASTER'!$AA$2:$AA$495&lt;=5)*('CONTROL MASTER'!$AC$2:$AC$495&gt;=5))*ROW('CONTROL MASTER'!$S$2:$S$495))-(ROW('CONTROL MASTER'!#REF!)-1))))*(INDEX('CONTROL MASTER'!$AC$2:$AC$495,(SUMPRODUCT((('CONTROL MASTER'!$S$2:$S$495=14)*('CONTROL MASTER'!$Z$2:$Z$495&lt;=10)*('CONTROL MASTER'!$AB$2:$AB$495&gt;=10)*('CONTROL MASTER'!$AA$2:$AA$495&lt;=5)*('CONTROL MASTER'!$AC$2:$AC$495&gt;=5))*ROW('CONTROL MASTER'!$S$2:$S$495))-(ROW('CONTROL MASTER'!#REF!)-1)))-INDEX('CONTROL MASTER'!$AA$2:$AA$495,(SUMPRODUCT((('CONTROL MASTER'!$S$2:$S$495=14)*('CONTROL MASTER'!$Z$2:$Z$495&lt;=10)*('CONTROL MASTER'!$AB$2:$AB$495&gt;=10)*('CONTROL MASTER'!$AA$2:$AA$495&lt;=5)*('CONTROL MASTER'!$AC$2:$AC$495&gt;=5))*ROW('CONTROL MASTER'!$S$2:$S$495))-(ROW('CONTROL MASTER'!#REF!)-1)))+1)+(5-INDEX('CONTROL MASTER'!$AA$2:$AA$495,(SUMPRODUCT((('CONTROL MASTER'!$S$2:$S$495=14)*('CONTROL MASTER'!$Z$2:$Z$495&lt;=10)*('CONTROL MASTER'!$AB$2:$AB$495&gt;=10)*('CONTROL MASTER'!$AA$2:$AA$495&lt;=5)*('CONTROL MASTER'!$AC$2:$AC$495&gt;=5))*ROW('CONTROL MASTER'!$S$2:$S$495))-(ROW('CONTROL MASTER'!#REF!)-1))))+1)))-1)*50+1,50))&amp;"_"&amp;INDEX('CONTROL MASTER'!$P$2:$P$495,(SUMPRODUCT((('CONTROL MASTER'!$S$2:$S$495=14)*('CONTROL MASTER'!$Z$2:$Z$495&lt;=10)*('CONTROL MASTER'!$AB$2:$AB$495&gt;=10)*('CONTROL MASTER'!$AA$2:$AA$495&lt;=5)*('CONTROL MASTER'!$AC$2:$AC$495&gt;=5))*ROW('CONTROL MASTER'!$S$2:$S$495))-(ROW('CONTROL MASTER'!#REF!)-1))),"")),"")</f>
        <v/>
      </c>
      <c r="G194" s="10" t="str">
        <f>IFERROR(IF(SUMPRODUCT((('CONTROL MASTER'!$S$2:$S$495=14)*('CONTROL MASTER'!$T$2:$T$495&lt;=10)*('CONTROL MASTER'!$V$2:$V$495&gt;=10)*('CONTROL MASTER'!$U$2:$U$495&lt;=6)*('CONTROL MASTER'!$W$2:$W$495&gt;=6))*ROW('CONTROL MASTER'!$S$2:$S$495))&gt;0,INDEX('CONTROL MASTER'!$X$2:$X$495,(SUMPRODUCT((('CONTROL MASTER'!$S$2:$S$495=14)*('CONTROL MASTER'!$T$2:$T$495&lt;=10)*('CONTROL MASTER'!$V$2:$V$495&gt;=10)*('CONTROL MASTER'!$U$2:$U$495&lt;=6)*('CONTROL MASTER'!$W$2:$W$495&gt;=6))*ROW('CONTROL MASTER'!$S$2:$S$495))-(ROW('CONTROL MASTER'!#REF!)-1)))&amp;TRIM(MID(SUBSTITUTE(SUBSTITUTE(INDEX('CONTROL MASTER'!$N$2:$N$495,(SUMPRODUCT((('CONTROL MASTER'!$S$2:$S$495=14)*('CONTROL MASTER'!$T$2:$T$495&lt;=10)*('CONTROL MASTER'!$V$2:$V$495&gt;=10)*('CONTROL MASTER'!$U$2:$U$495&lt;=6)*('CONTROL MASTER'!$W$2:$W$495&gt;=6))*ROW('CONTROL MASTER'!$S$2:$S$495))-(ROW('CONTROL MASTER'!#REF!)-1))),":",","),",",REPT(" ",50)),((((10-INDEX('CONTROL MASTER'!$T$2:$T$495,(SUMPRODUCT((('CONTROL MASTER'!$S$2:$S$495=14)*('CONTROL MASTER'!$T$2:$T$495&lt;=10)*('CONTROL MASTER'!$V$2:$V$495&gt;=10)*('CONTROL MASTER'!$U$2:$U$495&lt;=6)*('CONTROL MASTER'!$W$2:$W$495&gt;=6))*ROW('CONTROL MASTER'!$S$2:$S$495))-(ROW('CONTROL MASTER'!#REF!)-1))))*(INDEX('CONTROL MASTER'!$W$2:$W$495,(SUMPRODUCT((('CONTROL MASTER'!$S$2:$S$495=14)*('CONTROL MASTER'!$T$2:$T$495&lt;=10)*('CONTROL MASTER'!$V$2:$V$495&gt;=10)*('CONTROL MASTER'!$U$2:$U$495&lt;=6)*('CONTROL MASTER'!$W$2:$W$495&gt;=6))*ROW('CONTROL MASTER'!$S$2:$S$495))-(ROW('CONTROL MASTER'!#REF!)-1)))-INDEX('CONTROL MASTER'!$U$2:$U$495,(SUMPRODUCT((('CONTROL MASTER'!$S$2:$S$495=14)*('CONTROL MASTER'!$T$2:$T$495&lt;=10)*('CONTROL MASTER'!$V$2:$V$495&gt;=10)*('CONTROL MASTER'!$U$2:$U$495&lt;=6)*('CONTROL MASTER'!$W$2:$W$495&gt;=6))*ROW('CONTROL MASTER'!$S$2:$S$495))-(ROW('CONTROL MASTER'!#REF!)-1)))+1)+(6-INDEX('CONTROL MASTER'!$U$2:$U$495,(SUMPRODUCT((('CONTROL MASTER'!$S$2:$S$495=14)*('CONTROL MASTER'!$T$2:$T$495&lt;=10)*('CONTROL MASTER'!$V$2:$V$495&gt;=10)*('CONTROL MASTER'!$U$2:$U$495&lt;=6)*('CONTROL MASTER'!$W$2:$W$495&gt;=6))*ROW('CONTROL MASTER'!$S$2:$S$495))-(ROW('CONTROL MASTER'!#REF!)-1))))+1))-1)*50+1,50))&amp;"_"&amp;INDEX('CONTROL MASTER'!$P$2:$P$495,(SUMPRODUCT((('CONTROL MASTER'!$S$2:$S$495=14)*('CONTROL MASTER'!$T$2:$T$495&lt;=10)*('CONTROL MASTER'!$V$2:$V$495&gt;=10)*('CONTROL MASTER'!$U$2:$U$495&lt;=6)*('CONTROL MASTER'!$W$2:$W$495&gt;=6))*ROW('CONTROL MASTER'!$S$2:$S$495))-(ROW('CONTROL MASTER'!#REF!)-1))),IF(SUMPRODUCT((('CONTROL MASTER'!$S$2:$S$495=14)*('CONTROL MASTER'!$Z$2:$Z$495&lt;=10)*('CONTROL MASTER'!$AB$2:$AB$495&gt;=10)*('CONTROL MASTER'!$AA$2:$AA$495&lt;=6)*('CONTROL MASTER'!$AC$2:$AC$495&gt;=6))*ROW('CONTROL MASTER'!$S$2:$S$495))&gt;0,INDEX('CONTROL MASTER'!$X$2:$X$495,(SUMPRODUCT((('CONTROL MASTER'!$S$2:$S$495=14)*('CONTROL MASTER'!$Z$2:$Z$495&lt;=10)*('CONTROL MASTER'!$AB$2:$AB$495&gt;=10)*('CONTROL MASTER'!$AA$2:$AA$495&lt;=6)*('CONTROL MASTER'!$AC$2:$AC$495&gt;=6))*ROW('CONTROL MASTER'!$S$2:$S$495))-(ROW('CONTROL MASTER'!#REF!)-1)))&amp;TRIM(MID(SUBSTITUTE(SUBSTITUTE(INDEX('CONTROL MASTER'!$N$2:$N$495,(SUMPRODUCT((('CONTROL MASTER'!$S$2:$S$495=14)*('CONTROL MASTER'!$Z$2:$Z$495&lt;=10)*('CONTROL MASTER'!$AB$2:$AB$495&gt;=10)*('CONTROL MASTER'!$AA$2:$AA$495&lt;=6)*('CONTROL MASTER'!$AC$2:$AC$495&gt;=6))*ROW('CONTROL MASTER'!$S$2:$S$495))-(ROW('CONTROL MASTER'!#REF!)-1))),":",","),",",REPT(" ",50)),(((INDEX('CONTROL MASTER'!$Y$2:$Y$495,(SUMPRODUCT((('CONTROL MASTER'!$S$2:$S$495=14)*('CONTROL MASTER'!$Z$2:$Z$495&lt;=10)*('CONTROL MASTER'!$AB$2:$AB$495&gt;=10)*('CONTROL MASTER'!$AA$2:$AA$495&lt;=6)*('CONTROL MASTER'!$AC$2:$AC$495&gt;=6))*ROW('CONTROL MASTER'!$S$2:$S$495))-(ROW('CONTROL MASTER'!#REF!)-1)))+((10-INDEX('CONTROL MASTER'!$Z$2:$Z$495,(SUMPRODUCT((('CONTROL MASTER'!$S$2:$S$495=14)*('CONTROL MASTER'!$Z$2:$Z$495&lt;=10)*('CONTROL MASTER'!$AB$2:$AB$495&gt;=10)*('CONTROL MASTER'!$AA$2:$AA$495&lt;=6)*('CONTROL MASTER'!$AC$2:$AC$495&gt;=6))*ROW('CONTROL MASTER'!$S$2:$S$495))-(ROW('CONTROL MASTER'!#REF!)-1))))*(INDEX('CONTROL MASTER'!$AC$2:$AC$495,(SUMPRODUCT((('CONTROL MASTER'!$S$2:$S$495=14)*('CONTROL MASTER'!$Z$2:$Z$495&lt;=10)*('CONTROL MASTER'!$AB$2:$AB$495&gt;=10)*('CONTROL MASTER'!$AA$2:$AA$495&lt;=6)*('CONTROL MASTER'!$AC$2:$AC$495&gt;=6))*ROW('CONTROL MASTER'!$S$2:$S$495))-(ROW('CONTROL MASTER'!#REF!)-1)))-INDEX('CONTROL MASTER'!$AA$2:$AA$495,(SUMPRODUCT((('CONTROL MASTER'!$S$2:$S$495=14)*('CONTROL MASTER'!$Z$2:$Z$495&lt;=10)*('CONTROL MASTER'!$AB$2:$AB$495&gt;=10)*('CONTROL MASTER'!$AA$2:$AA$495&lt;=6)*('CONTROL MASTER'!$AC$2:$AC$495&gt;=6))*ROW('CONTROL MASTER'!$S$2:$S$495))-(ROW('CONTROL MASTER'!#REF!)-1)))+1)+(6-INDEX('CONTROL MASTER'!$AA$2:$AA$495,(SUMPRODUCT((('CONTROL MASTER'!$S$2:$S$495=14)*('CONTROL MASTER'!$Z$2:$Z$495&lt;=10)*('CONTROL MASTER'!$AB$2:$AB$495&gt;=10)*('CONTROL MASTER'!$AA$2:$AA$495&lt;=6)*('CONTROL MASTER'!$AC$2:$AC$495&gt;=6))*ROW('CONTROL MASTER'!$S$2:$S$495))-(ROW('CONTROL MASTER'!#REF!)-1))))+1)))-1)*50+1,50))&amp;"_"&amp;INDEX('CONTROL MASTER'!$P$2:$P$495,(SUMPRODUCT((('CONTROL MASTER'!$S$2:$S$495=14)*('CONTROL MASTER'!$Z$2:$Z$495&lt;=10)*('CONTROL MASTER'!$AB$2:$AB$495&gt;=10)*('CONTROL MASTER'!$AA$2:$AA$495&lt;=6)*('CONTROL MASTER'!$AC$2:$AC$495&gt;=6))*ROW('CONTROL MASTER'!$S$2:$S$495))-(ROW('CONTROL MASTER'!#REF!)-1))),"")),"")</f>
        <v/>
      </c>
      <c r="H194" s="10" t="str">
        <f>IFERROR(IF(SUMPRODUCT((('CONTROL MASTER'!$S$2:$S$495=14)*('CONTROL MASTER'!$T$2:$T$495&lt;=10)*('CONTROL MASTER'!$V$2:$V$495&gt;=10)*('CONTROL MASTER'!$U$2:$U$495&lt;=7)*('CONTROL MASTER'!$W$2:$W$495&gt;=7))*ROW('CONTROL MASTER'!$S$2:$S$495))&gt;0,INDEX('CONTROL MASTER'!$X$2:$X$495,(SUMPRODUCT((('CONTROL MASTER'!$S$2:$S$495=14)*('CONTROL MASTER'!$T$2:$T$495&lt;=10)*('CONTROL MASTER'!$V$2:$V$495&gt;=10)*('CONTROL MASTER'!$U$2:$U$495&lt;=7)*('CONTROL MASTER'!$W$2:$W$495&gt;=7))*ROW('CONTROL MASTER'!$S$2:$S$495))-(ROW('CONTROL MASTER'!#REF!)-1)))&amp;TRIM(MID(SUBSTITUTE(SUBSTITUTE(INDEX('CONTROL MASTER'!$N$2:$N$495,(SUMPRODUCT((('CONTROL MASTER'!$S$2:$S$495=14)*('CONTROL MASTER'!$T$2:$T$495&lt;=10)*('CONTROL MASTER'!$V$2:$V$495&gt;=10)*('CONTROL MASTER'!$U$2:$U$495&lt;=7)*('CONTROL MASTER'!$W$2:$W$495&gt;=7))*ROW('CONTROL MASTER'!$S$2:$S$495))-(ROW('CONTROL MASTER'!#REF!)-1))),":",","),",",REPT(" ",50)),((((10-INDEX('CONTROL MASTER'!$T$2:$T$495,(SUMPRODUCT((('CONTROL MASTER'!$S$2:$S$495=14)*('CONTROL MASTER'!$T$2:$T$495&lt;=10)*('CONTROL MASTER'!$V$2:$V$495&gt;=10)*('CONTROL MASTER'!$U$2:$U$495&lt;=7)*('CONTROL MASTER'!$W$2:$W$495&gt;=7))*ROW('CONTROL MASTER'!$S$2:$S$495))-(ROW('CONTROL MASTER'!#REF!)-1))))*(INDEX('CONTROL MASTER'!$W$2:$W$495,(SUMPRODUCT((('CONTROL MASTER'!$S$2:$S$495=14)*('CONTROL MASTER'!$T$2:$T$495&lt;=10)*('CONTROL MASTER'!$V$2:$V$495&gt;=10)*('CONTROL MASTER'!$U$2:$U$495&lt;=7)*('CONTROL MASTER'!$W$2:$W$495&gt;=7))*ROW('CONTROL MASTER'!$S$2:$S$495))-(ROW('CONTROL MASTER'!#REF!)-1)))-INDEX('CONTROL MASTER'!$U$2:$U$495,(SUMPRODUCT((('CONTROL MASTER'!$S$2:$S$495=14)*('CONTROL MASTER'!$T$2:$T$495&lt;=10)*('CONTROL MASTER'!$V$2:$V$495&gt;=10)*('CONTROL MASTER'!$U$2:$U$495&lt;=7)*('CONTROL MASTER'!$W$2:$W$495&gt;=7))*ROW('CONTROL MASTER'!$S$2:$S$495))-(ROW('CONTROL MASTER'!#REF!)-1)))+1)+(7-INDEX('CONTROL MASTER'!$U$2:$U$495,(SUMPRODUCT((('CONTROL MASTER'!$S$2:$S$495=14)*('CONTROL MASTER'!$T$2:$T$495&lt;=10)*('CONTROL MASTER'!$V$2:$V$495&gt;=10)*('CONTROL MASTER'!$U$2:$U$495&lt;=7)*('CONTROL MASTER'!$W$2:$W$495&gt;=7))*ROW('CONTROL MASTER'!$S$2:$S$495))-(ROW('CONTROL MASTER'!#REF!)-1))))+1))-1)*50+1,50))&amp;"_"&amp;INDEX('CONTROL MASTER'!$P$2:$P$495,(SUMPRODUCT((('CONTROL MASTER'!$S$2:$S$495=14)*('CONTROL MASTER'!$T$2:$T$495&lt;=10)*('CONTROL MASTER'!$V$2:$V$495&gt;=10)*('CONTROL MASTER'!$U$2:$U$495&lt;=7)*('CONTROL MASTER'!$W$2:$W$495&gt;=7))*ROW('CONTROL MASTER'!$S$2:$S$495))-(ROW('CONTROL MASTER'!#REF!)-1))),IF(SUMPRODUCT((('CONTROL MASTER'!$S$2:$S$495=14)*('CONTROL MASTER'!$Z$2:$Z$495&lt;=10)*('CONTROL MASTER'!$AB$2:$AB$495&gt;=10)*('CONTROL MASTER'!$AA$2:$AA$495&lt;=7)*('CONTROL MASTER'!$AC$2:$AC$495&gt;=7))*ROW('CONTROL MASTER'!$S$2:$S$495))&gt;0,INDEX('CONTROL MASTER'!$X$2:$X$495,(SUMPRODUCT((('CONTROL MASTER'!$S$2:$S$495=14)*('CONTROL MASTER'!$Z$2:$Z$495&lt;=10)*('CONTROL MASTER'!$AB$2:$AB$495&gt;=10)*('CONTROL MASTER'!$AA$2:$AA$495&lt;=7)*('CONTROL MASTER'!$AC$2:$AC$495&gt;=7))*ROW('CONTROL MASTER'!$S$2:$S$495))-(ROW('CONTROL MASTER'!#REF!)-1)))&amp;TRIM(MID(SUBSTITUTE(SUBSTITUTE(INDEX('CONTROL MASTER'!$N$2:$N$495,(SUMPRODUCT((('CONTROL MASTER'!$S$2:$S$495=14)*('CONTROL MASTER'!$Z$2:$Z$495&lt;=10)*('CONTROL MASTER'!$AB$2:$AB$495&gt;=10)*('CONTROL MASTER'!$AA$2:$AA$495&lt;=7)*('CONTROL MASTER'!$AC$2:$AC$495&gt;=7))*ROW('CONTROL MASTER'!$S$2:$S$495))-(ROW('CONTROL MASTER'!#REF!)-1))),":",","),",",REPT(" ",50)),(((INDEX('CONTROL MASTER'!$Y$2:$Y$495,(SUMPRODUCT((('CONTROL MASTER'!$S$2:$S$495=14)*('CONTROL MASTER'!$Z$2:$Z$495&lt;=10)*('CONTROL MASTER'!$AB$2:$AB$495&gt;=10)*('CONTROL MASTER'!$AA$2:$AA$495&lt;=7)*('CONTROL MASTER'!$AC$2:$AC$495&gt;=7))*ROW('CONTROL MASTER'!$S$2:$S$495))-(ROW('CONTROL MASTER'!#REF!)-1)))+((10-INDEX('CONTROL MASTER'!$Z$2:$Z$495,(SUMPRODUCT((('CONTROL MASTER'!$S$2:$S$495=14)*('CONTROL MASTER'!$Z$2:$Z$495&lt;=10)*('CONTROL MASTER'!$AB$2:$AB$495&gt;=10)*('CONTROL MASTER'!$AA$2:$AA$495&lt;=7)*('CONTROL MASTER'!$AC$2:$AC$495&gt;=7))*ROW('CONTROL MASTER'!$S$2:$S$495))-(ROW('CONTROL MASTER'!#REF!)-1))))*(INDEX('CONTROL MASTER'!$AC$2:$AC$495,(SUMPRODUCT((('CONTROL MASTER'!$S$2:$S$495=14)*('CONTROL MASTER'!$Z$2:$Z$495&lt;=10)*('CONTROL MASTER'!$AB$2:$AB$495&gt;=10)*('CONTROL MASTER'!$AA$2:$AA$495&lt;=7)*('CONTROL MASTER'!$AC$2:$AC$495&gt;=7))*ROW('CONTROL MASTER'!$S$2:$S$495))-(ROW('CONTROL MASTER'!#REF!)-1)))-INDEX('CONTROL MASTER'!$AA$2:$AA$495,(SUMPRODUCT((('CONTROL MASTER'!$S$2:$S$495=14)*('CONTROL MASTER'!$Z$2:$Z$495&lt;=10)*('CONTROL MASTER'!$AB$2:$AB$495&gt;=10)*('CONTROL MASTER'!$AA$2:$AA$495&lt;=7)*('CONTROL MASTER'!$AC$2:$AC$495&gt;=7))*ROW('CONTROL MASTER'!$S$2:$S$495))-(ROW('CONTROL MASTER'!#REF!)-1)))+1)+(7-INDEX('CONTROL MASTER'!$AA$2:$AA$495,(SUMPRODUCT((('CONTROL MASTER'!$S$2:$S$495=14)*('CONTROL MASTER'!$Z$2:$Z$495&lt;=10)*('CONTROL MASTER'!$AB$2:$AB$495&gt;=10)*('CONTROL MASTER'!$AA$2:$AA$495&lt;=7)*('CONTROL MASTER'!$AC$2:$AC$495&gt;=7))*ROW('CONTROL MASTER'!$S$2:$S$495))-(ROW('CONTROL MASTER'!#REF!)-1))))+1)))-1)*50+1,50))&amp;"_"&amp;INDEX('CONTROL MASTER'!$P$2:$P$495,(SUMPRODUCT((('CONTROL MASTER'!$S$2:$S$495=14)*('CONTROL MASTER'!$Z$2:$Z$495&lt;=10)*('CONTROL MASTER'!$AB$2:$AB$495&gt;=10)*('CONTROL MASTER'!$AA$2:$AA$495&lt;=7)*('CONTROL MASTER'!$AC$2:$AC$495&gt;=7))*ROW('CONTROL MASTER'!$S$2:$S$495))-(ROW('CONTROL MASTER'!#REF!)-1))),"")),"")</f>
        <v/>
      </c>
      <c r="I194" s="10" t="str">
        <f>IFERROR(IF(SUMPRODUCT((('CONTROL MASTER'!$S$2:$S$495=14)*('CONTROL MASTER'!$T$2:$T$495&lt;=10)*('CONTROL MASTER'!$V$2:$V$495&gt;=10)*('CONTROL MASTER'!$U$2:$U$495&lt;=8)*('CONTROL MASTER'!$W$2:$W$495&gt;=8))*ROW('CONTROL MASTER'!$S$2:$S$495))&gt;0,INDEX('CONTROL MASTER'!$X$2:$X$495,(SUMPRODUCT((('CONTROL MASTER'!$S$2:$S$495=14)*('CONTROL MASTER'!$T$2:$T$495&lt;=10)*('CONTROL MASTER'!$V$2:$V$495&gt;=10)*('CONTROL MASTER'!$U$2:$U$495&lt;=8)*('CONTROL MASTER'!$W$2:$W$495&gt;=8))*ROW('CONTROL MASTER'!$S$2:$S$495))-(ROW('CONTROL MASTER'!#REF!)-1)))&amp;TRIM(MID(SUBSTITUTE(SUBSTITUTE(INDEX('CONTROL MASTER'!$N$2:$N$495,(SUMPRODUCT((('CONTROL MASTER'!$S$2:$S$495=14)*('CONTROL MASTER'!$T$2:$T$495&lt;=10)*('CONTROL MASTER'!$V$2:$V$495&gt;=10)*('CONTROL MASTER'!$U$2:$U$495&lt;=8)*('CONTROL MASTER'!$W$2:$W$495&gt;=8))*ROW('CONTROL MASTER'!$S$2:$S$495))-(ROW('CONTROL MASTER'!#REF!)-1))),":",","),",",REPT(" ",50)),((((10-INDEX('CONTROL MASTER'!$T$2:$T$495,(SUMPRODUCT((('CONTROL MASTER'!$S$2:$S$495=14)*('CONTROL MASTER'!$T$2:$T$495&lt;=10)*('CONTROL MASTER'!$V$2:$V$495&gt;=10)*('CONTROL MASTER'!$U$2:$U$495&lt;=8)*('CONTROL MASTER'!$W$2:$W$495&gt;=8))*ROW('CONTROL MASTER'!$S$2:$S$495))-(ROW('CONTROL MASTER'!#REF!)-1))))*(INDEX('CONTROL MASTER'!$W$2:$W$495,(SUMPRODUCT((('CONTROL MASTER'!$S$2:$S$495=14)*('CONTROL MASTER'!$T$2:$T$495&lt;=10)*('CONTROL MASTER'!$V$2:$V$495&gt;=10)*('CONTROL MASTER'!$U$2:$U$495&lt;=8)*('CONTROL MASTER'!$W$2:$W$495&gt;=8))*ROW('CONTROL MASTER'!$S$2:$S$495))-(ROW('CONTROL MASTER'!#REF!)-1)))-INDEX('CONTROL MASTER'!$U$2:$U$495,(SUMPRODUCT((('CONTROL MASTER'!$S$2:$S$495=14)*('CONTROL MASTER'!$T$2:$T$495&lt;=10)*('CONTROL MASTER'!$V$2:$V$495&gt;=10)*('CONTROL MASTER'!$U$2:$U$495&lt;=8)*('CONTROL MASTER'!$W$2:$W$495&gt;=8))*ROW('CONTROL MASTER'!$S$2:$S$495))-(ROW('CONTROL MASTER'!#REF!)-1)))+1)+(8-INDEX('CONTROL MASTER'!$U$2:$U$495,(SUMPRODUCT((('CONTROL MASTER'!$S$2:$S$495=14)*('CONTROL MASTER'!$T$2:$T$495&lt;=10)*('CONTROL MASTER'!$V$2:$V$495&gt;=10)*('CONTROL MASTER'!$U$2:$U$495&lt;=8)*('CONTROL MASTER'!$W$2:$W$495&gt;=8))*ROW('CONTROL MASTER'!$S$2:$S$495))-(ROW('CONTROL MASTER'!#REF!)-1))))+1))-1)*50+1,50))&amp;"_"&amp;INDEX('CONTROL MASTER'!$P$2:$P$495,(SUMPRODUCT((('CONTROL MASTER'!$S$2:$S$495=14)*('CONTROL MASTER'!$T$2:$T$495&lt;=10)*('CONTROL MASTER'!$V$2:$V$495&gt;=10)*('CONTROL MASTER'!$U$2:$U$495&lt;=8)*('CONTROL MASTER'!$W$2:$W$495&gt;=8))*ROW('CONTROL MASTER'!$S$2:$S$495))-(ROW('CONTROL MASTER'!#REF!)-1))),IF(SUMPRODUCT((('CONTROL MASTER'!$S$2:$S$495=14)*('CONTROL MASTER'!$Z$2:$Z$495&lt;=10)*('CONTROL MASTER'!$AB$2:$AB$495&gt;=10)*('CONTROL MASTER'!$AA$2:$AA$495&lt;=8)*('CONTROL MASTER'!$AC$2:$AC$495&gt;=8))*ROW('CONTROL MASTER'!$S$2:$S$495))&gt;0,INDEX('CONTROL MASTER'!$X$2:$X$495,(SUMPRODUCT((('CONTROL MASTER'!$S$2:$S$495=14)*('CONTROL MASTER'!$Z$2:$Z$495&lt;=10)*('CONTROL MASTER'!$AB$2:$AB$495&gt;=10)*('CONTROL MASTER'!$AA$2:$AA$495&lt;=8)*('CONTROL MASTER'!$AC$2:$AC$495&gt;=8))*ROW('CONTROL MASTER'!$S$2:$S$495))-(ROW('CONTROL MASTER'!#REF!)-1)))&amp;TRIM(MID(SUBSTITUTE(SUBSTITUTE(INDEX('CONTROL MASTER'!$N$2:$N$495,(SUMPRODUCT((('CONTROL MASTER'!$S$2:$S$495=14)*('CONTROL MASTER'!$Z$2:$Z$495&lt;=10)*('CONTROL MASTER'!$AB$2:$AB$495&gt;=10)*('CONTROL MASTER'!$AA$2:$AA$495&lt;=8)*('CONTROL MASTER'!$AC$2:$AC$495&gt;=8))*ROW('CONTROL MASTER'!$S$2:$S$495))-(ROW('CONTROL MASTER'!#REF!)-1))),":",","),",",REPT(" ",50)),(((INDEX('CONTROL MASTER'!$Y$2:$Y$495,(SUMPRODUCT((('CONTROL MASTER'!$S$2:$S$495=14)*('CONTROL MASTER'!$Z$2:$Z$495&lt;=10)*('CONTROL MASTER'!$AB$2:$AB$495&gt;=10)*('CONTROL MASTER'!$AA$2:$AA$495&lt;=8)*('CONTROL MASTER'!$AC$2:$AC$495&gt;=8))*ROW('CONTROL MASTER'!$S$2:$S$495))-(ROW('CONTROL MASTER'!#REF!)-1)))+((10-INDEX('CONTROL MASTER'!$Z$2:$Z$495,(SUMPRODUCT((('CONTROL MASTER'!$S$2:$S$495=14)*('CONTROL MASTER'!$Z$2:$Z$495&lt;=10)*('CONTROL MASTER'!$AB$2:$AB$495&gt;=10)*('CONTROL MASTER'!$AA$2:$AA$495&lt;=8)*('CONTROL MASTER'!$AC$2:$AC$495&gt;=8))*ROW('CONTROL MASTER'!$S$2:$S$495))-(ROW('CONTROL MASTER'!#REF!)-1))))*(INDEX('CONTROL MASTER'!$AC$2:$AC$495,(SUMPRODUCT((('CONTROL MASTER'!$S$2:$S$495=14)*('CONTROL MASTER'!$Z$2:$Z$495&lt;=10)*('CONTROL MASTER'!$AB$2:$AB$495&gt;=10)*('CONTROL MASTER'!$AA$2:$AA$495&lt;=8)*('CONTROL MASTER'!$AC$2:$AC$495&gt;=8))*ROW('CONTROL MASTER'!$S$2:$S$495))-(ROW('CONTROL MASTER'!#REF!)-1)))-INDEX('CONTROL MASTER'!$AA$2:$AA$495,(SUMPRODUCT((('CONTROL MASTER'!$S$2:$S$495=14)*('CONTROL MASTER'!$Z$2:$Z$495&lt;=10)*('CONTROL MASTER'!$AB$2:$AB$495&gt;=10)*('CONTROL MASTER'!$AA$2:$AA$495&lt;=8)*('CONTROL MASTER'!$AC$2:$AC$495&gt;=8))*ROW('CONTROL MASTER'!$S$2:$S$495))-(ROW('CONTROL MASTER'!#REF!)-1)))+1)+(8-INDEX('CONTROL MASTER'!$AA$2:$AA$495,(SUMPRODUCT((('CONTROL MASTER'!$S$2:$S$495=14)*('CONTROL MASTER'!$Z$2:$Z$495&lt;=10)*('CONTROL MASTER'!$AB$2:$AB$495&gt;=10)*('CONTROL MASTER'!$AA$2:$AA$495&lt;=8)*('CONTROL MASTER'!$AC$2:$AC$495&gt;=8))*ROW('CONTROL MASTER'!$S$2:$S$495))-(ROW('CONTROL MASTER'!#REF!)-1))))+1)))-1)*50+1,50))&amp;"_"&amp;INDEX('CONTROL MASTER'!$P$2:$P$495,(SUMPRODUCT((('CONTROL MASTER'!$S$2:$S$495=14)*('CONTROL MASTER'!$Z$2:$Z$495&lt;=10)*('CONTROL MASTER'!$AB$2:$AB$495&gt;=10)*('CONTROL MASTER'!$AA$2:$AA$495&lt;=8)*('CONTROL MASTER'!$AC$2:$AC$495&gt;=8))*ROW('CONTROL MASTER'!$S$2:$S$495))-(ROW('CONTROL MASTER'!#REF!)-1))),"")),"")</f>
        <v/>
      </c>
      <c r="J194" s="10" t="str">
        <f>IFERROR(IF(SUMPRODUCT((('CONTROL MASTER'!$S$2:$S$495=14)*('CONTROL MASTER'!$T$2:$T$495&lt;=10)*('CONTROL MASTER'!$V$2:$V$495&gt;=10)*('CONTROL MASTER'!$U$2:$U$495&lt;=9)*('CONTROL MASTER'!$W$2:$W$495&gt;=9))*ROW('CONTROL MASTER'!$S$2:$S$495))&gt;0,INDEX('CONTROL MASTER'!$X$2:$X$495,(SUMPRODUCT((('CONTROL MASTER'!$S$2:$S$495=14)*('CONTROL MASTER'!$T$2:$T$495&lt;=10)*('CONTROL MASTER'!$V$2:$V$495&gt;=10)*('CONTROL MASTER'!$U$2:$U$495&lt;=9)*('CONTROL MASTER'!$W$2:$W$495&gt;=9))*ROW('CONTROL MASTER'!$S$2:$S$495))-(ROW('CONTROL MASTER'!#REF!)-1)))&amp;TRIM(MID(SUBSTITUTE(SUBSTITUTE(INDEX('CONTROL MASTER'!$N$2:$N$495,(SUMPRODUCT((('CONTROL MASTER'!$S$2:$S$495=14)*('CONTROL MASTER'!$T$2:$T$495&lt;=10)*('CONTROL MASTER'!$V$2:$V$495&gt;=10)*('CONTROL MASTER'!$U$2:$U$495&lt;=9)*('CONTROL MASTER'!$W$2:$W$495&gt;=9))*ROW('CONTROL MASTER'!$S$2:$S$495))-(ROW('CONTROL MASTER'!#REF!)-1))),":",","),",",REPT(" ",50)),((((10-INDEX('CONTROL MASTER'!$T$2:$T$495,(SUMPRODUCT((('CONTROL MASTER'!$S$2:$S$495=14)*('CONTROL MASTER'!$T$2:$T$495&lt;=10)*('CONTROL MASTER'!$V$2:$V$495&gt;=10)*('CONTROL MASTER'!$U$2:$U$495&lt;=9)*('CONTROL MASTER'!$W$2:$W$495&gt;=9))*ROW('CONTROL MASTER'!$S$2:$S$495))-(ROW('CONTROL MASTER'!#REF!)-1))))*(INDEX('CONTROL MASTER'!$W$2:$W$495,(SUMPRODUCT((('CONTROL MASTER'!$S$2:$S$495=14)*('CONTROL MASTER'!$T$2:$T$495&lt;=10)*('CONTROL MASTER'!$V$2:$V$495&gt;=10)*('CONTROL MASTER'!$U$2:$U$495&lt;=9)*('CONTROL MASTER'!$W$2:$W$495&gt;=9))*ROW('CONTROL MASTER'!$S$2:$S$495))-(ROW('CONTROL MASTER'!#REF!)-1)))-INDEX('CONTROL MASTER'!$U$2:$U$495,(SUMPRODUCT((('CONTROL MASTER'!$S$2:$S$495=14)*('CONTROL MASTER'!$T$2:$T$495&lt;=10)*('CONTROL MASTER'!$V$2:$V$495&gt;=10)*('CONTROL MASTER'!$U$2:$U$495&lt;=9)*('CONTROL MASTER'!$W$2:$W$495&gt;=9))*ROW('CONTROL MASTER'!$S$2:$S$495))-(ROW('CONTROL MASTER'!#REF!)-1)))+1)+(9-INDEX('CONTROL MASTER'!$U$2:$U$495,(SUMPRODUCT((('CONTROL MASTER'!$S$2:$S$495=14)*('CONTROL MASTER'!$T$2:$T$495&lt;=10)*('CONTROL MASTER'!$V$2:$V$495&gt;=10)*('CONTROL MASTER'!$U$2:$U$495&lt;=9)*('CONTROL MASTER'!$W$2:$W$495&gt;=9))*ROW('CONTROL MASTER'!$S$2:$S$495))-(ROW('CONTROL MASTER'!#REF!)-1))))+1))-1)*50+1,50))&amp;"_"&amp;INDEX('CONTROL MASTER'!$P$2:$P$495,(SUMPRODUCT((('CONTROL MASTER'!$S$2:$S$495=14)*('CONTROL MASTER'!$T$2:$T$495&lt;=10)*('CONTROL MASTER'!$V$2:$V$495&gt;=10)*('CONTROL MASTER'!$U$2:$U$495&lt;=9)*('CONTROL MASTER'!$W$2:$W$495&gt;=9))*ROW('CONTROL MASTER'!$S$2:$S$495))-(ROW('CONTROL MASTER'!#REF!)-1))),IF(SUMPRODUCT((('CONTROL MASTER'!$S$2:$S$495=14)*('CONTROL MASTER'!$Z$2:$Z$495&lt;=10)*('CONTROL MASTER'!$AB$2:$AB$495&gt;=10)*('CONTROL MASTER'!$AA$2:$AA$495&lt;=9)*('CONTROL MASTER'!$AC$2:$AC$495&gt;=9))*ROW('CONTROL MASTER'!$S$2:$S$495))&gt;0,INDEX('CONTROL MASTER'!$X$2:$X$495,(SUMPRODUCT((('CONTROL MASTER'!$S$2:$S$495=14)*('CONTROL MASTER'!$Z$2:$Z$495&lt;=10)*('CONTROL MASTER'!$AB$2:$AB$495&gt;=10)*('CONTROL MASTER'!$AA$2:$AA$495&lt;=9)*('CONTROL MASTER'!$AC$2:$AC$495&gt;=9))*ROW('CONTROL MASTER'!$S$2:$S$495))-(ROW('CONTROL MASTER'!#REF!)-1)))&amp;TRIM(MID(SUBSTITUTE(SUBSTITUTE(INDEX('CONTROL MASTER'!$N$2:$N$495,(SUMPRODUCT((('CONTROL MASTER'!$S$2:$S$495=14)*('CONTROL MASTER'!$Z$2:$Z$495&lt;=10)*('CONTROL MASTER'!$AB$2:$AB$495&gt;=10)*('CONTROL MASTER'!$AA$2:$AA$495&lt;=9)*('CONTROL MASTER'!$AC$2:$AC$495&gt;=9))*ROW('CONTROL MASTER'!$S$2:$S$495))-(ROW('CONTROL MASTER'!#REF!)-1))),":",","),",",REPT(" ",50)),(((INDEX('CONTROL MASTER'!$Y$2:$Y$495,(SUMPRODUCT((('CONTROL MASTER'!$S$2:$S$495=14)*('CONTROL MASTER'!$Z$2:$Z$495&lt;=10)*('CONTROL MASTER'!$AB$2:$AB$495&gt;=10)*('CONTROL MASTER'!$AA$2:$AA$495&lt;=9)*('CONTROL MASTER'!$AC$2:$AC$495&gt;=9))*ROW('CONTROL MASTER'!$S$2:$S$495))-(ROW('CONTROL MASTER'!#REF!)-1)))+((10-INDEX('CONTROL MASTER'!$Z$2:$Z$495,(SUMPRODUCT((('CONTROL MASTER'!$S$2:$S$495=14)*('CONTROL MASTER'!$Z$2:$Z$495&lt;=10)*('CONTROL MASTER'!$AB$2:$AB$495&gt;=10)*('CONTROL MASTER'!$AA$2:$AA$495&lt;=9)*('CONTROL MASTER'!$AC$2:$AC$495&gt;=9))*ROW('CONTROL MASTER'!$S$2:$S$495))-(ROW('CONTROL MASTER'!#REF!)-1))))*(INDEX('CONTROL MASTER'!$AC$2:$AC$495,(SUMPRODUCT((('CONTROL MASTER'!$S$2:$S$495=14)*('CONTROL MASTER'!$Z$2:$Z$495&lt;=10)*('CONTROL MASTER'!$AB$2:$AB$495&gt;=10)*('CONTROL MASTER'!$AA$2:$AA$495&lt;=9)*('CONTROL MASTER'!$AC$2:$AC$495&gt;=9))*ROW('CONTROL MASTER'!$S$2:$S$495))-(ROW('CONTROL MASTER'!#REF!)-1)))-INDEX('CONTROL MASTER'!$AA$2:$AA$495,(SUMPRODUCT((('CONTROL MASTER'!$S$2:$S$495=14)*('CONTROL MASTER'!$Z$2:$Z$495&lt;=10)*('CONTROL MASTER'!$AB$2:$AB$495&gt;=10)*('CONTROL MASTER'!$AA$2:$AA$495&lt;=9)*('CONTROL MASTER'!$AC$2:$AC$495&gt;=9))*ROW('CONTROL MASTER'!$S$2:$S$495))-(ROW('CONTROL MASTER'!#REF!)-1)))+1)+(9-INDEX('CONTROL MASTER'!$AA$2:$AA$495,(SUMPRODUCT((('CONTROL MASTER'!$S$2:$S$495=14)*('CONTROL MASTER'!$Z$2:$Z$495&lt;=10)*('CONTROL MASTER'!$AB$2:$AB$495&gt;=10)*('CONTROL MASTER'!$AA$2:$AA$495&lt;=9)*('CONTROL MASTER'!$AC$2:$AC$495&gt;=9))*ROW('CONTROL MASTER'!$S$2:$S$495))-(ROW('CONTROL MASTER'!#REF!)-1))))+1)))-1)*50+1,50))&amp;"_"&amp;INDEX('CONTROL MASTER'!$P$2:$P$495,(SUMPRODUCT((('CONTROL MASTER'!$S$2:$S$495=14)*('CONTROL MASTER'!$Z$2:$Z$495&lt;=10)*('CONTROL MASTER'!$AB$2:$AB$495&gt;=10)*('CONTROL MASTER'!$AA$2:$AA$495&lt;=9)*('CONTROL MASTER'!$AC$2:$AC$495&gt;=9))*ROW('CONTROL MASTER'!$S$2:$S$495))-(ROW('CONTROL MASTER'!#REF!)-1))),"")),"")</f>
        <v/>
      </c>
      <c r="K194" s="10" t="str">
        <f>IFERROR(IF(SUMPRODUCT((('CONTROL MASTER'!$S$2:$S$495=14)*('CONTROL MASTER'!$T$2:$T$495&lt;=10)*('CONTROL MASTER'!$V$2:$V$495&gt;=10)*('CONTROL MASTER'!$U$2:$U$495&lt;=10)*('CONTROL MASTER'!$W$2:$W$495&gt;=10))*ROW('CONTROL MASTER'!$S$2:$S$495))&gt;0,INDEX('CONTROL MASTER'!$X$2:$X$495,(SUMPRODUCT((('CONTROL MASTER'!$S$2:$S$495=14)*('CONTROL MASTER'!$T$2:$T$495&lt;=10)*('CONTROL MASTER'!$V$2:$V$495&gt;=10)*('CONTROL MASTER'!$U$2:$U$495&lt;=10)*('CONTROL MASTER'!$W$2:$W$495&gt;=10))*ROW('CONTROL MASTER'!$S$2:$S$495))-(ROW('CONTROL MASTER'!#REF!)-1)))&amp;TRIM(MID(SUBSTITUTE(SUBSTITUTE(INDEX('CONTROL MASTER'!$N$2:$N$495,(SUMPRODUCT((('CONTROL MASTER'!$S$2:$S$495=14)*('CONTROL MASTER'!$T$2:$T$495&lt;=10)*('CONTROL MASTER'!$V$2:$V$495&gt;=10)*('CONTROL MASTER'!$U$2:$U$495&lt;=10)*('CONTROL MASTER'!$W$2:$W$495&gt;=10))*ROW('CONTROL MASTER'!$S$2:$S$495))-(ROW('CONTROL MASTER'!#REF!)-1))),":",","),",",REPT(" ",50)),((((10-INDEX('CONTROL MASTER'!$T$2:$T$495,(SUMPRODUCT((('CONTROL MASTER'!$S$2:$S$495=14)*('CONTROL MASTER'!$T$2:$T$495&lt;=10)*('CONTROL MASTER'!$V$2:$V$495&gt;=10)*('CONTROL MASTER'!$U$2:$U$495&lt;=10)*('CONTROL MASTER'!$W$2:$W$495&gt;=10))*ROW('CONTROL MASTER'!$S$2:$S$495))-(ROW('CONTROL MASTER'!#REF!)-1))))*(INDEX('CONTROL MASTER'!$W$2:$W$495,(SUMPRODUCT((('CONTROL MASTER'!$S$2:$S$495=14)*('CONTROL MASTER'!$T$2:$T$495&lt;=10)*('CONTROL MASTER'!$V$2:$V$495&gt;=10)*('CONTROL MASTER'!$U$2:$U$495&lt;=10)*('CONTROL MASTER'!$W$2:$W$495&gt;=10))*ROW('CONTROL MASTER'!$S$2:$S$495))-(ROW('CONTROL MASTER'!#REF!)-1)))-INDEX('CONTROL MASTER'!$U$2:$U$495,(SUMPRODUCT((('CONTROL MASTER'!$S$2:$S$495=14)*('CONTROL MASTER'!$T$2:$T$495&lt;=10)*('CONTROL MASTER'!$V$2:$V$495&gt;=10)*('CONTROL MASTER'!$U$2:$U$495&lt;=10)*('CONTROL MASTER'!$W$2:$W$495&gt;=10))*ROW('CONTROL MASTER'!$S$2:$S$495))-(ROW('CONTROL MASTER'!#REF!)-1)))+1)+(10-INDEX('CONTROL MASTER'!$U$2:$U$495,(SUMPRODUCT((('CONTROL MASTER'!$S$2:$S$495=14)*('CONTROL MASTER'!$T$2:$T$495&lt;=10)*('CONTROL MASTER'!$V$2:$V$495&gt;=10)*('CONTROL MASTER'!$U$2:$U$495&lt;=10)*('CONTROL MASTER'!$W$2:$W$495&gt;=10))*ROW('CONTROL MASTER'!$S$2:$S$495))-(ROW('CONTROL MASTER'!#REF!)-1))))+1))-1)*50+1,50))&amp;"_"&amp;INDEX('CONTROL MASTER'!$P$2:$P$495,(SUMPRODUCT((('CONTROL MASTER'!$S$2:$S$495=14)*('CONTROL MASTER'!$T$2:$T$495&lt;=10)*('CONTROL MASTER'!$V$2:$V$495&gt;=10)*('CONTROL MASTER'!$U$2:$U$495&lt;=10)*('CONTROL MASTER'!$W$2:$W$495&gt;=10))*ROW('CONTROL MASTER'!$S$2:$S$495))-(ROW('CONTROL MASTER'!#REF!)-1))),IF(SUMPRODUCT((('CONTROL MASTER'!$S$2:$S$495=14)*('CONTROL MASTER'!$Z$2:$Z$495&lt;=10)*('CONTROL MASTER'!$AB$2:$AB$495&gt;=10)*('CONTROL MASTER'!$AA$2:$AA$495&lt;=10)*('CONTROL MASTER'!$AC$2:$AC$495&gt;=10))*ROW('CONTROL MASTER'!$S$2:$S$495))&gt;0,INDEX('CONTROL MASTER'!$X$2:$X$495,(SUMPRODUCT((('CONTROL MASTER'!$S$2:$S$495=14)*('CONTROL MASTER'!$Z$2:$Z$495&lt;=10)*('CONTROL MASTER'!$AB$2:$AB$495&gt;=10)*('CONTROL MASTER'!$AA$2:$AA$495&lt;=10)*('CONTROL MASTER'!$AC$2:$AC$495&gt;=10))*ROW('CONTROL MASTER'!$S$2:$S$495))-(ROW('CONTROL MASTER'!#REF!)-1)))&amp;TRIM(MID(SUBSTITUTE(SUBSTITUTE(INDEX('CONTROL MASTER'!$N$2:$N$495,(SUMPRODUCT((('CONTROL MASTER'!$S$2:$S$495=14)*('CONTROL MASTER'!$Z$2:$Z$495&lt;=10)*('CONTROL MASTER'!$AB$2:$AB$495&gt;=10)*('CONTROL MASTER'!$AA$2:$AA$495&lt;=10)*('CONTROL MASTER'!$AC$2:$AC$495&gt;=10))*ROW('CONTROL MASTER'!$S$2:$S$495))-(ROW('CONTROL MASTER'!#REF!)-1))),":",","),",",REPT(" ",50)),(((INDEX('CONTROL MASTER'!$Y$2:$Y$495,(SUMPRODUCT((('CONTROL MASTER'!$S$2:$S$495=14)*('CONTROL MASTER'!$Z$2:$Z$495&lt;=10)*('CONTROL MASTER'!$AB$2:$AB$495&gt;=10)*('CONTROL MASTER'!$AA$2:$AA$495&lt;=10)*('CONTROL MASTER'!$AC$2:$AC$495&gt;=10))*ROW('CONTROL MASTER'!$S$2:$S$495))-(ROW('CONTROL MASTER'!#REF!)-1)))+((10-INDEX('CONTROL MASTER'!$Z$2:$Z$495,(SUMPRODUCT((('CONTROL MASTER'!$S$2:$S$495=14)*('CONTROL MASTER'!$Z$2:$Z$495&lt;=10)*('CONTROL MASTER'!$AB$2:$AB$495&gt;=10)*('CONTROL MASTER'!$AA$2:$AA$495&lt;=10)*('CONTROL MASTER'!$AC$2:$AC$495&gt;=10))*ROW('CONTROL MASTER'!$S$2:$S$495))-(ROW('CONTROL MASTER'!#REF!)-1))))*(INDEX('CONTROL MASTER'!$AC$2:$AC$495,(SUMPRODUCT((('CONTROL MASTER'!$S$2:$S$495=14)*('CONTROL MASTER'!$Z$2:$Z$495&lt;=10)*('CONTROL MASTER'!$AB$2:$AB$495&gt;=10)*('CONTROL MASTER'!$AA$2:$AA$495&lt;=10)*('CONTROL MASTER'!$AC$2:$AC$495&gt;=10))*ROW('CONTROL MASTER'!$S$2:$S$495))-(ROW('CONTROL MASTER'!#REF!)-1)))-INDEX('CONTROL MASTER'!$AA$2:$AA$495,(SUMPRODUCT((('CONTROL MASTER'!$S$2:$S$495=14)*('CONTROL MASTER'!$Z$2:$Z$495&lt;=10)*('CONTROL MASTER'!$AB$2:$AB$495&gt;=10)*('CONTROL MASTER'!$AA$2:$AA$495&lt;=10)*('CONTROL MASTER'!$AC$2:$AC$495&gt;=10))*ROW('CONTROL MASTER'!$S$2:$S$495))-(ROW('CONTROL MASTER'!#REF!)-1)))+1)+(10-INDEX('CONTROL MASTER'!$AA$2:$AA$495,(SUMPRODUCT((('CONTROL MASTER'!$S$2:$S$495=14)*('CONTROL MASTER'!$Z$2:$Z$495&lt;=10)*('CONTROL MASTER'!$AB$2:$AB$495&gt;=10)*('CONTROL MASTER'!$AA$2:$AA$495&lt;=10)*('CONTROL MASTER'!$AC$2:$AC$495&gt;=10))*ROW('CONTROL MASTER'!$S$2:$S$495))-(ROW('CONTROL MASTER'!#REF!)-1))))+1)))-1)*50+1,50))&amp;"_"&amp;INDEX('CONTROL MASTER'!$P$2:$P$495,(SUMPRODUCT((('CONTROL MASTER'!$S$2:$S$495=14)*('CONTROL MASTER'!$Z$2:$Z$495&lt;=10)*('CONTROL MASTER'!$AB$2:$AB$495&gt;=10)*('CONTROL MASTER'!$AA$2:$AA$495&lt;=10)*('CONTROL MASTER'!$AC$2:$AC$495&gt;=10))*ROW('CONTROL MASTER'!$S$2:$S$495))-(ROW('CONTROL MASTER'!#REF!)-1))),"")),"")</f>
        <v/>
      </c>
    </row>
    <row r="197" spans="1:11" ht="15" customHeight="1" x14ac:dyDescent="0.35">
      <c r="A197" s="12" t="s">
        <v>171</v>
      </c>
      <c r="B197" s="13"/>
      <c r="C197" s="13"/>
      <c r="D197" s="13"/>
      <c r="E197" s="13"/>
      <c r="F197" s="13"/>
      <c r="G197" s="13"/>
      <c r="H197" s="13"/>
      <c r="I197" s="13"/>
      <c r="J197" s="13"/>
      <c r="K197" s="13"/>
    </row>
    <row r="198" spans="1:11" ht="15" customHeight="1" x14ac:dyDescent="0.35">
      <c r="B198" s="8">
        <v>1</v>
      </c>
      <c r="C198" s="8">
        <v>2</v>
      </c>
      <c r="D198" s="8">
        <v>3</v>
      </c>
      <c r="E198" s="8">
        <v>4</v>
      </c>
      <c r="F198" s="8">
        <v>5</v>
      </c>
      <c r="G198" s="8">
        <v>6</v>
      </c>
      <c r="H198" s="8">
        <v>7</v>
      </c>
      <c r="I198" s="8">
        <v>8</v>
      </c>
      <c r="J198" s="8">
        <v>9</v>
      </c>
      <c r="K198" s="8">
        <v>10</v>
      </c>
    </row>
    <row r="199" spans="1:11" ht="15" customHeight="1" x14ac:dyDescent="0.35">
      <c r="A199" s="8" t="s">
        <v>28</v>
      </c>
      <c r="B199" s="10" t="str">
        <f>IFERROR(IF(SUMPRODUCT((('CONTROL MASTER'!$S$2:$S$495=15)*('CONTROL MASTER'!$T$2:$T$495&lt;=1)*('CONTROL MASTER'!$V$2:$V$495&gt;=1)*('CONTROL MASTER'!$U$2:$U$495&lt;=1)*('CONTROL MASTER'!$W$2:$W$495&gt;=1))*ROW('CONTROL MASTER'!$S$2:$S$495))&gt;0,INDEX('CONTROL MASTER'!$X$2:$X$495,(SUMPRODUCT((('CONTROL MASTER'!$S$2:$S$495=15)*('CONTROL MASTER'!$T$2:$T$495&lt;=1)*('CONTROL MASTER'!$V$2:$V$495&gt;=1)*('CONTROL MASTER'!$U$2:$U$495&lt;=1)*('CONTROL MASTER'!$W$2:$W$495&gt;=1))*ROW('CONTROL MASTER'!$S$2:$S$495))-(ROW('CONTROL MASTER'!#REF!)-1)))&amp;TRIM(MID(SUBSTITUTE(SUBSTITUTE(INDEX('CONTROL MASTER'!$N$2:$N$495,(SUMPRODUCT((('CONTROL MASTER'!$S$2:$S$495=15)*('CONTROL MASTER'!$T$2:$T$495&lt;=1)*('CONTROL MASTER'!$V$2:$V$495&gt;=1)*('CONTROL MASTER'!$U$2:$U$495&lt;=1)*('CONTROL MASTER'!$W$2:$W$495&gt;=1))*ROW('CONTROL MASTER'!$S$2:$S$495))-(ROW('CONTROL MASTER'!#REF!)-1))),":",","),",",REPT(" ",50)),((((1-INDEX('CONTROL MASTER'!$T$2:$T$495,(SUMPRODUCT((('CONTROL MASTER'!$S$2:$S$495=15)*('CONTROL MASTER'!$T$2:$T$495&lt;=1)*('CONTROL MASTER'!$V$2:$V$495&gt;=1)*('CONTROL MASTER'!$U$2:$U$495&lt;=1)*('CONTROL MASTER'!$W$2:$W$495&gt;=1))*ROW('CONTROL MASTER'!$S$2:$S$495))-(ROW('CONTROL MASTER'!#REF!)-1))))*(INDEX('CONTROL MASTER'!$W$2:$W$495,(SUMPRODUCT((('CONTROL MASTER'!$S$2:$S$495=15)*('CONTROL MASTER'!$T$2:$T$495&lt;=1)*('CONTROL MASTER'!$V$2:$V$495&gt;=1)*('CONTROL MASTER'!$U$2:$U$495&lt;=1)*('CONTROL MASTER'!$W$2:$W$495&gt;=1))*ROW('CONTROL MASTER'!$S$2:$S$495))-(ROW('CONTROL MASTER'!#REF!)-1)))-INDEX('CONTROL MASTER'!$U$2:$U$495,(SUMPRODUCT((('CONTROL MASTER'!$S$2:$S$495=15)*('CONTROL MASTER'!$T$2:$T$495&lt;=1)*('CONTROL MASTER'!$V$2:$V$495&gt;=1)*('CONTROL MASTER'!$U$2:$U$495&lt;=1)*('CONTROL MASTER'!$W$2:$W$495&gt;=1))*ROW('CONTROL MASTER'!$S$2:$S$495))-(ROW('CONTROL MASTER'!#REF!)-1)))+1)+(1-INDEX('CONTROL MASTER'!$U$2:$U$495,(SUMPRODUCT((('CONTROL MASTER'!$S$2:$S$495=15)*('CONTROL MASTER'!$T$2:$T$495&lt;=1)*('CONTROL MASTER'!$V$2:$V$495&gt;=1)*('CONTROL MASTER'!$U$2:$U$495&lt;=1)*('CONTROL MASTER'!$W$2:$W$495&gt;=1))*ROW('CONTROL MASTER'!$S$2:$S$495))-(ROW('CONTROL MASTER'!#REF!)-1))))+1))-1)*50+1,50))&amp;"_"&amp;INDEX('CONTROL MASTER'!$P$2:$P$495,(SUMPRODUCT((('CONTROL MASTER'!$S$2:$S$495=15)*('CONTROL MASTER'!$T$2:$T$495&lt;=1)*('CONTROL MASTER'!$V$2:$V$495&gt;=1)*('CONTROL MASTER'!$U$2:$U$495&lt;=1)*('CONTROL MASTER'!$W$2:$W$495&gt;=1))*ROW('CONTROL MASTER'!$S$2:$S$495))-(ROW('CONTROL MASTER'!#REF!)-1))),IF(SUMPRODUCT((('CONTROL MASTER'!$S$2:$S$495=15)*('CONTROL MASTER'!$Z$2:$Z$495&lt;=1)*('CONTROL MASTER'!$AB$2:$AB$495&gt;=1)*('CONTROL MASTER'!$AA$2:$AA$495&lt;=1)*('CONTROL MASTER'!$AC$2:$AC$495&gt;=1))*ROW('CONTROL MASTER'!$S$2:$S$495))&gt;0,INDEX('CONTROL MASTER'!$X$2:$X$495,(SUMPRODUCT((('CONTROL MASTER'!$S$2:$S$495=15)*('CONTROL MASTER'!$Z$2:$Z$495&lt;=1)*('CONTROL MASTER'!$AB$2:$AB$495&gt;=1)*('CONTROL MASTER'!$AA$2:$AA$495&lt;=1)*('CONTROL MASTER'!$AC$2:$AC$495&gt;=1))*ROW('CONTROL MASTER'!$S$2:$S$495))-(ROW('CONTROL MASTER'!#REF!)-1)))&amp;TRIM(MID(SUBSTITUTE(SUBSTITUTE(INDEX('CONTROL MASTER'!$N$2:$N$495,(SUMPRODUCT((('CONTROL MASTER'!$S$2:$S$495=15)*('CONTROL MASTER'!$Z$2:$Z$495&lt;=1)*('CONTROL MASTER'!$AB$2:$AB$495&gt;=1)*('CONTROL MASTER'!$AA$2:$AA$495&lt;=1)*('CONTROL MASTER'!$AC$2:$AC$495&gt;=1))*ROW('CONTROL MASTER'!$S$2:$S$495))-(ROW('CONTROL MASTER'!#REF!)-1))),":",","),",",REPT(" ",50)),(((INDEX('CONTROL MASTER'!$Y$2:$Y$495,(SUMPRODUCT((('CONTROL MASTER'!$S$2:$S$495=15)*('CONTROL MASTER'!$Z$2:$Z$495&lt;=1)*('CONTROL MASTER'!$AB$2:$AB$495&gt;=1)*('CONTROL MASTER'!$AA$2:$AA$495&lt;=1)*('CONTROL MASTER'!$AC$2:$AC$495&gt;=1))*ROW('CONTROL MASTER'!$S$2:$S$495))-(ROW('CONTROL MASTER'!#REF!)-1)))+((1-INDEX('CONTROL MASTER'!$Z$2:$Z$495,(SUMPRODUCT((('CONTROL MASTER'!$S$2:$S$495=15)*('CONTROL MASTER'!$Z$2:$Z$495&lt;=1)*('CONTROL MASTER'!$AB$2:$AB$495&gt;=1)*('CONTROL MASTER'!$AA$2:$AA$495&lt;=1)*('CONTROL MASTER'!$AC$2:$AC$495&gt;=1))*ROW('CONTROL MASTER'!$S$2:$S$495))-(ROW('CONTROL MASTER'!#REF!)-1))))*(INDEX('CONTROL MASTER'!$AC$2:$AC$495,(SUMPRODUCT((('CONTROL MASTER'!$S$2:$S$495=15)*('CONTROL MASTER'!$Z$2:$Z$495&lt;=1)*('CONTROL MASTER'!$AB$2:$AB$495&gt;=1)*('CONTROL MASTER'!$AA$2:$AA$495&lt;=1)*('CONTROL MASTER'!$AC$2:$AC$495&gt;=1))*ROW('CONTROL MASTER'!$S$2:$S$495))-(ROW('CONTROL MASTER'!#REF!)-1)))-INDEX('CONTROL MASTER'!$AA$2:$AA$495,(SUMPRODUCT((('CONTROL MASTER'!$S$2:$S$495=15)*('CONTROL MASTER'!$Z$2:$Z$495&lt;=1)*('CONTROL MASTER'!$AB$2:$AB$495&gt;=1)*('CONTROL MASTER'!$AA$2:$AA$495&lt;=1)*('CONTROL MASTER'!$AC$2:$AC$495&gt;=1))*ROW('CONTROL MASTER'!$S$2:$S$495))-(ROW('CONTROL MASTER'!#REF!)-1)))+1)+(1-INDEX('CONTROL MASTER'!$AA$2:$AA$495,(SUMPRODUCT((('CONTROL MASTER'!$S$2:$S$495=15)*('CONTROL MASTER'!$Z$2:$Z$495&lt;=1)*('CONTROL MASTER'!$AB$2:$AB$495&gt;=1)*('CONTROL MASTER'!$AA$2:$AA$495&lt;=1)*('CONTROL MASTER'!$AC$2:$AC$495&gt;=1))*ROW('CONTROL MASTER'!$S$2:$S$495))-(ROW('CONTROL MASTER'!#REF!)-1))))+1)))-1)*50+1,50))&amp;"_"&amp;INDEX('CONTROL MASTER'!$P$2:$P$495,(SUMPRODUCT((('CONTROL MASTER'!$S$2:$S$495=15)*('CONTROL MASTER'!$Z$2:$Z$495&lt;=1)*('CONTROL MASTER'!$AB$2:$AB$495&gt;=1)*('CONTROL MASTER'!$AA$2:$AA$495&lt;=1)*('CONTROL MASTER'!$AC$2:$AC$495&gt;=1))*ROW('CONTROL MASTER'!$S$2:$S$495))-(ROW('CONTROL MASTER'!#REF!)-1))),"")),"")</f>
        <v/>
      </c>
      <c r="C199" s="10" t="str">
        <f>IFERROR(IF(SUMPRODUCT((('CONTROL MASTER'!$S$2:$S$495=15)*('CONTROL MASTER'!$T$2:$T$495&lt;=1)*('CONTROL MASTER'!$V$2:$V$495&gt;=1)*('CONTROL MASTER'!$U$2:$U$495&lt;=2)*('CONTROL MASTER'!$W$2:$W$495&gt;=2))*ROW('CONTROL MASTER'!$S$2:$S$495))&gt;0,INDEX('CONTROL MASTER'!$X$2:$X$495,(SUMPRODUCT((('CONTROL MASTER'!$S$2:$S$495=15)*('CONTROL MASTER'!$T$2:$T$495&lt;=1)*('CONTROL MASTER'!$V$2:$V$495&gt;=1)*('CONTROL MASTER'!$U$2:$U$495&lt;=2)*('CONTROL MASTER'!$W$2:$W$495&gt;=2))*ROW('CONTROL MASTER'!$S$2:$S$495))-(ROW('CONTROL MASTER'!#REF!)-1)))&amp;TRIM(MID(SUBSTITUTE(SUBSTITUTE(INDEX('CONTROL MASTER'!$N$2:$N$495,(SUMPRODUCT((('CONTROL MASTER'!$S$2:$S$495=15)*('CONTROL MASTER'!$T$2:$T$495&lt;=1)*('CONTROL MASTER'!$V$2:$V$495&gt;=1)*('CONTROL MASTER'!$U$2:$U$495&lt;=2)*('CONTROL MASTER'!$W$2:$W$495&gt;=2))*ROW('CONTROL MASTER'!$S$2:$S$495))-(ROW('CONTROL MASTER'!#REF!)-1))),":",","),",",REPT(" ",50)),((((1-INDEX('CONTROL MASTER'!$T$2:$T$495,(SUMPRODUCT((('CONTROL MASTER'!$S$2:$S$495=15)*('CONTROL MASTER'!$T$2:$T$495&lt;=1)*('CONTROL MASTER'!$V$2:$V$495&gt;=1)*('CONTROL MASTER'!$U$2:$U$495&lt;=2)*('CONTROL MASTER'!$W$2:$W$495&gt;=2))*ROW('CONTROL MASTER'!$S$2:$S$495))-(ROW('CONTROL MASTER'!#REF!)-1))))*(INDEX('CONTROL MASTER'!$W$2:$W$495,(SUMPRODUCT((('CONTROL MASTER'!$S$2:$S$495=15)*('CONTROL MASTER'!$T$2:$T$495&lt;=1)*('CONTROL MASTER'!$V$2:$V$495&gt;=1)*('CONTROL MASTER'!$U$2:$U$495&lt;=2)*('CONTROL MASTER'!$W$2:$W$495&gt;=2))*ROW('CONTROL MASTER'!$S$2:$S$495))-(ROW('CONTROL MASTER'!#REF!)-1)))-INDEX('CONTROL MASTER'!$U$2:$U$495,(SUMPRODUCT((('CONTROL MASTER'!$S$2:$S$495=15)*('CONTROL MASTER'!$T$2:$T$495&lt;=1)*('CONTROL MASTER'!$V$2:$V$495&gt;=1)*('CONTROL MASTER'!$U$2:$U$495&lt;=2)*('CONTROL MASTER'!$W$2:$W$495&gt;=2))*ROW('CONTROL MASTER'!$S$2:$S$495))-(ROW('CONTROL MASTER'!#REF!)-1)))+1)+(2-INDEX('CONTROL MASTER'!$U$2:$U$495,(SUMPRODUCT((('CONTROL MASTER'!$S$2:$S$495=15)*('CONTROL MASTER'!$T$2:$T$495&lt;=1)*('CONTROL MASTER'!$V$2:$V$495&gt;=1)*('CONTROL MASTER'!$U$2:$U$495&lt;=2)*('CONTROL MASTER'!$W$2:$W$495&gt;=2))*ROW('CONTROL MASTER'!$S$2:$S$495))-(ROW('CONTROL MASTER'!#REF!)-1))))+1))-1)*50+1,50))&amp;"_"&amp;INDEX('CONTROL MASTER'!$P$2:$P$495,(SUMPRODUCT((('CONTROL MASTER'!$S$2:$S$495=15)*('CONTROL MASTER'!$T$2:$T$495&lt;=1)*('CONTROL MASTER'!$V$2:$V$495&gt;=1)*('CONTROL MASTER'!$U$2:$U$495&lt;=2)*('CONTROL MASTER'!$W$2:$W$495&gt;=2))*ROW('CONTROL MASTER'!$S$2:$S$495))-(ROW('CONTROL MASTER'!#REF!)-1))),IF(SUMPRODUCT((('CONTROL MASTER'!$S$2:$S$495=15)*('CONTROL MASTER'!$Z$2:$Z$495&lt;=1)*('CONTROL MASTER'!$AB$2:$AB$495&gt;=1)*('CONTROL MASTER'!$AA$2:$AA$495&lt;=2)*('CONTROL MASTER'!$AC$2:$AC$495&gt;=2))*ROW('CONTROL MASTER'!$S$2:$S$495))&gt;0,INDEX('CONTROL MASTER'!$X$2:$X$495,(SUMPRODUCT((('CONTROL MASTER'!$S$2:$S$495=15)*('CONTROL MASTER'!$Z$2:$Z$495&lt;=1)*('CONTROL MASTER'!$AB$2:$AB$495&gt;=1)*('CONTROL MASTER'!$AA$2:$AA$495&lt;=2)*('CONTROL MASTER'!$AC$2:$AC$495&gt;=2))*ROW('CONTROL MASTER'!$S$2:$S$495))-(ROW('CONTROL MASTER'!#REF!)-1)))&amp;TRIM(MID(SUBSTITUTE(SUBSTITUTE(INDEX('CONTROL MASTER'!$N$2:$N$495,(SUMPRODUCT((('CONTROL MASTER'!$S$2:$S$495=15)*('CONTROL MASTER'!$Z$2:$Z$495&lt;=1)*('CONTROL MASTER'!$AB$2:$AB$495&gt;=1)*('CONTROL MASTER'!$AA$2:$AA$495&lt;=2)*('CONTROL MASTER'!$AC$2:$AC$495&gt;=2))*ROW('CONTROL MASTER'!$S$2:$S$495))-(ROW('CONTROL MASTER'!#REF!)-1))),":",","),",",REPT(" ",50)),(((INDEX('CONTROL MASTER'!$Y$2:$Y$495,(SUMPRODUCT((('CONTROL MASTER'!$S$2:$S$495=15)*('CONTROL MASTER'!$Z$2:$Z$495&lt;=1)*('CONTROL MASTER'!$AB$2:$AB$495&gt;=1)*('CONTROL MASTER'!$AA$2:$AA$495&lt;=2)*('CONTROL MASTER'!$AC$2:$AC$495&gt;=2))*ROW('CONTROL MASTER'!$S$2:$S$495))-(ROW('CONTROL MASTER'!#REF!)-1)))+((1-INDEX('CONTROL MASTER'!$Z$2:$Z$495,(SUMPRODUCT((('CONTROL MASTER'!$S$2:$S$495=15)*('CONTROL MASTER'!$Z$2:$Z$495&lt;=1)*('CONTROL MASTER'!$AB$2:$AB$495&gt;=1)*('CONTROL MASTER'!$AA$2:$AA$495&lt;=2)*('CONTROL MASTER'!$AC$2:$AC$495&gt;=2))*ROW('CONTROL MASTER'!$S$2:$S$495))-(ROW('CONTROL MASTER'!#REF!)-1))))*(INDEX('CONTROL MASTER'!$AC$2:$AC$495,(SUMPRODUCT((('CONTROL MASTER'!$S$2:$S$495=15)*('CONTROL MASTER'!$Z$2:$Z$495&lt;=1)*('CONTROL MASTER'!$AB$2:$AB$495&gt;=1)*('CONTROL MASTER'!$AA$2:$AA$495&lt;=2)*('CONTROL MASTER'!$AC$2:$AC$495&gt;=2))*ROW('CONTROL MASTER'!$S$2:$S$495))-(ROW('CONTROL MASTER'!#REF!)-1)))-INDEX('CONTROL MASTER'!$AA$2:$AA$495,(SUMPRODUCT((('CONTROL MASTER'!$S$2:$S$495=15)*('CONTROL MASTER'!$Z$2:$Z$495&lt;=1)*('CONTROL MASTER'!$AB$2:$AB$495&gt;=1)*('CONTROL MASTER'!$AA$2:$AA$495&lt;=2)*('CONTROL MASTER'!$AC$2:$AC$495&gt;=2))*ROW('CONTROL MASTER'!$S$2:$S$495))-(ROW('CONTROL MASTER'!#REF!)-1)))+1)+(2-INDEX('CONTROL MASTER'!$AA$2:$AA$495,(SUMPRODUCT((('CONTROL MASTER'!$S$2:$S$495=15)*('CONTROL MASTER'!$Z$2:$Z$495&lt;=1)*('CONTROL MASTER'!$AB$2:$AB$495&gt;=1)*('CONTROL MASTER'!$AA$2:$AA$495&lt;=2)*('CONTROL MASTER'!$AC$2:$AC$495&gt;=2))*ROW('CONTROL MASTER'!$S$2:$S$495))-(ROW('CONTROL MASTER'!#REF!)-1))))+1)))-1)*50+1,50))&amp;"_"&amp;INDEX('CONTROL MASTER'!$P$2:$P$495,(SUMPRODUCT((('CONTROL MASTER'!$S$2:$S$495=15)*('CONTROL MASTER'!$Z$2:$Z$495&lt;=1)*('CONTROL MASTER'!$AB$2:$AB$495&gt;=1)*('CONTROL MASTER'!$AA$2:$AA$495&lt;=2)*('CONTROL MASTER'!$AC$2:$AC$495&gt;=2))*ROW('CONTROL MASTER'!$S$2:$S$495))-(ROW('CONTROL MASTER'!#REF!)-1))),"")),"")</f>
        <v/>
      </c>
      <c r="D199" s="10" t="str">
        <f>IFERROR(IF(SUMPRODUCT((('CONTROL MASTER'!$S$2:$S$495=15)*('CONTROL MASTER'!$T$2:$T$495&lt;=1)*('CONTROL MASTER'!$V$2:$V$495&gt;=1)*('CONTROL MASTER'!$U$2:$U$495&lt;=3)*('CONTROL MASTER'!$W$2:$W$495&gt;=3))*ROW('CONTROL MASTER'!$S$2:$S$495))&gt;0,INDEX('CONTROL MASTER'!$X$2:$X$495,(SUMPRODUCT((('CONTROL MASTER'!$S$2:$S$495=15)*('CONTROL MASTER'!$T$2:$T$495&lt;=1)*('CONTROL MASTER'!$V$2:$V$495&gt;=1)*('CONTROL MASTER'!$U$2:$U$495&lt;=3)*('CONTROL MASTER'!$W$2:$W$495&gt;=3))*ROW('CONTROL MASTER'!$S$2:$S$495))-(ROW('CONTROL MASTER'!#REF!)-1)))&amp;TRIM(MID(SUBSTITUTE(SUBSTITUTE(INDEX('CONTROL MASTER'!$N$2:$N$495,(SUMPRODUCT((('CONTROL MASTER'!$S$2:$S$495=15)*('CONTROL MASTER'!$T$2:$T$495&lt;=1)*('CONTROL MASTER'!$V$2:$V$495&gt;=1)*('CONTROL MASTER'!$U$2:$U$495&lt;=3)*('CONTROL MASTER'!$W$2:$W$495&gt;=3))*ROW('CONTROL MASTER'!$S$2:$S$495))-(ROW('CONTROL MASTER'!#REF!)-1))),":",","),",",REPT(" ",50)),((((1-INDEX('CONTROL MASTER'!$T$2:$T$495,(SUMPRODUCT((('CONTROL MASTER'!$S$2:$S$495=15)*('CONTROL MASTER'!$T$2:$T$495&lt;=1)*('CONTROL MASTER'!$V$2:$V$495&gt;=1)*('CONTROL MASTER'!$U$2:$U$495&lt;=3)*('CONTROL MASTER'!$W$2:$W$495&gt;=3))*ROW('CONTROL MASTER'!$S$2:$S$495))-(ROW('CONTROL MASTER'!#REF!)-1))))*(INDEX('CONTROL MASTER'!$W$2:$W$495,(SUMPRODUCT((('CONTROL MASTER'!$S$2:$S$495=15)*('CONTROL MASTER'!$T$2:$T$495&lt;=1)*('CONTROL MASTER'!$V$2:$V$495&gt;=1)*('CONTROL MASTER'!$U$2:$U$495&lt;=3)*('CONTROL MASTER'!$W$2:$W$495&gt;=3))*ROW('CONTROL MASTER'!$S$2:$S$495))-(ROW('CONTROL MASTER'!#REF!)-1)))-INDEX('CONTROL MASTER'!$U$2:$U$495,(SUMPRODUCT((('CONTROL MASTER'!$S$2:$S$495=15)*('CONTROL MASTER'!$T$2:$T$495&lt;=1)*('CONTROL MASTER'!$V$2:$V$495&gt;=1)*('CONTROL MASTER'!$U$2:$U$495&lt;=3)*('CONTROL MASTER'!$W$2:$W$495&gt;=3))*ROW('CONTROL MASTER'!$S$2:$S$495))-(ROW('CONTROL MASTER'!#REF!)-1)))+1)+(3-INDEX('CONTROL MASTER'!$U$2:$U$495,(SUMPRODUCT((('CONTROL MASTER'!$S$2:$S$495=15)*('CONTROL MASTER'!$T$2:$T$495&lt;=1)*('CONTROL MASTER'!$V$2:$V$495&gt;=1)*('CONTROL MASTER'!$U$2:$U$495&lt;=3)*('CONTROL MASTER'!$W$2:$W$495&gt;=3))*ROW('CONTROL MASTER'!$S$2:$S$495))-(ROW('CONTROL MASTER'!#REF!)-1))))+1))-1)*50+1,50))&amp;"_"&amp;INDEX('CONTROL MASTER'!$P$2:$P$495,(SUMPRODUCT((('CONTROL MASTER'!$S$2:$S$495=15)*('CONTROL MASTER'!$T$2:$T$495&lt;=1)*('CONTROL MASTER'!$V$2:$V$495&gt;=1)*('CONTROL MASTER'!$U$2:$U$495&lt;=3)*('CONTROL MASTER'!$W$2:$W$495&gt;=3))*ROW('CONTROL MASTER'!$S$2:$S$495))-(ROW('CONTROL MASTER'!#REF!)-1))),IF(SUMPRODUCT((('CONTROL MASTER'!$S$2:$S$495=15)*('CONTROL MASTER'!$Z$2:$Z$495&lt;=1)*('CONTROL MASTER'!$AB$2:$AB$495&gt;=1)*('CONTROL MASTER'!$AA$2:$AA$495&lt;=3)*('CONTROL MASTER'!$AC$2:$AC$495&gt;=3))*ROW('CONTROL MASTER'!$S$2:$S$495))&gt;0,INDEX('CONTROL MASTER'!$X$2:$X$495,(SUMPRODUCT((('CONTROL MASTER'!$S$2:$S$495=15)*('CONTROL MASTER'!$Z$2:$Z$495&lt;=1)*('CONTROL MASTER'!$AB$2:$AB$495&gt;=1)*('CONTROL MASTER'!$AA$2:$AA$495&lt;=3)*('CONTROL MASTER'!$AC$2:$AC$495&gt;=3))*ROW('CONTROL MASTER'!$S$2:$S$495))-(ROW('CONTROL MASTER'!#REF!)-1)))&amp;TRIM(MID(SUBSTITUTE(SUBSTITUTE(INDEX('CONTROL MASTER'!$N$2:$N$495,(SUMPRODUCT((('CONTROL MASTER'!$S$2:$S$495=15)*('CONTROL MASTER'!$Z$2:$Z$495&lt;=1)*('CONTROL MASTER'!$AB$2:$AB$495&gt;=1)*('CONTROL MASTER'!$AA$2:$AA$495&lt;=3)*('CONTROL MASTER'!$AC$2:$AC$495&gt;=3))*ROW('CONTROL MASTER'!$S$2:$S$495))-(ROW('CONTROL MASTER'!#REF!)-1))),":",","),",",REPT(" ",50)),(((INDEX('CONTROL MASTER'!$Y$2:$Y$495,(SUMPRODUCT((('CONTROL MASTER'!$S$2:$S$495=15)*('CONTROL MASTER'!$Z$2:$Z$495&lt;=1)*('CONTROL MASTER'!$AB$2:$AB$495&gt;=1)*('CONTROL MASTER'!$AA$2:$AA$495&lt;=3)*('CONTROL MASTER'!$AC$2:$AC$495&gt;=3))*ROW('CONTROL MASTER'!$S$2:$S$495))-(ROW('CONTROL MASTER'!#REF!)-1)))+((1-INDEX('CONTROL MASTER'!$Z$2:$Z$495,(SUMPRODUCT((('CONTROL MASTER'!$S$2:$S$495=15)*('CONTROL MASTER'!$Z$2:$Z$495&lt;=1)*('CONTROL MASTER'!$AB$2:$AB$495&gt;=1)*('CONTROL MASTER'!$AA$2:$AA$495&lt;=3)*('CONTROL MASTER'!$AC$2:$AC$495&gt;=3))*ROW('CONTROL MASTER'!$S$2:$S$495))-(ROW('CONTROL MASTER'!#REF!)-1))))*(INDEX('CONTROL MASTER'!$AC$2:$AC$495,(SUMPRODUCT((('CONTROL MASTER'!$S$2:$S$495=15)*('CONTROL MASTER'!$Z$2:$Z$495&lt;=1)*('CONTROL MASTER'!$AB$2:$AB$495&gt;=1)*('CONTROL MASTER'!$AA$2:$AA$495&lt;=3)*('CONTROL MASTER'!$AC$2:$AC$495&gt;=3))*ROW('CONTROL MASTER'!$S$2:$S$495))-(ROW('CONTROL MASTER'!#REF!)-1)))-INDEX('CONTROL MASTER'!$AA$2:$AA$495,(SUMPRODUCT((('CONTROL MASTER'!$S$2:$S$495=15)*('CONTROL MASTER'!$Z$2:$Z$495&lt;=1)*('CONTROL MASTER'!$AB$2:$AB$495&gt;=1)*('CONTROL MASTER'!$AA$2:$AA$495&lt;=3)*('CONTROL MASTER'!$AC$2:$AC$495&gt;=3))*ROW('CONTROL MASTER'!$S$2:$S$495))-(ROW('CONTROL MASTER'!#REF!)-1)))+1)+(3-INDEX('CONTROL MASTER'!$AA$2:$AA$495,(SUMPRODUCT((('CONTROL MASTER'!$S$2:$S$495=15)*('CONTROL MASTER'!$Z$2:$Z$495&lt;=1)*('CONTROL MASTER'!$AB$2:$AB$495&gt;=1)*('CONTROL MASTER'!$AA$2:$AA$495&lt;=3)*('CONTROL MASTER'!$AC$2:$AC$495&gt;=3))*ROW('CONTROL MASTER'!$S$2:$S$495))-(ROW('CONTROL MASTER'!#REF!)-1))))+1)))-1)*50+1,50))&amp;"_"&amp;INDEX('CONTROL MASTER'!$P$2:$P$495,(SUMPRODUCT((('CONTROL MASTER'!$S$2:$S$495=15)*('CONTROL MASTER'!$Z$2:$Z$495&lt;=1)*('CONTROL MASTER'!$AB$2:$AB$495&gt;=1)*('CONTROL MASTER'!$AA$2:$AA$495&lt;=3)*('CONTROL MASTER'!$AC$2:$AC$495&gt;=3))*ROW('CONTROL MASTER'!$S$2:$S$495))-(ROW('CONTROL MASTER'!#REF!)-1))),"")),"")</f>
        <v/>
      </c>
      <c r="E199" s="10" t="str">
        <f>IFERROR(IF(SUMPRODUCT((('CONTROL MASTER'!$S$2:$S$495=15)*('CONTROL MASTER'!$T$2:$T$495&lt;=1)*('CONTROL MASTER'!$V$2:$V$495&gt;=1)*('CONTROL MASTER'!$U$2:$U$495&lt;=4)*('CONTROL MASTER'!$W$2:$W$495&gt;=4))*ROW('CONTROL MASTER'!$S$2:$S$495))&gt;0,INDEX('CONTROL MASTER'!$X$2:$X$495,(SUMPRODUCT((('CONTROL MASTER'!$S$2:$S$495=15)*('CONTROL MASTER'!$T$2:$T$495&lt;=1)*('CONTROL MASTER'!$V$2:$V$495&gt;=1)*('CONTROL MASTER'!$U$2:$U$495&lt;=4)*('CONTROL MASTER'!$W$2:$W$495&gt;=4))*ROW('CONTROL MASTER'!$S$2:$S$495))-(ROW('CONTROL MASTER'!#REF!)-1)))&amp;TRIM(MID(SUBSTITUTE(SUBSTITUTE(INDEX('CONTROL MASTER'!$N$2:$N$495,(SUMPRODUCT((('CONTROL MASTER'!$S$2:$S$495=15)*('CONTROL MASTER'!$T$2:$T$495&lt;=1)*('CONTROL MASTER'!$V$2:$V$495&gt;=1)*('CONTROL MASTER'!$U$2:$U$495&lt;=4)*('CONTROL MASTER'!$W$2:$W$495&gt;=4))*ROW('CONTROL MASTER'!$S$2:$S$495))-(ROW('CONTROL MASTER'!#REF!)-1))),":",","),",",REPT(" ",50)),((((1-INDEX('CONTROL MASTER'!$T$2:$T$495,(SUMPRODUCT((('CONTROL MASTER'!$S$2:$S$495=15)*('CONTROL MASTER'!$T$2:$T$495&lt;=1)*('CONTROL MASTER'!$V$2:$V$495&gt;=1)*('CONTROL MASTER'!$U$2:$U$495&lt;=4)*('CONTROL MASTER'!$W$2:$W$495&gt;=4))*ROW('CONTROL MASTER'!$S$2:$S$495))-(ROW('CONTROL MASTER'!#REF!)-1))))*(INDEX('CONTROL MASTER'!$W$2:$W$495,(SUMPRODUCT((('CONTROL MASTER'!$S$2:$S$495=15)*('CONTROL MASTER'!$T$2:$T$495&lt;=1)*('CONTROL MASTER'!$V$2:$V$495&gt;=1)*('CONTROL MASTER'!$U$2:$U$495&lt;=4)*('CONTROL MASTER'!$W$2:$W$495&gt;=4))*ROW('CONTROL MASTER'!$S$2:$S$495))-(ROW('CONTROL MASTER'!#REF!)-1)))-INDEX('CONTROL MASTER'!$U$2:$U$495,(SUMPRODUCT((('CONTROL MASTER'!$S$2:$S$495=15)*('CONTROL MASTER'!$T$2:$T$495&lt;=1)*('CONTROL MASTER'!$V$2:$V$495&gt;=1)*('CONTROL MASTER'!$U$2:$U$495&lt;=4)*('CONTROL MASTER'!$W$2:$W$495&gt;=4))*ROW('CONTROL MASTER'!$S$2:$S$495))-(ROW('CONTROL MASTER'!#REF!)-1)))+1)+(4-INDEX('CONTROL MASTER'!$U$2:$U$495,(SUMPRODUCT((('CONTROL MASTER'!$S$2:$S$495=15)*('CONTROL MASTER'!$T$2:$T$495&lt;=1)*('CONTROL MASTER'!$V$2:$V$495&gt;=1)*('CONTROL MASTER'!$U$2:$U$495&lt;=4)*('CONTROL MASTER'!$W$2:$W$495&gt;=4))*ROW('CONTROL MASTER'!$S$2:$S$495))-(ROW('CONTROL MASTER'!#REF!)-1))))+1))-1)*50+1,50))&amp;"_"&amp;INDEX('CONTROL MASTER'!$P$2:$P$495,(SUMPRODUCT((('CONTROL MASTER'!$S$2:$S$495=15)*('CONTROL MASTER'!$T$2:$T$495&lt;=1)*('CONTROL MASTER'!$V$2:$V$495&gt;=1)*('CONTROL MASTER'!$U$2:$U$495&lt;=4)*('CONTROL MASTER'!$W$2:$W$495&gt;=4))*ROW('CONTROL MASTER'!$S$2:$S$495))-(ROW('CONTROL MASTER'!#REF!)-1))),IF(SUMPRODUCT((('CONTROL MASTER'!$S$2:$S$495=15)*('CONTROL MASTER'!$Z$2:$Z$495&lt;=1)*('CONTROL MASTER'!$AB$2:$AB$495&gt;=1)*('CONTROL MASTER'!$AA$2:$AA$495&lt;=4)*('CONTROL MASTER'!$AC$2:$AC$495&gt;=4))*ROW('CONTROL MASTER'!$S$2:$S$495))&gt;0,INDEX('CONTROL MASTER'!$X$2:$X$495,(SUMPRODUCT((('CONTROL MASTER'!$S$2:$S$495=15)*('CONTROL MASTER'!$Z$2:$Z$495&lt;=1)*('CONTROL MASTER'!$AB$2:$AB$495&gt;=1)*('CONTROL MASTER'!$AA$2:$AA$495&lt;=4)*('CONTROL MASTER'!$AC$2:$AC$495&gt;=4))*ROW('CONTROL MASTER'!$S$2:$S$495))-(ROW('CONTROL MASTER'!#REF!)-1)))&amp;TRIM(MID(SUBSTITUTE(SUBSTITUTE(INDEX('CONTROL MASTER'!$N$2:$N$495,(SUMPRODUCT((('CONTROL MASTER'!$S$2:$S$495=15)*('CONTROL MASTER'!$Z$2:$Z$495&lt;=1)*('CONTROL MASTER'!$AB$2:$AB$495&gt;=1)*('CONTROL MASTER'!$AA$2:$AA$495&lt;=4)*('CONTROL MASTER'!$AC$2:$AC$495&gt;=4))*ROW('CONTROL MASTER'!$S$2:$S$495))-(ROW('CONTROL MASTER'!#REF!)-1))),":",","),",",REPT(" ",50)),(((INDEX('CONTROL MASTER'!$Y$2:$Y$495,(SUMPRODUCT((('CONTROL MASTER'!$S$2:$S$495=15)*('CONTROL MASTER'!$Z$2:$Z$495&lt;=1)*('CONTROL MASTER'!$AB$2:$AB$495&gt;=1)*('CONTROL MASTER'!$AA$2:$AA$495&lt;=4)*('CONTROL MASTER'!$AC$2:$AC$495&gt;=4))*ROW('CONTROL MASTER'!$S$2:$S$495))-(ROW('CONTROL MASTER'!#REF!)-1)))+((1-INDEX('CONTROL MASTER'!$Z$2:$Z$495,(SUMPRODUCT((('CONTROL MASTER'!$S$2:$S$495=15)*('CONTROL MASTER'!$Z$2:$Z$495&lt;=1)*('CONTROL MASTER'!$AB$2:$AB$495&gt;=1)*('CONTROL MASTER'!$AA$2:$AA$495&lt;=4)*('CONTROL MASTER'!$AC$2:$AC$495&gt;=4))*ROW('CONTROL MASTER'!$S$2:$S$495))-(ROW('CONTROL MASTER'!#REF!)-1))))*(INDEX('CONTROL MASTER'!$AC$2:$AC$495,(SUMPRODUCT((('CONTROL MASTER'!$S$2:$S$495=15)*('CONTROL MASTER'!$Z$2:$Z$495&lt;=1)*('CONTROL MASTER'!$AB$2:$AB$495&gt;=1)*('CONTROL MASTER'!$AA$2:$AA$495&lt;=4)*('CONTROL MASTER'!$AC$2:$AC$495&gt;=4))*ROW('CONTROL MASTER'!$S$2:$S$495))-(ROW('CONTROL MASTER'!#REF!)-1)))-INDEX('CONTROL MASTER'!$AA$2:$AA$495,(SUMPRODUCT((('CONTROL MASTER'!$S$2:$S$495=15)*('CONTROL MASTER'!$Z$2:$Z$495&lt;=1)*('CONTROL MASTER'!$AB$2:$AB$495&gt;=1)*('CONTROL MASTER'!$AA$2:$AA$495&lt;=4)*('CONTROL MASTER'!$AC$2:$AC$495&gt;=4))*ROW('CONTROL MASTER'!$S$2:$S$495))-(ROW('CONTROL MASTER'!#REF!)-1)))+1)+(4-INDEX('CONTROL MASTER'!$AA$2:$AA$495,(SUMPRODUCT((('CONTROL MASTER'!$S$2:$S$495=15)*('CONTROL MASTER'!$Z$2:$Z$495&lt;=1)*('CONTROL MASTER'!$AB$2:$AB$495&gt;=1)*('CONTROL MASTER'!$AA$2:$AA$495&lt;=4)*('CONTROL MASTER'!$AC$2:$AC$495&gt;=4))*ROW('CONTROL MASTER'!$S$2:$S$495))-(ROW('CONTROL MASTER'!#REF!)-1))))+1)))-1)*50+1,50))&amp;"_"&amp;INDEX('CONTROL MASTER'!$P$2:$P$495,(SUMPRODUCT((('CONTROL MASTER'!$S$2:$S$495=15)*('CONTROL MASTER'!$Z$2:$Z$495&lt;=1)*('CONTROL MASTER'!$AB$2:$AB$495&gt;=1)*('CONTROL MASTER'!$AA$2:$AA$495&lt;=4)*('CONTROL MASTER'!$AC$2:$AC$495&gt;=4))*ROW('CONTROL MASTER'!$S$2:$S$495))-(ROW('CONTROL MASTER'!#REF!)-1))),"")),"")</f>
        <v/>
      </c>
      <c r="F199" s="10" t="str">
        <f>IFERROR(IF(SUMPRODUCT((('CONTROL MASTER'!$S$2:$S$495=15)*('CONTROL MASTER'!$T$2:$T$495&lt;=1)*('CONTROL MASTER'!$V$2:$V$495&gt;=1)*('CONTROL MASTER'!$U$2:$U$495&lt;=5)*('CONTROL MASTER'!$W$2:$W$495&gt;=5))*ROW('CONTROL MASTER'!$S$2:$S$495))&gt;0,INDEX('CONTROL MASTER'!$X$2:$X$495,(SUMPRODUCT((('CONTROL MASTER'!$S$2:$S$495=15)*('CONTROL MASTER'!$T$2:$T$495&lt;=1)*('CONTROL MASTER'!$V$2:$V$495&gt;=1)*('CONTROL MASTER'!$U$2:$U$495&lt;=5)*('CONTROL MASTER'!$W$2:$W$495&gt;=5))*ROW('CONTROL MASTER'!$S$2:$S$495))-(ROW('CONTROL MASTER'!#REF!)-1)))&amp;TRIM(MID(SUBSTITUTE(SUBSTITUTE(INDEX('CONTROL MASTER'!$N$2:$N$495,(SUMPRODUCT((('CONTROL MASTER'!$S$2:$S$495=15)*('CONTROL MASTER'!$T$2:$T$495&lt;=1)*('CONTROL MASTER'!$V$2:$V$495&gt;=1)*('CONTROL MASTER'!$U$2:$U$495&lt;=5)*('CONTROL MASTER'!$W$2:$W$495&gt;=5))*ROW('CONTROL MASTER'!$S$2:$S$495))-(ROW('CONTROL MASTER'!#REF!)-1))),":",","),",",REPT(" ",50)),((((1-INDEX('CONTROL MASTER'!$T$2:$T$495,(SUMPRODUCT((('CONTROL MASTER'!$S$2:$S$495=15)*('CONTROL MASTER'!$T$2:$T$495&lt;=1)*('CONTROL MASTER'!$V$2:$V$495&gt;=1)*('CONTROL MASTER'!$U$2:$U$495&lt;=5)*('CONTROL MASTER'!$W$2:$W$495&gt;=5))*ROW('CONTROL MASTER'!$S$2:$S$495))-(ROW('CONTROL MASTER'!#REF!)-1))))*(INDEX('CONTROL MASTER'!$W$2:$W$495,(SUMPRODUCT((('CONTROL MASTER'!$S$2:$S$495=15)*('CONTROL MASTER'!$T$2:$T$495&lt;=1)*('CONTROL MASTER'!$V$2:$V$495&gt;=1)*('CONTROL MASTER'!$U$2:$U$495&lt;=5)*('CONTROL MASTER'!$W$2:$W$495&gt;=5))*ROW('CONTROL MASTER'!$S$2:$S$495))-(ROW('CONTROL MASTER'!#REF!)-1)))-INDEX('CONTROL MASTER'!$U$2:$U$495,(SUMPRODUCT((('CONTROL MASTER'!$S$2:$S$495=15)*('CONTROL MASTER'!$T$2:$T$495&lt;=1)*('CONTROL MASTER'!$V$2:$V$495&gt;=1)*('CONTROL MASTER'!$U$2:$U$495&lt;=5)*('CONTROL MASTER'!$W$2:$W$495&gt;=5))*ROW('CONTROL MASTER'!$S$2:$S$495))-(ROW('CONTROL MASTER'!#REF!)-1)))+1)+(5-INDEX('CONTROL MASTER'!$U$2:$U$495,(SUMPRODUCT((('CONTROL MASTER'!$S$2:$S$495=15)*('CONTROL MASTER'!$T$2:$T$495&lt;=1)*('CONTROL MASTER'!$V$2:$V$495&gt;=1)*('CONTROL MASTER'!$U$2:$U$495&lt;=5)*('CONTROL MASTER'!$W$2:$W$495&gt;=5))*ROW('CONTROL MASTER'!$S$2:$S$495))-(ROW('CONTROL MASTER'!#REF!)-1))))+1))-1)*50+1,50))&amp;"_"&amp;INDEX('CONTROL MASTER'!$P$2:$P$495,(SUMPRODUCT((('CONTROL MASTER'!$S$2:$S$495=15)*('CONTROL MASTER'!$T$2:$T$495&lt;=1)*('CONTROL MASTER'!$V$2:$V$495&gt;=1)*('CONTROL MASTER'!$U$2:$U$495&lt;=5)*('CONTROL MASTER'!$W$2:$W$495&gt;=5))*ROW('CONTROL MASTER'!$S$2:$S$495))-(ROW('CONTROL MASTER'!#REF!)-1))),IF(SUMPRODUCT((('CONTROL MASTER'!$S$2:$S$495=15)*('CONTROL MASTER'!$Z$2:$Z$495&lt;=1)*('CONTROL MASTER'!$AB$2:$AB$495&gt;=1)*('CONTROL MASTER'!$AA$2:$AA$495&lt;=5)*('CONTROL MASTER'!$AC$2:$AC$495&gt;=5))*ROW('CONTROL MASTER'!$S$2:$S$495))&gt;0,INDEX('CONTROL MASTER'!$X$2:$X$495,(SUMPRODUCT((('CONTROL MASTER'!$S$2:$S$495=15)*('CONTROL MASTER'!$Z$2:$Z$495&lt;=1)*('CONTROL MASTER'!$AB$2:$AB$495&gt;=1)*('CONTROL MASTER'!$AA$2:$AA$495&lt;=5)*('CONTROL MASTER'!$AC$2:$AC$495&gt;=5))*ROW('CONTROL MASTER'!$S$2:$S$495))-(ROW('CONTROL MASTER'!#REF!)-1)))&amp;TRIM(MID(SUBSTITUTE(SUBSTITUTE(INDEX('CONTROL MASTER'!$N$2:$N$495,(SUMPRODUCT((('CONTROL MASTER'!$S$2:$S$495=15)*('CONTROL MASTER'!$Z$2:$Z$495&lt;=1)*('CONTROL MASTER'!$AB$2:$AB$495&gt;=1)*('CONTROL MASTER'!$AA$2:$AA$495&lt;=5)*('CONTROL MASTER'!$AC$2:$AC$495&gt;=5))*ROW('CONTROL MASTER'!$S$2:$S$495))-(ROW('CONTROL MASTER'!#REF!)-1))),":",","),",",REPT(" ",50)),(((INDEX('CONTROL MASTER'!$Y$2:$Y$495,(SUMPRODUCT((('CONTROL MASTER'!$S$2:$S$495=15)*('CONTROL MASTER'!$Z$2:$Z$495&lt;=1)*('CONTROL MASTER'!$AB$2:$AB$495&gt;=1)*('CONTROL MASTER'!$AA$2:$AA$495&lt;=5)*('CONTROL MASTER'!$AC$2:$AC$495&gt;=5))*ROW('CONTROL MASTER'!$S$2:$S$495))-(ROW('CONTROL MASTER'!#REF!)-1)))+((1-INDEX('CONTROL MASTER'!$Z$2:$Z$495,(SUMPRODUCT((('CONTROL MASTER'!$S$2:$S$495=15)*('CONTROL MASTER'!$Z$2:$Z$495&lt;=1)*('CONTROL MASTER'!$AB$2:$AB$495&gt;=1)*('CONTROL MASTER'!$AA$2:$AA$495&lt;=5)*('CONTROL MASTER'!$AC$2:$AC$495&gt;=5))*ROW('CONTROL MASTER'!$S$2:$S$495))-(ROW('CONTROL MASTER'!#REF!)-1))))*(INDEX('CONTROL MASTER'!$AC$2:$AC$495,(SUMPRODUCT((('CONTROL MASTER'!$S$2:$S$495=15)*('CONTROL MASTER'!$Z$2:$Z$495&lt;=1)*('CONTROL MASTER'!$AB$2:$AB$495&gt;=1)*('CONTROL MASTER'!$AA$2:$AA$495&lt;=5)*('CONTROL MASTER'!$AC$2:$AC$495&gt;=5))*ROW('CONTROL MASTER'!$S$2:$S$495))-(ROW('CONTROL MASTER'!#REF!)-1)))-INDEX('CONTROL MASTER'!$AA$2:$AA$495,(SUMPRODUCT((('CONTROL MASTER'!$S$2:$S$495=15)*('CONTROL MASTER'!$Z$2:$Z$495&lt;=1)*('CONTROL MASTER'!$AB$2:$AB$495&gt;=1)*('CONTROL MASTER'!$AA$2:$AA$495&lt;=5)*('CONTROL MASTER'!$AC$2:$AC$495&gt;=5))*ROW('CONTROL MASTER'!$S$2:$S$495))-(ROW('CONTROL MASTER'!#REF!)-1)))+1)+(5-INDEX('CONTROL MASTER'!$AA$2:$AA$495,(SUMPRODUCT((('CONTROL MASTER'!$S$2:$S$495=15)*('CONTROL MASTER'!$Z$2:$Z$495&lt;=1)*('CONTROL MASTER'!$AB$2:$AB$495&gt;=1)*('CONTROL MASTER'!$AA$2:$AA$495&lt;=5)*('CONTROL MASTER'!$AC$2:$AC$495&gt;=5))*ROW('CONTROL MASTER'!$S$2:$S$495))-(ROW('CONTROL MASTER'!#REF!)-1))))+1)))-1)*50+1,50))&amp;"_"&amp;INDEX('CONTROL MASTER'!$P$2:$P$495,(SUMPRODUCT((('CONTROL MASTER'!$S$2:$S$495=15)*('CONTROL MASTER'!$Z$2:$Z$495&lt;=1)*('CONTROL MASTER'!$AB$2:$AB$495&gt;=1)*('CONTROL MASTER'!$AA$2:$AA$495&lt;=5)*('CONTROL MASTER'!$AC$2:$AC$495&gt;=5))*ROW('CONTROL MASTER'!$S$2:$S$495))-(ROW('CONTROL MASTER'!#REF!)-1))),"")),"")</f>
        <v/>
      </c>
      <c r="G199" s="10" t="str">
        <f>IFERROR(IF(SUMPRODUCT((('CONTROL MASTER'!$S$2:$S$495=15)*('CONTROL MASTER'!$T$2:$T$495&lt;=1)*('CONTROL MASTER'!$V$2:$V$495&gt;=1)*('CONTROL MASTER'!$U$2:$U$495&lt;=6)*('CONTROL MASTER'!$W$2:$W$495&gt;=6))*ROW('CONTROL MASTER'!$S$2:$S$495))&gt;0,INDEX('CONTROL MASTER'!$X$2:$X$495,(SUMPRODUCT((('CONTROL MASTER'!$S$2:$S$495=15)*('CONTROL MASTER'!$T$2:$T$495&lt;=1)*('CONTROL MASTER'!$V$2:$V$495&gt;=1)*('CONTROL MASTER'!$U$2:$U$495&lt;=6)*('CONTROL MASTER'!$W$2:$W$495&gt;=6))*ROW('CONTROL MASTER'!$S$2:$S$495))-(ROW('CONTROL MASTER'!#REF!)-1)))&amp;TRIM(MID(SUBSTITUTE(SUBSTITUTE(INDEX('CONTROL MASTER'!$N$2:$N$495,(SUMPRODUCT((('CONTROL MASTER'!$S$2:$S$495=15)*('CONTROL MASTER'!$T$2:$T$495&lt;=1)*('CONTROL MASTER'!$V$2:$V$495&gt;=1)*('CONTROL MASTER'!$U$2:$U$495&lt;=6)*('CONTROL MASTER'!$W$2:$W$495&gt;=6))*ROW('CONTROL MASTER'!$S$2:$S$495))-(ROW('CONTROL MASTER'!#REF!)-1))),":",","),",",REPT(" ",50)),((((1-INDEX('CONTROL MASTER'!$T$2:$T$495,(SUMPRODUCT((('CONTROL MASTER'!$S$2:$S$495=15)*('CONTROL MASTER'!$T$2:$T$495&lt;=1)*('CONTROL MASTER'!$V$2:$V$495&gt;=1)*('CONTROL MASTER'!$U$2:$U$495&lt;=6)*('CONTROL MASTER'!$W$2:$W$495&gt;=6))*ROW('CONTROL MASTER'!$S$2:$S$495))-(ROW('CONTROL MASTER'!#REF!)-1))))*(INDEX('CONTROL MASTER'!$W$2:$W$495,(SUMPRODUCT((('CONTROL MASTER'!$S$2:$S$495=15)*('CONTROL MASTER'!$T$2:$T$495&lt;=1)*('CONTROL MASTER'!$V$2:$V$495&gt;=1)*('CONTROL MASTER'!$U$2:$U$495&lt;=6)*('CONTROL MASTER'!$W$2:$W$495&gt;=6))*ROW('CONTROL MASTER'!$S$2:$S$495))-(ROW('CONTROL MASTER'!#REF!)-1)))-INDEX('CONTROL MASTER'!$U$2:$U$495,(SUMPRODUCT((('CONTROL MASTER'!$S$2:$S$495=15)*('CONTROL MASTER'!$T$2:$T$495&lt;=1)*('CONTROL MASTER'!$V$2:$V$495&gt;=1)*('CONTROL MASTER'!$U$2:$U$495&lt;=6)*('CONTROL MASTER'!$W$2:$W$495&gt;=6))*ROW('CONTROL MASTER'!$S$2:$S$495))-(ROW('CONTROL MASTER'!#REF!)-1)))+1)+(6-INDEX('CONTROL MASTER'!$U$2:$U$495,(SUMPRODUCT((('CONTROL MASTER'!$S$2:$S$495=15)*('CONTROL MASTER'!$T$2:$T$495&lt;=1)*('CONTROL MASTER'!$V$2:$V$495&gt;=1)*('CONTROL MASTER'!$U$2:$U$495&lt;=6)*('CONTROL MASTER'!$W$2:$W$495&gt;=6))*ROW('CONTROL MASTER'!$S$2:$S$495))-(ROW('CONTROL MASTER'!#REF!)-1))))+1))-1)*50+1,50))&amp;"_"&amp;INDEX('CONTROL MASTER'!$P$2:$P$495,(SUMPRODUCT((('CONTROL MASTER'!$S$2:$S$495=15)*('CONTROL MASTER'!$T$2:$T$495&lt;=1)*('CONTROL MASTER'!$V$2:$V$495&gt;=1)*('CONTROL MASTER'!$U$2:$U$495&lt;=6)*('CONTROL MASTER'!$W$2:$W$495&gt;=6))*ROW('CONTROL MASTER'!$S$2:$S$495))-(ROW('CONTROL MASTER'!#REF!)-1))),IF(SUMPRODUCT((('CONTROL MASTER'!$S$2:$S$495=15)*('CONTROL MASTER'!$Z$2:$Z$495&lt;=1)*('CONTROL MASTER'!$AB$2:$AB$495&gt;=1)*('CONTROL MASTER'!$AA$2:$AA$495&lt;=6)*('CONTROL MASTER'!$AC$2:$AC$495&gt;=6))*ROW('CONTROL MASTER'!$S$2:$S$495))&gt;0,INDEX('CONTROL MASTER'!$X$2:$X$495,(SUMPRODUCT((('CONTROL MASTER'!$S$2:$S$495=15)*('CONTROL MASTER'!$Z$2:$Z$495&lt;=1)*('CONTROL MASTER'!$AB$2:$AB$495&gt;=1)*('CONTROL MASTER'!$AA$2:$AA$495&lt;=6)*('CONTROL MASTER'!$AC$2:$AC$495&gt;=6))*ROW('CONTROL MASTER'!$S$2:$S$495))-(ROW('CONTROL MASTER'!#REF!)-1)))&amp;TRIM(MID(SUBSTITUTE(SUBSTITUTE(INDEX('CONTROL MASTER'!$N$2:$N$495,(SUMPRODUCT((('CONTROL MASTER'!$S$2:$S$495=15)*('CONTROL MASTER'!$Z$2:$Z$495&lt;=1)*('CONTROL MASTER'!$AB$2:$AB$495&gt;=1)*('CONTROL MASTER'!$AA$2:$AA$495&lt;=6)*('CONTROL MASTER'!$AC$2:$AC$495&gt;=6))*ROW('CONTROL MASTER'!$S$2:$S$495))-(ROW('CONTROL MASTER'!#REF!)-1))),":",","),",",REPT(" ",50)),(((INDEX('CONTROL MASTER'!$Y$2:$Y$495,(SUMPRODUCT((('CONTROL MASTER'!$S$2:$S$495=15)*('CONTROL MASTER'!$Z$2:$Z$495&lt;=1)*('CONTROL MASTER'!$AB$2:$AB$495&gt;=1)*('CONTROL MASTER'!$AA$2:$AA$495&lt;=6)*('CONTROL MASTER'!$AC$2:$AC$495&gt;=6))*ROW('CONTROL MASTER'!$S$2:$S$495))-(ROW('CONTROL MASTER'!#REF!)-1)))+((1-INDEX('CONTROL MASTER'!$Z$2:$Z$495,(SUMPRODUCT((('CONTROL MASTER'!$S$2:$S$495=15)*('CONTROL MASTER'!$Z$2:$Z$495&lt;=1)*('CONTROL MASTER'!$AB$2:$AB$495&gt;=1)*('CONTROL MASTER'!$AA$2:$AA$495&lt;=6)*('CONTROL MASTER'!$AC$2:$AC$495&gt;=6))*ROW('CONTROL MASTER'!$S$2:$S$495))-(ROW('CONTROL MASTER'!#REF!)-1))))*(INDEX('CONTROL MASTER'!$AC$2:$AC$495,(SUMPRODUCT((('CONTROL MASTER'!$S$2:$S$495=15)*('CONTROL MASTER'!$Z$2:$Z$495&lt;=1)*('CONTROL MASTER'!$AB$2:$AB$495&gt;=1)*('CONTROL MASTER'!$AA$2:$AA$495&lt;=6)*('CONTROL MASTER'!$AC$2:$AC$495&gt;=6))*ROW('CONTROL MASTER'!$S$2:$S$495))-(ROW('CONTROL MASTER'!#REF!)-1)))-INDEX('CONTROL MASTER'!$AA$2:$AA$495,(SUMPRODUCT((('CONTROL MASTER'!$S$2:$S$495=15)*('CONTROL MASTER'!$Z$2:$Z$495&lt;=1)*('CONTROL MASTER'!$AB$2:$AB$495&gt;=1)*('CONTROL MASTER'!$AA$2:$AA$495&lt;=6)*('CONTROL MASTER'!$AC$2:$AC$495&gt;=6))*ROW('CONTROL MASTER'!$S$2:$S$495))-(ROW('CONTROL MASTER'!#REF!)-1)))+1)+(6-INDEX('CONTROL MASTER'!$AA$2:$AA$495,(SUMPRODUCT((('CONTROL MASTER'!$S$2:$S$495=15)*('CONTROL MASTER'!$Z$2:$Z$495&lt;=1)*('CONTROL MASTER'!$AB$2:$AB$495&gt;=1)*('CONTROL MASTER'!$AA$2:$AA$495&lt;=6)*('CONTROL MASTER'!$AC$2:$AC$495&gt;=6))*ROW('CONTROL MASTER'!$S$2:$S$495))-(ROW('CONTROL MASTER'!#REF!)-1))))+1)))-1)*50+1,50))&amp;"_"&amp;INDEX('CONTROL MASTER'!$P$2:$P$495,(SUMPRODUCT((('CONTROL MASTER'!$S$2:$S$495=15)*('CONTROL MASTER'!$Z$2:$Z$495&lt;=1)*('CONTROL MASTER'!$AB$2:$AB$495&gt;=1)*('CONTROL MASTER'!$AA$2:$AA$495&lt;=6)*('CONTROL MASTER'!$AC$2:$AC$495&gt;=6))*ROW('CONTROL MASTER'!$S$2:$S$495))-(ROW('CONTROL MASTER'!#REF!)-1))),"")),"")</f>
        <v/>
      </c>
      <c r="H199" s="10" t="str">
        <f>IFERROR(IF(SUMPRODUCT((('CONTROL MASTER'!$S$2:$S$495=15)*('CONTROL MASTER'!$T$2:$T$495&lt;=1)*('CONTROL MASTER'!$V$2:$V$495&gt;=1)*('CONTROL MASTER'!$U$2:$U$495&lt;=7)*('CONTROL MASTER'!$W$2:$W$495&gt;=7))*ROW('CONTROL MASTER'!$S$2:$S$495))&gt;0,INDEX('CONTROL MASTER'!$X$2:$X$495,(SUMPRODUCT((('CONTROL MASTER'!$S$2:$S$495=15)*('CONTROL MASTER'!$T$2:$T$495&lt;=1)*('CONTROL MASTER'!$V$2:$V$495&gt;=1)*('CONTROL MASTER'!$U$2:$U$495&lt;=7)*('CONTROL MASTER'!$W$2:$W$495&gt;=7))*ROW('CONTROL MASTER'!$S$2:$S$495))-(ROW('CONTROL MASTER'!#REF!)-1)))&amp;TRIM(MID(SUBSTITUTE(SUBSTITUTE(INDEX('CONTROL MASTER'!$N$2:$N$495,(SUMPRODUCT((('CONTROL MASTER'!$S$2:$S$495=15)*('CONTROL MASTER'!$T$2:$T$495&lt;=1)*('CONTROL MASTER'!$V$2:$V$495&gt;=1)*('CONTROL MASTER'!$U$2:$U$495&lt;=7)*('CONTROL MASTER'!$W$2:$W$495&gt;=7))*ROW('CONTROL MASTER'!$S$2:$S$495))-(ROW('CONTROL MASTER'!#REF!)-1))),":",","),",",REPT(" ",50)),((((1-INDEX('CONTROL MASTER'!$T$2:$T$495,(SUMPRODUCT((('CONTROL MASTER'!$S$2:$S$495=15)*('CONTROL MASTER'!$T$2:$T$495&lt;=1)*('CONTROL MASTER'!$V$2:$V$495&gt;=1)*('CONTROL MASTER'!$U$2:$U$495&lt;=7)*('CONTROL MASTER'!$W$2:$W$495&gt;=7))*ROW('CONTROL MASTER'!$S$2:$S$495))-(ROW('CONTROL MASTER'!#REF!)-1))))*(INDEX('CONTROL MASTER'!$W$2:$W$495,(SUMPRODUCT((('CONTROL MASTER'!$S$2:$S$495=15)*('CONTROL MASTER'!$T$2:$T$495&lt;=1)*('CONTROL MASTER'!$V$2:$V$495&gt;=1)*('CONTROL MASTER'!$U$2:$U$495&lt;=7)*('CONTROL MASTER'!$W$2:$W$495&gt;=7))*ROW('CONTROL MASTER'!$S$2:$S$495))-(ROW('CONTROL MASTER'!#REF!)-1)))-INDEX('CONTROL MASTER'!$U$2:$U$495,(SUMPRODUCT((('CONTROL MASTER'!$S$2:$S$495=15)*('CONTROL MASTER'!$T$2:$T$495&lt;=1)*('CONTROL MASTER'!$V$2:$V$495&gt;=1)*('CONTROL MASTER'!$U$2:$U$495&lt;=7)*('CONTROL MASTER'!$W$2:$W$495&gt;=7))*ROW('CONTROL MASTER'!$S$2:$S$495))-(ROW('CONTROL MASTER'!#REF!)-1)))+1)+(7-INDEX('CONTROL MASTER'!$U$2:$U$495,(SUMPRODUCT((('CONTROL MASTER'!$S$2:$S$495=15)*('CONTROL MASTER'!$T$2:$T$495&lt;=1)*('CONTROL MASTER'!$V$2:$V$495&gt;=1)*('CONTROL MASTER'!$U$2:$U$495&lt;=7)*('CONTROL MASTER'!$W$2:$W$495&gt;=7))*ROW('CONTROL MASTER'!$S$2:$S$495))-(ROW('CONTROL MASTER'!#REF!)-1))))+1))-1)*50+1,50))&amp;"_"&amp;INDEX('CONTROL MASTER'!$P$2:$P$495,(SUMPRODUCT((('CONTROL MASTER'!$S$2:$S$495=15)*('CONTROL MASTER'!$T$2:$T$495&lt;=1)*('CONTROL MASTER'!$V$2:$V$495&gt;=1)*('CONTROL MASTER'!$U$2:$U$495&lt;=7)*('CONTROL MASTER'!$W$2:$W$495&gt;=7))*ROW('CONTROL MASTER'!$S$2:$S$495))-(ROW('CONTROL MASTER'!#REF!)-1))),IF(SUMPRODUCT((('CONTROL MASTER'!$S$2:$S$495=15)*('CONTROL MASTER'!$Z$2:$Z$495&lt;=1)*('CONTROL MASTER'!$AB$2:$AB$495&gt;=1)*('CONTROL MASTER'!$AA$2:$AA$495&lt;=7)*('CONTROL MASTER'!$AC$2:$AC$495&gt;=7))*ROW('CONTROL MASTER'!$S$2:$S$495))&gt;0,INDEX('CONTROL MASTER'!$X$2:$X$495,(SUMPRODUCT((('CONTROL MASTER'!$S$2:$S$495=15)*('CONTROL MASTER'!$Z$2:$Z$495&lt;=1)*('CONTROL MASTER'!$AB$2:$AB$495&gt;=1)*('CONTROL MASTER'!$AA$2:$AA$495&lt;=7)*('CONTROL MASTER'!$AC$2:$AC$495&gt;=7))*ROW('CONTROL MASTER'!$S$2:$S$495))-(ROW('CONTROL MASTER'!#REF!)-1)))&amp;TRIM(MID(SUBSTITUTE(SUBSTITUTE(INDEX('CONTROL MASTER'!$N$2:$N$495,(SUMPRODUCT((('CONTROL MASTER'!$S$2:$S$495=15)*('CONTROL MASTER'!$Z$2:$Z$495&lt;=1)*('CONTROL MASTER'!$AB$2:$AB$495&gt;=1)*('CONTROL MASTER'!$AA$2:$AA$495&lt;=7)*('CONTROL MASTER'!$AC$2:$AC$495&gt;=7))*ROW('CONTROL MASTER'!$S$2:$S$495))-(ROW('CONTROL MASTER'!#REF!)-1))),":",","),",",REPT(" ",50)),(((INDEX('CONTROL MASTER'!$Y$2:$Y$495,(SUMPRODUCT((('CONTROL MASTER'!$S$2:$S$495=15)*('CONTROL MASTER'!$Z$2:$Z$495&lt;=1)*('CONTROL MASTER'!$AB$2:$AB$495&gt;=1)*('CONTROL MASTER'!$AA$2:$AA$495&lt;=7)*('CONTROL MASTER'!$AC$2:$AC$495&gt;=7))*ROW('CONTROL MASTER'!$S$2:$S$495))-(ROW('CONTROL MASTER'!#REF!)-1)))+((1-INDEX('CONTROL MASTER'!$Z$2:$Z$495,(SUMPRODUCT((('CONTROL MASTER'!$S$2:$S$495=15)*('CONTROL MASTER'!$Z$2:$Z$495&lt;=1)*('CONTROL MASTER'!$AB$2:$AB$495&gt;=1)*('CONTROL MASTER'!$AA$2:$AA$495&lt;=7)*('CONTROL MASTER'!$AC$2:$AC$495&gt;=7))*ROW('CONTROL MASTER'!$S$2:$S$495))-(ROW('CONTROL MASTER'!#REF!)-1))))*(INDEX('CONTROL MASTER'!$AC$2:$AC$495,(SUMPRODUCT((('CONTROL MASTER'!$S$2:$S$495=15)*('CONTROL MASTER'!$Z$2:$Z$495&lt;=1)*('CONTROL MASTER'!$AB$2:$AB$495&gt;=1)*('CONTROL MASTER'!$AA$2:$AA$495&lt;=7)*('CONTROL MASTER'!$AC$2:$AC$495&gt;=7))*ROW('CONTROL MASTER'!$S$2:$S$495))-(ROW('CONTROL MASTER'!#REF!)-1)))-INDEX('CONTROL MASTER'!$AA$2:$AA$495,(SUMPRODUCT((('CONTROL MASTER'!$S$2:$S$495=15)*('CONTROL MASTER'!$Z$2:$Z$495&lt;=1)*('CONTROL MASTER'!$AB$2:$AB$495&gt;=1)*('CONTROL MASTER'!$AA$2:$AA$495&lt;=7)*('CONTROL MASTER'!$AC$2:$AC$495&gt;=7))*ROW('CONTROL MASTER'!$S$2:$S$495))-(ROW('CONTROL MASTER'!#REF!)-1)))+1)+(7-INDEX('CONTROL MASTER'!$AA$2:$AA$495,(SUMPRODUCT((('CONTROL MASTER'!$S$2:$S$495=15)*('CONTROL MASTER'!$Z$2:$Z$495&lt;=1)*('CONTROL MASTER'!$AB$2:$AB$495&gt;=1)*('CONTROL MASTER'!$AA$2:$AA$495&lt;=7)*('CONTROL MASTER'!$AC$2:$AC$495&gt;=7))*ROW('CONTROL MASTER'!$S$2:$S$495))-(ROW('CONTROL MASTER'!#REF!)-1))))+1)))-1)*50+1,50))&amp;"_"&amp;INDEX('CONTROL MASTER'!$P$2:$P$495,(SUMPRODUCT((('CONTROL MASTER'!$S$2:$S$495=15)*('CONTROL MASTER'!$Z$2:$Z$495&lt;=1)*('CONTROL MASTER'!$AB$2:$AB$495&gt;=1)*('CONTROL MASTER'!$AA$2:$AA$495&lt;=7)*('CONTROL MASTER'!$AC$2:$AC$495&gt;=7))*ROW('CONTROL MASTER'!$S$2:$S$495))-(ROW('CONTROL MASTER'!#REF!)-1))),"")),"")</f>
        <v/>
      </c>
      <c r="I199" s="10" t="str">
        <f>IFERROR(IF(SUMPRODUCT((('CONTROL MASTER'!$S$2:$S$495=15)*('CONTROL MASTER'!$T$2:$T$495&lt;=1)*('CONTROL MASTER'!$V$2:$V$495&gt;=1)*('CONTROL MASTER'!$U$2:$U$495&lt;=8)*('CONTROL MASTER'!$W$2:$W$495&gt;=8))*ROW('CONTROL MASTER'!$S$2:$S$495))&gt;0,INDEX('CONTROL MASTER'!$X$2:$X$495,(SUMPRODUCT((('CONTROL MASTER'!$S$2:$S$495=15)*('CONTROL MASTER'!$T$2:$T$495&lt;=1)*('CONTROL MASTER'!$V$2:$V$495&gt;=1)*('CONTROL MASTER'!$U$2:$U$495&lt;=8)*('CONTROL MASTER'!$W$2:$W$495&gt;=8))*ROW('CONTROL MASTER'!$S$2:$S$495))-(ROW('CONTROL MASTER'!#REF!)-1)))&amp;TRIM(MID(SUBSTITUTE(SUBSTITUTE(INDEX('CONTROL MASTER'!$N$2:$N$495,(SUMPRODUCT((('CONTROL MASTER'!$S$2:$S$495=15)*('CONTROL MASTER'!$T$2:$T$495&lt;=1)*('CONTROL MASTER'!$V$2:$V$495&gt;=1)*('CONTROL MASTER'!$U$2:$U$495&lt;=8)*('CONTROL MASTER'!$W$2:$W$495&gt;=8))*ROW('CONTROL MASTER'!$S$2:$S$495))-(ROW('CONTROL MASTER'!#REF!)-1))),":",","),",",REPT(" ",50)),((((1-INDEX('CONTROL MASTER'!$T$2:$T$495,(SUMPRODUCT((('CONTROL MASTER'!$S$2:$S$495=15)*('CONTROL MASTER'!$T$2:$T$495&lt;=1)*('CONTROL MASTER'!$V$2:$V$495&gt;=1)*('CONTROL MASTER'!$U$2:$U$495&lt;=8)*('CONTROL MASTER'!$W$2:$W$495&gt;=8))*ROW('CONTROL MASTER'!$S$2:$S$495))-(ROW('CONTROL MASTER'!#REF!)-1))))*(INDEX('CONTROL MASTER'!$W$2:$W$495,(SUMPRODUCT((('CONTROL MASTER'!$S$2:$S$495=15)*('CONTROL MASTER'!$T$2:$T$495&lt;=1)*('CONTROL MASTER'!$V$2:$V$495&gt;=1)*('CONTROL MASTER'!$U$2:$U$495&lt;=8)*('CONTROL MASTER'!$W$2:$W$495&gt;=8))*ROW('CONTROL MASTER'!$S$2:$S$495))-(ROW('CONTROL MASTER'!#REF!)-1)))-INDEX('CONTROL MASTER'!$U$2:$U$495,(SUMPRODUCT((('CONTROL MASTER'!$S$2:$S$495=15)*('CONTROL MASTER'!$T$2:$T$495&lt;=1)*('CONTROL MASTER'!$V$2:$V$495&gt;=1)*('CONTROL MASTER'!$U$2:$U$495&lt;=8)*('CONTROL MASTER'!$W$2:$W$495&gt;=8))*ROW('CONTROL MASTER'!$S$2:$S$495))-(ROW('CONTROL MASTER'!#REF!)-1)))+1)+(8-INDEX('CONTROL MASTER'!$U$2:$U$495,(SUMPRODUCT((('CONTROL MASTER'!$S$2:$S$495=15)*('CONTROL MASTER'!$T$2:$T$495&lt;=1)*('CONTROL MASTER'!$V$2:$V$495&gt;=1)*('CONTROL MASTER'!$U$2:$U$495&lt;=8)*('CONTROL MASTER'!$W$2:$W$495&gt;=8))*ROW('CONTROL MASTER'!$S$2:$S$495))-(ROW('CONTROL MASTER'!#REF!)-1))))+1))-1)*50+1,50))&amp;"_"&amp;INDEX('CONTROL MASTER'!$P$2:$P$495,(SUMPRODUCT((('CONTROL MASTER'!$S$2:$S$495=15)*('CONTROL MASTER'!$T$2:$T$495&lt;=1)*('CONTROL MASTER'!$V$2:$V$495&gt;=1)*('CONTROL MASTER'!$U$2:$U$495&lt;=8)*('CONTROL MASTER'!$W$2:$W$495&gt;=8))*ROW('CONTROL MASTER'!$S$2:$S$495))-(ROW('CONTROL MASTER'!#REF!)-1))),IF(SUMPRODUCT((('CONTROL MASTER'!$S$2:$S$495=15)*('CONTROL MASTER'!$Z$2:$Z$495&lt;=1)*('CONTROL MASTER'!$AB$2:$AB$495&gt;=1)*('CONTROL MASTER'!$AA$2:$AA$495&lt;=8)*('CONTROL MASTER'!$AC$2:$AC$495&gt;=8))*ROW('CONTROL MASTER'!$S$2:$S$495))&gt;0,INDEX('CONTROL MASTER'!$X$2:$X$495,(SUMPRODUCT((('CONTROL MASTER'!$S$2:$S$495=15)*('CONTROL MASTER'!$Z$2:$Z$495&lt;=1)*('CONTROL MASTER'!$AB$2:$AB$495&gt;=1)*('CONTROL MASTER'!$AA$2:$AA$495&lt;=8)*('CONTROL MASTER'!$AC$2:$AC$495&gt;=8))*ROW('CONTROL MASTER'!$S$2:$S$495))-(ROW('CONTROL MASTER'!#REF!)-1)))&amp;TRIM(MID(SUBSTITUTE(SUBSTITUTE(INDEX('CONTROL MASTER'!$N$2:$N$495,(SUMPRODUCT((('CONTROL MASTER'!$S$2:$S$495=15)*('CONTROL MASTER'!$Z$2:$Z$495&lt;=1)*('CONTROL MASTER'!$AB$2:$AB$495&gt;=1)*('CONTROL MASTER'!$AA$2:$AA$495&lt;=8)*('CONTROL MASTER'!$AC$2:$AC$495&gt;=8))*ROW('CONTROL MASTER'!$S$2:$S$495))-(ROW('CONTROL MASTER'!#REF!)-1))),":",","),",",REPT(" ",50)),(((INDEX('CONTROL MASTER'!$Y$2:$Y$495,(SUMPRODUCT((('CONTROL MASTER'!$S$2:$S$495=15)*('CONTROL MASTER'!$Z$2:$Z$495&lt;=1)*('CONTROL MASTER'!$AB$2:$AB$495&gt;=1)*('CONTROL MASTER'!$AA$2:$AA$495&lt;=8)*('CONTROL MASTER'!$AC$2:$AC$495&gt;=8))*ROW('CONTROL MASTER'!$S$2:$S$495))-(ROW('CONTROL MASTER'!#REF!)-1)))+((1-INDEX('CONTROL MASTER'!$Z$2:$Z$495,(SUMPRODUCT((('CONTROL MASTER'!$S$2:$S$495=15)*('CONTROL MASTER'!$Z$2:$Z$495&lt;=1)*('CONTROL MASTER'!$AB$2:$AB$495&gt;=1)*('CONTROL MASTER'!$AA$2:$AA$495&lt;=8)*('CONTROL MASTER'!$AC$2:$AC$495&gt;=8))*ROW('CONTROL MASTER'!$S$2:$S$495))-(ROW('CONTROL MASTER'!#REF!)-1))))*(INDEX('CONTROL MASTER'!$AC$2:$AC$495,(SUMPRODUCT((('CONTROL MASTER'!$S$2:$S$495=15)*('CONTROL MASTER'!$Z$2:$Z$495&lt;=1)*('CONTROL MASTER'!$AB$2:$AB$495&gt;=1)*('CONTROL MASTER'!$AA$2:$AA$495&lt;=8)*('CONTROL MASTER'!$AC$2:$AC$495&gt;=8))*ROW('CONTROL MASTER'!$S$2:$S$495))-(ROW('CONTROL MASTER'!#REF!)-1)))-INDEX('CONTROL MASTER'!$AA$2:$AA$495,(SUMPRODUCT((('CONTROL MASTER'!$S$2:$S$495=15)*('CONTROL MASTER'!$Z$2:$Z$495&lt;=1)*('CONTROL MASTER'!$AB$2:$AB$495&gt;=1)*('CONTROL MASTER'!$AA$2:$AA$495&lt;=8)*('CONTROL MASTER'!$AC$2:$AC$495&gt;=8))*ROW('CONTROL MASTER'!$S$2:$S$495))-(ROW('CONTROL MASTER'!#REF!)-1)))+1)+(8-INDEX('CONTROL MASTER'!$AA$2:$AA$495,(SUMPRODUCT((('CONTROL MASTER'!$S$2:$S$495=15)*('CONTROL MASTER'!$Z$2:$Z$495&lt;=1)*('CONTROL MASTER'!$AB$2:$AB$495&gt;=1)*('CONTROL MASTER'!$AA$2:$AA$495&lt;=8)*('CONTROL MASTER'!$AC$2:$AC$495&gt;=8))*ROW('CONTROL MASTER'!$S$2:$S$495))-(ROW('CONTROL MASTER'!#REF!)-1))))+1)))-1)*50+1,50))&amp;"_"&amp;INDEX('CONTROL MASTER'!$P$2:$P$495,(SUMPRODUCT((('CONTROL MASTER'!$S$2:$S$495=15)*('CONTROL MASTER'!$Z$2:$Z$495&lt;=1)*('CONTROL MASTER'!$AB$2:$AB$495&gt;=1)*('CONTROL MASTER'!$AA$2:$AA$495&lt;=8)*('CONTROL MASTER'!$AC$2:$AC$495&gt;=8))*ROW('CONTROL MASTER'!$S$2:$S$495))-(ROW('CONTROL MASTER'!#REF!)-1))),"")),"")</f>
        <v/>
      </c>
      <c r="J199" s="10" t="str">
        <f>IFERROR(IF(SUMPRODUCT((('CONTROL MASTER'!$S$2:$S$495=15)*('CONTROL MASTER'!$T$2:$T$495&lt;=1)*('CONTROL MASTER'!$V$2:$V$495&gt;=1)*('CONTROL MASTER'!$U$2:$U$495&lt;=9)*('CONTROL MASTER'!$W$2:$W$495&gt;=9))*ROW('CONTROL MASTER'!$S$2:$S$495))&gt;0,INDEX('CONTROL MASTER'!$X$2:$X$495,(SUMPRODUCT((('CONTROL MASTER'!$S$2:$S$495=15)*('CONTROL MASTER'!$T$2:$T$495&lt;=1)*('CONTROL MASTER'!$V$2:$V$495&gt;=1)*('CONTROL MASTER'!$U$2:$U$495&lt;=9)*('CONTROL MASTER'!$W$2:$W$495&gt;=9))*ROW('CONTROL MASTER'!$S$2:$S$495))-(ROW('CONTROL MASTER'!#REF!)-1)))&amp;TRIM(MID(SUBSTITUTE(SUBSTITUTE(INDEX('CONTROL MASTER'!$N$2:$N$495,(SUMPRODUCT((('CONTROL MASTER'!$S$2:$S$495=15)*('CONTROL MASTER'!$T$2:$T$495&lt;=1)*('CONTROL MASTER'!$V$2:$V$495&gt;=1)*('CONTROL MASTER'!$U$2:$U$495&lt;=9)*('CONTROL MASTER'!$W$2:$W$495&gt;=9))*ROW('CONTROL MASTER'!$S$2:$S$495))-(ROW('CONTROL MASTER'!#REF!)-1))),":",","),",",REPT(" ",50)),((((1-INDEX('CONTROL MASTER'!$T$2:$T$495,(SUMPRODUCT((('CONTROL MASTER'!$S$2:$S$495=15)*('CONTROL MASTER'!$T$2:$T$495&lt;=1)*('CONTROL MASTER'!$V$2:$V$495&gt;=1)*('CONTROL MASTER'!$U$2:$U$495&lt;=9)*('CONTROL MASTER'!$W$2:$W$495&gt;=9))*ROW('CONTROL MASTER'!$S$2:$S$495))-(ROW('CONTROL MASTER'!#REF!)-1))))*(INDEX('CONTROL MASTER'!$W$2:$W$495,(SUMPRODUCT((('CONTROL MASTER'!$S$2:$S$495=15)*('CONTROL MASTER'!$T$2:$T$495&lt;=1)*('CONTROL MASTER'!$V$2:$V$495&gt;=1)*('CONTROL MASTER'!$U$2:$U$495&lt;=9)*('CONTROL MASTER'!$W$2:$W$495&gt;=9))*ROW('CONTROL MASTER'!$S$2:$S$495))-(ROW('CONTROL MASTER'!#REF!)-1)))-INDEX('CONTROL MASTER'!$U$2:$U$495,(SUMPRODUCT((('CONTROL MASTER'!$S$2:$S$495=15)*('CONTROL MASTER'!$T$2:$T$495&lt;=1)*('CONTROL MASTER'!$V$2:$V$495&gt;=1)*('CONTROL MASTER'!$U$2:$U$495&lt;=9)*('CONTROL MASTER'!$W$2:$W$495&gt;=9))*ROW('CONTROL MASTER'!$S$2:$S$495))-(ROW('CONTROL MASTER'!#REF!)-1)))+1)+(9-INDEX('CONTROL MASTER'!$U$2:$U$495,(SUMPRODUCT((('CONTROL MASTER'!$S$2:$S$495=15)*('CONTROL MASTER'!$T$2:$T$495&lt;=1)*('CONTROL MASTER'!$V$2:$V$495&gt;=1)*('CONTROL MASTER'!$U$2:$U$495&lt;=9)*('CONTROL MASTER'!$W$2:$W$495&gt;=9))*ROW('CONTROL MASTER'!$S$2:$S$495))-(ROW('CONTROL MASTER'!#REF!)-1))))+1))-1)*50+1,50))&amp;"_"&amp;INDEX('CONTROL MASTER'!$P$2:$P$495,(SUMPRODUCT((('CONTROL MASTER'!$S$2:$S$495=15)*('CONTROL MASTER'!$T$2:$T$495&lt;=1)*('CONTROL MASTER'!$V$2:$V$495&gt;=1)*('CONTROL MASTER'!$U$2:$U$495&lt;=9)*('CONTROL MASTER'!$W$2:$W$495&gt;=9))*ROW('CONTROL MASTER'!$S$2:$S$495))-(ROW('CONTROL MASTER'!#REF!)-1))),IF(SUMPRODUCT((('CONTROL MASTER'!$S$2:$S$495=15)*('CONTROL MASTER'!$Z$2:$Z$495&lt;=1)*('CONTROL MASTER'!$AB$2:$AB$495&gt;=1)*('CONTROL MASTER'!$AA$2:$AA$495&lt;=9)*('CONTROL MASTER'!$AC$2:$AC$495&gt;=9))*ROW('CONTROL MASTER'!$S$2:$S$495))&gt;0,INDEX('CONTROL MASTER'!$X$2:$X$495,(SUMPRODUCT((('CONTROL MASTER'!$S$2:$S$495=15)*('CONTROL MASTER'!$Z$2:$Z$495&lt;=1)*('CONTROL MASTER'!$AB$2:$AB$495&gt;=1)*('CONTROL MASTER'!$AA$2:$AA$495&lt;=9)*('CONTROL MASTER'!$AC$2:$AC$495&gt;=9))*ROW('CONTROL MASTER'!$S$2:$S$495))-(ROW('CONTROL MASTER'!#REF!)-1)))&amp;TRIM(MID(SUBSTITUTE(SUBSTITUTE(INDEX('CONTROL MASTER'!$N$2:$N$495,(SUMPRODUCT((('CONTROL MASTER'!$S$2:$S$495=15)*('CONTROL MASTER'!$Z$2:$Z$495&lt;=1)*('CONTROL MASTER'!$AB$2:$AB$495&gt;=1)*('CONTROL MASTER'!$AA$2:$AA$495&lt;=9)*('CONTROL MASTER'!$AC$2:$AC$495&gt;=9))*ROW('CONTROL MASTER'!$S$2:$S$495))-(ROW('CONTROL MASTER'!#REF!)-1))),":",","),",",REPT(" ",50)),(((INDEX('CONTROL MASTER'!$Y$2:$Y$495,(SUMPRODUCT((('CONTROL MASTER'!$S$2:$S$495=15)*('CONTROL MASTER'!$Z$2:$Z$495&lt;=1)*('CONTROL MASTER'!$AB$2:$AB$495&gt;=1)*('CONTROL MASTER'!$AA$2:$AA$495&lt;=9)*('CONTROL MASTER'!$AC$2:$AC$495&gt;=9))*ROW('CONTROL MASTER'!$S$2:$S$495))-(ROW('CONTROL MASTER'!#REF!)-1)))+((1-INDEX('CONTROL MASTER'!$Z$2:$Z$495,(SUMPRODUCT((('CONTROL MASTER'!$S$2:$S$495=15)*('CONTROL MASTER'!$Z$2:$Z$495&lt;=1)*('CONTROL MASTER'!$AB$2:$AB$495&gt;=1)*('CONTROL MASTER'!$AA$2:$AA$495&lt;=9)*('CONTROL MASTER'!$AC$2:$AC$495&gt;=9))*ROW('CONTROL MASTER'!$S$2:$S$495))-(ROW('CONTROL MASTER'!#REF!)-1))))*(INDEX('CONTROL MASTER'!$AC$2:$AC$495,(SUMPRODUCT((('CONTROL MASTER'!$S$2:$S$495=15)*('CONTROL MASTER'!$Z$2:$Z$495&lt;=1)*('CONTROL MASTER'!$AB$2:$AB$495&gt;=1)*('CONTROL MASTER'!$AA$2:$AA$495&lt;=9)*('CONTROL MASTER'!$AC$2:$AC$495&gt;=9))*ROW('CONTROL MASTER'!$S$2:$S$495))-(ROW('CONTROL MASTER'!#REF!)-1)))-INDEX('CONTROL MASTER'!$AA$2:$AA$495,(SUMPRODUCT((('CONTROL MASTER'!$S$2:$S$495=15)*('CONTROL MASTER'!$Z$2:$Z$495&lt;=1)*('CONTROL MASTER'!$AB$2:$AB$495&gt;=1)*('CONTROL MASTER'!$AA$2:$AA$495&lt;=9)*('CONTROL MASTER'!$AC$2:$AC$495&gt;=9))*ROW('CONTROL MASTER'!$S$2:$S$495))-(ROW('CONTROL MASTER'!#REF!)-1)))+1)+(9-INDEX('CONTROL MASTER'!$AA$2:$AA$495,(SUMPRODUCT((('CONTROL MASTER'!$S$2:$S$495=15)*('CONTROL MASTER'!$Z$2:$Z$495&lt;=1)*('CONTROL MASTER'!$AB$2:$AB$495&gt;=1)*('CONTROL MASTER'!$AA$2:$AA$495&lt;=9)*('CONTROL MASTER'!$AC$2:$AC$495&gt;=9))*ROW('CONTROL MASTER'!$S$2:$S$495))-(ROW('CONTROL MASTER'!#REF!)-1))))+1)))-1)*50+1,50))&amp;"_"&amp;INDEX('CONTROL MASTER'!$P$2:$P$495,(SUMPRODUCT((('CONTROL MASTER'!$S$2:$S$495=15)*('CONTROL MASTER'!$Z$2:$Z$495&lt;=1)*('CONTROL MASTER'!$AB$2:$AB$495&gt;=1)*('CONTROL MASTER'!$AA$2:$AA$495&lt;=9)*('CONTROL MASTER'!$AC$2:$AC$495&gt;=9))*ROW('CONTROL MASTER'!$S$2:$S$495))-(ROW('CONTROL MASTER'!#REF!)-1))),"")),"")</f>
        <v/>
      </c>
      <c r="K199" s="10" t="str">
        <f>IFERROR(IF(SUMPRODUCT((('CONTROL MASTER'!$S$2:$S$495=15)*('CONTROL MASTER'!$T$2:$T$495&lt;=1)*('CONTROL MASTER'!$V$2:$V$495&gt;=1)*('CONTROL MASTER'!$U$2:$U$495&lt;=10)*('CONTROL MASTER'!$W$2:$W$495&gt;=10))*ROW('CONTROL MASTER'!$S$2:$S$495))&gt;0,INDEX('CONTROL MASTER'!$X$2:$X$495,(SUMPRODUCT((('CONTROL MASTER'!$S$2:$S$495=15)*('CONTROL MASTER'!$T$2:$T$495&lt;=1)*('CONTROL MASTER'!$V$2:$V$495&gt;=1)*('CONTROL MASTER'!$U$2:$U$495&lt;=10)*('CONTROL MASTER'!$W$2:$W$495&gt;=10))*ROW('CONTROL MASTER'!$S$2:$S$495))-(ROW('CONTROL MASTER'!#REF!)-1)))&amp;TRIM(MID(SUBSTITUTE(SUBSTITUTE(INDEX('CONTROL MASTER'!$N$2:$N$495,(SUMPRODUCT((('CONTROL MASTER'!$S$2:$S$495=15)*('CONTROL MASTER'!$T$2:$T$495&lt;=1)*('CONTROL MASTER'!$V$2:$V$495&gt;=1)*('CONTROL MASTER'!$U$2:$U$495&lt;=10)*('CONTROL MASTER'!$W$2:$W$495&gt;=10))*ROW('CONTROL MASTER'!$S$2:$S$495))-(ROW('CONTROL MASTER'!#REF!)-1))),":",","),",",REPT(" ",50)),((((1-INDEX('CONTROL MASTER'!$T$2:$T$495,(SUMPRODUCT((('CONTROL MASTER'!$S$2:$S$495=15)*('CONTROL MASTER'!$T$2:$T$495&lt;=1)*('CONTROL MASTER'!$V$2:$V$495&gt;=1)*('CONTROL MASTER'!$U$2:$U$495&lt;=10)*('CONTROL MASTER'!$W$2:$W$495&gt;=10))*ROW('CONTROL MASTER'!$S$2:$S$495))-(ROW('CONTROL MASTER'!#REF!)-1))))*(INDEX('CONTROL MASTER'!$W$2:$W$495,(SUMPRODUCT((('CONTROL MASTER'!$S$2:$S$495=15)*('CONTROL MASTER'!$T$2:$T$495&lt;=1)*('CONTROL MASTER'!$V$2:$V$495&gt;=1)*('CONTROL MASTER'!$U$2:$U$495&lt;=10)*('CONTROL MASTER'!$W$2:$W$495&gt;=10))*ROW('CONTROL MASTER'!$S$2:$S$495))-(ROW('CONTROL MASTER'!#REF!)-1)))-INDEX('CONTROL MASTER'!$U$2:$U$495,(SUMPRODUCT((('CONTROL MASTER'!$S$2:$S$495=15)*('CONTROL MASTER'!$T$2:$T$495&lt;=1)*('CONTROL MASTER'!$V$2:$V$495&gt;=1)*('CONTROL MASTER'!$U$2:$U$495&lt;=10)*('CONTROL MASTER'!$W$2:$W$495&gt;=10))*ROW('CONTROL MASTER'!$S$2:$S$495))-(ROW('CONTROL MASTER'!#REF!)-1)))+1)+(10-INDEX('CONTROL MASTER'!$U$2:$U$495,(SUMPRODUCT((('CONTROL MASTER'!$S$2:$S$495=15)*('CONTROL MASTER'!$T$2:$T$495&lt;=1)*('CONTROL MASTER'!$V$2:$V$495&gt;=1)*('CONTROL MASTER'!$U$2:$U$495&lt;=10)*('CONTROL MASTER'!$W$2:$W$495&gt;=10))*ROW('CONTROL MASTER'!$S$2:$S$495))-(ROW('CONTROL MASTER'!#REF!)-1))))+1))-1)*50+1,50))&amp;"_"&amp;INDEX('CONTROL MASTER'!$P$2:$P$495,(SUMPRODUCT((('CONTROL MASTER'!$S$2:$S$495=15)*('CONTROL MASTER'!$T$2:$T$495&lt;=1)*('CONTROL MASTER'!$V$2:$V$495&gt;=1)*('CONTROL MASTER'!$U$2:$U$495&lt;=10)*('CONTROL MASTER'!$W$2:$W$495&gt;=10))*ROW('CONTROL MASTER'!$S$2:$S$495))-(ROW('CONTROL MASTER'!#REF!)-1))),IF(SUMPRODUCT((('CONTROL MASTER'!$S$2:$S$495=15)*('CONTROL MASTER'!$Z$2:$Z$495&lt;=1)*('CONTROL MASTER'!$AB$2:$AB$495&gt;=1)*('CONTROL MASTER'!$AA$2:$AA$495&lt;=10)*('CONTROL MASTER'!$AC$2:$AC$495&gt;=10))*ROW('CONTROL MASTER'!$S$2:$S$495))&gt;0,INDEX('CONTROL MASTER'!$X$2:$X$495,(SUMPRODUCT((('CONTROL MASTER'!$S$2:$S$495=15)*('CONTROL MASTER'!$Z$2:$Z$495&lt;=1)*('CONTROL MASTER'!$AB$2:$AB$495&gt;=1)*('CONTROL MASTER'!$AA$2:$AA$495&lt;=10)*('CONTROL MASTER'!$AC$2:$AC$495&gt;=10))*ROW('CONTROL MASTER'!$S$2:$S$495))-(ROW('CONTROL MASTER'!#REF!)-1)))&amp;TRIM(MID(SUBSTITUTE(SUBSTITUTE(INDEX('CONTROL MASTER'!$N$2:$N$495,(SUMPRODUCT((('CONTROL MASTER'!$S$2:$S$495=15)*('CONTROL MASTER'!$Z$2:$Z$495&lt;=1)*('CONTROL MASTER'!$AB$2:$AB$495&gt;=1)*('CONTROL MASTER'!$AA$2:$AA$495&lt;=10)*('CONTROL MASTER'!$AC$2:$AC$495&gt;=10))*ROW('CONTROL MASTER'!$S$2:$S$495))-(ROW('CONTROL MASTER'!#REF!)-1))),":",","),",",REPT(" ",50)),(((INDEX('CONTROL MASTER'!$Y$2:$Y$495,(SUMPRODUCT((('CONTROL MASTER'!$S$2:$S$495=15)*('CONTROL MASTER'!$Z$2:$Z$495&lt;=1)*('CONTROL MASTER'!$AB$2:$AB$495&gt;=1)*('CONTROL MASTER'!$AA$2:$AA$495&lt;=10)*('CONTROL MASTER'!$AC$2:$AC$495&gt;=10))*ROW('CONTROL MASTER'!$S$2:$S$495))-(ROW('CONTROL MASTER'!#REF!)-1)))+((1-INDEX('CONTROL MASTER'!$Z$2:$Z$495,(SUMPRODUCT((('CONTROL MASTER'!$S$2:$S$495=15)*('CONTROL MASTER'!$Z$2:$Z$495&lt;=1)*('CONTROL MASTER'!$AB$2:$AB$495&gt;=1)*('CONTROL MASTER'!$AA$2:$AA$495&lt;=10)*('CONTROL MASTER'!$AC$2:$AC$495&gt;=10))*ROW('CONTROL MASTER'!$S$2:$S$495))-(ROW('CONTROL MASTER'!#REF!)-1))))*(INDEX('CONTROL MASTER'!$AC$2:$AC$495,(SUMPRODUCT((('CONTROL MASTER'!$S$2:$S$495=15)*('CONTROL MASTER'!$Z$2:$Z$495&lt;=1)*('CONTROL MASTER'!$AB$2:$AB$495&gt;=1)*('CONTROL MASTER'!$AA$2:$AA$495&lt;=10)*('CONTROL MASTER'!$AC$2:$AC$495&gt;=10))*ROW('CONTROL MASTER'!$S$2:$S$495))-(ROW('CONTROL MASTER'!#REF!)-1)))-INDEX('CONTROL MASTER'!$AA$2:$AA$495,(SUMPRODUCT((('CONTROL MASTER'!$S$2:$S$495=15)*('CONTROL MASTER'!$Z$2:$Z$495&lt;=1)*('CONTROL MASTER'!$AB$2:$AB$495&gt;=1)*('CONTROL MASTER'!$AA$2:$AA$495&lt;=10)*('CONTROL MASTER'!$AC$2:$AC$495&gt;=10))*ROW('CONTROL MASTER'!$S$2:$S$495))-(ROW('CONTROL MASTER'!#REF!)-1)))+1)+(10-INDEX('CONTROL MASTER'!$AA$2:$AA$495,(SUMPRODUCT((('CONTROL MASTER'!$S$2:$S$495=15)*('CONTROL MASTER'!$Z$2:$Z$495&lt;=1)*('CONTROL MASTER'!$AB$2:$AB$495&gt;=1)*('CONTROL MASTER'!$AA$2:$AA$495&lt;=10)*('CONTROL MASTER'!$AC$2:$AC$495&gt;=10))*ROW('CONTROL MASTER'!$S$2:$S$495))-(ROW('CONTROL MASTER'!#REF!)-1))))+1)))-1)*50+1,50))&amp;"_"&amp;INDEX('CONTROL MASTER'!$P$2:$P$495,(SUMPRODUCT((('CONTROL MASTER'!$S$2:$S$495=15)*('CONTROL MASTER'!$Z$2:$Z$495&lt;=1)*('CONTROL MASTER'!$AB$2:$AB$495&gt;=1)*('CONTROL MASTER'!$AA$2:$AA$495&lt;=10)*('CONTROL MASTER'!$AC$2:$AC$495&gt;=10))*ROW('CONTROL MASTER'!$S$2:$S$495))-(ROW('CONTROL MASTER'!#REF!)-1))),"")),"")</f>
        <v/>
      </c>
    </row>
    <row r="200" spans="1:11" ht="15" customHeight="1" x14ac:dyDescent="0.35">
      <c r="A200" s="8" t="s">
        <v>29</v>
      </c>
      <c r="B200" s="10" t="str">
        <f>IFERROR(IF(SUMPRODUCT((('CONTROL MASTER'!$S$2:$S$495=15)*('CONTROL MASTER'!$T$2:$T$495&lt;=2)*('CONTROL MASTER'!$V$2:$V$495&gt;=2)*('CONTROL MASTER'!$U$2:$U$495&lt;=1)*('CONTROL MASTER'!$W$2:$W$495&gt;=1))*ROW('CONTROL MASTER'!$S$2:$S$495))&gt;0,INDEX('CONTROL MASTER'!$X$2:$X$495,(SUMPRODUCT((('CONTROL MASTER'!$S$2:$S$495=15)*('CONTROL MASTER'!$T$2:$T$495&lt;=2)*('CONTROL MASTER'!$V$2:$V$495&gt;=2)*('CONTROL MASTER'!$U$2:$U$495&lt;=1)*('CONTROL MASTER'!$W$2:$W$495&gt;=1))*ROW('CONTROL MASTER'!$S$2:$S$495))-(ROW('CONTROL MASTER'!#REF!)-1)))&amp;TRIM(MID(SUBSTITUTE(SUBSTITUTE(INDEX('CONTROL MASTER'!$N$2:$N$495,(SUMPRODUCT((('CONTROL MASTER'!$S$2:$S$495=15)*('CONTROL MASTER'!$T$2:$T$495&lt;=2)*('CONTROL MASTER'!$V$2:$V$495&gt;=2)*('CONTROL MASTER'!$U$2:$U$495&lt;=1)*('CONTROL MASTER'!$W$2:$W$495&gt;=1))*ROW('CONTROL MASTER'!$S$2:$S$495))-(ROW('CONTROL MASTER'!#REF!)-1))),":",","),",",REPT(" ",50)),((((2-INDEX('CONTROL MASTER'!$T$2:$T$495,(SUMPRODUCT((('CONTROL MASTER'!$S$2:$S$495=15)*('CONTROL MASTER'!$T$2:$T$495&lt;=2)*('CONTROL MASTER'!$V$2:$V$495&gt;=2)*('CONTROL MASTER'!$U$2:$U$495&lt;=1)*('CONTROL MASTER'!$W$2:$W$495&gt;=1))*ROW('CONTROL MASTER'!$S$2:$S$495))-(ROW('CONTROL MASTER'!#REF!)-1))))*(INDEX('CONTROL MASTER'!$W$2:$W$495,(SUMPRODUCT((('CONTROL MASTER'!$S$2:$S$495=15)*('CONTROL MASTER'!$T$2:$T$495&lt;=2)*('CONTROL MASTER'!$V$2:$V$495&gt;=2)*('CONTROL MASTER'!$U$2:$U$495&lt;=1)*('CONTROL MASTER'!$W$2:$W$495&gt;=1))*ROW('CONTROL MASTER'!$S$2:$S$495))-(ROW('CONTROL MASTER'!#REF!)-1)))-INDEX('CONTROL MASTER'!$U$2:$U$495,(SUMPRODUCT((('CONTROL MASTER'!$S$2:$S$495=15)*('CONTROL MASTER'!$T$2:$T$495&lt;=2)*('CONTROL MASTER'!$V$2:$V$495&gt;=2)*('CONTROL MASTER'!$U$2:$U$495&lt;=1)*('CONTROL MASTER'!$W$2:$W$495&gt;=1))*ROW('CONTROL MASTER'!$S$2:$S$495))-(ROW('CONTROL MASTER'!#REF!)-1)))+1)+(1-INDEX('CONTROL MASTER'!$U$2:$U$495,(SUMPRODUCT((('CONTROL MASTER'!$S$2:$S$495=15)*('CONTROL MASTER'!$T$2:$T$495&lt;=2)*('CONTROL MASTER'!$V$2:$V$495&gt;=2)*('CONTROL MASTER'!$U$2:$U$495&lt;=1)*('CONTROL MASTER'!$W$2:$W$495&gt;=1))*ROW('CONTROL MASTER'!$S$2:$S$495))-(ROW('CONTROL MASTER'!#REF!)-1))))+1))-1)*50+1,50))&amp;"_"&amp;INDEX('CONTROL MASTER'!$P$2:$P$495,(SUMPRODUCT((('CONTROL MASTER'!$S$2:$S$495=15)*('CONTROL MASTER'!$T$2:$T$495&lt;=2)*('CONTROL MASTER'!$V$2:$V$495&gt;=2)*('CONTROL MASTER'!$U$2:$U$495&lt;=1)*('CONTROL MASTER'!$W$2:$W$495&gt;=1))*ROW('CONTROL MASTER'!$S$2:$S$495))-(ROW('CONTROL MASTER'!#REF!)-1))),IF(SUMPRODUCT((('CONTROL MASTER'!$S$2:$S$495=15)*('CONTROL MASTER'!$Z$2:$Z$495&lt;=2)*('CONTROL MASTER'!$AB$2:$AB$495&gt;=2)*('CONTROL MASTER'!$AA$2:$AA$495&lt;=1)*('CONTROL MASTER'!$AC$2:$AC$495&gt;=1))*ROW('CONTROL MASTER'!$S$2:$S$495))&gt;0,INDEX('CONTROL MASTER'!$X$2:$X$495,(SUMPRODUCT((('CONTROL MASTER'!$S$2:$S$495=15)*('CONTROL MASTER'!$Z$2:$Z$495&lt;=2)*('CONTROL MASTER'!$AB$2:$AB$495&gt;=2)*('CONTROL MASTER'!$AA$2:$AA$495&lt;=1)*('CONTROL MASTER'!$AC$2:$AC$495&gt;=1))*ROW('CONTROL MASTER'!$S$2:$S$495))-(ROW('CONTROL MASTER'!#REF!)-1)))&amp;TRIM(MID(SUBSTITUTE(SUBSTITUTE(INDEX('CONTROL MASTER'!$N$2:$N$495,(SUMPRODUCT((('CONTROL MASTER'!$S$2:$S$495=15)*('CONTROL MASTER'!$Z$2:$Z$495&lt;=2)*('CONTROL MASTER'!$AB$2:$AB$495&gt;=2)*('CONTROL MASTER'!$AA$2:$AA$495&lt;=1)*('CONTROL MASTER'!$AC$2:$AC$495&gt;=1))*ROW('CONTROL MASTER'!$S$2:$S$495))-(ROW('CONTROL MASTER'!#REF!)-1))),":",","),",",REPT(" ",50)),(((INDEX('CONTROL MASTER'!$Y$2:$Y$495,(SUMPRODUCT((('CONTROL MASTER'!$S$2:$S$495=15)*('CONTROL MASTER'!$Z$2:$Z$495&lt;=2)*('CONTROL MASTER'!$AB$2:$AB$495&gt;=2)*('CONTROL MASTER'!$AA$2:$AA$495&lt;=1)*('CONTROL MASTER'!$AC$2:$AC$495&gt;=1))*ROW('CONTROL MASTER'!$S$2:$S$495))-(ROW('CONTROL MASTER'!#REF!)-1)))+((2-INDEX('CONTROL MASTER'!$Z$2:$Z$495,(SUMPRODUCT((('CONTROL MASTER'!$S$2:$S$495=15)*('CONTROL MASTER'!$Z$2:$Z$495&lt;=2)*('CONTROL MASTER'!$AB$2:$AB$495&gt;=2)*('CONTROL MASTER'!$AA$2:$AA$495&lt;=1)*('CONTROL MASTER'!$AC$2:$AC$495&gt;=1))*ROW('CONTROL MASTER'!$S$2:$S$495))-(ROW('CONTROL MASTER'!#REF!)-1))))*(INDEX('CONTROL MASTER'!$AC$2:$AC$495,(SUMPRODUCT((('CONTROL MASTER'!$S$2:$S$495=15)*('CONTROL MASTER'!$Z$2:$Z$495&lt;=2)*('CONTROL MASTER'!$AB$2:$AB$495&gt;=2)*('CONTROL MASTER'!$AA$2:$AA$495&lt;=1)*('CONTROL MASTER'!$AC$2:$AC$495&gt;=1))*ROW('CONTROL MASTER'!$S$2:$S$495))-(ROW('CONTROL MASTER'!#REF!)-1)))-INDEX('CONTROL MASTER'!$AA$2:$AA$495,(SUMPRODUCT((('CONTROL MASTER'!$S$2:$S$495=15)*('CONTROL MASTER'!$Z$2:$Z$495&lt;=2)*('CONTROL MASTER'!$AB$2:$AB$495&gt;=2)*('CONTROL MASTER'!$AA$2:$AA$495&lt;=1)*('CONTROL MASTER'!$AC$2:$AC$495&gt;=1))*ROW('CONTROL MASTER'!$S$2:$S$495))-(ROW('CONTROL MASTER'!#REF!)-1)))+1)+(1-INDEX('CONTROL MASTER'!$AA$2:$AA$495,(SUMPRODUCT((('CONTROL MASTER'!$S$2:$S$495=15)*('CONTROL MASTER'!$Z$2:$Z$495&lt;=2)*('CONTROL MASTER'!$AB$2:$AB$495&gt;=2)*('CONTROL MASTER'!$AA$2:$AA$495&lt;=1)*('CONTROL MASTER'!$AC$2:$AC$495&gt;=1))*ROW('CONTROL MASTER'!$S$2:$S$495))-(ROW('CONTROL MASTER'!#REF!)-1))))+1)))-1)*50+1,50))&amp;"_"&amp;INDEX('CONTROL MASTER'!$P$2:$P$495,(SUMPRODUCT((('CONTROL MASTER'!$S$2:$S$495=15)*('CONTROL MASTER'!$Z$2:$Z$495&lt;=2)*('CONTROL MASTER'!$AB$2:$AB$495&gt;=2)*('CONTROL MASTER'!$AA$2:$AA$495&lt;=1)*('CONTROL MASTER'!$AC$2:$AC$495&gt;=1))*ROW('CONTROL MASTER'!$S$2:$S$495))-(ROW('CONTROL MASTER'!#REF!)-1))),"")),"")</f>
        <v/>
      </c>
      <c r="C200" s="10" t="str">
        <f>IFERROR(IF(SUMPRODUCT((('CONTROL MASTER'!$S$2:$S$495=15)*('CONTROL MASTER'!$T$2:$T$495&lt;=2)*('CONTROL MASTER'!$V$2:$V$495&gt;=2)*('CONTROL MASTER'!$U$2:$U$495&lt;=2)*('CONTROL MASTER'!$W$2:$W$495&gt;=2))*ROW('CONTROL MASTER'!$S$2:$S$495))&gt;0,INDEX('CONTROL MASTER'!$X$2:$X$495,(SUMPRODUCT((('CONTROL MASTER'!$S$2:$S$495=15)*('CONTROL MASTER'!$T$2:$T$495&lt;=2)*('CONTROL MASTER'!$V$2:$V$495&gt;=2)*('CONTROL MASTER'!$U$2:$U$495&lt;=2)*('CONTROL MASTER'!$W$2:$W$495&gt;=2))*ROW('CONTROL MASTER'!$S$2:$S$495))-(ROW('CONTROL MASTER'!#REF!)-1)))&amp;TRIM(MID(SUBSTITUTE(SUBSTITUTE(INDEX('CONTROL MASTER'!$N$2:$N$495,(SUMPRODUCT((('CONTROL MASTER'!$S$2:$S$495=15)*('CONTROL MASTER'!$T$2:$T$495&lt;=2)*('CONTROL MASTER'!$V$2:$V$495&gt;=2)*('CONTROL MASTER'!$U$2:$U$495&lt;=2)*('CONTROL MASTER'!$W$2:$W$495&gt;=2))*ROW('CONTROL MASTER'!$S$2:$S$495))-(ROW('CONTROL MASTER'!#REF!)-1))),":",","),",",REPT(" ",50)),((((2-INDEX('CONTROL MASTER'!$T$2:$T$495,(SUMPRODUCT((('CONTROL MASTER'!$S$2:$S$495=15)*('CONTROL MASTER'!$T$2:$T$495&lt;=2)*('CONTROL MASTER'!$V$2:$V$495&gt;=2)*('CONTROL MASTER'!$U$2:$U$495&lt;=2)*('CONTROL MASTER'!$W$2:$W$495&gt;=2))*ROW('CONTROL MASTER'!$S$2:$S$495))-(ROW('CONTROL MASTER'!#REF!)-1))))*(INDEX('CONTROL MASTER'!$W$2:$W$495,(SUMPRODUCT((('CONTROL MASTER'!$S$2:$S$495=15)*('CONTROL MASTER'!$T$2:$T$495&lt;=2)*('CONTROL MASTER'!$V$2:$V$495&gt;=2)*('CONTROL MASTER'!$U$2:$U$495&lt;=2)*('CONTROL MASTER'!$W$2:$W$495&gt;=2))*ROW('CONTROL MASTER'!$S$2:$S$495))-(ROW('CONTROL MASTER'!#REF!)-1)))-INDEX('CONTROL MASTER'!$U$2:$U$495,(SUMPRODUCT((('CONTROL MASTER'!$S$2:$S$495=15)*('CONTROL MASTER'!$T$2:$T$495&lt;=2)*('CONTROL MASTER'!$V$2:$V$495&gt;=2)*('CONTROL MASTER'!$U$2:$U$495&lt;=2)*('CONTROL MASTER'!$W$2:$W$495&gt;=2))*ROW('CONTROL MASTER'!$S$2:$S$495))-(ROW('CONTROL MASTER'!#REF!)-1)))+1)+(2-INDEX('CONTROL MASTER'!$U$2:$U$495,(SUMPRODUCT((('CONTROL MASTER'!$S$2:$S$495=15)*('CONTROL MASTER'!$T$2:$T$495&lt;=2)*('CONTROL MASTER'!$V$2:$V$495&gt;=2)*('CONTROL MASTER'!$U$2:$U$495&lt;=2)*('CONTROL MASTER'!$W$2:$W$495&gt;=2))*ROW('CONTROL MASTER'!$S$2:$S$495))-(ROW('CONTROL MASTER'!#REF!)-1))))+1))-1)*50+1,50))&amp;"_"&amp;INDEX('CONTROL MASTER'!$P$2:$P$495,(SUMPRODUCT((('CONTROL MASTER'!$S$2:$S$495=15)*('CONTROL MASTER'!$T$2:$T$495&lt;=2)*('CONTROL MASTER'!$V$2:$V$495&gt;=2)*('CONTROL MASTER'!$U$2:$U$495&lt;=2)*('CONTROL MASTER'!$W$2:$W$495&gt;=2))*ROW('CONTROL MASTER'!$S$2:$S$495))-(ROW('CONTROL MASTER'!#REF!)-1))),IF(SUMPRODUCT((('CONTROL MASTER'!$S$2:$S$495=15)*('CONTROL MASTER'!$Z$2:$Z$495&lt;=2)*('CONTROL MASTER'!$AB$2:$AB$495&gt;=2)*('CONTROL MASTER'!$AA$2:$AA$495&lt;=2)*('CONTROL MASTER'!$AC$2:$AC$495&gt;=2))*ROW('CONTROL MASTER'!$S$2:$S$495))&gt;0,INDEX('CONTROL MASTER'!$X$2:$X$495,(SUMPRODUCT((('CONTROL MASTER'!$S$2:$S$495=15)*('CONTROL MASTER'!$Z$2:$Z$495&lt;=2)*('CONTROL MASTER'!$AB$2:$AB$495&gt;=2)*('CONTROL MASTER'!$AA$2:$AA$495&lt;=2)*('CONTROL MASTER'!$AC$2:$AC$495&gt;=2))*ROW('CONTROL MASTER'!$S$2:$S$495))-(ROW('CONTROL MASTER'!#REF!)-1)))&amp;TRIM(MID(SUBSTITUTE(SUBSTITUTE(INDEX('CONTROL MASTER'!$N$2:$N$495,(SUMPRODUCT((('CONTROL MASTER'!$S$2:$S$495=15)*('CONTROL MASTER'!$Z$2:$Z$495&lt;=2)*('CONTROL MASTER'!$AB$2:$AB$495&gt;=2)*('CONTROL MASTER'!$AA$2:$AA$495&lt;=2)*('CONTROL MASTER'!$AC$2:$AC$495&gt;=2))*ROW('CONTROL MASTER'!$S$2:$S$495))-(ROW('CONTROL MASTER'!#REF!)-1))),":",","),",",REPT(" ",50)),(((INDEX('CONTROL MASTER'!$Y$2:$Y$495,(SUMPRODUCT((('CONTROL MASTER'!$S$2:$S$495=15)*('CONTROL MASTER'!$Z$2:$Z$495&lt;=2)*('CONTROL MASTER'!$AB$2:$AB$495&gt;=2)*('CONTROL MASTER'!$AA$2:$AA$495&lt;=2)*('CONTROL MASTER'!$AC$2:$AC$495&gt;=2))*ROW('CONTROL MASTER'!$S$2:$S$495))-(ROW('CONTROL MASTER'!#REF!)-1)))+((2-INDEX('CONTROL MASTER'!$Z$2:$Z$495,(SUMPRODUCT((('CONTROL MASTER'!$S$2:$S$495=15)*('CONTROL MASTER'!$Z$2:$Z$495&lt;=2)*('CONTROL MASTER'!$AB$2:$AB$495&gt;=2)*('CONTROL MASTER'!$AA$2:$AA$495&lt;=2)*('CONTROL MASTER'!$AC$2:$AC$495&gt;=2))*ROW('CONTROL MASTER'!$S$2:$S$495))-(ROW('CONTROL MASTER'!#REF!)-1))))*(INDEX('CONTROL MASTER'!$AC$2:$AC$495,(SUMPRODUCT((('CONTROL MASTER'!$S$2:$S$495=15)*('CONTROL MASTER'!$Z$2:$Z$495&lt;=2)*('CONTROL MASTER'!$AB$2:$AB$495&gt;=2)*('CONTROL MASTER'!$AA$2:$AA$495&lt;=2)*('CONTROL MASTER'!$AC$2:$AC$495&gt;=2))*ROW('CONTROL MASTER'!$S$2:$S$495))-(ROW('CONTROL MASTER'!#REF!)-1)))-INDEX('CONTROL MASTER'!$AA$2:$AA$495,(SUMPRODUCT((('CONTROL MASTER'!$S$2:$S$495=15)*('CONTROL MASTER'!$Z$2:$Z$495&lt;=2)*('CONTROL MASTER'!$AB$2:$AB$495&gt;=2)*('CONTROL MASTER'!$AA$2:$AA$495&lt;=2)*('CONTROL MASTER'!$AC$2:$AC$495&gt;=2))*ROW('CONTROL MASTER'!$S$2:$S$495))-(ROW('CONTROL MASTER'!#REF!)-1)))+1)+(2-INDEX('CONTROL MASTER'!$AA$2:$AA$495,(SUMPRODUCT((('CONTROL MASTER'!$S$2:$S$495=15)*('CONTROL MASTER'!$Z$2:$Z$495&lt;=2)*('CONTROL MASTER'!$AB$2:$AB$495&gt;=2)*('CONTROL MASTER'!$AA$2:$AA$495&lt;=2)*('CONTROL MASTER'!$AC$2:$AC$495&gt;=2))*ROW('CONTROL MASTER'!$S$2:$S$495))-(ROW('CONTROL MASTER'!#REF!)-1))))+1)))-1)*50+1,50))&amp;"_"&amp;INDEX('CONTROL MASTER'!$P$2:$P$495,(SUMPRODUCT((('CONTROL MASTER'!$S$2:$S$495=15)*('CONTROL MASTER'!$Z$2:$Z$495&lt;=2)*('CONTROL MASTER'!$AB$2:$AB$495&gt;=2)*('CONTROL MASTER'!$AA$2:$AA$495&lt;=2)*('CONTROL MASTER'!$AC$2:$AC$495&gt;=2))*ROW('CONTROL MASTER'!$S$2:$S$495))-(ROW('CONTROL MASTER'!#REF!)-1))),"")),"")</f>
        <v/>
      </c>
      <c r="D200" s="10" t="str">
        <f>IFERROR(IF(SUMPRODUCT((('CONTROL MASTER'!$S$2:$S$495=15)*('CONTROL MASTER'!$T$2:$T$495&lt;=2)*('CONTROL MASTER'!$V$2:$V$495&gt;=2)*('CONTROL MASTER'!$U$2:$U$495&lt;=3)*('CONTROL MASTER'!$W$2:$W$495&gt;=3))*ROW('CONTROL MASTER'!$S$2:$S$495))&gt;0,INDEX('CONTROL MASTER'!$X$2:$X$495,(SUMPRODUCT((('CONTROL MASTER'!$S$2:$S$495=15)*('CONTROL MASTER'!$T$2:$T$495&lt;=2)*('CONTROL MASTER'!$V$2:$V$495&gt;=2)*('CONTROL MASTER'!$U$2:$U$495&lt;=3)*('CONTROL MASTER'!$W$2:$W$495&gt;=3))*ROW('CONTROL MASTER'!$S$2:$S$495))-(ROW('CONTROL MASTER'!#REF!)-1)))&amp;TRIM(MID(SUBSTITUTE(SUBSTITUTE(INDEX('CONTROL MASTER'!$N$2:$N$495,(SUMPRODUCT((('CONTROL MASTER'!$S$2:$S$495=15)*('CONTROL MASTER'!$T$2:$T$495&lt;=2)*('CONTROL MASTER'!$V$2:$V$495&gt;=2)*('CONTROL MASTER'!$U$2:$U$495&lt;=3)*('CONTROL MASTER'!$W$2:$W$495&gt;=3))*ROW('CONTROL MASTER'!$S$2:$S$495))-(ROW('CONTROL MASTER'!#REF!)-1))),":",","),",",REPT(" ",50)),((((2-INDEX('CONTROL MASTER'!$T$2:$T$495,(SUMPRODUCT((('CONTROL MASTER'!$S$2:$S$495=15)*('CONTROL MASTER'!$T$2:$T$495&lt;=2)*('CONTROL MASTER'!$V$2:$V$495&gt;=2)*('CONTROL MASTER'!$U$2:$U$495&lt;=3)*('CONTROL MASTER'!$W$2:$W$495&gt;=3))*ROW('CONTROL MASTER'!$S$2:$S$495))-(ROW('CONTROL MASTER'!#REF!)-1))))*(INDEX('CONTROL MASTER'!$W$2:$W$495,(SUMPRODUCT((('CONTROL MASTER'!$S$2:$S$495=15)*('CONTROL MASTER'!$T$2:$T$495&lt;=2)*('CONTROL MASTER'!$V$2:$V$495&gt;=2)*('CONTROL MASTER'!$U$2:$U$495&lt;=3)*('CONTROL MASTER'!$W$2:$W$495&gt;=3))*ROW('CONTROL MASTER'!$S$2:$S$495))-(ROW('CONTROL MASTER'!#REF!)-1)))-INDEX('CONTROL MASTER'!$U$2:$U$495,(SUMPRODUCT((('CONTROL MASTER'!$S$2:$S$495=15)*('CONTROL MASTER'!$T$2:$T$495&lt;=2)*('CONTROL MASTER'!$V$2:$V$495&gt;=2)*('CONTROL MASTER'!$U$2:$U$495&lt;=3)*('CONTROL MASTER'!$W$2:$W$495&gt;=3))*ROW('CONTROL MASTER'!$S$2:$S$495))-(ROW('CONTROL MASTER'!#REF!)-1)))+1)+(3-INDEX('CONTROL MASTER'!$U$2:$U$495,(SUMPRODUCT((('CONTROL MASTER'!$S$2:$S$495=15)*('CONTROL MASTER'!$T$2:$T$495&lt;=2)*('CONTROL MASTER'!$V$2:$V$495&gt;=2)*('CONTROL MASTER'!$U$2:$U$495&lt;=3)*('CONTROL MASTER'!$W$2:$W$495&gt;=3))*ROW('CONTROL MASTER'!$S$2:$S$495))-(ROW('CONTROL MASTER'!#REF!)-1))))+1))-1)*50+1,50))&amp;"_"&amp;INDEX('CONTROL MASTER'!$P$2:$P$495,(SUMPRODUCT((('CONTROL MASTER'!$S$2:$S$495=15)*('CONTROL MASTER'!$T$2:$T$495&lt;=2)*('CONTROL MASTER'!$V$2:$V$495&gt;=2)*('CONTROL MASTER'!$U$2:$U$495&lt;=3)*('CONTROL MASTER'!$W$2:$W$495&gt;=3))*ROW('CONTROL MASTER'!$S$2:$S$495))-(ROW('CONTROL MASTER'!#REF!)-1))),IF(SUMPRODUCT((('CONTROL MASTER'!$S$2:$S$495=15)*('CONTROL MASTER'!$Z$2:$Z$495&lt;=2)*('CONTROL MASTER'!$AB$2:$AB$495&gt;=2)*('CONTROL MASTER'!$AA$2:$AA$495&lt;=3)*('CONTROL MASTER'!$AC$2:$AC$495&gt;=3))*ROW('CONTROL MASTER'!$S$2:$S$495))&gt;0,INDEX('CONTROL MASTER'!$X$2:$X$495,(SUMPRODUCT((('CONTROL MASTER'!$S$2:$S$495=15)*('CONTROL MASTER'!$Z$2:$Z$495&lt;=2)*('CONTROL MASTER'!$AB$2:$AB$495&gt;=2)*('CONTROL MASTER'!$AA$2:$AA$495&lt;=3)*('CONTROL MASTER'!$AC$2:$AC$495&gt;=3))*ROW('CONTROL MASTER'!$S$2:$S$495))-(ROW('CONTROL MASTER'!#REF!)-1)))&amp;TRIM(MID(SUBSTITUTE(SUBSTITUTE(INDEX('CONTROL MASTER'!$N$2:$N$495,(SUMPRODUCT((('CONTROL MASTER'!$S$2:$S$495=15)*('CONTROL MASTER'!$Z$2:$Z$495&lt;=2)*('CONTROL MASTER'!$AB$2:$AB$495&gt;=2)*('CONTROL MASTER'!$AA$2:$AA$495&lt;=3)*('CONTROL MASTER'!$AC$2:$AC$495&gt;=3))*ROW('CONTROL MASTER'!$S$2:$S$495))-(ROW('CONTROL MASTER'!#REF!)-1))),":",","),",",REPT(" ",50)),(((INDEX('CONTROL MASTER'!$Y$2:$Y$495,(SUMPRODUCT((('CONTROL MASTER'!$S$2:$S$495=15)*('CONTROL MASTER'!$Z$2:$Z$495&lt;=2)*('CONTROL MASTER'!$AB$2:$AB$495&gt;=2)*('CONTROL MASTER'!$AA$2:$AA$495&lt;=3)*('CONTROL MASTER'!$AC$2:$AC$495&gt;=3))*ROW('CONTROL MASTER'!$S$2:$S$495))-(ROW('CONTROL MASTER'!#REF!)-1)))+((2-INDEX('CONTROL MASTER'!$Z$2:$Z$495,(SUMPRODUCT((('CONTROL MASTER'!$S$2:$S$495=15)*('CONTROL MASTER'!$Z$2:$Z$495&lt;=2)*('CONTROL MASTER'!$AB$2:$AB$495&gt;=2)*('CONTROL MASTER'!$AA$2:$AA$495&lt;=3)*('CONTROL MASTER'!$AC$2:$AC$495&gt;=3))*ROW('CONTROL MASTER'!$S$2:$S$495))-(ROW('CONTROL MASTER'!#REF!)-1))))*(INDEX('CONTROL MASTER'!$AC$2:$AC$495,(SUMPRODUCT((('CONTROL MASTER'!$S$2:$S$495=15)*('CONTROL MASTER'!$Z$2:$Z$495&lt;=2)*('CONTROL MASTER'!$AB$2:$AB$495&gt;=2)*('CONTROL MASTER'!$AA$2:$AA$495&lt;=3)*('CONTROL MASTER'!$AC$2:$AC$495&gt;=3))*ROW('CONTROL MASTER'!$S$2:$S$495))-(ROW('CONTROL MASTER'!#REF!)-1)))-INDEX('CONTROL MASTER'!$AA$2:$AA$495,(SUMPRODUCT((('CONTROL MASTER'!$S$2:$S$495=15)*('CONTROL MASTER'!$Z$2:$Z$495&lt;=2)*('CONTROL MASTER'!$AB$2:$AB$495&gt;=2)*('CONTROL MASTER'!$AA$2:$AA$495&lt;=3)*('CONTROL MASTER'!$AC$2:$AC$495&gt;=3))*ROW('CONTROL MASTER'!$S$2:$S$495))-(ROW('CONTROL MASTER'!#REF!)-1)))+1)+(3-INDEX('CONTROL MASTER'!$AA$2:$AA$495,(SUMPRODUCT((('CONTROL MASTER'!$S$2:$S$495=15)*('CONTROL MASTER'!$Z$2:$Z$495&lt;=2)*('CONTROL MASTER'!$AB$2:$AB$495&gt;=2)*('CONTROL MASTER'!$AA$2:$AA$495&lt;=3)*('CONTROL MASTER'!$AC$2:$AC$495&gt;=3))*ROW('CONTROL MASTER'!$S$2:$S$495))-(ROW('CONTROL MASTER'!#REF!)-1))))+1)))-1)*50+1,50))&amp;"_"&amp;INDEX('CONTROL MASTER'!$P$2:$P$495,(SUMPRODUCT((('CONTROL MASTER'!$S$2:$S$495=15)*('CONTROL MASTER'!$Z$2:$Z$495&lt;=2)*('CONTROL MASTER'!$AB$2:$AB$495&gt;=2)*('CONTROL MASTER'!$AA$2:$AA$495&lt;=3)*('CONTROL MASTER'!$AC$2:$AC$495&gt;=3))*ROW('CONTROL MASTER'!$S$2:$S$495))-(ROW('CONTROL MASTER'!#REF!)-1))),"")),"")</f>
        <v/>
      </c>
      <c r="E200" s="10" t="str">
        <f>IFERROR(IF(SUMPRODUCT((('CONTROL MASTER'!$S$2:$S$495=15)*('CONTROL MASTER'!$T$2:$T$495&lt;=2)*('CONTROL MASTER'!$V$2:$V$495&gt;=2)*('CONTROL MASTER'!$U$2:$U$495&lt;=4)*('CONTROL MASTER'!$W$2:$W$495&gt;=4))*ROW('CONTROL MASTER'!$S$2:$S$495))&gt;0,INDEX('CONTROL MASTER'!$X$2:$X$495,(SUMPRODUCT((('CONTROL MASTER'!$S$2:$S$495=15)*('CONTROL MASTER'!$T$2:$T$495&lt;=2)*('CONTROL MASTER'!$V$2:$V$495&gt;=2)*('CONTROL MASTER'!$U$2:$U$495&lt;=4)*('CONTROL MASTER'!$W$2:$W$495&gt;=4))*ROW('CONTROL MASTER'!$S$2:$S$495))-(ROW('CONTROL MASTER'!#REF!)-1)))&amp;TRIM(MID(SUBSTITUTE(SUBSTITUTE(INDEX('CONTROL MASTER'!$N$2:$N$495,(SUMPRODUCT((('CONTROL MASTER'!$S$2:$S$495=15)*('CONTROL MASTER'!$T$2:$T$495&lt;=2)*('CONTROL MASTER'!$V$2:$V$495&gt;=2)*('CONTROL MASTER'!$U$2:$U$495&lt;=4)*('CONTROL MASTER'!$W$2:$W$495&gt;=4))*ROW('CONTROL MASTER'!$S$2:$S$495))-(ROW('CONTROL MASTER'!#REF!)-1))),":",","),",",REPT(" ",50)),((((2-INDEX('CONTROL MASTER'!$T$2:$T$495,(SUMPRODUCT((('CONTROL MASTER'!$S$2:$S$495=15)*('CONTROL MASTER'!$T$2:$T$495&lt;=2)*('CONTROL MASTER'!$V$2:$V$495&gt;=2)*('CONTROL MASTER'!$U$2:$U$495&lt;=4)*('CONTROL MASTER'!$W$2:$W$495&gt;=4))*ROW('CONTROL MASTER'!$S$2:$S$495))-(ROW('CONTROL MASTER'!#REF!)-1))))*(INDEX('CONTROL MASTER'!$W$2:$W$495,(SUMPRODUCT((('CONTROL MASTER'!$S$2:$S$495=15)*('CONTROL MASTER'!$T$2:$T$495&lt;=2)*('CONTROL MASTER'!$V$2:$V$495&gt;=2)*('CONTROL MASTER'!$U$2:$U$495&lt;=4)*('CONTROL MASTER'!$W$2:$W$495&gt;=4))*ROW('CONTROL MASTER'!$S$2:$S$495))-(ROW('CONTROL MASTER'!#REF!)-1)))-INDEX('CONTROL MASTER'!$U$2:$U$495,(SUMPRODUCT((('CONTROL MASTER'!$S$2:$S$495=15)*('CONTROL MASTER'!$T$2:$T$495&lt;=2)*('CONTROL MASTER'!$V$2:$V$495&gt;=2)*('CONTROL MASTER'!$U$2:$U$495&lt;=4)*('CONTROL MASTER'!$W$2:$W$495&gt;=4))*ROW('CONTROL MASTER'!$S$2:$S$495))-(ROW('CONTROL MASTER'!#REF!)-1)))+1)+(4-INDEX('CONTROL MASTER'!$U$2:$U$495,(SUMPRODUCT((('CONTROL MASTER'!$S$2:$S$495=15)*('CONTROL MASTER'!$T$2:$T$495&lt;=2)*('CONTROL MASTER'!$V$2:$V$495&gt;=2)*('CONTROL MASTER'!$U$2:$U$495&lt;=4)*('CONTROL MASTER'!$W$2:$W$495&gt;=4))*ROW('CONTROL MASTER'!$S$2:$S$495))-(ROW('CONTROL MASTER'!#REF!)-1))))+1))-1)*50+1,50))&amp;"_"&amp;INDEX('CONTROL MASTER'!$P$2:$P$495,(SUMPRODUCT((('CONTROL MASTER'!$S$2:$S$495=15)*('CONTROL MASTER'!$T$2:$T$495&lt;=2)*('CONTROL MASTER'!$V$2:$V$495&gt;=2)*('CONTROL MASTER'!$U$2:$U$495&lt;=4)*('CONTROL MASTER'!$W$2:$W$495&gt;=4))*ROW('CONTROL MASTER'!$S$2:$S$495))-(ROW('CONTROL MASTER'!#REF!)-1))),IF(SUMPRODUCT((('CONTROL MASTER'!$S$2:$S$495=15)*('CONTROL MASTER'!$Z$2:$Z$495&lt;=2)*('CONTROL MASTER'!$AB$2:$AB$495&gt;=2)*('CONTROL MASTER'!$AA$2:$AA$495&lt;=4)*('CONTROL MASTER'!$AC$2:$AC$495&gt;=4))*ROW('CONTROL MASTER'!$S$2:$S$495))&gt;0,INDEX('CONTROL MASTER'!$X$2:$X$495,(SUMPRODUCT((('CONTROL MASTER'!$S$2:$S$495=15)*('CONTROL MASTER'!$Z$2:$Z$495&lt;=2)*('CONTROL MASTER'!$AB$2:$AB$495&gt;=2)*('CONTROL MASTER'!$AA$2:$AA$495&lt;=4)*('CONTROL MASTER'!$AC$2:$AC$495&gt;=4))*ROW('CONTROL MASTER'!$S$2:$S$495))-(ROW('CONTROL MASTER'!#REF!)-1)))&amp;TRIM(MID(SUBSTITUTE(SUBSTITUTE(INDEX('CONTROL MASTER'!$N$2:$N$495,(SUMPRODUCT((('CONTROL MASTER'!$S$2:$S$495=15)*('CONTROL MASTER'!$Z$2:$Z$495&lt;=2)*('CONTROL MASTER'!$AB$2:$AB$495&gt;=2)*('CONTROL MASTER'!$AA$2:$AA$495&lt;=4)*('CONTROL MASTER'!$AC$2:$AC$495&gt;=4))*ROW('CONTROL MASTER'!$S$2:$S$495))-(ROW('CONTROL MASTER'!#REF!)-1))),":",","),",",REPT(" ",50)),(((INDEX('CONTROL MASTER'!$Y$2:$Y$495,(SUMPRODUCT((('CONTROL MASTER'!$S$2:$S$495=15)*('CONTROL MASTER'!$Z$2:$Z$495&lt;=2)*('CONTROL MASTER'!$AB$2:$AB$495&gt;=2)*('CONTROL MASTER'!$AA$2:$AA$495&lt;=4)*('CONTROL MASTER'!$AC$2:$AC$495&gt;=4))*ROW('CONTROL MASTER'!$S$2:$S$495))-(ROW('CONTROL MASTER'!#REF!)-1)))+((2-INDEX('CONTROL MASTER'!$Z$2:$Z$495,(SUMPRODUCT((('CONTROL MASTER'!$S$2:$S$495=15)*('CONTROL MASTER'!$Z$2:$Z$495&lt;=2)*('CONTROL MASTER'!$AB$2:$AB$495&gt;=2)*('CONTROL MASTER'!$AA$2:$AA$495&lt;=4)*('CONTROL MASTER'!$AC$2:$AC$495&gt;=4))*ROW('CONTROL MASTER'!$S$2:$S$495))-(ROW('CONTROL MASTER'!#REF!)-1))))*(INDEX('CONTROL MASTER'!$AC$2:$AC$495,(SUMPRODUCT((('CONTROL MASTER'!$S$2:$S$495=15)*('CONTROL MASTER'!$Z$2:$Z$495&lt;=2)*('CONTROL MASTER'!$AB$2:$AB$495&gt;=2)*('CONTROL MASTER'!$AA$2:$AA$495&lt;=4)*('CONTROL MASTER'!$AC$2:$AC$495&gt;=4))*ROW('CONTROL MASTER'!$S$2:$S$495))-(ROW('CONTROL MASTER'!#REF!)-1)))-INDEX('CONTROL MASTER'!$AA$2:$AA$495,(SUMPRODUCT((('CONTROL MASTER'!$S$2:$S$495=15)*('CONTROL MASTER'!$Z$2:$Z$495&lt;=2)*('CONTROL MASTER'!$AB$2:$AB$495&gt;=2)*('CONTROL MASTER'!$AA$2:$AA$495&lt;=4)*('CONTROL MASTER'!$AC$2:$AC$495&gt;=4))*ROW('CONTROL MASTER'!$S$2:$S$495))-(ROW('CONTROL MASTER'!#REF!)-1)))+1)+(4-INDEX('CONTROL MASTER'!$AA$2:$AA$495,(SUMPRODUCT((('CONTROL MASTER'!$S$2:$S$495=15)*('CONTROL MASTER'!$Z$2:$Z$495&lt;=2)*('CONTROL MASTER'!$AB$2:$AB$495&gt;=2)*('CONTROL MASTER'!$AA$2:$AA$495&lt;=4)*('CONTROL MASTER'!$AC$2:$AC$495&gt;=4))*ROW('CONTROL MASTER'!$S$2:$S$495))-(ROW('CONTROL MASTER'!#REF!)-1))))+1)))-1)*50+1,50))&amp;"_"&amp;INDEX('CONTROL MASTER'!$P$2:$P$495,(SUMPRODUCT((('CONTROL MASTER'!$S$2:$S$495=15)*('CONTROL MASTER'!$Z$2:$Z$495&lt;=2)*('CONTROL MASTER'!$AB$2:$AB$495&gt;=2)*('CONTROL MASTER'!$AA$2:$AA$495&lt;=4)*('CONTROL MASTER'!$AC$2:$AC$495&gt;=4))*ROW('CONTROL MASTER'!$S$2:$S$495))-(ROW('CONTROL MASTER'!#REF!)-1))),"")),"")</f>
        <v/>
      </c>
      <c r="F200" s="10" t="str">
        <f>IFERROR(IF(SUMPRODUCT((('CONTROL MASTER'!$S$2:$S$495=15)*('CONTROL MASTER'!$T$2:$T$495&lt;=2)*('CONTROL MASTER'!$V$2:$V$495&gt;=2)*('CONTROL MASTER'!$U$2:$U$495&lt;=5)*('CONTROL MASTER'!$W$2:$W$495&gt;=5))*ROW('CONTROL MASTER'!$S$2:$S$495))&gt;0,INDEX('CONTROL MASTER'!$X$2:$X$495,(SUMPRODUCT((('CONTROL MASTER'!$S$2:$S$495=15)*('CONTROL MASTER'!$T$2:$T$495&lt;=2)*('CONTROL MASTER'!$V$2:$V$495&gt;=2)*('CONTROL MASTER'!$U$2:$U$495&lt;=5)*('CONTROL MASTER'!$W$2:$W$495&gt;=5))*ROW('CONTROL MASTER'!$S$2:$S$495))-(ROW('CONTROL MASTER'!#REF!)-1)))&amp;TRIM(MID(SUBSTITUTE(SUBSTITUTE(INDEX('CONTROL MASTER'!$N$2:$N$495,(SUMPRODUCT((('CONTROL MASTER'!$S$2:$S$495=15)*('CONTROL MASTER'!$T$2:$T$495&lt;=2)*('CONTROL MASTER'!$V$2:$V$495&gt;=2)*('CONTROL MASTER'!$U$2:$U$495&lt;=5)*('CONTROL MASTER'!$W$2:$W$495&gt;=5))*ROW('CONTROL MASTER'!$S$2:$S$495))-(ROW('CONTROL MASTER'!#REF!)-1))),":",","),",",REPT(" ",50)),((((2-INDEX('CONTROL MASTER'!$T$2:$T$495,(SUMPRODUCT((('CONTROL MASTER'!$S$2:$S$495=15)*('CONTROL MASTER'!$T$2:$T$495&lt;=2)*('CONTROL MASTER'!$V$2:$V$495&gt;=2)*('CONTROL MASTER'!$U$2:$U$495&lt;=5)*('CONTROL MASTER'!$W$2:$W$495&gt;=5))*ROW('CONTROL MASTER'!$S$2:$S$495))-(ROW('CONTROL MASTER'!#REF!)-1))))*(INDEX('CONTROL MASTER'!$W$2:$W$495,(SUMPRODUCT((('CONTROL MASTER'!$S$2:$S$495=15)*('CONTROL MASTER'!$T$2:$T$495&lt;=2)*('CONTROL MASTER'!$V$2:$V$495&gt;=2)*('CONTROL MASTER'!$U$2:$U$495&lt;=5)*('CONTROL MASTER'!$W$2:$W$495&gt;=5))*ROW('CONTROL MASTER'!$S$2:$S$495))-(ROW('CONTROL MASTER'!#REF!)-1)))-INDEX('CONTROL MASTER'!$U$2:$U$495,(SUMPRODUCT((('CONTROL MASTER'!$S$2:$S$495=15)*('CONTROL MASTER'!$T$2:$T$495&lt;=2)*('CONTROL MASTER'!$V$2:$V$495&gt;=2)*('CONTROL MASTER'!$U$2:$U$495&lt;=5)*('CONTROL MASTER'!$W$2:$W$495&gt;=5))*ROW('CONTROL MASTER'!$S$2:$S$495))-(ROW('CONTROL MASTER'!#REF!)-1)))+1)+(5-INDEX('CONTROL MASTER'!$U$2:$U$495,(SUMPRODUCT((('CONTROL MASTER'!$S$2:$S$495=15)*('CONTROL MASTER'!$T$2:$T$495&lt;=2)*('CONTROL MASTER'!$V$2:$V$495&gt;=2)*('CONTROL MASTER'!$U$2:$U$495&lt;=5)*('CONTROL MASTER'!$W$2:$W$495&gt;=5))*ROW('CONTROL MASTER'!$S$2:$S$495))-(ROW('CONTROL MASTER'!#REF!)-1))))+1))-1)*50+1,50))&amp;"_"&amp;INDEX('CONTROL MASTER'!$P$2:$P$495,(SUMPRODUCT((('CONTROL MASTER'!$S$2:$S$495=15)*('CONTROL MASTER'!$T$2:$T$495&lt;=2)*('CONTROL MASTER'!$V$2:$V$495&gt;=2)*('CONTROL MASTER'!$U$2:$U$495&lt;=5)*('CONTROL MASTER'!$W$2:$W$495&gt;=5))*ROW('CONTROL MASTER'!$S$2:$S$495))-(ROW('CONTROL MASTER'!#REF!)-1))),IF(SUMPRODUCT((('CONTROL MASTER'!$S$2:$S$495=15)*('CONTROL MASTER'!$Z$2:$Z$495&lt;=2)*('CONTROL MASTER'!$AB$2:$AB$495&gt;=2)*('CONTROL MASTER'!$AA$2:$AA$495&lt;=5)*('CONTROL MASTER'!$AC$2:$AC$495&gt;=5))*ROW('CONTROL MASTER'!$S$2:$S$495))&gt;0,INDEX('CONTROL MASTER'!$X$2:$X$495,(SUMPRODUCT((('CONTROL MASTER'!$S$2:$S$495=15)*('CONTROL MASTER'!$Z$2:$Z$495&lt;=2)*('CONTROL MASTER'!$AB$2:$AB$495&gt;=2)*('CONTROL MASTER'!$AA$2:$AA$495&lt;=5)*('CONTROL MASTER'!$AC$2:$AC$495&gt;=5))*ROW('CONTROL MASTER'!$S$2:$S$495))-(ROW('CONTROL MASTER'!#REF!)-1)))&amp;TRIM(MID(SUBSTITUTE(SUBSTITUTE(INDEX('CONTROL MASTER'!$N$2:$N$495,(SUMPRODUCT((('CONTROL MASTER'!$S$2:$S$495=15)*('CONTROL MASTER'!$Z$2:$Z$495&lt;=2)*('CONTROL MASTER'!$AB$2:$AB$495&gt;=2)*('CONTROL MASTER'!$AA$2:$AA$495&lt;=5)*('CONTROL MASTER'!$AC$2:$AC$495&gt;=5))*ROW('CONTROL MASTER'!$S$2:$S$495))-(ROW('CONTROL MASTER'!#REF!)-1))),":",","),",",REPT(" ",50)),(((INDEX('CONTROL MASTER'!$Y$2:$Y$495,(SUMPRODUCT((('CONTROL MASTER'!$S$2:$S$495=15)*('CONTROL MASTER'!$Z$2:$Z$495&lt;=2)*('CONTROL MASTER'!$AB$2:$AB$495&gt;=2)*('CONTROL MASTER'!$AA$2:$AA$495&lt;=5)*('CONTROL MASTER'!$AC$2:$AC$495&gt;=5))*ROW('CONTROL MASTER'!$S$2:$S$495))-(ROW('CONTROL MASTER'!#REF!)-1)))+((2-INDEX('CONTROL MASTER'!$Z$2:$Z$495,(SUMPRODUCT((('CONTROL MASTER'!$S$2:$S$495=15)*('CONTROL MASTER'!$Z$2:$Z$495&lt;=2)*('CONTROL MASTER'!$AB$2:$AB$495&gt;=2)*('CONTROL MASTER'!$AA$2:$AA$495&lt;=5)*('CONTROL MASTER'!$AC$2:$AC$495&gt;=5))*ROW('CONTROL MASTER'!$S$2:$S$495))-(ROW('CONTROL MASTER'!#REF!)-1))))*(INDEX('CONTROL MASTER'!$AC$2:$AC$495,(SUMPRODUCT((('CONTROL MASTER'!$S$2:$S$495=15)*('CONTROL MASTER'!$Z$2:$Z$495&lt;=2)*('CONTROL MASTER'!$AB$2:$AB$495&gt;=2)*('CONTROL MASTER'!$AA$2:$AA$495&lt;=5)*('CONTROL MASTER'!$AC$2:$AC$495&gt;=5))*ROW('CONTROL MASTER'!$S$2:$S$495))-(ROW('CONTROL MASTER'!#REF!)-1)))-INDEX('CONTROL MASTER'!$AA$2:$AA$495,(SUMPRODUCT((('CONTROL MASTER'!$S$2:$S$495=15)*('CONTROL MASTER'!$Z$2:$Z$495&lt;=2)*('CONTROL MASTER'!$AB$2:$AB$495&gt;=2)*('CONTROL MASTER'!$AA$2:$AA$495&lt;=5)*('CONTROL MASTER'!$AC$2:$AC$495&gt;=5))*ROW('CONTROL MASTER'!$S$2:$S$495))-(ROW('CONTROL MASTER'!#REF!)-1)))+1)+(5-INDEX('CONTROL MASTER'!$AA$2:$AA$495,(SUMPRODUCT((('CONTROL MASTER'!$S$2:$S$495=15)*('CONTROL MASTER'!$Z$2:$Z$495&lt;=2)*('CONTROL MASTER'!$AB$2:$AB$495&gt;=2)*('CONTROL MASTER'!$AA$2:$AA$495&lt;=5)*('CONTROL MASTER'!$AC$2:$AC$495&gt;=5))*ROW('CONTROL MASTER'!$S$2:$S$495))-(ROW('CONTROL MASTER'!#REF!)-1))))+1)))-1)*50+1,50))&amp;"_"&amp;INDEX('CONTROL MASTER'!$P$2:$P$495,(SUMPRODUCT((('CONTROL MASTER'!$S$2:$S$495=15)*('CONTROL MASTER'!$Z$2:$Z$495&lt;=2)*('CONTROL MASTER'!$AB$2:$AB$495&gt;=2)*('CONTROL MASTER'!$AA$2:$AA$495&lt;=5)*('CONTROL MASTER'!$AC$2:$AC$495&gt;=5))*ROW('CONTROL MASTER'!$S$2:$S$495))-(ROW('CONTROL MASTER'!#REF!)-1))),"")),"")</f>
        <v/>
      </c>
      <c r="G200" s="10" t="str">
        <f>IFERROR(IF(SUMPRODUCT((('CONTROL MASTER'!$S$2:$S$495=15)*('CONTROL MASTER'!$T$2:$T$495&lt;=2)*('CONTROL MASTER'!$V$2:$V$495&gt;=2)*('CONTROL MASTER'!$U$2:$U$495&lt;=6)*('CONTROL MASTER'!$W$2:$W$495&gt;=6))*ROW('CONTROL MASTER'!$S$2:$S$495))&gt;0,INDEX('CONTROL MASTER'!$X$2:$X$495,(SUMPRODUCT((('CONTROL MASTER'!$S$2:$S$495=15)*('CONTROL MASTER'!$T$2:$T$495&lt;=2)*('CONTROL MASTER'!$V$2:$V$495&gt;=2)*('CONTROL MASTER'!$U$2:$U$495&lt;=6)*('CONTROL MASTER'!$W$2:$W$495&gt;=6))*ROW('CONTROL MASTER'!$S$2:$S$495))-(ROW('CONTROL MASTER'!#REF!)-1)))&amp;TRIM(MID(SUBSTITUTE(SUBSTITUTE(INDEX('CONTROL MASTER'!$N$2:$N$495,(SUMPRODUCT((('CONTROL MASTER'!$S$2:$S$495=15)*('CONTROL MASTER'!$T$2:$T$495&lt;=2)*('CONTROL MASTER'!$V$2:$V$495&gt;=2)*('CONTROL MASTER'!$U$2:$U$495&lt;=6)*('CONTROL MASTER'!$W$2:$W$495&gt;=6))*ROW('CONTROL MASTER'!$S$2:$S$495))-(ROW('CONTROL MASTER'!#REF!)-1))),":",","),",",REPT(" ",50)),((((2-INDEX('CONTROL MASTER'!$T$2:$T$495,(SUMPRODUCT((('CONTROL MASTER'!$S$2:$S$495=15)*('CONTROL MASTER'!$T$2:$T$495&lt;=2)*('CONTROL MASTER'!$V$2:$V$495&gt;=2)*('CONTROL MASTER'!$U$2:$U$495&lt;=6)*('CONTROL MASTER'!$W$2:$W$495&gt;=6))*ROW('CONTROL MASTER'!$S$2:$S$495))-(ROW('CONTROL MASTER'!#REF!)-1))))*(INDEX('CONTROL MASTER'!$W$2:$W$495,(SUMPRODUCT((('CONTROL MASTER'!$S$2:$S$495=15)*('CONTROL MASTER'!$T$2:$T$495&lt;=2)*('CONTROL MASTER'!$V$2:$V$495&gt;=2)*('CONTROL MASTER'!$U$2:$U$495&lt;=6)*('CONTROL MASTER'!$W$2:$W$495&gt;=6))*ROW('CONTROL MASTER'!$S$2:$S$495))-(ROW('CONTROL MASTER'!#REF!)-1)))-INDEX('CONTROL MASTER'!$U$2:$U$495,(SUMPRODUCT((('CONTROL MASTER'!$S$2:$S$495=15)*('CONTROL MASTER'!$T$2:$T$495&lt;=2)*('CONTROL MASTER'!$V$2:$V$495&gt;=2)*('CONTROL MASTER'!$U$2:$U$495&lt;=6)*('CONTROL MASTER'!$W$2:$W$495&gt;=6))*ROW('CONTROL MASTER'!$S$2:$S$495))-(ROW('CONTROL MASTER'!#REF!)-1)))+1)+(6-INDEX('CONTROL MASTER'!$U$2:$U$495,(SUMPRODUCT((('CONTROL MASTER'!$S$2:$S$495=15)*('CONTROL MASTER'!$T$2:$T$495&lt;=2)*('CONTROL MASTER'!$V$2:$V$495&gt;=2)*('CONTROL MASTER'!$U$2:$U$495&lt;=6)*('CONTROL MASTER'!$W$2:$W$495&gt;=6))*ROW('CONTROL MASTER'!$S$2:$S$495))-(ROW('CONTROL MASTER'!#REF!)-1))))+1))-1)*50+1,50))&amp;"_"&amp;INDEX('CONTROL MASTER'!$P$2:$P$495,(SUMPRODUCT((('CONTROL MASTER'!$S$2:$S$495=15)*('CONTROL MASTER'!$T$2:$T$495&lt;=2)*('CONTROL MASTER'!$V$2:$V$495&gt;=2)*('CONTROL MASTER'!$U$2:$U$495&lt;=6)*('CONTROL MASTER'!$W$2:$W$495&gt;=6))*ROW('CONTROL MASTER'!$S$2:$S$495))-(ROW('CONTROL MASTER'!#REF!)-1))),IF(SUMPRODUCT((('CONTROL MASTER'!$S$2:$S$495=15)*('CONTROL MASTER'!$Z$2:$Z$495&lt;=2)*('CONTROL MASTER'!$AB$2:$AB$495&gt;=2)*('CONTROL MASTER'!$AA$2:$AA$495&lt;=6)*('CONTROL MASTER'!$AC$2:$AC$495&gt;=6))*ROW('CONTROL MASTER'!$S$2:$S$495))&gt;0,INDEX('CONTROL MASTER'!$X$2:$X$495,(SUMPRODUCT((('CONTROL MASTER'!$S$2:$S$495=15)*('CONTROL MASTER'!$Z$2:$Z$495&lt;=2)*('CONTROL MASTER'!$AB$2:$AB$495&gt;=2)*('CONTROL MASTER'!$AA$2:$AA$495&lt;=6)*('CONTROL MASTER'!$AC$2:$AC$495&gt;=6))*ROW('CONTROL MASTER'!$S$2:$S$495))-(ROW('CONTROL MASTER'!#REF!)-1)))&amp;TRIM(MID(SUBSTITUTE(SUBSTITUTE(INDEX('CONTROL MASTER'!$N$2:$N$495,(SUMPRODUCT((('CONTROL MASTER'!$S$2:$S$495=15)*('CONTROL MASTER'!$Z$2:$Z$495&lt;=2)*('CONTROL MASTER'!$AB$2:$AB$495&gt;=2)*('CONTROL MASTER'!$AA$2:$AA$495&lt;=6)*('CONTROL MASTER'!$AC$2:$AC$495&gt;=6))*ROW('CONTROL MASTER'!$S$2:$S$495))-(ROW('CONTROL MASTER'!#REF!)-1))),":",","),",",REPT(" ",50)),(((INDEX('CONTROL MASTER'!$Y$2:$Y$495,(SUMPRODUCT((('CONTROL MASTER'!$S$2:$S$495=15)*('CONTROL MASTER'!$Z$2:$Z$495&lt;=2)*('CONTROL MASTER'!$AB$2:$AB$495&gt;=2)*('CONTROL MASTER'!$AA$2:$AA$495&lt;=6)*('CONTROL MASTER'!$AC$2:$AC$495&gt;=6))*ROW('CONTROL MASTER'!$S$2:$S$495))-(ROW('CONTROL MASTER'!#REF!)-1)))+((2-INDEX('CONTROL MASTER'!$Z$2:$Z$495,(SUMPRODUCT((('CONTROL MASTER'!$S$2:$S$495=15)*('CONTROL MASTER'!$Z$2:$Z$495&lt;=2)*('CONTROL MASTER'!$AB$2:$AB$495&gt;=2)*('CONTROL MASTER'!$AA$2:$AA$495&lt;=6)*('CONTROL MASTER'!$AC$2:$AC$495&gt;=6))*ROW('CONTROL MASTER'!$S$2:$S$495))-(ROW('CONTROL MASTER'!#REF!)-1))))*(INDEX('CONTROL MASTER'!$AC$2:$AC$495,(SUMPRODUCT((('CONTROL MASTER'!$S$2:$S$495=15)*('CONTROL MASTER'!$Z$2:$Z$495&lt;=2)*('CONTROL MASTER'!$AB$2:$AB$495&gt;=2)*('CONTROL MASTER'!$AA$2:$AA$495&lt;=6)*('CONTROL MASTER'!$AC$2:$AC$495&gt;=6))*ROW('CONTROL MASTER'!$S$2:$S$495))-(ROW('CONTROL MASTER'!#REF!)-1)))-INDEX('CONTROL MASTER'!$AA$2:$AA$495,(SUMPRODUCT((('CONTROL MASTER'!$S$2:$S$495=15)*('CONTROL MASTER'!$Z$2:$Z$495&lt;=2)*('CONTROL MASTER'!$AB$2:$AB$495&gt;=2)*('CONTROL MASTER'!$AA$2:$AA$495&lt;=6)*('CONTROL MASTER'!$AC$2:$AC$495&gt;=6))*ROW('CONTROL MASTER'!$S$2:$S$495))-(ROW('CONTROL MASTER'!#REF!)-1)))+1)+(6-INDEX('CONTROL MASTER'!$AA$2:$AA$495,(SUMPRODUCT((('CONTROL MASTER'!$S$2:$S$495=15)*('CONTROL MASTER'!$Z$2:$Z$495&lt;=2)*('CONTROL MASTER'!$AB$2:$AB$495&gt;=2)*('CONTROL MASTER'!$AA$2:$AA$495&lt;=6)*('CONTROL MASTER'!$AC$2:$AC$495&gt;=6))*ROW('CONTROL MASTER'!$S$2:$S$495))-(ROW('CONTROL MASTER'!#REF!)-1))))+1)))-1)*50+1,50))&amp;"_"&amp;INDEX('CONTROL MASTER'!$P$2:$P$495,(SUMPRODUCT((('CONTROL MASTER'!$S$2:$S$495=15)*('CONTROL MASTER'!$Z$2:$Z$495&lt;=2)*('CONTROL MASTER'!$AB$2:$AB$495&gt;=2)*('CONTROL MASTER'!$AA$2:$AA$495&lt;=6)*('CONTROL MASTER'!$AC$2:$AC$495&gt;=6))*ROW('CONTROL MASTER'!$S$2:$S$495))-(ROW('CONTROL MASTER'!#REF!)-1))),"")),"")</f>
        <v/>
      </c>
      <c r="H200" s="10" t="str">
        <f>IFERROR(IF(SUMPRODUCT((('CONTROL MASTER'!$S$2:$S$495=15)*('CONTROL MASTER'!$T$2:$T$495&lt;=2)*('CONTROL MASTER'!$V$2:$V$495&gt;=2)*('CONTROL MASTER'!$U$2:$U$495&lt;=7)*('CONTROL MASTER'!$W$2:$W$495&gt;=7))*ROW('CONTROL MASTER'!$S$2:$S$495))&gt;0,INDEX('CONTROL MASTER'!$X$2:$X$495,(SUMPRODUCT((('CONTROL MASTER'!$S$2:$S$495=15)*('CONTROL MASTER'!$T$2:$T$495&lt;=2)*('CONTROL MASTER'!$V$2:$V$495&gt;=2)*('CONTROL MASTER'!$U$2:$U$495&lt;=7)*('CONTROL MASTER'!$W$2:$W$495&gt;=7))*ROW('CONTROL MASTER'!$S$2:$S$495))-(ROW('CONTROL MASTER'!#REF!)-1)))&amp;TRIM(MID(SUBSTITUTE(SUBSTITUTE(INDEX('CONTROL MASTER'!$N$2:$N$495,(SUMPRODUCT((('CONTROL MASTER'!$S$2:$S$495=15)*('CONTROL MASTER'!$T$2:$T$495&lt;=2)*('CONTROL MASTER'!$V$2:$V$495&gt;=2)*('CONTROL MASTER'!$U$2:$U$495&lt;=7)*('CONTROL MASTER'!$W$2:$W$495&gt;=7))*ROW('CONTROL MASTER'!$S$2:$S$495))-(ROW('CONTROL MASTER'!#REF!)-1))),":",","),",",REPT(" ",50)),((((2-INDEX('CONTROL MASTER'!$T$2:$T$495,(SUMPRODUCT((('CONTROL MASTER'!$S$2:$S$495=15)*('CONTROL MASTER'!$T$2:$T$495&lt;=2)*('CONTROL MASTER'!$V$2:$V$495&gt;=2)*('CONTROL MASTER'!$U$2:$U$495&lt;=7)*('CONTROL MASTER'!$W$2:$W$495&gt;=7))*ROW('CONTROL MASTER'!$S$2:$S$495))-(ROW('CONTROL MASTER'!#REF!)-1))))*(INDEX('CONTROL MASTER'!$W$2:$W$495,(SUMPRODUCT((('CONTROL MASTER'!$S$2:$S$495=15)*('CONTROL MASTER'!$T$2:$T$495&lt;=2)*('CONTROL MASTER'!$V$2:$V$495&gt;=2)*('CONTROL MASTER'!$U$2:$U$495&lt;=7)*('CONTROL MASTER'!$W$2:$W$495&gt;=7))*ROW('CONTROL MASTER'!$S$2:$S$495))-(ROW('CONTROL MASTER'!#REF!)-1)))-INDEX('CONTROL MASTER'!$U$2:$U$495,(SUMPRODUCT((('CONTROL MASTER'!$S$2:$S$495=15)*('CONTROL MASTER'!$T$2:$T$495&lt;=2)*('CONTROL MASTER'!$V$2:$V$495&gt;=2)*('CONTROL MASTER'!$U$2:$U$495&lt;=7)*('CONTROL MASTER'!$W$2:$W$495&gt;=7))*ROW('CONTROL MASTER'!$S$2:$S$495))-(ROW('CONTROL MASTER'!#REF!)-1)))+1)+(7-INDEX('CONTROL MASTER'!$U$2:$U$495,(SUMPRODUCT((('CONTROL MASTER'!$S$2:$S$495=15)*('CONTROL MASTER'!$T$2:$T$495&lt;=2)*('CONTROL MASTER'!$V$2:$V$495&gt;=2)*('CONTROL MASTER'!$U$2:$U$495&lt;=7)*('CONTROL MASTER'!$W$2:$W$495&gt;=7))*ROW('CONTROL MASTER'!$S$2:$S$495))-(ROW('CONTROL MASTER'!#REF!)-1))))+1))-1)*50+1,50))&amp;"_"&amp;INDEX('CONTROL MASTER'!$P$2:$P$495,(SUMPRODUCT((('CONTROL MASTER'!$S$2:$S$495=15)*('CONTROL MASTER'!$T$2:$T$495&lt;=2)*('CONTROL MASTER'!$V$2:$V$495&gt;=2)*('CONTROL MASTER'!$U$2:$U$495&lt;=7)*('CONTROL MASTER'!$W$2:$W$495&gt;=7))*ROW('CONTROL MASTER'!$S$2:$S$495))-(ROW('CONTROL MASTER'!#REF!)-1))),IF(SUMPRODUCT((('CONTROL MASTER'!$S$2:$S$495=15)*('CONTROL MASTER'!$Z$2:$Z$495&lt;=2)*('CONTROL MASTER'!$AB$2:$AB$495&gt;=2)*('CONTROL MASTER'!$AA$2:$AA$495&lt;=7)*('CONTROL MASTER'!$AC$2:$AC$495&gt;=7))*ROW('CONTROL MASTER'!$S$2:$S$495))&gt;0,INDEX('CONTROL MASTER'!$X$2:$X$495,(SUMPRODUCT((('CONTROL MASTER'!$S$2:$S$495=15)*('CONTROL MASTER'!$Z$2:$Z$495&lt;=2)*('CONTROL MASTER'!$AB$2:$AB$495&gt;=2)*('CONTROL MASTER'!$AA$2:$AA$495&lt;=7)*('CONTROL MASTER'!$AC$2:$AC$495&gt;=7))*ROW('CONTROL MASTER'!$S$2:$S$495))-(ROW('CONTROL MASTER'!#REF!)-1)))&amp;TRIM(MID(SUBSTITUTE(SUBSTITUTE(INDEX('CONTROL MASTER'!$N$2:$N$495,(SUMPRODUCT((('CONTROL MASTER'!$S$2:$S$495=15)*('CONTROL MASTER'!$Z$2:$Z$495&lt;=2)*('CONTROL MASTER'!$AB$2:$AB$495&gt;=2)*('CONTROL MASTER'!$AA$2:$AA$495&lt;=7)*('CONTROL MASTER'!$AC$2:$AC$495&gt;=7))*ROW('CONTROL MASTER'!$S$2:$S$495))-(ROW('CONTROL MASTER'!#REF!)-1))),":",","),",",REPT(" ",50)),(((INDEX('CONTROL MASTER'!$Y$2:$Y$495,(SUMPRODUCT((('CONTROL MASTER'!$S$2:$S$495=15)*('CONTROL MASTER'!$Z$2:$Z$495&lt;=2)*('CONTROL MASTER'!$AB$2:$AB$495&gt;=2)*('CONTROL MASTER'!$AA$2:$AA$495&lt;=7)*('CONTROL MASTER'!$AC$2:$AC$495&gt;=7))*ROW('CONTROL MASTER'!$S$2:$S$495))-(ROW('CONTROL MASTER'!#REF!)-1)))+((2-INDEX('CONTROL MASTER'!$Z$2:$Z$495,(SUMPRODUCT((('CONTROL MASTER'!$S$2:$S$495=15)*('CONTROL MASTER'!$Z$2:$Z$495&lt;=2)*('CONTROL MASTER'!$AB$2:$AB$495&gt;=2)*('CONTROL MASTER'!$AA$2:$AA$495&lt;=7)*('CONTROL MASTER'!$AC$2:$AC$495&gt;=7))*ROW('CONTROL MASTER'!$S$2:$S$495))-(ROW('CONTROL MASTER'!#REF!)-1))))*(INDEX('CONTROL MASTER'!$AC$2:$AC$495,(SUMPRODUCT((('CONTROL MASTER'!$S$2:$S$495=15)*('CONTROL MASTER'!$Z$2:$Z$495&lt;=2)*('CONTROL MASTER'!$AB$2:$AB$495&gt;=2)*('CONTROL MASTER'!$AA$2:$AA$495&lt;=7)*('CONTROL MASTER'!$AC$2:$AC$495&gt;=7))*ROW('CONTROL MASTER'!$S$2:$S$495))-(ROW('CONTROL MASTER'!#REF!)-1)))-INDEX('CONTROL MASTER'!$AA$2:$AA$495,(SUMPRODUCT((('CONTROL MASTER'!$S$2:$S$495=15)*('CONTROL MASTER'!$Z$2:$Z$495&lt;=2)*('CONTROL MASTER'!$AB$2:$AB$495&gt;=2)*('CONTROL MASTER'!$AA$2:$AA$495&lt;=7)*('CONTROL MASTER'!$AC$2:$AC$495&gt;=7))*ROW('CONTROL MASTER'!$S$2:$S$495))-(ROW('CONTROL MASTER'!#REF!)-1)))+1)+(7-INDEX('CONTROL MASTER'!$AA$2:$AA$495,(SUMPRODUCT((('CONTROL MASTER'!$S$2:$S$495=15)*('CONTROL MASTER'!$Z$2:$Z$495&lt;=2)*('CONTROL MASTER'!$AB$2:$AB$495&gt;=2)*('CONTROL MASTER'!$AA$2:$AA$495&lt;=7)*('CONTROL MASTER'!$AC$2:$AC$495&gt;=7))*ROW('CONTROL MASTER'!$S$2:$S$495))-(ROW('CONTROL MASTER'!#REF!)-1))))+1)))-1)*50+1,50))&amp;"_"&amp;INDEX('CONTROL MASTER'!$P$2:$P$495,(SUMPRODUCT((('CONTROL MASTER'!$S$2:$S$495=15)*('CONTROL MASTER'!$Z$2:$Z$495&lt;=2)*('CONTROL MASTER'!$AB$2:$AB$495&gt;=2)*('CONTROL MASTER'!$AA$2:$AA$495&lt;=7)*('CONTROL MASTER'!$AC$2:$AC$495&gt;=7))*ROW('CONTROL MASTER'!$S$2:$S$495))-(ROW('CONTROL MASTER'!#REF!)-1))),"")),"")</f>
        <v/>
      </c>
      <c r="I200" s="10" t="str">
        <f>IFERROR(IF(SUMPRODUCT((('CONTROL MASTER'!$S$2:$S$495=15)*('CONTROL MASTER'!$T$2:$T$495&lt;=2)*('CONTROL MASTER'!$V$2:$V$495&gt;=2)*('CONTROL MASTER'!$U$2:$U$495&lt;=8)*('CONTROL MASTER'!$W$2:$W$495&gt;=8))*ROW('CONTROL MASTER'!$S$2:$S$495))&gt;0,INDEX('CONTROL MASTER'!$X$2:$X$495,(SUMPRODUCT((('CONTROL MASTER'!$S$2:$S$495=15)*('CONTROL MASTER'!$T$2:$T$495&lt;=2)*('CONTROL MASTER'!$V$2:$V$495&gt;=2)*('CONTROL MASTER'!$U$2:$U$495&lt;=8)*('CONTROL MASTER'!$W$2:$W$495&gt;=8))*ROW('CONTROL MASTER'!$S$2:$S$495))-(ROW('CONTROL MASTER'!#REF!)-1)))&amp;TRIM(MID(SUBSTITUTE(SUBSTITUTE(INDEX('CONTROL MASTER'!$N$2:$N$495,(SUMPRODUCT((('CONTROL MASTER'!$S$2:$S$495=15)*('CONTROL MASTER'!$T$2:$T$495&lt;=2)*('CONTROL MASTER'!$V$2:$V$495&gt;=2)*('CONTROL MASTER'!$U$2:$U$495&lt;=8)*('CONTROL MASTER'!$W$2:$W$495&gt;=8))*ROW('CONTROL MASTER'!$S$2:$S$495))-(ROW('CONTROL MASTER'!#REF!)-1))),":",","),",",REPT(" ",50)),((((2-INDEX('CONTROL MASTER'!$T$2:$T$495,(SUMPRODUCT((('CONTROL MASTER'!$S$2:$S$495=15)*('CONTROL MASTER'!$T$2:$T$495&lt;=2)*('CONTROL MASTER'!$V$2:$V$495&gt;=2)*('CONTROL MASTER'!$U$2:$U$495&lt;=8)*('CONTROL MASTER'!$W$2:$W$495&gt;=8))*ROW('CONTROL MASTER'!$S$2:$S$495))-(ROW('CONTROL MASTER'!#REF!)-1))))*(INDEX('CONTROL MASTER'!$W$2:$W$495,(SUMPRODUCT((('CONTROL MASTER'!$S$2:$S$495=15)*('CONTROL MASTER'!$T$2:$T$495&lt;=2)*('CONTROL MASTER'!$V$2:$V$495&gt;=2)*('CONTROL MASTER'!$U$2:$U$495&lt;=8)*('CONTROL MASTER'!$W$2:$W$495&gt;=8))*ROW('CONTROL MASTER'!$S$2:$S$495))-(ROW('CONTROL MASTER'!#REF!)-1)))-INDEX('CONTROL MASTER'!$U$2:$U$495,(SUMPRODUCT((('CONTROL MASTER'!$S$2:$S$495=15)*('CONTROL MASTER'!$T$2:$T$495&lt;=2)*('CONTROL MASTER'!$V$2:$V$495&gt;=2)*('CONTROL MASTER'!$U$2:$U$495&lt;=8)*('CONTROL MASTER'!$W$2:$W$495&gt;=8))*ROW('CONTROL MASTER'!$S$2:$S$495))-(ROW('CONTROL MASTER'!#REF!)-1)))+1)+(8-INDEX('CONTROL MASTER'!$U$2:$U$495,(SUMPRODUCT((('CONTROL MASTER'!$S$2:$S$495=15)*('CONTROL MASTER'!$T$2:$T$495&lt;=2)*('CONTROL MASTER'!$V$2:$V$495&gt;=2)*('CONTROL MASTER'!$U$2:$U$495&lt;=8)*('CONTROL MASTER'!$W$2:$W$495&gt;=8))*ROW('CONTROL MASTER'!$S$2:$S$495))-(ROW('CONTROL MASTER'!#REF!)-1))))+1))-1)*50+1,50))&amp;"_"&amp;INDEX('CONTROL MASTER'!$P$2:$P$495,(SUMPRODUCT((('CONTROL MASTER'!$S$2:$S$495=15)*('CONTROL MASTER'!$T$2:$T$495&lt;=2)*('CONTROL MASTER'!$V$2:$V$495&gt;=2)*('CONTROL MASTER'!$U$2:$U$495&lt;=8)*('CONTROL MASTER'!$W$2:$W$495&gt;=8))*ROW('CONTROL MASTER'!$S$2:$S$495))-(ROW('CONTROL MASTER'!#REF!)-1))),IF(SUMPRODUCT((('CONTROL MASTER'!$S$2:$S$495=15)*('CONTROL MASTER'!$Z$2:$Z$495&lt;=2)*('CONTROL MASTER'!$AB$2:$AB$495&gt;=2)*('CONTROL MASTER'!$AA$2:$AA$495&lt;=8)*('CONTROL MASTER'!$AC$2:$AC$495&gt;=8))*ROW('CONTROL MASTER'!$S$2:$S$495))&gt;0,INDEX('CONTROL MASTER'!$X$2:$X$495,(SUMPRODUCT((('CONTROL MASTER'!$S$2:$S$495=15)*('CONTROL MASTER'!$Z$2:$Z$495&lt;=2)*('CONTROL MASTER'!$AB$2:$AB$495&gt;=2)*('CONTROL MASTER'!$AA$2:$AA$495&lt;=8)*('CONTROL MASTER'!$AC$2:$AC$495&gt;=8))*ROW('CONTROL MASTER'!$S$2:$S$495))-(ROW('CONTROL MASTER'!#REF!)-1)))&amp;TRIM(MID(SUBSTITUTE(SUBSTITUTE(INDEX('CONTROL MASTER'!$N$2:$N$495,(SUMPRODUCT((('CONTROL MASTER'!$S$2:$S$495=15)*('CONTROL MASTER'!$Z$2:$Z$495&lt;=2)*('CONTROL MASTER'!$AB$2:$AB$495&gt;=2)*('CONTROL MASTER'!$AA$2:$AA$495&lt;=8)*('CONTROL MASTER'!$AC$2:$AC$495&gt;=8))*ROW('CONTROL MASTER'!$S$2:$S$495))-(ROW('CONTROL MASTER'!#REF!)-1))),":",","),",",REPT(" ",50)),(((INDEX('CONTROL MASTER'!$Y$2:$Y$495,(SUMPRODUCT((('CONTROL MASTER'!$S$2:$S$495=15)*('CONTROL MASTER'!$Z$2:$Z$495&lt;=2)*('CONTROL MASTER'!$AB$2:$AB$495&gt;=2)*('CONTROL MASTER'!$AA$2:$AA$495&lt;=8)*('CONTROL MASTER'!$AC$2:$AC$495&gt;=8))*ROW('CONTROL MASTER'!$S$2:$S$495))-(ROW('CONTROL MASTER'!#REF!)-1)))+((2-INDEX('CONTROL MASTER'!$Z$2:$Z$495,(SUMPRODUCT((('CONTROL MASTER'!$S$2:$S$495=15)*('CONTROL MASTER'!$Z$2:$Z$495&lt;=2)*('CONTROL MASTER'!$AB$2:$AB$495&gt;=2)*('CONTROL MASTER'!$AA$2:$AA$495&lt;=8)*('CONTROL MASTER'!$AC$2:$AC$495&gt;=8))*ROW('CONTROL MASTER'!$S$2:$S$495))-(ROW('CONTROL MASTER'!#REF!)-1))))*(INDEX('CONTROL MASTER'!$AC$2:$AC$495,(SUMPRODUCT((('CONTROL MASTER'!$S$2:$S$495=15)*('CONTROL MASTER'!$Z$2:$Z$495&lt;=2)*('CONTROL MASTER'!$AB$2:$AB$495&gt;=2)*('CONTROL MASTER'!$AA$2:$AA$495&lt;=8)*('CONTROL MASTER'!$AC$2:$AC$495&gt;=8))*ROW('CONTROL MASTER'!$S$2:$S$495))-(ROW('CONTROL MASTER'!#REF!)-1)))-INDEX('CONTROL MASTER'!$AA$2:$AA$495,(SUMPRODUCT((('CONTROL MASTER'!$S$2:$S$495=15)*('CONTROL MASTER'!$Z$2:$Z$495&lt;=2)*('CONTROL MASTER'!$AB$2:$AB$495&gt;=2)*('CONTROL MASTER'!$AA$2:$AA$495&lt;=8)*('CONTROL MASTER'!$AC$2:$AC$495&gt;=8))*ROW('CONTROL MASTER'!$S$2:$S$495))-(ROW('CONTROL MASTER'!#REF!)-1)))+1)+(8-INDEX('CONTROL MASTER'!$AA$2:$AA$495,(SUMPRODUCT((('CONTROL MASTER'!$S$2:$S$495=15)*('CONTROL MASTER'!$Z$2:$Z$495&lt;=2)*('CONTROL MASTER'!$AB$2:$AB$495&gt;=2)*('CONTROL MASTER'!$AA$2:$AA$495&lt;=8)*('CONTROL MASTER'!$AC$2:$AC$495&gt;=8))*ROW('CONTROL MASTER'!$S$2:$S$495))-(ROW('CONTROL MASTER'!#REF!)-1))))+1)))-1)*50+1,50))&amp;"_"&amp;INDEX('CONTROL MASTER'!$P$2:$P$495,(SUMPRODUCT((('CONTROL MASTER'!$S$2:$S$495=15)*('CONTROL MASTER'!$Z$2:$Z$495&lt;=2)*('CONTROL MASTER'!$AB$2:$AB$495&gt;=2)*('CONTROL MASTER'!$AA$2:$AA$495&lt;=8)*('CONTROL MASTER'!$AC$2:$AC$495&gt;=8))*ROW('CONTROL MASTER'!$S$2:$S$495))-(ROW('CONTROL MASTER'!#REF!)-1))),"")),"")</f>
        <v/>
      </c>
      <c r="J200" s="10" t="str">
        <f>IFERROR(IF(SUMPRODUCT((('CONTROL MASTER'!$S$2:$S$495=15)*('CONTROL MASTER'!$T$2:$T$495&lt;=2)*('CONTROL MASTER'!$V$2:$V$495&gt;=2)*('CONTROL MASTER'!$U$2:$U$495&lt;=9)*('CONTROL MASTER'!$W$2:$W$495&gt;=9))*ROW('CONTROL MASTER'!$S$2:$S$495))&gt;0,INDEX('CONTROL MASTER'!$X$2:$X$495,(SUMPRODUCT((('CONTROL MASTER'!$S$2:$S$495=15)*('CONTROL MASTER'!$T$2:$T$495&lt;=2)*('CONTROL MASTER'!$V$2:$V$495&gt;=2)*('CONTROL MASTER'!$U$2:$U$495&lt;=9)*('CONTROL MASTER'!$W$2:$W$495&gt;=9))*ROW('CONTROL MASTER'!$S$2:$S$495))-(ROW('CONTROL MASTER'!#REF!)-1)))&amp;TRIM(MID(SUBSTITUTE(SUBSTITUTE(INDEX('CONTROL MASTER'!$N$2:$N$495,(SUMPRODUCT((('CONTROL MASTER'!$S$2:$S$495=15)*('CONTROL MASTER'!$T$2:$T$495&lt;=2)*('CONTROL MASTER'!$V$2:$V$495&gt;=2)*('CONTROL MASTER'!$U$2:$U$495&lt;=9)*('CONTROL MASTER'!$W$2:$W$495&gt;=9))*ROW('CONTROL MASTER'!$S$2:$S$495))-(ROW('CONTROL MASTER'!#REF!)-1))),":",","),",",REPT(" ",50)),((((2-INDEX('CONTROL MASTER'!$T$2:$T$495,(SUMPRODUCT((('CONTROL MASTER'!$S$2:$S$495=15)*('CONTROL MASTER'!$T$2:$T$495&lt;=2)*('CONTROL MASTER'!$V$2:$V$495&gt;=2)*('CONTROL MASTER'!$U$2:$U$495&lt;=9)*('CONTROL MASTER'!$W$2:$W$495&gt;=9))*ROW('CONTROL MASTER'!$S$2:$S$495))-(ROW('CONTROL MASTER'!#REF!)-1))))*(INDEX('CONTROL MASTER'!$W$2:$W$495,(SUMPRODUCT((('CONTROL MASTER'!$S$2:$S$495=15)*('CONTROL MASTER'!$T$2:$T$495&lt;=2)*('CONTROL MASTER'!$V$2:$V$495&gt;=2)*('CONTROL MASTER'!$U$2:$U$495&lt;=9)*('CONTROL MASTER'!$W$2:$W$495&gt;=9))*ROW('CONTROL MASTER'!$S$2:$S$495))-(ROW('CONTROL MASTER'!#REF!)-1)))-INDEX('CONTROL MASTER'!$U$2:$U$495,(SUMPRODUCT((('CONTROL MASTER'!$S$2:$S$495=15)*('CONTROL MASTER'!$T$2:$T$495&lt;=2)*('CONTROL MASTER'!$V$2:$V$495&gt;=2)*('CONTROL MASTER'!$U$2:$U$495&lt;=9)*('CONTROL MASTER'!$W$2:$W$495&gt;=9))*ROW('CONTROL MASTER'!$S$2:$S$495))-(ROW('CONTROL MASTER'!#REF!)-1)))+1)+(9-INDEX('CONTROL MASTER'!$U$2:$U$495,(SUMPRODUCT((('CONTROL MASTER'!$S$2:$S$495=15)*('CONTROL MASTER'!$T$2:$T$495&lt;=2)*('CONTROL MASTER'!$V$2:$V$495&gt;=2)*('CONTROL MASTER'!$U$2:$U$495&lt;=9)*('CONTROL MASTER'!$W$2:$W$495&gt;=9))*ROW('CONTROL MASTER'!$S$2:$S$495))-(ROW('CONTROL MASTER'!#REF!)-1))))+1))-1)*50+1,50))&amp;"_"&amp;INDEX('CONTROL MASTER'!$P$2:$P$495,(SUMPRODUCT((('CONTROL MASTER'!$S$2:$S$495=15)*('CONTROL MASTER'!$T$2:$T$495&lt;=2)*('CONTROL MASTER'!$V$2:$V$495&gt;=2)*('CONTROL MASTER'!$U$2:$U$495&lt;=9)*('CONTROL MASTER'!$W$2:$W$495&gt;=9))*ROW('CONTROL MASTER'!$S$2:$S$495))-(ROW('CONTROL MASTER'!#REF!)-1))),IF(SUMPRODUCT((('CONTROL MASTER'!$S$2:$S$495=15)*('CONTROL MASTER'!$Z$2:$Z$495&lt;=2)*('CONTROL MASTER'!$AB$2:$AB$495&gt;=2)*('CONTROL MASTER'!$AA$2:$AA$495&lt;=9)*('CONTROL MASTER'!$AC$2:$AC$495&gt;=9))*ROW('CONTROL MASTER'!$S$2:$S$495))&gt;0,INDEX('CONTROL MASTER'!$X$2:$X$495,(SUMPRODUCT((('CONTROL MASTER'!$S$2:$S$495=15)*('CONTROL MASTER'!$Z$2:$Z$495&lt;=2)*('CONTROL MASTER'!$AB$2:$AB$495&gt;=2)*('CONTROL MASTER'!$AA$2:$AA$495&lt;=9)*('CONTROL MASTER'!$AC$2:$AC$495&gt;=9))*ROW('CONTROL MASTER'!$S$2:$S$495))-(ROW('CONTROL MASTER'!#REF!)-1)))&amp;TRIM(MID(SUBSTITUTE(SUBSTITUTE(INDEX('CONTROL MASTER'!$N$2:$N$495,(SUMPRODUCT((('CONTROL MASTER'!$S$2:$S$495=15)*('CONTROL MASTER'!$Z$2:$Z$495&lt;=2)*('CONTROL MASTER'!$AB$2:$AB$495&gt;=2)*('CONTROL MASTER'!$AA$2:$AA$495&lt;=9)*('CONTROL MASTER'!$AC$2:$AC$495&gt;=9))*ROW('CONTROL MASTER'!$S$2:$S$495))-(ROW('CONTROL MASTER'!#REF!)-1))),":",","),",",REPT(" ",50)),(((INDEX('CONTROL MASTER'!$Y$2:$Y$495,(SUMPRODUCT((('CONTROL MASTER'!$S$2:$S$495=15)*('CONTROL MASTER'!$Z$2:$Z$495&lt;=2)*('CONTROL MASTER'!$AB$2:$AB$495&gt;=2)*('CONTROL MASTER'!$AA$2:$AA$495&lt;=9)*('CONTROL MASTER'!$AC$2:$AC$495&gt;=9))*ROW('CONTROL MASTER'!$S$2:$S$495))-(ROW('CONTROL MASTER'!#REF!)-1)))+((2-INDEX('CONTROL MASTER'!$Z$2:$Z$495,(SUMPRODUCT((('CONTROL MASTER'!$S$2:$S$495=15)*('CONTROL MASTER'!$Z$2:$Z$495&lt;=2)*('CONTROL MASTER'!$AB$2:$AB$495&gt;=2)*('CONTROL MASTER'!$AA$2:$AA$495&lt;=9)*('CONTROL MASTER'!$AC$2:$AC$495&gt;=9))*ROW('CONTROL MASTER'!$S$2:$S$495))-(ROW('CONTROL MASTER'!#REF!)-1))))*(INDEX('CONTROL MASTER'!$AC$2:$AC$495,(SUMPRODUCT((('CONTROL MASTER'!$S$2:$S$495=15)*('CONTROL MASTER'!$Z$2:$Z$495&lt;=2)*('CONTROL MASTER'!$AB$2:$AB$495&gt;=2)*('CONTROL MASTER'!$AA$2:$AA$495&lt;=9)*('CONTROL MASTER'!$AC$2:$AC$495&gt;=9))*ROW('CONTROL MASTER'!$S$2:$S$495))-(ROW('CONTROL MASTER'!#REF!)-1)))-INDEX('CONTROL MASTER'!$AA$2:$AA$495,(SUMPRODUCT((('CONTROL MASTER'!$S$2:$S$495=15)*('CONTROL MASTER'!$Z$2:$Z$495&lt;=2)*('CONTROL MASTER'!$AB$2:$AB$495&gt;=2)*('CONTROL MASTER'!$AA$2:$AA$495&lt;=9)*('CONTROL MASTER'!$AC$2:$AC$495&gt;=9))*ROW('CONTROL MASTER'!$S$2:$S$495))-(ROW('CONTROL MASTER'!#REF!)-1)))+1)+(9-INDEX('CONTROL MASTER'!$AA$2:$AA$495,(SUMPRODUCT((('CONTROL MASTER'!$S$2:$S$495=15)*('CONTROL MASTER'!$Z$2:$Z$495&lt;=2)*('CONTROL MASTER'!$AB$2:$AB$495&gt;=2)*('CONTROL MASTER'!$AA$2:$AA$495&lt;=9)*('CONTROL MASTER'!$AC$2:$AC$495&gt;=9))*ROW('CONTROL MASTER'!$S$2:$S$495))-(ROW('CONTROL MASTER'!#REF!)-1))))+1)))-1)*50+1,50))&amp;"_"&amp;INDEX('CONTROL MASTER'!$P$2:$P$495,(SUMPRODUCT((('CONTROL MASTER'!$S$2:$S$495=15)*('CONTROL MASTER'!$Z$2:$Z$495&lt;=2)*('CONTROL MASTER'!$AB$2:$AB$495&gt;=2)*('CONTROL MASTER'!$AA$2:$AA$495&lt;=9)*('CONTROL MASTER'!$AC$2:$AC$495&gt;=9))*ROW('CONTROL MASTER'!$S$2:$S$495))-(ROW('CONTROL MASTER'!#REF!)-1))),"")),"")</f>
        <v/>
      </c>
      <c r="K200" s="10" t="str">
        <f>IFERROR(IF(SUMPRODUCT((('CONTROL MASTER'!$S$2:$S$495=15)*('CONTROL MASTER'!$T$2:$T$495&lt;=2)*('CONTROL MASTER'!$V$2:$V$495&gt;=2)*('CONTROL MASTER'!$U$2:$U$495&lt;=10)*('CONTROL MASTER'!$W$2:$W$495&gt;=10))*ROW('CONTROL MASTER'!$S$2:$S$495))&gt;0,INDEX('CONTROL MASTER'!$X$2:$X$495,(SUMPRODUCT((('CONTROL MASTER'!$S$2:$S$495=15)*('CONTROL MASTER'!$T$2:$T$495&lt;=2)*('CONTROL MASTER'!$V$2:$V$495&gt;=2)*('CONTROL MASTER'!$U$2:$U$495&lt;=10)*('CONTROL MASTER'!$W$2:$W$495&gt;=10))*ROW('CONTROL MASTER'!$S$2:$S$495))-(ROW('CONTROL MASTER'!#REF!)-1)))&amp;TRIM(MID(SUBSTITUTE(SUBSTITUTE(INDEX('CONTROL MASTER'!$N$2:$N$495,(SUMPRODUCT((('CONTROL MASTER'!$S$2:$S$495=15)*('CONTROL MASTER'!$T$2:$T$495&lt;=2)*('CONTROL MASTER'!$V$2:$V$495&gt;=2)*('CONTROL MASTER'!$U$2:$U$495&lt;=10)*('CONTROL MASTER'!$W$2:$W$495&gt;=10))*ROW('CONTROL MASTER'!$S$2:$S$495))-(ROW('CONTROL MASTER'!#REF!)-1))),":",","),",",REPT(" ",50)),((((2-INDEX('CONTROL MASTER'!$T$2:$T$495,(SUMPRODUCT((('CONTROL MASTER'!$S$2:$S$495=15)*('CONTROL MASTER'!$T$2:$T$495&lt;=2)*('CONTROL MASTER'!$V$2:$V$495&gt;=2)*('CONTROL MASTER'!$U$2:$U$495&lt;=10)*('CONTROL MASTER'!$W$2:$W$495&gt;=10))*ROW('CONTROL MASTER'!$S$2:$S$495))-(ROW('CONTROL MASTER'!#REF!)-1))))*(INDEX('CONTROL MASTER'!$W$2:$W$495,(SUMPRODUCT((('CONTROL MASTER'!$S$2:$S$495=15)*('CONTROL MASTER'!$T$2:$T$495&lt;=2)*('CONTROL MASTER'!$V$2:$V$495&gt;=2)*('CONTROL MASTER'!$U$2:$U$495&lt;=10)*('CONTROL MASTER'!$W$2:$W$495&gt;=10))*ROW('CONTROL MASTER'!$S$2:$S$495))-(ROW('CONTROL MASTER'!#REF!)-1)))-INDEX('CONTROL MASTER'!$U$2:$U$495,(SUMPRODUCT((('CONTROL MASTER'!$S$2:$S$495=15)*('CONTROL MASTER'!$T$2:$T$495&lt;=2)*('CONTROL MASTER'!$V$2:$V$495&gt;=2)*('CONTROL MASTER'!$U$2:$U$495&lt;=10)*('CONTROL MASTER'!$W$2:$W$495&gt;=10))*ROW('CONTROL MASTER'!$S$2:$S$495))-(ROW('CONTROL MASTER'!#REF!)-1)))+1)+(10-INDEX('CONTROL MASTER'!$U$2:$U$495,(SUMPRODUCT((('CONTROL MASTER'!$S$2:$S$495=15)*('CONTROL MASTER'!$T$2:$T$495&lt;=2)*('CONTROL MASTER'!$V$2:$V$495&gt;=2)*('CONTROL MASTER'!$U$2:$U$495&lt;=10)*('CONTROL MASTER'!$W$2:$W$495&gt;=10))*ROW('CONTROL MASTER'!$S$2:$S$495))-(ROW('CONTROL MASTER'!#REF!)-1))))+1))-1)*50+1,50))&amp;"_"&amp;INDEX('CONTROL MASTER'!$P$2:$P$495,(SUMPRODUCT((('CONTROL MASTER'!$S$2:$S$495=15)*('CONTROL MASTER'!$T$2:$T$495&lt;=2)*('CONTROL MASTER'!$V$2:$V$495&gt;=2)*('CONTROL MASTER'!$U$2:$U$495&lt;=10)*('CONTROL MASTER'!$W$2:$W$495&gt;=10))*ROW('CONTROL MASTER'!$S$2:$S$495))-(ROW('CONTROL MASTER'!#REF!)-1))),IF(SUMPRODUCT((('CONTROL MASTER'!$S$2:$S$495=15)*('CONTROL MASTER'!$Z$2:$Z$495&lt;=2)*('CONTROL MASTER'!$AB$2:$AB$495&gt;=2)*('CONTROL MASTER'!$AA$2:$AA$495&lt;=10)*('CONTROL MASTER'!$AC$2:$AC$495&gt;=10))*ROW('CONTROL MASTER'!$S$2:$S$495))&gt;0,INDEX('CONTROL MASTER'!$X$2:$X$495,(SUMPRODUCT((('CONTROL MASTER'!$S$2:$S$495=15)*('CONTROL MASTER'!$Z$2:$Z$495&lt;=2)*('CONTROL MASTER'!$AB$2:$AB$495&gt;=2)*('CONTROL MASTER'!$AA$2:$AA$495&lt;=10)*('CONTROL MASTER'!$AC$2:$AC$495&gt;=10))*ROW('CONTROL MASTER'!$S$2:$S$495))-(ROW('CONTROL MASTER'!#REF!)-1)))&amp;TRIM(MID(SUBSTITUTE(SUBSTITUTE(INDEX('CONTROL MASTER'!$N$2:$N$495,(SUMPRODUCT((('CONTROL MASTER'!$S$2:$S$495=15)*('CONTROL MASTER'!$Z$2:$Z$495&lt;=2)*('CONTROL MASTER'!$AB$2:$AB$495&gt;=2)*('CONTROL MASTER'!$AA$2:$AA$495&lt;=10)*('CONTROL MASTER'!$AC$2:$AC$495&gt;=10))*ROW('CONTROL MASTER'!$S$2:$S$495))-(ROW('CONTROL MASTER'!#REF!)-1))),":",","),",",REPT(" ",50)),(((INDEX('CONTROL MASTER'!$Y$2:$Y$495,(SUMPRODUCT((('CONTROL MASTER'!$S$2:$S$495=15)*('CONTROL MASTER'!$Z$2:$Z$495&lt;=2)*('CONTROL MASTER'!$AB$2:$AB$495&gt;=2)*('CONTROL MASTER'!$AA$2:$AA$495&lt;=10)*('CONTROL MASTER'!$AC$2:$AC$495&gt;=10))*ROW('CONTROL MASTER'!$S$2:$S$495))-(ROW('CONTROL MASTER'!#REF!)-1)))+((2-INDEX('CONTROL MASTER'!$Z$2:$Z$495,(SUMPRODUCT((('CONTROL MASTER'!$S$2:$S$495=15)*('CONTROL MASTER'!$Z$2:$Z$495&lt;=2)*('CONTROL MASTER'!$AB$2:$AB$495&gt;=2)*('CONTROL MASTER'!$AA$2:$AA$495&lt;=10)*('CONTROL MASTER'!$AC$2:$AC$495&gt;=10))*ROW('CONTROL MASTER'!$S$2:$S$495))-(ROW('CONTROL MASTER'!#REF!)-1))))*(INDEX('CONTROL MASTER'!$AC$2:$AC$495,(SUMPRODUCT((('CONTROL MASTER'!$S$2:$S$495=15)*('CONTROL MASTER'!$Z$2:$Z$495&lt;=2)*('CONTROL MASTER'!$AB$2:$AB$495&gt;=2)*('CONTROL MASTER'!$AA$2:$AA$495&lt;=10)*('CONTROL MASTER'!$AC$2:$AC$495&gt;=10))*ROW('CONTROL MASTER'!$S$2:$S$495))-(ROW('CONTROL MASTER'!#REF!)-1)))-INDEX('CONTROL MASTER'!$AA$2:$AA$495,(SUMPRODUCT((('CONTROL MASTER'!$S$2:$S$495=15)*('CONTROL MASTER'!$Z$2:$Z$495&lt;=2)*('CONTROL MASTER'!$AB$2:$AB$495&gt;=2)*('CONTROL MASTER'!$AA$2:$AA$495&lt;=10)*('CONTROL MASTER'!$AC$2:$AC$495&gt;=10))*ROW('CONTROL MASTER'!$S$2:$S$495))-(ROW('CONTROL MASTER'!#REF!)-1)))+1)+(10-INDEX('CONTROL MASTER'!$AA$2:$AA$495,(SUMPRODUCT((('CONTROL MASTER'!$S$2:$S$495=15)*('CONTROL MASTER'!$Z$2:$Z$495&lt;=2)*('CONTROL MASTER'!$AB$2:$AB$495&gt;=2)*('CONTROL MASTER'!$AA$2:$AA$495&lt;=10)*('CONTROL MASTER'!$AC$2:$AC$495&gt;=10))*ROW('CONTROL MASTER'!$S$2:$S$495))-(ROW('CONTROL MASTER'!#REF!)-1))))+1)))-1)*50+1,50))&amp;"_"&amp;INDEX('CONTROL MASTER'!$P$2:$P$495,(SUMPRODUCT((('CONTROL MASTER'!$S$2:$S$495=15)*('CONTROL MASTER'!$Z$2:$Z$495&lt;=2)*('CONTROL MASTER'!$AB$2:$AB$495&gt;=2)*('CONTROL MASTER'!$AA$2:$AA$495&lt;=10)*('CONTROL MASTER'!$AC$2:$AC$495&gt;=10))*ROW('CONTROL MASTER'!$S$2:$S$495))-(ROW('CONTROL MASTER'!#REF!)-1))),"")),"")</f>
        <v/>
      </c>
    </row>
    <row r="201" spans="1:11" ht="15" customHeight="1" x14ac:dyDescent="0.35">
      <c r="A201" s="8" t="s">
        <v>30</v>
      </c>
      <c r="B201" s="10" t="str">
        <f>IFERROR(IF(SUMPRODUCT((('CONTROL MASTER'!$S$2:$S$495=15)*('CONTROL MASTER'!$T$2:$T$495&lt;=3)*('CONTROL MASTER'!$V$2:$V$495&gt;=3)*('CONTROL MASTER'!$U$2:$U$495&lt;=1)*('CONTROL MASTER'!$W$2:$W$495&gt;=1))*ROW('CONTROL MASTER'!$S$2:$S$495))&gt;0,INDEX('CONTROL MASTER'!$X$2:$X$495,(SUMPRODUCT((('CONTROL MASTER'!$S$2:$S$495=15)*('CONTROL MASTER'!$T$2:$T$495&lt;=3)*('CONTROL MASTER'!$V$2:$V$495&gt;=3)*('CONTROL MASTER'!$U$2:$U$495&lt;=1)*('CONTROL MASTER'!$W$2:$W$495&gt;=1))*ROW('CONTROL MASTER'!$S$2:$S$495))-(ROW('CONTROL MASTER'!#REF!)-1)))&amp;TRIM(MID(SUBSTITUTE(SUBSTITUTE(INDEX('CONTROL MASTER'!$N$2:$N$495,(SUMPRODUCT((('CONTROL MASTER'!$S$2:$S$495=15)*('CONTROL MASTER'!$T$2:$T$495&lt;=3)*('CONTROL MASTER'!$V$2:$V$495&gt;=3)*('CONTROL MASTER'!$U$2:$U$495&lt;=1)*('CONTROL MASTER'!$W$2:$W$495&gt;=1))*ROW('CONTROL MASTER'!$S$2:$S$495))-(ROW('CONTROL MASTER'!#REF!)-1))),":",","),",",REPT(" ",50)),((((3-INDEX('CONTROL MASTER'!$T$2:$T$495,(SUMPRODUCT((('CONTROL MASTER'!$S$2:$S$495=15)*('CONTROL MASTER'!$T$2:$T$495&lt;=3)*('CONTROL MASTER'!$V$2:$V$495&gt;=3)*('CONTROL MASTER'!$U$2:$U$495&lt;=1)*('CONTROL MASTER'!$W$2:$W$495&gt;=1))*ROW('CONTROL MASTER'!$S$2:$S$495))-(ROW('CONTROL MASTER'!#REF!)-1))))*(INDEX('CONTROL MASTER'!$W$2:$W$495,(SUMPRODUCT((('CONTROL MASTER'!$S$2:$S$495=15)*('CONTROL MASTER'!$T$2:$T$495&lt;=3)*('CONTROL MASTER'!$V$2:$V$495&gt;=3)*('CONTROL MASTER'!$U$2:$U$495&lt;=1)*('CONTROL MASTER'!$W$2:$W$495&gt;=1))*ROW('CONTROL MASTER'!$S$2:$S$495))-(ROW('CONTROL MASTER'!#REF!)-1)))-INDEX('CONTROL MASTER'!$U$2:$U$495,(SUMPRODUCT((('CONTROL MASTER'!$S$2:$S$495=15)*('CONTROL MASTER'!$T$2:$T$495&lt;=3)*('CONTROL MASTER'!$V$2:$V$495&gt;=3)*('CONTROL MASTER'!$U$2:$U$495&lt;=1)*('CONTROL MASTER'!$W$2:$W$495&gt;=1))*ROW('CONTROL MASTER'!$S$2:$S$495))-(ROW('CONTROL MASTER'!#REF!)-1)))+1)+(1-INDEX('CONTROL MASTER'!$U$2:$U$495,(SUMPRODUCT((('CONTROL MASTER'!$S$2:$S$495=15)*('CONTROL MASTER'!$T$2:$T$495&lt;=3)*('CONTROL MASTER'!$V$2:$V$495&gt;=3)*('CONTROL MASTER'!$U$2:$U$495&lt;=1)*('CONTROL MASTER'!$W$2:$W$495&gt;=1))*ROW('CONTROL MASTER'!$S$2:$S$495))-(ROW('CONTROL MASTER'!#REF!)-1))))+1))-1)*50+1,50))&amp;"_"&amp;INDEX('CONTROL MASTER'!$P$2:$P$495,(SUMPRODUCT((('CONTROL MASTER'!$S$2:$S$495=15)*('CONTROL MASTER'!$T$2:$T$495&lt;=3)*('CONTROL MASTER'!$V$2:$V$495&gt;=3)*('CONTROL MASTER'!$U$2:$U$495&lt;=1)*('CONTROL MASTER'!$W$2:$W$495&gt;=1))*ROW('CONTROL MASTER'!$S$2:$S$495))-(ROW('CONTROL MASTER'!#REF!)-1))),IF(SUMPRODUCT((('CONTROL MASTER'!$S$2:$S$495=15)*('CONTROL MASTER'!$Z$2:$Z$495&lt;=3)*('CONTROL MASTER'!$AB$2:$AB$495&gt;=3)*('CONTROL MASTER'!$AA$2:$AA$495&lt;=1)*('CONTROL MASTER'!$AC$2:$AC$495&gt;=1))*ROW('CONTROL MASTER'!$S$2:$S$495))&gt;0,INDEX('CONTROL MASTER'!$X$2:$X$495,(SUMPRODUCT((('CONTROL MASTER'!$S$2:$S$495=15)*('CONTROL MASTER'!$Z$2:$Z$495&lt;=3)*('CONTROL MASTER'!$AB$2:$AB$495&gt;=3)*('CONTROL MASTER'!$AA$2:$AA$495&lt;=1)*('CONTROL MASTER'!$AC$2:$AC$495&gt;=1))*ROW('CONTROL MASTER'!$S$2:$S$495))-(ROW('CONTROL MASTER'!#REF!)-1)))&amp;TRIM(MID(SUBSTITUTE(SUBSTITUTE(INDEX('CONTROL MASTER'!$N$2:$N$495,(SUMPRODUCT((('CONTROL MASTER'!$S$2:$S$495=15)*('CONTROL MASTER'!$Z$2:$Z$495&lt;=3)*('CONTROL MASTER'!$AB$2:$AB$495&gt;=3)*('CONTROL MASTER'!$AA$2:$AA$495&lt;=1)*('CONTROL MASTER'!$AC$2:$AC$495&gt;=1))*ROW('CONTROL MASTER'!$S$2:$S$495))-(ROW('CONTROL MASTER'!#REF!)-1))),":",","),",",REPT(" ",50)),(((INDEX('CONTROL MASTER'!$Y$2:$Y$495,(SUMPRODUCT((('CONTROL MASTER'!$S$2:$S$495=15)*('CONTROL MASTER'!$Z$2:$Z$495&lt;=3)*('CONTROL MASTER'!$AB$2:$AB$495&gt;=3)*('CONTROL MASTER'!$AA$2:$AA$495&lt;=1)*('CONTROL MASTER'!$AC$2:$AC$495&gt;=1))*ROW('CONTROL MASTER'!$S$2:$S$495))-(ROW('CONTROL MASTER'!#REF!)-1)))+((3-INDEX('CONTROL MASTER'!$Z$2:$Z$495,(SUMPRODUCT((('CONTROL MASTER'!$S$2:$S$495=15)*('CONTROL MASTER'!$Z$2:$Z$495&lt;=3)*('CONTROL MASTER'!$AB$2:$AB$495&gt;=3)*('CONTROL MASTER'!$AA$2:$AA$495&lt;=1)*('CONTROL MASTER'!$AC$2:$AC$495&gt;=1))*ROW('CONTROL MASTER'!$S$2:$S$495))-(ROW('CONTROL MASTER'!#REF!)-1))))*(INDEX('CONTROL MASTER'!$AC$2:$AC$495,(SUMPRODUCT((('CONTROL MASTER'!$S$2:$S$495=15)*('CONTROL MASTER'!$Z$2:$Z$495&lt;=3)*('CONTROL MASTER'!$AB$2:$AB$495&gt;=3)*('CONTROL MASTER'!$AA$2:$AA$495&lt;=1)*('CONTROL MASTER'!$AC$2:$AC$495&gt;=1))*ROW('CONTROL MASTER'!$S$2:$S$495))-(ROW('CONTROL MASTER'!#REF!)-1)))-INDEX('CONTROL MASTER'!$AA$2:$AA$495,(SUMPRODUCT((('CONTROL MASTER'!$S$2:$S$495=15)*('CONTROL MASTER'!$Z$2:$Z$495&lt;=3)*('CONTROL MASTER'!$AB$2:$AB$495&gt;=3)*('CONTROL MASTER'!$AA$2:$AA$495&lt;=1)*('CONTROL MASTER'!$AC$2:$AC$495&gt;=1))*ROW('CONTROL MASTER'!$S$2:$S$495))-(ROW('CONTROL MASTER'!#REF!)-1)))+1)+(1-INDEX('CONTROL MASTER'!$AA$2:$AA$495,(SUMPRODUCT((('CONTROL MASTER'!$S$2:$S$495=15)*('CONTROL MASTER'!$Z$2:$Z$495&lt;=3)*('CONTROL MASTER'!$AB$2:$AB$495&gt;=3)*('CONTROL MASTER'!$AA$2:$AA$495&lt;=1)*('CONTROL MASTER'!$AC$2:$AC$495&gt;=1))*ROW('CONTROL MASTER'!$S$2:$S$495))-(ROW('CONTROL MASTER'!#REF!)-1))))+1)))-1)*50+1,50))&amp;"_"&amp;INDEX('CONTROL MASTER'!$P$2:$P$495,(SUMPRODUCT((('CONTROL MASTER'!$S$2:$S$495=15)*('CONTROL MASTER'!$Z$2:$Z$495&lt;=3)*('CONTROL MASTER'!$AB$2:$AB$495&gt;=3)*('CONTROL MASTER'!$AA$2:$AA$495&lt;=1)*('CONTROL MASTER'!$AC$2:$AC$495&gt;=1))*ROW('CONTROL MASTER'!$S$2:$S$495))-(ROW('CONTROL MASTER'!#REF!)-1))),"")),"")</f>
        <v/>
      </c>
      <c r="C201" s="10" t="str">
        <f>IFERROR(IF(SUMPRODUCT((('CONTROL MASTER'!$S$2:$S$495=15)*('CONTROL MASTER'!$T$2:$T$495&lt;=3)*('CONTROL MASTER'!$V$2:$V$495&gt;=3)*('CONTROL MASTER'!$U$2:$U$495&lt;=2)*('CONTROL MASTER'!$W$2:$W$495&gt;=2))*ROW('CONTROL MASTER'!$S$2:$S$495))&gt;0,INDEX('CONTROL MASTER'!$X$2:$X$495,(SUMPRODUCT((('CONTROL MASTER'!$S$2:$S$495=15)*('CONTROL MASTER'!$T$2:$T$495&lt;=3)*('CONTROL MASTER'!$V$2:$V$495&gt;=3)*('CONTROL MASTER'!$U$2:$U$495&lt;=2)*('CONTROL MASTER'!$W$2:$W$495&gt;=2))*ROW('CONTROL MASTER'!$S$2:$S$495))-(ROW('CONTROL MASTER'!#REF!)-1)))&amp;TRIM(MID(SUBSTITUTE(SUBSTITUTE(INDEX('CONTROL MASTER'!$N$2:$N$495,(SUMPRODUCT((('CONTROL MASTER'!$S$2:$S$495=15)*('CONTROL MASTER'!$T$2:$T$495&lt;=3)*('CONTROL MASTER'!$V$2:$V$495&gt;=3)*('CONTROL MASTER'!$U$2:$U$495&lt;=2)*('CONTROL MASTER'!$W$2:$W$495&gt;=2))*ROW('CONTROL MASTER'!$S$2:$S$495))-(ROW('CONTROL MASTER'!#REF!)-1))),":",","),",",REPT(" ",50)),((((3-INDEX('CONTROL MASTER'!$T$2:$T$495,(SUMPRODUCT((('CONTROL MASTER'!$S$2:$S$495=15)*('CONTROL MASTER'!$T$2:$T$495&lt;=3)*('CONTROL MASTER'!$V$2:$V$495&gt;=3)*('CONTROL MASTER'!$U$2:$U$495&lt;=2)*('CONTROL MASTER'!$W$2:$W$495&gt;=2))*ROW('CONTROL MASTER'!$S$2:$S$495))-(ROW('CONTROL MASTER'!#REF!)-1))))*(INDEX('CONTROL MASTER'!$W$2:$W$495,(SUMPRODUCT((('CONTROL MASTER'!$S$2:$S$495=15)*('CONTROL MASTER'!$T$2:$T$495&lt;=3)*('CONTROL MASTER'!$V$2:$V$495&gt;=3)*('CONTROL MASTER'!$U$2:$U$495&lt;=2)*('CONTROL MASTER'!$W$2:$W$495&gt;=2))*ROW('CONTROL MASTER'!$S$2:$S$495))-(ROW('CONTROL MASTER'!#REF!)-1)))-INDEX('CONTROL MASTER'!$U$2:$U$495,(SUMPRODUCT((('CONTROL MASTER'!$S$2:$S$495=15)*('CONTROL MASTER'!$T$2:$T$495&lt;=3)*('CONTROL MASTER'!$V$2:$V$495&gt;=3)*('CONTROL MASTER'!$U$2:$U$495&lt;=2)*('CONTROL MASTER'!$W$2:$W$495&gt;=2))*ROW('CONTROL MASTER'!$S$2:$S$495))-(ROW('CONTROL MASTER'!#REF!)-1)))+1)+(2-INDEX('CONTROL MASTER'!$U$2:$U$495,(SUMPRODUCT((('CONTROL MASTER'!$S$2:$S$495=15)*('CONTROL MASTER'!$T$2:$T$495&lt;=3)*('CONTROL MASTER'!$V$2:$V$495&gt;=3)*('CONTROL MASTER'!$U$2:$U$495&lt;=2)*('CONTROL MASTER'!$W$2:$W$495&gt;=2))*ROW('CONTROL MASTER'!$S$2:$S$495))-(ROW('CONTROL MASTER'!#REF!)-1))))+1))-1)*50+1,50))&amp;"_"&amp;INDEX('CONTROL MASTER'!$P$2:$P$495,(SUMPRODUCT((('CONTROL MASTER'!$S$2:$S$495=15)*('CONTROL MASTER'!$T$2:$T$495&lt;=3)*('CONTROL MASTER'!$V$2:$V$495&gt;=3)*('CONTROL MASTER'!$U$2:$U$495&lt;=2)*('CONTROL MASTER'!$W$2:$W$495&gt;=2))*ROW('CONTROL MASTER'!$S$2:$S$495))-(ROW('CONTROL MASTER'!#REF!)-1))),IF(SUMPRODUCT((('CONTROL MASTER'!$S$2:$S$495=15)*('CONTROL MASTER'!$Z$2:$Z$495&lt;=3)*('CONTROL MASTER'!$AB$2:$AB$495&gt;=3)*('CONTROL MASTER'!$AA$2:$AA$495&lt;=2)*('CONTROL MASTER'!$AC$2:$AC$495&gt;=2))*ROW('CONTROL MASTER'!$S$2:$S$495))&gt;0,INDEX('CONTROL MASTER'!$X$2:$X$495,(SUMPRODUCT((('CONTROL MASTER'!$S$2:$S$495=15)*('CONTROL MASTER'!$Z$2:$Z$495&lt;=3)*('CONTROL MASTER'!$AB$2:$AB$495&gt;=3)*('CONTROL MASTER'!$AA$2:$AA$495&lt;=2)*('CONTROL MASTER'!$AC$2:$AC$495&gt;=2))*ROW('CONTROL MASTER'!$S$2:$S$495))-(ROW('CONTROL MASTER'!#REF!)-1)))&amp;TRIM(MID(SUBSTITUTE(SUBSTITUTE(INDEX('CONTROL MASTER'!$N$2:$N$495,(SUMPRODUCT((('CONTROL MASTER'!$S$2:$S$495=15)*('CONTROL MASTER'!$Z$2:$Z$495&lt;=3)*('CONTROL MASTER'!$AB$2:$AB$495&gt;=3)*('CONTROL MASTER'!$AA$2:$AA$495&lt;=2)*('CONTROL MASTER'!$AC$2:$AC$495&gt;=2))*ROW('CONTROL MASTER'!$S$2:$S$495))-(ROW('CONTROL MASTER'!#REF!)-1))),":",","),",",REPT(" ",50)),(((INDEX('CONTROL MASTER'!$Y$2:$Y$495,(SUMPRODUCT((('CONTROL MASTER'!$S$2:$S$495=15)*('CONTROL MASTER'!$Z$2:$Z$495&lt;=3)*('CONTROL MASTER'!$AB$2:$AB$495&gt;=3)*('CONTROL MASTER'!$AA$2:$AA$495&lt;=2)*('CONTROL MASTER'!$AC$2:$AC$495&gt;=2))*ROW('CONTROL MASTER'!$S$2:$S$495))-(ROW('CONTROL MASTER'!#REF!)-1)))+((3-INDEX('CONTROL MASTER'!$Z$2:$Z$495,(SUMPRODUCT((('CONTROL MASTER'!$S$2:$S$495=15)*('CONTROL MASTER'!$Z$2:$Z$495&lt;=3)*('CONTROL MASTER'!$AB$2:$AB$495&gt;=3)*('CONTROL MASTER'!$AA$2:$AA$495&lt;=2)*('CONTROL MASTER'!$AC$2:$AC$495&gt;=2))*ROW('CONTROL MASTER'!$S$2:$S$495))-(ROW('CONTROL MASTER'!#REF!)-1))))*(INDEX('CONTROL MASTER'!$AC$2:$AC$495,(SUMPRODUCT((('CONTROL MASTER'!$S$2:$S$495=15)*('CONTROL MASTER'!$Z$2:$Z$495&lt;=3)*('CONTROL MASTER'!$AB$2:$AB$495&gt;=3)*('CONTROL MASTER'!$AA$2:$AA$495&lt;=2)*('CONTROL MASTER'!$AC$2:$AC$495&gt;=2))*ROW('CONTROL MASTER'!$S$2:$S$495))-(ROW('CONTROL MASTER'!#REF!)-1)))-INDEX('CONTROL MASTER'!$AA$2:$AA$495,(SUMPRODUCT((('CONTROL MASTER'!$S$2:$S$495=15)*('CONTROL MASTER'!$Z$2:$Z$495&lt;=3)*('CONTROL MASTER'!$AB$2:$AB$495&gt;=3)*('CONTROL MASTER'!$AA$2:$AA$495&lt;=2)*('CONTROL MASTER'!$AC$2:$AC$495&gt;=2))*ROW('CONTROL MASTER'!$S$2:$S$495))-(ROW('CONTROL MASTER'!#REF!)-1)))+1)+(2-INDEX('CONTROL MASTER'!$AA$2:$AA$495,(SUMPRODUCT((('CONTROL MASTER'!$S$2:$S$495=15)*('CONTROL MASTER'!$Z$2:$Z$495&lt;=3)*('CONTROL MASTER'!$AB$2:$AB$495&gt;=3)*('CONTROL MASTER'!$AA$2:$AA$495&lt;=2)*('CONTROL MASTER'!$AC$2:$AC$495&gt;=2))*ROW('CONTROL MASTER'!$S$2:$S$495))-(ROW('CONTROL MASTER'!#REF!)-1))))+1)))-1)*50+1,50))&amp;"_"&amp;INDEX('CONTROL MASTER'!$P$2:$P$495,(SUMPRODUCT((('CONTROL MASTER'!$S$2:$S$495=15)*('CONTROL MASTER'!$Z$2:$Z$495&lt;=3)*('CONTROL MASTER'!$AB$2:$AB$495&gt;=3)*('CONTROL MASTER'!$AA$2:$AA$495&lt;=2)*('CONTROL MASTER'!$AC$2:$AC$495&gt;=2))*ROW('CONTROL MASTER'!$S$2:$S$495))-(ROW('CONTROL MASTER'!#REF!)-1))),"")),"")</f>
        <v/>
      </c>
      <c r="D201" s="10" t="str">
        <f>IFERROR(IF(SUMPRODUCT((('CONTROL MASTER'!$S$2:$S$495=15)*('CONTROL MASTER'!$T$2:$T$495&lt;=3)*('CONTROL MASTER'!$V$2:$V$495&gt;=3)*('CONTROL MASTER'!$U$2:$U$495&lt;=3)*('CONTROL MASTER'!$W$2:$W$495&gt;=3))*ROW('CONTROL MASTER'!$S$2:$S$495))&gt;0,INDEX('CONTROL MASTER'!$X$2:$X$495,(SUMPRODUCT((('CONTROL MASTER'!$S$2:$S$495=15)*('CONTROL MASTER'!$T$2:$T$495&lt;=3)*('CONTROL MASTER'!$V$2:$V$495&gt;=3)*('CONTROL MASTER'!$U$2:$U$495&lt;=3)*('CONTROL MASTER'!$W$2:$W$495&gt;=3))*ROW('CONTROL MASTER'!$S$2:$S$495))-(ROW('CONTROL MASTER'!#REF!)-1)))&amp;TRIM(MID(SUBSTITUTE(SUBSTITUTE(INDEX('CONTROL MASTER'!$N$2:$N$495,(SUMPRODUCT((('CONTROL MASTER'!$S$2:$S$495=15)*('CONTROL MASTER'!$T$2:$T$495&lt;=3)*('CONTROL MASTER'!$V$2:$V$495&gt;=3)*('CONTROL MASTER'!$U$2:$U$495&lt;=3)*('CONTROL MASTER'!$W$2:$W$495&gt;=3))*ROW('CONTROL MASTER'!$S$2:$S$495))-(ROW('CONTROL MASTER'!#REF!)-1))),":",","),",",REPT(" ",50)),((((3-INDEX('CONTROL MASTER'!$T$2:$T$495,(SUMPRODUCT((('CONTROL MASTER'!$S$2:$S$495=15)*('CONTROL MASTER'!$T$2:$T$495&lt;=3)*('CONTROL MASTER'!$V$2:$V$495&gt;=3)*('CONTROL MASTER'!$U$2:$U$495&lt;=3)*('CONTROL MASTER'!$W$2:$W$495&gt;=3))*ROW('CONTROL MASTER'!$S$2:$S$495))-(ROW('CONTROL MASTER'!#REF!)-1))))*(INDEX('CONTROL MASTER'!$W$2:$W$495,(SUMPRODUCT((('CONTROL MASTER'!$S$2:$S$495=15)*('CONTROL MASTER'!$T$2:$T$495&lt;=3)*('CONTROL MASTER'!$V$2:$V$495&gt;=3)*('CONTROL MASTER'!$U$2:$U$495&lt;=3)*('CONTROL MASTER'!$W$2:$W$495&gt;=3))*ROW('CONTROL MASTER'!$S$2:$S$495))-(ROW('CONTROL MASTER'!#REF!)-1)))-INDEX('CONTROL MASTER'!$U$2:$U$495,(SUMPRODUCT((('CONTROL MASTER'!$S$2:$S$495=15)*('CONTROL MASTER'!$T$2:$T$495&lt;=3)*('CONTROL MASTER'!$V$2:$V$495&gt;=3)*('CONTROL MASTER'!$U$2:$U$495&lt;=3)*('CONTROL MASTER'!$W$2:$W$495&gt;=3))*ROW('CONTROL MASTER'!$S$2:$S$495))-(ROW('CONTROL MASTER'!#REF!)-1)))+1)+(3-INDEX('CONTROL MASTER'!$U$2:$U$495,(SUMPRODUCT((('CONTROL MASTER'!$S$2:$S$495=15)*('CONTROL MASTER'!$T$2:$T$495&lt;=3)*('CONTROL MASTER'!$V$2:$V$495&gt;=3)*('CONTROL MASTER'!$U$2:$U$495&lt;=3)*('CONTROL MASTER'!$W$2:$W$495&gt;=3))*ROW('CONTROL MASTER'!$S$2:$S$495))-(ROW('CONTROL MASTER'!#REF!)-1))))+1))-1)*50+1,50))&amp;"_"&amp;INDEX('CONTROL MASTER'!$P$2:$P$495,(SUMPRODUCT((('CONTROL MASTER'!$S$2:$S$495=15)*('CONTROL MASTER'!$T$2:$T$495&lt;=3)*('CONTROL MASTER'!$V$2:$V$495&gt;=3)*('CONTROL MASTER'!$U$2:$U$495&lt;=3)*('CONTROL MASTER'!$W$2:$W$495&gt;=3))*ROW('CONTROL MASTER'!$S$2:$S$495))-(ROW('CONTROL MASTER'!#REF!)-1))),IF(SUMPRODUCT((('CONTROL MASTER'!$S$2:$S$495=15)*('CONTROL MASTER'!$Z$2:$Z$495&lt;=3)*('CONTROL MASTER'!$AB$2:$AB$495&gt;=3)*('CONTROL MASTER'!$AA$2:$AA$495&lt;=3)*('CONTROL MASTER'!$AC$2:$AC$495&gt;=3))*ROW('CONTROL MASTER'!$S$2:$S$495))&gt;0,INDEX('CONTROL MASTER'!$X$2:$X$495,(SUMPRODUCT((('CONTROL MASTER'!$S$2:$S$495=15)*('CONTROL MASTER'!$Z$2:$Z$495&lt;=3)*('CONTROL MASTER'!$AB$2:$AB$495&gt;=3)*('CONTROL MASTER'!$AA$2:$AA$495&lt;=3)*('CONTROL MASTER'!$AC$2:$AC$495&gt;=3))*ROW('CONTROL MASTER'!$S$2:$S$495))-(ROW('CONTROL MASTER'!#REF!)-1)))&amp;TRIM(MID(SUBSTITUTE(SUBSTITUTE(INDEX('CONTROL MASTER'!$N$2:$N$495,(SUMPRODUCT((('CONTROL MASTER'!$S$2:$S$495=15)*('CONTROL MASTER'!$Z$2:$Z$495&lt;=3)*('CONTROL MASTER'!$AB$2:$AB$495&gt;=3)*('CONTROL MASTER'!$AA$2:$AA$495&lt;=3)*('CONTROL MASTER'!$AC$2:$AC$495&gt;=3))*ROW('CONTROL MASTER'!$S$2:$S$495))-(ROW('CONTROL MASTER'!#REF!)-1))),":",","),",",REPT(" ",50)),(((INDEX('CONTROL MASTER'!$Y$2:$Y$495,(SUMPRODUCT((('CONTROL MASTER'!$S$2:$S$495=15)*('CONTROL MASTER'!$Z$2:$Z$495&lt;=3)*('CONTROL MASTER'!$AB$2:$AB$495&gt;=3)*('CONTROL MASTER'!$AA$2:$AA$495&lt;=3)*('CONTROL MASTER'!$AC$2:$AC$495&gt;=3))*ROW('CONTROL MASTER'!$S$2:$S$495))-(ROW('CONTROL MASTER'!#REF!)-1)))+((3-INDEX('CONTROL MASTER'!$Z$2:$Z$495,(SUMPRODUCT((('CONTROL MASTER'!$S$2:$S$495=15)*('CONTROL MASTER'!$Z$2:$Z$495&lt;=3)*('CONTROL MASTER'!$AB$2:$AB$495&gt;=3)*('CONTROL MASTER'!$AA$2:$AA$495&lt;=3)*('CONTROL MASTER'!$AC$2:$AC$495&gt;=3))*ROW('CONTROL MASTER'!$S$2:$S$495))-(ROW('CONTROL MASTER'!#REF!)-1))))*(INDEX('CONTROL MASTER'!$AC$2:$AC$495,(SUMPRODUCT((('CONTROL MASTER'!$S$2:$S$495=15)*('CONTROL MASTER'!$Z$2:$Z$495&lt;=3)*('CONTROL MASTER'!$AB$2:$AB$495&gt;=3)*('CONTROL MASTER'!$AA$2:$AA$495&lt;=3)*('CONTROL MASTER'!$AC$2:$AC$495&gt;=3))*ROW('CONTROL MASTER'!$S$2:$S$495))-(ROW('CONTROL MASTER'!#REF!)-1)))-INDEX('CONTROL MASTER'!$AA$2:$AA$495,(SUMPRODUCT((('CONTROL MASTER'!$S$2:$S$495=15)*('CONTROL MASTER'!$Z$2:$Z$495&lt;=3)*('CONTROL MASTER'!$AB$2:$AB$495&gt;=3)*('CONTROL MASTER'!$AA$2:$AA$495&lt;=3)*('CONTROL MASTER'!$AC$2:$AC$495&gt;=3))*ROW('CONTROL MASTER'!$S$2:$S$495))-(ROW('CONTROL MASTER'!#REF!)-1)))+1)+(3-INDEX('CONTROL MASTER'!$AA$2:$AA$495,(SUMPRODUCT((('CONTROL MASTER'!$S$2:$S$495=15)*('CONTROL MASTER'!$Z$2:$Z$495&lt;=3)*('CONTROL MASTER'!$AB$2:$AB$495&gt;=3)*('CONTROL MASTER'!$AA$2:$AA$495&lt;=3)*('CONTROL MASTER'!$AC$2:$AC$495&gt;=3))*ROW('CONTROL MASTER'!$S$2:$S$495))-(ROW('CONTROL MASTER'!#REF!)-1))))+1)))-1)*50+1,50))&amp;"_"&amp;INDEX('CONTROL MASTER'!$P$2:$P$495,(SUMPRODUCT((('CONTROL MASTER'!$S$2:$S$495=15)*('CONTROL MASTER'!$Z$2:$Z$495&lt;=3)*('CONTROL MASTER'!$AB$2:$AB$495&gt;=3)*('CONTROL MASTER'!$AA$2:$AA$495&lt;=3)*('CONTROL MASTER'!$AC$2:$AC$495&gt;=3))*ROW('CONTROL MASTER'!$S$2:$S$495))-(ROW('CONTROL MASTER'!#REF!)-1))),"")),"")</f>
        <v/>
      </c>
      <c r="E201" s="10" t="str">
        <f>IFERROR(IF(SUMPRODUCT((('CONTROL MASTER'!$S$2:$S$495=15)*('CONTROL MASTER'!$T$2:$T$495&lt;=3)*('CONTROL MASTER'!$V$2:$V$495&gt;=3)*('CONTROL MASTER'!$U$2:$U$495&lt;=4)*('CONTROL MASTER'!$W$2:$W$495&gt;=4))*ROW('CONTROL MASTER'!$S$2:$S$495))&gt;0,INDEX('CONTROL MASTER'!$X$2:$X$495,(SUMPRODUCT((('CONTROL MASTER'!$S$2:$S$495=15)*('CONTROL MASTER'!$T$2:$T$495&lt;=3)*('CONTROL MASTER'!$V$2:$V$495&gt;=3)*('CONTROL MASTER'!$U$2:$U$495&lt;=4)*('CONTROL MASTER'!$W$2:$W$495&gt;=4))*ROW('CONTROL MASTER'!$S$2:$S$495))-(ROW('CONTROL MASTER'!#REF!)-1)))&amp;TRIM(MID(SUBSTITUTE(SUBSTITUTE(INDEX('CONTROL MASTER'!$N$2:$N$495,(SUMPRODUCT((('CONTROL MASTER'!$S$2:$S$495=15)*('CONTROL MASTER'!$T$2:$T$495&lt;=3)*('CONTROL MASTER'!$V$2:$V$495&gt;=3)*('CONTROL MASTER'!$U$2:$U$495&lt;=4)*('CONTROL MASTER'!$W$2:$W$495&gt;=4))*ROW('CONTROL MASTER'!$S$2:$S$495))-(ROW('CONTROL MASTER'!#REF!)-1))),":",","),",",REPT(" ",50)),((((3-INDEX('CONTROL MASTER'!$T$2:$T$495,(SUMPRODUCT((('CONTROL MASTER'!$S$2:$S$495=15)*('CONTROL MASTER'!$T$2:$T$495&lt;=3)*('CONTROL MASTER'!$V$2:$V$495&gt;=3)*('CONTROL MASTER'!$U$2:$U$495&lt;=4)*('CONTROL MASTER'!$W$2:$W$495&gt;=4))*ROW('CONTROL MASTER'!$S$2:$S$495))-(ROW('CONTROL MASTER'!#REF!)-1))))*(INDEX('CONTROL MASTER'!$W$2:$W$495,(SUMPRODUCT((('CONTROL MASTER'!$S$2:$S$495=15)*('CONTROL MASTER'!$T$2:$T$495&lt;=3)*('CONTROL MASTER'!$V$2:$V$495&gt;=3)*('CONTROL MASTER'!$U$2:$U$495&lt;=4)*('CONTROL MASTER'!$W$2:$W$495&gt;=4))*ROW('CONTROL MASTER'!$S$2:$S$495))-(ROW('CONTROL MASTER'!#REF!)-1)))-INDEX('CONTROL MASTER'!$U$2:$U$495,(SUMPRODUCT((('CONTROL MASTER'!$S$2:$S$495=15)*('CONTROL MASTER'!$T$2:$T$495&lt;=3)*('CONTROL MASTER'!$V$2:$V$495&gt;=3)*('CONTROL MASTER'!$U$2:$U$495&lt;=4)*('CONTROL MASTER'!$W$2:$W$495&gt;=4))*ROW('CONTROL MASTER'!$S$2:$S$495))-(ROW('CONTROL MASTER'!#REF!)-1)))+1)+(4-INDEX('CONTROL MASTER'!$U$2:$U$495,(SUMPRODUCT((('CONTROL MASTER'!$S$2:$S$495=15)*('CONTROL MASTER'!$T$2:$T$495&lt;=3)*('CONTROL MASTER'!$V$2:$V$495&gt;=3)*('CONTROL MASTER'!$U$2:$U$495&lt;=4)*('CONTROL MASTER'!$W$2:$W$495&gt;=4))*ROW('CONTROL MASTER'!$S$2:$S$495))-(ROW('CONTROL MASTER'!#REF!)-1))))+1))-1)*50+1,50))&amp;"_"&amp;INDEX('CONTROL MASTER'!$P$2:$P$495,(SUMPRODUCT((('CONTROL MASTER'!$S$2:$S$495=15)*('CONTROL MASTER'!$T$2:$T$495&lt;=3)*('CONTROL MASTER'!$V$2:$V$495&gt;=3)*('CONTROL MASTER'!$U$2:$U$495&lt;=4)*('CONTROL MASTER'!$W$2:$W$495&gt;=4))*ROW('CONTROL MASTER'!$S$2:$S$495))-(ROW('CONTROL MASTER'!#REF!)-1))),IF(SUMPRODUCT((('CONTROL MASTER'!$S$2:$S$495=15)*('CONTROL MASTER'!$Z$2:$Z$495&lt;=3)*('CONTROL MASTER'!$AB$2:$AB$495&gt;=3)*('CONTROL MASTER'!$AA$2:$AA$495&lt;=4)*('CONTROL MASTER'!$AC$2:$AC$495&gt;=4))*ROW('CONTROL MASTER'!$S$2:$S$495))&gt;0,INDEX('CONTROL MASTER'!$X$2:$X$495,(SUMPRODUCT((('CONTROL MASTER'!$S$2:$S$495=15)*('CONTROL MASTER'!$Z$2:$Z$495&lt;=3)*('CONTROL MASTER'!$AB$2:$AB$495&gt;=3)*('CONTROL MASTER'!$AA$2:$AA$495&lt;=4)*('CONTROL MASTER'!$AC$2:$AC$495&gt;=4))*ROW('CONTROL MASTER'!$S$2:$S$495))-(ROW('CONTROL MASTER'!#REF!)-1)))&amp;TRIM(MID(SUBSTITUTE(SUBSTITUTE(INDEX('CONTROL MASTER'!$N$2:$N$495,(SUMPRODUCT((('CONTROL MASTER'!$S$2:$S$495=15)*('CONTROL MASTER'!$Z$2:$Z$495&lt;=3)*('CONTROL MASTER'!$AB$2:$AB$495&gt;=3)*('CONTROL MASTER'!$AA$2:$AA$495&lt;=4)*('CONTROL MASTER'!$AC$2:$AC$495&gt;=4))*ROW('CONTROL MASTER'!$S$2:$S$495))-(ROW('CONTROL MASTER'!#REF!)-1))),":",","),",",REPT(" ",50)),(((INDEX('CONTROL MASTER'!$Y$2:$Y$495,(SUMPRODUCT((('CONTROL MASTER'!$S$2:$S$495=15)*('CONTROL MASTER'!$Z$2:$Z$495&lt;=3)*('CONTROL MASTER'!$AB$2:$AB$495&gt;=3)*('CONTROL MASTER'!$AA$2:$AA$495&lt;=4)*('CONTROL MASTER'!$AC$2:$AC$495&gt;=4))*ROW('CONTROL MASTER'!$S$2:$S$495))-(ROW('CONTROL MASTER'!#REF!)-1)))+((3-INDEX('CONTROL MASTER'!$Z$2:$Z$495,(SUMPRODUCT((('CONTROL MASTER'!$S$2:$S$495=15)*('CONTROL MASTER'!$Z$2:$Z$495&lt;=3)*('CONTROL MASTER'!$AB$2:$AB$495&gt;=3)*('CONTROL MASTER'!$AA$2:$AA$495&lt;=4)*('CONTROL MASTER'!$AC$2:$AC$495&gt;=4))*ROW('CONTROL MASTER'!$S$2:$S$495))-(ROW('CONTROL MASTER'!#REF!)-1))))*(INDEX('CONTROL MASTER'!$AC$2:$AC$495,(SUMPRODUCT((('CONTROL MASTER'!$S$2:$S$495=15)*('CONTROL MASTER'!$Z$2:$Z$495&lt;=3)*('CONTROL MASTER'!$AB$2:$AB$495&gt;=3)*('CONTROL MASTER'!$AA$2:$AA$495&lt;=4)*('CONTROL MASTER'!$AC$2:$AC$495&gt;=4))*ROW('CONTROL MASTER'!$S$2:$S$495))-(ROW('CONTROL MASTER'!#REF!)-1)))-INDEX('CONTROL MASTER'!$AA$2:$AA$495,(SUMPRODUCT((('CONTROL MASTER'!$S$2:$S$495=15)*('CONTROL MASTER'!$Z$2:$Z$495&lt;=3)*('CONTROL MASTER'!$AB$2:$AB$495&gt;=3)*('CONTROL MASTER'!$AA$2:$AA$495&lt;=4)*('CONTROL MASTER'!$AC$2:$AC$495&gt;=4))*ROW('CONTROL MASTER'!$S$2:$S$495))-(ROW('CONTROL MASTER'!#REF!)-1)))+1)+(4-INDEX('CONTROL MASTER'!$AA$2:$AA$495,(SUMPRODUCT((('CONTROL MASTER'!$S$2:$S$495=15)*('CONTROL MASTER'!$Z$2:$Z$495&lt;=3)*('CONTROL MASTER'!$AB$2:$AB$495&gt;=3)*('CONTROL MASTER'!$AA$2:$AA$495&lt;=4)*('CONTROL MASTER'!$AC$2:$AC$495&gt;=4))*ROW('CONTROL MASTER'!$S$2:$S$495))-(ROW('CONTROL MASTER'!#REF!)-1))))+1)))-1)*50+1,50))&amp;"_"&amp;INDEX('CONTROL MASTER'!$P$2:$P$495,(SUMPRODUCT((('CONTROL MASTER'!$S$2:$S$495=15)*('CONTROL MASTER'!$Z$2:$Z$495&lt;=3)*('CONTROL MASTER'!$AB$2:$AB$495&gt;=3)*('CONTROL MASTER'!$AA$2:$AA$495&lt;=4)*('CONTROL MASTER'!$AC$2:$AC$495&gt;=4))*ROW('CONTROL MASTER'!$S$2:$S$495))-(ROW('CONTROL MASTER'!#REF!)-1))),"")),"")</f>
        <v/>
      </c>
      <c r="F201" s="10" t="str">
        <f>IFERROR(IF(SUMPRODUCT((('CONTROL MASTER'!$S$2:$S$495=15)*('CONTROL MASTER'!$T$2:$T$495&lt;=3)*('CONTROL MASTER'!$V$2:$V$495&gt;=3)*('CONTROL MASTER'!$U$2:$U$495&lt;=5)*('CONTROL MASTER'!$W$2:$W$495&gt;=5))*ROW('CONTROL MASTER'!$S$2:$S$495))&gt;0,INDEX('CONTROL MASTER'!$X$2:$X$495,(SUMPRODUCT((('CONTROL MASTER'!$S$2:$S$495=15)*('CONTROL MASTER'!$T$2:$T$495&lt;=3)*('CONTROL MASTER'!$V$2:$V$495&gt;=3)*('CONTROL MASTER'!$U$2:$U$495&lt;=5)*('CONTROL MASTER'!$W$2:$W$495&gt;=5))*ROW('CONTROL MASTER'!$S$2:$S$495))-(ROW('CONTROL MASTER'!#REF!)-1)))&amp;TRIM(MID(SUBSTITUTE(SUBSTITUTE(INDEX('CONTROL MASTER'!$N$2:$N$495,(SUMPRODUCT((('CONTROL MASTER'!$S$2:$S$495=15)*('CONTROL MASTER'!$T$2:$T$495&lt;=3)*('CONTROL MASTER'!$V$2:$V$495&gt;=3)*('CONTROL MASTER'!$U$2:$U$495&lt;=5)*('CONTROL MASTER'!$W$2:$W$495&gt;=5))*ROW('CONTROL MASTER'!$S$2:$S$495))-(ROW('CONTROL MASTER'!#REF!)-1))),":",","),",",REPT(" ",50)),((((3-INDEX('CONTROL MASTER'!$T$2:$T$495,(SUMPRODUCT((('CONTROL MASTER'!$S$2:$S$495=15)*('CONTROL MASTER'!$T$2:$T$495&lt;=3)*('CONTROL MASTER'!$V$2:$V$495&gt;=3)*('CONTROL MASTER'!$U$2:$U$495&lt;=5)*('CONTROL MASTER'!$W$2:$W$495&gt;=5))*ROW('CONTROL MASTER'!$S$2:$S$495))-(ROW('CONTROL MASTER'!#REF!)-1))))*(INDEX('CONTROL MASTER'!$W$2:$W$495,(SUMPRODUCT((('CONTROL MASTER'!$S$2:$S$495=15)*('CONTROL MASTER'!$T$2:$T$495&lt;=3)*('CONTROL MASTER'!$V$2:$V$495&gt;=3)*('CONTROL MASTER'!$U$2:$U$495&lt;=5)*('CONTROL MASTER'!$W$2:$W$495&gt;=5))*ROW('CONTROL MASTER'!$S$2:$S$495))-(ROW('CONTROL MASTER'!#REF!)-1)))-INDEX('CONTROL MASTER'!$U$2:$U$495,(SUMPRODUCT((('CONTROL MASTER'!$S$2:$S$495=15)*('CONTROL MASTER'!$T$2:$T$495&lt;=3)*('CONTROL MASTER'!$V$2:$V$495&gt;=3)*('CONTROL MASTER'!$U$2:$U$495&lt;=5)*('CONTROL MASTER'!$W$2:$W$495&gt;=5))*ROW('CONTROL MASTER'!$S$2:$S$495))-(ROW('CONTROL MASTER'!#REF!)-1)))+1)+(5-INDEX('CONTROL MASTER'!$U$2:$U$495,(SUMPRODUCT((('CONTROL MASTER'!$S$2:$S$495=15)*('CONTROL MASTER'!$T$2:$T$495&lt;=3)*('CONTROL MASTER'!$V$2:$V$495&gt;=3)*('CONTROL MASTER'!$U$2:$U$495&lt;=5)*('CONTROL MASTER'!$W$2:$W$495&gt;=5))*ROW('CONTROL MASTER'!$S$2:$S$495))-(ROW('CONTROL MASTER'!#REF!)-1))))+1))-1)*50+1,50))&amp;"_"&amp;INDEX('CONTROL MASTER'!$P$2:$P$495,(SUMPRODUCT((('CONTROL MASTER'!$S$2:$S$495=15)*('CONTROL MASTER'!$T$2:$T$495&lt;=3)*('CONTROL MASTER'!$V$2:$V$495&gt;=3)*('CONTROL MASTER'!$U$2:$U$495&lt;=5)*('CONTROL MASTER'!$W$2:$W$495&gt;=5))*ROW('CONTROL MASTER'!$S$2:$S$495))-(ROW('CONTROL MASTER'!#REF!)-1))),IF(SUMPRODUCT((('CONTROL MASTER'!$S$2:$S$495=15)*('CONTROL MASTER'!$Z$2:$Z$495&lt;=3)*('CONTROL MASTER'!$AB$2:$AB$495&gt;=3)*('CONTROL MASTER'!$AA$2:$AA$495&lt;=5)*('CONTROL MASTER'!$AC$2:$AC$495&gt;=5))*ROW('CONTROL MASTER'!$S$2:$S$495))&gt;0,INDEX('CONTROL MASTER'!$X$2:$X$495,(SUMPRODUCT((('CONTROL MASTER'!$S$2:$S$495=15)*('CONTROL MASTER'!$Z$2:$Z$495&lt;=3)*('CONTROL MASTER'!$AB$2:$AB$495&gt;=3)*('CONTROL MASTER'!$AA$2:$AA$495&lt;=5)*('CONTROL MASTER'!$AC$2:$AC$495&gt;=5))*ROW('CONTROL MASTER'!$S$2:$S$495))-(ROW('CONTROL MASTER'!#REF!)-1)))&amp;TRIM(MID(SUBSTITUTE(SUBSTITUTE(INDEX('CONTROL MASTER'!$N$2:$N$495,(SUMPRODUCT((('CONTROL MASTER'!$S$2:$S$495=15)*('CONTROL MASTER'!$Z$2:$Z$495&lt;=3)*('CONTROL MASTER'!$AB$2:$AB$495&gt;=3)*('CONTROL MASTER'!$AA$2:$AA$495&lt;=5)*('CONTROL MASTER'!$AC$2:$AC$495&gt;=5))*ROW('CONTROL MASTER'!$S$2:$S$495))-(ROW('CONTROL MASTER'!#REF!)-1))),":",","),",",REPT(" ",50)),(((INDEX('CONTROL MASTER'!$Y$2:$Y$495,(SUMPRODUCT((('CONTROL MASTER'!$S$2:$S$495=15)*('CONTROL MASTER'!$Z$2:$Z$495&lt;=3)*('CONTROL MASTER'!$AB$2:$AB$495&gt;=3)*('CONTROL MASTER'!$AA$2:$AA$495&lt;=5)*('CONTROL MASTER'!$AC$2:$AC$495&gt;=5))*ROW('CONTROL MASTER'!$S$2:$S$495))-(ROW('CONTROL MASTER'!#REF!)-1)))+((3-INDEX('CONTROL MASTER'!$Z$2:$Z$495,(SUMPRODUCT((('CONTROL MASTER'!$S$2:$S$495=15)*('CONTROL MASTER'!$Z$2:$Z$495&lt;=3)*('CONTROL MASTER'!$AB$2:$AB$495&gt;=3)*('CONTROL MASTER'!$AA$2:$AA$495&lt;=5)*('CONTROL MASTER'!$AC$2:$AC$495&gt;=5))*ROW('CONTROL MASTER'!$S$2:$S$495))-(ROW('CONTROL MASTER'!#REF!)-1))))*(INDEX('CONTROL MASTER'!$AC$2:$AC$495,(SUMPRODUCT((('CONTROL MASTER'!$S$2:$S$495=15)*('CONTROL MASTER'!$Z$2:$Z$495&lt;=3)*('CONTROL MASTER'!$AB$2:$AB$495&gt;=3)*('CONTROL MASTER'!$AA$2:$AA$495&lt;=5)*('CONTROL MASTER'!$AC$2:$AC$495&gt;=5))*ROW('CONTROL MASTER'!$S$2:$S$495))-(ROW('CONTROL MASTER'!#REF!)-1)))-INDEX('CONTROL MASTER'!$AA$2:$AA$495,(SUMPRODUCT((('CONTROL MASTER'!$S$2:$S$495=15)*('CONTROL MASTER'!$Z$2:$Z$495&lt;=3)*('CONTROL MASTER'!$AB$2:$AB$495&gt;=3)*('CONTROL MASTER'!$AA$2:$AA$495&lt;=5)*('CONTROL MASTER'!$AC$2:$AC$495&gt;=5))*ROW('CONTROL MASTER'!$S$2:$S$495))-(ROW('CONTROL MASTER'!#REF!)-1)))+1)+(5-INDEX('CONTROL MASTER'!$AA$2:$AA$495,(SUMPRODUCT((('CONTROL MASTER'!$S$2:$S$495=15)*('CONTROL MASTER'!$Z$2:$Z$495&lt;=3)*('CONTROL MASTER'!$AB$2:$AB$495&gt;=3)*('CONTROL MASTER'!$AA$2:$AA$495&lt;=5)*('CONTROL MASTER'!$AC$2:$AC$495&gt;=5))*ROW('CONTROL MASTER'!$S$2:$S$495))-(ROW('CONTROL MASTER'!#REF!)-1))))+1)))-1)*50+1,50))&amp;"_"&amp;INDEX('CONTROL MASTER'!$P$2:$P$495,(SUMPRODUCT((('CONTROL MASTER'!$S$2:$S$495=15)*('CONTROL MASTER'!$Z$2:$Z$495&lt;=3)*('CONTROL MASTER'!$AB$2:$AB$495&gt;=3)*('CONTROL MASTER'!$AA$2:$AA$495&lt;=5)*('CONTROL MASTER'!$AC$2:$AC$495&gt;=5))*ROW('CONTROL MASTER'!$S$2:$S$495))-(ROW('CONTROL MASTER'!#REF!)-1))),"")),"")</f>
        <v/>
      </c>
      <c r="G201" s="10" t="str">
        <f>IFERROR(IF(SUMPRODUCT((('CONTROL MASTER'!$S$2:$S$495=15)*('CONTROL MASTER'!$T$2:$T$495&lt;=3)*('CONTROL MASTER'!$V$2:$V$495&gt;=3)*('CONTROL MASTER'!$U$2:$U$495&lt;=6)*('CONTROL MASTER'!$W$2:$W$495&gt;=6))*ROW('CONTROL MASTER'!$S$2:$S$495))&gt;0,INDEX('CONTROL MASTER'!$X$2:$X$495,(SUMPRODUCT((('CONTROL MASTER'!$S$2:$S$495=15)*('CONTROL MASTER'!$T$2:$T$495&lt;=3)*('CONTROL MASTER'!$V$2:$V$495&gt;=3)*('CONTROL MASTER'!$U$2:$U$495&lt;=6)*('CONTROL MASTER'!$W$2:$W$495&gt;=6))*ROW('CONTROL MASTER'!$S$2:$S$495))-(ROW('CONTROL MASTER'!#REF!)-1)))&amp;TRIM(MID(SUBSTITUTE(SUBSTITUTE(INDEX('CONTROL MASTER'!$N$2:$N$495,(SUMPRODUCT((('CONTROL MASTER'!$S$2:$S$495=15)*('CONTROL MASTER'!$T$2:$T$495&lt;=3)*('CONTROL MASTER'!$V$2:$V$495&gt;=3)*('CONTROL MASTER'!$U$2:$U$495&lt;=6)*('CONTROL MASTER'!$W$2:$W$495&gt;=6))*ROW('CONTROL MASTER'!$S$2:$S$495))-(ROW('CONTROL MASTER'!#REF!)-1))),":",","),",",REPT(" ",50)),((((3-INDEX('CONTROL MASTER'!$T$2:$T$495,(SUMPRODUCT((('CONTROL MASTER'!$S$2:$S$495=15)*('CONTROL MASTER'!$T$2:$T$495&lt;=3)*('CONTROL MASTER'!$V$2:$V$495&gt;=3)*('CONTROL MASTER'!$U$2:$U$495&lt;=6)*('CONTROL MASTER'!$W$2:$W$495&gt;=6))*ROW('CONTROL MASTER'!$S$2:$S$495))-(ROW('CONTROL MASTER'!#REF!)-1))))*(INDEX('CONTROL MASTER'!$W$2:$W$495,(SUMPRODUCT((('CONTROL MASTER'!$S$2:$S$495=15)*('CONTROL MASTER'!$T$2:$T$495&lt;=3)*('CONTROL MASTER'!$V$2:$V$495&gt;=3)*('CONTROL MASTER'!$U$2:$U$495&lt;=6)*('CONTROL MASTER'!$W$2:$W$495&gt;=6))*ROW('CONTROL MASTER'!$S$2:$S$495))-(ROW('CONTROL MASTER'!#REF!)-1)))-INDEX('CONTROL MASTER'!$U$2:$U$495,(SUMPRODUCT((('CONTROL MASTER'!$S$2:$S$495=15)*('CONTROL MASTER'!$T$2:$T$495&lt;=3)*('CONTROL MASTER'!$V$2:$V$495&gt;=3)*('CONTROL MASTER'!$U$2:$U$495&lt;=6)*('CONTROL MASTER'!$W$2:$W$495&gt;=6))*ROW('CONTROL MASTER'!$S$2:$S$495))-(ROW('CONTROL MASTER'!#REF!)-1)))+1)+(6-INDEX('CONTROL MASTER'!$U$2:$U$495,(SUMPRODUCT((('CONTROL MASTER'!$S$2:$S$495=15)*('CONTROL MASTER'!$T$2:$T$495&lt;=3)*('CONTROL MASTER'!$V$2:$V$495&gt;=3)*('CONTROL MASTER'!$U$2:$U$495&lt;=6)*('CONTROL MASTER'!$W$2:$W$495&gt;=6))*ROW('CONTROL MASTER'!$S$2:$S$495))-(ROW('CONTROL MASTER'!#REF!)-1))))+1))-1)*50+1,50))&amp;"_"&amp;INDEX('CONTROL MASTER'!$P$2:$P$495,(SUMPRODUCT((('CONTROL MASTER'!$S$2:$S$495=15)*('CONTROL MASTER'!$T$2:$T$495&lt;=3)*('CONTROL MASTER'!$V$2:$V$495&gt;=3)*('CONTROL MASTER'!$U$2:$U$495&lt;=6)*('CONTROL MASTER'!$W$2:$W$495&gt;=6))*ROW('CONTROL MASTER'!$S$2:$S$495))-(ROW('CONTROL MASTER'!#REF!)-1))),IF(SUMPRODUCT((('CONTROL MASTER'!$S$2:$S$495=15)*('CONTROL MASTER'!$Z$2:$Z$495&lt;=3)*('CONTROL MASTER'!$AB$2:$AB$495&gt;=3)*('CONTROL MASTER'!$AA$2:$AA$495&lt;=6)*('CONTROL MASTER'!$AC$2:$AC$495&gt;=6))*ROW('CONTROL MASTER'!$S$2:$S$495))&gt;0,INDEX('CONTROL MASTER'!$X$2:$X$495,(SUMPRODUCT((('CONTROL MASTER'!$S$2:$S$495=15)*('CONTROL MASTER'!$Z$2:$Z$495&lt;=3)*('CONTROL MASTER'!$AB$2:$AB$495&gt;=3)*('CONTROL MASTER'!$AA$2:$AA$495&lt;=6)*('CONTROL MASTER'!$AC$2:$AC$495&gt;=6))*ROW('CONTROL MASTER'!$S$2:$S$495))-(ROW('CONTROL MASTER'!#REF!)-1)))&amp;TRIM(MID(SUBSTITUTE(SUBSTITUTE(INDEX('CONTROL MASTER'!$N$2:$N$495,(SUMPRODUCT((('CONTROL MASTER'!$S$2:$S$495=15)*('CONTROL MASTER'!$Z$2:$Z$495&lt;=3)*('CONTROL MASTER'!$AB$2:$AB$495&gt;=3)*('CONTROL MASTER'!$AA$2:$AA$495&lt;=6)*('CONTROL MASTER'!$AC$2:$AC$495&gt;=6))*ROW('CONTROL MASTER'!$S$2:$S$495))-(ROW('CONTROL MASTER'!#REF!)-1))),":",","),",",REPT(" ",50)),(((INDEX('CONTROL MASTER'!$Y$2:$Y$495,(SUMPRODUCT((('CONTROL MASTER'!$S$2:$S$495=15)*('CONTROL MASTER'!$Z$2:$Z$495&lt;=3)*('CONTROL MASTER'!$AB$2:$AB$495&gt;=3)*('CONTROL MASTER'!$AA$2:$AA$495&lt;=6)*('CONTROL MASTER'!$AC$2:$AC$495&gt;=6))*ROW('CONTROL MASTER'!$S$2:$S$495))-(ROW('CONTROL MASTER'!#REF!)-1)))+((3-INDEX('CONTROL MASTER'!$Z$2:$Z$495,(SUMPRODUCT((('CONTROL MASTER'!$S$2:$S$495=15)*('CONTROL MASTER'!$Z$2:$Z$495&lt;=3)*('CONTROL MASTER'!$AB$2:$AB$495&gt;=3)*('CONTROL MASTER'!$AA$2:$AA$495&lt;=6)*('CONTROL MASTER'!$AC$2:$AC$495&gt;=6))*ROW('CONTROL MASTER'!$S$2:$S$495))-(ROW('CONTROL MASTER'!#REF!)-1))))*(INDEX('CONTROL MASTER'!$AC$2:$AC$495,(SUMPRODUCT((('CONTROL MASTER'!$S$2:$S$495=15)*('CONTROL MASTER'!$Z$2:$Z$495&lt;=3)*('CONTROL MASTER'!$AB$2:$AB$495&gt;=3)*('CONTROL MASTER'!$AA$2:$AA$495&lt;=6)*('CONTROL MASTER'!$AC$2:$AC$495&gt;=6))*ROW('CONTROL MASTER'!$S$2:$S$495))-(ROW('CONTROL MASTER'!#REF!)-1)))-INDEX('CONTROL MASTER'!$AA$2:$AA$495,(SUMPRODUCT((('CONTROL MASTER'!$S$2:$S$495=15)*('CONTROL MASTER'!$Z$2:$Z$495&lt;=3)*('CONTROL MASTER'!$AB$2:$AB$495&gt;=3)*('CONTROL MASTER'!$AA$2:$AA$495&lt;=6)*('CONTROL MASTER'!$AC$2:$AC$495&gt;=6))*ROW('CONTROL MASTER'!$S$2:$S$495))-(ROW('CONTROL MASTER'!#REF!)-1)))+1)+(6-INDEX('CONTROL MASTER'!$AA$2:$AA$495,(SUMPRODUCT((('CONTROL MASTER'!$S$2:$S$495=15)*('CONTROL MASTER'!$Z$2:$Z$495&lt;=3)*('CONTROL MASTER'!$AB$2:$AB$495&gt;=3)*('CONTROL MASTER'!$AA$2:$AA$495&lt;=6)*('CONTROL MASTER'!$AC$2:$AC$495&gt;=6))*ROW('CONTROL MASTER'!$S$2:$S$495))-(ROW('CONTROL MASTER'!#REF!)-1))))+1)))-1)*50+1,50))&amp;"_"&amp;INDEX('CONTROL MASTER'!$P$2:$P$495,(SUMPRODUCT((('CONTROL MASTER'!$S$2:$S$495=15)*('CONTROL MASTER'!$Z$2:$Z$495&lt;=3)*('CONTROL MASTER'!$AB$2:$AB$495&gt;=3)*('CONTROL MASTER'!$AA$2:$AA$495&lt;=6)*('CONTROL MASTER'!$AC$2:$AC$495&gt;=6))*ROW('CONTROL MASTER'!$S$2:$S$495))-(ROW('CONTROL MASTER'!#REF!)-1))),"")),"")</f>
        <v/>
      </c>
      <c r="H201" s="10" t="str">
        <f>IFERROR(IF(SUMPRODUCT((('CONTROL MASTER'!$S$2:$S$495=15)*('CONTROL MASTER'!$T$2:$T$495&lt;=3)*('CONTROL MASTER'!$V$2:$V$495&gt;=3)*('CONTROL MASTER'!$U$2:$U$495&lt;=7)*('CONTROL MASTER'!$W$2:$W$495&gt;=7))*ROW('CONTROL MASTER'!$S$2:$S$495))&gt;0,INDEX('CONTROL MASTER'!$X$2:$X$495,(SUMPRODUCT((('CONTROL MASTER'!$S$2:$S$495=15)*('CONTROL MASTER'!$T$2:$T$495&lt;=3)*('CONTROL MASTER'!$V$2:$V$495&gt;=3)*('CONTROL MASTER'!$U$2:$U$495&lt;=7)*('CONTROL MASTER'!$W$2:$W$495&gt;=7))*ROW('CONTROL MASTER'!$S$2:$S$495))-(ROW('CONTROL MASTER'!#REF!)-1)))&amp;TRIM(MID(SUBSTITUTE(SUBSTITUTE(INDEX('CONTROL MASTER'!$N$2:$N$495,(SUMPRODUCT((('CONTROL MASTER'!$S$2:$S$495=15)*('CONTROL MASTER'!$T$2:$T$495&lt;=3)*('CONTROL MASTER'!$V$2:$V$495&gt;=3)*('CONTROL MASTER'!$U$2:$U$495&lt;=7)*('CONTROL MASTER'!$W$2:$W$495&gt;=7))*ROW('CONTROL MASTER'!$S$2:$S$495))-(ROW('CONTROL MASTER'!#REF!)-1))),":",","),",",REPT(" ",50)),((((3-INDEX('CONTROL MASTER'!$T$2:$T$495,(SUMPRODUCT((('CONTROL MASTER'!$S$2:$S$495=15)*('CONTROL MASTER'!$T$2:$T$495&lt;=3)*('CONTROL MASTER'!$V$2:$V$495&gt;=3)*('CONTROL MASTER'!$U$2:$U$495&lt;=7)*('CONTROL MASTER'!$W$2:$W$495&gt;=7))*ROW('CONTROL MASTER'!$S$2:$S$495))-(ROW('CONTROL MASTER'!#REF!)-1))))*(INDEX('CONTROL MASTER'!$W$2:$W$495,(SUMPRODUCT((('CONTROL MASTER'!$S$2:$S$495=15)*('CONTROL MASTER'!$T$2:$T$495&lt;=3)*('CONTROL MASTER'!$V$2:$V$495&gt;=3)*('CONTROL MASTER'!$U$2:$U$495&lt;=7)*('CONTROL MASTER'!$W$2:$W$495&gt;=7))*ROW('CONTROL MASTER'!$S$2:$S$495))-(ROW('CONTROL MASTER'!#REF!)-1)))-INDEX('CONTROL MASTER'!$U$2:$U$495,(SUMPRODUCT((('CONTROL MASTER'!$S$2:$S$495=15)*('CONTROL MASTER'!$T$2:$T$495&lt;=3)*('CONTROL MASTER'!$V$2:$V$495&gt;=3)*('CONTROL MASTER'!$U$2:$U$495&lt;=7)*('CONTROL MASTER'!$W$2:$W$495&gt;=7))*ROW('CONTROL MASTER'!$S$2:$S$495))-(ROW('CONTROL MASTER'!#REF!)-1)))+1)+(7-INDEX('CONTROL MASTER'!$U$2:$U$495,(SUMPRODUCT((('CONTROL MASTER'!$S$2:$S$495=15)*('CONTROL MASTER'!$T$2:$T$495&lt;=3)*('CONTROL MASTER'!$V$2:$V$495&gt;=3)*('CONTROL MASTER'!$U$2:$U$495&lt;=7)*('CONTROL MASTER'!$W$2:$W$495&gt;=7))*ROW('CONTROL MASTER'!$S$2:$S$495))-(ROW('CONTROL MASTER'!#REF!)-1))))+1))-1)*50+1,50))&amp;"_"&amp;INDEX('CONTROL MASTER'!$P$2:$P$495,(SUMPRODUCT((('CONTROL MASTER'!$S$2:$S$495=15)*('CONTROL MASTER'!$T$2:$T$495&lt;=3)*('CONTROL MASTER'!$V$2:$V$495&gt;=3)*('CONTROL MASTER'!$U$2:$U$495&lt;=7)*('CONTROL MASTER'!$W$2:$W$495&gt;=7))*ROW('CONTROL MASTER'!$S$2:$S$495))-(ROW('CONTROL MASTER'!#REF!)-1))),IF(SUMPRODUCT((('CONTROL MASTER'!$S$2:$S$495=15)*('CONTROL MASTER'!$Z$2:$Z$495&lt;=3)*('CONTROL MASTER'!$AB$2:$AB$495&gt;=3)*('CONTROL MASTER'!$AA$2:$AA$495&lt;=7)*('CONTROL MASTER'!$AC$2:$AC$495&gt;=7))*ROW('CONTROL MASTER'!$S$2:$S$495))&gt;0,INDEX('CONTROL MASTER'!$X$2:$X$495,(SUMPRODUCT((('CONTROL MASTER'!$S$2:$S$495=15)*('CONTROL MASTER'!$Z$2:$Z$495&lt;=3)*('CONTROL MASTER'!$AB$2:$AB$495&gt;=3)*('CONTROL MASTER'!$AA$2:$AA$495&lt;=7)*('CONTROL MASTER'!$AC$2:$AC$495&gt;=7))*ROW('CONTROL MASTER'!$S$2:$S$495))-(ROW('CONTROL MASTER'!#REF!)-1)))&amp;TRIM(MID(SUBSTITUTE(SUBSTITUTE(INDEX('CONTROL MASTER'!$N$2:$N$495,(SUMPRODUCT((('CONTROL MASTER'!$S$2:$S$495=15)*('CONTROL MASTER'!$Z$2:$Z$495&lt;=3)*('CONTROL MASTER'!$AB$2:$AB$495&gt;=3)*('CONTROL MASTER'!$AA$2:$AA$495&lt;=7)*('CONTROL MASTER'!$AC$2:$AC$495&gt;=7))*ROW('CONTROL MASTER'!$S$2:$S$495))-(ROW('CONTROL MASTER'!#REF!)-1))),":",","),",",REPT(" ",50)),(((INDEX('CONTROL MASTER'!$Y$2:$Y$495,(SUMPRODUCT((('CONTROL MASTER'!$S$2:$S$495=15)*('CONTROL MASTER'!$Z$2:$Z$495&lt;=3)*('CONTROL MASTER'!$AB$2:$AB$495&gt;=3)*('CONTROL MASTER'!$AA$2:$AA$495&lt;=7)*('CONTROL MASTER'!$AC$2:$AC$495&gt;=7))*ROW('CONTROL MASTER'!$S$2:$S$495))-(ROW('CONTROL MASTER'!#REF!)-1)))+((3-INDEX('CONTROL MASTER'!$Z$2:$Z$495,(SUMPRODUCT((('CONTROL MASTER'!$S$2:$S$495=15)*('CONTROL MASTER'!$Z$2:$Z$495&lt;=3)*('CONTROL MASTER'!$AB$2:$AB$495&gt;=3)*('CONTROL MASTER'!$AA$2:$AA$495&lt;=7)*('CONTROL MASTER'!$AC$2:$AC$495&gt;=7))*ROW('CONTROL MASTER'!$S$2:$S$495))-(ROW('CONTROL MASTER'!#REF!)-1))))*(INDEX('CONTROL MASTER'!$AC$2:$AC$495,(SUMPRODUCT((('CONTROL MASTER'!$S$2:$S$495=15)*('CONTROL MASTER'!$Z$2:$Z$495&lt;=3)*('CONTROL MASTER'!$AB$2:$AB$495&gt;=3)*('CONTROL MASTER'!$AA$2:$AA$495&lt;=7)*('CONTROL MASTER'!$AC$2:$AC$495&gt;=7))*ROW('CONTROL MASTER'!$S$2:$S$495))-(ROW('CONTROL MASTER'!#REF!)-1)))-INDEX('CONTROL MASTER'!$AA$2:$AA$495,(SUMPRODUCT((('CONTROL MASTER'!$S$2:$S$495=15)*('CONTROL MASTER'!$Z$2:$Z$495&lt;=3)*('CONTROL MASTER'!$AB$2:$AB$495&gt;=3)*('CONTROL MASTER'!$AA$2:$AA$495&lt;=7)*('CONTROL MASTER'!$AC$2:$AC$495&gt;=7))*ROW('CONTROL MASTER'!$S$2:$S$495))-(ROW('CONTROL MASTER'!#REF!)-1)))+1)+(7-INDEX('CONTROL MASTER'!$AA$2:$AA$495,(SUMPRODUCT((('CONTROL MASTER'!$S$2:$S$495=15)*('CONTROL MASTER'!$Z$2:$Z$495&lt;=3)*('CONTROL MASTER'!$AB$2:$AB$495&gt;=3)*('CONTROL MASTER'!$AA$2:$AA$495&lt;=7)*('CONTROL MASTER'!$AC$2:$AC$495&gt;=7))*ROW('CONTROL MASTER'!$S$2:$S$495))-(ROW('CONTROL MASTER'!#REF!)-1))))+1)))-1)*50+1,50))&amp;"_"&amp;INDEX('CONTROL MASTER'!$P$2:$P$495,(SUMPRODUCT((('CONTROL MASTER'!$S$2:$S$495=15)*('CONTROL MASTER'!$Z$2:$Z$495&lt;=3)*('CONTROL MASTER'!$AB$2:$AB$495&gt;=3)*('CONTROL MASTER'!$AA$2:$AA$495&lt;=7)*('CONTROL MASTER'!$AC$2:$AC$495&gt;=7))*ROW('CONTROL MASTER'!$S$2:$S$495))-(ROW('CONTROL MASTER'!#REF!)-1))),"")),"")</f>
        <v/>
      </c>
      <c r="I201" s="10" t="str">
        <f>IFERROR(IF(SUMPRODUCT((('CONTROL MASTER'!$S$2:$S$495=15)*('CONTROL MASTER'!$T$2:$T$495&lt;=3)*('CONTROL MASTER'!$V$2:$V$495&gt;=3)*('CONTROL MASTER'!$U$2:$U$495&lt;=8)*('CONTROL MASTER'!$W$2:$W$495&gt;=8))*ROW('CONTROL MASTER'!$S$2:$S$495))&gt;0,INDEX('CONTROL MASTER'!$X$2:$X$495,(SUMPRODUCT((('CONTROL MASTER'!$S$2:$S$495=15)*('CONTROL MASTER'!$T$2:$T$495&lt;=3)*('CONTROL MASTER'!$V$2:$V$495&gt;=3)*('CONTROL MASTER'!$U$2:$U$495&lt;=8)*('CONTROL MASTER'!$W$2:$W$495&gt;=8))*ROW('CONTROL MASTER'!$S$2:$S$495))-(ROW('CONTROL MASTER'!#REF!)-1)))&amp;TRIM(MID(SUBSTITUTE(SUBSTITUTE(INDEX('CONTROL MASTER'!$N$2:$N$495,(SUMPRODUCT((('CONTROL MASTER'!$S$2:$S$495=15)*('CONTROL MASTER'!$T$2:$T$495&lt;=3)*('CONTROL MASTER'!$V$2:$V$495&gt;=3)*('CONTROL MASTER'!$U$2:$U$495&lt;=8)*('CONTROL MASTER'!$W$2:$W$495&gt;=8))*ROW('CONTROL MASTER'!$S$2:$S$495))-(ROW('CONTROL MASTER'!#REF!)-1))),":",","),",",REPT(" ",50)),((((3-INDEX('CONTROL MASTER'!$T$2:$T$495,(SUMPRODUCT((('CONTROL MASTER'!$S$2:$S$495=15)*('CONTROL MASTER'!$T$2:$T$495&lt;=3)*('CONTROL MASTER'!$V$2:$V$495&gt;=3)*('CONTROL MASTER'!$U$2:$U$495&lt;=8)*('CONTROL MASTER'!$W$2:$W$495&gt;=8))*ROW('CONTROL MASTER'!$S$2:$S$495))-(ROW('CONTROL MASTER'!#REF!)-1))))*(INDEX('CONTROL MASTER'!$W$2:$W$495,(SUMPRODUCT((('CONTROL MASTER'!$S$2:$S$495=15)*('CONTROL MASTER'!$T$2:$T$495&lt;=3)*('CONTROL MASTER'!$V$2:$V$495&gt;=3)*('CONTROL MASTER'!$U$2:$U$495&lt;=8)*('CONTROL MASTER'!$W$2:$W$495&gt;=8))*ROW('CONTROL MASTER'!$S$2:$S$495))-(ROW('CONTROL MASTER'!#REF!)-1)))-INDEX('CONTROL MASTER'!$U$2:$U$495,(SUMPRODUCT((('CONTROL MASTER'!$S$2:$S$495=15)*('CONTROL MASTER'!$T$2:$T$495&lt;=3)*('CONTROL MASTER'!$V$2:$V$495&gt;=3)*('CONTROL MASTER'!$U$2:$U$495&lt;=8)*('CONTROL MASTER'!$W$2:$W$495&gt;=8))*ROW('CONTROL MASTER'!$S$2:$S$495))-(ROW('CONTROL MASTER'!#REF!)-1)))+1)+(8-INDEX('CONTROL MASTER'!$U$2:$U$495,(SUMPRODUCT((('CONTROL MASTER'!$S$2:$S$495=15)*('CONTROL MASTER'!$T$2:$T$495&lt;=3)*('CONTROL MASTER'!$V$2:$V$495&gt;=3)*('CONTROL MASTER'!$U$2:$U$495&lt;=8)*('CONTROL MASTER'!$W$2:$W$495&gt;=8))*ROW('CONTROL MASTER'!$S$2:$S$495))-(ROW('CONTROL MASTER'!#REF!)-1))))+1))-1)*50+1,50))&amp;"_"&amp;INDEX('CONTROL MASTER'!$P$2:$P$495,(SUMPRODUCT((('CONTROL MASTER'!$S$2:$S$495=15)*('CONTROL MASTER'!$T$2:$T$495&lt;=3)*('CONTROL MASTER'!$V$2:$V$495&gt;=3)*('CONTROL MASTER'!$U$2:$U$495&lt;=8)*('CONTROL MASTER'!$W$2:$W$495&gt;=8))*ROW('CONTROL MASTER'!$S$2:$S$495))-(ROW('CONTROL MASTER'!#REF!)-1))),IF(SUMPRODUCT((('CONTROL MASTER'!$S$2:$S$495=15)*('CONTROL MASTER'!$Z$2:$Z$495&lt;=3)*('CONTROL MASTER'!$AB$2:$AB$495&gt;=3)*('CONTROL MASTER'!$AA$2:$AA$495&lt;=8)*('CONTROL MASTER'!$AC$2:$AC$495&gt;=8))*ROW('CONTROL MASTER'!$S$2:$S$495))&gt;0,INDEX('CONTROL MASTER'!$X$2:$X$495,(SUMPRODUCT((('CONTROL MASTER'!$S$2:$S$495=15)*('CONTROL MASTER'!$Z$2:$Z$495&lt;=3)*('CONTROL MASTER'!$AB$2:$AB$495&gt;=3)*('CONTROL MASTER'!$AA$2:$AA$495&lt;=8)*('CONTROL MASTER'!$AC$2:$AC$495&gt;=8))*ROW('CONTROL MASTER'!$S$2:$S$495))-(ROW('CONTROL MASTER'!#REF!)-1)))&amp;TRIM(MID(SUBSTITUTE(SUBSTITUTE(INDEX('CONTROL MASTER'!$N$2:$N$495,(SUMPRODUCT((('CONTROL MASTER'!$S$2:$S$495=15)*('CONTROL MASTER'!$Z$2:$Z$495&lt;=3)*('CONTROL MASTER'!$AB$2:$AB$495&gt;=3)*('CONTROL MASTER'!$AA$2:$AA$495&lt;=8)*('CONTROL MASTER'!$AC$2:$AC$495&gt;=8))*ROW('CONTROL MASTER'!$S$2:$S$495))-(ROW('CONTROL MASTER'!#REF!)-1))),":",","),",",REPT(" ",50)),(((INDEX('CONTROL MASTER'!$Y$2:$Y$495,(SUMPRODUCT((('CONTROL MASTER'!$S$2:$S$495=15)*('CONTROL MASTER'!$Z$2:$Z$495&lt;=3)*('CONTROL MASTER'!$AB$2:$AB$495&gt;=3)*('CONTROL MASTER'!$AA$2:$AA$495&lt;=8)*('CONTROL MASTER'!$AC$2:$AC$495&gt;=8))*ROW('CONTROL MASTER'!$S$2:$S$495))-(ROW('CONTROL MASTER'!#REF!)-1)))+((3-INDEX('CONTROL MASTER'!$Z$2:$Z$495,(SUMPRODUCT((('CONTROL MASTER'!$S$2:$S$495=15)*('CONTROL MASTER'!$Z$2:$Z$495&lt;=3)*('CONTROL MASTER'!$AB$2:$AB$495&gt;=3)*('CONTROL MASTER'!$AA$2:$AA$495&lt;=8)*('CONTROL MASTER'!$AC$2:$AC$495&gt;=8))*ROW('CONTROL MASTER'!$S$2:$S$495))-(ROW('CONTROL MASTER'!#REF!)-1))))*(INDEX('CONTROL MASTER'!$AC$2:$AC$495,(SUMPRODUCT((('CONTROL MASTER'!$S$2:$S$495=15)*('CONTROL MASTER'!$Z$2:$Z$495&lt;=3)*('CONTROL MASTER'!$AB$2:$AB$495&gt;=3)*('CONTROL MASTER'!$AA$2:$AA$495&lt;=8)*('CONTROL MASTER'!$AC$2:$AC$495&gt;=8))*ROW('CONTROL MASTER'!$S$2:$S$495))-(ROW('CONTROL MASTER'!#REF!)-1)))-INDEX('CONTROL MASTER'!$AA$2:$AA$495,(SUMPRODUCT((('CONTROL MASTER'!$S$2:$S$495=15)*('CONTROL MASTER'!$Z$2:$Z$495&lt;=3)*('CONTROL MASTER'!$AB$2:$AB$495&gt;=3)*('CONTROL MASTER'!$AA$2:$AA$495&lt;=8)*('CONTROL MASTER'!$AC$2:$AC$495&gt;=8))*ROW('CONTROL MASTER'!$S$2:$S$495))-(ROW('CONTROL MASTER'!#REF!)-1)))+1)+(8-INDEX('CONTROL MASTER'!$AA$2:$AA$495,(SUMPRODUCT((('CONTROL MASTER'!$S$2:$S$495=15)*('CONTROL MASTER'!$Z$2:$Z$495&lt;=3)*('CONTROL MASTER'!$AB$2:$AB$495&gt;=3)*('CONTROL MASTER'!$AA$2:$AA$495&lt;=8)*('CONTROL MASTER'!$AC$2:$AC$495&gt;=8))*ROW('CONTROL MASTER'!$S$2:$S$495))-(ROW('CONTROL MASTER'!#REF!)-1))))+1)))-1)*50+1,50))&amp;"_"&amp;INDEX('CONTROL MASTER'!$P$2:$P$495,(SUMPRODUCT((('CONTROL MASTER'!$S$2:$S$495=15)*('CONTROL MASTER'!$Z$2:$Z$495&lt;=3)*('CONTROL MASTER'!$AB$2:$AB$495&gt;=3)*('CONTROL MASTER'!$AA$2:$AA$495&lt;=8)*('CONTROL MASTER'!$AC$2:$AC$495&gt;=8))*ROW('CONTROL MASTER'!$S$2:$S$495))-(ROW('CONTROL MASTER'!#REF!)-1))),"")),"")</f>
        <v/>
      </c>
      <c r="J201" s="10" t="str">
        <f>IFERROR(IF(SUMPRODUCT((('CONTROL MASTER'!$S$2:$S$495=15)*('CONTROL MASTER'!$T$2:$T$495&lt;=3)*('CONTROL MASTER'!$V$2:$V$495&gt;=3)*('CONTROL MASTER'!$U$2:$U$495&lt;=9)*('CONTROL MASTER'!$W$2:$W$495&gt;=9))*ROW('CONTROL MASTER'!$S$2:$S$495))&gt;0,INDEX('CONTROL MASTER'!$X$2:$X$495,(SUMPRODUCT((('CONTROL MASTER'!$S$2:$S$495=15)*('CONTROL MASTER'!$T$2:$T$495&lt;=3)*('CONTROL MASTER'!$V$2:$V$495&gt;=3)*('CONTROL MASTER'!$U$2:$U$495&lt;=9)*('CONTROL MASTER'!$W$2:$W$495&gt;=9))*ROW('CONTROL MASTER'!$S$2:$S$495))-(ROW('CONTROL MASTER'!#REF!)-1)))&amp;TRIM(MID(SUBSTITUTE(SUBSTITUTE(INDEX('CONTROL MASTER'!$N$2:$N$495,(SUMPRODUCT((('CONTROL MASTER'!$S$2:$S$495=15)*('CONTROL MASTER'!$T$2:$T$495&lt;=3)*('CONTROL MASTER'!$V$2:$V$495&gt;=3)*('CONTROL MASTER'!$U$2:$U$495&lt;=9)*('CONTROL MASTER'!$W$2:$W$495&gt;=9))*ROW('CONTROL MASTER'!$S$2:$S$495))-(ROW('CONTROL MASTER'!#REF!)-1))),":",","),",",REPT(" ",50)),((((3-INDEX('CONTROL MASTER'!$T$2:$T$495,(SUMPRODUCT((('CONTROL MASTER'!$S$2:$S$495=15)*('CONTROL MASTER'!$T$2:$T$495&lt;=3)*('CONTROL MASTER'!$V$2:$V$495&gt;=3)*('CONTROL MASTER'!$U$2:$U$495&lt;=9)*('CONTROL MASTER'!$W$2:$W$495&gt;=9))*ROW('CONTROL MASTER'!$S$2:$S$495))-(ROW('CONTROL MASTER'!#REF!)-1))))*(INDEX('CONTROL MASTER'!$W$2:$W$495,(SUMPRODUCT((('CONTROL MASTER'!$S$2:$S$495=15)*('CONTROL MASTER'!$T$2:$T$495&lt;=3)*('CONTROL MASTER'!$V$2:$V$495&gt;=3)*('CONTROL MASTER'!$U$2:$U$495&lt;=9)*('CONTROL MASTER'!$W$2:$W$495&gt;=9))*ROW('CONTROL MASTER'!$S$2:$S$495))-(ROW('CONTROL MASTER'!#REF!)-1)))-INDEX('CONTROL MASTER'!$U$2:$U$495,(SUMPRODUCT((('CONTROL MASTER'!$S$2:$S$495=15)*('CONTROL MASTER'!$T$2:$T$495&lt;=3)*('CONTROL MASTER'!$V$2:$V$495&gt;=3)*('CONTROL MASTER'!$U$2:$U$495&lt;=9)*('CONTROL MASTER'!$W$2:$W$495&gt;=9))*ROW('CONTROL MASTER'!$S$2:$S$495))-(ROW('CONTROL MASTER'!#REF!)-1)))+1)+(9-INDEX('CONTROL MASTER'!$U$2:$U$495,(SUMPRODUCT((('CONTROL MASTER'!$S$2:$S$495=15)*('CONTROL MASTER'!$T$2:$T$495&lt;=3)*('CONTROL MASTER'!$V$2:$V$495&gt;=3)*('CONTROL MASTER'!$U$2:$U$495&lt;=9)*('CONTROL MASTER'!$W$2:$W$495&gt;=9))*ROW('CONTROL MASTER'!$S$2:$S$495))-(ROW('CONTROL MASTER'!#REF!)-1))))+1))-1)*50+1,50))&amp;"_"&amp;INDEX('CONTROL MASTER'!$P$2:$P$495,(SUMPRODUCT((('CONTROL MASTER'!$S$2:$S$495=15)*('CONTROL MASTER'!$T$2:$T$495&lt;=3)*('CONTROL MASTER'!$V$2:$V$495&gt;=3)*('CONTROL MASTER'!$U$2:$U$495&lt;=9)*('CONTROL MASTER'!$W$2:$W$495&gt;=9))*ROW('CONTROL MASTER'!$S$2:$S$495))-(ROW('CONTROL MASTER'!#REF!)-1))),IF(SUMPRODUCT((('CONTROL MASTER'!$S$2:$S$495=15)*('CONTROL MASTER'!$Z$2:$Z$495&lt;=3)*('CONTROL MASTER'!$AB$2:$AB$495&gt;=3)*('CONTROL MASTER'!$AA$2:$AA$495&lt;=9)*('CONTROL MASTER'!$AC$2:$AC$495&gt;=9))*ROW('CONTROL MASTER'!$S$2:$S$495))&gt;0,INDEX('CONTROL MASTER'!$X$2:$X$495,(SUMPRODUCT((('CONTROL MASTER'!$S$2:$S$495=15)*('CONTROL MASTER'!$Z$2:$Z$495&lt;=3)*('CONTROL MASTER'!$AB$2:$AB$495&gt;=3)*('CONTROL MASTER'!$AA$2:$AA$495&lt;=9)*('CONTROL MASTER'!$AC$2:$AC$495&gt;=9))*ROW('CONTROL MASTER'!$S$2:$S$495))-(ROW('CONTROL MASTER'!#REF!)-1)))&amp;TRIM(MID(SUBSTITUTE(SUBSTITUTE(INDEX('CONTROL MASTER'!$N$2:$N$495,(SUMPRODUCT((('CONTROL MASTER'!$S$2:$S$495=15)*('CONTROL MASTER'!$Z$2:$Z$495&lt;=3)*('CONTROL MASTER'!$AB$2:$AB$495&gt;=3)*('CONTROL MASTER'!$AA$2:$AA$495&lt;=9)*('CONTROL MASTER'!$AC$2:$AC$495&gt;=9))*ROW('CONTROL MASTER'!$S$2:$S$495))-(ROW('CONTROL MASTER'!#REF!)-1))),":",","),",",REPT(" ",50)),(((INDEX('CONTROL MASTER'!$Y$2:$Y$495,(SUMPRODUCT((('CONTROL MASTER'!$S$2:$S$495=15)*('CONTROL MASTER'!$Z$2:$Z$495&lt;=3)*('CONTROL MASTER'!$AB$2:$AB$495&gt;=3)*('CONTROL MASTER'!$AA$2:$AA$495&lt;=9)*('CONTROL MASTER'!$AC$2:$AC$495&gt;=9))*ROW('CONTROL MASTER'!$S$2:$S$495))-(ROW('CONTROL MASTER'!#REF!)-1)))+((3-INDEX('CONTROL MASTER'!$Z$2:$Z$495,(SUMPRODUCT((('CONTROL MASTER'!$S$2:$S$495=15)*('CONTROL MASTER'!$Z$2:$Z$495&lt;=3)*('CONTROL MASTER'!$AB$2:$AB$495&gt;=3)*('CONTROL MASTER'!$AA$2:$AA$495&lt;=9)*('CONTROL MASTER'!$AC$2:$AC$495&gt;=9))*ROW('CONTROL MASTER'!$S$2:$S$495))-(ROW('CONTROL MASTER'!#REF!)-1))))*(INDEX('CONTROL MASTER'!$AC$2:$AC$495,(SUMPRODUCT((('CONTROL MASTER'!$S$2:$S$495=15)*('CONTROL MASTER'!$Z$2:$Z$495&lt;=3)*('CONTROL MASTER'!$AB$2:$AB$495&gt;=3)*('CONTROL MASTER'!$AA$2:$AA$495&lt;=9)*('CONTROL MASTER'!$AC$2:$AC$495&gt;=9))*ROW('CONTROL MASTER'!$S$2:$S$495))-(ROW('CONTROL MASTER'!#REF!)-1)))-INDEX('CONTROL MASTER'!$AA$2:$AA$495,(SUMPRODUCT((('CONTROL MASTER'!$S$2:$S$495=15)*('CONTROL MASTER'!$Z$2:$Z$495&lt;=3)*('CONTROL MASTER'!$AB$2:$AB$495&gt;=3)*('CONTROL MASTER'!$AA$2:$AA$495&lt;=9)*('CONTROL MASTER'!$AC$2:$AC$495&gt;=9))*ROW('CONTROL MASTER'!$S$2:$S$495))-(ROW('CONTROL MASTER'!#REF!)-1)))+1)+(9-INDEX('CONTROL MASTER'!$AA$2:$AA$495,(SUMPRODUCT((('CONTROL MASTER'!$S$2:$S$495=15)*('CONTROL MASTER'!$Z$2:$Z$495&lt;=3)*('CONTROL MASTER'!$AB$2:$AB$495&gt;=3)*('CONTROL MASTER'!$AA$2:$AA$495&lt;=9)*('CONTROL MASTER'!$AC$2:$AC$495&gt;=9))*ROW('CONTROL MASTER'!$S$2:$S$495))-(ROW('CONTROL MASTER'!#REF!)-1))))+1)))-1)*50+1,50))&amp;"_"&amp;INDEX('CONTROL MASTER'!$P$2:$P$495,(SUMPRODUCT((('CONTROL MASTER'!$S$2:$S$495=15)*('CONTROL MASTER'!$Z$2:$Z$495&lt;=3)*('CONTROL MASTER'!$AB$2:$AB$495&gt;=3)*('CONTROL MASTER'!$AA$2:$AA$495&lt;=9)*('CONTROL MASTER'!$AC$2:$AC$495&gt;=9))*ROW('CONTROL MASTER'!$S$2:$S$495))-(ROW('CONTROL MASTER'!#REF!)-1))),"")),"")</f>
        <v/>
      </c>
      <c r="K201" s="10" t="str">
        <f>IFERROR(IF(SUMPRODUCT((('CONTROL MASTER'!$S$2:$S$495=15)*('CONTROL MASTER'!$T$2:$T$495&lt;=3)*('CONTROL MASTER'!$V$2:$V$495&gt;=3)*('CONTROL MASTER'!$U$2:$U$495&lt;=10)*('CONTROL MASTER'!$W$2:$W$495&gt;=10))*ROW('CONTROL MASTER'!$S$2:$S$495))&gt;0,INDEX('CONTROL MASTER'!$X$2:$X$495,(SUMPRODUCT((('CONTROL MASTER'!$S$2:$S$495=15)*('CONTROL MASTER'!$T$2:$T$495&lt;=3)*('CONTROL MASTER'!$V$2:$V$495&gt;=3)*('CONTROL MASTER'!$U$2:$U$495&lt;=10)*('CONTROL MASTER'!$W$2:$W$495&gt;=10))*ROW('CONTROL MASTER'!$S$2:$S$495))-(ROW('CONTROL MASTER'!#REF!)-1)))&amp;TRIM(MID(SUBSTITUTE(SUBSTITUTE(INDEX('CONTROL MASTER'!$N$2:$N$495,(SUMPRODUCT((('CONTROL MASTER'!$S$2:$S$495=15)*('CONTROL MASTER'!$T$2:$T$495&lt;=3)*('CONTROL MASTER'!$V$2:$V$495&gt;=3)*('CONTROL MASTER'!$U$2:$U$495&lt;=10)*('CONTROL MASTER'!$W$2:$W$495&gt;=10))*ROW('CONTROL MASTER'!$S$2:$S$495))-(ROW('CONTROL MASTER'!#REF!)-1))),":",","),",",REPT(" ",50)),((((3-INDEX('CONTROL MASTER'!$T$2:$T$495,(SUMPRODUCT((('CONTROL MASTER'!$S$2:$S$495=15)*('CONTROL MASTER'!$T$2:$T$495&lt;=3)*('CONTROL MASTER'!$V$2:$V$495&gt;=3)*('CONTROL MASTER'!$U$2:$U$495&lt;=10)*('CONTROL MASTER'!$W$2:$W$495&gt;=10))*ROW('CONTROL MASTER'!$S$2:$S$495))-(ROW('CONTROL MASTER'!#REF!)-1))))*(INDEX('CONTROL MASTER'!$W$2:$W$495,(SUMPRODUCT((('CONTROL MASTER'!$S$2:$S$495=15)*('CONTROL MASTER'!$T$2:$T$495&lt;=3)*('CONTROL MASTER'!$V$2:$V$495&gt;=3)*('CONTROL MASTER'!$U$2:$U$495&lt;=10)*('CONTROL MASTER'!$W$2:$W$495&gt;=10))*ROW('CONTROL MASTER'!$S$2:$S$495))-(ROW('CONTROL MASTER'!#REF!)-1)))-INDEX('CONTROL MASTER'!$U$2:$U$495,(SUMPRODUCT((('CONTROL MASTER'!$S$2:$S$495=15)*('CONTROL MASTER'!$T$2:$T$495&lt;=3)*('CONTROL MASTER'!$V$2:$V$495&gt;=3)*('CONTROL MASTER'!$U$2:$U$495&lt;=10)*('CONTROL MASTER'!$W$2:$W$495&gt;=10))*ROW('CONTROL MASTER'!$S$2:$S$495))-(ROW('CONTROL MASTER'!#REF!)-1)))+1)+(10-INDEX('CONTROL MASTER'!$U$2:$U$495,(SUMPRODUCT((('CONTROL MASTER'!$S$2:$S$495=15)*('CONTROL MASTER'!$T$2:$T$495&lt;=3)*('CONTROL MASTER'!$V$2:$V$495&gt;=3)*('CONTROL MASTER'!$U$2:$U$495&lt;=10)*('CONTROL MASTER'!$W$2:$W$495&gt;=10))*ROW('CONTROL MASTER'!$S$2:$S$495))-(ROW('CONTROL MASTER'!#REF!)-1))))+1))-1)*50+1,50))&amp;"_"&amp;INDEX('CONTROL MASTER'!$P$2:$P$495,(SUMPRODUCT((('CONTROL MASTER'!$S$2:$S$495=15)*('CONTROL MASTER'!$T$2:$T$495&lt;=3)*('CONTROL MASTER'!$V$2:$V$495&gt;=3)*('CONTROL MASTER'!$U$2:$U$495&lt;=10)*('CONTROL MASTER'!$W$2:$W$495&gt;=10))*ROW('CONTROL MASTER'!$S$2:$S$495))-(ROW('CONTROL MASTER'!#REF!)-1))),IF(SUMPRODUCT((('CONTROL MASTER'!$S$2:$S$495=15)*('CONTROL MASTER'!$Z$2:$Z$495&lt;=3)*('CONTROL MASTER'!$AB$2:$AB$495&gt;=3)*('CONTROL MASTER'!$AA$2:$AA$495&lt;=10)*('CONTROL MASTER'!$AC$2:$AC$495&gt;=10))*ROW('CONTROL MASTER'!$S$2:$S$495))&gt;0,INDEX('CONTROL MASTER'!$X$2:$X$495,(SUMPRODUCT((('CONTROL MASTER'!$S$2:$S$495=15)*('CONTROL MASTER'!$Z$2:$Z$495&lt;=3)*('CONTROL MASTER'!$AB$2:$AB$495&gt;=3)*('CONTROL MASTER'!$AA$2:$AA$495&lt;=10)*('CONTROL MASTER'!$AC$2:$AC$495&gt;=10))*ROW('CONTROL MASTER'!$S$2:$S$495))-(ROW('CONTROL MASTER'!#REF!)-1)))&amp;TRIM(MID(SUBSTITUTE(SUBSTITUTE(INDEX('CONTROL MASTER'!$N$2:$N$495,(SUMPRODUCT((('CONTROL MASTER'!$S$2:$S$495=15)*('CONTROL MASTER'!$Z$2:$Z$495&lt;=3)*('CONTROL MASTER'!$AB$2:$AB$495&gt;=3)*('CONTROL MASTER'!$AA$2:$AA$495&lt;=10)*('CONTROL MASTER'!$AC$2:$AC$495&gt;=10))*ROW('CONTROL MASTER'!$S$2:$S$495))-(ROW('CONTROL MASTER'!#REF!)-1))),":",","),",",REPT(" ",50)),(((INDEX('CONTROL MASTER'!$Y$2:$Y$495,(SUMPRODUCT((('CONTROL MASTER'!$S$2:$S$495=15)*('CONTROL MASTER'!$Z$2:$Z$495&lt;=3)*('CONTROL MASTER'!$AB$2:$AB$495&gt;=3)*('CONTROL MASTER'!$AA$2:$AA$495&lt;=10)*('CONTROL MASTER'!$AC$2:$AC$495&gt;=10))*ROW('CONTROL MASTER'!$S$2:$S$495))-(ROW('CONTROL MASTER'!#REF!)-1)))+((3-INDEX('CONTROL MASTER'!$Z$2:$Z$495,(SUMPRODUCT((('CONTROL MASTER'!$S$2:$S$495=15)*('CONTROL MASTER'!$Z$2:$Z$495&lt;=3)*('CONTROL MASTER'!$AB$2:$AB$495&gt;=3)*('CONTROL MASTER'!$AA$2:$AA$495&lt;=10)*('CONTROL MASTER'!$AC$2:$AC$495&gt;=10))*ROW('CONTROL MASTER'!$S$2:$S$495))-(ROW('CONTROL MASTER'!#REF!)-1))))*(INDEX('CONTROL MASTER'!$AC$2:$AC$495,(SUMPRODUCT((('CONTROL MASTER'!$S$2:$S$495=15)*('CONTROL MASTER'!$Z$2:$Z$495&lt;=3)*('CONTROL MASTER'!$AB$2:$AB$495&gt;=3)*('CONTROL MASTER'!$AA$2:$AA$495&lt;=10)*('CONTROL MASTER'!$AC$2:$AC$495&gt;=10))*ROW('CONTROL MASTER'!$S$2:$S$495))-(ROW('CONTROL MASTER'!#REF!)-1)))-INDEX('CONTROL MASTER'!$AA$2:$AA$495,(SUMPRODUCT((('CONTROL MASTER'!$S$2:$S$495=15)*('CONTROL MASTER'!$Z$2:$Z$495&lt;=3)*('CONTROL MASTER'!$AB$2:$AB$495&gt;=3)*('CONTROL MASTER'!$AA$2:$AA$495&lt;=10)*('CONTROL MASTER'!$AC$2:$AC$495&gt;=10))*ROW('CONTROL MASTER'!$S$2:$S$495))-(ROW('CONTROL MASTER'!#REF!)-1)))+1)+(10-INDEX('CONTROL MASTER'!$AA$2:$AA$495,(SUMPRODUCT((('CONTROL MASTER'!$S$2:$S$495=15)*('CONTROL MASTER'!$Z$2:$Z$495&lt;=3)*('CONTROL MASTER'!$AB$2:$AB$495&gt;=3)*('CONTROL MASTER'!$AA$2:$AA$495&lt;=10)*('CONTROL MASTER'!$AC$2:$AC$495&gt;=10))*ROW('CONTROL MASTER'!$S$2:$S$495))-(ROW('CONTROL MASTER'!#REF!)-1))))+1)))-1)*50+1,50))&amp;"_"&amp;INDEX('CONTROL MASTER'!$P$2:$P$495,(SUMPRODUCT((('CONTROL MASTER'!$S$2:$S$495=15)*('CONTROL MASTER'!$Z$2:$Z$495&lt;=3)*('CONTROL MASTER'!$AB$2:$AB$495&gt;=3)*('CONTROL MASTER'!$AA$2:$AA$495&lt;=10)*('CONTROL MASTER'!$AC$2:$AC$495&gt;=10))*ROW('CONTROL MASTER'!$S$2:$S$495))-(ROW('CONTROL MASTER'!#REF!)-1))),"")),"")</f>
        <v/>
      </c>
    </row>
    <row r="202" spans="1:11" ht="15" customHeight="1" x14ac:dyDescent="0.35">
      <c r="A202" s="8" t="s">
        <v>31</v>
      </c>
      <c r="B202" s="10" t="str">
        <f>IFERROR(IF(SUMPRODUCT((('CONTROL MASTER'!$S$2:$S$495=15)*('CONTROL MASTER'!$T$2:$T$495&lt;=4)*('CONTROL MASTER'!$V$2:$V$495&gt;=4)*('CONTROL MASTER'!$U$2:$U$495&lt;=1)*('CONTROL MASTER'!$W$2:$W$495&gt;=1))*ROW('CONTROL MASTER'!$S$2:$S$495))&gt;0,INDEX('CONTROL MASTER'!$X$2:$X$495,(SUMPRODUCT((('CONTROL MASTER'!$S$2:$S$495=15)*('CONTROL MASTER'!$T$2:$T$495&lt;=4)*('CONTROL MASTER'!$V$2:$V$495&gt;=4)*('CONTROL MASTER'!$U$2:$U$495&lt;=1)*('CONTROL MASTER'!$W$2:$W$495&gt;=1))*ROW('CONTROL MASTER'!$S$2:$S$495))-(ROW('CONTROL MASTER'!#REF!)-1)))&amp;TRIM(MID(SUBSTITUTE(SUBSTITUTE(INDEX('CONTROL MASTER'!$N$2:$N$495,(SUMPRODUCT((('CONTROL MASTER'!$S$2:$S$495=15)*('CONTROL MASTER'!$T$2:$T$495&lt;=4)*('CONTROL MASTER'!$V$2:$V$495&gt;=4)*('CONTROL MASTER'!$U$2:$U$495&lt;=1)*('CONTROL MASTER'!$W$2:$W$495&gt;=1))*ROW('CONTROL MASTER'!$S$2:$S$495))-(ROW('CONTROL MASTER'!#REF!)-1))),":",","),",",REPT(" ",50)),((((4-INDEX('CONTROL MASTER'!$T$2:$T$495,(SUMPRODUCT((('CONTROL MASTER'!$S$2:$S$495=15)*('CONTROL MASTER'!$T$2:$T$495&lt;=4)*('CONTROL MASTER'!$V$2:$V$495&gt;=4)*('CONTROL MASTER'!$U$2:$U$495&lt;=1)*('CONTROL MASTER'!$W$2:$W$495&gt;=1))*ROW('CONTROL MASTER'!$S$2:$S$495))-(ROW('CONTROL MASTER'!#REF!)-1))))*(INDEX('CONTROL MASTER'!$W$2:$W$495,(SUMPRODUCT((('CONTROL MASTER'!$S$2:$S$495=15)*('CONTROL MASTER'!$T$2:$T$495&lt;=4)*('CONTROL MASTER'!$V$2:$V$495&gt;=4)*('CONTROL MASTER'!$U$2:$U$495&lt;=1)*('CONTROL MASTER'!$W$2:$W$495&gt;=1))*ROW('CONTROL MASTER'!$S$2:$S$495))-(ROW('CONTROL MASTER'!#REF!)-1)))-INDEX('CONTROL MASTER'!$U$2:$U$495,(SUMPRODUCT((('CONTROL MASTER'!$S$2:$S$495=15)*('CONTROL MASTER'!$T$2:$T$495&lt;=4)*('CONTROL MASTER'!$V$2:$V$495&gt;=4)*('CONTROL MASTER'!$U$2:$U$495&lt;=1)*('CONTROL MASTER'!$W$2:$W$495&gt;=1))*ROW('CONTROL MASTER'!$S$2:$S$495))-(ROW('CONTROL MASTER'!#REF!)-1)))+1)+(1-INDEX('CONTROL MASTER'!$U$2:$U$495,(SUMPRODUCT((('CONTROL MASTER'!$S$2:$S$495=15)*('CONTROL MASTER'!$T$2:$T$495&lt;=4)*('CONTROL MASTER'!$V$2:$V$495&gt;=4)*('CONTROL MASTER'!$U$2:$U$495&lt;=1)*('CONTROL MASTER'!$W$2:$W$495&gt;=1))*ROW('CONTROL MASTER'!$S$2:$S$495))-(ROW('CONTROL MASTER'!#REF!)-1))))+1))-1)*50+1,50))&amp;"_"&amp;INDEX('CONTROL MASTER'!$P$2:$P$495,(SUMPRODUCT((('CONTROL MASTER'!$S$2:$S$495=15)*('CONTROL MASTER'!$T$2:$T$495&lt;=4)*('CONTROL MASTER'!$V$2:$V$495&gt;=4)*('CONTROL MASTER'!$U$2:$U$495&lt;=1)*('CONTROL MASTER'!$W$2:$W$495&gt;=1))*ROW('CONTROL MASTER'!$S$2:$S$495))-(ROW('CONTROL MASTER'!#REF!)-1))),IF(SUMPRODUCT((('CONTROL MASTER'!$S$2:$S$495=15)*('CONTROL MASTER'!$Z$2:$Z$495&lt;=4)*('CONTROL MASTER'!$AB$2:$AB$495&gt;=4)*('CONTROL MASTER'!$AA$2:$AA$495&lt;=1)*('CONTROL MASTER'!$AC$2:$AC$495&gt;=1))*ROW('CONTROL MASTER'!$S$2:$S$495))&gt;0,INDEX('CONTROL MASTER'!$X$2:$X$495,(SUMPRODUCT((('CONTROL MASTER'!$S$2:$S$495=15)*('CONTROL MASTER'!$Z$2:$Z$495&lt;=4)*('CONTROL MASTER'!$AB$2:$AB$495&gt;=4)*('CONTROL MASTER'!$AA$2:$AA$495&lt;=1)*('CONTROL MASTER'!$AC$2:$AC$495&gt;=1))*ROW('CONTROL MASTER'!$S$2:$S$495))-(ROW('CONTROL MASTER'!#REF!)-1)))&amp;TRIM(MID(SUBSTITUTE(SUBSTITUTE(INDEX('CONTROL MASTER'!$N$2:$N$495,(SUMPRODUCT((('CONTROL MASTER'!$S$2:$S$495=15)*('CONTROL MASTER'!$Z$2:$Z$495&lt;=4)*('CONTROL MASTER'!$AB$2:$AB$495&gt;=4)*('CONTROL MASTER'!$AA$2:$AA$495&lt;=1)*('CONTROL MASTER'!$AC$2:$AC$495&gt;=1))*ROW('CONTROL MASTER'!$S$2:$S$495))-(ROW('CONTROL MASTER'!#REF!)-1))),":",","),",",REPT(" ",50)),(((INDEX('CONTROL MASTER'!$Y$2:$Y$495,(SUMPRODUCT((('CONTROL MASTER'!$S$2:$S$495=15)*('CONTROL MASTER'!$Z$2:$Z$495&lt;=4)*('CONTROL MASTER'!$AB$2:$AB$495&gt;=4)*('CONTROL MASTER'!$AA$2:$AA$495&lt;=1)*('CONTROL MASTER'!$AC$2:$AC$495&gt;=1))*ROW('CONTROL MASTER'!$S$2:$S$495))-(ROW('CONTROL MASTER'!#REF!)-1)))+((4-INDEX('CONTROL MASTER'!$Z$2:$Z$495,(SUMPRODUCT((('CONTROL MASTER'!$S$2:$S$495=15)*('CONTROL MASTER'!$Z$2:$Z$495&lt;=4)*('CONTROL MASTER'!$AB$2:$AB$495&gt;=4)*('CONTROL MASTER'!$AA$2:$AA$495&lt;=1)*('CONTROL MASTER'!$AC$2:$AC$495&gt;=1))*ROW('CONTROL MASTER'!$S$2:$S$495))-(ROW('CONTROL MASTER'!#REF!)-1))))*(INDEX('CONTROL MASTER'!$AC$2:$AC$495,(SUMPRODUCT((('CONTROL MASTER'!$S$2:$S$495=15)*('CONTROL MASTER'!$Z$2:$Z$495&lt;=4)*('CONTROL MASTER'!$AB$2:$AB$495&gt;=4)*('CONTROL MASTER'!$AA$2:$AA$495&lt;=1)*('CONTROL MASTER'!$AC$2:$AC$495&gt;=1))*ROW('CONTROL MASTER'!$S$2:$S$495))-(ROW('CONTROL MASTER'!#REF!)-1)))-INDEX('CONTROL MASTER'!$AA$2:$AA$495,(SUMPRODUCT((('CONTROL MASTER'!$S$2:$S$495=15)*('CONTROL MASTER'!$Z$2:$Z$495&lt;=4)*('CONTROL MASTER'!$AB$2:$AB$495&gt;=4)*('CONTROL MASTER'!$AA$2:$AA$495&lt;=1)*('CONTROL MASTER'!$AC$2:$AC$495&gt;=1))*ROW('CONTROL MASTER'!$S$2:$S$495))-(ROW('CONTROL MASTER'!#REF!)-1)))+1)+(1-INDEX('CONTROL MASTER'!$AA$2:$AA$495,(SUMPRODUCT((('CONTROL MASTER'!$S$2:$S$495=15)*('CONTROL MASTER'!$Z$2:$Z$495&lt;=4)*('CONTROL MASTER'!$AB$2:$AB$495&gt;=4)*('CONTROL MASTER'!$AA$2:$AA$495&lt;=1)*('CONTROL MASTER'!$AC$2:$AC$495&gt;=1))*ROW('CONTROL MASTER'!$S$2:$S$495))-(ROW('CONTROL MASTER'!#REF!)-1))))+1)))-1)*50+1,50))&amp;"_"&amp;INDEX('CONTROL MASTER'!$P$2:$P$495,(SUMPRODUCT((('CONTROL MASTER'!$S$2:$S$495=15)*('CONTROL MASTER'!$Z$2:$Z$495&lt;=4)*('CONTROL MASTER'!$AB$2:$AB$495&gt;=4)*('CONTROL MASTER'!$AA$2:$AA$495&lt;=1)*('CONTROL MASTER'!$AC$2:$AC$495&gt;=1))*ROW('CONTROL MASTER'!$S$2:$S$495))-(ROW('CONTROL MASTER'!#REF!)-1))),"")),"")</f>
        <v/>
      </c>
      <c r="C202" s="10" t="str">
        <f>IFERROR(IF(SUMPRODUCT((('CONTROL MASTER'!$S$2:$S$495=15)*('CONTROL MASTER'!$T$2:$T$495&lt;=4)*('CONTROL MASTER'!$V$2:$V$495&gt;=4)*('CONTROL MASTER'!$U$2:$U$495&lt;=2)*('CONTROL MASTER'!$W$2:$W$495&gt;=2))*ROW('CONTROL MASTER'!$S$2:$S$495))&gt;0,INDEX('CONTROL MASTER'!$X$2:$X$495,(SUMPRODUCT((('CONTROL MASTER'!$S$2:$S$495=15)*('CONTROL MASTER'!$T$2:$T$495&lt;=4)*('CONTROL MASTER'!$V$2:$V$495&gt;=4)*('CONTROL MASTER'!$U$2:$U$495&lt;=2)*('CONTROL MASTER'!$W$2:$W$495&gt;=2))*ROW('CONTROL MASTER'!$S$2:$S$495))-(ROW('CONTROL MASTER'!#REF!)-1)))&amp;TRIM(MID(SUBSTITUTE(SUBSTITUTE(INDEX('CONTROL MASTER'!$N$2:$N$495,(SUMPRODUCT((('CONTROL MASTER'!$S$2:$S$495=15)*('CONTROL MASTER'!$T$2:$T$495&lt;=4)*('CONTROL MASTER'!$V$2:$V$495&gt;=4)*('CONTROL MASTER'!$U$2:$U$495&lt;=2)*('CONTROL MASTER'!$W$2:$W$495&gt;=2))*ROW('CONTROL MASTER'!$S$2:$S$495))-(ROW('CONTROL MASTER'!#REF!)-1))),":",","),",",REPT(" ",50)),((((4-INDEX('CONTROL MASTER'!$T$2:$T$495,(SUMPRODUCT((('CONTROL MASTER'!$S$2:$S$495=15)*('CONTROL MASTER'!$T$2:$T$495&lt;=4)*('CONTROL MASTER'!$V$2:$V$495&gt;=4)*('CONTROL MASTER'!$U$2:$U$495&lt;=2)*('CONTROL MASTER'!$W$2:$W$495&gt;=2))*ROW('CONTROL MASTER'!$S$2:$S$495))-(ROW('CONTROL MASTER'!#REF!)-1))))*(INDEX('CONTROL MASTER'!$W$2:$W$495,(SUMPRODUCT((('CONTROL MASTER'!$S$2:$S$495=15)*('CONTROL MASTER'!$T$2:$T$495&lt;=4)*('CONTROL MASTER'!$V$2:$V$495&gt;=4)*('CONTROL MASTER'!$U$2:$U$495&lt;=2)*('CONTROL MASTER'!$W$2:$W$495&gt;=2))*ROW('CONTROL MASTER'!$S$2:$S$495))-(ROW('CONTROL MASTER'!#REF!)-1)))-INDEX('CONTROL MASTER'!$U$2:$U$495,(SUMPRODUCT((('CONTROL MASTER'!$S$2:$S$495=15)*('CONTROL MASTER'!$T$2:$T$495&lt;=4)*('CONTROL MASTER'!$V$2:$V$495&gt;=4)*('CONTROL MASTER'!$U$2:$U$495&lt;=2)*('CONTROL MASTER'!$W$2:$W$495&gt;=2))*ROW('CONTROL MASTER'!$S$2:$S$495))-(ROW('CONTROL MASTER'!#REF!)-1)))+1)+(2-INDEX('CONTROL MASTER'!$U$2:$U$495,(SUMPRODUCT((('CONTROL MASTER'!$S$2:$S$495=15)*('CONTROL MASTER'!$T$2:$T$495&lt;=4)*('CONTROL MASTER'!$V$2:$V$495&gt;=4)*('CONTROL MASTER'!$U$2:$U$495&lt;=2)*('CONTROL MASTER'!$W$2:$W$495&gt;=2))*ROW('CONTROL MASTER'!$S$2:$S$495))-(ROW('CONTROL MASTER'!#REF!)-1))))+1))-1)*50+1,50))&amp;"_"&amp;INDEX('CONTROL MASTER'!$P$2:$P$495,(SUMPRODUCT((('CONTROL MASTER'!$S$2:$S$495=15)*('CONTROL MASTER'!$T$2:$T$495&lt;=4)*('CONTROL MASTER'!$V$2:$V$495&gt;=4)*('CONTROL MASTER'!$U$2:$U$495&lt;=2)*('CONTROL MASTER'!$W$2:$W$495&gt;=2))*ROW('CONTROL MASTER'!$S$2:$S$495))-(ROW('CONTROL MASTER'!#REF!)-1))),IF(SUMPRODUCT((('CONTROL MASTER'!$S$2:$S$495=15)*('CONTROL MASTER'!$Z$2:$Z$495&lt;=4)*('CONTROL MASTER'!$AB$2:$AB$495&gt;=4)*('CONTROL MASTER'!$AA$2:$AA$495&lt;=2)*('CONTROL MASTER'!$AC$2:$AC$495&gt;=2))*ROW('CONTROL MASTER'!$S$2:$S$495))&gt;0,INDEX('CONTROL MASTER'!$X$2:$X$495,(SUMPRODUCT((('CONTROL MASTER'!$S$2:$S$495=15)*('CONTROL MASTER'!$Z$2:$Z$495&lt;=4)*('CONTROL MASTER'!$AB$2:$AB$495&gt;=4)*('CONTROL MASTER'!$AA$2:$AA$495&lt;=2)*('CONTROL MASTER'!$AC$2:$AC$495&gt;=2))*ROW('CONTROL MASTER'!$S$2:$S$495))-(ROW('CONTROL MASTER'!#REF!)-1)))&amp;TRIM(MID(SUBSTITUTE(SUBSTITUTE(INDEX('CONTROL MASTER'!$N$2:$N$495,(SUMPRODUCT((('CONTROL MASTER'!$S$2:$S$495=15)*('CONTROL MASTER'!$Z$2:$Z$495&lt;=4)*('CONTROL MASTER'!$AB$2:$AB$495&gt;=4)*('CONTROL MASTER'!$AA$2:$AA$495&lt;=2)*('CONTROL MASTER'!$AC$2:$AC$495&gt;=2))*ROW('CONTROL MASTER'!$S$2:$S$495))-(ROW('CONTROL MASTER'!#REF!)-1))),":",","),",",REPT(" ",50)),(((INDEX('CONTROL MASTER'!$Y$2:$Y$495,(SUMPRODUCT((('CONTROL MASTER'!$S$2:$S$495=15)*('CONTROL MASTER'!$Z$2:$Z$495&lt;=4)*('CONTROL MASTER'!$AB$2:$AB$495&gt;=4)*('CONTROL MASTER'!$AA$2:$AA$495&lt;=2)*('CONTROL MASTER'!$AC$2:$AC$495&gt;=2))*ROW('CONTROL MASTER'!$S$2:$S$495))-(ROW('CONTROL MASTER'!#REF!)-1)))+((4-INDEX('CONTROL MASTER'!$Z$2:$Z$495,(SUMPRODUCT((('CONTROL MASTER'!$S$2:$S$495=15)*('CONTROL MASTER'!$Z$2:$Z$495&lt;=4)*('CONTROL MASTER'!$AB$2:$AB$495&gt;=4)*('CONTROL MASTER'!$AA$2:$AA$495&lt;=2)*('CONTROL MASTER'!$AC$2:$AC$495&gt;=2))*ROW('CONTROL MASTER'!$S$2:$S$495))-(ROW('CONTROL MASTER'!#REF!)-1))))*(INDEX('CONTROL MASTER'!$AC$2:$AC$495,(SUMPRODUCT((('CONTROL MASTER'!$S$2:$S$495=15)*('CONTROL MASTER'!$Z$2:$Z$495&lt;=4)*('CONTROL MASTER'!$AB$2:$AB$495&gt;=4)*('CONTROL MASTER'!$AA$2:$AA$495&lt;=2)*('CONTROL MASTER'!$AC$2:$AC$495&gt;=2))*ROW('CONTROL MASTER'!$S$2:$S$495))-(ROW('CONTROL MASTER'!#REF!)-1)))-INDEX('CONTROL MASTER'!$AA$2:$AA$495,(SUMPRODUCT((('CONTROL MASTER'!$S$2:$S$495=15)*('CONTROL MASTER'!$Z$2:$Z$495&lt;=4)*('CONTROL MASTER'!$AB$2:$AB$495&gt;=4)*('CONTROL MASTER'!$AA$2:$AA$495&lt;=2)*('CONTROL MASTER'!$AC$2:$AC$495&gt;=2))*ROW('CONTROL MASTER'!$S$2:$S$495))-(ROW('CONTROL MASTER'!#REF!)-1)))+1)+(2-INDEX('CONTROL MASTER'!$AA$2:$AA$495,(SUMPRODUCT((('CONTROL MASTER'!$S$2:$S$495=15)*('CONTROL MASTER'!$Z$2:$Z$495&lt;=4)*('CONTROL MASTER'!$AB$2:$AB$495&gt;=4)*('CONTROL MASTER'!$AA$2:$AA$495&lt;=2)*('CONTROL MASTER'!$AC$2:$AC$495&gt;=2))*ROW('CONTROL MASTER'!$S$2:$S$495))-(ROW('CONTROL MASTER'!#REF!)-1))))+1)))-1)*50+1,50))&amp;"_"&amp;INDEX('CONTROL MASTER'!$P$2:$P$495,(SUMPRODUCT((('CONTROL MASTER'!$S$2:$S$495=15)*('CONTROL MASTER'!$Z$2:$Z$495&lt;=4)*('CONTROL MASTER'!$AB$2:$AB$495&gt;=4)*('CONTROL MASTER'!$AA$2:$AA$495&lt;=2)*('CONTROL MASTER'!$AC$2:$AC$495&gt;=2))*ROW('CONTROL MASTER'!$S$2:$S$495))-(ROW('CONTROL MASTER'!#REF!)-1))),"")),"")</f>
        <v/>
      </c>
      <c r="D202" s="10" t="str">
        <f>IFERROR(IF(SUMPRODUCT((('CONTROL MASTER'!$S$2:$S$495=15)*('CONTROL MASTER'!$T$2:$T$495&lt;=4)*('CONTROL MASTER'!$V$2:$V$495&gt;=4)*('CONTROL MASTER'!$U$2:$U$495&lt;=3)*('CONTROL MASTER'!$W$2:$W$495&gt;=3))*ROW('CONTROL MASTER'!$S$2:$S$495))&gt;0,INDEX('CONTROL MASTER'!$X$2:$X$495,(SUMPRODUCT((('CONTROL MASTER'!$S$2:$S$495=15)*('CONTROL MASTER'!$T$2:$T$495&lt;=4)*('CONTROL MASTER'!$V$2:$V$495&gt;=4)*('CONTROL MASTER'!$U$2:$U$495&lt;=3)*('CONTROL MASTER'!$W$2:$W$495&gt;=3))*ROW('CONTROL MASTER'!$S$2:$S$495))-(ROW('CONTROL MASTER'!#REF!)-1)))&amp;TRIM(MID(SUBSTITUTE(SUBSTITUTE(INDEX('CONTROL MASTER'!$N$2:$N$495,(SUMPRODUCT((('CONTROL MASTER'!$S$2:$S$495=15)*('CONTROL MASTER'!$T$2:$T$495&lt;=4)*('CONTROL MASTER'!$V$2:$V$495&gt;=4)*('CONTROL MASTER'!$U$2:$U$495&lt;=3)*('CONTROL MASTER'!$W$2:$W$495&gt;=3))*ROW('CONTROL MASTER'!$S$2:$S$495))-(ROW('CONTROL MASTER'!#REF!)-1))),":",","),",",REPT(" ",50)),((((4-INDEX('CONTROL MASTER'!$T$2:$T$495,(SUMPRODUCT((('CONTROL MASTER'!$S$2:$S$495=15)*('CONTROL MASTER'!$T$2:$T$495&lt;=4)*('CONTROL MASTER'!$V$2:$V$495&gt;=4)*('CONTROL MASTER'!$U$2:$U$495&lt;=3)*('CONTROL MASTER'!$W$2:$W$495&gt;=3))*ROW('CONTROL MASTER'!$S$2:$S$495))-(ROW('CONTROL MASTER'!#REF!)-1))))*(INDEX('CONTROL MASTER'!$W$2:$W$495,(SUMPRODUCT((('CONTROL MASTER'!$S$2:$S$495=15)*('CONTROL MASTER'!$T$2:$T$495&lt;=4)*('CONTROL MASTER'!$V$2:$V$495&gt;=4)*('CONTROL MASTER'!$U$2:$U$495&lt;=3)*('CONTROL MASTER'!$W$2:$W$495&gt;=3))*ROW('CONTROL MASTER'!$S$2:$S$495))-(ROW('CONTROL MASTER'!#REF!)-1)))-INDEX('CONTROL MASTER'!$U$2:$U$495,(SUMPRODUCT((('CONTROL MASTER'!$S$2:$S$495=15)*('CONTROL MASTER'!$T$2:$T$495&lt;=4)*('CONTROL MASTER'!$V$2:$V$495&gt;=4)*('CONTROL MASTER'!$U$2:$U$495&lt;=3)*('CONTROL MASTER'!$W$2:$W$495&gt;=3))*ROW('CONTROL MASTER'!$S$2:$S$495))-(ROW('CONTROL MASTER'!#REF!)-1)))+1)+(3-INDEX('CONTROL MASTER'!$U$2:$U$495,(SUMPRODUCT((('CONTROL MASTER'!$S$2:$S$495=15)*('CONTROL MASTER'!$T$2:$T$495&lt;=4)*('CONTROL MASTER'!$V$2:$V$495&gt;=4)*('CONTROL MASTER'!$U$2:$U$495&lt;=3)*('CONTROL MASTER'!$W$2:$W$495&gt;=3))*ROW('CONTROL MASTER'!$S$2:$S$495))-(ROW('CONTROL MASTER'!#REF!)-1))))+1))-1)*50+1,50))&amp;"_"&amp;INDEX('CONTROL MASTER'!$P$2:$P$495,(SUMPRODUCT((('CONTROL MASTER'!$S$2:$S$495=15)*('CONTROL MASTER'!$T$2:$T$495&lt;=4)*('CONTROL MASTER'!$V$2:$V$495&gt;=4)*('CONTROL MASTER'!$U$2:$U$495&lt;=3)*('CONTROL MASTER'!$W$2:$W$495&gt;=3))*ROW('CONTROL MASTER'!$S$2:$S$495))-(ROW('CONTROL MASTER'!#REF!)-1))),IF(SUMPRODUCT((('CONTROL MASTER'!$S$2:$S$495=15)*('CONTROL MASTER'!$Z$2:$Z$495&lt;=4)*('CONTROL MASTER'!$AB$2:$AB$495&gt;=4)*('CONTROL MASTER'!$AA$2:$AA$495&lt;=3)*('CONTROL MASTER'!$AC$2:$AC$495&gt;=3))*ROW('CONTROL MASTER'!$S$2:$S$495))&gt;0,INDEX('CONTROL MASTER'!$X$2:$X$495,(SUMPRODUCT((('CONTROL MASTER'!$S$2:$S$495=15)*('CONTROL MASTER'!$Z$2:$Z$495&lt;=4)*('CONTROL MASTER'!$AB$2:$AB$495&gt;=4)*('CONTROL MASTER'!$AA$2:$AA$495&lt;=3)*('CONTROL MASTER'!$AC$2:$AC$495&gt;=3))*ROW('CONTROL MASTER'!$S$2:$S$495))-(ROW('CONTROL MASTER'!#REF!)-1)))&amp;TRIM(MID(SUBSTITUTE(SUBSTITUTE(INDEX('CONTROL MASTER'!$N$2:$N$495,(SUMPRODUCT((('CONTROL MASTER'!$S$2:$S$495=15)*('CONTROL MASTER'!$Z$2:$Z$495&lt;=4)*('CONTROL MASTER'!$AB$2:$AB$495&gt;=4)*('CONTROL MASTER'!$AA$2:$AA$495&lt;=3)*('CONTROL MASTER'!$AC$2:$AC$495&gt;=3))*ROW('CONTROL MASTER'!$S$2:$S$495))-(ROW('CONTROL MASTER'!#REF!)-1))),":",","),",",REPT(" ",50)),(((INDEX('CONTROL MASTER'!$Y$2:$Y$495,(SUMPRODUCT((('CONTROL MASTER'!$S$2:$S$495=15)*('CONTROL MASTER'!$Z$2:$Z$495&lt;=4)*('CONTROL MASTER'!$AB$2:$AB$495&gt;=4)*('CONTROL MASTER'!$AA$2:$AA$495&lt;=3)*('CONTROL MASTER'!$AC$2:$AC$495&gt;=3))*ROW('CONTROL MASTER'!$S$2:$S$495))-(ROW('CONTROL MASTER'!#REF!)-1)))+((4-INDEX('CONTROL MASTER'!$Z$2:$Z$495,(SUMPRODUCT((('CONTROL MASTER'!$S$2:$S$495=15)*('CONTROL MASTER'!$Z$2:$Z$495&lt;=4)*('CONTROL MASTER'!$AB$2:$AB$495&gt;=4)*('CONTROL MASTER'!$AA$2:$AA$495&lt;=3)*('CONTROL MASTER'!$AC$2:$AC$495&gt;=3))*ROW('CONTROL MASTER'!$S$2:$S$495))-(ROW('CONTROL MASTER'!#REF!)-1))))*(INDEX('CONTROL MASTER'!$AC$2:$AC$495,(SUMPRODUCT((('CONTROL MASTER'!$S$2:$S$495=15)*('CONTROL MASTER'!$Z$2:$Z$495&lt;=4)*('CONTROL MASTER'!$AB$2:$AB$495&gt;=4)*('CONTROL MASTER'!$AA$2:$AA$495&lt;=3)*('CONTROL MASTER'!$AC$2:$AC$495&gt;=3))*ROW('CONTROL MASTER'!$S$2:$S$495))-(ROW('CONTROL MASTER'!#REF!)-1)))-INDEX('CONTROL MASTER'!$AA$2:$AA$495,(SUMPRODUCT((('CONTROL MASTER'!$S$2:$S$495=15)*('CONTROL MASTER'!$Z$2:$Z$495&lt;=4)*('CONTROL MASTER'!$AB$2:$AB$495&gt;=4)*('CONTROL MASTER'!$AA$2:$AA$495&lt;=3)*('CONTROL MASTER'!$AC$2:$AC$495&gt;=3))*ROW('CONTROL MASTER'!$S$2:$S$495))-(ROW('CONTROL MASTER'!#REF!)-1)))+1)+(3-INDEX('CONTROL MASTER'!$AA$2:$AA$495,(SUMPRODUCT((('CONTROL MASTER'!$S$2:$S$495=15)*('CONTROL MASTER'!$Z$2:$Z$495&lt;=4)*('CONTROL MASTER'!$AB$2:$AB$495&gt;=4)*('CONTROL MASTER'!$AA$2:$AA$495&lt;=3)*('CONTROL MASTER'!$AC$2:$AC$495&gt;=3))*ROW('CONTROL MASTER'!$S$2:$S$495))-(ROW('CONTROL MASTER'!#REF!)-1))))+1)))-1)*50+1,50))&amp;"_"&amp;INDEX('CONTROL MASTER'!$P$2:$P$495,(SUMPRODUCT((('CONTROL MASTER'!$S$2:$S$495=15)*('CONTROL MASTER'!$Z$2:$Z$495&lt;=4)*('CONTROL MASTER'!$AB$2:$AB$495&gt;=4)*('CONTROL MASTER'!$AA$2:$AA$495&lt;=3)*('CONTROL MASTER'!$AC$2:$AC$495&gt;=3))*ROW('CONTROL MASTER'!$S$2:$S$495))-(ROW('CONTROL MASTER'!#REF!)-1))),"")),"")</f>
        <v/>
      </c>
      <c r="E202" s="10" t="str">
        <f>IFERROR(IF(SUMPRODUCT((('CONTROL MASTER'!$S$2:$S$495=15)*('CONTROL MASTER'!$T$2:$T$495&lt;=4)*('CONTROL MASTER'!$V$2:$V$495&gt;=4)*('CONTROL MASTER'!$U$2:$U$495&lt;=4)*('CONTROL MASTER'!$W$2:$W$495&gt;=4))*ROW('CONTROL MASTER'!$S$2:$S$495))&gt;0,INDEX('CONTROL MASTER'!$X$2:$X$495,(SUMPRODUCT((('CONTROL MASTER'!$S$2:$S$495=15)*('CONTROL MASTER'!$T$2:$T$495&lt;=4)*('CONTROL MASTER'!$V$2:$V$495&gt;=4)*('CONTROL MASTER'!$U$2:$U$495&lt;=4)*('CONTROL MASTER'!$W$2:$W$495&gt;=4))*ROW('CONTROL MASTER'!$S$2:$S$495))-(ROW('CONTROL MASTER'!#REF!)-1)))&amp;TRIM(MID(SUBSTITUTE(SUBSTITUTE(INDEX('CONTROL MASTER'!$N$2:$N$495,(SUMPRODUCT((('CONTROL MASTER'!$S$2:$S$495=15)*('CONTROL MASTER'!$T$2:$T$495&lt;=4)*('CONTROL MASTER'!$V$2:$V$495&gt;=4)*('CONTROL MASTER'!$U$2:$U$495&lt;=4)*('CONTROL MASTER'!$W$2:$W$495&gt;=4))*ROW('CONTROL MASTER'!$S$2:$S$495))-(ROW('CONTROL MASTER'!#REF!)-1))),":",","),",",REPT(" ",50)),((((4-INDEX('CONTROL MASTER'!$T$2:$T$495,(SUMPRODUCT((('CONTROL MASTER'!$S$2:$S$495=15)*('CONTROL MASTER'!$T$2:$T$495&lt;=4)*('CONTROL MASTER'!$V$2:$V$495&gt;=4)*('CONTROL MASTER'!$U$2:$U$495&lt;=4)*('CONTROL MASTER'!$W$2:$W$495&gt;=4))*ROW('CONTROL MASTER'!$S$2:$S$495))-(ROW('CONTROL MASTER'!#REF!)-1))))*(INDEX('CONTROL MASTER'!$W$2:$W$495,(SUMPRODUCT((('CONTROL MASTER'!$S$2:$S$495=15)*('CONTROL MASTER'!$T$2:$T$495&lt;=4)*('CONTROL MASTER'!$V$2:$V$495&gt;=4)*('CONTROL MASTER'!$U$2:$U$495&lt;=4)*('CONTROL MASTER'!$W$2:$W$495&gt;=4))*ROW('CONTROL MASTER'!$S$2:$S$495))-(ROW('CONTROL MASTER'!#REF!)-1)))-INDEX('CONTROL MASTER'!$U$2:$U$495,(SUMPRODUCT((('CONTROL MASTER'!$S$2:$S$495=15)*('CONTROL MASTER'!$T$2:$T$495&lt;=4)*('CONTROL MASTER'!$V$2:$V$495&gt;=4)*('CONTROL MASTER'!$U$2:$U$495&lt;=4)*('CONTROL MASTER'!$W$2:$W$495&gt;=4))*ROW('CONTROL MASTER'!$S$2:$S$495))-(ROW('CONTROL MASTER'!#REF!)-1)))+1)+(4-INDEX('CONTROL MASTER'!$U$2:$U$495,(SUMPRODUCT((('CONTROL MASTER'!$S$2:$S$495=15)*('CONTROL MASTER'!$T$2:$T$495&lt;=4)*('CONTROL MASTER'!$V$2:$V$495&gt;=4)*('CONTROL MASTER'!$U$2:$U$495&lt;=4)*('CONTROL MASTER'!$W$2:$W$495&gt;=4))*ROW('CONTROL MASTER'!$S$2:$S$495))-(ROW('CONTROL MASTER'!#REF!)-1))))+1))-1)*50+1,50))&amp;"_"&amp;INDEX('CONTROL MASTER'!$P$2:$P$495,(SUMPRODUCT((('CONTROL MASTER'!$S$2:$S$495=15)*('CONTROL MASTER'!$T$2:$T$495&lt;=4)*('CONTROL MASTER'!$V$2:$V$495&gt;=4)*('CONTROL MASTER'!$U$2:$U$495&lt;=4)*('CONTROL MASTER'!$W$2:$W$495&gt;=4))*ROW('CONTROL MASTER'!$S$2:$S$495))-(ROW('CONTROL MASTER'!#REF!)-1))),IF(SUMPRODUCT((('CONTROL MASTER'!$S$2:$S$495=15)*('CONTROL MASTER'!$Z$2:$Z$495&lt;=4)*('CONTROL MASTER'!$AB$2:$AB$495&gt;=4)*('CONTROL MASTER'!$AA$2:$AA$495&lt;=4)*('CONTROL MASTER'!$AC$2:$AC$495&gt;=4))*ROW('CONTROL MASTER'!$S$2:$S$495))&gt;0,INDEX('CONTROL MASTER'!$X$2:$X$495,(SUMPRODUCT((('CONTROL MASTER'!$S$2:$S$495=15)*('CONTROL MASTER'!$Z$2:$Z$495&lt;=4)*('CONTROL MASTER'!$AB$2:$AB$495&gt;=4)*('CONTROL MASTER'!$AA$2:$AA$495&lt;=4)*('CONTROL MASTER'!$AC$2:$AC$495&gt;=4))*ROW('CONTROL MASTER'!$S$2:$S$495))-(ROW('CONTROL MASTER'!#REF!)-1)))&amp;TRIM(MID(SUBSTITUTE(SUBSTITUTE(INDEX('CONTROL MASTER'!$N$2:$N$495,(SUMPRODUCT((('CONTROL MASTER'!$S$2:$S$495=15)*('CONTROL MASTER'!$Z$2:$Z$495&lt;=4)*('CONTROL MASTER'!$AB$2:$AB$495&gt;=4)*('CONTROL MASTER'!$AA$2:$AA$495&lt;=4)*('CONTROL MASTER'!$AC$2:$AC$495&gt;=4))*ROW('CONTROL MASTER'!$S$2:$S$495))-(ROW('CONTROL MASTER'!#REF!)-1))),":",","),",",REPT(" ",50)),(((INDEX('CONTROL MASTER'!$Y$2:$Y$495,(SUMPRODUCT((('CONTROL MASTER'!$S$2:$S$495=15)*('CONTROL MASTER'!$Z$2:$Z$495&lt;=4)*('CONTROL MASTER'!$AB$2:$AB$495&gt;=4)*('CONTROL MASTER'!$AA$2:$AA$495&lt;=4)*('CONTROL MASTER'!$AC$2:$AC$495&gt;=4))*ROW('CONTROL MASTER'!$S$2:$S$495))-(ROW('CONTROL MASTER'!#REF!)-1)))+((4-INDEX('CONTROL MASTER'!$Z$2:$Z$495,(SUMPRODUCT((('CONTROL MASTER'!$S$2:$S$495=15)*('CONTROL MASTER'!$Z$2:$Z$495&lt;=4)*('CONTROL MASTER'!$AB$2:$AB$495&gt;=4)*('CONTROL MASTER'!$AA$2:$AA$495&lt;=4)*('CONTROL MASTER'!$AC$2:$AC$495&gt;=4))*ROW('CONTROL MASTER'!$S$2:$S$495))-(ROW('CONTROL MASTER'!#REF!)-1))))*(INDEX('CONTROL MASTER'!$AC$2:$AC$495,(SUMPRODUCT((('CONTROL MASTER'!$S$2:$S$495=15)*('CONTROL MASTER'!$Z$2:$Z$495&lt;=4)*('CONTROL MASTER'!$AB$2:$AB$495&gt;=4)*('CONTROL MASTER'!$AA$2:$AA$495&lt;=4)*('CONTROL MASTER'!$AC$2:$AC$495&gt;=4))*ROW('CONTROL MASTER'!$S$2:$S$495))-(ROW('CONTROL MASTER'!#REF!)-1)))-INDEX('CONTROL MASTER'!$AA$2:$AA$495,(SUMPRODUCT((('CONTROL MASTER'!$S$2:$S$495=15)*('CONTROL MASTER'!$Z$2:$Z$495&lt;=4)*('CONTROL MASTER'!$AB$2:$AB$495&gt;=4)*('CONTROL MASTER'!$AA$2:$AA$495&lt;=4)*('CONTROL MASTER'!$AC$2:$AC$495&gt;=4))*ROW('CONTROL MASTER'!$S$2:$S$495))-(ROW('CONTROL MASTER'!#REF!)-1)))+1)+(4-INDEX('CONTROL MASTER'!$AA$2:$AA$495,(SUMPRODUCT((('CONTROL MASTER'!$S$2:$S$495=15)*('CONTROL MASTER'!$Z$2:$Z$495&lt;=4)*('CONTROL MASTER'!$AB$2:$AB$495&gt;=4)*('CONTROL MASTER'!$AA$2:$AA$495&lt;=4)*('CONTROL MASTER'!$AC$2:$AC$495&gt;=4))*ROW('CONTROL MASTER'!$S$2:$S$495))-(ROW('CONTROL MASTER'!#REF!)-1))))+1)))-1)*50+1,50))&amp;"_"&amp;INDEX('CONTROL MASTER'!$P$2:$P$495,(SUMPRODUCT((('CONTROL MASTER'!$S$2:$S$495=15)*('CONTROL MASTER'!$Z$2:$Z$495&lt;=4)*('CONTROL MASTER'!$AB$2:$AB$495&gt;=4)*('CONTROL MASTER'!$AA$2:$AA$495&lt;=4)*('CONTROL MASTER'!$AC$2:$AC$495&gt;=4))*ROW('CONTROL MASTER'!$S$2:$S$495))-(ROW('CONTROL MASTER'!#REF!)-1))),"")),"")</f>
        <v/>
      </c>
      <c r="F202" s="10" t="str">
        <f>IFERROR(IF(SUMPRODUCT((('CONTROL MASTER'!$S$2:$S$495=15)*('CONTROL MASTER'!$T$2:$T$495&lt;=4)*('CONTROL MASTER'!$V$2:$V$495&gt;=4)*('CONTROL MASTER'!$U$2:$U$495&lt;=5)*('CONTROL MASTER'!$W$2:$W$495&gt;=5))*ROW('CONTROL MASTER'!$S$2:$S$495))&gt;0,INDEX('CONTROL MASTER'!$X$2:$X$495,(SUMPRODUCT((('CONTROL MASTER'!$S$2:$S$495=15)*('CONTROL MASTER'!$T$2:$T$495&lt;=4)*('CONTROL MASTER'!$V$2:$V$495&gt;=4)*('CONTROL MASTER'!$U$2:$U$495&lt;=5)*('CONTROL MASTER'!$W$2:$W$495&gt;=5))*ROW('CONTROL MASTER'!$S$2:$S$495))-(ROW('CONTROL MASTER'!#REF!)-1)))&amp;TRIM(MID(SUBSTITUTE(SUBSTITUTE(INDEX('CONTROL MASTER'!$N$2:$N$495,(SUMPRODUCT((('CONTROL MASTER'!$S$2:$S$495=15)*('CONTROL MASTER'!$T$2:$T$495&lt;=4)*('CONTROL MASTER'!$V$2:$V$495&gt;=4)*('CONTROL MASTER'!$U$2:$U$495&lt;=5)*('CONTROL MASTER'!$W$2:$W$495&gt;=5))*ROW('CONTROL MASTER'!$S$2:$S$495))-(ROW('CONTROL MASTER'!#REF!)-1))),":",","),",",REPT(" ",50)),((((4-INDEX('CONTROL MASTER'!$T$2:$T$495,(SUMPRODUCT((('CONTROL MASTER'!$S$2:$S$495=15)*('CONTROL MASTER'!$T$2:$T$495&lt;=4)*('CONTROL MASTER'!$V$2:$V$495&gt;=4)*('CONTROL MASTER'!$U$2:$U$495&lt;=5)*('CONTROL MASTER'!$W$2:$W$495&gt;=5))*ROW('CONTROL MASTER'!$S$2:$S$495))-(ROW('CONTROL MASTER'!#REF!)-1))))*(INDEX('CONTROL MASTER'!$W$2:$W$495,(SUMPRODUCT((('CONTROL MASTER'!$S$2:$S$495=15)*('CONTROL MASTER'!$T$2:$T$495&lt;=4)*('CONTROL MASTER'!$V$2:$V$495&gt;=4)*('CONTROL MASTER'!$U$2:$U$495&lt;=5)*('CONTROL MASTER'!$W$2:$W$495&gt;=5))*ROW('CONTROL MASTER'!$S$2:$S$495))-(ROW('CONTROL MASTER'!#REF!)-1)))-INDEX('CONTROL MASTER'!$U$2:$U$495,(SUMPRODUCT((('CONTROL MASTER'!$S$2:$S$495=15)*('CONTROL MASTER'!$T$2:$T$495&lt;=4)*('CONTROL MASTER'!$V$2:$V$495&gt;=4)*('CONTROL MASTER'!$U$2:$U$495&lt;=5)*('CONTROL MASTER'!$W$2:$W$495&gt;=5))*ROW('CONTROL MASTER'!$S$2:$S$495))-(ROW('CONTROL MASTER'!#REF!)-1)))+1)+(5-INDEX('CONTROL MASTER'!$U$2:$U$495,(SUMPRODUCT((('CONTROL MASTER'!$S$2:$S$495=15)*('CONTROL MASTER'!$T$2:$T$495&lt;=4)*('CONTROL MASTER'!$V$2:$V$495&gt;=4)*('CONTROL MASTER'!$U$2:$U$495&lt;=5)*('CONTROL MASTER'!$W$2:$W$495&gt;=5))*ROW('CONTROL MASTER'!$S$2:$S$495))-(ROW('CONTROL MASTER'!#REF!)-1))))+1))-1)*50+1,50))&amp;"_"&amp;INDEX('CONTROL MASTER'!$P$2:$P$495,(SUMPRODUCT((('CONTROL MASTER'!$S$2:$S$495=15)*('CONTROL MASTER'!$T$2:$T$495&lt;=4)*('CONTROL MASTER'!$V$2:$V$495&gt;=4)*('CONTROL MASTER'!$U$2:$U$495&lt;=5)*('CONTROL MASTER'!$W$2:$W$495&gt;=5))*ROW('CONTROL MASTER'!$S$2:$S$495))-(ROW('CONTROL MASTER'!#REF!)-1))),IF(SUMPRODUCT((('CONTROL MASTER'!$S$2:$S$495=15)*('CONTROL MASTER'!$Z$2:$Z$495&lt;=4)*('CONTROL MASTER'!$AB$2:$AB$495&gt;=4)*('CONTROL MASTER'!$AA$2:$AA$495&lt;=5)*('CONTROL MASTER'!$AC$2:$AC$495&gt;=5))*ROW('CONTROL MASTER'!$S$2:$S$495))&gt;0,INDEX('CONTROL MASTER'!$X$2:$X$495,(SUMPRODUCT((('CONTROL MASTER'!$S$2:$S$495=15)*('CONTROL MASTER'!$Z$2:$Z$495&lt;=4)*('CONTROL MASTER'!$AB$2:$AB$495&gt;=4)*('CONTROL MASTER'!$AA$2:$AA$495&lt;=5)*('CONTROL MASTER'!$AC$2:$AC$495&gt;=5))*ROW('CONTROL MASTER'!$S$2:$S$495))-(ROW('CONTROL MASTER'!#REF!)-1)))&amp;TRIM(MID(SUBSTITUTE(SUBSTITUTE(INDEX('CONTROL MASTER'!$N$2:$N$495,(SUMPRODUCT((('CONTROL MASTER'!$S$2:$S$495=15)*('CONTROL MASTER'!$Z$2:$Z$495&lt;=4)*('CONTROL MASTER'!$AB$2:$AB$495&gt;=4)*('CONTROL MASTER'!$AA$2:$AA$495&lt;=5)*('CONTROL MASTER'!$AC$2:$AC$495&gt;=5))*ROW('CONTROL MASTER'!$S$2:$S$495))-(ROW('CONTROL MASTER'!#REF!)-1))),":",","),",",REPT(" ",50)),(((INDEX('CONTROL MASTER'!$Y$2:$Y$495,(SUMPRODUCT((('CONTROL MASTER'!$S$2:$S$495=15)*('CONTROL MASTER'!$Z$2:$Z$495&lt;=4)*('CONTROL MASTER'!$AB$2:$AB$495&gt;=4)*('CONTROL MASTER'!$AA$2:$AA$495&lt;=5)*('CONTROL MASTER'!$AC$2:$AC$495&gt;=5))*ROW('CONTROL MASTER'!$S$2:$S$495))-(ROW('CONTROL MASTER'!#REF!)-1)))+((4-INDEX('CONTROL MASTER'!$Z$2:$Z$495,(SUMPRODUCT((('CONTROL MASTER'!$S$2:$S$495=15)*('CONTROL MASTER'!$Z$2:$Z$495&lt;=4)*('CONTROL MASTER'!$AB$2:$AB$495&gt;=4)*('CONTROL MASTER'!$AA$2:$AA$495&lt;=5)*('CONTROL MASTER'!$AC$2:$AC$495&gt;=5))*ROW('CONTROL MASTER'!$S$2:$S$495))-(ROW('CONTROL MASTER'!#REF!)-1))))*(INDEX('CONTROL MASTER'!$AC$2:$AC$495,(SUMPRODUCT((('CONTROL MASTER'!$S$2:$S$495=15)*('CONTROL MASTER'!$Z$2:$Z$495&lt;=4)*('CONTROL MASTER'!$AB$2:$AB$495&gt;=4)*('CONTROL MASTER'!$AA$2:$AA$495&lt;=5)*('CONTROL MASTER'!$AC$2:$AC$495&gt;=5))*ROW('CONTROL MASTER'!$S$2:$S$495))-(ROW('CONTROL MASTER'!#REF!)-1)))-INDEX('CONTROL MASTER'!$AA$2:$AA$495,(SUMPRODUCT((('CONTROL MASTER'!$S$2:$S$495=15)*('CONTROL MASTER'!$Z$2:$Z$495&lt;=4)*('CONTROL MASTER'!$AB$2:$AB$495&gt;=4)*('CONTROL MASTER'!$AA$2:$AA$495&lt;=5)*('CONTROL MASTER'!$AC$2:$AC$495&gt;=5))*ROW('CONTROL MASTER'!$S$2:$S$495))-(ROW('CONTROL MASTER'!#REF!)-1)))+1)+(5-INDEX('CONTROL MASTER'!$AA$2:$AA$495,(SUMPRODUCT((('CONTROL MASTER'!$S$2:$S$495=15)*('CONTROL MASTER'!$Z$2:$Z$495&lt;=4)*('CONTROL MASTER'!$AB$2:$AB$495&gt;=4)*('CONTROL MASTER'!$AA$2:$AA$495&lt;=5)*('CONTROL MASTER'!$AC$2:$AC$495&gt;=5))*ROW('CONTROL MASTER'!$S$2:$S$495))-(ROW('CONTROL MASTER'!#REF!)-1))))+1)))-1)*50+1,50))&amp;"_"&amp;INDEX('CONTROL MASTER'!$P$2:$P$495,(SUMPRODUCT((('CONTROL MASTER'!$S$2:$S$495=15)*('CONTROL MASTER'!$Z$2:$Z$495&lt;=4)*('CONTROL MASTER'!$AB$2:$AB$495&gt;=4)*('CONTROL MASTER'!$AA$2:$AA$495&lt;=5)*('CONTROL MASTER'!$AC$2:$AC$495&gt;=5))*ROW('CONTROL MASTER'!$S$2:$S$495))-(ROW('CONTROL MASTER'!#REF!)-1))),"")),"")</f>
        <v/>
      </c>
      <c r="G202" s="10" t="str">
        <f>IFERROR(IF(SUMPRODUCT((('CONTROL MASTER'!$S$2:$S$495=15)*('CONTROL MASTER'!$T$2:$T$495&lt;=4)*('CONTROL MASTER'!$V$2:$V$495&gt;=4)*('CONTROL MASTER'!$U$2:$U$495&lt;=6)*('CONTROL MASTER'!$W$2:$W$495&gt;=6))*ROW('CONTROL MASTER'!$S$2:$S$495))&gt;0,INDEX('CONTROL MASTER'!$X$2:$X$495,(SUMPRODUCT((('CONTROL MASTER'!$S$2:$S$495=15)*('CONTROL MASTER'!$T$2:$T$495&lt;=4)*('CONTROL MASTER'!$V$2:$V$495&gt;=4)*('CONTROL MASTER'!$U$2:$U$495&lt;=6)*('CONTROL MASTER'!$W$2:$W$495&gt;=6))*ROW('CONTROL MASTER'!$S$2:$S$495))-(ROW('CONTROL MASTER'!#REF!)-1)))&amp;TRIM(MID(SUBSTITUTE(SUBSTITUTE(INDEX('CONTROL MASTER'!$N$2:$N$495,(SUMPRODUCT((('CONTROL MASTER'!$S$2:$S$495=15)*('CONTROL MASTER'!$T$2:$T$495&lt;=4)*('CONTROL MASTER'!$V$2:$V$495&gt;=4)*('CONTROL MASTER'!$U$2:$U$495&lt;=6)*('CONTROL MASTER'!$W$2:$W$495&gt;=6))*ROW('CONTROL MASTER'!$S$2:$S$495))-(ROW('CONTROL MASTER'!#REF!)-1))),":",","),",",REPT(" ",50)),((((4-INDEX('CONTROL MASTER'!$T$2:$T$495,(SUMPRODUCT((('CONTROL MASTER'!$S$2:$S$495=15)*('CONTROL MASTER'!$T$2:$T$495&lt;=4)*('CONTROL MASTER'!$V$2:$V$495&gt;=4)*('CONTROL MASTER'!$U$2:$U$495&lt;=6)*('CONTROL MASTER'!$W$2:$W$495&gt;=6))*ROW('CONTROL MASTER'!$S$2:$S$495))-(ROW('CONTROL MASTER'!#REF!)-1))))*(INDEX('CONTROL MASTER'!$W$2:$W$495,(SUMPRODUCT((('CONTROL MASTER'!$S$2:$S$495=15)*('CONTROL MASTER'!$T$2:$T$495&lt;=4)*('CONTROL MASTER'!$V$2:$V$495&gt;=4)*('CONTROL MASTER'!$U$2:$U$495&lt;=6)*('CONTROL MASTER'!$W$2:$W$495&gt;=6))*ROW('CONTROL MASTER'!$S$2:$S$495))-(ROW('CONTROL MASTER'!#REF!)-1)))-INDEX('CONTROL MASTER'!$U$2:$U$495,(SUMPRODUCT((('CONTROL MASTER'!$S$2:$S$495=15)*('CONTROL MASTER'!$T$2:$T$495&lt;=4)*('CONTROL MASTER'!$V$2:$V$495&gt;=4)*('CONTROL MASTER'!$U$2:$U$495&lt;=6)*('CONTROL MASTER'!$W$2:$W$495&gt;=6))*ROW('CONTROL MASTER'!$S$2:$S$495))-(ROW('CONTROL MASTER'!#REF!)-1)))+1)+(6-INDEX('CONTROL MASTER'!$U$2:$U$495,(SUMPRODUCT((('CONTROL MASTER'!$S$2:$S$495=15)*('CONTROL MASTER'!$T$2:$T$495&lt;=4)*('CONTROL MASTER'!$V$2:$V$495&gt;=4)*('CONTROL MASTER'!$U$2:$U$495&lt;=6)*('CONTROL MASTER'!$W$2:$W$495&gt;=6))*ROW('CONTROL MASTER'!$S$2:$S$495))-(ROW('CONTROL MASTER'!#REF!)-1))))+1))-1)*50+1,50))&amp;"_"&amp;INDEX('CONTROL MASTER'!$P$2:$P$495,(SUMPRODUCT((('CONTROL MASTER'!$S$2:$S$495=15)*('CONTROL MASTER'!$T$2:$T$495&lt;=4)*('CONTROL MASTER'!$V$2:$V$495&gt;=4)*('CONTROL MASTER'!$U$2:$U$495&lt;=6)*('CONTROL MASTER'!$W$2:$W$495&gt;=6))*ROW('CONTROL MASTER'!$S$2:$S$495))-(ROW('CONTROL MASTER'!#REF!)-1))),IF(SUMPRODUCT((('CONTROL MASTER'!$S$2:$S$495=15)*('CONTROL MASTER'!$Z$2:$Z$495&lt;=4)*('CONTROL MASTER'!$AB$2:$AB$495&gt;=4)*('CONTROL MASTER'!$AA$2:$AA$495&lt;=6)*('CONTROL MASTER'!$AC$2:$AC$495&gt;=6))*ROW('CONTROL MASTER'!$S$2:$S$495))&gt;0,INDEX('CONTROL MASTER'!$X$2:$X$495,(SUMPRODUCT((('CONTROL MASTER'!$S$2:$S$495=15)*('CONTROL MASTER'!$Z$2:$Z$495&lt;=4)*('CONTROL MASTER'!$AB$2:$AB$495&gt;=4)*('CONTROL MASTER'!$AA$2:$AA$495&lt;=6)*('CONTROL MASTER'!$AC$2:$AC$495&gt;=6))*ROW('CONTROL MASTER'!$S$2:$S$495))-(ROW('CONTROL MASTER'!#REF!)-1)))&amp;TRIM(MID(SUBSTITUTE(SUBSTITUTE(INDEX('CONTROL MASTER'!$N$2:$N$495,(SUMPRODUCT((('CONTROL MASTER'!$S$2:$S$495=15)*('CONTROL MASTER'!$Z$2:$Z$495&lt;=4)*('CONTROL MASTER'!$AB$2:$AB$495&gt;=4)*('CONTROL MASTER'!$AA$2:$AA$495&lt;=6)*('CONTROL MASTER'!$AC$2:$AC$495&gt;=6))*ROW('CONTROL MASTER'!$S$2:$S$495))-(ROW('CONTROL MASTER'!#REF!)-1))),":",","),",",REPT(" ",50)),(((INDEX('CONTROL MASTER'!$Y$2:$Y$495,(SUMPRODUCT((('CONTROL MASTER'!$S$2:$S$495=15)*('CONTROL MASTER'!$Z$2:$Z$495&lt;=4)*('CONTROL MASTER'!$AB$2:$AB$495&gt;=4)*('CONTROL MASTER'!$AA$2:$AA$495&lt;=6)*('CONTROL MASTER'!$AC$2:$AC$495&gt;=6))*ROW('CONTROL MASTER'!$S$2:$S$495))-(ROW('CONTROL MASTER'!#REF!)-1)))+((4-INDEX('CONTROL MASTER'!$Z$2:$Z$495,(SUMPRODUCT((('CONTROL MASTER'!$S$2:$S$495=15)*('CONTROL MASTER'!$Z$2:$Z$495&lt;=4)*('CONTROL MASTER'!$AB$2:$AB$495&gt;=4)*('CONTROL MASTER'!$AA$2:$AA$495&lt;=6)*('CONTROL MASTER'!$AC$2:$AC$495&gt;=6))*ROW('CONTROL MASTER'!$S$2:$S$495))-(ROW('CONTROL MASTER'!#REF!)-1))))*(INDEX('CONTROL MASTER'!$AC$2:$AC$495,(SUMPRODUCT((('CONTROL MASTER'!$S$2:$S$495=15)*('CONTROL MASTER'!$Z$2:$Z$495&lt;=4)*('CONTROL MASTER'!$AB$2:$AB$495&gt;=4)*('CONTROL MASTER'!$AA$2:$AA$495&lt;=6)*('CONTROL MASTER'!$AC$2:$AC$495&gt;=6))*ROW('CONTROL MASTER'!$S$2:$S$495))-(ROW('CONTROL MASTER'!#REF!)-1)))-INDEX('CONTROL MASTER'!$AA$2:$AA$495,(SUMPRODUCT((('CONTROL MASTER'!$S$2:$S$495=15)*('CONTROL MASTER'!$Z$2:$Z$495&lt;=4)*('CONTROL MASTER'!$AB$2:$AB$495&gt;=4)*('CONTROL MASTER'!$AA$2:$AA$495&lt;=6)*('CONTROL MASTER'!$AC$2:$AC$495&gt;=6))*ROW('CONTROL MASTER'!$S$2:$S$495))-(ROW('CONTROL MASTER'!#REF!)-1)))+1)+(6-INDEX('CONTROL MASTER'!$AA$2:$AA$495,(SUMPRODUCT((('CONTROL MASTER'!$S$2:$S$495=15)*('CONTROL MASTER'!$Z$2:$Z$495&lt;=4)*('CONTROL MASTER'!$AB$2:$AB$495&gt;=4)*('CONTROL MASTER'!$AA$2:$AA$495&lt;=6)*('CONTROL MASTER'!$AC$2:$AC$495&gt;=6))*ROW('CONTROL MASTER'!$S$2:$S$495))-(ROW('CONTROL MASTER'!#REF!)-1))))+1)))-1)*50+1,50))&amp;"_"&amp;INDEX('CONTROL MASTER'!$P$2:$P$495,(SUMPRODUCT((('CONTROL MASTER'!$S$2:$S$495=15)*('CONTROL MASTER'!$Z$2:$Z$495&lt;=4)*('CONTROL MASTER'!$AB$2:$AB$495&gt;=4)*('CONTROL MASTER'!$AA$2:$AA$495&lt;=6)*('CONTROL MASTER'!$AC$2:$AC$495&gt;=6))*ROW('CONTROL MASTER'!$S$2:$S$495))-(ROW('CONTROL MASTER'!#REF!)-1))),"")),"")</f>
        <v/>
      </c>
      <c r="H202" s="10" t="str">
        <f>IFERROR(IF(SUMPRODUCT((('CONTROL MASTER'!$S$2:$S$495=15)*('CONTROL MASTER'!$T$2:$T$495&lt;=4)*('CONTROL MASTER'!$V$2:$V$495&gt;=4)*('CONTROL MASTER'!$U$2:$U$495&lt;=7)*('CONTROL MASTER'!$W$2:$W$495&gt;=7))*ROW('CONTROL MASTER'!$S$2:$S$495))&gt;0,INDEX('CONTROL MASTER'!$X$2:$X$495,(SUMPRODUCT((('CONTROL MASTER'!$S$2:$S$495=15)*('CONTROL MASTER'!$T$2:$T$495&lt;=4)*('CONTROL MASTER'!$V$2:$V$495&gt;=4)*('CONTROL MASTER'!$U$2:$U$495&lt;=7)*('CONTROL MASTER'!$W$2:$W$495&gt;=7))*ROW('CONTROL MASTER'!$S$2:$S$495))-(ROW('CONTROL MASTER'!#REF!)-1)))&amp;TRIM(MID(SUBSTITUTE(SUBSTITUTE(INDEX('CONTROL MASTER'!$N$2:$N$495,(SUMPRODUCT((('CONTROL MASTER'!$S$2:$S$495=15)*('CONTROL MASTER'!$T$2:$T$495&lt;=4)*('CONTROL MASTER'!$V$2:$V$495&gt;=4)*('CONTROL MASTER'!$U$2:$U$495&lt;=7)*('CONTROL MASTER'!$W$2:$W$495&gt;=7))*ROW('CONTROL MASTER'!$S$2:$S$495))-(ROW('CONTROL MASTER'!#REF!)-1))),":",","),",",REPT(" ",50)),((((4-INDEX('CONTROL MASTER'!$T$2:$T$495,(SUMPRODUCT((('CONTROL MASTER'!$S$2:$S$495=15)*('CONTROL MASTER'!$T$2:$T$495&lt;=4)*('CONTROL MASTER'!$V$2:$V$495&gt;=4)*('CONTROL MASTER'!$U$2:$U$495&lt;=7)*('CONTROL MASTER'!$W$2:$W$495&gt;=7))*ROW('CONTROL MASTER'!$S$2:$S$495))-(ROW('CONTROL MASTER'!#REF!)-1))))*(INDEX('CONTROL MASTER'!$W$2:$W$495,(SUMPRODUCT((('CONTROL MASTER'!$S$2:$S$495=15)*('CONTROL MASTER'!$T$2:$T$495&lt;=4)*('CONTROL MASTER'!$V$2:$V$495&gt;=4)*('CONTROL MASTER'!$U$2:$U$495&lt;=7)*('CONTROL MASTER'!$W$2:$W$495&gt;=7))*ROW('CONTROL MASTER'!$S$2:$S$495))-(ROW('CONTROL MASTER'!#REF!)-1)))-INDEX('CONTROL MASTER'!$U$2:$U$495,(SUMPRODUCT((('CONTROL MASTER'!$S$2:$S$495=15)*('CONTROL MASTER'!$T$2:$T$495&lt;=4)*('CONTROL MASTER'!$V$2:$V$495&gt;=4)*('CONTROL MASTER'!$U$2:$U$495&lt;=7)*('CONTROL MASTER'!$W$2:$W$495&gt;=7))*ROW('CONTROL MASTER'!$S$2:$S$495))-(ROW('CONTROL MASTER'!#REF!)-1)))+1)+(7-INDEX('CONTROL MASTER'!$U$2:$U$495,(SUMPRODUCT((('CONTROL MASTER'!$S$2:$S$495=15)*('CONTROL MASTER'!$T$2:$T$495&lt;=4)*('CONTROL MASTER'!$V$2:$V$495&gt;=4)*('CONTROL MASTER'!$U$2:$U$495&lt;=7)*('CONTROL MASTER'!$W$2:$W$495&gt;=7))*ROW('CONTROL MASTER'!$S$2:$S$495))-(ROW('CONTROL MASTER'!#REF!)-1))))+1))-1)*50+1,50))&amp;"_"&amp;INDEX('CONTROL MASTER'!$P$2:$P$495,(SUMPRODUCT((('CONTROL MASTER'!$S$2:$S$495=15)*('CONTROL MASTER'!$T$2:$T$495&lt;=4)*('CONTROL MASTER'!$V$2:$V$495&gt;=4)*('CONTROL MASTER'!$U$2:$U$495&lt;=7)*('CONTROL MASTER'!$W$2:$W$495&gt;=7))*ROW('CONTROL MASTER'!$S$2:$S$495))-(ROW('CONTROL MASTER'!#REF!)-1))),IF(SUMPRODUCT((('CONTROL MASTER'!$S$2:$S$495=15)*('CONTROL MASTER'!$Z$2:$Z$495&lt;=4)*('CONTROL MASTER'!$AB$2:$AB$495&gt;=4)*('CONTROL MASTER'!$AA$2:$AA$495&lt;=7)*('CONTROL MASTER'!$AC$2:$AC$495&gt;=7))*ROW('CONTROL MASTER'!$S$2:$S$495))&gt;0,INDEX('CONTROL MASTER'!$X$2:$X$495,(SUMPRODUCT((('CONTROL MASTER'!$S$2:$S$495=15)*('CONTROL MASTER'!$Z$2:$Z$495&lt;=4)*('CONTROL MASTER'!$AB$2:$AB$495&gt;=4)*('CONTROL MASTER'!$AA$2:$AA$495&lt;=7)*('CONTROL MASTER'!$AC$2:$AC$495&gt;=7))*ROW('CONTROL MASTER'!$S$2:$S$495))-(ROW('CONTROL MASTER'!#REF!)-1)))&amp;TRIM(MID(SUBSTITUTE(SUBSTITUTE(INDEX('CONTROL MASTER'!$N$2:$N$495,(SUMPRODUCT((('CONTROL MASTER'!$S$2:$S$495=15)*('CONTROL MASTER'!$Z$2:$Z$495&lt;=4)*('CONTROL MASTER'!$AB$2:$AB$495&gt;=4)*('CONTROL MASTER'!$AA$2:$AA$495&lt;=7)*('CONTROL MASTER'!$AC$2:$AC$495&gt;=7))*ROW('CONTROL MASTER'!$S$2:$S$495))-(ROW('CONTROL MASTER'!#REF!)-1))),":",","),",",REPT(" ",50)),(((INDEX('CONTROL MASTER'!$Y$2:$Y$495,(SUMPRODUCT((('CONTROL MASTER'!$S$2:$S$495=15)*('CONTROL MASTER'!$Z$2:$Z$495&lt;=4)*('CONTROL MASTER'!$AB$2:$AB$495&gt;=4)*('CONTROL MASTER'!$AA$2:$AA$495&lt;=7)*('CONTROL MASTER'!$AC$2:$AC$495&gt;=7))*ROW('CONTROL MASTER'!$S$2:$S$495))-(ROW('CONTROL MASTER'!#REF!)-1)))+((4-INDEX('CONTROL MASTER'!$Z$2:$Z$495,(SUMPRODUCT((('CONTROL MASTER'!$S$2:$S$495=15)*('CONTROL MASTER'!$Z$2:$Z$495&lt;=4)*('CONTROL MASTER'!$AB$2:$AB$495&gt;=4)*('CONTROL MASTER'!$AA$2:$AA$495&lt;=7)*('CONTROL MASTER'!$AC$2:$AC$495&gt;=7))*ROW('CONTROL MASTER'!$S$2:$S$495))-(ROW('CONTROL MASTER'!#REF!)-1))))*(INDEX('CONTROL MASTER'!$AC$2:$AC$495,(SUMPRODUCT((('CONTROL MASTER'!$S$2:$S$495=15)*('CONTROL MASTER'!$Z$2:$Z$495&lt;=4)*('CONTROL MASTER'!$AB$2:$AB$495&gt;=4)*('CONTROL MASTER'!$AA$2:$AA$495&lt;=7)*('CONTROL MASTER'!$AC$2:$AC$495&gt;=7))*ROW('CONTROL MASTER'!$S$2:$S$495))-(ROW('CONTROL MASTER'!#REF!)-1)))-INDEX('CONTROL MASTER'!$AA$2:$AA$495,(SUMPRODUCT((('CONTROL MASTER'!$S$2:$S$495=15)*('CONTROL MASTER'!$Z$2:$Z$495&lt;=4)*('CONTROL MASTER'!$AB$2:$AB$495&gt;=4)*('CONTROL MASTER'!$AA$2:$AA$495&lt;=7)*('CONTROL MASTER'!$AC$2:$AC$495&gt;=7))*ROW('CONTROL MASTER'!$S$2:$S$495))-(ROW('CONTROL MASTER'!#REF!)-1)))+1)+(7-INDEX('CONTROL MASTER'!$AA$2:$AA$495,(SUMPRODUCT((('CONTROL MASTER'!$S$2:$S$495=15)*('CONTROL MASTER'!$Z$2:$Z$495&lt;=4)*('CONTROL MASTER'!$AB$2:$AB$495&gt;=4)*('CONTROL MASTER'!$AA$2:$AA$495&lt;=7)*('CONTROL MASTER'!$AC$2:$AC$495&gt;=7))*ROW('CONTROL MASTER'!$S$2:$S$495))-(ROW('CONTROL MASTER'!#REF!)-1))))+1)))-1)*50+1,50))&amp;"_"&amp;INDEX('CONTROL MASTER'!$P$2:$P$495,(SUMPRODUCT((('CONTROL MASTER'!$S$2:$S$495=15)*('CONTROL MASTER'!$Z$2:$Z$495&lt;=4)*('CONTROL MASTER'!$AB$2:$AB$495&gt;=4)*('CONTROL MASTER'!$AA$2:$AA$495&lt;=7)*('CONTROL MASTER'!$AC$2:$AC$495&gt;=7))*ROW('CONTROL MASTER'!$S$2:$S$495))-(ROW('CONTROL MASTER'!#REF!)-1))),"")),"")</f>
        <v/>
      </c>
      <c r="I202" s="10" t="str">
        <f>IFERROR(IF(SUMPRODUCT((('CONTROL MASTER'!$S$2:$S$495=15)*('CONTROL MASTER'!$T$2:$T$495&lt;=4)*('CONTROL MASTER'!$V$2:$V$495&gt;=4)*('CONTROL MASTER'!$U$2:$U$495&lt;=8)*('CONTROL MASTER'!$W$2:$W$495&gt;=8))*ROW('CONTROL MASTER'!$S$2:$S$495))&gt;0,INDEX('CONTROL MASTER'!$X$2:$X$495,(SUMPRODUCT((('CONTROL MASTER'!$S$2:$S$495=15)*('CONTROL MASTER'!$T$2:$T$495&lt;=4)*('CONTROL MASTER'!$V$2:$V$495&gt;=4)*('CONTROL MASTER'!$U$2:$U$495&lt;=8)*('CONTROL MASTER'!$W$2:$W$495&gt;=8))*ROW('CONTROL MASTER'!$S$2:$S$495))-(ROW('CONTROL MASTER'!#REF!)-1)))&amp;TRIM(MID(SUBSTITUTE(SUBSTITUTE(INDEX('CONTROL MASTER'!$N$2:$N$495,(SUMPRODUCT((('CONTROL MASTER'!$S$2:$S$495=15)*('CONTROL MASTER'!$T$2:$T$495&lt;=4)*('CONTROL MASTER'!$V$2:$V$495&gt;=4)*('CONTROL MASTER'!$U$2:$U$495&lt;=8)*('CONTROL MASTER'!$W$2:$W$495&gt;=8))*ROW('CONTROL MASTER'!$S$2:$S$495))-(ROW('CONTROL MASTER'!#REF!)-1))),":",","),",",REPT(" ",50)),((((4-INDEX('CONTROL MASTER'!$T$2:$T$495,(SUMPRODUCT((('CONTROL MASTER'!$S$2:$S$495=15)*('CONTROL MASTER'!$T$2:$T$495&lt;=4)*('CONTROL MASTER'!$V$2:$V$495&gt;=4)*('CONTROL MASTER'!$U$2:$U$495&lt;=8)*('CONTROL MASTER'!$W$2:$W$495&gt;=8))*ROW('CONTROL MASTER'!$S$2:$S$495))-(ROW('CONTROL MASTER'!#REF!)-1))))*(INDEX('CONTROL MASTER'!$W$2:$W$495,(SUMPRODUCT((('CONTROL MASTER'!$S$2:$S$495=15)*('CONTROL MASTER'!$T$2:$T$495&lt;=4)*('CONTROL MASTER'!$V$2:$V$495&gt;=4)*('CONTROL MASTER'!$U$2:$U$495&lt;=8)*('CONTROL MASTER'!$W$2:$W$495&gt;=8))*ROW('CONTROL MASTER'!$S$2:$S$495))-(ROW('CONTROL MASTER'!#REF!)-1)))-INDEX('CONTROL MASTER'!$U$2:$U$495,(SUMPRODUCT((('CONTROL MASTER'!$S$2:$S$495=15)*('CONTROL MASTER'!$T$2:$T$495&lt;=4)*('CONTROL MASTER'!$V$2:$V$495&gt;=4)*('CONTROL MASTER'!$U$2:$U$495&lt;=8)*('CONTROL MASTER'!$W$2:$W$495&gt;=8))*ROW('CONTROL MASTER'!$S$2:$S$495))-(ROW('CONTROL MASTER'!#REF!)-1)))+1)+(8-INDEX('CONTROL MASTER'!$U$2:$U$495,(SUMPRODUCT((('CONTROL MASTER'!$S$2:$S$495=15)*('CONTROL MASTER'!$T$2:$T$495&lt;=4)*('CONTROL MASTER'!$V$2:$V$495&gt;=4)*('CONTROL MASTER'!$U$2:$U$495&lt;=8)*('CONTROL MASTER'!$W$2:$W$495&gt;=8))*ROW('CONTROL MASTER'!$S$2:$S$495))-(ROW('CONTROL MASTER'!#REF!)-1))))+1))-1)*50+1,50))&amp;"_"&amp;INDEX('CONTROL MASTER'!$P$2:$P$495,(SUMPRODUCT((('CONTROL MASTER'!$S$2:$S$495=15)*('CONTROL MASTER'!$T$2:$T$495&lt;=4)*('CONTROL MASTER'!$V$2:$V$495&gt;=4)*('CONTROL MASTER'!$U$2:$U$495&lt;=8)*('CONTROL MASTER'!$W$2:$W$495&gt;=8))*ROW('CONTROL MASTER'!$S$2:$S$495))-(ROW('CONTROL MASTER'!#REF!)-1))),IF(SUMPRODUCT((('CONTROL MASTER'!$S$2:$S$495=15)*('CONTROL MASTER'!$Z$2:$Z$495&lt;=4)*('CONTROL MASTER'!$AB$2:$AB$495&gt;=4)*('CONTROL MASTER'!$AA$2:$AA$495&lt;=8)*('CONTROL MASTER'!$AC$2:$AC$495&gt;=8))*ROW('CONTROL MASTER'!$S$2:$S$495))&gt;0,INDEX('CONTROL MASTER'!$X$2:$X$495,(SUMPRODUCT((('CONTROL MASTER'!$S$2:$S$495=15)*('CONTROL MASTER'!$Z$2:$Z$495&lt;=4)*('CONTROL MASTER'!$AB$2:$AB$495&gt;=4)*('CONTROL MASTER'!$AA$2:$AA$495&lt;=8)*('CONTROL MASTER'!$AC$2:$AC$495&gt;=8))*ROW('CONTROL MASTER'!$S$2:$S$495))-(ROW('CONTROL MASTER'!#REF!)-1)))&amp;TRIM(MID(SUBSTITUTE(SUBSTITUTE(INDEX('CONTROL MASTER'!$N$2:$N$495,(SUMPRODUCT((('CONTROL MASTER'!$S$2:$S$495=15)*('CONTROL MASTER'!$Z$2:$Z$495&lt;=4)*('CONTROL MASTER'!$AB$2:$AB$495&gt;=4)*('CONTROL MASTER'!$AA$2:$AA$495&lt;=8)*('CONTROL MASTER'!$AC$2:$AC$495&gt;=8))*ROW('CONTROL MASTER'!$S$2:$S$495))-(ROW('CONTROL MASTER'!#REF!)-1))),":",","),",",REPT(" ",50)),(((INDEX('CONTROL MASTER'!$Y$2:$Y$495,(SUMPRODUCT((('CONTROL MASTER'!$S$2:$S$495=15)*('CONTROL MASTER'!$Z$2:$Z$495&lt;=4)*('CONTROL MASTER'!$AB$2:$AB$495&gt;=4)*('CONTROL MASTER'!$AA$2:$AA$495&lt;=8)*('CONTROL MASTER'!$AC$2:$AC$495&gt;=8))*ROW('CONTROL MASTER'!$S$2:$S$495))-(ROW('CONTROL MASTER'!#REF!)-1)))+((4-INDEX('CONTROL MASTER'!$Z$2:$Z$495,(SUMPRODUCT((('CONTROL MASTER'!$S$2:$S$495=15)*('CONTROL MASTER'!$Z$2:$Z$495&lt;=4)*('CONTROL MASTER'!$AB$2:$AB$495&gt;=4)*('CONTROL MASTER'!$AA$2:$AA$495&lt;=8)*('CONTROL MASTER'!$AC$2:$AC$495&gt;=8))*ROW('CONTROL MASTER'!$S$2:$S$495))-(ROW('CONTROL MASTER'!#REF!)-1))))*(INDEX('CONTROL MASTER'!$AC$2:$AC$495,(SUMPRODUCT((('CONTROL MASTER'!$S$2:$S$495=15)*('CONTROL MASTER'!$Z$2:$Z$495&lt;=4)*('CONTROL MASTER'!$AB$2:$AB$495&gt;=4)*('CONTROL MASTER'!$AA$2:$AA$495&lt;=8)*('CONTROL MASTER'!$AC$2:$AC$495&gt;=8))*ROW('CONTROL MASTER'!$S$2:$S$495))-(ROW('CONTROL MASTER'!#REF!)-1)))-INDEX('CONTROL MASTER'!$AA$2:$AA$495,(SUMPRODUCT((('CONTROL MASTER'!$S$2:$S$495=15)*('CONTROL MASTER'!$Z$2:$Z$495&lt;=4)*('CONTROL MASTER'!$AB$2:$AB$495&gt;=4)*('CONTROL MASTER'!$AA$2:$AA$495&lt;=8)*('CONTROL MASTER'!$AC$2:$AC$495&gt;=8))*ROW('CONTROL MASTER'!$S$2:$S$495))-(ROW('CONTROL MASTER'!#REF!)-1)))+1)+(8-INDEX('CONTROL MASTER'!$AA$2:$AA$495,(SUMPRODUCT((('CONTROL MASTER'!$S$2:$S$495=15)*('CONTROL MASTER'!$Z$2:$Z$495&lt;=4)*('CONTROL MASTER'!$AB$2:$AB$495&gt;=4)*('CONTROL MASTER'!$AA$2:$AA$495&lt;=8)*('CONTROL MASTER'!$AC$2:$AC$495&gt;=8))*ROW('CONTROL MASTER'!$S$2:$S$495))-(ROW('CONTROL MASTER'!#REF!)-1))))+1)))-1)*50+1,50))&amp;"_"&amp;INDEX('CONTROL MASTER'!$P$2:$P$495,(SUMPRODUCT((('CONTROL MASTER'!$S$2:$S$495=15)*('CONTROL MASTER'!$Z$2:$Z$495&lt;=4)*('CONTROL MASTER'!$AB$2:$AB$495&gt;=4)*('CONTROL MASTER'!$AA$2:$AA$495&lt;=8)*('CONTROL MASTER'!$AC$2:$AC$495&gt;=8))*ROW('CONTROL MASTER'!$S$2:$S$495))-(ROW('CONTROL MASTER'!#REF!)-1))),"")),"")</f>
        <v/>
      </c>
      <c r="J202" s="10" t="str">
        <f>IFERROR(IF(SUMPRODUCT((('CONTROL MASTER'!$S$2:$S$495=15)*('CONTROL MASTER'!$T$2:$T$495&lt;=4)*('CONTROL MASTER'!$V$2:$V$495&gt;=4)*('CONTROL MASTER'!$U$2:$U$495&lt;=9)*('CONTROL MASTER'!$W$2:$W$495&gt;=9))*ROW('CONTROL MASTER'!$S$2:$S$495))&gt;0,INDEX('CONTROL MASTER'!$X$2:$X$495,(SUMPRODUCT((('CONTROL MASTER'!$S$2:$S$495=15)*('CONTROL MASTER'!$T$2:$T$495&lt;=4)*('CONTROL MASTER'!$V$2:$V$495&gt;=4)*('CONTROL MASTER'!$U$2:$U$495&lt;=9)*('CONTROL MASTER'!$W$2:$W$495&gt;=9))*ROW('CONTROL MASTER'!$S$2:$S$495))-(ROW('CONTROL MASTER'!#REF!)-1)))&amp;TRIM(MID(SUBSTITUTE(SUBSTITUTE(INDEX('CONTROL MASTER'!$N$2:$N$495,(SUMPRODUCT((('CONTROL MASTER'!$S$2:$S$495=15)*('CONTROL MASTER'!$T$2:$T$495&lt;=4)*('CONTROL MASTER'!$V$2:$V$495&gt;=4)*('CONTROL MASTER'!$U$2:$U$495&lt;=9)*('CONTROL MASTER'!$W$2:$W$495&gt;=9))*ROW('CONTROL MASTER'!$S$2:$S$495))-(ROW('CONTROL MASTER'!#REF!)-1))),":",","),",",REPT(" ",50)),((((4-INDEX('CONTROL MASTER'!$T$2:$T$495,(SUMPRODUCT((('CONTROL MASTER'!$S$2:$S$495=15)*('CONTROL MASTER'!$T$2:$T$495&lt;=4)*('CONTROL MASTER'!$V$2:$V$495&gt;=4)*('CONTROL MASTER'!$U$2:$U$495&lt;=9)*('CONTROL MASTER'!$W$2:$W$495&gt;=9))*ROW('CONTROL MASTER'!$S$2:$S$495))-(ROW('CONTROL MASTER'!#REF!)-1))))*(INDEX('CONTROL MASTER'!$W$2:$W$495,(SUMPRODUCT((('CONTROL MASTER'!$S$2:$S$495=15)*('CONTROL MASTER'!$T$2:$T$495&lt;=4)*('CONTROL MASTER'!$V$2:$V$495&gt;=4)*('CONTROL MASTER'!$U$2:$U$495&lt;=9)*('CONTROL MASTER'!$W$2:$W$495&gt;=9))*ROW('CONTROL MASTER'!$S$2:$S$495))-(ROW('CONTROL MASTER'!#REF!)-1)))-INDEX('CONTROL MASTER'!$U$2:$U$495,(SUMPRODUCT((('CONTROL MASTER'!$S$2:$S$495=15)*('CONTROL MASTER'!$T$2:$T$495&lt;=4)*('CONTROL MASTER'!$V$2:$V$495&gt;=4)*('CONTROL MASTER'!$U$2:$U$495&lt;=9)*('CONTROL MASTER'!$W$2:$W$495&gt;=9))*ROW('CONTROL MASTER'!$S$2:$S$495))-(ROW('CONTROL MASTER'!#REF!)-1)))+1)+(9-INDEX('CONTROL MASTER'!$U$2:$U$495,(SUMPRODUCT((('CONTROL MASTER'!$S$2:$S$495=15)*('CONTROL MASTER'!$T$2:$T$495&lt;=4)*('CONTROL MASTER'!$V$2:$V$495&gt;=4)*('CONTROL MASTER'!$U$2:$U$495&lt;=9)*('CONTROL MASTER'!$W$2:$W$495&gt;=9))*ROW('CONTROL MASTER'!$S$2:$S$495))-(ROW('CONTROL MASTER'!#REF!)-1))))+1))-1)*50+1,50))&amp;"_"&amp;INDEX('CONTROL MASTER'!$P$2:$P$495,(SUMPRODUCT((('CONTROL MASTER'!$S$2:$S$495=15)*('CONTROL MASTER'!$T$2:$T$495&lt;=4)*('CONTROL MASTER'!$V$2:$V$495&gt;=4)*('CONTROL MASTER'!$U$2:$U$495&lt;=9)*('CONTROL MASTER'!$W$2:$W$495&gt;=9))*ROW('CONTROL MASTER'!$S$2:$S$495))-(ROW('CONTROL MASTER'!#REF!)-1))),IF(SUMPRODUCT((('CONTROL MASTER'!$S$2:$S$495=15)*('CONTROL MASTER'!$Z$2:$Z$495&lt;=4)*('CONTROL MASTER'!$AB$2:$AB$495&gt;=4)*('CONTROL MASTER'!$AA$2:$AA$495&lt;=9)*('CONTROL MASTER'!$AC$2:$AC$495&gt;=9))*ROW('CONTROL MASTER'!$S$2:$S$495))&gt;0,INDEX('CONTROL MASTER'!$X$2:$X$495,(SUMPRODUCT((('CONTROL MASTER'!$S$2:$S$495=15)*('CONTROL MASTER'!$Z$2:$Z$495&lt;=4)*('CONTROL MASTER'!$AB$2:$AB$495&gt;=4)*('CONTROL MASTER'!$AA$2:$AA$495&lt;=9)*('CONTROL MASTER'!$AC$2:$AC$495&gt;=9))*ROW('CONTROL MASTER'!$S$2:$S$495))-(ROW('CONTROL MASTER'!#REF!)-1)))&amp;TRIM(MID(SUBSTITUTE(SUBSTITUTE(INDEX('CONTROL MASTER'!$N$2:$N$495,(SUMPRODUCT((('CONTROL MASTER'!$S$2:$S$495=15)*('CONTROL MASTER'!$Z$2:$Z$495&lt;=4)*('CONTROL MASTER'!$AB$2:$AB$495&gt;=4)*('CONTROL MASTER'!$AA$2:$AA$495&lt;=9)*('CONTROL MASTER'!$AC$2:$AC$495&gt;=9))*ROW('CONTROL MASTER'!$S$2:$S$495))-(ROW('CONTROL MASTER'!#REF!)-1))),":",","),",",REPT(" ",50)),(((INDEX('CONTROL MASTER'!$Y$2:$Y$495,(SUMPRODUCT((('CONTROL MASTER'!$S$2:$S$495=15)*('CONTROL MASTER'!$Z$2:$Z$495&lt;=4)*('CONTROL MASTER'!$AB$2:$AB$495&gt;=4)*('CONTROL MASTER'!$AA$2:$AA$495&lt;=9)*('CONTROL MASTER'!$AC$2:$AC$495&gt;=9))*ROW('CONTROL MASTER'!$S$2:$S$495))-(ROW('CONTROL MASTER'!#REF!)-1)))+((4-INDEX('CONTROL MASTER'!$Z$2:$Z$495,(SUMPRODUCT((('CONTROL MASTER'!$S$2:$S$495=15)*('CONTROL MASTER'!$Z$2:$Z$495&lt;=4)*('CONTROL MASTER'!$AB$2:$AB$495&gt;=4)*('CONTROL MASTER'!$AA$2:$AA$495&lt;=9)*('CONTROL MASTER'!$AC$2:$AC$495&gt;=9))*ROW('CONTROL MASTER'!$S$2:$S$495))-(ROW('CONTROL MASTER'!#REF!)-1))))*(INDEX('CONTROL MASTER'!$AC$2:$AC$495,(SUMPRODUCT((('CONTROL MASTER'!$S$2:$S$495=15)*('CONTROL MASTER'!$Z$2:$Z$495&lt;=4)*('CONTROL MASTER'!$AB$2:$AB$495&gt;=4)*('CONTROL MASTER'!$AA$2:$AA$495&lt;=9)*('CONTROL MASTER'!$AC$2:$AC$495&gt;=9))*ROW('CONTROL MASTER'!$S$2:$S$495))-(ROW('CONTROL MASTER'!#REF!)-1)))-INDEX('CONTROL MASTER'!$AA$2:$AA$495,(SUMPRODUCT((('CONTROL MASTER'!$S$2:$S$495=15)*('CONTROL MASTER'!$Z$2:$Z$495&lt;=4)*('CONTROL MASTER'!$AB$2:$AB$495&gt;=4)*('CONTROL MASTER'!$AA$2:$AA$495&lt;=9)*('CONTROL MASTER'!$AC$2:$AC$495&gt;=9))*ROW('CONTROL MASTER'!$S$2:$S$495))-(ROW('CONTROL MASTER'!#REF!)-1)))+1)+(9-INDEX('CONTROL MASTER'!$AA$2:$AA$495,(SUMPRODUCT((('CONTROL MASTER'!$S$2:$S$495=15)*('CONTROL MASTER'!$Z$2:$Z$495&lt;=4)*('CONTROL MASTER'!$AB$2:$AB$495&gt;=4)*('CONTROL MASTER'!$AA$2:$AA$495&lt;=9)*('CONTROL MASTER'!$AC$2:$AC$495&gt;=9))*ROW('CONTROL MASTER'!$S$2:$S$495))-(ROW('CONTROL MASTER'!#REF!)-1))))+1)))-1)*50+1,50))&amp;"_"&amp;INDEX('CONTROL MASTER'!$P$2:$P$495,(SUMPRODUCT((('CONTROL MASTER'!$S$2:$S$495=15)*('CONTROL MASTER'!$Z$2:$Z$495&lt;=4)*('CONTROL MASTER'!$AB$2:$AB$495&gt;=4)*('CONTROL MASTER'!$AA$2:$AA$495&lt;=9)*('CONTROL MASTER'!$AC$2:$AC$495&gt;=9))*ROW('CONTROL MASTER'!$S$2:$S$495))-(ROW('CONTROL MASTER'!#REF!)-1))),"")),"")</f>
        <v/>
      </c>
      <c r="K202" s="10" t="str">
        <f>IFERROR(IF(SUMPRODUCT((('CONTROL MASTER'!$S$2:$S$495=15)*('CONTROL MASTER'!$T$2:$T$495&lt;=4)*('CONTROL MASTER'!$V$2:$V$495&gt;=4)*('CONTROL MASTER'!$U$2:$U$495&lt;=10)*('CONTROL MASTER'!$W$2:$W$495&gt;=10))*ROW('CONTROL MASTER'!$S$2:$S$495))&gt;0,INDEX('CONTROL MASTER'!$X$2:$X$495,(SUMPRODUCT((('CONTROL MASTER'!$S$2:$S$495=15)*('CONTROL MASTER'!$T$2:$T$495&lt;=4)*('CONTROL MASTER'!$V$2:$V$495&gt;=4)*('CONTROL MASTER'!$U$2:$U$495&lt;=10)*('CONTROL MASTER'!$W$2:$W$495&gt;=10))*ROW('CONTROL MASTER'!$S$2:$S$495))-(ROW('CONTROL MASTER'!#REF!)-1)))&amp;TRIM(MID(SUBSTITUTE(SUBSTITUTE(INDEX('CONTROL MASTER'!$N$2:$N$495,(SUMPRODUCT((('CONTROL MASTER'!$S$2:$S$495=15)*('CONTROL MASTER'!$T$2:$T$495&lt;=4)*('CONTROL MASTER'!$V$2:$V$495&gt;=4)*('CONTROL MASTER'!$U$2:$U$495&lt;=10)*('CONTROL MASTER'!$W$2:$W$495&gt;=10))*ROW('CONTROL MASTER'!$S$2:$S$495))-(ROW('CONTROL MASTER'!#REF!)-1))),":",","),",",REPT(" ",50)),((((4-INDEX('CONTROL MASTER'!$T$2:$T$495,(SUMPRODUCT((('CONTROL MASTER'!$S$2:$S$495=15)*('CONTROL MASTER'!$T$2:$T$495&lt;=4)*('CONTROL MASTER'!$V$2:$V$495&gt;=4)*('CONTROL MASTER'!$U$2:$U$495&lt;=10)*('CONTROL MASTER'!$W$2:$W$495&gt;=10))*ROW('CONTROL MASTER'!$S$2:$S$495))-(ROW('CONTROL MASTER'!#REF!)-1))))*(INDEX('CONTROL MASTER'!$W$2:$W$495,(SUMPRODUCT((('CONTROL MASTER'!$S$2:$S$495=15)*('CONTROL MASTER'!$T$2:$T$495&lt;=4)*('CONTROL MASTER'!$V$2:$V$495&gt;=4)*('CONTROL MASTER'!$U$2:$U$495&lt;=10)*('CONTROL MASTER'!$W$2:$W$495&gt;=10))*ROW('CONTROL MASTER'!$S$2:$S$495))-(ROW('CONTROL MASTER'!#REF!)-1)))-INDEX('CONTROL MASTER'!$U$2:$U$495,(SUMPRODUCT((('CONTROL MASTER'!$S$2:$S$495=15)*('CONTROL MASTER'!$T$2:$T$495&lt;=4)*('CONTROL MASTER'!$V$2:$V$495&gt;=4)*('CONTROL MASTER'!$U$2:$U$495&lt;=10)*('CONTROL MASTER'!$W$2:$W$495&gt;=10))*ROW('CONTROL MASTER'!$S$2:$S$495))-(ROW('CONTROL MASTER'!#REF!)-1)))+1)+(10-INDEX('CONTROL MASTER'!$U$2:$U$495,(SUMPRODUCT((('CONTROL MASTER'!$S$2:$S$495=15)*('CONTROL MASTER'!$T$2:$T$495&lt;=4)*('CONTROL MASTER'!$V$2:$V$495&gt;=4)*('CONTROL MASTER'!$U$2:$U$495&lt;=10)*('CONTROL MASTER'!$W$2:$W$495&gt;=10))*ROW('CONTROL MASTER'!$S$2:$S$495))-(ROW('CONTROL MASTER'!#REF!)-1))))+1))-1)*50+1,50))&amp;"_"&amp;INDEX('CONTROL MASTER'!$P$2:$P$495,(SUMPRODUCT((('CONTROL MASTER'!$S$2:$S$495=15)*('CONTROL MASTER'!$T$2:$T$495&lt;=4)*('CONTROL MASTER'!$V$2:$V$495&gt;=4)*('CONTROL MASTER'!$U$2:$U$495&lt;=10)*('CONTROL MASTER'!$W$2:$W$495&gt;=10))*ROW('CONTROL MASTER'!$S$2:$S$495))-(ROW('CONTROL MASTER'!#REF!)-1))),IF(SUMPRODUCT((('CONTROL MASTER'!$S$2:$S$495=15)*('CONTROL MASTER'!$Z$2:$Z$495&lt;=4)*('CONTROL MASTER'!$AB$2:$AB$495&gt;=4)*('CONTROL MASTER'!$AA$2:$AA$495&lt;=10)*('CONTROL MASTER'!$AC$2:$AC$495&gt;=10))*ROW('CONTROL MASTER'!$S$2:$S$495))&gt;0,INDEX('CONTROL MASTER'!$X$2:$X$495,(SUMPRODUCT((('CONTROL MASTER'!$S$2:$S$495=15)*('CONTROL MASTER'!$Z$2:$Z$495&lt;=4)*('CONTROL MASTER'!$AB$2:$AB$495&gt;=4)*('CONTROL MASTER'!$AA$2:$AA$495&lt;=10)*('CONTROL MASTER'!$AC$2:$AC$495&gt;=10))*ROW('CONTROL MASTER'!$S$2:$S$495))-(ROW('CONTROL MASTER'!#REF!)-1)))&amp;TRIM(MID(SUBSTITUTE(SUBSTITUTE(INDEX('CONTROL MASTER'!$N$2:$N$495,(SUMPRODUCT((('CONTROL MASTER'!$S$2:$S$495=15)*('CONTROL MASTER'!$Z$2:$Z$495&lt;=4)*('CONTROL MASTER'!$AB$2:$AB$495&gt;=4)*('CONTROL MASTER'!$AA$2:$AA$495&lt;=10)*('CONTROL MASTER'!$AC$2:$AC$495&gt;=10))*ROW('CONTROL MASTER'!$S$2:$S$495))-(ROW('CONTROL MASTER'!#REF!)-1))),":",","),",",REPT(" ",50)),(((INDEX('CONTROL MASTER'!$Y$2:$Y$495,(SUMPRODUCT((('CONTROL MASTER'!$S$2:$S$495=15)*('CONTROL MASTER'!$Z$2:$Z$495&lt;=4)*('CONTROL MASTER'!$AB$2:$AB$495&gt;=4)*('CONTROL MASTER'!$AA$2:$AA$495&lt;=10)*('CONTROL MASTER'!$AC$2:$AC$495&gt;=10))*ROW('CONTROL MASTER'!$S$2:$S$495))-(ROW('CONTROL MASTER'!#REF!)-1)))+((4-INDEX('CONTROL MASTER'!$Z$2:$Z$495,(SUMPRODUCT((('CONTROL MASTER'!$S$2:$S$495=15)*('CONTROL MASTER'!$Z$2:$Z$495&lt;=4)*('CONTROL MASTER'!$AB$2:$AB$495&gt;=4)*('CONTROL MASTER'!$AA$2:$AA$495&lt;=10)*('CONTROL MASTER'!$AC$2:$AC$495&gt;=10))*ROW('CONTROL MASTER'!$S$2:$S$495))-(ROW('CONTROL MASTER'!#REF!)-1))))*(INDEX('CONTROL MASTER'!$AC$2:$AC$495,(SUMPRODUCT((('CONTROL MASTER'!$S$2:$S$495=15)*('CONTROL MASTER'!$Z$2:$Z$495&lt;=4)*('CONTROL MASTER'!$AB$2:$AB$495&gt;=4)*('CONTROL MASTER'!$AA$2:$AA$495&lt;=10)*('CONTROL MASTER'!$AC$2:$AC$495&gt;=10))*ROW('CONTROL MASTER'!$S$2:$S$495))-(ROW('CONTROL MASTER'!#REF!)-1)))-INDEX('CONTROL MASTER'!$AA$2:$AA$495,(SUMPRODUCT((('CONTROL MASTER'!$S$2:$S$495=15)*('CONTROL MASTER'!$Z$2:$Z$495&lt;=4)*('CONTROL MASTER'!$AB$2:$AB$495&gt;=4)*('CONTROL MASTER'!$AA$2:$AA$495&lt;=10)*('CONTROL MASTER'!$AC$2:$AC$495&gt;=10))*ROW('CONTROL MASTER'!$S$2:$S$495))-(ROW('CONTROL MASTER'!#REF!)-1)))+1)+(10-INDEX('CONTROL MASTER'!$AA$2:$AA$495,(SUMPRODUCT((('CONTROL MASTER'!$S$2:$S$495=15)*('CONTROL MASTER'!$Z$2:$Z$495&lt;=4)*('CONTROL MASTER'!$AB$2:$AB$495&gt;=4)*('CONTROL MASTER'!$AA$2:$AA$495&lt;=10)*('CONTROL MASTER'!$AC$2:$AC$495&gt;=10))*ROW('CONTROL MASTER'!$S$2:$S$495))-(ROW('CONTROL MASTER'!#REF!)-1))))+1)))-1)*50+1,50))&amp;"_"&amp;INDEX('CONTROL MASTER'!$P$2:$P$495,(SUMPRODUCT((('CONTROL MASTER'!$S$2:$S$495=15)*('CONTROL MASTER'!$Z$2:$Z$495&lt;=4)*('CONTROL MASTER'!$AB$2:$AB$495&gt;=4)*('CONTROL MASTER'!$AA$2:$AA$495&lt;=10)*('CONTROL MASTER'!$AC$2:$AC$495&gt;=10))*ROW('CONTROL MASTER'!$S$2:$S$495))-(ROW('CONTROL MASTER'!#REF!)-1))),"")),"")</f>
        <v/>
      </c>
    </row>
    <row r="203" spans="1:11" ht="15" customHeight="1" x14ac:dyDescent="0.35">
      <c r="A203" s="8" t="s">
        <v>32</v>
      </c>
      <c r="B203" s="10" t="str">
        <f>IFERROR(IF(SUMPRODUCT((('CONTROL MASTER'!$S$2:$S$495=15)*('CONTROL MASTER'!$T$2:$T$495&lt;=5)*('CONTROL MASTER'!$V$2:$V$495&gt;=5)*('CONTROL MASTER'!$U$2:$U$495&lt;=1)*('CONTROL MASTER'!$W$2:$W$495&gt;=1))*ROW('CONTROL MASTER'!$S$2:$S$495))&gt;0,INDEX('CONTROL MASTER'!$X$2:$X$495,(SUMPRODUCT((('CONTROL MASTER'!$S$2:$S$495=15)*('CONTROL MASTER'!$T$2:$T$495&lt;=5)*('CONTROL MASTER'!$V$2:$V$495&gt;=5)*('CONTROL MASTER'!$U$2:$U$495&lt;=1)*('CONTROL MASTER'!$W$2:$W$495&gt;=1))*ROW('CONTROL MASTER'!$S$2:$S$495))-(ROW('CONTROL MASTER'!#REF!)-1)))&amp;TRIM(MID(SUBSTITUTE(SUBSTITUTE(INDEX('CONTROL MASTER'!$N$2:$N$495,(SUMPRODUCT((('CONTROL MASTER'!$S$2:$S$495=15)*('CONTROL MASTER'!$T$2:$T$495&lt;=5)*('CONTROL MASTER'!$V$2:$V$495&gt;=5)*('CONTROL MASTER'!$U$2:$U$495&lt;=1)*('CONTROL MASTER'!$W$2:$W$495&gt;=1))*ROW('CONTROL MASTER'!$S$2:$S$495))-(ROW('CONTROL MASTER'!#REF!)-1))),":",","),",",REPT(" ",50)),((((5-INDEX('CONTROL MASTER'!$T$2:$T$495,(SUMPRODUCT((('CONTROL MASTER'!$S$2:$S$495=15)*('CONTROL MASTER'!$T$2:$T$495&lt;=5)*('CONTROL MASTER'!$V$2:$V$495&gt;=5)*('CONTROL MASTER'!$U$2:$U$495&lt;=1)*('CONTROL MASTER'!$W$2:$W$495&gt;=1))*ROW('CONTROL MASTER'!$S$2:$S$495))-(ROW('CONTROL MASTER'!#REF!)-1))))*(INDEX('CONTROL MASTER'!$W$2:$W$495,(SUMPRODUCT((('CONTROL MASTER'!$S$2:$S$495=15)*('CONTROL MASTER'!$T$2:$T$495&lt;=5)*('CONTROL MASTER'!$V$2:$V$495&gt;=5)*('CONTROL MASTER'!$U$2:$U$495&lt;=1)*('CONTROL MASTER'!$W$2:$W$495&gt;=1))*ROW('CONTROL MASTER'!$S$2:$S$495))-(ROW('CONTROL MASTER'!#REF!)-1)))-INDEX('CONTROL MASTER'!$U$2:$U$495,(SUMPRODUCT((('CONTROL MASTER'!$S$2:$S$495=15)*('CONTROL MASTER'!$T$2:$T$495&lt;=5)*('CONTROL MASTER'!$V$2:$V$495&gt;=5)*('CONTROL MASTER'!$U$2:$U$495&lt;=1)*('CONTROL MASTER'!$W$2:$W$495&gt;=1))*ROW('CONTROL MASTER'!$S$2:$S$495))-(ROW('CONTROL MASTER'!#REF!)-1)))+1)+(1-INDEX('CONTROL MASTER'!$U$2:$U$495,(SUMPRODUCT((('CONTROL MASTER'!$S$2:$S$495=15)*('CONTROL MASTER'!$T$2:$T$495&lt;=5)*('CONTROL MASTER'!$V$2:$V$495&gt;=5)*('CONTROL MASTER'!$U$2:$U$495&lt;=1)*('CONTROL MASTER'!$W$2:$W$495&gt;=1))*ROW('CONTROL MASTER'!$S$2:$S$495))-(ROW('CONTROL MASTER'!#REF!)-1))))+1))-1)*50+1,50))&amp;"_"&amp;INDEX('CONTROL MASTER'!$P$2:$P$495,(SUMPRODUCT((('CONTROL MASTER'!$S$2:$S$495=15)*('CONTROL MASTER'!$T$2:$T$495&lt;=5)*('CONTROL MASTER'!$V$2:$V$495&gt;=5)*('CONTROL MASTER'!$U$2:$U$495&lt;=1)*('CONTROL MASTER'!$W$2:$W$495&gt;=1))*ROW('CONTROL MASTER'!$S$2:$S$495))-(ROW('CONTROL MASTER'!#REF!)-1))),IF(SUMPRODUCT((('CONTROL MASTER'!$S$2:$S$495=15)*('CONTROL MASTER'!$Z$2:$Z$495&lt;=5)*('CONTROL MASTER'!$AB$2:$AB$495&gt;=5)*('CONTROL MASTER'!$AA$2:$AA$495&lt;=1)*('CONTROL MASTER'!$AC$2:$AC$495&gt;=1))*ROW('CONTROL MASTER'!$S$2:$S$495))&gt;0,INDEX('CONTROL MASTER'!$X$2:$X$495,(SUMPRODUCT((('CONTROL MASTER'!$S$2:$S$495=15)*('CONTROL MASTER'!$Z$2:$Z$495&lt;=5)*('CONTROL MASTER'!$AB$2:$AB$495&gt;=5)*('CONTROL MASTER'!$AA$2:$AA$495&lt;=1)*('CONTROL MASTER'!$AC$2:$AC$495&gt;=1))*ROW('CONTROL MASTER'!$S$2:$S$495))-(ROW('CONTROL MASTER'!#REF!)-1)))&amp;TRIM(MID(SUBSTITUTE(SUBSTITUTE(INDEX('CONTROL MASTER'!$N$2:$N$495,(SUMPRODUCT((('CONTROL MASTER'!$S$2:$S$495=15)*('CONTROL MASTER'!$Z$2:$Z$495&lt;=5)*('CONTROL MASTER'!$AB$2:$AB$495&gt;=5)*('CONTROL MASTER'!$AA$2:$AA$495&lt;=1)*('CONTROL MASTER'!$AC$2:$AC$495&gt;=1))*ROW('CONTROL MASTER'!$S$2:$S$495))-(ROW('CONTROL MASTER'!#REF!)-1))),":",","),",",REPT(" ",50)),(((INDEX('CONTROL MASTER'!$Y$2:$Y$495,(SUMPRODUCT((('CONTROL MASTER'!$S$2:$S$495=15)*('CONTROL MASTER'!$Z$2:$Z$495&lt;=5)*('CONTROL MASTER'!$AB$2:$AB$495&gt;=5)*('CONTROL MASTER'!$AA$2:$AA$495&lt;=1)*('CONTROL MASTER'!$AC$2:$AC$495&gt;=1))*ROW('CONTROL MASTER'!$S$2:$S$495))-(ROW('CONTROL MASTER'!#REF!)-1)))+((5-INDEX('CONTROL MASTER'!$Z$2:$Z$495,(SUMPRODUCT((('CONTROL MASTER'!$S$2:$S$495=15)*('CONTROL MASTER'!$Z$2:$Z$495&lt;=5)*('CONTROL MASTER'!$AB$2:$AB$495&gt;=5)*('CONTROL MASTER'!$AA$2:$AA$495&lt;=1)*('CONTROL MASTER'!$AC$2:$AC$495&gt;=1))*ROW('CONTROL MASTER'!$S$2:$S$495))-(ROW('CONTROL MASTER'!#REF!)-1))))*(INDEX('CONTROL MASTER'!$AC$2:$AC$495,(SUMPRODUCT((('CONTROL MASTER'!$S$2:$S$495=15)*('CONTROL MASTER'!$Z$2:$Z$495&lt;=5)*('CONTROL MASTER'!$AB$2:$AB$495&gt;=5)*('CONTROL MASTER'!$AA$2:$AA$495&lt;=1)*('CONTROL MASTER'!$AC$2:$AC$495&gt;=1))*ROW('CONTROL MASTER'!$S$2:$S$495))-(ROW('CONTROL MASTER'!#REF!)-1)))-INDEX('CONTROL MASTER'!$AA$2:$AA$495,(SUMPRODUCT((('CONTROL MASTER'!$S$2:$S$495=15)*('CONTROL MASTER'!$Z$2:$Z$495&lt;=5)*('CONTROL MASTER'!$AB$2:$AB$495&gt;=5)*('CONTROL MASTER'!$AA$2:$AA$495&lt;=1)*('CONTROL MASTER'!$AC$2:$AC$495&gt;=1))*ROW('CONTROL MASTER'!$S$2:$S$495))-(ROW('CONTROL MASTER'!#REF!)-1)))+1)+(1-INDEX('CONTROL MASTER'!$AA$2:$AA$495,(SUMPRODUCT((('CONTROL MASTER'!$S$2:$S$495=15)*('CONTROL MASTER'!$Z$2:$Z$495&lt;=5)*('CONTROL MASTER'!$AB$2:$AB$495&gt;=5)*('CONTROL MASTER'!$AA$2:$AA$495&lt;=1)*('CONTROL MASTER'!$AC$2:$AC$495&gt;=1))*ROW('CONTROL MASTER'!$S$2:$S$495))-(ROW('CONTROL MASTER'!#REF!)-1))))+1)))-1)*50+1,50))&amp;"_"&amp;INDEX('CONTROL MASTER'!$P$2:$P$495,(SUMPRODUCT((('CONTROL MASTER'!$S$2:$S$495=15)*('CONTROL MASTER'!$Z$2:$Z$495&lt;=5)*('CONTROL MASTER'!$AB$2:$AB$495&gt;=5)*('CONTROL MASTER'!$AA$2:$AA$495&lt;=1)*('CONTROL MASTER'!$AC$2:$AC$495&gt;=1))*ROW('CONTROL MASTER'!$S$2:$S$495))-(ROW('CONTROL MASTER'!#REF!)-1))),"")),"")</f>
        <v/>
      </c>
      <c r="C203" s="10" t="str">
        <f>IFERROR(IF(SUMPRODUCT((('CONTROL MASTER'!$S$2:$S$495=15)*('CONTROL MASTER'!$T$2:$T$495&lt;=5)*('CONTROL MASTER'!$V$2:$V$495&gt;=5)*('CONTROL MASTER'!$U$2:$U$495&lt;=2)*('CONTROL MASTER'!$W$2:$W$495&gt;=2))*ROW('CONTROL MASTER'!$S$2:$S$495))&gt;0,INDEX('CONTROL MASTER'!$X$2:$X$495,(SUMPRODUCT((('CONTROL MASTER'!$S$2:$S$495=15)*('CONTROL MASTER'!$T$2:$T$495&lt;=5)*('CONTROL MASTER'!$V$2:$V$495&gt;=5)*('CONTROL MASTER'!$U$2:$U$495&lt;=2)*('CONTROL MASTER'!$W$2:$W$495&gt;=2))*ROW('CONTROL MASTER'!$S$2:$S$495))-(ROW('CONTROL MASTER'!#REF!)-1)))&amp;TRIM(MID(SUBSTITUTE(SUBSTITUTE(INDEX('CONTROL MASTER'!$N$2:$N$495,(SUMPRODUCT((('CONTROL MASTER'!$S$2:$S$495=15)*('CONTROL MASTER'!$T$2:$T$495&lt;=5)*('CONTROL MASTER'!$V$2:$V$495&gt;=5)*('CONTROL MASTER'!$U$2:$U$495&lt;=2)*('CONTROL MASTER'!$W$2:$W$495&gt;=2))*ROW('CONTROL MASTER'!$S$2:$S$495))-(ROW('CONTROL MASTER'!#REF!)-1))),":",","),",",REPT(" ",50)),((((5-INDEX('CONTROL MASTER'!$T$2:$T$495,(SUMPRODUCT((('CONTROL MASTER'!$S$2:$S$495=15)*('CONTROL MASTER'!$T$2:$T$495&lt;=5)*('CONTROL MASTER'!$V$2:$V$495&gt;=5)*('CONTROL MASTER'!$U$2:$U$495&lt;=2)*('CONTROL MASTER'!$W$2:$W$495&gt;=2))*ROW('CONTROL MASTER'!$S$2:$S$495))-(ROW('CONTROL MASTER'!#REF!)-1))))*(INDEX('CONTROL MASTER'!$W$2:$W$495,(SUMPRODUCT((('CONTROL MASTER'!$S$2:$S$495=15)*('CONTROL MASTER'!$T$2:$T$495&lt;=5)*('CONTROL MASTER'!$V$2:$V$495&gt;=5)*('CONTROL MASTER'!$U$2:$U$495&lt;=2)*('CONTROL MASTER'!$W$2:$W$495&gt;=2))*ROW('CONTROL MASTER'!$S$2:$S$495))-(ROW('CONTROL MASTER'!#REF!)-1)))-INDEX('CONTROL MASTER'!$U$2:$U$495,(SUMPRODUCT((('CONTROL MASTER'!$S$2:$S$495=15)*('CONTROL MASTER'!$T$2:$T$495&lt;=5)*('CONTROL MASTER'!$V$2:$V$495&gt;=5)*('CONTROL MASTER'!$U$2:$U$495&lt;=2)*('CONTROL MASTER'!$W$2:$W$495&gt;=2))*ROW('CONTROL MASTER'!$S$2:$S$495))-(ROW('CONTROL MASTER'!#REF!)-1)))+1)+(2-INDEX('CONTROL MASTER'!$U$2:$U$495,(SUMPRODUCT((('CONTROL MASTER'!$S$2:$S$495=15)*('CONTROL MASTER'!$T$2:$T$495&lt;=5)*('CONTROL MASTER'!$V$2:$V$495&gt;=5)*('CONTROL MASTER'!$U$2:$U$495&lt;=2)*('CONTROL MASTER'!$W$2:$W$495&gt;=2))*ROW('CONTROL MASTER'!$S$2:$S$495))-(ROW('CONTROL MASTER'!#REF!)-1))))+1))-1)*50+1,50))&amp;"_"&amp;INDEX('CONTROL MASTER'!$P$2:$P$495,(SUMPRODUCT((('CONTROL MASTER'!$S$2:$S$495=15)*('CONTROL MASTER'!$T$2:$T$495&lt;=5)*('CONTROL MASTER'!$V$2:$V$495&gt;=5)*('CONTROL MASTER'!$U$2:$U$495&lt;=2)*('CONTROL MASTER'!$W$2:$W$495&gt;=2))*ROW('CONTROL MASTER'!$S$2:$S$495))-(ROW('CONTROL MASTER'!#REF!)-1))),IF(SUMPRODUCT((('CONTROL MASTER'!$S$2:$S$495=15)*('CONTROL MASTER'!$Z$2:$Z$495&lt;=5)*('CONTROL MASTER'!$AB$2:$AB$495&gt;=5)*('CONTROL MASTER'!$AA$2:$AA$495&lt;=2)*('CONTROL MASTER'!$AC$2:$AC$495&gt;=2))*ROW('CONTROL MASTER'!$S$2:$S$495))&gt;0,INDEX('CONTROL MASTER'!$X$2:$X$495,(SUMPRODUCT((('CONTROL MASTER'!$S$2:$S$495=15)*('CONTROL MASTER'!$Z$2:$Z$495&lt;=5)*('CONTROL MASTER'!$AB$2:$AB$495&gt;=5)*('CONTROL MASTER'!$AA$2:$AA$495&lt;=2)*('CONTROL MASTER'!$AC$2:$AC$495&gt;=2))*ROW('CONTROL MASTER'!$S$2:$S$495))-(ROW('CONTROL MASTER'!#REF!)-1)))&amp;TRIM(MID(SUBSTITUTE(SUBSTITUTE(INDEX('CONTROL MASTER'!$N$2:$N$495,(SUMPRODUCT((('CONTROL MASTER'!$S$2:$S$495=15)*('CONTROL MASTER'!$Z$2:$Z$495&lt;=5)*('CONTROL MASTER'!$AB$2:$AB$495&gt;=5)*('CONTROL MASTER'!$AA$2:$AA$495&lt;=2)*('CONTROL MASTER'!$AC$2:$AC$495&gt;=2))*ROW('CONTROL MASTER'!$S$2:$S$495))-(ROW('CONTROL MASTER'!#REF!)-1))),":",","),",",REPT(" ",50)),(((INDEX('CONTROL MASTER'!$Y$2:$Y$495,(SUMPRODUCT((('CONTROL MASTER'!$S$2:$S$495=15)*('CONTROL MASTER'!$Z$2:$Z$495&lt;=5)*('CONTROL MASTER'!$AB$2:$AB$495&gt;=5)*('CONTROL MASTER'!$AA$2:$AA$495&lt;=2)*('CONTROL MASTER'!$AC$2:$AC$495&gt;=2))*ROW('CONTROL MASTER'!$S$2:$S$495))-(ROW('CONTROL MASTER'!#REF!)-1)))+((5-INDEX('CONTROL MASTER'!$Z$2:$Z$495,(SUMPRODUCT((('CONTROL MASTER'!$S$2:$S$495=15)*('CONTROL MASTER'!$Z$2:$Z$495&lt;=5)*('CONTROL MASTER'!$AB$2:$AB$495&gt;=5)*('CONTROL MASTER'!$AA$2:$AA$495&lt;=2)*('CONTROL MASTER'!$AC$2:$AC$495&gt;=2))*ROW('CONTROL MASTER'!$S$2:$S$495))-(ROW('CONTROL MASTER'!#REF!)-1))))*(INDEX('CONTROL MASTER'!$AC$2:$AC$495,(SUMPRODUCT((('CONTROL MASTER'!$S$2:$S$495=15)*('CONTROL MASTER'!$Z$2:$Z$495&lt;=5)*('CONTROL MASTER'!$AB$2:$AB$495&gt;=5)*('CONTROL MASTER'!$AA$2:$AA$495&lt;=2)*('CONTROL MASTER'!$AC$2:$AC$495&gt;=2))*ROW('CONTROL MASTER'!$S$2:$S$495))-(ROW('CONTROL MASTER'!#REF!)-1)))-INDEX('CONTROL MASTER'!$AA$2:$AA$495,(SUMPRODUCT((('CONTROL MASTER'!$S$2:$S$495=15)*('CONTROL MASTER'!$Z$2:$Z$495&lt;=5)*('CONTROL MASTER'!$AB$2:$AB$495&gt;=5)*('CONTROL MASTER'!$AA$2:$AA$495&lt;=2)*('CONTROL MASTER'!$AC$2:$AC$495&gt;=2))*ROW('CONTROL MASTER'!$S$2:$S$495))-(ROW('CONTROL MASTER'!#REF!)-1)))+1)+(2-INDEX('CONTROL MASTER'!$AA$2:$AA$495,(SUMPRODUCT((('CONTROL MASTER'!$S$2:$S$495=15)*('CONTROL MASTER'!$Z$2:$Z$495&lt;=5)*('CONTROL MASTER'!$AB$2:$AB$495&gt;=5)*('CONTROL MASTER'!$AA$2:$AA$495&lt;=2)*('CONTROL MASTER'!$AC$2:$AC$495&gt;=2))*ROW('CONTROL MASTER'!$S$2:$S$495))-(ROW('CONTROL MASTER'!#REF!)-1))))+1)))-1)*50+1,50))&amp;"_"&amp;INDEX('CONTROL MASTER'!$P$2:$P$495,(SUMPRODUCT((('CONTROL MASTER'!$S$2:$S$495=15)*('CONTROL MASTER'!$Z$2:$Z$495&lt;=5)*('CONTROL MASTER'!$AB$2:$AB$495&gt;=5)*('CONTROL MASTER'!$AA$2:$AA$495&lt;=2)*('CONTROL MASTER'!$AC$2:$AC$495&gt;=2))*ROW('CONTROL MASTER'!$S$2:$S$495))-(ROW('CONTROL MASTER'!#REF!)-1))),"")),"")</f>
        <v/>
      </c>
      <c r="D203" s="10" t="str">
        <f>IFERROR(IF(SUMPRODUCT((('CONTROL MASTER'!$S$2:$S$495=15)*('CONTROL MASTER'!$T$2:$T$495&lt;=5)*('CONTROL MASTER'!$V$2:$V$495&gt;=5)*('CONTROL MASTER'!$U$2:$U$495&lt;=3)*('CONTROL MASTER'!$W$2:$W$495&gt;=3))*ROW('CONTROL MASTER'!$S$2:$S$495))&gt;0,INDEX('CONTROL MASTER'!$X$2:$X$495,(SUMPRODUCT((('CONTROL MASTER'!$S$2:$S$495=15)*('CONTROL MASTER'!$T$2:$T$495&lt;=5)*('CONTROL MASTER'!$V$2:$V$495&gt;=5)*('CONTROL MASTER'!$U$2:$U$495&lt;=3)*('CONTROL MASTER'!$W$2:$W$495&gt;=3))*ROW('CONTROL MASTER'!$S$2:$S$495))-(ROW('CONTROL MASTER'!#REF!)-1)))&amp;TRIM(MID(SUBSTITUTE(SUBSTITUTE(INDEX('CONTROL MASTER'!$N$2:$N$495,(SUMPRODUCT((('CONTROL MASTER'!$S$2:$S$495=15)*('CONTROL MASTER'!$T$2:$T$495&lt;=5)*('CONTROL MASTER'!$V$2:$V$495&gt;=5)*('CONTROL MASTER'!$U$2:$U$495&lt;=3)*('CONTROL MASTER'!$W$2:$W$495&gt;=3))*ROW('CONTROL MASTER'!$S$2:$S$495))-(ROW('CONTROL MASTER'!#REF!)-1))),":",","),",",REPT(" ",50)),((((5-INDEX('CONTROL MASTER'!$T$2:$T$495,(SUMPRODUCT((('CONTROL MASTER'!$S$2:$S$495=15)*('CONTROL MASTER'!$T$2:$T$495&lt;=5)*('CONTROL MASTER'!$V$2:$V$495&gt;=5)*('CONTROL MASTER'!$U$2:$U$495&lt;=3)*('CONTROL MASTER'!$W$2:$W$495&gt;=3))*ROW('CONTROL MASTER'!$S$2:$S$495))-(ROW('CONTROL MASTER'!#REF!)-1))))*(INDEX('CONTROL MASTER'!$W$2:$W$495,(SUMPRODUCT((('CONTROL MASTER'!$S$2:$S$495=15)*('CONTROL MASTER'!$T$2:$T$495&lt;=5)*('CONTROL MASTER'!$V$2:$V$495&gt;=5)*('CONTROL MASTER'!$U$2:$U$495&lt;=3)*('CONTROL MASTER'!$W$2:$W$495&gt;=3))*ROW('CONTROL MASTER'!$S$2:$S$495))-(ROW('CONTROL MASTER'!#REF!)-1)))-INDEX('CONTROL MASTER'!$U$2:$U$495,(SUMPRODUCT((('CONTROL MASTER'!$S$2:$S$495=15)*('CONTROL MASTER'!$T$2:$T$495&lt;=5)*('CONTROL MASTER'!$V$2:$V$495&gt;=5)*('CONTROL MASTER'!$U$2:$U$495&lt;=3)*('CONTROL MASTER'!$W$2:$W$495&gt;=3))*ROW('CONTROL MASTER'!$S$2:$S$495))-(ROW('CONTROL MASTER'!#REF!)-1)))+1)+(3-INDEX('CONTROL MASTER'!$U$2:$U$495,(SUMPRODUCT((('CONTROL MASTER'!$S$2:$S$495=15)*('CONTROL MASTER'!$T$2:$T$495&lt;=5)*('CONTROL MASTER'!$V$2:$V$495&gt;=5)*('CONTROL MASTER'!$U$2:$U$495&lt;=3)*('CONTROL MASTER'!$W$2:$W$495&gt;=3))*ROW('CONTROL MASTER'!$S$2:$S$495))-(ROW('CONTROL MASTER'!#REF!)-1))))+1))-1)*50+1,50))&amp;"_"&amp;INDEX('CONTROL MASTER'!$P$2:$P$495,(SUMPRODUCT((('CONTROL MASTER'!$S$2:$S$495=15)*('CONTROL MASTER'!$T$2:$T$495&lt;=5)*('CONTROL MASTER'!$V$2:$V$495&gt;=5)*('CONTROL MASTER'!$U$2:$U$495&lt;=3)*('CONTROL MASTER'!$W$2:$W$495&gt;=3))*ROW('CONTROL MASTER'!$S$2:$S$495))-(ROW('CONTROL MASTER'!#REF!)-1))),IF(SUMPRODUCT((('CONTROL MASTER'!$S$2:$S$495=15)*('CONTROL MASTER'!$Z$2:$Z$495&lt;=5)*('CONTROL MASTER'!$AB$2:$AB$495&gt;=5)*('CONTROL MASTER'!$AA$2:$AA$495&lt;=3)*('CONTROL MASTER'!$AC$2:$AC$495&gt;=3))*ROW('CONTROL MASTER'!$S$2:$S$495))&gt;0,INDEX('CONTROL MASTER'!$X$2:$X$495,(SUMPRODUCT((('CONTROL MASTER'!$S$2:$S$495=15)*('CONTROL MASTER'!$Z$2:$Z$495&lt;=5)*('CONTROL MASTER'!$AB$2:$AB$495&gt;=5)*('CONTROL MASTER'!$AA$2:$AA$495&lt;=3)*('CONTROL MASTER'!$AC$2:$AC$495&gt;=3))*ROW('CONTROL MASTER'!$S$2:$S$495))-(ROW('CONTROL MASTER'!#REF!)-1)))&amp;TRIM(MID(SUBSTITUTE(SUBSTITUTE(INDEX('CONTROL MASTER'!$N$2:$N$495,(SUMPRODUCT((('CONTROL MASTER'!$S$2:$S$495=15)*('CONTROL MASTER'!$Z$2:$Z$495&lt;=5)*('CONTROL MASTER'!$AB$2:$AB$495&gt;=5)*('CONTROL MASTER'!$AA$2:$AA$495&lt;=3)*('CONTROL MASTER'!$AC$2:$AC$495&gt;=3))*ROW('CONTROL MASTER'!$S$2:$S$495))-(ROW('CONTROL MASTER'!#REF!)-1))),":",","),",",REPT(" ",50)),(((INDEX('CONTROL MASTER'!$Y$2:$Y$495,(SUMPRODUCT((('CONTROL MASTER'!$S$2:$S$495=15)*('CONTROL MASTER'!$Z$2:$Z$495&lt;=5)*('CONTROL MASTER'!$AB$2:$AB$495&gt;=5)*('CONTROL MASTER'!$AA$2:$AA$495&lt;=3)*('CONTROL MASTER'!$AC$2:$AC$495&gt;=3))*ROW('CONTROL MASTER'!$S$2:$S$495))-(ROW('CONTROL MASTER'!#REF!)-1)))+((5-INDEX('CONTROL MASTER'!$Z$2:$Z$495,(SUMPRODUCT((('CONTROL MASTER'!$S$2:$S$495=15)*('CONTROL MASTER'!$Z$2:$Z$495&lt;=5)*('CONTROL MASTER'!$AB$2:$AB$495&gt;=5)*('CONTROL MASTER'!$AA$2:$AA$495&lt;=3)*('CONTROL MASTER'!$AC$2:$AC$495&gt;=3))*ROW('CONTROL MASTER'!$S$2:$S$495))-(ROW('CONTROL MASTER'!#REF!)-1))))*(INDEX('CONTROL MASTER'!$AC$2:$AC$495,(SUMPRODUCT((('CONTROL MASTER'!$S$2:$S$495=15)*('CONTROL MASTER'!$Z$2:$Z$495&lt;=5)*('CONTROL MASTER'!$AB$2:$AB$495&gt;=5)*('CONTROL MASTER'!$AA$2:$AA$495&lt;=3)*('CONTROL MASTER'!$AC$2:$AC$495&gt;=3))*ROW('CONTROL MASTER'!$S$2:$S$495))-(ROW('CONTROL MASTER'!#REF!)-1)))-INDEX('CONTROL MASTER'!$AA$2:$AA$495,(SUMPRODUCT((('CONTROL MASTER'!$S$2:$S$495=15)*('CONTROL MASTER'!$Z$2:$Z$495&lt;=5)*('CONTROL MASTER'!$AB$2:$AB$495&gt;=5)*('CONTROL MASTER'!$AA$2:$AA$495&lt;=3)*('CONTROL MASTER'!$AC$2:$AC$495&gt;=3))*ROW('CONTROL MASTER'!$S$2:$S$495))-(ROW('CONTROL MASTER'!#REF!)-1)))+1)+(3-INDEX('CONTROL MASTER'!$AA$2:$AA$495,(SUMPRODUCT((('CONTROL MASTER'!$S$2:$S$495=15)*('CONTROL MASTER'!$Z$2:$Z$495&lt;=5)*('CONTROL MASTER'!$AB$2:$AB$495&gt;=5)*('CONTROL MASTER'!$AA$2:$AA$495&lt;=3)*('CONTROL MASTER'!$AC$2:$AC$495&gt;=3))*ROW('CONTROL MASTER'!$S$2:$S$495))-(ROW('CONTROL MASTER'!#REF!)-1))))+1)))-1)*50+1,50))&amp;"_"&amp;INDEX('CONTROL MASTER'!$P$2:$P$495,(SUMPRODUCT((('CONTROL MASTER'!$S$2:$S$495=15)*('CONTROL MASTER'!$Z$2:$Z$495&lt;=5)*('CONTROL MASTER'!$AB$2:$AB$495&gt;=5)*('CONTROL MASTER'!$AA$2:$AA$495&lt;=3)*('CONTROL MASTER'!$AC$2:$AC$495&gt;=3))*ROW('CONTROL MASTER'!$S$2:$S$495))-(ROW('CONTROL MASTER'!#REF!)-1))),"")),"")</f>
        <v/>
      </c>
      <c r="E203" s="10" t="str">
        <f>IFERROR(IF(SUMPRODUCT((('CONTROL MASTER'!$S$2:$S$495=15)*('CONTROL MASTER'!$T$2:$T$495&lt;=5)*('CONTROL MASTER'!$V$2:$V$495&gt;=5)*('CONTROL MASTER'!$U$2:$U$495&lt;=4)*('CONTROL MASTER'!$W$2:$W$495&gt;=4))*ROW('CONTROL MASTER'!$S$2:$S$495))&gt;0,INDEX('CONTROL MASTER'!$X$2:$X$495,(SUMPRODUCT((('CONTROL MASTER'!$S$2:$S$495=15)*('CONTROL MASTER'!$T$2:$T$495&lt;=5)*('CONTROL MASTER'!$V$2:$V$495&gt;=5)*('CONTROL MASTER'!$U$2:$U$495&lt;=4)*('CONTROL MASTER'!$W$2:$W$495&gt;=4))*ROW('CONTROL MASTER'!$S$2:$S$495))-(ROW('CONTROL MASTER'!#REF!)-1)))&amp;TRIM(MID(SUBSTITUTE(SUBSTITUTE(INDEX('CONTROL MASTER'!$N$2:$N$495,(SUMPRODUCT((('CONTROL MASTER'!$S$2:$S$495=15)*('CONTROL MASTER'!$T$2:$T$495&lt;=5)*('CONTROL MASTER'!$V$2:$V$495&gt;=5)*('CONTROL MASTER'!$U$2:$U$495&lt;=4)*('CONTROL MASTER'!$W$2:$W$495&gt;=4))*ROW('CONTROL MASTER'!$S$2:$S$495))-(ROW('CONTROL MASTER'!#REF!)-1))),":",","),",",REPT(" ",50)),((((5-INDEX('CONTROL MASTER'!$T$2:$T$495,(SUMPRODUCT((('CONTROL MASTER'!$S$2:$S$495=15)*('CONTROL MASTER'!$T$2:$T$495&lt;=5)*('CONTROL MASTER'!$V$2:$V$495&gt;=5)*('CONTROL MASTER'!$U$2:$U$495&lt;=4)*('CONTROL MASTER'!$W$2:$W$495&gt;=4))*ROW('CONTROL MASTER'!$S$2:$S$495))-(ROW('CONTROL MASTER'!#REF!)-1))))*(INDEX('CONTROL MASTER'!$W$2:$W$495,(SUMPRODUCT((('CONTROL MASTER'!$S$2:$S$495=15)*('CONTROL MASTER'!$T$2:$T$495&lt;=5)*('CONTROL MASTER'!$V$2:$V$495&gt;=5)*('CONTROL MASTER'!$U$2:$U$495&lt;=4)*('CONTROL MASTER'!$W$2:$W$495&gt;=4))*ROW('CONTROL MASTER'!$S$2:$S$495))-(ROW('CONTROL MASTER'!#REF!)-1)))-INDEX('CONTROL MASTER'!$U$2:$U$495,(SUMPRODUCT((('CONTROL MASTER'!$S$2:$S$495=15)*('CONTROL MASTER'!$T$2:$T$495&lt;=5)*('CONTROL MASTER'!$V$2:$V$495&gt;=5)*('CONTROL MASTER'!$U$2:$U$495&lt;=4)*('CONTROL MASTER'!$W$2:$W$495&gt;=4))*ROW('CONTROL MASTER'!$S$2:$S$495))-(ROW('CONTROL MASTER'!#REF!)-1)))+1)+(4-INDEX('CONTROL MASTER'!$U$2:$U$495,(SUMPRODUCT((('CONTROL MASTER'!$S$2:$S$495=15)*('CONTROL MASTER'!$T$2:$T$495&lt;=5)*('CONTROL MASTER'!$V$2:$V$495&gt;=5)*('CONTROL MASTER'!$U$2:$U$495&lt;=4)*('CONTROL MASTER'!$W$2:$W$495&gt;=4))*ROW('CONTROL MASTER'!$S$2:$S$495))-(ROW('CONTROL MASTER'!#REF!)-1))))+1))-1)*50+1,50))&amp;"_"&amp;INDEX('CONTROL MASTER'!$P$2:$P$495,(SUMPRODUCT((('CONTROL MASTER'!$S$2:$S$495=15)*('CONTROL MASTER'!$T$2:$T$495&lt;=5)*('CONTROL MASTER'!$V$2:$V$495&gt;=5)*('CONTROL MASTER'!$U$2:$U$495&lt;=4)*('CONTROL MASTER'!$W$2:$W$495&gt;=4))*ROW('CONTROL MASTER'!$S$2:$S$495))-(ROW('CONTROL MASTER'!#REF!)-1))),IF(SUMPRODUCT((('CONTROL MASTER'!$S$2:$S$495=15)*('CONTROL MASTER'!$Z$2:$Z$495&lt;=5)*('CONTROL MASTER'!$AB$2:$AB$495&gt;=5)*('CONTROL MASTER'!$AA$2:$AA$495&lt;=4)*('CONTROL MASTER'!$AC$2:$AC$495&gt;=4))*ROW('CONTROL MASTER'!$S$2:$S$495))&gt;0,INDEX('CONTROL MASTER'!$X$2:$X$495,(SUMPRODUCT((('CONTROL MASTER'!$S$2:$S$495=15)*('CONTROL MASTER'!$Z$2:$Z$495&lt;=5)*('CONTROL MASTER'!$AB$2:$AB$495&gt;=5)*('CONTROL MASTER'!$AA$2:$AA$495&lt;=4)*('CONTROL MASTER'!$AC$2:$AC$495&gt;=4))*ROW('CONTROL MASTER'!$S$2:$S$495))-(ROW('CONTROL MASTER'!#REF!)-1)))&amp;TRIM(MID(SUBSTITUTE(SUBSTITUTE(INDEX('CONTROL MASTER'!$N$2:$N$495,(SUMPRODUCT((('CONTROL MASTER'!$S$2:$S$495=15)*('CONTROL MASTER'!$Z$2:$Z$495&lt;=5)*('CONTROL MASTER'!$AB$2:$AB$495&gt;=5)*('CONTROL MASTER'!$AA$2:$AA$495&lt;=4)*('CONTROL MASTER'!$AC$2:$AC$495&gt;=4))*ROW('CONTROL MASTER'!$S$2:$S$495))-(ROW('CONTROL MASTER'!#REF!)-1))),":",","),",",REPT(" ",50)),(((INDEX('CONTROL MASTER'!$Y$2:$Y$495,(SUMPRODUCT((('CONTROL MASTER'!$S$2:$S$495=15)*('CONTROL MASTER'!$Z$2:$Z$495&lt;=5)*('CONTROL MASTER'!$AB$2:$AB$495&gt;=5)*('CONTROL MASTER'!$AA$2:$AA$495&lt;=4)*('CONTROL MASTER'!$AC$2:$AC$495&gt;=4))*ROW('CONTROL MASTER'!$S$2:$S$495))-(ROW('CONTROL MASTER'!#REF!)-1)))+((5-INDEX('CONTROL MASTER'!$Z$2:$Z$495,(SUMPRODUCT((('CONTROL MASTER'!$S$2:$S$495=15)*('CONTROL MASTER'!$Z$2:$Z$495&lt;=5)*('CONTROL MASTER'!$AB$2:$AB$495&gt;=5)*('CONTROL MASTER'!$AA$2:$AA$495&lt;=4)*('CONTROL MASTER'!$AC$2:$AC$495&gt;=4))*ROW('CONTROL MASTER'!$S$2:$S$495))-(ROW('CONTROL MASTER'!#REF!)-1))))*(INDEX('CONTROL MASTER'!$AC$2:$AC$495,(SUMPRODUCT((('CONTROL MASTER'!$S$2:$S$495=15)*('CONTROL MASTER'!$Z$2:$Z$495&lt;=5)*('CONTROL MASTER'!$AB$2:$AB$495&gt;=5)*('CONTROL MASTER'!$AA$2:$AA$495&lt;=4)*('CONTROL MASTER'!$AC$2:$AC$495&gt;=4))*ROW('CONTROL MASTER'!$S$2:$S$495))-(ROW('CONTROL MASTER'!#REF!)-1)))-INDEX('CONTROL MASTER'!$AA$2:$AA$495,(SUMPRODUCT((('CONTROL MASTER'!$S$2:$S$495=15)*('CONTROL MASTER'!$Z$2:$Z$495&lt;=5)*('CONTROL MASTER'!$AB$2:$AB$495&gt;=5)*('CONTROL MASTER'!$AA$2:$AA$495&lt;=4)*('CONTROL MASTER'!$AC$2:$AC$495&gt;=4))*ROW('CONTROL MASTER'!$S$2:$S$495))-(ROW('CONTROL MASTER'!#REF!)-1)))+1)+(4-INDEX('CONTROL MASTER'!$AA$2:$AA$495,(SUMPRODUCT((('CONTROL MASTER'!$S$2:$S$495=15)*('CONTROL MASTER'!$Z$2:$Z$495&lt;=5)*('CONTROL MASTER'!$AB$2:$AB$495&gt;=5)*('CONTROL MASTER'!$AA$2:$AA$495&lt;=4)*('CONTROL MASTER'!$AC$2:$AC$495&gt;=4))*ROW('CONTROL MASTER'!$S$2:$S$495))-(ROW('CONTROL MASTER'!#REF!)-1))))+1)))-1)*50+1,50))&amp;"_"&amp;INDEX('CONTROL MASTER'!$P$2:$P$495,(SUMPRODUCT((('CONTROL MASTER'!$S$2:$S$495=15)*('CONTROL MASTER'!$Z$2:$Z$495&lt;=5)*('CONTROL MASTER'!$AB$2:$AB$495&gt;=5)*('CONTROL MASTER'!$AA$2:$AA$495&lt;=4)*('CONTROL MASTER'!$AC$2:$AC$495&gt;=4))*ROW('CONTROL MASTER'!$S$2:$S$495))-(ROW('CONTROL MASTER'!#REF!)-1))),"")),"")</f>
        <v/>
      </c>
      <c r="F203" s="10" t="str">
        <f>IFERROR(IF(SUMPRODUCT((('CONTROL MASTER'!$S$2:$S$495=15)*('CONTROL MASTER'!$T$2:$T$495&lt;=5)*('CONTROL MASTER'!$V$2:$V$495&gt;=5)*('CONTROL MASTER'!$U$2:$U$495&lt;=5)*('CONTROL MASTER'!$W$2:$W$495&gt;=5))*ROW('CONTROL MASTER'!$S$2:$S$495))&gt;0,INDEX('CONTROL MASTER'!$X$2:$X$495,(SUMPRODUCT((('CONTROL MASTER'!$S$2:$S$495=15)*('CONTROL MASTER'!$T$2:$T$495&lt;=5)*('CONTROL MASTER'!$V$2:$V$495&gt;=5)*('CONTROL MASTER'!$U$2:$U$495&lt;=5)*('CONTROL MASTER'!$W$2:$W$495&gt;=5))*ROW('CONTROL MASTER'!$S$2:$S$495))-(ROW('CONTROL MASTER'!#REF!)-1)))&amp;TRIM(MID(SUBSTITUTE(SUBSTITUTE(INDEX('CONTROL MASTER'!$N$2:$N$495,(SUMPRODUCT((('CONTROL MASTER'!$S$2:$S$495=15)*('CONTROL MASTER'!$T$2:$T$495&lt;=5)*('CONTROL MASTER'!$V$2:$V$495&gt;=5)*('CONTROL MASTER'!$U$2:$U$495&lt;=5)*('CONTROL MASTER'!$W$2:$W$495&gt;=5))*ROW('CONTROL MASTER'!$S$2:$S$495))-(ROW('CONTROL MASTER'!#REF!)-1))),":",","),",",REPT(" ",50)),((((5-INDEX('CONTROL MASTER'!$T$2:$T$495,(SUMPRODUCT((('CONTROL MASTER'!$S$2:$S$495=15)*('CONTROL MASTER'!$T$2:$T$495&lt;=5)*('CONTROL MASTER'!$V$2:$V$495&gt;=5)*('CONTROL MASTER'!$U$2:$U$495&lt;=5)*('CONTROL MASTER'!$W$2:$W$495&gt;=5))*ROW('CONTROL MASTER'!$S$2:$S$495))-(ROW('CONTROL MASTER'!#REF!)-1))))*(INDEX('CONTROL MASTER'!$W$2:$W$495,(SUMPRODUCT((('CONTROL MASTER'!$S$2:$S$495=15)*('CONTROL MASTER'!$T$2:$T$495&lt;=5)*('CONTROL MASTER'!$V$2:$V$495&gt;=5)*('CONTROL MASTER'!$U$2:$U$495&lt;=5)*('CONTROL MASTER'!$W$2:$W$495&gt;=5))*ROW('CONTROL MASTER'!$S$2:$S$495))-(ROW('CONTROL MASTER'!#REF!)-1)))-INDEX('CONTROL MASTER'!$U$2:$U$495,(SUMPRODUCT((('CONTROL MASTER'!$S$2:$S$495=15)*('CONTROL MASTER'!$T$2:$T$495&lt;=5)*('CONTROL MASTER'!$V$2:$V$495&gt;=5)*('CONTROL MASTER'!$U$2:$U$495&lt;=5)*('CONTROL MASTER'!$W$2:$W$495&gt;=5))*ROW('CONTROL MASTER'!$S$2:$S$495))-(ROW('CONTROL MASTER'!#REF!)-1)))+1)+(5-INDEX('CONTROL MASTER'!$U$2:$U$495,(SUMPRODUCT((('CONTROL MASTER'!$S$2:$S$495=15)*('CONTROL MASTER'!$T$2:$T$495&lt;=5)*('CONTROL MASTER'!$V$2:$V$495&gt;=5)*('CONTROL MASTER'!$U$2:$U$495&lt;=5)*('CONTROL MASTER'!$W$2:$W$495&gt;=5))*ROW('CONTROL MASTER'!$S$2:$S$495))-(ROW('CONTROL MASTER'!#REF!)-1))))+1))-1)*50+1,50))&amp;"_"&amp;INDEX('CONTROL MASTER'!$P$2:$P$495,(SUMPRODUCT((('CONTROL MASTER'!$S$2:$S$495=15)*('CONTROL MASTER'!$T$2:$T$495&lt;=5)*('CONTROL MASTER'!$V$2:$V$495&gt;=5)*('CONTROL MASTER'!$U$2:$U$495&lt;=5)*('CONTROL MASTER'!$W$2:$W$495&gt;=5))*ROW('CONTROL MASTER'!$S$2:$S$495))-(ROW('CONTROL MASTER'!#REF!)-1))),IF(SUMPRODUCT((('CONTROL MASTER'!$S$2:$S$495=15)*('CONTROL MASTER'!$Z$2:$Z$495&lt;=5)*('CONTROL MASTER'!$AB$2:$AB$495&gt;=5)*('CONTROL MASTER'!$AA$2:$AA$495&lt;=5)*('CONTROL MASTER'!$AC$2:$AC$495&gt;=5))*ROW('CONTROL MASTER'!$S$2:$S$495))&gt;0,INDEX('CONTROL MASTER'!$X$2:$X$495,(SUMPRODUCT((('CONTROL MASTER'!$S$2:$S$495=15)*('CONTROL MASTER'!$Z$2:$Z$495&lt;=5)*('CONTROL MASTER'!$AB$2:$AB$495&gt;=5)*('CONTROL MASTER'!$AA$2:$AA$495&lt;=5)*('CONTROL MASTER'!$AC$2:$AC$495&gt;=5))*ROW('CONTROL MASTER'!$S$2:$S$495))-(ROW('CONTROL MASTER'!#REF!)-1)))&amp;TRIM(MID(SUBSTITUTE(SUBSTITUTE(INDEX('CONTROL MASTER'!$N$2:$N$495,(SUMPRODUCT((('CONTROL MASTER'!$S$2:$S$495=15)*('CONTROL MASTER'!$Z$2:$Z$495&lt;=5)*('CONTROL MASTER'!$AB$2:$AB$495&gt;=5)*('CONTROL MASTER'!$AA$2:$AA$495&lt;=5)*('CONTROL MASTER'!$AC$2:$AC$495&gt;=5))*ROW('CONTROL MASTER'!$S$2:$S$495))-(ROW('CONTROL MASTER'!#REF!)-1))),":",","),",",REPT(" ",50)),(((INDEX('CONTROL MASTER'!$Y$2:$Y$495,(SUMPRODUCT((('CONTROL MASTER'!$S$2:$S$495=15)*('CONTROL MASTER'!$Z$2:$Z$495&lt;=5)*('CONTROL MASTER'!$AB$2:$AB$495&gt;=5)*('CONTROL MASTER'!$AA$2:$AA$495&lt;=5)*('CONTROL MASTER'!$AC$2:$AC$495&gt;=5))*ROW('CONTROL MASTER'!$S$2:$S$495))-(ROW('CONTROL MASTER'!#REF!)-1)))+((5-INDEX('CONTROL MASTER'!$Z$2:$Z$495,(SUMPRODUCT((('CONTROL MASTER'!$S$2:$S$495=15)*('CONTROL MASTER'!$Z$2:$Z$495&lt;=5)*('CONTROL MASTER'!$AB$2:$AB$495&gt;=5)*('CONTROL MASTER'!$AA$2:$AA$495&lt;=5)*('CONTROL MASTER'!$AC$2:$AC$495&gt;=5))*ROW('CONTROL MASTER'!$S$2:$S$495))-(ROW('CONTROL MASTER'!#REF!)-1))))*(INDEX('CONTROL MASTER'!$AC$2:$AC$495,(SUMPRODUCT((('CONTROL MASTER'!$S$2:$S$495=15)*('CONTROL MASTER'!$Z$2:$Z$495&lt;=5)*('CONTROL MASTER'!$AB$2:$AB$495&gt;=5)*('CONTROL MASTER'!$AA$2:$AA$495&lt;=5)*('CONTROL MASTER'!$AC$2:$AC$495&gt;=5))*ROW('CONTROL MASTER'!$S$2:$S$495))-(ROW('CONTROL MASTER'!#REF!)-1)))-INDEX('CONTROL MASTER'!$AA$2:$AA$495,(SUMPRODUCT((('CONTROL MASTER'!$S$2:$S$495=15)*('CONTROL MASTER'!$Z$2:$Z$495&lt;=5)*('CONTROL MASTER'!$AB$2:$AB$495&gt;=5)*('CONTROL MASTER'!$AA$2:$AA$495&lt;=5)*('CONTROL MASTER'!$AC$2:$AC$495&gt;=5))*ROW('CONTROL MASTER'!$S$2:$S$495))-(ROW('CONTROL MASTER'!#REF!)-1)))+1)+(5-INDEX('CONTROL MASTER'!$AA$2:$AA$495,(SUMPRODUCT((('CONTROL MASTER'!$S$2:$S$495=15)*('CONTROL MASTER'!$Z$2:$Z$495&lt;=5)*('CONTROL MASTER'!$AB$2:$AB$495&gt;=5)*('CONTROL MASTER'!$AA$2:$AA$495&lt;=5)*('CONTROL MASTER'!$AC$2:$AC$495&gt;=5))*ROW('CONTROL MASTER'!$S$2:$S$495))-(ROW('CONTROL MASTER'!#REF!)-1))))+1)))-1)*50+1,50))&amp;"_"&amp;INDEX('CONTROL MASTER'!$P$2:$P$495,(SUMPRODUCT((('CONTROL MASTER'!$S$2:$S$495=15)*('CONTROL MASTER'!$Z$2:$Z$495&lt;=5)*('CONTROL MASTER'!$AB$2:$AB$495&gt;=5)*('CONTROL MASTER'!$AA$2:$AA$495&lt;=5)*('CONTROL MASTER'!$AC$2:$AC$495&gt;=5))*ROW('CONTROL MASTER'!$S$2:$S$495))-(ROW('CONTROL MASTER'!#REF!)-1))),"")),"")</f>
        <v/>
      </c>
      <c r="G203" s="10" t="str">
        <f>IFERROR(IF(SUMPRODUCT((('CONTROL MASTER'!$S$2:$S$495=15)*('CONTROL MASTER'!$T$2:$T$495&lt;=5)*('CONTROL MASTER'!$V$2:$V$495&gt;=5)*('CONTROL MASTER'!$U$2:$U$495&lt;=6)*('CONTROL MASTER'!$W$2:$W$495&gt;=6))*ROW('CONTROL MASTER'!$S$2:$S$495))&gt;0,INDEX('CONTROL MASTER'!$X$2:$X$495,(SUMPRODUCT((('CONTROL MASTER'!$S$2:$S$495=15)*('CONTROL MASTER'!$T$2:$T$495&lt;=5)*('CONTROL MASTER'!$V$2:$V$495&gt;=5)*('CONTROL MASTER'!$U$2:$U$495&lt;=6)*('CONTROL MASTER'!$W$2:$W$495&gt;=6))*ROW('CONTROL MASTER'!$S$2:$S$495))-(ROW('CONTROL MASTER'!#REF!)-1)))&amp;TRIM(MID(SUBSTITUTE(SUBSTITUTE(INDEX('CONTROL MASTER'!$N$2:$N$495,(SUMPRODUCT((('CONTROL MASTER'!$S$2:$S$495=15)*('CONTROL MASTER'!$T$2:$T$495&lt;=5)*('CONTROL MASTER'!$V$2:$V$495&gt;=5)*('CONTROL MASTER'!$U$2:$U$495&lt;=6)*('CONTROL MASTER'!$W$2:$W$495&gt;=6))*ROW('CONTROL MASTER'!$S$2:$S$495))-(ROW('CONTROL MASTER'!#REF!)-1))),":",","),",",REPT(" ",50)),((((5-INDEX('CONTROL MASTER'!$T$2:$T$495,(SUMPRODUCT((('CONTROL MASTER'!$S$2:$S$495=15)*('CONTROL MASTER'!$T$2:$T$495&lt;=5)*('CONTROL MASTER'!$V$2:$V$495&gt;=5)*('CONTROL MASTER'!$U$2:$U$495&lt;=6)*('CONTROL MASTER'!$W$2:$W$495&gt;=6))*ROW('CONTROL MASTER'!$S$2:$S$495))-(ROW('CONTROL MASTER'!#REF!)-1))))*(INDEX('CONTROL MASTER'!$W$2:$W$495,(SUMPRODUCT((('CONTROL MASTER'!$S$2:$S$495=15)*('CONTROL MASTER'!$T$2:$T$495&lt;=5)*('CONTROL MASTER'!$V$2:$V$495&gt;=5)*('CONTROL MASTER'!$U$2:$U$495&lt;=6)*('CONTROL MASTER'!$W$2:$W$495&gt;=6))*ROW('CONTROL MASTER'!$S$2:$S$495))-(ROW('CONTROL MASTER'!#REF!)-1)))-INDEX('CONTROL MASTER'!$U$2:$U$495,(SUMPRODUCT((('CONTROL MASTER'!$S$2:$S$495=15)*('CONTROL MASTER'!$T$2:$T$495&lt;=5)*('CONTROL MASTER'!$V$2:$V$495&gt;=5)*('CONTROL MASTER'!$U$2:$U$495&lt;=6)*('CONTROL MASTER'!$W$2:$W$495&gt;=6))*ROW('CONTROL MASTER'!$S$2:$S$495))-(ROW('CONTROL MASTER'!#REF!)-1)))+1)+(6-INDEX('CONTROL MASTER'!$U$2:$U$495,(SUMPRODUCT((('CONTROL MASTER'!$S$2:$S$495=15)*('CONTROL MASTER'!$T$2:$T$495&lt;=5)*('CONTROL MASTER'!$V$2:$V$495&gt;=5)*('CONTROL MASTER'!$U$2:$U$495&lt;=6)*('CONTROL MASTER'!$W$2:$W$495&gt;=6))*ROW('CONTROL MASTER'!$S$2:$S$495))-(ROW('CONTROL MASTER'!#REF!)-1))))+1))-1)*50+1,50))&amp;"_"&amp;INDEX('CONTROL MASTER'!$P$2:$P$495,(SUMPRODUCT((('CONTROL MASTER'!$S$2:$S$495=15)*('CONTROL MASTER'!$T$2:$T$495&lt;=5)*('CONTROL MASTER'!$V$2:$V$495&gt;=5)*('CONTROL MASTER'!$U$2:$U$495&lt;=6)*('CONTROL MASTER'!$W$2:$W$495&gt;=6))*ROW('CONTROL MASTER'!$S$2:$S$495))-(ROW('CONTROL MASTER'!#REF!)-1))),IF(SUMPRODUCT((('CONTROL MASTER'!$S$2:$S$495=15)*('CONTROL MASTER'!$Z$2:$Z$495&lt;=5)*('CONTROL MASTER'!$AB$2:$AB$495&gt;=5)*('CONTROL MASTER'!$AA$2:$AA$495&lt;=6)*('CONTROL MASTER'!$AC$2:$AC$495&gt;=6))*ROW('CONTROL MASTER'!$S$2:$S$495))&gt;0,INDEX('CONTROL MASTER'!$X$2:$X$495,(SUMPRODUCT((('CONTROL MASTER'!$S$2:$S$495=15)*('CONTROL MASTER'!$Z$2:$Z$495&lt;=5)*('CONTROL MASTER'!$AB$2:$AB$495&gt;=5)*('CONTROL MASTER'!$AA$2:$AA$495&lt;=6)*('CONTROL MASTER'!$AC$2:$AC$495&gt;=6))*ROW('CONTROL MASTER'!$S$2:$S$495))-(ROW('CONTROL MASTER'!#REF!)-1)))&amp;TRIM(MID(SUBSTITUTE(SUBSTITUTE(INDEX('CONTROL MASTER'!$N$2:$N$495,(SUMPRODUCT((('CONTROL MASTER'!$S$2:$S$495=15)*('CONTROL MASTER'!$Z$2:$Z$495&lt;=5)*('CONTROL MASTER'!$AB$2:$AB$495&gt;=5)*('CONTROL MASTER'!$AA$2:$AA$495&lt;=6)*('CONTROL MASTER'!$AC$2:$AC$495&gt;=6))*ROW('CONTROL MASTER'!$S$2:$S$495))-(ROW('CONTROL MASTER'!#REF!)-1))),":",","),",",REPT(" ",50)),(((INDEX('CONTROL MASTER'!$Y$2:$Y$495,(SUMPRODUCT((('CONTROL MASTER'!$S$2:$S$495=15)*('CONTROL MASTER'!$Z$2:$Z$495&lt;=5)*('CONTROL MASTER'!$AB$2:$AB$495&gt;=5)*('CONTROL MASTER'!$AA$2:$AA$495&lt;=6)*('CONTROL MASTER'!$AC$2:$AC$495&gt;=6))*ROW('CONTROL MASTER'!$S$2:$S$495))-(ROW('CONTROL MASTER'!#REF!)-1)))+((5-INDEX('CONTROL MASTER'!$Z$2:$Z$495,(SUMPRODUCT((('CONTROL MASTER'!$S$2:$S$495=15)*('CONTROL MASTER'!$Z$2:$Z$495&lt;=5)*('CONTROL MASTER'!$AB$2:$AB$495&gt;=5)*('CONTROL MASTER'!$AA$2:$AA$495&lt;=6)*('CONTROL MASTER'!$AC$2:$AC$495&gt;=6))*ROW('CONTROL MASTER'!$S$2:$S$495))-(ROW('CONTROL MASTER'!#REF!)-1))))*(INDEX('CONTROL MASTER'!$AC$2:$AC$495,(SUMPRODUCT((('CONTROL MASTER'!$S$2:$S$495=15)*('CONTROL MASTER'!$Z$2:$Z$495&lt;=5)*('CONTROL MASTER'!$AB$2:$AB$495&gt;=5)*('CONTROL MASTER'!$AA$2:$AA$495&lt;=6)*('CONTROL MASTER'!$AC$2:$AC$495&gt;=6))*ROW('CONTROL MASTER'!$S$2:$S$495))-(ROW('CONTROL MASTER'!#REF!)-1)))-INDEX('CONTROL MASTER'!$AA$2:$AA$495,(SUMPRODUCT((('CONTROL MASTER'!$S$2:$S$495=15)*('CONTROL MASTER'!$Z$2:$Z$495&lt;=5)*('CONTROL MASTER'!$AB$2:$AB$495&gt;=5)*('CONTROL MASTER'!$AA$2:$AA$495&lt;=6)*('CONTROL MASTER'!$AC$2:$AC$495&gt;=6))*ROW('CONTROL MASTER'!$S$2:$S$495))-(ROW('CONTROL MASTER'!#REF!)-1)))+1)+(6-INDEX('CONTROL MASTER'!$AA$2:$AA$495,(SUMPRODUCT((('CONTROL MASTER'!$S$2:$S$495=15)*('CONTROL MASTER'!$Z$2:$Z$495&lt;=5)*('CONTROL MASTER'!$AB$2:$AB$495&gt;=5)*('CONTROL MASTER'!$AA$2:$AA$495&lt;=6)*('CONTROL MASTER'!$AC$2:$AC$495&gt;=6))*ROW('CONTROL MASTER'!$S$2:$S$495))-(ROW('CONTROL MASTER'!#REF!)-1))))+1)))-1)*50+1,50))&amp;"_"&amp;INDEX('CONTROL MASTER'!$P$2:$P$495,(SUMPRODUCT((('CONTROL MASTER'!$S$2:$S$495=15)*('CONTROL MASTER'!$Z$2:$Z$495&lt;=5)*('CONTROL MASTER'!$AB$2:$AB$495&gt;=5)*('CONTROL MASTER'!$AA$2:$AA$495&lt;=6)*('CONTROL MASTER'!$AC$2:$AC$495&gt;=6))*ROW('CONTROL MASTER'!$S$2:$S$495))-(ROW('CONTROL MASTER'!#REF!)-1))),"")),"")</f>
        <v/>
      </c>
      <c r="H203" s="10" t="str">
        <f>IFERROR(IF(SUMPRODUCT((('CONTROL MASTER'!$S$2:$S$495=15)*('CONTROL MASTER'!$T$2:$T$495&lt;=5)*('CONTROL MASTER'!$V$2:$V$495&gt;=5)*('CONTROL MASTER'!$U$2:$U$495&lt;=7)*('CONTROL MASTER'!$W$2:$W$495&gt;=7))*ROW('CONTROL MASTER'!$S$2:$S$495))&gt;0,INDEX('CONTROL MASTER'!$X$2:$X$495,(SUMPRODUCT((('CONTROL MASTER'!$S$2:$S$495=15)*('CONTROL MASTER'!$T$2:$T$495&lt;=5)*('CONTROL MASTER'!$V$2:$V$495&gt;=5)*('CONTROL MASTER'!$U$2:$U$495&lt;=7)*('CONTROL MASTER'!$W$2:$W$495&gt;=7))*ROW('CONTROL MASTER'!$S$2:$S$495))-(ROW('CONTROL MASTER'!#REF!)-1)))&amp;TRIM(MID(SUBSTITUTE(SUBSTITUTE(INDEX('CONTROL MASTER'!$N$2:$N$495,(SUMPRODUCT((('CONTROL MASTER'!$S$2:$S$495=15)*('CONTROL MASTER'!$T$2:$T$495&lt;=5)*('CONTROL MASTER'!$V$2:$V$495&gt;=5)*('CONTROL MASTER'!$U$2:$U$495&lt;=7)*('CONTROL MASTER'!$W$2:$W$495&gt;=7))*ROW('CONTROL MASTER'!$S$2:$S$495))-(ROW('CONTROL MASTER'!#REF!)-1))),":",","),",",REPT(" ",50)),((((5-INDEX('CONTROL MASTER'!$T$2:$T$495,(SUMPRODUCT((('CONTROL MASTER'!$S$2:$S$495=15)*('CONTROL MASTER'!$T$2:$T$495&lt;=5)*('CONTROL MASTER'!$V$2:$V$495&gt;=5)*('CONTROL MASTER'!$U$2:$U$495&lt;=7)*('CONTROL MASTER'!$W$2:$W$495&gt;=7))*ROW('CONTROL MASTER'!$S$2:$S$495))-(ROW('CONTROL MASTER'!#REF!)-1))))*(INDEX('CONTROL MASTER'!$W$2:$W$495,(SUMPRODUCT((('CONTROL MASTER'!$S$2:$S$495=15)*('CONTROL MASTER'!$T$2:$T$495&lt;=5)*('CONTROL MASTER'!$V$2:$V$495&gt;=5)*('CONTROL MASTER'!$U$2:$U$495&lt;=7)*('CONTROL MASTER'!$W$2:$W$495&gt;=7))*ROW('CONTROL MASTER'!$S$2:$S$495))-(ROW('CONTROL MASTER'!#REF!)-1)))-INDEX('CONTROL MASTER'!$U$2:$U$495,(SUMPRODUCT((('CONTROL MASTER'!$S$2:$S$495=15)*('CONTROL MASTER'!$T$2:$T$495&lt;=5)*('CONTROL MASTER'!$V$2:$V$495&gt;=5)*('CONTROL MASTER'!$U$2:$U$495&lt;=7)*('CONTROL MASTER'!$W$2:$W$495&gt;=7))*ROW('CONTROL MASTER'!$S$2:$S$495))-(ROW('CONTROL MASTER'!#REF!)-1)))+1)+(7-INDEX('CONTROL MASTER'!$U$2:$U$495,(SUMPRODUCT((('CONTROL MASTER'!$S$2:$S$495=15)*('CONTROL MASTER'!$T$2:$T$495&lt;=5)*('CONTROL MASTER'!$V$2:$V$495&gt;=5)*('CONTROL MASTER'!$U$2:$U$495&lt;=7)*('CONTROL MASTER'!$W$2:$W$495&gt;=7))*ROW('CONTROL MASTER'!$S$2:$S$495))-(ROW('CONTROL MASTER'!#REF!)-1))))+1))-1)*50+1,50))&amp;"_"&amp;INDEX('CONTROL MASTER'!$P$2:$P$495,(SUMPRODUCT((('CONTROL MASTER'!$S$2:$S$495=15)*('CONTROL MASTER'!$T$2:$T$495&lt;=5)*('CONTROL MASTER'!$V$2:$V$495&gt;=5)*('CONTROL MASTER'!$U$2:$U$495&lt;=7)*('CONTROL MASTER'!$W$2:$W$495&gt;=7))*ROW('CONTROL MASTER'!$S$2:$S$495))-(ROW('CONTROL MASTER'!#REF!)-1))),IF(SUMPRODUCT((('CONTROL MASTER'!$S$2:$S$495=15)*('CONTROL MASTER'!$Z$2:$Z$495&lt;=5)*('CONTROL MASTER'!$AB$2:$AB$495&gt;=5)*('CONTROL MASTER'!$AA$2:$AA$495&lt;=7)*('CONTROL MASTER'!$AC$2:$AC$495&gt;=7))*ROW('CONTROL MASTER'!$S$2:$S$495))&gt;0,INDEX('CONTROL MASTER'!$X$2:$X$495,(SUMPRODUCT((('CONTROL MASTER'!$S$2:$S$495=15)*('CONTROL MASTER'!$Z$2:$Z$495&lt;=5)*('CONTROL MASTER'!$AB$2:$AB$495&gt;=5)*('CONTROL MASTER'!$AA$2:$AA$495&lt;=7)*('CONTROL MASTER'!$AC$2:$AC$495&gt;=7))*ROW('CONTROL MASTER'!$S$2:$S$495))-(ROW('CONTROL MASTER'!#REF!)-1)))&amp;TRIM(MID(SUBSTITUTE(SUBSTITUTE(INDEX('CONTROL MASTER'!$N$2:$N$495,(SUMPRODUCT((('CONTROL MASTER'!$S$2:$S$495=15)*('CONTROL MASTER'!$Z$2:$Z$495&lt;=5)*('CONTROL MASTER'!$AB$2:$AB$495&gt;=5)*('CONTROL MASTER'!$AA$2:$AA$495&lt;=7)*('CONTROL MASTER'!$AC$2:$AC$495&gt;=7))*ROW('CONTROL MASTER'!$S$2:$S$495))-(ROW('CONTROL MASTER'!#REF!)-1))),":",","),",",REPT(" ",50)),(((INDEX('CONTROL MASTER'!$Y$2:$Y$495,(SUMPRODUCT((('CONTROL MASTER'!$S$2:$S$495=15)*('CONTROL MASTER'!$Z$2:$Z$495&lt;=5)*('CONTROL MASTER'!$AB$2:$AB$495&gt;=5)*('CONTROL MASTER'!$AA$2:$AA$495&lt;=7)*('CONTROL MASTER'!$AC$2:$AC$495&gt;=7))*ROW('CONTROL MASTER'!$S$2:$S$495))-(ROW('CONTROL MASTER'!#REF!)-1)))+((5-INDEX('CONTROL MASTER'!$Z$2:$Z$495,(SUMPRODUCT((('CONTROL MASTER'!$S$2:$S$495=15)*('CONTROL MASTER'!$Z$2:$Z$495&lt;=5)*('CONTROL MASTER'!$AB$2:$AB$495&gt;=5)*('CONTROL MASTER'!$AA$2:$AA$495&lt;=7)*('CONTROL MASTER'!$AC$2:$AC$495&gt;=7))*ROW('CONTROL MASTER'!$S$2:$S$495))-(ROW('CONTROL MASTER'!#REF!)-1))))*(INDEX('CONTROL MASTER'!$AC$2:$AC$495,(SUMPRODUCT((('CONTROL MASTER'!$S$2:$S$495=15)*('CONTROL MASTER'!$Z$2:$Z$495&lt;=5)*('CONTROL MASTER'!$AB$2:$AB$495&gt;=5)*('CONTROL MASTER'!$AA$2:$AA$495&lt;=7)*('CONTROL MASTER'!$AC$2:$AC$495&gt;=7))*ROW('CONTROL MASTER'!$S$2:$S$495))-(ROW('CONTROL MASTER'!#REF!)-1)))-INDEX('CONTROL MASTER'!$AA$2:$AA$495,(SUMPRODUCT((('CONTROL MASTER'!$S$2:$S$495=15)*('CONTROL MASTER'!$Z$2:$Z$495&lt;=5)*('CONTROL MASTER'!$AB$2:$AB$495&gt;=5)*('CONTROL MASTER'!$AA$2:$AA$495&lt;=7)*('CONTROL MASTER'!$AC$2:$AC$495&gt;=7))*ROW('CONTROL MASTER'!$S$2:$S$495))-(ROW('CONTROL MASTER'!#REF!)-1)))+1)+(7-INDEX('CONTROL MASTER'!$AA$2:$AA$495,(SUMPRODUCT((('CONTROL MASTER'!$S$2:$S$495=15)*('CONTROL MASTER'!$Z$2:$Z$495&lt;=5)*('CONTROL MASTER'!$AB$2:$AB$495&gt;=5)*('CONTROL MASTER'!$AA$2:$AA$495&lt;=7)*('CONTROL MASTER'!$AC$2:$AC$495&gt;=7))*ROW('CONTROL MASTER'!$S$2:$S$495))-(ROW('CONTROL MASTER'!#REF!)-1))))+1)))-1)*50+1,50))&amp;"_"&amp;INDEX('CONTROL MASTER'!$P$2:$P$495,(SUMPRODUCT((('CONTROL MASTER'!$S$2:$S$495=15)*('CONTROL MASTER'!$Z$2:$Z$495&lt;=5)*('CONTROL MASTER'!$AB$2:$AB$495&gt;=5)*('CONTROL MASTER'!$AA$2:$AA$495&lt;=7)*('CONTROL MASTER'!$AC$2:$AC$495&gt;=7))*ROW('CONTROL MASTER'!$S$2:$S$495))-(ROW('CONTROL MASTER'!#REF!)-1))),"")),"")</f>
        <v/>
      </c>
      <c r="I203" s="10" t="str">
        <f>IFERROR(IF(SUMPRODUCT((('CONTROL MASTER'!$S$2:$S$495=15)*('CONTROL MASTER'!$T$2:$T$495&lt;=5)*('CONTROL MASTER'!$V$2:$V$495&gt;=5)*('CONTROL MASTER'!$U$2:$U$495&lt;=8)*('CONTROL MASTER'!$W$2:$W$495&gt;=8))*ROW('CONTROL MASTER'!$S$2:$S$495))&gt;0,INDEX('CONTROL MASTER'!$X$2:$X$495,(SUMPRODUCT((('CONTROL MASTER'!$S$2:$S$495=15)*('CONTROL MASTER'!$T$2:$T$495&lt;=5)*('CONTROL MASTER'!$V$2:$V$495&gt;=5)*('CONTROL MASTER'!$U$2:$U$495&lt;=8)*('CONTROL MASTER'!$W$2:$W$495&gt;=8))*ROW('CONTROL MASTER'!$S$2:$S$495))-(ROW('CONTROL MASTER'!#REF!)-1)))&amp;TRIM(MID(SUBSTITUTE(SUBSTITUTE(INDEX('CONTROL MASTER'!$N$2:$N$495,(SUMPRODUCT((('CONTROL MASTER'!$S$2:$S$495=15)*('CONTROL MASTER'!$T$2:$T$495&lt;=5)*('CONTROL MASTER'!$V$2:$V$495&gt;=5)*('CONTROL MASTER'!$U$2:$U$495&lt;=8)*('CONTROL MASTER'!$W$2:$W$495&gt;=8))*ROW('CONTROL MASTER'!$S$2:$S$495))-(ROW('CONTROL MASTER'!#REF!)-1))),":",","),",",REPT(" ",50)),((((5-INDEX('CONTROL MASTER'!$T$2:$T$495,(SUMPRODUCT((('CONTROL MASTER'!$S$2:$S$495=15)*('CONTROL MASTER'!$T$2:$T$495&lt;=5)*('CONTROL MASTER'!$V$2:$V$495&gt;=5)*('CONTROL MASTER'!$U$2:$U$495&lt;=8)*('CONTROL MASTER'!$W$2:$W$495&gt;=8))*ROW('CONTROL MASTER'!$S$2:$S$495))-(ROW('CONTROL MASTER'!#REF!)-1))))*(INDEX('CONTROL MASTER'!$W$2:$W$495,(SUMPRODUCT((('CONTROL MASTER'!$S$2:$S$495=15)*('CONTROL MASTER'!$T$2:$T$495&lt;=5)*('CONTROL MASTER'!$V$2:$V$495&gt;=5)*('CONTROL MASTER'!$U$2:$U$495&lt;=8)*('CONTROL MASTER'!$W$2:$W$495&gt;=8))*ROW('CONTROL MASTER'!$S$2:$S$495))-(ROW('CONTROL MASTER'!#REF!)-1)))-INDEX('CONTROL MASTER'!$U$2:$U$495,(SUMPRODUCT((('CONTROL MASTER'!$S$2:$S$495=15)*('CONTROL MASTER'!$T$2:$T$495&lt;=5)*('CONTROL MASTER'!$V$2:$V$495&gt;=5)*('CONTROL MASTER'!$U$2:$U$495&lt;=8)*('CONTROL MASTER'!$W$2:$W$495&gt;=8))*ROW('CONTROL MASTER'!$S$2:$S$495))-(ROW('CONTROL MASTER'!#REF!)-1)))+1)+(8-INDEX('CONTROL MASTER'!$U$2:$U$495,(SUMPRODUCT((('CONTROL MASTER'!$S$2:$S$495=15)*('CONTROL MASTER'!$T$2:$T$495&lt;=5)*('CONTROL MASTER'!$V$2:$V$495&gt;=5)*('CONTROL MASTER'!$U$2:$U$495&lt;=8)*('CONTROL MASTER'!$W$2:$W$495&gt;=8))*ROW('CONTROL MASTER'!$S$2:$S$495))-(ROW('CONTROL MASTER'!#REF!)-1))))+1))-1)*50+1,50))&amp;"_"&amp;INDEX('CONTROL MASTER'!$P$2:$P$495,(SUMPRODUCT((('CONTROL MASTER'!$S$2:$S$495=15)*('CONTROL MASTER'!$T$2:$T$495&lt;=5)*('CONTROL MASTER'!$V$2:$V$495&gt;=5)*('CONTROL MASTER'!$U$2:$U$495&lt;=8)*('CONTROL MASTER'!$W$2:$W$495&gt;=8))*ROW('CONTROL MASTER'!$S$2:$S$495))-(ROW('CONTROL MASTER'!#REF!)-1))),IF(SUMPRODUCT((('CONTROL MASTER'!$S$2:$S$495=15)*('CONTROL MASTER'!$Z$2:$Z$495&lt;=5)*('CONTROL MASTER'!$AB$2:$AB$495&gt;=5)*('CONTROL MASTER'!$AA$2:$AA$495&lt;=8)*('CONTROL MASTER'!$AC$2:$AC$495&gt;=8))*ROW('CONTROL MASTER'!$S$2:$S$495))&gt;0,INDEX('CONTROL MASTER'!$X$2:$X$495,(SUMPRODUCT((('CONTROL MASTER'!$S$2:$S$495=15)*('CONTROL MASTER'!$Z$2:$Z$495&lt;=5)*('CONTROL MASTER'!$AB$2:$AB$495&gt;=5)*('CONTROL MASTER'!$AA$2:$AA$495&lt;=8)*('CONTROL MASTER'!$AC$2:$AC$495&gt;=8))*ROW('CONTROL MASTER'!$S$2:$S$495))-(ROW('CONTROL MASTER'!#REF!)-1)))&amp;TRIM(MID(SUBSTITUTE(SUBSTITUTE(INDEX('CONTROL MASTER'!$N$2:$N$495,(SUMPRODUCT((('CONTROL MASTER'!$S$2:$S$495=15)*('CONTROL MASTER'!$Z$2:$Z$495&lt;=5)*('CONTROL MASTER'!$AB$2:$AB$495&gt;=5)*('CONTROL MASTER'!$AA$2:$AA$495&lt;=8)*('CONTROL MASTER'!$AC$2:$AC$495&gt;=8))*ROW('CONTROL MASTER'!$S$2:$S$495))-(ROW('CONTROL MASTER'!#REF!)-1))),":",","),",",REPT(" ",50)),(((INDEX('CONTROL MASTER'!$Y$2:$Y$495,(SUMPRODUCT((('CONTROL MASTER'!$S$2:$S$495=15)*('CONTROL MASTER'!$Z$2:$Z$495&lt;=5)*('CONTROL MASTER'!$AB$2:$AB$495&gt;=5)*('CONTROL MASTER'!$AA$2:$AA$495&lt;=8)*('CONTROL MASTER'!$AC$2:$AC$495&gt;=8))*ROW('CONTROL MASTER'!$S$2:$S$495))-(ROW('CONTROL MASTER'!#REF!)-1)))+((5-INDEX('CONTROL MASTER'!$Z$2:$Z$495,(SUMPRODUCT((('CONTROL MASTER'!$S$2:$S$495=15)*('CONTROL MASTER'!$Z$2:$Z$495&lt;=5)*('CONTROL MASTER'!$AB$2:$AB$495&gt;=5)*('CONTROL MASTER'!$AA$2:$AA$495&lt;=8)*('CONTROL MASTER'!$AC$2:$AC$495&gt;=8))*ROW('CONTROL MASTER'!$S$2:$S$495))-(ROW('CONTROL MASTER'!#REF!)-1))))*(INDEX('CONTROL MASTER'!$AC$2:$AC$495,(SUMPRODUCT((('CONTROL MASTER'!$S$2:$S$495=15)*('CONTROL MASTER'!$Z$2:$Z$495&lt;=5)*('CONTROL MASTER'!$AB$2:$AB$495&gt;=5)*('CONTROL MASTER'!$AA$2:$AA$495&lt;=8)*('CONTROL MASTER'!$AC$2:$AC$495&gt;=8))*ROW('CONTROL MASTER'!$S$2:$S$495))-(ROW('CONTROL MASTER'!#REF!)-1)))-INDEX('CONTROL MASTER'!$AA$2:$AA$495,(SUMPRODUCT((('CONTROL MASTER'!$S$2:$S$495=15)*('CONTROL MASTER'!$Z$2:$Z$495&lt;=5)*('CONTROL MASTER'!$AB$2:$AB$495&gt;=5)*('CONTROL MASTER'!$AA$2:$AA$495&lt;=8)*('CONTROL MASTER'!$AC$2:$AC$495&gt;=8))*ROW('CONTROL MASTER'!$S$2:$S$495))-(ROW('CONTROL MASTER'!#REF!)-1)))+1)+(8-INDEX('CONTROL MASTER'!$AA$2:$AA$495,(SUMPRODUCT((('CONTROL MASTER'!$S$2:$S$495=15)*('CONTROL MASTER'!$Z$2:$Z$495&lt;=5)*('CONTROL MASTER'!$AB$2:$AB$495&gt;=5)*('CONTROL MASTER'!$AA$2:$AA$495&lt;=8)*('CONTROL MASTER'!$AC$2:$AC$495&gt;=8))*ROW('CONTROL MASTER'!$S$2:$S$495))-(ROW('CONTROL MASTER'!#REF!)-1))))+1)))-1)*50+1,50))&amp;"_"&amp;INDEX('CONTROL MASTER'!$P$2:$P$495,(SUMPRODUCT((('CONTROL MASTER'!$S$2:$S$495=15)*('CONTROL MASTER'!$Z$2:$Z$495&lt;=5)*('CONTROL MASTER'!$AB$2:$AB$495&gt;=5)*('CONTROL MASTER'!$AA$2:$AA$495&lt;=8)*('CONTROL MASTER'!$AC$2:$AC$495&gt;=8))*ROW('CONTROL MASTER'!$S$2:$S$495))-(ROW('CONTROL MASTER'!#REF!)-1))),"")),"")</f>
        <v/>
      </c>
      <c r="J203" s="10" t="str">
        <f>IFERROR(IF(SUMPRODUCT((('CONTROL MASTER'!$S$2:$S$495=15)*('CONTROL MASTER'!$T$2:$T$495&lt;=5)*('CONTROL MASTER'!$V$2:$V$495&gt;=5)*('CONTROL MASTER'!$U$2:$U$495&lt;=9)*('CONTROL MASTER'!$W$2:$W$495&gt;=9))*ROW('CONTROL MASTER'!$S$2:$S$495))&gt;0,INDEX('CONTROL MASTER'!$X$2:$X$495,(SUMPRODUCT((('CONTROL MASTER'!$S$2:$S$495=15)*('CONTROL MASTER'!$T$2:$T$495&lt;=5)*('CONTROL MASTER'!$V$2:$V$495&gt;=5)*('CONTROL MASTER'!$U$2:$U$495&lt;=9)*('CONTROL MASTER'!$W$2:$W$495&gt;=9))*ROW('CONTROL MASTER'!$S$2:$S$495))-(ROW('CONTROL MASTER'!#REF!)-1)))&amp;TRIM(MID(SUBSTITUTE(SUBSTITUTE(INDEX('CONTROL MASTER'!$N$2:$N$495,(SUMPRODUCT((('CONTROL MASTER'!$S$2:$S$495=15)*('CONTROL MASTER'!$T$2:$T$495&lt;=5)*('CONTROL MASTER'!$V$2:$V$495&gt;=5)*('CONTROL MASTER'!$U$2:$U$495&lt;=9)*('CONTROL MASTER'!$W$2:$W$495&gt;=9))*ROW('CONTROL MASTER'!$S$2:$S$495))-(ROW('CONTROL MASTER'!#REF!)-1))),":",","),",",REPT(" ",50)),((((5-INDEX('CONTROL MASTER'!$T$2:$T$495,(SUMPRODUCT((('CONTROL MASTER'!$S$2:$S$495=15)*('CONTROL MASTER'!$T$2:$T$495&lt;=5)*('CONTROL MASTER'!$V$2:$V$495&gt;=5)*('CONTROL MASTER'!$U$2:$U$495&lt;=9)*('CONTROL MASTER'!$W$2:$W$495&gt;=9))*ROW('CONTROL MASTER'!$S$2:$S$495))-(ROW('CONTROL MASTER'!#REF!)-1))))*(INDEX('CONTROL MASTER'!$W$2:$W$495,(SUMPRODUCT((('CONTROL MASTER'!$S$2:$S$495=15)*('CONTROL MASTER'!$T$2:$T$495&lt;=5)*('CONTROL MASTER'!$V$2:$V$495&gt;=5)*('CONTROL MASTER'!$U$2:$U$495&lt;=9)*('CONTROL MASTER'!$W$2:$W$495&gt;=9))*ROW('CONTROL MASTER'!$S$2:$S$495))-(ROW('CONTROL MASTER'!#REF!)-1)))-INDEX('CONTROL MASTER'!$U$2:$U$495,(SUMPRODUCT((('CONTROL MASTER'!$S$2:$S$495=15)*('CONTROL MASTER'!$T$2:$T$495&lt;=5)*('CONTROL MASTER'!$V$2:$V$495&gt;=5)*('CONTROL MASTER'!$U$2:$U$495&lt;=9)*('CONTROL MASTER'!$W$2:$W$495&gt;=9))*ROW('CONTROL MASTER'!$S$2:$S$495))-(ROW('CONTROL MASTER'!#REF!)-1)))+1)+(9-INDEX('CONTROL MASTER'!$U$2:$U$495,(SUMPRODUCT((('CONTROL MASTER'!$S$2:$S$495=15)*('CONTROL MASTER'!$T$2:$T$495&lt;=5)*('CONTROL MASTER'!$V$2:$V$495&gt;=5)*('CONTROL MASTER'!$U$2:$U$495&lt;=9)*('CONTROL MASTER'!$W$2:$W$495&gt;=9))*ROW('CONTROL MASTER'!$S$2:$S$495))-(ROW('CONTROL MASTER'!#REF!)-1))))+1))-1)*50+1,50))&amp;"_"&amp;INDEX('CONTROL MASTER'!$P$2:$P$495,(SUMPRODUCT((('CONTROL MASTER'!$S$2:$S$495=15)*('CONTROL MASTER'!$T$2:$T$495&lt;=5)*('CONTROL MASTER'!$V$2:$V$495&gt;=5)*('CONTROL MASTER'!$U$2:$U$495&lt;=9)*('CONTROL MASTER'!$W$2:$W$495&gt;=9))*ROW('CONTROL MASTER'!$S$2:$S$495))-(ROW('CONTROL MASTER'!#REF!)-1))),IF(SUMPRODUCT((('CONTROL MASTER'!$S$2:$S$495=15)*('CONTROL MASTER'!$Z$2:$Z$495&lt;=5)*('CONTROL MASTER'!$AB$2:$AB$495&gt;=5)*('CONTROL MASTER'!$AA$2:$AA$495&lt;=9)*('CONTROL MASTER'!$AC$2:$AC$495&gt;=9))*ROW('CONTROL MASTER'!$S$2:$S$495))&gt;0,INDEX('CONTROL MASTER'!$X$2:$X$495,(SUMPRODUCT((('CONTROL MASTER'!$S$2:$S$495=15)*('CONTROL MASTER'!$Z$2:$Z$495&lt;=5)*('CONTROL MASTER'!$AB$2:$AB$495&gt;=5)*('CONTROL MASTER'!$AA$2:$AA$495&lt;=9)*('CONTROL MASTER'!$AC$2:$AC$495&gt;=9))*ROW('CONTROL MASTER'!$S$2:$S$495))-(ROW('CONTROL MASTER'!#REF!)-1)))&amp;TRIM(MID(SUBSTITUTE(SUBSTITUTE(INDEX('CONTROL MASTER'!$N$2:$N$495,(SUMPRODUCT((('CONTROL MASTER'!$S$2:$S$495=15)*('CONTROL MASTER'!$Z$2:$Z$495&lt;=5)*('CONTROL MASTER'!$AB$2:$AB$495&gt;=5)*('CONTROL MASTER'!$AA$2:$AA$495&lt;=9)*('CONTROL MASTER'!$AC$2:$AC$495&gt;=9))*ROW('CONTROL MASTER'!$S$2:$S$495))-(ROW('CONTROL MASTER'!#REF!)-1))),":",","),",",REPT(" ",50)),(((INDEX('CONTROL MASTER'!$Y$2:$Y$495,(SUMPRODUCT((('CONTROL MASTER'!$S$2:$S$495=15)*('CONTROL MASTER'!$Z$2:$Z$495&lt;=5)*('CONTROL MASTER'!$AB$2:$AB$495&gt;=5)*('CONTROL MASTER'!$AA$2:$AA$495&lt;=9)*('CONTROL MASTER'!$AC$2:$AC$495&gt;=9))*ROW('CONTROL MASTER'!$S$2:$S$495))-(ROW('CONTROL MASTER'!#REF!)-1)))+((5-INDEX('CONTROL MASTER'!$Z$2:$Z$495,(SUMPRODUCT((('CONTROL MASTER'!$S$2:$S$495=15)*('CONTROL MASTER'!$Z$2:$Z$495&lt;=5)*('CONTROL MASTER'!$AB$2:$AB$495&gt;=5)*('CONTROL MASTER'!$AA$2:$AA$495&lt;=9)*('CONTROL MASTER'!$AC$2:$AC$495&gt;=9))*ROW('CONTROL MASTER'!$S$2:$S$495))-(ROW('CONTROL MASTER'!#REF!)-1))))*(INDEX('CONTROL MASTER'!$AC$2:$AC$495,(SUMPRODUCT((('CONTROL MASTER'!$S$2:$S$495=15)*('CONTROL MASTER'!$Z$2:$Z$495&lt;=5)*('CONTROL MASTER'!$AB$2:$AB$495&gt;=5)*('CONTROL MASTER'!$AA$2:$AA$495&lt;=9)*('CONTROL MASTER'!$AC$2:$AC$495&gt;=9))*ROW('CONTROL MASTER'!$S$2:$S$495))-(ROW('CONTROL MASTER'!#REF!)-1)))-INDEX('CONTROL MASTER'!$AA$2:$AA$495,(SUMPRODUCT((('CONTROL MASTER'!$S$2:$S$495=15)*('CONTROL MASTER'!$Z$2:$Z$495&lt;=5)*('CONTROL MASTER'!$AB$2:$AB$495&gt;=5)*('CONTROL MASTER'!$AA$2:$AA$495&lt;=9)*('CONTROL MASTER'!$AC$2:$AC$495&gt;=9))*ROW('CONTROL MASTER'!$S$2:$S$495))-(ROW('CONTROL MASTER'!#REF!)-1)))+1)+(9-INDEX('CONTROL MASTER'!$AA$2:$AA$495,(SUMPRODUCT((('CONTROL MASTER'!$S$2:$S$495=15)*('CONTROL MASTER'!$Z$2:$Z$495&lt;=5)*('CONTROL MASTER'!$AB$2:$AB$495&gt;=5)*('CONTROL MASTER'!$AA$2:$AA$495&lt;=9)*('CONTROL MASTER'!$AC$2:$AC$495&gt;=9))*ROW('CONTROL MASTER'!$S$2:$S$495))-(ROW('CONTROL MASTER'!#REF!)-1))))+1)))-1)*50+1,50))&amp;"_"&amp;INDEX('CONTROL MASTER'!$P$2:$P$495,(SUMPRODUCT((('CONTROL MASTER'!$S$2:$S$495=15)*('CONTROL MASTER'!$Z$2:$Z$495&lt;=5)*('CONTROL MASTER'!$AB$2:$AB$495&gt;=5)*('CONTROL MASTER'!$AA$2:$AA$495&lt;=9)*('CONTROL MASTER'!$AC$2:$AC$495&gt;=9))*ROW('CONTROL MASTER'!$S$2:$S$495))-(ROW('CONTROL MASTER'!#REF!)-1))),"")),"")</f>
        <v/>
      </c>
      <c r="K203" s="10" t="str">
        <f>IFERROR(IF(SUMPRODUCT((('CONTROL MASTER'!$S$2:$S$495=15)*('CONTROL MASTER'!$T$2:$T$495&lt;=5)*('CONTROL MASTER'!$V$2:$V$495&gt;=5)*('CONTROL MASTER'!$U$2:$U$495&lt;=10)*('CONTROL MASTER'!$W$2:$W$495&gt;=10))*ROW('CONTROL MASTER'!$S$2:$S$495))&gt;0,INDEX('CONTROL MASTER'!$X$2:$X$495,(SUMPRODUCT((('CONTROL MASTER'!$S$2:$S$495=15)*('CONTROL MASTER'!$T$2:$T$495&lt;=5)*('CONTROL MASTER'!$V$2:$V$495&gt;=5)*('CONTROL MASTER'!$U$2:$U$495&lt;=10)*('CONTROL MASTER'!$W$2:$W$495&gt;=10))*ROW('CONTROL MASTER'!$S$2:$S$495))-(ROW('CONTROL MASTER'!#REF!)-1)))&amp;TRIM(MID(SUBSTITUTE(SUBSTITUTE(INDEX('CONTROL MASTER'!$N$2:$N$495,(SUMPRODUCT((('CONTROL MASTER'!$S$2:$S$495=15)*('CONTROL MASTER'!$T$2:$T$495&lt;=5)*('CONTROL MASTER'!$V$2:$V$495&gt;=5)*('CONTROL MASTER'!$U$2:$U$495&lt;=10)*('CONTROL MASTER'!$W$2:$W$495&gt;=10))*ROW('CONTROL MASTER'!$S$2:$S$495))-(ROW('CONTROL MASTER'!#REF!)-1))),":",","),",",REPT(" ",50)),((((5-INDEX('CONTROL MASTER'!$T$2:$T$495,(SUMPRODUCT((('CONTROL MASTER'!$S$2:$S$495=15)*('CONTROL MASTER'!$T$2:$T$495&lt;=5)*('CONTROL MASTER'!$V$2:$V$495&gt;=5)*('CONTROL MASTER'!$U$2:$U$495&lt;=10)*('CONTROL MASTER'!$W$2:$W$495&gt;=10))*ROW('CONTROL MASTER'!$S$2:$S$495))-(ROW('CONTROL MASTER'!#REF!)-1))))*(INDEX('CONTROL MASTER'!$W$2:$W$495,(SUMPRODUCT((('CONTROL MASTER'!$S$2:$S$495=15)*('CONTROL MASTER'!$T$2:$T$495&lt;=5)*('CONTROL MASTER'!$V$2:$V$495&gt;=5)*('CONTROL MASTER'!$U$2:$U$495&lt;=10)*('CONTROL MASTER'!$W$2:$W$495&gt;=10))*ROW('CONTROL MASTER'!$S$2:$S$495))-(ROW('CONTROL MASTER'!#REF!)-1)))-INDEX('CONTROL MASTER'!$U$2:$U$495,(SUMPRODUCT((('CONTROL MASTER'!$S$2:$S$495=15)*('CONTROL MASTER'!$T$2:$T$495&lt;=5)*('CONTROL MASTER'!$V$2:$V$495&gt;=5)*('CONTROL MASTER'!$U$2:$U$495&lt;=10)*('CONTROL MASTER'!$W$2:$W$495&gt;=10))*ROW('CONTROL MASTER'!$S$2:$S$495))-(ROW('CONTROL MASTER'!#REF!)-1)))+1)+(10-INDEX('CONTROL MASTER'!$U$2:$U$495,(SUMPRODUCT((('CONTROL MASTER'!$S$2:$S$495=15)*('CONTROL MASTER'!$T$2:$T$495&lt;=5)*('CONTROL MASTER'!$V$2:$V$495&gt;=5)*('CONTROL MASTER'!$U$2:$U$495&lt;=10)*('CONTROL MASTER'!$W$2:$W$495&gt;=10))*ROW('CONTROL MASTER'!$S$2:$S$495))-(ROW('CONTROL MASTER'!#REF!)-1))))+1))-1)*50+1,50))&amp;"_"&amp;INDEX('CONTROL MASTER'!$P$2:$P$495,(SUMPRODUCT((('CONTROL MASTER'!$S$2:$S$495=15)*('CONTROL MASTER'!$T$2:$T$495&lt;=5)*('CONTROL MASTER'!$V$2:$V$495&gt;=5)*('CONTROL MASTER'!$U$2:$U$495&lt;=10)*('CONTROL MASTER'!$W$2:$W$495&gt;=10))*ROW('CONTROL MASTER'!$S$2:$S$495))-(ROW('CONTROL MASTER'!#REF!)-1))),IF(SUMPRODUCT((('CONTROL MASTER'!$S$2:$S$495=15)*('CONTROL MASTER'!$Z$2:$Z$495&lt;=5)*('CONTROL MASTER'!$AB$2:$AB$495&gt;=5)*('CONTROL MASTER'!$AA$2:$AA$495&lt;=10)*('CONTROL MASTER'!$AC$2:$AC$495&gt;=10))*ROW('CONTROL MASTER'!$S$2:$S$495))&gt;0,INDEX('CONTROL MASTER'!$X$2:$X$495,(SUMPRODUCT((('CONTROL MASTER'!$S$2:$S$495=15)*('CONTROL MASTER'!$Z$2:$Z$495&lt;=5)*('CONTROL MASTER'!$AB$2:$AB$495&gt;=5)*('CONTROL MASTER'!$AA$2:$AA$495&lt;=10)*('CONTROL MASTER'!$AC$2:$AC$495&gt;=10))*ROW('CONTROL MASTER'!$S$2:$S$495))-(ROW('CONTROL MASTER'!#REF!)-1)))&amp;TRIM(MID(SUBSTITUTE(SUBSTITUTE(INDEX('CONTROL MASTER'!$N$2:$N$495,(SUMPRODUCT((('CONTROL MASTER'!$S$2:$S$495=15)*('CONTROL MASTER'!$Z$2:$Z$495&lt;=5)*('CONTROL MASTER'!$AB$2:$AB$495&gt;=5)*('CONTROL MASTER'!$AA$2:$AA$495&lt;=10)*('CONTROL MASTER'!$AC$2:$AC$495&gt;=10))*ROW('CONTROL MASTER'!$S$2:$S$495))-(ROW('CONTROL MASTER'!#REF!)-1))),":",","),",",REPT(" ",50)),(((INDEX('CONTROL MASTER'!$Y$2:$Y$495,(SUMPRODUCT((('CONTROL MASTER'!$S$2:$S$495=15)*('CONTROL MASTER'!$Z$2:$Z$495&lt;=5)*('CONTROL MASTER'!$AB$2:$AB$495&gt;=5)*('CONTROL MASTER'!$AA$2:$AA$495&lt;=10)*('CONTROL MASTER'!$AC$2:$AC$495&gt;=10))*ROW('CONTROL MASTER'!$S$2:$S$495))-(ROW('CONTROL MASTER'!#REF!)-1)))+((5-INDEX('CONTROL MASTER'!$Z$2:$Z$495,(SUMPRODUCT((('CONTROL MASTER'!$S$2:$S$495=15)*('CONTROL MASTER'!$Z$2:$Z$495&lt;=5)*('CONTROL MASTER'!$AB$2:$AB$495&gt;=5)*('CONTROL MASTER'!$AA$2:$AA$495&lt;=10)*('CONTROL MASTER'!$AC$2:$AC$495&gt;=10))*ROW('CONTROL MASTER'!$S$2:$S$495))-(ROW('CONTROL MASTER'!#REF!)-1))))*(INDEX('CONTROL MASTER'!$AC$2:$AC$495,(SUMPRODUCT((('CONTROL MASTER'!$S$2:$S$495=15)*('CONTROL MASTER'!$Z$2:$Z$495&lt;=5)*('CONTROL MASTER'!$AB$2:$AB$495&gt;=5)*('CONTROL MASTER'!$AA$2:$AA$495&lt;=10)*('CONTROL MASTER'!$AC$2:$AC$495&gt;=10))*ROW('CONTROL MASTER'!$S$2:$S$495))-(ROW('CONTROL MASTER'!#REF!)-1)))-INDEX('CONTROL MASTER'!$AA$2:$AA$495,(SUMPRODUCT((('CONTROL MASTER'!$S$2:$S$495=15)*('CONTROL MASTER'!$Z$2:$Z$495&lt;=5)*('CONTROL MASTER'!$AB$2:$AB$495&gt;=5)*('CONTROL MASTER'!$AA$2:$AA$495&lt;=10)*('CONTROL MASTER'!$AC$2:$AC$495&gt;=10))*ROW('CONTROL MASTER'!$S$2:$S$495))-(ROW('CONTROL MASTER'!#REF!)-1)))+1)+(10-INDEX('CONTROL MASTER'!$AA$2:$AA$495,(SUMPRODUCT((('CONTROL MASTER'!$S$2:$S$495=15)*('CONTROL MASTER'!$Z$2:$Z$495&lt;=5)*('CONTROL MASTER'!$AB$2:$AB$495&gt;=5)*('CONTROL MASTER'!$AA$2:$AA$495&lt;=10)*('CONTROL MASTER'!$AC$2:$AC$495&gt;=10))*ROW('CONTROL MASTER'!$S$2:$S$495))-(ROW('CONTROL MASTER'!#REF!)-1))))+1)))-1)*50+1,50))&amp;"_"&amp;INDEX('CONTROL MASTER'!$P$2:$P$495,(SUMPRODUCT((('CONTROL MASTER'!$S$2:$S$495=15)*('CONTROL MASTER'!$Z$2:$Z$495&lt;=5)*('CONTROL MASTER'!$AB$2:$AB$495&gt;=5)*('CONTROL MASTER'!$AA$2:$AA$495&lt;=10)*('CONTROL MASTER'!$AC$2:$AC$495&gt;=10))*ROW('CONTROL MASTER'!$S$2:$S$495))-(ROW('CONTROL MASTER'!#REF!)-1))),"")),"")</f>
        <v/>
      </c>
    </row>
    <row r="204" spans="1:11" ht="15" customHeight="1" x14ac:dyDescent="0.35">
      <c r="A204" s="8" t="s">
        <v>33</v>
      </c>
      <c r="B204" s="10" t="str">
        <f>IFERROR(IF(SUMPRODUCT((('CONTROL MASTER'!$S$2:$S$495=15)*('CONTROL MASTER'!$T$2:$T$495&lt;=6)*('CONTROL MASTER'!$V$2:$V$495&gt;=6)*('CONTROL MASTER'!$U$2:$U$495&lt;=1)*('CONTROL MASTER'!$W$2:$W$495&gt;=1))*ROW('CONTROL MASTER'!$S$2:$S$495))&gt;0,INDEX('CONTROL MASTER'!$X$2:$X$495,(SUMPRODUCT((('CONTROL MASTER'!$S$2:$S$495=15)*('CONTROL MASTER'!$T$2:$T$495&lt;=6)*('CONTROL MASTER'!$V$2:$V$495&gt;=6)*('CONTROL MASTER'!$U$2:$U$495&lt;=1)*('CONTROL MASTER'!$W$2:$W$495&gt;=1))*ROW('CONTROL MASTER'!$S$2:$S$495))-(ROW('CONTROL MASTER'!#REF!)-1)))&amp;TRIM(MID(SUBSTITUTE(SUBSTITUTE(INDEX('CONTROL MASTER'!$N$2:$N$495,(SUMPRODUCT((('CONTROL MASTER'!$S$2:$S$495=15)*('CONTROL MASTER'!$T$2:$T$495&lt;=6)*('CONTROL MASTER'!$V$2:$V$495&gt;=6)*('CONTROL MASTER'!$U$2:$U$495&lt;=1)*('CONTROL MASTER'!$W$2:$W$495&gt;=1))*ROW('CONTROL MASTER'!$S$2:$S$495))-(ROW('CONTROL MASTER'!#REF!)-1))),":",","),",",REPT(" ",50)),((((6-INDEX('CONTROL MASTER'!$T$2:$T$495,(SUMPRODUCT((('CONTROL MASTER'!$S$2:$S$495=15)*('CONTROL MASTER'!$T$2:$T$495&lt;=6)*('CONTROL MASTER'!$V$2:$V$495&gt;=6)*('CONTROL MASTER'!$U$2:$U$495&lt;=1)*('CONTROL MASTER'!$W$2:$W$495&gt;=1))*ROW('CONTROL MASTER'!$S$2:$S$495))-(ROW('CONTROL MASTER'!#REF!)-1))))*(INDEX('CONTROL MASTER'!$W$2:$W$495,(SUMPRODUCT((('CONTROL MASTER'!$S$2:$S$495=15)*('CONTROL MASTER'!$T$2:$T$495&lt;=6)*('CONTROL MASTER'!$V$2:$V$495&gt;=6)*('CONTROL MASTER'!$U$2:$U$495&lt;=1)*('CONTROL MASTER'!$W$2:$W$495&gt;=1))*ROW('CONTROL MASTER'!$S$2:$S$495))-(ROW('CONTROL MASTER'!#REF!)-1)))-INDEX('CONTROL MASTER'!$U$2:$U$495,(SUMPRODUCT((('CONTROL MASTER'!$S$2:$S$495=15)*('CONTROL MASTER'!$T$2:$T$495&lt;=6)*('CONTROL MASTER'!$V$2:$V$495&gt;=6)*('CONTROL MASTER'!$U$2:$U$495&lt;=1)*('CONTROL MASTER'!$W$2:$W$495&gt;=1))*ROW('CONTROL MASTER'!$S$2:$S$495))-(ROW('CONTROL MASTER'!#REF!)-1)))+1)+(1-INDEX('CONTROL MASTER'!$U$2:$U$495,(SUMPRODUCT((('CONTROL MASTER'!$S$2:$S$495=15)*('CONTROL MASTER'!$T$2:$T$495&lt;=6)*('CONTROL MASTER'!$V$2:$V$495&gt;=6)*('CONTROL MASTER'!$U$2:$U$495&lt;=1)*('CONTROL MASTER'!$W$2:$W$495&gt;=1))*ROW('CONTROL MASTER'!$S$2:$S$495))-(ROW('CONTROL MASTER'!#REF!)-1))))+1))-1)*50+1,50))&amp;"_"&amp;INDEX('CONTROL MASTER'!$P$2:$P$495,(SUMPRODUCT((('CONTROL MASTER'!$S$2:$S$495=15)*('CONTROL MASTER'!$T$2:$T$495&lt;=6)*('CONTROL MASTER'!$V$2:$V$495&gt;=6)*('CONTROL MASTER'!$U$2:$U$495&lt;=1)*('CONTROL MASTER'!$W$2:$W$495&gt;=1))*ROW('CONTROL MASTER'!$S$2:$S$495))-(ROW('CONTROL MASTER'!#REF!)-1))),IF(SUMPRODUCT((('CONTROL MASTER'!$S$2:$S$495=15)*('CONTROL MASTER'!$Z$2:$Z$495&lt;=6)*('CONTROL MASTER'!$AB$2:$AB$495&gt;=6)*('CONTROL MASTER'!$AA$2:$AA$495&lt;=1)*('CONTROL MASTER'!$AC$2:$AC$495&gt;=1))*ROW('CONTROL MASTER'!$S$2:$S$495))&gt;0,INDEX('CONTROL MASTER'!$X$2:$X$495,(SUMPRODUCT((('CONTROL MASTER'!$S$2:$S$495=15)*('CONTROL MASTER'!$Z$2:$Z$495&lt;=6)*('CONTROL MASTER'!$AB$2:$AB$495&gt;=6)*('CONTROL MASTER'!$AA$2:$AA$495&lt;=1)*('CONTROL MASTER'!$AC$2:$AC$495&gt;=1))*ROW('CONTROL MASTER'!$S$2:$S$495))-(ROW('CONTROL MASTER'!#REF!)-1)))&amp;TRIM(MID(SUBSTITUTE(SUBSTITUTE(INDEX('CONTROL MASTER'!$N$2:$N$495,(SUMPRODUCT((('CONTROL MASTER'!$S$2:$S$495=15)*('CONTROL MASTER'!$Z$2:$Z$495&lt;=6)*('CONTROL MASTER'!$AB$2:$AB$495&gt;=6)*('CONTROL MASTER'!$AA$2:$AA$495&lt;=1)*('CONTROL MASTER'!$AC$2:$AC$495&gt;=1))*ROW('CONTROL MASTER'!$S$2:$S$495))-(ROW('CONTROL MASTER'!#REF!)-1))),":",","),",",REPT(" ",50)),(((INDEX('CONTROL MASTER'!$Y$2:$Y$495,(SUMPRODUCT((('CONTROL MASTER'!$S$2:$S$495=15)*('CONTROL MASTER'!$Z$2:$Z$495&lt;=6)*('CONTROL MASTER'!$AB$2:$AB$495&gt;=6)*('CONTROL MASTER'!$AA$2:$AA$495&lt;=1)*('CONTROL MASTER'!$AC$2:$AC$495&gt;=1))*ROW('CONTROL MASTER'!$S$2:$S$495))-(ROW('CONTROL MASTER'!#REF!)-1)))+((6-INDEX('CONTROL MASTER'!$Z$2:$Z$495,(SUMPRODUCT((('CONTROL MASTER'!$S$2:$S$495=15)*('CONTROL MASTER'!$Z$2:$Z$495&lt;=6)*('CONTROL MASTER'!$AB$2:$AB$495&gt;=6)*('CONTROL MASTER'!$AA$2:$AA$495&lt;=1)*('CONTROL MASTER'!$AC$2:$AC$495&gt;=1))*ROW('CONTROL MASTER'!$S$2:$S$495))-(ROW('CONTROL MASTER'!#REF!)-1))))*(INDEX('CONTROL MASTER'!$AC$2:$AC$495,(SUMPRODUCT((('CONTROL MASTER'!$S$2:$S$495=15)*('CONTROL MASTER'!$Z$2:$Z$495&lt;=6)*('CONTROL MASTER'!$AB$2:$AB$495&gt;=6)*('CONTROL MASTER'!$AA$2:$AA$495&lt;=1)*('CONTROL MASTER'!$AC$2:$AC$495&gt;=1))*ROW('CONTROL MASTER'!$S$2:$S$495))-(ROW('CONTROL MASTER'!#REF!)-1)))-INDEX('CONTROL MASTER'!$AA$2:$AA$495,(SUMPRODUCT((('CONTROL MASTER'!$S$2:$S$495=15)*('CONTROL MASTER'!$Z$2:$Z$495&lt;=6)*('CONTROL MASTER'!$AB$2:$AB$495&gt;=6)*('CONTROL MASTER'!$AA$2:$AA$495&lt;=1)*('CONTROL MASTER'!$AC$2:$AC$495&gt;=1))*ROW('CONTROL MASTER'!$S$2:$S$495))-(ROW('CONTROL MASTER'!#REF!)-1)))+1)+(1-INDEX('CONTROL MASTER'!$AA$2:$AA$495,(SUMPRODUCT((('CONTROL MASTER'!$S$2:$S$495=15)*('CONTROL MASTER'!$Z$2:$Z$495&lt;=6)*('CONTROL MASTER'!$AB$2:$AB$495&gt;=6)*('CONTROL MASTER'!$AA$2:$AA$495&lt;=1)*('CONTROL MASTER'!$AC$2:$AC$495&gt;=1))*ROW('CONTROL MASTER'!$S$2:$S$495))-(ROW('CONTROL MASTER'!#REF!)-1))))+1)))-1)*50+1,50))&amp;"_"&amp;INDEX('CONTROL MASTER'!$P$2:$P$495,(SUMPRODUCT((('CONTROL MASTER'!$S$2:$S$495=15)*('CONTROL MASTER'!$Z$2:$Z$495&lt;=6)*('CONTROL MASTER'!$AB$2:$AB$495&gt;=6)*('CONTROL MASTER'!$AA$2:$AA$495&lt;=1)*('CONTROL MASTER'!$AC$2:$AC$495&gt;=1))*ROW('CONTROL MASTER'!$S$2:$S$495))-(ROW('CONTROL MASTER'!#REF!)-1))),"")),"")</f>
        <v/>
      </c>
      <c r="C204" s="10" t="str">
        <f>IFERROR(IF(SUMPRODUCT((('CONTROL MASTER'!$S$2:$S$495=15)*('CONTROL MASTER'!$T$2:$T$495&lt;=6)*('CONTROL MASTER'!$V$2:$V$495&gt;=6)*('CONTROL MASTER'!$U$2:$U$495&lt;=2)*('CONTROL MASTER'!$W$2:$W$495&gt;=2))*ROW('CONTROL MASTER'!$S$2:$S$495))&gt;0,INDEX('CONTROL MASTER'!$X$2:$X$495,(SUMPRODUCT((('CONTROL MASTER'!$S$2:$S$495=15)*('CONTROL MASTER'!$T$2:$T$495&lt;=6)*('CONTROL MASTER'!$V$2:$V$495&gt;=6)*('CONTROL MASTER'!$U$2:$U$495&lt;=2)*('CONTROL MASTER'!$W$2:$W$495&gt;=2))*ROW('CONTROL MASTER'!$S$2:$S$495))-(ROW('CONTROL MASTER'!#REF!)-1)))&amp;TRIM(MID(SUBSTITUTE(SUBSTITUTE(INDEX('CONTROL MASTER'!$N$2:$N$495,(SUMPRODUCT((('CONTROL MASTER'!$S$2:$S$495=15)*('CONTROL MASTER'!$T$2:$T$495&lt;=6)*('CONTROL MASTER'!$V$2:$V$495&gt;=6)*('CONTROL MASTER'!$U$2:$U$495&lt;=2)*('CONTROL MASTER'!$W$2:$W$495&gt;=2))*ROW('CONTROL MASTER'!$S$2:$S$495))-(ROW('CONTROL MASTER'!#REF!)-1))),":",","),",",REPT(" ",50)),((((6-INDEX('CONTROL MASTER'!$T$2:$T$495,(SUMPRODUCT((('CONTROL MASTER'!$S$2:$S$495=15)*('CONTROL MASTER'!$T$2:$T$495&lt;=6)*('CONTROL MASTER'!$V$2:$V$495&gt;=6)*('CONTROL MASTER'!$U$2:$U$495&lt;=2)*('CONTROL MASTER'!$W$2:$W$495&gt;=2))*ROW('CONTROL MASTER'!$S$2:$S$495))-(ROW('CONTROL MASTER'!#REF!)-1))))*(INDEX('CONTROL MASTER'!$W$2:$W$495,(SUMPRODUCT((('CONTROL MASTER'!$S$2:$S$495=15)*('CONTROL MASTER'!$T$2:$T$495&lt;=6)*('CONTROL MASTER'!$V$2:$V$495&gt;=6)*('CONTROL MASTER'!$U$2:$U$495&lt;=2)*('CONTROL MASTER'!$W$2:$W$495&gt;=2))*ROW('CONTROL MASTER'!$S$2:$S$495))-(ROW('CONTROL MASTER'!#REF!)-1)))-INDEX('CONTROL MASTER'!$U$2:$U$495,(SUMPRODUCT((('CONTROL MASTER'!$S$2:$S$495=15)*('CONTROL MASTER'!$T$2:$T$495&lt;=6)*('CONTROL MASTER'!$V$2:$V$495&gt;=6)*('CONTROL MASTER'!$U$2:$U$495&lt;=2)*('CONTROL MASTER'!$W$2:$W$495&gt;=2))*ROW('CONTROL MASTER'!$S$2:$S$495))-(ROW('CONTROL MASTER'!#REF!)-1)))+1)+(2-INDEX('CONTROL MASTER'!$U$2:$U$495,(SUMPRODUCT((('CONTROL MASTER'!$S$2:$S$495=15)*('CONTROL MASTER'!$T$2:$T$495&lt;=6)*('CONTROL MASTER'!$V$2:$V$495&gt;=6)*('CONTROL MASTER'!$U$2:$U$495&lt;=2)*('CONTROL MASTER'!$W$2:$W$495&gt;=2))*ROW('CONTROL MASTER'!$S$2:$S$495))-(ROW('CONTROL MASTER'!#REF!)-1))))+1))-1)*50+1,50))&amp;"_"&amp;INDEX('CONTROL MASTER'!$P$2:$P$495,(SUMPRODUCT((('CONTROL MASTER'!$S$2:$S$495=15)*('CONTROL MASTER'!$T$2:$T$495&lt;=6)*('CONTROL MASTER'!$V$2:$V$495&gt;=6)*('CONTROL MASTER'!$U$2:$U$495&lt;=2)*('CONTROL MASTER'!$W$2:$W$495&gt;=2))*ROW('CONTROL MASTER'!$S$2:$S$495))-(ROW('CONTROL MASTER'!#REF!)-1))),IF(SUMPRODUCT((('CONTROL MASTER'!$S$2:$S$495=15)*('CONTROL MASTER'!$Z$2:$Z$495&lt;=6)*('CONTROL MASTER'!$AB$2:$AB$495&gt;=6)*('CONTROL MASTER'!$AA$2:$AA$495&lt;=2)*('CONTROL MASTER'!$AC$2:$AC$495&gt;=2))*ROW('CONTROL MASTER'!$S$2:$S$495))&gt;0,INDEX('CONTROL MASTER'!$X$2:$X$495,(SUMPRODUCT((('CONTROL MASTER'!$S$2:$S$495=15)*('CONTROL MASTER'!$Z$2:$Z$495&lt;=6)*('CONTROL MASTER'!$AB$2:$AB$495&gt;=6)*('CONTROL MASTER'!$AA$2:$AA$495&lt;=2)*('CONTROL MASTER'!$AC$2:$AC$495&gt;=2))*ROW('CONTROL MASTER'!$S$2:$S$495))-(ROW('CONTROL MASTER'!#REF!)-1)))&amp;TRIM(MID(SUBSTITUTE(SUBSTITUTE(INDEX('CONTROL MASTER'!$N$2:$N$495,(SUMPRODUCT((('CONTROL MASTER'!$S$2:$S$495=15)*('CONTROL MASTER'!$Z$2:$Z$495&lt;=6)*('CONTROL MASTER'!$AB$2:$AB$495&gt;=6)*('CONTROL MASTER'!$AA$2:$AA$495&lt;=2)*('CONTROL MASTER'!$AC$2:$AC$495&gt;=2))*ROW('CONTROL MASTER'!$S$2:$S$495))-(ROW('CONTROL MASTER'!#REF!)-1))),":",","),",",REPT(" ",50)),(((INDEX('CONTROL MASTER'!$Y$2:$Y$495,(SUMPRODUCT((('CONTROL MASTER'!$S$2:$S$495=15)*('CONTROL MASTER'!$Z$2:$Z$495&lt;=6)*('CONTROL MASTER'!$AB$2:$AB$495&gt;=6)*('CONTROL MASTER'!$AA$2:$AA$495&lt;=2)*('CONTROL MASTER'!$AC$2:$AC$495&gt;=2))*ROW('CONTROL MASTER'!$S$2:$S$495))-(ROW('CONTROL MASTER'!#REF!)-1)))+((6-INDEX('CONTROL MASTER'!$Z$2:$Z$495,(SUMPRODUCT((('CONTROL MASTER'!$S$2:$S$495=15)*('CONTROL MASTER'!$Z$2:$Z$495&lt;=6)*('CONTROL MASTER'!$AB$2:$AB$495&gt;=6)*('CONTROL MASTER'!$AA$2:$AA$495&lt;=2)*('CONTROL MASTER'!$AC$2:$AC$495&gt;=2))*ROW('CONTROL MASTER'!$S$2:$S$495))-(ROW('CONTROL MASTER'!#REF!)-1))))*(INDEX('CONTROL MASTER'!$AC$2:$AC$495,(SUMPRODUCT((('CONTROL MASTER'!$S$2:$S$495=15)*('CONTROL MASTER'!$Z$2:$Z$495&lt;=6)*('CONTROL MASTER'!$AB$2:$AB$495&gt;=6)*('CONTROL MASTER'!$AA$2:$AA$495&lt;=2)*('CONTROL MASTER'!$AC$2:$AC$495&gt;=2))*ROW('CONTROL MASTER'!$S$2:$S$495))-(ROW('CONTROL MASTER'!#REF!)-1)))-INDEX('CONTROL MASTER'!$AA$2:$AA$495,(SUMPRODUCT((('CONTROL MASTER'!$S$2:$S$495=15)*('CONTROL MASTER'!$Z$2:$Z$495&lt;=6)*('CONTROL MASTER'!$AB$2:$AB$495&gt;=6)*('CONTROL MASTER'!$AA$2:$AA$495&lt;=2)*('CONTROL MASTER'!$AC$2:$AC$495&gt;=2))*ROW('CONTROL MASTER'!$S$2:$S$495))-(ROW('CONTROL MASTER'!#REF!)-1)))+1)+(2-INDEX('CONTROL MASTER'!$AA$2:$AA$495,(SUMPRODUCT((('CONTROL MASTER'!$S$2:$S$495=15)*('CONTROL MASTER'!$Z$2:$Z$495&lt;=6)*('CONTROL MASTER'!$AB$2:$AB$495&gt;=6)*('CONTROL MASTER'!$AA$2:$AA$495&lt;=2)*('CONTROL MASTER'!$AC$2:$AC$495&gt;=2))*ROW('CONTROL MASTER'!$S$2:$S$495))-(ROW('CONTROL MASTER'!#REF!)-1))))+1)))-1)*50+1,50))&amp;"_"&amp;INDEX('CONTROL MASTER'!$P$2:$P$495,(SUMPRODUCT((('CONTROL MASTER'!$S$2:$S$495=15)*('CONTROL MASTER'!$Z$2:$Z$495&lt;=6)*('CONTROL MASTER'!$AB$2:$AB$495&gt;=6)*('CONTROL MASTER'!$AA$2:$AA$495&lt;=2)*('CONTROL MASTER'!$AC$2:$AC$495&gt;=2))*ROW('CONTROL MASTER'!$S$2:$S$495))-(ROW('CONTROL MASTER'!#REF!)-1))),"")),"")</f>
        <v/>
      </c>
      <c r="D204" s="10" t="str">
        <f>IFERROR(IF(SUMPRODUCT((('CONTROL MASTER'!$S$2:$S$495=15)*('CONTROL MASTER'!$T$2:$T$495&lt;=6)*('CONTROL MASTER'!$V$2:$V$495&gt;=6)*('CONTROL MASTER'!$U$2:$U$495&lt;=3)*('CONTROL MASTER'!$W$2:$W$495&gt;=3))*ROW('CONTROL MASTER'!$S$2:$S$495))&gt;0,INDEX('CONTROL MASTER'!$X$2:$X$495,(SUMPRODUCT((('CONTROL MASTER'!$S$2:$S$495=15)*('CONTROL MASTER'!$T$2:$T$495&lt;=6)*('CONTROL MASTER'!$V$2:$V$495&gt;=6)*('CONTROL MASTER'!$U$2:$U$495&lt;=3)*('CONTROL MASTER'!$W$2:$W$495&gt;=3))*ROW('CONTROL MASTER'!$S$2:$S$495))-(ROW('CONTROL MASTER'!#REF!)-1)))&amp;TRIM(MID(SUBSTITUTE(SUBSTITUTE(INDEX('CONTROL MASTER'!$N$2:$N$495,(SUMPRODUCT((('CONTROL MASTER'!$S$2:$S$495=15)*('CONTROL MASTER'!$T$2:$T$495&lt;=6)*('CONTROL MASTER'!$V$2:$V$495&gt;=6)*('CONTROL MASTER'!$U$2:$U$495&lt;=3)*('CONTROL MASTER'!$W$2:$W$495&gt;=3))*ROW('CONTROL MASTER'!$S$2:$S$495))-(ROW('CONTROL MASTER'!#REF!)-1))),":",","),",",REPT(" ",50)),((((6-INDEX('CONTROL MASTER'!$T$2:$T$495,(SUMPRODUCT((('CONTROL MASTER'!$S$2:$S$495=15)*('CONTROL MASTER'!$T$2:$T$495&lt;=6)*('CONTROL MASTER'!$V$2:$V$495&gt;=6)*('CONTROL MASTER'!$U$2:$U$495&lt;=3)*('CONTROL MASTER'!$W$2:$W$495&gt;=3))*ROW('CONTROL MASTER'!$S$2:$S$495))-(ROW('CONTROL MASTER'!#REF!)-1))))*(INDEX('CONTROL MASTER'!$W$2:$W$495,(SUMPRODUCT((('CONTROL MASTER'!$S$2:$S$495=15)*('CONTROL MASTER'!$T$2:$T$495&lt;=6)*('CONTROL MASTER'!$V$2:$V$495&gt;=6)*('CONTROL MASTER'!$U$2:$U$495&lt;=3)*('CONTROL MASTER'!$W$2:$W$495&gt;=3))*ROW('CONTROL MASTER'!$S$2:$S$495))-(ROW('CONTROL MASTER'!#REF!)-1)))-INDEX('CONTROL MASTER'!$U$2:$U$495,(SUMPRODUCT((('CONTROL MASTER'!$S$2:$S$495=15)*('CONTROL MASTER'!$T$2:$T$495&lt;=6)*('CONTROL MASTER'!$V$2:$V$495&gt;=6)*('CONTROL MASTER'!$U$2:$U$495&lt;=3)*('CONTROL MASTER'!$W$2:$W$495&gt;=3))*ROW('CONTROL MASTER'!$S$2:$S$495))-(ROW('CONTROL MASTER'!#REF!)-1)))+1)+(3-INDEX('CONTROL MASTER'!$U$2:$U$495,(SUMPRODUCT((('CONTROL MASTER'!$S$2:$S$495=15)*('CONTROL MASTER'!$T$2:$T$495&lt;=6)*('CONTROL MASTER'!$V$2:$V$495&gt;=6)*('CONTROL MASTER'!$U$2:$U$495&lt;=3)*('CONTROL MASTER'!$W$2:$W$495&gt;=3))*ROW('CONTROL MASTER'!$S$2:$S$495))-(ROW('CONTROL MASTER'!#REF!)-1))))+1))-1)*50+1,50))&amp;"_"&amp;INDEX('CONTROL MASTER'!$P$2:$P$495,(SUMPRODUCT((('CONTROL MASTER'!$S$2:$S$495=15)*('CONTROL MASTER'!$T$2:$T$495&lt;=6)*('CONTROL MASTER'!$V$2:$V$495&gt;=6)*('CONTROL MASTER'!$U$2:$U$495&lt;=3)*('CONTROL MASTER'!$W$2:$W$495&gt;=3))*ROW('CONTROL MASTER'!$S$2:$S$495))-(ROW('CONTROL MASTER'!#REF!)-1))),IF(SUMPRODUCT((('CONTROL MASTER'!$S$2:$S$495=15)*('CONTROL MASTER'!$Z$2:$Z$495&lt;=6)*('CONTROL MASTER'!$AB$2:$AB$495&gt;=6)*('CONTROL MASTER'!$AA$2:$AA$495&lt;=3)*('CONTROL MASTER'!$AC$2:$AC$495&gt;=3))*ROW('CONTROL MASTER'!$S$2:$S$495))&gt;0,INDEX('CONTROL MASTER'!$X$2:$X$495,(SUMPRODUCT((('CONTROL MASTER'!$S$2:$S$495=15)*('CONTROL MASTER'!$Z$2:$Z$495&lt;=6)*('CONTROL MASTER'!$AB$2:$AB$495&gt;=6)*('CONTROL MASTER'!$AA$2:$AA$495&lt;=3)*('CONTROL MASTER'!$AC$2:$AC$495&gt;=3))*ROW('CONTROL MASTER'!$S$2:$S$495))-(ROW('CONTROL MASTER'!#REF!)-1)))&amp;TRIM(MID(SUBSTITUTE(SUBSTITUTE(INDEX('CONTROL MASTER'!$N$2:$N$495,(SUMPRODUCT((('CONTROL MASTER'!$S$2:$S$495=15)*('CONTROL MASTER'!$Z$2:$Z$495&lt;=6)*('CONTROL MASTER'!$AB$2:$AB$495&gt;=6)*('CONTROL MASTER'!$AA$2:$AA$495&lt;=3)*('CONTROL MASTER'!$AC$2:$AC$495&gt;=3))*ROW('CONTROL MASTER'!$S$2:$S$495))-(ROW('CONTROL MASTER'!#REF!)-1))),":",","),",",REPT(" ",50)),(((INDEX('CONTROL MASTER'!$Y$2:$Y$495,(SUMPRODUCT((('CONTROL MASTER'!$S$2:$S$495=15)*('CONTROL MASTER'!$Z$2:$Z$495&lt;=6)*('CONTROL MASTER'!$AB$2:$AB$495&gt;=6)*('CONTROL MASTER'!$AA$2:$AA$495&lt;=3)*('CONTROL MASTER'!$AC$2:$AC$495&gt;=3))*ROW('CONTROL MASTER'!$S$2:$S$495))-(ROW('CONTROL MASTER'!#REF!)-1)))+((6-INDEX('CONTROL MASTER'!$Z$2:$Z$495,(SUMPRODUCT((('CONTROL MASTER'!$S$2:$S$495=15)*('CONTROL MASTER'!$Z$2:$Z$495&lt;=6)*('CONTROL MASTER'!$AB$2:$AB$495&gt;=6)*('CONTROL MASTER'!$AA$2:$AA$495&lt;=3)*('CONTROL MASTER'!$AC$2:$AC$495&gt;=3))*ROW('CONTROL MASTER'!$S$2:$S$495))-(ROW('CONTROL MASTER'!#REF!)-1))))*(INDEX('CONTROL MASTER'!$AC$2:$AC$495,(SUMPRODUCT((('CONTROL MASTER'!$S$2:$S$495=15)*('CONTROL MASTER'!$Z$2:$Z$495&lt;=6)*('CONTROL MASTER'!$AB$2:$AB$495&gt;=6)*('CONTROL MASTER'!$AA$2:$AA$495&lt;=3)*('CONTROL MASTER'!$AC$2:$AC$495&gt;=3))*ROW('CONTROL MASTER'!$S$2:$S$495))-(ROW('CONTROL MASTER'!#REF!)-1)))-INDEX('CONTROL MASTER'!$AA$2:$AA$495,(SUMPRODUCT((('CONTROL MASTER'!$S$2:$S$495=15)*('CONTROL MASTER'!$Z$2:$Z$495&lt;=6)*('CONTROL MASTER'!$AB$2:$AB$495&gt;=6)*('CONTROL MASTER'!$AA$2:$AA$495&lt;=3)*('CONTROL MASTER'!$AC$2:$AC$495&gt;=3))*ROW('CONTROL MASTER'!$S$2:$S$495))-(ROW('CONTROL MASTER'!#REF!)-1)))+1)+(3-INDEX('CONTROL MASTER'!$AA$2:$AA$495,(SUMPRODUCT((('CONTROL MASTER'!$S$2:$S$495=15)*('CONTROL MASTER'!$Z$2:$Z$495&lt;=6)*('CONTROL MASTER'!$AB$2:$AB$495&gt;=6)*('CONTROL MASTER'!$AA$2:$AA$495&lt;=3)*('CONTROL MASTER'!$AC$2:$AC$495&gt;=3))*ROW('CONTROL MASTER'!$S$2:$S$495))-(ROW('CONTROL MASTER'!#REF!)-1))))+1)))-1)*50+1,50))&amp;"_"&amp;INDEX('CONTROL MASTER'!$P$2:$P$495,(SUMPRODUCT((('CONTROL MASTER'!$S$2:$S$495=15)*('CONTROL MASTER'!$Z$2:$Z$495&lt;=6)*('CONTROL MASTER'!$AB$2:$AB$495&gt;=6)*('CONTROL MASTER'!$AA$2:$AA$495&lt;=3)*('CONTROL MASTER'!$AC$2:$AC$495&gt;=3))*ROW('CONTROL MASTER'!$S$2:$S$495))-(ROW('CONTROL MASTER'!#REF!)-1))),"")),"")</f>
        <v/>
      </c>
      <c r="E204" s="10" t="str">
        <f>IFERROR(IF(SUMPRODUCT((('CONTROL MASTER'!$S$2:$S$495=15)*('CONTROL MASTER'!$T$2:$T$495&lt;=6)*('CONTROL MASTER'!$V$2:$V$495&gt;=6)*('CONTROL MASTER'!$U$2:$U$495&lt;=4)*('CONTROL MASTER'!$W$2:$W$495&gt;=4))*ROW('CONTROL MASTER'!$S$2:$S$495))&gt;0,INDEX('CONTROL MASTER'!$X$2:$X$495,(SUMPRODUCT((('CONTROL MASTER'!$S$2:$S$495=15)*('CONTROL MASTER'!$T$2:$T$495&lt;=6)*('CONTROL MASTER'!$V$2:$V$495&gt;=6)*('CONTROL MASTER'!$U$2:$U$495&lt;=4)*('CONTROL MASTER'!$W$2:$W$495&gt;=4))*ROW('CONTROL MASTER'!$S$2:$S$495))-(ROW('CONTROL MASTER'!#REF!)-1)))&amp;TRIM(MID(SUBSTITUTE(SUBSTITUTE(INDEX('CONTROL MASTER'!$N$2:$N$495,(SUMPRODUCT((('CONTROL MASTER'!$S$2:$S$495=15)*('CONTROL MASTER'!$T$2:$T$495&lt;=6)*('CONTROL MASTER'!$V$2:$V$495&gt;=6)*('CONTROL MASTER'!$U$2:$U$495&lt;=4)*('CONTROL MASTER'!$W$2:$W$495&gt;=4))*ROW('CONTROL MASTER'!$S$2:$S$495))-(ROW('CONTROL MASTER'!#REF!)-1))),":",","),",",REPT(" ",50)),((((6-INDEX('CONTROL MASTER'!$T$2:$T$495,(SUMPRODUCT((('CONTROL MASTER'!$S$2:$S$495=15)*('CONTROL MASTER'!$T$2:$T$495&lt;=6)*('CONTROL MASTER'!$V$2:$V$495&gt;=6)*('CONTROL MASTER'!$U$2:$U$495&lt;=4)*('CONTROL MASTER'!$W$2:$W$495&gt;=4))*ROW('CONTROL MASTER'!$S$2:$S$495))-(ROW('CONTROL MASTER'!#REF!)-1))))*(INDEX('CONTROL MASTER'!$W$2:$W$495,(SUMPRODUCT((('CONTROL MASTER'!$S$2:$S$495=15)*('CONTROL MASTER'!$T$2:$T$495&lt;=6)*('CONTROL MASTER'!$V$2:$V$495&gt;=6)*('CONTROL MASTER'!$U$2:$U$495&lt;=4)*('CONTROL MASTER'!$W$2:$W$495&gt;=4))*ROW('CONTROL MASTER'!$S$2:$S$495))-(ROW('CONTROL MASTER'!#REF!)-1)))-INDEX('CONTROL MASTER'!$U$2:$U$495,(SUMPRODUCT((('CONTROL MASTER'!$S$2:$S$495=15)*('CONTROL MASTER'!$T$2:$T$495&lt;=6)*('CONTROL MASTER'!$V$2:$V$495&gt;=6)*('CONTROL MASTER'!$U$2:$U$495&lt;=4)*('CONTROL MASTER'!$W$2:$W$495&gt;=4))*ROW('CONTROL MASTER'!$S$2:$S$495))-(ROW('CONTROL MASTER'!#REF!)-1)))+1)+(4-INDEX('CONTROL MASTER'!$U$2:$U$495,(SUMPRODUCT((('CONTROL MASTER'!$S$2:$S$495=15)*('CONTROL MASTER'!$T$2:$T$495&lt;=6)*('CONTROL MASTER'!$V$2:$V$495&gt;=6)*('CONTROL MASTER'!$U$2:$U$495&lt;=4)*('CONTROL MASTER'!$W$2:$W$495&gt;=4))*ROW('CONTROL MASTER'!$S$2:$S$495))-(ROW('CONTROL MASTER'!#REF!)-1))))+1))-1)*50+1,50))&amp;"_"&amp;INDEX('CONTROL MASTER'!$P$2:$P$495,(SUMPRODUCT((('CONTROL MASTER'!$S$2:$S$495=15)*('CONTROL MASTER'!$T$2:$T$495&lt;=6)*('CONTROL MASTER'!$V$2:$V$495&gt;=6)*('CONTROL MASTER'!$U$2:$U$495&lt;=4)*('CONTROL MASTER'!$W$2:$W$495&gt;=4))*ROW('CONTROL MASTER'!$S$2:$S$495))-(ROW('CONTROL MASTER'!#REF!)-1))),IF(SUMPRODUCT((('CONTROL MASTER'!$S$2:$S$495=15)*('CONTROL MASTER'!$Z$2:$Z$495&lt;=6)*('CONTROL MASTER'!$AB$2:$AB$495&gt;=6)*('CONTROL MASTER'!$AA$2:$AA$495&lt;=4)*('CONTROL MASTER'!$AC$2:$AC$495&gt;=4))*ROW('CONTROL MASTER'!$S$2:$S$495))&gt;0,INDEX('CONTROL MASTER'!$X$2:$X$495,(SUMPRODUCT((('CONTROL MASTER'!$S$2:$S$495=15)*('CONTROL MASTER'!$Z$2:$Z$495&lt;=6)*('CONTROL MASTER'!$AB$2:$AB$495&gt;=6)*('CONTROL MASTER'!$AA$2:$AA$495&lt;=4)*('CONTROL MASTER'!$AC$2:$AC$495&gt;=4))*ROW('CONTROL MASTER'!$S$2:$S$495))-(ROW('CONTROL MASTER'!#REF!)-1)))&amp;TRIM(MID(SUBSTITUTE(SUBSTITUTE(INDEX('CONTROL MASTER'!$N$2:$N$495,(SUMPRODUCT((('CONTROL MASTER'!$S$2:$S$495=15)*('CONTROL MASTER'!$Z$2:$Z$495&lt;=6)*('CONTROL MASTER'!$AB$2:$AB$495&gt;=6)*('CONTROL MASTER'!$AA$2:$AA$495&lt;=4)*('CONTROL MASTER'!$AC$2:$AC$495&gt;=4))*ROW('CONTROL MASTER'!$S$2:$S$495))-(ROW('CONTROL MASTER'!#REF!)-1))),":",","),",",REPT(" ",50)),(((INDEX('CONTROL MASTER'!$Y$2:$Y$495,(SUMPRODUCT((('CONTROL MASTER'!$S$2:$S$495=15)*('CONTROL MASTER'!$Z$2:$Z$495&lt;=6)*('CONTROL MASTER'!$AB$2:$AB$495&gt;=6)*('CONTROL MASTER'!$AA$2:$AA$495&lt;=4)*('CONTROL MASTER'!$AC$2:$AC$495&gt;=4))*ROW('CONTROL MASTER'!$S$2:$S$495))-(ROW('CONTROL MASTER'!#REF!)-1)))+((6-INDEX('CONTROL MASTER'!$Z$2:$Z$495,(SUMPRODUCT((('CONTROL MASTER'!$S$2:$S$495=15)*('CONTROL MASTER'!$Z$2:$Z$495&lt;=6)*('CONTROL MASTER'!$AB$2:$AB$495&gt;=6)*('CONTROL MASTER'!$AA$2:$AA$495&lt;=4)*('CONTROL MASTER'!$AC$2:$AC$495&gt;=4))*ROW('CONTROL MASTER'!$S$2:$S$495))-(ROW('CONTROL MASTER'!#REF!)-1))))*(INDEX('CONTROL MASTER'!$AC$2:$AC$495,(SUMPRODUCT((('CONTROL MASTER'!$S$2:$S$495=15)*('CONTROL MASTER'!$Z$2:$Z$495&lt;=6)*('CONTROL MASTER'!$AB$2:$AB$495&gt;=6)*('CONTROL MASTER'!$AA$2:$AA$495&lt;=4)*('CONTROL MASTER'!$AC$2:$AC$495&gt;=4))*ROW('CONTROL MASTER'!$S$2:$S$495))-(ROW('CONTROL MASTER'!#REF!)-1)))-INDEX('CONTROL MASTER'!$AA$2:$AA$495,(SUMPRODUCT((('CONTROL MASTER'!$S$2:$S$495=15)*('CONTROL MASTER'!$Z$2:$Z$495&lt;=6)*('CONTROL MASTER'!$AB$2:$AB$495&gt;=6)*('CONTROL MASTER'!$AA$2:$AA$495&lt;=4)*('CONTROL MASTER'!$AC$2:$AC$495&gt;=4))*ROW('CONTROL MASTER'!$S$2:$S$495))-(ROW('CONTROL MASTER'!#REF!)-1)))+1)+(4-INDEX('CONTROL MASTER'!$AA$2:$AA$495,(SUMPRODUCT((('CONTROL MASTER'!$S$2:$S$495=15)*('CONTROL MASTER'!$Z$2:$Z$495&lt;=6)*('CONTROL MASTER'!$AB$2:$AB$495&gt;=6)*('CONTROL MASTER'!$AA$2:$AA$495&lt;=4)*('CONTROL MASTER'!$AC$2:$AC$495&gt;=4))*ROW('CONTROL MASTER'!$S$2:$S$495))-(ROW('CONTROL MASTER'!#REF!)-1))))+1)))-1)*50+1,50))&amp;"_"&amp;INDEX('CONTROL MASTER'!$P$2:$P$495,(SUMPRODUCT((('CONTROL MASTER'!$S$2:$S$495=15)*('CONTROL MASTER'!$Z$2:$Z$495&lt;=6)*('CONTROL MASTER'!$AB$2:$AB$495&gt;=6)*('CONTROL MASTER'!$AA$2:$AA$495&lt;=4)*('CONTROL MASTER'!$AC$2:$AC$495&gt;=4))*ROW('CONTROL MASTER'!$S$2:$S$495))-(ROW('CONTROL MASTER'!#REF!)-1))),"")),"")</f>
        <v/>
      </c>
      <c r="F204" s="10" t="str">
        <f>IFERROR(IF(SUMPRODUCT((('CONTROL MASTER'!$S$2:$S$495=15)*('CONTROL MASTER'!$T$2:$T$495&lt;=6)*('CONTROL MASTER'!$V$2:$V$495&gt;=6)*('CONTROL MASTER'!$U$2:$U$495&lt;=5)*('CONTROL MASTER'!$W$2:$W$495&gt;=5))*ROW('CONTROL MASTER'!$S$2:$S$495))&gt;0,INDEX('CONTROL MASTER'!$X$2:$X$495,(SUMPRODUCT((('CONTROL MASTER'!$S$2:$S$495=15)*('CONTROL MASTER'!$T$2:$T$495&lt;=6)*('CONTROL MASTER'!$V$2:$V$495&gt;=6)*('CONTROL MASTER'!$U$2:$U$495&lt;=5)*('CONTROL MASTER'!$W$2:$W$495&gt;=5))*ROW('CONTROL MASTER'!$S$2:$S$495))-(ROW('CONTROL MASTER'!#REF!)-1)))&amp;TRIM(MID(SUBSTITUTE(SUBSTITUTE(INDEX('CONTROL MASTER'!$N$2:$N$495,(SUMPRODUCT((('CONTROL MASTER'!$S$2:$S$495=15)*('CONTROL MASTER'!$T$2:$T$495&lt;=6)*('CONTROL MASTER'!$V$2:$V$495&gt;=6)*('CONTROL MASTER'!$U$2:$U$495&lt;=5)*('CONTROL MASTER'!$W$2:$W$495&gt;=5))*ROW('CONTROL MASTER'!$S$2:$S$495))-(ROW('CONTROL MASTER'!#REF!)-1))),":",","),",",REPT(" ",50)),((((6-INDEX('CONTROL MASTER'!$T$2:$T$495,(SUMPRODUCT((('CONTROL MASTER'!$S$2:$S$495=15)*('CONTROL MASTER'!$T$2:$T$495&lt;=6)*('CONTROL MASTER'!$V$2:$V$495&gt;=6)*('CONTROL MASTER'!$U$2:$U$495&lt;=5)*('CONTROL MASTER'!$W$2:$W$495&gt;=5))*ROW('CONTROL MASTER'!$S$2:$S$495))-(ROW('CONTROL MASTER'!#REF!)-1))))*(INDEX('CONTROL MASTER'!$W$2:$W$495,(SUMPRODUCT((('CONTROL MASTER'!$S$2:$S$495=15)*('CONTROL MASTER'!$T$2:$T$495&lt;=6)*('CONTROL MASTER'!$V$2:$V$495&gt;=6)*('CONTROL MASTER'!$U$2:$U$495&lt;=5)*('CONTROL MASTER'!$W$2:$W$495&gt;=5))*ROW('CONTROL MASTER'!$S$2:$S$495))-(ROW('CONTROL MASTER'!#REF!)-1)))-INDEX('CONTROL MASTER'!$U$2:$U$495,(SUMPRODUCT((('CONTROL MASTER'!$S$2:$S$495=15)*('CONTROL MASTER'!$T$2:$T$495&lt;=6)*('CONTROL MASTER'!$V$2:$V$495&gt;=6)*('CONTROL MASTER'!$U$2:$U$495&lt;=5)*('CONTROL MASTER'!$W$2:$W$495&gt;=5))*ROW('CONTROL MASTER'!$S$2:$S$495))-(ROW('CONTROL MASTER'!#REF!)-1)))+1)+(5-INDEX('CONTROL MASTER'!$U$2:$U$495,(SUMPRODUCT((('CONTROL MASTER'!$S$2:$S$495=15)*('CONTROL MASTER'!$T$2:$T$495&lt;=6)*('CONTROL MASTER'!$V$2:$V$495&gt;=6)*('CONTROL MASTER'!$U$2:$U$495&lt;=5)*('CONTROL MASTER'!$W$2:$W$495&gt;=5))*ROW('CONTROL MASTER'!$S$2:$S$495))-(ROW('CONTROL MASTER'!#REF!)-1))))+1))-1)*50+1,50))&amp;"_"&amp;INDEX('CONTROL MASTER'!$P$2:$P$495,(SUMPRODUCT((('CONTROL MASTER'!$S$2:$S$495=15)*('CONTROL MASTER'!$T$2:$T$495&lt;=6)*('CONTROL MASTER'!$V$2:$V$495&gt;=6)*('CONTROL MASTER'!$U$2:$U$495&lt;=5)*('CONTROL MASTER'!$W$2:$W$495&gt;=5))*ROW('CONTROL MASTER'!$S$2:$S$495))-(ROW('CONTROL MASTER'!#REF!)-1))),IF(SUMPRODUCT((('CONTROL MASTER'!$S$2:$S$495=15)*('CONTROL MASTER'!$Z$2:$Z$495&lt;=6)*('CONTROL MASTER'!$AB$2:$AB$495&gt;=6)*('CONTROL MASTER'!$AA$2:$AA$495&lt;=5)*('CONTROL MASTER'!$AC$2:$AC$495&gt;=5))*ROW('CONTROL MASTER'!$S$2:$S$495))&gt;0,INDEX('CONTROL MASTER'!$X$2:$X$495,(SUMPRODUCT((('CONTROL MASTER'!$S$2:$S$495=15)*('CONTROL MASTER'!$Z$2:$Z$495&lt;=6)*('CONTROL MASTER'!$AB$2:$AB$495&gt;=6)*('CONTROL MASTER'!$AA$2:$AA$495&lt;=5)*('CONTROL MASTER'!$AC$2:$AC$495&gt;=5))*ROW('CONTROL MASTER'!$S$2:$S$495))-(ROW('CONTROL MASTER'!#REF!)-1)))&amp;TRIM(MID(SUBSTITUTE(SUBSTITUTE(INDEX('CONTROL MASTER'!$N$2:$N$495,(SUMPRODUCT((('CONTROL MASTER'!$S$2:$S$495=15)*('CONTROL MASTER'!$Z$2:$Z$495&lt;=6)*('CONTROL MASTER'!$AB$2:$AB$495&gt;=6)*('CONTROL MASTER'!$AA$2:$AA$495&lt;=5)*('CONTROL MASTER'!$AC$2:$AC$495&gt;=5))*ROW('CONTROL MASTER'!$S$2:$S$495))-(ROW('CONTROL MASTER'!#REF!)-1))),":",","),",",REPT(" ",50)),(((INDEX('CONTROL MASTER'!$Y$2:$Y$495,(SUMPRODUCT((('CONTROL MASTER'!$S$2:$S$495=15)*('CONTROL MASTER'!$Z$2:$Z$495&lt;=6)*('CONTROL MASTER'!$AB$2:$AB$495&gt;=6)*('CONTROL MASTER'!$AA$2:$AA$495&lt;=5)*('CONTROL MASTER'!$AC$2:$AC$495&gt;=5))*ROW('CONTROL MASTER'!$S$2:$S$495))-(ROW('CONTROL MASTER'!#REF!)-1)))+((6-INDEX('CONTROL MASTER'!$Z$2:$Z$495,(SUMPRODUCT((('CONTROL MASTER'!$S$2:$S$495=15)*('CONTROL MASTER'!$Z$2:$Z$495&lt;=6)*('CONTROL MASTER'!$AB$2:$AB$495&gt;=6)*('CONTROL MASTER'!$AA$2:$AA$495&lt;=5)*('CONTROL MASTER'!$AC$2:$AC$495&gt;=5))*ROW('CONTROL MASTER'!$S$2:$S$495))-(ROW('CONTROL MASTER'!#REF!)-1))))*(INDEX('CONTROL MASTER'!$AC$2:$AC$495,(SUMPRODUCT((('CONTROL MASTER'!$S$2:$S$495=15)*('CONTROL MASTER'!$Z$2:$Z$495&lt;=6)*('CONTROL MASTER'!$AB$2:$AB$495&gt;=6)*('CONTROL MASTER'!$AA$2:$AA$495&lt;=5)*('CONTROL MASTER'!$AC$2:$AC$495&gt;=5))*ROW('CONTROL MASTER'!$S$2:$S$495))-(ROW('CONTROL MASTER'!#REF!)-1)))-INDEX('CONTROL MASTER'!$AA$2:$AA$495,(SUMPRODUCT((('CONTROL MASTER'!$S$2:$S$495=15)*('CONTROL MASTER'!$Z$2:$Z$495&lt;=6)*('CONTROL MASTER'!$AB$2:$AB$495&gt;=6)*('CONTROL MASTER'!$AA$2:$AA$495&lt;=5)*('CONTROL MASTER'!$AC$2:$AC$495&gt;=5))*ROW('CONTROL MASTER'!$S$2:$S$495))-(ROW('CONTROL MASTER'!#REF!)-1)))+1)+(5-INDEX('CONTROL MASTER'!$AA$2:$AA$495,(SUMPRODUCT((('CONTROL MASTER'!$S$2:$S$495=15)*('CONTROL MASTER'!$Z$2:$Z$495&lt;=6)*('CONTROL MASTER'!$AB$2:$AB$495&gt;=6)*('CONTROL MASTER'!$AA$2:$AA$495&lt;=5)*('CONTROL MASTER'!$AC$2:$AC$495&gt;=5))*ROW('CONTROL MASTER'!$S$2:$S$495))-(ROW('CONTROL MASTER'!#REF!)-1))))+1)))-1)*50+1,50))&amp;"_"&amp;INDEX('CONTROL MASTER'!$P$2:$P$495,(SUMPRODUCT((('CONTROL MASTER'!$S$2:$S$495=15)*('CONTROL MASTER'!$Z$2:$Z$495&lt;=6)*('CONTROL MASTER'!$AB$2:$AB$495&gt;=6)*('CONTROL MASTER'!$AA$2:$AA$495&lt;=5)*('CONTROL MASTER'!$AC$2:$AC$495&gt;=5))*ROW('CONTROL MASTER'!$S$2:$S$495))-(ROW('CONTROL MASTER'!#REF!)-1))),"")),"")</f>
        <v/>
      </c>
      <c r="G204" s="10" t="str">
        <f>IFERROR(IF(SUMPRODUCT((('CONTROL MASTER'!$S$2:$S$495=15)*('CONTROL MASTER'!$T$2:$T$495&lt;=6)*('CONTROL MASTER'!$V$2:$V$495&gt;=6)*('CONTROL MASTER'!$U$2:$U$495&lt;=6)*('CONTROL MASTER'!$W$2:$W$495&gt;=6))*ROW('CONTROL MASTER'!$S$2:$S$495))&gt;0,INDEX('CONTROL MASTER'!$X$2:$X$495,(SUMPRODUCT((('CONTROL MASTER'!$S$2:$S$495=15)*('CONTROL MASTER'!$T$2:$T$495&lt;=6)*('CONTROL MASTER'!$V$2:$V$495&gt;=6)*('CONTROL MASTER'!$U$2:$U$495&lt;=6)*('CONTROL MASTER'!$W$2:$W$495&gt;=6))*ROW('CONTROL MASTER'!$S$2:$S$495))-(ROW('CONTROL MASTER'!#REF!)-1)))&amp;TRIM(MID(SUBSTITUTE(SUBSTITUTE(INDEX('CONTROL MASTER'!$N$2:$N$495,(SUMPRODUCT((('CONTROL MASTER'!$S$2:$S$495=15)*('CONTROL MASTER'!$T$2:$T$495&lt;=6)*('CONTROL MASTER'!$V$2:$V$495&gt;=6)*('CONTROL MASTER'!$U$2:$U$495&lt;=6)*('CONTROL MASTER'!$W$2:$W$495&gt;=6))*ROW('CONTROL MASTER'!$S$2:$S$495))-(ROW('CONTROL MASTER'!#REF!)-1))),":",","),",",REPT(" ",50)),((((6-INDEX('CONTROL MASTER'!$T$2:$T$495,(SUMPRODUCT((('CONTROL MASTER'!$S$2:$S$495=15)*('CONTROL MASTER'!$T$2:$T$495&lt;=6)*('CONTROL MASTER'!$V$2:$V$495&gt;=6)*('CONTROL MASTER'!$U$2:$U$495&lt;=6)*('CONTROL MASTER'!$W$2:$W$495&gt;=6))*ROW('CONTROL MASTER'!$S$2:$S$495))-(ROW('CONTROL MASTER'!#REF!)-1))))*(INDEX('CONTROL MASTER'!$W$2:$W$495,(SUMPRODUCT((('CONTROL MASTER'!$S$2:$S$495=15)*('CONTROL MASTER'!$T$2:$T$495&lt;=6)*('CONTROL MASTER'!$V$2:$V$495&gt;=6)*('CONTROL MASTER'!$U$2:$U$495&lt;=6)*('CONTROL MASTER'!$W$2:$W$495&gt;=6))*ROW('CONTROL MASTER'!$S$2:$S$495))-(ROW('CONTROL MASTER'!#REF!)-1)))-INDEX('CONTROL MASTER'!$U$2:$U$495,(SUMPRODUCT((('CONTROL MASTER'!$S$2:$S$495=15)*('CONTROL MASTER'!$T$2:$T$495&lt;=6)*('CONTROL MASTER'!$V$2:$V$495&gt;=6)*('CONTROL MASTER'!$U$2:$U$495&lt;=6)*('CONTROL MASTER'!$W$2:$W$495&gt;=6))*ROW('CONTROL MASTER'!$S$2:$S$495))-(ROW('CONTROL MASTER'!#REF!)-1)))+1)+(6-INDEX('CONTROL MASTER'!$U$2:$U$495,(SUMPRODUCT((('CONTROL MASTER'!$S$2:$S$495=15)*('CONTROL MASTER'!$T$2:$T$495&lt;=6)*('CONTROL MASTER'!$V$2:$V$495&gt;=6)*('CONTROL MASTER'!$U$2:$U$495&lt;=6)*('CONTROL MASTER'!$W$2:$W$495&gt;=6))*ROW('CONTROL MASTER'!$S$2:$S$495))-(ROW('CONTROL MASTER'!#REF!)-1))))+1))-1)*50+1,50))&amp;"_"&amp;INDEX('CONTROL MASTER'!$P$2:$P$495,(SUMPRODUCT((('CONTROL MASTER'!$S$2:$S$495=15)*('CONTROL MASTER'!$T$2:$T$495&lt;=6)*('CONTROL MASTER'!$V$2:$V$495&gt;=6)*('CONTROL MASTER'!$U$2:$U$495&lt;=6)*('CONTROL MASTER'!$W$2:$W$495&gt;=6))*ROW('CONTROL MASTER'!$S$2:$S$495))-(ROW('CONTROL MASTER'!#REF!)-1))),IF(SUMPRODUCT((('CONTROL MASTER'!$S$2:$S$495=15)*('CONTROL MASTER'!$Z$2:$Z$495&lt;=6)*('CONTROL MASTER'!$AB$2:$AB$495&gt;=6)*('CONTROL MASTER'!$AA$2:$AA$495&lt;=6)*('CONTROL MASTER'!$AC$2:$AC$495&gt;=6))*ROW('CONTROL MASTER'!$S$2:$S$495))&gt;0,INDEX('CONTROL MASTER'!$X$2:$X$495,(SUMPRODUCT((('CONTROL MASTER'!$S$2:$S$495=15)*('CONTROL MASTER'!$Z$2:$Z$495&lt;=6)*('CONTROL MASTER'!$AB$2:$AB$495&gt;=6)*('CONTROL MASTER'!$AA$2:$AA$495&lt;=6)*('CONTROL MASTER'!$AC$2:$AC$495&gt;=6))*ROW('CONTROL MASTER'!$S$2:$S$495))-(ROW('CONTROL MASTER'!#REF!)-1)))&amp;TRIM(MID(SUBSTITUTE(SUBSTITUTE(INDEX('CONTROL MASTER'!$N$2:$N$495,(SUMPRODUCT((('CONTROL MASTER'!$S$2:$S$495=15)*('CONTROL MASTER'!$Z$2:$Z$495&lt;=6)*('CONTROL MASTER'!$AB$2:$AB$495&gt;=6)*('CONTROL MASTER'!$AA$2:$AA$495&lt;=6)*('CONTROL MASTER'!$AC$2:$AC$495&gt;=6))*ROW('CONTROL MASTER'!$S$2:$S$495))-(ROW('CONTROL MASTER'!#REF!)-1))),":",","),",",REPT(" ",50)),(((INDEX('CONTROL MASTER'!$Y$2:$Y$495,(SUMPRODUCT((('CONTROL MASTER'!$S$2:$S$495=15)*('CONTROL MASTER'!$Z$2:$Z$495&lt;=6)*('CONTROL MASTER'!$AB$2:$AB$495&gt;=6)*('CONTROL MASTER'!$AA$2:$AA$495&lt;=6)*('CONTROL MASTER'!$AC$2:$AC$495&gt;=6))*ROW('CONTROL MASTER'!$S$2:$S$495))-(ROW('CONTROL MASTER'!#REF!)-1)))+((6-INDEX('CONTROL MASTER'!$Z$2:$Z$495,(SUMPRODUCT((('CONTROL MASTER'!$S$2:$S$495=15)*('CONTROL MASTER'!$Z$2:$Z$495&lt;=6)*('CONTROL MASTER'!$AB$2:$AB$495&gt;=6)*('CONTROL MASTER'!$AA$2:$AA$495&lt;=6)*('CONTROL MASTER'!$AC$2:$AC$495&gt;=6))*ROW('CONTROL MASTER'!$S$2:$S$495))-(ROW('CONTROL MASTER'!#REF!)-1))))*(INDEX('CONTROL MASTER'!$AC$2:$AC$495,(SUMPRODUCT((('CONTROL MASTER'!$S$2:$S$495=15)*('CONTROL MASTER'!$Z$2:$Z$495&lt;=6)*('CONTROL MASTER'!$AB$2:$AB$495&gt;=6)*('CONTROL MASTER'!$AA$2:$AA$495&lt;=6)*('CONTROL MASTER'!$AC$2:$AC$495&gt;=6))*ROW('CONTROL MASTER'!$S$2:$S$495))-(ROW('CONTROL MASTER'!#REF!)-1)))-INDEX('CONTROL MASTER'!$AA$2:$AA$495,(SUMPRODUCT((('CONTROL MASTER'!$S$2:$S$495=15)*('CONTROL MASTER'!$Z$2:$Z$495&lt;=6)*('CONTROL MASTER'!$AB$2:$AB$495&gt;=6)*('CONTROL MASTER'!$AA$2:$AA$495&lt;=6)*('CONTROL MASTER'!$AC$2:$AC$495&gt;=6))*ROW('CONTROL MASTER'!$S$2:$S$495))-(ROW('CONTROL MASTER'!#REF!)-1)))+1)+(6-INDEX('CONTROL MASTER'!$AA$2:$AA$495,(SUMPRODUCT((('CONTROL MASTER'!$S$2:$S$495=15)*('CONTROL MASTER'!$Z$2:$Z$495&lt;=6)*('CONTROL MASTER'!$AB$2:$AB$495&gt;=6)*('CONTROL MASTER'!$AA$2:$AA$495&lt;=6)*('CONTROL MASTER'!$AC$2:$AC$495&gt;=6))*ROW('CONTROL MASTER'!$S$2:$S$495))-(ROW('CONTROL MASTER'!#REF!)-1))))+1)))-1)*50+1,50))&amp;"_"&amp;INDEX('CONTROL MASTER'!$P$2:$P$495,(SUMPRODUCT((('CONTROL MASTER'!$S$2:$S$495=15)*('CONTROL MASTER'!$Z$2:$Z$495&lt;=6)*('CONTROL MASTER'!$AB$2:$AB$495&gt;=6)*('CONTROL MASTER'!$AA$2:$AA$495&lt;=6)*('CONTROL MASTER'!$AC$2:$AC$495&gt;=6))*ROW('CONTROL MASTER'!$S$2:$S$495))-(ROW('CONTROL MASTER'!#REF!)-1))),"")),"")</f>
        <v/>
      </c>
      <c r="H204" s="10" t="str">
        <f>IFERROR(IF(SUMPRODUCT((('CONTROL MASTER'!$S$2:$S$495=15)*('CONTROL MASTER'!$T$2:$T$495&lt;=6)*('CONTROL MASTER'!$V$2:$V$495&gt;=6)*('CONTROL MASTER'!$U$2:$U$495&lt;=7)*('CONTROL MASTER'!$W$2:$W$495&gt;=7))*ROW('CONTROL MASTER'!$S$2:$S$495))&gt;0,INDEX('CONTROL MASTER'!$X$2:$X$495,(SUMPRODUCT((('CONTROL MASTER'!$S$2:$S$495=15)*('CONTROL MASTER'!$T$2:$T$495&lt;=6)*('CONTROL MASTER'!$V$2:$V$495&gt;=6)*('CONTROL MASTER'!$U$2:$U$495&lt;=7)*('CONTROL MASTER'!$W$2:$W$495&gt;=7))*ROW('CONTROL MASTER'!$S$2:$S$495))-(ROW('CONTROL MASTER'!#REF!)-1)))&amp;TRIM(MID(SUBSTITUTE(SUBSTITUTE(INDEX('CONTROL MASTER'!$N$2:$N$495,(SUMPRODUCT((('CONTROL MASTER'!$S$2:$S$495=15)*('CONTROL MASTER'!$T$2:$T$495&lt;=6)*('CONTROL MASTER'!$V$2:$V$495&gt;=6)*('CONTROL MASTER'!$U$2:$U$495&lt;=7)*('CONTROL MASTER'!$W$2:$W$495&gt;=7))*ROW('CONTROL MASTER'!$S$2:$S$495))-(ROW('CONTROL MASTER'!#REF!)-1))),":",","),",",REPT(" ",50)),((((6-INDEX('CONTROL MASTER'!$T$2:$T$495,(SUMPRODUCT((('CONTROL MASTER'!$S$2:$S$495=15)*('CONTROL MASTER'!$T$2:$T$495&lt;=6)*('CONTROL MASTER'!$V$2:$V$495&gt;=6)*('CONTROL MASTER'!$U$2:$U$495&lt;=7)*('CONTROL MASTER'!$W$2:$W$495&gt;=7))*ROW('CONTROL MASTER'!$S$2:$S$495))-(ROW('CONTROL MASTER'!#REF!)-1))))*(INDEX('CONTROL MASTER'!$W$2:$W$495,(SUMPRODUCT((('CONTROL MASTER'!$S$2:$S$495=15)*('CONTROL MASTER'!$T$2:$T$495&lt;=6)*('CONTROL MASTER'!$V$2:$V$495&gt;=6)*('CONTROL MASTER'!$U$2:$U$495&lt;=7)*('CONTROL MASTER'!$W$2:$W$495&gt;=7))*ROW('CONTROL MASTER'!$S$2:$S$495))-(ROW('CONTROL MASTER'!#REF!)-1)))-INDEX('CONTROL MASTER'!$U$2:$U$495,(SUMPRODUCT((('CONTROL MASTER'!$S$2:$S$495=15)*('CONTROL MASTER'!$T$2:$T$495&lt;=6)*('CONTROL MASTER'!$V$2:$V$495&gt;=6)*('CONTROL MASTER'!$U$2:$U$495&lt;=7)*('CONTROL MASTER'!$W$2:$W$495&gt;=7))*ROW('CONTROL MASTER'!$S$2:$S$495))-(ROW('CONTROL MASTER'!#REF!)-1)))+1)+(7-INDEX('CONTROL MASTER'!$U$2:$U$495,(SUMPRODUCT((('CONTROL MASTER'!$S$2:$S$495=15)*('CONTROL MASTER'!$T$2:$T$495&lt;=6)*('CONTROL MASTER'!$V$2:$V$495&gt;=6)*('CONTROL MASTER'!$U$2:$U$495&lt;=7)*('CONTROL MASTER'!$W$2:$W$495&gt;=7))*ROW('CONTROL MASTER'!$S$2:$S$495))-(ROW('CONTROL MASTER'!#REF!)-1))))+1))-1)*50+1,50))&amp;"_"&amp;INDEX('CONTROL MASTER'!$P$2:$P$495,(SUMPRODUCT((('CONTROL MASTER'!$S$2:$S$495=15)*('CONTROL MASTER'!$T$2:$T$495&lt;=6)*('CONTROL MASTER'!$V$2:$V$495&gt;=6)*('CONTROL MASTER'!$U$2:$U$495&lt;=7)*('CONTROL MASTER'!$W$2:$W$495&gt;=7))*ROW('CONTROL MASTER'!$S$2:$S$495))-(ROW('CONTROL MASTER'!#REF!)-1))),IF(SUMPRODUCT((('CONTROL MASTER'!$S$2:$S$495=15)*('CONTROL MASTER'!$Z$2:$Z$495&lt;=6)*('CONTROL MASTER'!$AB$2:$AB$495&gt;=6)*('CONTROL MASTER'!$AA$2:$AA$495&lt;=7)*('CONTROL MASTER'!$AC$2:$AC$495&gt;=7))*ROW('CONTROL MASTER'!$S$2:$S$495))&gt;0,INDEX('CONTROL MASTER'!$X$2:$X$495,(SUMPRODUCT((('CONTROL MASTER'!$S$2:$S$495=15)*('CONTROL MASTER'!$Z$2:$Z$495&lt;=6)*('CONTROL MASTER'!$AB$2:$AB$495&gt;=6)*('CONTROL MASTER'!$AA$2:$AA$495&lt;=7)*('CONTROL MASTER'!$AC$2:$AC$495&gt;=7))*ROW('CONTROL MASTER'!$S$2:$S$495))-(ROW('CONTROL MASTER'!#REF!)-1)))&amp;TRIM(MID(SUBSTITUTE(SUBSTITUTE(INDEX('CONTROL MASTER'!$N$2:$N$495,(SUMPRODUCT((('CONTROL MASTER'!$S$2:$S$495=15)*('CONTROL MASTER'!$Z$2:$Z$495&lt;=6)*('CONTROL MASTER'!$AB$2:$AB$495&gt;=6)*('CONTROL MASTER'!$AA$2:$AA$495&lt;=7)*('CONTROL MASTER'!$AC$2:$AC$495&gt;=7))*ROW('CONTROL MASTER'!$S$2:$S$495))-(ROW('CONTROL MASTER'!#REF!)-1))),":",","),",",REPT(" ",50)),(((INDEX('CONTROL MASTER'!$Y$2:$Y$495,(SUMPRODUCT((('CONTROL MASTER'!$S$2:$S$495=15)*('CONTROL MASTER'!$Z$2:$Z$495&lt;=6)*('CONTROL MASTER'!$AB$2:$AB$495&gt;=6)*('CONTROL MASTER'!$AA$2:$AA$495&lt;=7)*('CONTROL MASTER'!$AC$2:$AC$495&gt;=7))*ROW('CONTROL MASTER'!$S$2:$S$495))-(ROW('CONTROL MASTER'!#REF!)-1)))+((6-INDEX('CONTROL MASTER'!$Z$2:$Z$495,(SUMPRODUCT((('CONTROL MASTER'!$S$2:$S$495=15)*('CONTROL MASTER'!$Z$2:$Z$495&lt;=6)*('CONTROL MASTER'!$AB$2:$AB$495&gt;=6)*('CONTROL MASTER'!$AA$2:$AA$495&lt;=7)*('CONTROL MASTER'!$AC$2:$AC$495&gt;=7))*ROW('CONTROL MASTER'!$S$2:$S$495))-(ROW('CONTROL MASTER'!#REF!)-1))))*(INDEX('CONTROL MASTER'!$AC$2:$AC$495,(SUMPRODUCT((('CONTROL MASTER'!$S$2:$S$495=15)*('CONTROL MASTER'!$Z$2:$Z$495&lt;=6)*('CONTROL MASTER'!$AB$2:$AB$495&gt;=6)*('CONTROL MASTER'!$AA$2:$AA$495&lt;=7)*('CONTROL MASTER'!$AC$2:$AC$495&gt;=7))*ROW('CONTROL MASTER'!$S$2:$S$495))-(ROW('CONTROL MASTER'!#REF!)-1)))-INDEX('CONTROL MASTER'!$AA$2:$AA$495,(SUMPRODUCT((('CONTROL MASTER'!$S$2:$S$495=15)*('CONTROL MASTER'!$Z$2:$Z$495&lt;=6)*('CONTROL MASTER'!$AB$2:$AB$495&gt;=6)*('CONTROL MASTER'!$AA$2:$AA$495&lt;=7)*('CONTROL MASTER'!$AC$2:$AC$495&gt;=7))*ROW('CONTROL MASTER'!$S$2:$S$495))-(ROW('CONTROL MASTER'!#REF!)-1)))+1)+(7-INDEX('CONTROL MASTER'!$AA$2:$AA$495,(SUMPRODUCT((('CONTROL MASTER'!$S$2:$S$495=15)*('CONTROL MASTER'!$Z$2:$Z$495&lt;=6)*('CONTROL MASTER'!$AB$2:$AB$495&gt;=6)*('CONTROL MASTER'!$AA$2:$AA$495&lt;=7)*('CONTROL MASTER'!$AC$2:$AC$495&gt;=7))*ROW('CONTROL MASTER'!$S$2:$S$495))-(ROW('CONTROL MASTER'!#REF!)-1))))+1)))-1)*50+1,50))&amp;"_"&amp;INDEX('CONTROL MASTER'!$P$2:$P$495,(SUMPRODUCT((('CONTROL MASTER'!$S$2:$S$495=15)*('CONTROL MASTER'!$Z$2:$Z$495&lt;=6)*('CONTROL MASTER'!$AB$2:$AB$495&gt;=6)*('CONTROL MASTER'!$AA$2:$AA$495&lt;=7)*('CONTROL MASTER'!$AC$2:$AC$495&gt;=7))*ROW('CONTROL MASTER'!$S$2:$S$495))-(ROW('CONTROL MASTER'!#REF!)-1))),"")),"")</f>
        <v/>
      </c>
      <c r="I204" s="10" t="str">
        <f>IFERROR(IF(SUMPRODUCT((('CONTROL MASTER'!$S$2:$S$495=15)*('CONTROL MASTER'!$T$2:$T$495&lt;=6)*('CONTROL MASTER'!$V$2:$V$495&gt;=6)*('CONTROL MASTER'!$U$2:$U$495&lt;=8)*('CONTROL MASTER'!$W$2:$W$495&gt;=8))*ROW('CONTROL MASTER'!$S$2:$S$495))&gt;0,INDEX('CONTROL MASTER'!$X$2:$X$495,(SUMPRODUCT((('CONTROL MASTER'!$S$2:$S$495=15)*('CONTROL MASTER'!$T$2:$T$495&lt;=6)*('CONTROL MASTER'!$V$2:$V$495&gt;=6)*('CONTROL MASTER'!$U$2:$U$495&lt;=8)*('CONTROL MASTER'!$W$2:$W$495&gt;=8))*ROW('CONTROL MASTER'!$S$2:$S$495))-(ROW('CONTROL MASTER'!#REF!)-1)))&amp;TRIM(MID(SUBSTITUTE(SUBSTITUTE(INDEX('CONTROL MASTER'!$N$2:$N$495,(SUMPRODUCT((('CONTROL MASTER'!$S$2:$S$495=15)*('CONTROL MASTER'!$T$2:$T$495&lt;=6)*('CONTROL MASTER'!$V$2:$V$495&gt;=6)*('CONTROL MASTER'!$U$2:$U$495&lt;=8)*('CONTROL MASTER'!$W$2:$W$495&gt;=8))*ROW('CONTROL MASTER'!$S$2:$S$495))-(ROW('CONTROL MASTER'!#REF!)-1))),":",","),",",REPT(" ",50)),((((6-INDEX('CONTROL MASTER'!$T$2:$T$495,(SUMPRODUCT((('CONTROL MASTER'!$S$2:$S$495=15)*('CONTROL MASTER'!$T$2:$T$495&lt;=6)*('CONTROL MASTER'!$V$2:$V$495&gt;=6)*('CONTROL MASTER'!$U$2:$U$495&lt;=8)*('CONTROL MASTER'!$W$2:$W$495&gt;=8))*ROW('CONTROL MASTER'!$S$2:$S$495))-(ROW('CONTROL MASTER'!#REF!)-1))))*(INDEX('CONTROL MASTER'!$W$2:$W$495,(SUMPRODUCT((('CONTROL MASTER'!$S$2:$S$495=15)*('CONTROL MASTER'!$T$2:$T$495&lt;=6)*('CONTROL MASTER'!$V$2:$V$495&gt;=6)*('CONTROL MASTER'!$U$2:$U$495&lt;=8)*('CONTROL MASTER'!$W$2:$W$495&gt;=8))*ROW('CONTROL MASTER'!$S$2:$S$495))-(ROW('CONTROL MASTER'!#REF!)-1)))-INDEX('CONTROL MASTER'!$U$2:$U$495,(SUMPRODUCT((('CONTROL MASTER'!$S$2:$S$495=15)*('CONTROL MASTER'!$T$2:$T$495&lt;=6)*('CONTROL MASTER'!$V$2:$V$495&gt;=6)*('CONTROL MASTER'!$U$2:$U$495&lt;=8)*('CONTROL MASTER'!$W$2:$W$495&gt;=8))*ROW('CONTROL MASTER'!$S$2:$S$495))-(ROW('CONTROL MASTER'!#REF!)-1)))+1)+(8-INDEX('CONTROL MASTER'!$U$2:$U$495,(SUMPRODUCT((('CONTROL MASTER'!$S$2:$S$495=15)*('CONTROL MASTER'!$T$2:$T$495&lt;=6)*('CONTROL MASTER'!$V$2:$V$495&gt;=6)*('CONTROL MASTER'!$U$2:$U$495&lt;=8)*('CONTROL MASTER'!$W$2:$W$495&gt;=8))*ROW('CONTROL MASTER'!$S$2:$S$495))-(ROW('CONTROL MASTER'!#REF!)-1))))+1))-1)*50+1,50))&amp;"_"&amp;INDEX('CONTROL MASTER'!$P$2:$P$495,(SUMPRODUCT((('CONTROL MASTER'!$S$2:$S$495=15)*('CONTROL MASTER'!$T$2:$T$495&lt;=6)*('CONTROL MASTER'!$V$2:$V$495&gt;=6)*('CONTROL MASTER'!$U$2:$U$495&lt;=8)*('CONTROL MASTER'!$W$2:$W$495&gt;=8))*ROW('CONTROL MASTER'!$S$2:$S$495))-(ROW('CONTROL MASTER'!#REF!)-1))),IF(SUMPRODUCT((('CONTROL MASTER'!$S$2:$S$495=15)*('CONTROL MASTER'!$Z$2:$Z$495&lt;=6)*('CONTROL MASTER'!$AB$2:$AB$495&gt;=6)*('CONTROL MASTER'!$AA$2:$AA$495&lt;=8)*('CONTROL MASTER'!$AC$2:$AC$495&gt;=8))*ROW('CONTROL MASTER'!$S$2:$S$495))&gt;0,INDEX('CONTROL MASTER'!$X$2:$X$495,(SUMPRODUCT((('CONTROL MASTER'!$S$2:$S$495=15)*('CONTROL MASTER'!$Z$2:$Z$495&lt;=6)*('CONTROL MASTER'!$AB$2:$AB$495&gt;=6)*('CONTROL MASTER'!$AA$2:$AA$495&lt;=8)*('CONTROL MASTER'!$AC$2:$AC$495&gt;=8))*ROW('CONTROL MASTER'!$S$2:$S$495))-(ROW('CONTROL MASTER'!#REF!)-1)))&amp;TRIM(MID(SUBSTITUTE(SUBSTITUTE(INDEX('CONTROL MASTER'!$N$2:$N$495,(SUMPRODUCT((('CONTROL MASTER'!$S$2:$S$495=15)*('CONTROL MASTER'!$Z$2:$Z$495&lt;=6)*('CONTROL MASTER'!$AB$2:$AB$495&gt;=6)*('CONTROL MASTER'!$AA$2:$AA$495&lt;=8)*('CONTROL MASTER'!$AC$2:$AC$495&gt;=8))*ROW('CONTROL MASTER'!$S$2:$S$495))-(ROW('CONTROL MASTER'!#REF!)-1))),":",","),",",REPT(" ",50)),(((INDEX('CONTROL MASTER'!$Y$2:$Y$495,(SUMPRODUCT((('CONTROL MASTER'!$S$2:$S$495=15)*('CONTROL MASTER'!$Z$2:$Z$495&lt;=6)*('CONTROL MASTER'!$AB$2:$AB$495&gt;=6)*('CONTROL MASTER'!$AA$2:$AA$495&lt;=8)*('CONTROL MASTER'!$AC$2:$AC$495&gt;=8))*ROW('CONTROL MASTER'!$S$2:$S$495))-(ROW('CONTROL MASTER'!#REF!)-1)))+((6-INDEX('CONTROL MASTER'!$Z$2:$Z$495,(SUMPRODUCT((('CONTROL MASTER'!$S$2:$S$495=15)*('CONTROL MASTER'!$Z$2:$Z$495&lt;=6)*('CONTROL MASTER'!$AB$2:$AB$495&gt;=6)*('CONTROL MASTER'!$AA$2:$AA$495&lt;=8)*('CONTROL MASTER'!$AC$2:$AC$495&gt;=8))*ROW('CONTROL MASTER'!$S$2:$S$495))-(ROW('CONTROL MASTER'!#REF!)-1))))*(INDEX('CONTROL MASTER'!$AC$2:$AC$495,(SUMPRODUCT((('CONTROL MASTER'!$S$2:$S$495=15)*('CONTROL MASTER'!$Z$2:$Z$495&lt;=6)*('CONTROL MASTER'!$AB$2:$AB$495&gt;=6)*('CONTROL MASTER'!$AA$2:$AA$495&lt;=8)*('CONTROL MASTER'!$AC$2:$AC$495&gt;=8))*ROW('CONTROL MASTER'!$S$2:$S$495))-(ROW('CONTROL MASTER'!#REF!)-1)))-INDEX('CONTROL MASTER'!$AA$2:$AA$495,(SUMPRODUCT((('CONTROL MASTER'!$S$2:$S$495=15)*('CONTROL MASTER'!$Z$2:$Z$495&lt;=6)*('CONTROL MASTER'!$AB$2:$AB$495&gt;=6)*('CONTROL MASTER'!$AA$2:$AA$495&lt;=8)*('CONTROL MASTER'!$AC$2:$AC$495&gt;=8))*ROW('CONTROL MASTER'!$S$2:$S$495))-(ROW('CONTROL MASTER'!#REF!)-1)))+1)+(8-INDEX('CONTROL MASTER'!$AA$2:$AA$495,(SUMPRODUCT((('CONTROL MASTER'!$S$2:$S$495=15)*('CONTROL MASTER'!$Z$2:$Z$495&lt;=6)*('CONTROL MASTER'!$AB$2:$AB$495&gt;=6)*('CONTROL MASTER'!$AA$2:$AA$495&lt;=8)*('CONTROL MASTER'!$AC$2:$AC$495&gt;=8))*ROW('CONTROL MASTER'!$S$2:$S$495))-(ROW('CONTROL MASTER'!#REF!)-1))))+1)))-1)*50+1,50))&amp;"_"&amp;INDEX('CONTROL MASTER'!$P$2:$P$495,(SUMPRODUCT((('CONTROL MASTER'!$S$2:$S$495=15)*('CONTROL MASTER'!$Z$2:$Z$495&lt;=6)*('CONTROL MASTER'!$AB$2:$AB$495&gt;=6)*('CONTROL MASTER'!$AA$2:$AA$495&lt;=8)*('CONTROL MASTER'!$AC$2:$AC$495&gt;=8))*ROW('CONTROL MASTER'!$S$2:$S$495))-(ROW('CONTROL MASTER'!#REF!)-1))),"")),"")</f>
        <v/>
      </c>
      <c r="J204" s="10" t="str">
        <f>IFERROR(IF(SUMPRODUCT((('CONTROL MASTER'!$S$2:$S$495=15)*('CONTROL MASTER'!$T$2:$T$495&lt;=6)*('CONTROL MASTER'!$V$2:$V$495&gt;=6)*('CONTROL MASTER'!$U$2:$U$495&lt;=9)*('CONTROL MASTER'!$W$2:$W$495&gt;=9))*ROW('CONTROL MASTER'!$S$2:$S$495))&gt;0,INDEX('CONTROL MASTER'!$X$2:$X$495,(SUMPRODUCT((('CONTROL MASTER'!$S$2:$S$495=15)*('CONTROL MASTER'!$T$2:$T$495&lt;=6)*('CONTROL MASTER'!$V$2:$V$495&gt;=6)*('CONTROL MASTER'!$U$2:$U$495&lt;=9)*('CONTROL MASTER'!$W$2:$W$495&gt;=9))*ROW('CONTROL MASTER'!$S$2:$S$495))-(ROW('CONTROL MASTER'!#REF!)-1)))&amp;TRIM(MID(SUBSTITUTE(SUBSTITUTE(INDEX('CONTROL MASTER'!$N$2:$N$495,(SUMPRODUCT((('CONTROL MASTER'!$S$2:$S$495=15)*('CONTROL MASTER'!$T$2:$T$495&lt;=6)*('CONTROL MASTER'!$V$2:$V$495&gt;=6)*('CONTROL MASTER'!$U$2:$U$495&lt;=9)*('CONTROL MASTER'!$W$2:$W$495&gt;=9))*ROW('CONTROL MASTER'!$S$2:$S$495))-(ROW('CONTROL MASTER'!#REF!)-1))),":",","),",",REPT(" ",50)),((((6-INDEX('CONTROL MASTER'!$T$2:$T$495,(SUMPRODUCT((('CONTROL MASTER'!$S$2:$S$495=15)*('CONTROL MASTER'!$T$2:$T$495&lt;=6)*('CONTROL MASTER'!$V$2:$V$495&gt;=6)*('CONTROL MASTER'!$U$2:$U$495&lt;=9)*('CONTROL MASTER'!$W$2:$W$495&gt;=9))*ROW('CONTROL MASTER'!$S$2:$S$495))-(ROW('CONTROL MASTER'!#REF!)-1))))*(INDEX('CONTROL MASTER'!$W$2:$W$495,(SUMPRODUCT((('CONTROL MASTER'!$S$2:$S$495=15)*('CONTROL MASTER'!$T$2:$T$495&lt;=6)*('CONTROL MASTER'!$V$2:$V$495&gt;=6)*('CONTROL MASTER'!$U$2:$U$495&lt;=9)*('CONTROL MASTER'!$W$2:$W$495&gt;=9))*ROW('CONTROL MASTER'!$S$2:$S$495))-(ROW('CONTROL MASTER'!#REF!)-1)))-INDEX('CONTROL MASTER'!$U$2:$U$495,(SUMPRODUCT((('CONTROL MASTER'!$S$2:$S$495=15)*('CONTROL MASTER'!$T$2:$T$495&lt;=6)*('CONTROL MASTER'!$V$2:$V$495&gt;=6)*('CONTROL MASTER'!$U$2:$U$495&lt;=9)*('CONTROL MASTER'!$W$2:$W$495&gt;=9))*ROW('CONTROL MASTER'!$S$2:$S$495))-(ROW('CONTROL MASTER'!#REF!)-1)))+1)+(9-INDEX('CONTROL MASTER'!$U$2:$U$495,(SUMPRODUCT((('CONTROL MASTER'!$S$2:$S$495=15)*('CONTROL MASTER'!$T$2:$T$495&lt;=6)*('CONTROL MASTER'!$V$2:$V$495&gt;=6)*('CONTROL MASTER'!$U$2:$U$495&lt;=9)*('CONTROL MASTER'!$W$2:$W$495&gt;=9))*ROW('CONTROL MASTER'!$S$2:$S$495))-(ROW('CONTROL MASTER'!#REF!)-1))))+1))-1)*50+1,50))&amp;"_"&amp;INDEX('CONTROL MASTER'!$P$2:$P$495,(SUMPRODUCT((('CONTROL MASTER'!$S$2:$S$495=15)*('CONTROL MASTER'!$T$2:$T$495&lt;=6)*('CONTROL MASTER'!$V$2:$V$495&gt;=6)*('CONTROL MASTER'!$U$2:$U$495&lt;=9)*('CONTROL MASTER'!$W$2:$W$495&gt;=9))*ROW('CONTROL MASTER'!$S$2:$S$495))-(ROW('CONTROL MASTER'!#REF!)-1))),IF(SUMPRODUCT((('CONTROL MASTER'!$S$2:$S$495=15)*('CONTROL MASTER'!$Z$2:$Z$495&lt;=6)*('CONTROL MASTER'!$AB$2:$AB$495&gt;=6)*('CONTROL MASTER'!$AA$2:$AA$495&lt;=9)*('CONTROL MASTER'!$AC$2:$AC$495&gt;=9))*ROW('CONTROL MASTER'!$S$2:$S$495))&gt;0,INDEX('CONTROL MASTER'!$X$2:$X$495,(SUMPRODUCT((('CONTROL MASTER'!$S$2:$S$495=15)*('CONTROL MASTER'!$Z$2:$Z$495&lt;=6)*('CONTROL MASTER'!$AB$2:$AB$495&gt;=6)*('CONTROL MASTER'!$AA$2:$AA$495&lt;=9)*('CONTROL MASTER'!$AC$2:$AC$495&gt;=9))*ROW('CONTROL MASTER'!$S$2:$S$495))-(ROW('CONTROL MASTER'!#REF!)-1)))&amp;TRIM(MID(SUBSTITUTE(SUBSTITUTE(INDEX('CONTROL MASTER'!$N$2:$N$495,(SUMPRODUCT((('CONTROL MASTER'!$S$2:$S$495=15)*('CONTROL MASTER'!$Z$2:$Z$495&lt;=6)*('CONTROL MASTER'!$AB$2:$AB$495&gt;=6)*('CONTROL MASTER'!$AA$2:$AA$495&lt;=9)*('CONTROL MASTER'!$AC$2:$AC$495&gt;=9))*ROW('CONTROL MASTER'!$S$2:$S$495))-(ROW('CONTROL MASTER'!#REF!)-1))),":",","),",",REPT(" ",50)),(((INDEX('CONTROL MASTER'!$Y$2:$Y$495,(SUMPRODUCT((('CONTROL MASTER'!$S$2:$S$495=15)*('CONTROL MASTER'!$Z$2:$Z$495&lt;=6)*('CONTROL MASTER'!$AB$2:$AB$495&gt;=6)*('CONTROL MASTER'!$AA$2:$AA$495&lt;=9)*('CONTROL MASTER'!$AC$2:$AC$495&gt;=9))*ROW('CONTROL MASTER'!$S$2:$S$495))-(ROW('CONTROL MASTER'!#REF!)-1)))+((6-INDEX('CONTROL MASTER'!$Z$2:$Z$495,(SUMPRODUCT((('CONTROL MASTER'!$S$2:$S$495=15)*('CONTROL MASTER'!$Z$2:$Z$495&lt;=6)*('CONTROL MASTER'!$AB$2:$AB$495&gt;=6)*('CONTROL MASTER'!$AA$2:$AA$495&lt;=9)*('CONTROL MASTER'!$AC$2:$AC$495&gt;=9))*ROW('CONTROL MASTER'!$S$2:$S$495))-(ROW('CONTROL MASTER'!#REF!)-1))))*(INDEX('CONTROL MASTER'!$AC$2:$AC$495,(SUMPRODUCT((('CONTROL MASTER'!$S$2:$S$495=15)*('CONTROL MASTER'!$Z$2:$Z$495&lt;=6)*('CONTROL MASTER'!$AB$2:$AB$495&gt;=6)*('CONTROL MASTER'!$AA$2:$AA$495&lt;=9)*('CONTROL MASTER'!$AC$2:$AC$495&gt;=9))*ROW('CONTROL MASTER'!$S$2:$S$495))-(ROW('CONTROL MASTER'!#REF!)-1)))-INDEX('CONTROL MASTER'!$AA$2:$AA$495,(SUMPRODUCT((('CONTROL MASTER'!$S$2:$S$495=15)*('CONTROL MASTER'!$Z$2:$Z$495&lt;=6)*('CONTROL MASTER'!$AB$2:$AB$495&gt;=6)*('CONTROL MASTER'!$AA$2:$AA$495&lt;=9)*('CONTROL MASTER'!$AC$2:$AC$495&gt;=9))*ROW('CONTROL MASTER'!$S$2:$S$495))-(ROW('CONTROL MASTER'!#REF!)-1)))+1)+(9-INDEX('CONTROL MASTER'!$AA$2:$AA$495,(SUMPRODUCT((('CONTROL MASTER'!$S$2:$S$495=15)*('CONTROL MASTER'!$Z$2:$Z$495&lt;=6)*('CONTROL MASTER'!$AB$2:$AB$495&gt;=6)*('CONTROL MASTER'!$AA$2:$AA$495&lt;=9)*('CONTROL MASTER'!$AC$2:$AC$495&gt;=9))*ROW('CONTROL MASTER'!$S$2:$S$495))-(ROW('CONTROL MASTER'!#REF!)-1))))+1)))-1)*50+1,50))&amp;"_"&amp;INDEX('CONTROL MASTER'!$P$2:$P$495,(SUMPRODUCT((('CONTROL MASTER'!$S$2:$S$495=15)*('CONTROL MASTER'!$Z$2:$Z$495&lt;=6)*('CONTROL MASTER'!$AB$2:$AB$495&gt;=6)*('CONTROL MASTER'!$AA$2:$AA$495&lt;=9)*('CONTROL MASTER'!$AC$2:$AC$495&gt;=9))*ROW('CONTROL MASTER'!$S$2:$S$495))-(ROW('CONTROL MASTER'!#REF!)-1))),"")),"")</f>
        <v/>
      </c>
      <c r="K204" s="10" t="str">
        <f>IFERROR(IF(SUMPRODUCT((('CONTROL MASTER'!$S$2:$S$495=15)*('CONTROL MASTER'!$T$2:$T$495&lt;=6)*('CONTROL MASTER'!$V$2:$V$495&gt;=6)*('CONTROL MASTER'!$U$2:$U$495&lt;=10)*('CONTROL MASTER'!$W$2:$W$495&gt;=10))*ROW('CONTROL MASTER'!$S$2:$S$495))&gt;0,INDEX('CONTROL MASTER'!$X$2:$X$495,(SUMPRODUCT((('CONTROL MASTER'!$S$2:$S$495=15)*('CONTROL MASTER'!$T$2:$T$495&lt;=6)*('CONTROL MASTER'!$V$2:$V$495&gt;=6)*('CONTROL MASTER'!$U$2:$U$495&lt;=10)*('CONTROL MASTER'!$W$2:$W$495&gt;=10))*ROW('CONTROL MASTER'!$S$2:$S$495))-(ROW('CONTROL MASTER'!#REF!)-1)))&amp;TRIM(MID(SUBSTITUTE(SUBSTITUTE(INDEX('CONTROL MASTER'!$N$2:$N$495,(SUMPRODUCT((('CONTROL MASTER'!$S$2:$S$495=15)*('CONTROL MASTER'!$T$2:$T$495&lt;=6)*('CONTROL MASTER'!$V$2:$V$495&gt;=6)*('CONTROL MASTER'!$U$2:$U$495&lt;=10)*('CONTROL MASTER'!$W$2:$W$495&gt;=10))*ROW('CONTROL MASTER'!$S$2:$S$495))-(ROW('CONTROL MASTER'!#REF!)-1))),":",","),",",REPT(" ",50)),((((6-INDEX('CONTROL MASTER'!$T$2:$T$495,(SUMPRODUCT((('CONTROL MASTER'!$S$2:$S$495=15)*('CONTROL MASTER'!$T$2:$T$495&lt;=6)*('CONTROL MASTER'!$V$2:$V$495&gt;=6)*('CONTROL MASTER'!$U$2:$U$495&lt;=10)*('CONTROL MASTER'!$W$2:$W$495&gt;=10))*ROW('CONTROL MASTER'!$S$2:$S$495))-(ROW('CONTROL MASTER'!#REF!)-1))))*(INDEX('CONTROL MASTER'!$W$2:$W$495,(SUMPRODUCT((('CONTROL MASTER'!$S$2:$S$495=15)*('CONTROL MASTER'!$T$2:$T$495&lt;=6)*('CONTROL MASTER'!$V$2:$V$495&gt;=6)*('CONTROL MASTER'!$U$2:$U$495&lt;=10)*('CONTROL MASTER'!$W$2:$W$495&gt;=10))*ROW('CONTROL MASTER'!$S$2:$S$495))-(ROW('CONTROL MASTER'!#REF!)-1)))-INDEX('CONTROL MASTER'!$U$2:$U$495,(SUMPRODUCT((('CONTROL MASTER'!$S$2:$S$495=15)*('CONTROL MASTER'!$T$2:$T$495&lt;=6)*('CONTROL MASTER'!$V$2:$V$495&gt;=6)*('CONTROL MASTER'!$U$2:$U$495&lt;=10)*('CONTROL MASTER'!$W$2:$W$495&gt;=10))*ROW('CONTROL MASTER'!$S$2:$S$495))-(ROW('CONTROL MASTER'!#REF!)-1)))+1)+(10-INDEX('CONTROL MASTER'!$U$2:$U$495,(SUMPRODUCT((('CONTROL MASTER'!$S$2:$S$495=15)*('CONTROL MASTER'!$T$2:$T$495&lt;=6)*('CONTROL MASTER'!$V$2:$V$495&gt;=6)*('CONTROL MASTER'!$U$2:$U$495&lt;=10)*('CONTROL MASTER'!$W$2:$W$495&gt;=10))*ROW('CONTROL MASTER'!$S$2:$S$495))-(ROW('CONTROL MASTER'!#REF!)-1))))+1))-1)*50+1,50))&amp;"_"&amp;INDEX('CONTROL MASTER'!$P$2:$P$495,(SUMPRODUCT((('CONTROL MASTER'!$S$2:$S$495=15)*('CONTROL MASTER'!$T$2:$T$495&lt;=6)*('CONTROL MASTER'!$V$2:$V$495&gt;=6)*('CONTROL MASTER'!$U$2:$U$495&lt;=10)*('CONTROL MASTER'!$W$2:$W$495&gt;=10))*ROW('CONTROL MASTER'!$S$2:$S$495))-(ROW('CONTROL MASTER'!#REF!)-1))),IF(SUMPRODUCT((('CONTROL MASTER'!$S$2:$S$495=15)*('CONTROL MASTER'!$Z$2:$Z$495&lt;=6)*('CONTROL MASTER'!$AB$2:$AB$495&gt;=6)*('CONTROL MASTER'!$AA$2:$AA$495&lt;=10)*('CONTROL MASTER'!$AC$2:$AC$495&gt;=10))*ROW('CONTROL MASTER'!$S$2:$S$495))&gt;0,INDEX('CONTROL MASTER'!$X$2:$X$495,(SUMPRODUCT((('CONTROL MASTER'!$S$2:$S$495=15)*('CONTROL MASTER'!$Z$2:$Z$495&lt;=6)*('CONTROL MASTER'!$AB$2:$AB$495&gt;=6)*('CONTROL MASTER'!$AA$2:$AA$495&lt;=10)*('CONTROL MASTER'!$AC$2:$AC$495&gt;=10))*ROW('CONTROL MASTER'!$S$2:$S$495))-(ROW('CONTROL MASTER'!#REF!)-1)))&amp;TRIM(MID(SUBSTITUTE(SUBSTITUTE(INDEX('CONTROL MASTER'!$N$2:$N$495,(SUMPRODUCT((('CONTROL MASTER'!$S$2:$S$495=15)*('CONTROL MASTER'!$Z$2:$Z$495&lt;=6)*('CONTROL MASTER'!$AB$2:$AB$495&gt;=6)*('CONTROL MASTER'!$AA$2:$AA$495&lt;=10)*('CONTROL MASTER'!$AC$2:$AC$495&gt;=10))*ROW('CONTROL MASTER'!$S$2:$S$495))-(ROW('CONTROL MASTER'!#REF!)-1))),":",","),",",REPT(" ",50)),(((INDEX('CONTROL MASTER'!$Y$2:$Y$495,(SUMPRODUCT((('CONTROL MASTER'!$S$2:$S$495=15)*('CONTROL MASTER'!$Z$2:$Z$495&lt;=6)*('CONTROL MASTER'!$AB$2:$AB$495&gt;=6)*('CONTROL MASTER'!$AA$2:$AA$495&lt;=10)*('CONTROL MASTER'!$AC$2:$AC$495&gt;=10))*ROW('CONTROL MASTER'!$S$2:$S$495))-(ROW('CONTROL MASTER'!#REF!)-1)))+((6-INDEX('CONTROL MASTER'!$Z$2:$Z$495,(SUMPRODUCT((('CONTROL MASTER'!$S$2:$S$495=15)*('CONTROL MASTER'!$Z$2:$Z$495&lt;=6)*('CONTROL MASTER'!$AB$2:$AB$495&gt;=6)*('CONTROL MASTER'!$AA$2:$AA$495&lt;=10)*('CONTROL MASTER'!$AC$2:$AC$495&gt;=10))*ROW('CONTROL MASTER'!$S$2:$S$495))-(ROW('CONTROL MASTER'!#REF!)-1))))*(INDEX('CONTROL MASTER'!$AC$2:$AC$495,(SUMPRODUCT((('CONTROL MASTER'!$S$2:$S$495=15)*('CONTROL MASTER'!$Z$2:$Z$495&lt;=6)*('CONTROL MASTER'!$AB$2:$AB$495&gt;=6)*('CONTROL MASTER'!$AA$2:$AA$495&lt;=10)*('CONTROL MASTER'!$AC$2:$AC$495&gt;=10))*ROW('CONTROL MASTER'!$S$2:$S$495))-(ROW('CONTROL MASTER'!#REF!)-1)))-INDEX('CONTROL MASTER'!$AA$2:$AA$495,(SUMPRODUCT((('CONTROL MASTER'!$S$2:$S$495=15)*('CONTROL MASTER'!$Z$2:$Z$495&lt;=6)*('CONTROL MASTER'!$AB$2:$AB$495&gt;=6)*('CONTROL MASTER'!$AA$2:$AA$495&lt;=10)*('CONTROL MASTER'!$AC$2:$AC$495&gt;=10))*ROW('CONTROL MASTER'!$S$2:$S$495))-(ROW('CONTROL MASTER'!#REF!)-1)))+1)+(10-INDEX('CONTROL MASTER'!$AA$2:$AA$495,(SUMPRODUCT((('CONTROL MASTER'!$S$2:$S$495=15)*('CONTROL MASTER'!$Z$2:$Z$495&lt;=6)*('CONTROL MASTER'!$AB$2:$AB$495&gt;=6)*('CONTROL MASTER'!$AA$2:$AA$495&lt;=10)*('CONTROL MASTER'!$AC$2:$AC$495&gt;=10))*ROW('CONTROL MASTER'!$S$2:$S$495))-(ROW('CONTROL MASTER'!#REF!)-1))))+1)))-1)*50+1,50))&amp;"_"&amp;INDEX('CONTROL MASTER'!$P$2:$P$495,(SUMPRODUCT((('CONTROL MASTER'!$S$2:$S$495=15)*('CONTROL MASTER'!$Z$2:$Z$495&lt;=6)*('CONTROL MASTER'!$AB$2:$AB$495&gt;=6)*('CONTROL MASTER'!$AA$2:$AA$495&lt;=10)*('CONTROL MASTER'!$AC$2:$AC$495&gt;=10))*ROW('CONTROL MASTER'!$S$2:$S$495))-(ROW('CONTROL MASTER'!#REF!)-1))),"")),"")</f>
        <v/>
      </c>
    </row>
    <row r="205" spans="1:11" ht="15" customHeight="1" x14ac:dyDescent="0.35">
      <c r="A205" s="8" t="s">
        <v>34</v>
      </c>
      <c r="B205" s="10" t="str">
        <f>IFERROR(IF(SUMPRODUCT((('CONTROL MASTER'!$S$2:$S$495=15)*('CONTROL MASTER'!$T$2:$T$495&lt;=7)*('CONTROL MASTER'!$V$2:$V$495&gt;=7)*('CONTROL MASTER'!$U$2:$U$495&lt;=1)*('CONTROL MASTER'!$W$2:$W$495&gt;=1))*ROW('CONTROL MASTER'!$S$2:$S$495))&gt;0,INDEX('CONTROL MASTER'!$X$2:$X$495,(SUMPRODUCT((('CONTROL MASTER'!$S$2:$S$495=15)*('CONTROL MASTER'!$T$2:$T$495&lt;=7)*('CONTROL MASTER'!$V$2:$V$495&gt;=7)*('CONTROL MASTER'!$U$2:$U$495&lt;=1)*('CONTROL MASTER'!$W$2:$W$495&gt;=1))*ROW('CONTROL MASTER'!$S$2:$S$495))-(ROW('CONTROL MASTER'!#REF!)-1)))&amp;TRIM(MID(SUBSTITUTE(SUBSTITUTE(INDEX('CONTROL MASTER'!$N$2:$N$495,(SUMPRODUCT((('CONTROL MASTER'!$S$2:$S$495=15)*('CONTROL MASTER'!$T$2:$T$495&lt;=7)*('CONTROL MASTER'!$V$2:$V$495&gt;=7)*('CONTROL MASTER'!$U$2:$U$495&lt;=1)*('CONTROL MASTER'!$W$2:$W$495&gt;=1))*ROW('CONTROL MASTER'!$S$2:$S$495))-(ROW('CONTROL MASTER'!#REF!)-1))),":",","),",",REPT(" ",50)),((((7-INDEX('CONTROL MASTER'!$T$2:$T$495,(SUMPRODUCT((('CONTROL MASTER'!$S$2:$S$495=15)*('CONTROL MASTER'!$T$2:$T$495&lt;=7)*('CONTROL MASTER'!$V$2:$V$495&gt;=7)*('CONTROL MASTER'!$U$2:$U$495&lt;=1)*('CONTROL MASTER'!$W$2:$W$495&gt;=1))*ROW('CONTROL MASTER'!$S$2:$S$495))-(ROW('CONTROL MASTER'!#REF!)-1))))*(INDEX('CONTROL MASTER'!$W$2:$W$495,(SUMPRODUCT((('CONTROL MASTER'!$S$2:$S$495=15)*('CONTROL MASTER'!$T$2:$T$495&lt;=7)*('CONTROL MASTER'!$V$2:$V$495&gt;=7)*('CONTROL MASTER'!$U$2:$U$495&lt;=1)*('CONTROL MASTER'!$W$2:$W$495&gt;=1))*ROW('CONTROL MASTER'!$S$2:$S$495))-(ROW('CONTROL MASTER'!#REF!)-1)))-INDEX('CONTROL MASTER'!$U$2:$U$495,(SUMPRODUCT((('CONTROL MASTER'!$S$2:$S$495=15)*('CONTROL MASTER'!$T$2:$T$495&lt;=7)*('CONTROL MASTER'!$V$2:$V$495&gt;=7)*('CONTROL MASTER'!$U$2:$U$495&lt;=1)*('CONTROL MASTER'!$W$2:$W$495&gt;=1))*ROW('CONTROL MASTER'!$S$2:$S$495))-(ROW('CONTROL MASTER'!#REF!)-1)))+1)+(1-INDEX('CONTROL MASTER'!$U$2:$U$495,(SUMPRODUCT((('CONTROL MASTER'!$S$2:$S$495=15)*('CONTROL MASTER'!$T$2:$T$495&lt;=7)*('CONTROL MASTER'!$V$2:$V$495&gt;=7)*('CONTROL MASTER'!$U$2:$U$495&lt;=1)*('CONTROL MASTER'!$W$2:$W$495&gt;=1))*ROW('CONTROL MASTER'!$S$2:$S$495))-(ROW('CONTROL MASTER'!#REF!)-1))))+1))-1)*50+1,50))&amp;"_"&amp;INDEX('CONTROL MASTER'!$P$2:$P$495,(SUMPRODUCT((('CONTROL MASTER'!$S$2:$S$495=15)*('CONTROL MASTER'!$T$2:$T$495&lt;=7)*('CONTROL MASTER'!$V$2:$V$495&gt;=7)*('CONTROL MASTER'!$U$2:$U$495&lt;=1)*('CONTROL MASTER'!$W$2:$W$495&gt;=1))*ROW('CONTROL MASTER'!$S$2:$S$495))-(ROW('CONTROL MASTER'!#REF!)-1))),IF(SUMPRODUCT((('CONTROL MASTER'!$S$2:$S$495=15)*('CONTROL MASTER'!$Z$2:$Z$495&lt;=7)*('CONTROL MASTER'!$AB$2:$AB$495&gt;=7)*('CONTROL MASTER'!$AA$2:$AA$495&lt;=1)*('CONTROL MASTER'!$AC$2:$AC$495&gt;=1))*ROW('CONTROL MASTER'!$S$2:$S$495))&gt;0,INDEX('CONTROL MASTER'!$X$2:$X$495,(SUMPRODUCT((('CONTROL MASTER'!$S$2:$S$495=15)*('CONTROL MASTER'!$Z$2:$Z$495&lt;=7)*('CONTROL MASTER'!$AB$2:$AB$495&gt;=7)*('CONTROL MASTER'!$AA$2:$AA$495&lt;=1)*('CONTROL MASTER'!$AC$2:$AC$495&gt;=1))*ROW('CONTROL MASTER'!$S$2:$S$495))-(ROW('CONTROL MASTER'!#REF!)-1)))&amp;TRIM(MID(SUBSTITUTE(SUBSTITUTE(INDEX('CONTROL MASTER'!$N$2:$N$495,(SUMPRODUCT((('CONTROL MASTER'!$S$2:$S$495=15)*('CONTROL MASTER'!$Z$2:$Z$495&lt;=7)*('CONTROL MASTER'!$AB$2:$AB$495&gt;=7)*('CONTROL MASTER'!$AA$2:$AA$495&lt;=1)*('CONTROL MASTER'!$AC$2:$AC$495&gt;=1))*ROW('CONTROL MASTER'!$S$2:$S$495))-(ROW('CONTROL MASTER'!#REF!)-1))),":",","),",",REPT(" ",50)),(((INDEX('CONTROL MASTER'!$Y$2:$Y$495,(SUMPRODUCT((('CONTROL MASTER'!$S$2:$S$495=15)*('CONTROL MASTER'!$Z$2:$Z$495&lt;=7)*('CONTROL MASTER'!$AB$2:$AB$495&gt;=7)*('CONTROL MASTER'!$AA$2:$AA$495&lt;=1)*('CONTROL MASTER'!$AC$2:$AC$495&gt;=1))*ROW('CONTROL MASTER'!$S$2:$S$495))-(ROW('CONTROL MASTER'!#REF!)-1)))+((7-INDEX('CONTROL MASTER'!$Z$2:$Z$495,(SUMPRODUCT((('CONTROL MASTER'!$S$2:$S$495=15)*('CONTROL MASTER'!$Z$2:$Z$495&lt;=7)*('CONTROL MASTER'!$AB$2:$AB$495&gt;=7)*('CONTROL MASTER'!$AA$2:$AA$495&lt;=1)*('CONTROL MASTER'!$AC$2:$AC$495&gt;=1))*ROW('CONTROL MASTER'!$S$2:$S$495))-(ROW('CONTROL MASTER'!#REF!)-1))))*(INDEX('CONTROL MASTER'!$AC$2:$AC$495,(SUMPRODUCT((('CONTROL MASTER'!$S$2:$S$495=15)*('CONTROL MASTER'!$Z$2:$Z$495&lt;=7)*('CONTROL MASTER'!$AB$2:$AB$495&gt;=7)*('CONTROL MASTER'!$AA$2:$AA$495&lt;=1)*('CONTROL MASTER'!$AC$2:$AC$495&gt;=1))*ROW('CONTROL MASTER'!$S$2:$S$495))-(ROW('CONTROL MASTER'!#REF!)-1)))-INDEX('CONTROL MASTER'!$AA$2:$AA$495,(SUMPRODUCT((('CONTROL MASTER'!$S$2:$S$495=15)*('CONTROL MASTER'!$Z$2:$Z$495&lt;=7)*('CONTROL MASTER'!$AB$2:$AB$495&gt;=7)*('CONTROL MASTER'!$AA$2:$AA$495&lt;=1)*('CONTROL MASTER'!$AC$2:$AC$495&gt;=1))*ROW('CONTROL MASTER'!$S$2:$S$495))-(ROW('CONTROL MASTER'!#REF!)-1)))+1)+(1-INDEX('CONTROL MASTER'!$AA$2:$AA$495,(SUMPRODUCT((('CONTROL MASTER'!$S$2:$S$495=15)*('CONTROL MASTER'!$Z$2:$Z$495&lt;=7)*('CONTROL MASTER'!$AB$2:$AB$495&gt;=7)*('CONTROL MASTER'!$AA$2:$AA$495&lt;=1)*('CONTROL MASTER'!$AC$2:$AC$495&gt;=1))*ROW('CONTROL MASTER'!$S$2:$S$495))-(ROW('CONTROL MASTER'!#REF!)-1))))+1)))-1)*50+1,50))&amp;"_"&amp;INDEX('CONTROL MASTER'!$P$2:$P$495,(SUMPRODUCT((('CONTROL MASTER'!$S$2:$S$495=15)*('CONTROL MASTER'!$Z$2:$Z$495&lt;=7)*('CONTROL MASTER'!$AB$2:$AB$495&gt;=7)*('CONTROL MASTER'!$AA$2:$AA$495&lt;=1)*('CONTROL MASTER'!$AC$2:$AC$495&gt;=1))*ROW('CONTROL MASTER'!$S$2:$S$495))-(ROW('CONTROL MASTER'!#REF!)-1))),"")),"")</f>
        <v/>
      </c>
      <c r="C205" s="10" t="str">
        <f>IFERROR(IF(SUMPRODUCT((('CONTROL MASTER'!$S$2:$S$495=15)*('CONTROL MASTER'!$T$2:$T$495&lt;=7)*('CONTROL MASTER'!$V$2:$V$495&gt;=7)*('CONTROL MASTER'!$U$2:$U$495&lt;=2)*('CONTROL MASTER'!$W$2:$W$495&gt;=2))*ROW('CONTROL MASTER'!$S$2:$S$495))&gt;0,INDEX('CONTROL MASTER'!$X$2:$X$495,(SUMPRODUCT((('CONTROL MASTER'!$S$2:$S$495=15)*('CONTROL MASTER'!$T$2:$T$495&lt;=7)*('CONTROL MASTER'!$V$2:$V$495&gt;=7)*('CONTROL MASTER'!$U$2:$U$495&lt;=2)*('CONTROL MASTER'!$W$2:$W$495&gt;=2))*ROW('CONTROL MASTER'!$S$2:$S$495))-(ROW('CONTROL MASTER'!#REF!)-1)))&amp;TRIM(MID(SUBSTITUTE(SUBSTITUTE(INDEX('CONTROL MASTER'!$N$2:$N$495,(SUMPRODUCT((('CONTROL MASTER'!$S$2:$S$495=15)*('CONTROL MASTER'!$T$2:$T$495&lt;=7)*('CONTROL MASTER'!$V$2:$V$495&gt;=7)*('CONTROL MASTER'!$U$2:$U$495&lt;=2)*('CONTROL MASTER'!$W$2:$W$495&gt;=2))*ROW('CONTROL MASTER'!$S$2:$S$495))-(ROW('CONTROL MASTER'!#REF!)-1))),":",","),",",REPT(" ",50)),((((7-INDEX('CONTROL MASTER'!$T$2:$T$495,(SUMPRODUCT((('CONTROL MASTER'!$S$2:$S$495=15)*('CONTROL MASTER'!$T$2:$T$495&lt;=7)*('CONTROL MASTER'!$V$2:$V$495&gt;=7)*('CONTROL MASTER'!$U$2:$U$495&lt;=2)*('CONTROL MASTER'!$W$2:$W$495&gt;=2))*ROW('CONTROL MASTER'!$S$2:$S$495))-(ROW('CONTROL MASTER'!#REF!)-1))))*(INDEX('CONTROL MASTER'!$W$2:$W$495,(SUMPRODUCT((('CONTROL MASTER'!$S$2:$S$495=15)*('CONTROL MASTER'!$T$2:$T$495&lt;=7)*('CONTROL MASTER'!$V$2:$V$495&gt;=7)*('CONTROL MASTER'!$U$2:$U$495&lt;=2)*('CONTROL MASTER'!$W$2:$W$495&gt;=2))*ROW('CONTROL MASTER'!$S$2:$S$495))-(ROW('CONTROL MASTER'!#REF!)-1)))-INDEX('CONTROL MASTER'!$U$2:$U$495,(SUMPRODUCT((('CONTROL MASTER'!$S$2:$S$495=15)*('CONTROL MASTER'!$T$2:$T$495&lt;=7)*('CONTROL MASTER'!$V$2:$V$495&gt;=7)*('CONTROL MASTER'!$U$2:$U$495&lt;=2)*('CONTROL MASTER'!$W$2:$W$495&gt;=2))*ROW('CONTROL MASTER'!$S$2:$S$495))-(ROW('CONTROL MASTER'!#REF!)-1)))+1)+(2-INDEX('CONTROL MASTER'!$U$2:$U$495,(SUMPRODUCT((('CONTROL MASTER'!$S$2:$S$495=15)*('CONTROL MASTER'!$T$2:$T$495&lt;=7)*('CONTROL MASTER'!$V$2:$V$495&gt;=7)*('CONTROL MASTER'!$U$2:$U$495&lt;=2)*('CONTROL MASTER'!$W$2:$W$495&gt;=2))*ROW('CONTROL MASTER'!$S$2:$S$495))-(ROW('CONTROL MASTER'!#REF!)-1))))+1))-1)*50+1,50))&amp;"_"&amp;INDEX('CONTROL MASTER'!$P$2:$P$495,(SUMPRODUCT((('CONTROL MASTER'!$S$2:$S$495=15)*('CONTROL MASTER'!$T$2:$T$495&lt;=7)*('CONTROL MASTER'!$V$2:$V$495&gt;=7)*('CONTROL MASTER'!$U$2:$U$495&lt;=2)*('CONTROL MASTER'!$W$2:$W$495&gt;=2))*ROW('CONTROL MASTER'!$S$2:$S$495))-(ROW('CONTROL MASTER'!#REF!)-1))),IF(SUMPRODUCT((('CONTROL MASTER'!$S$2:$S$495=15)*('CONTROL MASTER'!$Z$2:$Z$495&lt;=7)*('CONTROL MASTER'!$AB$2:$AB$495&gt;=7)*('CONTROL MASTER'!$AA$2:$AA$495&lt;=2)*('CONTROL MASTER'!$AC$2:$AC$495&gt;=2))*ROW('CONTROL MASTER'!$S$2:$S$495))&gt;0,INDEX('CONTROL MASTER'!$X$2:$X$495,(SUMPRODUCT((('CONTROL MASTER'!$S$2:$S$495=15)*('CONTROL MASTER'!$Z$2:$Z$495&lt;=7)*('CONTROL MASTER'!$AB$2:$AB$495&gt;=7)*('CONTROL MASTER'!$AA$2:$AA$495&lt;=2)*('CONTROL MASTER'!$AC$2:$AC$495&gt;=2))*ROW('CONTROL MASTER'!$S$2:$S$495))-(ROW('CONTROL MASTER'!#REF!)-1)))&amp;TRIM(MID(SUBSTITUTE(SUBSTITUTE(INDEX('CONTROL MASTER'!$N$2:$N$495,(SUMPRODUCT((('CONTROL MASTER'!$S$2:$S$495=15)*('CONTROL MASTER'!$Z$2:$Z$495&lt;=7)*('CONTROL MASTER'!$AB$2:$AB$495&gt;=7)*('CONTROL MASTER'!$AA$2:$AA$495&lt;=2)*('CONTROL MASTER'!$AC$2:$AC$495&gt;=2))*ROW('CONTROL MASTER'!$S$2:$S$495))-(ROW('CONTROL MASTER'!#REF!)-1))),":",","),",",REPT(" ",50)),(((INDEX('CONTROL MASTER'!$Y$2:$Y$495,(SUMPRODUCT((('CONTROL MASTER'!$S$2:$S$495=15)*('CONTROL MASTER'!$Z$2:$Z$495&lt;=7)*('CONTROL MASTER'!$AB$2:$AB$495&gt;=7)*('CONTROL MASTER'!$AA$2:$AA$495&lt;=2)*('CONTROL MASTER'!$AC$2:$AC$495&gt;=2))*ROW('CONTROL MASTER'!$S$2:$S$495))-(ROW('CONTROL MASTER'!#REF!)-1)))+((7-INDEX('CONTROL MASTER'!$Z$2:$Z$495,(SUMPRODUCT((('CONTROL MASTER'!$S$2:$S$495=15)*('CONTROL MASTER'!$Z$2:$Z$495&lt;=7)*('CONTROL MASTER'!$AB$2:$AB$495&gt;=7)*('CONTROL MASTER'!$AA$2:$AA$495&lt;=2)*('CONTROL MASTER'!$AC$2:$AC$495&gt;=2))*ROW('CONTROL MASTER'!$S$2:$S$495))-(ROW('CONTROL MASTER'!#REF!)-1))))*(INDEX('CONTROL MASTER'!$AC$2:$AC$495,(SUMPRODUCT((('CONTROL MASTER'!$S$2:$S$495=15)*('CONTROL MASTER'!$Z$2:$Z$495&lt;=7)*('CONTROL MASTER'!$AB$2:$AB$495&gt;=7)*('CONTROL MASTER'!$AA$2:$AA$495&lt;=2)*('CONTROL MASTER'!$AC$2:$AC$495&gt;=2))*ROW('CONTROL MASTER'!$S$2:$S$495))-(ROW('CONTROL MASTER'!#REF!)-1)))-INDEX('CONTROL MASTER'!$AA$2:$AA$495,(SUMPRODUCT((('CONTROL MASTER'!$S$2:$S$495=15)*('CONTROL MASTER'!$Z$2:$Z$495&lt;=7)*('CONTROL MASTER'!$AB$2:$AB$495&gt;=7)*('CONTROL MASTER'!$AA$2:$AA$495&lt;=2)*('CONTROL MASTER'!$AC$2:$AC$495&gt;=2))*ROW('CONTROL MASTER'!$S$2:$S$495))-(ROW('CONTROL MASTER'!#REF!)-1)))+1)+(2-INDEX('CONTROL MASTER'!$AA$2:$AA$495,(SUMPRODUCT((('CONTROL MASTER'!$S$2:$S$495=15)*('CONTROL MASTER'!$Z$2:$Z$495&lt;=7)*('CONTROL MASTER'!$AB$2:$AB$495&gt;=7)*('CONTROL MASTER'!$AA$2:$AA$495&lt;=2)*('CONTROL MASTER'!$AC$2:$AC$495&gt;=2))*ROW('CONTROL MASTER'!$S$2:$S$495))-(ROW('CONTROL MASTER'!#REF!)-1))))+1)))-1)*50+1,50))&amp;"_"&amp;INDEX('CONTROL MASTER'!$P$2:$P$495,(SUMPRODUCT((('CONTROL MASTER'!$S$2:$S$495=15)*('CONTROL MASTER'!$Z$2:$Z$495&lt;=7)*('CONTROL MASTER'!$AB$2:$AB$495&gt;=7)*('CONTROL MASTER'!$AA$2:$AA$495&lt;=2)*('CONTROL MASTER'!$AC$2:$AC$495&gt;=2))*ROW('CONTROL MASTER'!$S$2:$S$495))-(ROW('CONTROL MASTER'!#REF!)-1))),"")),"")</f>
        <v/>
      </c>
      <c r="D205" s="10" t="str">
        <f>IFERROR(IF(SUMPRODUCT((('CONTROL MASTER'!$S$2:$S$495=15)*('CONTROL MASTER'!$T$2:$T$495&lt;=7)*('CONTROL MASTER'!$V$2:$V$495&gt;=7)*('CONTROL MASTER'!$U$2:$U$495&lt;=3)*('CONTROL MASTER'!$W$2:$W$495&gt;=3))*ROW('CONTROL MASTER'!$S$2:$S$495))&gt;0,INDEX('CONTROL MASTER'!$X$2:$X$495,(SUMPRODUCT((('CONTROL MASTER'!$S$2:$S$495=15)*('CONTROL MASTER'!$T$2:$T$495&lt;=7)*('CONTROL MASTER'!$V$2:$V$495&gt;=7)*('CONTROL MASTER'!$U$2:$U$495&lt;=3)*('CONTROL MASTER'!$W$2:$W$495&gt;=3))*ROW('CONTROL MASTER'!$S$2:$S$495))-(ROW('CONTROL MASTER'!#REF!)-1)))&amp;TRIM(MID(SUBSTITUTE(SUBSTITUTE(INDEX('CONTROL MASTER'!$N$2:$N$495,(SUMPRODUCT((('CONTROL MASTER'!$S$2:$S$495=15)*('CONTROL MASTER'!$T$2:$T$495&lt;=7)*('CONTROL MASTER'!$V$2:$V$495&gt;=7)*('CONTROL MASTER'!$U$2:$U$495&lt;=3)*('CONTROL MASTER'!$W$2:$W$495&gt;=3))*ROW('CONTROL MASTER'!$S$2:$S$495))-(ROW('CONTROL MASTER'!#REF!)-1))),":",","),",",REPT(" ",50)),((((7-INDEX('CONTROL MASTER'!$T$2:$T$495,(SUMPRODUCT((('CONTROL MASTER'!$S$2:$S$495=15)*('CONTROL MASTER'!$T$2:$T$495&lt;=7)*('CONTROL MASTER'!$V$2:$V$495&gt;=7)*('CONTROL MASTER'!$U$2:$U$495&lt;=3)*('CONTROL MASTER'!$W$2:$W$495&gt;=3))*ROW('CONTROL MASTER'!$S$2:$S$495))-(ROW('CONTROL MASTER'!#REF!)-1))))*(INDEX('CONTROL MASTER'!$W$2:$W$495,(SUMPRODUCT((('CONTROL MASTER'!$S$2:$S$495=15)*('CONTROL MASTER'!$T$2:$T$495&lt;=7)*('CONTROL MASTER'!$V$2:$V$495&gt;=7)*('CONTROL MASTER'!$U$2:$U$495&lt;=3)*('CONTROL MASTER'!$W$2:$W$495&gt;=3))*ROW('CONTROL MASTER'!$S$2:$S$495))-(ROW('CONTROL MASTER'!#REF!)-1)))-INDEX('CONTROL MASTER'!$U$2:$U$495,(SUMPRODUCT((('CONTROL MASTER'!$S$2:$S$495=15)*('CONTROL MASTER'!$T$2:$T$495&lt;=7)*('CONTROL MASTER'!$V$2:$V$495&gt;=7)*('CONTROL MASTER'!$U$2:$U$495&lt;=3)*('CONTROL MASTER'!$W$2:$W$495&gt;=3))*ROW('CONTROL MASTER'!$S$2:$S$495))-(ROW('CONTROL MASTER'!#REF!)-1)))+1)+(3-INDEX('CONTROL MASTER'!$U$2:$U$495,(SUMPRODUCT((('CONTROL MASTER'!$S$2:$S$495=15)*('CONTROL MASTER'!$T$2:$T$495&lt;=7)*('CONTROL MASTER'!$V$2:$V$495&gt;=7)*('CONTROL MASTER'!$U$2:$U$495&lt;=3)*('CONTROL MASTER'!$W$2:$W$495&gt;=3))*ROW('CONTROL MASTER'!$S$2:$S$495))-(ROW('CONTROL MASTER'!#REF!)-1))))+1))-1)*50+1,50))&amp;"_"&amp;INDEX('CONTROL MASTER'!$P$2:$P$495,(SUMPRODUCT((('CONTROL MASTER'!$S$2:$S$495=15)*('CONTROL MASTER'!$T$2:$T$495&lt;=7)*('CONTROL MASTER'!$V$2:$V$495&gt;=7)*('CONTROL MASTER'!$U$2:$U$495&lt;=3)*('CONTROL MASTER'!$W$2:$W$495&gt;=3))*ROW('CONTROL MASTER'!$S$2:$S$495))-(ROW('CONTROL MASTER'!#REF!)-1))),IF(SUMPRODUCT((('CONTROL MASTER'!$S$2:$S$495=15)*('CONTROL MASTER'!$Z$2:$Z$495&lt;=7)*('CONTROL MASTER'!$AB$2:$AB$495&gt;=7)*('CONTROL MASTER'!$AA$2:$AA$495&lt;=3)*('CONTROL MASTER'!$AC$2:$AC$495&gt;=3))*ROW('CONTROL MASTER'!$S$2:$S$495))&gt;0,INDEX('CONTROL MASTER'!$X$2:$X$495,(SUMPRODUCT((('CONTROL MASTER'!$S$2:$S$495=15)*('CONTROL MASTER'!$Z$2:$Z$495&lt;=7)*('CONTROL MASTER'!$AB$2:$AB$495&gt;=7)*('CONTROL MASTER'!$AA$2:$AA$495&lt;=3)*('CONTROL MASTER'!$AC$2:$AC$495&gt;=3))*ROW('CONTROL MASTER'!$S$2:$S$495))-(ROW('CONTROL MASTER'!#REF!)-1)))&amp;TRIM(MID(SUBSTITUTE(SUBSTITUTE(INDEX('CONTROL MASTER'!$N$2:$N$495,(SUMPRODUCT((('CONTROL MASTER'!$S$2:$S$495=15)*('CONTROL MASTER'!$Z$2:$Z$495&lt;=7)*('CONTROL MASTER'!$AB$2:$AB$495&gt;=7)*('CONTROL MASTER'!$AA$2:$AA$495&lt;=3)*('CONTROL MASTER'!$AC$2:$AC$495&gt;=3))*ROW('CONTROL MASTER'!$S$2:$S$495))-(ROW('CONTROL MASTER'!#REF!)-1))),":",","),",",REPT(" ",50)),(((INDEX('CONTROL MASTER'!$Y$2:$Y$495,(SUMPRODUCT((('CONTROL MASTER'!$S$2:$S$495=15)*('CONTROL MASTER'!$Z$2:$Z$495&lt;=7)*('CONTROL MASTER'!$AB$2:$AB$495&gt;=7)*('CONTROL MASTER'!$AA$2:$AA$495&lt;=3)*('CONTROL MASTER'!$AC$2:$AC$495&gt;=3))*ROW('CONTROL MASTER'!$S$2:$S$495))-(ROW('CONTROL MASTER'!#REF!)-1)))+((7-INDEX('CONTROL MASTER'!$Z$2:$Z$495,(SUMPRODUCT((('CONTROL MASTER'!$S$2:$S$495=15)*('CONTROL MASTER'!$Z$2:$Z$495&lt;=7)*('CONTROL MASTER'!$AB$2:$AB$495&gt;=7)*('CONTROL MASTER'!$AA$2:$AA$495&lt;=3)*('CONTROL MASTER'!$AC$2:$AC$495&gt;=3))*ROW('CONTROL MASTER'!$S$2:$S$495))-(ROW('CONTROL MASTER'!#REF!)-1))))*(INDEX('CONTROL MASTER'!$AC$2:$AC$495,(SUMPRODUCT((('CONTROL MASTER'!$S$2:$S$495=15)*('CONTROL MASTER'!$Z$2:$Z$495&lt;=7)*('CONTROL MASTER'!$AB$2:$AB$495&gt;=7)*('CONTROL MASTER'!$AA$2:$AA$495&lt;=3)*('CONTROL MASTER'!$AC$2:$AC$495&gt;=3))*ROW('CONTROL MASTER'!$S$2:$S$495))-(ROW('CONTROL MASTER'!#REF!)-1)))-INDEX('CONTROL MASTER'!$AA$2:$AA$495,(SUMPRODUCT((('CONTROL MASTER'!$S$2:$S$495=15)*('CONTROL MASTER'!$Z$2:$Z$495&lt;=7)*('CONTROL MASTER'!$AB$2:$AB$495&gt;=7)*('CONTROL MASTER'!$AA$2:$AA$495&lt;=3)*('CONTROL MASTER'!$AC$2:$AC$495&gt;=3))*ROW('CONTROL MASTER'!$S$2:$S$495))-(ROW('CONTROL MASTER'!#REF!)-1)))+1)+(3-INDEX('CONTROL MASTER'!$AA$2:$AA$495,(SUMPRODUCT((('CONTROL MASTER'!$S$2:$S$495=15)*('CONTROL MASTER'!$Z$2:$Z$495&lt;=7)*('CONTROL MASTER'!$AB$2:$AB$495&gt;=7)*('CONTROL MASTER'!$AA$2:$AA$495&lt;=3)*('CONTROL MASTER'!$AC$2:$AC$495&gt;=3))*ROW('CONTROL MASTER'!$S$2:$S$495))-(ROW('CONTROL MASTER'!#REF!)-1))))+1)))-1)*50+1,50))&amp;"_"&amp;INDEX('CONTROL MASTER'!$P$2:$P$495,(SUMPRODUCT((('CONTROL MASTER'!$S$2:$S$495=15)*('CONTROL MASTER'!$Z$2:$Z$495&lt;=7)*('CONTROL MASTER'!$AB$2:$AB$495&gt;=7)*('CONTROL MASTER'!$AA$2:$AA$495&lt;=3)*('CONTROL MASTER'!$AC$2:$AC$495&gt;=3))*ROW('CONTROL MASTER'!$S$2:$S$495))-(ROW('CONTROL MASTER'!#REF!)-1))),"")),"")</f>
        <v/>
      </c>
      <c r="E205" s="10" t="str">
        <f>IFERROR(IF(SUMPRODUCT((('CONTROL MASTER'!$S$2:$S$495=15)*('CONTROL MASTER'!$T$2:$T$495&lt;=7)*('CONTROL MASTER'!$V$2:$V$495&gt;=7)*('CONTROL MASTER'!$U$2:$U$495&lt;=4)*('CONTROL MASTER'!$W$2:$W$495&gt;=4))*ROW('CONTROL MASTER'!$S$2:$S$495))&gt;0,INDEX('CONTROL MASTER'!$X$2:$X$495,(SUMPRODUCT((('CONTROL MASTER'!$S$2:$S$495=15)*('CONTROL MASTER'!$T$2:$T$495&lt;=7)*('CONTROL MASTER'!$V$2:$V$495&gt;=7)*('CONTROL MASTER'!$U$2:$U$495&lt;=4)*('CONTROL MASTER'!$W$2:$W$495&gt;=4))*ROW('CONTROL MASTER'!$S$2:$S$495))-(ROW('CONTROL MASTER'!#REF!)-1)))&amp;TRIM(MID(SUBSTITUTE(SUBSTITUTE(INDEX('CONTROL MASTER'!$N$2:$N$495,(SUMPRODUCT((('CONTROL MASTER'!$S$2:$S$495=15)*('CONTROL MASTER'!$T$2:$T$495&lt;=7)*('CONTROL MASTER'!$V$2:$V$495&gt;=7)*('CONTROL MASTER'!$U$2:$U$495&lt;=4)*('CONTROL MASTER'!$W$2:$W$495&gt;=4))*ROW('CONTROL MASTER'!$S$2:$S$495))-(ROW('CONTROL MASTER'!#REF!)-1))),":",","),",",REPT(" ",50)),((((7-INDEX('CONTROL MASTER'!$T$2:$T$495,(SUMPRODUCT((('CONTROL MASTER'!$S$2:$S$495=15)*('CONTROL MASTER'!$T$2:$T$495&lt;=7)*('CONTROL MASTER'!$V$2:$V$495&gt;=7)*('CONTROL MASTER'!$U$2:$U$495&lt;=4)*('CONTROL MASTER'!$W$2:$W$495&gt;=4))*ROW('CONTROL MASTER'!$S$2:$S$495))-(ROW('CONTROL MASTER'!#REF!)-1))))*(INDEX('CONTROL MASTER'!$W$2:$W$495,(SUMPRODUCT((('CONTROL MASTER'!$S$2:$S$495=15)*('CONTROL MASTER'!$T$2:$T$495&lt;=7)*('CONTROL MASTER'!$V$2:$V$495&gt;=7)*('CONTROL MASTER'!$U$2:$U$495&lt;=4)*('CONTROL MASTER'!$W$2:$W$495&gt;=4))*ROW('CONTROL MASTER'!$S$2:$S$495))-(ROW('CONTROL MASTER'!#REF!)-1)))-INDEX('CONTROL MASTER'!$U$2:$U$495,(SUMPRODUCT((('CONTROL MASTER'!$S$2:$S$495=15)*('CONTROL MASTER'!$T$2:$T$495&lt;=7)*('CONTROL MASTER'!$V$2:$V$495&gt;=7)*('CONTROL MASTER'!$U$2:$U$495&lt;=4)*('CONTROL MASTER'!$W$2:$W$495&gt;=4))*ROW('CONTROL MASTER'!$S$2:$S$495))-(ROW('CONTROL MASTER'!#REF!)-1)))+1)+(4-INDEX('CONTROL MASTER'!$U$2:$U$495,(SUMPRODUCT((('CONTROL MASTER'!$S$2:$S$495=15)*('CONTROL MASTER'!$T$2:$T$495&lt;=7)*('CONTROL MASTER'!$V$2:$V$495&gt;=7)*('CONTROL MASTER'!$U$2:$U$495&lt;=4)*('CONTROL MASTER'!$W$2:$W$495&gt;=4))*ROW('CONTROL MASTER'!$S$2:$S$495))-(ROW('CONTROL MASTER'!#REF!)-1))))+1))-1)*50+1,50))&amp;"_"&amp;INDEX('CONTROL MASTER'!$P$2:$P$495,(SUMPRODUCT((('CONTROL MASTER'!$S$2:$S$495=15)*('CONTROL MASTER'!$T$2:$T$495&lt;=7)*('CONTROL MASTER'!$V$2:$V$495&gt;=7)*('CONTROL MASTER'!$U$2:$U$495&lt;=4)*('CONTROL MASTER'!$W$2:$W$495&gt;=4))*ROW('CONTROL MASTER'!$S$2:$S$495))-(ROW('CONTROL MASTER'!#REF!)-1))),IF(SUMPRODUCT((('CONTROL MASTER'!$S$2:$S$495=15)*('CONTROL MASTER'!$Z$2:$Z$495&lt;=7)*('CONTROL MASTER'!$AB$2:$AB$495&gt;=7)*('CONTROL MASTER'!$AA$2:$AA$495&lt;=4)*('CONTROL MASTER'!$AC$2:$AC$495&gt;=4))*ROW('CONTROL MASTER'!$S$2:$S$495))&gt;0,INDEX('CONTROL MASTER'!$X$2:$X$495,(SUMPRODUCT((('CONTROL MASTER'!$S$2:$S$495=15)*('CONTROL MASTER'!$Z$2:$Z$495&lt;=7)*('CONTROL MASTER'!$AB$2:$AB$495&gt;=7)*('CONTROL MASTER'!$AA$2:$AA$495&lt;=4)*('CONTROL MASTER'!$AC$2:$AC$495&gt;=4))*ROW('CONTROL MASTER'!$S$2:$S$495))-(ROW('CONTROL MASTER'!#REF!)-1)))&amp;TRIM(MID(SUBSTITUTE(SUBSTITUTE(INDEX('CONTROL MASTER'!$N$2:$N$495,(SUMPRODUCT((('CONTROL MASTER'!$S$2:$S$495=15)*('CONTROL MASTER'!$Z$2:$Z$495&lt;=7)*('CONTROL MASTER'!$AB$2:$AB$495&gt;=7)*('CONTROL MASTER'!$AA$2:$AA$495&lt;=4)*('CONTROL MASTER'!$AC$2:$AC$495&gt;=4))*ROW('CONTROL MASTER'!$S$2:$S$495))-(ROW('CONTROL MASTER'!#REF!)-1))),":",","),",",REPT(" ",50)),(((INDEX('CONTROL MASTER'!$Y$2:$Y$495,(SUMPRODUCT((('CONTROL MASTER'!$S$2:$S$495=15)*('CONTROL MASTER'!$Z$2:$Z$495&lt;=7)*('CONTROL MASTER'!$AB$2:$AB$495&gt;=7)*('CONTROL MASTER'!$AA$2:$AA$495&lt;=4)*('CONTROL MASTER'!$AC$2:$AC$495&gt;=4))*ROW('CONTROL MASTER'!$S$2:$S$495))-(ROW('CONTROL MASTER'!#REF!)-1)))+((7-INDEX('CONTROL MASTER'!$Z$2:$Z$495,(SUMPRODUCT((('CONTROL MASTER'!$S$2:$S$495=15)*('CONTROL MASTER'!$Z$2:$Z$495&lt;=7)*('CONTROL MASTER'!$AB$2:$AB$495&gt;=7)*('CONTROL MASTER'!$AA$2:$AA$495&lt;=4)*('CONTROL MASTER'!$AC$2:$AC$495&gt;=4))*ROW('CONTROL MASTER'!$S$2:$S$495))-(ROW('CONTROL MASTER'!#REF!)-1))))*(INDEX('CONTROL MASTER'!$AC$2:$AC$495,(SUMPRODUCT((('CONTROL MASTER'!$S$2:$S$495=15)*('CONTROL MASTER'!$Z$2:$Z$495&lt;=7)*('CONTROL MASTER'!$AB$2:$AB$495&gt;=7)*('CONTROL MASTER'!$AA$2:$AA$495&lt;=4)*('CONTROL MASTER'!$AC$2:$AC$495&gt;=4))*ROW('CONTROL MASTER'!$S$2:$S$495))-(ROW('CONTROL MASTER'!#REF!)-1)))-INDEX('CONTROL MASTER'!$AA$2:$AA$495,(SUMPRODUCT((('CONTROL MASTER'!$S$2:$S$495=15)*('CONTROL MASTER'!$Z$2:$Z$495&lt;=7)*('CONTROL MASTER'!$AB$2:$AB$495&gt;=7)*('CONTROL MASTER'!$AA$2:$AA$495&lt;=4)*('CONTROL MASTER'!$AC$2:$AC$495&gt;=4))*ROW('CONTROL MASTER'!$S$2:$S$495))-(ROW('CONTROL MASTER'!#REF!)-1)))+1)+(4-INDEX('CONTROL MASTER'!$AA$2:$AA$495,(SUMPRODUCT((('CONTROL MASTER'!$S$2:$S$495=15)*('CONTROL MASTER'!$Z$2:$Z$495&lt;=7)*('CONTROL MASTER'!$AB$2:$AB$495&gt;=7)*('CONTROL MASTER'!$AA$2:$AA$495&lt;=4)*('CONTROL MASTER'!$AC$2:$AC$495&gt;=4))*ROW('CONTROL MASTER'!$S$2:$S$495))-(ROW('CONTROL MASTER'!#REF!)-1))))+1)))-1)*50+1,50))&amp;"_"&amp;INDEX('CONTROL MASTER'!$P$2:$P$495,(SUMPRODUCT((('CONTROL MASTER'!$S$2:$S$495=15)*('CONTROL MASTER'!$Z$2:$Z$495&lt;=7)*('CONTROL MASTER'!$AB$2:$AB$495&gt;=7)*('CONTROL MASTER'!$AA$2:$AA$495&lt;=4)*('CONTROL MASTER'!$AC$2:$AC$495&gt;=4))*ROW('CONTROL MASTER'!$S$2:$S$495))-(ROW('CONTROL MASTER'!#REF!)-1))),"")),"")</f>
        <v/>
      </c>
      <c r="F205" s="10" t="str">
        <f>IFERROR(IF(SUMPRODUCT((('CONTROL MASTER'!$S$2:$S$495=15)*('CONTROL MASTER'!$T$2:$T$495&lt;=7)*('CONTROL MASTER'!$V$2:$V$495&gt;=7)*('CONTROL MASTER'!$U$2:$U$495&lt;=5)*('CONTROL MASTER'!$W$2:$W$495&gt;=5))*ROW('CONTROL MASTER'!$S$2:$S$495))&gt;0,INDEX('CONTROL MASTER'!$X$2:$X$495,(SUMPRODUCT((('CONTROL MASTER'!$S$2:$S$495=15)*('CONTROL MASTER'!$T$2:$T$495&lt;=7)*('CONTROL MASTER'!$V$2:$V$495&gt;=7)*('CONTROL MASTER'!$U$2:$U$495&lt;=5)*('CONTROL MASTER'!$W$2:$W$495&gt;=5))*ROW('CONTROL MASTER'!$S$2:$S$495))-(ROW('CONTROL MASTER'!#REF!)-1)))&amp;TRIM(MID(SUBSTITUTE(SUBSTITUTE(INDEX('CONTROL MASTER'!$N$2:$N$495,(SUMPRODUCT((('CONTROL MASTER'!$S$2:$S$495=15)*('CONTROL MASTER'!$T$2:$T$495&lt;=7)*('CONTROL MASTER'!$V$2:$V$495&gt;=7)*('CONTROL MASTER'!$U$2:$U$495&lt;=5)*('CONTROL MASTER'!$W$2:$W$495&gt;=5))*ROW('CONTROL MASTER'!$S$2:$S$495))-(ROW('CONTROL MASTER'!#REF!)-1))),":",","),",",REPT(" ",50)),((((7-INDEX('CONTROL MASTER'!$T$2:$T$495,(SUMPRODUCT((('CONTROL MASTER'!$S$2:$S$495=15)*('CONTROL MASTER'!$T$2:$T$495&lt;=7)*('CONTROL MASTER'!$V$2:$V$495&gt;=7)*('CONTROL MASTER'!$U$2:$U$495&lt;=5)*('CONTROL MASTER'!$W$2:$W$495&gt;=5))*ROW('CONTROL MASTER'!$S$2:$S$495))-(ROW('CONTROL MASTER'!#REF!)-1))))*(INDEX('CONTROL MASTER'!$W$2:$W$495,(SUMPRODUCT((('CONTROL MASTER'!$S$2:$S$495=15)*('CONTROL MASTER'!$T$2:$T$495&lt;=7)*('CONTROL MASTER'!$V$2:$V$495&gt;=7)*('CONTROL MASTER'!$U$2:$U$495&lt;=5)*('CONTROL MASTER'!$W$2:$W$495&gt;=5))*ROW('CONTROL MASTER'!$S$2:$S$495))-(ROW('CONTROL MASTER'!#REF!)-1)))-INDEX('CONTROL MASTER'!$U$2:$U$495,(SUMPRODUCT((('CONTROL MASTER'!$S$2:$S$495=15)*('CONTROL MASTER'!$T$2:$T$495&lt;=7)*('CONTROL MASTER'!$V$2:$V$495&gt;=7)*('CONTROL MASTER'!$U$2:$U$495&lt;=5)*('CONTROL MASTER'!$W$2:$W$495&gt;=5))*ROW('CONTROL MASTER'!$S$2:$S$495))-(ROW('CONTROL MASTER'!#REF!)-1)))+1)+(5-INDEX('CONTROL MASTER'!$U$2:$U$495,(SUMPRODUCT((('CONTROL MASTER'!$S$2:$S$495=15)*('CONTROL MASTER'!$T$2:$T$495&lt;=7)*('CONTROL MASTER'!$V$2:$V$495&gt;=7)*('CONTROL MASTER'!$U$2:$U$495&lt;=5)*('CONTROL MASTER'!$W$2:$W$495&gt;=5))*ROW('CONTROL MASTER'!$S$2:$S$495))-(ROW('CONTROL MASTER'!#REF!)-1))))+1))-1)*50+1,50))&amp;"_"&amp;INDEX('CONTROL MASTER'!$P$2:$P$495,(SUMPRODUCT((('CONTROL MASTER'!$S$2:$S$495=15)*('CONTROL MASTER'!$T$2:$T$495&lt;=7)*('CONTROL MASTER'!$V$2:$V$495&gt;=7)*('CONTROL MASTER'!$U$2:$U$495&lt;=5)*('CONTROL MASTER'!$W$2:$W$495&gt;=5))*ROW('CONTROL MASTER'!$S$2:$S$495))-(ROW('CONTROL MASTER'!#REF!)-1))),IF(SUMPRODUCT((('CONTROL MASTER'!$S$2:$S$495=15)*('CONTROL MASTER'!$Z$2:$Z$495&lt;=7)*('CONTROL MASTER'!$AB$2:$AB$495&gt;=7)*('CONTROL MASTER'!$AA$2:$AA$495&lt;=5)*('CONTROL MASTER'!$AC$2:$AC$495&gt;=5))*ROW('CONTROL MASTER'!$S$2:$S$495))&gt;0,INDEX('CONTROL MASTER'!$X$2:$X$495,(SUMPRODUCT((('CONTROL MASTER'!$S$2:$S$495=15)*('CONTROL MASTER'!$Z$2:$Z$495&lt;=7)*('CONTROL MASTER'!$AB$2:$AB$495&gt;=7)*('CONTROL MASTER'!$AA$2:$AA$495&lt;=5)*('CONTROL MASTER'!$AC$2:$AC$495&gt;=5))*ROW('CONTROL MASTER'!$S$2:$S$495))-(ROW('CONTROL MASTER'!#REF!)-1)))&amp;TRIM(MID(SUBSTITUTE(SUBSTITUTE(INDEX('CONTROL MASTER'!$N$2:$N$495,(SUMPRODUCT((('CONTROL MASTER'!$S$2:$S$495=15)*('CONTROL MASTER'!$Z$2:$Z$495&lt;=7)*('CONTROL MASTER'!$AB$2:$AB$495&gt;=7)*('CONTROL MASTER'!$AA$2:$AA$495&lt;=5)*('CONTROL MASTER'!$AC$2:$AC$495&gt;=5))*ROW('CONTROL MASTER'!$S$2:$S$495))-(ROW('CONTROL MASTER'!#REF!)-1))),":",","),",",REPT(" ",50)),(((INDEX('CONTROL MASTER'!$Y$2:$Y$495,(SUMPRODUCT((('CONTROL MASTER'!$S$2:$S$495=15)*('CONTROL MASTER'!$Z$2:$Z$495&lt;=7)*('CONTROL MASTER'!$AB$2:$AB$495&gt;=7)*('CONTROL MASTER'!$AA$2:$AA$495&lt;=5)*('CONTROL MASTER'!$AC$2:$AC$495&gt;=5))*ROW('CONTROL MASTER'!$S$2:$S$495))-(ROW('CONTROL MASTER'!#REF!)-1)))+((7-INDEX('CONTROL MASTER'!$Z$2:$Z$495,(SUMPRODUCT((('CONTROL MASTER'!$S$2:$S$495=15)*('CONTROL MASTER'!$Z$2:$Z$495&lt;=7)*('CONTROL MASTER'!$AB$2:$AB$495&gt;=7)*('CONTROL MASTER'!$AA$2:$AA$495&lt;=5)*('CONTROL MASTER'!$AC$2:$AC$495&gt;=5))*ROW('CONTROL MASTER'!$S$2:$S$495))-(ROW('CONTROL MASTER'!#REF!)-1))))*(INDEX('CONTROL MASTER'!$AC$2:$AC$495,(SUMPRODUCT((('CONTROL MASTER'!$S$2:$S$495=15)*('CONTROL MASTER'!$Z$2:$Z$495&lt;=7)*('CONTROL MASTER'!$AB$2:$AB$495&gt;=7)*('CONTROL MASTER'!$AA$2:$AA$495&lt;=5)*('CONTROL MASTER'!$AC$2:$AC$495&gt;=5))*ROW('CONTROL MASTER'!$S$2:$S$495))-(ROW('CONTROL MASTER'!#REF!)-1)))-INDEX('CONTROL MASTER'!$AA$2:$AA$495,(SUMPRODUCT((('CONTROL MASTER'!$S$2:$S$495=15)*('CONTROL MASTER'!$Z$2:$Z$495&lt;=7)*('CONTROL MASTER'!$AB$2:$AB$495&gt;=7)*('CONTROL MASTER'!$AA$2:$AA$495&lt;=5)*('CONTROL MASTER'!$AC$2:$AC$495&gt;=5))*ROW('CONTROL MASTER'!$S$2:$S$495))-(ROW('CONTROL MASTER'!#REF!)-1)))+1)+(5-INDEX('CONTROL MASTER'!$AA$2:$AA$495,(SUMPRODUCT((('CONTROL MASTER'!$S$2:$S$495=15)*('CONTROL MASTER'!$Z$2:$Z$495&lt;=7)*('CONTROL MASTER'!$AB$2:$AB$495&gt;=7)*('CONTROL MASTER'!$AA$2:$AA$495&lt;=5)*('CONTROL MASTER'!$AC$2:$AC$495&gt;=5))*ROW('CONTROL MASTER'!$S$2:$S$495))-(ROW('CONTROL MASTER'!#REF!)-1))))+1)))-1)*50+1,50))&amp;"_"&amp;INDEX('CONTROL MASTER'!$P$2:$P$495,(SUMPRODUCT((('CONTROL MASTER'!$S$2:$S$495=15)*('CONTROL MASTER'!$Z$2:$Z$495&lt;=7)*('CONTROL MASTER'!$AB$2:$AB$495&gt;=7)*('CONTROL MASTER'!$AA$2:$AA$495&lt;=5)*('CONTROL MASTER'!$AC$2:$AC$495&gt;=5))*ROW('CONTROL MASTER'!$S$2:$S$495))-(ROW('CONTROL MASTER'!#REF!)-1))),"")),"")</f>
        <v/>
      </c>
      <c r="G205" s="10" t="str">
        <f>IFERROR(IF(SUMPRODUCT((('CONTROL MASTER'!$S$2:$S$495=15)*('CONTROL MASTER'!$T$2:$T$495&lt;=7)*('CONTROL MASTER'!$V$2:$V$495&gt;=7)*('CONTROL MASTER'!$U$2:$U$495&lt;=6)*('CONTROL MASTER'!$W$2:$W$495&gt;=6))*ROW('CONTROL MASTER'!$S$2:$S$495))&gt;0,INDEX('CONTROL MASTER'!$X$2:$X$495,(SUMPRODUCT((('CONTROL MASTER'!$S$2:$S$495=15)*('CONTROL MASTER'!$T$2:$T$495&lt;=7)*('CONTROL MASTER'!$V$2:$V$495&gt;=7)*('CONTROL MASTER'!$U$2:$U$495&lt;=6)*('CONTROL MASTER'!$W$2:$W$495&gt;=6))*ROW('CONTROL MASTER'!$S$2:$S$495))-(ROW('CONTROL MASTER'!#REF!)-1)))&amp;TRIM(MID(SUBSTITUTE(SUBSTITUTE(INDEX('CONTROL MASTER'!$N$2:$N$495,(SUMPRODUCT((('CONTROL MASTER'!$S$2:$S$495=15)*('CONTROL MASTER'!$T$2:$T$495&lt;=7)*('CONTROL MASTER'!$V$2:$V$495&gt;=7)*('CONTROL MASTER'!$U$2:$U$495&lt;=6)*('CONTROL MASTER'!$W$2:$W$495&gt;=6))*ROW('CONTROL MASTER'!$S$2:$S$495))-(ROW('CONTROL MASTER'!#REF!)-1))),":",","),",",REPT(" ",50)),((((7-INDEX('CONTROL MASTER'!$T$2:$T$495,(SUMPRODUCT((('CONTROL MASTER'!$S$2:$S$495=15)*('CONTROL MASTER'!$T$2:$T$495&lt;=7)*('CONTROL MASTER'!$V$2:$V$495&gt;=7)*('CONTROL MASTER'!$U$2:$U$495&lt;=6)*('CONTROL MASTER'!$W$2:$W$495&gt;=6))*ROW('CONTROL MASTER'!$S$2:$S$495))-(ROW('CONTROL MASTER'!#REF!)-1))))*(INDEX('CONTROL MASTER'!$W$2:$W$495,(SUMPRODUCT((('CONTROL MASTER'!$S$2:$S$495=15)*('CONTROL MASTER'!$T$2:$T$495&lt;=7)*('CONTROL MASTER'!$V$2:$V$495&gt;=7)*('CONTROL MASTER'!$U$2:$U$495&lt;=6)*('CONTROL MASTER'!$W$2:$W$495&gt;=6))*ROW('CONTROL MASTER'!$S$2:$S$495))-(ROW('CONTROL MASTER'!#REF!)-1)))-INDEX('CONTROL MASTER'!$U$2:$U$495,(SUMPRODUCT((('CONTROL MASTER'!$S$2:$S$495=15)*('CONTROL MASTER'!$T$2:$T$495&lt;=7)*('CONTROL MASTER'!$V$2:$V$495&gt;=7)*('CONTROL MASTER'!$U$2:$U$495&lt;=6)*('CONTROL MASTER'!$W$2:$W$495&gt;=6))*ROW('CONTROL MASTER'!$S$2:$S$495))-(ROW('CONTROL MASTER'!#REF!)-1)))+1)+(6-INDEX('CONTROL MASTER'!$U$2:$U$495,(SUMPRODUCT((('CONTROL MASTER'!$S$2:$S$495=15)*('CONTROL MASTER'!$T$2:$T$495&lt;=7)*('CONTROL MASTER'!$V$2:$V$495&gt;=7)*('CONTROL MASTER'!$U$2:$U$495&lt;=6)*('CONTROL MASTER'!$W$2:$W$495&gt;=6))*ROW('CONTROL MASTER'!$S$2:$S$495))-(ROW('CONTROL MASTER'!#REF!)-1))))+1))-1)*50+1,50))&amp;"_"&amp;INDEX('CONTROL MASTER'!$P$2:$P$495,(SUMPRODUCT((('CONTROL MASTER'!$S$2:$S$495=15)*('CONTROL MASTER'!$T$2:$T$495&lt;=7)*('CONTROL MASTER'!$V$2:$V$495&gt;=7)*('CONTROL MASTER'!$U$2:$U$495&lt;=6)*('CONTROL MASTER'!$W$2:$W$495&gt;=6))*ROW('CONTROL MASTER'!$S$2:$S$495))-(ROW('CONTROL MASTER'!#REF!)-1))),IF(SUMPRODUCT((('CONTROL MASTER'!$S$2:$S$495=15)*('CONTROL MASTER'!$Z$2:$Z$495&lt;=7)*('CONTROL MASTER'!$AB$2:$AB$495&gt;=7)*('CONTROL MASTER'!$AA$2:$AA$495&lt;=6)*('CONTROL MASTER'!$AC$2:$AC$495&gt;=6))*ROW('CONTROL MASTER'!$S$2:$S$495))&gt;0,INDEX('CONTROL MASTER'!$X$2:$X$495,(SUMPRODUCT((('CONTROL MASTER'!$S$2:$S$495=15)*('CONTROL MASTER'!$Z$2:$Z$495&lt;=7)*('CONTROL MASTER'!$AB$2:$AB$495&gt;=7)*('CONTROL MASTER'!$AA$2:$AA$495&lt;=6)*('CONTROL MASTER'!$AC$2:$AC$495&gt;=6))*ROW('CONTROL MASTER'!$S$2:$S$495))-(ROW('CONTROL MASTER'!#REF!)-1)))&amp;TRIM(MID(SUBSTITUTE(SUBSTITUTE(INDEX('CONTROL MASTER'!$N$2:$N$495,(SUMPRODUCT((('CONTROL MASTER'!$S$2:$S$495=15)*('CONTROL MASTER'!$Z$2:$Z$495&lt;=7)*('CONTROL MASTER'!$AB$2:$AB$495&gt;=7)*('CONTROL MASTER'!$AA$2:$AA$495&lt;=6)*('CONTROL MASTER'!$AC$2:$AC$495&gt;=6))*ROW('CONTROL MASTER'!$S$2:$S$495))-(ROW('CONTROL MASTER'!#REF!)-1))),":",","),",",REPT(" ",50)),(((INDEX('CONTROL MASTER'!$Y$2:$Y$495,(SUMPRODUCT((('CONTROL MASTER'!$S$2:$S$495=15)*('CONTROL MASTER'!$Z$2:$Z$495&lt;=7)*('CONTROL MASTER'!$AB$2:$AB$495&gt;=7)*('CONTROL MASTER'!$AA$2:$AA$495&lt;=6)*('CONTROL MASTER'!$AC$2:$AC$495&gt;=6))*ROW('CONTROL MASTER'!$S$2:$S$495))-(ROW('CONTROL MASTER'!#REF!)-1)))+((7-INDEX('CONTROL MASTER'!$Z$2:$Z$495,(SUMPRODUCT((('CONTROL MASTER'!$S$2:$S$495=15)*('CONTROL MASTER'!$Z$2:$Z$495&lt;=7)*('CONTROL MASTER'!$AB$2:$AB$495&gt;=7)*('CONTROL MASTER'!$AA$2:$AA$495&lt;=6)*('CONTROL MASTER'!$AC$2:$AC$495&gt;=6))*ROW('CONTROL MASTER'!$S$2:$S$495))-(ROW('CONTROL MASTER'!#REF!)-1))))*(INDEX('CONTROL MASTER'!$AC$2:$AC$495,(SUMPRODUCT((('CONTROL MASTER'!$S$2:$S$495=15)*('CONTROL MASTER'!$Z$2:$Z$495&lt;=7)*('CONTROL MASTER'!$AB$2:$AB$495&gt;=7)*('CONTROL MASTER'!$AA$2:$AA$495&lt;=6)*('CONTROL MASTER'!$AC$2:$AC$495&gt;=6))*ROW('CONTROL MASTER'!$S$2:$S$495))-(ROW('CONTROL MASTER'!#REF!)-1)))-INDEX('CONTROL MASTER'!$AA$2:$AA$495,(SUMPRODUCT((('CONTROL MASTER'!$S$2:$S$495=15)*('CONTROL MASTER'!$Z$2:$Z$495&lt;=7)*('CONTROL MASTER'!$AB$2:$AB$495&gt;=7)*('CONTROL MASTER'!$AA$2:$AA$495&lt;=6)*('CONTROL MASTER'!$AC$2:$AC$495&gt;=6))*ROW('CONTROL MASTER'!$S$2:$S$495))-(ROW('CONTROL MASTER'!#REF!)-1)))+1)+(6-INDEX('CONTROL MASTER'!$AA$2:$AA$495,(SUMPRODUCT((('CONTROL MASTER'!$S$2:$S$495=15)*('CONTROL MASTER'!$Z$2:$Z$495&lt;=7)*('CONTROL MASTER'!$AB$2:$AB$495&gt;=7)*('CONTROL MASTER'!$AA$2:$AA$495&lt;=6)*('CONTROL MASTER'!$AC$2:$AC$495&gt;=6))*ROW('CONTROL MASTER'!$S$2:$S$495))-(ROW('CONTROL MASTER'!#REF!)-1))))+1)))-1)*50+1,50))&amp;"_"&amp;INDEX('CONTROL MASTER'!$P$2:$P$495,(SUMPRODUCT((('CONTROL MASTER'!$S$2:$S$495=15)*('CONTROL MASTER'!$Z$2:$Z$495&lt;=7)*('CONTROL MASTER'!$AB$2:$AB$495&gt;=7)*('CONTROL MASTER'!$AA$2:$AA$495&lt;=6)*('CONTROL MASTER'!$AC$2:$AC$495&gt;=6))*ROW('CONTROL MASTER'!$S$2:$S$495))-(ROW('CONTROL MASTER'!#REF!)-1))),"")),"")</f>
        <v/>
      </c>
      <c r="H205" s="10" t="str">
        <f>IFERROR(IF(SUMPRODUCT((('CONTROL MASTER'!$S$2:$S$495=15)*('CONTROL MASTER'!$T$2:$T$495&lt;=7)*('CONTROL MASTER'!$V$2:$V$495&gt;=7)*('CONTROL MASTER'!$U$2:$U$495&lt;=7)*('CONTROL MASTER'!$W$2:$W$495&gt;=7))*ROW('CONTROL MASTER'!$S$2:$S$495))&gt;0,INDEX('CONTROL MASTER'!$X$2:$X$495,(SUMPRODUCT((('CONTROL MASTER'!$S$2:$S$495=15)*('CONTROL MASTER'!$T$2:$T$495&lt;=7)*('CONTROL MASTER'!$V$2:$V$495&gt;=7)*('CONTROL MASTER'!$U$2:$U$495&lt;=7)*('CONTROL MASTER'!$W$2:$W$495&gt;=7))*ROW('CONTROL MASTER'!$S$2:$S$495))-(ROW('CONTROL MASTER'!#REF!)-1)))&amp;TRIM(MID(SUBSTITUTE(SUBSTITUTE(INDEX('CONTROL MASTER'!$N$2:$N$495,(SUMPRODUCT((('CONTROL MASTER'!$S$2:$S$495=15)*('CONTROL MASTER'!$T$2:$T$495&lt;=7)*('CONTROL MASTER'!$V$2:$V$495&gt;=7)*('CONTROL MASTER'!$U$2:$U$495&lt;=7)*('CONTROL MASTER'!$W$2:$W$495&gt;=7))*ROW('CONTROL MASTER'!$S$2:$S$495))-(ROW('CONTROL MASTER'!#REF!)-1))),":",","),",",REPT(" ",50)),((((7-INDEX('CONTROL MASTER'!$T$2:$T$495,(SUMPRODUCT((('CONTROL MASTER'!$S$2:$S$495=15)*('CONTROL MASTER'!$T$2:$T$495&lt;=7)*('CONTROL MASTER'!$V$2:$V$495&gt;=7)*('CONTROL MASTER'!$U$2:$U$495&lt;=7)*('CONTROL MASTER'!$W$2:$W$495&gt;=7))*ROW('CONTROL MASTER'!$S$2:$S$495))-(ROW('CONTROL MASTER'!#REF!)-1))))*(INDEX('CONTROL MASTER'!$W$2:$W$495,(SUMPRODUCT((('CONTROL MASTER'!$S$2:$S$495=15)*('CONTROL MASTER'!$T$2:$T$495&lt;=7)*('CONTROL MASTER'!$V$2:$V$495&gt;=7)*('CONTROL MASTER'!$U$2:$U$495&lt;=7)*('CONTROL MASTER'!$W$2:$W$495&gt;=7))*ROW('CONTROL MASTER'!$S$2:$S$495))-(ROW('CONTROL MASTER'!#REF!)-1)))-INDEX('CONTROL MASTER'!$U$2:$U$495,(SUMPRODUCT((('CONTROL MASTER'!$S$2:$S$495=15)*('CONTROL MASTER'!$T$2:$T$495&lt;=7)*('CONTROL MASTER'!$V$2:$V$495&gt;=7)*('CONTROL MASTER'!$U$2:$U$495&lt;=7)*('CONTROL MASTER'!$W$2:$W$495&gt;=7))*ROW('CONTROL MASTER'!$S$2:$S$495))-(ROW('CONTROL MASTER'!#REF!)-1)))+1)+(7-INDEX('CONTROL MASTER'!$U$2:$U$495,(SUMPRODUCT((('CONTROL MASTER'!$S$2:$S$495=15)*('CONTROL MASTER'!$T$2:$T$495&lt;=7)*('CONTROL MASTER'!$V$2:$V$495&gt;=7)*('CONTROL MASTER'!$U$2:$U$495&lt;=7)*('CONTROL MASTER'!$W$2:$W$495&gt;=7))*ROW('CONTROL MASTER'!$S$2:$S$495))-(ROW('CONTROL MASTER'!#REF!)-1))))+1))-1)*50+1,50))&amp;"_"&amp;INDEX('CONTROL MASTER'!$P$2:$P$495,(SUMPRODUCT((('CONTROL MASTER'!$S$2:$S$495=15)*('CONTROL MASTER'!$T$2:$T$495&lt;=7)*('CONTROL MASTER'!$V$2:$V$495&gt;=7)*('CONTROL MASTER'!$U$2:$U$495&lt;=7)*('CONTROL MASTER'!$W$2:$W$495&gt;=7))*ROW('CONTROL MASTER'!$S$2:$S$495))-(ROW('CONTROL MASTER'!#REF!)-1))),IF(SUMPRODUCT((('CONTROL MASTER'!$S$2:$S$495=15)*('CONTROL MASTER'!$Z$2:$Z$495&lt;=7)*('CONTROL MASTER'!$AB$2:$AB$495&gt;=7)*('CONTROL MASTER'!$AA$2:$AA$495&lt;=7)*('CONTROL MASTER'!$AC$2:$AC$495&gt;=7))*ROW('CONTROL MASTER'!$S$2:$S$495))&gt;0,INDEX('CONTROL MASTER'!$X$2:$X$495,(SUMPRODUCT((('CONTROL MASTER'!$S$2:$S$495=15)*('CONTROL MASTER'!$Z$2:$Z$495&lt;=7)*('CONTROL MASTER'!$AB$2:$AB$495&gt;=7)*('CONTROL MASTER'!$AA$2:$AA$495&lt;=7)*('CONTROL MASTER'!$AC$2:$AC$495&gt;=7))*ROW('CONTROL MASTER'!$S$2:$S$495))-(ROW('CONTROL MASTER'!#REF!)-1)))&amp;TRIM(MID(SUBSTITUTE(SUBSTITUTE(INDEX('CONTROL MASTER'!$N$2:$N$495,(SUMPRODUCT((('CONTROL MASTER'!$S$2:$S$495=15)*('CONTROL MASTER'!$Z$2:$Z$495&lt;=7)*('CONTROL MASTER'!$AB$2:$AB$495&gt;=7)*('CONTROL MASTER'!$AA$2:$AA$495&lt;=7)*('CONTROL MASTER'!$AC$2:$AC$495&gt;=7))*ROW('CONTROL MASTER'!$S$2:$S$495))-(ROW('CONTROL MASTER'!#REF!)-1))),":",","),",",REPT(" ",50)),(((INDEX('CONTROL MASTER'!$Y$2:$Y$495,(SUMPRODUCT((('CONTROL MASTER'!$S$2:$S$495=15)*('CONTROL MASTER'!$Z$2:$Z$495&lt;=7)*('CONTROL MASTER'!$AB$2:$AB$495&gt;=7)*('CONTROL MASTER'!$AA$2:$AA$495&lt;=7)*('CONTROL MASTER'!$AC$2:$AC$495&gt;=7))*ROW('CONTROL MASTER'!$S$2:$S$495))-(ROW('CONTROL MASTER'!#REF!)-1)))+((7-INDEX('CONTROL MASTER'!$Z$2:$Z$495,(SUMPRODUCT((('CONTROL MASTER'!$S$2:$S$495=15)*('CONTROL MASTER'!$Z$2:$Z$495&lt;=7)*('CONTROL MASTER'!$AB$2:$AB$495&gt;=7)*('CONTROL MASTER'!$AA$2:$AA$495&lt;=7)*('CONTROL MASTER'!$AC$2:$AC$495&gt;=7))*ROW('CONTROL MASTER'!$S$2:$S$495))-(ROW('CONTROL MASTER'!#REF!)-1))))*(INDEX('CONTROL MASTER'!$AC$2:$AC$495,(SUMPRODUCT((('CONTROL MASTER'!$S$2:$S$495=15)*('CONTROL MASTER'!$Z$2:$Z$495&lt;=7)*('CONTROL MASTER'!$AB$2:$AB$495&gt;=7)*('CONTROL MASTER'!$AA$2:$AA$495&lt;=7)*('CONTROL MASTER'!$AC$2:$AC$495&gt;=7))*ROW('CONTROL MASTER'!$S$2:$S$495))-(ROW('CONTROL MASTER'!#REF!)-1)))-INDEX('CONTROL MASTER'!$AA$2:$AA$495,(SUMPRODUCT((('CONTROL MASTER'!$S$2:$S$495=15)*('CONTROL MASTER'!$Z$2:$Z$495&lt;=7)*('CONTROL MASTER'!$AB$2:$AB$495&gt;=7)*('CONTROL MASTER'!$AA$2:$AA$495&lt;=7)*('CONTROL MASTER'!$AC$2:$AC$495&gt;=7))*ROW('CONTROL MASTER'!$S$2:$S$495))-(ROW('CONTROL MASTER'!#REF!)-1)))+1)+(7-INDEX('CONTROL MASTER'!$AA$2:$AA$495,(SUMPRODUCT((('CONTROL MASTER'!$S$2:$S$495=15)*('CONTROL MASTER'!$Z$2:$Z$495&lt;=7)*('CONTROL MASTER'!$AB$2:$AB$495&gt;=7)*('CONTROL MASTER'!$AA$2:$AA$495&lt;=7)*('CONTROL MASTER'!$AC$2:$AC$495&gt;=7))*ROW('CONTROL MASTER'!$S$2:$S$495))-(ROW('CONTROL MASTER'!#REF!)-1))))+1)))-1)*50+1,50))&amp;"_"&amp;INDEX('CONTROL MASTER'!$P$2:$P$495,(SUMPRODUCT((('CONTROL MASTER'!$S$2:$S$495=15)*('CONTROL MASTER'!$Z$2:$Z$495&lt;=7)*('CONTROL MASTER'!$AB$2:$AB$495&gt;=7)*('CONTROL MASTER'!$AA$2:$AA$495&lt;=7)*('CONTROL MASTER'!$AC$2:$AC$495&gt;=7))*ROW('CONTROL MASTER'!$S$2:$S$495))-(ROW('CONTROL MASTER'!#REF!)-1))),"")),"")</f>
        <v/>
      </c>
      <c r="I205" s="10" t="str">
        <f>IFERROR(IF(SUMPRODUCT((('CONTROL MASTER'!$S$2:$S$495=15)*('CONTROL MASTER'!$T$2:$T$495&lt;=7)*('CONTROL MASTER'!$V$2:$V$495&gt;=7)*('CONTROL MASTER'!$U$2:$U$495&lt;=8)*('CONTROL MASTER'!$W$2:$W$495&gt;=8))*ROW('CONTROL MASTER'!$S$2:$S$495))&gt;0,INDEX('CONTROL MASTER'!$X$2:$X$495,(SUMPRODUCT((('CONTROL MASTER'!$S$2:$S$495=15)*('CONTROL MASTER'!$T$2:$T$495&lt;=7)*('CONTROL MASTER'!$V$2:$V$495&gt;=7)*('CONTROL MASTER'!$U$2:$U$495&lt;=8)*('CONTROL MASTER'!$W$2:$W$495&gt;=8))*ROW('CONTROL MASTER'!$S$2:$S$495))-(ROW('CONTROL MASTER'!#REF!)-1)))&amp;TRIM(MID(SUBSTITUTE(SUBSTITUTE(INDEX('CONTROL MASTER'!$N$2:$N$495,(SUMPRODUCT((('CONTROL MASTER'!$S$2:$S$495=15)*('CONTROL MASTER'!$T$2:$T$495&lt;=7)*('CONTROL MASTER'!$V$2:$V$495&gt;=7)*('CONTROL MASTER'!$U$2:$U$495&lt;=8)*('CONTROL MASTER'!$W$2:$W$495&gt;=8))*ROW('CONTROL MASTER'!$S$2:$S$495))-(ROW('CONTROL MASTER'!#REF!)-1))),":",","),",",REPT(" ",50)),((((7-INDEX('CONTROL MASTER'!$T$2:$T$495,(SUMPRODUCT((('CONTROL MASTER'!$S$2:$S$495=15)*('CONTROL MASTER'!$T$2:$T$495&lt;=7)*('CONTROL MASTER'!$V$2:$V$495&gt;=7)*('CONTROL MASTER'!$U$2:$U$495&lt;=8)*('CONTROL MASTER'!$W$2:$W$495&gt;=8))*ROW('CONTROL MASTER'!$S$2:$S$495))-(ROW('CONTROL MASTER'!#REF!)-1))))*(INDEX('CONTROL MASTER'!$W$2:$W$495,(SUMPRODUCT((('CONTROL MASTER'!$S$2:$S$495=15)*('CONTROL MASTER'!$T$2:$T$495&lt;=7)*('CONTROL MASTER'!$V$2:$V$495&gt;=7)*('CONTROL MASTER'!$U$2:$U$495&lt;=8)*('CONTROL MASTER'!$W$2:$W$495&gt;=8))*ROW('CONTROL MASTER'!$S$2:$S$495))-(ROW('CONTROL MASTER'!#REF!)-1)))-INDEX('CONTROL MASTER'!$U$2:$U$495,(SUMPRODUCT((('CONTROL MASTER'!$S$2:$S$495=15)*('CONTROL MASTER'!$T$2:$T$495&lt;=7)*('CONTROL MASTER'!$V$2:$V$495&gt;=7)*('CONTROL MASTER'!$U$2:$U$495&lt;=8)*('CONTROL MASTER'!$W$2:$W$495&gt;=8))*ROW('CONTROL MASTER'!$S$2:$S$495))-(ROW('CONTROL MASTER'!#REF!)-1)))+1)+(8-INDEX('CONTROL MASTER'!$U$2:$U$495,(SUMPRODUCT((('CONTROL MASTER'!$S$2:$S$495=15)*('CONTROL MASTER'!$T$2:$T$495&lt;=7)*('CONTROL MASTER'!$V$2:$V$495&gt;=7)*('CONTROL MASTER'!$U$2:$U$495&lt;=8)*('CONTROL MASTER'!$W$2:$W$495&gt;=8))*ROW('CONTROL MASTER'!$S$2:$S$495))-(ROW('CONTROL MASTER'!#REF!)-1))))+1))-1)*50+1,50))&amp;"_"&amp;INDEX('CONTROL MASTER'!$P$2:$P$495,(SUMPRODUCT((('CONTROL MASTER'!$S$2:$S$495=15)*('CONTROL MASTER'!$T$2:$T$495&lt;=7)*('CONTROL MASTER'!$V$2:$V$495&gt;=7)*('CONTROL MASTER'!$U$2:$U$495&lt;=8)*('CONTROL MASTER'!$W$2:$W$495&gt;=8))*ROW('CONTROL MASTER'!$S$2:$S$495))-(ROW('CONTROL MASTER'!#REF!)-1))),IF(SUMPRODUCT((('CONTROL MASTER'!$S$2:$S$495=15)*('CONTROL MASTER'!$Z$2:$Z$495&lt;=7)*('CONTROL MASTER'!$AB$2:$AB$495&gt;=7)*('CONTROL MASTER'!$AA$2:$AA$495&lt;=8)*('CONTROL MASTER'!$AC$2:$AC$495&gt;=8))*ROW('CONTROL MASTER'!$S$2:$S$495))&gt;0,INDEX('CONTROL MASTER'!$X$2:$X$495,(SUMPRODUCT((('CONTROL MASTER'!$S$2:$S$495=15)*('CONTROL MASTER'!$Z$2:$Z$495&lt;=7)*('CONTROL MASTER'!$AB$2:$AB$495&gt;=7)*('CONTROL MASTER'!$AA$2:$AA$495&lt;=8)*('CONTROL MASTER'!$AC$2:$AC$495&gt;=8))*ROW('CONTROL MASTER'!$S$2:$S$495))-(ROW('CONTROL MASTER'!#REF!)-1)))&amp;TRIM(MID(SUBSTITUTE(SUBSTITUTE(INDEX('CONTROL MASTER'!$N$2:$N$495,(SUMPRODUCT((('CONTROL MASTER'!$S$2:$S$495=15)*('CONTROL MASTER'!$Z$2:$Z$495&lt;=7)*('CONTROL MASTER'!$AB$2:$AB$495&gt;=7)*('CONTROL MASTER'!$AA$2:$AA$495&lt;=8)*('CONTROL MASTER'!$AC$2:$AC$495&gt;=8))*ROW('CONTROL MASTER'!$S$2:$S$495))-(ROW('CONTROL MASTER'!#REF!)-1))),":",","),",",REPT(" ",50)),(((INDEX('CONTROL MASTER'!$Y$2:$Y$495,(SUMPRODUCT((('CONTROL MASTER'!$S$2:$S$495=15)*('CONTROL MASTER'!$Z$2:$Z$495&lt;=7)*('CONTROL MASTER'!$AB$2:$AB$495&gt;=7)*('CONTROL MASTER'!$AA$2:$AA$495&lt;=8)*('CONTROL MASTER'!$AC$2:$AC$495&gt;=8))*ROW('CONTROL MASTER'!$S$2:$S$495))-(ROW('CONTROL MASTER'!#REF!)-1)))+((7-INDEX('CONTROL MASTER'!$Z$2:$Z$495,(SUMPRODUCT((('CONTROL MASTER'!$S$2:$S$495=15)*('CONTROL MASTER'!$Z$2:$Z$495&lt;=7)*('CONTROL MASTER'!$AB$2:$AB$495&gt;=7)*('CONTROL MASTER'!$AA$2:$AA$495&lt;=8)*('CONTROL MASTER'!$AC$2:$AC$495&gt;=8))*ROW('CONTROL MASTER'!$S$2:$S$495))-(ROW('CONTROL MASTER'!#REF!)-1))))*(INDEX('CONTROL MASTER'!$AC$2:$AC$495,(SUMPRODUCT((('CONTROL MASTER'!$S$2:$S$495=15)*('CONTROL MASTER'!$Z$2:$Z$495&lt;=7)*('CONTROL MASTER'!$AB$2:$AB$495&gt;=7)*('CONTROL MASTER'!$AA$2:$AA$495&lt;=8)*('CONTROL MASTER'!$AC$2:$AC$495&gt;=8))*ROW('CONTROL MASTER'!$S$2:$S$495))-(ROW('CONTROL MASTER'!#REF!)-1)))-INDEX('CONTROL MASTER'!$AA$2:$AA$495,(SUMPRODUCT((('CONTROL MASTER'!$S$2:$S$495=15)*('CONTROL MASTER'!$Z$2:$Z$495&lt;=7)*('CONTROL MASTER'!$AB$2:$AB$495&gt;=7)*('CONTROL MASTER'!$AA$2:$AA$495&lt;=8)*('CONTROL MASTER'!$AC$2:$AC$495&gt;=8))*ROW('CONTROL MASTER'!$S$2:$S$495))-(ROW('CONTROL MASTER'!#REF!)-1)))+1)+(8-INDEX('CONTROL MASTER'!$AA$2:$AA$495,(SUMPRODUCT((('CONTROL MASTER'!$S$2:$S$495=15)*('CONTROL MASTER'!$Z$2:$Z$495&lt;=7)*('CONTROL MASTER'!$AB$2:$AB$495&gt;=7)*('CONTROL MASTER'!$AA$2:$AA$495&lt;=8)*('CONTROL MASTER'!$AC$2:$AC$495&gt;=8))*ROW('CONTROL MASTER'!$S$2:$S$495))-(ROW('CONTROL MASTER'!#REF!)-1))))+1)))-1)*50+1,50))&amp;"_"&amp;INDEX('CONTROL MASTER'!$P$2:$P$495,(SUMPRODUCT((('CONTROL MASTER'!$S$2:$S$495=15)*('CONTROL MASTER'!$Z$2:$Z$495&lt;=7)*('CONTROL MASTER'!$AB$2:$AB$495&gt;=7)*('CONTROL MASTER'!$AA$2:$AA$495&lt;=8)*('CONTROL MASTER'!$AC$2:$AC$495&gt;=8))*ROW('CONTROL MASTER'!$S$2:$S$495))-(ROW('CONTROL MASTER'!#REF!)-1))),"")),"")</f>
        <v/>
      </c>
      <c r="J205" s="10" t="str">
        <f>IFERROR(IF(SUMPRODUCT((('CONTROL MASTER'!$S$2:$S$495=15)*('CONTROL MASTER'!$T$2:$T$495&lt;=7)*('CONTROL MASTER'!$V$2:$V$495&gt;=7)*('CONTROL MASTER'!$U$2:$U$495&lt;=9)*('CONTROL MASTER'!$W$2:$W$495&gt;=9))*ROW('CONTROL MASTER'!$S$2:$S$495))&gt;0,INDEX('CONTROL MASTER'!$X$2:$X$495,(SUMPRODUCT((('CONTROL MASTER'!$S$2:$S$495=15)*('CONTROL MASTER'!$T$2:$T$495&lt;=7)*('CONTROL MASTER'!$V$2:$V$495&gt;=7)*('CONTROL MASTER'!$U$2:$U$495&lt;=9)*('CONTROL MASTER'!$W$2:$W$495&gt;=9))*ROW('CONTROL MASTER'!$S$2:$S$495))-(ROW('CONTROL MASTER'!#REF!)-1)))&amp;TRIM(MID(SUBSTITUTE(SUBSTITUTE(INDEX('CONTROL MASTER'!$N$2:$N$495,(SUMPRODUCT((('CONTROL MASTER'!$S$2:$S$495=15)*('CONTROL MASTER'!$T$2:$T$495&lt;=7)*('CONTROL MASTER'!$V$2:$V$495&gt;=7)*('CONTROL MASTER'!$U$2:$U$495&lt;=9)*('CONTROL MASTER'!$W$2:$W$495&gt;=9))*ROW('CONTROL MASTER'!$S$2:$S$495))-(ROW('CONTROL MASTER'!#REF!)-1))),":",","),",",REPT(" ",50)),((((7-INDEX('CONTROL MASTER'!$T$2:$T$495,(SUMPRODUCT((('CONTROL MASTER'!$S$2:$S$495=15)*('CONTROL MASTER'!$T$2:$T$495&lt;=7)*('CONTROL MASTER'!$V$2:$V$495&gt;=7)*('CONTROL MASTER'!$U$2:$U$495&lt;=9)*('CONTROL MASTER'!$W$2:$W$495&gt;=9))*ROW('CONTROL MASTER'!$S$2:$S$495))-(ROW('CONTROL MASTER'!#REF!)-1))))*(INDEX('CONTROL MASTER'!$W$2:$W$495,(SUMPRODUCT((('CONTROL MASTER'!$S$2:$S$495=15)*('CONTROL MASTER'!$T$2:$T$495&lt;=7)*('CONTROL MASTER'!$V$2:$V$495&gt;=7)*('CONTROL MASTER'!$U$2:$U$495&lt;=9)*('CONTROL MASTER'!$W$2:$W$495&gt;=9))*ROW('CONTROL MASTER'!$S$2:$S$495))-(ROW('CONTROL MASTER'!#REF!)-1)))-INDEX('CONTROL MASTER'!$U$2:$U$495,(SUMPRODUCT((('CONTROL MASTER'!$S$2:$S$495=15)*('CONTROL MASTER'!$T$2:$T$495&lt;=7)*('CONTROL MASTER'!$V$2:$V$495&gt;=7)*('CONTROL MASTER'!$U$2:$U$495&lt;=9)*('CONTROL MASTER'!$W$2:$W$495&gt;=9))*ROW('CONTROL MASTER'!$S$2:$S$495))-(ROW('CONTROL MASTER'!#REF!)-1)))+1)+(9-INDEX('CONTROL MASTER'!$U$2:$U$495,(SUMPRODUCT((('CONTROL MASTER'!$S$2:$S$495=15)*('CONTROL MASTER'!$T$2:$T$495&lt;=7)*('CONTROL MASTER'!$V$2:$V$495&gt;=7)*('CONTROL MASTER'!$U$2:$U$495&lt;=9)*('CONTROL MASTER'!$W$2:$W$495&gt;=9))*ROW('CONTROL MASTER'!$S$2:$S$495))-(ROW('CONTROL MASTER'!#REF!)-1))))+1))-1)*50+1,50))&amp;"_"&amp;INDEX('CONTROL MASTER'!$P$2:$P$495,(SUMPRODUCT((('CONTROL MASTER'!$S$2:$S$495=15)*('CONTROL MASTER'!$T$2:$T$495&lt;=7)*('CONTROL MASTER'!$V$2:$V$495&gt;=7)*('CONTROL MASTER'!$U$2:$U$495&lt;=9)*('CONTROL MASTER'!$W$2:$W$495&gt;=9))*ROW('CONTROL MASTER'!$S$2:$S$495))-(ROW('CONTROL MASTER'!#REF!)-1))),IF(SUMPRODUCT((('CONTROL MASTER'!$S$2:$S$495=15)*('CONTROL MASTER'!$Z$2:$Z$495&lt;=7)*('CONTROL MASTER'!$AB$2:$AB$495&gt;=7)*('CONTROL MASTER'!$AA$2:$AA$495&lt;=9)*('CONTROL MASTER'!$AC$2:$AC$495&gt;=9))*ROW('CONTROL MASTER'!$S$2:$S$495))&gt;0,INDEX('CONTROL MASTER'!$X$2:$X$495,(SUMPRODUCT((('CONTROL MASTER'!$S$2:$S$495=15)*('CONTROL MASTER'!$Z$2:$Z$495&lt;=7)*('CONTROL MASTER'!$AB$2:$AB$495&gt;=7)*('CONTROL MASTER'!$AA$2:$AA$495&lt;=9)*('CONTROL MASTER'!$AC$2:$AC$495&gt;=9))*ROW('CONTROL MASTER'!$S$2:$S$495))-(ROW('CONTROL MASTER'!#REF!)-1)))&amp;TRIM(MID(SUBSTITUTE(SUBSTITUTE(INDEX('CONTROL MASTER'!$N$2:$N$495,(SUMPRODUCT((('CONTROL MASTER'!$S$2:$S$495=15)*('CONTROL MASTER'!$Z$2:$Z$495&lt;=7)*('CONTROL MASTER'!$AB$2:$AB$495&gt;=7)*('CONTROL MASTER'!$AA$2:$AA$495&lt;=9)*('CONTROL MASTER'!$AC$2:$AC$495&gt;=9))*ROW('CONTROL MASTER'!$S$2:$S$495))-(ROW('CONTROL MASTER'!#REF!)-1))),":",","),",",REPT(" ",50)),(((INDEX('CONTROL MASTER'!$Y$2:$Y$495,(SUMPRODUCT((('CONTROL MASTER'!$S$2:$S$495=15)*('CONTROL MASTER'!$Z$2:$Z$495&lt;=7)*('CONTROL MASTER'!$AB$2:$AB$495&gt;=7)*('CONTROL MASTER'!$AA$2:$AA$495&lt;=9)*('CONTROL MASTER'!$AC$2:$AC$495&gt;=9))*ROW('CONTROL MASTER'!$S$2:$S$495))-(ROW('CONTROL MASTER'!#REF!)-1)))+((7-INDEX('CONTROL MASTER'!$Z$2:$Z$495,(SUMPRODUCT((('CONTROL MASTER'!$S$2:$S$495=15)*('CONTROL MASTER'!$Z$2:$Z$495&lt;=7)*('CONTROL MASTER'!$AB$2:$AB$495&gt;=7)*('CONTROL MASTER'!$AA$2:$AA$495&lt;=9)*('CONTROL MASTER'!$AC$2:$AC$495&gt;=9))*ROW('CONTROL MASTER'!$S$2:$S$495))-(ROW('CONTROL MASTER'!#REF!)-1))))*(INDEX('CONTROL MASTER'!$AC$2:$AC$495,(SUMPRODUCT((('CONTROL MASTER'!$S$2:$S$495=15)*('CONTROL MASTER'!$Z$2:$Z$495&lt;=7)*('CONTROL MASTER'!$AB$2:$AB$495&gt;=7)*('CONTROL MASTER'!$AA$2:$AA$495&lt;=9)*('CONTROL MASTER'!$AC$2:$AC$495&gt;=9))*ROW('CONTROL MASTER'!$S$2:$S$495))-(ROW('CONTROL MASTER'!#REF!)-1)))-INDEX('CONTROL MASTER'!$AA$2:$AA$495,(SUMPRODUCT((('CONTROL MASTER'!$S$2:$S$495=15)*('CONTROL MASTER'!$Z$2:$Z$495&lt;=7)*('CONTROL MASTER'!$AB$2:$AB$495&gt;=7)*('CONTROL MASTER'!$AA$2:$AA$495&lt;=9)*('CONTROL MASTER'!$AC$2:$AC$495&gt;=9))*ROW('CONTROL MASTER'!$S$2:$S$495))-(ROW('CONTROL MASTER'!#REF!)-1)))+1)+(9-INDEX('CONTROL MASTER'!$AA$2:$AA$495,(SUMPRODUCT((('CONTROL MASTER'!$S$2:$S$495=15)*('CONTROL MASTER'!$Z$2:$Z$495&lt;=7)*('CONTROL MASTER'!$AB$2:$AB$495&gt;=7)*('CONTROL MASTER'!$AA$2:$AA$495&lt;=9)*('CONTROL MASTER'!$AC$2:$AC$495&gt;=9))*ROW('CONTROL MASTER'!$S$2:$S$495))-(ROW('CONTROL MASTER'!#REF!)-1))))+1)))-1)*50+1,50))&amp;"_"&amp;INDEX('CONTROL MASTER'!$P$2:$P$495,(SUMPRODUCT((('CONTROL MASTER'!$S$2:$S$495=15)*('CONTROL MASTER'!$Z$2:$Z$495&lt;=7)*('CONTROL MASTER'!$AB$2:$AB$495&gt;=7)*('CONTROL MASTER'!$AA$2:$AA$495&lt;=9)*('CONTROL MASTER'!$AC$2:$AC$495&gt;=9))*ROW('CONTROL MASTER'!$S$2:$S$495))-(ROW('CONTROL MASTER'!#REF!)-1))),"")),"")</f>
        <v/>
      </c>
      <c r="K205" s="10" t="str">
        <f>IFERROR(IF(SUMPRODUCT((('CONTROL MASTER'!$S$2:$S$495=15)*('CONTROL MASTER'!$T$2:$T$495&lt;=7)*('CONTROL MASTER'!$V$2:$V$495&gt;=7)*('CONTROL MASTER'!$U$2:$U$495&lt;=10)*('CONTROL MASTER'!$W$2:$W$495&gt;=10))*ROW('CONTROL MASTER'!$S$2:$S$495))&gt;0,INDEX('CONTROL MASTER'!$X$2:$X$495,(SUMPRODUCT((('CONTROL MASTER'!$S$2:$S$495=15)*('CONTROL MASTER'!$T$2:$T$495&lt;=7)*('CONTROL MASTER'!$V$2:$V$495&gt;=7)*('CONTROL MASTER'!$U$2:$U$495&lt;=10)*('CONTROL MASTER'!$W$2:$W$495&gt;=10))*ROW('CONTROL MASTER'!$S$2:$S$495))-(ROW('CONTROL MASTER'!#REF!)-1)))&amp;TRIM(MID(SUBSTITUTE(SUBSTITUTE(INDEX('CONTROL MASTER'!$N$2:$N$495,(SUMPRODUCT((('CONTROL MASTER'!$S$2:$S$495=15)*('CONTROL MASTER'!$T$2:$T$495&lt;=7)*('CONTROL MASTER'!$V$2:$V$495&gt;=7)*('CONTROL MASTER'!$U$2:$U$495&lt;=10)*('CONTROL MASTER'!$W$2:$W$495&gt;=10))*ROW('CONTROL MASTER'!$S$2:$S$495))-(ROW('CONTROL MASTER'!#REF!)-1))),":",","),",",REPT(" ",50)),((((7-INDEX('CONTROL MASTER'!$T$2:$T$495,(SUMPRODUCT((('CONTROL MASTER'!$S$2:$S$495=15)*('CONTROL MASTER'!$T$2:$T$495&lt;=7)*('CONTROL MASTER'!$V$2:$V$495&gt;=7)*('CONTROL MASTER'!$U$2:$U$495&lt;=10)*('CONTROL MASTER'!$W$2:$W$495&gt;=10))*ROW('CONTROL MASTER'!$S$2:$S$495))-(ROW('CONTROL MASTER'!#REF!)-1))))*(INDEX('CONTROL MASTER'!$W$2:$W$495,(SUMPRODUCT((('CONTROL MASTER'!$S$2:$S$495=15)*('CONTROL MASTER'!$T$2:$T$495&lt;=7)*('CONTROL MASTER'!$V$2:$V$495&gt;=7)*('CONTROL MASTER'!$U$2:$U$495&lt;=10)*('CONTROL MASTER'!$W$2:$W$495&gt;=10))*ROW('CONTROL MASTER'!$S$2:$S$495))-(ROW('CONTROL MASTER'!#REF!)-1)))-INDEX('CONTROL MASTER'!$U$2:$U$495,(SUMPRODUCT((('CONTROL MASTER'!$S$2:$S$495=15)*('CONTROL MASTER'!$T$2:$T$495&lt;=7)*('CONTROL MASTER'!$V$2:$V$495&gt;=7)*('CONTROL MASTER'!$U$2:$U$495&lt;=10)*('CONTROL MASTER'!$W$2:$W$495&gt;=10))*ROW('CONTROL MASTER'!$S$2:$S$495))-(ROW('CONTROL MASTER'!#REF!)-1)))+1)+(10-INDEX('CONTROL MASTER'!$U$2:$U$495,(SUMPRODUCT((('CONTROL MASTER'!$S$2:$S$495=15)*('CONTROL MASTER'!$T$2:$T$495&lt;=7)*('CONTROL MASTER'!$V$2:$V$495&gt;=7)*('CONTROL MASTER'!$U$2:$U$495&lt;=10)*('CONTROL MASTER'!$W$2:$W$495&gt;=10))*ROW('CONTROL MASTER'!$S$2:$S$495))-(ROW('CONTROL MASTER'!#REF!)-1))))+1))-1)*50+1,50))&amp;"_"&amp;INDEX('CONTROL MASTER'!$P$2:$P$495,(SUMPRODUCT((('CONTROL MASTER'!$S$2:$S$495=15)*('CONTROL MASTER'!$T$2:$T$495&lt;=7)*('CONTROL MASTER'!$V$2:$V$495&gt;=7)*('CONTROL MASTER'!$U$2:$U$495&lt;=10)*('CONTROL MASTER'!$W$2:$W$495&gt;=10))*ROW('CONTROL MASTER'!$S$2:$S$495))-(ROW('CONTROL MASTER'!#REF!)-1))),IF(SUMPRODUCT((('CONTROL MASTER'!$S$2:$S$495=15)*('CONTROL MASTER'!$Z$2:$Z$495&lt;=7)*('CONTROL MASTER'!$AB$2:$AB$495&gt;=7)*('CONTROL MASTER'!$AA$2:$AA$495&lt;=10)*('CONTROL MASTER'!$AC$2:$AC$495&gt;=10))*ROW('CONTROL MASTER'!$S$2:$S$495))&gt;0,INDEX('CONTROL MASTER'!$X$2:$X$495,(SUMPRODUCT((('CONTROL MASTER'!$S$2:$S$495=15)*('CONTROL MASTER'!$Z$2:$Z$495&lt;=7)*('CONTROL MASTER'!$AB$2:$AB$495&gt;=7)*('CONTROL MASTER'!$AA$2:$AA$495&lt;=10)*('CONTROL MASTER'!$AC$2:$AC$495&gt;=10))*ROW('CONTROL MASTER'!$S$2:$S$495))-(ROW('CONTROL MASTER'!#REF!)-1)))&amp;TRIM(MID(SUBSTITUTE(SUBSTITUTE(INDEX('CONTROL MASTER'!$N$2:$N$495,(SUMPRODUCT((('CONTROL MASTER'!$S$2:$S$495=15)*('CONTROL MASTER'!$Z$2:$Z$495&lt;=7)*('CONTROL MASTER'!$AB$2:$AB$495&gt;=7)*('CONTROL MASTER'!$AA$2:$AA$495&lt;=10)*('CONTROL MASTER'!$AC$2:$AC$495&gt;=10))*ROW('CONTROL MASTER'!$S$2:$S$495))-(ROW('CONTROL MASTER'!#REF!)-1))),":",","),",",REPT(" ",50)),(((INDEX('CONTROL MASTER'!$Y$2:$Y$495,(SUMPRODUCT((('CONTROL MASTER'!$S$2:$S$495=15)*('CONTROL MASTER'!$Z$2:$Z$495&lt;=7)*('CONTROL MASTER'!$AB$2:$AB$495&gt;=7)*('CONTROL MASTER'!$AA$2:$AA$495&lt;=10)*('CONTROL MASTER'!$AC$2:$AC$495&gt;=10))*ROW('CONTROL MASTER'!$S$2:$S$495))-(ROW('CONTROL MASTER'!#REF!)-1)))+((7-INDEX('CONTROL MASTER'!$Z$2:$Z$495,(SUMPRODUCT((('CONTROL MASTER'!$S$2:$S$495=15)*('CONTROL MASTER'!$Z$2:$Z$495&lt;=7)*('CONTROL MASTER'!$AB$2:$AB$495&gt;=7)*('CONTROL MASTER'!$AA$2:$AA$495&lt;=10)*('CONTROL MASTER'!$AC$2:$AC$495&gt;=10))*ROW('CONTROL MASTER'!$S$2:$S$495))-(ROW('CONTROL MASTER'!#REF!)-1))))*(INDEX('CONTROL MASTER'!$AC$2:$AC$495,(SUMPRODUCT((('CONTROL MASTER'!$S$2:$S$495=15)*('CONTROL MASTER'!$Z$2:$Z$495&lt;=7)*('CONTROL MASTER'!$AB$2:$AB$495&gt;=7)*('CONTROL MASTER'!$AA$2:$AA$495&lt;=10)*('CONTROL MASTER'!$AC$2:$AC$495&gt;=10))*ROW('CONTROL MASTER'!$S$2:$S$495))-(ROW('CONTROL MASTER'!#REF!)-1)))-INDEX('CONTROL MASTER'!$AA$2:$AA$495,(SUMPRODUCT((('CONTROL MASTER'!$S$2:$S$495=15)*('CONTROL MASTER'!$Z$2:$Z$495&lt;=7)*('CONTROL MASTER'!$AB$2:$AB$495&gt;=7)*('CONTROL MASTER'!$AA$2:$AA$495&lt;=10)*('CONTROL MASTER'!$AC$2:$AC$495&gt;=10))*ROW('CONTROL MASTER'!$S$2:$S$495))-(ROW('CONTROL MASTER'!#REF!)-1)))+1)+(10-INDEX('CONTROL MASTER'!$AA$2:$AA$495,(SUMPRODUCT((('CONTROL MASTER'!$S$2:$S$495=15)*('CONTROL MASTER'!$Z$2:$Z$495&lt;=7)*('CONTROL MASTER'!$AB$2:$AB$495&gt;=7)*('CONTROL MASTER'!$AA$2:$AA$495&lt;=10)*('CONTROL MASTER'!$AC$2:$AC$495&gt;=10))*ROW('CONTROL MASTER'!$S$2:$S$495))-(ROW('CONTROL MASTER'!#REF!)-1))))+1)))-1)*50+1,50))&amp;"_"&amp;INDEX('CONTROL MASTER'!$P$2:$P$495,(SUMPRODUCT((('CONTROL MASTER'!$S$2:$S$495=15)*('CONTROL MASTER'!$Z$2:$Z$495&lt;=7)*('CONTROL MASTER'!$AB$2:$AB$495&gt;=7)*('CONTROL MASTER'!$AA$2:$AA$495&lt;=10)*('CONTROL MASTER'!$AC$2:$AC$495&gt;=10))*ROW('CONTROL MASTER'!$S$2:$S$495))-(ROW('CONTROL MASTER'!#REF!)-1))),"")),"")</f>
        <v/>
      </c>
    </row>
    <row r="206" spans="1:11" ht="15" customHeight="1" x14ac:dyDescent="0.35">
      <c r="A206" s="8" t="s">
        <v>35</v>
      </c>
      <c r="B206" s="10" t="str">
        <f>IFERROR(IF(SUMPRODUCT((('CONTROL MASTER'!$S$2:$S$495=15)*('CONTROL MASTER'!$T$2:$T$495&lt;=8)*('CONTROL MASTER'!$V$2:$V$495&gt;=8)*('CONTROL MASTER'!$U$2:$U$495&lt;=1)*('CONTROL MASTER'!$W$2:$W$495&gt;=1))*ROW('CONTROL MASTER'!$S$2:$S$495))&gt;0,INDEX('CONTROL MASTER'!$X$2:$X$495,(SUMPRODUCT((('CONTROL MASTER'!$S$2:$S$495=15)*('CONTROL MASTER'!$T$2:$T$495&lt;=8)*('CONTROL MASTER'!$V$2:$V$495&gt;=8)*('CONTROL MASTER'!$U$2:$U$495&lt;=1)*('CONTROL MASTER'!$W$2:$W$495&gt;=1))*ROW('CONTROL MASTER'!$S$2:$S$495))-(ROW('CONTROL MASTER'!#REF!)-1)))&amp;TRIM(MID(SUBSTITUTE(SUBSTITUTE(INDEX('CONTROL MASTER'!$N$2:$N$495,(SUMPRODUCT((('CONTROL MASTER'!$S$2:$S$495=15)*('CONTROL MASTER'!$T$2:$T$495&lt;=8)*('CONTROL MASTER'!$V$2:$V$495&gt;=8)*('CONTROL MASTER'!$U$2:$U$495&lt;=1)*('CONTROL MASTER'!$W$2:$W$495&gt;=1))*ROW('CONTROL MASTER'!$S$2:$S$495))-(ROW('CONTROL MASTER'!#REF!)-1))),":",","),",",REPT(" ",50)),((((8-INDEX('CONTROL MASTER'!$T$2:$T$495,(SUMPRODUCT((('CONTROL MASTER'!$S$2:$S$495=15)*('CONTROL MASTER'!$T$2:$T$495&lt;=8)*('CONTROL MASTER'!$V$2:$V$495&gt;=8)*('CONTROL MASTER'!$U$2:$U$495&lt;=1)*('CONTROL MASTER'!$W$2:$W$495&gt;=1))*ROW('CONTROL MASTER'!$S$2:$S$495))-(ROW('CONTROL MASTER'!#REF!)-1))))*(INDEX('CONTROL MASTER'!$W$2:$W$495,(SUMPRODUCT((('CONTROL MASTER'!$S$2:$S$495=15)*('CONTROL MASTER'!$T$2:$T$495&lt;=8)*('CONTROL MASTER'!$V$2:$V$495&gt;=8)*('CONTROL MASTER'!$U$2:$U$495&lt;=1)*('CONTROL MASTER'!$W$2:$W$495&gt;=1))*ROW('CONTROL MASTER'!$S$2:$S$495))-(ROW('CONTROL MASTER'!#REF!)-1)))-INDEX('CONTROL MASTER'!$U$2:$U$495,(SUMPRODUCT((('CONTROL MASTER'!$S$2:$S$495=15)*('CONTROL MASTER'!$T$2:$T$495&lt;=8)*('CONTROL MASTER'!$V$2:$V$495&gt;=8)*('CONTROL MASTER'!$U$2:$U$495&lt;=1)*('CONTROL MASTER'!$W$2:$W$495&gt;=1))*ROW('CONTROL MASTER'!$S$2:$S$495))-(ROW('CONTROL MASTER'!#REF!)-1)))+1)+(1-INDEX('CONTROL MASTER'!$U$2:$U$495,(SUMPRODUCT((('CONTROL MASTER'!$S$2:$S$495=15)*('CONTROL MASTER'!$T$2:$T$495&lt;=8)*('CONTROL MASTER'!$V$2:$V$495&gt;=8)*('CONTROL MASTER'!$U$2:$U$495&lt;=1)*('CONTROL MASTER'!$W$2:$W$495&gt;=1))*ROW('CONTROL MASTER'!$S$2:$S$495))-(ROW('CONTROL MASTER'!#REF!)-1))))+1))-1)*50+1,50))&amp;"_"&amp;INDEX('CONTROL MASTER'!$P$2:$P$495,(SUMPRODUCT((('CONTROL MASTER'!$S$2:$S$495=15)*('CONTROL MASTER'!$T$2:$T$495&lt;=8)*('CONTROL MASTER'!$V$2:$V$495&gt;=8)*('CONTROL MASTER'!$U$2:$U$495&lt;=1)*('CONTROL MASTER'!$W$2:$W$495&gt;=1))*ROW('CONTROL MASTER'!$S$2:$S$495))-(ROW('CONTROL MASTER'!#REF!)-1))),IF(SUMPRODUCT((('CONTROL MASTER'!$S$2:$S$495=15)*('CONTROL MASTER'!$Z$2:$Z$495&lt;=8)*('CONTROL MASTER'!$AB$2:$AB$495&gt;=8)*('CONTROL MASTER'!$AA$2:$AA$495&lt;=1)*('CONTROL MASTER'!$AC$2:$AC$495&gt;=1))*ROW('CONTROL MASTER'!$S$2:$S$495))&gt;0,INDEX('CONTROL MASTER'!$X$2:$X$495,(SUMPRODUCT((('CONTROL MASTER'!$S$2:$S$495=15)*('CONTROL MASTER'!$Z$2:$Z$495&lt;=8)*('CONTROL MASTER'!$AB$2:$AB$495&gt;=8)*('CONTROL MASTER'!$AA$2:$AA$495&lt;=1)*('CONTROL MASTER'!$AC$2:$AC$495&gt;=1))*ROW('CONTROL MASTER'!$S$2:$S$495))-(ROW('CONTROL MASTER'!#REF!)-1)))&amp;TRIM(MID(SUBSTITUTE(SUBSTITUTE(INDEX('CONTROL MASTER'!$N$2:$N$495,(SUMPRODUCT((('CONTROL MASTER'!$S$2:$S$495=15)*('CONTROL MASTER'!$Z$2:$Z$495&lt;=8)*('CONTROL MASTER'!$AB$2:$AB$495&gt;=8)*('CONTROL MASTER'!$AA$2:$AA$495&lt;=1)*('CONTROL MASTER'!$AC$2:$AC$495&gt;=1))*ROW('CONTROL MASTER'!$S$2:$S$495))-(ROW('CONTROL MASTER'!#REF!)-1))),":",","),",",REPT(" ",50)),(((INDEX('CONTROL MASTER'!$Y$2:$Y$495,(SUMPRODUCT((('CONTROL MASTER'!$S$2:$S$495=15)*('CONTROL MASTER'!$Z$2:$Z$495&lt;=8)*('CONTROL MASTER'!$AB$2:$AB$495&gt;=8)*('CONTROL MASTER'!$AA$2:$AA$495&lt;=1)*('CONTROL MASTER'!$AC$2:$AC$495&gt;=1))*ROW('CONTROL MASTER'!$S$2:$S$495))-(ROW('CONTROL MASTER'!#REF!)-1)))+((8-INDEX('CONTROL MASTER'!$Z$2:$Z$495,(SUMPRODUCT((('CONTROL MASTER'!$S$2:$S$495=15)*('CONTROL MASTER'!$Z$2:$Z$495&lt;=8)*('CONTROL MASTER'!$AB$2:$AB$495&gt;=8)*('CONTROL MASTER'!$AA$2:$AA$495&lt;=1)*('CONTROL MASTER'!$AC$2:$AC$495&gt;=1))*ROW('CONTROL MASTER'!$S$2:$S$495))-(ROW('CONTROL MASTER'!#REF!)-1))))*(INDEX('CONTROL MASTER'!$AC$2:$AC$495,(SUMPRODUCT((('CONTROL MASTER'!$S$2:$S$495=15)*('CONTROL MASTER'!$Z$2:$Z$495&lt;=8)*('CONTROL MASTER'!$AB$2:$AB$495&gt;=8)*('CONTROL MASTER'!$AA$2:$AA$495&lt;=1)*('CONTROL MASTER'!$AC$2:$AC$495&gt;=1))*ROW('CONTROL MASTER'!$S$2:$S$495))-(ROW('CONTROL MASTER'!#REF!)-1)))-INDEX('CONTROL MASTER'!$AA$2:$AA$495,(SUMPRODUCT((('CONTROL MASTER'!$S$2:$S$495=15)*('CONTROL MASTER'!$Z$2:$Z$495&lt;=8)*('CONTROL MASTER'!$AB$2:$AB$495&gt;=8)*('CONTROL MASTER'!$AA$2:$AA$495&lt;=1)*('CONTROL MASTER'!$AC$2:$AC$495&gt;=1))*ROW('CONTROL MASTER'!$S$2:$S$495))-(ROW('CONTROL MASTER'!#REF!)-1)))+1)+(1-INDEX('CONTROL MASTER'!$AA$2:$AA$495,(SUMPRODUCT((('CONTROL MASTER'!$S$2:$S$495=15)*('CONTROL MASTER'!$Z$2:$Z$495&lt;=8)*('CONTROL MASTER'!$AB$2:$AB$495&gt;=8)*('CONTROL MASTER'!$AA$2:$AA$495&lt;=1)*('CONTROL MASTER'!$AC$2:$AC$495&gt;=1))*ROW('CONTROL MASTER'!$S$2:$S$495))-(ROW('CONTROL MASTER'!#REF!)-1))))+1)))-1)*50+1,50))&amp;"_"&amp;INDEX('CONTROL MASTER'!$P$2:$P$495,(SUMPRODUCT((('CONTROL MASTER'!$S$2:$S$495=15)*('CONTROL MASTER'!$Z$2:$Z$495&lt;=8)*('CONTROL MASTER'!$AB$2:$AB$495&gt;=8)*('CONTROL MASTER'!$AA$2:$AA$495&lt;=1)*('CONTROL MASTER'!$AC$2:$AC$495&gt;=1))*ROW('CONTROL MASTER'!$S$2:$S$495))-(ROW('CONTROL MASTER'!#REF!)-1))),"")),"")</f>
        <v/>
      </c>
      <c r="C206" s="10" t="str">
        <f>IFERROR(IF(SUMPRODUCT((('CONTROL MASTER'!$S$2:$S$495=15)*('CONTROL MASTER'!$T$2:$T$495&lt;=8)*('CONTROL MASTER'!$V$2:$V$495&gt;=8)*('CONTROL MASTER'!$U$2:$U$495&lt;=2)*('CONTROL MASTER'!$W$2:$W$495&gt;=2))*ROW('CONTROL MASTER'!$S$2:$S$495))&gt;0,INDEX('CONTROL MASTER'!$X$2:$X$495,(SUMPRODUCT((('CONTROL MASTER'!$S$2:$S$495=15)*('CONTROL MASTER'!$T$2:$T$495&lt;=8)*('CONTROL MASTER'!$V$2:$V$495&gt;=8)*('CONTROL MASTER'!$U$2:$U$495&lt;=2)*('CONTROL MASTER'!$W$2:$W$495&gt;=2))*ROW('CONTROL MASTER'!$S$2:$S$495))-(ROW('CONTROL MASTER'!#REF!)-1)))&amp;TRIM(MID(SUBSTITUTE(SUBSTITUTE(INDEX('CONTROL MASTER'!$N$2:$N$495,(SUMPRODUCT((('CONTROL MASTER'!$S$2:$S$495=15)*('CONTROL MASTER'!$T$2:$T$495&lt;=8)*('CONTROL MASTER'!$V$2:$V$495&gt;=8)*('CONTROL MASTER'!$U$2:$U$495&lt;=2)*('CONTROL MASTER'!$W$2:$W$495&gt;=2))*ROW('CONTROL MASTER'!$S$2:$S$495))-(ROW('CONTROL MASTER'!#REF!)-1))),":",","),",",REPT(" ",50)),((((8-INDEX('CONTROL MASTER'!$T$2:$T$495,(SUMPRODUCT((('CONTROL MASTER'!$S$2:$S$495=15)*('CONTROL MASTER'!$T$2:$T$495&lt;=8)*('CONTROL MASTER'!$V$2:$V$495&gt;=8)*('CONTROL MASTER'!$U$2:$U$495&lt;=2)*('CONTROL MASTER'!$W$2:$W$495&gt;=2))*ROW('CONTROL MASTER'!$S$2:$S$495))-(ROW('CONTROL MASTER'!#REF!)-1))))*(INDEX('CONTROL MASTER'!$W$2:$W$495,(SUMPRODUCT((('CONTROL MASTER'!$S$2:$S$495=15)*('CONTROL MASTER'!$T$2:$T$495&lt;=8)*('CONTROL MASTER'!$V$2:$V$495&gt;=8)*('CONTROL MASTER'!$U$2:$U$495&lt;=2)*('CONTROL MASTER'!$W$2:$W$495&gt;=2))*ROW('CONTROL MASTER'!$S$2:$S$495))-(ROW('CONTROL MASTER'!#REF!)-1)))-INDEX('CONTROL MASTER'!$U$2:$U$495,(SUMPRODUCT((('CONTROL MASTER'!$S$2:$S$495=15)*('CONTROL MASTER'!$T$2:$T$495&lt;=8)*('CONTROL MASTER'!$V$2:$V$495&gt;=8)*('CONTROL MASTER'!$U$2:$U$495&lt;=2)*('CONTROL MASTER'!$W$2:$W$495&gt;=2))*ROW('CONTROL MASTER'!$S$2:$S$495))-(ROW('CONTROL MASTER'!#REF!)-1)))+1)+(2-INDEX('CONTROL MASTER'!$U$2:$U$495,(SUMPRODUCT((('CONTROL MASTER'!$S$2:$S$495=15)*('CONTROL MASTER'!$T$2:$T$495&lt;=8)*('CONTROL MASTER'!$V$2:$V$495&gt;=8)*('CONTROL MASTER'!$U$2:$U$495&lt;=2)*('CONTROL MASTER'!$W$2:$W$495&gt;=2))*ROW('CONTROL MASTER'!$S$2:$S$495))-(ROW('CONTROL MASTER'!#REF!)-1))))+1))-1)*50+1,50))&amp;"_"&amp;INDEX('CONTROL MASTER'!$P$2:$P$495,(SUMPRODUCT((('CONTROL MASTER'!$S$2:$S$495=15)*('CONTROL MASTER'!$T$2:$T$495&lt;=8)*('CONTROL MASTER'!$V$2:$V$495&gt;=8)*('CONTROL MASTER'!$U$2:$U$495&lt;=2)*('CONTROL MASTER'!$W$2:$W$495&gt;=2))*ROW('CONTROL MASTER'!$S$2:$S$495))-(ROW('CONTROL MASTER'!#REF!)-1))),IF(SUMPRODUCT((('CONTROL MASTER'!$S$2:$S$495=15)*('CONTROL MASTER'!$Z$2:$Z$495&lt;=8)*('CONTROL MASTER'!$AB$2:$AB$495&gt;=8)*('CONTROL MASTER'!$AA$2:$AA$495&lt;=2)*('CONTROL MASTER'!$AC$2:$AC$495&gt;=2))*ROW('CONTROL MASTER'!$S$2:$S$495))&gt;0,INDEX('CONTROL MASTER'!$X$2:$X$495,(SUMPRODUCT((('CONTROL MASTER'!$S$2:$S$495=15)*('CONTROL MASTER'!$Z$2:$Z$495&lt;=8)*('CONTROL MASTER'!$AB$2:$AB$495&gt;=8)*('CONTROL MASTER'!$AA$2:$AA$495&lt;=2)*('CONTROL MASTER'!$AC$2:$AC$495&gt;=2))*ROW('CONTROL MASTER'!$S$2:$S$495))-(ROW('CONTROL MASTER'!#REF!)-1)))&amp;TRIM(MID(SUBSTITUTE(SUBSTITUTE(INDEX('CONTROL MASTER'!$N$2:$N$495,(SUMPRODUCT((('CONTROL MASTER'!$S$2:$S$495=15)*('CONTROL MASTER'!$Z$2:$Z$495&lt;=8)*('CONTROL MASTER'!$AB$2:$AB$495&gt;=8)*('CONTROL MASTER'!$AA$2:$AA$495&lt;=2)*('CONTROL MASTER'!$AC$2:$AC$495&gt;=2))*ROW('CONTROL MASTER'!$S$2:$S$495))-(ROW('CONTROL MASTER'!#REF!)-1))),":",","),",",REPT(" ",50)),(((INDEX('CONTROL MASTER'!$Y$2:$Y$495,(SUMPRODUCT((('CONTROL MASTER'!$S$2:$S$495=15)*('CONTROL MASTER'!$Z$2:$Z$495&lt;=8)*('CONTROL MASTER'!$AB$2:$AB$495&gt;=8)*('CONTROL MASTER'!$AA$2:$AA$495&lt;=2)*('CONTROL MASTER'!$AC$2:$AC$495&gt;=2))*ROW('CONTROL MASTER'!$S$2:$S$495))-(ROW('CONTROL MASTER'!#REF!)-1)))+((8-INDEX('CONTROL MASTER'!$Z$2:$Z$495,(SUMPRODUCT((('CONTROL MASTER'!$S$2:$S$495=15)*('CONTROL MASTER'!$Z$2:$Z$495&lt;=8)*('CONTROL MASTER'!$AB$2:$AB$495&gt;=8)*('CONTROL MASTER'!$AA$2:$AA$495&lt;=2)*('CONTROL MASTER'!$AC$2:$AC$495&gt;=2))*ROW('CONTROL MASTER'!$S$2:$S$495))-(ROW('CONTROL MASTER'!#REF!)-1))))*(INDEX('CONTROL MASTER'!$AC$2:$AC$495,(SUMPRODUCT((('CONTROL MASTER'!$S$2:$S$495=15)*('CONTROL MASTER'!$Z$2:$Z$495&lt;=8)*('CONTROL MASTER'!$AB$2:$AB$495&gt;=8)*('CONTROL MASTER'!$AA$2:$AA$495&lt;=2)*('CONTROL MASTER'!$AC$2:$AC$495&gt;=2))*ROW('CONTROL MASTER'!$S$2:$S$495))-(ROW('CONTROL MASTER'!#REF!)-1)))-INDEX('CONTROL MASTER'!$AA$2:$AA$495,(SUMPRODUCT((('CONTROL MASTER'!$S$2:$S$495=15)*('CONTROL MASTER'!$Z$2:$Z$495&lt;=8)*('CONTROL MASTER'!$AB$2:$AB$495&gt;=8)*('CONTROL MASTER'!$AA$2:$AA$495&lt;=2)*('CONTROL MASTER'!$AC$2:$AC$495&gt;=2))*ROW('CONTROL MASTER'!$S$2:$S$495))-(ROW('CONTROL MASTER'!#REF!)-1)))+1)+(2-INDEX('CONTROL MASTER'!$AA$2:$AA$495,(SUMPRODUCT((('CONTROL MASTER'!$S$2:$S$495=15)*('CONTROL MASTER'!$Z$2:$Z$495&lt;=8)*('CONTROL MASTER'!$AB$2:$AB$495&gt;=8)*('CONTROL MASTER'!$AA$2:$AA$495&lt;=2)*('CONTROL MASTER'!$AC$2:$AC$495&gt;=2))*ROW('CONTROL MASTER'!$S$2:$S$495))-(ROW('CONTROL MASTER'!#REF!)-1))))+1)))-1)*50+1,50))&amp;"_"&amp;INDEX('CONTROL MASTER'!$P$2:$P$495,(SUMPRODUCT((('CONTROL MASTER'!$S$2:$S$495=15)*('CONTROL MASTER'!$Z$2:$Z$495&lt;=8)*('CONTROL MASTER'!$AB$2:$AB$495&gt;=8)*('CONTROL MASTER'!$AA$2:$AA$495&lt;=2)*('CONTROL MASTER'!$AC$2:$AC$495&gt;=2))*ROW('CONTROL MASTER'!$S$2:$S$495))-(ROW('CONTROL MASTER'!#REF!)-1))),"")),"")</f>
        <v/>
      </c>
      <c r="D206" s="10" t="str">
        <f>IFERROR(IF(SUMPRODUCT((('CONTROL MASTER'!$S$2:$S$495=15)*('CONTROL MASTER'!$T$2:$T$495&lt;=8)*('CONTROL MASTER'!$V$2:$V$495&gt;=8)*('CONTROL MASTER'!$U$2:$U$495&lt;=3)*('CONTROL MASTER'!$W$2:$W$495&gt;=3))*ROW('CONTROL MASTER'!$S$2:$S$495))&gt;0,INDEX('CONTROL MASTER'!$X$2:$X$495,(SUMPRODUCT((('CONTROL MASTER'!$S$2:$S$495=15)*('CONTROL MASTER'!$T$2:$T$495&lt;=8)*('CONTROL MASTER'!$V$2:$V$495&gt;=8)*('CONTROL MASTER'!$U$2:$U$495&lt;=3)*('CONTROL MASTER'!$W$2:$W$495&gt;=3))*ROW('CONTROL MASTER'!$S$2:$S$495))-(ROW('CONTROL MASTER'!#REF!)-1)))&amp;TRIM(MID(SUBSTITUTE(SUBSTITUTE(INDEX('CONTROL MASTER'!$N$2:$N$495,(SUMPRODUCT((('CONTROL MASTER'!$S$2:$S$495=15)*('CONTROL MASTER'!$T$2:$T$495&lt;=8)*('CONTROL MASTER'!$V$2:$V$495&gt;=8)*('CONTROL MASTER'!$U$2:$U$495&lt;=3)*('CONTROL MASTER'!$W$2:$W$495&gt;=3))*ROW('CONTROL MASTER'!$S$2:$S$495))-(ROW('CONTROL MASTER'!#REF!)-1))),":",","),",",REPT(" ",50)),((((8-INDEX('CONTROL MASTER'!$T$2:$T$495,(SUMPRODUCT((('CONTROL MASTER'!$S$2:$S$495=15)*('CONTROL MASTER'!$T$2:$T$495&lt;=8)*('CONTROL MASTER'!$V$2:$V$495&gt;=8)*('CONTROL MASTER'!$U$2:$U$495&lt;=3)*('CONTROL MASTER'!$W$2:$W$495&gt;=3))*ROW('CONTROL MASTER'!$S$2:$S$495))-(ROW('CONTROL MASTER'!#REF!)-1))))*(INDEX('CONTROL MASTER'!$W$2:$W$495,(SUMPRODUCT((('CONTROL MASTER'!$S$2:$S$495=15)*('CONTROL MASTER'!$T$2:$T$495&lt;=8)*('CONTROL MASTER'!$V$2:$V$495&gt;=8)*('CONTROL MASTER'!$U$2:$U$495&lt;=3)*('CONTROL MASTER'!$W$2:$W$495&gt;=3))*ROW('CONTROL MASTER'!$S$2:$S$495))-(ROW('CONTROL MASTER'!#REF!)-1)))-INDEX('CONTROL MASTER'!$U$2:$U$495,(SUMPRODUCT((('CONTROL MASTER'!$S$2:$S$495=15)*('CONTROL MASTER'!$T$2:$T$495&lt;=8)*('CONTROL MASTER'!$V$2:$V$495&gt;=8)*('CONTROL MASTER'!$U$2:$U$495&lt;=3)*('CONTROL MASTER'!$W$2:$W$495&gt;=3))*ROW('CONTROL MASTER'!$S$2:$S$495))-(ROW('CONTROL MASTER'!#REF!)-1)))+1)+(3-INDEX('CONTROL MASTER'!$U$2:$U$495,(SUMPRODUCT((('CONTROL MASTER'!$S$2:$S$495=15)*('CONTROL MASTER'!$T$2:$T$495&lt;=8)*('CONTROL MASTER'!$V$2:$V$495&gt;=8)*('CONTROL MASTER'!$U$2:$U$495&lt;=3)*('CONTROL MASTER'!$W$2:$W$495&gt;=3))*ROW('CONTROL MASTER'!$S$2:$S$495))-(ROW('CONTROL MASTER'!#REF!)-1))))+1))-1)*50+1,50))&amp;"_"&amp;INDEX('CONTROL MASTER'!$P$2:$P$495,(SUMPRODUCT((('CONTROL MASTER'!$S$2:$S$495=15)*('CONTROL MASTER'!$T$2:$T$495&lt;=8)*('CONTROL MASTER'!$V$2:$V$495&gt;=8)*('CONTROL MASTER'!$U$2:$U$495&lt;=3)*('CONTROL MASTER'!$W$2:$W$495&gt;=3))*ROW('CONTROL MASTER'!$S$2:$S$495))-(ROW('CONTROL MASTER'!#REF!)-1))),IF(SUMPRODUCT((('CONTROL MASTER'!$S$2:$S$495=15)*('CONTROL MASTER'!$Z$2:$Z$495&lt;=8)*('CONTROL MASTER'!$AB$2:$AB$495&gt;=8)*('CONTROL MASTER'!$AA$2:$AA$495&lt;=3)*('CONTROL MASTER'!$AC$2:$AC$495&gt;=3))*ROW('CONTROL MASTER'!$S$2:$S$495))&gt;0,INDEX('CONTROL MASTER'!$X$2:$X$495,(SUMPRODUCT((('CONTROL MASTER'!$S$2:$S$495=15)*('CONTROL MASTER'!$Z$2:$Z$495&lt;=8)*('CONTROL MASTER'!$AB$2:$AB$495&gt;=8)*('CONTROL MASTER'!$AA$2:$AA$495&lt;=3)*('CONTROL MASTER'!$AC$2:$AC$495&gt;=3))*ROW('CONTROL MASTER'!$S$2:$S$495))-(ROW('CONTROL MASTER'!#REF!)-1)))&amp;TRIM(MID(SUBSTITUTE(SUBSTITUTE(INDEX('CONTROL MASTER'!$N$2:$N$495,(SUMPRODUCT((('CONTROL MASTER'!$S$2:$S$495=15)*('CONTROL MASTER'!$Z$2:$Z$495&lt;=8)*('CONTROL MASTER'!$AB$2:$AB$495&gt;=8)*('CONTROL MASTER'!$AA$2:$AA$495&lt;=3)*('CONTROL MASTER'!$AC$2:$AC$495&gt;=3))*ROW('CONTROL MASTER'!$S$2:$S$495))-(ROW('CONTROL MASTER'!#REF!)-1))),":",","),",",REPT(" ",50)),(((INDEX('CONTROL MASTER'!$Y$2:$Y$495,(SUMPRODUCT((('CONTROL MASTER'!$S$2:$S$495=15)*('CONTROL MASTER'!$Z$2:$Z$495&lt;=8)*('CONTROL MASTER'!$AB$2:$AB$495&gt;=8)*('CONTROL MASTER'!$AA$2:$AA$495&lt;=3)*('CONTROL MASTER'!$AC$2:$AC$495&gt;=3))*ROW('CONTROL MASTER'!$S$2:$S$495))-(ROW('CONTROL MASTER'!#REF!)-1)))+((8-INDEX('CONTROL MASTER'!$Z$2:$Z$495,(SUMPRODUCT((('CONTROL MASTER'!$S$2:$S$495=15)*('CONTROL MASTER'!$Z$2:$Z$495&lt;=8)*('CONTROL MASTER'!$AB$2:$AB$495&gt;=8)*('CONTROL MASTER'!$AA$2:$AA$495&lt;=3)*('CONTROL MASTER'!$AC$2:$AC$495&gt;=3))*ROW('CONTROL MASTER'!$S$2:$S$495))-(ROW('CONTROL MASTER'!#REF!)-1))))*(INDEX('CONTROL MASTER'!$AC$2:$AC$495,(SUMPRODUCT((('CONTROL MASTER'!$S$2:$S$495=15)*('CONTROL MASTER'!$Z$2:$Z$495&lt;=8)*('CONTROL MASTER'!$AB$2:$AB$495&gt;=8)*('CONTROL MASTER'!$AA$2:$AA$495&lt;=3)*('CONTROL MASTER'!$AC$2:$AC$495&gt;=3))*ROW('CONTROL MASTER'!$S$2:$S$495))-(ROW('CONTROL MASTER'!#REF!)-1)))-INDEX('CONTROL MASTER'!$AA$2:$AA$495,(SUMPRODUCT((('CONTROL MASTER'!$S$2:$S$495=15)*('CONTROL MASTER'!$Z$2:$Z$495&lt;=8)*('CONTROL MASTER'!$AB$2:$AB$495&gt;=8)*('CONTROL MASTER'!$AA$2:$AA$495&lt;=3)*('CONTROL MASTER'!$AC$2:$AC$495&gt;=3))*ROW('CONTROL MASTER'!$S$2:$S$495))-(ROW('CONTROL MASTER'!#REF!)-1)))+1)+(3-INDEX('CONTROL MASTER'!$AA$2:$AA$495,(SUMPRODUCT((('CONTROL MASTER'!$S$2:$S$495=15)*('CONTROL MASTER'!$Z$2:$Z$495&lt;=8)*('CONTROL MASTER'!$AB$2:$AB$495&gt;=8)*('CONTROL MASTER'!$AA$2:$AA$495&lt;=3)*('CONTROL MASTER'!$AC$2:$AC$495&gt;=3))*ROW('CONTROL MASTER'!$S$2:$S$495))-(ROW('CONTROL MASTER'!#REF!)-1))))+1)))-1)*50+1,50))&amp;"_"&amp;INDEX('CONTROL MASTER'!$P$2:$P$495,(SUMPRODUCT((('CONTROL MASTER'!$S$2:$S$495=15)*('CONTROL MASTER'!$Z$2:$Z$495&lt;=8)*('CONTROL MASTER'!$AB$2:$AB$495&gt;=8)*('CONTROL MASTER'!$AA$2:$AA$495&lt;=3)*('CONTROL MASTER'!$AC$2:$AC$495&gt;=3))*ROW('CONTROL MASTER'!$S$2:$S$495))-(ROW('CONTROL MASTER'!#REF!)-1))),"")),"")</f>
        <v/>
      </c>
      <c r="E206" s="10" t="str">
        <f>IFERROR(IF(SUMPRODUCT((('CONTROL MASTER'!$S$2:$S$495=15)*('CONTROL MASTER'!$T$2:$T$495&lt;=8)*('CONTROL MASTER'!$V$2:$V$495&gt;=8)*('CONTROL MASTER'!$U$2:$U$495&lt;=4)*('CONTROL MASTER'!$W$2:$W$495&gt;=4))*ROW('CONTROL MASTER'!$S$2:$S$495))&gt;0,INDEX('CONTROL MASTER'!$X$2:$X$495,(SUMPRODUCT((('CONTROL MASTER'!$S$2:$S$495=15)*('CONTROL MASTER'!$T$2:$T$495&lt;=8)*('CONTROL MASTER'!$V$2:$V$495&gt;=8)*('CONTROL MASTER'!$U$2:$U$495&lt;=4)*('CONTROL MASTER'!$W$2:$W$495&gt;=4))*ROW('CONTROL MASTER'!$S$2:$S$495))-(ROW('CONTROL MASTER'!#REF!)-1)))&amp;TRIM(MID(SUBSTITUTE(SUBSTITUTE(INDEX('CONTROL MASTER'!$N$2:$N$495,(SUMPRODUCT((('CONTROL MASTER'!$S$2:$S$495=15)*('CONTROL MASTER'!$T$2:$T$495&lt;=8)*('CONTROL MASTER'!$V$2:$V$495&gt;=8)*('CONTROL MASTER'!$U$2:$U$495&lt;=4)*('CONTROL MASTER'!$W$2:$W$495&gt;=4))*ROW('CONTROL MASTER'!$S$2:$S$495))-(ROW('CONTROL MASTER'!#REF!)-1))),":",","),",",REPT(" ",50)),((((8-INDEX('CONTROL MASTER'!$T$2:$T$495,(SUMPRODUCT((('CONTROL MASTER'!$S$2:$S$495=15)*('CONTROL MASTER'!$T$2:$T$495&lt;=8)*('CONTROL MASTER'!$V$2:$V$495&gt;=8)*('CONTROL MASTER'!$U$2:$U$495&lt;=4)*('CONTROL MASTER'!$W$2:$W$495&gt;=4))*ROW('CONTROL MASTER'!$S$2:$S$495))-(ROW('CONTROL MASTER'!#REF!)-1))))*(INDEX('CONTROL MASTER'!$W$2:$W$495,(SUMPRODUCT((('CONTROL MASTER'!$S$2:$S$495=15)*('CONTROL MASTER'!$T$2:$T$495&lt;=8)*('CONTROL MASTER'!$V$2:$V$495&gt;=8)*('CONTROL MASTER'!$U$2:$U$495&lt;=4)*('CONTROL MASTER'!$W$2:$W$495&gt;=4))*ROW('CONTROL MASTER'!$S$2:$S$495))-(ROW('CONTROL MASTER'!#REF!)-1)))-INDEX('CONTROL MASTER'!$U$2:$U$495,(SUMPRODUCT((('CONTROL MASTER'!$S$2:$S$495=15)*('CONTROL MASTER'!$T$2:$T$495&lt;=8)*('CONTROL MASTER'!$V$2:$V$495&gt;=8)*('CONTROL MASTER'!$U$2:$U$495&lt;=4)*('CONTROL MASTER'!$W$2:$W$495&gt;=4))*ROW('CONTROL MASTER'!$S$2:$S$495))-(ROW('CONTROL MASTER'!#REF!)-1)))+1)+(4-INDEX('CONTROL MASTER'!$U$2:$U$495,(SUMPRODUCT((('CONTROL MASTER'!$S$2:$S$495=15)*('CONTROL MASTER'!$T$2:$T$495&lt;=8)*('CONTROL MASTER'!$V$2:$V$495&gt;=8)*('CONTROL MASTER'!$U$2:$U$495&lt;=4)*('CONTROL MASTER'!$W$2:$W$495&gt;=4))*ROW('CONTROL MASTER'!$S$2:$S$495))-(ROW('CONTROL MASTER'!#REF!)-1))))+1))-1)*50+1,50))&amp;"_"&amp;INDEX('CONTROL MASTER'!$P$2:$P$495,(SUMPRODUCT((('CONTROL MASTER'!$S$2:$S$495=15)*('CONTROL MASTER'!$T$2:$T$495&lt;=8)*('CONTROL MASTER'!$V$2:$V$495&gt;=8)*('CONTROL MASTER'!$U$2:$U$495&lt;=4)*('CONTROL MASTER'!$W$2:$W$495&gt;=4))*ROW('CONTROL MASTER'!$S$2:$S$495))-(ROW('CONTROL MASTER'!#REF!)-1))),IF(SUMPRODUCT((('CONTROL MASTER'!$S$2:$S$495=15)*('CONTROL MASTER'!$Z$2:$Z$495&lt;=8)*('CONTROL MASTER'!$AB$2:$AB$495&gt;=8)*('CONTROL MASTER'!$AA$2:$AA$495&lt;=4)*('CONTROL MASTER'!$AC$2:$AC$495&gt;=4))*ROW('CONTROL MASTER'!$S$2:$S$495))&gt;0,INDEX('CONTROL MASTER'!$X$2:$X$495,(SUMPRODUCT((('CONTROL MASTER'!$S$2:$S$495=15)*('CONTROL MASTER'!$Z$2:$Z$495&lt;=8)*('CONTROL MASTER'!$AB$2:$AB$495&gt;=8)*('CONTROL MASTER'!$AA$2:$AA$495&lt;=4)*('CONTROL MASTER'!$AC$2:$AC$495&gt;=4))*ROW('CONTROL MASTER'!$S$2:$S$495))-(ROW('CONTROL MASTER'!#REF!)-1)))&amp;TRIM(MID(SUBSTITUTE(SUBSTITUTE(INDEX('CONTROL MASTER'!$N$2:$N$495,(SUMPRODUCT((('CONTROL MASTER'!$S$2:$S$495=15)*('CONTROL MASTER'!$Z$2:$Z$495&lt;=8)*('CONTROL MASTER'!$AB$2:$AB$495&gt;=8)*('CONTROL MASTER'!$AA$2:$AA$495&lt;=4)*('CONTROL MASTER'!$AC$2:$AC$495&gt;=4))*ROW('CONTROL MASTER'!$S$2:$S$495))-(ROW('CONTROL MASTER'!#REF!)-1))),":",","),",",REPT(" ",50)),(((INDEX('CONTROL MASTER'!$Y$2:$Y$495,(SUMPRODUCT((('CONTROL MASTER'!$S$2:$S$495=15)*('CONTROL MASTER'!$Z$2:$Z$495&lt;=8)*('CONTROL MASTER'!$AB$2:$AB$495&gt;=8)*('CONTROL MASTER'!$AA$2:$AA$495&lt;=4)*('CONTROL MASTER'!$AC$2:$AC$495&gt;=4))*ROW('CONTROL MASTER'!$S$2:$S$495))-(ROW('CONTROL MASTER'!#REF!)-1)))+((8-INDEX('CONTROL MASTER'!$Z$2:$Z$495,(SUMPRODUCT((('CONTROL MASTER'!$S$2:$S$495=15)*('CONTROL MASTER'!$Z$2:$Z$495&lt;=8)*('CONTROL MASTER'!$AB$2:$AB$495&gt;=8)*('CONTROL MASTER'!$AA$2:$AA$495&lt;=4)*('CONTROL MASTER'!$AC$2:$AC$495&gt;=4))*ROW('CONTROL MASTER'!$S$2:$S$495))-(ROW('CONTROL MASTER'!#REF!)-1))))*(INDEX('CONTROL MASTER'!$AC$2:$AC$495,(SUMPRODUCT((('CONTROL MASTER'!$S$2:$S$495=15)*('CONTROL MASTER'!$Z$2:$Z$495&lt;=8)*('CONTROL MASTER'!$AB$2:$AB$495&gt;=8)*('CONTROL MASTER'!$AA$2:$AA$495&lt;=4)*('CONTROL MASTER'!$AC$2:$AC$495&gt;=4))*ROW('CONTROL MASTER'!$S$2:$S$495))-(ROW('CONTROL MASTER'!#REF!)-1)))-INDEX('CONTROL MASTER'!$AA$2:$AA$495,(SUMPRODUCT((('CONTROL MASTER'!$S$2:$S$495=15)*('CONTROL MASTER'!$Z$2:$Z$495&lt;=8)*('CONTROL MASTER'!$AB$2:$AB$495&gt;=8)*('CONTROL MASTER'!$AA$2:$AA$495&lt;=4)*('CONTROL MASTER'!$AC$2:$AC$495&gt;=4))*ROW('CONTROL MASTER'!$S$2:$S$495))-(ROW('CONTROL MASTER'!#REF!)-1)))+1)+(4-INDEX('CONTROL MASTER'!$AA$2:$AA$495,(SUMPRODUCT((('CONTROL MASTER'!$S$2:$S$495=15)*('CONTROL MASTER'!$Z$2:$Z$495&lt;=8)*('CONTROL MASTER'!$AB$2:$AB$495&gt;=8)*('CONTROL MASTER'!$AA$2:$AA$495&lt;=4)*('CONTROL MASTER'!$AC$2:$AC$495&gt;=4))*ROW('CONTROL MASTER'!$S$2:$S$495))-(ROW('CONTROL MASTER'!#REF!)-1))))+1)))-1)*50+1,50))&amp;"_"&amp;INDEX('CONTROL MASTER'!$P$2:$P$495,(SUMPRODUCT((('CONTROL MASTER'!$S$2:$S$495=15)*('CONTROL MASTER'!$Z$2:$Z$495&lt;=8)*('CONTROL MASTER'!$AB$2:$AB$495&gt;=8)*('CONTROL MASTER'!$AA$2:$AA$495&lt;=4)*('CONTROL MASTER'!$AC$2:$AC$495&gt;=4))*ROW('CONTROL MASTER'!$S$2:$S$495))-(ROW('CONTROL MASTER'!#REF!)-1))),"")),"")</f>
        <v/>
      </c>
      <c r="F206" s="10" t="str">
        <f>IFERROR(IF(SUMPRODUCT((('CONTROL MASTER'!$S$2:$S$495=15)*('CONTROL MASTER'!$T$2:$T$495&lt;=8)*('CONTROL MASTER'!$V$2:$V$495&gt;=8)*('CONTROL MASTER'!$U$2:$U$495&lt;=5)*('CONTROL MASTER'!$W$2:$W$495&gt;=5))*ROW('CONTROL MASTER'!$S$2:$S$495))&gt;0,INDEX('CONTROL MASTER'!$X$2:$X$495,(SUMPRODUCT((('CONTROL MASTER'!$S$2:$S$495=15)*('CONTROL MASTER'!$T$2:$T$495&lt;=8)*('CONTROL MASTER'!$V$2:$V$495&gt;=8)*('CONTROL MASTER'!$U$2:$U$495&lt;=5)*('CONTROL MASTER'!$W$2:$W$495&gt;=5))*ROW('CONTROL MASTER'!$S$2:$S$495))-(ROW('CONTROL MASTER'!#REF!)-1)))&amp;TRIM(MID(SUBSTITUTE(SUBSTITUTE(INDEX('CONTROL MASTER'!$N$2:$N$495,(SUMPRODUCT((('CONTROL MASTER'!$S$2:$S$495=15)*('CONTROL MASTER'!$T$2:$T$495&lt;=8)*('CONTROL MASTER'!$V$2:$V$495&gt;=8)*('CONTROL MASTER'!$U$2:$U$495&lt;=5)*('CONTROL MASTER'!$W$2:$W$495&gt;=5))*ROW('CONTROL MASTER'!$S$2:$S$495))-(ROW('CONTROL MASTER'!#REF!)-1))),":",","),",",REPT(" ",50)),((((8-INDEX('CONTROL MASTER'!$T$2:$T$495,(SUMPRODUCT((('CONTROL MASTER'!$S$2:$S$495=15)*('CONTROL MASTER'!$T$2:$T$495&lt;=8)*('CONTROL MASTER'!$V$2:$V$495&gt;=8)*('CONTROL MASTER'!$U$2:$U$495&lt;=5)*('CONTROL MASTER'!$W$2:$W$495&gt;=5))*ROW('CONTROL MASTER'!$S$2:$S$495))-(ROW('CONTROL MASTER'!#REF!)-1))))*(INDEX('CONTROL MASTER'!$W$2:$W$495,(SUMPRODUCT((('CONTROL MASTER'!$S$2:$S$495=15)*('CONTROL MASTER'!$T$2:$T$495&lt;=8)*('CONTROL MASTER'!$V$2:$V$495&gt;=8)*('CONTROL MASTER'!$U$2:$U$495&lt;=5)*('CONTROL MASTER'!$W$2:$W$495&gt;=5))*ROW('CONTROL MASTER'!$S$2:$S$495))-(ROW('CONTROL MASTER'!#REF!)-1)))-INDEX('CONTROL MASTER'!$U$2:$U$495,(SUMPRODUCT((('CONTROL MASTER'!$S$2:$S$495=15)*('CONTROL MASTER'!$T$2:$T$495&lt;=8)*('CONTROL MASTER'!$V$2:$V$495&gt;=8)*('CONTROL MASTER'!$U$2:$U$495&lt;=5)*('CONTROL MASTER'!$W$2:$W$495&gt;=5))*ROW('CONTROL MASTER'!$S$2:$S$495))-(ROW('CONTROL MASTER'!#REF!)-1)))+1)+(5-INDEX('CONTROL MASTER'!$U$2:$U$495,(SUMPRODUCT((('CONTROL MASTER'!$S$2:$S$495=15)*('CONTROL MASTER'!$T$2:$T$495&lt;=8)*('CONTROL MASTER'!$V$2:$V$495&gt;=8)*('CONTROL MASTER'!$U$2:$U$495&lt;=5)*('CONTROL MASTER'!$W$2:$W$495&gt;=5))*ROW('CONTROL MASTER'!$S$2:$S$495))-(ROW('CONTROL MASTER'!#REF!)-1))))+1))-1)*50+1,50))&amp;"_"&amp;INDEX('CONTROL MASTER'!$P$2:$P$495,(SUMPRODUCT((('CONTROL MASTER'!$S$2:$S$495=15)*('CONTROL MASTER'!$T$2:$T$495&lt;=8)*('CONTROL MASTER'!$V$2:$V$495&gt;=8)*('CONTROL MASTER'!$U$2:$U$495&lt;=5)*('CONTROL MASTER'!$W$2:$W$495&gt;=5))*ROW('CONTROL MASTER'!$S$2:$S$495))-(ROW('CONTROL MASTER'!#REF!)-1))),IF(SUMPRODUCT((('CONTROL MASTER'!$S$2:$S$495=15)*('CONTROL MASTER'!$Z$2:$Z$495&lt;=8)*('CONTROL MASTER'!$AB$2:$AB$495&gt;=8)*('CONTROL MASTER'!$AA$2:$AA$495&lt;=5)*('CONTROL MASTER'!$AC$2:$AC$495&gt;=5))*ROW('CONTROL MASTER'!$S$2:$S$495))&gt;0,INDEX('CONTROL MASTER'!$X$2:$X$495,(SUMPRODUCT((('CONTROL MASTER'!$S$2:$S$495=15)*('CONTROL MASTER'!$Z$2:$Z$495&lt;=8)*('CONTROL MASTER'!$AB$2:$AB$495&gt;=8)*('CONTROL MASTER'!$AA$2:$AA$495&lt;=5)*('CONTROL MASTER'!$AC$2:$AC$495&gt;=5))*ROW('CONTROL MASTER'!$S$2:$S$495))-(ROW('CONTROL MASTER'!#REF!)-1)))&amp;TRIM(MID(SUBSTITUTE(SUBSTITUTE(INDEX('CONTROL MASTER'!$N$2:$N$495,(SUMPRODUCT((('CONTROL MASTER'!$S$2:$S$495=15)*('CONTROL MASTER'!$Z$2:$Z$495&lt;=8)*('CONTROL MASTER'!$AB$2:$AB$495&gt;=8)*('CONTROL MASTER'!$AA$2:$AA$495&lt;=5)*('CONTROL MASTER'!$AC$2:$AC$495&gt;=5))*ROW('CONTROL MASTER'!$S$2:$S$495))-(ROW('CONTROL MASTER'!#REF!)-1))),":",","),",",REPT(" ",50)),(((INDEX('CONTROL MASTER'!$Y$2:$Y$495,(SUMPRODUCT((('CONTROL MASTER'!$S$2:$S$495=15)*('CONTROL MASTER'!$Z$2:$Z$495&lt;=8)*('CONTROL MASTER'!$AB$2:$AB$495&gt;=8)*('CONTROL MASTER'!$AA$2:$AA$495&lt;=5)*('CONTROL MASTER'!$AC$2:$AC$495&gt;=5))*ROW('CONTROL MASTER'!$S$2:$S$495))-(ROW('CONTROL MASTER'!#REF!)-1)))+((8-INDEX('CONTROL MASTER'!$Z$2:$Z$495,(SUMPRODUCT((('CONTROL MASTER'!$S$2:$S$495=15)*('CONTROL MASTER'!$Z$2:$Z$495&lt;=8)*('CONTROL MASTER'!$AB$2:$AB$495&gt;=8)*('CONTROL MASTER'!$AA$2:$AA$495&lt;=5)*('CONTROL MASTER'!$AC$2:$AC$495&gt;=5))*ROW('CONTROL MASTER'!$S$2:$S$495))-(ROW('CONTROL MASTER'!#REF!)-1))))*(INDEX('CONTROL MASTER'!$AC$2:$AC$495,(SUMPRODUCT((('CONTROL MASTER'!$S$2:$S$495=15)*('CONTROL MASTER'!$Z$2:$Z$495&lt;=8)*('CONTROL MASTER'!$AB$2:$AB$495&gt;=8)*('CONTROL MASTER'!$AA$2:$AA$495&lt;=5)*('CONTROL MASTER'!$AC$2:$AC$495&gt;=5))*ROW('CONTROL MASTER'!$S$2:$S$495))-(ROW('CONTROL MASTER'!#REF!)-1)))-INDEX('CONTROL MASTER'!$AA$2:$AA$495,(SUMPRODUCT((('CONTROL MASTER'!$S$2:$S$495=15)*('CONTROL MASTER'!$Z$2:$Z$495&lt;=8)*('CONTROL MASTER'!$AB$2:$AB$495&gt;=8)*('CONTROL MASTER'!$AA$2:$AA$495&lt;=5)*('CONTROL MASTER'!$AC$2:$AC$495&gt;=5))*ROW('CONTROL MASTER'!$S$2:$S$495))-(ROW('CONTROL MASTER'!#REF!)-1)))+1)+(5-INDEX('CONTROL MASTER'!$AA$2:$AA$495,(SUMPRODUCT((('CONTROL MASTER'!$S$2:$S$495=15)*('CONTROL MASTER'!$Z$2:$Z$495&lt;=8)*('CONTROL MASTER'!$AB$2:$AB$495&gt;=8)*('CONTROL MASTER'!$AA$2:$AA$495&lt;=5)*('CONTROL MASTER'!$AC$2:$AC$495&gt;=5))*ROW('CONTROL MASTER'!$S$2:$S$495))-(ROW('CONTROL MASTER'!#REF!)-1))))+1)))-1)*50+1,50))&amp;"_"&amp;INDEX('CONTROL MASTER'!$P$2:$P$495,(SUMPRODUCT((('CONTROL MASTER'!$S$2:$S$495=15)*('CONTROL MASTER'!$Z$2:$Z$495&lt;=8)*('CONTROL MASTER'!$AB$2:$AB$495&gt;=8)*('CONTROL MASTER'!$AA$2:$AA$495&lt;=5)*('CONTROL MASTER'!$AC$2:$AC$495&gt;=5))*ROW('CONTROL MASTER'!$S$2:$S$495))-(ROW('CONTROL MASTER'!#REF!)-1))),"")),"")</f>
        <v/>
      </c>
      <c r="G206" s="10" t="str">
        <f>IFERROR(IF(SUMPRODUCT((('CONTROL MASTER'!$S$2:$S$495=15)*('CONTROL MASTER'!$T$2:$T$495&lt;=8)*('CONTROL MASTER'!$V$2:$V$495&gt;=8)*('CONTROL MASTER'!$U$2:$U$495&lt;=6)*('CONTROL MASTER'!$W$2:$W$495&gt;=6))*ROW('CONTROL MASTER'!$S$2:$S$495))&gt;0,INDEX('CONTROL MASTER'!$X$2:$X$495,(SUMPRODUCT((('CONTROL MASTER'!$S$2:$S$495=15)*('CONTROL MASTER'!$T$2:$T$495&lt;=8)*('CONTROL MASTER'!$V$2:$V$495&gt;=8)*('CONTROL MASTER'!$U$2:$U$495&lt;=6)*('CONTROL MASTER'!$W$2:$W$495&gt;=6))*ROW('CONTROL MASTER'!$S$2:$S$495))-(ROW('CONTROL MASTER'!#REF!)-1)))&amp;TRIM(MID(SUBSTITUTE(SUBSTITUTE(INDEX('CONTROL MASTER'!$N$2:$N$495,(SUMPRODUCT((('CONTROL MASTER'!$S$2:$S$495=15)*('CONTROL MASTER'!$T$2:$T$495&lt;=8)*('CONTROL MASTER'!$V$2:$V$495&gt;=8)*('CONTROL MASTER'!$U$2:$U$495&lt;=6)*('CONTROL MASTER'!$W$2:$W$495&gt;=6))*ROW('CONTROL MASTER'!$S$2:$S$495))-(ROW('CONTROL MASTER'!#REF!)-1))),":",","),",",REPT(" ",50)),((((8-INDEX('CONTROL MASTER'!$T$2:$T$495,(SUMPRODUCT((('CONTROL MASTER'!$S$2:$S$495=15)*('CONTROL MASTER'!$T$2:$T$495&lt;=8)*('CONTROL MASTER'!$V$2:$V$495&gt;=8)*('CONTROL MASTER'!$U$2:$U$495&lt;=6)*('CONTROL MASTER'!$W$2:$W$495&gt;=6))*ROW('CONTROL MASTER'!$S$2:$S$495))-(ROW('CONTROL MASTER'!#REF!)-1))))*(INDEX('CONTROL MASTER'!$W$2:$W$495,(SUMPRODUCT((('CONTROL MASTER'!$S$2:$S$495=15)*('CONTROL MASTER'!$T$2:$T$495&lt;=8)*('CONTROL MASTER'!$V$2:$V$495&gt;=8)*('CONTROL MASTER'!$U$2:$U$495&lt;=6)*('CONTROL MASTER'!$W$2:$W$495&gt;=6))*ROW('CONTROL MASTER'!$S$2:$S$495))-(ROW('CONTROL MASTER'!#REF!)-1)))-INDEX('CONTROL MASTER'!$U$2:$U$495,(SUMPRODUCT((('CONTROL MASTER'!$S$2:$S$495=15)*('CONTROL MASTER'!$T$2:$T$495&lt;=8)*('CONTROL MASTER'!$V$2:$V$495&gt;=8)*('CONTROL MASTER'!$U$2:$U$495&lt;=6)*('CONTROL MASTER'!$W$2:$W$495&gt;=6))*ROW('CONTROL MASTER'!$S$2:$S$495))-(ROW('CONTROL MASTER'!#REF!)-1)))+1)+(6-INDEX('CONTROL MASTER'!$U$2:$U$495,(SUMPRODUCT((('CONTROL MASTER'!$S$2:$S$495=15)*('CONTROL MASTER'!$T$2:$T$495&lt;=8)*('CONTROL MASTER'!$V$2:$V$495&gt;=8)*('CONTROL MASTER'!$U$2:$U$495&lt;=6)*('CONTROL MASTER'!$W$2:$W$495&gt;=6))*ROW('CONTROL MASTER'!$S$2:$S$495))-(ROW('CONTROL MASTER'!#REF!)-1))))+1))-1)*50+1,50))&amp;"_"&amp;INDEX('CONTROL MASTER'!$P$2:$P$495,(SUMPRODUCT((('CONTROL MASTER'!$S$2:$S$495=15)*('CONTROL MASTER'!$T$2:$T$495&lt;=8)*('CONTROL MASTER'!$V$2:$V$495&gt;=8)*('CONTROL MASTER'!$U$2:$U$495&lt;=6)*('CONTROL MASTER'!$W$2:$W$495&gt;=6))*ROW('CONTROL MASTER'!$S$2:$S$495))-(ROW('CONTROL MASTER'!#REF!)-1))),IF(SUMPRODUCT((('CONTROL MASTER'!$S$2:$S$495=15)*('CONTROL MASTER'!$Z$2:$Z$495&lt;=8)*('CONTROL MASTER'!$AB$2:$AB$495&gt;=8)*('CONTROL MASTER'!$AA$2:$AA$495&lt;=6)*('CONTROL MASTER'!$AC$2:$AC$495&gt;=6))*ROW('CONTROL MASTER'!$S$2:$S$495))&gt;0,INDEX('CONTROL MASTER'!$X$2:$X$495,(SUMPRODUCT((('CONTROL MASTER'!$S$2:$S$495=15)*('CONTROL MASTER'!$Z$2:$Z$495&lt;=8)*('CONTROL MASTER'!$AB$2:$AB$495&gt;=8)*('CONTROL MASTER'!$AA$2:$AA$495&lt;=6)*('CONTROL MASTER'!$AC$2:$AC$495&gt;=6))*ROW('CONTROL MASTER'!$S$2:$S$495))-(ROW('CONTROL MASTER'!#REF!)-1)))&amp;TRIM(MID(SUBSTITUTE(SUBSTITUTE(INDEX('CONTROL MASTER'!$N$2:$N$495,(SUMPRODUCT((('CONTROL MASTER'!$S$2:$S$495=15)*('CONTROL MASTER'!$Z$2:$Z$495&lt;=8)*('CONTROL MASTER'!$AB$2:$AB$495&gt;=8)*('CONTROL MASTER'!$AA$2:$AA$495&lt;=6)*('CONTROL MASTER'!$AC$2:$AC$495&gt;=6))*ROW('CONTROL MASTER'!$S$2:$S$495))-(ROW('CONTROL MASTER'!#REF!)-1))),":",","),",",REPT(" ",50)),(((INDEX('CONTROL MASTER'!$Y$2:$Y$495,(SUMPRODUCT((('CONTROL MASTER'!$S$2:$S$495=15)*('CONTROL MASTER'!$Z$2:$Z$495&lt;=8)*('CONTROL MASTER'!$AB$2:$AB$495&gt;=8)*('CONTROL MASTER'!$AA$2:$AA$495&lt;=6)*('CONTROL MASTER'!$AC$2:$AC$495&gt;=6))*ROW('CONTROL MASTER'!$S$2:$S$495))-(ROW('CONTROL MASTER'!#REF!)-1)))+((8-INDEX('CONTROL MASTER'!$Z$2:$Z$495,(SUMPRODUCT((('CONTROL MASTER'!$S$2:$S$495=15)*('CONTROL MASTER'!$Z$2:$Z$495&lt;=8)*('CONTROL MASTER'!$AB$2:$AB$495&gt;=8)*('CONTROL MASTER'!$AA$2:$AA$495&lt;=6)*('CONTROL MASTER'!$AC$2:$AC$495&gt;=6))*ROW('CONTROL MASTER'!$S$2:$S$495))-(ROW('CONTROL MASTER'!#REF!)-1))))*(INDEX('CONTROL MASTER'!$AC$2:$AC$495,(SUMPRODUCT((('CONTROL MASTER'!$S$2:$S$495=15)*('CONTROL MASTER'!$Z$2:$Z$495&lt;=8)*('CONTROL MASTER'!$AB$2:$AB$495&gt;=8)*('CONTROL MASTER'!$AA$2:$AA$495&lt;=6)*('CONTROL MASTER'!$AC$2:$AC$495&gt;=6))*ROW('CONTROL MASTER'!$S$2:$S$495))-(ROW('CONTROL MASTER'!#REF!)-1)))-INDEX('CONTROL MASTER'!$AA$2:$AA$495,(SUMPRODUCT((('CONTROL MASTER'!$S$2:$S$495=15)*('CONTROL MASTER'!$Z$2:$Z$495&lt;=8)*('CONTROL MASTER'!$AB$2:$AB$495&gt;=8)*('CONTROL MASTER'!$AA$2:$AA$495&lt;=6)*('CONTROL MASTER'!$AC$2:$AC$495&gt;=6))*ROW('CONTROL MASTER'!$S$2:$S$495))-(ROW('CONTROL MASTER'!#REF!)-1)))+1)+(6-INDEX('CONTROL MASTER'!$AA$2:$AA$495,(SUMPRODUCT((('CONTROL MASTER'!$S$2:$S$495=15)*('CONTROL MASTER'!$Z$2:$Z$495&lt;=8)*('CONTROL MASTER'!$AB$2:$AB$495&gt;=8)*('CONTROL MASTER'!$AA$2:$AA$495&lt;=6)*('CONTROL MASTER'!$AC$2:$AC$495&gt;=6))*ROW('CONTROL MASTER'!$S$2:$S$495))-(ROW('CONTROL MASTER'!#REF!)-1))))+1)))-1)*50+1,50))&amp;"_"&amp;INDEX('CONTROL MASTER'!$P$2:$P$495,(SUMPRODUCT((('CONTROL MASTER'!$S$2:$S$495=15)*('CONTROL MASTER'!$Z$2:$Z$495&lt;=8)*('CONTROL MASTER'!$AB$2:$AB$495&gt;=8)*('CONTROL MASTER'!$AA$2:$AA$495&lt;=6)*('CONTROL MASTER'!$AC$2:$AC$495&gt;=6))*ROW('CONTROL MASTER'!$S$2:$S$495))-(ROW('CONTROL MASTER'!#REF!)-1))),"")),"")</f>
        <v/>
      </c>
      <c r="H206" s="10" t="str">
        <f>IFERROR(IF(SUMPRODUCT((('CONTROL MASTER'!$S$2:$S$495=15)*('CONTROL MASTER'!$T$2:$T$495&lt;=8)*('CONTROL MASTER'!$V$2:$V$495&gt;=8)*('CONTROL MASTER'!$U$2:$U$495&lt;=7)*('CONTROL MASTER'!$W$2:$W$495&gt;=7))*ROW('CONTROL MASTER'!$S$2:$S$495))&gt;0,INDEX('CONTROL MASTER'!$X$2:$X$495,(SUMPRODUCT((('CONTROL MASTER'!$S$2:$S$495=15)*('CONTROL MASTER'!$T$2:$T$495&lt;=8)*('CONTROL MASTER'!$V$2:$V$495&gt;=8)*('CONTROL MASTER'!$U$2:$U$495&lt;=7)*('CONTROL MASTER'!$W$2:$W$495&gt;=7))*ROW('CONTROL MASTER'!$S$2:$S$495))-(ROW('CONTROL MASTER'!#REF!)-1)))&amp;TRIM(MID(SUBSTITUTE(SUBSTITUTE(INDEX('CONTROL MASTER'!$N$2:$N$495,(SUMPRODUCT((('CONTROL MASTER'!$S$2:$S$495=15)*('CONTROL MASTER'!$T$2:$T$495&lt;=8)*('CONTROL MASTER'!$V$2:$V$495&gt;=8)*('CONTROL MASTER'!$U$2:$U$495&lt;=7)*('CONTROL MASTER'!$W$2:$W$495&gt;=7))*ROW('CONTROL MASTER'!$S$2:$S$495))-(ROW('CONTROL MASTER'!#REF!)-1))),":",","),",",REPT(" ",50)),((((8-INDEX('CONTROL MASTER'!$T$2:$T$495,(SUMPRODUCT((('CONTROL MASTER'!$S$2:$S$495=15)*('CONTROL MASTER'!$T$2:$T$495&lt;=8)*('CONTROL MASTER'!$V$2:$V$495&gt;=8)*('CONTROL MASTER'!$U$2:$U$495&lt;=7)*('CONTROL MASTER'!$W$2:$W$495&gt;=7))*ROW('CONTROL MASTER'!$S$2:$S$495))-(ROW('CONTROL MASTER'!#REF!)-1))))*(INDEX('CONTROL MASTER'!$W$2:$W$495,(SUMPRODUCT((('CONTROL MASTER'!$S$2:$S$495=15)*('CONTROL MASTER'!$T$2:$T$495&lt;=8)*('CONTROL MASTER'!$V$2:$V$495&gt;=8)*('CONTROL MASTER'!$U$2:$U$495&lt;=7)*('CONTROL MASTER'!$W$2:$W$495&gt;=7))*ROW('CONTROL MASTER'!$S$2:$S$495))-(ROW('CONTROL MASTER'!#REF!)-1)))-INDEX('CONTROL MASTER'!$U$2:$U$495,(SUMPRODUCT((('CONTROL MASTER'!$S$2:$S$495=15)*('CONTROL MASTER'!$T$2:$T$495&lt;=8)*('CONTROL MASTER'!$V$2:$V$495&gt;=8)*('CONTROL MASTER'!$U$2:$U$495&lt;=7)*('CONTROL MASTER'!$W$2:$W$495&gt;=7))*ROW('CONTROL MASTER'!$S$2:$S$495))-(ROW('CONTROL MASTER'!#REF!)-1)))+1)+(7-INDEX('CONTROL MASTER'!$U$2:$U$495,(SUMPRODUCT((('CONTROL MASTER'!$S$2:$S$495=15)*('CONTROL MASTER'!$T$2:$T$495&lt;=8)*('CONTROL MASTER'!$V$2:$V$495&gt;=8)*('CONTROL MASTER'!$U$2:$U$495&lt;=7)*('CONTROL MASTER'!$W$2:$W$495&gt;=7))*ROW('CONTROL MASTER'!$S$2:$S$495))-(ROW('CONTROL MASTER'!#REF!)-1))))+1))-1)*50+1,50))&amp;"_"&amp;INDEX('CONTROL MASTER'!$P$2:$P$495,(SUMPRODUCT((('CONTROL MASTER'!$S$2:$S$495=15)*('CONTROL MASTER'!$T$2:$T$495&lt;=8)*('CONTROL MASTER'!$V$2:$V$495&gt;=8)*('CONTROL MASTER'!$U$2:$U$495&lt;=7)*('CONTROL MASTER'!$W$2:$W$495&gt;=7))*ROW('CONTROL MASTER'!$S$2:$S$495))-(ROW('CONTROL MASTER'!#REF!)-1))),IF(SUMPRODUCT((('CONTROL MASTER'!$S$2:$S$495=15)*('CONTROL MASTER'!$Z$2:$Z$495&lt;=8)*('CONTROL MASTER'!$AB$2:$AB$495&gt;=8)*('CONTROL MASTER'!$AA$2:$AA$495&lt;=7)*('CONTROL MASTER'!$AC$2:$AC$495&gt;=7))*ROW('CONTROL MASTER'!$S$2:$S$495))&gt;0,INDEX('CONTROL MASTER'!$X$2:$X$495,(SUMPRODUCT((('CONTROL MASTER'!$S$2:$S$495=15)*('CONTROL MASTER'!$Z$2:$Z$495&lt;=8)*('CONTROL MASTER'!$AB$2:$AB$495&gt;=8)*('CONTROL MASTER'!$AA$2:$AA$495&lt;=7)*('CONTROL MASTER'!$AC$2:$AC$495&gt;=7))*ROW('CONTROL MASTER'!$S$2:$S$495))-(ROW('CONTROL MASTER'!#REF!)-1)))&amp;TRIM(MID(SUBSTITUTE(SUBSTITUTE(INDEX('CONTROL MASTER'!$N$2:$N$495,(SUMPRODUCT((('CONTROL MASTER'!$S$2:$S$495=15)*('CONTROL MASTER'!$Z$2:$Z$495&lt;=8)*('CONTROL MASTER'!$AB$2:$AB$495&gt;=8)*('CONTROL MASTER'!$AA$2:$AA$495&lt;=7)*('CONTROL MASTER'!$AC$2:$AC$495&gt;=7))*ROW('CONTROL MASTER'!$S$2:$S$495))-(ROW('CONTROL MASTER'!#REF!)-1))),":",","),",",REPT(" ",50)),(((INDEX('CONTROL MASTER'!$Y$2:$Y$495,(SUMPRODUCT((('CONTROL MASTER'!$S$2:$S$495=15)*('CONTROL MASTER'!$Z$2:$Z$495&lt;=8)*('CONTROL MASTER'!$AB$2:$AB$495&gt;=8)*('CONTROL MASTER'!$AA$2:$AA$495&lt;=7)*('CONTROL MASTER'!$AC$2:$AC$495&gt;=7))*ROW('CONTROL MASTER'!$S$2:$S$495))-(ROW('CONTROL MASTER'!#REF!)-1)))+((8-INDEX('CONTROL MASTER'!$Z$2:$Z$495,(SUMPRODUCT((('CONTROL MASTER'!$S$2:$S$495=15)*('CONTROL MASTER'!$Z$2:$Z$495&lt;=8)*('CONTROL MASTER'!$AB$2:$AB$495&gt;=8)*('CONTROL MASTER'!$AA$2:$AA$495&lt;=7)*('CONTROL MASTER'!$AC$2:$AC$495&gt;=7))*ROW('CONTROL MASTER'!$S$2:$S$495))-(ROW('CONTROL MASTER'!#REF!)-1))))*(INDEX('CONTROL MASTER'!$AC$2:$AC$495,(SUMPRODUCT((('CONTROL MASTER'!$S$2:$S$495=15)*('CONTROL MASTER'!$Z$2:$Z$495&lt;=8)*('CONTROL MASTER'!$AB$2:$AB$495&gt;=8)*('CONTROL MASTER'!$AA$2:$AA$495&lt;=7)*('CONTROL MASTER'!$AC$2:$AC$495&gt;=7))*ROW('CONTROL MASTER'!$S$2:$S$495))-(ROW('CONTROL MASTER'!#REF!)-1)))-INDEX('CONTROL MASTER'!$AA$2:$AA$495,(SUMPRODUCT((('CONTROL MASTER'!$S$2:$S$495=15)*('CONTROL MASTER'!$Z$2:$Z$495&lt;=8)*('CONTROL MASTER'!$AB$2:$AB$495&gt;=8)*('CONTROL MASTER'!$AA$2:$AA$495&lt;=7)*('CONTROL MASTER'!$AC$2:$AC$495&gt;=7))*ROW('CONTROL MASTER'!$S$2:$S$495))-(ROW('CONTROL MASTER'!#REF!)-1)))+1)+(7-INDEX('CONTROL MASTER'!$AA$2:$AA$495,(SUMPRODUCT((('CONTROL MASTER'!$S$2:$S$495=15)*('CONTROL MASTER'!$Z$2:$Z$495&lt;=8)*('CONTROL MASTER'!$AB$2:$AB$495&gt;=8)*('CONTROL MASTER'!$AA$2:$AA$495&lt;=7)*('CONTROL MASTER'!$AC$2:$AC$495&gt;=7))*ROW('CONTROL MASTER'!$S$2:$S$495))-(ROW('CONTROL MASTER'!#REF!)-1))))+1)))-1)*50+1,50))&amp;"_"&amp;INDEX('CONTROL MASTER'!$P$2:$P$495,(SUMPRODUCT((('CONTROL MASTER'!$S$2:$S$495=15)*('CONTROL MASTER'!$Z$2:$Z$495&lt;=8)*('CONTROL MASTER'!$AB$2:$AB$495&gt;=8)*('CONTROL MASTER'!$AA$2:$AA$495&lt;=7)*('CONTROL MASTER'!$AC$2:$AC$495&gt;=7))*ROW('CONTROL MASTER'!$S$2:$S$495))-(ROW('CONTROL MASTER'!#REF!)-1))),"")),"")</f>
        <v/>
      </c>
      <c r="I206" s="10" t="str">
        <f>IFERROR(IF(SUMPRODUCT((('CONTROL MASTER'!$S$2:$S$495=15)*('CONTROL MASTER'!$T$2:$T$495&lt;=8)*('CONTROL MASTER'!$V$2:$V$495&gt;=8)*('CONTROL MASTER'!$U$2:$U$495&lt;=8)*('CONTROL MASTER'!$W$2:$W$495&gt;=8))*ROW('CONTROL MASTER'!$S$2:$S$495))&gt;0,INDEX('CONTROL MASTER'!$X$2:$X$495,(SUMPRODUCT((('CONTROL MASTER'!$S$2:$S$495=15)*('CONTROL MASTER'!$T$2:$T$495&lt;=8)*('CONTROL MASTER'!$V$2:$V$495&gt;=8)*('CONTROL MASTER'!$U$2:$U$495&lt;=8)*('CONTROL MASTER'!$W$2:$W$495&gt;=8))*ROW('CONTROL MASTER'!$S$2:$S$495))-(ROW('CONTROL MASTER'!#REF!)-1)))&amp;TRIM(MID(SUBSTITUTE(SUBSTITUTE(INDEX('CONTROL MASTER'!$N$2:$N$495,(SUMPRODUCT((('CONTROL MASTER'!$S$2:$S$495=15)*('CONTROL MASTER'!$T$2:$T$495&lt;=8)*('CONTROL MASTER'!$V$2:$V$495&gt;=8)*('CONTROL MASTER'!$U$2:$U$495&lt;=8)*('CONTROL MASTER'!$W$2:$W$495&gt;=8))*ROW('CONTROL MASTER'!$S$2:$S$495))-(ROW('CONTROL MASTER'!#REF!)-1))),":",","),",",REPT(" ",50)),((((8-INDEX('CONTROL MASTER'!$T$2:$T$495,(SUMPRODUCT((('CONTROL MASTER'!$S$2:$S$495=15)*('CONTROL MASTER'!$T$2:$T$495&lt;=8)*('CONTROL MASTER'!$V$2:$V$495&gt;=8)*('CONTROL MASTER'!$U$2:$U$495&lt;=8)*('CONTROL MASTER'!$W$2:$W$495&gt;=8))*ROW('CONTROL MASTER'!$S$2:$S$495))-(ROW('CONTROL MASTER'!#REF!)-1))))*(INDEX('CONTROL MASTER'!$W$2:$W$495,(SUMPRODUCT((('CONTROL MASTER'!$S$2:$S$495=15)*('CONTROL MASTER'!$T$2:$T$495&lt;=8)*('CONTROL MASTER'!$V$2:$V$495&gt;=8)*('CONTROL MASTER'!$U$2:$U$495&lt;=8)*('CONTROL MASTER'!$W$2:$W$495&gt;=8))*ROW('CONTROL MASTER'!$S$2:$S$495))-(ROW('CONTROL MASTER'!#REF!)-1)))-INDEX('CONTROL MASTER'!$U$2:$U$495,(SUMPRODUCT((('CONTROL MASTER'!$S$2:$S$495=15)*('CONTROL MASTER'!$T$2:$T$495&lt;=8)*('CONTROL MASTER'!$V$2:$V$495&gt;=8)*('CONTROL MASTER'!$U$2:$U$495&lt;=8)*('CONTROL MASTER'!$W$2:$W$495&gt;=8))*ROW('CONTROL MASTER'!$S$2:$S$495))-(ROW('CONTROL MASTER'!#REF!)-1)))+1)+(8-INDEX('CONTROL MASTER'!$U$2:$U$495,(SUMPRODUCT((('CONTROL MASTER'!$S$2:$S$495=15)*('CONTROL MASTER'!$T$2:$T$495&lt;=8)*('CONTROL MASTER'!$V$2:$V$495&gt;=8)*('CONTROL MASTER'!$U$2:$U$495&lt;=8)*('CONTROL MASTER'!$W$2:$W$495&gt;=8))*ROW('CONTROL MASTER'!$S$2:$S$495))-(ROW('CONTROL MASTER'!#REF!)-1))))+1))-1)*50+1,50))&amp;"_"&amp;INDEX('CONTROL MASTER'!$P$2:$P$495,(SUMPRODUCT((('CONTROL MASTER'!$S$2:$S$495=15)*('CONTROL MASTER'!$T$2:$T$495&lt;=8)*('CONTROL MASTER'!$V$2:$V$495&gt;=8)*('CONTROL MASTER'!$U$2:$U$495&lt;=8)*('CONTROL MASTER'!$W$2:$W$495&gt;=8))*ROW('CONTROL MASTER'!$S$2:$S$495))-(ROW('CONTROL MASTER'!#REF!)-1))),IF(SUMPRODUCT((('CONTROL MASTER'!$S$2:$S$495=15)*('CONTROL MASTER'!$Z$2:$Z$495&lt;=8)*('CONTROL MASTER'!$AB$2:$AB$495&gt;=8)*('CONTROL MASTER'!$AA$2:$AA$495&lt;=8)*('CONTROL MASTER'!$AC$2:$AC$495&gt;=8))*ROW('CONTROL MASTER'!$S$2:$S$495))&gt;0,INDEX('CONTROL MASTER'!$X$2:$X$495,(SUMPRODUCT((('CONTROL MASTER'!$S$2:$S$495=15)*('CONTROL MASTER'!$Z$2:$Z$495&lt;=8)*('CONTROL MASTER'!$AB$2:$AB$495&gt;=8)*('CONTROL MASTER'!$AA$2:$AA$495&lt;=8)*('CONTROL MASTER'!$AC$2:$AC$495&gt;=8))*ROW('CONTROL MASTER'!$S$2:$S$495))-(ROW('CONTROL MASTER'!#REF!)-1)))&amp;TRIM(MID(SUBSTITUTE(SUBSTITUTE(INDEX('CONTROL MASTER'!$N$2:$N$495,(SUMPRODUCT((('CONTROL MASTER'!$S$2:$S$495=15)*('CONTROL MASTER'!$Z$2:$Z$495&lt;=8)*('CONTROL MASTER'!$AB$2:$AB$495&gt;=8)*('CONTROL MASTER'!$AA$2:$AA$495&lt;=8)*('CONTROL MASTER'!$AC$2:$AC$495&gt;=8))*ROW('CONTROL MASTER'!$S$2:$S$495))-(ROW('CONTROL MASTER'!#REF!)-1))),":",","),",",REPT(" ",50)),(((INDEX('CONTROL MASTER'!$Y$2:$Y$495,(SUMPRODUCT((('CONTROL MASTER'!$S$2:$S$495=15)*('CONTROL MASTER'!$Z$2:$Z$495&lt;=8)*('CONTROL MASTER'!$AB$2:$AB$495&gt;=8)*('CONTROL MASTER'!$AA$2:$AA$495&lt;=8)*('CONTROL MASTER'!$AC$2:$AC$495&gt;=8))*ROW('CONTROL MASTER'!$S$2:$S$495))-(ROW('CONTROL MASTER'!#REF!)-1)))+((8-INDEX('CONTROL MASTER'!$Z$2:$Z$495,(SUMPRODUCT((('CONTROL MASTER'!$S$2:$S$495=15)*('CONTROL MASTER'!$Z$2:$Z$495&lt;=8)*('CONTROL MASTER'!$AB$2:$AB$495&gt;=8)*('CONTROL MASTER'!$AA$2:$AA$495&lt;=8)*('CONTROL MASTER'!$AC$2:$AC$495&gt;=8))*ROW('CONTROL MASTER'!$S$2:$S$495))-(ROW('CONTROL MASTER'!#REF!)-1))))*(INDEX('CONTROL MASTER'!$AC$2:$AC$495,(SUMPRODUCT((('CONTROL MASTER'!$S$2:$S$495=15)*('CONTROL MASTER'!$Z$2:$Z$495&lt;=8)*('CONTROL MASTER'!$AB$2:$AB$495&gt;=8)*('CONTROL MASTER'!$AA$2:$AA$495&lt;=8)*('CONTROL MASTER'!$AC$2:$AC$495&gt;=8))*ROW('CONTROL MASTER'!$S$2:$S$495))-(ROW('CONTROL MASTER'!#REF!)-1)))-INDEX('CONTROL MASTER'!$AA$2:$AA$495,(SUMPRODUCT((('CONTROL MASTER'!$S$2:$S$495=15)*('CONTROL MASTER'!$Z$2:$Z$495&lt;=8)*('CONTROL MASTER'!$AB$2:$AB$495&gt;=8)*('CONTROL MASTER'!$AA$2:$AA$495&lt;=8)*('CONTROL MASTER'!$AC$2:$AC$495&gt;=8))*ROW('CONTROL MASTER'!$S$2:$S$495))-(ROW('CONTROL MASTER'!#REF!)-1)))+1)+(8-INDEX('CONTROL MASTER'!$AA$2:$AA$495,(SUMPRODUCT((('CONTROL MASTER'!$S$2:$S$495=15)*('CONTROL MASTER'!$Z$2:$Z$495&lt;=8)*('CONTROL MASTER'!$AB$2:$AB$495&gt;=8)*('CONTROL MASTER'!$AA$2:$AA$495&lt;=8)*('CONTROL MASTER'!$AC$2:$AC$495&gt;=8))*ROW('CONTROL MASTER'!$S$2:$S$495))-(ROW('CONTROL MASTER'!#REF!)-1))))+1)))-1)*50+1,50))&amp;"_"&amp;INDEX('CONTROL MASTER'!$P$2:$P$495,(SUMPRODUCT((('CONTROL MASTER'!$S$2:$S$495=15)*('CONTROL MASTER'!$Z$2:$Z$495&lt;=8)*('CONTROL MASTER'!$AB$2:$AB$495&gt;=8)*('CONTROL MASTER'!$AA$2:$AA$495&lt;=8)*('CONTROL MASTER'!$AC$2:$AC$495&gt;=8))*ROW('CONTROL MASTER'!$S$2:$S$495))-(ROW('CONTROL MASTER'!#REF!)-1))),"")),"")</f>
        <v/>
      </c>
      <c r="J206" s="10" t="str">
        <f>IFERROR(IF(SUMPRODUCT((('CONTROL MASTER'!$S$2:$S$495=15)*('CONTROL MASTER'!$T$2:$T$495&lt;=8)*('CONTROL MASTER'!$V$2:$V$495&gt;=8)*('CONTROL MASTER'!$U$2:$U$495&lt;=9)*('CONTROL MASTER'!$W$2:$W$495&gt;=9))*ROW('CONTROL MASTER'!$S$2:$S$495))&gt;0,INDEX('CONTROL MASTER'!$X$2:$X$495,(SUMPRODUCT((('CONTROL MASTER'!$S$2:$S$495=15)*('CONTROL MASTER'!$T$2:$T$495&lt;=8)*('CONTROL MASTER'!$V$2:$V$495&gt;=8)*('CONTROL MASTER'!$U$2:$U$495&lt;=9)*('CONTROL MASTER'!$W$2:$W$495&gt;=9))*ROW('CONTROL MASTER'!$S$2:$S$495))-(ROW('CONTROL MASTER'!#REF!)-1)))&amp;TRIM(MID(SUBSTITUTE(SUBSTITUTE(INDEX('CONTROL MASTER'!$N$2:$N$495,(SUMPRODUCT((('CONTROL MASTER'!$S$2:$S$495=15)*('CONTROL MASTER'!$T$2:$T$495&lt;=8)*('CONTROL MASTER'!$V$2:$V$495&gt;=8)*('CONTROL MASTER'!$U$2:$U$495&lt;=9)*('CONTROL MASTER'!$W$2:$W$495&gt;=9))*ROW('CONTROL MASTER'!$S$2:$S$495))-(ROW('CONTROL MASTER'!#REF!)-1))),":",","),",",REPT(" ",50)),((((8-INDEX('CONTROL MASTER'!$T$2:$T$495,(SUMPRODUCT((('CONTROL MASTER'!$S$2:$S$495=15)*('CONTROL MASTER'!$T$2:$T$495&lt;=8)*('CONTROL MASTER'!$V$2:$V$495&gt;=8)*('CONTROL MASTER'!$U$2:$U$495&lt;=9)*('CONTROL MASTER'!$W$2:$W$495&gt;=9))*ROW('CONTROL MASTER'!$S$2:$S$495))-(ROW('CONTROL MASTER'!#REF!)-1))))*(INDEX('CONTROL MASTER'!$W$2:$W$495,(SUMPRODUCT((('CONTROL MASTER'!$S$2:$S$495=15)*('CONTROL MASTER'!$T$2:$T$495&lt;=8)*('CONTROL MASTER'!$V$2:$V$495&gt;=8)*('CONTROL MASTER'!$U$2:$U$495&lt;=9)*('CONTROL MASTER'!$W$2:$W$495&gt;=9))*ROW('CONTROL MASTER'!$S$2:$S$495))-(ROW('CONTROL MASTER'!#REF!)-1)))-INDEX('CONTROL MASTER'!$U$2:$U$495,(SUMPRODUCT((('CONTROL MASTER'!$S$2:$S$495=15)*('CONTROL MASTER'!$T$2:$T$495&lt;=8)*('CONTROL MASTER'!$V$2:$V$495&gt;=8)*('CONTROL MASTER'!$U$2:$U$495&lt;=9)*('CONTROL MASTER'!$W$2:$W$495&gt;=9))*ROW('CONTROL MASTER'!$S$2:$S$495))-(ROW('CONTROL MASTER'!#REF!)-1)))+1)+(9-INDEX('CONTROL MASTER'!$U$2:$U$495,(SUMPRODUCT((('CONTROL MASTER'!$S$2:$S$495=15)*('CONTROL MASTER'!$T$2:$T$495&lt;=8)*('CONTROL MASTER'!$V$2:$V$495&gt;=8)*('CONTROL MASTER'!$U$2:$U$495&lt;=9)*('CONTROL MASTER'!$W$2:$W$495&gt;=9))*ROW('CONTROL MASTER'!$S$2:$S$495))-(ROW('CONTROL MASTER'!#REF!)-1))))+1))-1)*50+1,50))&amp;"_"&amp;INDEX('CONTROL MASTER'!$P$2:$P$495,(SUMPRODUCT((('CONTROL MASTER'!$S$2:$S$495=15)*('CONTROL MASTER'!$T$2:$T$495&lt;=8)*('CONTROL MASTER'!$V$2:$V$495&gt;=8)*('CONTROL MASTER'!$U$2:$U$495&lt;=9)*('CONTROL MASTER'!$W$2:$W$495&gt;=9))*ROW('CONTROL MASTER'!$S$2:$S$495))-(ROW('CONTROL MASTER'!#REF!)-1))),IF(SUMPRODUCT((('CONTROL MASTER'!$S$2:$S$495=15)*('CONTROL MASTER'!$Z$2:$Z$495&lt;=8)*('CONTROL MASTER'!$AB$2:$AB$495&gt;=8)*('CONTROL MASTER'!$AA$2:$AA$495&lt;=9)*('CONTROL MASTER'!$AC$2:$AC$495&gt;=9))*ROW('CONTROL MASTER'!$S$2:$S$495))&gt;0,INDEX('CONTROL MASTER'!$X$2:$X$495,(SUMPRODUCT((('CONTROL MASTER'!$S$2:$S$495=15)*('CONTROL MASTER'!$Z$2:$Z$495&lt;=8)*('CONTROL MASTER'!$AB$2:$AB$495&gt;=8)*('CONTROL MASTER'!$AA$2:$AA$495&lt;=9)*('CONTROL MASTER'!$AC$2:$AC$495&gt;=9))*ROW('CONTROL MASTER'!$S$2:$S$495))-(ROW('CONTROL MASTER'!#REF!)-1)))&amp;TRIM(MID(SUBSTITUTE(SUBSTITUTE(INDEX('CONTROL MASTER'!$N$2:$N$495,(SUMPRODUCT((('CONTROL MASTER'!$S$2:$S$495=15)*('CONTROL MASTER'!$Z$2:$Z$495&lt;=8)*('CONTROL MASTER'!$AB$2:$AB$495&gt;=8)*('CONTROL MASTER'!$AA$2:$AA$495&lt;=9)*('CONTROL MASTER'!$AC$2:$AC$495&gt;=9))*ROW('CONTROL MASTER'!$S$2:$S$495))-(ROW('CONTROL MASTER'!#REF!)-1))),":",","),",",REPT(" ",50)),(((INDEX('CONTROL MASTER'!$Y$2:$Y$495,(SUMPRODUCT((('CONTROL MASTER'!$S$2:$S$495=15)*('CONTROL MASTER'!$Z$2:$Z$495&lt;=8)*('CONTROL MASTER'!$AB$2:$AB$495&gt;=8)*('CONTROL MASTER'!$AA$2:$AA$495&lt;=9)*('CONTROL MASTER'!$AC$2:$AC$495&gt;=9))*ROW('CONTROL MASTER'!$S$2:$S$495))-(ROW('CONTROL MASTER'!#REF!)-1)))+((8-INDEX('CONTROL MASTER'!$Z$2:$Z$495,(SUMPRODUCT((('CONTROL MASTER'!$S$2:$S$495=15)*('CONTROL MASTER'!$Z$2:$Z$495&lt;=8)*('CONTROL MASTER'!$AB$2:$AB$495&gt;=8)*('CONTROL MASTER'!$AA$2:$AA$495&lt;=9)*('CONTROL MASTER'!$AC$2:$AC$495&gt;=9))*ROW('CONTROL MASTER'!$S$2:$S$495))-(ROW('CONTROL MASTER'!#REF!)-1))))*(INDEX('CONTROL MASTER'!$AC$2:$AC$495,(SUMPRODUCT((('CONTROL MASTER'!$S$2:$S$495=15)*('CONTROL MASTER'!$Z$2:$Z$495&lt;=8)*('CONTROL MASTER'!$AB$2:$AB$495&gt;=8)*('CONTROL MASTER'!$AA$2:$AA$495&lt;=9)*('CONTROL MASTER'!$AC$2:$AC$495&gt;=9))*ROW('CONTROL MASTER'!$S$2:$S$495))-(ROW('CONTROL MASTER'!#REF!)-1)))-INDEX('CONTROL MASTER'!$AA$2:$AA$495,(SUMPRODUCT((('CONTROL MASTER'!$S$2:$S$495=15)*('CONTROL MASTER'!$Z$2:$Z$495&lt;=8)*('CONTROL MASTER'!$AB$2:$AB$495&gt;=8)*('CONTROL MASTER'!$AA$2:$AA$495&lt;=9)*('CONTROL MASTER'!$AC$2:$AC$495&gt;=9))*ROW('CONTROL MASTER'!$S$2:$S$495))-(ROW('CONTROL MASTER'!#REF!)-1)))+1)+(9-INDEX('CONTROL MASTER'!$AA$2:$AA$495,(SUMPRODUCT((('CONTROL MASTER'!$S$2:$S$495=15)*('CONTROL MASTER'!$Z$2:$Z$495&lt;=8)*('CONTROL MASTER'!$AB$2:$AB$495&gt;=8)*('CONTROL MASTER'!$AA$2:$AA$495&lt;=9)*('CONTROL MASTER'!$AC$2:$AC$495&gt;=9))*ROW('CONTROL MASTER'!$S$2:$S$495))-(ROW('CONTROL MASTER'!#REF!)-1))))+1)))-1)*50+1,50))&amp;"_"&amp;INDEX('CONTROL MASTER'!$P$2:$P$495,(SUMPRODUCT((('CONTROL MASTER'!$S$2:$S$495=15)*('CONTROL MASTER'!$Z$2:$Z$495&lt;=8)*('CONTROL MASTER'!$AB$2:$AB$495&gt;=8)*('CONTROL MASTER'!$AA$2:$AA$495&lt;=9)*('CONTROL MASTER'!$AC$2:$AC$495&gt;=9))*ROW('CONTROL MASTER'!$S$2:$S$495))-(ROW('CONTROL MASTER'!#REF!)-1))),"")),"")</f>
        <v/>
      </c>
      <c r="K206" s="10" t="str">
        <f>IFERROR(IF(SUMPRODUCT((('CONTROL MASTER'!$S$2:$S$495=15)*('CONTROL MASTER'!$T$2:$T$495&lt;=8)*('CONTROL MASTER'!$V$2:$V$495&gt;=8)*('CONTROL MASTER'!$U$2:$U$495&lt;=10)*('CONTROL MASTER'!$W$2:$W$495&gt;=10))*ROW('CONTROL MASTER'!$S$2:$S$495))&gt;0,INDEX('CONTROL MASTER'!$X$2:$X$495,(SUMPRODUCT((('CONTROL MASTER'!$S$2:$S$495=15)*('CONTROL MASTER'!$T$2:$T$495&lt;=8)*('CONTROL MASTER'!$V$2:$V$495&gt;=8)*('CONTROL MASTER'!$U$2:$U$495&lt;=10)*('CONTROL MASTER'!$W$2:$W$495&gt;=10))*ROW('CONTROL MASTER'!$S$2:$S$495))-(ROW('CONTROL MASTER'!#REF!)-1)))&amp;TRIM(MID(SUBSTITUTE(SUBSTITUTE(INDEX('CONTROL MASTER'!$N$2:$N$495,(SUMPRODUCT((('CONTROL MASTER'!$S$2:$S$495=15)*('CONTROL MASTER'!$T$2:$T$495&lt;=8)*('CONTROL MASTER'!$V$2:$V$495&gt;=8)*('CONTROL MASTER'!$U$2:$U$495&lt;=10)*('CONTROL MASTER'!$W$2:$W$495&gt;=10))*ROW('CONTROL MASTER'!$S$2:$S$495))-(ROW('CONTROL MASTER'!#REF!)-1))),":",","),",",REPT(" ",50)),((((8-INDEX('CONTROL MASTER'!$T$2:$T$495,(SUMPRODUCT((('CONTROL MASTER'!$S$2:$S$495=15)*('CONTROL MASTER'!$T$2:$T$495&lt;=8)*('CONTROL MASTER'!$V$2:$V$495&gt;=8)*('CONTROL MASTER'!$U$2:$U$495&lt;=10)*('CONTROL MASTER'!$W$2:$W$495&gt;=10))*ROW('CONTROL MASTER'!$S$2:$S$495))-(ROW('CONTROL MASTER'!#REF!)-1))))*(INDEX('CONTROL MASTER'!$W$2:$W$495,(SUMPRODUCT((('CONTROL MASTER'!$S$2:$S$495=15)*('CONTROL MASTER'!$T$2:$T$495&lt;=8)*('CONTROL MASTER'!$V$2:$V$495&gt;=8)*('CONTROL MASTER'!$U$2:$U$495&lt;=10)*('CONTROL MASTER'!$W$2:$W$495&gt;=10))*ROW('CONTROL MASTER'!$S$2:$S$495))-(ROW('CONTROL MASTER'!#REF!)-1)))-INDEX('CONTROL MASTER'!$U$2:$U$495,(SUMPRODUCT((('CONTROL MASTER'!$S$2:$S$495=15)*('CONTROL MASTER'!$T$2:$T$495&lt;=8)*('CONTROL MASTER'!$V$2:$V$495&gt;=8)*('CONTROL MASTER'!$U$2:$U$495&lt;=10)*('CONTROL MASTER'!$W$2:$W$495&gt;=10))*ROW('CONTROL MASTER'!$S$2:$S$495))-(ROW('CONTROL MASTER'!#REF!)-1)))+1)+(10-INDEX('CONTROL MASTER'!$U$2:$U$495,(SUMPRODUCT((('CONTROL MASTER'!$S$2:$S$495=15)*('CONTROL MASTER'!$T$2:$T$495&lt;=8)*('CONTROL MASTER'!$V$2:$V$495&gt;=8)*('CONTROL MASTER'!$U$2:$U$495&lt;=10)*('CONTROL MASTER'!$W$2:$W$495&gt;=10))*ROW('CONTROL MASTER'!$S$2:$S$495))-(ROW('CONTROL MASTER'!#REF!)-1))))+1))-1)*50+1,50))&amp;"_"&amp;INDEX('CONTROL MASTER'!$P$2:$P$495,(SUMPRODUCT((('CONTROL MASTER'!$S$2:$S$495=15)*('CONTROL MASTER'!$T$2:$T$495&lt;=8)*('CONTROL MASTER'!$V$2:$V$495&gt;=8)*('CONTROL MASTER'!$U$2:$U$495&lt;=10)*('CONTROL MASTER'!$W$2:$W$495&gt;=10))*ROW('CONTROL MASTER'!$S$2:$S$495))-(ROW('CONTROL MASTER'!#REF!)-1))),IF(SUMPRODUCT((('CONTROL MASTER'!$S$2:$S$495=15)*('CONTROL MASTER'!$Z$2:$Z$495&lt;=8)*('CONTROL MASTER'!$AB$2:$AB$495&gt;=8)*('CONTROL MASTER'!$AA$2:$AA$495&lt;=10)*('CONTROL MASTER'!$AC$2:$AC$495&gt;=10))*ROW('CONTROL MASTER'!$S$2:$S$495))&gt;0,INDEX('CONTROL MASTER'!$X$2:$X$495,(SUMPRODUCT((('CONTROL MASTER'!$S$2:$S$495=15)*('CONTROL MASTER'!$Z$2:$Z$495&lt;=8)*('CONTROL MASTER'!$AB$2:$AB$495&gt;=8)*('CONTROL MASTER'!$AA$2:$AA$495&lt;=10)*('CONTROL MASTER'!$AC$2:$AC$495&gt;=10))*ROW('CONTROL MASTER'!$S$2:$S$495))-(ROW('CONTROL MASTER'!#REF!)-1)))&amp;TRIM(MID(SUBSTITUTE(SUBSTITUTE(INDEX('CONTROL MASTER'!$N$2:$N$495,(SUMPRODUCT((('CONTROL MASTER'!$S$2:$S$495=15)*('CONTROL MASTER'!$Z$2:$Z$495&lt;=8)*('CONTROL MASTER'!$AB$2:$AB$495&gt;=8)*('CONTROL MASTER'!$AA$2:$AA$495&lt;=10)*('CONTROL MASTER'!$AC$2:$AC$495&gt;=10))*ROW('CONTROL MASTER'!$S$2:$S$495))-(ROW('CONTROL MASTER'!#REF!)-1))),":",","),",",REPT(" ",50)),(((INDEX('CONTROL MASTER'!$Y$2:$Y$495,(SUMPRODUCT((('CONTROL MASTER'!$S$2:$S$495=15)*('CONTROL MASTER'!$Z$2:$Z$495&lt;=8)*('CONTROL MASTER'!$AB$2:$AB$495&gt;=8)*('CONTROL MASTER'!$AA$2:$AA$495&lt;=10)*('CONTROL MASTER'!$AC$2:$AC$495&gt;=10))*ROW('CONTROL MASTER'!$S$2:$S$495))-(ROW('CONTROL MASTER'!#REF!)-1)))+((8-INDEX('CONTROL MASTER'!$Z$2:$Z$495,(SUMPRODUCT((('CONTROL MASTER'!$S$2:$S$495=15)*('CONTROL MASTER'!$Z$2:$Z$495&lt;=8)*('CONTROL MASTER'!$AB$2:$AB$495&gt;=8)*('CONTROL MASTER'!$AA$2:$AA$495&lt;=10)*('CONTROL MASTER'!$AC$2:$AC$495&gt;=10))*ROW('CONTROL MASTER'!$S$2:$S$495))-(ROW('CONTROL MASTER'!#REF!)-1))))*(INDEX('CONTROL MASTER'!$AC$2:$AC$495,(SUMPRODUCT((('CONTROL MASTER'!$S$2:$S$495=15)*('CONTROL MASTER'!$Z$2:$Z$495&lt;=8)*('CONTROL MASTER'!$AB$2:$AB$495&gt;=8)*('CONTROL MASTER'!$AA$2:$AA$495&lt;=10)*('CONTROL MASTER'!$AC$2:$AC$495&gt;=10))*ROW('CONTROL MASTER'!$S$2:$S$495))-(ROW('CONTROL MASTER'!#REF!)-1)))-INDEX('CONTROL MASTER'!$AA$2:$AA$495,(SUMPRODUCT((('CONTROL MASTER'!$S$2:$S$495=15)*('CONTROL MASTER'!$Z$2:$Z$495&lt;=8)*('CONTROL MASTER'!$AB$2:$AB$495&gt;=8)*('CONTROL MASTER'!$AA$2:$AA$495&lt;=10)*('CONTROL MASTER'!$AC$2:$AC$495&gt;=10))*ROW('CONTROL MASTER'!$S$2:$S$495))-(ROW('CONTROL MASTER'!#REF!)-1)))+1)+(10-INDEX('CONTROL MASTER'!$AA$2:$AA$495,(SUMPRODUCT((('CONTROL MASTER'!$S$2:$S$495=15)*('CONTROL MASTER'!$Z$2:$Z$495&lt;=8)*('CONTROL MASTER'!$AB$2:$AB$495&gt;=8)*('CONTROL MASTER'!$AA$2:$AA$495&lt;=10)*('CONTROL MASTER'!$AC$2:$AC$495&gt;=10))*ROW('CONTROL MASTER'!$S$2:$S$495))-(ROW('CONTROL MASTER'!#REF!)-1))))+1)))-1)*50+1,50))&amp;"_"&amp;INDEX('CONTROL MASTER'!$P$2:$P$495,(SUMPRODUCT((('CONTROL MASTER'!$S$2:$S$495=15)*('CONTROL MASTER'!$Z$2:$Z$495&lt;=8)*('CONTROL MASTER'!$AB$2:$AB$495&gt;=8)*('CONTROL MASTER'!$AA$2:$AA$495&lt;=10)*('CONTROL MASTER'!$AC$2:$AC$495&gt;=10))*ROW('CONTROL MASTER'!$S$2:$S$495))-(ROW('CONTROL MASTER'!#REF!)-1))),"")),"")</f>
        <v/>
      </c>
    </row>
    <row r="207" spans="1:11" ht="15" customHeight="1" x14ac:dyDescent="0.35">
      <c r="A207" s="8" t="s">
        <v>81</v>
      </c>
      <c r="B207" s="10" t="str">
        <f>IFERROR(IF(SUMPRODUCT((('CONTROL MASTER'!$S$2:$S$495=15)*('CONTROL MASTER'!$T$2:$T$495&lt;=9)*('CONTROL MASTER'!$V$2:$V$495&gt;=9)*('CONTROL MASTER'!$U$2:$U$495&lt;=1)*('CONTROL MASTER'!$W$2:$W$495&gt;=1))*ROW('CONTROL MASTER'!$S$2:$S$495))&gt;0,INDEX('CONTROL MASTER'!$X$2:$X$495,(SUMPRODUCT((('CONTROL MASTER'!$S$2:$S$495=15)*('CONTROL MASTER'!$T$2:$T$495&lt;=9)*('CONTROL MASTER'!$V$2:$V$495&gt;=9)*('CONTROL MASTER'!$U$2:$U$495&lt;=1)*('CONTROL MASTER'!$W$2:$W$495&gt;=1))*ROW('CONTROL MASTER'!$S$2:$S$495))-(ROW('CONTROL MASTER'!#REF!)-1)))&amp;TRIM(MID(SUBSTITUTE(SUBSTITUTE(INDEX('CONTROL MASTER'!$N$2:$N$495,(SUMPRODUCT((('CONTROL MASTER'!$S$2:$S$495=15)*('CONTROL MASTER'!$T$2:$T$495&lt;=9)*('CONTROL MASTER'!$V$2:$V$495&gt;=9)*('CONTROL MASTER'!$U$2:$U$495&lt;=1)*('CONTROL MASTER'!$W$2:$W$495&gt;=1))*ROW('CONTROL MASTER'!$S$2:$S$495))-(ROW('CONTROL MASTER'!#REF!)-1))),":",","),",",REPT(" ",50)),((((9-INDEX('CONTROL MASTER'!$T$2:$T$495,(SUMPRODUCT((('CONTROL MASTER'!$S$2:$S$495=15)*('CONTROL MASTER'!$T$2:$T$495&lt;=9)*('CONTROL MASTER'!$V$2:$V$495&gt;=9)*('CONTROL MASTER'!$U$2:$U$495&lt;=1)*('CONTROL MASTER'!$W$2:$W$495&gt;=1))*ROW('CONTROL MASTER'!$S$2:$S$495))-(ROW('CONTROL MASTER'!#REF!)-1))))*(INDEX('CONTROL MASTER'!$W$2:$W$495,(SUMPRODUCT((('CONTROL MASTER'!$S$2:$S$495=15)*('CONTROL MASTER'!$T$2:$T$495&lt;=9)*('CONTROL MASTER'!$V$2:$V$495&gt;=9)*('CONTROL MASTER'!$U$2:$U$495&lt;=1)*('CONTROL MASTER'!$W$2:$W$495&gt;=1))*ROW('CONTROL MASTER'!$S$2:$S$495))-(ROW('CONTROL MASTER'!#REF!)-1)))-INDEX('CONTROL MASTER'!$U$2:$U$495,(SUMPRODUCT((('CONTROL MASTER'!$S$2:$S$495=15)*('CONTROL MASTER'!$T$2:$T$495&lt;=9)*('CONTROL MASTER'!$V$2:$V$495&gt;=9)*('CONTROL MASTER'!$U$2:$U$495&lt;=1)*('CONTROL MASTER'!$W$2:$W$495&gt;=1))*ROW('CONTROL MASTER'!$S$2:$S$495))-(ROW('CONTROL MASTER'!#REF!)-1)))+1)+(1-INDEX('CONTROL MASTER'!$U$2:$U$495,(SUMPRODUCT((('CONTROL MASTER'!$S$2:$S$495=15)*('CONTROL MASTER'!$T$2:$T$495&lt;=9)*('CONTROL MASTER'!$V$2:$V$495&gt;=9)*('CONTROL MASTER'!$U$2:$U$495&lt;=1)*('CONTROL MASTER'!$W$2:$W$495&gt;=1))*ROW('CONTROL MASTER'!$S$2:$S$495))-(ROW('CONTROL MASTER'!#REF!)-1))))+1))-1)*50+1,50))&amp;"_"&amp;INDEX('CONTROL MASTER'!$P$2:$P$495,(SUMPRODUCT((('CONTROL MASTER'!$S$2:$S$495=15)*('CONTROL MASTER'!$T$2:$T$495&lt;=9)*('CONTROL MASTER'!$V$2:$V$495&gt;=9)*('CONTROL MASTER'!$U$2:$U$495&lt;=1)*('CONTROL MASTER'!$W$2:$W$495&gt;=1))*ROW('CONTROL MASTER'!$S$2:$S$495))-(ROW('CONTROL MASTER'!#REF!)-1))),IF(SUMPRODUCT((('CONTROL MASTER'!$S$2:$S$495=15)*('CONTROL MASTER'!$Z$2:$Z$495&lt;=9)*('CONTROL MASTER'!$AB$2:$AB$495&gt;=9)*('CONTROL MASTER'!$AA$2:$AA$495&lt;=1)*('CONTROL MASTER'!$AC$2:$AC$495&gt;=1))*ROW('CONTROL MASTER'!$S$2:$S$495))&gt;0,INDEX('CONTROL MASTER'!$X$2:$X$495,(SUMPRODUCT((('CONTROL MASTER'!$S$2:$S$495=15)*('CONTROL MASTER'!$Z$2:$Z$495&lt;=9)*('CONTROL MASTER'!$AB$2:$AB$495&gt;=9)*('CONTROL MASTER'!$AA$2:$AA$495&lt;=1)*('CONTROL MASTER'!$AC$2:$AC$495&gt;=1))*ROW('CONTROL MASTER'!$S$2:$S$495))-(ROW('CONTROL MASTER'!#REF!)-1)))&amp;TRIM(MID(SUBSTITUTE(SUBSTITUTE(INDEX('CONTROL MASTER'!$N$2:$N$495,(SUMPRODUCT((('CONTROL MASTER'!$S$2:$S$495=15)*('CONTROL MASTER'!$Z$2:$Z$495&lt;=9)*('CONTROL MASTER'!$AB$2:$AB$495&gt;=9)*('CONTROL MASTER'!$AA$2:$AA$495&lt;=1)*('CONTROL MASTER'!$AC$2:$AC$495&gt;=1))*ROW('CONTROL MASTER'!$S$2:$S$495))-(ROW('CONTROL MASTER'!#REF!)-1))),":",","),",",REPT(" ",50)),(((INDEX('CONTROL MASTER'!$Y$2:$Y$495,(SUMPRODUCT((('CONTROL MASTER'!$S$2:$S$495=15)*('CONTROL MASTER'!$Z$2:$Z$495&lt;=9)*('CONTROL MASTER'!$AB$2:$AB$495&gt;=9)*('CONTROL MASTER'!$AA$2:$AA$495&lt;=1)*('CONTROL MASTER'!$AC$2:$AC$495&gt;=1))*ROW('CONTROL MASTER'!$S$2:$S$495))-(ROW('CONTROL MASTER'!#REF!)-1)))+((9-INDEX('CONTROL MASTER'!$Z$2:$Z$495,(SUMPRODUCT((('CONTROL MASTER'!$S$2:$S$495=15)*('CONTROL MASTER'!$Z$2:$Z$495&lt;=9)*('CONTROL MASTER'!$AB$2:$AB$495&gt;=9)*('CONTROL MASTER'!$AA$2:$AA$495&lt;=1)*('CONTROL MASTER'!$AC$2:$AC$495&gt;=1))*ROW('CONTROL MASTER'!$S$2:$S$495))-(ROW('CONTROL MASTER'!#REF!)-1))))*(INDEX('CONTROL MASTER'!$AC$2:$AC$495,(SUMPRODUCT((('CONTROL MASTER'!$S$2:$S$495=15)*('CONTROL MASTER'!$Z$2:$Z$495&lt;=9)*('CONTROL MASTER'!$AB$2:$AB$495&gt;=9)*('CONTROL MASTER'!$AA$2:$AA$495&lt;=1)*('CONTROL MASTER'!$AC$2:$AC$495&gt;=1))*ROW('CONTROL MASTER'!$S$2:$S$495))-(ROW('CONTROL MASTER'!#REF!)-1)))-INDEX('CONTROL MASTER'!$AA$2:$AA$495,(SUMPRODUCT((('CONTROL MASTER'!$S$2:$S$495=15)*('CONTROL MASTER'!$Z$2:$Z$495&lt;=9)*('CONTROL MASTER'!$AB$2:$AB$495&gt;=9)*('CONTROL MASTER'!$AA$2:$AA$495&lt;=1)*('CONTROL MASTER'!$AC$2:$AC$495&gt;=1))*ROW('CONTROL MASTER'!$S$2:$S$495))-(ROW('CONTROL MASTER'!#REF!)-1)))+1)+(1-INDEX('CONTROL MASTER'!$AA$2:$AA$495,(SUMPRODUCT((('CONTROL MASTER'!$S$2:$S$495=15)*('CONTROL MASTER'!$Z$2:$Z$495&lt;=9)*('CONTROL MASTER'!$AB$2:$AB$495&gt;=9)*('CONTROL MASTER'!$AA$2:$AA$495&lt;=1)*('CONTROL MASTER'!$AC$2:$AC$495&gt;=1))*ROW('CONTROL MASTER'!$S$2:$S$495))-(ROW('CONTROL MASTER'!#REF!)-1))))+1)))-1)*50+1,50))&amp;"_"&amp;INDEX('CONTROL MASTER'!$P$2:$P$495,(SUMPRODUCT((('CONTROL MASTER'!$S$2:$S$495=15)*('CONTROL MASTER'!$Z$2:$Z$495&lt;=9)*('CONTROL MASTER'!$AB$2:$AB$495&gt;=9)*('CONTROL MASTER'!$AA$2:$AA$495&lt;=1)*('CONTROL MASTER'!$AC$2:$AC$495&gt;=1))*ROW('CONTROL MASTER'!$S$2:$S$495))-(ROW('CONTROL MASTER'!#REF!)-1))),"")),"")</f>
        <v/>
      </c>
      <c r="C207" s="10" t="str">
        <f>IFERROR(IF(SUMPRODUCT((('CONTROL MASTER'!$S$2:$S$495=15)*('CONTROL MASTER'!$T$2:$T$495&lt;=9)*('CONTROL MASTER'!$V$2:$V$495&gt;=9)*('CONTROL MASTER'!$U$2:$U$495&lt;=2)*('CONTROL MASTER'!$W$2:$W$495&gt;=2))*ROW('CONTROL MASTER'!$S$2:$S$495))&gt;0,INDEX('CONTROL MASTER'!$X$2:$X$495,(SUMPRODUCT((('CONTROL MASTER'!$S$2:$S$495=15)*('CONTROL MASTER'!$T$2:$T$495&lt;=9)*('CONTROL MASTER'!$V$2:$V$495&gt;=9)*('CONTROL MASTER'!$U$2:$U$495&lt;=2)*('CONTROL MASTER'!$W$2:$W$495&gt;=2))*ROW('CONTROL MASTER'!$S$2:$S$495))-(ROW('CONTROL MASTER'!#REF!)-1)))&amp;TRIM(MID(SUBSTITUTE(SUBSTITUTE(INDEX('CONTROL MASTER'!$N$2:$N$495,(SUMPRODUCT((('CONTROL MASTER'!$S$2:$S$495=15)*('CONTROL MASTER'!$T$2:$T$495&lt;=9)*('CONTROL MASTER'!$V$2:$V$495&gt;=9)*('CONTROL MASTER'!$U$2:$U$495&lt;=2)*('CONTROL MASTER'!$W$2:$W$495&gt;=2))*ROW('CONTROL MASTER'!$S$2:$S$495))-(ROW('CONTROL MASTER'!#REF!)-1))),":",","),",",REPT(" ",50)),((((9-INDEX('CONTROL MASTER'!$T$2:$T$495,(SUMPRODUCT((('CONTROL MASTER'!$S$2:$S$495=15)*('CONTROL MASTER'!$T$2:$T$495&lt;=9)*('CONTROL MASTER'!$V$2:$V$495&gt;=9)*('CONTROL MASTER'!$U$2:$U$495&lt;=2)*('CONTROL MASTER'!$W$2:$W$495&gt;=2))*ROW('CONTROL MASTER'!$S$2:$S$495))-(ROW('CONTROL MASTER'!#REF!)-1))))*(INDEX('CONTROL MASTER'!$W$2:$W$495,(SUMPRODUCT((('CONTROL MASTER'!$S$2:$S$495=15)*('CONTROL MASTER'!$T$2:$T$495&lt;=9)*('CONTROL MASTER'!$V$2:$V$495&gt;=9)*('CONTROL MASTER'!$U$2:$U$495&lt;=2)*('CONTROL MASTER'!$W$2:$W$495&gt;=2))*ROW('CONTROL MASTER'!$S$2:$S$495))-(ROW('CONTROL MASTER'!#REF!)-1)))-INDEX('CONTROL MASTER'!$U$2:$U$495,(SUMPRODUCT((('CONTROL MASTER'!$S$2:$S$495=15)*('CONTROL MASTER'!$T$2:$T$495&lt;=9)*('CONTROL MASTER'!$V$2:$V$495&gt;=9)*('CONTROL MASTER'!$U$2:$U$495&lt;=2)*('CONTROL MASTER'!$W$2:$W$495&gt;=2))*ROW('CONTROL MASTER'!$S$2:$S$495))-(ROW('CONTROL MASTER'!#REF!)-1)))+1)+(2-INDEX('CONTROL MASTER'!$U$2:$U$495,(SUMPRODUCT((('CONTROL MASTER'!$S$2:$S$495=15)*('CONTROL MASTER'!$T$2:$T$495&lt;=9)*('CONTROL MASTER'!$V$2:$V$495&gt;=9)*('CONTROL MASTER'!$U$2:$U$495&lt;=2)*('CONTROL MASTER'!$W$2:$W$495&gt;=2))*ROW('CONTROL MASTER'!$S$2:$S$495))-(ROW('CONTROL MASTER'!#REF!)-1))))+1))-1)*50+1,50))&amp;"_"&amp;INDEX('CONTROL MASTER'!$P$2:$P$495,(SUMPRODUCT((('CONTROL MASTER'!$S$2:$S$495=15)*('CONTROL MASTER'!$T$2:$T$495&lt;=9)*('CONTROL MASTER'!$V$2:$V$495&gt;=9)*('CONTROL MASTER'!$U$2:$U$495&lt;=2)*('CONTROL MASTER'!$W$2:$W$495&gt;=2))*ROW('CONTROL MASTER'!$S$2:$S$495))-(ROW('CONTROL MASTER'!#REF!)-1))),IF(SUMPRODUCT((('CONTROL MASTER'!$S$2:$S$495=15)*('CONTROL MASTER'!$Z$2:$Z$495&lt;=9)*('CONTROL MASTER'!$AB$2:$AB$495&gt;=9)*('CONTROL MASTER'!$AA$2:$AA$495&lt;=2)*('CONTROL MASTER'!$AC$2:$AC$495&gt;=2))*ROW('CONTROL MASTER'!$S$2:$S$495))&gt;0,INDEX('CONTROL MASTER'!$X$2:$X$495,(SUMPRODUCT((('CONTROL MASTER'!$S$2:$S$495=15)*('CONTROL MASTER'!$Z$2:$Z$495&lt;=9)*('CONTROL MASTER'!$AB$2:$AB$495&gt;=9)*('CONTROL MASTER'!$AA$2:$AA$495&lt;=2)*('CONTROL MASTER'!$AC$2:$AC$495&gt;=2))*ROW('CONTROL MASTER'!$S$2:$S$495))-(ROW('CONTROL MASTER'!#REF!)-1)))&amp;TRIM(MID(SUBSTITUTE(SUBSTITUTE(INDEX('CONTROL MASTER'!$N$2:$N$495,(SUMPRODUCT((('CONTROL MASTER'!$S$2:$S$495=15)*('CONTROL MASTER'!$Z$2:$Z$495&lt;=9)*('CONTROL MASTER'!$AB$2:$AB$495&gt;=9)*('CONTROL MASTER'!$AA$2:$AA$495&lt;=2)*('CONTROL MASTER'!$AC$2:$AC$495&gt;=2))*ROW('CONTROL MASTER'!$S$2:$S$495))-(ROW('CONTROL MASTER'!#REF!)-1))),":",","),",",REPT(" ",50)),(((INDEX('CONTROL MASTER'!$Y$2:$Y$495,(SUMPRODUCT((('CONTROL MASTER'!$S$2:$S$495=15)*('CONTROL MASTER'!$Z$2:$Z$495&lt;=9)*('CONTROL MASTER'!$AB$2:$AB$495&gt;=9)*('CONTROL MASTER'!$AA$2:$AA$495&lt;=2)*('CONTROL MASTER'!$AC$2:$AC$495&gt;=2))*ROW('CONTROL MASTER'!$S$2:$S$495))-(ROW('CONTROL MASTER'!#REF!)-1)))+((9-INDEX('CONTROL MASTER'!$Z$2:$Z$495,(SUMPRODUCT((('CONTROL MASTER'!$S$2:$S$495=15)*('CONTROL MASTER'!$Z$2:$Z$495&lt;=9)*('CONTROL MASTER'!$AB$2:$AB$495&gt;=9)*('CONTROL MASTER'!$AA$2:$AA$495&lt;=2)*('CONTROL MASTER'!$AC$2:$AC$495&gt;=2))*ROW('CONTROL MASTER'!$S$2:$S$495))-(ROW('CONTROL MASTER'!#REF!)-1))))*(INDEX('CONTROL MASTER'!$AC$2:$AC$495,(SUMPRODUCT((('CONTROL MASTER'!$S$2:$S$495=15)*('CONTROL MASTER'!$Z$2:$Z$495&lt;=9)*('CONTROL MASTER'!$AB$2:$AB$495&gt;=9)*('CONTROL MASTER'!$AA$2:$AA$495&lt;=2)*('CONTROL MASTER'!$AC$2:$AC$495&gt;=2))*ROW('CONTROL MASTER'!$S$2:$S$495))-(ROW('CONTROL MASTER'!#REF!)-1)))-INDEX('CONTROL MASTER'!$AA$2:$AA$495,(SUMPRODUCT((('CONTROL MASTER'!$S$2:$S$495=15)*('CONTROL MASTER'!$Z$2:$Z$495&lt;=9)*('CONTROL MASTER'!$AB$2:$AB$495&gt;=9)*('CONTROL MASTER'!$AA$2:$AA$495&lt;=2)*('CONTROL MASTER'!$AC$2:$AC$495&gt;=2))*ROW('CONTROL MASTER'!$S$2:$S$495))-(ROW('CONTROL MASTER'!#REF!)-1)))+1)+(2-INDEX('CONTROL MASTER'!$AA$2:$AA$495,(SUMPRODUCT((('CONTROL MASTER'!$S$2:$S$495=15)*('CONTROL MASTER'!$Z$2:$Z$495&lt;=9)*('CONTROL MASTER'!$AB$2:$AB$495&gt;=9)*('CONTROL MASTER'!$AA$2:$AA$495&lt;=2)*('CONTROL MASTER'!$AC$2:$AC$495&gt;=2))*ROW('CONTROL MASTER'!$S$2:$S$495))-(ROW('CONTROL MASTER'!#REF!)-1))))+1)))-1)*50+1,50))&amp;"_"&amp;INDEX('CONTROL MASTER'!$P$2:$P$495,(SUMPRODUCT((('CONTROL MASTER'!$S$2:$S$495=15)*('CONTROL MASTER'!$Z$2:$Z$495&lt;=9)*('CONTROL MASTER'!$AB$2:$AB$495&gt;=9)*('CONTROL MASTER'!$AA$2:$AA$495&lt;=2)*('CONTROL MASTER'!$AC$2:$AC$495&gt;=2))*ROW('CONTROL MASTER'!$S$2:$S$495))-(ROW('CONTROL MASTER'!#REF!)-1))),"")),"")</f>
        <v/>
      </c>
      <c r="D207" s="10" t="str">
        <f>IFERROR(IF(SUMPRODUCT((('CONTROL MASTER'!$S$2:$S$495=15)*('CONTROL MASTER'!$T$2:$T$495&lt;=9)*('CONTROL MASTER'!$V$2:$V$495&gt;=9)*('CONTROL MASTER'!$U$2:$U$495&lt;=3)*('CONTROL MASTER'!$W$2:$W$495&gt;=3))*ROW('CONTROL MASTER'!$S$2:$S$495))&gt;0,INDEX('CONTROL MASTER'!$X$2:$X$495,(SUMPRODUCT((('CONTROL MASTER'!$S$2:$S$495=15)*('CONTROL MASTER'!$T$2:$T$495&lt;=9)*('CONTROL MASTER'!$V$2:$V$495&gt;=9)*('CONTROL MASTER'!$U$2:$U$495&lt;=3)*('CONTROL MASTER'!$W$2:$W$495&gt;=3))*ROW('CONTROL MASTER'!$S$2:$S$495))-(ROW('CONTROL MASTER'!#REF!)-1)))&amp;TRIM(MID(SUBSTITUTE(SUBSTITUTE(INDEX('CONTROL MASTER'!$N$2:$N$495,(SUMPRODUCT((('CONTROL MASTER'!$S$2:$S$495=15)*('CONTROL MASTER'!$T$2:$T$495&lt;=9)*('CONTROL MASTER'!$V$2:$V$495&gt;=9)*('CONTROL MASTER'!$U$2:$U$495&lt;=3)*('CONTROL MASTER'!$W$2:$W$495&gt;=3))*ROW('CONTROL MASTER'!$S$2:$S$495))-(ROW('CONTROL MASTER'!#REF!)-1))),":",","),",",REPT(" ",50)),((((9-INDEX('CONTROL MASTER'!$T$2:$T$495,(SUMPRODUCT((('CONTROL MASTER'!$S$2:$S$495=15)*('CONTROL MASTER'!$T$2:$T$495&lt;=9)*('CONTROL MASTER'!$V$2:$V$495&gt;=9)*('CONTROL MASTER'!$U$2:$U$495&lt;=3)*('CONTROL MASTER'!$W$2:$W$495&gt;=3))*ROW('CONTROL MASTER'!$S$2:$S$495))-(ROW('CONTROL MASTER'!#REF!)-1))))*(INDEX('CONTROL MASTER'!$W$2:$W$495,(SUMPRODUCT((('CONTROL MASTER'!$S$2:$S$495=15)*('CONTROL MASTER'!$T$2:$T$495&lt;=9)*('CONTROL MASTER'!$V$2:$V$495&gt;=9)*('CONTROL MASTER'!$U$2:$U$495&lt;=3)*('CONTROL MASTER'!$W$2:$W$495&gt;=3))*ROW('CONTROL MASTER'!$S$2:$S$495))-(ROW('CONTROL MASTER'!#REF!)-1)))-INDEX('CONTROL MASTER'!$U$2:$U$495,(SUMPRODUCT((('CONTROL MASTER'!$S$2:$S$495=15)*('CONTROL MASTER'!$T$2:$T$495&lt;=9)*('CONTROL MASTER'!$V$2:$V$495&gt;=9)*('CONTROL MASTER'!$U$2:$U$495&lt;=3)*('CONTROL MASTER'!$W$2:$W$495&gt;=3))*ROW('CONTROL MASTER'!$S$2:$S$495))-(ROW('CONTROL MASTER'!#REF!)-1)))+1)+(3-INDEX('CONTROL MASTER'!$U$2:$U$495,(SUMPRODUCT((('CONTROL MASTER'!$S$2:$S$495=15)*('CONTROL MASTER'!$T$2:$T$495&lt;=9)*('CONTROL MASTER'!$V$2:$V$495&gt;=9)*('CONTROL MASTER'!$U$2:$U$495&lt;=3)*('CONTROL MASTER'!$W$2:$W$495&gt;=3))*ROW('CONTROL MASTER'!$S$2:$S$495))-(ROW('CONTROL MASTER'!#REF!)-1))))+1))-1)*50+1,50))&amp;"_"&amp;INDEX('CONTROL MASTER'!$P$2:$P$495,(SUMPRODUCT((('CONTROL MASTER'!$S$2:$S$495=15)*('CONTROL MASTER'!$T$2:$T$495&lt;=9)*('CONTROL MASTER'!$V$2:$V$495&gt;=9)*('CONTROL MASTER'!$U$2:$U$495&lt;=3)*('CONTROL MASTER'!$W$2:$W$495&gt;=3))*ROW('CONTROL MASTER'!$S$2:$S$495))-(ROW('CONTROL MASTER'!#REF!)-1))),IF(SUMPRODUCT((('CONTROL MASTER'!$S$2:$S$495=15)*('CONTROL MASTER'!$Z$2:$Z$495&lt;=9)*('CONTROL MASTER'!$AB$2:$AB$495&gt;=9)*('CONTROL MASTER'!$AA$2:$AA$495&lt;=3)*('CONTROL MASTER'!$AC$2:$AC$495&gt;=3))*ROW('CONTROL MASTER'!$S$2:$S$495))&gt;0,INDEX('CONTROL MASTER'!$X$2:$X$495,(SUMPRODUCT((('CONTROL MASTER'!$S$2:$S$495=15)*('CONTROL MASTER'!$Z$2:$Z$495&lt;=9)*('CONTROL MASTER'!$AB$2:$AB$495&gt;=9)*('CONTROL MASTER'!$AA$2:$AA$495&lt;=3)*('CONTROL MASTER'!$AC$2:$AC$495&gt;=3))*ROW('CONTROL MASTER'!$S$2:$S$495))-(ROW('CONTROL MASTER'!#REF!)-1)))&amp;TRIM(MID(SUBSTITUTE(SUBSTITUTE(INDEX('CONTROL MASTER'!$N$2:$N$495,(SUMPRODUCT((('CONTROL MASTER'!$S$2:$S$495=15)*('CONTROL MASTER'!$Z$2:$Z$495&lt;=9)*('CONTROL MASTER'!$AB$2:$AB$495&gt;=9)*('CONTROL MASTER'!$AA$2:$AA$495&lt;=3)*('CONTROL MASTER'!$AC$2:$AC$495&gt;=3))*ROW('CONTROL MASTER'!$S$2:$S$495))-(ROW('CONTROL MASTER'!#REF!)-1))),":",","),",",REPT(" ",50)),(((INDEX('CONTROL MASTER'!$Y$2:$Y$495,(SUMPRODUCT((('CONTROL MASTER'!$S$2:$S$495=15)*('CONTROL MASTER'!$Z$2:$Z$495&lt;=9)*('CONTROL MASTER'!$AB$2:$AB$495&gt;=9)*('CONTROL MASTER'!$AA$2:$AA$495&lt;=3)*('CONTROL MASTER'!$AC$2:$AC$495&gt;=3))*ROW('CONTROL MASTER'!$S$2:$S$495))-(ROW('CONTROL MASTER'!#REF!)-1)))+((9-INDEX('CONTROL MASTER'!$Z$2:$Z$495,(SUMPRODUCT((('CONTROL MASTER'!$S$2:$S$495=15)*('CONTROL MASTER'!$Z$2:$Z$495&lt;=9)*('CONTROL MASTER'!$AB$2:$AB$495&gt;=9)*('CONTROL MASTER'!$AA$2:$AA$495&lt;=3)*('CONTROL MASTER'!$AC$2:$AC$495&gt;=3))*ROW('CONTROL MASTER'!$S$2:$S$495))-(ROW('CONTROL MASTER'!#REF!)-1))))*(INDEX('CONTROL MASTER'!$AC$2:$AC$495,(SUMPRODUCT((('CONTROL MASTER'!$S$2:$S$495=15)*('CONTROL MASTER'!$Z$2:$Z$495&lt;=9)*('CONTROL MASTER'!$AB$2:$AB$495&gt;=9)*('CONTROL MASTER'!$AA$2:$AA$495&lt;=3)*('CONTROL MASTER'!$AC$2:$AC$495&gt;=3))*ROW('CONTROL MASTER'!$S$2:$S$495))-(ROW('CONTROL MASTER'!#REF!)-1)))-INDEX('CONTROL MASTER'!$AA$2:$AA$495,(SUMPRODUCT((('CONTROL MASTER'!$S$2:$S$495=15)*('CONTROL MASTER'!$Z$2:$Z$495&lt;=9)*('CONTROL MASTER'!$AB$2:$AB$495&gt;=9)*('CONTROL MASTER'!$AA$2:$AA$495&lt;=3)*('CONTROL MASTER'!$AC$2:$AC$495&gt;=3))*ROW('CONTROL MASTER'!$S$2:$S$495))-(ROW('CONTROL MASTER'!#REF!)-1)))+1)+(3-INDEX('CONTROL MASTER'!$AA$2:$AA$495,(SUMPRODUCT((('CONTROL MASTER'!$S$2:$S$495=15)*('CONTROL MASTER'!$Z$2:$Z$495&lt;=9)*('CONTROL MASTER'!$AB$2:$AB$495&gt;=9)*('CONTROL MASTER'!$AA$2:$AA$495&lt;=3)*('CONTROL MASTER'!$AC$2:$AC$495&gt;=3))*ROW('CONTROL MASTER'!$S$2:$S$495))-(ROW('CONTROL MASTER'!#REF!)-1))))+1)))-1)*50+1,50))&amp;"_"&amp;INDEX('CONTROL MASTER'!$P$2:$P$495,(SUMPRODUCT((('CONTROL MASTER'!$S$2:$S$495=15)*('CONTROL MASTER'!$Z$2:$Z$495&lt;=9)*('CONTROL MASTER'!$AB$2:$AB$495&gt;=9)*('CONTROL MASTER'!$AA$2:$AA$495&lt;=3)*('CONTROL MASTER'!$AC$2:$AC$495&gt;=3))*ROW('CONTROL MASTER'!$S$2:$S$495))-(ROW('CONTROL MASTER'!#REF!)-1))),"")),"")</f>
        <v/>
      </c>
      <c r="E207" s="10" t="str">
        <f>IFERROR(IF(SUMPRODUCT((('CONTROL MASTER'!$S$2:$S$495=15)*('CONTROL MASTER'!$T$2:$T$495&lt;=9)*('CONTROL MASTER'!$V$2:$V$495&gt;=9)*('CONTROL MASTER'!$U$2:$U$495&lt;=4)*('CONTROL MASTER'!$W$2:$W$495&gt;=4))*ROW('CONTROL MASTER'!$S$2:$S$495))&gt;0,INDEX('CONTROL MASTER'!$X$2:$X$495,(SUMPRODUCT((('CONTROL MASTER'!$S$2:$S$495=15)*('CONTROL MASTER'!$T$2:$T$495&lt;=9)*('CONTROL MASTER'!$V$2:$V$495&gt;=9)*('CONTROL MASTER'!$U$2:$U$495&lt;=4)*('CONTROL MASTER'!$W$2:$W$495&gt;=4))*ROW('CONTROL MASTER'!$S$2:$S$495))-(ROW('CONTROL MASTER'!#REF!)-1)))&amp;TRIM(MID(SUBSTITUTE(SUBSTITUTE(INDEX('CONTROL MASTER'!$N$2:$N$495,(SUMPRODUCT((('CONTROL MASTER'!$S$2:$S$495=15)*('CONTROL MASTER'!$T$2:$T$495&lt;=9)*('CONTROL MASTER'!$V$2:$V$495&gt;=9)*('CONTROL MASTER'!$U$2:$U$495&lt;=4)*('CONTROL MASTER'!$W$2:$W$495&gt;=4))*ROW('CONTROL MASTER'!$S$2:$S$495))-(ROW('CONTROL MASTER'!#REF!)-1))),":",","),",",REPT(" ",50)),((((9-INDEX('CONTROL MASTER'!$T$2:$T$495,(SUMPRODUCT((('CONTROL MASTER'!$S$2:$S$495=15)*('CONTROL MASTER'!$T$2:$T$495&lt;=9)*('CONTROL MASTER'!$V$2:$V$495&gt;=9)*('CONTROL MASTER'!$U$2:$U$495&lt;=4)*('CONTROL MASTER'!$W$2:$W$495&gt;=4))*ROW('CONTROL MASTER'!$S$2:$S$495))-(ROW('CONTROL MASTER'!#REF!)-1))))*(INDEX('CONTROL MASTER'!$W$2:$W$495,(SUMPRODUCT((('CONTROL MASTER'!$S$2:$S$495=15)*('CONTROL MASTER'!$T$2:$T$495&lt;=9)*('CONTROL MASTER'!$V$2:$V$495&gt;=9)*('CONTROL MASTER'!$U$2:$U$495&lt;=4)*('CONTROL MASTER'!$W$2:$W$495&gt;=4))*ROW('CONTROL MASTER'!$S$2:$S$495))-(ROW('CONTROL MASTER'!#REF!)-1)))-INDEX('CONTROL MASTER'!$U$2:$U$495,(SUMPRODUCT((('CONTROL MASTER'!$S$2:$S$495=15)*('CONTROL MASTER'!$T$2:$T$495&lt;=9)*('CONTROL MASTER'!$V$2:$V$495&gt;=9)*('CONTROL MASTER'!$U$2:$U$495&lt;=4)*('CONTROL MASTER'!$W$2:$W$495&gt;=4))*ROW('CONTROL MASTER'!$S$2:$S$495))-(ROW('CONTROL MASTER'!#REF!)-1)))+1)+(4-INDEX('CONTROL MASTER'!$U$2:$U$495,(SUMPRODUCT((('CONTROL MASTER'!$S$2:$S$495=15)*('CONTROL MASTER'!$T$2:$T$495&lt;=9)*('CONTROL MASTER'!$V$2:$V$495&gt;=9)*('CONTROL MASTER'!$U$2:$U$495&lt;=4)*('CONTROL MASTER'!$W$2:$W$495&gt;=4))*ROW('CONTROL MASTER'!$S$2:$S$495))-(ROW('CONTROL MASTER'!#REF!)-1))))+1))-1)*50+1,50))&amp;"_"&amp;INDEX('CONTROL MASTER'!$P$2:$P$495,(SUMPRODUCT((('CONTROL MASTER'!$S$2:$S$495=15)*('CONTROL MASTER'!$T$2:$T$495&lt;=9)*('CONTROL MASTER'!$V$2:$V$495&gt;=9)*('CONTROL MASTER'!$U$2:$U$495&lt;=4)*('CONTROL MASTER'!$W$2:$W$495&gt;=4))*ROW('CONTROL MASTER'!$S$2:$S$495))-(ROW('CONTROL MASTER'!#REF!)-1))),IF(SUMPRODUCT((('CONTROL MASTER'!$S$2:$S$495=15)*('CONTROL MASTER'!$Z$2:$Z$495&lt;=9)*('CONTROL MASTER'!$AB$2:$AB$495&gt;=9)*('CONTROL MASTER'!$AA$2:$AA$495&lt;=4)*('CONTROL MASTER'!$AC$2:$AC$495&gt;=4))*ROW('CONTROL MASTER'!$S$2:$S$495))&gt;0,INDEX('CONTROL MASTER'!$X$2:$X$495,(SUMPRODUCT((('CONTROL MASTER'!$S$2:$S$495=15)*('CONTROL MASTER'!$Z$2:$Z$495&lt;=9)*('CONTROL MASTER'!$AB$2:$AB$495&gt;=9)*('CONTROL MASTER'!$AA$2:$AA$495&lt;=4)*('CONTROL MASTER'!$AC$2:$AC$495&gt;=4))*ROW('CONTROL MASTER'!$S$2:$S$495))-(ROW('CONTROL MASTER'!#REF!)-1)))&amp;TRIM(MID(SUBSTITUTE(SUBSTITUTE(INDEX('CONTROL MASTER'!$N$2:$N$495,(SUMPRODUCT((('CONTROL MASTER'!$S$2:$S$495=15)*('CONTROL MASTER'!$Z$2:$Z$495&lt;=9)*('CONTROL MASTER'!$AB$2:$AB$495&gt;=9)*('CONTROL MASTER'!$AA$2:$AA$495&lt;=4)*('CONTROL MASTER'!$AC$2:$AC$495&gt;=4))*ROW('CONTROL MASTER'!$S$2:$S$495))-(ROW('CONTROL MASTER'!#REF!)-1))),":",","),",",REPT(" ",50)),(((INDEX('CONTROL MASTER'!$Y$2:$Y$495,(SUMPRODUCT((('CONTROL MASTER'!$S$2:$S$495=15)*('CONTROL MASTER'!$Z$2:$Z$495&lt;=9)*('CONTROL MASTER'!$AB$2:$AB$495&gt;=9)*('CONTROL MASTER'!$AA$2:$AA$495&lt;=4)*('CONTROL MASTER'!$AC$2:$AC$495&gt;=4))*ROW('CONTROL MASTER'!$S$2:$S$495))-(ROW('CONTROL MASTER'!#REF!)-1)))+((9-INDEX('CONTROL MASTER'!$Z$2:$Z$495,(SUMPRODUCT((('CONTROL MASTER'!$S$2:$S$495=15)*('CONTROL MASTER'!$Z$2:$Z$495&lt;=9)*('CONTROL MASTER'!$AB$2:$AB$495&gt;=9)*('CONTROL MASTER'!$AA$2:$AA$495&lt;=4)*('CONTROL MASTER'!$AC$2:$AC$495&gt;=4))*ROW('CONTROL MASTER'!$S$2:$S$495))-(ROW('CONTROL MASTER'!#REF!)-1))))*(INDEX('CONTROL MASTER'!$AC$2:$AC$495,(SUMPRODUCT((('CONTROL MASTER'!$S$2:$S$495=15)*('CONTROL MASTER'!$Z$2:$Z$495&lt;=9)*('CONTROL MASTER'!$AB$2:$AB$495&gt;=9)*('CONTROL MASTER'!$AA$2:$AA$495&lt;=4)*('CONTROL MASTER'!$AC$2:$AC$495&gt;=4))*ROW('CONTROL MASTER'!$S$2:$S$495))-(ROW('CONTROL MASTER'!#REF!)-1)))-INDEX('CONTROL MASTER'!$AA$2:$AA$495,(SUMPRODUCT((('CONTROL MASTER'!$S$2:$S$495=15)*('CONTROL MASTER'!$Z$2:$Z$495&lt;=9)*('CONTROL MASTER'!$AB$2:$AB$495&gt;=9)*('CONTROL MASTER'!$AA$2:$AA$495&lt;=4)*('CONTROL MASTER'!$AC$2:$AC$495&gt;=4))*ROW('CONTROL MASTER'!$S$2:$S$495))-(ROW('CONTROL MASTER'!#REF!)-1)))+1)+(4-INDEX('CONTROL MASTER'!$AA$2:$AA$495,(SUMPRODUCT((('CONTROL MASTER'!$S$2:$S$495=15)*('CONTROL MASTER'!$Z$2:$Z$495&lt;=9)*('CONTROL MASTER'!$AB$2:$AB$495&gt;=9)*('CONTROL MASTER'!$AA$2:$AA$495&lt;=4)*('CONTROL MASTER'!$AC$2:$AC$495&gt;=4))*ROW('CONTROL MASTER'!$S$2:$S$495))-(ROW('CONTROL MASTER'!#REF!)-1))))+1)))-1)*50+1,50))&amp;"_"&amp;INDEX('CONTROL MASTER'!$P$2:$P$495,(SUMPRODUCT((('CONTROL MASTER'!$S$2:$S$495=15)*('CONTROL MASTER'!$Z$2:$Z$495&lt;=9)*('CONTROL MASTER'!$AB$2:$AB$495&gt;=9)*('CONTROL MASTER'!$AA$2:$AA$495&lt;=4)*('CONTROL MASTER'!$AC$2:$AC$495&gt;=4))*ROW('CONTROL MASTER'!$S$2:$S$495))-(ROW('CONTROL MASTER'!#REF!)-1))),"")),"")</f>
        <v/>
      </c>
      <c r="F207" s="10" t="str">
        <f>IFERROR(IF(SUMPRODUCT((('CONTROL MASTER'!$S$2:$S$495=15)*('CONTROL MASTER'!$T$2:$T$495&lt;=9)*('CONTROL MASTER'!$V$2:$V$495&gt;=9)*('CONTROL MASTER'!$U$2:$U$495&lt;=5)*('CONTROL MASTER'!$W$2:$W$495&gt;=5))*ROW('CONTROL MASTER'!$S$2:$S$495))&gt;0,INDEX('CONTROL MASTER'!$X$2:$X$495,(SUMPRODUCT((('CONTROL MASTER'!$S$2:$S$495=15)*('CONTROL MASTER'!$T$2:$T$495&lt;=9)*('CONTROL MASTER'!$V$2:$V$495&gt;=9)*('CONTROL MASTER'!$U$2:$U$495&lt;=5)*('CONTROL MASTER'!$W$2:$W$495&gt;=5))*ROW('CONTROL MASTER'!$S$2:$S$495))-(ROW('CONTROL MASTER'!#REF!)-1)))&amp;TRIM(MID(SUBSTITUTE(SUBSTITUTE(INDEX('CONTROL MASTER'!$N$2:$N$495,(SUMPRODUCT((('CONTROL MASTER'!$S$2:$S$495=15)*('CONTROL MASTER'!$T$2:$T$495&lt;=9)*('CONTROL MASTER'!$V$2:$V$495&gt;=9)*('CONTROL MASTER'!$U$2:$U$495&lt;=5)*('CONTROL MASTER'!$W$2:$W$495&gt;=5))*ROW('CONTROL MASTER'!$S$2:$S$495))-(ROW('CONTROL MASTER'!#REF!)-1))),":",","),",",REPT(" ",50)),((((9-INDEX('CONTROL MASTER'!$T$2:$T$495,(SUMPRODUCT((('CONTROL MASTER'!$S$2:$S$495=15)*('CONTROL MASTER'!$T$2:$T$495&lt;=9)*('CONTROL MASTER'!$V$2:$V$495&gt;=9)*('CONTROL MASTER'!$U$2:$U$495&lt;=5)*('CONTROL MASTER'!$W$2:$W$495&gt;=5))*ROW('CONTROL MASTER'!$S$2:$S$495))-(ROW('CONTROL MASTER'!#REF!)-1))))*(INDEX('CONTROL MASTER'!$W$2:$W$495,(SUMPRODUCT((('CONTROL MASTER'!$S$2:$S$495=15)*('CONTROL MASTER'!$T$2:$T$495&lt;=9)*('CONTROL MASTER'!$V$2:$V$495&gt;=9)*('CONTROL MASTER'!$U$2:$U$495&lt;=5)*('CONTROL MASTER'!$W$2:$W$495&gt;=5))*ROW('CONTROL MASTER'!$S$2:$S$495))-(ROW('CONTROL MASTER'!#REF!)-1)))-INDEX('CONTROL MASTER'!$U$2:$U$495,(SUMPRODUCT((('CONTROL MASTER'!$S$2:$S$495=15)*('CONTROL MASTER'!$T$2:$T$495&lt;=9)*('CONTROL MASTER'!$V$2:$V$495&gt;=9)*('CONTROL MASTER'!$U$2:$U$495&lt;=5)*('CONTROL MASTER'!$W$2:$W$495&gt;=5))*ROW('CONTROL MASTER'!$S$2:$S$495))-(ROW('CONTROL MASTER'!#REF!)-1)))+1)+(5-INDEX('CONTROL MASTER'!$U$2:$U$495,(SUMPRODUCT((('CONTROL MASTER'!$S$2:$S$495=15)*('CONTROL MASTER'!$T$2:$T$495&lt;=9)*('CONTROL MASTER'!$V$2:$V$495&gt;=9)*('CONTROL MASTER'!$U$2:$U$495&lt;=5)*('CONTROL MASTER'!$W$2:$W$495&gt;=5))*ROW('CONTROL MASTER'!$S$2:$S$495))-(ROW('CONTROL MASTER'!#REF!)-1))))+1))-1)*50+1,50))&amp;"_"&amp;INDEX('CONTROL MASTER'!$P$2:$P$495,(SUMPRODUCT((('CONTROL MASTER'!$S$2:$S$495=15)*('CONTROL MASTER'!$T$2:$T$495&lt;=9)*('CONTROL MASTER'!$V$2:$V$495&gt;=9)*('CONTROL MASTER'!$U$2:$U$495&lt;=5)*('CONTROL MASTER'!$W$2:$W$495&gt;=5))*ROW('CONTROL MASTER'!$S$2:$S$495))-(ROW('CONTROL MASTER'!#REF!)-1))),IF(SUMPRODUCT((('CONTROL MASTER'!$S$2:$S$495=15)*('CONTROL MASTER'!$Z$2:$Z$495&lt;=9)*('CONTROL MASTER'!$AB$2:$AB$495&gt;=9)*('CONTROL MASTER'!$AA$2:$AA$495&lt;=5)*('CONTROL MASTER'!$AC$2:$AC$495&gt;=5))*ROW('CONTROL MASTER'!$S$2:$S$495))&gt;0,INDEX('CONTROL MASTER'!$X$2:$X$495,(SUMPRODUCT((('CONTROL MASTER'!$S$2:$S$495=15)*('CONTROL MASTER'!$Z$2:$Z$495&lt;=9)*('CONTROL MASTER'!$AB$2:$AB$495&gt;=9)*('CONTROL MASTER'!$AA$2:$AA$495&lt;=5)*('CONTROL MASTER'!$AC$2:$AC$495&gt;=5))*ROW('CONTROL MASTER'!$S$2:$S$495))-(ROW('CONTROL MASTER'!#REF!)-1)))&amp;TRIM(MID(SUBSTITUTE(SUBSTITUTE(INDEX('CONTROL MASTER'!$N$2:$N$495,(SUMPRODUCT((('CONTROL MASTER'!$S$2:$S$495=15)*('CONTROL MASTER'!$Z$2:$Z$495&lt;=9)*('CONTROL MASTER'!$AB$2:$AB$495&gt;=9)*('CONTROL MASTER'!$AA$2:$AA$495&lt;=5)*('CONTROL MASTER'!$AC$2:$AC$495&gt;=5))*ROW('CONTROL MASTER'!$S$2:$S$495))-(ROW('CONTROL MASTER'!#REF!)-1))),":",","),",",REPT(" ",50)),(((INDEX('CONTROL MASTER'!$Y$2:$Y$495,(SUMPRODUCT((('CONTROL MASTER'!$S$2:$S$495=15)*('CONTROL MASTER'!$Z$2:$Z$495&lt;=9)*('CONTROL MASTER'!$AB$2:$AB$495&gt;=9)*('CONTROL MASTER'!$AA$2:$AA$495&lt;=5)*('CONTROL MASTER'!$AC$2:$AC$495&gt;=5))*ROW('CONTROL MASTER'!$S$2:$S$495))-(ROW('CONTROL MASTER'!#REF!)-1)))+((9-INDEX('CONTROL MASTER'!$Z$2:$Z$495,(SUMPRODUCT((('CONTROL MASTER'!$S$2:$S$495=15)*('CONTROL MASTER'!$Z$2:$Z$495&lt;=9)*('CONTROL MASTER'!$AB$2:$AB$495&gt;=9)*('CONTROL MASTER'!$AA$2:$AA$495&lt;=5)*('CONTROL MASTER'!$AC$2:$AC$495&gt;=5))*ROW('CONTROL MASTER'!$S$2:$S$495))-(ROW('CONTROL MASTER'!#REF!)-1))))*(INDEX('CONTROL MASTER'!$AC$2:$AC$495,(SUMPRODUCT((('CONTROL MASTER'!$S$2:$S$495=15)*('CONTROL MASTER'!$Z$2:$Z$495&lt;=9)*('CONTROL MASTER'!$AB$2:$AB$495&gt;=9)*('CONTROL MASTER'!$AA$2:$AA$495&lt;=5)*('CONTROL MASTER'!$AC$2:$AC$495&gt;=5))*ROW('CONTROL MASTER'!$S$2:$S$495))-(ROW('CONTROL MASTER'!#REF!)-1)))-INDEX('CONTROL MASTER'!$AA$2:$AA$495,(SUMPRODUCT((('CONTROL MASTER'!$S$2:$S$495=15)*('CONTROL MASTER'!$Z$2:$Z$495&lt;=9)*('CONTROL MASTER'!$AB$2:$AB$495&gt;=9)*('CONTROL MASTER'!$AA$2:$AA$495&lt;=5)*('CONTROL MASTER'!$AC$2:$AC$495&gt;=5))*ROW('CONTROL MASTER'!$S$2:$S$495))-(ROW('CONTROL MASTER'!#REF!)-1)))+1)+(5-INDEX('CONTROL MASTER'!$AA$2:$AA$495,(SUMPRODUCT((('CONTROL MASTER'!$S$2:$S$495=15)*('CONTROL MASTER'!$Z$2:$Z$495&lt;=9)*('CONTROL MASTER'!$AB$2:$AB$495&gt;=9)*('CONTROL MASTER'!$AA$2:$AA$495&lt;=5)*('CONTROL MASTER'!$AC$2:$AC$495&gt;=5))*ROW('CONTROL MASTER'!$S$2:$S$495))-(ROW('CONTROL MASTER'!#REF!)-1))))+1)))-1)*50+1,50))&amp;"_"&amp;INDEX('CONTROL MASTER'!$P$2:$P$495,(SUMPRODUCT((('CONTROL MASTER'!$S$2:$S$495=15)*('CONTROL MASTER'!$Z$2:$Z$495&lt;=9)*('CONTROL MASTER'!$AB$2:$AB$495&gt;=9)*('CONTROL MASTER'!$AA$2:$AA$495&lt;=5)*('CONTROL MASTER'!$AC$2:$AC$495&gt;=5))*ROW('CONTROL MASTER'!$S$2:$S$495))-(ROW('CONTROL MASTER'!#REF!)-1))),"")),"")</f>
        <v/>
      </c>
      <c r="G207" s="10" t="str">
        <f>IFERROR(IF(SUMPRODUCT((('CONTROL MASTER'!$S$2:$S$495=15)*('CONTROL MASTER'!$T$2:$T$495&lt;=9)*('CONTROL MASTER'!$V$2:$V$495&gt;=9)*('CONTROL MASTER'!$U$2:$U$495&lt;=6)*('CONTROL MASTER'!$W$2:$W$495&gt;=6))*ROW('CONTROL MASTER'!$S$2:$S$495))&gt;0,INDEX('CONTROL MASTER'!$X$2:$X$495,(SUMPRODUCT((('CONTROL MASTER'!$S$2:$S$495=15)*('CONTROL MASTER'!$T$2:$T$495&lt;=9)*('CONTROL MASTER'!$V$2:$V$495&gt;=9)*('CONTROL MASTER'!$U$2:$U$495&lt;=6)*('CONTROL MASTER'!$W$2:$W$495&gt;=6))*ROW('CONTROL MASTER'!$S$2:$S$495))-(ROW('CONTROL MASTER'!#REF!)-1)))&amp;TRIM(MID(SUBSTITUTE(SUBSTITUTE(INDEX('CONTROL MASTER'!$N$2:$N$495,(SUMPRODUCT((('CONTROL MASTER'!$S$2:$S$495=15)*('CONTROL MASTER'!$T$2:$T$495&lt;=9)*('CONTROL MASTER'!$V$2:$V$495&gt;=9)*('CONTROL MASTER'!$U$2:$U$495&lt;=6)*('CONTROL MASTER'!$W$2:$W$495&gt;=6))*ROW('CONTROL MASTER'!$S$2:$S$495))-(ROW('CONTROL MASTER'!#REF!)-1))),":",","),",",REPT(" ",50)),((((9-INDEX('CONTROL MASTER'!$T$2:$T$495,(SUMPRODUCT((('CONTROL MASTER'!$S$2:$S$495=15)*('CONTROL MASTER'!$T$2:$T$495&lt;=9)*('CONTROL MASTER'!$V$2:$V$495&gt;=9)*('CONTROL MASTER'!$U$2:$U$495&lt;=6)*('CONTROL MASTER'!$W$2:$W$495&gt;=6))*ROW('CONTROL MASTER'!$S$2:$S$495))-(ROW('CONTROL MASTER'!#REF!)-1))))*(INDEX('CONTROL MASTER'!$W$2:$W$495,(SUMPRODUCT((('CONTROL MASTER'!$S$2:$S$495=15)*('CONTROL MASTER'!$T$2:$T$495&lt;=9)*('CONTROL MASTER'!$V$2:$V$495&gt;=9)*('CONTROL MASTER'!$U$2:$U$495&lt;=6)*('CONTROL MASTER'!$W$2:$W$495&gt;=6))*ROW('CONTROL MASTER'!$S$2:$S$495))-(ROW('CONTROL MASTER'!#REF!)-1)))-INDEX('CONTROL MASTER'!$U$2:$U$495,(SUMPRODUCT((('CONTROL MASTER'!$S$2:$S$495=15)*('CONTROL MASTER'!$T$2:$T$495&lt;=9)*('CONTROL MASTER'!$V$2:$V$495&gt;=9)*('CONTROL MASTER'!$U$2:$U$495&lt;=6)*('CONTROL MASTER'!$W$2:$W$495&gt;=6))*ROW('CONTROL MASTER'!$S$2:$S$495))-(ROW('CONTROL MASTER'!#REF!)-1)))+1)+(6-INDEX('CONTROL MASTER'!$U$2:$U$495,(SUMPRODUCT((('CONTROL MASTER'!$S$2:$S$495=15)*('CONTROL MASTER'!$T$2:$T$495&lt;=9)*('CONTROL MASTER'!$V$2:$V$495&gt;=9)*('CONTROL MASTER'!$U$2:$U$495&lt;=6)*('CONTROL MASTER'!$W$2:$W$495&gt;=6))*ROW('CONTROL MASTER'!$S$2:$S$495))-(ROW('CONTROL MASTER'!#REF!)-1))))+1))-1)*50+1,50))&amp;"_"&amp;INDEX('CONTROL MASTER'!$P$2:$P$495,(SUMPRODUCT((('CONTROL MASTER'!$S$2:$S$495=15)*('CONTROL MASTER'!$T$2:$T$495&lt;=9)*('CONTROL MASTER'!$V$2:$V$495&gt;=9)*('CONTROL MASTER'!$U$2:$U$495&lt;=6)*('CONTROL MASTER'!$W$2:$W$495&gt;=6))*ROW('CONTROL MASTER'!$S$2:$S$495))-(ROW('CONTROL MASTER'!#REF!)-1))),IF(SUMPRODUCT((('CONTROL MASTER'!$S$2:$S$495=15)*('CONTROL MASTER'!$Z$2:$Z$495&lt;=9)*('CONTROL MASTER'!$AB$2:$AB$495&gt;=9)*('CONTROL MASTER'!$AA$2:$AA$495&lt;=6)*('CONTROL MASTER'!$AC$2:$AC$495&gt;=6))*ROW('CONTROL MASTER'!$S$2:$S$495))&gt;0,INDEX('CONTROL MASTER'!$X$2:$X$495,(SUMPRODUCT((('CONTROL MASTER'!$S$2:$S$495=15)*('CONTROL MASTER'!$Z$2:$Z$495&lt;=9)*('CONTROL MASTER'!$AB$2:$AB$495&gt;=9)*('CONTROL MASTER'!$AA$2:$AA$495&lt;=6)*('CONTROL MASTER'!$AC$2:$AC$495&gt;=6))*ROW('CONTROL MASTER'!$S$2:$S$495))-(ROW('CONTROL MASTER'!#REF!)-1)))&amp;TRIM(MID(SUBSTITUTE(SUBSTITUTE(INDEX('CONTROL MASTER'!$N$2:$N$495,(SUMPRODUCT((('CONTROL MASTER'!$S$2:$S$495=15)*('CONTROL MASTER'!$Z$2:$Z$495&lt;=9)*('CONTROL MASTER'!$AB$2:$AB$495&gt;=9)*('CONTROL MASTER'!$AA$2:$AA$495&lt;=6)*('CONTROL MASTER'!$AC$2:$AC$495&gt;=6))*ROW('CONTROL MASTER'!$S$2:$S$495))-(ROW('CONTROL MASTER'!#REF!)-1))),":",","),",",REPT(" ",50)),(((INDEX('CONTROL MASTER'!$Y$2:$Y$495,(SUMPRODUCT((('CONTROL MASTER'!$S$2:$S$495=15)*('CONTROL MASTER'!$Z$2:$Z$495&lt;=9)*('CONTROL MASTER'!$AB$2:$AB$495&gt;=9)*('CONTROL MASTER'!$AA$2:$AA$495&lt;=6)*('CONTROL MASTER'!$AC$2:$AC$495&gt;=6))*ROW('CONTROL MASTER'!$S$2:$S$495))-(ROW('CONTROL MASTER'!#REF!)-1)))+((9-INDEX('CONTROL MASTER'!$Z$2:$Z$495,(SUMPRODUCT((('CONTROL MASTER'!$S$2:$S$495=15)*('CONTROL MASTER'!$Z$2:$Z$495&lt;=9)*('CONTROL MASTER'!$AB$2:$AB$495&gt;=9)*('CONTROL MASTER'!$AA$2:$AA$495&lt;=6)*('CONTROL MASTER'!$AC$2:$AC$495&gt;=6))*ROW('CONTROL MASTER'!$S$2:$S$495))-(ROW('CONTROL MASTER'!#REF!)-1))))*(INDEX('CONTROL MASTER'!$AC$2:$AC$495,(SUMPRODUCT((('CONTROL MASTER'!$S$2:$S$495=15)*('CONTROL MASTER'!$Z$2:$Z$495&lt;=9)*('CONTROL MASTER'!$AB$2:$AB$495&gt;=9)*('CONTROL MASTER'!$AA$2:$AA$495&lt;=6)*('CONTROL MASTER'!$AC$2:$AC$495&gt;=6))*ROW('CONTROL MASTER'!$S$2:$S$495))-(ROW('CONTROL MASTER'!#REF!)-1)))-INDEX('CONTROL MASTER'!$AA$2:$AA$495,(SUMPRODUCT((('CONTROL MASTER'!$S$2:$S$495=15)*('CONTROL MASTER'!$Z$2:$Z$495&lt;=9)*('CONTROL MASTER'!$AB$2:$AB$495&gt;=9)*('CONTROL MASTER'!$AA$2:$AA$495&lt;=6)*('CONTROL MASTER'!$AC$2:$AC$495&gt;=6))*ROW('CONTROL MASTER'!$S$2:$S$495))-(ROW('CONTROL MASTER'!#REF!)-1)))+1)+(6-INDEX('CONTROL MASTER'!$AA$2:$AA$495,(SUMPRODUCT((('CONTROL MASTER'!$S$2:$S$495=15)*('CONTROL MASTER'!$Z$2:$Z$495&lt;=9)*('CONTROL MASTER'!$AB$2:$AB$495&gt;=9)*('CONTROL MASTER'!$AA$2:$AA$495&lt;=6)*('CONTROL MASTER'!$AC$2:$AC$495&gt;=6))*ROW('CONTROL MASTER'!$S$2:$S$495))-(ROW('CONTROL MASTER'!#REF!)-1))))+1)))-1)*50+1,50))&amp;"_"&amp;INDEX('CONTROL MASTER'!$P$2:$P$495,(SUMPRODUCT((('CONTROL MASTER'!$S$2:$S$495=15)*('CONTROL MASTER'!$Z$2:$Z$495&lt;=9)*('CONTROL MASTER'!$AB$2:$AB$495&gt;=9)*('CONTROL MASTER'!$AA$2:$AA$495&lt;=6)*('CONTROL MASTER'!$AC$2:$AC$495&gt;=6))*ROW('CONTROL MASTER'!$S$2:$S$495))-(ROW('CONTROL MASTER'!#REF!)-1))),"")),"")</f>
        <v/>
      </c>
      <c r="H207" s="10" t="str">
        <f>IFERROR(IF(SUMPRODUCT((('CONTROL MASTER'!$S$2:$S$495=15)*('CONTROL MASTER'!$T$2:$T$495&lt;=9)*('CONTROL MASTER'!$V$2:$V$495&gt;=9)*('CONTROL MASTER'!$U$2:$U$495&lt;=7)*('CONTROL MASTER'!$W$2:$W$495&gt;=7))*ROW('CONTROL MASTER'!$S$2:$S$495))&gt;0,INDEX('CONTROL MASTER'!$X$2:$X$495,(SUMPRODUCT((('CONTROL MASTER'!$S$2:$S$495=15)*('CONTROL MASTER'!$T$2:$T$495&lt;=9)*('CONTROL MASTER'!$V$2:$V$495&gt;=9)*('CONTROL MASTER'!$U$2:$U$495&lt;=7)*('CONTROL MASTER'!$W$2:$W$495&gt;=7))*ROW('CONTROL MASTER'!$S$2:$S$495))-(ROW('CONTROL MASTER'!#REF!)-1)))&amp;TRIM(MID(SUBSTITUTE(SUBSTITUTE(INDEX('CONTROL MASTER'!$N$2:$N$495,(SUMPRODUCT((('CONTROL MASTER'!$S$2:$S$495=15)*('CONTROL MASTER'!$T$2:$T$495&lt;=9)*('CONTROL MASTER'!$V$2:$V$495&gt;=9)*('CONTROL MASTER'!$U$2:$U$495&lt;=7)*('CONTROL MASTER'!$W$2:$W$495&gt;=7))*ROW('CONTROL MASTER'!$S$2:$S$495))-(ROW('CONTROL MASTER'!#REF!)-1))),":",","),",",REPT(" ",50)),((((9-INDEX('CONTROL MASTER'!$T$2:$T$495,(SUMPRODUCT((('CONTROL MASTER'!$S$2:$S$495=15)*('CONTROL MASTER'!$T$2:$T$495&lt;=9)*('CONTROL MASTER'!$V$2:$V$495&gt;=9)*('CONTROL MASTER'!$U$2:$U$495&lt;=7)*('CONTROL MASTER'!$W$2:$W$495&gt;=7))*ROW('CONTROL MASTER'!$S$2:$S$495))-(ROW('CONTROL MASTER'!#REF!)-1))))*(INDEX('CONTROL MASTER'!$W$2:$W$495,(SUMPRODUCT((('CONTROL MASTER'!$S$2:$S$495=15)*('CONTROL MASTER'!$T$2:$T$495&lt;=9)*('CONTROL MASTER'!$V$2:$V$495&gt;=9)*('CONTROL MASTER'!$U$2:$U$495&lt;=7)*('CONTROL MASTER'!$W$2:$W$495&gt;=7))*ROW('CONTROL MASTER'!$S$2:$S$495))-(ROW('CONTROL MASTER'!#REF!)-1)))-INDEX('CONTROL MASTER'!$U$2:$U$495,(SUMPRODUCT((('CONTROL MASTER'!$S$2:$S$495=15)*('CONTROL MASTER'!$T$2:$T$495&lt;=9)*('CONTROL MASTER'!$V$2:$V$495&gt;=9)*('CONTROL MASTER'!$U$2:$U$495&lt;=7)*('CONTROL MASTER'!$W$2:$W$495&gt;=7))*ROW('CONTROL MASTER'!$S$2:$S$495))-(ROW('CONTROL MASTER'!#REF!)-1)))+1)+(7-INDEX('CONTROL MASTER'!$U$2:$U$495,(SUMPRODUCT((('CONTROL MASTER'!$S$2:$S$495=15)*('CONTROL MASTER'!$T$2:$T$495&lt;=9)*('CONTROL MASTER'!$V$2:$V$495&gt;=9)*('CONTROL MASTER'!$U$2:$U$495&lt;=7)*('CONTROL MASTER'!$W$2:$W$495&gt;=7))*ROW('CONTROL MASTER'!$S$2:$S$495))-(ROW('CONTROL MASTER'!#REF!)-1))))+1))-1)*50+1,50))&amp;"_"&amp;INDEX('CONTROL MASTER'!$P$2:$P$495,(SUMPRODUCT((('CONTROL MASTER'!$S$2:$S$495=15)*('CONTROL MASTER'!$T$2:$T$495&lt;=9)*('CONTROL MASTER'!$V$2:$V$495&gt;=9)*('CONTROL MASTER'!$U$2:$U$495&lt;=7)*('CONTROL MASTER'!$W$2:$W$495&gt;=7))*ROW('CONTROL MASTER'!$S$2:$S$495))-(ROW('CONTROL MASTER'!#REF!)-1))),IF(SUMPRODUCT((('CONTROL MASTER'!$S$2:$S$495=15)*('CONTROL MASTER'!$Z$2:$Z$495&lt;=9)*('CONTROL MASTER'!$AB$2:$AB$495&gt;=9)*('CONTROL MASTER'!$AA$2:$AA$495&lt;=7)*('CONTROL MASTER'!$AC$2:$AC$495&gt;=7))*ROW('CONTROL MASTER'!$S$2:$S$495))&gt;0,INDEX('CONTROL MASTER'!$X$2:$X$495,(SUMPRODUCT((('CONTROL MASTER'!$S$2:$S$495=15)*('CONTROL MASTER'!$Z$2:$Z$495&lt;=9)*('CONTROL MASTER'!$AB$2:$AB$495&gt;=9)*('CONTROL MASTER'!$AA$2:$AA$495&lt;=7)*('CONTROL MASTER'!$AC$2:$AC$495&gt;=7))*ROW('CONTROL MASTER'!$S$2:$S$495))-(ROW('CONTROL MASTER'!#REF!)-1)))&amp;TRIM(MID(SUBSTITUTE(SUBSTITUTE(INDEX('CONTROL MASTER'!$N$2:$N$495,(SUMPRODUCT((('CONTROL MASTER'!$S$2:$S$495=15)*('CONTROL MASTER'!$Z$2:$Z$495&lt;=9)*('CONTROL MASTER'!$AB$2:$AB$495&gt;=9)*('CONTROL MASTER'!$AA$2:$AA$495&lt;=7)*('CONTROL MASTER'!$AC$2:$AC$495&gt;=7))*ROW('CONTROL MASTER'!$S$2:$S$495))-(ROW('CONTROL MASTER'!#REF!)-1))),":",","),",",REPT(" ",50)),(((INDEX('CONTROL MASTER'!$Y$2:$Y$495,(SUMPRODUCT((('CONTROL MASTER'!$S$2:$S$495=15)*('CONTROL MASTER'!$Z$2:$Z$495&lt;=9)*('CONTROL MASTER'!$AB$2:$AB$495&gt;=9)*('CONTROL MASTER'!$AA$2:$AA$495&lt;=7)*('CONTROL MASTER'!$AC$2:$AC$495&gt;=7))*ROW('CONTROL MASTER'!$S$2:$S$495))-(ROW('CONTROL MASTER'!#REF!)-1)))+((9-INDEX('CONTROL MASTER'!$Z$2:$Z$495,(SUMPRODUCT((('CONTROL MASTER'!$S$2:$S$495=15)*('CONTROL MASTER'!$Z$2:$Z$495&lt;=9)*('CONTROL MASTER'!$AB$2:$AB$495&gt;=9)*('CONTROL MASTER'!$AA$2:$AA$495&lt;=7)*('CONTROL MASTER'!$AC$2:$AC$495&gt;=7))*ROW('CONTROL MASTER'!$S$2:$S$495))-(ROW('CONTROL MASTER'!#REF!)-1))))*(INDEX('CONTROL MASTER'!$AC$2:$AC$495,(SUMPRODUCT((('CONTROL MASTER'!$S$2:$S$495=15)*('CONTROL MASTER'!$Z$2:$Z$495&lt;=9)*('CONTROL MASTER'!$AB$2:$AB$495&gt;=9)*('CONTROL MASTER'!$AA$2:$AA$495&lt;=7)*('CONTROL MASTER'!$AC$2:$AC$495&gt;=7))*ROW('CONTROL MASTER'!$S$2:$S$495))-(ROW('CONTROL MASTER'!#REF!)-1)))-INDEX('CONTROL MASTER'!$AA$2:$AA$495,(SUMPRODUCT((('CONTROL MASTER'!$S$2:$S$495=15)*('CONTROL MASTER'!$Z$2:$Z$495&lt;=9)*('CONTROL MASTER'!$AB$2:$AB$495&gt;=9)*('CONTROL MASTER'!$AA$2:$AA$495&lt;=7)*('CONTROL MASTER'!$AC$2:$AC$495&gt;=7))*ROW('CONTROL MASTER'!$S$2:$S$495))-(ROW('CONTROL MASTER'!#REF!)-1)))+1)+(7-INDEX('CONTROL MASTER'!$AA$2:$AA$495,(SUMPRODUCT((('CONTROL MASTER'!$S$2:$S$495=15)*('CONTROL MASTER'!$Z$2:$Z$495&lt;=9)*('CONTROL MASTER'!$AB$2:$AB$495&gt;=9)*('CONTROL MASTER'!$AA$2:$AA$495&lt;=7)*('CONTROL MASTER'!$AC$2:$AC$495&gt;=7))*ROW('CONTROL MASTER'!$S$2:$S$495))-(ROW('CONTROL MASTER'!#REF!)-1))))+1)))-1)*50+1,50))&amp;"_"&amp;INDEX('CONTROL MASTER'!$P$2:$P$495,(SUMPRODUCT((('CONTROL MASTER'!$S$2:$S$495=15)*('CONTROL MASTER'!$Z$2:$Z$495&lt;=9)*('CONTROL MASTER'!$AB$2:$AB$495&gt;=9)*('CONTROL MASTER'!$AA$2:$AA$495&lt;=7)*('CONTROL MASTER'!$AC$2:$AC$495&gt;=7))*ROW('CONTROL MASTER'!$S$2:$S$495))-(ROW('CONTROL MASTER'!#REF!)-1))),"")),"")</f>
        <v/>
      </c>
      <c r="I207" s="10" t="str">
        <f>IFERROR(IF(SUMPRODUCT((('CONTROL MASTER'!$S$2:$S$495=15)*('CONTROL MASTER'!$T$2:$T$495&lt;=9)*('CONTROL MASTER'!$V$2:$V$495&gt;=9)*('CONTROL MASTER'!$U$2:$U$495&lt;=8)*('CONTROL MASTER'!$W$2:$W$495&gt;=8))*ROW('CONTROL MASTER'!$S$2:$S$495))&gt;0,INDEX('CONTROL MASTER'!$X$2:$X$495,(SUMPRODUCT((('CONTROL MASTER'!$S$2:$S$495=15)*('CONTROL MASTER'!$T$2:$T$495&lt;=9)*('CONTROL MASTER'!$V$2:$V$495&gt;=9)*('CONTROL MASTER'!$U$2:$U$495&lt;=8)*('CONTROL MASTER'!$W$2:$W$495&gt;=8))*ROW('CONTROL MASTER'!$S$2:$S$495))-(ROW('CONTROL MASTER'!#REF!)-1)))&amp;TRIM(MID(SUBSTITUTE(SUBSTITUTE(INDEX('CONTROL MASTER'!$N$2:$N$495,(SUMPRODUCT((('CONTROL MASTER'!$S$2:$S$495=15)*('CONTROL MASTER'!$T$2:$T$495&lt;=9)*('CONTROL MASTER'!$V$2:$V$495&gt;=9)*('CONTROL MASTER'!$U$2:$U$495&lt;=8)*('CONTROL MASTER'!$W$2:$W$495&gt;=8))*ROW('CONTROL MASTER'!$S$2:$S$495))-(ROW('CONTROL MASTER'!#REF!)-1))),":",","),",",REPT(" ",50)),((((9-INDEX('CONTROL MASTER'!$T$2:$T$495,(SUMPRODUCT((('CONTROL MASTER'!$S$2:$S$495=15)*('CONTROL MASTER'!$T$2:$T$495&lt;=9)*('CONTROL MASTER'!$V$2:$V$495&gt;=9)*('CONTROL MASTER'!$U$2:$U$495&lt;=8)*('CONTROL MASTER'!$W$2:$W$495&gt;=8))*ROW('CONTROL MASTER'!$S$2:$S$495))-(ROW('CONTROL MASTER'!#REF!)-1))))*(INDEX('CONTROL MASTER'!$W$2:$W$495,(SUMPRODUCT((('CONTROL MASTER'!$S$2:$S$495=15)*('CONTROL MASTER'!$T$2:$T$495&lt;=9)*('CONTROL MASTER'!$V$2:$V$495&gt;=9)*('CONTROL MASTER'!$U$2:$U$495&lt;=8)*('CONTROL MASTER'!$W$2:$W$495&gt;=8))*ROW('CONTROL MASTER'!$S$2:$S$495))-(ROW('CONTROL MASTER'!#REF!)-1)))-INDEX('CONTROL MASTER'!$U$2:$U$495,(SUMPRODUCT((('CONTROL MASTER'!$S$2:$S$495=15)*('CONTROL MASTER'!$T$2:$T$495&lt;=9)*('CONTROL MASTER'!$V$2:$V$495&gt;=9)*('CONTROL MASTER'!$U$2:$U$495&lt;=8)*('CONTROL MASTER'!$W$2:$W$495&gt;=8))*ROW('CONTROL MASTER'!$S$2:$S$495))-(ROW('CONTROL MASTER'!#REF!)-1)))+1)+(8-INDEX('CONTROL MASTER'!$U$2:$U$495,(SUMPRODUCT((('CONTROL MASTER'!$S$2:$S$495=15)*('CONTROL MASTER'!$T$2:$T$495&lt;=9)*('CONTROL MASTER'!$V$2:$V$495&gt;=9)*('CONTROL MASTER'!$U$2:$U$495&lt;=8)*('CONTROL MASTER'!$W$2:$W$495&gt;=8))*ROW('CONTROL MASTER'!$S$2:$S$495))-(ROW('CONTROL MASTER'!#REF!)-1))))+1))-1)*50+1,50))&amp;"_"&amp;INDEX('CONTROL MASTER'!$P$2:$P$495,(SUMPRODUCT((('CONTROL MASTER'!$S$2:$S$495=15)*('CONTROL MASTER'!$T$2:$T$495&lt;=9)*('CONTROL MASTER'!$V$2:$V$495&gt;=9)*('CONTROL MASTER'!$U$2:$U$495&lt;=8)*('CONTROL MASTER'!$W$2:$W$495&gt;=8))*ROW('CONTROL MASTER'!$S$2:$S$495))-(ROW('CONTROL MASTER'!#REF!)-1))),IF(SUMPRODUCT((('CONTROL MASTER'!$S$2:$S$495=15)*('CONTROL MASTER'!$Z$2:$Z$495&lt;=9)*('CONTROL MASTER'!$AB$2:$AB$495&gt;=9)*('CONTROL MASTER'!$AA$2:$AA$495&lt;=8)*('CONTROL MASTER'!$AC$2:$AC$495&gt;=8))*ROW('CONTROL MASTER'!$S$2:$S$495))&gt;0,INDEX('CONTROL MASTER'!$X$2:$X$495,(SUMPRODUCT((('CONTROL MASTER'!$S$2:$S$495=15)*('CONTROL MASTER'!$Z$2:$Z$495&lt;=9)*('CONTROL MASTER'!$AB$2:$AB$495&gt;=9)*('CONTROL MASTER'!$AA$2:$AA$495&lt;=8)*('CONTROL MASTER'!$AC$2:$AC$495&gt;=8))*ROW('CONTROL MASTER'!$S$2:$S$495))-(ROW('CONTROL MASTER'!#REF!)-1)))&amp;TRIM(MID(SUBSTITUTE(SUBSTITUTE(INDEX('CONTROL MASTER'!$N$2:$N$495,(SUMPRODUCT((('CONTROL MASTER'!$S$2:$S$495=15)*('CONTROL MASTER'!$Z$2:$Z$495&lt;=9)*('CONTROL MASTER'!$AB$2:$AB$495&gt;=9)*('CONTROL MASTER'!$AA$2:$AA$495&lt;=8)*('CONTROL MASTER'!$AC$2:$AC$495&gt;=8))*ROW('CONTROL MASTER'!$S$2:$S$495))-(ROW('CONTROL MASTER'!#REF!)-1))),":",","),",",REPT(" ",50)),(((INDEX('CONTROL MASTER'!$Y$2:$Y$495,(SUMPRODUCT((('CONTROL MASTER'!$S$2:$S$495=15)*('CONTROL MASTER'!$Z$2:$Z$495&lt;=9)*('CONTROL MASTER'!$AB$2:$AB$495&gt;=9)*('CONTROL MASTER'!$AA$2:$AA$495&lt;=8)*('CONTROL MASTER'!$AC$2:$AC$495&gt;=8))*ROW('CONTROL MASTER'!$S$2:$S$495))-(ROW('CONTROL MASTER'!#REF!)-1)))+((9-INDEX('CONTROL MASTER'!$Z$2:$Z$495,(SUMPRODUCT((('CONTROL MASTER'!$S$2:$S$495=15)*('CONTROL MASTER'!$Z$2:$Z$495&lt;=9)*('CONTROL MASTER'!$AB$2:$AB$495&gt;=9)*('CONTROL MASTER'!$AA$2:$AA$495&lt;=8)*('CONTROL MASTER'!$AC$2:$AC$495&gt;=8))*ROW('CONTROL MASTER'!$S$2:$S$495))-(ROW('CONTROL MASTER'!#REF!)-1))))*(INDEX('CONTROL MASTER'!$AC$2:$AC$495,(SUMPRODUCT((('CONTROL MASTER'!$S$2:$S$495=15)*('CONTROL MASTER'!$Z$2:$Z$495&lt;=9)*('CONTROL MASTER'!$AB$2:$AB$495&gt;=9)*('CONTROL MASTER'!$AA$2:$AA$495&lt;=8)*('CONTROL MASTER'!$AC$2:$AC$495&gt;=8))*ROW('CONTROL MASTER'!$S$2:$S$495))-(ROW('CONTROL MASTER'!#REF!)-1)))-INDEX('CONTROL MASTER'!$AA$2:$AA$495,(SUMPRODUCT((('CONTROL MASTER'!$S$2:$S$495=15)*('CONTROL MASTER'!$Z$2:$Z$495&lt;=9)*('CONTROL MASTER'!$AB$2:$AB$495&gt;=9)*('CONTROL MASTER'!$AA$2:$AA$495&lt;=8)*('CONTROL MASTER'!$AC$2:$AC$495&gt;=8))*ROW('CONTROL MASTER'!$S$2:$S$495))-(ROW('CONTROL MASTER'!#REF!)-1)))+1)+(8-INDEX('CONTROL MASTER'!$AA$2:$AA$495,(SUMPRODUCT((('CONTROL MASTER'!$S$2:$S$495=15)*('CONTROL MASTER'!$Z$2:$Z$495&lt;=9)*('CONTROL MASTER'!$AB$2:$AB$495&gt;=9)*('CONTROL MASTER'!$AA$2:$AA$495&lt;=8)*('CONTROL MASTER'!$AC$2:$AC$495&gt;=8))*ROW('CONTROL MASTER'!$S$2:$S$495))-(ROW('CONTROL MASTER'!#REF!)-1))))+1)))-1)*50+1,50))&amp;"_"&amp;INDEX('CONTROL MASTER'!$P$2:$P$495,(SUMPRODUCT((('CONTROL MASTER'!$S$2:$S$495=15)*('CONTROL MASTER'!$Z$2:$Z$495&lt;=9)*('CONTROL MASTER'!$AB$2:$AB$495&gt;=9)*('CONTROL MASTER'!$AA$2:$AA$495&lt;=8)*('CONTROL MASTER'!$AC$2:$AC$495&gt;=8))*ROW('CONTROL MASTER'!$S$2:$S$495))-(ROW('CONTROL MASTER'!#REF!)-1))),"")),"")</f>
        <v/>
      </c>
      <c r="J207" s="10" t="str">
        <f>IFERROR(IF(SUMPRODUCT((('CONTROL MASTER'!$S$2:$S$495=15)*('CONTROL MASTER'!$T$2:$T$495&lt;=9)*('CONTROL MASTER'!$V$2:$V$495&gt;=9)*('CONTROL MASTER'!$U$2:$U$495&lt;=9)*('CONTROL MASTER'!$W$2:$W$495&gt;=9))*ROW('CONTROL MASTER'!$S$2:$S$495))&gt;0,INDEX('CONTROL MASTER'!$X$2:$X$495,(SUMPRODUCT((('CONTROL MASTER'!$S$2:$S$495=15)*('CONTROL MASTER'!$T$2:$T$495&lt;=9)*('CONTROL MASTER'!$V$2:$V$495&gt;=9)*('CONTROL MASTER'!$U$2:$U$495&lt;=9)*('CONTROL MASTER'!$W$2:$W$495&gt;=9))*ROW('CONTROL MASTER'!$S$2:$S$495))-(ROW('CONTROL MASTER'!#REF!)-1)))&amp;TRIM(MID(SUBSTITUTE(SUBSTITUTE(INDEX('CONTROL MASTER'!$N$2:$N$495,(SUMPRODUCT((('CONTROL MASTER'!$S$2:$S$495=15)*('CONTROL MASTER'!$T$2:$T$495&lt;=9)*('CONTROL MASTER'!$V$2:$V$495&gt;=9)*('CONTROL MASTER'!$U$2:$U$495&lt;=9)*('CONTROL MASTER'!$W$2:$W$495&gt;=9))*ROW('CONTROL MASTER'!$S$2:$S$495))-(ROW('CONTROL MASTER'!#REF!)-1))),":",","),",",REPT(" ",50)),((((9-INDEX('CONTROL MASTER'!$T$2:$T$495,(SUMPRODUCT((('CONTROL MASTER'!$S$2:$S$495=15)*('CONTROL MASTER'!$T$2:$T$495&lt;=9)*('CONTROL MASTER'!$V$2:$V$495&gt;=9)*('CONTROL MASTER'!$U$2:$U$495&lt;=9)*('CONTROL MASTER'!$W$2:$W$495&gt;=9))*ROW('CONTROL MASTER'!$S$2:$S$495))-(ROW('CONTROL MASTER'!#REF!)-1))))*(INDEX('CONTROL MASTER'!$W$2:$W$495,(SUMPRODUCT((('CONTROL MASTER'!$S$2:$S$495=15)*('CONTROL MASTER'!$T$2:$T$495&lt;=9)*('CONTROL MASTER'!$V$2:$V$495&gt;=9)*('CONTROL MASTER'!$U$2:$U$495&lt;=9)*('CONTROL MASTER'!$W$2:$W$495&gt;=9))*ROW('CONTROL MASTER'!$S$2:$S$495))-(ROW('CONTROL MASTER'!#REF!)-1)))-INDEX('CONTROL MASTER'!$U$2:$U$495,(SUMPRODUCT((('CONTROL MASTER'!$S$2:$S$495=15)*('CONTROL MASTER'!$T$2:$T$495&lt;=9)*('CONTROL MASTER'!$V$2:$V$495&gt;=9)*('CONTROL MASTER'!$U$2:$U$495&lt;=9)*('CONTROL MASTER'!$W$2:$W$495&gt;=9))*ROW('CONTROL MASTER'!$S$2:$S$495))-(ROW('CONTROL MASTER'!#REF!)-1)))+1)+(9-INDEX('CONTROL MASTER'!$U$2:$U$495,(SUMPRODUCT((('CONTROL MASTER'!$S$2:$S$495=15)*('CONTROL MASTER'!$T$2:$T$495&lt;=9)*('CONTROL MASTER'!$V$2:$V$495&gt;=9)*('CONTROL MASTER'!$U$2:$U$495&lt;=9)*('CONTROL MASTER'!$W$2:$W$495&gt;=9))*ROW('CONTROL MASTER'!$S$2:$S$495))-(ROW('CONTROL MASTER'!#REF!)-1))))+1))-1)*50+1,50))&amp;"_"&amp;INDEX('CONTROL MASTER'!$P$2:$P$495,(SUMPRODUCT((('CONTROL MASTER'!$S$2:$S$495=15)*('CONTROL MASTER'!$T$2:$T$495&lt;=9)*('CONTROL MASTER'!$V$2:$V$495&gt;=9)*('CONTROL MASTER'!$U$2:$U$495&lt;=9)*('CONTROL MASTER'!$W$2:$W$495&gt;=9))*ROW('CONTROL MASTER'!$S$2:$S$495))-(ROW('CONTROL MASTER'!#REF!)-1))),IF(SUMPRODUCT((('CONTROL MASTER'!$S$2:$S$495=15)*('CONTROL MASTER'!$Z$2:$Z$495&lt;=9)*('CONTROL MASTER'!$AB$2:$AB$495&gt;=9)*('CONTROL MASTER'!$AA$2:$AA$495&lt;=9)*('CONTROL MASTER'!$AC$2:$AC$495&gt;=9))*ROW('CONTROL MASTER'!$S$2:$S$495))&gt;0,INDEX('CONTROL MASTER'!$X$2:$X$495,(SUMPRODUCT((('CONTROL MASTER'!$S$2:$S$495=15)*('CONTROL MASTER'!$Z$2:$Z$495&lt;=9)*('CONTROL MASTER'!$AB$2:$AB$495&gt;=9)*('CONTROL MASTER'!$AA$2:$AA$495&lt;=9)*('CONTROL MASTER'!$AC$2:$AC$495&gt;=9))*ROW('CONTROL MASTER'!$S$2:$S$495))-(ROW('CONTROL MASTER'!#REF!)-1)))&amp;TRIM(MID(SUBSTITUTE(SUBSTITUTE(INDEX('CONTROL MASTER'!$N$2:$N$495,(SUMPRODUCT((('CONTROL MASTER'!$S$2:$S$495=15)*('CONTROL MASTER'!$Z$2:$Z$495&lt;=9)*('CONTROL MASTER'!$AB$2:$AB$495&gt;=9)*('CONTROL MASTER'!$AA$2:$AA$495&lt;=9)*('CONTROL MASTER'!$AC$2:$AC$495&gt;=9))*ROW('CONTROL MASTER'!$S$2:$S$495))-(ROW('CONTROL MASTER'!#REF!)-1))),":",","),",",REPT(" ",50)),(((INDEX('CONTROL MASTER'!$Y$2:$Y$495,(SUMPRODUCT((('CONTROL MASTER'!$S$2:$S$495=15)*('CONTROL MASTER'!$Z$2:$Z$495&lt;=9)*('CONTROL MASTER'!$AB$2:$AB$495&gt;=9)*('CONTROL MASTER'!$AA$2:$AA$495&lt;=9)*('CONTROL MASTER'!$AC$2:$AC$495&gt;=9))*ROW('CONTROL MASTER'!$S$2:$S$495))-(ROW('CONTROL MASTER'!#REF!)-1)))+((9-INDEX('CONTROL MASTER'!$Z$2:$Z$495,(SUMPRODUCT((('CONTROL MASTER'!$S$2:$S$495=15)*('CONTROL MASTER'!$Z$2:$Z$495&lt;=9)*('CONTROL MASTER'!$AB$2:$AB$495&gt;=9)*('CONTROL MASTER'!$AA$2:$AA$495&lt;=9)*('CONTROL MASTER'!$AC$2:$AC$495&gt;=9))*ROW('CONTROL MASTER'!$S$2:$S$495))-(ROW('CONTROL MASTER'!#REF!)-1))))*(INDEX('CONTROL MASTER'!$AC$2:$AC$495,(SUMPRODUCT((('CONTROL MASTER'!$S$2:$S$495=15)*('CONTROL MASTER'!$Z$2:$Z$495&lt;=9)*('CONTROL MASTER'!$AB$2:$AB$495&gt;=9)*('CONTROL MASTER'!$AA$2:$AA$495&lt;=9)*('CONTROL MASTER'!$AC$2:$AC$495&gt;=9))*ROW('CONTROL MASTER'!$S$2:$S$495))-(ROW('CONTROL MASTER'!#REF!)-1)))-INDEX('CONTROL MASTER'!$AA$2:$AA$495,(SUMPRODUCT((('CONTROL MASTER'!$S$2:$S$495=15)*('CONTROL MASTER'!$Z$2:$Z$495&lt;=9)*('CONTROL MASTER'!$AB$2:$AB$495&gt;=9)*('CONTROL MASTER'!$AA$2:$AA$495&lt;=9)*('CONTROL MASTER'!$AC$2:$AC$495&gt;=9))*ROW('CONTROL MASTER'!$S$2:$S$495))-(ROW('CONTROL MASTER'!#REF!)-1)))+1)+(9-INDEX('CONTROL MASTER'!$AA$2:$AA$495,(SUMPRODUCT((('CONTROL MASTER'!$S$2:$S$495=15)*('CONTROL MASTER'!$Z$2:$Z$495&lt;=9)*('CONTROL MASTER'!$AB$2:$AB$495&gt;=9)*('CONTROL MASTER'!$AA$2:$AA$495&lt;=9)*('CONTROL MASTER'!$AC$2:$AC$495&gt;=9))*ROW('CONTROL MASTER'!$S$2:$S$495))-(ROW('CONTROL MASTER'!#REF!)-1))))+1)))-1)*50+1,50))&amp;"_"&amp;INDEX('CONTROL MASTER'!$P$2:$P$495,(SUMPRODUCT((('CONTROL MASTER'!$S$2:$S$495=15)*('CONTROL MASTER'!$Z$2:$Z$495&lt;=9)*('CONTROL MASTER'!$AB$2:$AB$495&gt;=9)*('CONTROL MASTER'!$AA$2:$AA$495&lt;=9)*('CONTROL MASTER'!$AC$2:$AC$495&gt;=9))*ROW('CONTROL MASTER'!$S$2:$S$495))-(ROW('CONTROL MASTER'!#REF!)-1))),"")),"")</f>
        <v/>
      </c>
      <c r="K207" s="10" t="str">
        <f>IFERROR(IF(SUMPRODUCT((('CONTROL MASTER'!$S$2:$S$495=15)*('CONTROL MASTER'!$T$2:$T$495&lt;=9)*('CONTROL MASTER'!$V$2:$V$495&gt;=9)*('CONTROL MASTER'!$U$2:$U$495&lt;=10)*('CONTROL MASTER'!$W$2:$W$495&gt;=10))*ROW('CONTROL MASTER'!$S$2:$S$495))&gt;0,INDEX('CONTROL MASTER'!$X$2:$X$495,(SUMPRODUCT((('CONTROL MASTER'!$S$2:$S$495=15)*('CONTROL MASTER'!$T$2:$T$495&lt;=9)*('CONTROL MASTER'!$V$2:$V$495&gt;=9)*('CONTROL MASTER'!$U$2:$U$495&lt;=10)*('CONTROL MASTER'!$W$2:$W$495&gt;=10))*ROW('CONTROL MASTER'!$S$2:$S$495))-(ROW('CONTROL MASTER'!#REF!)-1)))&amp;TRIM(MID(SUBSTITUTE(SUBSTITUTE(INDEX('CONTROL MASTER'!$N$2:$N$495,(SUMPRODUCT((('CONTROL MASTER'!$S$2:$S$495=15)*('CONTROL MASTER'!$T$2:$T$495&lt;=9)*('CONTROL MASTER'!$V$2:$V$495&gt;=9)*('CONTROL MASTER'!$U$2:$U$495&lt;=10)*('CONTROL MASTER'!$W$2:$W$495&gt;=10))*ROW('CONTROL MASTER'!$S$2:$S$495))-(ROW('CONTROL MASTER'!#REF!)-1))),":",","),",",REPT(" ",50)),((((9-INDEX('CONTROL MASTER'!$T$2:$T$495,(SUMPRODUCT((('CONTROL MASTER'!$S$2:$S$495=15)*('CONTROL MASTER'!$T$2:$T$495&lt;=9)*('CONTROL MASTER'!$V$2:$V$495&gt;=9)*('CONTROL MASTER'!$U$2:$U$495&lt;=10)*('CONTROL MASTER'!$W$2:$W$495&gt;=10))*ROW('CONTROL MASTER'!$S$2:$S$495))-(ROW('CONTROL MASTER'!#REF!)-1))))*(INDEX('CONTROL MASTER'!$W$2:$W$495,(SUMPRODUCT((('CONTROL MASTER'!$S$2:$S$495=15)*('CONTROL MASTER'!$T$2:$T$495&lt;=9)*('CONTROL MASTER'!$V$2:$V$495&gt;=9)*('CONTROL MASTER'!$U$2:$U$495&lt;=10)*('CONTROL MASTER'!$W$2:$W$495&gt;=10))*ROW('CONTROL MASTER'!$S$2:$S$495))-(ROW('CONTROL MASTER'!#REF!)-1)))-INDEX('CONTROL MASTER'!$U$2:$U$495,(SUMPRODUCT((('CONTROL MASTER'!$S$2:$S$495=15)*('CONTROL MASTER'!$T$2:$T$495&lt;=9)*('CONTROL MASTER'!$V$2:$V$495&gt;=9)*('CONTROL MASTER'!$U$2:$U$495&lt;=10)*('CONTROL MASTER'!$W$2:$W$495&gt;=10))*ROW('CONTROL MASTER'!$S$2:$S$495))-(ROW('CONTROL MASTER'!#REF!)-1)))+1)+(10-INDEX('CONTROL MASTER'!$U$2:$U$495,(SUMPRODUCT((('CONTROL MASTER'!$S$2:$S$495=15)*('CONTROL MASTER'!$T$2:$T$495&lt;=9)*('CONTROL MASTER'!$V$2:$V$495&gt;=9)*('CONTROL MASTER'!$U$2:$U$495&lt;=10)*('CONTROL MASTER'!$W$2:$W$495&gt;=10))*ROW('CONTROL MASTER'!$S$2:$S$495))-(ROW('CONTROL MASTER'!#REF!)-1))))+1))-1)*50+1,50))&amp;"_"&amp;INDEX('CONTROL MASTER'!$P$2:$P$495,(SUMPRODUCT((('CONTROL MASTER'!$S$2:$S$495=15)*('CONTROL MASTER'!$T$2:$T$495&lt;=9)*('CONTROL MASTER'!$V$2:$V$495&gt;=9)*('CONTROL MASTER'!$U$2:$U$495&lt;=10)*('CONTROL MASTER'!$W$2:$W$495&gt;=10))*ROW('CONTROL MASTER'!$S$2:$S$495))-(ROW('CONTROL MASTER'!#REF!)-1))),IF(SUMPRODUCT((('CONTROL MASTER'!$S$2:$S$495=15)*('CONTROL MASTER'!$Z$2:$Z$495&lt;=9)*('CONTROL MASTER'!$AB$2:$AB$495&gt;=9)*('CONTROL MASTER'!$AA$2:$AA$495&lt;=10)*('CONTROL MASTER'!$AC$2:$AC$495&gt;=10))*ROW('CONTROL MASTER'!$S$2:$S$495))&gt;0,INDEX('CONTROL MASTER'!$X$2:$X$495,(SUMPRODUCT((('CONTROL MASTER'!$S$2:$S$495=15)*('CONTROL MASTER'!$Z$2:$Z$495&lt;=9)*('CONTROL MASTER'!$AB$2:$AB$495&gt;=9)*('CONTROL MASTER'!$AA$2:$AA$495&lt;=10)*('CONTROL MASTER'!$AC$2:$AC$495&gt;=10))*ROW('CONTROL MASTER'!$S$2:$S$495))-(ROW('CONTROL MASTER'!#REF!)-1)))&amp;TRIM(MID(SUBSTITUTE(SUBSTITUTE(INDEX('CONTROL MASTER'!$N$2:$N$495,(SUMPRODUCT((('CONTROL MASTER'!$S$2:$S$495=15)*('CONTROL MASTER'!$Z$2:$Z$495&lt;=9)*('CONTROL MASTER'!$AB$2:$AB$495&gt;=9)*('CONTROL MASTER'!$AA$2:$AA$495&lt;=10)*('CONTROL MASTER'!$AC$2:$AC$495&gt;=10))*ROW('CONTROL MASTER'!$S$2:$S$495))-(ROW('CONTROL MASTER'!#REF!)-1))),":",","),",",REPT(" ",50)),(((INDEX('CONTROL MASTER'!$Y$2:$Y$495,(SUMPRODUCT((('CONTROL MASTER'!$S$2:$S$495=15)*('CONTROL MASTER'!$Z$2:$Z$495&lt;=9)*('CONTROL MASTER'!$AB$2:$AB$495&gt;=9)*('CONTROL MASTER'!$AA$2:$AA$495&lt;=10)*('CONTROL MASTER'!$AC$2:$AC$495&gt;=10))*ROW('CONTROL MASTER'!$S$2:$S$495))-(ROW('CONTROL MASTER'!#REF!)-1)))+((9-INDEX('CONTROL MASTER'!$Z$2:$Z$495,(SUMPRODUCT((('CONTROL MASTER'!$S$2:$S$495=15)*('CONTROL MASTER'!$Z$2:$Z$495&lt;=9)*('CONTROL MASTER'!$AB$2:$AB$495&gt;=9)*('CONTROL MASTER'!$AA$2:$AA$495&lt;=10)*('CONTROL MASTER'!$AC$2:$AC$495&gt;=10))*ROW('CONTROL MASTER'!$S$2:$S$495))-(ROW('CONTROL MASTER'!#REF!)-1))))*(INDEX('CONTROL MASTER'!$AC$2:$AC$495,(SUMPRODUCT((('CONTROL MASTER'!$S$2:$S$495=15)*('CONTROL MASTER'!$Z$2:$Z$495&lt;=9)*('CONTROL MASTER'!$AB$2:$AB$495&gt;=9)*('CONTROL MASTER'!$AA$2:$AA$495&lt;=10)*('CONTROL MASTER'!$AC$2:$AC$495&gt;=10))*ROW('CONTROL MASTER'!$S$2:$S$495))-(ROW('CONTROL MASTER'!#REF!)-1)))-INDEX('CONTROL MASTER'!$AA$2:$AA$495,(SUMPRODUCT((('CONTROL MASTER'!$S$2:$S$495=15)*('CONTROL MASTER'!$Z$2:$Z$495&lt;=9)*('CONTROL MASTER'!$AB$2:$AB$495&gt;=9)*('CONTROL MASTER'!$AA$2:$AA$495&lt;=10)*('CONTROL MASTER'!$AC$2:$AC$495&gt;=10))*ROW('CONTROL MASTER'!$S$2:$S$495))-(ROW('CONTROL MASTER'!#REF!)-1)))+1)+(10-INDEX('CONTROL MASTER'!$AA$2:$AA$495,(SUMPRODUCT((('CONTROL MASTER'!$S$2:$S$495=15)*('CONTROL MASTER'!$Z$2:$Z$495&lt;=9)*('CONTROL MASTER'!$AB$2:$AB$495&gt;=9)*('CONTROL MASTER'!$AA$2:$AA$495&lt;=10)*('CONTROL MASTER'!$AC$2:$AC$495&gt;=10))*ROW('CONTROL MASTER'!$S$2:$S$495))-(ROW('CONTROL MASTER'!#REF!)-1))))+1)))-1)*50+1,50))&amp;"_"&amp;INDEX('CONTROL MASTER'!$P$2:$P$495,(SUMPRODUCT((('CONTROL MASTER'!$S$2:$S$495=15)*('CONTROL MASTER'!$Z$2:$Z$495&lt;=9)*('CONTROL MASTER'!$AB$2:$AB$495&gt;=9)*('CONTROL MASTER'!$AA$2:$AA$495&lt;=10)*('CONTROL MASTER'!$AC$2:$AC$495&gt;=10))*ROW('CONTROL MASTER'!$S$2:$S$495))-(ROW('CONTROL MASTER'!#REF!)-1))),"")),"")</f>
        <v/>
      </c>
    </row>
    <row r="208" spans="1:11" ht="15" customHeight="1" x14ac:dyDescent="0.35">
      <c r="A208" s="8" t="s">
        <v>82</v>
      </c>
      <c r="B208" s="10" t="str">
        <f>IFERROR(IF(SUMPRODUCT((('CONTROL MASTER'!$S$2:$S$495=15)*('CONTROL MASTER'!$T$2:$T$495&lt;=10)*('CONTROL MASTER'!$V$2:$V$495&gt;=10)*('CONTROL MASTER'!$U$2:$U$495&lt;=1)*('CONTROL MASTER'!$W$2:$W$495&gt;=1))*ROW('CONTROL MASTER'!$S$2:$S$495))&gt;0,INDEX('CONTROL MASTER'!$X$2:$X$495,(SUMPRODUCT((('CONTROL MASTER'!$S$2:$S$495=15)*('CONTROL MASTER'!$T$2:$T$495&lt;=10)*('CONTROL MASTER'!$V$2:$V$495&gt;=10)*('CONTROL MASTER'!$U$2:$U$495&lt;=1)*('CONTROL MASTER'!$W$2:$W$495&gt;=1))*ROW('CONTROL MASTER'!$S$2:$S$495))-(ROW('CONTROL MASTER'!#REF!)-1)))&amp;TRIM(MID(SUBSTITUTE(SUBSTITUTE(INDEX('CONTROL MASTER'!$N$2:$N$495,(SUMPRODUCT((('CONTROL MASTER'!$S$2:$S$495=15)*('CONTROL MASTER'!$T$2:$T$495&lt;=10)*('CONTROL MASTER'!$V$2:$V$495&gt;=10)*('CONTROL MASTER'!$U$2:$U$495&lt;=1)*('CONTROL MASTER'!$W$2:$W$495&gt;=1))*ROW('CONTROL MASTER'!$S$2:$S$495))-(ROW('CONTROL MASTER'!#REF!)-1))),":",","),",",REPT(" ",50)),((((10-INDEX('CONTROL MASTER'!$T$2:$T$495,(SUMPRODUCT((('CONTROL MASTER'!$S$2:$S$495=15)*('CONTROL MASTER'!$T$2:$T$495&lt;=10)*('CONTROL MASTER'!$V$2:$V$495&gt;=10)*('CONTROL MASTER'!$U$2:$U$495&lt;=1)*('CONTROL MASTER'!$W$2:$W$495&gt;=1))*ROW('CONTROL MASTER'!$S$2:$S$495))-(ROW('CONTROL MASTER'!#REF!)-1))))*(INDEX('CONTROL MASTER'!$W$2:$W$495,(SUMPRODUCT((('CONTROL MASTER'!$S$2:$S$495=15)*('CONTROL MASTER'!$T$2:$T$495&lt;=10)*('CONTROL MASTER'!$V$2:$V$495&gt;=10)*('CONTROL MASTER'!$U$2:$U$495&lt;=1)*('CONTROL MASTER'!$W$2:$W$495&gt;=1))*ROW('CONTROL MASTER'!$S$2:$S$495))-(ROW('CONTROL MASTER'!#REF!)-1)))-INDEX('CONTROL MASTER'!$U$2:$U$495,(SUMPRODUCT((('CONTROL MASTER'!$S$2:$S$495=15)*('CONTROL MASTER'!$T$2:$T$495&lt;=10)*('CONTROL MASTER'!$V$2:$V$495&gt;=10)*('CONTROL MASTER'!$U$2:$U$495&lt;=1)*('CONTROL MASTER'!$W$2:$W$495&gt;=1))*ROW('CONTROL MASTER'!$S$2:$S$495))-(ROW('CONTROL MASTER'!#REF!)-1)))+1)+(1-INDEX('CONTROL MASTER'!$U$2:$U$495,(SUMPRODUCT((('CONTROL MASTER'!$S$2:$S$495=15)*('CONTROL MASTER'!$T$2:$T$495&lt;=10)*('CONTROL MASTER'!$V$2:$V$495&gt;=10)*('CONTROL MASTER'!$U$2:$U$495&lt;=1)*('CONTROL MASTER'!$W$2:$W$495&gt;=1))*ROW('CONTROL MASTER'!$S$2:$S$495))-(ROW('CONTROL MASTER'!#REF!)-1))))+1))-1)*50+1,50))&amp;"_"&amp;INDEX('CONTROL MASTER'!$P$2:$P$495,(SUMPRODUCT((('CONTROL MASTER'!$S$2:$S$495=15)*('CONTROL MASTER'!$T$2:$T$495&lt;=10)*('CONTROL MASTER'!$V$2:$V$495&gt;=10)*('CONTROL MASTER'!$U$2:$U$495&lt;=1)*('CONTROL MASTER'!$W$2:$W$495&gt;=1))*ROW('CONTROL MASTER'!$S$2:$S$495))-(ROW('CONTROL MASTER'!#REF!)-1))),IF(SUMPRODUCT((('CONTROL MASTER'!$S$2:$S$495=15)*('CONTROL MASTER'!$Z$2:$Z$495&lt;=10)*('CONTROL MASTER'!$AB$2:$AB$495&gt;=10)*('CONTROL MASTER'!$AA$2:$AA$495&lt;=1)*('CONTROL MASTER'!$AC$2:$AC$495&gt;=1))*ROW('CONTROL MASTER'!$S$2:$S$495))&gt;0,INDEX('CONTROL MASTER'!$X$2:$X$495,(SUMPRODUCT((('CONTROL MASTER'!$S$2:$S$495=15)*('CONTROL MASTER'!$Z$2:$Z$495&lt;=10)*('CONTROL MASTER'!$AB$2:$AB$495&gt;=10)*('CONTROL MASTER'!$AA$2:$AA$495&lt;=1)*('CONTROL MASTER'!$AC$2:$AC$495&gt;=1))*ROW('CONTROL MASTER'!$S$2:$S$495))-(ROW('CONTROL MASTER'!#REF!)-1)))&amp;TRIM(MID(SUBSTITUTE(SUBSTITUTE(INDEX('CONTROL MASTER'!$N$2:$N$495,(SUMPRODUCT((('CONTROL MASTER'!$S$2:$S$495=15)*('CONTROL MASTER'!$Z$2:$Z$495&lt;=10)*('CONTROL MASTER'!$AB$2:$AB$495&gt;=10)*('CONTROL MASTER'!$AA$2:$AA$495&lt;=1)*('CONTROL MASTER'!$AC$2:$AC$495&gt;=1))*ROW('CONTROL MASTER'!$S$2:$S$495))-(ROW('CONTROL MASTER'!#REF!)-1))),":",","),",",REPT(" ",50)),(((INDEX('CONTROL MASTER'!$Y$2:$Y$495,(SUMPRODUCT((('CONTROL MASTER'!$S$2:$S$495=15)*('CONTROL MASTER'!$Z$2:$Z$495&lt;=10)*('CONTROL MASTER'!$AB$2:$AB$495&gt;=10)*('CONTROL MASTER'!$AA$2:$AA$495&lt;=1)*('CONTROL MASTER'!$AC$2:$AC$495&gt;=1))*ROW('CONTROL MASTER'!$S$2:$S$495))-(ROW('CONTROL MASTER'!#REF!)-1)))+((10-INDEX('CONTROL MASTER'!$Z$2:$Z$495,(SUMPRODUCT((('CONTROL MASTER'!$S$2:$S$495=15)*('CONTROL MASTER'!$Z$2:$Z$495&lt;=10)*('CONTROL MASTER'!$AB$2:$AB$495&gt;=10)*('CONTROL MASTER'!$AA$2:$AA$495&lt;=1)*('CONTROL MASTER'!$AC$2:$AC$495&gt;=1))*ROW('CONTROL MASTER'!$S$2:$S$495))-(ROW('CONTROL MASTER'!#REF!)-1))))*(INDEX('CONTROL MASTER'!$AC$2:$AC$495,(SUMPRODUCT((('CONTROL MASTER'!$S$2:$S$495=15)*('CONTROL MASTER'!$Z$2:$Z$495&lt;=10)*('CONTROL MASTER'!$AB$2:$AB$495&gt;=10)*('CONTROL MASTER'!$AA$2:$AA$495&lt;=1)*('CONTROL MASTER'!$AC$2:$AC$495&gt;=1))*ROW('CONTROL MASTER'!$S$2:$S$495))-(ROW('CONTROL MASTER'!#REF!)-1)))-INDEX('CONTROL MASTER'!$AA$2:$AA$495,(SUMPRODUCT((('CONTROL MASTER'!$S$2:$S$495=15)*('CONTROL MASTER'!$Z$2:$Z$495&lt;=10)*('CONTROL MASTER'!$AB$2:$AB$495&gt;=10)*('CONTROL MASTER'!$AA$2:$AA$495&lt;=1)*('CONTROL MASTER'!$AC$2:$AC$495&gt;=1))*ROW('CONTROL MASTER'!$S$2:$S$495))-(ROW('CONTROL MASTER'!#REF!)-1)))+1)+(1-INDEX('CONTROL MASTER'!$AA$2:$AA$495,(SUMPRODUCT((('CONTROL MASTER'!$S$2:$S$495=15)*('CONTROL MASTER'!$Z$2:$Z$495&lt;=10)*('CONTROL MASTER'!$AB$2:$AB$495&gt;=10)*('CONTROL MASTER'!$AA$2:$AA$495&lt;=1)*('CONTROL MASTER'!$AC$2:$AC$495&gt;=1))*ROW('CONTROL MASTER'!$S$2:$S$495))-(ROW('CONTROL MASTER'!#REF!)-1))))+1)))-1)*50+1,50))&amp;"_"&amp;INDEX('CONTROL MASTER'!$P$2:$P$495,(SUMPRODUCT((('CONTROL MASTER'!$S$2:$S$495=15)*('CONTROL MASTER'!$Z$2:$Z$495&lt;=10)*('CONTROL MASTER'!$AB$2:$AB$495&gt;=10)*('CONTROL MASTER'!$AA$2:$AA$495&lt;=1)*('CONTROL MASTER'!$AC$2:$AC$495&gt;=1))*ROW('CONTROL MASTER'!$S$2:$S$495))-(ROW('CONTROL MASTER'!#REF!)-1))),"")),"")</f>
        <v/>
      </c>
      <c r="C208" s="10" t="str">
        <f>IFERROR(IF(SUMPRODUCT((('CONTROL MASTER'!$S$2:$S$495=15)*('CONTROL MASTER'!$T$2:$T$495&lt;=10)*('CONTROL MASTER'!$V$2:$V$495&gt;=10)*('CONTROL MASTER'!$U$2:$U$495&lt;=2)*('CONTROL MASTER'!$W$2:$W$495&gt;=2))*ROW('CONTROL MASTER'!$S$2:$S$495))&gt;0,INDEX('CONTROL MASTER'!$X$2:$X$495,(SUMPRODUCT((('CONTROL MASTER'!$S$2:$S$495=15)*('CONTROL MASTER'!$T$2:$T$495&lt;=10)*('CONTROL MASTER'!$V$2:$V$495&gt;=10)*('CONTROL MASTER'!$U$2:$U$495&lt;=2)*('CONTROL MASTER'!$W$2:$W$495&gt;=2))*ROW('CONTROL MASTER'!$S$2:$S$495))-(ROW('CONTROL MASTER'!#REF!)-1)))&amp;TRIM(MID(SUBSTITUTE(SUBSTITUTE(INDEX('CONTROL MASTER'!$N$2:$N$495,(SUMPRODUCT((('CONTROL MASTER'!$S$2:$S$495=15)*('CONTROL MASTER'!$T$2:$T$495&lt;=10)*('CONTROL MASTER'!$V$2:$V$495&gt;=10)*('CONTROL MASTER'!$U$2:$U$495&lt;=2)*('CONTROL MASTER'!$W$2:$W$495&gt;=2))*ROW('CONTROL MASTER'!$S$2:$S$495))-(ROW('CONTROL MASTER'!#REF!)-1))),":",","),",",REPT(" ",50)),((((10-INDEX('CONTROL MASTER'!$T$2:$T$495,(SUMPRODUCT((('CONTROL MASTER'!$S$2:$S$495=15)*('CONTROL MASTER'!$T$2:$T$495&lt;=10)*('CONTROL MASTER'!$V$2:$V$495&gt;=10)*('CONTROL MASTER'!$U$2:$U$495&lt;=2)*('CONTROL MASTER'!$W$2:$W$495&gt;=2))*ROW('CONTROL MASTER'!$S$2:$S$495))-(ROW('CONTROL MASTER'!#REF!)-1))))*(INDEX('CONTROL MASTER'!$W$2:$W$495,(SUMPRODUCT((('CONTROL MASTER'!$S$2:$S$495=15)*('CONTROL MASTER'!$T$2:$T$495&lt;=10)*('CONTROL MASTER'!$V$2:$V$495&gt;=10)*('CONTROL MASTER'!$U$2:$U$495&lt;=2)*('CONTROL MASTER'!$W$2:$W$495&gt;=2))*ROW('CONTROL MASTER'!$S$2:$S$495))-(ROW('CONTROL MASTER'!#REF!)-1)))-INDEX('CONTROL MASTER'!$U$2:$U$495,(SUMPRODUCT((('CONTROL MASTER'!$S$2:$S$495=15)*('CONTROL MASTER'!$T$2:$T$495&lt;=10)*('CONTROL MASTER'!$V$2:$V$495&gt;=10)*('CONTROL MASTER'!$U$2:$U$495&lt;=2)*('CONTROL MASTER'!$W$2:$W$495&gt;=2))*ROW('CONTROL MASTER'!$S$2:$S$495))-(ROW('CONTROL MASTER'!#REF!)-1)))+1)+(2-INDEX('CONTROL MASTER'!$U$2:$U$495,(SUMPRODUCT((('CONTROL MASTER'!$S$2:$S$495=15)*('CONTROL MASTER'!$T$2:$T$495&lt;=10)*('CONTROL MASTER'!$V$2:$V$495&gt;=10)*('CONTROL MASTER'!$U$2:$U$495&lt;=2)*('CONTROL MASTER'!$W$2:$W$495&gt;=2))*ROW('CONTROL MASTER'!$S$2:$S$495))-(ROW('CONTROL MASTER'!#REF!)-1))))+1))-1)*50+1,50))&amp;"_"&amp;INDEX('CONTROL MASTER'!$P$2:$P$495,(SUMPRODUCT((('CONTROL MASTER'!$S$2:$S$495=15)*('CONTROL MASTER'!$T$2:$T$495&lt;=10)*('CONTROL MASTER'!$V$2:$V$495&gt;=10)*('CONTROL MASTER'!$U$2:$U$495&lt;=2)*('CONTROL MASTER'!$W$2:$W$495&gt;=2))*ROW('CONTROL MASTER'!$S$2:$S$495))-(ROW('CONTROL MASTER'!#REF!)-1))),IF(SUMPRODUCT((('CONTROL MASTER'!$S$2:$S$495=15)*('CONTROL MASTER'!$Z$2:$Z$495&lt;=10)*('CONTROL MASTER'!$AB$2:$AB$495&gt;=10)*('CONTROL MASTER'!$AA$2:$AA$495&lt;=2)*('CONTROL MASTER'!$AC$2:$AC$495&gt;=2))*ROW('CONTROL MASTER'!$S$2:$S$495))&gt;0,INDEX('CONTROL MASTER'!$X$2:$X$495,(SUMPRODUCT((('CONTROL MASTER'!$S$2:$S$495=15)*('CONTROL MASTER'!$Z$2:$Z$495&lt;=10)*('CONTROL MASTER'!$AB$2:$AB$495&gt;=10)*('CONTROL MASTER'!$AA$2:$AA$495&lt;=2)*('CONTROL MASTER'!$AC$2:$AC$495&gt;=2))*ROW('CONTROL MASTER'!$S$2:$S$495))-(ROW('CONTROL MASTER'!#REF!)-1)))&amp;TRIM(MID(SUBSTITUTE(SUBSTITUTE(INDEX('CONTROL MASTER'!$N$2:$N$495,(SUMPRODUCT((('CONTROL MASTER'!$S$2:$S$495=15)*('CONTROL MASTER'!$Z$2:$Z$495&lt;=10)*('CONTROL MASTER'!$AB$2:$AB$495&gt;=10)*('CONTROL MASTER'!$AA$2:$AA$495&lt;=2)*('CONTROL MASTER'!$AC$2:$AC$495&gt;=2))*ROW('CONTROL MASTER'!$S$2:$S$495))-(ROW('CONTROL MASTER'!#REF!)-1))),":",","),",",REPT(" ",50)),(((INDEX('CONTROL MASTER'!$Y$2:$Y$495,(SUMPRODUCT((('CONTROL MASTER'!$S$2:$S$495=15)*('CONTROL MASTER'!$Z$2:$Z$495&lt;=10)*('CONTROL MASTER'!$AB$2:$AB$495&gt;=10)*('CONTROL MASTER'!$AA$2:$AA$495&lt;=2)*('CONTROL MASTER'!$AC$2:$AC$495&gt;=2))*ROW('CONTROL MASTER'!$S$2:$S$495))-(ROW('CONTROL MASTER'!#REF!)-1)))+((10-INDEX('CONTROL MASTER'!$Z$2:$Z$495,(SUMPRODUCT((('CONTROL MASTER'!$S$2:$S$495=15)*('CONTROL MASTER'!$Z$2:$Z$495&lt;=10)*('CONTROL MASTER'!$AB$2:$AB$495&gt;=10)*('CONTROL MASTER'!$AA$2:$AA$495&lt;=2)*('CONTROL MASTER'!$AC$2:$AC$495&gt;=2))*ROW('CONTROL MASTER'!$S$2:$S$495))-(ROW('CONTROL MASTER'!#REF!)-1))))*(INDEX('CONTROL MASTER'!$AC$2:$AC$495,(SUMPRODUCT((('CONTROL MASTER'!$S$2:$S$495=15)*('CONTROL MASTER'!$Z$2:$Z$495&lt;=10)*('CONTROL MASTER'!$AB$2:$AB$495&gt;=10)*('CONTROL MASTER'!$AA$2:$AA$495&lt;=2)*('CONTROL MASTER'!$AC$2:$AC$495&gt;=2))*ROW('CONTROL MASTER'!$S$2:$S$495))-(ROW('CONTROL MASTER'!#REF!)-1)))-INDEX('CONTROL MASTER'!$AA$2:$AA$495,(SUMPRODUCT((('CONTROL MASTER'!$S$2:$S$495=15)*('CONTROL MASTER'!$Z$2:$Z$495&lt;=10)*('CONTROL MASTER'!$AB$2:$AB$495&gt;=10)*('CONTROL MASTER'!$AA$2:$AA$495&lt;=2)*('CONTROL MASTER'!$AC$2:$AC$495&gt;=2))*ROW('CONTROL MASTER'!$S$2:$S$495))-(ROW('CONTROL MASTER'!#REF!)-1)))+1)+(2-INDEX('CONTROL MASTER'!$AA$2:$AA$495,(SUMPRODUCT((('CONTROL MASTER'!$S$2:$S$495=15)*('CONTROL MASTER'!$Z$2:$Z$495&lt;=10)*('CONTROL MASTER'!$AB$2:$AB$495&gt;=10)*('CONTROL MASTER'!$AA$2:$AA$495&lt;=2)*('CONTROL MASTER'!$AC$2:$AC$495&gt;=2))*ROW('CONTROL MASTER'!$S$2:$S$495))-(ROW('CONTROL MASTER'!#REF!)-1))))+1)))-1)*50+1,50))&amp;"_"&amp;INDEX('CONTROL MASTER'!$P$2:$P$495,(SUMPRODUCT((('CONTROL MASTER'!$S$2:$S$495=15)*('CONTROL MASTER'!$Z$2:$Z$495&lt;=10)*('CONTROL MASTER'!$AB$2:$AB$495&gt;=10)*('CONTROL MASTER'!$AA$2:$AA$495&lt;=2)*('CONTROL MASTER'!$AC$2:$AC$495&gt;=2))*ROW('CONTROL MASTER'!$S$2:$S$495))-(ROW('CONTROL MASTER'!#REF!)-1))),"")),"")</f>
        <v/>
      </c>
      <c r="D208" s="10" t="str">
        <f>IFERROR(IF(SUMPRODUCT((('CONTROL MASTER'!$S$2:$S$495=15)*('CONTROL MASTER'!$T$2:$T$495&lt;=10)*('CONTROL MASTER'!$V$2:$V$495&gt;=10)*('CONTROL MASTER'!$U$2:$U$495&lt;=3)*('CONTROL MASTER'!$W$2:$W$495&gt;=3))*ROW('CONTROL MASTER'!$S$2:$S$495))&gt;0,INDEX('CONTROL MASTER'!$X$2:$X$495,(SUMPRODUCT((('CONTROL MASTER'!$S$2:$S$495=15)*('CONTROL MASTER'!$T$2:$T$495&lt;=10)*('CONTROL MASTER'!$V$2:$V$495&gt;=10)*('CONTROL MASTER'!$U$2:$U$495&lt;=3)*('CONTROL MASTER'!$W$2:$W$495&gt;=3))*ROW('CONTROL MASTER'!$S$2:$S$495))-(ROW('CONTROL MASTER'!#REF!)-1)))&amp;TRIM(MID(SUBSTITUTE(SUBSTITUTE(INDEX('CONTROL MASTER'!$N$2:$N$495,(SUMPRODUCT((('CONTROL MASTER'!$S$2:$S$495=15)*('CONTROL MASTER'!$T$2:$T$495&lt;=10)*('CONTROL MASTER'!$V$2:$V$495&gt;=10)*('CONTROL MASTER'!$U$2:$U$495&lt;=3)*('CONTROL MASTER'!$W$2:$W$495&gt;=3))*ROW('CONTROL MASTER'!$S$2:$S$495))-(ROW('CONTROL MASTER'!#REF!)-1))),":",","),",",REPT(" ",50)),((((10-INDEX('CONTROL MASTER'!$T$2:$T$495,(SUMPRODUCT((('CONTROL MASTER'!$S$2:$S$495=15)*('CONTROL MASTER'!$T$2:$T$495&lt;=10)*('CONTROL MASTER'!$V$2:$V$495&gt;=10)*('CONTROL MASTER'!$U$2:$U$495&lt;=3)*('CONTROL MASTER'!$W$2:$W$495&gt;=3))*ROW('CONTROL MASTER'!$S$2:$S$495))-(ROW('CONTROL MASTER'!#REF!)-1))))*(INDEX('CONTROL MASTER'!$W$2:$W$495,(SUMPRODUCT((('CONTROL MASTER'!$S$2:$S$495=15)*('CONTROL MASTER'!$T$2:$T$495&lt;=10)*('CONTROL MASTER'!$V$2:$V$495&gt;=10)*('CONTROL MASTER'!$U$2:$U$495&lt;=3)*('CONTROL MASTER'!$W$2:$W$495&gt;=3))*ROW('CONTROL MASTER'!$S$2:$S$495))-(ROW('CONTROL MASTER'!#REF!)-1)))-INDEX('CONTROL MASTER'!$U$2:$U$495,(SUMPRODUCT((('CONTROL MASTER'!$S$2:$S$495=15)*('CONTROL MASTER'!$T$2:$T$495&lt;=10)*('CONTROL MASTER'!$V$2:$V$495&gt;=10)*('CONTROL MASTER'!$U$2:$U$495&lt;=3)*('CONTROL MASTER'!$W$2:$W$495&gt;=3))*ROW('CONTROL MASTER'!$S$2:$S$495))-(ROW('CONTROL MASTER'!#REF!)-1)))+1)+(3-INDEX('CONTROL MASTER'!$U$2:$U$495,(SUMPRODUCT((('CONTROL MASTER'!$S$2:$S$495=15)*('CONTROL MASTER'!$T$2:$T$495&lt;=10)*('CONTROL MASTER'!$V$2:$V$495&gt;=10)*('CONTROL MASTER'!$U$2:$U$495&lt;=3)*('CONTROL MASTER'!$W$2:$W$495&gt;=3))*ROW('CONTROL MASTER'!$S$2:$S$495))-(ROW('CONTROL MASTER'!#REF!)-1))))+1))-1)*50+1,50))&amp;"_"&amp;INDEX('CONTROL MASTER'!$P$2:$P$495,(SUMPRODUCT((('CONTROL MASTER'!$S$2:$S$495=15)*('CONTROL MASTER'!$T$2:$T$495&lt;=10)*('CONTROL MASTER'!$V$2:$V$495&gt;=10)*('CONTROL MASTER'!$U$2:$U$495&lt;=3)*('CONTROL MASTER'!$W$2:$W$495&gt;=3))*ROW('CONTROL MASTER'!$S$2:$S$495))-(ROW('CONTROL MASTER'!#REF!)-1))),IF(SUMPRODUCT((('CONTROL MASTER'!$S$2:$S$495=15)*('CONTROL MASTER'!$Z$2:$Z$495&lt;=10)*('CONTROL MASTER'!$AB$2:$AB$495&gt;=10)*('CONTROL MASTER'!$AA$2:$AA$495&lt;=3)*('CONTROL MASTER'!$AC$2:$AC$495&gt;=3))*ROW('CONTROL MASTER'!$S$2:$S$495))&gt;0,INDEX('CONTROL MASTER'!$X$2:$X$495,(SUMPRODUCT((('CONTROL MASTER'!$S$2:$S$495=15)*('CONTROL MASTER'!$Z$2:$Z$495&lt;=10)*('CONTROL MASTER'!$AB$2:$AB$495&gt;=10)*('CONTROL MASTER'!$AA$2:$AA$495&lt;=3)*('CONTROL MASTER'!$AC$2:$AC$495&gt;=3))*ROW('CONTROL MASTER'!$S$2:$S$495))-(ROW('CONTROL MASTER'!#REF!)-1)))&amp;TRIM(MID(SUBSTITUTE(SUBSTITUTE(INDEX('CONTROL MASTER'!$N$2:$N$495,(SUMPRODUCT((('CONTROL MASTER'!$S$2:$S$495=15)*('CONTROL MASTER'!$Z$2:$Z$495&lt;=10)*('CONTROL MASTER'!$AB$2:$AB$495&gt;=10)*('CONTROL MASTER'!$AA$2:$AA$495&lt;=3)*('CONTROL MASTER'!$AC$2:$AC$495&gt;=3))*ROW('CONTROL MASTER'!$S$2:$S$495))-(ROW('CONTROL MASTER'!#REF!)-1))),":",","),",",REPT(" ",50)),(((INDEX('CONTROL MASTER'!$Y$2:$Y$495,(SUMPRODUCT((('CONTROL MASTER'!$S$2:$S$495=15)*('CONTROL MASTER'!$Z$2:$Z$495&lt;=10)*('CONTROL MASTER'!$AB$2:$AB$495&gt;=10)*('CONTROL MASTER'!$AA$2:$AA$495&lt;=3)*('CONTROL MASTER'!$AC$2:$AC$495&gt;=3))*ROW('CONTROL MASTER'!$S$2:$S$495))-(ROW('CONTROL MASTER'!#REF!)-1)))+((10-INDEX('CONTROL MASTER'!$Z$2:$Z$495,(SUMPRODUCT((('CONTROL MASTER'!$S$2:$S$495=15)*('CONTROL MASTER'!$Z$2:$Z$495&lt;=10)*('CONTROL MASTER'!$AB$2:$AB$495&gt;=10)*('CONTROL MASTER'!$AA$2:$AA$495&lt;=3)*('CONTROL MASTER'!$AC$2:$AC$495&gt;=3))*ROW('CONTROL MASTER'!$S$2:$S$495))-(ROW('CONTROL MASTER'!#REF!)-1))))*(INDEX('CONTROL MASTER'!$AC$2:$AC$495,(SUMPRODUCT((('CONTROL MASTER'!$S$2:$S$495=15)*('CONTROL MASTER'!$Z$2:$Z$495&lt;=10)*('CONTROL MASTER'!$AB$2:$AB$495&gt;=10)*('CONTROL MASTER'!$AA$2:$AA$495&lt;=3)*('CONTROL MASTER'!$AC$2:$AC$495&gt;=3))*ROW('CONTROL MASTER'!$S$2:$S$495))-(ROW('CONTROL MASTER'!#REF!)-1)))-INDEX('CONTROL MASTER'!$AA$2:$AA$495,(SUMPRODUCT((('CONTROL MASTER'!$S$2:$S$495=15)*('CONTROL MASTER'!$Z$2:$Z$495&lt;=10)*('CONTROL MASTER'!$AB$2:$AB$495&gt;=10)*('CONTROL MASTER'!$AA$2:$AA$495&lt;=3)*('CONTROL MASTER'!$AC$2:$AC$495&gt;=3))*ROW('CONTROL MASTER'!$S$2:$S$495))-(ROW('CONTROL MASTER'!#REF!)-1)))+1)+(3-INDEX('CONTROL MASTER'!$AA$2:$AA$495,(SUMPRODUCT((('CONTROL MASTER'!$S$2:$S$495=15)*('CONTROL MASTER'!$Z$2:$Z$495&lt;=10)*('CONTROL MASTER'!$AB$2:$AB$495&gt;=10)*('CONTROL MASTER'!$AA$2:$AA$495&lt;=3)*('CONTROL MASTER'!$AC$2:$AC$495&gt;=3))*ROW('CONTROL MASTER'!$S$2:$S$495))-(ROW('CONTROL MASTER'!#REF!)-1))))+1)))-1)*50+1,50))&amp;"_"&amp;INDEX('CONTROL MASTER'!$P$2:$P$495,(SUMPRODUCT((('CONTROL MASTER'!$S$2:$S$495=15)*('CONTROL MASTER'!$Z$2:$Z$495&lt;=10)*('CONTROL MASTER'!$AB$2:$AB$495&gt;=10)*('CONTROL MASTER'!$AA$2:$AA$495&lt;=3)*('CONTROL MASTER'!$AC$2:$AC$495&gt;=3))*ROW('CONTROL MASTER'!$S$2:$S$495))-(ROW('CONTROL MASTER'!#REF!)-1))),"")),"")</f>
        <v/>
      </c>
      <c r="E208" s="10" t="str">
        <f>IFERROR(IF(SUMPRODUCT((('CONTROL MASTER'!$S$2:$S$495=15)*('CONTROL MASTER'!$T$2:$T$495&lt;=10)*('CONTROL MASTER'!$V$2:$V$495&gt;=10)*('CONTROL MASTER'!$U$2:$U$495&lt;=4)*('CONTROL MASTER'!$W$2:$W$495&gt;=4))*ROW('CONTROL MASTER'!$S$2:$S$495))&gt;0,INDEX('CONTROL MASTER'!$X$2:$X$495,(SUMPRODUCT((('CONTROL MASTER'!$S$2:$S$495=15)*('CONTROL MASTER'!$T$2:$T$495&lt;=10)*('CONTROL MASTER'!$V$2:$V$495&gt;=10)*('CONTROL MASTER'!$U$2:$U$495&lt;=4)*('CONTROL MASTER'!$W$2:$W$495&gt;=4))*ROW('CONTROL MASTER'!$S$2:$S$495))-(ROW('CONTROL MASTER'!#REF!)-1)))&amp;TRIM(MID(SUBSTITUTE(SUBSTITUTE(INDEX('CONTROL MASTER'!$N$2:$N$495,(SUMPRODUCT((('CONTROL MASTER'!$S$2:$S$495=15)*('CONTROL MASTER'!$T$2:$T$495&lt;=10)*('CONTROL MASTER'!$V$2:$V$495&gt;=10)*('CONTROL MASTER'!$U$2:$U$495&lt;=4)*('CONTROL MASTER'!$W$2:$W$495&gt;=4))*ROW('CONTROL MASTER'!$S$2:$S$495))-(ROW('CONTROL MASTER'!#REF!)-1))),":",","),",",REPT(" ",50)),((((10-INDEX('CONTROL MASTER'!$T$2:$T$495,(SUMPRODUCT((('CONTROL MASTER'!$S$2:$S$495=15)*('CONTROL MASTER'!$T$2:$T$495&lt;=10)*('CONTROL MASTER'!$V$2:$V$495&gt;=10)*('CONTROL MASTER'!$U$2:$U$495&lt;=4)*('CONTROL MASTER'!$W$2:$W$495&gt;=4))*ROW('CONTROL MASTER'!$S$2:$S$495))-(ROW('CONTROL MASTER'!#REF!)-1))))*(INDEX('CONTROL MASTER'!$W$2:$W$495,(SUMPRODUCT((('CONTROL MASTER'!$S$2:$S$495=15)*('CONTROL MASTER'!$T$2:$T$495&lt;=10)*('CONTROL MASTER'!$V$2:$V$495&gt;=10)*('CONTROL MASTER'!$U$2:$U$495&lt;=4)*('CONTROL MASTER'!$W$2:$W$495&gt;=4))*ROW('CONTROL MASTER'!$S$2:$S$495))-(ROW('CONTROL MASTER'!#REF!)-1)))-INDEX('CONTROL MASTER'!$U$2:$U$495,(SUMPRODUCT((('CONTROL MASTER'!$S$2:$S$495=15)*('CONTROL MASTER'!$T$2:$T$495&lt;=10)*('CONTROL MASTER'!$V$2:$V$495&gt;=10)*('CONTROL MASTER'!$U$2:$U$495&lt;=4)*('CONTROL MASTER'!$W$2:$W$495&gt;=4))*ROW('CONTROL MASTER'!$S$2:$S$495))-(ROW('CONTROL MASTER'!#REF!)-1)))+1)+(4-INDEX('CONTROL MASTER'!$U$2:$U$495,(SUMPRODUCT((('CONTROL MASTER'!$S$2:$S$495=15)*('CONTROL MASTER'!$T$2:$T$495&lt;=10)*('CONTROL MASTER'!$V$2:$V$495&gt;=10)*('CONTROL MASTER'!$U$2:$U$495&lt;=4)*('CONTROL MASTER'!$W$2:$W$495&gt;=4))*ROW('CONTROL MASTER'!$S$2:$S$495))-(ROW('CONTROL MASTER'!#REF!)-1))))+1))-1)*50+1,50))&amp;"_"&amp;INDEX('CONTROL MASTER'!$P$2:$P$495,(SUMPRODUCT((('CONTROL MASTER'!$S$2:$S$495=15)*('CONTROL MASTER'!$T$2:$T$495&lt;=10)*('CONTROL MASTER'!$V$2:$V$495&gt;=10)*('CONTROL MASTER'!$U$2:$U$495&lt;=4)*('CONTROL MASTER'!$W$2:$W$495&gt;=4))*ROW('CONTROL MASTER'!$S$2:$S$495))-(ROW('CONTROL MASTER'!#REF!)-1))),IF(SUMPRODUCT((('CONTROL MASTER'!$S$2:$S$495=15)*('CONTROL MASTER'!$Z$2:$Z$495&lt;=10)*('CONTROL MASTER'!$AB$2:$AB$495&gt;=10)*('CONTROL MASTER'!$AA$2:$AA$495&lt;=4)*('CONTROL MASTER'!$AC$2:$AC$495&gt;=4))*ROW('CONTROL MASTER'!$S$2:$S$495))&gt;0,INDEX('CONTROL MASTER'!$X$2:$X$495,(SUMPRODUCT((('CONTROL MASTER'!$S$2:$S$495=15)*('CONTROL MASTER'!$Z$2:$Z$495&lt;=10)*('CONTROL MASTER'!$AB$2:$AB$495&gt;=10)*('CONTROL MASTER'!$AA$2:$AA$495&lt;=4)*('CONTROL MASTER'!$AC$2:$AC$495&gt;=4))*ROW('CONTROL MASTER'!$S$2:$S$495))-(ROW('CONTROL MASTER'!#REF!)-1)))&amp;TRIM(MID(SUBSTITUTE(SUBSTITUTE(INDEX('CONTROL MASTER'!$N$2:$N$495,(SUMPRODUCT((('CONTROL MASTER'!$S$2:$S$495=15)*('CONTROL MASTER'!$Z$2:$Z$495&lt;=10)*('CONTROL MASTER'!$AB$2:$AB$495&gt;=10)*('CONTROL MASTER'!$AA$2:$AA$495&lt;=4)*('CONTROL MASTER'!$AC$2:$AC$495&gt;=4))*ROW('CONTROL MASTER'!$S$2:$S$495))-(ROW('CONTROL MASTER'!#REF!)-1))),":",","),",",REPT(" ",50)),(((INDEX('CONTROL MASTER'!$Y$2:$Y$495,(SUMPRODUCT((('CONTROL MASTER'!$S$2:$S$495=15)*('CONTROL MASTER'!$Z$2:$Z$495&lt;=10)*('CONTROL MASTER'!$AB$2:$AB$495&gt;=10)*('CONTROL MASTER'!$AA$2:$AA$495&lt;=4)*('CONTROL MASTER'!$AC$2:$AC$495&gt;=4))*ROW('CONTROL MASTER'!$S$2:$S$495))-(ROW('CONTROL MASTER'!#REF!)-1)))+((10-INDEX('CONTROL MASTER'!$Z$2:$Z$495,(SUMPRODUCT((('CONTROL MASTER'!$S$2:$S$495=15)*('CONTROL MASTER'!$Z$2:$Z$495&lt;=10)*('CONTROL MASTER'!$AB$2:$AB$495&gt;=10)*('CONTROL MASTER'!$AA$2:$AA$495&lt;=4)*('CONTROL MASTER'!$AC$2:$AC$495&gt;=4))*ROW('CONTROL MASTER'!$S$2:$S$495))-(ROW('CONTROL MASTER'!#REF!)-1))))*(INDEX('CONTROL MASTER'!$AC$2:$AC$495,(SUMPRODUCT((('CONTROL MASTER'!$S$2:$S$495=15)*('CONTROL MASTER'!$Z$2:$Z$495&lt;=10)*('CONTROL MASTER'!$AB$2:$AB$495&gt;=10)*('CONTROL MASTER'!$AA$2:$AA$495&lt;=4)*('CONTROL MASTER'!$AC$2:$AC$495&gt;=4))*ROW('CONTROL MASTER'!$S$2:$S$495))-(ROW('CONTROL MASTER'!#REF!)-1)))-INDEX('CONTROL MASTER'!$AA$2:$AA$495,(SUMPRODUCT((('CONTROL MASTER'!$S$2:$S$495=15)*('CONTROL MASTER'!$Z$2:$Z$495&lt;=10)*('CONTROL MASTER'!$AB$2:$AB$495&gt;=10)*('CONTROL MASTER'!$AA$2:$AA$495&lt;=4)*('CONTROL MASTER'!$AC$2:$AC$495&gt;=4))*ROW('CONTROL MASTER'!$S$2:$S$495))-(ROW('CONTROL MASTER'!#REF!)-1)))+1)+(4-INDEX('CONTROL MASTER'!$AA$2:$AA$495,(SUMPRODUCT((('CONTROL MASTER'!$S$2:$S$495=15)*('CONTROL MASTER'!$Z$2:$Z$495&lt;=10)*('CONTROL MASTER'!$AB$2:$AB$495&gt;=10)*('CONTROL MASTER'!$AA$2:$AA$495&lt;=4)*('CONTROL MASTER'!$AC$2:$AC$495&gt;=4))*ROW('CONTROL MASTER'!$S$2:$S$495))-(ROW('CONTROL MASTER'!#REF!)-1))))+1)))-1)*50+1,50))&amp;"_"&amp;INDEX('CONTROL MASTER'!$P$2:$P$495,(SUMPRODUCT((('CONTROL MASTER'!$S$2:$S$495=15)*('CONTROL MASTER'!$Z$2:$Z$495&lt;=10)*('CONTROL MASTER'!$AB$2:$AB$495&gt;=10)*('CONTROL MASTER'!$AA$2:$AA$495&lt;=4)*('CONTROL MASTER'!$AC$2:$AC$495&gt;=4))*ROW('CONTROL MASTER'!$S$2:$S$495))-(ROW('CONTROL MASTER'!#REF!)-1))),"")),"")</f>
        <v/>
      </c>
      <c r="F208" s="10" t="str">
        <f>IFERROR(IF(SUMPRODUCT((('CONTROL MASTER'!$S$2:$S$495=15)*('CONTROL MASTER'!$T$2:$T$495&lt;=10)*('CONTROL MASTER'!$V$2:$V$495&gt;=10)*('CONTROL MASTER'!$U$2:$U$495&lt;=5)*('CONTROL MASTER'!$W$2:$W$495&gt;=5))*ROW('CONTROL MASTER'!$S$2:$S$495))&gt;0,INDEX('CONTROL MASTER'!$X$2:$X$495,(SUMPRODUCT((('CONTROL MASTER'!$S$2:$S$495=15)*('CONTROL MASTER'!$T$2:$T$495&lt;=10)*('CONTROL MASTER'!$V$2:$V$495&gt;=10)*('CONTROL MASTER'!$U$2:$U$495&lt;=5)*('CONTROL MASTER'!$W$2:$W$495&gt;=5))*ROW('CONTROL MASTER'!$S$2:$S$495))-(ROW('CONTROL MASTER'!#REF!)-1)))&amp;TRIM(MID(SUBSTITUTE(SUBSTITUTE(INDEX('CONTROL MASTER'!$N$2:$N$495,(SUMPRODUCT((('CONTROL MASTER'!$S$2:$S$495=15)*('CONTROL MASTER'!$T$2:$T$495&lt;=10)*('CONTROL MASTER'!$V$2:$V$495&gt;=10)*('CONTROL MASTER'!$U$2:$U$495&lt;=5)*('CONTROL MASTER'!$W$2:$W$495&gt;=5))*ROW('CONTROL MASTER'!$S$2:$S$495))-(ROW('CONTROL MASTER'!#REF!)-1))),":",","),",",REPT(" ",50)),((((10-INDEX('CONTROL MASTER'!$T$2:$T$495,(SUMPRODUCT((('CONTROL MASTER'!$S$2:$S$495=15)*('CONTROL MASTER'!$T$2:$T$495&lt;=10)*('CONTROL MASTER'!$V$2:$V$495&gt;=10)*('CONTROL MASTER'!$U$2:$U$495&lt;=5)*('CONTROL MASTER'!$W$2:$W$495&gt;=5))*ROW('CONTROL MASTER'!$S$2:$S$495))-(ROW('CONTROL MASTER'!#REF!)-1))))*(INDEX('CONTROL MASTER'!$W$2:$W$495,(SUMPRODUCT((('CONTROL MASTER'!$S$2:$S$495=15)*('CONTROL MASTER'!$T$2:$T$495&lt;=10)*('CONTROL MASTER'!$V$2:$V$495&gt;=10)*('CONTROL MASTER'!$U$2:$U$495&lt;=5)*('CONTROL MASTER'!$W$2:$W$495&gt;=5))*ROW('CONTROL MASTER'!$S$2:$S$495))-(ROW('CONTROL MASTER'!#REF!)-1)))-INDEX('CONTROL MASTER'!$U$2:$U$495,(SUMPRODUCT((('CONTROL MASTER'!$S$2:$S$495=15)*('CONTROL MASTER'!$T$2:$T$495&lt;=10)*('CONTROL MASTER'!$V$2:$V$495&gt;=10)*('CONTROL MASTER'!$U$2:$U$495&lt;=5)*('CONTROL MASTER'!$W$2:$W$495&gt;=5))*ROW('CONTROL MASTER'!$S$2:$S$495))-(ROW('CONTROL MASTER'!#REF!)-1)))+1)+(5-INDEX('CONTROL MASTER'!$U$2:$U$495,(SUMPRODUCT((('CONTROL MASTER'!$S$2:$S$495=15)*('CONTROL MASTER'!$T$2:$T$495&lt;=10)*('CONTROL MASTER'!$V$2:$V$495&gt;=10)*('CONTROL MASTER'!$U$2:$U$495&lt;=5)*('CONTROL MASTER'!$W$2:$W$495&gt;=5))*ROW('CONTROL MASTER'!$S$2:$S$495))-(ROW('CONTROL MASTER'!#REF!)-1))))+1))-1)*50+1,50))&amp;"_"&amp;INDEX('CONTROL MASTER'!$P$2:$P$495,(SUMPRODUCT((('CONTROL MASTER'!$S$2:$S$495=15)*('CONTROL MASTER'!$T$2:$T$495&lt;=10)*('CONTROL MASTER'!$V$2:$V$495&gt;=10)*('CONTROL MASTER'!$U$2:$U$495&lt;=5)*('CONTROL MASTER'!$W$2:$W$495&gt;=5))*ROW('CONTROL MASTER'!$S$2:$S$495))-(ROW('CONTROL MASTER'!#REF!)-1))),IF(SUMPRODUCT((('CONTROL MASTER'!$S$2:$S$495=15)*('CONTROL MASTER'!$Z$2:$Z$495&lt;=10)*('CONTROL MASTER'!$AB$2:$AB$495&gt;=10)*('CONTROL MASTER'!$AA$2:$AA$495&lt;=5)*('CONTROL MASTER'!$AC$2:$AC$495&gt;=5))*ROW('CONTROL MASTER'!$S$2:$S$495))&gt;0,INDEX('CONTROL MASTER'!$X$2:$X$495,(SUMPRODUCT((('CONTROL MASTER'!$S$2:$S$495=15)*('CONTROL MASTER'!$Z$2:$Z$495&lt;=10)*('CONTROL MASTER'!$AB$2:$AB$495&gt;=10)*('CONTROL MASTER'!$AA$2:$AA$495&lt;=5)*('CONTROL MASTER'!$AC$2:$AC$495&gt;=5))*ROW('CONTROL MASTER'!$S$2:$S$495))-(ROW('CONTROL MASTER'!#REF!)-1)))&amp;TRIM(MID(SUBSTITUTE(SUBSTITUTE(INDEX('CONTROL MASTER'!$N$2:$N$495,(SUMPRODUCT((('CONTROL MASTER'!$S$2:$S$495=15)*('CONTROL MASTER'!$Z$2:$Z$495&lt;=10)*('CONTROL MASTER'!$AB$2:$AB$495&gt;=10)*('CONTROL MASTER'!$AA$2:$AA$495&lt;=5)*('CONTROL MASTER'!$AC$2:$AC$495&gt;=5))*ROW('CONTROL MASTER'!$S$2:$S$495))-(ROW('CONTROL MASTER'!#REF!)-1))),":",","),",",REPT(" ",50)),(((INDEX('CONTROL MASTER'!$Y$2:$Y$495,(SUMPRODUCT((('CONTROL MASTER'!$S$2:$S$495=15)*('CONTROL MASTER'!$Z$2:$Z$495&lt;=10)*('CONTROL MASTER'!$AB$2:$AB$495&gt;=10)*('CONTROL MASTER'!$AA$2:$AA$495&lt;=5)*('CONTROL MASTER'!$AC$2:$AC$495&gt;=5))*ROW('CONTROL MASTER'!$S$2:$S$495))-(ROW('CONTROL MASTER'!#REF!)-1)))+((10-INDEX('CONTROL MASTER'!$Z$2:$Z$495,(SUMPRODUCT((('CONTROL MASTER'!$S$2:$S$495=15)*('CONTROL MASTER'!$Z$2:$Z$495&lt;=10)*('CONTROL MASTER'!$AB$2:$AB$495&gt;=10)*('CONTROL MASTER'!$AA$2:$AA$495&lt;=5)*('CONTROL MASTER'!$AC$2:$AC$495&gt;=5))*ROW('CONTROL MASTER'!$S$2:$S$495))-(ROW('CONTROL MASTER'!#REF!)-1))))*(INDEX('CONTROL MASTER'!$AC$2:$AC$495,(SUMPRODUCT((('CONTROL MASTER'!$S$2:$S$495=15)*('CONTROL MASTER'!$Z$2:$Z$495&lt;=10)*('CONTROL MASTER'!$AB$2:$AB$495&gt;=10)*('CONTROL MASTER'!$AA$2:$AA$495&lt;=5)*('CONTROL MASTER'!$AC$2:$AC$495&gt;=5))*ROW('CONTROL MASTER'!$S$2:$S$495))-(ROW('CONTROL MASTER'!#REF!)-1)))-INDEX('CONTROL MASTER'!$AA$2:$AA$495,(SUMPRODUCT((('CONTROL MASTER'!$S$2:$S$495=15)*('CONTROL MASTER'!$Z$2:$Z$495&lt;=10)*('CONTROL MASTER'!$AB$2:$AB$495&gt;=10)*('CONTROL MASTER'!$AA$2:$AA$495&lt;=5)*('CONTROL MASTER'!$AC$2:$AC$495&gt;=5))*ROW('CONTROL MASTER'!$S$2:$S$495))-(ROW('CONTROL MASTER'!#REF!)-1)))+1)+(5-INDEX('CONTROL MASTER'!$AA$2:$AA$495,(SUMPRODUCT((('CONTROL MASTER'!$S$2:$S$495=15)*('CONTROL MASTER'!$Z$2:$Z$495&lt;=10)*('CONTROL MASTER'!$AB$2:$AB$495&gt;=10)*('CONTROL MASTER'!$AA$2:$AA$495&lt;=5)*('CONTROL MASTER'!$AC$2:$AC$495&gt;=5))*ROW('CONTROL MASTER'!$S$2:$S$495))-(ROW('CONTROL MASTER'!#REF!)-1))))+1)))-1)*50+1,50))&amp;"_"&amp;INDEX('CONTROL MASTER'!$P$2:$P$495,(SUMPRODUCT((('CONTROL MASTER'!$S$2:$S$495=15)*('CONTROL MASTER'!$Z$2:$Z$495&lt;=10)*('CONTROL MASTER'!$AB$2:$AB$495&gt;=10)*('CONTROL MASTER'!$AA$2:$AA$495&lt;=5)*('CONTROL MASTER'!$AC$2:$AC$495&gt;=5))*ROW('CONTROL MASTER'!$S$2:$S$495))-(ROW('CONTROL MASTER'!#REF!)-1))),"")),"")</f>
        <v/>
      </c>
      <c r="G208" s="10" t="str">
        <f>IFERROR(IF(SUMPRODUCT((('CONTROL MASTER'!$S$2:$S$495=15)*('CONTROL MASTER'!$T$2:$T$495&lt;=10)*('CONTROL MASTER'!$V$2:$V$495&gt;=10)*('CONTROL MASTER'!$U$2:$U$495&lt;=6)*('CONTROL MASTER'!$W$2:$W$495&gt;=6))*ROW('CONTROL MASTER'!$S$2:$S$495))&gt;0,INDEX('CONTROL MASTER'!$X$2:$X$495,(SUMPRODUCT((('CONTROL MASTER'!$S$2:$S$495=15)*('CONTROL MASTER'!$T$2:$T$495&lt;=10)*('CONTROL MASTER'!$V$2:$V$495&gt;=10)*('CONTROL MASTER'!$U$2:$U$495&lt;=6)*('CONTROL MASTER'!$W$2:$W$495&gt;=6))*ROW('CONTROL MASTER'!$S$2:$S$495))-(ROW('CONTROL MASTER'!#REF!)-1)))&amp;TRIM(MID(SUBSTITUTE(SUBSTITUTE(INDEX('CONTROL MASTER'!$N$2:$N$495,(SUMPRODUCT((('CONTROL MASTER'!$S$2:$S$495=15)*('CONTROL MASTER'!$T$2:$T$495&lt;=10)*('CONTROL MASTER'!$V$2:$V$495&gt;=10)*('CONTROL MASTER'!$U$2:$U$495&lt;=6)*('CONTROL MASTER'!$W$2:$W$495&gt;=6))*ROW('CONTROL MASTER'!$S$2:$S$495))-(ROW('CONTROL MASTER'!#REF!)-1))),":",","),",",REPT(" ",50)),((((10-INDEX('CONTROL MASTER'!$T$2:$T$495,(SUMPRODUCT((('CONTROL MASTER'!$S$2:$S$495=15)*('CONTROL MASTER'!$T$2:$T$495&lt;=10)*('CONTROL MASTER'!$V$2:$V$495&gt;=10)*('CONTROL MASTER'!$U$2:$U$495&lt;=6)*('CONTROL MASTER'!$W$2:$W$495&gt;=6))*ROW('CONTROL MASTER'!$S$2:$S$495))-(ROW('CONTROL MASTER'!#REF!)-1))))*(INDEX('CONTROL MASTER'!$W$2:$W$495,(SUMPRODUCT((('CONTROL MASTER'!$S$2:$S$495=15)*('CONTROL MASTER'!$T$2:$T$495&lt;=10)*('CONTROL MASTER'!$V$2:$V$495&gt;=10)*('CONTROL MASTER'!$U$2:$U$495&lt;=6)*('CONTROL MASTER'!$W$2:$W$495&gt;=6))*ROW('CONTROL MASTER'!$S$2:$S$495))-(ROW('CONTROL MASTER'!#REF!)-1)))-INDEX('CONTROL MASTER'!$U$2:$U$495,(SUMPRODUCT((('CONTROL MASTER'!$S$2:$S$495=15)*('CONTROL MASTER'!$T$2:$T$495&lt;=10)*('CONTROL MASTER'!$V$2:$V$495&gt;=10)*('CONTROL MASTER'!$U$2:$U$495&lt;=6)*('CONTROL MASTER'!$W$2:$W$495&gt;=6))*ROW('CONTROL MASTER'!$S$2:$S$495))-(ROW('CONTROL MASTER'!#REF!)-1)))+1)+(6-INDEX('CONTROL MASTER'!$U$2:$U$495,(SUMPRODUCT((('CONTROL MASTER'!$S$2:$S$495=15)*('CONTROL MASTER'!$T$2:$T$495&lt;=10)*('CONTROL MASTER'!$V$2:$V$495&gt;=10)*('CONTROL MASTER'!$U$2:$U$495&lt;=6)*('CONTROL MASTER'!$W$2:$W$495&gt;=6))*ROW('CONTROL MASTER'!$S$2:$S$495))-(ROW('CONTROL MASTER'!#REF!)-1))))+1))-1)*50+1,50))&amp;"_"&amp;INDEX('CONTROL MASTER'!$P$2:$P$495,(SUMPRODUCT((('CONTROL MASTER'!$S$2:$S$495=15)*('CONTROL MASTER'!$T$2:$T$495&lt;=10)*('CONTROL MASTER'!$V$2:$V$495&gt;=10)*('CONTROL MASTER'!$U$2:$U$495&lt;=6)*('CONTROL MASTER'!$W$2:$W$495&gt;=6))*ROW('CONTROL MASTER'!$S$2:$S$495))-(ROW('CONTROL MASTER'!#REF!)-1))),IF(SUMPRODUCT((('CONTROL MASTER'!$S$2:$S$495=15)*('CONTROL MASTER'!$Z$2:$Z$495&lt;=10)*('CONTROL MASTER'!$AB$2:$AB$495&gt;=10)*('CONTROL MASTER'!$AA$2:$AA$495&lt;=6)*('CONTROL MASTER'!$AC$2:$AC$495&gt;=6))*ROW('CONTROL MASTER'!$S$2:$S$495))&gt;0,INDEX('CONTROL MASTER'!$X$2:$X$495,(SUMPRODUCT((('CONTROL MASTER'!$S$2:$S$495=15)*('CONTROL MASTER'!$Z$2:$Z$495&lt;=10)*('CONTROL MASTER'!$AB$2:$AB$495&gt;=10)*('CONTROL MASTER'!$AA$2:$AA$495&lt;=6)*('CONTROL MASTER'!$AC$2:$AC$495&gt;=6))*ROW('CONTROL MASTER'!$S$2:$S$495))-(ROW('CONTROL MASTER'!#REF!)-1)))&amp;TRIM(MID(SUBSTITUTE(SUBSTITUTE(INDEX('CONTROL MASTER'!$N$2:$N$495,(SUMPRODUCT((('CONTROL MASTER'!$S$2:$S$495=15)*('CONTROL MASTER'!$Z$2:$Z$495&lt;=10)*('CONTROL MASTER'!$AB$2:$AB$495&gt;=10)*('CONTROL MASTER'!$AA$2:$AA$495&lt;=6)*('CONTROL MASTER'!$AC$2:$AC$495&gt;=6))*ROW('CONTROL MASTER'!$S$2:$S$495))-(ROW('CONTROL MASTER'!#REF!)-1))),":",","),",",REPT(" ",50)),(((INDEX('CONTROL MASTER'!$Y$2:$Y$495,(SUMPRODUCT((('CONTROL MASTER'!$S$2:$S$495=15)*('CONTROL MASTER'!$Z$2:$Z$495&lt;=10)*('CONTROL MASTER'!$AB$2:$AB$495&gt;=10)*('CONTROL MASTER'!$AA$2:$AA$495&lt;=6)*('CONTROL MASTER'!$AC$2:$AC$495&gt;=6))*ROW('CONTROL MASTER'!$S$2:$S$495))-(ROW('CONTROL MASTER'!#REF!)-1)))+((10-INDEX('CONTROL MASTER'!$Z$2:$Z$495,(SUMPRODUCT((('CONTROL MASTER'!$S$2:$S$495=15)*('CONTROL MASTER'!$Z$2:$Z$495&lt;=10)*('CONTROL MASTER'!$AB$2:$AB$495&gt;=10)*('CONTROL MASTER'!$AA$2:$AA$495&lt;=6)*('CONTROL MASTER'!$AC$2:$AC$495&gt;=6))*ROW('CONTROL MASTER'!$S$2:$S$495))-(ROW('CONTROL MASTER'!#REF!)-1))))*(INDEX('CONTROL MASTER'!$AC$2:$AC$495,(SUMPRODUCT((('CONTROL MASTER'!$S$2:$S$495=15)*('CONTROL MASTER'!$Z$2:$Z$495&lt;=10)*('CONTROL MASTER'!$AB$2:$AB$495&gt;=10)*('CONTROL MASTER'!$AA$2:$AA$495&lt;=6)*('CONTROL MASTER'!$AC$2:$AC$495&gt;=6))*ROW('CONTROL MASTER'!$S$2:$S$495))-(ROW('CONTROL MASTER'!#REF!)-1)))-INDEX('CONTROL MASTER'!$AA$2:$AA$495,(SUMPRODUCT((('CONTROL MASTER'!$S$2:$S$495=15)*('CONTROL MASTER'!$Z$2:$Z$495&lt;=10)*('CONTROL MASTER'!$AB$2:$AB$495&gt;=10)*('CONTROL MASTER'!$AA$2:$AA$495&lt;=6)*('CONTROL MASTER'!$AC$2:$AC$495&gt;=6))*ROW('CONTROL MASTER'!$S$2:$S$495))-(ROW('CONTROL MASTER'!#REF!)-1)))+1)+(6-INDEX('CONTROL MASTER'!$AA$2:$AA$495,(SUMPRODUCT((('CONTROL MASTER'!$S$2:$S$495=15)*('CONTROL MASTER'!$Z$2:$Z$495&lt;=10)*('CONTROL MASTER'!$AB$2:$AB$495&gt;=10)*('CONTROL MASTER'!$AA$2:$AA$495&lt;=6)*('CONTROL MASTER'!$AC$2:$AC$495&gt;=6))*ROW('CONTROL MASTER'!$S$2:$S$495))-(ROW('CONTROL MASTER'!#REF!)-1))))+1)))-1)*50+1,50))&amp;"_"&amp;INDEX('CONTROL MASTER'!$P$2:$P$495,(SUMPRODUCT((('CONTROL MASTER'!$S$2:$S$495=15)*('CONTROL MASTER'!$Z$2:$Z$495&lt;=10)*('CONTROL MASTER'!$AB$2:$AB$495&gt;=10)*('CONTROL MASTER'!$AA$2:$AA$495&lt;=6)*('CONTROL MASTER'!$AC$2:$AC$495&gt;=6))*ROW('CONTROL MASTER'!$S$2:$S$495))-(ROW('CONTROL MASTER'!#REF!)-1))),"")),"")</f>
        <v/>
      </c>
      <c r="H208" s="10" t="str">
        <f>IFERROR(IF(SUMPRODUCT((('CONTROL MASTER'!$S$2:$S$495=15)*('CONTROL MASTER'!$T$2:$T$495&lt;=10)*('CONTROL MASTER'!$V$2:$V$495&gt;=10)*('CONTROL MASTER'!$U$2:$U$495&lt;=7)*('CONTROL MASTER'!$W$2:$W$495&gt;=7))*ROW('CONTROL MASTER'!$S$2:$S$495))&gt;0,INDEX('CONTROL MASTER'!$X$2:$X$495,(SUMPRODUCT((('CONTROL MASTER'!$S$2:$S$495=15)*('CONTROL MASTER'!$T$2:$T$495&lt;=10)*('CONTROL MASTER'!$V$2:$V$495&gt;=10)*('CONTROL MASTER'!$U$2:$U$495&lt;=7)*('CONTROL MASTER'!$W$2:$W$495&gt;=7))*ROW('CONTROL MASTER'!$S$2:$S$495))-(ROW('CONTROL MASTER'!#REF!)-1)))&amp;TRIM(MID(SUBSTITUTE(SUBSTITUTE(INDEX('CONTROL MASTER'!$N$2:$N$495,(SUMPRODUCT((('CONTROL MASTER'!$S$2:$S$495=15)*('CONTROL MASTER'!$T$2:$T$495&lt;=10)*('CONTROL MASTER'!$V$2:$V$495&gt;=10)*('CONTROL MASTER'!$U$2:$U$495&lt;=7)*('CONTROL MASTER'!$W$2:$W$495&gt;=7))*ROW('CONTROL MASTER'!$S$2:$S$495))-(ROW('CONTROL MASTER'!#REF!)-1))),":",","),",",REPT(" ",50)),((((10-INDEX('CONTROL MASTER'!$T$2:$T$495,(SUMPRODUCT((('CONTROL MASTER'!$S$2:$S$495=15)*('CONTROL MASTER'!$T$2:$T$495&lt;=10)*('CONTROL MASTER'!$V$2:$V$495&gt;=10)*('CONTROL MASTER'!$U$2:$U$495&lt;=7)*('CONTROL MASTER'!$W$2:$W$495&gt;=7))*ROW('CONTROL MASTER'!$S$2:$S$495))-(ROW('CONTROL MASTER'!#REF!)-1))))*(INDEX('CONTROL MASTER'!$W$2:$W$495,(SUMPRODUCT((('CONTROL MASTER'!$S$2:$S$495=15)*('CONTROL MASTER'!$T$2:$T$495&lt;=10)*('CONTROL MASTER'!$V$2:$V$495&gt;=10)*('CONTROL MASTER'!$U$2:$U$495&lt;=7)*('CONTROL MASTER'!$W$2:$W$495&gt;=7))*ROW('CONTROL MASTER'!$S$2:$S$495))-(ROW('CONTROL MASTER'!#REF!)-1)))-INDEX('CONTROL MASTER'!$U$2:$U$495,(SUMPRODUCT((('CONTROL MASTER'!$S$2:$S$495=15)*('CONTROL MASTER'!$T$2:$T$495&lt;=10)*('CONTROL MASTER'!$V$2:$V$495&gt;=10)*('CONTROL MASTER'!$U$2:$U$495&lt;=7)*('CONTROL MASTER'!$W$2:$W$495&gt;=7))*ROW('CONTROL MASTER'!$S$2:$S$495))-(ROW('CONTROL MASTER'!#REF!)-1)))+1)+(7-INDEX('CONTROL MASTER'!$U$2:$U$495,(SUMPRODUCT((('CONTROL MASTER'!$S$2:$S$495=15)*('CONTROL MASTER'!$T$2:$T$495&lt;=10)*('CONTROL MASTER'!$V$2:$V$495&gt;=10)*('CONTROL MASTER'!$U$2:$U$495&lt;=7)*('CONTROL MASTER'!$W$2:$W$495&gt;=7))*ROW('CONTROL MASTER'!$S$2:$S$495))-(ROW('CONTROL MASTER'!#REF!)-1))))+1))-1)*50+1,50))&amp;"_"&amp;INDEX('CONTROL MASTER'!$P$2:$P$495,(SUMPRODUCT((('CONTROL MASTER'!$S$2:$S$495=15)*('CONTROL MASTER'!$T$2:$T$495&lt;=10)*('CONTROL MASTER'!$V$2:$V$495&gt;=10)*('CONTROL MASTER'!$U$2:$U$495&lt;=7)*('CONTROL MASTER'!$W$2:$W$495&gt;=7))*ROW('CONTROL MASTER'!$S$2:$S$495))-(ROW('CONTROL MASTER'!#REF!)-1))),IF(SUMPRODUCT((('CONTROL MASTER'!$S$2:$S$495=15)*('CONTROL MASTER'!$Z$2:$Z$495&lt;=10)*('CONTROL MASTER'!$AB$2:$AB$495&gt;=10)*('CONTROL MASTER'!$AA$2:$AA$495&lt;=7)*('CONTROL MASTER'!$AC$2:$AC$495&gt;=7))*ROW('CONTROL MASTER'!$S$2:$S$495))&gt;0,INDEX('CONTROL MASTER'!$X$2:$X$495,(SUMPRODUCT((('CONTROL MASTER'!$S$2:$S$495=15)*('CONTROL MASTER'!$Z$2:$Z$495&lt;=10)*('CONTROL MASTER'!$AB$2:$AB$495&gt;=10)*('CONTROL MASTER'!$AA$2:$AA$495&lt;=7)*('CONTROL MASTER'!$AC$2:$AC$495&gt;=7))*ROW('CONTROL MASTER'!$S$2:$S$495))-(ROW('CONTROL MASTER'!#REF!)-1)))&amp;TRIM(MID(SUBSTITUTE(SUBSTITUTE(INDEX('CONTROL MASTER'!$N$2:$N$495,(SUMPRODUCT((('CONTROL MASTER'!$S$2:$S$495=15)*('CONTROL MASTER'!$Z$2:$Z$495&lt;=10)*('CONTROL MASTER'!$AB$2:$AB$495&gt;=10)*('CONTROL MASTER'!$AA$2:$AA$495&lt;=7)*('CONTROL MASTER'!$AC$2:$AC$495&gt;=7))*ROW('CONTROL MASTER'!$S$2:$S$495))-(ROW('CONTROL MASTER'!#REF!)-1))),":",","),",",REPT(" ",50)),(((INDEX('CONTROL MASTER'!$Y$2:$Y$495,(SUMPRODUCT((('CONTROL MASTER'!$S$2:$S$495=15)*('CONTROL MASTER'!$Z$2:$Z$495&lt;=10)*('CONTROL MASTER'!$AB$2:$AB$495&gt;=10)*('CONTROL MASTER'!$AA$2:$AA$495&lt;=7)*('CONTROL MASTER'!$AC$2:$AC$495&gt;=7))*ROW('CONTROL MASTER'!$S$2:$S$495))-(ROW('CONTROL MASTER'!#REF!)-1)))+((10-INDEX('CONTROL MASTER'!$Z$2:$Z$495,(SUMPRODUCT((('CONTROL MASTER'!$S$2:$S$495=15)*('CONTROL MASTER'!$Z$2:$Z$495&lt;=10)*('CONTROL MASTER'!$AB$2:$AB$495&gt;=10)*('CONTROL MASTER'!$AA$2:$AA$495&lt;=7)*('CONTROL MASTER'!$AC$2:$AC$495&gt;=7))*ROW('CONTROL MASTER'!$S$2:$S$495))-(ROW('CONTROL MASTER'!#REF!)-1))))*(INDEX('CONTROL MASTER'!$AC$2:$AC$495,(SUMPRODUCT((('CONTROL MASTER'!$S$2:$S$495=15)*('CONTROL MASTER'!$Z$2:$Z$495&lt;=10)*('CONTROL MASTER'!$AB$2:$AB$495&gt;=10)*('CONTROL MASTER'!$AA$2:$AA$495&lt;=7)*('CONTROL MASTER'!$AC$2:$AC$495&gt;=7))*ROW('CONTROL MASTER'!$S$2:$S$495))-(ROW('CONTROL MASTER'!#REF!)-1)))-INDEX('CONTROL MASTER'!$AA$2:$AA$495,(SUMPRODUCT((('CONTROL MASTER'!$S$2:$S$495=15)*('CONTROL MASTER'!$Z$2:$Z$495&lt;=10)*('CONTROL MASTER'!$AB$2:$AB$495&gt;=10)*('CONTROL MASTER'!$AA$2:$AA$495&lt;=7)*('CONTROL MASTER'!$AC$2:$AC$495&gt;=7))*ROW('CONTROL MASTER'!$S$2:$S$495))-(ROW('CONTROL MASTER'!#REF!)-1)))+1)+(7-INDEX('CONTROL MASTER'!$AA$2:$AA$495,(SUMPRODUCT((('CONTROL MASTER'!$S$2:$S$495=15)*('CONTROL MASTER'!$Z$2:$Z$495&lt;=10)*('CONTROL MASTER'!$AB$2:$AB$495&gt;=10)*('CONTROL MASTER'!$AA$2:$AA$495&lt;=7)*('CONTROL MASTER'!$AC$2:$AC$495&gt;=7))*ROW('CONTROL MASTER'!$S$2:$S$495))-(ROW('CONTROL MASTER'!#REF!)-1))))+1)))-1)*50+1,50))&amp;"_"&amp;INDEX('CONTROL MASTER'!$P$2:$P$495,(SUMPRODUCT((('CONTROL MASTER'!$S$2:$S$495=15)*('CONTROL MASTER'!$Z$2:$Z$495&lt;=10)*('CONTROL MASTER'!$AB$2:$AB$495&gt;=10)*('CONTROL MASTER'!$AA$2:$AA$495&lt;=7)*('CONTROL MASTER'!$AC$2:$AC$495&gt;=7))*ROW('CONTROL MASTER'!$S$2:$S$495))-(ROW('CONTROL MASTER'!#REF!)-1))),"")),"")</f>
        <v/>
      </c>
      <c r="I208" s="10" t="str">
        <f>IFERROR(IF(SUMPRODUCT((('CONTROL MASTER'!$S$2:$S$495=15)*('CONTROL MASTER'!$T$2:$T$495&lt;=10)*('CONTROL MASTER'!$V$2:$V$495&gt;=10)*('CONTROL MASTER'!$U$2:$U$495&lt;=8)*('CONTROL MASTER'!$W$2:$W$495&gt;=8))*ROW('CONTROL MASTER'!$S$2:$S$495))&gt;0,INDEX('CONTROL MASTER'!$X$2:$X$495,(SUMPRODUCT((('CONTROL MASTER'!$S$2:$S$495=15)*('CONTROL MASTER'!$T$2:$T$495&lt;=10)*('CONTROL MASTER'!$V$2:$V$495&gt;=10)*('CONTROL MASTER'!$U$2:$U$495&lt;=8)*('CONTROL MASTER'!$W$2:$W$495&gt;=8))*ROW('CONTROL MASTER'!$S$2:$S$495))-(ROW('CONTROL MASTER'!#REF!)-1)))&amp;TRIM(MID(SUBSTITUTE(SUBSTITUTE(INDEX('CONTROL MASTER'!$N$2:$N$495,(SUMPRODUCT((('CONTROL MASTER'!$S$2:$S$495=15)*('CONTROL MASTER'!$T$2:$T$495&lt;=10)*('CONTROL MASTER'!$V$2:$V$495&gt;=10)*('CONTROL MASTER'!$U$2:$U$495&lt;=8)*('CONTROL MASTER'!$W$2:$W$495&gt;=8))*ROW('CONTROL MASTER'!$S$2:$S$495))-(ROW('CONTROL MASTER'!#REF!)-1))),":",","),",",REPT(" ",50)),((((10-INDEX('CONTROL MASTER'!$T$2:$T$495,(SUMPRODUCT((('CONTROL MASTER'!$S$2:$S$495=15)*('CONTROL MASTER'!$T$2:$T$495&lt;=10)*('CONTROL MASTER'!$V$2:$V$495&gt;=10)*('CONTROL MASTER'!$U$2:$U$495&lt;=8)*('CONTROL MASTER'!$W$2:$W$495&gt;=8))*ROW('CONTROL MASTER'!$S$2:$S$495))-(ROW('CONTROL MASTER'!#REF!)-1))))*(INDEX('CONTROL MASTER'!$W$2:$W$495,(SUMPRODUCT((('CONTROL MASTER'!$S$2:$S$495=15)*('CONTROL MASTER'!$T$2:$T$495&lt;=10)*('CONTROL MASTER'!$V$2:$V$495&gt;=10)*('CONTROL MASTER'!$U$2:$U$495&lt;=8)*('CONTROL MASTER'!$W$2:$W$495&gt;=8))*ROW('CONTROL MASTER'!$S$2:$S$495))-(ROW('CONTROL MASTER'!#REF!)-1)))-INDEX('CONTROL MASTER'!$U$2:$U$495,(SUMPRODUCT((('CONTROL MASTER'!$S$2:$S$495=15)*('CONTROL MASTER'!$T$2:$T$495&lt;=10)*('CONTROL MASTER'!$V$2:$V$495&gt;=10)*('CONTROL MASTER'!$U$2:$U$495&lt;=8)*('CONTROL MASTER'!$W$2:$W$495&gt;=8))*ROW('CONTROL MASTER'!$S$2:$S$495))-(ROW('CONTROL MASTER'!#REF!)-1)))+1)+(8-INDEX('CONTROL MASTER'!$U$2:$U$495,(SUMPRODUCT((('CONTROL MASTER'!$S$2:$S$495=15)*('CONTROL MASTER'!$T$2:$T$495&lt;=10)*('CONTROL MASTER'!$V$2:$V$495&gt;=10)*('CONTROL MASTER'!$U$2:$U$495&lt;=8)*('CONTROL MASTER'!$W$2:$W$495&gt;=8))*ROW('CONTROL MASTER'!$S$2:$S$495))-(ROW('CONTROL MASTER'!#REF!)-1))))+1))-1)*50+1,50))&amp;"_"&amp;INDEX('CONTROL MASTER'!$P$2:$P$495,(SUMPRODUCT((('CONTROL MASTER'!$S$2:$S$495=15)*('CONTROL MASTER'!$T$2:$T$495&lt;=10)*('CONTROL MASTER'!$V$2:$V$495&gt;=10)*('CONTROL MASTER'!$U$2:$U$495&lt;=8)*('CONTROL MASTER'!$W$2:$W$495&gt;=8))*ROW('CONTROL MASTER'!$S$2:$S$495))-(ROW('CONTROL MASTER'!#REF!)-1))),IF(SUMPRODUCT((('CONTROL MASTER'!$S$2:$S$495=15)*('CONTROL MASTER'!$Z$2:$Z$495&lt;=10)*('CONTROL MASTER'!$AB$2:$AB$495&gt;=10)*('CONTROL MASTER'!$AA$2:$AA$495&lt;=8)*('CONTROL MASTER'!$AC$2:$AC$495&gt;=8))*ROW('CONTROL MASTER'!$S$2:$S$495))&gt;0,INDEX('CONTROL MASTER'!$X$2:$X$495,(SUMPRODUCT((('CONTROL MASTER'!$S$2:$S$495=15)*('CONTROL MASTER'!$Z$2:$Z$495&lt;=10)*('CONTROL MASTER'!$AB$2:$AB$495&gt;=10)*('CONTROL MASTER'!$AA$2:$AA$495&lt;=8)*('CONTROL MASTER'!$AC$2:$AC$495&gt;=8))*ROW('CONTROL MASTER'!$S$2:$S$495))-(ROW('CONTROL MASTER'!#REF!)-1)))&amp;TRIM(MID(SUBSTITUTE(SUBSTITUTE(INDEX('CONTROL MASTER'!$N$2:$N$495,(SUMPRODUCT((('CONTROL MASTER'!$S$2:$S$495=15)*('CONTROL MASTER'!$Z$2:$Z$495&lt;=10)*('CONTROL MASTER'!$AB$2:$AB$495&gt;=10)*('CONTROL MASTER'!$AA$2:$AA$495&lt;=8)*('CONTROL MASTER'!$AC$2:$AC$495&gt;=8))*ROW('CONTROL MASTER'!$S$2:$S$495))-(ROW('CONTROL MASTER'!#REF!)-1))),":",","),",",REPT(" ",50)),(((INDEX('CONTROL MASTER'!$Y$2:$Y$495,(SUMPRODUCT((('CONTROL MASTER'!$S$2:$S$495=15)*('CONTROL MASTER'!$Z$2:$Z$495&lt;=10)*('CONTROL MASTER'!$AB$2:$AB$495&gt;=10)*('CONTROL MASTER'!$AA$2:$AA$495&lt;=8)*('CONTROL MASTER'!$AC$2:$AC$495&gt;=8))*ROW('CONTROL MASTER'!$S$2:$S$495))-(ROW('CONTROL MASTER'!#REF!)-1)))+((10-INDEX('CONTROL MASTER'!$Z$2:$Z$495,(SUMPRODUCT((('CONTROL MASTER'!$S$2:$S$495=15)*('CONTROL MASTER'!$Z$2:$Z$495&lt;=10)*('CONTROL MASTER'!$AB$2:$AB$495&gt;=10)*('CONTROL MASTER'!$AA$2:$AA$495&lt;=8)*('CONTROL MASTER'!$AC$2:$AC$495&gt;=8))*ROW('CONTROL MASTER'!$S$2:$S$495))-(ROW('CONTROL MASTER'!#REF!)-1))))*(INDEX('CONTROL MASTER'!$AC$2:$AC$495,(SUMPRODUCT((('CONTROL MASTER'!$S$2:$S$495=15)*('CONTROL MASTER'!$Z$2:$Z$495&lt;=10)*('CONTROL MASTER'!$AB$2:$AB$495&gt;=10)*('CONTROL MASTER'!$AA$2:$AA$495&lt;=8)*('CONTROL MASTER'!$AC$2:$AC$495&gt;=8))*ROW('CONTROL MASTER'!$S$2:$S$495))-(ROW('CONTROL MASTER'!#REF!)-1)))-INDEX('CONTROL MASTER'!$AA$2:$AA$495,(SUMPRODUCT((('CONTROL MASTER'!$S$2:$S$495=15)*('CONTROL MASTER'!$Z$2:$Z$495&lt;=10)*('CONTROL MASTER'!$AB$2:$AB$495&gt;=10)*('CONTROL MASTER'!$AA$2:$AA$495&lt;=8)*('CONTROL MASTER'!$AC$2:$AC$495&gt;=8))*ROW('CONTROL MASTER'!$S$2:$S$495))-(ROW('CONTROL MASTER'!#REF!)-1)))+1)+(8-INDEX('CONTROL MASTER'!$AA$2:$AA$495,(SUMPRODUCT((('CONTROL MASTER'!$S$2:$S$495=15)*('CONTROL MASTER'!$Z$2:$Z$495&lt;=10)*('CONTROL MASTER'!$AB$2:$AB$495&gt;=10)*('CONTROL MASTER'!$AA$2:$AA$495&lt;=8)*('CONTROL MASTER'!$AC$2:$AC$495&gt;=8))*ROW('CONTROL MASTER'!$S$2:$S$495))-(ROW('CONTROL MASTER'!#REF!)-1))))+1)))-1)*50+1,50))&amp;"_"&amp;INDEX('CONTROL MASTER'!$P$2:$P$495,(SUMPRODUCT((('CONTROL MASTER'!$S$2:$S$495=15)*('CONTROL MASTER'!$Z$2:$Z$495&lt;=10)*('CONTROL MASTER'!$AB$2:$AB$495&gt;=10)*('CONTROL MASTER'!$AA$2:$AA$495&lt;=8)*('CONTROL MASTER'!$AC$2:$AC$495&gt;=8))*ROW('CONTROL MASTER'!$S$2:$S$495))-(ROW('CONTROL MASTER'!#REF!)-1))),"")),"")</f>
        <v/>
      </c>
      <c r="J208" s="10" t="str">
        <f>IFERROR(IF(SUMPRODUCT((('CONTROL MASTER'!$S$2:$S$495=15)*('CONTROL MASTER'!$T$2:$T$495&lt;=10)*('CONTROL MASTER'!$V$2:$V$495&gt;=10)*('CONTROL MASTER'!$U$2:$U$495&lt;=9)*('CONTROL MASTER'!$W$2:$W$495&gt;=9))*ROW('CONTROL MASTER'!$S$2:$S$495))&gt;0,INDEX('CONTROL MASTER'!$X$2:$X$495,(SUMPRODUCT((('CONTROL MASTER'!$S$2:$S$495=15)*('CONTROL MASTER'!$T$2:$T$495&lt;=10)*('CONTROL MASTER'!$V$2:$V$495&gt;=10)*('CONTROL MASTER'!$U$2:$U$495&lt;=9)*('CONTROL MASTER'!$W$2:$W$495&gt;=9))*ROW('CONTROL MASTER'!$S$2:$S$495))-(ROW('CONTROL MASTER'!#REF!)-1)))&amp;TRIM(MID(SUBSTITUTE(SUBSTITUTE(INDEX('CONTROL MASTER'!$N$2:$N$495,(SUMPRODUCT((('CONTROL MASTER'!$S$2:$S$495=15)*('CONTROL MASTER'!$T$2:$T$495&lt;=10)*('CONTROL MASTER'!$V$2:$V$495&gt;=10)*('CONTROL MASTER'!$U$2:$U$495&lt;=9)*('CONTROL MASTER'!$W$2:$W$495&gt;=9))*ROW('CONTROL MASTER'!$S$2:$S$495))-(ROW('CONTROL MASTER'!#REF!)-1))),":",","),",",REPT(" ",50)),((((10-INDEX('CONTROL MASTER'!$T$2:$T$495,(SUMPRODUCT((('CONTROL MASTER'!$S$2:$S$495=15)*('CONTROL MASTER'!$T$2:$T$495&lt;=10)*('CONTROL MASTER'!$V$2:$V$495&gt;=10)*('CONTROL MASTER'!$U$2:$U$495&lt;=9)*('CONTROL MASTER'!$W$2:$W$495&gt;=9))*ROW('CONTROL MASTER'!$S$2:$S$495))-(ROW('CONTROL MASTER'!#REF!)-1))))*(INDEX('CONTROL MASTER'!$W$2:$W$495,(SUMPRODUCT((('CONTROL MASTER'!$S$2:$S$495=15)*('CONTROL MASTER'!$T$2:$T$495&lt;=10)*('CONTROL MASTER'!$V$2:$V$495&gt;=10)*('CONTROL MASTER'!$U$2:$U$495&lt;=9)*('CONTROL MASTER'!$W$2:$W$495&gt;=9))*ROW('CONTROL MASTER'!$S$2:$S$495))-(ROW('CONTROL MASTER'!#REF!)-1)))-INDEX('CONTROL MASTER'!$U$2:$U$495,(SUMPRODUCT((('CONTROL MASTER'!$S$2:$S$495=15)*('CONTROL MASTER'!$T$2:$T$495&lt;=10)*('CONTROL MASTER'!$V$2:$V$495&gt;=10)*('CONTROL MASTER'!$U$2:$U$495&lt;=9)*('CONTROL MASTER'!$W$2:$W$495&gt;=9))*ROW('CONTROL MASTER'!$S$2:$S$495))-(ROW('CONTROL MASTER'!#REF!)-1)))+1)+(9-INDEX('CONTROL MASTER'!$U$2:$U$495,(SUMPRODUCT((('CONTROL MASTER'!$S$2:$S$495=15)*('CONTROL MASTER'!$T$2:$T$495&lt;=10)*('CONTROL MASTER'!$V$2:$V$495&gt;=10)*('CONTROL MASTER'!$U$2:$U$495&lt;=9)*('CONTROL MASTER'!$W$2:$W$495&gt;=9))*ROW('CONTROL MASTER'!$S$2:$S$495))-(ROW('CONTROL MASTER'!#REF!)-1))))+1))-1)*50+1,50))&amp;"_"&amp;INDEX('CONTROL MASTER'!$P$2:$P$495,(SUMPRODUCT((('CONTROL MASTER'!$S$2:$S$495=15)*('CONTROL MASTER'!$T$2:$T$495&lt;=10)*('CONTROL MASTER'!$V$2:$V$495&gt;=10)*('CONTROL MASTER'!$U$2:$U$495&lt;=9)*('CONTROL MASTER'!$W$2:$W$495&gt;=9))*ROW('CONTROL MASTER'!$S$2:$S$495))-(ROW('CONTROL MASTER'!#REF!)-1))),IF(SUMPRODUCT((('CONTROL MASTER'!$S$2:$S$495=15)*('CONTROL MASTER'!$Z$2:$Z$495&lt;=10)*('CONTROL MASTER'!$AB$2:$AB$495&gt;=10)*('CONTROL MASTER'!$AA$2:$AA$495&lt;=9)*('CONTROL MASTER'!$AC$2:$AC$495&gt;=9))*ROW('CONTROL MASTER'!$S$2:$S$495))&gt;0,INDEX('CONTROL MASTER'!$X$2:$X$495,(SUMPRODUCT((('CONTROL MASTER'!$S$2:$S$495=15)*('CONTROL MASTER'!$Z$2:$Z$495&lt;=10)*('CONTROL MASTER'!$AB$2:$AB$495&gt;=10)*('CONTROL MASTER'!$AA$2:$AA$495&lt;=9)*('CONTROL MASTER'!$AC$2:$AC$495&gt;=9))*ROW('CONTROL MASTER'!$S$2:$S$495))-(ROW('CONTROL MASTER'!#REF!)-1)))&amp;TRIM(MID(SUBSTITUTE(SUBSTITUTE(INDEX('CONTROL MASTER'!$N$2:$N$495,(SUMPRODUCT((('CONTROL MASTER'!$S$2:$S$495=15)*('CONTROL MASTER'!$Z$2:$Z$495&lt;=10)*('CONTROL MASTER'!$AB$2:$AB$495&gt;=10)*('CONTROL MASTER'!$AA$2:$AA$495&lt;=9)*('CONTROL MASTER'!$AC$2:$AC$495&gt;=9))*ROW('CONTROL MASTER'!$S$2:$S$495))-(ROW('CONTROL MASTER'!#REF!)-1))),":",","),",",REPT(" ",50)),(((INDEX('CONTROL MASTER'!$Y$2:$Y$495,(SUMPRODUCT((('CONTROL MASTER'!$S$2:$S$495=15)*('CONTROL MASTER'!$Z$2:$Z$495&lt;=10)*('CONTROL MASTER'!$AB$2:$AB$495&gt;=10)*('CONTROL MASTER'!$AA$2:$AA$495&lt;=9)*('CONTROL MASTER'!$AC$2:$AC$495&gt;=9))*ROW('CONTROL MASTER'!$S$2:$S$495))-(ROW('CONTROL MASTER'!#REF!)-1)))+((10-INDEX('CONTROL MASTER'!$Z$2:$Z$495,(SUMPRODUCT((('CONTROL MASTER'!$S$2:$S$495=15)*('CONTROL MASTER'!$Z$2:$Z$495&lt;=10)*('CONTROL MASTER'!$AB$2:$AB$495&gt;=10)*('CONTROL MASTER'!$AA$2:$AA$495&lt;=9)*('CONTROL MASTER'!$AC$2:$AC$495&gt;=9))*ROW('CONTROL MASTER'!$S$2:$S$495))-(ROW('CONTROL MASTER'!#REF!)-1))))*(INDEX('CONTROL MASTER'!$AC$2:$AC$495,(SUMPRODUCT((('CONTROL MASTER'!$S$2:$S$495=15)*('CONTROL MASTER'!$Z$2:$Z$495&lt;=10)*('CONTROL MASTER'!$AB$2:$AB$495&gt;=10)*('CONTROL MASTER'!$AA$2:$AA$495&lt;=9)*('CONTROL MASTER'!$AC$2:$AC$495&gt;=9))*ROW('CONTROL MASTER'!$S$2:$S$495))-(ROW('CONTROL MASTER'!#REF!)-1)))-INDEX('CONTROL MASTER'!$AA$2:$AA$495,(SUMPRODUCT((('CONTROL MASTER'!$S$2:$S$495=15)*('CONTROL MASTER'!$Z$2:$Z$495&lt;=10)*('CONTROL MASTER'!$AB$2:$AB$495&gt;=10)*('CONTROL MASTER'!$AA$2:$AA$495&lt;=9)*('CONTROL MASTER'!$AC$2:$AC$495&gt;=9))*ROW('CONTROL MASTER'!$S$2:$S$495))-(ROW('CONTROL MASTER'!#REF!)-1)))+1)+(9-INDEX('CONTROL MASTER'!$AA$2:$AA$495,(SUMPRODUCT((('CONTROL MASTER'!$S$2:$S$495=15)*('CONTROL MASTER'!$Z$2:$Z$495&lt;=10)*('CONTROL MASTER'!$AB$2:$AB$495&gt;=10)*('CONTROL MASTER'!$AA$2:$AA$495&lt;=9)*('CONTROL MASTER'!$AC$2:$AC$495&gt;=9))*ROW('CONTROL MASTER'!$S$2:$S$495))-(ROW('CONTROL MASTER'!#REF!)-1))))+1)))-1)*50+1,50))&amp;"_"&amp;INDEX('CONTROL MASTER'!$P$2:$P$495,(SUMPRODUCT((('CONTROL MASTER'!$S$2:$S$495=15)*('CONTROL MASTER'!$Z$2:$Z$495&lt;=10)*('CONTROL MASTER'!$AB$2:$AB$495&gt;=10)*('CONTROL MASTER'!$AA$2:$AA$495&lt;=9)*('CONTROL MASTER'!$AC$2:$AC$495&gt;=9))*ROW('CONTROL MASTER'!$S$2:$S$495))-(ROW('CONTROL MASTER'!#REF!)-1))),"")),"")</f>
        <v/>
      </c>
      <c r="K208" s="10" t="str">
        <f>IFERROR(IF(SUMPRODUCT((('CONTROL MASTER'!$S$2:$S$495=15)*('CONTROL MASTER'!$T$2:$T$495&lt;=10)*('CONTROL MASTER'!$V$2:$V$495&gt;=10)*('CONTROL MASTER'!$U$2:$U$495&lt;=10)*('CONTROL MASTER'!$W$2:$W$495&gt;=10))*ROW('CONTROL MASTER'!$S$2:$S$495))&gt;0,INDEX('CONTROL MASTER'!$X$2:$X$495,(SUMPRODUCT((('CONTROL MASTER'!$S$2:$S$495=15)*('CONTROL MASTER'!$T$2:$T$495&lt;=10)*('CONTROL MASTER'!$V$2:$V$495&gt;=10)*('CONTROL MASTER'!$U$2:$U$495&lt;=10)*('CONTROL MASTER'!$W$2:$W$495&gt;=10))*ROW('CONTROL MASTER'!$S$2:$S$495))-(ROW('CONTROL MASTER'!#REF!)-1)))&amp;TRIM(MID(SUBSTITUTE(SUBSTITUTE(INDEX('CONTROL MASTER'!$N$2:$N$495,(SUMPRODUCT((('CONTROL MASTER'!$S$2:$S$495=15)*('CONTROL MASTER'!$T$2:$T$495&lt;=10)*('CONTROL MASTER'!$V$2:$V$495&gt;=10)*('CONTROL MASTER'!$U$2:$U$495&lt;=10)*('CONTROL MASTER'!$W$2:$W$495&gt;=10))*ROW('CONTROL MASTER'!$S$2:$S$495))-(ROW('CONTROL MASTER'!#REF!)-1))),":",","),",",REPT(" ",50)),((((10-INDEX('CONTROL MASTER'!$T$2:$T$495,(SUMPRODUCT((('CONTROL MASTER'!$S$2:$S$495=15)*('CONTROL MASTER'!$T$2:$T$495&lt;=10)*('CONTROL MASTER'!$V$2:$V$495&gt;=10)*('CONTROL MASTER'!$U$2:$U$495&lt;=10)*('CONTROL MASTER'!$W$2:$W$495&gt;=10))*ROW('CONTROL MASTER'!$S$2:$S$495))-(ROW('CONTROL MASTER'!#REF!)-1))))*(INDEX('CONTROL MASTER'!$W$2:$W$495,(SUMPRODUCT((('CONTROL MASTER'!$S$2:$S$495=15)*('CONTROL MASTER'!$T$2:$T$495&lt;=10)*('CONTROL MASTER'!$V$2:$V$495&gt;=10)*('CONTROL MASTER'!$U$2:$U$495&lt;=10)*('CONTROL MASTER'!$W$2:$W$495&gt;=10))*ROW('CONTROL MASTER'!$S$2:$S$495))-(ROW('CONTROL MASTER'!#REF!)-1)))-INDEX('CONTROL MASTER'!$U$2:$U$495,(SUMPRODUCT((('CONTROL MASTER'!$S$2:$S$495=15)*('CONTROL MASTER'!$T$2:$T$495&lt;=10)*('CONTROL MASTER'!$V$2:$V$495&gt;=10)*('CONTROL MASTER'!$U$2:$U$495&lt;=10)*('CONTROL MASTER'!$W$2:$W$495&gt;=10))*ROW('CONTROL MASTER'!$S$2:$S$495))-(ROW('CONTROL MASTER'!#REF!)-1)))+1)+(10-INDEX('CONTROL MASTER'!$U$2:$U$495,(SUMPRODUCT((('CONTROL MASTER'!$S$2:$S$495=15)*('CONTROL MASTER'!$T$2:$T$495&lt;=10)*('CONTROL MASTER'!$V$2:$V$495&gt;=10)*('CONTROL MASTER'!$U$2:$U$495&lt;=10)*('CONTROL MASTER'!$W$2:$W$495&gt;=10))*ROW('CONTROL MASTER'!$S$2:$S$495))-(ROW('CONTROL MASTER'!#REF!)-1))))+1))-1)*50+1,50))&amp;"_"&amp;INDEX('CONTROL MASTER'!$P$2:$P$495,(SUMPRODUCT((('CONTROL MASTER'!$S$2:$S$495=15)*('CONTROL MASTER'!$T$2:$T$495&lt;=10)*('CONTROL MASTER'!$V$2:$V$495&gt;=10)*('CONTROL MASTER'!$U$2:$U$495&lt;=10)*('CONTROL MASTER'!$W$2:$W$495&gt;=10))*ROW('CONTROL MASTER'!$S$2:$S$495))-(ROW('CONTROL MASTER'!#REF!)-1))),IF(SUMPRODUCT((('CONTROL MASTER'!$S$2:$S$495=15)*('CONTROL MASTER'!$Z$2:$Z$495&lt;=10)*('CONTROL MASTER'!$AB$2:$AB$495&gt;=10)*('CONTROL MASTER'!$AA$2:$AA$495&lt;=10)*('CONTROL MASTER'!$AC$2:$AC$495&gt;=10))*ROW('CONTROL MASTER'!$S$2:$S$495))&gt;0,INDEX('CONTROL MASTER'!$X$2:$X$495,(SUMPRODUCT((('CONTROL MASTER'!$S$2:$S$495=15)*('CONTROL MASTER'!$Z$2:$Z$495&lt;=10)*('CONTROL MASTER'!$AB$2:$AB$495&gt;=10)*('CONTROL MASTER'!$AA$2:$AA$495&lt;=10)*('CONTROL MASTER'!$AC$2:$AC$495&gt;=10))*ROW('CONTROL MASTER'!$S$2:$S$495))-(ROW('CONTROL MASTER'!#REF!)-1)))&amp;TRIM(MID(SUBSTITUTE(SUBSTITUTE(INDEX('CONTROL MASTER'!$N$2:$N$495,(SUMPRODUCT((('CONTROL MASTER'!$S$2:$S$495=15)*('CONTROL MASTER'!$Z$2:$Z$495&lt;=10)*('CONTROL MASTER'!$AB$2:$AB$495&gt;=10)*('CONTROL MASTER'!$AA$2:$AA$495&lt;=10)*('CONTROL MASTER'!$AC$2:$AC$495&gt;=10))*ROW('CONTROL MASTER'!$S$2:$S$495))-(ROW('CONTROL MASTER'!#REF!)-1))),":",","),",",REPT(" ",50)),(((INDEX('CONTROL MASTER'!$Y$2:$Y$495,(SUMPRODUCT((('CONTROL MASTER'!$S$2:$S$495=15)*('CONTROL MASTER'!$Z$2:$Z$495&lt;=10)*('CONTROL MASTER'!$AB$2:$AB$495&gt;=10)*('CONTROL MASTER'!$AA$2:$AA$495&lt;=10)*('CONTROL MASTER'!$AC$2:$AC$495&gt;=10))*ROW('CONTROL MASTER'!$S$2:$S$495))-(ROW('CONTROL MASTER'!#REF!)-1)))+((10-INDEX('CONTROL MASTER'!$Z$2:$Z$495,(SUMPRODUCT((('CONTROL MASTER'!$S$2:$S$495=15)*('CONTROL MASTER'!$Z$2:$Z$495&lt;=10)*('CONTROL MASTER'!$AB$2:$AB$495&gt;=10)*('CONTROL MASTER'!$AA$2:$AA$495&lt;=10)*('CONTROL MASTER'!$AC$2:$AC$495&gt;=10))*ROW('CONTROL MASTER'!$S$2:$S$495))-(ROW('CONTROL MASTER'!#REF!)-1))))*(INDEX('CONTROL MASTER'!$AC$2:$AC$495,(SUMPRODUCT((('CONTROL MASTER'!$S$2:$S$495=15)*('CONTROL MASTER'!$Z$2:$Z$495&lt;=10)*('CONTROL MASTER'!$AB$2:$AB$495&gt;=10)*('CONTROL MASTER'!$AA$2:$AA$495&lt;=10)*('CONTROL MASTER'!$AC$2:$AC$495&gt;=10))*ROW('CONTROL MASTER'!$S$2:$S$495))-(ROW('CONTROL MASTER'!#REF!)-1)))-INDEX('CONTROL MASTER'!$AA$2:$AA$495,(SUMPRODUCT((('CONTROL MASTER'!$S$2:$S$495=15)*('CONTROL MASTER'!$Z$2:$Z$495&lt;=10)*('CONTROL MASTER'!$AB$2:$AB$495&gt;=10)*('CONTROL MASTER'!$AA$2:$AA$495&lt;=10)*('CONTROL MASTER'!$AC$2:$AC$495&gt;=10))*ROW('CONTROL MASTER'!$S$2:$S$495))-(ROW('CONTROL MASTER'!#REF!)-1)))+1)+(10-INDEX('CONTROL MASTER'!$AA$2:$AA$495,(SUMPRODUCT((('CONTROL MASTER'!$S$2:$S$495=15)*('CONTROL MASTER'!$Z$2:$Z$495&lt;=10)*('CONTROL MASTER'!$AB$2:$AB$495&gt;=10)*('CONTROL MASTER'!$AA$2:$AA$495&lt;=10)*('CONTROL MASTER'!$AC$2:$AC$495&gt;=10))*ROW('CONTROL MASTER'!$S$2:$S$495))-(ROW('CONTROL MASTER'!#REF!)-1))))+1)))-1)*50+1,50))&amp;"_"&amp;INDEX('CONTROL MASTER'!$P$2:$P$495,(SUMPRODUCT((('CONTROL MASTER'!$S$2:$S$495=15)*('CONTROL MASTER'!$Z$2:$Z$495&lt;=10)*('CONTROL MASTER'!$AB$2:$AB$495&gt;=10)*('CONTROL MASTER'!$AA$2:$AA$495&lt;=10)*('CONTROL MASTER'!$AC$2:$AC$495&gt;=10))*ROW('CONTROL MASTER'!$S$2:$S$495))-(ROW('CONTROL MASTER'!#REF!)-1))),"")),"")</f>
        <v/>
      </c>
    </row>
  </sheetData>
  <mergeCells count="15">
    <mergeCell ref="A155:K155"/>
    <mergeCell ref="A183:K183"/>
    <mergeCell ref="A169:K169"/>
    <mergeCell ref="A1:K1"/>
    <mergeCell ref="A197:K197"/>
    <mergeCell ref="A141:K141"/>
    <mergeCell ref="A127:K127"/>
    <mergeCell ref="A15:K15"/>
    <mergeCell ref="A29:K29"/>
    <mergeCell ref="A43:K43"/>
    <mergeCell ref="A57:K57"/>
    <mergeCell ref="A71:K71"/>
    <mergeCell ref="A113:K113"/>
    <mergeCell ref="A85:K85"/>
    <mergeCell ref="A99:K99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70AD47"/>
  </sheetPr>
  <dimension ref="A1:J193"/>
  <sheetViews>
    <sheetView showGridLines="0" zoomScaleNormal="100" workbookViewId="0">
      <selection activeCell="C20" sqref="C20"/>
    </sheetView>
  </sheetViews>
  <sheetFormatPr defaultColWidth="8.6328125" defaultRowHeight="15" customHeight="1" x14ac:dyDescent="0.35"/>
  <cols>
    <col min="1" max="1" width="5" customWidth="1"/>
    <col min="2" max="10" width="25.6328125" customWidth="1"/>
  </cols>
  <sheetData>
    <row r="1" spans="1:10" ht="15" customHeight="1" x14ac:dyDescent="0.35">
      <c r="A1" s="12" t="s">
        <v>172</v>
      </c>
      <c r="B1" s="13"/>
      <c r="C1" s="13"/>
      <c r="D1" s="13"/>
      <c r="E1" s="13"/>
      <c r="F1" s="13"/>
      <c r="G1" s="13"/>
      <c r="H1" s="13"/>
      <c r="I1" s="13"/>
      <c r="J1" s="13"/>
    </row>
    <row r="2" spans="1:10" ht="15" customHeight="1" x14ac:dyDescent="0.35">
      <c r="B2" s="8">
        <v>1</v>
      </c>
      <c r="C2" s="8">
        <v>2</v>
      </c>
      <c r="D2" s="8">
        <v>3</v>
      </c>
      <c r="E2" s="8">
        <v>4</v>
      </c>
      <c r="F2" s="8">
        <v>5</v>
      </c>
      <c r="G2" s="8">
        <v>6</v>
      </c>
      <c r="H2" s="8">
        <v>7</v>
      </c>
      <c r="I2" s="8">
        <v>8</v>
      </c>
      <c r="J2" s="8">
        <v>9</v>
      </c>
    </row>
    <row r="3" spans="1:10" ht="15" customHeight="1" x14ac:dyDescent="0.35">
      <c r="A3" s="8" t="s">
        <v>28</v>
      </c>
      <c r="B3" s="9" t="str">
        <f>IFERROR(INDEX('CONTROL MASTER'!$R$2:$R$495,MATCH("Control WB Box 1: A1",'CONTROL MASTER'!$J$2:$J$495,0)),"")</f>
        <v/>
      </c>
      <c r="C3" s="9" t="str">
        <f>IFERROR(INDEX('CONTROL MASTER'!$R$2:$R$495,MATCH("Control WB Box 1: A2",'CONTROL MASTER'!$J$2:$J$495,0)),"")</f>
        <v/>
      </c>
      <c r="D3" s="9" t="str">
        <f>IFERROR(INDEX('CONTROL MASTER'!$R$2:$R$495,MATCH("Control WB Box 1: A3",'CONTROL MASTER'!$J$2:$J$495,0)),"")</f>
        <v/>
      </c>
      <c r="E3" s="9" t="str">
        <f>IFERROR(INDEX('CONTROL MASTER'!$R$2:$R$495,MATCH("Control WB Box 1: A4",'CONTROL MASTER'!$J$2:$J$495,0)),"")</f>
        <v/>
      </c>
      <c r="F3" s="9" t="str">
        <f>IFERROR(INDEX('CONTROL MASTER'!$R$2:$R$495,MATCH("Control WB Box 1: A5",'CONTROL MASTER'!$J$2:$J$495,0)),"")</f>
        <v/>
      </c>
      <c r="G3" s="9" t="str">
        <f>IFERROR(INDEX('CONTROL MASTER'!$R$2:$R$495,MATCH("Control WB Box 1: A6",'CONTROL MASTER'!$J$2:$J$495,0)),"")</f>
        <v/>
      </c>
      <c r="H3" s="9" t="str">
        <f>IFERROR(INDEX('CONTROL MASTER'!$R$2:$R$495,MATCH("Control WB Box 1: A7",'CONTROL MASTER'!$J$2:$J$495,0)),"")</f>
        <v/>
      </c>
      <c r="I3" s="9" t="str">
        <f>IFERROR(INDEX('CONTROL MASTER'!$R$2:$R$495,MATCH("Control WB Box 1: A8",'CONTROL MASTER'!$J$2:$J$495,0)),"")</f>
        <v/>
      </c>
      <c r="J3" s="9" t="str">
        <f>IFERROR(INDEX('CONTROL MASTER'!$R$2:$R$495,MATCH("Control WB Box 1: A9",'CONTROL MASTER'!$J$2:$J$495,0)),"")</f>
        <v/>
      </c>
    </row>
    <row r="4" spans="1:10" ht="15" customHeight="1" x14ac:dyDescent="0.35">
      <c r="A4" s="8" t="s">
        <v>29</v>
      </c>
      <c r="B4" s="9" t="str">
        <f>IFERROR(INDEX('CONTROL MASTER'!$R$2:$R$495,MATCH("Control WB Box 1: B1",'CONTROL MASTER'!$J$2:$J$495,0)),"")</f>
        <v/>
      </c>
      <c r="C4" s="9" t="str">
        <f>IFERROR(INDEX('CONTROL MASTER'!$R$2:$R$495,MATCH("Control WB Box 1: B2",'CONTROL MASTER'!$J$2:$J$495,0)),"")</f>
        <v/>
      </c>
      <c r="D4" s="9" t="str">
        <f>IFERROR(INDEX('CONTROL MASTER'!$R$2:$R$495,MATCH("Control WB Box 1: B3",'CONTROL MASTER'!$J$2:$J$495,0)),"")</f>
        <v/>
      </c>
      <c r="E4" s="9" t="str">
        <f>IFERROR(INDEX('CONTROL MASTER'!$R$2:$R$495,MATCH("Control WB Box 1: B4",'CONTROL MASTER'!$J$2:$J$495,0)),"")</f>
        <v/>
      </c>
      <c r="F4" s="9" t="str">
        <f>IFERROR(INDEX('CONTROL MASTER'!$R$2:$R$495,MATCH("Control WB Box 1: B5",'CONTROL MASTER'!$J$2:$J$495,0)),"")</f>
        <v/>
      </c>
      <c r="G4" s="9" t="str">
        <f>IFERROR(INDEX('CONTROL MASTER'!$R$2:$R$495,MATCH("Control WB Box 1: B6",'CONTROL MASTER'!$J$2:$J$495,0)),"")</f>
        <v/>
      </c>
      <c r="H4" s="9" t="str">
        <f>IFERROR(INDEX('CONTROL MASTER'!$R$2:$R$495,MATCH("Control WB Box 1: B7",'CONTROL MASTER'!$J$2:$J$495,0)),"")</f>
        <v/>
      </c>
      <c r="I4" s="9" t="str">
        <f>IFERROR(INDEX('CONTROL MASTER'!$R$2:$R$495,MATCH("Control WB Box 1: B8",'CONTROL MASTER'!$J$2:$J$495,0)),"")</f>
        <v/>
      </c>
      <c r="J4" s="9" t="str">
        <f>IFERROR(INDEX('CONTROL MASTER'!$R$2:$R$495,MATCH("Control WB Box 1: B9",'CONTROL MASTER'!$J$2:$J$495,0)),"")</f>
        <v/>
      </c>
    </row>
    <row r="5" spans="1:10" ht="15" customHeight="1" x14ac:dyDescent="0.35">
      <c r="A5" s="8" t="s">
        <v>30</v>
      </c>
      <c r="B5" s="9" t="str">
        <f>IFERROR(INDEX('CONTROL MASTER'!$R$2:$R$495,MATCH("Control WB Box 1: C1",'CONTROL MASTER'!$J$2:$J$495,0)),"")</f>
        <v/>
      </c>
      <c r="C5" s="9" t="str">
        <f>IFERROR(INDEX('CONTROL MASTER'!$R$2:$R$495,MATCH("Control WB Box 1: C2",'CONTROL MASTER'!$J$2:$J$495,0)),"")</f>
        <v/>
      </c>
      <c r="D5" s="9" t="str">
        <f>IFERROR(INDEX('CONTROL MASTER'!$R$2:$R$495,MATCH("Control WB Box 1: C3",'CONTROL MASTER'!$J$2:$J$495,0)),"")</f>
        <v/>
      </c>
      <c r="E5" s="9" t="str">
        <f>IFERROR(INDEX('CONTROL MASTER'!$R$2:$R$495,MATCH("Control WB Box 1: C4",'CONTROL MASTER'!$J$2:$J$495,0)),"")</f>
        <v/>
      </c>
      <c r="F5" s="9" t="str">
        <f>IFERROR(INDEX('CONTROL MASTER'!$R$2:$R$495,MATCH("Control WB Box 1: C5",'CONTROL MASTER'!$J$2:$J$495,0)),"")</f>
        <v/>
      </c>
      <c r="G5" s="9" t="str">
        <f>IFERROR(INDEX('CONTROL MASTER'!$R$2:$R$495,MATCH("Control WB Box 1: C6",'CONTROL MASTER'!$J$2:$J$495,0)),"")</f>
        <v/>
      </c>
      <c r="H5" s="9" t="str">
        <f>IFERROR(INDEX('CONTROL MASTER'!$R$2:$R$495,MATCH("Control WB Box 1: C7",'CONTROL MASTER'!$J$2:$J$495,0)),"")</f>
        <v/>
      </c>
      <c r="I5" s="9" t="str">
        <f>IFERROR(INDEX('CONTROL MASTER'!$R$2:$R$495,MATCH("Control WB Box 1: C8",'CONTROL MASTER'!$J$2:$J$495,0)),"")</f>
        <v/>
      </c>
      <c r="J5" s="9" t="str">
        <f>IFERROR(INDEX('CONTROL MASTER'!$R$2:$R$495,MATCH("Control WB Box 1: C9",'CONTROL MASTER'!$J$2:$J$495,0)),"")</f>
        <v/>
      </c>
    </row>
    <row r="6" spans="1:10" ht="15" customHeight="1" x14ac:dyDescent="0.35">
      <c r="A6" s="8" t="s">
        <v>31</v>
      </c>
      <c r="B6" s="9" t="str">
        <f>IFERROR(INDEX('CONTROL MASTER'!$R$2:$R$495,MATCH("Control WB Box 1: D1",'CONTROL MASTER'!$J$2:$J$495,0)),"")</f>
        <v/>
      </c>
      <c r="C6" s="9" t="str">
        <f>IFERROR(INDEX('CONTROL MASTER'!$R$2:$R$495,MATCH("Control WB Box 1: D2",'CONTROL MASTER'!$J$2:$J$495,0)),"")</f>
        <v/>
      </c>
      <c r="D6" s="9" t="str">
        <f>IFERROR(INDEX('CONTROL MASTER'!$R$2:$R$495,MATCH("Control WB Box 1: D3",'CONTROL MASTER'!$J$2:$J$495,0)),"")</f>
        <v/>
      </c>
      <c r="E6" s="9" t="str">
        <f>IFERROR(INDEX('CONTROL MASTER'!$R$2:$R$495,MATCH("Control WB Box 1: D4",'CONTROL MASTER'!$J$2:$J$495,0)),"")</f>
        <v/>
      </c>
      <c r="F6" s="9" t="str">
        <f>IFERROR(INDEX('CONTROL MASTER'!$R$2:$R$495,MATCH("Control WB Box 1: D5",'CONTROL MASTER'!$J$2:$J$495,0)),"")</f>
        <v/>
      </c>
      <c r="G6" s="9" t="str">
        <f>IFERROR(INDEX('CONTROL MASTER'!$R$2:$R$495,MATCH("Control WB Box 1: D6",'CONTROL MASTER'!$J$2:$J$495,0)),"")</f>
        <v/>
      </c>
      <c r="H6" s="9" t="str">
        <f>IFERROR(INDEX('CONTROL MASTER'!$R$2:$R$495,MATCH("Control WB Box 1: D7",'CONTROL MASTER'!$J$2:$J$495,0)),"")</f>
        <v/>
      </c>
      <c r="I6" s="9" t="str">
        <f>IFERROR(INDEX('CONTROL MASTER'!$R$2:$R$495,MATCH("Control WB Box 1: D8",'CONTROL MASTER'!$J$2:$J$495,0)),"")</f>
        <v/>
      </c>
      <c r="J6" s="9" t="str">
        <f>IFERROR(INDEX('CONTROL MASTER'!$R$2:$R$495,MATCH("Control WB Box 1: D9",'CONTROL MASTER'!$J$2:$J$495,0)),"")</f>
        <v/>
      </c>
    </row>
    <row r="7" spans="1:10" ht="15" customHeight="1" x14ac:dyDescent="0.35">
      <c r="A7" s="8" t="s">
        <v>32</v>
      </c>
      <c r="B7" s="9" t="str">
        <f>IFERROR(INDEX('CONTROL MASTER'!$R$2:$R$495,MATCH("Control WB Box 1: E1",'CONTROL MASTER'!$J$2:$J$495,0)),"")</f>
        <v/>
      </c>
      <c r="C7" s="9" t="str">
        <f>IFERROR(INDEX('CONTROL MASTER'!$R$2:$R$495,MATCH("Control WB Box 1: E2",'CONTROL MASTER'!$J$2:$J$495,0)),"")</f>
        <v/>
      </c>
      <c r="D7" s="9" t="str">
        <f>IFERROR(INDEX('CONTROL MASTER'!$R$2:$R$495,MATCH("Control WB Box 1: E3",'CONTROL MASTER'!$J$2:$J$495,0)),"")</f>
        <v/>
      </c>
      <c r="E7" s="9" t="str">
        <f>IFERROR(INDEX('CONTROL MASTER'!$R$2:$R$495,MATCH("Control WB Box 1: E4",'CONTROL MASTER'!$J$2:$J$495,0)),"")</f>
        <v/>
      </c>
      <c r="F7" s="9" t="str">
        <f>IFERROR(INDEX('CONTROL MASTER'!$R$2:$R$495,MATCH("Control WB Box 1: E5",'CONTROL MASTER'!$J$2:$J$495,0)),"")</f>
        <v/>
      </c>
      <c r="G7" s="9" t="str">
        <f>IFERROR(INDEX('CONTROL MASTER'!$R$2:$R$495,MATCH("Control WB Box 1: E6",'CONTROL MASTER'!$J$2:$J$495,0)),"")</f>
        <v/>
      </c>
      <c r="H7" s="9" t="str">
        <f>IFERROR(INDEX('CONTROL MASTER'!$R$2:$R$495,MATCH("Control WB Box 1: E7",'CONTROL MASTER'!$J$2:$J$495,0)),"")</f>
        <v/>
      </c>
      <c r="I7" s="9" t="str">
        <f>IFERROR(INDEX('CONTROL MASTER'!$R$2:$R$495,MATCH("Control WB Box 1: E8",'CONTROL MASTER'!$J$2:$J$495,0)),"")</f>
        <v/>
      </c>
      <c r="J7" s="9" t="str">
        <f>IFERROR(INDEX('CONTROL MASTER'!$R$2:$R$495,MATCH("Control WB Box 1: E9",'CONTROL MASTER'!$J$2:$J$495,0)),"")</f>
        <v/>
      </c>
    </row>
    <row r="8" spans="1:10" ht="15" customHeight="1" x14ac:dyDescent="0.35">
      <c r="A8" s="8" t="s">
        <v>33</v>
      </c>
      <c r="B8" s="9" t="str">
        <f>IFERROR(INDEX('CONTROL MASTER'!$R$2:$R$495,MATCH("Control WB Box 1: F1",'CONTROL MASTER'!$J$2:$J$495,0)),"")</f>
        <v/>
      </c>
      <c r="C8" s="9" t="str">
        <f>IFERROR(INDEX('CONTROL MASTER'!$R$2:$R$495,MATCH("Control WB Box 1: F2",'CONTROL MASTER'!$J$2:$J$495,0)),"")</f>
        <v/>
      </c>
      <c r="D8" s="9" t="str">
        <f>IFERROR(INDEX('CONTROL MASTER'!$R$2:$R$495,MATCH("Control WB Box 1: F3",'CONTROL MASTER'!$J$2:$J$495,0)),"")</f>
        <v/>
      </c>
      <c r="E8" s="9" t="str">
        <f>IFERROR(INDEX('CONTROL MASTER'!$R$2:$R$495,MATCH("Control WB Box 1: F4",'CONTROL MASTER'!$J$2:$J$495,0)),"")</f>
        <v/>
      </c>
      <c r="F8" s="9" t="str">
        <f>IFERROR(INDEX('CONTROL MASTER'!$R$2:$R$495,MATCH("Control WB Box 1: F5",'CONTROL MASTER'!$J$2:$J$495,0)),"")</f>
        <v/>
      </c>
      <c r="G8" s="9" t="str">
        <f>IFERROR(INDEX('CONTROL MASTER'!$R$2:$R$495,MATCH("Control WB Box 1: F6",'CONTROL MASTER'!$J$2:$J$495,0)),"")</f>
        <v/>
      </c>
      <c r="H8" s="9" t="str">
        <f>IFERROR(INDEX('CONTROL MASTER'!$R$2:$R$495,MATCH("Control WB Box 1: F7",'CONTROL MASTER'!$J$2:$J$495,0)),"")</f>
        <v/>
      </c>
      <c r="I8" s="9" t="str">
        <f>IFERROR(INDEX('CONTROL MASTER'!$R$2:$R$495,MATCH("Control WB Box 1: F8",'CONTROL MASTER'!$J$2:$J$495,0)),"")</f>
        <v/>
      </c>
      <c r="J8" s="9" t="str">
        <f>IFERROR(INDEX('CONTROL MASTER'!$R$2:$R$495,MATCH("Control WB Box 1: F9",'CONTROL MASTER'!$J$2:$J$495,0)),"")</f>
        <v/>
      </c>
    </row>
    <row r="9" spans="1:10" ht="15" customHeight="1" x14ac:dyDescent="0.35">
      <c r="A9" s="8" t="s">
        <v>34</v>
      </c>
      <c r="B9" s="9" t="str">
        <f>IFERROR(INDEX('CONTROL MASTER'!$R$2:$R$495,MATCH("Control WB Box 1: G1",'CONTROL MASTER'!$J$2:$J$495,0)),"")</f>
        <v/>
      </c>
      <c r="C9" s="9" t="str">
        <f>IFERROR(INDEX('CONTROL MASTER'!$R$2:$R$495,MATCH("Control WB Box 1: G2",'CONTROL MASTER'!$J$2:$J$495,0)),"")</f>
        <v/>
      </c>
      <c r="D9" s="9" t="str">
        <f>IFERROR(INDEX('CONTROL MASTER'!$R$2:$R$495,MATCH("Control WB Box 1: G3",'CONTROL MASTER'!$J$2:$J$495,0)),"")</f>
        <v/>
      </c>
      <c r="E9" s="9" t="str">
        <f>IFERROR(INDEX('CONTROL MASTER'!$R$2:$R$495,MATCH("Control WB Box 1: G4",'CONTROL MASTER'!$J$2:$J$495,0)),"")</f>
        <v/>
      </c>
      <c r="F9" s="9" t="str">
        <f>IFERROR(INDEX('CONTROL MASTER'!$R$2:$R$495,MATCH("Control WB Box 1: G5",'CONTROL MASTER'!$J$2:$J$495,0)),"")</f>
        <v/>
      </c>
      <c r="G9" s="9" t="str">
        <f>IFERROR(INDEX('CONTROL MASTER'!$R$2:$R$495,MATCH("Control WB Box 1: G6",'CONTROL MASTER'!$J$2:$J$495,0)),"")</f>
        <v/>
      </c>
      <c r="H9" s="9" t="str">
        <f>IFERROR(INDEX('CONTROL MASTER'!$R$2:$R$495,MATCH("Control WB Box 1: G7",'CONTROL MASTER'!$J$2:$J$495,0)),"")</f>
        <v/>
      </c>
      <c r="I9" s="9" t="str">
        <f>IFERROR(INDEX('CONTROL MASTER'!$R$2:$R$495,MATCH("Control WB Box 1: G8",'CONTROL MASTER'!$J$2:$J$495,0)),"")</f>
        <v/>
      </c>
      <c r="J9" s="9" t="str">
        <f>IFERROR(INDEX('CONTROL MASTER'!$R$2:$R$495,MATCH("Control WB Box 1: G9",'CONTROL MASTER'!$J$2:$J$495,0)),"")</f>
        <v/>
      </c>
    </row>
    <row r="10" spans="1:10" ht="15" customHeight="1" x14ac:dyDescent="0.35">
      <c r="A10" s="8" t="s">
        <v>35</v>
      </c>
      <c r="B10" s="9" t="str">
        <f>IFERROR(INDEX('CONTROL MASTER'!$R$2:$R$495,MATCH("Control WB Box 1: H1",'CONTROL MASTER'!$J$2:$J$495,0)),"")</f>
        <v/>
      </c>
      <c r="C10" s="9" t="str">
        <f>IFERROR(INDEX('CONTROL MASTER'!$R$2:$R$495,MATCH("Control WB Box 1: H2",'CONTROL MASTER'!$J$2:$J$495,0)),"")</f>
        <v/>
      </c>
      <c r="D10" s="9" t="str">
        <f>IFERROR(INDEX('CONTROL MASTER'!$R$2:$R$495,MATCH("Control WB Box 1: H3",'CONTROL MASTER'!$J$2:$J$495,0)),"")</f>
        <v/>
      </c>
      <c r="E10" s="9" t="str">
        <f>IFERROR(INDEX('CONTROL MASTER'!$R$2:$R$495,MATCH("Control WB Box 1: H4",'CONTROL MASTER'!$J$2:$J$495,0)),"")</f>
        <v/>
      </c>
      <c r="F10" s="9" t="str">
        <f>IFERROR(INDEX('CONTROL MASTER'!$R$2:$R$495,MATCH("Control WB Box 1: H5",'CONTROL MASTER'!$J$2:$J$495,0)),"")</f>
        <v/>
      </c>
      <c r="G10" s="9" t="str">
        <f>IFERROR(INDEX('CONTROL MASTER'!$R$2:$R$495,MATCH("Control WB Box 1: H6",'CONTROL MASTER'!$J$2:$J$495,0)),"")</f>
        <v/>
      </c>
      <c r="H10" s="9" t="str">
        <f>IFERROR(INDEX('CONTROL MASTER'!$R$2:$R$495,MATCH("Control WB Box 1: H7",'CONTROL MASTER'!$J$2:$J$495,0)),"")</f>
        <v/>
      </c>
      <c r="I10" s="9" t="str">
        <f>IFERROR(INDEX('CONTROL MASTER'!$R$2:$R$495,MATCH("Control WB Box 1: H8",'CONTROL MASTER'!$J$2:$J$495,0)),"")</f>
        <v/>
      </c>
      <c r="J10" s="9" t="str">
        <f>IFERROR(INDEX('CONTROL MASTER'!$R$2:$R$495,MATCH("Control WB Box 1: H9",'CONTROL MASTER'!$J$2:$J$495,0)),"")</f>
        <v/>
      </c>
    </row>
    <row r="11" spans="1:10" ht="15" customHeight="1" x14ac:dyDescent="0.35">
      <c r="A11" s="8" t="s">
        <v>81</v>
      </c>
      <c r="B11" s="9" t="str">
        <f>IFERROR(INDEX('CONTROL MASTER'!$R$2:$R$495,MATCH("Control WB Box 1: I1",'CONTROL MASTER'!$J$2:$J$495,0)),"")</f>
        <v/>
      </c>
      <c r="C11" s="9" t="str">
        <f>IFERROR(INDEX('CONTROL MASTER'!$R$2:$R$495,MATCH("Control WB Box 1: I2",'CONTROL MASTER'!$J$2:$J$495,0)),"")</f>
        <v/>
      </c>
      <c r="D11" s="9" t="str">
        <f>IFERROR(INDEX('CONTROL MASTER'!$R$2:$R$495,MATCH("Control WB Box 1: I3",'CONTROL MASTER'!$J$2:$J$495,0)),"")</f>
        <v/>
      </c>
      <c r="E11" s="9" t="str">
        <f>IFERROR(INDEX('CONTROL MASTER'!$R$2:$R$495,MATCH("Control WB Box 1: I4",'CONTROL MASTER'!$J$2:$J$495,0)),"")</f>
        <v/>
      </c>
      <c r="F11" s="9" t="str">
        <f>IFERROR(INDEX('CONTROL MASTER'!$R$2:$R$495,MATCH("Control WB Box 1: I5",'CONTROL MASTER'!$J$2:$J$495,0)),"")</f>
        <v/>
      </c>
      <c r="G11" s="9" t="str">
        <f>IFERROR(INDEX('CONTROL MASTER'!$R$2:$R$495,MATCH("Control WB Box 1: I6",'CONTROL MASTER'!$J$2:$J$495,0)),"")</f>
        <v/>
      </c>
      <c r="H11" s="9" t="str">
        <f>IFERROR(INDEX('CONTROL MASTER'!$R$2:$R$495,MATCH("Control WB Box 1: I7",'CONTROL MASTER'!$J$2:$J$495,0)),"")</f>
        <v/>
      </c>
      <c r="I11" s="9" t="str">
        <f>IFERROR(INDEX('CONTROL MASTER'!$R$2:$R$495,MATCH("Control WB Box 1: I8",'CONTROL MASTER'!$J$2:$J$495,0)),"")</f>
        <v/>
      </c>
      <c r="J11" s="9" t="str">
        <f>IFERROR(INDEX('CONTROL MASTER'!$R$2:$R$495,MATCH("Control WB Box 1: I9",'CONTROL MASTER'!$J$2:$J$495,0)),"")</f>
        <v/>
      </c>
    </row>
    <row r="14" spans="1:10" ht="15" customHeight="1" x14ac:dyDescent="0.35">
      <c r="A14" s="12" t="s">
        <v>173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ht="15" customHeight="1" x14ac:dyDescent="0.35">
      <c r="B15" s="8">
        <v>1</v>
      </c>
      <c r="C15" s="8">
        <v>2</v>
      </c>
      <c r="D15" s="8">
        <v>3</v>
      </c>
      <c r="E15" s="8">
        <v>4</v>
      </c>
      <c r="F15" s="8">
        <v>5</v>
      </c>
      <c r="G15" s="8">
        <v>6</v>
      </c>
      <c r="H15" s="8">
        <v>7</v>
      </c>
      <c r="I15" s="8">
        <v>8</v>
      </c>
      <c r="J15" s="8">
        <v>9</v>
      </c>
    </row>
    <row r="16" spans="1:10" ht="15" customHeight="1" x14ac:dyDescent="0.35">
      <c r="A16" s="8" t="s">
        <v>28</v>
      </c>
      <c r="B16" s="9" t="str">
        <f>IFERROR(INDEX('CONTROL MASTER'!$R$2:$R$495,MATCH("Control WB Box 2: A1",'CONTROL MASTER'!$J$2:$J$495,0)),"")</f>
        <v/>
      </c>
      <c r="C16" s="9" t="str">
        <f>IFERROR(INDEX('CONTROL MASTER'!$R$2:$R$495,MATCH("Control WB Box 2: A2",'CONTROL MASTER'!$J$2:$J$495,0)),"")</f>
        <v/>
      </c>
      <c r="D16" s="9" t="str">
        <f>IFERROR(INDEX('CONTROL MASTER'!$R$2:$R$495,MATCH("Control WB Box 2: A3",'CONTROL MASTER'!$J$2:$J$495,0)),"")</f>
        <v/>
      </c>
      <c r="E16" s="9" t="str">
        <f>IFERROR(INDEX('CONTROL MASTER'!$R$2:$R$495,MATCH("Control WB Box 2: A4",'CONTROL MASTER'!$J$2:$J$495,0)),"")</f>
        <v/>
      </c>
      <c r="F16" s="9" t="str">
        <f>IFERROR(INDEX('CONTROL MASTER'!$R$2:$R$495,MATCH("Control WB Box 2: A5",'CONTROL MASTER'!$J$2:$J$495,0)),"")</f>
        <v/>
      </c>
      <c r="G16" s="9" t="str">
        <f>IFERROR(INDEX('CONTROL MASTER'!$R$2:$R$495,MATCH("Control WB Box 2: A6",'CONTROL MASTER'!$J$2:$J$495,0)),"")</f>
        <v/>
      </c>
      <c r="H16" s="9" t="str">
        <f>IFERROR(INDEX('CONTROL MASTER'!$R$2:$R$495,MATCH("Control WB Box 2: A7",'CONTROL MASTER'!$J$2:$J$495,0)),"")</f>
        <v/>
      </c>
      <c r="I16" s="9" t="str">
        <f>IFERROR(INDEX('CONTROL MASTER'!$R$2:$R$495,MATCH("Control WB Box 2: A8",'CONTROL MASTER'!$J$2:$J$495,0)),"")</f>
        <v/>
      </c>
      <c r="J16" s="9" t="str">
        <f>IFERROR(INDEX('CONTROL MASTER'!$R$2:$R$495,MATCH("Control WB Box 2: A9",'CONTROL MASTER'!$J$2:$J$495,0)),"")</f>
        <v/>
      </c>
    </row>
    <row r="17" spans="1:10" ht="15" customHeight="1" x14ac:dyDescent="0.35">
      <c r="A17" s="8" t="s">
        <v>29</v>
      </c>
      <c r="B17" s="9" t="str">
        <f>IFERROR(INDEX('CONTROL MASTER'!$R$2:$R$495,MATCH("Control WB Box 2: B1",'CONTROL MASTER'!$J$2:$J$495,0)),"")</f>
        <v/>
      </c>
      <c r="C17" s="9" t="str">
        <f>IFERROR(INDEX('CONTROL MASTER'!$R$2:$R$495,MATCH("Control WB Box 2: B2",'CONTROL MASTER'!$J$2:$J$495,0)),"")</f>
        <v/>
      </c>
      <c r="D17" s="9" t="str">
        <f>IFERROR(INDEX('CONTROL MASTER'!$R$2:$R$495,MATCH("Control WB Box 2: B3",'CONTROL MASTER'!$J$2:$J$495,0)),"")</f>
        <v/>
      </c>
      <c r="E17" s="9" t="str">
        <f>IFERROR(INDEX('CONTROL MASTER'!$R$2:$R$495,MATCH("Control WB Box 2: B4",'CONTROL MASTER'!$J$2:$J$495,0)),"")</f>
        <v/>
      </c>
      <c r="F17" s="9" t="str">
        <f>IFERROR(INDEX('CONTROL MASTER'!$R$2:$R$495,MATCH("Control WB Box 2: B5",'CONTROL MASTER'!$J$2:$J$495,0)),"")</f>
        <v/>
      </c>
      <c r="G17" s="9" t="str">
        <f>IFERROR(INDEX('CONTROL MASTER'!$R$2:$R$495,MATCH("Control WB Box 2: B6",'CONTROL MASTER'!$J$2:$J$495,0)),"")</f>
        <v/>
      </c>
      <c r="H17" s="9" t="str">
        <f>IFERROR(INDEX('CONTROL MASTER'!$R$2:$R$495,MATCH("Control WB Box 2: B7",'CONTROL MASTER'!$J$2:$J$495,0)),"")</f>
        <v/>
      </c>
      <c r="I17" s="9" t="str">
        <f>IFERROR(INDEX('CONTROL MASTER'!$R$2:$R$495,MATCH("Control WB Box 2: B8",'CONTROL MASTER'!$J$2:$J$495,0)),"")</f>
        <v/>
      </c>
      <c r="J17" s="9" t="str">
        <f>IFERROR(INDEX('CONTROL MASTER'!$R$2:$R$495,MATCH("Control WB Box 2: B9",'CONTROL MASTER'!$J$2:$J$495,0)),"")</f>
        <v/>
      </c>
    </row>
    <row r="18" spans="1:10" ht="15" customHeight="1" x14ac:dyDescent="0.35">
      <c r="A18" s="8" t="s">
        <v>30</v>
      </c>
      <c r="B18" s="9" t="str">
        <f>IFERROR(INDEX('CONTROL MASTER'!$R$2:$R$495,MATCH("Control WB Box 2: C1",'CONTROL MASTER'!$J$2:$J$495,0)),"")</f>
        <v/>
      </c>
      <c r="C18" s="9" t="str">
        <f>IFERROR(INDEX('CONTROL MASTER'!$R$2:$R$495,MATCH("Control WB Box 2: C2",'CONTROL MASTER'!$J$2:$J$495,0)),"")</f>
        <v/>
      </c>
      <c r="D18" s="9" t="str">
        <f>IFERROR(INDEX('CONTROL MASTER'!$R$2:$R$495,MATCH("Control WB Box 2: C3",'CONTROL MASTER'!$J$2:$J$495,0)),"")</f>
        <v/>
      </c>
      <c r="E18" s="9" t="str">
        <f>IFERROR(INDEX('CONTROL MASTER'!$R$2:$R$495,MATCH("Control WB Box 2: C4",'CONTROL MASTER'!$J$2:$J$495,0)),"")</f>
        <v/>
      </c>
      <c r="F18" s="9" t="str">
        <f>IFERROR(INDEX('CONTROL MASTER'!$R$2:$R$495,MATCH("Control WB Box 2: C5",'CONTROL MASTER'!$J$2:$J$495,0)),"")</f>
        <v/>
      </c>
      <c r="G18" s="9" t="str">
        <f>IFERROR(INDEX('CONTROL MASTER'!$R$2:$R$495,MATCH("Control WB Box 2: C6",'CONTROL MASTER'!$J$2:$J$495,0)),"")</f>
        <v/>
      </c>
      <c r="H18" s="9" t="str">
        <f>IFERROR(INDEX('CONTROL MASTER'!$R$2:$R$495,MATCH("Control WB Box 2: C7",'CONTROL MASTER'!$J$2:$J$495,0)),"")</f>
        <v/>
      </c>
      <c r="I18" s="9" t="str">
        <f>IFERROR(INDEX('CONTROL MASTER'!$R$2:$R$495,MATCH("Control WB Box 2: C8",'CONTROL MASTER'!$J$2:$J$495,0)),"")</f>
        <v/>
      </c>
      <c r="J18" s="9" t="str">
        <f>IFERROR(INDEX('CONTROL MASTER'!$R$2:$R$495,MATCH("Control WB Box 2: C9",'CONTROL MASTER'!$J$2:$J$495,0)),"")</f>
        <v/>
      </c>
    </row>
    <row r="19" spans="1:10" ht="15" customHeight="1" x14ac:dyDescent="0.35">
      <c r="A19" s="8" t="s">
        <v>31</v>
      </c>
      <c r="B19" s="9" t="str">
        <f>IFERROR(INDEX('CONTROL MASTER'!$R$2:$R$495,MATCH("Control WB Box 2: D1",'CONTROL MASTER'!$J$2:$J$495,0)),"")</f>
        <v/>
      </c>
      <c r="C19" s="9" t="str">
        <f>IFERROR(INDEX('CONTROL MASTER'!$R$2:$R$495,MATCH("Control WB Box 2: D2",'CONTROL MASTER'!$J$2:$J$495,0)),"")</f>
        <v/>
      </c>
      <c r="D19" s="9" t="str">
        <f>IFERROR(INDEX('CONTROL MASTER'!$R$2:$R$495,MATCH("Control WB Box 2: D3",'CONTROL MASTER'!$J$2:$J$495,0)),"")</f>
        <v/>
      </c>
      <c r="E19" s="9" t="str">
        <f>IFERROR(INDEX('CONTROL MASTER'!$R$2:$R$495,MATCH("Control WB Box 2: D4",'CONTROL MASTER'!$J$2:$J$495,0)),"")</f>
        <v/>
      </c>
      <c r="F19" s="9" t="str">
        <f>IFERROR(INDEX('CONTROL MASTER'!$R$2:$R$495,MATCH("Control WB Box 2: D5",'CONTROL MASTER'!$J$2:$J$495,0)),"")</f>
        <v/>
      </c>
      <c r="G19" s="9" t="str">
        <f>IFERROR(INDEX('CONTROL MASTER'!$R$2:$R$495,MATCH("Control WB Box 2: D6",'CONTROL MASTER'!$J$2:$J$495,0)),"")</f>
        <v/>
      </c>
      <c r="H19" s="9" t="str">
        <f>IFERROR(INDEX('CONTROL MASTER'!$R$2:$R$495,MATCH("Control WB Box 2: D7",'CONTROL MASTER'!$J$2:$J$495,0)),"")</f>
        <v/>
      </c>
      <c r="I19" s="9" t="str">
        <f>IFERROR(INDEX('CONTROL MASTER'!$R$2:$R$495,MATCH("Control WB Box 2: D8",'CONTROL MASTER'!$J$2:$J$495,0)),"")</f>
        <v/>
      </c>
      <c r="J19" s="9" t="str">
        <f>IFERROR(INDEX('CONTROL MASTER'!$R$2:$R$495,MATCH("Control WB Box 2: D9",'CONTROL MASTER'!$J$2:$J$495,0)),"")</f>
        <v/>
      </c>
    </row>
    <row r="20" spans="1:10" ht="15" customHeight="1" x14ac:dyDescent="0.35">
      <c r="A20" s="8" t="s">
        <v>32</v>
      </c>
      <c r="B20" s="9" t="str">
        <f>IFERROR(INDEX('CONTROL MASTER'!$R$2:$R$495,MATCH("Control WB Box 2: E1",'CONTROL MASTER'!$J$2:$J$495,0)),"")</f>
        <v/>
      </c>
      <c r="C20" s="9" t="str">
        <f>IFERROR(INDEX('CONTROL MASTER'!$R$2:$R$495,MATCH("Control WB Box 2: E2",'CONTROL MASTER'!$J$2:$J$495,0)),"")</f>
        <v/>
      </c>
      <c r="D20" s="9" t="str">
        <f>IFERROR(INDEX('CONTROL MASTER'!$R$2:$R$495,MATCH("Control WB Box 2: E3",'CONTROL MASTER'!$J$2:$J$495,0)),"")</f>
        <v/>
      </c>
      <c r="E20" s="9" t="str">
        <f>IFERROR(INDEX('CONTROL MASTER'!$R$2:$R$495,MATCH("Control WB Box 2: E4",'CONTROL MASTER'!$J$2:$J$495,0)),"")</f>
        <v/>
      </c>
      <c r="F20" s="9" t="str">
        <f>IFERROR(INDEX('CONTROL MASTER'!$R$2:$R$495,MATCH("Control WB Box 2: E5",'CONTROL MASTER'!$J$2:$J$495,0)),"")</f>
        <v/>
      </c>
      <c r="G20" s="9" t="str">
        <f>IFERROR(INDEX('CONTROL MASTER'!$R$2:$R$495,MATCH("Control WB Box 2: E6",'CONTROL MASTER'!$J$2:$J$495,0)),"")</f>
        <v/>
      </c>
      <c r="H20" s="9" t="str">
        <f>IFERROR(INDEX('CONTROL MASTER'!$R$2:$R$495,MATCH("Control WB Box 2: E7",'CONTROL MASTER'!$J$2:$J$495,0)),"")</f>
        <v/>
      </c>
      <c r="I20" s="9" t="str">
        <f>IFERROR(INDEX('CONTROL MASTER'!$R$2:$R$495,MATCH("Control WB Box 2: E8",'CONTROL MASTER'!$J$2:$J$495,0)),"")</f>
        <v/>
      </c>
      <c r="J20" s="9" t="str">
        <f>IFERROR(INDEX('CONTROL MASTER'!$R$2:$R$495,MATCH("Control WB Box 2: E9",'CONTROL MASTER'!$J$2:$J$495,0)),"")</f>
        <v/>
      </c>
    </row>
    <row r="21" spans="1:10" ht="15" customHeight="1" x14ac:dyDescent="0.35">
      <c r="A21" s="8" t="s">
        <v>33</v>
      </c>
      <c r="B21" s="9" t="str">
        <f>IFERROR(INDEX('CONTROL MASTER'!$R$2:$R$495,MATCH("Control WB Box 2: F1",'CONTROL MASTER'!$J$2:$J$495,0)),"")</f>
        <v/>
      </c>
      <c r="C21" s="9" t="str">
        <f>IFERROR(INDEX('CONTROL MASTER'!$R$2:$R$495,MATCH("Control WB Box 2: F2",'CONTROL MASTER'!$J$2:$J$495,0)),"")</f>
        <v/>
      </c>
      <c r="D21" s="9" t="str">
        <f>IFERROR(INDEX('CONTROL MASTER'!$R$2:$R$495,MATCH("Control WB Box 2: F3",'CONTROL MASTER'!$J$2:$J$495,0)),"")</f>
        <v/>
      </c>
      <c r="E21" s="9" t="str">
        <f>IFERROR(INDEX('CONTROL MASTER'!$R$2:$R$495,MATCH("Control WB Box 2: F4",'CONTROL MASTER'!$J$2:$J$495,0)),"")</f>
        <v/>
      </c>
      <c r="F21" s="9" t="str">
        <f>IFERROR(INDEX('CONTROL MASTER'!$R$2:$R$495,MATCH("Control WB Box 2: F5",'CONTROL MASTER'!$J$2:$J$495,0)),"")</f>
        <v/>
      </c>
      <c r="G21" s="9" t="str">
        <f>IFERROR(INDEX('CONTROL MASTER'!$R$2:$R$495,MATCH("Control WB Box 2: F6",'CONTROL MASTER'!$J$2:$J$495,0)),"")</f>
        <v/>
      </c>
      <c r="H21" s="9" t="str">
        <f>IFERROR(INDEX('CONTROL MASTER'!$R$2:$R$495,MATCH("Control WB Box 2: F7",'CONTROL MASTER'!$J$2:$J$495,0)),"")</f>
        <v/>
      </c>
      <c r="I21" s="9" t="str">
        <f>IFERROR(INDEX('CONTROL MASTER'!$R$2:$R$495,MATCH("Control WB Box 2: F8",'CONTROL MASTER'!$J$2:$J$495,0)),"")</f>
        <v/>
      </c>
      <c r="J21" s="9" t="str">
        <f>IFERROR(INDEX('CONTROL MASTER'!$R$2:$R$495,MATCH("Control WB Box 2: F9",'CONTROL MASTER'!$J$2:$J$495,0)),"")</f>
        <v/>
      </c>
    </row>
    <row r="22" spans="1:10" ht="15" customHeight="1" x14ac:dyDescent="0.35">
      <c r="A22" s="8" t="s">
        <v>34</v>
      </c>
      <c r="B22" s="9" t="str">
        <f>IFERROR(INDEX('CONTROL MASTER'!$R$2:$R$495,MATCH("Control WB Box 2: G1",'CONTROL MASTER'!$J$2:$J$495,0)),"")</f>
        <v/>
      </c>
      <c r="C22" s="9" t="str">
        <f>IFERROR(INDEX('CONTROL MASTER'!$R$2:$R$495,MATCH("Control WB Box 2: G2",'CONTROL MASTER'!$J$2:$J$495,0)),"")</f>
        <v/>
      </c>
      <c r="D22" s="9" t="str">
        <f>IFERROR(INDEX('CONTROL MASTER'!$R$2:$R$495,MATCH("Control WB Box 2: G3",'CONTROL MASTER'!$J$2:$J$495,0)),"")</f>
        <v/>
      </c>
      <c r="E22" s="9" t="str">
        <f>IFERROR(INDEX('CONTROL MASTER'!$R$2:$R$495,MATCH("Control WB Box 2: G4",'CONTROL MASTER'!$J$2:$J$495,0)),"")</f>
        <v/>
      </c>
      <c r="F22" s="9" t="str">
        <f>IFERROR(INDEX('CONTROL MASTER'!$R$2:$R$495,MATCH("Control WB Box 2: G5",'CONTROL MASTER'!$J$2:$J$495,0)),"")</f>
        <v/>
      </c>
      <c r="G22" s="9" t="str">
        <f>IFERROR(INDEX('CONTROL MASTER'!$R$2:$R$495,MATCH("Control WB Box 2: G6",'CONTROL MASTER'!$J$2:$J$495,0)),"")</f>
        <v/>
      </c>
      <c r="H22" s="9" t="str">
        <f>IFERROR(INDEX('CONTROL MASTER'!$R$2:$R$495,MATCH("Control WB Box 2: G7",'CONTROL MASTER'!$J$2:$J$495,0)),"")</f>
        <v/>
      </c>
      <c r="I22" s="9" t="str">
        <f>IFERROR(INDEX('CONTROL MASTER'!$R$2:$R$495,MATCH("Control WB Box 2: G8",'CONTROL MASTER'!$J$2:$J$495,0)),"")</f>
        <v/>
      </c>
      <c r="J22" s="9" t="str">
        <f>IFERROR(INDEX('CONTROL MASTER'!$R$2:$R$495,MATCH("Control WB Box 2: G9",'CONTROL MASTER'!$J$2:$J$495,0)),"")</f>
        <v/>
      </c>
    </row>
    <row r="23" spans="1:10" ht="15" customHeight="1" x14ac:dyDescent="0.35">
      <c r="A23" s="8" t="s">
        <v>35</v>
      </c>
      <c r="B23" s="9" t="str">
        <f>IFERROR(INDEX('CONTROL MASTER'!$R$2:$R$495,MATCH("Control WB Box 2: H1",'CONTROL MASTER'!$J$2:$J$495,0)),"")</f>
        <v/>
      </c>
      <c r="C23" s="9" t="str">
        <f>IFERROR(INDEX('CONTROL MASTER'!$R$2:$R$495,MATCH("Control WB Box 2: H2",'CONTROL MASTER'!$J$2:$J$495,0)),"")</f>
        <v/>
      </c>
      <c r="D23" s="9" t="str">
        <f>IFERROR(INDEX('CONTROL MASTER'!$R$2:$R$495,MATCH("Control WB Box 2: H3",'CONTROL MASTER'!$J$2:$J$495,0)),"")</f>
        <v/>
      </c>
      <c r="E23" s="9" t="str">
        <f>IFERROR(INDEX('CONTROL MASTER'!$R$2:$R$495,MATCH("Control WB Box 2: H4",'CONTROL MASTER'!$J$2:$J$495,0)),"")</f>
        <v/>
      </c>
      <c r="F23" s="9" t="str">
        <f>IFERROR(INDEX('CONTROL MASTER'!$R$2:$R$495,MATCH("Control WB Box 2: H5",'CONTROL MASTER'!$J$2:$J$495,0)),"")</f>
        <v/>
      </c>
      <c r="G23" s="9" t="str">
        <f>IFERROR(INDEX('CONTROL MASTER'!$R$2:$R$495,MATCH("Control WB Box 2: H6",'CONTROL MASTER'!$J$2:$J$495,0)),"")</f>
        <v/>
      </c>
      <c r="H23" s="9" t="str">
        <f>IFERROR(INDEX('CONTROL MASTER'!$R$2:$R$495,MATCH("Control WB Box 2: H7",'CONTROL MASTER'!$J$2:$J$495,0)),"")</f>
        <v/>
      </c>
      <c r="I23" s="9" t="str">
        <f>IFERROR(INDEX('CONTROL MASTER'!$R$2:$R$495,MATCH("Control WB Box 2: H8",'CONTROL MASTER'!$J$2:$J$495,0)),"")</f>
        <v/>
      </c>
      <c r="J23" s="9" t="str">
        <f>IFERROR(INDEX('CONTROL MASTER'!$R$2:$R$495,MATCH("Control WB Box 2: H9",'CONTROL MASTER'!$J$2:$J$495,0)),"")</f>
        <v/>
      </c>
    </row>
    <row r="24" spans="1:10" ht="15" customHeight="1" x14ac:dyDescent="0.35">
      <c r="A24" s="8" t="s">
        <v>81</v>
      </c>
      <c r="B24" s="9" t="str">
        <f>IFERROR(INDEX('CONTROL MASTER'!$R$2:$R$495,MATCH("Control WB Box 2: I1",'CONTROL MASTER'!$J$2:$J$495,0)),"")</f>
        <v/>
      </c>
      <c r="C24" s="9" t="str">
        <f>IFERROR(INDEX('CONTROL MASTER'!$R$2:$R$495,MATCH("Control WB Box 2: I2",'CONTROL MASTER'!$J$2:$J$495,0)),"")</f>
        <v/>
      </c>
      <c r="D24" s="9" t="str">
        <f>IFERROR(INDEX('CONTROL MASTER'!$R$2:$R$495,MATCH("Control WB Box 2: I3",'CONTROL MASTER'!$J$2:$J$495,0)),"")</f>
        <v/>
      </c>
      <c r="E24" s="9" t="str">
        <f>IFERROR(INDEX('CONTROL MASTER'!$R$2:$R$495,MATCH("Control WB Box 2: I4",'CONTROL MASTER'!$J$2:$J$495,0)),"")</f>
        <v/>
      </c>
      <c r="F24" s="9" t="str">
        <f>IFERROR(INDEX('CONTROL MASTER'!$R$2:$R$495,MATCH("Control WB Box 2: I5",'CONTROL MASTER'!$J$2:$J$495,0)),"")</f>
        <v/>
      </c>
      <c r="G24" s="9" t="str">
        <f>IFERROR(INDEX('CONTROL MASTER'!$R$2:$R$495,MATCH("Control WB Box 2: I6",'CONTROL MASTER'!$J$2:$J$495,0)),"")</f>
        <v/>
      </c>
      <c r="H24" s="9" t="str">
        <f>IFERROR(INDEX('CONTROL MASTER'!$R$2:$R$495,MATCH("Control WB Box 2: I7",'CONTROL MASTER'!$J$2:$J$495,0)),"")</f>
        <v/>
      </c>
      <c r="I24" s="9" t="str">
        <f>IFERROR(INDEX('CONTROL MASTER'!$R$2:$R$495,MATCH("Control WB Box 2: I8",'CONTROL MASTER'!$J$2:$J$495,0)),"")</f>
        <v/>
      </c>
      <c r="J24" s="9" t="str">
        <f>IFERROR(INDEX('CONTROL MASTER'!$R$2:$R$495,MATCH("Control WB Box 2: I9",'CONTROL MASTER'!$J$2:$J$495,0)),"")</f>
        <v/>
      </c>
    </row>
    <row r="27" spans="1:10" ht="15" customHeight="1" x14ac:dyDescent="0.35">
      <c r="A27" s="12" t="s">
        <v>174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ht="15" customHeight="1" x14ac:dyDescent="0.35">
      <c r="B28" s="8">
        <v>1</v>
      </c>
      <c r="C28" s="8">
        <v>2</v>
      </c>
      <c r="D28" s="8">
        <v>3</v>
      </c>
      <c r="E28" s="8">
        <v>4</v>
      </c>
      <c r="F28" s="8">
        <v>5</v>
      </c>
      <c r="G28" s="8">
        <v>6</v>
      </c>
      <c r="H28" s="8">
        <v>7</v>
      </c>
      <c r="I28" s="8">
        <v>8</v>
      </c>
      <c r="J28" s="8">
        <v>9</v>
      </c>
    </row>
    <row r="29" spans="1:10" ht="15" customHeight="1" x14ac:dyDescent="0.35">
      <c r="A29" s="8" t="s">
        <v>28</v>
      </c>
      <c r="B29" s="9" t="str">
        <f>IFERROR(INDEX('CONTROL MASTER'!$R$2:$R$495,MATCH("Control WB Box 3: A1",'CONTROL MASTER'!$J$2:$J$495,0)),"")</f>
        <v/>
      </c>
      <c r="C29" s="9" t="str">
        <f>IFERROR(INDEX('CONTROL MASTER'!$R$2:$R$495,MATCH("Control WB Box 3: A2",'CONTROL MASTER'!$J$2:$J$495,0)),"")</f>
        <v/>
      </c>
      <c r="D29" s="9" t="str">
        <f>IFERROR(INDEX('CONTROL MASTER'!$R$2:$R$495,MATCH("Control WB Box 3: A3",'CONTROL MASTER'!$J$2:$J$495,0)),"")</f>
        <v/>
      </c>
      <c r="E29" s="9" t="str">
        <f>IFERROR(INDEX('CONTROL MASTER'!$R$2:$R$495,MATCH("Control WB Box 3: A4",'CONTROL MASTER'!$J$2:$J$495,0)),"")</f>
        <v/>
      </c>
      <c r="F29" s="9" t="str">
        <f>IFERROR(INDEX('CONTROL MASTER'!$R$2:$R$495,MATCH("Control WB Box 3: A5",'CONTROL MASTER'!$J$2:$J$495,0)),"")</f>
        <v/>
      </c>
      <c r="G29" s="9" t="str">
        <f>IFERROR(INDEX('CONTROL MASTER'!$R$2:$R$495,MATCH("Control WB Box 3: A6",'CONTROL MASTER'!$J$2:$J$495,0)),"")</f>
        <v/>
      </c>
      <c r="H29" s="9" t="str">
        <f>IFERROR(INDEX('CONTROL MASTER'!$R$2:$R$495,MATCH("Control WB Box 3: A7",'CONTROL MASTER'!$J$2:$J$495,0)),"")</f>
        <v/>
      </c>
      <c r="I29" s="9" t="str">
        <f>IFERROR(INDEX('CONTROL MASTER'!$R$2:$R$495,MATCH("Control WB Box 3: A8",'CONTROL MASTER'!$J$2:$J$495,0)),"")</f>
        <v/>
      </c>
      <c r="J29" s="9" t="str">
        <f>IFERROR(INDEX('CONTROL MASTER'!$R$2:$R$495,MATCH("Control WB Box 3: A9",'CONTROL MASTER'!$J$2:$J$495,0)),"")</f>
        <v/>
      </c>
    </row>
    <row r="30" spans="1:10" ht="15" customHeight="1" x14ac:dyDescent="0.35">
      <c r="A30" s="8" t="s">
        <v>29</v>
      </c>
      <c r="B30" s="9" t="str">
        <f>IFERROR(INDEX('CONTROL MASTER'!$R$2:$R$495,MATCH("Control WB Box 3: B1",'CONTROL MASTER'!$J$2:$J$495,0)),"")</f>
        <v/>
      </c>
      <c r="C30" s="9" t="str">
        <f>IFERROR(INDEX('CONTROL MASTER'!$R$2:$R$495,MATCH("Control WB Box 3: B2",'CONTROL MASTER'!$J$2:$J$495,0)),"")</f>
        <v/>
      </c>
      <c r="D30" s="9" t="str">
        <f>IFERROR(INDEX('CONTROL MASTER'!$R$2:$R$495,MATCH("Control WB Box 3: B3",'CONTROL MASTER'!$J$2:$J$495,0)),"")</f>
        <v/>
      </c>
      <c r="E30" s="9" t="str">
        <f>IFERROR(INDEX('CONTROL MASTER'!$R$2:$R$495,MATCH("Control WB Box 3: B4",'CONTROL MASTER'!$J$2:$J$495,0)),"")</f>
        <v/>
      </c>
      <c r="F30" s="9" t="str">
        <f>IFERROR(INDEX('CONTROL MASTER'!$R$2:$R$495,MATCH("Control WB Box 3: B5",'CONTROL MASTER'!$J$2:$J$495,0)),"")</f>
        <v/>
      </c>
      <c r="G30" s="9" t="str">
        <f>IFERROR(INDEX('CONTROL MASTER'!$R$2:$R$495,MATCH("Control WB Box 3: B6",'CONTROL MASTER'!$J$2:$J$495,0)),"")</f>
        <v/>
      </c>
      <c r="H30" s="9" t="str">
        <f>IFERROR(INDEX('CONTROL MASTER'!$R$2:$R$495,MATCH("Control WB Box 3: B7",'CONTROL MASTER'!$J$2:$J$495,0)),"")</f>
        <v/>
      </c>
      <c r="I30" s="9" t="str">
        <f>IFERROR(INDEX('CONTROL MASTER'!$R$2:$R$495,MATCH("Control WB Box 3: B8",'CONTROL MASTER'!$J$2:$J$495,0)),"")</f>
        <v/>
      </c>
      <c r="J30" s="9" t="str">
        <f>IFERROR(INDEX('CONTROL MASTER'!$R$2:$R$495,MATCH("Control WB Box 3: B9",'CONTROL MASTER'!$J$2:$J$495,0)),"")</f>
        <v/>
      </c>
    </row>
    <row r="31" spans="1:10" ht="15" customHeight="1" x14ac:dyDescent="0.35">
      <c r="A31" s="8" t="s">
        <v>30</v>
      </c>
      <c r="B31" s="9" t="str">
        <f>IFERROR(INDEX('CONTROL MASTER'!$R$2:$R$495,MATCH("Control WB Box 3: C1",'CONTROL MASTER'!$J$2:$J$495,0)),"")</f>
        <v/>
      </c>
      <c r="C31" s="9" t="str">
        <f>IFERROR(INDEX('CONTROL MASTER'!$R$2:$R$495,MATCH("Control WB Box 3: C2",'CONTROL MASTER'!$J$2:$J$495,0)),"")</f>
        <v/>
      </c>
      <c r="D31" s="9" t="str">
        <f>IFERROR(INDEX('CONTROL MASTER'!$R$2:$R$495,MATCH("Control WB Box 3: C3",'CONTROL MASTER'!$J$2:$J$495,0)),"")</f>
        <v/>
      </c>
      <c r="E31" s="9" t="str">
        <f>IFERROR(INDEX('CONTROL MASTER'!$R$2:$R$495,MATCH("Control WB Box 3: C4",'CONTROL MASTER'!$J$2:$J$495,0)),"")</f>
        <v/>
      </c>
      <c r="F31" s="9" t="str">
        <f>IFERROR(INDEX('CONTROL MASTER'!$R$2:$R$495,MATCH("Control WB Box 3: C5",'CONTROL MASTER'!$J$2:$J$495,0)),"")</f>
        <v/>
      </c>
      <c r="G31" s="9" t="str">
        <f>IFERROR(INDEX('CONTROL MASTER'!$R$2:$R$495,MATCH("Control WB Box 3: C6",'CONTROL MASTER'!$J$2:$J$495,0)),"")</f>
        <v/>
      </c>
      <c r="H31" s="9" t="str">
        <f>IFERROR(INDEX('CONTROL MASTER'!$R$2:$R$495,MATCH("Control WB Box 3: C7",'CONTROL MASTER'!$J$2:$J$495,0)),"")</f>
        <v/>
      </c>
      <c r="I31" s="9" t="str">
        <f>IFERROR(INDEX('CONTROL MASTER'!$R$2:$R$495,MATCH("Control WB Box 3: C8",'CONTROL MASTER'!$J$2:$J$495,0)),"")</f>
        <v/>
      </c>
      <c r="J31" s="9" t="str">
        <f>IFERROR(INDEX('CONTROL MASTER'!$R$2:$R$495,MATCH("Control WB Box 3: C9",'CONTROL MASTER'!$J$2:$J$495,0)),"")</f>
        <v/>
      </c>
    </row>
    <row r="32" spans="1:10" ht="15" customHeight="1" x14ac:dyDescent="0.35">
      <c r="A32" s="8" t="s">
        <v>31</v>
      </c>
      <c r="B32" s="9" t="str">
        <f>IFERROR(INDEX('CONTROL MASTER'!$R$2:$R$495,MATCH("Control WB Box 3: D1",'CONTROL MASTER'!$J$2:$J$495,0)),"")</f>
        <v/>
      </c>
      <c r="C32" s="9" t="str">
        <f>IFERROR(INDEX('CONTROL MASTER'!$R$2:$R$495,MATCH("Control WB Box 3: D2",'CONTROL MASTER'!$J$2:$J$495,0)),"")</f>
        <v/>
      </c>
      <c r="D32" s="9" t="str">
        <f>IFERROR(INDEX('CONTROL MASTER'!$R$2:$R$495,MATCH("Control WB Box 3: D3",'CONTROL MASTER'!$J$2:$J$495,0)),"")</f>
        <v/>
      </c>
      <c r="E32" s="9" t="str">
        <f>IFERROR(INDEX('CONTROL MASTER'!$R$2:$R$495,MATCH("Control WB Box 3: D4",'CONTROL MASTER'!$J$2:$J$495,0)),"")</f>
        <v/>
      </c>
      <c r="F32" s="9" t="str">
        <f>IFERROR(INDEX('CONTROL MASTER'!$R$2:$R$495,MATCH("Control WB Box 3: D5",'CONTROL MASTER'!$J$2:$J$495,0)),"")</f>
        <v/>
      </c>
      <c r="G32" s="9" t="str">
        <f>IFERROR(INDEX('CONTROL MASTER'!$R$2:$R$495,MATCH("Control WB Box 3: D6",'CONTROL MASTER'!$J$2:$J$495,0)),"")</f>
        <v/>
      </c>
      <c r="H32" s="9" t="str">
        <f>IFERROR(INDEX('CONTROL MASTER'!$R$2:$R$495,MATCH("Control WB Box 3: D7",'CONTROL MASTER'!$J$2:$J$495,0)),"")</f>
        <v/>
      </c>
      <c r="I32" s="9" t="str">
        <f>IFERROR(INDEX('CONTROL MASTER'!$R$2:$R$495,MATCH("Control WB Box 3: D8",'CONTROL MASTER'!$J$2:$J$495,0)),"")</f>
        <v/>
      </c>
      <c r="J32" s="9" t="str">
        <f>IFERROR(INDEX('CONTROL MASTER'!$R$2:$R$495,MATCH("Control WB Box 3: D9",'CONTROL MASTER'!$J$2:$J$495,0)),"")</f>
        <v/>
      </c>
    </row>
    <row r="33" spans="1:10" ht="15" customHeight="1" x14ac:dyDescent="0.35">
      <c r="A33" s="8" t="s">
        <v>32</v>
      </c>
      <c r="B33" s="9" t="str">
        <f>IFERROR(INDEX('CONTROL MASTER'!$R$2:$R$495,MATCH("Control WB Box 3: E1",'CONTROL MASTER'!$J$2:$J$495,0)),"")</f>
        <v/>
      </c>
      <c r="C33" s="9" t="str">
        <f>IFERROR(INDEX('CONTROL MASTER'!$R$2:$R$495,MATCH("Control WB Box 3: E2",'CONTROL MASTER'!$J$2:$J$495,0)),"")</f>
        <v/>
      </c>
      <c r="D33" s="9" t="str">
        <f>IFERROR(INDEX('CONTROL MASTER'!$R$2:$R$495,MATCH("Control WB Box 3: E3",'CONTROL MASTER'!$J$2:$J$495,0)),"")</f>
        <v/>
      </c>
      <c r="E33" s="9" t="str">
        <f>IFERROR(INDEX('CONTROL MASTER'!$R$2:$R$495,MATCH("Control WB Box 3: E4",'CONTROL MASTER'!$J$2:$J$495,0)),"")</f>
        <v/>
      </c>
      <c r="F33" s="9" t="str">
        <f>IFERROR(INDEX('CONTROL MASTER'!$R$2:$R$495,MATCH("Control WB Box 3: E5",'CONTROL MASTER'!$J$2:$J$495,0)),"")</f>
        <v/>
      </c>
      <c r="G33" s="9" t="str">
        <f>IFERROR(INDEX('CONTROL MASTER'!$R$2:$R$495,MATCH("Control WB Box 3: E6",'CONTROL MASTER'!$J$2:$J$495,0)),"")</f>
        <v/>
      </c>
      <c r="H33" s="9" t="str">
        <f>IFERROR(INDEX('CONTROL MASTER'!$R$2:$R$495,MATCH("Control WB Box 3: E7",'CONTROL MASTER'!$J$2:$J$495,0)),"")</f>
        <v/>
      </c>
      <c r="I33" s="9" t="str">
        <f>IFERROR(INDEX('CONTROL MASTER'!$R$2:$R$495,MATCH("Control WB Box 3: E8",'CONTROL MASTER'!$J$2:$J$495,0)),"")</f>
        <v/>
      </c>
      <c r="J33" s="9" t="str">
        <f>IFERROR(INDEX('CONTROL MASTER'!$R$2:$R$495,MATCH("Control WB Box 3: E9",'CONTROL MASTER'!$J$2:$J$495,0)),"")</f>
        <v/>
      </c>
    </row>
    <row r="34" spans="1:10" ht="15" customHeight="1" x14ac:dyDescent="0.35">
      <c r="A34" s="8" t="s">
        <v>33</v>
      </c>
      <c r="B34" s="9" t="str">
        <f>IFERROR(INDEX('CONTROL MASTER'!$R$2:$R$495,MATCH("Control WB Box 3: F1",'CONTROL MASTER'!$J$2:$J$495,0)),"")</f>
        <v/>
      </c>
      <c r="C34" s="9" t="str">
        <f>IFERROR(INDEX('CONTROL MASTER'!$R$2:$R$495,MATCH("Control WB Box 3: F2",'CONTROL MASTER'!$J$2:$J$495,0)),"")</f>
        <v/>
      </c>
      <c r="D34" s="9" t="str">
        <f>IFERROR(INDEX('CONTROL MASTER'!$R$2:$R$495,MATCH("Control WB Box 3: F3",'CONTROL MASTER'!$J$2:$J$495,0)),"")</f>
        <v/>
      </c>
      <c r="E34" s="9" t="str">
        <f>IFERROR(INDEX('CONTROL MASTER'!$R$2:$R$495,MATCH("Control WB Box 3: F4",'CONTROL MASTER'!$J$2:$J$495,0)),"")</f>
        <v/>
      </c>
      <c r="F34" s="9" t="str">
        <f>IFERROR(INDEX('CONTROL MASTER'!$R$2:$R$495,MATCH("Control WB Box 3: F5",'CONTROL MASTER'!$J$2:$J$495,0)),"")</f>
        <v/>
      </c>
      <c r="G34" s="9" t="str">
        <f>IFERROR(INDEX('CONTROL MASTER'!$R$2:$R$495,MATCH("Control WB Box 3: F6",'CONTROL MASTER'!$J$2:$J$495,0)),"")</f>
        <v/>
      </c>
      <c r="H34" s="9" t="str">
        <f>IFERROR(INDEX('CONTROL MASTER'!$R$2:$R$495,MATCH("Control WB Box 3: F7",'CONTROL MASTER'!$J$2:$J$495,0)),"")</f>
        <v/>
      </c>
      <c r="I34" s="9" t="str">
        <f>IFERROR(INDEX('CONTROL MASTER'!$R$2:$R$495,MATCH("Control WB Box 3: F8",'CONTROL MASTER'!$J$2:$J$495,0)),"")</f>
        <v/>
      </c>
      <c r="J34" s="9" t="str">
        <f>IFERROR(INDEX('CONTROL MASTER'!$R$2:$R$495,MATCH("Control WB Box 3: F9",'CONTROL MASTER'!$J$2:$J$495,0)),"")</f>
        <v/>
      </c>
    </row>
    <row r="35" spans="1:10" ht="15" customHeight="1" x14ac:dyDescent="0.35">
      <c r="A35" s="8" t="s">
        <v>34</v>
      </c>
      <c r="B35" s="9" t="str">
        <f>IFERROR(INDEX('CONTROL MASTER'!$R$2:$R$495,MATCH("Control WB Box 3: G1",'CONTROL MASTER'!$J$2:$J$495,0)),"")</f>
        <v/>
      </c>
      <c r="C35" s="9" t="str">
        <f>IFERROR(INDEX('CONTROL MASTER'!$R$2:$R$495,MATCH("Control WB Box 3: G2",'CONTROL MASTER'!$J$2:$J$495,0)),"")</f>
        <v/>
      </c>
      <c r="D35" s="9" t="str">
        <f>IFERROR(INDEX('CONTROL MASTER'!$R$2:$R$495,MATCH("Control WB Box 3: G3",'CONTROL MASTER'!$J$2:$J$495,0)),"")</f>
        <v/>
      </c>
      <c r="E35" s="9" t="str">
        <f>IFERROR(INDEX('CONTROL MASTER'!$R$2:$R$495,MATCH("Control WB Box 3: G4",'CONTROL MASTER'!$J$2:$J$495,0)),"")</f>
        <v/>
      </c>
      <c r="F35" s="9" t="str">
        <f>IFERROR(INDEX('CONTROL MASTER'!$R$2:$R$495,MATCH("Control WB Box 3: G5",'CONTROL MASTER'!$J$2:$J$495,0)),"")</f>
        <v/>
      </c>
      <c r="G35" s="9" t="str">
        <f>IFERROR(INDEX('CONTROL MASTER'!$R$2:$R$495,MATCH("Control WB Box 3: G6",'CONTROL MASTER'!$J$2:$J$495,0)),"")</f>
        <v/>
      </c>
      <c r="H35" s="9" t="str">
        <f>IFERROR(INDEX('CONTROL MASTER'!$R$2:$R$495,MATCH("Control WB Box 3: G7",'CONTROL MASTER'!$J$2:$J$495,0)),"")</f>
        <v/>
      </c>
      <c r="I35" s="9" t="str">
        <f>IFERROR(INDEX('CONTROL MASTER'!$R$2:$R$495,MATCH("Control WB Box 3: G8",'CONTROL MASTER'!$J$2:$J$495,0)),"")</f>
        <v/>
      </c>
      <c r="J35" s="9" t="str">
        <f>IFERROR(INDEX('CONTROL MASTER'!$R$2:$R$495,MATCH("Control WB Box 3: G9",'CONTROL MASTER'!$J$2:$J$495,0)),"")</f>
        <v/>
      </c>
    </row>
    <row r="36" spans="1:10" ht="15" customHeight="1" x14ac:dyDescent="0.35">
      <c r="A36" s="8" t="s">
        <v>35</v>
      </c>
      <c r="B36" s="9" t="str">
        <f>IFERROR(INDEX('CONTROL MASTER'!$R$2:$R$495,MATCH("Control WB Box 3: H1",'CONTROL MASTER'!$J$2:$J$495,0)),"")</f>
        <v/>
      </c>
      <c r="C36" s="9" t="str">
        <f>IFERROR(INDEX('CONTROL MASTER'!$R$2:$R$495,MATCH("Control WB Box 3: H2",'CONTROL MASTER'!$J$2:$J$495,0)),"")</f>
        <v/>
      </c>
      <c r="D36" s="9" t="str">
        <f>IFERROR(INDEX('CONTROL MASTER'!$R$2:$R$495,MATCH("Control WB Box 3: H3",'CONTROL MASTER'!$J$2:$J$495,0)),"")</f>
        <v/>
      </c>
      <c r="E36" s="9" t="str">
        <f>IFERROR(INDEX('CONTROL MASTER'!$R$2:$R$495,MATCH("Control WB Box 3: H4",'CONTROL MASTER'!$J$2:$J$495,0)),"")</f>
        <v/>
      </c>
      <c r="F36" s="9" t="str">
        <f>IFERROR(INDEX('CONTROL MASTER'!$R$2:$R$495,MATCH("Control WB Box 3: H5",'CONTROL MASTER'!$J$2:$J$495,0)),"")</f>
        <v/>
      </c>
      <c r="G36" s="9" t="str">
        <f>IFERROR(INDEX('CONTROL MASTER'!$R$2:$R$495,MATCH("Control WB Box 3: H6",'CONTROL MASTER'!$J$2:$J$495,0)),"")</f>
        <v/>
      </c>
      <c r="H36" s="9" t="str">
        <f>IFERROR(INDEX('CONTROL MASTER'!$R$2:$R$495,MATCH("Control WB Box 3: H7",'CONTROL MASTER'!$J$2:$J$495,0)),"")</f>
        <v/>
      </c>
      <c r="I36" s="9" t="str">
        <f>IFERROR(INDEX('CONTROL MASTER'!$R$2:$R$495,MATCH("Control WB Box 3: H8",'CONTROL MASTER'!$J$2:$J$495,0)),"")</f>
        <v/>
      </c>
      <c r="J36" s="9" t="str">
        <f>IFERROR(INDEX('CONTROL MASTER'!$R$2:$R$495,MATCH("Control WB Box 3: H9",'CONTROL MASTER'!$J$2:$J$495,0)),"")</f>
        <v/>
      </c>
    </row>
    <row r="37" spans="1:10" ht="15" customHeight="1" x14ac:dyDescent="0.35">
      <c r="A37" s="8" t="s">
        <v>81</v>
      </c>
      <c r="B37" s="9" t="str">
        <f>IFERROR(INDEX('CONTROL MASTER'!$R$2:$R$495,MATCH("Control WB Box 3: I1",'CONTROL MASTER'!$J$2:$J$495,0)),"")</f>
        <v/>
      </c>
      <c r="C37" s="9" t="str">
        <f>IFERROR(INDEX('CONTROL MASTER'!$R$2:$R$495,MATCH("Control WB Box 3: I2",'CONTROL MASTER'!$J$2:$J$495,0)),"")</f>
        <v/>
      </c>
      <c r="D37" s="9" t="str">
        <f>IFERROR(INDEX('CONTROL MASTER'!$R$2:$R$495,MATCH("Control WB Box 3: I3",'CONTROL MASTER'!$J$2:$J$495,0)),"")</f>
        <v/>
      </c>
      <c r="E37" s="9" t="str">
        <f>IFERROR(INDEX('CONTROL MASTER'!$R$2:$R$495,MATCH("Control WB Box 3: I4",'CONTROL MASTER'!$J$2:$J$495,0)),"")</f>
        <v/>
      </c>
      <c r="F37" s="9" t="str">
        <f>IFERROR(INDEX('CONTROL MASTER'!$R$2:$R$495,MATCH("Control WB Box 3: I5",'CONTROL MASTER'!$J$2:$J$495,0)),"")</f>
        <v/>
      </c>
      <c r="G37" s="9" t="str">
        <f>IFERROR(INDEX('CONTROL MASTER'!$R$2:$R$495,MATCH("Control WB Box 3: I6",'CONTROL MASTER'!$J$2:$J$495,0)),"")</f>
        <v/>
      </c>
      <c r="H37" s="9" t="str">
        <f>IFERROR(INDEX('CONTROL MASTER'!$R$2:$R$495,MATCH("Control WB Box 3: I7",'CONTROL MASTER'!$J$2:$J$495,0)),"")</f>
        <v/>
      </c>
      <c r="I37" s="9" t="str">
        <f>IFERROR(INDEX('CONTROL MASTER'!$R$2:$R$495,MATCH("Control WB Box 3: I8",'CONTROL MASTER'!$J$2:$J$495,0)),"")</f>
        <v/>
      </c>
      <c r="J37" s="9" t="str">
        <f>IFERROR(INDEX('CONTROL MASTER'!$R$2:$R$495,MATCH("Control WB Box 3: I9",'CONTROL MASTER'!$J$2:$J$495,0)),"")</f>
        <v/>
      </c>
    </row>
    <row r="40" spans="1:10" ht="15" customHeight="1" x14ac:dyDescent="0.35">
      <c r="A40" s="12" t="s">
        <v>175</v>
      </c>
      <c r="B40" s="13"/>
      <c r="C40" s="13"/>
      <c r="D40" s="13"/>
      <c r="E40" s="13"/>
      <c r="F40" s="13"/>
      <c r="G40" s="13"/>
      <c r="H40" s="13"/>
      <c r="I40" s="13"/>
      <c r="J40" s="13"/>
    </row>
    <row r="41" spans="1:10" ht="15" customHeight="1" x14ac:dyDescent="0.35">
      <c r="B41" s="8">
        <v>1</v>
      </c>
      <c r="C41" s="8">
        <v>2</v>
      </c>
      <c r="D41" s="8">
        <v>3</v>
      </c>
      <c r="E41" s="8">
        <v>4</v>
      </c>
      <c r="F41" s="8">
        <v>5</v>
      </c>
      <c r="G41" s="8">
        <v>6</v>
      </c>
      <c r="H41" s="8">
        <v>7</v>
      </c>
      <c r="I41" s="8">
        <v>8</v>
      </c>
      <c r="J41" s="8">
        <v>9</v>
      </c>
    </row>
    <row r="42" spans="1:10" ht="15" customHeight="1" x14ac:dyDescent="0.35">
      <c r="A42" s="8" t="s">
        <v>28</v>
      </c>
      <c r="B42" s="9" t="str">
        <f>IFERROR(INDEX('CONTROL MASTER'!$R$2:$R$495,MATCH("Control WB Box 4: A1",'CONTROL MASTER'!$J$2:$J$495,0)),"")</f>
        <v/>
      </c>
      <c r="C42" s="9" t="str">
        <f>IFERROR(INDEX('CONTROL MASTER'!$R$2:$R$495,MATCH("Control WB Box 4: A2",'CONTROL MASTER'!$J$2:$J$495,0)),"")</f>
        <v/>
      </c>
      <c r="D42" s="9" t="str">
        <f>IFERROR(INDEX('CONTROL MASTER'!$R$2:$R$495,MATCH("Control WB Box 4: A3",'CONTROL MASTER'!$J$2:$J$495,0)),"")</f>
        <v/>
      </c>
      <c r="E42" s="9" t="str">
        <f>IFERROR(INDEX('CONTROL MASTER'!$R$2:$R$495,MATCH("Control WB Box 4: A4",'CONTROL MASTER'!$J$2:$J$495,0)),"")</f>
        <v/>
      </c>
      <c r="F42" s="9" t="str">
        <f>IFERROR(INDEX('CONTROL MASTER'!$R$2:$R$495,MATCH("Control WB Box 4: A5",'CONTROL MASTER'!$J$2:$J$495,0)),"")</f>
        <v/>
      </c>
      <c r="G42" s="9" t="str">
        <f>IFERROR(INDEX('CONTROL MASTER'!$R$2:$R$495,MATCH("Control WB Box 4: A6",'CONTROL MASTER'!$J$2:$J$495,0)),"")</f>
        <v/>
      </c>
      <c r="H42" s="9" t="str">
        <f>IFERROR(INDEX('CONTROL MASTER'!$R$2:$R$495,MATCH("Control WB Box 4: A7",'CONTROL MASTER'!$J$2:$J$495,0)),"")</f>
        <v/>
      </c>
      <c r="I42" s="9" t="str">
        <f>IFERROR(INDEX('CONTROL MASTER'!$R$2:$R$495,MATCH("Control WB Box 4: A8",'CONTROL MASTER'!$J$2:$J$495,0)),"")</f>
        <v/>
      </c>
      <c r="J42" s="9" t="str">
        <f>IFERROR(INDEX('CONTROL MASTER'!$R$2:$R$495,MATCH("Control WB Box 4: A9",'CONTROL MASTER'!$J$2:$J$495,0)),"")</f>
        <v/>
      </c>
    </row>
    <row r="43" spans="1:10" ht="15" customHeight="1" x14ac:dyDescent="0.35">
      <c r="A43" s="8" t="s">
        <v>29</v>
      </c>
      <c r="B43" s="9" t="str">
        <f>IFERROR(INDEX('CONTROL MASTER'!$R$2:$R$495,MATCH("Control WB Box 4: B1",'CONTROL MASTER'!$J$2:$J$495,0)),"")</f>
        <v/>
      </c>
      <c r="C43" s="9" t="str">
        <f>IFERROR(INDEX('CONTROL MASTER'!$R$2:$R$495,MATCH("Control WB Box 4: B2",'CONTROL MASTER'!$J$2:$J$495,0)),"")</f>
        <v/>
      </c>
      <c r="D43" s="9" t="str">
        <f>IFERROR(INDEX('CONTROL MASTER'!$R$2:$R$495,MATCH("Control WB Box 4: B3",'CONTROL MASTER'!$J$2:$J$495,0)),"")</f>
        <v/>
      </c>
      <c r="E43" s="9" t="str">
        <f>IFERROR(INDEX('CONTROL MASTER'!$R$2:$R$495,MATCH("Control WB Box 4: B4",'CONTROL MASTER'!$J$2:$J$495,0)),"")</f>
        <v/>
      </c>
      <c r="F43" s="9" t="str">
        <f>IFERROR(INDEX('CONTROL MASTER'!$R$2:$R$495,MATCH("Control WB Box 4: B5",'CONTROL MASTER'!$J$2:$J$495,0)),"")</f>
        <v/>
      </c>
      <c r="G43" s="9" t="str">
        <f>IFERROR(INDEX('CONTROL MASTER'!$R$2:$R$495,MATCH("Control WB Box 4: B6",'CONTROL MASTER'!$J$2:$J$495,0)),"")</f>
        <v/>
      </c>
      <c r="H43" s="9" t="str">
        <f>IFERROR(INDEX('CONTROL MASTER'!$R$2:$R$495,MATCH("Control WB Box 4: B7",'CONTROL MASTER'!$J$2:$J$495,0)),"")</f>
        <v/>
      </c>
      <c r="I43" s="9" t="str">
        <f>IFERROR(INDEX('CONTROL MASTER'!$R$2:$R$495,MATCH("Control WB Box 4: B8",'CONTROL MASTER'!$J$2:$J$495,0)),"")</f>
        <v/>
      </c>
      <c r="J43" s="9" t="str">
        <f>IFERROR(INDEX('CONTROL MASTER'!$R$2:$R$495,MATCH("Control WB Box 4: B9",'CONTROL MASTER'!$J$2:$J$495,0)),"")</f>
        <v/>
      </c>
    </row>
    <row r="44" spans="1:10" ht="15" customHeight="1" x14ac:dyDescent="0.35">
      <c r="A44" s="8" t="s">
        <v>30</v>
      </c>
      <c r="B44" s="9" t="str">
        <f>IFERROR(INDEX('CONTROL MASTER'!$R$2:$R$495,MATCH("Control WB Box 4: C1",'CONTROL MASTER'!$J$2:$J$495,0)),"")</f>
        <v/>
      </c>
      <c r="C44" s="9" t="str">
        <f>IFERROR(INDEX('CONTROL MASTER'!$R$2:$R$495,MATCH("Control WB Box 4: C2",'CONTROL MASTER'!$J$2:$J$495,0)),"")</f>
        <v/>
      </c>
      <c r="D44" s="9" t="str">
        <f>IFERROR(INDEX('CONTROL MASTER'!$R$2:$R$495,MATCH("Control WB Box 4: C3",'CONTROL MASTER'!$J$2:$J$495,0)),"")</f>
        <v/>
      </c>
      <c r="E44" s="9" t="str">
        <f>IFERROR(INDEX('CONTROL MASTER'!$R$2:$R$495,MATCH("Control WB Box 4: C4",'CONTROL MASTER'!$J$2:$J$495,0)),"")</f>
        <v/>
      </c>
      <c r="F44" s="9" t="str">
        <f>IFERROR(INDEX('CONTROL MASTER'!$R$2:$R$495,MATCH("Control WB Box 4: C5",'CONTROL MASTER'!$J$2:$J$495,0)),"")</f>
        <v/>
      </c>
      <c r="G44" s="9" t="str">
        <f>IFERROR(INDEX('CONTROL MASTER'!$R$2:$R$495,MATCH("Control WB Box 4: C6",'CONTROL MASTER'!$J$2:$J$495,0)),"")</f>
        <v/>
      </c>
      <c r="H44" s="9" t="str">
        <f>IFERROR(INDEX('CONTROL MASTER'!$R$2:$R$495,MATCH("Control WB Box 4: C7",'CONTROL MASTER'!$J$2:$J$495,0)),"")</f>
        <v/>
      </c>
      <c r="I44" s="9" t="str">
        <f>IFERROR(INDEX('CONTROL MASTER'!$R$2:$R$495,MATCH("Control WB Box 4: C8",'CONTROL MASTER'!$J$2:$J$495,0)),"")</f>
        <v/>
      </c>
      <c r="J44" s="9" t="str">
        <f>IFERROR(INDEX('CONTROL MASTER'!$R$2:$R$495,MATCH("Control WB Box 4: C9",'CONTROL MASTER'!$J$2:$J$495,0)),"")</f>
        <v/>
      </c>
    </row>
    <row r="45" spans="1:10" ht="15" customHeight="1" x14ac:dyDescent="0.35">
      <c r="A45" s="8" t="s">
        <v>31</v>
      </c>
      <c r="B45" s="9" t="str">
        <f>IFERROR(INDEX('CONTROL MASTER'!$R$2:$R$495,MATCH("Control WB Box 4: D1",'CONTROL MASTER'!$J$2:$J$495,0)),"")</f>
        <v/>
      </c>
      <c r="C45" s="9" t="str">
        <f>IFERROR(INDEX('CONTROL MASTER'!$R$2:$R$495,MATCH("Control WB Box 4: D2",'CONTROL MASTER'!$J$2:$J$495,0)),"")</f>
        <v/>
      </c>
      <c r="D45" s="9" t="str">
        <f>IFERROR(INDEX('CONTROL MASTER'!$R$2:$R$495,MATCH("Control WB Box 4: D3",'CONTROL MASTER'!$J$2:$J$495,0)),"")</f>
        <v/>
      </c>
      <c r="E45" s="9" t="str">
        <f>IFERROR(INDEX('CONTROL MASTER'!$R$2:$R$495,MATCH("Control WB Box 4: D4",'CONTROL MASTER'!$J$2:$J$495,0)),"")</f>
        <v/>
      </c>
      <c r="F45" s="9" t="str">
        <f>IFERROR(INDEX('CONTROL MASTER'!$R$2:$R$495,MATCH("Control WB Box 4: D5",'CONTROL MASTER'!$J$2:$J$495,0)),"")</f>
        <v/>
      </c>
      <c r="G45" s="9" t="str">
        <f>IFERROR(INDEX('CONTROL MASTER'!$R$2:$R$495,MATCH("Control WB Box 4: D6",'CONTROL MASTER'!$J$2:$J$495,0)),"")</f>
        <v/>
      </c>
      <c r="H45" s="9" t="str">
        <f>IFERROR(INDEX('CONTROL MASTER'!$R$2:$R$495,MATCH("Control WB Box 4: D7",'CONTROL MASTER'!$J$2:$J$495,0)),"")</f>
        <v/>
      </c>
      <c r="I45" s="9" t="str">
        <f>IFERROR(INDEX('CONTROL MASTER'!$R$2:$R$495,MATCH("Control WB Box 4: D8",'CONTROL MASTER'!$J$2:$J$495,0)),"")</f>
        <v/>
      </c>
      <c r="J45" s="9" t="str">
        <f>IFERROR(INDEX('CONTROL MASTER'!$R$2:$R$495,MATCH("Control WB Box 4: D9",'CONTROL MASTER'!$J$2:$J$495,0)),"")</f>
        <v/>
      </c>
    </row>
    <row r="46" spans="1:10" ht="15" customHeight="1" x14ac:dyDescent="0.35">
      <c r="A46" s="8" t="s">
        <v>32</v>
      </c>
      <c r="B46" s="9" t="str">
        <f>IFERROR(INDEX('CONTROL MASTER'!$R$2:$R$495,MATCH("Control WB Box 4: E1",'CONTROL MASTER'!$J$2:$J$495,0)),"")</f>
        <v/>
      </c>
      <c r="C46" s="9" t="str">
        <f>IFERROR(INDEX('CONTROL MASTER'!$R$2:$R$495,MATCH("Control WB Box 4: E2",'CONTROL MASTER'!$J$2:$J$495,0)),"")</f>
        <v/>
      </c>
      <c r="D46" s="9" t="str">
        <f>IFERROR(INDEX('CONTROL MASTER'!$R$2:$R$495,MATCH("Control WB Box 4: E3",'CONTROL MASTER'!$J$2:$J$495,0)),"")</f>
        <v/>
      </c>
      <c r="E46" s="9" t="str">
        <f>IFERROR(INDEX('CONTROL MASTER'!$R$2:$R$495,MATCH("Control WB Box 4: E4",'CONTROL MASTER'!$J$2:$J$495,0)),"")</f>
        <v/>
      </c>
      <c r="F46" s="9" t="str">
        <f>IFERROR(INDEX('CONTROL MASTER'!$R$2:$R$495,MATCH("Control WB Box 4: E5",'CONTROL MASTER'!$J$2:$J$495,0)),"")</f>
        <v/>
      </c>
      <c r="G46" s="9" t="str">
        <f>IFERROR(INDEX('CONTROL MASTER'!$R$2:$R$495,MATCH("Control WB Box 4: E6",'CONTROL MASTER'!$J$2:$J$495,0)),"")</f>
        <v/>
      </c>
      <c r="H46" s="9" t="str">
        <f>IFERROR(INDEX('CONTROL MASTER'!$R$2:$R$495,MATCH("Control WB Box 4: E7",'CONTROL MASTER'!$J$2:$J$495,0)),"")</f>
        <v/>
      </c>
      <c r="I46" s="9" t="str">
        <f>IFERROR(INDEX('CONTROL MASTER'!$R$2:$R$495,MATCH("Control WB Box 4: E8",'CONTROL MASTER'!$J$2:$J$495,0)),"")</f>
        <v/>
      </c>
      <c r="J46" s="9" t="str">
        <f>IFERROR(INDEX('CONTROL MASTER'!$R$2:$R$495,MATCH("Control WB Box 4: E9",'CONTROL MASTER'!$J$2:$J$495,0)),"")</f>
        <v/>
      </c>
    </row>
    <row r="47" spans="1:10" ht="15" customHeight="1" x14ac:dyDescent="0.35">
      <c r="A47" s="8" t="s">
        <v>33</v>
      </c>
      <c r="B47" s="9" t="str">
        <f>IFERROR(INDEX('CONTROL MASTER'!$R$2:$R$495,MATCH("Control WB Box 4: F1",'CONTROL MASTER'!$J$2:$J$495,0)),"")</f>
        <v/>
      </c>
      <c r="C47" s="9" t="str">
        <f>IFERROR(INDEX('CONTROL MASTER'!$R$2:$R$495,MATCH("Control WB Box 4: F2",'CONTROL MASTER'!$J$2:$J$495,0)),"")</f>
        <v/>
      </c>
      <c r="D47" s="9" t="str">
        <f>IFERROR(INDEX('CONTROL MASTER'!$R$2:$R$495,MATCH("Control WB Box 4: F3",'CONTROL MASTER'!$J$2:$J$495,0)),"")</f>
        <v/>
      </c>
      <c r="E47" s="9" t="str">
        <f>IFERROR(INDEX('CONTROL MASTER'!$R$2:$R$495,MATCH("Control WB Box 4: F4",'CONTROL MASTER'!$J$2:$J$495,0)),"")</f>
        <v/>
      </c>
      <c r="F47" s="9" t="str">
        <f>IFERROR(INDEX('CONTROL MASTER'!$R$2:$R$495,MATCH("Control WB Box 4: F5",'CONTROL MASTER'!$J$2:$J$495,0)),"")</f>
        <v/>
      </c>
      <c r="G47" s="9" t="str">
        <f>IFERROR(INDEX('CONTROL MASTER'!$R$2:$R$495,MATCH("Control WB Box 4: F6",'CONTROL MASTER'!$J$2:$J$495,0)),"")</f>
        <v/>
      </c>
      <c r="H47" s="9" t="str">
        <f>IFERROR(INDEX('CONTROL MASTER'!$R$2:$R$495,MATCH("Control WB Box 4: F7",'CONTROL MASTER'!$J$2:$J$495,0)),"")</f>
        <v/>
      </c>
      <c r="I47" s="9" t="str">
        <f>IFERROR(INDEX('CONTROL MASTER'!$R$2:$R$495,MATCH("Control WB Box 4: F8",'CONTROL MASTER'!$J$2:$J$495,0)),"")</f>
        <v/>
      </c>
      <c r="J47" s="9" t="str">
        <f>IFERROR(INDEX('CONTROL MASTER'!$R$2:$R$495,MATCH("Control WB Box 4: F9",'CONTROL MASTER'!$J$2:$J$495,0)),"")</f>
        <v/>
      </c>
    </row>
    <row r="48" spans="1:10" ht="15" customHeight="1" x14ac:dyDescent="0.35">
      <c r="A48" s="8" t="s">
        <v>34</v>
      </c>
      <c r="B48" s="9" t="str">
        <f>IFERROR(INDEX('CONTROL MASTER'!$R$2:$R$495,MATCH("Control WB Box 4: G1",'CONTROL MASTER'!$J$2:$J$495,0)),"")</f>
        <v/>
      </c>
      <c r="C48" s="9" t="str">
        <f>IFERROR(INDEX('CONTROL MASTER'!$R$2:$R$495,MATCH("Control WB Box 4: G2",'CONTROL MASTER'!$J$2:$J$495,0)),"")</f>
        <v/>
      </c>
      <c r="D48" s="9" t="str">
        <f>IFERROR(INDEX('CONTROL MASTER'!$R$2:$R$495,MATCH("Control WB Box 4: G3",'CONTROL MASTER'!$J$2:$J$495,0)),"")</f>
        <v/>
      </c>
      <c r="E48" s="9" t="str">
        <f>IFERROR(INDEX('CONTROL MASTER'!$R$2:$R$495,MATCH("Control WB Box 4: G4",'CONTROL MASTER'!$J$2:$J$495,0)),"")</f>
        <v/>
      </c>
      <c r="F48" s="9" t="str">
        <f>IFERROR(INDEX('CONTROL MASTER'!$R$2:$R$495,MATCH("Control WB Box 4: G5",'CONTROL MASTER'!$J$2:$J$495,0)),"")</f>
        <v/>
      </c>
      <c r="G48" s="9" t="str">
        <f>IFERROR(INDEX('CONTROL MASTER'!$R$2:$R$495,MATCH("Control WB Box 4: G6",'CONTROL MASTER'!$J$2:$J$495,0)),"")</f>
        <v/>
      </c>
      <c r="H48" s="9" t="str">
        <f>IFERROR(INDEX('CONTROL MASTER'!$R$2:$R$495,MATCH("Control WB Box 4: G7",'CONTROL MASTER'!$J$2:$J$495,0)),"")</f>
        <v/>
      </c>
      <c r="I48" s="9" t="str">
        <f>IFERROR(INDEX('CONTROL MASTER'!$R$2:$R$495,MATCH("Control WB Box 4: G8",'CONTROL MASTER'!$J$2:$J$495,0)),"")</f>
        <v/>
      </c>
      <c r="J48" s="9" t="str">
        <f>IFERROR(INDEX('CONTROL MASTER'!$R$2:$R$495,MATCH("Control WB Box 4: G9",'CONTROL MASTER'!$J$2:$J$495,0)),"")</f>
        <v/>
      </c>
    </row>
    <row r="49" spans="1:10" ht="15" customHeight="1" x14ac:dyDescent="0.35">
      <c r="A49" s="8" t="s">
        <v>35</v>
      </c>
      <c r="B49" s="9" t="str">
        <f>IFERROR(INDEX('CONTROL MASTER'!$R$2:$R$495,MATCH("Control WB Box 4: H1",'CONTROL MASTER'!$J$2:$J$495,0)),"")</f>
        <v/>
      </c>
      <c r="C49" s="9" t="str">
        <f>IFERROR(INDEX('CONTROL MASTER'!$R$2:$R$495,MATCH("Control WB Box 4: H2",'CONTROL MASTER'!$J$2:$J$495,0)),"")</f>
        <v/>
      </c>
      <c r="D49" s="9" t="str">
        <f>IFERROR(INDEX('CONTROL MASTER'!$R$2:$R$495,MATCH("Control WB Box 4: H3",'CONTROL MASTER'!$J$2:$J$495,0)),"")</f>
        <v/>
      </c>
      <c r="E49" s="9" t="str">
        <f>IFERROR(INDEX('CONTROL MASTER'!$R$2:$R$495,MATCH("Control WB Box 4: H4",'CONTROL MASTER'!$J$2:$J$495,0)),"")</f>
        <v/>
      </c>
      <c r="F49" s="9" t="str">
        <f>IFERROR(INDEX('CONTROL MASTER'!$R$2:$R$495,MATCH("Control WB Box 4: H5",'CONTROL MASTER'!$J$2:$J$495,0)),"")</f>
        <v/>
      </c>
      <c r="G49" s="9" t="str">
        <f>IFERROR(INDEX('CONTROL MASTER'!$R$2:$R$495,MATCH("Control WB Box 4: H6",'CONTROL MASTER'!$J$2:$J$495,0)),"")</f>
        <v/>
      </c>
      <c r="H49" s="9" t="str">
        <f>IFERROR(INDEX('CONTROL MASTER'!$R$2:$R$495,MATCH("Control WB Box 4: H7",'CONTROL MASTER'!$J$2:$J$495,0)),"")</f>
        <v/>
      </c>
      <c r="I49" s="9" t="str">
        <f>IFERROR(INDEX('CONTROL MASTER'!$R$2:$R$495,MATCH("Control WB Box 4: H8",'CONTROL MASTER'!$J$2:$J$495,0)),"")</f>
        <v/>
      </c>
      <c r="J49" s="9" t="str">
        <f>IFERROR(INDEX('CONTROL MASTER'!$R$2:$R$495,MATCH("Control WB Box 4: H9",'CONTROL MASTER'!$J$2:$J$495,0)),"")</f>
        <v/>
      </c>
    </row>
    <row r="50" spans="1:10" ht="15" customHeight="1" x14ac:dyDescent="0.35">
      <c r="A50" s="8" t="s">
        <v>81</v>
      </c>
      <c r="B50" s="9" t="str">
        <f>IFERROR(INDEX('CONTROL MASTER'!$R$2:$R$495,MATCH("Control WB Box 4: I1",'CONTROL MASTER'!$J$2:$J$495,0)),"")</f>
        <v/>
      </c>
      <c r="C50" s="9" t="str">
        <f>IFERROR(INDEX('CONTROL MASTER'!$R$2:$R$495,MATCH("Control WB Box 4: I2",'CONTROL MASTER'!$J$2:$J$495,0)),"")</f>
        <v/>
      </c>
      <c r="D50" s="9" t="str">
        <f>IFERROR(INDEX('CONTROL MASTER'!$R$2:$R$495,MATCH("Control WB Box 4: I3",'CONTROL MASTER'!$J$2:$J$495,0)),"")</f>
        <v/>
      </c>
      <c r="E50" s="9" t="str">
        <f>IFERROR(INDEX('CONTROL MASTER'!$R$2:$R$495,MATCH("Control WB Box 4: I4",'CONTROL MASTER'!$J$2:$J$495,0)),"")</f>
        <v/>
      </c>
      <c r="F50" s="9" t="str">
        <f>IFERROR(INDEX('CONTROL MASTER'!$R$2:$R$495,MATCH("Control WB Box 4: I5",'CONTROL MASTER'!$J$2:$J$495,0)),"")</f>
        <v/>
      </c>
      <c r="G50" s="9" t="str">
        <f>IFERROR(INDEX('CONTROL MASTER'!$R$2:$R$495,MATCH("Control WB Box 4: I6",'CONTROL MASTER'!$J$2:$J$495,0)),"")</f>
        <v/>
      </c>
      <c r="H50" s="9" t="str">
        <f>IFERROR(INDEX('CONTROL MASTER'!$R$2:$R$495,MATCH("Control WB Box 4: I7",'CONTROL MASTER'!$J$2:$J$495,0)),"")</f>
        <v/>
      </c>
      <c r="I50" s="9" t="str">
        <f>IFERROR(INDEX('CONTROL MASTER'!$R$2:$R$495,MATCH("Control WB Box 4: I8",'CONTROL MASTER'!$J$2:$J$495,0)),"")</f>
        <v/>
      </c>
      <c r="J50" s="9" t="str">
        <f>IFERROR(INDEX('CONTROL MASTER'!$R$2:$R$495,MATCH("Control WB Box 4: I9",'CONTROL MASTER'!$J$2:$J$495,0)),"")</f>
        <v/>
      </c>
    </row>
    <row r="53" spans="1:10" ht="15" customHeight="1" x14ac:dyDescent="0.35">
      <c r="A53" s="12" t="s">
        <v>176</v>
      </c>
      <c r="B53" s="13"/>
      <c r="C53" s="13"/>
      <c r="D53" s="13"/>
      <c r="E53" s="13"/>
      <c r="F53" s="13"/>
      <c r="G53" s="13"/>
      <c r="H53" s="13"/>
      <c r="I53" s="13"/>
      <c r="J53" s="13"/>
    </row>
    <row r="54" spans="1:10" ht="15" customHeight="1" x14ac:dyDescent="0.35">
      <c r="B54" s="8">
        <v>1</v>
      </c>
      <c r="C54" s="8">
        <v>2</v>
      </c>
      <c r="D54" s="8">
        <v>3</v>
      </c>
      <c r="E54" s="8">
        <v>4</v>
      </c>
      <c r="F54" s="8">
        <v>5</v>
      </c>
      <c r="G54" s="8">
        <v>6</v>
      </c>
      <c r="H54" s="8">
        <v>7</v>
      </c>
      <c r="I54" s="8">
        <v>8</v>
      </c>
      <c r="J54" s="8">
        <v>9</v>
      </c>
    </row>
    <row r="55" spans="1:10" ht="15" customHeight="1" x14ac:dyDescent="0.35">
      <c r="A55" s="8" t="s">
        <v>28</v>
      </c>
      <c r="B55" s="9" t="str">
        <f>IFERROR(INDEX('CONTROL MASTER'!$R$2:$R$495,MATCH("Control WB Box 5: A1",'CONTROL MASTER'!$J$2:$J$495,0)),"")</f>
        <v/>
      </c>
      <c r="C55" s="9" t="str">
        <f>IFERROR(INDEX('CONTROL MASTER'!$R$2:$R$495,MATCH("Control WB Box 5: A2",'CONTROL MASTER'!$J$2:$J$495,0)),"")</f>
        <v/>
      </c>
      <c r="D55" s="9" t="str">
        <f>IFERROR(INDEX('CONTROL MASTER'!$R$2:$R$495,MATCH("Control WB Box 5: A3",'CONTROL MASTER'!$J$2:$J$495,0)),"")</f>
        <v/>
      </c>
      <c r="E55" s="9" t="str">
        <f>IFERROR(INDEX('CONTROL MASTER'!$R$2:$R$495,MATCH("Control WB Box 5: A4",'CONTROL MASTER'!$J$2:$J$495,0)),"")</f>
        <v/>
      </c>
      <c r="F55" s="9" t="str">
        <f>IFERROR(INDEX('CONTROL MASTER'!$R$2:$R$495,MATCH("Control WB Box 5: A5",'CONTROL MASTER'!$J$2:$J$495,0)),"")</f>
        <v/>
      </c>
      <c r="G55" s="9" t="str">
        <f>IFERROR(INDEX('CONTROL MASTER'!$R$2:$R$495,MATCH("Control WB Box 5: A6",'CONTROL MASTER'!$J$2:$J$495,0)),"")</f>
        <v/>
      </c>
      <c r="H55" s="9" t="str">
        <f>IFERROR(INDEX('CONTROL MASTER'!$R$2:$R$495,MATCH("Control WB Box 5: A7",'CONTROL MASTER'!$J$2:$J$495,0)),"")</f>
        <v/>
      </c>
      <c r="I55" s="9" t="str">
        <f>IFERROR(INDEX('CONTROL MASTER'!$R$2:$R$495,MATCH("Control WB Box 5: A8",'CONTROL MASTER'!$J$2:$J$495,0)),"")</f>
        <v/>
      </c>
      <c r="J55" s="9" t="str">
        <f>IFERROR(INDEX('CONTROL MASTER'!$R$2:$R$495,MATCH("Control WB Box 5: A9",'CONTROL MASTER'!$J$2:$J$495,0)),"")</f>
        <v/>
      </c>
    </row>
    <row r="56" spans="1:10" ht="15" customHeight="1" x14ac:dyDescent="0.35">
      <c r="A56" s="8" t="s">
        <v>29</v>
      </c>
      <c r="B56" s="9" t="str">
        <f>IFERROR(INDEX('CONTROL MASTER'!$R$2:$R$495,MATCH("Control WB Box 5: B1",'CONTROL MASTER'!$J$2:$J$495,0)),"")</f>
        <v/>
      </c>
      <c r="C56" s="9" t="str">
        <f>IFERROR(INDEX('CONTROL MASTER'!$R$2:$R$495,MATCH("Control WB Box 5: B2",'CONTROL MASTER'!$J$2:$J$495,0)),"")</f>
        <v/>
      </c>
      <c r="D56" s="9" t="str">
        <f>IFERROR(INDEX('CONTROL MASTER'!$R$2:$R$495,MATCH("Control WB Box 5: B3",'CONTROL MASTER'!$J$2:$J$495,0)),"")</f>
        <v/>
      </c>
      <c r="E56" s="9" t="str">
        <f>IFERROR(INDEX('CONTROL MASTER'!$R$2:$R$495,MATCH("Control WB Box 5: B4",'CONTROL MASTER'!$J$2:$J$495,0)),"")</f>
        <v/>
      </c>
      <c r="F56" s="9" t="str">
        <f>IFERROR(INDEX('CONTROL MASTER'!$R$2:$R$495,MATCH("Control WB Box 5: B5",'CONTROL MASTER'!$J$2:$J$495,0)),"")</f>
        <v/>
      </c>
      <c r="G56" s="9" t="str">
        <f>IFERROR(INDEX('CONTROL MASTER'!$R$2:$R$495,MATCH("Control WB Box 5: B6",'CONTROL MASTER'!$J$2:$J$495,0)),"")</f>
        <v/>
      </c>
      <c r="H56" s="9" t="str">
        <f>IFERROR(INDEX('CONTROL MASTER'!$R$2:$R$495,MATCH("Control WB Box 5: B7",'CONTROL MASTER'!$J$2:$J$495,0)),"")</f>
        <v/>
      </c>
      <c r="I56" s="9" t="str">
        <f>IFERROR(INDEX('CONTROL MASTER'!$R$2:$R$495,MATCH("Control WB Box 5: B8",'CONTROL MASTER'!$J$2:$J$495,0)),"")</f>
        <v/>
      </c>
      <c r="J56" s="9" t="str">
        <f>IFERROR(INDEX('CONTROL MASTER'!$R$2:$R$495,MATCH("Control WB Box 5: B9",'CONTROL MASTER'!$J$2:$J$495,0)),"")</f>
        <v/>
      </c>
    </row>
    <row r="57" spans="1:10" ht="15" customHeight="1" x14ac:dyDescent="0.35">
      <c r="A57" s="8" t="s">
        <v>30</v>
      </c>
      <c r="B57" s="9" t="str">
        <f>IFERROR(INDEX('CONTROL MASTER'!$R$2:$R$495,MATCH("Control WB Box 5: C1",'CONTROL MASTER'!$J$2:$J$495,0)),"")</f>
        <v/>
      </c>
      <c r="C57" s="9" t="str">
        <f>IFERROR(INDEX('CONTROL MASTER'!$R$2:$R$495,MATCH("Control WB Box 5: C2",'CONTROL MASTER'!$J$2:$J$495,0)),"")</f>
        <v/>
      </c>
      <c r="D57" s="9" t="str">
        <f>IFERROR(INDEX('CONTROL MASTER'!$R$2:$R$495,MATCH("Control WB Box 5: C3",'CONTROL MASTER'!$J$2:$J$495,0)),"")</f>
        <v/>
      </c>
      <c r="E57" s="9" t="str">
        <f>IFERROR(INDEX('CONTROL MASTER'!$R$2:$R$495,MATCH("Control WB Box 5: C4",'CONTROL MASTER'!$J$2:$J$495,0)),"")</f>
        <v/>
      </c>
      <c r="F57" s="9" t="str">
        <f>IFERROR(INDEX('CONTROL MASTER'!$R$2:$R$495,MATCH("Control WB Box 5: C5",'CONTROL MASTER'!$J$2:$J$495,0)),"")</f>
        <v/>
      </c>
      <c r="G57" s="9" t="str">
        <f>IFERROR(INDEX('CONTROL MASTER'!$R$2:$R$495,MATCH("Control WB Box 5: C6",'CONTROL MASTER'!$J$2:$J$495,0)),"")</f>
        <v/>
      </c>
      <c r="H57" s="9" t="str">
        <f>IFERROR(INDEX('CONTROL MASTER'!$R$2:$R$495,MATCH("Control WB Box 5: C7",'CONTROL MASTER'!$J$2:$J$495,0)),"")</f>
        <v/>
      </c>
      <c r="I57" s="9" t="str">
        <f>IFERROR(INDEX('CONTROL MASTER'!$R$2:$R$495,MATCH("Control WB Box 5: C8",'CONTROL MASTER'!$J$2:$J$495,0)),"")</f>
        <v/>
      </c>
      <c r="J57" s="9" t="str">
        <f>IFERROR(INDEX('CONTROL MASTER'!$R$2:$R$495,MATCH("Control WB Box 5: C9",'CONTROL MASTER'!$J$2:$J$495,0)),"")</f>
        <v/>
      </c>
    </row>
    <row r="58" spans="1:10" ht="15" customHeight="1" x14ac:dyDescent="0.35">
      <c r="A58" s="8" t="s">
        <v>31</v>
      </c>
      <c r="B58" s="9" t="str">
        <f>IFERROR(INDEX('CONTROL MASTER'!$R$2:$R$495,MATCH("Control WB Box 5: D1",'CONTROL MASTER'!$J$2:$J$495,0)),"")</f>
        <v/>
      </c>
      <c r="C58" s="9" t="str">
        <f>IFERROR(INDEX('CONTROL MASTER'!$R$2:$R$495,MATCH("Control WB Box 5: D2",'CONTROL MASTER'!$J$2:$J$495,0)),"")</f>
        <v/>
      </c>
      <c r="D58" s="9" t="str">
        <f>IFERROR(INDEX('CONTROL MASTER'!$R$2:$R$495,MATCH("Control WB Box 5: D3",'CONTROL MASTER'!$J$2:$J$495,0)),"")</f>
        <v/>
      </c>
      <c r="E58" s="9" t="str">
        <f>IFERROR(INDEX('CONTROL MASTER'!$R$2:$R$495,MATCH("Control WB Box 5: D4",'CONTROL MASTER'!$J$2:$J$495,0)),"")</f>
        <v/>
      </c>
      <c r="F58" s="9" t="str">
        <f>IFERROR(INDEX('CONTROL MASTER'!$R$2:$R$495,MATCH("Control WB Box 5: D5",'CONTROL MASTER'!$J$2:$J$495,0)),"")</f>
        <v/>
      </c>
      <c r="G58" s="9" t="str">
        <f>IFERROR(INDEX('CONTROL MASTER'!$R$2:$R$495,MATCH("Control WB Box 5: D6",'CONTROL MASTER'!$J$2:$J$495,0)),"")</f>
        <v/>
      </c>
      <c r="H58" s="9" t="str">
        <f>IFERROR(INDEX('CONTROL MASTER'!$R$2:$R$495,MATCH("Control WB Box 5: D7",'CONTROL MASTER'!$J$2:$J$495,0)),"")</f>
        <v/>
      </c>
      <c r="I58" s="9" t="str">
        <f>IFERROR(INDEX('CONTROL MASTER'!$R$2:$R$495,MATCH("Control WB Box 5: D8",'CONTROL MASTER'!$J$2:$J$495,0)),"")</f>
        <v/>
      </c>
      <c r="J58" s="9" t="str">
        <f>IFERROR(INDEX('CONTROL MASTER'!$R$2:$R$495,MATCH("Control WB Box 5: D9",'CONTROL MASTER'!$J$2:$J$495,0)),"")</f>
        <v/>
      </c>
    </row>
    <row r="59" spans="1:10" ht="15" customHeight="1" x14ac:dyDescent="0.35">
      <c r="A59" s="8" t="s">
        <v>32</v>
      </c>
      <c r="B59" s="9" t="str">
        <f>IFERROR(INDEX('CONTROL MASTER'!$R$2:$R$495,MATCH("Control WB Box 5: E1",'CONTROL MASTER'!$J$2:$J$495,0)),"")</f>
        <v/>
      </c>
      <c r="C59" s="9" t="str">
        <f>IFERROR(INDEX('CONTROL MASTER'!$R$2:$R$495,MATCH("Control WB Box 5: E2",'CONTROL MASTER'!$J$2:$J$495,0)),"")</f>
        <v/>
      </c>
      <c r="D59" s="9" t="str">
        <f>IFERROR(INDEX('CONTROL MASTER'!$R$2:$R$495,MATCH("Control WB Box 5: E3",'CONTROL MASTER'!$J$2:$J$495,0)),"")</f>
        <v/>
      </c>
      <c r="E59" s="9" t="str">
        <f>IFERROR(INDEX('CONTROL MASTER'!$R$2:$R$495,MATCH("Control WB Box 5: E4",'CONTROL MASTER'!$J$2:$J$495,0)),"")</f>
        <v/>
      </c>
      <c r="F59" s="9" t="str">
        <f>IFERROR(INDEX('CONTROL MASTER'!$R$2:$R$495,MATCH("Control WB Box 5: E5",'CONTROL MASTER'!$J$2:$J$495,0)),"")</f>
        <v/>
      </c>
      <c r="G59" s="9" t="str">
        <f>IFERROR(INDEX('CONTROL MASTER'!$R$2:$R$495,MATCH("Control WB Box 5: E6",'CONTROL MASTER'!$J$2:$J$495,0)),"")</f>
        <v/>
      </c>
      <c r="H59" s="9" t="str">
        <f>IFERROR(INDEX('CONTROL MASTER'!$R$2:$R$495,MATCH("Control WB Box 5: E7",'CONTROL MASTER'!$J$2:$J$495,0)),"")</f>
        <v/>
      </c>
      <c r="I59" s="9" t="str">
        <f>IFERROR(INDEX('CONTROL MASTER'!$R$2:$R$495,MATCH("Control WB Box 5: E8",'CONTROL MASTER'!$J$2:$J$495,0)),"")</f>
        <v/>
      </c>
      <c r="J59" s="9" t="str">
        <f>IFERROR(INDEX('CONTROL MASTER'!$R$2:$R$495,MATCH("Control WB Box 5: E9",'CONTROL MASTER'!$J$2:$J$495,0)),"")</f>
        <v/>
      </c>
    </row>
    <row r="60" spans="1:10" ht="15" customHeight="1" x14ac:dyDescent="0.35">
      <c r="A60" s="8" t="s">
        <v>33</v>
      </c>
      <c r="B60" s="9" t="str">
        <f>IFERROR(INDEX('CONTROL MASTER'!$R$2:$R$495,MATCH("Control WB Box 5: F1",'CONTROL MASTER'!$J$2:$J$495,0)),"")</f>
        <v/>
      </c>
      <c r="C60" s="9" t="str">
        <f>IFERROR(INDEX('CONTROL MASTER'!$R$2:$R$495,MATCH("Control WB Box 5: F2",'CONTROL MASTER'!$J$2:$J$495,0)),"")</f>
        <v/>
      </c>
      <c r="D60" s="9" t="str">
        <f>IFERROR(INDEX('CONTROL MASTER'!$R$2:$R$495,MATCH("Control WB Box 5: F3",'CONTROL MASTER'!$J$2:$J$495,0)),"")</f>
        <v/>
      </c>
      <c r="E60" s="9" t="str">
        <f>IFERROR(INDEX('CONTROL MASTER'!$R$2:$R$495,MATCH("Control WB Box 5: F4",'CONTROL MASTER'!$J$2:$J$495,0)),"")</f>
        <v/>
      </c>
      <c r="F60" s="9" t="str">
        <f>IFERROR(INDEX('CONTROL MASTER'!$R$2:$R$495,MATCH("Control WB Box 5: F5",'CONTROL MASTER'!$J$2:$J$495,0)),"")</f>
        <v/>
      </c>
      <c r="G60" s="9" t="str">
        <f>IFERROR(INDEX('CONTROL MASTER'!$R$2:$R$495,MATCH("Control WB Box 5: F6",'CONTROL MASTER'!$J$2:$J$495,0)),"")</f>
        <v/>
      </c>
      <c r="H60" s="9" t="str">
        <f>IFERROR(INDEX('CONTROL MASTER'!$R$2:$R$495,MATCH("Control WB Box 5: F7",'CONTROL MASTER'!$J$2:$J$495,0)),"")</f>
        <v/>
      </c>
      <c r="I60" s="9" t="str">
        <f>IFERROR(INDEX('CONTROL MASTER'!$R$2:$R$495,MATCH("Control WB Box 5: F8",'CONTROL MASTER'!$J$2:$J$495,0)),"")</f>
        <v/>
      </c>
      <c r="J60" s="9" t="str">
        <f>IFERROR(INDEX('CONTROL MASTER'!$R$2:$R$495,MATCH("Control WB Box 5: F9",'CONTROL MASTER'!$J$2:$J$495,0)),"")</f>
        <v/>
      </c>
    </row>
    <row r="61" spans="1:10" ht="15" customHeight="1" x14ac:dyDescent="0.35">
      <c r="A61" s="8" t="s">
        <v>34</v>
      </c>
      <c r="B61" s="9" t="str">
        <f>IFERROR(INDEX('CONTROL MASTER'!$R$2:$R$495,MATCH("Control WB Box 5: G1",'CONTROL MASTER'!$J$2:$J$495,0)),"")</f>
        <v/>
      </c>
      <c r="C61" s="9" t="str">
        <f>IFERROR(INDEX('CONTROL MASTER'!$R$2:$R$495,MATCH("Control WB Box 5: G2",'CONTROL MASTER'!$J$2:$J$495,0)),"")</f>
        <v/>
      </c>
      <c r="D61" s="9" t="str">
        <f>IFERROR(INDEX('CONTROL MASTER'!$R$2:$R$495,MATCH("Control WB Box 5: G3",'CONTROL MASTER'!$J$2:$J$495,0)),"")</f>
        <v/>
      </c>
      <c r="E61" s="9" t="str">
        <f>IFERROR(INDEX('CONTROL MASTER'!$R$2:$R$495,MATCH("Control WB Box 5: G4",'CONTROL MASTER'!$J$2:$J$495,0)),"")</f>
        <v/>
      </c>
      <c r="F61" s="9" t="str">
        <f>IFERROR(INDEX('CONTROL MASTER'!$R$2:$R$495,MATCH("Control WB Box 5: G5",'CONTROL MASTER'!$J$2:$J$495,0)),"")</f>
        <v/>
      </c>
      <c r="G61" s="9" t="str">
        <f>IFERROR(INDEX('CONTROL MASTER'!$R$2:$R$495,MATCH("Control WB Box 5: G6",'CONTROL MASTER'!$J$2:$J$495,0)),"")</f>
        <v/>
      </c>
      <c r="H61" s="9" t="str">
        <f>IFERROR(INDEX('CONTROL MASTER'!$R$2:$R$495,MATCH("Control WB Box 5: G7",'CONTROL MASTER'!$J$2:$J$495,0)),"")</f>
        <v/>
      </c>
      <c r="I61" s="9" t="str">
        <f>IFERROR(INDEX('CONTROL MASTER'!$R$2:$R$495,MATCH("Control WB Box 5: G8",'CONTROL MASTER'!$J$2:$J$495,0)),"")</f>
        <v/>
      </c>
      <c r="J61" s="9" t="str">
        <f>IFERROR(INDEX('CONTROL MASTER'!$R$2:$R$495,MATCH("Control WB Box 5: G9",'CONTROL MASTER'!$J$2:$J$495,0)),"")</f>
        <v/>
      </c>
    </row>
    <row r="62" spans="1:10" ht="15" customHeight="1" x14ac:dyDescent="0.35">
      <c r="A62" s="8" t="s">
        <v>35</v>
      </c>
      <c r="B62" s="9" t="str">
        <f>IFERROR(INDEX('CONTROL MASTER'!$R$2:$R$495,MATCH("Control WB Box 5: H1",'CONTROL MASTER'!$J$2:$J$495,0)),"")</f>
        <v/>
      </c>
      <c r="C62" s="9" t="str">
        <f>IFERROR(INDEX('CONTROL MASTER'!$R$2:$R$495,MATCH("Control WB Box 5: H2",'CONTROL MASTER'!$J$2:$J$495,0)),"")</f>
        <v/>
      </c>
      <c r="D62" s="9" t="str">
        <f>IFERROR(INDEX('CONTROL MASTER'!$R$2:$R$495,MATCH("Control WB Box 5: H3",'CONTROL MASTER'!$J$2:$J$495,0)),"")</f>
        <v/>
      </c>
      <c r="E62" s="9" t="str">
        <f>IFERROR(INDEX('CONTROL MASTER'!$R$2:$R$495,MATCH("Control WB Box 5: H4",'CONTROL MASTER'!$J$2:$J$495,0)),"")</f>
        <v/>
      </c>
      <c r="F62" s="9" t="str">
        <f>IFERROR(INDEX('CONTROL MASTER'!$R$2:$R$495,MATCH("Control WB Box 5: H5",'CONTROL MASTER'!$J$2:$J$495,0)),"")</f>
        <v/>
      </c>
      <c r="G62" s="9" t="str">
        <f>IFERROR(INDEX('CONTROL MASTER'!$R$2:$R$495,MATCH("Control WB Box 5: H6",'CONTROL MASTER'!$J$2:$J$495,0)),"")</f>
        <v/>
      </c>
      <c r="H62" s="9" t="str">
        <f>IFERROR(INDEX('CONTROL MASTER'!$R$2:$R$495,MATCH("Control WB Box 5: H7",'CONTROL MASTER'!$J$2:$J$495,0)),"")</f>
        <v/>
      </c>
      <c r="I62" s="9" t="str">
        <f>IFERROR(INDEX('CONTROL MASTER'!$R$2:$R$495,MATCH("Control WB Box 5: H8",'CONTROL MASTER'!$J$2:$J$495,0)),"")</f>
        <v/>
      </c>
      <c r="J62" s="9" t="str">
        <f>IFERROR(INDEX('CONTROL MASTER'!$R$2:$R$495,MATCH("Control WB Box 5: H9",'CONTROL MASTER'!$J$2:$J$495,0)),"")</f>
        <v/>
      </c>
    </row>
    <row r="63" spans="1:10" ht="15" customHeight="1" x14ac:dyDescent="0.35">
      <c r="A63" s="8" t="s">
        <v>81</v>
      </c>
      <c r="B63" s="9" t="str">
        <f>IFERROR(INDEX('CONTROL MASTER'!$R$2:$R$495,MATCH("Control WB Box 5: I1",'CONTROL MASTER'!$J$2:$J$495,0)),"")</f>
        <v/>
      </c>
      <c r="C63" s="9" t="str">
        <f>IFERROR(INDEX('CONTROL MASTER'!$R$2:$R$495,MATCH("Control WB Box 5: I2",'CONTROL MASTER'!$J$2:$J$495,0)),"")</f>
        <v/>
      </c>
      <c r="D63" s="9" t="str">
        <f>IFERROR(INDEX('CONTROL MASTER'!$R$2:$R$495,MATCH("Control WB Box 5: I3",'CONTROL MASTER'!$J$2:$J$495,0)),"")</f>
        <v/>
      </c>
      <c r="E63" s="9" t="str">
        <f>IFERROR(INDEX('CONTROL MASTER'!$R$2:$R$495,MATCH("Control WB Box 5: I4",'CONTROL MASTER'!$J$2:$J$495,0)),"")</f>
        <v/>
      </c>
      <c r="F63" s="9" t="str">
        <f>IFERROR(INDEX('CONTROL MASTER'!$R$2:$R$495,MATCH("Control WB Box 5: I5",'CONTROL MASTER'!$J$2:$J$495,0)),"")</f>
        <v/>
      </c>
      <c r="G63" s="9" t="str">
        <f>IFERROR(INDEX('CONTROL MASTER'!$R$2:$R$495,MATCH("Control WB Box 5: I6",'CONTROL MASTER'!$J$2:$J$495,0)),"")</f>
        <v/>
      </c>
      <c r="H63" s="9" t="str">
        <f>IFERROR(INDEX('CONTROL MASTER'!$R$2:$R$495,MATCH("Control WB Box 5: I7",'CONTROL MASTER'!$J$2:$J$495,0)),"")</f>
        <v/>
      </c>
      <c r="I63" s="9" t="str">
        <f>IFERROR(INDEX('CONTROL MASTER'!$R$2:$R$495,MATCH("Control WB Box 5: I8",'CONTROL MASTER'!$J$2:$J$495,0)),"")</f>
        <v/>
      </c>
      <c r="J63" s="9" t="str">
        <f>IFERROR(INDEX('CONTROL MASTER'!$R$2:$R$495,MATCH("Control WB Box 5: I9",'CONTROL MASTER'!$J$2:$J$495,0)),"")</f>
        <v/>
      </c>
    </row>
    <row r="66" spans="1:10" ht="15" customHeight="1" x14ac:dyDescent="0.35">
      <c r="A66" s="12" t="s">
        <v>177</v>
      </c>
      <c r="B66" s="13"/>
      <c r="C66" s="13"/>
      <c r="D66" s="13"/>
      <c r="E66" s="13"/>
      <c r="F66" s="13"/>
      <c r="G66" s="13"/>
      <c r="H66" s="13"/>
      <c r="I66" s="13"/>
      <c r="J66" s="13"/>
    </row>
    <row r="67" spans="1:10" ht="15" customHeight="1" x14ac:dyDescent="0.35">
      <c r="B67" s="8">
        <v>1</v>
      </c>
      <c r="C67" s="8">
        <v>2</v>
      </c>
      <c r="D67" s="8">
        <v>3</v>
      </c>
      <c r="E67" s="8">
        <v>4</v>
      </c>
      <c r="F67" s="8">
        <v>5</v>
      </c>
      <c r="G67" s="8">
        <v>6</v>
      </c>
      <c r="H67" s="8">
        <v>7</v>
      </c>
      <c r="I67" s="8">
        <v>8</v>
      </c>
      <c r="J67" s="8">
        <v>9</v>
      </c>
    </row>
    <row r="68" spans="1:10" ht="15" customHeight="1" x14ac:dyDescent="0.35">
      <c r="A68" s="8" t="s">
        <v>28</v>
      </c>
      <c r="B68" s="9" t="str">
        <f>IFERROR(INDEX('CONTROL MASTER'!$R$2:$R$495,MATCH("Control WB Box 6: A1",'CONTROL MASTER'!$J$2:$J$495,0)),"")</f>
        <v/>
      </c>
      <c r="C68" s="9" t="str">
        <f>IFERROR(INDEX('CONTROL MASTER'!$R$2:$R$495,MATCH("Control WB Box 6: A2",'CONTROL MASTER'!$J$2:$J$495,0)),"")</f>
        <v/>
      </c>
      <c r="D68" s="9" t="str">
        <f>IFERROR(INDEX('CONTROL MASTER'!$R$2:$R$495,MATCH("Control WB Box 6: A3",'CONTROL MASTER'!$J$2:$J$495,0)),"")</f>
        <v/>
      </c>
      <c r="E68" s="9" t="str">
        <f>IFERROR(INDEX('CONTROL MASTER'!$R$2:$R$495,MATCH("Control WB Box 6: A4",'CONTROL MASTER'!$J$2:$J$495,0)),"")</f>
        <v/>
      </c>
      <c r="F68" s="9" t="str">
        <f>IFERROR(INDEX('CONTROL MASTER'!$R$2:$R$495,MATCH("Control WB Box 6: A5",'CONTROL MASTER'!$J$2:$J$495,0)),"")</f>
        <v/>
      </c>
      <c r="G68" s="9" t="str">
        <f>IFERROR(INDEX('CONTROL MASTER'!$R$2:$R$495,MATCH("Control WB Box 6: A6",'CONTROL MASTER'!$J$2:$J$495,0)),"")</f>
        <v/>
      </c>
      <c r="H68" s="9" t="str">
        <f>IFERROR(INDEX('CONTROL MASTER'!$R$2:$R$495,MATCH("Control WB Box 6: A7",'CONTROL MASTER'!$J$2:$J$495,0)),"")</f>
        <v/>
      </c>
      <c r="I68" s="9" t="str">
        <f>IFERROR(INDEX('CONTROL MASTER'!$R$2:$R$495,MATCH("Control WB Box 6: A8",'CONTROL MASTER'!$J$2:$J$495,0)),"")</f>
        <v/>
      </c>
      <c r="J68" s="9" t="str">
        <f>IFERROR(INDEX('CONTROL MASTER'!$R$2:$R$495,MATCH("Control WB Box 6: A9",'CONTROL MASTER'!$J$2:$J$495,0)),"")</f>
        <v/>
      </c>
    </row>
    <row r="69" spans="1:10" ht="15" customHeight="1" x14ac:dyDescent="0.35">
      <c r="A69" s="8" t="s">
        <v>29</v>
      </c>
      <c r="B69" s="9" t="str">
        <f>IFERROR(INDEX('CONTROL MASTER'!$R$2:$R$495,MATCH("Control WB Box 6: B1",'CONTROL MASTER'!$J$2:$J$495,0)),"")</f>
        <v/>
      </c>
      <c r="C69" s="9" t="str">
        <f>IFERROR(INDEX('CONTROL MASTER'!$R$2:$R$495,MATCH("Control WB Box 6: B2",'CONTROL MASTER'!$J$2:$J$495,0)),"")</f>
        <v/>
      </c>
      <c r="D69" s="9" t="str">
        <f>IFERROR(INDEX('CONTROL MASTER'!$R$2:$R$495,MATCH("Control WB Box 6: B3",'CONTROL MASTER'!$J$2:$J$495,0)),"")</f>
        <v/>
      </c>
      <c r="E69" s="9" t="str">
        <f>IFERROR(INDEX('CONTROL MASTER'!$R$2:$R$495,MATCH("Control WB Box 6: B4",'CONTROL MASTER'!$J$2:$J$495,0)),"")</f>
        <v/>
      </c>
      <c r="F69" s="9" t="str">
        <f>IFERROR(INDEX('CONTROL MASTER'!$R$2:$R$495,MATCH("Control WB Box 6: B5",'CONTROL MASTER'!$J$2:$J$495,0)),"")</f>
        <v/>
      </c>
      <c r="G69" s="9" t="str">
        <f>IFERROR(INDEX('CONTROL MASTER'!$R$2:$R$495,MATCH("Control WB Box 6: B6",'CONTROL MASTER'!$J$2:$J$495,0)),"")</f>
        <v/>
      </c>
      <c r="H69" s="9" t="str">
        <f>IFERROR(INDEX('CONTROL MASTER'!$R$2:$R$495,MATCH("Control WB Box 6: B7",'CONTROL MASTER'!$J$2:$J$495,0)),"")</f>
        <v/>
      </c>
      <c r="I69" s="9" t="str">
        <f>IFERROR(INDEX('CONTROL MASTER'!$R$2:$R$495,MATCH("Control WB Box 6: B8",'CONTROL MASTER'!$J$2:$J$495,0)),"")</f>
        <v/>
      </c>
      <c r="J69" s="9" t="str">
        <f>IFERROR(INDEX('CONTROL MASTER'!$R$2:$R$495,MATCH("Control WB Box 6: B9",'CONTROL MASTER'!$J$2:$J$495,0)),"")</f>
        <v/>
      </c>
    </row>
    <row r="70" spans="1:10" ht="15" customHeight="1" x14ac:dyDescent="0.35">
      <c r="A70" s="8" t="s">
        <v>30</v>
      </c>
      <c r="B70" s="9" t="str">
        <f>IFERROR(INDEX('CONTROL MASTER'!$R$2:$R$495,MATCH("Control WB Box 6: C1",'CONTROL MASTER'!$J$2:$J$495,0)),"")</f>
        <v/>
      </c>
      <c r="C70" s="9" t="str">
        <f>IFERROR(INDEX('CONTROL MASTER'!$R$2:$R$495,MATCH("Control WB Box 6: C2",'CONTROL MASTER'!$J$2:$J$495,0)),"")</f>
        <v/>
      </c>
      <c r="D70" s="9" t="str">
        <f>IFERROR(INDEX('CONTROL MASTER'!$R$2:$R$495,MATCH("Control WB Box 6: C3",'CONTROL MASTER'!$J$2:$J$495,0)),"")</f>
        <v/>
      </c>
      <c r="E70" s="9" t="str">
        <f>IFERROR(INDEX('CONTROL MASTER'!$R$2:$R$495,MATCH("Control WB Box 6: C4",'CONTROL MASTER'!$J$2:$J$495,0)),"")</f>
        <v/>
      </c>
      <c r="F70" s="9" t="str">
        <f>IFERROR(INDEX('CONTROL MASTER'!$R$2:$R$495,MATCH("Control WB Box 6: C5",'CONTROL MASTER'!$J$2:$J$495,0)),"")</f>
        <v/>
      </c>
      <c r="G70" s="9" t="str">
        <f>IFERROR(INDEX('CONTROL MASTER'!$R$2:$R$495,MATCH("Control WB Box 6: C6",'CONTROL MASTER'!$J$2:$J$495,0)),"")</f>
        <v/>
      </c>
      <c r="H70" s="9" t="str">
        <f>IFERROR(INDEX('CONTROL MASTER'!$R$2:$R$495,MATCH("Control WB Box 6: C7",'CONTROL MASTER'!$J$2:$J$495,0)),"")</f>
        <v/>
      </c>
      <c r="I70" s="9" t="str">
        <f>IFERROR(INDEX('CONTROL MASTER'!$R$2:$R$495,MATCH("Control WB Box 6: C8",'CONTROL MASTER'!$J$2:$J$495,0)),"")</f>
        <v/>
      </c>
      <c r="J70" s="9" t="str">
        <f>IFERROR(INDEX('CONTROL MASTER'!$R$2:$R$495,MATCH("Control WB Box 6: C9",'CONTROL MASTER'!$J$2:$J$495,0)),"")</f>
        <v/>
      </c>
    </row>
    <row r="71" spans="1:10" ht="15" customHeight="1" x14ac:dyDescent="0.35">
      <c r="A71" s="8" t="s">
        <v>31</v>
      </c>
      <c r="B71" s="9" t="str">
        <f>IFERROR(INDEX('CONTROL MASTER'!$R$2:$R$495,MATCH("Control WB Box 6: D1",'CONTROL MASTER'!$J$2:$J$495,0)),"")</f>
        <v/>
      </c>
      <c r="C71" s="9" t="str">
        <f>IFERROR(INDEX('CONTROL MASTER'!$R$2:$R$495,MATCH("Control WB Box 6: D2",'CONTROL MASTER'!$J$2:$J$495,0)),"")</f>
        <v/>
      </c>
      <c r="D71" s="9" t="str">
        <f>IFERROR(INDEX('CONTROL MASTER'!$R$2:$R$495,MATCH("Control WB Box 6: D3",'CONTROL MASTER'!$J$2:$J$495,0)),"")</f>
        <v/>
      </c>
      <c r="E71" s="9" t="str">
        <f>IFERROR(INDEX('CONTROL MASTER'!$R$2:$R$495,MATCH("Control WB Box 6: D4",'CONTROL MASTER'!$J$2:$J$495,0)),"")</f>
        <v/>
      </c>
      <c r="F71" s="9" t="str">
        <f>IFERROR(INDEX('CONTROL MASTER'!$R$2:$R$495,MATCH("Control WB Box 6: D5",'CONTROL MASTER'!$J$2:$J$495,0)),"")</f>
        <v/>
      </c>
      <c r="G71" s="9" t="str">
        <f>IFERROR(INDEX('CONTROL MASTER'!$R$2:$R$495,MATCH("Control WB Box 6: D6",'CONTROL MASTER'!$J$2:$J$495,0)),"")</f>
        <v/>
      </c>
      <c r="H71" s="9" t="str">
        <f>IFERROR(INDEX('CONTROL MASTER'!$R$2:$R$495,MATCH("Control WB Box 6: D7",'CONTROL MASTER'!$J$2:$J$495,0)),"")</f>
        <v/>
      </c>
      <c r="I71" s="9" t="str">
        <f>IFERROR(INDEX('CONTROL MASTER'!$R$2:$R$495,MATCH("Control WB Box 6: D8",'CONTROL MASTER'!$J$2:$J$495,0)),"")</f>
        <v/>
      </c>
      <c r="J71" s="9" t="str">
        <f>IFERROR(INDEX('CONTROL MASTER'!$R$2:$R$495,MATCH("Control WB Box 6: D9",'CONTROL MASTER'!$J$2:$J$495,0)),"")</f>
        <v/>
      </c>
    </row>
    <row r="72" spans="1:10" ht="15" customHeight="1" x14ac:dyDescent="0.35">
      <c r="A72" s="8" t="s">
        <v>32</v>
      </c>
      <c r="B72" s="9" t="str">
        <f>IFERROR(INDEX('CONTROL MASTER'!$R$2:$R$495,MATCH("Control WB Box 6: E1",'CONTROL MASTER'!$J$2:$J$495,0)),"")</f>
        <v/>
      </c>
      <c r="C72" s="9" t="str">
        <f>IFERROR(INDEX('CONTROL MASTER'!$R$2:$R$495,MATCH("Control WB Box 6: E2",'CONTROL MASTER'!$J$2:$J$495,0)),"")</f>
        <v/>
      </c>
      <c r="D72" s="9" t="str">
        <f>IFERROR(INDEX('CONTROL MASTER'!$R$2:$R$495,MATCH("Control WB Box 6: E3",'CONTROL MASTER'!$J$2:$J$495,0)),"")</f>
        <v/>
      </c>
      <c r="E72" s="9" t="str">
        <f>IFERROR(INDEX('CONTROL MASTER'!$R$2:$R$495,MATCH("Control WB Box 6: E4",'CONTROL MASTER'!$J$2:$J$495,0)),"")</f>
        <v/>
      </c>
      <c r="F72" s="9" t="str">
        <f>IFERROR(INDEX('CONTROL MASTER'!$R$2:$R$495,MATCH("Control WB Box 6: E5",'CONTROL MASTER'!$J$2:$J$495,0)),"")</f>
        <v/>
      </c>
      <c r="G72" s="9" t="str">
        <f>IFERROR(INDEX('CONTROL MASTER'!$R$2:$R$495,MATCH("Control WB Box 6: E6",'CONTROL MASTER'!$J$2:$J$495,0)),"")</f>
        <v/>
      </c>
      <c r="H72" s="9" t="str">
        <f>IFERROR(INDEX('CONTROL MASTER'!$R$2:$R$495,MATCH("Control WB Box 6: E7",'CONTROL MASTER'!$J$2:$J$495,0)),"")</f>
        <v/>
      </c>
      <c r="I72" s="9" t="str">
        <f>IFERROR(INDEX('CONTROL MASTER'!$R$2:$R$495,MATCH("Control WB Box 6: E8",'CONTROL MASTER'!$J$2:$J$495,0)),"")</f>
        <v/>
      </c>
      <c r="J72" s="9" t="str">
        <f>IFERROR(INDEX('CONTROL MASTER'!$R$2:$R$495,MATCH("Control WB Box 6: E9",'CONTROL MASTER'!$J$2:$J$495,0)),"")</f>
        <v/>
      </c>
    </row>
    <row r="73" spans="1:10" ht="15" customHeight="1" x14ac:dyDescent="0.35">
      <c r="A73" s="8" t="s">
        <v>33</v>
      </c>
      <c r="B73" s="9" t="str">
        <f>IFERROR(INDEX('CONTROL MASTER'!$R$2:$R$495,MATCH("Control WB Box 6: F1",'CONTROL MASTER'!$J$2:$J$495,0)),"")</f>
        <v/>
      </c>
      <c r="C73" s="9" t="str">
        <f>IFERROR(INDEX('CONTROL MASTER'!$R$2:$R$495,MATCH("Control WB Box 6: F2",'CONTROL MASTER'!$J$2:$J$495,0)),"")</f>
        <v/>
      </c>
      <c r="D73" s="9" t="str">
        <f>IFERROR(INDEX('CONTROL MASTER'!$R$2:$R$495,MATCH("Control WB Box 6: F3",'CONTROL MASTER'!$J$2:$J$495,0)),"")</f>
        <v/>
      </c>
      <c r="E73" s="9" t="str">
        <f>IFERROR(INDEX('CONTROL MASTER'!$R$2:$R$495,MATCH("Control WB Box 6: F4",'CONTROL MASTER'!$J$2:$J$495,0)),"")</f>
        <v/>
      </c>
      <c r="F73" s="9" t="str">
        <f>IFERROR(INDEX('CONTROL MASTER'!$R$2:$R$495,MATCH("Control WB Box 6: F5",'CONTROL MASTER'!$J$2:$J$495,0)),"")</f>
        <v/>
      </c>
      <c r="G73" s="9" t="str">
        <f>IFERROR(INDEX('CONTROL MASTER'!$R$2:$R$495,MATCH("Control WB Box 6: F6",'CONTROL MASTER'!$J$2:$J$495,0)),"")</f>
        <v/>
      </c>
      <c r="H73" s="9" t="str">
        <f>IFERROR(INDEX('CONTROL MASTER'!$R$2:$R$495,MATCH("Control WB Box 6: F7",'CONTROL MASTER'!$J$2:$J$495,0)),"")</f>
        <v/>
      </c>
      <c r="I73" s="9" t="str">
        <f>IFERROR(INDEX('CONTROL MASTER'!$R$2:$R$495,MATCH("Control WB Box 6: F8",'CONTROL MASTER'!$J$2:$J$495,0)),"")</f>
        <v/>
      </c>
      <c r="J73" s="9" t="str">
        <f>IFERROR(INDEX('CONTROL MASTER'!$R$2:$R$495,MATCH("Control WB Box 6: F9",'CONTROL MASTER'!$J$2:$J$495,0)),"")</f>
        <v/>
      </c>
    </row>
    <row r="74" spans="1:10" ht="15" customHeight="1" x14ac:dyDescent="0.35">
      <c r="A74" s="8" t="s">
        <v>34</v>
      </c>
      <c r="B74" s="9" t="str">
        <f>IFERROR(INDEX('CONTROL MASTER'!$R$2:$R$495,MATCH("Control WB Box 6: G1",'CONTROL MASTER'!$J$2:$J$495,0)),"")</f>
        <v/>
      </c>
      <c r="C74" s="9" t="str">
        <f>IFERROR(INDEX('CONTROL MASTER'!$R$2:$R$495,MATCH("Control WB Box 6: G2",'CONTROL MASTER'!$J$2:$J$495,0)),"")</f>
        <v/>
      </c>
      <c r="D74" s="9" t="str">
        <f>IFERROR(INDEX('CONTROL MASTER'!$R$2:$R$495,MATCH("Control WB Box 6: G3",'CONTROL MASTER'!$J$2:$J$495,0)),"")</f>
        <v/>
      </c>
      <c r="E74" s="9" t="str">
        <f>IFERROR(INDEX('CONTROL MASTER'!$R$2:$R$495,MATCH("Control WB Box 6: G4",'CONTROL MASTER'!$J$2:$J$495,0)),"")</f>
        <v/>
      </c>
      <c r="F74" s="9" t="str">
        <f>IFERROR(INDEX('CONTROL MASTER'!$R$2:$R$495,MATCH("Control WB Box 6: G5",'CONTROL MASTER'!$J$2:$J$495,0)),"")</f>
        <v/>
      </c>
      <c r="G74" s="9" t="str">
        <f>IFERROR(INDEX('CONTROL MASTER'!$R$2:$R$495,MATCH("Control WB Box 6: G6",'CONTROL MASTER'!$J$2:$J$495,0)),"")</f>
        <v/>
      </c>
      <c r="H74" s="9" t="str">
        <f>IFERROR(INDEX('CONTROL MASTER'!$R$2:$R$495,MATCH("Control WB Box 6: G7",'CONTROL MASTER'!$J$2:$J$495,0)),"")</f>
        <v/>
      </c>
      <c r="I74" s="9" t="str">
        <f>IFERROR(INDEX('CONTROL MASTER'!$R$2:$R$495,MATCH("Control WB Box 6: G8",'CONTROL MASTER'!$J$2:$J$495,0)),"")</f>
        <v/>
      </c>
      <c r="J74" s="9" t="str">
        <f>IFERROR(INDEX('CONTROL MASTER'!$R$2:$R$495,MATCH("Control WB Box 6: G9",'CONTROL MASTER'!$J$2:$J$495,0)),"")</f>
        <v/>
      </c>
    </row>
    <row r="75" spans="1:10" ht="15" customHeight="1" x14ac:dyDescent="0.35">
      <c r="A75" s="8" t="s">
        <v>35</v>
      </c>
      <c r="B75" s="9" t="str">
        <f>IFERROR(INDEX('CONTROL MASTER'!$R$2:$R$495,MATCH("Control WB Box 6: H1",'CONTROL MASTER'!$J$2:$J$495,0)),"")</f>
        <v/>
      </c>
      <c r="C75" s="9" t="str">
        <f>IFERROR(INDEX('CONTROL MASTER'!$R$2:$R$495,MATCH("Control WB Box 6: H2",'CONTROL MASTER'!$J$2:$J$495,0)),"")</f>
        <v/>
      </c>
      <c r="D75" s="9" t="str">
        <f>IFERROR(INDEX('CONTROL MASTER'!$R$2:$R$495,MATCH("Control WB Box 6: H3",'CONTROL MASTER'!$J$2:$J$495,0)),"")</f>
        <v/>
      </c>
      <c r="E75" s="9" t="str">
        <f>IFERROR(INDEX('CONTROL MASTER'!$R$2:$R$495,MATCH("Control WB Box 6: H4",'CONTROL MASTER'!$J$2:$J$495,0)),"")</f>
        <v/>
      </c>
      <c r="F75" s="9" t="str">
        <f>IFERROR(INDEX('CONTROL MASTER'!$R$2:$R$495,MATCH("Control WB Box 6: H5",'CONTROL MASTER'!$J$2:$J$495,0)),"")</f>
        <v/>
      </c>
      <c r="G75" s="9" t="str">
        <f>IFERROR(INDEX('CONTROL MASTER'!$R$2:$R$495,MATCH("Control WB Box 6: H6",'CONTROL MASTER'!$J$2:$J$495,0)),"")</f>
        <v/>
      </c>
      <c r="H75" s="9" t="str">
        <f>IFERROR(INDEX('CONTROL MASTER'!$R$2:$R$495,MATCH("Control WB Box 6: H7",'CONTROL MASTER'!$J$2:$J$495,0)),"")</f>
        <v/>
      </c>
      <c r="I75" s="9" t="str">
        <f>IFERROR(INDEX('CONTROL MASTER'!$R$2:$R$495,MATCH("Control WB Box 6: H8",'CONTROL MASTER'!$J$2:$J$495,0)),"")</f>
        <v/>
      </c>
      <c r="J75" s="9" t="str">
        <f>IFERROR(INDEX('CONTROL MASTER'!$R$2:$R$495,MATCH("Control WB Box 6: H9",'CONTROL MASTER'!$J$2:$J$495,0)),"")</f>
        <v/>
      </c>
    </row>
    <row r="76" spans="1:10" ht="15" customHeight="1" x14ac:dyDescent="0.35">
      <c r="A76" s="8" t="s">
        <v>81</v>
      </c>
      <c r="B76" s="9" t="str">
        <f>IFERROR(INDEX('CONTROL MASTER'!$R$2:$R$495,MATCH("Control WB Box 6: I1",'CONTROL MASTER'!$J$2:$J$495,0)),"")</f>
        <v/>
      </c>
      <c r="C76" s="9" t="str">
        <f>IFERROR(INDEX('CONTROL MASTER'!$R$2:$R$495,MATCH("Control WB Box 6: I2",'CONTROL MASTER'!$J$2:$J$495,0)),"")</f>
        <v/>
      </c>
      <c r="D76" s="9" t="str">
        <f>IFERROR(INDEX('CONTROL MASTER'!$R$2:$R$495,MATCH("Control WB Box 6: I3",'CONTROL MASTER'!$J$2:$J$495,0)),"")</f>
        <v/>
      </c>
      <c r="E76" s="9" t="str">
        <f>IFERROR(INDEX('CONTROL MASTER'!$R$2:$R$495,MATCH("Control WB Box 6: I4",'CONTROL MASTER'!$J$2:$J$495,0)),"")</f>
        <v/>
      </c>
      <c r="F76" s="9" t="str">
        <f>IFERROR(INDEX('CONTROL MASTER'!$R$2:$R$495,MATCH("Control WB Box 6: I5",'CONTROL MASTER'!$J$2:$J$495,0)),"")</f>
        <v/>
      </c>
      <c r="G76" s="9" t="str">
        <f>IFERROR(INDEX('CONTROL MASTER'!$R$2:$R$495,MATCH("Control WB Box 6: I6",'CONTROL MASTER'!$J$2:$J$495,0)),"")</f>
        <v/>
      </c>
      <c r="H76" s="9" t="str">
        <f>IFERROR(INDEX('CONTROL MASTER'!$R$2:$R$495,MATCH("Control WB Box 6: I7",'CONTROL MASTER'!$J$2:$J$495,0)),"")</f>
        <v/>
      </c>
      <c r="I76" s="9" t="str">
        <f>IFERROR(INDEX('CONTROL MASTER'!$R$2:$R$495,MATCH("Control WB Box 6: I8",'CONTROL MASTER'!$J$2:$J$495,0)),"")</f>
        <v/>
      </c>
      <c r="J76" s="9" t="str">
        <f>IFERROR(INDEX('CONTROL MASTER'!$R$2:$R$495,MATCH("Control WB Box 6: I9",'CONTROL MASTER'!$J$2:$J$495,0)),"")</f>
        <v/>
      </c>
    </row>
    <row r="79" spans="1:10" ht="15" customHeight="1" x14ac:dyDescent="0.35">
      <c r="A79" s="12" t="s">
        <v>178</v>
      </c>
      <c r="B79" s="13"/>
      <c r="C79" s="13"/>
      <c r="D79" s="13"/>
      <c r="E79" s="13"/>
      <c r="F79" s="13"/>
      <c r="G79" s="13"/>
      <c r="H79" s="13"/>
      <c r="I79" s="13"/>
      <c r="J79" s="13"/>
    </row>
    <row r="80" spans="1:10" ht="15" customHeight="1" x14ac:dyDescent="0.35">
      <c r="B80" s="8">
        <v>1</v>
      </c>
      <c r="C80" s="8">
        <v>2</v>
      </c>
      <c r="D80" s="8">
        <v>3</v>
      </c>
      <c r="E80" s="8">
        <v>4</v>
      </c>
      <c r="F80" s="8">
        <v>5</v>
      </c>
      <c r="G80" s="8">
        <v>6</v>
      </c>
      <c r="H80" s="8">
        <v>7</v>
      </c>
      <c r="I80" s="8">
        <v>8</v>
      </c>
      <c r="J80" s="8">
        <v>9</v>
      </c>
    </row>
    <row r="81" spans="1:10" ht="15" customHeight="1" x14ac:dyDescent="0.35">
      <c r="A81" s="8" t="s">
        <v>28</v>
      </c>
      <c r="B81" s="9" t="str">
        <f>IFERROR(INDEX('CONTROL MASTER'!$R$2:$R$495,MATCH("Control WB Box 7: A1",'CONTROL MASTER'!$J$2:$J$495,0)),"")</f>
        <v/>
      </c>
      <c r="C81" s="9" t="str">
        <f>IFERROR(INDEX('CONTROL MASTER'!$R$2:$R$495,MATCH("Control WB Box 7: A2",'CONTROL MASTER'!$J$2:$J$495,0)),"")</f>
        <v/>
      </c>
      <c r="D81" s="9" t="str">
        <f>IFERROR(INDEX('CONTROL MASTER'!$R$2:$R$495,MATCH("Control WB Box 7: A3",'CONTROL MASTER'!$J$2:$J$495,0)),"")</f>
        <v/>
      </c>
      <c r="E81" s="9" t="str">
        <f>IFERROR(INDEX('CONTROL MASTER'!$R$2:$R$495,MATCH("Control WB Box 7: A4",'CONTROL MASTER'!$J$2:$J$495,0)),"")</f>
        <v/>
      </c>
      <c r="F81" s="9" t="str">
        <f>IFERROR(INDEX('CONTROL MASTER'!$R$2:$R$495,MATCH("Control WB Box 7: A5",'CONTROL MASTER'!$J$2:$J$495,0)),"")</f>
        <v/>
      </c>
      <c r="G81" s="9" t="str">
        <f>IFERROR(INDEX('CONTROL MASTER'!$R$2:$R$495,MATCH("Control WB Box 7: A6",'CONTROL MASTER'!$J$2:$J$495,0)),"")</f>
        <v/>
      </c>
      <c r="H81" s="9" t="str">
        <f>IFERROR(INDEX('CONTROL MASTER'!$R$2:$R$495,MATCH("Control WB Box 7: A7",'CONTROL MASTER'!$J$2:$J$495,0)),"")</f>
        <v/>
      </c>
      <c r="I81" s="9" t="str">
        <f>IFERROR(INDEX('CONTROL MASTER'!$R$2:$R$495,MATCH("Control WB Box 7: A8",'CONTROL MASTER'!$J$2:$J$495,0)),"")</f>
        <v/>
      </c>
      <c r="J81" s="9" t="str">
        <f>IFERROR(INDEX('CONTROL MASTER'!$R$2:$R$495,MATCH("Control WB Box 7: A9",'CONTROL MASTER'!$J$2:$J$495,0)),"")</f>
        <v/>
      </c>
    </row>
    <row r="82" spans="1:10" ht="15" customHeight="1" x14ac:dyDescent="0.35">
      <c r="A82" s="8" t="s">
        <v>29</v>
      </c>
      <c r="B82" s="9" t="str">
        <f>IFERROR(INDEX('CONTROL MASTER'!$R$2:$R$495,MATCH("Control WB Box 7: B1",'CONTROL MASTER'!$J$2:$J$495,0)),"")</f>
        <v/>
      </c>
      <c r="C82" s="9" t="str">
        <f>IFERROR(INDEX('CONTROL MASTER'!$R$2:$R$495,MATCH("Control WB Box 7: B2",'CONTROL MASTER'!$J$2:$J$495,0)),"")</f>
        <v/>
      </c>
      <c r="D82" s="9" t="str">
        <f>IFERROR(INDEX('CONTROL MASTER'!$R$2:$R$495,MATCH("Control WB Box 7: B3",'CONTROL MASTER'!$J$2:$J$495,0)),"")</f>
        <v/>
      </c>
      <c r="E82" s="9" t="str">
        <f>IFERROR(INDEX('CONTROL MASTER'!$R$2:$R$495,MATCH("Control WB Box 7: B4",'CONTROL MASTER'!$J$2:$J$495,0)),"")</f>
        <v/>
      </c>
      <c r="F82" s="9" t="str">
        <f>IFERROR(INDEX('CONTROL MASTER'!$R$2:$R$495,MATCH("Control WB Box 7: B5",'CONTROL MASTER'!$J$2:$J$495,0)),"")</f>
        <v/>
      </c>
      <c r="G82" s="9" t="str">
        <f>IFERROR(INDEX('CONTROL MASTER'!$R$2:$R$495,MATCH("Control WB Box 7: B6",'CONTROL MASTER'!$J$2:$J$495,0)),"")</f>
        <v/>
      </c>
      <c r="H82" s="9" t="str">
        <f>IFERROR(INDEX('CONTROL MASTER'!$R$2:$R$495,MATCH("Control WB Box 7: B7",'CONTROL MASTER'!$J$2:$J$495,0)),"")</f>
        <v/>
      </c>
      <c r="I82" s="9" t="str">
        <f>IFERROR(INDEX('CONTROL MASTER'!$R$2:$R$495,MATCH("Control WB Box 7: B8",'CONTROL MASTER'!$J$2:$J$495,0)),"")</f>
        <v/>
      </c>
      <c r="J82" s="9" t="str">
        <f>IFERROR(INDEX('CONTROL MASTER'!$R$2:$R$495,MATCH("Control WB Box 7: B9",'CONTROL MASTER'!$J$2:$J$495,0)),"")</f>
        <v/>
      </c>
    </row>
    <row r="83" spans="1:10" ht="15" customHeight="1" x14ac:dyDescent="0.35">
      <c r="A83" s="8" t="s">
        <v>30</v>
      </c>
      <c r="B83" s="9" t="str">
        <f>IFERROR(INDEX('CONTROL MASTER'!$R$2:$R$495,MATCH("Control WB Box 7: C1",'CONTROL MASTER'!$J$2:$J$495,0)),"")</f>
        <v/>
      </c>
      <c r="C83" s="9" t="str">
        <f>IFERROR(INDEX('CONTROL MASTER'!$R$2:$R$495,MATCH("Control WB Box 7: C2",'CONTROL MASTER'!$J$2:$J$495,0)),"")</f>
        <v/>
      </c>
      <c r="D83" s="9" t="str">
        <f>IFERROR(INDEX('CONTROL MASTER'!$R$2:$R$495,MATCH("Control WB Box 7: C3",'CONTROL MASTER'!$J$2:$J$495,0)),"")</f>
        <v/>
      </c>
      <c r="E83" s="9" t="str">
        <f>IFERROR(INDEX('CONTROL MASTER'!$R$2:$R$495,MATCH("Control WB Box 7: C4",'CONTROL MASTER'!$J$2:$J$495,0)),"")</f>
        <v/>
      </c>
      <c r="F83" s="9" t="str">
        <f>IFERROR(INDEX('CONTROL MASTER'!$R$2:$R$495,MATCH("Control WB Box 7: C5",'CONTROL MASTER'!$J$2:$J$495,0)),"")</f>
        <v/>
      </c>
      <c r="G83" s="9" t="str">
        <f>IFERROR(INDEX('CONTROL MASTER'!$R$2:$R$495,MATCH("Control WB Box 7: C6",'CONTROL MASTER'!$J$2:$J$495,0)),"")</f>
        <v/>
      </c>
      <c r="H83" s="9" t="str">
        <f>IFERROR(INDEX('CONTROL MASTER'!$R$2:$R$495,MATCH("Control WB Box 7: C7",'CONTROL MASTER'!$J$2:$J$495,0)),"")</f>
        <v/>
      </c>
      <c r="I83" s="9" t="str">
        <f>IFERROR(INDEX('CONTROL MASTER'!$R$2:$R$495,MATCH("Control WB Box 7: C8",'CONTROL MASTER'!$J$2:$J$495,0)),"")</f>
        <v/>
      </c>
      <c r="J83" s="9" t="str">
        <f>IFERROR(INDEX('CONTROL MASTER'!$R$2:$R$495,MATCH("Control WB Box 7: C9",'CONTROL MASTER'!$J$2:$J$495,0)),"")</f>
        <v/>
      </c>
    </row>
    <row r="84" spans="1:10" ht="15" customHeight="1" x14ac:dyDescent="0.35">
      <c r="A84" s="8" t="s">
        <v>31</v>
      </c>
      <c r="B84" s="9" t="str">
        <f>IFERROR(INDEX('CONTROL MASTER'!$R$2:$R$495,MATCH("Control WB Box 7: D1",'CONTROL MASTER'!$J$2:$J$495,0)),"")</f>
        <v/>
      </c>
      <c r="C84" s="9" t="str">
        <f>IFERROR(INDEX('CONTROL MASTER'!$R$2:$R$495,MATCH("Control WB Box 7: D2",'CONTROL MASTER'!$J$2:$J$495,0)),"")</f>
        <v/>
      </c>
      <c r="D84" s="9" t="str">
        <f>IFERROR(INDEX('CONTROL MASTER'!$R$2:$R$495,MATCH("Control WB Box 7: D3",'CONTROL MASTER'!$J$2:$J$495,0)),"")</f>
        <v/>
      </c>
      <c r="E84" s="9" t="str">
        <f>IFERROR(INDEX('CONTROL MASTER'!$R$2:$R$495,MATCH("Control WB Box 7: D4",'CONTROL MASTER'!$J$2:$J$495,0)),"")</f>
        <v/>
      </c>
      <c r="F84" s="9" t="str">
        <f>IFERROR(INDEX('CONTROL MASTER'!$R$2:$R$495,MATCH("Control WB Box 7: D5",'CONTROL MASTER'!$J$2:$J$495,0)),"")</f>
        <v/>
      </c>
      <c r="G84" s="9" t="str">
        <f>IFERROR(INDEX('CONTROL MASTER'!$R$2:$R$495,MATCH("Control WB Box 7: D6",'CONTROL MASTER'!$J$2:$J$495,0)),"")</f>
        <v/>
      </c>
      <c r="H84" s="9" t="str">
        <f>IFERROR(INDEX('CONTROL MASTER'!$R$2:$R$495,MATCH("Control WB Box 7: D7",'CONTROL MASTER'!$J$2:$J$495,0)),"")</f>
        <v/>
      </c>
      <c r="I84" s="9" t="str">
        <f>IFERROR(INDEX('CONTROL MASTER'!$R$2:$R$495,MATCH("Control WB Box 7: D8",'CONTROL MASTER'!$J$2:$J$495,0)),"")</f>
        <v/>
      </c>
      <c r="J84" s="9" t="str">
        <f>IFERROR(INDEX('CONTROL MASTER'!$R$2:$R$495,MATCH("Control WB Box 7: D9",'CONTROL MASTER'!$J$2:$J$495,0)),"")</f>
        <v/>
      </c>
    </row>
    <row r="85" spans="1:10" ht="15" customHeight="1" x14ac:dyDescent="0.35">
      <c r="A85" s="8" t="s">
        <v>32</v>
      </c>
      <c r="B85" s="9" t="str">
        <f>IFERROR(INDEX('CONTROL MASTER'!$R$2:$R$495,MATCH("Control WB Box 7: E1",'CONTROL MASTER'!$J$2:$J$495,0)),"")</f>
        <v/>
      </c>
      <c r="C85" s="9" t="str">
        <f>IFERROR(INDEX('CONTROL MASTER'!$R$2:$R$495,MATCH("Control WB Box 7: E2",'CONTROL MASTER'!$J$2:$J$495,0)),"")</f>
        <v/>
      </c>
      <c r="D85" s="9" t="str">
        <f>IFERROR(INDEX('CONTROL MASTER'!$R$2:$R$495,MATCH("Control WB Box 7: E3",'CONTROL MASTER'!$J$2:$J$495,0)),"")</f>
        <v/>
      </c>
      <c r="E85" s="9" t="str">
        <f>IFERROR(INDEX('CONTROL MASTER'!$R$2:$R$495,MATCH("Control WB Box 7: E4",'CONTROL MASTER'!$J$2:$J$495,0)),"")</f>
        <v/>
      </c>
      <c r="F85" s="9" t="str">
        <f>IFERROR(INDEX('CONTROL MASTER'!$R$2:$R$495,MATCH("Control WB Box 7: E5",'CONTROL MASTER'!$J$2:$J$495,0)),"")</f>
        <v/>
      </c>
      <c r="G85" s="9" t="str">
        <f>IFERROR(INDEX('CONTROL MASTER'!$R$2:$R$495,MATCH("Control WB Box 7: E6",'CONTROL MASTER'!$J$2:$J$495,0)),"")</f>
        <v/>
      </c>
      <c r="H85" s="9" t="str">
        <f>IFERROR(INDEX('CONTROL MASTER'!$R$2:$R$495,MATCH("Control WB Box 7: E7",'CONTROL MASTER'!$J$2:$J$495,0)),"")</f>
        <v/>
      </c>
      <c r="I85" s="9" t="str">
        <f>IFERROR(INDEX('CONTROL MASTER'!$R$2:$R$495,MATCH("Control WB Box 7: E8",'CONTROL MASTER'!$J$2:$J$495,0)),"")</f>
        <v/>
      </c>
      <c r="J85" s="9" t="str">
        <f>IFERROR(INDEX('CONTROL MASTER'!$R$2:$R$495,MATCH("Control WB Box 7: E9",'CONTROL MASTER'!$J$2:$J$495,0)),"")</f>
        <v/>
      </c>
    </row>
    <row r="86" spans="1:10" ht="15" customHeight="1" x14ac:dyDescent="0.35">
      <c r="A86" s="8" t="s">
        <v>33</v>
      </c>
      <c r="B86" s="9" t="str">
        <f>IFERROR(INDEX('CONTROL MASTER'!$R$2:$R$495,MATCH("Control WB Box 7: F1",'CONTROL MASTER'!$J$2:$J$495,0)),"")</f>
        <v/>
      </c>
      <c r="C86" s="9" t="str">
        <f>IFERROR(INDEX('CONTROL MASTER'!$R$2:$R$495,MATCH("Control WB Box 7: F2",'CONTROL MASTER'!$J$2:$J$495,0)),"")</f>
        <v/>
      </c>
      <c r="D86" s="9" t="str">
        <f>IFERROR(INDEX('CONTROL MASTER'!$R$2:$R$495,MATCH("Control WB Box 7: F3",'CONTROL MASTER'!$J$2:$J$495,0)),"")</f>
        <v/>
      </c>
      <c r="E86" s="9" t="str">
        <f>IFERROR(INDEX('CONTROL MASTER'!$R$2:$R$495,MATCH("Control WB Box 7: F4",'CONTROL MASTER'!$J$2:$J$495,0)),"")</f>
        <v/>
      </c>
      <c r="F86" s="9" t="str">
        <f>IFERROR(INDEX('CONTROL MASTER'!$R$2:$R$495,MATCH("Control WB Box 7: F5",'CONTROL MASTER'!$J$2:$J$495,0)),"")</f>
        <v/>
      </c>
      <c r="G86" s="9" t="str">
        <f>IFERROR(INDEX('CONTROL MASTER'!$R$2:$R$495,MATCH("Control WB Box 7: F6",'CONTROL MASTER'!$J$2:$J$495,0)),"")</f>
        <v/>
      </c>
      <c r="H86" s="9" t="str">
        <f>IFERROR(INDEX('CONTROL MASTER'!$R$2:$R$495,MATCH("Control WB Box 7: F7",'CONTROL MASTER'!$J$2:$J$495,0)),"")</f>
        <v/>
      </c>
      <c r="I86" s="9" t="str">
        <f>IFERROR(INDEX('CONTROL MASTER'!$R$2:$R$495,MATCH("Control WB Box 7: F8",'CONTROL MASTER'!$J$2:$J$495,0)),"")</f>
        <v/>
      </c>
      <c r="J86" s="9" t="str">
        <f>IFERROR(INDEX('CONTROL MASTER'!$R$2:$R$495,MATCH("Control WB Box 7: F9",'CONTROL MASTER'!$J$2:$J$495,0)),"")</f>
        <v/>
      </c>
    </row>
    <row r="87" spans="1:10" ht="15" customHeight="1" x14ac:dyDescent="0.35">
      <c r="A87" s="8" t="s">
        <v>34</v>
      </c>
      <c r="B87" s="9" t="str">
        <f>IFERROR(INDEX('CONTROL MASTER'!$R$2:$R$495,MATCH("Control WB Box 7: G1",'CONTROL MASTER'!$J$2:$J$495,0)),"")</f>
        <v/>
      </c>
      <c r="C87" s="9" t="str">
        <f>IFERROR(INDEX('CONTROL MASTER'!$R$2:$R$495,MATCH("Control WB Box 7: G2",'CONTROL MASTER'!$J$2:$J$495,0)),"")</f>
        <v/>
      </c>
      <c r="D87" s="9" t="str">
        <f>IFERROR(INDEX('CONTROL MASTER'!$R$2:$R$495,MATCH("Control WB Box 7: G3",'CONTROL MASTER'!$J$2:$J$495,0)),"")</f>
        <v/>
      </c>
      <c r="E87" s="9" t="str">
        <f>IFERROR(INDEX('CONTROL MASTER'!$R$2:$R$495,MATCH("Control WB Box 7: G4",'CONTROL MASTER'!$J$2:$J$495,0)),"")</f>
        <v/>
      </c>
      <c r="F87" s="9" t="str">
        <f>IFERROR(INDEX('CONTROL MASTER'!$R$2:$R$495,MATCH("Control WB Box 7: G5",'CONTROL MASTER'!$J$2:$J$495,0)),"")</f>
        <v/>
      </c>
      <c r="G87" s="9" t="str">
        <f>IFERROR(INDEX('CONTROL MASTER'!$R$2:$R$495,MATCH("Control WB Box 7: G6",'CONTROL MASTER'!$J$2:$J$495,0)),"")</f>
        <v/>
      </c>
      <c r="H87" s="9" t="str">
        <f>IFERROR(INDEX('CONTROL MASTER'!$R$2:$R$495,MATCH("Control WB Box 7: G7",'CONTROL MASTER'!$J$2:$J$495,0)),"")</f>
        <v/>
      </c>
      <c r="I87" s="9" t="str">
        <f>IFERROR(INDEX('CONTROL MASTER'!$R$2:$R$495,MATCH("Control WB Box 7: G8",'CONTROL MASTER'!$J$2:$J$495,0)),"")</f>
        <v/>
      </c>
      <c r="J87" s="9" t="str">
        <f>IFERROR(INDEX('CONTROL MASTER'!$R$2:$R$495,MATCH("Control WB Box 7: G9",'CONTROL MASTER'!$J$2:$J$495,0)),"")</f>
        <v/>
      </c>
    </row>
    <row r="88" spans="1:10" ht="15" customHeight="1" x14ac:dyDescent="0.35">
      <c r="A88" s="8" t="s">
        <v>35</v>
      </c>
      <c r="B88" s="9" t="str">
        <f>IFERROR(INDEX('CONTROL MASTER'!$R$2:$R$495,MATCH("Control WB Box 7: H1",'CONTROL MASTER'!$J$2:$J$495,0)),"")</f>
        <v/>
      </c>
      <c r="C88" s="9" t="str">
        <f>IFERROR(INDEX('CONTROL MASTER'!$R$2:$R$495,MATCH("Control WB Box 7: H2",'CONTROL MASTER'!$J$2:$J$495,0)),"")</f>
        <v/>
      </c>
      <c r="D88" s="9" t="str">
        <f>IFERROR(INDEX('CONTROL MASTER'!$R$2:$R$495,MATCH("Control WB Box 7: H3",'CONTROL MASTER'!$J$2:$J$495,0)),"")</f>
        <v/>
      </c>
      <c r="E88" s="9" t="str">
        <f>IFERROR(INDEX('CONTROL MASTER'!$R$2:$R$495,MATCH("Control WB Box 7: H4",'CONTROL MASTER'!$J$2:$J$495,0)),"")</f>
        <v/>
      </c>
      <c r="F88" s="9" t="str">
        <f>IFERROR(INDEX('CONTROL MASTER'!$R$2:$R$495,MATCH("Control WB Box 7: H5",'CONTROL MASTER'!$J$2:$J$495,0)),"")</f>
        <v/>
      </c>
      <c r="G88" s="9" t="str">
        <f>IFERROR(INDEX('CONTROL MASTER'!$R$2:$R$495,MATCH("Control WB Box 7: H6",'CONTROL MASTER'!$J$2:$J$495,0)),"")</f>
        <v/>
      </c>
      <c r="H88" s="9" t="str">
        <f>IFERROR(INDEX('CONTROL MASTER'!$R$2:$R$495,MATCH("Control WB Box 7: H7",'CONTROL MASTER'!$J$2:$J$495,0)),"")</f>
        <v/>
      </c>
      <c r="I88" s="9" t="str">
        <f>IFERROR(INDEX('CONTROL MASTER'!$R$2:$R$495,MATCH("Control WB Box 7: H8",'CONTROL MASTER'!$J$2:$J$495,0)),"")</f>
        <v/>
      </c>
      <c r="J88" s="9" t="str">
        <f>IFERROR(INDEX('CONTROL MASTER'!$R$2:$R$495,MATCH("Control WB Box 7: H9",'CONTROL MASTER'!$J$2:$J$495,0)),"")</f>
        <v/>
      </c>
    </row>
    <row r="89" spans="1:10" ht="15" customHeight="1" x14ac:dyDescent="0.35">
      <c r="A89" s="8" t="s">
        <v>81</v>
      </c>
      <c r="B89" s="9" t="str">
        <f>IFERROR(INDEX('CONTROL MASTER'!$R$2:$R$495,MATCH("Control WB Box 7: I1",'CONTROL MASTER'!$J$2:$J$495,0)),"")</f>
        <v/>
      </c>
      <c r="C89" s="9" t="str">
        <f>IFERROR(INDEX('CONTROL MASTER'!$R$2:$R$495,MATCH("Control WB Box 7: I2",'CONTROL MASTER'!$J$2:$J$495,0)),"")</f>
        <v/>
      </c>
      <c r="D89" s="9" t="str">
        <f>IFERROR(INDEX('CONTROL MASTER'!$R$2:$R$495,MATCH("Control WB Box 7: I3",'CONTROL MASTER'!$J$2:$J$495,0)),"")</f>
        <v/>
      </c>
      <c r="E89" s="9" t="str">
        <f>IFERROR(INDEX('CONTROL MASTER'!$R$2:$R$495,MATCH("Control WB Box 7: I4",'CONTROL MASTER'!$J$2:$J$495,0)),"")</f>
        <v/>
      </c>
      <c r="F89" s="9" t="str">
        <f>IFERROR(INDEX('CONTROL MASTER'!$R$2:$R$495,MATCH("Control WB Box 7: I5",'CONTROL MASTER'!$J$2:$J$495,0)),"")</f>
        <v/>
      </c>
      <c r="G89" s="9" t="str">
        <f>IFERROR(INDEX('CONTROL MASTER'!$R$2:$R$495,MATCH("Control WB Box 7: I6",'CONTROL MASTER'!$J$2:$J$495,0)),"")</f>
        <v/>
      </c>
      <c r="H89" s="9" t="str">
        <f>IFERROR(INDEX('CONTROL MASTER'!$R$2:$R$495,MATCH("Control WB Box 7: I7",'CONTROL MASTER'!$J$2:$J$495,0)),"")</f>
        <v/>
      </c>
      <c r="I89" s="9" t="str">
        <f>IFERROR(INDEX('CONTROL MASTER'!$R$2:$R$495,MATCH("Control WB Box 7: I8",'CONTROL MASTER'!$J$2:$J$495,0)),"")</f>
        <v/>
      </c>
      <c r="J89" s="9" t="str">
        <f>IFERROR(INDEX('CONTROL MASTER'!$R$2:$R$495,MATCH("Control WB Box 7: I9",'CONTROL MASTER'!$J$2:$J$495,0)),"")</f>
        <v/>
      </c>
    </row>
    <row r="92" spans="1:10" ht="15" customHeight="1" x14ac:dyDescent="0.35">
      <c r="A92" s="12" t="s">
        <v>179</v>
      </c>
      <c r="B92" s="13"/>
      <c r="C92" s="13"/>
      <c r="D92" s="13"/>
      <c r="E92" s="13"/>
      <c r="F92" s="13"/>
      <c r="G92" s="13"/>
      <c r="H92" s="13"/>
      <c r="I92" s="13"/>
      <c r="J92" s="13"/>
    </row>
    <row r="93" spans="1:10" ht="15" customHeight="1" x14ac:dyDescent="0.35">
      <c r="B93" s="8">
        <v>1</v>
      </c>
      <c r="C93" s="8">
        <v>2</v>
      </c>
      <c r="D93" s="8">
        <v>3</v>
      </c>
      <c r="E93" s="8">
        <v>4</v>
      </c>
      <c r="F93" s="8">
        <v>5</v>
      </c>
      <c r="G93" s="8">
        <v>6</v>
      </c>
      <c r="H93" s="8">
        <v>7</v>
      </c>
      <c r="I93" s="8">
        <v>8</v>
      </c>
      <c r="J93" s="8">
        <v>9</v>
      </c>
    </row>
    <row r="94" spans="1:10" ht="15" customHeight="1" x14ac:dyDescent="0.35">
      <c r="A94" s="8" t="s">
        <v>28</v>
      </c>
      <c r="B94" s="9" t="str">
        <f>IFERROR(INDEX('CONTROL MASTER'!$R$2:$R$495,MATCH("Control WB Box 8: A1",'CONTROL MASTER'!$J$2:$J$495,0)),"")</f>
        <v/>
      </c>
      <c r="C94" s="9" t="str">
        <f>IFERROR(INDEX('CONTROL MASTER'!$R$2:$R$495,MATCH("Control WB Box 8: A2",'CONTROL MASTER'!$J$2:$J$495,0)),"")</f>
        <v/>
      </c>
      <c r="D94" s="9" t="str">
        <f>IFERROR(INDEX('CONTROL MASTER'!$R$2:$R$495,MATCH("Control WB Box 8: A3",'CONTROL MASTER'!$J$2:$J$495,0)),"")</f>
        <v/>
      </c>
      <c r="E94" s="9" t="str">
        <f>IFERROR(INDEX('CONTROL MASTER'!$R$2:$R$495,MATCH("Control WB Box 8: A4",'CONTROL MASTER'!$J$2:$J$495,0)),"")</f>
        <v/>
      </c>
      <c r="F94" s="9" t="str">
        <f>IFERROR(INDEX('CONTROL MASTER'!$R$2:$R$495,MATCH("Control WB Box 8: A5",'CONTROL MASTER'!$J$2:$J$495,0)),"")</f>
        <v/>
      </c>
      <c r="G94" s="9" t="str">
        <f>IFERROR(INDEX('CONTROL MASTER'!$R$2:$R$495,MATCH("Control WB Box 8: A6",'CONTROL MASTER'!$J$2:$J$495,0)),"")</f>
        <v/>
      </c>
      <c r="H94" s="9" t="str">
        <f>IFERROR(INDEX('CONTROL MASTER'!$R$2:$R$495,MATCH("Control WB Box 8: A7",'CONTROL MASTER'!$J$2:$J$495,0)),"")</f>
        <v/>
      </c>
      <c r="I94" s="9" t="str">
        <f>IFERROR(INDEX('CONTROL MASTER'!$R$2:$R$495,MATCH("Control WB Box 8: A8",'CONTROL MASTER'!$J$2:$J$495,0)),"")</f>
        <v/>
      </c>
      <c r="J94" s="9" t="str">
        <f>IFERROR(INDEX('CONTROL MASTER'!$R$2:$R$495,MATCH("Control WB Box 8: A9",'CONTROL MASTER'!$J$2:$J$495,0)),"")</f>
        <v/>
      </c>
    </row>
    <row r="95" spans="1:10" ht="15" customHeight="1" x14ac:dyDescent="0.35">
      <c r="A95" s="8" t="s">
        <v>29</v>
      </c>
      <c r="B95" s="9" t="str">
        <f>IFERROR(INDEX('CONTROL MASTER'!$R$2:$R$495,MATCH("Control WB Box 8: B1",'CONTROL MASTER'!$J$2:$J$495,0)),"")</f>
        <v/>
      </c>
      <c r="C95" s="9" t="str">
        <f>IFERROR(INDEX('CONTROL MASTER'!$R$2:$R$495,MATCH("Control WB Box 8: B2",'CONTROL MASTER'!$J$2:$J$495,0)),"")</f>
        <v/>
      </c>
      <c r="D95" s="9" t="str">
        <f>IFERROR(INDEX('CONTROL MASTER'!$R$2:$R$495,MATCH("Control WB Box 8: B3",'CONTROL MASTER'!$J$2:$J$495,0)),"")</f>
        <v/>
      </c>
      <c r="E95" s="9" t="str">
        <f>IFERROR(INDEX('CONTROL MASTER'!$R$2:$R$495,MATCH("Control WB Box 8: B4",'CONTROL MASTER'!$J$2:$J$495,0)),"")</f>
        <v/>
      </c>
      <c r="F95" s="9" t="str">
        <f>IFERROR(INDEX('CONTROL MASTER'!$R$2:$R$495,MATCH("Control WB Box 8: B5",'CONTROL MASTER'!$J$2:$J$495,0)),"")</f>
        <v/>
      </c>
      <c r="G95" s="9" t="str">
        <f>IFERROR(INDEX('CONTROL MASTER'!$R$2:$R$495,MATCH("Control WB Box 8: B6",'CONTROL MASTER'!$J$2:$J$495,0)),"")</f>
        <v/>
      </c>
      <c r="H95" s="9" t="str">
        <f>IFERROR(INDEX('CONTROL MASTER'!$R$2:$R$495,MATCH("Control WB Box 8: B7",'CONTROL MASTER'!$J$2:$J$495,0)),"")</f>
        <v/>
      </c>
      <c r="I95" s="9" t="str">
        <f>IFERROR(INDEX('CONTROL MASTER'!$R$2:$R$495,MATCH("Control WB Box 8: B8",'CONTROL MASTER'!$J$2:$J$495,0)),"")</f>
        <v/>
      </c>
      <c r="J95" s="9" t="str">
        <f>IFERROR(INDEX('CONTROL MASTER'!$R$2:$R$495,MATCH("Control WB Box 8: B9",'CONTROL MASTER'!$J$2:$J$495,0)),"")</f>
        <v/>
      </c>
    </row>
    <row r="96" spans="1:10" ht="15" customHeight="1" x14ac:dyDescent="0.35">
      <c r="A96" s="8" t="s">
        <v>30</v>
      </c>
      <c r="B96" s="9" t="str">
        <f>IFERROR(INDEX('CONTROL MASTER'!$R$2:$R$495,MATCH("Control WB Box 8: C1",'CONTROL MASTER'!$J$2:$J$495,0)),"")</f>
        <v/>
      </c>
      <c r="C96" s="9" t="str">
        <f>IFERROR(INDEX('CONTROL MASTER'!$R$2:$R$495,MATCH("Control WB Box 8: C2",'CONTROL MASTER'!$J$2:$J$495,0)),"")</f>
        <v/>
      </c>
      <c r="D96" s="9" t="str">
        <f>IFERROR(INDEX('CONTROL MASTER'!$R$2:$R$495,MATCH("Control WB Box 8: C3",'CONTROL MASTER'!$J$2:$J$495,0)),"")</f>
        <v/>
      </c>
      <c r="E96" s="9" t="str">
        <f>IFERROR(INDEX('CONTROL MASTER'!$R$2:$R$495,MATCH("Control WB Box 8: C4",'CONTROL MASTER'!$J$2:$J$495,0)),"")</f>
        <v/>
      </c>
      <c r="F96" s="9" t="str">
        <f>IFERROR(INDEX('CONTROL MASTER'!$R$2:$R$495,MATCH("Control WB Box 8: C5",'CONTROL MASTER'!$J$2:$J$495,0)),"")</f>
        <v/>
      </c>
      <c r="G96" s="9" t="str">
        <f>IFERROR(INDEX('CONTROL MASTER'!$R$2:$R$495,MATCH("Control WB Box 8: C6",'CONTROL MASTER'!$J$2:$J$495,0)),"")</f>
        <v/>
      </c>
      <c r="H96" s="9" t="str">
        <f>IFERROR(INDEX('CONTROL MASTER'!$R$2:$R$495,MATCH("Control WB Box 8: C7",'CONTROL MASTER'!$J$2:$J$495,0)),"")</f>
        <v/>
      </c>
      <c r="I96" s="9" t="str">
        <f>IFERROR(INDEX('CONTROL MASTER'!$R$2:$R$495,MATCH("Control WB Box 8: C8",'CONTROL MASTER'!$J$2:$J$495,0)),"")</f>
        <v/>
      </c>
      <c r="J96" s="9" t="str">
        <f>IFERROR(INDEX('CONTROL MASTER'!$R$2:$R$495,MATCH("Control WB Box 8: C9",'CONTROL MASTER'!$J$2:$J$495,0)),"")</f>
        <v/>
      </c>
    </row>
    <row r="97" spans="1:10" ht="15" customHeight="1" x14ac:dyDescent="0.35">
      <c r="A97" s="8" t="s">
        <v>31</v>
      </c>
      <c r="B97" s="9" t="str">
        <f>IFERROR(INDEX('CONTROL MASTER'!$R$2:$R$495,MATCH("Control WB Box 8: D1",'CONTROL MASTER'!$J$2:$J$495,0)),"")</f>
        <v/>
      </c>
      <c r="C97" s="9" t="str">
        <f>IFERROR(INDEX('CONTROL MASTER'!$R$2:$R$495,MATCH("Control WB Box 8: D2",'CONTROL MASTER'!$J$2:$J$495,0)),"")</f>
        <v/>
      </c>
      <c r="D97" s="9" t="str">
        <f>IFERROR(INDEX('CONTROL MASTER'!$R$2:$R$495,MATCH("Control WB Box 8: D3",'CONTROL MASTER'!$J$2:$J$495,0)),"")</f>
        <v/>
      </c>
      <c r="E97" s="9" t="str">
        <f>IFERROR(INDEX('CONTROL MASTER'!$R$2:$R$495,MATCH("Control WB Box 8: D4",'CONTROL MASTER'!$J$2:$J$495,0)),"")</f>
        <v/>
      </c>
      <c r="F97" s="9" t="str">
        <f>IFERROR(INDEX('CONTROL MASTER'!$R$2:$R$495,MATCH("Control WB Box 8: D5",'CONTROL MASTER'!$J$2:$J$495,0)),"")</f>
        <v/>
      </c>
      <c r="G97" s="9" t="str">
        <f>IFERROR(INDEX('CONTROL MASTER'!$R$2:$R$495,MATCH("Control WB Box 8: D6",'CONTROL MASTER'!$J$2:$J$495,0)),"")</f>
        <v/>
      </c>
      <c r="H97" s="9" t="str">
        <f>IFERROR(INDEX('CONTROL MASTER'!$R$2:$R$495,MATCH("Control WB Box 8: D7",'CONTROL MASTER'!$J$2:$J$495,0)),"")</f>
        <v/>
      </c>
      <c r="I97" s="9" t="str">
        <f>IFERROR(INDEX('CONTROL MASTER'!$R$2:$R$495,MATCH("Control WB Box 8: D8",'CONTROL MASTER'!$J$2:$J$495,0)),"")</f>
        <v/>
      </c>
      <c r="J97" s="9" t="str">
        <f>IFERROR(INDEX('CONTROL MASTER'!$R$2:$R$495,MATCH("Control WB Box 8: D9",'CONTROL MASTER'!$J$2:$J$495,0)),"")</f>
        <v/>
      </c>
    </row>
    <row r="98" spans="1:10" ht="15" customHeight="1" x14ac:dyDescent="0.35">
      <c r="A98" s="8" t="s">
        <v>32</v>
      </c>
      <c r="B98" s="9" t="str">
        <f>IFERROR(INDEX('CONTROL MASTER'!$R$2:$R$495,MATCH("Control WB Box 8: E1",'CONTROL MASTER'!$J$2:$J$495,0)),"")</f>
        <v/>
      </c>
      <c r="C98" s="9" t="str">
        <f>IFERROR(INDEX('CONTROL MASTER'!$R$2:$R$495,MATCH("Control WB Box 8: E2",'CONTROL MASTER'!$J$2:$J$495,0)),"")</f>
        <v/>
      </c>
      <c r="D98" s="9" t="str">
        <f>IFERROR(INDEX('CONTROL MASTER'!$R$2:$R$495,MATCH("Control WB Box 8: E3",'CONTROL MASTER'!$J$2:$J$495,0)),"")</f>
        <v/>
      </c>
      <c r="E98" s="9" t="str">
        <f>IFERROR(INDEX('CONTROL MASTER'!$R$2:$R$495,MATCH("Control WB Box 8: E4",'CONTROL MASTER'!$J$2:$J$495,0)),"")</f>
        <v/>
      </c>
      <c r="F98" s="9" t="str">
        <f>IFERROR(INDEX('CONTROL MASTER'!$R$2:$R$495,MATCH("Control WB Box 8: E5",'CONTROL MASTER'!$J$2:$J$495,0)),"")</f>
        <v/>
      </c>
      <c r="G98" s="9" t="str">
        <f>IFERROR(INDEX('CONTROL MASTER'!$R$2:$R$495,MATCH("Control WB Box 8: E6",'CONTROL MASTER'!$J$2:$J$495,0)),"")</f>
        <v/>
      </c>
      <c r="H98" s="9" t="str">
        <f>IFERROR(INDEX('CONTROL MASTER'!$R$2:$R$495,MATCH("Control WB Box 8: E7",'CONTROL MASTER'!$J$2:$J$495,0)),"")</f>
        <v/>
      </c>
      <c r="I98" s="9" t="str">
        <f>IFERROR(INDEX('CONTROL MASTER'!$R$2:$R$495,MATCH("Control WB Box 8: E8",'CONTROL MASTER'!$J$2:$J$495,0)),"")</f>
        <v/>
      </c>
      <c r="J98" s="9" t="str">
        <f>IFERROR(INDEX('CONTROL MASTER'!$R$2:$R$495,MATCH("Control WB Box 8: E9",'CONTROL MASTER'!$J$2:$J$495,0)),"")</f>
        <v/>
      </c>
    </row>
    <row r="99" spans="1:10" ht="15" customHeight="1" x14ac:dyDescent="0.35">
      <c r="A99" s="8" t="s">
        <v>33</v>
      </c>
      <c r="B99" s="9" t="str">
        <f>IFERROR(INDEX('CONTROL MASTER'!$R$2:$R$495,MATCH("Control WB Box 8: F1",'CONTROL MASTER'!$J$2:$J$495,0)),"")</f>
        <v/>
      </c>
      <c r="C99" s="9" t="str">
        <f>IFERROR(INDEX('CONTROL MASTER'!$R$2:$R$495,MATCH("Control WB Box 8: F2",'CONTROL MASTER'!$J$2:$J$495,0)),"")</f>
        <v/>
      </c>
      <c r="D99" s="9" t="str">
        <f>IFERROR(INDEX('CONTROL MASTER'!$R$2:$R$495,MATCH("Control WB Box 8: F3",'CONTROL MASTER'!$J$2:$J$495,0)),"")</f>
        <v/>
      </c>
      <c r="E99" s="9" t="str">
        <f>IFERROR(INDEX('CONTROL MASTER'!$R$2:$R$495,MATCH("Control WB Box 8: F4",'CONTROL MASTER'!$J$2:$J$495,0)),"")</f>
        <v/>
      </c>
      <c r="F99" s="9" t="str">
        <f>IFERROR(INDEX('CONTROL MASTER'!$R$2:$R$495,MATCH("Control WB Box 8: F5",'CONTROL MASTER'!$J$2:$J$495,0)),"")</f>
        <v/>
      </c>
      <c r="G99" s="9" t="str">
        <f>IFERROR(INDEX('CONTROL MASTER'!$R$2:$R$495,MATCH("Control WB Box 8: F6",'CONTROL MASTER'!$J$2:$J$495,0)),"")</f>
        <v/>
      </c>
      <c r="H99" s="9" t="str">
        <f>IFERROR(INDEX('CONTROL MASTER'!$R$2:$R$495,MATCH("Control WB Box 8: F7",'CONTROL MASTER'!$J$2:$J$495,0)),"")</f>
        <v/>
      </c>
      <c r="I99" s="9" t="str">
        <f>IFERROR(INDEX('CONTROL MASTER'!$R$2:$R$495,MATCH("Control WB Box 8: F8",'CONTROL MASTER'!$J$2:$J$495,0)),"")</f>
        <v/>
      </c>
      <c r="J99" s="9" t="str">
        <f>IFERROR(INDEX('CONTROL MASTER'!$R$2:$R$495,MATCH("Control WB Box 8: F9",'CONTROL MASTER'!$J$2:$J$495,0)),"")</f>
        <v/>
      </c>
    </row>
    <row r="100" spans="1:10" ht="15" customHeight="1" x14ac:dyDescent="0.35">
      <c r="A100" s="8" t="s">
        <v>34</v>
      </c>
      <c r="B100" s="9" t="str">
        <f>IFERROR(INDEX('CONTROL MASTER'!$R$2:$R$495,MATCH("Control WB Box 8: G1",'CONTROL MASTER'!$J$2:$J$495,0)),"")</f>
        <v/>
      </c>
      <c r="C100" s="9" t="str">
        <f>IFERROR(INDEX('CONTROL MASTER'!$R$2:$R$495,MATCH("Control WB Box 8: G2",'CONTROL MASTER'!$J$2:$J$495,0)),"")</f>
        <v/>
      </c>
      <c r="D100" s="9" t="str">
        <f>IFERROR(INDEX('CONTROL MASTER'!$R$2:$R$495,MATCH("Control WB Box 8: G3",'CONTROL MASTER'!$J$2:$J$495,0)),"")</f>
        <v/>
      </c>
      <c r="E100" s="9" t="str">
        <f>IFERROR(INDEX('CONTROL MASTER'!$R$2:$R$495,MATCH("Control WB Box 8: G4",'CONTROL MASTER'!$J$2:$J$495,0)),"")</f>
        <v/>
      </c>
      <c r="F100" s="9" t="str">
        <f>IFERROR(INDEX('CONTROL MASTER'!$R$2:$R$495,MATCH("Control WB Box 8: G5",'CONTROL MASTER'!$J$2:$J$495,0)),"")</f>
        <v/>
      </c>
      <c r="G100" s="9" t="str">
        <f>IFERROR(INDEX('CONTROL MASTER'!$R$2:$R$495,MATCH("Control WB Box 8: G6",'CONTROL MASTER'!$J$2:$J$495,0)),"")</f>
        <v/>
      </c>
      <c r="H100" s="9" t="str">
        <f>IFERROR(INDEX('CONTROL MASTER'!$R$2:$R$495,MATCH("Control WB Box 8: G7",'CONTROL MASTER'!$J$2:$J$495,0)),"")</f>
        <v/>
      </c>
      <c r="I100" s="9" t="str">
        <f>IFERROR(INDEX('CONTROL MASTER'!$R$2:$R$495,MATCH("Control WB Box 8: G8",'CONTROL MASTER'!$J$2:$J$495,0)),"")</f>
        <v/>
      </c>
      <c r="J100" s="9" t="str">
        <f>IFERROR(INDEX('CONTROL MASTER'!$R$2:$R$495,MATCH("Control WB Box 8: G9",'CONTROL MASTER'!$J$2:$J$495,0)),"")</f>
        <v/>
      </c>
    </row>
    <row r="101" spans="1:10" ht="15" customHeight="1" x14ac:dyDescent="0.35">
      <c r="A101" s="8" t="s">
        <v>35</v>
      </c>
      <c r="B101" s="9" t="str">
        <f>IFERROR(INDEX('CONTROL MASTER'!$R$2:$R$495,MATCH("Control WB Box 8: H1",'CONTROL MASTER'!$J$2:$J$495,0)),"")</f>
        <v/>
      </c>
      <c r="C101" s="9" t="str">
        <f>IFERROR(INDEX('CONTROL MASTER'!$R$2:$R$495,MATCH("Control WB Box 8: H2",'CONTROL MASTER'!$J$2:$J$495,0)),"")</f>
        <v/>
      </c>
      <c r="D101" s="9" t="str">
        <f>IFERROR(INDEX('CONTROL MASTER'!$R$2:$R$495,MATCH("Control WB Box 8: H3",'CONTROL MASTER'!$J$2:$J$495,0)),"")</f>
        <v/>
      </c>
      <c r="E101" s="9" t="str">
        <f>IFERROR(INDEX('CONTROL MASTER'!$R$2:$R$495,MATCH("Control WB Box 8: H4",'CONTROL MASTER'!$J$2:$J$495,0)),"")</f>
        <v/>
      </c>
      <c r="F101" s="9" t="str">
        <f>IFERROR(INDEX('CONTROL MASTER'!$R$2:$R$495,MATCH("Control WB Box 8: H5",'CONTROL MASTER'!$J$2:$J$495,0)),"")</f>
        <v/>
      </c>
      <c r="G101" s="9" t="str">
        <f>IFERROR(INDEX('CONTROL MASTER'!$R$2:$R$495,MATCH("Control WB Box 8: H6",'CONTROL MASTER'!$J$2:$J$495,0)),"")</f>
        <v/>
      </c>
      <c r="H101" s="9" t="str">
        <f>IFERROR(INDEX('CONTROL MASTER'!$R$2:$R$495,MATCH("Control WB Box 8: H7",'CONTROL MASTER'!$J$2:$J$495,0)),"")</f>
        <v/>
      </c>
      <c r="I101" s="9" t="str">
        <f>IFERROR(INDEX('CONTROL MASTER'!$R$2:$R$495,MATCH("Control WB Box 8: H8",'CONTROL MASTER'!$J$2:$J$495,0)),"")</f>
        <v/>
      </c>
      <c r="J101" s="9" t="str">
        <f>IFERROR(INDEX('CONTROL MASTER'!$R$2:$R$495,MATCH("Control WB Box 8: H9",'CONTROL MASTER'!$J$2:$J$495,0)),"")</f>
        <v/>
      </c>
    </row>
    <row r="102" spans="1:10" ht="15" customHeight="1" x14ac:dyDescent="0.35">
      <c r="A102" s="8" t="s">
        <v>81</v>
      </c>
      <c r="B102" s="9" t="str">
        <f>IFERROR(INDEX('CONTROL MASTER'!$R$2:$R$495,MATCH("Control WB Box 8: I1",'CONTROL MASTER'!$J$2:$J$495,0)),"")</f>
        <v/>
      </c>
      <c r="C102" s="9" t="str">
        <f>IFERROR(INDEX('CONTROL MASTER'!$R$2:$R$495,MATCH("Control WB Box 8: I2",'CONTROL MASTER'!$J$2:$J$495,0)),"")</f>
        <v/>
      </c>
      <c r="D102" s="9" t="str">
        <f>IFERROR(INDEX('CONTROL MASTER'!$R$2:$R$495,MATCH("Control WB Box 8: I3",'CONTROL MASTER'!$J$2:$J$495,0)),"")</f>
        <v/>
      </c>
      <c r="E102" s="9" t="str">
        <f>IFERROR(INDEX('CONTROL MASTER'!$R$2:$R$495,MATCH("Control WB Box 8: I4",'CONTROL MASTER'!$J$2:$J$495,0)),"")</f>
        <v/>
      </c>
      <c r="F102" s="9" t="str">
        <f>IFERROR(INDEX('CONTROL MASTER'!$R$2:$R$495,MATCH("Control WB Box 8: I5",'CONTROL MASTER'!$J$2:$J$495,0)),"")</f>
        <v/>
      </c>
      <c r="G102" s="9" t="str">
        <f>IFERROR(INDEX('CONTROL MASTER'!$R$2:$R$495,MATCH("Control WB Box 8: I6",'CONTROL MASTER'!$J$2:$J$495,0)),"")</f>
        <v/>
      </c>
      <c r="H102" s="9" t="str">
        <f>IFERROR(INDEX('CONTROL MASTER'!$R$2:$R$495,MATCH("Control WB Box 8: I7",'CONTROL MASTER'!$J$2:$J$495,0)),"")</f>
        <v/>
      </c>
      <c r="I102" s="9" t="str">
        <f>IFERROR(INDEX('CONTROL MASTER'!$R$2:$R$495,MATCH("Control WB Box 8: I8",'CONTROL MASTER'!$J$2:$J$495,0)),"")</f>
        <v/>
      </c>
      <c r="J102" s="9" t="str">
        <f>IFERROR(INDEX('CONTROL MASTER'!$R$2:$R$495,MATCH("Control WB Box 8: I9",'CONTROL MASTER'!$J$2:$J$495,0)),"")</f>
        <v/>
      </c>
    </row>
    <row r="105" spans="1:10" ht="15" customHeight="1" x14ac:dyDescent="0.35">
      <c r="A105" s="12" t="s">
        <v>180</v>
      </c>
      <c r="B105" s="13"/>
      <c r="C105" s="13"/>
      <c r="D105" s="13"/>
      <c r="E105" s="13"/>
      <c r="F105" s="13"/>
      <c r="G105" s="13"/>
      <c r="H105" s="13"/>
      <c r="I105" s="13"/>
      <c r="J105" s="13"/>
    </row>
    <row r="106" spans="1:10" ht="15" customHeight="1" x14ac:dyDescent="0.35">
      <c r="B106" s="8">
        <v>1</v>
      </c>
      <c r="C106" s="8">
        <v>2</v>
      </c>
      <c r="D106" s="8">
        <v>3</v>
      </c>
      <c r="E106" s="8">
        <v>4</v>
      </c>
      <c r="F106" s="8">
        <v>5</v>
      </c>
      <c r="G106" s="8">
        <v>6</v>
      </c>
      <c r="H106" s="8">
        <v>7</v>
      </c>
      <c r="I106" s="8">
        <v>8</v>
      </c>
      <c r="J106" s="8">
        <v>9</v>
      </c>
    </row>
    <row r="107" spans="1:10" ht="15" customHeight="1" x14ac:dyDescent="0.35">
      <c r="A107" s="8" t="s">
        <v>28</v>
      </c>
      <c r="B107" s="9" t="str">
        <f>IFERROR(INDEX('CONTROL MASTER'!$R$2:$R$495,MATCH("Control WB Box 9: A1",'CONTROL MASTER'!$J$2:$J$495,0)),"")</f>
        <v/>
      </c>
      <c r="C107" s="9" t="str">
        <f>IFERROR(INDEX('CONTROL MASTER'!$R$2:$R$495,MATCH("Control WB Box 9: A2",'CONTROL MASTER'!$J$2:$J$495,0)),"")</f>
        <v/>
      </c>
      <c r="D107" s="9" t="str">
        <f>IFERROR(INDEX('CONTROL MASTER'!$R$2:$R$495,MATCH("Control WB Box 9: A3",'CONTROL MASTER'!$J$2:$J$495,0)),"")</f>
        <v/>
      </c>
      <c r="E107" s="9" t="str">
        <f>IFERROR(INDEX('CONTROL MASTER'!$R$2:$R$495,MATCH("Control WB Box 9: A4",'CONTROL MASTER'!$J$2:$J$495,0)),"")</f>
        <v/>
      </c>
      <c r="F107" s="9" t="str">
        <f>IFERROR(INDEX('CONTROL MASTER'!$R$2:$R$495,MATCH("Control WB Box 9: A5",'CONTROL MASTER'!$J$2:$J$495,0)),"")</f>
        <v/>
      </c>
      <c r="G107" s="9" t="str">
        <f>IFERROR(INDEX('CONTROL MASTER'!$R$2:$R$495,MATCH("Control WB Box 9: A6",'CONTROL MASTER'!$J$2:$J$495,0)),"")</f>
        <v/>
      </c>
      <c r="H107" s="9" t="str">
        <f>IFERROR(INDEX('CONTROL MASTER'!$R$2:$R$495,MATCH("Control WB Box 9: A7",'CONTROL MASTER'!$J$2:$J$495,0)),"")</f>
        <v/>
      </c>
      <c r="I107" s="9" t="str">
        <f>IFERROR(INDEX('CONTROL MASTER'!$R$2:$R$495,MATCH("Control WB Box 9: A8",'CONTROL MASTER'!$J$2:$J$495,0)),"")</f>
        <v/>
      </c>
      <c r="J107" s="9" t="str">
        <f>IFERROR(INDEX('CONTROL MASTER'!$R$2:$R$495,MATCH("Control WB Box 9: A9",'CONTROL MASTER'!$J$2:$J$495,0)),"")</f>
        <v/>
      </c>
    </row>
    <row r="108" spans="1:10" ht="15" customHeight="1" x14ac:dyDescent="0.35">
      <c r="A108" s="8" t="s">
        <v>29</v>
      </c>
      <c r="B108" s="9" t="str">
        <f>IFERROR(INDEX('CONTROL MASTER'!$R$2:$R$495,MATCH("Control WB Box 9: B1",'CONTROL MASTER'!$J$2:$J$495,0)),"")</f>
        <v/>
      </c>
      <c r="C108" s="9" t="str">
        <f>IFERROR(INDEX('CONTROL MASTER'!$R$2:$R$495,MATCH("Control WB Box 9: B2",'CONTROL MASTER'!$J$2:$J$495,0)),"")</f>
        <v/>
      </c>
      <c r="D108" s="9" t="str">
        <f>IFERROR(INDEX('CONTROL MASTER'!$R$2:$R$495,MATCH("Control WB Box 9: B3",'CONTROL MASTER'!$J$2:$J$495,0)),"")</f>
        <v/>
      </c>
      <c r="E108" s="9" t="str">
        <f>IFERROR(INDEX('CONTROL MASTER'!$R$2:$R$495,MATCH("Control WB Box 9: B4",'CONTROL MASTER'!$J$2:$J$495,0)),"")</f>
        <v/>
      </c>
      <c r="F108" s="9" t="str">
        <f>IFERROR(INDEX('CONTROL MASTER'!$R$2:$R$495,MATCH("Control WB Box 9: B5",'CONTROL MASTER'!$J$2:$J$495,0)),"")</f>
        <v/>
      </c>
      <c r="G108" s="9" t="str">
        <f>IFERROR(INDEX('CONTROL MASTER'!$R$2:$R$495,MATCH("Control WB Box 9: B6",'CONTROL MASTER'!$J$2:$J$495,0)),"")</f>
        <v/>
      </c>
      <c r="H108" s="9" t="str">
        <f>IFERROR(INDEX('CONTROL MASTER'!$R$2:$R$495,MATCH("Control WB Box 9: B7",'CONTROL MASTER'!$J$2:$J$495,0)),"")</f>
        <v/>
      </c>
      <c r="I108" s="9" t="str">
        <f>IFERROR(INDEX('CONTROL MASTER'!$R$2:$R$495,MATCH("Control WB Box 9: B8",'CONTROL MASTER'!$J$2:$J$495,0)),"")</f>
        <v/>
      </c>
      <c r="J108" s="9" t="str">
        <f>IFERROR(INDEX('CONTROL MASTER'!$R$2:$R$495,MATCH("Control WB Box 9: B9",'CONTROL MASTER'!$J$2:$J$495,0)),"")</f>
        <v/>
      </c>
    </row>
    <row r="109" spans="1:10" ht="15" customHeight="1" x14ac:dyDescent="0.35">
      <c r="A109" s="8" t="s">
        <v>30</v>
      </c>
      <c r="B109" s="9" t="str">
        <f>IFERROR(INDEX('CONTROL MASTER'!$R$2:$R$495,MATCH("Control WB Box 9: C1",'CONTROL MASTER'!$J$2:$J$495,0)),"")</f>
        <v/>
      </c>
      <c r="C109" s="9" t="str">
        <f>IFERROR(INDEX('CONTROL MASTER'!$R$2:$R$495,MATCH("Control WB Box 9: C2",'CONTROL MASTER'!$J$2:$J$495,0)),"")</f>
        <v/>
      </c>
      <c r="D109" s="9" t="str">
        <f>IFERROR(INDEX('CONTROL MASTER'!$R$2:$R$495,MATCH("Control WB Box 9: C3",'CONTROL MASTER'!$J$2:$J$495,0)),"")</f>
        <v/>
      </c>
      <c r="E109" s="9" t="str">
        <f>IFERROR(INDEX('CONTROL MASTER'!$R$2:$R$495,MATCH("Control WB Box 9: C4",'CONTROL MASTER'!$J$2:$J$495,0)),"")</f>
        <v/>
      </c>
      <c r="F109" s="9" t="str">
        <f>IFERROR(INDEX('CONTROL MASTER'!$R$2:$R$495,MATCH("Control WB Box 9: C5",'CONTROL MASTER'!$J$2:$J$495,0)),"")</f>
        <v/>
      </c>
      <c r="G109" s="9" t="str">
        <f>IFERROR(INDEX('CONTROL MASTER'!$R$2:$R$495,MATCH("Control WB Box 9: C6",'CONTROL MASTER'!$J$2:$J$495,0)),"")</f>
        <v/>
      </c>
      <c r="H109" s="9" t="str">
        <f>IFERROR(INDEX('CONTROL MASTER'!$R$2:$R$495,MATCH("Control WB Box 9: C7",'CONTROL MASTER'!$J$2:$J$495,0)),"")</f>
        <v/>
      </c>
      <c r="I109" s="9" t="str">
        <f>IFERROR(INDEX('CONTROL MASTER'!$R$2:$R$495,MATCH("Control WB Box 9: C8",'CONTROL MASTER'!$J$2:$J$495,0)),"")</f>
        <v/>
      </c>
      <c r="J109" s="9" t="str">
        <f>IFERROR(INDEX('CONTROL MASTER'!$R$2:$R$495,MATCH("Control WB Box 9: C9",'CONTROL MASTER'!$J$2:$J$495,0)),"")</f>
        <v/>
      </c>
    </row>
    <row r="110" spans="1:10" ht="15" customHeight="1" x14ac:dyDescent="0.35">
      <c r="A110" s="8" t="s">
        <v>31</v>
      </c>
      <c r="B110" s="9" t="str">
        <f>IFERROR(INDEX('CONTROL MASTER'!$R$2:$R$495,MATCH("Control WB Box 9: D1",'CONTROL MASTER'!$J$2:$J$495,0)),"")</f>
        <v/>
      </c>
      <c r="C110" s="9" t="str">
        <f>IFERROR(INDEX('CONTROL MASTER'!$R$2:$R$495,MATCH("Control WB Box 9: D2",'CONTROL MASTER'!$J$2:$J$495,0)),"")</f>
        <v/>
      </c>
      <c r="D110" s="9" t="str">
        <f>IFERROR(INDEX('CONTROL MASTER'!$R$2:$R$495,MATCH("Control WB Box 9: D3",'CONTROL MASTER'!$J$2:$J$495,0)),"")</f>
        <v/>
      </c>
      <c r="E110" s="9" t="str">
        <f>IFERROR(INDEX('CONTROL MASTER'!$R$2:$R$495,MATCH("Control WB Box 9: D4",'CONTROL MASTER'!$J$2:$J$495,0)),"")</f>
        <v/>
      </c>
      <c r="F110" s="9" t="str">
        <f>IFERROR(INDEX('CONTROL MASTER'!$R$2:$R$495,MATCH("Control WB Box 9: D5",'CONTROL MASTER'!$J$2:$J$495,0)),"")</f>
        <v/>
      </c>
      <c r="G110" s="9" t="str">
        <f>IFERROR(INDEX('CONTROL MASTER'!$R$2:$R$495,MATCH("Control WB Box 9: D6",'CONTROL MASTER'!$J$2:$J$495,0)),"")</f>
        <v/>
      </c>
      <c r="H110" s="9" t="str">
        <f>IFERROR(INDEX('CONTROL MASTER'!$R$2:$R$495,MATCH("Control WB Box 9: D7",'CONTROL MASTER'!$J$2:$J$495,0)),"")</f>
        <v/>
      </c>
      <c r="I110" s="9" t="str">
        <f>IFERROR(INDEX('CONTROL MASTER'!$R$2:$R$495,MATCH("Control WB Box 9: D8",'CONTROL MASTER'!$J$2:$J$495,0)),"")</f>
        <v/>
      </c>
      <c r="J110" s="9" t="str">
        <f>IFERROR(INDEX('CONTROL MASTER'!$R$2:$R$495,MATCH("Control WB Box 9: D9",'CONTROL MASTER'!$J$2:$J$495,0)),"")</f>
        <v/>
      </c>
    </row>
    <row r="111" spans="1:10" ht="15" customHeight="1" x14ac:dyDescent="0.35">
      <c r="A111" s="8" t="s">
        <v>32</v>
      </c>
      <c r="B111" s="9" t="str">
        <f>IFERROR(INDEX('CONTROL MASTER'!$R$2:$R$495,MATCH("Control WB Box 9: E1",'CONTROL MASTER'!$J$2:$J$495,0)),"")</f>
        <v/>
      </c>
      <c r="C111" s="9" t="str">
        <f>IFERROR(INDEX('CONTROL MASTER'!$R$2:$R$495,MATCH("Control WB Box 9: E2",'CONTROL MASTER'!$J$2:$J$495,0)),"")</f>
        <v/>
      </c>
      <c r="D111" s="9" t="str">
        <f>IFERROR(INDEX('CONTROL MASTER'!$R$2:$R$495,MATCH("Control WB Box 9: E3",'CONTROL MASTER'!$J$2:$J$495,0)),"")</f>
        <v/>
      </c>
      <c r="E111" s="9" t="str">
        <f>IFERROR(INDEX('CONTROL MASTER'!$R$2:$R$495,MATCH("Control WB Box 9: E4",'CONTROL MASTER'!$J$2:$J$495,0)),"")</f>
        <v/>
      </c>
      <c r="F111" s="9" t="str">
        <f>IFERROR(INDEX('CONTROL MASTER'!$R$2:$R$495,MATCH("Control WB Box 9: E5",'CONTROL MASTER'!$J$2:$J$495,0)),"")</f>
        <v/>
      </c>
      <c r="G111" s="9" t="str">
        <f>IFERROR(INDEX('CONTROL MASTER'!$R$2:$R$495,MATCH("Control WB Box 9: E6",'CONTROL MASTER'!$J$2:$J$495,0)),"")</f>
        <v/>
      </c>
      <c r="H111" s="9" t="str">
        <f>IFERROR(INDEX('CONTROL MASTER'!$R$2:$R$495,MATCH("Control WB Box 9: E7",'CONTROL MASTER'!$J$2:$J$495,0)),"")</f>
        <v/>
      </c>
      <c r="I111" s="9" t="str">
        <f>IFERROR(INDEX('CONTROL MASTER'!$R$2:$R$495,MATCH("Control WB Box 9: E8",'CONTROL MASTER'!$J$2:$J$495,0)),"")</f>
        <v/>
      </c>
      <c r="J111" s="9" t="str">
        <f>IFERROR(INDEX('CONTROL MASTER'!$R$2:$R$495,MATCH("Control WB Box 9: E9",'CONTROL MASTER'!$J$2:$J$495,0)),"")</f>
        <v/>
      </c>
    </row>
    <row r="112" spans="1:10" ht="15" customHeight="1" x14ac:dyDescent="0.35">
      <c r="A112" s="8" t="s">
        <v>33</v>
      </c>
      <c r="B112" s="9" t="str">
        <f>IFERROR(INDEX('CONTROL MASTER'!$R$2:$R$495,MATCH("Control WB Box 9: F1",'CONTROL MASTER'!$J$2:$J$495,0)),"")</f>
        <v/>
      </c>
      <c r="C112" s="9" t="str">
        <f>IFERROR(INDEX('CONTROL MASTER'!$R$2:$R$495,MATCH("Control WB Box 9: F2",'CONTROL MASTER'!$J$2:$J$495,0)),"")</f>
        <v/>
      </c>
      <c r="D112" s="9" t="str">
        <f>IFERROR(INDEX('CONTROL MASTER'!$R$2:$R$495,MATCH("Control WB Box 9: F3",'CONTROL MASTER'!$J$2:$J$495,0)),"")</f>
        <v/>
      </c>
      <c r="E112" s="9" t="str">
        <f>IFERROR(INDEX('CONTROL MASTER'!$R$2:$R$495,MATCH("Control WB Box 9: F4",'CONTROL MASTER'!$J$2:$J$495,0)),"")</f>
        <v/>
      </c>
      <c r="F112" s="9" t="str">
        <f>IFERROR(INDEX('CONTROL MASTER'!$R$2:$R$495,MATCH("Control WB Box 9: F5",'CONTROL MASTER'!$J$2:$J$495,0)),"")</f>
        <v/>
      </c>
      <c r="G112" s="9" t="str">
        <f>IFERROR(INDEX('CONTROL MASTER'!$R$2:$R$495,MATCH("Control WB Box 9: F6",'CONTROL MASTER'!$J$2:$J$495,0)),"")</f>
        <v/>
      </c>
      <c r="H112" s="9" t="str">
        <f>IFERROR(INDEX('CONTROL MASTER'!$R$2:$R$495,MATCH("Control WB Box 9: F7",'CONTROL MASTER'!$J$2:$J$495,0)),"")</f>
        <v/>
      </c>
      <c r="I112" s="9" t="str">
        <f>IFERROR(INDEX('CONTROL MASTER'!$R$2:$R$495,MATCH("Control WB Box 9: F8",'CONTROL MASTER'!$J$2:$J$495,0)),"")</f>
        <v/>
      </c>
      <c r="J112" s="9" t="str">
        <f>IFERROR(INDEX('CONTROL MASTER'!$R$2:$R$495,MATCH("Control WB Box 9: F9",'CONTROL MASTER'!$J$2:$J$495,0)),"")</f>
        <v/>
      </c>
    </row>
    <row r="113" spans="1:10" ht="15" customHeight="1" x14ac:dyDescent="0.35">
      <c r="A113" s="8" t="s">
        <v>34</v>
      </c>
      <c r="B113" s="9" t="str">
        <f>IFERROR(INDEX('CONTROL MASTER'!$R$2:$R$495,MATCH("Control WB Box 9: G1",'CONTROL MASTER'!$J$2:$J$495,0)),"")</f>
        <v/>
      </c>
      <c r="C113" s="9" t="str">
        <f>IFERROR(INDEX('CONTROL MASTER'!$R$2:$R$495,MATCH("Control WB Box 9: G2",'CONTROL MASTER'!$J$2:$J$495,0)),"")</f>
        <v/>
      </c>
      <c r="D113" s="9" t="str">
        <f>IFERROR(INDEX('CONTROL MASTER'!$R$2:$R$495,MATCH("Control WB Box 9: G3",'CONTROL MASTER'!$J$2:$J$495,0)),"")</f>
        <v/>
      </c>
      <c r="E113" s="9" t="str">
        <f>IFERROR(INDEX('CONTROL MASTER'!$R$2:$R$495,MATCH("Control WB Box 9: G4",'CONTROL MASTER'!$J$2:$J$495,0)),"")</f>
        <v/>
      </c>
      <c r="F113" s="9" t="str">
        <f>IFERROR(INDEX('CONTROL MASTER'!$R$2:$R$495,MATCH("Control WB Box 9: G5",'CONTROL MASTER'!$J$2:$J$495,0)),"")</f>
        <v/>
      </c>
      <c r="G113" s="9" t="str">
        <f>IFERROR(INDEX('CONTROL MASTER'!$R$2:$R$495,MATCH("Control WB Box 9: G6",'CONTROL MASTER'!$J$2:$J$495,0)),"")</f>
        <v/>
      </c>
      <c r="H113" s="9" t="str">
        <f>IFERROR(INDEX('CONTROL MASTER'!$R$2:$R$495,MATCH("Control WB Box 9: G7",'CONTROL MASTER'!$J$2:$J$495,0)),"")</f>
        <v/>
      </c>
      <c r="I113" s="9" t="str">
        <f>IFERROR(INDEX('CONTROL MASTER'!$R$2:$R$495,MATCH("Control WB Box 9: G8",'CONTROL MASTER'!$J$2:$J$495,0)),"")</f>
        <v/>
      </c>
      <c r="J113" s="9" t="str">
        <f>IFERROR(INDEX('CONTROL MASTER'!$R$2:$R$495,MATCH("Control WB Box 9: G9",'CONTROL MASTER'!$J$2:$J$495,0)),"")</f>
        <v/>
      </c>
    </row>
    <row r="114" spans="1:10" ht="15" customHeight="1" x14ac:dyDescent="0.35">
      <c r="A114" s="8" t="s">
        <v>35</v>
      </c>
      <c r="B114" s="9" t="str">
        <f>IFERROR(INDEX('CONTROL MASTER'!$R$2:$R$495,MATCH("Control WB Box 9: H1",'CONTROL MASTER'!$J$2:$J$495,0)),"")</f>
        <v/>
      </c>
      <c r="C114" s="9" t="str">
        <f>IFERROR(INDEX('CONTROL MASTER'!$R$2:$R$495,MATCH("Control WB Box 9: H2",'CONTROL MASTER'!$J$2:$J$495,0)),"")</f>
        <v/>
      </c>
      <c r="D114" s="9" t="str">
        <f>IFERROR(INDEX('CONTROL MASTER'!$R$2:$R$495,MATCH("Control WB Box 9: H3",'CONTROL MASTER'!$J$2:$J$495,0)),"")</f>
        <v/>
      </c>
      <c r="E114" s="9" t="str">
        <f>IFERROR(INDEX('CONTROL MASTER'!$R$2:$R$495,MATCH("Control WB Box 9: H4",'CONTROL MASTER'!$J$2:$J$495,0)),"")</f>
        <v/>
      </c>
      <c r="F114" s="9" t="str">
        <f>IFERROR(INDEX('CONTROL MASTER'!$R$2:$R$495,MATCH("Control WB Box 9: H5",'CONTROL MASTER'!$J$2:$J$495,0)),"")</f>
        <v/>
      </c>
      <c r="G114" s="9" t="str">
        <f>IFERROR(INDEX('CONTROL MASTER'!$R$2:$R$495,MATCH("Control WB Box 9: H6",'CONTROL MASTER'!$J$2:$J$495,0)),"")</f>
        <v/>
      </c>
      <c r="H114" s="9" t="str">
        <f>IFERROR(INDEX('CONTROL MASTER'!$R$2:$R$495,MATCH("Control WB Box 9: H7",'CONTROL MASTER'!$J$2:$J$495,0)),"")</f>
        <v/>
      </c>
      <c r="I114" s="9" t="str">
        <f>IFERROR(INDEX('CONTROL MASTER'!$R$2:$R$495,MATCH("Control WB Box 9: H8",'CONTROL MASTER'!$J$2:$J$495,0)),"")</f>
        <v/>
      </c>
      <c r="J114" s="9" t="str">
        <f>IFERROR(INDEX('CONTROL MASTER'!$R$2:$R$495,MATCH("Control WB Box 9: H9",'CONTROL MASTER'!$J$2:$J$495,0)),"")</f>
        <v/>
      </c>
    </row>
    <row r="115" spans="1:10" ht="15" customHeight="1" x14ac:dyDescent="0.35">
      <c r="A115" s="8" t="s">
        <v>81</v>
      </c>
      <c r="B115" s="9" t="str">
        <f>IFERROR(INDEX('CONTROL MASTER'!$R$2:$R$495,MATCH("Control WB Box 9: I1",'CONTROL MASTER'!$J$2:$J$495,0)),"")</f>
        <v/>
      </c>
      <c r="C115" s="9" t="str">
        <f>IFERROR(INDEX('CONTROL MASTER'!$R$2:$R$495,MATCH("Control WB Box 9: I2",'CONTROL MASTER'!$J$2:$J$495,0)),"")</f>
        <v/>
      </c>
      <c r="D115" s="9" t="str">
        <f>IFERROR(INDEX('CONTROL MASTER'!$R$2:$R$495,MATCH("Control WB Box 9: I3",'CONTROL MASTER'!$J$2:$J$495,0)),"")</f>
        <v/>
      </c>
      <c r="E115" s="9" t="str">
        <f>IFERROR(INDEX('CONTROL MASTER'!$R$2:$R$495,MATCH("Control WB Box 9: I4",'CONTROL MASTER'!$J$2:$J$495,0)),"")</f>
        <v/>
      </c>
      <c r="F115" s="9" t="str">
        <f>IFERROR(INDEX('CONTROL MASTER'!$R$2:$R$495,MATCH("Control WB Box 9: I5",'CONTROL MASTER'!$J$2:$J$495,0)),"")</f>
        <v/>
      </c>
      <c r="G115" s="9" t="str">
        <f>IFERROR(INDEX('CONTROL MASTER'!$R$2:$R$495,MATCH("Control WB Box 9: I6",'CONTROL MASTER'!$J$2:$J$495,0)),"")</f>
        <v/>
      </c>
      <c r="H115" s="9" t="str">
        <f>IFERROR(INDEX('CONTROL MASTER'!$R$2:$R$495,MATCH("Control WB Box 9: I7",'CONTROL MASTER'!$J$2:$J$495,0)),"")</f>
        <v/>
      </c>
      <c r="I115" s="9" t="str">
        <f>IFERROR(INDEX('CONTROL MASTER'!$R$2:$R$495,MATCH("Control WB Box 9: I8",'CONTROL MASTER'!$J$2:$J$495,0)),"")</f>
        <v/>
      </c>
      <c r="J115" s="9" t="str">
        <f>IFERROR(INDEX('CONTROL MASTER'!$R$2:$R$495,MATCH("Control WB Box 9: I9",'CONTROL MASTER'!$J$2:$J$495,0)),"")</f>
        <v/>
      </c>
    </row>
    <row r="118" spans="1:10" ht="15" customHeight="1" x14ac:dyDescent="0.35">
      <c r="A118" s="12" t="s">
        <v>181</v>
      </c>
      <c r="B118" s="13"/>
      <c r="C118" s="13"/>
      <c r="D118" s="13"/>
      <c r="E118" s="13"/>
      <c r="F118" s="13"/>
      <c r="G118" s="13"/>
      <c r="H118" s="13"/>
      <c r="I118" s="13"/>
      <c r="J118" s="13"/>
    </row>
    <row r="119" spans="1:10" ht="15" customHeight="1" x14ac:dyDescent="0.35">
      <c r="B119" s="8">
        <v>1</v>
      </c>
      <c r="C119" s="8">
        <v>2</v>
      </c>
      <c r="D119" s="8">
        <v>3</v>
      </c>
      <c r="E119" s="8">
        <v>4</v>
      </c>
      <c r="F119" s="8">
        <v>5</v>
      </c>
      <c r="G119" s="8">
        <v>6</v>
      </c>
      <c r="H119" s="8">
        <v>7</v>
      </c>
      <c r="I119" s="8">
        <v>8</v>
      </c>
      <c r="J119" s="8">
        <v>9</v>
      </c>
    </row>
    <row r="120" spans="1:10" ht="15" customHeight="1" x14ac:dyDescent="0.35">
      <c r="A120" s="8" t="s">
        <v>28</v>
      </c>
      <c r="B120" s="9" t="str">
        <f>IFERROR(INDEX('CONTROL MASTER'!$R$2:$R$495,MATCH("Control WB Box 10: A1",'CONTROL MASTER'!$J$2:$J$495,0)),"")</f>
        <v/>
      </c>
      <c r="C120" s="9" t="str">
        <f>IFERROR(INDEX('CONTROL MASTER'!$R$2:$R$495,MATCH("Control WB Box 10: A2",'CONTROL MASTER'!$J$2:$J$495,0)),"")</f>
        <v/>
      </c>
      <c r="D120" s="9" t="str">
        <f>IFERROR(INDEX('CONTROL MASTER'!$R$2:$R$495,MATCH("Control WB Box 10: A3",'CONTROL MASTER'!$J$2:$J$495,0)),"")</f>
        <v/>
      </c>
      <c r="E120" s="9" t="str">
        <f>IFERROR(INDEX('CONTROL MASTER'!$R$2:$R$495,MATCH("Control WB Box 10: A4",'CONTROL MASTER'!$J$2:$J$495,0)),"")</f>
        <v/>
      </c>
      <c r="F120" s="9" t="str">
        <f>IFERROR(INDEX('CONTROL MASTER'!$R$2:$R$495,MATCH("Control WB Box 10: A5",'CONTROL MASTER'!$J$2:$J$495,0)),"")</f>
        <v/>
      </c>
      <c r="G120" s="9" t="str">
        <f>IFERROR(INDEX('CONTROL MASTER'!$R$2:$R$495,MATCH("Control WB Box 10: A6",'CONTROL MASTER'!$J$2:$J$495,0)),"")</f>
        <v/>
      </c>
      <c r="H120" s="9" t="str">
        <f>IFERROR(INDEX('CONTROL MASTER'!$R$2:$R$495,MATCH("Control WB Box 10: A7",'CONTROL MASTER'!$J$2:$J$495,0)),"")</f>
        <v/>
      </c>
      <c r="I120" s="9" t="str">
        <f>IFERROR(INDEX('CONTROL MASTER'!$R$2:$R$495,MATCH("Control WB Box 10: A8",'CONTROL MASTER'!$J$2:$J$495,0)),"")</f>
        <v/>
      </c>
      <c r="J120" s="9" t="str">
        <f>IFERROR(INDEX('CONTROL MASTER'!$R$2:$R$495,MATCH("Control WB Box 10: A9",'CONTROL MASTER'!$J$2:$J$495,0)),"")</f>
        <v/>
      </c>
    </row>
    <row r="121" spans="1:10" ht="15" customHeight="1" x14ac:dyDescent="0.35">
      <c r="A121" s="8" t="s">
        <v>29</v>
      </c>
      <c r="B121" s="9" t="str">
        <f>IFERROR(INDEX('CONTROL MASTER'!$R$2:$R$495,MATCH("Control WB Box 10: B1",'CONTROL MASTER'!$J$2:$J$495,0)),"")</f>
        <v/>
      </c>
      <c r="C121" s="9" t="str">
        <f>IFERROR(INDEX('CONTROL MASTER'!$R$2:$R$495,MATCH("Control WB Box 10: B2",'CONTROL MASTER'!$J$2:$J$495,0)),"")</f>
        <v/>
      </c>
      <c r="D121" s="9" t="str">
        <f>IFERROR(INDEX('CONTROL MASTER'!$R$2:$R$495,MATCH("Control WB Box 10: B3",'CONTROL MASTER'!$J$2:$J$495,0)),"")</f>
        <v/>
      </c>
      <c r="E121" s="9" t="str">
        <f>IFERROR(INDEX('CONTROL MASTER'!$R$2:$R$495,MATCH("Control WB Box 10: B4",'CONTROL MASTER'!$J$2:$J$495,0)),"")</f>
        <v/>
      </c>
      <c r="F121" s="9" t="str">
        <f>IFERROR(INDEX('CONTROL MASTER'!$R$2:$R$495,MATCH("Control WB Box 10: B5",'CONTROL MASTER'!$J$2:$J$495,0)),"")</f>
        <v/>
      </c>
      <c r="G121" s="9" t="str">
        <f>IFERROR(INDEX('CONTROL MASTER'!$R$2:$R$495,MATCH("Control WB Box 10: B6",'CONTROL MASTER'!$J$2:$J$495,0)),"")</f>
        <v/>
      </c>
      <c r="H121" s="9" t="str">
        <f>IFERROR(INDEX('CONTROL MASTER'!$R$2:$R$495,MATCH("Control WB Box 10: B7",'CONTROL MASTER'!$J$2:$J$495,0)),"")</f>
        <v/>
      </c>
      <c r="I121" s="9" t="str">
        <f>IFERROR(INDEX('CONTROL MASTER'!$R$2:$R$495,MATCH("Control WB Box 10: B8",'CONTROL MASTER'!$J$2:$J$495,0)),"")</f>
        <v/>
      </c>
      <c r="J121" s="9" t="str">
        <f>IFERROR(INDEX('CONTROL MASTER'!$R$2:$R$495,MATCH("Control WB Box 10: B9",'CONTROL MASTER'!$J$2:$J$495,0)),"")</f>
        <v/>
      </c>
    </row>
    <row r="122" spans="1:10" ht="15" customHeight="1" x14ac:dyDescent="0.35">
      <c r="A122" s="8" t="s">
        <v>30</v>
      </c>
      <c r="B122" s="9" t="str">
        <f>IFERROR(INDEX('CONTROL MASTER'!$R$2:$R$495,MATCH("Control WB Box 10: C1",'CONTROL MASTER'!$J$2:$J$495,0)),"")</f>
        <v/>
      </c>
      <c r="C122" s="9" t="str">
        <f>IFERROR(INDEX('CONTROL MASTER'!$R$2:$R$495,MATCH("Control WB Box 10: C2",'CONTROL MASTER'!$J$2:$J$495,0)),"")</f>
        <v/>
      </c>
      <c r="D122" s="9" t="str">
        <f>IFERROR(INDEX('CONTROL MASTER'!$R$2:$R$495,MATCH("Control WB Box 10: C3",'CONTROL MASTER'!$J$2:$J$495,0)),"")</f>
        <v/>
      </c>
      <c r="E122" s="9" t="str">
        <f>IFERROR(INDEX('CONTROL MASTER'!$R$2:$R$495,MATCH("Control WB Box 10: C4",'CONTROL MASTER'!$J$2:$J$495,0)),"")</f>
        <v/>
      </c>
      <c r="F122" s="9" t="str">
        <f>IFERROR(INDEX('CONTROL MASTER'!$R$2:$R$495,MATCH("Control WB Box 10: C5",'CONTROL MASTER'!$J$2:$J$495,0)),"")</f>
        <v/>
      </c>
      <c r="G122" s="9" t="str">
        <f>IFERROR(INDEX('CONTROL MASTER'!$R$2:$R$495,MATCH("Control WB Box 10: C6",'CONTROL MASTER'!$J$2:$J$495,0)),"")</f>
        <v/>
      </c>
      <c r="H122" s="9" t="str">
        <f>IFERROR(INDEX('CONTROL MASTER'!$R$2:$R$495,MATCH("Control WB Box 10: C7",'CONTROL MASTER'!$J$2:$J$495,0)),"")</f>
        <v/>
      </c>
      <c r="I122" s="9" t="str">
        <f>IFERROR(INDEX('CONTROL MASTER'!$R$2:$R$495,MATCH("Control WB Box 10: C8",'CONTROL MASTER'!$J$2:$J$495,0)),"")</f>
        <v/>
      </c>
      <c r="J122" s="9" t="str">
        <f>IFERROR(INDEX('CONTROL MASTER'!$R$2:$R$495,MATCH("Control WB Box 10: C9",'CONTROL MASTER'!$J$2:$J$495,0)),"")</f>
        <v/>
      </c>
    </row>
    <row r="123" spans="1:10" ht="15" customHeight="1" x14ac:dyDescent="0.35">
      <c r="A123" s="8" t="s">
        <v>31</v>
      </c>
      <c r="B123" s="9" t="str">
        <f>IFERROR(INDEX('CONTROL MASTER'!$R$2:$R$495,MATCH("Control WB Box 10: D1",'CONTROL MASTER'!$J$2:$J$495,0)),"")</f>
        <v/>
      </c>
      <c r="C123" s="9" t="str">
        <f>IFERROR(INDEX('CONTROL MASTER'!$R$2:$R$495,MATCH("Control WB Box 10: D2",'CONTROL MASTER'!$J$2:$J$495,0)),"")</f>
        <v/>
      </c>
      <c r="D123" s="9" t="str">
        <f>IFERROR(INDEX('CONTROL MASTER'!$R$2:$R$495,MATCH("Control WB Box 10: D3",'CONTROL MASTER'!$J$2:$J$495,0)),"")</f>
        <v/>
      </c>
      <c r="E123" s="9" t="str">
        <f>IFERROR(INDEX('CONTROL MASTER'!$R$2:$R$495,MATCH("Control WB Box 10: D4",'CONTROL MASTER'!$J$2:$J$495,0)),"")</f>
        <v/>
      </c>
      <c r="F123" s="9" t="str">
        <f>IFERROR(INDEX('CONTROL MASTER'!$R$2:$R$495,MATCH("Control WB Box 10: D5",'CONTROL MASTER'!$J$2:$J$495,0)),"")</f>
        <v/>
      </c>
      <c r="G123" s="9" t="str">
        <f>IFERROR(INDEX('CONTROL MASTER'!$R$2:$R$495,MATCH("Control WB Box 10: D6",'CONTROL MASTER'!$J$2:$J$495,0)),"")</f>
        <v/>
      </c>
      <c r="H123" s="9" t="str">
        <f>IFERROR(INDEX('CONTROL MASTER'!$R$2:$R$495,MATCH("Control WB Box 10: D7",'CONTROL MASTER'!$J$2:$J$495,0)),"")</f>
        <v/>
      </c>
      <c r="I123" s="9" t="str">
        <f>IFERROR(INDEX('CONTROL MASTER'!$R$2:$R$495,MATCH("Control WB Box 10: D8",'CONTROL MASTER'!$J$2:$J$495,0)),"")</f>
        <v/>
      </c>
      <c r="J123" s="9" t="str">
        <f>IFERROR(INDEX('CONTROL MASTER'!$R$2:$R$495,MATCH("Control WB Box 10: D9",'CONTROL MASTER'!$J$2:$J$495,0)),"")</f>
        <v/>
      </c>
    </row>
    <row r="124" spans="1:10" ht="15" customHeight="1" x14ac:dyDescent="0.35">
      <c r="A124" s="8" t="s">
        <v>32</v>
      </c>
      <c r="B124" s="9" t="str">
        <f>IFERROR(INDEX('CONTROL MASTER'!$R$2:$R$495,MATCH("Control WB Box 10: E1",'CONTROL MASTER'!$J$2:$J$495,0)),"")</f>
        <v/>
      </c>
      <c r="C124" s="9" t="str">
        <f>IFERROR(INDEX('CONTROL MASTER'!$R$2:$R$495,MATCH("Control WB Box 10: E2",'CONTROL MASTER'!$J$2:$J$495,0)),"")</f>
        <v/>
      </c>
      <c r="D124" s="9" t="str">
        <f>IFERROR(INDEX('CONTROL MASTER'!$R$2:$R$495,MATCH("Control WB Box 10: E3",'CONTROL MASTER'!$J$2:$J$495,0)),"")</f>
        <v/>
      </c>
      <c r="E124" s="9" t="str">
        <f>IFERROR(INDEX('CONTROL MASTER'!$R$2:$R$495,MATCH("Control WB Box 10: E4",'CONTROL MASTER'!$J$2:$J$495,0)),"")</f>
        <v/>
      </c>
      <c r="F124" s="9" t="str">
        <f>IFERROR(INDEX('CONTROL MASTER'!$R$2:$R$495,MATCH("Control WB Box 10: E5",'CONTROL MASTER'!$J$2:$J$495,0)),"")</f>
        <v/>
      </c>
      <c r="G124" s="9" t="str">
        <f>IFERROR(INDEX('CONTROL MASTER'!$R$2:$R$495,MATCH("Control WB Box 10: E6",'CONTROL MASTER'!$J$2:$J$495,0)),"")</f>
        <v/>
      </c>
      <c r="H124" s="9" t="str">
        <f>IFERROR(INDEX('CONTROL MASTER'!$R$2:$R$495,MATCH("Control WB Box 10: E7",'CONTROL MASTER'!$J$2:$J$495,0)),"")</f>
        <v/>
      </c>
      <c r="I124" s="9" t="str">
        <f>IFERROR(INDEX('CONTROL MASTER'!$R$2:$R$495,MATCH("Control WB Box 10: E8",'CONTROL MASTER'!$J$2:$J$495,0)),"")</f>
        <v/>
      </c>
      <c r="J124" s="9" t="str">
        <f>IFERROR(INDEX('CONTROL MASTER'!$R$2:$R$495,MATCH("Control WB Box 10: E9",'CONTROL MASTER'!$J$2:$J$495,0)),"")</f>
        <v/>
      </c>
    </row>
    <row r="125" spans="1:10" ht="15" customHeight="1" x14ac:dyDescent="0.35">
      <c r="A125" s="8" t="s">
        <v>33</v>
      </c>
      <c r="B125" s="9" t="str">
        <f>IFERROR(INDEX('CONTROL MASTER'!$R$2:$R$495,MATCH("Control WB Box 10: F1",'CONTROL MASTER'!$J$2:$J$495,0)),"")</f>
        <v/>
      </c>
      <c r="C125" s="9" t="str">
        <f>IFERROR(INDEX('CONTROL MASTER'!$R$2:$R$495,MATCH("Control WB Box 10: F2",'CONTROL MASTER'!$J$2:$J$495,0)),"")</f>
        <v/>
      </c>
      <c r="D125" s="9" t="str">
        <f>IFERROR(INDEX('CONTROL MASTER'!$R$2:$R$495,MATCH("Control WB Box 10: F3",'CONTROL MASTER'!$J$2:$J$495,0)),"")</f>
        <v/>
      </c>
      <c r="E125" s="9" t="str">
        <f>IFERROR(INDEX('CONTROL MASTER'!$R$2:$R$495,MATCH("Control WB Box 10: F4",'CONTROL MASTER'!$J$2:$J$495,0)),"")</f>
        <v/>
      </c>
      <c r="F125" s="9" t="str">
        <f>IFERROR(INDEX('CONTROL MASTER'!$R$2:$R$495,MATCH("Control WB Box 10: F5",'CONTROL MASTER'!$J$2:$J$495,0)),"")</f>
        <v/>
      </c>
      <c r="G125" s="9" t="str">
        <f>IFERROR(INDEX('CONTROL MASTER'!$R$2:$R$495,MATCH("Control WB Box 10: F6",'CONTROL MASTER'!$J$2:$J$495,0)),"")</f>
        <v/>
      </c>
      <c r="H125" s="9" t="str">
        <f>IFERROR(INDEX('CONTROL MASTER'!$R$2:$R$495,MATCH("Control WB Box 10: F7",'CONTROL MASTER'!$J$2:$J$495,0)),"")</f>
        <v/>
      </c>
      <c r="I125" s="9" t="str">
        <f>IFERROR(INDEX('CONTROL MASTER'!$R$2:$R$495,MATCH("Control WB Box 10: F8",'CONTROL MASTER'!$J$2:$J$495,0)),"")</f>
        <v/>
      </c>
      <c r="J125" s="9" t="str">
        <f>IFERROR(INDEX('CONTROL MASTER'!$R$2:$R$495,MATCH("Control WB Box 10: F9",'CONTROL MASTER'!$J$2:$J$495,0)),"")</f>
        <v/>
      </c>
    </row>
    <row r="126" spans="1:10" ht="15" customHeight="1" x14ac:dyDescent="0.35">
      <c r="A126" s="8" t="s">
        <v>34</v>
      </c>
      <c r="B126" s="9" t="str">
        <f>IFERROR(INDEX('CONTROL MASTER'!$R$2:$R$495,MATCH("Control WB Box 10: G1",'CONTROL MASTER'!$J$2:$J$495,0)),"")</f>
        <v/>
      </c>
      <c r="C126" s="9" t="str">
        <f>IFERROR(INDEX('CONTROL MASTER'!$R$2:$R$495,MATCH("Control WB Box 10: G2",'CONTROL MASTER'!$J$2:$J$495,0)),"")</f>
        <v/>
      </c>
      <c r="D126" s="9" t="str">
        <f>IFERROR(INDEX('CONTROL MASTER'!$R$2:$R$495,MATCH("Control WB Box 10: G3",'CONTROL MASTER'!$J$2:$J$495,0)),"")</f>
        <v/>
      </c>
      <c r="E126" s="9" t="str">
        <f>IFERROR(INDEX('CONTROL MASTER'!$R$2:$R$495,MATCH("Control WB Box 10: G4",'CONTROL MASTER'!$J$2:$J$495,0)),"")</f>
        <v/>
      </c>
      <c r="F126" s="9" t="str">
        <f>IFERROR(INDEX('CONTROL MASTER'!$R$2:$R$495,MATCH("Control WB Box 10: G5",'CONTROL MASTER'!$J$2:$J$495,0)),"")</f>
        <v/>
      </c>
      <c r="G126" s="9" t="str">
        <f>IFERROR(INDEX('CONTROL MASTER'!$R$2:$R$495,MATCH("Control WB Box 10: G6",'CONTROL MASTER'!$J$2:$J$495,0)),"")</f>
        <v/>
      </c>
      <c r="H126" s="9" t="str">
        <f>IFERROR(INDEX('CONTROL MASTER'!$R$2:$R$495,MATCH("Control WB Box 10: G7",'CONTROL MASTER'!$J$2:$J$495,0)),"")</f>
        <v/>
      </c>
      <c r="I126" s="9" t="str">
        <f>IFERROR(INDEX('CONTROL MASTER'!$R$2:$R$495,MATCH("Control WB Box 10: G8",'CONTROL MASTER'!$J$2:$J$495,0)),"")</f>
        <v/>
      </c>
      <c r="J126" s="9" t="str">
        <f>IFERROR(INDEX('CONTROL MASTER'!$R$2:$R$495,MATCH("Control WB Box 10: G9",'CONTROL MASTER'!$J$2:$J$495,0)),"")</f>
        <v/>
      </c>
    </row>
    <row r="127" spans="1:10" ht="15" customHeight="1" x14ac:dyDescent="0.35">
      <c r="A127" s="8" t="s">
        <v>35</v>
      </c>
      <c r="B127" s="9" t="str">
        <f>IFERROR(INDEX('CONTROL MASTER'!$R$2:$R$495,MATCH("Control WB Box 10: H1",'CONTROL MASTER'!$J$2:$J$495,0)),"")</f>
        <v/>
      </c>
      <c r="C127" s="9" t="str">
        <f>IFERROR(INDEX('CONTROL MASTER'!$R$2:$R$495,MATCH("Control WB Box 10: H2",'CONTROL MASTER'!$J$2:$J$495,0)),"")</f>
        <v/>
      </c>
      <c r="D127" s="9" t="str">
        <f>IFERROR(INDEX('CONTROL MASTER'!$R$2:$R$495,MATCH("Control WB Box 10: H3",'CONTROL MASTER'!$J$2:$J$495,0)),"")</f>
        <v/>
      </c>
      <c r="E127" s="9" t="str">
        <f>IFERROR(INDEX('CONTROL MASTER'!$R$2:$R$495,MATCH("Control WB Box 10: H4",'CONTROL MASTER'!$J$2:$J$495,0)),"")</f>
        <v/>
      </c>
      <c r="F127" s="9" t="str">
        <f>IFERROR(INDEX('CONTROL MASTER'!$R$2:$R$495,MATCH("Control WB Box 10: H5",'CONTROL MASTER'!$J$2:$J$495,0)),"")</f>
        <v/>
      </c>
      <c r="G127" s="9" t="str">
        <f>IFERROR(INDEX('CONTROL MASTER'!$R$2:$R$495,MATCH("Control WB Box 10: H6",'CONTROL MASTER'!$J$2:$J$495,0)),"")</f>
        <v/>
      </c>
      <c r="H127" s="9" t="str">
        <f>IFERROR(INDEX('CONTROL MASTER'!$R$2:$R$495,MATCH("Control WB Box 10: H7",'CONTROL MASTER'!$J$2:$J$495,0)),"")</f>
        <v/>
      </c>
      <c r="I127" s="9" t="str">
        <f>IFERROR(INDEX('CONTROL MASTER'!$R$2:$R$495,MATCH("Control WB Box 10: H8",'CONTROL MASTER'!$J$2:$J$495,0)),"")</f>
        <v/>
      </c>
      <c r="J127" s="9" t="str">
        <f>IFERROR(INDEX('CONTROL MASTER'!$R$2:$R$495,MATCH("Control WB Box 10: H9",'CONTROL MASTER'!$J$2:$J$495,0)),"")</f>
        <v/>
      </c>
    </row>
    <row r="128" spans="1:10" ht="15" customHeight="1" x14ac:dyDescent="0.35">
      <c r="A128" s="8" t="s">
        <v>81</v>
      </c>
      <c r="B128" s="9" t="str">
        <f>IFERROR(INDEX('CONTROL MASTER'!$R$2:$R$495,MATCH("Control WB Box 10: I1",'CONTROL MASTER'!$J$2:$J$495,0)),"")</f>
        <v/>
      </c>
      <c r="C128" s="9" t="str">
        <f>IFERROR(INDEX('CONTROL MASTER'!$R$2:$R$495,MATCH("Control WB Box 10: I2",'CONTROL MASTER'!$J$2:$J$495,0)),"")</f>
        <v/>
      </c>
      <c r="D128" s="9" t="str">
        <f>IFERROR(INDEX('CONTROL MASTER'!$R$2:$R$495,MATCH("Control WB Box 10: I3",'CONTROL MASTER'!$J$2:$J$495,0)),"")</f>
        <v/>
      </c>
      <c r="E128" s="9" t="str">
        <f>IFERROR(INDEX('CONTROL MASTER'!$R$2:$R$495,MATCH("Control WB Box 10: I4",'CONTROL MASTER'!$J$2:$J$495,0)),"")</f>
        <v/>
      </c>
      <c r="F128" s="9" t="str">
        <f>IFERROR(INDEX('CONTROL MASTER'!$R$2:$R$495,MATCH("Control WB Box 10: I5",'CONTROL MASTER'!$J$2:$J$495,0)),"")</f>
        <v/>
      </c>
      <c r="G128" s="9" t="str">
        <f>IFERROR(INDEX('CONTROL MASTER'!$R$2:$R$495,MATCH("Control WB Box 10: I6",'CONTROL MASTER'!$J$2:$J$495,0)),"")</f>
        <v/>
      </c>
      <c r="H128" s="9" t="str">
        <f>IFERROR(INDEX('CONTROL MASTER'!$R$2:$R$495,MATCH("Control WB Box 10: I7",'CONTROL MASTER'!$J$2:$J$495,0)),"")</f>
        <v/>
      </c>
      <c r="I128" s="9" t="str">
        <f>IFERROR(INDEX('CONTROL MASTER'!$R$2:$R$495,MATCH("Control WB Box 10: I8",'CONTROL MASTER'!$J$2:$J$495,0)),"")</f>
        <v/>
      </c>
      <c r="J128" s="9" t="str">
        <f>IFERROR(INDEX('CONTROL MASTER'!$R$2:$R$495,MATCH("Control WB Box 10: I9",'CONTROL MASTER'!$J$2:$J$495,0)),"")</f>
        <v/>
      </c>
    </row>
    <row r="131" spans="1:10" ht="15" customHeight="1" x14ac:dyDescent="0.35">
      <c r="A131" s="12" t="s">
        <v>182</v>
      </c>
      <c r="B131" s="13"/>
      <c r="C131" s="13"/>
      <c r="D131" s="13"/>
      <c r="E131" s="13"/>
      <c r="F131" s="13"/>
      <c r="G131" s="13"/>
      <c r="H131" s="13"/>
      <c r="I131" s="13"/>
      <c r="J131" s="13"/>
    </row>
    <row r="132" spans="1:10" ht="15" customHeight="1" x14ac:dyDescent="0.35">
      <c r="B132" s="8">
        <v>1</v>
      </c>
      <c r="C132" s="8">
        <v>2</v>
      </c>
      <c r="D132" s="8">
        <v>3</v>
      </c>
      <c r="E132" s="8">
        <v>4</v>
      </c>
      <c r="F132" s="8">
        <v>5</v>
      </c>
      <c r="G132" s="8">
        <v>6</v>
      </c>
      <c r="H132" s="8">
        <v>7</v>
      </c>
      <c r="I132" s="8">
        <v>8</v>
      </c>
      <c r="J132" s="8">
        <v>9</v>
      </c>
    </row>
    <row r="133" spans="1:10" ht="15" customHeight="1" x14ac:dyDescent="0.35">
      <c r="A133" s="8" t="s">
        <v>28</v>
      </c>
      <c r="B133" s="9" t="str">
        <f>IFERROR(INDEX('CONTROL MASTER'!$R$2:$R$495,MATCH("Control WB Box 11: A1",'CONTROL MASTER'!$J$2:$J$495,0)),"")</f>
        <v/>
      </c>
      <c r="C133" s="9" t="str">
        <f>IFERROR(INDEX('CONTROL MASTER'!$R$2:$R$495,MATCH("Control WB Box 11: A2",'CONTROL MASTER'!$J$2:$J$495,0)),"")</f>
        <v/>
      </c>
      <c r="D133" s="9" t="str">
        <f>IFERROR(INDEX('CONTROL MASTER'!$R$2:$R$495,MATCH("Control WB Box 11: A3",'CONTROL MASTER'!$J$2:$J$495,0)),"")</f>
        <v/>
      </c>
      <c r="E133" s="9" t="str">
        <f>IFERROR(INDEX('CONTROL MASTER'!$R$2:$R$495,MATCH("Control WB Box 11: A4",'CONTROL MASTER'!$J$2:$J$495,0)),"")</f>
        <v/>
      </c>
      <c r="F133" s="9" t="str">
        <f>IFERROR(INDEX('CONTROL MASTER'!$R$2:$R$495,MATCH("Control WB Box 11: A5",'CONTROL MASTER'!$J$2:$J$495,0)),"")</f>
        <v/>
      </c>
      <c r="G133" s="9" t="str">
        <f>IFERROR(INDEX('CONTROL MASTER'!$R$2:$R$495,MATCH("Control WB Box 11: A6",'CONTROL MASTER'!$J$2:$J$495,0)),"")</f>
        <v/>
      </c>
      <c r="H133" s="9" t="str">
        <f>IFERROR(INDEX('CONTROL MASTER'!$R$2:$R$495,MATCH("Control WB Box 11: A7",'CONTROL MASTER'!$J$2:$J$495,0)),"")</f>
        <v/>
      </c>
      <c r="I133" s="9" t="str">
        <f>IFERROR(INDEX('CONTROL MASTER'!$R$2:$R$495,MATCH("Control WB Box 11: A8",'CONTROL MASTER'!$J$2:$J$495,0)),"")</f>
        <v/>
      </c>
      <c r="J133" s="9" t="str">
        <f>IFERROR(INDEX('CONTROL MASTER'!$R$2:$R$495,MATCH("Control WB Box 11: A9",'CONTROL MASTER'!$J$2:$J$495,0)),"")</f>
        <v/>
      </c>
    </row>
    <row r="134" spans="1:10" ht="15" customHeight="1" x14ac:dyDescent="0.35">
      <c r="A134" s="8" t="s">
        <v>29</v>
      </c>
      <c r="B134" s="9" t="str">
        <f>IFERROR(INDEX('CONTROL MASTER'!$R$2:$R$495,MATCH("Control WB Box 11: B1",'CONTROL MASTER'!$J$2:$J$495,0)),"")</f>
        <v/>
      </c>
      <c r="C134" s="9" t="str">
        <f>IFERROR(INDEX('CONTROL MASTER'!$R$2:$R$495,MATCH("Control WB Box 11: B2",'CONTROL MASTER'!$J$2:$J$495,0)),"")</f>
        <v/>
      </c>
      <c r="D134" s="9" t="str">
        <f>IFERROR(INDEX('CONTROL MASTER'!$R$2:$R$495,MATCH("Control WB Box 11: B3",'CONTROL MASTER'!$J$2:$J$495,0)),"")</f>
        <v/>
      </c>
      <c r="E134" s="9" t="str">
        <f>IFERROR(INDEX('CONTROL MASTER'!$R$2:$R$495,MATCH("Control WB Box 11: B4",'CONTROL MASTER'!$J$2:$J$495,0)),"")</f>
        <v/>
      </c>
      <c r="F134" s="9" t="str">
        <f>IFERROR(INDEX('CONTROL MASTER'!$R$2:$R$495,MATCH("Control WB Box 11: B5",'CONTROL MASTER'!$J$2:$J$495,0)),"")</f>
        <v/>
      </c>
      <c r="G134" s="9" t="str">
        <f>IFERROR(INDEX('CONTROL MASTER'!$R$2:$R$495,MATCH("Control WB Box 11: B6",'CONTROL MASTER'!$J$2:$J$495,0)),"")</f>
        <v/>
      </c>
      <c r="H134" s="9" t="str">
        <f>IFERROR(INDEX('CONTROL MASTER'!$R$2:$R$495,MATCH("Control WB Box 11: B7",'CONTROL MASTER'!$J$2:$J$495,0)),"")</f>
        <v/>
      </c>
      <c r="I134" s="9" t="str">
        <f>IFERROR(INDEX('CONTROL MASTER'!$R$2:$R$495,MATCH("Control WB Box 11: B8",'CONTROL MASTER'!$J$2:$J$495,0)),"")</f>
        <v/>
      </c>
      <c r="J134" s="9" t="str">
        <f>IFERROR(INDEX('CONTROL MASTER'!$R$2:$R$495,MATCH("Control WB Box 11: B9",'CONTROL MASTER'!$J$2:$J$495,0)),"")</f>
        <v/>
      </c>
    </row>
    <row r="135" spans="1:10" ht="15" customHeight="1" x14ac:dyDescent="0.35">
      <c r="A135" s="8" t="s">
        <v>30</v>
      </c>
      <c r="B135" s="9" t="str">
        <f>IFERROR(INDEX('CONTROL MASTER'!$R$2:$R$495,MATCH("Control WB Box 11: C1",'CONTROL MASTER'!$J$2:$J$495,0)),"")</f>
        <v/>
      </c>
      <c r="C135" s="9" t="str">
        <f>IFERROR(INDEX('CONTROL MASTER'!$R$2:$R$495,MATCH("Control WB Box 11: C2",'CONTROL MASTER'!$J$2:$J$495,0)),"")</f>
        <v/>
      </c>
      <c r="D135" s="9" t="str">
        <f>IFERROR(INDEX('CONTROL MASTER'!$R$2:$R$495,MATCH("Control WB Box 11: C3",'CONTROL MASTER'!$J$2:$J$495,0)),"")</f>
        <v/>
      </c>
      <c r="E135" s="9" t="str">
        <f>IFERROR(INDEX('CONTROL MASTER'!$R$2:$R$495,MATCH("Control WB Box 11: C4",'CONTROL MASTER'!$J$2:$J$495,0)),"")</f>
        <v/>
      </c>
      <c r="F135" s="9" t="str">
        <f>IFERROR(INDEX('CONTROL MASTER'!$R$2:$R$495,MATCH("Control WB Box 11: C5",'CONTROL MASTER'!$J$2:$J$495,0)),"")</f>
        <v/>
      </c>
      <c r="G135" s="9" t="str">
        <f>IFERROR(INDEX('CONTROL MASTER'!$R$2:$R$495,MATCH("Control WB Box 11: C6",'CONTROL MASTER'!$J$2:$J$495,0)),"")</f>
        <v/>
      </c>
      <c r="H135" s="9" t="str">
        <f>IFERROR(INDEX('CONTROL MASTER'!$R$2:$R$495,MATCH("Control WB Box 11: C7",'CONTROL MASTER'!$J$2:$J$495,0)),"")</f>
        <v/>
      </c>
      <c r="I135" s="9" t="str">
        <f>IFERROR(INDEX('CONTROL MASTER'!$R$2:$R$495,MATCH("Control WB Box 11: C8",'CONTROL MASTER'!$J$2:$J$495,0)),"")</f>
        <v/>
      </c>
      <c r="J135" s="9" t="str">
        <f>IFERROR(INDEX('CONTROL MASTER'!$R$2:$R$495,MATCH("Control WB Box 11: C9",'CONTROL MASTER'!$J$2:$J$495,0)),"")</f>
        <v/>
      </c>
    </row>
    <row r="136" spans="1:10" ht="15" customHeight="1" x14ac:dyDescent="0.35">
      <c r="A136" s="8" t="s">
        <v>31</v>
      </c>
      <c r="B136" s="9" t="str">
        <f>IFERROR(INDEX('CONTROL MASTER'!$R$2:$R$495,MATCH("Control WB Box 11: D1",'CONTROL MASTER'!$J$2:$J$495,0)),"")</f>
        <v/>
      </c>
      <c r="C136" s="9" t="str">
        <f>IFERROR(INDEX('CONTROL MASTER'!$R$2:$R$495,MATCH("Control WB Box 11: D2",'CONTROL MASTER'!$J$2:$J$495,0)),"")</f>
        <v/>
      </c>
      <c r="D136" s="9" t="str">
        <f>IFERROR(INDEX('CONTROL MASTER'!$R$2:$R$495,MATCH("Control WB Box 11: D3",'CONTROL MASTER'!$J$2:$J$495,0)),"")</f>
        <v/>
      </c>
      <c r="E136" s="9" t="str">
        <f>IFERROR(INDEX('CONTROL MASTER'!$R$2:$R$495,MATCH("Control WB Box 11: D4",'CONTROL MASTER'!$J$2:$J$495,0)),"")</f>
        <v/>
      </c>
      <c r="F136" s="9" t="str">
        <f>IFERROR(INDEX('CONTROL MASTER'!$R$2:$R$495,MATCH("Control WB Box 11: D5",'CONTROL MASTER'!$J$2:$J$495,0)),"")</f>
        <v/>
      </c>
      <c r="G136" s="9" t="str">
        <f>IFERROR(INDEX('CONTROL MASTER'!$R$2:$R$495,MATCH("Control WB Box 11: D6",'CONTROL MASTER'!$J$2:$J$495,0)),"")</f>
        <v/>
      </c>
      <c r="H136" s="9" t="str">
        <f>IFERROR(INDEX('CONTROL MASTER'!$R$2:$R$495,MATCH("Control WB Box 11: D7",'CONTROL MASTER'!$J$2:$J$495,0)),"")</f>
        <v/>
      </c>
      <c r="I136" s="9" t="str">
        <f>IFERROR(INDEX('CONTROL MASTER'!$R$2:$R$495,MATCH("Control WB Box 11: D8",'CONTROL MASTER'!$J$2:$J$495,0)),"")</f>
        <v/>
      </c>
      <c r="J136" s="9" t="str">
        <f>IFERROR(INDEX('CONTROL MASTER'!$R$2:$R$495,MATCH("Control WB Box 11: D9",'CONTROL MASTER'!$J$2:$J$495,0)),"")</f>
        <v/>
      </c>
    </row>
    <row r="137" spans="1:10" ht="15" customHeight="1" x14ac:dyDescent="0.35">
      <c r="A137" s="8" t="s">
        <v>32</v>
      </c>
      <c r="B137" s="9" t="str">
        <f>IFERROR(INDEX('CONTROL MASTER'!$R$2:$R$495,MATCH("Control WB Box 11: E1",'CONTROL MASTER'!$J$2:$J$495,0)),"")</f>
        <v/>
      </c>
      <c r="C137" s="9" t="str">
        <f>IFERROR(INDEX('CONTROL MASTER'!$R$2:$R$495,MATCH("Control WB Box 11: E2",'CONTROL MASTER'!$J$2:$J$495,0)),"")</f>
        <v/>
      </c>
      <c r="D137" s="9" t="str">
        <f>IFERROR(INDEX('CONTROL MASTER'!$R$2:$R$495,MATCH("Control WB Box 11: E3",'CONTROL MASTER'!$J$2:$J$495,0)),"")</f>
        <v/>
      </c>
      <c r="E137" s="9" t="str">
        <f>IFERROR(INDEX('CONTROL MASTER'!$R$2:$R$495,MATCH("Control WB Box 11: E4",'CONTROL MASTER'!$J$2:$J$495,0)),"")</f>
        <v/>
      </c>
      <c r="F137" s="9" t="str">
        <f>IFERROR(INDEX('CONTROL MASTER'!$R$2:$R$495,MATCH("Control WB Box 11: E5",'CONTROL MASTER'!$J$2:$J$495,0)),"")</f>
        <v/>
      </c>
      <c r="G137" s="9" t="str">
        <f>IFERROR(INDEX('CONTROL MASTER'!$R$2:$R$495,MATCH("Control WB Box 11: E6",'CONTROL MASTER'!$J$2:$J$495,0)),"")</f>
        <v/>
      </c>
      <c r="H137" s="9" t="str">
        <f>IFERROR(INDEX('CONTROL MASTER'!$R$2:$R$495,MATCH("Control WB Box 11: E7",'CONTROL MASTER'!$J$2:$J$495,0)),"")</f>
        <v/>
      </c>
      <c r="I137" s="9" t="str">
        <f>IFERROR(INDEX('CONTROL MASTER'!$R$2:$R$495,MATCH("Control WB Box 11: E8",'CONTROL MASTER'!$J$2:$J$495,0)),"")</f>
        <v/>
      </c>
      <c r="J137" s="9" t="str">
        <f>IFERROR(INDEX('CONTROL MASTER'!$R$2:$R$495,MATCH("Control WB Box 11: E9",'CONTROL MASTER'!$J$2:$J$495,0)),"")</f>
        <v/>
      </c>
    </row>
    <row r="138" spans="1:10" ht="15" customHeight="1" x14ac:dyDescent="0.35">
      <c r="A138" s="8" t="s">
        <v>33</v>
      </c>
      <c r="B138" s="9" t="str">
        <f>IFERROR(INDEX('CONTROL MASTER'!$R$2:$R$495,MATCH("Control WB Box 11: F1",'CONTROL MASTER'!$J$2:$J$495,0)),"")</f>
        <v/>
      </c>
      <c r="C138" s="9" t="str">
        <f>IFERROR(INDEX('CONTROL MASTER'!$R$2:$R$495,MATCH("Control WB Box 11: F2",'CONTROL MASTER'!$J$2:$J$495,0)),"")</f>
        <v/>
      </c>
      <c r="D138" s="9" t="str">
        <f>IFERROR(INDEX('CONTROL MASTER'!$R$2:$R$495,MATCH("Control WB Box 11: F3",'CONTROL MASTER'!$J$2:$J$495,0)),"")</f>
        <v/>
      </c>
      <c r="E138" s="9" t="str">
        <f>IFERROR(INDEX('CONTROL MASTER'!$R$2:$R$495,MATCH("Control WB Box 11: F4",'CONTROL MASTER'!$J$2:$J$495,0)),"")</f>
        <v/>
      </c>
      <c r="F138" s="9" t="str">
        <f>IFERROR(INDEX('CONTROL MASTER'!$R$2:$R$495,MATCH("Control WB Box 11: F5",'CONTROL MASTER'!$J$2:$J$495,0)),"")</f>
        <v/>
      </c>
      <c r="G138" s="9" t="str">
        <f>IFERROR(INDEX('CONTROL MASTER'!$R$2:$R$495,MATCH("Control WB Box 11: F6",'CONTROL MASTER'!$J$2:$J$495,0)),"")</f>
        <v/>
      </c>
      <c r="H138" s="9" t="str">
        <f>IFERROR(INDEX('CONTROL MASTER'!$R$2:$R$495,MATCH("Control WB Box 11: F7",'CONTROL MASTER'!$J$2:$J$495,0)),"")</f>
        <v/>
      </c>
      <c r="I138" s="9" t="str">
        <f>IFERROR(INDEX('CONTROL MASTER'!$R$2:$R$495,MATCH("Control WB Box 11: F8",'CONTROL MASTER'!$J$2:$J$495,0)),"")</f>
        <v/>
      </c>
      <c r="J138" s="9" t="str">
        <f>IFERROR(INDEX('CONTROL MASTER'!$R$2:$R$495,MATCH("Control WB Box 11: F9",'CONTROL MASTER'!$J$2:$J$495,0)),"")</f>
        <v/>
      </c>
    </row>
    <row r="139" spans="1:10" ht="15" customHeight="1" x14ac:dyDescent="0.35">
      <c r="A139" s="8" t="s">
        <v>34</v>
      </c>
      <c r="B139" s="9" t="str">
        <f>IFERROR(INDEX('CONTROL MASTER'!$R$2:$R$495,MATCH("Control WB Box 11: G1",'CONTROL MASTER'!$J$2:$J$495,0)),"")</f>
        <v/>
      </c>
      <c r="C139" s="9" t="str">
        <f>IFERROR(INDEX('CONTROL MASTER'!$R$2:$R$495,MATCH("Control WB Box 11: G2",'CONTROL MASTER'!$J$2:$J$495,0)),"")</f>
        <v/>
      </c>
      <c r="D139" s="9" t="str">
        <f>IFERROR(INDEX('CONTROL MASTER'!$R$2:$R$495,MATCH("Control WB Box 11: G3",'CONTROL MASTER'!$J$2:$J$495,0)),"")</f>
        <v/>
      </c>
      <c r="E139" s="9" t="str">
        <f>IFERROR(INDEX('CONTROL MASTER'!$R$2:$R$495,MATCH("Control WB Box 11: G4",'CONTROL MASTER'!$J$2:$J$495,0)),"")</f>
        <v/>
      </c>
      <c r="F139" s="9" t="str">
        <f>IFERROR(INDEX('CONTROL MASTER'!$R$2:$R$495,MATCH("Control WB Box 11: G5",'CONTROL MASTER'!$J$2:$J$495,0)),"")</f>
        <v/>
      </c>
      <c r="G139" s="9" t="str">
        <f>IFERROR(INDEX('CONTROL MASTER'!$R$2:$R$495,MATCH("Control WB Box 11: G6",'CONTROL MASTER'!$J$2:$J$495,0)),"")</f>
        <v/>
      </c>
      <c r="H139" s="9" t="str">
        <f>IFERROR(INDEX('CONTROL MASTER'!$R$2:$R$495,MATCH("Control WB Box 11: G7",'CONTROL MASTER'!$J$2:$J$495,0)),"")</f>
        <v/>
      </c>
      <c r="I139" s="9" t="str">
        <f>IFERROR(INDEX('CONTROL MASTER'!$R$2:$R$495,MATCH("Control WB Box 11: G8",'CONTROL MASTER'!$J$2:$J$495,0)),"")</f>
        <v/>
      </c>
      <c r="J139" s="9" t="str">
        <f>IFERROR(INDEX('CONTROL MASTER'!$R$2:$R$495,MATCH("Control WB Box 11: G9",'CONTROL MASTER'!$J$2:$J$495,0)),"")</f>
        <v/>
      </c>
    </row>
    <row r="140" spans="1:10" ht="15" customHeight="1" x14ac:dyDescent="0.35">
      <c r="A140" s="8" t="s">
        <v>35</v>
      </c>
      <c r="B140" s="9" t="str">
        <f>IFERROR(INDEX('CONTROL MASTER'!$R$2:$R$495,MATCH("Control WB Box 11: H1",'CONTROL MASTER'!$J$2:$J$495,0)),"")</f>
        <v/>
      </c>
      <c r="C140" s="9" t="str">
        <f>IFERROR(INDEX('CONTROL MASTER'!$R$2:$R$495,MATCH("Control WB Box 11: H2",'CONTROL MASTER'!$J$2:$J$495,0)),"")</f>
        <v/>
      </c>
      <c r="D140" s="9" t="str">
        <f>IFERROR(INDEX('CONTROL MASTER'!$R$2:$R$495,MATCH("Control WB Box 11: H3",'CONTROL MASTER'!$J$2:$J$495,0)),"")</f>
        <v/>
      </c>
      <c r="E140" s="9" t="str">
        <f>IFERROR(INDEX('CONTROL MASTER'!$R$2:$R$495,MATCH("Control WB Box 11: H4",'CONTROL MASTER'!$J$2:$J$495,0)),"")</f>
        <v/>
      </c>
      <c r="F140" s="9" t="str">
        <f>IFERROR(INDEX('CONTROL MASTER'!$R$2:$R$495,MATCH("Control WB Box 11: H5",'CONTROL MASTER'!$J$2:$J$495,0)),"")</f>
        <v/>
      </c>
      <c r="G140" s="9" t="str">
        <f>IFERROR(INDEX('CONTROL MASTER'!$R$2:$R$495,MATCH("Control WB Box 11: H6",'CONTROL MASTER'!$J$2:$J$495,0)),"")</f>
        <v/>
      </c>
      <c r="H140" s="9" t="str">
        <f>IFERROR(INDEX('CONTROL MASTER'!$R$2:$R$495,MATCH("Control WB Box 11: H7",'CONTROL MASTER'!$J$2:$J$495,0)),"")</f>
        <v/>
      </c>
      <c r="I140" s="9" t="str">
        <f>IFERROR(INDEX('CONTROL MASTER'!$R$2:$R$495,MATCH("Control WB Box 11: H8",'CONTROL MASTER'!$J$2:$J$495,0)),"")</f>
        <v/>
      </c>
      <c r="J140" s="9" t="str">
        <f>IFERROR(INDEX('CONTROL MASTER'!$R$2:$R$495,MATCH("Control WB Box 11: H9",'CONTROL MASTER'!$J$2:$J$495,0)),"")</f>
        <v/>
      </c>
    </row>
    <row r="141" spans="1:10" ht="15" customHeight="1" x14ac:dyDescent="0.35">
      <c r="A141" s="8" t="s">
        <v>81</v>
      </c>
      <c r="B141" s="9" t="str">
        <f>IFERROR(INDEX('CONTROL MASTER'!$R$2:$R$495,MATCH("Control WB Box 11: I1",'CONTROL MASTER'!$J$2:$J$495,0)),"")</f>
        <v/>
      </c>
      <c r="C141" s="9" t="str">
        <f>IFERROR(INDEX('CONTROL MASTER'!$R$2:$R$495,MATCH("Control WB Box 11: I2",'CONTROL MASTER'!$J$2:$J$495,0)),"")</f>
        <v/>
      </c>
      <c r="D141" s="9" t="str">
        <f>IFERROR(INDEX('CONTROL MASTER'!$R$2:$R$495,MATCH("Control WB Box 11: I3",'CONTROL MASTER'!$J$2:$J$495,0)),"")</f>
        <v/>
      </c>
      <c r="E141" s="9" t="str">
        <f>IFERROR(INDEX('CONTROL MASTER'!$R$2:$R$495,MATCH("Control WB Box 11: I4",'CONTROL MASTER'!$J$2:$J$495,0)),"")</f>
        <v/>
      </c>
      <c r="F141" s="9" t="str">
        <f>IFERROR(INDEX('CONTROL MASTER'!$R$2:$R$495,MATCH("Control WB Box 11: I5",'CONTROL MASTER'!$J$2:$J$495,0)),"")</f>
        <v/>
      </c>
      <c r="G141" s="9" t="str">
        <f>IFERROR(INDEX('CONTROL MASTER'!$R$2:$R$495,MATCH("Control WB Box 11: I6",'CONTROL MASTER'!$J$2:$J$495,0)),"")</f>
        <v/>
      </c>
      <c r="H141" s="9" t="str">
        <f>IFERROR(INDEX('CONTROL MASTER'!$R$2:$R$495,MATCH("Control WB Box 11: I7",'CONTROL MASTER'!$J$2:$J$495,0)),"")</f>
        <v/>
      </c>
      <c r="I141" s="9" t="str">
        <f>IFERROR(INDEX('CONTROL MASTER'!$R$2:$R$495,MATCH("Control WB Box 11: I8",'CONTROL MASTER'!$J$2:$J$495,0)),"")</f>
        <v/>
      </c>
      <c r="J141" s="9" t="str">
        <f>IFERROR(INDEX('CONTROL MASTER'!$R$2:$R$495,MATCH("Control WB Box 11: I9",'CONTROL MASTER'!$J$2:$J$495,0)),"")</f>
        <v/>
      </c>
    </row>
    <row r="144" spans="1:10" ht="15" customHeight="1" x14ac:dyDescent="0.35">
      <c r="A144" s="12" t="s">
        <v>183</v>
      </c>
      <c r="B144" s="13"/>
      <c r="C144" s="13"/>
      <c r="D144" s="13"/>
      <c r="E144" s="13"/>
      <c r="F144" s="13"/>
      <c r="G144" s="13"/>
      <c r="H144" s="13"/>
      <c r="I144" s="13"/>
      <c r="J144" s="13"/>
    </row>
    <row r="145" spans="1:10" ht="15" customHeight="1" x14ac:dyDescent="0.35">
      <c r="B145" s="8">
        <v>1</v>
      </c>
      <c r="C145" s="8">
        <v>2</v>
      </c>
      <c r="D145" s="8">
        <v>3</v>
      </c>
      <c r="E145" s="8">
        <v>4</v>
      </c>
      <c r="F145" s="8">
        <v>5</v>
      </c>
      <c r="G145" s="8">
        <v>6</v>
      </c>
      <c r="H145" s="8">
        <v>7</v>
      </c>
      <c r="I145" s="8">
        <v>8</v>
      </c>
      <c r="J145" s="8">
        <v>9</v>
      </c>
    </row>
    <row r="146" spans="1:10" ht="15" customHeight="1" x14ac:dyDescent="0.35">
      <c r="A146" s="8" t="s">
        <v>28</v>
      </c>
      <c r="B146" s="9" t="str">
        <f>IFERROR(INDEX('CONTROL MASTER'!$R$2:$R$495,MATCH("Control WB Box 12: A1",'CONTROL MASTER'!$J$2:$J$495,0)),"")</f>
        <v/>
      </c>
      <c r="C146" s="9" t="str">
        <f>IFERROR(INDEX('CONTROL MASTER'!$R$2:$R$495,MATCH("Control WB Box 12: A2",'CONTROL MASTER'!$J$2:$J$495,0)),"")</f>
        <v/>
      </c>
      <c r="D146" s="9" t="str">
        <f>IFERROR(INDEX('CONTROL MASTER'!$R$2:$R$495,MATCH("Control WB Box 12: A3",'CONTROL MASTER'!$J$2:$J$495,0)),"")</f>
        <v/>
      </c>
      <c r="E146" s="9" t="str">
        <f>IFERROR(INDEX('CONTROL MASTER'!$R$2:$R$495,MATCH("Control WB Box 12: A4",'CONTROL MASTER'!$J$2:$J$495,0)),"")</f>
        <v/>
      </c>
      <c r="F146" s="9" t="str">
        <f>IFERROR(INDEX('CONTROL MASTER'!$R$2:$R$495,MATCH("Control WB Box 12: A5",'CONTROL MASTER'!$J$2:$J$495,0)),"")</f>
        <v/>
      </c>
      <c r="G146" s="9" t="str">
        <f>IFERROR(INDEX('CONTROL MASTER'!$R$2:$R$495,MATCH("Control WB Box 12: A6",'CONTROL MASTER'!$J$2:$J$495,0)),"")</f>
        <v/>
      </c>
      <c r="H146" s="9" t="str">
        <f>IFERROR(INDEX('CONTROL MASTER'!$R$2:$R$495,MATCH("Control WB Box 12: A7",'CONTROL MASTER'!$J$2:$J$495,0)),"")</f>
        <v/>
      </c>
      <c r="I146" s="9" t="str">
        <f>IFERROR(INDEX('CONTROL MASTER'!$R$2:$R$495,MATCH("Control WB Box 12: A8",'CONTROL MASTER'!$J$2:$J$495,0)),"")</f>
        <v/>
      </c>
      <c r="J146" s="9" t="str">
        <f>IFERROR(INDEX('CONTROL MASTER'!$R$2:$R$495,MATCH("Control WB Box 12: A9",'CONTROL MASTER'!$J$2:$J$495,0)),"")</f>
        <v/>
      </c>
    </row>
    <row r="147" spans="1:10" ht="15" customHeight="1" x14ac:dyDescent="0.35">
      <c r="A147" s="8" t="s">
        <v>29</v>
      </c>
      <c r="B147" s="9" t="str">
        <f>IFERROR(INDEX('CONTROL MASTER'!$R$2:$R$495,MATCH("Control WB Box 12: B1",'CONTROL MASTER'!$J$2:$J$495,0)),"")</f>
        <v/>
      </c>
      <c r="C147" s="9" t="str">
        <f>IFERROR(INDEX('CONTROL MASTER'!$R$2:$R$495,MATCH("Control WB Box 12: B2",'CONTROL MASTER'!$J$2:$J$495,0)),"")</f>
        <v/>
      </c>
      <c r="D147" s="9" t="str">
        <f>IFERROR(INDEX('CONTROL MASTER'!$R$2:$R$495,MATCH("Control WB Box 12: B3",'CONTROL MASTER'!$J$2:$J$495,0)),"")</f>
        <v/>
      </c>
      <c r="E147" s="9" t="str">
        <f>IFERROR(INDEX('CONTROL MASTER'!$R$2:$R$495,MATCH("Control WB Box 12: B4",'CONTROL MASTER'!$J$2:$J$495,0)),"")</f>
        <v/>
      </c>
      <c r="F147" s="9" t="str">
        <f>IFERROR(INDEX('CONTROL MASTER'!$R$2:$R$495,MATCH("Control WB Box 12: B5",'CONTROL MASTER'!$J$2:$J$495,0)),"")</f>
        <v/>
      </c>
      <c r="G147" s="9" t="str">
        <f>IFERROR(INDEX('CONTROL MASTER'!$R$2:$R$495,MATCH("Control WB Box 12: B6",'CONTROL MASTER'!$J$2:$J$495,0)),"")</f>
        <v/>
      </c>
      <c r="H147" s="9" t="str">
        <f>IFERROR(INDEX('CONTROL MASTER'!$R$2:$R$495,MATCH("Control WB Box 12: B7",'CONTROL MASTER'!$J$2:$J$495,0)),"")</f>
        <v/>
      </c>
      <c r="I147" s="9" t="str">
        <f>IFERROR(INDEX('CONTROL MASTER'!$R$2:$R$495,MATCH("Control WB Box 12: B8",'CONTROL MASTER'!$J$2:$J$495,0)),"")</f>
        <v/>
      </c>
      <c r="J147" s="9" t="str">
        <f>IFERROR(INDEX('CONTROL MASTER'!$R$2:$R$495,MATCH("Control WB Box 12: B9",'CONTROL MASTER'!$J$2:$J$495,0)),"")</f>
        <v/>
      </c>
    </row>
    <row r="148" spans="1:10" ht="15" customHeight="1" x14ac:dyDescent="0.35">
      <c r="A148" s="8" t="s">
        <v>30</v>
      </c>
      <c r="B148" s="9" t="str">
        <f>IFERROR(INDEX('CONTROL MASTER'!$R$2:$R$495,MATCH("Control WB Box 12: C1",'CONTROL MASTER'!$J$2:$J$495,0)),"")</f>
        <v/>
      </c>
      <c r="C148" s="9" t="str">
        <f>IFERROR(INDEX('CONTROL MASTER'!$R$2:$R$495,MATCH("Control WB Box 12: C2",'CONTROL MASTER'!$J$2:$J$495,0)),"")</f>
        <v/>
      </c>
      <c r="D148" s="9" t="str">
        <f>IFERROR(INDEX('CONTROL MASTER'!$R$2:$R$495,MATCH("Control WB Box 12: C3",'CONTROL MASTER'!$J$2:$J$495,0)),"")</f>
        <v/>
      </c>
      <c r="E148" s="9" t="str">
        <f>IFERROR(INDEX('CONTROL MASTER'!$R$2:$R$495,MATCH("Control WB Box 12: C4",'CONTROL MASTER'!$J$2:$J$495,0)),"")</f>
        <v/>
      </c>
      <c r="F148" s="9" t="str">
        <f>IFERROR(INDEX('CONTROL MASTER'!$R$2:$R$495,MATCH("Control WB Box 12: C5",'CONTROL MASTER'!$J$2:$J$495,0)),"")</f>
        <v/>
      </c>
      <c r="G148" s="9" t="str">
        <f>IFERROR(INDEX('CONTROL MASTER'!$R$2:$R$495,MATCH("Control WB Box 12: C6",'CONTROL MASTER'!$J$2:$J$495,0)),"")</f>
        <v/>
      </c>
      <c r="H148" s="9" t="str">
        <f>IFERROR(INDEX('CONTROL MASTER'!$R$2:$R$495,MATCH("Control WB Box 12: C7",'CONTROL MASTER'!$J$2:$J$495,0)),"")</f>
        <v/>
      </c>
      <c r="I148" s="9" t="str">
        <f>IFERROR(INDEX('CONTROL MASTER'!$R$2:$R$495,MATCH("Control WB Box 12: C8",'CONTROL MASTER'!$J$2:$J$495,0)),"")</f>
        <v/>
      </c>
      <c r="J148" s="9" t="str">
        <f>IFERROR(INDEX('CONTROL MASTER'!$R$2:$R$495,MATCH("Control WB Box 12: C9",'CONTROL MASTER'!$J$2:$J$495,0)),"")</f>
        <v/>
      </c>
    </row>
    <row r="149" spans="1:10" ht="15" customHeight="1" x14ac:dyDescent="0.35">
      <c r="A149" s="8" t="s">
        <v>31</v>
      </c>
      <c r="B149" s="9" t="str">
        <f>IFERROR(INDEX('CONTROL MASTER'!$R$2:$R$495,MATCH("Control WB Box 12: D1",'CONTROL MASTER'!$J$2:$J$495,0)),"")</f>
        <v/>
      </c>
      <c r="C149" s="9" t="str">
        <f>IFERROR(INDEX('CONTROL MASTER'!$R$2:$R$495,MATCH("Control WB Box 12: D2",'CONTROL MASTER'!$J$2:$J$495,0)),"")</f>
        <v/>
      </c>
      <c r="D149" s="9" t="str">
        <f>IFERROR(INDEX('CONTROL MASTER'!$R$2:$R$495,MATCH("Control WB Box 12: D3",'CONTROL MASTER'!$J$2:$J$495,0)),"")</f>
        <v/>
      </c>
      <c r="E149" s="9" t="str">
        <f>IFERROR(INDEX('CONTROL MASTER'!$R$2:$R$495,MATCH("Control WB Box 12: D4",'CONTROL MASTER'!$J$2:$J$495,0)),"")</f>
        <v/>
      </c>
      <c r="F149" s="9" t="str">
        <f>IFERROR(INDEX('CONTROL MASTER'!$R$2:$R$495,MATCH("Control WB Box 12: D5",'CONTROL MASTER'!$J$2:$J$495,0)),"")</f>
        <v/>
      </c>
      <c r="G149" s="9" t="str">
        <f>IFERROR(INDEX('CONTROL MASTER'!$R$2:$R$495,MATCH("Control WB Box 12: D6",'CONTROL MASTER'!$J$2:$J$495,0)),"")</f>
        <v/>
      </c>
      <c r="H149" s="9" t="str">
        <f>IFERROR(INDEX('CONTROL MASTER'!$R$2:$R$495,MATCH("Control WB Box 12: D7",'CONTROL MASTER'!$J$2:$J$495,0)),"")</f>
        <v/>
      </c>
      <c r="I149" s="9" t="str">
        <f>IFERROR(INDEX('CONTROL MASTER'!$R$2:$R$495,MATCH("Control WB Box 12: D8",'CONTROL MASTER'!$J$2:$J$495,0)),"")</f>
        <v/>
      </c>
      <c r="J149" s="9" t="str">
        <f>IFERROR(INDEX('CONTROL MASTER'!$R$2:$R$495,MATCH("Control WB Box 12: D9",'CONTROL MASTER'!$J$2:$J$495,0)),"")</f>
        <v/>
      </c>
    </row>
    <row r="150" spans="1:10" ht="15" customHeight="1" x14ac:dyDescent="0.35">
      <c r="A150" s="8" t="s">
        <v>32</v>
      </c>
      <c r="B150" s="9" t="str">
        <f>IFERROR(INDEX('CONTROL MASTER'!$R$2:$R$495,MATCH("Control WB Box 12: E1",'CONTROL MASTER'!$J$2:$J$495,0)),"")</f>
        <v/>
      </c>
      <c r="C150" s="9" t="str">
        <f>IFERROR(INDEX('CONTROL MASTER'!$R$2:$R$495,MATCH("Control WB Box 12: E2",'CONTROL MASTER'!$J$2:$J$495,0)),"")</f>
        <v/>
      </c>
      <c r="D150" s="9" t="str">
        <f>IFERROR(INDEX('CONTROL MASTER'!$R$2:$R$495,MATCH("Control WB Box 12: E3",'CONTROL MASTER'!$J$2:$J$495,0)),"")</f>
        <v/>
      </c>
      <c r="E150" s="9" t="str">
        <f>IFERROR(INDEX('CONTROL MASTER'!$R$2:$R$495,MATCH("Control WB Box 12: E4",'CONTROL MASTER'!$J$2:$J$495,0)),"")</f>
        <v/>
      </c>
      <c r="F150" s="9" t="str">
        <f>IFERROR(INDEX('CONTROL MASTER'!$R$2:$R$495,MATCH("Control WB Box 12: E5",'CONTROL MASTER'!$J$2:$J$495,0)),"")</f>
        <v/>
      </c>
      <c r="G150" s="9" t="str">
        <f>IFERROR(INDEX('CONTROL MASTER'!$R$2:$R$495,MATCH("Control WB Box 12: E6",'CONTROL MASTER'!$J$2:$J$495,0)),"")</f>
        <v/>
      </c>
      <c r="H150" s="9" t="str">
        <f>IFERROR(INDEX('CONTROL MASTER'!$R$2:$R$495,MATCH("Control WB Box 12: E7",'CONTROL MASTER'!$J$2:$J$495,0)),"")</f>
        <v/>
      </c>
      <c r="I150" s="9" t="str">
        <f>IFERROR(INDEX('CONTROL MASTER'!$R$2:$R$495,MATCH("Control WB Box 12: E8",'CONTROL MASTER'!$J$2:$J$495,0)),"")</f>
        <v/>
      </c>
      <c r="J150" s="9" t="str">
        <f>IFERROR(INDEX('CONTROL MASTER'!$R$2:$R$495,MATCH("Control WB Box 12: E9",'CONTROL MASTER'!$J$2:$J$495,0)),"")</f>
        <v/>
      </c>
    </row>
    <row r="151" spans="1:10" ht="15" customHeight="1" x14ac:dyDescent="0.35">
      <c r="A151" s="8" t="s">
        <v>33</v>
      </c>
      <c r="B151" s="9" t="str">
        <f>IFERROR(INDEX('CONTROL MASTER'!$R$2:$R$495,MATCH("Control WB Box 12: F1",'CONTROL MASTER'!$J$2:$J$495,0)),"")</f>
        <v/>
      </c>
      <c r="C151" s="9" t="str">
        <f>IFERROR(INDEX('CONTROL MASTER'!$R$2:$R$495,MATCH("Control WB Box 12: F2",'CONTROL MASTER'!$J$2:$J$495,0)),"")</f>
        <v/>
      </c>
      <c r="D151" s="9" t="str">
        <f>IFERROR(INDEX('CONTROL MASTER'!$R$2:$R$495,MATCH("Control WB Box 12: F3",'CONTROL MASTER'!$J$2:$J$495,0)),"")</f>
        <v/>
      </c>
      <c r="E151" s="9" t="str">
        <f>IFERROR(INDEX('CONTROL MASTER'!$R$2:$R$495,MATCH("Control WB Box 12: F4",'CONTROL MASTER'!$J$2:$J$495,0)),"")</f>
        <v/>
      </c>
      <c r="F151" s="9" t="str">
        <f>IFERROR(INDEX('CONTROL MASTER'!$R$2:$R$495,MATCH("Control WB Box 12: F5",'CONTROL MASTER'!$J$2:$J$495,0)),"")</f>
        <v/>
      </c>
      <c r="G151" s="9" t="str">
        <f>IFERROR(INDEX('CONTROL MASTER'!$R$2:$R$495,MATCH("Control WB Box 12: F6",'CONTROL MASTER'!$J$2:$J$495,0)),"")</f>
        <v/>
      </c>
      <c r="H151" s="9" t="str">
        <f>IFERROR(INDEX('CONTROL MASTER'!$R$2:$R$495,MATCH("Control WB Box 12: F7",'CONTROL MASTER'!$J$2:$J$495,0)),"")</f>
        <v/>
      </c>
      <c r="I151" s="9" t="str">
        <f>IFERROR(INDEX('CONTROL MASTER'!$R$2:$R$495,MATCH("Control WB Box 12: F8",'CONTROL MASTER'!$J$2:$J$495,0)),"")</f>
        <v/>
      </c>
      <c r="J151" s="9" t="str">
        <f>IFERROR(INDEX('CONTROL MASTER'!$R$2:$R$495,MATCH("Control WB Box 12: F9",'CONTROL MASTER'!$J$2:$J$495,0)),"")</f>
        <v/>
      </c>
    </row>
    <row r="152" spans="1:10" ht="15" customHeight="1" x14ac:dyDescent="0.35">
      <c r="A152" s="8" t="s">
        <v>34</v>
      </c>
      <c r="B152" s="9" t="str">
        <f>IFERROR(INDEX('CONTROL MASTER'!$R$2:$R$495,MATCH("Control WB Box 12: G1",'CONTROL MASTER'!$J$2:$J$495,0)),"")</f>
        <v/>
      </c>
      <c r="C152" s="9" t="str">
        <f>IFERROR(INDEX('CONTROL MASTER'!$R$2:$R$495,MATCH("Control WB Box 12: G2",'CONTROL MASTER'!$J$2:$J$495,0)),"")</f>
        <v/>
      </c>
      <c r="D152" s="9" t="str">
        <f>IFERROR(INDEX('CONTROL MASTER'!$R$2:$R$495,MATCH("Control WB Box 12: G3",'CONTROL MASTER'!$J$2:$J$495,0)),"")</f>
        <v/>
      </c>
      <c r="E152" s="9" t="str">
        <f>IFERROR(INDEX('CONTROL MASTER'!$R$2:$R$495,MATCH("Control WB Box 12: G4",'CONTROL MASTER'!$J$2:$J$495,0)),"")</f>
        <v/>
      </c>
      <c r="F152" s="9" t="str">
        <f>IFERROR(INDEX('CONTROL MASTER'!$R$2:$R$495,MATCH("Control WB Box 12: G5",'CONTROL MASTER'!$J$2:$J$495,0)),"")</f>
        <v/>
      </c>
      <c r="G152" s="9" t="str">
        <f>IFERROR(INDEX('CONTROL MASTER'!$R$2:$R$495,MATCH("Control WB Box 12: G6",'CONTROL MASTER'!$J$2:$J$495,0)),"")</f>
        <v/>
      </c>
      <c r="H152" s="9" t="str">
        <f>IFERROR(INDEX('CONTROL MASTER'!$R$2:$R$495,MATCH("Control WB Box 12: G7",'CONTROL MASTER'!$J$2:$J$495,0)),"")</f>
        <v/>
      </c>
      <c r="I152" s="9" t="str">
        <f>IFERROR(INDEX('CONTROL MASTER'!$R$2:$R$495,MATCH("Control WB Box 12: G8",'CONTROL MASTER'!$J$2:$J$495,0)),"")</f>
        <v/>
      </c>
      <c r="J152" s="9" t="str">
        <f>IFERROR(INDEX('CONTROL MASTER'!$R$2:$R$495,MATCH("Control WB Box 12: G9",'CONTROL MASTER'!$J$2:$J$495,0)),"")</f>
        <v/>
      </c>
    </row>
    <row r="153" spans="1:10" ht="15" customHeight="1" x14ac:dyDescent="0.35">
      <c r="A153" s="8" t="s">
        <v>35</v>
      </c>
      <c r="B153" s="9" t="str">
        <f>IFERROR(INDEX('CONTROL MASTER'!$R$2:$R$495,MATCH("Control WB Box 12: H1",'CONTROL MASTER'!$J$2:$J$495,0)),"")</f>
        <v/>
      </c>
      <c r="C153" s="9" t="str">
        <f>IFERROR(INDEX('CONTROL MASTER'!$R$2:$R$495,MATCH("Control WB Box 12: H2",'CONTROL MASTER'!$J$2:$J$495,0)),"")</f>
        <v/>
      </c>
      <c r="D153" s="9" t="str">
        <f>IFERROR(INDEX('CONTROL MASTER'!$R$2:$R$495,MATCH("Control WB Box 12: H3",'CONTROL MASTER'!$J$2:$J$495,0)),"")</f>
        <v/>
      </c>
      <c r="E153" s="9" t="str">
        <f>IFERROR(INDEX('CONTROL MASTER'!$R$2:$R$495,MATCH("Control WB Box 12: H4",'CONTROL MASTER'!$J$2:$J$495,0)),"")</f>
        <v/>
      </c>
      <c r="F153" s="9" t="str">
        <f>IFERROR(INDEX('CONTROL MASTER'!$R$2:$R$495,MATCH("Control WB Box 12: H5",'CONTROL MASTER'!$J$2:$J$495,0)),"")</f>
        <v/>
      </c>
      <c r="G153" s="9" t="str">
        <f>IFERROR(INDEX('CONTROL MASTER'!$R$2:$R$495,MATCH("Control WB Box 12: H6",'CONTROL MASTER'!$J$2:$J$495,0)),"")</f>
        <v/>
      </c>
      <c r="H153" s="9" t="str">
        <f>IFERROR(INDEX('CONTROL MASTER'!$R$2:$R$495,MATCH("Control WB Box 12: H7",'CONTROL MASTER'!$J$2:$J$495,0)),"")</f>
        <v/>
      </c>
      <c r="I153" s="9" t="str">
        <f>IFERROR(INDEX('CONTROL MASTER'!$R$2:$R$495,MATCH("Control WB Box 12: H8",'CONTROL MASTER'!$J$2:$J$495,0)),"")</f>
        <v/>
      </c>
      <c r="J153" s="9" t="str">
        <f>IFERROR(INDEX('CONTROL MASTER'!$R$2:$R$495,MATCH("Control WB Box 12: H9",'CONTROL MASTER'!$J$2:$J$495,0)),"")</f>
        <v/>
      </c>
    </row>
    <row r="154" spans="1:10" ht="15" customHeight="1" x14ac:dyDescent="0.35">
      <c r="A154" s="8" t="s">
        <v>81</v>
      </c>
      <c r="B154" s="9" t="str">
        <f>IFERROR(INDEX('CONTROL MASTER'!$R$2:$R$495,MATCH("Control WB Box 12: I1",'CONTROL MASTER'!$J$2:$J$495,0)),"")</f>
        <v/>
      </c>
      <c r="C154" s="9" t="str">
        <f>IFERROR(INDEX('CONTROL MASTER'!$R$2:$R$495,MATCH("Control WB Box 12: I2",'CONTROL MASTER'!$J$2:$J$495,0)),"")</f>
        <v/>
      </c>
      <c r="D154" s="9" t="str">
        <f>IFERROR(INDEX('CONTROL MASTER'!$R$2:$R$495,MATCH("Control WB Box 12: I3",'CONTROL MASTER'!$J$2:$J$495,0)),"")</f>
        <v/>
      </c>
      <c r="E154" s="9" t="str">
        <f>IFERROR(INDEX('CONTROL MASTER'!$R$2:$R$495,MATCH("Control WB Box 12: I4",'CONTROL MASTER'!$J$2:$J$495,0)),"")</f>
        <v/>
      </c>
      <c r="F154" s="9" t="str">
        <f>IFERROR(INDEX('CONTROL MASTER'!$R$2:$R$495,MATCH("Control WB Box 12: I5",'CONTROL MASTER'!$J$2:$J$495,0)),"")</f>
        <v/>
      </c>
      <c r="G154" s="9" t="str">
        <f>IFERROR(INDEX('CONTROL MASTER'!$R$2:$R$495,MATCH("Control WB Box 12: I6",'CONTROL MASTER'!$J$2:$J$495,0)),"")</f>
        <v/>
      </c>
      <c r="H154" s="9" t="str">
        <f>IFERROR(INDEX('CONTROL MASTER'!$R$2:$R$495,MATCH("Control WB Box 12: I7",'CONTROL MASTER'!$J$2:$J$495,0)),"")</f>
        <v/>
      </c>
      <c r="I154" s="9" t="str">
        <f>IFERROR(INDEX('CONTROL MASTER'!$R$2:$R$495,MATCH("Control WB Box 12: I8",'CONTROL MASTER'!$J$2:$J$495,0)),"")</f>
        <v/>
      </c>
      <c r="J154" s="9" t="str">
        <f>IFERROR(INDEX('CONTROL MASTER'!$R$2:$R$495,MATCH("Control WB Box 12: I9",'CONTROL MASTER'!$J$2:$J$495,0)),"")</f>
        <v/>
      </c>
    </row>
    <row r="157" spans="1:10" ht="15" customHeight="1" x14ac:dyDescent="0.35">
      <c r="A157" s="12" t="s">
        <v>184</v>
      </c>
      <c r="B157" s="13"/>
      <c r="C157" s="13"/>
      <c r="D157" s="13"/>
      <c r="E157" s="13"/>
      <c r="F157" s="13"/>
      <c r="G157" s="13"/>
      <c r="H157" s="13"/>
      <c r="I157" s="13"/>
      <c r="J157" s="13"/>
    </row>
    <row r="158" spans="1:10" ht="15" customHeight="1" x14ac:dyDescent="0.35">
      <c r="B158" s="8">
        <v>1</v>
      </c>
      <c r="C158" s="8">
        <v>2</v>
      </c>
      <c r="D158" s="8">
        <v>3</v>
      </c>
      <c r="E158" s="8">
        <v>4</v>
      </c>
      <c r="F158" s="8">
        <v>5</v>
      </c>
      <c r="G158" s="8">
        <v>6</v>
      </c>
      <c r="H158" s="8">
        <v>7</v>
      </c>
      <c r="I158" s="8">
        <v>8</v>
      </c>
      <c r="J158" s="8">
        <v>9</v>
      </c>
    </row>
    <row r="159" spans="1:10" ht="15" customHeight="1" x14ac:dyDescent="0.35">
      <c r="A159" s="8" t="s">
        <v>28</v>
      </c>
      <c r="B159" s="9" t="str">
        <f>IFERROR(INDEX('CONTROL MASTER'!$R$2:$R$495,MATCH("Control WB Box 13: A1",'CONTROL MASTER'!$J$2:$J$495,0)),"")</f>
        <v/>
      </c>
      <c r="C159" s="9" t="str">
        <f>IFERROR(INDEX('CONTROL MASTER'!$R$2:$R$495,MATCH("Control WB Box 13: A2",'CONTROL MASTER'!$J$2:$J$495,0)),"")</f>
        <v/>
      </c>
      <c r="D159" s="9" t="str">
        <f>IFERROR(INDEX('CONTROL MASTER'!$R$2:$R$495,MATCH("Control WB Box 13: A3",'CONTROL MASTER'!$J$2:$J$495,0)),"")</f>
        <v/>
      </c>
      <c r="E159" s="9" t="str">
        <f>IFERROR(INDEX('CONTROL MASTER'!$R$2:$R$495,MATCH("Control WB Box 13: A4",'CONTROL MASTER'!$J$2:$J$495,0)),"")</f>
        <v/>
      </c>
      <c r="F159" s="9" t="str">
        <f>IFERROR(INDEX('CONTROL MASTER'!$R$2:$R$495,MATCH("Control WB Box 13: A5",'CONTROL MASTER'!$J$2:$J$495,0)),"")</f>
        <v/>
      </c>
      <c r="G159" s="9" t="str">
        <f>IFERROR(INDEX('CONTROL MASTER'!$R$2:$R$495,MATCH("Control WB Box 13: A6",'CONTROL MASTER'!$J$2:$J$495,0)),"")</f>
        <v/>
      </c>
      <c r="H159" s="9" t="str">
        <f>IFERROR(INDEX('CONTROL MASTER'!$R$2:$R$495,MATCH("Control WB Box 13: A7",'CONTROL MASTER'!$J$2:$J$495,0)),"")</f>
        <v/>
      </c>
      <c r="I159" s="9" t="str">
        <f>IFERROR(INDEX('CONTROL MASTER'!$R$2:$R$495,MATCH("Control WB Box 13: A8",'CONTROL MASTER'!$J$2:$J$495,0)),"")</f>
        <v/>
      </c>
      <c r="J159" s="9" t="str">
        <f>IFERROR(INDEX('CONTROL MASTER'!$R$2:$R$495,MATCH("Control WB Box 13: A9",'CONTROL MASTER'!$J$2:$J$495,0)),"")</f>
        <v/>
      </c>
    </row>
    <row r="160" spans="1:10" ht="15" customHeight="1" x14ac:dyDescent="0.35">
      <c r="A160" s="8" t="s">
        <v>29</v>
      </c>
      <c r="B160" s="9" t="str">
        <f>IFERROR(INDEX('CONTROL MASTER'!$R$2:$R$495,MATCH("Control WB Box 13: B1",'CONTROL MASTER'!$J$2:$J$495,0)),"")</f>
        <v/>
      </c>
      <c r="C160" s="9" t="str">
        <f>IFERROR(INDEX('CONTROL MASTER'!$R$2:$R$495,MATCH("Control WB Box 13: B2",'CONTROL MASTER'!$J$2:$J$495,0)),"")</f>
        <v/>
      </c>
      <c r="D160" s="9" t="str">
        <f>IFERROR(INDEX('CONTROL MASTER'!$R$2:$R$495,MATCH("Control WB Box 13: B3",'CONTROL MASTER'!$J$2:$J$495,0)),"")</f>
        <v/>
      </c>
      <c r="E160" s="9" t="str">
        <f>IFERROR(INDEX('CONTROL MASTER'!$R$2:$R$495,MATCH("Control WB Box 13: B4",'CONTROL MASTER'!$J$2:$J$495,0)),"")</f>
        <v/>
      </c>
      <c r="F160" s="9" t="str">
        <f>IFERROR(INDEX('CONTROL MASTER'!$R$2:$R$495,MATCH("Control WB Box 13: B5",'CONTROL MASTER'!$J$2:$J$495,0)),"")</f>
        <v/>
      </c>
      <c r="G160" s="9" t="str">
        <f>IFERROR(INDEX('CONTROL MASTER'!$R$2:$R$495,MATCH("Control WB Box 13: B6",'CONTROL MASTER'!$J$2:$J$495,0)),"")</f>
        <v/>
      </c>
      <c r="H160" s="9" t="str">
        <f>IFERROR(INDEX('CONTROL MASTER'!$R$2:$R$495,MATCH("Control WB Box 13: B7",'CONTROL MASTER'!$J$2:$J$495,0)),"")</f>
        <v/>
      </c>
      <c r="I160" s="9" t="str">
        <f>IFERROR(INDEX('CONTROL MASTER'!$R$2:$R$495,MATCH("Control WB Box 13: B8",'CONTROL MASTER'!$J$2:$J$495,0)),"")</f>
        <v/>
      </c>
      <c r="J160" s="9" t="str">
        <f>IFERROR(INDEX('CONTROL MASTER'!$R$2:$R$495,MATCH("Control WB Box 13: B9",'CONTROL MASTER'!$J$2:$J$495,0)),"")</f>
        <v/>
      </c>
    </row>
    <row r="161" spans="1:10" ht="15" customHeight="1" x14ac:dyDescent="0.35">
      <c r="A161" s="8" t="s">
        <v>30</v>
      </c>
      <c r="B161" s="9" t="str">
        <f>IFERROR(INDEX('CONTROL MASTER'!$R$2:$R$495,MATCH("Control WB Box 13: C1",'CONTROL MASTER'!$J$2:$J$495,0)),"")</f>
        <v/>
      </c>
      <c r="C161" s="9" t="str">
        <f>IFERROR(INDEX('CONTROL MASTER'!$R$2:$R$495,MATCH("Control WB Box 13: C2",'CONTROL MASTER'!$J$2:$J$495,0)),"")</f>
        <v/>
      </c>
      <c r="D161" s="9" t="str">
        <f>IFERROR(INDEX('CONTROL MASTER'!$R$2:$R$495,MATCH("Control WB Box 13: C3",'CONTROL MASTER'!$J$2:$J$495,0)),"")</f>
        <v/>
      </c>
      <c r="E161" s="9" t="str">
        <f>IFERROR(INDEX('CONTROL MASTER'!$R$2:$R$495,MATCH("Control WB Box 13: C4",'CONTROL MASTER'!$J$2:$J$495,0)),"")</f>
        <v/>
      </c>
      <c r="F161" s="9" t="str">
        <f>IFERROR(INDEX('CONTROL MASTER'!$R$2:$R$495,MATCH("Control WB Box 13: C5",'CONTROL MASTER'!$J$2:$J$495,0)),"")</f>
        <v/>
      </c>
      <c r="G161" s="9" t="str">
        <f>IFERROR(INDEX('CONTROL MASTER'!$R$2:$R$495,MATCH("Control WB Box 13: C6",'CONTROL MASTER'!$J$2:$J$495,0)),"")</f>
        <v/>
      </c>
      <c r="H161" s="9" t="str">
        <f>IFERROR(INDEX('CONTROL MASTER'!$R$2:$R$495,MATCH("Control WB Box 13: C7",'CONTROL MASTER'!$J$2:$J$495,0)),"")</f>
        <v/>
      </c>
      <c r="I161" s="9" t="str">
        <f>IFERROR(INDEX('CONTROL MASTER'!$R$2:$R$495,MATCH("Control WB Box 13: C8",'CONTROL MASTER'!$J$2:$J$495,0)),"")</f>
        <v/>
      </c>
      <c r="J161" s="9" t="str">
        <f>IFERROR(INDEX('CONTROL MASTER'!$R$2:$R$495,MATCH("Control WB Box 13: C9",'CONTROL MASTER'!$J$2:$J$495,0)),"")</f>
        <v/>
      </c>
    </row>
    <row r="162" spans="1:10" ht="15" customHeight="1" x14ac:dyDescent="0.35">
      <c r="A162" s="8" t="s">
        <v>31</v>
      </c>
      <c r="B162" s="9" t="str">
        <f>IFERROR(INDEX('CONTROL MASTER'!$R$2:$R$495,MATCH("Control WB Box 13: D1",'CONTROL MASTER'!$J$2:$J$495,0)),"")</f>
        <v/>
      </c>
      <c r="C162" s="9" t="str">
        <f>IFERROR(INDEX('CONTROL MASTER'!$R$2:$R$495,MATCH("Control WB Box 13: D2",'CONTROL MASTER'!$J$2:$J$495,0)),"")</f>
        <v/>
      </c>
      <c r="D162" s="9" t="str">
        <f>IFERROR(INDEX('CONTROL MASTER'!$R$2:$R$495,MATCH("Control WB Box 13: D3",'CONTROL MASTER'!$J$2:$J$495,0)),"")</f>
        <v/>
      </c>
      <c r="E162" s="9" t="str">
        <f>IFERROR(INDEX('CONTROL MASTER'!$R$2:$R$495,MATCH("Control WB Box 13: D4",'CONTROL MASTER'!$J$2:$J$495,0)),"")</f>
        <v/>
      </c>
      <c r="F162" s="9" t="str">
        <f>IFERROR(INDEX('CONTROL MASTER'!$R$2:$R$495,MATCH("Control WB Box 13: D5",'CONTROL MASTER'!$J$2:$J$495,0)),"")</f>
        <v/>
      </c>
      <c r="G162" s="9" t="str">
        <f>IFERROR(INDEX('CONTROL MASTER'!$R$2:$R$495,MATCH("Control WB Box 13: D6",'CONTROL MASTER'!$J$2:$J$495,0)),"")</f>
        <v/>
      </c>
      <c r="H162" s="9" t="str">
        <f>IFERROR(INDEX('CONTROL MASTER'!$R$2:$R$495,MATCH("Control WB Box 13: D7",'CONTROL MASTER'!$J$2:$J$495,0)),"")</f>
        <v/>
      </c>
      <c r="I162" s="9" t="str">
        <f>IFERROR(INDEX('CONTROL MASTER'!$R$2:$R$495,MATCH("Control WB Box 13: D8",'CONTROL MASTER'!$J$2:$J$495,0)),"")</f>
        <v/>
      </c>
      <c r="J162" s="9" t="str">
        <f>IFERROR(INDEX('CONTROL MASTER'!$R$2:$R$495,MATCH("Control WB Box 13: D9",'CONTROL MASTER'!$J$2:$J$495,0)),"")</f>
        <v/>
      </c>
    </row>
    <row r="163" spans="1:10" ht="15" customHeight="1" x14ac:dyDescent="0.35">
      <c r="A163" s="8" t="s">
        <v>32</v>
      </c>
      <c r="B163" s="9" t="str">
        <f>IFERROR(INDEX('CONTROL MASTER'!$R$2:$R$495,MATCH("Control WB Box 13: E1",'CONTROL MASTER'!$J$2:$J$495,0)),"")</f>
        <v/>
      </c>
      <c r="C163" s="9" t="str">
        <f>IFERROR(INDEX('CONTROL MASTER'!$R$2:$R$495,MATCH("Control WB Box 13: E2",'CONTROL MASTER'!$J$2:$J$495,0)),"")</f>
        <v/>
      </c>
      <c r="D163" s="9" t="str">
        <f>IFERROR(INDEX('CONTROL MASTER'!$R$2:$R$495,MATCH("Control WB Box 13: E3",'CONTROL MASTER'!$J$2:$J$495,0)),"")</f>
        <v/>
      </c>
      <c r="E163" s="9" t="str">
        <f>IFERROR(INDEX('CONTROL MASTER'!$R$2:$R$495,MATCH("Control WB Box 13: E4",'CONTROL MASTER'!$J$2:$J$495,0)),"")</f>
        <v/>
      </c>
      <c r="F163" s="9" t="str">
        <f>IFERROR(INDEX('CONTROL MASTER'!$R$2:$R$495,MATCH("Control WB Box 13: E5",'CONTROL MASTER'!$J$2:$J$495,0)),"")</f>
        <v/>
      </c>
      <c r="G163" s="9" t="str">
        <f>IFERROR(INDEX('CONTROL MASTER'!$R$2:$R$495,MATCH("Control WB Box 13: E6",'CONTROL MASTER'!$J$2:$J$495,0)),"")</f>
        <v/>
      </c>
      <c r="H163" s="9" t="str">
        <f>IFERROR(INDEX('CONTROL MASTER'!$R$2:$R$495,MATCH("Control WB Box 13: E7",'CONTROL MASTER'!$J$2:$J$495,0)),"")</f>
        <v/>
      </c>
      <c r="I163" s="9" t="str">
        <f>IFERROR(INDEX('CONTROL MASTER'!$R$2:$R$495,MATCH("Control WB Box 13: E8",'CONTROL MASTER'!$J$2:$J$495,0)),"")</f>
        <v/>
      </c>
      <c r="J163" s="9" t="str">
        <f>IFERROR(INDEX('CONTROL MASTER'!$R$2:$R$495,MATCH("Control WB Box 13: E9",'CONTROL MASTER'!$J$2:$J$495,0)),"")</f>
        <v/>
      </c>
    </row>
    <row r="164" spans="1:10" ht="15" customHeight="1" x14ac:dyDescent="0.35">
      <c r="A164" s="8" t="s">
        <v>33</v>
      </c>
      <c r="B164" s="9" t="str">
        <f>IFERROR(INDEX('CONTROL MASTER'!$R$2:$R$495,MATCH("Control WB Box 13: F1",'CONTROL MASTER'!$J$2:$J$495,0)),"")</f>
        <v/>
      </c>
      <c r="C164" s="9" t="str">
        <f>IFERROR(INDEX('CONTROL MASTER'!$R$2:$R$495,MATCH("Control WB Box 13: F2",'CONTROL MASTER'!$J$2:$J$495,0)),"")</f>
        <v/>
      </c>
      <c r="D164" s="9" t="str">
        <f>IFERROR(INDEX('CONTROL MASTER'!$R$2:$R$495,MATCH("Control WB Box 13: F3",'CONTROL MASTER'!$J$2:$J$495,0)),"")</f>
        <v/>
      </c>
      <c r="E164" s="9" t="str">
        <f>IFERROR(INDEX('CONTROL MASTER'!$R$2:$R$495,MATCH("Control WB Box 13: F4",'CONTROL MASTER'!$J$2:$J$495,0)),"")</f>
        <v/>
      </c>
      <c r="F164" s="9" t="str">
        <f>IFERROR(INDEX('CONTROL MASTER'!$R$2:$R$495,MATCH("Control WB Box 13: F5",'CONTROL MASTER'!$J$2:$J$495,0)),"")</f>
        <v/>
      </c>
      <c r="G164" s="9" t="str">
        <f>IFERROR(INDEX('CONTROL MASTER'!$R$2:$R$495,MATCH("Control WB Box 13: F6",'CONTROL MASTER'!$J$2:$J$495,0)),"")</f>
        <v/>
      </c>
      <c r="H164" s="9" t="str">
        <f>IFERROR(INDEX('CONTROL MASTER'!$R$2:$R$495,MATCH("Control WB Box 13: F7",'CONTROL MASTER'!$J$2:$J$495,0)),"")</f>
        <v/>
      </c>
      <c r="I164" s="9" t="str">
        <f>IFERROR(INDEX('CONTROL MASTER'!$R$2:$R$495,MATCH("Control WB Box 13: F8",'CONTROL MASTER'!$J$2:$J$495,0)),"")</f>
        <v/>
      </c>
      <c r="J164" s="9" t="str">
        <f>IFERROR(INDEX('CONTROL MASTER'!$R$2:$R$495,MATCH("Control WB Box 13: F9",'CONTROL MASTER'!$J$2:$J$495,0)),"")</f>
        <v/>
      </c>
    </row>
    <row r="165" spans="1:10" ht="15" customHeight="1" x14ac:dyDescent="0.35">
      <c r="A165" s="8" t="s">
        <v>34</v>
      </c>
      <c r="B165" s="9" t="str">
        <f>IFERROR(INDEX('CONTROL MASTER'!$R$2:$R$495,MATCH("Control WB Box 13: G1",'CONTROL MASTER'!$J$2:$J$495,0)),"")</f>
        <v/>
      </c>
      <c r="C165" s="9" t="str">
        <f>IFERROR(INDEX('CONTROL MASTER'!$R$2:$R$495,MATCH("Control WB Box 13: G2",'CONTROL MASTER'!$J$2:$J$495,0)),"")</f>
        <v/>
      </c>
      <c r="D165" s="9" t="str">
        <f>IFERROR(INDEX('CONTROL MASTER'!$R$2:$R$495,MATCH("Control WB Box 13: G3",'CONTROL MASTER'!$J$2:$J$495,0)),"")</f>
        <v/>
      </c>
      <c r="E165" s="9" t="str">
        <f>IFERROR(INDEX('CONTROL MASTER'!$R$2:$R$495,MATCH("Control WB Box 13: G4",'CONTROL MASTER'!$J$2:$J$495,0)),"")</f>
        <v/>
      </c>
      <c r="F165" s="9" t="str">
        <f>IFERROR(INDEX('CONTROL MASTER'!$R$2:$R$495,MATCH("Control WB Box 13: G5",'CONTROL MASTER'!$J$2:$J$495,0)),"")</f>
        <v/>
      </c>
      <c r="G165" s="9" t="str">
        <f>IFERROR(INDEX('CONTROL MASTER'!$R$2:$R$495,MATCH("Control WB Box 13: G6",'CONTROL MASTER'!$J$2:$J$495,0)),"")</f>
        <v/>
      </c>
      <c r="H165" s="9" t="str">
        <f>IFERROR(INDEX('CONTROL MASTER'!$R$2:$R$495,MATCH("Control WB Box 13: G7",'CONTROL MASTER'!$J$2:$J$495,0)),"")</f>
        <v/>
      </c>
      <c r="I165" s="9" t="str">
        <f>IFERROR(INDEX('CONTROL MASTER'!$R$2:$R$495,MATCH("Control WB Box 13: G8",'CONTROL MASTER'!$J$2:$J$495,0)),"")</f>
        <v/>
      </c>
      <c r="J165" s="9" t="str">
        <f>IFERROR(INDEX('CONTROL MASTER'!$R$2:$R$495,MATCH("Control WB Box 13: G9",'CONTROL MASTER'!$J$2:$J$495,0)),"")</f>
        <v/>
      </c>
    </row>
    <row r="166" spans="1:10" ht="15" customHeight="1" x14ac:dyDescent="0.35">
      <c r="A166" s="8" t="s">
        <v>35</v>
      </c>
      <c r="B166" s="9" t="str">
        <f>IFERROR(INDEX('CONTROL MASTER'!$R$2:$R$495,MATCH("Control WB Box 13: H1",'CONTROL MASTER'!$J$2:$J$495,0)),"")</f>
        <v/>
      </c>
      <c r="C166" s="9" t="str">
        <f>IFERROR(INDEX('CONTROL MASTER'!$R$2:$R$495,MATCH("Control WB Box 13: H2",'CONTROL MASTER'!$J$2:$J$495,0)),"")</f>
        <v/>
      </c>
      <c r="D166" s="9" t="str">
        <f>IFERROR(INDEX('CONTROL MASTER'!$R$2:$R$495,MATCH("Control WB Box 13: H3",'CONTROL MASTER'!$J$2:$J$495,0)),"")</f>
        <v/>
      </c>
      <c r="E166" s="9" t="str">
        <f>IFERROR(INDEX('CONTROL MASTER'!$R$2:$R$495,MATCH("Control WB Box 13: H4",'CONTROL MASTER'!$J$2:$J$495,0)),"")</f>
        <v/>
      </c>
      <c r="F166" s="9" t="str">
        <f>IFERROR(INDEX('CONTROL MASTER'!$R$2:$R$495,MATCH("Control WB Box 13: H5",'CONTROL MASTER'!$J$2:$J$495,0)),"")</f>
        <v/>
      </c>
      <c r="G166" s="9" t="str">
        <f>IFERROR(INDEX('CONTROL MASTER'!$R$2:$R$495,MATCH("Control WB Box 13: H6",'CONTROL MASTER'!$J$2:$J$495,0)),"")</f>
        <v/>
      </c>
      <c r="H166" s="9" t="str">
        <f>IFERROR(INDEX('CONTROL MASTER'!$R$2:$R$495,MATCH("Control WB Box 13: H7",'CONTROL MASTER'!$J$2:$J$495,0)),"")</f>
        <v/>
      </c>
      <c r="I166" s="9" t="str">
        <f>IFERROR(INDEX('CONTROL MASTER'!$R$2:$R$495,MATCH("Control WB Box 13: H8",'CONTROL MASTER'!$J$2:$J$495,0)),"")</f>
        <v/>
      </c>
      <c r="J166" s="9" t="str">
        <f>IFERROR(INDEX('CONTROL MASTER'!$R$2:$R$495,MATCH("Control WB Box 13: H9",'CONTROL MASTER'!$J$2:$J$495,0)),"")</f>
        <v/>
      </c>
    </row>
    <row r="167" spans="1:10" ht="15" customHeight="1" x14ac:dyDescent="0.35">
      <c r="A167" s="8" t="s">
        <v>81</v>
      </c>
      <c r="B167" s="9" t="str">
        <f>IFERROR(INDEX('CONTROL MASTER'!$R$2:$R$495,MATCH("Control WB Box 13: I1",'CONTROL MASTER'!$J$2:$J$495,0)),"")</f>
        <v/>
      </c>
      <c r="C167" s="9" t="str">
        <f>IFERROR(INDEX('CONTROL MASTER'!$R$2:$R$495,MATCH("Control WB Box 13: I2",'CONTROL MASTER'!$J$2:$J$495,0)),"")</f>
        <v/>
      </c>
      <c r="D167" s="9" t="str">
        <f>IFERROR(INDEX('CONTROL MASTER'!$R$2:$R$495,MATCH("Control WB Box 13: I3",'CONTROL MASTER'!$J$2:$J$495,0)),"")</f>
        <v/>
      </c>
      <c r="E167" s="9" t="str">
        <f>IFERROR(INDEX('CONTROL MASTER'!$R$2:$R$495,MATCH("Control WB Box 13: I4",'CONTROL MASTER'!$J$2:$J$495,0)),"")</f>
        <v/>
      </c>
      <c r="F167" s="9" t="str">
        <f>IFERROR(INDEX('CONTROL MASTER'!$R$2:$R$495,MATCH("Control WB Box 13: I5",'CONTROL MASTER'!$J$2:$J$495,0)),"")</f>
        <v/>
      </c>
      <c r="G167" s="9" t="str">
        <f>IFERROR(INDEX('CONTROL MASTER'!$R$2:$R$495,MATCH("Control WB Box 13: I6",'CONTROL MASTER'!$J$2:$J$495,0)),"")</f>
        <v/>
      </c>
      <c r="H167" s="9" t="str">
        <f>IFERROR(INDEX('CONTROL MASTER'!$R$2:$R$495,MATCH("Control WB Box 13: I7",'CONTROL MASTER'!$J$2:$J$495,0)),"")</f>
        <v/>
      </c>
      <c r="I167" s="9" t="str">
        <f>IFERROR(INDEX('CONTROL MASTER'!$R$2:$R$495,MATCH("Control WB Box 13: I8",'CONTROL MASTER'!$J$2:$J$495,0)),"")</f>
        <v/>
      </c>
      <c r="J167" s="9" t="str">
        <f>IFERROR(INDEX('CONTROL MASTER'!$R$2:$R$495,MATCH("Control WB Box 13: I9",'CONTROL MASTER'!$J$2:$J$495,0)),"")</f>
        <v/>
      </c>
    </row>
    <row r="170" spans="1:10" ht="15" customHeight="1" x14ac:dyDescent="0.35">
      <c r="A170" s="12" t="s">
        <v>185</v>
      </c>
      <c r="B170" s="13"/>
      <c r="C170" s="13"/>
      <c r="D170" s="13"/>
      <c r="E170" s="13"/>
      <c r="F170" s="13"/>
      <c r="G170" s="13"/>
      <c r="H170" s="13"/>
      <c r="I170" s="13"/>
      <c r="J170" s="13"/>
    </row>
    <row r="171" spans="1:10" ht="15" customHeight="1" x14ac:dyDescent="0.35">
      <c r="B171" s="8">
        <v>1</v>
      </c>
      <c r="C171" s="8">
        <v>2</v>
      </c>
      <c r="D171" s="8">
        <v>3</v>
      </c>
      <c r="E171" s="8">
        <v>4</v>
      </c>
      <c r="F171" s="8">
        <v>5</v>
      </c>
      <c r="G171" s="8">
        <v>6</v>
      </c>
      <c r="H171" s="8">
        <v>7</v>
      </c>
      <c r="I171" s="8">
        <v>8</v>
      </c>
      <c r="J171" s="8">
        <v>9</v>
      </c>
    </row>
    <row r="172" spans="1:10" ht="15" customHeight="1" x14ac:dyDescent="0.35">
      <c r="A172" s="8" t="s">
        <v>28</v>
      </c>
      <c r="B172" s="9" t="str">
        <f>IFERROR(INDEX('CONTROL MASTER'!$R$2:$R$495,MATCH("Control WB Box 14: A1",'CONTROL MASTER'!$J$2:$J$495,0)),"")</f>
        <v/>
      </c>
      <c r="C172" s="9" t="str">
        <f>IFERROR(INDEX('CONTROL MASTER'!$R$2:$R$495,MATCH("Control WB Box 14: A2",'CONTROL MASTER'!$J$2:$J$495,0)),"")</f>
        <v/>
      </c>
      <c r="D172" s="9" t="str">
        <f>IFERROR(INDEX('CONTROL MASTER'!$R$2:$R$495,MATCH("Control WB Box 14: A3",'CONTROL MASTER'!$J$2:$J$495,0)),"")</f>
        <v/>
      </c>
      <c r="E172" s="9" t="str">
        <f>IFERROR(INDEX('CONTROL MASTER'!$R$2:$R$495,MATCH("Control WB Box 14: A4",'CONTROL MASTER'!$J$2:$J$495,0)),"")</f>
        <v/>
      </c>
      <c r="F172" s="9" t="str">
        <f>IFERROR(INDEX('CONTROL MASTER'!$R$2:$R$495,MATCH("Control WB Box 14: A5",'CONTROL MASTER'!$J$2:$J$495,0)),"")</f>
        <v/>
      </c>
      <c r="G172" s="9" t="str">
        <f>IFERROR(INDEX('CONTROL MASTER'!$R$2:$R$495,MATCH("Control WB Box 14: A6",'CONTROL MASTER'!$J$2:$J$495,0)),"")</f>
        <v/>
      </c>
      <c r="H172" s="9" t="str">
        <f>IFERROR(INDEX('CONTROL MASTER'!$R$2:$R$495,MATCH("Control WB Box 14: A7",'CONTROL MASTER'!$J$2:$J$495,0)),"")</f>
        <v/>
      </c>
      <c r="I172" s="9" t="str">
        <f>IFERROR(INDEX('CONTROL MASTER'!$R$2:$R$495,MATCH("Control WB Box 14: A8",'CONTROL MASTER'!$J$2:$J$495,0)),"")</f>
        <v/>
      </c>
      <c r="J172" s="9" t="str">
        <f>IFERROR(INDEX('CONTROL MASTER'!$R$2:$R$495,MATCH("Control WB Box 14: A9",'CONTROL MASTER'!$J$2:$J$495,0)),"")</f>
        <v/>
      </c>
    </row>
    <row r="173" spans="1:10" ht="15" customHeight="1" x14ac:dyDescent="0.35">
      <c r="A173" s="8" t="s">
        <v>29</v>
      </c>
      <c r="B173" s="9" t="str">
        <f>IFERROR(INDEX('CONTROL MASTER'!$R$2:$R$495,MATCH("Control WB Box 14: B1",'CONTROL MASTER'!$J$2:$J$495,0)),"")</f>
        <v/>
      </c>
      <c r="C173" s="9" t="str">
        <f>IFERROR(INDEX('CONTROL MASTER'!$R$2:$R$495,MATCH("Control WB Box 14: B2",'CONTROL MASTER'!$J$2:$J$495,0)),"")</f>
        <v/>
      </c>
      <c r="D173" s="9" t="str">
        <f>IFERROR(INDEX('CONTROL MASTER'!$R$2:$R$495,MATCH("Control WB Box 14: B3",'CONTROL MASTER'!$J$2:$J$495,0)),"")</f>
        <v/>
      </c>
      <c r="E173" s="9" t="str">
        <f>IFERROR(INDEX('CONTROL MASTER'!$R$2:$R$495,MATCH("Control WB Box 14: B4",'CONTROL MASTER'!$J$2:$J$495,0)),"")</f>
        <v/>
      </c>
      <c r="F173" s="9" t="str">
        <f>IFERROR(INDEX('CONTROL MASTER'!$R$2:$R$495,MATCH("Control WB Box 14: B5",'CONTROL MASTER'!$J$2:$J$495,0)),"")</f>
        <v/>
      </c>
      <c r="G173" s="9" t="str">
        <f>IFERROR(INDEX('CONTROL MASTER'!$R$2:$R$495,MATCH("Control WB Box 14: B6",'CONTROL MASTER'!$J$2:$J$495,0)),"")</f>
        <v/>
      </c>
      <c r="H173" s="9" t="str">
        <f>IFERROR(INDEX('CONTROL MASTER'!$R$2:$R$495,MATCH("Control WB Box 14: B7",'CONTROL MASTER'!$J$2:$J$495,0)),"")</f>
        <v/>
      </c>
      <c r="I173" s="9" t="str">
        <f>IFERROR(INDEX('CONTROL MASTER'!$R$2:$R$495,MATCH("Control WB Box 14: B8",'CONTROL MASTER'!$J$2:$J$495,0)),"")</f>
        <v/>
      </c>
      <c r="J173" s="9" t="str">
        <f>IFERROR(INDEX('CONTROL MASTER'!$R$2:$R$495,MATCH("Control WB Box 14: B9",'CONTROL MASTER'!$J$2:$J$495,0)),"")</f>
        <v/>
      </c>
    </row>
    <row r="174" spans="1:10" ht="15" customHeight="1" x14ac:dyDescent="0.35">
      <c r="A174" s="8" t="s">
        <v>30</v>
      </c>
      <c r="B174" s="9" t="str">
        <f>IFERROR(INDEX('CONTROL MASTER'!$R$2:$R$495,MATCH("Control WB Box 14: C1",'CONTROL MASTER'!$J$2:$J$495,0)),"")</f>
        <v/>
      </c>
      <c r="C174" s="9" t="str">
        <f>IFERROR(INDEX('CONTROL MASTER'!$R$2:$R$495,MATCH("Control WB Box 14: C2",'CONTROL MASTER'!$J$2:$J$495,0)),"")</f>
        <v/>
      </c>
      <c r="D174" s="9" t="str">
        <f>IFERROR(INDEX('CONTROL MASTER'!$R$2:$R$495,MATCH("Control WB Box 14: C3",'CONTROL MASTER'!$J$2:$J$495,0)),"")</f>
        <v/>
      </c>
      <c r="E174" s="9" t="str">
        <f>IFERROR(INDEX('CONTROL MASTER'!$R$2:$R$495,MATCH("Control WB Box 14: C4",'CONTROL MASTER'!$J$2:$J$495,0)),"")</f>
        <v/>
      </c>
      <c r="F174" s="9" t="str">
        <f>IFERROR(INDEX('CONTROL MASTER'!$R$2:$R$495,MATCH("Control WB Box 14: C5",'CONTROL MASTER'!$J$2:$J$495,0)),"")</f>
        <v/>
      </c>
      <c r="G174" s="9" t="str">
        <f>IFERROR(INDEX('CONTROL MASTER'!$R$2:$R$495,MATCH("Control WB Box 14: C6",'CONTROL MASTER'!$J$2:$J$495,0)),"")</f>
        <v/>
      </c>
      <c r="H174" s="9" t="str">
        <f>IFERROR(INDEX('CONTROL MASTER'!$R$2:$R$495,MATCH("Control WB Box 14: C7",'CONTROL MASTER'!$J$2:$J$495,0)),"")</f>
        <v/>
      </c>
      <c r="I174" s="9" t="str">
        <f>IFERROR(INDEX('CONTROL MASTER'!$R$2:$R$495,MATCH("Control WB Box 14: C8",'CONTROL MASTER'!$J$2:$J$495,0)),"")</f>
        <v/>
      </c>
      <c r="J174" s="9" t="str">
        <f>IFERROR(INDEX('CONTROL MASTER'!$R$2:$R$495,MATCH("Control WB Box 14: C9",'CONTROL MASTER'!$J$2:$J$495,0)),"")</f>
        <v/>
      </c>
    </row>
    <row r="175" spans="1:10" ht="15" customHeight="1" x14ac:dyDescent="0.35">
      <c r="A175" s="8" t="s">
        <v>31</v>
      </c>
      <c r="B175" s="9" t="str">
        <f>IFERROR(INDEX('CONTROL MASTER'!$R$2:$R$495,MATCH("Control WB Box 14: D1",'CONTROL MASTER'!$J$2:$J$495,0)),"")</f>
        <v/>
      </c>
      <c r="C175" s="9" t="str">
        <f>IFERROR(INDEX('CONTROL MASTER'!$R$2:$R$495,MATCH("Control WB Box 14: D2",'CONTROL MASTER'!$J$2:$J$495,0)),"")</f>
        <v/>
      </c>
      <c r="D175" s="9" t="str">
        <f>IFERROR(INDEX('CONTROL MASTER'!$R$2:$R$495,MATCH("Control WB Box 14: D3",'CONTROL MASTER'!$J$2:$J$495,0)),"")</f>
        <v/>
      </c>
      <c r="E175" s="9" t="str">
        <f>IFERROR(INDEX('CONTROL MASTER'!$R$2:$R$495,MATCH("Control WB Box 14: D4",'CONTROL MASTER'!$J$2:$J$495,0)),"")</f>
        <v/>
      </c>
      <c r="F175" s="9" t="str">
        <f>IFERROR(INDEX('CONTROL MASTER'!$R$2:$R$495,MATCH("Control WB Box 14: D5",'CONTROL MASTER'!$J$2:$J$495,0)),"")</f>
        <v/>
      </c>
      <c r="G175" s="9" t="str">
        <f>IFERROR(INDEX('CONTROL MASTER'!$R$2:$R$495,MATCH("Control WB Box 14: D6",'CONTROL MASTER'!$J$2:$J$495,0)),"")</f>
        <v/>
      </c>
      <c r="H175" s="9" t="str">
        <f>IFERROR(INDEX('CONTROL MASTER'!$R$2:$R$495,MATCH("Control WB Box 14: D7",'CONTROL MASTER'!$J$2:$J$495,0)),"")</f>
        <v/>
      </c>
      <c r="I175" s="9" t="str">
        <f>IFERROR(INDEX('CONTROL MASTER'!$R$2:$R$495,MATCH("Control WB Box 14: D8",'CONTROL MASTER'!$J$2:$J$495,0)),"")</f>
        <v/>
      </c>
      <c r="J175" s="9" t="str">
        <f>IFERROR(INDEX('CONTROL MASTER'!$R$2:$R$495,MATCH("Control WB Box 14: D9",'CONTROL MASTER'!$J$2:$J$495,0)),"")</f>
        <v/>
      </c>
    </row>
    <row r="176" spans="1:10" ht="15" customHeight="1" x14ac:dyDescent="0.35">
      <c r="A176" s="8" t="s">
        <v>32</v>
      </c>
      <c r="B176" s="9" t="str">
        <f>IFERROR(INDEX('CONTROL MASTER'!$R$2:$R$495,MATCH("Control WB Box 14: E1",'CONTROL MASTER'!$J$2:$J$495,0)),"")</f>
        <v/>
      </c>
      <c r="C176" s="9" t="str">
        <f>IFERROR(INDEX('CONTROL MASTER'!$R$2:$R$495,MATCH("Control WB Box 14: E2",'CONTROL MASTER'!$J$2:$J$495,0)),"")</f>
        <v/>
      </c>
      <c r="D176" s="9" t="str">
        <f>IFERROR(INDEX('CONTROL MASTER'!$R$2:$R$495,MATCH("Control WB Box 14: E3",'CONTROL MASTER'!$J$2:$J$495,0)),"")</f>
        <v/>
      </c>
      <c r="E176" s="9" t="str">
        <f>IFERROR(INDEX('CONTROL MASTER'!$R$2:$R$495,MATCH("Control WB Box 14: E4",'CONTROL MASTER'!$J$2:$J$495,0)),"")</f>
        <v/>
      </c>
      <c r="F176" s="9" t="str">
        <f>IFERROR(INDEX('CONTROL MASTER'!$R$2:$R$495,MATCH("Control WB Box 14: E5",'CONTROL MASTER'!$J$2:$J$495,0)),"")</f>
        <v/>
      </c>
      <c r="G176" s="9" t="str">
        <f>IFERROR(INDEX('CONTROL MASTER'!$R$2:$R$495,MATCH("Control WB Box 14: E6",'CONTROL MASTER'!$J$2:$J$495,0)),"")</f>
        <v/>
      </c>
      <c r="H176" s="9" t="str">
        <f>IFERROR(INDEX('CONTROL MASTER'!$R$2:$R$495,MATCH("Control WB Box 14: E7",'CONTROL MASTER'!$J$2:$J$495,0)),"")</f>
        <v/>
      </c>
      <c r="I176" s="9" t="str">
        <f>IFERROR(INDEX('CONTROL MASTER'!$R$2:$R$495,MATCH("Control WB Box 14: E8",'CONTROL MASTER'!$J$2:$J$495,0)),"")</f>
        <v/>
      </c>
      <c r="J176" s="9" t="str">
        <f>IFERROR(INDEX('CONTROL MASTER'!$R$2:$R$495,MATCH("Control WB Box 14: E9",'CONTROL MASTER'!$J$2:$J$495,0)),"")</f>
        <v/>
      </c>
    </row>
    <row r="177" spans="1:10" ht="15" customHeight="1" x14ac:dyDescent="0.35">
      <c r="A177" s="8" t="s">
        <v>33</v>
      </c>
      <c r="B177" s="9" t="str">
        <f>IFERROR(INDEX('CONTROL MASTER'!$R$2:$R$495,MATCH("Control WB Box 14: F1",'CONTROL MASTER'!$J$2:$J$495,0)),"")</f>
        <v/>
      </c>
      <c r="C177" s="9" t="str">
        <f>IFERROR(INDEX('CONTROL MASTER'!$R$2:$R$495,MATCH("Control WB Box 14: F2",'CONTROL MASTER'!$J$2:$J$495,0)),"")</f>
        <v/>
      </c>
      <c r="D177" s="9" t="str">
        <f>IFERROR(INDEX('CONTROL MASTER'!$R$2:$R$495,MATCH("Control WB Box 14: F3",'CONTROL MASTER'!$J$2:$J$495,0)),"")</f>
        <v/>
      </c>
      <c r="E177" s="9" t="str">
        <f>IFERROR(INDEX('CONTROL MASTER'!$R$2:$R$495,MATCH("Control WB Box 14: F4",'CONTROL MASTER'!$J$2:$J$495,0)),"")</f>
        <v/>
      </c>
      <c r="F177" s="9" t="str">
        <f>IFERROR(INDEX('CONTROL MASTER'!$R$2:$R$495,MATCH("Control WB Box 14: F5",'CONTROL MASTER'!$J$2:$J$495,0)),"")</f>
        <v/>
      </c>
      <c r="G177" s="9" t="str">
        <f>IFERROR(INDEX('CONTROL MASTER'!$R$2:$R$495,MATCH("Control WB Box 14: F6",'CONTROL MASTER'!$J$2:$J$495,0)),"")</f>
        <v/>
      </c>
      <c r="H177" s="9" t="str">
        <f>IFERROR(INDEX('CONTROL MASTER'!$R$2:$R$495,MATCH("Control WB Box 14: F7",'CONTROL MASTER'!$J$2:$J$495,0)),"")</f>
        <v/>
      </c>
      <c r="I177" s="9" t="str">
        <f>IFERROR(INDEX('CONTROL MASTER'!$R$2:$R$495,MATCH("Control WB Box 14: F8",'CONTROL MASTER'!$J$2:$J$495,0)),"")</f>
        <v/>
      </c>
      <c r="J177" s="9" t="str">
        <f>IFERROR(INDEX('CONTROL MASTER'!$R$2:$R$495,MATCH("Control WB Box 14: F9",'CONTROL MASTER'!$J$2:$J$495,0)),"")</f>
        <v/>
      </c>
    </row>
    <row r="178" spans="1:10" ht="15" customHeight="1" x14ac:dyDescent="0.35">
      <c r="A178" s="8" t="s">
        <v>34</v>
      </c>
      <c r="B178" s="9" t="str">
        <f>IFERROR(INDEX('CONTROL MASTER'!$R$2:$R$495,MATCH("Control WB Box 14: G1",'CONTROL MASTER'!$J$2:$J$495,0)),"")</f>
        <v/>
      </c>
      <c r="C178" s="9" t="str">
        <f>IFERROR(INDEX('CONTROL MASTER'!$R$2:$R$495,MATCH("Control WB Box 14: G2",'CONTROL MASTER'!$J$2:$J$495,0)),"")</f>
        <v/>
      </c>
      <c r="D178" s="9" t="str">
        <f>IFERROR(INDEX('CONTROL MASTER'!$R$2:$R$495,MATCH("Control WB Box 14: G3",'CONTROL MASTER'!$J$2:$J$495,0)),"")</f>
        <v/>
      </c>
      <c r="E178" s="9" t="str">
        <f>IFERROR(INDEX('CONTROL MASTER'!$R$2:$R$495,MATCH("Control WB Box 14: G4",'CONTROL MASTER'!$J$2:$J$495,0)),"")</f>
        <v/>
      </c>
      <c r="F178" s="9" t="str">
        <f>IFERROR(INDEX('CONTROL MASTER'!$R$2:$R$495,MATCH("Control WB Box 14: G5",'CONTROL MASTER'!$J$2:$J$495,0)),"")</f>
        <v/>
      </c>
      <c r="G178" s="9" t="str">
        <f>IFERROR(INDEX('CONTROL MASTER'!$R$2:$R$495,MATCH("Control WB Box 14: G6",'CONTROL MASTER'!$J$2:$J$495,0)),"")</f>
        <v/>
      </c>
      <c r="H178" s="9" t="str">
        <f>IFERROR(INDEX('CONTROL MASTER'!$R$2:$R$495,MATCH("Control WB Box 14: G7",'CONTROL MASTER'!$J$2:$J$495,0)),"")</f>
        <v/>
      </c>
      <c r="I178" s="9" t="str">
        <f>IFERROR(INDEX('CONTROL MASTER'!$R$2:$R$495,MATCH("Control WB Box 14: G8",'CONTROL MASTER'!$J$2:$J$495,0)),"")</f>
        <v/>
      </c>
      <c r="J178" s="9" t="str">
        <f>IFERROR(INDEX('CONTROL MASTER'!$R$2:$R$495,MATCH("Control WB Box 14: G9",'CONTROL MASTER'!$J$2:$J$495,0)),"")</f>
        <v/>
      </c>
    </row>
    <row r="179" spans="1:10" ht="15" customHeight="1" x14ac:dyDescent="0.35">
      <c r="A179" s="8" t="s">
        <v>35</v>
      </c>
      <c r="B179" s="9" t="str">
        <f>IFERROR(INDEX('CONTROL MASTER'!$R$2:$R$495,MATCH("Control WB Box 14: H1",'CONTROL MASTER'!$J$2:$J$495,0)),"")</f>
        <v/>
      </c>
      <c r="C179" s="9" t="str">
        <f>IFERROR(INDEX('CONTROL MASTER'!$R$2:$R$495,MATCH("Control WB Box 14: H2",'CONTROL MASTER'!$J$2:$J$495,0)),"")</f>
        <v/>
      </c>
      <c r="D179" s="9" t="str">
        <f>IFERROR(INDEX('CONTROL MASTER'!$R$2:$R$495,MATCH("Control WB Box 14: H3",'CONTROL MASTER'!$J$2:$J$495,0)),"")</f>
        <v/>
      </c>
      <c r="E179" s="9" t="str">
        <f>IFERROR(INDEX('CONTROL MASTER'!$R$2:$R$495,MATCH("Control WB Box 14: H4",'CONTROL MASTER'!$J$2:$J$495,0)),"")</f>
        <v/>
      </c>
      <c r="F179" s="9" t="str">
        <f>IFERROR(INDEX('CONTROL MASTER'!$R$2:$R$495,MATCH("Control WB Box 14: H5",'CONTROL MASTER'!$J$2:$J$495,0)),"")</f>
        <v/>
      </c>
      <c r="G179" s="9" t="str">
        <f>IFERROR(INDEX('CONTROL MASTER'!$R$2:$R$495,MATCH("Control WB Box 14: H6",'CONTROL MASTER'!$J$2:$J$495,0)),"")</f>
        <v/>
      </c>
      <c r="H179" s="9" t="str">
        <f>IFERROR(INDEX('CONTROL MASTER'!$R$2:$R$495,MATCH("Control WB Box 14: H7",'CONTROL MASTER'!$J$2:$J$495,0)),"")</f>
        <v/>
      </c>
      <c r="I179" s="9" t="str">
        <f>IFERROR(INDEX('CONTROL MASTER'!$R$2:$R$495,MATCH("Control WB Box 14: H8",'CONTROL MASTER'!$J$2:$J$495,0)),"")</f>
        <v/>
      </c>
      <c r="J179" s="9" t="str">
        <f>IFERROR(INDEX('CONTROL MASTER'!$R$2:$R$495,MATCH("Control WB Box 14: H9",'CONTROL MASTER'!$J$2:$J$495,0)),"")</f>
        <v/>
      </c>
    </row>
    <row r="180" spans="1:10" ht="15" customHeight="1" x14ac:dyDescent="0.35">
      <c r="A180" s="8" t="s">
        <v>81</v>
      </c>
      <c r="B180" s="9" t="str">
        <f>IFERROR(INDEX('CONTROL MASTER'!$R$2:$R$495,MATCH("Control WB Box 14: I1",'CONTROL MASTER'!$J$2:$J$495,0)),"")</f>
        <v/>
      </c>
      <c r="C180" s="9" t="str">
        <f>IFERROR(INDEX('CONTROL MASTER'!$R$2:$R$495,MATCH("Control WB Box 14: I2",'CONTROL MASTER'!$J$2:$J$495,0)),"")</f>
        <v/>
      </c>
      <c r="D180" s="9" t="str">
        <f>IFERROR(INDEX('CONTROL MASTER'!$R$2:$R$495,MATCH("Control WB Box 14: I3",'CONTROL MASTER'!$J$2:$J$495,0)),"")</f>
        <v/>
      </c>
      <c r="E180" s="9" t="str">
        <f>IFERROR(INDEX('CONTROL MASTER'!$R$2:$R$495,MATCH("Control WB Box 14: I4",'CONTROL MASTER'!$J$2:$J$495,0)),"")</f>
        <v/>
      </c>
      <c r="F180" s="9" t="str">
        <f>IFERROR(INDEX('CONTROL MASTER'!$R$2:$R$495,MATCH("Control WB Box 14: I5",'CONTROL MASTER'!$J$2:$J$495,0)),"")</f>
        <v/>
      </c>
      <c r="G180" s="9" t="str">
        <f>IFERROR(INDEX('CONTROL MASTER'!$R$2:$R$495,MATCH("Control WB Box 14: I6",'CONTROL MASTER'!$J$2:$J$495,0)),"")</f>
        <v/>
      </c>
      <c r="H180" s="9" t="str">
        <f>IFERROR(INDEX('CONTROL MASTER'!$R$2:$R$495,MATCH("Control WB Box 14: I7",'CONTROL MASTER'!$J$2:$J$495,0)),"")</f>
        <v/>
      </c>
      <c r="I180" s="9" t="str">
        <f>IFERROR(INDEX('CONTROL MASTER'!$R$2:$R$495,MATCH("Control WB Box 14: I8",'CONTROL MASTER'!$J$2:$J$495,0)),"")</f>
        <v/>
      </c>
      <c r="J180" s="9" t="str">
        <f>IFERROR(INDEX('CONTROL MASTER'!$R$2:$R$495,MATCH("Control WB Box 14: I9",'CONTROL MASTER'!$J$2:$J$495,0)),"")</f>
        <v/>
      </c>
    </row>
    <row r="183" spans="1:10" ht="15" customHeight="1" x14ac:dyDescent="0.35">
      <c r="A183" s="12" t="s">
        <v>186</v>
      </c>
      <c r="B183" s="13"/>
      <c r="C183" s="13"/>
      <c r="D183" s="13"/>
      <c r="E183" s="13"/>
      <c r="F183" s="13"/>
      <c r="G183" s="13"/>
      <c r="H183" s="13"/>
      <c r="I183" s="13"/>
      <c r="J183" s="13"/>
    </row>
    <row r="184" spans="1:10" ht="15" customHeight="1" x14ac:dyDescent="0.35">
      <c r="B184" s="8">
        <v>1</v>
      </c>
      <c r="C184" s="8">
        <v>2</v>
      </c>
      <c r="D184" s="8">
        <v>3</v>
      </c>
      <c r="E184" s="8">
        <v>4</v>
      </c>
      <c r="F184" s="8">
        <v>5</v>
      </c>
      <c r="G184" s="8">
        <v>6</v>
      </c>
      <c r="H184" s="8">
        <v>7</v>
      </c>
      <c r="I184" s="8">
        <v>8</v>
      </c>
      <c r="J184" s="8">
        <v>9</v>
      </c>
    </row>
    <row r="185" spans="1:10" ht="15" customHeight="1" x14ac:dyDescent="0.35">
      <c r="A185" s="8" t="s">
        <v>28</v>
      </c>
      <c r="B185" s="9" t="str">
        <f>IFERROR(INDEX('CONTROL MASTER'!$R$2:$R$495,MATCH("Control WB Box 15: A1",'CONTROL MASTER'!$J$2:$J$495,0)),"")</f>
        <v/>
      </c>
      <c r="C185" s="9" t="str">
        <f>IFERROR(INDEX('CONTROL MASTER'!$R$2:$R$495,MATCH("Control WB Box 15: A2",'CONTROL MASTER'!$J$2:$J$495,0)),"")</f>
        <v/>
      </c>
      <c r="D185" s="9" t="str">
        <f>IFERROR(INDEX('CONTROL MASTER'!$R$2:$R$495,MATCH("Control WB Box 15: A3",'CONTROL MASTER'!$J$2:$J$495,0)),"")</f>
        <v/>
      </c>
      <c r="E185" s="9" t="str">
        <f>IFERROR(INDEX('CONTROL MASTER'!$R$2:$R$495,MATCH("Control WB Box 15: A4",'CONTROL MASTER'!$J$2:$J$495,0)),"")</f>
        <v/>
      </c>
      <c r="F185" s="9" t="str">
        <f>IFERROR(INDEX('CONTROL MASTER'!$R$2:$R$495,MATCH("Control WB Box 15: A5",'CONTROL MASTER'!$J$2:$J$495,0)),"")</f>
        <v/>
      </c>
      <c r="G185" s="9" t="str">
        <f>IFERROR(INDEX('CONTROL MASTER'!$R$2:$R$495,MATCH("Control WB Box 15: A6",'CONTROL MASTER'!$J$2:$J$495,0)),"")</f>
        <v/>
      </c>
      <c r="H185" s="9" t="str">
        <f>IFERROR(INDEX('CONTROL MASTER'!$R$2:$R$495,MATCH("Control WB Box 15: A7",'CONTROL MASTER'!$J$2:$J$495,0)),"")</f>
        <v/>
      </c>
      <c r="I185" s="9" t="str">
        <f>IFERROR(INDEX('CONTROL MASTER'!$R$2:$R$495,MATCH("Control WB Box 15: A8",'CONTROL MASTER'!$J$2:$J$495,0)),"")</f>
        <v/>
      </c>
      <c r="J185" s="9" t="str">
        <f>IFERROR(INDEX('CONTROL MASTER'!$R$2:$R$495,MATCH("Control WB Box 15: A9",'CONTROL MASTER'!$J$2:$J$495,0)),"")</f>
        <v/>
      </c>
    </row>
    <row r="186" spans="1:10" ht="15" customHeight="1" x14ac:dyDescent="0.35">
      <c r="A186" s="8" t="s">
        <v>29</v>
      </c>
      <c r="B186" s="9" t="str">
        <f>IFERROR(INDEX('CONTROL MASTER'!$R$2:$R$495,MATCH("Control WB Box 15: B1",'CONTROL MASTER'!$J$2:$J$495,0)),"")</f>
        <v/>
      </c>
      <c r="C186" s="9" t="str">
        <f>IFERROR(INDEX('CONTROL MASTER'!$R$2:$R$495,MATCH("Control WB Box 15: B2",'CONTROL MASTER'!$J$2:$J$495,0)),"")</f>
        <v/>
      </c>
      <c r="D186" s="9" t="str">
        <f>IFERROR(INDEX('CONTROL MASTER'!$R$2:$R$495,MATCH("Control WB Box 15: B3",'CONTROL MASTER'!$J$2:$J$495,0)),"")</f>
        <v/>
      </c>
      <c r="E186" s="9" t="str">
        <f>IFERROR(INDEX('CONTROL MASTER'!$R$2:$R$495,MATCH("Control WB Box 15: B4",'CONTROL MASTER'!$J$2:$J$495,0)),"")</f>
        <v/>
      </c>
      <c r="F186" s="9" t="str">
        <f>IFERROR(INDEX('CONTROL MASTER'!$R$2:$R$495,MATCH("Control WB Box 15: B5",'CONTROL MASTER'!$J$2:$J$495,0)),"")</f>
        <v/>
      </c>
      <c r="G186" s="9" t="str">
        <f>IFERROR(INDEX('CONTROL MASTER'!$R$2:$R$495,MATCH("Control WB Box 15: B6",'CONTROL MASTER'!$J$2:$J$495,0)),"")</f>
        <v/>
      </c>
      <c r="H186" s="9" t="str">
        <f>IFERROR(INDEX('CONTROL MASTER'!$R$2:$R$495,MATCH("Control WB Box 15: B7",'CONTROL MASTER'!$J$2:$J$495,0)),"")</f>
        <v/>
      </c>
      <c r="I186" s="9" t="str">
        <f>IFERROR(INDEX('CONTROL MASTER'!$R$2:$R$495,MATCH("Control WB Box 15: B8",'CONTROL MASTER'!$J$2:$J$495,0)),"")</f>
        <v/>
      </c>
      <c r="J186" s="9" t="str">
        <f>IFERROR(INDEX('CONTROL MASTER'!$R$2:$R$495,MATCH("Control WB Box 15: B9",'CONTROL MASTER'!$J$2:$J$495,0)),"")</f>
        <v/>
      </c>
    </row>
    <row r="187" spans="1:10" ht="15" customHeight="1" x14ac:dyDescent="0.35">
      <c r="A187" s="8" t="s">
        <v>30</v>
      </c>
      <c r="B187" s="9" t="str">
        <f>IFERROR(INDEX('CONTROL MASTER'!$R$2:$R$495,MATCH("Control WB Box 15: C1",'CONTROL MASTER'!$J$2:$J$495,0)),"")</f>
        <v/>
      </c>
      <c r="C187" s="9" t="str">
        <f>IFERROR(INDEX('CONTROL MASTER'!$R$2:$R$495,MATCH("Control WB Box 15: C2",'CONTROL MASTER'!$J$2:$J$495,0)),"")</f>
        <v/>
      </c>
      <c r="D187" s="9" t="str">
        <f>IFERROR(INDEX('CONTROL MASTER'!$R$2:$R$495,MATCH("Control WB Box 15: C3",'CONTROL MASTER'!$J$2:$J$495,0)),"")</f>
        <v/>
      </c>
      <c r="E187" s="9" t="str">
        <f>IFERROR(INDEX('CONTROL MASTER'!$R$2:$R$495,MATCH("Control WB Box 15: C4",'CONTROL MASTER'!$J$2:$J$495,0)),"")</f>
        <v/>
      </c>
      <c r="F187" s="9" t="str">
        <f>IFERROR(INDEX('CONTROL MASTER'!$R$2:$R$495,MATCH("Control WB Box 15: C5",'CONTROL MASTER'!$J$2:$J$495,0)),"")</f>
        <v/>
      </c>
      <c r="G187" s="9" t="str">
        <f>IFERROR(INDEX('CONTROL MASTER'!$R$2:$R$495,MATCH("Control WB Box 15: C6",'CONTROL MASTER'!$J$2:$J$495,0)),"")</f>
        <v/>
      </c>
      <c r="H187" s="9" t="str">
        <f>IFERROR(INDEX('CONTROL MASTER'!$R$2:$R$495,MATCH("Control WB Box 15: C7",'CONTROL MASTER'!$J$2:$J$495,0)),"")</f>
        <v/>
      </c>
      <c r="I187" s="9" t="str">
        <f>IFERROR(INDEX('CONTROL MASTER'!$R$2:$R$495,MATCH("Control WB Box 15: C8",'CONTROL MASTER'!$J$2:$J$495,0)),"")</f>
        <v/>
      </c>
      <c r="J187" s="9" t="str">
        <f>IFERROR(INDEX('CONTROL MASTER'!$R$2:$R$495,MATCH("Control WB Box 15: C9",'CONTROL MASTER'!$J$2:$J$495,0)),"")</f>
        <v/>
      </c>
    </row>
    <row r="188" spans="1:10" ht="15" customHeight="1" x14ac:dyDescent="0.35">
      <c r="A188" s="8" t="s">
        <v>31</v>
      </c>
      <c r="B188" s="9" t="str">
        <f>IFERROR(INDEX('CONTROL MASTER'!$R$2:$R$495,MATCH("Control WB Box 15: D1",'CONTROL MASTER'!$J$2:$J$495,0)),"")</f>
        <v/>
      </c>
      <c r="C188" s="9" t="str">
        <f>IFERROR(INDEX('CONTROL MASTER'!$R$2:$R$495,MATCH("Control WB Box 15: D2",'CONTROL MASTER'!$J$2:$J$495,0)),"")</f>
        <v/>
      </c>
      <c r="D188" s="9" t="str">
        <f>IFERROR(INDEX('CONTROL MASTER'!$R$2:$R$495,MATCH("Control WB Box 15: D3",'CONTROL MASTER'!$J$2:$J$495,0)),"")</f>
        <v/>
      </c>
      <c r="E188" s="9" t="str">
        <f>IFERROR(INDEX('CONTROL MASTER'!$R$2:$R$495,MATCH("Control WB Box 15: D4",'CONTROL MASTER'!$J$2:$J$495,0)),"")</f>
        <v/>
      </c>
      <c r="F188" s="9" t="str">
        <f>IFERROR(INDEX('CONTROL MASTER'!$R$2:$R$495,MATCH("Control WB Box 15: D5",'CONTROL MASTER'!$J$2:$J$495,0)),"")</f>
        <v/>
      </c>
      <c r="G188" s="9" t="str">
        <f>IFERROR(INDEX('CONTROL MASTER'!$R$2:$R$495,MATCH("Control WB Box 15: D6",'CONTROL MASTER'!$J$2:$J$495,0)),"")</f>
        <v/>
      </c>
      <c r="H188" s="9" t="str">
        <f>IFERROR(INDEX('CONTROL MASTER'!$R$2:$R$495,MATCH("Control WB Box 15: D7",'CONTROL MASTER'!$J$2:$J$495,0)),"")</f>
        <v/>
      </c>
      <c r="I188" s="9" t="str">
        <f>IFERROR(INDEX('CONTROL MASTER'!$R$2:$R$495,MATCH("Control WB Box 15: D8",'CONTROL MASTER'!$J$2:$J$495,0)),"")</f>
        <v/>
      </c>
      <c r="J188" s="9" t="str">
        <f>IFERROR(INDEX('CONTROL MASTER'!$R$2:$R$495,MATCH("Control WB Box 15: D9",'CONTROL MASTER'!$J$2:$J$495,0)),"")</f>
        <v/>
      </c>
    </row>
    <row r="189" spans="1:10" ht="15" customHeight="1" x14ac:dyDescent="0.35">
      <c r="A189" s="8" t="s">
        <v>32</v>
      </c>
      <c r="B189" s="9" t="str">
        <f>IFERROR(INDEX('CONTROL MASTER'!$R$2:$R$495,MATCH("Control WB Box 15: E1",'CONTROL MASTER'!$J$2:$J$495,0)),"")</f>
        <v/>
      </c>
      <c r="C189" s="9" t="str">
        <f>IFERROR(INDEX('CONTROL MASTER'!$R$2:$R$495,MATCH("Control WB Box 15: E2",'CONTROL MASTER'!$J$2:$J$495,0)),"")</f>
        <v/>
      </c>
      <c r="D189" s="9" t="str">
        <f>IFERROR(INDEX('CONTROL MASTER'!$R$2:$R$495,MATCH("Control WB Box 15: E3",'CONTROL MASTER'!$J$2:$J$495,0)),"")</f>
        <v/>
      </c>
      <c r="E189" s="9" t="str">
        <f>IFERROR(INDEX('CONTROL MASTER'!$R$2:$R$495,MATCH("Control WB Box 15: E4",'CONTROL MASTER'!$J$2:$J$495,0)),"")</f>
        <v/>
      </c>
      <c r="F189" s="9" t="str">
        <f>IFERROR(INDEX('CONTROL MASTER'!$R$2:$R$495,MATCH("Control WB Box 15: E5",'CONTROL MASTER'!$J$2:$J$495,0)),"")</f>
        <v/>
      </c>
      <c r="G189" s="9" t="str">
        <f>IFERROR(INDEX('CONTROL MASTER'!$R$2:$R$495,MATCH("Control WB Box 15: E6",'CONTROL MASTER'!$J$2:$J$495,0)),"")</f>
        <v/>
      </c>
      <c r="H189" s="9" t="str">
        <f>IFERROR(INDEX('CONTROL MASTER'!$R$2:$R$495,MATCH("Control WB Box 15: E7",'CONTROL MASTER'!$J$2:$J$495,0)),"")</f>
        <v/>
      </c>
      <c r="I189" s="9" t="str">
        <f>IFERROR(INDEX('CONTROL MASTER'!$R$2:$R$495,MATCH("Control WB Box 15: E8",'CONTROL MASTER'!$J$2:$J$495,0)),"")</f>
        <v/>
      </c>
      <c r="J189" s="9" t="str">
        <f>IFERROR(INDEX('CONTROL MASTER'!$R$2:$R$495,MATCH("Control WB Box 15: E9",'CONTROL MASTER'!$J$2:$J$495,0)),"")</f>
        <v/>
      </c>
    </row>
    <row r="190" spans="1:10" ht="15" customHeight="1" x14ac:dyDescent="0.35">
      <c r="A190" s="8" t="s">
        <v>33</v>
      </c>
      <c r="B190" s="9" t="str">
        <f>IFERROR(INDEX('CONTROL MASTER'!$R$2:$R$495,MATCH("Control WB Box 15: F1",'CONTROL MASTER'!$J$2:$J$495,0)),"")</f>
        <v/>
      </c>
      <c r="C190" s="9" t="str">
        <f>IFERROR(INDEX('CONTROL MASTER'!$R$2:$R$495,MATCH("Control WB Box 15: F2",'CONTROL MASTER'!$J$2:$J$495,0)),"")</f>
        <v/>
      </c>
      <c r="D190" s="9" t="str">
        <f>IFERROR(INDEX('CONTROL MASTER'!$R$2:$R$495,MATCH("Control WB Box 15: F3",'CONTROL MASTER'!$J$2:$J$495,0)),"")</f>
        <v/>
      </c>
      <c r="E190" s="9" t="str">
        <f>IFERROR(INDEX('CONTROL MASTER'!$R$2:$R$495,MATCH("Control WB Box 15: F4",'CONTROL MASTER'!$J$2:$J$495,0)),"")</f>
        <v/>
      </c>
      <c r="F190" s="9" t="str">
        <f>IFERROR(INDEX('CONTROL MASTER'!$R$2:$R$495,MATCH("Control WB Box 15: F5",'CONTROL MASTER'!$J$2:$J$495,0)),"")</f>
        <v/>
      </c>
      <c r="G190" s="9" t="str">
        <f>IFERROR(INDEX('CONTROL MASTER'!$R$2:$R$495,MATCH("Control WB Box 15: F6",'CONTROL MASTER'!$J$2:$J$495,0)),"")</f>
        <v/>
      </c>
      <c r="H190" s="9" t="str">
        <f>IFERROR(INDEX('CONTROL MASTER'!$R$2:$R$495,MATCH("Control WB Box 15: F7",'CONTROL MASTER'!$J$2:$J$495,0)),"")</f>
        <v/>
      </c>
      <c r="I190" s="9" t="str">
        <f>IFERROR(INDEX('CONTROL MASTER'!$R$2:$R$495,MATCH("Control WB Box 15: F8",'CONTROL MASTER'!$J$2:$J$495,0)),"")</f>
        <v/>
      </c>
      <c r="J190" s="9" t="str">
        <f>IFERROR(INDEX('CONTROL MASTER'!$R$2:$R$495,MATCH("Control WB Box 15: F9",'CONTROL MASTER'!$J$2:$J$495,0)),"")</f>
        <v/>
      </c>
    </row>
    <row r="191" spans="1:10" ht="15" customHeight="1" x14ac:dyDescent="0.35">
      <c r="A191" s="8" t="s">
        <v>34</v>
      </c>
      <c r="B191" s="9" t="str">
        <f>IFERROR(INDEX('CONTROL MASTER'!$R$2:$R$495,MATCH("Control WB Box 15: G1",'CONTROL MASTER'!$J$2:$J$495,0)),"")</f>
        <v/>
      </c>
      <c r="C191" s="9" t="str">
        <f>IFERROR(INDEX('CONTROL MASTER'!$R$2:$R$495,MATCH("Control WB Box 15: G2",'CONTROL MASTER'!$J$2:$J$495,0)),"")</f>
        <v/>
      </c>
      <c r="D191" s="9" t="str">
        <f>IFERROR(INDEX('CONTROL MASTER'!$R$2:$R$495,MATCH("Control WB Box 15: G3",'CONTROL MASTER'!$J$2:$J$495,0)),"")</f>
        <v/>
      </c>
      <c r="E191" s="9" t="str">
        <f>IFERROR(INDEX('CONTROL MASTER'!$R$2:$R$495,MATCH("Control WB Box 15: G4",'CONTROL MASTER'!$J$2:$J$495,0)),"")</f>
        <v/>
      </c>
      <c r="F191" s="9" t="str">
        <f>IFERROR(INDEX('CONTROL MASTER'!$R$2:$R$495,MATCH("Control WB Box 15: G5",'CONTROL MASTER'!$J$2:$J$495,0)),"")</f>
        <v/>
      </c>
      <c r="G191" s="9" t="str">
        <f>IFERROR(INDEX('CONTROL MASTER'!$R$2:$R$495,MATCH("Control WB Box 15: G6",'CONTROL MASTER'!$J$2:$J$495,0)),"")</f>
        <v/>
      </c>
      <c r="H191" s="9" t="str">
        <f>IFERROR(INDEX('CONTROL MASTER'!$R$2:$R$495,MATCH("Control WB Box 15: G7",'CONTROL MASTER'!$J$2:$J$495,0)),"")</f>
        <v/>
      </c>
      <c r="I191" s="9" t="str">
        <f>IFERROR(INDEX('CONTROL MASTER'!$R$2:$R$495,MATCH("Control WB Box 15: G8",'CONTROL MASTER'!$J$2:$J$495,0)),"")</f>
        <v/>
      </c>
      <c r="J191" s="9" t="str">
        <f>IFERROR(INDEX('CONTROL MASTER'!$R$2:$R$495,MATCH("Control WB Box 15: G9",'CONTROL MASTER'!$J$2:$J$495,0)),"")</f>
        <v/>
      </c>
    </row>
    <row r="192" spans="1:10" ht="15" customHeight="1" x14ac:dyDescent="0.35">
      <c r="A192" s="8" t="s">
        <v>35</v>
      </c>
      <c r="B192" s="9" t="str">
        <f>IFERROR(INDEX('CONTROL MASTER'!$R$2:$R$495,MATCH("Control WB Box 15: H1",'CONTROL MASTER'!$J$2:$J$495,0)),"")</f>
        <v/>
      </c>
      <c r="C192" s="9" t="str">
        <f>IFERROR(INDEX('CONTROL MASTER'!$R$2:$R$495,MATCH("Control WB Box 15: H2",'CONTROL MASTER'!$J$2:$J$495,0)),"")</f>
        <v/>
      </c>
      <c r="D192" s="9" t="str">
        <f>IFERROR(INDEX('CONTROL MASTER'!$R$2:$R$495,MATCH("Control WB Box 15: H3",'CONTROL MASTER'!$J$2:$J$495,0)),"")</f>
        <v/>
      </c>
      <c r="E192" s="9" t="str">
        <f>IFERROR(INDEX('CONTROL MASTER'!$R$2:$R$495,MATCH("Control WB Box 15: H4",'CONTROL MASTER'!$J$2:$J$495,0)),"")</f>
        <v/>
      </c>
      <c r="F192" s="9" t="str">
        <f>IFERROR(INDEX('CONTROL MASTER'!$R$2:$R$495,MATCH("Control WB Box 15: H5",'CONTROL MASTER'!$J$2:$J$495,0)),"")</f>
        <v/>
      </c>
      <c r="G192" s="9" t="str">
        <f>IFERROR(INDEX('CONTROL MASTER'!$R$2:$R$495,MATCH("Control WB Box 15: H6",'CONTROL MASTER'!$J$2:$J$495,0)),"")</f>
        <v/>
      </c>
      <c r="H192" s="9" t="str">
        <f>IFERROR(INDEX('CONTROL MASTER'!$R$2:$R$495,MATCH("Control WB Box 15: H7",'CONTROL MASTER'!$J$2:$J$495,0)),"")</f>
        <v/>
      </c>
      <c r="I192" s="9" t="str">
        <f>IFERROR(INDEX('CONTROL MASTER'!$R$2:$R$495,MATCH("Control WB Box 15: H8",'CONTROL MASTER'!$J$2:$J$495,0)),"")</f>
        <v/>
      </c>
      <c r="J192" s="9" t="str">
        <f>IFERROR(INDEX('CONTROL MASTER'!$R$2:$R$495,MATCH("Control WB Box 15: H9",'CONTROL MASTER'!$J$2:$J$495,0)),"")</f>
        <v/>
      </c>
    </row>
    <row r="193" spans="1:10" ht="15" customHeight="1" x14ac:dyDescent="0.35">
      <c r="A193" s="8" t="s">
        <v>81</v>
      </c>
      <c r="B193" s="9" t="str">
        <f>IFERROR(INDEX('CONTROL MASTER'!$R$2:$R$495,MATCH("Control WB Box 15: I1",'CONTROL MASTER'!$J$2:$J$495,0)),"")</f>
        <v/>
      </c>
      <c r="C193" s="9" t="str">
        <f>IFERROR(INDEX('CONTROL MASTER'!$R$2:$R$495,MATCH("Control WB Box 15: I2",'CONTROL MASTER'!$J$2:$J$495,0)),"")</f>
        <v/>
      </c>
      <c r="D193" s="9" t="str">
        <f>IFERROR(INDEX('CONTROL MASTER'!$R$2:$R$495,MATCH("Control WB Box 15: I3",'CONTROL MASTER'!$J$2:$J$495,0)),"")</f>
        <v/>
      </c>
      <c r="E193" s="9" t="str">
        <f>IFERROR(INDEX('CONTROL MASTER'!$R$2:$R$495,MATCH("Control WB Box 15: I4",'CONTROL MASTER'!$J$2:$J$495,0)),"")</f>
        <v/>
      </c>
      <c r="F193" s="9" t="str">
        <f>IFERROR(INDEX('CONTROL MASTER'!$R$2:$R$495,MATCH("Control WB Box 15: I5",'CONTROL MASTER'!$J$2:$J$495,0)),"")</f>
        <v/>
      </c>
      <c r="G193" s="9" t="str">
        <f>IFERROR(INDEX('CONTROL MASTER'!$R$2:$R$495,MATCH("Control WB Box 15: I6",'CONTROL MASTER'!$J$2:$J$495,0)),"")</f>
        <v/>
      </c>
      <c r="H193" s="9" t="str">
        <f>IFERROR(INDEX('CONTROL MASTER'!$R$2:$R$495,MATCH("Control WB Box 15: I7",'CONTROL MASTER'!$J$2:$J$495,0)),"")</f>
        <v/>
      </c>
      <c r="I193" s="9" t="str">
        <f>IFERROR(INDEX('CONTROL MASTER'!$R$2:$R$495,MATCH("Control WB Box 15: I8",'CONTROL MASTER'!$J$2:$J$495,0)),"")</f>
        <v/>
      </c>
      <c r="J193" s="9" t="str">
        <f>IFERROR(INDEX('CONTROL MASTER'!$R$2:$R$495,MATCH("Control WB Box 15: I9",'CONTROL MASTER'!$J$2:$J$495,0)),"")</f>
        <v/>
      </c>
    </row>
  </sheetData>
  <mergeCells count="15">
    <mergeCell ref="A1:J1"/>
    <mergeCell ref="A118:J118"/>
    <mergeCell ref="A79:J79"/>
    <mergeCell ref="A14:J14"/>
    <mergeCell ref="A40:J40"/>
    <mergeCell ref="A157:J157"/>
    <mergeCell ref="A183:J183"/>
    <mergeCell ref="A170:J170"/>
    <mergeCell ref="A131:J131"/>
    <mergeCell ref="A27:J27"/>
    <mergeCell ref="A144:J144"/>
    <mergeCell ref="A92:J92"/>
    <mergeCell ref="A66:J66"/>
    <mergeCell ref="A53:J53"/>
    <mergeCell ref="A105:J10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CASE MASTER</vt:lpstr>
      <vt:lpstr>CONTROL MASTER</vt:lpstr>
      <vt:lpstr>Case CDI Plate</vt:lpstr>
      <vt:lpstr>Case NIH Plate</vt:lpstr>
      <vt:lpstr>Case MAX Planck Plate</vt:lpstr>
      <vt:lpstr>Cryovial Case Box</vt:lpstr>
      <vt:lpstr>Case WB Box</vt:lpstr>
      <vt:lpstr>Control CDI Plate</vt:lpstr>
      <vt:lpstr>Control NIH Plate</vt:lpstr>
      <vt:lpstr>Control MAX Planck Plate</vt:lpstr>
      <vt:lpstr>Cryovial Control Box</vt:lpstr>
      <vt:lpstr>Control WB Box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Vemula, Sowmya</cp:lastModifiedBy>
  <cp:revision>0</cp:revision>
  <dcterms:created xsi:type="dcterms:W3CDTF">2026-05-04T16:52:08Z</dcterms:created>
  <dcterms:modified xsi:type="dcterms:W3CDTF">2026-06-01T19:26:26Z</dcterms:modified>
  <dc:language>en-US</dc:language>
</cp:coreProperties>
</file>